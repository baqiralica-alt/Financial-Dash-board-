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ME_Setup" sheetId="2" state="visible" r:id="rId4"/>
    <sheet name="Stripe_Raw" sheetId="3" state="visible" r:id="rId5"/>
    <sheet name="Xero_Raw" sheetId="4" state="visible" r:id="rId6"/>
    <sheet name="Bank_Raw" sheetId="5" state="visible" r:id="rId7"/>
    <sheet name="Meta_Invoices" sheetId="6" state="visible" r:id="rId8"/>
    <sheet name="Assumptions" sheetId="7" state="visible" r:id="rId9"/>
    <sheet name="Credit_Card_Upload" sheetId="8" state="visible" r:id="rId10"/>
    <sheet name="Customer_Invoices_Upload" sheetId="9" state="visible" r:id="rId11"/>
    <sheet name="Vendor_Invoices_Upload" sheetId="10" state="visible" r:id="rId12"/>
    <sheet name="Document_Log" sheetId="11" state="visible" r:id="rId13"/>
    <sheet name="Payables" sheetId="12" state="visible" r:id="rId14"/>
    <sheet name="Revenue_Summary" sheetId="13" state="visible" r:id="rId15"/>
    <sheet name="Expense_Summary" sheetId="14" state="visible" r:id="rId16"/>
    <sheet name="Receivables" sheetId="15" state="visible" r:id="rId17"/>
    <sheet name="Stripe_Invoices_Upload" sheetId="16" state="visible" r:id="rId18"/>
    <sheet name="Expenses_Upload" sheetId="17" state="visible" r:id="rId19"/>
    <sheet name="Revenue_Upload" sheetId="18" state="visible" r:id="rId20"/>
    <sheet name="Customer_Receivables_Report" sheetId="19" state="visible" r:id="rId21"/>
    <sheet name="Trial_Balance" sheetId="20" state="visible" r:id="rId22"/>
    <sheet name="Financial_Statements_IFRS" sheetId="21" state="visible" r:id="rId23"/>
    <sheet name="Financial_Statements_GAAP" sheetId="22" state="visible" r:id="rId24"/>
    <sheet name="Customer_Master" sheetId="23" state="visible" r:id="rId25"/>
    <sheet name="Meta_Cost_Recovery" sheetId="24" state="visible" r:id="rId26"/>
    <sheet name="Subscription_Invoicing" sheetId="25" state="visible" r:id="rId2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<sst xmlns="http://schemas.openxmlformats.org/spreadsheetml/2006/main" count="2074" uniqueCount="819">
  <si>
    <t xml:space="preserve">FINANCIAL PERFORMANCE DASHBOARD</t>
  </si>
  <si>
    <t xml:space="preserve">Stripe · Xero · Meta Ads · Bank · Credit Card · Invoice Uploads (5,000-row capacity) · IFRS &amp; US GAAP  |  Period: Apr-2026 – Jun-2026 (sample data)</t>
  </si>
  <si>
    <t xml:space="preserve">TOTAL REVENUE (Blended, AED)</t>
  </si>
  <si>
    <t xml:space="preserve">TOTAL EXPENSES (AED)</t>
  </si>
  <si>
    <t xml:space="preserve">NET PROFIT (AED)</t>
  </si>
  <si>
    <t xml:space="preserve">AR OUTSTANDING (AED)</t>
  </si>
  <si>
    <t xml:space="preserve">META AD SPEND (Gross, AED)</t>
  </si>
  <si>
    <t xml:space="preserve">CASH BALANCE (latest, AED)</t>
  </si>
  <si>
    <t xml:space="preserve">AR — UAE (AED)</t>
  </si>
  <si>
    <t xml:space="preserve">AR — SINGAPORE (AED)</t>
  </si>
  <si>
    <t xml:space="preserve">CREDIT CARD SPEND (AED)</t>
  </si>
  <si>
    <t xml:space="preserve">VENDOR UPLOAD EXPENSES (AED)</t>
  </si>
  <si>
    <t xml:space="preserve">AP OUTSTANDING (AED)</t>
  </si>
  <si>
    <t xml:space="preserve">CUSTOMER INVOICE REVENUE (AED)</t>
  </si>
  <si>
    <t xml:space="preserve">NET PROFIT — IFRS (AED)</t>
  </si>
  <si>
    <t xml:space="preserve">NET INCOME — US GAAP (AED)</t>
  </si>
  <si>
    <t xml:space="preserve">TRIAL BALANCE STATUS</t>
  </si>
  <si>
    <t xml:space="preserve">STRIPE RECEIVABLES: OPEN (AED)</t>
  </si>
  <si>
    <t xml:space="preserve">META COST RECOVERY GAP (AED)</t>
  </si>
  <si>
    <t xml:space="preserve">META RECOVERY RATE</t>
  </si>
  <si>
    <t xml:space="preserve">CUSTOMERS ON FILE</t>
  </si>
  <si>
    <t xml:space="preserve">SUBSCRIPTIONS DUE THIS MONTH</t>
  </si>
  <si>
    <t xml:space="preserve">REVENUE BY CATEGORY</t>
  </si>
  <si>
    <t xml:space="preserve">MONTHLY REVENUE TREND (STRIPE + XERO)</t>
  </si>
  <si>
    <t xml:space="preserve">EXPENSE BREAKDOWN (Xero Bills)</t>
  </si>
  <si>
    <t xml:space="preserve">AR OUTSTANDING BY COUNTRY</t>
  </si>
  <si>
    <t xml:space="preserve">META AD SPEND BY CUSTOMER (Gross)</t>
  </si>
  <si>
    <t xml:space="preserve">ACCOUNTS PAYABLE BY VENDOR</t>
  </si>
  <si>
    <t xml:space="preserve">XERO RECEIVABLES BY STATUS (Total)</t>
  </si>
  <si>
    <t xml:space="preserve">STRIPE RECEIVABLES BY STATUS (Total)</t>
  </si>
  <si>
    <t xml:space="preserve">WORKBOOK GUIDE</t>
  </si>
  <si>
    <t xml:space="preserve">README_Setup</t>
  </si>
  <si>
    <t xml:space="preserve">How to connect Stripe/Xero via Power Query, or upload PDF/Word/Excel documents for Claude to extract</t>
  </si>
  <si>
    <t xml:space="preserve">Assumptions</t>
  </si>
  <si>
    <t xml:space="preserve">Edit category keywords &amp; customer→country map here — flows through whole workbook</t>
  </si>
  <si>
    <t xml:space="preserve">Customer_Master</t>
  </si>
  <si>
    <t xml:space="preserve">Customer directory — IDs across Xero/Stripe/Meta, country, plan, relationship owner</t>
  </si>
  <si>
    <t xml:space="preserve">Stripe_Raw / Xero_Raw / Bank_Raw / Meta_Invoices</t>
  </si>
  <si>
    <t xml:space="preserve">Raw data from exports/APIs — all pre-formulated for up to 5,000 rows</t>
  </si>
  <si>
    <t xml:space="preserve">Credit_Card_Upload / Customer_Invoices_Upload / Vendor_Invoices_Upload</t>
  </si>
  <si>
    <t xml:space="preserve">Upload zones for PDF/Word/Excel source documents — 5,000-row capacity</t>
  </si>
  <si>
    <t xml:space="preserve">Expenses_Upload / Revenue_Upload</t>
  </si>
  <si>
    <t xml:space="preserve">Catch-all upload zones for misc expenses and "any other services" revenue</t>
  </si>
  <si>
    <t xml:space="preserve">Stripe_Invoices_Upload</t>
  </si>
  <si>
    <t xml:space="preserve">Stripe Invoicing receivables (Draft/Open/Paid/Void/Uncollectible)</t>
  </si>
  <si>
    <t xml:space="preserve">Document_Log</t>
  </si>
  <si>
    <t xml:space="preserve">Audit trail of every source document processed</t>
  </si>
  <si>
    <t xml:space="preserve">Revenue_Summary / Expense_Summary / Receivables / Payables</t>
  </si>
  <si>
    <t xml:space="preserve">Formula-driven analysis feeding this Dashboard</t>
  </si>
  <si>
    <t xml:space="preserve">Customer_Receivables_Report</t>
  </si>
  <si>
    <t xml:space="preserve">Per-customer invoice status breakdown — Xero AND Stripe, incl. Void/Draft/Unsent</t>
  </si>
  <si>
    <t xml:space="preserve">Meta_Cost_Recovery</t>
  </si>
  <si>
    <t xml:space="preserve">Meta ad spend cost vs. amount recovered from customers via Stripe or tagged bank transfers</t>
  </si>
  <si>
    <t xml:space="preserve">Subscription_Invoicing</t>
  </si>
  <si>
    <t xml:space="preserve">Month-by-month recurring billing schedule — shows who’s due to be invoiced and who already has been</t>
  </si>
  <si>
    <t xml:space="preserve">Trial_Balance</t>
  </si>
  <si>
    <t xml:space="preserve">Unified trial balance linking every sub-ledger — Debit = Credit check included</t>
  </si>
  <si>
    <t xml:space="preserve">Financial_Statements_IFRS</t>
  </si>
  <si>
    <t xml:space="preserve">Statement of Profit or Loss, Financial Position, Cash Flows (IFRS)</t>
  </si>
  <si>
    <t xml:space="preserve">Financial_Statements_GAAP</t>
  </si>
  <si>
    <t xml:space="preserve">Income Statement, Balance Sheet, Cash Flows (US GAAP terminology/ordering)</t>
  </si>
  <si>
    <t xml:space="preserve">HOW THIS DASHBOARD IS BUILT &amp; HOW TO CONNECT LIVE DATA</t>
  </si>
  <si>
    <t xml:space="preserve">This workbook is fully formula-driven. It currently contains realistic SAMPLE data so you can see how every number is calculated. Replace the sample rows in the raw tabs with your real data (via Power Query refresh OR manual paste) and every summary, KPI card and chart on the Dashboard recalculates automatically.</t>
  </si>
  <si>
    <t xml:space="preserve">1. WHY THIS CAN’T BE A LIVE, SELF-REFRESHING FILE OUT OF THE BOX</t>
  </si>
  <si>
    <t xml:space="preserve">A standalone .xlsx file cannot hold live API credentials or run a background service — Stripe and Xero both require an authenticated API call (Stripe: secret key; Xero: OAuth2 token that expires and must be refreshed). The safe, standard way to get this data into Excel is Power Query, which runs locally on your machine using YOUR credentials — Anthropic/Claude never sees or stores your keys.</t>
  </si>
  <si>
    <t xml:space="preserve">2. CONNECTING STRIPE VIA POWER QUERY (refreshable, no add-in needed)</t>
  </si>
  <si>
    <t xml:space="preserve">•  In Excel: Data tab → Get Data → From Other Sources → Blank Query → Advanced Editor. Paste the M code below, replacing YOUR_SECRET_KEY with your Stripe secret key (Developers → API keys in the Stripe Dashboard). Use a RESTRICTED key with read-only access to Charges/Payouts.</t>
  </si>
  <si>
    <t xml:space="preserve">let</t>
  </si>
  <si>
    <t xml:space="preserve">    Source = Json.Document(Web.Contents("https://api.stripe.com/v1/charges",</t>
  </si>
  <si>
    <t xml:space="preserve">        [Headers=[Authorization="Bearer YOUR_SECRET_KEY"]])),</t>
  </si>
  <si>
    <t xml:space="preserve">    data = Source[data],</t>
  </si>
  <si>
    <t xml:space="preserve">    #"Converted to Table" = Table.FromList(data, Splitter.SplitByNothing(), null, null, ExtraValues.Error),</t>
  </si>
  <si>
    <t xml:space="preserve">    #"Expanded" = Table.ExpandRecordColumn(#"Converted to Table", "Column1",</t>
  </si>
  <si>
    <t xml:space="preserve">        {"created","amount","currency","status","description","customer"})</t>
  </si>
  <si>
    <t xml:space="preserve">in</t>
  </si>
  <si>
    <t xml:space="preserve">    #"Expanded"</t>
  </si>
  <si>
    <t xml:space="preserve">•  Load the result into the Stripe_Raw tab (Close &amp; Load To → Existing Worksheet → A4), then right-click → Refresh whenever you want updated data. For date filtering / pagination beyond 100 records, add ?limit=100&amp;starting_after=... query parameters or loop with Power Query’s List.Generate.</t>
  </si>
  <si>
    <t xml:space="preserve">3. CONNECTING XERO VIA POWER QUERY (OAuth2)</t>
  </si>
  <si>
    <t xml:space="preserve">Xero requires OAuth2 (no static API key). Steps:</t>
  </si>
  <si>
    <t xml:space="preserve">•  Register an app at developer.xero.com to get a Client ID/Secret and complete the OAuth consent flow once to obtain a refresh token.</t>
  </si>
  <si>
    <t xml:space="preserve">•  In Power Query, use Web.Contents with an Authorization: Bearer &lt;access_token&gt; header, calling https://api.xero.com/api.xro/2.0/Invoices and https://api.xero.com/api.xro/2.0/Bills — the access token expires every 30 minutes, so refresh tokens must be renewed programmatically (a small script/Power Automate flow, or a connector add-in, is the practical way to keep this running unattended).</t>
  </si>
  <si>
    <t xml:space="preserve">•  Simplest alternative: in Xero, go to Business → Invoices (or Bills) → Export to Excel/CSV, then paste the rows straight into Xero_Raw (keep the same column order). This is the recommended approach if you don’t want to manage OAuth token refresh yourself.</t>
  </si>
  <si>
    <t xml:space="preserve">4. META (FACEBOOK ADS) INVOICES — PDF WORKFLOW</t>
  </si>
  <si>
    <t xml:space="preserve">Meta invoices are PDFs, not an API feed most agencies set up for this. Recommended workflow each month:</t>
  </si>
  <si>
    <t xml:space="preserve">•  Download the PDF invoice from Meta Ads Manager → Billing.</t>
  </si>
  <si>
    <t xml:space="preserve">•  For each customer/ad-account line on the PDF, enter one row in Meta_Invoices: Amount Charged (the NET figure Meta shows after any coupon) and Discount/Coupon Applied (shown separately on the PDF). Column I auto-calculates Gross Amount = Charged + Discount.</t>
  </si>
  <si>
    <t xml:space="preserve">•  The per-customer monthly summary table (below the detail rows on Meta_Invoices) automatically totals the Gross Amount by customer and month — this is the single number to use for client re-billing or cost analysis, and it already feeds Expense_Summary and the Dashboard.</t>
  </si>
  <si>
    <t xml:space="preserve">5. BANK STATEMENT</t>
  </si>
  <si>
    <t xml:space="preserve">Export a CSV from your bank portal (Wio Bank or other) and paste into Bank_Raw, columns A–F. The Dashboard’s Cash Balance KPI reads the last value in the Balance column, so keep rows in date order.</t>
  </si>
  <si>
    <t xml:space="preserve">6. KEEPING CATEGORIES ACCURATE</t>
  </si>
  <si>
    <t xml:space="preserve">Revenue and expense categorisation (WhatsApp / Subscription / Development) is driven entirely by the keyword table on the Assumptions tab. If you introduce a new product line or an account name that doesn’t contain one of the existing keywords, add a new keyword row there (and extend the SEARCH() formula in Stripe_Raw!J and Xero_Raw!J if you add a 4th category) — you do not need to touch any summary formulas.</t>
  </si>
  <si>
    <t xml:space="preserve">7. COLOR CODING (used throughout)</t>
  </si>
  <si>
    <t xml:space="preserve">Blue text = hardcoded input (paste your real data here). Black text = formula/calculation. Green text = link pulling from another sheet. Yellow fill = a key assumption cell to review before relying on the numbers.</t>
  </si>
  <si>
    <t xml:space="preserve">8. UPLOADING BANK STATEMENTS, CREDIT CARDS, CUSTOMER &amp; VENDOR INVOICES (PDF / Word / Excel)</t>
  </si>
  <si>
    <t xml:space="preserve">Four dedicated tabs now accept your own source documents directly, without needing Xero or Stripe at all:</t>
  </si>
  <si>
    <t xml:space="preserve">•  Bank_Raw — bank statements (PDF or Excel/CSV)</t>
  </si>
  <si>
    <t xml:space="preserve">•  Credit_Card_Upload — credit card statements (PDF or Excel/CSV)</t>
  </si>
  <si>
    <t xml:space="preserve">•  Customer_Invoices_Upload — customer/AR invoices (PDF or Word)</t>
  </si>
  <si>
    <t xml:space="preserve">•  Vendor_Invoices_Upload — vendor/supplier bills (PDF or Word)</t>
  </si>
  <si>
    <t xml:space="preserve">IMPORTANT — how the extraction actually works</t>
  </si>
  <si>
    <t xml:space="preserve">A plain .xlsx file cannot parse a PDF or Word document by itself — Excel has no native formula that reads PDF/DOCX content, and Word has no Power Query connector at all. There are two reliable ways to get real data into these tabs:</t>
  </si>
  <si>
    <t xml:space="preserve">•  RECOMMENDED: Upload the actual PDF/Word/Excel file to Claude in this chat and ask Claude to extract it into the matching tab. Claude reads the document properly (tables, wrapped text, multi-page statements, even messy PDF-to-text artifacts) and pastes the rows in the exact column format each tab expects — this is the same approach used to build the Meta invoice customer-wise breakdown earlier in this workspace.</t>
  </si>
  <si>
    <t xml:space="preserve">•  SELF-SERVE ALTERNATIVE: For Excel/CSV bank or credit card exports, use Data → Get Data → From File → From Workbook/CSV in Power Query and load into the tab. For PDFs with clean, consistent tables (recent Excel/365 only), Data → Get Data → From File → From PDF can sometimes pull a table directly — but it is unreliable on multi-page or inconsistently formatted statements (page breaks, wrapped text, merged cells), which is exactly what real bank/Meta/vendor PDFs tend to have. Word documents have no Power Query connector at all, so customer/vendor invoices in .docx format need either the Claude-assisted route above or manual copy-paste.</t>
  </si>
  <si>
    <t xml:space="preserve">After the data is in</t>
  </si>
  <si>
    <t xml:space="preserve">Once rows land in Credit_Card_Upload, they roll up into Expense_Summary automatically by category (via the Assumptions keyword map). Customer_Invoices_Upload rows roll into Revenue_Summary and Receivables (aging + country split) automatically. Vendor_Invoices_Upload rows roll into Expense_Summary and the new Payables tab (AP aging by vendor) automatically. Log each processed document on the Document_Log tab for an audit trail of what has been entered, by whom, and when.</t>
  </si>
  <si>
    <t xml:space="preserve">These new tabs are ADDITIVE to Xero_Raw and Bank_Raw — if an invoice or bill is already recorded in Xero_Raw, do not also enter it in Customer_Invoices_Upload / Vendor_Invoices_Upload, or it will be double-counted.</t>
  </si>
  <si>
    <t xml:space="preserve">9. TRIAL BALANCE, IFRS &amp; US GAAP FINANCIAL STATEMENTS</t>
  </si>
  <si>
    <t xml:space="preserve">Trial_Balance links every sub-ledger in this workbook (Bank, Receivables, Payables, Revenue_Summary, Expense_Summary, Expenses_Upload, Revenue_Upload) into one Dr/Cr trial balance, with a live Debit = Credit balance check at the bottom.</t>
  </si>
  <si>
    <t xml:space="preserve">Financial_Statements_IFRS and Financial_Statements_GAAP both build off Trial_Balance — same numbers, different presentation and terminology (e.g. "Profit for the Period" vs "Net Income", "Statement of Financial Position" vs "Balance Sheet").</t>
  </si>
  <si>
    <t xml:space="preserve">IMPORTANT: "Opening Equity" on Trial_Balance is a balancing PLUG (highlighted yellow), not a real number — this sample data has no actual brought-forward trial balance. Replace it with your real opening equity once you have one, and the balance check will confirm everything still ties.</t>
  </si>
  <si>
    <t xml:space="preserve">This is a demonstration template, not a substitute for your accountant: real IFRS/GAAP financials also need a fixed asset register, lease schedule, inventory, provisions, and a proper equity roll-forward — none of which exist in this sample dataset. IFRS and US GAAP are largely converged on revenue recognition (IFRS 15 / ASC 606) but differ in areas like development-cost capitalization (IAS 38 vs ASC 350-40/985) and inventory costing (LIFO permitted under US GAAP, not IFRS) — apply your actual accounting policies for a real filing.</t>
  </si>
  <si>
    <t xml:space="preserve">10. CUSTOMER RECEIVABLES REPORT (Xero + Stripe, by status)</t>
  </si>
  <si>
    <t xml:space="preserve">Customer_Receivables_Report shows every customer’s invoices split by status, for both sources: Xero (Paid / Awaiting Payment / Overdue / Draft / Void / Unsent) and Stripe Invoicing (Paid / Open / Draft / Void / Uncollectible). Stripe_Invoices_Upload is a separate tab from Stripe_Raw — Stripe_Raw holds completed charges, Stripe_Invoices_Upload holds the Invoicing feature’s receivables lifecycle.</t>
  </si>
  <si>
    <t xml:space="preserve">Draft and Void invoices are excluded from "outstanding AR" everywhere else in the workbook (Receivables, Dashboard AR KPIs) since they are not real receivables — but they are still shown here for visibility into your full invoice pipeline.</t>
  </si>
  <si>
    <t xml:space="preserve">11. 5,000-ROW CAPACITY</t>
  </si>
  <si>
    <t xml:space="preserve">Every upload/raw tab (Stripe_Raw, Xero_Raw, Bank_Raw, Meta_Invoices, Credit_Card_Upload, Customer_Invoices_Upload, Vendor_Invoices_Upload, Stripe_Invoices_Upload, Expenses_Upload, Revenue_Upload, Customer_Master) is pre-formulated through row 5003 (5,000 data rows). Category/country lookup formulas are already sitting in every one of those rows — just paste your real data starting at row 4 and everything downstream (summaries, Dashboard, Trial Balance, financial statements) recalculates automatically. Blank rows stay blank; nothing errors out or shows noise until you fill them in.</t>
  </si>
  <si>
    <t xml:space="preserve">Column structure: the required columns for each tab (shown in the header row) are fixed, since the formulas need to know where to find dates, amounts, and descriptions. You can safely add EXTRA columns to the right of the existing ones for your own notes without breaking anything — just don’t insert new columns in between the existing ones, since that would shift the formula references. If your export has a genuinely different column layout, paste it into a blank area and ask Claude to remap it into the tab’s expected format.</t>
  </si>
  <si>
    <t xml:space="preserve">Receivables, Payables, and Customer_Receivables_Report compute their totals directly from the full 5,000-row ranges (not from a fixed sample-sized list), so aging and status totals stay accurate no matter how many rows you’ve filled in — the "detail" tables you see are illustrative samples, not the calculation source.</t>
  </si>
  <si>
    <t xml:space="preserve">12. META COST RECOVERY</t>
  </si>
  <si>
    <t xml:space="preserve">Meta_Cost_Recovery compares Meta ad spend (from Meta_Invoices) against two recovery sources: Stripe charges whose description contains "Meta" (edit the description text on your real Stripe charges to include this, or ask Claude to tag them during extraction), and bank transfers tagged to a customer in Bank_Raw column G. Add a customer name in that column on any bank row that represents a Meta cost recovery receipt.</t>
  </si>
  <si>
    <t xml:space="preserve">13. SUBSCRIPTION RECURRING INVOICING</t>
  </si>
  <si>
    <t xml:space="preserve">Subscription_Invoicing lists each subscription customer with their billing frequency and shows a 12-month grid: blank = not due yet, "⚠ Due" (amber) = should be invoiced this month but no matching Subscription invoice was found yet in Xero_Raw / Customer_Invoices_Upload / Stripe_Invoices_Upload, "✓ Invoiced" (green) = found. Add new subscription customers in the blue rows — pre-formulated through row 200.</t>
  </si>
  <si>
    <t xml:space="preserve">14. CUSTOMER MASTER</t>
  </si>
  <si>
    <t xml:space="preserve">Customer_Master is the single directory of customer identifiers (Xero contact ID, Stripe customer ID, Meta ad account ID) and metadata (country, industry, relationship owner, payment terms). It doesn’t feed formulas elsewhere automatically — the Assumptions country map is what drives country lookups — but it’s the reference sheet to keep both in sync when you add a new customer.</t>
  </si>
  <si>
    <t xml:space="preserve">STRIPE — RAW TRANSACTION EXPORT (paste your Stripe Payments export below, starting row 4)</t>
  </si>
  <si>
    <t xml:space="preserve">Source: Stripe Dashboard &gt; Payments &gt; Export, or Power Query (see README_Setup). Replace sample data below with real export — keep same column order. This tab is pre-formulated for up to 5,000 rows (through row 5003) — just paste your data starting row 4.</t>
  </si>
  <si>
    <t xml:space="preserve">Date</t>
  </si>
  <si>
    <t xml:space="preserve">Customer</t>
  </si>
  <si>
    <t xml:space="preserve">Description</t>
  </si>
  <si>
    <t xml:space="preserve">Product/Line Item</t>
  </si>
  <si>
    <t xml:space="preserve">Gross Amount (AED)</t>
  </si>
  <si>
    <t xml:space="preserve">Stripe Fee (AED)</t>
  </si>
  <si>
    <t xml:space="preserve">Net Amount (AED)</t>
  </si>
  <si>
    <t xml:space="preserve">Currency</t>
  </si>
  <si>
    <t xml:space="preserve">Status</t>
  </si>
  <si>
    <t xml:space="preserve">Category (auto)</t>
  </si>
  <si>
    <t xml:space="preserve">Almoudi Group Tabuk ST</t>
  </si>
  <si>
    <t xml:space="preserve">WhatsApp API - Monthly Usage - Almoudi</t>
  </si>
  <si>
    <t xml:space="preserve">WhatsApp API - Monthly Usage</t>
  </si>
  <si>
    <t xml:space="preserve">AED</t>
  </si>
  <si>
    <t xml:space="preserve">Paid</t>
  </si>
  <si>
    <t xml:space="preserve">Jarir Bookstore</t>
  </si>
  <si>
    <t xml:space="preserve">Development Retainer - Monthly - Jarir</t>
  </si>
  <si>
    <t xml:space="preserve">Development Retainer - Monthly</t>
  </si>
  <si>
    <t xml:space="preserve">United Homeware Company (Nice)</t>
  </si>
  <si>
    <t xml:space="preserve">Custom Development - Sprint Invoice - United</t>
  </si>
  <si>
    <t xml:space="preserve">Custom Development - Sprint Invoice</t>
  </si>
  <si>
    <t xml:space="preserve">Merck Serono Middle East FZ-Ltd</t>
  </si>
  <si>
    <t xml:space="preserve">Custom Development - Sprint Invoice - Merck</t>
  </si>
  <si>
    <t xml:space="preserve">Development Retainer - Monthly - Almoudi</t>
  </si>
  <si>
    <t xml:space="preserve">Growth X Ventures LLC</t>
  </si>
  <si>
    <t xml:space="preserve">WhatsApp API - Monthly Usage - Growth</t>
  </si>
  <si>
    <t xml:space="preserve">I Farmer Pte Ltd</t>
  </si>
  <si>
    <t xml:space="preserve">Subscription - Pro Plan - I</t>
  </si>
  <si>
    <t xml:space="preserve">Subscription - Pro Plan</t>
  </si>
  <si>
    <t xml:space="preserve">WhatsApp API - Monthly Usage - United</t>
  </si>
  <si>
    <t xml:space="preserve">Nishat Linen UAE</t>
  </si>
  <si>
    <t xml:space="preserve">Subscription - Pro Plan - Nishat</t>
  </si>
  <si>
    <t xml:space="preserve">Subscription - Enterprise Plan - United</t>
  </si>
  <si>
    <t xml:space="preserve">Subscription - Enterprise Plan</t>
  </si>
  <si>
    <t xml:space="preserve">WhatsApp Business Platform Fee - Almoudi</t>
  </si>
  <si>
    <t xml:space="preserve">WhatsApp Business Platform Fee</t>
  </si>
  <si>
    <t xml:space="preserve">WhatsApp API - Monthly Usage - Merck</t>
  </si>
  <si>
    <t xml:space="preserve">WhatsApp Business Platform Fee - I</t>
  </si>
  <si>
    <t xml:space="preserve">Faysal Bank</t>
  </si>
  <si>
    <t xml:space="preserve">Development Retainer - Monthly - Faysal</t>
  </si>
  <si>
    <t xml:space="preserve">Ticket Wala</t>
  </si>
  <si>
    <t xml:space="preserve">Development Retainer - Monthly - Ticket</t>
  </si>
  <si>
    <t xml:space="preserve">Al Fardan Exchange - Sole Proprietorship L.L.C</t>
  </si>
  <si>
    <t xml:space="preserve">WhatsApp Business Platform Fee - Al</t>
  </si>
  <si>
    <t xml:space="preserve">Subscription - Pro Plan - Faysal</t>
  </si>
  <si>
    <t xml:space="preserve">Subscription - Enterprise Plan - Almoudi</t>
  </si>
  <si>
    <t xml:space="preserve">Custom Development - Sprint Invoice - Ticket</t>
  </si>
  <si>
    <t xml:space="preserve">Subscription - Enterprise Plan - Nishat</t>
  </si>
  <si>
    <t xml:space="preserve">Refunded</t>
  </si>
  <si>
    <t xml:space="preserve">Subscription - Enterprise Plan - Ticket</t>
  </si>
  <si>
    <t xml:space="preserve">Custom Development - Sprint Invoice - Growth</t>
  </si>
  <si>
    <t xml:space="preserve">Subscription - Pro Plan - Ticket</t>
  </si>
  <si>
    <t xml:space="preserve">Misfit Technologies Pte Ltd</t>
  </si>
  <si>
    <t xml:space="preserve">WhatsApp Business Platform Fee - Misfit</t>
  </si>
  <si>
    <t xml:space="preserve">Development Retainer - Monthly - United</t>
  </si>
  <si>
    <t xml:space="preserve">WhatsApp Business Platform Fee - Merck</t>
  </si>
  <si>
    <t xml:space="preserve">WhatsApp API - Monthly Usage - Ticket</t>
  </si>
  <si>
    <t xml:space="preserve">WhatsApp Business Platform Fee - Ticket</t>
  </si>
  <si>
    <t xml:space="preserve">Subscription - Pro Plan - Jarir</t>
  </si>
  <si>
    <t xml:space="preserve">Subscription - Enterprise Plan - Growth</t>
  </si>
  <si>
    <t xml:space="preserve">Custom Development - Sprint Invoice - Al</t>
  </si>
  <si>
    <t xml:space="preserve">Meta Ad Spend Recovery - Apr-2026</t>
  </si>
  <si>
    <t xml:space="preserve">Meta Ad Spend Recovery</t>
  </si>
  <si>
    <t xml:space="preserve">Meta Ad Spend Recovery - May-2026</t>
  </si>
  <si>
    <t xml:space="preserve">Meta Ad Spend Recovery - Jun-2026</t>
  </si>
  <si>
    <t xml:space="preserve">XERO — RAW LEDGER EXPORT (Invoices + Bills, paste your Xero export below, starting row 4)</t>
  </si>
  <si>
    <t xml:space="preserve">Source: Xero &gt; Business &gt; Invoices/Bills &gt; Export, or Power Query (see README_Setup). Type = "Invoice" (AR/Sales) or "Bill" (AP/Expense). This tab is pre-formulated for up to 5,000 rows (through row 5003) — just paste your data starting row 4.</t>
  </si>
  <si>
    <t xml:space="preserve">Due Date</t>
  </si>
  <si>
    <t xml:space="preserve">Type</t>
  </si>
  <si>
    <t xml:space="preserve">Contact</t>
  </si>
  <si>
    <t xml:space="preserve">Country (auto)</t>
  </si>
  <si>
    <t xml:space="preserve">Account/Line Item</t>
  </si>
  <si>
    <t xml:space="preserve">Amount (AED)</t>
  </si>
  <si>
    <t xml:space="preserve">Invoice</t>
  </si>
  <si>
    <t xml:space="preserve">Subscription - Pro Plan - Apr-2026</t>
  </si>
  <si>
    <t xml:space="preserve">Draft</t>
  </si>
  <si>
    <t xml:space="preserve">Curahealth K.S.C.C.</t>
  </si>
  <si>
    <t xml:space="preserve">WhatsApp Business Platform Fee - Apr-2026</t>
  </si>
  <si>
    <t xml:space="preserve">Custom Development - Sprint Invoice - Apr-2026</t>
  </si>
  <si>
    <t xml:space="preserve">Void</t>
  </si>
  <si>
    <t xml:space="preserve">Subscription - Enterprise Plan - Apr-2026</t>
  </si>
  <si>
    <t xml:space="preserve">Unsent</t>
  </si>
  <si>
    <t xml:space="preserve">Development Retainer - Monthly - Apr-2026</t>
  </si>
  <si>
    <t xml:space="preserve">Bill</t>
  </si>
  <si>
    <t xml:space="preserve">Salary - General &amp; Administration</t>
  </si>
  <si>
    <t xml:space="preserve">Salary - General &amp; Administration - Apr-2026</t>
  </si>
  <si>
    <t xml:space="preserve">Travel Expense</t>
  </si>
  <si>
    <t xml:space="preserve">Travel Expense - Apr-2026</t>
  </si>
  <si>
    <t xml:space="preserve">Office Rent</t>
  </si>
  <si>
    <t xml:space="preserve">Office Rent - Apr-2026</t>
  </si>
  <si>
    <t xml:space="preserve">Trade License Fee</t>
  </si>
  <si>
    <t xml:space="preserve">Trade License Fee - Apr-2026</t>
  </si>
  <si>
    <t xml:space="preserve">WhatsApp Business Platform Fee - May-2026</t>
  </si>
  <si>
    <t xml:space="preserve">Subscription - Pro Plan - May-2026</t>
  </si>
  <si>
    <t xml:space="preserve">Awaiting Payment</t>
  </si>
  <si>
    <t xml:space="preserve">Development Retainer - Monthly - May-2026</t>
  </si>
  <si>
    <t xml:space="preserve">Custom Development - Sprint Invoice - May-2026</t>
  </si>
  <si>
    <t xml:space="preserve">Overdue</t>
  </si>
  <si>
    <t xml:space="preserve">WhatsApp API - Monthly Usage - May-2026</t>
  </si>
  <si>
    <t xml:space="preserve">Trade License Fee - May-2026</t>
  </si>
  <si>
    <t xml:space="preserve">Travel Expense - May-2026</t>
  </si>
  <si>
    <t xml:space="preserve">Office Rent - May-2026</t>
  </si>
  <si>
    <t xml:space="preserve">Consulting Fees - Development</t>
  </si>
  <si>
    <t xml:space="preserve">Consulting Fees - Development - May-2026</t>
  </si>
  <si>
    <t xml:space="preserve">WhatsApp API - Monthly Usage - Jun-2026</t>
  </si>
  <si>
    <t xml:space="preserve">Development Retainer - Monthly - Jun-2026</t>
  </si>
  <si>
    <t xml:space="preserve">Custom Development - Sprint Invoice - Jun-2026</t>
  </si>
  <si>
    <t xml:space="preserve">Subscription - Pro Plan - Jun-2026</t>
  </si>
  <si>
    <t xml:space="preserve">Travel Expense - Jun-2026</t>
  </si>
  <si>
    <t xml:space="preserve">Salary - General &amp; Administration - Jun-2026</t>
  </si>
  <si>
    <t xml:space="preserve">SaaS &amp; Software Subscriptions</t>
  </si>
  <si>
    <t xml:space="preserve">SaaS &amp; Software Subscriptions - Jun-2026</t>
  </si>
  <si>
    <t xml:space="preserve">Office Rent - Jun-2026</t>
  </si>
  <si>
    <t xml:space="preserve">BANK STATEMENT — RAW EXPORT (paste your bank statement CSV/PDF-extracted lines below, starting row 4)</t>
  </si>
  <si>
    <t xml:space="preserve">Source: Wio Bank / bank portal statement export. Used for cash position reconciliation on Dashboard. This tab is pre-sized for up to 5,000 rows (through row 5003).</t>
  </si>
  <si>
    <t xml:space="preserve">Account</t>
  </si>
  <si>
    <t xml:space="preserve">Money In (AED)</t>
  </si>
  <si>
    <t xml:space="preserve">Money Out (AED)</t>
  </si>
  <si>
    <t xml:space="preserve">Balance (AED)</t>
  </si>
  <si>
    <t xml:space="preserve">Customer (if applicable — tag receipts that recover Meta ad spend)</t>
  </si>
  <si>
    <t xml:space="preserve">Wio Bank PJSC - 650 (USD)</t>
  </si>
  <si>
    <t xml:space="preserve">Salary run</t>
  </si>
  <si>
    <t xml:space="preserve">Wio Bank PJSC - 451 (AED)</t>
  </si>
  <si>
    <t xml:space="preserve">Customer receipt - Meta ad spend recovery</t>
  </si>
  <si>
    <t xml:space="preserve">SaaS subscription</t>
  </si>
  <si>
    <t xml:space="preserve">Meta Ads payment</t>
  </si>
  <si>
    <t xml:space="preserve">Customer receipt</t>
  </si>
  <si>
    <t xml:space="preserve">Office rent</t>
  </si>
  <si>
    <t xml:space="preserve">Supplier payment</t>
  </si>
  <si>
    <t xml:space="preserve">META (FACEBOOK/INSTAGRAM ADS) — MONTHLY INVOICE DETAIL, RE-CHARGED TO CUSTOMERS</t>
  </si>
  <si>
    <t xml:space="preserve">Each Meta PDF invoice bundles multiple customer ad accounts. Enter one row per customer/campaign line as shown on the PDF. Meta shows "Amount Charged" NET of any coupon/discount applied — Gross Amount below ADDS the discount back, so the single Gross figure reflects the true ad spend value delivered per customer before any Meta promo credit. This tab is pre-sized for up to 5,000 rows (through row 5003).</t>
  </si>
  <si>
    <t xml:space="preserve">Invoice Date</t>
  </si>
  <si>
    <t xml:space="preserve">Invoice No.</t>
  </si>
  <si>
    <t xml:space="preserve">Month</t>
  </si>
  <si>
    <t xml:space="preserve">Ad Account ID</t>
  </si>
  <si>
    <t xml:space="preserve">Campaign</t>
  </si>
  <si>
    <t xml:space="preserve">Amount Charged (Net, AED)</t>
  </si>
  <si>
    <t xml:space="preserve">Discount / Coupon Applied (AED)</t>
  </si>
  <si>
    <t xml:space="preserve">Gross Amount (Charged+Discount) (AED)</t>
  </si>
  <si>
    <t xml:space="preserve">Notes</t>
  </si>
  <si>
    <t xml:space="preserve">META-100231</t>
  </si>
  <si>
    <t xml:space="preserve">act_961168</t>
  </si>
  <si>
    <t xml:space="preserve">Prospecting - Reach</t>
  </si>
  <si>
    <t xml:space="preserve">Coupon applied</t>
  </si>
  <si>
    <t xml:space="preserve">act_139317</t>
  </si>
  <si>
    <t xml:space="preserve">act_161981</t>
  </si>
  <si>
    <t xml:space="preserve">act_711316</t>
  </si>
  <si>
    <t xml:space="preserve">act_239643</t>
  </si>
  <si>
    <t xml:space="preserve">Brand Awareness</t>
  </si>
  <si>
    <t xml:space="preserve">act_687472</t>
  </si>
  <si>
    <t xml:space="preserve">Retargeting - Conversions</t>
  </si>
  <si>
    <t xml:space="preserve">act_490487</t>
  </si>
  <si>
    <t xml:space="preserve">act_620528</t>
  </si>
  <si>
    <t xml:space="preserve">Lead Gen - Lookalike</t>
  </si>
  <si>
    <t xml:space="preserve">act_479146</t>
  </si>
  <si>
    <t xml:space="preserve">act_185831</t>
  </si>
  <si>
    <t xml:space="preserve">META-100232</t>
  </si>
  <si>
    <t xml:space="preserve">act_401924</t>
  </si>
  <si>
    <t xml:space="preserve">act_259367</t>
  </si>
  <si>
    <t xml:space="preserve">act_901710</t>
  </si>
  <si>
    <t xml:space="preserve">act_935601</t>
  </si>
  <si>
    <t xml:space="preserve">act_597128</t>
  </si>
  <si>
    <t xml:space="preserve">act_814328</t>
  </si>
  <si>
    <t xml:space="preserve">act_463861</t>
  </si>
  <si>
    <t xml:space="preserve">act_617674</t>
  </si>
  <si>
    <t xml:space="preserve">act_509940</t>
  </si>
  <si>
    <t xml:space="preserve">META-100233</t>
  </si>
  <si>
    <t xml:space="preserve">act_243577</t>
  </si>
  <si>
    <t xml:space="preserve">act_815887</t>
  </si>
  <si>
    <t xml:space="preserve">act_343224</t>
  </si>
  <si>
    <t xml:space="preserve">act_375509</t>
  </si>
  <si>
    <t xml:space="preserve">act_434088</t>
  </si>
  <si>
    <t xml:space="preserve">act_813634</t>
  </si>
  <si>
    <t xml:space="preserve">act_165271</t>
  </si>
  <si>
    <t xml:space="preserve">act_456572</t>
  </si>
  <si>
    <t xml:space="preserve">PER-CUSTOMER MONTHLY SUMMARY — SINGLE GROSS AMOUNT (DISCOUNT ADDED BACK)</t>
  </si>
  <si>
    <t xml:space="preserve">Total Amount Charged (Net, AED)</t>
  </si>
  <si>
    <t xml:space="preserve">Total Discount Added Back (AED)</t>
  </si>
  <si>
    <t xml:space="preserve">Single Gross Amount (AED)</t>
  </si>
  <si>
    <t xml:space="preserve">Apr-2026</t>
  </si>
  <si>
    <t xml:space="preserve">May-2026</t>
  </si>
  <si>
    <t xml:space="preserve">Jun-2026</t>
  </si>
  <si>
    <t xml:space="preserve">ASSUMPTIONS &amp; MAPPING TABLES — EDIT THESE (BLUE) TO RECLASSIFY DATA ACROSS THE WHOLE DASHBOARD</t>
  </si>
  <si>
    <t xml:space="preserve">REVENUE CATEGORY KEYWORD MAP</t>
  </si>
  <si>
    <t xml:space="preserve">CUSTOMER → COUNTRY MAP  (drives UAE / Singapore / Other split on Receivables tab)</t>
  </si>
  <si>
    <t xml:space="preserve">#</t>
  </si>
  <si>
    <t xml:space="preserve">Keyword (searched in Description, not case-sensitive)</t>
  </si>
  <si>
    <t xml:space="preserve">Maps to Category</t>
  </si>
  <si>
    <t xml:space="preserve">Customer / Contact Name</t>
  </si>
  <si>
    <t xml:space="preserve">Country</t>
  </si>
  <si>
    <t xml:space="preserve">whatsapp</t>
  </si>
  <si>
    <t xml:space="preserve">WhatsApp</t>
  </si>
  <si>
    <t xml:space="preserve">UAE</t>
  </si>
  <si>
    <t xml:space="preserve">subscription</t>
  </si>
  <si>
    <t xml:space="preserve">Subscription</t>
  </si>
  <si>
    <t xml:space="preserve">development</t>
  </si>
  <si>
    <t xml:space="preserve">Development</t>
  </si>
  <si>
    <t xml:space="preserve">Saudi Arabia</t>
  </si>
  <si>
    <t xml:space="preserve">Note: rows 5-7 are referenced directly by formulas in Stripe_Raw!J and Xero_Raw!J. To add a 4th category, extend the formula in those sheets.</t>
  </si>
  <si>
    <t xml:space="preserve">Singapore</t>
  </si>
  <si>
    <t xml:space="preserve">Kuwait</t>
  </si>
  <si>
    <t xml:space="preserve">Pakistan</t>
  </si>
  <si>
    <t xml:space="preserve">Add new rows here as new customers/contacts appear in Xero — VLOOKUP range is $G$5:$H$16, extend if needed.</t>
  </si>
  <si>
    <t xml:space="preserve">COLOR LEGEND</t>
  </si>
  <si>
    <t xml:space="preserve">Blue text</t>
  </si>
  <si>
    <t xml:space="preserve">Hardcoded input — raw data pasted from Stripe/Xero/bank/Meta exports, or editable assumptions</t>
  </si>
  <si>
    <t xml:space="preserve">Black text</t>
  </si>
  <si>
    <t xml:space="preserve">Formula / calculation</t>
  </si>
  <si>
    <t xml:space="preserve">Green text</t>
  </si>
  <si>
    <t xml:space="preserve">Link pulling from another sheet in this workbook</t>
  </si>
  <si>
    <t xml:space="preserve">Yellow fill</t>
  </si>
  <si>
    <t xml:space="preserve">Key assumption cell — review/update before relying on outputs</t>
  </si>
  <si>
    <t xml:space="preserve">GENERAL ASSUMPTIONS</t>
  </si>
  <si>
    <t xml:space="preserve">Reporting Currency</t>
  </si>
  <si>
    <t xml:space="preserve">AR Aging Buckets (days)</t>
  </si>
  <si>
    <t xml:space="preserve">0-30 / 31-60 / 61-90 / 90+</t>
  </si>
  <si>
    <t xml:space="preserve">Dashboard Period</t>
  </si>
  <si>
    <t xml:space="preserve">Apr-2026 to Jun-2026 (sample data)</t>
  </si>
  <si>
    <t xml:space="preserve">CREDIT CARD STATEMENTS — UPLOAD ZONE</t>
  </si>
  <si>
    <t xml:space="preserve">HOW TO USE: 1) Upload your credit card statement (PDF or Excel/CSV) in the chat to Claude and ask it to extract the transactions into this tab — Claude will read the statement and paste the rows below in this exact format. 2) Or paste your own exported transactions manually, keeping the same columns. Category is auto-classified from the Assumptions keyword map; anything unmatched shows "Other Services" — add keywords in Assumptions if needed. This tab is pre-formulated for up to 5,000 rows (through row 5003) — just paste your data starting row 4.</t>
  </si>
  <si>
    <t xml:space="preserve">Source File</t>
  </si>
  <si>
    <t xml:space="preserve">Statement Period</t>
  </si>
  <si>
    <t xml:space="preserve">Transaction Date</t>
  </si>
  <si>
    <t xml:space="preserve">Card / Last 4 Digits</t>
  </si>
  <si>
    <t xml:space="preserve">Merchant / Description</t>
  </si>
  <si>
    <t xml:space="preserve">CC_Statement_Apr2026.pdf</t>
  </si>
  <si>
    <t xml:space="preserve">Visa ***4821</t>
  </si>
  <si>
    <t xml:space="preserve">Meta Platforms - Ad Spend Top-up</t>
  </si>
  <si>
    <t xml:space="preserve">AWS Cloud Hosting</t>
  </si>
  <si>
    <t xml:space="preserve">Office Supplies - Depot</t>
  </si>
  <si>
    <t xml:space="preserve">Google Workspace Subscription</t>
  </si>
  <si>
    <t xml:space="preserve">Careem - Business Travel</t>
  </si>
  <si>
    <t xml:space="preserve">Zoom Subscription</t>
  </si>
  <si>
    <t xml:space="preserve">CC_Statement_May2026.pdf</t>
  </si>
  <si>
    <t xml:space="preserve">WhatsApp Business API - Twilio</t>
  </si>
  <si>
    <t xml:space="preserve">Freelancer.com - Development Contractor</t>
  </si>
  <si>
    <t xml:space="preserve">CC_Statement_Jun2026.pdf</t>
  </si>
  <si>
    <t xml:space="preserve">CUSTOMER INVOICES (AR) — UPLOAD ZONE</t>
  </si>
  <si>
    <t xml:space="preserve">HOW TO USE: Upload customer invoice files (PDF or Word) in the chat and ask Claude to extract them into this tab — one row per invoice. Or paste manually if you already have the data. Country is auto-looked-up from the Assumptions customer→country map (add new customers there if missing). These rows flow into Revenue_Summary and Receivables alongside any Xero invoices, so they are additive, not a duplicate — do not also enter the same invoice in Xero_Raw. This tab is pre-formulated for up to 5,000 rows (through row 5003) — just paste your data starting row 4.</t>
  </si>
  <si>
    <t xml:space="preserve">Description / Line Item</t>
  </si>
  <si>
    <t xml:space="preserve">CustInvoice_5002.pdf</t>
  </si>
  <si>
    <t xml:space="preserve">INV-5002</t>
  </si>
  <si>
    <t xml:space="preserve">WhatsApp API - Monthly Usage - Apr-2026</t>
  </si>
  <si>
    <t xml:space="preserve">CustInvoice_5003.pdf</t>
  </si>
  <si>
    <t xml:space="preserve">INV-5003</t>
  </si>
  <si>
    <t xml:space="preserve">CustInvoice_5004.pdf</t>
  </si>
  <si>
    <t xml:space="preserve">INV-5004</t>
  </si>
  <si>
    <t xml:space="preserve">CustInvoice_5005.pdf</t>
  </si>
  <si>
    <t xml:space="preserve">INV-5005</t>
  </si>
  <si>
    <t xml:space="preserve">CustInvoice_5006.pdf</t>
  </si>
  <si>
    <t xml:space="preserve">INV-5006</t>
  </si>
  <si>
    <t xml:space="preserve">CustInvoice_5007.pdf</t>
  </si>
  <si>
    <t xml:space="preserve">INV-5007</t>
  </si>
  <si>
    <t xml:space="preserve">CustInvoice_5008.pdf</t>
  </si>
  <si>
    <t xml:space="preserve">INV-5008</t>
  </si>
  <si>
    <t xml:space="preserve">CustInvoice_5009.pdf</t>
  </si>
  <si>
    <t xml:space="preserve">INV-5009</t>
  </si>
  <si>
    <t xml:space="preserve">CustInvoice_5010.pdf</t>
  </si>
  <si>
    <t xml:space="preserve">INV-5010</t>
  </si>
  <si>
    <t xml:space="preserve">CustInvoice_5011.pdf</t>
  </si>
  <si>
    <t xml:space="preserve">INV-5011</t>
  </si>
  <si>
    <t xml:space="preserve">CustInvoice_5012.pdf</t>
  </si>
  <si>
    <t xml:space="preserve">INV-5012</t>
  </si>
  <si>
    <t xml:space="preserve">CustInvoice_5013.pdf</t>
  </si>
  <si>
    <t xml:space="preserve">INV-5013</t>
  </si>
  <si>
    <t xml:space="preserve">CustInvoice_5014.pdf</t>
  </si>
  <si>
    <t xml:space="preserve">INV-5014</t>
  </si>
  <si>
    <t xml:space="preserve">CustInvoice_5015.pdf</t>
  </si>
  <si>
    <t xml:space="preserve">INV-5015</t>
  </si>
  <si>
    <t xml:space="preserve">CustInvoice_5016.pdf</t>
  </si>
  <si>
    <t xml:space="preserve">INV-5016</t>
  </si>
  <si>
    <t xml:space="preserve">VENDOR / SUPPLIER INVOICES (AP) — UPLOAD ZONE</t>
  </si>
  <si>
    <t xml:space="preserve">HOW TO USE: Upload vendor bill files (PDF or Word) in the chat and ask Claude to extract them into this tab — one row per bill. Or paste manually. These rows flow into Expense_Summary and the Payables tab alongside any Xero bills, so they are additive — do not also enter the same bill in Xero_Raw. This tab is pre-formulated for up to 5,000 rows (through row 5003) — just paste your data starting row 4.</t>
  </si>
  <si>
    <t xml:space="preserve">Vendor</t>
  </si>
  <si>
    <t xml:space="preserve">VendorBill_9002.pdf</t>
  </si>
  <si>
    <t xml:space="preserve">BILL-9002</t>
  </si>
  <si>
    <t xml:space="preserve">Emirates Trade License Authority</t>
  </si>
  <si>
    <t xml:space="preserve">Emirates Trade License Authority - Apr-2026</t>
  </si>
  <si>
    <t xml:space="preserve">VendorBill_9003.pdf</t>
  </si>
  <si>
    <t xml:space="preserve">BILL-9003</t>
  </si>
  <si>
    <t xml:space="preserve">Twilio Inc (WhatsApp API)</t>
  </si>
  <si>
    <t xml:space="preserve">Twilio Inc (WhatsApp API) - Apr-2026</t>
  </si>
  <si>
    <t xml:space="preserve">VendorBill_9004.pdf</t>
  </si>
  <si>
    <t xml:space="preserve">BILL-9004</t>
  </si>
  <si>
    <t xml:space="preserve">VendorBill_9005.pdf</t>
  </si>
  <si>
    <t xml:space="preserve">BILL-9005</t>
  </si>
  <si>
    <t xml:space="preserve">VendorBill_9006.pdf</t>
  </si>
  <si>
    <t xml:space="preserve">BILL-9006</t>
  </si>
  <si>
    <t xml:space="preserve">Freelance Dev Studio FZE</t>
  </si>
  <si>
    <t xml:space="preserve">Freelance Dev Studio FZE - May-2026</t>
  </si>
  <si>
    <t xml:space="preserve">VendorBill_9007.pdf</t>
  </si>
  <si>
    <t xml:space="preserve">BILL-9007</t>
  </si>
  <si>
    <t xml:space="preserve">WPP Cloud Hosting LLC</t>
  </si>
  <si>
    <t xml:space="preserve">WPP Cloud Hosting LLC - May-2026</t>
  </si>
  <si>
    <t xml:space="preserve">VendorBill_9008.pdf</t>
  </si>
  <si>
    <t xml:space="preserve">BILL-9008</t>
  </si>
  <si>
    <t xml:space="preserve">VendorBill_9009.pdf</t>
  </si>
  <si>
    <t xml:space="preserve">BILL-9009</t>
  </si>
  <si>
    <t xml:space="preserve">VendorBill_9010.pdf</t>
  </si>
  <si>
    <t xml:space="preserve">BILL-9010</t>
  </si>
  <si>
    <t xml:space="preserve">Emirates Trade License Authority - Jun-2026</t>
  </si>
  <si>
    <t xml:space="preserve">VendorBill_9011.pdf</t>
  </si>
  <si>
    <t xml:space="preserve">BILL-9011</t>
  </si>
  <si>
    <t xml:space="preserve">Twilio Inc (WhatsApp API) - Jun-2026</t>
  </si>
  <si>
    <t xml:space="preserve">VendorBill_9012.pdf</t>
  </si>
  <si>
    <t xml:space="preserve">BILL-9012</t>
  </si>
  <si>
    <t xml:space="preserve">WPP Cloud Hosting LLC - Jun-2026</t>
  </si>
  <si>
    <t xml:space="preserve">VendorBill_9013.pdf</t>
  </si>
  <si>
    <t xml:space="preserve">BILL-9013</t>
  </si>
  <si>
    <t xml:space="preserve">SOURCE DOCUMENT LOG — AUDIT TRAIL</t>
  </si>
  <si>
    <t xml:space="preserve">Every time a bank statement, credit card statement, customer invoice, or vendor invoice is uploaded and extracted, log it here. This gives a clear audit trail of what has been processed, by whom, and where the extracted rows landed — useful for reconciliation and audit sign-off.</t>
  </si>
  <si>
    <t xml:space="preserve">Date Logged</t>
  </si>
  <si>
    <t xml:space="preserve">Source File Name</t>
  </si>
  <si>
    <t xml:space="preserve">Document Type</t>
  </si>
  <si>
    <t xml:space="preserve">Period Covered</t>
  </si>
  <si>
    <t xml:space="preserve">Rows Extracted</t>
  </si>
  <si>
    <t xml:space="preserve">Extracted Into Tab</t>
  </si>
  <si>
    <t xml:space="preserve">Extracted By</t>
  </si>
  <si>
    <t xml:space="preserve">Status / Notes</t>
  </si>
  <si>
    <t xml:space="preserve">BankStatement_Apr2026.pdf</t>
  </si>
  <si>
    <t xml:space="preserve">Bank Statement</t>
  </si>
  <si>
    <t xml:space="preserve">Bank_Raw</t>
  </si>
  <si>
    <t xml:space="preserve">Claude (AI-assisted)</t>
  </si>
  <si>
    <t xml:space="preserve">Sample — replace with real log entries</t>
  </si>
  <si>
    <t xml:space="preserve">CC_StatementApr2026.pdf</t>
  </si>
  <si>
    <t xml:space="preserve">Credit Card</t>
  </si>
  <si>
    <t xml:space="preserve">Credit_Card_Upload</t>
  </si>
  <si>
    <t xml:space="preserve">Sample</t>
  </si>
  <si>
    <t xml:space="preserve">Customer Invoice</t>
  </si>
  <si>
    <t xml:space="preserve">Customer_Invoices_Upload</t>
  </si>
  <si>
    <t xml:space="preserve">Vendor Invoice</t>
  </si>
  <si>
    <t xml:space="preserve">Vendor_Invoices_Upload</t>
  </si>
  <si>
    <t xml:space="preserve">ACCOUNTS PAYABLE — AGING BY VENDOR (Vendor Invoice Uploads + Xero Bills)</t>
  </si>
  <si>
    <t xml:space="preserve">Outstanding = Vendor_Invoices_Upload rows with Status ≠ Paid, plus Xero_Raw Bills with Status ≠ Paid. As-of date drives aging buckets.</t>
  </si>
  <si>
    <t xml:space="preserve">As-of Date:</t>
  </si>
  <si>
    <t xml:space="preserve">OUTSTANDING VENDOR INVOICE DETAIL — Vendor_Invoices_Upload  (Illustrative sample rows shown — summary totals below reflect the full uploaded range, up to 5,000 rows.)</t>
  </si>
  <si>
    <t xml:space="preserve">Days Overdue</t>
  </si>
  <si>
    <t xml:space="preserve">Aging Bucket</t>
  </si>
  <si>
    <t xml:space="preserve">OUTSTANDING XERO BILLS DETAIL — Xero_Raw  (Illustrative sample rows shown — summary totals reflect the full uploaded range.)</t>
  </si>
  <si>
    <t xml:space="preserve">PAYABLES SUMMARY BY VENDOR (0-30 / 31-60 / 61-90 / 90+)</t>
  </si>
  <si>
    <t xml:space="preserve">0-30 days</t>
  </si>
  <si>
    <t xml:space="preserve">31-60 days</t>
  </si>
  <si>
    <t xml:space="preserve">61-90 days</t>
  </si>
  <si>
    <t xml:space="preserve">90+ days</t>
  </si>
  <si>
    <t xml:space="preserve">Total Outstanding</t>
  </si>
  <si>
    <t xml:space="preserve">Al Manara Office Supplies</t>
  </si>
  <si>
    <t xml:space="preserve">Total AP Outstanding</t>
  </si>
  <si>
    <t xml:space="preserve">REVENUE ANALYSIS — BY CATEGORY, BY MONTH  (Stripe + Xero + Customer Invoice Uploads)</t>
  </si>
  <si>
    <t xml:space="preserve">Categories sourced from Assumptions keyword map. All figures link live via SUMIFS — replace raw data and this table updates automatically.</t>
  </si>
  <si>
    <t xml:space="preserve">STRIPE COLLECTIONS (Gross Amount, AED) — by Category</t>
  </si>
  <si>
    <t xml:space="preserve">Category</t>
  </si>
  <si>
    <t xml:space="preserve">Total</t>
  </si>
  <si>
    <t xml:space="preserve">Other Services</t>
  </si>
  <si>
    <t xml:space="preserve">Total Stripe Revenue</t>
  </si>
  <si>
    <t xml:space="preserve">XERO INVOICED SALES (Amount, AED) — by Category  [all invoice statuses]</t>
  </si>
  <si>
    <t xml:space="preserve">Total Xero Invoiced Sales</t>
  </si>
  <si>
    <t xml:space="preserve">CUSTOMER INVOICE UPLOADS (Amount, AED) — by Category  [all statuses]</t>
  </si>
  <si>
    <t xml:space="preserve">Total Customer Invoice Uploads</t>
  </si>
  <si>
    <t xml:space="preserve">BLENDED TOTAL REVENUE BY CATEGORY (Stripe + Xero + Customer Invoice Uploads)</t>
  </si>
  <si>
    <t xml:space="preserve">Total Revenue (AED)</t>
  </si>
  <si>
    <t xml:space="preserve">% of Total</t>
  </si>
  <si>
    <t xml:space="preserve">Grand Total</t>
  </si>
  <si>
    <t xml:space="preserve">EXPENSE ANALYSIS — XERO BILLS + META AD SPEND + CREDIT CARD + VENDOR INVOICE UPLOADS</t>
  </si>
  <si>
    <t xml:space="preserve">Meta uses Gross Amount (discount added back). Credit Card and Vendor Invoice Uploads are additive sources — do not double-enter the same expense in Xero_Raw. All figures link live via SUMIFS.</t>
  </si>
  <si>
    <t xml:space="preserve">XERO BILLS (Operating Expenses, AED) — by Account</t>
  </si>
  <si>
    <t xml:space="preserve">Expense Account</t>
  </si>
  <si>
    <t xml:space="preserve">Total Xero Bills</t>
  </si>
  <si>
    <t xml:space="preserve">META AD SPEND (Gross AED, discount added back) — by Customer</t>
  </si>
  <si>
    <t xml:space="preserve">Total Meta Ad Spend</t>
  </si>
  <si>
    <t xml:space="preserve">CREDIT CARD SPEND (AED) — by Category</t>
  </si>
  <si>
    <t xml:space="preserve">Total Credit Card Spend</t>
  </si>
  <si>
    <t xml:space="preserve">VENDOR INVOICE UPLOADS (AED) — by Category</t>
  </si>
  <si>
    <t xml:space="preserve">Total Vendor Invoice Uploads</t>
  </si>
  <si>
    <t xml:space="preserve">TOTAL OPERATING EXPENSES (Xero + Meta + Credit Card + Vendor Uploads)</t>
  </si>
  <si>
    <t xml:space="preserve">ACCOUNTS RECEIVABLE — AGING BY CUSTOMER &amp; COUNTRY (Xero Invoices + Customer Invoice Uploads)</t>
  </si>
  <si>
    <t xml:space="preserve">Outstanding = unpaid invoices from Xero_Raw AND Customer_Invoices_Upload (additive — do not double-enter the same invoice in both). Country from Assumptions map.</t>
  </si>
  <si>
    <t xml:space="preserve">OUTSTANDING INVOICE DETAIL — XERO_RAW  (Illustrative sample rows shown — the summary totals below are computed independently across the FULL uploaded range (up to 5,000 rows), not just what is visible here.)</t>
  </si>
  <si>
    <t xml:space="preserve">OUTSTANDING INVOICE DETAIL — CUSTOMER_INVOICES_UPLOAD  (Illustrative sample rows shown — summary totals reflect the full uploaded range.)</t>
  </si>
  <si>
    <t xml:space="preserve">RECEIVABLES SUMMARY BY COUNTRY</t>
  </si>
  <si>
    <t xml:space="preserve">Other</t>
  </si>
  <si>
    <t xml:space="preserve">Total AR Outstanding</t>
  </si>
  <si>
    <t xml:space="preserve">RECEIVABLES SUMMARY BY CUSTOMER</t>
  </si>
  <si>
    <t xml:space="preserve">Total Outstanding (AED)</t>
  </si>
  <si>
    <t xml:space="preserve">STRIPE INVOICES (RECEIVABLES) — separate from Stripe_Raw charges</t>
  </si>
  <si>
    <t xml:space="preserve">Stripe_Raw captures completed CHARGES/payments. This tab captures Stripe’s INVOICING feature (Billing &gt; Invoices), which has its own status lifecycle: Draft (not sent), Open (sent, awaiting payment), Paid, Void (cancelled), Uncollectible (written off). Export from Stripe Dashboard &gt; Invoices, or ask Claude to extract from an uploaded export. Feeds the Customer_Receivables_Report tab.</t>
  </si>
  <si>
    <t xml:space="preserve">in_8002</t>
  </si>
  <si>
    <t xml:space="preserve">in_8003</t>
  </si>
  <si>
    <t xml:space="preserve">in_8004</t>
  </si>
  <si>
    <t xml:space="preserve">in_8005</t>
  </si>
  <si>
    <t xml:space="preserve">Open</t>
  </si>
  <si>
    <t xml:space="preserve">in_8006</t>
  </si>
  <si>
    <t xml:space="preserve">in_8007</t>
  </si>
  <si>
    <t xml:space="preserve">in_8008</t>
  </si>
  <si>
    <t xml:space="preserve">in_8009</t>
  </si>
  <si>
    <t xml:space="preserve">in_8010</t>
  </si>
  <si>
    <t xml:space="preserve">Uncollectible</t>
  </si>
  <si>
    <t xml:space="preserve">in_8011</t>
  </si>
  <si>
    <t xml:space="preserve">in_8012</t>
  </si>
  <si>
    <t xml:space="preserve">in_8013</t>
  </si>
  <si>
    <t xml:space="preserve">in_8014</t>
  </si>
  <si>
    <t xml:space="preserve">in_8015</t>
  </si>
  <si>
    <t xml:space="preserve">in_8016</t>
  </si>
  <si>
    <t xml:space="preserve">in_8017</t>
  </si>
  <si>
    <t xml:space="preserve">in_8018</t>
  </si>
  <si>
    <t xml:space="preserve">in_8019</t>
  </si>
  <si>
    <t xml:space="preserve">GENERAL EXPENSES — UPLOAD ZONE (misc / cash / journal entries)</t>
  </si>
  <si>
    <t xml:space="preserve">For expenses that are not a vendor invoice and not a credit card transaction — e.g. petty cash, bank fees, manual journal entries. Upload a receipt or statement in chat and ask Claude to extract it here, or paste manually. Feeds Expense_Summary and Trial_Balance. This tab is pre-formulated for up to 5,000 rows (through row 5003) — just paste your data starting row 4.</t>
  </si>
  <si>
    <t xml:space="preserve">Paid Via</t>
  </si>
  <si>
    <t xml:space="preserve">Receipt_20260404_0.pdf</t>
  </si>
  <si>
    <t xml:space="preserve">WhatsApp API overage - manual top-up</t>
  </si>
  <si>
    <t xml:space="preserve">Petty Cash</t>
  </si>
  <si>
    <t xml:space="preserve">Receipt_20260407_1.pdf</t>
  </si>
  <si>
    <t xml:space="preserve">Bank transfer fee</t>
  </si>
  <si>
    <t xml:space="preserve">Cash</t>
  </si>
  <si>
    <t xml:space="preserve">Receipt_20260416_2.pdf</t>
  </si>
  <si>
    <t xml:space="preserve">Petty cash - office snacks</t>
  </si>
  <si>
    <t xml:space="preserve">Receipt_20260509_0.pdf</t>
  </si>
  <si>
    <t xml:space="preserve">Annual software subscription - manual invoice</t>
  </si>
  <si>
    <t xml:space="preserve">Receipt_20260521_1.pdf</t>
  </si>
  <si>
    <t xml:space="preserve">Freelance dev - cash payment</t>
  </si>
  <si>
    <t xml:space="preserve">Receipt_20260505_2.pdf</t>
  </si>
  <si>
    <t xml:space="preserve">Receipt_20260627_0.pdf</t>
  </si>
  <si>
    <t xml:space="preserve">Bank Transfer</t>
  </si>
  <si>
    <t xml:space="preserve">Receipt_20260625_1.pdf</t>
  </si>
  <si>
    <t xml:space="preserve">Receipt_20260608_2.pdf</t>
  </si>
  <si>
    <t xml:space="preserve">GENERAL REVENUE — UPLOAD ZONE (any other services, one-off income)</t>
  </si>
  <si>
    <t xml:space="preserve">For revenue not captured by Stripe or Xero or the Customer Invoice uploads — e.g. one-off consulting income, training workshops, referral fees, or any other service line. Upload a receipt/remittance in chat and ask Claude to extract it here, or paste manually. Category defaults to "Other Services" unless it matches an existing keyword (WhatsApp / Subscription / Development) in Assumptions — add new keywords there to reclassify. This tab is pre-formulated for up to 5,000 rows (through row 5003) — just paste your data starting row 4.</t>
  </si>
  <si>
    <t xml:space="preserve">Remittance_20260406_0.pdf</t>
  </si>
  <si>
    <t xml:space="preserve">API Integration Support - One-off - Apr-2026</t>
  </si>
  <si>
    <t xml:space="preserve">Remittance_20260419_1.pdf</t>
  </si>
  <si>
    <t xml:space="preserve">Training Workshop - WhatsApp Onboarding - Apr-2026</t>
  </si>
  <si>
    <t xml:space="preserve">Remittance_20260426_2.pdf</t>
  </si>
  <si>
    <t xml:space="preserve">Referral Fee - Partner Program - Apr-2026</t>
  </si>
  <si>
    <t xml:space="preserve">Remittance_20260518_0.pdf</t>
  </si>
  <si>
    <t xml:space="preserve">Referral Fee - Partner Program - May-2026</t>
  </si>
  <si>
    <t xml:space="preserve">Remittance_20260517_1.pdf</t>
  </si>
  <si>
    <t xml:space="preserve">Remittance_20260523_2.pdf</t>
  </si>
  <si>
    <t xml:space="preserve">Consulting - Strategy Session - May-2026</t>
  </si>
  <si>
    <t xml:space="preserve">Remittance_20260612_0.pdf</t>
  </si>
  <si>
    <t xml:space="preserve">Referral Fee - Partner Program - Jun-2026</t>
  </si>
  <si>
    <t xml:space="preserve">Remittance_20260610_1.pdf</t>
  </si>
  <si>
    <t xml:space="preserve">Remittance_20260622_2.pdf</t>
  </si>
  <si>
    <t xml:space="preserve">Training Workshop - WhatsApp Onboarding - Jun-2026</t>
  </si>
  <si>
    <t xml:space="preserve">CUSTOMER RECEIVABLES REPORT — XERO &amp; STRIPE, BY INVOICE STATUS</t>
  </si>
  <si>
    <t xml:space="preserve">Shows every customer’s invoices split by status. Xero statuses: Paid / Awaiting Payment / Overdue / Draft / Void / Unsent. Stripe statuses: Paid / Open / Draft / Void / Uncollectible. All figures link live via SUMIFS/COUNTIFS.</t>
  </si>
  <si>
    <t xml:space="preserve">1. XERO CUSTOMER RECEIVABLES (AED) — by Status</t>
  </si>
  <si>
    <t xml:space="preserve">Total (excl. Void/Draft)</t>
  </si>
  <si>
    <t xml:space="preserve">2. STRIPE CUSTOMER RECEIVABLES (AED) — by Status</t>
  </si>
  <si>
    <t xml:space="preserve">3. COMBINED INVOICE COUNT BY STATUS (# of invoices, both sources)</t>
  </si>
  <si>
    <t xml:space="preserve">Xero: Paid</t>
  </si>
  <si>
    <t xml:space="preserve">Xero: Awaiting/Overdue</t>
  </si>
  <si>
    <t xml:space="preserve">Xero: Draft/Void/Unsent</t>
  </si>
  <si>
    <t xml:space="preserve">Stripe: Paid</t>
  </si>
  <si>
    <t xml:space="preserve">Stripe: Open</t>
  </si>
  <si>
    <t xml:space="preserve">Stripe: Draft/Void/Uncollectible</t>
  </si>
  <si>
    <t xml:space="preserve">TRIAL BALANCE — Apr-2026 to Jun-2026 (AED)</t>
  </si>
  <si>
    <t xml:space="preserve">Built by linking every sub-ledger (Bank, Receivables, Payables, Revenue, Expenses) rather than re-deriving figures — each line is traceable to its source tab. "Opening Equity" is a balancing plug (highlighted yellow) since this sample data has no real opening trial balance — replace it with your actual brought-forward equity once available.</t>
  </si>
  <si>
    <t xml:space="preserve">Source</t>
  </si>
  <si>
    <t xml:space="preserve">Debit (AED)</t>
  </si>
  <si>
    <t xml:space="preserve">Credit (AED)</t>
  </si>
  <si>
    <t xml:space="preserve">ASSETS</t>
  </si>
  <si>
    <t xml:space="preserve">Cash and Bank</t>
  </si>
  <si>
    <t xml:space="preserve">Bank_Raw (latest balance)</t>
  </si>
  <si>
    <t xml:space="preserve">Accounts Receivable</t>
  </si>
  <si>
    <t xml:space="preserve">Receivables!F71 (Total AR Outstanding)</t>
  </si>
  <si>
    <t xml:space="preserve">Total Assets</t>
  </si>
  <si>
    <t xml:space="preserve">LIABILITIES</t>
  </si>
  <si>
    <t xml:space="preserve">Accounts Payable</t>
  </si>
  <si>
    <t xml:space="preserve">Payables!F76 (Total AP Outstanding)</t>
  </si>
  <si>
    <t xml:space="preserve">Total Liabilities</t>
  </si>
  <si>
    <t xml:space="preserve">REVENUE</t>
  </si>
  <si>
    <t xml:space="preserve">Revenue - WhatsApp</t>
  </si>
  <si>
    <t xml:space="preserve">Revenue_Summary!B30</t>
  </si>
  <si>
    <t xml:space="preserve">Revenue - Subscription</t>
  </si>
  <si>
    <t xml:space="preserve">Revenue_Summary!B31</t>
  </si>
  <si>
    <t xml:space="preserve">Revenue - Development</t>
  </si>
  <si>
    <t xml:space="preserve">Revenue_Summary!B32</t>
  </si>
  <si>
    <t xml:space="preserve">Revenue - Other Services</t>
  </si>
  <si>
    <t xml:space="preserve">Revenue_Summary!B33</t>
  </si>
  <si>
    <t xml:space="preserve">Revenue - Other (misc uploads)</t>
  </si>
  <si>
    <t xml:space="preserve">SUM(Revenue_Upload!E4:E12)</t>
  </si>
  <si>
    <t xml:space="preserve">Total Revenue</t>
  </si>
  <si>
    <t xml:space="preserve">EXPENSES</t>
  </si>
  <si>
    <t xml:space="preserve">Expense_Summary!E6</t>
  </si>
  <si>
    <t xml:space="preserve">Expense_Summary!E7</t>
  </si>
  <si>
    <t xml:space="preserve">Expense_Summary!E8</t>
  </si>
  <si>
    <t xml:space="preserve">Expense_Summary!E9</t>
  </si>
  <si>
    <t xml:space="preserve">Expense_Summary!E10</t>
  </si>
  <si>
    <t xml:space="preserve">Expense_Summary!E11</t>
  </si>
  <si>
    <t xml:space="preserve">Meta Ad Spend (Direct Expense)</t>
  </si>
  <si>
    <t xml:space="preserve">Expense_Summary!E22</t>
  </si>
  <si>
    <t xml:space="preserve">Credit Card Spend</t>
  </si>
  <si>
    <t xml:space="preserve">Expense_Summary!E30</t>
  </si>
  <si>
    <t xml:space="preserve">Vendor Invoice Uploads</t>
  </si>
  <si>
    <t xml:space="preserve">Expense_Summary!E38</t>
  </si>
  <si>
    <t xml:space="preserve">Other Expenses (misc uploads)</t>
  </si>
  <si>
    <t xml:space="preserve">SUM(Expenses_Upload!E4:E12)</t>
  </si>
  <si>
    <t xml:space="preserve">Total Expenses</t>
  </si>
  <si>
    <t xml:space="preserve">EQUITY</t>
  </si>
  <si>
    <t xml:space="preserve">Net Profit for the Period (memo only — already reflected in Revenue/Expense lines above, not double-counted below)</t>
  </si>
  <si>
    <t xml:space="preserve">Opening Equity (balancing plug = Assets − Liabilities − Revenue + Expenses)</t>
  </si>
  <si>
    <t xml:space="preserve">Derived to make TB balance — REPLACE with actual</t>
  </si>
  <si>
    <t xml:space="preserve">Total Equity</t>
  </si>
  <si>
    <t xml:space="preserve">TOTAL (Debit = Credit check)</t>
  </si>
  <si>
    <t xml:space="preserve">Balance Check</t>
  </si>
  <si>
    <t xml:space="preserve">FINANCIAL STATEMENTS — PREPARED IN ACCORDANCE WITH IFRS</t>
  </si>
  <si>
    <t xml:space="preserve">For the period 01-Apr-2026 to 30-Jun-2026 (AED). Figures link live from Trial_Balance. This is a demonstration template built from sample sub-ledgers — a real IFRS filing also needs a complete fixed asset register, lease schedule (IFRS 16), inventory (IAS 2), provisions (IAS 37), and equity roll-forward, none of which exist in this sample dataset.</t>
  </si>
  <si>
    <t xml:space="preserve">1. STATEMENT OF PROFIT OR LOSS</t>
  </si>
  <si>
    <t xml:space="preserve">Revenue</t>
  </si>
  <si>
    <t xml:space="preserve">WhatsApp messaging revenue</t>
  </si>
  <si>
    <t xml:space="preserve">Subscription revenue</t>
  </si>
  <si>
    <t xml:space="preserve">Development services revenue</t>
  </si>
  <si>
    <t xml:space="preserve">Other services revenue</t>
  </si>
  <si>
    <t xml:space="preserve">Cost of Sales</t>
  </si>
  <si>
    <t xml:space="preserve">Meta advertising / messaging platform cost</t>
  </si>
  <si>
    <t xml:space="preserve">Total Cost of Sales</t>
  </si>
  <si>
    <t xml:space="preserve">Gross Profit</t>
  </si>
  <si>
    <t xml:space="preserve">Administrative Expenses</t>
  </si>
  <si>
    <t xml:space="preserve">Staff costs</t>
  </si>
  <si>
    <t xml:space="preserve">Occupancy costs (rent)</t>
  </si>
  <si>
    <t xml:space="preserve">IT and software costs</t>
  </si>
  <si>
    <t xml:space="preserve">License and regulatory fees</t>
  </si>
  <si>
    <t xml:space="preserve">Travel costs</t>
  </si>
  <si>
    <t xml:space="preserve">Professional / consulting fees</t>
  </si>
  <si>
    <t xml:space="preserve">Other operating expenses</t>
  </si>
  <si>
    <t xml:space="preserve">Total Administrative Expenses</t>
  </si>
  <si>
    <t xml:space="preserve">Profit for the Period</t>
  </si>
  <si>
    <t xml:space="preserve">2. STATEMENT OF FINANCIAL POSITION (as at 30-Jun-2026)</t>
  </si>
  <si>
    <t xml:space="preserve">Current Assets</t>
  </si>
  <si>
    <t xml:space="preserve">Cash and cash equivalents</t>
  </si>
  <si>
    <t xml:space="preserve">Trade receivables</t>
  </si>
  <si>
    <t xml:space="preserve">Total Current Assets</t>
  </si>
  <si>
    <t xml:space="preserve">TOTAL ASSETS</t>
  </si>
  <si>
    <t xml:space="preserve">EQUITY AND LIABILITIES</t>
  </si>
  <si>
    <t xml:space="preserve">Equity</t>
  </si>
  <si>
    <t xml:space="preserve">Opening equity</t>
  </si>
  <si>
    <t xml:space="preserve">Profit for the period</t>
  </si>
  <si>
    <t xml:space="preserve">Current Liabilities</t>
  </si>
  <si>
    <t xml:space="preserve">Trade and other payables</t>
  </si>
  <si>
    <t xml:space="preserve">Total Current Liabilities</t>
  </si>
  <si>
    <t xml:space="preserve">TOTAL EQUITY AND LIABILITIES</t>
  </si>
  <si>
    <t xml:space="preserve">3. STATEMENT OF CASH FLOWS (Indirect Method)</t>
  </si>
  <si>
    <t xml:space="preserve">Cash Flows from Operating Activities</t>
  </si>
  <si>
    <t xml:space="preserve">(Increase) in trade receivables</t>
  </si>
  <si>
    <t xml:space="preserve">Increase in trade and other payables</t>
  </si>
  <si>
    <t xml:space="preserve">Net Cash from Operating Activities</t>
  </si>
  <si>
    <t xml:space="preserve">Cash Flows from Investing Activities</t>
  </si>
  <si>
    <t xml:space="preserve">None recorded in this sample dataset</t>
  </si>
  <si>
    <t xml:space="preserve">Net Cash from Investing Activities</t>
  </si>
  <si>
    <t xml:space="preserve">Cash Flows from Financing Activities</t>
  </si>
  <si>
    <t xml:space="preserve">Net Cash from Financing Activities</t>
  </si>
  <si>
    <t xml:space="preserve">Net Increase in Cash</t>
  </si>
  <si>
    <t xml:space="preserve">Cash at beginning of period (assumed)</t>
  </si>
  <si>
    <t xml:space="preserve">Cash at end of period</t>
  </si>
  <si>
    <t xml:space="preserve">FINANCIAL STATEMENTS — PREPARED IN ACCORDANCE WITH US GAAP</t>
  </si>
  <si>
    <t xml:space="preserve">For the period 04/01/2026 to 06/30/2026 (AED). Same underlying Trial_Balance as the IFRS statements, presented with US GAAP terminology, ordering, and classification. Key IFRS vs. US GAAP differences (development-cost capitalization under ASC 350-40/985 vs IAS 38, inventory costing, lease accounting nuances) are policy elections that would need to be applied by your accountant for a real filing.</t>
  </si>
  <si>
    <t xml:space="preserve">1. INCOME STATEMENT</t>
  </si>
  <si>
    <t xml:space="preserve">Net Revenue</t>
  </si>
  <si>
    <t xml:space="preserve">Total Net Revenue</t>
  </si>
  <si>
    <t xml:space="preserve">Cost of Revenue</t>
  </si>
  <si>
    <t xml:space="preserve">Platform / messaging costs (Meta)</t>
  </si>
  <si>
    <t xml:space="preserve">Total Cost of Revenue</t>
  </si>
  <si>
    <t xml:space="preserve">Operating Expenses</t>
  </si>
  <si>
    <t xml:space="preserve">Selling, general and administrative expenses</t>
  </si>
  <si>
    <t xml:space="preserve">Research and development / IT costs</t>
  </si>
  <si>
    <t xml:space="preserve">Professional fees</t>
  </si>
  <si>
    <t xml:space="preserve">License, regulatory and travel costs</t>
  </si>
  <si>
    <t xml:space="preserve">Total Operating Expenses</t>
  </si>
  <si>
    <t xml:space="preserve">Operating Income</t>
  </si>
  <si>
    <t xml:space="preserve">Net Income</t>
  </si>
  <si>
    <t xml:space="preserve">2. BALANCE SHEET (as of 06/30/2026)</t>
  </si>
  <si>
    <t xml:space="preserve">Accounts receivable, net</t>
  </si>
  <si>
    <t xml:space="preserve">LIABILITIES AND STOCKHOLDERS’ EQUITY</t>
  </si>
  <si>
    <t xml:space="preserve">Accounts payable</t>
  </si>
  <si>
    <t xml:space="preserve">Stockholders’ Equity</t>
  </si>
  <si>
    <t xml:space="preserve">Common stock / paid-in capital (opening equity)</t>
  </si>
  <si>
    <t xml:space="preserve">Retained earnings (net income for the period)</t>
  </si>
  <si>
    <t xml:space="preserve">Total Stockholders’ Equity</t>
  </si>
  <si>
    <t xml:space="preserve">Total Liabilities and Stockholders’ Equity</t>
  </si>
  <si>
    <t xml:space="preserve">Net income</t>
  </si>
  <si>
    <t xml:space="preserve">Changes in operating assets and liabilities:</t>
  </si>
  <si>
    <t xml:space="preserve">  (Increase) decrease in accounts receivable</t>
  </si>
  <si>
    <t xml:space="preserve">  Increase (decrease) in accounts payable</t>
  </si>
  <si>
    <t xml:space="preserve">Net Cash Provided by Operating Activities</t>
  </si>
  <si>
    <t xml:space="preserve">Net Cash Used in Investing Activities</t>
  </si>
  <si>
    <t xml:space="preserve">Net Cash Provided by Financing Activities</t>
  </si>
  <si>
    <t xml:space="preserve">CUSTOMER MASTER INFORMATION</t>
  </si>
  <si>
    <t xml:space="preserve">Single source of truth for customer identifiers across systems. Country here drives the country lookups used throughout the workbook (Assumptions!$G$5:$H$16 is a copy of columns A/D below — update both, or ask Claude to keep them in sync when you add new customers). Pre-sized for up to 5,000 customers (through row 5003).</t>
  </si>
  <si>
    <t xml:space="preserve">Customer Name</t>
  </si>
  <si>
    <t xml:space="preserve">Industry</t>
  </si>
  <si>
    <t xml:space="preserve">Relationship Owner</t>
  </si>
  <si>
    <t xml:space="preserve">Xero Contact ID</t>
  </si>
  <si>
    <t xml:space="preserve">Stripe Customer ID</t>
  </si>
  <si>
    <t xml:space="preserve">Meta Ad Account ID</t>
  </si>
  <si>
    <t xml:space="preserve">Primary Contact Email</t>
  </si>
  <si>
    <t xml:space="preserve">Primary Contact Phone</t>
  </si>
  <si>
    <t xml:space="preserve">Payment Terms (days)</t>
  </si>
  <si>
    <t xml:space="preserve">Subscription Plan (if any)</t>
  </si>
  <si>
    <t xml:space="preserve">Status (Active/Inactive)</t>
  </si>
  <si>
    <t xml:space="preserve">Financial Services</t>
  </si>
  <si>
    <t xml:space="preserve">Sara K.</t>
  </si>
  <si>
    <t xml:space="preserve">xero-c-1001</t>
  </si>
  <si>
    <t xml:space="preserve">cus_AlFardan001</t>
  </si>
  <si>
    <t xml:space="preserve">finance@alfardan-exchange.ae</t>
  </si>
  <si>
    <t xml:space="preserve">+971-4-1234567</t>
  </si>
  <si>
    <t xml:space="preserve">Pro Plan</t>
  </si>
  <si>
    <t xml:space="preserve">Active</t>
  </si>
  <si>
    <t xml:space="preserve">Retail</t>
  </si>
  <si>
    <t xml:space="preserve">xero-c-1002</t>
  </si>
  <si>
    <t xml:space="preserve">cus_UnitedHome002</t>
  </si>
  <si>
    <t xml:space="preserve">ap@unitedhomeware.ae</t>
  </si>
  <si>
    <t xml:space="preserve">+971-4-2345678</t>
  </si>
  <si>
    <t xml:space="preserve">Omar F.</t>
  </si>
  <si>
    <t xml:space="preserve">xero-c-1003</t>
  </si>
  <si>
    <t xml:space="preserve">procurement@jarir.com</t>
  </si>
  <si>
    <t xml:space="preserve">+966-11-3456789</t>
  </si>
  <si>
    <t xml:space="preserve">Pharmaceuticals</t>
  </si>
  <si>
    <t xml:space="preserve">xero-c-1004</t>
  </si>
  <si>
    <t xml:space="preserve">ap.mena@merckgroup.com</t>
  </si>
  <si>
    <t xml:space="preserve">+971-4-4567890</t>
  </si>
  <si>
    <t xml:space="preserve">Credit balance per Tab2 audit note 3</t>
  </si>
  <si>
    <t xml:space="preserve">Marketing</t>
  </si>
  <si>
    <t xml:space="preserve">xero-c-1005</t>
  </si>
  <si>
    <t xml:space="preserve">cus_GrowthX005</t>
  </si>
  <si>
    <t xml:space="preserve">act_961169</t>
  </si>
  <si>
    <t xml:space="preserve">billing@growthxventures.com</t>
  </si>
  <si>
    <t xml:space="preserve">+971-4-5678901</t>
  </si>
  <si>
    <t xml:space="preserve">Enterprise Plan</t>
  </si>
  <si>
    <t xml:space="preserve">AgriTech</t>
  </si>
  <si>
    <t xml:space="preserve">Wei L.</t>
  </si>
  <si>
    <t xml:space="preserve">xero-c-1006</t>
  </si>
  <si>
    <t xml:space="preserve">cus_IFarmer006</t>
  </si>
  <si>
    <t xml:space="preserve">act_961170</t>
  </si>
  <si>
    <t xml:space="preserve">finance@ifarmer.sg</t>
  </si>
  <si>
    <t xml:space="preserve">+65-6123-4567</t>
  </si>
  <si>
    <t xml:space="preserve">Technology</t>
  </si>
  <si>
    <t xml:space="preserve">xero-c-1007</t>
  </si>
  <si>
    <t xml:space="preserve">cus_Misfit007</t>
  </si>
  <si>
    <t xml:space="preserve">act_961171</t>
  </si>
  <si>
    <t xml:space="preserve">ap@misfittech.sg</t>
  </si>
  <si>
    <t xml:space="preserve">+65-6234-5678</t>
  </si>
  <si>
    <t xml:space="preserve">Healthcare</t>
  </si>
  <si>
    <t xml:space="preserve">xero-c-1008</t>
  </si>
  <si>
    <t xml:space="preserve">finance@curahealth.kw</t>
  </si>
  <si>
    <t xml:space="preserve">+965-2222-3333</t>
  </si>
  <si>
    <t xml:space="preserve">Events/Ticketing</t>
  </si>
  <si>
    <t xml:space="preserve">xero-c-1009</t>
  </si>
  <si>
    <t xml:space="preserve">accounts@ticketwala.pk</t>
  </si>
  <si>
    <t xml:space="preserve">+92-21-1112222</t>
  </si>
  <si>
    <t xml:space="preserve">xero-c-1010</t>
  </si>
  <si>
    <t xml:space="preserve">cus_NishatLinen010</t>
  </si>
  <si>
    <t xml:space="preserve">act_961172</t>
  </si>
  <si>
    <t xml:space="preserve">ap@nishatlinen.ae</t>
  </si>
  <si>
    <t xml:space="preserve">+971-4-6789012</t>
  </si>
  <si>
    <t xml:space="preserve">Conglomerate</t>
  </si>
  <si>
    <t xml:space="preserve">xero-c-1011</t>
  </si>
  <si>
    <t xml:space="preserve">finance@almoudigroup.sa</t>
  </si>
  <si>
    <t xml:space="preserve">+966-14-4567890</t>
  </si>
  <si>
    <t xml:space="preserve">Banking</t>
  </si>
  <si>
    <t xml:space="preserve">xero-c-1012</t>
  </si>
  <si>
    <t xml:space="preserve">vendormgmt@faysalbank.com</t>
  </si>
  <si>
    <t xml:space="preserve">+92-21-3334444</t>
  </si>
  <si>
    <t xml:space="preserve">META AD SPEND — COST RECOVERED FROM CUSTOMERS</t>
  </si>
  <si>
    <t xml:space="preserve">When Meta ad spend is passed through to customers, recovery can show up two ways: (1) a Stripe charge whose description mentions "Meta Ad Spend Recovery" (or similar), or (2) a bank transfer tagged to that customer in Bank_Raw (column G). This tab compares the Meta cost (from Meta_Invoices) against both recovery sources per customer per month, and flags any gap.</t>
  </si>
  <si>
    <t xml:space="preserve">Meta Cost (Gross, AED)</t>
  </si>
  <si>
    <t xml:space="preserve">Recovered via Stripe (AED)</t>
  </si>
  <si>
    <t xml:space="preserve">Recovered via Bank Statement (AED)</t>
  </si>
  <si>
    <t xml:space="preserve">Total Recovered (AED)</t>
  </si>
  <si>
    <t xml:space="preserve">Recovery Gap (AED)</t>
  </si>
  <si>
    <t xml:space="preserve">Recovery %</t>
  </si>
  <si>
    <t xml:space="preserve">TOTAL</t>
  </si>
  <si>
    <t xml:space="preserve">RECOVERY BY CUSTOMER (all months combined)</t>
  </si>
  <si>
    <t xml:space="preserve">Total Meta Cost (AED)</t>
  </si>
  <si>
    <t xml:space="preserve">SUBSCRIPTION RECURRING INVOICING SCHEDULE</t>
  </si>
  <si>
    <t xml:space="preserve">Every subscription customer and which months they are due to be invoiced, based on Start Date + Billing Frequency. "Invoiced?" checks whether a matching Subscription invoice already exists that month in Xero_Raw, Customer_Invoices_Upload, or Stripe_Invoices_Upload — green = invoiced, amber = due but not yet found, grey = not due that month. Add new subscription customers in the blue rows below (pre-formulated through row 200).</t>
  </si>
  <si>
    <t xml:space="preserve">Plan</t>
  </si>
  <si>
    <t xml:space="preserve">Monthly Amount (AED)</t>
  </si>
  <si>
    <t xml:space="preserve">Billing Frequency</t>
  </si>
  <si>
    <t xml:space="preserve">Start Date</t>
  </si>
  <si>
    <t xml:space="preserve">Next Invoice Due</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</si>
  <si>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</si>
  <si>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</si>
  <si>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</si>
  <si>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</si>
  <si>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</si>
  <si>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</si>
  <si>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</si>
  <si>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</si>
  <si>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</si>
  <si>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</si>
  <si>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</si>
  <si>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</si>
  <si>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Monthly</t>
  </si>
</sst>
</file>

<file path=xl/styles.xml><?xml version="1.0" encoding="utf-8"?>
<styleSheet xmlns="http://schemas.openxmlformats.org/spreadsheetml/2006/main">
  <numFmts count="11">
    <numFmt numFmtId="164" formatCode="General"/>
    <numFmt numFmtId="165" formatCode="#,##0;\(#,##0\);\-"/>
    <numFmt numFmtId="166" formatCode="0.0%"/>
    <numFmt numFmtId="167" formatCode="dd\-mmm\-yyyy"/>
    <numFmt numFmtId="168" formatCode="#,##0.00"/>
    <numFmt numFmtId="169" formatCode="#,##0.00;\(#,##0.00\);\-"/>
    <numFmt numFmtId="170" formatCode="#,##0.00;\(#,##0.00\);\-"/>
    <numFmt numFmtId="171" formatCode="#,##0;\(#,##0\);\-"/>
    <numFmt numFmtId="172" formatCode="0;\(0\);\-"/>
    <numFmt numFmtId="173" formatCode="#,##0.00;\(#,##0.00\)"/>
    <numFmt numFmtId="174" formatCode="0"/>
  </numFmts>
  <fonts count="43">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666666"/>
      <name val="Arial"/>
      <family val="0"/>
      <charset val="1"/>
    </font>
    <font>
      <b val="true"/>
      <sz val="9"/>
      <color rgb="FFFFFFFF"/>
      <name val="Arial"/>
      <family val="0"/>
      <charset val="1"/>
    </font>
    <font>
      <b val="true"/>
      <sz val="20"/>
      <color rgb="FF1F2A44"/>
      <name val="Arial"/>
      <family val="0"/>
      <charset val="1"/>
    </font>
    <font>
      <b val="true"/>
      <sz val="16"/>
      <color rgb="FF1F2A44"/>
      <name val="Arial"/>
      <family val="0"/>
      <charset val="1"/>
    </font>
    <font>
      <b val="true"/>
      <sz val="11"/>
      <color rgb="FF1F2A44"/>
      <name val="Arial"/>
      <family val="0"/>
      <charset val="1"/>
    </font>
    <font>
      <b val="true"/>
      <sz val="9"/>
      <color rgb="FF0E7C7B"/>
      <name val="Arial"/>
      <family val="0"/>
      <charset val="1"/>
    </font>
    <font>
      <sz val="9"/>
      <color rgb="FF555555"/>
      <name val="Arial"/>
      <family val="0"/>
      <charset val="1"/>
    </font>
    <font>
      <sz val="10"/>
      <color rgb="FF000000"/>
      <name val="Calibri"/>
      <family val="2"/>
    </font>
    <font>
      <b val="true"/>
      <sz val="10"/>
      <color rgb="FF000000"/>
      <name val="Calibri"/>
      <family val="2"/>
    </font>
    <font>
      <b val="true"/>
      <sz val="14"/>
      <color rgb="FFFFFFFF"/>
      <name val="Arial"/>
      <family val="0"/>
      <charset val="1"/>
    </font>
    <font>
      <sz val="10"/>
      <color rgb="FF000000"/>
      <name val="Arial"/>
      <family val="0"/>
      <charset val="1"/>
    </font>
    <font>
      <b val="true"/>
      <sz val="11"/>
      <color rgb="FF0E7C7B"/>
      <name val="Arial"/>
      <family val="0"/>
      <charset val="1"/>
    </font>
    <font>
      <sz val="9"/>
      <color rgb="FF0A5C36"/>
      <name val="Consolas"/>
      <family val="0"/>
      <charset val="1"/>
    </font>
    <font>
      <b val="true"/>
      <sz val="12"/>
      <color rgb="FF1F2A44"/>
      <name val="Arial"/>
      <family val="0"/>
      <charset val="1"/>
    </font>
    <font>
      <i val="true"/>
      <sz val="9"/>
      <color rgb="FF666666"/>
      <name val="Arial"/>
      <family val="0"/>
      <charset val="1"/>
    </font>
    <font>
      <b val="true"/>
      <sz val="10"/>
      <color rgb="FFFFFFFF"/>
      <name val="Arial"/>
      <family val="0"/>
      <charset val="1"/>
    </font>
    <font>
      <sz val="9"/>
      <color rgb="FF0000FF"/>
      <name val="Arial"/>
      <family val="0"/>
      <charset val="1"/>
    </font>
    <font>
      <sz val="9"/>
      <color rgb="FF000000"/>
      <name val="Arial"/>
      <family val="0"/>
      <charset val="1"/>
    </font>
    <font>
      <b val="true"/>
      <sz val="9"/>
      <color rgb="FF000000"/>
      <name val="Arial"/>
      <family val="0"/>
      <charset val="1"/>
    </font>
    <font>
      <b val="true"/>
      <sz val="9"/>
      <color rgb="FF0000FF"/>
      <name val="Arial"/>
      <family val="0"/>
      <charset val="1"/>
    </font>
    <font>
      <i val="true"/>
      <sz val="8"/>
      <color rgb="FF777777"/>
      <name val="Arial"/>
      <family val="0"/>
      <charset val="1"/>
    </font>
    <font>
      <sz val="9"/>
      <color rgb="FF444444"/>
      <name val="Arial"/>
      <family val="0"/>
      <charset val="1"/>
    </font>
    <font>
      <b val="true"/>
      <sz val="9"/>
      <color rgb="FF008000"/>
      <name val="Arial"/>
      <family val="0"/>
      <charset val="1"/>
    </font>
    <font>
      <b val="true"/>
      <sz val="10"/>
      <color rgb="FF000000"/>
      <name val="Arial"/>
      <family val="0"/>
      <charset val="1"/>
    </font>
    <font>
      <b val="true"/>
      <sz val="10"/>
      <color rgb="FF0000FF"/>
      <name val="Arial"/>
      <family val="0"/>
      <charset val="1"/>
    </font>
    <font>
      <b val="true"/>
      <sz val="10"/>
      <color rgb="FF0E7C7B"/>
      <name val="Arial"/>
      <family val="0"/>
      <charset val="1"/>
    </font>
    <font>
      <sz val="9"/>
      <color rgb="FF008000"/>
      <name val="Arial"/>
      <family val="0"/>
      <charset val="1"/>
    </font>
    <font>
      <b val="true"/>
      <sz val="13"/>
      <color rgb="FF1F2A44"/>
      <name val="Arial"/>
      <family val="0"/>
      <charset val="1"/>
    </font>
    <font>
      <i val="true"/>
      <sz val="8"/>
      <color rgb="FF888888"/>
      <name val="Arial"/>
      <family val="0"/>
      <charset val="1"/>
    </font>
    <font>
      <i val="true"/>
      <sz val="9"/>
      <color rgb="FF888888"/>
      <name val="Arial"/>
      <family val="0"/>
      <charset val="1"/>
    </font>
    <font>
      <b val="true"/>
      <sz val="9"/>
      <color rgb="FFF2A72E"/>
      <name val="Arial"/>
      <family val="0"/>
      <charset val="1"/>
    </font>
    <font>
      <b val="true"/>
      <sz val="14"/>
      <color rgb="FF1F2A44"/>
      <name val="Arial"/>
      <family val="0"/>
      <charset val="1"/>
    </font>
    <font>
      <b val="true"/>
      <sz val="11"/>
      <color rgb="FFFFFFFF"/>
      <name val="Arial"/>
      <family val="0"/>
      <charset val="1"/>
    </font>
    <font>
      <sz val="10"/>
      <color rgb="FF008000"/>
      <name val="Arial"/>
      <family val="0"/>
      <charset val="1"/>
    </font>
    <font>
      <b val="true"/>
      <sz val="10"/>
      <name val="Arial"/>
      <family val="0"/>
      <charset val="1"/>
    </font>
    <font>
      <b val="true"/>
      <sz val="9"/>
      <color rgb="FFC0392B"/>
      <name val="Arial"/>
      <family val="0"/>
      <charset val="1"/>
    </font>
    <font>
      <b val="true"/>
      <sz val="8"/>
      <color rgb="FFFFFFFF"/>
      <name val="Arial"/>
      <family val="0"/>
      <charset val="1"/>
    </font>
    <font>
      <b val="true"/>
      <sz val="8"/>
      <color rgb="FF000000"/>
      <name val="Arial"/>
      <family val="0"/>
      <charset val="1"/>
    </font>
  </fonts>
  <fills count="27">
    <fill>
      <patternFill patternType="none"/>
    </fill>
    <fill>
      <patternFill patternType="gray125"/>
    </fill>
    <fill>
      <patternFill patternType="solid">
        <fgColor rgb="FF1F2A44"/>
        <bgColor rgb="FF154360"/>
      </patternFill>
    </fill>
    <fill>
      <patternFill patternType="solid">
        <fgColor rgb="FF0E7C7B"/>
        <bgColor rgb="FF0A5C36"/>
      </patternFill>
    </fill>
    <fill>
      <patternFill patternType="solid">
        <fgColor rgb="FFC0392B"/>
        <bgColor rgb="FFC0504D"/>
      </patternFill>
    </fill>
    <fill>
      <patternFill patternType="solid">
        <fgColor rgb="FFF2A72E"/>
        <bgColor rgb="FFF39C12"/>
      </patternFill>
    </fill>
    <fill>
      <patternFill patternType="solid">
        <fgColor rgb="FFEDF2F7"/>
        <bgColor rgb="FFF0F5F0"/>
      </patternFill>
    </fill>
    <fill>
      <patternFill patternType="solid">
        <fgColor rgb="FF1877F2"/>
        <bgColor rgb="FF4F81BD"/>
      </patternFill>
    </fill>
    <fill>
      <patternFill patternType="solid">
        <fgColor rgb="FF27AE60"/>
        <bgColor rgb="FF2ECC71"/>
      </patternFill>
    </fill>
    <fill>
      <patternFill patternType="solid">
        <fgColor rgb="FFD35400"/>
        <bgColor rgb="FFE74C3C"/>
      </patternFill>
    </fill>
    <fill>
      <patternFill patternType="solid">
        <fgColor rgb="FFE74C3C"/>
        <bgColor rgb="FFC0504D"/>
      </patternFill>
    </fill>
    <fill>
      <patternFill patternType="solid">
        <fgColor rgb="FF922B21"/>
        <bgColor rgb="FFC0392B"/>
      </patternFill>
    </fill>
    <fill>
      <patternFill patternType="solid">
        <fgColor rgb="FF2ECC71"/>
        <bgColor rgb="FF27AE60"/>
      </patternFill>
    </fill>
    <fill>
      <patternFill patternType="solid">
        <fgColor rgb="FF154360"/>
        <bgColor rgb="FF34495E"/>
      </patternFill>
    </fill>
    <fill>
      <patternFill patternType="solid">
        <fgColor rgb="FF512E5F"/>
        <bgColor rgb="FF444444"/>
      </patternFill>
    </fill>
    <fill>
      <patternFill patternType="solid">
        <fgColor rgb="FF34495E"/>
        <bgColor rgb="FF444444"/>
      </patternFill>
    </fill>
    <fill>
      <patternFill patternType="solid">
        <fgColor rgb="FF635BFF"/>
        <bgColor rgb="FF8064A2"/>
      </patternFill>
    </fill>
    <fill>
      <patternFill patternType="solid">
        <fgColor rgb="FFF39C12"/>
        <bgColor rgb="FFF2A72E"/>
      </patternFill>
    </fill>
    <fill>
      <patternFill patternType="solid">
        <fgColor rgb="FF8E44AD"/>
        <bgColor rgb="FF7D3C98"/>
      </patternFill>
    </fill>
    <fill>
      <patternFill patternType="solid">
        <fgColor rgb="FFF0F5F0"/>
        <bgColor rgb="FFEDF2F7"/>
      </patternFill>
    </fill>
    <fill>
      <patternFill patternType="solid">
        <fgColor rgb="FFFFF7E6"/>
        <bgColor rgb="FFFFFDE7"/>
      </patternFill>
    </fill>
    <fill>
      <patternFill patternType="solid">
        <fgColor rgb="FFFFFF00"/>
        <bgColor rgb="FFFFFF00"/>
      </patternFill>
    </fill>
    <fill>
      <patternFill patternType="solid">
        <fgColor rgb="FFF5F6F8"/>
        <bgColor rgb="FFF0F5F0"/>
      </patternFill>
    </fill>
    <fill>
      <patternFill patternType="solid">
        <fgColor rgb="FFFFFDE7"/>
        <bgColor rgb="FFFFF7E6"/>
      </patternFill>
    </fill>
    <fill>
      <patternFill patternType="solid">
        <fgColor rgb="FF5D6D7E"/>
        <bgColor rgb="FF666666"/>
      </patternFill>
    </fill>
    <fill>
      <patternFill patternType="solid">
        <fgColor rgb="FF7D3C98"/>
        <bgColor rgb="FF8E44AD"/>
      </patternFill>
    </fill>
    <fill>
      <patternFill patternType="solid">
        <fgColor rgb="FFA569BD"/>
        <bgColor rgb="FF9B59B6"/>
      </patternFill>
    </fill>
  </fills>
  <borders count="4">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CCCCCC"/>
      </bottom>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4" fontId="6" fillId="5" borderId="1" xfId="0" applyFont="true" applyBorder="true" applyAlignment="true" applyProtection="false">
      <alignment horizontal="left" vertical="center" textRotation="0" wrapText="false" indent="1" shrinkToFit="false"/>
      <protection locked="true" hidden="false"/>
    </xf>
    <xf numFmtId="165" fontId="7" fillId="6" borderId="1" xfId="0" applyFont="true" applyBorder="true" applyAlignment="true" applyProtection="false">
      <alignment horizontal="left" vertical="center" textRotation="0" wrapText="false" indent="1" shrinkToFit="false"/>
      <protection locked="true" hidden="false"/>
    </xf>
    <xf numFmtId="164" fontId="6" fillId="7" borderId="1" xfId="0" applyFont="true" applyBorder="true" applyAlignment="true" applyProtection="false">
      <alignment horizontal="left" vertical="center" textRotation="0" wrapText="false" indent="1" shrinkToFit="false"/>
      <protection locked="true" hidden="false"/>
    </xf>
    <xf numFmtId="164" fontId="6" fillId="8" borderId="1" xfId="0" applyFont="true" applyBorder="true" applyAlignment="true" applyProtection="false">
      <alignment horizontal="left" vertical="center" textRotation="0" wrapText="false" indent="1" shrinkToFit="false"/>
      <protection locked="true" hidden="false"/>
    </xf>
    <xf numFmtId="164" fontId="6" fillId="9" borderId="1" xfId="0" applyFont="true" applyBorder="true" applyAlignment="true" applyProtection="false">
      <alignment horizontal="left" vertical="center" textRotation="0" wrapText="false" indent="1" shrinkToFit="false"/>
      <protection locked="true" hidden="false"/>
    </xf>
    <xf numFmtId="164" fontId="6" fillId="10" borderId="1" xfId="0" applyFont="true" applyBorder="true" applyAlignment="true" applyProtection="false">
      <alignment horizontal="left" vertical="center" textRotation="0" wrapText="false" indent="1" shrinkToFit="false"/>
      <protection locked="true" hidden="false"/>
    </xf>
    <xf numFmtId="164" fontId="6" fillId="11" borderId="1" xfId="0" applyFont="true" applyBorder="true" applyAlignment="true" applyProtection="false">
      <alignment horizontal="left" vertical="center" textRotation="0" wrapText="false" indent="1" shrinkToFit="false"/>
      <protection locked="true" hidden="false"/>
    </xf>
    <xf numFmtId="164" fontId="6" fillId="12" borderId="1" xfId="0" applyFont="true" applyBorder="true" applyAlignment="true" applyProtection="false">
      <alignment horizontal="left" vertical="center" textRotation="0" wrapText="false" indent="1" shrinkToFit="false"/>
      <protection locked="true" hidden="false"/>
    </xf>
    <xf numFmtId="164" fontId="6" fillId="13" borderId="1" xfId="0" applyFont="true" applyBorder="true" applyAlignment="true" applyProtection="false">
      <alignment horizontal="left" vertical="center" textRotation="0" wrapText="false" indent="1" shrinkToFit="false"/>
      <protection locked="true" hidden="false"/>
    </xf>
    <xf numFmtId="164" fontId="6" fillId="14" borderId="1" xfId="0" applyFont="true" applyBorder="true" applyAlignment="true" applyProtection="false">
      <alignment horizontal="left" vertical="center" textRotation="0" wrapText="false" indent="1" shrinkToFit="false"/>
      <protection locked="true" hidden="false"/>
    </xf>
    <xf numFmtId="164" fontId="6" fillId="15" borderId="1" xfId="0" applyFont="true" applyBorder="true" applyAlignment="true" applyProtection="false">
      <alignment horizontal="left" vertical="center" textRotation="0" wrapText="false" indent="1" shrinkToFit="false"/>
      <protection locked="true" hidden="false"/>
    </xf>
    <xf numFmtId="164" fontId="6" fillId="16" borderId="1" xfId="0" applyFont="true" applyBorder="true" applyAlignment="true" applyProtection="false">
      <alignment horizontal="left" vertical="center" textRotation="0" wrapText="false" indent="1" shrinkToFit="false"/>
      <protection locked="true" hidden="false"/>
    </xf>
    <xf numFmtId="164" fontId="8" fillId="6" borderId="1" xfId="0" applyFont="true" applyBorder="true" applyAlignment="true" applyProtection="false">
      <alignment horizontal="left" vertical="center" textRotation="0" wrapText="false" indent="1" shrinkToFit="false"/>
      <protection locked="true" hidden="false"/>
    </xf>
    <xf numFmtId="164" fontId="6" fillId="17" borderId="1" xfId="0" applyFont="true" applyBorder="true" applyAlignment="true" applyProtection="false">
      <alignment horizontal="left" vertical="center" textRotation="0" wrapText="false" indent="1" shrinkToFit="false"/>
      <protection locked="true" hidden="false"/>
    </xf>
    <xf numFmtId="164" fontId="6" fillId="18" borderId="1" xfId="0" applyFont="true" applyBorder="true" applyAlignment="true" applyProtection="false">
      <alignment horizontal="left" vertical="center" textRotation="0" wrapText="false" indent="1" shrinkToFit="false"/>
      <protection locked="true" hidden="false"/>
    </xf>
    <xf numFmtId="166" fontId="8" fillId="6" borderId="1"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19"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7" fontId="2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8" fontId="23" fillId="20" borderId="0" xfId="0" applyFont="true" applyBorder="false" applyAlignment="true" applyProtection="false">
      <alignment horizontal="general" vertical="bottom" textRotation="0" wrapText="false" indent="0" shrinkToFit="false"/>
      <protection locked="true" hidden="false"/>
    </xf>
    <xf numFmtId="168" fontId="22" fillId="20" borderId="0" xfId="0" applyFont="tru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20" fillId="7" borderId="2" xfId="0" applyFont="true" applyBorder="true" applyAlignment="true" applyProtection="false">
      <alignment horizontal="center" vertical="center" textRotation="0" wrapText="true" indent="0" shrinkToFit="false"/>
      <protection locked="true" hidden="false"/>
    </xf>
    <xf numFmtId="164" fontId="22" fillId="7" borderId="2" xfId="0" applyFont="true" applyBorder="true" applyAlignment="true" applyProtection="false">
      <alignment horizontal="center" vertical="center" textRotation="0" wrapText="true" indent="0" shrinkToFit="false"/>
      <protection locked="true" hidden="false"/>
    </xf>
    <xf numFmtId="169" fontId="22"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center" vertical="center" textRotation="0" wrapText="tru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center" textRotation="0" wrapText="true" indent="0" shrinkToFit="false"/>
      <protection locked="true" hidden="false"/>
    </xf>
    <xf numFmtId="164" fontId="24" fillId="21"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3" fillId="21"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7" fontId="29" fillId="21"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8" fontId="31"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71" fontId="23" fillId="0" borderId="0" xfId="0" applyFont="true" applyBorder="false" applyAlignment="true" applyProtection="false">
      <alignment horizontal="general" vertical="bottom" textRotation="0" wrapText="false" indent="0" shrinkToFit="false"/>
      <protection locked="true" hidden="false"/>
    </xf>
    <xf numFmtId="164" fontId="23" fillId="22" borderId="0" xfId="0" applyFont="true" applyBorder="false" applyAlignment="true" applyProtection="false">
      <alignment horizontal="general" vertical="bottom" textRotation="0" wrapText="false" indent="0" shrinkToFit="false"/>
      <protection locked="true" hidden="false"/>
    </xf>
    <xf numFmtId="171" fontId="23" fillId="22" borderId="0" xfId="0" applyFont="true" applyBorder="false" applyAlignment="true" applyProtection="false">
      <alignment horizontal="general" vertical="bottom" textRotation="0" wrapText="false" indent="0" shrinkToFit="false"/>
      <protection locked="true" hidden="false"/>
    </xf>
    <xf numFmtId="171" fontId="31" fillId="0" borderId="0" xfId="0" applyFont="true" applyBorder="false" applyAlignment="true" applyProtection="false">
      <alignment horizontal="general" vertical="bottom" textRotation="0" wrapText="false" indent="0" shrinkToFit="false"/>
      <protection locked="true" hidden="false"/>
    </xf>
    <xf numFmtId="164" fontId="20" fillId="12" borderId="0" xfId="0" applyFont="true" applyBorder="false" applyAlignment="true" applyProtection="false">
      <alignment horizontal="center" vertical="center" textRotation="0" wrapText="tru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20" fillId="10" borderId="0" xfId="0" applyFont="true" applyBorder="false" applyAlignment="true" applyProtection="false">
      <alignment horizontal="center" vertical="center" textRotation="0" wrapText="tru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71" fontId="20" fillId="2" borderId="0" xfId="0" applyFont="true" applyBorder="false" applyAlignment="true" applyProtection="false">
      <alignment horizontal="general" vertical="bottom" textRotation="0" wrapText="false" indent="0" shrinkToFit="false"/>
      <protection locked="true" hidden="false"/>
    </xf>
    <xf numFmtId="164" fontId="20" fillId="8" borderId="2"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16"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true" applyProtection="false">
      <alignment horizontal="general" vertical="bottom" textRotation="0" wrapText="false" indent="0" shrinkToFit="false"/>
      <protection locked="true" hidden="false"/>
    </xf>
    <xf numFmtId="172" fontId="23" fillId="22"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64" fontId="0" fillId="22" borderId="0" xfId="0" applyFont="false" applyBorder="false" applyAlignment="true" applyProtection="false">
      <alignment horizontal="general" vertical="bottom" textRotation="0" wrapText="false" indent="0" shrinkToFit="false"/>
      <protection locked="true" hidden="false"/>
    </xf>
    <xf numFmtId="173" fontId="23" fillId="22" borderId="0" xfId="0" applyFont="true" applyBorder="false" applyAlignment="true" applyProtection="false">
      <alignment horizontal="general" vertical="bottom" textRotation="0" wrapText="false" indent="0" shrinkToFit="false"/>
      <protection locked="true" hidden="false"/>
    </xf>
    <xf numFmtId="169" fontId="34" fillId="0" borderId="0" xfId="0" applyFont="true" applyBorder="false" applyAlignment="true" applyProtection="false">
      <alignment horizontal="general"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9" fontId="35" fillId="23" borderId="0" xfId="0" applyFont="true" applyBorder="false" applyAlignment="true" applyProtection="false">
      <alignment horizontal="general" vertical="bottom" textRotation="0" wrapText="false" indent="0" shrinkToFit="false"/>
      <protection locked="true" hidden="false"/>
    </xf>
    <xf numFmtId="173" fontId="20" fillId="2" borderId="0" xfId="0" applyFont="true" applyBorder="false" applyAlignment="true" applyProtection="false">
      <alignment horizontal="general" vertical="bottom" textRotation="0" wrapText="false" indent="0" shrinkToFit="false"/>
      <protection locked="true" hidden="false"/>
    </xf>
    <xf numFmtId="173" fontId="0" fillId="2" borderId="0" xfId="0" applyFont="false" applyBorder="fals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7" fillId="3"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1" shrinkToFit="false"/>
      <protection locked="true" hidden="false"/>
    </xf>
    <xf numFmtId="171" fontId="38" fillId="0" borderId="0" xfId="0" applyFont="true" applyBorder="false" applyAlignment="true" applyProtection="false">
      <alignment horizontal="general" vertical="bottom" textRotation="0" wrapText="false" indent="0" shrinkToFit="false"/>
      <protection locked="true" hidden="false"/>
    </xf>
    <xf numFmtId="164" fontId="28" fillId="22" borderId="3" xfId="0" applyFont="true" applyBorder="true" applyAlignment="true" applyProtection="false">
      <alignment horizontal="general" vertical="bottom" textRotation="0" wrapText="false" indent="1" shrinkToFit="false"/>
      <protection locked="true" hidden="false"/>
    </xf>
    <xf numFmtId="164" fontId="0" fillId="22" borderId="3" xfId="0" applyFont="false" applyBorder="true" applyAlignment="true" applyProtection="false">
      <alignment horizontal="general" vertical="bottom" textRotation="0" wrapText="false" indent="0" shrinkToFit="false"/>
      <protection locked="true" hidden="false"/>
    </xf>
    <xf numFmtId="171" fontId="28" fillId="22" borderId="3" xfId="0" applyFont="true" applyBorder="true" applyAlignment="true" applyProtection="false">
      <alignment horizontal="general" vertical="bottom" textRotation="0" wrapText="false" indent="0" shrinkToFit="false"/>
      <protection locked="true" hidden="false"/>
    </xf>
    <xf numFmtId="164" fontId="37" fillId="24" borderId="0" xfId="0" applyFont="true" applyBorder="tru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1" shrinkToFit="false"/>
      <protection locked="true" hidden="false"/>
    </xf>
    <xf numFmtId="171" fontId="28" fillId="0" borderId="0" xfId="0" applyFont="true" applyBorder="false" applyAlignment="true" applyProtection="false">
      <alignment horizontal="general" vertical="bottom" textRotation="0" wrapText="false" indent="0" shrinkToFit="false"/>
      <protection locked="true" hidden="false"/>
    </xf>
    <xf numFmtId="164" fontId="37" fillId="25" borderId="0" xfId="0" applyFont="true" applyBorder="true" applyAlignment="true" applyProtection="false">
      <alignment horizontal="general" vertical="bottom" textRotation="0" wrapText="false" indent="0" shrinkToFit="false"/>
      <protection locked="true" hidden="false"/>
    </xf>
    <xf numFmtId="164" fontId="37" fillId="26"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2"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70" fontId="31" fillId="0" borderId="0" xfId="0" applyFont="true" applyBorder="false" applyAlignment="false" applyProtection="false">
      <alignment horizontal="general" vertical="bottom" textRotation="0" wrapText="false" indent="0" shrinkToFit="false"/>
      <protection locked="true" hidden="false"/>
    </xf>
    <xf numFmtId="170" fontId="40" fillId="0" borderId="0" xfId="0" applyFont="true" applyBorder="false" applyAlignment="false" applyProtection="false">
      <alignment horizontal="general" vertical="bottom" textRotation="0" wrapText="false" indent="0" shrinkToFit="false"/>
      <protection locked="true" hidden="false"/>
    </xf>
    <xf numFmtId="166" fontId="22" fillId="0" borderId="0" xfId="0" applyFont="true" applyBorder="false" applyAlignment="false" applyProtection="false">
      <alignment horizontal="general" vertical="bottom" textRotation="0" wrapText="false" indent="0" shrinkToFit="false"/>
      <protection locked="true" hidden="false"/>
    </xf>
    <xf numFmtId="164" fontId="23" fillId="22" borderId="0" xfId="0" applyFont="true" applyBorder="false" applyAlignment="false" applyProtection="false">
      <alignment horizontal="general" vertical="bottom"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70" fontId="23" fillId="22" borderId="0" xfId="0" applyFont="true" applyBorder="false" applyAlignment="false" applyProtection="false">
      <alignment horizontal="general" vertical="bottom" textRotation="0" wrapText="false" indent="0" shrinkToFit="false"/>
      <protection locked="true" hidden="false"/>
    </xf>
    <xf numFmtId="166" fontId="23" fillId="22"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41" fillId="2" borderId="0" xfId="0" applyFont="true" applyBorder="false" applyAlignment="true" applyProtection="false">
      <alignment horizontal="center" vertical="center" textRotation="0" wrapText="tru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5F5E3"/>
        </patternFill>
      </fill>
    </dxf>
    <dxf>
      <fill>
        <patternFill>
          <bgColor rgb="FFFDEBD0"/>
        </patternFill>
      </fill>
    </dxf>
  </dxfs>
  <colors>
    <indexedColors>
      <rgbColor rgb="FF000000"/>
      <rgbColor rgb="FFFFFFFF"/>
      <rgbColor rgb="FFC0392B"/>
      <rgbColor rgb="FF2ECC71"/>
      <rgbColor rgb="FF0000FF"/>
      <rgbColor rgb="FFFFFF00"/>
      <rgbColor rgb="FFFF00FF"/>
      <rgbColor rgb="FF7F8C8D"/>
      <rgbColor rgb="FFE74C3C"/>
      <rgbColor rgb="FF008000"/>
      <rgbColor rgb="FF8064A2"/>
      <rgbColor rgb="FF777777"/>
      <rgbColor rgb="FF9B59B6"/>
      <rgbColor rgb="FF0E7C7B"/>
      <rgbColor rgb="FFCCCCCC"/>
      <rgbColor rgb="FF888888"/>
      <rgbColor rgb="FF95A5A6"/>
      <rgbColor rgb="FF7D3C98"/>
      <rgbColor rgb="FFFFFDE7"/>
      <rgbColor rgb="FFEDF2F7"/>
      <rgbColor rgb="FF555555"/>
      <rgbColor rgb="FFF79646"/>
      <rgbColor rgb="FF34495E"/>
      <rgbColor rgb="FFD9D9D9"/>
      <rgbColor rgb="FF000080"/>
      <rgbColor rgb="FFFF00FF"/>
      <rgbColor rgb="FFFFFF00"/>
      <rgbColor rgb="FF00FFFF"/>
      <rgbColor rgb="FFC0504D"/>
      <rgbColor rgb="FF666666"/>
      <rgbColor rgb="FF4F81BD"/>
      <rgbColor rgb="FF635BFF"/>
      <rgbColor rgb="FF13B5EA"/>
      <rgbColor rgb="FFF0F5F0"/>
      <rgbColor rgb="FFD5F5E3"/>
      <rgbColor rgb="FFFDEBD0"/>
      <rgbColor rgb="FFB3B3B3"/>
      <rgbColor rgb="FFF5F6F8"/>
      <rgbColor rgb="FFA569BD"/>
      <rgbColor rgb="FFFFF7E6"/>
      <rgbColor rgb="FF1877F2"/>
      <rgbColor rgb="FF4BACC6"/>
      <rgbColor rgb="FF9BBB59"/>
      <rgbColor rgb="FFF2A72E"/>
      <rgbColor rgb="FFF39C12"/>
      <rgbColor rgb="FFD35400"/>
      <rgbColor rgb="FF5D6D7E"/>
      <rgbColor rgb="FF999999"/>
      <rgbColor rgb="FF154360"/>
      <rgbColor rgb="FF27AE60"/>
      <rgbColor rgb="FF0A5C36"/>
      <rgbColor rgb="FF444444"/>
      <rgbColor rgb="FF922B21"/>
      <rgbColor rgb="FF8E44AD"/>
      <rgbColor rgb="FF512E5F"/>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Revenue_Summary!B29</c:f>
              <c:strCache>
                <c:ptCount val="1"/>
                <c:pt idx="0">
                  <c:v>Total Revenue (AED)</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Revenue_Summary!$A$30:$A$33</c:f>
              <c:strCache>
                <c:ptCount val="4"/>
                <c:pt idx="0">
                  <c:v>WhatsApp</c:v>
                </c:pt>
                <c:pt idx="1">
                  <c:v>Subscription</c:v>
                </c:pt>
                <c:pt idx="2">
                  <c:v>Development</c:v>
                </c:pt>
                <c:pt idx="3">
                  <c:v>Other Services</c:v>
                </c:pt>
              </c:strCache>
            </c:strRef>
          </c:cat>
          <c:val>
            <c:numRef>
              <c:f>Revenue_Summary!$B$30:$B$33</c:f>
              <c:numCache>
                <c:formatCode>#,##0;\(#,##0\);\-</c:formatCode>
                <c:ptCount val="4"/>
                <c:pt idx="0">
                  <c:v>371810.55</c:v>
                </c:pt>
                <c:pt idx="1">
                  <c:v>327566.27</c:v>
                </c:pt>
                <c:pt idx="2">
                  <c:v>361593.45</c:v>
                </c:pt>
                <c:pt idx="3">
                  <c:v>36916.36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"Stripe Collections"</c:f>
              <c:strCache>
                <c:ptCount val="1"/>
                <c:pt idx="0">
                  <c:v>Stripe Collections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Revenue_Summary!$B$10</c:f>
              <c:numCache>
                <c:formatCode>#,##0;\(#,##0\);\-</c:formatCode>
                <c:ptCount val="1"/>
                <c:pt idx="0">
                  <c:v>106536.1</c:v>
                </c:pt>
              </c:numCache>
            </c:numRef>
          </c:val>
        </c:ser>
        <c:ser>
          <c:idx val="1"/>
          <c:order val="1"/>
          <c:tx>
            <c:strRef>
              <c:f>"Xero Invoiced Sales"</c:f>
              <c:strCache>
                <c:ptCount val="1"/>
                <c:pt idx="0">
                  <c:v>Xero Invoiced Sales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Revenue_Summary!$C$10</c:f>
              <c:numCache>
                <c:formatCode>#,##0;\(#,##0\);\-</c:formatCode>
                <c:ptCount val="1"/>
                <c:pt idx="0">
                  <c:v>137600.21</c:v>
                </c:pt>
              </c:numCache>
            </c:numRef>
          </c:val>
        </c:ser>
        <c:ser>
          <c:idx val="2"/>
          <c:order val="2"/>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Revenue_Summary!$D$10</c:f>
              <c:numCache>
                <c:formatCode>#,##0;\(#,##0\);\-</c:formatCode>
                <c:ptCount val="1"/>
                <c:pt idx="0">
                  <c:v>134194.14</c:v>
                </c:pt>
              </c:numCache>
            </c:numRef>
          </c:val>
        </c:ser>
        <c:ser>
          <c:idx val="3"/>
          <c:order val="3"/>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Revenue_Summary!$B$18</c:f>
              <c:numCache>
                <c:formatCode>#,##0;\(#,##0\);\-</c:formatCode>
                <c:ptCount val="1"/>
                <c:pt idx="0">
                  <c:v>164693.59</c:v>
                </c:pt>
              </c:numCache>
            </c:numRef>
          </c:val>
        </c:ser>
        <c:ser>
          <c:idx val="4"/>
          <c:order val="4"/>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Revenue_Summary!$C$18</c:f>
              <c:numCache>
                <c:formatCode>#,##0;\(#,##0\);\-</c:formatCode>
                <c:ptCount val="1"/>
                <c:pt idx="0">
                  <c:v>160753.95</c:v>
                </c:pt>
              </c:numCache>
            </c:numRef>
          </c:val>
        </c:ser>
        <c:ser>
          <c:idx val="5"/>
          <c:order val="5"/>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Revenue_Summary!$B$5:$D$5</c:f>
              <c:multiLvlStrCache>
                <c:ptCount val="1"/>
                <c:lvl>
                  <c:pt idx="0">
                    <c:v>Jun-2026</c:v>
                  </c:pt>
                </c:lvl>
                <c:lvl>
                  <c:pt idx="0">
                    <c:v>May-2026</c:v>
                  </c:pt>
                </c:lvl>
                <c:lvl>
                  <c:pt idx="0">
                    <c:v>Apr-2026</c:v>
                  </c:pt>
                </c:lvl>
              </c:multiLvlStrCache>
            </c:multiLvlStrRef>
          </c:cat>
          <c:val>
            <c:numRef>
              <c:f>Revenue_Summary!$D$18</c:f>
              <c:numCache>
                <c:formatCode>#,##0;\(#,##0\);\-</c:formatCode>
                <c:ptCount val="1"/>
                <c:pt idx="0">
                  <c:v>221599.51</c:v>
                </c:pt>
              </c:numCache>
            </c:numRef>
          </c:val>
        </c:ser>
        <c:gapWidth val="150"/>
        <c:overlap val="0"/>
        <c:axId val="77223185"/>
        <c:axId val="79532561"/>
      </c:barChart>
      <c:catAx>
        <c:axId val="7722318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532561"/>
        <c:crosses val="autoZero"/>
        <c:auto val="1"/>
        <c:lblAlgn val="ctr"/>
        <c:lblOffset val="100"/>
        <c:noMultiLvlLbl val="0"/>
      </c:catAx>
      <c:valAx>
        <c:axId val="7953256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AED</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22318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Expense_Summary!E5</c:f>
              <c:strCache>
                <c:ptCount val="1"/>
                <c:pt idx="0">
                  <c:v>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Expense_Summary!$A$6:$A$11</c:f>
              <c:strCache>
                <c:ptCount val="6"/>
                <c:pt idx="0">
                  <c:v>Salary - General &amp; Administration</c:v>
                </c:pt>
                <c:pt idx="1">
                  <c:v>Office Rent</c:v>
                </c:pt>
                <c:pt idx="2">
                  <c:v>SaaS &amp; Software Subscriptions</c:v>
                </c:pt>
                <c:pt idx="3">
                  <c:v>Trade License Fee</c:v>
                </c:pt>
                <c:pt idx="4">
                  <c:v>Travel Expense</c:v>
                </c:pt>
                <c:pt idx="5">
                  <c:v>Consulting Fees - Development</c:v>
                </c:pt>
              </c:strCache>
            </c:strRef>
          </c:cat>
          <c:val>
            <c:numRef>
              <c:f>Expense_Summary!$E$6:$E$11</c:f>
              <c:numCache>
                <c:formatCode>#,##0;\(#,##0\);\-</c:formatCode>
                <c:ptCount val="6"/>
                <c:pt idx="0">
                  <c:v>36336.51</c:v>
                </c:pt>
                <c:pt idx="1">
                  <c:v>74530.61</c:v>
                </c:pt>
                <c:pt idx="2">
                  <c:v>586.87</c:v>
                </c:pt>
                <c:pt idx="3">
                  <c:v>36483.9</c:v>
                </c:pt>
                <c:pt idx="4">
                  <c:v>56032.59</c:v>
                </c:pt>
                <c:pt idx="5">
                  <c:v>7849.93</c:v>
                </c:pt>
              </c:numCache>
            </c:numRef>
          </c:val>
        </c:ser>
        <c:gapWidth val="150"/>
        <c:overlap val="0"/>
        <c:axId val="96720265"/>
        <c:axId val="6192365"/>
      </c:barChart>
      <c:catAx>
        <c:axId val="9672026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92365"/>
        <c:crosses val="autoZero"/>
        <c:auto val="1"/>
        <c:lblAlgn val="ctr"/>
        <c:lblOffset val="100"/>
        <c:noMultiLvlLbl val="0"/>
      </c:catAx>
      <c:valAx>
        <c:axId val="6192365"/>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7202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Receivables!F67</c:f>
              <c:strCache>
                <c:ptCount val="1"/>
                <c:pt idx="0">
                  <c:v>Total Outstanding</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Receivables!$A$68:$A$70</c:f>
              <c:strCache>
                <c:ptCount val="3"/>
                <c:pt idx="0">
                  <c:v>UAE</c:v>
                </c:pt>
                <c:pt idx="1">
                  <c:v>Singapore</c:v>
                </c:pt>
                <c:pt idx="2">
                  <c:v>Other</c:v>
                </c:pt>
              </c:strCache>
            </c:strRef>
          </c:cat>
          <c:val>
            <c:numRef>
              <c:f>Receivables!$F$68:$F$70</c:f>
              <c:numCache>
                <c:formatCode>#,##0;\(#,##0\);\-</c:formatCode>
                <c:ptCount val="3"/>
                <c:pt idx="0">
                  <c:v>129991.27</c:v>
                </c:pt>
                <c:pt idx="1">
                  <c:v>133105.21</c:v>
                </c:pt>
                <c:pt idx="2">
                  <c:v>203141.28</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Expense_Summary!E15</c:f>
              <c:strCache>
                <c:ptCount val="1"/>
                <c:pt idx="0">
                  <c:v>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Expense_Summary!$A$16:$A$21</c:f>
              <c:strCache>
                <c:ptCount val="6"/>
                <c:pt idx="0">
                  <c:v>Al Fardan Exchange - Sole Proprietorship L.L.C</c:v>
                </c:pt>
                <c:pt idx="1">
                  <c:v>United Homeware Company (Nice)</c:v>
                </c:pt>
                <c:pt idx="2">
                  <c:v>Growth X Ventures LLC</c:v>
                </c:pt>
                <c:pt idx="3">
                  <c:v>I Farmer Pte Ltd</c:v>
                </c:pt>
                <c:pt idx="4">
                  <c:v>Misfit Technologies Pte Ltd</c:v>
                </c:pt>
                <c:pt idx="5">
                  <c:v>Nishat Linen UAE</c:v>
                </c:pt>
              </c:strCache>
            </c:strRef>
          </c:cat>
          <c:val>
            <c:numRef>
              <c:f>Expense_Summary!$E$16:$E$21</c:f>
              <c:numCache>
                <c:formatCode>#,##0;\(#,##0\);\-</c:formatCode>
                <c:ptCount val="6"/>
                <c:pt idx="0">
                  <c:v>11803.04</c:v>
                </c:pt>
                <c:pt idx="1">
                  <c:v>15862.47</c:v>
                </c:pt>
                <c:pt idx="2">
                  <c:v>8523.54</c:v>
                </c:pt>
                <c:pt idx="3">
                  <c:v>7141.51</c:v>
                </c:pt>
                <c:pt idx="4">
                  <c:v>12207.42</c:v>
                </c:pt>
                <c:pt idx="5">
                  <c:v>9909.82</c:v>
                </c:pt>
              </c:numCache>
            </c:numRef>
          </c:val>
        </c:ser>
        <c:gapWidth val="150"/>
        <c:overlap val="0"/>
        <c:axId val="9618650"/>
        <c:axId val="36961221"/>
      </c:barChart>
      <c:catAx>
        <c:axId val="961865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961221"/>
        <c:crosses val="autoZero"/>
        <c:auto val="1"/>
        <c:lblAlgn val="ctr"/>
        <c:lblOffset val="100"/>
        <c:noMultiLvlLbl val="0"/>
      </c:catAx>
      <c:valAx>
        <c:axId val="36961221"/>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186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Payables!F64</c:f>
              <c:strCache>
                <c:ptCount val="1"/>
                <c:pt idx="0">
                  <c:v>Total Outstanding</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Payables!$A$65:$A$75</c:f>
              <c:strCache>
                <c:ptCount val="11"/>
                <c:pt idx="0">
                  <c:v>WPP Cloud Hosting LLC</c:v>
                </c:pt>
                <c:pt idx="1">
                  <c:v>Freelance Dev Studio FZE</c:v>
                </c:pt>
                <c:pt idx="2">
                  <c:v>Twilio Inc (WhatsApp API)</c:v>
                </c:pt>
                <c:pt idx="3">
                  <c:v>Al Manara Office Supplies</c:v>
                </c:pt>
                <c:pt idx="4">
                  <c:v>Emirates Trade License Authority</c:v>
                </c:pt>
                <c:pt idx="5">
                  <c:v>Salary - General &amp; Administration</c:v>
                </c:pt>
                <c:pt idx="6">
                  <c:v>Office Rent</c:v>
                </c:pt>
                <c:pt idx="7">
                  <c:v>SaaS &amp; Software Subscriptions</c:v>
                </c:pt>
                <c:pt idx="8">
                  <c:v>Trade License Fee</c:v>
                </c:pt>
                <c:pt idx="9">
                  <c:v>Travel Expense</c:v>
                </c:pt>
                <c:pt idx="10">
                  <c:v>Consulting Fees - Development</c:v>
                </c:pt>
              </c:strCache>
            </c:strRef>
          </c:cat>
          <c:val>
            <c:numRef>
              <c:f>Payables!$F$65:$F$75</c:f>
              <c:numCache>
                <c:formatCode>#,##0;\(#,##0\);\-</c:formatCode>
                <c:ptCount val="11"/>
                <c:pt idx="0">
                  <c:v>4149.25</c:v>
                </c:pt>
                <c:pt idx="1">
                  <c:v>4441.12</c:v>
                </c:pt>
                <c:pt idx="2">
                  <c:v>0</c:v>
                </c:pt>
                <c:pt idx="3">
                  <c:v>0</c:v>
                </c:pt>
                <c:pt idx="4">
                  <c:v>3442.89</c:v>
                </c:pt>
                <c:pt idx="5">
                  <c:v>0</c:v>
                </c:pt>
                <c:pt idx="6">
                  <c:v>0</c:v>
                </c:pt>
                <c:pt idx="7">
                  <c:v>0</c:v>
                </c:pt>
                <c:pt idx="8">
                  <c:v>0</c:v>
                </c:pt>
                <c:pt idx="9">
                  <c:v>0</c:v>
                </c:pt>
                <c:pt idx="10">
                  <c:v>0</c:v>
                </c:pt>
              </c:numCache>
            </c:numRef>
          </c:val>
        </c:ser>
        <c:gapWidth val="150"/>
        <c:overlap val="0"/>
        <c:axId val="35469139"/>
        <c:axId val="6032247"/>
      </c:barChart>
      <c:catAx>
        <c:axId val="3546913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032247"/>
        <c:crosses val="autoZero"/>
        <c:auto val="1"/>
        <c:lblAlgn val="ctr"/>
        <c:lblOffset val="100"/>
        <c:noMultiLvlLbl val="0"/>
      </c:catAx>
      <c:valAx>
        <c:axId val="6032247"/>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4691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Customer_Receivables_Report!$B$5:$G$5</c:f>
              <c:strCache>
                <c:ptCount val="6"/>
                <c:pt idx="0">
                  <c:v>Paid</c:v>
                </c:pt>
                <c:pt idx="1">
                  <c:v>Awaiting Payment</c:v>
                </c:pt>
                <c:pt idx="2">
                  <c:v>Overdue</c:v>
                </c:pt>
                <c:pt idx="3">
                  <c:v>Draft</c:v>
                </c:pt>
                <c:pt idx="4">
                  <c:v>Void</c:v>
                </c:pt>
                <c:pt idx="5">
                  <c:v>Unsent</c:v>
                </c:pt>
              </c:strCache>
            </c:strRef>
          </c:cat>
          <c:val>
            <c:numRef>
              <c:f>Customer_Receivables_Report!$B$18:$G$18</c:f>
              <c:numCache>
                <c:formatCode>#,##0;\(#,##0\);\-</c:formatCode>
                <c:ptCount val="6"/>
                <c:pt idx="0">
                  <c:v>63080.75</c:v>
                </c:pt>
                <c:pt idx="1">
                  <c:v>137416.69</c:v>
                </c:pt>
                <c:pt idx="2">
                  <c:v>181856.02</c:v>
                </c:pt>
                <c:pt idx="3">
                  <c:v>54527.26</c:v>
                </c:pt>
                <c:pt idx="4">
                  <c:v>52548.26</c:v>
                </c:pt>
                <c:pt idx="5">
                  <c:v>57618.07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Customer_Receivables_Report!$B$21:$F$21</c:f>
              <c:strCache>
                <c:ptCount val="5"/>
                <c:pt idx="0">
                  <c:v>Paid</c:v>
                </c:pt>
                <c:pt idx="1">
                  <c:v>Open</c:v>
                </c:pt>
                <c:pt idx="2">
                  <c:v>Draft</c:v>
                </c:pt>
                <c:pt idx="3">
                  <c:v>Void</c:v>
                </c:pt>
                <c:pt idx="4">
                  <c:v>Uncollectible</c:v>
                </c:pt>
              </c:strCache>
            </c:strRef>
          </c:cat>
          <c:val>
            <c:numRef>
              <c:f>Customer_Receivables_Report!$B$34:$F$34</c:f>
              <c:numCache>
                <c:formatCode>#,##0;\(#,##0\);\-</c:formatCode>
                <c:ptCount val="5"/>
                <c:pt idx="0">
                  <c:v>30667.03</c:v>
                </c:pt>
                <c:pt idx="1">
                  <c:v>36737.46</c:v>
                </c:pt>
                <c:pt idx="2">
                  <c:v>6555.01</c:v>
                </c:pt>
                <c:pt idx="3">
                  <c:v>7432.23</c:v>
                </c:pt>
                <c:pt idx="4">
                  <c:v>12762.5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5</xdr:col>
      <xdr:colOff>888840</xdr:colOff>
      <xdr:row>47</xdr:row>
      <xdr:rowOff>22320</xdr:rowOff>
    </xdr:to>
    <xdr:graphicFrame>
      <xdr:nvGraphicFramePr>
        <xdr:cNvPr id="0" name="Chart 1"/>
        <xdr:cNvGraphicFramePr/>
      </xdr:nvGraphicFramePr>
      <xdr:xfrm>
        <a:off x="141120" y="656280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888840</xdr:colOff>
      <xdr:row>47</xdr:row>
      <xdr:rowOff>22320</xdr:rowOff>
    </xdr:to>
    <xdr:graphicFrame>
      <xdr:nvGraphicFramePr>
        <xdr:cNvPr id="1" name="Chart 2"/>
        <xdr:cNvGraphicFramePr/>
      </xdr:nvGraphicFramePr>
      <xdr:xfrm>
        <a:off x="6907680" y="6562800"/>
        <a:ext cx="53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50</xdr:row>
      <xdr:rowOff>0</xdr:rowOff>
    </xdr:from>
    <xdr:to>
      <xdr:col>5</xdr:col>
      <xdr:colOff>888840</xdr:colOff>
      <xdr:row>65</xdr:row>
      <xdr:rowOff>22320</xdr:rowOff>
    </xdr:to>
    <xdr:graphicFrame>
      <xdr:nvGraphicFramePr>
        <xdr:cNvPr id="2" name="Chart 3"/>
        <xdr:cNvGraphicFramePr/>
      </xdr:nvGraphicFramePr>
      <xdr:xfrm>
        <a:off x="141120" y="9991800"/>
        <a:ext cx="53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50</xdr:row>
      <xdr:rowOff>0</xdr:rowOff>
    </xdr:from>
    <xdr:to>
      <xdr:col>11</xdr:col>
      <xdr:colOff>888840</xdr:colOff>
      <xdr:row>65</xdr:row>
      <xdr:rowOff>22320</xdr:rowOff>
    </xdr:to>
    <xdr:graphicFrame>
      <xdr:nvGraphicFramePr>
        <xdr:cNvPr id="3" name="Chart 4"/>
        <xdr:cNvGraphicFramePr/>
      </xdr:nvGraphicFramePr>
      <xdr:xfrm>
        <a:off x="6907680" y="9991800"/>
        <a:ext cx="53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68</xdr:row>
      <xdr:rowOff>0</xdr:rowOff>
    </xdr:from>
    <xdr:to>
      <xdr:col>5</xdr:col>
      <xdr:colOff>888840</xdr:colOff>
      <xdr:row>83</xdr:row>
      <xdr:rowOff>22320</xdr:rowOff>
    </xdr:to>
    <xdr:graphicFrame>
      <xdr:nvGraphicFramePr>
        <xdr:cNvPr id="4" name="Chart 5"/>
        <xdr:cNvGraphicFramePr/>
      </xdr:nvGraphicFramePr>
      <xdr:xfrm>
        <a:off x="141120" y="13420800"/>
        <a:ext cx="53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0</xdr:colOff>
      <xdr:row>68</xdr:row>
      <xdr:rowOff>0</xdr:rowOff>
    </xdr:from>
    <xdr:to>
      <xdr:col>11</xdr:col>
      <xdr:colOff>888840</xdr:colOff>
      <xdr:row>83</xdr:row>
      <xdr:rowOff>22320</xdr:rowOff>
    </xdr:to>
    <xdr:graphicFrame>
      <xdr:nvGraphicFramePr>
        <xdr:cNvPr id="5" name="Chart 6"/>
        <xdr:cNvGraphicFramePr/>
      </xdr:nvGraphicFramePr>
      <xdr:xfrm>
        <a:off x="6907680" y="13420800"/>
        <a:ext cx="53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86</xdr:row>
      <xdr:rowOff>0</xdr:rowOff>
    </xdr:from>
    <xdr:to>
      <xdr:col>5</xdr:col>
      <xdr:colOff>888840</xdr:colOff>
      <xdr:row>101</xdr:row>
      <xdr:rowOff>22320</xdr:rowOff>
    </xdr:to>
    <xdr:graphicFrame>
      <xdr:nvGraphicFramePr>
        <xdr:cNvPr id="6" name="Chart 7"/>
        <xdr:cNvGraphicFramePr/>
      </xdr:nvGraphicFramePr>
      <xdr:xfrm>
        <a:off x="141120" y="16849800"/>
        <a:ext cx="5399640" cy="28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86</xdr:row>
      <xdr:rowOff>0</xdr:rowOff>
    </xdr:from>
    <xdr:to>
      <xdr:col>11</xdr:col>
      <xdr:colOff>888840</xdr:colOff>
      <xdr:row>101</xdr:row>
      <xdr:rowOff>22320</xdr:rowOff>
    </xdr:to>
    <xdr:graphicFrame>
      <xdr:nvGraphicFramePr>
        <xdr:cNvPr id="7" name="Chart 8"/>
        <xdr:cNvGraphicFramePr/>
      </xdr:nvGraphicFramePr>
      <xdr:xfrm>
        <a:off x="6907680" y="16849800"/>
        <a:ext cx="5399640" cy="287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M1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6"/>
    <col collapsed="false" customWidth="true" hidden="false" outlineLevel="0" max="14" min="14" style="0" width="2"/>
  </cols>
  <sheetData>
    <row r="2" customFormat="false" ht="25.5" hidden="false" customHeight="true" outlineLevel="0" collapsed="false">
      <c r="B2" s="1" t="s">
        <v>0</v>
      </c>
      <c r="C2" s="1"/>
      <c r="D2" s="1"/>
      <c r="E2" s="1"/>
      <c r="F2" s="1"/>
      <c r="G2" s="1"/>
      <c r="H2" s="1"/>
      <c r="I2" s="1"/>
      <c r="J2" s="1"/>
      <c r="K2" s="1"/>
      <c r="L2" s="1"/>
      <c r="M2" s="1"/>
    </row>
    <row r="3" customFormat="false" ht="19.5" hidden="false" customHeight="true" outlineLevel="0" collapsed="false">
      <c r="B3" s="1"/>
      <c r="C3" s="1"/>
      <c r="D3" s="1"/>
      <c r="E3" s="1"/>
      <c r="F3" s="1"/>
      <c r="G3" s="1"/>
      <c r="H3" s="1"/>
      <c r="I3" s="1"/>
      <c r="J3" s="1"/>
      <c r="K3" s="1"/>
      <c r="L3" s="1"/>
      <c r="M3" s="1"/>
    </row>
    <row r="4" customFormat="false" ht="18" hidden="false" customHeight="true" outlineLevel="0" collapsed="false">
      <c r="B4" s="2" t="s">
        <v>1</v>
      </c>
      <c r="C4" s="2"/>
      <c r="D4" s="2"/>
      <c r="E4" s="2"/>
      <c r="F4" s="2"/>
      <c r="G4" s="2"/>
      <c r="H4" s="2"/>
      <c r="I4" s="2"/>
      <c r="J4" s="2"/>
      <c r="K4" s="2"/>
      <c r="L4" s="2"/>
      <c r="M4" s="2"/>
    </row>
    <row r="6" customFormat="false" ht="15.75" hidden="false" customHeight="true" outlineLevel="0" collapsed="false">
      <c r="B6" s="3" t="s">
        <v>2</v>
      </c>
      <c r="C6" s="3"/>
      <c r="D6" s="3"/>
      <c r="E6" s="4" t="s">
        <v>3</v>
      </c>
      <c r="F6" s="4"/>
      <c r="G6" s="4"/>
      <c r="H6" s="5" t="s">
        <v>4</v>
      </c>
      <c r="I6" s="5"/>
      <c r="J6" s="5"/>
      <c r="K6" s="6" t="s">
        <v>5</v>
      </c>
      <c r="L6" s="6"/>
      <c r="M6" s="6"/>
    </row>
    <row r="7" customFormat="false" ht="13.5" hidden="false" customHeight="true" outlineLevel="0" collapsed="false">
      <c r="B7" s="7" t="n">
        <f aca="false">Revenue_Summary!B34</f>
        <v>1097886.63</v>
      </c>
      <c r="C7" s="7"/>
      <c r="D7" s="7"/>
      <c r="E7" s="7" t="n">
        <f aca="false">Expense_Summary!E41</f>
        <v>381575.26</v>
      </c>
      <c r="F7" s="7"/>
      <c r="G7" s="7"/>
      <c r="H7" s="7" t="n">
        <f aca="false">Revenue_Summary!B34-Expense_Summary!E41</f>
        <v>716311.37</v>
      </c>
      <c r="I7" s="7"/>
      <c r="J7" s="7"/>
      <c r="K7" s="7" t="n">
        <f aca="false">Receivables!F71</f>
        <v>466237.76</v>
      </c>
      <c r="L7" s="7"/>
      <c r="M7" s="7"/>
    </row>
    <row r="8" customFormat="false" ht="19.5" hidden="false" customHeight="true" outlineLevel="0" collapsed="false">
      <c r="B8" s="7"/>
      <c r="C8" s="7"/>
      <c r="D8" s="7"/>
      <c r="E8" s="7"/>
      <c r="F8" s="7"/>
      <c r="G8" s="7"/>
      <c r="H8" s="7"/>
      <c r="I8" s="7"/>
      <c r="J8" s="7"/>
      <c r="K8" s="7"/>
      <c r="L8" s="7"/>
      <c r="M8" s="7"/>
    </row>
    <row r="9" customFormat="false" ht="15" hidden="false" customHeight="false" outlineLevel="0" collapsed="false">
      <c r="B9" s="7"/>
      <c r="C9" s="7"/>
      <c r="D9" s="7"/>
      <c r="E9" s="7"/>
      <c r="F9" s="7"/>
      <c r="G9" s="7"/>
      <c r="H9" s="7"/>
      <c r="I9" s="7"/>
      <c r="J9" s="7"/>
      <c r="K9" s="7"/>
      <c r="L9" s="7"/>
      <c r="M9" s="7"/>
    </row>
    <row r="11" customFormat="false" ht="15.75" hidden="false" customHeight="true" outlineLevel="0" collapsed="false">
      <c r="B11" s="8" t="s">
        <v>6</v>
      </c>
      <c r="C11" s="8"/>
      <c r="D11" s="8"/>
      <c r="E11" s="9" t="s">
        <v>7</v>
      </c>
      <c r="F11" s="9"/>
      <c r="G11" s="9"/>
      <c r="H11" s="3" t="s">
        <v>8</v>
      </c>
      <c r="I11" s="3"/>
      <c r="J11" s="3"/>
      <c r="K11" s="3" t="s">
        <v>9</v>
      </c>
      <c r="L11" s="3"/>
      <c r="M11" s="3"/>
    </row>
    <row r="12" customFormat="false" ht="13.5" hidden="false" customHeight="true" outlineLevel="0" collapsed="false">
      <c r="B12" s="7" t="n">
        <f aca="false">Expense_Summary!E22</f>
        <v>65447.8</v>
      </c>
      <c r="C12" s="7"/>
      <c r="D12" s="7"/>
      <c r="E12" s="7" t="n">
        <f aca="false">INDEX(Bank_Raw!F4:F44,COUNT(Bank_Raw!F4:F44))</f>
        <v>499639.33</v>
      </c>
      <c r="F12" s="7"/>
      <c r="G12" s="7"/>
      <c r="H12" s="7" t="n">
        <f aca="false">Receivables!F68</f>
        <v>129991.27</v>
      </c>
      <c r="I12" s="7"/>
      <c r="J12" s="7"/>
      <c r="K12" s="7" t="n">
        <f aca="false">Receivables!F69</f>
        <v>133105.21</v>
      </c>
      <c r="L12" s="7"/>
      <c r="M12" s="7"/>
    </row>
    <row r="13" customFormat="false" ht="19.5" hidden="false" customHeight="true" outlineLevel="0" collapsed="false">
      <c r="B13" s="7"/>
      <c r="C13" s="7"/>
      <c r="D13" s="7"/>
      <c r="E13" s="7"/>
      <c r="F13" s="7"/>
      <c r="G13" s="7"/>
      <c r="H13" s="7"/>
      <c r="I13" s="7"/>
      <c r="J13" s="7"/>
      <c r="K13" s="7"/>
      <c r="L13" s="7"/>
      <c r="M13" s="7"/>
    </row>
    <row r="14" customFormat="false" ht="15" hidden="false" customHeight="false" outlineLevel="0" collapsed="false">
      <c r="B14" s="7"/>
      <c r="C14" s="7"/>
      <c r="D14" s="7"/>
      <c r="E14" s="7"/>
      <c r="F14" s="7"/>
      <c r="G14" s="7"/>
      <c r="H14" s="7"/>
      <c r="I14" s="7"/>
      <c r="J14" s="7"/>
      <c r="K14" s="7"/>
      <c r="L14" s="7"/>
      <c r="M14" s="7"/>
    </row>
    <row r="16" customFormat="false" ht="15.75" hidden="false" customHeight="true" outlineLevel="0" collapsed="false">
      <c r="B16" s="10" t="s">
        <v>10</v>
      </c>
      <c r="C16" s="10"/>
      <c r="D16" s="10"/>
      <c r="E16" s="11" t="s">
        <v>11</v>
      </c>
      <c r="F16" s="11"/>
      <c r="G16" s="11"/>
      <c r="H16" s="12" t="s">
        <v>12</v>
      </c>
      <c r="I16" s="12"/>
      <c r="J16" s="12"/>
      <c r="K16" s="13" t="s">
        <v>13</v>
      </c>
      <c r="L16" s="13"/>
      <c r="M16" s="13"/>
    </row>
    <row r="17" customFormat="false" ht="13.5" hidden="false" customHeight="true" outlineLevel="0" collapsed="false">
      <c r="B17" s="7" t="n">
        <f aca="false">Expense_Summary!E30</f>
        <v>51592.82</v>
      </c>
      <c r="C17" s="7"/>
      <c r="D17" s="7"/>
      <c r="E17" s="7" t="n">
        <f aca="false">Expense_Summary!E38</f>
        <v>52714.23</v>
      </c>
      <c r="F17" s="7"/>
      <c r="G17" s="7"/>
      <c r="H17" s="7" t="n">
        <f aca="false">Payables!F76</f>
        <v>12033.26</v>
      </c>
      <c r="I17" s="7"/>
      <c r="J17" s="7"/>
      <c r="K17" s="7" t="n">
        <f aca="false">Revenue_Summary!E26</f>
        <v>172509.13</v>
      </c>
      <c r="L17" s="7"/>
      <c r="M17" s="7"/>
    </row>
    <row r="18" customFormat="false" ht="19.5" hidden="false" customHeight="true" outlineLevel="0" collapsed="false">
      <c r="B18" s="7"/>
      <c r="C18" s="7"/>
      <c r="D18" s="7"/>
      <c r="E18" s="7"/>
      <c r="F18" s="7"/>
      <c r="G18" s="7"/>
      <c r="H18" s="7"/>
      <c r="I18" s="7"/>
      <c r="J18" s="7"/>
      <c r="K18" s="7"/>
      <c r="L18" s="7"/>
      <c r="M18" s="7"/>
    </row>
    <row r="19" customFormat="false" ht="15" hidden="false" customHeight="false" outlineLevel="0" collapsed="false">
      <c r="B19" s="7"/>
      <c r="C19" s="7"/>
      <c r="D19" s="7"/>
      <c r="E19" s="7"/>
      <c r="F19" s="7"/>
      <c r="G19" s="7"/>
      <c r="H19" s="7"/>
      <c r="I19" s="7"/>
      <c r="J19" s="7"/>
      <c r="K19" s="7"/>
      <c r="L19" s="7"/>
      <c r="M19" s="7"/>
    </row>
    <row r="21" customFormat="false" ht="15.75" hidden="false" customHeight="true" outlineLevel="0" collapsed="false">
      <c r="B21" s="14" t="s">
        <v>14</v>
      </c>
      <c r="C21" s="14"/>
      <c r="D21" s="14"/>
      <c r="E21" s="15" t="s">
        <v>15</v>
      </c>
      <c r="F21" s="15"/>
      <c r="G21" s="15"/>
      <c r="H21" s="16" t="s">
        <v>16</v>
      </c>
      <c r="I21" s="16"/>
      <c r="J21" s="16"/>
      <c r="K21" s="17" t="s">
        <v>17</v>
      </c>
      <c r="L21" s="17"/>
      <c r="M21" s="17"/>
    </row>
    <row r="22" customFormat="false" ht="13.5" hidden="false" customHeight="true" outlineLevel="0" collapsed="false">
      <c r="B22" s="7" t="n">
        <f aca="false">Financial_Statements_IFRS!C27</f>
        <v>731093.09</v>
      </c>
      <c r="C22" s="7"/>
      <c r="D22" s="7"/>
      <c r="E22" s="7" t="n">
        <f aca="false">Financial_Statements_GAAP!C26</f>
        <v>731093.09</v>
      </c>
      <c r="F22" s="7"/>
      <c r="G22" s="7"/>
      <c r="H22" s="18" t="str">
        <f aca="false">Trial_Balance!C41</f>
        <v>✓ BALANCED</v>
      </c>
      <c r="I22" s="18"/>
      <c r="J22" s="18"/>
      <c r="K22" s="7" t="n">
        <f aca="false">Customer_Receivables_Report!G34</f>
        <v>67404.49</v>
      </c>
      <c r="L22" s="7"/>
      <c r="M22" s="7"/>
    </row>
    <row r="23" customFormat="false" ht="19.5" hidden="false" customHeight="true" outlineLevel="0" collapsed="false">
      <c r="B23" s="7"/>
      <c r="C23" s="7"/>
      <c r="D23" s="7"/>
      <c r="E23" s="7"/>
      <c r="F23" s="7"/>
      <c r="G23" s="7"/>
      <c r="H23" s="18"/>
      <c r="I23" s="18"/>
      <c r="J23" s="18"/>
      <c r="K23" s="7"/>
      <c r="L23" s="7"/>
      <c r="M23" s="7"/>
    </row>
    <row r="24" customFormat="false" ht="15" hidden="false" customHeight="false" outlineLevel="0" collapsed="false">
      <c r="B24" s="7"/>
      <c r="C24" s="7"/>
      <c r="D24" s="7"/>
      <c r="E24" s="7"/>
      <c r="F24" s="7"/>
      <c r="G24" s="7"/>
      <c r="H24" s="18"/>
      <c r="I24" s="18"/>
      <c r="J24" s="18"/>
      <c r="K24" s="7"/>
      <c r="L24" s="7"/>
      <c r="M24" s="7"/>
    </row>
    <row r="26" customFormat="false" ht="15.75" hidden="false" customHeight="true" outlineLevel="0" collapsed="false">
      <c r="B26" s="4" t="s">
        <v>18</v>
      </c>
      <c r="C26" s="4"/>
      <c r="D26" s="4"/>
      <c r="E26" s="10" t="s">
        <v>19</v>
      </c>
      <c r="F26" s="10"/>
      <c r="G26" s="10"/>
      <c r="H26" s="19" t="s">
        <v>20</v>
      </c>
      <c r="I26" s="19"/>
      <c r="J26" s="19"/>
      <c r="K26" s="20" t="s">
        <v>21</v>
      </c>
      <c r="L26" s="20"/>
      <c r="M26" s="20"/>
    </row>
    <row r="27" customFormat="false" ht="13.5" hidden="false" customHeight="true" outlineLevel="0" collapsed="false">
      <c r="B27" s="7" t="n">
        <f aca="false">Meta_Cost_Recovery!G23</f>
        <v>-26062.68</v>
      </c>
      <c r="C27" s="7"/>
      <c r="D27" s="7"/>
      <c r="E27" s="21" t="n">
        <f aca="false">Meta_Cost_Recovery!H23</f>
        <v>1.39822087220655</v>
      </c>
      <c r="F27" s="21"/>
      <c r="G27" s="21"/>
      <c r="H27" s="7" t="n">
        <f aca="false">COUNTA(Customer_Master!A4:A5003)</f>
        <v>12</v>
      </c>
      <c r="I27" s="7"/>
      <c r="J27" s="7"/>
      <c r="K27" s="7" t="n">
        <f aca="false">COUNTIF(Subscription_Invoicing!G5:G200,"⚠ Due")</f>
        <v>2</v>
      </c>
      <c r="L27" s="7"/>
      <c r="M27" s="7"/>
    </row>
    <row r="28" customFormat="false" ht="19.5" hidden="false" customHeight="true" outlineLevel="0" collapsed="false">
      <c r="B28" s="7"/>
      <c r="C28" s="7"/>
      <c r="D28" s="7"/>
      <c r="E28" s="21"/>
      <c r="F28" s="21"/>
      <c r="G28" s="21"/>
      <c r="H28" s="7"/>
      <c r="I28" s="7"/>
      <c r="J28" s="7"/>
      <c r="K28" s="7"/>
      <c r="L28" s="7"/>
      <c r="M28" s="7"/>
    </row>
    <row r="29" customFormat="false" ht="15" hidden="false" customHeight="false" outlineLevel="0" collapsed="false">
      <c r="B29" s="7"/>
      <c r="C29" s="7"/>
      <c r="D29" s="7"/>
      <c r="E29" s="21"/>
      <c r="F29" s="21"/>
      <c r="G29" s="21"/>
      <c r="H29" s="7"/>
      <c r="I29" s="7"/>
      <c r="J29" s="7"/>
      <c r="K29" s="7"/>
      <c r="L29" s="7"/>
      <c r="M29" s="7"/>
    </row>
    <row r="32" customFormat="false" ht="15" hidden="false" customHeight="false" outlineLevel="0" collapsed="false">
      <c r="B32" s="22" t="s">
        <v>22</v>
      </c>
      <c r="H32" s="22" t="s">
        <v>23</v>
      </c>
    </row>
    <row r="50" customFormat="false" ht="15" hidden="false" customHeight="false" outlineLevel="0" collapsed="false">
      <c r="B50" s="22" t="s">
        <v>24</v>
      </c>
      <c r="H50" s="22" t="s">
        <v>25</v>
      </c>
    </row>
    <row r="68" customFormat="false" ht="15" hidden="false" customHeight="false" outlineLevel="0" collapsed="false">
      <c r="B68" s="22" t="s">
        <v>26</v>
      </c>
      <c r="H68" s="22" t="s">
        <v>27</v>
      </c>
    </row>
    <row r="86" customFormat="false" ht="15" hidden="false" customHeight="false" outlineLevel="0" collapsed="false">
      <c r="B86" s="22" t="s">
        <v>28</v>
      </c>
      <c r="H86" s="22" t="s">
        <v>29</v>
      </c>
    </row>
    <row r="104" customFormat="false" ht="15" hidden="false" customHeight="false" outlineLevel="0" collapsed="false">
      <c r="B104" s="22" t="s">
        <v>30</v>
      </c>
    </row>
    <row r="105" customFormat="false" ht="15" hidden="false" customHeight="false" outlineLevel="0" collapsed="false">
      <c r="B105" s="23" t="s">
        <v>31</v>
      </c>
      <c r="D105" s="24" t="s">
        <v>32</v>
      </c>
      <c r="E105" s="24"/>
      <c r="F105" s="24"/>
      <c r="G105" s="24"/>
      <c r="H105" s="24"/>
      <c r="I105" s="24"/>
      <c r="J105" s="24"/>
      <c r="K105" s="24"/>
      <c r="L105" s="24"/>
      <c r="M105" s="24"/>
    </row>
    <row r="106" customFormat="false" ht="15" hidden="false" customHeight="false" outlineLevel="0" collapsed="false">
      <c r="B106" s="23" t="s">
        <v>33</v>
      </c>
      <c r="D106" s="24" t="s">
        <v>34</v>
      </c>
      <c r="E106" s="24"/>
      <c r="F106" s="24"/>
      <c r="G106" s="24"/>
      <c r="H106" s="24"/>
      <c r="I106" s="24"/>
      <c r="J106" s="24"/>
      <c r="K106" s="24"/>
      <c r="L106" s="24"/>
      <c r="M106" s="24"/>
    </row>
    <row r="107" customFormat="false" ht="15" hidden="false" customHeight="false" outlineLevel="0" collapsed="false">
      <c r="B107" s="23" t="s">
        <v>35</v>
      </c>
      <c r="D107" s="24" t="s">
        <v>36</v>
      </c>
      <c r="E107" s="24"/>
      <c r="F107" s="24"/>
      <c r="G107" s="24"/>
      <c r="H107" s="24"/>
      <c r="I107" s="24"/>
      <c r="J107" s="24"/>
      <c r="K107" s="24"/>
      <c r="L107" s="24"/>
      <c r="M107" s="24"/>
    </row>
    <row r="108" customFormat="false" ht="15" hidden="false" customHeight="false" outlineLevel="0" collapsed="false">
      <c r="B108" s="23" t="s">
        <v>37</v>
      </c>
      <c r="D108" s="24" t="s">
        <v>38</v>
      </c>
      <c r="E108" s="24"/>
      <c r="F108" s="24"/>
      <c r="G108" s="24"/>
      <c r="H108" s="24"/>
      <c r="I108" s="24"/>
      <c r="J108" s="24"/>
      <c r="K108" s="24"/>
      <c r="L108" s="24"/>
      <c r="M108" s="24"/>
    </row>
    <row r="109" customFormat="false" ht="15" hidden="false" customHeight="false" outlineLevel="0" collapsed="false">
      <c r="B109" s="23" t="s">
        <v>39</v>
      </c>
      <c r="D109" s="24" t="s">
        <v>40</v>
      </c>
      <c r="E109" s="24"/>
      <c r="F109" s="24"/>
      <c r="G109" s="24"/>
      <c r="H109" s="24"/>
      <c r="I109" s="24"/>
      <c r="J109" s="24"/>
      <c r="K109" s="24"/>
      <c r="L109" s="24"/>
      <c r="M109" s="24"/>
    </row>
    <row r="110" customFormat="false" ht="15" hidden="false" customHeight="false" outlineLevel="0" collapsed="false">
      <c r="B110" s="23" t="s">
        <v>41</v>
      </c>
      <c r="D110" s="24" t="s">
        <v>42</v>
      </c>
      <c r="E110" s="24"/>
      <c r="F110" s="24"/>
      <c r="G110" s="24"/>
      <c r="H110" s="24"/>
      <c r="I110" s="24"/>
      <c r="J110" s="24"/>
      <c r="K110" s="24"/>
      <c r="L110" s="24"/>
      <c r="M110" s="24"/>
    </row>
    <row r="111" customFormat="false" ht="15" hidden="false" customHeight="false" outlineLevel="0" collapsed="false">
      <c r="B111" s="23" t="s">
        <v>43</v>
      </c>
      <c r="D111" s="24" t="s">
        <v>44</v>
      </c>
      <c r="E111" s="24"/>
      <c r="F111" s="24"/>
      <c r="G111" s="24"/>
      <c r="H111" s="24"/>
      <c r="I111" s="24"/>
      <c r="J111" s="24"/>
      <c r="K111" s="24"/>
      <c r="L111" s="24"/>
      <c r="M111" s="24"/>
    </row>
    <row r="112" customFormat="false" ht="15" hidden="false" customHeight="false" outlineLevel="0" collapsed="false">
      <c r="B112" s="23" t="s">
        <v>45</v>
      </c>
      <c r="D112" s="24" t="s">
        <v>46</v>
      </c>
      <c r="E112" s="24"/>
      <c r="F112" s="24"/>
      <c r="G112" s="24"/>
      <c r="H112" s="24"/>
      <c r="I112" s="24"/>
      <c r="J112" s="24"/>
      <c r="K112" s="24"/>
      <c r="L112" s="24"/>
      <c r="M112" s="24"/>
    </row>
    <row r="113" customFormat="false" ht="15" hidden="false" customHeight="false" outlineLevel="0" collapsed="false">
      <c r="B113" s="23" t="s">
        <v>47</v>
      </c>
      <c r="D113" s="24" t="s">
        <v>48</v>
      </c>
      <c r="E113" s="24"/>
      <c r="F113" s="24"/>
      <c r="G113" s="24"/>
      <c r="H113" s="24"/>
      <c r="I113" s="24"/>
      <c r="J113" s="24"/>
      <c r="K113" s="24"/>
      <c r="L113" s="24"/>
      <c r="M113" s="24"/>
    </row>
    <row r="114" customFormat="false" ht="15" hidden="false" customHeight="false" outlineLevel="0" collapsed="false">
      <c r="B114" s="23" t="s">
        <v>49</v>
      </c>
      <c r="D114" s="24" t="s">
        <v>50</v>
      </c>
      <c r="E114" s="24"/>
      <c r="F114" s="24"/>
      <c r="G114" s="24"/>
      <c r="H114" s="24"/>
      <c r="I114" s="24"/>
      <c r="J114" s="24"/>
      <c r="K114" s="24"/>
      <c r="L114" s="24"/>
      <c r="M114" s="24"/>
    </row>
    <row r="115" customFormat="false" ht="15" hidden="false" customHeight="false" outlineLevel="0" collapsed="false">
      <c r="B115" s="23" t="s">
        <v>51</v>
      </c>
      <c r="D115" s="24" t="s">
        <v>52</v>
      </c>
      <c r="E115" s="24"/>
      <c r="F115" s="24"/>
      <c r="G115" s="24"/>
      <c r="H115" s="24"/>
      <c r="I115" s="24"/>
      <c r="J115" s="24"/>
      <c r="K115" s="24"/>
      <c r="L115" s="24"/>
      <c r="M115" s="24"/>
    </row>
    <row r="116" customFormat="false" ht="15" hidden="false" customHeight="false" outlineLevel="0" collapsed="false">
      <c r="B116" s="23" t="s">
        <v>53</v>
      </c>
      <c r="D116" s="24" t="s">
        <v>54</v>
      </c>
      <c r="E116" s="24"/>
      <c r="F116" s="24"/>
      <c r="G116" s="24"/>
      <c r="H116" s="24"/>
      <c r="I116" s="24"/>
      <c r="J116" s="24"/>
      <c r="K116" s="24"/>
      <c r="L116" s="24"/>
      <c r="M116" s="24"/>
    </row>
    <row r="117" customFormat="false" ht="15" hidden="false" customHeight="false" outlineLevel="0" collapsed="false">
      <c r="B117" s="23" t="s">
        <v>55</v>
      </c>
      <c r="D117" s="24" t="s">
        <v>56</v>
      </c>
      <c r="E117" s="24"/>
      <c r="F117" s="24"/>
      <c r="G117" s="24"/>
      <c r="H117" s="24"/>
      <c r="I117" s="24"/>
      <c r="J117" s="24"/>
      <c r="K117" s="24"/>
      <c r="L117" s="24"/>
      <c r="M117" s="24"/>
    </row>
    <row r="118" customFormat="false" ht="15" hidden="false" customHeight="false" outlineLevel="0" collapsed="false">
      <c r="B118" s="23" t="s">
        <v>57</v>
      </c>
      <c r="D118" s="24" t="s">
        <v>58</v>
      </c>
      <c r="E118" s="24"/>
      <c r="F118" s="24"/>
      <c r="G118" s="24"/>
      <c r="H118" s="24"/>
      <c r="I118" s="24"/>
      <c r="J118" s="24"/>
      <c r="K118" s="24"/>
      <c r="L118" s="24"/>
      <c r="M118" s="24"/>
    </row>
    <row r="119" customFormat="false" ht="15" hidden="false" customHeight="false" outlineLevel="0" collapsed="false">
      <c r="B119" s="23" t="s">
        <v>59</v>
      </c>
      <c r="D119" s="24" t="s">
        <v>60</v>
      </c>
      <c r="E119" s="24"/>
      <c r="F119" s="24"/>
      <c r="G119" s="24"/>
      <c r="H119" s="24"/>
      <c r="I119" s="24"/>
      <c r="J119" s="24"/>
      <c r="K119" s="24"/>
      <c r="L119" s="24"/>
      <c r="M119" s="24"/>
    </row>
  </sheetData>
  <mergeCells count="57">
    <mergeCell ref="B2:M3"/>
    <mergeCell ref="B4:M4"/>
    <mergeCell ref="B6:D6"/>
    <mergeCell ref="E6:G6"/>
    <mergeCell ref="H6:J6"/>
    <mergeCell ref="K6:M6"/>
    <mergeCell ref="B7:D9"/>
    <mergeCell ref="E7:G9"/>
    <mergeCell ref="H7:J9"/>
    <mergeCell ref="K7:M9"/>
    <mergeCell ref="B11:D11"/>
    <mergeCell ref="E11:G11"/>
    <mergeCell ref="H11:J11"/>
    <mergeCell ref="K11:M11"/>
    <mergeCell ref="B12:D14"/>
    <mergeCell ref="E12:G14"/>
    <mergeCell ref="H12:J14"/>
    <mergeCell ref="K12:M14"/>
    <mergeCell ref="B16:D16"/>
    <mergeCell ref="E16:G16"/>
    <mergeCell ref="H16:J16"/>
    <mergeCell ref="K16:M16"/>
    <mergeCell ref="B17:D19"/>
    <mergeCell ref="E17:G19"/>
    <mergeCell ref="H17:J19"/>
    <mergeCell ref="K17:M19"/>
    <mergeCell ref="B21:D21"/>
    <mergeCell ref="E21:G21"/>
    <mergeCell ref="H21:J21"/>
    <mergeCell ref="K21:M21"/>
    <mergeCell ref="B22:D24"/>
    <mergeCell ref="E22:G24"/>
    <mergeCell ref="H22:J24"/>
    <mergeCell ref="K22:M24"/>
    <mergeCell ref="B26:D26"/>
    <mergeCell ref="E26:G26"/>
    <mergeCell ref="H26:J26"/>
    <mergeCell ref="K26:M26"/>
    <mergeCell ref="B27:D29"/>
    <mergeCell ref="E27:G29"/>
    <mergeCell ref="H27:J29"/>
    <mergeCell ref="K27:M29"/>
    <mergeCell ref="D105:M105"/>
    <mergeCell ref="D106:M106"/>
    <mergeCell ref="D107:M107"/>
    <mergeCell ref="D108:M108"/>
    <mergeCell ref="D109:M109"/>
    <mergeCell ref="D110:M110"/>
    <mergeCell ref="D111:M111"/>
    <mergeCell ref="D112:M112"/>
    <mergeCell ref="D113:M113"/>
    <mergeCell ref="D114:M114"/>
    <mergeCell ref="D115:M115"/>
    <mergeCell ref="D116:M116"/>
    <mergeCell ref="D117:M117"/>
    <mergeCell ref="D118:M118"/>
    <mergeCell ref="D119:M1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72E"/>
    <pageSetUpPr fitToPage="false"/>
  </sheetPr>
  <dimension ref="B2:B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3"/>
    <col collapsed="false" customWidth="true" hidden="false" outlineLevel="0" max="2" min="2" style="25" width="110"/>
  </cols>
  <sheetData>
    <row r="2" customFormat="false" ht="21.75" hidden="false" customHeight="true" outlineLevel="0" collapsed="false">
      <c r="B2" s="26" t="s">
        <v>61</v>
      </c>
    </row>
    <row r="4" customFormat="false" ht="15" hidden="false" customHeight="true" outlineLevel="0" collapsed="false">
      <c r="B4" s="27" t="s">
        <v>62</v>
      </c>
    </row>
    <row r="7" customFormat="false" ht="18" hidden="false" customHeight="true" outlineLevel="0" collapsed="false">
      <c r="B7" s="28" t="s">
        <v>63</v>
      </c>
    </row>
    <row r="8" customFormat="false" ht="15" hidden="false" customHeight="true" outlineLevel="0" collapsed="false">
      <c r="B8" s="27" t="s">
        <v>64</v>
      </c>
    </row>
    <row r="11" customFormat="false" ht="18" hidden="false" customHeight="true" outlineLevel="0" collapsed="false">
      <c r="B11" s="28" t="s">
        <v>65</v>
      </c>
    </row>
    <row r="12" customFormat="false" ht="15" hidden="false" customHeight="true" outlineLevel="0" collapsed="false">
      <c r="B12" s="27" t="s">
        <v>66</v>
      </c>
    </row>
    <row r="14" customFormat="false" ht="15" hidden="false" customHeight="true" outlineLevel="0" collapsed="false">
      <c r="B14" s="29" t="s">
        <v>67</v>
      </c>
    </row>
    <row r="15" customFormat="false" ht="15" hidden="false" customHeight="true" outlineLevel="0" collapsed="false">
      <c r="B15" s="29" t="s">
        <v>68</v>
      </c>
    </row>
    <row r="16" customFormat="false" ht="15" hidden="false" customHeight="true" outlineLevel="0" collapsed="false">
      <c r="B16" s="29" t="s">
        <v>69</v>
      </c>
    </row>
    <row r="17" customFormat="false" ht="15" hidden="false" customHeight="true" outlineLevel="0" collapsed="false">
      <c r="B17" s="29" t="s">
        <v>70</v>
      </c>
    </row>
    <row r="18" customFormat="false" ht="15" hidden="false" customHeight="true" outlineLevel="0" collapsed="false">
      <c r="B18" s="29" t="s">
        <v>71</v>
      </c>
    </row>
    <row r="19" customFormat="false" ht="15" hidden="false" customHeight="true" outlineLevel="0" collapsed="false">
      <c r="B19" s="29" t="s">
        <v>72</v>
      </c>
    </row>
    <row r="20" customFormat="false" ht="15" hidden="false" customHeight="true" outlineLevel="0" collapsed="false">
      <c r="B20" s="29" t="s">
        <v>73</v>
      </c>
    </row>
    <row r="21" customFormat="false" ht="15" hidden="false" customHeight="true" outlineLevel="0" collapsed="false">
      <c r="B21" s="29" t="s">
        <v>74</v>
      </c>
    </row>
    <row r="22" customFormat="false" ht="15" hidden="false" customHeight="true" outlineLevel="0" collapsed="false">
      <c r="B22" s="29" t="s">
        <v>75</v>
      </c>
    </row>
    <row r="24" customFormat="false" ht="15" hidden="false" customHeight="true" outlineLevel="0" collapsed="false">
      <c r="B24" s="27" t="s">
        <v>76</v>
      </c>
    </row>
    <row r="27" customFormat="false" ht="18" hidden="false" customHeight="true" outlineLevel="0" collapsed="false">
      <c r="B27" s="28" t="s">
        <v>77</v>
      </c>
    </row>
    <row r="28" customFormat="false" ht="15" hidden="false" customHeight="true" outlineLevel="0" collapsed="false">
      <c r="B28" s="27" t="s">
        <v>78</v>
      </c>
    </row>
    <row r="29" customFormat="false" ht="15" hidden="false" customHeight="true" outlineLevel="0" collapsed="false">
      <c r="B29" s="27" t="s">
        <v>79</v>
      </c>
    </row>
    <row r="30" customFormat="false" ht="15" hidden="false" customHeight="true" outlineLevel="0" collapsed="false">
      <c r="B30" s="27" t="s">
        <v>80</v>
      </c>
    </row>
    <row r="32" customFormat="false" ht="15" hidden="false" customHeight="true" outlineLevel="0" collapsed="false">
      <c r="B32" s="27" t="s">
        <v>81</v>
      </c>
    </row>
    <row r="35" customFormat="false" ht="18" hidden="false" customHeight="true" outlineLevel="0" collapsed="false">
      <c r="B35" s="28" t="s">
        <v>82</v>
      </c>
    </row>
    <row r="36" customFormat="false" ht="15" hidden="false" customHeight="true" outlineLevel="0" collapsed="false">
      <c r="B36" s="27" t="s">
        <v>83</v>
      </c>
    </row>
    <row r="37" customFormat="false" ht="15" hidden="false" customHeight="true" outlineLevel="0" collapsed="false">
      <c r="B37" s="27" t="s">
        <v>84</v>
      </c>
    </row>
    <row r="38" customFormat="false" ht="15" hidden="false" customHeight="true" outlineLevel="0" collapsed="false">
      <c r="B38" s="27" t="s">
        <v>85</v>
      </c>
    </row>
    <row r="40" customFormat="false" ht="15" hidden="false" customHeight="true" outlineLevel="0" collapsed="false">
      <c r="B40" s="27" t="s">
        <v>86</v>
      </c>
    </row>
    <row r="43" customFormat="false" ht="18" hidden="false" customHeight="true" outlineLevel="0" collapsed="false">
      <c r="B43" s="28" t="s">
        <v>87</v>
      </c>
    </row>
    <row r="44" customFormat="false" ht="15" hidden="false" customHeight="true" outlineLevel="0" collapsed="false">
      <c r="B44" s="27" t="s">
        <v>88</v>
      </c>
    </row>
    <row r="47" customFormat="false" ht="18" hidden="false" customHeight="true" outlineLevel="0" collapsed="false">
      <c r="B47" s="28" t="s">
        <v>89</v>
      </c>
    </row>
    <row r="48" customFormat="false" ht="15" hidden="false" customHeight="true" outlineLevel="0" collapsed="false">
      <c r="B48" s="27" t="s">
        <v>90</v>
      </c>
    </row>
    <row r="51" customFormat="false" ht="18" hidden="false" customHeight="true" outlineLevel="0" collapsed="false">
      <c r="B51" s="28" t="s">
        <v>91</v>
      </c>
    </row>
    <row r="52" customFormat="false" ht="15" hidden="false" customHeight="true" outlineLevel="0" collapsed="false">
      <c r="B52" s="27" t="s">
        <v>92</v>
      </c>
    </row>
    <row r="54" customFormat="false" ht="18" hidden="false" customHeight="true" outlineLevel="0" collapsed="false">
      <c r="B54" s="28" t="s">
        <v>93</v>
      </c>
    </row>
    <row r="55" customFormat="false" ht="15" hidden="false" customHeight="true" outlineLevel="0" collapsed="false">
      <c r="B55" s="27" t="s">
        <v>94</v>
      </c>
    </row>
    <row r="56" customFormat="false" ht="15" hidden="false" customHeight="true" outlineLevel="0" collapsed="false">
      <c r="B56" s="27" t="s">
        <v>95</v>
      </c>
    </row>
    <row r="57" customFormat="false" ht="15" hidden="false" customHeight="true" outlineLevel="0" collapsed="false">
      <c r="B57" s="27" t="s">
        <v>96</v>
      </c>
    </row>
    <row r="58" customFormat="false" ht="15" hidden="false" customHeight="true" outlineLevel="0" collapsed="false">
      <c r="B58" s="27" t="s">
        <v>97</v>
      </c>
    </row>
    <row r="59" customFormat="false" ht="15" hidden="false" customHeight="true" outlineLevel="0" collapsed="false">
      <c r="B59" s="27" t="s">
        <v>98</v>
      </c>
    </row>
    <row r="61" customFormat="false" ht="18" hidden="false" customHeight="true" outlineLevel="0" collapsed="false">
      <c r="B61" s="28" t="s">
        <v>99</v>
      </c>
    </row>
    <row r="62" customFormat="false" ht="15" hidden="false" customHeight="true" outlineLevel="0" collapsed="false">
      <c r="B62" s="27" t="s">
        <v>100</v>
      </c>
    </row>
    <row r="64" customFormat="false" ht="15" hidden="false" customHeight="true" outlineLevel="0" collapsed="false">
      <c r="B64" s="27" t="s">
        <v>101</v>
      </c>
    </row>
    <row r="67" customFormat="false" ht="15" hidden="false" customHeight="true" outlineLevel="0" collapsed="false">
      <c r="B67" s="27" t="s">
        <v>102</v>
      </c>
    </row>
    <row r="71" customFormat="false" ht="18" hidden="false" customHeight="true" outlineLevel="0" collapsed="false">
      <c r="B71" s="28" t="s">
        <v>103</v>
      </c>
    </row>
    <row r="72" customFormat="false" ht="15" hidden="false" customHeight="true" outlineLevel="0" collapsed="false">
      <c r="B72" s="27" t="s">
        <v>104</v>
      </c>
    </row>
    <row r="74" customFormat="false" ht="15" hidden="false" customHeight="true" outlineLevel="0" collapsed="false">
      <c r="B74" s="27" t="s">
        <v>105</v>
      </c>
    </row>
    <row r="76" customFormat="false" ht="18" hidden="false" customHeight="true" outlineLevel="0" collapsed="false">
      <c r="B76" s="28" t="s">
        <v>106</v>
      </c>
    </row>
    <row r="77" customFormat="false" ht="15" hidden="false" customHeight="true" outlineLevel="0" collapsed="false">
      <c r="B77" s="27" t="s">
        <v>107</v>
      </c>
    </row>
    <row r="78" customFormat="false" ht="15" hidden="false" customHeight="true" outlineLevel="0" collapsed="false">
      <c r="B78" s="27" t="s">
        <v>108</v>
      </c>
    </row>
    <row r="79" customFormat="false" ht="15" hidden="false" customHeight="true" outlineLevel="0" collapsed="false">
      <c r="B79" s="27" t="s">
        <v>109</v>
      </c>
    </row>
    <row r="80" customFormat="false" ht="15" hidden="false" customHeight="true" outlineLevel="0" collapsed="false">
      <c r="B80" s="27" t="s">
        <v>110</v>
      </c>
    </row>
    <row r="82" customFormat="false" ht="18" hidden="false" customHeight="true" outlineLevel="0" collapsed="false">
      <c r="B82" s="28" t="s">
        <v>111</v>
      </c>
    </row>
    <row r="83" customFormat="false" ht="15" hidden="false" customHeight="true" outlineLevel="0" collapsed="false">
      <c r="B83" s="27" t="s">
        <v>112</v>
      </c>
    </row>
    <row r="84" customFormat="false" ht="15" hidden="false" customHeight="true" outlineLevel="0" collapsed="false">
      <c r="B84" s="27" t="s">
        <v>113</v>
      </c>
    </row>
    <row r="86" customFormat="false" ht="18" hidden="false" customHeight="true" outlineLevel="0" collapsed="false">
      <c r="B86" s="30" t="s">
        <v>114</v>
      </c>
    </row>
    <row r="87" customFormat="false" ht="15" hidden="false" customHeight="true" outlineLevel="0" collapsed="false">
      <c r="B87" s="27" t="s">
        <v>115</v>
      </c>
    </row>
    <row r="88" customFormat="false" ht="15" hidden="false" customHeight="true" outlineLevel="0" collapsed="false">
      <c r="B88" s="27" t="s">
        <v>116</v>
      </c>
    </row>
    <row r="89" customFormat="false" ht="15" hidden="false" customHeight="true" outlineLevel="0" collapsed="false">
      <c r="B89" s="27" t="s">
        <v>117</v>
      </c>
    </row>
    <row r="91" customFormat="false" ht="18" hidden="false" customHeight="true" outlineLevel="0" collapsed="false">
      <c r="B91" s="30" t="s">
        <v>118</v>
      </c>
    </row>
    <row r="92" customFormat="false" ht="15" hidden="false" customHeight="true" outlineLevel="0" collapsed="false">
      <c r="B92" s="27" t="s">
        <v>119</v>
      </c>
    </row>
    <row r="94" customFormat="false" ht="18" hidden="false" customHeight="true" outlineLevel="0" collapsed="false">
      <c r="B94" s="30" t="s">
        <v>120</v>
      </c>
    </row>
    <row r="95" customFormat="false" ht="15" hidden="false" customHeight="true" outlineLevel="0" collapsed="false">
      <c r="B95" s="27" t="s">
        <v>121</v>
      </c>
    </row>
    <row r="97" customFormat="false" ht="18" hidden="false" customHeight="true" outlineLevel="0" collapsed="false">
      <c r="B97" s="30" t="s">
        <v>122</v>
      </c>
    </row>
    <row r="98" customFormat="false" ht="15" hidden="false" customHeight="true" outlineLevel="0" collapsed="false">
      <c r="B98" s="27"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BFF"/>
    <pageSetUpPr fitToPage="false"/>
  </sheetPr>
  <dimension ref="A1:J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12"/>
    <col collapsed="false" customWidth="true" hidden="false" outlineLevel="0" max="2" min="2" style="25" width="34"/>
    <col collapsed="false" customWidth="true" hidden="false" outlineLevel="0" max="3" min="3" style="25" width="30"/>
    <col collapsed="false" customWidth="true" hidden="false" outlineLevel="0" max="4" min="4" style="25" width="26"/>
    <col collapsed="false" customWidth="true" hidden="false" outlineLevel="0" max="5" min="5" style="25" width="15"/>
    <col collapsed="false" customWidth="true" hidden="false" outlineLevel="0" max="6" min="6" style="25" width="13"/>
    <col collapsed="false" customWidth="true" hidden="false" outlineLevel="0" max="7" min="7" style="25" width="14"/>
    <col collapsed="false" customWidth="true" hidden="false" outlineLevel="0" max="9" min="8" style="25" width="10"/>
    <col collapsed="false" customWidth="true" hidden="false" outlineLevel="0" max="10" min="10" style="25" width="14"/>
  </cols>
  <sheetData>
    <row r="1" customFormat="false" ht="15" hidden="false" customHeight="true" outlineLevel="0" collapsed="false">
      <c r="A1" s="31" t="s">
        <v>124</v>
      </c>
    </row>
    <row r="2" customFormat="false" ht="15" hidden="false" customHeight="true" outlineLevel="0" collapsed="false">
      <c r="A2" s="32" t="s">
        <v>125</v>
      </c>
    </row>
    <row r="3" customFormat="false" ht="21.75" hidden="false" customHeight="true" outlineLevel="0" collapsed="false">
      <c r="A3" s="33" t="s">
        <v>126</v>
      </c>
      <c r="B3" s="33" t="s">
        <v>127</v>
      </c>
      <c r="C3" s="33" t="s">
        <v>128</v>
      </c>
      <c r="D3" s="33" t="s">
        <v>129</v>
      </c>
      <c r="E3" s="33" t="s">
        <v>130</v>
      </c>
      <c r="F3" s="33" t="s">
        <v>131</v>
      </c>
      <c r="G3" s="33" t="s">
        <v>132</v>
      </c>
      <c r="H3" s="33" t="s">
        <v>133</v>
      </c>
      <c r="I3" s="33" t="s">
        <v>134</v>
      </c>
      <c r="J3" s="33" t="s">
        <v>135</v>
      </c>
    </row>
    <row r="4" customFormat="false" ht="15" hidden="false" customHeight="true" outlineLevel="0" collapsed="false">
      <c r="A4" s="34" t="n">
        <v>46113</v>
      </c>
      <c r="B4" s="35" t="s">
        <v>136</v>
      </c>
      <c r="C4" s="35" t="s">
        <v>137</v>
      </c>
      <c r="D4" s="35" t="s">
        <v>138</v>
      </c>
      <c r="E4" s="36" t="n">
        <v>13554.67</v>
      </c>
      <c r="F4" s="36" t="n">
        <v>394.29</v>
      </c>
      <c r="G4" s="36" t="n">
        <v>13160.38</v>
      </c>
      <c r="H4" s="35" t="s">
        <v>139</v>
      </c>
      <c r="I4" s="35" t="s">
        <v>140</v>
      </c>
      <c r="J4" s="37" t="str">
        <f aca="false">IFERROR(IF(ISNUMBER(SEARCH(Assumptions!$C$5,D4)),Assumptions!$D$5,IF(ISNUMBER(SEARCH(Assumptions!$C$6,D4)),Assumptions!$D$6,IF(ISNUMBER(SEARCH(Assumptions!$C$7,D4)),Assumptions!$D$7,"Other Services"))),"Other Services")</f>
        <v>WhatsApp</v>
      </c>
    </row>
    <row r="5" customFormat="false" ht="15" hidden="false" customHeight="true" outlineLevel="0" collapsed="false">
      <c r="A5" s="34" t="n">
        <v>46116</v>
      </c>
      <c r="B5" s="35" t="s">
        <v>141</v>
      </c>
      <c r="C5" s="35" t="s">
        <v>142</v>
      </c>
      <c r="D5" s="35" t="s">
        <v>143</v>
      </c>
      <c r="E5" s="36" t="n">
        <v>12439.23</v>
      </c>
      <c r="F5" s="36" t="n">
        <v>361.94</v>
      </c>
      <c r="G5" s="36" t="n">
        <v>12077.29</v>
      </c>
      <c r="H5" s="35" t="s">
        <v>139</v>
      </c>
      <c r="I5" s="35" t="s">
        <v>140</v>
      </c>
      <c r="J5" s="37" t="str">
        <f aca="false">IF(D5="","",IFERROR(IF(ISNUMBER(SEARCH(Assumptions!$C$5,D5)),Assumptions!$D$5,IF(ISNUMBER(SEARCH(Assumptions!$C$6,D5)),Assumptions!$D$6,IF(ISNUMBER(SEARCH(Assumptions!$C$7,D5)),Assumptions!$D$7,"Other Services"))),"Other Services"))</f>
        <v>Development</v>
      </c>
    </row>
    <row r="6" customFormat="false" ht="15" hidden="false" customHeight="true" outlineLevel="0" collapsed="false">
      <c r="A6" s="34" t="n">
        <v>46126</v>
      </c>
      <c r="B6" s="35" t="s">
        <v>144</v>
      </c>
      <c r="C6" s="35" t="s">
        <v>145</v>
      </c>
      <c r="D6" s="35" t="s">
        <v>146</v>
      </c>
      <c r="E6" s="36" t="n">
        <v>1346.66</v>
      </c>
      <c r="F6" s="36" t="n">
        <v>40.25</v>
      </c>
      <c r="G6" s="36" t="n">
        <v>1306.41</v>
      </c>
      <c r="H6" s="35" t="s">
        <v>139</v>
      </c>
      <c r="I6" s="35" t="s">
        <v>140</v>
      </c>
      <c r="J6" s="37" t="str">
        <f aca="false">IF(D6="","",IFERROR(IF(ISNUMBER(SEARCH(Assumptions!$C$5,D6)),Assumptions!$D$5,IF(ISNUMBER(SEARCH(Assumptions!$C$6,D6)),Assumptions!$D$6,IF(ISNUMBER(SEARCH(Assumptions!$C$7,D6)),Assumptions!$D$7,"Other Services"))),"Other Services"))</f>
        <v>Development</v>
      </c>
    </row>
    <row r="7" customFormat="false" ht="15" hidden="false" customHeight="true" outlineLevel="0" collapsed="false">
      <c r="A7" s="34" t="n">
        <v>46132</v>
      </c>
      <c r="B7" s="35" t="s">
        <v>147</v>
      </c>
      <c r="C7" s="35" t="s">
        <v>148</v>
      </c>
      <c r="D7" s="35" t="s">
        <v>146</v>
      </c>
      <c r="E7" s="36" t="n">
        <v>1256.42</v>
      </c>
      <c r="F7" s="36" t="n">
        <v>37.64</v>
      </c>
      <c r="G7" s="36" t="n">
        <v>1218.78</v>
      </c>
      <c r="H7" s="35" t="s">
        <v>139</v>
      </c>
      <c r="I7" s="35" t="s">
        <v>140</v>
      </c>
      <c r="J7" s="37" t="str">
        <f aca="false">IF(D7="","",IFERROR(IF(ISNUMBER(SEARCH(Assumptions!$C$5,D7)),Assumptions!$D$5,IF(ISNUMBER(SEARCH(Assumptions!$C$6,D7)),Assumptions!$D$6,IF(ISNUMBER(SEARCH(Assumptions!$C$7,D7)),Assumptions!$D$7,"Other Services"))),"Other Services"))</f>
        <v>Development</v>
      </c>
    </row>
    <row r="8" customFormat="false" ht="15" hidden="false" customHeight="true" outlineLevel="0" collapsed="false">
      <c r="A8" s="34" t="n">
        <v>46130</v>
      </c>
      <c r="B8" s="35" t="s">
        <v>136</v>
      </c>
      <c r="C8" s="35" t="s">
        <v>149</v>
      </c>
      <c r="D8" s="35" t="s">
        <v>143</v>
      </c>
      <c r="E8" s="36" t="n">
        <v>8015.74</v>
      </c>
      <c r="F8" s="36" t="n">
        <v>233.66</v>
      </c>
      <c r="G8" s="36" t="n">
        <v>7782.08</v>
      </c>
      <c r="H8" s="35" t="s">
        <v>139</v>
      </c>
      <c r="I8" s="35" t="s">
        <v>140</v>
      </c>
      <c r="J8" s="37" t="str">
        <f aca="false">IF(D8="","",IFERROR(IF(ISNUMBER(SEARCH(Assumptions!$C$5,D8)),Assumptions!$D$5,IF(ISNUMBER(SEARCH(Assumptions!$C$6,D8)),Assumptions!$D$6,IF(ISNUMBER(SEARCH(Assumptions!$C$7,D8)),Assumptions!$D$7,"Other Services"))),"Other Services"))</f>
        <v>Development</v>
      </c>
    </row>
    <row r="9" customFormat="false" ht="15" hidden="false" customHeight="true" outlineLevel="0" collapsed="false">
      <c r="A9" s="34" t="n">
        <v>46137</v>
      </c>
      <c r="B9" s="35" t="s">
        <v>150</v>
      </c>
      <c r="C9" s="35" t="s">
        <v>151</v>
      </c>
      <c r="D9" s="35" t="s">
        <v>138</v>
      </c>
      <c r="E9" s="36" t="n">
        <v>14660.09</v>
      </c>
      <c r="F9" s="36" t="n">
        <v>426.34</v>
      </c>
      <c r="G9" s="36" t="n">
        <v>14233.75</v>
      </c>
      <c r="H9" s="35" t="s">
        <v>139</v>
      </c>
      <c r="I9" s="35" t="s">
        <v>140</v>
      </c>
      <c r="J9" s="37" t="str">
        <f aca="false">IF(D9="","",IFERROR(IF(ISNUMBER(SEARCH(Assumptions!$C$5,D9)),Assumptions!$D$5,IF(ISNUMBER(SEARCH(Assumptions!$C$6,D9)),Assumptions!$D$6,IF(ISNUMBER(SEARCH(Assumptions!$C$7,D9)),Assumptions!$D$7,"Other Services"))),"Other Services"))</f>
        <v>WhatsApp</v>
      </c>
    </row>
    <row r="10" customFormat="false" ht="15" hidden="false" customHeight="true" outlineLevel="0" collapsed="false">
      <c r="A10" s="34" t="n">
        <v>46117</v>
      </c>
      <c r="B10" s="35" t="s">
        <v>152</v>
      </c>
      <c r="C10" s="35" t="s">
        <v>153</v>
      </c>
      <c r="D10" s="35" t="s">
        <v>154</v>
      </c>
      <c r="E10" s="36" t="n">
        <v>4503.4</v>
      </c>
      <c r="F10" s="36" t="n">
        <v>131.8</v>
      </c>
      <c r="G10" s="36" t="n">
        <v>4371.6</v>
      </c>
      <c r="H10" s="35" t="s">
        <v>139</v>
      </c>
      <c r="I10" s="35" t="s">
        <v>140</v>
      </c>
      <c r="J10" s="37" t="str">
        <f aca="false">IF(D10="","",IFERROR(IF(ISNUMBER(SEARCH(Assumptions!$C$5,D10)),Assumptions!$D$5,IF(ISNUMBER(SEARCH(Assumptions!$C$6,D10)),Assumptions!$D$6,IF(ISNUMBER(SEARCH(Assumptions!$C$7,D10)),Assumptions!$D$7,"Other Services"))),"Other Services"))</f>
        <v>Subscription</v>
      </c>
    </row>
    <row r="11" customFormat="false" ht="15" hidden="false" customHeight="true" outlineLevel="0" collapsed="false">
      <c r="A11" s="34" t="n">
        <v>46125</v>
      </c>
      <c r="B11" s="35" t="s">
        <v>144</v>
      </c>
      <c r="C11" s="35" t="s">
        <v>155</v>
      </c>
      <c r="D11" s="35" t="s">
        <v>138</v>
      </c>
      <c r="E11" s="36" t="n">
        <v>2463.52</v>
      </c>
      <c r="F11" s="36" t="n">
        <v>72.64</v>
      </c>
      <c r="G11" s="36" t="n">
        <v>2390.88</v>
      </c>
      <c r="H11" s="35" t="s">
        <v>139</v>
      </c>
      <c r="I11" s="35" t="s">
        <v>140</v>
      </c>
      <c r="J11" s="37" t="str">
        <f aca="false">IF(D11="","",IFERROR(IF(ISNUMBER(SEARCH(Assumptions!$C$5,D11)),Assumptions!$D$5,IF(ISNUMBER(SEARCH(Assumptions!$C$6,D11)),Assumptions!$D$6,IF(ISNUMBER(SEARCH(Assumptions!$C$7,D11)),Assumptions!$D$7,"Other Services"))),"Other Services"))</f>
        <v>WhatsApp</v>
      </c>
    </row>
    <row r="12" customFormat="false" ht="15" hidden="false" customHeight="true" outlineLevel="0" collapsed="false">
      <c r="A12" s="34" t="n">
        <v>46138</v>
      </c>
      <c r="B12" s="35" t="s">
        <v>156</v>
      </c>
      <c r="C12" s="35" t="s">
        <v>157</v>
      </c>
      <c r="D12" s="35" t="s">
        <v>154</v>
      </c>
      <c r="E12" s="36" t="n">
        <v>1547.35</v>
      </c>
      <c r="F12" s="36" t="n">
        <v>46.07</v>
      </c>
      <c r="G12" s="36" t="n">
        <v>1501.28</v>
      </c>
      <c r="H12" s="35" t="s">
        <v>139</v>
      </c>
      <c r="I12" s="35" t="s">
        <v>140</v>
      </c>
      <c r="J12" s="37" t="str">
        <f aca="false">IF(D12="","",IFERROR(IF(ISNUMBER(SEARCH(Assumptions!$C$5,D12)),Assumptions!$D$5,IF(ISNUMBER(SEARCH(Assumptions!$C$6,D12)),Assumptions!$D$6,IF(ISNUMBER(SEARCH(Assumptions!$C$7,D12)),Assumptions!$D$7,"Other Services"))),"Other Services"))</f>
        <v>Subscription</v>
      </c>
    </row>
    <row r="13" customFormat="false" ht="15" hidden="false" customHeight="true" outlineLevel="0" collapsed="false">
      <c r="A13" s="34" t="n">
        <v>46115</v>
      </c>
      <c r="B13" s="35" t="s">
        <v>144</v>
      </c>
      <c r="C13" s="35" t="s">
        <v>158</v>
      </c>
      <c r="D13" s="35" t="s">
        <v>159</v>
      </c>
      <c r="E13" s="36" t="n">
        <v>10295.1</v>
      </c>
      <c r="F13" s="36" t="n">
        <v>299.76</v>
      </c>
      <c r="G13" s="36" t="n">
        <v>9995.34</v>
      </c>
      <c r="H13" s="35" t="s">
        <v>139</v>
      </c>
      <c r="I13" s="35" t="s">
        <v>140</v>
      </c>
      <c r="J13" s="37" t="str">
        <f aca="false">IF(D13="","",IFERROR(IF(ISNUMBER(SEARCH(Assumptions!$C$5,D13)),Assumptions!$D$5,IF(ISNUMBER(SEARCH(Assumptions!$C$6,D13)),Assumptions!$D$6,IF(ISNUMBER(SEARCH(Assumptions!$C$7,D13)),Assumptions!$D$7,"Other Services"))),"Other Services"))</f>
        <v>Subscription</v>
      </c>
    </row>
    <row r="14" customFormat="false" ht="15" hidden="false" customHeight="true" outlineLevel="0" collapsed="false">
      <c r="A14" s="34" t="n">
        <v>46131</v>
      </c>
      <c r="B14" s="35" t="s">
        <v>156</v>
      </c>
      <c r="C14" s="35" t="s">
        <v>157</v>
      </c>
      <c r="D14" s="35" t="s">
        <v>154</v>
      </c>
      <c r="E14" s="36" t="n">
        <v>4107.36</v>
      </c>
      <c r="F14" s="36" t="n">
        <v>120.31</v>
      </c>
      <c r="G14" s="36" t="n">
        <v>3987.05</v>
      </c>
      <c r="H14" s="35" t="s">
        <v>139</v>
      </c>
      <c r="I14" s="35" t="s">
        <v>140</v>
      </c>
      <c r="J14" s="37" t="str">
        <f aca="false">IF(D14="","",IFERROR(IF(ISNUMBER(SEARCH(Assumptions!$C$5,D14)),Assumptions!$D$5,IF(ISNUMBER(SEARCH(Assumptions!$C$6,D14)),Assumptions!$D$6,IF(ISNUMBER(SEARCH(Assumptions!$C$7,D14)),Assumptions!$D$7,"Other Services"))),"Other Services"))</f>
        <v>Subscription</v>
      </c>
    </row>
    <row r="15" customFormat="false" ht="15" hidden="false" customHeight="true" outlineLevel="0" collapsed="false">
      <c r="A15" s="34" t="n">
        <v>46137</v>
      </c>
      <c r="B15" s="35" t="s">
        <v>136</v>
      </c>
      <c r="C15" s="35" t="s">
        <v>160</v>
      </c>
      <c r="D15" s="35" t="s">
        <v>161</v>
      </c>
      <c r="E15" s="36" t="n">
        <v>5777.47</v>
      </c>
      <c r="F15" s="36" t="n">
        <v>168.75</v>
      </c>
      <c r="G15" s="36" t="n">
        <v>5608.72</v>
      </c>
      <c r="H15" s="35" t="s">
        <v>139</v>
      </c>
      <c r="I15" s="35" t="s">
        <v>140</v>
      </c>
      <c r="J15" s="37" t="str">
        <f aca="false">IF(D15="","",IFERROR(IF(ISNUMBER(SEARCH(Assumptions!$C$5,D15)),Assumptions!$D$5,IF(ISNUMBER(SEARCH(Assumptions!$C$6,D15)),Assumptions!$D$6,IF(ISNUMBER(SEARCH(Assumptions!$C$7,D15)),Assumptions!$D$7,"Other Services"))),"Other Services"))</f>
        <v>WhatsApp</v>
      </c>
    </row>
    <row r="16" customFormat="false" ht="15" hidden="false" customHeight="true" outlineLevel="0" collapsed="false">
      <c r="A16" s="34" t="n">
        <v>46125</v>
      </c>
      <c r="B16" s="35" t="s">
        <v>147</v>
      </c>
      <c r="C16" s="35" t="s">
        <v>162</v>
      </c>
      <c r="D16" s="35" t="s">
        <v>138</v>
      </c>
      <c r="E16" s="36" t="n">
        <v>5581.15</v>
      </c>
      <c r="F16" s="36" t="n">
        <v>163.05</v>
      </c>
      <c r="G16" s="36" t="n">
        <v>5418.1</v>
      </c>
      <c r="H16" s="35" t="s">
        <v>139</v>
      </c>
      <c r="I16" s="35" t="s">
        <v>140</v>
      </c>
      <c r="J16" s="37" t="str">
        <f aca="false">IF(D16="","",IFERROR(IF(ISNUMBER(SEARCH(Assumptions!$C$5,D16)),Assumptions!$D$5,IF(ISNUMBER(SEARCH(Assumptions!$C$6,D16)),Assumptions!$D$6,IF(ISNUMBER(SEARCH(Assumptions!$C$7,D16)),Assumptions!$D$7,"Other Services"))),"Other Services"))</f>
        <v>WhatsApp</v>
      </c>
    </row>
    <row r="17" customFormat="false" ht="15" hidden="false" customHeight="true" outlineLevel="0" collapsed="false">
      <c r="A17" s="34" t="n">
        <v>46124</v>
      </c>
      <c r="B17" s="35" t="s">
        <v>152</v>
      </c>
      <c r="C17" s="35" t="s">
        <v>163</v>
      </c>
      <c r="D17" s="35" t="s">
        <v>161</v>
      </c>
      <c r="E17" s="36" t="n">
        <v>6910.66</v>
      </c>
      <c r="F17" s="36" t="n">
        <v>201.61</v>
      </c>
      <c r="G17" s="36" t="n">
        <v>6709.05</v>
      </c>
      <c r="H17" s="35" t="s">
        <v>139</v>
      </c>
      <c r="I17" s="35" t="s">
        <v>140</v>
      </c>
      <c r="J17" s="37" t="str">
        <f aca="false">IF(D17="","",IFERROR(IF(ISNUMBER(SEARCH(Assumptions!$C$5,D17)),Assumptions!$D$5,IF(ISNUMBER(SEARCH(Assumptions!$C$6,D17)),Assumptions!$D$6,IF(ISNUMBER(SEARCH(Assumptions!$C$7,D17)),Assumptions!$D$7,"Other Services"))),"Other Services"))</f>
        <v>WhatsApp</v>
      </c>
    </row>
    <row r="18" customFormat="false" ht="15" hidden="false" customHeight="true" outlineLevel="0" collapsed="false">
      <c r="A18" s="34" t="n">
        <v>46163</v>
      </c>
      <c r="B18" s="35" t="s">
        <v>164</v>
      </c>
      <c r="C18" s="35" t="s">
        <v>165</v>
      </c>
      <c r="D18" s="35" t="s">
        <v>143</v>
      </c>
      <c r="E18" s="36" t="n">
        <v>2028.12</v>
      </c>
      <c r="F18" s="36" t="n">
        <v>60.02</v>
      </c>
      <c r="G18" s="36" t="n">
        <v>1968.1</v>
      </c>
      <c r="H18" s="35" t="s">
        <v>139</v>
      </c>
      <c r="I18" s="35" t="s">
        <v>140</v>
      </c>
      <c r="J18" s="37" t="str">
        <f aca="false">IF(D18="","",IFERROR(IF(ISNUMBER(SEARCH(Assumptions!$C$5,D18)),Assumptions!$D$5,IF(ISNUMBER(SEARCH(Assumptions!$C$6,D18)),Assumptions!$D$6,IF(ISNUMBER(SEARCH(Assumptions!$C$7,D18)),Assumptions!$D$7,"Other Services"))),"Other Services"))</f>
        <v>Development</v>
      </c>
    </row>
    <row r="19" customFormat="false" ht="15" hidden="false" customHeight="true" outlineLevel="0" collapsed="false">
      <c r="A19" s="34" t="n">
        <v>46150</v>
      </c>
      <c r="B19" s="35" t="s">
        <v>166</v>
      </c>
      <c r="C19" s="35" t="s">
        <v>167</v>
      </c>
      <c r="D19" s="35" t="s">
        <v>143</v>
      </c>
      <c r="E19" s="36" t="n">
        <v>3610.52</v>
      </c>
      <c r="F19" s="36" t="n">
        <v>105.91</v>
      </c>
      <c r="G19" s="36" t="n">
        <v>3504.61</v>
      </c>
      <c r="H19" s="35" t="s">
        <v>139</v>
      </c>
      <c r="I19" s="35" t="s">
        <v>140</v>
      </c>
      <c r="J19" s="37" t="str">
        <f aca="false">IF(D19="","",IFERROR(IF(ISNUMBER(SEARCH(Assumptions!$C$5,D19)),Assumptions!$D$5,IF(ISNUMBER(SEARCH(Assumptions!$C$6,D19)),Assumptions!$D$6,IF(ISNUMBER(SEARCH(Assumptions!$C$7,D19)),Assumptions!$D$7,"Other Services"))),"Other Services"))</f>
        <v>Development</v>
      </c>
    </row>
    <row r="20" customFormat="false" ht="15" hidden="false" customHeight="true" outlineLevel="0" collapsed="false">
      <c r="A20" s="34" t="n">
        <v>46160</v>
      </c>
      <c r="B20" s="35" t="s">
        <v>136</v>
      </c>
      <c r="C20" s="35" t="s">
        <v>149</v>
      </c>
      <c r="D20" s="35" t="s">
        <v>143</v>
      </c>
      <c r="E20" s="36" t="n">
        <v>4577.38</v>
      </c>
      <c r="F20" s="36" t="n">
        <v>133.94</v>
      </c>
      <c r="G20" s="36" t="n">
        <v>4443.44</v>
      </c>
      <c r="H20" s="35" t="s">
        <v>139</v>
      </c>
      <c r="I20" s="35" t="s">
        <v>140</v>
      </c>
      <c r="J20" s="37" t="str">
        <f aca="false">IF(D20="","",IFERROR(IF(ISNUMBER(SEARCH(Assumptions!$C$5,D20)),Assumptions!$D$5,IF(ISNUMBER(SEARCH(Assumptions!$C$6,D20)),Assumptions!$D$6,IF(ISNUMBER(SEARCH(Assumptions!$C$7,D20)),Assumptions!$D$7,"Other Services"))),"Other Services"))</f>
        <v>Development</v>
      </c>
    </row>
    <row r="21" customFormat="false" ht="15" hidden="false" customHeight="true" outlineLevel="0" collapsed="false">
      <c r="A21" s="34" t="n">
        <v>46169</v>
      </c>
      <c r="B21" s="35" t="s">
        <v>168</v>
      </c>
      <c r="C21" s="35" t="s">
        <v>169</v>
      </c>
      <c r="D21" s="35" t="s">
        <v>161</v>
      </c>
      <c r="E21" s="36" t="n">
        <v>1352.12</v>
      </c>
      <c r="F21" s="36" t="n">
        <v>40.41</v>
      </c>
      <c r="G21" s="36" t="n">
        <v>1311.71</v>
      </c>
      <c r="H21" s="35" t="s">
        <v>139</v>
      </c>
      <c r="I21" s="35" t="s">
        <v>140</v>
      </c>
      <c r="J21" s="37" t="str">
        <f aca="false">IF(D21="","",IFERROR(IF(ISNUMBER(SEARCH(Assumptions!$C$5,D21)),Assumptions!$D$5,IF(ISNUMBER(SEARCH(Assumptions!$C$6,D21)),Assumptions!$D$6,IF(ISNUMBER(SEARCH(Assumptions!$C$7,D21)),Assumptions!$D$7,"Other Services"))),"Other Services"))</f>
        <v>WhatsApp</v>
      </c>
    </row>
    <row r="22" customFormat="false" ht="15" hidden="false" customHeight="true" outlineLevel="0" collapsed="false">
      <c r="A22" s="34" t="n">
        <v>46149</v>
      </c>
      <c r="B22" s="35" t="s">
        <v>150</v>
      </c>
      <c r="C22" s="35" t="s">
        <v>151</v>
      </c>
      <c r="D22" s="35" t="s">
        <v>138</v>
      </c>
      <c r="E22" s="36" t="n">
        <v>16505.94</v>
      </c>
      <c r="F22" s="36" t="n">
        <v>479.87</v>
      </c>
      <c r="G22" s="36" t="n">
        <v>16026.07</v>
      </c>
      <c r="H22" s="35" t="s">
        <v>139</v>
      </c>
      <c r="I22" s="35" t="s">
        <v>140</v>
      </c>
      <c r="J22" s="37" t="str">
        <f aca="false">IF(D22="","",IFERROR(IF(ISNUMBER(SEARCH(Assumptions!$C$5,D22)),Assumptions!$D$5,IF(ISNUMBER(SEARCH(Assumptions!$C$6,D22)),Assumptions!$D$6,IF(ISNUMBER(SEARCH(Assumptions!$C$7,D22)),Assumptions!$D$7,"Other Services"))),"Other Services"))</f>
        <v>WhatsApp</v>
      </c>
    </row>
    <row r="23" customFormat="false" ht="15" hidden="false" customHeight="true" outlineLevel="0" collapsed="false">
      <c r="A23" s="34" t="n">
        <v>46149</v>
      </c>
      <c r="B23" s="35" t="s">
        <v>164</v>
      </c>
      <c r="C23" s="35" t="s">
        <v>170</v>
      </c>
      <c r="D23" s="35" t="s">
        <v>154</v>
      </c>
      <c r="E23" s="36" t="n">
        <v>12073.55</v>
      </c>
      <c r="F23" s="36" t="n">
        <v>351.33</v>
      </c>
      <c r="G23" s="36" t="n">
        <v>11722.22</v>
      </c>
      <c r="H23" s="35" t="s">
        <v>139</v>
      </c>
      <c r="I23" s="35" t="s">
        <v>140</v>
      </c>
      <c r="J23" s="37" t="str">
        <f aca="false">IF(D23="","",IFERROR(IF(ISNUMBER(SEARCH(Assumptions!$C$5,D23)),Assumptions!$D$5,IF(ISNUMBER(SEARCH(Assumptions!$C$6,D23)),Assumptions!$D$6,IF(ISNUMBER(SEARCH(Assumptions!$C$7,D23)),Assumptions!$D$7,"Other Services"))),"Other Services"))</f>
        <v>Subscription</v>
      </c>
    </row>
    <row r="24" customFormat="false" ht="15" hidden="false" customHeight="true" outlineLevel="0" collapsed="false">
      <c r="A24" s="34" t="n">
        <v>46147</v>
      </c>
      <c r="B24" s="35" t="s">
        <v>136</v>
      </c>
      <c r="C24" s="35" t="s">
        <v>171</v>
      </c>
      <c r="D24" s="35" t="s">
        <v>159</v>
      </c>
      <c r="E24" s="36" t="n">
        <v>5355.94</v>
      </c>
      <c r="F24" s="36" t="n">
        <v>156.52</v>
      </c>
      <c r="G24" s="36" t="n">
        <v>5199.42</v>
      </c>
      <c r="H24" s="35" t="s">
        <v>139</v>
      </c>
      <c r="I24" s="35" t="s">
        <v>140</v>
      </c>
      <c r="J24" s="37" t="str">
        <f aca="false">IF(D24="","",IFERROR(IF(ISNUMBER(SEARCH(Assumptions!$C$5,D24)),Assumptions!$D$5,IF(ISNUMBER(SEARCH(Assumptions!$C$6,D24)),Assumptions!$D$6,IF(ISNUMBER(SEARCH(Assumptions!$C$7,D24)),Assumptions!$D$7,"Other Services"))),"Other Services"))</f>
        <v>Subscription</v>
      </c>
    </row>
    <row r="25" customFormat="false" ht="15" hidden="false" customHeight="true" outlineLevel="0" collapsed="false">
      <c r="A25" s="34" t="n">
        <v>46151</v>
      </c>
      <c r="B25" s="35" t="s">
        <v>166</v>
      </c>
      <c r="C25" s="35" t="s">
        <v>172</v>
      </c>
      <c r="D25" s="35" t="s">
        <v>146</v>
      </c>
      <c r="E25" s="36" t="n">
        <v>13648.64</v>
      </c>
      <c r="F25" s="36" t="n">
        <v>397.01</v>
      </c>
      <c r="G25" s="36" t="n">
        <v>13251.63</v>
      </c>
      <c r="H25" s="35" t="s">
        <v>139</v>
      </c>
      <c r="I25" s="35" t="s">
        <v>140</v>
      </c>
      <c r="J25" s="37" t="str">
        <f aca="false">IF(D25="","",IFERROR(IF(ISNUMBER(SEARCH(Assumptions!$C$5,D25)),Assumptions!$D$5,IF(ISNUMBER(SEARCH(Assumptions!$C$6,D25)),Assumptions!$D$6,IF(ISNUMBER(SEARCH(Assumptions!$C$7,D25)),Assumptions!$D$7,"Other Services"))),"Other Services"))</f>
        <v>Development</v>
      </c>
    </row>
    <row r="26" customFormat="false" ht="15" hidden="false" customHeight="true" outlineLevel="0" collapsed="false">
      <c r="A26" s="34" t="n">
        <v>46154</v>
      </c>
      <c r="B26" s="35" t="s">
        <v>156</v>
      </c>
      <c r="C26" s="35" t="s">
        <v>173</v>
      </c>
      <c r="D26" s="35" t="s">
        <v>159</v>
      </c>
      <c r="E26" s="36" t="n">
        <v>4572.32</v>
      </c>
      <c r="F26" s="36" t="n">
        <v>133.8</v>
      </c>
      <c r="G26" s="36" t="n">
        <v>4438.52</v>
      </c>
      <c r="H26" s="35" t="s">
        <v>139</v>
      </c>
      <c r="I26" s="35" t="s">
        <v>174</v>
      </c>
      <c r="J26" s="37" t="str">
        <f aca="false">IF(D26="","",IFERROR(IF(ISNUMBER(SEARCH(Assumptions!$C$5,D26)),Assumptions!$D$5,IF(ISNUMBER(SEARCH(Assumptions!$C$6,D26)),Assumptions!$D$6,IF(ISNUMBER(SEARCH(Assumptions!$C$7,D26)),Assumptions!$D$7,"Other Services"))),"Other Services"))</f>
        <v>Subscription</v>
      </c>
    </row>
    <row r="27" customFormat="false" ht="15" hidden="false" customHeight="true" outlineLevel="0" collapsed="false">
      <c r="A27" s="34" t="n">
        <v>46145</v>
      </c>
      <c r="B27" s="35" t="s">
        <v>166</v>
      </c>
      <c r="C27" s="35" t="s">
        <v>175</v>
      </c>
      <c r="D27" s="35" t="s">
        <v>159</v>
      </c>
      <c r="E27" s="36" t="n">
        <v>13799.45</v>
      </c>
      <c r="F27" s="36" t="n">
        <v>401.38</v>
      </c>
      <c r="G27" s="36" t="n">
        <v>13398.07</v>
      </c>
      <c r="H27" s="35" t="s">
        <v>139</v>
      </c>
      <c r="I27" s="35" t="s">
        <v>140</v>
      </c>
      <c r="J27" s="37" t="str">
        <f aca="false">IF(D27="","",IFERROR(IF(ISNUMBER(SEARCH(Assumptions!$C$5,D27)),Assumptions!$D$5,IF(ISNUMBER(SEARCH(Assumptions!$C$6,D27)),Assumptions!$D$6,IF(ISNUMBER(SEARCH(Assumptions!$C$7,D27)),Assumptions!$D$7,"Other Services"))),"Other Services"))</f>
        <v>Subscription</v>
      </c>
    </row>
    <row r="28" customFormat="false" ht="15" hidden="false" customHeight="true" outlineLevel="0" collapsed="false">
      <c r="A28" s="34" t="n">
        <v>46148</v>
      </c>
      <c r="B28" s="35" t="s">
        <v>141</v>
      </c>
      <c r="C28" s="35" t="s">
        <v>142</v>
      </c>
      <c r="D28" s="35" t="s">
        <v>143</v>
      </c>
      <c r="E28" s="36" t="n">
        <v>14423.77</v>
      </c>
      <c r="F28" s="36" t="n">
        <v>419.49</v>
      </c>
      <c r="G28" s="36" t="n">
        <v>14004.28</v>
      </c>
      <c r="H28" s="35" t="s">
        <v>139</v>
      </c>
      <c r="I28" s="35" t="s">
        <v>140</v>
      </c>
      <c r="J28" s="37" t="str">
        <f aca="false">IF(D28="","",IFERROR(IF(ISNUMBER(SEARCH(Assumptions!$C$5,D28)),Assumptions!$D$5,IF(ISNUMBER(SEARCH(Assumptions!$C$6,D28)),Assumptions!$D$6,IF(ISNUMBER(SEARCH(Assumptions!$C$7,D28)),Assumptions!$D$7,"Other Services"))),"Other Services"))</f>
        <v>Development</v>
      </c>
    </row>
    <row r="29" customFormat="false" ht="15" hidden="false" customHeight="true" outlineLevel="0" collapsed="false">
      <c r="A29" s="34" t="n">
        <v>46155</v>
      </c>
      <c r="B29" s="35" t="s">
        <v>144</v>
      </c>
      <c r="C29" s="35" t="s">
        <v>158</v>
      </c>
      <c r="D29" s="35" t="s">
        <v>159</v>
      </c>
      <c r="E29" s="36" t="n">
        <v>11049.28</v>
      </c>
      <c r="F29" s="36" t="n">
        <v>321.63</v>
      </c>
      <c r="G29" s="36" t="n">
        <v>10727.65</v>
      </c>
      <c r="H29" s="35" t="s">
        <v>139</v>
      </c>
      <c r="I29" s="35" t="s">
        <v>140</v>
      </c>
      <c r="J29" s="37" t="str">
        <f aca="false">IF(D29="","",IFERROR(IF(ISNUMBER(SEARCH(Assumptions!$C$5,D29)),Assumptions!$D$5,IF(ISNUMBER(SEARCH(Assumptions!$C$6,D29)),Assumptions!$D$6,IF(ISNUMBER(SEARCH(Assumptions!$C$7,D29)),Assumptions!$D$7,"Other Services"))),"Other Services"))</f>
        <v>Subscription</v>
      </c>
    </row>
    <row r="30" customFormat="false" ht="15" hidden="false" customHeight="true" outlineLevel="0" collapsed="false">
      <c r="A30" s="34" t="n">
        <v>46143</v>
      </c>
      <c r="B30" s="35" t="s">
        <v>150</v>
      </c>
      <c r="C30" s="35" t="s">
        <v>176</v>
      </c>
      <c r="D30" s="35" t="s">
        <v>146</v>
      </c>
      <c r="E30" s="36" t="n">
        <v>12500.87</v>
      </c>
      <c r="F30" s="36" t="n">
        <v>363.73</v>
      </c>
      <c r="G30" s="36" t="n">
        <v>12137.14</v>
      </c>
      <c r="H30" s="35" t="s">
        <v>139</v>
      </c>
      <c r="I30" s="35" t="s">
        <v>140</v>
      </c>
      <c r="J30" s="37" t="str">
        <f aca="false">IF(D30="","",IFERROR(IF(ISNUMBER(SEARCH(Assumptions!$C$5,D30)),Assumptions!$D$5,IF(ISNUMBER(SEARCH(Assumptions!$C$6,D30)),Assumptions!$D$6,IF(ISNUMBER(SEARCH(Assumptions!$C$7,D30)),Assumptions!$D$7,"Other Services"))),"Other Services"))</f>
        <v>Development</v>
      </c>
    </row>
    <row r="31" customFormat="false" ht="15" hidden="false" customHeight="true" outlineLevel="0" collapsed="false">
      <c r="A31" s="34" t="n">
        <v>46167</v>
      </c>
      <c r="B31" s="35" t="s">
        <v>166</v>
      </c>
      <c r="C31" s="35" t="s">
        <v>177</v>
      </c>
      <c r="D31" s="35" t="s">
        <v>154</v>
      </c>
      <c r="E31" s="36" t="n">
        <v>11824.54</v>
      </c>
      <c r="F31" s="36" t="n">
        <v>344.11</v>
      </c>
      <c r="G31" s="36" t="n">
        <v>11480.43</v>
      </c>
      <c r="H31" s="35" t="s">
        <v>139</v>
      </c>
      <c r="I31" s="35" t="s">
        <v>140</v>
      </c>
      <c r="J31" s="37" t="str">
        <f aca="false">IF(D31="","",IFERROR(IF(ISNUMBER(SEARCH(Assumptions!$C$5,D31)),Assumptions!$D$5,IF(ISNUMBER(SEARCH(Assumptions!$C$6,D31)),Assumptions!$D$6,IF(ISNUMBER(SEARCH(Assumptions!$C$7,D31)),Assumptions!$D$7,"Other Services"))),"Other Services"))</f>
        <v>Subscription</v>
      </c>
    </row>
    <row r="32" customFormat="false" ht="15" hidden="false" customHeight="true" outlineLevel="0" collapsed="false">
      <c r="A32" s="34" t="n">
        <v>46188</v>
      </c>
      <c r="B32" s="35" t="s">
        <v>178</v>
      </c>
      <c r="C32" s="35" t="s">
        <v>179</v>
      </c>
      <c r="D32" s="35" t="s">
        <v>161</v>
      </c>
      <c r="E32" s="36" t="n">
        <v>855.82</v>
      </c>
      <c r="F32" s="36" t="n">
        <v>26.02</v>
      </c>
      <c r="G32" s="36" t="n">
        <v>829.8</v>
      </c>
      <c r="H32" s="35" t="s">
        <v>139</v>
      </c>
      <c r="I32" s="35" t="s">
        <v>140</v>
      </c>
      <c r="J32" s="37" t="str">
        <f aca="false">IF(D32="","",IFERROR(IF(ISNUMBER(SEARCH(Assumptions!$C$5,D32)),Assumptions!$D$5,IF(ISNUMBER(SEARCH(Assumptions!$C$6,D32)),Assumptions!$D$6,IF(ISNUMBER(SEARCH(Assumptions!$C$7,D32)),Assumptions!$D$7,"Other Services"))),"Other Services"))</f>
        <v>WhatsApp</v>
      </c>
    </row>
    <row r="33" customFormat="false" ht="15" hidden="false" customHeight="true" outlineLevel="0" collapsed="false">
      <c r="A33" s="34" t="n">
        <v>46190</v>
      </c>
      <c r="B33" s="35" t="s">
        <v>164</v>
      </c>
      <c r="C33" s="35" t="s">
        <v>170</v>
      </c>
      <c r="D33" s="35" t="s">
        <v>154</v>
      </c>
      <c r="E33" s="36" t="n">
        <v>13905.75</v>
      </c>
      <c r="F33" s="36" t="n">
        <v>404.47</v>
      </c>
      <c r="G33" s="36" t="n">
        <v>13501.28</v>
      </c>
      <c r="H33" s="35" t="s">
        <v>139</v>
      </c>
      <c r="I33" s="35" t="s">
        <v>140</v>
      </c>
      <c r="J33" s="37" t="str">
        <f aca="false">IF(D33="","",IFERROR(IF(ISNUMBER(SEARCH(Assumptions!$C$5,D33)),Assumptions!$D$5,IF(ISNUMBER(SEARCH(Assumptions!$C$6,D33)),Assumptions!$D$6,IF(ISNUMBER(SEARCH(Assumptions!$C$7,D33)),Assumptions!$D$7,"Other Services"))),"Other Services"))</f>
        <v>Subscription</v>
      </c>
    </row>
    <row r="34" customFormat="false" ht="15" hidden="false" customHeight="true" outlineLevel="0" collapsed="false">
      <c r="A34" s="34" t="n">
        <v>46183</v>
      </c>
      <c r="B34" s="35" t="s">
        <v>144</v>
      </c>
      <c r="C34" s="35" t="s">
        <v>180</v>
      </c>
      <c r="D34" s="35" t="s">
        <v>143</v>
      </c>
      <c r="E34" s="36" t="n">
        <v>15276.71</v>
      </c>
      <c r="F34" s="36" t="n">
        <v>444.22</v>
      </c>
      <c r="G34" s="36" t="n">
        <v>14832.49</v>
      </c>
      <c r="H34" s="35" t="s">
        <v>139</v>
      </c>
      <c r="I34" s="35" t="s">
        <v>140</v>
      </c>
      <c r="J34" s="37" t="str">
        <f aca="false">IF(D34="","",IFERROR(IF(ISNUMBER(SEARCH(Assumptions!$C$5,D34)),Assumptions!$D$5,IF(ISNUMBER(SEARCH(Assumptions!$C$6,D34)),Assumptions!$D$6,IF(ISNUMBER(SEARCH(Assumptions!$C$7,D34)),Assumptions!$D$7,"Other Services"))),"Other Services"))</f>
        <v>Development</v>
      </c>
    </row>
    <row r="35" customFormat="false" ht="15" hidden="false" customHeight="true" outlineLevel="0" collapsed="false">
      <c r="A35" s="34" t="n">
        <v>46185</v>
      </c>
      <c r="B35" s="35" t="s">
        <v>147</v>
      </c>
      <c r="C35" s="35" t="s">
        <v>181</v>
      </c>
      <c r="D35" s="35" t="s">
        <v>161</v>
      </c>
      <c r="E35" s="36" t="n">
        <v>13915.19</v>
      </c>
      <c r="F35" s="36" t="n">
        <v>404.74</v>
      </c>
      <c r="G35" s="36" t="n">
        <v>13510.45</v>
      </c>
      <c r="H35" s="35" t="s">
        <v>139</v>
      </c>
      <c r="I35" s="35" t="s">
        <v>140</v>
      </c>
      <c r="J35" s="37" t="str">
        <f aca="false">IF(D35="","",IFERROR(IF(ISNUMBER(SEARCH(Assumptions!$C$5,D35)),Assumptions!$D$5,IF(ISNUMBER(SEARCH(Assumptions!$C$6,D35)),Assumptions!$D$6,IF(ISNUMBER(SEARCH(Assumptions!$C$7,D35)),Assumptions!$D$7,"Other Services"))),"Other Services"))</f>
        <v>WhatsApp</v>
      </c>
    </row>
    <row r="36" customFormat="false" ht="15" hidden="false" customHeight="true" outlineLevel="0" collapsed="false">
      <c r="A36" s="34" t="n">
        <v>46193</v>
      </c>
      <c r="B36" s="35" t="s">
        <v>166</v>
      </c>
      <c r="C36" s="35" t="s">
        <v>182</v>
      </c>
      <c r="D36" s="35" t="s">
        <v>138</v>
      </c>
      <c r="E36" s="36" t="n">
        <v>6375.48</v>
      </c>
      <c r="F36" s="36" t="n">
        <v>186.09</v>
      </c>
      <c r="G36" s="36" t="n">
        <v>6189.39</v>
      </c>
      <c r="H36" s="35" t="s">
        <v>139</v>
      </c>
      <c r="I36" s="35" t="s">
        <v>140</v>
      </c>
      <c r="J36" s="37" t="str">
        <f aca="false">IF(D36="","",IFERROR(IF(ISNUMBER(SEARCH(Assumptions!$C$5,D36)),Assumptions!$D$5,IF(ISNUMBER(SEARCH(Assumptions!$C$6,D36)),Assumptions!$D$6,IF(ISNUMBER(SEARCH(Assumptions!$C$7,D36)),Assumptions!$D$7,"Other Services"))),"Other Services"))</f>
        <v>WhatsApp</v>
      </c>
    </row>
    <row r="37" customFormat="false" ht="15" hidden="false" customHeight="true" outlineLevel="0" collapsed="false">
      <c r="A37" s="34" t="n">
        <v>46181</v>
      </c>
      <c r="B37" s="35" t="s">
        <v>152</v>
      </c>
      <c r="C37" s="35" t="s">
        <v>153</v>
      </c>
      <c r="D37" s="35" t="s">
        <v>154</v>
      </c>
      <c r="E37" s="36" t="n">
        <v>1796.31</v>
      </c>
      <c r="F37" s="36" t="n">
        <v>53.29</v>
      </c>
      <c r="G37" s="36" t="n">
        <v>1743.02</v>
      </c>
      <c r="H37" s="35" t="s">
        <v>139</v>
      </c>
      <c r="I37" s="35" t="s">
        <v>140</v>
      </c>
      <c r="J37" s="37" t="str">
        <f aca="false">IF(D37="","",IFERROR(IF(ISNUMBER(SEARCH(Assumptions!$C$5,D37)),Assumptions!$D$5,IF(ISNUMBER(SEARCH(Assumptions!$C$6,D37)),Assumptions!$D$6,IF(ISNUMBER(SEARCH(Assumptions!$C$7,D37)),Assumptions!$D$7,"Other Services"))),"Other Services"))</f>
        <v>Subscription</v>
      </c>
    </row>
    <row r="38" customFormat="false" ht="15" hidden="false" customHeight="true" outlineLevel="0" collapsed="false">
      <c r="A38" s="34" t="n">
        <v>46197</v>
      </c>
      <c r="B38" s="35" t="s">
        <v>144</v>
      </c>
      <c r="C38" s="35" t="s">
        <v>155</v>
      </c>
      <c r="D38" s="35" t="s">
        <v>138</v>
      </c>
      <c r="E38" s="36" t="n">
        <v>9159.04</v>
      </c>
      <c r="F38" s="36" t="n">
        <v>266.81</v>
      </c>
      <c r="G38" s="36" t="n">
        <v>8892.23</v>
      </c>
      <c r="H38" s="35" t="s">
        <v>139</v>
      </c>
      <c r="I38" s="35" t="s">
        <v>140</v>
      </c>
      <c r="J38" s="37" t="str">
        <f aca="false">IF(D38="","",IFERROR(IF(ISNUMBER(SEARCH(Assumptions!$C$5,D38)),Assumptions!$D$5,IF(ISNUMBER(SEARCH(Assumptions!$C$6,D38)),Assumptions!$D$6,IF(ISNUMBER(SEARCH(Assumptions!$C$7,D38)),Assumptions!$D$7,"Other Services"))),"Other Services"))</f>
        <v>WhatsApp</v>
      </c>
    </row>
    <row r="39" customFormat="false" ht="15" hidden="false" customHeight="true" outlineLevel="0" collapsed="false">
      <c r="A39" s="34" t="n">
        <v>46178</v>
      </c>
      <c r="B39" s="35" t="s">
        <v>166</v>
      </c>
      <c r="C39" s="35" t="s">
        <v>183</v>
      </c>
      <c r="D39" s="35" t="s">
        <v>161</v>
      </c>
      <c r="E39" s="36" t="n">
        <v>12147.71</v>
      </c>
      <c r="F39" s="36" t="n">
        <v>353.48</v>
      </c>
      <c r="G39" s="36" t="n">
        <v>11794.23</v>
      </c>
      <c r="H39" s="35" t="s">
        <v>139</v>
      </c>
      <c r="I39" s="35" t="s">
        <v>140</v>
      </c>
      <c r="J39" s="37" t="str">
        <f aca="false">IF(D39="","",IFERROR(IF(ISNUMBER(SEARCH(Assumptions!$C$5,D39)),Assumptions!$D$5,IF(ISNUMBER(SEARCH(Assumptions!$C$6,D39)),Assumptions!$D$6,IF(ISNUMBER(SEARCH(Assumptions!$C$7,D39)),Assumptions!$D$7,"Other Services"))),"Other Services"))</f>
        <v>WhatsApp</v>
      </c>
    </row>
    <row r="40" customFormat="false" ht="15" hidden="false" customHeight="true" outlineLevel="0" collapsed="false">
      <c r="A40" s="34" t="n">
        <v>46190</v>
      </c>
      <c r="B40" s="35" t="s">
        <v>141</v>
      </c>
      <c r="C40" s="35" t="s">
        <v>184</v>
      </c>
      <c r="D40" s="35" t="s">
        <v>154</v>
      </c>
      <c r="E40" s="36" t="n">
        <v>15805.85</v>
      </c>
      <c r="F40" s="36" t="n">
        <v>459.57</v>
      </c>
      <c r="G40" s="36" t="n">
        <v>15346.28</v>
      </c>
      <c r="H40" s="35" t="s">
        <v>139</v>
      </c>
      <c r="I40" s="35" t="s">
        <v>140</v>
      </c>
      <c r="J40" s="37" t="str">
        <f aca="false">IF(D40="","",IFERROR(IF(ISNUMBER(SEARCH(Assumptions!$C$5,D40)),Assumptions!$D$5,IF(ISNUMBER(SEARCH(Assumptions!$C$6,D40)),Assumptions!$D$6,IF(ISNUMBER(SEARCH(Assumptions!$C$7,D40)),Assumptions!$D$7,"Other Services"))),"Other Services"))</f>
        <v>Subscription</v>
      </c>
    </row>
    <row r="41" customFormat="false" ht="15" hidden="false" customHeight="true" outlineLevel="0" collapsed="false">
      <c r="A41" s="34" t="n">
        <v>46198</v>
      </c>
      <c r="B41" s="35" t="s">
        <v>147</v>
      </c>
      <c r="C41" s="35" t="s">
        <v>148</v>
      </c>
      <c r="D41" s="35" t="s">
        <v>146</v>
      </c>
      <c r="E41" s="36" t="n">
        <v>13354.81</v>
      </c>
      <c r="F41" s="36" t="n">
        <v>388.49</v>
      </c>
      <c r="G41" s="36" t="n">
        <v>12966.32</v>
      </c>
      <c r="H41" s="35" t="s">
        <v>139</v>
      </c>
      <c r="I41" s="35" t="s">
        <v>140</v>
      </c>
      <c r="J41" s="37" t="str">
        <f aca="false">IF(D41="","",IFERROR(IF(ISNUMBER(SEARCH(Assumptions!$C$5,D41)),Assumptions!$D$5,IF(ISNUMBER(SEARCH(Assumptions!$C$6,D41)),Assumptions!$D$6,IF(ISNUMBER(SEARCH(Assumptions!$C$7,D41)),Assumptions!$D$7,"Other Services"))),"Other Services"))</f>
        <v>Development</v>
      </c>
    </row>
    <row r="42" customFormat="false" ht="15" hidden="false" customHeight="true" outlineLevel="0" collapsed="false">
      <c r="A42" s="34" t="n">
        <v>46195</v>
      </c>
      <c r="B42" s="35" t="s">
        <v>150</v>
      </c>
      <c r="C42" s="35" t="s">
        <v>185</v>
      </c>
      <c r="D42" s="35" t="s">
        <v>159</v>
      </c>
      <c r="E42" s="36" t="n">
        <v>11977.9</v>
      </c>
      <c r="F42" s="36" t="n">
        <v>348.56</v>
      </c>
      <c r="G42" s="36" t="n">
        <v>11629.34</v>
      </c>
      <c r="H42" s="35" t="s">
        <v>139</v>
      </c>
      <c r="I42" s="35" t="s">
        <v>140</v>
      </c>
      <c r="J42" s="37" t="str">
        <f aca="false">IF(D42="","",IFERROR(IF(ISNUMBER(SEARCH(Assumptions!$C$5,D42)),Assumptions!$D$5,IF(ISNUMBER(SEARCH(Assumptions!$C$6,D42)),Assumptions!$D$6,IF(ISNUMBER(SEARCH(Assumptions!$C$7,D42)),Assumptions!$D$7,"Other Services"))),"Other Services"))</f>
        <v>Subscription</v>
      </c>
    </row>
    <row r="43" customFormat="false" ht="15" hidden="false" customHeight="true" outlineLevel="0" collapsed="false">
      <c r="A43" s="34" t="n">
        <v>46177</v>
      </c>
      <c r="B43" s="35" t="s">
        <v>166</v>
      </c>
      <c r="C43" s="35" t="s">
        <v>175</v>
      </c>
      <c r="D43" s="35" t="s">
        <v>159</v>
      </c>
      <c r="E43" s="36" t="n">
        <v>5063.98</v>
      </c>
      <c r="F43" s="36" t="n">
        <v>148.06</v>
      </c>
      <c r="G43" s="36" t="n">
        <v>4915.92</v>
      </c>
      <c r="H43" s="35" t="s">
        <v>139</v>
      </c>
      <c r="I43" s="35" t="s">
        <v>140</v>
      </c>
      <c r="J43" s="37" t="str">
        <f aca="false">IF(D43="","",IFERROR(IF(ISNUMBER(SEARCH(Assumptions!$C$5,D43)),Assumptions!$D$5,IF(ISNUMBER(SEARCH(Assumptions!$C$6,D43)),Assumptions!$D$6,IF(ISNUMBER(SEARCH(Assumptions!$C$7,D43)),Assumptions!$D$7,"Other Services"))),"Other Services"))</f>
        <v>Subscription</v>
      </c>
    </row>
    <row r="44" customFormat="false" ht="15" hidden="false" customHeight="true" outlineLevel="0" collapsed="false">
      <c r="A44" s="34" t="n">
        <v>46191</v>
      </c>
      <c r="B44" s="35" t="s">
        <v>168</v>
      </c>
      <c r="C44" s="35" t="s">
        <v>186</v>
      </c>
      <c r="D44" s="35" t="s">
        <v>146</v>
      </c>
      <c r="E44" s="36" t="n">
        <v>4757.97</v>
      </c>
      <c r="F44" s="36" t="n">
        <v>139.18</v>
      </c>
      <c r="G44" s="36" t="n">
        <v>4618.79</v>
      </c>
      <c r="H44" s="35" t="s">
        <v>139</v>
      </c>
      <c r="I44" s="35" t="s">
        <v>140</v>
      </c>
      <c r="J44" s="37" t="str">
        <f aca="false">IF(D44="","",IFERROR(IF(ISNUMBER(SEARCH(Assumptions!$C$5,D44)),Assumptions!$D$5,IF(ISNUMBER(SEARCH(Assumptions!$C$6,D44)),Assumptions!$D$6,IF(ISNUMBER(SEARCH(Assumptions!$C$7,D44)),Assumptions!$D$7,"Other Services"))),"Other Services"))</f>
        <v>Development</v>
      </c>
    </row>
    <row r="45" customFormat="false" ht="15" hidden="false" customHeight="true" outlineLevel="0" collapsed="false">
      <c r="A45" s="34" t="n">
        <v>46194</v>
      </c>
      <c r="B45" s="35" t="s">
        <v>144</v>
      </c>
      <c r="C45" s="35" t="s">
        <v>180</v>
      </c>
      <c r="D45" s="35" t="s">
        <v>143</v>
      </c>
      <c r="E45" s="36" t="n">
        <v>1812.63</v>
      </c>
      <c r="F45" s="36" t="n">
        <v>53.77</v>
      </c>
      <c r="G45" s="36" t="n">
        <v>1758.86</v>
      </c>
      <c r="H45" s="35" t="s">
        <v>139</v>
      </c>
      <c r="I45" s="35" t="s">
        <v>140</v>
      </c>
      <c r="J45" s="37" t="str">
        <f aca="false">IF(D45="","",IFERROR(IF(ISNUMBER(SEARCH(Assumptions!$C$5,D45)),Assumptions!$D$5,IF(ISNUMBER(SEARCH(Assumptions!$C$6,D45)),Assumptions!$D$6,IF(ISNUMBER(SEARCH(Assumptions!$C$7,D45)),Assumptions!$D$7,"Other Services"))),"Other Services"))</f>
        <v>Development</v>
      </c>
    </row>
    <row r="46" customFormat="false" ht="15" hidden="false" customHeight="false" outlineLevel="0" collapsed="false">
      <c r="A46" s="38" t="n">
        <v>46128</v>
      </c>
      <c r="B46" s="39" t="s">
        <v>168</v>
      </c>
      <c r="C46" s="39" t="s">
        <v>187</v>
      </c>
      <c r="D46" s="39" t="s">
        <v>188</v>
      </c>
      <c r="E46" s="40" t="n">
        <v>3227.64</v>
      </c>
      <c r="F46" s="40" t="n">
        <v>94.8</v>
      </c>
      <c r="G46" s="40" t="n">
        <v>3132.84</v>
      </c>
      <c r="H46" s="39" t="s">
        <v>139</v>
      </c>
      <c r="I46" s="39" t="s">
        <v>140</v>
      </c>
      <c r="J46" s="41" t="str">
        <f aca="false">IF(D46="","",IFERROR(IF(ISNUMBER(SEARCH(Assumptions!$C$5,D46)),Assumptions!$D$5,IF(ISNUMBER(SEARCH(Assumptions!$C$6,D46)),Assumptions!$D$6,IF(ISNUMBER(SEARCH(Assumptions!$C$7,D46)),Assumptions!$D$7,"Other Services"))),"Other Services"))</f>
        <v>Other Services</v>
      </c>
    </row>
    <row r="47" customFormat="false" ht="15" hidden="false" customHeight="false" outlineLevel="0" collapsed="false">
      <c r="A47" s="38" t="n">
        <v>46167</v>
      </c>
      <c r="B47" s="39" t="s">
        <v>168</v>
      </c>
      <c r="C47" s="39" t="s">
        <v>189</v>
      </c>
      <c r="D47" s="39" t="s">
        <v>188</v>
      </c>
      <c r="E47" s="40" t="n">
        <v>4037.41</v>
      </c>
      <c r="F47" s="40" t="n">
        <v>118.28</v>
      </c>
      <c r="G47" s="40" t="n">
        <v>3919.13</v>
      </c>
      <c r="H47" s="39" t="s">
        <v>139</v>
      </c>
      <c r="I47" s="39" t="s">
        <v>140</v>
      </c>
      <c r="J47" s="41" t="str">
        <f aca="false">IF(D47="","",IFERROR(IF(ISNUMBER(SEARCH(Assumptions!$C$5,D47)),Assumptions!$D$5,IF(ISNUMBER(SEARCH(Assumptions!$C$6,D47)),Assumptions!$D$6,IF(ISNUMBER(SEARCH(Assumptions!$C$7,D47)),Assumptions!$D$7,"Other Services"))),"Other Services"))</f>
        <v>Other Services</v>
      </c>
    </row>
    <row r="48" customFormat="false" ht="15" hidden="false" customHeight="false" outlineLevel="0" collapsed="false">
      <c r="A48" s="38" t="n">
        <v>46178</v>
      </c>
      <c r="B48" s="39" t="s">
        <v>168</v>
      </c>
      <c r="C48" s="39" t="s">
        <v>190</v>
      </c>
      <c r="D48" s="39" t="s">
        <v>188</v>
      </c>
      <c r="E48" s="40" t="n">
        <v>4634.93</v>
      </c>
      <c r="F48" s="40" t="n">
        <v>135.61</v>
      </c>
      <c r="G48" s="40" t="n">
        <v>4499.32</v>
      </c>
      <c r="H48" s="39" t="s">
        <v>139</v>
      </c>
      <c r="I48" s="39" t="s">
        <v>140</v>
      </c>
      <c r="J48" s="41" t="str">
        <f aca="false">IF(D48="","",IFERROR(IF(ISNUMBER(SEARCH(Assumptions!$C$5,D48)),Assumptions!$D$5,IF(ISNUMBER(SEARCH(Assumptions!$C$6,D48)),Assumptions!$D$6,IF(ISNUMBER(SEARCH(Assumptions!$C$7,D48)),Assumptions!$D$7,"Other Services"))),"Other Services"))</f>
        <v>Other Services</v>
      </c>
    </row>
    <row r="49" customFormat="false" ht="15" hidden="false" customHeight="false" outlineLevel="0" collapsed="false">
      <c r="A49" s="38" t="n">
        <v>46124</v>
      </c>
      <c r="B49" s="39" t="s">
        <v>144</v>
      </c>
      <c r="C49" s="39" t="s">
        <v>187</v>
      </c>
      <c r="D49" s="39" t="s">
        <v>188</v>
      </c>
      <c r="E49" s="40" t="n">
        <v>4249.64</v>
      </c>
      <c r="F49" s="40" t="n">
        <v>124.44</v>
      </c>
      <c r="G49" s="40" t="n">
        <v>4125.2</v>
      </c>
      <c r="H49" s="39" t="s">
        <v>139</v>
      </c>
      <c r="I49" s="39" t="s">
        <v>140</v>
      </c>
      <c r="J49" s="41" t="str">
        <f aca="false">IF(D49="","",IFERROR(IF(ISNUMBER(SEARCH(Assumptions!$C$5,D49)),Assumptions!$D$5,IF(ISNUMBER(SEARCH(Assumptions!$C$6,D49)),Assumptions!$D$6,IF(ISNUMBER(SEARCH(Assumptions!$C$7,D49)),Assumptions!$D$7,"Other Services"))),"Other Services"))</f>
        <v>Other Services</v>
      </c>
    </row>
    <row r="50" customFormat="false" ht="15" hidden="false" customHeight="false" outlineLevel="0" collapsed="false">
      <c r="A50" s="38" t="n">
        <v>46152</v>
      </c>
      <c r="B50" s="39" t="s">
        <v>144</v>
      </c>
      <c r="C50" s="39" t="s">
        <v>189</v>
      </c>
      <c r="D50" s="39" t="s">
        <v>188</v>
      </c>
      <c r="E50" s="40" t="n">
        <v>3350.18</v>
      </c>
      <c r="F50" s="40" t="n">
        <v>98.36</v>
      </c>
      <c r="G50" s="40" t="n">
        <v>3251.82</v>
      </c>
      <c r="H50" s="39" t="s">
        <v>139</v>
      </c>
      <c r="I50" s="39" t="s">
        <v>140</v>
      </c>
      <c r="J50" s="41" t="str">
        <f aca="false">IF(D50="","",IFERROR(IF(ISNUMBER(SEARCH(Assumptions!$C$5,D50)),Assumptions!$D$5,IF(ISNUMBER(SEARCH(Assumptions!$C$6,D50)),Assumptions!$D$6,IF(ISNUMBER(SEARCH(Assumptions!$C$7,D50)),Assumptions!$D$7,"Other Services"))),"Other Services"))</f>
        <v>Other Services</v>
      </c>
    </row>
    <row r="51" customFormat="false" ht="15" hidden="false" customHeight="false" outlineLevel="0" collapsed="false">
      <c r="A51" s="38" t="n">
        <v>46193</v>
      </c>
      <c r="B51" s="39" t="s">
        <v>144</v>
      </c>
      <c r="C51" s="39" t="s">
        <v>190</v>
      </c>
      <c r="D51" s="39" t="s">
        <v>188</v>
      </c>
      <c r="E51" s="40" t="n">
        <v>832.07</v>
      </c>
      <c r="F51" s="40" t="n">
        <v>25.33</v>
      </c>
      <c r="G51" s="40" t="n">
        <v>806.74</v>
      </c>
      <c r="H51" s="39" t="s">
        <v>139</v>
      </c>
      <c r="I51" s="39" t="s">
        <v>140</v>
      </c>
      <c r="J51" s="41" t="str">
        <f aca="false">IF(D51="","",IFERROR(IF(ISNUMBER(SEARCH(Assumptions!$C$5,D51)),Assumptions!$D$5,IF(ISNUMBER(SEARCH(Assumptions!$C$6,D51)),Assumptions!$D$6,IF(ISNUMBER(SEARCH(Assumptions!$C$7,D51)),Assumptions!$D$7,"Other Services"))),"Other Services"))</f>
        <v>Other Services</v>
      </c>
    </row>
    <row r="52" customFormat="false" ht="15" hidden="false" customHeight="false" outlineLevel="0" collapsed="false">
      <c r="A52" s="38" t="n">
        <v>46129</v>
      </c>
      <c r="B52" s="39" t="s">
        <v>150</v>
      </c>
      <c r="C52" s="39" t="s">
        <v>187</v>
      </c>
      <c r="D52" s="39" t="s">
        <v>188</v>
      </c>
      <c r="E52" s="40" t="n">
        <v>4381.69</v>
      </c>
      <c r="F52" s="40" t="n">
        <v>128.27</v>
      </c>
      <c r="G52" s="40" t="n">
        <v>4253.42</v>
      </c>
      <c r="H52" s="39" t="s">
        <v>139</v>
      </c>
      <c r="I52" s="39" t="s">
        <v>140</v>
      </c>
      <c r="J52" s="41" t="str">
        <f aca="false">IF(D52="","",IFERROR(IF(ISNUMBER(SEARCH(Assumptions!$C$5,D52)),Assumptions!$D$5,IF(ISNUMBER(SEARCH(Assumptions!$C$6,D52)),Assumptions!$D$6,IF(ISNUMBER(SEARCH(Assumptions!$C$7,D52)),Assumptions!$D$7,"Other Services"))),"Other Services"))</f>
        <v>Other Services</v>
      </c>
    </row>
    <row r="53" customFormat="false" ht="15" hidden="false" customHeight="false" outlineLevel="0" collapsed="false">
      <c r="A53" s="38" t="n">
        <v>46165</v>
      </c>
      <c r="B53" s="39" t="s">
        <v>150</v>
      </c>
      <c r="C53" s="39" t="s">
        <v>189</v>
      </c>
      <c r="D53" s="39" t="s">
        <v>188</v>
      </c>
      <c r="E53" s="40" t="n">
        <v>2855.68</v>
      </c>
      <c r="F53" s="40" t="n">
        <v>84.01</v>
      </c>
      <c r="G53" s="40" t="n">
        <v>2771.67</v>
      </c>
      <c r="H53" s="39" t="s">
        <v>139</v>
      </c>
      <c r="I53" s="39" t="s">
        <v>140</v>
      </c>
      <c r="J53" s="41" t="str">
        <f aca="false">IF(D53="","",IFERROR(IF(ISNUMBER(SEARCH(Assumptions!$C$5,D53)),Assumptions!$D$5,IF(ISNUMBER(SEARCH(Assumptions!$C$6,D53)),Assumptions!$D$6,IF(ISNUMBER(SEARCH(Assumptions!$C$7,D53)),Assumptions!$D$7,"Other Services"))),"Other Services"))</f>
        <v>Other Services</v>
      </c>
    </row>
    <row r="54" customFormat="false" ht="15" hidden="false" customHeight="false" outlineLevel="0" collapsed="false">
      <c r="A54" s="38" t="n">
        <v>46184</v>
      </c>
      <c r="B54" s="39" t="s">
        <v>150</v>
      </c>
      <c r="C54" s="39" t="s">
        <v>190</v>
      </c>
      <c r="D54" s="39" t="s">
        <v>188</v>
      </c>
      <c r="E54" s="40" t="n">
        <v>1471.85</v>
      </c>
      <c r="F54" s="40" t="n">
        <v>43.88</v>
      </c>
      <c r="G54" s="40" t="n">
        <v>1427.97</v>
      </c>
      <c r="H54" s="39" t="s">
        <v>139</v>
      </c>
      <c r="I54" s="39" t="s">
        <v>140</v>
      </c>
      <c r="J54" s="41" t="str">
        <f aca="false">IF(D54="","",IFERROR(IF(ISNUMBER(SEARCH(Assumptions!$C$5,D54)),Assumptions!$D$5,IF(ISNUMBER(SEARCH(Assumptions!$C$6,D54)),Assumptions!$D$6,IF(ISNUMBER(SEARCH(Assumptions!$C$7,D54)),Assumptions!$D$7,"Other Services"))),"Other Services"))</f>
        <v>Other Services</v>
      </c>
    </row>
    <row r="55" customFormat="false" ht="15" hidden="false" customHeight="false" outlineLevel="0" collapsed="false">
      <c r="A55" s="38" t="n">
        <v>46122</v>
      </c>
      <c r="B55" s="39" t="s">
        <v>152</v>
      </c>
      <c r="C55" s="39" t="s">
        <v>187</v>
      </c>
      <c r="D55" s="39" t="s">
        <v>188</v>
      </c>
      <c r="E55" s="40" t="n">
        <v>2218.31</v>
      </c>
      <c r="F55" s="40" t="n">
        <v>65.53</v>
      </c>
      <c r="G55" s="40" t="n">
        <v>2152.78</v>
      </c>
      <c r="H55" s="39" t="s">
        <v>139</v>
      </c>
      <c r="I55" s="39" t="s">
        <v>140</v>
      </c>
      <c r="J55" s="41" t="str">
        <f aca="false">IF(D55="","",IFERROR(IF(ISNUMBER(SEARCH(Assumptions!$C$5,D55)),Assumptions!$D$5,IF(ISNUMBER(SEARCH(Assumptions!$C$6,D55)),Assumptions!$D$6,IF(ISNUMBER(SEARCH(Assumptions!$C$7,D55)),Assumptions!$D$7,"Other Services"))),"Other Services"))</f>
        <v>Other Services</v>
      </c>
    </row>
    <row r="56" customFormat="false" ht="15" hidden="false" customHeight="false" outlineLevel="0" collapsed="false">
      <c r="A56" s="38" t="n">
        <v>46159</v>
      </c>
      <c r="B56" s="39" t="s">
        <v>152</v>
      </c>
      <c r="C56" s="39" t="s">
        <v>189</v>
      </c>
      <c r="D56" s="39" t="s">
        <v>188</v>
      </c>
      <c r="E56" s="40" t="n">
        <v>4606.82</v>
      </c>
      <c r="F56" s="40" t="n">
        <v>134.8</v>
      </c>
      <c r="G56" s="40" t="n">
        <v>4472.02</v>
      </c>
      <c r="H56" s="39" t="s">
        <v>139</v>
      </c>
      <c r="I56" s="39" t="s">
        <v>140</v>
      </c>
      <c r="J56" s="41" t="str">
        <f aca="false">IF(D56="","",IFERROR(IF(ISNUMBER(SEARCH(Assumptions!$C$5,D56)),Assumptions!$D$5,IF(ISNUMBER(SEARCH(Assumptions!$C$6,D56)),Assumptions!$D$6,IF(ISNUMBER(SEARCH(Assumptions!$C$7,D56)),Assumptions!$D$7,"Other Services"))),"Other Services"))</f>
        <v>Other Services</v>
      </c>
    </row>
    <row r="57" customFormat="false" ht="15" hidden="false" customHeight="false" outlineLevel="0" collapsed="false">
      <c r="A57" s="38" t="n">
        <v>46180</v>
      </c>
      <c r="B57" s="39" t="s">
        <v>152</v>
      </c>
      <c r="C57" s="39" t="s">
        <v>190</v>
      </c>
      <c r="D57" s="39" t="s">
        <v>188</v>
      </c>
      <c r="E57" s="40" t="n">
        <v>1050.14</v>
      </c>
      <c r="F57" s="40" t="n">
        <v>31.65</v>
      </c>
      <c r="G57" s="40" t="n">
        <v>1018.49</v>
      </c>
      <c r="H57" s="39" t="s">
        <v>139</v>
      </c>
      <c r="I57" s="39" t="s">
        <v>140</v>
      </c>
      <c r="J57" s="41" t="str">
        <f aca="false">IF(D57="","",IFERROR(IF(ISNUMBER(SEARCH(Assumptions!$C$5,D57)),Assumptions!$D$5,IF(ISNUMBER(SEARCH(Assumptions!$C$6,D57)),Assumptions!$D$6,IF(ISNUMBER(SEARCH(Assumptions!$C$7,D57)),Assumptions!$D$7,"Other Services"))),"Other Services"))</f>
        <v>Other Services</v>
      </c>
    </row>
    <row r="58" customFormat="false" ht="15" hidden="false" customHeight="false" outlineLevel="0" collapsed="false">
      <c r="J58" s="41" t="str">
        <f aca="false">IF(D58="","",IFERROR(IF(ISNUMBER(SEARCH(Assumptions!$C$5,D58)),Assumptions!$D$5,IF(ISNUMBER(SEARCH(Assumptions!$C$6,D58)),Assumptions!$D$6,IF(ISNUMBER(SEARCH(Assumptions!$C$7,D58)),Assumptions!$D$7,"Other Services"))),"Other Services"))</f>
        <v/>
      </c>
    </row>
    <row r="59" customFormat="false" ht="15" hidden="false" customHeight="false" outlineLevel="0" collapsed="false">
      <c r="J59" s="41" t="str">
        <f aca="false">IF(D59="","",IFERROR(IF(ISNUMBER(SEARCH(Assumptions!$C$5,D59)),Assumptions!$D$5,IF(ISNUMBER(SEARCH(Assumptions!$C$6,D59)),Assumptions!$D$6,IF(ISNUMBER(SEARCH(Assumptions!$C$7,D59)),Assumptions!$D$7,"Other Services"))),"Other Services"))</f>
        <v/>
      </c>
    </row>
    <row r="60" customFormat="false" ht="15" hidden="false" customHeight="false" outlineLevel="0" collapsed="false">
      <c r="J60" s="41" t="str">
        <f aca="false">IF(D60="","",IFERROR(IF(ISNUMBER(SEARCH(Assumptions!$C$5,D60)),Assumptions!$D$5,IF(ISNUMBER(SEARCH(Assumptions!$C$6,D60)),Assumptions!$D$6,IF(ISNUMBER(SEARCH(Assumptions!$C$7,D60)),Assumptions!$D$7,"Other Services"))),"Other Services"))</f>
        <v/>
      </c>
    </row>
    <row r="61" customFormat="false" ht="15" hidden="false" customHeight="false" outlineLevel="0" collapsed="false">
      <c r="J61" s="41" t="str">
        <f aca="false">IF(D61="","",IFERROR(IF(ISNUMBER(SEARCH(Assumptions!$C$5,D61)),Assumptions!$D$5,IF(ISNUMBER(SEARCH(Assumptions!$C$6,D61)),Assumptions!$D$6,IF(ISNUMBER(SEARCH(Assumptions!$C$7,D61)),Assumptions!$D$7,"Other Services"))),"Other Services"))</f>
        <v/>
      </c>
    </row>
    <row r="62" customFormat="false" ht="15" hidden="false" customHeight="false" outlineLevel="0" collapsed="false">
      <c r="J62" s="41" t="str">
        <f aca="false">IF(D62="","",IFERROR(IF(ISNUMBER(SEARCH(Assumptions!$C$5,D62)),Assumptions!$D$5,IF(ISNUMBER(SEARCH(Assumptions!$C$6,D62)),Assumptions!$D$6,IF(ISNUMBER(SEARCH(Assumptions!$C$7,D62)),Assumptions!$D$7,"Other Services"))),"Other Services"))</f>
        <v/>
      </c>
    </row>
    <row r="63" customFormat="false" ht="15" hidden="false" customHeight="false" outlineLevel="0" collapsed="false">
      <c r="J63" s="41" t="str">
        <f aca="false">IF(D63="","",IFERROR(IF(ISNUMBER(SEARCH(Assumptions!$C$5,D63)),Assumptions!$D$5,IF(ISNUMBER(SEARCH(Assumptions!$C$6,D63)),Assumptions!$D$6,IF(ISNUMBER(SEARCH(Assumptions!$C$7,D63)),Assumptions!$D$7,"Other Services"))),"Other Services"))</f>
        <v/>
      </c>
    </row>
    <row r="64" customFormat="false" ht="15" hidden="false" customHeight="false" outlineLevel="0" collapsed="false">
      <c r="J64" s="41" t="str">
        <f aca="false">IF(D64="","",IFERROR(IF(ISNUMBER(SEARCH(Assumptions!$C$5,D64)),Assumptions!$D$5,IF(ISNUMBER(SEARCH(Assumptions!$C$6,D64)),Assumptions!$D$6,IF(ISNUMBER(SEARCH(Assumptions!$C$7,D64)),Assumptions!$D$7,"Other Services"))),"Other Services"))</f>
        <v/>
      </c>
    </row>
    <row r="65" customFormat="false" ht="15" hidden="false" customHeight="false" outlineLevel="0" collapsed="false">
      <c r="J65" s="41" t="str">
        <f aca="false">IF(D65="","",IFERROR(IF(ISNUMBER(SEARCH(Assumptions!$C$5,D65)),Assumptions!$D$5,IF(ISNUMBER(SEARCH(Assumptions!$C$6,D65)),Assumptions!$D$6,IF(ISNUMBER(SEARCH(Assumptions!$C$7,D65)),Assumptions!$D$7,"Other Services"))),"Other Services"))</f>
        <v/>
      </c>
    </row>
    <row r="66" customFormat="false" ht="15" hidden="false" customHeight="false" outlineLevel="0" collapsed="false">
      <c r="J66" s="41" t="str">
        <f aca="false">IF(D66="","",IFERROR(IF(ISNUMBER(SEARCH(Assumptions!$C$5,D66)),Assumptions!$D$5,IF(ISNUMBER(SEARCH(Assumptions!$C$6,D66)),Assumptions!$D$6,IF(ISNUMBER(SEARCH(Assumptions!$C$7,D66)),Assumptions!$D$7,"Other Services"))),"Other Services"))</f>
        <v/>
      </c>
    </row>
    <row r="67" customFormat="false" ht="15" hidden="false" customHeight="false" outlineLevel="0" collapsed="false">
      <c r="J67" s="41" t="str">
        <f aca="false">IF(D67="","",IFERROR(IF(ISNUMBER(SEARCH(Assumptions!$C$5,D67)),Assumptions!$D$5,IF(ISNUMBER(SEARCH(Assumptions!$C$6,D67)),Assumptions!$D$6,IF(ISNUMBER(SEARCH(Assumptions!$C$7,D67)),Assumptions!$D$7,"Other Services"))),"Other Services"))</f>
        <v/>
      </c>
    </row>
    <row r="68" customFormat="false" ht="15" hidden="false" customHeight="false" outlineLevel="0" collapsed="false">
      <c r="J68" s="41" t="str">
        <f aca="false">IF(D68="","",IFERROR(IF(ISNUMBER(SEARCH(Assumptions!$C$5,D68)),Assumptions!$D$5,IF(ISNUMBER(SEARCH(Assumptions!$C$6,D68)),Assumptions!$D$6,IF(ISNUMBER(SEARCH(Assumptions!$C$7,D68)),Assumptions!$D$7,"Other Services"))),"Other Services"))</f>
        <v/>
      </c>
    </row>
    <row r="69" customFormat="false" ht="15" hidden="false" customHeight="false" outlineLevel="0" collapsed="false">
      <c r="J69" s="41" t="str">
        <f aca="false">IF(D69="","",IFERROR(IF(ISNUMBER(SEARCH(Assumptions!$C$5,D69)),Assumptions!$D$5,IF(ISNUMBER(SEARCH(Assumptions!$C$6,D69)),Assumptions!$D$6,IF(ISNUMBER(SEARCH(Assumptions!$C$7,D69)),Assumptions!$D$7,"Other Services"))),"Other Services"))</f>
        <v/>
      </c>
    </row>
    <row r="70" customFormat="false" ht="15" hidden="false" customHeight="false" outlineLevel="0" collapsed="false">
      <c r="J70" s="41" t="str">
        <f aca="false">IF(D70="","",IFERROR(IF(ISNUMBER(SEARCH(Assumptions!$C$5,D70)),Assumptions!$D$5,IF(ISNUMBER(SEARCH(Assumptions!$C$6,D70)),Assumptions!$D$6,IF(ISNUMBER(SEARCH(Assumptions!$C$7,D70)),Assumptions!$D$7,"Other Services"))),"Other Services"))</f>
        <v/>
      </c>
    </row>
    <row r="71" customFormat="false" ht="15" hidden="false" customHeight="false" outlineLevel="0" collapsed="false">
      <c r="J71" s="41" t="str">
        <f aca="false">IF(D71="","",IFERROR(IF(ISNUMBER(SEARCH(Assumptions!$C$5,D71)),Assumptions!$D$5,IF(ISNUMBER(SEARCH(Assumptions!$C$6,D71)),Assumptions!$D$6,IF(ISNUMBER(SEARCH(Assumptions!$C$7,D71)),Assumptions!$D$7,"Other Services"))),"Other Services"))</f>
        <v/>
      </c>
    </row>
    <row r="72" customFormat="false" ht="15" hidden="false" customHeight="false" outlineLevel="0" collapsed="false">
      <c r="J72" s="41" t="str">
        <f aca="false">IF(D72="","",IFERROR(IF(ISNUMBER(SEARCH(Assumptions!$C$5,D72)),Assumptions!$D$5,IF(ISNUMBER(SEARCH(Assumptions!$C$6,D72)),Assumptions!$D$6,IF(ISNUMBER(SEARCH(Assumptions!$C$7,D72)),Assumptions!$D$7,"Other Services"))),"Other Services"))</f>
        <v/>
      </c>
    </row>
    <row r="73" customFormat="false" ht="15" hidden="false" customHeight="false" outlineLevel="0" collapsed="false">
      <c r="J73" s="41" t="str">
        <f aca="false">IF(D73="","",IFERROR(IF(ISNUMBER(SEARCH(Assumptions!$C$5,D73)),Assumptions!$D$5,IF(ISNUMBER(SEARCH(Assumptions!$C$6,D73)),Assumptions!$D$6,IF(ISNUMBER(SEARCH(Assumptions!$C$7,D73)),Assumptions!$D$7,"Other Services"))),"Other Services"))</f>
        <v/>
      </c>
    </row>
    <row r="74" customFormat="false" ht="15" hidden="false" customHeight="false" outlineLevel="0" collapsed="false">
      <c r="J74" s="41" t="str">
        <f aca="false">IF(D74="","",IFERROR(IF(ISNUMBER(SEARCH(Assumptions!$C$5,D74)),Assumptions!$D$5,IF(ISNUMBER(SEARCH(Assumptions!$C$6,D74)),Assumptions!$D$6,IF(ISNUMBER(SEARCH(Assumptions!$C$7,D74)),Assumptions!$D$7,"Other Services"))),"Other Services"))</f>
        <v/>
      </c>
    </row>
    <row r="75" customFormat="false" ht="15" hidden="false" customHeight="false" outlineLevel="0" collapsed="false">
      <c r="J75" s="41" t="str">
        <f aca="false">IF(D75="","",IFERROR(IF(ISNUMBER(SEARCH(Assumptions!$C$5,D75)),Assumptions!$D$5,IF(ISNUMBER(SEARCH(Assumptions!$C$6,D75)),Assumptions!$D$6,IF(ISNUMBER(SEARCH(Assumptions!$C$7,D75)),Assumptions!$D$7,"Other Services"))),"Other Services"))</f>
        <v/>
      </c>
    </row>
    <row r="76" customFormat="false" ht="15" hidden="false" customHeight="false" outlineLevel="0" collapsed="false">
      <c r="J76" s="41" t="str">
        <f aca="false">IF(D76="","",IFERROR(IF(ISNUMBER(SEARCH(Assumptions!$C$5,D76)),Assumptions!$D$5,IF(ISNUMBER(SEARCH(Assumptions!$C$6,D76)),Assumptions!$D$6,IF(ISNUMBER(SEARCH(Assumptions!$C$7,D76)),Assumptions!$D$7,"Other Services"))),"Other Services"))</f>
        <v/>
      </c>
    </row>
    <row r="77" customFormat="false" ht="15" hidden="false" customHeight="false" outlineLevel="0" collapsed="false">
      <c r="J77" s="41" t="str">
        <f aca="false">IF(D77="","",IFERROR(IF(ISNUMBER(SEARCH(Assumptions!$C$5,D77)),Assumptions!$D$5,IF(ISNUMBER(SEARCH(Assumptions!$C$6,D77)),Assumptions!$D$6,IF(ISNUMBER(SEARCH(Assumptions!$C$7,D77)),Assumptions!$D$7,"Other Services"))),"Other Services"))</f>
        <v/>
      </c>
    </row>
    <row r="78" customFormat="false" ht="15" hidden="false" customHeight="false" outlineLevel="0" collapsed="false">
      <c r="J78" s="41" t="str">
        <f aca="false">IF(D78="","",IFERROR(IF(ISNUMBER(SEARCH(Assumptions!$C$5,D78)),Assumptions!$D$5,IF(ISNUMBER(SEARCH(Assumptions!$C$6,D78)),Assumptions!$D$6,IF(ISNUMBER(SEARCH(Assumptions!$C$7,D78)),Assumptions!$D$7,"Other Services"))),"Other Services"))</f>
        <v/>
      </c>
    </row>
    <row r="79" customFormat="false" ht="15" hidden="false" customHeight="false" outlineLevel="0" collapsed="false">
      <c r="J79" s="41" t="str">
        <f aca="false">IF(D79="","",IFERROR(IF(ISNUMBER(SEARCH(Assumptions!$C$5,D79)),Assumptions!$D$5,IF(ISNUMBER(SEARCH(Assumptions!$C$6,D79)),Assumptions!$D$6,IF(ISNUMBER(SEARCH(Assumptions!$C$7,D79)),Assumptions!$D$7,"Other Services"))),"Other Services"))</f>
        <v/>
      </c>
    </row>
    <row r="80" customFormat="false" ht="15" hidden="false" customHeight="false" outlineLevel="0" collapsed="false">
      <c r="J80" s="41" t="str">
        <f aca="false">IF(D80="","",IFERROR(IF(ISNUMBER(SEARCH(Assumptions!$C$5,D80)),Assumptions!$D$5,IF(ISNUMBER(SEARCH(Assumptions!$C$6,D80)),Assumptions!$D$6,IF(ISNUMBER(SEARCH(Assumptions!$C$7,D80)),Assumptions!$D$7,"Other Services"))),"Other Services"))</f>
        <v/>
      </c>
    </row>
    <row r="81" customFormat="false" ht="15" hidden="false" customHeight="false" outlineLevel="0" collapsed="false">
      <c r="J81" s="41" t="str">
        <f aca="false">IF(D81="","",IFERROR(IF(ISNUMBER(SEARCH(Assumptions!$C$5,D81)),Assumptions!$D$5,IF(ISNUMBER(SEARCH(Assumptions!$C$6,D81)),Assumptions!$D$6,IF(ISNUMBER(SEARCH(Assumptions!$C$7,D81)),Assumptions!$D$7,"Other Services"))),"Other Services"))</f>
        <v/>
      </c>
    </row>
    <row r="82" customFormat="false" ht="15" hidden="false" customHeight="false" outlineLevel="0" collapsed="false">
      <c r="J82" s="41" t="str">
        <f aca="false">IF(D82="","",IFERROR(IF(ISNUMBER(SEARCH(Assumptions!$C$5,D82)),Assumptions!$D$5,IF(ISNUMBER(SEARCH(Assumptions!$C$6,D82)),Assumptions!$D$6,IF(ISNUMBER(SEARCH(Assumptions!$C$7,D82)),Assumptions!$D$7,"Other Services"))),"Other Services"))</f>
        <v/>
      </c>
    </row>
    <row r="83" customFormat="false" ht="15" hidden="false" customHeight="false" outlineLevel="0" collapsed="false">
      <c r="J83" s="41" t="str">
        <f aca="false">IF(D83="","",IFERROR(IF(ISNUMBER(SEARCH(Assumptions!$C$5,D83)),Assumptions!$D$5,IF(ISNUMBER(SEARCH(Assumptions!$C$6,D83)),Assumptions!$D$6,IF(ISNUMBER(SEARCH(Assumptions!$C$7,D83)),Assumptions!$D$7,"Other Services"))),"Other Services"))</f>
        <v/>
      </c>
    </row>
    <row r="84" customFormat="false" ht="15" hidden="false" customHeight="false" outlineLevel="0" collapsed="false">
      <c r="J84" s="41" t="str">
        <f aca="false">IF(D84="","",IFERROR(IF(ISNUMBER(SEARCH(Assumptions!$C$5,D84)),Assumptions!$D$5,IF(ISNUMBER(SEARCH(Assumptions!$C$6,D84)),Assumptions!$D$6,IF(ISNUMBER(SEARCH(Assumptions!$C$7,D84)),Assumptions!$D$7,"Other Services"))),"Other Services"))</f>
        <v/>
      </c>
    </row>
    <row r="85" customFormat="false" ht="15" hidden="false" customHeight="false" outlineLevel="0" collapsed="false">
      <c r="J85" s="41" t="str">
        <f aca="false">IF(D85="","",IFERROR(IF(ISNUMBER(SEARCH(Assumptions!$C$5,D85)),Assumptions!$D$5,IF(ISNUMBER(SEARCH(Assumptions!$C$6,D85)),Assumptions!$D$6,IF(ISNUMBER(SEARCH(Assumptions!$C$7,D85)),Assumptions!$D$7,"Other Services"))),"Other Services"))</f>
        <v/>
      </c>
    </row>
    <row r="86" customFormat="false" ht="15" hidden="false" customHeight="false" outlineLevel="0" collapsed="false">
      <c r="J86" s="41" t="str">
        <f aca="false">IF(D86="","",IFERROR(IF(ISNUMBER(SEARCH(Assumptions!$C$5,D86)),Assumptions!$D$5,IF(ISNUMBER(SEARCH(Assumptions!$C$6,D86)),Assumptions!$D$6,IF(ISNUMBER(SEARCH(Assumptions!$C$7,D86)),Assumptions!$D$7,"Other Services"))),"Other Services"))</f>
        <v/>
      </c>
    </row>
    <row r="87" customFormat="false" ht="15" hidden="false" customHeight="false" outlineLevel="0" collapsed="false">
      <c r="J87" s="41" t="str">
        <f aca="false">IF(D87="","",IFERROR(IF(ISNUMBER(SEARCH(Assumptions!$C$5,D87)),Assumptions!$D$5,IF(ISNUMBER(SEARCH(Assumptions!$C$6,D87)),Assumptions!$D$6,IF(ISNUMBER(SEARCH(Assumptions!$C$7,D87)),Assumptions!$D$7,"Other Services"))),"Other Services"))</f>
        <v/>
      </c>
    </row>
    <row r="88" customFormat="false" ht="15" hidden="false" customHeight="false" outlineLevel="0" collapsed="false">
      <c r="J88" s="41" t="str">
        <f aca="false">IF(D88="","",IFERROR(IF(ISNUMBER(SEARCH(Assumptions!$C$5,D88)),Assumptions!$D$5,IF(ISNUMBER(SEARCH(Assumptions!$C$6,D88)),Assumptions!$D$6,IF(ISNUMBER(SEARCH(Assumptions!$C$7,D88)),Assumptions!$D$7,"Other Services"))),"Other Services"))</f>
        <v/>
      </c>
    </row>
    <row r="89" customFormat="false" ht="15" hidden="false" customHeight="false" outlineLevel="0" collapsed="false">
      <c r="J89" s="41" t="str">
        <f aca="false">IF(D89="","",IFERROR(IF(ISNUMBER(SEARCH(Assumptions!$C$5,D89)),Assumptions!$D$5,IF(ISNUMBER(SEARCH(Assumptions!$C$6,D89)),Assumptions!$D$6,IF(ISNUMBER(SEARCH(Assumptions!$C$7,D89)),Assumptions!$D$7,"Other Services"))),"Other Services"))</f>
        <v/>
      </c>
    </row>
    <row r="90" customFormat="false" ht="15" hidden="false" customHeight="false" outlineLevel="0" collapsed="false">
      <c r="J90" s="41" t="str">
        <f aca="false">IF(D90="","",IFERROR(IF(ISNUMBER(SEARCH(Assumptions!$C$5,D90)),Assumptions!$D$5,IF(ISNUMBER(SEARCH(Assumptions!$C$6,D90)),Assumptions!$D$6,IF(ISNUMBER(SEARCH(Assumptions!$C$7,D90)),Assumptions!$D$7,"Other Services"))),"Other Services"))</f>
        <v/>
      </c>
    </row>
    <row r="91" customFormat="false" ht="15" hidden="false" customHeight="false" outlineLevel="0" collapsed="false">
      <c r="J91" s="41" t="str">
        <f aca="false">IF(D91="","",IFERROR(IF(ISNUMBER(SEARCH(Assumptions!$C$5,D91)),Assumptions!$D$5,IF(ISNUMBER(SEARCH(Assumptions!$C$6,D91)),Assumptions!$D$6,IF(ISNUMBER(SEARCH(Assumptions!$C$7,D91)),Assumptions!$D$7,"Other Services"))),"Other Services"))</f>
        <v/>
      </c>
    </row>
    <row r="92" customFormat="false" ht="15" hidden="false" customHeight="false" outlineLevel="0" collapsed="false">
      <c r="J92" s="41" t="str">
        <f aca="false">IF(D92="","",IFERROR(IF(ISNUMBER(SEARCH(Assumptions!$C$5,D92)),Assumptions!$D$5,IF(ISNUMBER(SEARCH(Assumptions!$C$6,D92)),Assumptions!$D$6,IF(ISNUMBER(SEARCH(Assumptions!$C$7,D92)),Assumptions!$D$7,"Other Services"))),"Other Services"))</f>
        <v/>
      </c>
    </row>
    <row r="93" customFormat="false" ht="15" hidden="false" customHeight="false" outlineLevel="0" collapsed="false">
      <c r="J93" s="41" t="str">
        <f aca="false">IF(D93="","",IFERROR(IF(ISNUMBER(SEARCH(Assumptions!$C$5,D93)),Assumptions!$D$5,IF(ISNUMBER(SEARCH(Assumptions!$C$6,D93)),Assumptions!$D$6,IF(ISNUMBER(SEARCH(Assumptions!$C$7,D93)),Assumptions!$D$7,"Other Services"))),"Other Services"))</f>
        <v/>
      </c>
    </row>
    <row r="94" customFormat="false" ht="15" hidden="false" customHeight="false" outlineLevel="0" collapsed="false">
      <c r="J94" s="41" t="str">
        <f aca="false">IF(D94="","",IFERROR(IF(ISNUMBER(SEARCH(Assumptions!$C$5,D94)),Assumptions!$D$5,IF(ISNUMBER(SEARCH(Assumptions!$C$6,D94)),Assumptions!$D$6,IF(ISNUMBER(SEARCH(Assumptions!$C$7,D94)),Assumptions!$D$7,"Other Services"))),"Other Services"))</f>
        <v/>
      </c>
    </row>
    <row r="95" customFormat="false" ht="15" hidden="false" customHeight="false" outlineLevel="0" collapsed="false">
      <c r="J95" s="41" t="str">
        <f aca="false">IF(D95="","",IFERROR(IF(ISNUMBER(SEARCH(Assumptions!$C$5,D95)),Assumptions!$D$5,IF(ISNUMBER(SEARCH(Assumptions!$C$6,D95)),Assumptions!$D$6,IF(ISNUMBER(SEARCH(Assumptions!$C$7,D95)),Assumptions!$D$7,"Other Services"))),"Other Services"))</f>
        <v/>
      </c>
    </row>
    <row r="96" customFormat="false" ht="15" hidden="false" customHeight="false" outlineLevel="0" collapsed="false">
      <c r="J96" s="41" t="str">
        <f aca="false">IF(D96="","",IFERROR(IF(ISNUMBER(SEARCH(Assumptions!$C$5,D96)),Assumptions!$D$5,IF(ISNUMBER(SEARCH(Assumptions!$C$6,D96)),Assumptions!$D$6,IF(ISNUMBER(SEARCH(Assumptions!$C$7,D96)),Assumptions!$D$7,"Other Services"))),"Other Services"))</f>
        <v/>
      </c>
    </row>
    <row r="97" customFormat="false" ht="15" hidden="false" customHeight="false" outlineLevel="0" collapsed="false">
      <c r="J97" s="41" t="str">
        <f aca="false">IF(D97="","",IFERROR(IF(ISNUMBER(SEARCH(Assumptions!$C$5,D97)),Assumptions!$D$5,IF(ISNUMBER(SEARCH(Assumptions!$C$6,D97)),Assumptions!$D$6,IF(ISNUMBER(SEARCH(Assumptions!$C$7,D97)),Assumptions!$D$7,"Other Services"))),"Other Services"))</f>
        <v/>
      </c>
    </row>
    <row r="98" customFormat="false" ht="15" hidden="false" customHeight="false" outlineLevel="0" collapsed="false">
      <c r="J98" s="41" t="str">
        <f aca="false">IF(D98="","",IFERROR(IF(ISNUMBER(SEARCH(Assumptions!$C$5,D98)),Assumptions!$D$5,IF(ISNUMBER(SEARCH(Assumptions!$C$6,D98)),Assumptions!$D$6,IF(ISNUMBER(SEARCH(Assumptions!$C$7,D98)),Assumptions!$D$7,"Other Services"))),"Other Services"))</f>
        <v/>
      </c>
    </row>
    <row r="99" customFormat="false" ht="15" hidden="false" customHeight="false" outlineLevel="0" collapsed="false">
      <c r="J99" s="41" t="str">
        <f aca="false">IF(D99="","",IFERROR(IF(ISNUMBER(SEARCH(Assumptions!$C$5,D99)),Assumptions!$D$5,IF(ISNUMBER(SEARCH(Assumptions!$C$6,D99)),Assumptions!$D$6,IF(ISNUMBER(SEARCH(Assumptions!$C$7,D99)),Assumptions!$D$7,"Other Services"))),"Other Services"))</f>
        <v/>
      </c>
    </row>
    <row r="100" customFormat="false" ht="15" hidden="false" customHeight="false" outlineLevel="0" collapsed="false">
      <c r="J100" s="41" t="str">
        <f aca="false">IF(D100="","",IFERROR(IF(ISNUMBER(SEARCH(Assumptions!$C$5,D100)),Assumptions!$D$5,IF(ISNUMBER(SEARCH(Assumptions!$C$6,D100)),Assumptions!$D$6,IF(ISNUMBER(SEARCH(Assumptions!$C$7,D100)),Assumptions!$D$7,"Other Services"))),"Other Services"))</f>
        <v/>
      </c>
    </row>
    <row r="101" customFormat="false" ht="15" hidden="false" customHeight="false" outlineLevel="0" collapsed="false">
      <c r="J101" s="41" t="str">
        <f aca="false">IF(D101="","",IFERROR(IF(ISNUMBER(SEARCH(Assumptions!$C$5,D101)),Assumptions!$D$5,IF(ISNUMBER(SEARCH(Assumptions!$C$6,D101)),Assumptions!$D$6,IF(ISNUMBER(SEARCH(Assumptions!$C$7,D101)),Assumptions!$D$7,"Other Services"))),"Other Services"))</f>
        <v/>
      </c>
    </row>
    <row r="102" customFormat="false" ht="15" hidden="false" customHeight="false" outlineLevel="0" collapsed="false">
      <c r="J102" s="41" t="str">
        <f aca="false">IF(D102="","",IFERROR(IF(ISNUMBER(SEARCH(Assumptions!$C$5,D102)),Assumptions!$D$5,IF(ISNUMBER(SEARCH(Assumptions!$C$6,D102)),Assumptions!$D$6,IF(ISNUMBER(SEARCH(Assumptions!$C$7,D102)),Assumptions!$D$7,"Other Services"))),"Other Services"))</f>
        <v/>
      </c>
    </row>
    <row r="103" customFormat="false" ht="15" hidden="false" customHeight="false" outlineLevel="0" collapsed="false">
      <c r="J103" s="41" t="str">
        <f aca="false">IF(D103="","",IFERROR(IF(ISNUMBER(SEARCH(Assumptions!$C$5,D103)),Assumptions!$D$5,IF(ISNUMBER(SEARCH(Assumptions!$C$6,D103)),Assumptions!$D$6,IF(ISNUMBER(SEARCH(Assumptions!$C$7,D103)),Assumptions!$D$7,"Other Services"))),"Other Services"))</f>
        <v/>
      </c>
    </row>
    <row r="104" customFormat="false" ht="15" hidden="false" customHeight="false" outlineLevel="0" collapsed="false">
      <c r="J104" s="41" t="str">
        <f aca="false">IF(D104="","",IFERROR(IF(ISNUMBER(SEARCH(Assumptions!$C$5,D104)),Assumptions!$D$5,IF(ISNUMBER(SEARCH(Assumptions!$C$6,D104)),Assumptions!$D$6,IF(ISNUMBER(SEARCH(Assumptions!$C$7,D104)),Assumptions!$D$7,"Other Services"))),"Other Services"))</f>
        <v/>
      </c>
    </row>
    <row r="105" customFormat="false" ht="15" hidden="false" customHeight="false" outlineLevel="0" collapsed="false">
      <c r="J105" s="41" t="str">
        <f aca="false">IF(D105="","",IFERROR(IF(ISNUMBER(SEARCH(Assumptions!$C$5,D105)),Assumptions!$D$5,IF(ISNUMBER(SEARCH(Assumptions!$C$6,D105)),Assumptions!$D$6,IF(ISNUMBER(SEARCH(Assumptions!$C$7,D105)),Assumptions!$D$7,"Other Services"))),"Other Services"))</f>
        <v/>
      </c>
    </row>
    <row r="106" customFormat="false" ht="15" hidden="false" customHeight="false" outlineLevel="0" collapsed="false">
      <c r="J106" s="41" t="str">
        <f aca="false">IF(D106="","",IFERROR(IF(ISNUMBER(SEARCH(Assumptions!$C$5,D106)),Assumptions!$D$5,IF(ISNUMBER(SEARCH(Assumptions!$C$6,D106)),Assumptions!$D$6,IF(ISNUMBER(SEARCH(Assumptions!$C$7,D106)),Assumptions!$D$7,"Other Services"))),"Other Services"))</f>
        <v/>
      </c>
    </row>
    <row r="107" customFormat="false" ht="15" hidden="false" customHeight="false" outlineLevel="0" collapsed="false">
      <c r="J107" s="41" t="str">
        <f aca="false">IF(D107="","",IFERROR(IF(ISNUMBER(SEARCH(Assumptions!$C$5,D107)),Assumptions!$D$5,IF(ISNUMBER(SEARCH(Assumptions!$C$6,D107)),Assumptions!$D$6,IF(ISNUMBER(SEARCH(Assumptions!$C$7,D107)),Assumptions!$D$7,"Other Services"))),"Other Services"))</f>
        <v/>
      </c>
    </row>
    <row r="108" customFormat="false" ht="15" hidden="false" customHeight="false" outlineLevel="0" collapsed="false">
      <c r="J108" s="41" t="str">
        <f aca="false">IF(D108="","",IFERROR(IF(ISNUMBER(SEARCH(Assumptions!$C$5,D108)),Assumptions!$D$5,IF(ISNUMBER(SEARCH(Assumptions!$C$6,D108)),Assumptions!$D$6,IF(ISNUMBER(SEARCH(Assumptions!$C$7,D108)),Assumptions!$D$7,"Other Services"))),"Other Services"))</f>
        <v/>
      </c>
    </row>
    <row r="109" customFormat="false" ht="15" hidden="false" customHeight="false" outlineLevel="0" collapsed="false">
      <c r="J109" s="41" t="str">
        <f aca="false">IF(D109="","",IFERROR(IF(ISNUMBER(SEARCH(Assumptions!$C$5,D109)),Assumptions!$D$5,IF(ISNUMBER(SEARCH(Assumptions!$C$6,D109)),Assumptions!$D$6,IF(ISNUMBER(SEARCH(Assumptions!$C$7,D109)),Assumptions!$D$7,"Other Services"))),"Other Services"))</f>
        <v/>
      </c>
    </row>
    <row r="110" customFormat="false" ht="15" hidden="false" customHeight="false" outlineLevel="0" collapsed="false">
      <c r="J110" s="41" t="str">
        <f aca="false">IF(D110="","",IFERROR(IF(ISNUMBER(SEARCH(Assumptions!$C$5,D110)),Assumptions!$D$5,IF(ISNUMBER(SEARCH(Assumptions!$C$6,D110)),Assumptions!$D$6,IF(ISNUMBER(SEARCH(Assumptions!$C$7,D110)),Assumptions!$D$7,"Other Services"))),"Other Services"))</f>
        <v/>
      </c>
    </row>
    <row r="111" customFormat="false" ht="15" hidden="false" customHeight="false" outlineLevel="0" collapsed="false">
      <c r="J111" s="41" t="str">
        <f aca="false">IF(D111="","",IFERROR(IF(ISNUMBER(SEARCH(Assumptions!$C$5,D111)),Assumptions!$D$5,IF(ISNUMBER(SEARCH(Assumptions!$C$6,D111)),Assumptions!$D$6,IF(ISNUMBER(SEARCH(Assumptions!$C$7,D111)),Assumptions!$D$7,"Other Services"))),"Other Services"))</f>
        <v/>
      </c>
    </row>
    <row r="112" customFormat="false" ht="15" hidden="false" customHeight="false" outlineLevel="0" collapsed="false">
      <c r="J112" s="41" t="str">
        <f aca="false">IF(D112="","",IFERROR(IF(ISNUMBER(SEARCH(Assumptions!$C$5,D112)),Assumptions!$D$5,IF(ISNUMBER(SEARCH(Assumptions!$C$6,D112)),Assumptions!$D$6,IF(ISNUMBER(SEARCH(Assumptions!$C$7,D112)),Assumptions!$D$7,"Other Services"))),"Other Services"))</f>
        <v/>
      </c>
    </row>
    <row r="113" customFormat="false" ht="15" hidden="false" customHeight="false" outlineLevel="0" collapsed="false">
      <c r="J113" s="41" t="str">
        <f aca="false">IF(D113="","",IFERROR(IF(ISNUMBER(SEARCH(Assumptions!$C$5,D113)),Assumptions!$D$5,IF(ISNUMBER(SEARCH(Assumptions!$C$6,D113)),Assumptions!$D$6,IF(ISNUMBER(SEARCH(Assumptions!$C$7,D113)),Assumptions!$D$7,"Other Services"))),"Other Services"))</f>
        <v/>
      </c>
    </row>
    <row r="114" customFormat="false" ht="15" hidden="false" customHeight="false" outlineLevel="0" collapsed="false">
      <c r="J114" s="41" t="str">
        <f aca="false">IF(D114="","",IFERROR(IF(ISNUMBER(SEARCH(Assumptions!$C$5,D114)),Assumptions!$D$5,IF(ISNUMBER(SEARCH(Assumptions!$C$6,D114)),Assumptions!$D$6,IF(ISNUMBER(SEARCH(Assumptions!$C$7,D114)),Assumptions!$D$7,"Other Services"))),"Other Services"))</f>
        <v/>
      </c>
    </row>
    <row r="115" customFormat="false" ht="15" hidden="false" customHeight="false" outlineLevel="0" collapsed="false">
      <c r="J115" s="41" t="str">
        <f aca="false">IF(D115="","",IFERROR(IF(ISNUMBER(SEARCH(Assumptions!$C$5,D115)),Assumptions!$D$5,IF(ISNUMBER(SEARCH(Assumptions!$C$6,D115)),Assumptions!$D$6,IF(ISNUMBER(SEARCH(Assumptions!$C$7,D115)),Assumptions!$D$7,"Other Services"))),"Other Services"))</f>
        <v/>
      </c>
    </row>
    <row r="116" customFormat="false" ht="15" hidden="false" customHeight="false" outlineLevel="0" collapsed="false">
      <c r="J116" s="41" t="str">
        <f aca="false">IF(D116="","",IFERROR(IF(ISNUMBER(SEARCH(Assumptions!$C$5,D116)),Assumptions!$D$5,IF(ISNUMBER(SEARCH(Assumptions!$C$6,D116)),Assumptions!$D$6,IF(ISNUMBER(SEARCH(Assumptions!$C$7,D116)),Assumptions!$D$7,"Other Services"))),"Other Services"))</f>
        <v/>
      </c>
    </row>
    <row r="117" customFormat="false" ht="15" hidden="false" customHeight="false" outlineLevel="0" collapsed="false">
      <c r="J117" s="41" t="str">
        <f aca="false">IF(D117="","",IFERROR(IF(ISNUMBER(SEARCH(Assumptions!$C$5,D117)),Assumptions!$D$5,IF(ISNUMBER(SEARCH(Assumptions!$C$6,D117)),Assumptions!$D$6,IF(ISNUMBER(SEARCH(Assumptions!$C$7,D117)),Assumptions!$D$7,"Other Services"))),"Other Services"))</f>
        <v/>
      </c>
    </row>
    <row r="118" customFormat="false" ht="15" hidden="false" customHeight="false" outlineLevel="0" collapsed="false">
      <c r="J118" s="41" t="str">
        <f aca="false">IF(D118="","",IFERROR(IF(ISNUMBER(SEARCH(Assumptions!$C$5,D118)),Assumptions!$D$5,IF(ISNUMBER(SEARCH(Assumptions!$C$6,D118)),Assumptions!$D$6,IF(ISNUMBER(SEARCH(Assumptions!$C$7,D118)),Assumptions!$D$7,"Other Services"))),"Other Services"))</f>
        <v/>
      </c>
    </row>
    <row r="119" customFormat="false" ht="15" hidden="false" customHeight="false" outlineLevel="0" collapsed="false">
      <c r="J119" s="41" t="str">
        <f aca="false">IF(D119="","",IFERROR(IF(ISNUMBER(SEARCH(Assumptions!$C$5,D119)),Assumptions!$D$5,IF(ISNUMBER(SEARCH(Assumptions!$C$6,D119)),Assumptions!$D$6,IF(ISNUMBER(SEARCH(Assumptions!$C$7,D119)),Assumptions!$D$7,"Other Services"))),"Other Services"))</f>
        <v/>
      </c>
    </row>
    <row r="120" customFormat="false" ht="15" hidden="false" customHeight="false" outlineLevel="0" collapsed="false">
      <c r="J120" s="41" t="str">
        <f aca="false">IF(D120="","",IFERROR(IF(ISNUMBER(SEARCH(Assumptions!$C$5,D120)),Assumptions!$D$5,IF(ISNUMBER(SEARCH(Assumptions!$C$6,D120)),Assumptions!$D$6,IF(ISNUMBER(SEARCH(Assumptions!$C$7,D120)),Assumptions!$D$7,"Other Services"))),"Other Services"))</f>
        <v/>
      </c>
    </row>
    <row r="121" customFormat="false" ht="15" hidden="false" customHeight="false" outlineLevel="0" collapsed="false">
      <c r="J121" s="41" t="str">
        <f aca="false">IF(D121="","",IFERROR(IF(ISNUMBER(SEARCH(Assumptions!$C$5,D121)),Assumptions!$D$5,IF(ISNUMBER(SEARCH(Assumptions!$C$6,D121)),Assumptions!$D$6,IF(ISNUMBER(SEARCH(Assumptions!$C$7,D121)),Assumptions!$D$7,"Other Services"))),"Other Services"))</f>
        <v/>
      </c>
    </row>
    <row r="122" customFormat="false" ht="15" hidden="false" customHeight="false" outlineLevel="0" collapsed="false">
      <c r="J122" s="41" t="str">
        <f aca="false">IF(D122="","",IFERROR(IF(ISNUMBER(SEARCH(Assumptions!$C$5,D122)),Assumptions!$D$5,IF(ISNUMBER(SEARCH(Assumptions!$C$6,D122)),Assumptions!$D$6,IF(ISNUMBER(SEARCH(Assumptions!$C$7,D122)),Assumptions!$D$7,"Other Services"))),"Other Services"))</f>
        <v/>
      </c>
    </row>
    <row r="123" customFormat="false" ht="15" hidden="false" customHeight="false" outlineLevel="0" collapsed="false">
      <c r="J123" s="41" t="str">
        <f aca="false">IF(D123="","",IFERROR(IF(ISNUMBER(SEARCH(Assumptions!$C$5,D123)),Assumptions!$D$5,IF(ISNUMBER(SEARCH(Assumptions!$C$6,D123)),Assumptions!$D$6,IF(ISNUMBER(SEARCH(Assumptions!$C$7,D123)),Assumptions!$D$7,"Other Services"))),"Other Services"))</f>
        <v/>
      </c>
    </row>
    <row r="124" customFormat="false" ht="15" hidden="false" customHeight="false" outlineLevel="0" collapsed="false">
      <c r="J124" s="41" t="str">
        <f aca="false">IF(D124="","",IFERROR(IF(ISNUMBER(SEARCH(Assumptions!$C$5,D124)),Assumptions!$D$5,IF(ISNUMBER(SEARCH(Assumptions!$C$6,D124)),Assumptions!$D$6,IF(ISNUMBER(SEARCH(Assumptions!$C$7,D124)),Assumptions!$D$7,"Other Services"))),"Other Services"))</f>
        <v/>
      </c>
    </row>
    <row r="125" customFormat="false" ht="15" hidden="false" customHeight="false" outlineLevel="0" collapsed="false">
      <c r="J125" s="41" t="str">
        <f aca="false">IF(D125="","",IFERROR(IF(ISNUMBER(SEARCH(Assumptions!$C$5,D125)),Assumptions!$D$5,IF(ISNUMBER(SEARCH(Assumptions!$C$6,D125)),Assumptions!$D$6,IF(ISNUMBER(SEARCH(Assumptions!$C$7,D125)),Assumptions!$D$7,"Other Services"))),"Other Services"))</f>
        <v/>
      </c>
    </row>
    <row r="126" customFormat="false" ht="15" hidden="false" customHeight="false" outlineLevel="0" collapsed="false">
      <c r="J126" s="41" t="str">
        <f aca="false">IF(D126="","",IFERROR(IF(ISNUMBER(SEARCH(Assumptions!$C$5,D126)),Assumptions!$D$5,IF(ISNUMBER(SEARCH(Assumptions!$C$6,D126)),Assumptions!$D$6,IF(ISNUMBER(SEARCH(Assumptions!$C$7,D126)),Assumptions!$D$7,"Other Services"))),"Other Services"))</f>
        <v/>
      </c>
    </row>
    <row r="127" customFormat="false" ht="15" hidden="false" customHeight="false" outlineLevel="0" collapsed="false">
      <c r="J127" s="41" t="str">
        <f aca="false">IF(D127="","",IFERROR(IF(ISNUMBER(SEARCH(Assumptions!$C$5,D127)),Assumptions!$D$5,IF(ISNUMBER(SEARCH(Assumptions!$C$6,D127)),Assumptions!$D$6,IF(ISNUMBER(SEARCH(Assumptions!$C$7,D127)),Assumptions!$D$7,"Other Services"))),"Other Services"))</f>
        <v/>
      </c>
    </row>
    <row r="128" customFormat="false" ht="15" hidden="false" customHeight="false" outlineLevel="0" collapsed="false">
      <c r="J128" s="41" t="str">
        <f aca="false">IF(D128="","",IFERROR(IF(ISNUMBER(SEARCH(Assumptions!$C$5,D128)),Assumptions!$D$5,IF(ISNUMBER(SEARCH(Assumptions!$C$6,D128)),Assumptions!$D$6,IF(ISNUMBER(SEARCH(Assumptions!$C$7,D128)),Assumptions!$D$7,"Other Services"))),"Other Services"))</f>
        <v/>
      </c>
    </row>
    <row r="129" customFormat="false" ht="15" hidden="false" customHeight="false" outlineLevel="0" collapsed="false">
      <c r="J129" s="41" t="str">
        <f aca="false">IF(D129="","",IFERROR(IF(ISNUMBER(SEARCH(Assumptions!$C$5,D129)),Assumptions!$D$5,IF(ISNUMBER(SEARCH(Assumptions!$C$6,D129)),Assumptions!$D$6,IF(ISNUMBER(SEARCH(Assumptions!$C$7,D129)),Assumptions!$D$7,"Other Services"))),"Other Services"))</f>
        <v/>
      </c>
    </row>
    <row r="130" customFormat="false" ht="15" hidden="false" customHeight="false" outlineLevel="0" collapsed="false">
      <c r="J130" s="41" t="str">
        <f aca="false">IF(D130="","",IFERROR(IF(ISNUMBER(SEARCH(Assumptions!$C$5,D130)),Assumptions!$D$5,IF(ISNUMBER(SEARCH(Assumptions!$C$6,D130)),Assumptions!$D$6,IF(ISNUMBER(SEARCH(Assumptions!$C$7,D130)),Assumptions!$D$7,"Other Services"))),"Other Services"))</f>
        <v/>
      </c>
    </row>
    <row r="131" customFormat="false" ht="15" hidden="false" customHeight="false" outlineLevel="0" collapsed="false">
      <c r="J131" s="41" t="str">
        <f aca="false">IF(D131="","",IFERROR(IF(ISNUMBER(SEARCH(Assumptions!$C$5,D131)),Assumptions!$D$5,IF(ISNUMBER(SEARCH(Assumptions!$C$6,D131)),Assumptions!$D$6,IF(ISNUMBER(SEARCH(Assumptions!$C$7,D131)),Assumptions!$D$7,"Other Services"))),"Other Services"))</f>
        <v/>
      </c>
    </row>
    <row r="132" customFormat="false" ht="15" hidden="false" customHeight="false" outlineLevel="0" collapsed="false">
      <c r="J132" s="41" t="str">
        <f aca="false">IF(D132="","",IFERROR(IF(ISNUMBER(SEARCH(Assumptions!$C$5,D132)),Assumptions!$D$5,IF(ISNUMBER(SEARCH(Assumptions!$C$6,D132)),Assumptions!$D$6,IF(ISNUMBER(SEARCH(Assumptions!$C$7,D132)),Assumptions!$D$7,"Other Services"))),"Other Services"))</f>
        <v/>
      </c>
    </row>
    <row r="133" customFormat="false" ht="15" hidden="false" customHeight="false" outlineLevel="0" collapsed="false">
      <c r="J133" s="41" t="str">
        <f aca="false">IF(D133="","",IFERROR(IF(ISNUMBER(SEARCH(Assumptions!$C$5,D133)),Assumptions!$D$5,IF(ISNUMBER(SEARCH(Assumptions!$C$6,D133)),Assumptions!$D$6,IF(ISNUMBER(SEARCH(Assumptions!$C$7,D133)),Assumptions!$D$7,"Other Services"))),"Other Services"))</f>
        <v/>
      </c>
    </row>
    <row r="134" customFormat="false" ht="15" hidden="false" customHeight="false" outlineLevel="0" collapsed="false">
      <c r="J134" s="41" t="str">
        <f aca="false">IF(D134="","",IFERROR(IF(ISNUMBER(SEARCH(Assumptions!$C$5,D134)),Assumptions!$D$5,IF(ISNUMBER(SEARCH(Assumptions!$C$6,D134)),Assumptions!$D$6,IF(ISNUMBER(SEARCH(Assumptions!$C$7,D134)),Assumptions!$D$7,"Other Services"))),"Other Services"))</f>
        <v/>
      </c>
    </row>
    <row r="135" customFormat="false" ht="15" hidden="false" customHeight="false" outlineLevel="0" collapsed="false">
      <c r="J135" s="41" t="str">
        <f aca="false">IF(D135="","",IFERROR(IF(ISNUMBER(SEARCH(Assumptions!$C$5,D135)),Assumptions!$D$5,IF(ISNUMBER(SEARCH(Assumptions!$C$6,D135)),Assumptions!$D$6,IF(ISNUMBER(SEARCH(Assumptions!$C$7,D135)),Assumptions!$D$7,"Other Services"))),"Other Services"))</f>
        <v/>
      </c>
    </row>
    <row r="136" customFormat="false" ht="15" hidden="false" customHeight="false" outlineLevel="0" collapsed="false">
      <c r="J136" s="41" t="str">
        <f aca="false">IF(D136="","",IFERROR(IF(ISNUMBER(SEARCH(Assumptions!$C$5,D136)),Assumptions!$D$5,IF(ISNUMBER(SEARCH(Assumptions!$C$6,D136)),Assumptions!$D$6,IF(ISNUMBER(SEARCH(Assumptions!$C$7,D136)),Assumptions!$D$7,"Other Services"))),"Other Services"))</f>
        <v/>
      </c>
    </row>
    <row r="137" customFormat="false" ht="15" hidden="false" customHeight="false" outlineLevel="0" collapsed="false">
      <c r="J137" s="41" t="str">
        <f aca="false">IF(D137="","",IFERROR(IF(ISNUMBER(SEARCH(Assumptions!$C$5,D137)),Assumptions!$D$5,IF(ISNUMBER(SEARCH(Assumptions!$C$6,D137)),Assumptions!$D$6,IF(ISNUMBER(SEARCH(Assumptions!$C$7,D137)),Assumptions!$D$7,"Other Services"))),"Other Services"))</f>
        <v/>
      </c>
    </row>
    <row r="138" customFormat="false" ht="15" hidden="false" customHeight="false" outlineLevel="0" collapsed="false">
      <c r="J138" s="41" t="str">
        <f aca="false">IF(D138="","",IFERROR(IF(ISNUMBER(SEARCH(Assumptions!$C$5,D138)),Assumptions!$D$5,IF(ISNUMBER(SEARCH(Assumptions!$C$6,D138)),Assumptions!$D$6,IF(ISNUMBER(SEARCH(Assumptions!$C$7,D138)),Assumptions!$D$7,"Other Services"))),"Other Services"))</f>
        <v/>
      </c>
    </row>
    <row r="139" customFormat="false" ht="15" hidden="false" customHeight="false" outlineLevel="0" collapsed="false">
      <c r="J139" s="41" t="str">
        <f aca="false">IF(D139="","",IFERROR(IF(ISNUMBER(SEARCH(Assumptions!$C$5,D139)),Assumptions!$D$5,IF(ISNUMBER(SEARCH(Assumptions!$C$6,D139)),Assumptions!$D$6,IF(ISNUMBER(SEARCH(Assumptions!$C$7,D139)),Assumptions!$D$7,"Other Services"))),"Other Services"))</f>
        <v/>
      </c>
    </row>
    <row r="140" customFormat="false" ht="15" hidden="false" customHeight="false" outlineLevel="0" collapsed="false">
      <c r="J140" s="41" t="str">
        <f aca="false">IF(D140="","",IFERROR(IF(ISNUMBER(SEARCH(Assumptions!$C$5,D140)),Assumptions!$D$5,IF(ISNUMBER(SEARCH(Assumptions!$C$6,D140)),Assumptions!$D$6,IF(ISNUMBER(SEARCH(Assumptions!$C$7,D140)),Assumptions!$D$7,"Other Services"))),"Other Services"))</f>
        <v/>
      </c>
    </row>
    <row r="141" customFormat="false" ht="15" hidden="false" customHeight="false" outlineLevel="0" collapsed="false">
      <c r="J141" s="41" t="str">
        <f aca="false">IF(D141="","",IFERROR(IF(ISNUMBER(SEARCH(Assumptions!$C$5,D141)),Assumptions!$D$5,IF(ISNUMBER(SEARCH(Assumptions!$C$6,D141)),Assumptions!$D$6,IF(ISNUMBER(SEARCH(Assumptions!$C$7,D141)),Assumptions!$D$7,"Other Services"))),"Other Services"))</f>
        <v/>
      </c>
    </row>
    <row r="142" customFormat="false" ht="15" hidden="false" customHeight="false" outlineLevel="0" collapsed="false">
      <c r="J142" s="41" t="str">
        <f aca="false">IF(D142="","",IFERROR(IF(ISNUMBER(SEARCH(Assumptions!$C$5,D142)),Assumptions!$D$5,IF(ISNUMBER(SEARCH(Assumptions!$C$6,D142)),Assumptions!$D$6,IF(ISNUMBER(SEARCH(Assumptions!$C$7,D142)),Assumptions!$D$7,"Other Services"))),"Other Services"))</f>
        <v/>
      </c>
    </row>
    <row r="143" customFormat="false" ht="15" hidden="false" customHeight="false" outlineLevel="0" collapsed="false">
      <c r="J143" s="41" t="str">
        <f aca="false">IF(D143="","",IFERROR(IF(ISNUMBER(SEARCH(Assumptions!$C$5,D143)),Assumptions!$D$5,IF(ISNUMBER(SEARCH(Assumptions!$C$6,D143)),Assumptions!$D$6,IF(ISNUMBER(SEARCH(Assumptions!$C$7,D143)),Assumptions!$D$7,"Other Services"))),"Other Services"))</f>
        <v/>
      </c>
    </row>
    <row r="144" customFormat="false" ht="15" hidden="false" customHeight="false" outlineLevel="0" collapsed="false">
      <c r="J144" s="41" t="str">
        <f aca="false">IF(D144="","",IFERROR(IF(ISNUMBER(SEARCH(Assumptions!$C$5,D144)),Assumptions!$D$5,IF(ISNUMBER(SEARCH(Assumptions!$C$6,D144)),Assumptions!$D$6,IF(ISNUMBER(SEARCH(Assumptions!$C$7,D144)),Assumptions!$D$7,"Other Services"))),"Other Services"))</f>
        <v/>
      </c>
    </row>
    <row r="145" customFormat="false" ht="15" hidden="false" customHeight="false" outlineLevel="0" collapsed="false">
      <c r="J145" s="41" t="str">
        <f aca="false">IF(D145="","",IFERROR(IF(ISNUMBER(SEARCH(Assumptions!$C$5,D145)),Assumptions!$D$5,IF(ISNUMBER(SEARCH(Assumptions!$C$6,D145)),Assumptions!$D$6,IF(ISNUMBER(SEARCH(Assumptions!$C$7,D145)),Assumptions!$D$7,"Other Services"))),"Other Services"))</f>
        <v/>
      </c>
    </row>
    <row r="146" customFormat="false" ht="15" hidden="false" customHeight="false" outlineLevel="0" collapsed="false">
      <c r="J146" s="41" t="str">
        <f aca="false">IF(D146="","",IFERROR(IF(ISNUMBER(SEARCH(Assumptions!$C$5,D146)),Assumptions!$D$5,IF(ISNUMBER(SEARCH(Assumptions!$C$6,D146)),Assumptions!$D$6,IF(ISNUMBER(SEARCH(Assumptions!$C$7,D146)),Assumptions!$D$7,"Other Services"))),"Other Services"))</f>
        <v/>
      </c>
    </row>
    <row r="147" customFormat="false" ht="15" hidden="false" customHeight="false" outlineLevel="0" collapsed="false">
      <c r="J147" s="41" t="str">
        <f aca="false">IF(D147="","",IFERROR(IF(ISNUMBER(SEARCH(Assumptions!$C$5,D147)),Assumptions!$D$5,IF(ISNUMBER(SEARCH(Assumptions!$C$6,D147)),Assumptions!$D$6,IF(ISNUMBER(SEARCH(Assumptions!$C$7,D147)),Assumptions!$D$7,"Other Services"))),"Other Services"))</f>
        <v/>
      </c>
    </row>
    <row r="148" customFormat="false" ht="15" hidden="false" customHeight="false" outlineLevel="0" collapsed="false">
      <c r="J148" s="41" t="str">
        <f aca="false">IF(D148="","",IFERROR(IF(ISNUMBER(SEARCH(Assumptions!$C$5,D148)),Assumptions!$D$5,IF(ISNUMBER(SEARCH(Assumptions!$C$6,D148)),Assumptions!$D$6,IF(ISNUMBER(SEARCH(Assumptions!$C$7,D148)),Assumptions!$D$7,"Other Services"))),"Other Services"))</f>
        <v/>
      </c>
    </row>
    <row r="149" customFormat="false" ht="15" hidden="false" customHeight="false" outlineLevel="0" collapsed="false">
      <c r="J149" s="41" t="str">
        <f aca="false">IF(D149="","",IFERROR(IF(ISNUMBER(SEARCH(Assumptions!$C$5,D149)),Assumptions!$D$5,IF(ISNUMBER(SEARCH(Assumptions!$C$6,D149)),Assumptions!$D$6,IF(ISNUMBER(SEARCH(Assumptions!$C$7,D149)),Assumptions!$D$7,"Other Services"))),"Other Services"))</f>
        <v/>
      </c>
    </row>
    <row r="150" customFormat="false" ht="15" hidden="false" customHeight="false" outlineLevel="0" collapsed="false">
      <c r="J150" s="41" t="str">
        <f aca="false">IF(D150="","",IFERROR(IF(ISNUMBER(SEARCH(Assumptions!$C$5,D150)),Assumptions!$D$5,IF(ISNUMBER(SEARCH(Assumptions!$C$6,D150)),Assumptions!$D$6,IF(ISNUMBER(SEARCH(Assumptions!$C$7,D150)),Assumptions!$D$7,"Other Services"))),"Other Services"))</f>
        <v/>
      </c>
    </row>
    <row r="151" customFormat="false" ht="15" hidden="false" customHeight="false" outlineLevel="0" collapsed="false">
      <c r="J151" s="41" t="str">
        <f aca="false">IF(D151="","",IFERROR(IF(ISNUMBER(SEARCH(Assumptions!$C$5,D151)),Assumptions!$D$5,IF(ISNUMBER(SEARCH(Assumptions!$C$6,D151)),Assumptions!$D$6,IF(ISNUMBER(SEARCH(Assumptions!$C$7,D151)),Assumptions!$D$7,"Other Services"))),"Other Services"))</f>
        <v/>
      </c>
    </row>
    <row r="152" customFormat="false" ht="15" hidden="false" customHeight="false" outlineLevel="0" collapsed="false">
      <c r="J152" s="41" t="str">
        <f aca="false">IF(D152="","",IFERROR(IF(ISNUMBER(SEARCH(Assumptions!$C$5,D152)),Assumptions!$D$5,IF(ISNUMBER(SEARCH(Assumptions!$C$6,D152)),Assumptions!$D$6,IF(ISNUMBER(SEARCH(Assumptions!$C$7,D152)),Assumptions!$D$7,"Other Services"))),"Other Services"))</f>
        <v/>
      </c>
    </row>
    <row r="153" customFormat="false" ht="15" hidden="false" customHeight="false" outlineLevel="0" collapsed="false">
      <c r="J153" s="41" t="str">
        <f aca="false">IF(D153="","",IFERROR(IF(ISNUMBER(SEARCH(Assumptions!$C$5,D153)),Assumptions!$D$5,IF(ISNUMBER(SEARCH(Assumptions!$C$6,D153)),Assumptions!$D$6,IF(ISNUMBER(SEARCH(Assumptions!$C$7,D153)),Assumptions!$D$7,"Other Services"))),"Other Services"))</f>
        <v/>
      </c>
    </row>
    <row r="154" customFormat="false" ht="15" hidden="false" customHeight="false" outlineLevel="0" collapsed="false">
      <c r="J154" s="41" t="str">
        <f aca="false">IF(D154="","",IFERROR(IF(ISNUMBER(SEARCH(Assumptions!$C$5,D154)),Assumptions!$D$5,IF(ISNUMBER(SEARCH(Assumptions!$C$6,D154)),Assumptions!$D$6,IF(ISNUMBER(SEARCH(Assumptions!$C$7,D154)),Assumptions!$D$7,"Other Services"))),"Other Services"))</f>
        <v/>
      </c>
    </row>
    <row r="155" customFormat="false" ht="15" hidden="false" customHeight="false" outlineLevel="0" collapsed="false">
      <c r="J155" s="41" t="str">
        <f aca="false">IF(D155="","",IFERROR(IF(ISNUMBER(SEARCH(Assumptions!$C$5,D155)),Assumptions!$D$5,IF(ISNUMBER(SEARCH(Assumptions!$C$6,D155)),Assumptions!$D$6,IF(ISNUMBER(SEARCH(Assumptions!$C$7,D155)),Assumptions!$D$7,"Other Services"))),"Other Services"))</f>
        <v/>
      </c>
    </row>
    <row r="156" customFormat="false" ht="15" hidden="false" customHeight="false" outlineLevel="0" collapsed="false">
      <c r="J156" s="41" t="str">
        <f aca="false">IF(D156="","",IFERROR(IF(ISNUMBER(SEARCH(Assumptions!$C$5,D156)),Assumptions!$D$5,IF(ISNUMBER(SEARCH(Assumptions!$C$6,D156)),Assumptions!$D$6,IF(ISNUMBER(SEARCH(Assumptions!$C$7,D156)),Assumptions!$D$7,"Other Services"))),"Other Services"))</f>
        <v/>
      </c>
    </row>
    <row r="157" customFormat="false" ht="15" hidden="false" customHeight="false" outlineLevel="0" collapsed="false">
      <c r="J157" s="41" t="str">
        <f aca="false">IF(D157="","",IFERROR(IF(ISNUMBER(SEARCH(Assumptions!$C$5,D157)),Assumptions!$D$5,IF(ISNUMBER(SEARCH(Assumptions!$C$6,D157)),Assumptions!$D$6,IF(ISNUMBER(SEARCH(Assumptions!$C$7,D157)),Assumptions!$D$7,"Other Services"))),"Other Services"))</f>
        <v/>
      </c>
    </row>
    <row r="158" customFormat="false" ht="15" hidden="false" customHeight="false" outlineLevel="0" collapsed="false">
      <c r="J158" s="41" t="str">
        <f aca="false">IF(D158="","",IFERROR(IF(ISNUMBER(SEARCH(Assumptions!$C$5,D158)),Assumptions!$D$5,IF(ISNUMBER(SEARCH(Assumptions!$C$6,D158)),Assumptions!$D$6,IF(ISNUMBER(SEARCH(Assumptions!$C$7,D158)),Assumptions!$D$7,"Other Services"))),"Other Services"))</f>
        <v/>
      </c>
    </row>
    <row r="159" customFormat="false" ht="15" hidden="false" customHeight="false" outlineLevel="0" collapsed="false">
      <c r="J159" s="41" t="str">
        <f aca="false">IF(D159="","",IFERROR(IF(ISNUMBER(SEARCH(Assumptions!$C$5,D159)),Assumptions!$D$5,IF(ISNUMBER(SEARCH(Assumptions!$C$6,D159)),Assumptions!$D$6,IF(ISNUMBER(SEARCH(Assumptions!$C$7,D159)),Assumptions!$D$7,"Other Services"))),"Other Services"))</f>
        <v/>
      </c>
    </row>
    <row r="160" customFormat="false" ht="15" hidden="false" customHeight="false" outlineLevel="0" collapsed="false">
      <c r="J160" s="41" t="str">
        <f aca="false">IF(D160="","",IFERROR(IF(ISNUMBER(SEARCH(Assumptions!$C$5,D160)),Assumptions!$D$5,IF(ISNUMBER(SEARCH(Assumptions!$C$6,D160)),Assumptions!$D$6,IF(ISNUMBER(SEARCH(Assumptions!$C$7,D160)),Assumptions!$D$7,"Other Services"))),"Other Services"))</f>
        <v/>
      </c>
    </row>
    <row r="161" customFormat="false" ht="15" hidden="false" customHeight="false" outlineLevel="0" collapsed="false">
      <c r="J161" s="41" t="str">
        <f aca="false">IF(D161="","",IFERROR(IF(ISNUMBER(SEARCH(Assumptions!$C$5,D161)),Assumptions!$D$5,IF(ISNUMBER(SEARCH(Assumptions!$C$6,D161)),Assumptions!$D$6,IF(ISNUMBER(SEARCH(Assumptions!$C$7,D161)),Assumptions!$D$7,"Other Services"))),"Other Services"))</f>
        <v/>
      </c>
    </row>
    <row r="162" customFormat="false" ht="15" hidden="false" customHeight="false" outlineLevel="0" collapsed="false">
      <c r="J162" s="41" t="str">
        <f aca="false">IF(D162="","",IFERROR(IF(ISNUMBER(SEARCH(Assumptions!$C$5,D162)),Assumptions!$D$5,IF(ISNUMBER(SEARCH(Assumptions!$C$6,D162)),Assumptions!$D$6,IF(ISNUMBER(SEARCH(Assumptions!$C$7,D162)),Assumptions!$D$7,"Other Services"))),"Other Services"))</f>
        <v/>
      </c>
    </row>
    <row r="163" customFormat="false" ht="15" hidden="false" customHeight="false" outlineLevel="0" collapsed="false">
      <c r="J163" s="41" t="str">
        <f aca="false">IF(D163="","",IFERROR(IF(ISNUMBER(SEARCH(Assumptions!$C$5,D163)),Assumptions!$D$5,IF(ISNUMBER(SEARCH(Assumptions!$C$6,D163)),Assumptions!$D$6,IF(ISNUMBER(SEARCH(Assumptions!$C$7,D163)),Assumptions!$D$7,"Other Services"))),"Other Services"))</f>
        <v/>
      </c>
    </row>
    <row r="164" customFormat="false" ht="15" hidden="false" customHeight="false" outlineLevel="0" collapsed="false">
      <c r="J164" s="41" t="str">
        <f aca="false">IF(D164="","",IFERROR(IF(ISNUMBER(SEARCH(Assumptions!$C$5,D164)),Assumptions!$D$5,IF(ISNUMBER(SEARCH(Assumptions!$C$6,D164)),Assumptions!$D$6,IF(ISNUMBER(SEARCH(Assumptions!$C$7,D164)),Assumptions!$D$7,"Other Services"))),"Other Services"))</f>
        <v/>
      </c>
    </row>
    <row r="165" customFormat="false" ht="15" hidden="false" customHeight="false" outlineLevel="0" collapsed="false">
      <c r="J165" s="41" t="str">
        <f aca="false">IF(D165="","",IFERROR(IF(ISNUMBER(SEARCH(Assumptions!$C$5,D165)),Assumptions!$D$5,IF(ISNUMBER(SEARCH(Assumptions!$C$6,D165)),Assumptions!$D$6,IF(ISNUMBER(SEARCH(Assumptions!$C$7,D165)),Assumptions!$D$7,"Other Services"))),"Other Services"))</f>
        <v/>
      </c>
    </row>
    <row r="166" customFormat="false" ht="15" hidden="false" customHeight="false" outlineLevel="0" collapsed="false">
      <c r="J166" s="41" t="str">
        <f aca="false">IF(D166="","",IFERROR(IF(ISNUMBER(SEARCH(Assumptions!$C$5,D166)),Assumptions!$D$5,IF(ISNUMBER(SEARCH(Assumptions!$C$6,D166)),Assumptions!$D$6,IF(ISNUMBER(SEARCH(Assumptions!$C$7,D166)),Assumptions!$D$7,"Other Services"))),"Other Services"))</f>
        <v/>
      </c>
    </row>
    <row r="167" customFormat="false" ht="15" hidden="false" customHeight="false" outlineLevel="0" collapsed="false">
      <c r="J167" s="41" t="str">
        <f aca="false">IF(D167="","",IFERROR(IF(ISNUMBER(SEARCH(Assumptions!$C$5,D167)),Assumptions!$D$5,IF(ISNUMBER(SEARCH(Assumptions!$C$6,D167)),Assumptions!$D$6,IF(ISNUMBER(SEARCH(Assumptions!$C$7,D167)),Assumptions!$D$7,"Other Services"))),"Other Services"))</f>
        <v/>
      </c>
    </row>
    <row r="168" customFormat="false" ht="15" hidden="false" customHeight="false" outlineLevel="0" collapsed="false">
      <c r="J168" s="41" t="str">
        <f aca="false">IF(D168="","",IFERROR(IF(ISNUMBER(SEARCH(Assumptions!$C$5,D168)),Assumptions!$D$5,IF(ISNUMBER(SEARCH(Assumptions!$C$6,D168)),Assumptions!$D$6,IF(ISNUMBER(SEARCH(Assumptions!$C$7,D168)),Assumptions!$D$7,"Other Services"))),"Other Services"))</f>
        <v/>
      </c>
    </row>
    <row r="169" customFormat="false" ht="15" hidden="false" customHeight="false" outlineLevel="0" collapsed="false">
      <c r="J169" s="41" t="str">
        <f aca="false">IF(D169="","",IFERROR(IF(ISNUMBER(SEARCH(Assumptions!$C$5,D169)),Assumptions!$D$5,IF(ISNUMBER(SEARCH(Assumptions!$C$6,D169)),Assumptions!$D$6,IF(ISNUMBER(SEARCH(Assumptions!$C$7,D169)),Assumptions!$D$7,"Other Services"))),"Other Services"))</f>
        <v/>
      </c>
    </row>
    <row r="170" customFormat="false" ht="15" hidden="false" customHeight="false" outlineLevel="0" collapsed="false">
      <c r="J170" s="41" t="str">
        <f aca="false">IF(D170="","",IFERROR(IF(ISNUMBER(SEARCH(Assumptions!$C$5,D170)),Assumptions!$D$5,IF(ISNUMBER(SEARCH(Assumptions!$C$6,D170)),Assumptions!$D$6,IF(ISNUMBER(SEARCH(Assumptions!$C$7,D170)),Assumptions!$D$7,"Other Services"))),"Other Services"))</f>
        <v/>
      </c>
    </row>
    <row r="171" customFormat="false" ht="15" hidden="false" customHeight="false" outlineLevel="0" collapsed="false">
      <c r="J171" s="41" t="str">
        <f aca="false">IF(D171="","",IFERROR(IF(ISNUMBER(SEARCH(Assumptions!$C$5,D171)),Assumptions!$D$5,IF(ISNUMBER(SEARCH(Assumptions!$C$6,D171)),Assumptions!$D$6,IF(ISNUMBER(SEARCH(Assumptions!$C$7,D171)),Assumptions!$D$7,"Other Services"))),"Other Services"))</f>
        <v/>
      </c>
    </row>
    <row r="172" customFormat="false" ht="15" hidden="false" customHeight="false" outlineLevel="0" collapsed="false">
      <c r="J172" s="41" t="str">
        <f aca="false">IF(D172="","",IFERROR(IF(ISNUMBER(SEARCH(Assumptions!$C$5,D172)),Assumptions!$D$5,IF(ISNUMBER(SEARCH(Assumptions!$C$6,D172)),Assumptions!$D$6,IF(ISNUMBER(SEARCH(Assumptions!$C$7,D172)),Assumptions!$D$7,"Other Services"))),"Other Services"))</f>
        <v/>
      </c>
    </row>
    <row r="173" customFormat="false" ht="15" hidden="false" customHeight="false" outlineLevel="0" collapsed="false">
      <c r="J173" s="41" t="str">
        <f aca="false">IF(D173="","",IFERROR(IF(ISNUMBER(SEARCH(Assumptions!$C$5,D173)),Assumptions!$D$5,IF(ISNUMBER(SEARCH(Assumptions!$C$6,D173)),Assumptions!$D$6,IF(ISNUMBER(SEARCH(Assumptions!$C$7,D173)),Assumptions!$D$7,"Other Services"))),"Other Services"))</f>
        <v/>
      </c>
    </row>
    <row r="174" customFormat="false" ht="15" hidden="false" customHeight="false" outlineLevel="0" collapsed="false">
      <c r="J174" s="41" t="str">
        <f aca="false">IF(D174="","",IFERROR(IF(ISNUMBER(SEARCH(Assumptions!$C$5,D174)),Assumptions!$D$5,IF(ISNUMBER(SEARCH(Assumptions!$C$6,D174)),Assumptions!$D$6,IF(ISNUMBER(SEARCH(Assumptions!$C$7,D174)),Assumptions!$D$7,"Other Services"))),"Other Services"))</f>
        <v/>
      </c>
    </row>
    <row r="175" customFormat="false" ht="15" hidden="false" customHeight="false" outlineLevel="0" collapsed="false">
      <c r="J175" s="41" t="str">
        <f aca="false">IF(D175="","",IFERROR(IF(ISNUMBER(SEARCH(Assumptions!$C$5,D175)),Assumptions!$D$5,IF(ISNUMBER(SEARCH(Assumptions!$C$6,D175)),Assumptions!$D$6,IF(ISNUMBER(SEARCH(Assumptions!$C$7,D175)),Assumptions!$D$7,"Other Services"))),"Other Services"))</f>
        <v/>
      </c>
    </row>
    <row r="176" customFormat="false" ht="15" hidden="false" customHeight="false" outlineLevel="0" collapsed="false">
      <c r="J176" s="41" t="str">
        <f aca="false">IF(D176="","",IFERROR(IF(ISNUMBER(SEARCH(Assumptions!$C$5,D176)),Assumptions!$D$5,IF(ISNUMBER(SEARCH(Assumptions!$C$6,D176)),Assumptions!$D$6,IF(ISNUMBER(SEARCH(Assumptions!$C$7,D176)),Assumptions!$D$7,"Other Services"))),"Other Services"))</f>
        <v/>
      </c>
    </row>
    <row r="177" customFormat="false" ht="15" hidden="false" customHeight="false" outlineLevel="0" collapsed="false">
      <c r="J177" s="41" t="str">
        <f aca="false">IF(D177="","",IFERROR(IF(ISNUMBER(SEARCH(Assumptions!$C$5,D177)),Assumptions!$D$5,IF(ISNUMBER(SEARCH(Assumptions!$C$6,D177)),Assumptions!$D$6,IF(ISNUMBER(SEARCH(Assumptions!$C$7,D177)),Assumptions!$D$7,"Other Services"))),"Other Services"))</f>
        <v/>
      </c>
    </row>
    <row r="178" customFormat="false" ht="15" hidden="false" customHeight="false" outlineLevel="0" collapsed="false">
      <c r="J178" s="41" t="str">
        <f aca="false">IF(D178="","",IFERROR(IF(ISNUMBER(SEARCH(Assumptions!$C$5,D178)),Assumptions!$D$5,IF(ISNUMBER(SEARCH(Assumptions!$C$6,D178)),Assumptions!$D$6,IF(ISNUMBER(SEARCH(Assumptions!$C$7,D178)),Assumptions!$D$7,"Other Services"))),"Other Services"))</f>
        <v/>
      </c>
    </row>
    <row r="179" customFormat="false" ht="15" hidden="false" customHeight="false" outlineLevel="0" collapsed="false">
      <c r="J179" s="41" t="str">
        <f aca="false">IF(D179="","",IFERROR(IF(ISNUMBER(SEARCH(Assumptions!$C$5,D179)),Assumptions!$D$5,IF(ISNUMBER(SEARCH(Assumptions!$C$6,D179)),Assumptions!$D$6,IF(ISNUMBER(SEARCH(Assumptions!$C$7,D179)),Assumptions!$D$7,"Other Services"))),"Other Services"))</f>
        <v/>
      </c>
    </row>
    <row r="180" customFormat="false" ht="15" hidden="false" customHeight="false" outlineLevel="0" collapsed="false">
      <c r="J180" s="41" t="str">
        <f aca="false">IF(D180="","",IFERROR(IF(ISNUMBER(SEARCH(Assumptions!$C$5,D180)),Assumptions!$D$5,IF(ISNUMBER(SEARCH(Assumptions!$C$6,D180)),Assumptions!$D$6,IF(ISNUMBER(SEARCH(Assumptions!$C$7,D180)),Assumptions!$D$7,"Other Services"))),"Other Services"))</f>
        <v/>
      </c>
    </row>
    <row r="181" customFormat="false" ht="15" hidden="false" customHeight="false" outlineLevel="0" collapsed="false">
      <c r="J181" s="41" t="str">
        <f aca="false">IF(D181="","",IFERROR(IF(ISNUMBER(SEARCH(Assumptions!$C$5,D181)),Assumptions!$D$5,IF(ISNUMBER(SEARCH(Assumptions!$C$6,D181)),Assumptions!$D$6,IF(ISNUMBER(SEARCH(Assumptions!$C$7,D181)),Assumptions!$D$7,"Other Services"))),"Other Services"))</f>
        <v/>
      </c>
    </row>
    <row r="182" customFormat="false" ht="15" hidden="false" customHeight="false" outlineLevel="0" collapsed="false">
      <c r="J182" s="41" t="str">
        <f aca="false">IF(D182="","",IFERROR(IF(ISNUMBER(SEARCH(Assumptions!$C$5,D182)),Assumptions!$D$5,IF(ISNUMBER(SEARCH(Assumptions!$C$6,D182)),Assumptions!$D$6,IF(ISNUMBER(SEARCH(Assumptions!$C$7,D182)),Assumptions!$D$7,"Other Services"))),"Other Services"))</f>
        <v/>
      </c>
    </row>
    <row r="183" customFormat="false" ht="15" hidden="false" customHeight="false" outlineLevel="0" collapsed="false">
      <c r="J183" s="41" t="str">
        <f aca="false">IF(D183="","",IFERROR(IF(ISNUMBER(SEARCH(Assumptions!$C$5,D183)),Assumptions!$D$5,IF(ISNUMBER(SEARCH(Assumptions!$C$6,D183)),Assumptions!$D$6,IF(ISNUMBER(SEARCH(Assumptions!$C$7,D183)),Assumptions!$D$7,"Other Services"))),"Other Services"))</f>
        <v/>
      </c>
    </row>
    <row r="184" customFormat="false" ht="15" hidden="false" customHeight="false" outlineLevel="0" collapsed="false">
      <c r="J184" s="41" t="str">
        <f aca="false">IF(D184="","",IFERROR(IF(ISNUMBER(SEARCH(Assumptions!$C$5,D184)),Assumptions!$D$5,IF(ISNUMBER(SEARCH(Assumptions!$C$6,D184)),Assumptions!$D$6,IF(ISNUMBER(SEARCH(Assumptions!$C$7,D184)),Assumptions!$D$7,"Other Services"))),"Other Services"))</f>
        <v/>
      </c>
    </row>
    <row r="185" customFormat="false" ht="15" hidden="false" customHeight="false" outlineLevel="0" collapsed="false">
      <c r="J185" s="41" t="str">
        <f aca="false">IF(D185="","",IFERROR(IF(ISNUMBER(SEARCH(Assumptions!$C$5,D185)),Assumptions!$D$5,IF(ISNUMBER(SEARCH(Assumptions!$C$6,D185)),Assumptions!$D$6,IF(ISNUMBER(SEARCH(Assumptions!$C$7,D185)),Assumptions!$D$7,"Other Services"))),"Other Services"))</f>
        <v/>
      </c>
    </row>
    <row r="186" customFormat="false" ht="15" hidden="false" customHeight="false" outlineLevel="0" collapsed="false">
      <c r="J186" s="41" t="str">
        <f aca="false">IF(D186="","",IFERROR(IF(ISNUMBER(SEARCH(Assumptions!$C$5,D186)),Assumptions!$D$5,IF(ISNUMBER(SEARCH(Assumptions!$C$6,D186)),Assumptions!$D$6,IF(ISNUMBER(SEARCH(Assumptions!$C$7,D186)),Assumptions!$D$7,"Other Services"))),"Other Services"))</f>
        <v/>
      </c>
    </row>
    <row r="187" customFormat="false" ht="15" hidden="false" customHeight="false" outlineLevel="0" collapsed="false">
      <c r="J187" s="41" t="str">
        <f aca="false">IF(D187="","",IFERROR(IF(ISNUMBER(SEARCH(Assumptions!$C$5,D187)),Assumptions!$D$5,IF(ISNUMBER(SEARCH(Assumptions!$C$6,D187)),Assumptions!$D$6,IF(ISNUMBER(SEARCH(Assumptions!$C$7,D187)),Assumptions!$D$7,"Other Services"))),"Other Services"))</f>
        <v/>
      </c>
    </row>
    <row r="188" customFormat="false" ht="15" hidden="false" customHeight="false" outlineLevel="0" collapsed="false">
      <c r="J188" s="41" t="str">
        <f aca="false">IF(D188="","",IFERROR(IF(ISNUMBER(SEARCH(Assumptions!$C$5,D188)),Assumptions!$D$5,IF(ISNUMBER(SEARCH(Assumptions!$C$6,D188)),Assumptions!$D$6,IF(ISNUMBER(SEARCH(Assumptions!$C$7,D188)),Assumptions!$D$7,"Other Services"))),"Other Services"))</f>
        <v/>
      </c>
    </row>
    <row r="189" customFormat="false" ht="15" hidden="false" customHeight="false" outlineLevel="0" collapsed="false">
      <c r="J189" s="41" t="str">
        <f aca="false">IF(D189="","",IFERROR(IF(ISNUMBER(SEARCH(Assumptions!$C$5,D189)),Assumptions!$D$5,IF(ISNUMBER(SEARCH(Assumptions!$C$6,D189)),Assumptions!$D$6,IF(ISNUMBER(SEARCH(Assumptions!$C$7,D189)),Assumptions!$D$7,"Other Services"))),"Other Services"))</f>
        <v/>
      </c>
    </row>
    <row r="190" customFormat="false" ht="15" hidden="false" customHeight="false" outlineLevel="0" collapsed="false">
      <c r="J190" s="41" t="str">
        <f aca="false">IF(D190="","",IFERROR(IF(ISNUMBER(SEARCH(Assumptions!$C$5,D190)),Assumptions!$D$5,IF(ISNUMBER(SEARCH(Assumptions!$C$6,D190)),Assumptions!$D$6,IF(ISNUMBER(SEARCH(Assumptions!$C$7,D190)),Assumptions!$D$7,"Other Services"))),"Other Services"))</f>
        <v/>
      </c>
    </row>
    <row r="191" customFormat="false" ht="15" hidden="false" customHeight="false" outlineLevel="0" collapsed="false">
      <c r="J191" s="41" t="str">
        <f aca="false">IF(D191="","",IFERROR(IF(ISNUMBER(SEARCH(Assumptions!$C$5,D191)),Assumptions!$D$5,IF(ISNUMBER(SEARCH(Assumptions!$C$6,D191)),Assumptions!$D$6,IF(ISNUMBER(SEARCH(Assumptions!$C$7,D191)),Assumptions!$D$7,"Other Services"))),"Other Services"))</f>
        <v/>
      </c>
    </row>
    <row r="192" customFormat="false" ht="15" hidden="false" customHeight="false" outlineLevel="0" collapsed="false">
      <c r="J192" s="41" t="str">
        <f aca="false">IF(D192="","",IFERROR(IF(ISNUMBER(SEARCH(Assumptions!$C$5,D192)),Assumptions!$D$5,IF(ISNUMBER(SEARCH(Assumptions!$C$6,D192)),Assumptions!$D$6,IF(ISNUMBER(SEARCH(Assumptions!$C$7,D192)),Assumptions!$D$7,"Other Services"))),"Other Services"))</f>
        <v/>
      </c>
    </row>
    <row r="193" customFormat="false" ht="15" hidden="false" customHeight="false" outlineLevel="0" collapsed="false">
      <c r="J193" s="41" t="str">
        <f aca="false">IF(D193="","",IFERROR(IF(ISNUMBER(SEARCH(Assumptions!$C$5,D193)),Assumptions!$D$5,IF(ISNUMBER(SEARCH(Assumptions!$C$6,D193)),Assumptions!$D$6,IF(ISNUMBER(SEARCH(Assumptions!$C$7,D193)),Assumptions!$D$7,"Other Services"))),"Other Services"))</f>
        <v/>
      </c>
    </row>
    <row r="194" customFormat="false" ht="15" hidden="false" customHeight="false" outlineLevel="0" collapsed="false">
      <c r="J194" s="41" t="str">
        <f aca="false">IF(D194="","",IFERROR(IF(ISNUMBER(SEARCH(Assumptions!$C$5,D194)),Assumptions!$D$5,IF(ISNUMBER(SEARCH(Assumptions!$C$6,D194)),Assumptions!$D$6,IF(ISNUMBER(SEARCH(Assumptions!$C$7,D194)),Assumptions!$D$7,"Other Services"))),"Other Services"))</f>
        <v/>
      </c>
    </row>
    <row r="195" customFormat="false" ht="15" hidden="false" customHeight="false" outlineLevel="0" collapsed="false">
      <c r="J195" s="41" t="str">
        <f aca="false">IF(D195="","",IFERROR(IF(ISNUMBER(SEARCH(Assumptions!$C$5,D195)),Assumptions!$D$5,IF(ISNUMBER(SEARCH(Assumptions!$C$6,D195)),Assumptions!$D$6,IF(ISNUMBER(SEARCH(Assumptions!$C$7,D195)),Assumptions!$D$7,"Other Services"))),"Other Services"))</f>
        <v/>
      </c>
    </row>
    <row r="196" customFormat="false" ht="15" hidden="false" customHeight="false" outlineLevel="0" collapsed="false">
      <c r="J196" s="41" t="str">
        <f aca="false">IF(D196="","",IFERROR(IF(ISNUMBER(SEARCH(Assumptions!$C$5,D196)),Assumptions!$D$5,IF(ISNUMBER(SEARCH(Assumptions!$C$6,D196)),Assumptions!$D$6,IF(ISNUMBER(SEARCH(Assumptions!$C$7,D196)),Assumptions!$D$7,"Other Services"))),"Other Services"))</f>
        <v/>
      </c>
    </row>
    <row r="197" customFormat="false" ht="15" hidden="false" customHeight="false" outlineLevel="0" collapsed="false">
      <c r="J197" s="41" t="str">
        <f aca="false">IF(D197="","",IFERROR(IF(ISNUMBER(SEARCH(Assumptions!$C$5,D197)),Assumptions!$D$5,IF(ISNUMBER(SEARCH(Assumptions!$C$6,D197)),Assumptions!$D$6,IF(ISNUMBER(SEARCH(Assumptions!$C$7,D197)),Assumptions!$D$7,"Other Services"))),"Other Services"))</f>
        <v/>
      </c>
    </row>
    <row r="198" customFormat="false" ht="15" hidden="false" customHeight="false" outlineLevel="0" collapsed="false">
      <c r="J198" s="41" t="str">
        <f aca="false">IF(D198="","",IFERROR(IF(ISNUMBER(SEARCH(Assumptions!$C$5,D198)),Assumptions!$D$5,IF(ISNUMBER(SEARCH(Assumptions!$C$6,D198)),Assumptions!$D$6,IF(ISNUMBER(SEARCH(Assumptions!$C$7,D198)),Assumptions!$D$7,"Other Services"))),"Other Services"))</f>
        <v/>
      </c>
    </row>
    <row r="199" customFormat="false" ht="15" hidden="false" customHeight="false" outlineLevel="0" collapsed="false">
      <c r="J199" s="41" t="str">
        <f aca="false">IF(D199="","",IFERROR(IF(ISNUMBER(SEARCH(Assumptions!$C$5,D199)),Assumptions!$D$5,IF(ISNUMBER(SEARCH(Assumptions!$C$6,D199)),Assumptions!$D$6,IF(ISNUMBER(SEARCH(Assumptions!$C$7,D199)),Assumptions!$D$7,"Other Services"))),"Other Services"))</f>
        <v/>
      </c>
    </row>
    <row r="200" customFormat="false" ht="15" hidden="false" customHeight="false" outlineLevel="0" collapsed="false">
      <c r="J200" s="41" t="str">
        <f aca="false">IF(D200="","",IFERROR(IF(ISNUMBER(SEARCH(Assumptions!$C$5,D200)),Assumptions!$D$5,IF(ISNUMBER(SEARCH(Assumptions!$C$6,D200)),Assumptions!$D$6,IF(ISNUMBER(SEARCH(Assumptions!$C$7,D200)),Assumptions!$D$7,"Other Services"))),"Other Services"))</f>
        <v/>
      </c>
    </row>
    <row r="201" customFormat="false" ht="15" hidden="false" customHeight="false" outlineLevel="0" collapsed="false">
      <c r="J201" s="41" t="str">
        <f aca="false">IF(D201="","",IFERROR(IF(ISNUMBER(SEARCH(Assumptions!$C$5,D201)),Assumptions!$D$5,IF(ISNUMBER(SEARCH(Assumptions!$C$6,D201)),Assumptions!$D$6,IF(ISNUMBER(SEARCH(Assumptions!$C$7,D201)),Assumptions!$D$7,"Other Services"))),"Other Services"))</f>
        <v/>
      </c>
    </row>
    <row r="202" customFormat="false" ht="15" hidden="false" customHeight="false" outlineLevel="0" collapsed="false">
      <c r="J202" s="41" t="str">
        <f aca="false">IF(D202="","",IFERROR(IF(ISNUMBER(SEARCH(Assumptions!$C$5,D202)),Assumptions!$D$5,IF(ISNUMBER(SEARCH(Assumptions!$C$6,D202)),Assumptions!$D$6,IF(ISNUMBER(SEARCH(Assumptions!$C$7,D202)),Assumptions!$D$7,"Other Services"))),"Other Services"))</f>
        <v/>
      </c>
    </row>
    <row r="203" customFormat="false" ht="15" hidden="false" customHeight="false" outlineLevel="0" collapsed="false">
      <c r="J203" s="41" t="str">
        <f aca="false">IF(D203="","",IFERROR(IF(ISNUMBER(SEARCH(Assumptions!$C$5,D203)),Assumptions!$D$5,IF(ISNUMBER(SEARCH(Assumptions!$C$6,D203)),Assumptions!$D$6,IF(ISNUMBER(SEARCH(Assumptions!$C$7,D203)),Assumptions!$D$7,"Other Services"))),"Other Services"))</f>
        <v/>
      </c>
    </row>
    <row r="204" customFormat="false" ht="15" hidden="false" customHeight="false" outlineLevel="0" collapsed="false">
      <c r="J204" s="41" t="str">
        <f aca="false">IF(D204="","",IFERROR(IF(ISNUMBER(SEARCH(Assumptions!$C$5,D204)),Assumptions!$D$5,IF(ISNUMBER(SEARCH(Assumptions!$C$6,D204)),Assumptions!$D$6,IF(ISNUMBER(SEARCH(Assumptions!$C$7,D204)),Assumptions!$D$7,"Other Services"))),"Other Services"))</f>
        <v/>
      </c>
    </row>
    <row r="205" customFormat="false" ht="15" hidden="false" customHeight="false" outlineLevel="0" collapsed="false">
      <c r="J205" s="41" t="str">
        <f aca="false">IF(D205="","",IFERROR(IF(ISNUMBER(SEARCH(Assumptions!$C$5,D205)),Assumptions!$D$5,IF(ISNUMBER(SEARCH(Assumptions!$C$6,D205)),Assumptions!$D$6,IF(ISNUMBER(SEARCH(Assumptions!$C$7,D205)),Assumptions!$D$7,"Other Services"))),"Other Services"))</f>
        <v/>
      </c>
    </row>
    <row r="206" customFormat="false" ht="15" hidden="false" customHeight="false" outlineLevel="0" collapsed="false">
      <c r="J206" s="41" t="str">
        <f aca="false">IF(D206="","",IFERROR(IF(ISNUMBER(SEARCH(Assumptions!$C$5,D206)),Assumptions!$D$5,IF(ISNUMBER(SEARCH(Assumptions!$C$6,D206)),Assumptions!$D$6,IF(ISNUMBER(SEARCH(Assumptions!$C$7,D206)),Assumptions!$D$7,"Other Services"))),"Other Services"))</f>
        <v/>
      </c>
    </row>
    <row r="207" customFormat="false" ht="15" hidden="false" customHeight="false" outlineLevel="0" collapsed="false">
      <c r="J207" s="41" t="str">
        <f aca="false">IF(D207="","",IFERROR(IF(ISNUMBER(SEARCH(Assumptions!$C$5,D207)),Assumptions!$D$5,IF(ISNUMBER(SEARCH(Assumptions!$C$6,D207)),Assumptions!$D$6,IF(ISNUMBER(SEARCH(Assumptions!$C$7,D207)),Assumptions!$D$7,"Other Services"))),"Other Services"))</f>
        <v/>
      </c>
    </row>
    <row r="208" customFormat="false" ht="15" hidden="false" customHeight="false" outlineLevel="0" collapsed="false">
      <c r="J208" s="41" t="str">
        <f aca="false">IF(D208="","",IFERROR(IF(ISNUMBER(SEARCH(Assumptions!$C$5,D208)),Assumptions!$D$5,IF(ISNUMBER(SEARCH(Assumptions!$C$6,D208)),Assumptions!$D$6,IF(ISNUMBER(SEARCH(Assumptions!$C$7,D208)),Assumptions!$D$7,"Other Services"))),"Other Services"))</f>
        <v/>
      </c>
    </row>
    <row r="209" customFormat="false" ht="15" hidden="false" customHeight="false" outlineLevel="0" collapsed="false">
      <c r="J209" s="41" t="str">
        <f aca="false">IF(D209="","",IFERROR(IF(ISNUMBER(SEARCH(Assumptions!$C$5,D209)),Assumptions!$D$5,IF(ISNUMBER(SEARCH(Assumptions!$C$6,D209)),Assumptions!$D$6,IF(ISNUMBER(SEARCH(Assumptions!$C$7,D209)),Assumptions!$D$7,"Other Services"))),"Other Services"))</f>
        <v/>
      </c>
    </row>
    <row r="210" customFormat="false" ht="15" hidden="false" customHeight="false" outlineLevel="0" collapsed="false">
      <c r="J210" s="41" t="str">
        <f aca="false">IF(D210="","",IFERROR(IF(ISNUMBER(SEARCH(Assumptions!$C$5,D210)),Assumptions!$D$5,IF(ISNUMBER(SEARCH(Assumptions!$C$6,D210)),Assumptions!$D$6,IF(ISNUMBER(SEARCH(Assumptions!$C$7,D210)),Assumptions!$D$7,"Other Services"))),"Other Services"))</f>
        <v/>
      </c>
    </row>
    <row r="211" customFormat="false" ht="15" hidden="false" customHeight="false" outlineLevel="0" collapsed="false">
      <c r="J211" s="41" t="str">
        <f aca="false">IF(D211="","",IFERROR(IF(ISNUMBER(SEARCH(Assumptions!$C$5,D211)),Assumptions!$D$5,IF(ISNUMBER(SEARCH(Assumptions!$C$6,D211)),Assumptions!$D$6,IF(ISNUMBER(SEARCH(Assumptions!$C$7,D211)),Assumptions!$D$7,"Other Services"))),"Other Services"))</f>
        <v/>
      </c>
    </row>
    <row r="212" customFormat="false" ht="15" hidden="false" customHeight="false" outlineLevel="0" collapsed="false">
      <c r="J212" s="41" t="str">
        <f aca="false">IF(D212="","",IFERROR(IF(ISNUMBER(SEARCH(Assumptions!$C$5,D212)),Assumptions!$D$5,IF(ISNUMBER(SEARCH(Assumptions!$C$6,D212)),Assumptions!$D$6,IF(ISNUMBER(SEARCH(Assumptions!$C$7,D212)),Assumptions!$D$7,"Other Services"))),"Other Services"))</f>
        <v/>
      </c>
    </row>
    <row r="213" customFormat="false" ht="15" hidden="false" customHeight="false" outlineLevel="0" collapsed="false">
      <c r="J213" s="41" t="str">
        <f aca="false">IF(D213="","",IFERROR(IF(ISNUMBER(SEARCH(Assumptions!$C$5,D213)),Assumptions!$D$5,IF(ISNUMBER(SEARCH(Assumptions!$C$6,D213)),Assumptions!$D$6,IF(ISNUMBER(SEARCH(Assumptions!$C$7,D213)),Assumptions!$D$7,"Other Services"))),"Other Services"))</f>
        <v/>
      </c>
    </row>
    <row r="214" customFormat="false" ht="15" hidden="false" customHeight="false" outlineLevel="0" collapsed="false">
      <c r="J214" s="41" t="str">
        <f aca="false">IF(D214="","",IFERROR(IF(ISNUMBER(SEARCH(Assumptions!$C$5,D214)),Assumptions!$D$5,IF(ISNUMBER(SEARCH(Assumptions!$C$6,D214)),Assumptions!$D$6,IF(ISNUMBER(SEARCH(Assumptions!$C$7,D214)),Assumptions!$D$7,"Other Services"))),"Other Services"))</f>
        <v/>
      </c>
    </row>
    <row r="215" customFormat="false" ht="15" hidden="false" customHeight="false" outlineLevel="0" collapsed="false">
      <c r="J215" s="41" t="str">
        <f aca="false">IF(D215="","",IFERROR(IF(ISNUMBER(SEARCH(Assumptions!$C$5,D215)),Assumptions!$D$5,IF(ISNUMBER(SEARCH(Assumptions!$C$6,D215)),Assumptions!$D$6,IF(ISNUMBER(SEARCH(Assumptions!$C$7,D215)),Assumptions!$D$7,"Other Services"))),"Other Services"))</f>
        <v/>
      </c>
    </row>
    <row r="216" customFormat="false" ht="15" hidden="false" customHeight="false" outlineLevel="0" collapsed="false">
      <c r="J216" s="41" t="str">
        <f aca="false">IF(D216="","",IFERROR(IF(ISNUMBER(SEARCH(Assumptions!$C$5,D216)),Assumptions!$D$5,IF(ISNUMBER(SEARCH(Assumptions!$C$6,D216)),Assumptions!$D$6,IF(ISNUMBER(SEARCH(Assumptions!$C$7,D216)),Assumptions!$D$7,"Other Services"))),"Other Services"))</f>
        <v/>
      </c>
    </row>
    <row r="217" customFormat="false" ht="15" hidden="false" customHeight="false" outlineLevel="0" collapsed="false">
      <c r="J217" s="41" t="str">
        <f aca="false">IF(D217="","",IFERROR(IF(ISNUMBER(SEARCH(Assumptions!$C$5,D217)),Assumptions!$D$5,IF(ISNUMBER(SEARCH(Assumptions!$C$6,D217)),Assumptions!$D$6,IF(ISNUMBER(SEARCH(Assumptions!$C$7,D217)),Assumptions!$D$7,"Other Services"))),"Other Services"))</f>
        <v/>
      </c>
    </row>
    <row r="218" customFormat="false" ht="15" hidden="false" customHeight="false" outlineLevel="0" collapsed="false">
      <c r="J218" s="41" t="str">
        <f aca="false">IF(D218="","",IFERROR(IF(ISNUMBER(SEARCH(Assumptions!$C$5,D218)),Assumptions!$D$5,IF(ISNUMBER(SEARCH(Assumptions!$C$6,D218)),Assumptions!$D$6,IF(ISNUMBER(SEARCH(Assumptions!$C$7,D218)),Assumptions!$D$7,"Other Services"))),"Other Services"))</f>
        <v/>
      </c>
    </row>
    <row r="219" customFormat="false" ht="15" hidden="false" customHeight="false" outlineLevel="0" collapsed="false">
      <c r="J219" s="41" t="str">
        <f aca="false">IF(D219="","",IFERROR(IF(ISNUMBER(SEARCH(Assumptions!$C$5,D219)),Assumptions!$D$5,IF(ISNUMBER(SEARCH(Assumptions!$C$6,D219)),Assumptions!$D$6,IF(ISNUMBER(SEARCH(Assumptions!$C$7,D219)),Assumptions!$D$7,"Other Services"))),"Other Services"))</f>
        <v/>
      </c>
    </row>
    <row r="220" customFormat="false" ht="15" hidden="false" customHeight="false" outlineLevel="0" collapsed="false">
      <c r="J220" s="41" t="str">
        <f aca="false">IF(D220="","",IFERROR(IF(ISNUMBER(SEARCH(Assumptions!$C$5,D220)),Assumptions!$D$5,IF(ISNUMBER(SEARCH(Assumptions!$C$6,D220)),Assumptions!$D$6,IF(ISNUMBER(SEARCH(Assumptions!$C$7,D220)),Assumptions!$D$7,"Other Services"))),"Other Services"))</f>
        <v/>
      </c>
    </row>
    <row r="221" customFormat="false" ht="15" hidden="false" customHeight="false" outlineLevel="0" collapsed="false">
      <c r="J221" s="41" t="str">
        <f aca="false">IF(D221="","",IFERROR(IF(ISNUMBER(SEARCH(Assumptions!$C$5,D221)),Assumptions!$D$5,IF(ISNUMBER(SEARCH(Assumptions!$C$6,D221)),Assumptions!$D$6,IF(ISNUMBER(SEARCH(Assumptions!$C$7,D221)),Assumptions!$D$7,"Other Services"))),"Other Services"))</f>
        <v/>
      </c>
    </row>
    <row r="222" customFormat="false" ht="15" hidden="false" customHeight="false" outlineLevel="0" collapsed="false">
      <c r="J222" s="41" t="str">
        <f aca="false">IF(D222="","",IFERROR(IF(ISNUMBER(SEARCH(Assumptions!$C$5,D222)),Assumptions!$D$5,IF(ISNUMBER(SEARCH(Assumptions!$C$6,D222)),Assumptions!$D$6,IF(ISNUMBER(SEARCH(Assumptions!$C$7,D222)),Assumptions!$D$7,"Other Services"))),"Other Services"))</f>
        <v/>
      </c>
    </row>
    <row r="223" customFormat="false" ht="15" hidden="false" customHeight="false" outlineLevel="0" collapsed="false">
      <c r="J223" s="41" t="str">
        <f aca="false">IF(D223="","",IFERROR(IF(ISNUMBER(SEARCH(Assumptions!$C$5,D223)),Assumptions!$D$5,IF(ISNUMBER(SEARCH(Assumptions!$C$6,D223)),Assumptions!$D$6,IF(ISNUMBER(SEARCH(Assumptions!$C$7,D223)),Assumptions!$D$7,"Other Services"))),"Other Services"))</f>
        <v/>
      </c>
    </row>
    <row r="224" customFormat="false" ht="15" hidden="false" customHeight="false" outlineLevel="0" collapsed="false">
      <c r="J224" s="41" t="str">
        <f aca="false">IF(D224="","",IFERROR(IF(ISNUMBER(SEARCH(Assumptions!$C$5,D224)),Assumptions!$D$5,IF(ISNUMBER(SEARCH(Assumptions!$C$6,D224)),Assumptions!$D$6,IF(ISNUMBER(SEARCH(Assumptions!$C$7,D224)),Assumptions!$D$7,"Other Services"))),"Other Services"))</f>
        <v/>
      </c>
    </row>
    <row r="225" customFormat="false" ht="15" hidden="false" customHeight="false" outlineLevel="0" collapsed="false">
      <c r="J225" s="41" t="str">
        <f aca="false">IF(D225="","",IFERROR(IF(ISNUMBER(SEARCH(Assumptions!$C$5,D225)),Assumptions!$D$5,IF(ISNUMBER(SEARCH(Assumptions!$C$6,D225)),Assumptions!$D$6,IF(ISNUMBER(SEARCH(Assumptions!$C$7,D225)),Assumptions!$D$7,"Other Services"))),"Other Services"))</f>
        <v/>
      </c>
    </row>
    <row r="226" customFormat="false" ht="15" hidden="false" customHeight="false" outlineLevel="0" collapsed="false">
      <c r="J226" s="41" t="str">
        <f aca="false">IF(D226="","",IFERROR(IF(ISNUMBER(SEARCH(Assumptions!$C$5,D226)),Assumptions!$D$5,IF(ISNUMBER(SEARCH(Assumptions!$C$6,D226)),Assumptions!$D$6,IF(ISNUMBER(SEARCH(Assumptions!$C$7,D226)),Assumptions!$D$7,"Other Services"))),"Other Services"))</f>
        <v/>
      </c>
    </row>
    <row r="227" customFormat="false" ht="15" hidden="false" customHeight="false" outlineLevel="0" collapsed="false">
      <c r="J227" s="41" t="str">
        <f aca="false">IF(D227="","",IFERROR(IF(ISNUMBER(SEARCH(Assumptions!$C$5,D227)),Assumptions!$D$5,IF(ISNUMBER(SEARCH(Assumptions!$C$6,D227)),Assumptions!$D$6,IF(ISNUMBER(SEARCH(Assumptions!$C$7,D227)),Assumptions!$D$7,"Other Services"))),"Other Services"))</f>
        <v/>
      </c>
    </row>
    <row r="228" customFormat="false" ht="15" hidden="false" customHeight="false" outlineLevel="0" collapsed="false">
      <c r="J228" s="41" t="str">
        <f aca="false">IF(D228="","",IFERROR(IF(ISNUMBER(SEARCH(Assumptions!$C$5,D228)),Assumptions!$D$5,IF(ISNUMBER(SEARCH(Assumptions!$C$6,D228)),Assumptions!$D$6,IF(ISNUMBER(SEARCH(Assumptions!$C$7,D228)),Assumptions!$D$7,"Other Services"))),"Other Services"))</f>
        <v/>
      </c>
    </row>
    <row r="229" customFormat="false" ht="15" hidden="false" customHeight="false" outlineLevel="0" collapsed="false">
      <c r="J229" s="41" t="str">
        <f aca="false">IF(D229="","",IFERROR(IF(ISNUMBER(SEARCH(Assumptions!$C$5,D229)),Assumptions!$D$5,IF(ISNUMBER(SEARCH(Assumptions!$C$6,D229)),Assumptions!$D$6,IF(ISNUMBER(SEARCH(Assumptions!$C$7,D229)),Assumptions!$D$7,"Other Services"))),"Other Services"))</f>
        <v/>
      </c>
    </row>
    <row r="230" customFormat="false" ht="15" hidden="false" customHeight="false" outlineLevel="0" collapsed="false">
      <c r="J230" s="41" t="str">
        <f aca="false">IF(D230="","",IFERROR(IF(ISNUMBER(SEARCH(Assumptions!$C$5,D230)),Assumptions!$D$5,IF(ISNUMBER(SEARCH(Assumptions!$C$6,D230)),Assumptions!$D$6,IF(ISNUMBER(SEARCH(Assumptions!$C$7,D230)),Assumptions!$D$7,"Other Services"))),"Other Services"))</f>
        <v/>
      </c>
    </row>
    <row r="231" customFormat="false" ht="15" hidden="false" customHeight="false" outlineLevel="0" collapsed="false">
      <c r="J231" s="41" t="str">
        <f aca="false">IF(D231="","",IFERROR(IF(ISNUMBER(SEARCH(Assumptions!$C$5,D231)),Assumptions!$D$5,IF(ISNUMBER(SEARCH(Assumptions!$C$6,D231)),Assumptions!$D$6,IF(ISNUMBER(SEARCH(Assumptions!$C$7,D231)),Assumptions!$D$7,"Other Services"))),"Other Services"))</f>
        <v/>
      </c>
    </row>
    <row r="232" customFormat="false" ht="15" hidden="false" customHeight="false" outlineLevel="0" collapsed="false">
      <c r="J232" s="41" t="str">
        <f aca="false">IF(D232="","",IFERROR(IF(ISNUMBER(SEARCH(Assumptions!$C$5,D232)),Assumptions!$D$5,IF(ISNUMBER(SEARCH(Assumptions!$C$6,D232)),Assumptions!$D$6,IF(ISNUMBER(SEARCH(Assumptions!$C$7,D232)),Assumptions!$D$7,"Other Services"))),"Other Services"))</f>
        <v/>
      </c>
    </row>
    <row r="233" customFormat="false" ht="15" hidden="false" customHeight="false" outlineLevel="0" collapsed="false">
      <c r="J233" s="41" t="str">
        <f aca="false">IF(D233="","",IFERROR(IF(ISNUMBER(SEARCH(Assumptions!$C$5,D233)),Assumptions!$D$5,IF(ISNUMBER(SEARCH(Assumptions!$C$6,D233)),Assumptions!$D$6,IF(ISNUMBER(SEARCH(Assumptions!$C$7,D233)),Assumptions!$D$7,"Other Services"))),"Other Services"))</f>
        <v/>
      </c>
    </row>
    <row r="234" customFormat="false" ht="15" hidden="false" customHeight="false" outlineLevel="0" collapsed="false">
      <c r="J234" s="41" t="str">
        <f aca="false">IF(D234="","",IFERROR(IF(ISNUMBER(SEARCH(Assumptions!$C$5,D234)),Assumptions!$D$5,IF(ISNUMBER(SEARCH(Assumptions!$C$6,D234)),Assumptions!$D$6,IF(ISNUMBER(SEARCH(Assumptions!$C$7,D234)),Assumptions!$D$7,"Other Services"))),"Other Services"))</f>
        <v/>
      </c>
    </row>
    <row r="235" customFormat="false" ht="15" hidden="false" customHeight="false" outlineLevel="0" collapsed="false">
      <c r="J235" s="41" t="str">
        <f aca="false">IF(D235="","",IFERROR(IF(ISNUMBER(SEARCH(Assumptions!$C$5,D235)),Assumptions!$D$5,IF(ISNUMBER(SEARCH(Assumptions!$C$6,D235)),Assumptions!$D$6,IF(ISNUMBER(SEARCH(Assumptions!$C$7,D235)),Assumptions!$D$7,"Other Services"))),"Other Services"))</f>
        <v/>
      </c>
    </row>
    <row r="236" customFormat="false" ht="15" hidden="false" customHeight="false" outlineLevel="0" collapsed="false">
      <c r="J236" s="41" t="str">
        <f aca="false">IF(D236="","",IFERROR(IF(ISNUMBER(SEARCH(Assumptions!$C$5,D236)),Assumptions!$D$5,IF(ISNUMBER(SEARCH(Assumptions!$C$6,D236)),Assumptions!$D$6,IF(ISNUMBER(SEARCH(Assumptions!$C$7,D236)),Assumptions!$D$7,"Other Services"))),"Other Services"))</f>
        <v/>
      </c>
    </row>
    <row r="237" customFormat="false" ht="15" hidden="false" customHeight="false" outlineLevel="0" collapsed="false">
      <c r="J237" s="41" t="str">
        <f aca="false">IF(D237="","",IFERROR(IF(ISNUMBER(SEARCH(Assumptions!$C$5,D237)),Assumptions!$D$5,IF(ISNUMBER(SEARCH(Assumptions!$C$6,D237)),Assumptions!$D$6,IF(ISNUMBER(SEARCH(Assumptions!$C$7,D237)),Assumptions!$D$7,"Other Services"))),"Other Services"))</f>
        <v/>
      </c>
    </row>
    <row r="238" customFormat="false" ht="15" hidden="false" customHeight="false" outlineLevel="0" collapsed="false">
      <c r="J238" s="41" t="str">
        <f aca="false">IF(D238="","",IFERROR(IF(ISNUMBER(SEARCH(Assumptions!$C$5,D238)),Assumptions!$D$5,IF(ISNUMBER(SEARCH(Assumptions!$C$6,D238)),Assumptions!$D$6,IF(ISNUMBER(SEARCH(Assumptions!$C$7,D238)),Assumptions!$D$7,"Other Services"))),"Other Services"))</f>
        <v/>
      </c>
    </row>
    <row r="239" customFormat="false" ht="15" hidden="false" customHeight="false" outlineLevel="0" collapsed="false">
      <c r="J239" s="41" t="str">
        <f aca="false">IF(D239="","",IFERROR(IF(ISNUMBER(SEARCH(Assumptions!$C$5,D239)),Assumptions!$D$5,IF(ISNUMBER(SEARCH(Assumptions!$C$6,D239)),Assumptions!$D$6,IF(ISNUMBER(SEARCH(Assumptions!$C$7,D239)),Assumptions!$D$7,"Other Services"))),"Other Services"))</f>
        <v/>
      </c>
    </row>
    <row r="240" customFormat="false" ht="15" hidden="false" customHeight="false" outlineLevel="0" collapsed="false">
      <c r="J240" s="41" t="str">
        <f aca="false">IF(D240="","",IFERROR(IF(ISNUMBER(SEARCH(Assumptions!$C$5,D240)),Assumptions!$D$5,IF(ISNUMBER(SEARCH(Assumptions!$C$6,D240)),Assumptions!$D$6,IF(ISNUMBER(SEARCH(Assumptions!$C$7,D240)),Assumptions!$D$7,"Other Services"))),"Other Services"))</f>
        <v/>
      </c>
    </row>
    <row r="241" customFormat="false" ht="15" hidden="false" customHeight="false" outlineLevel="0" collapsed="false">
      <c r="J241" s="41" t="str">
        <f aca="false">IF(D241="","",IFERROR(IF(ISNUMBER(SEARCH(Assumptions!$C$5,D241)),Assumptions!$D$5,IF(ISNUMBER(SEARCH(Assumptions!$C$6,D241)),Assumptions!$D$6,IF(ISNUMBER(SEARCH(Assumptions!$C$7,D241)),Assumptions!$D$7,"Other Services"))),"Other Services"))</f>
        <v/>
      </c>
    </row>
    <row r="242" customFormat="false" ht="15" hidden="false" customHeight="false" outlineLevel="0" collapsed="false">
      <c r="J242" s="41" t="str">
        <f aca="false">IF(D242="","",IFERROR(IF(ISNUMBER(SEARCH(Assumptions!$C$5,D242)),Assumptions!$D$5,IF(ISNUMBER(SEARCH(Assumptions!$C$6,D242)),Assumptions!$D$6,IF(ISNUMBER(SEARCH(Assumptions!$C$7,D242)),Assumptions!$D$7,"Other Services"))),"Other Services"))</f>
        <v/>
      </c>
    </row>
    <row r="243" customFormat="false" ht="15" hidden="false" customHeight="false" outlineLevel="0" collapsed="false">
      <c r="J243" s="41" t="str">
        <f aca="false">IF(D243="","",IFERROR(IF(ISNUMBER(SEARCH(Assumptions!$C$5,D243)),Assumptions!$D$5,IF(ISNUMBER(SEARCH(Assumptions!$C$6,D243)),Assumptions!$D$6,IF(ISNUMBER(SEARCH(Assumptions!$C$7,D243)),Assumptions!$D$7,"Other Services"))),"Other Services"))</f>
        <v/>
      </c>
    </row>
    <row r="244" customFormat="false" ht="15" hidden="false" customHeight="false" outlineLevel="0" collapsed="false">
      <c r="J244" s="41" t="str">
        <f aca="false">IF(D244="","",IFERROR(IF(ISNUMBER(SEARCH(Assumptions!$C$5,D244)),Assumptions!$D$5,IF(ISNUMBER(SEARCH(Assumptions!$C$6,D244)),Assumptions!$D$6,IF(ISNUMBER(SEARCH(Assumptions!$C$7,D244)),Assumptions!$D$7,"Other Services"))),"Other Services"))</f>
        <v/>
      </c>
    </row>
    <row r="245" customFormat="false" ht="15" hidden="false" customHeight="false" outlineLevel="0" collapsed="false">
      <c r="J245" s="41" t="str">
        <f aca="false">IF(D245="","",IFERROR(IF(ISNUMBER(SEARCH(Assumptions!$C$5,D245)),Assumptions!$D$5,IF(ISNUMBER(SEARCH(Assumptions!$C$6,D245)),Assumptions!$D$6,IF(ISNUMBER(SEARCH(Assumptions!$C$7,D245)),Assumptions!$D$7,"Other Services"))),"Other Services"))</f>
        <v/>
      </c>
    </row>
    <row r="246" customFormat="false" ht="15" hidden="false" customHeight="false" outlineLevel="0" collapsed="false">
      <c r="J246" s="41" t="str">
        <f aca="false">IF(D246="","",IFERROR(IF(ISNUMBER(SEARCH(Assumptions!$C$5,D246)),Assumptions!$D$5,IF(ISNUMBER(SEARCH(Assumptions!$C$6,D246)),Assumptions!$D$6,IF(ISNUMBER(SEARCH(Assumptions!$C$7,D246)),Assumptions!$D$7,"Other Services"))),"Other Services"))</f>
        <v/>
      </c>
    </row>
    <row r="247" customFormat="false" ht="15" hidden="false" customHeight="false" outlineLevel="0" collapsed="false">
      <c r="J247" s="41" t="str">
        <f aca="false">IF(D247="","",IFERROR(IF(ISNUMBER(SEARCH(Assumptions!$C$5,D247)),Assumptions!$D$5,IF(ISNUMBER(SEARCH(Assumptions!$C$6,D247)),Assumptions!$D$6,IF(ISNUMBER(SEARCH(Assumptions!$C$7,D247)),Assumptions!$D$7,"Other Services"))),"Other Services"))</f>
        <v/>
      </c>
    </row>
    <row r="248" customFormat="false" ht="15" hidden="false" customHeight="false" outlineLevel="0" collapsed="false">
      <c r="J248" s="41" t="str">
        <f aca="false">IF(D248="","",IFERROR(IF(ISNUMBER(SEARCH(Assumptions!$C$5,D248)),Assumptions!$D$5,IF(ISNUMBER(SEARCH(Assumptions!$C$6,D248)),Assumptions!$D$6,IF(ISNUMBER(SEARCH(Assumptions!$C$7,D248)),Assumptions!$D$7,"Other Services"))),"Other Services"))</f>
        <v/>
      </c>
    </row>
    <row r="249" customFormat="false" ht="15" hidden="false" customHeight="false" outlineLevel="0" collapsed="false">
      <c r="J249" s="41" t="str">
        <f aca="false">IF(D249="","",IFERROR(IF(ISNUMBER(SEARCH(Assumptions!$C$5,D249)),Assumptions!$D$5,IF(ISNUMBER(SEARCH(Assumptions!$C$6,D249)),Assumptions!$D$6,IF(ISNUMBER(SEARCH(Assumptions!$C$7,D249)),Assumptions!$D$7,"Other Services"))),"Other Services"))</f>
        <v/>
      </c>
    </row>
    <row r="250" customFormat="false" ht="15" hidden="false" customHeight="false" outlineLevel="0" collapsed="false">
      <c r="J250" s="41" t="str">
        <f aca="false">IF(D250="","",IFERROR(IF(ISNUMBER(SEARCH(Assumptions!$C$5,D250)),Assumptions!$D$5,IF(ISNUMBER(SEARCH(Assumptions!$C$6,D250)),Assumptions!$D$6,IF(ISNUMBER(SEARCH(Assumptions!$C$7,D250)),Assumptions!$D$7,"Other Services"))),"Other Services"))</f>
        <v/>
      </c>
    </row>
    <row r="251" customFormat="false" ht="15" hidden="false" customHeight="false" outlineLevel="0" collapsed="false">
      <c r="J251" s="41" t="str">
        <f aca="false">IF(D251="","",IFERROR(IF(ISNUMBER(SEARCH(Assumptions!$C$5,D251)),Assumptions!$D$5,IF(ISNUMBER(SEARCH(Assumptions!$C$6,D251)),Assumptions!$D$6,IF(ISNUMBER(SEARCH(Assumptions!$C$7,D251)),Assumptions!$D$7,"Other Services"))),"Other Services"))</f>
        <v/>
      </c>
    </row>
    <row r="252" customFormat="false" ht="15" hidden="false" customHeight="false" outlineLevel="0" collapsed="false">
      <c r="J252" s="41" t="str">
        <f aca="false">IF(D252="","",IFERROR(IF(ISNUMBER(SEARCH(Assumptions!$C$5,D252)),Assumptions!$D$5,IF(ISNUMBER(SEARCH(Assumptions!$C$6,D252)),Assumptions!$D$6,IF(ISNUMBER(SEARCH(Assumptions!$C$7,D252)),Assumptions!$D$7,"Other Services"))),"Other Services"))</f>
        <v/>
      </c>
    </row>
    <row r="253" customFormat="false" ht="15" hidden="false" customHeight="false" outlineLevel="0" collapsed="false">
      <c r="J253" s="41" t="str">
        <f aca="false">IF(D253="","",IFERROR(IF(ISNUMBER(SEARCH(Assumptions!$C$5,D253)),Assumptions!$D$5,IF(ISNUMBER(SEARCH(Assumptions!$C$6,D253)),Assumptions!$D$6,IF(ISNUMBER(SEARCH(Assumptions!$C$7,D253)),Assumptions!$D$7,"Other Services"))),"Other Services"))</f>
        <v/>
      </c>
    </row>
    <row r="254" customFormat="false" ht="15" hidden="false" customHeight="false" outlineLevel="0" collapsed="false">
      <c r="J254" s="41" t="str">
        <f aca="false">IF(D254="","",IFERROR(IF(ISNUMBER(SEARCH(Assumptions!$C$5,D254)),Assumptions!$D$5,IF(ISNUMBER(SEARCH(Assumptions!$C$6,D254)),Assumptions!$D$6,IF(ISNUMBER(SEARCH(Assumptions!$C$7,D254)),Assumptions!$D$7,"Other Services"))),"Other Services"))</f>
        <v/>
      </c>
    </row>
    <row r="255" customFormat="false" ht="15" hidden="false" customHeight="false" outlineLevel="0" collapsed="false">
      <c r="J255" s="41" t="str">
        <f aca="false">IF(D255="","",IFERROR(IF(ISNUMBER(SEARCH(Assumptions!$C$5,D255)),Assumptions!$D$5,IF(ISNUMBER(SEARCH(Assumptions!$C$6,D255)),Assumptions!$D$6,IF(ISNUMBER(SEARCH(Assumptions!$C$7,D255)),Assumptions!$D$7,"Other Services"))),"Other Services"))</f>
        <v/>
      </c>
    </row>
    <row r="256" customFormat="false" ht="15" hidden="false" customHeight="false" outlineLevel="0" collapsed="false">
      <c r="J256" s="41" t="str">
        <f aca="false">IF(D256="","",IFERROR(IF(ISNUMBER(SEARCH(Assumptions!$C$5,D256)),Assumptions!$D$5,IF(ISNUMBER(SEARCH(Assumptions!$C$6,D256)),Assumptions!$D$6,IF(ISNUMBER(SEARCH(Assumptions!$C$7,D256)),Assumptions!$D$7,"Other Services"))),"Other Services"))</f>
        <v/>
      </c>
    </row>
    <row r="257" customFormat="false" ht="15" hidden="false" customHeight="false" outlineLevel="0" collapsed="false">
      <c r="J257" s="41" t="str">
        <f aca="false">IF(D257="","",IFERROR(IF(ISNUMBER(SEARCH(Assumptions!$C$5,D257)),Assumptions!$D$5,IF(ISNUMBER(SEARCH(Assumptions!$C$6,D257)),Assumptions!$D$6,IF(ISNUMBER(SEARCH(Assumptions!$C$7,D257)),Assumptions!$D$7,"Other Services"))),"Other Services"))</f>
        <v/>
      </c>
    </row>
    <row r="258" customFormat="false" ht="15" hidden="false" customHeight="false" outlineLevel="0" collapsed="false">
      <c r="J258" s="41" t="str">
        <f aca="false">IF(D258="","",IFERROR(IF(ISNUMBER(SEARCH(Assumptions!$C$5,D258)),Assumptions!$D$5,IF(ISNUMBER(SEARCH(Assumptions!$C$6,D258)),Assumptions!$D$6,IF(ISNUMBER(SEARCH(Assumptions!$C$7,D258)),Assumptions!$D$7,"Other Services"))),"Other Services"))</f>
        <v/>
      </c>
    </row>
    <row r="259" customFormat="false" ht="15" hidden="false" customHeight="false" outlineLevel="0" collapsed="false">
      <c r="J259" s="41" t="str">
        <f aca="false">IF(D259="","",IFERROR(IF(ISNUMBER(SEARCH(Assumptions!$C$5,D259)),Assumptions!$D$5,IF(ISNUMBER(SEARCH(Assumptions!$C$6,D259)),Assumptions!$D$6,IF(ISNUMBER(SEARCH(Assumptions!$C$7,D259)),Assumptions!$D$7,"Other Services"))),"Other Services"))</f>
        <v/>
      </c>
    </row>
    <row r="260" customFormat="false" ht="15" hidden="false" customHeight="false" outlineLevel="0" collapsed="false">
      <c r="J260" s="41" t="str">
        <f aca="false">IF(D260="","",IFERROR(IF(ISNUMBER(SEARCH(Assumptions!$C$5,D260)),Assumptions!$D$5,IF(ISNUMBER(SEARCH(Assumptions!$C$6,D260)),Assumptions!$D$6,IF(ISNUMBER(SEARCH(Assumptions!$C$7,D260)),Assumptions!$D$7,"Other Services"))),"Other Services"))</f>
        <v/>
      </c>
    </row>
    <row r="261" customFormat="false" ht="15" hidden="false" customHeight="false" outlineLevel="0" collapsed="false">
      <c r="J261" s="41" t="str">
        <f aca="false">IF(D261="","",IFERROR(IF(ISNUMBER(SEARCH(Assumptions!$C$5,D261)),Assumptions!$D$5,IF(ISNUMBER(SEARCH(Assumptions!$C$6,D261)),Assumptions!$D$6,IF(ISNUMBER(SEARCH(Assumptions!$C$7,D261)),Assumptions!$D$7,"Other Services"))),"Other Services"))</f>
        <v/>
      </c>
    </row>
    <row r="262" customFormat="false" ht="15" hidden="false" customHeight="false" outlineLevel="0" collapsed="false">
      <c r="J262" s="41" t="str">
        <f aca="false">IF(D262="","",IFERROR(IF(ISNUMBER(SEARCH(Assumptions!$C$5,D262)),Assumptions!$D$5,IF(ISNUMBER(SEARCH(Assumptions!$C$6,D262)),Assumptions!$D$6,IF(ISNUMBER(SEARCH(Assumptions!$C$7,D262)),Assumptions!$D$7,"Other Services"))),"Other Services"))</f>
        <v/>
      </c>
    </row>
    <row r="263" customFormat="false" ht="15" hidden="false" customHeight="false" outlineLevel="0" collapsed="false">
      <c r="J263" s="41" t="str">
        <f aca="false">IF(D263="","",IFERROR(IF(ISNUMBER(SEARCH(Assumptions!$C$5,D263)),Assumptions!$D$5,IF(ISNUMBER(SEARCH(Assumptions!$C$6,D263)),Assumptions!$D$6,IF(ISNUMBER(SEARCH(Assumptions!$C$7,D263)),Assumptions!$D$7,"Other Services"))),"Other Services"))</f>
        <v/>
      </c>
    </row>
    <row r="264" customFormat="false" ht="15" hidden="false" customHeight="false" outlineLevel="0" collapsed="false">
      <c r="J264" s="41" t="str">
        <f aca="false">IF(D264="","",IFERROR(IF(ISNUMBER(SEARCH(Assumptions!$C$5,D264)),Assumptions!$D$5,IF(ISNUMBER(SEARCH(Assumptions!$C$6,D264)),Assumptions!$D$6,IF(ISNUMBER(SEARCH(Assumptions!$C$7,D264)),Assumptions!$D$7,"Other Services"))),"Other Services"))</f>
        <v/>
      </c>
    </row>
    <row r="265" customFormat="false" ht="15" hidden="false" customHeight="false" outlineLevel="0" collapsed="false">
      <c r="J265" s="41" t="str">
        <f aca="false">IF(D265="","",IFERROR(IF(ISNUMBER(SEARCH(Assumptions!$C$5,D265)),Assumptions!$D$5,IF(ISNUMBER(SEARCH(Assumptions!$C$6,D265)),Assumptions!$D$6,IF(ISNUMBER(SEARCH(Assumptions!$C$7,D265)),Assumptions!$D$7,"Other Services"))),"Other Services"))</f>
        <v/>
      </c>
    </row>
    <row r="266" customFormat="false" ht="15" hidden="false" customHeight="false" outlineLevel="0" collapsed="false">
      <c r="J266" s="41" t="str">
        <f aca="false">IF(D266="","",IFERROR(IF(ISNUMBER(SEARCH(Assumptions!$C$5,D266)),Assumptions!$D$5,IF(ISNUMBER(SEARCH(Assumptions!$C$6,D266)),Assumptions!$D$6,IF(ISNUMBER(SEARCH(Assumptions!$C$7,D266)),Assumptions!$D$7,"Other Services"))),"Other Services"))</f>
        <v/>
      </c>
    </row>
    <row r="267" customFormat="false" ht="15" hidden="false" customHeight="false" outlineLevel="0" collapsed="false">
      <c r="J267" s="41" t="str">
        <f aca="false">IF(D267="","",IFERROR(IF(ISNUMBER(SEARCH(Assumptions!$C$5,D267)),Assumptions!$D$5,IF(ISNUMBER(SEARCH(Assumptions!$C$6,D267)),Assumptions!$D$6,IF(ISNUMBER(SEARCH(Assumptions!$C$7,D267)),Assumptions!$D$7,"Other Services"))),"Other Services"))</f>
        <v/>
      </c>
    </row>
    <row r="268" customFormat="false" ht="15" hidden="false" customHeight="false" outlineLevel="0" collapsed="false">
      <c r="J268" s="41" t="str">
        <f aca="false">IF(D268="","",IFERROR(IF(ISNUMBER(SEARCH(Assumptions!$C$5,D268)),Assumptions!$D$5,IF(ISNUMBER(SEARCH(Assumptions!$C$6,D268)),Assumptions!$D$6,IF(ISNUMBER(SEARCH(Assumptions!$C$7,D268)),Assumptions!$D$7,"Other Services"))),"Other Services"))</f>
        <v/>
      </c>
    </row>
    <row r="269" customFormat="false" ht="15" hidden="false" customHeight="false" outlineLevel="0" collapsed="false">
      <c r="J269" s="41" t="str">
        <f aca="false">IF(D269="","",IFERROR(IF(ISNUMBER(SEARCH(Assumptions!$C$5,D269)),Assumptions!$D$5,IF(ISNUMBER(SEARCH(Assumptions!$C$6,D269)),Assumptions!$D$6,IF(ISNUMBER(SEARCH(Assumptions!$C$7,D269)),Assumptions!$D$7,"Other Services"))),"Other Services"))</f>
        <v/>
      </c>
    </row>
    <row r="270" customFormat="false" ht="15" hidden="false" customHeight="false" outlineLevel="0" collapsed="false">
      <c r="J270" s="41" t="str">
        <f aca="false">IF(D270="","",IFERROR(IF(ISNUMBER(SEARCH(Assumptions!$C$5,D270)),Assumptions!$D$5,IF(ISNUMBER(SEARCH(Assumptions!$C$6,D270)),Assumptions!$D$6,IF(ISNUMBER(SEARCH(Assumptions!$C$7,D270)),Assumptions!$D$7,"Other Services"))),"Other Services"))</f>
        <v/>
      </c>
    </row>
    <row r="271" customFormat="false" ht="15" hidden="false" customHeight="false" outlineLevel="0" collapsed="false">
      <c r="J271" s="41" t="str">
        <f aca="false">IF(D271="","",IFERROR(IF(ISNUMBER(SEARCH(Assumptions!$C$5,D271)),Assumptions!$D$5,IF(ISNUMBER(SEARCH(Assumptions!$C$6,D271)),Assumptions!$D$6,IF(ISNUMBER(SEARCH(Assumptions!$C$7,D271)),Assumptions!$D$7,"Other Services"))),"Other Services"))</f>
        <v/>
      </c>
    </row>
    <row r="272" customFormat="false" ht="15" hidden="false" customHeight="false" outlineLevel="0" collapsed="false">
      <c r="J272" s="41" t="str">
        <f aca="false">IF(D272="","",IFERROR(IF(ISNUMBER(SEARCH(Assumptions!$C$5,D272)),Assumptions!$D$5,IF(ISNUMBER(SEARCH(Assumptions!$C$6,D272)),Assumptions!$D$6,IF(ISNUMBER(SEARCH(Assumptions!$C$7,D272)),Assumptions!$D$7,"Other Services"))),"Other Services"))</f>
        <v/>
      </c>
    </row>
    <row r="273" customFormat="false" ht="15" hidden="false" customHeight="false" outlineLevel="0" collapsed="false">
      <c r="J273" s="41" t="str">
        <f aca="false">IF(D273="","",IFERROR(IF(ISNUMBER(SEARCH(Assumptions!$C$5,D273)),Assumptions!$D$5,IF(ISNUMBER(SEARCH(Assumptions!$C$6,D273)),Assumptions!$D$6,IF(ISNUMBER(SEARCH(Assumptions!$C$7,D273)),Assumptions!$D$7,"Other Services"))),"Other Services"))</f>
        <v/>
      </c>
    </row>
    <row r="274" customFormat="false" ht="15" hidden="false" customHeight="false" outlineLevel="0" collapsed="false">
      <c r="J274" s="41" t="str">
        <f aca="false">IF(D274="","",IFERROR(IF(ISNUMBER(SEARCH(Assumptions!$C$5,D274)),Assumptions!$D$5,IF(ISNUMBER(SEARCH(Assumptions!$C$6,D274)),Assumptions!$D$6,IF(ISNUMBER(SEARCH(Assumptions!$C$7,D274)),Assumptions!$D$7,"Other Services"))),"Other Services"))</f>
        <v/>
      </c>
    </row>
    <row r="275" customFormat="false" ht="15" hidden="false" customHeight="false" outlineLevel="0" collapsed="false">
      <c r="J275" s="41" t="str">
        <f aca="false">IF(D275="","",IFERROR(IF(ISNUMBER(SEARCH(Assumptions!$C$5,D275)),Assumptions!$D$5,IF(ISNUMBER(SEARCH(Assumptions!$C$6,D275)),Assumptions!$D$6,IF(ISNUMBER(SEARCH(Assumptions!$C$7,D275)),Assumptions!$D$7,"Other Services"))),"Other Services"))</f>
        <v/>
      </c>
    </row>
    <row r="276" customFormat="false" ht="15" hidden="false" customHeight="false" outlineLevel="0" collapsed="false">
      <c r="J276" s="41" t="str">
        <f aca="false">IF(D276="","",IFERROR(IF(ISNUMBER(SEARCH(Assumptions!$C$5,D276)),Assumptions!$D$5,IF(ISNUMBER(SEARCH(Assumptions!$C$6,D276)),Assumptions!$D$6,IF(ISNUMBER(SEARCH(Assumptions!$C$7,D276)),Assumptions!$D$7,"Other Services"))),"Other Services"))</f>
        <v/>
      </c>
    </row>
    <row r="277" customFormat="false" ht="15" hidden="false" customHeight="false" outlineLevel="0" collapsed="false">
      <c r="J277" s="41" t="str">
        <f aca="false">IF(D277="","",IFERROR(IF(ISNUMBER(SEARCH(Assumptions!$C$5,D277)),Assumptions!$D$5,IF(ISNUMBER(SEARCH(Assumptions!$C$6,D277)),Assumptions!$D$6,IF(ISNUMBER(SEARCH(Assumptions!$C$7,D277)),Assumptions!$D$7,"Other Services"))),"Other Services"))</f>
        <v/>
      </c>
    </row>
    <row r="278" customFormat="false" ht="15" hidden="false" customHeight="false" outlineLevel="0" collapsed="false">
      <c r="J278" s="41" t="str">
        <f aca="false">IF(D278="","",IFERROR(IF(ISNUMBER(SEARCH(Assumptions!$C$5,D278)),Assumptions!$D$5,IF(ISNUMBER(SEARCH(Assumptions!$C$6,D278)),Assumptions!$D$6,IF(ISNUMBER(SEARCH(Assumptions!$C$7,D278)),Assumptions!$D$7,"Other Services"))),"Other Services"))</f>
        <v/>
      </c>
    </row>
    <row r="279" customFormat="false" ht="15" hidden="false" customHeight="false" outlineLevel="0" collapsed="false">
      <c r="J279" s="41" t="str">
        <f aca="false">IF(D279="","",IFERROR(IF(ISNUMBER(SEARCH(Assumptions!$C$5,D279)),Assumptions!$D$5,IF(ISNUMBER(SEARCH(Assumptions!$C$6,D279)),Assumptions!$D$6,IF(ISNUMBER(SEARCH(Assumptions!$C$7,D279)),Assumptions!$D$7,"Other Services"))),"Other Services"))</f>
        <v/>
      </c>
    </row>
    <row r="280" customFormat="false" ht="15" hidden="false" customHeight="false" outlineLevel="0" collapsed="false">
      <c r="J280" s="41" t="str">
        <f aca="false">IF(D280="","",IFERROR(IF(ISNUMBER(SEARCH(Assumptions!$C$5,D280)),Assumptions!$D$5,IF(ISNUMBER(SEARCH(Assumptions!$C$6,D280)),Assumptions!$D$6,IF(ISNUMBER(SEARCH(Assumptions!$C$7,D280)),Assumptions!$D$7,"Other Services"))),"Other Services"))</f>
        <v/>
      </c>
    </row>
    <row r="281" customFormat="false" ht="15" hidden="false" customHeight="false" outlineLevel="0" collapsed="false">
      <c r="J281" s="41" t="str">
        <f aca="false">IF(D281="","",IFERROR(IF(ISNUMBER(SEARCH(Assumptions!$C$5,D281)),Assumptions!$D$5,IF(ISNUMBER(SEARCH(Assumptions!$C$6,D281)),Assumptions!$D$6,IF(ISNUMBER(SEARCH(Assumptions!$C$7,D281)),Assumptions!$D$7,"Other Services"))),"Other Services"))</f>
        <v/>
      </c>
    </row>
    <row r="282" customFormat="false" ht="15" hidden="false" customHeight="false" outlineLevel="0" collapsed="false">
      <c r="J282" s="41" t="str">
        <f aca="false">IF(D282="","",IFERROR(IF(ISNUMBER(SEARCH(Assumptions!$C$5,D282)),Assumptions!$D$5,IF(ISNUMBER(SEARCH(Assumptions!$C$6,D282)),Assumptions!$D$6,IF(ISNUMBER(SEARCH(Assumptions!$C$7,D282)),Assumptions!$D$7,"Other Services"))),"Other Services"))</f>
        <v/>
      </c>
    </row>
    <row r="283" customFormat="false" ht="15" hidden="false" customHeight="false" outlineLevel="0" collapsed="false">
      <c r="J283" s="41" t="str">
        <f aca="false">IF(D283="","",IFERROR(IF(ISNUMBER(SEARCH(Assumptions!$C$5,D283)),Assumptions!$D$5,IF(ISNUMBER(SEARCH(Assumptions!$C$6,D283)),Assumptions!$D$6,IF(ISNUMBER(SEARCH(Assumptions!$C$7,D283)),Assumptions!$D$7,"Other Services"))),"Other Services"))</f>
        <v/>
      </c>
    </row>
    <row r="284" customFormat="false" ht="15" hidden="false" customHeight="false" outlineLevel="0" collapsed="false">
      <c r="J284" s="41" t="str">
        <f aca="false">IF(D284="","",IFERROR(IF(ISNUMBER(SEARCH(Assumptions!$C$5,D284)),Assumptions!$D$5,IF(ISNUMBER(SEARCH(Assumptions!$C$6,D284)),Assumptions!$D$6,IF(ISNUMBER(SEARCH(Assumptions!$C$7,D284)),Assumptions!$D$7,"Other Services"))),"Other Services"))</f>
        <v/>
      </c>
    </row>
    <row r="285" customFormat="false" ht="15" hidden="false" customHeight="false" outlineLevel="0" collapsed="false">
      <c r="J285" s="41" t="str">
        <f aca="false">IF(D285="","",IFERROR(IF(ISNUMBER(SEARCH(Assumptions!$C$5,D285)),Assumptions!$D$5,IF(ISNUMBER(SEARCH(Assumptions!$C$6,D285)),Assumptions!$D$6,IF(ISNUMBER(SEARCH(Assumptions!$C$7,D285)),Assumptions!$D$7,"Other Services"))),"Other Services"))</f>
        <v/>
      </c>
    </row>
    <row r="286" customFormat="false" ht="15" hidden="false" customHeight="false" outlineLevel="0" collapsed="false">
      <c r="J286" s="41" t="str">
        <f aca="false">IF(D286="","",IFERROR(IF(ISNUMBER(SEARCH(Assumptions!$C$5,D286)),Assumptions!$D$5,IF(ISNUMBER(SEARCH(Assumptions!$C$6,D286)),Assumptions!$D$6,IF(ISNUMBER(SEARCH(Assumptions!$C$7,D286)),Assumptions!$D$7,"Other Services"))),"Other Services"))</f>
        <v/>
      </c>
    </row>
    <row r="287" customFormat="false" ht="15" hidden="false" customHeight="false" outlineLevel="0" collapsed="false">
      <c r="J287" s="41" t="str">
        <f aca="false">IF(D287="","",IFERROR(IF(ISNUMBER(SEARCH(Assumptions!$C$5,D287)),Assumptions!$D$5,IF(ISNUMBER(SEARCH(Assumptions!$C$6,D287)),Assumptions!$D$6,IF(ISNUMBER(SEARCH(Assumptions!$C$7,D287)),Assumptions!$D$7,"Other Services"))),"Other Services"))</f>
        <v/>
      </c>
    </row>
    <row r="288" customFormat="false" ht="15" hidden="false" customHeight="false" outlineLevel="0" collapsed="false">
      <c r="J288" s="41" t="str">
        <f aca="false">IF(D288="","",IFERROR(IF(ISNUMBER(SEARCH(Assumptions!$C$5,D288)),Assumptions!$D$5,IF(ISNUMBER(SEARCH(Assumptions!$C$6,D288)),Assumptions!$D$6,IF(ISNUMBER(SEARCH(Assumptions!$C$7,D288)),Assumptions!$D$7,"Other Services"))),"Other Services"))</f>
        <v/>
      </c>
    </row>
    <row r="289" customFormat="false" ht="15" hidden="false" customHeight="false" outlineLevel="0" collapsed="false">
      <c r="J289" s="41" t="str">
        <f aca="false">IF(D289="","",IFERROR(IF(ISNUMBER(SEARCH(Assumptions!$C$5,D289)),Assumptions!$D$5,IF(ISNUMBER(SEARCH(Assumptions!$C$6,D289)),Assumptions!$D$6,IF(ISNUMBER(SEARCH(Assumptions!$C$7,D289)),Assumptions!$D$7,"Other Services"))),"Other Services"))</f>
        <v/>
      </c>
    </row>
    <row r="290" customFormat="false" ht="15" hidden="false" customHeight="false" outlineLevel="0" collapsed="false">
      <c r="J290" s="41" t="str">
        <f aca="false">IF(D290="","",IFERROR(IF(ISNUMBER(SEARCH(Assumptions!$C$5,D290)),Assumptions!$D$5,IF(ISNUMBER(SEARCH(Assumptions!$C$6,D290)),Assumptions!$D$6,IF(ISNUMBER(SEARCH(Assumptions!$C$7,D290)),Assumptions!$D$7,"Other Services"))),"Other Services"))</f>
        <v/>
      </c>
    </row>
    <row r="291" customFormat="false" ht="15" hidden="false" customHeight="false" outlineLevel="0" collapsed="false">
      <c r="J291" s="41" t="str">
        <f aca="false">IF(D291="","",IFERROR(IF(ISNUMBER(SEARCH(Assumptions!$C$5,D291)),Assumptions!$D$5,IF(ISNUMBER(SEARCH(Assumptions!$C$6,D291)),Assumptions!$D$6,IF(ISNUMBER(SEARCH(Assumptions!$C$7,D291)),Assumptions!$D$7,"Other Services"))),"Other Services"))</f>
        <v/>
      </c>
    </row>
    <row r="292" customFormat="false" ht="15" hidden="false" customHeight="false" outlineLevel="0" collapsed="false">
      <c r="J292" s="41" t="str">
        <f aca="false">IF(D292="","",IFERROR(IF(ISNUMBER(SEARCH(Assumptions!$C$5,D292)),Assumptions!$D$5,IF(ISNUMBER(SEARCH(Assumptions!$C$6,D292)),Assumptions!$D$6,IF(ISNUMBER(SEARCH(Assumptions!$C$7,D292)),Assumptions!$D$7,"Other Services"))),"Other Services"))</f>
        <v/>
      </c>
    </row>
    <row r="293" customFormat="false" ht="15" hidden="false" customHeight="false" outlineLevel="0" collapsed="false">
      <c r="J293" s="41" t="str">
        <f aca="false">IF(D293="","",IFERROR(IF(ISNUMBER(SEARCH(Assumptions!$C$5,D293)),Assumptions!$D$5,IF(ISNUMBER(SEARCH(Assumptions!$C$6,D293)),Assumptions!$D$6,IF(ISNUMBER(SEARCH(Assumptions!$C$7,D293)),Assumptions!$D$7,"Other Services"))),"Other Services"))</f>
        <v/>
      </c>
    </row>
    <row r="294" customFormat="false" ht="15" hidden="false" customHeight="false" outlineLevel="0" collapsed="false">
      <c r="J294" s="41" t="str">
        <f aca="false">IF(D294="","",IFERROR(IF(ISNUMBER(SEARCH(Assumptions!$C$5,D294)),Assumptions!$D$5,IF(ISNUMBER(SEARCH(Assumptions!$C$6,D294)),Assumptions!$D$6,IF(ISNUMBER(SEARCH(Assumptions!$C$7,D294)),Assumptions!$D$7,"Other Services"))),"Other Services"))</f>
        <v/>
      </c>
    </row>
    <row r="295" customFormat="false" ht="15" hidden="false" customHeight="false" outlineLevel="0" collapsed="false">
      <c r="J295" s="41" t="str">
        <f aca="false">IF(D295="","",IFERROR(IF(ISNUMBER(SEARCH(Assumptions!$C$5,D295)),Assumptions!$D$5,IF(ISNUMBER(SEARCH(Assumptions!$C$6,D295)),Assumptions!$D$6,IF(ISNUMBER(SEARCH(Assumptions!$C$7,D295)),Assumptions!$D$7,"Other Services"))),"Other Services"))</f>
        <v/>
      </c>
    </row>
    <row r="296" customFormat="false" ht="15" hidden="false" customHeight="false" outlineLevel="0" collapsed="false">
      <c r="J296" s="41" t="str">
        <f aca="false">IF(D296="","",IFERROR(IF(ISNUMBER(SEARCH(Assumptions!$C$5,D296)),Assumptions!$D$5,IF(ISNUMBER(SEARCH(Assumptions!$C$6,D296)),Assumptions!$D$6,IF(ISNUMBER(SEARCH(Assumptions!$C$7,D296)),Assumptions!$D$7,"Other Services"))),"Other Services"))</f>
        <v/>
      </c>
    </row>
    <row r="297" customFormat="false" ht="15" hidden="false" customHeight="false" outlineLevel="0" collapsed="false">
      <c r="J297" s="41" t="str">
        <f aca="false">IF(D297="","",IFERROR(IF(ISNUMBER(SEARCH(Assumptions!$C$5,D297)),Assumptions!$D$5,IF(ISNUMBER(SEARCH(Assumptions!$C$6,D297)),Assumptions!$D$6,IF(ISNUMBER(SEARCH(Assumptions!$C$7,D297)),Assumptions!$D$7,"Other Services"))),"Other Services"))</f>
        <v/>
      </c>
    </row>
    <row r="298" customFormat="false" ht="15" hidden="false" customHeight="false" outlineLevel="0" collapsed="false">
      <c r="J298" s="41" t="str">
        <f aca="false">IF(D298="","",IFERROR(IF(ISNUMBER(SEARCH(Assumptions!$C$5,D298)),Assumptions!$D$5,IF(ISNUMBER(SEARCH(Assumptions!$C$6,D298)),Assumptions!$D$6,IF(ISNUMBER(SEARCH(Assumptions!$C$7,D298)),Assumptions!$D$7,"Other Services"))),"Other Services"))</f>
        <v/>
      </c>
    </row>
    <row r="299" customFormat="false" ht="15" hidden="false" customHeight="false" outlineLevel="0" collapsed="false">
      <c r="J299" s="41" t="str">
        <f aca="false">IF(D299="","",IFERROR(IF(ISNUMBER(SEARCH(Assumptions!$C$5,D299)),Assumptions!$D$5,IF(ISNUMBER(SEARCH(Assumptions!$C$6,D299)),Assumptions!$D$6,IF(ISNUMBER(SEARCH(Assumptions!$C$7,D299)),Assumptions!$D$7,"Other Services"))),"Other Services"))</f>
        <v/>
      </c>
    </row>
    <row r="300" customFormat="false" ht="15" hidden="false" customHeight="false" outlineLevel="0" collapsed="false">
      <c r="J300" s="41" t="str">
        <f aca="false">IF(D300="","",IFERROR(IF(ISNUMBER(SEARCH(Assumptions!$C$5,D300)),Assumptions!$D$5,IF(ISNUMBER(SEARCH(Assumptions!$C$6,D300)),Assumptions!$D$6,IF(ISNUMBER(SEARCH(Assumptions!$C$7,D300)),Assumptions!$D$7,"Other Services"))),"Other Services"))</f>
        <v/>
      </c>
    </row>
    <row r="301" customFormat="false" ht="15" hidden="false" customHeight="false" outlineLevel="0" collapsed="false">
      <c r="J301" s="41" t="str">
        <f aca="false">IF(D301="","",IFERROR(IF(ISNUMBER(SEARCH(Assumptions!$C$5,D301)),Assumptions!$D$5,IF(ISNUMBER(SEARCH(Assumptions!$C$6,D301)),Assumptions!$D$6,IF(ISNUMBER(SEARCH(Assumptions!$C$7,D301)),Assumptions!$D$7,"Other Services"))),"Other Services"))</f>
        <v/>
      </c>
    </row>
    <row r="302" customFormat="false" ht="15" hidden="false" customHeight="false" outlineLevel="0" collapsed="false">
      <c r="J302" s="41" t="str">
        <f aca="false">IF(D302="","",IFERROR(IF(ISNUMBER(SEARCH(Assumptions!$C$5,D302)),Assumptions!$D$5,IF(ISNUMBER(SEARCH(Assumptions!$C$6,D302)),Assumptions!$D$6,IF(ISNUMBER(SEARCH(Assumptions!$C$7,D302)),Assumptions!$D$7,"Other Services"))),"Other Services"))</f>
        <v/>
      </c>
    </row>
    <row r="303" customFormat="false" ht="15" hidden="false" customHeight="false" outlineLevel="0" collapsed="false">
      <c r="J303" s="41" t="str">
        <f aca="false">IF(D303="","",IFERROR(IF(ISNUMBER(SEARCH(Assumptions!$C$5,D303)),Assumptions!$D$5,IF(ISNUMBER(SEARCH(Assumptions!$C$6,D303)),Assumptions!$D$6,IF(ISNUMBER(SEARCH(Assumptions!$C$7,D303)),Assumptions!$D$7,"Other Services"))),"Other Services"))</f>
        <v/>
      </c>
    </row>
    <row r="304" customFormat="false" ht="15" hidden="false" customHeight="false" outlineLevel="0" collapsed="false">
      <c r="J304" s="41" t="str">
        <f aca="false">IF(D304="","",IFERROR(IF(ISNUMBER(SEARCH(Assumptions!$C$5,D304)),Assumptions!$D$5,IF(ISNUMBER(SEARCH(Assumptions!$C$6,D304)),Assumptions!$D$6,IF(ISNUMBER(SEARCH(Assumptions!$C$7,D304)),Assumptions!$D$7,"Other Services"))),"Other Services"))</f>
        <v/>
      </c>
    </row>
    <row r="305" customFormat="false" ht="15" hidden="false" customHeight="false" outlineLevel="0" collapsed="false">
      <c r="J305" s="41" t="str">
        <f aca="false">IF(D305="","",IFERROR(IF(ISNUMBER(SEARCH(Assumptions!$C$5,D305)),Assumptions!$D$5,IF(ISNUMBER(SEARCH(Assumptions!$C$6,D305)),Assumptions!$D$6,IF(ISNUMBER(SEARCH(Assumptions!$C$7,D305)),Assumptions!$D$7,"Other Services"))),"Other Services"))</f>
        <v/>
      </c>
    </row>
    <row r="306" customFormat="false" ht="15" hidden="false" customHeight="false" outlineLevel="0" collapsed="false">
      <c r="J306" s="41" t="str">
        <f aca="false">IF(D306="","",IFERROR(IF(ISNUMBER(SEARCH(Assumptions!$C$5,D306)),Assumptions!$D$5,IF(ISNUMBER(SEARCH(Assumptions!$C$6,D306)),Assumptions!$D$6,IF(ISNUMBER(SEARCH(Assumptions!$C$7,D306)),Assumptions!$D$7,"Other Services"))),"Other Services"))</f>
        <v/>
      </c>
    </row>
    <row r="307" customFormat="false" ht="15" hidden="false" customHeight="false" outlineLevel="0" collapsed="false">
      <c r="J307" s="41" t="str">
        <f aca="false">IF(D307="","",IFERROR(IF(ISNUMBER(SEARCH(Assumptions!$C$5,D307)),Assumptions!$D$5,IF(ISNUMBER(SEARCH(Assumptions!$C$6,D307)),Assumptions!$D$6,IF(ISNUMBER(SEARCH(Assumptions!$C$7,D307)),Assumptions!$D$7,"Other Services"))),"Other Services"))</f>
        <v/>
      </c>
    </row>
    <row r="308" customFormat="false" ht="15" hidden="false" customHeight="false" outlineLevel="0" collapsed="false">
      <c r="J308" s="41" t="str">
        <f aca="false">IF(D308="","",IFERROR(IF(ISNUMBER(SEARCH(Assumptions!$C$5,D308)),Assumptions!$D$5,IF(ISNUMBER(SEARCH(Assumptions!$C$6,D308)),Assumptions!$D$6,IF(ISNUMBER(SEARCH(Assumptions!$C$7,D308)),Assumptions!$D$7,"Other Services"))),"Other Services"))</f>
        <v/>
      </c>
    </row>
    <row r="309" customFormat="false" ht="15" hidden="false" customHeight="false" outlineLevel="0" collapsed="false">
      <c r="J309" s="41" t="str">
        <f aca="false">IF(D309="","",IFERROR(IF(ISNUMBER(SEARCH(Assumptions!$C$5,D309)),Assumptions!$D$5,IF(ISNUMBER(SEARCH(Assumptions!$C$6,D309)),Assumptions!$D$6,IF(ISNUMBER(SEARCH(Assumptions!$C$7,D309)),Assumptions!$D$7,"Other Services"))),"Other Services"))</f>
        <v/>
      </c>
    </row>
    <row r="310" customFormat="false" ht="15" hidden="false" customHeight="false" outlineLevel="0" collapsed="false">
      <c r="J310" s="41" t="str">
        <f aca="false">IF(D310="","",IFERROR(IF(ISNUMBER(SEARCH(Assumptions!$C$5,D310)),Assumptions!$D$5,IF(ISNUMBER(SEARCH(Assumptions!$C$6,D310)),Assumptions!$D$6,IF(ISNUMBER(SEARCH(Assumptions!$C$7,D310)),Assumptions!$D$7,"Other Services"))),"Other Services"))</f>
        <v/>
      </c>
    </row>
    <row r="311" customFormat="false" ht="15" hidden="false" customHeight="false" outlineLevel="0" collapsed="false">
      <c r="J311" s="41" t="str">
        <f aca="false">IF(D311="","",IFERROR(IF(ISNUMBER(SEARCH(Assumptions!$C$5,D311)),Assumptions!$D$5,IF(ISNUMBER(SEARCH(Assumptions!$C$6,D311)),Assumptions!$D$6,IF(ISNUMBER(SEARCH(Assumptions!$C$7,D311)),Assumptions!$D$7,"Other Services"))),"Other Services"))</f>
        <v/>
      </c>
    </row>
    <row r="312" customFormat="false" ht="15" hidden="false" customHeight="false" outlineLevel="0" collapsed="false">
      <c r="J312" s="41" t="str">
        <f aca="false">IF(D312="","",IFERROR(IF(ISNUMBER(SEARCH(Assumptions!$C$5,D312)),Assumptions!$D$5,IF(ISNUMBER(SEARCH(Assumptions!$C$6,D312)),Assumptions!$D$6,IF(ISNUMBER(SEARCH(Assumptions!$C$7,D312)),Assumptions!$D$7,"Other Services"))),"Other Services"))</f>
        <v/>
      </c>
    </row>
    <row r="313" customFormat="false" ht="15" hidden="false" customHeight="false" outlineLevel="0" collapsed="false">
      <c r="J313" s="41" t="str">
        <f aca="false">IF(D313="","",IFERROR(IF(ISNUMBER(SEARCH(Assumptions!$C$5,D313)),Assumptions!$D$5,IF(ISNUMBER(SEARCH(Assumptions!$C$6,D313)),Assumptions!$D$6,IF(ISNUMBER(SEARCH(Assumptions!$C$7,D313)),Assumptions!$D$7,"Other Services"))),"Other Services"))</f>
        <v/>
      </c>
    </row>
    <row r="314" customFormat="false" ht="15" hidden="false" customHeight="false" outlineLevel="0" collapsed="false">
      <c r="J314" s="41" t="str">
        <f aca="false">IF(D314="","",IFERROR(IF(ISNUMBER(SEARCH(Assumptions!$C$5,D314)),Assumptions!$D$5,IF(ISNUMBER(SEARCH(Assumptions!$C$6,D314)),Assumptions!$D$6,IF(ISNUMBER(SEARCH(Assumptions!$C$7,D314)),Assumptions!$D$7,"Other Services"))),"Other Services"))</f>
        <v/>
      </c>
    </row>
    <row r="315" customFormat="false" ht="15" hidden="false" customHeight="false" outlineLevel="0" collapsed="false">
      <c r="J315" s="41" t="str">
        <f aca="false">IF(D315="","",IFERROR(IF(ISNUMBER(SEARCH(Assumptions!$C$5,D315)),Assumptions!$D$5,IF(ISNUMBER(SEARCH(Assumptions!$C$6,D315)),Assumptions!$D$6,IF(ISNUMBER(SEARCH(Assumptions!$C$7,D315)),Assumptions!$D$7,"Other Services"))),"Other Services"))</f>
        <v/>
      </c>
    </row>
    <row r="316" customFormat="false" ht="15" hidden="false" customHeight="false" outlineLevel="0" collapsed="false">
      <c r="J316" s="41" t="str">
        <f aca="false">IF(D316="","",IFERROR(IF(ISNUMBER(SEARCH(Assumptions!$C$5,D316)),Assumptions!$D$5,IF(ISNUMBER(SEARCH(Assumptions!$C$6,D316)),Assumptions!$D$6,IF(ISNUMBER(SEARCH(Assumptions!$C$7,D316)),Assumptions!$D$7,"Other Services"))),"Other Services"))</f>
        <v/>
      </c>
    </row>
    <row r="317" customFormat="false" ht="15" hidden="false" customHeight="false" outlineLevel="0" collapsed="false">
      <c r="J317" s="41" t="str">
        <f aca="false">IF(D317="","",IFERROR(IF(ISNUMBER(SEARCH(Assumptions!$C$5,D317)),Assumptions!$D$5,IF(ISNUMBER(SEARCH(Assumptions!$C$6,D317)),Assumptions!$D$6,IF(ISNUMBER(SEARCH(Assumptions!$C$7,D317)),Assumptions!$D$7,"Other Services"))),"Other Services"))</f>
        <v/>
      </c>
    </row>
    <row r="318" customFormat="false" ht="15" hidden="false" customHeight="false" outlineLevel="0" collapsed="false">
      <c r="J318" s="41" t="str">
        <f aca="false">IF(D318="","",IFERROR(IF(ISNUMBER(SEARCH(Assumptions!$C$5,D318)),Assumptions!$D$5,IF(ISNUMBER(SEARCH(Assumptions!$C$6,D318)),Assumptions!$D$6,IF(ISNUMBER(SEARCH(Assumptions!$C$7,D318)),Assumptions!$D$7,"Other Services"))),"Other Services"))</f>
        <v/>
      </c>
    </row>
    <row r="319" customFormat="false" ht="15" hidden="false" customHeight="false" outlineLevel="0" collapsed="false">
      <c r="J319" s="41" t="str">
        <f aca="false">IF(D319="","",IFERROR(IF(ISNUMBER(SEARCH(Assumptions!$C$5,D319)),Assumptions!$D$5,IF(ISNUMBER(SEARCH(Assumptions!$C$6,D319)),Assumptions!$D$6,IF(ISNUMBER(SEARCH(Assumptions!$C$7,D319)),Assumptions!$D$7,"Other Services"))),"Other Services"))</f>
        <v/>
      </c>
    </row>
    <row r="320" customFormat="false" ht="15" hidden="false" customHeight="false" outlineLevel="0" collapsed="false">
      <c r="J320" s="41" t="str">
        <f aca="false">IF(D320="","",IFERROR(IF(ISNUMBER(SEARCH(Assumptions!$C$5,D320)),Assumptions!$D$5,IF(ISNUMBER(SEARCH(Assumptions!$C$6,D320)),Assumptions!$D$6,IF(ISNUMBER(SEARCH(Assumptions!$C$7,D320)),Assumptions!$D$7,"Other Services"))),"Other Services"))</f>
        <v/>
      </c>
    </row>
    <row r="321" customFormat="false" ht="15" hidden="false" customHeight="false" outlineLevel="0" collapsed="false">
      <c r="J321" s="41" t="str">
        <f aca="false">IF(D321="","",IFERROR(IF(ISNUMBER(SEARCH(Assumptions!$C$5,D321)),Assumptions!$D$5,IF(ISNUMBER(SEARCH(Assumptions!$C$6,D321)),Assumptions!$D$6,IF(ISNUMBER(SEARCH(Assumptions!$C$7,D321)),Assumptions!$D$7,"Other Services"))),"Other Services"))</f>
        <v/>
      </c>
    </row>
    <row r="322" customFormat="false" ht="15" hidden="false" customHeight="false" outlineLevel="0" collapsed="false">
      <c r="J322" s="41" t="str">
        <f aca="false">IF(D322="","",IFERROR(IF(ISNUMBER(SEARCH(Assumptions!$C$5,D322)),Assumptions!$D$5,IF(ISNUMBER(SEARCH(Assumptions!$C$6,D322)),Assumptions!$D$6,IF(ISNUMBER(SEARCH(Assumptions!$C$7,D322)),Assumptions!$D$7,"Other Services"))),"Other Services"))</f>
        <v/>
      </c>
    </row>
    <row r="323" customFormat="false" ht="15" hidden="false" customHeight="false" outlineLevel="0" collapsed="false">
      <c r="J323" s="41" t="str">
        <f aca="false">IF(D323="","",IFERROR(IF(ISNUMBER(SEARCH(Assumptions!$C$5,D323)),Assumptions!$D$5,IF(ISNUMBER(SEARCH(Assumptions!$C$6,D323)),Assumptions!$D$6,IF(ISNUMBER(SEARCH(Assumptions!$C$7,D323)),Assumptions!$D$7,"Other Services"))),"Other Services"))</f>
        <v/>
      </c>
    </row>
    <row r="324" customFormat="false" ht="15" hidden="false" customHeight="false" outlineLevel="0" collapsed="false">
      <c r="J324" s="41" t="str">
        <f aca="false">IF(D324="","",IFERROR(IF(ISNUMBER(SEARCH(Assumptions!$C$5,D324)),Assumptions!$D$5,IF(ISNUMBER(SEARCH(Assumptions!$C$6,D324)),Assumptions!$D$6,IF(ISNUMBER(SEARCH(Assumptions!$C$7,D324)),Assumptions!$D$7,"Other Services"))),"Other Services"))</f>
        <v/>
      </c>
    </row>
    <row r="325" customFormat="false" ht="15" hidden="false" customHeight="false" outlineLevel="0" collapsed="false">
      <c r="J325" s="41" t="str">
        <f aca="false">IF(D325="","",IFERROR(IF(ISNUMBER(SEARCH(Assumptions!$C$5,D325)),Assumptions!$D$5,IF(ISNUMBER(SEARCH(Assumptions!$C$6,D325)),Assumptions!$D$6,IF(ISNUMBER(SEARCH(Assumptions!$C$7,D325)),Assumptions!$D$7,"Other Services"))),"Other Services"))</f>
        <v/>
      </c>
    </row>
    <row r="326" customFormat="false" ht="15" hidden="false" customHeight="false" outlineLevel="0" collapsed="false">
      <c r="J326" s="41" t="str">
        <f aca="false">IF(D326="","",IFERROR(IF(ISNUMBER(SEARCH(Assumptions!$C$5,D326)),Assumptions!$D$5,IF(ISNUMBER(SEARCH(Assumptions!$C$6,D326)),Assumptions!$D$6,IF(ISNUMBER(SEARCH(Assumptions!$C$7,D326)),Assumptions!$D$7,"Other Services"))),"Other Services"))</f>
        <v/>
      </c>
    </row>
    <row r="327" customFormat="false" ht="15" hidden="false" customHeight="false" outlineLevel="0" collapsed="false">
      <c r="J327" s="41" t="str">
        <f aca="false">IF(D327="","",IFERROR(IF(ISNUMBER(SEARCH(Assumptions!$C$5,D327)),Assumptions!$D$5,IF(ISNUMBER(SEARCH(Assumptions!$C$6,D327)),Assumptions!$D$6,IF(ISNUMBER(SEARCH(Assumptions!$C$7,D327)),Assumptions!$D$7,"Other Services"))),"Other Services"))</f>
        <v/>
      </c>
    </row>
    <row r="328" customFormat="false" ht="15" hidden="false" customHeight="false" outlineLevel="0" collapsed="false">
      <c r="J328" s="41" t="str">
        <f aca="false">IF(D328="","",IFERROR(IF(ISNUMBER(SEARCH(Assumptions!$C$5,D328)),Assumptions!$D$5,IF(ISNUMBER(SEARCH(Assumptions!$C$6,D328)),Assumptions!$D$6,IF(ISNUMBER(SEARCH(Assumptions!$C$7,D328)),Assumptions!$D$7,"Other Services"))),"Other Services"))</f>
        <v/>
      </c>
    </row>
    <row r="329" customFormat="false" ht="15" hidden="false" customHeight="false" outlineLevel="0" collapsed="false">
      <c r="J329" s="41" t="str">
        <f aca="false">IF(D329="","",IFERROR(IF(ISNUMBER(SEARCH(Assumptions!$C$5,D329)),Assumptions!$D$5,IF(ISNUMBER(SEARCH(Assumptions!$C$6,D329)),Assumptions!$D$6,IF(ISNUMBER(SEARCH(Assumptions!$C$7,D329)),Assumptions!$D$7,"Other Services"))),"Other Services"))</f>
        <v/>
      </c>
    </row>
    <row r="330" customFormat="false" ht="15" hidden="false" customHeight="false" outlineLevel="0" collapsed="false">
      <c r="J330" s="41" t="str">
        <f aca="false">IF(D330="","",IFERROR(IF(ISNUMBER(SEARCH(Assumptions!$C$5,D330)),Assumptions!$D$5,IF(ISNUMBER(SEARCH(Assumptions!$C$6,D330)),Assumptions!$D$6,IF(ISNUMBER(SEARCH(Assumptions!$C$7,D330)),Assumptions!$D$7,"Other Services"))),"Other Services"))</f>
        <v/>
      </c>
    </row>
    <row r="331" customFormat="false" ht="15" hidden="false" customHeight="false" outlineLevel="0" collapsed="false">
      <c r="J331" s="41" t="str">
        <f aca="false">IF(D331="","",IFERROR(IF(ISNUMBER(SEARCH(Assumptions!$C$5,D331)),Assumptions!$D$5,IF(ISNUMBER(SEARCH(Assumptions!$C$6,D331)),Assumptions!$D$6,IF(ISNUMBER(SEARCH(Assumptions!$C$7,D331)),Assumptions!$D$7,"Other Services"))),"Other Services"))</f>
        <v/>
      </c>
    </row>
    <row r="332" customFormat="false" ht="15" hidden="false" customHeight="false" outlineLevel="0" collapsed="false">
      <c r="J332" s="41" t="str">
        <f aca="false">IF(D332="","",IFERROR(IF(ISNUMBER(SEARCH(Assumptions!$C$5,D332)),Assumptions!$D$5,IF(ISNUMBER(SEARCH(Assumptions!$C$6,D332)),Assumptions!$D$6,IF(ISNUMBER(SEARCH(Assumptions!$C$7,D332)),Assumptions!$D$7,"Other Services"))),"Other Services"))</f>
        <v/>
      </c>
    </row>
    <row r="333" customFormat="false" ht="15" hidden="false" customHeight="false" outlineLevel="0" collapsed="false">
      <c r="J333" s="41" t="str">
        <f aca="false">IF(D333="","",IFERROR(IF(ISNUMBER(SEARCH(Assumptions!$C$5,D333)),Assumptions!$D$5,IF(ISNUMBER(SEARCH(Assumptions!$C$6,D333)),Assumptions!$D$6,IF(ISNUMBER(SEARCH(Assumptions!$C$7,D333)),Assumptions!$D$7,"Other Services"))),"Other Services"))</f>
        <v/>
      </c>
    </row>
    <row r="334" customFormat="false" ht="15" hidden="false" customHeight="false" outlineLevel="0" collapsed="false">
      <c r="J334" s="41" t="str">
        <f aca="false">IF(D334="","",IFERROR(IF(ISNUMBER(SEARCH(Assumptions!$C$5,D334)),Assumptions!$D$5,IF(ISNUMBER(SEARCH(Assumptions!$C$6,D334)),Assumptions!$D$6,IF(ISNUMBER(SEARCH(Assumptions!$C$7,D334)),Assumptions!$D$7,"Other Services"))),"Other Services"))</f>
        <v/>
      </c>
    </row>
    <row r="335" customFormat="false" ht="15" hidden="false" customHeight="false" outlineLevel="0" collapsed="false">
      <c r="J335" s="41" t="str">
        <f aca="false">IF(D335="","",IFERROR(IF(ISNUMBER(SEARCH(Assumptions!$C$5,D335)),Assumptions!$D$5,IF(ISNUMBER(SEARCH(Assumptions!$C$6,D335)),Assumptions!$D$6,IF(ISNUMBER(SEARCH(Assumptions!$C$7,D335)),Assumptions!$D$7,"Other Services"))),"Other Services"))</f>
        <v/>
      </c>
    </row>
    <row r="336" customFormat="false" ht="15" hidden="false" customHeight="false" outlineLevel="0" collapsed="false">
      <c r="J336" s="41" t="str">
        <f aca="false">IF(D336="","",IFERROR(IF(ISNUMBER(SEARCH(Assumptions!$C$5,D336)),Assumptions!$D$5,IF(ISNUMBER(SEARCH(Assumptions!$C$6,D336)),Assumptions!$D$6,IF(ISNUMBER(SEARCH(Assumptions!$C$7,D336)),Assumptions!$D$7,"Other Services"))),"Other Services"))</f>
        <v/>
      </c>
    </row>
    <row r="337" customFormat="false" ht="15" hidden="false" customHeight="false" outlineLevel="0" collapsed="false">
      <c r="J337" s="41" t="str">
        <f aca="false">IF(D337="","",IFERROR(IF(ISNUMBER(SEARCH(Assumptions!$C$5,D337)),Assumptions!$D$5,IF(ISNUMBER(SEARCH(Assumptions!$C$6,D337)),Assumptions!$D$6,IF(ISNUMBER(SEARCH(Assumptions!$C$7,D337)),Assumptions!$D$7,"Other Services"))),"Other Services"))</f>
        <v/>
      </c>
    </row>
    <row r="338" customFormat="false" ht="15" hidden="false" customHeight="false" outlineLevel="0" collapsed="false">
      <c r="J338" s="41" t="str">
        <f aca="false">IF(D338="","",IFERROR(IF(ISNUMBER(SEARCH(Assumptions!$C$5,D338)),Assumptions!$D$5,IF(ISNUMBER(SEARCH(Assumptions!$C$6,D338)),Assumptions!$D$6,IF(ISNUMBER(SEARCH(Assumptions!$C$7,D338)),Assumptions!$D$7,"Other Services"))),"Other Services"))</f>
        <v/>
      </c>
    </row>
    <row r="339" customFormat="false" ht="15" hidden="false" customHeight="false" outlineLevel="0" collapsed="false">
      <c r="J339" s="41" t="str">
        <f aca="false">IF(D339="","",IFERROR(IF(ISNUMBER(SEARCH(Assumptions!$C$5,D339)),Assumptions!$D$5,IF(ISNUMBER(SEARCH(Assumptions!$C$6,D339)),Assumptions!$D$6,IF(ISNUMBER(SEARCH(Assumptions!$C$7,D339)),Assumptions!$D$7,"Other Services"))),"Other Services"))</f>
        <v/>
      </c>
    </row>
    <row r="340" customFormat="false" ht="15" hidden="false" customHeight="false" outlineLevel="0" collapsed="false">
      <c r="J340" s="41" t="str">
        <f aca="false">IF(D340="","",IFERROR(IF(ISNUMBER(SEARCH(Assumptions!$C$5,D340)),Assumptions!$D$5,IF(ISNUMBER(SEARCH(Assumptions!$C$6,D340)),Assumptions!$D$6,IF(ISNUMBER(SEARCH(Assumptions!$C$7,D340)),Assumptions!$D$7,"Other Services"))),"Other Services"))</f>
        <v/>
      </c>
    </row>
    <row r="341" customFormat="false" ht="15" hidden="false" customHeight="false" outlineLevel="0" collapsed="false">
      <c r="J341" s="41" t="str">
        <f aca="false">IF(D341="","",IFERROR(IF(ISNUMBER(SEARCH(Assumptions!$C$5,D341)),Assumptions!$D$5,IF(ISNUMBER(SEARCH(Assumptions!$C$6,D341)),Assumptions!$D$6,IF(ISNUMBER(SEARCH(Assumptions!$C$7,D341)),Assumptions!$D$7,"Other Services"))),"Other Services"))</f>
        <v/>
      </c>
    </row>
    <row r="342" customFormat="false" ht="15" hidden="false" customHeight="false" outlineLevel="0" collapsed="false">
      <c r="J342" s="41" t="str">
        <f aca="false">IF(D342="","",IFERROR(IF(ISNUMBER(SEARCH(Assumptions!$C$5,D342)),Assumptions!$D$5,IF(ISNUMBER(SEARCH(Assumptions!$C$6,D342)),Assumptions!$D$6,IF(ISNUMBER(SEARCH(Assumptions!$C$7,D342)),Assumptions!$D$7,"Other Services"))),"Other Services"))</f>
        <v/>
      </c>
    </row>
    <row r="343" customFormat="false" ht="15" hidden="false" customHeight="false" outlineLevel="0" collapsed="false">
      <c r="J343" s="41" t="str">
        <f aca="false">IF(D343="","",IFERROR(IF(ISNUMBER(SEARCH(Assumptions!$C$5,D343)),Assumptions!$D$5,IF(ISNUMBER(SEARCH(Assumptions!$C$6,D343)),Assumptions!$D$6,IF(ISNUMBER(SEARCH(Assumptions!$C$7,D343)),Assumptions!$D$7,"Other Services"))),"Other Services"))</f>
        <v/>
      </c>
    </row>
    <row r="344" customFormat="false" ht="15" hidden="false" customHeight="false" outlineLevel="0" collapsed="false">
      <c r="J344" s="41" t="str">
        <f aca="false">IF(D344="","",IFERROR(IF(ISNUMBER(SEARCH(Assumptions!$C$5,D344)),Assumptions!$D$5,IF(ISNUMBER(SEARCH(Assumptions!$C$6,D344)),Assumptions!$D$6,IF(ISNUMBER(SEARCH(Assumptions!$C$7,D344)),Assumptions!$D$7,"Other Services"))),"Other Services"))</f>
        <v/>
      </c>
    </row>
    <row r="345" customFormat="false" ht="15" hidden="false" customHeight="false" outlineLevel="0" collapsed="false">
      <c r="J345" s="41" t="str">
        <f aca="false">IF(D345="","",IFERROR(IF(ISNUMBER(SEARCH(Assumptions!$C$5,D345)),Assumptions!$D$5,IF(ISNUMBER(SEARCH(Assumptions!$C$6,D345)),Assumptions!$D$6,IF(ISNUMBER(SEARCH(Assumptions!$C$7,D345)),Assumptions!$D$7,"Other Services"))),"Other Services"))</f>
        <v/>
      </c>
    </row>
    <row r="346" customFormat="false" ht="15" hidden="false" customHeight="false" outlineLevel="0" collapsed="false">
      <c r="J346" s="41" t="str">
        <f aca="false">IF(D346="","",IFERROR(IF(ISNUMBER(SEARCH(Assumptions!$C$5,D346)),Assumptions!$D$5,IF(ISNUMBER(SEARCH(Assumptions!$C$6,D346)),Assumptions!$D$6,IF(ISNUMBER(SEARCH(Assumptions!$C$7,D346)),Assumptions!$D$7,"Other Services"))),"Other Services"))</f>
        <v/>
      </c>
    </row>
    <row r="347" customFormat="false" ht="15" hidden="false" customHeight="false" outlineLevel="0" collapsed="false">
      <c r="J347" s="41" t="str">
        <f aca="false">IF(D347="","",IFERROR(IF(ISNUMBER(SEARCH(Assumptions!$C$5,D347)),Assumptions!$D$5,IF(ISNUMBER(SEARCH(Assumptions!$C$6,D347)),Assumptions!$D$6,IF(ISNUMBER(SEARCH(Assumptions!$C$7,D347)),Assumptions!$D$7,"Other Services"))),"Other Services"))</f>
        <v/>
      </c>
    </row>
    <row r="348" customFormat="false" ht="15" hidden="false" customHeight="false" outlineLevel="0" collapsed="false">
      <c r="J348" s="41" t="str">
        <f aca="false">IF(D348="","",IFERROR(IF(ISNUMBER(SEARCH(Assumptions!$C$5,D348)),Assumptions!$D$5,IF(ISNUMBER(SEARCH(Assumptions!$C$6,D348)),Assumptions!$D$6,IF(ISNUMBER(SEARCH(Assumptions!$C$7,D348)),Assumptions!$D$7,"Other Services"))),"Other Services"))</f>
        <v/>
      </c>
    </row>
    <row r="349" customFormat="false" ht="15" hidden="false" customHeight="false" outlineLevel="0" collapsed="false">
      <c r="J349" s="41" t="str">
        <f aca="false">IF(D349="","",IFERROR(IF(ISNUMBER(SEARCH(Assumptions!$C$5,D349)),Assumptions!$D$5,IF(ISNUMBER(SEARCH(Assumptions!$C$6,D349)),Assumptions!$D$6,IF(ISNUMBER(SEARCH(Assumptions!$C$7,D349)),Assumptions!$D$7,"Other Services"))),"Other Services"))</f>
        <v/>
      </c>
    </row>
    <row r="350" customFormat="false" ht="15" hidden="false" customHeight="false" outlineLevel="0" collapsed="false">
      <c r="J350" s="41" t="str">
        <f aca="false">IF(D350="","",IFERROR(IF(ISNUMBER(SEARCH(Assumptions!$C$5,D350)),Assumptions!$D$5,IF(ISNUMBER(SEARCH(Assumptions!$C$6,D350)),Assumptions!$D$6,IF(ISNUMBER(SEARCH(Assumptions!$C$7,D350)),Assumptions!$D$7,"Other Services"))),"Other Services"))</f>
        <v/>
      </c>
    </row>
    <row r="351" customFormat="false" ht="15" hidden="false" customHeight="false" outlineLevel="0" collapsed="false">
      <c r="J351" s="41" t="str">
        <f aca="false">IF(D351="","",IFERROR(IF(ISNUMBER(SEARCH(Assumptions!$C$5,D351)),Assumptions!$D$5,IF(ISNUMBER(SEARCH(Assumptions!$C$6,D351)),Assumptions!$D$6,IF(ISNUMBER(SEARCH(Assumptions!$C$7,D351)),Assumptions!$D$7,"Other Services"))),"Other Services"))</f>
        <v/>
      </c>
    </row>
    <row r="352" customFormat="false" ht="15" hidden="false" customHeight="false" outlineLevel="0" collapsed="false">
      <c r="J352" s="41" t="str">
        <f aca="false">IF(D352="","",IFERROR(IF(ISNUMBER(SEARCH(Assumptions!$C$5,D352)),Assumptions!$D$5,IF(ISNUMBER(SEARCH(Assumptions!$C$6,D352)),Assumptions!$D$6,IF(ISNUMBER(SEARCH(Assumptions!$C$7,D352)),Assumptions!$D$7,"Other Services"))),"Other Services"))</f>
        <v/>
      </c>
    </row>
    <row r="353" customFormat="false" ht="15" hidden="false" customHeight="false" outlineLevel="0" collapsed="false">
      <c r="J353" s="41" t="str">
        <f aca="false">IF(D353="","",IFERROR(IF(ISNUMBER(SEARCH(Assumptions!$C$5,D353)),Assumptions!$D$5,IF(ISNUMBER(SEARCH(Assumptions!$C$6,D353)),Assumptions!$D$6,IF(ISNUMBER(SEARCH(Assumptions!$C$7,D353)),Assumptions!$D$7,"Other Services"))),"Other Services"))</f>
        <v/>
      </c>
    </row>
    <row r="354" customFormat="false" ht="15" hidden="false" customHeight="false" outlineLevel="0" collapsed="false">
      <c r="J354" s="41" t="str">
        <f aca="false">IF(D354="","",IFERROR(IF(ISNUMBER(SEARCH(Assumptions!$C$5,D354)),Assumptions!$D$5,IF(ISNUMBER(SEARCH(Assumptions!$C$6,D354)),Assumptions!$D$6,IF(ISNUMBER(SEARCH(Assumptions!$C$7,D354)),Assumptions!$D$7,"Other Services"))),"Other Services"))</f>
        <v/>
      </c>
    </row>
    <row r="355" customFormat="false" ht="15" hidden="false" customHeight="false" outlineLevel="0" collapsed="false">
      <c r="J355" s="41" t="str">
        <f aca="false">IF(D355="","",IFERROR(IF(ISNUMBER(SEARCH(Assumptions!$C$5,D355)),Assumptions!$D$5,IF(ISNUMBER(SEARCH(Assumptions!$C$6,D355)),Assumptions!$D$6,IF(ISNUMBER(SEARCH(Assumptions!$C$7,D355)),Assumptions!$D$7,"Other Services"))),"Other Services"))</f>
        <v/>
      </c>
    </row>
    <row r="356" customFormat="false" ht="15" hidden="false" customHeight="false" outlineLevel="0" collapsed="false">
      <c r="J356" s="41" t="str">
        <f aca="false">IF(D356="","",IFERROR(IF(ISNUMBER(SEARCH(Assumptions!$C$5,D356)),Assumptions!$D$5,IF(ISNUMBER(SEARCH(Assumptions!$C$6,D356)),Assumptions!$D$6,IF(ISNUMBER(SEARCH(Assumptions!$C$7,D356)),Assumptions!$D$7,"Other Services"))),"Other Services"))</f>
        <v/>
      </c>
    </row>
    <row r="357" customFormat="false" ht="15" hidden="false" customHeight="false" outlineLevel="0" collapsed="false">
      <c r="J357" s="41" t="str">
        <f aca="false">IF(D357="","",IFERROR(IF(ISNUMBER(SEARCH(Assumptions!$C$5,D357)),Assumptions!$D$5,IF(ISNUMBER(SEARCH(Assumptions!$C$6,D357)),Assumptions!$D$6,IF(ISNUMBER(SEARCH(Assumptions!$C$7,D357)),Assumptions!$D$7,"Other Services"))),"Other Services"))</f>
        <v/>
      </c>
    </row>
    <row r="358" customFormat="false" ht="15" hidden="false" customHeight="false" outlineLevel="0" collapsed="false">
      <c r="J358" s="41" t="str">
        <f aca="false">IF(D358="","",IFERROR(IF(ISNUMBER(SEARCH(Assumptions!$C$5,D358)),Assumptions!$D$5,IF(ISNUMBER(SEARCH(Assumptions!$C$6,D358)),Assumptions!$D$6,IF(ISNUMBER(SEARCH(Assumptions!$C$7,D358)),Assumptions!$D$7,"Other Services"))),"Other Services"))</f>
        <v/>
      </c>
    </row>
    <row r="359" customFormat="false" ht="15" hidden="false" customHeight="false" outlineLevel="0" collapsed="false">
      <c r="J359" s="41" t="str">
        <f aca="false">IF(D359="","",IFERROR(IF(ISNUMBER(SEARCH(Assumptions!$C$5,D359)),Assumptions!$D$5,IF(ISNUMBER(SEARCH(Assumptions!$C$6,D359)),Assumptions!$D$6,IF(ISNUMBER(SEARCH(Assumptions!$C$7,D359)),Assumptions!$D$7,"Other Services"))),"Other Services"))</f>
        <v/>
      </c>
    </row>
    <row r="360" customFormat="false" ht="15" hidden="false" customHeight="false" outlineLevel="0" collapsed="false">
      <c r="J360" s="41" t="str">
        <f aca="false">IF(D360="","",IFERROR(IF(ISNUMBER(SEARCH(Assumptions!$C$5,D360)),Assumptions!$D$5,IF(ISNUMBER(SEARCH(Assumptions!$C$6,D360)),Assumptions!$D$6,IF(ISNUMBER(SEARCH(Assumptions!$C$7,D360)),Assumptions!$D$7,"Other Services"))),"Other Services"))</f>
        <v/>
      </c>
    </row>
    <row r="361" customFormat="false" ht="15" hidden="false" customHeight="false" outlineLevel="0" collapsed="false">
      <c r="J361" s="41" t="str">
        <f aca="false">IF(D361="","",IFERROR(IF(ISNUMBER(SEARCH(Assumptions!$C$5,D361)),Assumptions!$D$5,IF(ISNUMBER(SEARCH(Assumptions!$C$6,D361)),Assumptions!$D$6,IF(ISNUMBER(SEARCH(Assumptions!$C$7,D361)),Assumptions!$D$7,"Other Services"))),"Other Services"))</f>
        <v/>
      </c>
    </row>
    <row r="362" customFormat="false" ht="15" hidden="false" customHeight="false" outlineLevel="0" collapsed="false">
      <c r="J362" s="41" t="str">
        <f aca="false">IF(D362="","",IFERROR(IF(ISNUMBER(SEARCH(Assumptions!$C$5,D362)),Assumptions!$D$5,IF(ISNUMBER(SEARCH(Assumptions!$C$6,D362)),Assumptions!$D$6,IF(ISNUMBER(SEARCH(Assumptions!$C$7,D362)),Assumptions!$D$7,"Other Services"))),"Other Services"))</f>
        <v/>
      </c>
    </row>
    <row r="363" customFormat="false" ht="15" hidden="false" customHeight="false" outlineLevel="0" collapsed="false">
      <c r="J363" s="41" t="str">
        <f aca="false">IF(D363="","",IFERROR(IF(ISNUMBER(SEARCH(Assumptions!$C$5,D363)),Assumptions!$D$5,IF(ISNUMBER(SEARCH(Assumptions!$C$6,D363)),Assumptions!$D$6,IF(ISNUMBER(SEARCH(Assumptions!$C$7,D363)),Assumptions!$D$7,"Other Services"))),"Other Services"))</f>
        <v/>
      </c>
    </row>
    <row r="364" customFormat="false" ht="15" hidden="false" customHeight="false" outlineLevel="0" collapsed="false">
      <c r="J364" s="41" t="str">
        <f aca="false">IF(D364="","",IFERROR(IF(ISNUMBER(SEARCH(Assumptions!$C$5,D364)),Assumptions!$D$5,IF(ISNUMBER(SEARCH(Assumptions!$C$6,D364)),Assumptions!$D$6,IF(ISNUMBER(SEARCH(Assumptions!$C$7,D364)),Assumptions!$D$7,"Other Services"))),"Other Services"))</f>
        <v/>
      </c>
    </row>
    <row r="365" customFormat="false" ht="15" hidden="false" customHeight="false" outlineLevel="0" collapsed="false">
      <c r="J365" s="41" t="str">
        <f aca="false">IF(D365="","",IFERROR(IF(ISNUMBER(SEARCH(Assumptions!$C$5,D365)),Assumptions!$D$5,IF(ISNUMBER(SEARCH(Assumptions!$C$6,D365)),Assumptions!$D$6,IF(ISNUMBER(SEARCH(Assumptions!$C$7,D365)),Assumptions!$D$7,"Other Services"))),"Other Services"))</f>
        <v/>
      </c>
    </row>
    <row r="366" customFormat="false" ht="15" hidden="false" customHeight="false" outlineLevel="0" collapsed="false">
      <c r="J366" s="41" t="str">
        <f aca="false">IF(D366="","",IFERROR(IF(ISNUMBER(SEARCH(Assumptions!$C$5,D366)),Assumptions!$D$5,IF(ISNUMBER(SEARCH(Assumptions!$C$6,D366)),Assumptions!$D$6,IF(ISNUMBER(SEARCH(Assumptions!$C$7,D366)),Assumptions!$D$7,"Other Services"))),"Other Services"))</f>
        <v/>
      </c>
    </row>
    <row r="367" customFormat="false" ht="15" hidden="false" customHeight="false" outlineLevel="0" collapsed="false">
      <c r="J367" s="41" t="str">
        <f aca="false">IF(D367="","",IFERROR(IF(ISNUMBER(SEARCH(Assumptions!$C$5,D367)),Assumptions!$D$5,IF(ISNUMBER(SEARCH(Assumptions!$C$6,D367)),Assumptions!$D$6,IF(ISNUMBER(SEARCH(Assumptions!$C$7,D367)),Assumptions!$D$7,"Other Services"))),"Other Services"))</f>
        <v/>
      </c>
    </row>
    <row r="368" customFormat="false" ht="15" hidden="false" customHeight="false" outlineLevel="0" collapsed="false">
      <c r="J368" s="41" t="str">
        <f aca="false">IF(D368="","",IFERROR(IF(ISNUMBER(SEARCH(Assumptions!$C$5,D368)),Assumptions!$D$5,IF(ISNUMBER(SEARCH(Assumptions!$C$6,D368)),Assumptions!$D$6,IF(ISNUMBER(SEARCH(Assumptions!$C$7,D368)),Assumptions!$D$7,"Other Services"))),"Other Services"))</f>
        <v/>
      </c>
    </row>
    <row r="369" customFormat="false" ht="15" hidden="false" customHeight="false" outlineLevel="0" collapsed="false">
      <c r="J369" s="41" t="str">
        <f aca="false">IF(D369="","",IFERROR(IF(ISNUMBER(SEARCH(Assumptions!$C$5,D369)),Assumptions!$D$5,IF(ISNUMBER(SEARCH(Assumptions!$C$6,D369)),Assumptions!$D$6,IF(ISNUMBER(SEARCH(Assumptions!$C$7,D369)),Assumptions!$D$7,"Other Services"))),"Other Services"))</f>
        <v/>
      </c>
    </row>
    <row r="370" customFormat="false" ht="15" hidden="false" customHeight="false" outlineLevel="0" collapsed="false">
      <c r="J370" s="41" t="str">
        <f aca="false">IF(D370="","",IFERROR(IF(ISNUMBER(SEARCH(Assumptions!$C$5,D370)),Assumptions!$D$5,IF(ISNUMBER(SEARCH(Assumptions!$C$6,D370)),Assumptions!$D$6,IF(ISNUMBER(SEARCH(Assumptions!$C$7,D370)),Assumptions!$D$7,"Other Services"))),"Other Services"))</f>
        <v/>
      </c>
    </row>
    <row r="371" customFormat="false" ht="15" hidden="false" customHeight="false" outlineLevel="0" collapsed="false">
      <c r="J371" s="41" t="str">
        <f aca="false">IF(D371="","",IFERROR(IF(ISNUMBER(SEARCH(Assumptions!$C$5,D371)),Assumptions!$D$5,IF(ISNUMBER(SEARCH(Assumptions!$C$6,D371)),Assumptions!$D$6,IF(ISNUMBER(SEARCH(Assumptions!$C$7,D371)),Assumptions!$D$7,"Other Services"))),"Other Services"))</f>
        <v/>
      </c>
    </row>
    <row r="372" customFormat="false" ht="15" hidden="false" customHeight="false" outlineLevel="0" collapsed="false">
      <c r="J372" s="41" t="str">
        <f aca="false">IF(D372="","",IFERROR(IF(ISNUMBER(SEARCH(Assumptions!$C$5,D372)),Assumptions!$D$5,IF(ISNUMBER(SEARCH(Assumptions!$C$6,D372)),Assumptions!$D$6,IF(ISNUMBER(SEARCH(Assumptions!$C$7,D372)),Assumptions!$D$7,"Other Services"))),"Other Services"))</f>
        <v/>
      </c>
    </row>
    <row r="373" customFormat="false" ht="15" hidden="false" customHeight="false" outlineLevel="0" collapsed="false">
      <c r="J373" s="41" t="str">
        <f aca="false">IF(D373="","",IFERROR(IF(ISNUMBER(SEARCH(Assumptions!$C$5,D373)),Assumptions!$D$5,IF(ISNUMBER(SEARCH(Assumptions!$C$6,D373)),Assumptions!$D$6,IF(ISNUMBER(SEARCH(Assumptions!$C$7,D373)),Assumptions!$D$7,"Other Services"))),"Other Services"))</f>
        <v/>
      </c>
    </row>
    <row r="374" customFormat="false" ht="15" hidden="false" customHeight="false" outlineLevel="0" collapsed="false">
      <c r="J374" s="41" t="str">
        <f aca="false">IF(D374="","",IFERROR(IF(ISNUMBER(SEARCH(Assumptions!$C$5,D374)),Assumptions!$D$5,IF(ISNUMBER(SEARCH(Assumptions!$C$6,D374)),Assumptions!$D$6,IF(ISNUMBER(SEARCH(Assumptions!$C$7,D374)),Assumptions!$D$7,"Other Services"))),"Other Services"))</f>
        <v/>
      </c>
    </row>
    <row r="375" customFormat="false" ht="15" hidden="false" customHeight="false" outlineLevel="0" collapsed="false">
      <c r="J375" s="41" t="str">
        <f aca="false">IF(D375="","",IFERROR(IF(ISNUMBER(SEARCH(Assumptions!$C$5,D375)),Assumptions!$D$5,IF(ISNUMBER(SEARCH(Assumptions!$C$6,D375)),Assumptions!$D$6,IF(ISNUMBER(SEARCH(Assumptions!$C$7,D375)),Assumptions!$D$7,"Other Services"))),"Other Services"))</f>
        <v/>
      </c>
    </row>
    <row r="376" customFormat="false" ht="15" hidden="false" customHeight="false" outlineLevel="0" collapsed="false">
      <c r="J376" s="41" t="str">
        <f aca="false">IF(D376="","",IFERROR(IF(ISNUMBER(SEARCH(Assumptions!$C$5,D376)),Assumptions!$D$5,IF(ISNUMBER(SEARCH(Assumptions!$C$6,D376)),Assumptions!$D$6,IF(ISNUMBER(SEARCH(Assumptions!$C$7,D376)),Assumptions!$D$7,"Other Services"))),"Other Services"))</f>
        <v/>
      </c>
    </row>
    <row r="377" customFormat="false" ht="15" hidden="false" customHeight="false" outlineLevel="0" collapsed="false">
      <c r="J377" s="41" t="str">
        <f aca="false">IF(D377="","",IFERROR(IF(ISNUMBER(SEARCH(Assumptions!$C$5,D377)),Assumptions!$D$5,IF(ISNUMBER(SEARCH(Assumptions!$C$6,D377)),Assumptions!$D$6,IF(ISNUMBER(SEARCH(Assumptions!$C$7,D377)),Assumptions!$D$7,"Other Services"))),"Other Services"))</f>
        <v/>
      </c>
    </row>
    <row r="378" customFormat="false" ht="15" hidden="false" customHeight="false" outlineLevel="0" collapsed="false">
      <c r="J378" s="41" t="str">
        <f aca="false">IF(D378="","",IFERROR(IF(ISNUMBER(SEARCH(Assumptions!$C$5,D378)),Assumptions!$D$5,IF(ISNUMBER(SEARCH(Assumptions!$C$6,D378)),Assumptions!$D$6,IF(ISNUMBER(SEARCH(Assumptions!$C$7,D378)),Assumptions!$D$7,"Other Services"))),"Other Services"))</f>
        <v/>
      </c>
    </row>
    <row r="379" customFormat="false" ht="15" hidden="false" customHeight="false" outlineLevel="0" collapsed="false">
      <c r="J379" s="41" t="str">
        <f aca="false">IF(D379="","",IFERROR(IF(ISNUMBER(SEARCH(Assumptions!$C$5,D379)),Assumptions!$D$5,IF(ISNUMBER(SEARCH(Assumptions!$C$6,D379)),Assumptions!$D$6,IF(ISNUMBER(SEARCH(Assumptions!$C$7,D379)),Assumptions!$D$7,"Other Services"))),"Other Services"))</f>
        <v/>
      </c>
    </row>
    <row r="380" customFormat="false" ht="15" hidden="false" customHeight="false" outlineLevel="0" collapsed="false">
      <c r="J380" s="41" t="str">
        <f aca="false">IF(D380="","",IFERROR(IF(ISNUMBER(SEARCH(Assumptions!$C$5,D380)),Assumptions!$D$5,IF(ISNUMBER(SEARCH(Assumptions!$C$6,D380)),Assumptions!$D$6,IF(ISNUMBER(SEARCH(Assumptions!$C$7,D380)),Assumptions!$D$7,"Other Services"))),"Other Services"))</f>
        <v/>
      </c>
    </row>
    <row r="381" customFormat="false" ht="15" hidden="false" customHeight="false" outlineLevel="0" collapsed="false">
      <c r="J381" s="41" t="str">
        <f aca="false">IF(D381="","",IFERROR(IF(ISNUMBER(SEARCH(Assumptions!$C$5,D381)),Assumptions!$D$5,IF(ISNUMBER(SEARCH(Assumptions!$C$6,D381)),Assumptions!$D$6,IF(ISNUMBER(SEARCH(Assumptions!$C$7,D381)),Assumptions!$D$7,"Other Services"))),"Other Services"))</f>
        <v/>
      </c>
    </row>
    <row r="382" customFormat="false" ht="15" hidden="false" customHeight="false" outlineLevel="0" collapsed="false">
      <c r="J382" s="41" t="str">
        <f aca="false">IF(D382="","",IFERROR(IF(ISNUMBER(SEARCH(Assumptions!$C$5,D382)),Assumptions!$D$5,IF(ISNUMBER(SEARCH(Assumptions!$C$6,D382)),Assumptions!$D$6,IF(ISNUMBER(SEARCH(Assumptions!$C$7,D382)),Assumptions!$D$7,"Other Services"))),"Other Services"))</f>
        <v/>
      </c>
    </row>
    <row r="383" customFormat="false" ht="15" hidden="false" customHeight="false" outlineLevel="0" collapsed="false">
      <c r="J383" s="41" t="str">
        <f aca="false">IF(D383="","",IFERROR(IF(ISNUMBER(SEARCH(Assumptions!$C$5,D383)),Assumptions!$D$5,IF(ISNUMBER(SEARCH(Assumptions!$C$6,D383)),Assumptions!$D$6,IF(ISNUMBER(SEARCH(Assumptions!$C$7,D383)),Assumptions!$D$7,"Other Services"))),"Other Services"))</f>
        <v/>
      </c>
    </row>
    <row r="384" customFormat="false" ht="15" hidden="false" customHeight="false" outlineLevel="0" collapsed="false">
      <c r="J384" s="41" t="str">
        <f aca="false">IF(D384="","",IFERROR(IF(ISNUMBER(SEARCH(Assumptions!$C$5,D384)),Assumptions!$D$5,IF(ISNUMBER(SEARCH(Assumptions!$C$6,D384)),Assumptions!$D$6,IF(ISNUMBER(SEARCH(Assumptions!$C$7,D384)),Assumptions!$D$7,"Other Services"))),"Other Services"))</f>
        <v/>
      </c>
    </row>
    <row r="385" customFormat="false" ht="15" hidden="false" customHeight="false" outlineLevel="0" collapsed="false">
      <c r="J385" s="41" t="str">
        <f aca="false">IF(D385="","",IFERROR(IF(ISNUMBER(SEARCH(Assumptions!$C$5,D385)),Assumptions!$D$5,IF(ISNUMBER(SEARCH(Assumptions!$C$6,D385)),Assumptions!$D$6,IF(ISNUMBER(SEARCH(Assumptions!$C$7,D385)),Assumptions!$D$7,"Other Services"))),"Other Services"))</f>
        <v/>
      </c>
    </row>
    <row r="386" customFormat="false" ht="15" hidden="false" customHeight="false" outlineLevel="0" collapsed="false">
      <c r="J386" s="41" t="str">
        <f aca="false">IF(D386="","",IFERROR(IF(ISNUMBER(SEARCH(Assumptions!$C$5,D386)),Assumptions!$D$5,IF(ISNUMBER(SEARCH(Assumptions!$C$6,D386)),Assumptions!$D$6,IF(ISNUMBER(SEARCH(Assumptions!$C$7,D386)),Assumptions!$D$7,"Other Services"))),"Other Services"))</f>
        <v/>
      </c>
    </row>
    <row r="387" customFormat="false" ht="15" hidden="false" customHeight="false" outlineLevel="0" collapsed="false">
      <c r="J387" s="41" t="str">
        <f aca="false">IF(D387="","",IFERROR(IF(ISNUMBER(SEARCH(Assumptions!$C$5,D387)),Assumptions!$D$5,IF(ISNUMBER(SEARCH(Assumptions!$C$6,D387)),Assumptions!$D$6,IF(ISNUMBER(SEARCH(Assumptions!$C$7,D387)),Assumptions!$D$7,"Other Services"))),"Other Services"))</f>
        <v/>
      </c>
    </row>
    <row r="388" customFormat="false" ht="15" hidden="false" customHeight="false" outlineLevel="0" collapsed="false">
      <c r="J388" s="41" t="str">
        <f aca="false">IF(D388="","",IFERROR(IF(ISNUMBER(SEARCH(Assumptions!$C$5,D388)),Assumptions!$D$5,IF(ISNUMBER(SEARCH(Assumptions!$C$6,D388)),Assumptions!$D$6,IF(ISNUMBER(SEARCH(Assumptions!$C$7,D388)),Assumptions!$D$7,"Other Services"))),"Other Services"))</f>
        <v/>
      </c>
    </row>
    <row r="389" customFormat="false" ht="15" hidden="false" customHeight="false" outlineLevel="0" collapsed="false">
      <c r="J389" s="41" t="str">
        <f aca="false">IF(D389="","",IFERROR(IF(ISNUMBER(SEARCH(Assumptions!$C$5,D389)),Assumptions!$D$5,IF(ISNUMBER(SEARCH(Assumptions!$C$6,D389)),Assumptions!$D$6,IF(ISNUMBER(SEARCH(Assumptions!$C$7,D389)),Assumptions!$D$7,"Other Services"))),"Other Services"))</f>
        <v/>
      </c>
    </row>
    <row r="390" customFormat="false" ht="15" hidden="false" customHeight="false" outlineLevel="0" collapsed="false">
      <c r="J390" s="41" t="str">
        <f aca="false">IF(D390="","",IFERROR(IF(ISNUMBER(SEARCH(Assumptions!$C$5,D390)),Assumptions!$D$5,IF(ISNUMBER(SEARCH(Assumptions!$C$6,D390)),Assumptions!$D$6,IF(ISNUMBER(SEARCH(Assumptions!$C$7,D390)),Assumptions!$D$7,"Other Services"))),"Other Services"))</f>
        <v/>
      </c>
    </row>
    <row r="391" customFormat="false" ht="15" hidden="false" customHeight="false" outlineLevel="0" collapsed="false">
      <c r="J391" s="41" t="str">
        <f aca="false">IF(D391="","",IFERROR(IF(ISNUMBER(SEARCH(Assumptions!$C$5,D391)),Assumptions!$D$5,IF(ISNUMBER(SEARCH(Assumptions!$C$6,D391)),Assumptions!$D$6,IF(ISNUMBER(SEARCH(Assumptions!$C$7,D391)),Assumptions!$D$7,"Other Services"))),"Other Services"))</f>
        <v/>
      </c>
    </row>
    <row r="392" customFormat="false" ht="15" hidden="false" customHeight="false" outlineLevel="0" collapsed="false">
      <c r="J392" s="41" t="str">
        <f aca="false">IF(D392="","",IFERROR(IF(ISNUMBER(SEARCH(Assumptions!$C$5,D392)),Assumptions!$D$5,IF(ISNUMBER(SEARCH(Assumptions!$C$6,D392)),Assumptions!$D$6,IF(ISNUMBER(SEARCH(Assumptions!$C$7,D392)),Assumptions!$D$7,"Other Services"))),"Other Services"))</f>
        <v/>
      </c>
    </row>
    <row r="393" customFormat="false" ht="15" hidden="false" customHeight="false" outlineLevel="0" collapsed="false">
      <c r="J393" s="41" t="str">
        <f aca="false">IF(D393="","",IFERROR(IF(ISNUMBER(SEARCH(Assumptions!$C$5,D393)),Assumptions!$D$5,IF(ISNUMBER(SEARCH(Assumptions!$C$6,D393)),Assumptions!$D$6,IF(ISNUMBER(SEARCH(Assumptions!$C$7,D393)),Assumptions!$D$7,"Other Services"))),"Other Services"))</f>
        <v/>
      </c>
    </row>
    <row r="394" customFormat="false" ht="15" hidden="false" customHeight="false" outlineLevel="0" collapsed="false">
      <c r="J394" s="41" t="str">
        <f aca="false">IF(D394="","",IFERROR(IF(ISNUMBER(SEARCH(Assumptions!$C$5,D394)),Assumptions!$D$5,IF(ISNUMBER(SEARCH(Assumptions!$C$6,D394)),Assumptions!$D$6,IF(ISNUMBER(SEARCH(Assumptions!$C$7,D394)),Assumptions!$D$7,"Other Services"))),"Other Services"))</f>
        <v/>
      </c>
    </row>
    <row r="395" customFormat="false" ht="15" hidden="false" customHeight="false" outlineLevel="0" collapsed="false">
      <c r="J395" s="41" t="str">
        <f aca="false">IF(D395="","",IFERROR(IF(ISNUMBER(SEARCH(Assumptions!$C$5,D395)),Assumptions!$D$5,IF(ISNUMBER(SEARCH(Assumptions!$C$6,D395)),Assumptions!$D$6,IF(ISNUMBER(SEARCH(Assumptions!$C$7,D395)),Assumptions!$D$7,"Other Services"))),"Other Services"))</f>
        <v/>
      </c>
    </row>
    <row r="396" customFormat="false" ht="15" hidden="false" customHeight="false" outlineLevel="0" collapsed="false">
      <c r="J396" s="41" t="str">
        <f aca="false">IF(D396="","",IFERROR(IF(ISNUMBER(SEARCH(Assumptions!$C$5,D396)),Assumptions!$D$5,IF(ISNUMBER(SEARCH(Assumptions!$C$6,D396)),Assumptions!$D$6,IF(ISNUMBER(SEARCH(Assumptions!$C$7,D396)),Assumptions!$D$7,"Other Services"))),"Other Services"))</f>
        <v/>
      </c>
    </row>
    <row r="397" customFormat="false" ht="15" hidden="false" customHeight="false" outlineLevel="0" collapsed="false">
      <c r="J397" s="41" t="str">
        <f aca="false">IF(D397="","",IFERROR(IF(ISNUMBER(SEARCH(Assumptions!$C$5,D397)),Assumptions!$D$5,IF(ISNUMBER(SEARCH(Assumptions!$C$6,D397)),Assumptions!$D$6,IF(ISNUMBER(SEARCH(Assumptions!$C$7,D397)),Assumptions!$D$7,"Other Services"))),"Other Services"))</f>
        <v/>
      </c>
    </row>
    <row r="398" customFormat="false" ht="15" hidden="false" customHeight="false" outlineLevel="0" collapsed="false">
      <c r="J398" s="41" t="str">
        <f aca="false">IF(D398="","",IFERROR(IF(ISNUMBER(SEARCH(Assumptions!$C$5,D398)),Assumptions!$D$5,IF(ISNUMBER(SEARCH(Assumptions!$C$6,D398)),Assumptions!$D$6,IF(ISNUMBER(SEARCH(Assumptions!$C$7,D398)),Assumptions!$D$7,"Other Services"))),"Other Services"))</f>
        <v/>
      </c>
    </row>
    <row r="399" customFormat="false" ht="15" hidden="false" customHeight="false" outlineLevel="0" collapsed="false">
      <c r="J399" s="41" t="str">
        <f aca="false">IF(D399="","",IFERROR(IF(ISNUMBER(SEARCH(Assumptions!$C$5,D399)),Assumptions!$D$5,IF(ISNUMBER(SEARCH(Assumptions!$C$6,D399)),Assumptions!$D$6,IF(ISNUMBER(SEARCH(Assumptions!$C$7,D399)),Assumptions!$D$7,"Other Services"))),"Other Services"))</f>
        <v/>
      </c>
    </row>
    <row r="400" customFormat="false" ht="15" hidden="false" customHeight="false" outlineLevel="0" collapsed="false">
      <c r="J400" s="41" t="str">
        <f aca="false">IF(D400="","",IFERROR(IF(ISNUMBER(SEARCH(Assumptions!$C$5,D400)),Assumptions!$D$5,IF(ISNUMBER(SEARCH(Assumptions!$C$6,D400)),Assumptions!$D$6,IF(ISNUMBER(SEARCH(Assumptions!$C$7,D400)),Assumptions!$D$7,"Other Services"))),"Other Services"))</f>
        <v/>
      </c>
    </row>
    <row r="401" customFormat="false" ht="15" hidden="false" customHeight="false" outlineLevel="0" collapsed="false">
      <c r="J401" s="41" t="str">
        <f aca="false">IF(D401="","",IFERROR(IF(ISNUMBER(SEARCH(Assumptions!$C$5,D401)),Assumptions!$D$5,IF(ISNUMBER(SEARCH(Assumptions!$C$6,D401)),Assumptions!$D$6,IF(ISNUMBER(SEARCH(Assumptions!$C$7,D401)),Assumptions!$D$7,"Other Services"))),"Other Services"))</f>
        <v/>
      </c>
    </row>
    <row r="402" customFormat="false" ht="15" hidden="false" customHeight="false" outlineLevel="0" collapsed="false">
      <c r="J402" s="41" t="str">
        <f aca="false">IF(D402="","",IFERROR(IF(ISNUMBER(SEARCH(Assumptions!$C$5,D402)),Assumptions!$D$5,IF(ISNUMBER(SEARCH(Assumptions!$C$6,D402)),Assumptions!$D$6,IF(ISNUMBER(SEARCH(Assumptions!$C$7,D402)),Assumptions!$D$7,"Other Services"))),"Other Services"))</f>
        <v/>
      </c>
    </row>
    <row r="403" customFormat="false" ht="15" hidden="false" customHeight="false" outlineLevel="0" collapsed="false">
      <c r="J403" s="41" t="str">
        <f aca="false">IF(D403="","",IFERROR(IF(ISNUMBER(SEARCH(Assumptions!$C$5,D403)),Assumptions!$D$5,IF(ISNUMBER(SEARCH(Assumptions!$C$6,D403)),Assumptions!$D$6,IF(ISNUMBER(SEARCH(Assumptions!$C$7,D403)),Assumptions!$D$7,"Other Services"))),"Other Services"))</f>
        <v/>
      </c>
    </row>
    <row r="404" customFormat="false" ht="15" hidden="false" customHeight="false" outlineLevel="0" collapsed="false">
      <c r="J404" s="41" t="str">
        <f aca="false">IF(D404="","",IFERROR(IF(ISNUMBER(SEARCH(Assumptions!$C$5,D404)),Assumptions!$D$5,IF(ISNUMBER(SEARCH(Assumptions!$C$6,D404)),Assumptions!$D$6,IF(ISNUMBER(SEARCH(Assumptions!$C$7,D404)),Assumptions!$D$7,"Other Services"))),"Other Services"))</f>
        <v/>
      </c>
    </row>
    <row r="405" customFormat="false" ht="15" hidden="false" customHeight="false" outlineLevel="0" collapsed="false">
      <c r="J405" s="41" t="str">
        <f aca="false">IF(D405="","",IFERROR(IF(ISNUMBER(SEARCH(Assumptions!$C$5,D405)),Assumptions!$D$5,IF(ISNUMBER(SEARCH(Assumptions!$C$6,D405)),Assumptions!$D$6,IF(ISNUMBER(SEARCH(Assumptions!$C$7,D405)),Assumptions!$D$7,"Other Services"))),"Other Services"))</f>
        <v/>
      </c>
    </row>
    <row r="406" customFormat="false" ht="15" hidden="false" customHeight="false" outlineLevel="0" collapsed="false">
      <c r="J406" s="41" t="str">
        <f aca="false">IF(D406="","",IFERROR(IF(ISNUMBER(SEARCH(Assumptions!$C$5,D406)),Assumptions!$D$5,IF(ISNUMBER(SEARCH(Assumptions!$C$6,D406)),Assumptions!$D$6,IF(ISNUMBER(SEARCH(Assumptions!$C$7,D406)),Assumptions!$D$7,"Other Services"))),"Other Services"))</f>
        <v/>
      </c>
    </row>
    <row r="407" customFormat="false" ht="15" hidden="false" customHeight="false" outlineLevel="0" collapsed="false">
      <c r="J407" s="41" t="str">
        <f aca="false">IF(D407="","",IFERROR(IF(ISNUMBER(SEARCH(Assumptions!$C$5,D407)),Assumptions!$D$5,IF(ISNUMBER(SEARCH(Assumptions!$C$6,D407)),Assumptions!$D$6,IF(ISNUMBER(SEARCH(Assumptions!$C$7,D407)),Assumptions!$D$7,"Other Services"))),"Other Services"))</f>
        <v/>
      </c>
    </row>
    <row r="408" customFormat="false" ht="15" hidden="false" customHeight="false" outlineLevel="0" collapsed="false">
      <c r="J408" s="41" t="str">
        <f aca="false">IF(D408="","",IFERROR(IF(ISNUMBER(SEARCH(Assumptions!$C$5,D408)),Assumptions!$D$5,IF(ISNUMBER(SEARCH(Assumptions!$C$6,D408)),Assumptions!$D$6,IF(ISNUMBER(SEARCH(Assumptions!$C$7,D408)),Assumptions!$D$7,"Other Services"))),"Other Services"))</f>
        <v/>
      </c>
    </row>
    <row r="409" customFormat="false" ht="15" hidden="false" customHeight="false" outlineLevel="0" collapsed="false">
      <c r="J409" s="41" t="str">
        <f aca="false">IF(D409="","",IFERROR(IF(ISNUMBER(SEARCH(Assumptions!$C$5,D409)),Assumptions!$D$5,IF(ISNUMBER(SEARCH(Assumptions!$C$6,D409)),Assumptions!$D$6,IF(ISNUMBER(SEARCH(Assumptions!$C$7,D409)),Assumptions!$D$7,"Other Services"))),"Other Services"))</f>
        <v/>
      </c>
    </row>
    <row r="410" customFormat="false" ht="15" hidden="false" customHeight="false" outlineLevel="0" collapsed="false">
      <c r="J410" s="41" t="str">
        <f aca="false">IF(D410="","",IFERROR(IF(ISNUMBER(SEARCH(Assumptions!$C$5,D410)),Assumptions!$D$5,IF(ISNUMBER(SEARCH(Assumptions!$C$6,D410)),Assumptions!$D$6,IF(ISNUMBER(SEARCH(Assumptions!$C$7,D410)),Assumptions!$D$7,"Other Services"))),"Other Services"))</f>
        <v/>
      </c>
    </row>
    <row r="411" customFormat="false" ht="15" hidden="false" customHeight="false" outlineLevel="0" collapsed="false">
      <c r="J411" s="41" t="str">
        <f aca="false">IF(D411="","",IFERROR(IF(ISNUMBER(SEARCH(Assumptions!$C$5,D411)),Assumptions!$D$5,IF(ISNUMBER(SEARCH(Assumptions!$C$6,D411)),Assumptions!$D$6,IF(ISNUMBER(SEARCH(Assumptions!$C$7,D411)),Assumptions!$D$7,"Other Services"))),"Other Services"))</f>
        <v/>
      </c>
    </row>
    <row r="412" customFormat="false" ht="15" hidden="false" customHeight="false" outlineLevel="0" collapsed="false">
      <c r="J412" s="41" t="str">
        <f aca="false">IF(D412="","",IFERROR(IF(ISNUMBER(SEARCH(Assumptions!$C$5,D412)),Assumptions!$D$5,IF(ISNUMBER(SEARCH(Assumptions!$C$6,D412)),Assumptions!$D$6,IF(ISNUMBER(SEARCH(Assumptions!$C$7,D412)),Assumptions!$D$7,"Other Services"))),"Other Services"))</f>
        <v/>
      </c>
    </row>
    <row r="413" customFormat="false" ht="15" hidden="false" customHeight="false" outlineLevel="0" collapsed="false">
      <c r="J413" s="41" t="str">
        <f aca="false">IF(D413="","",IFERROR(IF(ISNUMBER(SEARCH(Assumptions!$C$5,D413)),Assumptions!$D$5,IF(ISNUMBER(SEARCH(Assumptions!$C$6,D413)),Assumptions!$D$6,IF(ISNUMBER(SEARCH(Assumptions!$C$7,D413)),Assumptions!$D$7,"Other Services"))),"Other Services"))</f>
        <v/>
      </c>
    </row>
    <row r="414" customFormat="false" ht="15" hidden="false" customHeight="false" outlineLevel="0" collapsed="false">
      <c r="J414" s="41" t="str">
        <f aca="false">IF(D414="","",IFERROR(IF(ISNUMBER(SEARCH(Assumptions!$C$5,D414)),Assumptions!$D$5,IF(ISNUMBER(SEARCH(Assumptions!$C$6,D414)),Assumptions!$D$6,IF(ISNUMBER(SEARCH(Assumptions!$C$7,D414)),Assumptions!$D$7,"Other Services"))),"Other Services"))</f>
        <v/>
      </c>
    </row>
    <row r="415" customFormat="false" ht="15" hidden="false" customHeight="false" outlineLevel="0" collapsed="false">
      <c r="J415" s="41" t="str">
        <f aca="false">IF(D415="","",IFERROR(IF(ISNUMBER(SEARCH(Assumptions!$C$5,D415)),Assumptions!$D$5,IF(ISNUMBER(SEARCH(Assumptions!$C$6,D415)),Assumptions!$D$6,IF(ISNUMBER(SEARCH(Assumptions!$C$7,D415)),Assumptions!$D$7,"Other Services"))),"Other Services"))</f>
        <v/>
      </c>
    </row>
    <row r="416" customFormat="false" ht="15" hidden="false" customHeight="false" outlineLevel="0" collapsed="false">
      <c r="J416" s="41" t="str">
        <f aca="false">IF(D416="","",IFERROR(IF(ISNUMBER(SEARCH(Assumptions!$C$5,D416)),Assumptions!$D$5,IF(ISNUMBER(SEARCH(Assumptions!$C$6,D416)),Assumptions!$D$6,IF(ISNUMBER(SEARCH(Assumptions!$C$7,D416)),Assumptions!$D$7,"Other Services"))),"Other Services"))</f>
        <v/>
      </c>
    </row>
    <row r="417" customFormat="false" ht="15" hidden="false" customHeight="false" outlineLevel="0" collapsed="false">
      <c r="J417" s="41" t="str">
        <f aca="false">IF(D417="","",IFERROR(IF(ISNUMBER(SEARCH(Assumptions!$C$5,D417)),Assumptions!$D$5,IF(ISNUMBER(SEARCH(Assumptions!$C$6,D417)),Assumptions!$D$6,IF(ISNUMBER(SEARCH(Assumptions!$C$7,D417)),Assumptions!$D$7,"Other Services"))),"Other Services"))</f>
        <v/>
      </c>
    </row>
    <row r="418" customFormat="false" ht="15" hidden="false" customHeight="false" outlineLevel="0" collapsed="false">
      <c r="J418" s="41" t="str">
        <f aca="false">IF(D418="","",IFERROR(IF(ISNUMBER(SEARCH(Assumptions!$C$5,D418)),Assumptions!$D$5,IF(ISNUMBER(SEARCH(Assumptions!$C$6,D418)),Assumptions!$D$6,IF(ISNUMBER(SEARCH(Assumptions!$C$7,D418)),Assumptions!$D$7,"Other Services"))),"Other Services"))</f>
        <v/>
      </c>
    </row>
    <row r="419" customFormat="false" ht="15" hidden="false" customHeight="false" outlineLevel="0" collapsed="false">
      <c r="J419" s="41" t="str">
        <f aca="false">IF(D419="","",IFERROR(IF(ISNUMBER(SEARCH(Assumptions!$C$5,D419)),Assumptions!$D$5,IF(ISNUMBER(SEARCH(Assumptions!$C$6,D419)),Assumptions!$D$6,IF(ISNUMBER(SEARCH(Assumptions!$C$7,D419)),Assumptions!$D$7,"Other Services"))),"Other Services"))</f>
        <v/>
      </c>
    </row>
    <row r="420" customFormat="false" ht="15" hidden="false" customHeight="false" outlineLevel="0" collapsed="false">
      <c r="J420" s="41" t="str">
        <f aca="false">IF(D420="","",IFERROR(IF(ISNUMBER(SEARCH(Assumptions!$C$5,D420)),Assumptions!$D$5,IF(ISNUMBER(SEARCH(Assumptions!$C$6,D420)),Assumptions!$D$6,IF(ISNUMBER(SEARCH(Assumptions!$C$7,D420)),Assumptions!$D$7,"Other Services"))),"Other Services"))</f>
        <v/>
      </c>
    </row>
    <row r="421" customFormat="false" ht="15" hidden="false" customHeight="false" outlineLevel="0" collapsed="false">
      <c r="J421" s="41" t="str">
        <f aca="false">IF(D421="","",IFERROR(IF(ISNUMBER(SEARCH(Assumptions!$C$5,D421)),Assumptions!$D$5,IF(ISNUMBER(SEARCH(Assumptions!$C$6,D421)),Assumptions!$D$6,IF(ISNUMBER(SEARCH(Assumptions!$C$7,D421)),Assumptions!$D$7,"Other Services"))),"Other Services"))</f>
        <v/>
      </c>
    </row>
    <row r="422" customFormat="false" ht="15" hidden="false" customHeight="false" outlineLevel="0" collapsed="false">
      <c r="J422" s="41" t="str">
        <f aca="false">IF(D422="","",IFERROR(IF(ISNUMBER(SEARCH(Assumptions!$C$5,D422)),Assumptions!$D$5,IF(ISNUMBER(SEARCH(Assumptions!$C$6,D422)),Assumptions!$D$6,IF(ISNUMBER(SEARCH(Assumptions!$C$7,D422)),Assumptions!$D$7,"Other Services"))),"Other Services"))</f>
        <v/>
      </c>
    </row>
    <row r="423" customFormat="false" ht="15" hidden="false" customHeight="false" outlineLevel="0" collapsed="false">
      <c r="J423" s="41" t="str">
        <f aca="false">IF(D423="","",IFERROR(IF(ISNUMBER(SEARCH(Assumptions!$C$5,D423)),Assumptions!$D$5,IF(ISNUMBER(SEARCH(Assumptions!$C$6,D423)),Assumptions!$D$6,IF(ISNUMBER(SEARCH(Assumptions!$C$7,D423)),Assumptions!$D$7,"Other Services"))),"Other Services"))</f>
        <v/>
      </c>
    </row>
    <row r="424" customFormat="false" ht="15" hidden="false" customHeight="false" outlineLevel="0" collapsed="false">
      <c r="J424" s="41" t="str">
        <f aca="false">IF(D424="","",IFERROR(IF(ISNUMBER(SEARCH(Assumptions!$C$5,D424)),Assumptions!$D$5,IF(ISNUMBER(SEARCH(Assumptions!$C$6,D424)),Assumptions!$D$6,IF(ISNUMBER(SEARCH(Assumptions!$C$7,D424)),Assumptions!$D$7,"Other Services"))),"Other Services"))</f>
        <v/>
      </c>
    </row>
    <row r="425" customFormat="false" ht="15" hidden="false" customHeight="false" outlineLevel="0" collapsed="false">
      <c r="J425" s="41" t="str">
        <f aca="false">IF(D425="","",IFERROR(IF(ISNUMBER(SEARCH(Assumptions!$C$5,D425)),Assumptions!$D$5,IF(ISNUMBER(SEARCH(Assumptions!$C$6,D425)),Assumptions!$D$6,IF(ISNUMBER(SEARCH(Assumptions!$C$7,D425)),Assumptions!$D$7,"Other Services"))),"Other Services"))</f>
        <v/>
      </c>
    </row>
    <row r="426" customFormat="false" ht="15" hidden="false" customHeight="false" outlineLevel="0" collapsed="false">
      <c r="J426" s="41" t="str">
        <f aca="false">IF(D426="","",IFERROR(IF(ISNUMBER(SEARCH(Assumptions!$C$5,D426)),Assumptions!$D$5,IF(ISNUMBER(SEARCH(Assumptions!$C$6,D426)),Assumptions!$D$6,IF(ISNUMBER(SEARCH(Assumptions!$C$7,D426)),Assumptions!$D$7,"Other Services"))),"Other Services"))</f>
        <v/>
      </c>
    </row>
    <row r="427" customFormat="false" ht="15" hidden="false" customHeight="false" outlineLevel="0" collapsed="false">
      <c r="J427" s="41" t="str">
        <f aca="false">IF(D427="","",IFERROR(IF(ISNUMBER(SEARCH(Assumptions!$C$5,D427)),Assumptions!$D$5,IF(ISNUMBER(SEARCH(Assumptions!$C$6,D427)),Assumptions!$D$6,IF(ISNUMBER(SEARCH(Assumptions!$C$7,D427)),Assumptions!$D$7,"Other Services"))),"Other Services"))</f>
        <v/>
      </c>
    </row>
    <row r="428" customFormat="false" ht="15" hidden="false" customHeight="false" outlineLevel="0" collapsed="false">
      <c r="J428" s="41" t="str">
        <f aca="false">IF(D428="","",IFERROR(IF(ISNUMBER(SEARCH(Assumptions!$C$5,D428)),Assumptions!$D$5,IF(ISNUMBER(SEARCH(Assumptions!$C$6,D428)),Assumptions!$D$6,IF(ISNUMBER(SEARCH(Assumptions!$C$7,D428)),Assumptions!$D$7,"Other Services"))),"Other Services"))</f>
        <v/>
      </c>
    </row>
    <row r="429" customFormat="false" ht="15" hidden="false" customHeight="false" outlineLevel="0" collapsed="false">
      <c r="J429" s="41" t="str">
        <f aca="false">IF(D429="","",IFERROR(IF(ISNUMBER(SEARCH(Assumptions!$C$5,D429)),Assumptions!$D$5,IF(ISNUMBER(SEARCH(Assumptions!$C$6,D429)),Assumptions!$D$6,IF(ISNUMBER(SEARCH(Assumptions!$C$7,D429)),Assumptions!$D$7,"Other Services"))),"Other Services"))</f>
        <v/>
      </c>
    </row>
    <row r="430" customFormat="false" ht="15" hidden="false" customHeight="false" outlineLevel="0" collapsed="false">
      <c r="J430" s="41" t="str">
        <f aca="false">IF(D430="","",IFERROR(IF(ISNUMBER(SEARCH(Assumptions!$C$5,D430)),Assumptions!$D$5,IF(ISNUMBER(SEARCH(Assumptions!$C$6,D430)),Assumptions!$D$6,IF(ISNUMBER(SEARCH(Assumptions!$C$7,D430)),Assumptions!$D$7,"Other Services"))),"Other Services"))</f>
        <v/>
      </c>
    </row>
    <row r="431" customFormat="false" ht="15" hidden="false" customHeight="false" outlineLevel="0" collapsed="false">
      <c r="J431" s="41" t="str">
        <f aca="false">IF(D431="","",IFERROR(IF(ISNUMBER(SEARCH(Assumptions!$C$5,D431)),Assumptions!$D$5,IF(ISNUMBER(SEARCH(Assumptions!$C$6,D431)),Assumptions!$D$6,IF(ISNUMBER(SEARCH(Assumptions!$C$7,D431)),Assumptions!$D$7,"Other Services"))),"Other Services"))</f>
        <v/>
      </c>
    </row>
    <row r="432" customFormat="false" ht="15" hidden="false" customHeight="false" outlineLevel="0" collapsed="false">
      <c r="J432" s="41" t="str">
        <f aca="false">IF(D432="","",IFERROR(IF(ISNUMBER(SEARCH(Assumptions!$C$5,D432)),Assumptions!$D$5,IF(ISNUMBER(SEARCH(Assumptions!$C$6,D432)),Assumptions!$D$6,IF(ISNUMBER(SEARCH(Assumptions!$C$7,D432)),Assumptions!$D$7,"Other Services"))),"Other Services"))</f>
        <v/>
      </c>
    </row>
    <row r="433" customFormat="false" ht="15" hidden="false" customHeight="false" outlineLevel="0" collapsed="false">
      <c r="J433" s="41" t="str">
        <f aca="false">IF(D433="","",IFERROR(IF(ISNUMBER(SEARCH(Assumptions!$C$5,D433)),Assumptions!$D$5,IF(ISNUMBER(SEARCH(Assumptions!$C$6,D433)),Assumptions!$D$6,IF(ISNUMBER(SEARCH(Assumptions!$C$7,D433)),Assumptions!$D$7,"Other Services"))),"Other Services"))</f>
        <v/>
      </c>
    </row>
    <row r="434" customFormat="false" ht="15" hidden="false" customHeight="false" outlineLevel="0" collapsed="false">
      <c r="J434" s="41" t="str">
        <f aca="false">IF(D434="","",IFERROR(IF(ISNUMBER(SEARCH(Assumptions!$C$5,D434)),Assumptions!$D$5,IF(ISNUMBER(SEARCH(Assumptions!$C$6,D434)),Assumptions!$D$6,IF(ISNUMBER(SEARCH(Assumptions!$C$7,D434)),Assumptions!$D$7,"Other Services"))),"Other Services"))</f>
        <v/>
      </c>
    </row>
    <row r="435" customFormat="false" ht="15" hidden="false" customHeight="false" outlineLevel="0" collapsed="false">
      <c r="J435" s="41" t="str">
        <f aca="false">IF(D435="","",IFERROR(IF(ISNUMBER(SEARCH(Assumptions!$C$5,D435)),Assumptions!$D$5,IF(ISNUMBER(SEARCH(Assumptions!$C$6,D435)),Assumptions!$D$6,IF(ISNUMBER(SEARCH(Assumptions!$C$7,D435)),Assumptions!$D$7,"Other Services"))),"Other Services"))</f>
        <v/>
      </c>
    </row>
    <row r="436" customFormat="false" ht="15" hidden="false" customHeight="false" outlineLevel="0" collapsed="false">
      <c r="J436" s="41" t="str">
        <f aca="false">IF(D436="","",IFERROR(IF(ISNUMBER(SEARCH(Assumptions!$C$5,D436)),Assumptions!$D$5,IF(ISNUMBER(SEARCH(Assumptions!$C$6,D436)),Assumptions!$D$6,IF(ISNUMBER(SEARCH(Assumptions!$C$7,D436)),Assumptions!$D$7,"Other Services"))),"Other Services"))</f>
        <v/>
      </c>
    </row>
    <row r="437" customFormat="false" ht="15" hidden="false" customHeight="false" outlineLevel="0" collapsed="false">
      <c r="J437" s="41" t="str">
        <f aca="false">IF(D437="","",IFERROR(IF(ISNUMBER(SEARCH(Assumptions!$C$5,D437)),Assumptions!$D$5,IF(ISNUMBER(SEARCH(Assumptions!$C$6,D437)),Assumptions!$D$6,IF(ISNUMBER(SEARCH(Assumptions!$C$7,D437)),Assumptions!$D$7,"Other Services"))),"Other Services"))</f>
        <v/>
      </c>
    </row>
    <row r="438" customFormat="false" ht="15" hidden="false" customHeight="false" outlineLevel="0" collapsed="false">
      <c r="J438" s="41" t="str">
        <f aca="false">IF(D438="","",IFERROR(IF(ISNUMBER(SEARCH(Assumptions!$C$5,D438)),Assumptions!$D$5,IF(ISNUMBER(SEARCH(Assumptions!$C$6,D438)),Assumptions!$D$6,IF(ISNUMBER(SEARCH(Assumptions!$C$7,D438)),Assumptions!$D$7,"Other Services"))),"Other Services"))</f>
        <v/>
      </c>
    </row>
    <row r="439" customFormat="false" ht="15" hidden="false" customHeight="false" outlineLevel="0" collapsed="false">
      <c r="J439" s="41" t="str">
        <f aca="false">IF(D439="","",IFERROR(IF(ISNUMBER(SEARCH(Assumptions!$C$5,D439)),Assumptions!$D$5,IF(ISNUMBER(SEARCH(Assumptions!$C$6,D439)),Assumptions!$D$6,IF(ISNUMBER(SEARCH(Assumptions!$C$7,D439)),Assumptions!$D$7,"Other Services"))),"Other Services"))</f>
        <v/>
      </c>
    </row>
    <row r="440" customFormat="false" ht="15" hidden="false" customHeight="false" outlineLevel="0" collapsed="false">
      <c r="J440" s="41" t="str">
        <f aca="false">IF(D440="","",IFERROR(IF(ISNUMBER(SEARCH(Assumptions!$C$5,D440)),Assumptions!$D$5,IF(ISNUMBER(SEARCH(Assumptions!$C$6,D440)),Assumptions!$D$6,IF(ISNUMBER(SEARCH(Assumptions!$C$7,D440)),Assumptions!$D$7,"Other Services"))),"Other Services"))</f>
        <v/>
      </c>
    </row>
    <row r="441" customFormat="false" ht="15" hidden="false" customHeight="false" outlineLevel="0" collapsed="false">
      <c r="J441" s="41" t="str">
        <f aca="false">IF(D441="","",IFERROR(IF(ISNUMBER(SEARCH(Assumptions!$C$5,D441)),Assumptions!$D$5,IF(ISNUMBER(SEARCH(Assumptions!$C$6,D441)),Assumptions!$D$6,IF(ISNUMBER(SEARCH(Assumptions!$C$7,D441)),Assumptions!$D$7,"Other Services"))),"Other Services"))</f>
        <v/>
      </c>
    </row>
    <row r="442" customFormat="false" ht="15" hidden="false" customHeight="false" outlineLevel="0" collapsed="false">
      <c r="J442" s="41" t="str">
        <f aca="false">IF(D442="","",IFERROR(IF(ISNUMBER(SEARCH(Assumptions!$C$5,D442)),Assumptions!$D$5,IF(ISNUMBER(SEARCH(Assumptions!$C$6,D442)),Assumptions!$D$6,IF(ISNUMBER(SEARCH(Assumptions!$C$7,D442)),Assumptions!$D$7,"Other Services"))),"Other Services"))</f>
        <v/>
      </c>
    </row>
    <row r="443" customFormat="false" ht="15" hidden="false" customHeight="false" outlineLevel="0" collapsed="false">
      <c r="J443" s="41" t="str">
        <f aca="false">IF(D443="","",IFERROR(IF(ISNUMBER(SEARCH(Assumptions!$C$5,D443)),Assumptions!$D$5,IF(ISNUMBER(SEARCH(Assumptions!$C$6,D443)),Assumptions!$D$6,IF(ISNUMBER(SEARCH(Assumptions!$C$7,D443)),Assumptions!$D$7,"Other Services"))),"Other Services"))</f>
        <v/>
      </c>
    </row>
    <row r="444" customFormat="false" ht="15" hidden="false" customHeight="false" outlineLevel="0" collapsed="false">
      <c r="J444" s="41" t="str">
        <f aca="false">IF(D444="","",IFERROR(IF(ISNUMBER(SEARCH(Assumptions!$C$5,D444)),Assumptions!$D$5,IF(ISNUMBER(SEARCH(Assumptions!$C$6,D444)),Assumptions!$D$6,IF(ISNUMBER(SEARCH(Assumptions!$C$7,D444)),Assumptions!$D$7,"Other Services"))),"Other Services"))</f>
        <v/>
      </c>
    </row>
    <row r="445" customFormat="false" ht="15" hidden="false" customHeight="false" outlineLevel="0" collapsed="false">
      <c r="J445" s="41" t="str">
        <f aca="false">IF(D445="","",IFERROR(IF(ISNUMBER(SEARCH(Assumptions!$C$5,D445)),Assumptions!$D$5,IF(ISNUMBER(SEARCH(Assumptions!$C$6,D445)),Assumptions!$D$6,IF(ISNUMBER(SEARCH(Assumptions!$C$7,D445)),Assumptions!$D$7,"Other Services"))),"Other Services"))</f>
        <v/>
      </c>
    </row>
    <row r="446" customFormat="false" ht="15" hidden="false" customHeight="false" outlineLevel="0" collapsed="false">
      <c r="J446" s="41" t="str">
        <f aca="false">IF(D446="","",IFERROR(IF(ISNUMBER(SEARCH(Assumptions!$C$5,D446)),Assumptions!$D$5,IF(ISNUMBER(SEARCH(Assumptions!$C$6,D446)),Assumptions!$D$6,IF(ISNUMBER(SEARCH(Assumptions!$C$7,D446)),Assumptions!$D$7,"Other Services"))),"Other Services"))</f>
        <v/>
      </c>
    </row>
    <row r="447" customFormat="false" ht="15" hidden="false" customHeight="false" outlineLevel="0" collapsed="false">
      <c r="J447" s="41" t="str">
        <f aca="false">IF(D447="","",IFERROR(IF(ISNUMBER(SEARCH(Assumptions!$C$5,D447)),Assumptions!$D$5,IF(ISNUMBER(SEARCH(Assumptions!$C$6,D447)),Assumptions!$D$6,IF(ISNUMBER(SEARCH(Assumptions!$C$7,D447)),Assumptions!$D$7,"Other Services"))),"Other Services"))</f>
        <v/>
      </c>
    </row>
    <row r="448" customFormat="false" ht="15" hidden="false" customHeight="false" outlineLevel="0" collapsed="false">
      <c r="J448" s="41" t="str">
        <f aca="false">IF(D448="","",IFERROR(IF(ISNUMBER(SEARCH(Assumptions!$C$5,D448)),Assumptions!$D$5,IF(ISNUMBER(SEARCH(Assumptions!$C$6,D448)),Assumptions!$D$6,IF(ISNUMBER(SEARCH(Assumptions!$C$7,D448)),Assumptions!$D$7,"Other Services"))),"Other Services"))</f>
        <v/>
      </c>
    </row>
    <row r="449" customFormat="false" ht="15" hidden="false" customHeight="false" outlineLevel="0" collapsed="false">
      <c r="J449" s="41" t="str">
        <f aca="false">IF(D449="","",IFERROR(IF(ISNUMBER(SEARCH(Assumptions!$C$5,D449)),Assumptions!$D$5,IF(ISNUMBER(SEARCH(Assumptions!$C$6,D449)),Assumptions!$D$6,IF(ISNUMBER(SEARCH(Assumptions!$C$7,D449)),Assumptions!$D$7,"Other Services"))),"Other Services"))</f>
        <v/>
      </c>
    </row>
    <row r="450" customFormat="false" ht="15" hidden="false" customHeight="false" outlineLevel="0" collapsed="false">
      <c r="J450" s="41" t="str">
        <f aca="false">IF(D450="","",IFERROR(IF(ISNUMBER(SEARCH(Assumptions!$C$5,D450)),Assumptions!$D$5,IF(ISNUMBER(SEARCH(Assumptions!$C$6,D450)),Assumptions!$D$6,IF(ISNUMBER(SEARCH(Assumptions!$C$7,D450)),Assumptions!$D$7,"Other Services"))),"Other Services"))</f>
        <v/>
      </c>
    </row>
    <row r="451" customFormat="false" ht="15" hidden="false" customHeight="false" outlineLevel="0" collapsed="false">
      <c r="J451" s="41" t="str">
        <f aca="false">IF(D451="","",IFERROR(IF(ISNUMBER(SEARCH(Assumptions!$C$5,D451)),Assumptions!$D$5,IF(ISNUMBER(SEARCH(Assumptions!$C$6,D451)),Assumptions!$D$6,IF(ISNUMBER(SEARCH(Assumptions!$C$7,D451)),Assumptions!$D$7,"Other Services"))),"Other Services"))</f>
        <v/>
      </c>
    </row>
    <row r="452" customFormat="false" ht="15" hidden="false" customHeight="false" outlineLevel="0" collapsed="false">
      <c r="J452" s="41" t="str">
        <f aca="false">IF(D452="","",IFERROR(IF(ISNUMBER(SEARCH(Assumptions!$C$5,D452)),Assumptions!$D$5,IF(ISNUMBER(SEARCH(Assumptions!$C$6,D452)),Assumptions!$D$6,IF(ISNUMBER(SEARCH(Assumptions!$C$7,D452)),Assumptions!$D$7,"Other Services"))),"Other Services"))</f>
        <v/>
      </c>
    </row>
    <row r="453" customFormat="false" ht="15" hidden="false" customHeight="false" outlineLevel="0" collapsed="false">
      <c r="J453" s="41" t="str">
        <f aca="false">IF(D453="","",IFERROR(IF(ISNUMBER(SEARCH(Assumptions!$C$5,D453)),Assumptions!$D$5,IF(ISNUMBER(SEARCH(Assumptions!$C$6,D453)),Assumptions!$D$6,IF(ISNUMBER(SEARCH(Assumptions!$C$7,D453)),Assumptions!$D$7,"Other Services"))),"Other Services"))</f>
        <v/>
      </c>
    </row>
    <row r="454" customFormat="false" ht="15" hidden="false" customHeight="false" outlineLevel="0" collapsed="false">
      <c r="J454" s="41" t="str">
        <f aca="false">IF(D454="","",IFERROR(IF(ISNUMBER(SEARCH(Assumptions!$C$5,D454)),Assumptions!$D$5,IF(ISNUMBER(SEARCH(Assumptions!$C$6,D454)),Assumptions!$D$6,IF(ISNUMBER(SEARCH(Assumptions!$C$7,D454)),Assumptions!$D$7,"Other Services"))),"Other Services"))</f>
        <v/>
      </c>
    </row>
    <row r="455" customFormat="false" ht="15" hidden="false" customHeight="false" outlineLevel="0" collapsed="false">
      <c r="J455" s="41" t="str">
        <f aca="false">IF(D455="","",IFERROR(IF(ISNUMBER(SEARCH(Assumptions!$C$5,D455)),Assumptions!$D$5,IF(ISNUMBER(SEARCH(Assumptions!$C$6,D455)),Assumptions!$D$6,IF(ISNUMBER(SEARCH(Assumptions!$C$7,D455)),Assumptions!$D$7,"Other Services"))),"Other Services"))</f>
        <v/>
      </c>
    </row>
    <row r="456" customFormat="false" ht="15" hidden="false" customHeight="false" outlineLevel="0" collapsed="false">
      <c r="J456" s="41" t="str">
        <f aca="false">IF(D456="","",IFERROR(IF(ISNUMBER(SEARCH(Assumptions!$C$5,D456)),Assumptions!$D$5,IF(ISNUMBER(SEARCH(Assumptions!$C$6,D456)),Assumptions!$D$6,IF(ISNUMBER(SEARCH(Assumptions!$C$7,D456)),Assumptions!$D$7,"Other Services"))),"Other Services"))</f>
        <v/>
      </c>
    </row>
    <row r="457" customFormat="false" ht="15" hidden="false" customHeight="false" outlineLevel="0" collapsed="false">
      <c r="J457" s="41" t="str">
        <f aca="false">IF(D457="","",IFERROR(IF(ISNUMBER(SEARCH(Assumptions!$C$5,D457)),Assumptions!$D$5,IF(ISNUMBER(SEARCH(Assumptions!$C$6,D457)),Assumptions!$D$6,IF(ISNUMBER(SEARCH(Assumptions!$C$7,D457)),Assumptions!$D$7,"Other Services"))),"Other Services"))</f>
        <v/>
      </c>
    </row>
    <row r="458" customFormat="false" ht="15" hidden="false" customHeight="false" outlineLevel="0" collapsed="false">
      <c r="J458" s="41" t="str">
        <f aca="false">IF(D458="","",IFERROR(IF(ISNUMBER(SEARCH(Assumptions!$C$5,D458)),Assumptions!$D$5,IF(ISNUMBER(SEARCH(Assumptions!$C$6,D458)),Assumptions!$D$6,IF(ISNUMBER(SEARCH(Assumptions!$C$7,D458)),Assumptions!$D$7,"Other Services"))),"Other Services"))</f>
        <v/>
      </c>
    </row>
    <row r="459" customFormat="false" ht="15" hidden="false" customHeight="false" outlineLevel="0" collapsed="false">
      <c r="J459" s="41" t="str">
        <f aca="false">IF(D459="","",IFERROR(IF(ISNUMBER(SEARCH(Assumptions!$C$5,D459)),Assumptions!$D$5,IF(ISNUMBER(SEARCH(Assumptions!$C$6,D459)),Assumptions!$D$6,IF(ISNUMBER(SEARCH(Assumptions!$C$7,D459)),Assumptions!$D$7,"Other Services"))),"Other Services"))</f>
        <v/>
      </c>
    </row>
    <row r="460" customFormat="false" ht="15" hidden="false" customHeight="false" outlineLevel="0" collapsed="false">
      <c r="J460" s="41" t="str">
        <f aca="false">IF(D460="","",IFERROR(IF(ISNUMBER(SEARCH(Assumptions!$C$5,D460)),Assumptions!$D$5,IF(ISNUMBER(SEARCH(Assumptions!$C$6,D460)),Assumptions!$D$6,IF(ISNUMBER(SEARCH(Assumptions!$C$7,D460)),Assumptions!$D$7,"Other Services"))),"Other Services"))</f>
        <v/>
      </c>
    </row>
    <row r="461" customFormat="false" ht="15" hidden="false" customHeight="false" outlineLevel="0" collapsed="false">
      <c r="J461" s="41" t="str">
        <f aca="false">IF(D461="","",IFERROR(IF(ISNUMBER(SEARCH(Assumptions!$C$5,D461)),Assumptions!$D$5,IF(ISNUMBER(SEARCH(Assumptions!$C$6,D461)),Assumptions!$D$6,IF(ISNUMBER(SEARCH(Assumptions!$C$7,D461)),Assumptions!$D$7,"Other Services"))),"Other Services"))</f>
        <v/>
      </c>
    </row>
    <row r="462" customFormat="false" ht="15" hidden="false" customHeight="false" outlineLevel="0" collapsed="false">
      <c r="J462" s="41" t="str">
        <f aca="false">IF(D462="","",IFERROR(IF(ISNUMBER(SEARCH(Assumptions!$C$5,D462)),Assumptions!$D$5,IF(ISNUMBER(SEARCH(Assumptions!$C$6,D462)),Assumptions!$D$6,IF(ISNUMBER(SEARCH(Assumptions!$C$7,D462)),Assumptions!$D$7,"Other Services"))),"Other Services"))</f>
        <v/>
      </c>
    </row>
    <row r="463" customFormat="false" ht="15" hidden="false" customHeight="false" outlineLevel="0" collapsed="false">
      <c r="J463" s="41" t="str">
        <f aca="false">IF(D463="","",IFERROR(IF(ISNUMBER(SEARCH(Assumptions!$C$5,D463)),Assumptions!$D$5,IF(ISNUMBER(SEARCH(Assumptions!$C$6,D463)),Assumptions!$D$6,IF(ISNUMBER(SEARCH(Assumptions!$C$7,D463)),Assumptions!$D$7,"Other Services"))),"Other Services"))</f>
        <v/>
      </c>
    </row>
    <row r="464" customFormat="false" ht="15" hidden="false" customHeight="false" outlineLevel="0" collapsed="false">
      <c r="J464" s="41" t="str">
        <f aca="false">IF(D464="","",IFERROR(IF(ISNUMBER(SEARCH(Assumptions!$C$5,D464)),Assumptions!$D$5,IF(ISNUMBER(SEARCH(Assumptions!$C$6,D464)),Assumptions!$D$6,IF(ISNUMBER(SEARCH(Assumptions!$C$7,D464)),Assumptions!$D$7,"Other Services"))),"Other Services"))</f>
        <v/>
      </c>
    </row>
    <row r="465" customFormat="false" ht="15" hidden="false" customHeight="false" outlineLevel="0" collapsed="false">
      <c r="J465" s="41" t="str">
        <f aca="false">IF(D465="","",IFERROR(IF(ISNUMBER(SEARCH(Assumptions!$C$5,D465)),Assumptions!$D$5,IF(ISNUMBER(SEARCH(Assumptions!$C$6,D465)),Assumptions!$D$6,IF(ISNUMBER(SEARCH(Assumptions!$C$7,D465)),Assumptions!$D$7,"Other Services"))),"Other Services"))</f>
        <v/>
      </c>
    </row>
    <row r="466" customFormat="false" ht="15" hidden="false" customHeight="false" outlineLevel="0" collapsed="false">
      <c r="J466" s="41" t="str">
        <f aca="false">IF(D466="","",IFERROR(IF(ISNUMBER(SEARCH(Assumptions!$C$5,D466)),Assumptions!$D$5,IF(ISNUMBER(SEARCH(Assumptions!$C$6,D466)),Assumptions!$D$6,IF(ISNUMBER(SEARCH(Assumptions!$C$7,D466)),Assumptions!$D$7,"Other Services"))),"Other Services"))</f>
        <v/>
      </c>
    </row>
    <row r="467" customFormat="false" ht="15" hidden="false" customHeight="false" outlineLevel="0" collapsed="false">
      <c r="J467" s="41" t="str">
        <f aca="false">IF(D467="","",IFERROR(IF(ISNUMBER(SEARCH(Assumptions!$C$5,D467)),Assumptions!$D$5,IF(ISNUMBER(SEARCH(Assumptions!$C$6,D467)),Assumptions!$D$6,IF(ISNUMBER(SEARCH(Assumptions!$C$7,D467)),Assumptions!$D$7,"Other Services"))),"Other Services"))</f>
        <v/>
      </c>
    </row>
    <row r="468" customFormat="false" ht="15" hidden="false" customHeight="false" outlineLevel="0" collapsed="false">
      <c r="J468" s="41" t="str">
        <f aca="false">IF(D468="","",IFERROR(IF(ISNUMBER(SEARCH(Assumptions!$C$5,D468)),Assumptions!$D$5,IF(ISNUMBER(SEARCH(Assumptions!$C$6,D468)),Assumptions!$D$6,IF(ISNUMBER(SEARCH(Assumptions!$C$7,D468)),Assumptions!$D$7,"Other Services"))),"Other Services"))</f>
        <v/>
      </c>
    </row>
    <row r="469" customFormat="false" ht="15" hidden="false" customHeight="false" outlineLevel="0" collapsed="false">
      <c r="J469" s="41" t="str">
        <f aca="false">IF(D469="","",IFERROR(IF(ISNUMBER(SEARCH(Assumptions!$C$5,D469)),Assumptions!$D$5,IF(ISNUMBER(SEARCH(Assumptions!$C$6,D469)),Assumptions!$D$6,IF(ISNUMBER(SEARCH(Assumptions!$C$7,D469)),Assumptions!$D$7,"Other Services"))),"Other Services"))</f>
        <v/>
      </c>
    </row>
    <row r="470" customFormat="false" ht="15" hidden="false" customHeight="false" outlineLevel="0" collapsed="false">
      <c r="J470" s="41" t="str">
        <f aca="false">IF(D470="","",IFERROR(IF(ISNUMBER(SEARCH(Assumptions!$C$5,D470)),Assumptions!$D$5,IF(ISNUMBER(SEARCH(Assumptions!$C$6,D470)),Assumptions!$D$6,IF(ISNUMBER(SEARCH(Assumptions!$C$7,D470)),Assumptions!$D$7,"Other Services"))),"Other Services"))</f>
        <v/>
      </c>
    </row>
    <row r="471" customFormat="false" ht="15" hidden="false" customHeight="false" outlineLevel="0" collapsed="false">
      <c r="J471" s="41" t="str">
        <f aca="false">IF(D471="","",IFERROR(IF(ISNUMBER(SEARCH(Assumptions!$C$5,D471)),Assumptions!$D$5,IF(ISNUMBER(SEARCH(Assumptions!$C$6,D471)),Assumptions!$D$6,IF(ISNUMBER(SEARCH(Assumptions!$C$7,D471)),Assumptions!$D$7,"Other Services"))),"Other Services"))</f>
        <v/>
      </c>
    </row>
    <row r="472" customFormat="false" ht="15" hidden="false" customHeight="false" outlineLevel="0" collapsed="false">
      <c r="J472" s="41" t="str">
        <f aca="false">IF(D472="","",IFERROR(IF(ISNUMBER(SEARCH(Assumptions!$C$5,D472)),Assumptions!$D$5,IF(ISNUMBER(SEARCH(Assumptions!$C$6,D472)),Assumptions!$D$6,IF(ISNUMBER(SEARCH(Assumptions!$C$7,D472)),Assumptions!$D$7,"Other Services"))),"Other Services"))</f>
        <v/>
      </c>
    </row>
    <row r="473" customFormat="false" ht="15" hidden="false" customHeight="false" outlineLevel="0" collapsed="false">
      <c r="J473" s="41" t="str">
        <f aca="false">IF(D473="","",IFERROR(IF(ISNUMBER(SEARCH(Assumptions!$C$5,D473)),Assumptions!$D$5,IF(ISNUMBER(SEARCH(Assumptions!$C$6,D473)),Assumptions!$D$6,IF(ISNUMBER(SEARCH(Assumptions!$C$7,D473)),Assumptions!$D$7,"Other Services"))),"Other Services"))</f>
        <v/>
      </c>
    </row>
    <row r="474" customFormat="false" ht="15" hidden="false" customHeight="false" outlineLevel="0" collapsed="false">
      <c r="J474" s="41" t="str">
        <f aca="false">IF(D474="","",IFERROR(IF(ISNUMBER(SEARCH(Assumptions!$C$5,D474)),Assumptions!$D$5,IF(ISNUMBER(SEARCH(Assumptions!$C$6,D474)),Assumptions!$D$6,IF(ISNUMBER(SEARCH(Assumptions!$C$7,D474)),Assumptions!$D$7,"Other Services"))),"Other Services"))</f>
        <v/>
      </c>
    </row>
    <row r="475" customFormat="false" ht="15" hidden="false" customHeight="false" outlineLevel="0" collapsed="false">
      <c r="J475" s="41" t="str">
        <f aca="false">IF(D475="","",IFERROR(IF(ISNUMBER(SEARCH(Assumptions!$C$5,D475)),Assumptions!$D$5,IF(ISNUMBER(SEARCH(Assumptions!$C$6,D475)),Assumptions!$D$6,IF(ISNUMBER(SEARCH(Assumptions!$C$7,D475)),Assumptions!$D$7,"Other Services"))),"Other Services"))</f>
        <v/>
      </c>
    </row>
    <row r="476" customFormat="false" ht="15" hidden="false" customHeight="false" outlineLevel="0" collapsed="false">
      <c r="J476" s="41" t="str">
        <f aca="false">IF(D476="","",IFERROR(IF(ISNUMBER(SEARCH(Assumptions!$C$5,D476)),Assumptions!$D$5,IF(ISNUMBER(SEARCH(Assumptions!$C$6,D476)),Assumptions!$D$6,IF(ISNUMBER(SEARCH(Assumptions!$C$7,D476)),Assumptions!$D$7,"Other Services"))),"Other Services"))</f>
        <v/>
      </c>
    </row>
    <row r="477" customFormat="false" ht="15" hidden="false" customHeight="false" outlineLevel="0" collapsed="false">
      <c r="J477" s="41" t="str">
        <f aca="false">IF(D477="","",IFERROR(IF(ISNUMBER(SEARCH(Assumptions!$C$5,D477)),Assumptions!$D$5,IF(ISNUMBER(SEARCH(Assumptions!$C$6,D477)),Assumptions!$D$6,IF(ISNUMBER(SEARCH(Assumptions!$C$7,D477)),Assumptions!$D$7,"Other Services"))),"Other Services"))</f>
        <v/>
      </c>
    </row>
    <row r="478" customFormat="false" ht="15" hidden="false" customHeight="false" outlineLevel="0" collapsed="false">
      <c r="J478" s="41" t="str">
        <f aca="false">IF(D478="","",IFERROR(IF(ISNUMBER(SEARCH(Assumptions!$C$5,D478)),Assumptions!$D$5,IF(ISNUMBER(SEARCH(Assumptions!$C$6,D478)),Assumptions!$D$6,IF(ISNUMBER(SEARCH(Assumptions!$C$7,D478)),Assumptions!$D$7,"Other Services"))),"Other Services"))</f>
        <v/>
      </c>
    </row>
    <row r="479" customFormat="false" ht="15" hidden="false" customHeight="false" outlineLevel="0" collapsed="false">
      <c r="J479" s="41" t="str">
        <f aca="false">IF(D479="","",IFERROR(IF(ISNUMBER(SEARCH(Assumptions!$C$5,D479)),Assumptions!$D$5,IF(ISNUMBER(SEARCH(Assumptions!$C$6,D479)),Assumptions!$D$6,IF(ISNUMBER(SEARCH(Assumptions!$C$7,D479)),Assumptions!$D$7,"Other Services"))),"Other Services"))</f>
        <v/>
      </c>
    </row>
    <row r="480" customFormat="false" ht="15" hidden="false" customHeight="false" outlineLevel="0" collapsed="false">
      <c r="J480" s="41" t="str">
        <f aca="false">IF(D480="","",IFERROR(IF(ISNUMBER(SEARCH(Assumptions!$C$5,D480)),Assumptions!$D$5,IF(ISNUMBER(SEARCH(Assumptions!$C$6,D480)),Assumptions!$D$6,IF(ISNUMBER(SEARCH(Assumptions!$C$7,D480)),Assumptions!$D$7,"Other Services"))),"Other Services"))</f>
        <v/>
      </c>
    </row>
    <row r="481" customFormat="false" ht="15" hidden="false" customHeight="false" outlineLevel="0" collapsed="false">
      <c r="J481" s="41" t="str">
        <f aca="false">IF(D481="","",IFERROR(IF(ISNUMBER(SEARCH(Assumptions!$C$5,D481)),Assumptions!$D$5,IF(ISNUMBER(SEARCH(Assumptions!$C$6,D481)),Assumptions!$D$6,IF(ISNUMBER(SEARCH(Assumptions!$C$7,D481)),Assumptions!$D$7,"Other Services"))),"Other Services"))</f>
        <v/>
      </c>
    </row>
    <row r="482" customFormat="false" ht="15" hidden="false" customHeight="false" outlineLevel="0" collapsed="false">
      <c r="J482" s="41" t="str">
        <f aca="false">IF(D482="","",IFERROR(IF(ISNUMBER(SEARCH(Assumptions!$C$5,D482)),Assumptions!$D$5,IF(ISNUMBER(SEARCH(Assumptions!$C$6,D482)),Assumptions!$D$6,IF(ISNUMBER(SEARCH(Assumptions!$C$7,D482)),Assumptions!$D$7,"Other Services"))),"Other Services"))</f>
        <v/>
      </c>
    </row>
    <row r="483" customFormat="false" ht="15" hidden="false" customHeight="false" outlineLevel="0" collapsed="false">
      <c r="J483" s="41" t="str">
        <f aca="false">IF(D483="","",IFERROR(IF(ISNUMBER(SEARCH(Assumptions!$C$5,D483)),Assumptions!$D$5,IF(ISNUMBER(SEARCH(Assumptions!$C$6,D483)),Assumptions!$D$6,IF(ISNUMBER(SEARCH(Assumptions!$C$7,D483)),Assumptions!$D$7,"Other Services"))),"Other Services"))</f>
        <v/>
      </c>
    </row>
    <row r="484" customFormat="false" ht="15" hidden="false" customHeight="false" outlineLevel="0" collapsed="false">
      <c r="J484" s="41" t="str">
        <f aca="false">IF(D484="","",IFERROR(IF(ISNUMBER(SEARCH(Assumptions!$C$5,D484)),Assumptions!$D$5,IF(ISNUMBER(SEARCH(Assumptions!$C$6,D484)),Assumptions!$D$6,IF(ISNUMBER(SEARCH(Assumptions!$C$7,D484)),Assumptions!$D$7,"Other Services"))),"Other Services"))</f>
        <v/>
      </c>
    </row>
    <row r="485" customFormat="false" ht="15" hidden="false" customHeight="false" outlineLevel="0" collapsed="false">
      <c r="J485" s="41" t="str">
        <f aca="false">IF(D485="","",IFERROR(IF(ISNUMBER(SEARCH(Assumptions!$C$5,D485)),Assumptions!$D$5,IF(ISNUMBER(SEARCH(Assumptions!$C$6,D485)),Assumptions!$D$6,IF(ISNUMBER(SEARCH(Assumptions!$C$7,D485)),Assumptions!$D$7,"Other Services"))),"Other Services"))</f>
        <v/>
      </c>
    </row>
    <row r="486" customFormat="false" ht="15" hidden="false" customHeight="false" outlineLevel="0" collapsed="false">
      <c r="J486" s="41" t="str">
        <f aca="false">IF(D486="","",IFERROR(IF(ISNUMBER(SEARCH(Assumptions!$C$5,D486)),Assumptions!$D$5,IF(ISNUMBER(SEARCH(Assumptions!$C$6,D486)),Assumptions!$D$6,IF(ISNUMBER(SEARCH(Assumptions!$C$7,D486)),Assumptions!$D$7,"Other Services"))),"Other Services"))</f>
        <v/>
      </c>
    </row>
    <row r="487" customFormat="false" ht="15" hidden="false" customHeight="false" outlineLevel="0" collapsed="false">
      <c r="J487" s="41" t="str">
        <f aca="false">IF(D487="","",IFERROR(IF(ISNUMBER(SEARCH(Assumptions!$C$5,D487)),Assumptions!$D$5,IF(ISNUMBER(SEARCH(Assumptions!$C$6,D487)),Assumptions!$D$6,IF(ISNUMBER(SEARCH(Assumptions!$C$7,D487)),Assumptions!$D$7,"Other Services"))),"Other Services"))</f>
        <v/>
      </c>
    </row>
    <row r="488" customFormat="false" ht="15" hidden="false" customHeight="false" outlineLevel="0" collapsed="false">
      <c r="J488" s="41" t="str">
        <f aca="false">IF(D488="","",IFERROR(IF(ISNUMBER(SEARCH(Assumptions!$C$5,D488)),Assumptions!$D$5,IF(ISNUMBER(SEARCH(Assumptions!$C$6,D488)),Assumptions!$D$6,IF(ISNUMBER(SEARCH(Assumptions!$C$7,D488)),Assumptions!$D$7,"Other Services"))),"Other Services"))</f>
        <v/>
      </c>
    </row>
    <row r="489" customFormat="false" ht="15" hidden="false" customHeight="false" outlineLevel="0" collapsed="false">
      <c r="J489" s="41" t="str">
        <f aca="false">IF(D489="","",IFERROR(IF(ISNUMBER(SEARCH(Assumptions!$C$5,D489)),Assumptions!$D$5,IF(ISNUMBER(SEARCH(Assumptions!$C$6,D489)),Assumptions!$D$6,IF(ISNUMBER(SEARCH(Assumptions!$C$7,D489)),Assumptions!$D$7,"Other Services"))),"Other Services"))</f>
        <v/>
      </c>
    </row>
    <row r="490" customFormat="false" ht="15" hidden="false" customHeight="false" outlineLevel="0" collapsed="false">
      <c r="J490" s="41" t="str">
        <f aca="false">IF(D490="","",IFERROR(IF(ISNUMBER(SEARCH(Assumptions!$C$5,D490)),Assumptions!$D$5,IF(ISNUMBER(SEARCH(Assumptions!$C$6,D490)),Assumptions!$D$6,IF(ISNUMBER(SEARCH(Assumptions!$C$7,D490)),Assumptions!$D$7,"Other Services"))),"Other Services"))</f>
        <v/>
      </c>
    </row>
    <row r="491" customFormat="false" ht="15" hidden="false" customHeight="false" outlineLevel="0" collapsed="false">
      <c r="J491" s="41" t="str">
        <f aca="false">IF(D491="","",IFERROR(IF(ISNUMBER(SEARCH(Assumptions!$C$5,D491)),Assumptions!$D$5,IF(ISNUMBER(SEARCH(Assumptions!$C$6,D491)),Assumptions!$D$6,IF(ISNUMBER(SEARCH(Assumptions!$C$7,D491)),Assumptions!$D$7,"Other Services"))),"Other Services"))</f>
        <v/>
      </c>
    </row>
    <row r="492" customFormat="false" ht="15" hidden="false" customHeight="false" outlineLevel="0" collapsed="false">
      <c r="J492" s="41" t="str">
        <f aca="false">IF(D492="","",IFERROR(IF(ISNUMBER(SEARCH(Assumptions!$C$5,D492)),Assumptions!$D$5,IF(ISNUMBER(SEARCH(Assumptions!$C$6,D492)),Assumptions!$D$6,IF(ISNUMBER(SEARCH(Assumptions!$C$7,D492)),Assumptions!$D$7,"Other Services"))),"Other Services"))</f>
        <v/>
      </c>
    </row>
    <row r="493" customFormat="false" ht="15" hidden="false" customHeight="false" outlineLevel="0" collapsed="false">
      <c r="J493" s="41" t="str">
        <f aca="false">IF(D493="","",IFERROR(IF(ISNUMBER(SEARCH(Assumptions!$C$5,D493)),Assumptions!$D$5,IF(ISNUMBER(SEARCH(Assumptions!$C$6,D493)),Assumptions!$D$6,IF(ISNUMBER(SEARCH(Assumptions!$C$7,D493)),Assumptions!$D$7,"Other Services"))),"Other Services"))</f>
        <v/>
      </c>
    </row>
    <row r="494" customFormat="false" ht="15" hidden="false" customHeight="false" outlineLevel="0" collapsed="false">
      <c r="J494" s="41" t="str">
        <f aca="false">IF(D494="","",IFERROR(IF(ISNUMBER(SEARCH(Assumptions!$C$5,D494)),Assumptions!$D$5,IF(ISNUMBER(SEARCH(Assumptions!$C$6,D494)),Assumptions!$D$6,IF(ISNUMBER(SEARCH(Assumptions!$C$7,D494)),Assumptions!$D$7,"Other Services"))),"Other Services"))</f>
        <v/>
      </c>
    </row>
    <row r="495" customFormat="false" ht="15" hidden="false" customHeight="false" outlineLevel="0" collapsed="false">
      <c r="J495" s="41" t="str">
        <f aca="false">IF(D495="","",IFERROR(IF(ISNUMBER(SEARCH(Assumptions!$C$5,D495)),Assumptions!$D$5,IF(ISNUMBER(SEARCH(Assumptions!$C$6,D495)),Assumptions!$D$6,IF(ISNUMBER(SEARCH(Assumptions!$C$7,D495)),Assumptions!$D$7,"Other Services"))),"Other Services"))</f>
        <v/>
      </c>
    </row>
    <row r="496" customFormat="false" ht="15" hidden="false" customHeight="false" outlineLevel="0" collapsed="false">
      <c r="J496" s="41" t="str">
        <f aca="false">IF(D496="","",IFERROR(IF(ISNUMBER(SEARCH(Assumptions!$C$5,D496)),Assumptions!$D$5,IF(ISNUMBER(SEARCH(Assumptions!$C$6,D496)),Assumptions!$D$6,IF(ISNUMBER(SEARCH(Assumptions!$C$7,D496)),Assumptions!$D$7,"Other Services"))),"Other Services"))</f>
        <v/>
      </c>
    </row>
    <row r="497" customFormat="false" ht="15" hidden="false" customHeight="false" outlineLevel="0" collapsed="false">
      <c r="J497" s="41" t="str">
        <f aca="false">IF(D497="","",IFERROR(IF(ISNUMBER(SEARCH(Assumptions!$C$5,D497)),Assumptions!$D$5,IF(ISNUMBER(SEARCH(Assumptions!$C$6,D497)),Assumptions!$D$6,IF(ISNUMBER(SEARCH(Assumptions!$C$7,D497)),Assumptions!$D$7,"Other Services"))),"Other Services"))</f>
        <v/>
      </c>
    </row>
    <row r="498" customFormat="false" ht="15" hidden="false" customHeight="false" outlineLevel="0" collapsed="false">
      <c r="J498" s="41" t="str">
        <f aca="false">IF(D498="","",IFERROR(IF(ISNUMBER(SEARCH(Assumptions!$C$5,D498)),Assumptions!$D$5,IF(ISNUMBER(SEARCH(Assumptions!$C$6,D498)),Assumptions!$D$6,IF(ISNUMBER(SEARCH(Assumptions!$C$7,D498)),Assumptions!$D$7,"Other Services"))),"Other Services"))</f>
        <v/>
      </c>
    </row>
    <row r="499" customFormat="false" ht="15" hidden="false" customHeight="false" outlineLevel="0" collapsed="false">
      <c r="J499" s="41" t="str">
        <f aca="false">IF(D499="","",IFERROR(IF(ISNUMBER(SEARCH(Assumptions!$C$5,D499)),Assumptions!$D$5,IF(ISNUMBER(SEARCH(Assumptions!$C$6,D499)),Assumptions!$D$6,IF(ISNUMBER(SEARCH(Assumptions!$C$7,D499)),Assumptions!$D$7,"Other Services"))),"Other Services"))</f>
        <v/>
      </c>
    </row>
    <row r="500" customFormat="false" ht="15" hidden="false" customHeight="false" outlineLevel="0" collapsed="false">
      <c r="J500" s="41" t="str">
        <f aca="false">IF(D500="","",IFERROR(IF(ISNUMBER(SEARCH(Assumptions!$C$5,D500)),Assumptions!$D$5,IF(ISNUMBER(SEARCH(Assumptions!$C$6,D500)),Assumptions!$D$6,IF(ISNUMBER(SEARCH(Assumptions!$C$7,D500)),Assumptions!$D$7,"Other Services"))),"Other Services"))</f>
        <v/>
      </c>
    </row>
    <row r="501" customFormat="false" ht="15" hidden="false" customHeight="false" outlineLevel="0" collapsed="false">
      <c r="J501" s="41" t="str">
        <f aca="false">IF(D501="","",IFERROR(IF(ISNUMBER(SEARCH(Assumptions!$C$5,D501)),Assumptions!$D$5,IF(ISNUMBER(SEARCH(Assumptions!$C$6,D501)),Assumptions!$D$6,IF(ISNUMBER(SEARCH(Assumptions!$C$7,D501)),Assumptions!$D$7,"Other Services"))),"Other Services"))</f>
        <v/>
      </c>
    </row>
    <row r="502" customFormat="false" ht="15" hidden="false" customHeight="false" outlineLevel="0" collapsed="false">
      <c r="J502" s="41" t="str">
        <f aca="false">IF(D502="","",IFERROR(IF(ISNUMBER(SEARCH(Assumptions!$C$5,D502)),Assumptions!$D$5,IF(ISNUMBER(SEARCH(Assumptions!$C$6,D502)),Assumptions!$D$6,IF(ISNUMBER(SEARCH(Assumptions!$C$7,D502)),Assumptions!$D$7,"Other Services"))),"Other Services"))</f>
        <v/>
      </c>
    </row>
    <row r="503" customFormat="false" ht="15" hidden="false" customHeight="false" outlineLevel="0" collapsed="false">
      <c r="J503" s="41" t="str">
        <f aca="false">IF(D503="","",IFERROR(IF(ISNUMBER(SEARCH(Assumptions!$C$5,D503)),Assumptions!$D$5,IF(ISNUMBER(SEARCH(Assumptions!$C$6,D503)),Assumptions!$D$6,IF(ISNUMBER(SEARCH(Assumptions!$C$7,D503)),Assumptions!$D$7,"Other Services"))),"Other Services"))</f>
        <v/>
      </c>
    </row>
    <row r="504" customFormat="false" ht="15" hidden="false" customHeight="false" outlineLevel="0" collapsed="false">
      <c r="J504" s="41" t="str">
        <f aca="false">IF(D504="","",IFERROR(IF(ISNUMBER(SEARCH(Assumptions!$C$5,D504)),Assumptions!$D$5,IF(ISNUMBER(SEARCH(Assumptions!$C$6,D504)),Assumptions!$D$6,IF(ISNUMBER(SEARCH(Assumptions!$C$7,D504)),Assumptions!$D$7,"Other Services"))),"Other Services"))</f>
        <v/>
      </c>
    </row>
    <row r="505" customFormat="false" ht="15" hidden="false" customHeight="false" outlineLevel="0" collapsed="false">
      <c r="J505" s="41" t="str">
        <f aca="false">IF(D505="","",IFERROR(IF(ISNUMBER(SEARCH(Assumptions!$C$5,D505)),Assumptions!$D$5,IF(ISNUMBER(SEARCH(Assumptions!$C$6,D505)),Assumptions!$D$6,IF(ISNUMBER(SEARCH(Assumptions!$C$7,D505)),Assumptions!$D$7,"Other Services"))),"Other Services"))</f>
        <v/>
      </c>
    </row>
    <row r="506" customFormat="false" ht="15" hidden="false" customHeight="false" outlineLevel="0" collapsed="false">
      <c r="J506" s="41" t="str">
        <f aca="false">IF(D506="","",IFERROR(IF(ISNUMBER(SEARCH(Assumptions!$C$5,D506)),Assumptions!$D$5,IF(ISNUMBER(SEARCH(Assumptions!$C$6,D506)),Assumptions!$D$6,IF(ISNUMBER(SEARCH(Assumptions!$C$7,D506)),Assumptions!$D$7,"Other Services"))),"Other Services"))</f>
        <v/>
      </c>
    </row>
    <row r="507" customFormat="false" ht="15" hidden="false" customHeight="false" outlineLevel="0" collapsed="false">
      <c r="J507" s="41" t="str">
        <f aca="false">IF(D507="","",IFERROR(IF(ISNUMBER(SEARCH(Assumptions!$C$5,D507)),Assumptions!$D$5,IF(ISNUMBER(SEARCH(Assumptions!$C$6,D507)),Assumptions!$D$6,IF(ISNUMBER(SEARCH(Assumptions!$C$7,D507)),Assumptions!$D$7,"Other Services"))),"Other Services"))</f>
        <v/>
      </c>
    </row>
    <row r="508" customFormat="false" ht="15" hidden="false" customHeight="false" outlineLevel="0" collapsed="false">
      <c r="J508" s="41" t="str">
        <f aca="false">IF(D508="","",IFERROR(IF(ISNUMBER(SEARCH(Assumptions!$C$5,D508)),Assumptions!$D$5,IF(ISNUMBER(SEARCH(Assumptions!$C$6,D508)),Assumptions!$D$6,IF(ISNUMBER(SEARCH(Assumptions!$C$7,D508)),Assumptions!$D$7,"Other Services"))),"Other Services"))</f>
        <v/>
      </c>
    </row>
    <row r="509" customFormat="false" ht="15" hidden="false" customHeight="false" outlineLevel="0" collapsed="false">
      <c r="J509" s="41" t="str">
        <f aca="false">IF(D509="","",IFERROR(IF(ISNUMBER(SEARCH(Assumptions!$C$5,D509)),Assumptions!$D$5,IF(ISNUMBER(SEARCH(Assumptions!$C$6,D509)),Assumptions!$D$6,IF(ISNUMBER(SEARCH(Assumptions!$C$7,D509)),Assumptions!$D$7,"Other Services"))),"Other Services"))</f>
        <v/>
      </c>
    </row>
    <row r="510" customFormat="false" ht="15" hidden="false" customHeight="false" outlineLevel="0" collapsed="false">
      <c r="J510" s="41" t="str">
        <f aca="false">IF(D510="","",IFERROR(IF(ISNUMBER(SEARCH(Assumptions!$C$5,D510)),Assumptions!$D$5,IF(ISNUMBER(SEARCH(Assumptions!$C$6,D510)),Assumptions!$D$6,IF(ISNUMBER(SEARCH(Assumptions!$C$7,D510)),Assumptions!$D$7,"Other Services"))),"Other Services"))</f>
        <v/>
      </c>
    </row>
    <row r="511" customFormat="false" ht="15" hidden="false" customHeight="false" outlineLevel="0" collapsed="false">
      <c r="J511" s="41" t="str">
        <f aca="false">IF(D511="","",IFERROR(IF(ISNUMBER(SEARCH(Assumptions!$C$5,D511)),Assumptions!$D$5,IF(ISNUMBER(SEARCH(Assumptions!$C$6,D511)),Assumptions!$D$6,IF(ISNUMBER(SEARCH(Assumptions!$C$7,D511)),Assumptions!$D$7,"Other Services"))),"Other Services"))</f>
        <v/>
      </c>
    </row>
    <row r="512" customFormat="false" ht="15" hidden="false" customHeight="false" outlineLevel="0" collapsed="false">
      <c r="J512" s="41" t="str">
        <f aca="false">IF(D512="","",IFERROR(IF(ISNUMBER(SEARCH(Assumptions!$C$5,D512)),Assumptions!$D$5,IF(ISNUMBER(SEARCH(Assumptions!$C$6,D512)),Assumptions!$D$6,IF(ISNUMBER(SEARCH(Assumptions!$C$7,D512)),Assumptions!$D$7,"Other Services"))),"Other Services"))</f>
        <v/>
      </c>
    </row>
    <row r="513" customFormat="false" ht="15" hidden="false" customHeight="false" outlineLevel="0" collapsed="false">
      <c r="J513" s="41" t="str">
        <f aca="false">IF(D513="","",IFERROR(IF(ISNUMBER(SEARCH(Assumptions!$C$5,D513)),Assumptions!$D$5,IF(ISNUMBER(SEARCH(Assumptions!$C$6,D513)),Assumptions!$D$6,IF(ISNUMBER(SEARCH(Assumptions!$C$7,D513)),Assumptions!$D$7,"Other Services"))),"Other Services"))</f>
        <v/>
      </c>
    </row>
    <row r="514" customFormat="false" ht="15" hidden="false" customHeight="false" outlineLevel="0" collapsed="false">
      <c r="J514" s="41" t="str">
        <f aca="false">IF(D514="","",IFERROR(IF(ISNUMBER(SEARCH(Assumptions!$C$5,D514)),Assumptions!$D$5,IF(ISNUMBER(SEARCH(Assumptions!$C$6,D514)),Assumptions!$D$6,IF(ISNUMBER(SEARCH(Assumptions!$C$7,D514)),Assumptions!$D$7,"Other Services"))),"Other Services"))</f>
        <v/>
      </c>
    </row>
    <row r="515" customFormat="false" ht="15" hidden="false" customHeight="false" outlineLevel="0" collapsed="false">
      <c r="J515" s="41" t="str">
        <f aca="false">IF(D515="","",IFERROR(IF(ISNUMBER(SEARCH(Assumptions!$C$5,D515)),Assumptions!$D$5,IF(ISNUMBER(SEARCH(Assumptions!$C$6,D515)),Assumptions!$D$6,IF(ISNUMBER(SEARCH(Assumptions!$C$7,D515)),Assumptions!$D$7,"Other Services"))),"Other Services"))</f>
        <v/>
      </c>
    </row>
    <row r="516" customFormat="false" ht="15" hidden="false" customHeight="false" outlineLevel="0" collapsed="false">
      <c r="J516" s="41" t="str">
        <f aca="false">IF(D516="","",IFERROR(IF(ISNUMBER(SEARCH(Assumptions!$C$5,D516)),Assumptions!$D$5,IF(ISNUMBER(SEARCH(Assumptions!$C$6,D516)),Assumptions!$D$6,IF(ISNUMBER(SEARCH(Assumptions!$C$7,D516)),Assumptions!$D$7,"Other Services"))),"Other Services"))</f>
        <v/>
      </c>
    </row>
    <row r="517" customFormat="false" ht="15" hidden="false" customHeight="false" outlineLevel="0" collapsed="false">
      <c r="J517" s="41" t="str">
        <f aca="false">IF(D517="","",IFERROR(IF(ISNUMBER(SEARCH(Assumptions!$C$5,D517)),Assumptions!$D$5,IF(ISNUMBER(SEARCH(Assumptions!$C$6,D517)),Assumptions!$D$6,IF(ISNUMBER(SEARCH(Assumptions!$C$7,D517)),Assumptions!$D$7,"Other Services"))),"Other Services"))</f>
        <v/>
      </c>
    </row>
    <row r="518" customFormat="false" ht="15" hidden="false" customHeight="false" outlineLevel="0" collapsed="false">
      <c r="J518" s="41" t="str">
        <f aca="false">IF(D518="","",IFERROR(IF(ISNUMBER(SEARCH(Assumptions!$C$5,D518)),Assumptions!$D$5,IF(ISNUMBER(SEARCH(Assumptions!$C$6,D518)),Assumptions!$D$6,IF(ISNUMBER(SEARCH(Assumptions!$C$7,D518)),Assumptions!$D$7,"Other Services"))),"Other Services"))</f>
        <v/>
      </c>
    </row>
    <row r="519" customFormat="false" ht="15" hidden="false" customHeight="false" outlineLevel="0" collapsed="false">
      <c r="J519" s="41" t="str">
        <f aca="false">IF(D519="","",IFERROR(IF(ISNUMBER(SEARCH(Assumptions!$C$5,D519)),Assumptions!$D$5,IF(ISNUMBER(SEARCH(Assumptions!$C$6,D519)),Assumptions!$D$6,IF(ISNUMBER(SEARCH(Assumptions!$C$7,D519)),Assumptions!$D$7,"Other Services"))),"Other Services"))</f>
        <v/>
      </c>
    </row>
    <row r="520" customFormat="false" ht="15" hidden="false" customHeight="false" outlineLevel="0" collapsed="false">
      <c r="J520" s="41" t="str">
        <f aca="false">IF(D520="","",IFERROR(IF(ISNUMBER(SEARCH(Assumptions!$C$5,D520)),Assumptions!$D$5,IF(ISNUMBER(SEARCH(Assumptions!$C$6,D520)),Assumptions!$D$6,IF(ISNUMBER(SEARCH(Assumptions!$C$7,D520)),Assumptions!$D$7,"Other Services"))),"Other Services"))</f>
        <v/>
      </c>
    </row>
    <row r="521" customFormat="false" ht="15" hidden="false" customHeight="false" outlineLevel="0" collapsed="false">
      <c r="J521" s="41" t="str">
        <f aca="false">IF(D521="","",IFERROR(IF(ISNUMBER(SEARCH(Assumptions!$C$5,D521)),Assumptions!$D$5,IF(ISNUMBER(SEARCH(Assumptions!$C$6,D521)),Assumptions!$D$6,IF(ISNUMBER(SEARCH(Assumptions!$C$7,D521)),Assumptions!$D$7,"Other Services"))),"Other Services"))</f>
        <v/>
      </c>
    </row>
    <row r="522" customFormat="false" ht="15" hidden="false" customHeight="false" outlineLevel="0" collapsed="false">
      <c r="J522" s="41" t="str">
        <f aca="false">IF(D522="","",IFERROR(IF(ISNUMBER(SEARCH(Assumptions!$C$5,D522)),Assumptions!$D$5,IF(ISNUMBER(SEARCH(Assumptions!$C$6,D522)),Assumptions!$D$6,IF(ISNUMBER(SEARCH(Assumptions!$C$7,D522)),Assumptions!$D$7,"Other Services"))),"Other Services"))</f>
        <v/>
      </c>
    </row>
    <row r="523" customFormat="false" ht="15" hidden="false" customHeight="false" outlineLevel="0" collapsed="false">
      <c r="J523" s="41" t="str">
        <f aca="false">IF(D523="","",IFERROR(IF(ISNUMBER(SEARCH(Assumptions!$C$5,D523)),Assumptions!$D$5,IF(ISNUMBER(SEARCH(Assumptions!$C$6,D523)),Assumptions!$D$6,IF(ISNUMBER(SEARCH(Assumptions!$C$7,D523)),Assumptions!$D$7,"Other Services"))),"Other Services"))</f>
        <v/>
      </c>
    </row>
    <row r="524" customFormat="false" ht="15" hidden="false" customHeight="false" outlineLevel="0" collapsed="false">
      <c r="J524" s="41" t="str">
        <f aca="false">IF(D524="","",IFERROR(IF(ISNUMBER(SEARCH(Assumptions!$C$5,D524)),Assumptions!$D$5,IF(ISNUMBER(SEARCH(Assumptions!$C$6,D524)),Assumptions!$D$6,IF(ISNUMBER(SEARCH(Assumptions!$C$7,D524)),Assumptions!$D$7,"Other Services"))),"Other Services"))</f>
        <v/>
      </c>
    </row>
    <row r="525" customFormat="false" ht="15" hidden="false" customHeight="false" outlineLevel="0" collapsed="false">
      <c r="J525" s="41" t="str">
        <f aca="false">IF(D525="","",IFERROR(IF(ISNUMBER(SEARCH(Assumptions!$C$5,D525)),Assumptions!$D$5,IF(ISNUMBER(SEARCH(Assumptions!$C$6,D525)),Assumptions!$D$6,IF(ISNUMBER(SEARCH(Assumptions!$C$7,D525)),Assumptions!$D$7,"Other Services"))),"Other Services"))</f>
        <v/>
      </c>
    </row>
    <row r="526" customFormat="false" ht="15" hidden="false" customHeight="false" outlineLevel="0" collapsed="false">
      <c r="J526" s="41" t="str">
        <f aca="false">IF(D526="","",IFERROR(IF(ISNUMBER(SEARCH(Assumptions!$C$5,D526)),Assumptions!$D$5,IF(ISNUMBER(SEARCH(Assumptions!$C$6,D526)),Assumptions!$D$6,IF(ISNUMBER(SEARCH(Assumptions!$C$7,D526)),Assumptions!$D$7,"Other Services"))),"Other Services"))</f>
        <v/>
      </c>
    </row>
    <row r="527" customFormat="false" ht="15" hidden="false" customHeight="false" outlineLevel="0" collapsed="false">
      <c r="J527" s="41" t="str">
        <f aca="false">IF(D527="","",IFERROR(IF(ISNUMBER(SEARCH(Assumptions!$C$5,D527)),Assumptions!$D$5,IF(ISNUMBER(SEARCH(Assumptions!$C$6,D527)),Assumptions!$D$6,IF(ISNUMBER(SEARCH(Assumptions!$C$7,D527)),Assumptions!$D$7,"Other Services"))),"Other Services"))</f>
        <v/>
      </c>
    </row>
    <row r="528" customFormat="false" ht="15" hidden="false" customHeight="false" outlineLevel="0" collapsed="false">
      <c r="J528" s="41" t="str">
        <f aca="false">IF(D528="","",IFERROR(IF(ISNUMBER(SEARCH(Assumptions!$C$5,D528)),Assumptions!$D$5,IF(ISNUMBER(SEARCH(Assumptions!$C$6,D528)),Assumptions!$D$6,IF(ISNUMBER(SEARCH(Assumptions!$C$7,D528)),Assumptions!$D$7,"Other Services"))),"Other Services"))</f>
        <v/>
      </c>
    </row>
    <row r="529" customFormat="false" ht="15" hidden="false" customHeight="false" outlineLevel="0" collapsed="false">
      <c r="J529" s="41" t="str">
        <f aca="false">IF(D529="","",IFERROR(IF(ISNUMBER(SEARCH(Assumptions!$C$5,D529)),Assumptions!$D$5,IF(ISNUMBER(SEARCH(Assumptions!$C$6,D529)),Assumptions!$D$6,IF(ISNUMBER(SEARCH(Assumptions!$C$7,D529)),Assumptions!$D$7,"Other Services"))),"Other Services"))</f>
        <v/>
      </c>
    </row>
    <row r="530" customFormat="false" ht="15" hidden="false" customHeight="false" outlineLevel="0" collapsed="false">
      <c r="J530" s="41" t="str">
        <f aca="false">IF(D530="","",IFERROR(IF(ISNUMBER(SEARCH(Assumptions!$C$5,D530)),Assumptions!$D$5,IF(ISNUMBER(SEARCH(Assumptions!$C$6,D530)),Assumptions!$D$6,IF(ISNUMBER(SEARCH(Assumptions!$C$7,D530)),Assumptions!$D$7,"Other Services"))),"Other Services"))</f>
        <v/>
      </c>
    </row>
    <row r="531" customFormat="false" ht="15" hidden="false" customHeight="false" outlineLevel="0" collapsed="false">
      <c r="J531" s="41" t="str">
        <f aca="false">IF(D531="","",IFERROR(IF(ISNUMBER(SEARCH(Assumptions!$C$5,D531)),Assumptions!$D$5,IF(ISNUMBER(SEARCH(Assumptions!$C$6,D531)),Assumptions!$D$6,IF(ISNUMBER(SEARCH(Assumptions!$C$7,D531)),Assumptions!$D$7,"Other Services"))),"Other Services"))</f>
        <v/>
      </c>
    </row>
    <row r="532" customFormat="false" ht="15" hidden="false" customHeight="false" outlineLevel="0" collapsed="false">
      <c r="J532" s="41" t="str">
        <f aca="false">IF(D532="","",IFERROR(IF(ISNUMBER(SEARCH(Assumptions!$C$5,D532)),Assumptions!$D$5,IF(ISNUMBER(SEARCH(Assumptions!$C$6,D532)),Assumptions!$D$6,IF(ISNUMBER(SEARCH(Assumptions!$C$7,D532)),Assumptions!$D$7,"Other Services"))),"Other Services"))</f>
        <v/>
      </c>
    </row>
    <row r="533" customFormat="false" ht="15" hidden="false" customHeight="false" outlineLevel="0" collapsed="false">
      <c r="J533" s="41" t="str">
        <f aca="false">IF(D533="","",IFERROR(IF(ISNUMBER(SEARCH(Assumptions!$C$5,D533)),Assumptions!$D$5,IF(ISNUMBER(SEARCH(Assumptions!$C$6,D533)),Assumptions!$D$6,IF(ISNUMBER(SEARCH(Assumptions!$C$7,D533)),Assumptions!$D$7,"Other Services"))),"Other Services"))</f>
        <v/>
      </c>
    </row>
    <row r="534" customFormat="false" ht="15" hidden="false" customHeight="false" outlineLevel="0" collapsed="false">
      <c r="J534" s="41" t="str">
        <f aca="false">IF(D534="","",IFERROR(IF(ISNUMBER(SEARCH(Assumptions!$C$5,D534)),Assumptions!$D$5,IF(ISNUMBER(SEARCH(Assumptions!$C$6,D534)),Assumptions!$D$6,IF(ISNUMBER(SEARCH(Assumptions!$C$7,D534)),Assumptions!$D$7,"Other Services"))),"Other Services"))</f>
        <v/>
      </c>
    </row>
    <row r="535" customFormat="false" ht="15" hidden="false" customHeight="false" outlineLevel="0" collapsed="false">
      <c r="J535" s="41" t="str">
        <f aca="false">IF(D535="","",IFERROR(IF(ISNUMBER(SEARCH(Assumptions!$C$5,D535)),Assumptions!$D$5,IF(ISNUMBER(SEARCH(Assumptions!$C$6,D535)),Assumptions!$D$6,IF(ISNUMBER(SEARCH(Assumptions!$C$7,D535)),Assumptions!$D$7,"Other Services"))),"Other Services"))</f>
        <v/>
      </c>
    </row>
    <row r="536" customFormat="false" ht="15" hidden="false" customHeight="false" outlineLevel="0" collapsed="false">
      <c r="J536" s="41" t="str">
        <f aca="false">IF(D536="","",IFERROR(IF(ISNUMBER(SEARCH(Assumptions!$C$5,D536)),Assumptions!$D$5,IF(ISNUMBER(SEARCH(Assumptions!$C$6,D536)),Assumptions!$D$6,IF(ISNUMBER(SEARCH(Assumptions!$C$7,D536)),Assumptions!$D$7,"Other Services"))),"Other Services"))</f>
        <v/>
      </c>
    </row>
    <row r="537" customFormat="false" ht="15" hidden="false" customHeight="false" outlineLevel="0" collapsed="false">
      <c r="J537" s="41" t="str">
        <f aca="false">IF(D537="","",IFERROR(IF(ISNUMBER(SEARCH(Assumptions!$C$5,D537)),Assumptions!$D$5,IF(ISNUMBER(SEARCH(Assumptions!$C$6,D537)),Assumptions!$D$6,IF(ISNUMBER(SEARCH(Assumptions!$C$7,D537)),Assumptions!$D$7,"Other Services"))),"Other Services"))</f>
        <v/>
      </c>
    </row>
    <row r="538" customFormat="false" ht="15" hidden="false" customHeight="false" outlineLevel="0" collapsed="false">
      <c r="J538" s="41" t="str">
        <f aca="false">IF(D538="","",IFERROR(IF(ISNUMBER(SEARCH(Assumptions!$C$5,D538)),Assumptions!$D$5,IF(ISNUMBER(SEARCH(Assumptions!$C$6,D538)),Assumptions!$D$6,IF(ISNUMBER(SEARCH(Assumptions!$C$7,D538)),Assumptions!$D$7,"Other Services"))),"Other Services"))</f>
        <v/>
      </c>
    </row>
    <row r="539" customFormat="false" ht="15" hidden="false" customHeight="false" outlineLevel="0" collapsed="false">
      <c r="J539" s="41" t="str">
        <f aca="false">IF(D539="","",IFERROR(IF(ISNUMBER(SEARCH(Assumptions!$C$5,D539)),Assumptions!$D$5,IF(ISNUMBER(SEARCH(Assumptions!$C$6,D539)),Assumptions!$D$6,IF(ISNUMBER(SEARCH(Assumptions!$C$7,D539)),Assumptions!$D$7,"Other Services"))),"Other Services"))</f>
        <v/>
      </c>
    </row>
    <row r="540" customFormat="false" ht="15" hidden="false" customHeight="false" outlineLevel="0" collapsed="false">
      <c r="J540" s="41" t="str">
        <f aca="false">IF(D540="","",IFERROR(IF(ISNUMBER(SEARCH(Assumptions!$C$5,D540)),Assumptions!$D$5,IF(ISNUMBER(SEARCH(Assumptions!$C$6,D540)),Assumptions!$D$6,IF(ISNUMBER(SEARCH(Assumptions!$C$7,D540)),Assumptions!$D$7,"Other Services"))),"Other Services"))</f>
        <v/>
      </c>
    </row>
    <row r="541" customFormat="false" ht="15" hidden="false" customHeight="false" outlineLevel="0" collapsed="false">
      <c r="J541" s="41" t="str">
        <f aca="false">IF(D541="","",IFERROR(IF(ISNUMBER(SEARCH(Assumptions!$C$5,D541)),Assumptions!$D$5,IF(ISNUMBER(SEARCH(Assumptions!$C$6,D541)),Assumptions!$D$6,IF(ISNUMBER(SEARCH(Assumptions!$C$7,D541)),Assumptions!$D$7,"Other Services"))),"Other Services"))</f>
        <v/>
      </c>
    </row>
    <row r="542" customFormat="false" ht="15" hidden="false" customHeight="false" outlineLevel="0" collapsed="false">
      <c r="J542" s="41" t="str">
        <f aca="false">IF(D542="","",IFERROR(IF(ISNUMBER(SEARCH(Assumptions!$C$5,D542)),Assumptions!$D$5,IF(ISNUMBER(SEARCH(Assumptions!$C$6,D542)),Assumptions!$D$6,IF(ISNUMBER(SEARCH(Assumptions!$C$7,D542)),Assumptions!$D$7,"Other Services"))),"Other Services"))</f>
        <v/>
      </c>
    </row>
    <row r="543" customFormat="false" ht="15" hidden="false" customHeight="false" outlineLevel="0" collapsed="false">
      <c r="J543" s="41" t="str">
        <f aca="false">IF(D543="","",IFERROR(IF(ISNUMBER(SEARCH(Assumptions!$C$5,D543)),Assumptions!$D$5,IF(ISNUMBER(SEARCH(Assumptions!$C$6,D543)),Assumptions!$D$6,IF(ISNUMBER(SEARCH(Assumptions!$C$7,D543)),Assumptions!$D$7,"Other Services"))),"Other Services"))</f>
        <v/>
      </c>
    </row>
    <row r="544" customFormat="false" ht="15" hidden="false" customHeight="false" outlineLevel="0" collapsed="false">
      <c r="J544" s="41" t="str">
        <f aca="false">IF(D544="","",IFERROR(IF(ISNUMBER(SEARCH(Assumptions!$C$5,D544)),Assumptions!$D$5,IF(ISNUMBER(SEARCH(Assumptions!$C$6,D544)),Assumptions!$D$6,IF(ISNUMBER(SEARCH(Assumptions!$C$7,D544)),Assumptions!$D$7,"Other Services"))),"Other Services"))</f>
        <v/>
      </c>
    </row>
    <row r="545" customFormat="false" ht="15" hidden="false" customHeight="false" outlineLevel="0" collapsed="false">
      <c r="J545" s="41" t="str">
        <f aca="false">IF(D545="","",IFERROR(IF(ISNUMBER(SEARCH(Assumptions!$C$5,D545)),Assumptions!$D$5,IF(ISNUMBER(SEARCH(Assumptions!$C$6,D545)),Assumptions!$D$6,IF(ISNUMBER(SEARCH(Assumptions!$C$7,D545)),Assumptions!$D$7,"Other Services"))),"Other Services"))</f>
        <v/>
      </c>
    </row>
    <row r="546" customFormat="false" ht="15" hidden="false" customHeight="false" outlineLevel="0" collapsed="false">
      <c r="J546" s="41" t="str">
        <f aca="false">IF(D546="","",IFERROR(IF(ISNUMBER(SEARCH(Assumptions!$C$5,D546)),Assumptions!$D$5,IF(ISNUMBER(SEARCH(Assumptions!$C$6,D546)),Assumptions!$D$6,IF(ISNUMBER(SEARCH(Assumptions!$C$7,D546)),Assumptions!$D$7,"Other Services"))),"Other Services"))</f>
        <v/>
      </c>
    </row>
    <row r="547" customFormat="false" ht="15" hidden="false" customHeight="false" outlineLevel="0" collapsed="false">
      <c r="J547" s="41" t="str">
        <f aca="false">IF(D547="","",IFERROR(IF(ISNUMBER(SEARCH(Assumptions!$C$5,D547)),Assumptions!$D$5,IF(ISNUMBER(SEARCH(Assumptions!$C$6,D547)),Assumptions!$D$6,IF(ISNUMBER(SEARCH(Assumptions!$C$7,D547)),Assumptions!$D$7,"Other Services"))),"Other Services"))</f>
        <v/>
      </c>
    </row>
    <row r="548" customFormat="false" ht="15" hidden="false" customHeight="false" outlineLevel="0" collapsed="false">
      <c r="J548" s="41" t="str">
        <f aca="false">IF(D548="","",IFERROR(IF(ISNUMBER(SEARCH(Assumptions!$C$5,D548)),Assumptions!$D$5,IF(ISNUMBER(SEARCH(Assumptions!$C$6,D548)),Assumptions!$D$6,IF(ISNUMBER(SEARCH(Assumptions!$C$7,D548)),Assumptions!$D$7,"Other Services"))),"Other Services"))</f>
        <v/>
      </c>
    </row>
    <row r="549" customFormat="false" ht="15" hidden="false" customHeight="false" outlineLevel="0" collapsed="false">
      <c r="J549" s="41" t="str">
        <f aca="false">IF(D549="","",IFERROR(IF(ISNUMBER(SEARCH(Assumptions!$C$5,D549)),Assumptions!$D$5,IF(ISNUMBER(SEARCH(Assumptions!$C$6,D549)),Assumptions!$D$6,IF(ISNUMBER(SEARCH(Assumptions!$C$7,D549)),Assumptions!$D$7,"Other Services"))),"Other Services"))</f>
        <v/>
      </c>
    </row>
    <row r="550" customFormat="false" ht="15" hidden="false" customHeight="false" outlineLevel="0" collapsed="false">
      <c r="J550" s="41" t="str">
        <f aca="false">IF(D550="","",IFERROR(IF(ISNUMBER(SEARCH(Assumptions!$C$5,D550)),Assumptions!$D$5,IF(ISNUMBER(SEARCH(Assumptions!$C$6,D550)),Assumptions!$D$6,IF(ISNUMBER(SEARCH(Assumptions!$C$7,D550)),Assumptions!$D$7,"Other Services"))),"Other Services"))</f>
        <v/>
      </c>
    </row>
    <row r="551" customFormat="false" ht="15" hidden="false" customHeight="false" outlineLevel="0" collapsed="false">
      <c r="J551" s="41" t="str">
        <f aca="false">IF(D551="","",IFERROR(IF(ISNUMBER(SEARCH(Assumptions!$C$5,D551)),Assumptions!$D$5,IF(ISNUMBER(SEARCH(Assumptions!$C$6,D551)),Assumptions!$D$6,IF(ISNUMBER(SEARCH(Assumptions!$C$7,D551)),Assumptions!$D$7,"Other Services"))),"Other Services"))</f>
        <v/>
      </c>
    </row>
    <row r="552" customFormat="false" ht="15" hidden="false" customHeight="false" outlineLevel="0" collapsed="false">
      <c r="J552" s="41" t="str">
        <f aca="false">IF(D552="","",IFERROR(IF(ISNUMBER(SEARCH(Assumptions!$C$5,D552)),Assumptions!$D$5,IF(ISNUMBER(SEARCH(Assumptions!$C$6,D552)),Assumptions!$D$6,IF(ISNUMBER(SEARCH(Assumptions!$C$7,D552)),Assumptions!$D$7,"Other Services"))),"Other Services"))</f>
        <v/>
      </c>
    </row>
    <row r="553" customFormat="false" ht="15" hidden="false" customHeight="false" outlineLevel="0" collapsed="false">
      <c r="J553" s="41" t="str">
        <f aca="false">IF(D553="","",IFERROR(IF(ISNUMBER(SEARCH(Assumptions!$C$5,D553)),Assumptions!$D$5,IF(ISNUMBER(SEARCH(Assumptions!$C$6,D553)),Assumptions!$D$6,IF(ISNUMBER(SEARCH(Assumptions!$C$7,D553)),Assumptions!$D$7,"Other Services"))),"Other Services"))</f>
        <v/>
      </c>
    </row>
    <row r="554" customFormat="false" ht="15" hidden="false" customHeight="false" outlineLevel="0" collapsed="false">
      <c r="J554" s="41" t="str">
        <f aca="false">IF(D554="","",IFERROR(IF(ISNUMBER(SEARCH(Assumptions!$C$5,D554)),Assumptions!$D$5,IF(ISNUMBER(SEARCH(Assumptions!$C$6,D554)),Assumptions!$D$6,IF(ISNUMBER(SEARCH(Assumptions!$C$7,D554)),Assumptions!$D$7,"Other Services"))),"Other Services"))</f>
        <v/>
      </c>
    </row>
    <row r="555" customFormat="false" ht="15" hidden="false" customHeight="false" outlineLevel="0" collapsed="false">
      <c r="J555" s="41" t="str">
        <f aca="false">IF(D555="","",IFERROR(IF(ISNUMBER(SEARCH(Assumptions!$C$5,D555)),Assumptions!$D$5,IF(ISNUMBER(SEARCH(Assumptions!$C$6,D555)),Assumptions!$D$6,IF(ISNUMBER(SEARCH(Assumptions!$C$7,D555)),Assumptions!$D$7,"Other Services"))),"Other Services"))</f>
        <v/>
      </c>
    </row>
    <row r="556" customFormat="false" ht="15" hidden="false" customHeight="false" outlineLevel="0" collapsed="false">
      <c r="J556" s="41" t="str">
        <f aca="false">IF(D556="","",IFERROR(IF(ISNUMBER(SEARCH(Assumptions!$C$5,D556)),Assumptions!$D$5,IF(ISNUMBER(SEARCH(Assumptions!$C$6,D556)),Assumptions!$D$6,IF(ISNUMBER(SEARCH(Assumptions!$C$7,D556)),Assumptions!$D$7,"Other Services"))),"Other Services"))</f>
        <v/>
      </c>
    </row>
    <row r="557" customFormat="false" ht="15" hidden="false" customHeight="false" outlineLevel="0" collapsed="false">
      <c r="J557" s="41" t="str">
        <f aca="false">IF(D557="","",IFERROR(IF(ISNUMBER(SEARCH(Assumptions!$C$5,D557)),Assumptions!$D$5,IF(ISNUMBER(SEARCH(Assumptions!$C$6,D557)),Assumptions!$D$6,IF(ISNUMBER(SEARCH(Assumptions!$C$7,D557)),Assumptions!$D$7,"Other Services"))),"Other Services"))</f>
        <v/>
      </c>
    </row>
    <row r="558" customFormat="false" ht="15" hidden="false" customHeight="false" outlineLevel="0" collapsed="false">
      <c r="J558" s="41" t="str">
        <f aca="false">IF(D558="","",IFERROR(IF(ISNUMBER(SEARCH(Assumptions!$C$5,D558)),Assumptions!$D$5,IF(ISNUMBER(SEARCH(Assumptions!$C$6,D558)),Assumptions!$D$6,IF(ISNUMBER(SEARCH(Assumptions!$C$7,D558)),Assumptions!$D$7,"Other Services"))),"Other Services"))</f>
        <v/>
      </c>
    </row>
    <row r="559" customFormat="false" ht="15" hidden="false" customHeight="false" outlineLevel="0" collapsed="false">
      <c r="J559" s="41" t="str">
        <f aca="false">IF(D559="","",IFERROR(IF(ISNUMBER(SEARCH(Assumptions!$C$5,D559)),Assumptions!$D$5,IF(ISNUMBER(SEARCH(Assumptions!$C$6,D559)),Assumptions!$D$6,IF(ISNUMBER(SEARCH(Assumptions!$C$7,D559)),Assumptions!$D$7,"Other Services"))),"Other Services"))</f>
        <v/>
      </c>
    </row>
    <row r="560" customFormat="false" ht="15" hidden="false" customHeight="false" outlineLevel="0" collapsed="false">
      <c r="J560" s="41" t="str">
        <f aca="false">IF(D560="","",IFERROR(IF(ISNUMBER(SEARCH(Assumptions!$C$5,D560)),Assumptions!$D$5,IF(ISNUMBER(SEARCH(Assumptions!$C$6,D560)),Assumptions!$D$6,IF(ISNUMBER(SEARCH(Assumptions!$C$7,D560)),Assumptions!$D$7,"Other Services"))),"Other Services"))</f>
        <v/>
      </c>
    </row>
    <row r="561" customFormat="false" ht="15" hidden="false" customHeight="false" outlineLevel="0" collapsed="false">
      <c r="J561" s="41" t="str">
        <f aca="false">IF(D561="","",IFERROR(IF(ISNUMBER(SEARCH(Assumptions!$C$5,D561)),Assumptions!$D$5,IF(ISNUMBER(SEARCH(Assumptions!$C$6,D561)),Assumptions!$D$6,IF(ISNUMBER(SEARCH(Assumptions!$C$7,D561)),Assumptions!$D$7,"Other Services"))),"Other Services"))</f>
        <v/>
      </c>
    </row>
    <row r="562" customFormat="false" ht="15" hidden="false" customHeight="false" outlineLevel="0" collapsed="false">
      <c r="J562" s="41" t="str">
        <f aca="false">IF(D562="","",IFERROR(IF(ISNUMBER(SEARCH(Assumptions!$C$5,D562)),Assumptions!$D$5,IF(ISNUMBER(SEARCH(Assumptions!$C$6,D562)),Assumptions!$D$6,IF(ISNUMBER(SEARCH(Assumptions!$C$7,D562)),Assumptions!$D$7,"Other Services"))),"Other Services"))</f>
        <v/>
      </c>
    </row>
    <row r="563" customFormat="false" ht="15" hidden="false" customHeight="false" outlineLevel="0" collapsed="false">
      <c r="J563" s="41" t="str">
        <f aca="false">IF(D563="","",IFERROR(IF(ISNUMBER(SEARCH(Assumptions!$C$5,D563)),Assumptions!$D$5,IF(ISNUMBER(SEARCH(Assumptions!$C$6,D563)),Assumptions!$D$6,IF(ISNUMBER(SEARCH(Assumptions!$C$7,D563)),Assumptions!$D$7,"Other Services"))),"Other Services"))</f>
        <v/>
      </c>
    </row>
    <row r="564" customFormat="false" ht="15" hidden="false" customHeight="false" outlineLevel="0" collapsed="false">
      <c r="J564" s="41" t="str">
        <f aca="false">IF(D564="","",IFERROR(IF(ISNUMBER(SEARCH(Assumptions!$C$5,D564)),Assumptions!$D$5,IF(ISNUMBER(SEARCH(Assumptions!$C$6,D564)),Assumptions!$D$6,IF(ISNUMBER(SEARCH(Assumptions!$C$7,D564)),Assumptions!$D$7,"Other Services"))),"Other Services"))</f>
        <v/>
      </c>
    </row>
    <row r="565" customFormat="false" ht="15" hidden="false" customHeight="false" outlineLevel="0" collapsed="false">
      <c r="J565" s="41" t="str">
        <f aca="false">IF(D565="","",IFERROR(IF(ISNUMBER(SEARCH(Assumptions!$C$5,D565)),Assumptions!$D$5,IF(ISNUMBER(SEARCH(Assumptions!$C$6,D565)),Assumptions!$D$6,IF(ISNUMBER(SEARCH(Assumptions!$C$7,D565)),Assumptions!$D$7,"Other Services"))),"Other Services"))</f>
        <v/>
      </c>
    </row>
    <row r="566" customFormat="false" ht="15" hidden="false" customHeight="false" outlineLevel="0" collapsed="false">
      <c r="J566" s="41" t="str">
        <f aca="false">IF(D566="","",IFERROR(IF(ISNUMBER(SEARCH(Assumptions!$C$5,D566)),Assumptions!$D$5,IF(ISNUMBER(SEARCH(Assumptions!$C$6,D566)),Assumptions!$D$6,IF(ISNUMBER(SEARCH(Assumptions!$C$7,D566)),Assumptions!$D$7,"Other Services"))),"Other Services"))</f>
        <v/>
      </c>
    </row>
    <row r="567" customFormat="false" ht="15" hidden="false" customHeight="false" outlineLevel="0" collapsed="false">
      <c r="J567" s="41" t="str">
        <f aca="false">IF(D567="","",IFERROR(IF(ISNUMBER(SEARCH(Assumptions!$C$5,D567)),Assumptions!$D$5,IF(ISNUMBER(SEARCH(Assumptions!$C$6,D567)),Assumptions!$D$6,IF(ISNUMBER(SEARCH(Assumptions!$C$7,D567)),Assumptions!$D$7,"Other Services"))),"Other Services"))</f>
        <v/>
      </c>
    </row>
    <row r="568" customFormat="false" ht="15" hidden="false" customHeight="false" outlineLevel="0" collapsed="false">
      <c r="J568" s="41" t="str">
        <f aca="false">IF(D568="","",IFERROR(IF(ISNUMBER(SEARCH(Assumptions!$C$5,D568)),Assumptions!$D$5,IF(ISNUMBER(SEARCH(Assumptions!$C$6,D568)),Assumptions!$D$6,IF(ISNUMBER(SEARCH(Assumptions!$C$7,D568)),Assumptions!$D$7,"Other Services"))),"Other Services"))</f>
        <v/>
      </c>
    </row>
    <row r="569" customFormat="false" ht="15" hidden="false" customHeight="false" outlineLevel="0" collapsed="false">
      <c r="J569" s="41" t="str">
        <f aca="false">IF(D569="","",IFERROR(IF(ISNUMBER(SEARCH(Assumptions!$C$5,D569)),Assumptions!$D$5,IF(ISNUMBER(SEARCH(Assumptions!$C$6,D569)),Assumptions!$D$6,IF(ISNUMBER(SEARCH(Assumptions!$C$7,D569)),Assumptions!$D$7,"Other Services"))),"Other Services"))</f>
        <v/>
      </c>
    </row>
    <row r="570" customFormat="false" ht="15" hidden="false" customHeight="false" outlineLevel="0" collapsed="false">
      <c r="J570" s="41" t="str">
        <f aca="false">IF(D570="","",IFERROR(IF(ISNUMBER(SEARCH(Assumptions!$C$5,D570)),Assumptions!$D$5,IF(ISNUMBER(SEARCH(Assumptions!$C$6,D570)),Assumptions!$D$6,IF(ISNUMBER(SEARCH(Assumptions!$C$7,D570)),Assumptions!$D$7,"Other Services"))),"Other Services"))</f>
        <v/>
      </c>
    </row>
    <row r="571" customFormat="false" ht="15" hidden="false" customHeight="false" outlineLevel="0" collapsed="false">
      <c r="J571" s="41" t="str">
        <f aca="false">IF(D571="","",IFERROR(IF(ISNUMBER(SEARCH(Assumptions!$C$5,D571)),Assumptions!$D$5,IF(ISNUMBER(SEARCH(Assumptions!$C$6,D571)),Assumptions!$D$6,IF(ISNUMBER(SEARCH(Assumptions!$C$7,D571)),Assumptions!$D$7,"Other Services"))),"Other Services"))</f>
        <v/>
      </c>
    </row>
    <row r="572" customFormat="false" ht="15" hidden="false" customHeight="false" outlineLevel="0" collapsed="false">
      <c r="J572" s="41" t="str">
        <f aca="false">IF(D572="","",IFERROR(IF(ISNUMBER(SEARCH(Assumptions!$C$5,D572)),Assumptions!$D$5,IF(ISNUMBER(SEARCH(Assumptions!$C$6,D572)),Assumptions!$D$6,IF(ISNUMBER(SEARCH(Assumptions!$C$7,D572)),Assumptions!$D$7,"Other Services"))),"Other Services"))</f>
        <v/>
      </c>
    </row>
    <row r="573" customFormat="false" ht="15" hidden="false" customHeight="false" outlineLevel="0" collapsed="false">
      <c r="J573" s="41" t="str">
        <f aca="false">IF(D573="","",IFERROR(IF(ISNUMBER(SEARCH(Assumptions!$C$5,D573)),Assumptions!$D$5,IF(ISNUMBER(SEARCH(Assumptions!$C$6,D573)),Assumptions!$D$6,IF(ISNUMBER(SEARCH(Assumptions!$C$7,D573)),Assumptions!$D$7,"Other Services"))),"Other Services"))</f>
        <v/>
      </c>
    </row>
    <row r="574" customFormat="false" ht="15" hidden="false" customHeight="false" outlineLevel="0" collapsed="false">
      <c r="J574" s="41" t="str">
        <f aca="false">IF(D574="","",IFERROR(IF(ISNUMBER(SEARCH(Assumptions!$C$5,D574)),Assumptions!$D$5,IF(ISNUMBER(SEARCH(Assumptions!$C$6,D574)),Assumptions!$D$6,IF(ISNUMBER(SEARCH(Assumptions!$C$7,D574)),Assumptions!$D$7,"Other Services"))),"Other Services"))</f>
        <v/>
      </c>
    </row>
    <row r="575" customFormat="false" ht="15" hidden="false" customHeight="false" outlineLevel="0" collapsed="false">
      <c r="J575" s="41" t="str">
        <f aca="false">IF(D575="","",IFERROR(IF(ISNUMBER(SEARCH(Assumptions!$C$5,D575)),Assumptions!$D$5,IF(ISNUMBER(SEARCH(Assumptions!$C$6,D575)),Assumptions!$D$6,IF(ISNUMBER(SEARCH(Assumptions!$C$7,D575)),Assumptions!$D$7,"Other Services"))),"Other Services"))</f>
        <v/>
      </c>
    </row>
    <row r="576" customFormat="false" ht="15" hidden="false" customHeight="false" outlineLevel="0" collapsed="false">
      <c r="J576" s="41" t="str">
        <f aca="false">IF(D576="","",IFERROR(IF(ISNUMBER(SEARCH(Assumptions!$C$5,D576)),Assumptions!$D$5,IF(ISNUMBER(SEARCH(Assumptions!$C$6,D576)),Assumptions!$D$6,IF(ISNUMBER(SEARCH(Assumptions!$C$7,D576)),Assumptions!$D$7,"Other Services"))),"Other Services"))</f>
        <v/>
      </c>
    </row>
    <row r="577" customFormat="false" ht="15" hidden="false" customHeight="false" outlineLevel="0" collapsed="false">
      <c r="J577" s="41" t="str">
        <f aca="false">IF(D577="","",IFERROR(IF(ISNUMBER(SEARCH(Assumptions!$C$5,D577)),Assumptions!$D$5,IF(ISNUMBER(SEARCH(Assumptions!$C$6,D577)),Assumptions!$D$6,IF(ISNUMBER(SEARCH(Assumptions!$C$7,D577)),Assumptions!$D$7,"Other Services"))),"Other Services"))</f>
        <v/>
      </c>
    </row>
    <row r="578" customFormat="false" ht="15" hidden="false" customHeight="false" outlineLevel="0" collapsed="false">
      <c r="J578" s="41" t="str">
        <f aca="false">IF(D578="","",IFERROR(IF(ISNUMBER(SEARCH(Assumptions!$C$5,D578)),Assumptions!$D$5,IF(ISNUMBER(SEARCH(Assumptions!$C$6,D578)),Assumptions!$D$6,IF(ISNUMBER(SEARCH(Assumptions!$C$7,D578)),Assumptions!$D$7,"Other Services"))),"Other Services"))</f>
        <v/>
      </c>
    </row>
    <row r="579" customFormat="false" ht="15" hidden="false" customHeight="false" outlineLevel="0" collapsed="false">
      <c r="J579" s="41" t="str">
        <f aca="false">IF(D579="","",IFERROR(IF(ISNUMBER(SEARCH(Assumptions!$C$5,D579)),Assumptions!$D$5,IF(ISNUMBER(SEARCH(Assumptions!$C$6,D579)),Assumptions!$D$6,IF(ISNUMBER(SEARCH(Assumptions!$C$7,D579)),Assumptions!$D$7,"Other Services"))),"Other Services"))</f>
        <v/>
      </c>
    </row>
    <row r="580" customFormat="false" ht="15" hidden="false" customHeight="false" outlineLevel="0" collapsed="false">
      <c r="J580" s="41" t="str">
        <f aca="false">IF(D580="","",IFERROR(IF(ISNUMBER(SEARCH(Assumptions!$C$5,D580)),Assumptions!$D$5,IF(ISNUMBER(SEARCH(Assumptions!$C$6,D580)),Assumptions!$D$6,IF(ISNUMBER(SEARCH(Assumptions!$C$7,D580)),Assumptions!$D$7,"Other Services"))),"Other Services"))</f>
        <v/>
      </c>
    </row>
    <row r="581" customFormat="false" ht="15" hidden="false" customHeight="false" outlineLevel="0" collapsed="false">
      <c r="J581" s="41" t="str">
        <f aca="false">IF(D581="","",IFERROR(IF(ISNUMBER(SEARCH(Assumptions!$C$5,D581)),Assumptions!$D$5,IF(ISNUMBER(SEARCH(Assumptions!$C$6,D581)),Assumptions!$D$6,IF(ISNUMBER(SEARCH(Assumptions!$C$7,D581)),Assumptions!$D$7,"Other Services"))),"Other Services"))</f>
        <v/>
      </c>
    </row>
    <row r="582" customFormat="false" ht="15" hidden="false" customHeight="false" outlineLevel="0" collapsed="false">
      <c r="J582" s="41" t="str">
        <f aca="false">IF(D582="","",IFERROR(IF(ISNUMBER(SEARCH(Assumptions!$C$5,D582)),Assumptions!$D$5,IF(ISNUMBER(SEARCH(Assumptions!$C$6,D582)),Assumptions!$D$6,IF(ISNUMBER(SEARCH(Assumptions!$C$7,D582)),Assumptions!$D$7,"Other Services"))),"Other Services"))</f>
        <v/>
      </c>
    </row>
    <row r="583" customFormat="false" ht="15" hidden="false" customHeight="false" outlineLevel="0" collapsed="false">
      <c r="J583" s="41" t="str">
        <f aca="false">IF(D583="","",IFERROR(IF(ISNUMBER(SEARCH(Assumptions!$C$5,D583)),Assumptions!$D$5,IF(ISNUMBER(SEARCH(Assumptions!$C$6,D583)),Assumptions!$D$6,IF(ISNUMBER(SEARCH(Assumptions!$C$7,D583)),Assumptions!$D$7,"Other Services"))),"Other Services"))</f>
        <v/>
      </c>
    </row>
    <row r="584" customFormat="false" ht="15" hidden="false" customHeight="false" outlineLevel="0" collapsed="false">
      <c r="J584" s="41" t="str">
        <f aca="false">IF(D584="","",IFERROR(IF(ISNUMBER(SEARCH(Assumptions!$C$5,D584)),Assumptions!$D$5,IF(ISNUMBER(SEARCH(Assumptions!$C$6,D584)),Assumptions!$D$6,IF(ISNUMBER(SEARCH(Assumptions!$C$7,D584)),Assumptions!$D$7,"Other Services"))),"Other Services"))</f>
        <v/>
      </c>
    </row>
    <row r="585" customFormat="false" ht="15" hidden="false" customHeight="false" outlineLevel="0" collapsed="false">
      <c r="J585" s="41" t="str">
        <f aca="false">IF(D585="","",IFERROR(IF(ISNUMBER(SEARCH(Assumptions!$C$5,D585)),Assumptions!$D$5,IF(ISNUMBER(SEARCH(Assumptions!$C$6,D585)),Assumptions!$D$6,IF(ISNUMBER(SEARCH(Assumptions!$C$7,D585)),Assumptions!$D$7,"Other Services"))),"Other Services"))</f>
        <v/>
      </c>
    </row>
    <row r="586" customFormat="false" ht="15" hidden="false" customHeight="false" outlineLevel="0" collapsed="false">
      <c r="J586" s="41" t="str">
        <f aca="false">IF(D586="","",IFERROR(IF(ISNUMBER(SEARCH(Assumptions!$C$5,D586)),Assumptions!$D$5,IF(ISNUMBER(SEARCH(Assumptions!$C$6,D586)),Assumptions!$D$6,IF(ISNUMBER(SEARCH(Assumptions!$C$7,D586)),Assumptions!$D$7,"Other Services"))),"Other Services"))</f>
        <v/>
      </c>
    </row>
    <row r="587" customFormat="false" ht="15" hidden="false" customHeight="false" outlineLevel="0" collapsed="false">
      <c r="J587" s="41" t="str">
        <f aca="false">IF(D587="","",IFERROR(IF(ISNUMBER(SEARCH(Assumptions!$C$5,D587)),Assumptions!$D$5,IF(ISNUMBER(SEARCH(Assumptions!$C$6,D587)),Assumptions!$D$6,IF(ISNUMBER(SEARCH(Assumptions!$C$7,D587)),Assumptions!$D$7,"Other Services"))),"Other Services"))</f>
        <v/>
      </c>
    </row>
    <row r="588" customFormat="false" ht="15" hidden="false" customHeight="false" outlineLevel="0" collapsed="false">
      <c r="J588" s="41" t="str">
        <f aca="false">IF(D588="","",IFERROR(IF(ISNUMBER(SEARCH(Assumptions!$C$5,D588)),Assumptions!$D$5,IF(ISNUMBER(SEARCH(Assumptions!$C$6,D588)),Assumptions!$D$6,IF(ISNUMBER(SEARCH(Assumptions!$C$7,D588)),Assumptions!$D$7,"Other Services"))),"Other Services"))</f>
        <v/>
      </c>
    </row>
    <row r="589" customFormat="false" ht="15" hidden="false" customHeight="false" outlineLevel="0" collapsed="false">
      <c r="J589" s="41" t="str">
        <f aca="false">IF(D589="","",IFERROR(IF(ISNUMBER(SEARCH(Assumptions!$C$5,D589)),Assumptions!$D$5,IF(ISNUMBER(SEARCH(Assumptions!$C$6,D589)),Assumptions!$D$6,IF(ISNUMBER(SEARCH(Assumptions!$C$7,D589)),Assumptions!$D$7,"Other Services"))),"Other Services"))</f>
        <v/>
      </c>
    </row>
    <row r="590" customFormat="false" ht="15" hidden="false" customHeight="false" outlineLevel="0" collapsed="false">
      <c r="J590" s="41" t="str">
        <f aca="false">IF(D590="","",IFERROR(IF(ISNUMBER(SEARCH(Assumptions!$C$5,D590)),Assumptions!$D$5,IF(ISNUMBER(SEARCH(Assumptions!$C$6,D590)),Assumptions!$D$6,IF(ISNUMBER(SEARCH(Assumptions!$C$7,D590)),Assumptions!$D$7,"Other Services"))),"Other Services"))</f>
        <v/>
      </c>
    </row>
    <row r="591" customFormat="false" ht="15" hidden="false" customHeight="false" outlineLevel="0" collapsed="false">
      <c r="J591" s="41" t="str">
        <f aca="false">IF(D591="","",IFERROR(IF(ISNUMBER(SEARCH(Assumptions!$C$5,D591)),Assumptions!$D$5,IF(ISNUMBER(SEARCH(Assumptions!$C$6,D591)),Assumptions!$D$6,IF(ISNUMBER(SEARCH(Assumptions!$C$7,D591)),Assumptions!$D$7,"Other Services"))),"Other Services"))</f>
        <v/>
      </c>
    </row>
    <row r="592" customFormat="false" ht="15" hidden="false" customHeight="false" outlineLevel="0" collapsed="false">
      <c r="J592" s="41" t="str">
        <f aca="false">IF(D592="","",IFERROR(IF(ISNUMBER(SEARCH(Assumptions!$C$5,D592)),Assumptions!$D$5,IF(ISNUMBER(SEARCH(Assumptions!$C$6,D592)),Assumptions!$D$6,IF(ISNUMBER(SEARCH(Assumptions!$C$7,D592)),Assumptions!$D$7,"Other Services"))),"Other Services"))</f>
        <v/>
      </c>
    </row>
    <row r="593" customFormat="false" ht="15" hidden="false" customHeight="false" outlineLevel="0" collapsed="false">
      <c r="J593" s="41" t="str">
        <f aca="false">IF(D593="","",IFERROR(IF(ISNUMBER(SEARCH(Assumptions!$C$5,D593)),Assumptions!$D$5,IF(ISNUMBER(SEARCH(Assumptions!$C$6,D593)),Assumptions!$D$6,IF(ISNUMBER(SEARCH(Assumptions!$C$7,D593)),Assumptions!$D$7,"Other Services"))),"Other Services"))</f>
        <v/>
      </c>
    </row>
    <row r="594" customFormat="false" ht="15" hidden="false" customHeight="false" outlineLevel="0" collapsed="false">
      <c r="J594" s="41" t="str">
        <f aca="false">IF(D594="","",IFERROR(IF(ISNUMBER(SEARCH(Assumptions!$C$5,D594)),Assumptions!$D$5,IF(ISNUMBER(SEARCH(Assumptions!$C$6,D594)),Assumptions!$D$6,IF(ISNUMBER(SEARCH(Assumptions!$C$7,D594)),Assumptions!$D$7,"Other Services"))),"Other Services"))</f>
        <v/>
      </c>
    </row>
    <row r="595" customFormat="false" ht="15" hidden="false" customHeight="false" outlineLevel="0" collapsed="false">
      <c r="J595" s="41" t="str">
        <f aca="false">IF(D595="","",IFERROR(IF(ISNUMBER(SEARCH(Assumptions!$C$5,D595)),Assumptions!$D$5,IF(ISNUMBER(SEARCH(Assumptions!$C$6,D595)),Assumptions!$D$6,IF(ISNUMBER(SEARCH(Assumptions!$C$7,D595)),Assumptions!$D$7,"Other Services"))),"Other Services"))</f>
        <v/>
      </c>
    </row>
    <row r="596" customFormat="false" ht="15" hidden="false" customHeight="false" outlineLevel="0" collapsed="false">
      <c r="J596" s="41" t="str">
        <f aca="false">IF(D596="","",IFERROR(IF(ISNUMBER(SEARCH(Assumptions!$C$5,D596)),Assumptions!$D$5,IF(ISNUMBER(SEARCH(Assumptions!$C$6,D596)),Assumptions!$D$6,IF(ISNUMBER(SEARCH(Assumptions!$C$7,D596)),Assumptions!$D$7,"Other Services"))),"Other Services"))</f>
        <v/>
      </c>
    </row>
    <row r="597" customFormat="false" ht="15" hidden="false" customHeight="false" outlineLevel="0" collapsed="false">
      <c r="J597" s="41" t="str">
        <f aca="false">IF(D597="","",IFERROR(IF(ISNUMBER(SEARCH(Assumptions!$C$5,D597)),Assumptions!$D$5,IF(ISNUMBER(SEARCH(Assumptions!$C$6,D597)),Assumptions!$D$6,IF(ISNUMBER(SEARCH(Assumptions!$C$7,D597)),Assumptions!$D$7,"Other Services"))),"Other Services"))</f>
        <v/>
      </c>
    </row>
    <row r="598" customFormat="false" ht="15" hidden="false" customHeight="false" outlineLevel="0" collapsed="false">
      <c r="J598" s="41" t="str">
        <f aca="false">IF(D598="","",IFERROR(IF(ISNUMBER(SEARCH(Assumptions!$C$5,D598)),Assumptions!$D$5,IF(ISNUMBER(SEARCH(Assumptions!$C$6,D598)),Assumptions!$D$6,IF(ISNUMBER(SEARCH(Assumptions!$C$7,D598)),Assumptions!$D$7,"Other Services"))),"Other Services"))</f>
        <v/>
      </c>
    </row>
    <row r="599" customFormat="false" ht="15" hidden="false" customHeight="false" outlineLevel="0" collapsed="false">
      <c r="J599" s="41" t="str">
        <f aca="false">IF(D599="","",IFERROR(IF(ISNUMBER(SEARCH(Assumptions!$C$5,D599)),Assumptions!$D$5,IF(ISNUMBER(SEARCH(Assumptions!$C$6,D599)),Assumptions!$D$6,IF(ISNUMBER(SEARCH(Assumptions!$C$7,D599)),Assumptions!$D$7,"Other Services"))),"Other Services"))</f>
        <v/>
      </c>
    </row>
    <row r="600" customFormat="false" ht="15" hidden="false" customHeight="false" outlineLevel="0" collapsed="false">
      <c r="J600" s="41" t="str">
        <f aca="false">IF(D600="","",IFERROR(IF(ISNUMBER(SEARCH(Assumptions!$C$5,D600)),Assumptions!$D$5,IF(ISNUMBER(SEARCH(Assumptions!$C$6,D600)),Assumptions!$D$6,IF(ISNUMBER(SEARCH(Assumptions!$C$7,D600)),Assumptions!$D$7,"Other Services"))),"Other Services"))</f>
        <v/>
      </c>
    </row>
    <row r="601" customFormat="false" ht="15" hidden="false" customHeight="false" outlineLevel="0" collapsed="false">
      <c r="J601" s="41" t="str">
        <f aca="false">IF(D601="","",IFERROR(IF(ISNUMBER(SEARCH(Assumptions!$C$5,D601)),Assumptions!$D$5,IF(ISNUMBER(SEARCH(Assumptions!$C$6,D601)),Assumptions!$D$6,IF(ISNUMBER(SEARCH(Assumptions!$C$7,D601)),Assumptions!$D$7,"Other Services"))),"Other Services"))</f>
        <v/>
      </c>
    </row>
    <row r="602" customFormat="false" ht="15" hidden="false" customHeight="false" outlineLevel="0" collapsed="false">
      <c r="J602" s="41" t="str">
        <f aca="false">IF(D602="","",IFERROR(IF(ISNUMBER(SEARCH(Assumptions!$C$5,D602)),Assumptions!$D$5,IF(ISNUMBER(SEARCH(Assumptions!$C$6,D602)),Assumptions!$D$6,IF(ISNUMBER(SEARCH(Assumptions!$C$7,D602)),Assumptions!$D$7,"Other Services"))),"Other Services"))</f>
        <v/>
      </c>
    </row>
    <row r="603" customFormat="false" ht="15" hidden="false" customHeight="false" outlineLevel="0" collapsed="false">
      <c r="J603" s="41" t="str">
        <f aca="false">IF(D603="","",IFERROR(IF(ISNUMBER(SEARCH(Assumptions!$C$5,D603)),Assumptions!$D$5,IF(ISNUMBER(SEARCH(Assumptions!$C$6,D603)),Assumptions!$D$6,IF(ISNUMBER(SEARCH(Assumptions!$C$7,D603)),Assumptions!$D$7,"Other Services"))),"Other Services"))</f>
        <v/>
      </c>
    </row>
    <row r="604" customFormat="false" ht="15" hidden="false" customHeight="false" outlineLevel="0" collapsed="false">
      <c r="J604" s="41" t="str">
        <f aca="false">IF(D604="","",IFERROR(IF(ISNUMBER(SEARCH(Assumptions!$C$5,D604)),Assumptions!$D$5,IF(ISNUMBER(SEARCH(Assumptions!$C$6,D604)),Assumptions!$D$6,IF(ISNUMBER(SEARCH(Assumptions!$C$7,D604)),Assumptions!$D$7,"Other Services"))),"Other Services"))</f>
        <v/>
      </c>
    </row>
    <row r="605" customFormat="false" ht="15" hidden="false" customHeight="false" outlineLevel="0" collapsed="false">
      <c r="J605" s="41" t="str">
        <f aca="false">IF(D605="","",IFERROR(IF(ISNUMBER(SEARCH(Assumptions!$C$5,D605)),Assumptions!$D$5,IF(ISNUMBER(SEARCH(Assumptions!$C$6,D605)),Assumptions!$D$6,IF(ISNUMBER(SEARCH(Assumptions!$C$7,D605)),Assumptions!$D$7,"Other Services"))),"Other Services"))</f>
        <v/>
      </c>
    </row>
    <row r="606" customFormat="false" ht="15" hidden="false" customHeight="false" outlineLevel="0" collapsed="false">
      <c r="J606" s="41" t="str">
        <f aca="false">IF(D606="","",IFERROR(IF(ISNUMBER(SEARCH(Assumptions!$C$5,D606)),Assumptions!$D$5,IF(ISNUMBER(SEARCH(Assumptions!$C$6,D606)),Assumptions!$D$6,IF(ISNUMBER(SEARCH(Assumptions!$C$7,D606)),Assumptions!$D$7,"Other Services"))),"Other Services"))</f>
        <v/>
      </c>
    </row>
    <row r="607" customFormat="false" ht="15" hidden="false" customHeight="false" outlineLevel="0" collapsed="false">
      <c r="J607" s="41" t="str">
        <f aca="false">IF(D607="","",IFERROR(IF(ISNUMBER(SEARCH(Assumptions!$C$5,D607)),Assumptions!$D$5,IF(ISNUMBER(SEARCH(Assumptions!$C$6,D607)),Assumptions!$D$6,IF(ISNUMBER(SEARCH(Assumptions!$C$7,D607)),Assumptions!$D$7,"Other Services"))),"Other Services"))</f>
        <v/>
      </c>
    </row>
    <row r="608" customFormat="false" ht="15" hidden="false" customHeight="false" outlineLevel="0" collapsed="false">
      <c r="J608" s="41" t="str">
        <f aca="false">IF(D608="","",IFERROR(IF(ISNUMBER(SEARCH(Assumptions!$C$5,D608)),Assumptions!$D$5,IF(ISNUMBER(SEARCH(Assumptions!$C$6,D608)),Assumptions!$D$6,IF(ISNUMBER(SEARCH(Assumptions!$C$7,D608)),Assumptions!$D$7,"Other Services"))),"Other Services"))</f>
        <v/>
      </c>
    </row>
    <row r="609" customFormat="false" ht="15" hidden="false" customHeight="false" outlineLevel="0" collapsed="false">
      <c r="J609" s="41" t="str">
        <f aca="false">IF(D609="","",IFERROR(IF(ISNUMBER(SEARCH(Assumptions!$C$5,D609)),Assumptions!$D$5,IF(ISNUMBER(SEARCH(Assumptions!$C$6,D609)),Assumptions!$D$6,IF(ISNUMBER(SEARCH(Assumptions!$C$7,D609)),Assumptions!$D$7,"Other Services"))),"Other Services"))</f>
        <v/>
      </c>
    </row>
    <row r="610" customFormat="false" ht="15" hidden="false" customHeight="false" outlineLevel="0" collapsed="false">
      <c r="J610" s="41" t="str">
        <f aca="false">IF(D610="","",IFERROR(IF(ISNUMBER(SEARCH(Assumptions!$C$5,D610)),Assumptions!$D$5,IF(ISNUMBER(SEARCH(Assumptions!$C$6,D610)),Assumptions!$D$6,IF(ISNUMBER(SEARCH(Assumptions!$C$7,D610)),Assumptions!$D$7,"Other Services"))),"Other Services"))</f>
        <v/>
      </c>
    </row>
    <row r="611" customFormat="false" ht="15" hidden="false" customHeight="false" outlineLevel="0" collapsed="false">
      <c r="J611" s="41" t="str">
        <f aca="false">IF(D611="","",IFERROR(IF(ISNUMBER(SEARCH(Assumptions!$C$5,D611)),Assumptions!$D$5,IF(ISNUMBER(SEARCH(Assumptions!$C$6,D611)),Assumptions!$D$6,IF(ISNUMBER(SEARCH(Assumptions!$C$7,D611)),Assumptions!$D$7,"Other Services"))),"Other Services"))</f>
        <v/>
      </c>
    </row>
    <row r="612" customFormat="false" ht="15" hidden="false" customHeight="false" outlineLevel="0" collapsed="false">
      <c r="J612" s="41" t="str">
        <f aca="false">IF(D612="","",IFERROR(IF(ISNUMBER(SEARCH(Assumptions!$C$5,D612)),Assumptions!$D$5,IF(ISNUMBER(SEARCH(Assumptions!$C$6,D612)),Assumptions!$D$6,IF(ISNUMBER(SEARCH(Assumptions!$C$7,D612)),Assumptions!$D$7,"Other Services"))),"Other Services"))</f>
        <v/>
      </c>
    </row>
    <row r="613" customFormat="false" ht="15" hidden="false" customHeight="false" outlineLevel="0" collapsed="false">
      <c r="J613" s="41" t="str">
        <f aca="false">IF(D613="","",IFERROR(IF(ISNUMBER(SEARCH(Assumptions!$C$5,D613)),Assumptions!$D$5,IF(ISNUMBER(SEARCH(Assumptions!$C$6,D613)),Assumptions!$D$6,IF(ISNUMBER(SEARCH(Assumptions!$C$7,D613)),Assumptions!$D$7,"Other Services"))),"Other Services"))</f>
        <v/>
      </c>
    </row>
    <row r="614" customFormat="false" ht="15" hidden="false" customHeight="false" outlineLevel="0" collapsed="false">
      <c r="J614" s="41" t="str">
        <f aca="false">IF(D614="","",IFERROR(IF(ISNUMBER(SEARCH(Assumptions!$C$5,D614)),Assumptions!$D$5,IF(ISNUMBER(SEARCH(Assumptions!$C$6,D614)),Assumptions!$D$6,IF(ISNUMBER(SEARCH(Assumptions!$C$7,D614)),Assumptions!$D$7,"Other Services"))),"Other Services"))</f>
        <v/>
      </c>
    </row>
    <row r="615" customFormat="false" ht="15" hidden="false" customHeight="false" outlineLevel="0" collapsed="false">
      <c r="J615" s="41" t="str">
        <f aca="false">IF(D615="","",IFERROR(IF(ISNUMBER(SEARCH(Assumptions!$C$5,D615)),Assumptions!$D$5,IF(ISNUMBER(SEARCH(Assumptions!$C$6,D615)),Assumptions!$D$6,IF(ISNUMBER(SEARCH(Assumptions!$C$7,D615)),Assumptions!$D$7,"Other Services"))),"Other Services"))</f>
        <v/>
      </c>
    </row>
    <row r="616" customFormat="false" ht="15" hidden="false" customHeight="false" outlineLevel="0" collapsed="false">
      <c r="J616" s="41" t="str">
        <f aca="false">IF(D616="","",IFERROR(IF(ISNUMBER(SEARCH(Assumptions!$C$5,D616)),Assumptions!$D$5,IF(ISNUMBER(SEARCH(Assumptions!$C$6,D616)),Assumptions!$D$6,IF(ISNUMBER(SEARCH(Assumptions!$C$7,D616)),Assumptions!$D$7,"Other Services"))),"Other Services"))</f>
        <v/>
      </c>
    </row>
    <row r="617" customFormat="false" ht="15" hidden="false" customHeight="false" outlineLevel="0" collapsed="false">
      <c r="J617" s="41" t="str">
        <f aca="false">IF(D617="","",IFERROR(IF(ISNUMBER(SEARCH(Assumptions!$C$5,D617)),Assumptions!$D$5,IF(ISNUMBER(SEARCH(Assumptions!$C$6,D617)),Assumptions!$D$6,IF(ISNUMBER(SEARCH(Assumptions!$C$7,D617)),Assumptions!$D$7,"Other Services"))),"Other Services"))</f>
        <v/>
      </c>
    </row>
    <row r="618" customFormat="false" ht="15" hidden="false" customHeight="false" outlineLevel="0" collapsed="false">
      <c r="J618" s="41" t="str">
        <f aca="false">IF(D618="","",IFERROR(IF(ISNUMBER(SEARCH(Assumptions!$C$5,D618)),Assumptions!$D$5,IF(ISNUMBER(SEARCH(Assumptions!$C$6,D618)),Assumptions!$D$6,IF(ISNUMBER(SEARCH(Assumptions!$C$7,D618)),Assumptions!$D$7,"Other Services"))),"Other Services"))</f>
        <v/>
      </c>
    </row>
    <row r="619" customFormat="false" ht="15" hidden="false" customHeight="false" outlineLevel="0" collapsed="false">
      <c r="J619" s="41" t="str">
        <f aca="false">IF(D619="","",IFERROR(IF(ISNUMBER(SEARCH(Assumptions!$C$5,D619)),Assumptions!$D$5,IF(ISNUMBER(SEARCH(Assumptions!$C$6,D619)),Assumptions!$D$6,IF(ISNUMBER(SEARCH(Assumptions!$C$7,D619)),Assumptions!$D$7,"Other Services"))),"Other Services"))</f>
        <v/>
      </c>
    </row>
    <row r="620" customFormat="false" ht="15" hidden="false" customHeight="false" outlineLevel="0" collapsed="false">
      <c r="J620" s="41" t="str">
        <f aca="false">IF(D620="","",IFERROR(IF(ISNUMBER(SEARCH(Assumptions!$C$5,D620)),Assumptions!$D$5,IF(ISNUMBER(SEARCH(Assumptions!$C$6,D620)),Assumptions!$D$6,IF(ISNUMBER(SEARCH(Assumptions!$C$7,D620)),Assumptions!$D$7,"Other Services"))),"Other Services"))</f>
        <v/>
      </c>
    </row>
    <row r="621" customFormat="false" ht="15" hidden="false" customHeight="false" outlineLevel="0" collapsed="false">
      <c r="J621" s="41" t="str">
        <f aca="false">IF(D621="","",IFERROR(IF(ISNUMBER(SEARCH(Assumptions!$C$5,D621)),Assumptions!$D$5,IF(ISNUMBER(SEARCH(Assumptions!$C$6,D621)),Assumptions!$D$6,IF(ISNUMBER(SEARCH(Assumptions!$C$7,D621)),Assumptions!$D$7,"Other Services"))),"Other Services"))</f>
        <v/>
      </c>
    </row>
    <row r="622" customFormat="false" ht="15" hidden="false" customHeight="false" outlineLevel="0" collapsed="false">
      <c r="J622" s="41" t="str">
        <f aca="false">IF(D622="","",IFERROR(IF(ISNUMBER(SEARCH(Assumptions!$C$5,D622)),Assumptions!$D$5,IF(ISNUMBER(SEARCH(Assumptions!$C$6,D622)),Assumptions!$D$6,IF(ISNUMBER(SEARCH(Assumptions!$C$7,D622)),Assumptions!$D$7,"Other Services"))),"Other Services"))</f>
        <v/>
      </c>
    </row>
    <row r="623" customFormat="false" ht="15" hidden="false" customHeight="false" outlineLevel="0" collapsed="false">
      <c r="J623" s="41" t="str">
        <f aca="false">IF(D623="","",IFERROR(IF(ISNUMBER(SEARCH(Assumptions!$C$5,D623)),Assumptions!$D$5,IF(ISNUMBER(SEARCH(Assumptions!$C$6,D623)),Assumptions!$D$6,IF(ISNUMBER(SEARCH(Assumptions!$C$7,D623)),Assumptions!$D$7,"Other Services"))),"Other Services"))</f>
        <v/>
      </c>
    </row>
    <row r="624" customFormat="false" ht="15" hidden="false" customHeight="false" outlineLevel="0" collapsed="false">
      <c r="J624" s="41" t="str">
        <f aca="false">IF(D624="","",IFERROR(IF(ISNUMBER(SEARCH(Assumptions!$C$5,D624)),Assumptions!$D$5,IF(ISNUMBER(SEARCH(Assumptions!$C$6,D624)),Assumptions!$D$6,IF(ISNUMBER(SEARCH(Assumptions!$C$7,D624)),Assumptions!$D$7,"Other Services"))),"Other Services"))</f>
        <v/>
      </c>
    </row>
    <row r="625" customFormat="false" ht="15" hidden="false" customHeight="false" outlineLevel="0" collapsed="false">
      <c r="J625" s="41" t="str">
        <f aca="false">IF(D625="","",IFERROR(IF(ISNUMBER(SEARCH(Assumptions!$C$5,D625)),Assumptions!$D$5,IF(ISNUMBER(SEARCH(Assumptions!$C$6,D625)),Assumptions!$D$6,IF(ISNUMBER(SEARCH(Assumptions!$C$7,D625)),Assumptions!$D$7,"Other Services"))),"Other Services"))</f>
        <v/>
      </c>
    </row>
    <row r="626" customFormat="false" ht="15" hidden="false" customHeight="false" outlineLevel="0" collapsed="false">
      <c r="J626" s="41" t="str">
        <f aca="false">IF(D626="","",IFERROR(IF(ISNUMBER(SEARCH(Assumptions!$C$5,D626)),Assumptions!$D$5,IF(ISNUMBER(SEARCH(Assumptions!$C$6,D626)),Assumptions!$D$6,IF(ISNUMBER(SEARCH(Assumptions!$C$7,D626)),Assumptions!$D$7,"Other Services"))),"Other Services"))</f>
        <v/>
      </c>
    </row>
    <row r="627" customFormat="false" ht="15" hidden="false" customHeight="false" outlineLevel="0" collapsed="false">
      <c r="J627" s="41" t="str">
        <f aca="false">IF(D627="","",IFERROR(IF(ISNUMBER(SEARCH(Assumptions!$C$5,D627)),Assumptions!$D$5,IF(ISNUMBER(SEARCH(Assumptions!$C$6,D627)),Assumptions!$D$6,IF(ISNUMBER(SEARCH(Assumptions!$C$7,D627)),Assumptions!$D$7,"Other Services"))),"Other Services"))</f>
        <v/>
      </c>
    </row>
    <row r="628" customFormat="false" ht="15" hidden="false" customHeight="false" outlineLevel="0" collapsed="false">
      <c r="J628" s="41" t="str">
        <f aca="false">IF(D628="","",IFERROR(IF(ISNUMBER(SEARCH(Assumptions!$C$5,D628)),Assumptions!$D$5,IF(ISNUMBER(SEARCH(Assumptions!$C$6,D628)),Assumptions!$D$6,IF(ISNUMBER(SEARCH(Assumptions!$C$7,D628)),Assumptions!$D$7,"Other Services"))),"Other Services"))</f>
        <v/>
      </c>
    </row>
    <row r="629" customFormat="false" ht="15" hidden="false" customHeight="false" outlineLevel="0" collapsed="false">
      <c r="J629" s="41" t="str">
        <f aca="false">IF(D629="","",IFERROR(IF(ISNUMBER(SEARCH(Assumptions!$C$5,D629)),Assumptions!$D$5,IF(ISNUMBER(SEARCH(Assumptions!$C$6,D629)),Assumptions!$D$6,IF(ISNUMBER(SEARCH(Assumptions!$C$7,D629)),Assumptions!$D$7,"Other Services"))),"Other Services"))</f>
        <v/>
      </c>
    </row>
    <row r="630" customFormat="false" ht="15" hidden="false" customHeight="false" outlineLevel="0" collapsed="false">
      <c r="J630" s="41" t="str">
        <f aca="false">IF(D630="","",IFERROR(IF(ISNUMBER(SEARCH(Assumptions!$C$5,D630)),Assumptions!$D$5,IF(ISNUMBER(SEARCH(Assumptions!$C$6,D630)),Assumptions!$D$6,IF(ISNUMBER(SEARCH(Assumptions!$C$7,D630)),Assumptions!$D$7,"Other Services"))),"Other Services"))</f>
        <v/>
      </c>
    </row>
    <row r="631" customFormat="false" ht="15" hidden="false" customHeight="false" outlineLevel="0" collapsed="false">
      <c r="J631" s="41" t="str">
        <f aca="false">IF(D631="","",IFERROR(IF(ISNUMBER(SEARCH(Assumptions!$C$5,D631)),Assumptions!$D$5,IF(ISNUMBER(SEARCH(Assumptions!$C$6,D631)),Assumptions!$D$6,IF(ISNUMBER(SEARCH(Assumptions!$C$7,D631)),Assumptions!$D$7,"Other Services"))),"Other Services"))</f>
        <v/>
      </c>
    </row>
    <row r="632" customFormat="false" ht="15" hidden="false" customHeight="false" outlineLevel="0" collapsed="false">
      <c r="J632" s="41" t="str">
        <f aca="false">IF(D632="","",IFERROR(IF(ISNUMBER(SEARCH(Assumptions!$C$5,D632)),Assumptions!$D$5,IF(ISNUMBER(SEARCH(Assumptions!$C$6,D632)),Assumptions!$D$6,IF(ISNUMBER(SEARCH(Assumptions!$C$7,D632)),Assumptions!$D$7,"Other Services"))),"Other Services"))</f>
        <v/>
      </c>
    </row>
    <row r="633" customFormat="false" ht="15" hidden="false" customHeight="false" outlineLevel="0" collapsed="false">
      <c r="J633" s="41" t="str">
        <f aca="false">IF(D633="","",IFERROR(IF(ISNUMBER(SEARCH(Assumptions!$C$5,D633)),Assumptions!$D$5,IF(ISNUMBER(SEARCH(Assumptions!$C$6,D633)),Assumptions!$D$6,IF(ISNUMBER(SEARCH(Assumptions!$C$7,D633)),Assumptions!$D$7,"Other Services"))),"Other Services"))</f>
        <v/>
      </c>
    </row>
    <row r="634" customFormat="false" ht="15" hidden="false" customHeight="false" outlineLevel="0" collapsed="false">
      <c r="J634" s="41" t="str">
        <f aca="false">IF(D634="","",IFERROR(IF(ISNUMBER(SEARCH(Assumptions!$C$5,D634)),Assumptions!$D$5,IF(ISNUMBER(SEARCH(Assumptions!$C$6,D634)),Assumptions!$D$6,IF(ISNUMBER(SEARCH(Assumptions!$C$7,D634)),Assumptions!$D$7,"Other Services"))),"Other Services"))</f>
        <v/>
      </c>
    </row>
    <row r="635" customFormat="false" ht="15" hidden="false" customHeight="false" outlineLevel="0" collapsed="false">
      <c r="J635" s="41" t="str">
        <f aca="false">IF(D635="","",IFERROR(IF(ISNUMBER(SEARCH(Assumptions!$C$5,D635)),Assumptions!$D$5,IF(ISNUMBER(SEARCH(Assumptions!$C$6,D635)),Assumptions!$D$6,IF(ISNUMBER(SEARCH(Assumptions!$C$7,D635)),Assumptions!$D$7,"Other Services"))),"Other Services"))</f>
        <v/>
      </c>
    </row>
    <row r="636" customFormat="false" ht="15" hidden="false" customHeight="false" outlineLevel="0" collapsed="false">
      <c r="J636" s="41" t="str">
        <f aca="false">IF(D636="","",IFERROR(IF(ISNUMBER(SEARCH(Assumptions!$C$5,D636)),Assumptions!$D$5,IF(ISNUMBER(SEARCH(Assumptions!$C$6,D636)),Assumptions!$D$6,IF(ISNUMBER(SEARCH(Assumptions!$C$7,D636)),Assumptions!$D$7,"Other Services"))),"Other Services"))</f>
        <v/>
      </c>
    </row>
    <row r="637" customFormat="false" ht="15" hidden="false" customHeight="false" outlineLevel="0" collapsed="false">
      <c r="J637" s="41" t="str">
        <f aca="false">IF(D637="","",IFERROR(IF(ISNUMBER(SEARCH(Assumptions!$C$5,D637)),Assumptions!$D$5,IF(ISNUMBER(SEARCH(Assumptions!$C$6,D637)),Assumptions!$D$6,IF(ISNUMBER(SEARCH(Assumptions!$C$7,D637)),Assumptions!$D$7,"Other Services"))),"Other Services"))</f>
        <v/>
      </c>
    </row>
    <row r="638" customFormat="false" ht="15" hidden="false" customHeight="false" outlineLevel="0" collapsed="false">
      <c r="J638" s="41" t="str">
        <f aca="false">IF(D638="","",IFERROR(IF(ISNUMBER(SEARCH(Assumptions!$C$5,D638)),Assumptions!$D$5,IF(ISNUMBER(SEARCH(Assumptions!$C$6,D638)),Assumptions!$D$6,IF(ISNUMBER(SEARCH(Assumptions!$C$7,D638)),Assumptions!$D$7,"Other Services"))),"Other Services"))</f>
        <v/>
      </c>
    </row>
    <row r="639" customFormat="false" ht="15" hidden="false" customHeight="false" outlineLevel="0" collapsed="false">
      <c r="J639" s="41" t="str">
        <f aca="false">IF(D639="","",IFERROR(IF(ISNUMBER(SEARCH(Assumptions!$C$5,D639)),Assumptions!$D$5,IF(ISNUMBER(SEARCH(Assumptions!$C$6,D639)),Assumptions!$D$6,IF(ISNUMBER(SEARCH(Assumptions!$C$7,D639)),Assumptions!$D$7,"Other Services"))),"Other Services"))</f>
        <v/>
      </c>
    </row>
    <row r="640" customFormat="false" ht="15" hidden="false" customHeight="false" outlineLevel="0" collapsed="false">
      <c r="J640" s="41" t="str">
        <f aca="false">IF(D640="","",IFERROR(IF(ISNUMBER(SEARCH(Assumptions!$C$5,D640)),Assumptions!$D$5,IF(ISNUMBER(SEARCH(Assumptions!$C$6,D640)),Assumptions!$D$6,IF(ISNUMBER(SEARCH(Assumptions!$C$7,D640)),Assumptions!$D$7,"Other Services"))),"Other Services"))</f>
        <v/>
      </c>
    </row>
    <row r="641" customFormat="false" ht="15" hidden="false" customHeight="false" outlineLevel="0" collapsed="false">
      <c r="J641" s="41" t="str">
        <f aca="false">IF(D641="","",IFERROR(IF(ISNUMBER(SEARCH(Assumptions!$C$5,D641)),Assumptions!$D$5,IF(ISNUMBER(SEARCH(Assumptions!$C$6,D641)),Assumptions!$D$6,IF(ISNUMBER(SEARCH(Assumptions!$C$7,D641)),Assumptions!$D$7,"Other Services"))),"Other Services"))</f>
        <v/>
      </c>
    </row>
    <row r="642" customFormat="false" ht="15" hidden="false" customHeight="false" outlineLevel="0" collapsed="false">
      <c r="J642" s="41" t="str">
        <f aca="false">IF(D642="","",IFERROR(IF(ISNUMBER(SEARCH(Assumptions!$C$5,D642)),Assumptions!$D$5,IF(ISNUMBER(SEARCH(Assumptions!$C$6,D642)),Assumptions!$D$6,IF(ISNUMBER(SEARCH(Assumptions!$C$7,D642)),Assumptions!$D$7,"Other Services"))),"Other Services"))</f>
        <v/>
      </c>
    </row>
    <row r="643" customFormat="false" ht="15" hidden="false" customHeight="false" outlineLevel="0" collapsed="false">
      <c r="J643" s="41" t="str">
        <f aca="false">IF(D643="","",IFERROR(IF(ISNUMBER(SEARCH(Assumptions!$C$5,D643)),Assumptions!$D$5,IF(ISNUMBER(SEARCH(Assumptions!$C$6,D643)),Assumptions!$D$6,IF(ISNUMBER(SEARCH(Assumptions!$C$7,D643)),Assumptions!$D$7,"Other Services"))),"Other Services"))</f>
        <v/>
      </c>
    </row>
    <row r="644" customFormat="false" ht="15" hidden="false" customHeight="false" outlineLevel="0" collapsed="false">
      <c r="J644" s="41" t="str">
        <f aca="false">IF(D644="","",IFERROR(IF(ISNUMBER(SEARCH(Assumptions!$C$5,D644)),Assumptions!$D$5,IF(ISNUMBER(SEARCH(Assumptions!$C$6,D644)),Assumptions!$D$6,IF(ISNUMBER(SEARCH(Assumptions!$C$7,D644)),Assumptions!$D$7,"Other Services"))),"Other Services"))</f>
        <v/>
      </c>
    </row>
    <row r="645" customFormat="false" ht="15" hidden="false" customHeight="false" outlineLevel="0" collapsed="false">
      <c r="J645" s="41" t="str">
        <f aca="false">IF(D645="","",IFERROR(IF(ISNUMBER(SEARCH(Assumptions!$C$5,D645)),Assumptions!$D$5,IF(ISNUMBER(SEARCH(Assumptions!$C$6,D645)),Assumptions!$D$6,IF(ISNUMBER(SEARCH(Assumptions!$C$7,D645)),Assumptions!$D$7,"Other Services"))),"Other Services"))</f>
        <v/>
      </c>
    </row>
    <row r="646" customFormat="false" ht="15" hidden="false" customHeight="false" outlineLevel="0" collapsed="false">
      <c r="J646" s="41" t="str">
        <f aca="false">IF(D646="","",IFERROR(IF(ISNUMBER(SEARCH(Assumptions!$C$5,D646)),Assumptions!$D$5,IF(ISNUMBER(SEARCH(Assumptions!$C$6,D646)),Assumptions!$D$6,IF(ISNUMBER(SEARCH(Assumptions!$C$7,D646)),Assumptions!$D$7,"Other Services"))),"Other Services"))</f>
        <v/>
      </c>
    </row>
    <row r="647" customFormat="false" ht="15" hidden="false" customHeight="false" outlineLevel="0" collapsed="false">
      <c r="J647" s="41" t="str">
        <f aca="false">IF(D647="","",IFERROR(IF(ISNUMBER(SEARCH(Assumptions!$C$5,D647)),Assumptions!$D$5,IF(ISNUMBER(SEARCH(Assumptions!$C$6,D647)),Assumptions!$D$6,IF(ISNUMBER(SEARCH(Assumptions!$C$7,D647)),Assumptions!$D$7,"Other Services"))),"Other Services"))</f>
        <v/>
      </c>
    </row>
    <row r="648" customFormat="false" ht="15" hidden="false" customHeight="false" outlineLevel="0" collapsed="false">
      <c r="J648" s="41" t="str">
        <f aca="false">IF(D648="","",IFERROR(IF(ISNUMBER(SEARCH(Assumptions!$C$5,D648)),Assumptions!$D$5,IF(ISNUMBER(SEARCH(Assumptions!$C$6,D648)),Assumptions!$D$6,IF(ISNUMBER(SEARCH(Assumptions!$C$7,D648)),Assumptions!$D$7,"Other Services"))),"Other Services"))</f>
        <v/>
      </c>
    </row>
    <row r="649" customFormat="false" ht="15" hidden="false" customHeight="false" outlineLevel="0" collapsed="false">
      <c r="J649" s="41" t="str">
        <f aca="false">IF(D649="","",IFERROR(IF(ISNUMBER(SEARCH(Assumptions!$C$5,D649)),Assumptions!$D$5,IF(ISNUMBER(SEARCH(Assumptions!$C$6,D649)),Assumptions!$D$6,IF(ISNUMBER(SEARCH(Assumptions!$C$7,D649)),Assumptions!$D$7,"Other Services"))),"Other Services"))</f>
        <v/>
      </c>
    </row>
    <row r="650" customFormat="false" ht="15" hidden="false" customHeight="false" outlineLevel="0" collapsed="false">
      <c r="J650" s="41" t="str">
        <f aca="false">IF(D650="","",IFERROR(IF(ISNUMBER(SEARCH(Assumptions!$C$5,D650)),Assumptions!$D$5,IF(ISNUMBER(SEARCH(Assumptions!$C$6,D650)),Assumptions!$D$6,IF(ISNUMBER(SEARCH(Assumptions!$C$7,D650)),Assumptions!$D$7,"Other Services"))),"Other Services"))</f>
        <v/>
      </c>
    </row>
    <row r="651" customFormat="false" ht="15" hidden="false" customHeight="false" outlineLevel="0" collapsed="false">
      <c r="J651" s="41" t="str">
        <f aca="false">IF(D651="","",IFERROR(IF(ISNUMBER(SEARCH(Assumptions!$C$5,D651)),Assumptions!$D$5,IF(ISNUMBER(SEARCH(Assumptions!$C$6,D651)),Assumptions!$D$6,IF(ISNUMBER(SEARCH(Assumptions!$C$7,D651)),Assumptions!$D$7,"Other Services"))),"Other Services"))</f>
        <v/>
      </c>
    </row>
    <row r="652" customFormat="false" ht="15" hidden="false" customHeight="false" outlineLevel="0" collapsed="false">
      <c r="J652" s="41" t="str">
        <f aca="false">IF(D652="","",IFERROR(IF(ISNUMBER(SEARCH(Assumptions!$C$5,D652)),Assumptions!$D$5,IF(ISNUMBER(SEARCH(Assumptions!$C$6,D652)),Assumptions!$D$6,IF(ISNUMBER(SEARCH(Assumptions!$C$7,D652)),Assumptions!$D$7,"Other Services"))),"Other Services"))</f>
        <v/>
      </c>
    </row>
    <row r="653" customFormat="false" ht="15" hidden="false" customHeight="false" outlineLevel="0" collapsed="false">
      <c r="J653" s="41" t="str">
        <f aca="false">IF(D653="","",IFERROR(IF(ISNUMBER(SEARCH(Assumptions!$C$5,D653)),Assumptions!$D$5,IF(ISNUMBER(SEARCH(Assumptions!$C$6,D653)),Assumptions!$D$6,IF(ISNUMBER(SEARCH(Assumptions!$C$7,D653)),Assumptions!$D$7,"Other Services"))),"Other Services"))</f>
        <v/>
      </c>
    </row>
    <row r="654" customFormat="false" ht="15" hidden="false" customHeight="false" outlineLevel="0" collapsed="false">
      <c r="J654" s="41" t="str">
        <f aca="false">IF(D654="","",IFERROR(IF(ISNUMBER(SEARCH(Assumptions!$C$5,D654)),Assumptions!$D$5,IF(ISNUMBER(SEARCH(Assumptions!$C$6,D654)),Assumptions!$D$6,IF(ISNUMBER(SEARCH(Assumptions!$C$7,D654)),Assumptions!$D$7,"Other Services"))),"Other Services"))</f>
        <v/>
      </c>
    </row>
    <row r="655" customFormat="false" ht="15" hidden="false" customHeight="false" outlineLevel="0" collapsed="false">
      <c r="J655" s="41" t="str">
        <f aca="false">IF(D655="","",IFERROR(IF(ISNUMBER(SEARCH(Assumptions!$C$5,D655)),Assumptions!$D$5,IF(ISNUMBER(SEARCH(Assumptions!$C$6,D655)),Assumptions!$D$6,IF(ISNUMBER(SEARCH(Assumptions!$C$7,D655)),Assumptions!$D$7,"Other Services"))),"Other Services"))</f>
        <v/>
      </c>
    </row>
    <row r="656" customFormat="false" ht="15" hidden="false" customHeight="false" outlineLevel="0" collapsed="false">
      <c r="J656" s="41" t="str">
        <f aca="false">IF(D656="","",IFERROR(IF(ISNUMBER(SEARCH(Assumptions!$C$5,D656)),Assumptions!$D$5,IF(ISNUMBER(SEARCH(Assumptions!$C$6,D656)),Assumptions!$D$6,IF(ISNUMBER(SEARCH(Assumptions!$C$7,D656)),Assumptions!$D$7,"Other Services"))),"Other Services"))</f>
        <v/>
      </c>
    </row>
    <row r="657" customFormat="false" ht="15" hidden="false" customHeight="false" outlineLevel="0" collapsed="false">
      <c r="J657" s="41" t="str">
        <f aca="false">IF(D657="","",IFERROR(IF(ISNUMBER(SEARCH(Assumptions!$C$5,D657)),Assumptions!$D$5,IF(ISNUMBER(SEARCH(Assumptions!$C$6,D657)),Assumptions!$D$6,IF(ISNUMBER(SEARCH(Assumptions!$C$7,D657)),Assumptions!$D$7,"Other Services"))),"Other Services"))</f>
        <v/>
      </c>
    </row>
    <row r="658" customFormat="false" ht="15" hidden="false" customHeight="false" outlineLevel="0" collapsed="false">
      <c r="J658" s="41" t="str">
        <f aca="false">IF(D658="","",IFERROR(IF(ISNUMBER(SEARCH(Assumptions!$C$5,D658)),Assumptions!$D$5,IF(ISNUMBER(SEARCH(Assumptions!$C$6,D658)),Assumptions!$D$6,IF(ISNUMBER(SEARCH(Assumptions!$C$7,D658)),Assumptions!$D$7,"Other Services"))),"Other Services"))</f>
        <v/>
      </c>
    </row>
    <row r="659" customFormat="false" ht="15" hidden="false" customHeight="false" outlineLevel="0" collapsed="false">
      <c r="J659" s="41" t="str">
        <f aca="false">IF(D659="","",IFERROR(IF(ISNUMBER(SEARCH(Assumptions!$C$5,D659)),Assumptions!$D$5,IF(ISNUMBER(SEARCH(Assumptions!$C$6,D659)),Assumptions!$D$6,IF(ISNUMBER(SEARCH(Assumptions!$C$7,D659)),Assumptions!$D$7,"Other Services"))),"Other Services"))</f>
        <v/>
      </c>
    </row>
    <row r="660" customFormat="false" ht="15" hidden="false" customHeight="false" outlineLevel="0" collapsed="false">
      <c r="J660" s="41" t="str">
        <f aca="false">IF(D660="","",IFERROR(IF(ISNUMBER(SEARCH(Assumptions!$C$5,D660)),Assumptions!$D$5,IF(ISNUMBER(SEARCH(Assumptions!$C$6,D660)),Assumptions!$D$6,IF(ISNUMBER(SEARCH(Assumptions!$C$7,D660)),Assumptions!$D$7,"Other Services"))),"Other Services"))</f>
        <v/>
      </c>
    </row>
    <row r="661" customFormat="false" ht="15" hidden="false" customHeight="false" outlineLevel="0" collapsed="false">
      <c r="J661" s="41" t="str">
        <f aca="false">IF(D661="","",IFERROR(IF(ISNUMBER(SEARCH(Assumptions!$C$5,D661)),Assumptions!$D$5,IF(ISNUMBER(SEARCH(Assumptions!$C$6,D661)),Assumptions!$D$6,IF(ISNUMBER(SEARCH(Assumptions!$C$7,D661)),Assumptions!$D$7,"Other Services"))),"Other Services"))</f>
        <v/>
      </c>
    </row>
    <row r="662" customFormat="false" ht="15" hidden="false" customHeight="false" outlineLevel="0" collapsed="false">
      <c r="J662" s="41" t="str">
        <f aca="false">IF(D662="","",IFERROR(IF(ISNUMBER(SEARCH(Assumptions!$C$5,D662)),Assumptions!$D$5,IF(ISNUMBER(SEARCH(Assumptions!$C$6,D662)),Assumptions!$D$6,IF(ISNUMBER(SEARCH(Assumptions!$C$7,D662)),Assumptions!$D$7,"Other Services"))),"Other Services"))</f>
        <v/>
      </c>
    </row>
    <row r="663" customFormat="false" ht="15" hidden="false" customHeight="false" outlineLevel="0" collapsed="false">
      <c r="J663" s="41" t="str">
        <f aca="false">IF(D663="","",IFERROR(IF(ISNUMBER(SEARCH(Assumptions!$C$5,D663)),Assumptions!$D$5,IF(ISNUMBER(SEARCH(Assumptions!$C$6,D663)),Assumptions!$D$6,IF(ISNUMBER(SEARCH(Assumptions!$C$7,D663)),Assumptions!$D$7,"Other Services"))),"Other Services"))</f>
        <v/>
      </c>
    </row>
    <row r="664" customFormat="false" ht="15" hidden="false" customHeight="false" outlineLevel="0" collapsed="false">
      <c r="J664" s="41" t="str">
        <f aca="false">IF(D664="","",IFERROR(IF(ISNUMBER(SEARCH(Assumptions!$C$5,D664)),Assumptions!$D$5,IF(ISNUMBER(SEARCH(Assumptions!$C$6,D664)),Assumptions!$D$6,IF(ISNUMBER(SEARCH(Assumptions!$C$7,D664)),Assumptions!$D$7,"Other Services"))),"Other Services"))</f>
        <v/>
      </c>
    </row>
    <row r="665" customFormat="false" ht="15" hidden="false" customHeight="false" outlineLevel="0" collapsed="false">
      <c r="J665" s="41" t="str">
        <f aca="false">IF(D665="","",IFERROR(IF(ISNUMBER(SEARCH(Assumptions!$C$5,D665)),Assumptions!$D$5,IF(ISNUMBER(SEARCH(Assumptions!$C$6,D665)),Assumptions!$D$6,IF(ISNUMBER(SEARCH(Assumptions!$C$7,D665)),Assumptions!$D$7,"Other Services"))),"Other Services"))</f>
        <v/>
      </c>
    </row>
    <row r="666" customFormat="false" ht="15" hidden="false" customHeight="false" outlineLevel="0" collapsed="false">
      <c r="J666" s="41" t="str">
        <f aca="false">IF(D666="","",IFERROR(IF(ISNUMBER(SEARCH(Assumptions!$C$5,D666)),Assumptions!$D$5,IF(ISNUMBER(SEARCH(Assumptions!$C$6,D666)),Assumptions!$D$6,IF(ISNUMBER(SEARCH(Assumptions!$C$7,D666)),Assumptions!$D$7,"Other Services"))),"Other Services"))</f>
        <v/>
      </c>
    </row>
    <row r="667" customFormat="false" ht="15" hidden="false" customHeight="false" outlineLevel="0" collapsed="false">
      <c r="J667" s="41" t="str">
        <f aca="false">IF(D667="","",IFERROR(IF(ISNUMBER(SEARCH(Assumptions!$C$5,D667)),Assumptions!$D$5,IF(ISNUMBER(SEARCH(Assumptions!$C$6,D667)),Assumptions!$D$6,IF(ISNUMBER(SEARCH(Assumptions!$C$7,D667)),Assumptions!$D$7,"Other Services"))),"Other Services"))</f>
        <v/>
      </c>
    </row>
    <row r="668" customFormat="false" ht="15" hidden="false" customHeight="false" outlineLevel="0" collapsed="false">
      <c r="J668" s="41" t="str">
        <f aca="false">IF(D668="","",IFERROR(IF(ISNUMBER(SEARCH(Assumptions!$C$5,D668)),Assumptions!$D$5,IF(ISNUMBER(SEARCH(Assumptions!$C$6,D668)),Assumptions!$D$6,IF(ISNUMBER(SEARCH(Assumptions!$C$7,D668)),Assumptions!$D$7,"Other Services"))),"Other Services"))</f>
        <v/>
      </c>
    </row>
    <row r="669" customFormat="false" ht="15" hidden="false" customHeight="false" outlineLevel="0" collapsed="false">
      <c r="J669" s="41" t="str">
        <f aca="false">IF(D669="","",IFERROR(IF(ISNUMBER(SEARCH(Assumptions!$C$5,D669)),Assumptions!$D$5,IF(ISNUMBER(SEARCH(Assumptions!$C$6,D669)),Assumptions!$D$6,IF(ISNUMBER(SEARCH(Assumptions!$C$7,D669)),Assumptions!$D$7,"Other Services"))),"Other Services"))</f>
        <v/>
      </c>
    </row>
    <row r="670" customFormat="false" ht="15" hidden="false" customHeight="false" outlineLevel="0" collapsed="false">
      <c r="J670" s="41" t="str">
        <f aca="false">IF(D670="","",IFERROR(IF(ISNUMBER(SEARCH(Assumptions!$C$5,D670)),Assumptions!$D$5,IF(ISNUMBER(SEARCH(Assumptions!$C$6,D670)),Assumptions!$D$6,IF(ISNUMBER(SEARCH(Assumptions!$C$7,D670)),Assumptions!$D$7,"Other Services"))),"Other Services"))</f>
        <v/>
      </c>
    </row>
    <row r="671" customFormat="false" ht="15" hidden="false" customHeight="false" outlineLevel="0" collapsed="false">
      <c r="J671" s="41" t="str">
        <f aca="false">IF(D671="","",IFERROR(IF(ISNUMBER(SEARCH(Assumptions!$C$5,D671)),Assumptions!$D$5,IF(ISNUMBER(SEARCH(Assumptions!$C$6,D671)),Assumptions!$D$6,IF(ISNUMBER(SEARCH(Assumptions!$C$7,D671)),Assumptions!$D$7,"Other Services"))),"Other Services"))</f>
        <v/>
      </c>
    </row>
    <row r="672" customFormat="false" ht="15" hidden="false" customHeight="false" outlineLevel="0" collapsed="false">
      <c r="J672" s="41" t="str">
        <f aca="false">IF(D672="","",IFERROR(IF(ISNUMBER(SEARCH(Assumptions!$C$5,D672)),Assumptions!$D$5,IF(ISNUMBER(SEARCH(Assumptions!$C$6,D672)),Assumptions!$D$6,IF(ISNUMBER(SEARCH(Assumptions!$C$7,D672)),Assumptions!$D$7,"Other Services"))),"Other Services"))</f>
        <v/>
      </c>
    </row>
    <row r="673" customFormat="false" ht="15" hidden="false" customHeight="false" outlineLevel="0" collapsed="false">
      <c r="J673" s="41" t="str">
        <f aca="false">IF(D673="","",IFERROR(IF(ISNUMBER(SEARCH(Assumptions!$C$5,D673)),Assumptions!$D$5,IF(ISNUMBER(SEARCH(Assumptions!$C$6,D673)),Assumptions!$D$6,IF(ISNUMBER(SEARCH(Assumptions!$C$7,D673)),Assumptions!$D$7,"Other Services"))),"Other Services"))</f>
        <v/>
      </c>
    </row>
    <row r="674" customFormat="false" ht="15" hidden="false" customHeight="false" outlineLevel="0" collapsed="false">
      <c r="J674" s="41" t="str">
        <f aca="false">IF(D674="","",IFERROR(IF(ISNUMBER(SEARCH(Assumptions!$C$5,D674)),Assumptions!$D$5,IF(ISNUMBER(SEARCH(Assumptions!$C$6,D674)),Assumptions!$D$6,IF(ISNUMBER(SEARCH(Assumptions!$C$7,D674)),Assumptions!$D$7,"Other Services"))),"Other Services"))</f>
        <v/>
      </c>
    </row>
    <row r="675" customFormat="false" ht="15" hidden="false" customHeight="false" outlineLevel="0" collapsed="false">
      <c r="J675" s="41" t="str">
        <f aca="false">IF(D675="","",IFERROR(IF(ISNUMBER(SEARCH(Assumptions!$C$5,D675)),Assumptions!$D$5,IF(ISNUMBER(SEARCH(Assumptions!$C$6,D675)),Assumptions!$D$6,IF(ISNUMBER(SEARCH(Assumptions!$C$7,D675)),Assumptions!$D$7,"Other Services"))),"Other Services"))</f>
        <v/>
      </c>
    </row>
    <row r="676" customFormat="false" ht="15" hidden="false" customHeight="false" outlineLevel="0" collapsed="false">
      <c r="J676" s="41" t="str">
        <f aca="false">IF(D676="","",IFERROR(IF(ISNUMBER(SEARCH(Assumptions!$C$5,D676)),Assumptions!$D$5,IF(ISNUMBER(SEARCH(Assumptions!$C$6,D676)),Assumptions!$D$6,IF(ISNUMBER(SEARCH(Assumptions!$C$7,D676)),Assumptions!$D$7,"Other Services"))),"Other Services"))</f>
        <v/>
      </c>
    </row>
    <row r="677" customFormat="false" ht="15" hidden="false" customHeight="false" outlineLevel="0" collapsed="false">
      <c r="J677" s="41" t="str">
        <f aca="false">IF(D677="","",IFERROR(IF(ISNUMBER(SEARCH(Assumptions!$C$5,D677)),Assumptions!$D$5,IF(ISNUMBER(SEARCH(Assumptions!$C$6,D677)),Assumptions!$D$6,IF(ISNUMBER(SEARCH(Assumptions!$C$7,D677)),Assumptions!$D$7,"Other Services"))),"Other Services"))</f>
        <v/>
      </c>
    </row>
    <row r="678" customFormat="false" ht="15" hidden="false" customHeight="false" outlineLevel="0" collapsed="false">
      <c r="J678" s="41" t="str">
        <f aca="false">IF(D678="","",IFERROR(IF(ISNUMBER(SEARCH(Assumptions!$C$5,D678)),Assumptions!$D$5,IF(ISNUMBER(SEARCH(Assumptions!$C$6,D678)),Assumptions!$D$6,IF(ISNUMBER(SEARCH(Assumptions!$C$7,D678)),Assumptions!$D$7,"Other Services"))),"Other Services"))</f>
        <v/>
      </c>
    </row>
    <row r="679" customFormat="false" ht="15" hidden="false" customHeight="false" outlineLevel="0" collapsed="false">
      <c r="J679" s="41" t="str">
        <f aca="false">IF(D679="","",IFERROR(IF(ISNUMBER(SEARCH(Assumptions!$C$5,D679)),Assumptions!$D$5,IF(ISNUMBER(SEARCH(Assumptions!$C$6,D679)),Assumptions!$D$6,IF(ISNUMBER(SEARCH(Assumptions!$C$7,D679)),Assumptions!$D$7,"Other Services"))),"Other Services"))</f>
        <v/>
      </c>
    </row>
    <row r="680" customFormat="false" ht="15" hidden="false" customHeight="false" outlineLevel="0" collapsed="false">
      <c r="J680" s="41" t="str">
        <f aca="false">IF(D680="","",IFERROR(IF(ISNUMBER(SEARCH(Assumptions!$C$5,D680)),Assumptions!$D$5,IF(ISNUMBER(SEARCH(Assumptions!$C$6,D680)),Assumptions!$D$6,IF(ISNUMBER(SEARCH(Assumptions!$C$7,D680)),Assumptions!$D$7,"Other Services"))),"Other Services"))</f>
        <v/>
      </c>
    </row>
    <row r="681" customFormat="false" ht="15" hidden="false" customHeight="false" outlineLevel="0" collapsed="false">
      <c r="J681" s="41" t="str">
        <f aca="false">IF(D681="","",IFERROR(IF(ISNUMBER(SEARCH(Assumptions!$C$5,D681)),Assumptions!$D$5,IF(ISNUMBER(SEARCH(Assumptions!$C$6,D681)),Assumptions!$D$6,IF(ISNUMBER(SEARCH(Assumptions!$C$7,D681)),Assumptions!$D$7,"Other Services"))),"Other Services"))</f>
        <v/>
      </c>
    </row>
    <row r="682" customFormat="false" ht="15" hidden="false" customHeight="false" outlineLevel="0" collapsed="false">
      <c r="J682" s="41" t="str">
        <f aca="false">IF(D682="","",IFERROR(IF(ISNUMBER(SEARCH(Assumptions!$C$5,D682)),Assumptions!$D$5,IF(ISNUMBER(SEARCH(Assumptions!$C$6,D682)),Assumptions!$D$6,IF(ISNUMBER(SEARCH(Assumptions!$C$7,D682)),Assumptions!$D$7,"Other Services"))),"Other Services"))</f>
        <v/>
      </c>
    </row>
    <row r="683" customFormat="false" ht="15" hidden="false" customHeight="false" outlineLevel="0" collapsed="false">
      <c r="J683" s="41" t="str">
        <f aca="false">IF(D683="","",IFERROR(IF(ISNUMBER(SEARCH(Assumptions!$C$5,D683)),Assumptions!$D$5,IF(ISNUMBER(SEARCH(Assumptions!$C$6,D683)),Assumptions!$D$6,IF(ISNUMBER(SEARCH(Assumptions!$C$7,D683)),Assumptions!$D$7,"Other Services"))),"Other Services"))</f>
        <v/>
      </c>
    </row>
    <row r="684" customFormat="false" ht="15" hidden="false" customHeight="false" outlineLevel="0" collapsed="false">
      <c r="J684" s="41" t="str">
        <f aca="false">IF(D684="","",IFERROR(IF(ISNUMBER(SEARCH(Assumptions!$C$5,D684)),Assumptions!$D$5,IF(ISNUMBER(SEARCH(Assumptions!$C$6,D684)),Assumptions!$D$6,IF(ISNUMBER(SEARCH(Assumptions!$C$7,D684)),Assumptions!$D$7,"Other Services"))),"Other Services"))</f>
        <v/>
      </c>
    </row>
    <row r="685" customFormat="false" ht="15" hidden="false" customHeight="false" outlineLevel="0" collapsed="false">
      <c r="J685" s="41" t="str">
        <f aca="false">IF(D685="","",IFERROR(IF(ISNUMBER(SEARCH(Assumptions!$C$5,D685)),Assumptions!$D$5,IF(ISNUMBER(SEARCH(Assumptions!$C$6,D685)),Assumptions!$D$6,IF(ISNUMBER(SEARCH(Assumptions!$C$7,D685)),Assumptions!$D$7,"Other Services"))),"Other Services"))</f>
        <v/>
      </c>
    </row>
    <row r="686" customFormat="false" ht="15" hidden="false" customHeight="false" outlineLevel="0" collapsed="false">
      <c r="J686" s="41" t="str">
        <f aca="false">IF(D686="","",IFERROR(IF(ISNUMBER(SEARCH(Assumptions!$C$5,D686)),Assumptions!$D$5,IF(ISNUMBER(SEARCH(Assumptions!$C$6,D686)),Assumptions!$D$6,IF(ISNUMBER(SEARCH(Assumptions!$C$7,D686)),Assumptions!$D$7,"Other Services"))),"Other Services"))</f>
        <v/>
      </c>
    </row>
    <row r="687" customFormat="false" ht="15" hidden="false" customHeight="false" outlineLevel="0" collapsed="false">
      <c r="J687" s="41" t="str">
        <f aca="false">IF(D687="","",IFERROR(IF(ISNUMBER(SEARCH(Assumptions!$C$5,D687)),Assumptions!$D$5,IF(ISNUMBER(SEARCH(Assumptions!$C$6,D687)),Assumptions!$D$6,IF(ISNUMBER(SEARCH(Assumptions!$C$7,D687)),Assumptions!$D$7,"Other Services"))),"Other Services"))</f>
        <v/>
      </c>
    </row>
    <row r="688" customFormat="false" ht="15" hidden="false" customHeight="false" outlineLevel="0" collapsed="false">
      <c r="J688" s="41" t="str">
        <f aca="false">IF(D688="","",IFERROR(IF(ISNUMBER(SEARCH(Assumptions!$C$5,D688)),Assumptions!$D$5,IF(ISNUMBER(SEARCH(Assumptions!$C$6,D688)),Assumptions!$D$6,IF(ISNUMBER(SEARCH(Assumptions!$C$7,D688)),Assumptions!$D$7,"Other Services"))),"Other Services"))</f>
        <v/>
      </c>
    </row>
    <row r="689" customFormat="false" ht="15" hidden="false" customHeight="false" outlineLevel="0" collapsed="false">
      <c r="J689" s="41" t="str">
        <f aca="false">IF(D689="","",IFERROR(IF(ISNUMBER(SEARCH(Assumptions!$C$5,D689)),Assumptions!$D$5,IF(ISNUMBER(SEARCH(Assumptions!$C$6,D689)),Assumptions!$D$6,IF(ISNUMBER(SEARCH(Assumptions!$C$7,D689)),Assumptions!$D$7,"Other Services"))),"Other Services"))</f>
        <v/>
      </c>
    </row>
    <row r="690" customFormat="false" ht="15" hidden="false" customHeight="false" outlineLevel="0" collapsed="false">
      <c r="J690" s="41" t="str">
        <f aca="false">IF(D690="","",IFERROR(IF(ISNUMBER(SEARCH(Assumptions!$C$5,D690)),Assumptions!$D$5,IF(ISNUMBER(SEARCH(Assumptions!$C$6,D690)),Assumptions!$D$6,IF(ISNUMBER(SEARCH(Assumptions!$C$7,D690)),Assumptions!$D$7,"Other Services"))),"Other Services"))</f>
        <v/>
      </c>
    </row>
    <row r="691" customFormat="false" ht="15" hidden="false" customHeight="false" outlineLevel="0" collapsed="false">
      <c r="J691" s="41" t="str">
        <f aca="false">IF(D691="","",IFERROR(IF(ISNUMBER(SEARCH(Assumptions!$C$5,D691)),Assumptions!$D$5,IF(ISNUMBER(SEARCH(Assumptions!$C$6,D691)),Assumptions!$D$6,IF(ISNUMBER(SEARCH(Assumptions!$C$7,D691)),Assumptions!$D$7,"Other Services"))),"Other Services"))</f>
        <v/>
      </c>
    </row>
    <row r="692" customFormat="false" ht="15" hidden="false" customHeight="false" outlineLevel="0" collapsed="false">
      <c r="J692" s="41" t="str">
        <f aca="false">IF(D692="","",IFERROR(IF(ISNUMBER(SEARCH(Assumptions!$C$5,D692)),Assumptions!$D$5,IF(ISNUMBER(SEARCH(Assumptions!$C$6,D692)),Assumptions!$D$6,IF(ISNUMBER(SEARCH(Assumptions!$C$7,D692)),Assumptions!$D$7,"Other Services"))),"Other Services"))</f>
        <v/>
      </c>
    </row>
    <row r="693" customFormat="false" ht="15" hidden="false" customHeight="false" outlineLevel="0" collapsed="false">
      <c r="J693" s="41" t="str">
        <f aca="false">IF(D693="","",IFERROR(IF(ISNUMBER(SEARCH(Assumptions!$C$5,D693)),Assumptions!$D$5,IF(ISNUMBER(SEARCH(Assumptions!$C$6,D693)),Assumptions!$D$6,IF(ISNUMBER(SEARCH(Assumptions!$C$7,D693)),Assumptions!$D$7,"Other Services"))),"Other Services"))</f>
        <v/>
      </c>
    </row>
    <row r="694" customFormat="false" ht="15" hidden="false" customHeight="false" outlineLevel="0" collapsed="false">
      <c r="J694" s="41" t="str">
        <f aca="false">IF(D694="","",IFERROR(IF(ISNUMBER(SEARCH(Assumptions!$C$5,D694)),Assumptions!$D$5,IF(ISNUMBER(SEARCH(Assumptions!$C$6,D694)),Assumptions!$D$6,IF(ISNUMBER(SEARCH(Assumptions!$C$7,D694)),Assumptions!$D$7,"Other Services"))),"Other Services"))</f>
        <v/>
      </c>
    </row>
    <row r="695" customFormat="false" ht="15" hidden="false" customHeight="false" outlineLevel="0" collapsed="false">
      <c r="J695" s="41" t="str">
        <f aca="false">IF(D695="","",IFERROR(IF(ISNUMBER(SEARCH(Assumptions!$C$5,D695)),Assumptions!$D$5,IF(ISNUMBER(SEARCH(Assumptions!$C$6,D695)),Assumptions!$D$6,IF(ISNUMBER(SEARCH(Assumptions!$C$7,D695)),Assumptions!$D$7,"Other Services"))),"Other Services"))</f>
        <v/>
      </c>
    </row>
    <row r="696" customFormat="false" ht="15" hidden="false" customHeight="false" outlineLevel="0" collapsed="false">
      <c r="J696" s="41" t="str">
        <f aca="false">IF(D696="","",IFERROR(IF(ISNUMBER(SEARCH(Assumptions!$C$5,D696)),Assumptions!$D$5,IF(ISNUMBER(SEARCH(Assumptions!$C$6,D696)),Assumptions!$D$6,IF(ISNUMBER(SEARCH(Assumptions!$C$7,D696)),Assumptions!$D$7,"Other Services"))),"Other Services"))</f>
        <v/>
      </c>
    </row>
    <row r="697" customFormat="false" ht="15" hidden="false" customHeight="false" outlineLevel="0" collapsed="false">
      <c r="J697" s="41" t="str">
        <f aca="false">IF(D697="","",IFERROR(IF(ISNUMBER(SEARCH(Assumptions!$C$5,D697)),Assumptions!$D$5,IF(ISNUMBER(SEARCH(Assumptions!$C$6,D697)),Assumptions!$D$6,IF(ISNUMBER(SEARCH(Assumptions!$C$7,D697)),Assumptions!$D$7,"Other Services"))),"Other Services"))</f>
        <v/>
      </c>
    </row>
    <row r="698" customFormat="false" ht="15" hidden="false" customHeight="false" outlineLevel="0" collapsed="false">
      <c r="J698" s="41" t="str">
        <f aca="false">IF(D698="","",IFERROR(IF(ISNUMBER(SEARCH(Assumptions!$C$5,D698)),Assumptions!$D$5,IF(ISNUMBER(SEARCH(Assumptions!$C$6,D698)),Assumptions!$D$6,IF(ISNUMBER(SEARCH(Assumptions!$C$7,D698)),Assumptions!$D$7,"Other Services"))),"Other Services"))</f>
        <v/>
      </c>
    </row>
    <row r="699" customFormat="false" ht="15" hidden="false" customHeight="false" outlineLevel="0" collapsed="false">
      <c r="J699" s="41" t="str">
        <f aca="false">IF(D699="","",IFERROR(IF(ISNUMBER(SEARCH(Assumptions!$C$5,D699)),Assumptions!$D$5,IF(ISNUMBER(SEARCH(Assumptions!$C$6,D699)),Assumptions!$D$6,IF(ISNUMBER(SEARCH(Assumptions!$C$7,D699)),Assumptions!$D$7,"Other Services"))),"Other Services"))</f>
        <v/>
      </c>
    </row>
    <row r="700" customFormat="false" ht="15" hidden="false" customHeight="false" outlineLevel="0" collapsed="false">
      <c r="J700" s="41" t="str">
        <f aca="false">IF(D700="","",IFERROR(IF(ISNUMBER(SEARCH(Assumptions!$C$5,D700)),Assumptions!$D$5,IF(ISNUMBER(SEARCH(Assumptions!$C$6,D700)),Assumptions!$D$6,IF(ISNUMBER(SEARCH(Assumptions!$C$7,D700)),Assumptions!$D$7,"Other Services"))),"Other Services"))</f>
        <v/>
      </c>
    </row>
    <row r="701" customFormat="false" ht="15" hidden="false" customHeight="false" outlineLevel="0" collapsed="false">
      <c r="J701" s="41" t="str">
        <f aca="false">IF(D701="","",IFERROR(IF(ISNUMBER(SEARCH(Assumptions!$C$5,D701)),Assumptions!$D$5,IF(ISNUMBER(SEARCH(Assumptions!$C$6,D701)),Assumptions!$D$6,IF(ISNUMBER(SEARCH(Assumptions!$C$7,D701)),Assumptions!$D$7,"Other Services"))),"Other Services"))</f>
        <v/>
      </c>
    </row>
    <row r="702" customFormat="false" ht="15" hidden="false" customHeight="false" outlineLevel="0" collapsed="false">
      <c r="J702" s="41" t="str">
        <f aca="false">IF(D702="","",IFERROR(IF(ISNUMBER(SEARCH(Assumptions!$C$5,D702)),Assumptions!$D$5,IF(ISNUMBER(SEARCH(Assumptions!$C$6,D702)),Assumptions!$D$6,IF(ISNUMBER(SEARCH(Assumptions!$C$7,D702)),Assumptions!$D$7,"Other Services"))),"Other Services"))</f>
        <v/>
      </c>
    </row>
    <row r="703" customFormat="false" ht="15" hidden="false" customHeight="false" outlineLevel="0" collapsed="false">
      <c r="J703" s="41" t="str">
        <f aca="false">IF(D703="","",IFERROR(IF(ISNUMBER(SEARCH(Assumptions!$C$5,D703)),Assumptions!$D$5,IF(ISNUMBER(SEARCH(Assumptions!$C$6,D703)),Assumptions!$D$6,IF(ISNUMBER(SEARCH(Assumptions!$C$7,D703)),Assumptions!$D$7,"Other Services"))),"Other Services"))</f>
        <v/>
      </c>
    </row>
    <row r="704" customFormat="false" ht="15" hidden="false" customHeight="false" outlineLevel="0" collapsed="false">
      <c r="J704" s="41" t="str">
        <f aca="false">IF(D704="","",IFERROR(IF(ISNUMBER(SEARCH(Assumptions!$C$5,D704)),Assumptions!$D$5,IF(ISNUMBER(SEARCH(Assumptions!$C$6,D704)),Assumptions!$D$6,IF(ISNUMBER(SEARCH(Assumptions!$C$7,D704)),Assumptions!$D$7,"Other Services"))),"Other Services"))</f>
        <v/>
      </c>
    </row>
    <row r="705" customFormat="false" ht="15" hidden="false" customHeight="false" outlineLevel="0" collapsed="false">
      <c r="J705" s="41" t="str">
        <f aca="false">IF(D705="","",IFERROR(IF(ISNUMBER(SEARCH(Assumptions!$C$5,D705)),Assumptions!$D$5,IF(ISNUMBER(SEARCH(Assumptions!$C$6,D705)),Assumptions!$D$6,IF(ISNUMBER(SEARCH(Assumptions!$C$7,D705)),Assumptions!$D$7,"Other Services"))),"Other Services"))</f>
        <v/>
      </c>
    </row>
    <row r="706" customFormat="false" ht="15" hidden="false" customHeight="false" outlineLevel="0" collapsed="false">
      <c r="J706" s="41" t="str">
        <f aca="false">IF(D706="","",IFERROR(IF(ISNUMBER(SEARCH(Assumptions!$C$5,D706)),Assumptions!$D$5,IF(ISNUMBER(SEARCH(Assumptions!$C$6,D706)),Assumptions!$D$6,IF(ISNUMBER(SEARCH(Assumptions!$C$7,D706)),Assumptions!$D$7,"Other Services"))),"Other Services"))</f>
        <v/>
      </c>
    </row>
    <row r="707" customFormat="false" ht="15" hidden="false" customHeight="false" outlineLevel="0" collapsed="false">
      <c r="J707" s="41" t="str">
        <f aca="false">IF(D707="","",IFERROR(IF(ISNUMBER(SEARCH(Assumptions!$C$5,D707)),Assumptions!$D$5,IF(ISNUMBER(SEARCH(Assumptions!$C$6,D707)),Assumptions!$D$6,IF(ISNUMBER(SEARCH(Assumptions!$C$7,D707)),Assumptions!$D$7,"Other Services"))),"Other Services"))</f>
        <v/>
      </c>
    </row>
    <row r="708" customFormat="false" ht="15" hidden="false" customHeight="false" outlineLevel="0" collapsed="false">
      <c r="J708" s="41" t="str">
        <f aca="false">IF(D708="","",IFERROR(IF(ISNUMBER(SEARCH(Assumptions!$C$5,D708)),Assumptions!$D$5,IF(ISNUMBER(SEARCH(Assumptions!$C$6,D708)),Assumptions!$D$6,IF(ISNUMBER(SEARCH(Assumptions!$C$7,D708)),Assumptions!$D$7,"Other Services"))),"Other Services"))</f>
        <v/>
      </c>
    </row>
    <row r="709" customFormat="false" ht="15" hidden="false" customHeight="false" outlineLevel="0" collapsed="false">
      <c r="J709" s="41" t="str">
        <f aca="false">IF(D709="","",IFERROR(IF(ISNUMBER(SEARCH(Assumptions!$C$5,D709)),Assumptions!$D$5,IF(ISNUMBER(SEARCH(Assumptions!$C$6,D709)),Assumptions!$D$6,IF(ISNUMBER(SEARCH(Assumptions!$C$7,D709)),Assumptions!$D$7,"Other Services"))),"Other Services"))</f>
        <v/>
      </c>
    </row>
    <row r="710" customFormat="false" ht="15" hidden="false" customHeight="false" outlineLevel="0" collapsed="false">
      <c r="J710" s="41" t="str">
        <f aca="false">IF(D710="","",IFERROR(IF(ISNUMBER(SEARCH(Assumptions!$C$5,D710)),Assumptions!$D$5,IF(ISNUMBER(SEARCH(Assumptions!$C$6,D710)),Assumptions!$D$6,IF(ISNUMBER(SEARCH(Assumptions!$C$7,D710)),Assumptions!$D$7,"Other Services"))),"Other Services"))</f>
        <v/>
      </c>
    </row>
    <row r="711" customFormat="false" ht="15" hidden="false" customHeight="false" outlineLevel="0" collapsed="false">
      <c r="J711" s="41" t="str">
        <f aca="false">IF(D711="","",IFERROR(IF(ISNUMBER(SEARCH(Assumptions!$C$5,D711)),Assumptions!$D$5,IF(ISNUMBER(SEARCH(Assumptions!$C$6,D711)),Assumptions!$D$6,IF(ISNUMBER(SEARCH(Assumptions!$C$7,D711)),Assumptions!$D$7,"Other Services"))),"Other Services"))</f>
        <v/>
      </c>
    </row>
    <row r="712" customFormat="false" ht="15" hidden="false" customHeight="false" outlineLevel="0" collapsed="false">
      <c r="J712" s="41" t="str">
        <f aca="false">IF(D712="","",IFERROR(IF(ISNUMBER(SEARCH(Assumptions!$C$5,D712)),Assumptions!$D$5,IF(ISNUMBER(SEARCH(Assumptions!$C$6,D712)),Assumptions!$D$6,IF(ISNUMBER(SEARCH(Assumptions!$C$7,D712)),Assumptions!$D$7,"Other Services"))),"Other Services"))</f>
        <v/>
      </c>
    </row>
    <row r="713" customFormat="false" ht="15" hidden="false" customHeight="false" outlineLevel="0" collapsed="false">
      <c r="J713" s="41" t="str">
        <f aca="false">IF(D713="","",IFERROR(IF(ISNUMBER(SEARCH(Assumptions!$C$5,D713)),Assumptions!$D$5,IF(ISNUMBER(SEARCH(Assumptions!$C$6,D713)),Assumptions!$D$6,IF(ISNUMBER(SEARCH(Assumptions!$C$7,D713)),Assumptions!$D$7,"Other Services"))),"Other Services"))</f>
        <v/>
      </c>
    </row>
    <row r="714" customFormat="false" ht="15" hidden="false" customHeight="false" outlineLevel="0" collapsed="false">
      <c r="J714" s="41" t="str">
        <f aca="false">IF(D714="","",IFERROR(IF(ISNUMBER(SEARCH(Assumptions!$C$5,D714)),Assumptions!$D$5,IF(ISNUMBER(SEARCH(Assumptions!$C$6,D714)),Assumptions!$D$6,IF(ISNUMBER(SEARCH(Assumptions!$C$7,D714)),Assumptions!$D$7,"Other Services"))),"Other Services"))</f>
        <v/>
      </c>
    </row>
    <row r="715" customFormat="false" ht="15" hidden="false" customHeight="false" outlineLevel="0" collapsed="false">
      <c r="J715" s="41" t="str">
        <f aca="false">IF(D715="","",IFERROR(IF(ISNUMBER(SEARCH(Assumptions!$C$5,D715)),Assumptions!$D$5,IF(ISNUMBER(SEARCH(Assumptions!$C$6,D715)),Assumptions!$D$6,IF(ISNUMBER(SEARCH(Assumptions!$C$7,D715)),Assumptions!$D$7,"Other Services"))),"Other Services"))</f>
        <v/>
      </c>
    </row>
    <row r="716" customFormat="false" ht="15" hidden="false" customHeight="false" outlineLevel="0" collapsed="false">
      <c r="J716" s="41" t="str">
        <f aca="false">IF(D716="","",IFERROR(IF(ISNUMBER(SEARCH(Assumptions!$C$5,D716)),Assumptions!$D$5,IF(ISNUMBER(SEARCH(Assumptions!$C$6,D716)),Assumptions!$D$6,IF(ISNUMBER(SEARCH(Assumptions!$C$7,D716)),Assumptions!$D$7,"Other Services"))),"Other Services"))</f>
        <v/>
      </c>
    </row>
    <row r="717" customFormat="false" ht="15" hidden="false" customHeight="false" outlineLevel="0" collapsed="false">
      <c r="J717" s="41" t="str">
        <f aca="false">IF(D717="","",IFERROR(IF(ISNUMBER(SEARCH(Assumptions!$C$5,D717)),Assumptions!$D$5,IF(ISNUMBER(SEARCH(Assumptions!$C$6,D717)),Assumptions!$D$6,IF(ISNUMBER(SEARCH(Assumptions!$C$7,D717)),Assumptions!$D$7,"Other Services"))),"Other Services"))</f>
        <v/>
      </c>
    </row>
    <row r="718" customFormat="false" ht="15" hidden="false" customHeight="false" outlineLevel="0" collapsed="false">
      <c r="J718" s="41" t="str">
        <f aca="false">IF(D718="","",IFERROR(IF(ISNUMBER(SEARCH(Assumptions!$C$5,D718)),Assumptions!$D$5,IF(ISNUMBER(SEARCH(Assumptions!$C$6,D718)),Assumptions!$D$6,IF(ISNUMBER(SEARCH(Assumptions!$C$7,D718)),Assumptions!$D$7,"Other Services"))),"Other Services"))</f>
        <v/>
      </c>
    </row>
    <row r="719" customFormat="false" ht="15" hidden="false" customHeight="false" outlineLevel="0" collapsed="false">
      <c r="J719" s="41" t="str">
        <f aca="false">IF(D719="","",IFERROR(IF(ISNUMBER(SEARCH(Assumptions!$C$5,D719)),Assumptions!$D$5,IF(ISNUMBER(SEARCH(Assumptions!$C$6,D719)),Assumptions!$D$6,IF(ISNUMBER(SEARCH(Assumptions!$C$7,D719)),Assumptions!$D$7,"Other Services"))),"Other Services"))</f>
        <v/>
      </c>
    </row>
    <row r="720" customFormat="false" ht="15" hidden="false" customHeight="false" outlineLevel="0" collapsed="false">
      <c r="J720" s="41" t="str">
        <f aca="false">IF(D720="","",IFERROR(IF(ISNUMBER(SEARCH(Assumptions!$C$5,D720)),Assumptions!$D$5,IF(ISNUMBER(SEARCH(Assumptions!$C$6,D720)),Assumptions!$D$6,IF(ISNUMBER(SEARCH(Assumptions!$C$7,D720)),Assumptions!$D$7,"Other Services"))),"Other Services"))</f>
        <v/>
      </c>
    </row>
    <row r="721" customFormat="false" ht="15" hidden="false" customHeight="false" outlineLevel="0" collapsed="false">
      <c r="J721" s="41" t="str">
        <f aca="false">IF(D721="","",IFERROR(IF(ISNUMBER(SEARCH(Assumptions!$C$5,D721)),Assumptions!$D$5,IF(ISNUMBER(SEARCH(Assumptions!$C$6,D721)),Assumptions!$D$6,IF(ISNUMBER(SEARCH(Assumptions!$C$7,D721)),Assumptions!$D$7,"Other Services"))),"Other Services"))</f>
        <v/>
      </c>
    </row>
    <row r="722" customFormat="false" ht="15" hidden="false" customHeight="false" outlineLevel="0" collapsed="false">
      <c r="J722" s="41" t="str">
        <f aca="false">IF(D722="","",IFERROR(IF(ISNUMBER(SEARCH(Assumptions!$C$5,D722)),Assumptions!$D$5,IF(ISNUMBER(SEARCH(Assumptions!$C$6,D722)),Assumptions!$D$6,IF(ISNUMBER(SEARCH(Assumptions!$C$7,D722)),Assumptions!$D$7,"Other Services"))),"Other Services"))</f>
        <v/>
      </c>
    </row>
    <row r="723" customFormat="false" ht="15" hidden="false" customHeight="false" outlineLevel="0" collapsed="false">
      <c r="J723" s="41" t="str">
        <f aca="false">IF(D723="","",IFERROR(IF(ISNUMBER(SEARCH(Assumptions!$C$5,D723)),Assumptions!$D$5,IF(ISNUMBER(SEARCH(Assumptions!$C$6,D723)),Assumptions!$D$6,IF(ISNUMBER(SEARCH(Assumptions!$C$7,D723)),Assumptions!$D$7,"Other Services"))),"Other Services"))</f>
        <v/>
      </c>
    </row>
    <row r="724" customFormat="false" ht="15" hidden="false" customHeight="false" outlineLevel="0" collapsed="false">
      <c r="J724" s="41" t="str">
        <f aca="false">IF(D724="","",IFERROR(IF(ISNUMBER(SEARCH(Assumptions!$C$5,D724)),Assumptions!$D$5,IF(ISNUMBER(SEARCH(Assumptions!$C$6,D724)),Assumptions!$D$6,IF(ISNUMBER(SEARCH(Assumptions!$C$7,D724)),Assumptions!$D$7,"Other Services"))),"Other Services"))</f>
        <v/>
      </c>
    </row>
    <row r="725" customFormat="false" ht="15" hidden="false" customHeight="false" outlineLevel="0" collapsed="false">
      <c r="J725" s="41" t="str">
        <f aca="false">IF(D725="","",IFERROR(IF(ISNUMBER(SEARCH(Assumptions!$C$5,D725)),Assumptions!$D$5,IF(ISNUMBER(SEARCH(Assumptions!$C$6,D725)),Assumptions!$D$6,IF(ISNUMBER(SEARCH(Assumptions!$C$7,D725)),Assumptions!$D$7,"Other Services"))),"Other Services"))</f>
        <v/>
      </c>
    </row>
    <row r="726" customFormat="false" ht="15" hidden="false" customHeight="false" outlineLevel="0" collapsed="false">
      <c r="J726" s="41" t="str">
        <f aca="false">IF(D726="","",IFERROR(IF(ISNUMBER(SEARCH(Assumptions!$C$5,D726)),Assumptions!$D$5,IF(ISNUMBER(SEARCH(Assumptions!$C$6,D726)),Assumptions!$D$6,IF(ISNUMBER(SEARCH(Assumptions!$C$7,D726)),Assumptions!$D$7,"Other Services"))),"Other Services"))</f>
        <v/>
      </c>
    </row>
    <row r="727" customFormat="false" ht="15" hidden="false" customHeight="false" outlineLevel="0" collapsed="false">
      <c r="J727" s="41" t="str">
        <f aca="false">IF(D727="","",IFERROR(IF(ISNUMBER(SEARCH(Assumptions!$C$5,D727)),Assumptions!$D$5,IF(ISNUMBER(SEARCH(Assumptions!$C$6,D727)),Assumptions!$D$6,IF(ISNUMBER(SEARCH(Assumptions!$C$7,D727)),Assumptions!$D$7,"Other Services"))),"Other Services"))</f>
        <v/>
      </c>
    </row>
    <row r="728" customFormat="false" ht="15" hidden="false" customHeight="false" outlineLevel="0" collapsed="false">
      <c r="J728" s="41" t="str">
        <f aca="false">IF(D728="","",IFERROR(IF(ISNUMBER(SEARCH(Assumptions!$C$5,D728)),Assumptions!$D$5,IF(ISNUMBER(SEARCH(Assumptions!$C$6,D728)),Assumptions!$D$6,IF(ISNUMBER(SEARCH(Assumptions!$C$7,D728)),Assumptions!$D$7,"Other Services"))),"Other Services"))</f>
        <v/>
      </c>
    </row>
    <row r="729" customFormat="false" ht="15" hidden="false" customHeight="false" outlineLevel="0" collapsed="false">
      <c r="J729" s="41" t="str">
        <f aca="false">IF(D729="","",IFERROR(IF(ISNUMBER(SEARCH(Assumptions!$C$5,D729)),Assumptions!$D$5,IF(ISNUMBER(SEARCH(Assumptions!$C$6,D729)),Assumptions!$D$6,IF(ISNUMBER(SEARCH(Assumptions!$C$7,D729)),Assumptions!$D$7,"Other Services"))),"Other Services"))</f>
        <v/>
      </c>
    </row>
    <row r="730" customFormat="false" ht="15" hidden="false" customHeight="false" outlineLevel="0" collapsed="false">
      <c r="J730" s="41" t="str">
        <f aca="false">IF(D730="","",IFERROR(IF(ISNUMBER(SEARCH(Assumptions!$C$5,D730)),Assumptions!$D$5,IF(ISNUMBER(SEARCH(Assumptions!$C$6,D730)),Assumptions!$D$6,IF(ISNUMBER(SEARCH(Assumptions!$C$7,D730)),Assumptions!$D$7,"Other Services"))),"Other Services"))</f>
        <v/>
      </c>
    </row>
    <row r="731" customFormat="false" ht="15" hidden="false" customHeight="false" outlineLevel="0" collapsed="false">
      <c r="J731" s="41" t="str">
        <f aca="false">IF(D731="","",IFERROR(IF(ISNUMBER(SEARCH(Assumptions!$C$5,D731)),Assumptions!$D$5,IF(ISNUMBER(SEARCH(Assumptions!$C$6,D731)),Assumptions!$D$6,IF(ISNUMBER(SEARCH(Assumptions!$C$7,D731)),Assumptions!$D$7,"Other Services"))),"Other Services"))</f>
        <v/>
      </c>
    </row>
    <row r="732" customFormat="false" ht="15" hidden="false" customHeight="false" outlineLevel="0" collapsed="false">
      <c r="J732" s="41" t="str">
        <f aca="false">IF(D732="","",IFERROR(IF(ISNUMBER(SEARCH(Assumptions!$C$5,D732)),Assumptions!$D$5,IF(ISNUMBER(SEARCH(Assumptions!$C$6,D732)),Assumptions!$D$6,IF(ISNUMBER(SEARCH(Assumptions!$C$7,D732)),Assumptions!$D$7,"Other Services"))),"Other Services"))</f>
        <v/>
      </c>
    </row>
    <row r="733" customFormat="false" ht="15" hidden="false" customHeight="false" outlineLevel="0" collapsed="false">
      <c r="J733" s="41" t="str">
        <f aca="false">IF(D733="","",IFERROR(IF(ISNUMBER(SEARCH(Assumptions!$C$5,D733)),Assumptions!$D$5,IF(ISNUMBER(SEARCH(Assumptions!$C$6,D733)),Assumptions!$D$6,IF(ISNUMBER(SEARCH(Assumptions!$C$7,D733)),Assumptions!$D$7,"Other Services"))),"Other Services"))</f>
        <v/>
      </c>
    </row>
    <row r="734" customFormat="false" ht="15" hidden="false" customHeight="false" outlineLevel="0" collapsed="false">
      <c r="J734" s="41" t="str">
        <f aca="false">IF(D734="","",IFERROR(IF(ISNUMBER(SEARCH(Assumptions!$C$5,D734)),Assumptions!$D$5,IF(ISNUMBER(SEARCH(Assumptions!$C$6,D734)),Assumptions!$D$6,IF(ISNUMBER(SEARCH(Assumptions!$C$7,D734)),Assumptions!$D$7,"Other Services"))),"Other Services"))</f>
        <v/>
      </c>
    </row>
    <row r="735" customFormat="false" ht="15" hidden="false" customHeight="false" outlineLevel="0" collapsed="false">
      <c r="J735" s="41" t="str">
        <f aca="false">IF(D735="","",IFERROR(IF(ISNUMBER(SEARCH(Assumptions!$C$5,D735)),Assumptions!$D$5,IF(ISNUMBER(SEARCH(Assumptions!$C$6,D735)),Assumptions!$D$6,IF(ISNUMBER(SEARCH(Assumptions!$C$7,D735)),Assumptions!$D$7,"Other Services"))),"Other Services"))</f>
        <v/>
      </c>
    </row>
    <row r="736" customFormat="false" ht="15" hidden="false" customHeight="false" outlineLevel="0" collapsed="false">
      <c r="J736" s="41" t="str">
        <f aca="false">IF(D736="","",IFERROR(IF(ISNUMBER(SEARCH(Assumptions!$C$5,D736)),Assumptions!$D$5,IF(ISNUMBER(SEARCH(Assumptions!$C$6,D736)),Assumptions!$D$6,IF(ISNUMBER(SEARCH(Assumptions!$C$7,D736)),Assumptions!$D$7,"Other Services"))),"Other Services"))</f>
        <v/>
      </c>
    </row>
    <row r="737" customFormat="false" ht="15" hidden="false" customHeight="false" outlineLevel="0" collapsed="false">
      <c r="J737" s="41" t="str">
        <f aca="false">IF(D737="","",IFERROR(IF(ISNUMBER(SEARCH(Assumptions!$C$5,D737)),Assumptions!$D$5,IF(ISNUMBER(SEARCH(Assumptions!$C$6,D737)),Assumptions!$D$6,IF(ISNUMBER(SEARCH(Assumptions!$C$7,D737)),Assumptions!$D$7,"Other Services"))),"Other Services"))</f>
        <v/>
      </c>
    </row>
    <row r="738" customFormat="false" ht="15" hidden="false" customHeight="false" outlineLevel="0" collapsed="false">
      <c r="J738" s="41" t="str">
        <f aca="false">IF(D738="","",IFERROR(IF(ISNUMBER(SEARCH(Assumptions!$C$5,D738)),Assumptions!$D$5,IF(ISNUMBER(SEARCH(Assumptions!$C$6,D738)),Assumptions!$D$6,IF(ISNUMBER(SEARCH(Assumptions!$C$7,D738)),Assumptions!$D$7,"Other Services"))),"Other Services"))</f>
        <v/>
      </c>
    </row>
    <row r="739" customFormat="false" ht="15" hidden="false" customHeight="false" outlineLevel="0" collapsed="false">
      <c r="J739" s="41" t="str">
        <f aca="false">IF(D739="","",IFERROR(IF(ISNUMBER(SEARCH(Assumptions!$C$5,D739)),Assumptions!$D$5,IF(ISNUMBER(SEARCH(Assumptions!$C$6,D739)),Assumptions!$D$6,IF(ISNUMBER(SEARCH(Assumptions!$C$7,D739)),Assumptions!$D$7,"Other Services"))),"Other Services"))</f>
        <v/>
      </c>
    </row>
    <row r="740" customFormat="false" ht="15" hidden="false" customHeight="false" outlineLevel="0" collapsed="false">
      <c r="J740" s="41" t="str">
        <f aca="false">IF(D740="","",IFERROR(IF(ISNUMBER(SEARCH(Assumptions!$C$5,D740)),Assumptions!$D$5,IF(ISNUMBER(SEARCH(Assumptions!$C$6,D740)),Assumptions!$D$6,IF(ISNUMBER(SEARCH(Assumptions!$C$7,D740)),Assumptions!$D$7,"Other Services"))),"Other Services"))</f>
        <v/>
      </c>
    </row>
    <row r="741" customFormat="false" ht="15" hidden="false" customHeight="false" outlineLevel="0" collapsed="false">
      <c r="J741" s="41" t="str">
        <f aca="false">IF(D741="","",IFERROR(IF(ISNUMBER(SEARCH(Assumptions!$C$5,D741)),Assumptions!$D$5,IF(ISNUMBER(SEARCH(Assumptions!$C$6,D741)),Assumptions!$D$6,IF(ISNUMBER(SEARCH(Assumptions!$C$7,D741)),Assumptions!$D$7,"Other Services"))),"Other Services"))</f>
        <v/>
      </c>
    </row>
    <row r="742" customFormat="false" ht="15" hidden="false" customHeight="false" outlineLevel="0" collapsed="false">
      <c r="J742" s="41" t="str">
        <f aca="false">IF(D742="","",IFERROR(IF(ISNUMBER(SEARCH(Assumptions!$C$5,D742)),Assumptions!$D$5,IF(ISNUMBER(SEARCH(Assumptions!$C$6,D742)),Assumptions!$D$6,IF(ISNUMBER(SEARCH(Assumptions!$C$7,D742)),Assumptions!$D$7,"Other Services"))),"Other Services"))</f>
        <v/>
      </c>
    </row>
    <row r="743" customFormat="false" ht="15" hidden="false" customHeight="false" outlineLevel="0" collapsed="false">
      <c r="J743" s="41" t="str">
        <f aca="false">IF(D743="","",IFERROR(IF(ISNUMBER(SEARCH(Assumptions!$C$5,D743)),Assumptions!$D$5,IF(ISNUMBER(SEARCH(Assumptions!$C$6,D743)),Assumptions!$D$6,IF(ISNUMBER(SEARCH(Assumptions!$C$7,D743)),Assumptions!$D$7,"Other Services"))),"Other Services"))</f>
        <v/>
      </c>
    </row>
    <row r="744" customFormat="false" ht="15" hidden="false" customHeight="false" outlineLevel="0" collapsed="false">
      <c r="J744" s="41" t="str">
        <f aca="false">IF(D744="","",IFERROR(IF(ISNUMBER(SEARCH(Assumptions!$C$5,D744)),Assumptions!$D$5,IF(ISNUMBER(SEARCH(Assumptions!$C$6,D744)),Assumptions!$D$6,IF(ISNUMBER(SEARCH(Assumptions!$C$7,D744)),Assumptions!$D$7,"Other Services"))),"Other Services"))</f>
        <v/>
      </c>
    </row>
    <row r="745" customFormat="false" ht="15" hidden="false" customHeight="false" outlineLevel="0" collapsed="false">
      <c r="J745" s="41" t="str">
        <f aca="false">IF(D745="","",IFERROR(IF(ISNUMBER(SEARCH(Assumptions!$C$5,D745)),Assumptions!$D$5,IF(ISNUMBER(SEARCH(Assumptions!$C$6,D745)),Assumptions!$D$6,IF(ISNUMBER(SEARCH(Assumptions!$C$7,D745)),Assumptions!$D$7,"Other Services"))),"Other Services"))</f>
        <v/>
      </c>
    </row>
    <row r="746" customFormat="false" ht="15" hidden="false" customHeight="false" outlineLevel="0" collapsed="false">
      <c r="J746" s="41" t="str">
        <f aca="false">IF(D746="","",IFERROR(IF(ISNUMBER(SEARCH(Assumptions!$C$5,D746)),Assumptions!$D$5,IF(ISNUMBER(SEARCH(Assumptions!$C$6,D746)),Assumptions!$D$6,IF(ISNUMBER(SEARCH(Assumptions!$C$7,D746)),Assumptions!$D$7,"Other Services"))),"Other Services"))</f>
        <v/>
      </c>
    </row>
    <row r="747" customFormat="false" ht="15" hidden="false" customHeight="false" outlineLevel="0" collapsed="false">
      <c r="J747" s="41" t="str">
        <f aca="false">IF(D747="","",IFERROR(IF(ISNUMBER(SEARCH(Assumptions!$C$5,D747)),Assumptions!$D$5,IF(ISNUMBER(SEARCH(Assumptions!$C$6,D747)),Assumptions!$D$6,IF(ISNUMBER(SEARCH(Assumptions!$C$7,D747)),Assumptions!$D$7,"Other Services"))),"Other Services"))</f>
        <v/>
      </c>
    </row>
    <row r="748" customFormat="false" ht="15" hidden="false" customHeight="false" outlineLevel="0" collapsed="false">
      <c r="J748" s="41" t="str">
        <f aca="false">IF(D748="","",IFERROR(IF(ISNUMBER(SEARCH(Assumptions!$C$5,D748)),Assumptions!$D$5,IF(ISNUMBER(SEARCH(Assumptions!$C$6,D748)),Assumptions!$D$6,IF(ISNUMBER(SEARCH(Assumptions!$C$7,D748)),Assumptions!$D$7,"Other Services"))),"Other Services"))</f>
        <v/>
      </c>
    </row>
    <row r="749" customFormat="false" ht="15" hidden="false" customHeight="false" outlineLevel="0" collapsed="false">
      <c r="J749" s="41" t="str">
        <f aca="false">IF(D749="","",IFERROR(IF(ISNUMBER(SEARCH(Assumptions!$C$5,D749)),Assumptions!$D$5,IF(ISNUMBER(SEARCH(Assumptions!$C$6,D749)),Assumptions!$D$6,IF(ISNUMBER(SEARCH(Assumptions!$C$7,D749)),Assumptions!$D$7,"Other Services"))),"Other Services"))</f>
        <v/>
      </c>
    </row>
    <row r="750" customFormat="false" ht="15" hidden="false" customHeight="false" outlineLevel="0" collapsed="false">
      <c r="J750" s="41" t="str">
        <f aca="false">IF(D750="","",IFERROR(IF(ISNUMBER(SEARCH(Assumptions!$C$5,D750)),Assumptions!$D$5,IF(ISNUMBER(SEARCH(Assumptions!$C$6,D750)),Assumptions!$D$6,IF(ISNUMBER(SEARCH(Assumptions!$C$7,D750)),Assumptions!$D$7,"Other Services"))),"Other Services"))</f>
        <v/>
      </c>
    </row>
    <row r="751" customFormat="false" ht="15" hidden="false" customHeight="false" outlineLevel="0" collapsed="false">
      <c r="J751" s="41" t="str">
        <f aca="false">IF(D751="","",IFERROR(IF(ISNUMBER(SEARCH(Assumptions!$C$5,D751)),Assumptions!$D$5,IF(ISNUMBER(SEARCH(Assumptions!$C$6,D751)),Assumptions!$D$6,IF(ISNUMBER(SEARCH(Assumptions!$C$7,D751)),Assumptions!$D$7,"Other Services"))),"Other Services"))</f>
        <v/>
      </c>
    </row>
    <row r="752" customFormat="false" ht="15" hidden="false" customHeight="false" outlineLevel="0" collapsed="false">
      <c r="J752" s="41" t="str">
        <f aca="false">IF(D752="","",IFERROR(IF(ISNUMBER(SEARCH(Assumptions!$C$5,D752)),Assumptions!$D$5,IF(ISNUMBER(SEARCH(Assumptions!$C$6,D752)),Assumptions!$D$6,IF(ISNUMBER(SEARCH(Assumptions!$C$7,D752)),Assumptions!$D$7,"Other Services"))),"Other Services"))</f>
        <v/>
      </c>
    </row>
    <row r="753" customFormat="false" ht="15" hidden="false" customHeight="false" outlineLevel="0" collapsed="false">
      <c r="J753" s="41" t="str">
        <f aca="false">IF(D753="","",IFERROR(IF(ISNUMBER(SEARCH(Assumptions!$C$5,D753)),Assumptions!$D$5,IF(ISNUMBER(SEARCH(Assumptions!$C$6,D753)),Assumptions!$D$6,IF(ISNUMBER(SEARCH(Assumptions!$C$7,D753)),Assumptions!$D$7,"Other Services"))),"Other Services"))</f>
        <v/>
      </c>
    </row>
    <row r="754" customFormat="false" ht="15" hidden="false" customHeight="false" outlineLevel="0" collapsed="false">
      <c r="J754" s="41" t="str">
        <f aca="false">IF(D754="","",IFERROR(IF(ISNUMBER(SEARCH(Assumptions!$C$5,D754)),Assumptions!$D$5,IF(ISNUMBER(SEARCH(Assumptions!$C$6,D754)),Assumptions!$D$6,IF(ISNUMBER(SEARCH(Assumptions!$C$7,D754)),Assumptions!$D$7,"Other Services"))),"Other Services"))</f>
        <v/>
      </c>
    </row>
    <row r="755" customFormat="false" ht="15" hidden="false" customHeight="false" outlineLevel="0" collapsed="false">
      <c r="J755" s="41" t="str">
        <f aca="false">IF(D755="","",IFERROR(IF(ISNUMBER(SEARCH(Assumptions!$C$5,D755)),Assumptions!$D$5,IF(ISNUMBER(SEARCH(Assumptions!$C$6,D755)),Assumptions!$D$6,IF(ISNUMBER(SEARCH(Assumptions!$C$7,D755)),Assumptions!$D$7,"Other Services"))),"Other Services"))</f>
        <v/>
      </c>
    </row>
    <row r="756" customFormat="false" ht="15" hidden="false" customHeight="false" outlineLevel="0" collapsed="false">
      <c r="J756" s="41" t="str">
        <f aca="false">IF(D756="","",IFERROR(IF(ISNUMBER(SEARCH(Assumptions!$C$5,D756)),Assumptions!$D$5,IF(ISNUMBER(SEARCH(Assumptions!$C$6,D756)),Assumptions!$D$6,IF(ISNUMBER(SEARCH(Assumptions!$C$7,D756)),Assumptions!$D$7,"Other Services"))),"Other Services"))</f>
        <v/>
      </c>
    </row>
    <row r="757" customFormat="false" ht="15" hidden="false" customHeight="false" outlineLevel="0" collapsed="false">
      <c r="J757" s="41" t="str">
        <f aca="false">IF(D757="","",IFERROR(IF(ISNUMBER(SEARCH(Assumptions!$C$5,D757)),Assumptions!$D$5,IF(ISNUMBER(SEARCH(Assumptions!$C$6,D757)),Assumptions!$D$6,IF(ISNUMBER(SEARCH(Assumptions!$C$7,D757)),Assumptions!$D$7,"Other Services"))),"Other Services"))</f>
        <v/>
      </c>
    </row>
    <row r="758" customFormat="false" ht="15" hidden="false" customHeight="false" outlineLevel="0" collapsed="false">
      <c r="J758" s="41" t="str">
        <f aca="false">IF(D758="","",IFERROR(IF(ISNUMBER(SEARCH(Assumptions!$C$5,D758)),Assumptions!$D$5,IF(ISNUMBER(SEARCH(Assumptions!$C$6,D758)),Assumptions!$D$6,IF(ISNUMBER(SEARCH(Assumptions!$C$7,D758)),Assumptions!$D$7,"Other Services"))),"Other Services"))</f>
        <v/>
      </c>
    </row>
    <row r="759" customFormat="false" ht="15" hidden="false" customHeight="false" outlineLevel="0" collapsed="false">
      <c r="J759" s="41" t="str">
        <f aca="false">IF(D759="","",IFERROR(IF(ISNUMBER(SEARCH(Assumptions!$C$5,D759)),Assumptions!$D$5,IF(ISNUMBER(SEARCH(Assumptions!$C$6,D759)),Assumptions!$D$6,IF(ISNUMBER(SEARCH(Assumptions!$C$7,D759)),Assumptions!$D$7,"Other Services"))),"Other Services"))</f>
        <v/>
      </c>
    </row>
    <row r="760" customFormat="false" ht="15" hidden="false" customHeight="false" outlineLevel="0" collapsed="false">
      <c r="J760" s="41" t="str">
        <f aca="false">IF(D760="","",IFERROR(IF(ISNUMBER(SEARCH(Assumptions!$C$5,D760)),Assumptions!$D$5,IF(ISNUMBER(SEARCH(Assumptions!$C$6,D760)),Assumptions!$D$6,IF(ISNUMBER(SEARCH(Assumptions!$C$7,D760)),Assumptions!$D$7,"Other Services"))),"Other Services"))</f>
        <v/>
      </c>
    </row>
    <row r="761" customFormat="false" ht="15" hidden="false" customHeight="false" outlineLevel="0" collapsed="false">
      <c r="J761" s="41" t="str">
        <f aca="false">IF(D761="","",IFERROR(IF(ISNUMBER(SEARCH(Assumptions!$C$5,D761)),Assumptions!$D$5,IF(ISNUMBER(SEARCH(Assumptions!$C$6,D761)),Assumptions!$D$6,IF(ISNUMBER(SEARCH(Assumptions!$C$7,D761)),Assumptions!$D$7,"Other Services"))),"Other Services"))</f>
        <v/>
      </c>
    </row>
    <row r="762" customFormat="false" ht="15" hidden="false" customHeight="false" outlineLevel="0" collapsed="false">
      <c r="J762" s="41" t="str">
        <f aca="false">IF(D762="","",IFERROR(IF(ISNUMBER(SEARCH(Assumptions!$C$5,D762)),Assumptions!$D$5,IF(ISNUMBER(SEARCH(Assumptions!$C$6,D762)),Assumptions!$D$6,IF(ISNUMBER(SEARCH(Assumptions!$C$7,D762)),Assumptions!$D$7,"Other Services"))),"Other Services"))</f>
        <v/>
      </c>
    </row>
    <row r="763" customFormat="false" ht="15" hidden="false" customHeight="false" outlineLevel="0" collapsed="false">
      <c r="J763" s="41" t="str">
        <f aca="false">IF(D763="","",IFERROR(IF(ISNUMBER(SEARCH(Assumptions!$C$5,D763)),Assumptions!$D$5,IF(ISNUMBER(SEARCH(Assumptions!$C$6,D763)),Assumptions!$D$6,IF(ISNUMBER(SEARCH(Assumptions!$C$7,D763)),Assumptions!$D$7,"Other Services"))),"Other Services"))</f>
        <v/>
      </c>
    </row>
    <row r="764" customFormat="false" ht="15" hidden="false" customHeight="false" outlineLevel="0" collapsed="false">
      <c r="J764" s="41" t="str">
        <f aca="false">IF(D764="","",IFERROR(IF(ISNUMBER(SEARCH(Assumptions!$C$5,D764)),Assumptions!$D$5,IF(ISNUMBER(SEARCH(Assumptions!$C$6,D764)),Assumptions!$D$6,IF(ISNUMBER(SEARCH(Assumptions!$C$7,D764)),Assumptions!$D$7,"Other Services"))),"Other Services"))</f>
        <v/>
      </c>
    </row>
    <row r="765" customFormat="false" ht="15" hidden="false" customHeight="false" outlineLevel="0" collapsed="false">
      <c r="J765" s="41" t="str">
        <f aca="false">IF(D765="","",IFERROR(IF(ISNUMBER(SEARCH(Assumptions!$C$5,D765)),Assumptions!$D$5,IF(ISNUMBER(SEARCH(Assumptions!$C$6,D765)),Assumptions!$D$6,IF(ISNUMBER(SEARCH(Assumptions!$C$7,D765)),Assumptions!$D$7,"Other Services"))),"Other Services"))</f>
        <v/>
      </c>
    </row>
    <row r="766" customFormat="false" ht="15" hidden="false" customHeight="false" outlineLevel="0" collapsed="false">
      <c r="J766" s="41" t="str">
        <f aca="false">IF(D766="","",IFERROR(IF(ISNUMBER(SEARCH(Assumptions!$C$5,D766)),Assumptions!$D$5,IF(ISNUMBER(SEARCH(Assumptions!$C$6,D766)),Assumptions!$D$6,IF(ISNUMBER(SEARCH(Assumptions!$C$7,D766)),Assumptions!$D$7,"Other Services"))),"Other Services"))</f>
        <v/>
      </c>
    </row>
    <row r="767" customFormat="false" ht="15" hidden="false" customHeight="false" outlineLevel="0" collapsed="false">
      <c r="J767" s="41" t="str">
        <f aca="false">IF(D767="","",IFERROR(IF(ISNUMBER(SEARCH(Assumptions!$C$5,D767)),Assumptions!$D$5,IF(ISNUMBER(SEARCH(Assumptions!$C$6,D767)),Assumptions!$D$6,IF(ISNUMBER(SEARCH(Assumptions!$C$7,D767)),Assumptions!$D$7,"Other Services"))),"Other Services"))</f>
        <v/>
      </c>
    </row>
    <row r="768" customFormat="false" ht="15" hidden="false" customHeight="false" outlineLevel="0" collapsed="false">
      <c r="J768" s="41" t="str">
        <f aca="false">IF(D768="","",IFERROR(IF(ISNUMBER(SEARCH(Assumptions!$C$5,D768)),Assumptions!$D$5,IF(ISNUMBER(SEARCH(Assumptions!$C$6,D768)),Assumptions!$D$6,IF(ISNUMBER(SEARCH(Assumptions!$C$7,D768)),Assumptions!$D$7,"Other Services"))),"Other Services"))</f>
        <v/>
      </c>
    </row>
    <row r="769" customFormat="false" ht="15" hidden="false" customHeight="false" outlineLevel="0" collapsed="false">
      <c r="J769" s="41" t="str">
        <f aca="false">IF(D769="","",IFERROR(IF(ISNUMBER(SEARCH(Assumptions!$C$5,D769)),Assumptions!$D$5,IF(ISNUMBER(SEARCH(Assumptions!$C$6,D769)),Assumptions!$D$6,IF(ISNUMBER(SEARCH(Assumptions!$C$7,D769)),Assumptions!$D$7,"Other Services"))),"Other Services"))</f>
        <v/>
      </c>
    </row>
    <row r="770" customFormat="false" ht="15" hidden="false" customHeight="false" outlineLevel="0" collapsed="false">
      <c r="J770" s="41" t="str">
        <f aca="false">IF(D770="","",IFERROR(IF(ISNUMBER(SEARCH(Assumptions!$C$5,D770)),Assumptions!$D$5,IF(ISNUMBER(SEARCH(Assumptions!$C$6,D770)),Assumptions!$D$6,IF(ISNUMBER(SEARCH(Assumptions!$C$7,D770)),Assumptions!$D$7,"Other Services"))),"Other Services"))</f>
        <v/>
      </c>
    </row>
    <row r="771" customFormat="false" ht="15" hidden="false" customHeight="false" outlineLevel="0" collapsed="false">
      <c r="J771" s="41" t="str">
        <f aca="false">IF(D771="","",IFERROR(IF(ISNUMBER(SEARCH(Assumptions!$C$5,D771)),Assumptions!$D$5,IF(ISNUMBER(SEARCH(Assumptions!$C$6,D771)),Assumptions!$D$6,IF(ISNUMBER(SEARCH(Assumptions!$C$7,D771)),Assumptions!$D$7,"Other Services"))),"Other Services"))</f>
        <v/>
      </c>
    </row>
    <row r="772" customFormat="false" ht="15" hidden="false" customHeight="false" outlineLevel="0" collapsed="false">
      <c r="J772" s="41" t="str">
        <f aca="false">IF(D772="","",IFERROR(IF(ISNUMBER(SEARCH(Assumptions!$C$5,D772)),Assumptions!$D$5,IF(ISNUMBER(SEARCH(Assumptions!$C$6,D772)),Assumptions!$D$6,IF(ISNUMBER(SEARCH(Assumptions!$C$7,D772)),Assumptions!$D$7,"Other Services"))),"Other Services"))</f>
        <v/>
      </c>
    </row>
    <row r="773" customFormat="false" ht="15" hidden="false" customHeight="false" outlineLevel="0" collapsed="false">
      <c r="J773" s="41" t="str">
        <f aca="false">IF(D773="","",IFERROR(IF(ISNUMBER(SEARCH(Assumptions!$C$5,D773)),Assumptions!$D$5,IF(ISNUMBER(SEARCH(Assumptions!$C$6,D773)),Assumptions!$D$6,IF(ISNUMBER(SEARCH(Assumptions!$C$7,D773)),Assumptions!$D$7,"Other Services"))),"Other Services"))</f>
        <v/>
      </c>
    </row>
    <row r="774" customFormat="false" ht="15" hidden="false" customHeight="false" outlineLevel="0" collapsed="false">
      <c r="J774" s="41" t="str">
        <f aca="false">IF(D774="","",IFERROR(IF(ISNUMBER(SEARCH(Assumptions!$C$5,D774)),Assumptions!$D$5,IF(ISNUMBER(SEARCH(Assumptions!$C$6,D774)),Assumptions!$D$6,IF(ISNUMBER(SEARCH(Assumptions!$C$7,D774)),Assumptions!$D$7,"Other Services"))),"Other Services"))</f>
        <v/>
      </c>
    </row>
    <row r="775" customFormat="false" ht="15" hidden="false" customHeight="false" outlineLevel="0" collapsed="false">
      <c r="J775" s="41" t="str">
        <f aca="false">IF(D775="","",IFERROR(IF(ISNUMBER(SEARCH(Assumptions!$C$5,D775)),Assumptions!$D$5,IF(ISNUMBER(SEARCH(Assumptions!$C$6,D775)),Assumptions!$D$6,IF(ISNUMBER(SEARCH(Assumptions!$C$7,D775)),Assumptions!$D$7,"Other Services"))),"Other Services"))</f>
        <v/>
      </c>
    </row>
    <row r="776" customFormat="false" ht="15" hidden="false" customHeight="false" outlineLevel="0" collapsed="false">
      <c r="J776" s="41" t="str">
        <f aca="false">IF(D776="","",IFERROR(IF(ISNUMBER(SEARCH(Assumptions!$C$5,D776)),Assumptions!$D$5,IF(ISNUMBER(SEARCH(Assumptions!$C$6,D776)),Assumptions!$D$6,IF(ISNUMBER(SEARCH(Assumptions!$C$7,D776)),Assumptions!$D$7,"Other Services"))),"Other Services"))</f>
        <v/>
      </c>
    </row>
    <row r="777" customFormat="false" ht="15" hidden="false" customHeight="false" outlineLevel="0" collapsed="false">
      <c r="J777" s="41" t="str">
        <f aca="false">IF(D777="","",IFERROR(IF(ISNUMBER(SEARCH(Assumptions!$C$5,D777)),Assumptions!$D$5,IF(ISNUMBER(SEARCH(Assumptions!$C$6,D777)),Assumptions!$D$6,IF(ISNUMBER(SEARCH(Assumptions!$C$7,D777)),Assumptions!$D$7,"Other Services"))),"Other Services"))</f>
        <v/>
      </c>
    </row>
    <row r="778" customFormat="false" ht="15" hidden="false" customHeight="false" outlineLevel="0" collapsed="false">
      <c r="J778" s="41" t="str">
        <f aca="false">IF(D778="","",IFERROR(IF(ISNUMBER(SEARCH(Assumptions!$C$5,D778)),Assumptions!$D$5,IF(ISNUMBER(SEARCH(Assumptions!$C$6,D778)),Assumptions!$D$6,IF(ISNUMBER(SEARCH(Assumptions!$C$7,D778)),Assumptions!$D$7,"Other Services"))),"Other Services"))</f>
        <v/>
      </c>
    </row>
    <row r="779" customFormat="false" ht="15" hidden="false" customHeight="false" outlineLevel="0" collapsed="false">
      <c r="J779" s="41" t="str">
        <f aca="false">IF(D779="","",IFERROR(IF(ISNUMBER(SEARCH(Assumptions!$C$5,D779)),Assumptions!$D$5,IF(ISNUMBER(SEARCH(Assumptions!$C$6,D779)),Assumptions!$D$6,IF(ISNUMBER(SEARCH(Assumptions!$C$7,D779)),Assumptions!$D$7,"Other Services"))),"Other Services"))</f>
        <v/>
      </c>
    </row>
    <row r="780" customFormat="false" ht="15" hidden="false" customHeight="false" outlineLevel="0" collapsed="false">
      <c r="J780" s="41" t="str">
        <f aca="false">IF(D780="","",IFERROR(IF(ISNUMBER(SEARCH(Assumptions!$C$5,D780)),Assumptions!$D$5,IF(ISNUMBER(SEARCH(Assumptions!$C$6,D780)),Assumptions!$D$6,IF(ISNUMBER(SEARCH(Assumptions!$C$7,D780)),Assumptions!$D$7,"Other Services"))),"Other Services"))</f>
        <v/>
      </c>
    </row>
    <row r="781" customFormat="false" ht="15" hidden="false" customHeight="false" outlineLevel="0" collapsed="false">
      <c r="J781" s="41" t="str">
        <f aca="false">IF(D781="","",IFERROR(IF(ISNUMBER(SEARCH(Assumptions!$C$5,D781)),Assumptions!$D$5,IF(ISNUMBER(SEARCH(Assumptions!$C$6,D781)),Assumptions!$D$6,IF(ISNUMBER(SEARCH(Assumptions!$C$7,D781)),Assumptions!$D$7,"Other Services"))),"Other Services"))</f>
        <v/>
      </c>
    </row>
    <row r="782" customFormat="false" ht="15" hidden="false" customHeight="false" outlineLevel="0" collapsed="false">
      <c r="J782" s="41" t="str">
        <f aca="false">IF(D782="","",IFERROR(IF(ISNUMBER(SEARCH(Assumptions!$C$5,D782)),Assumptions!$D$5,IF(ISNUMBER(SEARCH(Assumptions!$C$6,D782)),Assumptions!$D$6,IF(ISNUMBER(SEARCH(Assumptions!$C$7,D782)),Assumptions!$D$7,"Other Services"))),"Other Services"))</f>
        <v/>
      </c>
    </row>
    <row r="783" customFormat="false" ht="15" hidden="false" customHeight="false" outlineLevel="0" collapsed="false">
      <c r="J783" s="41" t="str">
        <f aca="false">IF(D783="","",IFERROR(IF(ISNUMBER(SEARCH(Assumptions!$C$5,D783)),Assumptions!$D$5,IF(ISNUMBER(SEARCH(Assumptions!$C$6,D783)),Assumptions!$D$6,IF(ISNUMBER(SEARCH(Assumptions!$C$7,D783)),Assumptions!$D$7,"Other Services"))),"Other Services"))</f>
        <v/>
      </c>
    </row>
    <row r="784" customFormat="false" ht="15" hidden="false" customHeight="false" outlineLevel="0" collapsed="false">
      <c r="J784" s="41" t="str">
        <f aca="false">IF(D784="","",IFERROR(IF(ISNUMBER(SEARCH(Assumptions!$C$5,D784)),Assumptions!$D$5,IF(ISNUMBER(SEARCH(Assumptions!$C$6,D784)),Assumptions!$D$6,IF(ISNUMBER(SEARCH(Assumptions!$C$7,D784)),Assumptions!$D$7,"Other Services"))),"Other Services"))</f>
        <v/>
      </c>
    </row>
    <row r="785" customFormat="false" ht="15" hidden="false" customHeight="false" outlineLevel="0" collapsed="false">
      <c r="J785" s="41" t="str">
        <f aca="false">IF(D785="","",IFERROR(IF(ISNUMBER(SEARCH(Assumptions!$C$5,D785)),Assumptions!$D$5,IF(ISNUMBER(SEARCH(Assumptions!$C$6,D785)),Assumptions!$D$6,IF(ISNUMBER(SEARCH(Assumptions!$C$7,D785)),Assumptions!$D$7,"Other Services"))),"Other Services"))</f>
        <v/>
      </c>
    </row>
    <row r="786" customFormat="false" ht="15" hidden="false" customHeight="false" outlineLevel="0" collapsed="false">
      <c r="J786" s="41" t="str">
        <f aca="false">IF(D786="","",IFERROR(IF(ISNUMBER(SEARCH(Assumptions!$C$5,D786)),Assumptions!$D$5,IF(ISNUMBER(SEARCH(Assumptions!$C$6,D786)),Assumptions!$D$6,IF(ISNUMBER(SEARCH(Assumptions!$C$7,D786)),Assumptions!$D$7,"Other Services"))),"Other Services"))</f>
        <v/>
      </c>
    </row>
    <row r="787" customFormat="false" ht="15" hidden="false" customHeight="false" outlineLevel="0" collapsed="false">
      <c r="J787" s="41" t="str">
        <f aca="false">IF(D787="","",IFERROR(IF(ISNUMBER(SEARCH(Assumptions!$C$5,D787)),Assumptions!$D$5,IF(ISNUMBER(SEARCH(Assumptions!$C$6,D787)),Assumptions!$D$6,IF(ISNUMBER(SEARCH(Assumptions!$C$7,D787)),Assumptions!$D$7,"Other Services"))),"Other Services"))</f>
        <v/>
      </c>
    </row>
    <row r="788" customFormat="false" ht="15" hidden="false" customHeight="false" outlineLevel="0" collapsed="false">
      <c r="J788" s="41" t="str">
        <f aca="false">IF(D788="","",IFERROR(IF(ISNUMBER(SEARCH(Assumptions!$C$5,D788)),Assumptions!$D$5,IF(ISNUMBER(SEARCH(Assumptions!$C$6,D788)),Assumptions!$D$6,IF(ISNUMBER(SEARCH(Assumptions!$C$7,D788)),Assumptions!$D$7,"Other Services"))),"Other Services"))</f>
        <v/>
      </c>
    </row>
    <row r="789" customFormat="false" ht="15" hidden="false" customHeight="false" outlineLevel="0" collapsed="false">
      <c r="J789" s="41" t="str">
        <f aca="false">IF(D789="","",IFERROR(IF(ISNUMBER(SEARCH(Assumptions!$C$5,D789)),Assumptions!$D$5,IF(ISNUMBER(SEARCH(Assumptions!$C$6,D789)),Assumptions!$D$6,IF(ISNUMBER(SEARCH(Assumptions!$C$7,D789)),Assumptions!$D$7,"Other Services"))),"Other Services"))</f>
        <v/>
      </c>
    </row>
    <row r="790" customFormat="false" ht="15" hidden="false" customHeight="false" outlineLevel="0" collapsed="false">
      <c r="J790" s="41" t="str">
        <f aca="false">IF(D790="","",IFERROR(IF(ISNUMBER(SEARCH(Assumptions!$C$5,D790)),Assumptions!$D$5,IF(ISNUMBER(SEARCH(Assumptions!$C$6,D790)),Assumptions!$D$6,IF(ISNUMBER(SEARCH(Assumptions!$C$7,D790)),Assumptions!$D$7,"Other Services"))),"Other Services"))</f>
        <v/>
      </c>
    </row>
    <row r="791" customFormat="false" ht="15" hidden="false" customHeight="false" outlineLevel="0" collapsed="false">
      <c r="J791" s="41" t="str">
        <f aca="false">IF(D791="","",IFERROR(IF(ISNUMBER(SEARCH(Assumptions!$C$5,D791)),Assumptions!$D$5,IF(ISNUMBER(SEARCH(Assumptions!$C$6,D791)),Assumptions!$D$6,IF(ISNUMBER(SEARCH(Assumptions!$C$7,D791)),Assumptions!$D$7,"Other Services"))),"Other Services"))</f>
        <v/>
      </c>
    </row>
    <row r="792" customFormat="false" ht="15" hidden="false" customHeight="false" outlineLevel="0" collapsed="false">
      <c r="J792" s="41" t="str">
        <f aca="false">IF(D792="","",IFERROR(IF(ISNUMBER(SEARCH(Assumptions!$C$5,D792)),Assumptions!$D$5,IF(ISNUMBER(SEARCH(Assumptions!$C$6,D792)),Assumptions!$D$6,IF(ISNUMBER(SEARCH(Assumptions!$C$7,D792)),Assumptions!$D$7,"Other Services"))),"Other Services"))</f>
        <v/>
      </c>
    </row>
    <row r="793" customFormat="false" ht="15" hidden="false" customHeight="false" outlineLevel="0" collapsed="false">
      <c r="J793" s="41" t="str">
        <f aca="false">IF(D793="","",IFERROR(IF(ISNUMBER(SEARCH(Assumptions!$C$5,D793)),Assumptions!$D$5,IF(ISNUMBER(SEARCH(Assumptions!$C$6,D793)),Assumptions!$D$6,IF(ISNUMBER(SEARCH(Assumptions!$C$7,D793)),Assumptions!$D$7,"Other Services"))),"Other Services"))</f>
        <v/>
      </c>
    </row>
    <row r="794" customFormat="false" ht="15" hidden="false" customHeight="false" outlineLevel="0" collapsed="false">
      <c r="J794" s="41" t="str">
        <f aca="false">IF(D794="","",IFERROR(IF(ISNUMBER(SEARCH(Assumptions!$C$5,D794)),Assumptions!$D$5,IF(ISNUMBER(SEARCH(Assumptions!$C$6,D794)),Assumptions!$D$6,IF(ISNUMBER(SEARCH(Assumptions!$C$7,D794)),Assumptions!$D$7,"Other Services"))),"Other Services"))</f>
        <v/>
      </c>
    </row>
    <row r="795" customFormat="false" ht="15" hidden="false" customHeight="false" outlineLevel="0" collapsed="false">
      <c r="J795" s="41" t="str">
        <f aca="false">IF(D795="","",IFERROR(IF(ISNUMBER(SEARCH(Assumptions!$C$5,D795)),Assumptions!$D$5,IF(ISNUMBER(SEARCH(Assumptions!$C$6,D795)),Assumptions!$D$6,IF(ISNUMBER(SEARCH(Assumptions!$C$7,D795)),Assumptions!$D$7,"Other Services"))),"Other Services"))</f>
        <v/>
      </c>
    </row>
    <row r="796" customFormat="false" ht="15" hidden="false" customHeight="false" outlineLevel="0" collapsed="false">
      <c r="J796" s="41" t="str">
        <f aca="false">IF(D796="","",IFERROR(IF(ISNUMBER(SEARCH(Assumptions!$C$5,D796)),Assumptions!$D$5,IF(ISNUMBER(SEARCH(Assumptions!$C$6,D796)),Assumptions!$D$6,IF(ISNUMBER(SEARCH(Assumptions!$C$7,D796)),Assumptions!$D$7,"Other Services"))),"Other Services"))</f>
        <v/>
      </c>
    </row>
    <row r="797" customFormat="false" ht="15" hidden="false" customHeight="false" outlineLevel="0" collapsed="false">
      <c r="J797" s="41" t="str">
        <f aca="false">IF(D797="","",IFERROR(IF(ISNUMBER(SEARCH(Assumptions!$C$5,D797)),Assumptions!$D$5,IF(ISNUMBER(SEARCH(Assumptions!$C$6,D797)),Assumptions!$D$6,IF(ISNUMBER(SEARCH(Assumptions!$C$7,D797)),Assumptions!$D$7,"Other Services"))),"Other Services"))</f>
        <v/>
      </c>
    </row>
    <row r="798" customFormat="false" ht="15" hidden="false" customHeight="false" outlineLevel="0" collapsed="false">
      <c r="J798" s="41" t="str">
        <f aca="false">IF(D798="","",IFERROR(IF(ISNUMBER(SEARCH(Assumptions!$C$5,D798)),Assumptions!$D$5,IF(ISNUMBER(SEARCH(Assumptions!$C$6,D798)),Assumptions!$D$6,IF(ISNUMBER(SEARCH(Assumptions!$C$7,D798)),Assumptions!$D$7,"Other Services"))),"Other Services"))</f>
        <v/>
      </c>
    </row>
    <row r="799" customFormat="false" ht="15" hidden="false" customHeight="false" outlineLevel="0" collapsed="false">
      <c r="J799" s="41" t="str">
        <f aca="false">IF(D799="","",IFERROR(IF(ISNUMBER(SEARCH(Assumptions!$C$5,D799)),Assumptions!$D$5,IF(ISNUMBER(SEARCH(Assumptions!$C$6,D799)),Assumptions!$D$6,IF(ISNUMBER(SEARCH(Assumptions!$C$7,D799)),Assumptions!$D$7,"Other Services"))),"Other Services"))</f>
        <v/>
      </c>
    </row>
    <row r="800" customFormat="false" ht="15" hidden="false" customHeight="false" outlineLevel="0" collapsed="false">
      <c r="J800" s="41" t="str">
        <f aca="false">IF(D800="","",IFERROR(IF(ISNUMBER(SEARCH(Assumptions!$C$5,D800)),Assumptions!$D$5,IF(ISNUMBER(SEARCH(Assumptions!$C$6,D800)),Assumptions!$D$6,IF(ISNUMBER(SEARCH(Assumptions!$C$7,D800)),Assumptions!$D$7,"Other Services"))),"Other Services"))</f>
        <v/>
      </c>
    </row>
    <row r="801" customFormat="false" ht="15" hidden="false" customHeight="false" outlineLevel="0" collapsed="false">
      <c r="J801" s="41" t="str">
        <f aca="false">IF(D801="","",IFERROR(IF(ISNUMBER(SEARCH(Assumptions!$C$5,D801)),Assumptions!$D$5,IF(ISNUMBER(SEARCH(Assumptions!$C$6,D801)),Assumptions!$D$6,IF(ISNUMBER(SEARCH(Assumptions!$C$7,D801)),Assumptions!$D$7,"Other Services"))),"Other Services"))</f>
        <v/>
      </c>
    </row>
    <row r="802" customFormat="false" ht="15" hidden="false" customHeight="false" outlineLevel="0" collapsed="false">
      <c r="J802" s="41" t="str">
        <f aca="false">IF(D802="","",IFERROR(IF(ISNUMBER(SEARCH(Assumptions!$C$5,D802)),Assumptions!$D$5,IF(ISNUMBER(SEARCH(Assumptions!$C$6,D802)),Assumptions!$D$6,IF(ISNUMBER(SEARCH(Assumptions!$C$7,D802)),Assumptions!$D$7,"Other Services"))),"Other Services"))</f>
        <v/>
      </c>
    </row>
    <row r="803" customFormat="false" ht="15" hidden="false" customHeight="false" outlineLevel="0" collapsed="false">
      <c r="J803" s="41" t="str">
        <f aca="false">IF(D803="","",IFERROR(IF(ISNUMBER(SEARCH(Assumptions!$C$5,D803)),Assumptions!$D$5,IF(ISNUMBER(SEARCH(Assumptions!$C$6,D803)),Assumptions!$D$6,IF(ISNUMBER(SEARCH(Assumptions!$C$7,D803)),Assumptions!$D$7,"Other Services"))),"Other Services"))</f>
        <v/>
      </c>
    </row>
    <row r="804" customFormat="false" ht="15" hidden="false" customHeight="false" outlineLevel="0" collapsed="false">
      <c r="J804" s="41" t="str">
        <f aca="false">IF(D804="","",IFERROR(IF(ISNUMBER(SEARCH(Assumptions!$C$5,D804)),Assumptions!$D$5,IF(ISNUMBER(SEARCH(Assumptions!$C$6,D804)),Assumptions!$D$6,IF(ISNUMBER(SEARCH(Assumptions!$C$7,D804)),Assumptions!$D$7,"Other Services"))),"Other Services"))</f>
        <v/>
      </c>
    </row>
    <row r="805" customFormat="false" ht="15" hidden="false" customHeight="false" outlineLevel="0" collapsed="false">
      <c r="J805" s="41" t="str">
        <f aca="false">IF(D805="","",IFERROR(IF(ISNUMBER(SEARCH(Assumptions!$C$5,D805)),Assumptions!$D$5,IF(ISNUMBER(SEARCH(Assumptions!$C$6,D805)),Assumptions!$D$6,IF(ISNUMBER(SEARCH(Assumptions!$C$7,D805)),Assumptions!$D$7,"Other Services"))),"Other Services"))</f>
        <v/>
      </c>
    </row>
    <row r="806" customFormat="false" ht="15" hidden="false" customHeight="false" outlineLevel="0" collapsed="false">
      <c r="J806" s="41" t="str">
        <f aca="false">IF(D806="","",IFERROR(IF(ISNUMBER(SEARCH(Assumptions!$C$5,D806)),Assumptions!$D$5,IF(ISNUMBER(SEARCH(Assumptions!$C$6,D806)),Assumptions!$D$6,IF(ISNUMBER(SEARCH(Assumptions!$C$7,D806)),Assumptions!$D$7,"Other Services"))),"Other Services"))</f>
        <v/>
      </c>
    </row>
    <row r="807" customFormat="false" ht="15" hidden="false" customHeight="false" outlineLevel="0" collapsed="false">
      <c r="J807" s="41" t="str">
        <f aca="false">IF(D807="","",IFERROR(IF(ISNUMBER(SEARCH(Assumptions!$C$5,D807)),Assumptions!$D$5,IF(ISNUMBER(SEARCH(Assumptions!$C$6,D807)),Assumptions!$D$6,IF(ISNUMBER(SEARCH(Assumptions!$C$7,D807)),Assumptions!$D$7,"Other Services"))),"Other Services"))</f>
        <v/>
      </c>
    </row>
    <row r="808" customFormat="false" ht="15" hidden="false" customHeight="false" outlineLevel="0" collapsed="false">
      <c r="J808" s="41" t="str">
        <f aca="false">IF(D808="","",IFERROR(IF(ISNUMBER(SEARCH(Assumptions!$C$5,D808)),Assumptions!$D$5,IF(ISNUMBER(SEARCH(Assumptions!$C$6,D808)),Assumptions!$D$6,IF(ISNUMBER(SEARCH(Assumptions!$C$7,D808)),Assumptions!$D$7,"Other Services"))),"Other Services"))</f>
        <v/>
      </c>
    </row>
    <row r="809" customFormat="false" ht="15" hidden="false" customHeight="false" outlineLevel="0" collapsed="false">
      <c r="J809" s="41" t="str">
        <f aca="false">IF(D809="","",IFERROR(IF(ISNUMBER(SEARCH(Assumptions!$C$5,D809)),Assumptions!$D$5,IF(ISNUMBER(SEARCH(Assumptions!$C$6,D809)),Assumptions!$D$6,IF(ISNUMBER(SEARCH(Assumptions!$C$7,D809)),Assumptions!$D$7,"Other Services"))),"Other Services"))</f>
        <v/>
      </c>
    </row>
    <row r="810" customFormat="false" ht="15" hidden="false" customHeight="false" outlineLevel="0" collapsed="false">
      <c r="J810" s="41" t="str">
        <f aca="false">IF(D810="","",IFERROR(IF(ISNUMBER(SEARCH(Assumptions!$C$5,D810)),Assumptions!$D$5,IF(ISNUMBER(SEARCH(Assumptions!$C$6,D810)),Assumptions!$D$6,IF(ISNUMBER(SEARCH(Assumptions!$C$7,D810)),Assumptions!$D$7,"Other Services"))),"Other Services"))</f>
        <v/>
      </c>
    </row>
    <row r="811" customFormat="false" ht="15" hidden="false" customHeight="false" outlineLevel="0" collapsed="false">
      <c r="J811" s="41" t="str">
        <f aca="false">IF(D811="","",IFERROR(IF(ISNUMBER(SEARCH(Assumptions!$C$5,D811)),Assumptions!$D$5,IF(ISNUMBER(SEARCH(Assumptions!$C$6,D811)),Assumptions!$D$6,IF(ISNUMBER(SEARCH(Assumptions!$C$7,D811)),Assumptions!$D$7,"Other Services"))),"Other Services"))</f>
        <v/>
      </c>
    </row>
    <row r="812" customFormat="false" ht="15" hidden="false" customHeight="false" outlineLevel="0" collapsed="false">
      <c r="J812" s="41" t="str">
        <f aca="false">IF(D812="","",IFERROR(IF(ISNUMBER(SEARCH(Assumptions!$C$5,D812)),Assumptions!$D$5,IF(ISNUMBER(SEARCH(Assumptions!$C$6,D812)),Assumptions!$D$6,IF(ISNUMBER(SEARCH(Assumptions!$C$7,D812)),Assumptions!$D$7,"Other Services"))),"Other Services"))</f>
        <v/>
      </c>
    </row>
    <row r="813" customFormat="false" ht="15" hidden="false" customHeight="false" outlineLevel="0" collapsed="false">
      <c r="J813" s="41" t="str">
        <f aca="false">IF(D813="","",IFERROR(IF(ISNUMBER(SEARCH(Assumptions!$C$5,D813)),Assumptions!$D$5,IF(ISNUMBER(SEARCH(Assumptions!$C$6,D813)),Assumptions!$D$6,IF(ISNUMBER(SEARCH(Assumptions!$C$7,D813)),Assumptions!$D$7,"Other Services"))),"Other Services"))</f>
        <v/>
      </c>
    </row>
    <row r="814" customFormat="false" ht="15" hidden="false" customHeight="false" outlineLevel="0" collapsed="false">
      <c r="J814" s="41" t="str">
        <f aca="false">IF(D814="","",IFERROR(IF(ISNUMBER(SEARCH(Assumptions!$C$5,D814)),Assumptions!$D$5,IF(ISNUMBER(SEARCH(Assumptions!$C$6,D814)),Assumptions!$D$6,IF(ISNUMBER(SEARCH(Assumptions!$C$7,D814)),Assumptions!$D$7,"Other Services"))),"Other Services"))</f>
        <v/>
      </c>
    </row>
    <row r="815" customFormat="false" ht="15" hidden="false" customHeight="false" outlineLevel="0" collapsed="false">
      <c r="J815" s="41" t="str">
        <f aca="false">IF(D815="","",IFERROR(IF(ISNUMBER(SEARCH(Assumptions!$C$5,D815)),Assumptions!$D$5,IF(ISNUMBER(SEARCH(Assumptions!$C$6,D815)),Assumptions!$D$6,IF(ISNUMBER(SEARCH(Assumptions!$C$7,D815)),Assumptions!$D$7,"Other Services"))),"Other Services"))</f>
        <v/>
      </c>
    </row>
    <row r="816" customFormat="false" ht="15" hidden="false" customHeight="false" outlineLevel="0" collapsed="false">
      <c r="J816" s="41" t="str">
        <f aca="false">IF(D816="","",IFERROR(IF(ISNUMBER(SEARCH(Assumptions!$C$5,D816)),Assumptions!$D$5,IF(ISNUMBER(SEARCH(Assumptions!$C$6,D816)),Assumptions!$D$6,IF(ISNUMBER(SEARCH(Assumptions!$C$7,D816)),Assumptions!$D$7,"Other Services"))),"Other Services"))</f>
        <v/>
      </c>
    </row>
    <row r="817" customFormat="false" ht="15" hidden="false" customHeight="false" outlineLevel="0" collapsed="false">
      <c r="J817" s="41" t="str">
        <f aca="false">IF(D817="","",IFERROR(IF(ISNUMBER(SEARCH(Assumptions!$C$5,D817)),Assumptions!$D$5,IF(ISNUMBER(SEARCH(Assumptions!$C$6,D817)),Assumptions!$D$6,IF(ISNUMBER(SEARCH(Assumptions!$C$7,D817)),Assumptions!$D$7,"Other Services"))),"Other Services"))</f>
        <v/>
      </c>
    </row>
    <row r="818" customFormat="false" ht="15" hidden="false" customHeight="false" outlineLevel="0" collapsed="false">
      <c r="J818" s="41" t="str">
        <f aca="false">IF(D818="","",IFERROR(IF(ISNUMBER(SEARCH(Assumptions!$C$5,D818)),Assumptions!$D$5,IF(ISNUMBER(SEARCH(Assumptions!$C$6,D818)),Assumptions!$D$6,IF(ISNUMBER(SEARCH(Assumptions!$C$7,D818)),Assumptions!$D$7,"Other Services"))),"Other Services"))</f>
        <v/>
      </c>
    </row>
    <row r="819" customFormat="false" ht="15" hidden="false" customHeight="false" outlineLevel="0" collapsed="false">
      <c r="J819" s="41" t="str">
        <f aca="false">IF(D819="","",IFERROR(IF(ISNUMBER(SEARCH(Assumptions!$C$5,D819)),Assumptions!$D$5,IF(ISNUMBER(SEARCH(Assumptions!$C$6,D819)),Assumptions!$D$6,IF(ISNUMBER(SEARCH(Assumptions!$C$7,D819)),Assumptions!$D$7,"Other Services"))),"Other Services"))</f>
        <v/>
      </c>
    </row>
    <row r="820" customFormat="false" ht="15" hidden="false" customHeight="false" outlineLevel="0" collapsed="false">
      <c r="J820" s="41" t="str">
        <f aca="false">IF(D820="","",IFERROR(IF(ISNUMBER(SEARCH(Assumptions!$C$5,D820)),Assumptions!$D$5,IF(ISNUMBER(SEARCH(Assumptions!$C$6,D820)),Assumptions!$D$6,IF(ISNUMBER(SEARCH(Assumptions!$C$7,D820)),Assumptions!$D$7,"Other Services"))),"Other Services"))</f>
        <v/>
      </c>
    </row>
    <row r="821" customFormat="false" ht="15" hidden="false" customHeight="false" outlineLevel="0" collapsed="false">
      <c r="J821" s="41" t="str">
        <f aca="false">IF(D821="","",IFERROR(IF(ISNUMBER(SEARCH(Assumptions!$C$5,D821)),Assumptions!$D$5,IF(ISNUMBER(SEARCH(Assumptions!$C$6,D821)),Assumptions!$D$6,IF(ISNUMBER(SEARCH(Assumptions!$C$7,D821)),Assumptions!$D$7,"Other Services"))),"Other Services"))</f>
        <v/>
      </c>
    </row>
    <row r="822" customFormat="false" ht="15" hidden="false" customHeight="false" outlineLevel="0" collapsed="false">
      <c r="J822" s="41" t="str">
        <f aca="false">IF(D822="","",IFERROR(IF(ISNUMBER(SEARCH(Assumptions!$C$5,D822)),Assumptions!$D$5,IF(ISNUMBER(SEARCH(Assumptions!$C$6,D822)),Assumptions!$D$6,IF(ISNUMBER(SEARCH(Assumptions!$C$7,D822)),Assumptions!$D$7,"Other Services"))),"Other Services"))</f>
        <v/>
      </c>
    </row>
    <row r="823" customFormat="false" ht="15" hidden="false" customHeight="false" outlineLevel="0" collapsed="false">
      <c r="J823" s="41" t="str">
        <f aca="false">IF(D823="","",IFERROR(IF(ISNUMBER(SEARCH(Assumptions!$C$5,D823)),Assumptions!$D$5,IF(ISNUMBER(SEARCH(Assumptions!$C$6,D823)),Assumptions!$D$6,IF(ISNUMBER(SEARCH(Assumptions!$C$7,D823)),Assumptions!$D$7,"Other Services"))),"Other Services"))</f>
        <v/>
      </c>
    </row>
    <row r="824" customFormat="false" ht="15" hidden="false" customHeight="false" outlineLevel="0" collapsed="false">
      <c r="J824" s="41" t="str">
        <f aca="false">IF(D824="","",IFERROR(IF(ISNUMBER(SEARCH(Assumptions!$C$5,D824)),Assumptions!$D$5,IF(ISNUMBER(SEARCH(Assumptions!$C$6,D824)),Assumptions!$D$6,IF(ISNUMBER(SEARCH(Assumptions!$C$7,D824)),Assumptions!$D$7,"Other Services"))),"Other Services"))</f>
        <v/>
      </c>
    </row>
    <row r="825" customFormat="false" ht="15" hidden="false" customHeight="false" outlineLevel="0" collapsed="false">
      <c r="J825" s="41" t="str">
        <f aca="false">IF(D825="","",IFERROR(IF(ISNUMBER(SEARCH(Assumptions!$C$5,D825)),Assumptions!$D$5,IF(ISNUMBER(SEARCH(Assumptions!$C$6,D825)),Assumptions!$D$6,IF(ISNUMBER(SEARCH(Assumptions!$C$7,D825)),Assumptions!$D$7,"Other Services"))),"Other Services"))</f>
        <v/>
      </c>
    </row>
    <row r="826" customFormat="false" ht="15" hidden="false" customHeight="false" outlineLevel="0" collapsed="false">
      <c r="J826" s="41" t="str">
        <f aca="false">IF(D826="","",IFERROR(IF(ISNUMBER(SEARCH(Assumptions!$C$5,D826)),Assumptions!$D$5,IF(ISNUMBER(SEARCH(Assumptions!$C$6,D826)),Assumptions!$D$6,IF(ISNUMBER(SEARCH(Assumptions!$C$7,D826)),Assumptions!$D$7,"Other Services"))),"Other Services"))</f>
        <v/>
      </c>
    </row>
    <row r="827" customFormat="false" ht="15" hidden="false" customHeight="false" outlineLevel="0" collapsed="false">
      <c r="J827" s="41" t="str">
        <f aca="false">IF(D827="","",IFERROR(IF(ISNUMBER(SEARCH(Assumptions!$C$5,D827)),Assumptions!$D$5,IF(ISNUMBER(SEARCH(Assumptions!$C$6,D827)),Assumptions!$D$6,IF(ISNUMBER(SEARCH(Assumptions!$C$7,D827)),Assumptions!$D$7,"Other Services"))),"Other Services"))</f>
        <v/>
      </c>
    </row>
    <row r="828" customFormat="false" ht="15" hidden="false" customHeight="false" outlineLevel="0" collapsed="false">
      <c r="J828" s="41" t="str">
        <f aca="false">IF(D828="","",IFERROR(IF(ISNUMBER(SEARCH(Assumptions!$C$5,D828)),Assumptions!$D$5,IF(ISNUMBER(SEARCH(Assumptions!$C$6,D828)),Assumptions!$D$6,IF(ISNUMBER(SEARCH(Assumptions!$C$7,D828)),Assumptions!$D$7,"Other Services"))),"Other Services"))</f>
        <v/>
      </c>
    </row>
    <row r="829" customFormat="false" ht="15" hidden="false" customHeight="false" outlineLevel="0" collapsed="false">
      <c r="J829" s="41" t="str">
        <f aca="false">IF(D829="","",IFERROR(IF(ISNUMBER(SEARCH(Assumptions!$C$5,D829)),Assumptions!$D$5,IF(ISNUMBER(SEARCH(Assumptions!$C$6,D829)),Assumptions!$D$6,IF(ISNUMBER(SEARCH(Assumptions!$C$7,D829)),Assumptions!$D$7,"Other Services"))),"Other Services"))</f>
        <v/>
      </c>
    </row>
    <row r="830" customFormat="false" ht="15" hidden="false" customHeight="false" outlineLevel="0" collapsed="false">
      <c r="J830" s="41" t="str">
        <f aca="false">IF(D830="","",IFERROR(IF(ISNUMBER(SEARCH(Assumptions!$C$5,D830)),Assumptions!$D$5,IF(ISNUMBER(SEARCH(Assumptions!$C$6,D830)),Assumptions!$D$6,IF(ISNUMBER(SEARCH(Assumptions!$C$7,D830)),Assumptions!$D$7,"Other Services"))),"Other Services"))</f>
        <v/>
      </c>
    </row>
    <row r="831" customFormat="false" ht="15" hidden="false" customHeight="false" outlineLevel="0" collapsed="false">
      <c r="J831" s="41" t="str">
        <f aca="false">IF(D831="","",IFERROR(IF(ISNUMBER(SEARCH(Assumptions!$C$5,D831)),Assumptions!$D$5,IF(ISNUMBER(SEARCH(Assumptions!$C$6,D831)),Assumptions!$D$6,IF(ISNUMBER(SEARCH(Assumptions!$C$7,D831)),Assumptions!$D$7,"Other Services"))),"Other Services"))</f>
        <v/>
      </c>
    </row>
    <row r="832" customFormat="false" ht="15" hidden="false" customHeight="false" outlineLevel="0" collapsed="false">
      <c r="J832" s="41" t="str">
        <f aca="false">IF(D832="","",IFERROR(IF(ISNUMBER(SEARCH(Assumptions!$C$5,D832)),Assumptions!$D$5,IF(ISNUMBER(SEARCH(Assumptions!$C$6,D832)),Assumptions!$D$6,IF(ISNUMBER(SEARCH(Assumptions!$C$7,D832)),Assumptions!$D$7,"Other Services"))),"Other Services"))</f>
        <v/>
      </c>
    </row>
    <row r="833" customFormat="false" ht="15" hidden="false" customHeight="false" outlineLevel="0" collapsed="false">
      <c r="J833" s="41" t="str">
        <f aca="false">IF(D833="","",IFERROR(IF(ISNUMBER(SEARCH(Assumptions!$C$5,D833)),Assumptions!$D$5,IF(ISNUMBER(SEARCH(Assumptions!$C$6,D833)),Assumptions!$D$6,IF(ISNUMBER(SEARCH(Assumptions!$C$7,D833)),Assumptions!$D$7,"Other Services"))),"Other Services"))</f>
        <v/>
      </c>
    </row>
    <row r="834" customFormat="false" ht="15" hidden="false" customHeight="false" outlineLevel="0" collapsed="false">
      <c r="J834" s="41" t="str">
        <f aca="false">IF(D834="","",IFERROR(IF(ISNUMBER(SEARCH(Assumptions!$C$5,D834)),Assumptions!$D$5,IF(ISNUMBER(SEARCH(Assumptions!$C$6,D834)),Assumptions!$D$6,IF(ISNUMBER(SEARCH(Assumptions!$C$7,D834)),Assumptions!$D$7,"Other Services"))),"Other Services"))</f>
        <v/>
      </c>
    </row>
    <row r="835" customFormat="false" ht="15" hidden="false" customHeight="false" outlineLevel="0" collapsed="false">
      <c r="J835" s="41" t="str">
        <f aca="false">IF(D835="","",IFERROR(IF(ISNUMBER(SEARCH(Assumptions!$C$5,D835)),Assumptions!$D$5,IF(ISNUMBER(SEARCH(Assumptions!$C$6,D835)),Assumptions!$D$6,IF(ISNUMBER(SEARCH(Assumptions!$C$7,D835)),Assumptions!$D$7,"Other Services"))),"Other Services"))</f>
        <v/>
      </c>
    </row>
    <row r="836" customFormat="false" ht="15" hidden="false" customHeight="false" outlineLevel="0" collapsed="false">
      <c r="J836" s="41" t="str">
        <f aca="false">IF(D836="","",IFERROR(IF(ISNUMBER(SEARCH(Assumptions!$C$5,D836)),Assumptions!$D$5,IF(ISNUMBER(SEARCH(Assumptions!$C$6,D836)),Assumptions!$D$6,IF(ISNUMBER(SEARCH(Assumptions!$C$7,D836)),Assumptions!$D$7,"Other Services"))),"Other Services"))</f>
        <v/>
      </c>
    </row>
    <row r="837" customFormat="false" ht="15" hidden="false" customHeight="false" outlineLevel="0" collapsed="false">
      <c r="J837" s="41" t="str">
        <f aca="false">IF(D837="","",IFERROR(IF(ISNUMBER(SEARCH(Assumptions!$C$5,D837)),Assumptions!$D$5,IF(ISNUMBER(SEARCH(Assumptions!$C$6,D837)),Assumptions!$D$6,IF(ISNUMBER(SEARCH(Assumptions!$C$7,D837)),Assumptions!$D$7,"Other Services"))),"Other Services"))</f>
        <v/>
      </c>
    </row>
    <row r="838" customFormat="false" ht="15" hidden="false" customHeight="false" outlineLevel="0" collapsed="false">
      <c r="J838" s="41" t="str">
        <f aca="false">IF(D838="","",IFERROR(IF(ISNUMBER(SEARCH(Assumptions!$C$5,D838)),Assumptions!$D$5,IF(ISNUMBER(SEARCH(Assumptions!$C$6,D838)),Assumptions!$D$6,IF(ISNUMBER(SEARCH(Assumptions!$C$7,D838)),Assumptions!$D$7,"Other Services"))),"Other Services"))</f>
        <v/>
      </c>
    </row>
    <row r="839" customFormat="false" ht="15" hidden="false" customHeight="false" outlineLevel="0" collapsed="false">
      <c r="J839" s="41" t="str">
        <f aca="false">IF(D839="","",IFERROR(IF(ISNUMBER(SEARCH(Assumptions!$C$5,D839)),Assumptions!$D$5,IF(ISNUMBER(SEARCH(Assumptions!$C$6,D839)),Assumptions!$D$6,IF(ISNUMBER(SEARCH(Assumptions!$C$7,D839)),Assumptions!$D$7,"Other Services"))),"Other Services"))</f>
        <v/>
      </c>
    </row>
    <row r="840" customFormat="false" ht="15" hidden="false" customHeight="false" outlineLevel="0" collapsed="false">
      <c r="J840" s="41" t="str">
        <f aca="false">IF(D840="","",IFERROR(IF(ISNUMBER(SEARCH(Assumptions!$C$5,D840)),Assumptions!$D$5,IF(ISNUMBER(SEARCH(Assumptions!$C$6,D840)),Assumptions!$D$6,IF(ISNUMBER(SEARCH(Assumptions!$C$7,D840)),Assumptions!$D$7,"Other Services"))),"Other Services"))</f>
        <v/>
      </c>
    </row>
    <row r="841" customFormat="false" ht="15" hidden="false" customHeight="false" outlineLevel="0" collapsed="false">
      <c r="J841" s="41" t="str">
        <f aca="false">IF(D841="","",IFERROR(IF(ISNUMBER(SEARCH(Assumptions!$C$5,D841)),Assumptions!$D$5,IF(ISNUMBER(SEARCH(Assumptions!$C$6,D841)),Assumptions!$D$6,IF(ISNUMBER(SEARCH(Assumptions!$C$7,D841)),Assumptions!$D$7,"Other Services"))),"Other Services"))</f>
        <v/>
      </c>
    </row>
    <row r="842" customFormat="false" ht="15" hidden="false" customHeight="false" outlineLevel="0" collapsed="false">
      <c r="J842" s="41" t="str">
        <f aca="false">IF(D842="","",IFERROR(IF(ISNUMBER(SEARCH(Assumptions!$C$5,D842)),Assumptions!$D$5,IF(ISNUMBER(SEARCH(Assumptions!$C$6,D842)),Assumptions!$D$6,IF(ISNUMBER(SEARCH(Assumptions!$C$7,D842)),Assumptions!$D$7,"Other Services"))),"Other Services"))</f>
        <v/>
      </c>
    </row>
    <row r="843" customFormat="false" ht="15" hidden="false" customHeight="false" outlineLevel="0" collapsed="false">
      <c r="J843" s="41" t="str">
        <f aca="false">IF(D843="","",IFERROR(IF(ISNUMBER(SEARCH(Assumptions!$C$5,D843)),Assumptions!$D$5,IF(ISNUMBER(SEARCH(Assumptions!$C$6,D843)),Assumptions!$D$6,IF(ISNUMBER(SEARCH(Assumptions!$C$7,D843)),Assumptions!$D$7,"Other Services"))),"Other Services"))</f>
        <v/>
      </c>
    </row>
    <row r="844" customFormat="false" ht="15" hidden="false" customHeight="false" outlineLevel="0" collapsed="false">
      <c r="J844" s="41" t="str">
        <f aca="false">IF(D844="","",IFERROR(IF(ISNUMBER(SEARCH(Assumptions!$C$5,D844)),Assumptions!$D$5,IF(ISNUMBER(SEARCH(Assumptions!$C$6,D844)),Assumptions!$D$6,IF(ISNUMBER(SEARCH(Assumptions!$C$7,D844)),Assumptions!$D$7,"Other Services"))),"Other Services"))</f>
        <v/>
      </c>
    </row>
    <row r="845" customFormat="false" ht="15" hidden="false" customHeight="false" outlineLevel="0" collapsed="false">
      <c r="J845" s="41" t="str">
        <f aca="false">IF(D845="","",IFERROR(IF(ISNUMBER(SEARCH(Assumptions!$C$5,D845)),Assumptions!$D$5,IF(ISNUMBER(SEARCH(Assumptions!$C$6,D845)),Assumptions!$D$6,IF(ISNUMBER(SEARCH(Assumptions!$C$7,D845)),Assumptions!$D$7,"Other Services"))),"Other Services"))</f>
        <v/>
      </c>
    </row>
    <row r="846" customFormat="false" ht="15" hidden="false" customHeight="false" outlineLevel="0" collapsed="false">
      <c r="J846" s="41" t="str">
        <f aca="false">IF(D846="","",IFERROR(IF(ISNUMBER(SEARCH(Assumptions!$C$5,D846)),Assumptions!$D$5,IF(ISNUMBER(SEARCH(Assumptions!$C$6,D846)),Assumptions!$D$6,IF(ISNUMBER(SEARCH(Assumptions!$C$7,D846)),Assumptions!$D$7,"Other Services"))),"Other Services"))</f>
        <v/>
      </c>
    </row>
    <row r="847" customFormat="false" ht="15" hidden="false" customHeight="false" outlineLevel="0" collapsed="false">
      <c r="J847" s="41" t="str">
        <f aca="false">IF(D847="","",IFERROR(IF(ISNUMBER(SEARCH(Assumptions!$C$5,D847)),Assumptions!$D$5,IF(ISNUMBER(SEARCH(Assumptions!$C$6,D847)),Assumptions!$D$6,IF(ISNUMBER(SEARCH(Assumptions!$C$7,D847)),Assumptions!$D$7,"Other Services"))),"Other Services"))</f>
        <v/>
      </c>
    </row>
    <row r="848" customFormat="false" ht="15" hidden="false" customHeight="false" outlineLevel="0" collapsed="false">
      <c r="J848" s="41" t="str">
        <f aca="false">IF(D848="","",IFERROR(IF(ISNUMBER(SEARCH(Assumptions!$C$5,D848)),Assumptions!$D$5,IF(ISNUMBER(SEARCH(Assumptions!$C$6,D848)),Assumptions!$D$6,IF(ISNUMBER(SEARCH(Assumptions!$C$7,D848)),Assumptions!$D$7,"Other Services"))),"Other Services"))</f>
        <v/>
      </c>
    </row>
    <row r="849" customFormat="false" ht="15" hidden="false" customHeight="false" outlineLevel="0" collapsed="false">
      <c r="J849" s="41" t="str">
        <f aca="false">IF(D849="","",IFERROR(IF(ISNUMBER(SEARCH(Assumptions!$C$5,D849)),Assumptions!$D$5,IF(ISNUMBER(SEARCH(Assumptions!$C$6,D849)),Assumptions!$D$6,IF(ISNUMBER(SEARCH(Assumptions!$C$7,D849)),Assumptions!$D$7,"Other Services"))),"Other Services"))</f>
        <v/>
      </c>
    </row>
    <row r="850" customFormat="false" ht="15" hidden="false" customHeight="false" outlineLevel="0" collapsed="false">
      <c r="J850" s="41" t="str">
        <f aca="false">IF(D850="","",IFERROR(IF(ISNUMBER(SEARCH(Assumptions!$C$5,D850)),Assumptions!$D$5,IF(ISNUMBER(SEARCH(Assumptions!$C$6,D850)),Assumptions!$D$6,IF(ISNUMBER(SEARCH(Assumptions!$C$7,D850)),Assumptions!$D$7,"Other Services"))),"Other Services"))</f>
        <v/>
      </c>
    </row>
    <row r="851" customFormat="false" ht="15" hidden="false" customHeight="false" outlineLevel="0" collapsed="false">
      <c r="J851" s="41" t="str">
        <f aca="false">IF(D851="","",IFERROR(IF(ISNUMBER(SEARCH(Assumptions!$C$5,D851)),Assumptions!$D$5,IF(ISNUMBER(SEARCH(Assumptions!$C$6,D851)),Assumptions!$D$6,IF(ISNUMBER(SEARCH(Assumptions!$C$7,D851)),Assumptions!$D$7,"Other Services"))),"Other Services"))</f>
        <v/>
      </c>
    </row>
    <row r="852" customFormat="false" ht="15" hidden="false" customHeight="false" outlineLevel="0" collapsed="false">
      <c r="J852" s="41" t="str">
        <f aca="false">IF(D852="","",IFERROR(IF(ISNUMBER(SEARCH(Assumptions!$C$5,D852)),Assumptions!$D$5,IF(ISNUMBER(SEARCH(Assumptions!$C$6,D852)),Assumptions!$D$6,IF(ISNUMBER(SEARCH(Assumptions!$C$7,D852)),Assumptions!$D$7,"Other Services"))),"Other Services"))</f>
        <v/>
      </c>
    </row>
    <row r="853" customFormat="false" ht="15" hidden="false" customHeight="false" outlineLevel="0" collapsed="false">
      <c r="J853" s="41" t="str">
        <f aca="false">IF(D853="","",IFERROR(IF(ISNUMBER(SEARCH(Assumptions!$C$5,D853)),Assumptions!$D$5,IF(ISNUMBER(SEARCH(Assumptions!$C$6,D853)),Assumptions!$D$6,IF(ISNUMBER(SEARCH(Assumptions!$C$7,D853)),Assumptions!$D$7,"Other Services"))),"Other Services"))</f>
        <v/>
      </c>
    </row>
    <row r="854" customFormat="false" ht="15" hidden="false" customHeight="false" outlineLevel="0" collapsed="false">
      <c r="J854" s="41" t="str">
        <f aca="false">IF(D854="","",IFERROR(IF(ISNUMBER(SEARCH(Assumptions!$C$5,D854)),Assumptions!$D$5,IF(ISNUMBER(SEARCH(Assumptions!$C$6,D854)),Assumptions!$D$6,IF(ISNUMBER(SEARCH(Assumptions!$C$7,D854)),Assumptions!$D$7,"Other Services"))),"Other Services"))</f>
        <v/>
      </c>
    </row>
    <row r="855" customFormat="false" ht="15" hidden="false" customHeight="false" outlineLevel="0" collapsed="false">
      <c r="J855" s="41" t="str">
        <f aca="false">IF(D855="","",IFERROR(IF(ISNUMBER(SEARCH(Assumptions!$C$5,D855)),Assumptions!$D$5,IF(ISNUMBER(SEARCH(Assumptions!$C$6,D855)),Assumptions!$D$6,IF(ISNUMBER(SEARCH(Assumptions!$C$7,D855)),Assumptions!$D$7,"Other Services"))),"Other Services"))</f>
        <v/>
      </c>
    </row>
    <row r="856" customFormat="false" ht="15" hidden="false" customHeight="false" outlineLevel="0" collapsed="false">
      <c r="J856" s="41" t="str">
        <f aca="false">IF(D856="","",IFERROR(IF(ISNUMBER(SEARCH(Assumptions!$C$5,D856)),Assumptions!$D$5,IF(ISNUMBER(SEARCH(Assumptions!$C$6,D856)),Assumptions!$D$6,IF(ISNUMBER(SEARCH(Assumptions!$C$7,D856)),Assumptions!$D$7,"Other Services"))),"Other Services"))</f>
        <v/>
      </c>
    </row>
    <row r="857" customFormat="false" ht="15" hidden="false" customHeight="false" outlineLevel="0" collapsed="false">
      <c r="J857" s="41" t="str">
        <f aca="false">IF(D857="","",IFERROR(IF(ISNUMBER(SEARCH(Assumptions!$C$5,D857)),Assumptions!$D$5,IF(ISNUMBER(SEARCH(Assumptions!$C$6,D857)),Assumptions!$D$6,IF(ISNUMBER(SEARCH(Assumptions!$C$7,D857)),Assumptions!$D$7,"Other Services"))),"Other Services"))</f>
        <v/>
      </c>
    </row>
    <row r="858" customFormat="false" ht="15" hidden="false" customHeight="false" outlineLevel="0" collapsed="false">
      <c r="J858" s="41" t="str">
        <f aca="false">IF(D858="","",IFERROR(IF(ISNUMBER(SEARCH(Assumptions!$C$5,D858)),Assumptions!$D$5,IF(ISNUMBER(SEARCH(Assumptions!$C$6,D858)),Assumptions!$D$6,IF(ISNUMBER(SEARCH(Assumptions!$C$7,D858)),Assumptions!$D$7,"Other Services"))),"Other Services"))</f>
        <v/>
      </c>
    </row>
    <row r="859" customFormat="false" ht="15" hidden="false" customHeight="false" outlineLevel="0" collapsed="false">
      <c r="J859" s="41" t="str">
        <f aca="false">IF(D859="","",IFERROR(IF(ISNUMBER(SEARCH(Assumptions!$C$5,D859)),Assumptions!$D$5,IF(ISNUMBER(SEARCH(Assumptions!$C$6,D859)),Assumptions!$D$6,IF(ISNUMBER(SEARCH(Assumptions!$C$7,D859)),Assumptions!$D$7,"Other Services"))),"Other Services"))</f>
        <v/>
      </c>
    </row>
    <row r="860" customFormat="false" ht="15" hidden="false" customHeight="false" outlineLevel="0" collapsed="false">
      <c r="J860" s="41" t="str">
        <f aca="false">IF(D860="","",IFERROR(IF(ISNUMBER(SEARCH(Assumptions!$C$5,D860)),Assumptions!$D$5,IF(ISNUMBER(SEARCH(Assumptions!$C$6,D860)),Assumptions!$D$6,IF(ISNUMBER(SEARCH(Assumptions!$C$7,D860)),Assumptions!$D$7,"Other Services"))),"Other Services"))</f>
        <v/>
      </c>
    </row>
    <row r="861" customFormat="false" ht="15" hidden="false" customHeight="false" outlineLevel="0" collapsed="false">
      <c r="J861" s="41" t="str">
        <f aca="false">IF(D861="","",IFERROR(IF(ISNUMBER(SEARCH(Assumptions!$C$5,D861)),Assumptions!$D$5,IF(ISNUMBER(SEARCH(Assumptions!$C$6,D861)),Assumptions!$D$6,IF(ISNUMBER(SEARCH(Assumptions!$C$7,D861)),Assumptions!$D$7,"Other Services"))),"Other Services"))</f>
        <v/>
      </c>
    </row>
    <row r="862" customFormat="false" ht="15" hidden="false" customHeight="false" outlineLevel="0" collapsed="false">
      <c r="J862" s="41" t="str">
        <f aca="false">IF(D862="","",IFERROR(IF(ISNUMBER(SEARCH(Assumptions!$C$5,D862)),Assumptions!$D$5,IF(ISNUMBER(SEARCH(Assumptions!$C$6,D862)),Assumptions!$D$6,IF(ISNUMBER(SEARCH(Assumptions!$C$7,D862)),Assumptions!$D$7,"Other Services"))),"Other Services"))</f>
        <v/>
      </c>
    </row>
    <row r="863" customFormat="false" ht="15" hidden="false" customHeight="false" outlineLevel="0" collapsed="false">
      <c r="J863" s="41" t="str">
        <f aca="false">IF(D863="","",IFERROR(IF(ISNUMBER(SEARCH(Assumptions!$C$5,D863)),Assumptions!$D$5,IF(ISNUMBER(SEARCH(Assumptions!$C$6,D863)),Assumptions!$D$6,IF(ISNUMBER(SEARCH(Assumptions!$C$7,D863)),Assumptions!$D$7,"Other Services"))),"Other Services"))</f>
        <v/>
      </c>
    </row>
    <row r="864" customFormat="false" ht="15" hidden="false" customHeight="false" outlineLevel="0" collapsed="false">
      <c r="J864" s="41" t="str">
        <f aca="false">IF(D864="","",IFERROR(IF(ISNUMBER(SEARCH(Assumptions!$C$5,D864)),Assumptions!$D$5,IF(ISNUMBER(SEARCH(Assumptions!$C$6,D864)),Assumptions!$D$6,IF(ISNUMBER(SEARCH(Assumptions!$C$7,D864)),Assumptions!$D$7,"Other Services"))),"Other Services"))</f>
        <v/>
      </c>
    </row>
    <row r="865" customFormat="false" ht="15" hidden="false" customHeight="false" outlineLevel="0" collapsed="false">
      <c r="J865" s="41" t="str">
        <f aca="false">IF(D865="","",IFERROR(IF(ISNUMBER(SEARCH(Assumptions!$C$5,D865)),Assumptions!$D$5,IF(ISNUMBER(SEARCH(Assumptions!$C$6,D865)),Assumptions!$D$6,IF(ISNUMBER(SEARCH(Assumptions!$C$7,D865)),Assumptions!$D$7,"Other Services"))),"Other Services"))</f>
        <v/>
      </c>
    </row>
    <row r="866" customFormat="false" ht="15" hidden="false" customHeight="false" outlineLevel="0" collapsed="false">
      <c r="J866" s="41" t="str">
        <f aca="false">IF(D866="","",IFERROR(IF(ISNUMBER(SEARCH(Assumptions!$C$5,D866)),Assumptions!$D$5,IF(ISNUMBER(SEARCH(Assumptions!$C$6,D866)),Assumptions!$D$6,IF(ISNUMBER(SEARCH(Assumptions!$C$7,D866)),Assumptions!$D$7,"Other Services"))),"Other Services"))</f>
        <v/>
      </c>
    </row>
    <row r="867" customFormat="false" ht="15" hidden="false" customHeight="false" outlineLevel="0" collapsed="false">
      <c r="J867" s="41" t="str">
        <f aca="false">IF(D867="","",IFERROR(IF(ISNUMBER(SEARCH(Assumptions!$C$5,D867)),Assumptions!$D$5,IF(ISNUMBER(SEARCH(Assumptions!$C$6,D867)),Assumptions!$D$6,IF(ISNUMBER(SEARCH(Assumptions!$C$7,D867)),Assumptions!$D$7,"Other Services"))),"Other Services"))</f>
        <v/>
      </c>
    </row>
    <row r="868" customFormat="false" ht="15" hidden="false" customHeight="false" outlineLevel="0" collapsed="false">
      <c r="J868" s="41" t="str">
        <f aca="false">IF(D868="","",IFERROR(IF(ISNUMBER(SEARCH(Assumptions!$C$5,D868)),Assumptions!$D$5,IF(ISNUMBER(SEARCH(Assumptions!$C$6,D868)),Assumptions!$D$6,IF(ISNUMBER(SEARCH(Assumptions!$C$7,D868)),Assumptions!$D$7,"Other Services"))),"Other Services"))</f>
        <v/>
      </c>
    </row>
    <row r="869" customFormat="false" ht="15" hidden="false" customHeight="false" outlineLevel="0" collapsed="false">
      <c r="J869" s="41" t="str">
        <f aca="false">IF(D869="","",IFERROR(IF(ISNUMBER(SEARCH(Assumptions!$C$5,D869)),Assumptions!$D$5,IF(ISNUMBER(SEARCH(Assumptions!$C$6,D869)),Assumptions!$D$6,IF(ISNUMBER(SEARCH(Assumptions!$C$7,D869)),Assumptions!$D$7,"Other Services"))),"Other Services"))</f>
        <v/>
      </c>
    </row>
    <row r="870" customFormat="false" ht="15" hidden="false" customHeight="false" outlineLevel="0" collapsed="false">
      <c r="J870" s="41" t="str">
        <f aca="false">IF(D870="","",IFERROR(IF(ISNUMBER(SEARCH(Assumptions!$C$5,D870)),Assumptions!$D$5,IF(ISNUMBER(SEARCH(Assumptions!$C$6,D870)),Assumptions!$D$6,IF(ISNUMBER(SEARCH(Assumptions!$C$7,D870)),Assumptions!$D$7,"Other Services"))),"Other Services"))</f>
        <v/>
      </c>
    </row>
    <row r="871" customFormat="false" ht="15" hidden="false" customHeight="false" outlineLevel="0" collapsed="false">
      <c r="J871" s="41" t="str">
        <f aca="false">IF(D871="","",IFERROR(IF(ISNUMBER(SEARCH(Assumptions!$C$5,D871)),Assumptions!$D$5,IF(ISNUMBER(SEARCH(Assumptions!$C$6,D871)),Assumptions!$D$6,IF(ISNUMBER(SEARCH(Assumptions!$C$7,D871)),Assumptions!$D$7,"Other Services"))),"Other Services"))</f>
        <v/>
      </c>
    </row>
    <row r="872" customFormat="false" ht="15" hidden="false" customHeight="false" outlineLevel="0" collapsed="false">
      <c r="J872" s="41" t="str">
        <f aca="false">IF(D872="","",IFERROR(IF(ISNUMBER(SEARCH(Assumptions!$C$5,D872)),Assumptions!$D$5,IF(ISNUMBER(SEARCH(Assumptions!$C$6,D872)),Assumptions!$D$6,IF(ISNUMBER(SEARCH(Assumptions!$C$7,D872)),Assumptions!$D$7,"Other Services"))),"Other Services"))</f>
        <v/>
      </c>
    </row>
    <row r="873" customFormat="false" ht="15" hidden="false" customHeight="false" outlineLevel="0" collapsed="false">
      <c r="J873" s="41" t="str">
        <f aca="false">IF(D873="","",IFERROR(IF(ISNUMBER(SEARCH(Assumptions!$C$5,D873)),Assumptions!$D$5,IF(ISNUMBER(SEARCH(Assumptions!$C$6,D873)),Assumptions!$D$6,IF(ISNUMBER(SEARCH(Assumptions!$C$7,D873)),Assumptions!$D$7,"Other Services"))),"Other Services"))</f>
        <v/>
      </c>
    </row>
    <row r="874" customFormat="false" ht="15" hidden="false" customHeight="false" outlineLevel="0" collapsed="false">
      <c r="J874" s="41" t="str">
        <f aca="false">IF(D874="","",IFERROR(IF(ISNUMBER(SEARCH(Assumptions!$C$5,D874)),Assumptions!$D$5,IF(ISNUMBER(SEARCH(Assumptions!$C$6,D874)),Assumptions!$D$6,IF(ISNUMBER(SEARCH(Assumptions!$C$7,D874)),Assumptions!$D$7,"Other Services"))),"Other Services"))</f>
        <v/>
      </c>
    </row>
    <row r="875" customFormat="false" ht="15" hidden="false" customHeight="false" outlineLevel="0" collapsed="false">
      <c r="J875" s="41" t="str">
        <f aca="false">IF(D875="","",IFERROR(IF(ISNUMBER(SEARCH(Assumptions!$C$5,D875)),Assumptions!$D$5,IF(ISNUMBER(SEARCH(Assumptions!$C$6,D875)),Assumptions!$D$6,IF(ISNUMBER(SEARCH(Assumptions!$C$7,D875)),Assumptions!$D$7,"Other Services"))),"Other Services"))</f>
        <v/>
      </c>
    </row>
    <row r="876" customFormat="false" ht="15" hidden="false" customHeight="false" outlineLevel="0" collapsed="false">
      <c r="J876" s="41" t="str">
        <f aca="false">IF(D876="","",IFERROR(IF(ISNUMBER(SEARCH(Assumptions!$C$5,D876)),Assumptions!$D$5,IF(ISNUMBER(SEARCH(Assumptions!$C$6,D876)),Assumptions!$D$6,IF(ISNUMBER(SEARCH(Assumptions!$C$7,D876)),Assumptions!$D$7,"Other Services"))),"Other Services"))</f>
        <v/>
      </c>
    </row>
    <row r="877" customFormat="false" ht="15" hidden="false" customHeight="false" outlineLevel="0" collapsed="false">
      <c r="J877" s="41" t="str">
        <f aca="false">IF(D877="","",IFERROR(IF(ISNUMBER(SEARCH(Assumptions!$C$5,D877)),Assumptions!$D$5,IF(ISNUMBER(SEARCH(Assumptions!$C$6,D877)),Assumptions!$D$6,IF(ISNUMBER(SEARCH(Assumptions!$C$7,D877)),Assumptions!$D$7,"Other Services"))),"Other Services"))</f>
        <v/>
      </c>
    </row>
    <row r="878" customFormat="false" ht="15" hidden="false" customHeight="false" outlineLevel="0" collapsed="false">
      <c r="J878" s="41" t="str">
        <f aca="false">IF(D878="","",IFERROR(IF(ISNUMBER(SEARCH(Assumptions!$C$5,D878)),Assumptions!$D$5,IF(ISNUMBER(SEARCH(Assumptions!$C$6,D878)),Assumptions!$D$6,IF(ISNUMBER(SEARCH(Assumptions!$C$7,D878)),Assumptions!$D$7,"Other Services"))),"Other Services"))</f>
        <v/>
      </c>
    </row>
    <row r="879" customFormat="false" ht="15" hidden="false" customHeight="false" outlineLevel="0" collapsed="false">
      <c r="J879" s="41" t="str">
        <f aca="false">IF(D879="","",IFERROR(IF(ISNUMBER(SEARCH(Assumptions!$C$5,D879)),Assumptions!$D$5,IF(ISNUMBER(SEARCH(Assumptions!$C$6,D879)),Assumptions!$D$6,IF(ISNUMBER(SEARCH(Assumptions!$C$7,D879)),Assumptions!$D$7,"Other Services"))),"Other Services"))</f>
        <v/>
      </c>
    </row>
    <row r="880" customFormat="false" ht="15" hidden="false" customHeight="false" outlineLevel="0" collapsed="false">
      <c r="J880" s="41" t="str">
        <f aca="false">IF(D880="","",IFERROR(IF(ISNUMBER(SEARCH(Assumptions!$C$5,D880)),Assumptions!$D$5,IF(ISNUMBER(SEARCH(Assumptions!$C$6,D880)),Assumptions!$D$6,IF(ISNUMBER(SEARCH(Assumptions!$C$7,D880)),Assumptions!$D$7,"Other Services"))),"Other Services"))</f>
        <v/>
      </c>
    </row>
    <row r="881" customFormat="false" ht="15" hidden="false" customHeight="false" outlineLevel="0" collapsed="false">
      <c r="J881" s="41" t="str">
        <f aca="false">IF(D881="","",IFERROR(IF(ISNUMBER(SEARCH(Assumptions!$C$5,D881)),Assumptions!$D$5,IF(ISNUMBER(SEARCH(Assumptions!$C$6,D881)),Assumptions!$D$6,IF(ISNUMBER(SEARCH(Assumptions!$C$7,D881)),Assumptions!$D$7,"Other Services"))),"Other Services"))</f>
        <v/>
      </c>
    </row>
    <row r="882" customFormat="false" ht="15" hidden="false" customHeight="false" outlineLevel="0" collapsed="false">
      <c r="J882" s="41" t="str">
        <f aca="false">IF(D882="","",IFERROR(IF(ISNUMBER(SEARCH(Assumptions!$C$5,D882)),Assumptions!$D$5,IF(ISNUMBER(SEARCH(Assumptions!$C$6,D882)),Assumptions!$D$6,IF(ISNUMBER(SEARCH(Assumptions!$C$7,D882)),Assumptions!$D$7,"Other Services"))),"Other Services"))</f>
        <v/>
      </c>
    </row>
    <row r="883" customFormat="false" ht="15" hidden="false" customHeight="false" outlineLevel="0" collapsed="false">
      <c r="J883" s="41" t="str">
        <f aca="false">IF(D883="","",IFERROR(IF(ISNUMBER(SEARCH(Assumptions!$C$5,D883)),Assumptions!$D$5,IF(ISNUMBER(SEARCH(Assumptions!$C$6,D883)),Assumptions!$D$6,IF(ISNUMBER(SEARCH(Assumptions!$C$7,D883)),Assumptions!$D$7,"Other Services"))),"Other Services"))</f>
        <v/>
      </c>
    </row>
    <row r="884" customFormat="false" ht="15" hidden="false" customHeight="false" outlineLevel="0" collapsed="false">
      <c r="J884" s="41" t="str">
        <f aca="false">IF(D884="","",IFERROR(IF(ISNUMBER(SEARCH(Assumptions!$C$5,D884)),Assumptions!$D$5,IF(ISNUMBER(SEARCH(Assumptions!$C$6,D884)),Assumptions!$D$6,IF(ISNUMBER(SEARCH(Assumptions!$C$7,D884)),Assumptions!$D$7,"Other Services"))),"Other Services"))</f>
        <v/>
      </c>
    </row>
    <row r="885" customFormat="false" ht="15" hidden="false" customHeight="false" outlineLevel="0" collapsed="false">
      <c r="J885" s="41" t="str">
        <f aca="false">IF(D885="","",IFERROR(IF(ISNUMBER(SEARCH(Assumptions!$C$5,D885)),Assumptions!$D$5,IF(ISNUMBER(SEARCH(Assumptions!$C$6,D885)),Assumptions!$D$6,IF(ISNUMBER(SEARCH(Assumptions!$C$7,D885)),Assumptions!$D$7,"Other Services"))),"Other Services"))</f>
        <v/>
      </c>
    </row>
    <row r="886" customFormat="false" ht="15" hidden="false" customHeight="false" outlineLevel="0" collapsed="false">
      <c r="J886" s="41" t="str">
        <f aca="false">IF(D886="","",IFERROR(IF(ISNUMBER(SEARCH(Assumptions!$C$5,D886)),Assumptions!$D$5,IF(ISNUMBER(SEARCH(Assumptions!$C$6,D886)),Assumptions!$D$6,IF(ISNUMBER(SEARCH(Assumptions!$C$7,D886)),Assumptions!$D$7,"Other Services"))),"Other Services"))</f>
        <v/>
      </c>
    </row>
    <row r="887" customFormat="false" ht="15" hidden="false" customHeight="false" outlineLevel="0" collapsed="false">
      <c r="J887" s="41" t="str">
        <f aca="false">IF(D887="","",IFERROR(IF(ISNUMBER(SEARCH(Assumptions!$C$5,D887)),Assumptions!$D$5,IF(ISNUMBER(SEARCH(Assumptions!$C$6,D887)),Assumptions!$D$6,IF(ISNUMBER(SEARCH(Assumptions!$C$7,D887)),Assumptions!$D$7,"Other Services"))),"Other Services"))</f>
        <v/>
      </c>
    </row>
    <row r="888" customFormat="false" ht="15" hidden="false" customHeight="false" outlineLevel="0" collapsed="false">
      <c r="J888" s="41" t="str">
        <f aca="false">IF(D888="","",IFERROR(IF(ISNUMBER(SEARCH(Assumptions!$C$5,D888)),Assumptions!$D$5,IF(ISNUMBER(SEARCH(Assumptions!$C$6,D888)),Assumptions!$D$6,IF(ISNUMBER(SEARCH(Assumptions!$C$7,D888)),Assumptions!$D$7,"Other Services"))),"Other Services"))</f>
        <v/>
      </c>
    </row>
    <row r="889" customFormat="false" ht="15" hidden="false" customHeight="false" outlineLevel="0" collapsed="false">
      <c r="J889" s="41" t="str">
        <f aca="false">IF(D889="","",IFERROR(IF(ISNUMBER(SEARCH(Assumptions!$C$5,D889)),Assumptions!$D$5,IF(ISNUMBER(SEARCH(Assumptions!$C$6,D889)),Assumptions!$D$6,IF(ISNUMBER(SEARCH(Assumptions!$C$7,D889)),Assumptions!$D$7,"Other Services"))),"Other Services"))</f>
        <v/>
      </c>
    </row>
    <row r="890" customFormat="false" ht="15" hidden="false" customHeight="false" outlineLevel="0" collapsed="false">
      <c r="J890" s="41" t="str">
        <f aca="false">IF(D890="","",IFERROR(IF(ISNUMBER(SEARCH(Assumptions!$C$5,D890)),Assumptions!$D$5,IF(ISNUMBER(SEARCH(Assumptions!$C$6,D890)),Assumptions!$D$6,IF(ISNUMBER(SEARCH(Assumptions!$C$7,D890)),Assumptions!$D$7,"Other Services"))),"Other Services"))</f>
        <v/>
      </c>
    </row>
    <row r="891" customFormat="false" ht="15" hidden="false" customHeight="false" outlineLevel="0" collapsed="false">
      <c r="J891" s="41" t="str">
        <f aca="false">IF(D891="","",IFERROR(IF(ISNUMBER(SEARCH(Assumptions!$C$5,D891)),Assumptions!$D$5,IF(ISNUMBER(SEARCH(Assumptions!$C$6,D891)),Assumptions!$D$6,IF(ISNUMBER(SEARCH(Assumptions!$C$7,D891)),Assumptions!$D$7,"Other Services"))),"Other Services"))</f>
        <v/>
      </c>
    </row>
    <row r="892" customFormat="false" ht="15" hidden="false" customHeight="false" outlineLevel="0" collapsed="false">
      <c r="J892" s="41" t="str">
        <f aca="false">IF(D892="","",IFERROR(IF(ISNUMBER(SEARCH(Assumptions!$C$5,D892)),Assumptions!$D$5,IF(ISNUMBER(SEARCH(Assumptions!$C$6,D892)),Assumptions!$D$6,IF(ISNUMBER(SEARCH(Assumptions!$C$7,D892)),Assumptions!$D$7,"Other Services"))),"Other Services"))</f>
        <v/>
      </c>
    </row>
    <row r="893" customFormat="false" ht="15" hidden="false" customHeight="false" outlineLevel="0" collapsed="false">
      <c r="J893" s="41" t="str">
        <f aca="false">IF(D893="","",IFERROR(IF(ISNUMBER(SEARCH(Assumptions!$C$5,D893)),Assumptions!$D$5,IF(ISNUMBER(SEARCH(Assumptions!$C$6,D893)),Assumptions!$D$6,IF(ISNUMBER(SEARCH(Assumptions!$C$7,D893)),Assumptions!$D$7,"Other Services"))),"Other Services"))</f>
        <v/>
      </c>
    </row>
    <row r="894" customFormat="false" ht="15" hidden="false" customHeight="false" outlineLevel="0" collapsed="false">
      <c r="J894" s="41" t="str">
        <f aca="false">IF(D894="","",IFERROR(IF(ISNUMBER(SEARCH(Assumptions!$C$5,D894)),Assumptions!$D$5,IF(ISNUMBER(SEARCH(Assumptions!$C$6,D894)),Assumptions!$D$6,IF(ISNUMBER(SEARCH(Assumptions!$C$7,D894)),Assumptions!$D$7,"Other Services"))),"Other Services"))</f>
        <v/>
      </c>
    </row>
    <row r="895" customFormat="false" ht="15" hidden="false" customHeight="false" outlineLevel="0" collapsed="false">
      <c r="J895" s="41" t="str">
        <f aca="false">IF(D895="","",IFERROR(IF(ISNUMBER(SEARCH(Assumptions!$C$5,D895)),Assumptions!$D$5,IF(ISNUMBER(SEARCH(Assumptions!$C$6,D895)),Assumptions!$D$6,IF(ISNUMBER(SEARCH(Assumptions!$C$7,D895)),Assumptions!$D$7,"Other Services"))),"Other Services"))</f>
        <v/>
      </c>
    </row>
    <row r="896" customFormat="false" ht="15" hidden="false" customHeight="false" outlineLevel="0" collapsed="false">
      <c r="J896" s="41" t="str">
        <f aca="false">IF(D896="","",IFERROR(IF(ISNUMBER(SEARCH(Assumptions!$C$5,D896)),Assumptions!$D$5,IF(ISNUMBER(SEARCH(Assumptions!$C$6,D896)),Assumptions!$D$6,IF(ISNUMBER(SEARCH(Assumptions!$C$7,D896)),Assumptions!$D$7,"Other Services"))),"Other Services"))</f>
        <v/>
      </c>
    </row>
    <row r="897" customFormat="false" ht="15" hidden="false" customHeight="false" outlineLevel="0" collapsed="false">
      <c r="J897" s="41" t="str">
        <f aca="false">IF(D897="","",IFERROR(IF(ISNUMBER(SEARCH(Assumptions!$C$5,D897)),Assumptions!$D$5,IF(ISNUMBER(SEARCH(Assumptions!$C$6,D897)),Assumptions!$D$6,IF(ISNUMBER(SEARCH(Assumptions!$C$7,D897)),Assumptions!$D$7,"Other Services"))),"Other Services"))</f>
        <v/>
      </c>
    </row>
    <row r="898" customFormat="false" ht="15" hidden="false" customHeight="false" outlineLevel="0" collapsed="false">
      <c r="J898" s="41" t="str">
        <f aca="false">IF(D898="","",IFERROR(IF(ISNUMBER(SEARCH(Assumptions!$C$5,D898)),Assumptions!$D$5,IF(ISNUMBER(SEARCH(Assumptions!$C$6,D898)),Assumptions!$D$6,IF(ISNUMBER(SEARCH(Assumptions!$C$7,D898)),Assumptions!$D$7,"Other Services"))),"Other Services"))</f>
        <v/>
      </c>
    </row>
    <row r="899" customFormat="false" ht="15" hidden="false" customHeight="false" outlineLevel="0" collapsed="false">
      <c r="J899" s="41" t="str">
        <f aca="false">IF(D899="","",IFERROR(IF(ISNUMBER(SEARCH(Assumptions!$C$5,D899)),Assumptions!$D$5,IF(ISNUMBER(SEARCH(Assumptions!$C$6,D899)),Assumptions!$D$6,IF(ISNUMBER(SEARCH(Assumptions!$C$7,D899)),Assumptions!$D$7,"Other Services"))),"Other Services"))</f>
        <v/>
      </c>
    </row>
    <row r="900" customFormat="false" ht="15" hidden="false" customHeight="false" outlineLevel="0" collapsed="false">
      <c r="J900" s="41" t="str">
        <f aca="false">IF(D900="","",IFERROR(IF(ISNUMBER(SEARCH(Assumptions!$C$5,D900)),Assumptions!$D$5,IF(ISNUMBER(SEARCH(Assumptions!$C$6,D900)),Assumptions!$D$6,IF(ISNUMBER(SEARCH(Assumptions!$C$7,D900)),Assumptions!$D$7,"Other Services"))),"Other Services"))</f>
        <v/>
      </c>
    </row>
    <row r="901" customFormat="false" ht="15" hidden="false" customHeight="false" outlineLevel="0" collapsed="false">
      <c r="J901" s="41" t="str">
        <f aca="false">IF(D901="","",IFERROR(IF(ISNUMBER(SEARCH(Assumptions!$C$5,D901)),Assumptions!$D$5,IF(ISNUMBER(SEARCH(Assumptions!$C$6,D901)),Assumptions!$D$6,IF(ISNUMBER(SEARCH(Assumptions!$C$7,D901)),Assumptions!$D$7,"Other Services"))),"Other Services"))</f>
        <v/>
      </c>
    </row>
    <row r="902" customFormat="false" ht="15" hidden="false" customHeight="false" outlineLevel="0" collapsed="false">
      <c r="J902" s="41" t="str">
        <f aca="false">IF(D902="","",IFERROR(IF(ISNUMBER(SEARCH(Assumptions!$C$5,D902)),Assumptions!$D$5,IF(ISNUMBER(SEARCH(Assumptions!$C$6,D902)),Assumptions!$D$6,IF(ISNUMBER(SEARCH(Assumptions!$C$7,D902)),Assumptions!$D$7,"Other Services"))),"Other Services"))</f>
        <v/>
      </c>
    </row>
    <row r="903" customFormat="false" ht="15" hidden="false" customHeight="false" outlineLevel="0" collapsed="false">
      <c r="J903" s="41" t="str">
        <f aca="false">IF(D903="","",IFERROR(IF(ISNUMBER(SEARCH(Assumptions!$C$5,D903)),Assumptions!$D$5,IF(ISNUMBER(SEARCH(Assumptions!$C$6,D903)),Assumptions!$D$6,IF(ISNUMBER(SEARCH(Assumptions!$C$7,D903)),Assumptions!$D$7,"Other Services"))),"Other Services"))</f>
        <v/>
      </c>
    </row>
    <row r="904" customFormat="false" ht="15" hidden="false" customHeight="false" outlineLevel="0" collapsed="false">
      <c r="J904" s="41" t="str">
        <f aca="false">IF(D904="","",IFERROR(IF(ISNUMBER(SEARCH(Assumptions!$C$5,D904)),Assumptions!$D$5,IF(ISNUMBER(SEARCH(Assumptions!$C$6,D904)),Assumptions!$D$6,IF(ISNUMBER(SEARCH(Assumptions!$C$7,D904)),Assumptions!$D$7,"Other Services"))),"Other Services"))</f>
        <v/>
      </c>
    </row>
    <row r="905" customFormat="false" ht="15" hidden="false" customHeight="false" outlineLevel="0" collapsed="false">
      <c r="J905" s="41" t="str">
        <f aca="false">IF(D905="","",IFERROR(IF(ISNUMBER(SEARCH(Assumptions!$C$5,D905)),Assumptions!$D$5,IF(ISNUMBER(SEARCH(Assumptions!$C$6,D905)),Assumptions!$D$6,IF(ISNUMBER(SEARCH(Assumptions!$C$7,D905)),Assumptions!$D$7,"Other Services"))),"Other Services"))</f>
        <v/>
      </c>
    </row>
    <row r="906" customFormat="false" ht="15" hidden="false" customHeight="false" outlineLevel="0" collapsed="false">
      <c r="J906" s="41" t="str">
        <f aca="false">IF(D906="","",IFERROR(IF(ISNUMBER(SEARCH(Assumptions!$C$5,D906)),Assumptions!$D$5,IF(ISNUMBER(SEARCH(Assumptions!$C$6,D906)),Assumptions!$D$6,IF(ISNUMBER(SEARCH(Assumptions!$C$7,D906)),Assumptions!$D$7,"Other Services"))),"Other Services"))</f>
        <v/>
      </c>
    </row>
    <row r="907" customFormat="false" ht="15" hidden="false" customHeight="false" outlineLevel="0" collapsed="false">
      <c r="J907" s="41" t="str">
        <f aca="false">IF(D907="","",IFERROR(IF(ISNUMBER(SEARCH(Assumptions!$C$5,D907)),Assumptions!$D$5,IF(ISNUMBER(SEARCH(Assumptions!$C$6,D907)),Assumptions!$D$6,IF(ISNUMBER(SEARCH(Assumptions!$C$7,D907)),Assumptions!$D$7,"Other Services"))),"Other Services"))</f>
        <v/>
      </c>
    </row>
    <row r="908" customFormat="false" ht="15" hidden="false" customHeight="false" outlineLevel="0" collapsed="false">
      <c r="J908" s="41" t="str">
        <f aca="false">IF(D908="","",IFERROR(IF(ISNUMBER(SEARCH(Assumptions!$C$5,D908)),Assumptions!$D$5,IF(ISNUMBER(SEARCH(Assumptions!$C$6,D908)),Assumptions!$D$6,IF(ISNUMBER(SEARCH(Assumptions!$C$7,D908)),Assumptions!$D$7,"Other Services"))),"Other Services"))</f>
        <v/>
      </c>
    </row>
    <row r="909" customFormat="false" ht="15" hidden="false" customHeight="false" outlineLevel="0" collapsed="false">
      <c r="J909" s="41" t="str">
        <f aca="false">IF(D909="","",IFERROR(IF(ISNUMBER(SEARCH(Assumptions!$C$5,D909)),Assumptions!$D$5,IF(ISNUMBER(SEARCH(Assumptions!$C$6,D909)),Assumptions!$D$6,IF(ISNUMBER(SEARCH(Assumptions!$C$7,D909)),Assumptions!$D$7,"Other Services"))),"Other Services"))</f>
        <v/>
      </c>
    </row>
    <row r="910" customFormat="false" ht="15" hidden="false" customHeight="false" outlineLevel="0" collapsed="false">
      <c r="J910" s="41" t="str">
        <f aca="false">IF(D910="","",IFERROR(IF(ISNUMBER(SEARCH(Assumptions!$C$5,D910)),Assumptions!$D$5,IF(ISNUMBER(SEARCH(Assumptions!$C$6,D910)),Assumptions!$D$6,IF(ISNUMBER(SEARCH(Assumptions!$C$7,D910)),Assumptions!$D$7,"Other Services"))),"Other Services"))</f>
        <v/>
      </c>
    </row>
    <row r="911" customFormat="false" ht="15" hidden="false" customHeight="false" outlineLevel="0" collapsed="false">
      <c r="J911" s="41" t="str">
        <f aca="false">IF(D911="","",IFERROR(IF(ISNUMBER(SEARCH(Assumptions!$C$5,D911)),Assumptions!$D$5,IF(ISNUMBER(SEARCH(Assumptions!$C$6,D911)),Assumptions!$D$6,IF(ISNUMBER(SEARCH(Assumptions!$C$7,D911)),Assumptions!$D$7,"Other Services"))),"Other Services"))</f>
        <v/>
      </c>
    </row>
    <row r="912" customFormat="false" ht="15" hidden="false" customHeight="false" outlineLevel="0" collapsed="false">
      <c r="J912" s="41" t="str">
        <f aca="false">IF(D912="","",IFERROR(IF(ISNUMBER(SEARCH(Assumptions!$C$5,D912)),Assumptions!$D$5,IF(ISNUMBER(SEARCH(Assumptions!$C$6,D912)),Assumptions!$D$6,IF(ISNUMBER(SEARCH(Assumptions!$C$7,D912)),Assumptions!$D$7,"Other Services"))),"Other Services"))</f>
        <v/>
      </c>
    </row>
    <row r="913" customFormat="false" ht="15" hidden="false" customHeight="false" outlineLevel="0" collapsed="false">
      <c r="J913" s="41" t="str">
        <f aca="false">IF(D913="","",IFERROR(IF(ISNUMBER(SEARCH(Assumptions!$C$5,D913)),Assumptions!$D$5,IF(ISNUMBER(SEARCH(Assumptions!$C$6,D913)),Assumptions!$D$6,IF(ISNUMBER(SEARCH(Assumptions!$C$7,D913)),Assumptions!$D$7,"Other Services"))),"Other Services"))</f>
        <v/>
      </c>
    </row>
    <row r="914" customFormat="false" ht="15" hidden="false" customHeight="false" outlineLevel="0" collapsed="false">
      <c r="J914" s="41" t="str">
        <f aca="false">IF(D914="","",IFERROR(IF(ISNUMBER(SEARCH(Assumptions!$C$5,D914)),Assumptions!$D$5,IF(ISNUMBER(SEARCH(Assumptions!$C$6,D914)),Assumptions!$D$6,IF(ISNUMBER(SEARCH(Assumptions!$C$7,D914)),Assumptions!$D$7,"Other Services"))),"Other Services"))</f>
        <v/>
      </c>
    </row>
    <row r="915" customFormat="false" ht="15" hidden="false" customHeight="false" outlineLevel="0" collapsed="false">
      <c r="J915" s="41" t="str">
        <f aca="false">IF(D915="","",IFERROR(IF(ISNUMBER(SEARCH(Assumptions!$C$5,D915)),Assumptions!$D$5,IF(ISNUMBER(SEARCH(Assumptions!$C$6,D915)),Assumptions!$D$6,IF(ISNUMBER(SEARCH(Assumptions!$C$7,D915)),Assumptions!$D$7,"Other Services"))),"Other Services"))</f>
        <v/>
      </c>
    </row>
    <row r="916" customFormat="false" ht="15" hidden="false" customHeight="false" outlineLevel="0" collapsed="false">
      <c r="J916" s="41" t="str">
        <f aca="false">IF(D916="","",IFERROR(IF(ISNUMBER(SEARCH(Assumptions!$C$5,D916)),Assumptions!$D$5,IF(ISNUMBER(SEARCH(Assumptions!$C$6,D916)),Assumptions!$D$6,IF(ISNUMBER(SEARCH(Assumptions!$C$7,D916)),Assumptions!$D$7,"Other Services"))),"Other Services"))</f>
        <v/>
      </c>
    </row>
    <row r="917" customFormat="false" ht="15" hidden="false" customHeight="false" outlineLevel="0" collapsed="false">
      <c r="J917" s="41" t="str">
        <f aca="false">IF(D917="","",IFERROR(IF(ISNUMBER(SEARCH(Assumptions!$C$5,D917)),Assumptions!$D$5,IF(ISNUMBER(SEARCH(Assumptions!$C$6,D917)),Assumptions!$D$6,IF(ISNUMBER(SEARCH(Assumptions!$C$7,D917)),Assumptions!$D$7,"Other Services"))),"Other Services"))</f>
        <v/>
      </c>
    </row>
    <row r="918" customFormat="false" ht="15" hidden="false" customHeight="false" outlineLevel="0" collapsed="false">
      <c r="J918" s="41" t="str">
        <f aca="false">IF(D918="","",IFERROR(IF(ISNUMBER(SEARCH(Assumptions!$C$5,D918)),Assumptions!$D$5,IF(ISNUMBER(SEARCH(Assumptions!$C$6,D918)),Assumptions!$D$6,IF(ISNUMBER(SEARCH(Assumptions!$C$7,D918)),Assumptions!$D$7,"Other Services"))),"Other Services"))</f>
        <v/>
      </c>
    </row>
    <row r="919" customFormat="false" ht="15" hidden="false" customHeight="false" outlineLevel="0" collapsed="false">
      <c r="J919" s="41" t="str">
        <f aca="false">IF(D919="","",IFERROR(IF(ISNUMBER(SEARCH(Assumptions!$C$5,D919)),Assumptions!$D$5,IF(ISNUMBER(SEARCH(Assumptions!$C$6,D919)),Assumptions!$D$6,IF(ISNUMBER(SEARCH(Assumptions!$C$7,D919)),Assumptions!$D$7,"Other Services"))),"Other Services"))</f>
        <v/>
      </c>
    </row>
    <row r="920" customFormat="false" ht="15" hidden="false" customHeight="false" outlineLevel="0" collapsed="false">
      <c r="J920" s="41" t="str">
        <f aca="false">IF(D920="","",IFERROR(IF(ISNUMBER(SEARCH(Assumptions!$C$5,D920)),Assumptions!$D$5,IF(ISNUMBER(SEARCH(Assumptions!$C$6,D920)),Assumptions!$D$6,IF(ISNUMBER(SEARCH(Assumptions!$C$7,D920)),Assumptions!$D$7,"Other Services"))),"Other Services"))</f>
        <v/>
      </c>
    </row>
    <row r="921" customFormat="false" ht="15" hidden="false" customHeight="false" outlineLevel="0" collapsed="false">
      <c r="J921" s="41" t="str">
        <f aca="false">IF(D921="","",IFERROR(IF(ISNUMBER(SEARCH(Assumptions!$C$5,D921)),Assumptions!$D$5,IF(ISNUMBER(SEARCH(Assumptions!$C$6,D921)),Assumptions!$D$6,IF(ISNUMBER(SEARCH(Assumptions!$C$7,D921)),Assumptions!$D$7,"Other Services"))),"Other Services"))</f>
        <v/>
      </c>
    </row>
    <row r="922" customFormat="false" ht="15" hidden="false" customHeight="false" outlineLevel="0" collapsed="false">
      <c r="J922" s="41" t="str">
        <f aca="false">IF(D922="","",IFERROR(IF(ISNUMBER(SEARCH(Assumptions!$C$5,D922)),Assumptions!$D$5,IF(ISNUMBER(SEARCH(Assumptions!$C$6,D922)),Assumptions!$D$6,IF(ISNUMBER(SEARCH(Assumptions!$C$7,D922)),Assumptions!$D$7,"Other Services"))),"Other Services"))</f>
        <v/>
      </c>
    </row>
    <row r="923" customFormat="false" ht="15" hidden="false" customHeight="false" outlineLevel="0" collapsed="false">
      <c r="J923" s="41" t="str">
        <f aca="false">IF(D923="","",IFERROR(IF(ISNUMBER(SEARCH(Assumptions!$C$5,D923)),Assumptions!$D$5,IF(ISNUMBER(SEARCH(Assumptions!$C$6,D923)),Assumptions!$D$6,IF(ISNUMBER(SEARCH(Assumptions!$C$7,D923)),Assumptions!$D$7,"Other Services"))),"Other Services"))</f>
        <v/>
      </c>
    </row>
    <row r="924" customFormat="false" ht="15" hidden="false" customHeight="false" outlineLevel="0" collapsed="false">
      <c r="J924" s="41" t="str">
        <f aca="false">IF(D924="","",IFERROR(IF(ISNUMBER(SEARCH(Assumptions!$C$5,D924)),Assumptions!$D$5,IF(ISNUMBER(SEARCH(Assumptions!$C$6,D924)),Assumptions!$D$6,IF(ISNUMBER(SEARCH(Assumptions!$C$7,D924)),Assumptions!$D$7,"Other Services"))),"Other Services"))</f>
        <v/>
      </c>
    </row>
    <row r="925" customFormat="false" ht="15" hidden="false" customHeight="false" outlineLevel="0" collapsed="false">
      <c r="J925" s="41" t="str">
        <f aca="false">IF(D925="","",IFERROR(IF(ISNUMBER(SEARCH(Assumptions!$C$5,D925)),Assumptions!$D$5,IF(ISNUMBER(SEARCH(Assumptions!$C$6,D925)),Assumptions!$D$6,IF(ISNUMBER(SEARCH(Assumptions!$C$7,D925)),Assumptions!$D$7,"Other Services"))),"Other Services"))</f>
        <v/>
      </c>
    </row>
    <row r="926" customFormat="false" ht="15" hidden="false" customHeight="false" outlineLevel="0" collapsed="false">
      <c r="J926" s="41" t="str">
        <f aca="false">IF(D926="","",IFERROR(IF(ISNUMBER(SEARCH(Assumptions!$C$5,D926)),Assumptions!$D$5,IF(ISNUMBER(SEARCH(Assumptions!$C$6,D926)),Assumptions!$D$6,IF(ISNUMBER(SEARCH(Assumptions!$C$7,D926)),Assumptions!$D$7,"Other Services"))),"Other Services"))</f>
        <v/>
      </c>
    </row>
    <row r="927" customFormat="false" ht="15" hidden="false" customHeight="false" outlineLevel="0" collapsed="false">
      <c r="J927" s="41" t="str">
        <f aca="false">IF(D927="","",IFERROR(IF(ISNUMBER(SEARCH(Assumptions!$C$5,D927)),Assumptions!$D$5,IF(ISNUMBER(SEARCH(Assumptions!$C$6,D927)),Assumptions!$D$6,IF(ISNUMBER(SEARCH(Assumptions!$C$7,D927)),Assumptions!$D$7,"Other Services"))),"Other Services"))</f>
        <v/>
      </c>
    </row>
    <row r="928" customFormat="false" ht="15" hidden="false" customHeight="false" outlineLevel="0" collapsed="false">
      <c r="J928" s="41" t="str">
        <f aca="false">IF(D928="","",IFERROR(IF(ISNUMBER(SEARCH(Assumptions!$C$5,D928)),Assumptions!$D$5,IF(ISNUMBER(SEARCH(Assumptions!$C$6,D928)),Assumptions!$D$6,IF(ISNUMBER(SEARCH(Assumptions!$C$7,D928)),Assumptions!$D$7,"Other Services"))),"Other Services"))</f>
        <v/>
      </c>
    </row>
    <row r="929" customFormat="false" ht="15" hidden="false" customHeight="false" outlineLevel="0" collapsed="false">
      <c r="J929" s="41" t="str">
        <f aca="false">IF(D929="","",IFERROR(IF(ISNUMBER(SEARCH(Assumptions!$C$5,D929)),Assumptions!$D$5,IF(ISNUMBER(SEARCH(Assumptions!$C$6,D929)),Assumptions!$D$6,IF(ISNUMBER(SEARCH(Assumptions!$C$7,D929)),Assumptions!$D$7,"Other Services"))),"Other Services"))</f>
        <v/>
      </c>
    </row>
    <row r="930" customFormat="false" ht="15" hidden="false" customHeight="false" outlineLevel="0" collapsed="false">
      <c r="J930" s="41" t="str">
        <f aca="false">IF(D930="","",IFERROR(IF(ISNUMBER(SEARCH(Assumptions!$C$5,D930)),Assumptions!$D$5,IF(ISNUMBER(SEARCH(Assumptions!$C$6,D930)),Assumptions!$D$6,IF(ISNUMBER(SEARCH(Assumptions!$C$7,D930)),Assumptions!$D$7,"Other Services"))),"Other Services"))</f>
        <v/>
      </c>
    </row>
    <row r="931" customFormat="false" ht="15" hidden="false" customHeight="false" outlineLevel="0" collapsed="false">
      <c r="J931" s="41" t="str">
        <f aca="false">IF(D931="","",IFERROR(IF(ISNUMBER(SEARCH(Assumptions!$C$5,D931)),Assumptions!$D$5,IF(ISNUMBER(SEARCH(Assumptions!$C$6,D931)),Assumptions!$D$6,IF(ISNUMBER(SEARCH(Assumptions!$C$7,D931)),Assumptions!$D$7,"Other Services"))),"Other Services"))</f>
        <v/>
      </c>
    </row>
    <row r="932" customFormat="false" ht="15" hidden="false" customHeight="false" outlineLevel="0" collapsed="false">
      <c r="J932" s="41" t="str">
        <f aca="false">IF(D932="","",IFERROR(IF(ISNUMBER(SEARCH(Assumptions!$C$5,D932)),Assumptions!$D$5,IF(ISNUMBER(SEARCH(Assumptions!$C$6,D932)),Assumptions!$D$6,IF(ISNUMBER(SEARCH(Assumptions!$C$7,D932)),Assumptions!$D$7,"Other Services"))),"Other Services"))</f>
        <v/>
      </c>
    </row>
    <row r="933" customFormat="false" ht="15" hidden="false" customHeight="false" outlineLevel="0" collapsed="false">
      <c r="J933" s="41" t="str">
        <f aca="false">IF(D933="","",IFERROR(IF(ISNUMBER(SEARCH(Assumptions!$C$5,D933)),Assumptions!$D$5,IF(ISNUMBER(SEARCH(Assumptions!$C$6,D933)),Assumptions!$D$6,IF(ISNUMBER(SEARCH(Assumptions!$C$7,D933)),Assumptions!$D$7,"Other Services"))),"Other Services"))</f>
        <v/>
      </c>
    </row>
    <row r="934" customFormat="false" ht="15" hidden="false" customHeight="false" outlineLevel="0" collapsed="false">
      <c r="J934" s="41" t="str">
        <f aca="false">IF(D934="","",IFERROR(IF(ISNUMBER(SEARCH(Assumptions!$C$5,D934)),Assumptions!$D$5,IF(ISNUMBER(SEARCH(Assumptions!$C$6,D934)),Assumptions!$D$6,IF(ISNUMBER(SEARCH(Assumptions!$C$7,D934)),Assumptions!$D$7,"Other Services"))),"Other Services"))</f>
        <v/>
      </c>
    </row>
    <row r="935" customFormat="false" ht="15" hidden="false" customHeight="false" outlineLevel="0" collapsed="false">
      <c r="J935" s="41" t="str">
        <f aca="false">IF(D935="","",IFERROR(IF(ISNUMBER(SEARCH(Assumptions!$C$5,D935)),Assumptions!$D$5,IF(ISNUMBER(SEARCH(Assumptions!$C$6,D935)),Assumptions!$D$6,IF(ISNUMBER(SEARCH(Assumptions!$C$7,D935)),Assumptions!$D$7,"Other Services"))),"Other Services"))</f>
        <v/>
      </c>
    </row>
    <row r="936" customFormat="false" ht="15" hidden="false" customHeight="false" outlineLevel="0" collapsed="false">
      <c r="J936" s="41" t="str">
        <f aca="false">IF(D936="","",IFERROR(IF(ISNUMBER(SEARCH(Assumptions!$C$5,D936)),Assumptions!$D$5,IF(ISNUMBER(SEARCH(Assumptions!$C$6,D936)),Assumptions!$D$6,IF(ISNUMBER(SEARCH(Assumptions!$C$7,D936)),Assumptions!$D$7,"Other Services"))),"Other Services"))</f>
        <v/>
      </c>
    </row>
    <row r="937" customFormat="false" ht="15" hidden="false" customHeight="false" outlineLevel="0" collapsed="false">
      <c r="J937" s="41" t="str">
        <f aca="false">IF(D937="","",IFERROR(IF(ISNUMBER(SEARCH(Assumptions!$C$5,D937)),Assumptions!$D$5,IF(ISNUMBER(SEARCH(Assumptions!$C$6,D937)),Assumptions!$D$6,IF(ISNUMBER(SEARCH(Assumptions!$C$7,D937)),Assumptions!$D$7,"Other Services"))),"Other Services"))</f>
        <v/>
      </c>
    </row>
    <row r="938" customFormat="false" ht="15" hidden="false" customHeight="false" outlineLevel="0" collapsed="false">
      <c r="J938" s="41" t="str">
        <f aca="false">IF(D938="","",IFERROR(IF(ISNUMBER(SEARCH(Assumptions!$C$5,D938)),Assumptions!$D$5,IF(ISNUMBER(SEARCH(Assumptions!$C$6,D938)),Assumptions!$D$6,IF(ISNUMBER(SEARCH(Assumptions!$C$7,D938)),Assumptions!$D$7,"Other Services"))),"Other Services"))</f>
        <v/>
      </c>
    </row>
    <row r="939" customFormat="false" ht="15" hidden="false" customHeight="false" outlineLevel="0" collapsed="false">
      <c r="J939" s="41" t="str">
        <f aca="false">IF(D939="","",IFERROR(IF(ISNUMBER(SEARCH(Assumptions!$C$5,D939)),Assumptions!$D$5,IF(ISNUMBER(SEARCH(Assumptions!$C$6,D939)),Assumptions!$D$6,IF(ISNUMBER(SEARCH(Assumptions!$C$7,D939)),Assumptions!$D$7,"Other Services"))),"Other Services"))</f>
        <v/>
      </c>
    </row>
    <row r="940" customFormat="false" ht="15" hidden="false" customHeight="false" outlineLevel="0" collapsed="false">
      <c r="J940" s="41" t="str">
        <f aca="false">IF(D940="","",IFERROR(IF(ISNUMBER(SEARCH(Assumptions!$C$5,D940)),Assumptions!$D$5,IF(ISNUMBER(SEARCH(Assumptions!$C$6,D940)),Assumptions!$D$6,IF(ISNUMBER(SEARCH(Assumptions!$C$7,D940)),Assumptions!$D$7,"Other Services"))),"Other Services"))</f>
        <v/>
      </c>
    </row>
    <row r="941" customFormat="false" ht="15" hidden="false" customHeight="false" outlineLevel="0" collapsed="false">
      <c r="J941" s="41" t="str">
        <f aca="false">IF(D941="","",IFERROR(IF(ISNUMBER(SEARCH(Assumptions!$C$5,D941)),Assumptions!$D$5,IF(ISNUMBER(SEARCH(Assumptions!$C$6,D941)),Assumptions!$D$6,IF(ISNUMBER(SEARCH(Assumptions!$C$7,D941)),Assumptions!$D$7,"Other Services"))),"Other Services"))</f>
        <v/>
      </c>
    </row>
    <row r="942" customFormat="false" ht="15" hidden="false" customHeight="false" outlineLevel="0" collapsed="false">
      <c r="J942" s="41" t="str">
        <f aca="false">IF(D942="","",IFERROR(IF(ISNUMBER(SEARCH(Assumptions!$C$5,D942)),Assumptions!$D$5,IF(ISNUMBER(SEARCH(Assumptions!$C$6,D942)),Assumptions!$D$6,IF(ISNUMBER(SEARCH(Assumptions!$C$7,D942)),Assumptions!$D$7,"Other Services"))),"Other Services"))</f>
        <v/>
      </c>
    </row>
    <row r="943" customFormat="false" ht="15" hidden="false" customHeight="false" outlineLevel="0" collapsed="false">
      <c r="J943" s="41" t="str">
        <f aca="false">IF(D943="","",IFERROR(IF(ISNUMBER(SEARCH(Assumptions!$C$5,D943)),Assumptions!$D$5,IF(ISNUMBER(SEARCH(Assumptions!$C$6,D943)),Assumptions!$D$6,IF(ISNUMBER(SEARCH(Assumptions!$C$7,D943)),Assumptions!$D$7,"Other Services"))),"Other Services"))</f>
        <v/>
      </c>
    </row>
    <row r="944" customFormat="false" ht="15" hidden="false" customHeight="false" outlineLevel="0" collapsed="false">
      <c r="J944" s="41" t="str">
        <f aca="false">IF(D944="","",IFERROR(IF(ISNUMBER(SEARCH(Assumptions!$C$5,D944)),Assumptions!$D$5,IF(ISNUMBER(SEARCH(Assumptions!$C$6,D944)),Assumptions!$D$6,IF(ISNUMBER(SEARCH(Assumptions!$C$7,D944)),Assumptions!$D$7,"Other Services"))),"Other Services"))</f>
        <v/>
      </c>
    </row>
    <row r="945" customFormat="false" ht="15" hidden="false" customHeight="false" outlineLevel="0" collapsed="false">
      <c r="J945" s="41" t="str">
        <f aca="false">IF(D945="","",IFERROR(IF(ISNUMBER(SEARCH(Assumptions!$C$5,D945)),Assumptions!$D$5,IF(ISNUMBER(SEARCH(Assumptions!$C$6,D945)),Assumptions!$D$6,IF(ISNUMBER(SEARCH(Assumptions!$C$7,D945)),Assumptions!$D$7,"Other Services"))),"Other Services"))</f>
        <v/>
      </c>
    </row>
    <row r="946" customFormat="false" ht="15" hidden="false" customHeight="false" outlineLevel="0" collapsed="false">
      <c r="J946" s="41" t="str">
        <f aca="false">IF(D946="","",IFERROR(IF(ISNUMBER(SEARCH(Assumptions!$C$5,D946)),Assumptions!$D$5,IF(ISNUMBER(SEARCH(Assumptions!$C$6,D946)),Assumptions!$D$6,IF(ISNUMBER(SEARCH(Assumptions!$C$7,D946)),Assumptions!$D$7,"Other Services"))),"Other Services"))</f>
        <v/>
      </c>
    </row>
    <row r="947" customFormat="false" ht="15" hidden="false" customHeight="false" outlineLevel="0" collapsed="false">
      <c r="J947" s="41" t="str">
        <f aca="false">IF(D947="","",IFERROR(IF(ISNUMBER(SEARCH(Assumptions!$C$5,D947)),Assumptions!$D$5,IF(ISNUMBER(SEARCH(Assumptions!$C$6,D947)),Assumptions!$D$6,IF(ISNUMBER(SEARCH(Assumptions!$C$7,D947)),Assumptions!$D$7,"Other Services"))),"Other Services"))</f>
        <v/>
      </c>
    </row>
    <row r="948" customFormat="false" ht="15" hidden="false" customHeight="false" outlineLevel="0" collapsed="false">
      <c r="J948" s="41" t="str">
        <f aca="false">IF(D948="","",IFERROR(IF(ISNUMBER(SEARCH(Assumptions!$C$5,D948)),Assumptions!$D$5,IF(ISNUMBER(SEARCH(Assumptions!$C$6,D948)),Assumptions!$D$6,IF(ISNUMBER(SEARCH(Assumptions!$C$7,D948)),Assumptions!$D$7,"Other Services"))),"Other Services"))</f>
        <v/>
      </c>
    </row>
    <row r="949" customFormat="false" ht="15" hidden="false" customHeight="false" outlineLevel="0" collapsed="false">
      <c r="J949" s="41" t="str">
        <f aca="false">IF(D949="","",IFERROR(IF(ISNUMBER(SEARCH(Assumptions!$C$5,D949)),Assumptions!$D$5,IF(ISNUMBER(SEARCH(Assumptions!$C$6,D949)),Assumptions!$D$6,IF(ISNUMBER(SEARCH(Assumptions!$C$7,D949)),Assumptions!$D$7,"Other Services"))),"Other Services"))</f>
        <v/>
      </c>
    </row>
    <row r="950" customFormat="false" ht="15" hidden="false" customHeight="false" outlineLevel="0" collapsed="false">
      <c r="J950" s="41" t="str">
        <f aca="false">IF(D950="","",IFERROR(IF(ISNUMBER(SEARCH(Assumptions!$C$5,D950)),Assumptions!$D$5,IF(ISNUMBER(SEARCH(Assumptions!$C$6,D950)),Assumptions!$D$6,IF(ISNUMBER(SEARCH(Assumptions!$C$7,D950)),Assumptions!$D$7,"Other Services"))),"Other Services"))</f>
        <v/>
      </c>
    </row>
    <row r="951" customFormat="false" ht="15" hidden="false" customHeight="false" outlineLevel="0" collapsed="false">
      <c r="J951" s="41" t="str">
        <f aca="false">IF(D951="","",IFERROR(IF(ISNUMBER(SEARCH(Assumptions!$C$5,D951)),Assumptions!$D$5,IF(ISNUMBER(SEARCH(Assumptions!$C$6,D951)),Assumptions!$D$6,IF(ISNUMBER(SEARCH(Assumptions!$C$7,D951)),Assumptions!$D$7,"Other Services"))),"Other Services"))</f>
        <v/>
      </c>
    </row>
    <row r="952" customFormat="false" ht="15" hidden="false" customHeight="false" outlineLevel="0" collapsed="false">
      <c r="J952" s="41" t="str">
        <f aca="false">IF(D952="","",IFERROR(IF(ISNUMBER(SEARCH(Assumptions!$C$5,D952)),Assumptions!$D$5,IF(ISNUMBER(SEARCH(Assumptions!$C$6,D952)),Assumptions!$D$6,IF(ISNUMBER(SEARCH(Assumptions!$C$7,D952)),Assumptions!$D$7,"Other Services"))),"Other Services"))</f>
        <v/>
      </c>
    </row>
    <row r="953" customFormat="false" ht="15" hidden="false" customHeight="false" outlineLevel="0" collapsed="false">
      <c r="J953" s="41" t="str">
        <f aca="false">IF(D953="","",IFERROR(IF(ISNUMBER(SEARCH(Assumptions!$C$5,D953)),Assumptions!$D$5,IF(ISNUMBER(SEARCH(Assumptions!$C$6,D953)),Assumptions!$D$6,IF(ISNUMBER(SEARCH(Assumptions!$C$7,D953)),Assumptions!$D$7,"Other Services"))),"Other Services"))</f>
        <v/>
      </c>
    </row>
    <row r="954" customFormat="false" ht="15" hidden="false" customHeight="false" outlineLevel="0" collapsed="false">
      <c r="J954" s="41" t="str">
        <f aca="false">IF(D954="","",IFERROR(IF(ISNUMBER(SEARCH(Assumptions!$C$5,D954)),Assumptions!$D$5,IF(ISNUMBER(SEARCH(Assumptions!$C$6,D954)),Assumptions!$D$6,IF(ISNUMBER(SEARCH(Assumptions!$C$7,D954)),Assumptions!$D$7,"Other Services"))),"Other Services"))</f>
        <v/>
      </c>
    </row>
    <row r="955" customFormat="false" ht="15" hidden="false" customHeight="false" outlineLevel="0" collapsed="false">
      <c r="J955" s="41" t="str">
        <f aca="false">IF(D955="","",IFERROR(IF(ISNUMBER(SEARCH(Assumptions!$C$5,D955)),Assumptions!$D$5,IF(ISNUMBER(SEARCH(Assumptions!$C$6,D955)),Assumptions!$D$6,IF(ISNUMBER(SEARCH(Assumptions!$C$7,D955)),Assumptions!$D$7,"Other Services"))),"Other Services"))</f>
        <v/>
      </c>
    </row>
    <row r="956" customFormat="false" ht="15" hidden="false" customHeight="false" outlineLevel="0" collapsed="false">
      <c r="J956" s="41" t="str">
        <f aca="false">IF(D956="","",IFERROR(IF(ISNUMBER(SEARCH(Assumptions!$C$5,D956)),Assumptions!$D$5,IF(ISNUMBER(SEARCH(Assumptions!$C$6,D956)),Assumptions!$D$6,IF(ISNUMBER(SEARCH(Assumptions!$C$7,D956)),Assumptions!$D$7,"Other Services"))),"Other Services"))</f>
        <v/>
      </c>
    </row>
    <row r="957" customFormat="false" ht="15" hidden="false" customHeight="false" outlineLevel="0" collapsed="false">
      <c r="J957" s="41" t="str">
        <f aca="false">IF(D957="","",IFERROR(IF(ISNUMBER(SEARCH(Assumptions!$C$5,D957)),Assumptions!$D$5,IF(ISNUMBER(SEARCH(Assumptions!$C$6,D957)),Assumptions!$D$6,IF(ISNUMBER(SEARCH(Assumptions!$C$7,D957)),Assumptions!$D$7,"Other Services"))),"Other Services"))</f>
        <v/>
      </c>
    </row>
    <row r="958" customFormat="false" ht="15" hidden="false" customHeight="false" outlineLevel="0" collapsed="false">
      <c r="J958" s="41" t="str">
        <f aca="false">IF(D958="","",IFERROR(IF(ISNUMBER(SEARCH(Assumptions!$C$5,D958)),Assumptions!$D$5,IF(ISNUMBER(SEARCH(Assumptions!$C$6,D958)),Assumptions!$D$6,IF(ISNUMBER(SEARCH(Assumptions!$C$7,D958)),Assumptions!$D$7,"Other Services"))),"Other Services"))</f>
        <v/>
      </c>
    </row>
    <row r="959" customFormat="false" ht="15" hidden="false" customHeight="false" outlineLevel="0" collapsed="false">
      <c r="J959" s="41" t="str">
        <f aca="false">IF(D959="","",IFERROR(IF(ISNUMBER(SEARCH(Assumptions!$C$5,D959)),Assumptions!$D$5,IF(ISNUMBER(SEARCH(Assumptions!$C$6,D959)),Assumptions!$D$6,IF(ISNUMBER(SEARCH(Assumptions!$C$7,D959)),Assumptions!$D$7,"Other Services"))),"Other Services"))</f>
        <v/>
      </c>
    </row>
    <row r="960" customFormat="false" ht="15" hidden="false" customHeight="false" outlineLevel="0" collapsed="false">
      <c r="J960" s="41" t="str">
        <f aca="false">IF(D960="","",IFERROR(IF(ISNUMBER(SEARCH(Assumptions!$C$5,D960)),Assumptions!$D$5,IF(ISNUMBER(SEARCH(Assumptions!$C$6,D960)),Assumptions!$D$6,IF(ISNUMBER(SEARCH(Assumptions!$C$7,D960)),Assumptions!$D$7,"Other Services"))),"Other Services"))</f>
        <v/>
      </c>
    </row>
    <row r="961" customFormat="false" ht="15" hidden="false" customHeight="false" outlineLevel="0" collapsed="false">
      <c r="J961" s="41" t="str">
        <f aca="false">IF(D961="","",IFERROR(IF(ISNUMBER(SEARCH(Assumptions!$C$5,D961)),Assumptions!$D$5,IF(ISNUMBER(SEARCH(Assumptions!$C$6,D961)),Assumptions!$D$6,IF(ISNUMBER(SEARCH(Assumptions!$C$7,D961)),Assumptions!$D$7,"Other Services"))),"Other Services"))</f>
        <v/>
      </c>
    </row>
    <row r="962" customFormat="false" ht="15" hidden="false" customHeight="false" outlineLevel="0" collapsed="false">
      <c r="J962" s="41" t="str">
        <f aca="false">IF(D962="","",IFERROR(IF(ISNUMBER(SEARCH(Assumptions!$C$5,D962)),Assumptions!$D$5,IF(ISNUMBER(SEARCH(Assumptions!$C$6,D962)),Assumptions!$D$6,IF(ISNUMBER(SEARCH(Assumptions!$C$7,D962)),Assumptions!$D$7,"Other Services"))),"Other Services"))</f>
        <v/>
      </c>
    </row>
    <row r="963" customFormat="false" ht="15" hidden="false" customHeight="false" outlineLevel="0" collapsed="false">
      <c r="J963" s="41" t="str">
        <f aca="false">IF(D963="","",IFERROR(IF(ISNUMBER(SEARCH(Assumptions!$C$5,D963)),Assumptions!$D$5,IF(ISNUMBER(SEARCH(Assumptions!$C$6,D963)),Assumptions!$D$6,IF(ISNUMBER(SEARCH(Assumptions!$C$7,D963)),Assumptions!$D$7,"Other Services"))),"Other Services"))</f>
        <v/>
      </c>
    </row>
    <row r="964" customFormat="false" ht="15" hidden="false" customHeight="false" outlineLevel="0" collapsed="false">
      <c r="J964" s="41" t="str">
        <f aca="false">IF(D964="","",IFERROR(IF(ISNUMBER(SEARCH(Assumptions!$C$5,D964)),Assumptions!$D$5,IF(ISNUMBER(SEARCH(Assumptions!$C$6,D964)),Assumptions!$D$6,IF(ISNUMBER(SEARCH(Assumptions!$C$7,D964)),Assumptions!$D$7,"Other Services"))),"Other Services"))</f>
        <v/>
      </c>
    </row>
    <row r="965" customFormat="false" ht="15" hidden="false" customHeight="false" outlineLevel="0" collapsed="false">
      <c r="J965" s="41" t="str">
        <f aca="false">IF(D965="","",IFERROR(IF(ISNUMBER(SEARCH(Assumptions!$C$5,D965)),Assumptions!$D$5,IF(ISNUMBER(SEARCH(Assumptions!$C$6,D965)),Assumptions!$D$6,IF(ISNUMBER(SEARCH(Assumptions!$C$7,D965)),Assumptions!$D$7,"Other Services"))),"Other Services"))</f>
        <v/>
      </c>
    </row>
    <row r="966" customFormat="false" ht="15" hidden="false" customHeight="false" outlineLevel="0" collapsed="false">
      <c r="J966" s="41" t="str">
        <f aca="false">IF(D966="","",IFERROR(IF(ISNUMBER(SEARCH(Assumptions!$C$5,D966)),Assumptions!$D$5,IF(ISNUMBER(SEARCH(Assumptions!$C$6,D966)),Assumptions!$D$6,IF(ISNUMBER(SEARCH(Assumptions!$C$7,D966)),Assumptions!$D$7,"Other Services"))),"Other Services"))</f>
        <v/>
      </c>
    </row>
    <row r="967" customFormat="false" ht="15" hidden="false" customHeight="false" outlineLevel="0" collapsed="false">
      <c r="J967" s="41" t="str">
        <f aca="false">IF(D967="","",IFERROR(IF(ISNUMBER(SEARCH(Assumptions!$C$5,D967)),Assumptions!$D$5,IF(ISNUMBER(SEARCH(Assumptions!$C$6,D967)),Assumptions!$D$6,IF(ISNUMBER(SEARCH(Assumptions!$C$7,D967)),Assumptions!$D$7,"Other Services"))),"Other Services"))</f>
        <v/>
      </c>
    </row>
    <row r="968" customFormat="false" ht="15" hidden="false" customHeight="false" outlineLevel="0" collapsed="false">
      <c r="J968" s="41" t="str">
        <f aca="false">IF(D968="","",IFERROR(IF(ISNUMBER(SEARCH(Assumptions!$C$5,D968)),Assumptions!$D$5,IF(ISNUMBER(SEARCH(Assumptions!$C$6,D968)),Assumptions!$D$6,IF(ISNUMBER(SEARCH(Assumptions!$C$7,D968)),Assumptions!$D$7,"Other Services"))),"Other Services"))</f>
        <v/>
      </c>
    </row>
    <row r="969" customFormat="false" ht="15" hidden="false" customHeight="false" outlineLevel="0" collapsed="false">
      <c r="J969" s="41" t="str">
        <f aca="false">IF(D969="","",IFERROR(IF(ISNUMBER(SEARCH(Assumptions!$C$5,D969)),Assumptions!$D$5,IF(ISNUMBER(SEARCH(Assumptions!$C$6,D969)),Assumptions!$D$6,IF(ISNUMBER(SEARCH(Assumptions!$C$7,D969)),Assumptions!$D$7,"Other Services"))),"Other Services"))</f>
        <v/>
      </c>
    </row>
    <row r="970" customFormat="false" ht="15" hidden="false" customHeight="false" outlineLevel="0" collapsed="false">
      <c r="J970" s="41" t="str">
        <f aca="false">IF(D970="","",IFERROR(IF(ISNUMBER(SEARCH(Assumptions!$C$5,D970)),Assumptions!$D$5,IF(ISNUMBER(SEARCH(Assumptions!$C$6,D970)),Assumptions!$D$6,IF(ISNUMBER(SEARCH(Assumptions!$C$7,D970)),Assumptions!$D$7,"Other Services"))),"Other Services"))</f>
        <v/>
      </c>
    </row>
    <row r="971" customFormat="false" ht="15" hidden="false" customHeight="false" outlineLevel="0" collapsed="false">
      <c r="J971" s="41" t="str">
        <f aca="false">IF(D971="","",IFERROR(IF(ISNUMBER(SEARCH(Assumptions!$C$5,D971)),Assumptions!$D$5,IF(ISNUMBER(SEARCH(Assumptions!$C$6,D971)),Assumptions!$D$6,IF(ISNUMBER(SEARCH(Assumptions!$C$7,D971)),Assumptions!$D$7,"Other Services"))),"Other Services"))</f>
        <v/>
      </c>
    </row>
    <row r="972" customFormat="false" ht="15" hidden="false" customHeight="false" outlineLevel="0" collapsed="false">
      <c r="J972" s="41" t="str">
        <f aca="false">IF(D972="","",IFERROR(IF(ISNUMBER(SEARCH(Assumptions!$C$5,D972)),Assumptions!$D$5,IF(ISNUMBER(SEARCH(Assumptions!$C$6,D972)),Assumptions!$D$6,IF(ISNUMBER(SEARCH(Assumptions!$C$7,D972)),Assumptions!$D$7,"Other Services"))),"Other Services"))</f>
        <v/>
      </c>
    </row>
    <row r="973" customFormat="false" ht="15" hidden="false" customHeight="false" outlineLevel="0" collapsed="false">
      <c r="J973" s="41" t="str">
        <f aca="false">IF(D973="","",IFERROR(IF(ISNUMBER(SEARCH(Assumptions!$C$5,D973)),Assumptions!$D$5,IF(ISNUMBER(SEARCH(Assumptions!$C$6,D973)),Assumptions!$D$6,IF(ISNUMBER(SEARCH(Assumptions!$C$7,D973)),Assumptions!$D$7,"Other Services"))),"Other Services"))</f>
        <v/>
      </c>
    </row>
    <row r="974" customFormat="false" ht="15" hidden="false" customHeight="false" outlineLevel="0" collapsed="false">
      <c r="J974" s="41" t="str">
        <f aca="false">IF(D974="","",IFERROR(IF(ISNUMBER(SEARCH(Assumptions!$C$5,D974)),Assumptions!$D$5,IF(ISNUMBER(SEARCH(Assumptions!$C$6,D974)),Assumptions!$D$6,IF(ISNUMBER(SEARCH(Assumptions!$C$7,D974)),Assumptions!$D$7,"Other Services"))),"Other Services"))</f>
        <v/>
      </c>
    </row>
    <row r="975" customFormat="false" ht="15" hidden="false" customHeight="false" outlineLevel="0" collapsed="false">
      <c r="J975" s="41" t="str">
        <f aca="false">IF(D975="","",IFERROR(IF(ISNUMBER(SEARCH(Assumptions!$C$5,D975)),Assumptions!$D$5,IF(ISNUMBER(SEARCH(Assumptions!$C$6,D975)),Assumptions!$D$6,IF(ISNUMBER(SEARCH(Assumptions!$C$7,D975)),Assumptions!$D$7,"Other Services"))),"Other Services"))</f>
        <v/>
      </c>
    </row>
    <row r="976" customFormat="false" ht="15" hidden="false" customHeight="false" outlineLevel="0" collapsed="false">
      <c r="J976" s="41" t="str">
        <f aca="false">IF(D976="","",IFERROR(IF(ISNUMBER(SEARCH(Assumptions!$C$5,D976)),Assumptions!$D$5,IF(ISNUMBER(SEARCH(Assumptions!$C$6,D976)),Assumptions!$D$6,IF(ISNUMBER(SEARCH(Assumptions!$C$7,D976)),Assumptions!$D$7,"Other Services"))),"Other Services"))</f>
        <v/>
      </c>
    </row>
    <row r="977" customFormat="false" ht="15" hidden="false" customHeight="false" outlineLevel="0" collapsed="false">
      <c r="J977" s="41" t="str">
        <f aca="false">IF(D977="","",IFERROR(IF(ISNUMBER(SEARCH(Assumptions!$C$5,D977)),Assumptions!$D$5,IF(ISNUMBER(SEARCH(Assumptions!$C$6,D977)),Assumptions!$D$6,IF(ISNUMBER(SEARCH(Assumptions!$C$7,D977)),Assumptions!$D$7,"Other Services"))),"Other Services"))</f>
        <v/>
      </c>
    </row>
    <row r="978" customFormat="false" ht="15" hidden="false" customHeight="false" outlineLevel="0" collapsed="false">
      <c r="J978" s="41" t="str">
        <f aca="false">IF(D978="","",IFERROR(IF(ISNUMBER(SEARCH(Assumptions!$C$5,D978)),Assumptions!$D$5,IF(ISNUMBER(SEARCH(Assumptions!$C$6,D978)),Assumptions!$D$6,IF(ISNUMBER(SEARCH(Assumptions!$C$7,D978)),Assumptions!$D$7,"Other Services"))),"Other Services"))</f>
        <v/>
      </c>
    </row>
    <row r="979" customFormat="false" ht="15" hidden="false" customHeight="false" outlineLevel="0" collapsed="false">
      <c r="J979" s="41" t="str">
        <f aca="false">IF(D979="","",IFERROR(IF(ISNUMBER(SEARCH(Assumptions!$C$5,D979)),Assumptions!$D$5,IF(ISNUMBER(SEARCH(Assumptions!$C$6,D979)),Assumptions!$D$6,IF(ISNUMBER(SEARCH(Assumptions!$C$7,D979)),Assumptions!$D$7,"Other Services"))),"Other Services"))</f>
        <v/>
      </c>
    </row>
    <row r="980" customFormat="false" ht="15" hidden="false" customHeight="false" outlineLevel="0" collapsed="false">
      <c r="J980" s="41" t="str">
        <f aca="false">IF(D980="","",IFERROR(IF(ISNUMBER(SEARCH(Assumptions!$C$5,D980)),Assumptions!$D$5,IF(ISNUMBER(SEARCH(Assumptions!$C$6,D980)),Assumptions!$D$6,IF(ISNUMBER(SEARCH(Assumptions!$C$7,D980)),Assumptions!$D$7,"Other Services"))),"Other Services"))</f>
        <v/>
      </c>
    </row>
    <row r="981" customFormat="false" ht="15" hidden="false" customHeight="false" outlineLevel="0" collapsed="false">
      <c r="J981" s="41" t="str">
        <f aca="false">IF(D981="","",IFERROR(IF(ISNUMBER(SEARCH(Assumptions!$C$5,D981)),Assumptions!$D$5,IF(ISNUMBER(SEARCH(Assumptions!$C$6,D981)),Assumptions!$D$6,IF(ISNUMBER(SEARCH(Assumptions!$C$7,D981)),Assumptions!$D$7,"Other Services"))),"Other Services"))</f>
        <v/>
      </c>
    </row>
    <row r="982" customFormat="false" ht="15" hidden="false" customHeight="false" outlineLevel="0" collapsed="false">
      <c r="J982" s="41" t="str">
        <f aca="false">IF(D982="","",IFERROR(IF(ISNUMBER(SEARCH(Assumptions!$C$5,D982)),Assumptions!$D$5,IF(ISNUMBER(SEARCH(Assumptions!$C$6,D982)),Assumptions!$D$6,IF(ISNUMBER(SEARCH(Assumptions!$C$7,D982)),Assumptions!$D$7,"Other Services"))),"Other Services"))</f>
        <v/>
      </c>
    </row>
    <row r="983" customFormat="false" ht="15" hidden="false" customHeight="false" outlineLevel="0" collapsed="false">
      <c r="J983" s="41" t="str">
        <f aca="false">IF(D983="","",IFERROR(IF(ISNUMBER(SEARCH(Assumptions!$C$5,D983)),Assumptions!$D$5,IF(ISNUMBER(SEARCH(Assumptions!$C$6,D983)),Assumptions!$D$6,IF(ISNUMBER(SEARCH(Assumptions!$C$7,D983)),Assumptions!$D$7,"Other Services"))),"Other Services"))</f>
        <v/>
      </c>
    </row>
    <row r="984" customFormat="false" ht="15" hidden="false" customHeight="false" outlineLevel="0" collapsed="false">
      <c r="J984" s="41" t="str">
        <f aca="false">IF(D984="","",IFERROR(IF(ISNUMBER(SEARCH(Assumptions!$C$5,D984)),Assumptions!$D$5,IF(ISNUMBER(SEARCH(Assumptions!$C$6,D984)),Assumptions!$D$6,IF(ISNUMBER(SEARCH(Assumptions!$C$7,D984)),Assumptions!$D$7,"Other Services"))),"Other Services"))</f>
        <v/>
      </c>
    </row>
    <row r="985" customFormat="false" ht="15" hidden="false" customHeight="false" outlineLevel="0" collapsed="false">
      <c r="J985" s="41" t="str">
        <f aca="false">IF(D985="","",IFERROR(IF(ISNUMBER(SEARCH(Assumptions!$C$5,D985)),Assumptions!$D$5,IF(ISNUMBER(SEARCH(Assumptions!$C$6,D985)),Assumptions!$D$6,IF(ISNUMBER(SEARCH(Assumptions!$C$7,D985)),Assumptions!$D$7,"Other Services"))),"Other Services"))</f>
        <v/>
      </c>
    </row>
    <row r="986" customFormat="false" ht="15" hidden="false" customHeight="false" outlineLevel="0" collapsed="false">
      <c r="J986" s="41" t="str">
        <f aca="false">IF(D986="","",IFERROR(IF(ISNUMBER(SEARCH(Assumptions!$C$5,D986)),Assumptions!$D$5,IF(ISNUMBER(SEARCH(Assumptions!$C$6,D986)),Assumptions!$D$6,IF(ISNUMBER(SEARCH(Assumptions!$C$7,D986)),Assumptions!$D$7,"Other Services"))),"Other Services"))</f>
        <v/>
      </c>
    </row>
    <row r="987" customFormat="false" ht="15" hidden="false" customHeight="false" outlineLevel="0" collapsed="false">
      <c r="J987" s="41" t="str">
        <f aca="false">IF(D987="","",IFERROR(IF(ISNUMBER(SEARCH(Assumptions!$C$5,D987)),Assumptions!$D$5,IF(ISNUMBER(SEARCH(Assumptions!$C$6,D987)),Assumptions!$D$6,IF(ISNUMBER(SEARCH(Assumptions!$C$7,D987)),Assumptions!$D$7,"Other Services"))),"Other Services"))</f>
        <v/>
      </c>
    </row>
    <row r="988" customFormat="false" ht="15" hidden="false" customHeight="false" outlineLevel="0" collapsed="false">
      <c r="J988" s="41" t="str">
        <f aca="false">IF(D988="","",IFERROR(IF(ISNUMBER(SEARCH(Assumptions!$C$5,D988)),Assumptions!$D$5,IF(ISNUMBER(SEARCH(Assumptions!$C$6,D988)),Assumptions!$D$6,IF(ISNUMBER(SEARCH(Assumptions!$C$7,D988)),Assumptions!$D$7,"Other Services"))),"Other Services"))</f>
        <v/>
      </c>
    </row>
    <row r="989" customFormat="false" ht="15" hidden="false" customHeight="false" outlineLevel="0" collapsed="false">
      <c r="J989" s="41" t="str">
        <f aca="false">IF(D989="","",IFERROR(IF(ISNUMBER(SEARCH(Assumptions!$C$5,D989)),Assumptions!$D$5,IF(ISNUMBER(SEARCH(Assumptions!$C$6,D989)),Assumptions!$D$6,IF(ISNUMBER(SEARCH(Assumptions!$C$7,D989)),Assumptions!$D$7,"Other Services"))),"Other Services"))</f>
        <v/>
      </c>
    </row>
    <row r="990" customFormat="false" ht="15" hidden="false" customHeight="false" outlineLevel="0" collapsed="false">
      <c r="J990" s="41" t="str">
        <f aca="false">IF(D990="","",IFERROR(IF(ISNUMBER(SEARCH(Assumptions!$C$5,D990)),Assumptions!$D$5,IF(ISNUMBER(SEARCH(Assumptions!$C$6,D990)),Assumptions!$D$6,IF(ISNUMBER(SEARCH(Assumptions!$C$7,D990)),Assumptions!$D$7,"Other Services"))),"Other Services"))</f>
        <v/>
      </c>
    </row>
    <row r="991" customFormat="false" ht="15" hidden="false" customHeight="false" outlineLevel="0" collapsed="false">
      <c r="J991" s="41" t="str">
        <f aca="false">IF(D991="","",IFERROR(IF(ISNUMBER(SEARCH(Assumptions!$C$5,D991)),Assumptions!$D$5,IF(ISNUMBER(SEARCH(Assumptions!$C$6,D991)),Assumptions!$D$6,IF(ISNUMBER(SEARCH(Assumptions!$C$7,D991)),Assumptions!$D$7,"Other Services"))),"Other Services"))</f>
        <v/>
      </c>
    </row>
    <row r="992" customFormat="false" ht="15" hidden="false" customHeight="false" outlineLevel="0" collapsed="false">
      <c r="J992" s="41" t="str">
        <f aca="false">IF(D992="","",IFERROR(IF(ISNUMBER(SEARCH(Assumptions!$C$5,D992)),Assumptions!$D$5,IF(ISNUMBER(SEARCH(Assumptions!$C$6,D992)),Assumptions!$D$6,IF(ISNUMBER(SEARCH(Assumptions!$C$7,D992)),Assumptions!$D$7,"Other Services"))),"Other Services"))</f>
        <v/>
      </c>
    </row>
    <row r="993" customFormat="false" ht="15" hidden="false" customHeight="false" outlineLevel="0" collapsed="false">
      <c r="J993" s="41" t="str">
        <f aca="false">IF(D993="","",IFERROR(IF(ISNUMBER(SEARCH(Assumptions!$C$5,D993)),Assumptions!$D$5,IF(ISNUMBER(SEARCH(Assumptions!$C$6,D993)),Assumptions!$D$6,IF(ISNUMBER(SEARCH(Assumptions!$C$7,D993)),Assumptions!$D$7,"Other Services"))),"Other Services"))</f>
        <v/>
      </c>
    </row>
    <row r="994" customFormat="false" ht="15" hidden="false" customHeight="false" outlineLevel="0" collapsed="false">
      <c r="J994" s="41" t="str">
        <f aca="false">IF(D994="","",IFERROR(IF(ISNUMBER(SEARCH(Assumptions!$C$5,D994)),Assumptions!$D$5,IF(ISNUMBER(SEARCH(Assumptions!$C$6,D994)),Assumptions!$D$6,IF(ISNUMBER(SEARCH(Assumptions!$C$7,D994)),Assumptions!$D$7,"Other Services"))),"Other Services"))</f>
        <v/>
      </c>
    </row>
    <row r="995" customFormat="false" ht="15" hidden="false" customHeight="false" outlineLevel="0" collapsed="false">
      <c r="J995" s="41" t="str">
        <f aca="false">IF(D995="","",IFERROR(IF(ISNUMBER(SEARCH(Assumptions!$C$5,D995)),Assumptions!$D$5,IF(ISNUMBER(SEARCH(Assumptions!$C$6,D995)),Assumptions!$D$6,IF(ISNUMBER(SEARCH(Assumptions!$C$7,D995)),Assumptions!$D$7,"Other Services"))),"Other Services"))</f>
        <v/>
      </c>
    </row>
    <row r="996" customFormat="false" ht="15" hidden="false" customHeight="false" outlineLevel="0" collapsed="false">
      <c r="J996" s="41" t="str">
        <f aca="false">IF(D996="","",IFERROR(IF(ISNUMBER(SEARCH(Assumptions!$C$5,D996)),Assumptions!$D$5,IF(ISNUMBER(SEARCH(Assumptions!$C$6,D996)),Assumptions!$D$6,IF(ISNUMBER(SEARCH(Assumptions!$C$7,D996)),Assumptions!$D$7,"Other Services"))),"Other Services"))</f>
        <v/>
      </c>
    </row>
    <row r="997" customFormat="false" ht="15" hidden="false" customHeight="false" outlineLevel="0" collapsed="false">
      <c r="J997" s="41" t="str">
        <f aca="false">IF(D997="","",IFERROR(IF(ISNUMBER(SEARCH(Assumptions!$C$5,D997)),Assumptions!$D$5,IF(ISNUMBER(SEARCH(Assumptions!$C$6,D997)),Assumptions!$D$6,IF(ISNUMBER(SEARCH(Assumptions!$C$7,D997)),Assumptions!$D$7,"Other Services"))),"Other Services"))</f>
        <v/>
      </c>
    </row>
    <row r="998" customFormat="false" ht="15" hidden="false" customHeight="false" outlineLevel="0" collapsed="false">
      <c r="J998" s="41" t="str">
        <f aca="false">IF(D998="","",IFERROR(IF(ISNUMBER(SEARCH(Assumptions!$C$5,D998)),Assumptions!$D$5,IF(ISNUMBER(SEARCH(Assumptions!$C$6,D998)),Assumptions!$D$6,IF(ISNUMBER(SEARCH(Assumptions!$C$7,D998)),Assumptions!$D$7,"Other Services"))),"Other Services"))</f>
        <v/>
      </c>
    </row>
    <row r="999" customFormat="false" ht="15" hidden="false" customHeight="false" outlineLevel="0" collapsed="false">
      <c r="J999" s="41" t="str">
        <f aca="false">IF(D999="","",IFERROR(IF(ISNUMBER(SEARCH(Assumptions!$C$5,D999)),Assumptions!$D$5,IF(ISNUMBER(SEARCH(Assumptions!$C$6,D999)),Assumptions!$D$6,IF(ISNUMBER(SEARCH(Assumptions!$C$7,D999)),Assumptions!$D$7,"Other Services"))),"Other Services"))</f>
        <v/>
      </c>
    </row>
    <row r="1000" customFormat="false" ht="15" hidden="false" customHeight="false" outlineLevel="0" collapsed="false">
      <c r="J1000" s="41" t="str">
        <f aca="false">IF(D1000="","",IFERROR(IF(ISNUMBER(SEARCH(Assumptions!$C$5,D1000)),Assumptions!$D$5,IF(ISNUMBER(SEARCH(Assumptions!$C$6,D1000)),Assumptions!$D$6,IF(ISNUMBER(SEARCH(Assumptions!$C$7,D1000)),Assumptions!$D$7,"Other Services"))),"Other Services"))</f>
        <v/>
      </c>
    </row>
    <row r="1001" customFormat="false" ht="15" hidden="false" customHeight="false" outlineLevel="0" collapsed="false">
      <c r="J1001" s="41" t="str">
        <f aca="false">IF(D1001="","",IFERROR(IF(ISNUMBER(SEARCH(Assumptions!$C$5,D1001)),Assumptions!$D$5,IF(ISNUMBER(SEARCH(Assumptions!$C$6,D1001)),Assumptions!$D$6,IF(ISNUMBER(SEARCH(Assumptions!$C$7,D1001)),Assumptions!$D$7,"Other Services"))),"Other Services"))</f>
        <v/>
      </c>
    </row>
    <row r="1002" customFormat="false" ht="15" hidden="false" customHeight="false" outlineLevel="0" collapsed="false">
      <c r="J1002" s="41" t="str">
        <f aca="false">IF(D1002="","",IFERROR(IF(ISNUMBER(SEARCH(Assumptions!$C$5,D1002)),Assumptions!$D$5,IF(ISNUMBER(SEARCH(Assumptions!$C$6,D1002)),Assumptions!$D$6,IF(ISNUMBER(SEARCH(Assumptions!$C$7,D1002)),Assumptions!$D$7,"Other Services"))),"Other Services"))</f>
        <v/>
      </c>
    </row>
    <row r="1003" customFormat="false" ht="15" hidden="false" customHeight="false" outlineLevel="0" collapsed="false">
      <c r="J1003" s="41" t="str">
        <f aca="false">IF(D1003="","",IFERROR(IF(ISNUMBER(SEARCH(Assumptions!$C$5,D1003)),Assumptions!$D$5,IF(ISNUMBER(SEARCH(Assumptions!$C$6,D1003)),Assumptions!$D$6,IF(ISNUMBER(SEARCH(Assumptions!$C$7,D1003)),Assumptions!$D$7,"Other Services"))),"Other Services"))</f>
        <v/>
      </c>
    </row>
    <row r="1004" customFormat="false" ht="15" hidden="false" customHeight="false" outlineLevel="0" collapsed="false">
      <c r="J1004" s="41" t="str">
        <f aca="false">IF(D1004="","",IFERROR(IF(ISNUMBER(SEARCH(Assumptions!$C$5,D1004)),Assumptions!$D$5,IF(ISNUMBER(SEARCH(Assumptions!$C$6,D1004)),Assumptions!$D$6,IF(ISNUMBER(SEARCH(Assumptions!$C$7,D1004)),Assumptions!$D$7,"Other Services"))),"Other Services"))</f>
        <v/>
      </c>
    </row>
    <row r="1005" customFormat="false" ht="15" hidden="false" customHeight="false" outlineLevel="0" collapsed="false">
      <c r="J1005" s="41" t="str">
        <f aca="false">IF(D1005="","",IFERROR(IF(ISNUMBER(SEARCH(Assumptions!$C$5,D1005)),Assumptions!$D$5,IF(ISNUMBER(SEARCH(Assumptions!$C$6,D1005)),Assumptions!$D$6,IF(ISNUMBER(SEARCH(Assumptions!$C$7,D1005)),Assumptions!$D$7,"Other Services"))),"Other Services"))</f>
        <v/>
      </c>
    </row>
    <row r="1006" customFormat="false" ht="15" hidden="false" customHeight="false" outlineLevel="0" collapsed="false">
      <c r="J1006" s="41" t="str">
        <f aca="false">IF(D1006="","",IFERROR(IF(ISNUMBER(SEARCH(Assumptions!$C$5,D1006)),Assumptions!$D$5,IF(ISNUMBER(SEARCH(Assumptions!$C$6,D1006)),Assumptions!$D$6,IF(ISNUMBER(SEARCH(Assumptions!$C$7,D1006)),Assumptions!$D$7,"Other Services"))),"Other Services"))</f>
        <v/>
      </c>
    </row>
    <row r="1007" customFormat="false" ht="15" hidden="false" customHeight="false" outlineLevel="0" collapsed="false">
      <c r="J1007" s="41" t="str">
        <f aca="false">IF(D1007="","",IFERROR(IF(ISNUMBER(SEARCH(Assumptions!$C$5,D1007)),Assumptions!$D$5,IF(ISNUMBER(SEARCH(Assumptions!$C$6,D1007)),Assumptions!$D$6,IF(ISNUMBER(SEARCH(Assumptions!$C$7,D1007)),Assumptions!$D$7,"Other Services"))),"Other Services"))</f>
        <v/>
      </c>
    </row>
    <row r="1008" customFormat="false" ht="15" hidden="false" customHeight="false" outlineLevel="0" collapsed="false">
      <c r="J1008" s="41" t="str">
        <f aca="false">IF(D1008="","",IFERROR(IF(ISNUMBER(SEARCH(Assumptions!$C$5,D1008)),Assumptions!$D$5,IF(ISNUMBER(SEARCH(Assumptions!$C$6,D1008)),Assumptions!$D$6,IF(ISNUMBER(SEARCH(Assumptions!$C$7,D1008)),Assumptions!$D$7,"Other Services"))),"Other Services"))</f>
        <v/>
      </c>
    </row>
    <row r="1009" customFormat="false" ht="15" hidden="false" customHeight="false" outlineLevel="0" collapsed="false">
      <c r="J1009" s="41" t="str">
        <f aca="false">IF(D1009="","",IFERROR(IF(ISNUMBER(SEARCH(Assumptions!$C$5,D1009)),Assumptions!$D$5,IF(ISNUMBER(SEARCH(Assumptions!$C$6,D1009)),Assumptions!$D$6,IF(ISNUMBER(SEARCH(Assumptions!$C$7,D1009)),Assumptions!$D$7,"Other Services"))),"Other Services"))</f>
        <v/>
      </c>
    </row>
    <row r="1010" customFormat="false" ht="15" hidden="false" customHeight="false" outlineLevel="0" collapsed="false">
      <c r="J1010" s="41" t="str">
        <f aca="false">IF(D1010="","",IFERROR(IF(ISNUMBER(SEARCH(Assumptions!$C$5,D1010)),Assumptions!$D$5,IF(ISNUMBER(SEARCH(Assumptions!$C$6,D1010)),Assumptions!$D$6,IF(ISNUMBER(SEARCH(Assumptions!$C$7,D1010)),Assumptions!$D$7,"Other Services"))),"Other Services"))</f>
        <v/>
      </c>
    </row>
    <row r="1011" customFormat="false" ht="15" hidden="false" customHeight="false" outlineLevel="0" collapsed="false">
      <c r="J1011" s="41" t="str">
        <f aca="false">IF(D1011="","",IFERROR(IF(ISNUMBER(SEARCH(Assumptions!$C$5,D1011)),Assumptions!$D$5,IF(ISNUMBER(SEARCH(Assumptions!$C$6,D1011)),Assumptions!$D$6,IF(ISNUMBER(SEARCH(Assumptions!$C$7,D1011)),Assumptions!$D$7,"Other Services"))),"Other Services"))</f>
        <v/>
      </c>
    </row>
    <row r="1012" customFormat="false" ht="15" hidden="false" customHeight="false" outlineLevel="0" collapsed="false">
      <c r="J1012" s="41" t="str">
        <f aca="false">IF(D1012="","",IFERROR(IF(ISNUMBER(SEARCH(Assumptions!$C$5,D1012)),Assumptions!$D$5,IF(ISNUMBER(SEARCH(Assumptions!$C$6,D1012)),Assumptions!$D$6,IF(ISNUMBER(SEARCH(Assumptions!$C$7,D1012)),Assumptions!$D$7,"Other Services"))),"Other Services"))</f>
        <v/>
      </c>
    </row>
    <row r="1013" customFormat="false" ht="15" hidden="false" customHeight="false" outlineLevel="0" collapsed="false">
      <c r="J1013" s="41" t="str">
        <f aca="false">IF(D1013="","",IFERROR(IF(ISNUMBER(SEARCH(Assumptions!$C$5,D1013)),Assumptions!$D$5,IF(ISNUMBER(SEARCH(Assumptions!$C$6,D1013)),Assumptions!$D$6,IF(ISNUMBER(SEARCH(Assumptions!$C$7,D1013)),Assumptions!$D$7,"Other Services"))),"Other Services"))</f>
        <v/>
      </c>
    </row>
    <row r="1014" customFormat="false" ht="15" hidden="false" customHeight="false" outlineLevel="0" collapsed="false">
      <c r="J1014" s="41" t="str">
        <f aca="false">IF(D1014="","",IFERROR(IF(ISNUMBER(SEARCH(Assumptions!$C$5,D1014)),Assumptions!$D$5,IF(ISNUMBER(SEARCH(Assumptions!$C$6,D1014)),Assumptions!$D$6,IF(ISNUMBER(SEARCH(Assumptions!$C$7,D1014)),Assumptions!$D$7,"Other Services"))),"Other Services"))</f>
        <v/>
      </c>
    </row>
    <row r="1015" customFormat="false" ht="15" hidden="false" customHeight="false" outlineLevel="0" collapsed="false">
      <c r="J1015" s="41" t="str">
        <f aca="false">IF(D1015="","",IFERROR(IF(ISNUMBER(SEARCH(Assumptions!$C$5,D1015)),Assumptions!$D$5,IF(ISNUMBER(SEARCH(Assumptions!$C$6,D1015)),Assumptions!$D$6,IF(ISNUMBER(SEARCH(Assumptions!$C$7,D1015)),Assumptions!$D$7,"Other Services"))),"Other Services"))</f>
        <v/>
      </c>
    </row>
    <row r="1016" customFormat="false" ht="15" hidden="false" customHeight="false" outlineLevel="0" collapsed="false">
      <c r="J1016" s="41" t="str">
        <f aca="false">IF(D1016="","",IFERROR(IF(ISNUMBER(SEARCH(Assumptions!$C$5,D1016)),Assumptions!$D$5,IF(ISNUMBER(SEARCH(Assumptions!$C$6,D1016)),Assumptions!$D$6,IF(ISNUMBER(SEARCH(Assumptions!$C$7,D1016)),Assumptions!$D$7,"Other Services"))),"Other Services"))</f>
        <v/>
      </c>
    </row>
    <row r="1017" customFormat="false" ht="15" hidden="false" customHeight="false" outlineLevel="0" collapsed="false">
      <c r="J1017" s="41" t="str">
        <f aca="false">IF(D1017="","",IFERROR(IF(ISNUMBER(SEARCH(Assumptions!$C$5,D1017)),Assumptions!$D$5,IF(ISNUMBER(SEARCH(Assumptions!$C$6,D1017)),Assumptions!$D$6,IF(ISNUMBER(SEARCH(Assumptions!$C$7,D1017)),Assumptions!$D$7,"Other Services"))),"Other Services"))</f>
        <v/>
      </c>
    </row>
    <row r="1018" customFormat="false" ht="15" hidden="false" customHeight="false" outlineLevel="0" collapsed="false">
      <c r="J1018" s="41" t="str">
        <f aca="false">IF(D1018="","",IFERROR(IF(ISNUMBER(SEARCH(Assumptions!$C$5,D1018)),Assumptions!$D$5,IF(ISNUMBER(SEARCH(Assumptions!$C$6,D1018)),Assumptions!$D$6,IF(ISNUMBER(SEARCH(Assumptions!$C$7,D1018)),Assumptions!$D$7,"Other Services"))),"Other Services"))</f>
        <v/>
      </c>
    </row>
    <row r="1019" customFormat="false" ht="15" hidden="false" customHeight="false" outlineLevel="0" collapsed="false">
      <c r="J1019" s="41" t="str">
        <f aca="false">IF(D1019="","",IFERROR(IF(ISNUMBER(SEARCH(Assumptions!$C$5,D1019)),Assumptions!$D$5,IF(ISNUMBER(SEARCH(Assumptions!$C$6,D1019)),Assumptions!$D$6,IF(ISNUMBER(SEARCH(Assumptions!$C$7,D1019)),Assumptions!$D$7,"Other Services"))),"Other Services"))</f>
        <v/>
      </c>
    </row>
    <row r="1020" customFormat="false" ht="15" hidden="false" customHeight="false" outlineLevel="0" collapsed="false">
      <c r="J1020" s="41" t="str">
        <f aca="false">IF(D1020="","",IFERROR(IF(ISNUMBER(SEARCH(Assumptions!$C$5,D1020)),Assumptions!$D$5,IF(ISNUMBER(SEARCH(Assumptions!$C$6,D1020)),Assumptions!$D$6,IF(ISNUMBER(SEARCH(Assumptions!$C$7,D1020)),Assumptions!$D$7,"Other Services"))),"Other Services"))</f>
        <v/>
      </c>
    </row>
    <row r="1021" customFormat="false" ht="15" hidden="false" customHeight="false" outlineLevel="0" collapsed="false">
      <c r="J1021" s="41" t="str">
        <f aca="false">IF(D1021="","",IFERROR(IF(ISNUMBER(SEARCH(Assumptions!$C$5,D1021)),Assumptions!$D$5,IF(ISNUMBER(SEARCH(Assumptions!$C$6,D1021)),Assumptions!$D$6,IF(ISNUMBER(SEARCH(Assumptions!$C$7,D1021)),Assumptions!$D$7,"Other Services"))),"Other Services"))</f>
        <v/>
      </c>
    </row>
    <row r="1022" customFormat="false" ht="15" hidden="false" customHeight="false" outlineLevel="0" collapsed="false">
      <c r="J1022" s="41" t="str">
        <f aca="false">IF(D1022="","",IFERROR(IF(ISNUMBER(SEARCH(Assumptions!$C$5,D1022)),Assumptions!$D$5,IF(ISNUMBER(SEARCH(Assumptions!$C$6,D1022)),Assumptions!$D$6,IF(ISNUMBER(SEARCH(Assumptions!$C$7,D1022)),Assumptions!$D$7,"Other Services"))),"Other Services"))</f>
        <v/>
      </c>
    </row>
    <row r="1023" customFormat="false" ht="15" hidden="false" customHeight="false" outlineLevel="0" collapsed="false">
      <c r="J1023" s="41" t="str">
        <f aca="false">IF(D1023="","",IFERROR(IF(ISNUMBER(SEARCH(Assumptions!$C$5,D1023)),Assumptions!$D$5,IF(ISNUMBER(SEARCH(Assumptions!$C$6,D1023)),Assumptions!$D$6,IF(ISNUMBER(SEARCH(Assumptions!$C$7,D1023)),Assumptions!$D$7,"Other Services"))),"Other Services"))</f>
        <v/>
      </c>
    </row>
    <row r="1024" customFormat="false" ht="15" hidden="false" customHeight="false" outlineLevel="0" collapsed="false">
      <c r="J1024" s="41" t="str">
        <f aca="false">IF(D1024="","",IFERROR(IF(ISNUMBER(SEARCH(Assumptions!$C$5,D1024)),Assumptions!$D$5,IF(ISNUMBER(SEARCH(Assumptions!$C$6,D1024)),Assumptions!$D$6,IF(ISNUMBER(SEARCH(Assumptions!$C$7,D1024)),Assumptions!$D$7,"Other Services"))),"Other Services"))</f>
        <v/>
      </c>
    </row>
    <row r="1025" customFormat="false" ht="15" hidden="false" customHeight="false" outlineLevel="0" collapsed="false">
      <c r="J1025" s="41" t="str">
        <f aca="false">IF(D1025="","",IFERROR(IF(ISNUMBER(SEARCH(Assumptions!$C$5,D1025)),Assumptions!$D$5,IF(ISNUMBER(SEARCH(Assumptions!$C$6,D1025)),Assumptions!$D$6,IF(ISNUMBER(SEARCH(Assumptions!$C$7,D1025)),Assumptions!$D$7,"Other Services"))),"Other Services"))</f>
        <v/>
      </c>
    </row>
    <row r="1026" customFormat="false" ht="15" hidden="false" customHeight="false" outlineLevel="0" collapsed="false">
      <c r="J1026" s="41" t="str">
        <f aca="false">IF(D1026="","",IFERROR(IF(ISNUMBER(SEARCH(Assumptions!$C$5,D1026)),Assumptions!$D$5,IF(ISNUMBER(SEARCH(Assumptions!$C$6,D1026)),Assumptions!$D$6,IF(ISNUMBER(SEARCH(Assumptions!$C$7,D1026)),Assumptions!$D$7,"Other Services"))),"Other Services"))</f>
        <v/>
      </c>
    </row>
    <row r="1027" customFormat="false" ht="15" hidden="false" customHeight="false" outlineLevel="0" collapsed="false">
      <c r="J1027" s="41" t="str">
        <f aca="false">IF(D1027="","",IFERROR(IF(ISNUMBER(SEARCH(Assumptions!$C$5,D1027)),Assumptions!$D$5,IF(ISNUMBER(SEARCH(Assumptions!$C$6,D1027)),Assumptions!$D$6,IF(ISNUMBER(SEARCH(Assumptions!$C$7,D1027)),Assumptions!$D$7,"Other Services"))),"Other Services"))</f>
        <v/>
      </c>
    </row>
    <row r="1028" customFormat="false" ht="15" hidden="false" customHeight="false" outlineLevel="0" collapsed="false">
      <c r="J1028" s="41" t="str">
        <f aca="false">IF(D1028="","",IFERROR(IF(ISNUMBER(SEARCH(Assumptions!$C$5,D1028)),Assumptions!$D$5,IF(ISNUMBER(SEARCH(Assumptions!$C$6,D1028)),Assumptions!$D$6,IF(ISNUMBER(SEARCH(Assumptions!$C$7,D1028)),Assumptions!$D$7,"Other Services"))),"Other Services"))</f>
        <v/>
      </c>
    </row>
    <row r="1029" customFormat="false" ht="15" hidden="false" customHeight="false" outlineLevel="0" collapsed="false">
      <c r="J1029" s="41" t="str">
        <f aca="false">IF(D1029="","",IFERROR(IF(ISNUMBER(SEARCH(Assumptions!$C$5,D1029)),Assumptions!$D$5,IF(ISNUMBER(SEARCH(Assumptions!$C$6,D1029)),Assumptions!$D$6,IF(ISNUMBER(SEARCH(Assumptions!$C$7,D1029)),Assumptions!$D$7,"Other Services"))),"Other Services"))</f>
        <v/>
      </c>
    </row>
    <row r="1030" customFormat="false" ht="15" hidden="false" customHeight="false" outlineLevel="0" collapsed="false">
      <c r="J1030" s="41" t="str">
        <f aca="false">IF(D1030="","",IFERROR(IF(ISNUMBER(SEARCH(Assumptions!$C$5,D1030)),Assumptions!$D$5,IF(ISNUMBER(SEARCH(Assumptions!$C$6,D1030)),Assumptions!$D$6,IF(ISNUMBER(SEARCH(Assumptions!$C$7,D1030)),Assumptions!$D$7,"Other Services"))),"Other Services"))</f>
        <v/>
      </c>
    </row>
    <row r="1031" customFormat="false" ht="15" hidden="false" customHeight="false" outlineLevel="0" collapsed="false">
      <c r="J1031" s="41" t="str">
        <f aca="false">IF(D1031="","",IFERROR(IF(ISNUMBER(SEARCH(Assumptions!$C$5,D1031)),Assumptions!$D$5,IF(ISNUMBER(SEARCH(Assumptions!$C$6,D1031)),Assumptions!$D$6,IF(ISNUMBER(SEARCH(Assumptions!$C$7,D1031)),Assumptions!$D$7,"Other Services"))),"Other Services"))</f>
        <v/>
      </c>
    </row>
    <row r="1032" customFormat="false" ht="15" hidden="false" customHeight="false" outlineLevel="0" collapsed="false">
      <c r="J1032" s="41" t="str">
        <f aca="false">IF(D1032="","",IFERROR(IF(ISNUMBER(SEARCH(Assumptions!$C$5,D1032)),Assumptions!$D$5,IF(ISNUMBER(SEARCH(Assumptions!$C$6,D1032)),Assumptions!$D$6,IF(ISNUMBER(SEARCH(Assumptions!$C$7,D1032)),Assumptions!$D$7,"Other Services"))),"Other Services"))</f>
        <v/>
      </c>
    </row>
    <row r="1033" customFormat="false" ht="15" hidden="false" customHeight="false" outlineLevel="0" collapsed="false">
      <c r="J1033" s="41" t="str">
        <f aca="false">IF(D1033="","",IFERROR(IF(ISNUMBER(SEARCH(Assumptions!$C$5,D1033)),Assumptions!$D$5,IF(ISNUMBER(SEARCH(Assumptions!$C$6,D1033)),Assumptions!$D$6,IF(ISNUMBER(SEARCH(Assumptions!$C$7,D1033)),Assumptions!$D$7,"Other Services"))),"Other Services"))</f>
        <v/>
      </c>
    </row>
    <row r="1034" customFormat="false" ht="15" hidden="false" customHeight="false" outlineLevel="0" collapsed="false">
      <c r="J1034" s="41" t="str">
        <f aca="false">IF(D1034="","",IFERROR(IF(ISNUMBER(SEARCH(Assumptions!$C$5,D1034)),Assumptions!$D$5,IF(ISNUMBER(SEARCH(Assumptions!$C$6,D1034)),Assumptions!$D$6,IF(ISNUMBER(SEARCH(Assumptions!$C$7,D1034)),Assumptions!$D$7,"Other Services"))),"Other Services"))</f>
        <v/>
      </c>
    </row>
    <row r="1035" customFormat="false" ht="15" hidden="false" customHeight="false" outlineLevel="0" collapsed="false">
      <c r="J1035" s="41" t="str">
        <f aca="false">IF(D1035="","",IFERROR(IF(ISNUMBER(SEARCH(Assumptions!$C$5,D1035)),Assumptions!$D$5,IF(ISNUMBER(SEARCH(Assumptions!$C$6,D1035)),Assumptions!$D$6,IF(ISNUMBER(SEARCH(Assumptions!$C$7,D1035)),Assumptions!$D$7,"Other Services"))),"Other Services"))</f>
        <v/>
      </c>
    </row>
    <row r="1036" customFormat="false" ht="15" hidden="false" customHeight="false" outlineLevel="0" collapsed="false">
      <c r="J1036" s="41" t="str">
        <f aca="false">IF(D1036="","",IFERROR(IF(ISNUMBER(SEARCH(Assumptions!$C$5,D1036)),Assumptions!$D$5,IF(ISNUMBER(SEARCH(Assumptions!$C$6,D1036)),Assumptions!$D$6,IF(ISNUMBER(SEARCH(Assumptions!$C$7,D1036)),Assumptions!$D$7,"Other Services"))),"Other Services"))</f>
        <v/>
      </c>
    </row>
    <row r="1037" customFormat="false" ht="15" hidden="false" customHeight="false" outlineLevel="0" collapsed="false">
      <c r="J1037" s="41" t="str">
        <f aca="false">IF(D1037="","",IFERROR(IF(ISNUMBER(SEARCH(Assumptions!$C$5,D1037)),Assumptions!$D$5,IF(ISNUMBER(SEARCH(Assumptions!$C$6,D1037)),Assumptions!$D$6,IF(ISNUMBER(SEARCH(Assumptions!$C$7,D1037)),Assumptions!$D$7,"Other Services"))),"Other Services"))</f>
        <v/>
      </c>
    </row>
    <row r="1038" customFormat="false" ht="15" hidden="false" customHeight="false" outlineLevel="0" collapsed="false">
      <c r="J1038" s="41" t="str">
        <f aca="false">IF(D1038="","",IFERROR(IF(ISNUMBER(SEARCH(Assumptions!$C$5,D1038)),Assumptions!$D$5,IF(ISNUMBER(SEARCH(Assumptions!$C$6,D1038)),Assumptions!$D$6,IF(ISNUMBER(SEARCH(Assumptions!$C$7,D1038)),Assumptions!$D$7,"Other Services"))),"Other Services"))</f>
        <v/>
      </c>
    </row>
    <row r="1039" customFormat="false" ht="15" hidden="false" customHeight="false" outlineLevel="0" collapsed="false">
      <c r="J1039" s="41" t="str">
        <f aca="false">IF(D1039="","",IFERROR(IF(ISNUMBER(SEARCH(Assumptions!$C$5,D1039)),Assumptions!$D$5,IF(ISNUMBER(SEARCH(Assumptions!$C$6,D1039)),Assumptions!$D$6,IF(ISNUMBER(SEARCH(Assumptions!$C$7,D1039)),Assumptions!$D$7,"Other Services"))),"Other Services"))</f>
        <v/>
      </c>
    </row>
    <row r="1040" customFormat="false" ht="15" hidden="false" customHeight="false" outlineLevel="0" collapsed="false">
      <c r="J1040" s="41" t="str">
        <f aca="false">IF(D1040="","",IFERROR(IF(ISNUMBER(SEARCH(Assumptions!$C$5,D1040)),Assumptions!$D$5,IF(ISNUMBER(SEARCH(Assumptions!$C$6,D1040)),Assumptions!$D$6,IF(ISNUMBER(SEARCH(Assumptions!$C$7,D1040)),Assumptions!$D$7,"Other Services"))),"Other Services"))</f>
        <v/>
      </c>
    </row>
    <row r="1041" customFormat="false" ht="15" hidden="false" customHeight="false" outlineLevel="0" collapsed="false">
      <c r="J1041" s="41" t="str">
        <f aca="false">IF(D1041="","",IFERROR(IF(ISNUMBER(SEARCH(Assumptions!$C$5,D1041)),Assumptions!$D$5,IF(ISNUMBER(SEARCH(Assumptions!$C$6,D1041)),Assumptions!$D$6,IF(ISNUMBER(SEARCH(Assumptions!$C$7,D1041)),Assumptions!$D$7,"Other Services"))),"Other Services"))</f>
        <v/>
      </c>
    </row>
    <row r="1042" customFormat="false" ht="15" hidden="false" customHeight="false" outlineLevel="0" collapsed="false">
      <c r="J1042" s="41" t="str">
        <f aca="false">IF(D1042="","",IFERROR(IF(ISNUMBER(SEARCH(Assumptions!$C$5,D1042)),Assumptions!$D$5,IF(ISNUMBER(SEARCH(Assumptions!$C$6,D1042)),Assumptions!$D$6,IF(ISNUMBER(SEARCH(Assumptions!$C$7,D1042)),Assumptions!$D$7,"Other Services"))),"Other Services"))</f>
        <v/>
      </c>
    </row>
    <row r="1043" customFormat="false" ht="15" hidden="false" customHeight="false" outlineLevel="0" collapsed="false">
      <c r="J1043" s="41" t="str">
        <f aca="false">IF(D1043="","",IFERROR(IF(ISNUMBER(SEARCH(Assumptions!$C$5,D1043)),Assumptions!$D$5,IF(ISNUMBER(SEARCH(Assumptions!$C$6,D1043)),Assumptions!$D$6,IF(ISNUMBER(SEARCH(Assumptions!$C$7,D1043)),Assumptions!$D$7,"Other Services"))),"Other Services"))</f>
        <v/>
      </c>
    </row>
    <row r="1044" customFormat="false" ht="15" hidden="false" customHeight="false" outlineLevel="0" collapsed="false">
      <c r="J1044" s="41" t="str">
        <f aca="false">IF(D1044="","",IFERROR(IF(ISNUMBER(SEARCH(Assumptions!$C$5,D1044)),Assumptions!$D$5,IF(ISNUMBER(SEARCH(Assumptions!$C$6,D1044)),Assumptions!$D$6,IF(ISNUMBER(SEARCH(Assumptions!$C$7,D1044)),Assumptions!$D$7,"Other Services"))),"Other Services"))</f>
        <v/>
      </c>
    </row>
    <row r="1045" customFormat="false" ht="15" hidden="false" customHeight="false" outlineLevel="0" collapsed="false">
      <c r="J1045" s="41" t="str">
        <f aca="false">IF(D1045="","",IFERROR(IF(ISNUMBER(SEARCH(Assumptions!$C$5,D1045)),Assumptions!$D$5,IF(ISNUMBER(SEARCH(Assumptions!$C$6,D1045)),Assumptions!$D$6,IF(ISNUMBER(SEARCH(Assumptions!$C$7,D1045)),Assumptions!$D$7,"Other Services"))),"Other Services"))</f>
        <v/>
      </c>
    </row>
    <row r="1046" customFormat="false" ht="15" hidden="false" customHeight="false" outlineLevel="0" collapsed="false">
      <c r="J1046" s="41" t="str">
        <f aca="false">IF(D1046="","",IFERROR(IF(ISNUMBER(SEARCH(Assumptions!$C$5,D1046)),Assumptions!$D$5,IF(ISNUMBER(SEARCH(Assumptions!$C$6,D1046)),Assumptions!$D$6,IF(ISNUMBER(SEARCH(Assumptions!$C$7,D1046)),Assumptions!$D$7,"Other Services"))),"Other Services"))</f>
        <v/>
      </c>
    </row>
    <row r="1047" customFormat="false" ht="15" hidden="false" customHeight="false" outlineLevel="0" collapsed="false">
      <c r="J1047" s="41" t="str">
        <f aca="false">IF(D1047="","",IFERROR(IF(ISNUMBER(SEARCH(Assumptions!$C$5,D1047)),Assumptions!$D$5,IF(ISNUMBER(SEARCH(Assumptions!$C$6,D1047)),Assumptions!$D$6,IF(ISNUMBER(SEARCH(Assumptions!$C$7,D1047)),Assumptions!$D$7,"Other Services"))),"Other Services"))</f>
        <v/>
      </c>
    </row>
    <row r="1048" customFormat="false" ht="15" hidden="false" customHeight="false" outlineLevel="0" collapsed="false">
      <c r="J1048" s="41" t="str">
        <f aca="false">IF(D1048="","",IFERROR(IF(ISNUMBER(SEARCH(Assumptions!$C$5,D1048)),Assumptions!$D$5,IF(ISNUMBER(SEARCH(Assumptions!$C$6,D1048)),Assumptions!$D$6,IF(ISNUMBER(SEARCH(Assumptions!$C$7,D1048)),Assumptions!$D$7,"Other Services"))),"Other Services"))</f>
        <v/>
      </c>
    </row>
    <row r="1049" customFormat="false" ht="15" hidden="false" customHeight="false" outlineLevel="0" collapsed="false">
      <c r="J1049" s="41" t="str">
        <f aca="false">IF(D1049="","",IFERROR(IF(ISNUMBER(SEARCH(Assumptions!$C$5,D1049)),Assumptions!$D$5,IF(ISNUMBER(SEARCH(Assumptions!$C$6,D1049)),Assumptions!$D$6,IF(ISNUMBER(SEARCH(Assumptions!$C$7,D1049)),Assumptions!$D$7,"Other Services"))),"Other Services"))</f>
        <v/>
      </c>
    </row>
    <row r="1050" customFormat="false" ht="15" hidden="false" customHeight="false" outlineLevel="0" collapsed="false">
      <c r="J1050" s="41" t="str">
        <f aca="false">IF(D1050="","",IFERROR(IF(ISNUMBER(SEARCH(Assumptions!$C$5,D1050)),Assumptions!$D$5,IF(ISNUMBER(SEARCH(Assumptions!$C$6,D1050)),Assumptions!$D$6,IF(ISNUMBER(SEARCH(Assumptions!$C$7,D1050)),Assumptions!$D$7,"Other Services"))),"Other Services"))</f>
        <v/>
      </c>
    </row>
    <row r="1051" customFormat="false" ht="15" hidden="false" customHeight="false" outlineLevel="0" collapsed="false">
      <c r="J1051" s="41" t="str">
        <f aca="false">IF(D1051="","",IFERROR(IF(ISNUMBER(SEARCH(Assumptions!$C$5,D1051)),Assumptions!$D$5,IF(ISNUMBER(SEARCH(Assumptions!$C$6,D1051)),Assumptions!$D$6,IF(ISNUMBER(SEARCH(Assumptions!$C$7,D1051)),Assumptions!$D$7,"Other Services"))),"Other Services"))</f>
        <v/>
      </c>
    </row>
    <row r="1052" customFormat="false" ht="15" hidden="false" customHeight="false" outlineLevel="0" collapsed="false">
      <c r="J1052" s="41" t="str">
        <f aca="false">IF(D1052="","",IFERROR(IF(ISNUMBER(SEARCH(Assumptions!$C$5,D1052)),Assumptions!$D$5,IF(ISNUMBER(SEARCH(Assumptions!$C$6,D1052)),Assumptions!$D$6,IF(ISNUMBER(SEARCH(Assumptions!$C$7,D1052)),Assumptions!$D$7,"Other Services"))),"Other Services"))</f>
        <v/>
      </c>
    </row>
    <row r="1053" customFormat="false" ht="15" hidden="false" customHeight="false" outlineLevel="0" collapsed="false">
      <c r="J1053" s="41" t="str">
        <f aca="false">IF(D1053="","",IFERROR(IF(ISNUMBER(SEARCH(Assumptions!$C$5,D1053)),Assumptions!$D$5,IF(ISNUMBER(SEARCH(Assumptions!$C$6,D1053)),Assumptions!$D$6,IF(ISNUMBER(SEARCH(Assumptions!$C$7,D1053)),Assumptions!$D$7,"Other Services"))),"Other Services"))</f>
        <v/>
      </c>
    </row>
    <row r="1054" customFormat="false" ht="15" hidden="false" customHeight="false" outlineLevel="0" collapsed="false">
      <c r="J1054" s="41" t="str">
        <f aca="false">IF(D1054="","",IFERROR(IF(ISNUMBER(SEARCH(Assumptions!$C$5,D1054)),Assumptions!$D$5,IF(ISNUMBER(SEARCH(Assumptions!$C$6,D1054)),Assumptions!$D$6,IF(ISNUMBER(SEARCH(Assumptions!$C$7,D1054)),Assumptions!$D$7,"Other Services"))),"Other Services"))</f>
        <v/>
      </c>
    </row>
    <row r="1055" customFormat="false" ht="15" hidden="false" customHeight="false" outlineLevel="0" collapsed="false">
      <c r="J1055" s="41" t="str">
        <f aca="false">IF(D1055="","",IFERROR(IF(ISNUMBER(SEARCH(Assumptions!$C$5,D1055)),Assumptions!$D$5,IF(ISNUMBER(SEARCH(Assumptions!$C$6,D1055)),Assumptions!$D$6,IF(ISNUMBER(SEARCH(Assumptions!$C$7,D1055)),Assumptions!$D$7,"Other Services"))),"Other Services"))</f>
        <v/>
      </c>
    </row>
    <row r="1056" customFormat="false" ht="15" hidden="false" customHeight="false" outlineLevel="0" collapsed="false">
      <c r="J1056" s="41" t="str">
        <f aca="false">IF(D1056="","",IFERROR(IF(ISNUMBER(SEARCH(Assumptions!$C$5,D1056)),Assumptions!$D$5,IF(ISNUMBER(SEARCH(Assumptions!$C$6,D1056)),Assumptions!$D$6,IF(ISNUMBER(SEARCH(Assumptions!$C$7,D1056)),Assumptions!$D$7,"Other Services"))),"Other Services"))</f>
        <v/>
      </c>
    </row>
    <row r="1057" customFormat="false" ht="15" hidden="false" customHeight="false" outlineLevel="0" collapsed="false">
      <c r="J1057" s="41" t="str">
        <f aca="false">IF(D1057="","",IFERROR(IF(ISNUMBER(SEARCH(Assumptions!$C$5,D1057)),Assumptions!$D$5,IF(ISNUMBER(SEARCH(Assumptions!$C$6,D1057)),Assumptions!$D$6,IF(ISNUMBER(SEARCH(Assumptions!$C$7,D1057)),Assumptions!$D$7,"Other Services"))),"Other Services"))</f>
        <v/>
      </c>
    </row>
    <row r="1058" customFormat="false" ht="15" hidden="false" customHeight="false" outlineLevel="0" collapsed="false">
      <c r="J1058" s="41" t="str">
        <f aca="false">IF(D1058="","",IFERROR(IF(ISNUMBER(SEARCH(Assumptions!$C$5,D1058)),Assumptions!$D$5,IF(ISNUMBER(SEARCH(Assumptions!$C$6,D1058)),Assumptions!$D$6,IF(ISNUMBER(SEARCH(Assumptions!$C$7,D1058)),Assumptions!$D$7,"Other Services"))),"Other Services"))</f>
        <v/>
      </c>
    </row>
    <row r="1059" customFormat="false" ht="15" hidden="false" customHeight="false" outlineLevel="0" collapsed="false">
      <c r="J1059" s="41" t="str">
        <f aca="false">IF(D1059="","",IFERROR(IF(ISNUMBER(SEARCH(Assumptions!$C$5,D1059)),Assumptions!$D$5,IF(ISNUMBER(SEARCH(Assumptions!$C$6,D1059)),Assumptions!$D$6,IF(ISNUMBER(SEARCH(Assumptions!$C$7,D1059)),Assumptions!$D$7,"Other Services"))),"Other Services"))</f>
        <v/>
      </c>
    </row>
    <row r="1060" customFormat="false" ht="15" hidden="false" customHeight="false" outlineLevel="0" collapsed="false">
      <c r="J1060" s="41" t="str">
        <f aca="false">IF(D1060="","",IFERROR(IF(ISNUMBER(SEARCH(Assumptions!$C$5,D1060)),Assumptions!$D$5,IF(ISNUMBER(SEARCH(Assumptions!$C$6,D1060)),Assumptions!$D$6,IF(ISNUMBER(SEARCH(Assumptions!$C$7,D1060)),Assumptions!$D$7,"Other Services"))),"Other Services"))</f>
        <v/>
      </c>
    </row>
    <row r="1061" customFormat="false" ht="15" hidden="false" customHeight="false" outlineLevel="0" collapsed="false">
      <c r="J1061" s="41" t="str">
        <f aca="false">IF(D1061="","",IFERROR(IF(ISNUMBER(SEARCH(Assumptions!$C$5,D1061)),Assumptions!$D$5,IF(ISNUMBER(SEARCH(Assumptions!$C$6,D1061)),Assumptions!$D$6,IF(ISNUMBER(SEARCH(Assumptions!$C$7,D1061)),Assumptions!$D$7,"Other Services"))),"Other Services"))</f>
        <v/>
      </c>
    </row>
    <row r="1062" customFormat="false" ht="15" hidden="false" customHeight="false" outlineLevel="0" collapsed="false">
      <c r="J1062" s="41" t="str">
        <f aca="false">IF(D1062="","",IFERROR(IF(ISNUMBER(SEARCH(Assumptions!$C$5,D1062)),Assumptions!$D$5,IF(ISNUMBER(SEARCH(Assumptions!$C$6,D1062)),Assumptions!$D$6,IF(ISNUMBER(SEARCH(Assumptions!$C$7,D1062)),Assumptions!$D$7,"Other Services"))),"Other Services"))</f>
        <v/>
      </c>
    </row>
    <row r="1063" customFormat="false" ht="15" hidden="false" customHeight="false" outlineLevel="0" collapsed="false">
      <c r="J1063" s="41" t="str">
        <f aca="false">IF(D1063="","",IFERROR(IF(ISNUMBER(SEARCH(Assumptions!$C$5,D1063)),Assumptions!$D$5,IF(ISNUMBER(SEARCH(Assumptions!$C$6,D1063)),Assumptions!$D$6,IF(ISNUMBER(SEARCH(Assumptions!$C$7,D1063)),Assumptions!$D$7,"Other Services"))),"Other Services"))</f>
        <v/>
      </c>
    </row>
    <row r="1064" customFormat="false" ht="15" hidden="false" customHeight="false" outlineLevel="0" collapsed="false">
      <c r="J1064" s="41" t="str">
        <f aca="false">IF(D1064="","",IFERROR(IF(ISNUMBER(SEARCH(Assumptions!$C$5,D1064)),Assumptions!$D$5,IF(ISNUMBER(SEARCH(Assumptions!$C$6,D1064)),Assumptions!$D$6,IF(ISNUMBER(SEARCH(Assumptions!$C$7,D1064)),Assumptions!$D$7,"Other Services"))),"Other Services"))</f>
        <v/>
      </c>
    </row>
    <row r="1065" customFormat="false" ht="15" hidden="false" customHeight="false" outlineLevel="0" collapsed="false">
      <c r="J1065" s="41" t="str">
        <f aca="false">IF(D1065="","",IFERROR(IF(ISNUMBER(SEARCH(Assumptions!$C$5,D1065)),Assumptions!$D$5,IF(ISNUMBER(SEARCH(Assumptions!$C$6,D1065)),Assumptions!$D$6,IF(ISNUMBER(SEARCH(Assumptions!$C$7,D1065)),Assumptions!$D$7,"Other Services"))),"Other Services"))</f>
        <v/>
      </c>
    </row>
    <row r="1066" customFormat="false" ht="15" hidden="false" customHeight="false" outlineLevel="0" collapsed="false">
      <c r="J1066" s="41" t="str">
        <f aca="false">IF(D1066="","",IFERROR(IF(ISNUMBER(SEARCH(Assumptions!$C$5,D1066)),Assumptions!$D$5,IF(ISNUMBER(SEARCH(Assumptions!$C$6,D1066)),Assumptions!$D$6,IF(ISNUMBER(SEARCH(Assumptions!$C$7,D1066)),Assumptions!$D$7,"Other Services"))),"Other Services"))</f>
        <v/>
      </c>
    </row>
    <row r="1067" customFormat="false" ht="15" hidden="false" customHeight="false" outlineLevel="0" collapsed="false">
      <c r="J1067" s="41" t="str">
        <f aca="false">IF(D1067="","",IFERROR(IF(ISNUMBER(SEARCH(Assumptions!$C$5,D1067)),Assumptions!$D$5,IF(ISNUMBER(SEARCH(Assumptions!$C$6,D1067)),Assumptions!$D$6,IF(ISNUMBER(SEARCH(Assumptions!$C$7,D1067)),Assumptions!$D$7,"Other Services"))),"Other Services"))</f>
        <v/>
      </c>
    </row>
    <row r="1068" customFormat="false" ht="15" hidden="false" customHeight="false" outlineLevel="0" collapsed="false">
      <c r="J1068" s="41" t="str">
        <f aca="false">IF(D1068="","",IFERROR(IF(ISNUMBER(SEARCH(Assumptions!$C$5,D1068)),Assumptions!$D$5,IF(ISNUMBER(SEARCH(Assumptions!$C$6,D1068)),Assumptions!$D$6,IF(ISNUMBER(SEARCH(Assumptions!$C$7,D1068)),Assumptions!$D$7,"Other Services"))),"Other Services"))</f>
        <v/>
      </c>
    </row>
    <row r="1069" customFormat="false" ht="15" hidden="false" customHeight="false" outlineLevel="0" collapsed="false">
      <c r="J1069" s="41" t="str">
        <f aca="false">IF(D1069="","",IFERROR(IF(ISNUMBER(SEARCH(Assumptions!$C$5,D1069)),Assumptions!$D$5,IF(ISNUMBER(SEARCH(Assumptions!$C$6,D1069)),Assumptions!$D$6,IF(ISNUMBER(SEARCH(Assumptions!$C$7,D1069)),Assumptions!$D$7,"Other Services"))),"Other Services"))</f>
        <v/>
      </c>
    </row>
    <row r="1070" customFormat="false" ht="15" hidden="false" customHeight="false" outlineLevel="0" collapsed="false">
      <c r="J1070" s="41" t="str">
        <f aca="false">IF(D1070="","",IFERROR(IF(ISNUMBER(SEARCH(Assumptions!$C$5,D1070)),Assumptions!$D$5,IF(ISNUMBER(SEARCH(Assumptions!$C$6,D1070)),Assumptions!$D$6,IF(ISNUMBER(SEARCH(Assumptions!$C$7,D1070)),Assumptions!$D$7,"Other Services"))),"Other Services"))</f>
        <v/>
      </c>
    </row>
    <row r="1071" customFormat="false" ht="15" hidden="false" customHeight="false" outlineLevel="0" collapsed="false">
      <c r="J1071" s="41" t="str">
        <f aca="false">IF(D1071="","",IFERROR(IF(ISNUMBER(SEARCH(Assumptions!$C$5,D1071)),Assumptions!$D$5,IF(ISNUMBER(SEARCH(Assumptions!$C$6,D1071)),Assumptions!$D$6,IF(ISNUMBER(SEARCH(Assumptions!$C$7,D1071)),Assumptions!$D$7,"Other Services"))),"Other Services"))</f>
        <v/>
      </c>
    </row>
    <row r="1072" customFormat="false" ht="15" hidden="false" customHeight="false" outlineLevel="0" collapsed="false">
      <c r="J1072" s="41" t="str">
        <f aca="false">IF(D1072="","",IFERROR(IF(ISNUMBER(SEARCH(Assumptions!$C$5,D1072)),Assumptions!$D$5,IF(ISNUMBER(SEARCH(Assumptions!$C$6,D1072)),Assumptions!$D$6,IF(ISNUMBER(SEARCH(Assumptions!$C$7,D1072)),Assumptions!$D$7,"Other Services"))),"Other Services"))</f>
        <v/>
      </c>
    </row>
    <row r="1073" customFormat="false" ht="15" hidden="false" customHeight="false" outlineLevel="0" collapsed="false">
      <c r="J1073" s="41" t="str">
        <f aca="false">IF(D1073="","",IFERROR(IF(ISNUMBER(SEARCH(Assumptions!$C$5,D1073)),Assumptions!$D$5,IF(ISNUMBER(SEARCH(Assumptions!$C$6,D1073)),Assumptions!$D$6,IF(ISNUMBER(SEARCH(Assumptions!$C$7,D1073)),Assumptions!$D$7,"Other Services"))),"Other Services"))</f>
        <v/>
      </c>
    </row>
    <row r="1074" customFormat="false" ht="15" hidden="false" customHeight="false" outlineLevel="0" collapsed="false">
      <c r="J1074" s="41" t="str">
        <f aca="false">IF(D1074="","",IFERROR(IF(ISNUMBER(SEARCH(Assumptions!$C$5,D1074)),Assumptions!$D$5,IF(ISNUMBER(SEARCH(Assumptions!$C$6,D1074)),Assumptions!$D$6,IF(ISNUMBER(SEARCH(Assumptions!$C$7,D1074)),Assumptions!$D$7,"Other Services"))),"Other Services"))</f>
        <v/>
      </c>
    </row>
    <row r="1075" customFormat="false" ht="15" hidden="false" customHeight="false" outlineLevel="0" collapsed="false">
      <c r="J1075" s="41" t="str">
        <f aca="false">IF(D1075="","",IFERROR(IF(ISNUMBER(SEARCH(Assumptions!$C$5,D1075)),Assumptions!$D$5,IF(ISNUMBER(SEARCH(Assumptions!$C$6,D1075)),Assumptions!$D$6,IF(ISNUMBER(SEARCH(Assumptions!$C$7,D1075)),Assumptions!$D$7,"Other Services"))),"Other Services"))</f>
        <v/>
      </c>
    </row>
    <row r="1076" customFormat="false" ht="15" hidden="false" customHeight="false" outlineLevel="0" collapsed="false">
      <c r="J1076" s="41" t="str">
        <f aca="false">IF(D1076="","",IFERROR(IF(ISNUMBER(SEARCH(Assumptions!$C$5,D1076)),Assumptions!$D$5,IF(ISNUMBER(SEARCH(Assumptions!$C$6,D1076)),Assumptions!$D$6,IF(ISNUMBER(SEARCH(Assumptions!$C$7,D1076)),Assumptions!$D$7,"Other Services"))),"Other Services"))</f>
        <v/>
      </c>
    </row>
    <row r="1077" customFormat="false" ht="15" hidden="false" customHeight="false" outlineLevel="0" collapsed="false">
      <c r="J1077" s="41" t="str">
        <f aca="false">IF(D1077="","",IFERROR(IF(ISNUMBER(SEARCH(Assumptions!$C$5,D1077)),Assumptions!$D$5,IF(ISNUMBER(SEARCH(Assumptions!$C$6,D1077)),Assumptions!$D$6,IF(ISNUMBER(SEARCH(Assumptions!$C$7,D1077)),Assumptions!$D$7,"Other Services"))),"Other Services"))</f>
        <v/>
      </c>
    </row>
    <row r="1078" customFormat="false" ht="15" hidden="false" customHeight="false" outlineLevel="0" collapsed="false">
      <c r="J1078" s="41" t="str">
        <f aca="false">IF(D1078="","",IFERROR(IF(ISNUMBER(SEARCH(Assumptions!$C$5,D1078)),Assumptions!$D$5,IF(ISNUMBER(SEARCH(Assumptions!$C$6,D1078)),Assumptions!$D$6,IF(ISNUMBER(SEARCH(Assumptions!$C$7,D1078)),Assumptions!$D$7,"Other Services"))),"Other Services"))</f>
        <v/>
      </c>
    </row>
    <row r="1079" customFormat="false" ht="15" hidden="false" customHeight="false" outlineLevel="0" collapsed="false">
      <c r="J1079" s="41" t="str">
        <f aca="false">IF(D1079="","",IFERROR(IF(ISNUMBER(SEARCH(Assumptions!$C$5,D1079)),Assumptions!$D$5,IF(ISNUMBER(SEARCH(Assumptions!$C$6,D1079)),Assumptions!$D$6,IF(ISNUMBER(SEARCH(Assumptions!$C$7,D1079)),Assumptions!$D$7,"Other Services"))),"Other Services"))</f>
        <v/>
      </c>
    </row>
    <row r="1080" customFormat="false" ht="15" hidden="false" customHeight="false" outlineLevel="0" collapsed="false">
      <c r="J1080" s="41" t="str">
        <f aca="false">IF(D1080="","",IFERROR(IF(ISNUMBER(SEARCH(Assumptions!$C$5,D1080)),Assumptions!$D$5,IF(ISNUMBER(SEARCH(Assumptions!$C$6,D1080)),Assumptions!$D$6,IF(ISNUMBER(SEARCH(Assumptions!$C$7,D1080)),Assumptions!$D$7,"Other Services"))),"Other Services"))</f>
        <v/>
      </c>
    </row>
    <row r="1081" customFormat="false" ht="15" hidden="false" customHeight="false" outlineLevel="0" collapsed="false">
      <c r="J1081" s="41" t="str">
        <f aca="false">IF(D1081="","",IFERROR(IF(ISNUMBER(SEARCH(Assumptions!$C$5,D1081)),Assumptions!$D$5,IF(ISNUMBER(SEARCH(Assumptions!$C$6,D1081)),Assumptions!$D$6,IF(ISNUMBER(SEARCH(Assumptions!$C$7,D1081)),Assumptions!$D$7,"Other Services"))),"Other Services"))</f>
        <v/>
      </c>
    </row>
    <row r="1082" customFormat="false" ht="15" hidden="false" customHeight="false" outlineLevel="0" collapsed="false">
      <c r="J1082" s="41" t="str">
        <f aca="false">IF(D1082="","",IFERROR(IF(ISNUMBER(SEARCH(Assumptions!$C$5,D1082)),Assumptions!$D$5,IF(ISNUMBER(SEARCH(Assumptions!$C$6,D1082)),Assumptions!$D$6,IF(ISNUMBER(SEARCH(Assumptions!$C$7,D1082)),Assumptions!$D$7,"Other Services"))),"Other Services"))</f>
        <v/>
      </c>
    </row>
    <row r="1083" customFormat="false" ht="15" hidden="false" customHeight="false" outlineLevel="0" collapsed="false">
      <c r="J1083" s="41" t="str">
        <f aca="false">IF(D1083="","",IFERROR(IF(ISNUMBER(SEARCH(Assumptions!$C$5,D1083)),Assumptions!$D$5,IF(ISNUMBER(SEARCH(Assumptions!$C$6,D1083)),Assumptions!$D$6,IF(ISNUMBER(SEARCH(Assumptions!$C$7,D1083)),Assumptions!$D$7,"Other Services"))),"Other Services"))</f>
        <v/>
      </c>
    </row>
    <row r="1084" customFormat="false" ht="15" hidden="false" customHeight="false" outlineLevel="0" collapsed="false">
      <c r="J1084" s="41" t="str">
        <f aca="false">IF(D1084="","",IFERROR(IF(ISNUMBER(SEARCH(Assumptions!$C$5,D1084)),Assumptions!$D$5,IF(ISNUMBER(SEARCH(Assumptions!$C$6,D1084)),Assumptions!$D$6,IF(ISNUMBER(SEARCH(Assumptions!$C$7,D1084)),Assumptions!$D$7,"Other Services"))),"Other Services"))</f>
        <v/>
      </c>
    </row>
    <row r="1085" customFormat="false" ht="15" hidden="false" customHeight="false" outlineLevel="0" collapsed="false">
      <c r="J1085" s="41" t="str">
        <f aca="false">IF(D1085="","",IFERROR(IF(ISNUMBER(SEARCH(Assumptions!$C$5,D1085)),Assumptions!$D$5,IF(ISNUMBER(SEARCH(Assumptions!$C$6,D1085)),Assumptions!$D$6,IF(ISNUMBER(SEARCH(Assumptions!$C$7,D1085)),Assumptions!$D$7,"Other Services"))),"Other Services"))</f>
        <v/>
      </c>
    </row>
    <row r="1086" customFormat="false" ht="15" hidden="false" customHeight="false" outlineLevel="0" collapsed="false">
      <c r="J1086" s="41" t="str">
        <f aca="false">IF(D1086="","",IFERROR(IF(ISNUMBER(SEARCH(Assumptions!$C$5,D1086)),Assumptions!$D$5,IF(ISNUMBER(SEARCH(Assumptions!$C$6,D1086)),Assumptions!$D$6,IF(ISNUMBER(SEARCH(Assumptions!$C$7,D1086)),Assumptions!$D$7,"Other Services"))),"Other Services"))</f>
        <v/>
      </c>
    </row>
    <row r="1087" customFormat="false" ht="15" hidden="false" customHeight="false" outlineLevel="0" collapsed="false">
      <c r="J1087" s="41" t="str">
        <f aca="false">IF(D1087="","",IFERROR(IF(ISNUMBER(SEARCH(Assumptions!$C$5,D1087)),Assumptions!$D$5,IF(ISNUMBER(SEARCH(Assumptions!$C$6,D1087)),Assumptions!$D$6,IF(ISNUMBER(SEARCH(Assumptions!$C$7,D1087)),Assumptions!$D$7,"Other Services"))),"Other Services"))</f>
        <v/>
      </c>
    </row>
    <row r="1088" customFormat="false" ht="15" hidden="false" customHeight="false" outlineLevel="0" collapsed="false">
      <c r="J1088" s="41" t="str">
        <f aca="false">IF(D1088="","",IFERROR(IF(ISNUMBER(SEARCH(Assumptions!$C$5,D1088)),Assumptions!$D$5,IF(ISNUMBER(SEARCH(Assumptions!$C$6,D1088)),Assumptions!$D$6,IF(ISNUMBER(SEARCH(Assumptions!$C$7,D1088)),Assumptions!$D$7,"Other Services"))),"Other Services"))</f>
        <v/>
      </c>
    </row>
    <row r="1089" customFormat="false" ht="15" hidden="false" customHeight="false" outlineLevel="0" collapsed="false">
      <c r="J1089" s="41" t="str">
        <f aca="false">IF(D1089="","",IFERROR(IF(ISNUMBER(SEARCH(Assumptions!$C$5,D1089)),Assumptions!$D$5,IF(ISNUMBER(SEARCH(Assumptions!$C$6,D1089)),Assumptions!$D$6,IF(ISNUMBER(SEARCH(Assumptions!$C$7,D1089)),Assumptions!$D$7,"Other Services"))),"Other Services"))</f>
        <v/>
      </c>
    </row>
    <row r="1090" customFormat="false" ht="15" hidden="false" customHeight="false" outlineLevel="0" collapsed="false">
      <c r="J1090" s="41" t="str">
        <f aca="false">IF(D1090="","",IFERROR(IF(ISNUMBER(SEARCH(Assumptions!$C$5,D1090)),Assumptions!$D$5,IF(ISNUMBER(SEARCH(Assumptions!$C$6,D1090)),Assumptions!$D$6,IF(ISNUMBER(SEARCH(Assumptions!$C$7,D1090)),Assumptions!$D$7,"Other Services"))),"Other Services"))</f>
        <v/>
      </c>
    </row>
    <row r="1091" customFormat="false" ht="15" hidden="false" customHeight="false" outlineLevel="0" collapsed="false">
      <c r="J1091" s="41" t="str">
        <f aca="false">IF(D1091="","",IFERROR(IF(ISNUMBER(SEARCH(Assumptions!$C$5,D1091)),Assumptions!$D$5,IF(ISNUMBER(SEARCH(Assumptions!$C$6,D1091)),Assumptions!$D$6,IF(ISNUMBER(SEARCH(Assumptions!$C$7,D1091)),Assumptions!$D$7,"Other Services"))),"Other Services"))</f>
        <v/>
      </c>
    </row>
    <row r="1092" customFormat="false" ht="15" hidden="false" customHeight="false" outlineLevel="0" collapsed="false">
      <c r="J1092" s="41" t="str">
        <f aca="false">IF(D1092="","",IFERROR(IF(ISNUMBER(SEARCH(Assumptions!$C$5,D1092)),Assumptions!$D$5,IF(ISNUMBER(SEARCH(Assumptions!$C$6,D1092)),Assumptions!$D$6,IF(ISNUMBER(SEARCH(Assumptions!$C$7,D1092)),Assumptions!$D$7,"Other Services"))),"Other Services"))</f>
        <v/>
      </c>
    </row>
    <row r="1093" customFormat="false" ht="15" hidden="false" customHeight="false" outlineLevel="0" collapsed="false">
      <c r="J1093" s="41" t="str">
        <f aca="false">IF(D1093="","",IFERROR(IF(ISNUMBER(SEARCH(Assumptions!$C$5,D1093)),Assumptions!$D$5,IF(ISNUMBER(SEARCH(Assumptions!$C$6,D1093)),Assumptions!$D$6,IF(ISNUMBER(SEARCH(Assumptions!$C$7,D1093)),Assumptions!$D$7,"Other Services"))),"Other Services"))</f>
        <v/>
      </c>
    </row>
    <row r="1094" customFormat="false" ht="15" hidden="false" customHeight="false" outlineLevel="0" collapsed="false">
      <c r="J1094" s="41" t="str">
        <f aca="false">IF(D1094="","",IFERROR(IF(ISNUMBER(SEARCH(Assumptions!$C$5,D1094)),Assumptions!$D$5,IF(ISNUMBER(SEARCH(Assumptions!$C$6,D1094)),Assumptions!$D$6,IF(ISNUMBER(SEARCH(Assumptions!$C$7,D1094)),Assumptions!$D$7,"Other Services"))),"Other Services"))</f>
        <v/>
      </c>
    </row>
    <row r="1095" customFormat="false" ht="15" hidden="false" customHeight="false" outlineLevel="0" collapsed="false">
      <c r="J1095" s="41" t="str">
        <f aca="false">IF(D1095="","",IFERROR(IF(ISNUMBER(SEARCH(Assumptions!$C$5,D1095)),Assumptions!$D$5,IF(ISNUMBER(SEARCH(Assumptions!$C$6,D1095)),Assumptions!$D$6,IF(ISNUMBER(SEARCH(Assumptions!$C$7,D1095)),Assumptions!$D$7,"Other Services"))),"Other Services"))</f>
        <v/>
      </c>
    </row>
    <row r="1096" customFormat="false" ht="15" hidden="false" customHeight="false" outlineLevel="0" collapsed="false">
      <c r="J1096" s="41" t="str">
        <f aca="false">IF(D1096="","",IFERROR(IF(ISNUMBER(SEARCH(Assumptions!$C$5,D1096)),Assumptions!$D$5,IF(ISNUMBER(SEARCH(Assumptions!$C$6,D1096)),Assumptions!$D$6,IF(ISNUMBER(SEARCH(Assumptions!$C$7,D1096)),Assumptions!$D$7,"Other Services"))),"Other Services"))</f>
        <v/>
      </c>
    </row>
    <row r="1097" customFormat="false" ht="15" hidden="false" customHeight="false" outlineLevel="0" collapsed="false">
      <c r="J1097" s="41" t="str">
        <f aca="false">IF(D1097="","",IFERROR(IF(ISNUMBER(SEARCH(Assumptions!$C$5,D1097)),Assumptions!$D$5,IF(ISNUMBER(SEARCH(Assumptions!$C$6,D1097)),Assumptions!$D$6,IF(ISNUMBER(SEARCH(Assumptions!$C$7,D1097)),Assumptions!$D$7,"Other Services"))),"Other Services"))</f>
        <v/>
      </c>
    </row>
    <row r="1098" customFormat="false" ht="15" hidden="false" customHeight="false" outlineLevel="0" collapsed="false">
      <c r="J1098" s="41" t="str">
        <f aca="false">IF(D1098="","",IFERROR(IF(ISNUMBER(SEARCH(Assumptions!$C$5,D1098)),Assumptions!$D$5,IF(ISNUMBER(SEARCH(Assumptions!$C$6,D1098)),Assumptions!$D$6,IF(ISNUMBER(SEARCH(Assumptions!$C$7,D1098)),Assumptions!$D$7,"Other Services"))),"Other Services"))</f>
        <v/>
      </c>
    </row>
    <row r="1099" customFormat="false" ht="15" hidden="false" customHeight="false" outlineLevel="0" collapsed="false">
      <c r="J1099" s="41" t="str">
        <f aca="false">IF(D1099="","",IFERROR(IF(ISNUMBER(SEARCH(Assumptions!$C$5,D1099)),Assumptions!$D$5,IF(ISNUMBER(SEARCH(Assumptions!$C$6,D1099)),Assumptions!$D$6,IF(ISNUMBER(SEARCH(Assumptions!$C$7,D1099)),Assumptions!$D$7,"Other Services"))),"Other Services"))</f>
        <v/>
      </c>
    </row>
    <row r="1100" customFormat="false" ht="15" hidden="false" customHeight="false" outlineLevel="0" collapsed="false">
      <c r="J1100" s="41" t="str">
        <f aca="false">IF(D1100="","",IFERROR(IF(ISNUMBER(SEARCH(Assumptions!$C$5,D1100)),Assumptions!$D$5,IF(ISNUMBER(SEARCH(Assumptions!$C$6,D1100)),Assumptions!$D$6,IF(ISNUMBER(SEARCH(Assumptions!$C$7,D1100)),Assumptions!$D$7,"Other Services"))),"Other Services"))</f>
        <v/>
      </c>
    </row>
    <row r="1101" customFormat="false" ht="15" hidden="false" customHeight="false" outlineLevel="0" collapsed="false">
      <c r="J1101" s="41" t="str">
        <f aca="false">IF(D1101="","",IFERROR(IF(ISNUMBER(SEARCH(Assumptions!$C$5,D1101)),Assumptions!$D$5,IF(ISNUMBER(SEARCH(Assumptions!$C$6,D1101)),Assumptions!$D$6,IF(ISNUMBER(SEARCH(Assumptions!$C$7,D1101)),Assumptions!$D$7,"Other Services"))),"Other Services"))</f>
        <v/>
      </c>
    </row>
    <row r="1102" customFormat="false" ht="15" hidden="false" customHeight="false" outlineLevel="0" collapsed="false">
      <c r="J1102" s="41" t="str">
        <f aca="false">IF(D1102="","",IFERROR(IF(ISNUMBER(SEARCH(Assumptions!$C$5,D1102)),Assumptions!$D$5,IF(ISNUMBER(SEARCH(Assumptions!$C$6,D1102)),Assumptions!$D$6,IF(ISNUMBER(SEARCH(Assumptions!$C$7,D1102)),Assumptions!$D$7,"Other Services"))),"Other Services"))</f>
        <v/>
      </c>
    </row>
    <row r="1103" customFormat="false" ht="15" hidden="false" customHeight="false" outlineLevel="0" collapsed="false">
      <c r="J1103" s="41" t="str">
        <f aca="false">IF(D1103="","",IFERROR(IF(ISNUMBER(SEARCH(Assumptions!$C$5,D1103)),Assumptions!$D$5,IF(ISNUMBER(SEARCH(Assumptions!$C$6,D1103)),Assumptions!$D$6,IF(ISNUMBER(SEARCH(Assumptions!$C$7,D1103)),Assumptions!$D$7,"Other Services"))),"Other Services"))</f>
        <v/>
      </c>
    </row>
    <row r="1104" customFormat="false" ht="15" hidden="false" customHeight="false" outlineLevel="0" collapsed="false">
      <c r="J1104" s="41" t="str">
        <f aca="false">IF(D1104="","",IFERROR(IF(ISNUMBER(SEARCH(Assumptions!$C$5,D1104)),Assumptions!$D$5,IF(ISNUMBER(SEARCH(Assumptions!$C$6,D1104)),Assumptions!$D$6,IF(ISNUMBER(SEARCH(Assumptions!$C$7,D1104)),Assumptions!$D$7,"Other Services"))),"Other Services"))</f>
        <v/>
      </c>
    </row>
    <row r="1105" customFormat="false" ht="15" hidden="false" customHeight="false" outlineLevel="0" collapsed="false">
      <c r="J1105" s="41" t="str">
        <f aca="false">IF(D1105="","",IFERROR(IF(ISNUMBER(SEARCH(Assumptions!$C$5,D1105)),Assumptions!$D$5,IF(ISNUMBER(SEARCH(Assumptions!$C$6,D1105)),Assumptions!$D$6,IF(ISNUMBER(SEARCH(Assumptions!$C$7,D1105)),Assumptions!$D$7,"Other Services"))),"Other Services"))</f>
        <v/>
      </c>
    </row>
    <row r="1106" customFormat="false" ht="15" hidden="false" customHeight="false" outlineLevel="0" collapsed="false">
      <c r="J1106" s="41" t="str">
        <f aca="false">IF(D1106="","",IFERROR(IF(ISNUMBER(SEARCH(Assumptions!$C$5,D1106)),Assumptions!$D$5,IF(ISNUMBER(SEARCH(Assumptions!$C$6,D1106)),Assumptions!$D$6,IF(ISNUMBER(SEARCH(Assumptions!$C$7,D1106)),Assumptions!$D$7,"Other Services"))),"Other Services"))</f>
        <v/>
      </c>
    </row>
    <row r="1107" customFormat="false" ht="15" hidden="false" customHeight="false" outlineLevel="0" collapsed="false">
      <c r="J1107" s="41" t="str">
        <f aca="false">IF(D1107="","",IFERROR(IF(ISNUMBER(SEARCH(Assumptions!$C$5,D1107)),Assumptions!$D$5,IF(ISNUMBER(SEARCH(Assumptions!$C$6,D1107)),Assumptions!$D$6,IF(ISNUMBER(SEARCH(Assumptions!$C$7,D1107)),Assumptions!$D$7,"Other Services"))),"Other Services"))</f>
        <v/>
      </c>
    </row>
    <row r="1108" customFormat="false" ht="15" hidden="false" customHeight="false" outlineLevel="0" collapsed="false">
      <c r="J1108" s="41" t="str">
        <f aca="false">IF(D1108="","",IFERROR(IF(ISNUMBER(SEARCH(Assumptions!$C$5,D1108)),Assumptions!$D$5,IF(ISNUMBER(SEARCH(Assumptions!$C$6,D1108)),Assumptions!$D$6,IF(ISNUMBER(SEARCH(Assumptions!$C$7,D1108)),Assumptions!$D$7,"Other Services"))),"Other Services"))</f>
        <v/>
      </c>
    </row>
    <row r="1109" customFormat="false" ht="15" hidden="false" customHeight="false" outlineLevel="0" collapsed="false">
      <c r="J1109" s="41" t="str">
        <f aca="false">IF(D1109="","",IFERROR(IF(ISNUMBER(SEARCH(Assumptions!$C$5,D1109)),Assumptions!$D$5,IF(ISNUMBER(SEARCH(Assumptions!$C$6,D1109)),Assumptions!$D$6,IF(ISNUMBER(SEARCH(Assumptions!$C$7,D1109)),Assumptions!$D$7,"Other Services"))),"Other Services"))</f>
        <v/>
      </c>
    </row>
    <row r="1110" customFormat="false" ht="15" hidden="false" customHeight="false" outlineLevel="0" collapsed="false">
      <c r="J1110" s="41" t="str">
        <f aca="false">IF(D1110="","",IFERROR(IF(ISNUMBER(SEARCH(Assumptions!$C$5,D1110)),Assumptions!$D$5,IF(ISNUMBER(SEARCH(Assumptions!$C$6,D1110)),Assumptions!$D$6,IF(ISNUMBER(SEARCH(Assumptions!$C$7,D1110)),Assumptions!$D$7,"Other Services"))),"Other Services"))</f>
        <v/>
      </c>
    </row>
    <row r="1111" customFormat="false" ht="15" hidden="false" customHeight="false" outlineLevel="0" collapsed="false">
      <c r="J1111" s="41" t="str">
        <f aca="false">IF(D1111="","",IFERROR(IF(ISNUMBER(SEARCH(Assumptions!$C$5,D1111)),Assumptions!$D$5,IF(ISNUMBER(SEARCH(Assumptions!$C$6,D1111)),Assumptions!$D$6,IF(ISNUMBER(SEARCH(Assumptions!$C$7,D1111)),Assumptions!$D$7,"Other Services"))),"Other Services"))</f>
        <v/>
      </c>
    </row>
    <row r="1112" customFormat="false" ht="15" hidden="false" customHeight="false" outlineLevel="0" collapsed="false">
      <c r="J1112" s="41" t="str">
        <f aca="false">IF(D1112="","",IFERROR(IF(ISNUMBER(SEARCH(Assumptions!$C$5,D1112)),Assumptions!$D$5,IF(ISNUMBER(SEARCH(Assumptions!$C$6,D1112)),Assumptions!$D$6,IF(ISNUMBER(SEARCH(Assumptions!$C$7,D1112)),Assumptions!$D$7,"Other Services"))),"Other Services"))</f>
        <v/>
      </c>
    </row>
    <row r="1113" customFormat="false" ht="15" hidden="false" customHeight="false" outlineLevel="0" collapsed="false">
      <c r="J1113" s="41" t="str">
        <f aca="false">IF(D1113="","",IFERROR(IF(ISNUMBER(SEARCH(Assumptions!$C$5,D1113)),Assumptions!$D$5,IF(ISNUMBER(SEARCH(Assumptions!$C$6,D1113)),Assumptions!$D$6,IF(ISNUMBER(SEARCH(Assumptions!$C$7,D1113)),Assumptions!$D$7,"Other Services"))),"Other Services"))</f>
        <v/>
      </c>
    </row>
    <row r="1114" customFormat="false" ht="15" hidden="false" customHeight="false" outlineLevel="0" collapsed="false">
      <c r="J1114" s="41" t="str">
        <f aca="false">IF(D1114="","",IFERROR(IF(ISNUMBER(SEARCH(Assumptions!$C$5,D1114)),Assumptions!$D$5,IF(ISNUMBER(SEARCH(Assumptions!$C$6,D1114)),Assumptions!$D$6,IF(ISNUMBER(SEARCH(Assumptions!$C$7,D1114)),Assumptions!$D$7,"Other Services"))),"Other Services"))</f>
        <v/>
      </c>
    </row>
    <row r="1115" customFormat="false" ht="15" hidden="false" customHeight="false" outlineLevel="0" collapsed="false">
      <c r="J1115" s="41" t="str">
        <f aca="false">IF(D1115="","",IFERROR(IF(ISNUMBER(SEARCH(Assumptions!$C$5,D1115)),Assumptions!$D$5,IF(ISNUMBER(SEARCH(Assumptions!$C$6,D1115)),Assumptions!$D$6,IF(ISNUMBER(SEARCH(Assumptions!$C$7,D1115)),Assumptions!$D$7,"Other Services"))),"Other Services"))</f>
        <v/>
      </c>
    </row>
    <row r="1116" customFormat="false" ht="15" hidden="false" customHeight="false" outlineLevel="0" collapsed="false">
      <c r="J1116" s="41" t="str">
        <f aca="false">IF(D1116="","",IFERROR(IF(ISNUMBER(SEARCH(Assumptions!$C$5,D1116)),Assumptions!$D$5,IF(ISNUMBER(SEARCH(Assumptions!$C$6,D1116)),Assumptions!$D$6,IF(ISNUMBER(SEARCH(Assumptions!$C$7,D1116)),Assumptions!$D$7,"Other Services"))),"Other Services"))</f>
        <v/>
      </c>
    </row>
    <row r="1117" customFormat="false" ht="15" hidden="false" customHeight="false" outlineLevel="0" collapsed="false">
      <c r="J1117" s="41" t="str">
        <f aca="false">IF(D1117="","",IFERROR(IF(ISNUMBER(SEARCH(Assumptions!$C$5,D1117)),Assumptions!$D$5,IF(ISNUMBER(SEARCH(Assumptions!$C$6,D1117)),Assumptions!$D$6,IF(ISNUMBER(SEARCH(Assumptions!$C$7,D1117)),Assumptions!$D$7,"Other Services"))),"Other Services"))</f>
        <v/>
      </c>
    </row>
    <row r="1118" customFormat="false" ht="15" hidden="false" customHeight="false" outlineLevel="0" collapsed="false">
      <c r="J1118" s="41" t="str">
        <f aca="false">IF(D1118="","",IFERROR(IF(ISNUMBER(SEARCH(Assumptions!$C$5,D1118)),Assumptions!$D$5,IF(ISNUMBER(SEARCH(Assumptions!$C$6,D1118)),Assumptions!$D$6,IF(ISNUMBER(SEARCH(Assumptions!$C$7,D1118)),Assumptions!$D$7,"Other Services"))),"Other Services"))</f>
        <v/>
      </c>
    </row>
    <row r="1119" customFormat="false" ht="15" hidden="false" customHeight="false" outlineLevel="0" collapsed="false">
      <c r="J1119" s="41" t="str">
        <f aca="false">IF(D1119="","",IFERROR(IF(ISNUMBER(SEARCH(Assumptions!$C$5,D1119)),Assumptions!$D$5,IF(ISNUMBER(SEARCH(Assumptions!$C$6,D1119)),Assumptions!$D$6,IF(ISNUMBER(SEARCH(Assumptions!$C$7,D1119)),Assumptions!$D$7,"Other Services"))),"Other Services"))</f>
        <v/>
      </c>
    </row>
    <row r="1120" customFormat="false" ht="15" hidden="false" customHeight="false" outlineLevel="0" collapsed="false">
      <c r="J1120" s="41" t="str">
        <f aca="false">IF(D1120="","",IFERROR(IF(ISNUMBER(SEARCH(Assumptions!$C$5,D1120)),Assumptions!$D$5,IF(ISNUMBER(SEARCH(Assumptions!$C$6,D1120)),Assumptions!$D$6,IF(ISNUMBER(SEARCH(Assumptions!$C$7,D1120)),Assumptions!$D$7,"Other Services"))),"Other Services"))</f>
        <v/>
      </c>
    </row>
    <row r="1121" customFormat="false" ht="15" hidden="false" customHeight="false" outlineLevel="0" collapsed="false">
      <c r="J1121" s="41" t="str">
        <f aca="false">IF(D1121="","",IFERROR(IF(ISNUMBER(SEARCH(Assumptions!$C$5,D1121)),Assumptions!$D$5,IF(ISNUMBER(SEARCH(Assumptions!$C$6,D1121)),Assumptions!$D$6,IF(ISNUMBER(SEARCH(Assumptions!$C$7,D1121)),Assumptions!$D$7,"Other Services"))),"Other Services"))</f>
        <v/>
      </c>
    </row>
    <row r="1122" customFormat="false" ht="15" hidden="false" customHeight="false" outlineLevel="0" collapsed="false">
      <c r="J1122" s="41" t="str">
        <f aca="false">IF(D1122="","",IFERROR(IF(ISNUMBER(SEARCH(Assumptions!$C$5,D1122)),Assumptions!$D$5,IF(ISNUMBER(SEARCH(Assumptions!$C$6,D1122)),Assumptions!$D$6,IF(ISNUMBER(SEARCH(Assumptions!$C$7,D1122)),Assumptions!$D$7,"Other Services"))),"Other Services"))</f>
        <v/>
      </c>
    </row>
    <row r="1123" customFormat="false" ht="15" hidden="false" customHeight="false" outlineLevel="0" collapsed="false">
      <c r="J1123" s="41" t="str">
        <f aca="false">IF(D1123="","",IFERROR(IF(ISNUMBER(SEARCH(Assumptions!$C$5,D1123)),Assumptions!$D$5,IF(ISNUMBER(SEARCH(Assumptions!$C$6,D1123)),Assumptions!$D$6,IF(ISNUMBER(SEARCH(Assumptions!$C$7,D1123)),Assumptions!$D$7,"Other Services"))),"Other Services"))</f>
        <v/>
      </c>
    </row>
    <row r="1124" customFormat="false" ht="15" hidden="false" customHeight="false" outlineLevel="0" collapsed="false">
      <c r="J1124" s="41" t="str">
        <f aca="false">IF(D1124="","",IFERROR(IF(ISNUMBER(SEARCH(Assumptions!$C$5,D1124)),Assumptions!$D$5,IF(ISNUMBER(SEARCH(Assumptions!$C$6,D1124)),Assumptions!$D$6,IF(ISNUMBER(SEARCH(Assumptions!$C$7,D1124)),Assumptions!$D$7,"Other Services"))),"Other Services"))</f>
        <v/>
      </c>
    </row>
    <row r="1125" customFormat="false" ht="15" hidden="false" customHeight="false" outlineLevel="0" collapsed="false">
      <c r="J1125" s="41" t="str">
        <f aca="false">IF(D1125="","",IFERROR(IF(ISNUMBER(SEARCH(Assumptions!$C$5,D1125)),Assumptions!$D$5,IF(ISNUMBER(SEARCH(Assumptions!$C$6,D1125)),Assumptions!$D$6,IF(ISNUMBER(SEARCH(Assumptions!$C$7,D1125)),Assumptions!$D$7,"Other Services"))),"Other Services"))</f>
        <v/>
      </c>
    </row>
    <row r="1126" customFormat="false" ht="15" hidden="false" customHeight="false" outlineLevel="0" collapsed="false">
      <c r="J1126" s="41" t="str">
        <f aca="false">IF(D1126="","",IFERROR(IF(ISNUMBER(SEARCH(Assumptions!$C$5,D1126)),Assumptions!$D$5,IF(ISNUMBER(SEARCH(Assumptions!$C$6,D1126)),Assumptions!$D$6,IF(ISNUMBER(SEARCH(Assumptions!$C$7,D1126)),Assumptions!$D$7,"Other Services"))),"Other Services"))</f>
        <v/>
      </c>
    </row>
    <row r="1127" customFormat="false" ht="15" hidden="false" customHeight="false" outlineLevel="0" collapsed="false">
      <c r="J1127" s="41" t="str">
        <f aca="false">IF(D1127="","",IFERROR(IF(ISNUMBER(SEARCH(Assumptions!$C$5,D1127)),Assumptions!$D$5,IF(ISNUMBER(SEARCH(Assumptions!$C$6,D1127)),Assumptions!$D$6,IF(ISNUMBER(SEARCH(Assumptions!$C$7,D1127)),Assumptions!$D$7,"Other Services"))),"Other Services"))</f>
        <v/>
      </c>
    </row>
    <row r="1128" customFormat="false" ht="15" hidden="false" customHeight="false" outlineLevel="0" collapsed="false">
      <c r="J1128" s="41" t="str">
        <f aca="false">IF(D1128="","",IFERROR(IF(ISNUMBER(SEARCH(Assumptions!$C$5,D1128)),Assumptions!$D$5,IF(ISNUMBER(SEARCH(Assumptions!$C$6,D1128)),Assumptions!$D$6,IF(ISNUMBER(SEARCH(Assumptions!$C$7,D1128)),Assumptions!$D$7,"Other Services"))),"Other Services"))</f>
        <v/>
      </c>
    </row>
    <row r="1129" customFormat="false" ht="15" hidden="false" customHeight="false" outlineLevel="0" collapsed="false">
      <c r="J1129" s="41" t="str">
        <f aca="false">IF(D1129="","",IFERROR(IF(ISNUMBER(SEARCH(Assumptions!$C$5,D1129)),Assumptions!$D$5,IF(ISNUMBER(SEARCH(Assumptions!$C$6,D1129)),Assumptions!$D$6,IF(ISNUMBER(SEARCH(Assumptions!$C$7,D1129)),Assumptions!$D$7,"Other Services"))),"Other Services"))</f>
        <v/>
      </c>
    </row>
    <row r="1130" customFormat="false" ht="15" hidden="false" customHeight="false" outlineLevel="0" collapsed="false">
      <c r="J1130" s="41" t="str">
        <f aca="false">IF(D1130="","",IFERROR(IF(ISNUMBER(SEARCH(Assumptions!$C$5,D1130)),Assumptions!$D$5,IF(ISNUMBER(SEARCH(Assumptions!$C$6,D1130)),Assumptions!$D$6,IF(ISNUMBER(SEARCH(Assumptions!$C$7,D1130)),Assumptions!$D$7,"Other Services"))),"Other Services"))</f>
        <v/>
      </c>
    </row>
    <row r="1131" customFormat="false" ht="15" hidden="false" customHeight="false" outlineLevel="0" collapsed="false">
      <c r="J1131" s="41" t="str">
        <f aca="false">IF(D1131="","",IFERROR(IF(ISNUMBER(SEARCH(Assumptions!$C$5,D1131)),Assumptions!$D$5,IF(ISNUMBER(SEARCH(Assumptions!$C$6,D1131)),Assumptions!$D$6,IF(ISNUMBER(SEARCH(Assumptions!$C$7,D1131)),Assumptions!$D$7,"Other Services"))),"Other Services"))</f>
        <v/>
      </c>
    </row>
    <row r="1132" customFormat="false" ht="15" hidden="false" customHeight="false" outlineLevel="0" collapsed="false">
      <c r="J1132" s="41" t="str">
        <f aca="false">IF(D1132="","",IFERROR(IF(ISNUMBER(SEARCH(Assumptions!$C$5,D1132)),Assumptions!$D$5,IF(ISNUMBER(SEARCH(Assumptions!$C$6,D1132)),Assumptions!$D$6,IF(ISNUMBER(SEARCH(Assumptions!$C$7,D1132)),Assumptions!$D$7,"Other Services"))),"Other Services"))</f>
        <v/>
      </c>
    </row>
    <row r="1133" customFormat="false" ht="15" hidden="false" customHeight="false" outlineLevel="0" collapsed="false">
      <c r="J1133" s="41" t="str">
        <f aca="false">IF(D1133="","",IFERROR(IF(ISNUMBER(SEARCH(Assumptions!$C$5,D1133)),Assumptions!$D$5,IF(ISNUMBER(SEARCH(Assumptions!$C$6,D1133)),Assumptions!$D$6,IF(ISNUMBER(SEARCH(Assumptions!$C$7,D1133)),Assumptions!$D$7,"Other Services"))),"Other Services"))</f>
        <v/>
      </c>
    </row>
    <row r="1134" customFormat="false" ht="15" hidden="false" customHeight="false" outlineLevel="0" collapsed="false">
      <c r="J1134" s="41" t="str">
        <f aca="false">IF(D1134="","",IFERROR(IF(ISNUMBER(SEARCH(Assumptions!$C$5,D1134)),Assumptions!$D$5,IF(ISNUMBER(SEARCH(Assumptions!$C$6,D1134)),Assumptions!$D$6,IF(ISNUMBER(SEARCH(Assumptions!$C$7,D1134)),Assumptions!$D$7,"Other Services"))),"Other Services"))</f>
        <v/>
      </c>
    </row>
    <row r="1135" customFormat="false" ht="15" hidden="false" customHeight="false" outlineLevel="0" collapsed="false">
      <c r="J1135" s="41" t="str">
        <f aca="false">IF(D1135="","",IFERROR(IF(ISNUMBER(SEARCH(Assumptions!$C$5,D1135)),Assumptions!$D$5,IF(ISNUMBER(SEARCH(Assumptions!$C$6,D1135)),Assumptions!$D$6,IF(ISNUMBER(SEARCH(Assumptions!$C$7,D1135)),Assumptions!$D$7,"Other Services"))),"Other Services"))</f>
        <v/>
      </c>
    </row>
    <row r="1136" customFormat="false" ht="15" hidden="false" customHeight="false" outlineLevel="0" collapsed="false">
      <c r="J1136" s="41" t="str">
        <f aca="false">IF(D1136="","",IFERROR(IF(ISNUMBER(SEARCH(Assumptions!$C$5,D1136)),Assumptions!$D$5,IF(ISNUMBER(SEARCH(Assumptions!$C$6,D1136)),Assumptions!$D$6,IF(ISNUMBER(SEARCH(Assumptions!$C$7,D1136)),Assumptions!$D$7,"Other Services"))),"Other Services"))</f>
        <v/>
      </c>
    </row>
    <row r="1137" customFormat="false" ht="15" hidden="false" customHeight="false" outlineLevel="0" collapsed="false">
      <c r="J1137" s="41" t="str">
        <f aca="false">IF(D1137="","",IFERROR(IF(ISNUMBER(SEARCH(Assumptions!$C$5,D1137)),Assumptions!$D$5,IF(ISNUMBER(SEARCH(Assumptions!$C$6,D1137)),Assumptions!$D$6,IF(ISNUMBER(SEARCH(Assumptions!$C$7,D1137)),Assumptions!$D$7,"Other Services"))),"Other Services"))</f>
        <v/>
      </c>
    </row>
    <row r="1138" customFormat="false" ht="15" hidden="false" customHeight="false" outlineLevel="0" collapsed="false">
      <c r="J1138" s="41" t="str">
        <f aca="false">IF(D1138="","",IFERROR(IF(ISNUMBER(SEARCH(Assumptions!$C$5,D1138)),Assumptions!$D$5,IF(ISNUMBER(SEARCH(Assumptions!$C$6,D1138)),Assumptions!$D$6,IF(ISNUMBER(SEARCH(Assumptions!$C$7,D1138)),Assumptions!$D$7,"Other Services"))),"Other Services"))</f>
        <v/>
      </c>
    </row>
    <row r="1139" customFormat="false" ht="15" hidden="false" customHeight="false" outlineLevel="0" collapsed="false">
      <c r="J1139" s="41" t="str">
        <f aca="false">IF(D1139="","",IFERROR(IF(ISNUMBER(SEARCH(Assumptions!$C$5,D1139)),Assumptions!$D$5,IF(ISNUMBER(SEARCH(Assumptions!$C$6,D1139)),Assumptions!$D$6,IF(ISNUMBER(SEARCH(Assumptions!$C$7,D1139)),Assumptions!$D$7,"Other Services"))),"Other Services"))</f>
        <v/>
      </c>
    </row>
    <row r="1140" customFormat="false" ht="15" hidden="false" customHeight="false" outlineLevel="0" collapsed="false">
      <c r="J1140" s="41" t="str">
        <f aca="false">IF(D1140="","",IFERROR(IF(ISNUMBER(SEARCH(Assumptions!$C$5,D1140)),Assumptions!$D$5,IF(ISNUMBER(SEARCH(Assumptions!$C$6,D1140)),Assumptions!$D$6,IF(ISNUMBER(SEARCH(Assumptions!$C$7,D1140)),Assumptions!$D$7,"Other Services"))),"Other Services"))</f>
        <v/>
      </c>
    </row>
    <row r="1141" customFormat="false" ht="15" hidden="false" customHeight="false" outlineLevel="0" collapsed="false">
      <c r="J1141" s="41" t="str">
        <f aca="false">IF(D1141="","",IFERROR(IF(ISNUMBER(SEARCH(Assumptions!$C$5,D1141)),Assumptions!$D$5,IF(ISNUMBER(SEARCH(Assumptions!$C$6,D1141)),Assumptions!$D$6,IF(ISNUMBER(SEARCH(Assumptions!$C$7,D1141)),Assumptions!$D$7,"Other Services"))),"Other Services"))</f>
        <v/>
      </c>
    </row>
    <row r="1142" customFormat="false" ht="15" hidden="false" customHeight="false" outlineLevel="0" collapsed="false">
      <c r="J1142" s="41" t="str">
        <f aca="false">IF(D1142="","",IFERROR(IF(ISNUMBER(SEARCH(Assumptions!$C$5,D1142)),Assumptions!$D$5,IF(ISNUMBER(SEARCH(Assumptions!$C$6,D1142)),Assumptions!$D$6,IF(ISNUMBER(SEARCH(Assumptions!$C$7,D1142)),Assumptions!$D$7,"Other Services"))),"Other Services"))</f>
        <v/>
      </c>
    </row>
    <row r="1143" customFormat="false" ht="15" hidden="false" customHeight="false" outlineLevel="0" collapsed="false">
      <c r="J1143" s="41" t="str">
        <f aca="false">IF(D1143="","",IFERROR(IF(ISNUMBER(SEARCH(Assumptions!$C$5,D1143)),Assumptions!$D$5,IF(ISNUMBER(SEARCH(Assumptions!$C$6,D1143)),Assumptions!$D$6,IF(ISNUMBER(SEARCH(Assumptions!$C$7,D1143)),Assumptions!$D$7,"Other Services"))),"Other Services"))</f>
        <v/>
      </c>
    </row>
    <row r="1144" customFormat="false" ht="15" hidden="false" customHeight="false" outlineLevel="0" collapsed="false">
      <c r="J1144" s="41" t="str">
        <f aca="false">IF(D1144="","",IFERROR(IF(ISNUMBER(SEARCH(Assumptions!$C$5,D1144)),Assumptions!$D$5,IF(ISNUMBER(SEARCH(Assumptions!$C$6,D1144)),Assumptions!$D$6,IF(ISNUMBER(SEARCH(Assumptions!$C$7,D1144)),Assumptions!$D$7,"Other Services"))),"Other Services"))</f>
        <v/>
      </c>
    </row>
    <row r="1145" customFormat="false" ht="15" hidden="false" customHeight="false" outlineLevel="0" collapsed="false">
      <c r="J1145" s="41" t="str">
        <f aca="false">IF(D1145="","",IFERROR(IF(ISNUMBER(SEARCH(Assumptions!$C$5,D1145)),Assumptions!$D$5,IF(ISNUMBER(SEARCH(Assumptions!$C$6,D1145)),Assumptions!$D$6,IF(ISNUMBER(SEARCH(Assumptions!$C$7,D1145)),Assumptions!$D$7,"Other Services"))),"Other Services"))</f>
        <v/>
      </c>
    </row>
    <row r="1146" customFormat="false" ht="15" hidden="false" customHeight="false" outlineLevel="0" collapsed="false">
      <c r="J1146" s="41" t="str">
        <f aca="false">IF(D1146="","",IFERROR(IF(ISNUMBER(SEARCH(Assumptions!$C$5,D1146)),Assumptions!$D$5,IF(ISNUMBER(SEARCH(Assumptions!$C$6,D1146)),Assumptions!$D$6,IF(ISNUMBER(SEARCH(Assumptions!$C$7,D1146)),Assumptions!$D$7,"Other Services"))),"Other Services"))</f>
        <v/>
      </c>
    </row>
    <row r="1147" customFormat="false" ht="15" hidden="false" customHeight="false" outlineLevel="0" collapsed="false">
      <c r="J1147" s="41" t="str">
        <f aca="false">IF(D1147="","",IFERROR(IF(ISNUMBER(SEARCH(Assumptions!$C$5,D1147)),Assumptions!$D$5,IF(ISNUMBER(SEARCH(Assumptions!$C$6,D1147)),Assumptions!$D$6,IF(ISNUMBER(SEARCH(Assumptions!$C$7,D1147)),Assumptions!$D$7,"Other Services"))),"Other Services"))</f>
        <v/>
      </c>
    </row>
    <row r="1148" customFormat="false" ht="15" hidden="false" customHeight="false" outlineLevel="0" collapsed="false">
      <c r="J1148" s="41" t="str">
        <f aca="false">IF(D1148="","",IFERROR(IF(ISNUMBER(SEARCH(Assumptions!$C$5,D1148)),Assumptions!$D$5,IF(ISNUMBER(SEARCH(Assumptions!$C$6,D1148)),Assumptions!$D$6,IF(ISNUMBER(SEARCH(Assumptions!$C$7,D1148)),Assumptions!$D$7,"Other Services"))),"Other Services"))</f>
        <v/>
      </c>
    </row>
    <row r="1149" customFormat="false" ht="15" hidden="false" customHeight="false" outlineLevel="0" collapsed="false">
      <c r="J1149" s="41" t="str">
        <f aca="false">IF(D1149="","",IFERROR(IF(ISNUMBER(SEARCH(Assumptions!$C$5,D1149)),Assumptions!$D$5,IF(ISNUMBER(SEARCH(Assumptions!$C$6,D1149)),Assumptions!$D$6,IF(ISNUMBER(SEARCH(Assumptions!$C$7,D1149)),Assumptions!$D$7,"Other Services"))),"Other Services"))</f>
        <v/>
      </c>
    </row>
    <row r="1150" customFormat="false" ht="15" hidden="false" customHeight="false" outlineLevel="0" collapsed="false">
      <c r="J1150" s="41" t="str">
        <f aca="false">IF(D1150="","",IFERROR(IF(ISNUMBER(SEARCH(Assumptions!$C$5,D1150)),Assumptions!$D$5,IF(ISNUMBER(SEARCH(Assumptions!$C$6,D1150)),Assumptions!$D$6,IF(ISNUMBER(SEARCH(Assumptions!$C$7,D1150)),Assumptions!$D$7,"Other Services"))),"Other Services"))</f>
        <v/>
      </c>
    </row>
    <row r="1151" customFormat="false" ht="15" hidden="false" customHeight="false" outlineLevel="0" collapsed="false">
      <c r="J1151" s="41" t="str">
        <f aca="false">IF(D1151="","",IFERROR(IF(ISNUMBER(SEARCH(Assumptions!$C$5,D1151)),Assumptions!$D$5,IF(ISNUMBER(SEARCH(Assumptions!$C$6,D1151)),Assumptions!$D$6,IF(ISNUMBER(SEARCH(Assumptions!$C$7,D1151)),Assumptions!$D$7,"Other Services"))),"Other Services"))</f>
        <v/>
      </c>
    </row>
    <row r="1152" customFormat="false" ht="15" hidden="false" customHeight="false" outlineLevel="0" collapsed="false">
      <c r="J1152" s="41" t="str">
        <f aca="false">IF(D1152="","",IFERROR(IF(ISNUMBER(SEARCH(Assumptions!$C$5,D1152)),Assumptions!$D$5,IF(ISNUMBER(SEARCH(Assumptions!$C$6,D1152)),Assumptions!$D$6,IF(ISNUMBER(SEARCH(Assumptions!$C$7,D1152)),Assumptions!$D$7,"Other Services"))),"Other Services"))</f>
        <v/>
      </c>
    </row>
    <row r="1153" customFormat="false" ht="15" hidden="false" customHeight="false" outlineLevel="0" collapsed="false">
      <c r="J1153" s="41" t="str">
        <f aca="false">IF(D1153="","",IFERROR(IF(ISNUMBER(SEARCH(Assumptions!$C$5,D1153)),Assumptions!$D$5,IF(ISNUMBER(SEARCH(Assumptions!$C$6,D1153)),Assumptions!$D$6,IF(ISNUMBER(SEARCH(Assumptions!$C$7,D1153)),Assumptions!$D$7,"Other Services"))),"Other Services"))</f>
        <v/>
      </c>
    </row>
    <row r="1154" customFormat="false" ht="15" hidden="false" customHeight="false" outlineLevel="0" collapsed="false">
      <c r="J1154" s="41" t="str">
        <f aca="false">IF(D1154="","",IFERROR(IF(ISNUMBER(SEARCH(Assumptions!$C$5,D1154)),Assumptions!$D$5,IF(ISNUMBER(SEARCH(Assumptions!$C$6,D1154)),Assumptions!$D$6,IF(ISNUMBER(SEARCH(Assumptions!$C$7,D1154)),Assumptions!$D$7,"Other Services"))),"Other Services"))</f>
        <v/>
      </c>
    </row>
    <row r="1155" customFormat="false" ht="15" hidden="false" customHeight="false" outlineLevel="0" collapsed="false">
      <c r="J1155" s="41" t="str">
        <f aca="false">IF(D1155="","",IFERROR(IF(ISNUMBER(SEARCH(Assumptions!$C$5,D1155)),Assumptions!$D$5,IF(ISNUMBER(SEARCH(Assumptions!$C$6,D1155)),Assumptions!$D$6,IF(ISNUMBER(SEARCH(Assumptions!$C$7,D1155)),Assumptions!$D$7,"Other Services"))),"Other Services"))</f>
        <v/>
      </c>
    </row>
    <row r="1156" customFormat="false" ht="15" hidden="false" customHeight="false" outlineLevel="0" collapsed="false">
      <c r="J1156" s="41" t="str">
        <f aca="false">IF(D1156="","",IFERROR(IF(ISNUMBER(SEARCH(Assumptions!$C$5,D1156)),Assumptions!$D$5,IF(ISNUMBER(SEARCH(Assumptions!$C$6,D1156)),Assumptions!$D$6,IF(ISNUMBER(SEARCH(Assumptions!$C$7,D1156)),Assumptions!$D$7,"Other Services"))),"Other Services"))</f>
        <v/>
      </c>
    </row>
    <row r="1157" customFormat="false" ht="15" hidden="false" customHeight="false" outlineLevel="0" collapsed="false">
      <c r="J1157" s="41" t="str">
        <f aca="false">IF(D1157="","",IFERROR(IF(ISNUMBER(SEARCH(Assumptions!$C$5,D1157)),Assumptions!$D$5,IF(ISNUMBER(SEARCH(Assumptions!$C$6,D1157)),Assumptions!$D$6,IF(ISNUMBER(SEARCH(Assumptions!$C$7,D1157)),Assumptions!$D$7,"Other Services"))),"Other Services"))</f>
        <v/>
      </c>
    </row>
    <row r="1158" customFormat="false" ht="15" hidden="false" customHeight="false" outlineLevel="0" collapsed="false">
      <c r="J1158" s="41" t="str">
        <f aca="false">IF(D1158="","",IFERROR(IF(ISNUMBER(SEARCH(Assumptions!$C$5,D1158)),Assumptions!$D$5,IF(ISNUMBER(SEARCH(Assumptions!$C$6,D1158)),Assumptions!$D$6,IF(ISNUMBER(SEARCH(Assumptions!$C$7,D1158)),Assumptions!$D$7,"Other Services"))),"Other Services"))</f>
        <v/>
      </c>
    </row>
    <row r="1159" customFormat="false" ht="15" hidden="false" customHeight="false" outlineLevel="0" collapsed="false">
      <c r="J1159" s="41" t="str">
        <f aca="false">IF(D1159="","",IFERROR(IF(ISNUMBER(SEARCH(Assumptions!$C$5,D1159)),Assumptions!$D$5,IF(ISNUMBER(SEARCH(Assumptions!$C$6,D1159)),Assumptions!$D$6,IF(ISNUMBER(SEARCH(Assumptions!$C$7,D1159)),Assumptions!$D$7,"Other Services"))),"Other Services"))</f>
        <v/>
      </c>
    </row>
    <row r="1160" customFormat="false" ht="15" hidden="false" customHeight="false" outlineLevel="0" collapsed="false">
      <c r="J1160" s="41" t="str">
        <f aca="false">IF(D1160="","",IFERROR(IF(ISNUMBER(SEARCH(Assumptions!$C$5,D1160)),Assumptions!$D$5,IF(ISNUMBER(SEARCH(Assumptions!$C$6,D1160)),Assumptions!$D$6,IF(ISNUMBER(SEARCH(Assumptions!$C$7,D1160)),Assumptions!$D$7,"Other Services"))),"Other Services"))</f>
        <v/>
      </c>
    </row>
    <row r="1161" customFormat="false" ht="15" hidden="false" customHeight="false" outlineLevel="0" collapsed="false">
      <c r="J1161" s="41" t="str">
        <f aca="false">IF(D1161="","",IFERROR(IF(ISNUMBER(SEARCH(Assumptions!$C$5,D1161)),Assumptions!$D$5,IF(ISNUMBER(SEARCH(Assumptions!$C$6,D1161)),Assumptions!$D$6,IF(ISNUMBER(SEARCH(Assumptions!$C$7,D1161)),Assumptions!$D$7,"Other Services"))),"Other Services"))</f>
        <v/>
      </c>
    </row>
    <row r="1162" customFormat="false" ht="15" hidden="false" customHeight="false" outlineLevel="0" collapsed="false">
      <c r="J1162" s="41" t="str">
        <f aca="false">IF(D1162="","",IFERROR(IF(ISNUMBER(SEARCH(Assumptions!$C$5,D1162)),Assumptions!$D$5,IF(ISNUMBER(SEARCH(Assumptions!$C$6,D1162)),Assumptions!$D$6,IF(ISNUMBER(SEARCH(Assumptions!$C$7,D1162)),Assumptions!$D$7,"Other Services"))),"Other Services"))</f>
        <v/>
      </c>
    </row>
    <row r="1163" customFormat="false" ht="15" hidden="false" customHeight="false" outlineLevel="0" collapsed="false">
      <c r="J1163" s="41" t="str">
        <f aca="false">IF(D1163="","",IFERROR(IF(ISNUMBER(SEARCH(Assumptions!$C$5,D1163)),Assumptions!$D$5,IF(ISNUMBER(SEARCH(Assumptions!$C$6,D1163)),Assumptions!$D$6,IF(ISNUMBER(SEARCH(Assumptions!$C$7,D1163)),Assumptions!$D$7,"Other Services"))),"Other Services"))</f>
        <v/>
      </c>
    </row>
    <row r="1164" customFormat="false" ht="15" hidden="false" customHeight="false" outlineLevel="0" collapsed="false">
      <c r="J1164" s="41" t="str">
        <f aca="false">IF(D1164="","",IFERROR(IF(ISNUMBER(SEARCH(Assumptions!$C$5,D1164)),Assumptions!$D$5,IF(ISNUMBER(SEARCH(Assumptions!$C$6,D1164)),Assumptions!$D$6,IF(ISNUMBER(SEARCH(Assumptions!$C$7,D1164)),Assumptions!$D$7,"Other Services"))),"Other Services"))</f>
        <v/>
      </c>
    </row>
    <row r="1165" customFormat="false" ht="15" hidden="false" customHeight="false" outlineLevel="0" collapsed="false">
      <c r="J1165" s="41" t="str">
        <f aca="false">IF(D1165="","",IFERROR(IF(ISNUMBER(SEARCH(Assumptions!$C$5,D1165)),Assumptions!$D$5,IF(ISNUMBER(SEARCH(Assumptions!$C$6,D1165)),Assumptions!$D$6,IF(ISNUMBER(SEARCH(Assumptions!$C$7,D1165)),Assumptions!$D$7,"Other Services"))),"Other Services"))</f>
        <v/>
      </c>
    </row>
    <row r="1166" customFormat="false" ht="15" hidden="false" customHeight="false" outlineLevel="0" collapsed="false">
      <c r="J1166" s="41" t="str">
        <f aca="false">IF(D1166="","",IFERROR(IF(ISNUMBER(SEARCH(Assumptions!$C$5,D1166)),Assumptions!$D$5,IF(ISNUMBER(SEARCH(Assumptions!$C$6,D1166)),Assumptions!$D$6,IF(ISNUMBER(SEARCH(Assumptions!$C$7,D1166)),Assumptions!$D$7,"Other Services"))),"Other Services"))</f>
        <v/>
      </c>
    </row>
    <row r="1167" customFormat="false" ht="15" hidden="false" customHeight="false" outlineLevel="0" collapsed="false">
      <c r="J1167" s="41" t="str">
        <f aca="false">IF(D1167="","",IFERROR(IF(ISNUMBER(SEARCH(Assumptions!$C$5,D1167)),Assumptions!$D$5,IF(ISNUMBER(SEARCH(Assumptions!$C$6,D1167)),Assumptions!$D$6,IF(ISNUMBER(SEARCH(Assumptions!$C$7,D1167)),Assumptions!$D$7,"Other Services"))),"Other Services"))</f>
        <v/>
      </c>
    </row>
    <row r="1168" customFormat="false" ht="15" hidden="false" customHeight="false" outlineLevel="0" collapsed="false">
      <c r="J1168" s="41" t="str">
        <f aca="false">IF(D1168="","",IFERROR(IF(ISNUMBER(SEARCH(Assumptions!$C$5,D1168)),Assumptions!$D$5,IF(ISNUMBER(SEARCH(Assumptions!$C$6,D1168)),Assumptions!$D$6,IF(ISNUMBER(SEARCH(Assumptions!$C$7,D1168)),Assumptions!$D$7,"Other Services"))),"Other Services"))</f>
        <v/>
      </c>
    </row>
    <row r="1169" customFormat="false" ht="15" hidden="false" customHeight="false" outlineLevel="0" collapsed="false">
      <c r="J1169" s="41" t="str">
        <f aca="false">IF(D1169="","",IFERROR(IF(ISNUMBER(SEARCH(Assumptions!$C$5,D1169)),Assumptions!$D$5,IF(ISNUMBER(SEARCH(Assumptions!$C$6,D1169)),Assumptions!$D$6,IF(ISNUMBER(SEARCH(Assumptions!$C$7,D1169)),Assumptions!$D$7,"Other Services"))),"Other Services"))</f>
        <v/>
      </c>
    </row>
    <row r="1170" customFormat="false" ht="15" hidden="false" customHeight="false" outlineLevel="0" collapsed="false">
      <c r="J1170" s="41" t="str">
        <f aca="false">IF(D1170="","",IFERROR(IF(ISNUMBER(SEARCH(Assumptions!$C$5,D1170)),Assumptions!$D$5,IF(ISNUMBER(SEARCH(Assumptions!$C$6,D1170)),Assumptions!$D$6,IF(ISNUMBER(SEARCH(Assumptions!$C$7,D1170)),Assumptions!$D$7,"Other Services"))),"Other Services"))</f>
        <v/>
      </c>
    </row>
    <row r="1171" customFormat="false" ht="15" hidden="false" customHeight="false" outlineLevel="0" collapsed="false">
      <c r="J1171" s="41" t="str">
        <f aca="false">IF(D1171="","",IFERROR(IF(ISNUMBER(SEARCH(Assumptions!$C$5,D1171)),Assumptions!$D$5,IF(ISNUMBER(SEARCH(Assumptions!$C$6,D1171)),Assumptions!$D$6,IF(ISNUMBER(SEARCH(Assumptions!$C$7,D1171)),Assumptions!$D$7,"Other Services"))),"Other Services"))</f>
        <v/>
      </c>
    </row>
    <row r="1172" customFormat="false" ht="15" hidden="false" customHeight="false" outlineLevel="0" collapsed="false">
      <c r="J1172" s="41" t="str">
        <f aca="false">IF(D1172="","",IFERROR(IF(ISNUMBER(SEARCH(Assumptions!$C$5,D1172)),Assumptions!$D$5,IF(ISNUMBER(SEARCH(Assumptions!$C$6,D1172)),Assumptions!$D$6,IF(ISNUMBER(SEARCH(Assumptions!$C$7,D1172)),Assumptions!$D$7,"Other Services"))),"Other Services"))</f>
        <v/>
      </c>
    </row>
    <row r="1173" customFormat="false" ht="15" hidden="false" customHeight="false" outlineLevel="0" collapsed="false">
      <c r="J1173" s="41" t="str">
        <f aca="false">IF(D1173="","",IFERROR(IF(ISNUMBER(SEARCH(Assumptions!$C$5,D1173)),Assumptions!$D$5,IF(ISNUMBER(SEARCH(Assumptions!$C$6,D1173)),Assumptions!$D$6,IF(ISNUMBER(SEARCH(Assumptions!$C$7,D1173)),Assumptions!$D$7,"Other Services"))),"Other Services"))</f>
        <v/>
      </c>
    </row>
    <row r="1174" customFormat="false" ht="15" hidden="false" customHeight="false" outlineLevel="0" collapsed="false">
      <c r="J1174" s="41" t="str">
        <f aca="false">IF(D1174="","",IFERROR(IF(ISNUMBER(SEARCH(Assumptions!$C$5,D1174)),Assumptions!$D$5,IF(ISNUMBER(SEARCH(Assumptions!$C$6,D1174)),Assumptions!$D$6,IF(ISNUMBER(SEARCH(Assumptions!$C$7,D1174)),Assumptions!$D$7,"Other Services"))),"Other Services"))</f>
        <v/>
      </c>
    </row>
    <row r="1175" customFormat="false" ht="15" hidden="false" customHeight="false" outlineLevel="0" collapsed="false">
      <c r="J1175" s="41" t="str">
        <f aca="false">IF(D1175="","",IFERROR(IF(ISNUMBER(SEARCH(Assumptions!$C$5,D1175)),Assumptions!$D$5,IF(ISNUMBER(SEARCH(Assumptions!$C$6,D1175)),Assumptions!$D$6,IF(ISNUMBER(SEARCH(Assumptions!$C$7,D1175)),Assumptions!$D$7,"Other Services"))),"Other Services"))</f>
        <v/>
      </c>
    </row>
    <row r="1176" customFormat="false" ht="15" hidden="false" customHeight="false" outlineLevel="0" collapsed="false">
      <c r="J1176" s="41" t="str">
        <f aca="false">IF(D1176="","",IFERROR(IF(ISNUMBER(SEARCH(Assumptions!$C$5,D1176)),Assumptions!$D$5,IF(ISNUMBER(SEARCH(Assumptions!$C$6,D1176)),Assumptions!$D$6,IF(ISNUMBER(SEARCH(Assumptions!$C$7,D1176)),Assumptions!$D$7,"Other Services"))),"Other Services"))</f>
        <v/>
      </c>
    </row>
    <row r="1177" customFormat="false" ht="15" hidden="false" customHeight="false" outlineLevel="0" collapsed="false">
      <c r="J1177" s="41" t="str">
        <f aca="false">IF(D1177="","",IFERROR(IF(ISNUMBER(SEARCH(Assumptions!$C$5,D1177)),Assumptions!$D$5,IF(ISNUMBER(SEARCH(Assumptions!$C$6,D1177)),Assumptions!$D$6,IF(ISNUMBER(SEARCH(Assumptions!$C$7,D1177)),Assumptions!$D$7,"Other Services"))),"Other Services"))</f>
        <v/>
      </c>
    </row>
    <row r="1178" customFormat="false" ht="15" hidden="false" customHeight="false" outlineLevel="0" collapsed="false">
      <c r="J1178" s="41" t="str">
        <f aca="false">IF(D1178="","",IFERROR(IF(ISNUMBER(SEARCH(Assumptions!$C$5,D1178)),Assumptions!$D$5,IF(ISNUMBER(SEARCH(Assumptions!$C$6,D1178)),Assumptions!$D$6,IF(ISNUMBER(SEARCH(Assumptions!$C$7,D1178)),Assumptions!$D$7,"Other Services"))),"Other Services"))</f>
        <v/>
      </c>
    </row>
    <row r="1179" customFormat="false" ht="15" hidden="false" customHeight="false" outlineLevel="0" collapsed="false">
      <c r="J1179" s="41" t="str">
        <f aca="false">IF(D1179="","",IFERROR(IF(ISNUMBER(SEARCH(Assumptions!$C$5,D1179)),Assumptions!$D$5,IF(ISNUMBER(SEARCH(Assumptions!$C$6,D1179)),Assumptions!$D$6,IF(ISNUMBER(SEARCH(Assumptions!$C$7,D1179)),Assumptions!$D$7,"Other Services"))),"Other Services"))</f>
        <v/>
      </c>
    </row>
    <row r="1180" customFormat="false" ht="15" hidden="false" customHeight="false" outlineLevel="0" collapsed="false">
      <c r="J1180" s="41" t="str">
        <f aca="false">IF(D1180="","",IFERROR(IF(ISNUMBER(SEARCH(Assumptions!$C$5,D1180)),Assumptions!$D$5,IF(ISNUMBER(SEARCH(Assumptions!$C$6,D1180)),Assumptions!$D$6,IF(ISNUMBER(SEARCH(Assumptions!$C$7,D1180)),Assumptions!$D$7,"Other Services"))),"Other Services"))</f>
        <v/>
      </c>
    </row>
    <row r="1181" customFormat="false" ht="15" hidden="false" customHeight="false" outlineLevel="0" collapsed="false">
      <c r="J1181" s="41" t="str">
        <f aca="false">IF(D1181="","",IFERROR(IF(ISNUMBER(SEARCH(Assumptions!$C$5,D1181)),Assumptions!$D$5,IF(ISNUMBER(SEARCH(Assumptions!$C$6,D1181)),Assumptions!$D$6,IF(ISNUMBER(SEARCH(Assumptions!$C$7,D1181)),Assumptions!$D$7,"Other Services"))),"Other Services"))</f>
        <v/>
      </c>
    </row>
    <row r="1182" customFormat="false" ht="15" hidden="false" customHeight="false" outlineLevel="0" collapsed="false">
      <c r="J1182" s="41" t="str">
        <f aca="false">IF(D1182="","",IFERROR(IF(ISNUMBER(SEARCH(Assumptions!$C$5,D1182)),Assumptions!$D$5,IF(ISNUMBER(SEARCH(Assumptions!$C$6,D1182)),Assumptions!$D$6,IF(ISNUMBER(SEARCH(Assumptions!$C$7,D1182)),Assumptions!$D$7,"Other Services"))),"Other Services"))</f>
        <v/>
      </c>
    </row>
    <row r="1183" customFormat="false" ht="15" hidden="false" customHeight="false" outlineLevel="0" collapsed="false">
      <c r="J1183" s="41" t="str">
        <f aca="false">IF(D1183="","",IFERROR(IF(ISNUMBER(SEARCH(Assumptions!$C$5,D1183)),Assumptions!$D$5,IF(ISNUMBER(SEARCH(Assumptions!$C$6,D1183)),Assumptions!$D$6,IF(ISNUMBER(SEARCH(Assumptions!$C$7,D1183)),Assumptions!$D$7,"Other Services"))),"Other Services"))</f>
        <v/>
      </c>
    </row>
    <row r="1184" customFormat="false" ht="15" hidden="false" customHeight="false" outlineLevel="0" collapsed="false">
      <c r="J1184" s="41" t="str">
        <f aca="false">IF(D1184="","",IFERROR(IF(ISNUMBER(SEARCH(Assumptions!$C$5,D1184)),Assumptions!$D$5,IF(ISNUMBER(SEARCH(Assumptions!$C$6,D1184)),Assumptions!$D$6,IF(ISNUMBER(SEARCH(Assumptions!$C$7,D1184)),Assumptions!$D$7,"Other Services"))),"Other Services"))</f>
        <v/>
      </c>
    </row>
    <row r="1185" customFormat="false" ht="15" hidden="false" customHeight="false" outlineLevel="0" collapsed="false">
      <c r="J1185" s="41" t="str">
        <f aca="false">IF(D1185="","",IFERROR(IF(ISNUMBER(SEARCH(Assumptions!$C$5,D1185)),Assumptions!$D$5,IF(ISNUMBER(SEARCH(Assumptions!$C$6,D1185)),Assumptions!$D$6,IF(ISNUMBER(SEARCH(Assumptions!$C$7,D1185)),Assumptions!$D$7,"Other Services"))),"Other Services"))</f>
        <v/>
      </c>
    </row>
    <row r="1186" customFormat="false" ht="15" hidden="false" customHeight="false" outlineLevel="0" collapsed="false">
      <c r="J1186" s="41" t="str">
        <f aca="false">IF(D1186="","",IFERROR(IF(ISNUMBER(SEARCH(Assumptions!$C$5,D1186)),Assumptions!$D$5,IF(ISNUMBER(SEARCH(Assumptions!$C$6,D1186)),Assumptions!$D$6,IF(ISNUMBER(SEARCH(Assumptions!$C$7,D1186)),Assumptions!$D$7,"Other Services"))),"Other Services"))</f>
        <v/>
      </c>
    </row>
    <row r="1187" customFormat="false" ht="15" hidden="false" customHeight="false" outlineLevel="0" collapsed="false">
      <c r="J1187" s="41" t="str">
        <f aca="false">IF(D1187="","",IFERROR(IF(ISNUMBER(SEARCH(Assumptions!$C$5,D1187)),Assumptions!$D$5,IF(ISNUMBER(SEARCH(Assumptions!$C$6,D1187)),Assumptions!$D$6,IF(ISNUMBER(SEARCH(Assumptions!$C$7,D1187)),Assumptions!$D$7,"Other Services"))),"Other Services"))</f>
        <v/>
      </c>
    </row>
    <row r="1188" customFormat="false" ht="15" hidden="false" customHeight="false" outlineLevel="0" collapsed="false">
      <c r="J1188" s="41" t="str">
        <f aca="false">IF(D1188="","",IFERROR(IF(ISNUMBER(SEARCH(Assumptions!$C$5,D1188)),Assumptions!$D$5,IF(ISNUMBER(SEARCH(Assumptions!$C$6,D1188)),Assumptions!$D$6,IF(ISNUMBER(SEARCH(Assumptions!$C$7,D1188)),Assumptions!$D$7,"Other Services"))),"Other Services"))</f>
        <v/>
      </c>
    </row>
    <row r="1189" customFormat="false" ht="15" hidden="false" customHeight="false" outlineLevel="0" collapsed="false">
      <c r="J1189" s="41" t="str">
        <f aca="false">IF(D1189="","",IFERROR(IF(ISNUMBER(SEARCH(Assumptions!$C$5,D1189)),Assumptions!$D$5,IF(ISNUMBER(SEARCH(Assumptions!$C$6,D1189)),Assumptions!$D$6,IF(ISNUMBER(SEARCH(Assumptions!$C$7,D1189)),Assumptions!$D$7,"Other Services"))),"Other Services"))</f>
        <v/>
      </c>
    </row>
    <row r="1190" customFormat="false" ht="15" hidden="false" customHeight="false" outlineLevel="0" collapsed="false">
      <c r="J1190" s="41" t="str">
        <f aca="false">IF(D1190="","",IFERROR(IF(ISNUMBER(SEARCH(Assumptions!$C$5,D1190)),Assumptions!$D$5,IF(ISNUMBER(SEARCH(Assumptions!$C$6,D1190)),Assumptions!$D$6,IF(ISNUMBER(SEARCH(Assumptions!$C$7,D1190)),Assumptions!$D$7,"Other Services"))),"Other Services"))</f>
        <v/>
      </c>
    </row>
    <row r="1191" customFormat="false" ht="15" hidden="false" customHeight="false" outlineLevel="0" collapsed="false">
      <c r="J1191" s="41" t="str">
        <f aca="false">IF(D1191="","",IFERROR(IF(ISNUMBER(SEARCH(Assumptions!$C$5,D1191)),Assumptions!$D$5,IF(ISNUMBER(SEARCH(Assumptions!$C$6,D1191)),Assumptions!$D$6,IF(ISNUMBER(SEARCH(Assumptions!$C$7,D1191)),Assumptions!$D$7,"Other Services"))),"Other Services"))</f>
        <v/>
      </c>
    </row>
    <row r="1192" customFormat="false" ht="15" hidden="false" customHeight="false" outlineLevel="0" collapsed="false">
      <c r="J1192" s="41" t="str">
        <f aca="false">IF(D1192="","",IFERROR(IF(ISNUMBER(SEARCH(Assumptions!$C$5,D1192)),Assumptions!$D$5,IF(ISNUMBER(SEARCH(Assumptions!$C$6,D1192)),Assumptions!$D$6,IF(ISNUMBER(SEARCH(Assumptions!$C$7,D1192)),Assumptions!$D$7,"Other Services"))),"Other Services"))</f>
        <v/>
      </c>
    </row>
    <row r="1193" customFormat="false" ht="15" hidden="false" customHeight="false" outlineLevel="0" collapsed="false">
      <c r="J1193" s="41" t="str">
        <f aca="false">IF(D1193="","",IFERROR(IF(ISNUMBER(SEARCH(Assumptions!$C$5,D1193)),Assumptions!$D$5,IF(ISNUMBER(SEARCH(Assumptions!$C$6,D1193)),Assumptions!$D$6,IF(ISNUMBER(SEARCH(Assumptions!$C$7,D1193)),Assumptions!$D$7,"Other Services"))),"Other Services"))</f>
        <v/>
      </c>
    </row>
    <row r="1194" customFormat="false" ht="15" hidden="false" customHeight="false" outlineLevel="0" collapsed="false">
      <c r="J1194" s="41" t="str">
        <f aca="false">IF(D1194="","",IFERROR(IF(ISNUMBER(SEARCH(Assumptions!$C$5,D1194)),Assumptions!$D$5,IF(ISNUMBER(SEARCH(Assumptions!$C$6,D1194)),Assumptions!$D$6,IF(ISNUMBER(SEARCH(Assumptions!$C$7,D1194)),Assumptions!$D$7,"Other Services"))),"Other Services"))</f>
        <v/>
      </c>
    </row>
    <row r="1195" customFormat="false" ht="15" hidden="false" customHeight="false" outlineLevel="0" collapsed="false">
      <c r="J1195" s="41" t="str">
        <f aca="false">IF(D1195="","",IFERROR(IF(ISNUMBER(SEARCH(Assumptions!$C$5,D1195)),Assumptions!$D$5,IF(ISNUMBER(SEARCH(Assumptions!$C$6,D1195)),Assumptions!$D$6,IF(ISNUMBER(SEARCH(Assumptions!$C$7,D1195)),Assumptions!$D$7,"Other Services"))),"Other Services"))</f>
        <v/>
      </c>
    </row>
    <row r="1196" customFormat="false" ht="15" hidden="false" customHeight="false" outlineLevel="0" collapsed="false">
      <c r="J1196" s="41" t="str">
        <f aca="false">IF(D1196="","",IFERROR(IF(ISNUMBER(SEARCH(Assumptions!$C$5,D1196)),Assumptions!$D$5,IF(ISNUMBER(SEARCH(Assumptions!$C$6,D1196)),Assumptions!$D$6,IF(ISNUMBER(SEARCH(Assumptions!$C$7,D1196)),Assumptions!$D$7,"Other Services"))),"Other Services"))</f>
        <v/>
      </c>
    </row>
    <row r="1197" customFormat="false" ht="15" hidden="false" customHeight="false" outlineLevel="0" collapsed="false">
      <c r="J1197" s="41" t="str">
        <f aca="false">IF(D1197="","",IFERROR(IF(ISNUMBER(SEARCH(Assumptions!$C$5,D1197)),Assumptions!$D$5,IF(ISNUMBER(SEARCH(Assumptions!$C$6,D1197)),Assumptions!$D$6,IF(ISNUMBER(SEARCH(Assumptions!$C$7,D1197)),Assumptions!$D$7,"Other Services"))),"Other Services"))</f>
        <v/>
      </c>
    </row>
    <row r="1198" customFormat="false" ht="15" hidden="false" customHeight="false" outlineLevel="0" collapsed="false">
      <c r="J1198" s="41" t="str">
        <f aca="false">IF(D1198="","",IFERROR(IF(ISNUMBER(SEARCH(Assumptions!$C$5,D1198)),Assumptions!$D$5,IF(ISNUMBER(SEARCH(Assumptions!$C$6,D1198)),Assumptions!$D$6,IF(ISNUMBER(SEARCH(Assumptions!$C$7,D1198)),Assumptions!$D$7,"Other Services"))),"Other Services"))</f>
        <v/>
      </c>
    </row>
    <row r="1199" customFormat="false" ht="15" hidden="false" customHeight="false" outlineLevel="0" collapsed="false">
      <c r="J1199" s="41" t="str">
        <f aca="false">IF(D1199="","",IFERROR(IF(ISNUMBER(SEARCH(Assumptions!$C$5,D1199)),Assumptions!$D$5,IF(ISNUMBER(SEARCH(Assumptions!$C$6,D1199)),Assumptions!$D$6,IF(ISNUMBER(SEARCH(Assumptions!$C$7,D1199)),Assumptions!$D$7,"Other Services"))),"Other Services"))</f>
        <v/>
      </c>
    </row>
    <row r="1200" customFormat="false" ht="15" hidden="false" customHeight="false" outlineLevel="0" collapsed="false">
      <c r="J1200" s="41" t="str">
        <f aca="false">IF(D1200="","",IFERROR(IF(ISNUMBER(SEARCH(Assumptions!$C$5,D1200)),Assumptions!$D$5,IF(ISNUMBER(SEARCH(Assumptions!$C$6,D1200)),Assumptions!$D$6,IF(ISNUMBER(SEARCH(Assumptions!$C$7,D1200)),Assumptions!$D$7,"Other Services"))),"Other Services"))</f>
        <v/>
      </c>
    </row>
    <row r="1201" customFormat="false" ht="15" hidden="false" customHeight="false" outlineLevel="0" collapsed="false">
      <c r="J1201" s="41" t="str">
        <f aca="false">IF(D1201="","",IFERROR(IF(ISNUMBER(SEARCH(Assumptions!$C$5,D1201)),Assumptions!$D$5,IF(ISNUMBER(SEARCH(Assumptions!$C$6,D1201)),Assumptions!$D$6,IF(ISNUMBER(SEARCH(Assumptions!$C$7,D1201)),Assumptions!$D$7,"Other Services"))),"Other Services"))</f>
        <v/>
      </c>
    </row>
    <row r="1202" customFormat="false" ht="15" hidden="false" customHeight="false" outlineLevel="0" collapsed="false">
      <c r="J1202" s="41" t="str">
        <f aca="false">IF(D1202="","",IFERROR(IF(ISNUMBER(SEARCH(Assumptions!$C$5,D1202)),Assumptions!$D$5,IF(ISNUMBER(SEARCH(Assumptions!$C$6,D1202)),Assumptions!$D$6,IF(ISNUMBER(SEARCH(Assumptions!$C$7,D1202)),Assumptions!$D$7,"Other Services"))),"Other Services"))</f>
        <v/>
      </c>
    </row>
    <row r="1203" customFormat="false" ht="15" hidden="false" customHeight="false" outlineLevel="0" collapsed="false">
      <c r="J1203" s="41" t="str">
        <f aca="false">IF(D1203="","",IFERROR(IF(ISNUMBER(SEARCH(Assumptions!$C$5,D1203)),Assumptions!$D$5,IF(ISNUMBER(SEARCH(Assumptions!$C$6,D1203)),Assumptions!$D$6,IF(ISNUMBER(SEARCH(Assumptions!$C$7,D1203)),Assumptions!$D$7,"Other Services"))),"Other Services"))</f>
        <v/>
      </c>
    </row>
    <row r="1204" customFormat="false" ht="15" hidden="false" customHeight="false" outlineLevel="0" collapsed="false">
      <c r="J1204" s="41" t="str">
        <f aca="false">IF(D1204="","",IFERROR(IF(ISNUMBER(SEARCH(Assumptions!$C$5,D1204)),Assumptions!$D$5,IF(ISNUMBER(SEARCH(Assumptions!$C$6,D1204)),Assumptions!$D$6,IF(ISNUMBER(SEARCH(Assumptions!$C$7,D1204)),Assumptions!$D$7,"Other Services"))),"Other Services"))</f>
        <v/>
      </c>
    </row>
    <row r="1205" customFormat="false" ht="15" hidden="false" customHeight="false" outlineLevel="0" collapsed="false">
      <c r="J1205" s="41" t="str">
        <f aca="false">IF(D1205="","",IFERROR(IF(ISNUMBER(SEARCH(Assumptions!$C$5,D1205)),Assumptions!$D$5,IF(ISNUMBER(SEARCH(Assumptions!$C$6,D1205)),Assumptions!$D$6,IF(ISNUMBER(SEARCH(Assumptions!$C$7,D1205)),Assumptions!$D$7,"Other Services"))),"Other Services"))</f>
        <v/>
      </c>
    </row>
    <row r="1206" customFormat="false" ht="15" hidden="false" customHeight="false" outlineLevel="0" collapsed="false">
      <c r="J1206" s="41" t="str">
        <f aca="false">IF(D1206="","",IFERROR(IF(ISNUMBER(SEARCH(Assumptions!$C$5,D1206)),Assumptions!$D$5,IF(ISNUMBER(SEARCH(Assumptions!$C$6,D1206)),Assumptions!$D$6,IF(ISNUMBER(SEARCH(Assumptions!$C$7,D1206)),Assumptions!$D$7,"Other Services"))),"Other Services"))</f>
        <v/>
      </c>
    </row>
    <row r="1207" customFormat="false" ht="15" hidden="false" customHeight="false" outlineLevel="0" collapsed="false">
      <c r="J1207" s="41" t="str">
        <f aca="false">IF(D1207="","",IFERROR(IF(ISNUMBER(SEARCH(Assumptions!$C$5,D1207)),Assumptions!$D$5,IF(ISNUMBER(SEARCH(Assumptions!$C$6,D1207)),Assumptions!$D$6,IF(ISNUMBER(SEARCH(Assumptions!$C$7,D1207)),Assumptions!$D$7,"Other Services"))),"Other Services"))</f>
        <v/>
      </c>
    </row>
    <row r="1208" customFormat="false" ht="15" hidden="false" customHeight="false" outlineLevel="0" collapsed="false">
      <c r="J1208" s="41" t="str">
        <f aca="false">IF(D1208="","",IFERROR(IF(ISNUMBER(SEARCH(Assumptions!$C$5,D1208)),Assumptions!$D$5,IF(ISNUMBER(SEARCH(Assumptions!$C$6,D1208)),Assumptions!$D$6,IF(ISNUMBER(SEARCH(Assumptions!$C$7,D1208)),Assumptions!$D$7,"Other Services"))),"Other Services"))</f>
        <v/>
      </c>
    </row>
    <row r="1209" customFormat="false" ht="15" hidden="false" customHeight="false" outlineLevel="0" collapsed="false">
      <c r="J1209" s="41" t="str">
        <f aca="false">IF(D1209="","",IFERROR(IF(ISNUMBER(SEARCH(Assumptions!$C$5,D1209)),Assumptions!$D$5,IF(ISNUMBER(SEARCH(Assumptions!$C$6,D1209)),Assumptions!$D$6,IF(ISNUMBER(SEARCH(Assumptions!$C$7,D1209)),Assumptions!$D$7,"Other Services"))),"Other Services"))</f>
        <v/>
      </c>
    </row>
    <row r="1210" customFormat="false" ht="15" hidden="false" customHeight="false" outlineLevel="0" collapsed="false">
      <c r="J1210" s="41" t="str">
        <f aca="false">IF(D1210="","",IFERROR(IF(ISNUMBER(SEARCH(Assumptions!$C$5,D1210)),Assumptions!$D$5,IF(ISNUMBER(SEARCH(Assumptions!$C$6,D1210)),Assumptions!$D$6,IF(ISNUMBER(SEARCH(Assumptions!$C$7,D1210)),Assumptions!$D$7,"Other Services"))),"Other Services"))</f>
        <v/>
      </c>
    </row>
    <row r="1211" customFormat="false" ht="15" hidden="false" customHeight="false" outlineLevel="0" collapsed="false">
      <c r="J1211" s="41" t="str">
        <f aca="false">IF(D1211="","",IFERROR(IF(ISNUMBER(SEARCH(Assumptions!$C$5,D1211)),Assumptions!$D$5,IF(ISNUMBER(SEARCH(Assumptions!$C$6,D1211)),Assumptions!$D$6,IF(ISNUMBER(SEARCH(Assumptions!$C$7,D1211)),Assumptions!$D$7,"Other Services"))),"Other Services"))</f>
        <v/>
      </c>
    </row>
    <row r="1212" customFormat="false" ht="15" hidden="false" customHeight="false" outlineLevel="0" collapsed="false">
      <c r="J1212" s="41" t="str">
        <f aca="false">IF(D1212="","",IFERROR(IF(ISNUMBER(SEARCH(Assumptions!$C$5,D1212)),Assumptions!$D$5,IF(ISNUMBER(SEARCH(Assumptions!$C$6,D1212)),Assumptions!$D$6,IF(ISNUMBER(SEARCH(Assumptions!$C$7,D1212)),Assumptions!$D$7,"Other Services"))),"Other Services"))</f>
        <v/>
      </c>
    </row>
    <row r="1213" customFormat="false" ht="15" hidden="false" customHeight="false" outlineLevel="0" collapsed="false">
      <c r="J1213" s="41" t="str">
        <f aca="false">IF(D1213="","",IFERROR(IF(ISNUMBER(SEARCH(Assumptions!$C$5,D1213)),Assumptions!$D$5,IF(ISNUMBER(SEARCH(Assumptions!$C$6,D1213)),Assumptions!$D$6,IF(ISNUMBER(SEARCH(Assumptions!$C$7,D1213)),Assumptions!$D$7,"Other Services"))),"Other Services"))</f>
        <v/>
      </c>
    </row>
    <row r="1214" customFormat="false" ht="15" hidden="false" customHeight="false" outlineLevel="0" collapsed="false">
      <c r="J1214" s="41" t="str">
        <f aca="false">IF(D1214="","",IFERROR(IF(ISNUMBER(SEARCH(Assumptions!$C$5,D1214)),Assumptions!$D$5,IF(ISNUMBER(SEARCH(Assumptions!$C$6,D1214)),Assumptions!$D$6,IF(ISNUMBER(SEARCH(Assumptions!$C$7,D1214)),Assumptions!$D$7,"Other Services"))),"Other Services"))</f>
        <v/>
      </c>
    </row>
    <row r="1215" customFormat="false" ht="15" hidden="false" customHeight="false" outlineLevel="0" collapsed="false">
      <c r="J1215" s="41" t="str">
        <f aca="false">IF(D1215="","",IFERROR(IF(ISNUMBER(SEARCH(Assumptions!$C$5,D1215)),Assumptions!$D$5,IF(ISNUMBER(SEARCH(Assumptions!$C$6,D1215)),Assumptions!$D$6,IF(ISNUMBER(SEARCH(Assumptions!$C$7,D1215)),Assumptions!$D$7,"Other Services"))),"Other Services"))</f>
        <v/>
      </c>
    </row>
    <row r="1216" customFormat="false" ht="15" hidden="false" customHeight="false" outlineLevel="0" collapsed="false">
      <c r="J1216" s="41" t="str">
        <f aca="false">IF(D1216="","",IFERROR(IF(ISNUMBER(SEARCH(Assumptions!$C$5,D1216)),Assumptions!$D$5,IF(ISNUMBER(SEARCH(Assumptions!$C$6,D1216)),Assumptions!$D$6,IF(ISNUMBER(SEARCH(Assumptions!$C$7,D1216)),Assumptions!$D$7,"Other Services"))),"Other Services"))</f>
        <v/>
      </c>
    </row>
    <row r="1217" customFormat="false" ht="15" hidden="false" customHeight="false" outlineLevel="0" collapsed="false">
      <c r="J1217" s="41" t="str">
        <f aca="false">IF(D1217="","",IFERROR(IF(ISNUMBER(SEARCH(Assumptions!$C$5,D1217)),Assumptions!$D$5,IF(ISNUMBER(SEARCH(Assumptions!$C$6,D1217)),Assumptions!$D$6,IF(ISNUMBER(SEARCH(Assumptions!$C$7,D1217)),Assumptions!$D$7,"Other Services"))),"Other Services"))</f>
        <v/>
      </c>
    </row>
    <row r="1218" customFormat="false" ht="15" hidden="false" customHeight="false" outlineLevel="0" collapsed="false">
      <c r="J1218" s="41" t="str">
        <f aca="false">IF(D1218="","",IFERROR(IF(ISNUMBER(SEARCH(Assumptions!$C$5,D1218)),Assumptions!$D$5,IF(ISNUMBER(SEARCH(Assumptions!$C$6,D1218)),Assumptions!$D$6,IF(ISNUMBER(SEARCH(Assumptions!$C$7,D1218)),Assumptions!$D$7,"Other Services"))),"Other Services"))</f>
        <v/>
      </c>
    </row>
    <row r="1219" customFormat="false" ht="15" hidden="false" customHeight="false" outlineLevel="0" collapsed="false">
      <c r="J1219" s="41" t="str">
        <f aca="false">IF(D1219="","",IFERROR(IF(ISNUMBER(SEARCH(Assumptions!$C$5,D1219)),Assumptions!$D$5,IF(ISNUMBER(SEARCH(Assumptions!$C$6,D1219)),Assumptions!$D$6,IF(ISNUMBER(SEARCH(Assumptions!$C$7,D1219)),Assumptions!$D$7,"Other Services"))),"Other Services"))</f>
        <v/>
      </c>
    </row>
    <row r="1220" customFormat="false" ht="15" hidden="false" customHeight="false" outlineLevel="0" collapsed="false">
      <c r="J1220" s="41" t="str">
        <f aca="false">IF(D1220="","",IFERROR(IF(ISNUMBER(SEARCH(Assumptions!$C$5,D1220)),Assumptions!$D$5,IF(ISNUMBER(SEARCH(Assumptions!$C$6,D1220)),Assumptions!$D$6,IF(ISNUMBER(SEARCH(Assumptions!$C$7,D1220)),Assumptions!$D$7,"Other Services"))),"Other Services"))</f>
        <v/>
      </c>
    </row>
    <row r="1221" customFormat="false" ht="15" hidden="false" customHeight="false" outlineLevel="0" collapsed="false">
      <c r="J1221" s="41" t="str">
        <f aca="false">IF(D1221="","",IFERROR(IF(ISNUMBER(SEARCH(Assumptions!$C$5,D1221)),Assumptions!$D$5,IF(ISNUMBER(SEARCH(Assumptions!$C$6,D1221)),Assumptions!$D$6,IF(ISNUMBER(SEARCH(Assumptions!$C$7,D1221)),Assumptions!$D$7,"Other Services"))),"Other Services"))</f>
        <v/>
      </c>
    </row>
    <row r="1222" customFormat="false" ht="15" hidden="false" customHeight="false" outlineLevel="0" collapsed="false">
      <c r="J1222" s="41" t="str">
        <f aca="false">IF(D1222="","",IFERROR(IF(ISNUMBER(SEARCH(Assumptions!$C$5,D1222)),Assumptions!$D$5,IF(ISNUMBER(SEARCH(Assumptions!$C$6,D1222)),Assumptions!$D$6,IF(ISNUMBER(SEARCH(Assumptions!$C$7,D1222)),Assumptions!$D$7,"Other Services"))),"Other Services"))</f>
        <v/>
      </c>
    </row>
    <row r="1223" customFormat="false" ht="15" hidden="false" customHeight="false" outlineLevel="0" collapsed="false">
      <c r="J1223" s="41" t="str">
        <f aca="false">IF(D1223="","",IFERROR(IF(ISNUMBER(SEARCH(Assumptions!$C$5,D1223)),Assumptions!$D$5,IF(ISNUMBER(SEARCH(Assumptions!$C$6,D1223)),Assumptions!$D$6,IF(ISNUMBER(SEARCH(Assumptions!$C$7,D1223)),Assumptions!$D$7,"Other Services"))),"Other Services"))</f>
        <v/>
      </c>
    </row>
    <row r="1224" customFormat="false" ht="15" hidden="false" customHeight="false" outlineLevel="0" collapsed="false">
      <c r="J1224" s="41" t="str">
        <f aca="false">IF(D1224="","",IFERROR(IF(ISNUMBER(SEARCH(Assumptions!$C$5,D1224)),Assumptions!$D$5,IF(ISNUMBER(SEARCH(Assumptions!$C$6,D1224)),Assumptions!$D$6,IF(ISNUMBER(SEARCH(Assumptions!$C$7,D1224)),Assumptions!$D$7,"Other Services"))),"Other Services"))</f>
        <v/>
      </c>
    </row>
    <row r="1225" customFormat="false" ht="15" hidden="false" customHeight="false" outlineLevel="0" collapsed="false">
      <c r="J1225" s="41" t="str">
        <f aca="false">IF(D1225="","",IFERROR(IF(ISNUMBER(SEARCH(Assumptions!$C$5,D1225)),Assumptions!$D$5,IF(ISNUMBER(SEARCH(Assumptions!$C$6,D1225)),Assumptions!$D$6,IF(ISNUMBER(SEARCH(Assumptions!$C$7,D1225)),Assumptions!$D$7,"Other Services"))),"Other Services"))</f>
        <v/>
      </c>
    </row>
    <row r="1226" customFormat="false" ht="15" hidden="false" customHeight="false" outlineLevel="0" collapsed="false">
      <c r="J1226" s="41" t="str">
        <f aca="false">IF(D1226="","",IFERROR(IF(ISNUMBER(SEARCH(Assumptions!$C$5,D1226)),Assumptions!$D$5,IF(ISNUMBER(SEARCH(Assumptions!$C$6,D1226)),Assumptions!$D$6,IF(ISNUMBER(SEARCH(Assumptions!$C$7,D1226)),Assumptions!$D$7,"Other Services"))),"Other Services"))</f>
        <v/>
      </c>
    </row>
    <row r="1227" customFormat="false" ht="15" hidden="false" customHeight="false" outlineLevel="0" collapsed="false">
      <c r="J1227" s="41" t="str">
        <f aca="false">IF(D1227="","",IFERROR(IF(ISNUMBER(SEARCH(Assumptions!$C$5,D1227)),Assumptions!$D$5,IF(ISNUMBER(SEARCH(Assumptions!$C$6,D1227)),Assumptions!$D$6,IF(ISNUMBER(SEARCH(Assumptions!$C$7,D1227)),Assumptions!$D$7,"Other Services"))),"Other Services"))</f>
        <v/>
      </c>
    </row>
    <row r="1228" customFormat="false" ht="15" hidden="false" customHeight="false" outlineLevel="0" collapsed="false">
      <c r="J1228" s="41" t="str">
        <f aca="false">IF(D1228="","",IFERROR(IF(ISNUMBER(SEARCH(Assumptions!$C$5,D1228)),Assumptions!$D$5,IF(ISNUMBER(SEARCH(Assumptions!$C$6,D1228)),Assumptions!$D$6,IF(ISNUMBER(SEARCH(Assumptions!$C$7,D1228)),Assumptions!$D$7,"Other Services"))),"Other Services"))</f>
        <v/>
      </c>
    </row>
    <row r="1229" customFormat="false" ht="15" hidden="false" customHeight="false" outlineLevel="0" collapsed="false">
      <c r="J1229" s="41" t="str">
        <f aca="false">IF(D1229="","",IFERROR(IF(ISNUMBER(SEARCH(Assumptions!$C$5,D1229)),Assumptions!$D$5,IF(ISNUMBER(SEARCH(Assumptions!$C$6,D1229)),Assumptions!$D$6,IF(ISNUMBER(SEARCH(Assumptions!$C$7,D1229)),Assumptions!$D$7,"Other Services"))),"Other Services"))</f>
        <v/>
      </c>
    </row>
    <row r="1230" customFormat="false" ht="15" hidden="false" customHeight="false" outlineLevel="0" collapsed="false">
      <c r="J1230" s="41" t="str">
        <f aca="false">IF(D1230="","",IFERROR(IF(ISNUMBER(SEARCH(Assumptions!$C$5,D1230)),Assumptions!$D$5,IF(ISNUMBER(SEARCH(Assumptions!$C$6,D1230)),Assumptions!$D$6,IF(ISNUMBER(SEARCH(Assumptions!$C$7,D1230)),Assumptions!$D$7,"Other Services"))),"Other Services"))</f>
        <v/>
      </c>
    </row>
    <row r="1231" customFormat="false" ht="15" hidden="false" customHeight="false" outlineLevel="0" collapsed="false">
      <c r="J1231" s="41" t="str">
        <f aca="false">IF(D1231="","",IFERROR(IF(ISNUMBER(SEARCH(Assumptions!$C$5,D1231)),Assumptions!$D$5,IF(ISNUMBER(SEARCH(Assumptions!$C$6,D1231)),Assumptions!$D$6,IF(ISNUMBER(SEARCH(Assumptions!$C$7,D1231)),Assumptions!$D$7,"Other Services"))),"Other Services"))</f>
        <v/>
      </c>
    </row>
    <row r="1232" customFormat="false" ht="15" hidden="false" customHeight="false" outlineLevel="0" collapsed="false">
      <c r="J1232" s="41" t="str">
        <f aca="false">IF(D1232="","",IFERROR(IF(ISNUMBER(SEARCH(Assumptions!$C$5,D1232)),Assumptions!$D$5,IF(ISNUMBER(SEARCH(Assumptions!$C$6,D1232)),Assumptions!$D$6,IF(ISNUMBER(SEARCH(Assumptions!$C$7,D1232)),Assumptions!$D$7,"Other Services"))),"Other Services"))</f>
        <v/>
      </c>
    </row>
    <row r="1233" customFormat="false" ht="15" hidden="false" customHeight="false" outlineLevel="0" collapsed="false">
      <c r="J1233" s="41" t="str">
        <f aca="false">IF(D1233="","",IFERROR(IF(ISNUMBER(SEARCH(Assumptions!$C$5,D1233)),Assumptions!$D$5,IF(ISNUMBER(SEARCH(Assumptions!$C$6,D1233)),Assumptions!$D$6,IF(ISNUMBER(SEARCH(Assumptions!$C$7,D1233)),Assumptions!$D$7,"Other Services"))),"Other Services"))</f>
        <v/>
      </c>
    </row>
    <row r="1234" customFormat="false" ht="15" hidden="false" customHeight="false" outlineLevel="0" collapsed="false">
      <c r="J1234" s="41" t="str">
        <f aca="false">IF(D1234="","",IFERROR(IF(ISNUMBER(SEARCH(Assumptions!$C$5,D1234)),Assumptions!$D$5,IF(ISNUMBER(SEARCH(Assumptions!$C$6,D1234)),Assumptions!$D$6,IF(ISNUMBER(SEARCH(Assumptions!$C$7,D1234)),Assumptions!$D$7,"Other Services"))),"Other Services"))</f>
        <v/>
      </c>
    </row>
    <row r="1235" customFormat="false" ht="15" hidden="false" customHeight="false" outlineLevel="0" collapsed="false">
      <c r="J1235" s="41" t="str">
        <f aca="false">IF(D1235="","",IFERROR(IF(ISNUMBER(SEARCH(Assumptions!$C$5,D1235)),Assumptions!$D$5,IF(ISNUMBER(SEARCH(Assumptions!$C$6,D1235)),Assumptions!$D$6,IF(ISNUMBER(SEARCH(Assumptions!$C$7,D1235)),Assumptions!$D$7,"Other Services"))),"Other Services"))</f>
        <v/>
      </c>
    </row>
    <row r="1236" customFormat="false" ht="15" hidden="false" customHeight="false" outlineLevel="0" collapsed="false">
      <c r="J1236" s="41" t="str">
        <f aca="false">IF(D1236="","",IFERROR(IF(ISNUMBER(SEARCH(Assumptions!$C$5,D1236)),Assumptions!$D$5,IF(ISNUMBER(SEARCH(Assumptions!$C$6,D1236)),Assumptions!$D$6,IF(ISNUMBER(SEARCH(Assumptions!$C$7,D1236)),Assumptions!$D$7,"Other Services"))),"Other Services"))</f>
        <v/>
      </c>
    </row>
    <row r="1237" customFormat="false" ht="15" hidden="false" customHeight="false" outlineLevel="0" collapsed="false">
      <c r="J1237" s="41" t="str">
        <f aca="false">IF(D1237="","",IFERROR(IF(ISNUMBER(SEARCH(Assumptions!$C$5,D1237)),Assumptions!$D$5,IF(ISNUMBER(SEARCH(Assumptions!$C$6,D1237)),Assumptions!$D$6,IF(ISNUMBER(SEARCH(Assumptions!$C$7,D1237)),Assumptions!$D$7,"Other Services"))),"Other Services"))</f>
        <v/>
      </c>
    </row>
    <row r="1238" customFormat="false" ht="15" hidden="false" customHeight="false" outlineLevel="0" collapsed="false">
      <c r="J1238" s="41" t="str">
        <f aca="false">IF(D1238="","",IFERROR(IF(ISNUMBER(SEARCH(Assumptions!$C$5,D1238)),Assumptions!$D$5,IF(ISNUMBER(SEARCH(Assumptions!$C$6,D1238)),Assumptions!$D$6,IF(ISNUMBER(SEARCH(Assumptions!$C$7,D1238)),Assumptions!$D$7,"Other Services"))),"Other Services"))</f>
        <v/>
      </c>
    </row>
    <row r="1239" customFormat="false" ht="15" hidden="false" customHeight="false" outlineLevel="0" collapsed="false">
      <c r="J1239" s="41" t="str">
        <f aca="false">IF(D1239="","",IFERROR(IF(ISNUMBER(SEARCH(Assumptions!$C$5,D1239)),Assumptions!$D$5,IF(ISNUMBER(SEARCH(Assumptions!$C$6,D1239)),Assumptions!$D$6,IF(ISNUMBER(SEARCH(Assumptions!$C$7,D1239)),Assumptions!$D$7,"Other Services"))),"Other Services"))</f>
        <v/>
      </c>
    </row>
    <row r="1240" customFormat="false" ht="15" hidden="false" customHeight="false" outlineLevel="0" collapsed="false">
      <c r="J1240" s="41" t="str">
        <f aca="false">IF(D1240="","",IFERROR(IF(ISNUMBER(SEARCH(Assumptions!$C$5,D1240)),Assumptions!$D$5,IF(ISNUMBER(SEARCH(Assumptions!$C$6,D1240)),Assumptions!$D$6,IF(ISNUMBER(SEARCH(Assumptions!$C$7,D1240)),Assumptions!$D$7,"Other Services"))),"Other Services"))</f>
        <v/>
      </c>
    </row>
    <row r="1241" customFormat="false" ht="15" hidden="false" customHeight="false" outlineLevel="0" collapsed="false">
      <c r="J1241" s="41" t="str">
        <f aca="false">IF(D1241="","",IFERROR(IF(ISNUMBER(SEARCH(Assumptions!$C$5,D1241)),Assumptions!$D$5,IF(ISNUMBER(SEARCH(Assumptions!$C$6,D1241)),Assumptions!$D$6,IF(ISNUMBER(SEARCH(Assumptions!$C$7,D1241)),Assumptions!$D$7,"Other Services"))),"Other Services"))</f>
        <v/>
      </c>
    </row>
    <row r="1242" customFormat="false" ht="15" hidden="false" customHeight="false" outlineLevel="0" collapsed="false">
      <c r="J1242" s="41" t="str">
        <f aca="false">IF(D1242="","",IFERROR(IF(ISNUMBER(SEARCH(Assumptions!$C$5,D1242)),Assumptions!$D$5,IF(ISNUMBER(SEARCH(Assumptions!$C$6,D1242)),Assumptions!$D$6,IF(ISNUMBER(SEARCH(Assumptions!$C$7,D1242)),Assumptions!$D$7,"Other Services"))),"Other Services"))</f>
        <v/>
      </c>
    </row>
    <row r="1243" customFormat="false" ht="15" hidden="false" customHeight="false" outlineLevel="0" collapsed="false">
      <c r="J1243" s="41" t="str">
        <f aca="false">IF(D1243="","",IFERROR(IF(ISNUMBER(SEARCH(Assumptions!$C$5,D1243)),Assumptions!$D$5,IF(ISNUMBER(SEARCH(Assumptions!$C$6,D1243)),Assumptions!$D$6,IF(ISNUMBER(SEARCH(Assumptions!$C$7,D1243)),Assumptions!$D$7,"Other Services"))),"Other Services"))</f>
        <v/>
      </c>
    </row>
    <row r="1244" customFormat="false" ht="15" hidden="false" customHeight="false" outlineLevel="0" collapsed="false">
      <c r="J1244" s="41" t="str">
        <f aca="false">IF(D1244="","",IFERROR(IF(ISNUMBER(SEARCH(Assumptions!$C$5,D1244)),Assumptions!$D$5,IF(ISNUMBER(SEARCH(Assumptions!$C$6,D1244)),Assumptions!$D$6,IF(ISNUMBER(SEARCH(Assumptions!$C$7,D1244)),Assumptions!$D$7,"Other Services"))),"Other Services"))</f>
        <v/>
      </c>
    </row>
    <row r="1245" customFormat="false" ht="15" hidden="false" customHeight="false" outlineLevel="0" collapsed="false">
      <c r="J1245" s="41" t="str">
        <f aca="false">IF(D1245="","",IFERROR(IF(ISNUMBER(SEARCH(Assumptions!$C$5,D1245)),Assumptions!$D$5,IF(ISNUMBER(SEARCH(Assumptions!$C$6,D1245)),Assumptions!$D$6,IF(ISNUMBER(SEARCH(Assumptions!$C$7,D1245)),Assumptions!$D$7,"Other Services"))),"Other Services"))</f>
        <v/>
      </c>
    </row>
    <row r="1246" customFormat="false" ht="15" hidden="false" customHeight="false" outlineLevel="0" collapsed="false">
      <c r="J1246" s="41" t="str">
        <f aca="false">IF(D1246="","",IFERROR(IF(ISNUMBER(SEARCH(Assumptions!$C$5,D1246)),Assumptions!$D$5,IF(ISNUMBER(SEARCH(Assumptions!$C$6,D1246)),Assumptions!$D$6,IF(ISNUMBER(SEARCH(Assumptions!$C$7,D1246)),Assumptions!$D$7,"Other Services"))),"Other Services"))</f>
        <v/>
      </c>
    </row>
    <row r="1247" customFormat="false" ht="15" hidden="false" customHeight="false" outlineLevel="0" collapsed="false">
      <c r="J1247" s="41" t="str">
        <f aca="false">IF(D1247="","",IFERROR(IF(ISNUMBER(SEARCH(Assumptions!$C$5,D1247)),Assumptions!$D$5,IF(ISNUMBER(SEARCH(Assumptions!$C$6,D1247)),Assumptions!$D$6,IF(ISNUMBER(SEARCH(Assumptions!$C$7,D1247)),Assumptions!$D$7,"Other Services"))),"Other Services"))</f>
        <v/>
      </c>
    </row>
    <row r="1248" customFormat="false" ht="15" hidden="false" customHeight="false" outlineLevel="0" collapsed="false">
      <c r="J1248" s="41" t="str">
        <f aca="false">IF(D1248="","",IFERROR(IF(ISNUMBER(SEARCH(Assumptions!$C$5,D1248)),Assumptions!$D$5,IF(ISNUMBER(SEARCH(Assumptions!$C$6,D1248)),Assumptions!$D$6,IF(ISNUMBER(SEARCH(Assumptions!$C$7,D1248)),Assumptions!$D$7,"Other Services"))),"Other Services"))</f>
        <v/>
      </c>
    </row>
    <row r="1249" customFormat="false" ht="15" hidden="false" customHeight="false" outlineLevel="0" collapsed="false">
      <c r="J1249" s="41" t="str">
        <f aca="false">IF(D1249="","",IFERROR(IF(ISNUMBER(SEARCH(Assumptions!$C$5,D1249)),Assumptions!$D$5,IF(ISNUMBER(SEARCH(Assumptions!$C$6,D1249)),Assumptions!$D$6,IF(ISNUMBER(SEARCH(Assumptions!$C$7,D1249)),Assumptions!$D$7,"Other Services"))),"Other Services"))</f>
        <v/>
      </c>
    </row>
    <row r="1250" customFormat="false" ht="15" hidden="false" customHeight="false" outlineLevel="0" collapsed="false">
      <c r="J1250" s="41" t="str">
        <f aca="false">IF(D1250="","",IFERROR(IF(ISNUMBER(SEARCH(Assumptions!$C$5,D1250)),Assumptions!$D$5,IF(ISNUMBER(SEARCH(Assumptions!$C$6,D1250)),Assumptions!$D$6,IF(ISNUMBER(SEARCH(Assumptions!$C$7,D1250)),Assumptions!$D$7,"Other Services"))),"Other Services"))</f>
        <v/>
      </c>
    </row>
    <row r="1251" customFormat="false" ht="15" hidden="false" customHeight="false" outlineLevel="0" collapsed="false">
      <c r="J1251" s="41" t="str">
        <f aca="false">IF(D1251="","",IFERROR(IF(ISNUMBER(SEARCH(Assumptions!$C$5,D1251)),Assumptions!$D$5,IF(ISNUMBER(SEARCH(Assumptions!$C$6,D1251)),Assumptions!$D$6,IF(ISNUMBER(SEARCH(Assumptions!$C$7,D1251)),Assumptions!$D$7,"Other Services"))),"Other Services"))</f>
        <v/>
      </c>
    </row>
    <row r="1252" customFormat="false" ht="15" hidden="false" customHeight="false" outlineLevel="0" collapsed="false">
      <c r="J1252" s="41" t="str">
        <f aca="false">IF(D1252="","",IFERROR(IF(ISNUMBER(SEARCH(Assumptions!$C$5,D1252)),Assumptions!$D$5,IF(ISNUMBER(SEARCH(Assumptions!$C$6,D1252)),Assumptions!$D$6,IF(ISNUMBER(SEARCH(Assumptions!$C$7,D1252)),Assumptions!$D$7,"Other Services"))),"Other Services"))</f>
        <v/>
      </c>
    </row>
    <row r="1253" customFormat="false" ht="15" hidden="false" customHeight="false" outlineLevel="0" collapsed="false">
      <c r="J1253" s="41" t="str">
        <f aca="false">IF(D1253="","",IFERROR(IF(ISNUMBER(SEARCH(Assumptions!$C$5,D1253)),Assumptions!$D$5,IF(ISNUMBER(SEARCH(Assumptions!$C$6,D1253)),Assumptions!$D$6,IF(ISNUMBER(SEARCH(Assumptions!$C$7,D1253)),Assumptions!$D$7,"Other Services"))),"Other Services"))</f>
        <v/>
      </c>
    </row>
    <row r="1254" customFormat="false" ht="15" hidden="false" customHeight="false" outlineLevel="0" collapsed="false">
      <c r="J1254" s="41" t="str">
        <f aca="false">IF(D1254="","",IFERROR(IF(ISNUMBER(SEARCH(Assumptions!$C$5,D1254)),Assumptions!$D$5,IF(ISNUMBER(SEARCH(Assumptions!$C$6,D1254)),Assumptions!$D$6,IF(ISNUMBER(SEARCH(Assumptions!$C$7,D1254)),Assumptions!$D$7,"Other Services"))),"Other Services"))</f>
        <v/>
      </c>
    </row>
    <row r="1255" customFormat="false" ht="15" hidden="false" customHeight="false" outlineLevel="0" collapsed="false">
      <c r="J1255" s="41" t="str">
        <f aca="false">IF(D1255="","",IFERROR(IF(ISNUMBER(SEARCH(Assumptions!$C$5,D1255)),Assumptions!$D$5,IF(ISNUMBER(SEARCH(Assumptions!$C$6,D1255)),Assumptions!$D$6,IF(ISNUMBER(SEARCH(Assumptions!$C$7,D1255)),Assumptions!$D$7,"Other Services"))),"Other Services"))</f>
        <v/>
      </c>
    </row>
    <row r="1256" customFormat="false" ht="15" hidden="false" customHeight="false" outlineLevel="0" collapsed="false">
      <c r="J1256" s="41" t="str">
        <f aca="false">IF(D1256="","",IFERROR(IF(ISNUMBER(SEARCH(Assumptions!$C$5,D1256)),Assumptions!$D$5,IF(ISNUMBER(SEARCH(Assumptions!$C$6,D1256)),Assumptions!$D$6,IF(ISNUMBER(SEARCH(Assumptions!$C$7,D1256)),Assumptions!$D$7,"Other Services"))),"Other Services"))</f>
        <v/>
      </c>
    </row>
    <row r="1257" customFormat="false" ht="15" hidden="false" customHeight="false" outlineLevel="0" collapsed="false">
      <c r="J1257" s="41" t="str">
        <f aca="false">IF(D1257="","",IFERROR(IF(ISNUMBER(SEARCH(Assumptions!$C$5,D1257)),Assumptions!$D$5,IF(ISNUMBER(SEARCH(Assumptions!$C$6,D1257)),Assumptions!$D$6,IF(ISNUMBER(SEARCH(Assumptions!$C$7,D1257)),Assumptions!$D$7,"Other Services"))),"Other Services"))</f>
        <v/>
      </c>
    </row>
    <row r="1258" customFormat="false" ht="15" hidden="false" customHeight="false" outlineLevel="0" collapsed="false">
      <c r="J1258" s="41" t="str">
        <f aca="false">IF(D1258="","",IFERROR(IF(ISNUMBER(SEARCH(Assumptions!$C$5,D1258)),Assumptions!$D$5,IF(ISNUMBER(SEARCH(Assumptions!$C$6,D1258)),Assumptions!$D$6,IF(ISNUMBER(SEARCH(Assumptions!$C$7,D1258)),Assumptions!$D$7,"Other Services"))),"Other Services"))</f>
        <v/>
      </c>
    </row>
    <row r="1259" customFormat="false" ht="15" hidden="false" customHeight="false" outlineLevel="0" collapsed="false">
      <c r="J1259" s="41" t="str">
        <f aca="false">IF(D1259="","",IFERROR(IF(ISNUMBER(SEARCH(Assumptions!$C$5,D1259)),Assumptions!$D$5,IF(ISNUMBER(SEARCH(Assumptions!$C$6,D1259)),Assumptions!$D$6,IF(ISNUMBER(SEARCH(Assumptions!$C$7,D1259)),Assumptions!$D$7,"Other Services"))),"Other Services"))</f>
        <v/>
      </c>
    </row>
    <row r="1260" customFormat="false" ht="15" hidden="false" customHeight="false" outlineLevel="0" collapsed="false">
      <c r="J1260" s="41" t="str">
        <f aca="false">IF(D1260="","",IFERROR(IF(ISNUMBER(SEARCH(Assumptions!$C$5,D1260)),Assumptions!$D$5,IF(ISNUMBER(SEARCH(Assumptions!$C$6,D1260)),Assumptions!$D$6,IF(ISNUMBER(SEARCH(Assumptions!$C$7,D1260)),Assumptions!$D$7,"Other Services"))),"Other Services"))</f>
        <v/>
      </c>
    </row>
    <row r="1261" customFormat="false" ht="15" hidden="false" customHeight="false" outlineLevel="0" collapsed="false">
      <c r="J1261" s="41" t="str">
        <f aca="false">IF(D1261="","",IFERROR(IF(ISNUMBER(SEARCH(Assumptions!$C$5,D1261)),Assumptions!$D$5,IF(ISNUMBER(SEARCH(Assumptions!$C$6,D1261)),Assumptions!$D$6,IF(ISNUMBER(SEARCH(Assumptions!$C$7,D1261)),Assumptions!$D$7,"Other Services"))),"Other Services"))</f>
        <v/>
      </c>
    </row>
    <row r="1262" customFormat="false" ht="15" hidden="false" customHeight="false" outlineLevel="0" collapsed="false">
      <c r="J1262" s="41" t="str">
        <f aca="false">IF(D1262="","",IFERROR(IF(ISNUMBER(SEARCH(Assumptions!$C$5,D1262)),Assumptions!$D$5,IF(ISNUMBER(SEARCH(Assumptions!$C$6,D1262)),Assumptions!$D$6,IF(ISNUMBER(SEARCH(Assumptions!$C$7,D1262)),Assumptions!$D$7,"Other Services"))),"Other Services"))</f>
        <v/>
      </c>
    </row>
    <row r="1263" customFormat="false" ht="15" hidden="false" customHeight="false" outlineLevel="0" collapsed="false">
      <c r="J1263" s="41" t="str">
        <f aca="false">IF(D1263="","",IFERROR(IF(ISNUMBER(SEARCH(Assumptions!$C$5,D1263)),Assumptions!$D$5,IF(ISNUMBER(SEARCH(Assumptions!$C$6,D1263)),Assumptions!$D$6,IF(ISNUMBER(SEARCH(Assumptions!$C$7,D1263)),Assumptions!$D$7,"Other Services"))),"Other Services"))</f>
        <v/>
      </c>
    </row>
    <row r="1264" customFormat="false" ht="15" hidden="false" customHeight="false" outlineLevel="0" collapsed="false">
      <c r="J1264" s="41" t="str">
        <f aca="false">IF(D1264="","",IFERROR(IF(ISNUMBER(SEARCH(Assumptions!$C$5,D1264)),Assumptions!$D$5,IF(ISNUMBER(SEARCH(Assumptions!$C$6,D1264)),Assumptions!$D$6,IF(ISNUMBER(SEARCH(Assumptions!$C$7,D1264)),Assumptions!$D$7,"Other Services"))),"Other Services"))</f>
        <v/>
      </c>
    </row>
    <row r="1265" customFormat="false" ht="15" hidden="false" customHeight="false" outlineLevel="0" collapsed="false">
      <c r="J1265" s="41" t="str">
        <f aca="false">IF(D1265="","",IFERROR(IF(ISNUMBER(SEARCH(Assumptions!$C$5,D1265)),Assumptions!$D$5,IF(ISNUMBER(SEARCH(Assumptions!$C$6,D1265)),Assumptions!$D$6,IF(ISNUMBER(SEARCH(Assumptions!$C$7,D1265)),Assumptions!$D$7,"Other Services"))),"Other Services"))</f>
        <v/>
      </c>
    </row>
    <row r="1266" customFormat="false" ht="15" hidden="false" customHeight="false" outlineLevel="0" collapsed="false">
      <c r="J1266" s="41" t="str">
        <f aca="false">IF(D1266="","",IFERROR(IF(ISNUMBER(SEARCH(Assumptions!$C$5,D1266)),Assumptions!$D$5,IF(ISNUMBER(SEARCH(Assumptions!$C$6,D1266)),Assumptions!$D$6,IF(ISNUMBER(SEARCH(Assumptions!$C$7,D1266)),Assumptions!$D$7,"Other Services"))),"Other Services"))</f>
        <v/>
      </c>
    </row>
    <row r="1267" customFormat="false" ht="15" hidden="false" customHeight="false" outlineLevel="0" collapsed="false">
      <c r="J1267" s="41" t="str">
        <f aca="false">IF(D1267="","",IFERROR(IF(ISNUMBER(SEARCH(Assumptions!$C$5,D1267)),Assumptions!$D$5,IF(ISNUMBER(SEARCH(Assumptions!$C$6,D1267)),Assumptions!$D$6,IF(ISNUMBER(SEARCH(Assumptions!$C$7,D1267)),Assumptions!$D$7,"Other Services"))),"Other Services"))</f>
        <v/>
      </c>
    </row>
    <row r="1268" customFormat="false" ht="15" hidden="false" customHeight="false" outlineLevel="0" collapsed="false">
      <c r="J1268" s="41" t="str">
        <f aca="false">IF(D1268="","",IFERROR(IF(ISNUMBER(SEARCH(Assumptions!$C$5,D1268)),Assumptions!$D$5,IF(ISNUMBER(SEARCH(Assumptions!$C$6,D1268)),Assumptions!$D$6,IF(ISNUMBER(SEARCH(Assumptions!$C$7,D1268)),Assumptions!$D$7,"Other Services"))),"Other Services"))</f>
        <v/>
      </c>
    </row>
    <row r="1269" customFormat="false" ht="15" hidden="false" customHeight="false" outlineLevel="0" collapsed="false">
      <c r="J1269" s="41" t="str">
        <f aca="false">IF(D1269="","",IFERROR(IF(ISNUMBER(SEARCH(Assumptions!$C$5,D1269)),Assumptions!$D$5,IF(ISNUMBER(SEARCH(Assumptions!$C$6,D1269)),Assumptions!$D$6,IF(ISNUMBER(SEARCH(Assumptions!$C$7,D1269)),Assumptions!$D$7,"Other Services"))),"Other Services"))</f>
        <v/>
      </c>
    </row>
    <row r="1270" customFormat="false" ht="15" hidden="false" customHeight="false" outlineLevel="0" collapsed="false">
      <c r="J1270" s="41" t="str">
        <f aca="false">IF(D1270="","",IFERROR(IF(ISNUMBER(SEARCH(Assumptions!$C$5,D1270)),Assumptions!$D$5,IF(ISNUMBER(SEARCH(Assumptions!$C$6,D1270)),Assumptions!$D$6,IF(ISNUMBER(SEARCH(Assumptions!$C$7,D1270)),Assumptions!$D$7,"Other Services"))),"Other Services"))</f>
        <v/>
      </c>
    </row>
    <row r="1271" customFormat="false" ht="15" hidden="false" customHeight="false" outlineLevel="0" collapsed="false">
      <c r="J1271" s="41" t="str">
        <f aca="false">IF(D1271="","",IFERROR(IF(ISNUMBER(SEARCH(Assumptions!$C$5,D1271)),Assumptions!$D$5,IF(ISNUMBER(SEARCH(Assumptions!$C$6,D1271)),Assumptions!$D$6,IF(ISNUMBER(SEARCH(Assumptions!$C$7,D1271)),Assumptions!$D$7,"Other Services"))),"Other Services"))</f>
        <v/>
      </c>
    </row>
    <row r="1272" customFormat="false" ht="15" hidden="false" customHeight="false" outlineLevel="0" collapsed="false">
      <c r="J1272" s="41" t="str">
        <f aca="false">IF(D1272="","",IFERROR(IF(ISNUMBER(SEARCH(Assumptions!$C$5,D1272)),Assumptions!$D$5,IF(ISNUMBER(SEARCH(Assumptions!$C$6,D1272)),Assumptions!$D$6,IF(ISNUMBER(SEARCH(Assumptions!$C$7,D1272)),Assumptions!$D$7,"Other Services"))),"Other Services"))</f>
        <v/>
      </c>
    </row>
    <row r="1273" customFormat="false" ht="15" hidden="false" customHeight="false" outlineLevel="0" collapsed="false">
      <c r="J1273" s="41" t="str">
        <f aca="false">IF(D1273="","",IFERROR(IF(ISNUMBER(SEARCH(Assumptions!$C$5,D1273)),Assumptions!$D$5,IF(ISNUMBER(SEARCH(Assumptions!$C$6,D1273)),Assumptions!$D$6,IF(ISNUMBER(SEARCH(Assumptions!$C$7,D1273)),Assumptions!$D$7,"Other Services"))),"Other Services"))</f>
        <v/>
      </c>
    </row>
    <row r="1274" customFormat="false" ht="15" hidden="false" customHeight="false" outlineLevel="0" collapsed="false">
      <c r="J1274" s="41" t="str">
        <f aca="false">IF(D1274="","",IFERROR(IF(ISNUMBER(SEARCH(Assumptions!$C$5,D1274)),Assumptions!$D$5,IF(ISNUMBER(SEARCH(Assumptions!$C$6,D1274)),Assumptions!$D$6,IF(ISNUMBER(SEARCH(Assumptions!$C$7,D1274)),Assumptions!$D$7,"Other Services"))),"Other Services"))</f>
        <v/>
      </c>
    </row>
    <row r="1275" customFormat="false" ht="15" hidden="false" customHeight="false" outlineLevel="0" collapsed="false">
      <c r="J1275" s="41" t="str">
        <f aca="false">IF(D1275="","",IFERROR(IF(ISNUMBER(SEARCH(Assumptions!$C$5,D1275)),Assumptions!$D$5,IF(ISNUMBER(SEARCH(Assumptions!$C$6,D1275)),Assumptions!$D$6,IF(ISNUMBER(SEARCH(Assumptions!$C$7,D1275)),Assumptions!$D$7,"Other Services"))),"Other Services"))</f>
        <v/>
      </c>
    </row>
    <row r="1276" customFormat="false" ht="15" hidden="false" customHeight="false" outlineLevel="0" collapsed="false">
      <c r="J1276" s="41" t="str">
        <f aca="false">IF(D1276="","",IFERROR(IF(ISNUMBER(SEARCH(Assumptions!$C$5,D1276)),Assumptions!$D$5,IF(ISNUMBER(SEARCH(Assumptions!$C$6,D1276)),Assumptions!$D$6,IF(ISNUMBER(SEARCH(Assumptions!$C$7,D1276)),Assumptions!$D$7,"Other Services"))),"Other Services"))</f>
        <v/>
      </c>
    </row>
    <row r="1277" customFormat="false" ht="15" hidden="false" customHeight="false" outlineLevel="0" collapsed="false">
      <c r="J1277" s="41" t="str">
        <f aca="false">IF(D1277="","",IFERROR(IF(ISNUMBER(SEARCH(Assumptions!$C$5,D1277)),Assumptions!$D$5,IF(ISNUMBER(SEARCH(Assumptions!$C$6,D1277)),Assumptions!$D$6,IF(ISNUMBER(SEARCH(Assumptions!$C$7,D1277)),Assumptions!$D$7,"Other Services"))),"Other Services"))</f>
        <v/>
      </c>
    </row>
    <row r="1278" customFormat="false" ht="15" hidden="false" customHeight="false" outlineLevel="0" collapsed="false">
      <c r="J1278" s="41" t="str">
        <f aca="false">IF(D1278="","",IFERROR(IF(ISNUMBER(SEARCH(Assumptions!$C$5,D1278)),Assumptions!$D$5,IF(ISNUMBER(SEARCH(Assumptions!$C$6,D1278)),Assumptions!$D$6,IF(ISNUMBER(SEARCH(Assumptions!$C$7,D1278)),Assumptions!$D$7,"Other Services"))),"Other Services"))</f>
        <v/>
      </c>
    </row>
    <row r="1279" customFormat="false" ht="15" hidden="false" customHeight="false" outlineLevel="0" collapsed="false">
      <c r="J1279" s="41" t="str">
        <f aca="false">IF(D1279="","",IFERROR(IF(ISNUMBER(SEARCH(Assumptions!$C$5,D1279)),Assumptions!$D$5,IF(ISNUMBER(SEARCH(Assumptions!$C$6,D1279)),Assumptions!$D$6,IF(ISNUMBER(SEARCH(Assumptions!$C$7,D1279)),Assumptions!$D$7,"Other Services"))),"Other Services"))</f>
        <v/>
      </c>
    </row>
    <row r="1280" customFormat="false" ht="15" hidden="false" customHeight="false" outlineLevel="0" collapsed="false">
      <c r="J1280" s="41" t="str">
        <f aca="false">IF(D1280="","",IFERROR(IF(ISNUMBER(SEARCH(Assumptions!$C$5,D1280)),Assumptions!$D$5,IF(ISNUMBER(SEARCH(Assumptions!$C$6,D1280)),Assumptions!$D$6,IF(ISNUMBER(SEARCH(Assumptions!$C$7,D1280)),Assumptions!$D$7,"Other Services"))),"Other Services"))</f>
        <v/>
      </c>
    </row>
    <row r="1281" customFormat="false" ht="15" hidden="false" customHeight="false" outlineLevel="0" collapsed="false">
      <c r="J1281" s="41" t="str">
        <f aca="false">IF(D1281="","",IFERROR(IF(ISNUMBER(SEARCH(Assumptions!$C$5,D1281)),Assumptions!$D$5,IF(ISNUMBER(SEARCH(Assumptions!$C$6,D1281)),Assumptions!$D$6,IF(ISNUMBER(SEARCH(Assumptions!$C$7,D1281)),Assumptions!$D$7,"Other Services"))),"Other Services"))</f>
        <v/>
      </c>
    </row>
    <row r="1282" customFormat="false" ht="15" hidden="false" customHeight="false" outlineLevel="0" collapsed="false">
      <c r="J1282" s="41" t="str">
        <f aca="false">IF(D1282="","",IFERROR(IF(ISNUMBER(SEARCH(Assumptions!$C$5,D1282)),Assumptions!$D$5,IF(ISNUMBER(SEARCH(Assumptions!$C$6,D1282)),Assumptions!$D$6,IF(ISNUMBER(SEARCH(Assumptions!$C$7,D1282)),Assumptions!$D$7,"Other Services"))),"Other Services"))</f>
        <v/>
      </c>
    </row>
    <row r="1283" customFormat="false" ht="15" hidden="false" customHeight="false" outlineLevel="0" collapsed="false">
      <c r="J1283" s="41" t="str">
        <f aca="false">IF(D1283="","",IFERROR(IF(ISNUMBER(SEARCH(Assumptions!$C$5,D1283)),Assumptions!$D$5,IF(ISNUMBER(SEARCH(Assumptions!$C$6,D1283)),Assumptions!$D$6,IF(ISNUMBER(SEARCH(Assumptions!$C$7,D1283)),Assumptions!$D$7,"Other Services"))),"Other Services"))</f>
        <v/>
      </c>
    </row>
    <row r="1284" customFormat="false" ht="15" hidden="false" customHeight="false" outlineLevel="0" collapsed="false">
      <c r="J1284" s="41" t="str">
        <f aca="false">IF(D1284="","",IFERROR(IF(ISNUMBER(SEARCH(Assumptions!$C$5,D1284)),Assumptions!$D$5,IF(ISNUMBER(SEARCH(Assumptions!$C$6,D1284)),Assumptions!$D$6,IF(ISNUMBER(SEARCH(Assumptions!$C$7,D1284)),Assumptions!$D$7,"Other Services"))),"Other Services"))</f>
        <v/>
      </c>
    </row>
    <row r="1285" customFormat="false" ht="15" hidden="false" customHeight="false" outlineLevel="0" collapsed="false">
      <c r="J1285" s="41" t="str">
        <f aca="false">IF(D1285="","",IFERROR(IF(ISNUMBER(SEARCH(Assumptions!$C$5,D1285)),Assumptions!$D$5,IF(ISNUMBER(SEARCH(Assumptions!$C$6,D1285)),Assumptions!$D$6,IF(ISNUMBER(SEARCH(Assumptions!$C$7,D1285)),Assumptions!$D$7,"Other Services"))),"Other Services"))</f>
        <v/>
      </c>
    </row>
    <row r="1286" customFormat="false" ht="15" hidden="false" customHeight="false" outlineLevel="0" collapsed="false">
      <c r="J1286" s="41" t="str">
        <f aca="false">IF(D1286="","",IFERROR(IF(ISNUMBER(SEARCH(Assumptions!$C$5,D1286)),Assumptions!$D$5,IF(ISNUMBER(SEARCH(Assumptions!$C$6,D1286)),Assumptions!$D$6,IF(ISNUMBER(SEARCH(Assumptions!$C$7,D1286)),Assumptions!$D$7,"Other Services"))),"Other Services"))</f>
        <v/>
      </c>
    </row>
    <row r="1287" customFormat="false" ht="15" hidden="false" customHeight="false" outlineLevel="0" collapsed="false">
      <c r="J1287" s="41" t="str">
        <f aca="false">IF(D1287="","",IFERROR(IF(ISNUMBER(SEARCH(Assumptions!$C$5,D1287)),Assumptions!$D$5,IF(ISNUMBER(SEARCH(Assumptions!$C$6,D1287)),Assumptions!$D$6,IF(ISNUMBER(SEARCH(Assumptions!$C$7,D1287)),Assumptions!$D$7,"Other Services"))),"Other Services"))</f>
        <v/>
      </c>
    </row>
    <row r="1288" customFormat="false" ht="15" hidden="false" customHeight="false" outlineLevel="0" collapsed="false">
      <c r="J1288" s="41" t="str">
        <f aca="false">IF(D1288="","",IFERROR(IF(ISNUMBER(SEARCH(Assumptions!$C$5,D1288)),Assumptions!$D$5,IF(ISNUMBER(SEARCH(Assumptions!$C$6,D1288)),Assumptions!$D$6,IF(ISNUMBER(SEARCH(Assumptions!$C$7,D1288)),Assumptions!$D$7,"Other Services"))),"Other Services"))</f>
        <v/>
      </c>
    </row>
    <row r="1289" customFormat="false" ht="15" hidden="false" customHeight="false" outlineLevel="0" collapsed="false">
      <c r="J1289" s="41" t="str">
        <f aca="false">IF(D1289="","",IFERROR(IF(ISNUMBER(SEARCH(Assumptions!$C$5,D1289)),Assumptions!$D$5,IF(ISNUMBER(SEARCH(Assumptions!$C$6,D1289)),Assumptions!$D$6,IF(ISNUMBER(SEARCH(Assumptions!$C$7,D1289)),Assumptions!$D$7,"Other Services"))),"Other Services"))</f>
        <v/>
      </c>
    </row>
    <row r="1290" customFormat="false" ht="15" hidden="false" customHeight="false" outlineLevel="0" collapsed="false">
      <c r="J1290" s="41" t="str">
        <f aca="false">IF(D1290="","",IFERROR(IF(ISNUMBER(SEARCH(Assumptions!$C$5,D1290)),Assumptions!$D$5,IF(ISNUMBER(SEARCH(Assumptions!$C$6,D1290)),Assumptions!$D$6,IF(ISNUMBER(SEARCH(Assumptions!$C$7,D1290)),Assumptions!$D$7,"Other Services"))),"Other Services"))</f>
        <v/>
      </c>
    </row>
    <row r="1291" customFormat="false" ht="15" hidden="false" customHeight="false" outlineLevel="0" collapsed="false">
      <c r="J1291" s="41" t="str">
        <f aca="false">IF(D1291="","",IFERROR(IF(ISNUMBER(SEARCH(Assumptions!$C$5,D1291)),Assumptions!$D$5,IF(ISNUMBER(SEARCH(Assumptions!$C$6,D1291)),Assumptions!$D$6,IF(ISNUMBER(SEARCH(Assumptions!$C$7,D1291)),Assumptions!$D$7,"Other Services"))),"Other Services"))</f>
        <v/>
      </c>
    </row>
    <row r="1292" customFormat="false" ht="15" hidden="false" customHeight="false" outlineLevel="0" collapsed="false">
      <c r="J1292" s="41" t="str">
        <f aca="false">IF(D1292="","",IFERROR(IF(ISNUMBER(SEARCH(Assumptions!$C$5,D1292)),Assumptions!$D$5,IF(ISNUMBER(SEARCH(Assumptions!$C$6,D1292)),Assumptions!$D$6,IF(ISNUMBER(SEARCH(Assumptions!$C$7,D1292)),Assumptions!$D$7,"Other Services"))),"Other Services"))</f>
        <v/>
      </c>
    </row>
    <row r="1293" customFormat="false" ht="15" hidden="false" customHeight="false" outlineLevel="0" collapsed="false">
      <c r="J1293" s="41" t="str">
        <f aca="false">IF(D1293="","",IFERROR(IF(ISNUMBER(SEARCH(Assumptions!$C$5,D1293)),Assumptions!$D$5,IF(ISNUMBER(SEARCH(Assumptions!$C$6,D1293)),Assumptions!$D$6,IF(ISNUMBER(SEARCH(Assumptions!$C$7,D1293)),Assumptions!$D$7,"Other Services"))),"Other Services"))</f>
        <v/>
      </c>
    </row>
    <row r="1294" customFormat="false" ht="15" hidden="false" customHeight="false" outlineLevel="0" collapsed="false">
      <c r="J1294" s="41" t="str">
        <f aca="false">IF(D1294="","",IFERROR(IF(ISNUMBER(SEARCH(Assumptions!$C$5,D1294)),Assumptions!$D$5,IF(ISNUMBER(SEARCH(Assumptions!$C$6,D1294)),Assumptions!$D$6,IF(ISNUMBER(SEARCH(Assumptions!$C$7,D1294)),Assumptions!$D$7,"Other Services"))),"Other Services"))</f>
        <v/>
      </c>
    </row>
    <row r="1295" customFormat="false" ht="15" hidden="false" customHeight="false" outlineLevel="0" collapsed="false">
      <c r="J1295" s="41" t="str">
        <f aca="false">IF(D1295="","",IFERROR(IF(ISNUMBER(SEARCH(Assumptions!$C$5,D1295)),Assumptions!$D$5,IF(ISNUMBER(SEARCH(Assumptions!$C$6,D1295)),Assumptions!$D$6,IF(ISNUMBER(SEARCH(Assumptions!$C$7,D1295)),Assumptions!$D$7,"Other Services"))),"Other Services"))</f>
        <v/>
      </c>
    </row>
    <row r="1296" customFormat="false" ht="15" hidden="false" customHeight="false" outlineLevel="0" collapsed="false">
      <c r="J1296" s="41" t="str">
        <f aca="false">IF(D1296="","",IFERROR(IF(ISNUMBER(SEARCH(Assumptions!$C$5,D1296)),Assumptions!$D$5,IF(ISNUMBER(SEARCH(Assumptions!$C$6,D1296)),Assumptions!$D$6,IF(ISNUMBER(SEARCH(Assumptions!$C$7,D1296)),Assumptions!$D$7,"Other Services"))),"Other Services"))</f>
        <v/>
      </c>
    </row>
    <row r="1297" customFormat="false" ht="15" hidden="false" customHeight="false" outlineLevel="0" collapsed="false">
      <c r="J1297" s="41" t="str">
        <f aca="false">IF(D1297="","",IFERROR(IF(ISNUMBER(SEARCH(Assumptions!$C$5,D1297)),Assumptions!$D$5,IF(ISNUMBER(SEARCH(Assumptions!$C$6,D1297)),Assumptions!$D$6,IF(ISNUMBER(SEARCH(Assumptions!$C$7,D1297)),Assumptions!$D$7,"Other Services"))),"Other Services"))</f>
        <v/>
      </c>
    </row>
    <row r="1298" customFormat="false" ht="15" hidden="false" customHeight="false" outlineLevel="0" collapsed="false">
      <c r="J1298" s="41" t="str">
        <f aca="false">IF(D1298="","",IFERROR(IF(ISNUMBER(SEARCH(Assumptions!$C$5,D1298)),Assumptions!$D$5,IF(ISNUMBER(SEARCH(Assumptions!$C$6,D1298)),Assumptions!$D$6,IF(ISNUMBER(SEARCH(Assumptions!$C$7,D1298)),Assumptions!$D$7,"Other Services"))),"Other Services"))</f>
        <v/>
      </c>
    </row>
    <row r="1299" customFormat="false" ht="15" hidden="false" customHeight="false" outlineLevel="0" collapsed="false">
      <c r="J1299" s="41" t="str">
        <f aca="false">IF(D1299="","",IFERROR(IF(ISNUMBER(SEARCH(Assumptions!$C$5,D1299)),Assumptions!$D$5,IF(ISNUMBER(SEARCH(Assumptions!$C$6,D1299)),Assumptions!$D$6,IF(ISNUMBER(SEARCH(Assumptions!$C$7,D1299)),Assumptions!$D$7,"Other Services"))),"Other Services"))</f>
        <v/>
      </c>
    </row>
    <row r="1300" customFormat="false" ht="15" hidden="false" customHeight="false" outlineLevel="0" collapsed="false">
      <c r="J1300" s="41" t="str">
        <f aca="false">IF(D1300="","",IFERROR(IF(ISNUMBER(SEARCH(Assumptions!$C$5,D1300)),Assumptions!$D$5,IF(ISNUMBER(SEARCH(Assumptions!$C$6,D1300)),Assumptions!$D$6,IF(ISNUMBER(SEARCH(Assumptions!$C$7,D1300)),Assumptions!$D$7,"Other Services"))),"Other Services"))</f>
        <v/>
      </c>
    </row>
    <row r="1301" customFormat="false" ht="15" hidden="false" customHeight="false" outlineLevel="0" collapsed="false">
      <c r="J1301" s="41" t="str">
        <f aca="false">IF(D1301="","",IFERROR(IF(ISNUMBER(SEARCH(Assumptions!$C$5,D1301)),Assumptions!$D$5,IF(ISNUMBER(SEARCH(Assumptions!$C$6,D1301)),Assumptions!$D$6,IF(ISNUMBER(SEARCH(Assumptions!$C$7,D1301)),Assumptions!$D$7,"Other Services"))),"Other Services"))</f>
        <v/>
      </c>
    </row>
    <row r="1302" customFormat="false" ht="15" hidden="false" customHeight="false" outlineLevel="0" collapsed="false">
      <c r="J1302" s="41" t="str">
        <f aca="false">IF(D1302="","",IFERROR(IF(ISNUMBER(SEARCH(Assumptions!$C$5,D1302)),Assumptions!$D$5,IF(ISNUMBER(SEARCH(Assumptions!$C$6,D1302)),Assumptions!$D$6,IF(ISNUMBER(SEARCH(Assumptions!$C$7,D1302)),Assumptions!$D$7,"Other Services"))),"Other Services"))</f>
        <v/>
      </c>
    </row>
    <row r="1303" customFormat="false" ht="15" hidden="false" customHeight="false" outlineLevel="0" collapsed="false">
      <c r="J1303" s="41" t="str">
        <f aca="false">IF(D1303="","",IFERROR(IF(ISNUMBER(SEARCH(Assumptions!$C$5,D1303)),Assumptions!$D$5,IF(ISNUMBER(SEARCH(Assumptions!$C$6,D1303)),Assumptions!$D$6,IF(ISNUMBER(SEARCH(Assumptions!$C$7,D1303)),Assumptions!$D$7,"Other Services"))),"Other Services"))</f>
        <v/>
      </c>
    </row>
    <row r="1304" customFormat="false" ht="15" hidden="false" customHeight="false" outlineLevel="0" collapsed="false">
      <c r="J1304" s="41" t="str">
        <f aca="false">IF(D1304="","",IFERROR(IF(ISNUMBER(SEARCH(Assumptions!$C$5,D1304)),Assumptions!$D$5,IF(ISNUMBER(SEARCH(Assumptions!$C$6,D1304)),Assumptions!$D$6,IF(ISNUMBER(SEARCH(Assumptions!$C$7,D1304)),Assumptions!$D$7,"Other Services"))),"Other Services"))</f>
        <v/>
      </c>
    </row>
    <row r="1305" customFormat="false" ht="15" hidden="false" customHeight="false" outlineLevel="0" collapsed="false">
      <c r="J1305" s="41" t="str">
        <f aca="false">IF(D1305="","",IFERROR(IF(ISNUMBER(SEARCH(Assumptions!$C$5,D1305)),Assumptions!$D$5,IF(ISNUMBER(SEARCH(Assumptions!$C$6,D1305)),Assumptions!$D$6,IF(ISNUMBER(SEARCH(Assumptions!$C$7,D1305)),Assumptions!$D$7,"Other Services"))),"Other Services"))</f>
        <v/>
      </c>
    </row>
    <row r="1306" customFormat="false" ht="15" hidden="false" customHeight="false" outlineLevel="0" collapsed="false">
      <c r="J1306" s="41" t="str">
        <f aca="false">IF(D1306="","",IFERROR(IF(ISNUMBER(SEARCH(Assumptions!$C$5,D1306)),Assumptions!$D$5,IF(ISNUMBER(SEARCH(Assumptions!$C$6,D1306)),Assumptions!$D$6,IF(ISNUMBER(SEARCH(Assumptions!$C$7,D1306)),Assumptions!$D$7,"Other Services"))),"Other Services"))</f>
        <v/>
      </c>
    </row>
    <row r="1307" customFormat="false" ht="15" hidden="false" customHeight="false" outlineLevel="0" collapsed="false">
      <c r="J1307" s="41" t="str">
        <f aca="false">IF(D1307="","",IFERROR(IF(ISNUMBER(SEARCH(Assumptions!$C$5,D1307)),Assumptions!$D$5,IF(ISNUMBER(SEARCH(Assumptions!$C$6,D1307)),Assumptions!$D$6,IF(ISNUMBER(SEARCH(Assumptions!$C$7,D1307)),Assumptions!$D$7,"Other Services"))),"Other Services"))</f>
        <v/>
      </c>
    </row>
    <row r="1308" customFormat="false" ht="15" hidden="false" customHeight="false" outlineLevel="0" collapsed="false">
      <c r="J1308" s="41" t="str">
        <f aca="false">IF(D1308="","",IFERROR(IF(ISNUMBER(SEARCH(Assumptions!$C$5,D1308)),Assumptions!$D$5,IF(ISNUMBER(SEARCH(Assumptions!$C$6,D1308)),Assumptions!$D$6,IF(ISNUMBER(SEARCH(Assumptions!$C$7,D1308)),Assumptions!$D$7,"Other Services"))),"Other Services"))</f>
        <v/>
      </c>
    </row>
    <row r="1309" customFormat="false" ht="15" hidden="false" customHeight="false" outlineLevel="0" collapsed="false">
      <c r="J1309" s="41" t="str">
        <f aca="false">IF(D1309="","",IFERROR(IF(ISNUMBER(SEARCH(Assumptions!$C$5,D1309)),Assumptions!$D$5,IF(ISNUMBER(SEARCH(Assumptions!$C$6,D1309)),Assumptions!$D$6,IF(ISNUMBER(SEARCH(Assumptions!$C$7,D1309)),Assumptions!$D$7,"Other Services"))),"Other Services"))</f>
        <v/>
      </c>
    </row>
    <row r="1310" customFormat="false" ht="15" hidden="false" customHeight="false" outlineLevel="0" collapsed="false">
      <c r="J1310" s="41" t="str">
        <f aca="false">IF(D1310="","",IFERROR(IF(ISNUMBER(SEARCH(Assumptions!$C$5,D1310)),Assumptions!$D$5,IF(ISNUMBER(SEARCH(Assumptions!$C$6,D1310)),Assumptions!$D$6,IF(ISNUMBER(SEARCH(Assumptions!$C$7,D1310)),Assumptions!$D$7,"Other Services"))),"Other Services"))</f>
        <v/>
      </c>
    </row>
    <row r="1311" customFormat="false" ht="15" hidden="false" customHeight="false" outlineLevel="0" collapsed="false">
      <c r="J1311" s="41" t="str">
        <f aca="false">IF(D1311="","",IFERROR(IF(ISNUMBER(SEARCH(Assumptions!$C$5,D1311)),Assumptions!$D$5,IF(ISNUMBER(SEARCH(Assumptions!$C$6,D1311)),Assumptions!$D$6,IF(ISNUMBER(SEARCH(Assumptions!$C$7,D1311)),Assumptions!$D$7,"Other Services"))),"Other Services"))</f>
        <v/>
      </c>
    </row>
    <row r="1312" customFormat="false" ht="15" hidden="false" customHeight="false" outlineLevel="0" collapsed="false">
      <c r="J1312" s="41" t="str">
        <f aca="false">IF(D1312="","",IFERROR(IF(ISNUMBER(SEARCH(Assumptions!$C$5,D1312)),Assumptions!$D$5,IF(ISNUMBER(SEARCH(Assumptions!$C$6,D1312)),Assumptions!$D$6,IF(ISNUMBER(SEARCH(Assumptions!$C$7,D1312)),Assumptions!$D$7,"Other Services"))),"Other Services"))</f>
        <v/>
      </c>
    </row>
    <row r="1313" customFormat="false" ht="15" hidden="false" customHeight="false" outlineLevel="0" collapsed="false">
      <c r="J1313" s="41" t="str">
        <f aca="false">IF(D1313="","",IFERROR(IF(ISNUMBER(SEARCH(Assumptions!$C$5,D1313)),Assumptions!$D$5,IF(ISNUMBER(SEARCH(Assumptions!$C$6,D1313)),Assumptions!$D$6,IF(ISNUMBER(SEARCH(Assumptions!$C$7,D1313)),Assumptions!$D$7,"Other Services"))),"Other Services"))</f>
        <v/>
      </c>
    </row>
    <row r="1314" customFormat="false" ht="15" hidden="false" customHeight="false" outlineLevel="0" collapsed="false">
      <c r="J1314" s="41" t="str">
        <f aca="false">IF(D1314="","",IFERROR(IF(ISNUMBER(SEARCH(Assumptions!$C$5,D1314)),Assumptions!$D$5,IF(ISNUMBER(SEARCH(Assumptions!$C$6,D1314)),Assumptions!$D$6,IF(ISNUMBER(SEARCH(Assumptions!$C$7,D1314)),Assumptions!$D$7,"Other Services"))),"Other Services"))</f>
        <v/>
      </c>
    </row>
    <row r="1315" customFormat="false" ht="15" hidden="false" customHeight="false" outlineLevel="0" collapsed="false">
      <c r="J1315" s="41" t="str">
        <f aca="false">IF(D1315="","",IFERROR(IF(ISNUMBER(SEARCH(Assumptions!$C$5,D1315)),Assumptions!$D$5,IF(ISNUMBER(SEARCH(Assumptions!$C$6,D1315)),Assumptions!$D$6,IF(ISNUMBER(SEARCH(Assumptions!$C$7,D1315)),Assumptions!$D$7,"Other Services"))),"Other Services"))</f>
        <v/>
      </c>
    </row>
    <row r="1316" customFormat="false" ht="15" hidden="false" customHeight="false" outlineLevel="0" collapsed="false">
      <c r="J1316" s="41" t="str">
        <f aca="false">IF(D1316="","",IFERROR(IF(ISNUMBER(SEARCH(Assumptions!$C$5,D1316)),Assumptions!$D$5,IF(ISNUMBER(SEARCH(Assumptions!$C$6,D1316)),Assumptions!$D$6,IF(ISNUMBER(SEARCH(Assumptions!$C$7,D1316)),Assumptions!$D$7,"Other Services"))),"Other Services"))</f>
        <v/>
      </c>
    </row>
    <row r="1317" customFormat="false" ht="15" hidden="false" customHeight="false" outlineLevel="0" collapsed="false">
      <c r="J1317" s="41" t="str">
        <f aca="false">IF(D1317="","",IFERROR(IF(ISNUMBER(SEARCH(Assumptions!$C$5,D1317)),Assumptions!$D$5,IF(ISNUMBER(SEARCH(Assumptions!$C$6,D1317)),Assumptions!$D$6,IF(ISNUMBER(SEARCH(Assumptions!$C$7,D1317)),Assumptions!$D$7,"Other Services"))),"Other Services"))</f>
        <v/>
      </c>
    </row>
    <row r="1318" customFormat="false" ht="15" hidden="false" customHeight="false" outlineLevel="0" collapsed="false">
      <c r="J1318" s="41" t="str">
        <f aca="false">IF(D1318="","",IFERROR(IF(ISNUMBER(SEARCH(Assumptions!$C$5,D1318)),Assumptions!$D$5,IF(ISNUMBER(SEARCH(Assumptions!$C$6,D1318)),Assumptions!$D$6,IF(ISNUMBER(SEARCH(Assumptions!$C$7,D1318)),Assumptions!$D$7,"Other Services"))),"Other Services"))</f>
        <v/>
      </c>
    </row>
    <row r="1319" customFormat="false" ht="15" hidden="false" customHeight="false" outlineLevel="0" collapsed="false">
      <c r="J1319" s="41" t="str">
        <f aca="false">IF(D1319="","",IFERROR(IF(ISNUMBER(SEARCH(Assumptions!$C$5,D1319)),Assumptions!$D$5,IF(ISNUMBER(SEARCH(Assumptions!$C$6,D1319)),Assumptions!$D$6,IF(ISNUMBER(SEARCH(Assumptions!$C$7,D1319)),Assumptions!$D$7,"Other Services"))),"Other Services"))</f>
        <v/>
      </c>
    </row>
    <row r="1320" customFormat="false" ht="15" hidden="false" customHeight="false" outlineLevel="0" collapsed="false">
      <c r="J1320" s="41" t="str">
        <f aca="false">IF(D1320="","",IFERROR(IF(ISNUMBER(SEARCH(Assumptions!$C$5,D1320)),Assumptions!$D$5,IF(ISNUMBER(SEARCH(Assumptions!$C$6,D1320)),Assumptions!$D$6,IF(ISNUMBER(SEARCH(Assumptions!$C$7,D1320)),Assumptions!$D$7,"Other Services"))),"Other Services"))</f>
        <v/>
      </c>
    </row>
    <row r="1321" customFormat="false" ht="15" hidden="false" customHeight="false" outlineLevel="0" collapsed="false">
      <c r="J1321" s="41" t="str">
        <f aca="false">IF(D1321="","",IFERROR(IF(ISNUMBER(SEARCH(Assumptions!$C$5,D1321)),Assumptions!$D$5,IF(ISNUMBER(SEARCH(Assumptions!$C$6,D1321)),Assumptions!$D$6,IF(ISNUMBER(SEARCH(Assumptions!$C$7,D1321)),Assumptions!$D$7,"Other Services"))),"Other Services"))</f>
        <v/>
      </c>
    </row>
    <row r="1322" customFormat="false" ht="15" hidden="false" customHeight="false" outlineLevel="0" collapsed="false">
      <c r="J1322" s="41" t="str">
        <f aca="false">IF(D1322="","",IFERROR(IF(ISNUMBER(SEARCH(Assumptions!$C$5,D1322)),Assumptions!$D$5,IF(ISNUMBER(SEARCH(Assumptions!$C$6,D1322)),Assumptions!$D$6,IF(ISNUMBER(SEARCH(Assumptions!$C$7,D1322)),Assumptions!$D$7,"Other Services"))),"Other Services"))</f>
        <v/>
      </c>
    </row>
    <row r="1323" customFormat="false" ht="15" hidden="false" customHeight="false" outlineLevel="0" collapsed="false">
      <c r="J1323" s="41" t="str">
        <f aca="false">IF(D1323="","",IFERROR(IF(ISNUMBER(SEARCH(Assumptions!$C$5,D1323)),Assumptions!$D$5,IF(ISNUMBER(SEARCH(Assumptions!$C$6,D1323)),Assumptions!$D$6,IF(ISNUMBER(SEARCH(Assumptions!$C$7,D1323)),Assumptions!$D$7,"Other Services"))),"Other Services"))</f>
        <v/>
      </c>
    </row>
    <row r="1324" customFormat="false" ht="15" hidden="false" customHeight="false" outlineLevel="0" collapsed="false">
      <c r="J1324" s="41" t="str">
        <f aca="false">IF(D1324="","",IFERROR(IF(ISNUMBER(SEARCH(Assumptions!$C$5,D1324)),Assumptions!$D$5,IF(ISNUMBER(SEARCH(Assumptions!$C$6,D1324)),Assumptions!$D$6,IF(ISNUMBER(SEARCH(Assumptions!$C$7,D1324)),Assumptions!$D$7,"Other Services"))),"Other Services"))</f>
        <v/>
      </c>
    </row>
    <row r="1325" customFormat="false" ht="15" hidden="false" customHeight="false" outlineLevel="0" collapsed="false">
      <c r="J1325" s="41" t="str">
        <f aca="false">IF(D1325="","",IFERROR(IF(ISNUMBER(SEARCH(Assumptions!$C$5,D1325)),Assumptions!$D$5,IF(ISNUMBER(SEARCH(Assumptions!$C$6,D1325)),Assumptions!$D$6,IF(ISNUMBER(SEARCH(Assumptions!$C$7,D1325)),Assumptions!$D$7,"Other Services"))),"Other Services"))</f>
        <v/>
      </c>
    </row>
    <row r="1326" customFormat="false" ht="15" hidden="false" customHeight="false" outlineLevel="0" collapsed="false">
      <c r="J1326" s="41" t="str">
        <f aca="false">IF(D1326="","",IFERROR(IF(ISNUMBER(SEARCH(Assumptions!$C$5,D1326)),Assumptions!$D$5,IF(ISNUMBER(SEARCH(Assumptions!$C$6,D1326)),Assumptions!$D$6,IF(ISNUMBER(SEARCH(Assumptions!$C$7,D1326)),Assumptions!$D$7,"Other Services"))),"Other Services"))</f>
        <v/>
      </c>
    </row>
    <row r="1327" customFormat="false" ht="15" hidden="false" customHeight="false" outlineLevel="0" collapsed="false">
      <c r="J1327" s="41" t="str">
        <f aca="false">IF(D1327="","",IFERROR(IF(ISNUMBER(SEARCH(Assumptions!$C$5,D1327)),Assumptions!$D$5,IF(ISNUMBER(SEARCH(Assumptions!$C$6,D1327)),Assumptions!$D$6,IF(ISNUMBER(SEARCH(Assumptions!$C$7,D1327)),Assumptions!$D$7,"Other Services"))),"Other Services"))</f>
        <v/>
      </c>
    </row>
    <row r="1328" customFormat="false" ht="15" hidden="false" customHeight="false" outlineLevel="0" collapsed="false">
      <c r="J1328" s="41" t="str">
        <f aca="false">IF(D1328="","",IFERROR(IF(ISNUMBER(SEARCH(Assumptions!$C$5,D1328)),Assumptions!$D$5,IF(ISNUMBER(SEARCH(Assumptions!$C$6,D1328)),Assumptions!$D$6,IF(ISNUMBER(SEARCH(Assumptions!$C$7,D1328)),Assumptions!$D$7,"Other Services"))),"Other Services"))</f>
        <v/>
      </c>
    </row>
    <row r="1329" customFormat="false" ht="15" hidden="false" customHeight="false" outlineLevel="0" collapsed="false">
      <c r="J1329" s="41" t="str">
        <f aca="false">IF(D1329="","",IFERROR(IF(ISNUMBER(SEARCH(Assumptions!$C$5,D1329)),Assumptions!$D$5,IF(ISNUMBER(SEARCH(Assumptions!$C$6,D1329)),Assumptions!$D$6,IF(ISNUMBER(SEARCH(Assumptions!$C$7,D1329)),Assumptions!$D$7,"Other Services"))),"Other Services"))</f>
        <v/>
      </c>
    </row>
    <row r="1330" customFormat="false" ht="15" hidden="false" customHeight="false" outlineLevel="0" collapsed="false">
      <c r="J1330" s="41" t="str">
        <f aca="false">IF(D1330="","",IFERROR(IF(ISNUMBER(SEARCH(Assumptions!$C$5,D1330)),Assumptions!$D$5,IF(ISNUMBER(SEARCH(Assumptions!$C$6,D1330)),Assumptions!$D$6,IF(ISNUMBER(SEARCH(Assumptions!$C$7,D1330)),Assumptions!$D$7,"Other Services"))),"Other Services"))</f>
        <v/>
      </c>
    </row>
    <row r="1331" customFormat="false" ht="15" hidden="false" customHeight="false" outlineLevel="0" collapsed="false">
      <c r="J1331" s="41" t="str">
        <f aca="false">IF(D1331="","",IFERROR(IF(ISNUMBER(SEARCH(Assumptions!$C$5,D1331)),Assumptions!$D$5,IF(ISNUMBER(SEARCH(Assumptions!$C$6,D1331)),Assumptions!$D$6,IF(ISNUMBER(SEARCH(Assumptions!$C$7,D1331)),Assumptions!$D$7,"Other Services"))),"Other Services"))</f>
        <v/>
      </c>
    </row>
    <row r="1332" customFormat="false" ht="15" hidden="false" customHeight="false" outlineLevel="0" collapsed="false">
      <c r="J1332" s="41" t="str">
        <f aca="false">IF(D1332="","",IFERROR(IF(ISNUMBER(SEARCH(Assumptions!$C$5,D1332)),Assumptions!$D$5,IF(ISNUMBER(SEARCH(Assumptions!$C$6,D1332)),Assumptions!$D$6,IF(ISNUMBER(SEARCH(Assumptions!$C$7,D1332)),Assumptions!$D$7,"Other Services"))),"Other Services"))</f>
        <v/>
      </c>
    </row>
    <row r="1333" customFormat="false" ht="15" hidden="false" customHeight="false" outlineLevel="0" collapsed="false">
      <c r="J1333" s="41" t="str">
        <f aca="false">IF(D1333="","",IFERROR(IF(ISNUMBER(SEARCH(Assumptions!$C$5,D1333)),Assumptions!$D$5,IF(ISNUMBER(SEARCH(Assumptions!$C$6,D1333)),Assumptions!$D$6,IF(ISNUMBER(SEARCH(Assumptions!$C$7,D1333)),Assumptions!$D$7,"Other Services"))),"Other Services"))</f>
        <v/>
      </c>
    </row>
    <row r="1334" customFormat="false" ht="15" hidden="false" customHeight="false" outlineLevel="0" collapsed="false">
      <c r="J1334" s="41" t="str">
        <f aca="false">IF(D1334="","",IFERROR(IF(ISNUMBER(SEARCH(Assumptions!$C$5,D1334)),Assumptions!$D$5,IF(ISNUMBER(SEARCH(Assumptions!$C$6,D1334)),Assumptions!$D$6,IF(ISNUMBER(SEARCH(Assumptions!$C$7,D1334)),Assumptions!$D$7,"Other Services"))),"Other Services"))</f>
        <v/>
      </c>
    </row>
    <row r="1335" customFormat="false" ht="15" hidden="false" customHeight="false" outlineLevel="0" collapsed="false">
      <c r="J1335" s="41" t="str">
        <f aca="false">IF(D1335="","",IFERROR(IF(ISNUMBER(SEARCH(Assumptions!$C$5,D1335)),Assumptions!$D$5,IF(ISNUMBER(SEARCH(Assumptions!$C$6,D1335)),Assumptions!$D$6,IF(ISNUMBER(SEARCH(Assumptions!$C$7,D1335)),Assumptions!$D$7,"Other Services"))),"Other Services"))</f>
        <v/>
      </c>
    </row>
    <row r="1336" customFormat="false" ht="15" hidden="false" customHeight="false" outlineLevel="0" collapsed="false">
      <c r="J1336" s="41" t="str">
        <f aca="false">IF(D1336="","",IFERROR(IF(ISNUMBER(SEARCH(Assumptions!$C$5,D1336)),Assumptions!$D$5,IF(ISNUMBER(SEARCH(Assumptions!$C$6,D1336)),Assumptions!$D$6,IF(ISNUMBER(SEARCH(Assumptions!$C$7,D1336)),Assumptions!$D$7,"Other Services"))),"Other Services"))</f>
        <v/>
      </c>
    </row>
    <row r="1337" customFormat="false" ht="15" hidden="false" customHeight="false" outlineLevel="0" collapsed="false">
      <c r="J1337" s="41" t="str">
        <f aca="false">IF(D1337="","",IFERROR(IF(ISNUMBER(SEARCH(Assumptions!$C$5,D1337)),Assumptions!$D$5,IF(ISNUMBER(SEARCH(Assumptions!$C$6,D1337)),Assumptions!$D$6,IF(ISNUMBER(SEARCH(Assumptions!$C$7,D1337)),Assumptions!$D$7,"Other Services"))),"Other Services"))</f>
        <v/>
      </c>
    </row>
    <row r="1338" customFormat="false" ht="15" hidden="false" customHeight="false" outlineLevel="0" collapsed="false">
      <c r="J1338" s="41" t="str">
        <f aca="false">IF(D1338="","",IFERROR(IF(ISNUMBER(SEARCH(Assumptions!$C$5,D1338)),Assumptions!$D$5,IF(ISNUMBER(SEARCH(Assumptions!$C$6,D1338)),Assumptions!$D$6,IF(ISNUMBER(SEARCH(Assumptions!$C$7,D1338)),Assumptions!$D$7,"Other Services"))),"Other Services"))</f>
        <v/>
      </c>
    </row>
    <row r="1339" customFormat="false" ht="15" hidden="false" customHeight="false" outlineLevel="0" collapsed="false">
      <c r="J1339" s="41" t="str">
        <f aca="false">IF(D1339="","",IFERROR(IF(ISNUMBER(SEARCH(Assumptions!$C$5,D1339)),Assumptions!$D$5,IF(ISNUMBER(SEARCH(Assumptions!$C$6,D1339)),Assumptions!$D$6,IF(ISNUMBER(SEARCH(Assumptions!$C$7,D1339)),Assumptions!$D$7,"Other Services"))),"Other Services"))</f>
        <v/>
      </c>
    </row>
    <row r="1340" customFormat="false" ht="15" hidden="false" customHeight="false" outlineLevel="0" collapsed="false">
      <c r="J1340" s="41" t="str">
        <f aca="false">IF(D1340="","",IFERROR(IF(ISNUMBER(SEARCH(Assumptions!$C$5,D1340)),Assumptions!$D$5,IF(ISNUMBER(SEARCH(Assumptions!$C$6,D1340)),Assumptions!$D$6,IF(ISNUMBER(SEARCH(Assumptions!$C$7,D1340)),Assumptions!$D$7,"Other Services"))),"Other Services"))</f>
        <v/>
      </c>
    </row>
    <row r="1341" customFormat="false" ht="15" hidden="false" customHeight="false" outlineLevel="0" collapsed="false">
      <c r="J1341" s="41" t="str">
        <f aca="false">IF(D1341="","",IFERROR(IF(ISNUMBER(SEARCH(Assumptions!$C$5,D1341)),Assumptions!$D$5,IF(ISNUMBER(SEARCH(Assumptions!$C$6,D1341)),Assumptions!$D$6,IF(ISNUMBER(SEARCH(Assumptions!$C$7,D1341)),Assumptions!$D$7,"Other Services"))),"Other Services"))</f>
        <v/>
      </c>
    </row>
    <row r="1342" customFormat="false" ht="15" hidden="false" customHeight="false" outlineLevel="0" collapsed="false">
      <c r="J1342" s="41" t="str">
        <f aca="false">IF(D1342="","",IFERROR(IF(ISNUMBER(SEARCH(Assumptions!$C$5,D1342)),Assumptions!$D$5,IF(ISNUMBER(SEARCH(Assumptions!$C$6,D1342)),Assumptions!$D$6,IF(ISNUMBER(SEARCH(Assumptions!$C$7,D1342)),Assumptions!$D$7,"Other Services"))),"Other Services"))</f>
        <v/>
      </c>
    </row>
    <row r="1343" customFormat="false" ht="15" hidden="false" customHeight="false" outlineLevel="0" collapsed="false">
      <c r="J1343" s="41" t="str">
        <f aca="false">IF(D1343="","",IFERROR(IF(ISNUMBER(SEARCH(Assumptions!$C$5,D1343)),Assumptions!$D$5,IF(ISNUMBER(SEARCH(Assumptions!$C$6,D1343)),Assumptions!$D$6,IF(ISNUMBER(SEARCH(Assumptions!$C$7,D1343)),Assumptions!$D$7,"Other Services"))),"Other Services"))</f>
        <v/>
      </c>
    </row>
    <row r="1344" customFormat="false" ht="15" hidden="false" customHeight="false" outlineLevel="0" collapsed="false">
      <c r="J1344" s="41" t="str">
        <f aca="false">IF(D1344="","",IFERROR(IF(ISNUMBER(SEARCH(Assumptions!$C$5,D1344)),Assumptions!$D$5,IF(ISNUMBER(SEARCH(Assumptions!$C$6,D1344)),Assumptions!$D$6,IF(ISNUMBER(SEARCH(Assumptions!$C$7,D1344)),Assumptions!$D$7,"Other Services"))),"Other Services"))</f>
        <v/>
      </c>
    </row>
    <row r="1345" customFormat="false" ht="15" hidden="false" customHeight="false" outlineLevel="0" collapsed="false">
      <c r="J1345" s="41" t="str">
        <f aca="false">IF(D1345="","",IFERROR(IF(ISNUMBER(SEARCH(Assumptions!$C$5,D1345)),Assumptions!$D$5,IF(ISNUMBER(SEARCH(Assumptions!$C$6,D1345)),Assumptions!$D$6,IF(ISNUMBER(SEARCH(Assumptions!$C$7,D1345)),Assumptions!$D$7,"Other Services"))),"Other Services"))</f>
        <v/>
      </c>
    </row>
    <row r="1346" customFormat="false" ht="15" hidden="false" customHeight="false" outlineLevel="0" collapsed="false">
      <c r="J1346" s="41" t="str">
        <f aca="false">IF(D1346="","",IFERROR(IF(ISNUMBER(SEARCH(Assumptions!$C$5,D1346)),Assumptions!$D$5,IF(ISNUMBER(SEARCH(Assumptions!$C$6,D1346)),Assumptions!$D$6,IF(ISNUMBER(SEARCH(Assumptions!$C$7,D1346)),Assumptions!$D$7,"Other Services"))),"Other Services"))</f>
        <v/>
      </c>
    </row>
    <row r="1347" customFormat="false" ht="15" hidden="false" customHeight="false" outlineLevel="0" collapsed="false">
      <c r="J1347" s="41" t="str">
        <f aca="false">IF(D1347="","",IFERROR(IF(ISNUMBER(SEARCH(Assumptions!$C$5,D1347)),Assumptions!$D$5,IF(ISNUMBER(SEARCH(Assumptions!$C$6,D1347)),Assumptions!$D$6,IF(ISNUMBER(SEARCH(Assumptions!$C$7,D1347)),Assumptions!$D$7,"Other Services"))),"Other Services"))</f>
        <v/>
      </c>
    </row>
    <row r="1348" customFormat="false" ht="15" hidden="false" customHeight="false" outlineLevel="0" collapsed="false">
      <c r="J1348" s="41" t="str">
        <f aca="false">IF(D1348="","",IFERROR(IF(ISNUMBER(SEARCH(Assumptions!$C$5,D1348)),Assumptions!$D$5,IF(ISNUMBER(SEARCH(Assumptions!$C$6,D1348)),Assumptions!$D$6,IF(ISNUMBER(SEARCH(Assumptions!$C$7,D1348)),Assumptions!$D$7,"Other Services"))),"Other Services"))</f>
        <v/>
      </c>
    </row>
    <row r="1349" customFormat="false" ht="15" hidden="false" customHeight="false" outlineLevel="0" collapsed="false">
      <c r="J1349" s="41" t="str">
        <f aca="false">IF(D1349="","",IFERROR(IF(ISNUMBER(SEARCH(Assumptions!$C$5,D1349)),Assumptions!$D$5,IF(ISNUMBER(SEARCH(Assumptions!$C$6,D1349)),Assumptions!$D$6,IF(ISNUMBER(SEARCH(Assumptions!$C$7,D1349)),Assumptions!$D$7,"Other Services"))),"Other Services"))</f>
        <v/>
      </c>
    </row>
    <row r="1350" customFormat="false" ht="15" hidden="false" customHeight="false" outlineLevel="0" collapsed="false">
      <c r="J1350" s="41" t="str">
        <f aca="false">IF(D1350="","",IFERROR(IF(ISNUMBER(SEARCH(Assumptions!$C$5,D1350)),Assumptions!$D$5,IF(ISNUMBER(SEARCH(Assumptions!$C$6,D1350)),Assumptions!$D$6,IF(ISNUMBER(SEARCH(Assumptions!$C$7,D1350)),Assumptions!$D$7,"Other Services"))),"Other Services"))</f>
        <v/>
      </c>
    </row>
    <row r="1351" customFormat="false" ht="15" hidden="false" customHeight="false" outlineLevel="0" collapsed="false">
      <c r="J1351" s="41" t="str">
        <f aca="false">IF(D1351="","",IFERROR(IF(ISNUMBER(SEARCH(Assumptions!$C$5,D1351)),Assumptions!$D$5,IF(ISNUMBER(SEARCH(Assumptions!$C$6,D1351)),Assumptions!$D$6,IF(ISNUMBER(SEARCH(Assumptions!$C$7,D1351)),Assumptions!$D$7,"Other Services"))),"Other Services"))</f>
        <v/>
      </c>
    </row>
    <row r="1352" customFormat="false" ht="15" hidden="false" customHeight="false" outlineLevel="0" collapsed="false">
      <c r="J1352" s="41" t="str">
        <f aca="false">IF(D1352="","",IFERROR(IF(ISNUMBER(SEARCH(Assumptions!$C$5,D1352)),Assumptions!$D$5,IF(ISNUMBER(SEARCH(Assumptions!$C$6,D1352)),Assumptions!$D$6,IF(ISNUMBER(SEARCH(Assumptions!$C$7,D1352)),Assumptions!$D$7,"Other Services"))),"Other Services"))</f>
        <v/>
      </c>
    </row>
    <row r="1353" customFormat="false" ht="15" hidden="false" customHeight="false" outlineLevel="0" collapsed="false">
      <c r="J1353" s="41" t="str">
        <f aca="false">IF(D1353="","",IFERROR(IF(ISNUMBER(SEARCH(Assumptions!$C$5,D1353)),Assumptions!$D$5,IF(ISNUMBER(SEARCH(Assumptions!$C$6,D1353)),Assumptions!$D$6,IF(ISNUMBER(SEARCH(Assumptions!$C$7,D1353)),Assumptions!$D$7,"Other Services"))),"Other Services"))</f>
        <v/>
      </c>
    </row>
    <row r="1354" customFormat="false" ht="15" hidden="false" customHeight="false" outlineLevel="0" collapsed="false">
      <c r="J1354" s="41" t="str">
        <f aca="false">IF(D1354="","",IFERROR(IF(ISNUMBER(SEARCH(Assumptions!$C$5,D1354)),Assumptions!$D$5,IF(ISNUMBER(SEARCH(Assumptions!$C$6,D1354)),Assumptions!$D$6,IF(ISNUMBER(SEARCH(Assumptions!$C$7,D1354)),Assumptions!$D$7,"Other Services"))),"Other Services"))</f>
        <v/>
      </c>
    </row>
    <row r="1355" customFormat="false" ht="15" hidden="false" customHeight="false" outlineLevel="0" collapsed="false">
      <c r="J1355" s="41" t="str">
        <f aca="false">IF(D1355="","",IFERROR(IF(ISNUMBER(SEARCH(Assumptions!$C$5,D1355)),Assumptions!$D$5,IF(ISNUMBER(SEARCH(Assumptions!$C$6,D1355)),Assumptions!$D$6,IF(ISNUMBER(SEARCH(Assumptions!$C$7,D1355)),Assumptions!$D$7,"Other Services"))),"Other Services"))</f>
        <v/>
      </c>
    </row>
    <row r="1356" customFormat="false" ht="15" hidden="false" customHeight="false" outlineLevel="0" collapsed="false">
      <c r="J1356" s="41" t="str">
        <f aca="false">IF(D1356="","",IFERROR(IF(ISNUMBER(SEARCH(Assumptions!$C$5,D1356)),Assumptions!$D$5,IF(ISNUMBER(SEARCH(Assumptions!$C$6,D1356)),Assumptions!$D$6,IF(ISNUMBER(SEARCH(Assumptions!$C$7,D1356)),Assumptions!$D$7,"Other Services"))),"Other Services"))</f>
        <v/>
      </c>
    </row>
    <row r="1357" customFormat="false" ht="15" hidden="false" customHeight="false" outlineLevel="0" collapsed="false">
      <c r="J1357" s="41" t="str">
        <f aca="false">IF(D1357="","",IFERROR(IF(ISNUMBER(SEARCH(Assumptions!$C$5,D1357)),Assumptions!$D$5,IF(ISNUMBER(SEARCH(Assumptions!$C$6,D1357)),Assumptions!$D$6,IF(ISNUMBER(SEARCH(Assumptions!$C$7,D1357)),Assumptions!$D$7,"Other Services"))),"Other Services"))</f>
        <v/>
      </c>
    </row>
    <row r="1358" customFormat="false" ht="15" hidden="false" customHeight="false" outlineLevel="0" collapsed="false">
      <c r="J1358" s="41" t="str">
        <f aca="false">IF(D1358="","",IFERROR(IF(ISNUMBER(SEARCH(Assumptions!$C$5,D1358)),Assumptions!$D$5,IF(ISNUMBER(SEARCH(Assumptions!$C$6,D1358)),Assumptions!$D$6,IF(ISNUMBER(SEARCH(Assumptions!$C$7,D1358)),Assumptions!$D$7,"Other Services"))),"Other Services"))</f>
        <v/>
      </c>
    </row>
    <row r="1359" customFormat="false" ht="15" hidden="false" customHeight="false" outlineLevel="0" collapsed="false">
      <c r="J1359" s="41" t="str">
        <f aca="false">IF(D1359="","",IFERROR(IF(ISNUMBER(SEARCH(Assumptions!$C$5,D1359)),Assumptions!$D$5,IF(ISNUMBER(SEARCH(Assumptions!$C$6,D1359)),Assumptions!$D$6,IF(ISNUMBER(SEARCH(Assumptions!$C$7,D1359)),Assumptions!$D$7,"Other Services"))),"Other Services"))</f>
        <v/>
      </c>
    </row>
    <row r="1360" customFormat="false" ht="15" hidden="false" customHeight="false" outlineLevel="0" collapsed="false">
      <c r="J1360" s="41" t="str">
        <f aca="false">IF(D1360="","",IFERROR(IF(ISNUMBER(SEARCH(Assumptions!$C$5,D1360)),Assumptions!$D$5,IF(ISNUMBER(SEARCH(Assumptions!$C$6,D1360)),Assumptions!$D$6,IF(ISNUMBER(SEARCH(Assumptions!$C$7,D1360)),Assumptions!$D$7,"Other Services"))),"Other Services"))</f>
        <v/>
      </c>
    </row>
    <row r="1361" customFormat="false" ht="15" hidden="false" customHeight="false" outlineLevel="0" collapsed="false">
      <c r="J1361" s="41" t="str">
        <f aca="false">IF(D1361="","",IFERROR(IF(ISNUMBER(SEARCH(Assumptions!$C$5,D1361)),Assumptions!$D$5,IF(ISNUMBER(SEARCH(Assumptions!$C$6,D1361)),Assumptions!$D$6,IF(ISNUMBER(SEARCH(Assumptions!$C$7,D1361)),Assumptions!$D$7,"Other Services"))),"Other Services"))</f>
        <v/>
      </c>
    </row>
    <row r="1362" customFormat="false" ht="15" hidden="false" customHeight="false" outlineLevel="0" collapsed="false">
      <c r="J1362" s="41" t="str">
        <f aca="false">IF(D1362="","",IFERROR(IF(ISNUMBER(SEARCH(Assumptions!$C$5,D1362)),Assumptions!$D$5,IF(ISNUMBER(SEARCH(Assumptions!$C$6,D1362)),Assumptions!$D$6,IF(ISNUMBER(SEARCH(Assumptions!$C$7,D1362)),Assumptions!$D$7,"Other Services"))),"Other Services"))</f>
        <v/>
      </c>
    </row>
    <row r="1363" customFormat="false" ht="15" hidden="false" customHeight="false" outlineLevel="0" collapsed="false">
      <c r="J1363" s="41" t="str">
        <f aca="false">IF(D1363="","",IFERROR(IF(ISNUMBER(SEARCH(Assumptions!$C$5,D1363)),Assumptions!$D$5,IF(ISNUMBER(SEARCH(Assumptions!$C$6,D1363)),Assumptions!$D$6,IF(ISNUMBER(SEARCH(Assumptions!$C$7,D1363)),Assumptions!$D$7,"Other Services"))),"Other Services"))</f>
        <v/>
      </c>
    </row>
    <row r="1364" customFormat="false" ht="15" hidden="false" customHeight="false" outlineLevel="0" collapsed="false">
      <c r="J1364" s="41" t="str">
        <f aca="false">IF(D1364="","",IFERROR(IF(ISNUMBER(SEARCH(Assumptions!$C$5,D1364)),Assumptions!$D$5,IF(ISNUMBER(SEARCH(Assumptions!$C$6,D1364)),Assumptions!$D$6,IF(ISNUMBER(SEARCH(Assumptions!$C$7,D1364)),Assumptions!$D$7,"Other Services"))),"Other Services"))</f>
        <v/>
      </c>
    </row>
    <row r="1365" customFormat="false" ht="15" hidden="false" customHeight="false" outlineLevel="0" collapsed="false">
      <c r="J1365" s="41" t="str">
        <f aca="false">IF(D1365="","",IFERROR(IF(ISNUMBER(SEARCH(Assumptions!$C$5,D1365)),Assumptions!$D$5,IF(ISNUMBER(SEARCH(Assumptions!$C$6,D1365)),Assumptions!$D$6,IF(ISNUMBER(SEARCH(Assumptions!$C$7,D1365)),Assumptions!$D$7,"Other Services"))),"Other Services"))</f>
        <v/>
      </c>
    </row>
    <row r="1366" customFormat="false" ht="15" hidden="false" customHeight="false" outlineLevel="0" collapsed="false">
      <c r="J1366" s="41" t="str">
        <f aca="false">IF(D1366="","",IFERROR(IF(ISNUMBER(SEARCH(Assumptions!$C$5,D1366)),Assumptions!$D$5,IF(ISNUMBER(SEARCH(Assumptions!$C$6,D1366)),Assumptions!$D$6,IF(ISNUMBER(SEARCH(Assumptions!$C$7,D1366)),Assumptions!$D$7,"Other Services"))),"Other Services"))</f>
        <v/>
      </c>
    </row>
    <row r="1367" customFormat="false" ht="15" hidden="false" customHeight="false" outlineLevel="0" collapsed="false">
      <c r="J1367" s="41" t="str">
        <f aca="false">IF(D1367="","",IFERROR(IF(ISNUMBER(SEARCH(Assumptions!$C$5,D1367)),Assumptions!$D$5,IF(ISNUMBER(SEARCH(Assumptions!$C$6,D1367)),Assumptions!$D$6,IF(ISNUMBER(SEARCH(Assumptions!$C$7,D1367)),Assumptions!$D$7,"Other Services"))),"Other Services"))</f>
        <v/>
      </c>
    </row>
    <row r="1368" customFormat="false" ht="15" hidden="false" customHeight="false" outlineLevel="0" collapsed="false">
      <c r="J1368" s="41" t="str">
        <f aca="false">IF(D1368="","",IFERROR(IF(ISNUMBER(SEARCH(Assumptions!$C$5,D1368)),Assumptions!$D$5,IF(ISNUMBER(SEARCH(Assumptions!$C$6,D1368)),Assumptions!$D$6,IF(ISNUMBER(SEARCH(Assumptions!$C$7,D1368)),Assumptions!$D$7,"Other Services"))),"Other Services"))</f>
        <v/>
      </c>
    </row>
    <row r="1369" customFormat="false" ht="15" hidden="false" customHeight="false" outlineLevel="0" collapsed="false">
      <c r="J1369" s="41" t="str">
        <f aca="false">IF(D1369="","",IFERROR(IF(ISNUMBER(SEARCH(Assumptions!$C$5,D1369)),Assumptions!$D$5,IF(ISNUMBER(SEARCH(Assumptions!$C$6,D1369)),Assumptions!$D$6,IF(ISNUMBER(SEARCH(Assumptions!$C$7,D1369)),Assumptions!$D$7,"Other Services"))),"Other Services"))</f>
        <v/>
      </c>
    </row>
    <row r="1370" customFormat="false" ht="15" hidden="false" customHeight="false" outlineLevel="0" collapsed="false">
      <c r="J1370" s="41" t="str">
        <f aca="false">IF(D1370="","",IFERROR(IF(ISNUMBER(SEARCH(Assumptions!$C$5,D1370)),Assumptions!$D$5,IF(ISNUMBER(SEARCH(Assumptions!$C$6,D1370)),Assumptions!$D$6,IF(ISNUMBER(SEARCH(Assumptions!$C$7,D1370)),Assumptions!$D$7,"Other Services"))),"Other Services"))</f>
        <v/>
      </c>
    </row>
    <row r="1371" customFormat="false" ht="15" hidden="false" customHeight="false" outlineLevel="0" collapsed="false">
      <c r="J1371" s="41" t="str">
        <f aca="false">IF(D1371="","",IFERROR(IF(ISNUMBER(SEARCH(Assumptions!$C$5,D1371)),Assumptions!$D$5,IF(ISNUMBER(SEARCH(Assumptions!$C$6,D1371)),Assumptions!$D$6,IF(ISNUMBER(SEARCH(Assumptions!$C$7,D1371)),Assumptions!$D$7,"Other Services"))),"Other Services"))</f>
        <v/>
      </c>
    </row>
    <row r="1372" customFormat="false" ht="15" hidden="false" customHeight="false" outlineLevel="0" collapsed="false">
      <c r="J1372" s="41" t="str">
        <f aca="false">IF(D1372="","",IFERROR(IF(ISNUMBER(SEARCH(Assumptions!$C$5,D1372)),Assumptions!$D$5,IF(ISNUMBER(SEARCH(Assumptions!$C$6,D1372)),Assumptions!$D$6,IF(ISNUMBER(SEARCH(Assumptions!$C$7,D1372)),Assumptions!$D$7,"Other Services"))),"Other Services"))</f>
        <v/>
      </c>
    </row>
    <row r="1373" customFormat="false" ht="15" hidden="false" customHeight="false" outlineLevel="0" collapsed="false">
      <c r="J1373" s="41" t="str">
        <f aca="false">IF(D1373="","",IFERROR(IF(ISNUMBER(SEARCH(Assumptions!$C$5,D1373)),Assumptions!$D$5,IF(ISNUMBER(SEARCH(Assumptions!$C$6,D1373)),Assumptions!$D$6,IF(ISNUMBER(SEARCH(Assumptions!$C$7,D1373)),Assumptions!$D$7,"Other Services"))),"Other Services"))</f>
        <v/>
      </c>
    </row>
    <row r="1374" customFormat="false" ht="15" hidden="false" customHeight="false" outlineLevel="0" collapsed="false">
      <c r="J1374" s="41" t="str">
        <f aca="false">IF(D1374="","",IFERROR(IF(ISNUMBER(SEARCH(Assumptions!$C$5,D1374)),Assumptions!$D$5,IF(ISNUMBER(SEARCH(Assumptions!$C$6,D1374)),Assumptions!$D$6,IF(ISNUMBER(SEARCH(Assumptions!$C$7,D1374)),Assumptions!$D$7,"Other Services"))),"Other Services"))</f>
        <v/>
      </c>
    </row>
    <row r="1375" customFormat="false" ht="15" hidden="false" customHeight="false" outlineLevel="0" collapsed="false">
      <c r="J1375" s="41" t="str">
        <f aca="false">IF(D1375="","",IFERROR(IF(ISNUMBER(SEARCH(Assumptions!$C$5,D1375)),Assumptions!$D$5,IF(ISNUMBER(SEARCH(Assumptions!$C$6,D1375)),Assumptions!$D$6,IF(ISNUMBER(SEARCH(Assumptions!$C$7,D1375)),Assumptions!$D$7,"Other Services"))),"Other Services"))</f>
        <v/>
      </c>
    </row>
    <row r="1376" customFormat="false" ht="15" hidden="false" customHeight="false" outlineLevel="0" collapsed="false">
      <c r="J1376" s="41" t="str">
        <f aca="false">IF(D1376="","",IFERROR(IF(ISNUMBER(SEARCH(Assumptions!$C$5,D1376)),Assumptions!$D$5,IF(ISNUMBER(SEARCH(Assumptions!$C$6,D1376)),Assumptions!$D$6,IF(ISNUMBER(SEARCH(Assumptions!$C$7,D1376)),Assumptions!$D$7,"Other Services"))),"Other Services"))</f>
        <v/>
      </c>
    </row>
    <row r="1377" customFormat="false" ht="15" hidden="false" customHeight="false" outlineLevel="0" collapsed="false">
      <c r="J1377" s="41" t="str">
        <f aca="false">IF(D1377="","",IFERROR(IF(ISNUMBER(SEARCH(Assumptions!$C$5,D1377)),Assumptions!$D$5,IF(ISNUMBER(SEARCH(Assumptions!$C$6,D1377)),Assumptions!$D$6,IF(ISNUMBER(SEARCH(Assumptions!$C$7,D1377)),Assumptions!$D$7,"Other Services"))),"Other Services"))</f>
        <v/>
      </c>
    </row>
    <row r="1378" customFormat="false" ht="15" hidden="false" customHeight="false" outlineLevel="0" collapsed="false">
      <c r="J1378" s="41" t="str">
        <f aca="false">IF(D1378="","",IFERROR(IF(ISNUMBER(SEARCH(Assumptions!$C$5,D1378)),Assumptions!$D$5,IF(ISNUMBER(SEARCH(Assumptions!$C$6,D1378)),Assumptions!$D$6,IF(ISNUMBER(SEARCH(Assumptions!$C$7,D1378)),Assumptions!$D$7,"Other Services"))),"Other Services"))</f>
        <v/>
      </c>
    </row>
    <row r="1379" customFormat="false" ht="15" hidden="false" customHeight="false" outlineLevel="0" collapsed="false">
      <c r="J1379" s="41" t="str">
        <f aca="false">IF(D1379="","",IFERROR(IF(ISNUMBER(SEARCH(Assumptions!$C$5,D1379)),Assumptions!$D$5,IF(ISNUMBER(SEARCH(Assumptions!$C$6,D1379)),Assumptions!$D$6,IF(ISNUMBER(SEARCH(Assumptions!$C$7,D1379)),Assumptions!$D$7,"Other Services"))),"Other Services"))</f>
        <v/>
      </c>
    </row>
    <row r="1380" customFormat="false" ht="15" hidden="false" customHeight="false" outlineLevel="0" collapsed="false">
      <c r="J1380" s="41" t="str">
        <f aca="false">IF(D1380="","",IFERROR(IF(ISNUMBER(SEARCH(Assumptions!$C$5,D1380)),Assumptions!$D$5,IF(ISNUMBER(SEARCH(Assumptions!$C$6,D1380)),Assumptions!$D$6,IF(ISNUMBER(SEARCH(Assumptions!$C$7,D1380)),Assumptions!$D$7,"Other Services"))),"Other Services"))</f>
        <v/>
      </c>
    </row>
    <row r="1381" customFormat="false" ht="15" hidden="false" customHeight="false" outlineLevel="0" collapsed="false">
      <c r="J1381" s="41" t="str">
        <f aca="false">IF(D1381="","",IFERROR(IF(ISNUMBER(SEARCH(Assumptions!$C$5,D1381)),Assumptions!$D$5,IF(ISNUMBER(SEARCH(Assumptions!$C$6,D1381)),Assumptions!$D$6,IF(ISNUMBER(SEARCH(Assumptions!$C$7,D1381)),Assumptions!$D$7,"Other Services"))),"Other Services"))</f>
        <v/>
      </c>
    </row>
    <row r="1382" customFormat="false" ht="15" hidden="false" customHeight="false" outlineLevel="0" collapsed="false">
      <c r="J1382" s="41" t="str">
        <f aca="false">IF(D1382="","",IFERROR(IF(ISNUMBER(SEARCH(Assumptions!$C$5,D1382)),Assumptions!$D$5,IF(ISNUMBER(SEARCH(Assumptions!$C$6,D1382)),Assumptions!$D$6,IF(ISNUMBER(SEARCH(Assumptions!$C$7,D1382)),Assumptions!$D$7,"Other Services"))),"Other Services"))</f>
        <v/>
      </c>
    </row>
    <row r="1383" customFormat="false" ht="15" hidden="false" customHeight="false" outlineLevel="0" collapsed="false">
      <c r="J1383" s="41" t="str">
        <f aca="false">IF(D1383="","",IFERROR(IF(ISNUMBER(SEARCH(Assumptions!$C$5,D1383)),Assumptions!$D$5,IF(ISNUMBER(SEARCH(Assumptions!$C$6,D1383)),Assumptions!$D$6,IF(ISNUMBER(SEARCH(Assumptions!$C$7,D1383)),Assumptions!$D$7,"Other Services"))),"Other Services"))</f>
        <v/>
      </c>
    </row>
    <row r="1384" customFormat="false" ht="15" hidden="false" customHeight="false" outlineLevel="0" collapsed="false">
      <c r="J1384" s="41" t="str">
        <f aca="false">IF(D1384="","",IFERROR(IF(ISNUMBER(SEARCH(Assumptions!$C$5,D1384)),Assumptions!$D$5,IF(ISNUMBER(SEARCH(Assumptions!$C$6,D1384)),Assumptions!$D$6,IF(ISNUMBER(SEARCH(Assumptions!$C$7,D1384)),Assumptions!$D$7,"Other Services"))),"Other Services"))</f>
        <v/>
      </c>
    </row>
    <row r="1385" customFormat="false" ht="15" hidden="false" customHeight="false" outlineLevel="0" collapsed="false">
      <c r="J1385" s="41" t="str">
        <f aca="false">IF(D1385="","",IFERROR(IF(ISNUMBER(SEARCH(Assumptions!$C$5,D1385)),Assumptions!$D$5,IF(ISNUMBER(SEARCH(Assumptions!$C$6,D1385)),Assumptions!$D$6,IF(ISNUMBER(SEARCH(Assumptions!$C$7,D1385)),Assumptions!$D$7,"Other Services"))),"Other Services"))</f>
        <v/>
      </c>
    </row>
    <row r="1386" customFormat="false" ht="15" hidden="false" customHeight="false" outlineLevel="0" collapsed="false">
      <c r="J1386" s="41" t="str">
        <f aca="false">IF(D1386="","",IFERROR(IF(ISNUMBER(SEARCH(Assumptions!$C$5,D1386)),Assumptions!$D$5,IF(ISNUMBER(SEARCH(Assumptions!$C$6,D1386)),Assumptions!$D$6,IF(ISNUMBER(SEARCH(Assumptions!$C$7,D1386)),Assumptions!$D$7,"Other Services"))),"Other Services"))</f>
        <v/>
      </c>
    </row>
    <row r="1387" customFormat="false" ht="15" hidden="false" customHeight="false" outlineLevel="0" collapsed="false">
      <c r="J1387" s="41" t="str">
        <f aca="false">IF(D1387="","",IFERROR(IF(ISNUMBER(SEARCH(Assumptions!$C$5,D1387)),Assumptions!$D$5,IF(ISNUMBER(SEARCH(Assumptions!$C$6,D1387)),Assumptions!$D$6,IF(ISNUMBER(SEARCH(Assumptions!$C$7,D1387)),Assumptions!$D$7,"Other Services"))),"Other Services"))</f>
        <v/>
      </c>
    </row>
    <row r="1388" customFormat="false" ht="15" hidden="false" customHeight="false" outlineLevel="0" collapsed="false">
      <c r="J1388" s="41" t="str">
        <f aca="false">IF(D1388="","",IFERROR(IF(ISNUMBER(SEARCH(Assumptions!$C$5,D1388)),Assumptions!$D$5,IF(ISNUMBER(SEARCH(Assumptions!$C$6,D1388)),Assumptions!$D$6,IF(ISNUMBER(SEARCH(Assumptions!$C$7,D1388)),Assumptions!$D$7,"Other Services"))),"Other Services"))</f>
        <v/>
      </c>
    </row>
    <row r="1389" customFormat="false" ht="15" hidden="false" customHeight="false" outlineLevel="0" collapsed="false">
      <c r="J1389" s="41" t="str">
        <f aca="false">IF(D1389="","",IFERROR(IF(ISNUMBER(SEARCH(Assumptions!$C$5,D1389)),Assumptions!$D$5,IF(ISNUMBER(SEARCH(Assumptions!$C$6,D1389)),Assumptions!$D$6,IF(ISNUMBER(SEARCH(Assumptions!$C$7,D1389)),Assumptions!$D$7,"Other Services"))),"Other Services"))</f>
        <v/>
      </c>
    </row>
    <row r="1390" customFormat="false" ht="15" hidden="false" customHeight="false" outlineLevel="0" collapsed="false">
      <c r="J1390" s="41" t="str">
        <f aca="false">IF(D1390="","",IFERROR(IF(ISNUMBER(SEARCH(Assumptions!$C$5,D1390)),Assumptions!$D$5,IF(ISNUMBER(SEARCH(Assumptions!$C$6,D1390)),Assumptions!$D$6,IF(ISNUMBER(SEARCH(Assumptions!$C$7,D1390)),Assumptions!$D$7,"Other Services"))),"Other Services"))</f>
        <v/>
      </c>
    </row>
    <row r="1391" customFormat="false" ht="15" hidden="false" customHeight="false" outlineLevel="0" collapsed="false">
      <c r="J1391" s="41" t="str">
        <f aca="false">IF(D1391="","",IFERROR(IF(ISNUMBER(SEARCH(Assumptions!$C$5,D1391)),Assumptions!$D$5,IF(ISNUMBER(SEARCH(Assumptions!$C$6,D1391)),Assumptions!$D$6,IF(ISNUMBER(SEARCH(Assumptions!$C$7,D1391)),Assumptions!$D$7,"Other Services"))),"Other Services"))</f>
        <v/>
      </c>
    </row>
    <row r="1392" customFormat="false" ht="15" hidden="false" customHeight="false" outlineLevel="0" collapsed="false">
      <c r="J1392" s="41" t="str">
        <f aca="false">IF(D1392="","",IFERROR(IF(ISNUMBER(SEARCH(Assumptions!$C$5,D1392)),Assumptions!$D$5,IF(ISNUMBER(SEARCH(Assumptions!$C$6,D1392)),Assumptions!$D$6,IF(ISNUMBER(SEARCH(Assumptions!$C$7,D1392)),Assumptions!$D$7,"Other Services"))),"Other Services"))</f>
        <v/>
      </c>
    </row>
    <row r="1393" customFormat="false" ht="15" hidden="false" customHeight="false" outlineLevel="0" collapsed="false">
      <c r="J1393" s="41" t="str">
        <f aca="false">IF(D1393="","",IFERROR(IF(ISNUMBER(SEARCH(Assumptions!$C$5,D1393)),Assumptions!$D$5,IF(ISNUMBER(SEARCH(Assumptions!$C$6,D1393)),Assumptions!$D$6,IF(ISNUMBER(SEARCH(Assumptions!$C$7,D1393)),Assumptions!$D$7,"Other Services"))),"Other Services"))</f>
        <v/>
      </c>
    </row>
    <row r="1394" customFormat="false" ht="15" hidden="false" customHeight="false" outlineLevel="0" collapsed="false">
      <c r="J1394" s="41" t="str">
        <f aca="false">IF(D1394="","",IFERROR(IF(ISNUMBER(SEARCH(Assumptions!$C$5,D1394)),Assumptions!$D$5,IF(ISNUMBER(SEARCH(Assumptions!$C$6,D1394)),Assumptions!$D$6,IF(ISNUMBER(SEARCH(Assumptions!$C$7,D1394)),Assumptions!$D$7,"Other Services"))),"Other Services"))</f>
        <v/>
      </c>
    </row>
    <row r="1395" customFormat="false" ht="15" hidden="false" customHeight="false" outlineLevel="0" collapsed="false">
      <c r="J1395" s="41" t="str">
        <f aca="false">IF(D1395="","",IFERROR(IF(ISNUMBER(SEARCH(Assumptions!$C$5,D1395)),Assumptions!$D$5,IF(ISNUMBER(SEARCH(Assumptions!$C$6,D1395)),Assumptions!$D$6,IF(ISNUMBER(SEARCH(Assumptions!$C$7,D1395)),Assumptions!$D$7,"Other Services"))),"Other Services"))</f>
        <v/>
      </c>
    </row>
    <row r="1396" customFormat="false" ht="15" hidden="false" customHeight="false" outlineLevel="0" collapsed="false">
      <c r="J1396" s="41" t="str">
        <f aca="false">IF(D1396="","",IFERROR(IF(ISNUMBER(SEARCH(Assumptions!$C$5,D1396)),Assumptions!$D$5,IF(ISNUMBER(SEARCH(Assumptions!$C$6,D1396)),Assumptions!$D$6,IF(ISNUMBER(SEARCH(Assumptions!$C$7,D1396)),Assumptions!$D$7,"Other Services"))),"Other Services"))</f>
        <v/>
      </c>
    </row>
    <row r="1397" customFormat="false" ht="15" hidden="false" customHeight="false" outlineLevel="0" collapsed="false">
      <c r="J1397" s="41" t="str">
        <f aca="false">IF(D1397="","",IFERROR(IF(ISNUMBER(SEARCH(Assumptions!$C$5,D1397)),Assumptions!$D$5,IF(ISNUMBER(SEARCH(Assumptions!$C$6,D1397)),Assumptions!$D$6,IF(ISNUMBER(SEARCH(Assumptions!$C$7,D1397)),Assumptions!$D$7,"Other Services"))),"Other Services"))</f>
        <v/>
      </c>
    </row>
    <row r="1398" customFormat="false" ht="15" hidden="false" customHeight="false" outlineLevel="0" collapsed="false">
      <c r="J1398" s="41" t="str">
        <f aca="false">IF(D1398="","",IFERROR(IF(ISNUMBER(SEARCH(Assumptions!$C$5,D1398)),Assumptions!$D$5,IF(ISNUMBER(SEARCH(Assumptions!$C$6,D1398)),Assumptions!$D$6,IF(ISNUMBER(SEARCH(Assumptions!$C$7,D1398)),Assumptions!$D$7,"Other Services"))),"Other Services"))</f>
        <v/>
      </c>
    </row>
    <row r="1399" customFormat="false" ht="15" hidden="false" customHeight="false" outlineLevel="0" collapsed="false">
      <c r="J1399" s="41" t="str">
        <f aca="false">IF(D1399="","",IFERROR(IF(ISNUMBER(SEARCH(Assumptions!$C$5,D1399)),Assumptions!$D$5,IF(ISNUMBER(SEARCH(Assumptions!$C$6,D1399)),Assumptions!$D$6,IF(ISNUMBER(SEARCH(Assumptions!$C$7,D1399)),Assumptions!$D$7,"Other Services"))),"Other Services"))</f>
        <v/>
      </c>
    </row>
    <row r="1400" customFormat="false" ht="15" hidden="false" customHeight="false" outlineLevel="0" collapsed="false">
      <c r="J1400" s="41" t="str">
        <f aca="false">IF(D1400="","",IFERROR(IF(ISNUMBER(SEARCH(Assumptions!$C$5,D1400)),Assumptions!$D$5,IF(ISNUMBER(SEARCH(Assumptions!$C$6,D1400)),Assumptions!$D$6,IF(ISNUMBER(SEARCH(Assumptions!$C$7,D1400)),Assumptions!$D$7,"Other Services"))),"Other Services"))</f>
        <v/>
      </c>
    </row>
    <row r="1401" customFormat="false" ht="15" hidden="false" customHeight="false" outlineLevel="0" collapsed="false">
      <c r="J1401" s="41" t="str">
        <f aca="false">IF(D1401="","",IFERROR(IF(ISNUMBER(SEARCH(Assumptions!$C$5,D1401)),Assumptions!$D$5,IF(ISNUMBER(SEARCH(Assumptions!$C$6,D1401)),Assumptions!$D$6,IF(ISNUMBER(SEARCH(Assumptions!$C$7,D1401)),Assumptions!$D$7,"Other Services"))),"Other Services"))</f>
        <v/>
      </c>
    </row>
    <row r="1402" customFormat="false" ht="15" hidden="false" customHeight="false" outlineLevel="0" collapsed="false">
      <c r="J1402" s="41" t="str">
        <f aca="false">IF(D1402="","",IFERROR(IF(ISNUMBER(SEARCH(Assumptions!$C$5,D1402)),Assumptions!$D$5,IF(ISNUMBER(SEARCH(Assumptions!$C$6,D1402)),Assumptions!$D$6,IF(ISNUMBER(SEARCH(Assumptions!$C$7,D1402)),Assumptions!$D$7,"Other Services"))),"Other Services"))</f>
        <v/>
      </c>
    </row>
    <row r="1403" customFormat="false" ht="15" hidden="false" customHeight="false" outlineLevel="0" collapsed="false">
      <c r="J1403" s="41" t="str">
        <f aca="false">IF(D1403="","",IFERROR(IF(ISNUMBER(SEARCH(Assumptions!$C$5,D1403)),Assumptions!$D$5,IF(ISNUMBER(SEARCH(Assumptions!$C$6,D1403)),Assumptions!$D$6,IF(ISNUMBER(SEARCH(Assumptions!$C$7,D1403)),Assumptions!$D$7,"Other Services"))),"Other Services"))</f>
        <v/>
      </c>
    </row>
    <row r="1404" customFormat="false" ht="15" hidden="false" customHeight="false" outlineLevel="0" collapsed="false">
      <c r="J1404" s="41" t="str">
        <f aca="false">IF(D1404="","",IFERROR(IF(ISNUMBER(SEARCH(Assumptions!$C$5,D1404)),Assumptions!$D$5,IF(ISNUMBER(SEARCH(Assumptions!$C$6,D1404)),Assumptions!$D$6,IF(ISNUMBER(SEARCH(Assumptions!$C$7,D1404)),Assumptions!$D$7,"Other Services"))),"Other Services"))</f>
        <v/>
      </c>
    </row>
    <row r="1405" customFormat="false" ht="15" hidden="false" customHeight="false" outlineLevel="0" collapsed="false">
      <c r="J1405" s="41" t="str">
        <f aca="false">IF(D1405="","",IFERROR(IF(ISNUMBER(SEARCH(Assumptions!$C$5,D1405)),Assumptions!$D$5,IF(ISNUMBER(SEARCH(Assumptions!$C$6,D1405)),Assumptions!$D$6,IF(ISNUMBER(SEARCH(Assumptions!$C$7,D1405)),Assumptions!$D$7,"Other Services"))),"Other Services"))</f>
        <v/>
      </c>
    </row>
    <row r="1406" customFormat="false" ht="15" hidden="false" customHeight="false" outlineLevel="0" collapsed="false">
      <c r="J1406" s="41" t="str">
        <f aca="false">IF(D1406="","",IFERROR(IF(ISNUMBER(SEARCH(Assumptions!$C$5,D1406)),Assumptions!$D$5,IF(ISNUMBER(SEARCH(Assumptions!$C$6,D1406)),Assumptions!$D$6,IF(ISNUMBER(SEARCH(Assumptions!$C$7,D1406)),Assumptions!$D$7,"Other Services"))),"Other Services"))</f>
        <v/>
      </c>
    </row>
    <row r="1407" customFormat="false" ht="15" hidden="false" customHeight="false" outlineLevel="0" collapsed="false">
      <c r="J1407" s="41" t="str">
        <f aca="false">IF(D1407="","",IFERROR(IF(ISNUMBER(SEARCH(Assumptions!$C$5,D1407)),Assumptions!$D$5,IF(ISNUMBER(SEARCH(Assumptions!$C$6,D1407)),Assumptions!$D$6,IF(ISNUMBER(SEARCH(Assumptions!$C$7,D1407)),Assumptions!$D$7,"Other Services"))),"Other Services"))</f>
        <v/>
      </c>
    </row>
    <row r="1408" customFormat="false" ht="15" hidden="false" customHeight="false" outlineLevel="0" collapsed="false">
      <c r="J1408" s="41" t="str">
        <f aca="false">IF(D1408="","",IFERROR(IF(ISNUMBER(SEARCH(Assumptions!$C$5,D1408)),Assumptions!$D$5,IF(ISNUMBER(SEARCH(Assumptions!$C$6,D1408)),Assumptions!$D$6,IF(ISNUMBER(SEARCH(Assumptions!$C$7,D1408)),Assumptions!$D$7,"Other Services"))),"Other Services"))</f>
        <v/>
      </c>
    </row>
    <row r="1409" customFormat="false" ht="15" hidden="false" customHeight="false" outlineLevel="0" collapsed="false">
      <c r="J1409" s="41" t="str">
        <f aca="false">IF(D1409="","",IFERROR(IF(ISNUMBER(SEARCH(Assumptions!$C$5,D1409)),Assumptions!$D$5,IF(ISNUMBER(SEARCH(Assumptions!$C$6,D1409)),Assumptions!$D$6,IF(ISNUMBER(SEARCH(Assumptions!$C$7,D1409)),Assumptions!$D$7,"Other Services"))),"Other Services"))</f>
        <v/>
      </c>
    </row>
    <row r="1410" customFormat="false" ht="15" hidden="false" customHeight="false" outlineLevel="0" collapsed="false">
      <c r="J1410" s="41" t="str">
        <f aca="false">IF(D1410="","",IFERROR(IF(ISNUMBER(SEARCH(Assumptions!$C$5,D1410)),Assumptions!$D$5,IF(ISNUMBER(SEARCH(Assumptions!$C$6,D1410)),Assumptions!$D$6,IF(ISNUMBER(SEARCH(Assumptions!$C$7,D1410)),Assumptions!$D$7,"Other Services"))),"Other Services"))</f>
        <v/>
      </c>
    </row>
    <row r="1411" customFormat="false" ht="15" hidden="false" customHeight="false" outlineLevel="0" collapsed="false">
      <c r="J1411" s="41" t="str">
        <f aca="false">IF(D1411="","",IFERROR(IF(ISNUMBER(SEARCH(Assumptions!$C$5,D1411)),Assumptions!$D$5,IF(ISNUMBER(SEARCH(Assumptions!$C$6,D1411)),Assumptions!$D$6,IF(ISNUMBER(SEARCH(Assumptions!$C$7,D1411)),Assumptions!$D$7,"Other Services"))),"Other Services"))</f>
        <v/>
      </c>
    </row>
    <row r="1412" customFormat="false" ht="15" hidden="false" customHeight="false" outlineLevel="0" collapsed="false">
      <c r="J1412" s="41" t="str">
        <f aca="false">IF(D1412="","",IFERROR(IF(ISNUMBER(SEARCH(Assumptions!$C$5,D1412)),Assumptions!$D$5,IF(ISNUMBER(SEARCH(Assumptions!$C$6,D1412)),Assumptions!$D$6,IF(ISNUMBER(SEARCH(Assumptions!$C$7,D1412)),Assumptions!$D$7,"Other Services"))),"Other Services"))</f>
        <v/>
      </c>
    </row>
    <row r="1413" customFormat="false" ht="15" hidden="false" customHeight="false" outlineLevel="0" collapsed="false">
      <c r="J1413" s="41" t="str">
        <f aca="false">IF(D1413="","",IFERROR(IF(ISNUMBER(SEARCH(Assumptions!$C$5,D1413)),Assumptions!$D$5,IF(ISNUMBER(SEARCH(Assumptions!$C$6,D1413)),Assumptions!$D$6,IF(ISNUMBER(SEARCH(Assumptions!$C$7,D1413)),Assumptions!$D$7,"Other Services"))),"Other Services"))</f>
        <v/>
      </c>
    </row>
    <row r="1414" customFormat="false" ht="15" hidden="false" customHeight="false" outlineLevel="0" collapsed="false">
      <c r="J1414" s="41" t="str">
        <f aca="false">IF(D1414="","",IFERROR(IF(ISNUMBER(SEARCH(Assumptions!$C$5,D1414)),Assumptions!$D$5,IF(ISNUMBER(SEARCH(Assumptions!$C$6,D1414)),Assumptions!$D$6,IF(ISNUMBER(SEARCH(Assumptions!$C$7,D1414)),Assumptions!$D$7,"Other Services"))),"Other Services"))</f>
        <v/>
      </c>
    </row>
    <row r="1415" customFormat="false" ht="15" hidden="false" customHeight="false" outlineLevel="0" collapsed="false">
      <c r="J1415" s="41" t="str">
        <f aca="false">IF(D1415="","",IFERROR(IF(ISNUMBER(SEARCH(Assumptions!$C$5,D1415)),Assumptions!$D$5,IF(ISNUMBER(SEARCH(Assumptions!$C$6,D1415)),Assumptions!$D$6,IF(ISNUMBER(SEARCH(Assumptions!$C$7,D1415)),Assumptions!$D$7,"Other Services"))),"Other Services"))</f>
        <v/>
      </c>
    </row>
    <row r="1416" customFormat="false" ht="15" hidden="false" customHeight="false" outlineLevel="0" collapsed="false">
      <c r="J1416" s="41" t="str">
        <f aca="false">IF(D1416="","",IFERROR(IF(ISNUMBER(SEARCH(Assumptions!$C$5,D1416)),Assumptions!$D$5,IF(ISNUMBER(SEARCH(Assumptions!$C$6,D1416)),Assumptions!$D$6,IF(ISNUMBER(SEARCH(Assumptions!$C$7,D1416)),Assumptions!$D$7,"Other Services"))),"Other Services"))</f>
        <v/>
      </c>
    </row>
    <row r="1417" customFormat="false" ht="15" hidden="false" customHeight="false" outlineLevel="0" collapsed="false">
      <c r="J1417" s="41" t="str">
        <f aca="false">IF(D1417="","",IFERROR(IF(ISNUMBER(SEARCH(Assumptions!$C$5,D1417)),Assumptions!$D$5,IF(ISNUMBER(SEARCH(Assumptions!$C$6,D1417)),Assumptions!$D$6,IF(ISNUMBER(SEARCH(Assumptions!$C$7,D1417)),Assumptions!$D$7,"Other Services"))),"Other Services"))</f>
        <v/>
      </c>
    </row>
    <row r="1418" customFormat="false" ht="15" hidden="false" customHeight="false" outlineLevel="0" collapsed="false">
      <c r="J1418" s="41" t="str">
        <f aca="false">IF(D1418="","",IFERROR(IF(ISNUMBER(SEARCH(Assumptions!$C$5,D1418)),Assumptions!$D$5,IF(ISNUMBER(SEARCH(Assumptions!$C$6,D1418)),Assumptions!$D$6,IF(ISNUMBER(SEARCH(Assumptions!$C$7,D1418)),Assumptions!$D$7,"Other Services"))),"Other Services"))</f>
        <v/>
      </c>
    </row>
    <row r="1419" customFormat="false" ht="15" hidden="false" customHeight="false" outlineLevel="0" collapsed="false">
      <c r="J1419" s="41" t="str">
        <f aca="false">IF(D1419="","",IFERROR(IF(ISNUMBER(SEARCH(Assumptions!$C$5,D1419)),Assumptions!$D$5,IF(ISNUMBER(SEARCH(Assumptions!$C$6,D1419)),Assumptions!$D$6,IF(ISNUMBER(SEARCH(Assumptions!$C$7,D1419)),Assumptions!$D$7,"Other Services"))),"Other Services"))</f>
        <v/>
      </c>
    </row>
    <row r="1420" customFormat="false" ht="15" hidden="false" customHeight="false" outlineLevel="0" collapsed="false">
      <c r="J1420" s="41" t="str">
        <f aca="false">IF(D1420="","",IFERROR(IF(ISNUMBER(SEARCH(Assumptions!$C$5,D1420)),Assumptions!$D$5,IF(ISNUMBER(SEARCH(Assumptions!$C$6,D1420)),Assumptions!$D$6,IF(ISNUMBER(SEARCH(Assumptions!$C$7,D1420)),Assumptions!$D$7,"Other Services"))),"Other Services"))</f>
        <v/>
      </c>
    </row>
    <row r="1421" customFormat="false" ht="15" hidden="false" customHeight="false" outlineLevel="0" collapsed="false">
      <c r="J1421" s="41" t="str">
        <f aca="false">IF(D1421="","",IFERROR(IF(ISNUMBER(SEARCH(Assumptions!$C$5,D1421)),Assumptions!$D$5,IF(ISNUMBER(SEARCH(Assumptions!$C$6,D1421)),Assumptions!$D$6,IF(ISNUMBER(SEARCH(Assumptions!$C$7,D1421)),Assumptions!$D$7,"Other Services"))),"Other Services"))</f>
        <v/>
      </c>
    </row>
    <row r="1422" customFormat="false" ht="15" hidden="false" customHeight="false" outlineLevel="0" collapsed="false">
      <c r="J1422" s="41" t="str">
        <f aca="false">IF(D1422="","",IFERROR(IF(ISNUMBER(SEARCH(Assumptions!$C$5,D1422)),Assumptions!$D$5,IF(ISNUMBER(SEARCH(Assumptions!$C$6,D1422)),Assumptions!$D$6,IF(ISNUMBER(SEARCH(Assumptions!$C$7,D1422)),Assumptions!$D$7,"Other Services"))),"Other Services"))</f>
        <v/>
      </c>
    </row>
    <row r="1423" customFormat="false" ht="15" hidden="false" customHeight="false" outlineLevel="0" collapsed="false">
      <c r="J1423" s="41" t="str">
        <f aca="false">IF(D1423="","",IFERROR(IF(ISNUMBER(SEARCH(Assumptions!$C$5,D1423)),Assumptions!$D$5,IF(ISNUMBER(SEARCH(Assumptions!$C$6,D1423)),Assumptions!$D$6,IF(ISNUMBER(SEARCH(Assumptions!$C$7,D1423)),Assumptions!$D$7,"Other Services"))),"Other Services"))</f>
        <v/>
      </c>
    </row>
    <row r="1424" customFormat="false" ht="15" hidden="false" customHeight="false" outlineLevel="0" collapsed="false">
      <c r="J1424" s="41" t="str">
        <f aca="false">IF(D1424="","",IFERROR(IF(ISNUMBER(SEARCH(Assumptions!$C$5,D1424)),Assumptions!$D$5,IF(ISNUMBER(SEARCH(Assumptions!$C$6,D1424)),Assumptions!$D$6,IF(ISNUMBER(SEARCH(Assumptions!$C$7,D1424)),Assumptions!$D$7,"Other Services"))),"Other Services"))</f>
        <v/>
      </c>
    </row>
    <row r="1425" customFormat="false" ht="15" hidden="false" customHeight="false" outlineLevel="0" collapsed="false">
      <c r="J1425" s="41" t="str">
        <f aca="false">IF(D1425="","",IFERROR(IF(ISNUMBER(SEARCH(Assumptions!$C$5,D1425)),Assumptions!$D$5,IF(ISNUMBER(SEARCH(Assumptions!$C$6,D1425)),Assumptions!$D$6,IF(ISNUMBER(SEARCH(Assumptions!$C$7,D1425)),Assumptions!$D$7,"Other Services"))),"Other Services"))</f>
        <v/>
      </c>
    </row>
    <row r="1426" customFormat="false" ht="15" hidden="false" customHeight="false" outlineLevel="0" collapsed="false">
      <c r="J1426" s="41" t="str">
        <f aca="false">IF(D1426="","",IFERROR(IF(ISNUMBER(SEARCH(Assumptions!$C$5,D1426)),Assumptions!$D$5,IF(ISNUMBER(SEARCH(Assumptions!$C$6,D1426)),Assumptions!$D$6,IF(ISNUMBER(SEARCH(Assumptions!$C$7,D1426)),Assumptions!$D$7,"Other Services"))),"Other Services"))</f>
        <v/>
      </c>
    </row>
    <row r="1427" customFormat="false" ht="15" hidden="false" customHeight="false" outlineLevel="0" collapsed="false">
      <c r="J1427" s="41" t="str">
        <f aca="false">IF(D1427="","",IFERROR(IF(ISNUMBER(SEARCH(Assumptions!$C$5,D1427)),Assumptions!$D$5,IF(ISNUMBER(SEARCH(Assumptions!$C$6,D1427)),Assumptions!$D$6,IF(ISNUMBER(SEARCH(Assumptions!$C$7,D1427)),Assumptions!$D$7,"Other Services"))),"Other Services"))</f>
        <v/>
      </c>
    </row>
    <row r="1428" customFormat="false" ht="15" hidden="false" customHeight="false" outlineLevel="0" collapsed="false">
      <c r="J1428" s="41" t="str">
        <f aca="false">IF(D1428="","",IFERROR(IF(ISNUMBER(SEARCH(Assumptions!$C$5,D1428)),Assumptions!$D$5,IF(ISNUMBER(SEARCH(Assumptions!$C$6,D1428)),Assumptions!$D$6,IF(ISNUMBER(SEARCH(Assumptions!$C$7,D1428)),Assumptions!$D$7,"Other Services"))),"Other Services"))</f>
        <v/>
      </c>
    </row>
    <row r="1429" customFormat="false" ht="15" hidden="false" customHeight="false" outlineLevel="0" collapsed="false">
      <c r="J1429" s="41" t="str">
        <f aca="false">IF(D1429="","",IFERROR(IF(ISNUMBER(SEARCH(Assumptions!$C$5,D1429)),Assumptions!$D$5,IF(ISNUMBER(SEARCH(Assumptions!$C$6,D1429)),Assumptions!$D$6,IF(ISNUMBER(SEARCH(Assumptions!$C$7,D1429)),Assumptions!$D$7,"Other Services"))),"Other Services"))</f>
        <v/>
      </c>
    </row>
    <row r="1430" customFormat="false" ht="15" hidden="false" customHeight="false" outlineLevel="0" collapsed="false">
      <c r="J1430" s="41" t="str">
        <f aca="false">IF(D1430="","",IFERROR(IF(ISNUMBER(SEARCH(Assumptions!$C$5,D1430)),Assumptions!$D$5,IF(ISNUMBER(SEARCH(Assumptions!$C$6,D1430)),Assumptions!$D$6,IF(ISNUMBER(SEARCH(Assumptions!$C$7,D1430)),Assumptions!$D$7,"Other Services"))),"Other Services"))</f>
        <v/>
      </c>
    </row>
    <row r="1431" customFormat="false" ht="15" hidden="false" customHeight="false" outlineLevel="0" collapsed="false">
      <c r="J1431" s="41" t="str">
        <f aca="false">IF(D1431="","",IFERROR(IF(ISNUMBER(SEARCH(Assumptions!$C$5,D1431)),Assumptions!$D$5,IF(ISNUMBER(SEARCH(Assumptions!$C$6,D1431)),Assumptions!$D$6,IF(ISNUMBER(SEARCH(Assumptions!$C$7,D1431)),Assumptions!$D$7,"Other Services"))),"Other Services"))</f>
        <v/>
      </c>
    </row>
    <row r="1432" customFormat="false" ht="15" hidden="false" customHeight="false" outlineLevel="0" collapsed="false">
      <c r="J1432" s="41" t="str">
        <f aca="false">IF(D1432="","",IFERROR(IF(ISNUMBER(SEARCH(Assumptions!$C$5,D1432)),Assumptions!$D$5,IF(ISNUMBER(SEARCH(Assumptions!$C$6,D1432)),Assumptions!$D$6,IF(ISNUMBER(SEARCH(Assumptions!$C$7,D1432)),Assumptions!$D$7,"Other Services"))),"Other Services"))</f>
        <v/>
      </c>
    </row>
    <row r="1433" customFormat="false" ht="15" hidden="false" customHeight="false" outlineLevel="0" collapsed="false">
      <c r="J1433" s="41" t="str">
        <f aca="false">IF(D1433="","",IFERROR(IF(ISNUMBER(SEARCH(Assumptions!$C$5,D1433)),Assumptions!$D$5,IF(ISNUMBER(SEARCH(Assumptions!$C$6,D1433)),Assumptions!$D$6,IF(ISNUMBER(SEARCH(Assumptions!$C$7,D1433)),Assumptions!$D$7,"Other Services"))),"Other Services"))</f>
        <v/>
      </c>
    </row>
    <row r="1434" customFormat="false" ht="15" hidden="false" customHeight="false" outlineLevel="0" collapsed="false">
      <c r="J1434" s="41" t="str">
        <f aca="false">IF(D1434="","",IFERROR(IF(ISNUMBER(SEARCH(Assumptions!$C$5,D1434)),Assumptions!$D$5,IF(ISNUMBER(SEARCH(Assumptions!$C$6,D1434)),Assumptions!$D$6,IF(ISNUMBER(SEARCH(Assumptions!$C$7,D1434)),Assumptions!$D$7,"Other Services"))),"Other Services"))</f>
        <v/>
      </c>
    </row>
    <row r="1435" customFormat="false" ht="15" hidden="false" customHeight="false" outlineLevel="0" collapsed="false">
      <c r="J1435" s="41" t="str">
        <f aca="false">IF(D1435="","",IFERROR(IF(ISNUMBER(SEARCH(Assumptions!$C$5,D1435)),Assumptions!$D$5,IF(ISNUMBER(SEARCH(Assumptions!$C$6,D1435)),Assumptions!$D$6,IF(ISNUMBER(SEARCH(Assumptions!$C$7,D1435)),Assumptions!$D$7,"Other Services"))),"Other Services"))</f>
        <v/>
      </c>
    </row>
    <row r="1436" customFormat="false" ht="15" hidden="false" customHeight="false" outlineLevel="0" collapsed="false">
      <c r="J1436" s="41" t="str">
        <f aca="false">IF(D1436="","",IFERROR(IF(ISNUMBER(SEARCH(Assumptions!$C$5,D1436)),Assumptions!$D$5,IF(ISNUMBER(SEARCH(Assumptions!$C$6,D1436)),Assumptions!$D$6,IF(ISNUMBER(SEARCH(Assumptions!$C$7,D1436)),Assumptions!$D$7,"Other Services"))),"Other Services"))</f>
        <v/>
      </c>
    </row>
    <row r="1437" customFormat="false" ht="15" hidden="false" customHeight="false" outlineLevel="0" collapsed="false">
      <c r="J1437" s="41" t="str">
        <f aca="false">IF(D1437="","",IFERROR(IF(ISNUMBER(SEARCH(Assumptions!$C$5,D1437)),Assumptions!$D$5,IF(ISNUMBER(SEARCH(Assumptions!$C$6,D1437)),Assumptions!$D$6,IF(ISNUMBER(SEARCH(Assumptions!$C$7,D1437)),Assumptions!$D$7,"Other Services"))),"Other Services"))</f>
        <v/>
      </c>
    </row>
    <row r="1438" customFormat="false" ht="15" hidden="false" customHeight="false" outlineLevel="0" collapsed="false">
      <c r="J1438" s="41" t="str">
        <f aca="false">IF(D1438="","",IFERROR(IF(ISNUMBER(SEARCH(Assumptions!$C$5,D1438)),Assumptions!$D$5,IF(ISNUMBER(SEARCH(Assumptions!$C$6,D1438)),Assumptions!$D$6,IF(ISNUMBER(SEARCH(Assumptions!$C$7,D1438)),Assumptions!$D$7,"Other Services"))),"Other Services"))</f>
        <v/>
      </c>
    </row>
    <row r="1439" customFormat="false" ht="15" hidden="false" customHeight="false" outlineLevel="0" collapsed="false">
      <c r="J1439" s="41" t="str">
        <f aca="false">IF(D1439="","",IFERROR(IF(ISNUMBER(SEARCH(Assumptions!$C$5,D1439)),Assumptions!$D$5,IF(ISNUMBER(SEARCH(Assumptions!$C$6,D1439)),Assumptions!$D$6,IF(ISNUMBER(SEARCH(Assumptions!$C$7,D1439)),Assumptions!$D$7,"Other Services"))),"Other Services"))</f>
        <v/>
      </c>
    </row>
    <row r="1440" customFormat="false" ht="15" hidden="false" customHeight="false" outlineLevel="0" collapsed="false">
      <c r="J1440" s="41" t="str">
        <f aca="false">IF(D1440="","",IFERROR(IF(ISNUMBER(SEARCH(Assumptions!$C$5,D1440)),Assumptions!$D$5,IF(ISNUMBER(SEARCH(Assumptions!$C$6,D1440)),Assumptions!$D$6,IF(ISNUMBER(SEARCH(Assumptions!$C$7,D1440)),Assumptions!$D$7,"Other Services"))),"Other Services"))</f>
        <v/>
      </c>
    </row>
    <row r="1441" customFormat="false" ht="15" hidden="false" customHeight="false" outlineLevel="0" collapsed="false">
      <c r="J1441" s="41" t="str">
        <f aca="false">IF(D1441="","",IFERROR(IF(ISNUMBER(SEARCH(Assumptions!$C$5,D1441)),Assumptions!$D$5,IF(ISNUMBER(SEARCH(Assumptions!$C$6,D1441)),Assumptions!$D$6,IF(ISNUMBER(SEARCH(Assumptions!$C$7,D1441)),Assumptions!$D$7,"Other Services"))),"Other Services"))</f>
        <v/>
      </c>
    </row>
    <row r="1442" customFormat="false" ht="15" hidden="false" customHeight="false" outlineLevel="0" collapsed="false">
      <c r="J1442" s="41" t="str">
        <f aca="false">IF(D1442="","",IFERROR(IF(ISNUMBER(SEARCH(Assumptions!$C$5,D1442)),Assumptions!$D$5,IF(ISNUMBER(SEARCH(Assumptions!$C$6,D1442)),Assumptions!$D$6,IF(ISNUMBER(SEARCH(Assumptions!$C$7,D1442)),Assumptions!$D$7,"Other Services"))),"Other Services"))</f>
        <v/>
      </c>
    </row>
    <row r="1443" customFormat="false" ht="15" hidden="false" customHeight="false" outlineLevel="0" collapsed="false">
      <c r="J1443" s="41" t="str">
        <f aca="false">IF(D1443="","",IFERROR(IF(ISNUMBER(SEARCH(Assumptions!$C$5,D1443)),Assumptions!$D$5,IF(ISNUMBER(SEARCH(Assumptions!$C$6,D1443)),Assumptions!$D$6,IF(ISNUMBER(SEARCH(Assumptions!$C$7,D1443)),Assumptions!$D$7,"Other Services"))),"Other Services"))</f>
        <v/>
      </c>
    </row>
    <row r="1444" customFormat="false" ht="15" hidden="false" customHeight="false" outlineLevel="0" collapsed="false">
      <c r="J1444" s="41" t="str">
        <f aca="false">IF(D1444="","",IFERROR(IF(ISNUMBER(SEARCH(Assumptions!$C$5,D1444)),Assumptions!$D$5,IF(ISNUMBER(SEARCH(Assumptions!$C$6,D1444)),Assumptions!$D$6,IF(ISNUMBER(SEARCH(Assumptions!$C$7,D1444)),Assumptions!$D$7,"Other Services"))),"Other Services"))</f>
        <v/>
      </c>
    </row>
    <row r="1445" customFormat="false" ht="15" hidden="false" customHeight="false" outlineLevel="0" collapsed="false">
      <c r="J1445" s="41" t="str">
        <f aca="false">IF(D1445="","",IFERROR(IF(ISNUMBER(SEARCH(Assumptions!$C$5,D1445)),Assumptions!$D$5,IF(ISNUMBER(SEARCH(Assumptions!$C$6,D1445)),Assumptions!$D$6,IF(ISNUMBER(SEARCH(Assumptions!$C$7,D1445)),Assumptions!$D$7,"Other Services"))),"Other Services"))</f>
        <v/>
      </c>
    </row>
    <row r="1446" customFormat="false" ht="15" hidden="false" customHeight="false" outlineLevel="0" collapsed="false">
      <c r="J1446" s="41" t="str">
        <f aca="false">IF(D1446="","",IFERROR(IF(ISNUMBER(SEARCH(Assumptions!$C$5,D1446)),Assumptions!$D$5,IF(ISNUMBER(SEARCH(Assumptions!$C$6,D1446)),Assumptions!$D$6,IF(ISNUMBER(SEARCH(Assumptions!$C$7,D1446)),Assumptions!$D$7,"Other Services"))),"Other Services"))</f>
        <v/>
      </c>
    </row>
    <row r="1447" customFormat="false" ht="15" hidden="false" customHeight="false" outlineLevel="0" collapsed="false">
      <c r="J1447" s="41" t="str">
        <f aca="false">IF(D1447="","",IFERROR(IF(ISNUMBER(SEARCH(Assumptions!$C$5,D1447)),Assumptions!$D$5,IF(ISNUMBER(SEARCH(Assumptions!$C$6,D1447)),Assumptions!$D$6,IF(ISNUMBER(SEARCH(Assumptions!$C$7,D1447)),Assumptions!$D$7,"Other Services"))),"Other Services"))</f>
        <v/>
      </c>
    </row>
    <row r="1448" customFormat="false" ht="15" hidden="false" customHeight="false" outlineLevel="0" collapsed="false">
      <c r="J1448" s="41" t="str">
        <f aca="false">IF(D1448="","",IFERROR(IF(ISNUMBER(SEARCH(Assumptions!$C$5,D1448)),Assumptions!$D$5,IF(ISNUMBER(SEARCH(Assumptions!$C$6,D1448)),Assumptions!$D$6,IF(ISNUMBER(SEARCH(Assumptions!$C$7,D1448)),Assumptions!$D$7,"Other Services"))),"Other Services"))</f>
        <v/>
      </c>
    </row>
    <row r="1449" customFormat="false" ht="15" hidden="false" customHeight="false" outlineLevel="0" collapsed="false">
      <c r="J1449" s="41" t="str">
        <f aca="false">IF(D1449="","",IFERROR(IF(ISNUMBER(SEARCH(Assumptions!$C$5,D1449)),Assumptions!$D$5,IF(ISNUMBER(SEARCH(Assumptions!$C$6,D1449)),Assumptions!$D$6,IF(ISNUMBER(SEARCH(Assumptions!$C$7,D1449)),Assumptions!$D$7,"Other Services"))),"Other Services"))</f>
        <v/>
      </c>
    </row>
    <row r="1450" customFormat="false" ht="15" hidden="false" customHeight="false" outlineLevel="0" collapsed="false">
      <c r="J1450" s="41" t="str">
        <f aca="false">IF(D1450="","",IFERROR(IF(ISNUMBER(SEARCH(Assumptions!$C$5,D1450)),Assumptions!$D$5,IF(ISNUMBER(SEARCH(Assumptions!$C$6,D1450)),Assumptions!$D$6,IF(ISNUMBER(SEARCH(Assumptions!$C$7,D1450)),Assumptions!$D$7,"Other Services"))),"Other Services"))</f>
        <v/>
      </c>
    </row>
    <row r="1451" customFormat="false" ht="15" hidden="false" customHeight="false" outlineLevel="0" collapsed="false">
      <c r="J1451" s="41" t="str">
        <f aca="false">IF(D1451="","",IFERROR(IF(ISNUMBER(SEARCH(Assumptions!$C$5,D1451)),Assumptions!$D$5,IF(ISNUMBER(SEARCH(Assumptions!$C$6,D1451)),Assumptions!$D$6,IF(ISNUMBER(SEARCH(Assumptions!$C$7,D1451)),Assumptions!$D$7,"Other Services"))),"Other Services"))</f>
        <v/>
      </c>
    </row>
    <row r="1452" customFormat="false" ht="15" hidden="false" customHeight="false" outlineLevel="0" collapsed="false">
      <c r="J1452" s="41" t="str">
        <f aca="false">IF(D1452="","",IFERROR(IF(ISNUMBER(SEARCH(Assumptions!$C$5,D1452)),Assumptions!$D$5,IF(ISNUMBER(SEARCH(Assumptions!$C$6,D1452)),Assumptions!$D$6,IF(ISNUMBER(SEARCH(Assumptions!$C$7,D1452)),Assumptions!$D$7,"Other Services"))),"Other Services"))</f>
        <v/>
      </c>
    </row>
    <row r="1453" customFormat="false" ht="15" hidden="false" customHeight="false" outlineLevel="0" collapsed="false">
      <c r="J1453" s="41" t="str">
        <f aca="false">IF(D1453="","",IFERROR(IF(ISNUMBER(SEARCH(Assumptions!$C$5,D1453)),Assumptions!$D$5,IF(ISNUMBER(SEARCH(Assumptions!$C$6,D1453)),Assumptions!$D$6,IF(ISNUMBER(SEARCH(Assumptions!$C$7,D1453)),Assumptions!$D$7,"Other Services"))),"Other Services"))</f>
        <v/>
      </c>
    </row>
    <row r="1454" customFormat="false" ht="15" hidden="false" customHeight="false" outlineLevel="0" collapsed="false">
      <c r="J1454" s="41" t="str">
        <f aca="false">IF(D1454="","",IFERROR(IF(ISNUMBER(SEARCH(Assumptions!$C$5,D1454)),Assumptions!$D$5,IF(ISNUMBER(SEARCH(Assumptions!$C$6,D1454)),Assumptions!$D$6,IF(ISNUMBER(SEARCH(Assumptions!$C$7,D1454)),Assumptions!$D$7,"Other Services"))),"Other Services"))</f>
        <v/>
      </c>
    </row>
    <row r="1455" customFormat="false" ht="15" hidden="false" customHeight="false" outlineLevel="0" collapsed="false">
      <c r="J1455" s="41" t="str">
        <f aca="false">IF(D1455="","",IFERROR(IF(ISNUMBER(SEARCH(Assumptions!$C$5,D1455)),Assumptions!$D$5,IF(ISNUMBER(SEARCH(Assumptions!$C$6,D1455)),Assumptions!$D$6,IF(ISNUMBER(SEARCH(Assumptions!$C$7,D1455)),Assumptions!$D$7,"Other Services"))),"Other Services"))</f>
        <v/>
      </c>
    </row>
    <row r="1456" customFormat="false" ht="15" hidden="false" customHeight="false" outlineLevel="0" collapsed="false">
      <c r="J1456" s="41" t="str">
        <f aca="false">IF(D1456="","",IFERROR(IF(ISNUMBER(SEARCH(Assumptions!$C$5,D1456)),Assumptions!$D$5,IF(ISNUMBER(SEARCH(Assumptions!$C$6,D1456)),Assumptions!$D$6,IF(ISNUMBER(SEARCH(Assumptions!$C$7,D1456)),Assumptions!$D$7,"Other Services"))),"Other Services"))</f>
        <v/>
      </c>
    </row>
    <row r="1457" customFormat="false" ht="15" hidden="false" customHeight="false" outlineLevel="0" collapsed="false">
      <c r="J1457" s="41" t="str">
        <f aca="false">IF(D1457="","",IFERROR(IF(ISNUMBER(SEARCH(Assumptions!$C$5,D1457)),Assumptions!$D$5,IF(ISNUMBER(SEARCH(Assumptions!$C$6,D1457)),Assumptions!$D$6,IF(ISNUMBER(SEARCH(Assumptions!$C$7,D1457)),Assumptions!$D$7,"Other Services"))),"Other Services"))</f>
        <v/>
      </c>
    </row>
    <row r="1458" customFormat="false" ht="15" hidden="false" customHeight="false" outlineLevel="0" collapsed="false">
      <c r="J1458" s="41" t="str">
        <f aca="false">IF(D1458="","",IFERROR(IF(ISNUMBER(SEARCH(Assumptions!$C$5,D1458)),Assumptions!$D$5,IF(ISNUMBER(SEARCH(Assumptions!$C$6,D1458)),Assumptions!$D$6,IF(ISNUMBER(SEARCH(Assumptions!$C$7,D1458)),Assumptions!$D$7,"Other Services"))),"Other Services"))</f>
        <v/>
      </c>
    </row>
    <row r="1459" customFormat="false" ht="15" hidden="false" customHeight="false" outlineLevel="0" collapsed="false">
      <c r="J1459" s="41" t="str">
        <f aca="false">IF(D1459="","",IFERROR(IF(ISNUMBER(SEARCH(Assumptions!$C$5,D1459)),Assumptions!$D$5,IF(ISNUMBER(SEARCH(Assumptions!$C$6,D1459)),Assumptions!$D$6,IF(ISNUMBER(SEARCH(Assumptions!$C$7,D1459)),Assumptions!$D$7,"Other Services"))),"Other Services"))</f>
        <v/>
      </c>
    </row>
    <row r="1460" customFormat="false" ht="15" hidden="false" customHeight="false" outlineLevel="0" collapsed="false">
      <c r="J1460" s="41" t="str">
        <f aca="false">IF(D1460="","",IFERROR(IF(ISNUMBER(SEARCH(Assumptions!$C$5,D1460)),Assumptions!$D$5,IF(ISNUMBER(SEARCH(Assumptions!$C$6,D1460)),Assumptions!$D$6,IF(ISNUMBER(SEARCH(Assumptions!$C$7,D1460)),Assumptions!$D$7,"Other Services"))),"Other Services"))</f>
        <v/>
      </c>
    </row>
    <row r="1461" customFormat="false" ht="15" hidden="false" customHeight="false" outlineLevel="0" collapsed="false">
      <c r="J1461" s="41" t="str">
        <f aca="false">IF(D1461="","",IFERROR(IF(ISNUMBER(SEARCH(Assumptions!$C$5,D1461)),Assumptions!$D$5,IF(ISNUMBER(SEARCH(Assumptions!$C$6,D1461)),Assumptions!$D$6,IF(ISNUMBER(SEARCH(Assumptions!$C$7,D1461)),Assumptions!$D$7,"Other Services"))),"Other Services"))</f>
        <v/>
      </c>
    </row>
    <row r="1462" customFormat="false" ht="15" hidden="false" customHeight="false" outlineLevel="0" collapsed="false">
      <c r="J1462" s="41" t="str">
        <f aca="false">IF(D1462="","",IFERROR(IF(ISNUMBER(SEARCH(Assumptions!$C$5,D1462)),Assumptions!$D$5,IF(ISNUMBER(SEARCH(Assumptions!$C$6,D1462)),Assumptions!$D$6,IF(ISNUMBER(SEARCH(Assumptions!$C$7,D1462)),Assumptions!$D$7,"Other Services"))),"Other Services"))</f>
        <v/>
      </c>
    </row>
    <row r="1463" customFormat="false" ht="15" hidden="false" customHeight="false" outlineLevel="0" collapsed="false">
      <c r="J1463" s="41" t="str">
        <f aca="false">IF(D1463="","",IFERROR(IF(ISNUMBER(SEARCH(Assumptions!$C$5,D1463)),Assumptions!$D$5,IF(ISNUMBER(SEARCH(Assumptions!$C$6,D1463)),Assumptions!$D$6,IF(ISNUMBER(SEARCH(Assumptions!$C$7,D1463)),Assumptions!$D$7,"Other Services"))),"Other Services"))</f>
        <v/>
      </c>
    </row>
    <row r="1464" customFormat="false" ht="15" hidden="false" customHeight="false" outlineLevel="0" collapsed="false">
      <c r="J1464" s="41" t="str">
        <f aca="false">IF(D1464="","",IFERROR(IF(ISNUMBER(SEARCH(Assumptions!$C$5,D1464)),Assumptions!$D$5,IF(ISNUMBER(SEARCH(Assumptions!$C$6,D1464)),Assumptions!$D$6,IF(ISNUMBER(SEARCH(Assumptions!$C$7,D1464)),Assumptions!$D$7,"Other Services"))),"Other Services"))</f>
        <v/>
      </c>
    </row>
    <row r="1465" customFormat="false" ht="15" hidden="false" customHeight="false" outlineLevel="0" collapsed="false">
      <c r="J1465" s="41" t="str">
        <f aca="false">IF(D1465="","",IFERROR(IF(ISNUMBER(SEARCH(Assumptions!$C$5,D1465)),Assumptions!$D$5,IF(ISNUMBER(SEARCH(Assumptions!$C$6,D1465)),Assumptions!$D$6,IF(ISNUMBER(SEARCH(Assumptions!$C$7,D1465)),Assumptions!$D$7,"Other Services"))),"Other Services"))</f>
        <v/>
      </c>
    </row>
    <row r="1466" customFormat="false" ht="15" hidden="false" customHeight="false" outlineLevel="0" collapsed="false">
      <c r="J1466" s="41" t="str">
        <f aca="false">IF(D1466="","",IFERROR(IF(ISNUMBER(SEARCH(Assumptions!$C$5,D1466)),Assumptions!$D$5,IF(ISNUMBER(SEARCH(Assumptions!$C$6,D1466)),Assumptions!$D$6,IF(ISNUMBER(SEARCH(Assumptions!$C$7,D1466)),Assumptions!$D$7,"Other Services"))),"Other Services"))</f>
        <v/>
      </c>
    </row>
    <row r="1467" customFormat="false" ht="15" hidden="false" customHeight="false" outlineLevel="0" collapsed="false">
      <c r="J1467" s="41" t="str">
        <f aca="false">IF(D1467="","",IFERROR(IF(ISNUMBER(SEARCH(Assumptions!$C$5,D1467)),Assumptions!$D$5,IF(ISNUMBER(SEARCH(Assumptions!$C$6,D1467)),Assumptions!$D$6,IF(ISNUMBER(SEARCH(Assumptions!$C$7,D1467)),Assumptions!$D$7,"Other Services"))),"Other Services"))</f>
        <v/>
      </c>
    </row>
    <row r="1468" customFormat="false" ht="15" hidden="false" customHeight="false" outlineLevel="0" collapsed="false">
      <c r="J1468" s="41" t="str">
        <f aca="false">IF(D1468="","",IFERROR(IF(ISNUMBER(SEARCH(Assumptions!$C$5,D1468)),Assumptions!$D$5,IF(ISNUMBER(SEARCH(Assumptions!$C$6,D1468)),Assumptions!$D$6,IF(ISNUMBER(SEARCH(Assumptions!$C$7,D1468)),Assumptions!$D$7,"Other Services"))),"Other Services"))</f>
        <v/>
      </c>
    </row>
    <row r="1469" customFormat="false" ht="15" hidden="false" customHeight="false" outlineLevel="0" collapsed="false">
      <c r="J1469" s="41" t="str">
        <f aca="false">IF(D1469="","",IFERROR(IF(ISNUMBER(SEARCH(Assumptions!$C$5,D1469)),Assumptions!$D$5,IF(ISNUMBER(SEARCH(Assumptions!$C$6,D1469)),Assumptions!$D$6,IF(ISNUMBER(SEARCH(Assumptions!$C$7,D1469)),Assumptions!$D$7,"Other Services"))),"Other Services"))</f>
        <v/>
      </c>
    </row>
    <row r="1470" customFormat="false" ht="15" hidden="false" customHeight="false" outlineLevel="0" collapsed="false">
      <c r="J1470" s="41" t="str">
        <f aca="false">IF(D1470="","",IFERROR(IF(ISNUMBER(SEARCH(Assumptions!$C$5,D1470)),Assumptions!$D$5,IF(ISNUMBER(SEARCH(Assumptions!$C$6,D1470)),Assumptions!$D$6,IF(ISNUMBER(SEARCH(Assumptions!$C$7,D1470)),Assumptions!$D$7,"Other Services"))),"Other Services"))</f>
        <v/>
      </c>
    </row>
    <row r="1471" customFormat="false" ht="15" hidden="false" customHeight="false" outlineLevel="0" collapsed="false">
      <c r="J1471" s="41" t="str">
        <f aca="false">IF(D1471="","",IFERROR(IF(ISNUMBER(SEARCH(Assumptions!$C$5,D1471)),Assumptions!$D$5,IF(ISNUMBER(SEARCH(Assumptions!$C$6,D1471)),Assumptions!$D$6,IF(ISNUMBER(SEARCH(Assumptions!$C$7,D1471)),Assumptions!$D$7,"Other Services"))),"Other Services"))</f>
        <v/>
      </c>
    </row>
    <row r="1472" customFormat="false" ht="15" hidden="false" customHeight="false" outlineLevel="0" collapsed="false">
      <c r="J1472" s="41" t="str">
        <f aca="false">IF(D1472="","",IFERROR(IF(ISNUMBER(SEARCH(Assumptions!$C$5,D1472)),Assumptions!$D$5,IF(ISNUMBER(SEARCH(Assumptions!$C$6,D1472)),Assumptions!$D$6,IF(ISNUMBER(SEARCH(Assumptions!$C$7,D1472)),Assumptions!$D$7,"Other Services"))),"Other Services"))</f>
        <v/>
      </c>
    </row>
    <row r="1473" customFormat="false" ht="15" hidden="false" customHeight="false" outlineLevel="0" collapsed="false">
      <c r="J1473" s="41" t="str">
        <f aca="false">IF(D1473="","",IFERROR(IF(ISNUMBER(SEARCH(Assumptions!$C$5,D1473)),Assumptions!$D$5,IF(ISNUMBER(SEARCH(Assumptions!$C$6,D1473)),Assumptions!$D$6,IF(ISNUMBER(SEARCH(Assumptions!$C$7,D1473)),Assumptions!$D$7,"Other Services"))),"Other Services"))</f>
        <v/>
      </c>
    </row>
    <row r="1474" customFormat="false" ht="15" hidden="false" customHeight="false" outlineLevel="0" collapsed="false">
      <c r="J1474" s="41" t="str">
        <f aca="false">IF(D1474="","",IFERROR(IF(ISNUMBER(SEARCH(Assumptions!$C$5,D1474)),Assumptions!$D$5,IF(ISNUMBER(SEARCH(Assumptions!$C$6,D1474)),Assumptions!$D$6,IF(ISNUMBER(SEARCH(Assumptions!$C$7,D1474)),Assumptions!$D$7,"Other Services"))),"Other Services"))</f>
        <v/>
      </c>
    </row>
    <row r="1475" customFormat="false" ht="15" hidden="false" customHeight="false" outlineLevel="0" collapsed="false">
      <c r="J1475" s="41" t="str">
        <f aca="false">IF(D1475="","",IFERROR(IF(ISNUMBER(SEARCH(Assumptions!$C$5,D1475)),Assumptions!$D$5,IF(ISNUMBER(SEARCH(Assumptions!$C$6,D1475)),Assumptions!$D$6,IF(ISNUMBER(SEARCH(Assumptions!$C$7,D1475)),Assumptions!$D$7,"Other Services"))),"Other Services"))</f>
        <v/>
      </c>
    </row>
    <row r="1476" customFormat="false" ht="15" hidden="false" customHeight="false" outlineLevel="0" collapsed="false">
      <c r="J1476" s="41" t="str">
        <f aca="false">IF(D1476="","",IFERROR(IF(ISNUMBER(SEARCH(Assumptions!$C$5,D1476)),Assumptions!$D$5,IF(ISNUMBER(SEARCH(Assumptions!$C$6,D1476)),Assumptions!$D$6,IF(ISNUMBER(SEARCH(Assumptions!$C$7,D1476)),Assumptions!$D$7,"Other Services"))),"Other Services"))</f>
        <v/>
      </c>
    </row>
    <row r="1477" customFormat="false" ht="15" hidden="false" customHeight="false" outlineLevel="0" collapsed="false">
      <c r="J1477" s="41" t="str">
        <f aca="false">IF(D1477="","",IFERROR(IF(ISNUMBER(SEARCH(Assumptions!$C$5,D1477)),Assumptions!$D$5,IF(ISNUMBER(SEARCH(Assumptions!$C$6,D1477)),Assumptions!$D$6,IF(ISNUMBER(SEARCH(Assumptions!$C$7,D1477)),Assumptions!$D$7,"Other Services"))),"Other Services"))</f>
        <v/>
      </c>
    </row>
    <row r="1478" customFormat="false" ht="15" hidden="false" customHeight="false" outlineLevel="0" collapsed="false">
      <c r="J1478" s="41" t="str">
        <f aca="false">IF(D1478="","",IFERROR(IF(ISNUMBER(SEARCH(Assumptions!$C$5,D1478)),Assumptions!$D$5,IF(ISNUMBER(SEARCH(Assumptions!$C$6,D1478)),Assumptions!$D$6,IF(ISNUMBER(SEARCH(Assumptions!$C$7,D1478)),Assumptions!$D$7,"Other Services"))),"Other Services"))</f>
        <v/>
      </c>
    </row>
    <row r="1479" customFormat="false" ht="15" hidden="false" customHeight="false" outlineLevel="0" collapsed="false">
      <c r="J1479" s="41" t="str">
        <f aca="false">IF(D1479="","",IFERROR(IF(ISNUMBER(SEARCH(Assumptions!$C$5,D1479)),Assumptions!$D$5,IF(ISNUMBER(SEARCH(Assumptions!$C$6,D1479)),Assumptions!$D$6,IF(ISNUMBER(SEARCH(Assumptions!$C$7,D1479)),Assumptions!$D$7,"Other Services"))),"Other Services"))</f>
        <v/>
      </c>
    </row>
    <row r="1480" customFormat="false" ht="15" hidden="false" customHeight="false" outlineLevel="0" collapsed="false">
      <c r="J1480" s="41" t="str">
        <f aca="false">IF(D1480="","",IFERROR(IF(ISNUMBER(SEARCH(Assumptions!$C$5,D1480)),Assumptions!$D$5,IF(ISNUMBER(SEARCH(Assumptions!$C$6,D1480)),Assumptions!$D$6,IF(ISNUMBER(SEARCH(Assumptions!$C$7,D1480)),Assumptions!$D$7,"Other Services"))),"Other Services"))</f>
        <v/>
      </c>
    </row>
    <row r="1481" customFormat="false" ht="15" hidden="false" customHeight="false" outlineLevel="0" collapsed="false">
      <c r="J1481" s="41" t="str">
        <f aca="false">IF(D1481="","",IFERROR(IF(ISNUMBER(SEARCH(Assumptions!$C$5,D1481)),Assumptions!$D$5,IF(ISNUMBER(SEARCH(Assumptions!$C$6,D1481)),Assumptions!$D$6,IF(ISNUMBER(SEARCH(Assumptions!$C$7,D1481)),Assumptions!$D$7,"Other Services"))),"Other Services"))</f>
        <v/>
      </c>
    </row>
    <row r="1482" customFormat="false" ht="15" hidden="false" customHeight="false" outlineLevel="0" collapsed="false">
      <c r="J1482" s="41" t="str">
        <f aca="false">IF(D1482="","",IFERROR(IF(ISNUMBER(SEARCH(Assumptions!$C$5,D1482)),Assumptions!$D$5,IF(ISNUMBER(SEARCH(Assumptions!$C$6,D1482)),Assumptions!$D$6,IF(ISNUMBER(SEARCH(Assumptions!$C$7,D1482)),Assumptions!$D$7,"Other Services"))),"Other Services"))</f>
        <v/>
      </c>
    </row>
    <row r="1483" customFormat="false" ht="15" hidden="false" customHeight="false" outlineLevel="0" collapsed="false">
      <c r="J1483" s="41" t="str">
        <f aca="false">IF(D1483="","",IFERROR(IF(ISNUMBER(SEARCH(Assumptions!$C$5,D1483)),Assumptions!$D$5,IF(ISNUMBER(SEARCH(Assumptions!$C$6,D1483)),Assumptions!$D$6,IF(ISNUMBER(SEARCH(Assumptions!$C$7,D1483)),Assumptions!$D$7,"Other Services"))),"Other Services"))</f>
        <v/>
      </c>
    </row>
    <row r="1484" customFormat="false" ht="15" hidden="false" customHeight="false" outlineLevel="0" collapsed="false">
      <c r="J1484" s="41" t="str">
        <f aca="false">IF(D1484="","",IFERROR(IF(ISNUMBER(SEARCH(Assumptions!$C$5,D1484)),Assumptions!$D$5,IF(ISNUMBER(SEARCH(Assumptions!$C$6,D1484)),Assumptions!$D$6,IF(ISNUMBER(SEARCH(Assumptions!$C$7,D1484)),Assumptions!$D$7,"Other Services"))),"Other Services"))</f>
        <v/>
      </c>
    </row>
    <row r="1485" customFormat="false" ht="15" hidden="false" customHeight="false" outlineLevel="0" collapsed="false">
      <c r="J1485" s="41" t="str">
        <f aca="false">IF(D1485="","",IFERROR(IF(ISNUMBER(SEARCH(Assumptions!$C$5,D1485)),Assumptions!$D$5,IF(ISNUMBER(SEARCH(Assumptions!$C$6,D1485)),Assumptions!$D$6,IF(ISNUMBER(SEARCH(Assumptions!$C$7,D1485)),Assumptions!$D$7,"Other Services"))),"Other Services"))</f>
        <v/>
      </c>
    </row>
    <row r="1486" customFormat="false" ht="15" hidden="false" customHeight="false" outlineLevel="0" collapsed="false">
      <c r="J1486" s="41" t="str">
        <f aca="false">IF(D1486="","",IFERROR(IF(ISNUMBER(SEARCH(Assumptions!$C$5,D1486)),Assumptions!$D$5,IF(ISNUMBER(SEARCH(Assumptions!$C$6,D1486)),Assumptions!$D$6,IF(ISNUMBER(SEARCH(Assumptions!$C$7,D1486)),Assumptions!$D$7,"Other Services"))),"Other Services"))</f>
        <v/>
      </c>
    </row>
    <row r="1487" customFormat="false" ht="15" hidden="false" customHeight="false" outlineLevel="0" collapsed="false">
      <c r="J1487" s="41" t="str">
        <f aca="false">IF(D1487="","",IFERROR(IF(ISNUMBER(SEARCH(Assumptions!$C$5,D1487)),Assumptions!$D$5,IF(ISNUMBER(SEARCH(Assumptions!$C$6,D1487)),Assumptions!$D$6,IF(ISNUMBER(SEARCH(Assumptions!$C$7,D1487)),Assumptions!$D$7,"Other Services"))),"Other Services"))</f>
        <v/>
      </c>
    </row>
    <row r="1488" customFormat="false" ht="15" hidden="false" customHeight="false" outlineLevel="0" collapsed="false">
      <c r="J1488" s="41" t="str">
        <f aca="false">IF(D1488="","",IFERROR(IF(ISNUMBER(SEARCH(Assumptions!$C$5,D1488)),Assumptions!$D$5,IF(ISNUMBER(SEARCH(Assumptions!$C$6,D1488)),Assumptions!$D$6,IF(ISNUMBER(SEARCH(Assumptions!$C$7,D1488)),Assumptions!$D$7,"Other Services"))),"Other Services"))</f>
        <v/>
      </c>
    </row>
    <row r="1489" customFormat="false" ht="15" hidden="false" customHeight="false" outlineLevel="0" collapsed="false">
      <c r="J1489" s="41" t="str">
        <f aca="false">IF(D1489="","",IFERROR(IF(ISNUMBER(SEARCH(Assumptions!$C$5,D1489)),Assumptions!$D$5,IF(ISNUMBER(SEARCH(Assumptions!$C$6,D1489)),Assumptions!$D$6,IF(ISNUMBER(SEARCH(Assumptions!$C$7,D1489)),Assumptions!$D$7,"Other Services"))),"Other Services"))</f>
        <v/>
      </c>
    </row>
    <row r="1490" customFormat="false" ht="15" hidden="false" customHeight="false" outlineLevel="0" collapsed="false">
      <c r="J1490" s="41" t="str">
        <f aca="false">IF(D1490="","",IFERROR(IF(ISNUMBER(SEARCH(Assumptions!$C$5,D1490)),Assumptions!$D$5,IF(ISNUMBER(SEARCH(Assumptions!$C$6,D1490)),Assumptions!$D$6,IF(ISNUMBER(SEARCH(Assumptions!$C$7,D1490)),Assumptions!$D$7,"Other Services"))),"Other Services"))</f>
        <v/>
      </c>
    </row>
    <row r="1491" customFormat="false" ht="15" hidden="false" customHeight="false" outlineLevel="0" collapsed="false">
      <c r="J1491" s="41" t="str">
        <f aca="false">IF(D1491="","",IFERROR(IF(ISNUMBER(SEARCH(Assumptions!$C$5,D1491)),Assumptions!$D$5,IF(ISNUMBER(SEARCH(Assumptions!$C$6,D1491)),Assumptions!$D$6,IF(ISNUMBER(SEARCH(Assumptions!$C$7,D1491)),Assumptions!$D$7,"Other Services"))),"Other Services"))</f>
        <v/>
      </c>
    </row>
    <row r="1492" customFormat="false" ht="15" hidden="false" customHeight="false" outlineLevel="0" collapsed="false">
      <c r="J1492" s="41" t="str">
        <f aca="false">IF(D1492="","",IFERROR(IF(ISNUMBER(SEARCH(Assumptions!$C$5,D1492)),Assumptions!$D$5,IF(ISNUMBER(SEARCH(Assumptions!$C$6,D1492)),Assumptions!$D$6,IF(ISNUMBER(SEARCH(Assumptions!$C$7,D1492)),Assumptions!$D$7,"Other Services"))),"Other Services"))</f>
        <v/>
      </c>
    </row>
    <row r="1493" customFormat="false" ht="15" hidden="false" customHeight="false" outlineLevel="0" collapsed="false">
      <c r="J1493" s="41" t="str">
        <f aca="false">IF(D1493="","",IFERROR(IF(ISNUMBER(SEARCH(Assumptions!$C$5,D1493)),Assumptions!$D$5,IF(ISNUMBER(SEARCH(Assumptions!$C$6,D1493)),Assumptions!$D$6,IF(ISNUMBER(SEARCH(Assumptions!$C$7,D1493)),Assumptions!$D$7,"Other Services"))),"Other Services"))</f>
        <v/>
      </c>
    </row>
    <row r="1494" customFormat="false" ht="15" hidden="false" customHeight="false" outlineLevel="0" collapsed="false">
      <c r="J1494" s="41" t="str">
        <f aca="false">IF(D1494="","",IFERROR(IF(ISNUMBER(SEARCH(Assumptions!$C$5,D1494)),Assumptions!$D$5,IF(ISNUMBER(SEARCH(Assumptions!$C$6,D1494)),Assumptions!$D$6,IF(ISNUMBER(SEARCH(Assumptions!$C$7,D1494)),Assumptions!$D$7,"Other Services"))),"Other Services"))</f>
        <v/>
      </c>
    </row>
    <row r="1495" customFormat="false" ht="15" hidden="false" customHeight="false" outlineLevel="0" collapsed="false">
      <c r="J1495" s="41" t="str">
        <f aca="false">IF(D1495="","",IFERROR(IF(ISNUMBER(SEARCH(Assumptions!$C$5,D1495)),Assumptions!$D$5,IF(ISNUMBER(SEARCH(Assumptions!$C$6,D1495)),Assumptions!$D$6,IF(ISNUMBER(SEARCH(Assumptions!$C$7,D1495)),Assumptions!$D$7,"Other Services"))),"Other Services"))</f>
        <v/>
      </c>
    </row>
    <row r="1496" customFormat="false" ht="15" hidden="false" customHeight="false" outlineLevel="0" collapsed="false">
      <c r="J1496" s="41" t="str">
        <f aca="false">IF(D1496="","",IFERROR(IF(ISNUMBER(SEARCH(Assumptions!$C$5,D1496)),Assumptions!$D$5,IF(ISNUMBER(SEARCH(Assumptions!$C$6,D1496)),Assumptions!$D$6,IF(ISNUMBER(SEARCH(Assumptions!$C$7,D1496)),Assumptions!$D$7,"Other Services"))),"Other Services"))</f>
        <v/>
      </c>
    </row>
    <row r="1497" customFormat="false" ht="15" hidden="false" customHeight="false" outlineLevel="0" collapsed="false">
      <c r="J1497" s="41" t="str">
        <f aca="false">IF(D1497="","",IFERROR(IF(ISNUMBER(SEARCH(Assumptions!$C$5,D1497)),Assumptions!$D$5,IF(ISNUMBER(SEARCH(Assumptions!$C$6,D1497)),Assumptions!$D$6,IF(ISNUMBER(SEARCH(Assumptions!$C$7,D1497)),Assumptions!$D$7,"Other Services"))),"Other Services"))</f>
        <v/>
      </c>
    </row>
    <row r="1498" customFormat="false" ht="15" hidden="false" customHeight="false" outlineLevel="0" collapsed="false">
      <c r="J1498" s="41" t="str">
        <f aca="false">IF(D1498="","",IFERROR(IF(ISNUMBER(SEARCH(Assumptions!$C$5,D1498)),Assumptions!$D$5,IF(ISNUMBER(SEARCH(Assumptions!$C$6,D1498)),Assumptions!$D$6,IF(ISNUMBER(SEARCH(Assumptions!$C$7,D1498)),Assumptions!$D$7,"Other Services"))),"Other Services"))</f>
        <v/>
      </c>
    </row>
    <row r="1499" customFormat="false" ht="15" hidden="false" customHeight="false" outlineLevel="0" collapsed="false">
      <c r="J1499" s="41" t="str">
        <f aca="false">IF(D1499="","",IFERROR(IF(ISNUMBER(SEARCH(Assumptions!$C$5,D1499)),Assumptions!$D$5,IF(ISNUMBER(SEARCH(Assumptions!$C$6,D1499)),Assumptions!$D$6,IF(ISNUMBER(SEARCH(Assumptions!$C$7,D1499)),Assumptions!$D$7,"Other Services"))),"Other Services"))</f>
        <v/>
      </c>
    </row>
    <row r="1500" customFormat="false" ht="15" hidden="false" customHeight="false" outlineLevel="0" collapsed="false">
      <c r="J1500" s="41" t="str">
        <f aca="false">IF(D1500="","",IFERROR(IF(ISNUMBER(SEARCH(Assumptions!$C$5,D1500)),Assumptions!$D$5,IF(ISNUMBER(SEARCH(Assumptions!$C$6,D1500)),Assumptions!$D$6,IF(ISNUMBER(SEARCH(Assumptions!$C$7,D1500)),Assumptions!$D$7,"Other Services"))),"Other Services"))</f>
        <v/>
      </c>
    </row>
    <row r="1501" customFormat="false" ht="15" hidden="false" customHeight="false" outlineLevel="0" collapsed="false">
      <c r="J1501" s="41" t="str">
        <f aca="false">IF(D1501="","",IFERROR(IF(ISNUMBER(SEARCH(Assumptions!$C$5,D1501)),Assumptions!$D$5,IF(ISNUMBER(SEARCH(Assumptions!$C$6,D1501)),Assumptions!$D$6,IF(ISNUMBER(SEARCH(Assumptions!$C$7,D1501)),Assumptions!$D$7,"Other Services"))),"Other Services"))</f>
        <v/>
      </c>
    </row>
    <row r="1502" customFormat="false" ht="15" hidden="false" customHeight="false" outlineLevel="0" collapsed="false">
      <c r="J1502" s="41" t="str">
        <f aca="false">IF(D1502="","",IFERROR(IF(ISNUMBER(SEARCH(Assumptions!$C$5,D1502)),Assumptions!$D$5,IF(ISNUMBER(SEARCH(Assumptions!$C$6,D1502)),Assumptions!$D$6,IF(ISNUMBER(SEARCH(Assumptions!$C$7,D1502)),Assumptions!$D$7,"Other Services"))),"Other Services"))</f>
        <v/>
      </c>
    </row>
    <row r="1503" customFormat="false" ht="15" hidden="false" customHeight="false" outlineLevel="0" collapsed="false">
      <c r="J1503" s="41" t="str">
        <f aca="false">IF(D1503="","",IFERROR(IF(ISNUMBER(SEARCH(Assumptions!$C$5,D1503)),Assumptions!$D$5,IF(ISNUMBER(SEARCH(Assumptions!$C$6,D1503)),Assumptions!$D$6,IF(ISNUMBER(SEARCH(Assumptions!$C$7,D1503)),Assumptions!$D$7,"Other Services"))),"Other Services"))</f>
        <v/>
      </c>
    </row>
    <row r="1504" customFormat="false" ht="15" hidden="false" customHeight="false" outlineLevel="0" collapsed="false">
      <c r="J1504" s="41" t="str">
        <f aca="false">IF(D1504="","",IFERROR(IF(ISNUMBER(SEARCH(Assumptions!$C$5,D1504)),Assumptions!$D$5,IF(ISNUMBER(SEARCH(Assumptions!$C$6,D1504)),Assumptions!$D$6,IF(ISNUMBER(SEARCH(Assumptions!$C$7,D1504)),Assumptions!$D$7,"Other Services"))),"Other Services"))</f>
        <v/>
      </c>
    </row>
    <row r="1505" customFormat="false" ht="15" hidden="false" customHeight="false" outlineLevel="0" collapsed="false">
      <c r="J1505" s="41" t="str">
        <f aca="false">IF(D1505="","",IFERROR(IF(ISNUMBER(SEARCH(Assumptions!$C$5,D1505)),Assumptions!$D$5,IF(ISNUMBER(SEARCH(Assumptions!$C$6,D1505)),Assumptions!$D$6,IF(ISNUMBER(SEARCH(Assumptions!$C$7,D1505)),Assumptions!$D$7,"Other Services"))),"Other Services"))</f>
        <v/>
      </c>
    </row>
    <row r="1506" customFormat="false" ht="15" hidden="false" customHeight="false" outlineLevel="0" collapsed="false">
      <c r="J1506" s="41" t="str">
        <f aca="false">IF(D1506="","",IFERROR(IF(ISNUMBER(SEARCH(Assumptions!$C$5,D1506)),Assumptions!$D$5,IF(ISNUMBER(SEARCH(Assumptions!$C$6,D1506)),Assumptions!$D$6,IF(ISNUMBER(SEARCH(Assumptions!$C$7,D1506)),Assumptions!$D$7,"Other Services"))),"Other Services"))</f>
        <v/>
      </c>
    </row>
    <row r="1507" customFormat="false" ht="15" hidden="false" customHeight="false" outlineLevel="0" collapsed="false">
      <c r="J1507" s="41" t="str">
        <f aca="false">IF(D1507="","",IFERROR(IF(ISNUMBER(SEARCH(Assumptions!$C$5,D1507)),Assumptions!$D$5,IF(ISNUMBER(SEARCH(Assumptions!$C$6,D1507)),Assumptions!$D$6,IF(ISNUMBER(SEARCH(Assumptions!$C$7,D1507)),Assumptions!$D$7,"Other Services"))),"Other Services"))</f>
        <v/>
      </c>
    </row>
    <row r="1508" customFormat="false" ht="15" hidden="false" customHeight="false" outlineLevel="0" collapsed="false">
      <c r="J1508" s="41" t="str">
        <f aca="false">IF(D1508="","",IFERROR(IF(ISNUMBER(SEARCH(Assumptions!$C$5,D1508)),Assumptions!$D$5,IF(ISNUMBER(SEARCH(Assumptions!$C$6,D1508)),Assumptions!$D$6,IF(ISNUMBER(SEARCH(Assumptions!$C$7,D1508)),Assumptions!$D$7,"Other Services"))),"Other Services"))</f>
        <v/>
      </c>
    </row>
    <row r="1509" customFormat="false" ht="15" hidden="false" customHeight="false" outlineLevel="0" collapsed="false">
      <c r="J1509" s="41" t="str">
        <f aca="false">IF(D1509="","",IFERROR(IF(ISNUMBER(SEARCH(Assumptions!$C$5,D1509)),Assumptions!$D$5,IF(ISNUMBER(SEARCH(Assumptions!$C$6,D1509)),Assumptions!$D$6,IF(ISNUMBER(SEARCH(Assumptions!$C$7,D1509)),Assumptions!$D$7,"Other Services"))),"Other Services"))</f>
        <v/>
      </c>
    </row>
    <row r="1510" customFormat="false" ht="15" hidden="false" customHeight="false" outlineLevel="0" collapsed="false">
      <c r="J1510" s="41" t="str">
        <f aca="false">IF(D1510="","",IFERROR(IF(ISNUMBER(SEARCH(Assumptions!$C$5,D1510)),Assumptions!$D$5,IF(ISNUMBER(SEARCH(Assumptions!$C$6,D1510)),Assumptions!$D$6,IF(ISNUMBER(SEARCH(Assumptions!$C$7,D1510)),Assumptions!$D$7,"Other Services"))),"Other Services"))</f>
        <v/>
      </c>
    </row>
    <row r="1511" customFormat="false" ht="15" hidden="false" customHeight="false" outlineLevel="0" collapsed="false">
      <c r="J1511" s="41" t="str">
        <f aca="false">IF(D1511="","",IFERROR(IF(ISNUMBER(SEARCH(Assumptions!$C$5,D1511)),Assumptions!$D$5,IF(ISNUMBER(SEARCH(Assumptions!$C$6,D1511)),Assumptions!$D$6,IF(ISNUMBER(SEARCH(Assumptions!$C$7,D1511)),Assumptions!$D$7,"Other Services"))),"Other Services"))</f>
        <v/>
      </c>
    </row>
    <row r="1512" customFormat="false" ht="15" hidden="false" customHeight="false" outlineLevel="0" collapsed="false">
      <c r="J1512" s="41" t="str">
        <f aca="false">IF(D1512="","",IFERROR(IF(ISNUMBER(SEARCH(Assumptions!$C$5,D1512)),Assumptions!$D$5,IF(ISNUMBER(SEARCH(Assumptions!$C$6,D1512)),Assumptions!$D$6,IF(ISNUMBER(SEARCH(Assumptions!$C$7,D1512)),Assumptions!$D$7,"Other Services"))),"Other Services"))</f>
        <v/>
      </c>
    </row>
    <row r="1513" customFormat="false" ht="15" hidden="false" customHeight="false" outlineLevel="0" collapsed="false">
      <c r="J1513" s="41" t="str">
        <f aca="false">IF(D1513="","",IFERROR(IF(ISNUMBER(SEARCH(Assumptions!$C$5,D1513)),Assumptions!$D$5,IF(ISNUMBER(SEARCH(Assumptions!$C$6,D1513)),Assumptions!$D$6,IF(ISNUMBER(SEARCH(Assumptions!$C$7,D1513)),Assumptions!$D$7,"Other Services"))),"Other Services"))</f>
        <v/>
      </c>
    </row>
    <row r="1514" customFormat="false" ht="15" hidden="false" customHeight="false" outlineLevel="0" collapsed="false">
      <c r="J1514" s="41" t="str">
        <f aca="false">IF(D1514="","",IFERROR(IF(ISNUMBER(SEARCH(Assumptions!$C$5,D1514)),Assumptions!$D$5,IF(ISNUMBER(SEARCH(Assumptions!$C$6,D1514)),Assumptions!$D$6,IF(ISNUMBER(SEARCH(Assumptions!$C$7,D1514)),Assumptions!$D$7,"Other Services"))),"Other Services"))</f>
        <v/>
      </c>
    </row>
    <row r="1515" customFormat="false" ht="15" hidden="false" customHeight="false" outlineLevel="0" collapsed="false">
      <c r="J1515" s="41" t="str">
        <f aca="false">IF(D1515="","",IFERROR(IF(ISNUMBER(SEARCH(Assumptions!$C$5,D1515)),Assumptions!$D$5,IF(ISNUMBER(SEARCH(Assumptions!$C$6,D1515)),Assumptions!$D$6,IF(ISNUMBER(SEARCH(Assumptions!$C$7,D1515)),Assumptions!$D$7,"Other Services"))),"Other Services"))</f>
        <v/>
      </c>
    </row>
    <row r="1516" customFormat="false" ht="15" hidden="false" customHeight="false" outlineLevel="0" collapsed="false">
      <c r="J1516" s="41" t="str">
        <f aca="false">IF(D1516="","",IFERROR(IF(ISNUMBER(SEARCH(Assumptions!$C$5,D1516)),Assumptions!$D$5,IF(ISNUMBER(SEARCH(Assumptions!$C$6,D1516)),Assumptions!$D$6,IF(ISNUMBER(SEARCH(Assumptions!$C$7,D1516)),Assumptions!$D$7,"Other Services"))),"Other Services"))</f>
        <v/>
      </c>
    </row>
    <row r="1517" customFormat="false" ht="15" hidden="false" customHeight="false" outlineLevel="0" collapsed="false">
      <c r="J1517" s="41" t="str">
        <f aca="false">IF(D1517="","",IFERROR(IF(ISNUMBER(SEARCH(Assumptions!$C$5,D1517)),Assumptions!$D$5,IF(ISNUMBER(SEARCH(Assumptions!$C$6,D1517)),Assumptions!$D$6,IF(ISNUMBER(SEARCH(Assumptions!$C$7,D1517)),Assumptions!$D$7,"Other Services"))),"Other Services"))</f>
        <v/>
      </c>
    </row>
    <row r="1518" customFormat="false" ht="15" hidden="false" customHeight="false" outlineLevel="0" collapsed="false">
      <c r="J1518" s="41" t="str">
        <f aca="false">IF(D1518="","",IFERROR(IF(ISNUMBER(SEARCH(Assumptions!$C$5,D1518)),Assumptions!$D$5,IF(ISNUMBER(SEARCH(Assumptions!$C$6,D1518)),Assumptions!$D$6,IF(ISNUMBER(SEARCH(Assumptions!$C$7,D1518)),Assumptions!$D$7,"Other Services"))),"Other Services"))</f>
        <v/>
      </c>
    </row>
    <row r="1519" customFormat="false" ht="15" hidden="false" customHeight="false" outlineLevel="0" collapsed="false">
      <c r="J1519" s="41" t="str">
        <f aca="false">IF(D1519="","",IFERROR(IF(ISNUMBER(SEARCH(Assumptions!$C$5,D1519)),Assumptions!$D$5,IF(ISNUMBER(SEARCH(Assumptions!$C$6,D1519)),Assumptions!$D$6,IF(ISNUMBER(SEARCH(Assumptions!$C$7,D1519)),Assumptions!$D$7,"Other Services"))),"Other Services"))</f>
        <v/>
      </c>
    </row>
    <row r="1520" customFormat="false" ht="15" hidden="false" customHeight="false" outlineLevel="0" collapsed="false">
      <c r="J1520" s="41" t="str">
        <f aca="false">IF(D1520="","",IFERROR(IF(ISNUMBER(SEARCH(Assumptions!$C$5,D1520)),Assumptions!$D$5,IF(ISNUMBER(SEARCH(Assumptions!$C$6,D1520)),Assumptions!$D$6,IF(ISNUMBER(SEARCH(Assumptions!$C$7,D1520)),Assumptions!$D$7,"Other Services"))),"Other Services"))</f>
        <v/>
      </c>
    </row>
    <row r="1521" customFormat="false" ht="15" hidden="false" customHeight="false" outlineLevel="0" collapsed="false">
      <c r="J1521" s="41" t="str">
        <f aca="false">IF(D1521="","",IFERROR(IF(ISNUMBER(SEARCH(Assumptions!$C$5,D1521)),Assumptions!$D$5,IF(ISNUMBER(SEARCH(Assumptions!$C$6,D1521)),Assumptions!$D$6,IF(ISNUMBER(SEARCH(Assumptions!$C$7,D1521)),Assumptions!$D$7,"Other Services"))),"Other Services"))</f>
        <v/>
      </c>
    </row>
    <row r="1522" customFormat="false" ht="15" hidden="false" customHeight="false" outlineLevel="0" collapsed="false">
      <c r="J1522" s="41" t="str">
        <f aca="false">IF(D1522="","",IFERROR(IF(ISNUMBER(SEARCH(Assumptions!$C$5,D1522)),Assumptions!$D$5,IF(ISNUMBER(SEARCH(Assumptions!$C$6,D1522)),Assumptions!$D$6,IF(ISNUMBER(SEARCH(Assumptions!$C$7,D1522)),Assumptions!$D$7,"Other Services"))),"Other Services"))</f>
        <v/>
      </c>
    </row>
    <row r="1523" customFormat="false" ht="15" hidden="false" customHeight="false" outlineLevel="0" collapsed="false">
      <c r="J1523" s="41" t="str">
        <f aca="false">IF(D1523="","",IFERROR(IF(ISNUMBER(SEARCH(Assumptions!$C$5,D1523)),Assumptions!$D$5,IF(ISNUMBER(SEARCH(Assumptions!$C$6,D1523)),Assumptions!$D$6,IF(ISNUMBER(SEARCH(Assumptions!$C$7,D1523)),Assumptions!$D$7,"Other Services"))),"Other Services"))</f>
        <v/>
      </c>
    </row>
    <row r="1524" customFormat="false" ht="15" hidden="false" customHeight="false" outlineLevel="0" collapsed="false">
      <c r="J1524" s="41" t="str">
        <f aca="false">IF(D1524="","",IFERROR(IF(ISNUMBER(SEARCH(Assumptions!$C$5,D1524)),Assumptions!$D$5,IF(ISNUMBER(SEARCH(Assumptions!$C$6,D1524)),Assumptions!$D$6,IF(ISNUMBER(SEARCH(Assumptions!$C$7,D1524)),Assumptions!$D$7,"Other Services"))),"Other Services"))</f>
        <v/>
      </c>
    </row>
    <row r="1525" customFormat="false" ht="15" hidden="false" customHeight="false" outlineLevel="0" collapsed="false">
      <c r="J1525" s="41" t="str">
        <f aca="false">IF(D1525="","",IFERROR(IF(ISNUMBER(SEARCH(Assumptions!$C$5,D1525)),Assumptions!$D$5,IF(ISNUMBER(SEARCH(Assumptions!$C$6,D1525)),Assumptions!$D$6,IF(ISNUMBER(SEARCH(Assumptions!$C$7,D1525)),Assumptions!$D$7,"Other Services"))),"Other Services"))</f>
        <v/>
      </c>
    </row>
    <row r="1526" customFormat="false" ht="15" hidden="false" customHeight="false" outlineLevel="0" collapsed="false">
      <c r="J1526" s="41" t="str">
        <f aca="false">IF(D1526="","",IFERROR(IF(ISNUMBER(SEARCH(Assumptions!$C$5,D1526)),Assumptions!$D$5,IF(ISNUMBER(SEARCH(Assumptions!$C$6,D1526)),Assumptions!$D$6,IF(ISNUMBER(SEARCH(Assumptions!$C$7,D1526)),Assumptions!$D$7,"Other Services"))),"Other Services"))</f>
        <v/>
      </c>
    </row>
    <row r="1527" customFormat="false" ht="15" hidden="false" customHeight="false" outlineLevel="0" collapsed="false">
      <c r="J1527" s="41" t="str">
        <f aca="false">IF(D1527="","",IFERROR(IF(ISNUMBER(SEARCH(Assumptions!$C$5,D1527)),Assumptions!$D$5,IF(ISNUMBER(SEARCH(Assumptions!$C$6,D1527)),Assumptions!$D$6,IF(ISNUMBER(SEARCH(Assumptions!$C$7,D1527)),Assumptions!$D$7,"Other Services"))),"Other Services"))</f>
        <v/>
      </c>
    </row>
    <row r="1528" customFormat="false" ht="15" hidden="false" customHeight="false" outlineLevel="0" collapsed="false">
      <c r="J1528" s="41" t="str">
        <f aca="false">IF(D1528="","",IFERROR(IF(ISNUMBER(SEARCH(Assumptions!$C$5,D1528)),Assumptions!$D$5,IF(ISNUMBER(SEARCH(Assumptions!$C$6,D1528)),Assumptions!$D$6,IF(ISNUMBER(SEARCH(Assumptions!$C$7,D1528)),Assumptions!$D$7,"Other Services"))),"Other Services"))</f>
        <v/>
      </c>
    </row>
    <row r="1529" customFormat="false" ht="15" hidden="false" customHeight="false" outlineLevel="0" collapsed="false">
      <c r="J1529" s="41" t="str">
        <f aca="false">IF(D1529="","",IFERROR(IF(ISNUMBER(SEARCH(Assumptions!$C$5,D1529)),Assumptions!$D$5,IF(ISNUMBER(SEARCH(Assumptions!$C$6,D1529)),Assumptions!$D$6,IF(ISNUMBER(SEARCH(Assumptions!$C$7,D1529)),Assumptions!$D$7,"Other Services"))),"Other Services"))</f>
        <v/>
      </c>
    </row>
    <row r="1530" customFormat="false" ht="15" hidden="false" customHeight="false" outlineLevel="0" collapsed="false">
      <c r="J1530" s="41" t="str">
        <f aca="false">IF(D1530="","",IFERROR(IF(ISNUMBER(SEARCH(Assumptions!$C$5,D1530)),Assumptions!$D$5,IF(ISNUMBER(SEARCH(Assumptions!$C$6,D1530)),Assumptions!$D$6,IF(ISNUMBER(SEARCH(Assumptions!$C$7,D1530)),Assumptions!$D$7,"Other Services"))),"Other Services"))</f>
        <v/>
      </c>
    </row>
    <row r="1531" customFormat="false" ht="15" hidden="false" customHeight="false" outlineLevel="0" collapsed="false">
      <c r="J1531" s="41" t="str">
        <f aca="false">IF(D1531="","",IFERROR(IF(ISNUMBER(SEARCH(Assumptions!$C$5,D1531)),Assumptions!$D$5,IF(ISNUMBER(SEARCH(Assumptions!$C$6,D1531)),Assumptions!$D$6,IF(ISNUMBER(SEARCH(Assumptions!$C$7,D1531)),Assumptions!$D$7,"Other Services"))),"Other Services"))</f>
        <v/>
      </c>
    </row>
    <row r="1532" customFormat="false" ht="15" hidden="false" customHeight="false" outlineLevel="0" collapsed="false">
      <c r="J1532" s="41" t="str">
        <f aca="false">IF(D1532="","",IFERROR(IF(ISNUMBER(SEARCH(Assumptions!$C$5,D1532)),Assumptions!$D$5,IF(ISNUMBER(SEARCH(Assumptions!$C$6,D1532)),Assumptions!$D$6,IF(ISNUMBER(SEARCH(Assumptions!$C$7,D1532)),Assumptions!$D$7,"Other Services"))),"Other Services"))</f>
        <v/>
      </c>
    </row>
    <row r="1533" customFormat="false" ht="15" hidden="false" customHeight="false" outlineLevel="0" collapsed="false">
      <c r="J1533" s="41" t="str">
        <f aca="false">IF(D1533="","",IFERROR(IF(ISNUMBER(SEARCH(Assumptions!$C$5,D1533)),Assumptions!$D$5,IF(ISNUMBER(SEARCH(Assumptions!$C$6,D1533)),Assumptions!$D$6,IF(ISNUMBER(SEARCH(Assumptions!$C$7,D1533)),Assumptions!$D$7,"Other Services"))),"Other Services"))</f>
        <v/>
      </c>
    </row>
    <row r="1534" customFormat="false" ht="15" hidden="false" customHeight="false" outlineLevel="0" collapsed="false">
      <c r="J1534" s="41" t="str">
        <f aca="false">IF(D1534="","",IFERROR(IF(ISNUMBER(SEARCH(Assumptions!$C$5,D1534)),Assumptions!$D$5,IF(ISNUMBER(SEARCH(Assumptions!$C$6,D1534)),Assumptions!$D$6,IF(ISNUMBER(SEARCH(Assumptions!$C$7,D1534)),Assumptions!$D$7,"Other Services"))),"Other Services"))</f>
        <v/>
      </c>
    </row>
    <row r="1535" customFormat="false" ht="15" hidden="false" customHeight="false" outlineLevel="0" collapsed="false">
      <c r="J1535" s="41" t="str">
        <f aca="false">IF(D1535="","",IFERROR(IF(ISNUMBER(SEARCH(Assumptions!$C$5,D1535)),Assumptions!$D$5,IF(ISNUMBER(SEARCH(Assumptions!$C$6,D1535)),Assumptions!$D$6,IF(ISNUMBER(SEARCH(Assumptions!$C$7,D1535)),Assumptions!$D$7,"Other Services"))),"Other Services"))</f>
        <v/>
      </c>
    </row>
    <row r="1536" customFormat="false" ht="15" hidden="false" customHeight="false" outlineLevel="0" collapsed="false">
      <c r="J1536" s="41" t="str">
        <f aca="false">IF(D1536="","",IFERROR(IF(ISNUMBER(SEARCH(Assumptions!$C$5,D1536)),Assumptions!$D$5,IF(ISNUMBER(SEARCH(Assumptions!$C$6,D1536)),Assumptions!$D$6,IF(ISNUMBER(SEARCH(Assumptions!$C$7,D1536)),Assumptions!$D$7,"Other Services"))),"Other Services"))</f>
        <v/>
      </c>
    </row>
    <row r="1537" customFormat="false" ht="15" hidden="false" customHeight="false" outlineLevel="0" collapsed="false">
      <c r="J1537" s="41" t="str">
        <f aca="false">IF(D1537="","",IFERROR(IF(ISNUMBER(SEARCH(Assumptions!$C$5,D1537)),Assumptions!$D$5,IF(ISNUMBER(SEARCH(Assumptions!$C$6,D1537)),Assumptions!$D$6,IF(ISNUMBER(SEARCH(Assumptions!$C$7,D1537)),Assumptions!$D$7,"Other Services"))),"Other Services"))</f>
        <v/>
      </c>
    </row>
    <row r="1538" customFormat="false" ht="15" hidden="false" customHeight="false" outlineLevel="0" collapsed="false">
      <c r="J1538" s="41" t="str">
        <f aca="false">IF(D1538="","",IFERROR(IF(ISNUMBER(SEARCH(Assumptions!$C$5,D1538)),Assumptions!$D$5,IF(ISNUMBER(SEARCH(Assumptions!$C$6,D1538)),Assumptions!$D$6,IF(ISNUMBER(SEARCH(Assumptions!$C$7,D1538)),Assumptions!$D$7,"Other Services"))),"Other Services"))</f>
        <v/>
      </c>
    </row>
    <row r="1539" customFormat="false" ht="15" hidden="false" customHeight="false" outlineLevel="0" collapsed="false">
      <c r="J1539" s="41" t="str">
        <f aca="false">IF(D1539="","",IFERROR(IF(ISNUMBER(SEARCH(Assumptions!$C$5,D1539)),Assumptions!$D$5,IF(ISNUMBER(SEARCH(Assumptions!$C$6,D1539)),Assumptions!$D$6,IF(ISNUMBER(SEARCH(Assumptions!$C$7,D1539)),Assumptions!$D$7,"Other Services"))),"Other Services"))</f>
        <v/>
      </c>
    </row>
    <row r="1540" customFormat="false" ht="15" hidden="false" customHeight="false" outlineLevel="0" collapsed="false">
      <c r="J1540" s="41" t="str">
        <f aca="false">IF(D1540="","",IFERROR(IF(ISNUMBER(SEARCH(Assumptions!$C$5,D1540)),Assumptions!$D$5,IF(ISNUMBER(SEARCH(Assumptions!$C$6,D1540)),Assumptions!$D$6,IF(ISNUMBER(SEARCH(Assumptions!$C$7,D1540)),Assumptions!$D$7,"Other Services"))),"Other Services"))</f>
        <v/>
      </c>
    </row>
    <row r="1541" customFormat="false" ht="15" hidden="false" customHeight="false" outlineLevel="0" collapsed="false">
      <c r="J1541" s="41" t="str">
        <f aca="false">IF(D1541="","",IFERROR(IF(ISNUMBER(SEARCH(Assumptions!$C$5,D1541)),Assumptions!$D$5,IF(ISNUMBER(SEARCH(Assumptions!$C$6,D1541)),Assumptions!$D$6,IF(ISNUMBER(SEARCH(Assumptions!$C$7,D1541)),Assumptions!$D$7,"Other Services"))),"Other Services"))</f>
        <v/>
      </c>
    </row>
    <row r="1542" customFormat="false" ht="15" hidden="false" customHeight="false" outlineLevel="0" collapsed="false">
      <c r="J1542" s="41" t="str">
        <f aca="false">IF(D1542="","",IFERROR(IF(ISNUMBER(SEARCH(Assumptions!$C$5,D1542)),Assumptions!$D$5,IF(ISNUMBER(SEARCH(Assumptions!$C$6,D1542)),Assumptions!$D$6,IF(ISNUMBER(SEARCH(Assumptions!$C$7,D1542)),Assumptions!$D$7,"Other Services"))),"Other Services"))</f>
        <v/>
      </c>
    </row>
    <row r="1543" customFormat="false" ht="15" hidden="false" customHeight="false" outlineLevel="0" collapsed="false">
      <c r="J1543" s="41" t="str">
        <f aca="false">IF(D1543="","",IFERROR(IF(ISNUMBER(SEARCH(Assumptions!$C$5,D1543)),Assumptions!$D$5,IF(ISNUMBER(SEARCH(Assumptions!$C$6,D1543)),Assumptions!$D$6,IF(ISNUMBER(SEARCH(Assumptions!$C$7,D1543)),Assumptions!$D$7,"Other Services"))),"Other Services"))</f>
        <v/>
      </c>
    </row>
    <row r="1544" customFormat="false" ht="15" hidden="false" customHeight="false" outlineLevel="0" collapsed="false">
      <c r="J1544" s="41" t="str">
        <f aca="false">IF(D1544="","",IFERROR(IF(ISNUMBER(SEARCH(Assumptions!$C$5,D1544)),Assumptions!$D$5,IF(ISNUMBER(SEARCH(Assumptions!$C$6,D1544)),Assumptions!$D$6,IF(ISNUMBER(SEARCH(Assumptions!$C$7,D1544)),Assumptions!$D$7,"Other Services"))),"Other Services"))</f>
        <v/>
      </c>
    </row>
    <row r="1545" customFormat="false" ht="15" hidden="false" customHeight="false" outlineLevel="0" collapsed="false">
      <c r="J1545" s="41" t="str">
        <f aca="false">IF(D1545="","",IFERROR(IF(ISNUMBER(SEARCH(Assumptions!$C$5,D1545)),Assumptions!$D$5,IF(ISNUMBER(SEARCH(Assumptions!$C$6,D1545)),Assumptions!$D$6,IF(ISNUMBER(SEARCH(Assumptions!$C$7,D1545)),Assumptions!$D$7,"Other Services"))),"Other Services"))</f>
        <v/>
      </c>
    </row>
    <row r="1546" customFormat="false" ht="15" hidden="false" customHeight="false" outlineLevel="0" collapsed="false">
      <c r="J1546" s="41" t="str">
        <f aca="false">IF(D1546="","",IFERROR(IF(ISNUMBER(SEARCH(Assumptions!$C$5,D1546)),Assumptions!$D$5,IF(ISNUMBER(SEARCH(Assumptions!$C$6,D1546)),Assumptions!$D$6,IF(ISNUMBER(SEARCH(Assumptions!$C$7,D1546)),Assumptions!$D$7,"Other Services"))),"Other Services"))</f>
        <v/>
      </c>
    </row>
    <row r="1547" customFormat="false" ht="15" hidden="false" customHeight="false" outlineLevel="0" collapsed="false">
      <c r="J1547" s="41" t="str">
        <f aca="false">IF(D1547="","",IFERROR(IF(ISNUMBER(SEARCH(Assumptions!$C$5,D1547)),Assumptions!$D$5,IF(ISNUMBER(SEARCH(Assumptions!$C$6,D1547)),Assumptions!$D$6,IF(ISNUMBER(SEARCH(Assumptions!$C$7,D1547)),Assumptions!$D$7,"Other Services"))),"Other Services"))</f>
        <v/>
      </c>
    </row>
    <row r="1548" customFormat="false" ht="15" hidden="false" customHeight="false" outlineLevel="0" collapsed="false">
      <c r="J1548" s="41" t="str">
        <f aca="false">IF(D1548="","",IFERROR(IF(ISNUMBER(SEARCH(Assumptions!$C$5,D1548)),Assumptions!$D$5,IF(ISNUMBER(SEARCH(Assumptions!$C$6,D1548)),Assumptions!$D$6,IF(ISNUMBER(SEARCH(Assumptions!$C$7,D1548)),Assumptions!$D$7,"Other Services"))),"Other Services"))</f>
        <v/>
      </c>
    </row>
    <row r="1549" customFormat="false" ht="15" hidden="false" customHeight="false" outlineLevel="0" collapsed="false">
      <c r="J1549" s="41" t="str">
        <f aca="false">IF(D1549="","",IFERROR(IF(ISNUMBER(SEARCH(Assumptions!$C$5,D1549)),Assumptions!$D$5,IF(ISNUMBER(SEARCH(Assumptions!$C$6,D1549)),Assumptions!$D$6,IF(ISNUMBER(SEARCH(Assumptions!$C$7,D1549)),Assumptions!$D$7,"Other Services"))),"Other Services"))</f>
        <v/>
      </c>
    </row>
    <row r="1550" customFormat="false" ht="15" hidden="false" customHeight="false" outlineLevel="0" collapsed="false">
      <c r="J1550" s="41" t="str">
        <f aca="false">IF(D1550="","",IFERROR(IF(ISNUMBER(SEARCH(Assumptions!$C$5,D1550)),Assumptions!$D$5,IF(ISNUMBER(SEARCH(Assumptions!$C$6,D1550)),Assumptions!$D$6,IF(ISNUMBER(SEARCH(Assumptions!$C$7,D1550)),Assumptions!$D$7,"Other Services"))),"Other Services"))</f>
        <v/>
      </c>
    </row>
    <row r="1551" customFormat="false" ht="15" hidden="false" customHeight="false" outlineLevel="0" collapsed="false">
      <c r="J1551" s="41" t="str">
        <f aca="false">IF(D1551="","",IFERROR(IF(ISNUMBER(SEARCH(Assumptions!$C$5,D1551)),Assumptions!$D$5,IF(ISNUMBER(SEARCH(Assumptions!$C$6,D1551)),Assumptions!$D$6,IF(ISNUMBER(SEARCH(Assumptions!$C$7,D1551)),Assumptions!$D$7,"Other Services"))),"Other Services"))</f>
        <v/>
      </c>
    </row>
    <row r="1552" customFormat="false" ht="15" hidden="false" customHeight="false" outlineLevel="0" collapsed="false">
      <c r="J1552" s="41" t="str">
        <f aca="false">IF(D1552="","",IFERROR(IF(ISNUMBER(SEARCH(Assumptions!$C$5,D1552)),Assumptions!$D$5,IF(ISNUMBER(SEARCH(Assumptions!$C$6,D1552)),Assumptions!$D$6,IF(ISNUMBER(SEARCH(Assumptions!$C$7,D1552)),Assumptions!$D$7,"Other Services"))),"Other Services"))</f>
        <v/>
      </c>
    </row>
    <row r="1553" customFormat="false" ht="15" hidden="false" customHeight="false" outlineLevel="0" collapsed="false">
      <c r="J1553" s="41" t="str">
        <f aca="false">IF(D1553="","",IFERROR(IF(ISNUMBER(SEARCH(Assumptions!$C$5,D1553)),Assumptions!$D$5,IF(ISNUMBER(SEARCH(Assumptions!$C$6,D1553)),Assumptions!$D$6,IF(ISNUMBER(SEARCH(Assumptions!$C$7,D1553)),Assumptions!$D$7,"Other Services"))),"Other Services"))</f>
        <v/>
      </c>
    </row>
    <row r="1554" customFormat="false" ht="15" hidden="false" customHeight="false" outlineLevel="0" collapsed="false">
      <c r="J1554" s="41" t="str">
        <f aca="false">IF(D1554="","",IFERROR(IF(ISNUMBER(SEARCH(Assumptions!$C$5,D1554)),Assumptions!$D$5,IF(ISNUMBER(SEARCH(Assumptions!$C$6,D1554)),Assumptions!$D$6,IF(ISNUMBER(SEARCH(Assumptions!$C$7,D1554)),Assumptions!$D$7,"Other Services"))),"Other Services"))</f>
        <v/>
      </c>
    </row>
    <row r="1555" customFormat="false" ht="15" hidden="false" customHeight="false" outlineLevel="0" collapsed="false">
      <c r="J1555" s="41" t="str">
        <f aca="false">IF(D1555="","",IFERROR(IF(ISNUMBER(SEARCH(Assumptions!$C$5,D1555)),Assumptions!$D$5,IF(ISNUMBER(SEARCH(Assumptions!$C$6,D1555)),Assumptions!$D$6,IF(ISNUMBER(SEARCH(Assumptions!$C$7,D1555)),Assumptions!$D$7,"Other Services"))),"Other Services"))</f>
        <v/>
      </c>
    </row>
    <row r="1556" customFormat="false" ht="15" hidden="false" customHeight="false" outlineLevel="0" collapsed="false">
      <c r="J1556" s="41" t="str">
        <f aca="false">IF(D1556="","",IFERROR(IF(ISNUMBER(SEARCH(Assumptions!$C$5,D1556)),Assumptions!$D$5,IF(ISNUMBER(SEARCH(Assumptions!$C$6,D1556)),Assumptions!$D$6,IF(ISNUMBER(SEARCH(Assumptions!$C$7,D1556)),Assumptions!$D$7,"Other Services"))),"Other Services"))</f>
        <v/>
      </c>
    </row>
    <row r="1557" customFormat="false" ht="15" hidden="false" customHeight="false" outlineLevel="0" collapsed="false">
      <c r="J1557" s="41" t="str">
        <f aca="false">IF(D1557="","",IFERROR(IF(ISNUMBER(SEARCH(Assumptions!$C$5,D1557)),Assumptions!$D$5,IF(ISNUMBER(SEARCH(Assumptions!$C$6,D1557)),Assumptions!$D$6,IF(ISNUMBER(SEARCH(Assumptions!$C$7,D1557)),Assumptions!$D$7,"Other Services"))),"Other Services"))</f>
        <v/>
      </c>
    </row>
    <row r="1558" customFormat="false" ht="15" hidden="false" customHeight="false" outlineLevel="0" collapsed="false">
      <c r="J1558" s="41" t="str">
        <f aca="false">IF(D1558="","",IFERROR(IF(ISNUMBER(SEARCH(Assumptions!$C$5,D1558)),Assumptions!$D$5,IF(ISNUMBER(SEARCH(Assumptions!$C$6,D1558)),Assumptions!$D$6,IF(ISNUMBER(SEARCH(Assumptions!$C$7,D1558)),Assumptions!$D$7,"Other Services"))),"Other Services"))</f>
        <v/>
      </c>
    </row>
    <row r="1559" customFormat="false" ht="15" hidden="false" customHeight="false" outlineLevel="0" collapsed="false">
      <c r="J1559" s="41" t="str">
        <f aca="false">IF(D1559="","",IFERROR(IF(ISNUMBER(SEARCH(Assumptions!$C$5,D1559)),Assumptions!$D$5,IF(ISNUMBER(SEARCH(Assumptions!$C$6,D1559)),Assumptions!$D$6,IF(ISNUMBER(SEARCH(Assumptions!$C$7,D1559)),Assumptions!$D$7,"Other Services"))),"Other Services"))</f>
        <v/>
      </c>
    </row>
    <row r="1560" customFormat="false" ht="15" hidden="false" customHeight="false" outlineLevel="0" collapsed="false">
      <c r="J1560" s="41" t="str">
        <f aca="false">IF(D1560="","",IFERROR(IF(ISNUMBER(SEARCH(Assumptions!$C$5,D1560)),Assumptions!$D$5,IF(ISNUMBER(SEARCH(Assumptions!$C$6,D1560)),Assumptions!$D$6,IF(ISNUMBER(SEARCH(Assumptions!$C$7,D1560)),Assumptions!$D$7,"Other Services"))),"Other Services"))</f>
        <v/>
      </c>
    </row>
    <row r="1561" customFormat="false" ht="15" hidden="false" customHeight="false" outlineLevel="0" collapsed="false">
      <c r="J1561" s="41" t="str">
        <f aca="false">IF(D1561="","",IFERROR(IF(ISNUMBER(SEARCH(Assumptions!$C$5,D1561)),Assumptions!$D$5,IF(ISNUMBER(SEARCH(Assumptions!$C$6,D1561)),Assumptions!$D$6,IF(ISNUMBER(SEARCH(Assumptions!$C$7,D1561)),Assumptions!$D$7,"Other Services"))),"Other Services"))</f>
        <v/>
      </c>
    </row>
    <row r="1562" customFormat="false" ht="15" hidden="false" customHeight="false" outlineLevel="0" collapsed="false">
      <c r="J1562" s="41" t="str">
        <f aca="false">IF(D1562="","",IFERROR(IF(ISNUMBER(SEARCH(Assumptions!$C$5,D1562)),Assumptions!$D$5,IF(ISNUMBER(SEARCH(Assumptions!$C$6,D1562)),Assumptions!$D$6,IF(ISNUMBER(SEARCH(Assumptions!$C$7,D1562)),Assumptions!$D$7,"Other Services"))),"Other Services"))</f>
        <v/>
      </c>
    </row>
    <row r="1563" customFormat="false" ht="15" hidden="false" customHeight="false" outlineLevel="0" collapsed="false">
      <c r="J1563" s="41" t="str">
        <f aca="false">IF(D1563="","",IFERROR(IF(ISNUMBER(SEARCH(Assumptions!$C$5,D1563)),Assumptions!$D$5,IF(ISNUMBER(SEARCH(Assumptions!$C$6,D1563)),Assumptions!$D$6,IF(ISNUMBER(SEARCH(Assumptions!$C$7,D1563)),Assumptions!$D$7,"Other Services"))),"Other Services"))</f>
        <v/>
      </c>
    </row>
    <row r="1564" customFormat="false" ht="15" hidden="false" customHeight="false" outlineLevel="0" collapsed="false">
      <c r="J1564" s="41" t="str">
        <f aca="false">IF(D1564="","",IFERROR(IF(ISNUMBER(SEARCH(Assumptions!$C$5,D1564)),Assumptions!$D$5,IF(ISNUMBER(SEARCH(Assumptions!$C$6,D1564)),Assumptions!$D$6,IF(ISNUMBER(SEARCH(Assumptions!$C$7,D1564)),Assumptions!$D$7,"Other Services"))),"Other Services"))</f>
        <v/>
      </c>
    </row>
    <row r="1565" customFormat="false" ht="15" hidden="false" customHeight="false" outlineLevel="0" collapsed="false">
      <c r="J1565" s="41" t="str">
        <f aca="false">IF(D1565="","",IFERROR(IF(ISNUMBER(SEARCH(Assumptions!$C$5,D1565)),Assumptions!$D$5,IF(ISNUMBER(SEARCH(Assumptions!$C$6,D1565)),Assumptions!$D$6,IF(ISNUMBER(SEARCH(Assumptions!$C$7,D1565)),Assumptions!$D$7,"Other Services"))),"Other Services"))</f>
        <v/>
      </c>
    </row>
    <row r="1566" customFormat="false" ht="15" hidden="false" customHeight="false" outlineLevel="0" collapsed="false">
      <c r="J1566" s="41" t="str">
        <f aca="false">IF(D1566="","",IFERROR(IF(ISNUMBER(SEARCH(Assumptions!$C$5,D1566)),Assumptions!$D$5,IF(ISNUMBER(SEARCH(Assumptions!$C$6,D1566)),Assumptions!$D$6,IF(ISNUMBER(SEARCH(Assumptions!$C$7,D1566)),Assumptions!$D$7,"Other Services"))),"Other Services"))</f>
        <v/>
      </c>
    </row>
    <row r="1567" customFormat="false" ht="15" hidden="false" customHeight="false" outlineLevel="0" collapsed="false">
      <c r="J1567" s="41" t="str">
        <f aca="false">IF(D1567="","",IFERROR(IF(ISNUMBER(SEARCH(Assumptions!$C$5,D1567)),Assumptions!$D$5,IF(ISNUMBER(SEARCH(Assumptions!$C$6,D1567)),Assumptions!$D$6,IF(ISNUMBER(SEARCH(Assumptions!$C$7,D1567)),Assumptions!$D$7,"Other Services"))),"Other Services"))</f>
        <v/>
      </c>
    </row>
    <row r="1568" customFormat="false" ht="15" hidden="false" customHeight="false" outlineLevel="0" collapsed="false">
      <c r="J1568" s="41" t="str">
        <f aca="false">IF(D1568="","",IFERROR(IF(ISNUMBER(SEARCH(Assumptions!$C$5,D1568)),Assumptions!$D$5,IF(ISNUMBER(SEARCH(Assumptions!$C$6,D1568)),Assumptions!$D$6,IF(ISNUMBER(SEARCH(Assumptions!$C$7,D1568)),Assumptions!$D$7,"Other Services"))),"Other Services"))</f>
        <v/>
      </c>
    </row>
    <row r="1569" customFormat="false" ht="15" hidden="false" customHeight="false" outlineLevel="0" collapsed="false">
      <c r="J1569" s="41" t="str">
        <f aca="false">IF(D1569="","",IFERROR(IF(ISNUMBER(SEARCH(Assumptions!$C$5,D1569)),Assumptions!$D$5,IF(ISNUMBER(SEARCH(Assumptions!$C$6,D1569)),Assumptions!$D$6,IF(ISNUMBER(SEARCH(Assumptions!$C$7,D1569)),Assumptions!$D$7,"Other Services"))),"Other Services"))</f>
        <v/>
      </c>
    </row>
    <row r="1570" customFormat="false" ht="15" hidden="false" customHeight="false" outlineLevel="0" collapsed="false">
      <c r="J1570" s="41" t="str">
        <f aca="false">IF(D1570="","",IFERROR(IF(ISNUMBER(SEARCH(Assumptions!$C$5,D1570)),Assumptions!$D$5,IF(ISNUMBER(SEARCH(Assumptions!$C$6,D1570)),Assumptions!$D$6,IF(ISNUMBER(SEARCH(Assumptions!$C$7,D1570)),Assumptions!$D$7,"Other Services"))),"Other Services"))</f>
        <v/>
      </c>
    </row>
    <row r="1571" customFormat="false" ht="15" hidden="false" customHeight="false" outlineLevel="0" collapsed="false">
      <c r="J1571" s="41" t="str">
        <f aca="false">IF(D1571="","",IFERROR(IF(ISNUMBER(SEARCH(Assumptions!$C$5,D1571)),Assumptions!$D$5,IF(ISNUMBER(SEARCH(Assumptions!$C$6,D1571)),Assumptions!$D$6,IF(ISNUMBER(SEARCH(Assumptions!$C$7,D1571)),Assumptions!$D$7,"Other Services"))),"Other Services"))</f>
        <v/>
      </c>
    </row>
    <row r="1572" customFormat="false" ht="15" hidden="false" customHeight="false" outlineLevel="0" collapsed="false">
      <c r="J1572" s="41" t="str">
        <f aca="false">IF(D1572="","",IFERROR(IF(ISNUMBER(SEARCH(Assumptions!$C$5,D1572)),Assumptions!$D$5,IF(ISNUMBER(SEARCH(Assumptions!$C$6,D1572)),Assumptions!$D$6,IF(ISNUMBER(SEARCH(Assumptions!$C$7,D1572)),Assumptions!$D$7,"Other Services"))),"Other Services"))</f>
        <v/>
      </c>
    </row>
    <row r="1573" customFormat="false" ht="15" hidden="false" customHeight="false" outlineLevel="0" collapsed="false">
      <c r="J1573" s="41" t="str">
        <f aca="false">IF(D1573="","",IFERROR(IF(ISNUMBER(SEARCH(Assumptions!$C$5,D1573)),Assumptions!$D$5,IF(ISNUMBER(SEARCH(Assumptions!$C$6,D1573)),Assumptions!$D$6,IF(ISNUMBER(SEARCH(Assumptions!$C$7,D1573)),Assumptions!$D$7,"Other Services"))),"Other Services"))</f>
        <v/>
      </c>
    </row>
    <row r="1574" customFormat="false" ht="15" hidden="false" customHeight="false" outlineLevel="0" collapsed="false">
      <c r="J1574" s="41" t="str">
        <f aca="false">IF(D1574="","",IFERROR(IF(ISNUMBER(SEARCH(Assumptions!$C$5,D1574)),Assumptions!$D$5,IF(ISNUMBER(SEARCH(Assumptions!$C$6,D1574)),Assumptions!$D$6,IF(ISNUMBER(SEARCH(Assumptions!$C$7,D1574)),Assumptions!$D$7,"Other Services"))),"Other Services"))</f>
        <v/>
      </c>
    </row>
    <row r="1575" customFormat="false" ht="15" hidden="false" customHeight="false" outlineLevel="0" collapsed="false">
      <c r="J1575" s="41" t="str">
        <f aca="false">IF(D1575="","",IFERROR(IF(ISNUMBER(SEARCH(Assumptions!$C$5,D1575)),Assumptions!$D$5,IF(ISNUMBER(SEARCH(Assumptions!$C$6,D1575)),Assumptions!$D$6,IF(ISNUMBER(SEARCH(Assumptions!$C$7,D1575)),Assumptions!$D$7,"Other Services"))),"Other Services"))</f>
        <v/>
      </c>
    </row>
    <row r="1576" customFormat="false" ht="15" hidden="false" customHeight="false" outlineLevel="0" collapsed="false">
      <c r="J1576" s="41" t="str">
        <f aca="false">IF(D1576="","",IFERROR(IF(ISNUMBER(SEARCH(Assumptions!$C$5,D1576)),Assumptions!$D$5,IF(ISNUMBER(SEARCH(Assumptions!$C$6,D1576)),Assumptions!$D$6,IF(ISNUMBER(SEARCH(Assumptions!$C$7,D1576)),Assumptions!$D$7,"Other Services"))),"Other Services"))</f>
        <v/>
      </c>
    </row>
    <row r="1577" customFormat="false" ht="15" hidden="false" customHeight="false" outlineLevel="0" collapsed="false">
      <c r="J1577" s="41" t="str">
        <f aca="false">IF(D1577="","",IFERROR(IF(ISNUMBER(SEARCH(Assumptions!$C$5,D1577)),Assumptions!$D$5,IF(ISNUMBER(SEARCH(Assumptions!$C$6,D1577)),Assumptions!$D$6,IF(ISNUMBER(SEARCH(Assumptions!$C$7,D1577)),Assumptions!$D$7,"Other Services"))),"Other Services"))</f>
        <v/>
      </c>
    </row>
    <row r="1578" customFormat="false" ht="15" hidden="false" customHeight="false" outlineLevel="0" collapsed="false">
      <c r="J1578" s="41" t="str">
        <f aca="false">IF(D1578="","",IFERROR(IF(ISNUMBER(SEARCH(Assumptions!$C$5,D1578)),Assumptions!$D$5,IF(ISNUMBER(SEARCH(Assumptions!$C$6,D1578)),Assumptions!$D$6,IF(ISNUMBER(SEARCH(Assumptions!$C$7,D1578)),Assumptions!$D$7,"Other Services"))),"Other Services"))</f>
        <v/>
      </c>
    </row>
    <row r="1579" customFormat="false" ht="15" hidden="false" customHeight="false" outlineLevel="0" collapsed="false">
      <c r="J1579" s="41" t="str">
        <f aca="false">IF(D1579="","",IFERROR(IF(ISNUMBER(SEARCH(Assumptions!$C$5,D1579)),Assumptions!$D$5,IF(ISNUMBER(SEARCH(Assumptions!$C$6,D1579)),Assumptions!$D$6,IF(ISNUMBER(SEARCH(Assumptions!$C$7,D1579)),Assumptions!$D$7,"Other Services"))),"Other Services"))</f>
        <v/>
      </c>
    </row>
    <row r="1580" customFormat="false" ht="15" hidden="false" customHeight="false" outlineLevel="0" collapsed="false">
      <c r="J1580" s="41" t="str">
        <f aca="false">IF(D1580="","",IFERROR(IF(ISNUMBER(SEARCH(Assumptions!$C$5,D1580)),Assumptions!$D$5,IF(ISNUMBER(SEARCH(Assumptions!$C$6,D1580)),Assumptions!$D$6,IF(ISNUMBER(SEARCH(Assumptions!$C$7,D1580)),Assumptions!$D$7,"Other Services"))),"Other Services"))</f>
        <v/>
      </c>
    </row>
    <row r="1581" customFormat="false" ht="15" hidden="false" customHeight="false" outlineLevel="0" collapsed="false">
      <c r="J1581" s="41" t="str">
        <f aca="false">IF(D1581="","",IFERROR(IF(ISNUMBER(SEARCH(Assumptions!$C$5,D1581)),Assumptions!$D$5,IF(ISNUMBER(SEARCH(Assumptions!$C$6,D1581)),Assumptions!$D$6,IF(ISNUMBER(SEARCH(Assumptions!$C$7,D1581)),Assumptions!$D$7,"Other Services"))),"Other Services"))</f>
        <v/>
      </c>
    </row>
    <row r="1582" customFormat="false" ht="15" hidden="false" customHeight="false" outlineLevel="0" collapsed="false">
      <c r="J1582" s="41" t="str">
        <f aca="false">IF(D1582="","",IFERROR(IF(ISNUMBER(SEARCH(Assumptions!$C$5,D1582)),Assumptions!$D$5,IF(ISNUMBER(SEARCH(Assumptions!$C$6,D1582)),Assumptions!$D$6,IF(ISNUMBER(SEARCH(Assumptions!$C$7,D1582)),Assumptions!$D$7,"Other Services"))),"Other Services"))</f>
        <v/>
      </c>
    </row>
    <row r="1583" customFormat="false" ht="15" hidden="false" customHeight="false" outlineLevel="0" collapsed="false">
      <c r="J1583" s="41" t="str">
        <f aca="false">IF(D1583="","",IFERROR(IF(ISNUMBER(SEARCH(Assumptions!$C$5,D1583)),Assumptions!$D$5,IF(ISNUMBER(SEARCH(Assumptions!$C$6,D1583)),Assumptions!$D$6,IF(ISNUMBER(SEARCH(Assumptions!$C$7,D1583)),Assumptions!$D$7,"Other Services"))),"Other Services"))</f>
        <v/>
      </c>
    </row>
    <row r="1584" customFormat="false" ht="15" hidden="false" customHeight="false" outlineLevel="0" collapsed="false">
      <c r="J1584" s="41" t="str">
        <f aca="false">IF(D1584="","",IFERROR(IF(ISNUMBER(SEARCH(Assumptions!$C$5,D1584)),Assumptions!$D$5,IF(ISNUMBER(SEARCH(Assumptions!$C$6,D1584)),Assumptions!$D$6,IF(ISNUMBER(SEARCH(Assumptions!$C$7,D1584)),Assumptions!$D$7,"Other Services"))),"Other Services"))</f>
        <v/>
      </c>
    </row>
    <row r="1585" customFormat="false" ht="15" hidden="false" customHeight="false" outlineLevel="0" collapsed="false">
      <c r="J1585" s="41" t="str">
        <f aca="false">IF(D1585="","",IFERROR(IF(ISNUMBER(SEARCH(Assumptions!$C$5,D1585)),Assumptions!$D$5,IF(ISNUMBER(SEARCH(Assumptions!$C$6,D1585)),Assumptions!$D$6,IF(ISNUMBER(SEARCH(Assumptions!$C$7,D1585)),Assumptions!$D$7,"Other Services"))),"Other Services"))</f>
        <v/>
      </c>
    </row>
    <row r="1586" customFormat="false" ht="15" hidden="false" customHeight="false" outlineLevel="0" collapsed="false">
      <c r="J1586" s="41" t="str">
        <f aca="false">IF(D1586="","",IFERROR(IF(ISNUMBER(SEARCH(Assumptions!$C$5,D1586)),Assumptions!$D$5,IF(ISNUMBER(SEARCH(Assumptions!$C$6,D1586)),Assumptions!$D$6,IF(ISNUMBER(SEARCH(Assumptions!$C$7,D1586)),Assumptions!$D$7,"Other Services"))),"Other Services"))</f>
        <v/>
      </c>
    </row>
    <row r="1587" customFormat="false" ht="15" hidden="false" customHeight="false" outlineLevel="0" collapsed="false">
      <c r="J1587" s="41" t="str">
        <f aca="false">IF(D1587="","",IFERROR(IF(ISNUMBER(SEARCH(Assumptions!$C$5,D1587)),Assumptions!$D$5,IF(ISNUMBER(SEARCH(Assumptions!$C$6,D1587)),Assumptions!$D$6,IF(ISNUMBER(SEARCH(Assumptions!$C$7,D1587)),Assumptions!$D$7,"Other Services"))),"Other Services"))</f>
        <v/>
      </c>
    </row>
    <row r="1588" customFormat="false" ht="15" hidden="false" customHeight="false" outlineLevel="0" collapsed="false">
      <c r="J1588" s="41" t="str">
        <f aca="false">IF(D1588="","",IFERROR(IF(ISNUMBER(SEARCH(Assumptions!$C$5,D1588)),Assumptions!$D$5,IF(ISNUMBER(SEARCH(Assumptions!$C$6,D1588)),Assumptions!$D$6,IF(ISNUMBER(SEARCH(Assumptions!$C$7,D1588)),Assumptions!$D$7,"Other Services"))),"Other Services"))</f>
        <v/>
      </c>
    </row>
    <row r="1589" customFormat="false" ht="15" hidden="false" customHeight="false" outlineLevel="0" collapsed="false">
      <c r="J1589" s="41" t="str">
        <f aca="false">IF(D1589="","",IFERROR(IF(ISNUMBER(SEARCH(Assumptions!$C$5,D1589)),Assumptions!$D$5,IF(ISNUMBER(SEARCH(Assumptions!$C$6,D1589)),Assumptions!$D$6,IF(ISNUMBER(SEARCH(Assumptions!$C$7,D1589)),Assumptions!$D$7,"Other Services"))),"Other Services"))</f>
        <v/>
      </c>
    </row>
    <row r="1590" customFormat="false" ht="15" hidden="false" customHeight="false" outlineLevel="0" collapsed="false">
      <c r="J1590" s="41" t="str">
        <f aca="false">IF(D1590="","",IFERROR(IF(ISNUMBER(SEARCH(Assumptions!$C$5,D1590)),Assumptions!$D$5,IF(ISNUMBER(SEARCH(Assumptions!$C$6,D1590)),Assumptions!$D$6,IF(ISNUMBER(SEARCH(Assumptions!$C$7,D1590)),Assumptions!$D$7,"Other Services"))),"Other Services"))</f>
        <v/>
      </c>
    </row>
    <row r="1591" customFormat="false" ht="15" hidden="false" customHeight="false" outlineLevel="0" collapsed="false">
      <c r="J1591" s="41" t="str">
        <f aca="false">IF(D1591="","",IFERROR(IF(ISNUMBER(SEARCH(Assumptions!$C$5,D1591)),Assumptions!$D$5,IF(ISNUMBER(SEARCH(Assumptions!$C$6,D1591)),Assumptions!$D$6,IF(ISNUMBER(SEARCH(Assumptions!$C$7,D1591)),Assumptions!$D$7,"Other Services"))),"Other Services"))</f>
        <v/>
      </c>
    </row>
    <row r="1592" customFormat="false" ht="15" hidden="false" customHeight="false" outlineLevel="0" collapsed="false">
      <c r="J1592" s="41" t="str">
        <f aca="false">IF(D1592="","",IFERROR(IF(ISNUMBER(SEARCH(Assumptions!$C$5,D1592)),Assumptions!$D$5,IF(ISNUMBER(SEARCH(Assumptions!$C$6,D1592)),Assumptions!$D$6,IF(ISNUMBER(SEARCH(Assumptions!$C$7,D1592)),Assumptions!$D$7,"Other Services"))),"Other Services"))</f>
        <v/>
      </c>
    </row>
    <row r="1593" customFormat="false" ht="15" hidden="false" customHeight="false" outlineLevel="0" collapsed="false">
      <c r="J1593" s="41" t="str">
        <f aca="false">IF(D1593="","",IFERROR(IF(ISNUMBER(SEARCH(Assumptions!$C$5,D1593)),Assumptions!$D$5,IF(ISNUMBER(SEARCH(Assumptions!$C$6,D1593)),Assumptions!$D$6,IF(ISNUMBER(SEARCH(Assumptions!$C$7,D1593)),Assumptions!$D$7,"Other Services"))),"Other Services"))</f>
        <v/>
      </c>
    </row>
    <row r="1594" customFormat="false" ht="15" hidden="false" customHeight="false" outlineLevel="0" collapsed="false">
      <c r="J1594" s="41" t="str">
        <f aca="false">IF(D1594="","",IFERROR(IF(ISNUMBER(SEARCH(Assumptions!$C$5,D1594)),Assumptions!$D$5,IF(ISNUMBER(SEARCH(Assumptions!$C$6,D1594)),Assumptions!$D$6,IF(ISNUMBER(SEARCH(Assumptions!$C$7,D1594)),Assumptions!$D$7,"Other Services"))),"Other Services"))</f>
        <v/>
      </c>
    </row>
    <row r="1595" customFormat="false" ht="15" hidden="false" customHeight="false" outlineLevel="0" collapsed="false">
      <c r="J1595" s="41" t="str">
        <f aca="false">IF(D1595="","",IFERROR(IF(ISNUMBER(SEARCH(Assumptions!$C$5,D1595)),Assumptions!$D$5,IF(ISNUMBER(SEARCH(Assumptions!$C$6,D1595)),Assumptions!$D$6,IF(ISNUMBER(SEARCH(Assumptions!$C$7,D1595)),Assumptions!$D$7,"Other Services"))),"Other Services"))</f>
        <v/>
      </c>
    </row>
    <row r="1596" customFormat="false" ht="15" hidden="false" customHeight="false" outlineLevel="0" collapsed="false">
      <c r="J1596" s="41" t="str">
        <f aca="false">IF(D1596="","",IFERROR(IF(ISNUMBER(SEARCH(Assumptions!$C$5,D1596)),Assumptions!$D$5,IF(ISNUMBER(SEARCH(Assumptions!$C$6,D1596)),Assumptions!$D$6,IF(ISNUMBER(SEARCH(Assumptions!$C$7,D1596)),Assumptions!$D$7,"Other Services"))),"Other Services"))</f>
        <v/>
      </c>
    </row>
    <row r="1597" customFormat="false" ht="15" hidden="false" customHeight="false" outlineLevel="0" collapsed="false">
      <c r="J1597" s="41" t="str">
        <f aca="false">IF(D1597="","",IFERROR(IF(ISNUMBER(SEARCH(Assumptions!$C$5,D1597)),Assumptions!$D$5,IF(ISNUMBER(SEARCH(Assumptions!$C$6,D1597)),Assumptions!$D$6,IF(ISNUMBER(SEARCH(Assumptions!$C$7,D1597)),Assumptions!$D$7,"Other Services"))),"Other Services"))</f>
        <v/>
      </c>
    </row>
    <row r="1598" customFormat="false" ht="15" hidden="false" customHeight="false" outlineLevel="0" collapsed="false">
      <c r="J1598" s="41" t="str">
        <f aca="false">IF(D1598="","",IFERROR(IF(ISNUMBER(SEARCH(Assumptions!$C$5,D1598)),Assumptions!$D$5,IF(ISNUMBER(SEARCH(Assumptions!$C$6,D1598)),Assumptions!$D$6,IF(ISNUMBER(SEARCH(Assumptions!$C$7,D1598)),Assumptions!$D$7,"Other Services"))),"Other Services"))</f>
        <v/>
      </c>
    </row>
    <row r="1599" customFormat="false" ht="15" hidden="false" customHeight="false" outlineLevel="0" collapsed="false">
      <c r="J1599" s="41" t="str">
        <f aca="false">IF(D1599="","",IFERROR(IF(ISNUMBER(SEARCH(Assumptions!$C$5,D1599)),Assumptions!$D$5,IF(ISNUMBER(SEARCH(Assumptions!$C$6,D1599)),Assumptions!$D$6,IF(ISNUMBER(SEARCH(Assumptions!$C$7,D1599)),Assumptions!$D$7,"Other Services"))),"Other Services"))</f>
        <v/>
      </c>
    </row>
    <row r="1600" customFormat="false" ht="15" hidden="false" customHeight="false" outlineLevel="0" collapsed="false">
      <c r="J1600" s="41" t="str">
        <f aca="false">IF(D1600="","",IFERROR(IF(ISNUMBER(SEARCH(Assumptions!$C$5,D1600)),Assumptions!$D$5,IF(ISNUMBER(SEARCH(Assumptions!$C$6,D1600)),Assumptions!$D$6,IF(ISNUMBER(SEARCH(Assumptions!$C$7,D1600)),Assumptions!$D$7,"Other Services"))),"Other Services"))</f>
        <v/>
      </c>
    </row>
    <row r="1601" customFormat="false" ht="15" hidden="false" customHeight="false" outlineLevel="0" collapsed="false">
      <c r="J1601" s="41" t="str">
        <f aca="false">IF(D1601="","",IFERROR(IF(ISNUMBER(SEARCH(Assumptions!$C$5,D1601)),Assumptions!$D$5,IF(ISNUMBER(SEARCH(Assumptions!$C$6,D1601)),Assumptions!$D$6,IF(ISNUMBER(SEARCH(Assumptions!$C$7,D1601)),Assumptions!$D$7,"Other Services"))),"Other Services"))</f>
        <v/>
      </c>
    </row>
    <row r="1602" customFormat="false" ht="15" hidden="false" customHeight="false" outlineLevel="0" collapsed="false">
      <c r="J1602" s="41" t="str">
        <f aca="false">IF(D1602="","",IFERROR(IF(ISNUMBER(SEARCH(Assumptions!$C$5,D1602)),Assumptions!$D$5,IF(ISNUMBER(SEARCH(Assumptions!$C$6,D1602)),Assumptions!$D$6,IF(ISNUMBER(SEARCH(Assumptions!$C$7,D1602)),Assumptions!$D$7,"Other Services"))),"Other Services"))</f>
        <v/>
      </c>
    </row>
    <row r="1603" customFormat="false" ht="15" hidden="false" customHeight="false" outlineLevel="0" collapsed="false">
      <c r="J1603" s="41" t="str">
        <f aca="false">IF(D1603="","",IFERROR(IF(ISNUMBER(SEARCH(Assumptions!$C$5,D1603)),Assumptions!$D$5,IF(ISNUMBER(SEARCH(Assumptions!$C$6,D1603)),Assumptions!$D$6,IF(ISNUMBER(SEARCH(Assumptions!$C$7,D1603)),Assumptions!$D$7,"Other Services"))),"Other Services"))</f>
        <v/>
      </c>
    </row>
    <row r="1604" customFormat="false" ht="15" hidden="false" customHeight="false" outlineLevel="0" collapsed="false">
      <c r="J1604" s="41" t="str">
        <f aca="false">IF(D1604="","",IFERROR(IF(ISNUMBER(SEARCH(Assumptions!$C$5,D1604)),Assumptions!$D$5,IF(ISNUMBER(SEARCH(Assumptions!$C$6,D1604)),Assumptions!$D$6,IF(ISNUMBER(SEARCH(Assumptions!$C$7,D1604)),Assumptions!$D$7,"Other Services"))),"Other Services"))</f>
        <v/>
      </c>
    </row>
    <row r="1605" customFormat="false" ht="15" hidden="false" customHeight="false" outlineLevel="0" collapsed="false">
      <c r="J1605" s="41" t="str">
        <f aca="false">IF(D1605="","",IFERROR(IF(ISNUMBER(SEARCH(Assumptions!$C$5,D1605)),Assumptions!$D$5,IF(ISNUMBER(SEARCH(Assumptions!$C$6,D1605)),Assumptions!$D$6,IF(ISNUMBER(SEARCH(Assumptions!$C$7,D1605)),Assumptions!$D$7,"Other Services"))),"Other Services"))</f>
        <v/>
      </c>
    </row>
    <row r="1606" customFormat="false" ht="15" hidden="false" customHeight="false" outlineLevel="0" collapsed="false">
      <c r="J1606" s="41" t="str">
        <f aca="false">IF(D1606="","",IFERROR(IF(ISNUMBER(SEARCH(Assumptions!$C$5,D1606)),Assumptions!$D$5,IF(ISNUMBER(SEARCH(Assumptions!$C$6,D1606)),Assumptions!$D$6,IF(ISNUMBER(SEARCH(Assumptions!$C$7,D1606)),Assumptions!$D$7,"Other Services"))),"Other Services"))</f>
        <v/>
      </c>
    </row>
    <row r="1607" customFormat="false" ht="15" hidden="false" customHeight="false" outlineLevel="0" collapsed="false">
      <c r="J1607" s="41" t="str">
        <f aca="false">IF(D1607="","",IFERROR(IF(ISNUMBER(SEARCH(Assumptions!$C$5,D1607)),Assumptions!$D$5,IF(ISNUMBER(SEARCH(Assumptions!$C$6,D1607)),Assumptions!$D$6,IF(ISNUMBER(SEARCH(Assumptions!$C$7,D1607)),Assumptions!$D$7,"Other Services"))),"Other Services"))</f>
        <v/>
      </c>
    </row>
    <row r="1608" customFormat="false" ht="15" hidden="false" customHeight="false" outlineLevel="0" collapsed="false">
      <c r="J1608" s="41" t="str">
        <f aca="false">IF(D1608="","",IFERROR(IF(ISNUMBER(SEARCH(Assumptions!$C$5,D1608)),Assumptions!$D$5,IF(ISNUMBER(SEARCH(Assumptions!$C$6,D1608)),Assumptions!$D$6,IF(ISNUMBER(SEARCH(Assumptions!$C$7,D1608)),Assumptions!$D$7,"Other Services"))),"Other Services"))</f>
        <v/>
      </c>
    </row>
    <row r="1609" customFormat="false" ht="15" hidden="false" customHeight="false" outlineLevel="0" collapsed="false">
      <c r="J1609" s="41" t="str">
        <f aca="false">IF(D1609="","",IFERROR(IF(ISNUMBER(SEARCH(Assumptions!$C$5,D1609)),Assumptions!$D$5,IF(ISNUMBER(SEARCH(Assumptions!$C$6,D1609)),Assumptions!$D$6,IF(ISNUMBER(SEARCH(Assumptions!$C$7,D1609)),Assumptions!$D$7,"Other Services"))),"Other Services"))</f>
        <v/>
      </c>
    </row>
    <row r="1610" customFormat="false" ht="15" hidden="false" customHeight="false" outlineLevel="0" collapsed="false">
      <c r="J1610" s="41" t="str">
        <f aca="false">IF(D1610="","",IFERROR(IF(ISNUMBER(SEARCH(Assumptions!$C$5,D1610)),Assumptions!$D$5,IF(ISNUMBER(SEARCH(Assumptions!$C$6,D1610)),Assumptions!$D$6,IF(ISNUMBER(SEARCH(Assumptions!$C$7,D1610)),Assumptions!$D$7,"Other Services"))),"Other Services"))</f>
        <v/>
      </c>
    </row>
    <row r="1611" customFormat="false" ht="15" hidden="false" customHeight="false" outlineLevel="0" collapsed="false">
      <c r="J1611" s="41" t="str">
        <f aca="false">IF(D1611="","",IFERROR(IF(ISNUMBER(SEARCH(Assumptions!$C$5,D1611)),Assumptions!$D$5,IF(ISNUMBER(SEARCH(Assumptions!$C$6,D1611)),Assumptions!$D$6,IF(ISNUMBER(SEARCH(Assumptions!$C$7,D1611)),Assumptions!$D$7,"Other Services"))),"Other Services"))</f>
        <v/>
      </c>
    </row>
    <row r="1612" customFormat="false" ht="15" hidden="false" customHeight="false" outlineLevel="0" collapsed="false">
      <c r="J1612" s="41" t="str">
        <f aca="false">IF(D1612="","",IFERROR(IF(ISNUMBER(SEARCH(Assumptions!$C$5,D1612)),Assumptions!$D$5,IF(ISNUMBER(SEARCH(Assumptions!$C$6,D1612)),Assumptions!$D$6,IF(ISNUMBER(SEARCH(Assumptions!$C$7,D1612)),Assumptions!$D$7,"Other Services"))),"Other Services"))</f>
        <v/>
      </c>
    </row>
    <row r="1613" customFormat="false" ht="15" hidden="false" customHeight="false" outlineLevel="0" collapsed="false">
      <c r="J1613" s="41" t="str">
        <f aca="false">IF(D1613="","",IFERROR(IF(ISNUMBER(SEARCH(Assumptions!$C$5,D1613)),Assumptions!$D$5,IF(ISNUMBER(SEARCH(Assumptions!$C$6,D1613)),Assumptions!$D$6,IF(ISNUMBER(SEARCH(Assumptions!$C$7,D1613)),Assumptions!$D$7,"Other Services"))),"Other Services"))</f>
        <v/>
      </c>
    </row>
    <row r="1614" customFormat="false" ht="15" hidden="false" customHeight="false" outlineLevel="0" collapsed="false">
      <c r="J1614" s="41" t="str">
        <f aca="false">IF(D1614="","",IFERROR(IF(ISNUMBER(SEARCH(Assumptions!$C$5,D1614)),Assumptions!$D$5,IF(ISNUMBER(SEARCH(Assumptions!$C$6,D1614)),Assumptions!$D$6,IF(ISNUMBER(SEARCH(Assumptions!$C$7,D1614)),Assumptions!$D$7,"Other Services"))),"Other Services"))</f>
        <v/>
      </c>
    </row>
    <row r="1615" customFormat="false" ht="15" hidden="false" customHeight="false" outlineLevel="0" collapsed="false">
      <c r="J1615" s="41" t="str">
        <f aca="false">IF(D1615="","",IFERROR(IF(ISNUMBER(SEARCH(Assumptions!$C$5,D1615)),Assumptions!$D$5,IF(ISNUMBER(SEARCH(Assumptions!$C$6,D1615)),Assumptions!$D$6,IF(ISNUMBER(SEARCH(Assumptions!$C$7,D1615)),Assumptions!$D$7,"Other Services"))),"Other Services"))</f>
        <v/>
      </c>
    </row>
    <row r="1616" customFormat="false" ht="15" hidden="false" customHeight="false" outlineLevel="0" collapsed="false">
      <c r="J1616" s="41" t="str">
        <f aca="false">IF(D1616="","",IFERROR(IF(ISNUMBER(SEARCH(Assumptions!$C$5,D1616)),Assumptions!$D$5,IF(ISNUMBER(SEARCH(Assumptions!$C$6,D1616)),Assumptions!$D$6,IF(ISNUMBER(SEARCH(Assumptions!$C$7,D1616)),Assumptions!$D$7,"Other Services"))),"Other Services"))</f>
        <v/>
      </c>
    </row>
    <row r="1617" customFormat="false" ht="15" hidden="false" customHeight="false" outlineLevel="0" collapsed="false">
      <c r="J1617" s="41" t="str">
        <f aca="false">IF(D1617="","",IFERROR(IF(ISNUMBER(SEARCH(Assumptions!$C$5,D1617)),Assumptions!$D$5,IF(ISNUMBER(SEARCH(Assumptions!$C$6,D1617)),Assumptions!$D$6,IF(ISNUMBER(SEARCH(Assumptions!$C$7,D1617)),Assumptions!$D$7,"Other Services"))),"Other Services"))</f>
        <v/>
      </c>
    </row>
    <row r="1618" customFormat="false" ht="15" hidden="false" customHeight="false" outlineLevel="0" collapsed="false">
      <c r="J1618" s="41" t="str">
        <f aca="false">IF(D1618="","",IFERROR(IF(ISNUMBER(SEARCH(Assumptions!$C$5,D1618)),Assumptions!$D$5,IF(ISNUMBER(SEARCH(Assumptions!$C$6,D1618)),Assumptions!$D$6,IF(ISNUMBER(SEARCH(Assumptions!$C$7,D1618)),Assumptions!$D$7,"Other Services"))),"Other Services"))</f>
        <v/>
      </c>
    </row>
    <row r="1619" customFormat="false" ht="15" hidden="false" customHeight="false" outlineLevel="0" collapsed="false">
      <c r="J1619" s="41" t="str">
        <f aca="false">IF(D1619="","",IFERROR(IF(ISNUMBER(SEARCH(Assumptions!$C$5,D1619)),Assumptions!$D$5,IF(ISNUMBER(SEARCH(Assumptions!$C$6,D1619)),Assumptions!$D$6,IF(ISNUMBER(SEARCH(Assumptions!$C$7,D1619)),Assumptions!$D$7,"Other Services"))),"Other Services"))</f>
        <v/>
      </c>
    </row>
    <row r="1620" customFormat="false" ht="15" hidden="false" customHeight="false" outlineLevel="0" collapsed="false">
      <c r="J1620" s="41" t="str">
        <f aca="false">IF(D1620="","",IFERROR(IF(ISNUMBER(SEARCH(Assumptions!$C$5,D1620)),Assumptions!$D$5,IF(ISNUMBER(SEARCH(Assumptions!$C$6,D1620)),Assumptions!$D$6,IF(ISNUMBER(SEARCH(Assumptions!$C$7,D1620)),Assumptions!$D$7,"Other Services"))),"Other Services"))</f>
        <v/>
      </c>
    </row>
    <row r="1621" customFormat="false" ht="15" hidden="false" customHeight="false" outlineLevel="0" collapsed="false">
      <c r="J1621" s="41" t="str">
        <f aca="false">IF(D1621="","",IFERROR(IF(ISNUMBER(SEARCH(Assumptions!$C$5,D1621)),Assumptions!$D$5,IF(ISNUMBER(SEARCH(Assumptions!$C$6,D1621)),Assumptions!$D$6,IF(ISNUMBER(SEARCH(Assumptions!$C$7,D1621)),Assumptions!$D$7,"Other Services"))),"Other Services"))</f>
        <v/>
      </c>
    </row>
    <row r="1622" customFormat="false" ht="15" hidden="false" customHeight="false" outlineLevel="0" collapsed="false">
      <c r="J1622" s="41" t="str">
        <f aca="false">IF(D1622="","",IFERROR(IF(ISNUMBER(SEARCH(Assumptions!$C$5,D1622)),Assumptions!$D$5,IF(ISNUMBER(SEARCH(Assumptions!$C$6,D1622)),Assumptions!$D$6,IF(ISNUMBER(SEARCH(Assumptions!$C$7,D1622)),Assumptions!$D$7,"Other Services"))),"Other Services"))</f>
        <v/>
      </c>
    </row>
    <row r="1623" customFormat="false" ht="15" hidden="false" customHeight="false" outlineLevel="0" collapsed="false">
      <c r="J1623" s="41" t="str">
        <f aca="false">IF(D1623="","",IFERROR(IF(ISNUMBER(SEARCH(Assumptions!$C$5,D1623)),Assumptions!$D$5,IF(ISNUMBER(SEARCH(Assumptions!$C$6,D1623)),Assumptions!$D$6,IF(ISNUMBER(SEARCH(Assumptions!$C$7,D1623)),Assumptions!$D$7,"Other Services"))),"Other Services"))</f>
        <v/>
      </c>
    </row>
    <row r="1624" customFormat="false" ht="15" hidden="false" customHeight="false" outlineLevel="0" collapsed="false">
      <c r="J1624" s="41" t="str">
        <f aca="false">IF(D1624="","",IFERROR(IF(ISNUMBER(SEARCH(Assumptions!$C$5,D1624)),Assumptions!$D$5,IF(ISNUMBER(SEARCH(Assumptions!$C$6,D1624)),Assumptions!$D$6,IF(ISNUMBER(SEARCH(Assumptions!$C$7,D1624)),Assumptions!$D$7,"Other Services"))),"Other Services"))</f>
        <v/>
      </c>
    </row>
    <row r="1625" customFormat="false" ht="15" hidden="false" customHeight="false" outlineLevel="0" collapsed="false">
      <c r="J1625" s="41" t="str">
        <f aca="false">IF(D1625="","",IFERROR(IF(ISNUMBER(SEARCH(Assumptions!$C$5,D1625)),Assumptions!$D$5,IF(ISNUMBER(SEARCH(Assumptions!$C$6,D1625)),Assumptions!$D$6,IF(ISNUMBER(SEARCH(Assumptions!$C$7,D1625)),Assumptions!$D$7,"Other Services"))),"Other Services"))</f>
        <v/>
      </c>
    </row>
    <row r="1626" customFormat="false" ht="15" hidden="false" customHeight="false" outlineLevel="0" collapsed="false">
      <c r="J1626" s="41" t="str">
        <f aca="false">IF(D1626="","",IFERROR(IF(ISNUMBER(SEARCH(Assumptions!$C$5,D1626)),Assumptions!$D$5,IF(ISNUMBER(SEARCH(Assumptions!$C$6,D1626)),Assumptions!$D$6,IF(ISNUMBER(SEARCH(Assumptions!$C$7,D1626)),Assumptions!$D$7,"Other Services"))),"Other Services"))</f>
        <v/>
      </c>
    </row>
    <row r="1627" customFormat="false" ht="15" hidden="false" customHeight="false" outlineLevel="0" collapsed="false">
      <c r="J1627" s="41" t="str">
        <f aca="false">IF(D1627="","",IFERROR(IF(ISNUMBER(SEARCH(Assumptions!$C$5,D1627)),Assumptions!$D$5,IF(ISNUMBER(SEARCH(Assumptions!$C$6,D1627)),Assumptions!$D$6,IF(ISNUMBER(SEARCH(Assumptions!$C$7,D1627)),Assumptions!$D$7,"Other Services"))),"Other Services"))</f>
        <v/>
      </c>
    </row>
    <row r="1628" customFormat="false" ht="15" hidden="false" customHeight="false" outlineLevel="0" collapsed="false">
      <c r="J1628" s="41" t="str">
        <f aca="false">IF(D1628="","",IFERROR(IF(ISNUMBER(SEARCH(Assumptions!$C$5,D1628)),Assumptions!$D$5,IF(ISNUMBER(SEARCH(Assumptions!$C$6,D1628)),Assumptions!$D$6,IF(ISNUMBER(SEARCH(Assumptions!$C$7,D1628)),Assumptions!$D$7,"Other Services"))),"Other Services"))</f>
        <v/>
      </c>
    </row>
    <row r="1629" customFormat="false" ht="15" hidden="false" customHeight="false" outlineLevel="0" collapsed="false">
      <c r="J1629" s="41" t="str">
        <f aca="false">IF(D1629="","",IFERROR(IF(ISNUMBER(SEARCH(Assumptions!$C$5,D1629)),Assumptions!$D$5,IF(ISNUMBER(SEARCH(Assumptions!$C$6,D1629)),Assumptions!$D$6,IF(ISNUMBER(SEARCH(Assumptions!$C$7,D1629)),Assumptions!$D$7,"Other Services"))),"Other Services"))</f>
        <v/>
      </c>
    </row>
    <row r="1630" customFormat="false" ht="15" hidden="false" customHeight="false" outlineLevel="0" collapsed="false">
      <c r="J1630" s="41" t="str">
        <f aca="false">IF(D1630="","",IFERROR(IF(ISNUMBER(SEARCH(Assumptions!$C$5,D1630)),Assumptions!$D$5,IF(ISNUMBER(SEARCH(Assumptions!$C$6,D1630)),Assumptions!$D$6,IF(ISNUMBER(SEARCH(Assumptions!$C$7,D1630)),Assumptions!$D$7,"Other Services"))),"Other Services"))</f>
        <v/>
      </c>
    </row>
    <row r="1631" customFormat="false" ht="15" hidden="false" customHeight="false" outlineLevel="0" collapsed="false">
      <c r="J1631" s="41" t="str">
        <f aca="false">IF(D1631="","",IFERROR(IF(ISNUMBER(SEARCH(Assumptions!$C$5,D1631)),Assumptions!$D$5,IF(ISNUMBER(SEARCH(Assumptions!$C$6,D1631)),Assumptions!$D$6,IF(ISNUMBER(SEARCH(Assumptions!$C$7,D1631)),Assumptions!$D$7,"Other Services"))),"Other Services"))</f>
        <v/>
      </c>
    </row>
    <row r="1632" customFormat="false" ht="15" hidden="false" customHeight="false" outlineLevel="0" collapsed="false">
      <c r="J1632" s="41" t="str">
        <f aca="false">IF(D1632="","",IFERROR(IF(ISNUMBER(SEARCH(Assumptions!$C$5,D1632)),Assumptions!$D$5,IF(ISNUMBER(SEARCH(Assumptions!$C$6,D1632)),Assumptions!$D$6,IF(ISNUMBER(SEARCH(Assumptions!$C$7,D1632)),Assumptions!$D$7,"Other Services"))),"Other Services"))</f>
        <v/>
      </c>
    </row>
    <row r="1633" customFormat="false" ht="15" hidden="false" customHeight="false" outlineLevel="0" collapsed="false">
      <c r="J1633" s="41" t="str">
        <f aca="false">IF(D1633="","",IFERROR(IF(ISNUMBER(SEARCH(Assumptions!$C$5,D1633)),Assumptions!$D$5,IF(ISNUMBER(SEARCH(Assumptions!$C$6,D1633)),Assumptions!$D$6,IF(ISNUMBER(SEARCH(Assumptions!$C$7,D1633)),Assumptions!$D$7,"Other Services"))),"Other Services"))</f>
        <v/>
      </c>
    </row>
    <row r="1634" customFormat="false" ht="15" hidden="false" customHeight="false" outlineLevel="0" collapsed="false">
      <c r="J1634" s="41" t="str">
        <f aca="false">IF(D1634="","",IFERROR(IF(ISNUMBER(SEARCH(Assumptions!$C$5,D1634)),Assumptions!$D$5,IF(ISNUMBER(SEARCH(Assumptions!$C$6,D1634)),Assumptions!$D$6,IF(ISNUMBER(SEARCH(Assumptions!$C$7,D1634)),Assumptions!$D$7,"Other Services"))),"Other Services"))</f>
        <v/>
      </c>
    </row>
    <row r="1635" customFormat="false" ht="15" hidden="false" customHeight="false" outlineLevel="0" collapsed="false">
      <c r="J1635" s="41" t="str">
        <f aca="false">IF(D1635="","",IFERROR(IF(ISNUMBER(SEARCH(Assumptions!$C$5,D1635)),Assumptions!$D$5,IF(ISNUMBER(SEARCH(Assumptions!$C$6,D1635)),Assumptions!$D$6,IF(ISNUMBER(SEARCH(Assumptions!$C$7,D1635)),Assumptions!$D$7,"Other Services"))),"Other Services"))</f>
        <v/>
      </c>
    </row>
    <row r="1636" customFormat="false" ht="15" hidden="false" customHeight="false" outlineLevel="0" collapsed="false">
      <c r="J1636" s="41" t="str">
        <f aca="false">IF(D1636="","",IFERROR(IF(ISNUMBER(SEARCH(Assumptions!$C$5,D1636)),Assumptions!$D$5,IF(ISNUMBER(SEARCH(Assumptions!$C$6,D1636)),Assumptions!$D$6,IF(ISNUMBER(SEARCH(Assumptions!$C$7,D1636)),Assumptions!$D$7,"Other Services"))),"Other Services"))</f>
        <v/>
      </c>
    </row>
    <row r="1637" customFormat="false" ht="15" hidden="false" customHeight="false" outlineLevel="0" collapsed="false">
      <c r="J1637" s="41" t="str">
        <f aca="false">IF(D1637="","",IFERROR(IF(ISNUMBER(SEARCH(Assumptions!$C$5,D1637)),Assumptions!$D$5,IF(ISNUMBER(SEARCH(Assumptions!$C$6,D1637)),Assumptions!$D$6,IF(ISNUMBER(SEARCH(Assumptions!$C$7,D1637)),Assumptions!$D$7,"Other Services"))),"Other Services"))</f>
        <v/>
      </c>
    </row>
    <row r="1638" customFormat="false" ht="15" hidden="false" customHeight="false" outlineLevel="0" collapsed="false">
      <c r="J1638" s="41" t="str">
        <f aca="false">IF(D1638="","",IFERROR(IF(ISNUMBER(SEARCH(Assumptions!$C$5,D1638)),Assumptions!$D$5,IF(ISNUMBER(SEARCH(Assumptions!$C$6,D1638)),Assumptions!$D$6,IF(ISNUMBER(SEARCH(Assumptions!$C$7,D1638)),Assumptions!$D$7,"Other Services"))),"Other Services"))</f>
        <v/>
      </c>
    </row>
    <row r="1639" customFormat="false" ht="15" hidden="false" customHeight="false" outlineLevel="0" collapsed="false">
      <c r="J1639" s="41" t="str">
        <f aca="false">IF(D1639="","",IFERROR(IF(ISNUMBER(SEARCH(Assumptions!$C$5,D1639)),Assumptions!$D$5,IF(ISNUMBER(SEARCH(Assumptions!$C$6,D1639)),Assumptions!$D$6,IF(ISNUMBER(SEARCH(Assumptions!$C$7,D1639)),Assumptions!$D$7,"Other Services"))),"Other Services"))</f>
        <v/>
      </c>
    </row>
    <row r="1640" customFormat="false" ht="15" hidden="false" customHeight="false" outlineLevel="0" collapsed="false">
      <c r="J1640" s="41" t="str">
        <f aca="false">IF(D1640="","",IFERROR(IF(ISNUMBER(SEARCH(Assumptions!$C$5,D1640)),Assumptions!$D$5,IF(ISNUMBER(SEARCH(Assumptions!$C$6,D1640)),Assumptions!$D$6,IF(ISNUMBER(SEARCH(Assumptions!$C$7,D1640)),Assumptions!$D$7,"Other Services"))),"Other Services"))</f>
        <v/>
      </c>
    </row>
    <row r="1641" customFormat="false" ht="15" hidden="false" customHeight="false" outlineLevel="0" collapsed="false">
      <c r="J1641" s="41" t="str">
        <f aca="false">IF(D1641="","",IFERROR(IF(ISNUMBER(SEARCH(Assumptions!$C$5,D1641)),Assumptions!$D$5,IF(ISNUMBER(SEARCH(Assumptions!$C$6,D1641)),Assumptions!$D$6,IF(ISNUMBER(SEARCH(Assumptions!$C$7,D1641)),Assumptions!$D$7,"Other Services"))),"Other Services"))</f>
        <v/>
      </c>
    </row>
    <row r="1642" customFormat="false" ht="15" hidden="false" customHeight="false" outlineLevel="0" collapsed="false">
      <c r="J1642" s="41" t="str">
        <f aca="false">IF(D1642="","",IFERROR(IF(ISNUMBER(SEARCH(Assumptions!$C$5,D1642)),Assumptions!$D$5,IF(ISNUMBER(SEARCH(Assumptions!$C$6,D1642)),Assumptions!$D$6,IF(ISNUMBER(SEARCH(Assumptions!$C$7,D1642)),Assumptions!$D$7,"Other Services"))),"Other Services"))</f>
        <v/>
      </c>
    </row>
    <row r="1643" customFormat="false" ht="15" hidden="false" customHeight="false" outlineLevel="0" collapsed="false">
      <c r="J1643" s="41" t="str">
        <f aca="false">IF(D1643="","",IFERROR(IF(ISNUMBER(SEARCH(Assumptions!$C$5,D1643)),Assumptions!$D$5,IF(ISNUMBER(SEARCH(Assumptions!$C$6,D1643)),Assumptions!$D$6,IF(ISNUMBER(SEARCH(Assumptions!$C$7,D1643)),Assumptions!$D$7,"Other Services"))),"Other Services"))</f>
        <v/>
      </c>
    </row>
    <row r="1644" customFormat="false" ht="15" hidden="false" customHeight="false" outlineLevel="0" collapsed="false">
      <c r="J1644" s="41" t="str">
        <f aca="false">IF(D1644="","",IFERROR(IF(ISNUMBER(SEARCH(Assumptions!$C$5,D1644)),Assumptions!$D$5,IF(ISNUMBER(SEARCH(Assumptions!$C$6,D1644)),Assumptions!$D$6,IF(ISNUMBER(SEARCH(Assumptions!$C$7,D1644)),Assumptions!$D$7,"Other Services"))),"Other Services"))</f>
        <v/>
      </c>
    </row>
    <row r="1645" customFormat="false" ht="15" hidden="false" customHeight="false" outlineLevel="0" collapsed="false">
      <c r="J1645" s="41" t="str">
        <f aca="false">IF(D1645="","",IFERROR(IF(ISNUMBER(SEARCH(Assumptions!$C$5,D1645)),Assumptions!$D$5,IF(ISNUMBER(SEARCH(Assumptions!$C$6,D1645)),Assumptions!$D$6,IF(ISNUMBER(SEARCH(Assumptions!$C$7,D1645)),Assumptions!$D$7,"Other Services"))),"Other Services"))</f>
        <v/>
      </c>
    </row>
    <row r="1646" customFormat="false" ht="15" hidden="false" customHeight="false" outlineLevel="0" collapsed="false">
      <c r="J1646" s="41" t="str">
        <f aca="false">IF(D1646="","",IFERROR(IF(ISNUMBER(SEARCH(Assumptions!$C$5,D1646)),Assumptions!$D$5,IF(ISNUMBER(SEARCH(Assumptions!$C$6,D1646)),Assumptions!$D$6,IF(ISNUMBER(SEARCH(Assumptions!$C$7,D1646)),Assumptions!$D$7,"Other Services"))),"Other Services"))</f>
        <v/>
      </c>
    </row>
    <row r="1647" customFormat="false" ht="15" hidden="false" customHeight="false" outlineLevel="0" collapsed="false">
      <c r="J1647" s="41" t="str">
        <f aca="false">IF(D1647="","",IFERROR(IF(ISNUMBER(SEARCH(Assumptions!$C$5,D1647)),Assumptions!$D$5,IF(ISNUMBER(SEARCH(Assumptions!$C$6,D1647)),Assumptions!$D$6,IF(ISNUMBER(SEARCH(Assumptions!$C$7,D1647)),Assumptions!$D$7,"Other Services"))),"Other Services"))</f>
        <v/>
      </c>
    </row>
    <row r="1648" customFormat="false" ht="15" hidden="false" customHeight="false" outlineLevel="0" collapsed="false">
      <c r="J1648" s="41" t="str">
        <f aca="false">IF(D1648="","",IFERROR(IF(ISNUMBER(SEARCH(Assumptions!$C$5,D1648)),Assumptions!$D$5,IF(ISNUMBER(SEARCH(Assumptions!$C$6,D1648)),Assumptions!$D$6,IF(ISNUMBER(SEARCH(Assumptions!$C$7,D1648)),Assumptions!$D$7,"Other Services"))),"Other Services"))</f>
        <v/>
      </c>
    </row>
    <row r="1649" customFormat="false" ht="15" hidden="false" customHeight="false" outlineLevel="0" collapsed="false">
      <c r="J1649" s="41" t="str">
        <f aca="false">IF(D1649="","",IFERROR(IF(ISNUMBER(SEARCH(Assumptions!$C$5,D1649)),Assumptions!$D$5,IF(ISNUMBER(SEARCH(Assumptions!$C$6,D1649)),Assumptions!$D$6,IF(ISNUMBER(SEARCH(Assumptions!$C$7,D1649)),Assumptions!$D$7,"Other Services"))),"Other Services"))</f>
        <v/>
      </c>
    </row>
    <row r="1650" customFormat="false" ht="15" hidden="false" customHeight="false" outlineLevel="0" collapsed="false">
      <c r="J1650" s="41" t="str">
        <f aca="false">IF(D1650="","",IFERROR(IF(ISNUMBER(SEARCH(Assumptions!$C$5,D1650)),Assumptions!$D$5,IF(ISNUMBER(SEARCH(Assumptions!$C$6,D1650)),Assumptions!$D$6,IF(ISNUMBER(SEARCH(Assumptions!$C$7,D1650)),Assumptions!$D$7,"Other Services"))),"Other Services"))</f>
        <v/>
      </c>
    </row>
    <row r="1651" customFormat="false" ht="15" hidden="false" customHeight="false" outlineLevel="0" collapsed="false">
      <c r="J1651" s="41" t="str">
        <f aca="false">IF(D1651="","",IFERROR(IF(ISNUMBER(SEARCH(Assumptions!$C$5,D1651)),Assumptions!$D$5,IF(ISNUMBER(SEARCH(Assumptions!$C$6,D1651)),Assumptions!$D$6,IF(ISNUMBER(SEARCH(Assumptions!$C$7,D1651)),Assumptions!$D$7,"Other Services"))),"Other Services"))</f>
        <v/>
      </c>
    </row>
    <row r="1652" customFormat="false" ht="15" hidden="false" customHeight="false" outlineLevel="0" collapsed="false">
      <c r="J1652" s="41" t="str">
        <f aca="false">IF(D1652="","",IFERROR(IF(ISNUMBER(SEARCH(Assumptions!$C$5,D1652)),Assumptions!$D$5,IF(ISNUMBER(SEARCH(Assumptions!$C$6,D1652)),Assumptions!$D$6,IF(ISNUMBER(SEARCH(Assumptions!$C$7,D1652)),Assumptions!$D$7,"Other Services"))),"Other Services"))</f>
        <v/>
      </c>
    </row>
    <row r="1653" customFormat="false" ht="15" hidden="false" customHeight="false" outlineLevel="0" collapsed="false">
      <c r="J1653" s="41" t="str">
        <f aca="false">IF(D1653="","",IFERROR(IF(ISNUMBER(SEARCH(Assumptions!$C$5,D1653)),Assumptions!$D$5,IF(ISNUMBER(SEARCH(Assumptions!$C$6,D1653)),Assumptions!$D$6,IF(ISNUMBER(SEARCH(Assumptions!$C$7,D1653)),Assumptions!$D$7,"Other Services"))),"Other Services"))</f>
        <v/>
      </c>
    </row>
    <row r="1654" customFormat="false" ht="15" hidden="false" customHeight="false" outlineLevel="0" collapsed="false">
      <c r="J1654" s="41" t="str">
        <f aca="false">IF(D1654="","",IFERROR(IF(ISNUMBER(SEARCH(Assumptions!$C$5,D1654)),Assumptions!$D$5,IF(ISNUMBER(SEARCH(Assumptions!$C$6,D1654)),Assumptions!$D$6,IF(ISNUMBER(SEARCH(Assumptions!$C$7,D1654)),Assumptions!$D$7,"Other Services"))),"Other Services"))</f>
        <v/>
      </c>
    </row>
    <row r="1655" customFormat="false" ht="15" hidden="false" customHeight="false" outlineLevel="0" collapsed="false">
      <c r="J1655" s="41" t="str">
        <f aca="false">IF(D1655="","",IFERROR(IF(ISNUMBER(SEARCH(Assumptions!$C$5,D1655)),Assumptions!$D$5,IF(ISNUMBER(SEARCH(Assumptions!$C$6,D1655)),Assumptions!$D$6,IF(ISNUMBER(SEARCH(Assumptions!$C$7,D1655)),Assumptions!$D$7,"Other Services"))),"Other Services"))</f>
        <v/>
      </c>
    </row>
    <row r="1656" customFormat="false" ht="15" hidden="false" customHeight="false" outlineLevel="0" collapsed="false">
      <c r="J1656" s="41" t="str">
        <f aca="false">IF(D1656="","",IFERROR(IF(ISNUMBER(SEARCH(Assumptions!$C$5,D1656)),Assumptions!$D$5,IF(ISNUMBER(SEARCH(Assumptions!$C$6,D1656)),Assumptions!$D$6,IF(ISNUMBER(SEARCH(Assumptions!$C$7,D1656)),Assumptions!$D$7,"Other Services"))),"Other Services"))</f>
        <v/>
      </c>
    </row>
    <row r="1657" customFormat="false" ht="15" hidden="false" customHeight="false" outlineLevel="0" collapsed="false">
      <c r="J1657" s="41" t="str">
        <f aca="false">IF(D1657="","",IFERROR(IF(ISNUMBER(SEARCH(Assumptions!$C$5,D1657)),Assumptions!$D$5,IF(ISNUMBER(SEARCH(Assumptions!$C$6,D1657)),Assumptions!$D$6,IF(ISNUMBER(SEARCH(Assumptions!$C$7,D1657)),Assumptions!$D$7,"Other Services"))),"Other Services"))</f>
        <v/>
      </c>
    </row>
    <row r="1658" customFormat="false" ht="15" hidden="false" customHeight="false" outlineLevel="0" collapsed="false">
      <c r="J1658" s="41" t="str">
        <f aca="false">IF(D1658="","",IFERROR(IF(ISNUMBER(SEARCH(Assumptions!$C$5,D1658)),Assumptions!$D$5,IF(ISNUMBER(SEARCH(Assumptions!$C$6,D1658)),Assumptions!$D$6,IF(ISNUMBER(SEARCH(Assumptions!$C$7,D1658)),Assumptions!$D$7,"Other Services"))),"Other Services"))</f>
        <v/>
      </c>
    </row>
    <row r="1659" customFormat="false" ht="15" hidden="false" customHeight="false" outlineLevel="0" collapsed="false">
      <c r="J1659" s="41" t="str">
        <f aca="false">IF(D1659="","",IFERROR(IF(ISNUMBER(SEARCH(Assumptions!$C$5,D1659)),Assumptions!$D$5,IF(ISNUMBER(SEARCH(Assumptions!$C$6,D1659)),Assumptions!$D$6,IF(ISNUMBER(SEARCH(Assumptions!$C$7,D1659)),Assumptions!$D$7,"Other Services"))),"Other Services"))</f>
        <v/>
      </c>
    </row>
    <row r="1660" customFormat="false" ht="15" hidden="false" customHeight="false" outlineLevel="0" collapsed="false">
      <c r="J1660" s="41" t="str">
        <f aca="false">IF(D1660="","",IFERROR(IF(ISNUMBER(SEARCH(Assumptions!$C$5,D1660)),Assumptions!$D$5,IF(ISNUMBER(SEARCH(Assumptions!$C$6,D1660)),Assumptions!$D$6,IF(ISNUMBER(SEARCH(Assumptions!$C$7,D1660)),Assumptions!$D$7,"Other Services"))),"Other Services"))</f>
        <v/>
      </c>
    </row>
    <row r="1661" customFormat="false" ht="15" hidden="false" customHeight="false" outlineLevel="0" collapsed="false">
      <c r="J1661" s="41" t="str">
        <f aca="false">IF(D1661="","",IFERROR(IF(ISNUMBER(SEARCH(Assumptions!$C$5,D1661)),Assumptions!$D$5,IF(ISNUMBER(SEARCH(Assumptions!$C$6,D1661)),Assumptions!$D$6,IF(ISNUMBER(SEARCH(Assumptions!$C$7,D1661)),Assumptions!$D$7,"Other Services"))),"Other Services"))</f>
        <v/>
      </c>
    </row>
    <row r="1662" customFormat="false" ht="15" hidden="false" customHeight="false" outlineLevel="0" collapsed="false">
      <c r="J1662" s="41" t="str">
        <f aca="false">IF(D1662="","",IFERROR(IF(ISNUMBER(SEARCH(Assumptions!$C$5,D1662)),Assumptions!$D$5,IF(ISNUMBER(SEARCH(Assumptions!$C$6,D1662)),Assumptions!$D$6,IF(ISNUMBER(SEARCH(Assumptions!$C$7,D1662)),Assumptions!$D$7,"Other Services"))),"Other Services"))</f>
        <v/>
      </c>
    </row>
    <row r="1663" customFormat="false" ht="15" hidden="false" customHeight="false" outlineLevel="0" collapsed="false">
      <c r="J1663" s="41" t="str">
        <f aca="false">IF(D1663="","",IFERROR(IF(ISNUMBER(SEARCH(Assumptions!$C$5,D1663)),Assumptions!$D$5,IF(ISNUMBER(SEARCH(Assumptions!$C$6,D1663)),Assumptions!$D$6,IF(ISNUMBER(SEARCH(Assumptions!$C$7,D1663)),Assumptions!$D$7,"Other Services"))),"Other Services"))</f>
        <v/>
      </c>
    </row>
    <row r="1664" customFormat="false" ht="15" hidden="false" customHeight="false" outlineLevel="0" collapsed="false">
      <c r="J1664" s="41" t="str">
        <f aca="false">IF(D1664="","",IFERROR(IF(ISNUMBER(SEARCH(Assumptions!$C$5,D1664)),Assumptions!$D$5,IF(ISNUMBER(SEARCH(Assumptions!$C$6,D1664)),Assumptions!$D$6,IF(ISNUMBER(SEARCH(Assumptions!$C$7,D1664)),Assumptions!$D$7,"Other Services"))),"Other Services"))</f>
        <v/>
      </c>
    </row>
    <row r="1665" customFormat="false" ht="15" hidden="false" customHeight="false" outlineLevel="0" collapsed="false">
      <c r="J1665" s="41" t="str">
        <f aca="false">IF(D1665="","",IFERROR(IF(ISNUMBER(SEARCH(Assumptions!$C$5,D1665)),Assumptions!$D$5,IF(ISNUMBER(SEARCH(Assumptions!$C$6,D1665)),Assumptions!$D$6,IF(ISNUMBER(SEARCH(Assumptions!$C$7,D1665)),Assumptions!$D$7,"Other Services"))),"Other Services"))</f>
        <v/>
      </c>
    </row>
    <row r="1666" customFormat="false" ht="15" hidden="false" customHeight="false" outlineLevel="0" collapsed="false">
      <c r="J1666" s="41" t="str">
        <f aca="false">IF(D1666="","",IFERROR(IF(ISNUMBER(SEARCH(Assumptions!$C$5,D1666)),Assumptions!$D$5,IF(ISNUMBER(SEARCH(Assumptions!$C$6,D1666)),Assumptions!$D$6,IF(ISNUMBER(SEARCH(Assumptions!$C$7,D1666)),Assumptions!$D$7,"Other Services"))),"Other Services"))</f>
        <v/>
      </c>
    </row>
    <row r="1667" customFormat="false" ht="15" hidden="false" customHeight="false" outlineLevel="0" collapsed="false">
      <c r="J1667" s="41" t="str">
        <f aca="false">IF(D1667="","",IFERROR(IF(ISNUMBER(SEARCH(Assumptions!$C$5,D1667)),Assumptions!$D$5,IF(ISNUMBER(SEARCH(Assumptions!$C$6,D1667)),Assumptions!$D$6,IF(ISNUMBER(SEARCH(Assumptions!$C$7,D1667)),Assumptions!$D$7,"Other Services"))),"Other Services"))</f>
        <v/>
      </c>
    </row>
    <row r="1668" customFormat="false" ht="15" hidden="false" customHeight="false" outlineLevel="0" collapsed="false">
      <c r="J1668" s="41" t="str">
        <f aca="false">IF(D1668="","",IFERROR(IF(ISNUMBER(SEARCH(Assumptions!$C$5,D1668)),Assumptions!$D$5,IF(ISNUMBER(SEARCH(Assumptions!$C$6,D1668)),Assumptions!$D$6,IF(ISNUMBER(SEARCH(Assumptions!$C$7,D1668)),Assumptions!$D$7,"Other Services"))),"Other Services"))</f>
        <v/>
      </c>
    </row>
    <row r="1669" customFormat="false" ht="15" hidden="false" customHeight="false" outlineLevel="0" collapsed="false">
      <c r="J1669" s="41" t="str">
        <f aca="false">IF(D1669="","",IFERROR(IF(ISNUMBER(SEARCH(Assumptions!$C$5,D1669)),Assumptions!$D$5,IF(ISNUMBER(SEARCH(Assumptions!$C$6,D1669)),Assumptions!$D$6,IF(ISNUMBER(SEARCH(Assumptions!$C$7,D1669)),Assumptions!$D$7,"Other Services"))),"Other Services"))</f>
        <v/>
      </c>
    </row>
    <row r="1670" customFormat="false" ht="15" hidden="false" customHeight="false" outlineLevel="0" collapsed="false">
      <c r="J1670" s="41" t="str">
        <f aca="false">IF(D1670="","",IFERROR(IF(ISNUMBER(SEARCH(Assumptions!$C$5,D1670)),Assumptions!$D$5,IF(ISNUMBER(SEARCH(Assumptions!$C$6,D1670)),Assumptions!$D$6,IF(ISNUMBER(SEARCH(Assumptions!$C$7,D1670)),Assumptions!$D$7,"Other Services"))),"Other Services"))</f>
        <v/>
      </c>
    </row>
    <row r="1671" customFormat="false" ht="15" hidden="false" customHeight="false" outlineLevel="0" collapsed="false">
      <c r="J1671" s="41" t="str">
        <f aca="false">IF(D1671="","",IFERROR(IF(ISNUMBER(SEARCH(Assumptions!$C$5,D1671)),Assumptions!$D$5,IF(ISNUMBER(SEARCH(Assumptions!$C$6,D1671)),Assumptions!$D$6,IF(ISNUMBER(SEARCH(Assumptions!$C$7,D1671)),Assumptions!$D$7,"Other Services"))),"Other Services"))</f>
        <v/>
      </c>
    </row>
    <row r="1672" customFormat="false" ht="15" hidden="false" customHeight="false" outlineLevel="0" collapsed="false">
      <c r="J1672" s="41" t="str">
        <f aca="false">IF(D1672="","",IFERROR(IF(ISNUMBER(SEARCH(Assumptions!$C$5,D1672)),Assumptions!$D$5,IF(ISNUMBER(SEARCH(Assumptions!$C$6,D1672)),Assumptions!$D$6,IF(ISNUMBER(SEARCH(Assumptions!$C$7,D1672)),Assumptions!$D$7,"Other Services"))),"Other Services"))</f>
        <v/>
      </c>
    </row>
    <row r="1673" customFormat="false" ht="15" hidden="false" customHeight="false" outlineLevel="0" collapsed="false">
      <c r="J1673" s="41" t="str">
        <f aca="false">IF(D1673="","",IFERROR(IF(ISNUMBER(SEARCH(Assumptions!$C$5,D1673)),Assumptions!$D$5,IF(ISNUMBER(SEARCH(Assumptions!$C$6,D1673)),Assumptions!$D$6,IF(ISNUMBER(SEARCH(Assumptions!$C$7,D1673)),Assumptions!$D$7,"Other Services"))),"Other Services"))</f>
        <v/>
      </c>
    </row>
    <row r="1674" customFormat="false" ht="15" hidden="false" customHeight="false" outlineLevel="0" collapsed="false">
      <c r="J1674" s="41" t="str">
        <f aca="false">IF(D1674="","",IFERROR(IF(ISNUMBER(SEARCH(Assumptions!$C$5,D1674)),Assumptions!$D$5,IF(ISNUMBER(SEARCH(Assumptions!$C$6,D1674)),Assumptions!$D$6,IF(ISNUMBER(SEARCH(Assumptions!$C$7,D1674)),Assumptions!$D$7,"Other Services"))),"Other Services"))</f>
        <v/>
      </c>
    </row>
    <row r="1675" customFormat="false" ht="15" hidden="false" customHeight="false" outlineLevel="0" collapsed="false">
      <c r="J1675" s="41" t="str">
        <f aca="false">IF(D1675="","",IFERROR(IF(ISNUMBER(SEARCH(Assumptions!$C$5,D1675)),Assumptions!$D$5,IF(ISNUMBER(SEARCH(Assumptions!$C$6,D1675)),Assumptions!$D$6,IF(ISNUMBER(SEARCH(Assumptions!$C$7,D1675)),Assumptions!$D$7,"Other Services"))),"Other Services"))</f>
        <v/>
      </c>
    </row>
    <row r="1676" customFormat="false" ht="15" hidden="false" customHeight="false" outlineLevel="0" collapsed="false">
      <c r="J1676" s="41" t="str">
        <f aca="false">IF(D1676="","",IFERROR(IF(ISNUMBER(SEARCH(Assumptions!$C$5,D1676)),Assumptions!$D$5,IF(ISNUMBER(SEARCH(Assumptions!$C$6,D1676)),Assumptions!$D$6,IF(ISNUMBER(SEARCH(Assumptions!$C$7,D1676)),Assumptions!$D$7,"Other Services"))),"Other Services"))</f>
        <v/>
      </c>
    </row>
    <row r="1677" customFormat="false" ht="15" hidden="false" customHeight="false" outlineLevel="0" collapsed="false">
      <c r="J1677" s="41" t="str">
        <f aca="false">IF(D1677="","",IFERROR(IF(ISNUMBER(SEARCH(Assumptions!$C$5,D1677)),Assumptions!$D$5,IF(ISNUMBER(SEARCH(Assumptions!$C$6,D1677)),Assumptions!$D$6,IF(ISNUMBER(SEARCH(Assumptions!$C$7,D1677)),Assumptions!$D$7,"Other Services"))),"Other Services"))</f>
        <v/>
      </c>
    </row>
    <row r="1678" customFormat="false" ht="15" hidden="false" customHeight="false" outlineLevel="0" collapsed="false">
      <c r="J1678" s="41" t="str">
        <f aca="false">IF(D1678="","",IFERROR(IF(ISNUMBER(SEARCH(Assumptions!$C$5,D1678)),Assumptions!$D$5,IF(ISNUMBER(SEARCH(Assumptions!$C$6,D1678)),Assumptions!$D$6,IF(ISNUMBER(SEARCH(Assumptions!$C$7,D1678)),Assumptions!$D$7,"Other Services"))),"Other Services"))</f>
        <v/>
      </c>
    </row>
    <row r="1679" customFormat="false" ht="15" hidden="false" customHeight="false" outlineLevel="0" collapsed="false">
      <c r="J1679" s="41" t="str">
        <f aca="false">IF(D1679="","",IFERROR(IF(ISNUMBER(SEARCH(Assumptions!$C$5,D1679)),Assumptions!$D$5,IF(ISNUMBER(SEARCH(Assumptions!$C$6,D1679)),Assumptions!$D$6,IF(ISNUMBER(SEARCH(Assumptions!$C$7,D1679)),Assumptions!$D$7,"Other Services"))),"Other Services"))</f>
        <v/>
      </c>
    </row>
    <row r="1680" customFormat="false" ht="15" hidden="false" customHeight="false" outlineLevel="0" collapsed="false">
      <c r="J1680" s="41" t="str">
        <f aca="false">IF(D1680="","",IFERROR(IF(ISNUMBER(SEARCH(Assumptions!$C$5,D1680)),Assumptions!$D$5,IF(ISNUMBER(SEARCH(Assumptions!$C$6,D1680)),Assumptions!$D$6,IF(ISNUMBER(SEARCH(Assumptions!$C$7,D1680)),Assumptions!$D$7,"Other Services"))),"Other Services"))</f>
        <v/>
      </c>
    </row>
    <row r="1681" customFormat="false" ht="15" hidden="false" customHeight="false" outlineLevel="0" collapsed="false">
      <c r="J1681" s="41" t="str">
        <f aca="false">IF(D1681="","",IFERROR(IF(ISNUMBER(SEARCH(Assumptions!$C$5,D1681)),Assumptions!$D$5,IF(ISNUMBER(SEARCH(Assumptions!$C$6,D1681)),Assumptions!$D$6,IF(ISNUMBER(SEARCH(Assumptions!$C$7,D1681)),Assumptions!$D$7,"Other Services"))),"Other Services"))</f>
        <v/>
      </c>
    </row>
    <row r="1682" customFormat="false" ht="15" hidden="false" customHeight="false" outlineLevel="0" collapsed="false">
      <c r="J1682" s="41" t="str">
        <f aca="false">IF(D1682="","",IFERROR(IF(ISNUMBER(SEARCH(Assumptions!$C$5,D1682)),Assumptions!$D$5,IF(ISNUMBER(SEARCH(Assumptions!$C$6,D1682)),Assumptions!$D$6,IF(ISNUMBER(SEARCH(Assumptions!$C$7,D1682)),Assumptions!$D$7,"Other Services"))),"Other Services"))</f>
        <v/>
      </c>
    </row>
    <row r="1683" customFormat="false" ht="15" hidden="false" customHeight="false" outlineLevel="0" collapsed="false">
      <c r="J1683" s="41" t="str">
        <f aca="false">IF(D1683="","",IFERROR(IF(ISNUMBER(SEARCH(Assumptions!$C$5,D1683)),Assumptions!$D$5,IF(ISNUMBER(SEARCH(Assumptions!$C$6,D1683)),Assumptions!$D$6,IF(ISNUMBER(SEARCH(Assumptions!$C$7,D1683)),Assumptions!$D$7,"Other Services"))),"Other Services"))</f>
        <v/>
      </c>
    </row>
    <row r="1684" customFormat="false" ht="15" hidden="false" customHeight="false" outlineLevel="0" collapsed="false">
      <c r="J1684" s="41" t="str">
        <f aca="false">IF(D1684="","",IFERROR(IF(ISNUMBER(SEARCH(Assumptions!$C$5,D1684)),Assumptions!$D$5,IF(ISNUMBER(SEARCH(Assumptions!$C$6,D1684)),Assumptions!$D$6,IF(ISNUMBER(SEARCH(Assumptions!$C$7,D1684)),Assumptions!$D$7,"Other Services"))),"Other Services"))</f>
        <v/>
      </c>
    </row>
    <row r="1685" customFormat="false" ht="15" hidden="false" customHeight="false" outlineLevel="0" collapsed="false">
      <c r="J1685" s="41" t="str">
        <f aca="false">IF(D1685="","",IFERROR(IF(ISNUMBER(SEARCH(Assumptions!$C$5,D1685)),Assumptions!$D$5,IF(ISNUMBER(SEARCH(Assumptions!$C$6,D1685)),Assumptions!$D$6,IF(ISNUMBER(SEARCH(Assumptions!$C$7,D1685)),Assumptions!$D$7,"Other Services"))),"Other Services"))</f>
        <v/>
      </c>
    </row>
    <row r="1686" customFormat="false" ht="15" hidden="false" customHeight="false" outlineLevel="0" collapsed="false">
      <c r="J1686" s="41" t="str">
        <f aca="false">IF(D1686="","",IFERROR(IF(ISNUMBER(SEARCH(Assumptions!$C$5,D1686)),Assumptions!$D$5,IF(ISNUMBER(SEARCH(Assumptions!$C$6,D1686)),Assumptions!$D$6,IF(ISNUMBER(SEARCH(Assumptions!$C$7,D1686)),Assumptions!$D$7,"Other Services"))),"Other Services"))</f>
        <v/>
      </c>
    </row>
    <row r="1687" customFormat="false" ht="15" hidden="false" customHeight="false" outlineLevel="0" collapsed="false">
      <c r="J1687" s="41" t="str">
        <f aca="false">IF(D1687="","",IFERROR(IF(ISNUMBER(SEARCH(Assumptions!$C$5,D1687)),Assumptions!$D$5,IF(ISNUMBER(SEARCH(Assumptions!$C$6,D1687)),Assumptions!$D$6,IF(ISNUMBER(SEARCH(Assumptions!$C$7,D1687)),Assumptions!$D$7,"Other Services"))),"Other Services"))</f>
        <v/>
      </c>
    </row>
    <row r="1688" customFormat="false" ht="15" hidden="false" customHeight="false" outlineLevel="0" collapsed="false">
      <c r="J1688" s="41" t="str">
        <f aca="false">IF(D1688="","",IFERROR(IF(ISNUMBER(SEARCH(Assumptions!$C$5,D1688)),Assumptions!$D$5,IF(ISNUMBER(SEARCH(Assumptions!$C$6,D1688)),Assumptions!$D$6,IF(ISNUMBER(SEARCH(Assumptions!$C$7,D1688)),Assumptions!$D$7,"Other Services"))),"Other Services"))</f>
        <v/>
      </c>
    </row>
    <row r="1689" customFormat="false" ht="15" hidden="false" customHeight="false" outlineLevel="0" collapsed="false">
      <c r="J1689" s="41" t="str">
        <f aca="false">IF(D1689="","",IFERROR(IF(ISNUMBER(SEARCH(Assumptions!$C$5,D1689)),Assumptions!$D$5,IF(ISNUMBER(SEARCH(Assumptions!$C$6,D1689)),Assumptions!$D$6,IF(ISNUMBER(SEARCH(Assumptions!$C$7,D1689)),Assumptions!$D$7,"Other Services"))),"Other Services"))</f>
        <v/>
      </c>
    </row>
    <row r="1690" customFormat="false" ht="15" hidden="false" customHeight="false" outlineLevel="0" collapsed="false">
      <c r="J1690" s="41" t="str">
        <f aca="false">IF(D1690="","",IFERROR(IF(ISNUMBER(SEARCH(Assumptions!$C$5,D1690)),Assumptions!$D$5,IF(ISNUMBER(SEARCH(Assumptions!$C$6,D1690)),Assumptions!$D$6,IF(ISNUMBER(SEARCH(Assumptions!$C$7,D1690)),Assumptions!$D$7,"Other Services"))),"Other Services"))</f>
        <v/>
      </c>
    </row>
    <row r="1691" customFormat="false" ht="15" hidden="false" customHeight="false" outlineLevel="0" collapsed="false">
      <c r="J1691" s="41" t="str">
        <f aca="false">IF(D1691="","",IFERROR(IF(ISNUMBER(SEARCH(Assumptions!$C$5,D1691)),Assumptions!$D$5,IF(ISNUMBER(SEARCH(Assumptions!$C$6,D1691)),Assumptions!$D$6,IF(ISNUMBER(SEARCH(Assumptions!$C$7,D1691)),Assumptions!$D$7,"Other Services"))),"Other Services"))</f>
        <v/>
      </c>
    </row>
    <row r="1692" customFormat="false" ht="15" hidden="false" customHeight="false" outlineLevel="0" collapsed="false">
      <c r="J1692" s="41" t="str">
        <f aca="false">IF(D1692="","",IFERROR(IF(ISNUMBER(SEARCH(Assumptions!$C$5,D1692)),Assumptions!$D$5,IF(ISNUMBER(SEARCH(Assumptions!$C$6,D1692)),Assumptions!$D$6,IF(ISNUMBER(SEARCH(Assumptions!$C$7,D1692)),Assumptions!$D$7,"Other Services"))),"Other Services"))</f>
        <v/>
      </c>
    </row>
    <row r="1693" customFormat="false" ht="15" hidden="false" customHeight="false" outlineLevel="0" collapsed="false">
      <c r="J1693" s="41" t="str">
        <f aca="false">IF(D1693="","",IFERROR(IF(ISNUMBER(SEARCH(Assumptions!$C$5,D1693)),Assumptions!$D$5,IF(ISNUMBER(SEARCH(Assumptions!$C$6,D1693)),Assumptions!$D$6,IF(ISNUMBER(SEARCH(Assumptions!$C$7,D1693)),Assumptions!$D$7,"Other Services"))),"Other Services"))</f>
        <v/>
      </c>
    </row>
    <row r="1694" customFormat="false" ht="15" hidden="false" customHeight="false" outlineLevel="0" collapsed="false">
      <c r="J1694" s="41" t="str">
        <f aca="false">IF(D1694="","",IFERROR(IF(ISNUMBER(SEARCH(Assumptions!$C$5,D1694)),Assumptions!$D$5,IF(ISNUMBER(SEARCH(Assumptions!$C$6,D1694)),Assumptions!$D$6,IF(ISNUMBER(SEARCH(Assumptions!$C$7,D1694)),Assumptions!$D$7,"Other Services"))),"Other Services"))</f>
        <v/>
      </c>
    </row>
    <row r="1695" customFormat="false" ht="15" hidden="false" customHeight="false" outlineLevel="0" collapsed="false">
      <c r="J1695" s="41" t="str">
        <f aca="false">IF(D1695="","",IFERROR(IF(ISNUMBER(SEARCH(Assumptions!$C$5,D1695)),Assumptions!$D$5,IF(ISNUMBER(SEARCH(Assumptions!$C$6,D1695)),Assumptions!$D$6,IF(ISNUMBER(SEARCH(Assumptions!$C$7,D1695)),Assumptions!$D$7,"Other Services"))),"Other Services"))</f>
        <v/>
      </c>
    </row>
    <row r="1696" customFormat="false" ht="15" hidden="false" customHeight="false" outlineLevel="0" collapsed="false">
      <c r="J1696" s="41" t="str">
        <f aca="false">IF(D1696="","",IFERROR(IF(ISNUMBER(SEARCH(Assumptions!$C$5,D1696)),Assumptions!$D$5,IF(ISNUMBER(SEARCH(Assumptions!$C$6,D1696)),Assumptions!$D$6,IF(ISNUMBER(SEARCH(Assumptions!$C$7,D1696)),Assumptions!$D$7,"Other Services"))),"Other Services"))</f>
        <v/>
      </c>
    </row>
    <row r="1697" customFormat="false" ht="15" hidden="false" customHeight="false" outlineLevel="0" collapsed="false">
      <c r="J1697" s="41" t="str">
        <f aca="false">IF(D1697="","",IFERROR(IF(ISNUMBER(SEARCH(Assumptions!$C$5,D1697)),Assumptions!$D$5,IF(ISNUMBER(SEARCH(Assumptions!$C$6,D1697)),Assumptions!$D$6,IF(ISNUMBER(SEARCH(Assumptions!$C$7,D1697)),Assumptions!$D$7,"Other Services"))),"Other Services"))</f>
        <v/>
      </c>
    </row>
    <row r="1698" customFormat="false" ht="15" hidden="false" customHeight="false" outlineLevel="0" collapsed="false">
      <c r="J1698" s="41" t="str">
        <f aca="false">IF(D1698="","",IFERROR(IF(ISNUMBER(SEARCH(Assumptions!$C$5,D1698)),Assumptions!$D$5,IF(ISNUMBER(SEARCH(Assumptions!$C$6,D1698)),Assumptions!$D$6,IF(ISNUMBER(SEARCH(Assumptions!$C$7,D1698)),Assumptions!$D$7,"Other Services"))),"Other Services"))</f>
        <v/>
      </c>
    </row>
    <row r="1699" customFormat="false" ht="15" hidden="false" customHeight="false" outlineLevel="0" collapsed="false">
      <c r="J1699" s="41" t="str">
        <f aca="false">IF(D1699="","",IFERROR(IF(ISNUMBER(SEARCH(Assumptions!$C$5,D1699)),Assumptions!$D$5,IF(ISNUMBER(SEARCH(Assumptions!$C$6,D1699)),Assumptions!$D$6,IF(ISNUMBER(SEARCH(Assumptions!$C$7,D1699)),Assumptions!$D$7,"Other Services"))),"Other Services"))</f>
        <v/>
      </c>
    </row>
    <row r="1700" customFormat="false" ht="15" hidden="false" customHeight="false" outlineLevel="0" collapsed="false">
      <c r="J1700" s="41" t="str">
        <f aca="false">IF(D1700="","",IFERROR(IF(ISNUMBER(SEARCH(Assumptions!$C$5,D1700)),Assumptions!$D$5,IF(ISNUMBER(SEARCH(Assumptions!$C$6,D1700)),Assumptions!$D$6,IF(ISNUMBER(SEARCH(Assumptions!$C$7,D1700)),Assumptions!$D$7,"Other Services"))),"Other Services"))</f>
        <v/>
      </c>
    </row>
    <row r="1701" customFormat="false" ht="15" hidden="false" customHeight="false" outlineLevel="0" collapsed="false">
      <c r="J1701" s="41" t="str">
        <f aca="false">IF(D1701="","",IFERROR(IF(ISNUMBER(SEARCH(Assumptions!$C$5,D1701)),Assumptions!$D$5,IF(ISNUMBER(SEARCH(Assumptions!$C$6,D1701)),Assumptions!$D$6,IF(ISNUMBER(SEARCH(Assumptions!$C$7,D1701)),Assumptions!$D$7,"Other Services"))),"Other Services"))</f>
        <v/>
      </c>
    </row>
    <row r="1702" customFormat="false" ht="15" hidden="false" customHeight="false" outlineLevel="0" collapsed="false">
      <c r="J1702" s="41" t="str">
        <f aca="false">IF(D1702="","",IFERROR(IF(ISNUMBER(SEARCH(Assumptions!$C$5,D1702)),Assumptions!$D$5,IF(ISNUMBER(SEARCH(Assumptions!$C$6,D1702)),Assumptions!$D$6,IF(ISNUMBER(SEARCH(Assumptions!$C$7,D1702)),Assumptions!$D$7,"Other Services"))),"Other Services"))</f>
        <v/>
      </c>
    </row>
    <row r="1703" customFormat="false" ht="15" hidden="false" customHeight="false" outlineLevel="0" collapsed="false">
      <c r="J1703" s="41" t="str">
        <f aca="false">IF(D1703="","",IFERROR(IF(ISNUMBER(SEARCH(Assumptions!$C$5,D1703)),Assumptions!$D$5,IF(ISNUMBER(SEARCH(Assumptions!$C$6,D1703)),Assumptions!$D$6,IF(ISNUMBER(SEARCH(Assumptions!$C$7,D1703)),Assumptions!$D$7,"Other Services"))),"Other Services"))</f>
        <v/>
      </c>
    </row>
    <row r="1704" customFormat="false" ht="15" hidden="false" customHeight="false" outlineLevel="0" collapsed="false">
      <c r="J1704" s="41" t="str">
        <f aca="false">IF(D1704="","",IFERROR(IF(ISNUMBER(SEARCH(Assumptions!$C$5,D1704)),Assumptions!$D$5,IF(ISNUMBER(SEARCH(Assumptions!$C$6,D1704)),Assumptions!$D$6,IF(ISNUMBER(SEARCH(Assumptions!$C$7,D1704)),Assumptions!$D$7,"Other Services"))),"Other Services"))</f>
        <v/>
      </c>
    </row>
    <row r="1705" customFormat="false" ht="15" hidden="false" customHeight="false" outlineLevel="0" collapsed="false">
      <c r="J1705" s="41" t="str">
        <f aca="false">IF(D1705="","",IFERROR(IF(ISNUMBER(SEARCH(Assumptions!$C$5,D1705)),Assumptions!$D$5,IF(ISNUMBER(SEARCH(Assumptions!$C$6,D1705)),Assumptions!$D$6,IF(ISNUMBER(SEARCH(Assumptions!$C$7,D1705)),Assumptions!$D$7,"Other Services"))),"Other Services"))</f>
        <v/>
      </c>
    </row>
    <row r="1706" customFormat="false" ht="15" hidden="false" customHeight="false" outlineLevel="0" collapsed="false">
      <c r="J1706" s="41" t="str">
        <f aca="false">IF(D1706="","",IFERROR(IF(ISNUMBER(SEARCH(Assumptions!$C$5,D1706)),Assumptions!$D$5,IF(ISNUMBER(SEARCH(Assumptions!$C$6,D1706)),Assumptions!$D$6,IF(ISNUMBER(SEARCH(Assumptions!$C$7,D1706)),Assumptions!$D$7,"Other Services"))),"Other Services"))</f>
        <v/>
      </c>
    </row>
    <row r="1707" customFormat="false" ht="15" hidden="false" customHeight="false" outlineLevel="0" collapsed="false">
      <c r="J1707" s="41" t="str">
        <f aca="false">IF(D1707="","",IFERROR(IF(ISNUMBER(SEARCH(Assumptions!$C$5,D1707)),Assumptions!$D$5,IF(ISNUMBER(SEARCH(Assumptions!$C$6,D1707)),Assumptions!$D$6,IF(ISNUMBER(SEARCH(Assumptions!$C$7,D1707)),Assumptions!$D$7,"Other Services"))),"Other Services"))</f>
        <v/>
      </c>
    </row>
    <row r="1708" customFormat="false" ht="15" hidden="false" customHeight="false" outlineLevel="0" collapsed="false">
      <c r="J1708" s="41" t="str">
        <f aca="false">IF(D1708="","",IFERROR(IF(ISNUMBER(SEARCH(Assumptions!$C$5,D1708)),Assumptions!$D$5,IF(ISNUMBER(SEARCH(Assumptions!$C$6,D1708)),Assumptions!$D$6,IF(ISNUMBER(SEARCH(Assumptions!$C$7,D1708)),Assumptions!$D$7,"Other Services"))),"Other Services"))</f>
        <v/>
      </c>
    </row>
    <row r="1709" customFormat="false" ht="15" hidden="false" customHeight="false" outlineLevel="0" collapsed="false">
      <c r="J1709" s="41" t="str">
        <f aca="false">IF(D1709="","",IFERROR(IF(ISNUMBER(SEARCH(Assumptions!$C$5,D1709)),Assumptions!$D$5,IF(ISNUMBER(SEARCH(Assumptions!$C$6,D1709)),Assumptions!$D$6,IF(ISNUMBER(SEARCH(Assumptions!$C$7,D1709)),Assumptions!$D$7,"Other Services"))),"Other Services"))</f>
        <v/>
      </c>
    </row>
    <row r="1710" customFormat="false" ht="15" hidden="false" customHeight="false" outlineLevel="0" collapsed="false">
      <c r="J1710" s="41" t="str">
        <f aca="false">IF(D1710="","",IFERROR(IF(ISNUMBER(SEARCH(Assumptions!$C$5,D1710)),Assumptions!$D$5,IF(ISNUMBER(SEARCH(Assumptions!$C$6,D1710)),Assumptions!$D$6,IF(ISNUMBER(SEARCH(Assumptions!$C$7,D1710)),Assumptions!$D$7,"Other Services"))),"Other Services"))</f>
        <v/>
      </c>
    </row>
    <row r="1711" customFormat="false" ht="15" hidden="false" customHeight="false" outlineLevel="0" collapsed="false">
      <c r="J1711" s="41" t="str">
        <f aca="false">IF(D1711="","",IFERROR(IF(ISNUMBER(SEARCH(Assumptions!$C$5,D1711)),Assumptions!$D$5,IF(ISNUMBER(SEARCH(Assumptions!$C$6,D1711)),Assumptions!$D$6,IF(ISNUMBER(SEARCH(Assumptions!$C$7,D1711)),Assumptions!$D$7,"Other Services"))),"Other Services"))</f>
        <v/>
      </c>
    </row>
    <row r="1712" customFormat="false" ht="15" hidden="false" customHeight="false" outlineLevel="0" collapsed="false">
      <c r="J1712" s="41" t="str">
        <f aca="false">IF(D1712="","",IFERROR(IF(ISNUMBER(SEARCH(Assumptions!$C$5,D1712)),Assumptions!$D$5,IF(ISNUMBER(SEARCH(Assumptions!$C$6,D1712)),Assumptions!$D$6,IF(ISNUMBER(SEARCH(Assumptions!$C$7,D1712)),Assumptions!$D$7,"Other Services"))),"Other Services"))</f>
        <v/>
      </c>
    </row>
    <row r="1713" customFormat="false" ht="15" hidden="false" customHeight="false" outlineLevel="0" collapsed="false">
      <c r="J1713" s="41" t="str">
        <f aca="false">IF(D1713="","",IFERROR(IF(ISNUMBER(SEARCH(Assumptions!$C$5,D1713)),Assumptions!$D$5,IF(ISNUMBER(SEARCH(Assumptions!$C$6,D1713)),Assumptions!$D$6,IF(ISNUMBER(SEARCH(Assumptions!$C$7,D1713)),Assumptions!$D$7,"Other Services"))),"Other Services"))</f>
        <v/>
      </c>
    </row>
    <row r="1714" customFormat="false" ht="15" hidden="false" customHeight="false" outlineLevel="0" collapsed="false">
      <c r="J1714" s="41" t="str">
        <f aca="false">IF(D1714="","",IFERROR(IF(ISNUMBER(SEARCH(Assumptions!$C$5,D1714)),Assumptions!$D$5,IF(ISNUMBER(SEARCH(Assumptions!$C$6,D1714)),Assumptions!$D$6,IF(ISNUMBER(SEARCH(Assumptions!$C$7,D1714)),Assumptions!$D$7,"Other Services"))),"Other Services"))</f>
        <v/>
      </c>
    </row>
    <row r="1715" customFormat="false" ht="15" hidden="false" customHeight="false" outlineLevel="0" collapsed="false">
      <c r="J1715" s="41" t="str">
        <f aca="false">IF(D1715="","",IFERROR(IF(ISNUMBER(SEARCH(Assumptions!$C$5,D1715)),Assumptions!$D$5,IF(ISNUMBER(SEARCH(Assumptions!$C$6,D1715)),Assumptions!$D$6,IF(ISNUMBER(SEARCH(Assumptions!$C$7,D1715)),Assumptions!$D$7,"Other Services"))),"Other Services"))</f>
        <v/>
      </c>
    </row>
    <row r="1716" customFormat="false" ht="15" hidden="false" customHeight="false" outlineLevel="0" collapsed="false">
      <c r="J1716" s="41" t="str">
        <f aca="false">IF(D1716="","",IFERROR(IF(ISNUMBER(SEARCH(Assumptions!$C$5,D1716)),Assumptions!$D$5,IF(ISNUMBER(SEARCH(Assumptions!$C$6,D1716)),Assumptions!$D$6,IF(ISNUMBER(SEARCH(Assumptions!$C$7,D1716)),Assumptions!$D$7,"Other Services"))),"Other Services"))</f>
        <v/>
      </c>
    </row>
    <row r="1717" customFormat="false" ht="15" hidden="false" customHeight="false" outlineLevel="0" collapsed="false">
      <c r="J1717" s="41" t="str">
        <f aca="false">IF(D1717="","",IFERROR(IF(ISNUMBER(SEARCH(Assumptions!$C$5,D1717)),Assumptions!$D$5,IF(ISNUMBER(SEARCH(Assumptions!$C$6,D1717)),Assumptions!$D$6,IF(ISNUMBER(SEARCH(Assumptions!$C$7,D1717)),Assumptions!$D$7,"Other Services"))),"Other Services"))</f>
        <v/>
      </c>
    </row>
    <row r="1718" customFormat="false" ht="15" hidden="false" customHeight="false" outlineLevel="0" collapsed="false">
      <c r="J1718" s="41" t="str">
        <f aca="false">IF(D1718="","",IFERROR(IF(ISNUMBER(SEARCH(Assumptions!$C$5,D1718)),Assumptions!$D$5,IF(ISNUMBER(SEARCH(Assumptions!$C$6,D1718)),Assumptions!$D$6,IF(ISNUMBER(SEARCH(Assumptions!$C$7,D1718)),Assumptions!$D$7,"Other Services"))),"Other Services"))</f>
        <v/>
      </c>
    </row>
    <row r="1719" customFormat="false" ht="15" hidden="false" customHeight="false" outlineLevel="0" collapsed="false">
      <c r="J1719" s="41" t="str">
        <f aca="false">IF(D1719="","",IFERROR(IF(ISNUMBER(SEARCH(Assumptions!$C$5,D1719)),Assumptions!$D$5,IF(ISNUMBER(SEARCH(Assumptions!$C$6,D1719)),Assumptions!$D$6,IF(ISNUMBER(SEARCH(Assumptions!$C$7,D1719)),Assumptions!$D$7,"Other Services"))),"Other Services"))</f>
        <v/>
      </c>
    </row>
    <row r="1720" customFormat="false" ht="15" hidden="false" customHeight="false" outlineLevel="0" collapsed="false">
      <c r="J1720" s="41" t="str">
        <f aca="false">IF(D1720="","",IFERROR(IF(ISNUMBER(SEARCH(Assumptions!$C$5,D1720)),Assumptions!$D$5,IF(ISNUMBER(SEARCH(Assumptions!$C$6,D1720)),Assumptions!$D$6,IF(ISNUMBER(SEARCH(Assumptions!$C$7,D1720)),Assumptions!$D$7,"Other Services"))),"Other Services"))</f>
        <v/>
      </c>
    </row>
    <row r="1721" customFormat="false" ht="15" hidden="false" customHeight="false" outlineLevel="0" collapsed="false">
      <c r="J1721" s="41" t="str">
        <f aca="false">IF(D1721="","",IFERROR(IF(ISNUMBER(SEARCH(Assumptions!$C$5,D1721)),Assumptions!$D$5,IF(ISNUMBER(SEARCH(Assumptions!$C$6,D1721)),Assumptions!$D$6,IF(ISNUMBER(SEARCH(Assumptions!$C$7,D1721)),Assumptions!$D$7,"Other Services"))),"Other Services"))</f>
        <v/>
      </c>
    </row>
    <row r="1722" customFormat="false" ht="15" hidden="false" customHeight="false" outlineLevel="0" collapsed="false">
      <c r="J1722" s="41" t="str">
        <f aca="false">IF(D1722="","",IFERROR(IF(ISNUMBER(SEARCH(Assumptions!$C$5,D1722)),Assumptions!$D$5,IF(ISNUMBER(SEARCH(Assumptions!$C$6,D1722)),Assumptions!$D$6,IF(ISNUMBER(SEARCH(Assumptions!$C$7,D1722)),Assumptions!$D$7,"Other Services"))),"Other Services"))</f>
        <v/>
      </c>
    </row>
    <row r="1723" customFormat="false" ht="15" hidden="false" customHeight="false" outlineLevel="0" collapsed="false">
      <c r="J1723" s="41" t="str">
        <f aca="false">IF(D1723="","",IFERROR(IF(ISNUMBER(SEARCH(Assumptions!$C$5,D1723)),Assumptions!$D$5,IF(ISNUMBER(SEARCH(Assumptions!$C$6,D1723)),Assumptions!$D$6,IF(ISNUMBER(SEARCH(Assumptions!$C$7,D1723)),Assumptions!$D$7,"Other Services"))),"Other Services"))</f>
        <v/>
      </c>
    </row>
    <row r="1724" customFormat="false" ht="15" hidden="false" customHeight="false" outlineLevel="0" collapsed="false">
      <c r="J1724" s="41" t="str">
        <f aca="false">IF(D1724="","",IFERROR(IF(ISNUMBER(SEARCH(Assumptions!$C$5,D1724)),Assumptions!$D$5,IF(ISNUMBER(SEARCH(Assumptions!$C$6,D1724)),Assumptions!$D$6,IF(ISNUMBER(SEARCH(Assumptions!$C$7,D1724)),Assumptions!$D$7,"Other Services"))),"Other Services"))</f>
        <v/>
      </c>
    </row>
    <row r="1725" customFormat="false" ht="15" hidden="false" customHeight="false" outlineLevel="0" collapsed="false">
      <c r="J1725" s="41" t="str">
        <f aca="false">IF(D1725="","",IFERROR(IF(ISNUMBER(SEARCH(Assumptions!$C$5,D1725)),Assumptions!$D$5,IF(ISNUMBER(SEARCH(Assumptions!$C$6,D1725)),Assumptions!$D$6,IF(ISNUMBER(SEARCH(Assumptions!$C$7,D1725)),Assumptions!$D$7,"Other Services"))),"Other Services"))</f>
        <v/>
      </c>
    </row>
    <row r="1726" customFormat="false" ht="15" hidden="false" customHeight="false" outlineLevel="0" collapsed="false">
      <c r="J1726" s="41" t="str">
        <f aca="false">IF(D1726="","",IFERROR(IF(ISNUMBER(SEARCH(Assumptions!$C$5,D1726)),Assumptions!$D$5,IF(ISNUMBER(SEARCH(Assumptions!$C$6,D1726)),Assumptions!$D$6,IF(ISNUMBER(SEARCH(Assumptions!$C$7,D1726)),Assumptions!$D$7,"Other Services"))),"Other Services"))</f>
        <v/>
      </c>
    </row>
    <row r="1727" customFormat="false" ht="15" hidden="false" customHeight="false" outlineLevel="0" collapsed="false">
      <c r="J1727" s="41" t="str">
        <f aca="false">IF(D1727="","",IFERROR(IF(ISNUMBER(SEARCH(Assumptions!$C$5,D1727)),Assumptions!$D$5,IF(ISNUMBER(SEARCH(Assumptions!$C$6,D1727)),Assumptions!$D$6,IF(ISNUMBER(SEARCH(Assumptions!$C$7,D1727)),Assumptions!$D$7,"Other Services"))),"Other Services"))</f>
        <v/>
      </c>
    </row>
    <row r="1728" customFormat="false" ht="15" hidden="false" customHeight="false" outlineLevel="0" collapsed="false">
      <c r="J1728" s="41" t="str">
        <f aca="false">IF(D1728="","",IFERROR(IF(ISNUMBER(SEARCH(Assumptions!$C$5,D1728)),Assumptions!$D$5,IF(ISNUMBER(SEARCH(Assumptions!$C$6,D1728)),Assumptions!$D$6,IF(ISNUMBER(SEARCH(Assumptions!$C$7,D1728)),Assumptions!$D$7,"Other Services"))),"Other Services"))</f>
        <v/>
      </c>
    </row>
    <row r="1729" customFormat="false" ht="15" hidden="false" customHeight="false" outlineLevel="0" collapsed="false">
      <c r="J1729" s="41" t="str">
        <f aca="false">IF(D1729="","",IFERROR(IF(ISNUMBER(SEARCH(Assumptions!$C$5,D1729)),Assumptions!$D$5,IF(ISNUMBER(SEARCH(Assumptions!$C$6,D1729)),Assumptions!$D$6,IF(ISNUMBER(SEARCH(Assumptions!$C$7,D1729)),Assumptions!$D$7,"Other Services"))),"Other Services"))</f>
        <v/>
      </c>
    </row>
    <row r="1730" customFormat="false" ht="15" hidden="false" customHeight="false" outlineLevel="0" collapsed="false">
      <c r="J1730" s="41" t="str">
        <f aca="false">IF(D1730="","",IFERROR(IF(ISNUMBER(SEARCH(Assumptions!$C$5,D1730)),Assumptions!$D$5,IF(ISNUMBER(SEARCH(Assumptions!$C$6,D1730)),Assumptions!$D$6,IF(ISNUMBER(SEARCH(Assumptions!$C$7,D1730)),Assumptions!$D$7,"Other Services"))),"Other Services"))</f>
        <v/>
      </c>
    </row>
    <row r="1731" customFormat="false" ht="15" hidden="false" customHeight="false" outlineLevel="0" collapsed="false">
      <c r="J1731" s="41" t="str">
        <f aca="false">IF(D1731="","",IFERROR(IF(ISNUMBER(SEARCH(Assumptions!$C$5,D1731)),Assumptions!$D$5,IF(ISNUMBER(SEARCH(Assumptions!$C$6,D1731)),Assumptions!$D$6,IF(ISNUMBER(SEARCH(Assumptions!$C$7,D1731)),Assumptions!$D$7,"Other Services"))),"Other Services"))</f>
        <v/>
      </c>
    </row>
    <row r="1732" customFormat="false" ht="15" hidden="false" customHeight="false" outlineLevel="0" collapsed="false">
      <c r="J1732" s="41" t="str">
        <f aca="false">IF(D1732="","",IFERROR(IF(ISNUMBER(SEARCH(Assumptions!$C$5,D1732)),Assumptions!$D$5,IF(ISNUMBER(SEARCH(Assumptions!$C$6,D1732)),Assumptions!$D$6,IF(ISNUMBER(SEARCH(Assumptions!$C$7,D1732)),Assumptions!$D$7,"Other Services"))),"Other Services"))</f>
        <v/>
      </c>
    </row>
    <row r="1733" customFormat="false" ht="15" hidden="false" customHeight="false" outlineLevel="0" collapsed="false">
      <c r="J1733" s="41" t="str">
        <f aca="false">IF(D1733="","",IFERROR(IF(ISNUMBER(SEARCH(Assumptions!$C$5,D1733)),Assumptions!$D$5,IF(ISNUMBER(SEARCH(Assumptions!$C$6,D1733)),Assumptions!$D$6,IF(ISNUMBER(SEARCH(Assumptions!$C$7,D1733)),Assumptions!$D$7,"Other Services"))),"Other Services"))</f>
        <v/>
      </c>
    </row>
    <row r="1734" customFormat="false" ht="15" hidden="false" customHeight="false" outlineLevel="0" collapsed="false">
      <c r="J1734" s="41" t="str">
        <f aca="false">IF(D1734="","",IFERROR(IF(ISNUMBER(SEARCH(Assumptions!$C$5,D1734)),Assumptions!$D$5,IF(ISNUMBER(SEARCH(Assumptions!$C$6,D1734)),Assumptions!$D$6,IF(ISNUMBER(SEARCH(Assumptions!$C$7,D1734)),Assumptions!$D$7,"Other Services"))),"Other Services"))</f>
        <v/>
      </c>
    </row>
    <row r="1735" customFormat="false" ht="15" hidden="false" customHeight="false" outlineLevel="0" collapsed="false">
      <c r="J1735" s="41" t="str">
        <f aca="false">IF(D1735="","",IFERROR(IF(ISNUMBER(SEARCH(Assumptions!$C$5,D1735)),Assumptions!$D$5,IF(ISNUMBER(SEARCH(Assumptions!$C$6,D1735)),Assumptions!$D$6,IF(ISNUMBER(SEARCH(Assumptions!$C$7,D1735)),Assumptions!$D$7,"Other Services"))),"Other Services"))</f>
        <v/>
      </c>
    </row>
    <row r="1736" customFormat="false" ht="15" hidden="false" customHeight="false" outlineLevel="0" collapsed="false">
      <c r="J1736" s="41" t="str">
        <f aca="false">IF(D1736="","",IFERROR(IF(ISNUMBER(SEARCH(Assumptions!$C$5,D1736)),Assumptions!$D$5,IF(ISNUMBER(SEARCH(Assumptions!$C$6,D1736)),Assumptions!$D$6,IF(ISNUMBER(SEARCH(Assumptions!$C$7,D1736)),Assumptions!$D$7,"Other Services"))),"Other Services"))</f>
        <v/>
      </c>
    </row>
    <row r="1737" customFormat="false" ht="15" hidden="false" customHeight="false" outlineLevel="0" collapsed="false">
      <c r="J1737" s="41" t="str">
        <f aca="false">IF(D1737="","",IFERROR(IF(ISNUMBER(SEARCH(Assumptions!$C$5,D1737)),Assumptions!$D$5,IF(ISNUMBER(SEARCH(Assumptions!$C$6,D1737)),Assumptions!$D$6,IF(ISNUMBER(SEARCH(Assumptions!$C$7,D1737)),Assumptions!$D$7,"Other Services"))),"Other Services"))</f>
        <v/>
      </c>
    </row>
    <row r="1738" customFormat="false" ht="15" hidden="false" customHeight="false" outlineLevel="0" collapsed="false">
      <c r="J1738" s="41" t="str">
        <f aca="false">IF(D1738="","",IFERROR(IF(ISNUMBER(SEARCH(Assumptions!$C$5,D1738)),Assumptions!$D$5,IF(ISNUMBER(SEARCH(Assumptions!$C$6,D1738)),Assumptions!$D$6,IF(ISNUMBER(SEARCH(Assumptions!$C$7,D1738)),Assumptions!$D$7,"Other Services"))),"Other Services"))</f>
        <v/>
      </c>
    </row>
    <row r="1739" customFormat="false" ht="15" hidden="false" customHeight="false" outlineLevel="0" collapsed="false">
      <c r="J1739" s="41" t="str">
        <f aca="false">IF(D1739="","",IFERROR(IF(ISNUMBER(SEARCH(Assumptions!$C$5,D1739)),Assumptions!$D$5,IF(ISNUMBER(SEARCH(Assumptions!$C$6,D1739)),Assumptions!$D$6,IF(ISNUMBER(SEARCH(Assumptions!$C$7,D1739)),Assumptions!$D$7,"Other Services"))),"Other Services"))</f>
        <v/>
      </c>
    </row>
    <row r="1740" customFormat="false" ht="15" hidden="false" customHeight="false" outlineLevel="0" collapsed="false">
      <c r="J1740" s="41" t="str">
        <f aca="false">IF(D1740="","",IFERROR(IF(ISNUMBER(SEARCH(Assumptions!$C$5,D1740)),Assumptions!$D$5,IF(ISNUMBER(SEARCH(Assumptions!$C$6,D1740)),Assumptions!$D$6,IF(ISNUMBER(SEARCH(Assumptions!$C$7,D1740)),Assumptions!$D$7,"Other Services"))),"Other Services"))</f>
        <v/>
      </c>
    </row>
    <row r="1741" customFormat="false" ht="15" hidden="false" customHeight="false" outlineLevel="0" collapsed="false">
      <c r="J1741" s="41" t="str">
        <f aca="false">IF(D1741="","",IFERROR(IF(ISNUMBER(SEARCH(Assumptions!$C$5,D1741)),Assumptions!$D$5,IF(ISNUMBER(SEARCH(Assumptions!$C$6,D1741)),Assumptions!$D$6,IF(ISNUMBER(SEARCH(Assumptions!$C$7,D1741)),Assumptions!$D$7,"Other Services"))),"Other Services"))</f>
        <v/>
      </c>
    </row>
    <row r="1742" customFormat="false" ht="15" hidden="false" customHeight="false" outlineLevel="0" collapsed="false">
      <c r="J1742" s="41" t="str">
        <f aca="false">IF(D1742="","",IFERROR(IF(ISNUMBER(SEARCH(Assumptions!$C$5,D1742)),Assumptions!$D$5,IF(ISNUMBER(SEARCH(Assumptions!$C$6,D1742)),Assumptions!$D$6,IF(ISNUMBER(SEARCH(Assumptions!$C$7,D1742)),Assumptions!$D$7,"Other Services"))),"Other Services"))</f>
        <v/>
      </c>
    </row>
    <row r="1743" customFormat="false" ht="15" hidden="false" customHeight="false" outlineLevel="0" collapsed="false">
      <c r="J1743" s="41" t="str">
        <f aca="false">IF(D1743="","",IFERROR(IF(ISNUMBER(SEARCH(Assumptions!$C$5,D1743)),Assumptions!$D$5,IF(ISNUMBER(SEARCH(Assumptions!$C$6,D1743)),Assumptions!$D$6,IF(ISNUMBER(SEARCH(Assumptions!$C$7,D1743)),Assumptions!$D$7,"Other Services"))),"Other Services"))</f>
        <v/>
      </c>
    </row>
    <row r="1744" customFormat="false" ht="15" hidden="false" customHeight="false" outlineLevel="0" collapsed="false">
      <c r="J1744" s="41" t="str">
        <f aca="false">IF(D1744="","",IFERROR(IF(ISNUMBER(SEARCH(Assumptions!$C$5,D1744)),Assumptions!$D$5,IF(ISNUMBER(SEARCH(Assumptions!$C$6,D1744)),Assumptions!$D$6,IF(ISNUMBER(SEARCH(Assumptions!$C$7,D1744)),Assumptions!$D$7,"Other Services"))),"Other Services"))</f>
        <v/>
      </c>
    </row>
    <row r="1745" customFormat="false" ht="15" hidden="false" customHeight="false" outlineLevel="0" collapsed="false">
      <c r="J1745" s="41" t="str">
        <f aca="false">IF(D1745="","",IFERROR(IF(ISNUMBER(SEARCH(Assumptions!$C$5,D1745)),Assumptions!$D$5,IF(ISNUMBER(SEARCH(Assumptions!$C$6,D1745)),Assumptions!$D$6,IF(ISNUMBER(SEARCH(Assumptions!$C$7,D1745)),Assumptions!$D$7,"Other Services"))),"Other Services"))</f>
        <v/>
      </c>
    </row>
    <row r="1746" customFormat="false" ht="15" hidden="false" customHeight="false" outlineLevel="0" collapsed="false">
      <c r="J1746" s="41" t="str">
        <f aca="false">IF(D1746="","",IFERROR(IF(ISNUMBER(SEARCH(Assumptions!$C$5,D1746)),Assumptions!$D$5,IF(ISNUMBER(SEARCH(Assumptions!$C$6,D1746)),Assumptions!$D$6,IF(ISNUMBER(SEARCH(Assumptions!$C$7,D1746)),Assumptions!$D$7,"Other Services"))),"Other Services"))</f>
        <v/>
      </c>
    </row>
    <row r="1747" customFormat="false" ht="15" hidden="false" customHeight="false" outlineLevel="0" collapsed="false">
      <c r="J1747" s="41" t="str">
        <f aca="false">IF(D1747="","",IFERROR(IF(ISNUMBER(SEARCH(Assumptions!$C$5,D1747)),Assumptions!$D$5,IF(ISNUMBER(SEARCH(Assumptions!$C$6,D1747)),Assumptions!$D$6,IF(ISNUMBER(SEARCH(Assumptions!$C$7,D1747)),Assumptions!$D$7,"Other Services"))),"Other Services"))</f>
        <v/>
      </c>
    </row>
    <row r="1748" customFormat="false" ht="15" hidden="false" customHeight="false" outlineLevel="0" collapsed="false">
      <c r="J1748" s="41" t="str">
        <f aca="false">IF(D1748="","",IFERROR(IF(ISNUMBER(SEARCH(Assumptions!$C$5,D1748)),Assumptions!$D$5,IF(ISNUMBER(SEARCH(Assumptions!$C$6,D1748)),Assumptions!$D$6,IF(ISNUMBER(SEARCH(Assumptions!$C$7,D1748)),Assumptions!$D$7,"Other Services"))),"Other Services"))</f>
        <v/>
      </c>
    </row>
    <row r="1749" customFormat="false" ht="15" hidden="false" customHeight="false" outlineLevel="0" collapsed="false">
      <c r="J1749" s="41" t="str">
        <f aca="false">IF(D1749="","",IFERROR(IF(ISNUMBER(SEARCH(Assumptions!$C$5,D1749)),Assumptions!$D$5,IF(ISNUMBER(SEARCH(Assumptions!$C$6,D1749)),Assumptions!$D$6,IF(ISNUMBER(SEARCH(Assumptions!$C$7,D1749)),Assumptions!$D$7,"Other Services"))),"Other Services"))</f>
        <v/>
      </c>
    </row>
    <row r="1750" customFormat="false" ht="15" hidden="false" customHeight="false" outlineLevel="0" collapsed="false">
      <c r="J1750" s="41" t="str">
        <f aca="false">IF(D1750="","",IFERROR(IF(ISNUMBER(SEARCH(Assumptions!$C$5,D1750)),Assumptions!$D$5,IF(ISNUMBER(SEARCH(Assumptions!$C$6,D1750)),Assumptions!$D$6,IF(ISNUMBER(SEARCH(Assumptions!$C$7,D1750)),Assumptions!$D$7,"Other Services"))),"Other Services"))</f>
        <v/>
      </c>
    </row>
    <row r="1751" customFormat="false" ht="15" hidden="false" customHeight="false" outlineLevel="0" collapsed="false">
      <c r="J1751" s="41" t="str">
        <f aca="false">IF(D1751="","",IFERROR(IF(ISNUMBER(SEARCH(Assumptions!$C$5,D1751)),Assumptions!$D$5,IF(ISNUMBER(SEARCH(Assumptions!$C$6,D1751)),Assumptions!$D$6,IF(ISNUMBER(SEARCH(Assumptions!$C$7,D1751)),Assumptions!$D$7,"Other Services"))),"Other Services"))</f>
        <v/>
      </c>
    </row>
    <row r="1752" customFormat="false" ht="15" hidden="false" customHeight="false" outlineLevel="0" collapsed="false">
      <c r="J1752" s="41" t="str">
        <f aca="false">IF(D1752="","",IFERROR(IF(ISNUMBER(SEARCH(Assumptions!$C$5,D1752)),Assumptions!$D$5,IF(ISNUMBER(SEARCH(Assumptions!$C$6,D1752)),Assumptions!$D$6,IF(ISNUMBER(SEARCH(Assumptions!$C$7,D1752)),Assumptions!$D$7,"Other Services"))),"Other Services"))</f>
        <v/>
      </c>
    </row>
    <row r="1753" customFormat="false" ht="15" hidden="false" customHeight="false" outlineLevel="0" collapsed="false">
      <c r="J1753" s="41" t="str">
        <f aca="false">IF(D1753="","",IFERROR(IF(ISNUMBER(SEARCH(Assumptions!$C$5,D1753)),Assumptions!$D$5,IF(ISNUMBER(SEARCH(Assumptions!$C$6,D1753)),Assumptions!$D$6,IF(ISNUMBER(SEARCH(Assumptions!$C$7,D1753)),Assumptions!$D$7,"Other Services"))),"Other Services"))</f>
        <v/>
      </c>
    </row>
    <row r="1754" customFormat="false" ht="15" hidden="false" customHeight="false" outlineLevel="0" collapsed="false">
      <c r="J1754" s="41" t="str">
        <f aca="false">IF(D1754="","",IFERROR(IF(ISNUMBER(SEARCH(Assumptions!$C$5,D1754)),Assumptions!$D$5,IF(ISNUMBER(SEARCH(Assumptions!$C$6,D1754)),Assumptions!$D$6,IF(ISNUMBER(SEARCH(Assumptions!$C$7,D1754)),Assumptions!$D$7,"Other Services"))),"Other Services"))</f>
        <v/>
      </c>
    </row>
    <row r="1755" customFormat="false" ht="15" hidden="false" customHeight="false" outlineLevel="0" collapsed="false">
      <c r="J1755" s="41" t="str">
        <f aca="false">IF(D1755="","",IFERROR(IF(ISNUMBER(SEARCH(Assumptions!$C$5,D1755)),Assumptions!$D$5,IF(ISNUMBER(SEARCH(Assumptions!$C$6,D1755)),Assumptions!$D$6,IF(ISNUMBER(SEARCH(Assumptions!$C$7,D1755)),Assumptions!$D$7,"Other Services"))),"Other Services"))</f>
        <v/>
      </c>
    </row>
    <row r="1756" customFormat="false" ht="15" hidden="false" customHeight="false" outlineLevel="0" collapsed="false">
      <c r="J1756" s="41" t="str">
        <f aca="false">IF(D1756="","",IFERROR(IF(ISNUMBER(SEARCH(Assumptions!$C$5,D1756)),Assumptions!$D$5,IF(ISNUMBER(SEARCH(Assumptions!$C$6,D1756)),Assumptions!$D$6,IF(ISNUMBER(SEARCH(Assumptions!$C$7,D1756)),Assumptions!$D$7,"Other Services"))),"Other Services"))</f>
        <v/>
      </c>
    </row>
    <row r="1757" customFormat="false" ht="15" hidden="false" customHeight="false" outlineLevel="0" collapsed="false">
      <c r="J1757" s="41" t="str">
        <f aca="false">IF(D1757="","",IFERROR(IF(ISNUMBER(SEARCH(Assumptions!$C$5,D1757)),Assumptions!$D$5,IF(ISNUMBER(SEARCH(Assumptions!$C$6,D1757)),Assumptions!$D$6,IF(ISNUMBER(SEARCH(Assumptions!$C$7,D1757)),Assumptions!$D$7,"Other Services"))),"Other Services"))</f>
        <v/>
      </c>
    </row>
    <row r="1758" customFormat="false" ht="15" hidden="false" customHeight="false" outlineLevel="0" collapsed="false">
      <c r="J1758" s="41" t="str">
        <f aca="false">IF(D1758="","",IFERROR(IF(ISNUMBER(SEARCH(Assumptions!$C$5,D1758)),Assumptions!$D$5,IF(ISNUMBER(SEARCH(Assumptions!$C$6,D1758)),Assumptions!$D$6,IF(ISNUMBER(SEARCH(Assumptions!$C$7,D1758)),Assumptions!$D$7,"Other Services"))),"Other Services"))</f>
        <v/>
      </c>
    </row>
    <row r="1759" customFormat="false" ht="15" hidden="false" customHeight="false" outlineLevel="0" collapsed="false">
      <c r="J1759" s="41" t="str">
        <f aca="false">IF(D1759="","",IFERROR(IF(ISNUMBER(SEARCH(Assumptions!$C$5,D1759)),Assumptions!$D$5,IF(ISNUMBER(SEARCH(Assumptions!$C$6,D1759)),Assumptions!$D$6,IF(ISNUMBER(SEARCH(Assumptions!$C$7,D1759)),Assumptions!$D$7,"Other Services"))),"Other Services"))</f>
        <v/>
      </c>
    </row>
    <row r="1760" customFormat="false" ht="15" hidden="false" customHeight="false" outlineLevel="0" collapsed="false">
      <c r="J1760" s="41" t="str">
        <f aca="false">IF(D1760="","",IFERROR(IF(ISNUMBER(SEARCH(Assumptions!$C$5,D1760)),Assumptions!$D$5,IF(ISNUMBER(SEARCH(Assumptions!$C$6,D1760)),Assumptions!$D$6,IF(ISNUMBER(SEARCH(Assumptions!$C$7,D1760)),Assumptions!$D$7,"Other Services"))),"Other Services"))</f>
        <v/>
      </c>
    </row>
    <row r="1761" customFormat="false" ht="15" hidden="false" customHeight="false" outlineLevel="0" collapsed="false">
      <c r="J1761" s="41" t="str">
        <f aca="false">IF(D1761="","",IFERROR(IF(ISNUMBER(SEARCH(Assumptions!$C$5,D1761)),Assumptions!$D$5,IF(ISNUMBER(SEARCH(Assumptions!$C$6,D1761)),Assumptions!$D$6,IF(ISNUMBER(SEARCH(Assumptions!$C$7,D1761)),Assumptions!$D$7,"Other Services"))),"Other Services"))</f>
        <v/>
      </c>
    </row>
    <row r="1762" customFormat="false" ht="15" hidden="false" customHeight="false" outlineLevel="0" collapsed="false">
      <c r="J1762" s="41" t="str">
        <f aca="false">IF(D1762="","",IFERROR(IF(ISNUMBER(SEARCH(Assumptions!$C$5,D1762)),Assumptions!$D$5,IF(ISNUMBER(SEARCH(Assumptions!$C$6,D1762)),Assumptions!$D$6,IF(ISNUMBER(SEARCH(Assumptions!$C$7,D1762)),Assumptions!$D$7,"Other Services"))),"Other Services"))</f>
        <v/>
      </c>
    </row>
    <row r="1763" customFormat="false" ht="15" hidden="false" customHeight="false" outlineLevel="0" collapsed="false">
      <c r="J1763" s="41" t="str">
        <f aca="false">IF(D1763="","",IFERROR(IF(ISNUMBER(SEARCH(Assumptions!$C$5,D1763)),Assumptions!$D$5,IF(ISNUMBER(SEARCH(Assumptions!$C$6,D1763)),Assumptions!$D$6,IF(ISNUMBER(SEARCH(Assumptions!$C$7,D1763)),Assumptions!$D$7,"Other Services"))),"Other Services"))</f>
        <v/>
      </c>
    </row>
    <row r="1764" customFormat="false" ht="15" hidden="false" customHeight="false" outlineLevel="0" collapsed="false">
      <c r="J1764" s="41" t="str">
        <f aca="false">IF(D1764="","",IFERROR(IF(ISNUMBER(SEARCH(Assumptions!$C$5,D1764)),Assumptions!$D$5,IF(ISNUMBER(SEARCH(Assumptions!$C$6,D1764)),Assumptions!$D$6,IF(ISNUMBER(SEARCH(Assumptions!$C$7,D1764)),Assumptions!$D$7,"Other Services"))),"Other Services"))</f>
        <v/>
      </c>
    </row>
    <row r="1765" customFormat="false" ht="15" hidden="false" customHeight="false" outlineLevel="0" collapsed="false">
      <c r="J1765" s="41" t="str">
        <f aca="false">IF(D1765="","",IFERROR(IF(ISNUMBER(SEARCH(Assumptions!$C$5,D1765)),Assumptions!$D$5,IF(ISNUMBER(SEARCH(Assumptions!$C$6,D1765)),Assumptions!$D$6,IF(ISNUMBER(SEARCH(Assumptions!$C$7,D1765)),Assumptions!$D$7,"Other Services"))),"Other Services"))</f>
        <v/>
      </c>
    </row>
    <row r="1766" customFormat="false" ht="15" hidden="false" customHeight="false" outlineLevel="0" collapsed="false">
      <c r="J1766" s="41" t="str">
        <f aca="false">IF(D1766="","",IFERROR(IF(ISNUMBER(SEARCH(Assumptions!$C$5,D1766)),Assumptions!$D$5,IF(ISNUMBER(SEARCH(Assumptions!$C$6,D1766)),Assumptions!$D$6,IF(ISNUMBER(SEARCH(Assumptions!$C$7,D1766)),Assumptions!$D$7,"Other Services"))),"Other Services"))</f>
        <v/>
      </c>
    </row>
    <row r="1767" customFormat="false" ht="15" hidden="false" customHeight="false" outlineLevel="0" collapsed="false">
      <c r="J1767" s="41" t="str">
        <f aca="false">IF(D1767="","",IFERROR(IF(ISNUMBER(SEARCH(Assumptions!$C$5,D1767)),Assumptions!$D$5,IF(ISNUMBER(SEARCH(Assumptions!$C$6,D1767)),Assumptions!$D$6,IF(ISNUMBER(SEARCH(Assumptions!$C$7,D1767)),Assumptions!$D$7,"Other Services"))),"Other Services"))</f>
        <v/>
      </c>
    </row>
    <row r="1768" customFormat="false" ht="15" hidden="false" customHeight="false" outlineLevel="0" collapsed="false">
      <c r="J1768" s="41" t="str">
        <f aca="false">IF(D1768="","",IFERROR(IF(ISNUMBER(SEARCH(Assumptions!$C$5,D1768)),Assumptions!$D$5,IF(ISNUMBER(SEARCH(Assumptions!$C$6,D1768)),Assumptions!$D$6,IF(ISNUMBER(SEARCH(Assumptions!$C$7,D1768)),Assumptions!$D$7,"Other Services"))),"Other Services"))</f>
        <v/>
      </c>
    </row>
    <row r="1769" customFormat="false" ht="15" hidden="false" customHeight="false" outlineLevel="0" collapsed="false">
      <c r="J1769" s="41" t="str">
        <f aca="false">IF(D1769="","",IFERROR(IF(ISNUMBER(SEARCH(Assumptions!$C$5,D1769)),Assumptions!$D$5,IF(ISNUMBER(SEARCH(Assumptions!$C$6,D1769)),Assumptions!$D$6,IF(ISNUMBER(SEARCH(Assumptions!$C$7,D1769)),Assumptions!$D$7,"Other Services"))),"Other Services"))</f>
        <v/>
      </c>
    </row>
    <row r="1770" customFormat="false" ht="15" hidden="false" customHeight="false" outlineLevel="0" collapsed="false">
      <c r="J1770" s="41" t="str">
        <f aca="false">IF(D1770="","",IFERROR(IF(ISNUMBER(SEARCH(Assumptions!$C$5,D1770)),Assumptions!$D$5,IF(ISNUMBER(SEARCH(Assumptions!$C$6,D1770)),Assumptions!$D$6,IF(ISNUMBER(SEARCH(Assumptions!$C$7,D1770)),Assumptions!$D$7,"Other Services"))),"Other Services"))</f>
        <v/>
      </c>
    </row>
    <row r="1771" customFormat="false" ht="15" hidden="false" customHeight="false" outlineLevel="0" collapsed="false">
      <c r="J1771" s="41" t="str">
        <f aca="false">IF(D1771="","",IFERROR(IF(ISNUMBER(SEARCH(Assumptions!$C$5,D1771)),Assumptions!$D$5,IF(ISNUMBER(SEARCH(Assumptions!$C$6,D1771)),Assumptions!$D$6,IF(ISNUMBER(SEARCH(Assumptions!$C$7,D1771)),Assumptions!$D$7,"Other Services"))),"Other Services"))</f>
        <v/>
      </c>
    </row>
    <row r="1772" customFormat="false" ht="15" hidden="false" customHeight="false" outlineLevel="0" collapsed="false">
      <c r="J1772" s="41" t="str">
        <f aca="false">IF(D1772="","",IFERROR(IF(ISNUMBER(SEARCH(Assumptions!$C$5,D1772)),Assumptions!$D$5,IF(ISNUMBER(SEARCH(Assumptions!$C$6,D1772)),Assumptions!$D$6,IF(ISNUMBER(SEARCH(Assumptions!$C$7,D1772)),Assumptions!$D$7,"Other Services"))),"Other Services"))</f>
        <v/>
      </c>
    </row>
    <row r="1773" customFormat="false" ht="15" hidden="false" customHeight="false" outlineLevel="0" collapsed="false">
      <c r="J1773" s="41" t="str">
        <f aca="false">IF(D1773="","",IFERROR(IF(ISNUMBER(SEARCH(Assumptions!$C$5,D1773)),Assumptions!$D$5,IF(ISNUMBER(SEARCH(Assumptions!$C$6,D1773)),Assumptions!$D$6,IF(ISNUMBER(SEARCH(Assumptions!$C$7,D1773)),Assumptions!$D$7,"Other Services"))),"Other Services"))</f>
        <v/>
      </c>
    </row>
    <row r="1774" customFormat="false" ht="15" hidden="false" customHeight="false" outlineLevel="0" collapsed="false">
      <c r="J1774" s="41" t="str">
        <f aca="false">IF(D1774="","",IFERROR(IF(ISNUMBER(SEARCH(Assumptions!$C$5,D1774)),Assumptions!$D$5,IF(ISNUMBER(SEARCH(Assumptions!$C$6,D1774)),Assumptions!$D$6,IF(ISNUMBER(SEARCH(Assumptions!$C$7,D1774)),Assumptions!$D$7,"Other Services"))),"Other Services"))</f>
        <v/>
      </c>
    </row>
    <row r="1775" customFormat="false" ht="15" hidden="false" customHeight="false" outlineLevel="0" collapsed="false">
      <c r="J1775" s="41" t="str">
        <f aca="false">IF(D1775="","",IFERROR(IF(ISNUMBER(SEARCH(Assumptions!$C$5,D1775)),Assumptions!$D$5,IF(ISNUMBER(SEARCH(Assumptions!$C$6,D1775)),Assumptions!$D$6,IF(ISNUMBER(SEARCH(Assumptions!$C$7,D1775)),Assumptions!$D$7,"Other Services"))),"Other Services"))</f>
        <v/>
      </c>
    </row>
    <row r="1776" customFormat="false" ht="15" hidden="false" customHeight="false" outlineLevel="0" collapsed="false">
      <c r="J1776" s="41" t="str">
        <f aca="false">IF(D1776="","",IFERROR(IF(ISNUMBER(SEARCH(Assumptions!$C$5,D1776)),Assumptions!$D$5,IF(ISNUMBER(SEARCH(Assumptions!$C$6,D1776)),Assumptions!$D$6,IF(ISNUMBER(SEARCH(Assumptions!$C$7,D1776)),Assumptions!$D$7,"Other Services"))),"Other Services"))</f>
        <v/>
      </c>
    </row>
    <row r="1777" customFormat="false" ht="15" hidden="false" customHeight="false" outlineLevel="0" collapsed="false">
      <c r="J1777" s="41" t="str">
        <f aca="false">IF(D1777="","",IFERROR(IF(ISNUMBER(SEARCH(Assumptions!$C$5,D1777)),Assumptions!$D$5,IF(ISNUMBER(SEARCH(Assumptions!$C$6,D1777)),Assumptions!$D$6,IF(ISNUMBER(SEARCH(Assumptions!$C$7,D1777)),Assumptions!$D$7,"Other Services"))),"Other Services"))</f>
        <v/>
      </c>
    </row>
    <row r="1778" customFormat="false" ht="15" hidden="false" customHeight="false" outlineLevel="0" collapsed="false">
      <c r="J1778" s="41" t="str">
        <f aca="false">IF(D1778="","",IFERROR(IF(ISNUMBER(SEARCH(Assumptions!$C$5,D1778)),Assumptions!$D$5,IF(ISNUMBER(SEARCH(Assumptions!$C$6,D1778)),Assumptions!$D$6,IF(ISNUMBER(SEARCH(Assumptions!$C$7,D1778)),Assumptions!$D$7,"Other Services"))),"Other Services"))</f>
        <v/>
      </c>
    </row>
    <row r="1779" customFormat="false" ht="15" hidden="false" customHeight="false" outlineLevel="0" collapsed="false">
      <c r="J1779" s="41" t="str">
        <f aca="false">IF(D1779="","",IFERROR(IF(ISNUMBER(SEARCH(Assumptions!$C$5,D1779)),Assumptions!$D$5,IF(ISNUMBER(SEARCH(Assumptions!$C$6,D1779)),Assumptions!$D$6,IF(ISNUMBER(SEARCH(Assumptions!$C$7,D1779)),Assumptions!$D$7,"Other Services"))),"Other Services"))</f>
        <v/>
      </c>
    </row>
    <row r="1780" customFormat="false" ht="15" hidden="false" customHeight="false" outlineLevel="0" collapsed="false">
      <c r="J1780" s="41" t="str">
        <f aca="false">IF(D1780="","",IFERROR(IF(ISNUMBER(SEARCH(Assumptions!$C$5,D1780)),Assumptions!$D$5,IF(ISNUMBER(SEARCH(Assumptions!$C$6,D1780)),Assumptions!$D$6,IF(ISNUMBER(SEARCH(Assumptions!$C$7,D1780)),Assumptions!$D$7,"Other Services"))),"Other Services"))</f>
        <v/>
      </c>
    </row>
    <row r="1781" customFormat="false" ht="15" hidden="false" customHeight="false" outlineLevel="0" collapsed="false">
      <c r="J1781" s="41" t="str">
        <f aca="false">IF(D1781="","",IFERROR(IF(ISNUMBER(SEARCH(Assumptions!$C$5,D1781)),Assumptions!$D$5,IF(ISNUMBER(SEARCH(Assumptions!$C$6,D1781)),Assumptions!$D$6,IF(ISNUMBER(SEARCH(Assumptions!$C$7,D1781)),Assumptions!$D$7,"Other Services"))),"Other Services"))</f>
        <v/>
      </c>
    </row>
    <row r="1782" customFormat="false" ht="15" hidden="false" customHeight="false" outlineLevel="0" collapsed="false">
      <c r="J1782" s="41" t="str">
        <f aca="false">IF(D1782="","",IFERROR(IF(ISNUMBER(SEARCH(Assumptions!$C$5,D1782)),Assumptions!$D$5,IF(ISNUMBER(SEARCH(Assumptions!$C$6,D1782)),Assumptions!$D$6,IF(ISNUMBER(SEARCH(Assumptions!$C$7,D1782)),Assumptions!$D$7,"Other Services"))),"Other Services"))</f>
        <v/>
      </c>
    </row>
    <row r="1783" customFormat="false" ht="15" hidden="false" customHeight="false" outlineLevel="0" collapsed="false">
      <c r="J1783" s="41" t="str">
        <f aca="false">IF(D1783="","",IFERROR(IF(ISNUMBER(SEARCH(Assumptions!$C$5,D1783)),Assumptions!$D$5,IF(ISNUMBER(SEARCH(Assumptions!$C$6,D1783)),Assumptions!$D$6,IF(ISNUMBER(SEARCH(Assumptions!$C$7,D1783)),Assumptions!$D$7,"Other Services"))),"Other Services"))</f>
        <v/>
      </c>
    </row>
    <row r="1784" customFormat="false" ht="15" hidden="false" customHeight="false" outlineLevel="0" collapsed="false">
      <c r="J1784" s="41" t="str">
        <f aca="false">IF(D1784="","",IFERROR(IF(ISNUMBER(SEARCH(Assumptions!$C$5,D1784)),Assumptions!$D$5,IF(ISNUMBER(SEARCH(Assumptions!$C$6,D1784)),Assumptions!$D$6,IF(ISNUMBER(SEARCH(Assumptions!$C$7,D1784)),Assumptions!$D$7,"Other Services"))),"Other Services"))</f>
        <v/>
      </c>
    </row>
    <row r="1785" customFormat="false" ht="15" hidden="false" customHeight="false" outlineLevel="0" collapsed="false">
      <c r="J1785" s="41" t="str">
        <f aca="false">IF(D1785="","",IFERROR(IF(ISNUMBER(SEARCH(Assumptions!$C$5,D1785)),Assumptions!$D$5,IF(ISNUMBER(SEARCH(Assumptions!$C$6,D1785)),Assumptions!$D$6,IF(ISNUMBER(SEARCH(Assumptions!$C$7,D1785)),Assumptions!$D$7,"Other Services"))),"Other Services"))</f>
        <v/>
      </c>
    </row>
    <row r="1786" customFormat="false" ht="15" hidden="false" customHeight="false" outlineLevel="0" collapsed="false">
      <c r="J1786" s="41" t="str">
        <f aca="false">IF(D1786="","",IFERROR(IF(ISNUMBER(SEARCH(Assumptions!$C$5,D1786)),Assumptions!$D$5,IF(ISNUMBER(SEARCH(Assumptions!$C$6,D1786)),Assumptions!$D$6,IF(ISNUMBER(SEARCH(Assumptions!$C$7,D1786)),Assumptions!$D$7,"Other Services"))),"Other Services"))</f>
        <v/>
      </c>
    </row>
    <row r="1787" customFormat="false" ht="15" hidden="false" customHeight="false" outlineLevel="0" collapsed="false">
      <c r="J1787" s="41" t="str">
        <f aca="false">IF(D1787="","",IFERROR(IF(ISNUMBER(SEARCH(Assumptions!$C$5,D1787)),Assumptions!$D$5,IF(ISNUMBER(SEARCH(Assumptions!$C$6,D1787)),Assumptions!$D$6,IF(ISNUMBER(SEARCH(Assumptions!$C$7,D1787)),Assumptions!$D$7,"Other Services"))),"Other Services"))</f>
        <v/>
      </c>
    </row>
    <row r="1788" customFormat="false" ht="15" hidden="false" customHeight="false" outlineLevel="0" collapsed="false">
      <c r="J1788" s="41" t="str">
        <f aca="false">IF(D1788="","",IFERROR(IF(ISNUMBER(SEARCH(Assumptions!$C$5,D1788)),Assumptions!$D$5,IF(ISNUMBER(SEARCH(Assumptions!$C$6,D1788)),Assumptions!$D$6,IF(ISNUMBER(SEARCH(Assumptions!$C$7,D1788)),Assumptions!$D$7,"Other Services"))),"Other Services"))</f>
        <v/>
      </c>
    </row>
    <row r="1789" customFormat="false" ht="15" hidden="false" customHeight="false" outlineLevel="0" collapsed="false">
      <c r="J1789" s="41" t="str">
        <f aca="false">IF(D1789="","",IFERROR(IF(ISNUMBER(SEARCH(Assumptions!$C$5,D1789)),Assumptions!$D$5,IF(ISNUMBER(SEARCH(Assumptions!$C$6,D1789)),Assumptions!$D$6,IF(ISNUMBER(SEARCH(Assumptions!$C$7,D1789)),Assumptions!$D$7,"Other Services"))),"Other Services"))</f>
        <v/>
      </c>
    </row>
    <row r="1790" customFormat="false" ht="15" hidden="false" customHeight="false" outlineLevel="0" collapsed="false">
      <c r="J1790" s="41" t="str">
        <f aca="false">IF(D1790="","",IFERROR(IF(ISNUMBER(SEARCH(Assumptions!$C$5,D1790)),Assumptions!$D$5,IF(ISNUMBER(SEARCH(Assumptions!$C$6,D1790)),Assumptions!$D$6,IF(ISNUMBER(SEARCH(Assumptions!$C$7,D1790)),Assumptions!$D$7,"Other Services"))),"Other Services"))</f>
        <v/>
      </c>
    </row>
    <row r="1791" customFormat="false" ht="15" hidden="false" customHeight="false" outlineLevel="0" collapsed="false">
      <c r="J1791" s="41" t="str">
        <f aca="false">IF(D1791="","",IFERROR(IF(ISNUMBER(SEARCH(Assumptions!$C$5,D1791)),Assumptions!$D$5,IF(ISNUMBER(SEARCH(Assumptions!$C$6,D1791)),Assumptions!$D$6,IF(ISNUMBER(SEARCH(Assumptions!$C$7,D1791)),Assumptions!$D$7,"Other Services"))),"Other Services"))</f>
        <v/>
      </c>
    </row>
    <row r="1792" customFormat="false" ht="15" hidden="false" customHeight="false" outlineLevel="0" collapsed="false">
      <c r="J1792" s="41" t="str">
        <f aca="false">IF(D1792="","",IFERROR(IF(ISNUMBER(SEARCH(Assumptions!$C$5,D1792)),Assumptions!$D$5,IF(ISNUMBER(SEARCH(Assumptions!$C$6,D1792)),Assumptions!$D$6,IF(ISNUMBER(SEARCH(Assumptions!$C$7,D1792)),Assumptions!$D$7,"Other Services"))),"Other Services"))</f>
        <v/>
      </c>
    </row>
    <row r="1793" customFormat="false" ht="15" hidden="false" customHeight="false" outlineLevel="0" collapsed="false">
      <c r="J1793" s="41" t="str">
        <f aca="false">IF(D1793="","",IFERROR(IF(ISNUMBER(SEARCH(Assumptions!$C$5,D1793)),Assumptions!$D$5,IF(ISNUMBER(SEARCH(Assumptions!$C$6,D1793)),Assumptions!$D$6,IF(ISNUMBER(SEARCH(Assumptions!$C$7,D1793)),Assumptions!$D$7,"Other Services"))),"Other Services"))</f>
        <v/>
      </c>
    </row>
    <row r="1794" customFormat="false" ht="15" hidden="false" customHeight="false" outlineLevel="0" collapsed="false">
      <c r="J1794" s="41" t="str">
        <f aca="false">IF(D1794="","",IFERROR(IF(ISNUMBER(SEARCH(Assumptions!$C$5,D1794)),Assumptions!$D$5,IF(ISNUMBER(SEARCH(Assumptions!$C$6,D1794)),Assumptions!$D$6,IF(ISNUMBER(SEARCH(Assumptions!$C$7,D1794)),Assumptions!$D$7,"Other Services"))),"Other Services"))</f>
        <v/>
      </c>
    </row>
    <row r="1795" customFormat="false" ht="15" hidden="false" customHeight="false" outlineLevel="0" collapsed="false">
      <c r="J1795" s="41" t="str">
        <f aca="false">IF(D1795="","",IFERROR(IF(ISNUMBER(SEARCH(Assumptions!$C$5,D1795)),Assumptions!$D$5,IF(ISNUMBER(SEARCH(Assumptions!$C$6,D1795)),Assumptions!$D$6,IF(ISNUMBER(SEARCH(Assumptions!$C$7,D1795)),Assumptions!$D$7,"Other Services"))),"Other Services"))</f>
        <v/>
      </c>
    </row>
    <row r="1796" customFormat="false" ht="15" hidden="false" customHeight="false" outlineLevel="0" collapsed="false">
      <c r="J1796" s="41" t="str">
        <f aca="false">IF(D1796="","",IFERROR(IF(ISNUMBER(SEARCH(Assumptions!$C$5,D1796)),Assumptions!$D$5,IF(ISNUMBER(SEARCH(Assumptions!$C$6,D1796)),Assumptions!$D$6,IF(ISNUMBER(SEARCH(Assumptions!$C$7,D1796)),Assumptions!$D$7,"Other Services"))),"Other Services"))</f>
        <v/>
      </c>
    </row>
    <row r="1797" customFormat="false" ht="15" hidden="false" customHeight="false" outlineLevel="0" collapsed="false">
      <c r="J1797" s="41" t="str">
        <f aca="false">IF(D1797="","",IFERROR(IF(ISNUMBER(SEARCH(Assumptions!$C$5,D1797)),Assumptions!$D$5,IF(ISNUMBER(SEARCH(Assumptions!$C$6,D1797)),Assumptions!$D$6,IF(ISNUMBER(SEARCH(Assumptions!$C$7,D1797)),Assumptions!$D$7,"Other Services"))),"Other Services"))</f>
        <v/>
      </c>
    </row>
    <row r="1798" customFormat="false" ht="15" hidden="false" customHeight="false" outlineLevel="0" collapsed="false">
      <c r="J1798" s="41" t="str">
        <f aca="false">IF(D1798="","",IFERROR(IF(ISNUMBER(SEARCH(Assumptions!$C$5,D1798)),Assumptions!$D$5,IF(ISNUMBER(SEARCH(Assumptions!$C$6,D1798)),Assumptions!$D$6,IF(ISNUMBER(SEARCH(Assumptions!$C$7,D1798)),Assumptions!$D$7,"Other Services"))),"Other Services"))</f>
        <v/>
      </c>
    </row>
    <row r="1799" customFormat="false" ht="15" hidden="false" customHeight="false" outlineLevel="0" collapsed="false">
      <c r="J1799" s="41" t="str">
        <f aca="false">IF(D1799="","",IFERROR(IF(ISNUMBER(SEARCH(Assumptions!$C$5,D1799)),Assumptions!$D$5,IF(ISNUMBER(SEARCH(Assumptions!$C$6,D1799)),Assumptions!$D$6,IF(ISNUMBER(SEARCH(Assumptions!$C$7,D1799)),Assumptions!$D$7,"Other Services"))),"Other Services"))</f>
        <v/>
      </c>
    </row>
    <row r="1800" customFormat="false" ht="15" hidden="false" customHeight="false" outlineLevel="0" collapsed="false">
      <c r="J1800" s="41" t="str">
        <f aca="false">IF(D1800="","",IFERROR(IF(ISNUMBER(SEARCH(Assumptions!$C$5,D1800)),Assumptions!$D$5,IF(ISNUMBER(SEARCH(Assumptions!$C$6,D1800)),Assumptions!$D$6,IF(ISNUMBER(SEARCH(Assumptions!$C$7,D1800)),Assumptions!$D$7,"Other Services"))),"Other Services"))</f>
        <v/>
      </c>
    </row>
    <row r="1801" customFormat="false" ht="15" hidden="false" customHeight="false" outlineLevel="0" collapsed="false">
      <c r="J1801" s="41" t="str">
        <f aca="false">IF(D1801="","",IFERROR(IF(ISNUMBER(SEARCH(Assumptions!$C$5,D1801)),Assumptions!$D$5,IF(ISNUMBER(SEARCH(Assumptions!$C$6,D1801)),Assumptions!$D$6,IF(ISNUMBER(SEARCH(Assumptions!$C$7,D1801)),Assumptions!$D$7,"Other Services"))),"Other Services"))</f>
        <v/>
      </c>
    </row>
    <row r="1802" customFormat="false" ht="15" hidden="false" customHeight="false" outlineLevel="0" collapsed="false">
      <c r="J1802" s="41" t="str">
        <f aca="false">IF(D1802="","",IFERROR(IF(ISNUMBER(SEARCH(Assumptions!$C$5,D1802)),Assumptions!$D$5,IF(ISNUMBER(SEARCH(Assumptions!$C$6,D1802)),Assumptions!$D$6,IF(ISNUMBER(SEARCH(Assumptions!$C$7,D1802)),Assumptions!$D$7,"Other Services"))),"Other Services"))</f>
        <v/>
      </c>
    </row>
    <row r="1803" customFormat="false" ht="15" hidden="false" customHeight="false" outlineLevel="0" collapsed="false">
      <c r="J1803" s="41" t="str">
        <f aca="false">IF(D1803="","",IFERROR(IF(ISNUMBER(SEARCH(Assumptions!$C$5,D1803)),Assumptions!$D$5,IF(ISNUMBER(SEARCH(Assumptions!$C$6,D1803)),Assumptions!$D$6,IF(ISNUMBER(SEARCH(Assumptions!$C$7,D1803)),Assumptions!$D$7,"Other Services"))),"Other Services"))</f>
        <v/>
      </c>
    </row>
    <row r="1804" customFormat="false" ht="15" hidden="false" customHeight="false" outlineLevel="0" collapsed="false">
      <c r="J1804" s="41" t="str">
        <f aca="false">IF(D1804="","",IFERROR(IF(ISNUMBER(SEARCH(Assumptions!$C$5,D1804)),Assumptions!$D$5,IF(ISNUMBER(SEARCH(Assumptions!$C$6,D1804)),Assumptions!$D$6,IF(ISNUMBER(SEARCH(Assumptions!$C$7,D1804)),Assumptions!$D$7,"Other Services"))),"Other Services"))</f>
        <v/>
      </c>
    </row>
    <row r="1805" customFormat="false" ht="15" hidden="false" customHeight="false" outlineLevel="0" collapsed="false">
      <c r="J1805" s="41" t="str">
        <f aca="false">IF(D1805="","",IFERROR(IF(ISNUMBER(SEARCH(Assumptions!$C$5,D1805)),Assumptions!$D$5,IF(ISNUMBER(SEARCH(Assumptions!$C$6,D1805)),Assumptions!$D$6,IF(ISNUMBER(SEARCH(Assumptions!$C$7,D1805)),Assumptions!$D$7,"Other Services"))),"Other Services"))</f>
        <v/>
      </c>
    </row>
    <row r="1806" customFormat="false" ht="15" hidden="false" customHeight="false" outlineLevel="0" collapsed="false">
      <c r="J1806" s="41" t="str">
        <f aca="false">IF(D1806="","",IFERROR(IF(ISNUMBER(SEARCH(Assumptions!$C$5,D1806)),Assumptions!$D$5,IF(ISNUMBER(SEARCH(Assumptions!$C$6,D1806)),Assumptions!$D$6,IF(ISNUMBER(SEARCH(Assumptions!$C$7,D1806)),Assumptions!$D$7,"Other Services"))),"Other Services"))</f>
        <v/>
      </c>
    </row>
    <row r="1807" customFormat="false" ht="15" hidden="false" customHeight="false" outlineLevel="0" collapsed="false">
      <c r="J1807" s="41" t="str">
        <f aca="false">IF(D1807="","",IFERROR(IF(ISNUMBER(SEARCH(Assumptions!$C$5,D1807)),Assumptions!$D$5,IF(ISNUMBER(SEARCH(Assumptions!$C$6,D1807)),Assumptions!$D$6,IF(ISNUMBER(SEARCH(Assumptions!$C$7,D1807)),Assumptions!$D$7,"Other Services"))),"Other Services"))</f>
        <v/>
      </c>
    </row>
    <row r="1808" customFormat="false" ht="15" hidden="false" customHeight="false" outlineLevel="0" collapsed="false">
      <c r="J1808" s="41" t="str">
        <f aca="false">IF(D1808="","",IFERROR(IF(ISNUMBER(SEARCH(Assumptions!$C$5,D1808)),Assumptions!$D$5,IF(ISNUMBER(SEARCH(Assumptions!$C$6,D1808)),Assumptions!$D$6,IF(ISNUMBER(SEARCH(Assumptions!$C$7,D1808)),Assumptions!$D$7,"Other Services"))),"Other Services"))</f>
        <v/>
      </c>
    </row>
    <row r="1809" customFormat="false" ht="15" hidden="false" customHeight="false" outlineLevel="0" collapsed="false">
      <c r="J1809" s="41" t="str">
        <f aca="false">IF(D1809="","",IFERROR(IF(ISNUMBER(SEARCH(Assumptions!$C$5,D1809)),Assumptions!$D$5,IF(ISNUMBER(SEARCH(Assumptions!$C$6,D1809)),Assumptions!$D$6,IF(ISNUMBER(SEARCH(Assumptions!$C$7,D1809)),Assumptions!$D$7,"Other Services"))),"Other Services"))</f>
        <v/>
      </c>
    </row>
    <row r="1810" customFormat="false" ht="15" hidden="false" customHeight="false" outlineLevel="0" collapsed="false">
      <c r="J1810" s="41" t="str">
        <f aca="false">IF(D1810="","",IFERROR(IF(ISNUMBER(SEARCH(Assumptions!$C$5,D1810)),Assumptions!$D$5,IF(ISNUMBER(SEARCH(Assumptions!$C$6,D1810)),Assumptions!$D$6,IF(ISNUMBER(SEARCH(Assumptions!$C$7,D1810)),Assumptions!$D$7,"Other Services"))),"Other Services"))</f>
        <v/>
      </c>
    </row>
    <row r="1811" customFormat="false" ht="15" hidden="false" customHeight="false" outlineLevel="0" collapsed="false">
      <c r="J1811" s="41" t="str">
        <f aca="false">IF(D1811="","",IFERROR(IF(ISNUMBER(SEARCH(Assumptions!$C$5,D1811)),Assumptions!$D$5,IF(ISNUMBER(SEARCH(Assumptions!$C$6,D1811)),Assumptions!$D$6,IF(ISNUMBER(SEARCH(Assumptions!$C$7,D1811)),Assumptions!$D$7,"Other Services"))),"Other Services"))</f>
        <v/>
      </c>
    </row>
    <row r="1812" customFormat="false" ht="15" hidden="false" customHeight="false" outlineLevel="0" collapsed="false">
      <c r="J1812" s="41" t="str">
        <f aca="false">IF(D1812="","",IFERROR(IF(ISNUMBER(SEARCH(Assumptions!$C$5,D1812)),Assumptions!$D$5,IF(ISNUMBER(SEARCH(Assumptions!$C$6,D1812)),Assumptions!$D$6,IF(ISNUMBER(SEARCH(Assumptions!$C$7,D1812)),Assumptions!$D$7,"Other Services"))),"Other Services"))</f>
        <v/>
      </c>
    </row>
    <row r="1813" customFormat="false" ht="15" hidden="false" customHeight="false" outlineLevel="0" collapsed="false">
      <c r="J1813" s="41" t="str">
        <f aca="false">IF(D1813="","",IFERROR(IF(ISNUMBER(SEARCH(Assumptions!$C$5,D1813)),Assumptions!$D$5,IF(ISNUMBER(SEARCH(Assumptions!$C$6,D1813)),Assumptions!$D$6,IF(ISNUMBER(SEARCH(Assumptions!$C$7,D1813)),Assumptions!$D$7,"Other Services"))),"Other Services"))</f>
        <v/>
      </c>
    </row>
    <row r="1814" customFormat="false" ht="15" hidden="false" customHeight="false" outlineLevel="0" collapsed="false">
      <c r="J1814" s="41" t="str">
        <f aca="false">IF(D1814="","",IFERROR(IF(ISNUMBER(SEARCH(Assumptions!$C$5,D1814)),Assumptions!$D$5,IF(ISNUMBER(SEARCH(Assumptions!$C$6,D1814)),Assumptions!$D$6,IF(ISNUMBER(SEARCH(Assumptions!$C$7,D1814)),Assumptions!$D$7,"Other Services"))),"Other Services"))</f>
        <v/>
      </c>
    </row>
    <row r="1815" customFormat="false" ht="15" hidden="false" customHeight="false" outlineLevel="0" collapsed="false">
      <c r="J1815" s="41" t="str">
        <f aca="false">IF(D1815="","",IFERROR(IF(ISNUMBER(SEARCH(Assumptions!$C$5,D1815)),Assumptions!$D$5,IF(ISNUMBER(SEARCH(Assumptions!$C$6,D1815)),Assumptions!$D$6,IF(ISNUMBER(SEARCH(Assumptions!$C$7,D1815)),Assumptions!$D$7,"Other Services"))),"Other Services"))</f>
        <v/>
      </c>
    </row>
    <row r="1816" customFormat="false" ht="15" hidden="false" customHeight="false" outlineLevel="0" collapsed="false">
      <c r="J1816" s="41" t="str">
        <f aca="false">IF(D1816="","",IFERROR(IF(ISNUMBER(SEARCH(Assumptions!$C$5,D1816)),Assumptions!$D$5,IF(ISNUMBER(SEARCH(Assumptions!$C$6,D1816)),Assumptions!$D$6,IF(ISNUMBER(SEARCH(Assumptions!$C$7,D1816)),Assumptions!$D$7,"Other Services"))),"Other Services"))</f>
        <v/>
      </c>
    </row>
    <row r="1817" customFormat="false" ht="15" hidden="false" customHeight="false" outlineLevel="0" collapsed="false">
      <c r="J1817" s="41" t="str">
        <f aca="false">IF(D1817="","",IFERROR(IF(ISNUMBER(SEARCH(Assumptions!$C$5,D1817)),Assumptions!$D$5,IF(ISNUMBER(SEARCH(Assumptions!$C$6,D1817)),Assumptions!$D$6,IF(ISNUMBER(SEARCH(Assumptions!$C$7,D1817)),Assumptions!$D$7,"Other Services"))),"Other Services"))</f>
        <v/>
      </c>
    </row>
    <row r="1818" customFormat="false" ht="15" hidden="false" customHeight="false" outlineLevel="0" collapsed="false">
      <c r="J1818" s="41" t="str">
        <f aca="false">IF(D1818="","",IFERROR(IF(ISNUMBER(SEARCH(Assumptions!$C$5,D1818)),Assumptions!$D$5,IF(ISNUMBER(SEARCH(Assumptions!$C$6,D1818)),Assumptions!$D$6,IF(ISNUMBER(SEARCH(Assumptions!$C$7,D1818)),Assumptions!$D$7,"Other Services"))),"Other Services"))</f>
        <v/>
      </c>
    </row>
    <row r="1819" customFormat="false" ht="15" hidden="false" customHeight="false" outlineLevel="0" collapsed="false">
      <c r="J1819" s="41" t="str">
        <f aca="false">IF(D1819="","",IFERROR(IF(ISNUMBER(SEARCH(Assumptions!$C$5,D1819)),Assumptions!$D$5,IF(ISNUMBER(SEARCH(Assumptions!$C$6,D1819)),Assumptions!$D$6,IF(ISNUMBER(SEARCH(Assumptions!$C$7,D1819)),Assumptions!$D$7,"Other Services"))),"Other Services"))</f>
        <v/>
      </c>
    </row>
    <row r="1820" customFormat="false" ht="15" hidden="false" customHeight="false" outlineLevel="0" collapsed="false">
      <c r="J1820" s="41" t="str">
        <f aca="false">IF(D1820="","",IFERROR(IF(ISNUMBER(SEARCH(Assumptions!$C$5,D1820)),Assumptions!$D$5,IF(ISNUMBER(SEARCH(Assumptions!$C$6,D1820)),Assumptions!$D$6,IF(ISNUMBER(SEARCH(Assumptions!$C$7,D1820)),Assumptions!$D$7,"Other Services"))),"Other Services"))</f>
        <v/>
      </c>
    </row>
    <row r="1821" customFormat="false" ht="15" hidden="false" customHeight="false" outlineLevel="0" collapsed="false">
      <c r="J1821" s="41" t="str">
        <f aca="false">IF(D1821="","",IFERROR(IF(ISNUMBER(SEARCH(Assumptions!$C$5,D1821)),Assumptions!$D$5,IF(ISNUMBER(SEARCH(Assumptions!$C$6,D1821)),Assumptions!$D$6,IF(ISNUMBER(SEARCH(Assumptions!$C$7,D1821)),Assumptions!$D$7,"Other Services"))),"Other Services"))</f>
        <v/>
      </c>
    </row>
    <row r="1822" customFormat="false" ht="15" hidden="false" customHeight="false" outlineLevel="0" collapsed="false">
      <c r="J1822" s="41" t="str">
        <f aca="false">IF(D1822="","",IFERROR(IF(ISNUMBER(SEARCH(Assumptions!$C$5,D1822)),Assumptions!$D$5,IF(ISNUMBER(SEARCH(Assumptions!$C$6,D1822)),Assumptions!$D$6,IF(ISNUMBER(SEARCH(Assumptions!$C$7,D1822)),Assumptions!$D$7,"Other Services"))),"Other Services"))</f>
        <v/>
      </c>
    </row>
    <row r="1823" customFormat="false" ht="15" hidden="false" customHeight="false" outlineLevel="0" collapsed="false">
      <c r="J1823" s="41" t="str">
        <f aca="false">IF(D1823="","",IFERROR(IF(ISNUMBER(SEARCH(Assumptions!$C$5,D1823)),Assumptions!$D$5,IF(ISNUMBER(SEARCH(Assumptions!$C$6,D1823)),Assumptions!$D$6,IF(ISNUMBER(SEARCH(Assumptions!$C$7,D1823)),Assumptions!$D$7,"Other Services"))),"Other Services"))</f>
        <v/>
      </c>
    </row>
    <row r="1824" customFormat="false" ht="15" hidden="false" customHeight="false" outlineLevel="0" collapsed="false">
      <c r="J1824" s="41" t="str">
        <f aca="false">IF(D1824="","",IFERROR(IF(ISNUMBER(SEARCH(Assumptions!$C$5,D1824)),Assumptions!$D$5,IF(ISNUMBER(SEARCH(Assumptions!$C$6,D1824)),Assumptions!$D$6,IF(ISNUMBER(SEARCH(Assumptions!$C$7,D1824)),Assumptions!$D$7,"Other Services"))),"Other Services"))</f>
        <v/>
      </c>
    </row>
    <row r="1825" customFormat="false" ht="15" hidden="false" customHeight="false" outlineLevel="0" collapsed="false">
      <c r="J1825" s="41" t="str">
        <f aca="false">IF(D1825="","",IFERROR(IF(ISNUMBER(SEARCH(Assumptions!$C$5,D1825)),Assumptions!$D$5,IF(ISNUMBER(SEARCH(Assumptions!$C$6,D1825)),Assumptions!$D$6,IF(ISNUMBER(SEARCH(Assumptions!$C$7,D1825)),Assumptions!$D$7,"Other Services"))),"Other Services"))</f>
        <v/>
      </c>
    </row>
    <row r="1826" customFormat="false" ht="15" hidden="false" customHeight="false" outlineLevel="0" collapsed="false">
      <c r="J1826" s="41" t="str">
        <f aca="false">IF(D1826="","",IFERROR(IF(ISNUMBER(SEARCH(Assumptions!$C$5,D1826)),Assumptions!$D$5,IF(ISNUMBER(SEARCH(Assumptions!$C$6,D1826)),Assumptions!$D$6,IF(ISNUMBER(SEARCH(Assumptions!$C$7,D1826)),Assumptions!$D$7,"Other Services"))),"Other Services"))</f>
        <v/>
      </c>
    </row>
    <row r="1827" customFormat="false" ht="15" hidden="false" customHeight="false" outlineLevel="0" collapsed="false">
      <c r="J1827" s="41" t="str">
        <f aca="false">IF(D1827="","",IFERROR(IF(ISNUMBER(SEARCH(Assumptions!$C$5,D1827)),Assumptions!$D$5,IF(ISNUMBER(SEARCH(Assumptions!$C$6,D1827)),Assumptions!$D$6,IF(ISNUMBER(SEARCH(Assumptions!$C$7,D1827)),Assumptions!$D$7,"Other Services"))),"Other Services"))</f>
        <v/>
      </c>
    </row>
    <row r="1828" customFormat="false" ht="15" hidden="false" customHeight="false" outlineLevel="0" collapsed="false">
      <c r="J1828" s="41" t="str">
        <f aca="false">IF(D1828="","",IFERROR(IF(ISNUMBER(SEARCH(Assumptions!$C$5,D1828)),Assumptions!$D$5,IF(ISNUMBER(SEARCH(Assumptions!$C$6,D1828)),Assumptions!$D$6,IF(ISNUMBER(SEARCH(Assumptions!$C$7,D1828)),Assumptions!$D$7,"Other Services"))),"Other Services"))</f>
        <v/>
      </c>
    </row>
    <row r="1829" customFormat="false" ht="15" hidden="false" customHeight="false" outlineLevel="0" collapsed="false">
      <c r="J1829" s="41" t="str">
        <f aca="false">IF(D1829="","",IFERROR(IF(ISNUMBER(SEARCH(Assumptions!$C$5,D1829)),Assumptions!$D$5,IF(ISNUMBER(SEARCH(Assumptions!$C$6,D1829)),Assumptions!$D$6,IF(ISNUMBER(SEARCH(Assumptions!$C$7,D1829)),Assumptions!$D$7,"Other Services"))),"Other Services"))</f>
        <v/>
      </c>
    </row>
    <row r="1830" customFormat="false" ht="15" hidden="false" customHeight="false" outlineLevel="0" collapsed="false">
      <c r="J1830" s="41" t="str">
        <f aca="false">IF(D1830="","",IFERROR(IF(ISNUMBER(SEARCH(Assumptions!$C$5,D1830)),Assumptions!$D$5,IF(ISNUMBER(SEARCH(Assumptions!$C$6,D1830)),Assumptions!$D$6,IF(ISNUMBER(SEARCH(Assumptions!$C$7,D1830)),Assumptions!$D$7,"Other Services"))),"Other Services"))</f>
        <v/>
      </c>
    </row>
    <row r="1831" customFormat="false" ht="15" hidden="false" customHeight="false" outlineLevel="0" collapsed="false">
      <c r="J1831" s="41" t="str">
        <f aca="false">IF(D1831="","",IFERROR(IF(ISNUMBER(SEARCH(Assumptions!$C$5,D1831)),Assumptions!$D$5,IF(ISNUMBER(SEARCH(Assumptions!$C$6,D1831)),Assumptions!$D$6,IF(ISNUMBER(SEARCH(Assumptions!$C$7,D1831)),Assumptions!$D$7,"Other Services"))),"Other Services"))</f>
        <v/>
      </c>
    </row>
    <row r="1832" customFormat="false" ht="15" hidden="false" customHeight="false" outlineLevel="0" collapsed="false">
      <c r="J1832" s="41" t="str">
        <f aca="false">IF(D1832="","",IFERROR(IF(ISNUMBER(SEARCH(Assumptions!$C$5,D1832)),Assumptions!$D$5,IF(ISNUMBER(SEARCH(Assumptions!$C$6,D1832)),Assumptions!$D$6,IF(ISNUMBER(SEARCH(Assumptions!$C$7,D1832)),Assumptions!$D$7,"Other Services"))),"Other Services"))</f>
        <v/>
      </c>
    </row>
    <row r="1833" customFormat="false" ht="15" hidden="false" customHeight="false" outlineLevel="0" collapsed="false">
      <c r="J1833" s="41" t="str">
        <f aca="false">IF(D1833="","",IFERROR(IF(ISNUMBER(SEARCH(Assumptions!$C$5,D1833)),Assumptions!$D$5,IF(ISNUMBER(SEARCH(Assumptions!$C$6,D1833)),Assumptions!$D$6,IF(ISNUMBER(SEARCH(Assumptions!$C$7,D1833)),Assumptions!$D$7,"Other Services"))),"Other Services"))</f>
        <v/>
      </c>
    </row>
    <row r="1834" customFormat="false" ht="15" hidden="false" customHeight="false" outlineLevel="0" collapsed="false">
      <c r="J1834" s="41" t="str">
        <f aca="false">IF(D1834="","",IFERROR(IF(ISNUMBER(SEARCH(Assumptions!$C$5,D1834)),Assumptions!$D$5,IF(ISNUMBER(SEARCH(Assumptions!$C$6,D1834)),Assumptions!$D$6,IF(ISNUMBER(SEARCH(Assumptions!$C$7,D1834)),Assumptions!$D$7,"Other Services"))),"Other Services"))</f>
        <v/>
      </c>
    </row>
    <row r="1835" customFormat="false" ht="15" hidden="false" customHeight="false" outlineLevel="0" collapsed="false">
      <c r="J1835" s="41" t="str">
        <f aca="false">IF(D1835="","",IFERROR(IF(ISNUMBER(SEARCH(Assumptions!$C$5,D1835)),Assumptions!$D$5,IF(ISNUMBER(SEARCH(Assumptions!$C$6,D1835)),Assumptions!$D$6,IF(ISNUMBER(SEARCH(Assumptions!$C$7,D1835)),Assumptions!$D$7,"Other Services"))),"Other Services"))</f>
        <v/>
      </c>
    </row>
    <row r="1836" customFormat="false" ht="15" hidden="false" customHeight="false" outlineLevel="0" collapsed="false">
      <c r="J1836" s="41" t="str">
        <f aca="false">IF(D1836="","",IFERROR(IF(ISNUMBER(SEARCH(Assumptions!$C$5,D1836)),Assumptions!$D$5,IF(ISNUMBER(SEARCH(Assumptions!$C$6,D1836)),Assumptions!$D$6,IF(ISNUMBER(SEARCH(Assumptions!$C$7,D1836)),Assumptions!$D$7,"Other Services"))),"Other Services"))</f>
        <v/>
      </c>
    </row>
    <row r="1837" customFormat="false" ht="15" hidden="false" customHeight="false" outlineLevel="0" collapsed="false">
      <c r="J1837" s="41" t="str">
        <f aca="false">IF(D1837="","",IFERROR(IF(ISNUMBER(SEARCH(Assumptions!$C$5,D1837)),Assumptions!$D$5,IF(ISNUMBER(SEARCH(Assumptions!$C$6,D1837)),Assumptions!$D$6,IF(ISNUMBER(SEARCH(Assumptions!$C$7,D1837)),Assumptions!$D$7,"Other Services"))),"Other Services"))</f>
        <v/>
      </c>
    </row>
    <row r="1838" customFormat="false" ht="15" hidden="false" customHeight="false" outlineLevel="0" collapsed="false">
      <c r="J1838" s="41" t="str">
        <f aca="false">IF(D1838="","",IFERROR(IF(ISNUMBER(SEARCH(Assumptions!$C$5,D1838)),Assumptions!$D$5,IF(ISNUMBER(SEARCH(Assumptions!$C$6,D1838)),Assumptions!$D$6,IF(ISNUMBER(SEARCH(Assumptions!$C$7,D1838)),Assumptions!$D$7,"Other Services"))),"Other Services"))</f>
        <v/>
      </c>
    </row>
    <row r="1839" customFormat="false" ht="15" hidden="false" customHeight="false" outlineLevel="0" collapsed="false">
      <c r="J1839" s="41" t="str">
        <f aca="false">IF(D1839="","",IFERROR(IF(ISNUMBER(SEARCH(Assumptions!$C$5,D1839)),Assumptions!$D$5,IF(ISNUMBER(SEARCH(Assumptions!$C$6,D1839)),Assumptions!$D$6,IF(ISNUMBER(SEARCH(Assumptions!$C$7,D1839)),Assumptions!$D$7,"Other Services"))),"Other Services"))</f>
        <v/>
      </c>
    </row>
    <row r="1840" customFormat="false" ht="15" hidden="false" customHeight="false" outlineLevel="0" collapsed="false">
      <c r="J1840" s="41" t="str">
        <f aca="false">IF(D1840="","",IFERROR(IF(ISNUMBER(SEARCH(Assumptions!$C$5,D1840)),Assumptions!$D$5,IF(ISNUMBER(SEARCH(Assumptions!$C$6,D1840)),Assumptions!$D$6,IF(ISNUMBER(SEARCH(Assumptions!$C$7,D1840)),Assumptions!$D$7,"Other Services"))),"Other Services"))</f>
        <v/>
      </c>
    </row>
    <row r="1841" customFormat="false" ht="15" hidden="false" customHeight="false" outlineLevel="0" collapsed="false">
      <c r="J1841" s="41" t="str">
        <f aca="false">IF(D1841="","",IFERROR(IF(ISNUMBER(SEARCH(Assumptions!$C$5,D1841)),Assumptions!$D$5,IF(ISNUMBER(SEARCH(Assumptions!$C$6,D1841)),Assumptions!$D$6,IF(ISNUMBER(SEARCH(Assumptions!$C$7,D1841)),Assumptions!$D$7,"Other Services"))),"Other Services"))</f>
        <v/>
      </c>
    </row>
    <row r="1842" customFormat="false" ht="15" hidden="false" customHeight="false" outlineLevel="0" collapsed="false">
      <c r="J1842" s="41" t="str">
        <f aca="false">IF(D1842="","",IFERROR(IF(ISNUMBER(SEARCH(Assumptions!$C$5,D1842)),Assumptions!$D$5,IF(ISNUMBER(SEARCH(Assumptions!$C$6,D1842)),Assumptions!$D$6,IF(ISNUMBER(SEARCH(Assumptions!$C$7,D1842)),Assumptions!$D$7,"Other Services"))),"Other Services"))</f>
        <v/>
      </c>
    </row>
    <row r="1843" customFormat="false" ht="15" hidden="false" customHeight="false" outlineLevel="0" collapsed="false">
      <c r="J1843" s="41" t="str">
        <f aca="false">IF(D1843="","",IFERROR(IF(ISNUMBER(SEARCH(Assumptions!$C$5,D1843)),Assumptions!$D$5,IF(ISNUMBER(SEARCH(Assumptions!$C$6,D1843)),Assumptions!$D$6,IF(ISNUMBER(SEARCH(Assumptions!$C$7,D1843)),Assumptions!$D$7,"Other Services"))),"Other Services"))</f>
        <v/>
      </c>
    </row>
    <row r="1844" customFormat="false" ht="15" hidden="false" customHeight="false" outlineLevel="0" collapsed="false">
      <c r="J1844" s="41" t="str">
        <f aca="false">IF(D1844="","",IFERROR(IF(ISNUMBER(SEARCH(Assumptions!$C$5,D1844)),Assumptions!$D$5,IF(ISNUMBER(SEARCH(Assumptions!$C$6,D1844)),Assumptions!$D$6,IF(ISNUMBER(SEARCH(Assumptions!$C$7,D1844)),Assumptions!$D$7,"Other Services"))),"Other Services"))</f>
        <v/>
      </c>
    </row>
    <row r="1845" customFormat="false" ht="15" hidden="false" customHeight="false" outlineLevel="0" collapsed="false">
      <c r="J1845" s="41" t="str">
        <f aca="false">IF(D1845="","",IFERROR(IF(ISNUMBER(SEARCH(Assumptions!$C$5,D1845)),Assumptions!$D$5,IF(ISNUMBER(SEARCH(Assumptions!$C$6,D1845)),Assumptions!$D$6,IF(ISNUMBER(SEARCH(Assumptions!$C$7,D1845)),Assumptions!$D$7,"Other Services"))),"Other Services"))</f>
        <v/>
      </c>
    </row>
    <row r="1846" customFormat="false" ht="15" hidden="false" customHeight="false" outlineLevel="0" collapsed="false">
      <c r="J1846" s="41" t="str">
        <f aca="false">IF(D1846="","",IFERROR(IF(ISNUMBER(SEARCH(Assumptions!$C$5,D1846)),Assumptions!$D$5,IF(ISNUMBER(SEARCH(Assumptions!$C$6,D1846)),Assumptions!$D$6,IF(ISNUMBER(SEARCH(Assumptions!$C$7,D1846)),Assumptions!$D$7,"Other Services"))),"Other Services"))</f>
        <v/>
      </c>
    </row>
    <row r="1847" customFormat="false" ht="15" hidden="false" customHeight="false" outlineLevel="0" collapsed="false">
      <c r="J1847" s="41" t="str">
        <f aca="false">IF(D1847="","",IFERROR(IF(ISNUMBER(SEARCH(Assumptions!$C$5,D1847)),Assumptions!$D$5,IF(ISNUMBER(SEARCH(Assumptions!$C$6,D1847)),Assumptions!$D$6,IF(ISNUMBER(SEARCH(Assumptions!$C$7,D1847)),Assumptions!$D$7,"Other Services"))),"Other Services"))</f>
        <v/>
      </c>
    </row>
    <row r="1848" customFormat="false" ht="15" hidden="false" customHeight="false" outlineLevel="0" collapsed="false">
      <c r="J1848" s="41" t="str">
        <f aca="false">IF(D1848="","",IFERROR(IF(ISNUMBER(SEARCH(Assumptions!$C$5,D1848)),Assumptions!$D$5,IF(ISNUMBER(SEARCH(Assumptions!$C$6,D1848)),Assumptions!$D$6,IF(ISNUMBER(SEARCH(Assumptions!$C$7,D1848)),Assumptions!$D$7,"Other Services"))),"Other Services"))</f>
        <v/>
      </c>
    </row>
    <row r="1849" customFormat="false" ht="15" hidden="false" customHeight="false" outlineLevel="0" collapsed="false">
      <c r="J1849" s="41" t="str">
        <f aca="false">IF(D1849="","",IFERROR(IF(ISNUMBER(SEARCH(Assumptions!$C$5,D1849)),Assumptions!$D$5,IF(ISNUMBER(SEARCH(Assumptions!$C$6,D1849)),Assumptions!$D$6,IF(ISNUMBER(SEARCH(Assumptions!$C$7,D1849)),Assumptions!$D$7,"Other Services"))),"Other Services"))</f>
        <v/>
      </c>
    </row>
    <row r="1850" customFormat="false" ht="15" hidden="false" customHeight="false" outlineLevel="0" collapsed="false">
      <c r="J1850" s="41" t="str">
        <f aca="false">IF(D1850="","",IFERROR(IF(ISNUMBER(SEARCH(Assumptions!$C$5,D1850)),Assumptions!$D$5,IF(ISNUMBER(SEARCH(Assumptions!$C$6,D1850)),Assumptions!$D$6,IF(ISNUMBER(SEARCH(Assumptions!$C$7,D1850)),Assumptions!$D$7,"Other Services"))),"Other Services"))</f>
        <v/>
      </c>
    </row>
    <row r="1851" customFormat="false" ht="15" hidden="false" customHeight="false" outlineLevel="0" collapsed="false">
      <c r="J1851" s="41" t="str">
        <f aca="false">IF(D1851="","",IFERROR(IF(ISNUMBER(SEARCH(Assumptions!$C$5,D1851)),Assumptions!$D$5,IF(ISNUMBER(SEARCH(Assumptions!$C$6,D1851)),Assumptions!$D$6,IF(ISNUMBER(SEARCH(Assumptions!$C$7,D1851)),Assumptions!$D$7,"Other Services"))),"Other Services"))</f>
        <v/>
      </c>
    </row>
    <row r="1852" customFormat="false" ht="15" hidden="false" customHeight="false" outlineLevel="0" collapsed="false">
      <c r="J1852" s="41" t="str">
        <f aca="false">IF(D1852="","",IFERROR(IF(ISNUMBER(SEARCH(Assumptions!$C$5,D1852)),Assumptions!$D$5,IF(ISNUMBER(SEARCH(Assumptions!$C$6,D1852)),Assumptions!$D$6,IF(ISNUMBER(SEARCH(Assumptions!$C$7,D1852)),Assumptions!$D$7,"Other Services"))),"Other Services"))</f>
        <v/>
      </c>
    </row>
    <row r="1853" customFormat="false" ht="15" hidden="false" customHeight="false" outlineLevel="0" collapsed="false">
      <c r="J1853" s="41" t="str">
        <f aca="false">IF(D1853="","",IFERROR(IF(ISNUMBER(SEARCH(Assumptions!$C$5,D1853)),Assumptions!$D$5,IF(ISNUMBER(SEARCH(Assumptions!$C$6,D1853)),Assumptions!$D$6,IF(ISNUMBER(SEARCH(Assumptions!$C$7,D1853)),Assumptions!$D$7,"Other Services"))),"Other Services"))</f>
        <v/>
      </c>
    </row>
    <row r="1854" customFormat="false" ht="15" hidden="false" customHeight="false" outlineLevel="0" collapsed="false">
      <c r="J1854" s="41" t="str">
        <f aca="false">IF(D1854="","",IFERROR(IF(ISNUMBER(SEARCH(Assumptions!$C$5,D1854)),Assumptions!$D$5,IF(ISNUMBER(SEARCH(Assumptions!$C$6,D1854)),Assumptions!$D$6,IF(ISNUMBER(SEARCH(Assumptions!$C$7,D1854)),Assumptions!$D$7,"Other Services"))),"Other Services"))</f>
        <v/>
      </c>
    </row>
    <row r="1855" customFormat="false" ht="15" hidden="false" customHeight="false" outlineLevel="0" collapsed="false">
      <c r="J1855" s="41" t="str">
        <f aca="false">IF(D1855="","",IFERROR(IF(ISNUMBER(SEARCH(Assumptions!$C$5,D1855)),Assumptions!$D$5,IF(ISNUMBER(SEARCH(Assumptions!$C$6,D1855)),Assumptions!$D$6,IF(ISNUMBER(SEARCH(Assumptions!$C$7,D1855)),Assumptions!$D$7,"Other Services"))),"Other Services"))</f>
        <v/>
      </c>
    </row>
    <row r="1856" customFormat="false" ht="15" hidden="false" customHeight="false" outlineLevel="0" collapsed="false">
      <c r="J1856" s="41" t="str">
        <f aca="false">IF(D1856="","",IFERROR(IF(ISNUMBER(SEARCH(Assumptions!$C$5,D1856)),Assumptions!$D$5,IF(ISNUMBER(SEARCH(Assumptions!$C$6,D1856)),Assumptions!$D$6,IF(ISNUMBER(SEARCH(Assumptions!$C$7,D1856)),Assumptions!$D$7,"Other Services"))),"Other Services"))</f>
        <v/>
      </c>
    </row>
    <row r="1857" customFormat="false" ht="15" hidden="false" customHeight="false" outlineLevel="0" collapsed="false">
      <c r="J1857" s="41" t="str">
        <f aca="false">IF(D1857="","",IFERROR(IF(ISNUMBER(SEARCH(Assumptions!$C$5,D1857)),Assumptions!$D$5,IF(ISNUMBER(SEARCH(Assumptions!$C$6,D1857)),Assumptions!$D$6,IF(ISNUMBER(SEARCH(Assumptions!$C$7,D1857)),Assumptions!$D$7,"Other Services"))),"Other Services"))</f>
        <v/>
      </c>
    </row>
    <row r="1858" customFormat="false" ht="15" hidden="false" customHeight="false" outlineLevel="0" collapsed="false">
      <c r="J1858" s="41" t="str">
        <f aca="false">IF(D1858="","",IFERROR(IF(ISNUMBER(SEARCH(Assumptions!$C$5,D1858)),Assumptions!$D$5,IF(ISNUMBER(SEARCH(Assumptions!$C$6,D1858)),Assumptions!$D$6,IF(ISNUMBER(SEARCH(Assumptions!$C$7,D1858)),Assumptions!$D$7,"Other Services"))),"Other Services"))</f>
        <v/>
      </c>
    </row>
    <row r="1859" customFormat="false" ht="15" hidden="false" customHeight="false" outlineLevel="0" collapsed="false">
      <c r="J1859" s="41" t="str">
        <f aca="false">IF(D1859="","",IFERROR(IF(ISNUMBER(SEARCH(Assumptions!$C$5,D1859)),Assumptions!$D$5,IF(ISNUMBER(SEARCH(Assumptions!$C$6,D1859)),Assumptions!$D$6,IF(ISNUMBER(SEARCH(Assumptions!$C$7,D1859)),Assumptions!$D$7,"Other Services"))),"Other Services"))</f>
        <v/>
      </c>
    </row>
    <row r="1860" customFormat="false" ht="15" hidden="false" customHeight="false" outlineLevel="0" collapsed="false">
      <c r="J1860" s="41" t="str">
        <f aca="false">IF(D1860="","",IFERROR(IF(ISNUMBER(SEARCH(Assumptions!$C$5,D1860)),Assumptions!$D$5,IF(ISNUMBER(SEARCH(Assumptions!$C$6,D1860)),Assumptions!$D$6,IF(ISNUMBER(SEARCH(Assumptions!$C$7,D1860)),Assumptions!$D$7,"Other Services"))),"Other Services"))</f>
        <v/>
      </c>
    </row>
    <row r="1861" customFormat="false" ht="15" hidden="false" customHeight="false" outlineLevel="0" collapsed="false">
      <c r="J1861" s="41" t="str">
        <f aca="false">IF(D1861="","",IFERROR(IF(ISNUMBER(SEARCH(Assumptions!$C$5,D1861)),Assumptions!$D$5,IF(ISNUMBER(SEARCH(Assumptions!$C$6,D1861)),Assumptions!$D$6,IF(ISNUMBER(SEARCH(Assumptions!$C$7,D1861)),Assumptions!$D$7,"Other Services"))),"Other Services"))</f>
        <v/>
      </c>
    </row>
    <row r="1862" customFormat="false" ht="15" hidden="false" customHeight="false" outlineLevel="0" collapsed="false">
      <c r="J1862" s="41" t="str">
        <f aca="false">IF(D1862="","",IFERROR(IF(ISNUMBER(SEARCH(Assumptions!$C$5,D1862)),Assumptions!$D$5,IF(ISNUMBER(SEARCH(Assumptions!$C$6,D1862)),Assumptions!$D$6,IF(ISNUMBER(SEARCH(Assumptions!$C$7,D1862)),Assumptions!$D$7,"Other Services"))),"Other Services"))</f>
        <v/>
      </c>
    </row>
    <row r="1863" customFormat="false" ht="15" hidden="false" customHeight="false" outlineLevel="0" collapsed="false">
      <c r="J1863" s="41" t="str">
        <f aca="false">IF(D1863="","",IFERROR(IF(ISNUMBER(SEARCH(Assumptions!$C$5,D1863)),Assumptions!$D$5,IF(ISNUMBER(SEARCH(Assumptions!$C$6,D1863)),Assumptions!$D$6,IF(ISNUMBER(SEARCH(Assumptions!$C$7,D1863)),Assumptions!$D$7,"Other Services"))),"Other Services"))</f>
        <v/>
      </c>
    </row>
    <row r="1864" customFormat="false" ht="15" hidden="false" customHeight="false" outlineLevel="0" collapsed="false">
      <c r="J1864" s="41" t="str">
        <f aca="false">IF(D1864="","",IFERROR(IF(ISNUMBER(SEARCH(Assumptions!$C$5,D1864)),Assumptions!$D$5,IF(ISNUMBER(SEARCH(Assumptions!$C$6,D1864)),Assumptions!$D$6,IF(ISNUMBER(SEARCH(Assumptions!$C$7,D1864)),Assumptions!$D$7,"Other Services"))),"Other Services"))</f>
        <v/>
      </c>
    </row>
    <row r="1865" customFormat="false" ht="15" hidden="false" customHeight="false" outlineLevel="0" collapsed="false">
      <c r="J1865" s="41" t="str">
        <f aca="false">IF(D1865="","",IFERROR(IF(ISNUMBER(SEARCH(Assumptions!$C$5,D1865)),Assumptions!$D$5,IF(ISNUMBER(SEARCH(Assumptions!$C$6,D1865)),Assumptions!$D$6,IF(ISNUMBER(SEARCH(Assumptions!$C$7,D1865)),Assumptions!$D$7,"Other Services"))),"Other Services"))</f>
        <v/>
      </c>
    </row>
    <row r="1866" customFormat="false" ht="15" hidden="false" customHeight="false" outlineLevel="0" collapsed="false">
      <c r="J1866" s="41" t="str">
        <f aca="false">IF(D1866="","",IFERROR(IF(ISNUMBER(SEARCH(Assumptions!$C$5,D1866)),Assumptions!$D$5,IF(ISNUMBER(SEARCH(Assumptions!$C$6,D1866)),Assumptions!$D$6,IF(ISNUMBER(SEARCH(Assumptions!$C$7,D1866)),Assumptions!$D$7,"Other Services"))),"Other Services"))</f>
        <v/>
      </c>
    </row>
    <row r="1867" customFormat="false" ht="15" hidden="false" customHeight="false" outlineLevel="0" collapsed="false">
      <c r="J1867" s="41" t="str">
        <f aca="false">IF(D1867="","",IFERROR(IF(ISNUMBER(SEARCH(Assumptions!$C$5,D1867)),Assumptions!$D$5,IF(ISNUMBER(SEARCH(Assumptions!$C$6,D1867)),Assumptions!$D$6,IF(ISNUMBER(SEARCH(Assumptions!$C$7,D1867)),Assumptions!$D$7,"Other Services"))),"Other Services"))</f>
        <v/>
      </c>
    </row>
    <row r="1868" customFormat="false" ht="15" hidden="false" customHeight="false" outlineLevel="0" collapsed="false">
      <c r="J1868" s="41" t="str">
        <f aca="false">IF(D1868="","",IFERROR(IF(ISNUMBER(SEARCH(Assumptions!$C$5,D1868)),Assumptions!$D$5,IF(ISNUMBER(SEARCH(Assumptions!$C$6,D1868)),Assumptions!$D$6,IF(ISNUMBER(SEARCH(Assumptions!$C$7,D1868)),Assumptions!$D$7,"Other Services"))),"Other Services"))</f>
        <v/>
      </c>
    </row>
    <row r="1869" customFormat="false" ht="15" hidden="false" customHeight="false" outlineLevel="0" collapsed="false">
      <c r="J1869" s="41" t="str">
        <f aca="false">IF(D1869="","",IFERROR(IF(ISNUMBER(SEARCH(Assumptions!$C$5,D1869)),Assumptions!$D$5,IF(ISNUMBER(SEARCH(Assumptions!$C$6,D1869)),Assumptions!$D$6,IF(ISNUMBER(SEARCH(Assumptions!$C$7,D1869)),Assumptions!$D$7,"Other Services"))),"Other Services"))</f>
        <v/>
      </c>
    </row>
    <row r="1870" customFormat="false" ht="15" hidden="false" customHeight="false" outlineLevel="0" collapsed="false">
      <c r="J1870" s="41" t="str">
        <f aca="false">IF(D1870="","",IFERROR(IF(ISNUMBER(SEARCH(Assumptions!$C$5,D1870)),Assumptions!$D$5,IF(ISNUMBER(SEARCH(Assumptions!$C$6,D1870)),Assumptions!$D$6,IF(ISNUMBER(SEARCH(Assumptions!$C$7,D1870)),Assumptions!$D$7,"Other Services"))),"Other Services"))</f>
        <v/>
      </c>
    </row>
    <row r="1871" customFormat="false" ht="15" hidden="false" customHeight="false" outlineLevel="0" collapsed="false">
      <c r="J1871" s="41" t="str">
        <f aca="false">IF(D1871="","",IFERROR(IF(ISNUMBER(SEARCH(Assumptions!$C$5,D1871)),Assumptions!$D$5,IF(ISNUMBER(SEARCH(Assumptions!$C$6,D1871)),Assumptions!$D$6,IF(ISNUMBER(SEARCH(Assumptions!$C$7,D1871)),Assumptions!$D$7,"Other Services"))),"Other Services"))</f>
        <v/>
      </c>
    </row>
    <row r="1872" customFormat="false" ht="15" hidden="false" customHeight="false" outlineLevel="0" collapsed="false">
      <c r="J1872" s="41" t="str">
        <f aca="false">IF(D1872="","",IFERROR(IF(ISNUMBER(SEARCH(Assumptions!$C$5,D1872)),Assumptions!$D$5,IF(ISNUMBER(SEARCH(Assumptions!$C$6,D1872)),Assumptions!$D$6,IF(ISNUMBER(SEARCH(Assumptions!$C$7,D1872)),Assumptions!$D$7,"Other Services"))),"Other Services"))</f>
        <v/>
      </c>
    </row>
    <row r="1873" customFormat="false" ht="15" hidden="false" customHeight="false" outlineLevel="0" collapsed="false">
      <c r="J1873" s="41" t="str">
        <f aca="false">IF(D1873="","",IFERROR(IF(ISNUMBER(SEARCH(Assumptions!$C$5,D1873)),Assumptions!$D$5,IF(ISNUMBER(SEARCH(Assumptions!$C$6,D1873)),Assumptions!$D$6,IF(ISNUMBER(SEARCH(Assumptions!$C$7,D1873)),Assumptions!$D$7,"Other Services"))),"Other Services"))</f>
        <v/>
      </c>
    </row>
    <row r="1874" customFormat="false" ht="15" hidden="false" customHeight="false" outlineLevel="0" collapsed="false">
      <c r="J1874" s="41" t="str">
        <f aca="false">IF(D1874="","",IFERROR(IF(ISNUMBER(SEARCH(Assumptions!$C$5,D1874)),Assumptions!$D$5,IF(ISNUMBER(SEARCH(Assumptions!$C$6,D1874)),Assumptions!$D$6,IF(ISNUMBER(SEARCH(Assumptions!$C$7,D1874)),Assumptions!$D$7,"Other Services"))),"Other Services"))</f>
        <v/>
      </c>
    </row>
    <row r="1875" customFormat="false" ht="15" hidden="false" customHeight="false" outlineLevel="0" collapsed="false">
      <c r="J1875" s="41" t="str">
        <f aca="false">IF(D1875="","",IFERROR(IF(ISNUMBER(SEARCH(Assumptions!$C$5,D1875)),Assumptions!$D$5,IF(ISNUMBER(SEARCH(Assumptions!$C$6,D1875)),Assumptions!$D$6,IF(ISNUMBER(SEARCH(Assumptions!$C$7,D1875)),Assumptions!$D$7,"Other Services"))),"Other Services"))</f>
        <v/>
      </c>
    </row>
    <row r="1876" customFormat="false" ht="15" hidden="false" customHeight="false" outlineLevel="0" collapsed="false">
      <c r="J1876" s="41" t="str">
        <f aca="false">IF(D1876="","",IFERROR(IF(ISNUMBER(SEARCH(Assumptions!$C$5,D1876)),Assumptions!$D$5,IF(ISNUMBER(SEARCH(Assumptions!$C$6,D1876)),Assumptions!$D$6,IF(ISNUMBER(SEARCH(Assumptions!$C$7,D1876)),Assumptions!$D$7,"Other Services"))),"Other Services"))</f>
        <v/>
      </c>
    </row>
    <row r="1877" customFormat="false" ht="15" hidden="false" customHeight="false" outlineLevel="0" collapsed="false">
      <c r="J1877" s="41" t="str">
        <f aca="false">IF(D1877="","",IFERROR(IF(ISNUMBER(SEARCH(Assumptions!$C$5,D1877)),Assumptions!$D$5,IF(ISNUMBER(SEARCH(Assumptions!$C$6,D1877)),Assumptions!$D$6,IF(ISNUMBER(SEARCH(Assumptions!$C$7,D1877)),Assumptions!$D$7,"Other Services"))),"Other Services"))</f>
        <v/>
      </c>
    </row>
    <row r="1878" customFormat="false" ht="15" hidden="false" customHeight="false" outlineLevel="0" collapsed="false">
      <c r="J1878" s="41" t="str">
        <f aca="false">IF(D1878="","",IFERROR(IF(ISNUMBER(SEARCH(Assumptions!$C$5,D1878)),Assumptions!$D$5,IF(ISNUMBER(SEARCH(Assumptions!$C$6,D1878)),Assumptions!$D$6,IF(ISNUMBER(SEARCH(Assumptions!$C$7,D1878)),Assumptions!$D$7,"Other Services"))),"Other Services"))</f>
        <v/>
      </c>
    </row>
    <row r="1879" customFormat="false" ht="15" hidden="false" customHeight="false" outlineLevel="0" collapsed="false">
      <c r="J1879" s="41" t="str">
        <f aca="false">IF(D1879="","",IFERROR(IF(ISNUMBER(SEARCH(Assumptions!$C$5,D1879)),Assumptions!$D$5,IF(ISNUMBER(SEARCH(Assumptions!$C$6,D1879)),Assumptions!$D$6,IF(ISNUMBER(SEARCH(Assumptions!$C$7,D1879)),Assumptions!$D$7,"Other Services"))),"Other Services"))</f>
        <v/>
      </c>
    </row>
    <row r="1880" customFormat="false" ht="15" hidden="false" customHeight="false" outlineLevel="0" collapsed="false">
      <c r="J1880" s="41" t="str">
        <f aca="false">IF(D1880="","",IFERROR(IF(ISNUMBER(SEARCH(Assumptions!$C$5,D1880)),Assumptions!$D$5,IF(ISNUMBER(SEARCH(Assumptions!$C$6,D1880)),Assumptions!$D$6,IF(ISNUMBER(SEARCH(Assumptions!$C$7,D1880)),Assumptions!$D$7,"Other Services"))),"Other Services"))</f>
        <v/>
      </c>
    </row>
    <row r="1881" customFormat="false" ht="15" hidden="false" customHeight="false" outlineLevel="0" collapsed="false">
      <c r="J1881" s="41" t="str">
        <f aca="false">IF(D1881="","",IFERROR(IF(ISNUMBER(SEARCH(Assumptions!$C$5,D1881)),Assumptions!$D$5,IF(ISNUMBER(SEARCH(Assumptions!$C$6,D1881)),Assumptions!$D$6,IF(ISNUMBER(SEARCH(Assumptions!$C$7,D1881)),Assumptions!$D$7,"Other Services"))),"Other Services"))</f>
        <v/>
      </c>
    </row>
    <row r="1882" customFormat="false" ht="15" hidden="false" customHeight="false" outlineLevel="0" collapsed="false">
      <c r="J1882" s="41" t="str">
        <f aca="false">IF(D1882="","",IFERROR(IF(ISNUMBER(SEARCH(Assumptions!$C$5,D1882)),Assumptions!$D$5,IF(ISNUMBER(SEARCH(Assumptions!$C$6,D1882)),Assumptions!$D$6,IF(ISNUMBER(SEARCH(Assumptions!$C$7,D1882)),Assumptions!$D$7,"Other Services"))),"Other Services"))</f>
        <v/>
      </c>
    </row>
    <row r="1883" customFormat="false" ht="15" hidden="false" customHeight="false" outlineLevel="0" collapsed="false">
      <c r="J1883" s="41" t="str">
        <f aca="false">IF(D1883="","",IFERROR(IF(ISNUMBER(SEARCH(Assumptions!$C$5,D1883)),Assumptions!$D$5,IF(ISNUMBER(SEARCH(Assumptions!$C$6,D1883)),Assumptions!$D$6,IF(ISNUMBER(SEARCH(Assumptions!$C$7,D1883)),Assumptions!$D$7,"Other Services"))),"Other Services"))</f>
        <v/>
      </c>
    </row>
    <row r="1884" customFormat="false" ht="15" hidden="false" customHeight="false" outlineLevel="0" collapsed="false">
      <c r="J1884" s="41" t="str">
        <f aca="false">IF(D1884="","",IFERROR(IF(ISNUMBER(SEARCH(Assumptions!$C$5,D1884)),Assumptions!$D$5,IF(ISNUMBER(SEARCH(Assumptions!$C$6,D1884)),Assumptions!$D$6,IF(ISNUMBER(SEARCH(Assumptions!$C$7,D1884)),Assumptions!$D$7,"Other Services"))),"Other Services"))</f>
        <v/>
      </c>
    </row>
    <row r="1885" customFormat="false" ht="15" hidden="false" customHeight="false" outlineLevel="0" collapsed="false">
      <c r="J1885" s="41" t="str">
        <f aca="false">IF(D1885="","",IFERROR(IF(ISNUMBER(SEARCH(Assumptions!$C$5,D1885)),Assumptions!$D$5,IF(ISNUMBER(SEARCH(Assumptions!$C$6,D1885)),Assumptions!$D$6,IF(ISNUMBER(SEARCH(Assumptions!$C$7,D1885)),Assumptions!$D$7,"Other Services"))),"Other Services"))</f>
        <v/>
      </c>
    </row>
    <row r="1886" customFormat="false" ht="15" hidden="false" customHeight="false" outlineLevel="0" collapsed="false">
      <c r="J1886" s="41" t="str">
        <f aca="false">IF(D1886="","",IFERROR(IF(ISNUMBER(SEARCH(Assumptions!$C$5,D1886)),Assumptions!$D$5,IF(ISNUMBER(SEARCH(Assumptions!$C$6,D1886)),Assumptions!$D$6,IF(ISNUMBER(SEARCH(Assumptions!$C$7,D1886)),Assumptions!$D$7,"Other Services"))),"Other Services"))</f>
        <v/>
      </c>
    </row>
    <row r="1887" customFormat="false" ht="15" hidden="false" customHeight="false" outlineLevel="0" collapsed="false">
      <c r="J1887" s="41" t="str">
        <f aca="false">IF(D1887="","",IFERROR(IF(ISNUMBER(SEARCH(Assumptions!$C$5,D1887)),Assumptions!$D$5,IF(ISNUMBER(SEARCH(Assumptions!$C$6,D1887)),Assumptions!$D$6,IF(ISNUMBER(SEARCH(Assumptions!$C$7,D1887)),Assumptions!$D$7,"Other Services"))),"Other Services"))</f>
        <v/>
      </c>
    </row>
    <row r="1888" customFormat="false" ht="15" hidden="false" customHeight="false" outlineLevel="0" collapsed="false">
      <c r="J1888" s="41" t="str">
        <f aca="false">IF(D1888="","",IFERROR(IF(ISNUMBER(SEARCH(Assumptions!$C$5,D1888)),Assumptions!$D$5,IF(ISNUMBER(SEARCH(Assumptions!$C$6,D1888)),Assumptions!$D$6,IF(ISNUMBER(SEARCH(Assumptions!$C$7,D1888)),Assumptions!$D$7,"Other Services"))),"Other Services"))</f>
        <v/>
      </c>
    </row>
    <row r="1889" customFormat="false" ht="15" hidden="false" customHeight="false" outlineLevel="0" collapsed="false">
      <c r="J1889" s="41" t="str">
        <f aca="false">IF(D1889="","",IFERROR(IF(ISNUMBER(SEARCH(Assumptions!$C$5,D1889)),Assumptions!$D$5,IF(ISNUMBER(SEARCH(Assumptions!$C$6,D1889)),Assumptions!$D$6,IF(ISNUMBER(SEARCH(Assumptions!$C$7,D1889)),Assumptions!$D$7,"Other Services"))),"Other Services"))</f>
        <v/>
      </c>
    </row>
    <row r="1890" customFormat="false" ht="15" hidden="false" customHeight="false" outlineLevel="0" collapsed="false">
      <c r="J1890" s="41" t="str">
        <f aca="false">IF(D1890="","",IFERROR(IF(ISNUMBER(SEARCH(Assumptions!$C$5,D1890)),Assumptions!$D$5,IF(ISNUMBER(SEARCH(Assumptions!$C$6,D1890)),Assumptions!$D$6,IF(ISNUMBER(SEARCH(Assumptions!$C$7,D1890)),Assumptions!$D$7,"Other Services"))),"Other Services"))</f>
        <v/>
      </c>
    </row>
    <row r="1891" customFormat="false" ht="15" hidden="false" customHeight="false" outlineLevel="0" collapsed="false">
      <c r="J1891" s="41" t="str">
        <f aca="false">IF(D1891="","",IFERROR(IF(ISNUMBER(SEARCH(Assumptions!$C$5,D1891)),Assumptions!$D$5,IF(ISNUMBER(SEARCH(Assumptions!$C$6,D1891)),Assumptions!$D$6,IF(ISNUMBER(SEARCH(Assumptions!$C$7,D1891)),Assumptions!$D$7,"Other Services"))),"Other Services"))</f>
        <v/>
      </c>
    </row>
    <row r="1892" customFormat="false" ht="15" hidden="false" customHeight="false" outlineLevel="0" collapsed="false">
      <c r="J1892" s="41" t="str">
        <f aca="false">IF(D1892="","",IFERROR(IF(ISNUMBER(SEARCH(Assumptions!$C$5,D1892)),Assumptions!$D$5,IF(ISNUMBER(SEARCH(Assumptions!$C$6,D1892)),Assumptions!$D$6,IF(ISNUMBER(SEARCH(Assumptions!$C$7,D1892)),Assumptions!$D$7,"Other Services"))),"Other Services"))</f>
        <v/>
      </c>
    </row>
    <row r="1893" customFormat="false" ht="15" hidden="false" customHeight="false" outlineLevel="0" collapsed="false">
      <c r="J1893" s="41" t="str">
        <f aca="false">IF(D1893="","",IFERROR(IF(ISNUMBER(SEARCH(Assumptions!$C$5,D1893)),Assumptions!$D$5,IF(ISNUMBER(SEARCH(Assumptions!$C$6,D1893)),Assumptions!$D$6,IF(ISNUMBER(SEARCH(Assumptions!$C$7,D1893)),Assumptions!$D$7,"Other Services"))),"Other Services"))</f>
        <v/>
      </c>
    </row>
    <row r="1894" customFormat="false" ht="15" hidden="false" customHeight="false" outlineLevel="0" collapsed="false">
      <c r="J1894" s="41" t="str">
        <f aca="false">IF(D1894="","",IFERROR(IF(ISNUMBER(SEARCH(Assumptions!$C$5,D1894)),Assumptions!$D$5,IF(ISNUMBER(SEARCH(Assumptions!$C$6,D1894)),Assumptions!$D$6,IF(ISNUMBER(SEARCH(Assumptions!$C$7,D1894)),Assumptions!$D$7,"Other Services"))),"Other Services"))</f>
        <v/>
      </c>
    </row>
    <row r="1895" customFormat="false" ht="15" hidden="false" customHeight="false" outlineLevel="0" collapsed="false">
      <c r="J1895" s="41" t="str">
        <f aca="false">IF(D1895="","",IFERROR(IF(ISNUMBER(SEARCH(Assumptions!$C$5,D1895)),Assumptions!$D$5,IF(ISNUMBER(SEARCH(Assumptions!$C$6,D1895)),Assumptions!$D$6,IF(ISNUMBER(SEARCH(Assumptions!$C$7,D1895)),Assumptions!$D$7,"Other Services"))),"Other Services"))</f>
        <v/>
      </c>
    </row>
    <row r="1896" customFormat="false" ht="15" hidden="false" customHeight="false" outlineLevel="0" collapsed="false">
      <c r="J1896" s="41" t="str">
        <f aca="false">IF(D1896="","",IFERROR(IF(ISNUMBER(SEARCH(Assumptions!$C$5,D1896)),Assumptions!$D$5,IF(ISNUMBER(SEARCH(Assumptions!$C$6,D1896)),Assumptions!$D$6,IF(ISNUMBER(SEARCH(Assumptions!$C$7,D1896)),Assumptions!$D$7,"Other Services"))),"Other Services"))</f>
        <v/>
      </c>
    </row>
    <row r="1897" customFormat="false" ht="15" hidden="false" customHeight="false" outlineLevel="0" collapsed="false">
      <c r="J1897" s="41" t="str">
        <f aca="false">IF(D1897="","",IFERROR(IF(ISNUMBER(SEARCH(Assumptions!$C$5,D1897)),Assumptions!$D$5,IF(ISNUMBER(SEARCH(Assumptions!$C$6,D1897)),Assumptions!$D$6,IF(ISNUMBER(SEARCH(Assumptions!$C$7,D1897)),Assumptions!$D$7,"Other Services"))),"Other Services"))</f>
        <v/>
      </c>
    </row>
    <row r="1898" customFormat="false" ht="15" hidden="false" customHeight="false" outlineLevel="0" collapsed="false">
      <c r="J1898" s="41" t="str">
        <f aca="false">IF(D1898="","",IFERROR(IF(ISNUMBER(SEARCH(Assumptions!$C$5,D1898)),Assumptions!$D$5,IF(ISNUMBER(SEARCH(Assumptions!$C$6,D1898)),Assumptions!$D$6,IF(ISNUMBER(SEARCH(Assumptions!$C$7,D1898)),Assumptions!$D$7,"Other Services"))),"Other Services"))</f>
        <v/>
      </c>
    </row>
    <row r="1899" customFormat="false" ht="15" hidden="false" customHeight="false" outlineLevel="0" collapsed="false">
      <c r="J1899" s="41" t="str">
        <f aca="false">IF(D1899="","",IFERROR(IF(ISNUMBER(SEARCH(Assumptions!$C$5,D1899)),Assumptions!$D$5,IF(ISNUMBER(SEARCH(Assumptions!$C$6,D1899)),Assumptions!$D$6,IF(ISNUMBER(SEARCH(Assumptions!$C$7,D1899)),Assumptions!$D$7,"Other Services"))),"Other Services"))</f>
        <v/>
      </c>
    </row>
    <row r="1900" customFormat="false" ht="15" hidden="false" customHeight="false" outlineLevel="0" collapsed="false">
      <c r="J1900" s="41" t="str">
        <f aca="false">IF(D1900="","",IFERROR(IF(ISNUMBER(SEARCH(Assumptions!$C$5,D1900)),Assumptions!$D$5,IF(ISNUMBER(SEARCH(Assumptions!$C$6,D1900)),Assumptions!$D$6,IF(ISNUMBER(SEARCH(Assumptions!$C$7,D1900)),Assumptions!$D$7,"Other Services"))),"Other Services"))</f>
        <v/>
      </c>
    </row>
    <row r="1901" customFormat="false" ht="15" hidden="false" customHeight="false" outlineLevel="0" collapsed="false">
      <c r="J1901" s="41" t="str">
        <f aca="false">IF(D1901="","",IFERROR(IF(ISNUMBER(SEARCH(Assumptions!$C$5,D1901)),Assumptions!$D$5,IF(ISNUMBER(SEARCH(Assumptions!$C$6,D1901)),Assumptions!$D$6,IF(ISNUMBER(SEARCH(Assumptions!$C$7,D1901)),Assumptions!$D$7,"Other Services"))),"Other Services"))</f>
        <v/>
      </c>
    </row>
    <row r="1902" customFormat="false" ht="15" hidden="false" customHeight="false" outlineLevel="0" collapsed="false">
      <c r="J1902" s="41" t="str">
        <f aca="false">IF(D1902="","",IFERROR(IF(ISNUMBER(SEARCH(Assumptions!$C$5,D1902)),Assumptions!$D$5,IF(ISNUMBER(SEARCH(Assumptions!$C$6,D1902)),Assumptions!$D$6,IF(ISNUMBER(SEARCH(Assumptions!$C$7,D1902)),Assumptions!$D$7,"Other Services"))),"Other Services"))</f>
        <v/>
      </c>
    </row>
    <row r="1903" customFormat="false" ht="15" hidden="false" customHeight="false" outlineLevel="0" collapsed="false">
      <c r="J1903" s="41" t="str">
        <f aca="false">IF(D1903="","",IFERROR(IF(ISNUMBER(SEARCH(Assumptions!$C$5,D1903)),Assumptions!$D$5,IF(ISNUMBER(SEARCH(Assumptions!$C$6,D1903)),Assumptions!$D$6,IF(ISNUMBER(SEARCH(Assumptions!$C$7,D1903)),Assumptions!$D$7,"Other Services"))),"Other Services"))</f>
        <v/>
      </c>
    </row>
    <row r="1904" customFormat="false" ht="15" hidden="false" customHeight="false" outlineLevel="0" collapsed="false">
      <c r="J1904" s="41" t="str">
        <f aca="false">IF(D1904="","",IFERROR(IF(ISNUMBER(SEARCH(Assumptions!$C$5,D1904)),Assumptions!$D$5,IF(ISNUMBER(SEARCH(Assumptions!$C$6,D1904)),Assumptions!$D$6,IF(ISNUMBER(SEARCH(Assumptions!$C$7,D1904)),Assumptions!$D$7,"Other Services"))),"Other Services"))</f>
        <v/>
      </c>
    </row>
    <row r="1905" customFormat="false" ht="15" hidden="false" customHeight="false" outlineLevel="0" collapsed="false">
      <c r="J1905" s="41" t="str">
        <f aca="false">IF(D1905="","",IFERROR(IF(ISNUMBER(SEARCH(Assumptions!$C$5,D1905)),Assumptions!$D$5,IF(ISNUMBER(SEARCH(Assumptions!$C$6,D1905)),Assumptions!$D$6,IF(ISNUMBER(SEARCH(Assumptions!$C$7,D1905)),Assumptions!$D$7,"Other Services"))),"Other Services"))</f>
        <v/>
      </c>
    </row>
    <row r="1906" customFormat="false" ht="15" hidden="false" customHeight="false" outlineLevel="0" collapsed="false">
      <c r="J1906" s="41" t="str">
        <f aca="false">IF(D1906="","",IFERROR(IF(ISNUMBER(SEARCH(Assumptions!$C$5,D1906)),Assumptions!$D$5,IF(ISNUMBER(SEARCH(Assumptions!$C$6,D1906)),Assumptions!$D$6,IF(ISNUMBER(SEARCH(Assumptions!$C$7,D1906)),Assumptions!$D$7,"Other Services"))),"Other Services"))</f>
        <v/>
      </c>
    </row>
    <row r="1907" customFormat="false" ht="15" hidden="false" customHeight="false" outlineLevel="0" collapsed="false">
      <c r="J1907" s="41" t="str">
        <f aca="false">IF(D1907="","",IFERROR(IF(ISNUMBER(SEARCH(Assumptions!$C$5,D1907)),Assumptions!$D$5,IF(ISNUMBER(SEARCH(Assumptions!$C$6,D1907)),Assumptions!$D$6,IF(ISNUMBER(SEARCH(Assumptions!$C$7,D1907)),Assumptions!$D$7,"Other Services"))),"Other Services"))</f>
        <v/>
      </c>
    </row>
    <row r="1908" customFormat="false" ht="15" hidden="false" customHeight="false" outlineLevel="0" collapsed="false">
      <c r="J1908" s="41" t="str">
        <f aca="false">IF(D1908="","",IFERROR(IF(ISNUMBER(SEARCH(Assumptions!$C$5,D1908)),Assumptions!$D$5,IF(ISNUMBER(SEARCH(Assumptions!$C$6,D1908)),Assumptions!$D$6,IF(ISNUMBER(SEARCH(Assumptions!$C$7,D1908)),Assumptions!$D$7,"Other Services"))),"Other Services"))</f>
        <v/>
      </c>
    </row>
    <row r="1909" customFormat="false" ht="15" hidden="false" customHeight="false" outlineLevel="0" collapsed="false">
      <c r="J1909" s="41" t="str">
        <f aca="false">IF(D1909="","",IFERROR(IF(ISNUMBER(SEARCH(Assumptions!$C$5,D1909)),Assumptions!$D$5,IF(ISNUMBER(SEARCH(Assumptions!$C$6,D1909)),Assumptions!$D$6,IF(ISNUMBER(SEARCH(Assumptions!$C$7,D1909)),Assumptions!$D$7,"Other Services"))),"Other Services"))</f>
        <v/>
      </c>
    </row>
    <row r="1910" customFormat="false" ht="15" hidden="false" customHeight="false" outlineLevel="0" collapsed="false">
      <c r="J1910" s="41" t="str">
        <f aca="false">IF(D1910="","",IFERROR(IF(ISNUMBER(SEARCH(Assumptions!$C$5,D1910)),Assumptions!$D$5,IF(ISNUMBER(SEARCH(Assumptions!$C$6,D1910)),Assumptions!$D$6,IF(ISNUMBER(SEARCH(Assumptions!$C$7,D1910)),Assumptions!$D$7,"Other Services"))),"Other Services"))</f>
        <v/>
      </c>
    </row>
    <row r="1911" customFormat="false" ht="15" hidden="false" customHeight="false" outlineLevel="0" collapsed="false">
      <c r="J1911" s="41" t="str">
        <f aca="false">IF(D1911="","",IFERROR(IF(ISNUMBER(SEARCH(Assumptions!$C$5,D1911)),Assumptions!$D$5,IF(ISNUMBER(SEARCH(Assumptions!$C$6,D1911)),Assumptions!$D$6,IF(ISNUMBER(SEARCH(Assumptions!$C$7,D1911)),Assumptions!$D$7,"Other Services"))),"Other Services"))</f>
        <v/>
      </c>
    </row>
    <row r="1912" customFormat="false" ht="15" hidden="false" customHeight="false" outlineLevel="0" collapsed="false">
      <c r="J1912" s="41" t="str">
        <f aca="false">IF(D1912="","",IFERROR(IF(ISNUMBER(SEARCH(Assumptions!$C$5,D1912)),Assumptions!$D$5,IF(ISNUMBER(SEARCH(Assumptions!$C$6,D1912)),Assumptions!$D$6,IF(ISNUMBER(SEARCH(Assumptions!$C$7,D1912)),Assumptions!$D$7,"Other Services"))),"Other Services"))</f>
        <v/>
      </c>
    </row>
    <row r="1913" customFormat="false" ht="15" hidden="false" customHeight="false" outlineLevel="0" collapsed="false">
      <c r="J1913" s="41" t="str">
        <f aca="false">IF(D1913="","",IFERROR(IF(ISNUMBER(SEARCH(Assumptions!$C$5,D1913)),Assumptions!$D$5,IF(ISNUMBER(SEARCH(Assumptions!$C$6,D1913)),Assumptions!$D$6,IF(ISNUMBER(SEARCH(Assumptions!$C$7,D1913)),Assumptions!$D$7,"Other Services"))),"Other Services"))</f>
        <v/>
      </c>
    </row>
    <row r="1914" customFormat="false" ht="15" hidden="false" customHeight="false" outlineLevel="0" collapsed="false">
      <c r="J1914" s="41" t="str">
        <f aca="false">IF(D1914="","",IFERROR(IF(ISNUMBER(SEARCH(Assumptions!$C$5,D1914)),Assumptions!$D$5,IF(ISNUMBER(SEARCH(Assumptions!$C$6,D1914)),Assumptions!$D$6,IF(ISNUMBER(SEARCH(Assumptions!$C$7,D1914)),Assumptions!$D$7,"Other Services"))),"Other Services"))</f>
        <v/>
      </c>
    </row>
    <row r="1915" customFormat="false" ht="15" hidden="false" customHeight="false" outlineLevel="0" collapsed="false">
      <c r="J1915" s="41" t="str">
        <f aca="false">IF(D1915="","",IFERROR(IF(ISNUMBER(SEARCH(Assumptions!$C$5,D1915)),Assumptions!$D$5,IF(ISNUMBER(SEARCH(Assumptions!$C$6,D1915)),Assumptions!$D$6,IF(ISNUMBER(SEARCH(Assumptions!$C$7,D1915)),Assumptions!$D$7,"Other Services"))),"Other Services"))</f>
        <v/>
      </c>
    </row>
    <row r="1916" customFormat="false" ht="15" hidden="false" customHeight="false" outlineLevel="0" collapsed="false">
      <c r="J1916" s="41" t="str">
        <f aca="false">IF(D1916="","",IFERROR(IF(ISNUMBER(SEARCH(Assumptions!$C$5,D1916)),Assumptions!$D$5,IF(ISNUMBER(SEARCH(Assumptions!$C$6,D1916)),Assumptions!$D$6,IF(ISNUMBER(SEARCH(Assumptions!$C$7,D1916)),Assumptions!$D$7,"Other Services"))),"Other Services"))</f>
        <v/>
      </c>
    </row>
    <row r="1917" customFormat="false" ht="15" hidden="false" customHeight="false" outlineLevel="0" collapsed="false">
      <c r="J1917" s="41" t="str">
        <f aca="false">IF(D1917="","",IFERROR(IF(ISNUMBER(SEARCH(Assumptions!$C$5,D1917)),Assumptions!$D$5,IF(ISNUMBER(SEARCH(Assumptions!$C$6,D1917)),Assumptions!$D$6,IF(ISNUMBER(SEARCH(Assumptions!$C$7,D1917)),Assumptions!$D$7,"Other Services"))),"Other Services"))</f>
        <v/>
      </c>
    </row>
    <row r="1918" customFormat="false" ht="15" hidden="false" customHeight="false" outlineLevel="0" collapsed="false">
      <c r="J1918" s="41" t="str">
        <f aca="false">IF(D1918="","",IFERROR(IF(ISNUMBER(SEARCH(Assumptions!$C$5,D1918)),Assumptions!$D$5,IF(ISNUMBER(SEARCH(Assumptions!$C$6,D1918)),Assumptions!$D$6,IF(ISNUMBER(SEARCH(Assumptions!$C$7,D1918)),Assumptions!$D$7,"Other Services"))),"Other Services"))</f>
        <v/>
      </c>
    </row>
    <row r="1919" customFormat="false" ht="15" hidden="false" customHeight="false" outlineLevel="0" collapsed="false">
      <c r="J1919" s="41" t="str">
        <f aca="false">IF(D1919="","",IFERROR(IF(ISNUMBER(SEARCH(Assumptions!$C$5,D1919)),Assumptions!$D$5,IF(ISNUMBER(SEARCH(Assumptions!$C$6,D1919)),Assumptions!$D$6,IF(ISNUMBER(SEARCH(Assumptions!$C$7,D1919)),Assumptions!$D$7,"Other Services"))),"Other Services"))</f>
        <v/>
      </c>
    </row>
    <row r="1920" customFormat="false" ht="15" hidden="false" customHeight="false" outlineLevel="0" collapsed="false">
      <c r="J1920" s="41" t="str">
        <f aca="false">IF(D1920="","",IFERROR(IF(ISNUMBER(SEARCH(Assumptions!$C$5,D1920)),Assumptions!$D$5,IF(ISNUMBER(SEARCH(Assumptions!$C$6,D1920)),Assumptions!$D$6,IF(ISNUMBER(SEARCH(Assumptions!$C$7,D1920)),Assumptions!$D$7,"Other Services"))),"Other Services"))</f>
        <v/>
      </c>
    </row>
    <row r="1921" customFormat="false" ht="15" hidden="false" customHeight="false" outlineLevel="0" collapsed="false">
      <c r="J1921" s="41" t="str">
        <f aca="false">IF(D1921="","",IFERROR(IF(ISNUMBER(SEARCH(Assumptions!$C$5,D1921)),Assumptions!$D$5,IF(ISNUMBER(SEARCH(Assumptions!$C$6,D1921)),Assumptions!$D$6,IF(ISNUMBER(SEARCH(Assumptions!$C$7,D1921)),Assumptions!$D$7,"Other Services"))),"Other Services"))</f>
        <v/>
      </c>
    </row>
    <row r="1922" customFormat="false" ht="15" hidden="false" customHeight="false" outlineLevel="0" collapsed="false">
      <c r="J1922" s="41" t="str">
        <f aca="false">IF(D1922="","",IFERROR(IF(ISNUMBER(SEARCH(Assumptions!$C$5,D1922)),Assumptions!$D$5,IF(ISNUMBER(SEARCH(Assumptions!$C$6,D1922)),Assumptions!$D$6,IF(ISNUMBER(SEARCH(Assumptions!$C$7,D1922)),Assumptions!$D$7,"Other Services"))),"Other Services"))</f>
        <v/>
      </c>
    </row>
    <row r="1923" customFormat="false" ht="15" hidden="false" customHeight="false" outlineLevel="0" collapsed="false">
      <c r="J1923" s="41" t="str">
        <f aca="false">IF(D1923="","",IFERROR(IF(ISNUMBER(SEARCH(Assumptions!$C$5,D1923)),Assumptions!$D$5,IF(ISNUMBER(SEARCH(Assumptions!$C$6,D1923)),Assumptions!$D$6,IF(ISNUMBER(SEARCH(Assumptions!$C$7,D1923)),Assumptions!$D$7,"Other Services"))),"Other Services"))</f>
        <v/>
      </c>
    </row>
    <row r="1924" customFormat="false" ht="15" hidden="false" customHeight="false" outlineLevel="0" collapsed="false">
      <c r="J1924" s="41" t="str">
        <f aca="false">IF(D1924="","",IFERROR(IF(ISNUMBER(SEARCH(Assumptions!$C$5,D1924)),Assumptions!$D$5,IF(ISNUMBER(SEARCH(Assumptions!$C$6,D1924)),Assumptions!$D$6,IF(ISNUMBER(SEARCH(Assumptions!$C$7,D1924)),Assumptions!$D$7,"Other Services"))),"Other Services"))</f>
        <v/>
      </c>
    </row>
    <row r="1925" customFormat="false" ht="15" hidden="false" customHeight="false" outlineLevel="0" collapsed="false">
      <c r="J1925" s="41" t="str">
        <f aca="false">IF(D1925="","",IFERROR(IF(ISNUMBER(SEARCH(Assumptions!$C$5,D1925)),Assumptions!$D$5,IF(ISNUMBER(SEARCH(Assumptions!$C$6,D1925)),Assumptions!$D$6,IF(ISNUMBER(SEARCH(Assumptions!$C$7,D1925)),Assumptions!$D$7,"Other Services"))),"Other Services"))</f>
        <v/>
      </c>
    </row>
    <row r="1926" customFormat="false" ht="15" hidden="false" customHeight="false" outlineLevel="0" collapsed="false">
      <c r="J1926" s="41" t="str">
        <f aca="false">IF(D1926="","",IFERROR(IF(ISNUMBER(SEARCH(Assumptions!$C$5,D1926)),Assumptions!$D$5,IF(ISNUMBER(SEARCH(Assumptions!$C$6,D1926)),Assumptions!$D$6,IF(ISNUMBER(SEARCH(Assumptions!$C$7,D1926)),Assumptions!$D$7,"Other Services"))),"Other Services"))</f>
        <v/>
      </c>
    </row>
    <row r="1927" customFormat="false" ht="15" hidden="false" customHeight="false" outlineLevel="0" collapsed="false">
      <c r="J1927" s="41" t="str">
        <f aca="false">IF(D1927="","",IFERROR(IF(ISNUMBER(SEARCH(Assumptions!$C$5,D1927)),Assumptions!$D$5,IF(ISNUMBER(SEARCH(Assumptions!$C$6,D1927)),Assumptions!$D$6,IF(ISNUMBER(SEARCH(Assumptions!$C$7,D1927)),Assumptions!$D$7,"Other Services"))),"Other Services"))</f>
        <v/>
      </c>
    </row>
    <row r="1928" customFormat="false" ht="15" hidden="false" customHeight="false" outlineLevel="0" collapsed="false">
      <c r="J1928" s="41" t="str">
        <f aca="false">IF(D1928="","",IFERROR(IF(ISNUMBER(SEARCH(Assumptions!$C$5,D1928)),Assumptions!$D$5,IF(ISNUMBER(SEARCH(Assumptions!$C$6,D1928)),Assumptions!$D$6,IF(ISNUMBER(SEARCH(Assumptions!$C$7,D1928)),Assumptions!$D$7,"Other Services"))),"Other Services"))</f>
        <v/>
      </c>
    </row>
    <row r="1929" customFormat="false" ht="15" hidden="false" customHeight="false" outlineLevel="0" collapsed="false">
      <c r="J1929" s="41" t="str">
        <f aca="false">IF(D1929="","",IFERROR(IF(ISNUMBER(SEARCH(Assumptions!$C$5,D1929)),Assumptions!$D$5,IF(ISNUMBER(SEARCH(Assumptions!$C$6,D1929)),Assumptions!$D$6,IF(ISNUMBER(SEARCH(Assumptions!$C$7,D1929)),Assumptions!$D$7,"Other Services"))),"Other Services"))</f>
        <v/>
      </c>
    </row>
    <row r="1930" customFormat="false" ht="15" hidden="false" customHeight="false" outlineLevel="0" collapsed="false">
      <c r="J1930" s="41" t="str">
        <f aca="false">IF(D1930="","",IFERROR(IF(ISNUMBER(SEARCH(Assumptions!$C$5,D1930)),Assumptions!$D$5,IF(ISNUMBER(SEARCH(Assumptions!$C$6,D1930)),Assumptions!$D$6,IF(ISNUMBER(SEARCH(Assumptions!$C$7,D1930)),Assumptions!$D$7,"Other Services"))),"Other Services"))</f>
        <v/>
      </c>
    </row>
    <row r="1931" customFormat="false" ht="15" hidden="false" customHeight="false" outlineLevel="0" collapsed="false">
      <c r="J1931" s="41" t="str">
        <f aca="false">IF(D1931="","",IFERROR(IF(ISNUMBER(SEARCH(Assumptions!$C$5,D1931)),Assumptions!$D$5,IF(ISNUMBER(SEARCH(Assumptions!$C$6,D1931)),Assumptions!$D$6,IF(ISNUMBER(SEARCH(Assumptions!$C$7,D1931)),Assumptions!$D$7,"Other Services"))),"Other Services"))</f>
        <v/>
      </c>
    </row>
    <row r="1932" customFormat="false" ht="15" hidden="false" customHeight="false" outlineLevel="0" collapsed="false">
      <c r="J1932" s="41" t="str">
        <f aca="false">IF(D1932="","",IFERROR(IF(ISNUMBER(SEARCH(Assumptions!$C$5,D1932)),Assumptions!$D$5,IF(ISNUMBER(SEARCH(Assumptions!$C$6,D1932)),Assumptions!$D$6,IF(ISNUMBER(SEARCH(Assumptions!$C$7,D1932)),Assumptions!$D$7,"Other Services"))),"Other Services"))</f>
        <v/>
      </c>
    </row>
    <row r="1933" customFormat="false" ht="15" hidden="false" customHeight="false" outlineLevel="0" collapsed="false">
      <c r="J1933" s="41" t="str">
        <f aca="false">IF(D1933="","",IFERROR(IF(ISNUMBER(SEARCH(Assumptions!$C$5,D1933)),Assumptions!$D$5,IF(ISNUMBER(SEARCH(Assumptions!$C$6,D1933)),Assumptions!$D$6,IF(ISNUMBER(SEARCH(Assumptions!$C$7,D1933)),Assumptions!$D$7,"Other Services"))),"Other Services"))</f>
        <v/>
      </c>
    </row>
    <row r="1934" customFormat="false" ht="15" hidden="false" customHeight="false" outlineLevel="0" collapsed="false">
      <c r="J1934" s="41" t="str">
        <f aca="false">IF(D1934="","",IFERROR(IF(ISNUMBER(SEARCH(Assumptions!$C$5,D1934)),Assumptions!$D$5,IF(ISNUMBER(SEARCH(Assumptions!$C$6,D1934)),Assumptions!$D$6,IF(ISNUMBER(SEARCH(Assumptions!$C$7,D1934)),Assumptions!$D$7,"Other Services"))),"Other Services"))</f>
        <v/>
      </c>
    </row>
    <row r="1935" customFormat="false" ht="15" hidden="false" customHeight="false" outlineLevel="0" collapsed="false">
      <c r="J1935" s="41" t="str">
        <f aca="false">IF(D1935="","",IFERROR(IF(ISNUMBER(SEARCH(Assumptions!$C$5,D1935)),Assumptions!$D$5,IF(ISNUMBER(SEARCH(Assumptions!$C$6,D1935)),Assumptions!$D$6,IF(ISNUMBER(SEARCH(Assumptions!$C$7,D1935)),Assumptions!$D$7,"Other Services"))),"Other Services"))</f>
        <v/>
      </c>
    </row>
    <row r="1936" customFormat="false" ht="15" hidden="false" customHeight="false" outlineLevel="0" collapsed="false">
      <c r="J1936" s="41" t="str">
        <f aca="false">IF(D1936="","",IFERROR(IF(ISNUMBER(SEARCH(Assumptions!$C$5,D1936)),Assumptions!$D$5,IF(ISNUMBER(SEARCH(Assumptions!$C$6,D1936)),Assumptions!$D$6,IF(ISNUMBER(SEARCH(Assumptions!$C$7,D1936)),Assumptions!$D$7,"Other Services"))),"Other Services"))</f>
        <v/>
      </c>
    </row>
    <row r="1937" customFormat="false" ht="15" hidden="false" customHeight="false" outlineLevel="0" collapsed="false">
      <c r="J1937" s="41" t="str">
        <f aca="false">IF(D1937="","",IFERROR(IF(ISNUMBER(SEARCH(Assumptions!$C$5,D1937)),Assumptions!$D$5,IF(ISNUMBER(SEARCH(Assumptions!$C$6,D1937)),Assumptions!$D$6,IF(ISNUMBER(SEARCH(Assumptions!$C$7,D1937)),Assumptions!$D$7,"Other Services"))),"Other Services"))</f>
        <v/>
      </c>
    </row>
    <row r="1938" customFormat="false" ht="15" hidden="false" customHeight="false" outlineLevel="0" collapsed="false">
      <c r="J1938" s="41" t="str">
        <f aca="false">IF(D1938="","",IFERROR(IF(ISNUMBER(SEARCH(Assumptions!$C$5,D1938)),Assumptions!$D$5,IF(ISNUMBER(SEARCH(Assumptions!$C$6,D1938)),Assumptions!$D$6,IF(ISNUMBER(SEARCH(Assumptions!$C$7,D1938)),Assumptions!$D$7,"Other Services"))),"Other Services"))</f>
        <v/>
      </c>
    </row>
    <row r="1939" customFormat="false" ht="15" hidden="false" customHeight="false" outlineLevel="0" collapsed="false">
      <c r="J1939" s="41" t="str">
        <f aca="false">IF(D1939="","",IFERROR(IF(ISNUMBER(SEARCH(Assumptions!$C$5,D1939)),Assumptions!$D$5,IF(ISNUMBER(SEARCH(Assumptions!$C$6,D1939)),Assumptions!$D$6,IF(ISNUMBER(SEARCH(Assumptions!$C$7,D1939)),Assumptions!$D$7,"Other Services"))),"Other Services"))</f>
        <v/>
      </c>
    </row>
    <row r="1940" customFormat="false" ht="15" hidden="false" customHeight="false" outlineLevel="0" collapsed="false">
      <c r="J1940" s="41" t="str">
        <f aca="false">IF(D1940="","",IFERROR(IF(ISNUMBER(SEARCH(Assumptions!$C$5,D1940)),Assumptions!$D$5,IF(ISNUMBER(SEARCH(Assumptions!$C$6,D1940)),Assumptions!$D$6,IF(ISNUMBER(SEARCH(Assumptions!$C$7,D1940)),Assumptions!$D$7,"Other Services"))),"Other Services"))</f>
        <v/>
      </c>
    </row>
    <row r="1941" customFormat="false" ht="15" hidden="false" customHeight="false" outlineLevel="0" collapsed="false">
      <c r="J1941" s="41" t="str">
        <f aca="false">IF(D1941="","",IFERROR(IF(ISNUMBER(SEARCH(Assumptions!$C$5,D1941)),Assumptions!$D$5,IF(ISNUMBER(SEARCH(Assumptions!$C$6,D1941)),Assumptions!$D$6,IF(ISNUMBER(SEARCH(Assumptions!$C$7,D1941)),Assumptions!$D$7,"Other Services"))),"Other Services"))</f>
        <v/>
      </c>
    </row>
    <row r="1942" customFormat="false" ht="15" hidden="false" customHeight="false" outlineLevel="0" collapsed="false">
      <c r="J1942" s="41" t="str">
        <f aca="false">IF(D1942="","",IFERROR(IF(ISNUMBER(SEARCH(Assumptions!$C$5,D1942)),Assumptions!$D$5,IF(ISNUMBER(SEARCH(Assumptions!$C$6,D1942)),Assumptions!$D$6,IF(ISNUMBER(SEARCH(Assumptions!$C$7,D1942)),Assumptions!$D$7,"Other Services"))),"Other Services"))</f>
        <v/>
      </c>
    </row>
    <row r="1943" customFormat="false" ht="15" hidden="false" customHeight="false" outlineLevel="0" collapsed="false">
      <c r="J1943" s="41" t="str">
        <f aca="false">IF(D1943="","",IFERROR(IF(ISNUMBER(SEARCH(Assumptions!$C$5,D1943)),Assumptions!$D$5,IF(ISNUMBER(SEARCH(Assumptions!$C$6,D1943)),Assumptions!$D$6,IF(ISNUMBER(SEARCH(Assumptions!$C$7,D1943)),Assumptions!$D$7,"Other Services"))),"Other Services"))</f>
        <v/>
      </c>
    </row>
    <row r="1944" customFormat="false" ht="15" hidden="false" customHeight="false" outlineLevel="0" collapsed="false">
      <c r="J1944" s="41" t="str">
        <f aca="false">IF(D1944="","",IFERROR(IF(ISNUMBER(SEARCH(Assumptions!$C$5,D1944)),Assumptions!$D$5,IF(ISNUMBER(SEARCH(Assumptions!$C$6,D1944)),Assumptions!$D$6,IF(ISNUMBER(SEARCH(Assumptions!$C$7,D1944)),Assumptions!$D$7,"Other Services"))),"Other Services"))</f>
        <v/>
      </c>
    </row>
    <row r="1945" customFormat="false" ht="15" hidden="false" customHeight="false" outlineLevel="0" collapsed="false">
      <c r="J1945" s="41" t="str">
        <f aca="false">IF(D1945="","",IFERROR(IF(ISNUMBER(SEARCH(Assumptions!$C$5,D1945)),Assumptions!$D$5,IF(ISNUMBER(SEARCH(Assumptions!$C$6,D1945)),Assumptions!$D$6,IF(ISNUMBER(SEARCH(Assumptions!$C$7,D1945)),Assumptions!$D$7,"Other Services"))),"Other Services"))</f>
        <v/>
      </c>
    </row>
    <row r="1946" customFormat="false" ht="15" hidden="false" customHeight="false" outlineLevel="0" collapsed="false">
      <c r="J1946" s="41" t="str">
        <f aca="false">IF(D1946="","",IFERROR(IF(ISNUMBER(SEARCH(Assumptions!$C$5,D1946)),Assumptions!$D$5,IF(ISNUMBER(SEARCH(Assumptions!$C$6,D1946)),Assumptions!$D$6,IF(ISNUMBER(SEARCH(Assumptions!$C$7,D1946)),Assumptions!$D$7,"Other Services"))),"Other Services"))</f>
        <v/>
      </c>
    </row>
    <row r="1947" customFormat="false" ht="15" hidden="false" customHeight="false" outlineLevel="0" collapsed="false">
      <c r="J1947" s="41" t="str">
        <f aca="false">IF(D1947="","",IFERROR(IF(ISNUMBER(SEARCH(Assumptions!$C$5,D1947)),Assumptions!$D$5,IF(ISNUMBER(SEARCH(Assumptions!$C$6,D1947)),Assumptions!$D$6,IF(ISNUMBER(SEARCH(Assumptions!$C$7,D1947)),Assumptions!$D$7,"Other Services"))),"Other Services"))</f>
        <v/>
      </c>
    </row>
    <row r="1948" customFormat="false" ht="15" hidden="false" customHeight="false" outlineLevel="0" collapsed="false">
      <c r="J1948" s="41" t="str">
        <f aca="false">IF(D1948="","",IFERROR(IF(ISNUMBER(SEARCH(Assumptions!$C$5,D1948)),Assumptions!$D$5,IF(ISNUMBER(SEARCH(Assumptions!$C$6,D1948)),Assumptions!$D$6,IF(ISNUMBER(SEARCH(Assumptions!$C$7,D1948)),Assumptions!$D$7,"Other Services"))),"Other Services"))</f>
        <v/>
      </c>
    </row>
    <row r="1949" customFormat="false" ht="15" hidden="false" customHeight="false" outlineLevel="0" collapsed="false">
      <c r="J1949" s="41" t="str">
        <f aca="false">IF(D1949="","",IFERROR(IF(ISNUMBER(SEARCH(Assumptions!$C$5,D1949)),Assumptions!$D$5,IF(ISNUMBER(SEARCH(Assumptions!$C$6,D1949)),Assumptions!$D$6,IF(ISNUMBER(SEARCH(Assumptions!$C$7,D1949)),Assumptions!$D$7,"Other Services"))),"Other Services"))</f>
        <v/>
      </c>
    </row>
    <row r="1950" customFormat="false" ht="15" hidden="false" customHeight="false" outlineLevel="0" collapsed="false">
      <c r="J1950" s="41" t="str">
        <f aca="false">IF(D1950="","",IFERROR(IF(ISNUMBER(SEARCH(Assumptions!$C$5,D1950)),Assumptions!$D$5,IF(ISNUMBER(SEARCH(Assumptions!$C$6,D1950)),Assumptions!$D$6,IF(ISNUMBER(SEARCH(Assumptions!$C$7,D1950)),Assumptions!$D$7,"Other Services"))),"Other Services"))</f>
        <v/>
      </c>
    </row>
    <row r="1951" customFormat="false" ht="15" hidden="false" customHeight="false" outlineLevel="0" collapsed="false">
      <c r="J1951" s="41" t="str">
        <f aca="false">IF(D1951="","",IFERROR(IF(ISNUMBER(SEARCH(Assumptions!$C$5,D1951)),Assumptions!$D$5,IF(ISNUMBER(SEARCH(Assumptions!$C$6,D1951)),Assumptions!$D$6,IF(ISNUMBER(SEARCH(Assumptions!$C$7,D1951)),Assumptions!$D$7,"Other Services"))),"Other Services"))</f>
        <v/>
      </c>
    </row>
    <row r="1952" customFormat="false" ht="15" hidden="false" customHeight="false" outlineLevel="0" collapsed="false">
      <c r="J1952" s="41" t="str">
        <f aca="false">IF(D1952="","",IFERROR(IF(ISNUMBER(SEARCH(Assumptions!$C$5,D1952)),Assumptions!$D$5,IF(ISNUMBER(SEARCH(Assumptions!$C$6,D1952)),Assumptions!$D$6,IF(ISNUMBER(SEARCH(Assumptions!$C$7,D1952)),Assumptions!$D$7,"Other Services"))),"Other Services"))</f>
        <v/>
      </c>
    </row>
    <row r="1953" customFormat="false" ht="15" hidden="false" customHeight="false" outlineLevel="0" collapsed="false">
      <c r="J1953" s="41" t="str">
        <f aca="false">IF(D1953="","",IFERROR(IF(ISNUMBER(SEARCH(Assumptions!$C$5,D1953)),Assumptions!$D$5,IF(ISNUMBER(SEARCH(Assumptions!$C$6,D1953)),Assumptions!$D$6,IF(ISNUMBER(SEARCH(Assumptions!$C$7,D1953)),Assumptions!$D$7,"Other Services"))),"Other Services"))</f>
        <v/>
      </c>
    </row>
    <row r="1954" customFormat="false" ht="15" hidden="false" customHeight="false" outlineLevel="0" collapsed="false">
      <c r="J1954" s="41" t="str">
        <f aca="false">IF(D1954="","",IFERROR(IF(ISNUMBER(SEARCH(Assumptions!$C$5,D1954)),Assumptions!$D$5,IF(ISNUMBER(SEARCH(Assumptions!$C$6,D1954)),Assumptions!$D$6,IF(ISNUMBER(SEARCH(Assumptions!$C$7,D1954)),Assumptions!$D$7,"Other Services"))),"Other Services"))</f>
        <v/>
      </c>
    </row>
    <row r="1955" customFormat="false" ht="15" hidden="false" customHeight="false" outlineLevel="0" collapsed="false">
      <c r="J1955" s="41" t="str">
        <f aca="false">IF(D1955="","",IFERROR(IF(ISNUMBER(SEARCH(Assumptions!$C$5,D1955)),Assumptions!$D$5,IF(ISNUMBER(SEARCH(Assumptions!$C$6,D1955)),Assumptions!$D$6,IF(ISNUMBER(SEARCH(Assumptions!$C$7,D1955)),Assumptions!$D$7,"Other Services"))),"Other Services"))</f>
        <v/>
      </c>
    </row>
    <row r="1956" customFormat="false" ht="15" hidden="false" customHeight="false" outlineLevel="0" collapsed="false">
      <c r="J1956" s="41" t="str">
        <f aca="false">IF(D1956="","",IFERROR(IF(ISNUMBER(SEARCH(Assumptions!$C$5,D1956)),Assumptions!$D$5,IF(ISNUMBER(SEARCH(Assumptions!$C$6,D1956)),Assumptions!$D$6,IF(ISNUMBER(SEARCH(Assumptions!$C$7,D1956)),Assumptions!$D$7,"Other Services"))),"Other Services"))</f>
        <v/>
      </c>
    </row>
    <row r="1957" customFormat="false" ht="15" hidden="false" customHeight="false" outlineLevel="0" collapsed="false">
      <c r="J1957" s="41" t="str">
        <f aca="false">IF(D1957="","",IFERROR(IF(ISNUMBER(SEARCH(Assumptions!$C$5,D1957)),Assumptions!$D$5,IF(ISNUMBER(SEARCH(Assumptions!$C$6,D1957)),Assumptions!$D$6,IF(ISNUMBER(SEARCH(Assumptions!$C$7,D1957)),Assumptions!$D$7,"Other Services"))),"Other Services"))</f>
        <v/>
      </c>
    </row>
    <row r="1958" customFormat="false" ht="15" hidden="false" customHeight="false" outlineLevel="0" collapsed="false">
      <c r="J1958" s="41" t="str">
        <f aca="false">IF(D1958="","",IFERROR(IF(ISNUMBER(SEARCH(Assumptions!$C$5,D1958)),Assumptions!$D$5,IF(ISNUMBER(SEARCH(Assumptions!$C$6,D1958)),Assumptions!$D$6,IF(ISNUMBER(SEARCH(Assumptions!$C$7,D1958)),Assumptions!$D$7,"Other Services"))),"Other Services"))</f>
        <v/>
      </c>
    </row>
    <row r="1959" customFormat="false" ht="15" hidden="false" customHeight="false" outlineLevel="0" collapsed="false">
      <c r="J1959" s="41" t="str">
        <f aca="false">IF(D1959="","",IFERROR(IF(ISNUMBER(SEARCH(Assumptions!$C$5,D1959)),Assumptions!$D$5,IF(ISNUMBER(SEARCH(Assumptions!$C$6,D1959)),Assumptions!$D$6,IF(ISNUMBER(SEARCH(Assumptions!$C$7,D1959)),Assumptions!$D$7,"Other Services"))),"Other Services"))</f>
        <v/>
      </c>
    </row>
    <row r="1960" customFormat="false" ht="15" hidden="false" customHeight="false" outlineLevel="0" collapsed="false">
      <c r="J1960" s="41" t="str">
        <f aca="false">IF(D1960="","",IFERROR(IF(ISNUMBER(SEARCH(Assumptions!$C$5,D1960)),Assumptions!$D$5,IF(ISNUMBER(SEARCH(Assumptions!$C$6,D1960)),Assumptions!$D$6,IF(ISNUMBER(SEARCH(Assumptions!$C$7,D1960)),Assumptions!$D$7,"Other Services"))),"Other Services"))</f>
        <v/>
      </c>
    </row>
    <row r="1961" customFormat="false" ht="15" hidden="false" customHeight="false" outlineLevel="0" collapsed="false">
      <c r="J1961" s="41" t="str">
        <f aca="false">IF(D1961="","",IFERROR(IF(ISNUMBER(SEARCH(Assumptions!$C$5,D1961)),Assumptions!$D$5,IF(ISNUMBER(SEARCH(Assumptions!$C$6,D1961)),Assumptions!$D$6,IF(ISNUMBER(SEARCH(Assumptions!$C$7,D1961)),Assumptions!$D$7,"Other Services"))),"Other Services"))</f>
        <v/>
      </c>
    </row>
    <row r="1962" customFormat="false" ht="15" hidden="false" customHeight="false" outlineLevel="0" collapsed="false">
      <c r="J1962" s="41" t="str">
        <f aca="false">IF(D1962="","",IFERROR(IF(ISNUMBER(SEARCH(Assumptions!$C$5,D1962)),Assumptions!$D$5,IF(ISNUMBER(SEARCH(Assumptions!$C$6,D1962)),Assumptions!$D$6,IF(ISNUMBER(SEARCH(Assumptions!$C$7,D1962)),Assumptions!$D$7,"Other Services"))),"Other Services"))</f>
        <v/>
      </c>
    </row>
    <row r="1963" customFormat="false" ht="15" hidden="false" customHeight="false" outlineLevel="0" collapsed="false">
      <c r="J1963" s="41" t="str">
        <f aca="false">IF(D1963="","",IFERROR(IF(ISNUMBER(SEARCH(Assumptions!$C$5,D1963)),Assumptions!$D$5,IF(ISNUMBER(SEARCH(Assumptions!$C$6,D1963)),Assumptions!$D$6,IF(ISNUMBER(SEARCH(Assumptions!$C$7,D1963)),Assumptions!$D$7,"Other Services"))),"Other Services"))</f>
        <v/>
      </c>
    </row>
    <row r="1964" customFormat="false" ht="15" hidden="false" customHeight="false" outlineLevel="0" collapsed="false">
      <c r="J1964" s="41" t="str">
        <f aca="false">IF(D1964="","",IFERROR(IF(ISNUMBER(SEARCH(Assumptions!$C$5,D1964)),Assumptions!$D$5,IF(ISNUMBER(SEARCH(Assumptions!$C$6,D1964)),Assumptions!$D$6,IF(ISNUMBER(SEARCH(Assumptions!$C$7,D1964)),Assumptions!$D$7,"Other Services"))),"Other Services"))</f>
        <v/>
      </c>
    </row>
    <row r="1965" customFormat="false" ht="15" hidden="false" customHeight="false" outlineLevel="0" collapsed="false">
      <c r="J1965" s="41" t="str">
        <f aca="false">IF(D1965="","",IFERROR(IF(ISNUMBER(SEARCH(Assumptions!$C$5,D1965)),Assumptions!$D$5,IF(ISNUMBER(SEARCH(Assumptions!$C$6,D1965)),Assumptions!$D$6,IF(ISNUMBER(SEARCH(Assumptions!$C$7,D1965)),Assumptions!$D$7,"Other Services"))),"Other Services"))</f>
        <v/>
      </c>
    </row>
    <row r="1966" customFormat="false" ht="15" hidden="false" customHeight="false" outlineLevel="0" collapsed="false">
      <c r="J1966" s="41" t="str">
        <f aca="false">IF(D1966="","",IFERROR(IF(ISNUMBER(SEARCH(Assumptions!$C$5,D1966)),Assumptions!$D$5,IF(ISNUMBER(SEARCH(Assumptions!$C$6,D1966)),Assumptions!$D$6,IF(ISNUMBER(SEARCH(Assumptions!$C$7,D1966)),Assumptions!$D$7,"Other Services"))),"Other Services"))</f>
        <v/>
      </c>
    </row>
    <row r="1967" customFormat="false" ht="15" hidden="false" customHeight="false" outlineLevel="0" collapsed="false">
      <c r="J1967" s="41" t="str">
        <f aca="false">IF(D1967="","",IFERROR(IF(ISNUMBER(SEARCH(Assumptions!$C$5,D1967)),Assumptions!$D$5,IF(ISNUMBER(SEARCH(Assumptions!$C$6,D1967)),Assumptions!$D$6,IF(ISNUMBER(SEARCH(Assumptions!$C$7,D1967)),Assumptions!$D$7,"Other Services"))),"Other Services"))</f>
        <v/>
      </c>
    </row>
    <row r="1968" customFormat="false" ht="15" hidden="false" customHeight="false" outlineLevel="0" collapsed="false">
      <c r="J1968" s="41" t="str">
        <f aca="false">IF(D1968="","",IFERROR(IF(ISNUMBER(SEARCH(Assumptions!$C$5,D1968)),Assumptions!$D$5,IF(ISNUMBER(SEARCH(Assumptions!$C$6,D1968)),Assumptions!$D$6,IF(ISNUMBER(SEARCH(Assumptions!$C$7,D1968)),Assumptions!$D$7,"Other Services"))),"Other Services"))</f>
        <v/>
      </c>
    </row>
    <row r="1969" customFormat="false" ht="15" hidden="false" customHeight="false" outlineLevel="0" collapsed="false">
      <c r="J1969" s="41" t="str">
        <f aca="false">IF(D1969="","",IFERROR(IF(ISNUMBER(SEARCH(Assumptions!$C$5,D1969)),Assumptions!$D$5,IF(ISNUMBER(SEARCH(Assumptions!$C$6,D1969)),Assumptions!$D$6,IF(ISNUMBER(SEARCH(Assumptions!$C$7,D1969)),Assumptions!$D$7,"Other Services"))),"Other Services"))</f>
        <v/>
      </c>
    </row>
    <row r="1970" customFormat="false" ht="15" hidden="false" customHeight="false" outlineLevel="0" collapsed="false">
      <c r="J1970" s="41" t="str">
        <f aca="false">IF(D1970="","",IFERROR(IF(ISNUMBER(SEARCH(Assumptions!$C$5,D1970)),Assumptions!$D$5,IF(ISNUMBER(SEARCH(Assumptions!$C$6,D1970)),Assumptions!$D$6,IF(ISNUMBER(SEARCH(Assumptions!$C$7,D1970)),Assumptions!$D$7,"Other Services"))),"Other Services"))</f>
        <v/>
      </c>
    </row>
    <row r="1971" customFormat="false" ht="15" hidden="false" customHeight="false" outlineLevel="0" collapsed="false">
      <c r="J1971" s="41" t="str">
        <f aca="false">IF(D1971="","",IFERROR(IF(ISNUMBER(SEARCH(Assumptions!$C$5,D1971)),Assumptions!$D$5,IF(ISNUMBER(SEARCH(Assumptions!$C$6,D1971)),Assumptions!$D$6,IF(ISNUMBER(SEARCH(Assumptions!$C$7,D1971)),Assumptions!$D$7,"Other Services"))),"Other Services"))</f>
        <v/>
      </c>
    </row>
    <row r="1972" customFormat="false" ht="15" hidden="false" customHeight="false" outlineLevel="0" collapsed="false">
      <c r="J1972" s="41" t="str">
        <f aca="false">IF(D1972="","",IFERROR(IF(ISNUMBER(SEARCH(Assumptions!$C$5,D1972)),Assumptions!$D$5,IF(ISNUMBER(SEARCH(Assumptions!$C$6,D1972)),Assumptions!$D$6,IF(ISNUMBER(SEARCH(Assumptions!$C$7,D1972)),Assumptions!$D$7,"Other Services"))),"Other Services"))</f>
        <v/>
      </c>
    </row>
    <row r="1973" customFormat="false" ht="15" hidden="false" customHeight="false" outlineLevel="0" collapsed="false">
      <c r="J1973" s="41" t="str">
        <f aca="false">IF(D1973="","",IFERROR(IF(ISNUMBER(SEARCH(Assumptions!$C$5,D1973)),Assumptions!$D$5,IF(ISNUMBER(SEARCH(Assumptions!$C$6,D1973)),Assumptions!$D$6,IF(ISNUMBER(SEARCH(Assumptions!$C$7,D1973)),Assumptions!$D$7,"Other Services"))),"Other Services"))</f>
        <v/>
      </c>
    </row>
    <row r="1974" customFormat="false" ht="15" hidden="false" customHeight="false" outlineLevel="0" collapsed="false">
      <c r="J1974" s="41" t="str">
        <f aca="false">IF(D1974="","",IFERROR(IF(ISNUMBER(SEARCH(Assumptions!$C$5,D1974)),Assumptions!$D$5,IF(ISNUMBER(SEARCH(Assumptions!$C$6,D1974)),Assumptions!$D$6,IF(ISNUMBER(SEARCH(Assumptions!$C$7,D1974)),Assumptions!$D$7,"Other Services"))),"Other Services"))</f>
        <v/>
      </c>
    </row>
    <row r="1975" customFormat="false" ht="15" hidden="false" customHeight="false" outlineLevel="0" collapsed="false">
      <c r="J1975" s="41" t="str">
        <f aca="false">IF(D1975="","",IFERROR(IF(ISNUMBER(SEARCH(Assumptions!$C$5,D1975)),Assumptions!$D$5,IF(ISNUMBER(SEARCH(Assumptions!$C$6,D1975)),Assumptions!$D$6,IF(ISNUMBER(SEARCH(Assumptions!$C$7,D1975)),Assumptions!$D$7,"Other Services"))),"Other Services"))</f>
        <v/>
      </c>
    </row>
    <row r="1976" customFormat="false" ht="15" hidden="false" customHeight="false" outlineLevel="0" collapsed="false">
      <c r="J1976" s="41" t="str">
        <f aca="false">IF(D1976="","",IFERROR(IF(ISNUMBER(SEARCH(Assumptions!$C$5,D1976)),Assumptions!$D$5,IF(ISNUMBER(SEARCH(Assumptions!$C$6,D1976)),Assumptions!$D$6,IF(ISNUMBER(SEARCH(Assumptions!$C$7,D1976)),Assumptions!$D$7,"Other Services"))),"Other Services"))</f>
        <v/>
      </c>
    </row>
    <row r="1977" customFormat="false" ht="15" hidden="false" customHeight="false" outlineLevel="0" collapsed="false">
      <c r="J1977" s="41" t="str">
        <f aca="false">IF(D1977="","",IFERROR(IF(ISNUMBER(SEARCH(Assumptions!$C$5,D1977)),Assumptions!$D$5,IF(ISNUMBER(SEARCH(Assumptions!$C$6,D1977)),Assumptions!$D$6,IF(ISNUMBER(SEARCH(Assumptions!$C$7,D1977)),Assumptions!$D$7,"Other Services"))),"Other Services"))</f>
        <v/>
      </c>
    </row>
    <row r="1978" customFormat="false" ht="15" hidden="false" customHeight="false" outlineLevel="0" collapsed="false">
      <c r="J1978" s="41" t="str">
        <f aca="false">IF(D1978="","",IFERROR(IF(ISNUMBER(SEARCH(Assumptions!$C$5,D1978)),Assumptions!$D$5,IF(ISNUMBER(SEARCH(Assumptions!$C$6,D1978)),Assumptions!$D$6,IF(ISNUMBER(SEARCH(Assumptions!$C$7,D1978)),Assumptions!$D$7,"Other Services"))),"Other Services"))</f>
        <v/>
      </c>
    </row>
    <row r="1979" customFormat="false" ht="15" hidden="false" customHeight="false" outlineLevel="0" collapsed="false">
      <c r="J1979" s="41" t="str">
        <f aca="false">IF(D1979="","",IFERROR(IF(ISNUMBER(SEARCH(Assumptions!$C$5,D1979)),Assumptions!$D$5,IF(ISNUMBER(SEARCH(Assumptions!$C$6,D1979)),Assumptions!$D$6,IF(ISNUMBER(SEARCH(Assumptions!$C$7,D1979)),Assumptions!$D$7,"Other Services"))),"Other Services"))</f>
        <v/>
      </c>
    </row>
    <row r="1980" customFormat="false" ht="15" hidden="false" customHeight="false" outlineLevel="0" collapsed="false">
      <c r="J1980" s="41" t="str">
        <f aca="false">IF(D1980="","",IFERROR(IF(ISNUMBER(SEARCH(Assumptions!$C$5,D1980)),Assumptions!$D$5,IF(ISNUMBER(SEARCH(Assumptions!$C$6,D1980)),Assumptions!$D$6,IF(ISNUMBER(SEARCH(Assumptions!$C$7,D1980)),Assumptions!$D$7,"Other Services"))),"Other Services"))</f>
        <v/>
      </c>
    </row>
    <row r="1981" customFormat="false" ht="15" hidden="false" customHeight="false" outlineLevel="0" collapsed="false">
      <c r="J1981" s="41" t="str">
        <f aca="false">IF(D1981="","",IFERROR(IF(ISNUMBER(SEARCH(Assumptions!$C$5,D1981)),Assumptions!$D$5,IF(ISNUMBER(SEARCH(Assumptions!$C$6,D1981)),Assumptions!$D$6,IF(ISNUMBER(SEARCH(Assumptions!$C$7,D1981)),Assumptions!$D$7,"Other Services"))),"Other Services"))</f>
        <v/>
      </c>
    </row>
    <row r="1982" customFormat="false" ht="15" hidden="false" customHeight="false" outlineLevel="0" collapsed="false">
      <c r="J1982" s="41" t="str">
        <f aca="false">IF(D1982="","",IFERROR(IF(ISNUMBER(SEARCH(Assumptions!$C$5,D1982)),Assumptions!$D$5,IF(ISNUMBER(SEARCH(Assumptions!$C$6,D1982)),Assumptions!$D$6,IF(ISNUMBER(SEARCH(Assumptions!$C$7,D1982)),Assumptions!$D$7,"Other Services"))),"Other Services"))</f>
        <v/>
      </c>
    </row>
    <row r="1983" customFormat="false" ht="15" hidden="false" customHeight="false" outlineLevel="0" collapsed="false">
      <c r="J1983" s="41" t="str">
        <f aca="false">IF(D1983="","",IFERROR(IF(ISNUMBER(SEARCH(Assumptions!$C$5,D1983)),Assumptions!$D$5,IF(ISNUMBER(SEARCH(Assumptions!$C$6,D1983)),Assumptions!$D$6,IF(ISNUMBER(SEARCH(Assumptions!$C$7,D1983)),Assumptions!$D$7,"Other Services"))),"Other Services"))</f>
        <v/>
      </c>
    </row>
    <row r="1984" customFormat="false" ht="15" hidden="false" customHeight="false" outlineLevel="0" collapsed="false">
      <c r="J1984" s="41" t="str">
        <f aca="false">IF(D1984="","",IFERROR(IF(ISNUMBER(SEARCH(Assumptions!$C$5,D1984)),Assumptions!$D$5,IF(ISNUMBER(SEARCH(Assumptions!$C$6,D1984)),Assumptions!$D$6,IF(ISNUMBER(SEARCH(Assumptions!$C$7,D1984)),Assumptions!$D$7,"Other Services"))),"Other Services"))</f>
        <v/>
      </c>
    </row>
    <row r="1985" customFormat="false" ht="15" hidden="false" customHeight="false" outlineLevel="0" collapsed="false">
      <c r="J1985" s="41" t="str">
        <f aca="false">IF(D1985="","",IFERROR(IF(ISNUMBER(SEARCH(Assumptions!$C$5,D1985)),Assumptions!$D$5,IF(ISNUMBER(SEARCH(Assumptions!$C$6,D1985)),Assumptions!$D$6,IF(ISNUMBER(SEARCH(Assumptions!$C$7,D1985)),Assumptions!$D$7,"Other Services"))),"Other Services"))</f>
        <v/>
      </c>
    </row>
    <row r="1986" customFormat="false" ht="15" hidden="false" customHeight="false" outlineLevel="0" collapsed="false">
      <c r="J1986" s="41" t="str">
        <f aca="false">IF(D1986="","",IFERROR(IF(ISNUMBER(SEARCH(Assumptions!$C$5,D1986)),Assumptions!$D$5,IF(ISNUMBER(SEARCH(Assumptions!$C$6,D1986)),Assumptions!$D$6,IF(ISNUMBER(SEARCH(Assumptions!$C$7,D1986)),Assumptions!$D$7,"Other Services"))),"Other Services"))</f>
        <v/>
      </c>
    </row>
    <row r="1987" customFormat="false" ht="15" hidden="false" customHeight="false" outlineLevel="0" collapsed="false">
      <c r="J1987" s="41" t="str">
        <f aca="false">IF(D1987="","",IFERROR(IF(ISNUMBER(SEARCH(Assumptions!$C$5,D1987)),Assumptions!$D$5,IF(ISNUMBER(SEARCH(Assumptions!$C$6,D1987)),Assumptions!$D$6,IF(ISNUMBER(SEARCH(Assumptions!$C$7,D1987)),Assumptions!$D$7,"Other Services"))),"Other Services"))</f>
        <v/>
      </c>
    </row>
    <row r="1988" customFormat="false" ht="15" hidden="false" customHeight="false" outlineLevel="0" collapsed="false">
      <c r="J1988" s="41" t="str">
        <f aca="false">IF(D1988="","",IFERROR(IF(ISNUMBER(SEARCH(Assumptions!$C$5,D1988)),Assumptions!$D$5,IF(ISNUMBER(SEARCH(Assumptions!$C$6,D1988)),Assumptions!$D$6,IF(ISNUMBER(SEARCH(Assumptions!$C$7,D1988)),Assumptions!$D$7,"Other Services"))),"Other Services"))</f>
        <v/>
      </c>
    </row>
    <row r="1989" customFormat="false" ht="15" hidden="false" customHeight="false" outlineLevel="0" collapsed="false">
      <c r="J1989" s="41" t="str">
        <f aca="false">IF(D1989="","",IFERROR(IF(ISNUMBER(SEARCH(Assumptions!$C$5,D1989)),Assumptions!$D$5,IF(ISNUMBER(SEARCH(Assumptions!$C$6,D1989)),Assumptions!$D$6,IF(ISNUMBER(SEARCH(Assumptions!$C$7,D1989)),Assumptions!$D$7,"Other Services"))),"Other Services"))</f>
        <v/>
      </c>
    </row>
    <row r="1990" customFormat="false" ht="15" hidden="false" customHeight="false" outlineLevel="0" collapsed="false">
      <c r="J1990" s="41" t="str">
        <f aca="false">IF(D1990="","",IFERROR(IF(ISNUMBER(SEARCH(Assumptions!$C$5,D1990)),Assumptions!$D$5,IF(ISNUMBER(SEARCH(Assumptions!$C$6,D1990)),Assumptions!$D$6,IF(ISNUMBER(SEARCH(Assumptions!$C$7,D1990)),Assumptions!$D$7,"Other Services"))),"Other Services"))</f>
        <v/>
      </c>
    </row>
    <row r="1991" customFormat="false" ht="15" hidden="false" customHeight="false" outlineLevel="0" collapsed="false">
      <c r="J1991" s="41" t="str">
        <f aca="false">IF(D1991="","",IFERROR(IF(ISNUMBER(SEARCH(Assumptions!$C$5,D1991)),Assumptions!$D$5,IF(ISNUMBER(SEARCH(Assumptions!$C$6,D1991)),Assumptions!$D$6,IF(ISNUMBER(SEARCH(Assumptions!$C$7,D1991)),Assumptions!$D$7,"Other Services"))),"Other Services"))</f>
        <v/>
      </c>
    </row>
    <row r="1992" customFormat="false" ht="15" hidden="false" customHeight="false" outlineLevel="0" collapsed="false">
      <c r="J1992" s="41" t="str">
        <f aca="false">IF(D1992="","",IFERROR(IF(ISNUMBER(SEARCH(Assumptions!$C$5,D1992)),Assumptions!$D$5,IF(ISNUMBER(SEARCH(Assumptions!$C$6,D1992)),Assumptions!$D$6,IF(ISNUMBER(SEARCH(Assumptions!$C$7,D1992)),Assumptions!$D$7,"Other Services"))),"Other Services"))</f>
        <v/>
      </c>
    </row>
    <row r="1993" customFormat="false" ht="15" hidden="false" customHeight="false" outlineLevel="0" collapsed="false">
      <c r="J1993" s="41" t="str">
        <f aca="false">IF(D1993="","",IFERROR(IF(ISNUMBER(SEARCH(Assumptions!$C$5,D1993)),Assumptions!$D$5,IF(ISNUMBER(SEARCH(Assumptions!$C$6,D1993)),Assumptions!$D$6,IF(ISNUMBER(SEARCH(Assumptions!$C$7,D1993)),Assumptions!$D$7,"Other Services"))),"Other Services"))</f>
        <v/>
      </c>
    </row>
    <row r="1994" customFormat="false" ht="15" hidden="false" customHeight="false" outlineLevel="0" collapsed="false">
      <c r="J1994" s="41" t="str">
        <f aca="false">IF(D1994="","",IFERROR(IF(ISNUMBER(SEARCH(Assumptions!$C$5,D1994)),Assumptions!$D$5,IF(ISNUMBER(SEARCH(Assumptions!$C$6,D1994)),Assumptions!$D$6,IF(ISNUMBER(SEARCH(Assumptions!$C$7,D1994)),Assumptions!$D$7,"Other Services"))),"Other Services"))</f>
        <v/>
      </c>
    </row>
    <row r="1995" customFormat="false" ht="15" hidden="false" customHeight="false" outlineLevel="0" collapsed="false">
      <c r="J1995" s="41" t="str">
        <f aca="false">IF(D1995="","",IFERROR(IF(ISNUMBER(SEARCH(Assumptions!$C$5,D1995)),Assumptions!$D$5,IF(ISNUMBER(SEARCH(Assumptions!$C$6,D1995)),Assumptions!$D$6,IF(ISNUMBER(SEARCH(Assumptions!$C$7,D1995)),Assumptions!$D$7,"Other Services"))),"Other Services"))</f>
        <v/>
      </c>
    </row>
    <row r="1996" customFormat="false" ht="15" hidden="false" customHeight="false" outlineLevel="0" collapsed="false">
      <c r="J1996" s="41" t="str">
        <f aca="false">IF(D1996="","",IFERROR(IF(ISNUMBER(SEARCH(Assumptions!$C$5,D1996)),Assumptions!$D$5,IF(ISNUMBER(SEARCH(Assumptions!$C$6,D1996)),Assumptions!$D$6,IF(ISNUMBER(SEARCH(Assumptions!$C$7,D1996)),Assumptions!$D$7,"Other Services"))),"Other Services"))</f>
        <v/>
      </c>
    </row>
    <row r="1997" customFormat="false" ht="15" hidden="false" customHeight="false" outlineLevel="0" collapsed="false">
      <c r="J1997" s="41" t="str">
        <f aca="false">IF(D1997="","",IFERROR(IF(ISNUMBER(SEARCH(Assumptions!$C$5,D1997)),Assumptions!$D$5,IF(ISNUMBER(SEARCH(Assumptions!$C$6,D1997)),Assumptions!$D$6,IF(ISNUMBER(SEARCH(Assumptions!$C$7,D1997)),Assumptions!$D$7,"Other Services"))),"Other Services"))</f>
        <v/>
      </c>
    </row>
    <row r="1998" customFormat="false" ht="15" hidden="false" customHeight="false" outlineLevel="0" collapsed="false">
      <c r="J1998" s="41" t="str">
        <f aca="false">IF(D1998="","",IFERROR(IF(ISNUMBER(SEARCH(Assumptions!$C$5,D1998)),Assumptions!$D$5,IF(ISNUMBER(SEARCH(Assumptions!$C$6,D1998)),Assumptions!$D$6,IF(ISNUMBER(SEARCH(Assumptions!$C$7,D1998)),Assumptions!$D$7,"Other Services"))),"Other Services"))</f>
        <v/>
      </c>
    </row>
    <row r="1999" customFormat="false" ht="15" hidden="false" customHeight="false" outlineLevel="0" collapsed="false">
      <c r="J1999" s="41" t="str">
        <f aca="false">IF(D1999="","",IFERROR(IF(ISNUMBER(SEARCH(Assumptions!$C$5,D1999)),Assumptions!$D$5,IF(ISNUMBER(SEARCH(Assumptions!$C$6,D1999)),Assumptions!$D$6,IF(ISNUMBER(SEARCH(Assumptions!$C$7,D1999)),Assumptions!$D$7,"Other Services"))),"Other Services"))</f>
        <v/>
      </c>
    </row>
    <row r="2000" customFormat="false" ht="15" hidden="false" customHeight="false" outlineLevel="0" collapsed="false">
      <c r="J2000" s="41" t="str">
        <f aca="false">IF(D2000="","",IFERROR(IF(ISNUMBER(SEARCH(Assumptions!$C$5,D2000)),Assumptions!$D$5,IF(ISNUMBER(SEARCH(Assumptions!$C$6,D2000)),Assumptions!$D$6,IF(ISNUMBER(SEARCH(Assumptions!$C$7,D2000)),Assumptions!$D$7,"Other Services"))),"Other Services"))</f>
        <v/>
      </c>
    </row>
    <row r="2001" customFormat="false" ht="15" hidden="false" customHeight="false" outlineLevel="0" collapsed="false">
      <c r="J2001" s="41" t="str">
        <f aca="false">IF(D2001="","",IFERROR(IF(ISNUMBER(SEARCH(Assumptions!$C$5,D2001)),Assumptions!$D$5,IF(ISNUMBER(SEARCH(Assumptions!$C$6,D2001)),Assumptions!$D$6,IF(ISNUMBER(SEARCH(Assumptions!$C$7,D2001)),Assumptions!$D$7,"Other Services"))),"Other Services"))</f>
        <v/>
      </c>
    </row>
    <row r="2002" customFormat="false" ht="15" hidden="false" customHeight="false" outlineLevel="0" collapsed="false">
      <c r="J2002" s="41" t="str">
        <f aca="false">IF(D2002="","",IFERROR(IF(ISNUMBER(SEARCH(Assumptions!$C$5,D2002)),Assumptions!$D$5,IF(ISNUMBER(SEARCH(Assumptions!$C$6,D2002)),Assumptions!$D$6,IF(ISNUMBER(SEARCH(Assumptions!$C$7,D2002)),Assumptions!$D$7,"Other Services"))),"Other Services"))</f>
        <v/>
      </c>
    </row>
    <row r="2003" customFormat="false" ht="15" hidden="false" customHeight="false" outlineLevel="0" collapsed="false">
      <c r="J2003" s="41" t="str">
        <f aca="false">IF(D2003="","",IFERROR(IF(ISNUMBER(SEARCH(Assumptions!$C$5,D2003)),Assumptions!$D$5,IF(ISNUMBER(SEARCH(Assumptions!$C$6,D2003)),Assumptions!$D$6,IF(ISNUMBER(SEARCH(Assumptions!$C$7,D2003)),Assumptions!$D$7,"Other Services"))),"Other Services"))</f>
        <v/>
      </c>
    </row>
    <row r="2004" customFormat="false" ht="15" hidden="false" customHeight="false" outlineLevel="0" collapsed="false">
      <c r="J2004" s="41" t="str">
        <f aca="false">IF(D2004="","",IFERROR(IF(ISNUMBER(SEARCH(Assumptions!$C$5,D2004)),Assumptions!$D$5,IF(ISNUMBER(SEARCH(Assumptions!$C$6,D2004)),Assumptions!$D$6,IF(ISNUMBER(SEARCH(Assumptions!$C$7,D2004)),Assumptions!$D$7,"Other Services"))),"Other Services"))</f>
        <v/>
      </c>
    </row>
    <row r="2005" customFormat="false" ht="15" hidden="false" customHeight="false" outlineLevel="0" collapsed="false">
      <c r="J2005" s="41" t="str">
        <f aca="false">IF(D2005="","",IFERROR(IF(ISNUMBER(SEARCH(Assumptions!$C$5,D2005)),Assumptions!$D$5,IF(ISNUMBER(SEARCH(Assumptions!$C$6,D2005)),Assumptions!$D$6,IF(ISNUMBER(SEARCH(Assumptions!$C$7,D2005)),Assumptions!$D$7,"Other Services"))),"Other Services"))</f>
        <v/>
      </c>
    </row>
    <row r="2006" customFormat="false" ht="15" hidden="false" customHeight="false" outlineLevel="0" collapsed="false">
      <c r="J2006" s="41" t="str">
        <f aca="false">IF(D2006="","",IFERROR(IF(ISNUMBER(SEARCH(Assumptions!$C$5,D2006)),Assumptions!$D$5,IF(ISNUMBER(SEARCH(Assumptions!$C$6,D2006)),Assumptions!$D$6,IF(ISNUMBER(SEARCH(Assumptions!$C$7,D2006)),Assumptions!$D$7,"Other Services"))),"Other Services"))</f>
        <v/>
      </c>
    </row>
    <row r="2007" customFormat="false" ht="15" hidden="false" customHeight="false" outlineLevel="0" collapsed="false">
      <c r="J2007" s="41" t="str">
        <f aca="false">IF(D2007="","",IFERROR(IF(ISNUMBER(SEARCH(Assumptions!$C$5,D2007)),Assumptions!$D$5,IF(ISNUMBER(SEARCH(Assumptions!$C$6,D2007)),Assumptions!$D$6,IF(ISNUMBER(SEARCH(Assumptions!$C$7,D2007)),Assumptions!$D$7,"Other Services"))),"Other Services"))</f>
        <v/>
      </c>
    </row>
    <row r="2008" customFormat="false" ht="15" hidden="false" customHeight="false" outlineLevel="0" collapsed="false">
      <c r="J2008" s="41" t="str">
        <f aca="false">IF(D2008="","",IFERROR(IF(ISNUMBER(SEARCH(Assumptions!$C$5,D2008)),Assumptions!$D$5,IF(ISNUMBER(SEARCH(Assumptions!$C$6,D2008)),Assumptions!$D$6,IF(ISNUMBER(SEARCH(Assumptions!$C$7,D2008)),Assumptions!$D$7,"Other Services"))),"Other Services"))</f>
        <v/>
      </c>
    </row>
    <row r="2009" customFormat="false" ht="15" hidden="false" customHeight="false" outlineLevel="0" collapsed="false">
      <c r="J2009" s="41" t="str">
        <f aca="false">IF(D2009="","",IFERROR(IF(ISNUMBER(SEARCH(Assumptions!$C$5,D2009)),Assumptions!$D$5,IF(ISNUMBER(SEARCH(Assumptions!$C$6,D2009)),Assumptions!$D$6,IF(ISNUMBER(SEARCH(Assumptions!$C$7,D2009)),Assumptions!$D$7,"Other Services"))),"Other Services"))</f>
        <v/>
      </c>
    </row>
    <row r="2010" customFormat="false" ht="15" hidden="false" customHeight="false" outlineLevel="0" collapsed="false">
      <c r="J2010" s="41" t="str">
        <f aca="false">IF(D2010="","",IFERROR(IF(ISNUMBER(SEARCH(Assumptions!$C$5,D2010)),Assumptions!$D$5,IF(ISNUMBER(SEARCH(Assumptions!$C$6,D2010)),Assumptions!$D$6,IF(ISNUMBER(SEARCH(Assumptions!$C$7,D2010)),Assumptions!$D$7,"Other Services"))),"Other Services"))</f>
        <v/>
      </c>
    </row>
    <row r="2011" customFormat="false" ht="15" hidden="false" customHeight="false" outlineLevel="0" collapsed="false">
      <c r="J2011" s="41" t="str">
        <f aca="false">IF(D2011="","",IFERROR(IF(ISNUMBER(SEARCH(Assumptions!$C$5,D2011)),Assumptions!$D$5,IF(ISNUMBER(SEARCH(Assumptions!$C$6,D2011)),Assumptions!$D$6,IF(ISNUMBER(SEARCH(Assumptions!$C$7,D2011)),Assumptions!$D$7,"Other Services"))),"Other Services"))</f>
        <v/>
      </c>
    </row>
    <row r="2012" customFormat="false" ht="15" hidden="false" customHeight="false" outlineLevel="0" collapsed="false">
      <c r="J2012" s="41" t="str">
        <f aca="false">IF(D2012="","",IFERROR(IF(ISNUMBER(SEARCH(Assumptions!$C$5,D2012)),Assumptions!$D$5,IF(ISNUMBER(SEARCH(Assumptions!$C$6,D2012)),Assumptions!$D$6,IF(ISNUMBER(SEARCH(Assumptions!$C$7,D2012)),Assumptions!$D$7,"Other Services"))),"Other Services"))</f>
        <v/>
      </c>
    </row>
    <row r="2013" customFormat="false" ht="15" hidden="false" customHeight="false" outlineLevel="0" collapsed="false">
      <c r="J2013" s="41" t="str">
        <f aca="false">IF(D2013="","",IFERROR(IF(ISNUMBER(SEARCH(Assumptions!$C$5,D2013)),Assumptions!$D$5,IF(ISNUMBER(SEARCH(Assumptions!$C$6,D2013)),Assumptions!$D$6,IF(ISNUMBER(SEARCH(Assumptions!$C$7,D2013)),Assumptions!$D$7,"Other Services"))),"Other Services"))</f>
        <v/>
      </c>
    </row>
    <row r="2014" customFormat="false" ht="15" hidden="false" customHeight="false" outlineLevel="0" collapsed="false">
      <c r="J2014" s="41" t="str">
        <f aca="false">IF(D2014="","",IFERROR(IF(ISNUMBER(SEARCH(Assumptions!$C$5,D2014)),Assumptions!$D$5,IF(ISNUMBER(SEARCH(Assumptions!$C$6,D2014)),Assumptions!$D$6,IF(ISNUMBER(SEARCH(Assumptions!$C$7,D2014)),Assumptions!$D$7,"Other Services"))),"Other Services"))</f>
        <v/>
      </c>
    </row>
    <row r="2015" customFormat="false" ht="15" hidden="false" customHeight="false" outlineLevel="0" collapsed="false">
      <c r="J2015" s="41" t="str">
        <f aca="false">IF(D2015="","",IFERROR(IF(ISNUMBER(SEARCH(Assumptions!$C$5,D2015)),Assumptions!$D$5,IF(ISNUMBER(SEARCH(Assumptions!$C$6,D2015)),Assumptions!$D$6,IF(ISNUMBER(SEARCH(Assumptions!$C$7,D2015)),Assumptions!$D$7,"Other Services"))),"Other Services"))</f>
        <v/>
      </c>
    </row>
    <row r="2016" customFormat="false" ht="15" hidden="false" customHeight="false" outlineLevel="0" collapsed="false">
      <c r="J2016" s="41" t="str">
        <f aca="false">IF(D2016="","",IFERROR(IF(ISNUMBER(SEARCH(Assumptions!$C$5,D2016)),Assumptions!$D$5,IF(ISNUMBER(SEARCH(Assumptions!$C$6,D2016)),Assumptions!$D$6,IF(ISNUMBER(SEARCH(Assumptions!$C$7,D2016)),Assumptions!$D$7,"Other Services"))),"Other Services"))</f>
        <v/>
      </c>
    </row>
    <row r="2017" customFormat="false" ht="15" hidden="false" customHeight="false" outlineLevel="0" collapsed="false">
      <c r="J2017" s="41" t="str">
        <f aca="false">IF(D2017="","",IFERROR(IF(ISNUMBER(SEARCH(Assumptions!$C$5,D2017)),Assumptions!$D$5,IF(ISNUMBER(SEARCH(Assumptions!$C$6,D2017)),Assumptions!$D$6,IF(ISNUMBER(SEARCH(Assumptions!$C$7,D2017)),Assumptions!$D$7,"Other Services"))),"Other Services"))</f>
        <v/>
      </c>
    </row>
    <row r="2018" customFormat="false" ht="15" hidden="false" customHeight="false" outlineLevel="0" collapsed="false">
      <c r="J2018" s="41" t="str">
        <f aca="false">IF(D2018="","",IFERROR(IF(ISNUMBER(SEARCH(Assumptions!$C$5,D2018)),Assumptions!$D$5,IF(ISNUMBER(SEARCH(Assumptions!$C$6,D2018)),Assumptions!$D$6,IF(ISNUMBER(SEARCH(Assumptions!$C$7,D2018)),Assumptions!$D$7,"Other Services"))),"Other Services"))</f>
        <v/>
      </c>
    </row>
    <row r="2019" customFormat="false" ht="15" hidden="false" customHeight="false" outlineLevel="0" collapsed="false">
      <c r="J2019" s="41" t="str">
        <f aca="false">IF(D2019="","",IFERROR(IF(ISNUMBER(SEARCH(Assumptions!$C$5,D2019)),Assumptions!$D$5,IF(ISNUMBER(SEARCH(Assumptions!$C$6,D2019)),Assumptions!$D$6,IF(ISNUMBER(SEARCH(Assumptions!$C$7,D2019)),Assumptions!$D$7,"Other Services"))),"Other Services"))</f>
        <v/>
      </c>
    </row>
    <row r="2020" customFormat="false" ht="15" hidden="false" customHeight="false" outlineLevel="0" collapsed="false">
      <c r="J2020" s="41" t="str">
        <f aca="false">IF(D2020="","",IFERROR(IF(ISNUMBER(SEARCH(Assumptions!$C$5,D2020)),Assumptions!$D$5,IF(ISNUMBER(SEARCH(Assumptions!$C$6,D2020)),Assumptions!$D$6,IF(ISNUMBER(SEARCH(Assumptions!$C$7,D2020)),Assumptions!$D$7,"Other Services"))),"Other Services"))</f>
        <v/>
      </c>
    </row>
    <row r="2021" customFormat="false" ht="15" hidden="false" customHeight="false" outlineLevel="0" collapsed="false">
      <c r="J2021" s="41" t="str">
        <f aca="false">IF(D2021="","",IFERROR(IF(ISNUMBER(SEARCH(Assumptions!$C$5,D2021)),Assumptions!$D$5,IF(ISNUMBER(SEARCH(Assumptions!$C$6,D2021)),Assumptions!$D$6,IF(ISNUMBER(SEARCH(Assumptions!$C$7,D2021)),Assumptions!$D$7,"Other Services"))),"Other Services"))</f>
        <v/>
      </c>
    </row>
    <row r="2022" customFormat="false" ht="15" hidden="false" customHeight="false" outlineLevel="0" collapsed="false">
      <c r="J2022" s="41" t="str">
        <f aca="false">IF(D2022="","",IFERROR(IF(ISNUMBER(SEARCH(Assumptions!$C$5,D2022)),Assumptions!$D$5,IF(ISNUMBER(SEARCH(Assumptions!$C$6,D2022)),Assumptions!$D$6,IF(ISNUMBER(SEARCH(Assumptions!$C$7,D2022)),Assumptions!$D$7,"Other Services"))),"Other Services"))</f>
        <v/>
      </c>
    </row>
    <row r="2023" customFormat="false" ht="15" hidden="false" customHeight="false" outlineLevel="0" collapsed="false">
      <c r="J2023" s="41" t="str">
        <f aca="false">IF(D2023="","",IFERROR(IF(ISNUMBER(SEARCH(Assumptions!$C$5,D2023)),Assumptions!$D$5,IF(ISNUMBER(SEARCH(Assumptions!$C$6,D2023)),Assumptions!$D$6,IF(ISNUMBER(SEARCH(Assumptions!$C$7,D2023)),Assumptions!$D$7,"Other Services"))),"Other Services"))</f>
        <v/>
      </c>
    </row>
    <row r="2024" customFormat="false" ht="15" hidden="false" customHeight="false" outlineLevel="0" collapsed="false">
      <c r="J2024" s="41" t="str">
        <f aca="false">IF(D2024="","",IFERROR(IF(ISNUMBER(SEARCH(Assumptions!$C$5,D2024)),Assumptions!$D$5,IF(ISNUMBER(SEARCH(Assumptions!$C$6,D2024)),Assumptions!$D$6,IF(ISNUMBER(SEARCH(Assumptions!$C$7,D2024)),Assumptions!$D$7,"Other Services"))),"Other Services"))</f>
        <v/>
      </c>
    </row>
    <row r="2025" customFormat="false" ht="15" hidden="false" customHeight="false" outlineLevel="0" collapsed="false">
      <c r="J2025" s="41" t="str">
        <f aca="false">IF(D2025="","",IFERROR(IF(ISNUMBER(SEARCH(Assumptions!$C$5,D2025)),Assumptions!$D$5,IF(ISNUMBER(SEARCH(Assumptions!$C$6,D2025)),Assumptions!$D$6,IF(ISNUMBER(SEARCH(Assumptions!$C$7,D2025)),Assumptions!$D$7,"Other Services"))),"Other Services"))</f>
        <v/>
      </c>
    </row>
    <row r="2026" customFormat="false" ht="15" hidden="false" customHeight="false" outlineLevel="0" collapsed="false">
      <c r="J2026" s="41" t="str">
        <f aca="false">IF(D2026="","",IFERROR(IF(ISNUMBER(SEARCH(Assumptions!$C$5,D2026)),Assumptions!$D$5,IF(ISNUMBER(SEARCH(Assumptions!$C$6,D2026)),Assumptions!$D$6,IF(ISNUMBER(SEARCH(Assumptions!$C$7,D2026)),Assumptions!$D$7,"Other Services"))),"Other Services"))</f>
        <v/>
      </c>
    </row>
    <row r="2027" customFormat="false" ht="15" hidden="false" customHeight="false" outlineLevel="0" collapsed="false">
      <c r="J2027" s="41" t="str">
        <f aca="false">IF(D2027="","",IFERROR(IF(ISNUMBER(SEARCH(Assumptions!$C$5,D2027)),Assumptions!$D$5,IF(ISNUMBER(SEARCH(Assumptions!$C$6,D2027)),Assumptions!$D$6,IF(ISNUMBER(SEARCH(Assumptions!$C$7,D2027)),Assumptions!$D$7,"Other Services"))),"Other Services"))</f>
        <v/>
      </c>
    </row>
    <row r="2028" customFormat="false" ht="15" hidden="false" customHeight="false" outlineLevel="0" collapsed="false">
      <c r="J2028" s="41" t="str">
        <f aca="false">IF(D2028="","",IFERROR(IF(ISNUMBER(SEARCH(Assumptions!$C$5,D2028)),Assumptions!$D$5,IF(ISNUMBER(SEARCH(Assumptions!$C$6,D2028)),Assumptions!$D$6,IF(ISNUMBER(SEARCH(Assumptions!$C$7,D2028)),Assumptions!$D$7,"Other Services"))),"Other Services"))</f>
        <v/>
      </c>
    </row>
    <row r="2029" customFormat="false" ht="15" hidden="false" customHeight="false" outlineLevel="0" collapsed="false">
      <c r="J2029" s="41" t="str">
        <f aca="false">IF(D2029="","",IFERROR(IF(ISNUMBER(SEARCH(Assumptions!$C$5,D2029)),Assumptions!$D$5,IF(ISNUMBER(SEARCH(Assumptions!$C$6,D2029)),Assumptions!$D$6,IF(ISNUMBER(SEARCH(Assumptions!$C$7,D2029)),Assumptions!$D$7,"Other Services"))),"Other Services"))</f>
        <v/>
      </c>
    </row>
    <row r="2030" customFormat="false" ht="15" hidden="false" customHeight="false" outlineLevel="0" collapsed="false">
      <c r="J2030" s="41" t="str">
        <f aca="false">IF(D2030="","",IFERROR(IF(ISNUMBER(SEARCH(Assumptions!$C$5,D2030)),Assumptions!$D$5,IF(ISNUMBER(SEARCH(Assumptions!$C$6,D2030)),Assumptions!$D$6,IF(ISNUMBER(SEARCH(Assumptions!$C$7,D2030)),Assumptions!$D$7,"Other Services"))),"Other Services"))</f>
        <v/>
      </c>
    </row>
    <row r="2031" customFormat="false" ht="15" hidden="false" customHeight="false" outlineLevel="0" collapsed="false">
      <c r="J2031" s="41" t="str">
        <f aca="false">IF(D2031="","",IFERROR(IF(ISNUMBER(SEARCH(Assumptions!$C$5,D2031)),Assumptions!$D$5,IF(ISNUMBER(SEARCH(Assumptions!$C$6,D2031)),Assumptions!$D$6,IF(ISNUMBER(SEARCH(Assumptions!$C$7,D2031)),Assumptions!$D$7,"Other Services"))),"Other Services"))</f>
        <v/>
      </c>
    </row>
    <row r="2032" customFormat="false" ht="15" hidden="false" customHeight="false" outlineLevel="0" collapsed="false">
      <c r="J2032" s="41" t="str">
        <f aca="false">IF(D2032="","",IFERROR(IF(ISNUMBER(SEARCH(Assumptions!$C$5,D2032)),Assumptions!$D$5,IF(ISNUMBER(SEARCH(Assumptions!$C$6,D2032)),Assumptions!$D$6,IF(ISNUMBER(SEARCH(Assumptions!$C$7,D2032)),Assumptions!$D$7,"Other Services"))),"Other Services"))</f>
        <v/>
      </c>
    </row>
    <row r="2033" customFormat="false" ht="15" hidden="false" customHeight="false" outlineLevel="0" collapsed="false">
      <c r="J2033" s="41" t="str">
        <f aca="false">IF(D2033="","",IFERROR(IF(ISNUMBER(SEARCH(Assumptions!$C$5,D2033)),Assumptions!$D$5,IF(ISNUMBER(SEARCH(Assumptions!$C$6,D2033)),Assumptions!$D$6,IF(ISNUMBER(SEARCH(Assumptions!$C$7,D2033)),Assumptions!$D$7,"Other Services"))),"Other Services"))</f>
        <v/>
      </c>
    </row>
    <row r="2034" customFormat="false" ht="15" hidden="false" customHeight="false" outlineLevel="0" collapsed="false">
      <c r="J2034" s="41" t="str">
        <f aca="false">IF(D2034="","",IFERROR(IF(ISNUMBER(SEARCH(Assumptions!$C$5,D2034)),Assumptions!$D$5,IF(ISNUMBER(SEARCH(Assumptions!$C$6,D2034)),Assumptions!$D$6,IF(ISNUMBER(SEARCH(Assumptions!$C$7,D2034)),Assumptions!$D$7,"Other Services"))),"Other Services"))</f>
        <v/>
      </c>
    </row>
    <row r="2035" customFormat="false" ht="15" hidden="false" customHeight="false" outlineLevel="0" collapsed="false">
      <c r="J2035" s="41" t="str">
        <f aca="false">IF(D2035="","",IFERROR(IF(ISNUMBER(SEARCH(Assumptions!$C$5,D2035)),Assumptions!$D$5,IF(ISNUMBER(SEARCH(Assumptions!$C$6,D2035)),Assumptions!$D$6,IF(ISNUMBER(SEARCH(Assumptions!$C$7,D2035)),Assumptions!$D$7,"Other Services"))),"Other Services"))</f>
        <v/>
      </c>
    </row>
    <row r="2036" customFormat="false" ht="15" hidden="false" customHeight="false" outlineLevel="0" collapsed="false">
      <c r="J2036" s="41" t="str">
        <f aca="false">IF(D2036="","",IFERROR(IF(ISNUMBER(SEARCH(Assumptions!$C$5,D2036)),Assumptions!$D$5,IF(ISNUMBER(SEARCH(Assumptions!$C$6,D2036)),Assumptions!$D$6,IF(ISNUMBER(SEARCH(Assumptions!$C$7,D2036)),Assumptions!$D$7,"Other Services"))),"Other Services"))</f>
        <v/>
      </c>
    </row>
    <row r="2037" customFormat="false" ht="15" hidden="false" customHeight="false" outlineLevel="0" collapsed="false">
      <c r="J2037" s="41" t="str">
        <f aca="false">IF(D2037="","",IFERROR(IF(ISNUMBER(SEARCH(Assumptions!$C$5,D2037)),Assumptions!$D$5,IF(ISNUMBER(SEARCH(Assumptions!$C$6,D2037)),Assumptions!$D$6,IF(ISNUMBER(SEARCH(Assumptions!$C$7,D2037)),Assumptions!$D$7,"Other Services"))),"Other Services"))</f>
        <v/>
      </c>
    </row>
    <row r="2038" customFormat="false" ht="15" hidden="false" customHeight="false" outlineLevel="0" collapsed="false">
      <c r="J2038" s="41" t="str">
        <f aca="false">IF(D2038="","",IFERROR(IF(ISNUMBER(SEARCH(Assumptions!$C$5,D2038)),Assumptions!$D$5,IF(ISNUMBER(SEARCH(Assumptions!$C$6,D2038)),Assumptions!$D$6,IF(ISNUMBER(SEARCH(Assumptions!$C$7,D2038)),Assumptions!$D$7,"Other Services"))),"Other Services"))</f>
        <v/>
      </c>
    </row>
    <row r="2039" customFormat="false" ht="15" hidden="false" customHeight="false" outlineLevel="0" collapsed="false">
      <c r="J2039" s="41" t="str">
        <f aca="false">IF(D2039="","",IFERROR(IF(ISNUMBER(SEARCH(Assumptions!$C$5,D2039)),Assumptions!$D$5,IF(ISNUMBER(SEARCH(Assumptions!$C$6,D2039)),Assumptions!$D$6,IF(ISNUMBER(SEARCH(Assumptions!$C$7,D2039)),Assumptions!$D$7,"Other Services"))),"Other Services"))</f>
        <v/>
      </c>
    </row>
    <row r="2040" customFormat="false" ht="15" hidden="false" customHeight="false" outlineLevel="0" collapsed="false">
      <c r="J2040" s="41" t="str">
        <f aca="false">IF(D2040="","",IFERROR(IF(ISNUMBER(SEARCH(Assumptions!$C$5,D2040)),Assumptions!$D$5,IF(ISNUMBER(SEARCH(Assumptions!$C$6,D2040)),Assumptions!$D$6,IF(ISNUMBER(SEARCH(Assumptions!$C$7,D2040)),Assumptions!$D$7,"Other Services"))),"Other Services"))</f>
        <v/>
      </c>
    </row>
    <row r="2041" customFormat="false" ht="15" hidden="false" customHeight="false" outlineLevel="0" collapsed="false">
      <c r="J2041" s="41" t="str">
        <f aca="false">IF(D2041="","",IFERROR(IF(ISNUMBER(SEARCH(Assumptions!$C$5,D2041)),Assumptions!$D$5,IF(ISNUMBER(SEARCH(Assumptions!$C$6,D2041)),Assumptions!$D$6,IF(ISNUMBER(SEARCH(Assumptions!$C$7,D2041)),Assumptions!$D$7,"Other Services"))),"Other Services"))</f>
        <v/>
      </c>
    </row>
    <row r="2042" customFormat="false" ht="15" hidden="false" customHeight="false" outlineLevel="0" collapsed="false">
      <c r="J2042" s="41" t="str">
        <f aca="false">IF(D2042="","",IFERROR(IF(ISNUMBER(SEARCH(Assumptions!$C$5,D2042)),Assumptions!$D$5,IF(ISNUMBER(SEARCH(Assumptions!$C$6,D2042)),Assumptions!$D$6,IF(ISNUMBER(SEARCH(Assumptions!$C$7,D2042)),Assumptions!$D$7,"Other Services"))),"Other Services"))</f>
        <v/>
      </c>
    </row>
    <row r="2043" customFormat="false" ht="15" hidden="false" customHeight="false" outlineLevel="0" collapsed="false">
      <c r="J2043" s="41" t="str">
        <f aca="false">IF(D2043="","",IFERROR(IF(ISNUMBER(SEARCH(Assumptions!$C$5,D2043)),Assumptions!$D$5,IF(ISNUMBER(SEARCH(Assumptions!$C$6,D2043)),Assumptions!$D$6,IF(ISNUMBER(SEARCH(Assumptions!$C$7,D2043)),Assumptions!$D$7,"Other Services"))),"Other Services"))</f>
        <v/>
      </c>
    </row>
    <row r="2044" customFormat="false" ht="15" hidden="false" customHeight="false" outlineLevel="0" collapsed="false">
      <c r="J2044" s="41" t="str">
        <f aca="false">IF(D2044="","",IFERROR(IF(ISNUMBER(SEARCH(Assumptions!$C$5,D2044)),Assumptions!$D$5,IF(ISNUMBER(SEARCH(Assumptions!$C$6,D2044)),Assumptions!$D$6,IF(ISNUMBER(SEARCH(Assumptions!$C$7,D2044)),Assumptions!$D$7,"Other Services"))),"Other Services"))</f>
        <v/>
      </c>
    </row>
    <row r="2045" customFormat="false" ht="15" hidden="false" customHeight="false" outlineLevel="0" collapsed="false">
      <c r="J2045" s="41" t="str">
        <f aca="false">IF(D2045="","",IFERROR(IF(ISNUMBER(SEARCH(Assumptions!$C$5,D2045)),Assumptions!$D$5,IF(ISNUMBER(SEARCH(Assumptions!$C$6,D2045)),Assumptions!$D$6,IF(ISNUMBER(SEARCH(Assumptions!$C$7,D2045)),Assumptions!$D$7,"Other Services"))),"Other Services"))</f>
        <v/>
      </c>
    </row>
    <row r="2046" customFormat="false" ht="15" hidden="false" customHeight="false" outlineLevel="0" collapsed="false">
      <c r="J2046" s="41" t="str">
        <f aca="false">IF(D2046="","",IFERROR(IF(ISNUMBER(SEARCH(Assumptions!$C$5,D2046)),Assumptions!$D$5,IF(ISNUMBER(SEARCH(Assumptions!$C$6,D2046)),Assumptions!$D$6,IF(ISNUMBER(SEARCH(Assumptions!$C$7,D2046)),Assumptions!$D$7,"Other Services"))),"Other Services"))</f>
        <v/>
      </c>
    </row>
    <row r="2047" customFormat="false" ht="15" hidden="false" customHeight="false" outlineLevel="0" collapsed="false">
      <c r="J2047" s="41" t="str">
        <f aca="false">IF(D2047="","",IFERROR(IF(ISNUMBER(SEARCH(Assumptions!$C$5,D2047)),Assumptions!$D$5,IF(ISNUMBER(SEARCH(Assumptions!$C$6,D2047)),Assumptions!$D$6,IF(ISNUMBER(SEARCH(Assumptions!$C$7,D2047)),Assumptions!$D$7,"Other Services"))),"Other Services"))</f>
        <v/>
      </c>
    </row>
    <row r="2048" customFormat="false" ht="15" hidden="false" customHeight="false" outlineLevel="0" collapsed="false">
      <c r="J2048" s="41" t="str">
        <f aca="false">IF(D2048="","",IFERROR(IF(ISNUMBER(SEARCH(Assumptions!$C$5,D2048)),Assumptions!$D$5,IF(ISNUMBER(SEARCH(Assumptions!$C$6,D2048)),Assumptions!$D$6,IF(ISNUMBER(SEARCH(Assumptions!$C$7,D2048)),Assumptions!$D$7,"Other Services"))),"Other Services"))</f>
        <v/>
      </c>
    </row>
    <row r="2049" customFormat="false" ht="15" hidden="false" customHeight="false" outlineLevel="0" collapsed="false">
      <c r="J2049" s="41" t="str">
        <f aca="false">IF(D2049="","",IFERROR(IF(ISNUMBER(SEARCH(Assumptions!$C$5,D2049)),Assumptions!$D$5,IF(ISNUMBER(SEARCH(Assumptions!$C$6,D2049)),Assumptions!$D$6,IF(ISNUMBER(SEARCH(Assumptions!$C$7,D2049)),Assumptions!$D$7,"Other Services"))),"Other Services"))</f>
        <v/>
      </c>
    </row>
    <row r="2050" customFormat="false" ht="15" hidden="false" customHeight="false" outlineLevel="0" collapsed="false">
      <c r="J2050" s="41" t="str">
        <f aca="false">IF(D2050="","",IFERROR(IF(ISNUMBER(SEARCH(Assumptions!$C$5,D2050)),Assumptions!$D$5,IF(ISNUMBER(SEARCH(Assumptions!$C$6,D2050)),Assumptions!$D$6,IF(ISNUMBER(SEARCH(Assumptions!$C$7,D2050)),Assumptions!$D$7,"Other Services"))),"Other Services"))</f>
        <v/>
      </c>
    </row>
    <row r="2051" customFormat="false" ht="15" hidden="false" customHeight="false" outlineLevel="0" collapsed="false">
      <c r="J2051" s="41" t="str">
        <f aca="false">IF(D2051="","",IFERROR(IF(ISNUMBER(SEARCH(Assumptions!$C$5,D2051)),Assumptions!$D$5,IF(ISNUMBER(SEARCH(Assumptions!$C$6,D2051)),Assumptions!$D$6,IF(ISNUMBER(SEARCH(Assumptions!$C$7,D2051)),Assumptions!$D$7,"Other Services"))),"Other Services"))</f>
        <v/>
      </c>
    </row>
    <row r="2052" customFormat="false" ht="15" hidden="false" customHeight="false" outlineLevel="0" collapsed="false">
      <c r="J2052" s="41" t="str">
        <f aca="false">IF(D2052="","",IFERROR(IF(ISNUMBER(SEARCH(Assumptions!$C$5,D2052)),Assumptions!$D$5,IF(ISNUMBER(SEARCH(Assumptions!$C$6,D2052)),Assumptions!$D$6,IF(ISNUMBER(SEARCH(Assumptions!$C$7,D2052)),Assumptions!$D$7,"Other Services"))),"Other Services"))</f>
        <v/>
      </c>
    </row>
    <row r="2053" customFormat="false" ht="15" hidden="false" customHeight="false" outlineLevel="0" collapsed="false">
      <c r="J2053" s="41" t="str">
        <f aca="false">IF(D2053="","",IFERROR(IF(ISNUMBER(SEARCH(Assumptions!$C$5,D2053)),Assumptions!$D$5,IF(ISNUMBER(SEARCH(Assumptions!$C$6,D2053)),Assumptions!$D$6,IF(ISNUMBER(SEARCH(Assumptions!$C$7,D2053)),Assumptions!$D$7,"Other Services"))),"Other Services"))</f>
        <v/>
      </c>
    </row>
    <row r="2054" customFormat="false" ht="15" hidden="false" customHeight="false" outlineLevel="0" collapsed="false">
      <c r="J2054" s="41" t="str">
        <f aca="false">IF(D2054="","",IFERROR(IF(ISNUMBER(SEARCH(Assumptions!$C$5,D2054)),Assumptions!$D$5,IF(ISNUMBER(SEARCH(Assumptions!$C$6,D2054)),Assumptions!$D$6,IF(ISNUMBER(SEARCH(Assumptions!$C$7,D2054)),Assumptions!$D$7,"Other Services"))),"Other Services"))</f>
        <v/>
      </c>
    </row>
    <row r="2055" customFormat="false" ht="15" hidden="false" customHeight="false" outlineLevel="0" collapsed="false">
      <c r="J2055" s="41" t="str">
        <f aca="false">IF(D2055="","",IFERROR(IF(ISNUMBER(SEARCH(Assumptions!$C$5,D2055)),Assumptions!$D$5,IF(ISNUMBER(SEARCH(Assumptions!$C$6,D2055)),Assumptions!$D$6,IF(ISNUMBER(SEARCH(Assumptions!$C$7,D2055)),Assumptions!$D$7,"Other Services"))),"Other Services"))</f>
        <v/>
      </c>
    </row>
    <row r="2056" customFormat="false" ht="15" hidden="false" customHeight="false" outlineLevel="0" collapsed="false">
      <c r="J2056" s="41" t="str">
        <f aca="false">IF(D2056="","",IFERROR(IF(ISNUMBER(SEARCH(Assumptions!$C$5,D2056)),Assumptions!$D$5,IF(ISNUMBER(SEARCH(Assumptions!$C$6,D2056)),Assumptions!$D$6,IF(ISNUMBER(SEARCH(Assumptions!$C$7,D2056)),Assumptions!$D$7,"Other Services"))),"Other Services"))</f>
        <v/>
      </c>
    </row>
    <row r="2057" customFormat="false" ht="15" hidden="false" customHeight="false" outlineLevel="0" collapsed="false">
      <c r="J2057" s="41" t="str">
        <f aca="false">IF(D2057="","",IFERROR(IF(ISNUMBER(SEARCH(Assumptions!$C$5,D2057)),Assumptions!$D$5,IF(ISNUMBER(SEARCH(Assumptions!$C$6,D2057)),Assumptions!$D$6,IF(ISNUMBER(SEARCH(Assumptions!$C$7,D2057)),Assumptions!$D$7,"Other Services"))),"Other Services"))</f>
        <v/>
      </c>
    </row>
    <row r="2058" customFormat="false" ht="15" hidden="false" customHeight="false" outlineLevel="0" collapsed="false">
      <c r="J2058" s="41" t="str">
        <f aca="false">IF(D2058="","",IFERROR(IF(ISNUMBER(SEARCH(Assumptions!$C$5,D2058)),Assumptions!$D$5,IF(ISNUMBER(SEARCH(Assumptions!$C$6,D2058)),Assumptions!$D$6,IF(ISNUMBER(SEARCH(Assumptions!$C$7,D2058)),Assumptions!$D$7,"Other Services"))),"Other Services"))</f>
        <v/>
      </c>
    </row>
    <row r="2059" customFormat="false" ht="15" hidden="false" customHeight="false" outlineLevel="0" collapsed="false">
      <c r="J2059" s="41" t="str">
        <f aca="false">IF(D2059="","",IFERROR(IF(ISNUMBER(SEARCH(Assumptions!$C$5,D2059)),Assumptions!$D$5,IF(ISNUMBER(SEARCH(Assumptions!$C$6,D2059)),Assumptions!$D$6,IF(ISNUMBER(SEARCH(Assumptions!$C$7,D2059)),Assumptions!$D$7,"Other Services"))),"Other Services"))</f>
        <v/>
      </c>
    </row>
    <row r="2060" customFormat="false" ht="15" hidden="false" customHeight="false" outlineLevel="0" collapsed="false">
      <c r="J2060" s="41" t="str">
        <f aca="false">IF(D2060="","",IFERROR(IF(ISNUMBER(SEARCH(Assumptions!$C$5,D2060)),Assumptions!$D$5,IF(ISNUMBER(SEARCH(Assumptions!$C$6,D2060)),Assumptions!$D$6,IF(ISNUMBER(SEARCH(Assumptions!$C$7,D2060)),Assumptions!$D$7,"Other Services"))),"Other Services"))</f>
        <v/>
      </c>
    </row>
    <row r="2061" customFormat="false" ht="15" hidden="false" customHeight="false" outlineLevel="0" collapsed="false">
      <c r="J2061" s="41" t="str">
        <f aca="false">IF(D2061="","",IFERROR(IF(ISNUMBER(SEARCH(Assumptions!$C$5,D2061)),Assumptions!$D$5,IF(ISNUMBER(SEARCH(Assumptions!$C$6,D2061)),Assumptions!$D$6,IF(ISNUMBER(SEARCH(Assumptions!$C$7,D2061)),Assumptions!$D$7,"Other Services"))),"Other Services"))</f>
        <v/>
      </c>
    </row>
    <row r="2062" customFormat="false" ht="15" hidden="false" customHeight="false" outlineLevel="0" collapsed="false">
      <c r="J2062" s="41" t="str">
        <f aca="false">IF(D2062="","",IFERROR(IF(ISNUMBER(SEARCH(Assumptions!$C$5,D2062)),Assumptions!$D$5,IF(ISNUMBER(SEARCH(Assumptions!$C$6,D2062)),Assumptions!$D$6,IF(ISNUMBER(SEARCH(Assumptions!$C$7,D2062)),Assumptions!$D$7,"Other Services"))),"Other Services"))</f>
        <v/>
      </c>
    </row>
    <row r="2063" customFormat="false" ht="15" hidden="false" customHeight="false" outlineLevel="0" collapsed="false">
      <c r="J2063" s="41" t="str">
        <f aca="false">IF(D2063="","",IFERROR(IF(ISNUMBER(SEARCH(Assumptions!$C$5,D2063)),Assumptions!$D$5,IF(ISNUMBER(SEARCH(Assumptions!$C$6,D2063)),Assumptions!$D$6,IF(ISNUMBER(SEARCH(Assumptions!$C$7,D2063)),Assumptions!$D$7,"Other Services"))),"Other Services"))</f>
        <v/>
      </c>
    </row>
    <row r="2064" customFormat="false" ht="15" hidden="false" customHeight="false" outlineLevel="0" collapsed="false">
      <c r="J2064" s="41" t="str">
        <f aca="false">IF(D2064="","",IFERROR(IF(ISNUMBER(SEARCH(Assumptions!$C$5,D2064)),Assumptions!$D$5,IF(ISNUMBER(SEARCH(Assumptions!$C$6,D2064)),Assumptions!$D$6,IF(ISNUMBER(SEARCH(Assumptions!$C$7,D2064)),Assumptions!$D$7,"Other Services"))),"Other Services"))</f>
        <v/>
      </c>
    </row>
    <row r="2065" customFormat="false" ht="15" hidden="false" customHeight="false" outlineLevel="0" collapsed="false">
      <c r="J2065" s="41" t="str">
        <f aca="false">IF(D2065="","",IFERROR(IF(ISNUMBER(SEARCH(Assumptions!$C$5,D2065)),Assumptions!$D$5,IF(ISNUMBER(SEARCH(Assumptions!$C$6,D2065)),Assumptions!$D$6,IF(ISNUMBER(SEARCH(Assumptions!$C$7,D2065)),Assumptions!$D$7,"Other Services"))),"Other Services"))</f>
        <v/>
      </c>
    </row>
    <row r="2066" customFormat="false" ht="15" hidden="false" customHeight="false" outlineLevel="0" collapsed="false">
      <c r="J2066" s="41" t="str">
        <f aca="false">IF(D2066="","",IFERROR(IF(ISNUMBER(SEARCH(Assumptions!$C$5,D2066)),Assumptions!$D$5,IF(ISNUMBER(SEARCH(Assumptions!$C$6,D2066)),Assumptions!$D$6,IF(ISNUMBER(SEARCH(Assumptions!$C$7,D2066)),Assumptions!$D$7,"Other Services"))),"Other Services"))</f>
        <v/>
      </c>
    </row>
    <row r="2067" customFormat="false" ht="15" hidden="false" customHeight="false" outlineLevel="0" collapsed="false">
      <c r="J2067" s="41" t="str">
        <f aca="false">IF(D2067="","",IFERROR(IF(ISNUMBER(SEARCH(Assumptions!$C$5,D2067)),Assumptions!$D$5,IF(ISNUMBER(SEARCH(Assumptions!$C$6,D2067)),Assumptions!$D$6,IF(ISNUMBER(SEARCH(Assumptions!$C$7,D2067)),Assumptions!$D$7,"Other Services"))),"Other Services"))</f>
        <v/>
      </c>
    </row>
    <row r="2068" customFormat="false" ht="15" hidden="false" customHeight="false" outlineLevel="0" collapsed="false">
      <c r="J2068" s="41" t="str">
        <f aca="false">IF(D2068="","",IFERROR(IF(ISNUMBER(SEARCH(Assumptions!$C$5,D2068)),Assumptions!$D$5,IF(ISNUMBER(SEARCH(Assumptions!$C$6,D2068)),Assumptions!$D$6,IF(ISNUMBER(SEARCH(Assumptions!$C$7,D2068)),Assumptions!$D$7,"Other Services"))),"Other Services"))</f>
        <v/>
      </c>
    </row>
    <row r="2069" customFormat="false" ht="15" hidden="false" customHeight="false" outlineLevel="0" collapsed="false">
      <c r="J2069" s="41" t="str">
        <f aca="false">IF(D2069="","",IFERROR(IF(ISNUMBER(SEARCH(Assumptions!$C$5,D2069)),Assumptions!$D$5,IF(ISNUMBER(SEARCH(Assumptions!$C$6,D2069)),Assumptions!$D$6,IF(ISNUMBER(SEARCH(Assumptions!$C$7,D2069)),Assumptions!$D$7,"Other Services"))),"Other Services"))</f>
        <v/>
      </c>
    </row>
    <row r="2070" customFormat="false" ht="15" hidden="false" customHeight="false" outlineLevel="0" collapsed="false">
      <c r="J2070" s="41" t="str">
        <f aca="false">IF(D2070="","",IFERROR(IF(ISNUMBER(SEARCH(Assumptions!$C$5,D2070)),Assumptions!$D$5,IF(ISNUMBER(SEARCH(Assumptions!$C$6,D2070)),Assumptions!$D$6,IF(ISNUMBER(SEARCH(Assumptions!$C$7,D2070)),Assumptions!$D$7,"Other Services"))),"Other Services"))</f>
        <v/>
      </c>
    </row>
    <row r="2071" customFormat="false" ht="15" hidden="false" customHeight="false" outlineLevel="0" collapsed="false">
      <c r="J2071" s="41" t="str">
        <f aca="false">IF(D2071="","",IFERROR(IF(ISNUMBER(SEARCH(Assumptions!$C$5,D2071)),Assumptions!$D$5,IF(ISNUMBER(SEARCH(Assumptions!$C$6,D2071)),Assumptions!$D$6,IF(ISNUMBER(SEARCH(Assumptions!$C$7,D2071)),Assumptions!$D$7,"Other Services"))),"Other Services"))</f>
        <v/>
      </c>
    </row>
    <row r="2072" customFormat="false" ht="15" hidden="false" customHeight="false" outlineLevel="0" collapsed="false">
      <c r="J2072" s="41" t="str">
        <f aca="false">IF(D2072="","",IFERROR(IF(ISNUMBER(SEARCH(Assumptions!$C$5,D2072)),Assumptions!$D$5,IF(ISNUMBER(SEARCH(Assumptions!$C$6,D2072)),Assumptions!$D$6,IF(ISNUMBER(SEARCH(Assumptions!$C$7,D2072)),Assumptions!$D$7,"Other Services"))),"Other Services"))</f>
        <v/>
      </c>
    </row>
    <row r="2073" customFormat="false" ht="15" hidden="false" customHeight="false" outlineLevel="0" collapsed="false">
      <c r="J2073" s="41" t="str">
        <f aca="false">IF(D2073="","",IFERROR(IF(ISNUMBER(SEARCH(Assumptions!$C$5,D2073)),Assumptions!$D$5,IF(ISNUMBER(SEARCH(Assumptions!$C$6,D2073)),Assumptions!$D$6,IF(ISNUMBER(SEARCH(Assumptions!$C$7,D2073)),Assumptions!$D$7,"Other Services"))),"Other Services"))</f>
        <v/>
      </c>
    </row>
    <row r="2074" customFormat="false" ht="15" hidden="false" customHeight="false" outlineLevel="0" collapsed="false">
      <c r="J2074" s="41" t="str">
        <f aca="false">IF(D2074="","",IFERROR(IF(ISNUMBER(SEARCH(Assumptions!$C$5,D2074)),Assumptions!$D$5,IF(ISNUMBER(SEARCH(Assumptions!$C$6,D2074)),Assumptions!$D$6,IF(ISNUMBER(SEARCH(Assumptions!$C$7,D2074)),Assumptions!$D$7,"Other Services"))),"Other Services"))</f>
        <v/>
      </c>
    </row>
    <row r="2075" customFormat="false" ht="15" hidden="false" customHeight="false" outlineLevel="0" collapsed="false">
      <c r="J2075" s="41" t="str">
        <f aca="false">IF(D2075="","",IFERROR(IF(ISNUMBER(SEARCH(Assumptions!$C$5,D2075)),Assumptions!$D$5,IF(ISNUMBER(SEARCH(Assumptions!$C$6,D2075)),Assumptions!$D$6,IF(ISNUMBER(SEARCH(Assumptions!$C$7,D2075)),Assumptions!$D$7,"Other Services"))),"Other Services"))</f>
        <v/>
      </c>
    </row>
    <row r="2076" customFormat="false" ht="15" hidden="false" customHeight="false" outlineLevel="0" collapsed="false">
      <c r="J2076" s="41" t="str">
        <f aca="false">IF(D2076="","",IFERROR(IF(ISNUMBER(SEARCH(Assumptions!$C$5,D2076)),Assumptions!$D$5,IF(ISNUMBER(SEARCH(Assumptions!$C$6,D2076)),Assumptions!$D$6,IF(ISNUMBER(SEARCH(Assumptions!$C$7,D2076)),Assumptions!$D$7,"Other Services"))),"Other Services"))</f>
        <v/>
      </c>
    </row>
    <row r="2077" customFormat="false" ht="15" hidden="false" customHeight="false" outlineLevel="0" collapsed="false">
      <c r="J2077" s="41" t="str">
        <f aca="false">IF(D2077="","",IFERROR(IF(ISNUMBER(SEARCH(Assumptions!$C$5,D2077)),Assumptions!$D$5,IF(ISNUMBER(SEARCH(Assumptions!$C$6,D2077)),Assumptions!$D$6,IF(ISNUMBER(SEARCH(Assumptions!$C$7,D2077)),Assumptions!$D$7,"Other Services"))),"Other Services"))</f>
        <v/>
      </c>
    </row>
    <row r="2078" customFormat="false" ht="15" hidden="false" customHeight="false" outlineLevel="0" collapsed="false">
      <c r="J2078" s="41" t="str">
        <f aca="false">IF(D2078="","",IFERROR(IF(ISNUMBER(SEARCH(Assumptions!$C$5,D2078)),Assumptions!$D$5,IF(ISNUMBER(SEARCH(Assumptions!$C$6,D2078)),Assumptions!$D$6,IF(ISNUMBER(SEARCH(Assumptions!$C$7,D2078)),Assumptions!$D$7,"Other Services"))),"Other Services"))</f>
        <v/>
      </c>
    </row>
    <row r="2079" customFormat="false" ht="15" hidden="false" customHeight="false" outlineLevel="0" collapsed="false">
      <c r="J2079" s="41" t="str">
        <f aca="false">IF(D2079="","",IFERROR(IF(ISNUMBER(SEARCH(Assumptions!$C$5,D2079)),Assumptions!$D$5,IF(ISNUMBER(SEARCH(Assumptions!$C$6,D2079)),Assumptions!$D$6,IF(ISNUMBER(SEARCH(Assumptions!$C$7,D2079)),Assumptions!$D$7,"Other Services"))),"Other Services"))</f>
        <v/>
      </c>
    </row>
    <row r="2080" customFormat="false" ht="15" hidden="false" customHeight="false" outlineLevel="0" collapsed="false">
      <c r="J2080" s="41" t="str">
        <f aca="false">IF(D2080="","",IFERROR(IF(ISNUMBER(SEARCH(Assumptions!$C$5,D2080)),Assumptions!$D$5,IF(ISNUMBER(SEARCH(Assumptions!$C$6,D2080)),Assumptions!$D$6,IF(ISNUMBER(SEARCH(Assumptions!$C$7,D2080)),Assumptions!$D$7,"Other Services"))),"Other Services"))</f>
        <v/>
      </c>
    </row>
    <row r="2081" customFormat="false" ht="15" hidden="false" customHeight="false" outlineLevel="0" collapsed="false">
      <c r="J2081" s="41" t="str">
        <f aca="false">IF(D2081="","",IFERROR(IF(ISNUMBER(SEARCH(Assumptions!$C$5,D2081)),Assumptions!$D$5,IF(ISNUMBER(SEARCH(Assumptions!$C$6,D2081)),Assumptions!$D$6,IF(ISNUMBER(SEARCH(Assumptions!$C$7,D2081)),Assumptions!$D$7,"Other Services"))),"Other Services"))</f>
        <v/>
      </c>
    </row>
    <row r="2082" customFormat="false" ht="15" hidden="false" customHeight="false" outlineLevel="0" collapsed="false">
      <c r="J2082" s="41" t="str">
        <f aca="false">IF(D2082="","",IFERROR(IF(ISNUMBER(SEARCH(Assumptions!$C$5,D2082)),Assumptions!$D$5,IF(ISNUMBER(SEARCH(Assumptions!$C$6,D2082)),Assumptions!$D$6,IF(ISNUMBER(SEARCH(Assumptions!$C$7,D2082)),Assumptions!$D$7,"Other Services"))),"Other Services"))</f>
        <v/>
      </c>
    </row>
    <row r="2083" customFormat="false" ht="15" hidden="false" customHeight="false" outlineLevel="0" collapsed="false">
      <c r="J2083" s="41" t="str">
        <f aca="false">IF(D2083="","",IFERROR(IF(ISNUMBER(SEARCH(Assumptions!$C$5,D2083)),Assumptions!$D$5,IF(ISNUMBER(SEARCH(Assumptions!$C$6,D2083)),Assumptions!$D$6,IF(ISNUMBER(SEARCH(Assumptions!$C$7,D2083)),Assumptions!$D$7,"Other Services"))),"Other Services"))</f>
        <v/>
      </c>
    </row>
    <row r="2084" customFormat="false" ht="15" hidden="false" customHeight="false" outlineLevel="0" collapsed="false">
      <c r="J2084" s="41" t="str">
        <f aca="false">IF(D2084="","",IFERROR(IF(ISNUMBER(SEARCH(Assumptions!$C$5,D2084)),Assumptions!$D$5,IF(ISNUMBER(SEARCH(Assumptions!$C$6,D2084)),Assumptions!$D$6,IF(ISNUMBER(SEARCH(Assumptions!$C$7,D2084)),Assumptions!$D$7,"Other Services"))),"Other Services"))</f>
        <v/>
      </c>
    </row>
    <row r="2085" customFormat="false" ht="15" hidden="false" customHeight="false" outlineLevel="0" collapsed="false">
      <c r="J2085" s="41" t="str">
        <f aca="false">IF(D2085="","",IFERROR(IF(ISNUMBER(SEARCH(Assumptions!$C$5,D2085)),Assumptions!$D$5,IF(ISNUMBER(SEARCH(Assumptions!$C$6,D2085)),Assumptions!$D$6,IF(ISNUMBER(SEARCH(Assumptions!$C$7,D2085)),Assumptions!$D$7,"Other Services"))),"Other Services"))</f>
        <v/>
      </c>
    </row>
    <row r="2086" customFormat="false" ht="15" hidden="false" customHeight="false" outlineLevel="0" collapsed="false">
      <c r="J2086" s="41" t="str">
        <f aca="false">IF(D2086="","",IFERROR(IF(ISNUMBER(SEARCH(Assumptions!$C$5,D2086)),Assumptions!$D$5,IF(ISNUMBER(SEARCH(Assumptions!$C$6,D2086)),Assumptions!$D$6,IF(ISNUMBER(SEARCH(Assumptions!$C$7,D2086)),Assumptions!$D$7,"Other Services"))),"Other Services"))</f>
        <v/>
      </c>
    </row>
    <row r="2087" customFormat="false" ht="15" hidden="false" customHeight="false" outlineLevel="0" collapsed="false">
      <c r="J2087" s="41" t="str">
        <f aca="false">IF(D2087="","",IFERROR(IF(ISNUMBER(SEARCH(Assumptions!$C$5,D2087)),Assumptions!$D$5,IF(ISNUMBER(SEARCH(Assumptions!$C$6,D2087)),Assumptions!$D$6,IF(ISNUMBER(SEARCH(Assumptions!$C$7,D2087)),Assumptions!$D$7,"Other Services"))),"Other Services"))</f>
        <v/>
      </c>
    </row>
    <row r="2088" customFormat="false" ht="15" hidden="false" customHeight="false" outlineLevel="0" collapsed="false">
      <c r="J2088" s="41" t="str">
        <f aca="false">IF(D2088="","",IFERROR(IF(ISNUMBER(SEARCH(Assumptions!$C$5,D2088)),Assumptions!$D$5,IF(ISNUMBER(SEARCH(Assumptions!$C$6,D2088)),Assumptions!$D$6,IF(ISNUMBER(SEARCH(Assumptions!$C$7,D2088)),Assumptions!$D$7,"Other Services"))),"Other Services"))</f>
        <v/>
      </c>
    </row>
    <row r="2089" customFormat="false" ht="15" hidden="false" customHeight="false" outlineLevel="0" collapsed="false">
      <c r="J2089" s="41" t="str">
        <f aca="false">IF(D2089="","",IFERROR(IF(ISNUMBER(SEARCH(Assumptions!$C$5,D2089)),Assumptions!$D$5,IF(ISNUMBER(SEARCH(Assumptions!$C$6,D2089)),Assumptions!$D$6,IF(ISNUMBER(SEARCH(Assumptions!$C$7,D2089)),Assumptions!$D$7,"Other Services"))),"Other Services"))</f>
        <v/>
      </c>
    </row>
    <row r="2090" customFormat="false" ht="15" hidden="false" customHeight="false" outlineLevel="0" collapsed="false">
      <c r="J2090" s="41" t="str">
        <f aca="false">IF(D2090="","",IFERROR(IF(ISNUMBER(SEARCH(Assumptions!$C$5,D2090)),Assumptions!$D$5,IF(ISNUMBER(SEARCH(Assumptions!$C$6,D2090)),Assumptions!$D$6,IF(ISNUMBER(SEARCH(Assumptions!$C$7,D2090)),Assumptions!$D$7,"Other Services"))),"Other Services"))</f>
        <v/>
      </c>
    </row>
    <row r="2091" customFormat="false" ht="15" hidden="false" customHeight="false" outlineLevel="0" collapsed="false">
      <c r="J2091" s="41" t="str">
        <f aca="false">IF(D2091="","",IFERROR(IF(ISNUMBER(SEARCH(Assumptions!$C$5,D2091)),Assumptions!$D$5,IF(ISNUMBER(SEARCH(Assumptions!$C$6,D2091)),Assumptions!$D$6,IF(ISNUMBER(SEARCH(Assumptions!$C$7,D2091)),Assumptions!$D$7,"Other Services"))),"Other Services"))</f>
        <v/>
      </c>
    </row>
    <row r="2092" customFormat="false" ht="15" hidden="false" customHeight="false" outlineLevel="0" collapsed="false">
      <c r="J2092" s="41" t="str">
        <f aca="false">IF(D2092="","",IFERROR(IF(ISNUMBER(SEARCH(Assumptions!$C$5,D2092)),Assumptions!$D$5,IF(ISNUMBER(SEARCH(Assumptions!$C$6,D2092)),Assumptions!$D$6,IF(ISNUMBER(SEARCH(Assumptions!$C$7,D2092)),Assumptions!$D$7,"Other Services"))),"Other Services"))</f>
        <v/>
      </c>
    </row>
    <row r="2093" customFormat="false" ht="15" hidden="false" customHeight="false" outlineLevel="0" collapsed="false">
      <c r="J2093" s="41" t="str">
        <f aca="false">IF(D2093="","",IFERROR(IF(ISNUMBER(SEARCH(Assumptions!$C$5,D2093)),Assumptions!$D$5,IF(ISNUMBER(SEARCH(Assumptions!$C$6,D2093)),Assumptions!$D$6,IF(ISNUMBER(SEARCH(Assumptions!$C$7,D2093)),Assumptions!$D$7,"Other Services"))),"Other Services"))</f>
        <v/>
      </c>
    </row>
    <row r="2094" customFormat="false" ht="15" hidden="false" customHeight="false" outlineLevel="0" collapsed="false">
      <c r="J2094" s="41" t="str">
        <f aca="false">IF(D2094="","",IFERROR(IF(ISNUMBER(SEARCH(Assumptions!$C$5,D2094)),Assumptions!$D$5,IF(ISNUMBER(SEARCH(Assumptions!$C$6,D2094)),Assumptions!$D$6,IF(ISNUMBER(SEARCH(Assumptions!$C$7,D2094)),Assumptions!$D$7,"Other Services"))),"Other Services"))</f>
        <v/>
      </c>
    </row>
    <row r="2095" customFormat="false" ht="15" hidden="false" customHeight="false" outlineLevel="0" collapsed="false">
      <c r="J2095" s="41" t="str">
        <f aca="false">IF(D2095="","",IFERROR(IF(ISNUMBER(SEARCH(Assumptions!$C$5,D2095)),Assumptions!$D$5,IF(ISNUMBER(SEARCH(Assumptions!$C$6,D2095)),Assumptions!$D$6,IF(ISNUMBER(SEARCH(Assumptions!$C$7,D2095)),Assumptions!$D$7,"Other Services"))),"Other Services"))</f>
        <v/>
      </c>
    </row>
    <row r="2096" customFormat="false" ht="15" hidden="false" customHeight="false" outlineLevel="0" collapsed="false">
      <c r="J2096" s="41" t="str">
        <f aca="false">IF(D2096="","",IFERROR(IF(ISNUMBER(SEARCH(Assumptions!$C$5,D2096)),Assumptions!$D$5,IF(ISNUMBER(SEARCH(Assumptions!$C$6,D2096)),Assumptions!$D$6,IF(ISNUMBER(SEARCH(Assumptions!$C$7,D2096)),Assumptions!$D$7,"Other Services"))),"Other Services"))</f>
        <v/>
      </c>
    </row>
    <row r="2097" customFormat="false" ht="15" hidden="false" customHeight="false" outlineLevel="0" collapsed="false">
      <c r="J2097" s="41" t="str">
        <f aca="false">IF(D2097="","",IFERROR(IF(ISNUMBER(SEARCH(Assumptions!$C$5,D2097)),Assumptions!$D$5,IF(ISNUMBER(SEARCH(Assumptions!$C$6,D2097)),Assumptions!$D$6,IF(ISNUMBER(SEARCH(Assumptions!$C$7,D2097)),Assumptions!$D$7,"Other Services"))),"Other Services"))</f>
        <v/>
      </c>
    </row>
    <row r="2098" customFormat="false" ht="15" hidden="false" customHeight="false" outlineLevel="0" collapsed="false">
      <c r="J2098" s="41" t="str">
        <f aca="false">IF(D2098="","",IFERROR(IF(ISNUMBER(SEARCH(Assumptions!$C$5,D2098)),Assumptions!$D$5,IF(ISNUMBER(SEARCH(Assumptions!$C$6,D2098)),Assumptions!$D$6,IF(ISNUMBER(SEARCH(Assumptions!$C$7,D2098)),Assumptions!$D$7,"Other Services"))),"Other Services"))</f>
        <v/>
      </c>
    </row>
    <row r="2099" customFormat="false" ht="15" hidden="false" customHeight="false" outlineLevel="0" collapsed="false">
      <c r="J2099" s="41" t="str">
        <f aca="false">IF(D2099="","",IFERROR(IF(ISNUMBER(SEARCH(Assumptions!$C$5,D2099)),Assumptions!$D$5,IF(ISNUMBER(SEARCH(Assumptions!$C$6,D2099)),Assumptions!$D$6,IF(ISNUMBER(SEARCH(Assumptions!$C$7,D2099)),Assumptions!$D$7,"Other Services"))),"Other Services"))</f>
        <v/>
      </c>
    </row>
    <row r="2100" customFormat="false" ht="15" hidden="false" customHeight="false" outlineLevel="0" collapsed="false">
      <c r="J2100" s="41" t="str">
        <f aca="false">IF(D2100="","",IFERROR(IF(ISNUMBER(SEARCH(Assumptions!$C$5,D2100)),Assumptions!$D$5,IF(ISNUMBER(SEARCH(Assumptions!$C$6,D2100)),Assumptions!$D$6,IF(ISNUMBER(SEARCH(Assumptions!$C$7,D2100)),Assumptions!$D$7,"Other Services"))),"Other Services"))</f>
        <v/>
      </c>
    </row>
    <row r="2101" customFormat="false" ht="15" hidden="false" customHeight="false" outlineLevel="0" collapsed="false">
      <c r="J2101" s="41" t="str">
        <f aca="false">IF(D2101="","",IFERROR(IF(ISNUMBER(SEARCH(Assumptions!$C$5,D2101)),Assumptions!$D$5,IF(ISNUMBER(SEARCH(Assumptions!$C$6,D2101)),Assumptions!$D$6,IF(ISNUMBER(SEARCH(Assumptions!$C$7,D2101)),Assumptions!$D$7,"Other Services"))),"Other Services"))</f>
        <v/>
      </c>
    </row>
    <row r="2102" customFormat="false" ht="15" hidden="false" customHeight="false" outlineLevel="0" collapsed="false">
      <c r="J2102" s="41" t="str">
        <f aca="false">IF(D2102="","",IFERROR(IF(ISNUMBER(SEARCH(Assumptions!$C$5,D2102)),Assumptions!$D$5,IF(ISNUMBER(SEARCH(Assumptions!$C$6,D2102)),Assumptions!$D$6,IF(ISNUMBER(SEARCH(Assumptions!$C$7,D2102)),Assumptions!$D$7,"Other Services"))),"Other Services"))</f>
        <v/>
      </c>
    </row>
    <row r="2103" customFormat="false" ht="15" hidden="false" customHeight="false" outlineLevel="0" collapsed="false">
      <c r="J2103" s="41" t="str">
        <f aca="false">IF(D2103="","",IFERROR(IF(ISNUMBER(SEARCH(Assumptions!$C$5,D2103)),Assumptions!$D$5,IF(ISNUMBER(SEARCH(Assumptions!$C$6,D2103)),Assumptions!$D$6,IF(ISNUMBER(SEARCH(Assumptions!$C$7,D2103)),Assumptions!$D$7,"Other Services"))),"Other Services"))</f>
        <v/>
      </c>
    </row>
    <row r="2104" customFormat="false" ht="15" hidden="false" customHeight="false" outlineLevel="0" collapsed="false">
      <c r="J2104" s="41" t="str">
        <f aca="false">IF(D2104="","",IFERROR(IF(ISNUMBER(SEARCH(Assumptions!$C$5,D2104)),Assumptions!$D$5,IF(ISNUMBER(SEARCH(Assumptions!$C$6,D2104)),Assumptions!$D$6,IF(ISNUMBER(SEARCH(Assumptions!$C$7,D2104)),Assumptions!$D$7,"Other Services"))),"Other Services"))</f>
        <v/>
      </c>
    </row>
    <row r="2105" customFormat="false" ht="15" hidden="false" customHeight="false" outlineLevel="0" collapsed="false">
      <c r="J2105" s="41" t="str">
        <f aca="false">IF(D2105="","",IFERROR(IF(ISNUMBER(SEARCH(Assumptions!$C$5,D2105)),Assumptions!$D$5,IF(ISNUMBER(SEARCH(Assumptions!$C$6,D2105)),Assumptions!$D$6,IF(ISNUMBER(SEARCH(Assumptions!$C$7,D2105)),Assumptions!$D$7,"Other Services"))),"Other Services"))</f>
        <v/>
      </c>
    </row>
    <row r="2106" customFormat="false" ht="15" hidden="false" customHeight="false" outlineLevel="0" collapsed="false">
      <c r="J2106" s="41" t="str">
        <f aca="false">IF(D2106="","",IFERROR(IF(ISNUMBER(SEARCH(Assumptions!$C$5,D2106)),Assumptions!$D$5,IF(ISNUMBER(SEARCH(Assumptions!$C$6,D2106)),Assumptions!$D$6,IF(ISNUMBER(SEARCH(Assumptions!$C$7,D2106)),Assumptions!$D$7,"Other Services"))),"Other Services"))</f>
        <v/>
      </c>
    </row>
    <row r="2107" customFormat="false" ht="15" hidden="false" customHeight="false" outlineLevel="0" collapsed="false">
      <c r="J2107" s="41" t="str">
        <f aca="false">IF(D2107="","",IFERROR(IF(ISNUMBER(SEARCH(Assumptions!$C$5,D2107)),Assumptions!$D$5,IF(ISNUMBER(SEARCH(Assumptions!$C$6,D2107)),Assumptions!$D$6,IF(ISNUMBER(SEARCH(Assumptions!$C$7,D2107)),Assumptions!$D$7,"Other Services"))),"Other Services"))</f>
        <v/>
      </c>
    </row>
    <row r="2108" customFormat="false" ht="15" hidden="false" customHeight="false" outlineLevel="0" collapsed="false">
      <c r="J2108" s="41" t="str">
        <f aca="false">IF(D2108="","",IFERROR(IF(ISNUMBER(SEARCH(Assumptions!$C$5,D2108)),Assumptions!$D$5,IF(ISNUMBER(SEARCH(Assumptions!$C$6,D2108)),Assumptions!$D$6,IF(ISNUMBER(SEARCH(Assumptions!$C$7,D2108)),Assumptions!$D$7,"Other Services"))),"Other Services"))</f>
        <v/>
      </c>
    </row>
    <row r="2109" customFormat="false" ht="15" hidden="false" customHeight="false" outlineLevel="0" collapsed="false">
      <c r="J2109" s="41" t="str">
        <f aca="false">IF(D2109="","",IFERROR(IF(ISNUMBER(SEARCH(Assumptions!$C$5,D2109)),Assumptions!$D$5,IF(ISNUMBER(SEARCH(Assumptions!$C$6,D2109)),Assumptions!$D$6,IF(ISNUMBER(SEARCH(Assumptions!$C$7,D2109)),Assumptions!$D$7,"Other Services"))),"Other Services"))</f>
        <v/>
      </c>
    </row>
    <row r="2110" customFormat="false" ht="15" hidden="false" customHeight="false" outlineLevel="0" collapsed="false">
      <c r="J2110" s="41" t="str">
        <f aca="false">IF(D2110="","",IFERROR(IF(ISNUMBER(SEARCH(Assumptions!$C$5,D2110)),Assumptions!$D$5,IF(ISNUMBER(SEARCH(Assumptions!$C$6,D2110)),Assumptions!$D$6,IF(ISNUMBER(SEARCH(Assumptions!$C$7,D2110)),Assumptions!$D$7,"Other Services"))),"Other Services"))</f>
        <v/>
      </c>
    </row>
    <row r="2111" customFormat="false" ht="15" hidden="false" customHeight="false" outlineLevel="0" collapsed="false">
      <c r="J2111" s="41" t="str">
        <f aca="false">IF(D2111="","",IFERROR(IF(ISNUMBER(SEARCH(Assumptions!$C$5,D2111)),Assumptions!$D$5,IF(ISNUMBER(SEARCH(Assumptions!$C$6,D2111)),Assumptions!$D$6,IF(ISNUMBER(SEARCH(Assumptions!$C$7,D2111)),Assumptions!$D$7,"Other Services"))),"Other Services"))</f>
        <v/>
      </c>
    </row>
    <row r="2112" customFormat="false" ht="15" hidden="false" customHeight="false" outlineLevel="0" collapsed="false">
      <c r="J2112" s="41" t="str">
        <f aca="false">IF(D2112="","",IFERROR(IF(ISNUMBER(SEARCH(Assumptions!$C$5,D2112)),Assumptions!$D$5,IF(ISNUMBER(SEARCH(Assumptions!$C$6,D2112)),Assumptions!$D$6,IF(ISNUMBER(SEARCH(Assumptions!$C$7,D2112)),Assumptions!$D$7,"Other Services"))),"Other Services"))</f>
        <v/>
      </c>
    </row>
    <row r="2113" customFormat="false" ht="15" hidden="false" customHeight="false" outlineLevel="0" collapsed="false">
      <c r="J2113" s="41" t="str">
        <f aca="false">IF(D2113="","",IFERROR(IF(ISNUMBER(SEARCH(Assumptions!$C$5,D2113)),Assumptions!$D$5,IF(ISNUMBER(SEARCH(Assumptions!$C$6,D2113)),Assumptions!$D$6,IF(ISNUMBER(SEARCH(Assumptions!$C$7,D2113)),Assumptions!$D$7,"Other Services"))),"Other Services"))</f>
        <v/>
      </c>
    </row>
    <row r="2114" customFormat="false" ht="15" hidden="false" customHeight="false" outlineLevel="0" collapsed="false">
      <c r="J2114" s="41" t="str">
        <f aca="false">IF(D2114="","",IFERROR(IF(ISNUMBER(SEARCH(Assumptions!$C$5,D2114)),Assumptions!$D$5,IF(ISNUMBER(SEARCH(Assumptions!$C$6,D2114)),Assumptions!$D$6,IF(ISNUMBER(SEARCH(Assumptions!$C$7,D2114)),Assumptions!$D$7,"Other Services"))),"Other Services"))</f>
        <v/>
      </c>
    </row>
    <row r="2115" customFormat="false" ht="15" hidden="false" customHeight="false" outlineLevel="0" collapsed="false">
      <c r="J2115" s="41" t="str">
        <f aca="false">IF(D2115="","",IFERROR(IF(ISNUMBER(SEARCH(Assumptions!$C$5,D2115)),Assumptions!$D$5,IF(ISNUMBER(SEARCH(Assumptions!$C$6,D2115)),Assumptions!$D$6,IF(ISNUMBER(SEARCH(Assumptions!$C$7,D2115)),Assumptions!$D$7,"Other Services"))),"Other Services"))</f>
        <v/>
      </c>
    </row>
    <row r="2116" customFormat="false" ht="15" hidden="false" customHeight="false" outlineLevel="0" collapsed="false">
      <c r="J2116" s="41" t="str">
        <f aca="false">IF(D2116="","",IFERROR(IF(ISNUMBER(SEARCH(Assumptions!$C$5,D2116)),Assumptions!$D$5,IF(ISNUMBER(SEARCH(Assumptions!$C$6,D2116)),Assumptions!$D$6,IF(ISNUMBER(SEARCH(Assumptions!$C$7,D2116)),Assumptions!$D$7,"Other Services"))),"Other Services"))</f>
        <v/>
      </c>
    </row>
    <row r="2117" customFormat="false" ht="15" hidden="false" customHeight="false" outlineLevel="0" collapsed="false">
      <c r="J2117" s="41" t="str">
        <f aca="false">IF(D2117="","",IFERROR(IF(ISNUMBER(SEARCH(Assumptions!$C$5,D2117)),Assumptions!$D$5,IF(ISNUMBER(SEARCH(Assumptions!$C$6,D2117)),Assumptions!$D$6,IF(ISNUMBER(SEARCH(Assumptions!$C$7,D2117)),Assumptions!$D$7,"Other Services"))),"Other Services"))</f>
        <v/>
      </c>
    </row>
    <row r="2118" customFormat="false" ht="15" hidden="false" customHeight="false" outlineLevel="0" collapsed="false">
      <c r="J2118" s="41" t="str">
        <f aca="false">IF(D2118="","",IFERROR(IF(ISNUMBER(SEARCH(Assumptions!$C$5,D2118)),Assumptions!$D$5,IF(ISNUMBER(SEARCH(Assumptions!$C$6,D2118)),Assumptions!$D$6,IF(ISNUMBER(SEARCH(Assumptions!$C$7,D2118)),Assumptions!$D$7,"Other Services"))),"Other Services"))</f>
        <v/>
      </c>
    </row>
    <row r="2119" customFormat="false" ht="15" hidden="false" customHeight="false" outlineLevel="0" collapsed="false">
      <c r="J2119" s="41" t="str">
        <f aca="false">IF(D2119="","",IFERROR(IF(ISNUMBER(SEARCH(Assumptions!$C$5,D2119)),Assumptions!$D$5,IF(ISNUMBER(SEARCH(Assumptions!$C$6,D2119)),Assumptions!$D$6,IF(ISNUMBER(SEARCH(Assumptions!$C$7,D2119)),Assumptions!$D$7,"Other Services"))),"Other Services"))</f>
        <v/>
      </c>
    </row>
    <row r="2120" customFormat="false" ht="15" hidden="false" customHeight="false" outlineLevel="0" collapsed="false">
      <c r="J2120" s="41" t="str">
        <f aca="false">IF(D2120="","",IFERROR(IF(ISNUMBER(SEARCH(Assumptions!$C$5,D2120)),Assumptions!$D$5,IF(ISNUMBER(SEARCH(Assumptions!$C$6,D2120)),Assumptions!$D$6,IF(ISNUMBER(SEARCH(Assumptions!$C$7,D2120)),Assumptions!$D$7,"Other Services"))),"Other Services"))</f>
        <v/>
      </c>
    </row>
    <row r="2121" customFormat="false" ht="15" hidden="false" customHeight="false" outlineLevel="0" collapsed="false">
      <c r="J2121" s="41" t="str">
        <f aca="false">IF(D2121="","",IFERROR(IF(ISNUMBER(SEARCH(Assumptions!$C$5,D2121)),Assumptions!$D$5,IF(ISNUMBER(SEARCH(Assumptions!$C$6,D2121)),Assumptions!$D$6,IF(ISNUMBER(SEARCH(Assumptions!$C$7,D2121)),Assumptions!$D$7,"Other Services"))),"Other Services"))</f>
        <v/>
      </c>
    </row>
    <row r="2122" customFormat="false" ht="15" hidden="false" customHeight="false" outlineLevel="0" collapsed="false">
      <c r="J2122" s="41" t="str">
        <f aca="false">IF(D2122="","",IFERROR(IF(ISNUMBER(SEARCH(Assumptions!$C$5,D2122)),Assumptions!$D$5,IF(ISNUMBER(SEARCH(Assumptions!$C$6,D2122)),Assumptions!$D$6,IF(ISNUMBER(SEARCH(Assumptions!$C$7,D2122)),Assumptions!$D$7,"Other Services"))),"Other Services"))</f>
        <v/>
      </c>
    </row>
    <row r="2123" customFormat="false" ht="15" hidden="false" customHeight="false" outlineLevel="0" collapsed="false">
      <c r="J2123" s="41" t="str">
        <f aca="false">IF(D2123="","",IFERROR(IF(ISNUMBER(SEARCH(Assumptions!$C$5,D2123)),Assumptions!$D$5,IF(ISNUMBER(SEARCH(Assumptions!$C$6,D2123)),Assumptions!$D$6,IF(ISNUMBER(SEARCH(Assumptions!$C$7,D2123)),Assumptions!$D$7,"Other Services"))),"Other Services"))</f>
        <v/>
      </c>
    </row>
    <row r="2124" customFormat="false" ht="15" hidden="false" customHeight="false" outlineLevel="0" collapsed="false">
      <c r="J2124" s="41" t="str">
        <f aca="false">IF(D2124="","",IFERROR(IF(ISNUMBER(SEARCH(Assumptions!$C$5,D2124)),Assumptions!$D$5,IF(ISNUMBER(SEARCH(Assumptions!$C$6,D2124)),Assumptions!$D$6,IF(ISNUMBER(SEARCH(Assumptions!$C$7,D2124)),Assumptions!$D$7,"Other Services"))),"Other Services"))</f>
        <v/>
      </c>
    </row>
    <row r="2125" customFormat="false" ht="15" hidden="false" customHeight="false" outlineLevel="0" collapsed="false">
      <c r="J2125" s="41" t="str">
        <f aca="false">IF(D2125="","",IFERROR(IF(ISNUMBER(SEARCH(Assumptions!$C$5,D2125)),Assumptions!$D$5,IF(ISNUMBER(SEARCH(Assumptions!$C$6,D2125)),Assumptions!$D$6,IF(ISNUMBER(SEARCH(Assumptions!$C$7,D2125)),Assumptions!$D$7,"Other Services"))),"Other Services"))</f>
        <v/>
      </c>
    </row>
    <row r="2126" customFormat="false" ht="15" hidden="false" customHeight="false" outlineLevel="0" collapsed="false">
      <c r="J2126" s="41" t="str">
        <f aca="false">IF(D2126="","",IFERROR(IF(ISNUMBER(SEARCH(Assumptions!$C$5,D2126)),Assumptions!$D$5,IF(ISNUMBER(SEARCH(Assumptions!$C$6,D2126)),Assumptions!$D$6,IF(ISNUMBER(SEARCH(Assumptions!$C$7,D2126)),Assumptions!$D$7,"Other Services"))),"Other Services"))</f>
        <v/>
      </c>
    </row>
    <row r="2127" customFormat="false" ht="15" hidden="false" customHeight="false" outlineLevel="0" collapsed="false">
      <c r="J2127" s="41" t="str">
        <f aca="false">IF(D2127="","",IFERROR(IF(ISNUMBER(SEARCH(Assumptions!$C$5,D2127)),Assumptions!$D$5,IF(ISNUMBER(SEARCH(Assumptions!$C$6,D2127)),Assumptions!$D$6,IF(ISNUMBER(SEARCH(Assumptions!$C$7,D2127)),Assumptions!$D$7,"Other Services"))),"Other Services"))</f>
        <v/>
      </c>
    </row>
    <row r="2128" customFormat="false" ht="15" hidden="false" customHeight="false" outlineLevel="0" collapsed="false">
      <c r="J2128" s="41" t="str">
        <f aca="false">IF(D2128="","",IFERROR(IF(ISNUMBER(SEARCH(Assumptions!$C$5,D2128)),Assumptions!$D$5,IF(ISNUMBER(SEARCH(Assumptions!$C$6,D2128)),Assumptions!$D$6,IF(ISNUMBER(SEARCH(Assumptions!$C$7,D2128)),Assumptions!$D$7,"Other Services"))),"Other Services"))</f>
        <v/>
      </c>
    </row>
    <row r="2129" customFormat="false" ht="15" hidden="false" customHeight="false" outlineLevel="0" collapsed="false">
      <c r="J2129" s="41" t="str">
        <f aca="false">IF(D2129="","",IFERROR(IF(ISNUMBER(SEARCH(Assumptions!$C$5,D2129)),Assumptions!$D$5,IF(ISNUMBER(SEARCH(Assumptions!$C$6,D2129)),Assumptions!$D$6,IF(ISNUMBER(SEARCH(Assumptions!$C$7,D2129)),Assumptions!$D$7,"Other Services"))),"Other Services"))</f>
        <v/>
      </c>
    </row>
    <row r="2130" customFormat="false" ht="15" hidden="false" customHeight="false" outlineLevel="0" collapsed="false">
      <c r="J2130" s="41" t="str">
        <f aca="false">IF(D2130="","",IFERROR(IF(ISNUMBER(SEARCH(Assumptions!$C$5,D2130)),Assumptions!$D$5,IF(ISNUMBER(SEARCH(Assumptions!$C$6,D2130)),Assumptions!$D$6,IF(ISNUMBER(SEARCH(Assumptions!$C$7,D2130)),Assumptions!$D$7,"Other Services"))),"Other Services"))</f>
        <v/>
      </c>
    </row>
    <row r="2131" customFormat="false" ht="15" hidden="false" customHeight="false" outlineLevel="0" collapsed="false">
      <c r="J2131" s="41" t="str">
        <f aca="false">IF(D2131="","",IFERROR(IF(ISNUMBER(SEARCH(Assumptions!$C$5,D2131)),Assumptions!$D$5,IF(ISNUMBER(SEARCH(Assumptions!$C$6,D2131)),Assumptions!$D$6,IF(ISNUMBER(SEARCH(Assumptions!$C$7,D2131)),Assumptions!$D$7,"Other Services"))),"Other Services"))</f>
        <v/>
      </c>
    </row>
    <row r="2132" customFormat="false" ht="15" hidden="false" customHeight="false" outlineLevel="0" collapsed="false">
      <c r="J2132" s="41" t="str">
        <f aca="false">IF(D2132="","",IFERROR(IF(ISNUMBER(SEARCH(Assumptions!$C$5,D2132)),Assumptions!$D$5,IF(ISNUMBER(SEARCH(Assumptions!$C$6,D2132)),Assumptions!$D$6,IF(ISNUMBER(SEARCH(Assumptions!$C$7,D2132)),Assumptions!$D$7,"Other Services"))),"Other Services"))</f>
        <v/>
      </c>
    </row>
    <row r="2133" customFormat="false" ht="15" hidden="false" customHeight="false" outlineLevel="0" collapsed="false">
      <c r="J2133" s="41" t="str">
        <f aca="false">IF(D2133="","",IFERROR(IF(ISNUMBER(SEARCH(Assumptions!$C$5,D2133)),Assumptions!$D$5,IF(ISNUMBER(SEARCH(Assumptions!$C$6,D2133)),Assumptions!$D$6,IF(ISNUMBER(SEARCH(Assumptions!$C$7,D2133)),Assumptions!$D$7,"Other Services"))),"Other Services"))</f>
        <v/>
      </c>
    </row>
    <row r="2134" customFormat="false" ht="15" hidden="false" customHeight="false" outlineLevel="0" collapsed="false">
      <c r="J2134" s="41" t="str">
        <f aca="false">IF(D2134="","",IFERROR(IF(ISNUMBER(SEARCH(Assumptions!$C$5,D2134)),Assumptions!$D$5,IF(ISNUMBER(SEARCH(Assumptions!$C$6,D2134)),Assumptions!$D$6,IF(ISNUMBER(SEARCH(Assumptions!$C$7,D2134)),Assumptions!$D$7,"Other Services"))),"Other Services"))</f>
        <v/>
      </c>
    </row>
    <row r="2135" customFormat="false" ht="15" hidden="false" customHeight="false" outlineLevel="0" collapsed="false">
      <c r="J2135" s="41" t="str">
        <f aca="false">IF(D2135="","",IFERROR(IF(ISNUMBER(SEARCH(Assumptions!$C$5,D2135)),Assumptions!$D$5,IF(ISNUMBER(SEARCH(Assumptions!$C$6,D2135)),Assumptions!$D$6,IF(ISNUMBER(SEARCH(Assumptions!$C$7,D2135)),Assumptions!$D$7,"Other Services"))),"Other Services"))</f>
        <v/>
      </c>
    </row>
    <row r="2136" customFormat="false" ht="15" hidden="false" customHeight="false" outlineLevel="0" collapsed="false">
      <c r="J2136" s="41" t="str">
        <f aca="false">IF(D2136="","",IFERROR(IF(ISNUMBER(SEARCH(Assumptions!$C$5,D2136)),Assumptions!$D$5,IF(ISNUMBER(SEARCH(Assumptions!$C$6,D2136)),Assumptions!$D$6,IF(ISNUMBER(SEARCH(Assumptions!$C$7,D2136)),Assumptions!$D$7,"Other Services"))),"Other Services"))</f>
        <v/>
      </c>
    </row>
    <row r="2137" customFormat="false" ht="15" hidden="false" customHeight="false" outlineLevel="0" collapsed="false">
      <c r="J2137" s="41" t="str">
        <f aca="false">IF(D2137="","",IFERROR(IF(ISNUMBER(SEARCH(Assumptions!$C$5,D2137)),Assumptions!$D$5,IF(ISNUMBER(SEARCH(Assumptions!$C$6,D2137)),Assumptions!$D$6,IF(ISNUMBER(SEARCH(Assumptions!$C$7,D2137)),Assumptions!$D$7,"Other Services"))),"Other Services"))</f>
        <v/>
      </c>
    </row>
    <row r="2138" customFormat="false" ht="15" hidden="false" customHeight="false" outlineLevel="0" collapsed="false">
      <c r="J2138" s="41" t="str">
        <f aca="false">IF(D2138="","",IFERROR(IF(ISNUMBER(SEARCH(Assumptions!$C$5,D2138)),Assumptions!$D$5,IF(ISNUMBER(SEARCH(Assumptions!$C$6,D2138)),Assumptions!$D$6,IF(ISNUMBER(SEARCH(Assumptions!$C$7,D2138)),Assumptions!$D$7,"Other Services"))),"Other Services"))</f>
        <v/>
      </c>
    </row>
    <row r="2139" customFormat="false" ht="15" hidden="false" customHeight="false" outlineLevel="0" collapsed="false">
      <c r="J2139" s="41" t="str">
        <f aca="false">IF(D2139="","",IFERROR(IF(ISNUMBER(SEARCH(Assumptions!$C$5,D2139)),Assumptions!$D$5,IF(ISNUMBER(SEARCH(Assumptions!$C$6,D2139)),Assumptions!$D$6,IF(ISNUMBER(SEARCH(Assumptions!$C$7,D2139)),Assumptions!$D$7,"Other Services"))),"Other Services"))</f>
        <v/>
      </c>
    </row>
    <row r="2140" customFormat="false" ht="15" hidden="false" customHeight="false" outlineLevel="0" collapsed="false">
      <c r="J2140" s="41" t="str">
        <f aca="false">IF(D2140="","",IFERROR(IF(ISNUMBER(SEARCH(Assumptions!$C$5,D2140)),Assumptions!$D$5,IF(ISNUMBER(SEARCH(Assumptions!$C$6,D2140)),Assumptions!$D$6,IF(ISNUMBER(SEARCH(Assumptions!$C$7,D2140)),Assumptions!$D$7,"Other Services"))),"Other Services"))</f>
        <v/>
      </c>
    </row>
    <row r="2141" customFormat="false" ht="15" hidden="false" customHeight="false" outlineLevel="0" collapsed="false">
      <c r="J2141" s="41" t="str">
        <f aca="false">IF(D2141="","",IFERROR(IF(ISNUMBER(SEARCH(Assumptions!$C$5,D2141)),Assumptions!$D$5,IF(ISNUMBER(SEARCH(Assumptions!$C$6,D2141)),Assumptions!$D$6,IF(ISNUMBER(SEARCH(Assumptions!$C$7,D2141)),Assumptions!$D$7,"Other Services"))),"Other Services"))</f>
        <v/>
      </c>
    </row>
    <row r="2142" customFormat="false" ht="15" hidden="false" customHeight="false" outlineLevel="0" collapsed="false">
      <c r="J2142" s="41" t="str">
        <f aca="false">IF(D2142="","",IFERROR(IF(ISNUMBER(SEARCH(Assumptions!$C$5,D2142)),Assumptions!$D$5,IF(ISNUMBER(SEARCH(Assumptions!$C$6,D2142)),Assumptions!$D$6,IF(ISNUMBER(SEARCH(Assumptions!$C$7,D2142)),Assumptions!$D$7,"Other Services"))),"Other Services"))</f>
        <v/>
      </c>
    </row>
    <row r="2143" customFormat="false" ht="15" hidden="false" customHeight="false" outlineLevel="0" collapsed="false">
      <c r="J2143" s="41" t="str">
        <f aca="false">IF(D2143="","",IFERROR(IF(ISNUMBER(SEARCH(Assumptions!$C$5,D2143)),Assumptions!$D$5,IF(ISNUMBER(SEARCH(Assumptions!$C$6,D2143)),Assumptions!$D$6,IF(ISNUMBER(SEARCH(Assumptions!$C$7,D2143)),Assumptions!$D$7,"Other Services"))),"Other Services"))</f>
        <v/>
      </c>
    </row>
    <row r="2144" customFormat="false" ht="15" hidden="false" customHeight="false" outlineLevel="0" collapsed="false">
      <c r="J2144" s="41" t="str">
        <f aca="false">IF(D2144="","",IFERROR(IF(ISNUMBER(SEARCH(Assumptions!$C$5,D2144)),Assumptions!$D$5,IF(ISNUMBER(SEARCH(Assumptions!$C$6,D2144)),Assumptions!$D$6,IF(ISNUMBER(SEARCH(Assumptions!$C$7,D2144)),Assumptions!$D$7,"Other Services"))),"Other Services"))</f>
        <v/>
      </c>
    </row>
    <row r="2145" customFormat="false" ht="15" hidden="false" customHeight="false" outlineLevel="0" collapsed="false">
      <c r="J2145" s="41" t="str">
        <f aca="false">IF(D2145="","",IFERROR(IF(ISNUMBER(SEARCH(Assumptions!$C$5,D2145)),Assumptions!$D$5,IF(ISNUMBER(SEARCH(Assumptions!$C$6,D2145)),Assumptions!$D$6,IF(ISNUMBER(SEARCH(Assumptions!$C$7,D2145)),Assumptions!$D$7,"Other Services"))),"Other Services"))</f>
        <v/>
      </c>
    </row>
    <row r="2146" customFormat="false" ht="15" hidden="false" customHeight="false" outlineLevel="0" collapsed="false">
      <c r="J2146" s="41" t="str">
        <f aca="false">IF(D2146="","",IFERROR(IF(ISNUMBER(SEARCH(Assumptions!$C$5,D2146)),Assumptions!$D$5,IF(ISNUMBER(SEARCH(Assumptions!$C$6,D2146)),Assumptions!$D$6,IF(ISNUMBER(SEARCH(Assumptions!$C$7,D2146)),Assumptions!$D$7,"Other Services"))),"Other Services"))</f>
        <v/>
      </c>
    </row>
    <row r="2147" customFormat="false" ht="15" hidden="false" customHeight="false" outlineLevel="0" collapsed="false">
      <c r="J2147" s="41" t="str">
        <f aca="false">IF(D2147="","",IFERROR(IF(ISNUMBER(SEARCH(Assumptions!$C$5,D2147)),Assumptions!$D$5,IF(ISNUMBER(SEARCH(Assumptions!$C$6,D2147)),Assumptions!$D$6,IF(ISNUMBER(SEARCH(Assumptions!$C$7,D2147)),Assumptions!$D$7,"Other Services"))),"Other Services"))</f>
        <v/>
      </c>
    </row>
    <row r="2148" customFormat="false" ht="15" hidden="false" customHeight="false" outlineLevel="0" collapsed="false">
      <c r="J2148" s="41" t="str">
        <f aca="false">IF(D2148="","",IFERROR(IF(ISNUMBER(SEARCH(Assumptions!$C$5,D2148)),Assumptions!$D$5,IF(ISNUMBER(SEARCH(Assumptions!$C$6,D2148)),Assumptions!$D$6,IF(ISNUMBER(SEARCH(Assumptions!$C$7,D2148)),Assumptions!$D$7,"Other Services"))),"Other Services"))</f>
        <v/>
      </c>
    </row>
    <row r="2149" customFormat="false" ht="15" hidden="false" customHeight="false" outlineLevel="0" collapsed="false">
      <c r="J2149" s="41" t="str">
        <f aca="false">IF(D2149="","",IFERROR(IF(ISNUMBER(SEARCH(Assumptions!$C$5,D2149)),Assumptions!$D$5,IF(ISNUMBER(SEARCH(Assumptions!$C$6,D2149)),Assumptions!$D$6,IF(ISNUMBER(SEARCH(Assumptions!$C$7,D2149)),Assumptions!$D$7,"Other Services"))),"Other Services"))</f>
        <v/>
      </c>
    </row>
    <row r="2150" customFormat="false" ht="15" hidden="false" customHeight="false" outlineLevel="0" collapsed="false">
      <c r="J2150" s="41" t="str">
        <f aca="false">IF(D2150="","",IFERROR(IF(ISNUMBER(SEARCH(Assumptions!$C$5,D2150)),Assumptions!$D$5,IF(ISNUMBER(SEARCH(Assumptions!$C$6,D2150)),Assumptions!$D$6,IF(ISNUMBER(SEARCH(Assumptions!$C$7,D2150)),Assumptions!$D$7,"Other Services"))),"Other Services"))</f>
        <v/>
      </c>
    </row>
    <row r="2151" customFormat="false" ht="15" hidden="false" customHeight="false" outlineLevel="0" collapsed="false">
      <c r="J2151" s="41" t="str">
        <f aca="false">IF(D2151="","",IFERROR(IF(ISNUMBER(SEARCH(Assumptions!$C$5,D2151)),Assumptions!$D$5,IF(ISNUMBER(SEARCH(Assumptions!$C$6,D2151)),Assumptions!$D$6,IF(ISNUMBER(SEARCH(Assumptions!$C$7,D2151)),Assumptions!$D$7,"Other Services"))),"Other Services"))</f>
        <v/>
      </c>
    </row>
    <row r="2152" customFormat="false" ht="15" hidden="false" customHeight="false" outlineLevel="0" collapsed="false">
      <c r="J2152" s="41" t="str">
        <f aca="false">IF(D2152="","",IFERROR(IF(ISNUMBER(SEARCH(Assumptions!$C$5,D2152)),Assumptions!$D$5,IF(ISNUMBER(SEARCH(Assumptions!$C$6,D2152)),Assumptions!$D$6,IF(ISNUMBER(SEARCH(Assumptions!$C$7,D2152)),Assumptions!$D$7,"Other Services"))),"Other Services"))</f>
        <v/>
      </c>
    </row>
    <row r="2153" customFormat="false" ht="15" hidden="false" customHeight="false" outlineLevel="0" collapsed="false">
      <c r="J2153" s="41" t="str">
        <f aca="false">IF(D2153="","",IFERROR(IF(ISNUMBER(SEARCH(Assumptions!$C$5,D2153)),Assumptions!$D$5,IF(ISNUMBER(SEARCH(Assumptions!$C$6,D2153)),Assumptions!$D$6,IF(ISNUMBER(SEARCH(Assumptions!$C$7,D2153)),Assumptions!$D$7,"Other Services"))),"Other Services"))</f>
        <v/>
      </c>
    </row>
    <row r="2154" customFormat="false" ht="15" hidden="false" customHeight="false" outlineLevel="0" collapsed="false">
      <c r="J2154" s="41" t="str">
        <f aca="false">IF(D2154="","",IFERROR(IF(ISNUMBER(SEARCH(Assumptions!$C$5,D2154)),Assumptions!$D$5,IF(ISNUMBER(SEARCH(Assumptions!$C$6,D2154)),Assumptions!$D$6,IF(ISNUMBER(SEARCH(Assumptions!$C$7,D2154)),Assumptions!$D$7,"Other Services"))),"Other Services"))</f>
        <v/>
      </c>
    </row>
    <row r="2155" customFormat="false" ht="15" hidden="false" customHeight="false" outlineLevel="0" collapsed="false">
      <c r="J2155" s="41" t="str">
        <f aca="false">IF(D2155="","",IFERROR(IF(ISNUMBER(SEARCH(Assumptions!$C$5,D2155)),Assumptions!$D$5,IF(ISNUMBER(SEARCH(Assumptions!$C$6,D2155)),Assumptions!$D$6,IF(ISNUMBER(SEARCH(Assumptions!$C$7,D2155)),Assumptions!$D$7,"Other Services"))),"Other Services"))</f>
        <v/>
      </c>
    </row>
    <row r="2156" customFormat="false" ht="15" hidden="false" customHeight="false" outlineLevel="0" collapsed="false">
      <c r="J2156" s="41" t="str">
        <f aca="false">IF(D2156="","",IFERROR(IF(ISNUMBER(SEARCH(Assumptions!$C$5,D2156)),Assumptions!$D$5,IF(ISNUMBER(SEARCH(Assumptions!$C$6,D2156)),Assumptions!$D$6,IF(ISNUMBER(SEARCH(Assumptions!$C$7,D2156)),Assumptions!$D$7,"Other Services"))),"Other Services"))</f>
        <v/>
      </c>
    </row>
    <row r="2157" customFormat="false" ht="15" hidden="false" customHeight="false" outlineLevel="0" collapsed="false">
      <c r="J2157" s="41" t="str">
        <f aca="false">IF(D2157="","",IFERROR(IF(ISNUMBER(SEARCH(Assumptions!$C$5,D2157)),Assumptions!$D$5,IF(ISNUMBER(SEARCH(Assumptions!$C$6,D2157)),Assumptions!$D$6,IF(ISNUMBER(SEARCH(Assumptions!$C$7,D2157)),Assumptions!$D$7,"Other Services"))),"Other Services"))</f>
        <v/>
      </c>
    </row>
    <row r="2158" customFormat="false" ht="15" hidden="false" customHeight="false" outlineLevel="0" collapsed="false">
      <c r="J2158" s="41" t="str">
        <f aca="false">IF(D2158="","",IFERROR(IF(ISNUMBER(SEARCH(Assumptions!$C$5,D2158)),Assumptions!$D$5,IF(ISNUMBER(SEARCH(Assumptions!$C$6,D2158)),Assumptions!$D$6,IF(ISNUMBER(SEARCH(Assumptions!$C$7,D2158)),Assumptions!$D$7,"Other Services"))),"Other Services"))</f>
        <v/>
      </c>
    </row>
    <row r="2159" customFormat="false" ht="15" hidden="false" customHeight="false" outlineLevel="0" collapsed="false">
      <c r="J2159" s="41" t="str">
        <f aca="false">IF(D2159="","",IFERROR(IF(ISNUMBER(SEARCH(Assumptions!$C$5,D2159)),Assumptions!$D$5,IF(ISNUMBER(SEARCH(Assumptions!$C$6,D2159)),Assumptions!$D$6,IF(ISNUMBER(SEARCH(Assumptions!$C$7,D2159)),Assumptions!$D$7,"Other Services"))),"Other Services"))</f>
        <v/>
      </c>
    </row>
    <row r="2160" customFormat="false" ht="15" hidden="false" customHeight="false" outlineLevel="0" collapsed="false">
      <c r="J2160" s="41" t="str">
        <f aca="false">IF(D2160="","",IFERROR(IF(ISNUMBER(SEARCH(Assumptions!$C$5,D2160)),Assumptions!$D$5,IF(ISNUMBER(SEARCH(Assumptions!$C$6,D2160)),Assumptions!$D$6,IF(ISNUMBER(SEARCH(Assumptions!$C$7,D2160)),Assumptions!$D$7,"Other Services"))),"Other Services"))</f>
        <v/>
      </c>
    </row>
    <row r="2161" customFormat="false" ht="15" hidden="false" customHeight="false" outlineLevel="0" collapsed="false">
      <c r="J2161" s="41" t="str">
        <f aca="false">IF(D2161="","",IFERROR(IF(ISNUMBER(SEARCH(Assumptions!$C$5,D2161)),Assumptions!$D$5,IF(ISNUMBER(SEARCH(Assumptions!$C$6,D2161)),Assumptions!$D$6,IF(ISNUMBER(SEARCH(Assumptions!$C$7,D2161)),Assumptions!$D$7,"Other Services"))),"Other Services"))</f>
        <v/>
      </c>
    </row>
    <row r="2162" customFormat="false" ht="15" hidden="false" customHeight="false" outlineLevel="0" collapsed="false">
      <c r="J2162" s="41" t="str">
        <f aca="false">IF(D2162="","",IFERROR(IF(ISNUMBER(SEARCH(Assumptions!$C$5,D2162)),Assumptions!$D$5,IF(ISNUMBER(SEARCH(Assumptions!$C$6,D2162)),Assumptions!$D$6,IF(ISNUMBER(SEARCH(Assumptions!$C$7,D2162)),Assumptions!$D$7,"Other Services"))),"Other Services"))</f>
        <v/>
      </c>
    </row>
    <row r="2163" customFormat="false" ht="15" hidden="false" customHeight="false" outlineLevel="0" collapsed="false">
      <c r="J2163" s="41" t="str">
        <f aca="false">IF(D2163="","",IFERROR(IF(ISNUMBER(SEARCH(Assumptions!$C$5,D2163)),Assumptions!$D$5,IF(ISNUMBER(SEARCH(Assumptions!$C$6,D2163)),Assumptions!$D$6,IF(ISNUMBER(SEARCH(Assumptions!$C$7,D2163)),Assumptions!$D$7,"Other Services"))),"Other Services"))</f>
        <v/>
      </c>
    </row>
    <row r="2164" customFormat="false" ht="15" hidden="false" customHeight="false" outlineLevel="0" collapsed="false">
      <c r="J2164" s="41" t="str">
        <f aca="false">IF(D2164="","",IFERROR(IF(ISNUMBER(SEARCH(Assumptions!$C$5,D2164)),Assumptions!$D$5,IF(ISNUMBER(SEARCH(Assumptions!$C$6,D2164)),Assumptions!$D$6,IF(ISNUMBER(SEARCH(Assumptions!$C$7,D2164)),Assumptions!$D$7,"Other Services"))),"Other Services"))</f>
        <v/>
      </c>
    </row>
    <row r="2165" customFormat="false" ht="15" hidden="false" customHeight="false" outlineLevel="0" collapsed="false">
      <c r="J2165" s="41" t="str">
        <f aca="false">IF(D2165="","",IFERROR(IF(ISNUMBER(SEARCH(Assumptions!$C$5,D2165)),Assumptions!$D$5,IF(ISNUMBER(SEARCH(Assumptions!$C$6,D2165)),Assumptions!$D$6,IF(ISNUMBER(SEARCH(Assumptions!$C$7,D2165)),Assumptions!$D$7,"Other Services"))),"Other Services"))</f>
        <v/>
      </c>
    </row>
    <row r="2166" customFormat="false" ht="15" hidden="false" customHeight="false" outlineLevel="0" collapsed="false">
      <c r="J2166" s="41" t="str">
        <f aca="false">IF(D2166="","",IFERROR(IF(ISNUMBER(SEARCH(Assumptions!$C$5,D2166)),Assumptions!$D$5,IF(ISNUMBER(SEARCH(Assumptions!$C$6,D2166)),Assumptions!$D$6,IF(ISNUMBER(SEARCH(Assumptions!$C$7,D2166)),Assumptions!$D$7,"Other Services"))),"Other Services"))</f>
        <v/>
      </c>
    </row>
    <row r="2167" customFormat="false" ht="15" hidden="false" customHeight="false" outlineLevel="0" collapsed="false">
      <c r="J2167" s="41" t="str">
        <f aca="false">IF(D2167="","",IFERROR(IF(ISNUMBER(SEARCH(Assumptions!$C$5,D2167)),Assumptions!$D$5,IF(ISNUMBER(SEARCH(Assumptions!$C$6,D2167)),Assumptions!$D$6,IF(ISNUMBER(SEARCH(Assumptions!$C$7,D2167)),Assumptions!$D$7,"Other Services"))),"Other Services"))</f>
        <v/>
      </c>
    </row>
    <row r="2168" customFormat="false" ht="15" hidden="false" customHeight="false" outlineLevel="0" collapsed="false">
      <c r="J2168" s="41" t="str">
        <f aca="false">IF(D2168="","",IFERROR(IF(ISNUMBER(SEARCH(Assumptions!$C$5,D2168)),Assumptions!$D$5,IF(ISNUMBER(SEARCH(Assumptions!$C$6,D2168)),Assumptions!$D$6,IF(ISNUMBER(SEARCH(Assumptions!$C$7,D2168)),Assumptions!$D$7,"Other Services"))),"Other Services"))</f>
        <v/>
      </c>
    </row>
    <row r="2169" customFormat="false" ht="15" hidden="false" customHeight="false" outlineLevel="0" collapsed="false">
      <c r="J2169" s="41" t="str">
        <f aca="false">IF(D2169="","",IFERROR(IF(ISNUMBER(SEARCH(Assumptions!$C$5,D2169)),Assumptions!$D$5,IF(ISNUMBER(SEARCH(Assumptions!$C$6,D2169)),Assumptions!$D$6,IF(ISNUMBER(SEARCH(Assumptions!$C$7,D2169)),Assumptions!$D$7,"Other Services"))),"Other Services"))</f>
        <v/>
      </c>
    </row>
    <row r="2170" customFormat="false" ht="15" hidden="false" customHeight="false" outlineLevel="0" collapsed="false">
      <c r="J2170" s="41" t="str">
        <f aca="false">IF(D2170="","",IFERROR(IF(ISNUMBER(SEARCH(Assumptions!$C$5,D2170)),Assumptions!$D$5,IF(ISNUMBER(SEARCH(Assumptions!$C$6,D2170)),Assumptions!$D$6,IF(ISNUMBER(SEARCH(Assumptions!$C$7,D2170)),Assumptions!$D$7,"Other Services"))),"Other Services"))</f>
        <v/>
      </c>
    </row>
    <row r="2171" customFormat="false" ht="15" hidden="false" customHeight="false" outlineLevel="0" collapsed="false">
      <c r="J2171" s="41" t="str">
        <f aca="false">IF(D2171="","",IFERROR(IF(ISNUMBER(SEARCH(Assumptions!$C$5,D2171)),Assumptions!$D$5,IF(ISNUMBER(SEARCH(Assumptions!$C$6,D2171)),Assumptions!$D$6,IF(ISNUMBER(SEARCH(Assumptions!$C$7,D2171)),Assumptions!$D$7,"Other Services"))),"Other Services"))</f>
        <v/>
      </c>
    </row>
    <row r="2172" customFormat="false" ht="15" hidden="false" customHeight="false" outlineLevel="0" collapsed="false">
      <c r="J2172" s="41" t="str">
        <f aca="false">IF(D2172="","",IFERROR(IF(ISNUMBER(SEARCH(Assumptions!$C$5,D2172)),Assumptions!$D$5,IF(ISNUMBER(SEARCH(Assumptions!$C$6,D2172)),Assumptions!$D$6,IF(ISNUMBER(SEARCH(Assumptions!$C$7,D2172)),Assumptions!$D$7,"Other Services"))),"Other Services"))</f>
        <v/>
      </c>
    </row>
    <row r="2173" customFormat="false" ht="15" hidden="false" customHeight="false" outlineLevel="0" collapsed="false">
      <c r="J2173" s="41" t="str">
        <f aca="false">IF(D2173="","",IFERROR(IF(ISNUMBER(SEARCH(Assumptions!$C$5,D2173)),Assumptions!$D$5,IF(ISNUMBER(SEARCH(Assumptions!$C$6,D2173)),Assumptions!$D$6,IF(ISNUMBER(SEARCH(Assumptions!$C$7,D2173)),Assumptions!$D$7,"Other Services"))),"Other Services"))</f>
        <v/>
      </c>
    </row>
    <row r="2174" customFormat="false" ht="15" hidden="false" customHeight="false" outlineLevel="0" collapsed="false">
      <c r="J2174" s="41" t="str">
        <f aca="false">IF(D2174="","",IFERROR(IF(ISNUMBER(SEARCH(Assumptions!$C$5,D2174)),Assumptions!$D$5,IF(ISNUMBER(SEARCH(Assumptions!$C$6,D2174)),Assumptions!$D$6,IF(ISNUMBER(SEARCH(Assumptions!$C$7,D2174)),Assumptions!$D$7,"Other Services"))),"Other Services"))</f>
        <v/>
      </c>
    </row>
    <row r="2175" customFormat="false" ht="15" hidden="false" customHeight="false" outlineLevel="0" collapsed="false">
      <c r="J2175" s="41" t="str">
        <f aca="false">IF(D2175="","",IFERROR(IF(ISNUMBER(SEARCH(Assumptions!$C$5,D2175)),Assumptions!$D$5,IF(ISNUMBER(SEARCH(Assumptions!$C$6,D2175)),Assumptions!$D$6,IF(ISNUMBER(SEARCH(Assumptions!$C$7,D2175)),Assumptions!$D$7,"Other Services"))),"Other Services"))</f>
        <v/>
      </c>
    </row>
    <row r="2176" customFormat="false" ht="15" hidden="false" customHeight="false" outlineLevel="0" collapsed="false">
      <c r="J2176" s="41" t="str">
        <f aca="false">IF(D2176="","",IFERROR(IF(ISNUMBER(SEARCH(Assumptions!$C$5,D2176)),Assumptions!$D$5,IF(ISNUMBER(SEARCH(Assumptions!$C$6,D2176)),Assumptions!$D$6,IF(ISNUMBER(SEARCH(Assumptions!$C$7,D2176)),Assumptions!$D$7,"Other Services"))),"Other Services"))</f>
        <v/>
      </c>
    </row>
    <row r="2177" customFormat="false" ht="15" hidden="false" customHeight="false" outlineLevel="0" collapsed="false">
      <c r="J2177" s="41" t="str">
        <f aca="false">IF(D2177="","",IFERROR(IF(ISNUMBER(SEARCH(Assumptions!$C$5,D2177)),Assumptions!$D$5,IF(ISNUMBER(SEARCH(Assumptions!$C$6,D2177)),Assumptions!$D$6,IF(ISNUMBER(SEARCH(Assumptions!$C$7,D2177)),Assumptions!$D$7,"Other Services"))),"Other Services"))</f>
        <v/>
      </c>
    </row>
    <row r="2178" customFormat="false" ht="15" hidden="false" customHeight="false" outlineLevel="0" collapsed="false">
      <c r="J2178" s="41" t="str">
        <f aca="false">IF(D2178="","",IFERROR(IF(ISNUMBER(SEARCH(Assumptions!$C$5,D2178)),Assumptions!$D$5,IF(ISNUMBER(SEARCH(Assumptions!$C$6,D2178)),Assumptions!$D$6,IF(ISNUMBER(SEARCH(Assumptions!$C$7,D2178)),Assumptions!$D$7,"Other Services"))),"Other Services"))</f>
        <v/>
      </c>
    </row>
    <row r="2179" customFormat="false" ht="15" hidden="false" customHeight="false" outlineLevel="0" collapsed="false">
      <c r="J2179" s="41" t="str">
        <f aca="false">IF(D2179="","",IFERROR(IF(ISNUMBER(SEARCH(Assumptions!$C$5,D2179)),Assumptions!$D$5,IF(ISNUMBER(SEARCH(Assumptions!$C$6,D2179)),Assumptions!$D$6,IF(ISNUMBER(SEARCH(Assumptions!$C$7,D2179)),Assumptions!$D$7,"Other Services"))),"Other Services"))</f>
        <v/>
      </c>
    </row>
    <row r="2180" customFormat="false" ht="15" hidden="false" customHeight="false" outlineLevel="0" collapsed="false">
      <c r="J2180" s="41" t="str">
        <f aca="false">IF(D2180="","",IFERROR(IF(ISNUMBER(SEARCH(Assumptions!$C$5,D2180)),Assumptions!$D$5,IF(ISNUMBER(SEARCH(Assumptions!$C$6,D2180)),Assumptions!$D$6,IF(ISNUMBER(SEARCH(Assumptions!$C$7,D2180)),Assumptions!$D$7,"Other Services"))),"Other Services"))</f>
        <v/>
      </c>
    </row>
    <row r="2181" customFormat="false" ht="15" hidden="false" customHeight="false" outlineLevel="0" collapsed="false">
      <c r="J2181" s="41" t="str">
        <f aca="false">IF(D2181="","",IFERROR(IF(ISNUMBER(SEARCH(Assumptions!$C$5,D2181)),Assumptions!$D$5,IF(ISNUMBER(SEARCH(Assumptions!$C$6,D2181)),Assumptions!$D$6,IF(ISNUMBER(SEARCH(Assumptions!$C$7,D2181)),Assumptions!$D$7,"Other Services"))),"Other Services"))</f>
        <v/>
      </c>
    </row>
    <row r="2182" customFormat="false" ht="15" hidden="false" customHeight="false" outlineLevel="0" collapsed="false">
      <c r="J2182" s="41" t="str">
        <f aca="false">IF(D2182="","",IFERROR(IF(ISNUMBER(SEARCH(Assumptions!$C$5,D2182)),Assumptions!$D$5,IF(ISNUMBER(SEARCH(Assumptions!$C$6,D2182)),Assumptions!$D$6,IF(ISNUMBER(SEARCH(Assumptions!$C$7,D2182)),Assumptions!$D$7,"Other Services"))),"Other Services"))</f>
        <v/>
      </c>
    </row>
    <row r="2183" customFormat="false" ht="15" hidden="false" customHeight="false" outlineLevel="0" collapsed="false">
      <c r="J2183" s="41" t="str">
        <f aca="false">IF(D2183="","",IFERROR(IF(ISNUMBER(SEARCH(Assumptions!$C$5,D2183)),Assumptions!$D$5,IF(ISNUMBER(SEARCH(Assumptions!$C$6,D2183)),Assumptions!$D$6,IF(ISNUMBER(SEARCH(Assumptions!$C$7,D2183)),Assumptions!$D$7,"Other Services"))),"Other Services"))</f>
        <v/>
      </c>
    </row>
    <row r="2184" customFormat="false" ht="15" hidden="false" customHeight="false" outlineLevel="0" collapsed="false">
      <c r="J2184" s="41" t="str">
        <f aca="false">IF(D2184="","",IFERROR(IF(ISNUMBER(SEARCH(Assumptions!$C$5,D2184)),Assumptions!$D$5,IF(ISNUMBER(SEARCH(Assumptions!$C$6,D2184)),Assumptions!$D$6,IF(ISNUMBER(SEARCH(Assumptions!$C$7,D2184)),Assumptions!$D$7,"Other Services"))),"Other Services"))</f>
        <v/>
      </c>
    </row>
    <row r="2185" customFormat="false" ht="15" hidden="false" customHeight="false" outlineLevel="0" collapsed="false">
      <c r="J2185" s="41" t="str">
        <f aca="false">IF(D2185="","",IFERROR(IF(ISNUMBER(SEARCH(Assumptions!$C$5,D2185)),Assumptions!$D$5,IF(ISNUMBER(SEARCH(Assumptions!$C$6,D2185)),Assumptions!$D$6,IF(ISNUMBER(SEARCH(Assumptions!$C$7,D2185)),Assumptions!$D$7,"Other Services"))),"Other Services"))</f>
        <v/>
      </c>
    </row>
    <row r="2186" customFormat="false" ht="15" hidden="false" customHeight="false" outlineLevel="0" collapsed="false">
      <c r="J2186" s="41" t="str">
        <f aca="false">IF(D2186="","",IFERROR(IF(ISNUMBER(SEARCH(Assumptions!$C$5,D2186)),Assumptions!$D$5,IF(ISNUMBER(SEARCH(Assumptions!$C$6,D2186)),Assumptions!$D$6,IF(ISNUMBER(SEARCH(Assumptions!$C$7,D2186)),Assumptions!$D$7,"Other Services"))),"Other Services"))</f>
        <v/>
      </c>
    </row>
    <row r="2187" customFormat="false" ht="15" hidden="false" customHeight="false" outlineLevel="0" collapsed="false">
      <c r="J2187" s="41" t="str">
        <f aca="false">IF(D2187="","",IFERROR(IF(ISNUMBER(SEARCH(Assumptions!$C$5,D2187)),Assumptions!$D$5,IF(ISNUMBER(SEARCH(Assumptions!$C$6,D2187)),Assumptions!$D$6,IF(ISNUMBER(SEARCH(Assumptions!$C$7,D2187)),Assumptions!$D$7,"Other Services"))),"Other Services"))</f>
        <v/>
      </c>
    </row>
    <row r="2188" customFormat="false" ht="15" hidden="false" customHeight="false" outlineLevel="0" collapsed="false">
      <c r="J2188" s="41" t="str">
        <f aca="false">IF(D2188="","",IFERROR(IF(ISNUMBER(SEARCH(Assumptions!$C$5,D2188)),Assumptions!$D$5,IF(ISNUMBER(SEARCH(Assumptions!$C$6,D2188)),Assumptions!$D$6,IF(ISNUMBER(SEARCH(Assumptions!$C$7,D2188)),Assumptions!$D$7,"Other Services"))),"Other Services"))</f>
        <v/>
      </c>
    </row>
    <row r="2189" customFormat="false" ht="15" hidden="false" customHeight="false" outlineLevel="0" collapsed="false">
      <c r="J2189" s="41" t="str">
        <f aca="false">IF(D2189="","",IFERROR(IF(ISNUMBER(SEARCH(Assumptions!$C$5,D2189)),Assumptions!$D$5,IF(ISNUMBER(SEARCH(Assumptions!$C$6,D2189)),Assumptions!$D$6,IF(ISNUMBER(SEARCH(Assumptions!$C$7,D2189)),Assumptions!$D$7,"Other Services"))),"Other Services"))</f>
        <v/>
      </c>
    </row>
    <row r="2190" customFormat="false" ht="15" hidden="false" customHeight="false" outlineLevel="0" collapsed="false">
      <c r="J2190" s="41" t="str">
        <f aca="false">IF(D2190="","",IFERROR(IF(ISNUMBER(SEARCH(Assumptions!$C$5,D2190)),Assumptions!$D$5,IF(ISNUMBER(SEARCH(Assumptions!$C$6,D2190)),Assumptions!$D$6,IF(ISNUMBER(SEARCH(Assumptions!$C$7,D2190)),Assumptions!$D$7,"Other Services"))),"Other Services"))</f>
        <v/>
      </c>
    </row>
    <row r="2191" customFormat="false" ht="15" hidden="false" customHeight="false" outlineLevel="0" collapsed="false">
      <c r="J2191" s="41" t="str">
        <f aca="false">IF(D2191="","",IFERROR(IF(ISNUMBER(SEARCH(Assumptions!$C$5,D2191)),Assumptions!$D$5,IF(ISNUMBER(SEARCH(Assumptions!$C$6,D2191)),Assumptions!$D$6,IF(ISNUMBER(SEARCH(Assumptions!$C$7,D2191)),Assumptions!$D$7,"Other Services"))),"Other Services"))</f>
        <v/>
      </c>
    </row>
    <row r="2192" customFormat="false" ht="15" hidden="false" customHeight="false" outlineLevel="0" collapsed="false">
      <c r="J2192" s="41" t="str">
        <f aca="false">IF(D2192="","",IFERROR(IF(ISNUMBER(SEARCH(Assumptions!$C$5,D2192)),Assumptions!$D$5,IF(ISNUMBER(SEARCH(Assumptions!$C$6,D2192)),Assumptions!$D$6,IF(ISNUMBER(SEARCH(Assumptions!$C$7,D2192)),Assumptions!$D$7,"Other Services"))),"Other Services"))</f>
        <v/>
      </c>
    </row>
    <row r="2193" customFormat="false" ht="15" hidden="false" customHeight="false" outlineLevel="0" collapsed="false">
      <c r="J2193" s="41" t="str">
        <f aca="false">IF(D2193="","",IFERROR(IF(ISNUMBER(SEARCH(Assumptions!$C$5,D2193)),Assumptions!$D$5,IF(ISNUMBER(SEARCH(Assumptions!$C$6,D2193)),Assumptions!$D$6,IF(ISNUMBER(SEARCH(Assumptions!$C$7,D2193)),Assumptions!$D$7,"Other Services"))),"Other Services"))</f>
        <v/>
      </c>
    </row>
    <row r="2194" customFormat="false" ht="15" hidden="false" customHeight="false" outlineLevel="0" collapsed="false">
      <c r="J2194" s="41" t="str">
        <f aca="false">IF(D2194="","",IFERROR(IF(ISNUMBER(SEARCH(Assumptions!$C$5,D2194)),Assumptions!$D$5,IF(ISNUMBER(SEARCH(Assumptions!$C$6,D2194)),Assumptions!$D$6,IF(ISNUMBER(SEARCH(Assumptions!$C$7,D2194)),Assumptions!$D$7,"Other Services"))),"Other Services"))</f>
        <v/>
      </c>
    </row>
    <row r="2195" customFormat="false" ht="15" hidden="false" customHeight="false" outlineLevel="0" collapsed="false">
      <c r="J2195" s="41" t="str">
        <f aca="false">IF(D2195="","",IFERROR(IF(ISNUMBER(SEARCH(Assumptions!$C$5,D2195)),Assumptions!$D$5,IF(ISNUMBER(SEARCH(Assumptions!$C$6,D2195)),Assumptions!$D$6,IF(ISNUMBER(SEARCH(Assumptions!$C$7,D2195)),Assumptions!$D$7,"Other Services"))),"Other Services"))</f>
        <v/>
      </c>
    </row>
    <row r="2196" customFormat="false" ht="15" hidden="false" customHeight="false" outlineLevel="0" collapsed="false">
      <c r="J2196" s="41" t="str">
        <f aca="false">IF(D2196="","",IFERROR(IF(ISNUMBER(SEARCH(Assumptions!$C$5,D2196)),Assumptions!$D$5,IF(ISNUMBER(SEARCH(Assumptions!$C$6,D2196)),Assumptions!$D$6,IF(ISNUMBER(SEARCH(Assumptions!$C$7,D2196)),Assumptions!$D$7,"Other Services"))),"Other Services"))</f>
        <v/>
      </c>
    </row>
    <row r="2197" customFormat="false" ht="15" hidden="false" customHeight="false" outlineLevel="0" collapsed="false">
      <c r="J2197" s="41" t="str">
        <f aca="false">IF(D2197="","",IFERROR(IF(ISNUMBER(SEARCH(Assumptions!$C$5,D2197)),Assumptions!$D$5,IF(ISNUMBER(SEARCH(Assumptions!$C$6,D2197)),Assumptions!$D$6,IF(ISNUMBER(SEARCH(Assumptions!$C$7,D2197)),Assumptions!$D$7,"Other Services"))),"Other Services"))</f>
        <v/>
      </c>
    </row>
    <row r="2198" customFormat="false" ht="15" hidden="false" customHeight="false" outlineLevel="0" collapsed="false">
      <c r="J2198" s="41" t="str">
        <f aca="false">IF(D2198="","",IFERROR(IF(ISNUMBER(SEARCH(Assumptions!$C$5,D2198)),Assumptions!$D$5,IF(ISNUMBER(SEARCH(Assumptions!$C$6,D2198)),Assumptions!$D$6,IF(ISNUMBER(SEARCH(Assumptions!$C$7,D2198)),Assumptions!$D$7,"Other Services"))),"Other Services"))</f>
        <v/>
      </c>
    </row>
    <row r="2199" customFormat="false" ht="15" hidden="false" customHeight="false" outlineLevel="0" collapsed="false">
      <c r="J2199" s="41" t="str">
        <f aca="false">IF(D2199="","",IFERROR(IF(ISNUMBER(SEARCH(Assumptions!$C$5,D2199)),Assumptions!$D$5,IF(ISNUMBER(SEARCH(Assumptions!$C$6,D2199)),Assumptions!$D$6,IF(ISNUMBER(SEARCH(Assumptions!$C$7,D2199)),Assumptions!$D$7,"Other Services"))),"Other Services"))</f>
        <v/>
      </c>
    </row>
    <row r="2200" customFormat="false" ht="15" hidden="false" customHeight="false" outlineLevel="0" collapsed="false">
      <c r="J2200" s="41" t="str">
        <f aca="false">IF(D2200="","",IFERROR(IF(ISNUMBER(SEARCH(Assumptions!$C$5,D2200)),Assumptions!$D$5,IF(ISNUMBER(SEARCH(Assumptions!$C$6,D2200)),Assumptions!$D$6,IF(ISNUMBER(SEARCH(Assumptions!$C$7,D2200)),Assumptions!$D$7,"Other Services"))),"Other Services"))</f>
        <v/>
      </c>
    </row>
    <row r="2201" customFormat="false" ht="15" hidden="false" customHeight="false" outlineLevel="0" collapsed="false">
      <c r="J2201" s="41" t="str">
        <f aca="false">IF(D2201="","",IFERROR(IF(ISNUMBER(SEARCH(Assumptions!$C$5,D2201)),Assumptions!$D$5,IF(ISNUMBER(SEARCH(Assumptions!$C$6,D2201)),Assumptions!$D$6,IF(ISNUMBER(SEARCH(Assumptions!$C$7,D2201)),Assumptions!$D$7,"Other Services"))),"Other Services"))</f>
        <v/>
      </c>
    </row>
    <row r="2202" customFormat="false" ht="15" hidden="false" customHeight="false" outlineLevel="0" collapsed="false">
      <c r="J2202" s="41" t="str">
        <f aca="false">IF(D2202="","",IFERROR(IF(ISNUMBER(SEARCH(Assumptions!$C$5,D2202)),Assumptions!$D$5,IF(ISNUMBER(SEARCH(Assumptions!$C$6,D2202)),Assumptions!$D$6,IF(ISNUMBER(SEARCH(Assumptions!$C$7,D2202)),Assumptions!$D$7,"Other Services"))),"Other Services"))</f>
        <v/>
      </c>
    </row>
    <row r="2203" customFormat="false" ht="15" hidden="false" customHeight="false" outlineLevel="0" collapsed="false">
      <c r="J2203" s="41" t="str">
        <f aca="false">IF(D2203="","",IFERROR(IF(ISNUMBER(SEARCH(Assumptions!$C$5,D2203)),Assumptions!$D$5,IF(ISNUMBER(SEARCH(Assumptions!$C$6,D2203)),Assumptions!$D$6,IF(ISNUMBER(SEARCH(Assumptions!$C$7,D2203)),Assumptions!$D$7,"Other Services"))),"Other Services"))</f>
        <v/>
      </c>
    </row>
    <row r="2204" customFormat="false" ht="15" hidden="false" customHeight="false" outlineLevel="0" collapsed="false">
      <c r="J2204" s="41" t="str">
        <f aca="false">IF(D2204="","",IFERROR(IF(ISNUMBER(SEARCH(Assumptions!$C$5,D2204)),Assumptions!$D$5,IF(ISNUMBER(SEARCH(Assumptions!$C$6,D2204)),Assumptions!$D$6,IF(ISNUMBER(SEARCH(Assumptions!$C$7,D2204)),Assumptions!$D$7,"Other Services"))),"Other Services"))</f>
        <v/>
      </c>
    </row>
    <row r="2205" customFormat="false" ht="15" hidden="false" customHeight="false" outlineLevel="0" collapsed="false">
      <c r="J2205" s="41" t="str">
        <f aca="false">IF(D2205="","",IFERROR(IF(ISNUMBER(SEARCH(Assumptions!$C$5,D2205)),Assumptions!$D$5,IF(ISNUMBER(SEARCH(Assumptions!$C$6,D2205)),Assumptions!$D$6,IF(ISNUMBER(SEARCH(Assumptions!$C$7,D2205)),Assumptions!$D$7,"Other Services"))),"Other Services"))</f>
        <v/>
      </c>
    </row>
    <row r="2206" customFormat="false" ht="15" hidden="false" customHeight="false" outlineLevel="0" collapsed="false">
      <c r="J2206" s="41" t="str">
        <f aca="false">IF(D2206="","",IFERROR(IF(ISNUMBER(SEARCH(Assumptions!$C$5,D2206)),Assumptions!$D$5,IF(ISNUMBER(SEARCH(Assumptions!$C$6,D2206)),Assumptions!$D$6,IF(ISNUMBER(SEARCH(Assumptions!$C$7,D2206)),Assumptions!$D$7,"Other Services"))),"Other Services"))</f>
        <v/>
      </c>
    </row>
    <row r="2207" customFormat="false" ht="15" hidden="false" customHeight="false" outlineLevel="0" collapsed="false">
      <c r="J2207" s="41" t="str">
        <f aca="false">IF(D2207="","",IFERROR(IF(ISNUMBER(SEARCH(Assumptions!$C$5,D2207)),Assumptions!$D$5,IF(ISNUMBER(SEARCH(Assumptions!$C$6,D2207)),Assumptions!$D$6,IF(ISNUMBER(SEARCH(Assumptions!$C$7,D2207)),Assumptions!$D$7,"Other Services"))),"Other Services"))</f>
        <v/>
      </c>
    </row>
    <row r="2208" customFormat="false" ht="15" hidden="false" customHeight="false" outlineLevel="0" collapsed="false">
      <c r="J2208" s="41" t="str">
        <f aca="false">IF(D2208="","",IFERROR(IF(ISNUMBER(SEARCH(Assumptions!$C$5,D2208)),Assumptions!$D$5,IF(ISNUMBER(SEARCH(Assumptions!$C$6,D2208)),Assumptions!$D$6,IF(ISNUMBER(SEARCH(Assumptions!$C$7,D2208)),Assumptions!$D$7,"Other Services"))),"Other Services"))</f>
        <v/>
      </c>
    </row>
    <row r="2209" customFormat="false" ht="15" hidden="false" customHeight="false" outlineLevel="0" collapsed="false">
      <c r="J2209" s="41" t="str">
        <f aca="false">IF(D2209="","",IFERROR(IF(ISNUMBER(SEARCH(Assumptions!$C$5,D2209)),Assumptions!$D$5,IF(ISNUMBER(SEARCH(Assumptions!$C$6,D2209)),Assumptions!$D$6,IF(ISNUMBER(SEARCH(Assumptions!$C$7,D2209)),Assumptions!$D$7,"Other Services"))),"Other Services"))</f>
        <v/>
      </c>
    </row>
    <row r="2210" customFormat="false" ht="15" hidden="false" customHeight="false" outlineLevel="0" collapsed="false">
      <c r="J2210" s="41" t="str">
        <f aca="false">IF(D2210="","",IFERROR(IF(ISNUMBER(SEARCH(Assumptions!$C$5,D2210)),Assumptions!$D$5,IF(ISNUMBER(SEARCH(Assumptions!$C$6,D2210)),Assumptions!$D$6,IF(ISNUMBER(SEARCH(Assumptions!$C$7,D2210)),Assumptions!$D$7,"Other Services"))),"Other Services"))</f>
        <v/>
      </c>
    </row>
    <row r="2211" customFormat="false" ht="15" hidden="false" customHeight="false" outlineLevel="0" collapsed="false">
      <c r="J2211" s="41" t="str">
        <f aca="false">IF(D2211="","",IFERROR(IF(ISNUMBER(SEARCH(Assumptions!$C$5,D2211)),Assumptions!$D$5,IF(ISNUMBER(SEARCH(Assumptions!$C$6,D2211)),Assumptions!$D$6,IF(ISNUMBER(SEARCH(Assumptions!$C$7,D2211)),Assumptions!$D$7,"Other Services"))),"Other Services"))</f>
        <v/>
      </c>
    </row>
    <row r="2212" customFormat="false" ht="15" hidden="false" customHeight="false" outlineLevel="0" collapsed="false">
      <c r="J2212" s="41" t="str">
        <f aca="false">IF(D2212="","",IFERROR(IF(ISNUMBER(SEARCH(Assumptions!$C$5,D2212)),Assumptions!$D$5,IF(ISNUMBER(SEARCH(Assumptions!$C$6,D2212)),Assumptions!$D$6,IF(ISNUMBER(SEARCH(Assumptions!$C$7,D2212)),Assumptions!$D$7,"Other Services"))),"Other Services"))</f>
        <v/>
      </c>
    </row>
    <row r="2213" customFormat="false" ht="15" hidden="false" customHeight="false" outlineLevel="0" collapsed="false">
      <c r="J2213" s="41" t="str">
        <f aca="false">IF(D2213="","",IFERROR(IF(ISNUMBER(SEARCH(Assumptions!$C$5,D2213)),Assumptions!$D$5,IF(ISNUMBER(SEARCH(Assumptions!$C$6,D2213)),Assumptions!$D$6,IF(ISNUMBER(SEARCH(Assumptions!$C$7,D2213)),Assumptions!$D$7,"Other Services"))),"Other Services"))</f>
        <v/>
      </c>
    </row>
    <row r="2214" customFormat="false" ht="15" hidden="false" customHeight="false" outlineLevel="0" collapsed="false">
      <c r="J2214" s="41" t="str">
        <f aca="false">IF(D2214="","",IFERROR(IF(ISNUMBER(SEARCH(Assumptions!$C$5,D2214)),Assumptions!$D$5,IF(ISNUMBER(SEARCH(Assumptions!$C$6,D2214)),Assumptions!$D$6,IF(ISNUMBER(SEARCH(Assumptions!$C$7,D2214)),Assumptions!$D$7,"Other Services"))),"Other Services"))</f>
        <v/>
      </c>
    </row>
    <row r="2215" customFormat="false" ht="15" hidden="false" customHeight="false" outlineLevel="0" collapsed="false">
      <c r="J2215" s="41" t="str">
        <f aca="false">IF(D2215="","",IFERROR(IF(ISNUMBER(SEARCH(Assumptions!$C$5,D2215)),Assumptions!$D$5,IF(ISNUMBER(SEARCH(Assumptions!$C$6,D2215)),Assumptions!$D$6,IF(ISNUMBER(SEARCH(Assumptions!$C$7,D2215)),Assumptions!$D$7,"Other Services"))),"Other Services"))</f>
        <v/>
      </c>
    </row>
    <row r="2216" customFormat="false" ht="15" hidden="false" customHeight="false" outlineLevel="0" collapsed="false">
      <c r="J2216" s="41" t="str">
        <f aca="false">IF(D2216="","",IFERROR(IF(ISNUMBER(SEARCH(Assumptions!$C$5,D2216)),Assumptions!$D$5,IF(ISNUMBER(SEARCH(Assumptions!$C$6,D2216)),Assumptions!$D$6,IF(ISNUMBER(SEARCH(Assumptions!$C$7,D2216)),Assumptions!$D$7,"Other Services"))),"Other Services"))</f>
        <v/>
      </c>
    </row>
    <row r="2217" customFormat="false" ht="15" hidden="false" customHeight="false" outlineLevel="0" collapsed="false">
      <c r="J2217" s="41" t="str">
        <f aca="false">IF(D2217="","",IFERROR(IF(ISNUMBER(SEARCH(Assumptions!$C$5,D2217)),Assumptions!$D$5,IF(ISNUMBER(SEARCH(Assumptions!$C$6,D2217)),Assumptions!$D$6,IF(ISNUMBER(SEARCH(Assumptions!$C$7,D2217)),Assumptions!$D$7,"Other Services"))),"Other Services"))</f>
        <v/>
      </c>
    </row>
    <row r="2218" customFormat="false" ht="15" hidden="false" customHeight="false" outlineLevel="0" collapsed="false">
      <c r="J2218" s="41" t="str">
        <f aca="false">IF(D2218="","",IFERROR(IF(ISNUMBER(SEARCH(Assumptions!$C$5,D2218)),Assumptions!$D$5,IF(ISNUMBER(SEARCH(Assumptions!$C$6,D2218)),Assumptions!$D$6,IF(ISNUMBER(SEARCH(Assumptions!$C$7,D2218)),Assumptions!$D$7,"Other Services"))),"Other Services"))</f>
        <v/>
      </c>
    </row>
    <row r="2219" customFormat="false" ht="15" hidden="false" customHeight="false" outlineLevel="0" collapsed="false">
      <c r="J2219" s="41" t="str">
        <f aca="false">IF(D2219="","",IFERROR(IF(ISNUMBER(SEARCH(Assumptions!$C$5,D2219)),Assumptions!$D$5,IF(ISNUMBER(SEARCH(Assumptions!$C$6,D2219)),Assumptions!$D$6,IF(ISNUMBER(SEARCH(Assumptions!$C$7,D2219)),Assumptions!$D$7,"Other Services"))),"Other Services"))</f>
        <v/>
      </c>
    </row>
    <row r="2220" customFormat="false" ht="15" hidden="false" customHeight="false" outlineLevel="0" collapsed="false">
      <c r="J2220" s="41" t="str">
        <f aca="false">IF(D2220="","",IFERROR(IF(ISNUMBER(SEARCH(Assumptions!$C$5,D2220)),Assumptions!$D$5,IF(ISNUMBER(SEARCH(Assumptions!$C$6,D2220)),Assumptions!$D$6,IF(ISNUMBER(SEARCH(Assumptions!$C$7,D2220)),Assumptions!$D$7,"Other Services"))),"Other Services"))</f>
        <v/>
      </c>
    </row>
    <row r="2221" customFormat="false" ht="15" hidden="false" customHeight="false" outlineLevel="0" collapsed="false">
      <c r="J2221" s="41" t="str">
        <f aca="false">IF(D2221="","",IFERROR(IF(ISNUMBER(SEARCH(Assumptions!$C$5,D2221)),Assumptions!$D$5,IF(ISNUMBER(SEARCH(Assumptions!$C$6,D2221)),Assumptions!$D$6,IF(ISNUMBER(SEARCH(Assumptions!$C$7,D2221)),Assumptions!$D$7,"Other Services"))),"Other Services"))</f>
        <v/>
      </c>
    </row>
    <row r="2222" customFormat="false" ht="15" hidden="false" customHeight="false" outlineLevel="0" collapsed="false">
      <c r="J2222" s="41" t="str">
        <f aca="false">IF(D2222="","",IFERROR(IF(ISNUMBER(SEARCH(Assumptions!$C$5,D2222)),Assumptions!$D$5,IF(ISNUMBER(SEARCH(Assumptions!$C$6,D2222)),Assumptions!$D$6,IF(ISNUMBER(SEARCH(Assumptions!$C$7,D2222)),Assumptions!$D$7,"Other Services"))),"Other Services"))</f>
        <v/>
      </c>
    </row>
    <row r="2223" customFormat="false" ht="15" hidden="false" customHeight="false" outlineLevel="0" collapsed="false">
      <c r="J2223" s="41" t="str">
        <f aca="false">IF(D2223="","",IFERROR(IF(ISNUMBER(SEARCH(Assumptions!$C$5,D2223)),Assumptions!$D$5,IF(ISNUMBER(SEARCH(Assumptions!$C$6,D2223)),Assumptions!$D$6,IF(ISNUMBER(SEARCH(Assumptions!$C$7,D2223)),Assumptions!$D$7,"Other Services"))),"Other Services"))</f>
        <v/>
      </c>
    </row>
    <row r="2224" customFormat="false" ht="15" hidden="false" customHeight="false" outlineLevel="0" collapsed="false">
      <c r="J2224" s="41" t="str">
        <f aca="false">IF(D2224="","",IFERROR(IF(ISNUMBER(SEARCH(Assumptions!$C$5,D2224)),Assumptions!$D$5,IF(ISNUMBER(SEARCH(Assumptions!$C$6,D2224)),Assumptions!$D$6,IF(ISNUMBER(SEARCH(Assumptions!$C$7,D2224)),Assumptions!$D$7,"Other Services"))),"Other Services"))</f>
        <v/>
      </c>
    </row>
    <row r="2225" customFormat="false" ht="15" hidden="false" customHeight="false" outlineLevel="0" collapsed="false">
      <c r="J2225" s="41" t="str">
        <f aca="false">IF(D2225="","",IFERROR(IF(ISNUMBER(SEARCH(Assumptions!$C$5,D2225)),Assumptions!$D$5,IF(ISNUMBER(SEARCH(Assumptions!$C$6,D2225)),Assumptions!$D$6,IF(ISNUMBER(SEARCH(Assumptions!$C$7,D2225)),Assumptions!$D$7,"Other Services"))),"Other Services"))</f>
        <v/>
      </c>
    </row>
    <row r="2226" customFormat="false" ht="15" hidden="false" customHeight="false" outlineLevel="0" collapsed="false">
      <c r="J2226" s="41" t="str">
        <f aca="false">IF(D2226="","",IFERROR(IF(ISNUMBER(SEARCH(Assumptions!$C$5,D2226)),Assumptions!$D$5,IF(ISNUMBER(SEARCH(Assumptions!$C$6,D2226)),Assumptions!$D$6,IF(ISNUMBER(SEARCH(Assumptions!$C$7,D2226)),Assumptions!$D$7,"Other Services"))),"Other Services"))</f>
        <v/>
      </c>
    </row>
    <row r="2227" customFormat="false" ht="15" hidden="false" customHeight="false" outlineLevel="0" collapsed="false">
      <c r="J2227" s="41" t="str">
        <f aca="false">IF(D2227="","",IFERROR(IF(ISNUMBER(SEARCH(Assumptions!$C$5,D2227)),Assumptions!$D$5,IF(ISNUMBER(SEARCH(Assumptions!$C$6,D2227)),Assumptions!$D$6,IF(ISNUMBER(SEARCH(Assumptions!$C$7,D2227)),Assumptions!$D$7,"Other Services"))),"Other Services"))</f>
        <v/>
      </c>
    </row>
    <row r="2228" customFormat="false" ht="15" hidden="false" customHeight="false" outlineLevel="0" collapsed="false">
      <c r="J2228" s="41" t="str">
        <f aca="false">IF(D2228="","",IFERROR(IF(ISNUMBER(SEARCH(Assumptions!$C$5,D2228)),Assumptions!$D$5,IF(ISNUMBER(SEARCH(Assumptions!$C$6,D2228)),Assumptions!$D$6,IF(ISNUMBER(SEARCH(Assumptions!$C$7,D2228)),Assumptions!$D$7,"Other Services"))),"Other Services"))</f>
        <v/>
      </c>
    </row>
    <row r="2229" customFormat="false" ht="15" hidden="false" customHeight="false" outlineLevel="0" collapsed="false">
      <c r="J2229" s="41" t="str">
        <f aca="false">IF(D2229="","",IFERROR(IF(ISNUMBER(SEARCH(Assumptions!$C$5,D2229)),Assumptions!$D$5,IF(ISNUMBER(SEARCH(Assumptions!$C$6,D2229)),Assumptions!$D$6,IF(ISNUMBER(SEARCH(Assumptions!$C$7,D2229)),Assumptions!$D$7,"Other Services"))),"Other Services"))</f>
        <v/>
      </c>
    </row>
    <row r="2230" customFormat="false" ht="15" hidden="false" customHeight="false" outlineLevel="0" collapsed="false">
      <c r="J2230" s="41" t="str">
        <f aca="false">IF(D2230="","",IFERROR(IF(ISNUMBER(SEARCH(Assumptions!$C$5,D2230)),Assumptions!$D$5,IF(ISNUMBER(SEARCH(Assumptions!$C$6,D2230)),Assumptions!$D$6,IF(ISNUMBER(SEARCH(Assumptions!$C$7,D2230)),Assumptions!$D$7,"Other Services"))),"Other Services"))</f>
        <v/>
      </c>
    </row>
    <row r="2231" customFormat="false" ht="15" hidden="false" customHeight="false" outlineLevel="0" collapsed="false">
      <c r="J2231" s="41" t="str">
        <f aca="false">IF(D2231="","",IFERROR(IF(ISNUMBER(SEARCH(Assumptions!$C$5,D2231)),Assumptions!$D$5,IF(ISNUMBER(SEARCH(Assumptions!$C$6,D2231)),Assumptions!$D$6,IF(ISNUMBER(SEARCH(Assumptions!$C$7,D2231)),Assumptions!$D$7,"Other Services"))),"Other Services"))</f>
        <v/>
      </c>
    </row>
    <row r="2232" customFormat="false" ht="15" hidden="false" customHeight="false" outlineLevel="0" collapsed="false">
      <c r="J2232" s="41" t="str">
        <f aca="false">IF(D2232="","",IFERROR(IF(ISNUMBER(SEARCH(Assumptions!$C$5,D2232)),Assumptions!$D$5,IF(ISNUMBER(SEARCH(Assumptions!$C$6,D2232)),Assumptions!$D$6,IF(ISNUMBER(SEARCH(Assumptions!$C$7,D2232)),Assumptions!$D$7,"Other Services"))),"Other Services"))</f>
        <v/>
      </c>
    </row>
    <row r="2233" customFormat="false" ht="15" hidden="false" customHeight="false" outlineLevel="0" collapsed="false">
      <c r="J2233" s="41" t="str">
        <f aca="false">IF(D2233="","",IFERROR(IF(ISNUMBER(SEARCH(Assumptions!$C$5,D2233)),Assumptions!$D$5,IF(ISNUMBER(SEARCH(Assumptions!$C$6,D2233)),Assumptions!$D$6,IF(ISNUMBER(SEARCH(Assumptions!$C$7,D2233)),Assumptions!$D$7,"Other Services"))),"Other Services"))</f>
        <v/>
      </c>
    </row>
    <row r="2234" customFormat="false" ht="15" hidden="false" customHeight="false" outlineLevel="0" collapsed="false">
      <c r="J2234" s="41" t="str">
        <f aca="false">IF(D2234="","",IFERROR(IF(ISNUMBER(SEARCH(Assumptions!$C$5,D2234)),Assumptions!$D$5,IF(ISNUMBER(SEARCH(Assumptions!$C$6,D2234)),Assumptions!$D$6,IF(ISNUMBER(SEARCH(Assumptions!$C$7,D2234)),Assumptions!$D$7,"Other Services"))),"Other Services"))</f>
        <v/>
      </c>
    </row>
    <row r="2235" customFormat="false" ht="15" hidden="false" customHeight="false" outlineLevel="0" collapsed="false">
      <c r="J2235" s="41" t="str">
        <f aca="false">IF(D2235="","",IFERROR(IF(ISNUMBER(SEARCH(Assumptions!$C$5,D2235)),Assumptions!$D$5,IF(ISNUMBER(SEARCH(Assumptions!$C$6,D2235)),Assumptions!$D$6,IF(ISNUMBER(SEARCH(Assumptions!$C$7,D2235)),Assumptions!$D$7,"Other Services"))),"Other Services"))</f>
        <v/>
      </c>
    </row>
    <row r="2236" customFormat="false" ht="15" hidden="false" customHeight="false" outlineLevel="0" collapsed="false">
      <c r="J2236" s="41" t="str">
        <f aca="false">IF(D2236="","",IFERROR(IF(ISNUMBER(SEARCH(Assumptions!$C$5,D2236)),Assumptions!$D$5,IF(ISNUMBER(SEARCH(Assumptions!$C$6,D2236)),Assumptions!$D$6,IF(ISNUMBER(SEARCH(Assumptions!$C$7,D2236)),Assumptions!$D$7,"Other Services"))),"Other Services"))</f>
        <v/>
      </c>
    </row>
    <row r="2237" customFormat="false" ht="15" hidden="false" customHeight="false" outlineLevel="0" collapsed="false">
      <c r="J2237" s="41" t="str">
        <f aca="false">IF(D2237="","",IFERROR(IF(ISNUMBER(SEARCH(Assumptions!$C$5,D2237)),Assumptions!$D$5,IF(ISNUMBER(SEARCH(Assumptions!$C$6,D2237)),Assumptions!$D$6,IF(ISNUMBER(SEARCH(Assumptions!$C$7,D2237)),Assumptions!$D$7,"Other Services"))),"Other Services"))</f>
        <v/>
      </c>
    </row>
    <row r="2238" customFormat="false" ht="15" hidden="false" customHeight="false" outlineLevel="0" collapsed="false">
      <c r="J2238" s="41" t="str">
        <f aca="false">IF(D2238="","",IFERROR(IF(ISNUMBER(SEARCH(Assumptions!$C$5,D2238)),Assumptions!$D$5,IF(ISNUMBER(SEARCH(Assumptions!$C$6,D2238)),Assumptions!$D$6,IF(ISNUMBER(SEARCH(Assumptions!$C$7,D2238)),Assumptions!$D$7,"Other Services"))),"Other Services"))</f>
        <v/>
      </c>
    </row>
    <row r="2239" customFormat="false" ht="15" hidden="false" customHeight="false" outlineLevel="0" collapsed="false">
      <c r="J2239" s="41" t="str">
        <f aca="false">IF(D2239="","",IFERROR(IF(ISNUMBER(SEARCH(Assumptions!$C$5,D2239)),Assumptions!$D$5,IF(ISNUMBER(SEARCH(Assumptions!$C$6,D2239)),Assumptions!$D$6,IF(ISNUMBER(SEARCH(Assumptions!$C$7,D2239)),Assumptions!$D$7,"Other Services"))),"Other Services"))</f>
        <v/>
      </c>
    </row>
    <row r="2240" customFormat="false" ht="15" hidden="false" customHeight="false" outlineLevel="0" collapsed="false">
      <c r="J2240" s="41" t="str">
        <f aca="false">IF(D2240="","",IFERROR(IF(ISNUMBER(SEARCH(Assumptions!$C$5,D2240)),Assumptions!$D$5,IF(ISNUMBER(SEARCH(Assumptions!$C$6,D2240)),Assumptions!$D$6,IF(ISNUMBER(SEARCH(Assumptions!$C$7,D2240)),Assumptions!$D$7,"Other Services"))),"Other Services"))</f>
        <v/>
      </c>
    </row>
    <row r="2241" customFormat="false" ht="15" hidden="false" customHeight="false" outlineLevel="0" collapsed="false">
      <c r="J2241" s="41" t="str">
        <f aca="false">IF(D2241="","",IFERROR(IF(ISNUMBER(SEARCH(Assumptions!$C$5,D2241)),Assumptions!$D$5,IF(ISNUMBER(SEARCH(Assumptions!$C$6,D2241)),Assumptions!$D$6,IF(ISNUMBER(SEARCH(Assumptions!$C$7,D2241)),Assumptions!$D$7,"Other Services"))),"Other Services"))</f>
        <v/>
      </c>
    </row>
    <row r="2242" customFormat="false" ht="15" hidden="false" customHeight="false" outlineLevel="0" collapsed="false">
      <c r="J2242" s="41" t="str">
        <f aca="false">IF(D2242="","",IFERROR(IF(ISNUMBER(SEARCH(Assumptions!$C$5,D2242)),Assumptions!$D$5,IF(ISNUMBER(SEARCH(Assumptions!$C$6,D2242)),Assumptions!$D$6,IF(ISNUMBER(SEARCH(Assumptions!$C$7,D2242)),Assumptions!$D$7,"Other Services"))),"Other Services"))</f>
        <v/>
      </c>
    </row>
    <row r="2243" customFormat="false" ht="15" hidden="false" customHeight="false" outlineLevel="0" collapsed="false">
      <c r="J2243" s="41" t="str">
        <f aca="false">IF(D2243="","",IFERROR(IF(ISNUMBER(SEARCH(Assumptions!$C$5,D2243)),Assumptions!$D$5,IF(ISNUMBER(SEARCH(Assumptions!$C$6,D2243)),Assumptions!$D$6,IF(ISNUMBER(SEARCH(Assumptions!$C$7,D2243)),Assumptions!$D$7,"Other Services"))),"Other Services"))</f>
        <v/>
      </c>
    </row>
    <row r="2244" customFormat="false" ht="15" hidden="false" customHeight="false" outlineLevel="0" collapsed="false">
      <c r="J2244" s="41" t="str">
        <f aca="false">IF(D2244="","",IFERROR(IF(ISNUMBER(SEARCH(Assumptions!$C$5,D2244)),Assumptions!$D$5,IF(ISNUMBER(SEARCH(Assumptions!$C$6,D2244)),Assumptions!$D$6,IF(ISNUMBER(SEARCH(Assumptions!$C$7,D2244)),Assumptions!$D$7,"Other Services"))),"Other Services"))</f>
        <v/>
      </c>
    </row>
    <row r="2245" customFormat="false" ht="15" hidden="false" customHeight="false" outlineLevel="0" collapsed="false">
      <c r="J2245" s="41" t="str">
        <f aca="false">IF(D2245="","",IFERROR(IF(ISNUMBER(SEARCH(Assumptions!$C$5,D2245)),Assumptions!$D$5,IF(ISNUMBER(SEARCH(Assumptions!$C$6,D2245)),Assumptions!$D$6,IF(ISNUMBER(SEARCH(Assumptions!$C$7,D2245)),Assumptions!$D$7,"Other Services"))),"Other Services"))</f>
        <v/>
      </c>
    </row>
    <row r="2246" customFormat="false" ht="15" hidden="false" customHeight="false" outlineLevel="0" collapsed="false">
      <c r="J2246" s="41" t="str">
        <f aca="false">IF(D2246="","",IFERROR(IF(ISNUMBER(SEARCH(Assumptions!$C$5,D2246)),Assumptions!$D$5,IF(ISNUMBER(SEARCH(Assumptions!$C$6,D2246)),Assumptions!$D$6,IF(ISNUMBER(SEARCH(Assumptions!$C$7,D2246)),Assumptions!$D$7,"Other Services"))),"Other Services"))</f>
        <v/>
      </c>
    </row>
    <row r="2247" customFormat="false" ht="15" hidden="false" customHeight="false" outlineLevel="0" collapsed="false">
      <c r="J2247" s="41" t="str">
        <f aca="false">IF(D2247="","",IFERROR(IF(ISNUMBER(SEARCH(Assumptions!$C$5,D2247)),Assumptions!$D$5,IF(ISNUMBER(SEARCH(Assumptions!$C$6,D2247)),Assumptions!$D$6,IF(ISNUMBER(SEARCH(Assumptions!$C$7,D2247)),Assumptions!$D$7,"Other Services"))),"Other Services"))</f>
        <v/>
      </c>
    </row>
    <row r="2248" customFormat="false" ht="15" hidden="false" customHeight="false" outlineLevel="0" collapsed="false">
      <c r="J2248" s="41" t="str">
        <f aca="false">IF(D2248="","",IFERROR(IF(ISNUMBER(SEARCH(Assumptions!$C$5,D2248)),Assumptions!$D$5,IF(ISNUMBER(SEARCH(Assumptions!$C$6,D2248)),Assumptions!$D$6,IF(ISNUMBER(SEARCH(Assumptions!$C$7,D2248)),Assumptions!$D$7,"Other Services"))),"Other Services"))</f>
        <v/>
      </c>
    </row>
    <row r="2249" customFormat="false" ht="15" hidden="false" customHeight="false" outlineLevel="0" collapsed="false">
      <c r="J2249" s="41" t="str">
        <f aca="false">IF(D2249="","",IFERROR(IF(ISNUMBER(SEARCH(Assumptions!$C$5,D2249)),Assumptions!$D$5,IF(ISNUMBER(SEARCH(Assumptions!$C$6,D2249)),Assumptions!$D$6,IF(ISNUMBER(SEARCH(Assumptions!$C$7,D2249)),Assumptions!$D$7,"Other Services"))),"Other Services"))</f>
        <v/>
      </c>
    </row>
    <row r="2250" customFormat="false" ht="15" hidden="false" customHeight="false" outlineLevel="0" collapsed="false">
      <c r="J2250" s="41" t="str">
        <f aca="false">IF(D2250="","",IFERROR(IF(ISNUMBER(SEARCH(Assumptions!$C$5,D2250)),Assumptions!$D$5,IF(ISNUMBER(SEARCH(Assumptions!$C$6,D2250)),Assumptions!$D$6,IF(ISNUMBER(SEARCH(Assumptions!$C$7,D2250)),Assumptions!$D$7,"Other Services"))),"Other Services"))</f>
        <v/>
      </c>
    </row>
    <row r="2251" customFormat="false" ht="15" hidden="false" customHeight="false" outlineLevel="0" collapsed="false">
      <c r="J2251" s="41" t="str">
        <f aca="false">IF(D2251="","",IFERROR(IF(ISNUMBER(SEARCH(Assumptions!$C$5,D2251)),Assumptions!$D$5,IF(ISNUMBER(SEARCH(Assumptions!$C$6,D2251)),Assumptions!$D$6,IF(ISNUMBER(SEARCH(Assumptions!$C$7,D2251)),Assumptions!$D$7,"Other Services"))),"Other Services"))</f>
        <v/>
      </c>
    </row>
    <row r="2252" customFormat="false" ht="15" hidden="false" customHeight="false" outlineLevel="0" collapsed="false">
      <c r="J2252" s="41" t="str">
        <f aca="false">IF(D2252="","",IFERROR(IF(ISNUMBER(SEARCH(Assumptions!$C$5,D2252)),Assumptions!$D$5,IF(ISNUMBER(SEARCH(Assumptions!$C$6,D2252)),Assumptions!$D$6,IF(ISNUMBER(SEARCH(Assumptions!$C$7,D2252)),Assumptions!$D$7,"Other Services"))),"Other Services"))</f>
        <v/>
      </c>
    </row>
    <row r="2253" customFormat="false" ht="15" hidden="false" customHeight="false" outlineLevel="0" collapsed="false">
      <c r="J2253" s="41" t="str">
        <f aca="false">IF(D2253="","",IFERROR(IF(ISNUMBER(SEARCH(Assumptions!$C$5,D2253)),Assumptions!$D$5,IF(ISNUMBER(SEARCH(Assumptions!$C$6,D2253)),Assumptions!$D$6,IF(ISNUMBER(SEARCH(Assumptions!$C$7,D2253)),Assumptions!$D$7,"Other Services"))),"Other Services"))</f>
        <v/>
      </c>
    </row>
    <row r="2254" customFormat="false" ht="15" hidden="false" customHeight="false" outlineLevel="0" collapsed="false">
      <c r="J2254" s="41" t="str">
        <f aca="false">IF(D2254="","",IFERROR(IF(ISNUMBER(SEARCH(Assumptions!$C$5,D2254)),Assumptions!$D$5,IF(ISNUMBER(SEARCH(Assumptions!$C$6,D2254)),Assumptions!$D$6,IF(ISNUMBER(SEARCH(Assumptions!$C$7,D2254)),Assumptions!$D$7,"Other Services"))),"Other Services"))</f>
        <v/>
      </c>
    </row>
    <row r="2255" customFormat="false" ht="15" hidden="false" customHeight="false" outlineLevel="0" collapsed="false">
      <c r="J2255" s="41" t="str">
        <f aca="false">IF(D2255="","",IFERROR(IF(ISNUMBER(SEARCH(Assumptions!$C$5,D2255)),Assumptions!$D$5,IF(ISNUMBER(SEARCH(Assumptions!$C$6,D2255)),Assumptions!$D$6,IF(ISNUMBER(SEARCH(Assumptions!$C$7,D2255)),Assumptions!$D$7,"Other Services"))),"Other Services"))</f>
        <v/>
      </c>
    </row>
    <row r="2256" customFormat="false" ht="15" hidden="false" customHeight="false" outlineLevel="0" collapsed="false">
      <c r="J2256" s="41" t="str">
        <f aca="false">IF(D2256="","",IFERROR(IF(ISNUMBER(SEARCH(Assumptions!$C$5,D2256)),Assumptions!$D$5,IF(ISNUMBER(SEARCH(Assumptions!$C$6,D2256)),Assumptions!$D$6,IF(ISNUMBER(SEARCH(Assumptions!$C$7,D2256)),Assumptions!$D$7,"Other Services"))),"Other Services"))</f>
        <v/>
      </c>
    </row>
    <row r="2257" customFormat="false" ht="15" hidden="false" customHeight="false" outlineLevel="0" collapsed="false">
      <c r="J2257" s="41" t="str">
        <f aca="false">IF(D2257="","",IFERROR(IF(ISNUMBER(SEARCH(Assumptions!$C$5,D2257)),Assumptions!$D$5,IF(ISNUMBER(SEARCH(Assumptions!$C$6,D2257)),Assumptions!$D$6,IF(ISNUMBER(SEARCH(Assumptions!$C$7,D2257)),Assumptions!$D$7,"Other Services"))),"Other Services"))</f>
        <v/>
      </c>
    </row>
    <row r="2258" customFormat="false" ht="15" hidden="false" customHeight="false" outlineLevel="0" collapsed="false">
      <c r="J2258" s="41" t="str">
        <f aca="false">IF(D2258="","",IFERROR(IF(ISNUMBER(SEARCH(Assumptions!$C$5,D2258)),Assumptions!$D$5,IF(ISNUMBER(SEARCH(Assumptions!$C$6,D2258)),Assumptions!$D$6,IF(ISNUMBER(SEARCH(Assumptions!$C$7,D2258)),Assumptions!$D$7,"Other Services"))),"Other Services"))</f>
        <v/>
      </c>
    </row>
    <row r="2259" customFormat="false" ht="15" hidden="false" customHeight="false" outlineLevel="0" collapsed="false">
      <c r="J2259" s="41" t="str">
        <f aca="false">IF(D2259="","",IFERROR(IF(ISNUMBER(SEARCH(Assumptions!$C$5,D2259)),Assumptions!$D$5,IF(ISNUMBER(SEARCH(Assumptions!$C$6,D2259)),Assumptions!$D$6,IF(ISNUMBER(SEARCH(Assumptions!$C$7,D2259)),Assumptions!$D$7,"Other Services"))),"Other Services"))</f>
        <v/>
      </c>
    </row>
    <row r="2260" customFormat="false" ht="15" hidden="false" customHeight="false" outlineLevel="0" collapsed="false">
      <c r="J2260" s="41" t="str">
        <f aca="false">IF(D2260="","",IFERROR(IF(ISNUMBER(SEARCH(Assumptions!$C$5,D2260)),Assumptions!$D$5,IF(ISNUMBER(SEARCH(Assumptions!$C$6,D2260)),Assumptions!$D$6,IF(ISNUMBER(SEARCH(Assumptions!$C$7,D2260)),Assumptions!$D$7,"Other Services"))),"Other Services"))</f>
        <v/>
      </c>
    </row>
    <row r="2261" customFormat="false" ht="15" hidden="false" customHeight="false" outlineLevel="0" collapsed="false">
      <c r="J2261" s="41" t="str">
        <f aca="false">IF(D2261="","",IFERROR(IF(ISNUMBER(SEARCH(Assumptions!$C$5,D2261)),Assumptions!$D$5,IF(ISNUMBER(SEARCH(Assumptions!$C$6,D2261)),Assumptions!$D$6,IF(ISNUMBER(SEARCH(Assumptions!$C$7,D2261)),Assumptions!$D$7,"Other Services"))),"Other Services"))</f>
        <v/>
      </c>
    </row>
    <row r="2262" customFormat="false" ht="15" hidden="false" customHeight="false" outlineLevel="0" collapsed="false">
      <c r="J2262" s="41" t="str">
        <f aca="false">IF(D2262="","",IFERROR(IF(ISNUMBER(SEARCH(Assumptions!$C$5,D2262)),Assumptions!$D$5,IF(ISNUMBER(SEARCH(Assumptions!$C$6,D2262)),Assumptions!$D$6,IF(ISNUMBER(SEARCH(Assumptions!$C$7,D2262)),Assumptions!$D$7,"Other Services"))),"Other Services"))</f>
        <v/>
      </c>
    </row>
    <row r="2263" customFormat="false" ht="15" hidden="false" customHeight="false" outlineLevel="0" collapsed="false">
      <c r="J2263" s="41" t="str">
        <f aca="false">IF(D2263="","",IFERROR(IF(ISNUMBER(SEARCH(Assumptions!$C$5,D2263)),Assumptions!$D$5,IF(ISNUMBER(SEARCH(Assumptions!$C$6,D2263)),Assumptions!$D$6,IF(ISNUMBER(SEARCH(Assumptions!$C$7,D2263)),Assumptions!$D$7,"Other Services"))),"Other Services"))</f>
        <v/>
      </c>
    </row>
    <row r="2264" customFormat="false" ht="15" hidden="false" customHeight="false" outlineLevel="0" collapsed="false">
      <c r="J2264" s="41" t="str">
        <f aca="false">IF(D2264="","",IFERROR(IF(ISNUMBER(SEARCH(Assumptions!$C$5,D2264)),Assumptions!$D$5,IF(ISNUMBER(SEARCH(Assumptions!$C$6,D2264)),Assumptions!$D$6,IF(ISNUMBER(SEARCH(Assumptions!$C$7,D2264)),Assumptions!$D$7,"Other Services"))),"Other Services"))</f>
        <v/>
      </c>
    </row>
    <row r="2265" customFormat="false" ht="15" hidden="false" customHeight="false" outlineLevel="0" collapsed="false">
      <c r="J2265" s="41" t="str">
        <f aca="false">IF(D2265="","",IFERROR(IF(ISNUMBER(SEARCH(Assumptions!$C$5,D2265)),Assumptions!$D$5,IF(ISNUMBER(SEARCH(Assumptions!$C$6,D2265)),Assumptions!$D$6,IF(ISNUMBER(SEARCH(Assumptions!$C$7,D2265)),Assumptions!$D$7,"Other Services"))),"Other Services"))</f>
        <v/>
      </c>
    </row>
    <row r="2266" customFormat="false" ht="15" hidden="false" customHeight="false" outlineLevel="0" collapsed="false">
      <c r="J2266" s="41" t="str">
        <f aca="false">IF(D2266="","",IFERROR(IF(ISNUMBER(SEARCH(Assumptions!$C$5,D2266)),Assumptions!$D$5,IF(ISNUMBER(SEARCH(Assumptions!$C$6,D2266)),Assumptions!$D$6,IF(ISNUMBER(SEARCH(Assumptions!$C$7,D2266)),Assumptions!$D$7,"Other Services"))),"Other Services"))</f>
        <v/>
      </c>
    </row>
    <row r="2267" customFormat="false" ht="15" hidden="false" customHeight="false" outlineLevel="0" collapsed="false">
      <c r="J2267" s="41" t="str">
        <f aca="false">IF(D2267="","",IFERROR(IF(ISNUMBER(SEARCH(Assumptions!$C$5,D2267)),Assumptions!$D$5,IF(ISNUMBER(SEARCH(Assumptions!$C$6,D2267)),Assumptions!$D$6,IF(ISNUMBER(SEARCH(Assumptions!$C$7,D2267)),Assumptions!$D$7,"Other Services"))),"Other Services"))</f>
        <v/>
      </c>
    </row>
    <row r="2268" customFormat="false" ht="15" hidden="false" customHeight="false" outlineLevel="0" collapsed="false">
      <c r="J2268" s="41" t="str">
        <f aca="false">IF(D2268="","",IFERROR(IF(ISNUMBER(SEARCH(Assumptions!$C$5,D2268)),Assumptions!$D$5,IF(ISNUMBER(SEARCH(Assumptions!$C$6,D2268)),Assumptions!$D$6,IF(ISNUMBER(SEARCH(Assumptions!$C$7,D2268)),Assumptions!$D$7,"Other Services"))),"Other Services"))</f>
        <v/>
      </c>
    </row>
    <row r="2269" customFormat="false" ht="15" hidden="false" customHeight="false" outlineLevel="0" collapsed="false">
      <c r="J2269" s="41" t="str">
        <f aca="false">IF(D2269="","",IFERROR(IF(ISNUMBER(SEARCH(Assumptions!$C$5,D2269)),Assumptions!$D$5,IF(ISNUMBER(SEARCH(Assumptions!$C$6,D2269)),Assumptions!$D$6,IF(ISNUMBER(SEARCH(Assumptions!$C$7,D2269)),Assumptions!$D$7,"Other Services"))),"Other Services"))</f>
        <v/>
      </c>
    </row>
    <row r="2270" customFormat="false" ht="15" hidden="false" customHeight="false" outlineLevel="0" collapsed="false">
      <c r="J2270" s="41" t="str">
        <f aca="false">IF(D2270="","",IFERROR(IF(ISNUMBER(SEARCH(Assumptions!$C$5,D2270)),Assumptions!$D$5,IF(ISNUMBER(SEARCH(Assumptions!$C$6,D2270)),Assumptions!$D$6,IF(ISNUMBER(SEARCH(Assumptions!$C$7,D2270)),Assumptions!$D$7,"Other Services"))),"Other Services"))</f>
        <v/>
      </c>
    </row>
    <row r="2271" customFormat="false" ht="15" hidden="false" customHeight="false" outlineLevel="0" collapsed="false">
      <c r="J2271" s="41" t="str">
        <f aca="false">IF(D2271="","",IFERROR(IF(ISNUMBER(SEARCH(Assumptions!$C$5,D2271)),Assumptions!$D$5,IF(ISNUMBER(SEARCH(Assumptions!$C$6,D2271)),Assumptions!$D$6,IF(ISNUMBER(SEARCH(Assumptions!$C$7,D2271)),Assumptions!$D$7,"Other Services"))),"Other Services"))</f>
        <v/>
      </c>
    </row>
    <row r="2272" customFormat="false" ht="15" hidden="false" customHeight="false" outlineLevel="0" collapsed="false">
      <c r="J2272" s="41" t="str">
        <f aca="false">IF(D2272="","",IFERROR(IF(ISNUMBER(SEARCH(Assumptions!$C$5,D2272)),Assumptions!$D$5,IF(ISNUMBER(SEARCH(Assumptions!$C$6,D2272)),Assumptions!$D$6,IF(ISNUMBER(SEARCH(Assumptions!$C$7,D2272)),Assumptions!$D$7,"Other Services"))),"Other Services"))</f>
        <v/>
      </c>
    </row>
    <row r="2273" customFormat="false" ht="15" hidden="false" customHeight="false" outlineLevel="0" collapsed="false">
      <c r="J2273" s="41" t="str">
        <f aca="false">IF(D2273="","",IFERROR(IF(ISNUMBER(SEARCH(Assumptions!$C$5,D2273)),Assumptions!$D$5,IF(ISNUMBER(SEARCH(Assumptions!$C$6,D2273)),Assumptions!$D$6,IF(ISNUMBER(SEARCH(Assumptions!$C$7,D2273)),Assumptions!$D$7,"Other Services"))),"Other Services"))</f>
        <v/>
      </c>
    </row>
    <row r="2274" customFormat="false" ht="15" hidden="false" customHeight="false" outlineLevel="0" collapsed="false">
      <c r="J2274" s="41" t="str">
        <f aca="false">IF(D2274="","",IFERROR(IF(ISNUMBER(SEARCH(Assumptions!$C$5,D2274)),Assumptions!$D$5,IF(ISNUMBER(SEARCH(Assumptions!$C$6,D2274)),Assumptions!$D$6,IF(ISNUMBER(SEARCH(Assumptions!$C$7,D2274)),Assumptions!$D$7,"Other Services"))),"Other Services"))</f>
        <v/>
      </c>
    </row>
    <row r="2275" customFormat="false" ht="15" hidden="false" customHeight="false" outlineLevel="0" collapsed="false">
      <c r="J2275" s="41" t="str">
        <f aca="false">IF(D2275="","",IFERROR(IF(ISNUMBER(SEARCH(Assumptions!$C$5,D2275)),Assumptions!$D$5,IF(ISNUMBER(SEARCH(Assumptions!$C$6,D2275)),Assumptions!$D$6,IF(ISNUMBER(SEARCH(Assumptions!$C$7,D2275)),Assumptions!$D$7,"Other Services"))),"Other Services"))</f>
        <v/>
      </c>
    </row>
    <row r="2276" customFormat="false" ht="15" hidden="false" customHeight="false" outlineLevel="0" collapsed="false">
      <c r="J2276" s="41" t="str">
        <f aca="false">IF(D2276="","",IFERROR(IF(ISNUMBER(SEARCH(Assumptions!$C$5,D2276)),Assumptions!$D$5,IF(ISNUMBER(SEARCH(Assumptions!$C$6,D2276)),Assumptions!$D$6,IF(ISNUMBER(SEARCH(Assumptions!$C$7,D2276)),Assumptions!$D$7,"Other Services"))),"Other Services"))</f>
        <v/>
      </c>
    </row>
    <row r="2277" customFormat="false" ht="15" hidden="false" customHeight="false" outlineLevel="0" collapsed="false">
      <c r="J2277" s="41" t="str">
        <f aca="false">IF(D2277="","",IFERROR(IF(ISNUMBER(SEARCH(Assumptions!$C$5,D2277)),Assumptions!$D$5,IF(ISNUMBER(SEARCH(Assumptions!$C$6,D2277)),Assumptions!$D$6,IF(ISNUMBER(SEARCH(Assumptions!$C$7,D2277)),Assumptions!$D$7,"Other Services"))),"Other Services"))</f>
        <v/>
      </c>
    </row>
    <row r="2278" customFormat="false" ht="15" hidden="false" customHeight="false" outlineLevel="0" collapsed="false">
      <c r="J2278" s="41" t="str">
        <f aca="false">IF(D2278="","",IFERROR(IF(ISNUMBER(SEARCH(Assumptions!$C$5,D2278)),Assumptions!$D$5,IF(ISNUMBER(SEARCH(Assumptions!$C$6,D2278)),Assumptions!$D$6,IF(ISNUMBER(SEARCH(Assumptions!$C$7,D2278)),Assumptions!$D$7,"Other Services"))),"Other Services"))</f>
        <v/>
      </c>
    </row>
    <row r="2279" customFormat="false" ht="15" hidden="false" customHeight="false" outlineLevel="0" collapsed="false">
      <c r="J2279" s="41" t="str">
        <f aca="false">IF(D2279="","",IFERROR(IF(ISNUMBER(SEARCH(Assumptions!$C$5,D2279)),Assumptions!$D$5,IF(ISNUMBER(SEARCH(Assumptions!$C$6,D2279)),Assumptions!$D$6,IF(ISNUMBER(SEARCH(Assumptions!$C$7,D2279)),Assumptions!$D$7,"Other Services"))),"Other Services"))</f>
        <v/>
      </c>
    </row>
    <row r="2280" customFormat="false" ht="15" hidden="false" customHeight="false" outlineLevel="0" collapsed="false">
      <c r="J2280" s="41" t="str">
        <f aca="false">IF(D2280="","",IFERROR(IF(ISNUMBER(SEARCH(Assumptions!$C$5,D2280)),Assumptions!$D$5,IF(ISNUMBER(SEARCH(Assumptions!$C$6,D2280)),Assumptions!$D$6,IF(ISNUMBER(SEARCH(Assumptions!$C$7,D2280)),Assumptions!$D$7,"Other Services"))),"Other Services"))</f>
        <v/>
      </c>
    </row>
    <row r="2281" customFormat="false" ht="15" hidden="false" customHeight="false" outlineLevel="0" collapsed="false">
      <c r="J2281" s="41" t="str">
        <f aca="false">IF(D2281="","",IFERROR(IF(ISNUMBER(SEARCH(Assumptions!$C$5,D2281)),Assumptions!$D$5,IF(ISNUMBER(SEARCH(Assumptions!$C$6,D2281)),Assumptions!$D$6,IF(ISNUMBER(SEARCH(Assumptions!$C$7,D2281)),Assumptions!$D$7,"Other Services"))),"Other Services"))</f>
        <v/>
      </c>
    </row>
    <row r="2282" customFormat="false" ht="15" hidden="false" customHeight="false" outlineLevel="0" collapsed="false">
      <c r="J2282" s="41" t="str">
        <f aca="false">IF(D2282="","",IFERROR(IF(ISNUMBER(SEARCH(Assumptions!$C$5,D2282)),Assumptions!$D$5,IF(ISNUMBER(SEARCH(Assumptions!$C$6,D2282)),Assumptions!$D$6,IF(ISNUMBER(SEARCH(Assumptions!$C$7,D2282)),Assumptions!$D$7,"Other Services"))),"Other Services"))</f>
        <v/>
      </c>
    </row>
    <row r="2283" customFormat="false" ht="15" hidden="false" customHeight="false" outlineLevel="0" collapsed="false">
      <c r="J2283" s="41" t="str">
        <f aca="false">IF(D2283="","",IFERROR(IF(ISNUMBER(SEARCH(Assumptions!$C$5,D2283)),Assumptions!$D$5,IF(ISNUMBER(SEARCH(Assumptions!$C$6,D2283)),Assumptions!$D$6,IF(ISNUMBER(SEARCH(Assumptions!$C$7,D2283)),Assumptions!$D$7,"Other Services"))),"Other Services"))</f>
        <v/>
      </c>
    </row>
    <row r="2284" customFormat="false" ht="15" hidden="false" customHeight="false" outlineLevel="0" collapsed="false">
      <c r="J2284" s="41" t="str">
        <f aca="false">IF(D2284="","",IFERROR(IF(ISNUMBER(SEARCH(Assumptions!$C$5,D2284)),Assumptions!$D$5,IF(ISNUMBER(SEARCH(Assumptions!$C$6,D2284)),Assumptions!$D$6,IF(ISNUMBER(SEARCH(Assumptions!$C$7,D2284)),Assumptions!$D$7,"Other Services"))),"Other Services"))</f>
        <v/>
      </c>
    </row>
    <row r="2285" customFormat="false" ht="15" hidden="false" customHeight="false" outlineLevel="0" collapsed="false">
      <c r="J2285" s="41" t="str">
        <f aca="false">IF(D2285="","",IFERROR(IF(ISNUMBER(SEARCH(Assumptions!$C$5,D2285)),Assumptions!$D$5,IF(ISNUMBER(SEARCH(Assumptions!$C$6,D2285)),Assumptions!$D$6,IF(ISNUMBER(SEARCH(Assumptions!$C$7,D2285)),Assumptions!$D$7,"Other Services"))),"Other Services"))</f>
        <v/>
      </c>
    </row>
    <row r="2286" customFormat="false" ht="15" hidden="false" customHeight="false" outlineLevel="0" collapsed="false">
      <c r="J2286" s="41" t="str">
        <f aca="false">IF(D2286="","",IFERROR(IF(ISNUMBER(SEARCH(Assumptions!$C$5,D2286)),Assumptions!$D$5,IF(ISNUMBER(SEARCH(Assumptions!$C$6,D2286)),Assumptions!$D$6,IF(ISNUMBER(SEARCH(Assumptions!$C$7,D2286)),Assumptions!$D$7,"Other Services"))),"Other Services"))</f>
        <v/>
      </c>
    </row>
    <row r="2287" customFormat="false" ht="15" hidden="false" customHeight="false" outlineLevel="0" collapsed="false">
      <c r="J2287" s="41" t="str">
        <f aca="false">IF(D2287="","",IFERROR(IF(ISNUMBER(SEARCH(Assumptions!$C$5,D2287)),Assumptions!$D$5,IF(ISNUMBER(SEARCH(Assumptions!$C$6,D2287)),Assumptions!$D$6,IF(ISNUMBER(SEARCH(Assumptions!$C$7,D2287)),Assumptions!$D$7,"Other Services"))),"Other Services"))</f>
        <v/>
      </c>
    </row>
    <row r="2288" customFormat="false" ht="15" hidden="false" customHeight="false" outlineLevel="0" collapsed="false">
      <c r="J2288" s="41" t="str">
        <f aca="false">IF(D2288="","",IFERROR(IF(ISNUMBER(SEARCH(Assumptions!$C$5,D2288)),Assumptions!$D$5,IF(ISNUMBER(SEARCH(Assumptions!$C$6,D2288)),Assumptions!$D$6,IF(ISNUMBER(SEARCH(Assumptions!$C$7,D2288)),Assumptions!$D$7,"Other Services"))),"Other Services"))</f>
        <v/>
      </c>
    </row>
    <row r="2289" customFormat="false" ht="15" hidden="false" customHeight="false" outlineLevel="0" collapsed="false">
      <c r="J2289" s="41" t="str">
        <f aca="false">IF(D2289="","",IFERROR(IF(ISNUMBER(SEARCH(Assumptions!$C$5,D2289)),Assumptions!$D$5,IF(ISNUMBER(SEARCH(Assumptions!$C$6,D2289)),Assumptions!$D$6,IF(ISNUMBER(SEARCH(Assumptions!$C$7,D2289)),Assumptions!$D$7,"Other Services"))),"Other Services"))</f>
        <v/>
      </c>
    </row>
    <row r="2290" customFormat="false" ht="15" hidden="false" customHeight="false" outlineLevel="0" collapsed="false">
      <c r="J2290" s="41" t="str">
        <f aca="false">IF(D2290="","",IFERROR(IF(ISNUMBER(SEARCH(Assumptions!$C$5,D2290)),Assumptions!$D$5,IF(ISNUMBER(SEARCH(Assumptions!$C$6,D2290)),Assumptions!$D$6,IF(ISNUMBER(SEARCH(Assumptions!$C$7,D2290)),Assumptions!$D$7,"Other Services"))),"Other Services"))</f>
        <v/>
      </c>
    </row>
    <row r="2291" customFormat="false" ht="15" hidden="false" customHeight="false" outlineLevel="0" collapsed="false">
      <c r="J2291" s="41" t="str">
        <f aca="false">IF(D2291="","",IFERROR(IF(ISNUMBER(SEARCH(Assumptions!$C$5,D2291)),Assumptions!$D$5,IF(ISNUMBER(SEARCH(Assumptions!$C$6,D2291)),Assumptions!$D$6,IF(ISNUMBER(SEARCH(Assumptions!$C$7,D2291)),Assumptions!$D$7,"Other Services"))),"Other Services"))</f>
        <v/>
      </c>
    </row>
    <row r="2292" customFormat="false" ht="15" hidden="false" customHeight="false" outlineLevel="0" collapsed="false">
      <c r="J2292" s="41" t="str">
        <f aca="false">IF(D2292="","",IFERROR(IF(ISNUMBER(SEARCH(Assumptions!$C$5,D2292)),Assumptions!$D$5,IF(ISNUMBER(SEARCH(Assumptions!$C$6,D2292)),Assumptions!$D$6,IF(ISNUMBER(SEARCH(Assumptions!$C$7,D2292)),Assumptions!$D$7,"Other Services"))),"Other Services"))</f>
        <v/>
      </c>
    </row>
    <row r="2293" customFormat="false" ht="15" hidden="false" customHeight="false" outlineLevel="0" collapsed="false">
      <c r="J2293" s="41" t="str">
        <f aca="false">IF(D2293="","",IFERROR(IF(ISNUMBER(SEARCH(Assumptions!$C$5,D2293)),Assumptions!$D$5,IF(ISNUMBER(SEARCH(Assumptions!$C$6,D2293)),Assumptions!$D$6,IF(ISNUMBER(SEARCH(Assumptions!$C$7,D2293)),Assumptions!$D$7,"Other Services"))),"Other Services"))</f>
        <v/>
      </c>
    </row>
    <row r="2294" customFormat="false" ht="15" hidden="false" customHeight="false" outlineLevel="0" collapsed="false">
      <c r="J2294" s="41" t="str">
        <f aca="false">IF(D2294="","",IFERROR(IF(ISNUMBER(SEARCH(Assumptions!$C$5,D2294)),Assumptions!$D$5,IF(ISNUMBER(SEARCH(Assumptions!$C$6,D2294)),Assumptions!$D$6,IF(ISNUMBER(SEARCH(Assumptions!$C$7,D2294)),Assumptions!$D$7,"Other Services"))),"Other Services"))</f>
        <v/>
      </c>
    </row>
    <row r="2295" customFormat="false" ht="15" hidden="false" customHeight="false" outlineLevel="0" collapsed="false">
      <c r="J2295" s="41" t="str">
        <f aca="false">IF(D2295="","",IFERROR(IF(ISNUMBER(SEARCH(Assumptions!$C$5,D2295)),Assumptions!$D$5,IF(ISNUMBER(SEARCH(Assumptions!$C$6,D2295)),Assumptions!$D$6,IF(ISNUMBER(SEARCH(Assumptions!$C$7,D2295)),Assumptions!$D$7,"Other Services"))),"Other Services"))</f>
        <v/>
      </c>
    </row>
    <row r="2296" customFormat="false" ht="15" hidden="false" customHeight="false" outlineLevel="0" collapsed="false">
      <c r="J2296" s="41" t="str">
        <f aca="false">IF(D2296="","",IFERROR(IF(ISNUMBER(SEARCH(Assumptions!$C$5,D2296)),Assumptions!$D$5,IF(ISNUMBER(SEARCH(Assumptions!$C$6,D2296)),Assumptions!$D$6,IF(ISNUMBER(SEARCH(Assumptions!$C$7,D2296)),Assumptions!$D$7,"Other Services"))),"Other Services"))</f>
        <v/>
      </c>
    </row>
    <row r="2297" customFormat="false" ht="15" hidden="false" customHeight="false" outlineLevel="0" collapsed="false">
      <c r="J2297" s="41" t="str">
        <f aca="false">IF(D2297="","",IFERROR(IF(ISNUMBER(SEARCH(Assumptions!$C$5,D2297)),Assumptions!$D$5,IF(ISNUMBER(SEARCH(Assumptions!$C$6,D2297)),Assumptions!$D$6,IF(ISNUMBER(SEARCH(Assumptions!$C$7,D2297)),Assumptions!$D$7,"Other Services"))),"Other Services"))</f>
        <v/>
      </c>
    </row>
    <row r="2298" customFormat="false" ht="15" hidden="false" customHeight="false" outlineLevel="0" collapsed="false">
      <c r="J2298" s="41" t="str">
        <f aca="false">IF(D2298="","",IFERROR(IF(ISNUMBER(SEARCH(Assumptions!$C$5,D2298)),Assumptions!$D$5,IF(ISNUMBER(SEARCH(Assumptions!$C$6,D2298)),Assumptions!$D$6,IF(ISNUMBER(SEARCH(Assumptions!$C$7,D2298)),Assumptions!$D$7,"Other Services"))),"Other Services"))</f>
        <v/>
      </c>
    </row>
    <row r="2299" customFormat="false" ht="15" hidden="false" customHeight="false" outlineLevel="0" collapsed="false">
      <c r="J2299" s="41" t="str">
        <f aca="false">IF(D2299="","",IFERROR(IF(ISNUMBER(SEARCH(Assumptions!$C$5,D2299)),Assumptions!$D$5,IF(ISNUMBER(SEARCH(Assumptions!$C$6,D2299)),Assumptions!$D$6,IF(ISNUMBER(SEARCH(Assumptions!$C$7,D2299)),Assumptions!$D$7,"Other Services"))),"Other Services"))</f>
        <v/>
      </c>
    </row>
    <row r="2300" customFormat="false" ht="15" hidden="false" customHeight="false" outlineLevel="0" collapsed="false">
      <c r="J2300" s="41" t="str">
        <f aca="false">IF(D2300="","",IFERROR(IF(ISNUMBER(SEARCH(Assumptions!$C$5,D2300)),Assumptions!$D$5,IF(ISNUMBER(SEARCH(Assumptions!$C$6,D2300)),Assumptions!$D$6,IF(ISNUMBER(SEARCH(Assumptions!$C$7,D2300)),Assumptions!$D$7,"Other Services"))),"Other Services"))</f>
        <v/>
      </c>
    </row>
    <row r="2301" customFormat="false" ht="15" hidden="false" customHeight="false" outlineLevel="0" collapsed="false">
      <c r="J2301" s="41" t="str">
        <f aca="false">IF(D2301="","",IFERROR(IF(ISNUMBER(SEARCH(Assumptions!$C$5,D2301)),Assumptions!$D$5,IF(ISNUMBER(SEARCH(Assumptions!$C$6,D2301)),Assumptions!$D$6,IF(ISNUMBER(SEARCH(Assumptions!$C$7,D2301)),Assumptions!$D$7,"Other Services"))),"Other Services"))</f>
        <v/>
      </c>
    </row>
    <row r="2302" customFormat="false" ht="15" hidden="false" customHeight="false" outlineLevel="0" collapsed="false">
      <c r="J2302" s="41" t="str">
        <f aca="false">IF(D2302="","",IFERROR(IF(ISNUMBER(SEARCH(Assumptions!$C$5,D2302)),Assumptions!$D$5,IF(ISNUMBER(SEARCH(Assumptions!$C$6,D2302)),Assumptions!$D$6,IF(ISNUMBER(SEARCH(Assumptions!$C$7,D2302)),Assumptions!$D$7,"Other Services"))),"Other Services"))</f>
        <v/>
      </c>
    </row>
    <row r="2303" customFormat="false" ht="15" hidden="false" customHeight="false" outlineLevel="0" collapsed="false">
      <c r="J2303" s="41" t="str">
        <f aca="false">IF(D2303="","",IFERROR(IF(ISNUMBER(SEARCH(Assumptions!$C$5,D2303)),Assumptions!$D$5,IF(ISNUMBER(SEARCH(Assumptions!$C$6,D2303)),Assumptions!$D$6,IF(ISNUMBER(SEARCH(Assumptions!$C$7,D2303)),Assumptions!$D$7,"Other Services"))),"Other Services"))</f>
        <v/>
      </c>
    </row>
    <row r="2304" customFormat="false" ht="15" hidden="false" customHeight="false" outlineLevel="0" collapsed="false">
      <c r="J2304" s="41" t="str">
        <f aca="false">IF(D2304="","",IFERROR(IF(ISNUMBER(SEARCH(Assumptions!$C$5,D2304)),Assumptions!$D$5,IF(ISNUMBER(SEARCH(Assumptions!$C$6,D2304)),Assumptions!$D$6,IF(ISNUMBER(SEARCH(Assumptions!$C$7,D2304)),Assumptions!$D$7,"Other Services"))),"Other Services"))</f>
        <v/>
      </c>
    </row>
    <row r="2305" customFormat="false" ht="15" hidden="false" customHeight="false" outlineLevel="0" collapsed="false">
      <c r="J2305" s="41" t="str">
        <f aca="false">IF(D2305="","",IFERROR(IF(ISNUMBER(SEARCH(Assumptions!$C$5,D2305)),Assumptions!$D$5,IF(ISNUMBER(SEARCH(Assumptions!$C$6,D2305)),Assumptions!$D$6,IF(ISNUMBER(SEARCH(Assumptions!$C$7,D2305)),Assumptions!$D$7,"Other Services"))),"Other Services"))</f>
        <v/>
      </c>
    </row>
    <row r="2306" customFormat="false" ht="15" hidden="false" customHeight="false" outlineLevel="0" collapsed="false">
      <c r="J2306" s="41" t="str">
        <f aca="false">IF(D2306="","",IFERROR(IF(ISNUMBER(SEARCH(Assumptions!$C$5,D2306)),Assumptions!$D$5,IF(ISNUMBER(SEARCH(Assumptions!$C$6,D2306)),Assumptions!$D$6,IF(ISNUMBER(SEARCH(Assumptions!$C$7,D2306)),Assumptions!$D$7,"Other Services"))),"Other Services"))</f>
        <v/>
      </c>
    </row>
    <row r="2307" customFormat="false" ht="15" hidden="false" customHeight="false" outlineLevel="0" collapsed="false">
      <c r="J2307" s="41" t="str">
        <f aca="false">IF(D2307="","",IFERROR(IF(ISNUMBER(SEARCH(Assumptions!$C$5,D2307)),Assumptions!$D$5,IF(ISNUMBER(SEARCH(Assumptions!$C$6,D2307)),Assumptions!$D$6,IF(ISNUMBER(SEARCH(Assumptions!$C$7,D2307)),Assumptions!$D$7,"Other Services"))),"Other Services"))</f>
        <v/>
      </c>
    </row>
    <row r="2308" customFormat="false" ht="15" hidden="false" customHeight="false" outlineLevel="0" collapsed="false">
      <c r="J2308" s="41" t="str">
        <f aca="false">IF(D2308="","",IFERROR(IF(ISNUMBER(SEARCH(Assumptions!$C$5,D2308)),Assumptions!$D$5,IF(ISNUMBER(SEARCH(Assumptions!$C$6,D2308)),Assumptions!$D$6,IF(ISNUMBER(SEARCH(Assumptions!$C$7,D2308)),Assumptions!$D$7,"Other Services"))),"Other Services"))</f>
        <v/>
      </c>
    </row>
    <row r="2309" customFormat="false" ht="15" hidden="false" customHeight="false" outlineLevel="0" collapsed="false">
      <c r="J2309" s="41" t="str">
        <f aca="false">IF(D2309="","",IFERROR(IF(ISNUMBER(SEARCH(Assumptions!$C$5,D2309)),Assumptions!$D$5,IF(ISNUMBER(SEARCH(Assumptions!$C$6,D2309)),Assumptions!$D$6,IF(ISNUMBER(SEARCH(Assumptions!$C$7,D2309)),Assumptions!$D$7,"Other Services"))),"Other Services"))</f>
        <v/>
      </c>
    </row>
    <row r="2310" customFormat="false" ht="15" hidden="false" customHeight="false" outlineLevel="0" collapsed="false">
      <c r="J2310" s="41" t="str">
        <f aca="false">IF(D2310="","",IFERROR(IF(ISNUMBER(SEARCH(Assumptions!$C$5,D2310)),Assumptions!$D$5,IF(ISNUMBER(SEARCH(Assumptions!$C$6,D2310)),Assumptions!$D$6,IF(ISNUMBER(SEARCH(Assumptions!$C$7,D2310)),Assumptions!$D$7,"Other Services"))),"Other Services"))</f>
        <v/>
      </c>
    </row>
    <row r="2311" customFormat="false" ht="15" hidden="false" customHeight="false" outlineLevel="0" collapsed="false">
      <c r="J2311" s="41" t="str">
        <f aca="false">IF(D2311="","",IFERROR(IF(ISNUMBER(SEARCH(Assumptions!$C$5,D2311)),Assumptions!$D$5,IF(ISNUMBER(SEARCH(Assumptions!$C$6,D2311)),Assumptions!$D$6,IF(ISNUMBER(SEARCH(Assumptions!$C$7,D2311)),Assumptions!$D$7,"Other Services"))),"Other Services"))</f>
        <v/>
      </c>
    </row>
    <row r="2312" customFormat="false" ht="15" hidden="false" customHeight="false" outlineLevel="0" collapsed="false">
      <c r="J2312" s="41" t="str">
        <f aca="false">IF(D2312="","",IFERROR(IF(ISNUMBER(SEARCH(Assumptions!$C$5,D2312)),Assumptions!$D$5,IF(ISNUMBER(SEARCH(Assumptions!$C$6,D2312)),Assumptions!$D$6,IF(ISNUMBER(SEARCH(Assumptions!$C$7,D2312)),Assumptions!$D$7,"Other Services"))),"Other Services"))</f>
        <v/>
      </c>
    </row>
    <row r="2313" customFormat="false" ht="15" hidden="false" customHeight="false" outlineLevel="0" collapsed="false">
      <c r="J2313" s="41" t="str">
        <f aca="false">IF(D2313="","",IFERROR(IF(ISNUMBER(SEARCH(Assumptions!$C$5,D2313)),Assumptions!$D$5,IF(ISNUMBER(SEARCH(Assumptions!$C$6,D2313)),Assumptions!$D$6,IF(ISNUMBER(SEARCH(Assumptions!$C$7,D2313)),Assumptions!$D$7,"Other Services"))),"Other Services"))</f>
        <v/>
      </c>
    </row>
    <row r="2314" customFormat="false" ht="15" hidden="false" customHeight="false" outlineLevel="0" collapsed="false">
      <c r="J2314" s="41" t="str">
        <f aca="false">IF(D2314="","",IFERROR(IF(ISNUMBER(SEARCH(Assumptions!$C$5,D2314)),Assumptions!$D$5,IF(ISNUMBER(SEARCH(Assumptions!$C$6,D2314)),Assumptions!$D$6,IF(ISNUMBER(SEARCH(Assumptions!$C$7,D2314)),Assumptions!$D$7,"Other Services"))),"Other Services"))</f>
        <v/>
      </c>
    </row>
    <row r="2315" customFormat="false" ht="15" hidden="false" customHeight="false" outlineLevel="0" collapsed="false">
      <c r="J2315" s="41" t="str">
        <f aca="false">IF(D2315="","",IFERROR(IF(ISNUMBER(SEARCH(Assumptions!$C$5,D2315)),Assumptions!$D$5,IF(ISNUMBER(SEARCH(Assumptions!$C$6,D2315)),Assumptions!$D$6,IF(ISNUMBER(SEARCH(Assumptions!$C$7,D2315)),Assumptions!$D$7,"Other Services"))),"Other Services"))</f>
        <v/>
      </c>
    </row>
    <row r="2316" customFormat="false" ht="15" hidden="false" customHeight="false" outlineLevel="0" collapsed="false">
      <c r="J2316" s="41" t="str">
        <f aca="false">IF(D2316="","",IFERROR(IF(ISNUMBER(SEARCH(Assumptions!$C$5,D2316)),Assumptions!$D$5,IF(ISNUMBER(SEARCH(Assumptions!$C$6,D2316)),Assumptions!$D$6,IF(ISNUMBER(SEARCH(Assumptions!$C$7,D2316)),Assumptions!$D$7,"Other Services"))),"Other Services"))</f>
        <v/>
      </c>
    </row>
    <row r="2317" customFormat="false" ht="15" hidden="false" customHeight="false" outlineLevel="0" collapsed="false">
      <c r="J2317" s="41" t="str">
        <f aca="false">IF(D2317="","",IFERROR(IF(ISNUMBER(SEARCH(Assumptions!$C$5,D2317)),Assumptions!$D$5,IF(ISNUMBER(SEARCH(Assumptions!$C$6,D2317)),Assumptions!$D$6,IF(ISNUMBER(SEARCH(Assumptions!$C$7,D2317)),Assumptions!$D$7,"Other Services"))),"Other Services"))</f>
        <v/>
      </c>
    </row>
    <row r="2318" customFormat="false" ht="15" hidden="false" customHeight="false" outlineLevel="0" collapsed="false">
      <c r="J2318" s="41" t="str">
        <f aca="false">IF(D2318="","",IFERROR(IF(ISNUMBER(SEARCH(Assumptions!$C$5,D2318)),Assumptions!$D$5,IF(ISNUMBER(SEARCH(Assumptions!$C$6,D2318)),Assumptions!$D$6,IF(ISNUMBER(SEARCH(Assumptions!$C$7,D2318)),Assumptions!$D$7,"Other Services"))),"Other Services"))</f>
        <v/>
      </c>
    </row>
    <row r="2319" customFormat="false" ht="15" hidden="false" customHeight="false" outlineLevel="0" collapsed="false">
      <c r="J2319" s="41" t="str">
        <f aca="false">IF(D2319="","",IFERROR(IF(ISNUMBER(SEARCH(Assumptions!$C$5,D2319)),Assumptions!$D$5,IF(ISNUMBER(SEARCH(Assumptions!$C$6,D2319)),Assumptions!$D$6,IF(ISNUMBER(SEARCH(Assumptions!$C$7,D2319)),Assumptions!$D$7,"Other Services"))),"Other Services"))</f>
        <v/>
      </c>
    </row>
    <row r="2320" customFormat="false" ht="15" hidden="false" customHeight="false" outlineLevel="0" collapsed="false">
      <c r="J2320" s="41" t="str">
        <f aca="false">IF(D2320="","",IFERROR(IF(ISNUMBER(SEARCH(Assumptions!$C$5,D2320)),Assumptions!$D$5,IF(ISNUMBER(SEARCH(Assumptions!$C$6,D2320)),Assumptions!$D$6,IF(ISNUMBER(SEARCH(Assumptions!$C$7,D2320)),Assumptions!$D$7,"Other Services"))),"Other Services"))</f>
        <v/>
      </c>
    </row>
    <row r="2321" customFormat="false" ht="15" hidden="false" customHeight="false" outlineLevel="0" collapsed="false">
      <c r="J2321" s="41" t="str">
        <f aca="false">IF(D2321="","",IFERROR(IF(ISNUMBER(SEARCH(Assumptions!$C$5,D2321)),Assumptions!$D$5,IF(ISNUMBER(SEARCH(Assumptions!$C$6,D2321)),Assumptions!$D$6,IF(ISNUMBER(SEARCH(Assumptions!$C$7,D2321)),Assumptions!$D$7,"Other Services"))),"Other Services"))</f>
        <v/>
      </c>
    </row>
    <row r="2322" customFormat="false" ht="15" hidden="false" customHeight="false" outlineLevel="0" collapsed="false">
      <c r="J2322" s="41" t="str">
        <f aca="false">IF(D2322="","",IFERROR(IF(ISNUMBER(SEARCH(Assumptions!$C$5,D2322)),Assumptions!$D$5,IF(ISNUMBER(SEARCH(Assumptions!$C$6,D2322)),Assumptions!$D$6,IF(ISNUMBER(SEARCH(Assumptions!$C$7,D2322)),Assumptions!$D$7,"Other Services"))),"Other Services"))</f>
        <v/>
      </c>
    </row>
    <row r="2323" customFormat="false" ht="15" hidden="false" customHeight="false" outlineLevel="0" collapsed="false">
      <c r="J2323" s="41" t="str">
        <f aca="false">IF(D2323="","",IFERROR(IF(ISNUMBER(SEARCH(Assumptions!$C$5,D2323)),Assumptions!$D$5,IF(ISNUMBER(SEARCH(Assumptions!$C$6,D2323)),Assumptions!$D$6,IF(ISNUMBER(SEARCH(Assumptions!$C$7,D2323)),Assumptions!$D$7,"Other Services"))),"Other Services"))</f>
        <v/>
      </c>
    </row>
    <row r="2324" customFormat="false" ht="15" hidden="false" customHeight="false" outlineLevel="0" collapsed="false">
      <c r="J2324" s="41" t="str">
        <f aca="false">IF(D2324="","",IFERROR(IF(ISNUMBER(SEARCH(Assumptions!$C$5,D2324)),Assumptions!$D$5,IF(ISNUMBER(SEARCH(Assumptions!$C$6,D2324)),Assumptions!$D$6,IF(ISNUMBER(SEARCH(Assumptions!$C$7,D2324)),Assumptions!$D$7,"Other Services"))),"Other Services"))</f>
        <v/>
      </c>
    </row>
    <row r="2325" customFormat="false" ht="15" hidden="false" customHeight="false" outlineLevel="0" collapsed="false">
      <c r="J2325" s="41" t="str">
        <f aca="false">IF(D2325="","",IFERROR(IF(ISNUMBER(SEARCH(Assumptions!$C$5,D2325)),Assumptions!$D$5,IF(ISNUMBER(SEARCH(Assumptions!$C$6,D2325)),Assumptions!$D$6,IF(ISNUMBER(SEARCH(Assumptions!$C$7,D2325)),Assumptions!$D$7,"Other Services"))),"Other Services"))</f>
        <v/>
      </c>
    </row>
    <row r="2326" customFormat="false" ht="15" hidden="false" customHeight="false" outlineLevel="0" collapsed="false">
      <c r="J2326" s="41" t="str">
        <f aca="false">IF(D2326="","",IFERROR(IF(ISNUMBER(SEARCH(Assumptions!$C$5,D2326)),Assumptions!$D$5,IF(ISNUMBER(SEARCH(Assumptions!$C$6,D2326)),Assumptions!$D$6,IF(ISNUMBER(SEARCH(Assumptions!$C$7,D2326)),Assumptions!$D$7,"Other Services"))),"Other Services"))</f>
        <v/>
      </c>
    </row>
    <row r="2327" customFormat="false" ht="15" hidden="false" customHeight="false" outlineLevel="0" collapsed="false">
      <c r="J2327" s="41" t="str">
        <f aca="false">IF(D2327="","",IFERROR(IF(ISNUMBER(SEARCH(Assumptions!$C$5,D2327)),Assumptions!$D$5,IF(ISNUMBER(SEARCH(Assumptions!$C$6,D2327)),Assumptions!$D$6,IF(ISNUMBER(SEARCH(Assumptions!$C$7,D2327)),Assumptions!$D$7,"Other Services"))),"Other Services"))</f>
        <v/>
      </c>
    </row>
    <row r="2328" customFormat="false" ht="15" hidden="false" customHeight="false" outlineLevel="0" collapsed="false">
      <c r="J2328" s="41" t="str">
        <f aca="false">IF(D2328="","",IFERROR(IF(ISNUMBER(SEARCH(Assumptions!$C$5,D2328)),Assumptions!$D$5,IF(ISNUMBER(SEARCH(Assumptions!$C$6,D2328)),Assumptions!$D$6,IF(ISNUMBER(SEARCH(Assumptions!$C$7,D2328)),Assumptions!$D$7,"Other Services"))),"Other Services"))</f>
        <v/>
      </c>
    </row>
    <row r="2329" customFormat="false" ht="15" hidden="false" customHeight="false" outlineLevel="0" collapsed="false">
      <c r="J2329" s="41" t="str">
        <f aca="false">IF(D2329="","",IFERROR(IF(ISNUMBER(SEARCH(Assumptions!$C$5,D2329)),Assumptions!$D$5,IF(ISNUMBER(SEARCH(Assumptions!$C$6,D2329)),Assumptions!$D$6,IF(ISNUMBER(SEARCH(Assumptions!$C$7,D2329)),Assumptions!$D$7,"Other Services"))),"Other Services"))</f>
        <v/>
      </c>
    </row>
    <row r="2330" customFormat="false" ht="15" hidden="false" customHeight="false" outlineLevel="0" collapsed="false">
      <c r="J2330" s="41" t="str">
        <f aca="false">IF(D2330="","",IFERROR(IF(ISNUMBER(SEARCH(Assumptions!$C$5,D2330)),Assumptions!$D$5,IF(ISNUMBER(SEARCH(Assumptions!$C$6,D2330)),Assumptions!$D$6,IF(ISNUMBER(SEARCH(Assumptions!$C$7,D2330)),Assumptions!$D$7,"Other Services"))),"Other Services"))</f>
        <v/>
      </c>
    </row>
    <row r="2331" customFormat="false" ht="15" hidden="false" customHeight="false" outlineLevel="0" collapsed="false">
      <c r="J2331" s="41" t="str">
        <f aca="false">IF(D2331="","",IFERROR(IF(ISNUMBER(SEARCH(Assumptions!$C$5,D2331)),Assumptions!$D$5,IF(ISNUMBER(SEARCH(Assumptions!$C$6,D2331)),Assumptions!$D$6,IF(ISNUMBER(SEARCH(Assumptions!$C$7,D2331)),Assumptions!$D$7,"Other Services"))),"Other Services"))</f>
        <v/>
      </c>
    </row>
    <row r="2332" customFormat="false" ht="15" hidden="false" customHeight="false" outlineLevel="0" collapsed="false">
      <c r="J2332" s="41" t="str">
        <f aca="false">IF(D2332="","",IFERROR(IF(ISNUMBER(SEARCH(Assumptions!$C$5,D2332)),Assumptions!$D$5,IF(ISNUMBER(SEARCH(Assumptions!$C$6,D2332)),Assumptions!$D$6,IF(ISNUMBER(SEARCH(Assumptions!$C$7,D2332)),Assumptions!$D$7,"Other Services"))),"Other Services"))</f>
        <v/>
      </c>
    </row>
    <row r="2333" customFormat="false" ht="15" hidden="false" customHeight="false" outlineLevel="0" collapsed="false">
      <c r="J2333" s="41" t="str">
        <f aca="false">IF(D2333="","",IFERROR(IF(ISNUMBER(SEARCH(Assumptions!$C$5,D2333)),Assumptions!$D$5,IF(ISNUMBER(SEARCH(Assumptions!$C$6,D2333)),Assumptions!$D$6,IF(ISNUMBER(SEARCH(Assumptions!$C$7,D2333)),Assumptions!$D$7,"Other Services"))),"Other Services"))</f>
        <v/>
      </c>
    </row>
    <row r="2334" customFormat="false" ht="15" hidden="false" customHeight="false" outlineLevel="0" collapsed="false">
      <c r="J2334" s="41" t="str">
        <f aca="false">IF(D2334="","",IFERROR(IF(ISNUMBER(SEARCH(Assumptions!$C$5,D2334)),Assumptions!$D$5,IF(ISNUMBER(SEARCH(Assumptions!$C$6,D2334)),Assumptions!$D$6,IF(ISNUMBER(SEARCH(Assumptions!$C$7,D2334)),Assumptions!$D$7,"Other Services"))),"Other Services"))</f>
        <v/>
      </c>
    </row>
    <row r="2335" customFormat="false" ht="15" hidden="false" customHeight="false" outlineLevel="0" collapsed="false">
      <c r="J2335" s="41" t="str">
        <f aca="false">IF(D2335="","",IFERROR(IF(ISNUMBER(SEARCH(Assumptions!$C$5,D2335)),Assumptions!$D$5,IF(ISNUMBER(SEARCH(Assumptions!$C$6,D2335)),Assumptions!$D$6,IF(ISNUMBER(SEARCH(Assumptions!$C$7,D2335)),Assumptions!$D$7,"Other Services"))),"Other Services"))</f>
        <v/>
      </c>
    </row>
    <row r="2336" customFormat="false" ht="15" hidden="false" customHeight="false" outlineLevel="0" collapsed="false">
      <c r="J2336" s="41" t="str">
        <f aca="false">IF(D2336="","",IFERROR(IF(ISNUMBER(SEARCH(Assumptions!$C$5,D2336)),Assumptions!$D$5,IF(ISNUMBER(SEARCH(Assumptions!$C$6,D2336)),Assumptions!$D$6,IF(ISNUMBER(SEARCH(Assumptions!$C$7,D2336)),Assumptions!$D$7,"Other Services"))),"Other Services"))</f>
        <v/>
      </c>
    </row>
    <row r="2337" customFormat="false" ht="15" hidden="false" customHeight="false" outlineLevel="0" collapsed="false">
      <c r="J2337" s="41" t="str">
        <f aca="false">IF(D2337="","",IFERROR(IF(ISNUMBER(SEARCH(Assumptions!$C$5,D2337)),Assumptions!$D$5,IF(ISNUMBER(SEARCH(Assumptions!$C$6,D2337)),Assumptions!$D$6,IF(ISNUMBER(SEARCH(Assumptions!$C$7,D2337)),Assumptions!$D$7,"Other Services"))),"Other Services"))</f>
        <v/>
      </c>
    </row>
    <row r="2338" customFormat="false" ht="15" hidden="false" customHeight="false" outlineLevel="0" collapsed="false">
      <c r="J2338" s="41" t="str">
        <f aca="false">IF(D2338="","",IFERROR(IF(ISNUMBER(SEARCH(Assumptions!$C$5,D2338)),Assumptions!$D$5,IF(ISNUMBER(SEARCH(Assumptions!$C$6,D2338)),Assumptions!$D$6,IF(ISNUMBER(SEARCH(Assumptions!$C$7,D2338)),Assumptions!$D$7,"Other Services"))),"Other Services"))</f>
        <v/>
      </c>
    </row>
    <row r="2339" customFormat="false" ht="15" hidden="false" customHeight="false" outlineLevel="0" collapsed="false">
      <c r="J2339" s="41" t="str">
        <f aca="false">IF(D2339="","",IFERROR(IF(ISNUMBER(SEARCH(Assumptions!$C$5,D2339)),Assumptions!$D$5,IF(ISNUMBER(SEARCH(Assumptions!$C$6,D2339)),Assumptions!$D$6,IF(ISNUMBER(SEARCH(Assumptions!$C$7,D2339)),Assumptions!$D$7,"Other Services"))),"Other Services"))</f>
        <v/>
      </c>
    </row>
    <row r="2340" customFormat="false" ht="15" hidden="false" customHeight="false" outlineLevel="0" collapsed="false">
      <c r="J2340" s="41" t="str">
        <f aca="false">IF(D2340="","",IFERROR(IF(ISNUMBER(SEARCH(Assumptions!$C$5,D2340)),Assumptions!$D$5,IF(ISNUMBER(SEARCH(Assumptions!$C$6,D2340)),Assumptions!$D$6,IF(ISNUMBER(SEARCH(Assumptions!$C$7,D2340)),Assumptions!$D$7,"Other Services"))),"Other Services"))</f>
        <v/>
      </c>
    </row>
    <row r="2341" customFormat="false" ht="15" hidden="false" customHeight="false" outlineLevel="0" collapsed="false">
      <c r="J2341" s="41" t="str">
        <f aca="false">IF(D2341="","",IFERROR(IF(ISNUMBER(SEARCH(Assumptions!$C$5,D2341)),Assumptions!$D$5,IF(ISNUMBER(SEARCH(Assumptions!$C$6,D2341)),Assumptions!$D$6,IF(ISNUMBER(SEARCH(Assumptions!$C$7,D2341)),Assumptions!$D$7,"Other Services"))),"Other Services"))</f>
        <v/>
      </c>
    </row>
    <row r="2342" customFormat="false" ht="15" hidden="false" customHeight="false" outlineLevel="0" collapsed="false">
      <c r="J2342" s="41" t="str">
        <f aca="false">IF(D2342="","",IFERROR(IF(ISNUMBER(SEARCH(Assumptions!$C$5,D2342)),Assumptions!$D$5,IF(ISNUMBER(SEARCH(Assumptions!$C$6,D2342)),Assumptions!$D$6,IF(ISNUMBER(SEARCH(Assumptions!$C$7,D2342)),Assumptions!$D$7,"Other Services"))),"Other Services"))</f>
        <v/>
      </c>
    </row>
    <row r="2343" customFormat="false" ht="15" hidden="false" customHeight="false" outlineLevel="0" collapsed="false">
      <c r="J2343" s="41" t="str">
        <f aca="false">IF(D2343="","",IFERROR(IF(ISNUMBER(SEARCH(Assumptions!$C$5,D2343)),Assumptions!$D$5,IF(ISNUMBER(SEARCH(Assumptions!$C$6,D2343)),Assumptions!$D$6,IF(ISNUMBER(SEARCH(Assumptions!$C$7,D2343)),Assumptions!$D$7,"Other Services"))),"Other Services"))</f>
        <v/>
      </c>
    </row>
    <row r="2344" customFormat="false" ht="15" hidden="false" customHeight="false" outlineLevel="0" collapsed="false">
      <c r="J2344" s="41" t="str">
        <f aca="false">IF(D2344="","",IFERROR(IF(ISNUMBER(SEARCH(Assumptions!$C$5,D2344)),Assumptions!$D$5,IF(ISNUMBER(SEARCH(Assumptions!$C$6,D2344)),Assumptions!$D$6,IF(ISNUMBER(SEARCH(Assumptions!$C$7,D2344)),Assumptions!$D$7,"Other Services"))),"Other Services"))</f>
        <v/>
      </c>
    </row>
    <row r="2345" customFormat="false" ht="15" hidden="false" customHeight="false" outlineLevel="0" collapsed="false">
      <c r="J2345" s="41" t="str">
        <f aca="false">IF(D2345="","",IFERROR(IF(ISNUMBER(SEARCH(Assumptions!$C$5,D2345)),Assumptions!$D$5,IF(ISNUMBER(SEARCH(Assumptions!$C$6,D2345)),Assumptions!$D$6,IF(ISNUMBER(SEARCH(Assumptions!$C$7,D2345)),Assumptions!$D$7,"Other Services"))),"Other Services"))</f>
        <v/>
      </c>
    </row>
    <row r="2346" customFormat="false" ht="15" hidden="false" customHeight="false" outlineLevel="0" collapsed="false">
      <c r="J2346" s="41" t="str">
        <f aca="false">IF(D2346="","",IFERROR(IF(ISNUMBER(SEARCH(Assumptions!$C$5,D2346)),Assumptions!$D$5,IF(ISNUMBER(SEARCH(Assumptions!$C$6,D2346)),Assumptions!$D$6,IF(ISNUMBER(SEARCH(Assumptions!$C$7,D2346)),Assumptions!$D$7,"Other Services"))),"Other Services"))</f>
        <v/>
      </c>
    </row>
    <row r="2347" customFormat="false" ht="15" hidden="false" customHeight="false" outlineLevel="0" collapsed="false">
      <c r="J2347" s="41" t="str">
        <f aca="false">IF(D2347="","",IFERROR(IF(ISNUMBER(SEARCH(Assumptions!$C$5,D2347)),Assumptions!$D$5,IF(ISNUMBER(SEARCH(Assumptions!$C$6,D2347)),Assumptions!$D$6,IF(ISNUMBER(SEARCH(Assumptions!$C$7,D2347)),Assumptions!$D$7,"Other Services"))),"Other Services"))</f>
        <v/>
      </c>
    </row>
    <row r="2348" customFormat="false" ht="15" hidden="false" customHeight="false" outlineLevel="0" collapsed="false">
      <c r="J2348" s="41" t="str">
        <f aca="false">IF(D2348="","",IFERROR(IF(ISNUMBER(SEARCH(Assumptions!$C$5,D2348)),Assumptions!$D$5,IF(ISNUMBER(SEARCH(Assumptions!$C$6,D2348)),Assumptions!$D$6,IF(ISNUMBER(SEARCH(Assumptions!$C$7,D2348)),Assumptions!$D$7,"Other Services"))),"Other Services"))</f>
        <v/>
      </c>
    </row>
    <row r="2349" customFormat="false" ht="15" hidden="false" customHeight="false" outlineLevel="0" collapsed="false">
      <c r="J2349" s="41" t="str">
        <f aca="false">IF(D2349="","",IFERROR(IF(ISNUMBER(SEARCH(Assumptions!$C$5,D2349)),Assumptions!$D$5,IF(ISNUMBER(SEARCH(Assumptions!$C$6,D2349)),Assumptions!$D$6,IF(ISNUMBER(SEARCH(Assumptions!$C$7,D2349)),Assumptions!$D$7,"Other Services"))),"Other Services"))</f>
        <v/>
      </c>
    </row>
    <row r="2350" customFormat="false" ht="15" hidden="false" customHeight="false" outlineLevel="0" collapsed="false">
      <c r="J2350" s="41" t="str">
        <f aca="false">IF(D2350="","",IFERROR(IF(ISNUMBER(SEARCH(Assumptions!$C$5,D2350)),Assumptions!$D$5,IF(ISNUMBER(SEARCH(Assumptions!$C$6,D2350)),Assumptions!$D$6,IF(ISNUMBER(SEARCH(Assumptions!$C$7,D2350)),Assumptions!$D$7,"Other Services"))),"Other Services"))</f>
        <v/>
      </c>
    </row>
    <row r="2351" customFormat="false" ht="15" hidden="false" customHeight="false" outlineLevel="0" collapsed="false">
      <c r="J2351" s="41" t="str">
        <f aca="false">IF(D2351="","",IFERROR(IF(ISNUMBER(SEARCH(Assumptions!$C$5,D2351)),Assumptions!$D$5,IF(ISNUMBER(SEARCH(Assumptions!$C$6,D2351)),Assumptions!$D$6,IF(ISNUMBER(SEARCH(Assumptions!$C$7,D2351)),Assumptions!$D$7,"Other Services"))),"Other Services"))</f>
        <v/>
      </c>
    </row>
    <row r="2352" customFormat="false" ht="15" hidden="false" customHeight="false" outlineLevel="0" collapsed="false">
      <c r="J2352" s="41" t="str">
        <f aca="false">IF(D2352="","",IFERROR(IF(ISNUMBER(SEARCH(Assumptions!$C$5,D2352)),Assumptions!$D$5,IF(ISNUMBER(SEARCH(Assumptions!$C$6,D2352)),Assumptions!$D$6,IF(ISNUMBER(SEARCH(Assumptions!$C$7,D2352)),Assumptions!$D$7,"Other Services"))),"Other Services"))</f>
        <v/>
      </c>
    </row>
    <row r="2353" customFormat="false" ht="15" hidden="false" customHeight="false" outlineLevel="0" collapsed="false">
      <c r="J2353" s="41" t="str">
        <f aca="false">IF(D2353="","",IFERROR(IF(ISNUMBER(SEARCH(Assumptions!$C$5,D2353)),Assumptions!$D$5,IF(ISNUMBER(SEARCH(Assumptions!$C$6,D2353)),Assumptions!$D$6,IF(ISNUMBER(SEARCH(Assumptions!$C$7,D2353)),Assumptions!$D$7,"Other Services"))),"Other Services"))</f>
        <v/>
      </c>
    </row>
    <row r="2354" customFormat="false" ht="15" hidden="false" customHeight="false" outlineLevel="0" collapsed="false">
      <c r="J2354" s="41" t="str">
        <f aca="false">IF(D2354="","",IFERROR(IF(ISNUMBER(SEARCH(Assumptions!$C$5,D2354)),Assumptions!$D$5,IF(ISNUMBER(SEARCH(Assumptions!$C$6,D2354)),Assumptions!$D$6,IF(ISNUMBER(SEARCH(Assumptions!$C$7,D2354)),Assumptions!$D$7,"Other Services"))),"Other Services"))</f>
        <v/>
      </c>
    </row>
    <row r="2355" customFormat="false" ht="15" hidden="false" customHeight="false" outlineLevel="0" collapsed="false">
      <c r="J2355" s="41" t="str">
        <f aca="false">IF(D2355="","",IFERROR(IF(ISNUMBER(SEARCH(Assumptions!$C$5,D2355)),Assumptions!$D$5,IF(ISNUMBER(SEARCH(Assumptions!$C$6,D2355)),Assumptions!$D$6,IF(ISNUMBER(SEARCH(Assumptions!$C$7,D2355)),Assumptions!$D$7,"Other Services"))),"Other Services"))</f>
        <v/>
      </c>
    </row>
    <row r="2356" customFormat="false" ht="15" hidden="false" customHeight="false" outlineLevel="0" collapsed="false">
      <c r="J2356" s="41" t="str">
        <f aca="false">IF(D2356="","",IFERROR(IF(ISNUMBER(SEARCH(Assumptions!$C$5,D2356)),Assumptions!$D$5,IF(ISNUMBER(SEARCH(Assumptions!$C$6,D2356)),Assumptions!$D$6,IF(ISNUMBER(SEARCH(Assumptions!$C$7,D2356)),Assumptions!$D$7,"Other Services"))),"Other Services"))</f>
        <v/>
      </c>
    </row>
    <row r="2357" customFormat="false" ht="15" hidden="false" customHeight="false" outlineLevel="0" collapsed="false">
      <c r="J2357" s="41" t="str">
        <f aca="false">IF(D2357="","",IFERROR(IF(ISNUMBER(SEARCH(Assumptions!$C$5,D2357)),Assumptions!$D$5,IF(ISNUMBER(SEARCH(Assumptions!$C$6,D2357)),Assumptions!$D$6,IF(ISNUMBER(SEARCH(Assumptions!$C$7,D2357)),Assumptions!$D$7,"Other Services"))),"Other Services"))</f>
        <v/>
      </c>
    </row>
    <row r="2358" customFormat="false" ht="15" hidden="false" customHeight="false" outlineLevel="0" collapsed="false">
      <c r="J2358" s="41" t="str">
        <f aca="false">IF(D2358="","",IFERROR(IF(ISNUMBER(SEARCH(Assumptions!$C$5,D2358)),Assumptions!$D$5,IF(ISNUMBER(SEARCH(Assumptions!$C$6,D2358)),Assumptions!$D$6,IF(ISNUMBER(SEARCH(Assumptions!$C$7,D2358)),Assumptions!$D$7,"Other Services"))),"Other Services"))</f>
        <v/>
      </c>
    </row>
    <row r="2359" customFormat="false" ht="15" hidden="false" customHeight="false" outlineLevel="0" collapsed="false">
      <c r="J2359" s="41" t="str">
        <f aca="false">IF(D2359="","",IFERROR(IF(ISNUMBER(SEARCH(Assumptions!$C$5,D2359)),Assumptions!$D$5,IF(ISNUMBER(SEARCH(Assumptions!$C$6,D2359)),Assumptions!$D$6,IF(ISNUMBER(SEARCH(Assumptions!$C$7,D2359)),Assumptions!$D$7,"Other Services"))),"Other Services"))</f>
        <v/>
      </c>
    </row>
    <row r="2360" customFormat="false" ht="15" hidden="false" customHeight="false" outlineLevel="0" collapsed="false">
      <c r="J2360" s="41" t="str">
        <f aca="false">IF(D2360="","",IFERROR(IF(ISNUMBER(SEARCH(Assumptions!$C$5,D2360)),Assumptions!$D$5,IF(ISNUMBER(SEARCH(Assumptions!$C$6,D2360)),Assumptions!$D$6,IF(ISNUMBER(SEARCH(Assumptions!$C$7,D2360)),Assumptions!$D$7,"Other Services"))),"Other Services"))</f>
        <v/>
      </c>
    </row>
    <row r="2361" customFormat="false" ht="15" hidden="false" customHeight="false" outlineLevel="0" collapsed="false">
      <c r="J2361" s="41" t="str">
        <f aca="false">IF(D2361="","",IFERROR(IF(ISNUMBER(SEARCH(Assumptions!$C$5,D2361)),Assumptions!$D$5,IF(ISNUMBER(SEARCH(Assumptions!$C$6,D2361)),Assumptions!$D$6,IF(ISNUMBER(SEARCH(Assumptions!$C$7,D2361)),Assumptions!$D$7,"Other Services"))),"Other Services"))</f>
        <v/>
      </c>
    </row>
    <row r="2362" customFormat="false" ht="15" hidden="false" customHeight="false" outlineLevel="0" collapsed="false">
      <c r="J2362" s="41" t="str">
        <f aca="false">IF(D2362="","",IFERROR(IF(ISNUMBER(SEARCH(Assumptions!$C$5,D2362)),Assumptions!$D$5,IF(ISNUMBER(SEARCH(Assumptions!$C$6,D2362)),Assumptions!$D$6,IF(ISNUMBER(SEARCH(Assumptions!$C$7,D2362)),Assumptions!$D$7,"Other Services"))),"Other Services"))</f>
        <v/>
      </c>
    </row>
    <row r="2363" customFormat="false" ht="15" hidden="false" customHeight="false" outlineLevel="0" collapsed="false">
      <c r="J2363" s="41" t="str">
        <f aca="false">IF(D2363="","",IFERROR(IF(ISNUMBER(SEARCH(Assumptions!$C$5,D2363)),Assumptions!$D$5,IF(ISNUMBER(SEARCH(Assumptions!$C$6,D2363)),Assumptions!$D$6,IF(ISNUMBER(SEARCH(Assumptions!$C$7,D2363)),Assumptions!$D$7,"Other Services"))),"Other Services"))</f>
        <v/>
      </c>
    </row>
    <row r="2364" customFormat="false" ht="15" hidden="false" customHeight="false" outlineLevel="0" collapsed="false">
      <c r="J2364" s="41" t="str">
        <f aca="false">IF(D2364="","",IFERROR(IF(ISNUMBER(SEARCH(Assumptions!$C$5,D2364)),Assumptions!$D$5,IF(ISNUMBER(SEARCH(Assumptions!$C$6,D2364)),Assumptions!$D$6,IF(ISNUMBER(SEARCH(Assumptions!$C$7,D2364)),Assumptions!$D$7,"Other Services"))),"Other Services"))</f>
        <v/>
      </c>
    </row>
    <row r="2365" customFormat="false" ht="15" hidden="false" customHeight="false" outlineLevel="0" collapsed="false">
      <c r="J2365" s="41" t="str">
        <f aca="false">IF(D2365="","",IFERROR(IF(ISNUMBER(SEARCH(Assumptions!$C$5,D2365)),Assumptions!$D$5,IF(ISNUMBER(SEARCH(Assumptions!$C$6,D2365)),Assumptions!$D$6,IF(ISNUMBER(SEARCH(Assumptions!$C$7,D2365)),Assumptions!$D$7,"Other Services"))),"Other Services"))</f>
        <v/>
      </c>
    </row>
    <row r="2366" customFormat="false" ht="15" hidden="false" customHeight="false" outlineLevel="0" collapsed="false">
      <c r="J2366" s="41" t="str">
        <f aca="false">IF(D2366="","",IFERROR(IF(ISNUMBER(SEARCH(Assumptions!$C$5,D2366)),Assumptions!$D$5,IF(ISNUMBER(SEARCH(Assumptions!$C$6,D2366)),Assumptions!$D$6,IF(ISNUMBER(SEARCH(Assumptions!$C$7,D2366)),Assumptions!$D$7,"Other Services"))),"Other Services"))</f>
        <v/>
      </c>
    </row>
    <row r="2367" customFormat="false" ht="15" hidden="false" customHeight="false" outlineLevel="0" collapsed="false">
      <c r="J2367" s="41" t="str">
        <f aca="false">IF(D2367="","",IFERROR(IF(ISNUMBER(SEARCH(Assumptions!$C$5,D2367)),Assumptions!$D$5,IF(ISNUMBER(SEARCH(Assumptions!$C$6,D2367)),Assumptions!$D$6,IF(ISNUMBER(SEARCH(Assumptions!$C$7,D2367)),Assumptions!$D$7,"Other Services"))),"Other Services"))</f>
        <v/>
      </c>
    </row>
    <row r="2368" customFormat="false" ht="15" hidden="false" customHeight="false" outlineLevel="0" collapsed="false">
      <c r="J2368" s="41" t="str">
        <f aca="false">IF(D2368="","",IFERROR(IF(ISNUMBER(SEARCH(Assumptions!$C$5,D2368)),Assumptions!$D$5,IF(ISNUMBER(SEARCH(Assumptions!$C$6,D2368)),Assumptions!$D$6,IF(ISNUMBER(SEARCH(Assumptions!$C$7,D2368)),Assumptions!$D$7,"Other Services"))),"Other Services"))</f>
        <v/>
      </c>
    </row>
    <row r="2369" customFormat="false" ht="15" hidden="false" customHeight="false" outlineLevel="0" collapsed="false">
      <c r="J2369" s="41" t="str">
        <f aca="false">IF(D2369="","",IFERROR(IF(ISNUMBER(SEARCH(Assumptions!$C$5,D2369)),Assumptions!$D$5,IF(ISNUMBER(SEARCH(Assumptions!$C$6,D2369)),Assumptions!$D$6,IF(ISNUMBER(SEARCH(Assumptions!$C$7,D2369)),Assumptions!$D$7,"Other Services"))),"Other Services"))</f>
        <v/>
      </c>
    </row>
    <row r="2370" customFormat="false" ht="15" hidden="false" customHeight="false" outlineLevel="0" collapsed="false">
      <c r="J2370" s="41" t="str">
        <f aca="false">IF(D2370="","",IFERROR(IF(ISNUMBER(SEARCH(Assumptions!$C$5,D2370)),Assumptions!$D$5,IF(ISNUMBER(SEARCH(Assumptions!$C$6,D2370)),Assumptions!$D$6,IF(ISNUMBER(SEARCH(Assumptions!$C$7,D2370)),Assumptions!$D$7,"Other Services"))),"Other Services"))</f>
        <v/>
      </c>
    </row>
    <row r="2371" customFormat="false" ht="15" hidden="false" customHeight="false" outlineLevel="0" collapsed="false">
      <c r="J2371" s="41" t="str">
        <f aca="false">IF(D2371="","",IFERROR(IF(ISNUMBER(SEARCH(Assumptions!$C$5,D2371)),Assumptions!$D$5,IF(ISNUMBER(SEARCH(Assumptions!$C$6,D2371)),Assumptions!$D$6,IF(ISNUMBER(SEARCH(Assumptions!$C$7,D2371)),Assumptions!$D$7,"Other Services"))),"Other Services"))</f>
        <v/>
      </c>
    </row>
    <row r="2372" customFormat="false" ht="15" hidden="false" customHeight="false" outlineLevel="0" collapsed="false">
      <c r="J2372" s="41" t="str">
        <f aca="false">IF(D2372="","",IFERROR(IF(ISNUMBER(SEARCH(Assumptions!$C$5,D2372)),Assumptions!$D$5,IF(ISNUMBER(SEARCH(Assumptions!$C$6,D2372)),Assumptions!$D$6,IF(ISNUMBER(SEARCH(Assumptions!$C$7,D2372)),Assumptions!$D$7,"Other Services"))),"Other Services"))</f>
        <v/>
      </c>
    </row>
    <row r="2373" customFormat="false" ht="15" hidden="false" customHeight="false" outlineLevel="0" collapsed="false">
      <c r="J2373" s="41" t="str">
        <f aca="false">IF(D2373="","",IFERROR(IF(ISNUMBER(SEARCH(Assumptions!$C$5,D2373)),Assumptions!$D$5,IF(ISNUMBER(SEARCH(Assumptions!$C$6,D2373)),Assumptions!$D$6,IF(ISNUMBER(SEARCH(Assumptions!$C$7,D2373)),Assumptions!$D$7,"Other Services"))),"Other Services"))</f>
        <v/>
      </c>
    </row>
    <row r="2374" customFormat="false" ht="15" hidden="false" customHeight="false" outlineLevel="0" collapsed="false">
      <c r="J2374" s="41" t="str">
        <f aca="false">IF(D2374="","",IFERROR(IF(ISNUMBER(SEARCH(Assumptions!$C$5,D2374)),Assumptions!$D$5,IF(ISNUMBER(SEARCH(Assumptions!$C$6,D2374)),Assumptions!$D$6,IF(ISNUMBER(SEARCH(Assumptions!$C$7,D2374)),Assumptions!$D$7,"Other Services"))),"Other Services"))</f>
        <v/>
      </c>
    </row>
    <row r="2375" customFormat="false" ht="15" hidden="false" customHeight="false" outlineLevel="0" collapsed="false">
      <c r="J2375" s="41" t="str">
        <f aca="false">IF(D2375="","",IFERROR(IF(ISNUMBER(SEARCH(Assumptions!$C$5,D2375)),Assumptions!$D$5,IF(ISNUMBER(SEARCH(Assumptions!$C$6,D2375)),Assumptions!$D$6,IF(ISNUMBER(SEARCH(Assumptions!$C$7,D2375)),Assumptions!$D$7,"Other Services"))),"Other Services"))</f>
        <v/>
      </c>
    </row>
    <row r="2376" customFormat="false" ht="15" hidden="false" customHeight="false" outlineLevel="0" collapsed="false">
      <c r="J2376" s="41" t="str">
        <f aca="false">IF(D2376="","",IFERROR(IF(ISNUMBER(SEARCH(Assumptions!$C$5,D2376)),Assumptions!$D$5,IF(ISNUMBER(SEARCH(Assumptions!$C$6,D2376)),Assumptions!$D$6,IF(ISNUMBER(SEARCH(Assumptions!$C$7,D2376)),Assumptions!$D$7,"Other Services"))),"Other Services"))</f>
        <v/>
      </c>
    </row>
    <row r="2377" customFormat="false" ht="15" hidden="false" customHeight="false" outlineLevel="0" collapsed="false">
      <c r="J2377" s="41" t="str">
        <f aca="false">IF(D2377="","",IFERROR(IF(ISNUMBER(SEARCH(Assumptions!$C$5,D2377)),Assumptions!$D$5,IF(ISNUMBER(SEARCH(Assumptions!$C$6,D2377)),Assumptions!$D$6,IF(ISNUMBER(SEARCH(Assumptions!$C$7,D2377)),Assumptions!$D$7,"Other Services"))),"Other Services"))</f>
        <v/>
      </c>
    </row>
    <row r="2378" customFormat="false" ht="15" hidden="false" customHeight="false" outlineLevel="0" collapsed="false">
      <c r="J2378" s="41" t="str">
        <f aca="false">IF(D2378="","",IFERROR(IF(ISNUMBER(SEARCH(Assumptions!$C$5,D2378)),Assumptions!$D$5,IF(ISNUMBER(SEARCH(Assumptions!$C$6,D2378)),Assumptions!$D$6,IF(ISNUMBER(SEARCH(Assumptions!$C$7,D2378)),Assumptions!$D$7,"Other Services"))),"Other Services"))</f>
        <v/>
      </c>
    </row>
    <row r="2379" customFormat="false" ht="15" hidden="false" customHeight="false" outlineLevel="0" collapsed="false">
      <c r="J2379" s="41" t="str">
        <f aca="false">IF(D2379="","",IFERROR(IF(ISNUMBER(SEARCH(Assumptions!$C$5,D2379)),Assumptions!$D$5,IF(ISNUMBER(SEARCH(Assumptions!$C$6,D2379)),Assumptions!$D$6,IF(ISNUMBER(SEARCH(Assumptions!$C$7,D2379)),Assumptions!$D$7,"Other Services"))),"Other Services"))</f>
        <v/>
      </c>
    </row>
    <row r="2380" customFormat="false" ht="15" hidden="false" customHeight="false" outlineLevel="0" collapsed="false">
      <c r="J2380" s="41" t="str">
        <f aca="false">IF(D2380="","",IFERROR(IF(ISNUMBER(SEARCH(Assumptions!$C$5,D2380)),Assumptions!$D$5,IF(ISNUMBER(SEARCH(Assumptions!$C$6,D2380)),Assumptions!$D$6,IF(ISNUMBER(SEARCH(Assumptions!$C$7,D2380)),Assumptions!$D$7,"Other Services"))),"Other Services"))</f>
        <v/>
      </c>
    </row>
    <row r="2381" customFormat="false" ht="15" hidden="false" customHeight="false" outlineLevel="0" collapsed="false">
      <c r="J2381" s="41" t="str">
        <f aca="false">IF(D2381="","",IFERROR(IF(ISNUMBER(SEARCH(Assumptions!$C$5,D2381)),Assumptions!$D$5,IF(ISNUMBER(SEARCH(Assumptions!$C$6,D2381)),Assumptions!$D$6,IF(ISNUMBER(SEARCH(Assumptions!$C$7,D2381)),Assumptions!$D$7,"Other Services"))),"Other Services"))</f>
        <v/>
      </c>
    </row>
    <row r="2382" customFormat="false" ht="15" hidden="false" customHeight="false" outlineLevel="0" collapsed="false">
      <c r="J2382" s="41" t="str">
        <f aca="false">IF(D2382="","",IFERROR(IF(ISNUMBER(SEARCH(Assumptions!$C$5,D2382)),Assumptions!$D$5,IF(ISNUMBER(SEARCH(Assumptions!$C$6,D2382)),Assumptions!$D$6,IF(ISNUMBER(SEARCH(Assumptions!$C$7,D2382)),Assumptions!$D$7,"Other Services"))),"Other Services"))</f>
        <v/>
      </c>
    </row>
    <row r="2383" customFormat="false" ht="15" hidden="false" customHeight="false" outlineLevel="0" collapsed="false">
      <c r="J2383" s="41" t="str">
        <f aca="false">IF(D2383="","",IFERROR(IF(ISNUMBER(SEARCH(Assumptions!$C$5,D2383)),Assumptions!$D$5,IF(ISNUMBER(SEARCH(Assumptions!$C$6,D2383)),Assumptions!$D$6,IF(ISNUMBER(SEARCH(Assumptions!$C$7,D2383)),Assumptions!$D$7,"Other Services"))),"Other Services"))</f>
        <v/>
      </c>
    </row>
    <row r="2384" customFormat="false" ht="15" hidden="false" customHeight="false" outlineLevel="0" collapsed="false">
      <c r="J2384" s="41" t="str">
        <f aca="false">IF(D2384="","",IFERROR(IF(ISNUMBER(SEARCH(Assumptions!$C$5,D2384)),Assumptions!$D$5,IF(ISNUMBER(SEARCH(Assumptions!$C$6,D2384)),Assumptions!$D$6,IF(ISNUMBER(SEARCH(Assumptions!$C$7,D2384)),Assumptions!$D$7,"Other Services"))),"Other Services"))</f>
        <v/>
      </c>
    </row>
    <row r="2385" customFormat="false" ht="15" hidden="false" customHeight="false" outlineLevel="0" collapsed="false">
      <c r="J2385" s="41" t="str">
        <f aca="false">IF(D2385="","",IFERROR(IF(ISNUMBER(SEARCH(Assumptions!$C$5,D2385)),Assumptions!$D$5,IF(ISNUMBER(SEARCH(Assumptions!$C$6,D2385)),Assumptions!$D$6,IF(ISNUMBER(SEARCH(Assumptions!$C$7,D2385)),Assumptions!$D$7,"Other Services"))),"Other Services"))</f>
        <v/>
      </c>
    </row>
    <row r="2386" customFormat="false" ht="15" hidden="false" customHeight="false" outlineLevel="0" collapsed="false">
      <c r="J2386" s="41" t="str">
        <f aca="false">IF(D2386="","",IFERROR(IF(ISNUMBER(SEARCH(Assumptions!$C$5,D2386)),Assumptions!$D$5,IF(ISNUMBER(SEARCH(Assumptions!$C$6,D2386)),Assumptions!$D$6,IF(ISNUMBER(SEARCH(Assumptions!$C$7,D2386)),Assumptions!$D$7,"Other Services"))),"Other Services"))</f>
        <v/>
      </c>
    </row>
    <row r="2387" customFormat="false" ht="15" hidden="false" customHeight="false" outlineLevel="0" collapsed="false">
      <c r="J2387" s="41" t="str">
        <f aca="false">IF(D2387="","",IFERROR(IF(ISNUMBER(SEARCH(Assumptions!$C$5,D2387)),Assumptions!$D$5,IF(ISNUMBER(SEARCH(Assumptions!$C$6,D2387)),Assumptions!$D$6,IF(ISNUMBER(SEARCH(Assumptions!$C$7,D2387)),Assumptions!$D$7,"Other Services"))),"Other Services"))</f>
        <v/>
      </c>
    </row>
    <row r="2388" customFormat="false" ht="15" hidden="false" customHeight="false" outlineLevel="0" collapsed="false">
      <c r="J2388" s="41" t="str">
        <f aca="false">IF(D2388="","",IFERROR(IF(ISNUMBER(SEARCH(Assumptions!$C$5,D2388)),Assumptions!$D$5,IF(ISNUMBER(SEARCH(Assumptions!$C$6,D2388)),Assumptions!$D$6,IF(ISNUMBER(SEARCH(Assumptions!$C$7,D2388)),Assumptions!$D$7,"Other Services"))),"Other Services"))</f>
        <v/>
      </c>
    </row>
    <row r="2389" customFormat="false" ht="15" hidden="false" customHeight="false" outlineLevel="0" collapsed="false">
      <c r="J2389" s="41" t="str">
        <f aca="false">IF(D2389="","",IFERROR(IF(ISNUMBER(SEARCH(Assumptions!$C$5,D2389)),Assumptions!$D$5,IF(ISNUMBER(SEARCH(Assumptions!$C$6,D2389)),Assumptions!$D$6,IF(ISNUMBER(SEARCH(Assumptions!$C$7,D2389)),Assumptions!$D$7,"Other Services"))),"Other Services"))</f>
        <v/>
      </c>
    </row>
    <row r="2390" customFormat="false" ht="15" hidden="false" customHeight="false" outlineLevel="0" collapsed="false">
      <c r="J2390" s="41" t="str">
        <f aca="false">IF(D2390="","",IFERROR(IF(ISNUMBER(SEARCH(Assumptions!$C$5,D2390)),Assumptions!$D$5,IF(ISNUMBER(SEARCH(Assumptions!$C$6,D2390)),Assumptions!$D$6,IF(ISNUMBER(SEARCH(Assumptions!$C$7,D2390)),Assumptions!$D$7,"Other Services"))),"Other Services"))</f>
        <v/>
      </c>
    </row>
    <row r="2391" customFormat="false" ht="15" hidden="false" customHeight="false" outlineLevel="0" collapsed="false">
      <c r="J2391" s="41" t="str">
        <f aca="false">IF(D2391="","",IFERROR(IF(ISNUMBER(SEARCH(Assumptions!$C$5,D2391)),Assumptions!$D$5,IF(ISNUMBER(SEARCH(Assumptions!$C$6,D2391)),Assumptions!$D$6,IF(ISNUMBER(SEARCH(Assumptions!$C$7,D2391)),Assumptions!$D$7,"Other Services"))),"Other Services"))</f>
        <v/>
      </c>
    </row>
    <row r="2392" customFormat="false" ht="15" hidden="false" customHeight="false" outlineLevel="0" collapsed="false">
      <c r="J2392" s="41" t="str">
        <f aca="false">IF(D2392="","",IFERROR(IF(ISNUMBER(SEARCH(Assumptions!$C$5,D2392)),Assumptions!$D$5,IF(ISNUMBER(SEARCH(Assumptions!$C$6,D2392)),Assumptions!$D$6,IF(ISNUMBER(SEARCH(Assumptions!$C$7,D2392)),Assumptions!$D$7,"Other Services"))),"Other Services"))</f>
        <v/>
      </c>
    </row>
    <row r="2393" customFormat="false" ht="15" hidden="false" customHeight="false" outlineLevel="0" collapsed="false">
      <c r="J2393" s="41" t="str">
        <f aca="false">IF(D2393="","",IFERROR(IF(ISNUMBER(SEARCH(Assumptions!$C$5,D2393)),Assumptions!$D$5,IF(ISNUMBER(SEARCH(Assumptions!$C$6,D2393)),Assumptions!$D$6,IF(ISNUMBER(SEARCH(Assumptions!$C$7,D2393)),Assumptions!$D$7,"Other Services"))),"Other Services"))</f>
        <v/>
      </c>
    </row>
    <row r="2394" customFormat="false" ht="15" hidden="false" customHeight="false" outlineLevel="0" collapsed="false">
      <c r="J2394" s="41" t="str">
        <f aca="false">IF(D2394="","",IFERROR(IF(ISNUMBER(SEARCH(Assumptions!$C$5,D2394)),Assumptions!$D$5,IF(ISNUMBER(SEARCH(Assumptions!$C$6,D2394)),Assumptions!$D$6,IF(ISNUMBER(SEARCH(Assumptions!$C$7,D2394)),Assumptions!$D$7,"Other Services"))),"Other Services"))</f>
        <v/>
      </c>
    </row>
    <row r="2395" customFormat="false" ht="15" hidden="false" customHeight="false" outlineLevel="0" collapsed="false">
      <c r="J2395" s="41" t="str">
        <f aca="false">IF(D2395="","",IFERROR(IF(ISNUMBER(SEARCH(Assumptions!$C$5,D2395)),Assumptions!$D$5,IF(ISNUMBER(SEARCH(Assumptions!$C$6,D2395)),Assumptions!$D$6,IF(ISNUMBER(SEARCH(Assumptions!$C$7,D2395)),Assumptions!$D$7,"Other Services"))),"Other Services"))</f>
        <v/>
      </c>
    </row>
    <row r="2396" customFormat="false" ht="15" hidden="false" customHeight="false" outlineLevel="0" collapsed="false">
      <c r="J2396" s="41" t="str">
        <f aca="false">IF(D2396="","",IFERROR(IF(ISNUMBER(SEARCH(Assumptions!$C$5,D2396)),Assumptions!$D$5,IF(ISNUMBER(SEARCH(Assumptions!$C$6,D2396)),Assumptions!$D$6,IF(ISNUMBER(SEARCH(Assumptions!$C$7,D2396)),Assumptions!$D$7,"Other Services"))),"Other Services"))</f>
        <v/>
      </c>
    </row>
    <row r="2397" customFormat="false" ht="15" hidden="false" customHeight="false" outlineLevel="0" collapsed="false">
      <c r="J2397" s="41" t="str">
        <f aca="false">IF(D2397="","",IFERROR(IF(ISNUMBER(SEARCH(Assumptions!$C$5,D2397)),Assumptions!$D$5,IF(ISNUMBER(SEARCH(Assumptions!$C$6,D2397)),Assumptions!$D$6,IF(ISNUMBER(SEARCH(Assumptions!$C$7,D2397)),Assumptions!$D$7,"Other Services"))),"Other Services"))</f>
        <v/>
      </c>
    </row>
    <row r="2398" customFormat="false" ht="15" hidden="false" customHeight="false" outlineLevel="0" collapsed="false">
      <c r="J2398" s="41" t="str">
        <f aca="false">IF(D2398="","",IFERROR(IF(ISNUMBER(SEARCH(Assumptions!$C$5,D2398)),Assumptions!$D$5,IF(ISNUMBER(SEARCH(Assumptions!$C$6,D2398)),Assumptions!$D$6,IF(ISNUMBER(SEARCH(Assumptions!$C$7,D2398)),Assumptions!$D$7,"Other Services"))),"Other Services"))</f>
        <v/>
      </c>
    </row>
    <row r="2399" customFormat="false" ht="15" hidden="false" customHeight="false" outlineLevel="0" collapsed="false">
      <c r="J2399" s="41" t="str">
        <f aca="false">IF(D2399="","",IFERROR(IF(ISNUMBER(SEARCH(Assumptions!$C$5,D2399)),Assumptions!$D$5,IF(ISNUMBER(SEARCH(Assumptions!$C$6,D2399)),Assumptions!$D$6,IF(ISNUMBER(SEARCH(Assumptions!$C$7,D2399)),Assumptions!$D$7,"Other Services"))),"Other Services"))</f>
        <v/>
      </c>
    </row>
    <row r="2400" customFormat="false" ht="15" hidden="false" customHeight="false" outlineLevel="0" collapsed="false">
      <c r="J2400" s="41" t="str">
        <f aca="false">IF(D2400="","",IFERROR(IF(ISNUMBER(SEARCH(Assumptions!$C$5,D2400)),Assumptions!$D$5,IF(ISNUMBER(SEARCH(Assumptions!$C$6,D2400)),Assumptions!$D$6,IF(ISNUMBER(SEARCH(Assumptions!$C$7,D2400)),Assumptions!$D$7,"Other Services"))),"Other Services"))</f>
        <v/>
      </c>
    </row>
    <row r="2401" customFormat="false" ht="15" hidden="false" customHeight="false" outlineLevel="0" collapsed="false">
      <c r="J2401" s="41" t="str">
        <f aca="false">IF(D2401="","",IFERROR(IF(ISNUMBER(SEARCH(Assumptions!$C$5,D2401)),Assumptions!$D$5,IF(ISNUMBER(SEARCH(Assumptions!$C$6,D2401)),Assumptions!$D$6,IF(ISNUMBER(SEARCH(Assumptions!$C$7,D2401)),Assumptions!$D$7,"Other Services"))),"Other Services"))</f>
        <v/>
      </c>
    </row>
    <row r="2402" customFormat="false" ht="15" hidden="false" customHeight="false" outlineLevel="0" collapsed="false">
      <c r="J2402" s="41" t="str">
        <f aca="false">IF(D2402="","",IFERROR(IF(ISNUMBER(SEARCH(Assumptions!$C$5,D2402)),Assumptions!$D$5,IF(ISNUMBER(SEARCH(Assumptions!$C$6,D2402)),Assumptions!$D$6,IF(ISNUMBER(SEARCH(Assumptions!$C$7,D2402)),Assumptions!$D$7,"Other Services"))),"Other Services"))</f>
        <v/>
      </c>
    </row>
    <row r="2403" customFormat="false" ht="15" hidden="false" customHeight="false" outlineLevel="0" collapsed="false">
      <c r="J2403" s="41" t="str">
        <f aca="false">IF(D2403="","",IFERROR(IF(ISNUMBER(SEARCH(Assumptions!$C$5,D2403)),Assumptions!$D$5,IF(ISNUMBER(SEARCH(Assumptions!$C$6,D2403)),Assumptions!$D$6,IF(ISNUMBER(SEARCH(Assumptions!$C$7,D2403)),Assumptions!$D$7,"Other Services"))),"Other Services"))</f>
        <v/>
      </c>
    </row>
    <row r="2404" customFormat="false" ht="15" hidden="false" customHeight="false" outlineLevel="0" collapsed="false">
      <c r="J2404" s="41" t="str">
        <f aca="false">IF(D2404="","",IFERROR(IF(ISNUMBER(SEARCH(Assumptions!$C$5,D2404)),Assumptions!$D$5,IF(ISNUMBER(SEARCH(Assumptions!$C$6,D2404)),Assumptions!$D$6,IF(ISNUMBER(SEARCH(Assumptions!$C$7,D2404)),Assumptions!$D$7,"Other Services"))),"Other Services"))</f>
        <v/>
      </c>
    </row>
    <row r="2405" customFormat="false" ht="15" hidden="false" customHeight="false" outlineLevel="0" collapsed="false">
      <c r="J2405" s="41" t="str">
        <f aca="false">IF(D2405="","",IFERROR(IF(ISNUMBER(SEARCH(Assumptions!$C$5,D2405)),Assumptions!$D$5,IF(ISNUMBER(SEARCH(Assumptions!$C$6,D2405)),Assumptions!$D$6,IF(ISNUMBER(SEARCH(Assumptions!$C$7,D2405)),Assumptions!$D$7,"Other Services"))),"Other Services"))</f>
        <v/>
      </c>
    </row>
    <row r="2406" customFormat="false" ht="15" hidden="false" customHeight="false" outlineLevel="0" collapsed="false">
      <c r="J2406" s="41" t="str">
        <f aca="false">IF(D2406="","",IFERROR(IF(ISNUMBER(SEARCH(Assumptions!$C$5,D2406)),Assumptions!$D$5,IF(ISNUMBER(SEARCH(Assumptions!$C$6,D2406)),Assumptions!$D$6,IF(ISNUMBER(SEARCH(Assumptions!$C$7,D2406)),Assumptions!$D$7,"Other Services"))),"Other Services"))</f>
        <v/>
      </c>
    </row>
    <row r="2407" customFormat="false" ht="15" hidden="false" customHeight="false" outlineLevel="0" collapsed="false">
      <c r="J2407" s="41" t="str">
        <f aca="false">IF(D2407="","",IFERROR(IF(ISNUMBER(SEARCH(Assumptions!$C$5,D2407)),Assumptions!$D$5,IF(ISNUMBER(SEARCH(Assumptions!$C$6,D2407)),Assumptions!$D$6,IF(ISNUMBER(SEARCH(Assumptions!$C$7,D2407)),Assumptions!$D$7,"Other Services"))),"Other Services"))</f>
        <v/>
      </c>
    </row>
    <row r="2408" customFormat="false" ht="15" hidden="false" customHeight="false" outlineLevel="0" collapsed="false">
      <c r="J2408" s="41" t="str">
        <f aca="false">IF(D2408="","",IFERROR(IF(ISNUMBER(SEARCH(Assumptions!$C$5,D2408)),Assumptions!$D$5,IF(ISNUMBER(SEARCH(Assumptions!$C$6,D2408)),Assumptions!$D$6,IF(ISNUMBER(SEARCH(Assumptions!$C$7,D2408)),Assumptions!$D$7,"Other Services"))),"Other Services"))</f>
        <v/>
      </c>
    </row>
    <row r="2409" customFormat="false" ht="15" hidden="false" customHeight="false" outlineLevel="0" collapsed="false">
      <c r="J2409" s="41" t="str">
        <f aca="false">IF(D2409="","",IFERROR(IF(ISNUMBER(SEARCH(Assumptions!$C$5,D2409)),Assumptions!$D$5,IF(ISNUMBER(SEARCH(Assumptions!$C$6,D2409)),Assumptions!$D$6,IF(ISNUMBER(SEARCH(Assumptions!$C$7,D2409)),Assumptions!$D$7,"Other Services"))),"Other Services"))</f>
        <v/>
      </c>
    </row>
    <row r="2410" customFormat="false" ht="15" hidden="false" customHeight="false" outlineLevel="0" collapsed="false">
      <c r="J2410" s="41" t="str">
        <f aca="false">IF(D2410="","",IFERROR(IF(ISNUMBER(SEARCH(Assumptions!$C$5,D2410)),Assumptions!$D$5,IF(ISNUMBER(SEARCH(Assumptions!$C$6,D2410)),Assumptions!$D$6,IF(ISNUMBER(SEARCH(Assumptions!$C$7,D2410)),Assumptions!$D$7,"Other Services"))),"Other Services"))</f>
        <v/>
      </c>
    </row>
    <row r="2411" customFormat="false" ht="15" hidden="false" customHeight="false" outlineLevel="0" collapsed="false">
      <c r="J2411" s="41" t="str">
        <f aca="false">IF(D2411="","",IFERROR(IF(ISNUMBER(SEARCH(Assumptions!$C$5,D2411)),Assumptions!$D$5,IF(ISNUMBER(SEARCH(Assumptions!$C$6,D2411)),Assumptions!$D$6,IF(ISNUMBER(SEARCH(Assumptions!$C$7,D2411)),Assumptions!$D$7,"Other Services"))),"Other Services"))</f>
        <v/>
      </c>
    </row>
    <row r="2412" customFormat="false" ht="15" hidden="false" customHeight="false" outlineLevel="0" collapsed="false">
      <c r="J2412" s="41" t="str">
        <f aca="false">IF(D2412="","",IFERROR(IF(ISNUMBER(SEARCH(Assumptions!$C$5,D2412)),Assumptions!$D$5,IF(ISNUMBER(SEARCH(Assumptions!$C$6,D2412)),Assumptions!$D$6,IF(ISNUMBER(SEARCH(Assumptions!$C$7,D2412)),Assumptions!$D$7,"Other Services"))),"Other Services"))</f>
        <v/>
      </c>
    </row>
    <row r="2413" customFormat="false" ht="15" hidden="false" customHeight="false" outlineLevel="0" collapsed="false">
      <c r="J2413" s="41" t="str">
        <f aca="false">IF(D2413="","",IFERROR(IF(ISNUMBER(SEARCH(Assumptions!$C$5,D2413)),Assumptions!$D$5,IF(ISNUMBER(SEARCH(Assumptions!$C$6,D2413)),Assumptions!$D$6,IF(ISNUMBER(SEARCH(Assumptions!$C$7,D2413)),Assumptions!$D$7,"Other Services"))),"Other Services"))</f>
        <v/>
      </c>
    </row>
    <row r="2414" customFormat="false" ht="15" hidden="false" customHeight="false" outlineLevel="0" collapsed="false">
      <c r="J2414" s="41" t="str">
        <f aca="false">IF(D2414="","",IFERROR(IF(ISNUMBER(SEARCH(Assumptions!$C$5,D2414)),Assumptions!$D$5,IF(ISNUMBER(SEARCH(Assumptions!$C$6,D2414)),Assumptions!$D$6,IF(ISNUMBER(SEARCH(Assumptions!$C$7,D2414)),Assumptions!$D$7,"Other Services"))),"Other Services"))</f>
        <v/>
      </c>
    </row>
    <row r="2415" customFormat="false" ht="15" hidden="false" customHeight="false" outlineLevel="0" collapsed="false">
      <c r="J2415" s="41" t="str">
        <f aca="false">IF(D2415="","",IFERROR(IF(ISNUMBER(SEARCH(Assumptions!$C$5,D2415)),Assumptions!$D$5,IF(ISNUMBER(SEARCH(Assumptions!$C$6,D2415)),Assumptions!$D$6,IF(ISNUMBER(SEARCH(Assumptions!$C$7,D2415)),Assumptions!$D$7,"Other Services"))),"Other Services"))</f>
        <v/>
      </c>
    </row>
    <row r="2416" customFormat="false" ht="15" hidden="false" customHeight="false" outlineLevel="0" collapsed="false">
      <c r="J2416" s="41" t="str">
        <f aca="false">IF(D2416="","",IFERROR(IF(ISNUMBER(SEARCH(Assumptions!$C$5,D2416)),Assumptions!$D$5,IF(ISNUMBER(SEARCH(Assumptions!$C$6,D2416)),Assumptions!$D$6,IF(ISNUMBER(SEARCH(Assumptions!$C$7,D2416)),Assumptions!$D$7,"Other Services"))),"Other Services"))</f>
        <v/>
      </c>
    </row>
    <row r="2417" customFormat="false" ht="15" hidden="false" customHeight="false" outlineLevel="0" collapsed="false">
      <c r="J2417" s="41" t="str">
        <f aca="false">IF(D2417="","",IFERROR(IF(ISNUMBER(SEARCH(Assumptions!$C$5,D2417)),Assumptions!$D$5,IF(ISNUMBER(SEARCH(Assumptions!$C$6,D2417)),Assumptions!$D$6,IF(ISNUMBER(SEARCH(Assumptions!$C$7,D2417)),Assumptions!$D$7,"Other Services"))),"Other Services"))</f>
        <v/>
      </c>
    </row>
    <row r="2418" customFormat="false" ht="15" hidden="false" customHeight="false" outlineLevel="0" collapsed="false">
      <c r="J2418" s="41" t="str">
        <f aca="false">IF(D2418="","",IFERROR(IF(ISNUMBER(SEARCH(Assumptions!$C$5,D2418)),Assumptions!$D$5,IF(ISNUMBER(SEARCH(Assumptions!$C$6,D2418)),Assumptions!$D$6,IF(ISNUMBER(SEARCH(Assumptions!$C$7,D2418)),Assumptions!$D$7,"Other Services"))),"Other Services"))</f>
        <v/>
      </c>
    </row>
    <row r="2419" customFormat="false" ht="15" hidden="false" customHeight="false" outlineLevel="0" collapsed="false">
      <c r="J2419" s="41" t="str">
        <f aca="false">IF(D2419="","",IFERROR(IF(ISNUMBER(SEARCH(Assumptions!$C$5,D2419)),Assumptions!$D$5,IF(ISNUMBER(SEARCH(Assumptions!$C$6,D2419)),Assumptions!$D$6,IF(ISNUMBER(SEARCH(Assumptions!$C$7,D2419)),Assumptions!$D$7,"Other Services"))),"Other Services"))</f>
        <v/>
      </c>
    </row>
    <row r="2420" customFormat="false" ht="15" hidden="false" customHeight="false" outlineLevel="0" collapsed="false">
      <c r="J2420" s="41" t="str">
        <f aca="false">IF(D2420="","",IFERROR(IF(ISNUMBER(SEARCH(Assumptions!$C$5,D2420)),Assumptions!$D$5,IF(ISNUMBER(SEARCH(Assumptions!$C$6,D2420)),Assumptions!$D$6,IF(ISNUMBER(SEARCH(Assumptions!$C$7,D2420)),Assumptions!$D$7,"Other Services"))),"Other Services"))</f>
        <v/>
      </c>
    </row>
    <row r="2421" customFormat="false" ht="15" hidden="false" customHeight="false" outlineLevel="0" collapsed="false">
      <c r="J2421" s="41" t="str">
        <f aca="false">IF(D2421="","",IFERROR(IF(ISNUMBER(SEARCH(Assumptions!$C$5,D2421)),Assumptions!$D$5,IF(ISNUMBER(SEARCH(Assumptions!$C$6,D2421)),Assumptions!$D$6,IF(ISNUMBER(SEARCH(Assumptions!$C$7,D2421)),Assumptions!$D$7,"Other Services"))),"Other Services"))</f>
        <v/>
      </c>
    </row>
    <row r="2422" customFormat="false" ht="15" hidden="false" customHeight="false" outlineLevel="0" collapsed="false">
      <c r="J2422" s="41" t="str">
        <f aca="false">IF(D2422="","",IFERROR(IF(ISNUMBER(SEARCH(Assumptions!$C$5,D2422)),Assumptions!$D$5,IF(ISNUMBER(SEARCH(Assumptions!$C$6,D2422)),Assumptions!$D$6,IF(ISNUMBER(SEARCH(Assumptions!$C$7,D2422)),Assumptions!$D$7,"Other Services"))),"Other Services"))</f>
        <v/>
      </c>
    </row>
    <row r="2423" customFormat="false" ht="15" hidden="false" customHeight="false" outlineLevel="0" collapsed="false">
      <c r="J2423" s="41" t="str">
        <f aca="false">IF(D2423="","",IFERROR(IF(ISNUMBER(SEARCH(Assumptions!$C$5,D2423)),Assumptions!$D$5,IF(ISNUMBER(SEARCH(Assumptions!$C$6,D2423)),Assumptions!$D$6,IF(ISNUMBER(SEARCH(Assumptions!$C$7,D2423)),Assumptions!$D$7,"Other Services"))),"Other Services"))</f>
        <v/>
      </c>
    </row>
    <row r="2424" customFormat="false" ht="15" hidden="false" customHeight="false" outlineLevel="0" collapsed="false">
      <c r="J2424" s="41" t="str">
        <f aca="false">IF(D2424="","",IFERROR(IF(ISNUMBER(SEARCH(Assumptions!$C$5,D2424)),Assumptions!$D$5,IF(ISNUMBER(SEARCH(Assumptions!$C$6,D2424)),Assumptions!$D$6,IF(ISNUMBER(SEARCH(Assumptions!$C$7,D2424)),Assumptions!$D$7,"Other Services"))),"Other Services"))</f>
        <v/>
      </c>
    </row>
    <row r="2425" customFormat="false" ht="15" hidden="false" customHeight="false" outlineLevel="0" collapsed="false">
      <c r="J2425" s="41" t="str">
        <f aca="false">IF(D2425="","",IFERROR(IF(ISNUMBER(SEARCH(Assumptions!$C$5,D2425)),Assumptions!$D$5,IF(ISNUMBER(SEARCH(Assumptions!$C$6,D2425)),Assumptions!$D$6,IF(ISNUMBER(SEARCH(Assumptions!$C$7,D2425)),Assumptions!$D$7,"Other Services"))),"Other Services"))</f>
        <v/>
      </c>
    </row>
    <row r="2426" customFormat="false" ht="15" hidden="false" customHeight="false" outlineLevel="0" collapsed="false">
      <c r="J2426" s="41" t="str">
        <f aca="false">IF(D2426="","",IFERROR(IF(ISNUMBER(SEARCH(Assumptions!$C$5,D2426)),Assumptions!$D$5,IF(ISNUMBER(SEARCH(Assumptions!$C$6,D2426)),Assumptions!$D$6,IF(ISNUMBER(SEARCH(Assumptions!$C$7,D2426)),Assumptions!$D$7,"Other Services"))),"Other Services"))</f>
        <v/>
      </c>
    </row>
    <row r="2427" customFormat="false" ht="15" hidden="false" customHeight="false" outlineLevel="0" collapsed="false">
      <c r="J2427" s="41" t="str">
        <f aca="false">IF(D2427="","",IFERROR(IF(ISNUMBER(SEARCH(Assumptions!$C$5,D2427)),Assumptions!$D$5,IF(ISNUMBER(SEARCH(Assumptions!$C$6,D2427)),Assumptions!$D$6,IF(ISNUMBER(SEARCH(Assumptions!$C$7,D2427)),Assumptions!$D$7,"Other Services"))),"Other Services"))</f>
        <v/>
      </c>
    </row>
    <row r="2428" customFormat="false" ht="15" hidden="false" customHeight="false" outlineLevel="0" collapsed="false">
      <c r="J2428" s="41" t="str">
        <f aca="false">IF(D2428="","",IFERROR(IF(ISNUMBER(SEARCH(Assumptions!$C$5,D2428)),Assumptions!$D$5,IF(ISNUMBER(SEARCH(Assumptions!$C$6,D2428)),Assumptions!$D$6,IF(ISNUMBER(SEARCH(Assumptions!$C$7,D2428)),Assumptions!$D$7,"Other Services"))),"Other Services"))</f>
        <v/>
      </c>
    </row>
    <row r="2429" customFormat="false" ht="15" hidden="false" customHeight="false" outlineLevel="0" collapsed="false">
      <c r="J2429" s="41" t="str">
        <f aca="false">IF(D2429="","",IFERROR(IF(ISNUMBER(SEARCH(Assumptions!$C$5,D2429)),Assumptions!$D$5,IF(ISNUMBER(SEARCH(Assumptions!$C$6,D2429)),Assumptions!$D$6,IF(ISNUMBER(SEARCH(Assumptions!$C$7,D2429)),Assumptions!$D$7,"Other Services"))),"Other Services"))</f>
        <v/>
      </c>
    </row>
    <row r="2430" customFormat="false" ht="15" hidden="false" customHeight="false" outlineLevel="0" collapsed="false">
      <c r="J2430" s="41" t="str">
        <f aca="false">IF(D2430="","",IFERROR(IF(ISNUMBER(SEARCH(Assumptions!$C$5,D2430)),Assumptions!$D$5,IF(ISNUMBER(SEARCH(Assumptions!$C$6,D2430)),Assumptions!$D$6,IF(ISNUMBER(SEARCH(Assumptions!$C$7,D2430)),Assumptions!$D$7,"Other Services"))),"Other Services"))</f>
        <v/>
      </c>
    </row>
    <row r="2431" customFormat="false" ht="15" hidden="false" customHeight="false" outlineLevel="0" collapsed="false">
      <c r="J2431" s="41" t="str">
        <f aca="false">IF(D2431="","",IFERROR(IF(ISNUMBER(SEARCH(Assumptions!$C$5,D2431)),Assumptions!$D$5,IF(ISNUMBER(SEARCH(Assumptions!$C$6,D2431)),Assumptions!$D$6,IF(ISNUMBER(SEARCH(Assumptions!$C$7,D2431)),Assumptions!$D$7,"Other Services"))),"Other Services"))</f>
        <v/>
      </c>
    </row>
    <row r="2432" customFormat="false" ht="15" hidden="false" customHeight="false" outlineLevel="0" collapsed="false">
      <c r="J2432" s="41" t="str">
        <f aca="false">IF(D2432="","",IFERROR(IF(ISNUMBER(SEARCH(Assumptions!$C$5,D2432)),Assumptions!$D$5,IF(ISNUMBER(SEARCH(Assumptions!$C$6,D2432)),Assumptions!$D$6,IF(ISNUMBER(SEARCH(Assumptions!$C$7,D2432)),Assumptions!$D$7,"Other Services"))),"Other Services"))</f>
        <v/>
      </c>
    </row>
    <row r="2433" customFormat="false" ht="15" hidden="false" customHeight="false" outlineLevel="0" collapsed="false">
      <c r="J2433" s="41" t="str">
        <f aca="false">IF(D2433="","",IFERROR(IF(ISNUMBER(SEARCH(Assumptions!$C$5,D2433)),Assumptions!$D$5,IF(ISNUMBER(SEARCH(Assumptions!$C$6,D2433)),Assumptions!$D$6,IF(ISNUMBER(SEARCH(Assumptions!$C$7,D2433)),Assumptions!$D$7,"Other Services"))),"Other Services"))</f>
        <v/>
      </c>
    </row>
    <row r="2434" customFormat="false" ht="15" hidden="false" customHeight="false" outlineLevel="0" collapsed="false">
      <c r="J2434" s="41" t="str">
        <f aca="false">IF(D2434="","",IFERROR(IF(ISNUMBER(SEARCH(Assumptions!$C$5,D2434)),Assumptions!$D$5,IF(ISNUMBER(SEARCH(Assumptions!$C$6,D2434)),Assumptions!$D$6,IF(ISNUMBER(SEARCH(Assumptions!$C$7,D2434)),Assumptions!$D$7,"Other Services"))),"Other Services"))</f>
        <v/>
      </c>
    </row>
    <row r="2435" customFormat="false" ht="15" hidden="false" customHeight="false" outlineLevel="0" collapsed="false">
      <c r="J2435" s="41" t="str">
        <f aca="false">IF(D2435="","",IFERROR(IF(ISNUMBER(SEARCH(Assumptions!$C$5,D2435)),Assumptions!$D$5,IF(ISNUMBER(SEARCH(Assumptions!$C$6,D2435)),Assumptions!$D$6,IF(ISNUMBER(SEARCH(Assumptions!$C$7,D2435)),Assumptions!$D$7,"Other Services"))),"Other Services"))</f>
        <v/>
      </c>
    </row>
    <row r="2436" customFormat="false" ht="15" hidden="false" customHeight="false" outlineLevel="0" collapsed="false">
      <c r="J2436" s="41" t="str">
        <f aca="false">IF(D2436="","",IFERROR(IF(ISNUMBER(SEARCH(Assumptions!$C$5,D2436)),Assumptions!$D$5,IF(ISNUMBER(SEARCH(Assumptions!$C$6,D2436)),Assumptions!$D$6,IF(ISNUMBER(SEARCH(Assumptions!$C$7,D2436)),Assumptions!$D$7,"Other Services"))),"Other Services"))</f>
        <v/>
      </c>
    </row>
    <row r="2437" customFormat="false" ht="15" hidden="false" customHeight="false" outlineLevel="0" collapsed="false">
      <c r="J2437" s="41" t="str">
        <f aca="false">IF(D2437="","",IFERROR(IF(ISNUMBER(SEARCH(Assumptions!$C$5,D2437)),Assumptions!$D$5,IF(ISNUMBER(SEARCH(Assumptions!$C$6,D2437)),Assumptions!$D$6,IF(ISNUMBER(SEARCH(Assumptions!$C$7,D2437)),Assumptions!$D$7,"Other Services"))),"Other Services"))</f>
        <v/>
      </c>
    </row>
    <row r="2438" customFormat="false" ht="15" hidden="false" customHeight="false" outlineLevel="0" collapsed="false">
      <c r="J2438" s="41" t="str">
        <f aca="false">IF(D2438="","",IFERROR(IF(ISNUMBER(SEARCH(Assumptions!$C$5,D2438)),Assumptions!$D$5,IF(ISNUMBER(SEARCH(Assumptions!$C$6,D2438)),Assumptions!$D$6,IF(ISNUMBER(SEARCH(Assumptions!$C$7,D2438)),Assumptions!$D$7,"Other Services"))),"Other Services"))</f>
        <v/>
      </c>
    </row>
    <row r="2439" customFormat="false" ht="15" hidden="false" customHeight="false" outlineLevel="0" collapsed="false">
      <c r="J2439" s="41" t="str">
        <f aca="false">IF(D2439="","",IFERROR(IF(ISNUMBER(SEARCH(Assumptions!$C$5,D2439)),Assumptions!$D$5,IF(ISNUMBER(SEARCH(Assumptions!$C$6,D2439)),Assumptions!$D$6,IF(ISNUMBER(SEARCH(Assumptions!$C$7,D2439)),Assumptions!$D$7,"Other Services"))),"Other Services"))</f>
        <v/>
      </c>
    </row>
    <row r="2440" customFormat="false" ht="15" hidden="false" customHeight="false" outlineLevel="0" collapsed="false">
      <c r="J2440" s="41" t="str">
        <f aca="false">IF(D2440="","",IFERROR(IF(ISNUMBER(SEARCH(Assumptions!$C$5,D2440)),Assumptions!$D$5,IF(ISNUMBER(SEARCH(Assumptions!$C$6,D2440)),Assumptions!$D$6,IF(ISNUMBER(SEARCH(Assumptions!$C$7,D2440)),Assumptions!$D$7,"Other Services"))),"Other Services"))</f>
        <v/>
      </c>
    </row>
    <row r="2441" customFormat="false" ht="15" hidden="false" customHeight="false" outlineLevel="0" collapsed="false">
      <c r="J2441" s="41" t="str">
        <f aca="false">IF(D2441="","",IFERROR(IF(ISNUMBER(SEARCH(Assumptions!$C$5,D2441)),Assumptions!$D$5,IF(ISNUMBER(SEARCH(Assumptions!$C$6,D2441)),Assumptions!$D$6,IF(ISNUMBER(SEARCH(Assumptions!$C$7,D2441)),Assumptions!$D$7,"Other Services"))),"Other Services"))</f>
        <v/>
      </c>
    </row>
    <row r="2442" customFormat="false" ht="15" hidden="false" customHeight="false" outlineLevel="0" collapsed="false">
      <c r="J2442" s="41" t="str">
        <f aca="false">IF(D2442="","",IFERROR(IF(ISNUMBER(SEARCH(Assumptions!$C$5,D2442)),Assumptions!$D$5,IF(ISNUMBER(SEARCH(Assumptions!$C$6,D2442)),Assumptions!$D$6,IF(ISNUMBER(SEARCH(Assumptions!$C$7,D2442)),Assumptions!$D$7,"Other Services"))),"Other Services"))</f>
        <v/>
      </c>
    </row>
    <row r="2443" customFormat="false" ht="15" hidden="false" customHeight="false" outlineLevel="0" collapsed="false">
      <c r="J2443" s="41" t="str">
        <f aca="false">IF(D2443="","",IFERROR(IF(ISNUMBER(SEARCH(Assumptions!$C$5,D2443)),Assumptions!$D$5,IF(ISNUMBER(SEARCH(Assumptions!$C$6,D2443)),Assumptions!$D$6,IF(ISNUMBER(SEARCH(Assumptions!$C$7,D2443)),Assumptions!$D$7,"Other Services"))),"Other Services"))</f>
        <v/>
      </c>
    </row>
    <row r="2444" customFormat="false" ht="15" hidden="false" customHeight="false" outlineLevel="0" collapsed="false">
      <c r="J2444" s="41" t="str">
        <f aca="false">IF(D2444="","",IFERROR(IF(ISNUMBER(SEARCH(Assumptions!$C$5,D2444)),Assumptions!$D$5,IF(ISNUMBER(SEARCH(Assumptions!$C$6,D2444)),Assumptions!$D$6,IF(ISNUMBER(SEARCH(Assumptions!$C$7,D2444)),Assumptions!$D$7,"Other Services"))),"Other Services"))</f>
        <v/>
      </c>
    </row>
    <row r="2445" customFormat="false" ht="15" hidden="false" customHeight="false" outlineLevel="0" collapsed="false">
      <c r="J2445" s="41" t="str">
        <f aca="false">IF(D2445="","",IFERROR(IF(ISNUMBER(SEARCH(Assumptions!$C$5,D2445)),Assumptions!$D$5,IF(ISNUMBER(SEARCH(Assumptions!$C$6,D2445)),Assumptions!$D$6,IF(ISNUMBER(SEARCH(Assumptions!$C$7,D2445)),Assumptions!$D$7,"Other Services"))),"Other Services"))</f>
        <v/>
      </c>
    </row>
    <row r="2446" customFormat="false" ht="15" hidden="false" customHeight="false" outlineLevel="0" collapsed="false">
      <c r="J2446" s="41" t="str">
        <f aca="false">IF(D2446="","",IFERROR(IF(ISNUMBER(SEARCH(Assumptions!$C$5,D2446)),Assumptions!$D$5,IF(ISNUMBER(SEARCH(Assumptions!$C$6,D2446)),Assumptions!$D$6,IF(ISNUMBER(SEARCH(Assumptions!$C$7,D2446)),Assumptions!$D$7,"Other Services"))),"Other Services"))</f>
        <v/>
      </c>
    </row>
    <row r="2447" customFormat="false" ht="15" hidden="false" customHeight="false" outlineLevel="0" collapsed="false">
      <c r="J2447" s="41" t="str">
        <f aca="false">IF(D2447="","",IFERROR(IF(ISNUMBER(SEARCH(Assumptions!$C$5,D2447)),Assumptions!$D$5,IF(ISNUMBER(SEARCH(Assumptions!$C$6,D2447)),Assumptions!$D$6,IF(ISNUMBER(SEARCH(Assumptions!$C$7,D2447)),Assumptions!$D$7,"Other Services"))),"Other Services"))</f>
        <v/>
      </c>
    </row>
    <row r="2448" customFormat="false" ht="15" hidden="false" customHeight="false" outlineLevel="0" collapsed="false">
      <c r="J2448" s="41" t="str">
        <f aca="false">IF(D2448="","",IFERROR(IF(ISNUMBER(SEARCH(Assumptions!$C$5,D2448)),Assumptions!$D$5,IF(ISNUMBER(SEARCH(Assumptions!$C$6,D2448)),Assumptions!$D$6,IF(ISNUMBER(SEARCH(Assumptions!$C$7,D2448)),Assumptions!$D$7,"Other Services"))),"Other Services"))</f>
        <v/>
      </c>
    </row>
    <row r="2449" customFormat="false" ht="15" hidden="false" customHeight="false" outlineLevel="0" collapsed="false">
      <c r="J2449" s="41" t="str">
        <f aca="false">IF(D2449="","",IFERROR(IF(ISNUMBER(SEARCH(Assumptions!$C$5,D2449)),Assumptions!$D$5,IF(ISNUMBER(SEARCH(Assumptions!$C$6,D2449)),Assumptions!$D$6,IF(ISNUMBER(SEARCH(Assumptions!$C$7,D2449)),Assumptions!$D$7,"Other Services"))),"Other Services"))</f>
        <v/>
      </c>
    </row>
    <row r="2450" customFormat="false" ht="15" hidden="false" customHeight="false" outlineLevel="0" collapsed="false">
      <c r="J2450" s="41" t="str">
        <f aca="false">IF(D2450="","",IFERROR(IF(ISNUMBER(SEARCH(Assumptions!$C$5,D2450)),Assumptions!$D$5,IF(ISNUMBER(SEARCH(Assumptions!$C$6,D2450)),Assumptions!$D$6,IF(ISNUMBER(SEARCH(Assumptions!$C$7,D2450)),Assumptions!$D$7,"Other Services"))),"Other Services"))</f>
        <v/>
      </c>
    </row>
    <row r="2451" customFormat="false" ht="15" hidden="false" customHeight="false" outlineLevel="0" collapsed="false">
      <c r="J2451" s="41" t="str">
        <f aca="false">IF(D2451="","",IFERROR(IF(ISNUMBER(SEARCH(Assumptions!$C$5,D2451)),Assumptions!$D$5,IF(ISNUMBER(SEARCH(Assumptions!$C$6,D2451)),Assumptions!$D$6,IF(ISNUMBER(SEARCH(Assumptions!$C$7,D2451)),Assumptions!$D$7,"Other Services"))),"Other Services"))</f>
        <v/>
      </c>
    </row>
    <row r="2452" customFormat="false" ht="15" hidden="false" customHeight="false" outlineLevel="0" collapsed="false">
      <c r="J2452" s="41" t="str">
        <f aca="false">IF(D2452="","",IFERROR(IF(ISNUMBER(SEARCH(Assumptions!$C$5,D2452)),Assumptions!$D$5,IF(ISNUMBER(SEARCH(Assumptions!$C$6,D2452)),Assumptions!$D$6,IF(ISNUMBER(SEARCH(Assumptions!$C$7,D2452)),Assumptions!$D$7,"Other Services"))),"Other Services"))</f>
        <v/>
      </c>
    </row>
    <row r="2453" customFormat="false" ht="15" hidden="false" customHeight="false" outlineLevel="0" collapsed="false">
      <c r="J2453" s="41" t="str">
        <f aca="false">IF(D2453="","",IFERROR(IF(ISNUMBER(SEARCH(Assumptions!$C$5,D2453)),Assumptions!$D$5,IF(ISNUMBER(SEARCH(Assumptions!$C$6,D2453)),Assumptions!$D$6,IF(ISNUMBER(SEARCH(Assumptions!$C$7,D2453)),Assumptions!$D$7,"Other Services"))),"Other Services"))</f>
        <v/>
      </c>
    </row>
    <row r="2454" customFormat="false" ht="15" hidden="false" customHeight="false" outlineLevel="0" collapsed="false">
      <c r="J2454" s="41" t="str">
        <f aca="false">IF(D2454="","",IFERROR(IF(ISNUMBER(SEARCH(Assumptions!$C$5,D2454)),Assumptions!$D$5,IF(ISNUMBER(SEARCH(Assumptions!$C$6,D2454)),Assumptions!$D$6,IF(ISNUMBER(SEARCH(Assumptions!$C$7,D2454)),Assumptions!$D$7,"Other Services"))),"Other Services"))</f>
        <v/>
      </c>
    </row>
    <row r="2455" customFormat="false" ht="15" hidden="false" customHeight="false" outlineLevel="0" collapsed="false">
      <c r="J2455" s="41" t="str">
        <f aca="false">IF(D2455="","",IFERROR(IF(ISNUMBER(SEARCH(Assumptions!$C$5,D2455)),Assumptions!$D$5,IF(ISNUMBER(SEARCH(Assumptions!$C$6,D2455)),Assumptions!$D$6,IF(ISNUMBER(SEARCH(Assumptions!$C$7,D2455)),Assumptions!$D$7,"Other Services"))),"Other Services"))</f>
        <v/>
      </c>
    </row>
    <row r="2456" customFormat="false" ht="15" hidden="false" customHeight="false" outlineLevel="0" collapsed="false">
      <c r="J2456" s="41" t="str">
        <f aca="false">IF(D2456="","",IFERROR(IF(ISNUMBER(SEARCH(Assumptions!$C$5,D2456)),Assumptions!$D$5,IF(ISNUMBER(SEARCH(Assumptions!$C$6,D2456)),Assumptions!$D$6,IF(ISNUMBER(SEARCH(Assumptions!$C$7,D2456)),Assumptions!$D$7,"Other Services"))),"Other Services"))</f>
        <v/>
      </c>
    </row>
    <row r="2457" customFormat="false" ht="15" hidden="false" customHeight="false" outlineLevel="0" collapsed="false">
      <c r="J2457" s="41" t="str">
        <f aca="false">IF(D2457="","",IFERROR(IF(ISNUMBER(SEARCH(Assumptions!$C$5,D2457)),Assumptions!$D$5,IF(ISNUMBER(SEARCH(Assumptions!$C$6,D2457)),Assumptions!$D$6,IF(ISNUMBER(SEARCH(Assumptions!$C$7,D2457)),Assumptions!$D$7,"Other Services"))),"Other Services"))</f>
        <v/>
      </c>
    </row>
    <row r="2458" customFormat="false" ht="15" hidden="false" customHeight="false" outlineLevel="0" collapsed="false">
      <c r="J2458" s="41" t="str">
        <f aca="false">IF(D2458="","",IFERROR(IF(ISNUMBER(SEARCH(Assumptions!$C$5,D2458)),Assumptions!$D$5,IF(ISNUMBER(SEARCH(Assumptions!$C$6,D2458)),Assumptions!$D$6,IF(ISNUMBER(SEARCH(Assumptions!$C$7,D2458)),Assumptions!$D$7,"Other Services"))),"Other Services"))</f>
        <v/>
      </c>
    </row>
    <row r="2459" customFormat="false" ht="15" hidden="false" customHeight="false" outlineLevel="0" collapsed="false">
      <c r="J2459" s="41" t="str">
        <f aca="false">IF(D2459="","",IFERROR(IF(ISNUMBER(SEARCH(Assumptions!$C$5,D2459)),Assumptions!$D$5,IF(ISNUMBER(SEARCH(Assumptions!$C$6,D2459)),Assumptions!$D$6,IF(ISNUMBER(SEARCH(Assumptions!$C$7,D2459)),Assumptions!$D$7,"Other Services"))),"Other Services"))</f>
        <v/>
      </c>
    </row>
    <row r="2460" customFormat="false" ht="15" hidden="false" customHeight="false" outlineLevel="0" collapsed="false">
      <c r="J2460" s="41" t="str">
        <f aca="false">IF(D2460="","",IFERROR(IF(ISNUMBER(SEARCH(Assumptions!$C$5,D2460)),Assumptions!$D$5,IF(ISNUMBER(SEARCH(Assumptions!$C$6,D2460)),Assumptions!$D$6,IF(ISNUMBER(SEARCH(Assumptions!$C$7,D2460)),Assumptions!$D$7,"Other Services"))),"Other Services"))</f>
        <v/>
      </c>
    </row>
    <row r="2461" customFormat="false" ht="15" hidden="false" customHeight="false" outlineLevel="0" collapsed="false">
      <c r="J2461" s="41" t="str">
        <f aca="false">IF(D2461="","",IFERROR(IF(ISNUMBER(SEARCH(Assumptions!$C$5,D2461)),Assumptions!$D$5,IF(ISNUMBER(SEARCH(Assumptions!$C$6,D2461)),Assumptions!$D$6,IF(ISNUMBER(SEARCH(Assumptions!$C$7,D2461)),Assumptions!$D$7,"Other Services"))),"Other Services"))</f>
        <v/>
      </c>
    </row>
    <row r="2462" customFormat="false" ht="15" hidden="false" customHeight="false" outlineLevel="0" collapsed="false">
      <c r="J2462" s="41" t="str">
        <f aca="false">IF(D2462="","",IFERROR(IF(ISNUMBER(SEARCH(Assumptions!$C$5,D2462)),Assumptions!$D$5,IF(ISNUMBER(SEARCH(Assumptions!$C$6,D2462)),Assumptions!$D$6,IF(ISNUMBER(SEARCH(Assumptions!$C$7,D2462)),Assumptions!$D$7,"Other Services"))),"Other Services"))</f>
        <v/>
      </c>
    </row>
    <row r="2463" customFormat="false" ht="15" hidden="false" customHeight="false" outlineLevel="0" collapsed="false">
      <c r="J2463" s="41" t="str">
        <f aca="false">IF(D2463="","",IFERROR(IF(ISNUMBER(SEARCH(Assumptions!$C$5,D2463)),Assumptions!$D$5,IF(ISNUMBER(SEARCH(Assumptions!$C$6,D2463)),Assumptions!$D$6,IF(ISNUMBER(SEARCH(Assumptions!$C$7,D2463)),Assumptions!$D$7,"Other Services"))),"Other Services"))</f>
        <v/>
      </c>
    </row>
    <row r="2464" customFormat="false" ht="15" hidden="false" customHeight="false" outlineLevel="0" collapsed="false">
      <c r="J2464" s="41" t="str">
        <f aca="false">IF(D2464="","",IFERROR(IF(ISNUMBER(SEARCH(Assumptions!$C$5,D2464)),Assumptions!$D$5,IF(ISNUMBER(SEARCH(Assumptions!$C$6,D2464)),Assumptions!$D$6,IF(ISNUMBER(SEARCH(Assumptions!$C$7,D2464)),Assumptions!$D$7,"Other Services"))),"Other Services"))</f>
        <v/>
      </c>
    </row>
    <row r="2465" customFormat="false" ht="15" hidden="false" customHeight="false" outlineLevel="0" collapsed="false">
      <c r="J2465" s="41" t="str">
        <f aca="false">IF(D2465="","",IFERROR(IF(ISNUMBER(SEARCH(Assumptions!$C$5,D2465)),Assumptions!$D$5,IF(ISNUMBER(SEARCH(Assumptions!$C$6,D2465)),Assumptions!$D$6,IF(ISNUMBER(SEARCH(Assumptions!$C$7,D2465)),Assumptions!$D$7,"Other Services"))),"Other Services"))</f>
        <v/>
      </c>
    </row>
    <row r="2466" customFormat="false" ht="15" hidden="false" customHeight="false" outlineLevel="0" collapsed="false">
      <c r="J2466" s="41" t="str">
        <f aca="false">IF(D2466="","",IFERROR(IF(ISNUMBER(SEARCH(Assumptions!$C$5,D2466)),Assumptions!$D$5,IF(ISNUMBER(SEARCH(Assumptions!$C$6,D2466)),Assumptions!$D$6,IF(ISNUMBER(SEARCH(Assumptions!$C$7,D2466)),Assumptions!$D$7,"Other Services"))),"Other Services"))</f>
        <v/>
      </c>
    </row>
    <row r="2467" customFormat="false" ht="15" hidden="false" customHeight="false" outlineLevel="0" collapsed="false">
      <c r="J2467" s="41" t="str">
        <f aca="false">IF(D2467="","",IFERROR(IF(ISNUMBER(SEARCH(Assumptions!$C$5,D2467)),Assumptions!$D$5,IF(ISNUMBER(SEARCH(Assumptions!$C$6,D2467)),Assumptions!$D$6,IF(ISNUMBER(SEARCH(Assumptions!$C$7,D2467)),Assumptions!$D$7,"Other Services"))),"Other Services"))</f>
        <v/>
      </c>
    </row>
    <row r="2468" customFormat="false" ht="15" hidden="false" customHeight="false" outlineLevel="0" collapsed="false">
      <c r="J2468" s="41" t="str">
        <f aca="false">IF(D2468="","",IFERROR(IF(ISNUMBER(SEARCH(Assumptions!$C$5,D2468)),Assumptions!$D$5,IF(ISNUMBER(SEARCH(Assumptions!$C$6,D2468)),Assumptions!$D$6,IF(ISNUMBER(SEARCH(Assumptions!$C$7,D2468)),Assumptions!$D$7,"Other Services"))),"Other Services"))</f>
        <v/>
      </c>
    </row>
    <row r="2469" customFormat="false" ht="15" hidden="false" customHeight="false" outlineLevel="0" collapsed="false">
      <c r="J2469" s="41" t="str">
        <f aca="false">IF(D2469="","",IFERROR(IF(ISNUMBER(SEARCH(Assumptions!$C$5,D2469)),Assumptions!$D$5,IF(ISNUMBER(SEARCH(Assumptions!$C$6,D2469)),Assumptions!$D$6,IF(ISNUMBER(SEARCH(Assumptions!$C$7,D2469)),Assumptions!$D$7,"Other Services"))),"Other Services"))</f>
        <v/>
      </c>
    </row>
    <row r="2470" customFormat="false" ht="15" hidden="false" customHeight="false" outlineLevel="0" collapsed="false">
      <c r="J2470" s="41" t="str">
        <f aca="false">IF(D2470="","",IFERROR(IF(ISNUMBER(SEARCH(Assumptions!$C$5,D2470)),Assumptions!$D$5,IF(ISNUMBER(SEARCH(Assumptions!$C$6,D2470)),Assumptions!$D$6,IF(ISNUMBER(SEARCH(Assumptions!$C$7,D2470)),Assumptions!$D$7,"Other Services"))),"Other Services"))</f>
        <v/>
      </c>
    </row>
    <row r="2471" customFormat="false" ht="15" hidden="false" customHeight="false" outlineLevel="0" collapsed="false">
      <c r="J2471" s="41" t="str">
        <f aca="false">IF(D2471="","",IFERROR(IF(ISNUMBER(SEARCH(Assumptions!$C$5,D2471)),Assumptions!$D$5,IF(ISNUMBER(SEARCH(Assumptions!$C$6,D2471)),Assumptions!$D$6,IF(ISNUMBER(SEARCH(Assumptions!$C$7,D2471)),Assumptions!$D$7,"Other Services"))),"Other Services"))</f>
        <v/>
      </c>
    </row>
    <row r="2472" customFormat="false" ht="15" hidden="false" customHeight="false" outlineLevel="0" collapsed="false">
      <c r="J2472" s="41" t="str">
        <f aca="false">IF(D2472="","",IFERROR(IF(ISNUMBER(SEARCH(Assumptions!$C$5,D2472)),Assumptions!$D$5,IF(ISNUMBER(SEARCH(Assumptions!$C$6,D2472)),Assumptions!$D$6,IF(ISNUMBER(SEARCH(Assumptions!$C$7,D2472)),Assumptions!$D$7,"Other Services"))),"Other Services"))</f>
        <v/>
      </c>
    </row>
    <row r="2473" customFormat="false" ht="15" hidden="false" customHeight="false" outlineLevel="0" collapsed="false">
      <c r="J2473" s="41" t="str">
        <f aca="false">IF(D2473="","",IFERROR(IF(ISNUMBER(SEARCH(Assumptions!$C$5,D2473)),Assumptions!$D$5,IF(ISNUMBER(SEARCH(Assumptions!$C$6,D2473)),Assumptions!$D$6,IF(ISNUMBER(SEARCH(Assumptions!$C$7,D2473)),Assumptions!$D$7,"Other Services"))),"Other Services"))</f>
        <v/>
      </c>
    </row>
    <row r="2474" customFormat="false" ht="15" hidden="false" customHeight="false" outlineLevel="0" collapsed="false">
      <c r="J2474" s="41" t="str">
        <f aca="false">IF(D2474="","",IFERROR(IF(ISNUMBER(SEARCH(Assumptions!$C$5,D2474)),Assumptions!$D$5,IF(ISNUMBER(SEARCH(Assumptions!$C$6,D2474)),Assumptions!$D$6,IF(ISNUMBER(SEARCH(Assumptions!$C$7,D2474)),Assumptions!$D$7,"Other Services"))),"Other Services"))</f>
        <v/>
      </c>
    </row>
    <row r="2475" customFormat="false" ht="15" hidden="false" customHeight="false" outlineLevel="0" collapsed="false">
      <c r="J2475" s="41" t="str">
        <f aca="false">IF(D2475="","",IFERROR(IF(ISNUMBER(SEARCH(Assumptions!$C$5,D2475)),Assumptions!$D$5,IF(ISNUMBER(SEARCH(Assumptions!$C$6,D2475)),Assumptions!$D$6,IF(ISNUMBER(SEARCH(Assumptions!$C$7,D2475)),Assumptions!$D$7,"Other Services"))),"Other Services"))</f>
        <v/>
      </c>
    </row>
    <row r="2476" customFormat="false" ht="15" hidden="false" customHeight="false" outlineLevel="0" collapsed="false">
      <c r="J2476" s="41" t="str">
        <f aca="false">IF(D2476="","",IFERROR(IF(ISNUMBER(SEARCH(Assumptions!$C$5,D2476)),Assumptions!$D$5,IF(ISNUMBER(SEARCH(Assumptions!$C$6,D2476)),Assumptions!$D$6,IF(ISNUMBER(SEARCH(Assumptions!$C$7,D2476)),Assumptions!$D$7,"Other Services"))),"Other Services"))</f>
        <v/>
      </c>
    </row>
    <row r="2477" customFormat="false" ht="15" hidden="false" customHeight="false" outlineLevel="0" collapsed="false">
      <c r="J2477" s="41" t="str">
        <f aca="false">IF(D2477="","",IFERROR(IF(ISNUMBER(SEARCH(Assumptions!$C$5,D2477)),Assumptions!$D$5,IF(ISNUMBER(SEARCH(Assumptions!$C$6,D2477)),Assumptions!$D$6,IF(ISNUMBER(SEARCH(Assumptions!$C$7,D2477)),Assumptions!$D$7,"Other Services"))),"Other Services"))</f>
        <v/>
      </c>
    </row>
    <row r="2478" customFormat="false" ht="15" hidden="false" customHeight="false" outlineLevel="0" collapsed="false">
      <c r="J2478" s="41" t="str">
        <f aca="false">IF(D2478="","",IFERROR(IF(ISNUMBER(SEARCH(Assumptions!$C$5,D2478)),Assumptions!$D$5,IF(ISNUMBER(SEARCH(Assumptions!$C$6,D2478)),Assumptions!$D$6,IF(ISNUMBER(SEARCH(Assumptions!$C$7,D2478)),Assumptions!$D$7,"Other Services"))),"Other Services"))</f>
        <v/>
      </c>
    </row>
    <row r="2479" customFormat="false" ht="15" hidden="false" customHeight="false" outlineLevel="0" collapsed="false">
      <c r="J2479" s="41" t="str">
        <f aca="false">IF(D2479="","",IFERROR(IF(ISNUMBER(SEARCH(Assumptions!$C$5,D2479)),Assumptions!$D$5,IF(ISNUMBER(SEARCH(Assumptions!$C$6,D2479)),Assumptions!$D$6,IF(ISNUMBER(SEARCH(Assumptions!$C$7,D2479)),Assumptions!$D$7,"Other Services"))),"Other Services"))</f>
        <v/>
      </c>
    </row>
    <row r="2480" customFormat="false" ht="15" hidden="false" customHeight="false" outlineLevel="0" collapsed="false">
      <c r="J2480" s="41" t="str">
        <f aca="false">IF(D2480="","",IFERROR(IF(ISNUMBER(SEARCH(Assumptions!$C$5,D2480)),Assumptions!$D$5,IF(ISNUMBER(SEARCH(Assumptions!$C$6,D2480)),Assumptions!$D$6,IF(ISNUMBER(SEARCH(Assumptions!$C$7,D2480)),Assumptions!$D$7,"Other Services"))),"Other Services"))</f>
        <v/>
      </c>
    </row>
    <row r="2481" customFormat="false" ht="15" hidden="false" customHeight="false" outlineLevel="0" collapsed="false">
      <c r="J2481" s="41" t="str">
        <f aca="false">IF(D2481="","",IFERROR(IF(ISNUMBER(SEARCH(Assumptions!$C$5,D2481)),Assumptions!$D$5,IF(ISNUMBER(SEARCH(Assumptions!$C$6,D2481)),Assumptions!$D$6,IF(ISNUMBER(SEARCH(Assumptions!$C$7,D2481)),Assumptions!$D$7,"Other Services"))),"Other Services"))</f>
        <v/>
      </c>
    </row>
    <row r="2482" customFormat="false" ht="15" hidden="false" customHeight="false" outlineLevel="0" collapsed="false">
      <c r="J2482" s="41" t="str">
        <f aca="false">IF(D2482="","",IFERROR(IF(ISNUMBER(SEARCH(Assumptions!$C$5,D2482)),Assumptions!$D$5,IF(ISNUMBER(SEARCH(Assumptions!$C$6,D2482)),Assumptions!$D$6,IF(ISNUMBER(SEARCH(Assumptions!$C$7,D2482)),Assumptions!$D$7,"Other Services"))),"Other Services"))</f>
        <v/>
      </c>
    </row>
    <row r="2483" customFormat="false" ht="15" hidden="false" customHeight="false" outlineLevel="0" collapsed="false">
      <c r="J2483" s="41" t="str">
        <f aca="false">IF(D2483="","",IFERROR(IF(ISNUMBER(SEARCH(Assumptions!$C$5,D2483)),Assumptions!$D$5,IF(ISNUMBER(SEARCH(Assumptions!$C$6,D2483)),Assumptions!$D$6,IF(ISNUMBER(SEARCH(Assumptions!$C$7,D2483)),Assumptions!$D$7,"Other Services"))),"Other Services"))</f>
        <v/>
      </c>
    </row>
    <row r="2484" customFormat="false" ht="15" hidden="false" customHeight="false" outlineLevel="0" collapsed="false">
      <c r="J2484" s="41" t="str">
        <f aca="false">IF(D2484="","",IFERROR(IF(ISNUMBER(SEARCH(Assumptions!$C$5,D2484)),Assumptions!$D$5,IF(ISNUMBER(SEARCH(Assumptions!$C$6,D2484)),Assumptions!$D$6,IF(ISNUMBER(SEARCH(Assumptions!$C$7,D2484)),Assumptions!$D$7,"Other Services"))),"Other Services"))</f>
        <v/>
      </c>
    </row>
    <row r="2485" customFormat="false" ht="15" hidden="false" customHeight="false" outlineLevel="0" collapsed="false">
      <c r="J2485" s="41" t="str">
        <f aca="false">IF(D2485="","",IFERROR(IF(ISNUMBER(SEARCH(Assumptions!$C$5,D2485)),Assumptions!$D$5,IF(ISNUMBER(SEARCH(Assumptions!$C$6,D2485)),Assumptions!$D$6,IF(ISNUMBER(SEARCH(Assumptions!$C$7,D2485)),Assumptions!$D$7,"Other Services"))),"Other Services"))</f>
        <v/>
      </c>
    </row>
    <row r="2486" customFormat="false" ht="15" hidden="false" customHeight="false" outlineLevel="0" collapsed="false">
      <c r="J2486" s="41" t="str">
        <f aca="false">IF(D2486="","",IFERROR(IF(ISNUMBER(SEARCH(Assumptions!$C$5,D2486)),Assumptions!$D$5,IF(ISNUMBER(SEARCH(Assumptions!$C$6,D2486)),Assumptions!$D$6,IF(ISNUMBER(SEARCH(Assumptions!$C$7,D2486)),Assumptions!$D$7,"Other Services"))),"Other Services"))</f>
        <v/>
      </c>
    </row>
    <row r="2487" customFormat="false" ht="15" hidden="false" customHeight="false" outlineLevel="0" collapsed="false">
      <c r="J2487" s="41" t="str">
        <f aca="false">IF(D2487="","",IFERROR(IF(ISNUMBER(SEARCH(Assumptions!$C$5,D2487)),Assumptions!$D$5,IF(ISNUMBER(SEARCH(Assumptions!$C$6,D2487)),Assumptions!$D$6,IF(ISNUMBER(SEARCH(Assumptions!$C$7,D2487)),Assumptions!$D$7,"Other Services"))),"Other Services"))</f>
        <v/>
      </c>
    </row>
    <row r="2488" customFormat="false" ht="15" hidden="false" customHeight="false" outlineLevel="0" collapsed="false">
      <c r="J2488" s="41" t="str">
        <f aca="false">IF(D2488="","",IFERROR(IF(ISNUMBER(SEARCH(Assumptions!$C$5,D2488)),Assumptions!$D$5,IF(ISNUMBER(SEARCH(Assumptions!$C$6,D2488)),Assumptions!$D$6,IF(ISNUMBER(SEARCH(Assumptions!$C$7,D2488)),Assumptions!$D$7,"Other Services"))),"Other Services"))</f>
        <v/>
      </c>
    </row>
    <row r="2489" customFormat="false" ht="15" hidden="false" customHeight="false" outlineLevel="0" collapsed="false">
      <c r="J2489" s="41" t="str">
        <f aca="false">IF(D2489="","",IFERROR(IF(ISNUMBER(SEARCH(Assumptions!$C$5,D2489)),Assumptions!$D$5,IF(ISNUMBER(SEARCH(Assumptions!$C$6,D2489)),Assumptions!$D$6,IF(ISNUMBER(SEARCH(Assumptions!$C$7,D2489)),Assumptions!$D$7,"Other Services"))),"Other Services"))</f>
        <v/>
      </c>
    </row>
    <row r="2490" customFormat="false" ht="15" hidden="false" customHeight="false" outlineLevel="0" collapsed="false">
      <c r="J2490" s="41" t="str">
        <f aca="false">IF(D2490="","",IFERROR(IF(ISNUMBER(SEARCH(Assumptions!$C$5,D2490)),Assumptions!$D$5,IF(ISNUMBER(SEARCH(Assumptions!$C$6,D2490)),Assumptions!$D$6,IF(ISNUMBER(SEARCH(Assumptions!$C$7,D2490)),Assumptions!$D$7,"Other Services"))),"Other Services"))</f>
        <v/>
      </c>
    </row>
    <row r="2491" customFormat="false" ht="15" hidden="false" customHeight="false" outlineLevel="0" collapsed="false">
      <c r="J2491" s="41" t="str">
        <f aca="false">IF(D2491="","",IFERROR(IF(ISNUMBER(SEARCH(Assumptions!$C$5,D2491)),Assumptions!$D$5,IF(ISNUMBER(SEARCH(Assumptions!$C$6,D2491)),Assumptions!$D$6,IF(ISNUMBER(SEARCH(Assumptions!$C$7,D2491)),Assumptions!$D$7,"Other Services"))),"Other Services"))</f>
        <v/>
      </c>
    </row>
    <row r="2492" customFormat="false" ht="15" hidden="false" customHeight="false" outlineLevel="0" collapsed="false">
      <c r="J2492" s="41" t="str">
        <f aca="false">IF(D2492="","",IFERROR(IF(ISNUMBER(SEARCH(Assumptions!$C$5,D2492)),Assumptions!$D$5,IF(ISNUMBER(SEARCH(Assumptions!$C$6,D2492)),Assumptions!$D$6,IF(ISNUMBER(SEARCH(Assumptions!$C$7,D2492)),Assumptions!$D$7,"Other Services"))),"Other Services"))</f>
        <v/>
      </c>
    </row>
    <row r="2493" customFormat="false" ht="15" hidden="false" customHeight="false" outlineLevel="0" collapsed="false">
      <c r="J2493" s="41" t="str">
        <f aca="false">IF(D2493="","",IFERROR(IF(ISNUMBER(SEARCH(Assumptions!$C$5,D2493)),Assumptions!$D$5,IF(ISNUMBER(SEARCH(Assumptions!$C$6,D2493)),Assumptions!$D$6,IF(ISNUMBER(SEARCH(Assumptions!$C$7,D2493)),Assumptions!$D$7,"Other Services"))),"Other Services"))</f>
        <v/>
      </c>
    </row>
    <row r="2494" customFormat="false" ht="15" hidden="false" customHeight="false" outlineLevel="0" collapsed="false">
      <c r="J2494" s="41" t="str">
        <f aca="false">IF(D2494="","",IFERROR(IF(ISNUMBER(SEARCH(Assumptions!$C$5,D2494)),Assumptions!$D$5,IF(ISNUMBER(SEARCH(Assumptions!$C$6,D2494)),Assumptions!$D$6,IF(ISNUMBER(SEARCH(Assumptions!$C$7,D2494)),Assumptions!$D$7,"Other Services"))),"Other Services"))</f>
        <v/>
      </c>
    </row>
    <row r="2495" customFormat="false" ht="15" hidden="false" customHeight="false" outlineLevel="0" collapsed="false">
      <c r="J2495" s="41" t="str">
        <f aca="false">IF(D2495="","",IFERROR(IF(ISNUMBER(SEARCH(Assumptions!$C$5,D2495)),Assumptions!$D$5,IF(ISNUMBER(SEARCH(Assumptions!$C$6,D2495)),Assumptions!$D$6,IF(ISNUMBER(SEARCH(Assumptions!$C$7,D2495)),Assumptions!$D$7,"Other Services"))),"Other Services"))</f>
        <v/>
      </c>
    </row>
    <row r="2496" customFormat="false" ht="15" hidden="false" customHeight="false" outlineLevel="0" collapsed="false">
      <c r="J2496" s="41" t="str">
        <f aca="false">IF(D2496="","",IFERROR(IF(ISNUMBER(SEARCH(Assumptions!$C$5,D2496)),Assumptions!$D$5,IF(ISNUMBER(SEARCH(Assumptions!$C$6,D2496)),Assumptions!$D$6,IF(ISNUMBER(SEARCH(Assumptions!$C$7,D2496)),Assumptions!$D$7,"Other Services"))),"Other Services"))</f>
        <v/>
      </c>
    </row>
    <row r="2497" customFormat="false" ht="15" hidden="false" customHeight="false" outlineLevel="0" collapsed="false">
      <c r="J2497" s="41" t="str">
        <f aca="false">IF(D2497="","",IFERROR(IF(ISNUMBER(SEARCH(Assumptions!$C$5,D2497)),Assumptions!$D$5,IF(ISNUMBER(SEARCH(Assumptions!$C$6,D2497)),Assumptions!$D$6,IF(ISNUMBER(SEARCH(Assumptions!$C$7,D2497)),Assumptions!$D$7,"Other Services"))),"Other Services"))</f>
        <v/>
      </c>
    </row>
    <row r="2498" customFormat="false" ht="15" hidden="false" customHeight="false" outlineLevel="0" collapsed="false">
      <c r="J2498" s="41" t="str">
        <f aca="false">IF(D2498="","",IFERROR(IF(ISNUMBER(SEARCH(Assumptions!$C$5,D2498)),Assumptions!$D$5,IF(ISNUMBER(SEARCH(Assumptions!$C$6,D2498)),Assumptions!$D$6,IF(ISNUMBER(SEARCH(Assumptions!$C$7,D2498)),Assumptions!$D$7,"Other Services"))),"Other Services"))</f>
        <v/>
      </c>
    </row>
    <row r="2499" customFormat="false" ht="15" hidden="false" customHeight="false" outlineLevel="0" collapsed="false">
      <c r="J2499" s="41" t="str">
        <f aca="false">IF(D2499="","",IFERROR(IF(ISNUMBER(SEARCH(Assumptions!$C$5,D2499)),Assumptions!$D$5,IF(ISNUMBER(SEARCH(Assumptions!$C$6,D2499)),Assumptions!$D$6,IF(ISNUMBER(SEARCH(Assumptions!$C$7,D2499)),Assumptions!$D$7,"Other Services"))),"Other Services"))</f>
        <v/>
      </c>
    </row>
    <row r="2500" customFormat="false" ht="15" hidden="false" customHeight="false" outlineLevel="0" collapsed="false">
      <c r="J2500" s="41" t="str">
        <f aca="false">IF(D2500="","",IFERROR(IF(ISNUMBER(SEARCH(Assumptions!$C$5,D2500)),Assumptions!$D$5,IF(ISNUMBER(SEARCH(Assumptions!$C$6,D2500)),Assumptions!$D$6,IF(ISNUMBER(SEARCH(Assumptions!$C$7,D2500)),Assumptions!$D$7,"Other Services"))),"Other Services"))</f>
        <v/>
      </c>
    </row>
    <row r="2501" customFormat="false" ht="15" hidden="false" customHeight="false" outlineLevel="0" collapsed="false">
      <c r="J2501" s="41" t="str">
        <f aca="false">IF(D2501="","",IFERROR(IF(ISNUMBER(SEARCH(Assumptions!$C$5,D2501)),Assumptions!$D$5,IF(ISNUMBER(SEARCH(Assumptions!$C$6,D2501)),Assumptions!$D$6,IF(ISNUMBER(SEARCH(Assumptions!$C$7,D2501)),Assumptions!$D$7,"Other Services"))),"Other Services"))</f>
        <v/>
      </c>
    </row>
    <row r="2502" customFormat="false" ht="15" hidden="false" customHeight="false" outlineLevel="0" collapsed="false">
      <c r="J2502" s="41" t="str">
        <f aca="false">IF(D2502="","",IFERROR(IF(ISNUMBER(SEARCH(Assumptions!$C$5,D2502)),Assumptions!$D$5,IF(ISNUMBER(SEARCH(Assumptions!$C$6,D2502)),Assumptions!$D$6,IF(ISNUMBER(SEARCH(Assumptions!$C$7,D2502)),Assumptions!$D$7,"Other Services"))),"Other Services"))</f>
        <v/>
      </c>
    </row>
    <row r="2503" customFormat="false" ht="15" hidden="false" customHeight="false" outlineLevel="0" collapsed="false">
      <c r="J2503" s="41" t="str">
        <f aca="false">IF(D2503="","",IFERROR(IF(ISNUMBER(SEARCH(Assumptions!$C$5,D2503)),Assumptions!$D$5,IF(ISNUMBER(SEARCH(Assumptions!$C$6,D2503)),Assumptions!$D$6,IF(ISNUMBER(SEARCH(Assumptions!$C$7,D2503)),Assumptions!$D$7,"Other Services"))),"Other Services"))</f>
        <v/>
      </c>
    </row>
    <row r="2504" customFormat="false" ht="15" hidden="false" customHeight="false" outlineLevel="0" collapsed="false">
      <c r="J2504" s="41" t="str">
        <f aca="false">IF(D2504="","",IFERROR(IF(ISNUMBER(SEARCH(Assumptions!$C$5,D2504)),Assumptions!$D$5,IF(ISNUMBER(SEARCH(Assumptions!$C$6,D2504)),Assumptions!$D$6,IF(ISNUMBER(SEARCH(Assumptions!$C$7,D2504)),Assumptions!$D$7,"Other Services"))),"Other Services"))</f>
        <v/>
      </c>
    </row>
    <row r="2505" customFormat="false" ht="15" hidden="false" customHeight="false" outlineLevel="0" collapsed="false">
      <c r="J2505" s="41" t="str">
        <f aca="false">IF(D2505="","",IFERROR(IF(ISNUMBER(SEARCH(Assumptions!$C$5,D2505)),Assumptions!$D$5,IF(ISNUMBER(SEARCH(Assumptions!$C$6,D2505)),Assumptions!$D$6,IF(ISNUMBER(SEARCH(Assumptions!$C$7,D2505)),Assumptions!$D$7,"Other Services"))),"Other Services"))</f>
        <v/>
      </c>
    </row>
    <row r="2506" customFormat="false" ht="15" hidden="false" customHeight="false" outlineLevel="0" collapsed="false">
      <c r="J2506" s="41" t="str">
        <f aca="false">IF(D2506="","",IFERROR(IF(ISNUMBER(SEARCH(Assumptions!$C$5,D2506)),Assumptions!$D$5,IF(ISNUMBER(SEARCH(Assumptions!$C$6,D2506)),Assumptions!$D$6,IF(ISNUMBER(SEARCH(Assumptions!$C$7,D2506)),Assumptions!$D$7,"Other Services"))),"Other Services"))</f>
        <v/>
      </c>
    </row>
    <row r="2507" customFormat="false" ht="15" hidden="false" customHeight="false" outlineLevel="0" collapsed="false">
      <c r="J2507" s="41" t="str">
        <f aca="false">IF(D2507="","",IFERROR(IF(ISNUMBER(SEARCH(Assumptions!$C$5,D2507)),Assumptions!$D$5,IF(ISNUMBER(SEARCH(Assumptions!$C$6,D2507)),Assumptions!$D$6,IF(ISNUMBER(SEARCH(Assumptions!$C$7,D2507)),Assumptions!$D$7,"Other Services"))),"Other Services"))</f>
        <v/>
      </c>
    </row>
    <row r="2508" customFormat="false" ht="15" hidden="false" customHeight="false" outlineLevel="0" collapsed="false">
      <c r="J2508" s="41" t="str">
        <f aca="false">IF(D2508="","",IFERROR(IF(ISNUMBER(SEARCH(Assumptions!$C$5,D2508)),Assumptions!$D$5,IF(ISNUMBER(SEARCH(Assumptions!$C$6,D2508)),Assumptions!$D$6,IF(ISNUMBER(SEARCH(Assumptions!$C$7,D2508)),Assumptions!$D$7,"Other Services"))),"Other Services"))</f>
        <v/>
      </c>
    </row>
    <row r="2509" customFormat="false" ht="15" hidden="false" customHeight="false" outlineLevel="0" collapsed="false">
      <c r="J2509" s="41" t="str">
        <f aca="false">IF(D2509="","",IFERROR(IF(ISNUMBER(SEARCH(Assumptions!$C$5,D2509)),Assumptions!$D$5,IF(ISNUMBER(SEARCH(Assumptions!$C$6,D2509)),Assumptions!$D$6,IF(ISNUMBER(SEARCH(Assumptions!$C$7,D2509)),Assumptions!$D$7,"Other Services"))),"Other Services"))</f>
        <v/>
      </c>
    </row>
    <row r="2510" customFormat="false" ht="15" hidden="false" customHeight="false" outlineLevel="0" collapsed="false">
      <c r="J2510" s="41" t="str">
        <f aca="false">IF(D2510="","",IFERROR(IF(ISNUMBER(SEARCH(Assumptions!$C$5,D2510)),Assumptions!$D$5,IF(ISNUMBER(SEARCH(Assumptions!$C$6,D2510)),Assumptions!$D$6,IF(ISNUMBER(SEARCH(Assumptions!$C$7,D2510)),Assumptions!$D$7,"Other Services"))),"Other Services"))</f>
        <v/>
      </c>
    </row>
    <row r="2511" customFormat="false" ht="15" hidden="false" customHeight="false" outlineLevel="0" collapsed="false">
      <c r="J2511" s="41" t="str">
        <f aca="false">IF(D2511="","",IFERROR(IF(ISNUMBER(SEARCH(Assumptions!$C$5,D2511)),Assumptions!$D$5,IF(ISNUMBER(SEARCH(Assumptions!$C$6,D2511)),Assumptions!$D$6,IF(ISNUMBER(SEARCH(Assumptions!$C$7,D2511)),Assumptions!$D$7,"Other Services"))),"Other Services"))</f>
        <v/>
      </c>
    </row>
    <row r="2512" customFormat="false" ht="15" hidden="false" customHeight="false" outlineLevel="0" collapsed="false">
      <c r="J2512" s="41" t="str">
        <f aca="false">IF(D2512="","",IFERROR(IF(ISNUMBER(SEARCH(Assumptions!$C$5,D2512)),Assumptions!$D$5,IF(ISNUMBER(SEARCH(Assumptions!$C$6,D2512)),Assumptions!$D$6,IF(ISNUMBER(SEARCH(Assumptions!$C$7,D2512)),Assumptions!$D$7,"Other Services"))),"Other Services"))</f>
        <v/>
      </c>
    </row>
    <row r="2513" customFormat="false" ht="15" hidden="false" customHeight="false" outlineLevel="0" collapsed="false">
      <c r="J2513" s="41" t="str">
        <f aca="false">IF(D2513="","",IFERROR(IF(ISNUMBER(SEARCH(Assumptions!$C$5,D2513)),Assumptions!$D$5,IF(ISNUMBER(SEARCH(Assumptions!$C$6,D2513)),Assumptions!$D$6,IF(ISNUMBER(SEARCH(Assumptions!$C$7,D2513)),Assumptions!$D$7,"Other Services"))),"Other Services"))</f>
        <v/>
      </c>
    </row>
    <row r="2514" customFormat="false" ht="15" hidden="false" customHeight="false" outlineLevel="0" collapsed="false">
      <c r="J2514" s="41" t="str">
        <f aca="false">IF(D2514="","",IFERROR(IF(ISNUMBER(SEARCH(Assumptions!$C$5,D2514)),Assumptions!$D$5,IF(ISNUMBER(SEARCH(Assumptions!$C$6,D2514)),Assumptions!$D$6,IF(ISNUMBER(SEARCH(Assumptions!$C$7,D2514)),Assumptions!$D$7,"Other Services"))),"Other Services"))</f>
        <v/>
      </c>
    </row>
    <row r="2515" customFormat="false" ht="15" hidden="false" customHeight="false" outlineLevel="0" collapsed="false">
      <c r="J2515" s="41" t="str">
        <f aca="false">IF(D2515="","",IFERROR(IF(ISNUMBER(SEARCH(Assumptions!$C$5,D2515)),Assumptions!$D$5,IF(ISNUMBER(SEARCH(Assumptions!$C$6,D2515)),Assumptions!$D$6,IF(ISNUMBER(SEARCH(Assumptions!$C$7,D2515)),Assumptions!$D$7,"Other Services"))),"Other Services"))</f>
        <v/>
      </c>
    </row>
    <row r="2516" customFormat="false" ht="15" hidden="false" customHeight="false" outlineLevel="0" collapsed="false">
      <c r="J2516" s="41" t="str">
        <f aca="false">IF(D2516="","",IFERROR(IF(ISNUMBER(SEARCH(Assumptions!$C$5,D2516)),Assumptions!$D$5,IF(ISNUMBER(SEARCH(Assumptions!$C$6,D2516)),Assumptions!$D$6,IF(ISNUMBER(SEARCH(Assumptions!$C$7,D2516)),Assumptions!$D$7,"Other Services"))),"Other Services"))</f>
        <v/>
      </c>
    </row>
    <row r="2517" customFormat="false" ht="15" hidden="false" customHeight="false" outlineLevel="0" collapsed="false">
      <c r="J2517" s="41" t="str">
        <f aca="false">IF(D2517="","",IFERROR(IF(ISNUMBER(SEARCH(Assumptions!$C$5,D2517)),Assumptions!$D$5,IF(ISNUMBER(SEARCH(Assumptions!$C$6,D2517)),Assumptions!$D$6,IF(ISNUMBER(SEARCH(Assumptions!$C$7,D2517)),Assumptions!$D$7,"Other Services"))),"Other Services"))</f>
        <v/>
      </c>
    </row>
    <row r="2518" customFormat="false" ht="15" hidden="false" customHeight="false" outlineLevel="0" collapsed="false">
      <c r="J2518" s="41" t="str">
        <f aca="false">IF(D2518="","",IFERROR(IF(ISNUMBER(SEARCH(Assumptions!$C$5,D2518)),Assumptions!$D$5,IF(ISNUMBER(SEARCH(Assumptions!$C$6,D2518)),Assumptions!$D$6,IF(ISNUMBER(SEARCH(Assumptions!$C$7,D2518)),Assumptions!$D$7,"Other Services"))),"Other Services"))</f>
        <v/>
      </c>
    </row>
    <row r="2519" customFormat="false" ht="15" hidden="false" customHeight="false" outlineLevel="0" collapsed="false">
      <c r="J2519" s="41" t="str">
        <f aca="false">IF(D2519="","",IFERROR(IF(ISNUMBER(SEARCH(Assumptions!$C$5,D2519)),Assumptions!$D$5,IF(ISNUMBER(SEARCH(Assumptions!$C$6,D2519)),Assumptions!$D$6,IF(ISNUMBER(SEARCH(Assumptions!$C$7,D2519)),Assumptions!$D$7,"Other Services"))),"Other Services"))</f>
        <v/>
      </c>
    </row>
    <row r="2520" customFormat="false" ht="15" hidden="false" customHeight="false" outlineLevel="0" collapsed="false">
      <c r="J2520" s="41" t="str">
        <f aca="false">IF(D2520="","",IFERROR(IF(ISNUMBER(SEARCH(Assumptions!$C$5,D2520)),Assumptions!$D$5,IF(ISNUMBER(SEARCH(Assumptions!$C$6,D2520)),Assumptions!$D$6,IF(ISNUMBER(SEARCH(Assumptions!$C$7,D2520)),Assumptions!$D$7,"Other Services"))),"Other Services"))</f>
        <v/>
      </c>
    </row>
    <row r="2521" customFormat="false" ht="15" hidden="false" customHeight="false" outlineLevel="0" collapsed="false">
      <c r="J2521" s="41" t="str">
        <f aca="false">IF(D2521="","",IFERROR(IF(ISNUMBER(SEARCH(Assumptions!$C$5,D2521)),Assumptions!$D$5,IF(ISNUMBER(SEARCH(Assumptions!$C$6,D2521)),Assumptions!$D$6,IF(ISNUMBER(SEARCH(Assumptions!$C$7,D2521)),Assumptions!$D$7,"Other Services"))),"Other Services"))</f>
        <v/>
      </c>
    </row>
    <row r="2522" customFormat="false" ht="15" hidden="false" customHeight="false" outlineLevel="0" collapsed="false">
      <c r="J2522" s="41" t="str">
        <f aca="false">IF(D2522="","",IFERROR(IF(ISNUMBER(SEARCH(Assumptions!$C$5,D2522)),Assumptions!$D$5,IF(ISNUMBER(SEARCH(Assumptions!$C$6,D2522)),Assumptions!$D$6,IF(ISNUMBER(SEARCH(Assumptions!$C$7,D2522)),Assumptions!$D$7,"Other Services"))),"Other Services"))</f>
        <v/>
      </c>
    </row>
    <row r="2523" customFormat="false" ht="15" hidden="false" customHeight="false" outlineLevel="0" collapsed="false">
      <c r="J2523" s="41" t="str">
        <f aca="false">IF(D2523="","",IFERROR(IF(ISNUMBER(SEARCH(Assumptions!$C$5,D2523)),Assumptions!$D$5,IF(ISNUMBER(SEARCH(Assumptions!$C$6,D2523)),Assumptions!$D$6,IF(ISNUMBER(SEARCH(Assumptions!$C$7,D2523)),Assumptions!$D$7,"Other Services"))),"Other Services"))</f>
        <v/>
      </c>
    </row>
    <row r="2524" customFormat="false" ht="15" hidden="false" customHeight="false" outlineLevel="0" collapsed="false">
      <c r="J2524" s="41" t="str">
        <f aca="false">IF(D2524="","",IFERROR(IF(ISNUMBER(SEARCH(Assumptions!$C$5,D2524)),Assumptions!$D$5,IF(ISNUMBER(SEARCH(Assumptions!$C$6,D2524)),Assumptions!$D$6,IF(ISNUMBER(SEARCH(Assumptions!$C$7,D2524)),Assumptions!$D$7,"Other Services"))),"Other Services"))</f>
        <v/>
      </c>
    </row>
    <row r="2525" customFormat="false" ht="15" hidden="false" customHeight="false" outlineLevel="0" collapsed="false">
      <c r="J2525" s="41" t="str">
        <f aca="false">IF(D2525="","",IFERROR(IF(ISNUMBER(SEARCH(Assumptions!$C$5,D2525)),Assumptions!$D$5,IF(ISNUMBER(SEARCH(Assumptions!$C$6,D2525)),Assumptions!$D$6,IF(ISNUMBER(SEARCH(Assumptions!$C$7,D2525)),Assumptions!$D$7,"Other Services"))),"Other Services"))</f>
        <v/>
      </c>
    </row>
    <row r="2526" customFormat="false" ht="15" hidden="false" customHeight="false" outlineLevel="0" collapsed="false">
      <c r="J2526" s="41" t="str">
        <f aca="false">IF(D2526="","",IFERROR(IF(ISNUMBER(SEARCH(Assumptions!$C$5,D2526)),Assumptions!$D$5,IF(ISNUMBER(SEARCH(Assumptions!$C$6,D2526)),Assumptions!$D$6,IF(ISNUMBER(SEARCH(Assumptions!$C$7,D2526)),Assumptions!$D$7,"Other Services"))),"Other Services"))</f>
        <v/>
      </c>
    </row>
    <row r="2527" customFormat="false" ht="15" hidden="false" customHeight="false" outlineLevel="0" collapsed="false">
      <c r="J2527" s="41" t="str">
        <f aca="false">IF(D2527="","",IFERROR(IF(ISNUMBER(SEARCH(Assumptions!$C$5,D2527)),Assumptions!$D$5,IF(ISNUMBER(SEARCH(Assumptions!$C$6,D2527)),Assumptions!$D$6,IF(ISNUMBER(SEARCH(Assumptions!$C$7,D2527)),Assumptions!$D$7,"Other Services"))),"Other Services"))</f>
        <v/>
      </c>
    </row>
    <row r="2528" customFormat="false" ht="15" hidden="false" customHeight="false" outlineLevel="0" collapsed="false">
      <c r="J2528" s="41" t="str">
        <f aca="false">IF(D2528="","",IFERROR(IF(ISNUMBER(SEARCH(Assumptions!$C$5,D2528)),Assumptions!$D$5,IF(ISNUMBER(SEARCH(Assumptions!$C$6,D2528)),Assumptions!$D$6,IF(ISNUMBER(SEARCH(Assumptions!$C$7,D2528)),Assumptions!$D$7,"Other Services"))),"Other Services"))</f>
        <v/>
      </c>
    </row>
    <row r="2529" customFormat="false" ht="15" hidden="false" customHeight="false" outlineLevel="0" collapsed="false">
      <c r="J2529" s="41" t="str">
        <f aca="false">IF(D2529="","",IFERROR(IF(ISNUMBER(SEARCH(Assumptions!$C$5,D2529)),Assumptions!$D$5,IF(ISNUMBER(SEARCH(Assumptions!$C$6,D2529)),Assumptions!$D$6,IF(ISNUMBER(SEARCH(Assumptions!$C$7,D2529)),Assumptions!$D$7,"Other Services"))),"Other Services"))</f>
        <v/>
      </c>
    </row>
    <row r="2530" customFormat="false" ht="15" hidden="false" customHeight="false" outlineLevel="0" collapsed="false">
      <c r="J2530" s="41" t="str">
        <f aca="false">IF(D2530="","",IFERROR(IF(ISNUMBER(SEARCH(Assumptions!$C$5,D2530)),Assumptions!$D$5,IF(ISNUMBER(SEARCH(Assumptions!$C$6,D2530)),Assumptions!$D$6,IF(ISNUMBER(SEARCH(Assumptions!$C$7,D2530)),Assumptions!$D$7,"Other Services"))),"Other Services"))</f>
        <v/>
      </c>
    </row>
    <row r="2531" customFormat="false" ht="15" hidden="false" customHeight="false" outlineLevel="0" collapsed="false">
      <c r="J2531" s="41" t="str">
        <f aca="false">IF(D2531="","",IFERROR(IF(ISNUMBER(SEARCH(Assumptions!$C$5,D2531)),Assumptions!$D$5,IF(ISNUMBER(SEARCH(Assumptions!$C$6,D2531)),Assumptions!$D$6,IF(ISNUMBER(SEARCH(Assumptions!$C$7,D2531)),Assumptions!$D$7,"Other Services"))),"Other Services"))</f>
        <v/>
      </c>
    </row>
    <row r="2532" customFormat="false" ht="15" hidden="false" customHeight="false" outlineLevel="0" collapsed="false">
      <c r="J2532" s="41" t="str">
        <f aca="false">IF(D2532="","",IFERROR(IF(ISNUMBER(SEARCH(Assumptions!$C$5,D2532)),Assumptions!$D$5,IF(ISNUMBER(SEARCH(Assumptions!$C$6,D2532)),Assumptions!$D$6,IF(ISNUMBER(SEARCH(Assumptions!$C$7,D2532)),Assumptions!$D$7,"Other Services"))),"Other Services"))</f>
        <v/>
      </c>
    </row>
    <row r="2533" customFormat="false" ht="15" hidden="false" customHeight="false" outlineLevel="0" collapsed="false">
      <c r="J2533" s="41" t="str">
        <f aca="false">IF(D2533="","",IFERROR(IF(ISNUMBER(SEARCH(Assumptions!$C$5,D2533)),Assumptions!$D$5,IF(ISNUMBER(SEARCH(Assumptions!$C$6,D2533)),Assumptions!$D$6,IF(ISNUMBER(SEARCH(Assumptions!$C$7,D2533)),Assumptions!$D$7,"Other Services"))),"Other Services"))</f>
        <v/>
      </c>
    </row>
    <row r="2534" customFormat="false" ht="15" hidden="false" customHeight="false" outlineLevel="0" collapsed="false">
      <c r="J2534" s="41" t="str">
        <f aca="false">IF(D2534="","",IFERROR(IF(ISNUMBER(SEARCH(Assumptions!$C$5,D2534)),Assumptions!$D$5,IF(ISNUMBER(SEARCH(Assumptions!$C$6,D2534)),Assumptions!$D$6,IF(ISNUMBER(SEARCH(Assumptions!$C$7,D2534)),Assumptions!$D$7,"Other Services"))),"Other Services"))</f>
        <v/>
      </c>
    </row>
    <row r="2535" customFormat="false" ht="15" hidden="false" customHeight="false" outlineLevel="0" collapsed="false">
      <c r="J2535" s="41" t="str">
        <f aca="false">IF(D2535="","",IFERROR(IF(ISNUMBER(SEARCH(Assumptions!$C$5,D2535)),Assumptions!$D$5,IF(ISNUMBER(SEARCH(Assumptions!$C$6,D2535)),Assumptions!$D$6,IF(ISNUMBER(SEARCH(Assumptions!$C$7,D2535)),Assumptions!$D$7,"Other Services"))),"Other Services"))</f>
        <v/>
      </c>
    </row>
    <row r="2536" customFormat="false" ht="15" hidden="false" customHeight="false" outlineLevel="0" collapsed="false">
      <c r="J2536" s="41" t="str">
        <f aca="false">IF(D2536="","",IFERROR(IF(ISNUMBER(SEARCH(Assumptions!$C$5,D2536)),Assumptions!$D$5,IF(ISNUMBER(SEARCH(Assumptions!$C$6,D2536)),Assumptions!$D$6,IF(ISNUMBER(SEARCH(Assumptions!$C$7,D2536)),Assumptions!$D$7,"Other Services"))),"Other Services"))</f>
        <v/>
      </c>
    </row>
    <row r="2537" customFormat="false" ht="15" hidden="false" customHeight="false" outlineLevel="0" collapsed="false">
      <c r="J2537" s="41" t="str">
        <f aca="false">IF(D2537="","",IFERROR(IF(ISNUMBER(SEARCH(Assumptions!$C$5,D2537)),Assumptions!$D$5,IF(ISNUMBER(SEARCH(Assumptions!$C$6,D2537)),Assumptions!$D$6,IF(ISNUMBER(SEARCH(Assumptions!$C$7,D2537)),Assumptions!$D$7,"Other Services"))),"Other Services"))</f>
        <v/>
      </c>
    </row>
    <row r="2538" customFormat="false" ht="15" hidden="false" customHeight="false" outlineLevel="0" collapsed="false">
      <c r="J2538" s="41" t="str">
        <f aca="false">IF(D2538="","",IFERROR(IF(ISNUMBER(SEARCH(Assumptions!$C$5,D2538)),Assumptions!$D$5,IF(ISNUMBER(SEARCH(Assumptions!$C$6,D2538)),Assumptions!$D$6,IF(ISNUMBER(SEARCH(Assumptions!$C$7,D2538)),Assumptions!$D$7,"Other Services"))),"Other Services"))</f>
        <v/>
      </c>
    </row>
    <row r="2539" customFormat="false" ht="15" hidden="false" customHeight="false" outlineLevel="0" collapsed="false">
      <c r="J2539" s="41" t="str">
        <f aca="false">IF(D2539="","",IFERROR(IF(ISNUMBER(SEARCH(Assumptions!$C$5,D2539)),Assumptions!$D$5,IF(ISNUMBER(SEARCH(Assumptions!$C$6,D2539)),Assumptions!$D$6,IF(ISNUMBER(SEARCH(Assumptions!$C$7,D2539)),Assumptions!$D$7,"Other Services"))),"Other Services"))</f>
        <v/>
      </c>
    </row>
    <row r="2540" customFormat="false" ht="15" hidden="false" customHeight="false" outlineLevel="0" collapsed="false">
      <c r="J2540" s="41" t="str">
        <f aca="false">IF(D2540="","",IFERROR(IF(ISNUMBER(SEARCH(Assumptions!$C$5,D2540)),Assumptions!$D$5,IF(ISNUMBER(SEARCH(Assumptions!$C$6,D2540)),Assumptions!$D$6,IF(ISNUMBER(SEARCH(Assumptions!$C$7,D2540)),Assumptions!$D$7,"Other Services"))),"Other Services"))</f>
        <v/>
      </c>
    </row>
    <row r="2541" customFormat="false" ht="15" hidden="false" customHeight="false" outlineLevel="0" collapsed="false">
      <c r="J2541" s="41" t="str">
        <f aca="false">IF(D2541="","",IFERROR(IF(ISNUMBER(SEARCH(Assumptions!$C$5,D2541)),Assumptions!$D$5,IF(ISNUMBER(SEARCH(Assumptions!$C$6,D2541)),Assumptions!$D$6,IF(ISNUMBER(SEARCH(Assumptions!$C$7,D2541)),Assumptions!$D$7,"Other Services"))),"Other Services"))</f>
        <v/>
      </c>
    </row>
    <row r="2542" customFormat="false" ht="15" hidden="false" customHeight="false" outlineLevel="0" collapsed="false">
      <c r="J2542" s="41" t="str">
        <f aca="false">IF(D2542="","",IFERROR(IF(ISNUMBER(SEARCH(Assumptions!$C$5,D2542)),Assumptions!$D$5,IF(ISNUMBER(SEARCH(Assumptions!$C$6,D2542)),Assumptions!$D$6,IF(ISNUMBER(SEARCH(Assumptions!$C$7,D2542)),Assumptions!$D$7,"Other Services"))),"Other Services"))</f>
        <v/>
      </c>
    </row>
    <row r="2543" customFormat="false" ht="15" hidden="false" customHeight="false" outlineLevel="0" collapsed="false">
      <c r="J2543" s="41" t="str">
        <f aca="false">IF(D2543="","",IFERROR(IF(ISNUMBER(SEARCH(Assumptions!$C$5,D2543)),Assumptions!$D$5,IF(ISNUMBER(SEARCH(Assumptions!$C$6,D2543)),Assumptions!$D$6,IF(ISNUMBER(SEARCH(Assumptions!$C$7,D2543)),Assumptions!$D$7,"Other Services"))),"Other Services"))</f>
        <v/>
      </c>
    </row>
    <row r="2544" customFormat="false" ht="15" hidden="false" customHeight="false" outlineLevel="0" collapsed="false">
      <c r="J2544" s="41" t="str">
        <f aca="false">IF(D2544="","",IFERROR(IF(ISNUMBER(SEARCH(Assumptions!$C$5,D2544)),Assumptions!$D$5,IF(ISNUMBER(SEARCH(Assumptions!$C$6,D2544)),Assumptions!$D$6,IF(ISNUMBER(SEARCH(Assumptions!$C$7,D2544)),Assumptions!$D$7,"Other Services"))),"Other Services"))</f>
        <v/>
      </c>
    </row>
    <row r="2545" customFormat="false" ht="15" hidden="false" customHeight="false" outlineLevel="0" collapsed="false">
      <c r="J2545" s="41" t="str">
        <f aca="false">IF(D2545="","",IFERROR(IF(ISNUMBER(SEARCH(Assumptions!$C$5,D2545)),Assumptions!$D$5,IF(ISNUMBER(SEARCH(Assumptions!$C$6,D2545)),Assumptions!$D$6,IF(ISNUMBER(SEARCH(Assumptions!$C$7,D2545)),Assumptions!$D$7,"Other Services"))),"Other Services"))</f>
        <v/>
      </c>
    </row>
    <row r="2546" customFormat="false" ht="15" hidden="false" customHeight="false" outlineLevel="0" collapsed="false">
      <c r="J2546" s="41" t="str">
        <f aca="false">IF(D2546="","",IFERROR(IF(ISNUMBER(SEARCH(Assumptions!$C$5,D2546)),Assumptions!$D$5,IF(ISNUMBER(SEARCH(Assumptions!$C$6,D2546)),Assumptions!$D$6,IF(ISNUMBER(SEARCH(Assumptions!$C$7,D2546)),Assumptions!$D$7,"Other Services"))),"Other Services"))</f>
        <v/>
      </c>
    </row>
    <row r="2547" customFormat="false" ht="15" hidden="false" customHeight="false" outlineLevel="0" collapsed="false">
      <c r="J2547" s="41" t="str">
        <f aca="false">IF(D2547="","",IFERROR(IF(ISNUMBER(SEARCH(Assumptions!$C$5,D2547)),Assumptions!$D$5,IF(ISNUMBER(SEARCH(Assumptions!$C$6,D2547)),Assumptions!$D$6,IF(ISNUMBER(SEARCH(Assumptions!$C$7,D2547)),Assumptions!$D$7,"Other Services"))),"Other Services"))</f>
        <v/>
      </c>
    </row>
    <row r="2548" customFormat="false" ht="15" hidden="false" customHeight="false" outlineLevel="0" collapsed="false">
      <c r="J2548" s="41" t="str">
        <f aca="false">IF(D2548="","",IFERROR(IF(ISNUMBER(SEARCH(Assumptions!$C$5,D2548)),Assumptions!$D$5,IF(ISNUMBER(SEARCH(Assumptions!$C$6,D2548)),Assumptions!$D$6,IF(ISNUMBER(SEARCH(Assumptions!$C$7,D2548)),Assumptions!$D$7,"Other Services"))),"Other Services"))</f>
        <v/>
      </c>
    </row>
    <row r="2549" customFormat="false" ht="15" hidden="false" customHeight="false" outlineLevel="0" collapsed="false">
      <c r="J2549" s="41" t="str">
        <f aca="false">IF(D2549="","",IFERROR(IF(ISNUMBER(SEARCH(Assumptions!$C$5,D2549)),Assumptions!$D$5,IF(ISNUMBER(SEARCH(Assumptions!$C$6,D2549)),Assumptions!$D$6,IF(ISNUMBER(SEARCH(Assumptions!$C$7,D2549)),Assumptions!$D$7,"Other Services"))),"Other Services"))</f>
        <v/>
      </c>
    </row>
    <row r="2550" customFormat="false" ht="15" hidden="false" customHeight="false" outlineLevel="0" collapsed="false">
      <c r="J2550" s="41" t="str">
        <f aca="false">IF(D2550="","",IFERROR(IF(ISNUMBER(SEARCH(Assumptions!$C$5,D2550)),Assumptions!$D$5,IF(ISNUMBER(SEARCH(Assumptions!$C$6,D2550)),Assumptions!$D$6,IF(ISNUMBER(SEARCH(Assumptions!$C$7,D2550)),Assumptions!$D$7,"Other Services"))),"Other Services"))</f>
        <v/>
      </c>
    </row>
    <row r="2551" customFormat="false" ht="15" hidden="false" customHeight="false" outlineLevel="0" collapsed="false">
      <c r="J2551" s="41" t="str">
        <f aca="false">IF(D2551="","",IFERROR(IF(ISNUMBER(SEARCH(Assumptions!$C$5,D2551)),Assumptions!$D$5,IF(ISNUMBER(SEARCH(Assumptions!$C$6,D2551)),Assumptions!$D$6,IF(ISNUMBER(SEARCH(Assumptions!$C$7,D2551)),Assumptions!$D$7,"Other Services"))),"Other Services"))</f>
        <v/>
      </c>
    </row>
    <row r="2552" customFormat="false" ht="15" hidden="false" customHeight="false" outlineLevel="0" collapsed="false">
      <c r="J2552" s="41" t="str">
        <f aca="false">IF(D2552="","",IFERROR(IF(ISNUMBER(SEARCH(Assumptions!$C$5,D2552)),Assumptions!$D$5,IF(ISNUMBER(SEARCH(Assumptions!$C$6,D2552)),Assumptions!$D$6,IF(ISNUMBER(SEARCH(Assumptions!$C$7,D2552)),Assumptions!$D$7,"Other Services"))),"Other Services"))</f>
        <v/>
      </c>
    </row>
    <row r="2553" customFormat="false" ht="15" hidden="false" customHeight="false" outlineLevel="0" collapsed="false">
      <c r="J2553" s="41" t="str">
        <f aca="false">IF(D2553="","",IFERROR(IF(ISNUMBER(SEARCH(Assumptions!$C$5,D2553)),Assumptions!$D$5,IF(ISNUMBER(SEARCH(Assumptions!$C$6,D2553)),Assumptions!$D$6,IF(ISNUMBER(SEARCH(Assumptions!$C$7,D2553)),Assumptions!$D$7,"Other Services"))),"Other Services"))</f>
        <v/>
      </c>
    </row>
    <row r="2554" customFormat="false" ht="15" hidden="false" customHeight="false" outlineLevel="0" collapsed="false">
      <c r="J2554" s="41" t="str">
        <f aca="false">IF(D2554="","",IFERROR(IF(ISNUMBER(SEARCH(Assumptions!$C$5,D2554)),Assumptions!$D$5,IF(ISNUMBER(SEARCH(Assumptions!$C$6,D2554)),Assumptions!$D$6,IF(ISNUMBER(SEARCH(Assumptions!$C$7,D2554)),Assumptions!$D$7,"Other Services"))),"Other Services"))</f>
        <v/>
      </c>
    </row>
    <row r="2555" customFormat="false" ht="15" hidden="false" customHeight="false" outlineLevel="0" collapsed="false">
      <c r="J2555" s="41" t="str">
        <f aca="false">IF(D2555="","",IFERROR(IF(ISNUMBER(SEARCH(Assumptions!$C$5,D2555)),Assumptions!$D$5,IF(ISNUMBER(SEARCH(Assumptions!$C$6,D2555)),Assumptions!$D$6,IF(ISNUMBER(SEARCH(Assumptions!$C$7,D2555)),Assumptions!$D$7,"Other Services"))),"Other Services"))</f>
        <v/>
      </c>
    </row>
    <row r="2556" customFormat="false" ht="15" hidden="false" customHeight="false" outlineLevel="0" collapsed="false">
      <c r="J2556" s="41" t="str">
        <f aca="false">IF(D2556="","",IFERROR(IF(ISNUMBER(SEARCH(Assumptions!$C$5,D2556)),Assumptions!$D$5,IF(ISNUMBER(SEARCH(Assumptions!$C$6,D2556)),Assumptions!$D$6,IF(ISNUMBER(SEARCH(Assumptions!$C$7,D2556)),Assumptions!$D$7,"Other Services"))),"Other Services"))</f>
        <v/>
      </c>
    </row>
    <row r="2557" customFormat="false" ht="15" hidden="false" customHeight="false" outlineLevel="0" collapsed="false">
      <c r="J2557" s="41" t="str">
        <f aca="false">IF(D2557="","",IFERROR(IF(ISNUMBER(SEARCH(Assumptions!$C$5,D2557)),Assumptions!$D$5,IF(ISNUMBER(SEARCH(Assumptions!$C$6,D2557)),Assumptions!$D$6,IF(ISNUMBER(SEARCH(Assumptions!$C$7,D2557)),Assumptions!$D$7,"Other Services"))),"Other Services"))</f>
        <v/>
      </c>
    </row>
    <row r="2558" customFormat="false" ht="15" hidden="false" customHeight="false" outlineLevel="0" collapsed="false">
      <c r="J2558" s="41" t="str">
        <f aca="false">IF(D2558="","",IFERROR(IF(ISNUMBER(SEARCH(Assumptions!$C$5,D2558)),Assumptions!$D$5,IF(ISNUMBER(SEARCH(Assumptions!$C$6,D2558)),Assumptions!$D$6,IF(ISNUMBER(SEARCH(Assumptions!$C$7,D2558)),Assumptions!$D$7,"Other Services"))),"Other Services"))</f>
        <v/>
      </c>
    </row>
    <row r="2559" customFormat="false" ht="15" hidden="false" customHeight="false" outlineLevel="0" collapsed="false">
      <c r="J2559" s="41" t="str">
        <f aca="false">IF(D2559="","",IFERROR(IF(ISNUMBER(SEARCH(Assumptions!$C$5,D2559)),Assumptions!$D$5,IF(ISNUMBER(SEARCH(Assumptions!$C$6,D2559)),Assumptions!$D$6,IF(ISNUMBER(SEARCH(Assumptions!$C$7,D2559)),Assumptions!$D$7,"Other Services"))),"Other Services"))</f>
        <v/>
      </c>
    </row>
    <row r="2560" customFormat="false" ht="15" hidden="false" customHeight="false" outlineLevel="0" collapsed="false">
      <c r="J2560" s="41" t="str">
        <f aca="false">IF(D2560="","",IFERROR(IF(ISNUMBER(SEARCH(Assumptions!$C$5,D2560)),Assumptions!$D$5,IF(ISNUMBER(SEARCH(Assumptions!$C$6,D2560)),Assumptions!$D$6,IF(ISNUMBER(SEARCH(Assumptions!$C$7,D2560)),Assumptions!$D$7,"Other Services"))),"Other Services"))</f>
        <v/>
      </c>
    </row>
    <row r="2561" customFormat="false" ht="15" hidden="false" customHeight="false" outlineLevel="0" collapsed="false">
      <c r="J2561" s="41" t="str">
        <f aca="false">IF(D2561="","",IFERROR(IF(ISNUMBER(SEARCH(Assumptions!$C$5,D2561)),Assumptions!$D$5,IF(ISNUMBER(SEARCH(Assumptions!$C$6,D2561)),Assumptions!$D$6,IF(ISNUMBER(SEARCH(Assumptions!$C$7,D2561)),Assumptions!$D$7,"Other Services"))),"Other Services"))</f>
        <v/>
      </c>
    </row>
    <row r="2562" customFormat="false" ht="15" hidden="false" customHeight="false" outlineLevel="0" collapsed="false">
      <c r="J2562" s="41" t="str">
        <f aca="false">IF(D2562="","",IFERROR(IF(ISNUMBER(SEARCH(Assumptions!$C$5,D2562)),Assumptions!$D$5,IF(ISNUMBER(SEARCH(Assumptions!$C$6,D2562)),Assumptions!$D$6,IF(ISNUMBER(SEARCH(Assumptions!$C$7,D2562)),Assumptions!$D$7,"Other Services"))),"Other Services"))</f>
        <v/>
      </c>
    </row>
    <row r="2563" customFormat="false" ht="15" hidden="false" customHeight="false" outlineLevel="0" collapsed="false">
      <c r="J2563" s="41" t="str">
        <f aca="false">IF(D2563="","",IFERROR(IF(ISNUMBER(SEARCH(Assumptions!$C$5,D2563)),Assumptions!$D$5,IF(ISNUMBER(SEARCH(Assumptions!$C$6,D2563)),Assumptions!$D$6,IF(ISNUMBER(SEARCH(Assumptions!$C$7,D2563)),Assumptions!$D$7,"Other Services"))),"Other Services"))</f>
        <v/>
      </c>
    </row>
    <row r="2564" customFormat="false" ht="15" hidden="false" customHeight="false" outlineLevel="0" collapsed="false">
      <c r="J2564" s="41" t="str">
        <f aca="false">IF(D2564="","",IFERROR(IF(ISNUMBER(SEARCH(Assumptions!$C$5,D2564)),Assumptions!$D$5,IF(ISNUMBER(SEARCH(Assumptions!$C$6,D2564)),Assumptions!$D$6,IF(ISNUMBER(SEARCH(Assumptions!$C$7,D2564)),Assumptions!$D$7,"Other Services"))),"Other Services"))</f>
        <v/>
      </c>
    </row>
    <row r="2565" customFormat="false" ht="15" hidden="false" customHeight="false" outlineLevel="0" collapsed="false">
      <c r="J2565" s="41" t="str">
        <f aca="false">IF(D2565="","",IFERROR(IF(ISNUMBER(SEARCH(Assumptions!$C$5,D2565)),Assumptions!$D$5,IF(ISNUMBER(SEARCH(Assumptions!$C$6,D2565)),Assumptions!$D$6,IF(ISNUMBER(SEARCH(Assumptions!$C$7,D2565)),Assumptions!$D$7,"Other Services"))),"Other Services"))</f>
        <v/>
      </c>
    </row>
    <row r="2566" customFormat="false" ht="15" hidden="false" customHeight="false" outlineLevel="0" collapsed="false">
      <c r="J2566" s="41" t="str">
        <f aca="false">IF(D2566="","",IFERROR(IF(ISNUMBER(SEARCH(Assumptions!$C$5,D2566)),Assumptions!$D$5,IF(ISNUMBER(SEARCH(Assumptions!$C$6,D2566)),Assumptions!$D$6,IF(ISNUMBER(SEARCH(Assumptions!$C$7,D2566)),Assumptions!$D$7,"Other Services"))),"Other Services"))</f>
        <v/>
      </c>
    </row>
    <row r="2567" customFormat="false" ht="15" hidden="false" customHeight="false" outlineLevel="0" collapsed="false">
      <c r="J2567" s="41" t="str">
        <f aca="false">IF(D2567="","",IFERROR(IF(ISNUMBER(SEARCH(Assumptions!$C$5,D2567)),Assumptions!$D$5,IF(ISNUMBER(SEARCH(Assumptions!$C$6,D2567)),Assumptions!$D$6,IF(ISNUMBER(SEARCH(Assumptions!$C$7,D2567)),Assumptions!$D$7,"Other Services"))),"Other Services"))</f>
        <v/>
      </c>
    </row>
    <row r="2568" customFormat="false" ht="15" hidden="false" customHeight="false" outlineLevel="0" collapsed="false">
      <c r="J2568" s="41" t="str">
        <f aca="false">IF(D2568="","",IFERROR(IF(ISNUMBER(SEARCH(Assumptions!$C$5,D2568)),Assumptions!$D$5,IF(ISNUMBER(SEARCH(Assumptions!$C$6,D2568)),Assumptions!$D$6,IF(ISNUMBER(SEARCH(Assumptions!$C$7,D2568)),Assumptions!$D$7,"Other Services"))),"Other Services"))</f>
        <v/>
      </c>
    </row>
    <row r="2569" customFormat="false" ht="15" hidden="false" customHeight="false" outlineLevel="0" collapsed="false">
      <c r="J2569" s="41" t="str">
        <f aca="false">IF(D2569="","",IFERROR(IF(ISNUMBER(SEARCH(Assumptions!$C$5,D2569)),Assumptions!$D$5,IF(ISNUMBER(SEARCH(Assumptions!$C$6,D2569)),Assumptions!$D$6,IF(ISNUMBER(SEARCH(Assumptions!$C$7,D2569)),Assumptions!$D$7,"Other Services"))),"Other Services"))</f>
        <v/>
      </c>
    </row>
    <row r="2570" customFormat="false" ht="15" hidden="false" customHeight="false" outlineLevel="0" collapsed="false">
      <c r="J2570" s="41" t="str">
        <f aca="false">IF(D2570="","",IFERROR(IF(ISNUMBER(SEARCH(Assumptions!$C$5,D2570)),Assumptions!$D$5,IF(ISNUMBER(SEARCH(Assumptions!$C$6,D2570)),Assumptions!$D$6,IF(ISNUMBER(SEARCH(Assumptions!$C$7,D2570)),Assumptions!$D$7,"Other Services"))),"Other Services"))</f>
        <v/>
      </c>
    </row>
    <row r="2571" customFormat="false" ht="15" hidden="false" customHeight="false" outlineLevel="0" collapsed="false">
      <c r="J2571" s="41" t="str">
        <f aca="false">IF(D2571="","",IFERROR(IF(ISNUMBER(SEARCH(Assumptions!$C$5,D2571)),Assumptions!$D$5,IF(ISNUMBER(SEARCH(Assumptions!$C$6,D2571)),Assumptions!$D$6,IF(ISNUMBER(SEARCH(Assumptions!$C$7,D2571)),Assumptions!$D$7,"Other Services"))),"Other Services"))</f>
        <v/>
      </c>
    </row>
    <row r="2572" customFormat="false" ht="15" hidden="false" customHeight="false" outlineLevel="0" collapsed="false">
      <c r="J2572" s="41" t="str">
        <f aca="false">IF(D2572="","",IFERROR(IF(ISNUMBER(SEARCH(Assumptions!$C$5,D2572)),Assumptions!$D$5,IF(ISNUMBER(SEARCH(Assumptions!$C$6,D2572)),Assumptions!$D$6,IF(ISNUMBER(SEARCH(Assumptions!$C$7,D2572)),Assumptions!$D$7,"Other Services"))),"Other Services"))</f>
        <v/>
      </c>
    </row>
    <row r="2573" customFormat="false" ht="15" hidden="false" customHeight="false" outlineLevel="0" collapsed="false">
      <c r="J2573" s="41" t="str">
        <f aca="false">IF(D2573="","",IFERROR(IF(ISNUMBER(SEARCH(Assumptions!$C$5,D2573)),Assumptions!$D$5,IF(ISNUMBER(SEARCH(Assumptions!$C$6,D2573)),Assumptions!$D$6,IF(ISNUMBER(SEARCH(Assumptions!$C$7,D2573)),Assumptions!$D$7,"Other Services"))),"Other Services"))</f>
        <v/>
      </c>
    </row>
    <row r="2574" customFormat="false" ht="15" hidden="false" customHeight="false" outlineLevel="0" collapsed="false">
      <c r="J2574" s="41" t="str">
        <f aca="false">IF(D2574="","",IFERROR(IF(ISNUMBER(SEARCH(Assumptions!$C$5,D2574)),Assumptions!$D$5,IF(ISNUMBER(SEARCH(Assumptions!$C$6,D2574)),Assumptions!$D$6,IF(ISNUMBER(SEARCH(Assumptions!$C$7,D2574)),Assumptions!$D$7,"Other Services"))),"Other Services"))</f>
        <v/>
      </c>
    </row>
    <row r="2575" customFormat="false" ht="15" hidden="false" customHeight="false" outlineLevel="0" collapsed="false">
      <c r="J2575" s="41" t="str">
        <f aca="false">IF(D2575="","",IFERROR(IF(ISNUMBER(SEARCH(Assumptions!$C$5,D2575)),Assumptions!$D$5,IF(ISNUMBER(SEARCH(Assumptions!$C$6,D2575)),Assumptions!$D$6,IF(ISNUMBER(SEARCH(Assumptions!$C$7,D2575)),Assumptions!$D$7,"Other Services"))),"Other Services"))</f>
        <v/>
      </c>
    </row>
    <row r="2576" customFormat="false" ht="15" hidden="false" customHeight="false" outlineLevel="0" collapsed="false">
      <c r="J2576" s="41" t="str">
        <f aca="false">IF(D2576="","",IFERROR(IF(ISNUMBER(SEARCH(Assumptions!$C$5,D2576)),Assumptions!$D$5,IF(ISNUMBER(SEARCH(Assumptions!$C$6,D2576)),Assumptions!$D$6,IF(ISNUMBER(SEARCH(Assumptions!$C$7,D2576)),Assumptions!$D$7,"Other Services"))),"Other Services"))</f>
        <v/>
      </c>
    </row>
    <row r="2577" customFormat="false" ht="15" hidden="false" customHeight="false" outlineLevel="0" collapsed="false">
      <c r="J2577" s="41" t="str">
        <f aca="false">IF(D2577="","",IFERROR(IF(ISNUMBER(SEARCH(Assumptions!$C$5,D2577)),Assumptions!$D$5,IF(ISNUMBER(SEARCH(Assumptions!$C$6,D2577)),Assumptions!$D$6,IF(ISNUMBER(SEARCH(Assumptions!$C$7,D2577)),Assumptions!$D$7,"Other Services"))),"Other Services"))</f>
        <v/>
      </c>
    </row>
    <row r="2578" customFormat="false" ht="15" hidden="false" customHeight="false" outlineLevel="0" collapsed="false">
      <c r="J2578" s="41" t="str">
        <f aca="false">IF(D2578="","",IFERROR(IF(ISNUMBER(SEARCH(Assumptions!$C$5,D2578)),Assumptions!$D$5,IF(ISNUMBER(SEARCH(Assumptions!$C$6,D2578)),Assumptions!$D$6,IF(ISNUMBER(SEARCH(Assumptions!$C$7,D2578)),Assumptions!$D$7,"Other Services"))),"Other Services"))</f>
        <v/>
      </c>
    </row>
    <row r="2579" customFormat="false" ht="15" hidden="false" customHeight="false" outlineLevel="0" collapsed="false">
      <c r="J2579" s="41" t="str">
        <f aca="false">IF(D2579="","",IFERROR(IF(ISNUMBER(SEARCH(Assumptions!$C$5,D2579)),Assumptions!$D$5,IF(ISNUMBER(SEARCH(Assumptions!$C$6,D2579)),Assumptions!$D$6,IF(ISNUMBER(SEARCH(Assumptions!$C$7,D2579)),Assumptions!$D$7,"Other Services"))),"Other Services"))</f>
        <v/>
      </c>
    </row>
    <row r="2580" customFormat="false" ht="15" hidden="false" customHeight="false" outlineLevel="0" collapsed="false">
      <c r="J2580" s="41" t="str">
        <f aca="false">IF(D2580="","",IFERROR(IF(ISNUMBER(SEARCH(Assumptions!$C$5,D2580)),Assumptions!$D$5,IF(ISNUMBER(SEARCH(Assumptions!$C$6,D2580)),Assumptions!$D$6,IF(ISNUMBER(SEARCH(Assumptions!$C$7,D2580)),Assumptions!$D$7,"Other Services"))),"Other Services"))</f>
        <v/>
      </c>
    </row>
    <row r="2581" customFormat="false" ht="15" hidden="false" customHeight="false" outlineLevel="0" collapsed="false">
      <c r="J2581" s="41" t="str">
        <f aca="false">IF(D2581="","",IFERROR(IF(ISNUMBER(SEARCH(Assumptions!$C$5,D2581)),Assumptions!$D$5,IF(ISNUMBER(SEARCH(Assumptions!$C$6,D2581)),Assumptions!$D$6,IF(ISNUMBER(SEARCH(Assumptions!$C$7,D2581)),Assumptions!$D$7,"Other Services"))),"Other Services"))</f>
        <v/>
      </c>
    </row>
    <row r="2582" customFormat="false" ht="15" hidden="false" customHeight="false" outlineLevel="0" collapsed="false">
      <c r="J2582" s="41" t="str">
        <f aca="false">IF(D2582="","",IFERROR(IF(ISNUMBER(SEARCH(Assumptions!$C$5,D2582)),Assumptions!$D$5,IF(ISNUMBER(SEARCH(Assumptions!$C$6,D2582)),Assumptions!$D$6,IF(ISNUMBER(SEARCH(Assumptions!$C$7,D2582)),Assumptions!$D$7,"Other Services"))),"Other Services"))</f>
        <v/>
      </c>
    </row>
    <row r="2583" customFormat="false" ht="15" hidden="false" customHeight="false" outlineLevel="0" collapsed="false">
      <c r="J2583" s="41" t="str">
        <f aca="false">IF(D2583="","",IFERROR(IF(ISNUMBER(SEARCH(Assumptions!$C$5,D2583)),Assumptions!$D$5,IF(ISNUMBER(SEARCH(Assumptions!$C$6,D2583)),Assumptions!$D$6,IF(ISNUMBER(SEARCH(Assumptions!$C$7,D2583)),Assumptions!$D$7,"Other Services"))),"Other Services"))</f>
        <v/>
      </c>
    </row>
    <row r="2584" customFormat="false" ht="15" hidden="false" customHeight="false" outlineLevel="0" collapsed="false">
      <c r="J2584" s="41" t="str">
        <f aca="false">IF(D2584="","",IFERROR(IF(ISNUMBER(SEARCH(Assumptions!$C$5,D2584)),Assumptions!$D$5,IF(ISNUMBER(SEARCH(Assumptions!$C$6,D2584)),Assumptions!$D$6,IF(ISNUMBER(SEARCH(Assumptions!$C$7,D2584)),Assumptions!$D$7,"Other Services"))),"Other Services"))</f>
        <v/>
      </c>
    </row>
    <row r="2585" customFormat="false" ht="15" hidden="false" customHeight="false" outlineLevel="0" collapsed="false">
      <c r="J2585" s="41" t="str">
        <f aca="false">IF(D2585="","",IFERROR(IF(ISNUMBER(SEARCH(Assumptions!$C$5,D2585)),Assumptions!$D$5,IF(ISNUMBER(SEARCH(Assumptions!$C$6,D2585)),Assumptions!$D$6,IF(ISNUMBER(SEARCH(Assumptions!$C$7,D2585)),Assumptions!$D$7,"Other Services"))),"Other Services"))</f>
        <v/>
      </c>
    </row>
    <row r="2586" customFormat="false" ht="15" hidden="false" customHeight="false" outlineLevel="0" collapsed="false">
      <c r="J2586" s="41" t="str">
        <f aca="false">IF(D2586="","",IFERROR(IF(ISNUMBER(SEARCH(Assumptions!$C$5,D2586)),Assumptions!$D$5,IF(ISNUMBER(SEARCH(Assumptions!$C$6,D2586)),Assumptions!$D$6,IF(ISNUMBER(SEARCH(Assumptions!$C$7,D2586)),Assumptions!$D$7,"Other Services"))),"Other Services"))</f>
        <v/>
      </c>
    </row>
    <row r="2587" customFormat="false" ht="15" hidden="false" customHeight="false" outlineLevel="0" collapsed="false">
      <c r="J2587" s="41" t="str">
        <f aca="false">IF(D2587="","",IFERROR(IF(ISNUMBER(SEARCH(Assumptions!$C$5,D2587)),Assumptions!$D$5,IF(ISNUMBER(SEARCH(Assumptions!$C$6,D2587)),Assumptions!$D$6,IF(ISNUMBER(SEARCH(Assumptions!$C$7,D2587)),Assumptions!$D$7,"Other Services"))),"Other Services"))</f>
        <v/>
      </c>
    </row>
    <row r="2588" customFormat="false" ht="15" hidden="false" customHeight="false" outlineLevel="0" collapsed="false">
      <c r="J2588" s="41" t="str">
        <f aca="false">IF(D2588="","",IFERROR(IF(ISNUMBER(SEARCH(Assumptions!$C$5,D2588)),Assumptions!$D$5,IF(ISNUMBER(SEARCH(Assumptions!$C$6,D2588)),Assumptions!$D$6,IF(ISNUMBER(SEARCH(Assumptions!$C$7,D2588)),Assumptions!$D$7,"Other Services"))),"Other Services"))</f>
        <v/>
      </c>
    </row>
    <row r="2589" customFormat="false" ht="15" hidden="false" customHeight="false" outlineLevel="0" collapsed="false">
      <c r="J2589" s="41" t="str">
        <f aca="false">IF(D2589="","",IFERROR(IF(ISNUMBER(SEARCH(Assumptions!$C$5,D2589)),Assumptions!$D$5,IF(ISNUMBER(SEARCH(Assumptions!$C$6,D2589)),Assumptions!$D$6,IF(ISNUMBER(SEARCH(Assumptions!$C$7,D2589)),Assumptions!$D$7,"Other Services"))),"Other Services"))</f>
        <v/>
      </c>
    </row>
    <row r="2590" customFormat="false" ht="15" hidden="false" customHeight="false" outlineLevel="0" collapsed="false">
      <c r="J2590" s="41" t="str">
        <f aca="false">IF(D2590="","",IFERROR(IF(ISNUMBER(SEARCH(Assumptions!$C$5,D2590)),Assumptions!$D$5,IF(ISNUMBER(SEARCH(Assumptions!$C$6,D2590)),Assumptions!$D$6,IF(ISNUMBER(SEARCH(Assumptions!$C$7,D2590)),Assumptions!$D$7,"Other Services"))),"Other Services"))</f>
        <v/>
      </c>
    </row>
    <row r="2591" customFormat="false" ht="15" hidden="false" customHeight="false" outlineLevel="0" collapsed="false">
      <c r="J2591" s="41" t="str">
        <f aca="false">IF(D2591="","",IFERROR(IF(ISNUMBER(SEARCH(Assumptions!$C$5,D2591)),Assumptions!$D$5,IF(ISNUMBER(SEARCH(Assumptions!$C$6,D2591)),Assumptions!$D$6,IF(ISNUMBER(SEARCH(Assumptions!$C$7,D2591)),Assumptions!$D$7,"Other Services"))),"Other Services"))</f>
        <v/>
      </c>
    </row>
    <row r="2592" customFormat="false" ht="15" hidden="false" customHeight="false" outlineLevel="0" collapsed="false">
      <c r="J2592" s="41" t="str">
        <f aca="false">IF(D2592="","",IFERROR(IF(ISNUMBER(SEARCH(Assumptions!$C$5,D2592)),Assumptions!$D$5,IF(ISNUMBER(SEARCH(Assumptions!$C$6,D2592)),Assumptions!$D$6,IF(ISNUMBER(SEARCH(Assumptions!$C$7,D2592)),Assumptions!$D$7,"Other Services"))),"Other Services"))</f>
        <v/>
      </c>
    </row>
    <row r="2593" customFormat="false" ht="15" hidden="false" customHeight="false" outlineLevel="0" collapsed="false">
      <c r="J2593" s="41" t="str">
        <f aca="false">IF(D2593="","",IFERROR(IF(ISNUMBER(SEARCH(Assumptions!$C$5,D2593)),Assumptions!$D$5,IF(ISNUMBER(SEARCH(Assumptions!$C$6,D2593)),Assumptions!$D$6,IF(ISNUMBER(SEARCH(Assumptions!$C$7,D2593)),Assumptions!$D$7,"Other Services"))),"Other Services"))</f>
        <v/>
      </c>
    </row>
    <row r="2594" customFormat="false" ht="15" hidden="false" customHeight="false" outlineLevel="0" collapsed="false">
      <c r="J2594" s="41" t="str">
        <f aca="false">IF(D2594="","",IFERROR(IF(ISNUMBER(SEARCH(Assumptions!$C$5,D2594)),Assumptions!$D$5,IF(ISNUMBER(SEARCH(Assumptions!$C$6,D2594)),Assumptions!$D$6,IF(ISNUMBER(SEARCH(Assumptions!$C$7,D2594)),Assumptions!$D$7,"Other Services"))),"Other Services"))</f>
        <v/>
      </c>
    </row>
    <row r="2595" customFormat="false" ht="15" hidden="false" customHeight="false" outlineLevel="0" collapsed="false">
      <c r="J2595" s="41" t="str">
        <f aca="false">IF(D2595="","",IFERROR(IF(ISNUMBER(SEARCH(Assumptions!$C$5,D2595)),Assumptions!$D$5,IF(ISNUMBER(SEARCH(Assumptions!$C$6,D2595)),Assumptions!$D$6,IF(ISNUMBER(SEARCH(Assumptions!$C$7,D2595)),Assumptions!$D$7,"Other Services"))),"Other Services"))</f>
        <v/>
      </c>
    </row>
    <row r="2596" customFormat="false" ht="15" hidden="false" customHeight="false" outlineLevel="0" collapsed="false">
      <c r="J2596" s="41" t="str">
        <f aca="false">IF(D2596="","",IFERROR(IF(ISNUMBER(SEARCH(Assumptions!$C$5,D2596)),Assumptions!$D$5,IF(ISNUMBER(SEARCH(Assumptions!$C$6,D2596)),Assumptions!$D$6,IF(ISNUMBER(SEARCH(Assumptions!$C$7,D2596)),Assumptions!$D$7,"Other Services"))),"Other Services"))</f>
        <v/>
      </c>
    </row>
    <row r="2597" customFormat="false" ht="15" hidden="false" customHeight="false" outlineLevel="0" collapsed="false">
      <c r="J2597" s="41" t="str">
        <f aca="false">IF(D2597="","",IFERROR(IF(ISNUMBER(SEARCH(Assumptions!$C$5,D2597)),Assumptions!$D$5,IF(ISNUMBER(SEARCH(Assumptions!$C$6,D2597)),Assumptions!$D$6,IF(ISNUMBER(SEARCH(Assumptions!$C$7,D2597)),Assumptions!$D$7,"Other Services"))),"Other Services"))</f>
        <v/>
      </c>
    </row>
    <row r="2598" customFormat="false" ht="15" hidden="false" customHeight="false" outlineLevel="0" collapsed="false">
      <c r="J2598" s="41" t="str">
        <f aca="false">IF(D2598="","",IFERROR(IF(ISNUMBER(SEARCH(Assumptions!$C$5,D2598)),Assumptions!$D$5,IF(ISNUMBER(SEARCH(Assumptions!$C$6,D2598)),Assumptions!$D$6,IF(ISNUMBER(SEARCH(Assumptions!$C$7,D2598)),Assumptions!$D$7,"Other Services"))),"Other Services"))</f>
        <v/>
      </c>
    </row>
    <row r="2599" customFormat="false" ht="15" hidden="false" customHeight="false" outlineLevel="0" collapsed="false">
      <c r="J2599" s="41" t="str">
        <f aca="false">IF(D2599="","",IFERROR(IF(ISNUMBER(SEARCH(Assumptions!$C$5,D2599)),Assumptions!$D$5,IF(ISNUMBER(SEARCH(Assumptions!$C$6,D2599)),Assumptions!$D$6,IF(ISNUMBER(SEARCH(Assumptions!$C$7,D2599)),Assumptions!$D$7,"Other Services"))),"Other Services"))</f>
        <v/>
      </c>
    </row>
    <row r="2600" customFormat="false" ht="15" hidden="false" customHeight="false" outlineLevel="0" collapsed="false">
      <c r="J2600" s="41" t="str">
        <f aca="false">IF(D2600="","",IFERROR(IF(ISNUMBER(SEARCH(Assumptions!$C$5,D2600)),Assumptions!$D$5,IF(ISNUMBER(SEARCH(Assumptions!$C$6,D2600)),Assumptions!$D$6,IF(ISNUMBER(SEARCH(Assumptions!$C$7,D2600)),Assumptions!$D$7,"Other Services"))),"Other Services"))</f>
        <v/>
      </c>
    </row>
    <row r="2601" customFormat="false" ht="15" hidden="false" customHeight="false" outlineLevel="0" collapsed="false">
      <c r="J2601" s="41" t="str">
        <f aca="false">IF(D2601="","",IFERROR(IF(ISNUMBER(SEARCH(Assumptions!$C$5,D2601)),Assumptions!$D$5,IF(ISNUMBER(SEARCH(Assumptions!$C$6,D2601)),Assumptions!$D$6,IF(ISNUMBER(SEARCH(Assumptions!$C$7,D2601)),Assumptions!$D$7,"Other Services"))),"Other Services"))</f>
        <v/>
      </c>
    </row>
    <row r="2602" customFormat="false" ht="15" hidden="false" customHeight="false" outlineLevel="0" collapsed="false">
      <c r="J2602" s="41" t="str">
        <f aca="false">IF(D2602="","",IFERROR(IF(ISNUMBER(SEARCH(Assumptions!$C$5,D2602)),Assumptions!$D$5,IF(ISNUMBER(SEARCH(Assumptions!$C$6,D2602)),Assumptions!$D$6,IF(ISNUMBER(SEARCH(Assumptions!$C$7,D2602)),Assumptions!$D$7,"Other Services"))),"Other Services"))</f>
        <v/>
      </c>
    </row>
    <row r="2603" customFormat="false" ht="15" hidden="false" customHeight="false" outlineLevel="0" collapsed="false">
      <c r="J2603" s="41" t="str">
        <f aca="false">IF(D2603="","",IFERROR(IF(ISNUMBER(SEARCH(Assumptions!$C$5,D2603)),Assumptions!$D$5,IF(ISNUMBER(SEARCH(Assumptions!$C$6,D2603)),Assumptions!$D$6,IF(ISNUMBER(SEARCH(Assumptions!$C$7,D2603)),Assumptions!$D$7,"Other Services"))),"Other Services"))</f>
        <v/>
      </c>
    </row>
    <row r="2604" customFormat="false" ht="15" hidden="false" customHeight="false" outlineLevel="0" collapsed="false">
      <c r="J2604" s="41" t="str">
        <f aca="false">IF(D2604="","",IFERROR(IF(ISNUMBER(SEARCH(Assumptions!$C$5,D2604)),Assumptions!$D$5,IF(ISNUMBER(SEARCH(Assumptions!$C$6,D2604)),Assumptions!$D$6,IF(ISNUMBER(SEARCH(Assumptions!$C$7,D2604)),Assumptions!$D$7,"Other Services"))),"Other Services"))</f>
        <v/>
      </c>
    </row>
    <row r="2605" customFormat="false" ht="15" hidden="false" customHeight="false" outlineLevel="0" collapsed="false">
      <c r="J2605" s="41" t="str">
        <f aca="false">IF(D2605="","",IFERROR(IF(ISNUMBER(SEARCH(Assumptions!$C$5,D2605)),Assumptions!$D$5,IF(ISNUMBER(SEARCH(Assumptions!$C$6,D2605)),Assumptions!$D$6,IF(ISNUMBER(SEARCH(Assumptions!$C$7,D2605)),Assumptions!$D$7,"Other Services"))),"Other Services"))</f>
        <v/>
      </c>
    </row>
    <row r="2606" customFormat="false" ht="15" hidden="false" customHeight="false" outlineLevel="0" collapsed="false">
      <c r="J2606" s="41" t="str">
        <f aca="false">IF(D2606="","",IFERROR(IF(ISNUMBER(SEARCH(Assumptions!$C$5,D2606)),Assumptions!$D$5,IF(ISNUMBER(SEARCH(Assumptions!$C$6,D2606)),Assumptions!$D$6,IF(ISNUMBER(SEARCH(Assumptions!$C$7,D2606)),Assumptions!$D$7,"Other Services"))),"Other Services"))</f>
        <v/>
      </c>
    </row>
    <row r="2607" customFormat="false" ht="15" hidden="false" customHeight="false" outlineLevel="0" collapsed="false">
      <c r="J2607" s="41" t="str">
        <f aca="false">IF(D2607="","",IFERROR(IF(ISNUMBER(SEARCH(Assumptions!$C$5,D2607)),Assumptions!$D$5,IF(ISNUMBER(SEARCH(Assumptions!$C$6,D2607)),Assumptions!$D$6,IF(ISNUMBER(SEARCH(Assumptions!$C$7,D2607)),Assumptions!$D$7,"Other Services"))),"Other Services"))</f>
        <v/>
      </c>
    </row>
    <row r="2608" customFormat="false" ht="15" hidden="false" customHeight="false" outlineLevel="0" collapsed="false">
      <c r="J2608" s="41" t="str">
        <f aca="false">IF(D2608="","",IFERROR(IF(ISNUMBER(SEARCH(Assumptions!$C$5,D2608)),Assumptions!$D$5,IF(ISNUMBER(SEARCH(Assumptions!$C$6,D2608)),Assumptions!$D$6,IF(ISNUMBER(SEARCH(Assumptions!$C$7,D2608)),Assumptions!$D$7,"Other Services"))),"Other Services"))</f>
        <v/>
      </c>
    </row>
    <row r="2609" customFormat="false" ht="15" hidden="false" customHeight="false" outlineLevel="0" collapsed="false">
      <c r="J2609" s="41" t="str">
        <f aca="false">IF(D2609="","",IFERROR(IF(ISNUMBER(SEARCH(Assumptions!$C$5,D2609)),Assumptions!$D$5,IF(ISNUMBER(SEARCH(Assumptions!$C$6,D2609)),Assumptions!$D$6,IF(ISNUMBER(SEARCH(Assumptions!$C$7,D2609)),Assumptions!$D$7,"Other Services"))),"Other Services"))</f>
        <v/>
      </c>
    </row>
    <row r="2610" customFormat="false" ht="15" hidden="false" customHeight="false" outlineLevel="0" collapsed="false">
      <c r="J2610" s="41" t="str">
        <f aca="false">IF(D2610="","",IFERROR(IF(ISNUMBER(SEARCH(Assumptions!$C$5,D2610)),Assumptions!$D$5,IF(ISNUMBER(SEARCH(Assumptions!$C$6,D2610)),Assumptions!$D$6,IF(ISNUMBER(SEARCH(Assumptions!$C$7,D2610)),Assumptions!$D$7,"Other Services"))),"Other Services"))</f>
        <v/>
      </c>
    </row>
    <row r="2611" customFormat="false" ht="15" hidden="false" customHeight="false" outlineLevel="0" collapsed="false">
      <c r="J2611" s="41" t="str">
        <f aca="false">IF(D2611="","",IFERROR(IF(ISNUMBER(SEARCH(Assumptions!$C$5,D2611)),Assumptions!$D$5,IF(ISNUMBER(SEARCH(Assumptions!$C$6,D2611)),Assumptions!$D$6,IF(ISNUMBER(SEARCH(Assumptions!$C$7,D2611)),Assumptions!$D$7,"Other Services"))),"Other Services"))</f>
        <v/>
      </c>
    </row>
    <row r="2612" customFormat="false" ht="15" hidden="false" customHeight="false" outlineLevel="0" collapsed="false">
      <c r="J2612" s="41" t="str">
        <f aca="false">IF(D2612="","",IFERROR(IF(ISNUMBER(SEARCH(Assumptions!$C$5,D2612)),Assumptions!$D$5,IF(ISNUMBER(SEARCH(Assumptions!$C$6,D2612)),Assumptions!$D$6,IF(ISNUMBER(SEARCH(Assumptions!$C$7,D2612)),Assumptions!$D$7,"Other Services"))),"Other Services"))</f>
        <v/>
      </c>
    </row>
    <row r="2613" customFormat="false" ht="15" hidden="false" customHeight="false" outlineLevel="0" collapsed="false">
      <c r="J2613" s="41" t="str">
        <f aca="false">IF(D2613="","",IFERROR(IF(ISNUMBER(SEARCH(Assumptions!$C$5,D2613)),Assumptions!$D$5,IF(ISNUMBER(SEARCH(Assumptions!$C$6,D2613)),Assumptions!$D$6,IF(ISNUMBER(SEARCH(Assumptions!$C$7,D2613)),Assumptions!$D$7,"Other Services"))),"Other Services"))</f>
        <v/>
      </c>
    </row>
    <row r="2614" customFormat="false" ht="15" hidden="false" customHeight="false" outlineLevel="0" collapsed="false">
      <c r="J2614" s="41" t="str">
        <f aca="false">IF(D2614="","",IFERROR(IF(ISNUMBER(SEARCH(Assumptions!$C$5,D2614)),Assumptions!$D$5,IF(ISNUMBER(SEARCH(Assumptions!$C$6,D2614)),Assumptions!$D$6,IF(ISNUMBER(SEARCH(Assumptions!$C$7,D2614)),Assumptions!$D$7,"Other Services"))),"Other Services"))</f>
        <v/>
      </c>
    </row>
    <row r="2615" customFormat="false" ht="15" hidden="false" customHeight="false" outlineLevel="0" collapsed="false">
      <c r="J2615" s="41" t="str">
        <f aca="false">IF(D2615="","",IFERROR(IF(ISNUMBER(SEARCH(Assumptions!$C$5,D2615)),Assumptions!$D$5,IF(ISNUMBER(SEARCH(Assumptions!$C$6,D2615)),Assumptions!$D$6,IF(ISNUMBER(SEARCH(Assumptions!$C$7,D2615)),Assumptions!$D$7,"Other Services"))),"Other Services"))</f>
        <v/>
      </c>
    </row>
    <row r="2616" customFormat="false" ht="15" hidden="false" customHeight="false" outlineLevel="0" collapsed="false">
      <c r="J2616" s="41" t="str">
        <f aca="false">IF(D2616="","",IFERROR(IF(ISNUMBER(SEARCH(Assumptions!$C$5,D2616)),Assumptions!$D$5,IF(ISNUMBER(SEARCH(Assumptions!$C$6,D2616)),Assumptions!$D$6,IF(ISNUMBER(SEARCH(Assumptions!$C$7,D2616)),Assumptions!$D$7,"Other Services"))),"Other Services"))</f>
        <v/>
      </c>
    </row>
    <row r="2617" customFormat="false" ht="15" hidden="false" customHeight="false" outlineLevel="0" collapsed="false">
      <c r="J2617" s="41" t="str">
        <f aca="false">IF(D2617="","",IFERROR(IF(ISNUMBER(SEARCH(Assumptions!$C$5,D2617)),Assumptions!$D$5,IF(ISNUMBER(SEARCH(Assumptions!$C$6,D2617)),Assumptions!$D$6,IF(ISNUMBER(SEARCH(Assumptions!$C$7,D2617)),Assumptions!$D$7,"Other Services"))),"Other Services"))</f>
        <v/>
      </c>
    </row>
    <row r="2618" customFormat="false" ht="15" hidden="false" customHeight="false" outlineLevel="0" collapsed="false">
      <c r="J2618" s="41" t="str">
        <f aca="false">IF(D2618="","",IFERROR(IF(ISNUMBER(SEARCH(Assumptions!$C$5,D2618)),Assumptions!$D$5,IF(ISNUMBER(SEARCH(Assumptions!$C$6,D2618)),Assumptions!$D$6,IF(ISNUMBER(SEARCH(Assumptions!$C$7,D2618)),Assumptions!$D$7,"Other Services"))),"Other Services"))</f>
        <v/>
      </c>
    </row>
    <row r="2619" customFormat="false" ht="15" hidden="false" customHeight="false" outlineLevel="0" collapsed="false">
      <c r="J2619" s="41" t="str">
        <f aca="false">IF(D2619="","",IFERROR(IF(ISNUMBER(SEARCH(Assumptions!$C$5,D2619)),Assumptions!$D$5,IF(ISNUMBER(SEARCH(Assumptions!$C$6,D2619)),Assumptions!$D$6,IF(ISNUMBER(SEARCH(Assumptions!$C$7,D2619)),Assumptions!$D$7,"Other Services"))),"Other Services"))</f>
        <v/>
      </c>
    </row>
    <row r="2620" customFormat="false" ht="15" hidden="false" customHeight="false" outlineLevel="0" collapsed="false">
      <c r="J2620" s="41" t="str">
        <f aca="false">IF(D2620="","",IFERROR(IF(ISNUMBER(SEARCH(Assumptions!$C$5,D2620)),Assumptions!$D$5,IF(ISNUMBER(SEARCH(Assumptions!$C$6,D2620)),Assumptions!$D$6,IF(ISNUMBER(SEARCH(Assumptions!$C$7,D2620)),Assumptions!$D$7,"Other Services"))),"Other Services"))</f>
        <v/>
      </c>
    </row>
    <row r="2621" customFormat="false" ht="15" hidden="false" customHeight="false" outlineLevel="0" collapsed="false">
      <c r="J2621" s="41" t="str">
        <f aca="false">IF(D2621="","",IFERROR(IF(ISNUMBER(SEARCH(Assumptions!$C$5,D2621)),Assumptions!$D$5,IF(ISNUMBER(SEARCH(Assumptions!$C$6,D2621)),Assumptions!$D$6,IF(ISNUMBER(SEARCH(Assumptions!$C$7,D2621)),Assumptions!$D$7,"Other Services"))),"Other Services"))</f>
        <v/>
      </c>
    </row>
    <row r="2622" customFormat="false" ht="15" hidden="false" customHeight="false" outlineLevel="0" collapsed="false">
      <c r="J2622" s="41" t="str">
        <f aca="false">IF(D2622="","",IFERROR(IF(ISNUMBER(SEARCH(Assumptions!$C$5,D2622)),Assumptions!$D$5,IF(ISNUMBER(SEARCH(Assumptions!$C$6,D2622)),Assumptions!$D$6,IF(ISNUMBER(SEARCH(Assumptions!$C$7,D2622)),Assumptions!$D$7,"Other Services"))),"Other Services"))</f>
        <v/>
      </c>
    </row>
    <row r="2623" customFormat="false" ht="15" hidden="false" customHeight="false" outlineLevel="0" collapsed="false">
      <c r="J2623" s="41" t="str">
        <f aca="false">IF(D2623="","",IFERROR(IF(ISNUMBER(SEARCH(Assumptions!$C$5,D2623)),Assumptions!$D$5,IF(ISNUMBER(SEARCH(Assumptions!$C$6,D2623)),Assumptions!$D$6,IF(ISNUMBER(SEARCH(Assumptions!$C$7,D2623)),Assumptions!$D$7,"Other Services"))),"Other Services"))</f>
        <v/>
      </c>
    </row>
    <row r="2624" customFormat="false" ht="15" hidden="false" customHeight="false" outlineLevel="0" collapsed="false">
      <c r="J2624" s="41" t="str">
        <f aca="false">IF(D2624="","",IFERROR(IF(ISNUMBER(SEARCH(Assumptions!$C$5,D2624)),Assumptions!$D$5,IF(ISNUMBER(SEARCH(Assumptions!$C$6,D2624)),Assumptions!$D$6,IF(ISNUMBER(SEARCH(Assumptions!$C$7,D2624)),Assumptions!$D$7,"Other Services"))),"Other Services"))</f>
        <v/>
      </c>
    </row>
    <row r="2625" customFormat="false" ht="15" hidden="false" customHeight="false" outlineLevel="0" collapsed="false">
      <c r="J2625" s="41" t="str">
        <f aca="false">IF(D2625="","",IFERROR(IF(ISNUMBER(SEARCH(Assumptions!$C$5,D2625)),Assumptions!$D$5,IF(ISNUMBER(SEARCH(Assumptions!$C$6,D2625)),Assumptions!$D$6,IF(ISNUMBER(SEARCH(Assumptions!$C$7,D2625)),Assumptions!$D$7,"Other Services"))),"Other Services"))</f>
        <v/>
      </c>
    </row>
    <row r="2626" customFormat="false" ht="15" hidden="false" customHeight="false" outlineLevel="0" collapsed="false">
      <c r="J2626" s="41" t="str">
        <f aca="false">IF(D2626="","",IFERROR(IF(ISNUMBER(SEARCH(Assumptions!$C$5,D2626)),Assumptions!$D$5,IF(ISNUMBER(SEARCH(Assumptions!$C$6,D2626)),Assumptions!$D$6,IF(ISNUMBER(SEARCH(Assumptions!$C$7,D2626)),Assumptions!$D$7,"Other Services"))),"Other Services"))</f>
        <v/>
      </c>
    </row>
    <row r="2627" customFormat="false" ht="15" hidden="false" customHeight="false" outlineLevel="0" collapsed="false">
      <c r="J2627" s="41" t="str">
        <f aca="false">IF(D2627="","",IFERROR(IF(ISNUMBER(SEARCH(Assumptions!$C$5,D2627)),Assumptions!$D$5,IF(ISNUMBER(SEARCH(Assumptions!$C$6,D2627)),Assumptions!$D$6,IF(ISNUMBER(SEARCH(Assumptions!$C$7,D2627)),Assumptions!$D$7,"Other Services"))),"Other Services"))</f>
        <v/>
      </c>
    </row>
    <row r="2628" customFormat="false" ht="15" hidden="false" customHeight="false" outlineLevel="0" collapsed="false">
      <c r="J2628" s="41" t="str">
        <f aca="false">IF(D2628="","",IFERROR(IF(ISNUMBER(SEARCH(Assumptions!$C$5,D2628)),Assumptions!$D$5,IF(ISNUMBER(SEARCH(Assumptions!$C$6,D2628)),Assumptions!$D$6,IF(ISNUMBER(SEARCH(Assumptions!$C$7,D2628)),Assumptions!$D$7,"Other Services"))),"Other Services"))</f>
        <v/>
      </c>
    </row>
    <row r="2629" customFormat="false" ht="15" hidden="false" customHeight="false" outlineLevel="0" collapsed="false">
      <c r="J2629" s="41" t="str">
        <f aca="false">IF(D2629="","",IFERROR(IF(ISNUMBER(SEARCH(Assumptions!$C$5,D2629)),Assumptions!$D$5,IF(ISNUMBER(SEARCH(Assumptions!$C$6,D2629)),Assumptions!$D$6,IF(ISNUMBER(SEARCH(Assumptions!$C$7,D2629)),Assumptions!$D$7,"Other Services"))),"Other Services"))</f>
        <v/>
      </c>
    </row>
    <row r="2630" customFormat="false" ht="15" hidden="false" customHeight="false" outlineLevel="0" collapsed="false">
      <c r="J2630" s="41" t="str">
        <f aca="false">IF(D2630="","",IFERROR(IF(ISNUMBER(SEARCH(Assumptions!$C$5,D2630)),Assumptions!$D$5,IF(ISNUMBER(SEARCH(Assumptions!$C$6,D2630)),Assumptions!$D$6,IF(ISNUMBER(SEARCH(Assumptions!$C$7,D2630)),Assumptions!$D$7,"Other Services"))),"Other Services"))</f>
        <v/>
      </c>
    </row>
    <row r="2631" customFormat="false" ht="15" hidden="false" customHeight="false" outlineLevel="0" collapsed="false">
      <c r="J2631" s="41" t="str">
        <f aca="false">IF(D2631="","",IFERROR(IF(ISNUMBER(SEARCH(Assumptions!$C$5,D2631)),Assumptions!$D$5,IF(ISNUMBER(SEARCH(Assumptions!$C$6,D2631)),Assumptions!$D$6,IF(ISNUMBER(SEARCH(Assumptions!$C$7,D2631)),Assumptions!$D$7,"Other Services"))),"Other Services"))</f>
        <v/>
      </c>
    </row>
    <row r="2632" customFormat="false" ht="15" hidden="false" customHeight="false" outlineLevel="0" collapsed="false">
      <c r="J2632" s="41" t="str">
        <f aca="false">IF(D2632="","",IFERROR(IF(ISNUMBER(SEARCH(Assumptions!$C$5,D2632)),Assumptions!$D$5,IF(ISNUMBER(SEARCH(Assumptions!$C$6,D2632)),Assumptions!$D$6,IF(ISNUMBER(SEARCH(Assumptions!$C$7,D2632)),Assumptions!$D$7,"Other Services"))),"Other Services"))</f>
        <v/>
      </c>
    </row>
    <row r="2633" customFormat="false" ht="15" hidden="false" customHeight="false" outlineLevel="0" collapsed="false">
      <c r="J2633" s="41" t="str">
        <f aca="false">IF(D2633="","",IFERROR(IF(ISNUMBER(SEARCH(Assumptions!$C$5,D2633)),Assumptions!$D$5,IF(ISNUMBER(SEARCH(Assumptions!$C$6,D2633)),Assumptions!$D$6,IF(ISNUMBER(SEARCH(Assumptions!$C$7,D2633)),Assumptions!$D$7,"Other Services"))),"Other Services"))</f>
        <v/>
      </c>
    </row>
    <row r="2634" customFormat="false" ht="15" hidden="false" customHeight="false" outlineLevel="0" collapsed="false">
      <c r="J2634" s="41" t="str">
        <f aca="false">IF(D2634="","",IFERROR(IF(ISNUMBER(SEARCH(Assumptions!$C$5,D2634)),Assumptions!$D$5,IF(ISNUMBER(SEARCH(Assumptions!$C$6,D2634)),Assumptions!$D$6,IF(ISNUMBER(SEARCH(Assumptions!$C$7,D2634)),Assumptions!$D$7,"Other Services"))),"Other Services"))</f>
        <v/>
      </c>
    </row>
    <row r="2635" customFormat="false" ht="15" hidden="false" customHeight="false" outlineLevel="0" collapsed="false">
      <c r="J2635" s="41" t="str">
        <f aca="false">IF(D2635="","",IFERROR(IF(ISNUMBER(SEARCH(Assumptions!$C$5,D2635)),Assumptions!$D$5,IF(ISNUMBER(SEARCH(Assumptions!$C$6,D2635)),Assumptions!$D$6,IF(ISNUMBER(SEARCH(Assumptions!$C$7,D2635)),Assumptions!$D$7,"Other Services"))),"Other Services"))</f>
        <v/>
      </c>
    </row>
    <row r="2636" customFormat="false" ht="15" hidden="false" customHeight="false" outlineLevel="0" collapsed="false">
      <c r="J2636" s="41" t="str">
        <f aca="false">IF(D2636="","",IFERROR(IF(ISNUMBER(SEARCH(Assumptions!$C$5,D2636)),Assumptions!$D$5,IF(ISNUMBER(SEARCH(Assumptions!$C$6,D2636)),Assumptions!$D$6,IF(ISNUMBER(SEARCH(Assumptions!$C$7,D2636)),Assumptions!$D$7,"Other Services"))),"Other Services"))</f>
        <v/>
      </c>
    </row>
    <row r="2637" customFormat="false" ht="15" hidden="false" customHeight="false" outlineLevel="0" collapsed="false">
      <c r="J2637" s="41" t="str">
        <f aca="false">IF(D2637="","",IFERROR(IF(ISNUMBER(SEARCH(Assumptions!$C$5,D2637)),Assumptions!$D$5,IF(ISNUMBER(SEARCH(Assumptions!$C$6,D2637)),Assumptions!$D$6,IF(ISNUMBER(SEARCH(Assumptions!$C$7,D2637)),Assumptions!$D$7,"Other Services"))),"Other Services"))</f>
        <v/>
      </c>
    </row>
    <row r="2638" customFormat="false" ht="15" hidden="false" customHeight="false" outlineLevel="0" collapsed="false">
      <c r="J2638" s="41" t="str">
        <f aca="false">IF(D2638="","",IFERROR(IF(ISNUMBER(SEARCH(Assumptions!$C$5,D2638)),Assumptions!$D$5,IF(ISNUMBER(SEARCH(Assumptions!$C$6,D2638)),Assumptions!$D$6,IF(ISNUMBER(SEARCH(Assumptions!$C$7,D2638)),Assumptions!$D$7,"Other Services"))),"Other Services"))</f>
        <v/>
      </c>
    </row>
    <row r="2639" customFormat="false" ht="15" hidden="false" customHeight="false" outlineLevel="0" collapsed="false">
      <c r="J2639" s="41" t="str">
        <f aca="false">IF(D2639="","",IFERROR(IF(ISNUMBER(SEARCH(Assumptions!$C$5,D2639)),Assumptions!$D$5,IF(ISNUMBER(SEARCH(Assumptions!$C$6,D2639)),Assumptions!$D$6,IF(ISNUMBER(SEARCH(Assumptions!$C$7,D2639)),Assumptions!$D$7,"Other Services"))),"Other Services"))</f>
        <v/>
      </c>
    </row>
    <row r="2640" customFormat="false" ht="15" hidden="false" customHeight="false" outlineLevel="0" collapsed="false">
      <c r="J2640" s="41" t="str">
        <f aca="false">IF(D2640="","",IFERROR(IF(ISNUMBER(SEARCH(Assumptions!$C$5,D2640)),Assumptions!$D$5,IF(ISNUMBER(SEARCH(Assumptions!$C$6,D2640)),Assumptions!$D$6,IF(ISNUMBER(SEARCH(Assumptions!$C$7,D2640)),Assumptions!$D$7,"Other Services"))),"Other Services"))</f>
        <v/>
      </c>
    </row>
    <row r="2641" customFormat="false" ht="15" hidden="false" customHeight="false" outlineLevel="0" collapsed="false">
      <c r="J2641" s="41" t="str">
        <f aca="false">IF(D2641="","",IFERROR(IF(ISNUMBER(SEARCH(Assumptions!$C$5,D2641)),Assumptions!$D$5,IF(ISNUMBER(SEARCH(Assumptions!$C$6,D2641)),Assumptions!$D$6,IF(ISNUMBER(SEARCH(Assumptions!$C$7,D2641)),Assumptions!$D$7,"Other Services"))),"Other Services"))</f>
        <v/>
      </c>
    </row>
    <row r="2642" customFormat="false" ht="15" hidden="false" customHeight="false" outlineLevel="0" collapsed="false">
      <c r="J2642" s="41" t="str">
        <f aca="false">IF(D2642="","",IFERROR(IF(ISNUMBER(SEARCH(Assumptions!$C$5,D2642)),Assumptions!$D$5,IF(ISNUMBER(SEARCH(Assumptions!$C$6,D2642)),Assumptions!$D$6,IF(ISNUMBER(SEARCH(Assumptions!$C$7,D2642)),Assumptions!$D$7,"Other Services"))),"Other Services"))</f>
        <v/>
      </c>
    </row>
    <row r="2643" customFormat="false" ht="15" hidden="false" customHeight="false" outlineLevel="0" collapsed="false">
      <c r="J2643" s="41" t="str">
        <f aca="false">IF(D2643="","",IFERROR(IF(ISNUMBER(SEARCH(Assumptions!$C$5,D2643)),Assumptions!$D$5,IF(ISNUMBER(SEARCH(Assumptions!$C$6,D2643)),Assumptions!$D$6,IF(ISNUMBER(SEARCH(Assumptions!$C$7,D2643)),Assumptions!$D$7,"Other Services"))),"Other Services"))</f>
        <v/>
      </c>
    </row>
    <row r="2644" customFormat="false" ht="15" hidden="false" customHeight="false" outlineLevel="0" collapsed="false">
      <c r="J2644" s="41" t="str">
        <f aca="false">IF(D2644="","",IFERROR(IF(ISNUMBER(SEARCH(Assumptions!$C$5,D2644)),Assumptions!$D$5,IF(ISNUMBER(SEARCH(Assumptions!$C$6,D2644)),Assumptions!$D$6,IF(ISNUMBER(SEARCH(Assumptions!$C$7,D2644)),Assumptions!$D$7,"Other Services"))),"Other Services"))</f>
        <v/>
      </c>
    </row>
    <row r="2645" customFormat="false" ht="15" hidden="false" customHeight="false" outlineLevel="0" collapsed="false">
      <c r="J2645" s="41" t="str">
        <f aca="false">IF(D2645="","",IFERROR(IF(ISNUMBER(SEARCH(Assumptions!$C$5,D2645)),Assumptions!$D$5,IF(ISNUMBER(SEARCH(Assumptions!$C$6,D2645)),Assumptions!$D$6,IF(ISNUMBER(SEARCH(Assumptions!$C$7,D2645)),Assumptions!$D$7,"Other Services"))),"Other Services"))</f>
        <v/>
      </c>
    </row>
    <row r="2646" customFormat="false" ht="15" hidden="false" customHeight="false" outlineLevel="0" collapsed="false">
      <c r="J2646" s="41" t="str">
        <f aca="false">IF(D2646="","",IFERROR(IF(ISNUMBER(SEARCH(Assumptions!$C$5,D2646)),Assumptions!$D$5,IF(ISNUMBER(SEARCH(Assumptions!$C$6,D2646)),Assumptions!$D$6,IF(ISNUMBER(SEARCH(Assumptions!$C$7,D2646)),Assumptions!$D$7,"Other Services"))),"Other Services"))</f>
        <v/>
      </c>
    </row>
    <row r="2647" customFormat="false" ht="15" hidden="false" customHeight="false" outlineLevel="0" collapsed="false">
      <c r="J2647" s="41" t="str">
        <f aca="false">IF(D2647="","",IFERROR(IF(ISNUMBER(SEARCH(Assumptions!$C$5,D2647)),Assumptions!$D$5,IF(ISNUMBER(SEARCH(Assumptions!$C$6,D2647)),Assumptions!$D$6,IF(ISNUMBER(SEARCH(Assumptions!$C$7,D2647)),Assumptions!$D$7,"Other Services"))),"Other Services"))</f>
        <v/>
      </c>
    </row>
    <row r="2648" customFormat="false" ht="15" hidden="false" customHeight="false" outlineLevel="0" collapsed="false">
      <c r="J2648" s="41" t="str">
        <f aca="false">IF(D2648="","",IFERROR(IF(ISNUMBER(SEARCH(Assumptions!$C$5,D2648)),Assumptions!$D$5,IF(ISNUMBER(SEARCH(Assumptions!$C$6,D2648)),Assumptions!$D$6,IF(ISNUMBER(SEARCH(Assumptions!$C$7,D2648)),Assumptions!$D$7,"Other Services"))),"Other Services"))</f>
        <v/>
      </c>
    </row>
    <row r="2649" customFormat="false" ht="15" hidden="false" customHeight="false" outlineLevel="0" collapsed="false">
      <c r="J2649" s="41" t="str">
        <f aca="false">IF(D2649="","",IFERROR(IF(ISNUMBER(SEARCH(Assumptions!$C$5,D2649)),Assumptions!$D$5,IF(ISNUMBER(SEARCH(Assumptions!$C$6,D2649)),Assumptions!$D$6,IF(ISNUMBER(SEARCH(Assumptions!$C$7,D2649)),Assumptions!$D$7,"Other Services"))),"Other Services"))</f>
        <v/>
      </c>
    </row>
    <row r="2650" customFormat="false" ht="15" hidden="false" customHeight="false" outlineLevel="0" collapsed="false">
      <c r="J2650" s="41" t="str">
        <f aca="false">IF(D2650="","",IFERROR(IF(ISNUMBER(SEARCH(Assumptions!$C$5,D2650)),Assumptions!$D$5,IF(ISNUMBER(SEARCH(Assumptions!$C$6,D2650)),Assumptions!$D$6,IF(ISNUMBER(SEARCH(Assumptions!$C$7,D2650)),Assumptions!$D$7,"Other Services"))),"Other Services"))</f>
        <v/>
      </c>
    </row>
    <row r="2651" customFormat="false" ht="15" hidden="false" customHeight="false" outlineLevel="0" collapsed="false">
      <c r="J2651" s="41" t="str">
        <f aca="false">IF(D2651="","",IFERROR(IF(ISNUMBER(SEARCH(Assumptions!$C$5,D2651)),Assumptions!$D$5,IF(ISNUMBER(SEARCH(Assumptions!$C$6,D2651)),Assumptions!$D$6,IF(ISNUMBER(SEARCH(Assumptions!$C$7,D2651)),Assumptions!$D$7,"Other Services"))),"Other Services"))</f>
        <v/>
      </c>
    </row>
    <row r="2652" customFormat="false" ht="15" hidden="false" customHeight="false" outlineLevel="0" collapsed="false">
      <c r="J2652" s="41" t="str">
        <f aca="false">IF(D2652="","",IFERROR(IF(ISNUMBER(SEARCH(Assumptions!$C$5,D2652)),Assumptions!$D$5,IF(ISNUMBER(SEARCH(Assumptions!$C$6,D2652)),Assumptions!$D$6,IF(ISNUMBER(SEARCH(Assumptions!$C$7,D2652)),Assumptions!$D$7,"Other Services"))),"Other Services"))</f>
        <v/>
      </c>
    </row>
    <row r="2653" customFormat="false" ht="15" hidden="false" customHeight="false" outlineLevel="0" collapsed="false">
      <c r="J2653" s="41" t="str">
        <f aca="false">IF(D2653="","",IFERROR(IF(ISNUMBER(SEARCH(Assumptions!$C$5,D2653)),Assumptions!$D$5,IF(ISNUMBER(SEARCH(Assumptions!$C$6,D2653)),Assumptions!$D$6,IF(ISNUMBER(SEARCH(Assumptions!$C$7,D2653)),Assumptions!$D$7,"Other Services"))),"Other Services"))</f>
        <v/>
      </c>
    </row>
    <row r="2654" customFormat="false" ht="15" hidden="false" customHeight="false" outlineLevel="0" collapsed="false">
      <c r="J2654" s="41" t="str">
        <f aca="false">IF(D2654="","",IFERROR(IF(ISNUMBER(SEARCH(Assumptions!$C$5,D2654)),Assumptions!$D$5,IF(ISNUMBER(SEARCH(Assumptions!$C$6,D2654)),Assumptions!$D$6,IF(ISNUMBER(SEARCH(Assumptions!$C$7,D2654)),Assumptions!$D$7,"Other Services"))),"Other Services"))</f>
        <v/>
      </c>
    </row>
    <row r="2655" customFormat="false" ht="15" hidden="false" customHeight="false" outlineLevel="0" collapsed="false">
      <c r="J2655" s="41" t="str">
        <f aca="false">IF(D2655="","",IFERROR(IF(ISNUMBER(SEARCH(Assumptions!$C$5,D2655)),Assumptions!$D$5,IF(ISNUMBER(SEARCH(Assumptions!$C$6,D2655)),Assumptions!$D$6,IF(ISNUMBER(SEARCH(Assumptions!$C$7,D2655)),Assumptions!$D$7,"Other Services"))),"Other Services"))</f>
        <v/>
      </c>
    </row>
    <row r="2656" customFormat="false" ht="15" hidden="false" customHeight="false" outlineLevel="0" collapsed="false">
      <c r="J2656" s="41" t="str">
        <f aca="false">IF(D2656="","",IFERROR(IF(ISNUMBER(SEARCH(Assumptions!$C$5,D2656)),Assumptions!$D$5,IF(ISNUMBER(SEARCH(Assumptions!$C$6,D2656)),Assumptions!$D$6,IF(ISNUMBER(SEARCH(Assumptions!$C$7,D2656)),Assumptions!$D$7,"Other Services"))),"Other Services"))</f>
        <v/>
      </c>
    </row>
    <row r="2657" customFormat="false" ht="15" hidden="false" customHeight="false" outlineLevel="0" collapsed="false">
      <c r="J2657" s="41" t="str">
        <f aca="false">IF(D2657="","",IFERROR(IF(ISNUMBER(SEARCH(Assumptions!$C$5,D2657)),Assumptions!$D$5,IF(ISNUMBER(SEARCH(Assumptions!$C$6,D2657)),Assumptions!$D$6,IF(ISNUMBER(SEARCH(Assumptions!$C$7,D2657)),Assumptions!$D$7,"Other Services"))),"Other Services"))</f>
        <v/>
      </c>
    </row>
    <row r="2658" customFormat="false" ht="15" hidden="false" customHeight="false" outlineLevel="0" collapsed="false">
      <c r="J2658" s="41" t="str">
        <f aca="false">IF(D2658="","",IFERROR(IF(ISNUMBER(SEARCH(Assumptions!$C$5,D2658)),Assumptions!$D$5,IF(ISNUMBER(SEARCH(Assumptions!$C$6,D2658)),Assumptions!$D$6,IF(ISNUMBER(SEARCH(Assumptions!$C$7,D2658)),Assumptions!$D$7,"Other Services"))),"Other Services"))</f>
        <v/>
      </c>
    </row>
    <row r="2659" customFormat="false" ht="15" hidden="false" customHeight="false" outlineLevel="0" collapsed="false">
      <c r="J2659" s="41" t="str">
        <f aca="false">IF(D2659="","",IFERROR(IF(ISNUMBER(SEARCH(Assumptions!$C$5,D2659)),Assumptions!$D$5,IF(ISNUMBER(SEARCH(Assumptions!$C$6,D2659)),Assumptions!$D$6,IF(ISNUMBER(SEARCH(Assumptions!$C$7,D2659)),Assumptions!$D$7,"Other Services"))),"Other Services"))</f>
        <v/>
      </c>
    </row>
    <row r="2660" customFormat="false" ht="15" hidden="false" customHeight="false" outlineLevel="0" collapsed="false">
      <c r="J2660" s="41" t="str">
        <f aca="false">IF(D2660="","",IFERROR(IF(ISNUMBER(SEARCH(Assumptions!$C$5,D2660)),Assumptions!$D$5,IF(ISNUMBER(SEARCH(Assumptions!$C$6,D2660)),Assumptions!$D$6,IF(ISNUMBER(SEARCH(Assumptions!$C$7,D2660)),Assumptions!$D$7,"Other Services"))),"Other Services"))</f>
        <v/>
      </c>
    </row>
    <row r="2661" customFormat="false" ht="15" hidden="false" customHeight="false" outlineLevel="0" collapsed="false">
      <c r="J2661" s="41" t="str">
        <f aca="false">IF(D2661="","",IFERROR(IF(ISNUMBER(SEARCH(Assumptions!$C$5,D2661)),Assumptions!$D$5,IF(ISNUMBER(SEARCH(Assumptions!$C$6,D2661)),Assumptions!$D$6,IF(ISNUMBER(SEARCH(Assumptions!$C$7,D2661)),Assumptions!$D$7,"Other Services"))),"Other Services"))</f>
        <v/>
      </c>
    </row>
    <row r="2662" customFormat="false" ht="15" hidden="false" customHeight="false" outlineLevel="0" collapsed="false">
      <c r="J2662" s="41" t="str">
        <f aca="false">IF(D2662="","",IFERROR(IF(ISNUMBER(SEARCH(Assumptions!$C$5,D2662)),Assumptions!$D$5,IF(ISNUMBER(SEARCH(Assumptions!$C$6,D2662)),Assumptions!$D$6,IF(ISNUMBER(SEARCH(Assumptions!$C$7,D2662)),Assumptions!$D$7,"Other Services"))),"Other Services"))</f>
        <v/>
      </c>
    </row>
    <row r="2663" customFormat="false" ht="15" hidden="false" customHeight="false" outlineLevel="0" collapsed="false">
      <c r="J2663" s="41" t="str">
        <f aca="false">IF(D2663="","",IFERROR(IF(ISNUMBER(SEARCH(Assumptions!$C$5,D2663)),Assumptions!$D$5,IF(ISNUMBER(SEARCH(Assumptions!$C$6,D2663)),Assumptions!$D$6,IF(ISNUMBER(SEARCH(Assumptions!$C$7,D2663)),Assumptions!$D$7,"Other Services"))),"Other Services"))</f>
        <v/>
      </c>
    </row>
    <row r="2664" customFormat="false" ht="15" hidden="false" customHeight="false" outlineLevel="0" collapsed="false">
      <c r="J2664" s="41" t="str">
        <f aca="false">IF(D2664="","",IFERROR(IF(ISNUMBER(SEARCH(Assumptions!$C$5,D2664)),Assumptions!$D$5,IF(ISNUMBER(SEARCH(Assumptions!$C$6,D2664)),Assumptions!$D$6,IF(ISNUMBER(SEARCH(Assumptions!$C$7,D2664)),Assumptions!$D$7,"Other Services"))),"Other Services"))</f>
        <v/>
      </c>
    </row>
    <row r="2665" customFormat="false" ht="15" hidden="false" customHeight="false" outlineLevel="0" collapsed="false">
      <c r="J2665" s="41" t="str">
        <f aca="false">IF(D2665="","",IFERROR(IF(ISNUMBER(SEARCH(Assumptions!$C$5,D2665)),Assumptions!$D$5,IF(ISNUMBER(SEARCH(Assumptions!$C$6,D2665)),Assumptions!$D$6,IF(ISNUMBER(SEARCH(Assumptions!$C$7,D2665)),Assumptions!$D$7,"Other Services"))),"Other Services"))</f>
        <v/>
      </c>
    </row>
    <row r="2666" customFormat="false" ht="15" hidden="false" customHeight="false" outlineLevel="0" collapsed="false">
      <c r="J2666" s="41" t="str">
        <f aca="false">IF(D2666="","",IFERROR(IF(ISNUMBER(SEARCH(Assumptions!$C$5,D2666)),Assumptions!$D$5,IF(ISNUMBER(SEARCH(Assumptions!$C$6,D2666)),Assumptions!$D$6,IF(ISNUMBER(SEARCH(Assumptions!$C$7,D2666)),Assumptions!$D$7,"Other Services"))),"Other Services"))</f>
        <v/>
      </c>
    </row>
    <row r="2667" customFormat="false" ht="15" hidden="false" customHeight="false" outlineLevel="0" collapsed="false">
      <c r="J2667" s="41" t="str">
        <f aca="false">IF(D2667="","",IFERROR(IF(ISNUMBER(SEARCH(Assumptions!$C$5,D2667)),Assumptions!$D$5,IF(ISNUMBER(SEARCH(Assumptions!$C$6,D2667)),Assumptions!$D$6,IF(ISNUMBER(SEARCH(Assumptions!$C$7,D2667)),Assumptions!$D$7,"Other Services"))),"Other Services"))</f>
        <v/>
      </c>
    </row>
    <row r="2668" customFormat="false" ht="15" hidden="false" customHeight="false" outlineLevel="0" collapsed="false">
      <c r="J2668" s="41" t="str">
        <f aca="false">IF(D2668="","",IFERROR(IF(ISNUMBER(SEARCH(Assumptions!$C$5,D2668)),Assumptions!$D$5,IF(ISNUMBER(SEARCH(Assumptions!$C$6,D2668)),Assumptions!$D$6,IF(ISNUMBER(SEARCH(Assumptions!$C$7,D2668)),Assumptions!$D$7,"Other Services"))),"Other Services"))</f>
        <v/>
      </c>
    </row>
    <row r="2669" customFormat="false" ht="15" hidden="false" customHeight="false" outlineLevel="0" collapsed="false">
      <c r="J2669" s="41" t="str">
        <f aca="false">IF(D2669="","",IFERROR(IF(ISNUMBER(SEARCH(Assumptions!$C$5,D2669)),Assumptions!$D$5,IF(ISNUMBER(SEARCH(Assumptions!$C$6,D2669)),Assumptions!$D$6,IF(ISNUMBER(SEARCH(Assumptions!$C$7,D2669)),Assumptions!$D$7,"Other Services"))),"Other Services"))</f>
        <v/>
      </c>
    </row>
    <row r="2670" customFormat="false" ht="15" hidden="false" customHeight="false" outlineLevel="0" collapsed="false">
      <c r="J2670" s="41" t="str">
        <f aca="false">IF(D2670="","",IFERROR(IF(ISNUMBER(SEARCH(Assumptions!$C$5,D2670)),Assumptions!$D$5,IF(ISNUMBER(SEARCH(Assumptions!$C$6,D2670)),Assumptions!$D$6,IF(ISNUMBER(SEARCH(Assumptions!$C$7,D2670)),Assumptions!$D$7,"Other Services"))),"Other Services"))</f>
        <v/>
      </c>
    </row>
    <row r="2671" customFormat="false" ht="15" hidden="false" customHeight="false" outlineLevel="0" collapsed="false">
      <c r="J2671" s="41" t="str">
        <f aca="false">IF(D2671="","",IFERROR(IF(ISNUMBER(SEARCH(Assumptions!$C$5,D2671)),Assumptions!$D$5,IF(ISNUMBER(SEARCH(Assumptions!$C$6,D2671)),Assumptions!$D$6,IF(ISNUMBER(SEARCH(Assumptions!$C$7,D2671)),Assumptions!$D$7,"Other Services"))),"Other Services"))</f>
        <v/>
      </c>
    </row>
    <row r="2672" customFormat="false" ht="15" hidden="false" customHeight="false" outlineLevel="0" collapsed="false">
      <c r="J2672" s="41" t="str">
        <f aca="false">IF(D2672="","",IFERROR(IF(ISNUMBER(SEARCH(Assumptions!$C$5,D2672)),Assumptions!$D$5,IF(ISNUMBER(SEARCH(Assumptions!$C$6,D2672)),Assumptions!$D$6,IF(ISNUMBER(SEARCH(Assumptions!$C$7,D2672)),Assumptions!$D$7,"Other Services"))),"Other Services"))</f>
        <v/>
      </c>
    </row>
    <row r="2673" customFormat="false" ht="15" hidden="false" customHeight="false" outlineLevel="0" collapsed="false">
      <c r="J2673" s="41" t="str">
        <f aca="false">IF(D2673="","",IFERROR(IF(ISNUMBER(SEARCH(Assumptions!$C$5,D2673)),Assumptions!$D$5,IF(ISNUMBER(SEARCH(Assumptions!$C$6,D2673)),Assumptions!$D$6,IF(ISNUMBER(SEARCH(Assumptions!$C$7,D2673)),Assumptions!$D$7,"Other Services"))),"Other Services"))</f>
        <v/>
      </c>
    </row>
    <row r="2674" customFormat="false" ht="15" hidden="false" customHeight="false" outlineLevel="0" collapsed="false">
      <c r="J2674" s="41" t="str">
        <f aca="false">IF(D2674="","",IFERROR(IF(ISNUMBER(SEARCH(Assumptions!$C$5,D2674)),Assumptions!$D$5,IF(ISNUMBER(SEARCH(Assumptions!$C$6,D2674)),Assumptions!$D$6,IF(ISNUMBER(SEARCH(Assumptions!$C$7,D2674)),Assumptions!$D$7,"Other Services"))),"Other Services"))</f>
        <v/>
      </c>
    </row>
    <row r="2675" customFormat="false" ht="15" hidden="false" customHeight="false" outlineLevel="0" collapsed="false">
      <c r="J2675" s="41" t="str">
        <f aca="false">IF(D2675="","",IFERROR(IF(ISNUMBER(SEARCH(Assumptions!$C$5,D2675)),Assumptions!$D$5,IF(ISNUMBER(SEARCH(Assumptions!$C$6,D2675)),Assumptions!$D$6,IF(ISNUMBER(SEARCH(Assumptions!$C$7,D2675)),Assumptions!$D$7,"Other Services"))),"Other Services"))</f>
        <v/>
      </c>
    </row>
    <row r="2676" customFormat="false" ht="15" hidden="false" customHeight="false" outlineLevel="0" collapsed="false">
      <c r="J2676" s="41" t="str">
        <f aca="false">IF(D2676="","",IFERROR(IF(ISNUMBER(SEARCH(Assumptions!$C$5,D2676)),Assumptions!$D$5,IF(ISNUMBER(SEARCH(Assumptions!$C$6,D2676)),Assumptions!$D$6,IF(ISNUMBER(SEARCH(Assumptions!$C$7,D2676)),Assumptions!$D$7,"Other Services"))),"Other Services"))</f>
        <v/>
      </c>
    </row>
    <row r="2677" customFormat="false" ht="15" hidden="false" customHeight="false" outlineLevel="0" collapsed="false">
      <c r="J2677" s="41" t="str">
        <f aca="false">IF(D2677="","",IFERROR(IF(ISNUMBER(SEARCH(Assumptions!$C$5,D2677)),Assumptions!$D$5,IF(ISNUMBER(SEARCH(Assumptions!$C$6,D2677)),Assumptions!$D$6,IF(ISNUMBER(SEARCH(Assumptions!$C$7,D2677)),Assumptions!$D$7,"Other Services"))),"Other Services"))</f>
        <v/>
      </c>
    </row>
    <row r="2678" customFormat="false" ht="15" hidden="false" customHeight="false" outlineLevel="0" collapsed="false">
      <c r="J2678" s="41" t="str">
        <f aca="false">IF(D2678="","",IFERROR(IF(ISNUMBER(SEARCH(Assumptions!$C$5,D2678)),Assumptions!$D$5,IF(ISNUMBER(SEARCH(Assumptions!$C$6,D2678)),Assumptions!$D$6,IF(ISNUMBER(SEARCH(Assumptions!$C$7,D2678)),Assumptions!$D$7,"Other Services"))),"Other Services"))</f>
        <v/>
      </c>
    </row>
    <row r="2679" customFormat="false" ht="15" hidden="false" customHeight="false" outlineLevel="0" collapsed="false">
      <c r="J2679" s="41" t="str">
        <f aca="false">IF(D2679="","",IFERROR(IF(ISNUMBER(SEARCH(Assumptions!$C$5,D2679)),Assumptions!$D$5,IF(ISNUMBER(SEARCH(Assumptions!$C$6,D2679)),Assumptions!$D$6,IF(ISNUMBER(SEARCH(Assumptions!$C$7,D2679)),Assumptions!$D$7,"Other Services"))),"Other Services"))</f>
        <v/>
      </c>
    </row>
    <row r="2680" customFormat="false" ht="15" hidden="false" customHeight="false" outlineLevel="0" collapsed="false">
      <c r="J2680" s="41" t="str">
        <f aca="false">IF(D2680="","",IFERROR(IF(ISNUMBER(SEARCH(Assumptions!$C$5,D2680)),Assumptions!$D$5,IF(ISNUMBER(SEARCH(Assumptions!$C$6,D2680)),Assumptions!$D$6,IF(ISNUMBER(SEARCH(Assumptions!$C$7,D2680)),Assumptions!$D$7,"Other Services"))),"Other Services"))</f>
        <v/>
      </c>
    </row>
    <row r="2681" customFormat="false" ht="15" hidden="false" customHeight="false" outlineLevel="0" collapsed="false">
      <c r="J2681" s="41" t="str">
        <f aca="false">IF(D2681="","",IFERROR(IF(ISNUMBER(SEARCH(Assumptions!$C$5,D2681)),Assumptions!$D$5,IF(ISNUMBER(SEARCH(Assumptions!$C$6,D2681)),Assumptions!$D$6,IF(ISNUMBER(SEARCH(Assumptions!$C$7,D2681)),Assumptions!$D$7,"Other Services"))),"Other Services"))</f>
        <v/>
      </c>
    </row>
    <row r="2682" customFormat="false" ht="15" hidden="false" customHeight="false" outlineLevel="0" collapsed="false">
      <c r="J2682" s="41" t="str">
        <f aca="false">IF(D2682="","",IFERROR(IF(ISNUMBER(SEARCH(Assumptions!$C$5,D2682)),Assumptions!$D$5,IF(ISNUMBER(SEARCH(Assumptions!$C$6,D2682)),Assumptions!$D$6,IF(ISNUMBER(SEARCH(Assumptions!$C$7,D2682)),Assumptions!$D$7,"Other Services"))),"Other Services"))</f>
        <v/>
      </c>
    </row>
    <row r="2683" customFormat="false" ht="15" hidden="false" customHeight="false" outlineLevel="0" collapsed="false">
      <c r="J2683" s="41" t="str">
        <f aca="false">IF(D2683="","",IFERROR(IF(ISNUMBER(SEARCH(Assumptions!$C$5,D2683)),Assumptions!$D$5,IF(ISNUMBER(SEARCH(Assumptions!$C$6,D2683)),Assumptions!$D$6,IF(ISNUMBER(SEARCH(Assumptions!$C$7,D2683)),Assumptions!$D$7,"Other Services"))),"Other Services"))</f>
        <v/>
      </c>
    </row>
    <row r="2684" customFormat="false" ht="15" hidden="false" customHeight="false" outlineLevel="0" collapsed="false">
      <c r="J2684" s="41" t="str">
        <f aca="false">IF(D2684="","",IFERROR(IF(ISNUMBER(SEARCH(Assumptions!$C$5,D2684)),Assumptions!$D$5,IF(ISNUMBER(SEARCH(Assumptions!$C$6,D2684)),Assumptions!$D$6,IF(ISNUMBER(SEARCH(Assumptions!$C$7,D2684)),Assumptions!$D$7,"Other Services"))),"Other Services"))</f>
        <v/>
      </c>
    </row>
    <row r="2685" customFormat="false" ht="15" hidden="false" customHeight="false" outlineLevel="0" collapsed="false">
      <c r="J2685" s="41" t="str">
        <f aca="false">IF(D2685="","",IFERROR(IF(ISNUMBER(SEARCH(Assumptions!$C$5,D2685)),Assumptions!$D$5,IF(ISNUMBER(SEARCH(Assumptions!$C$6,D2685)),Assumptions!$D$6,IF(ISNUMBER(SEARCH(Assumptions!$C$7,D2685)),Assumptions!$D$7,"Other Services"))),"Other Services"))</f>
        <v/>
      </c>
    </row>
    <row r="2686" customFormat="false" ht="15" hidden="false" customHeight="false" outlineLevel="0" collapsed="false">
      <c r="J2686" s="41" t="str">
        <f aca="false">IF(D2686="","",IFERROR(IF(ISNUMBER(SEARCH(Assumptions!$C$5,D2686)),Assumptions!$D$5,IF(ISNUMBER(SEARCH(Assumptions!$C$6,D2686)),Assumptions!$D$6,IF(ISNUMBER(SEARCH(Assumptions!$C$7,D2686)),Assumptions!$D$7,"Other Services"))),"Other Services"))</f>
        <v/>
      </c>
    </row>
    <row r="2687" customFormat="false" ht="15" hidden="false" customHeight="false" outlineLevel="0" collapsed="false">
      <c r="J2687" s="41" t="str">
        <f aca="false">IF(D2687="","",IFERROR(IF(ISNUMBER(SEARCH(Assumptions!$C$5,D2687)),Assumptions!$D$5,IF(ISNUMBER(SEARCH(Assumptions!$C$6,D2687)),Assumptions!$D$6,IF(ISNUMBER(SEARCH(Assumptions!$C$7,D2687)),Assumptions!$D$7,"Other Services"))),"Other Services"))</f>
        <v/>
      </c>
    </row>
    <row r="2688" customFormat="false" ht="15" hidden="false" customHeight="false" outlineLevel="0" collapsed="false">
      <c r="J2688" s="41" t="str">
        <f aca="false">IF(D2688="","",IFERROR(IF(ISNUMBER(SEARCH(Assumptions!$C$5,D2688)),Assumptions!$D$5,IF(ISNUMBER(SEARCH(Assumptions!$C$6,D2688)),Assumptions!$D$6,IF(ISNUMBER(SEARCH(Assumptions!$C$7,D2688)),Assumptions!$D$7,"Other Services"))),"Other Services"))</f>
        <v/>
      </c>
    </row>
    <row r="2689" customFormat="false" ht="15" hidden="false" customHeight="false" outlineLevel="0" collapsed="false">
      <c r="J2689" s="41" t="str">
        <f aca="false">IF(D2689="","",IFERROR(IF(ISNUMBER(SEARCH(Assumptions!$C$5,D2689)),Assumptions!$D$5,IF(ISNUMBER(SEARCH(Assumptions!$C$6,D2689)),Assumptions!$D$6,IF(ISNUMBER(SEARCH(Assumptions!$C$7,D2689)),Assumptions!$D$7,"Other Services"))),"Other Services"))</f>
        <v/>
      </c>
    </row>
    <row r="2690" customFormat="false" ht="15" hidden="false" customHeight="false" outlineLevel="0" collapsed="false">
      <c r="J2690" s="41" t="str">
        <f aca="false">IF(D2690="","",IFERROR(IF(ISNUMBER(SEARCH(Assumptions!$C$5,D2690)),Assumptions!$D$5,IF(ISNUMBER(SEARCH(Assumptions!$C$6,D2690)),Assumptions!$D$6,IF(ISNUMBER(SEARCH(Assumptions!$C$7,D2690)),Assumptions!$D$7,"Other Services"))),"Other Services"))</f>
        <v/>
      </c>
    </row>
    <row r="2691" customFormat="false" ht="15" hidden="false" customHeight="false" outlineLevel="0" collapsed="false">
      <c r="J2691" s="41" t="str">
        <f aca="false">IF(D2691="","",IFERROR(IF(ISNUMBER(SEARCH(Assumptions!$C$5,D2691)),Assumptions!$D$5,IF(ISNUMBER(SEARCH(Assumptions!$C$6,D2691)),Assumptions!$D$6,IF(ISNUMBER(SEARCH(Assumptions!$C$7,D2691)),Assumptions!$D$7,"Other Services"))),"Other Services"))</f>
        <v/>
      </c>
    </row>
    <row r="2692" customFormat="false" ht="15" hidden="false" customHeight="false" outlineLevel="0" collapsed="false">
      <c r="J2692" s="41" t="str">
        <f aca="false">IF(D2692="","",IFERROR(IF(ISNUMBER(SEARCH(Assumptions!$C$5,D2692)),Assumptions!$D$5,IF(ISNUMBER(SEARCH(Assumptions!$C$6,D2692)),Assumptions!$D$6,IF(ISNUMBER(SEARCH(Assumptions!$C$7,D2692)),Assumptions!$D$7,"Other Services"))),"Other Services"))</f>
        <v/>
      </c>
    </row>
    <row r="2693" customFormat="false" ht="15" hidden="false" customHeight="false" outlineLevel="0" collapsed="false">
      <c r="J2693" s="41" t="str">
        <f aca="false">IF(D2693="","",IFERROR(IF(ISNUMBER(SEARCH(Assumptions!$C$5,D2693)),Assumptions!$D$5,IF(ISNUMBER(SEARCH(Assumptions!$C$6,D2693)),Assumptions!$D$6,IF(ISNUMBER(SEARCH(Assumptions!$C$7,D2693)),Assumptions!$D$7,"Other Services"))),"Other Services"))</f>
        <v/>
      </c>
    </row>
    <row r="2694" customFormat="false" ht="15" hidden="false" customHeight="false" outlineLevel="0" collapsed="false">
      <c r="J2694" s="41" t="str">
        <f aca="false">IF(D2694="","",IFERROR(IF(ISNUMBER(SEARCH(Assumptions!$C$5,D2694)),Assumptions!$D$5,IF(ISNUMBER(SEARCH(Assumptions!$C$6,D2694)),Assumptions!$D$6,IF(ISNUMBER(SEARCH(Assumptions!$C$7,D2694)),Assumptions!$D$7,"Other Services"))),"Other Services"))</f>
        <v/>
      </c>
    </row>
    <row r="2695" customFormat="false" ht="15" hidden="false" customHeight="false" outlineLevel="0" collapsed="false">
      <c r="J2695" s="41" t="str">
        <f aca="false">IF(D2695="","",IFERROR(IF(ISNUMBER(SEARCH(Assumptions!$C$5,D2695)),Assumptions!$D$5,IF(ISNUMBER(SEARCH(Assumptions!$C$6,D2695)),Assumptions!$D$6,IF(ISNUMBER(SEARCH(Assumptions!$C$7,D2695)),Assumptions!$D$7,"Other Services"))),"Other Services"))</f>
        <v/>
      </c>
    </row>
    <row r="2696" customFormat="false" ht="15" hidden="false" customHeight="false" outlineLevel="0" collapsed="false">
      <c r="J2696" s="41" t="str">
        <f aca="false">IF(D2696="","",IFERROR(IF(ISNUMBER(SEARCH(Assumptions!$C$5,D2696)),Assumptions!$D$5,IF(ISNUMBER(SEARCH(Assumptions!$C$6,D2696)),Assumptions!$D$6,IF(ISNUMBER(SEARCH(Assumptions!$C$7,D2696)),Assumptions!$D$7,"Other Services"))),"Other Services"))</f>
        <v/>
      </c>
    </row>
    <row r="2697" customFormat="false" ht="15" hidden="false" customHeight="false" outlineLevel="0" collapsed="false">
      <c r="J2697" s="41" t="str">
        <f aca="false">IF(D2697="","",IFERROR(IF(ISNUMBER(SEARCH(Assumptions!$C$5,D2697)),Assumptions!$D$5,IF(ISNUMBER(SEARCH(Assumptions!$C$6,D2697)),Assumptions!$D$6,IF(ISNUMBER(SEARCH(Assumptions!$C$7,D2697)),Assumptions!$D$7,"Other Services"))),"Other Services"))</f>
        <v/>
      </c>
    </row>
    <row r="2698" customFormat="false" ht="15" hidden="false" customHeight="false" outlineLevel="0" collapsed="false">
      <c r="J2698" s="41" t="str">
        <f aca="false">IF(D2698="","",IFERROR(IF(ISNUMBER(SEARCH(Assumptions!$C$5,D2698)),Assumptions!$D$5,IF(ISNUMBER(SEARCH(Assumptions!$C$6,D2698)),Assumptions!$D$6,IF(ISNUMBER(SEARCH(Assumptions!$C$7,D2698)),Assumptions!$D$7,"Other Services"))),"Other Services"))</f>
        <v/>
      </c>
    </row>
    <row r="2699" customFormat="false" ht="15" hidden="false" customHeight="false" outlineLevel="0" collapsed="false">
      <c r="J2699" s="41" t="str">
        <f aca="false">IF(D2699="","",IFERROR(IF(ISNUMBER(SEARCH(Assumptions!$C$5,D2699)),Assumptions!$D$5,IF(ISNUMBER(SEARCH(Assumptions!$C$6,D2699)),Assumptions!$D$6,IF(ISNUMBER(SEARCH(Assumptions!$C$7,D2699)),Assumptions!$D$7,"Other Services"))),"Other Services"))</f>
        <v/>
      </c>
    </row>
    <row r="2700" customFormat="false" ht="15" hidden="false" customHeight="false" outlineLevel="0" collapsed="false">
      <c r="J2700" s="41" t="str">
        <f aca="false">IF(D2700="","",IFERROR(IF(ISNUMBER(SEARCH(Assumptions!$C$5,D2700)),Assumptions!$D$5,IF(ISNUMBER(SEARCH(Assumptions!$C$6,D2700)),Assumptions!$D$6,IF(ISNUMBER(SEARCH(Assumptions!$C$7,D2700)),Assumptions!$D$7,"Other Services"))),"Other Services"))</f>
        <v/>
      </c>
    </row>
    <row r="2701" customFormat="false" ht="15" hidden="false" customHeight="false" outlineLevel="0" collapsed="false">
      <c r="J2701" s="41" t="str">
        <f aca="false">IF(D2701="","",IFERROR(IF(ISNUMBER(SEARCH(Assumptions!$C$5,D2701)),Assumptions!$D$5,IF(ISNUMBER(SEARCH(Assumptions!$C$6,D2701)),Assumptions!$D$6,IF(ISNUMBER(SEARCH(Assumptions!$C$7,D2701)),Assumptions!$D$7,"Other Services"))),"Other Services"))</f>
        <v/>
      </c>
    </row>
    <row r="2702" customFormat="false" ht="15" hidden="false" customHeight="false" outlineLevel="0" collapsed="false">
      <c r="J2702" s="41" t="str">
        <f aca="false">IF(D2702="","",IFERROR(IF(ISNUMBER(SEARCH(Assumptions!$C$5,D2702)),Assumptions!$D$5,IF(ISNUMBER(SEARCH(Assumptions!$C$6,D2702)),Assumptions!$D$6,IF(ISNUMBER(SEARCH(Assumptions!$C$7,D2702)),Assumptions!$D$7,"Other Services"))),"Other Services"))</f>
        <v/>
      </c>
    </row>
    <row r="2703" customFormat="false" ht="15" hidden="false" customHeight="false" outlineLevel="0" collapsed="false">
      <c r="J2703" s="41" t="str">
        <f aca="false">IF(D2703="","",IFERROR(IF(ISNUMBER(SEARCH(Assumptions!$C$5,D2703)),Assumptions!$D$5,IF(ISNUMBER(SEARCH(Assumptions!$C$6,D2703)),Assumptions!$D$6,IF(ISNUMBER(SEARCH(Assumptions!$C$7,D2703)),Assumptions!$D$7,"Other Services"))),"Other Services"))</f>
        <v/>
      </c>
    </row>
    <row r="2704" customFormat="false" ht="15" hidden="false" customHeight="false" outlineLevel="0" collapsed="false">
      <c r="J2704" s="41" t="str">
        <f aca="false">IF(D2704="","",IFERROR(IF(ISNUMBER(SEARCH(Assumptions!$C$5,D2704)),Assumptions!$D$5,IF(ISNUMBER(SEARCH(Assumptions!$C$6,D2704)),Assumptions!$D$6,IF(ISNUMBER(SEARCH(Assumptions!$C$7,D2704)),Assumptions!$D$7,"Other Services"))),"Other Services"))</f>
        <v/>
      </c>
    </row>
    <row r="2705" customFormat="false" ht="15" hidden="false" customHeight="false" outlineLevel="0" collapsed="false">
      <c r="J2705" s="41" t="str">
        <f aca="false">IF(D2705="","",IFERROR(IF(ISNUMBER(SEARCH(Assumptions!$C$5,D2705)),Assumptions!$D$5,IF(ISNUMBER(SEARCH(Assumptions!$C$6,D2705)),Assumptions!$D$6,IF(ISNUMBER(SEARCH(Assumptions!$C$7,D2705)),Assumptions!$D$7,"Other Services"))),"Other Services"))</f>
        <v/>
      </c>
    </row>
    <row r="2706" customFormat="false" ht="15" hidden="false" customHeight="false" outlineLevel="0" collapsed="false">
      <c r="J2706" s="41" t="str">
        <f aca="false">IF(D2706="","",IFERROR(IF(ISNUMBER(SEARCH(Assumptions!$C$5,D2706)),Assumptions!$D$5,IF(ISNUMBER(SEARCH(Assumptions!$C$6,D2706)),Assumptions!$D$6,IF(ISNUMBER(SEARCH(Assumptions!$C$7,D2706)),Assumptions!$D$7,"Other Services"))),"Other Services"))</f>
        <v/>
      </c>
    </row>
    <row r="2707" customFormat="false" ht="15" hidden="false" customHeight="false" outlineLevel="0" collapsed="false">
      <c r="J2707" s="41" t="str">
        <f aca="false">IF(D2707="","",IFERROR(IF(ISNUMBER(SEARCH(Assumptions!$C$5,D2707)),Assumptions!$D$5,IF(ISNUMBER(SEARCH(Assumptions!$C$6,D2707)),Assumptions!$D$6,IF(ISNUMBER(SEARCH(Assumptions!$C$7,D2707)),Assumptions!$D$7,"Other Services"))),"Other Services"))</f>
        <v/>
      </c>
    </row>
    <row r="2708" customFormat="false" ht="15" hidden="false" customHeight="false" outlineLevel="0" collapsed="false">
      <c r="J2708" s="41" t="str">
        <f aca="false">IF(D2708="","",IFERROR(IF(ISNUMBER(SEARCH(Assumptions!$C$5,D2708)),Assumptions!$D$5,IF(ISNUMBER(SEARCH(Assumptions!$C$6,D2708)),Assumptions!$D$6,IF(ISNUMBER(SEARCH(Assumptions!$C$7,D2708)),Assumptions!$D$7,"Other Services"))),"Other Services"))</f>
        <v/>
      </c>
    </row>
    <row r="2709" customFormat="false" ht="15" hidden="false" customHeight="false" outlineLevel="0" collapsed="false">
      <c r="J2709" s="41" t="str">
        <f aca="false">IF(D2709="","",IFERROR(IF(ISNUMBER(SEARCH(Assumptions!$C$5,D2709)),Assumptions!$D$5,IF(ISNUMBER(SEARCH(Assumptions!$C$6,D2709)),Assumptions!$D$6,IF(ISNUMBER(SEARCH(Assumptions!$C$7,D2709)),Assumptions!$D$7,"Other Services"))),"Other Services"))</f>
        <v/>
      </c>
    </row>
    <row r="2710" customFormat="false" ht="15" hidden="false" customHeight="false" outlineLevel="0" collapsed="false">
      <c r="J2710" s="41" t="str">
        <f aca="false">IF(D2710="","",IFERROR(IF(ISNUMBER(SEARCH(Assumptions!$C$5,D2710)),Assumptions!$D$5,IF(ISNUMBER(SEARCH(Assumptions!$C$6,D2710)),Assumptions!$D$6,IF(ISNUMBER(SEARCH(Assumptions!$C$7,D2710)),Assumptions!$D$7,"Other Services"))),"Other Services"))</f>
        <v/>
      </c>
    </row>
    <row r="2711" customFormat="false" ht="15" hidden="false" customHeight="false" outlineLevel="0" collapsed="false">
      <c r="J2711" s="41" t="str">
        <f aca="false">IF(D2711="","",IFERROR(IF(ISNUMBER(SEARCH(Assumptions!$C$5,D2711)),Assumptions!$D$5,IF(ISNUMBER(SEARCH(Assumptions!$C$6,D2711)),Assumptions!$D$6,IF(ISNUMBER(SEARCH(Assumptions!$C$7,D2711)),Assumptions!$D$7,"Other Services"))),"Other Services"))</f>
        <v/>
      </c>
    </row>
    <row r="2712" customFormat="false" ht="15" hidden="false" customHeight="false" outlineLevel="0" collapsed="false">
      <c r="J2712" s="41" t="str">
        <f aca="false">IF(D2712="","",IFERROR(IF(ISNUMBER(SEARCH(Assumptions!$C$5,D2712)),Assumptions!$D$5,IF(ISNUMBER(SEARCH(Assumptions!$C$6,D2712)),Assumptions!$D$6,IF(ISNUMBER(SEARCH(Assumptions!$C$7,D2712)),Assumptions!$D$7,"Other Services"))),"Other Services"))</f>
        <v/>
      </c>
    </row>
    <row r="2713" customFormat="false" ht="15" hidden="false" customHeight="false" outlineLevel="0" collapsed="false">
      <c r="J2713" s="41" t="str">
        <f aca="false">IF(D2713="","",IFERROR(IF(ISNUMBER(SEARCH(Assumptions!$C$5,D2713)),Assumptions!$D$5,IF(ISNUMBER(SEARCH(Assumptions!$C$6,D2713)),Assumptions!$D$6,IF(ISNUMBER(SEARCH(Assumptions!$C$7,D2713)),Assumptions!$D$7,"Other Services"))),"Other Services"))</f>
        <v/>
      </c>
    </row>
    <row r="2714" customFormat="false" ht="15" hidden="false" customHeight="false" outlineLevel="0" collapsed="false">
      <c r="J2714" s="41" t="str">
        <f aca="false">IF(D2714="","",IFERROR(IF(ISNUMBER(SEARCH(Assumptions!$C$5,D2714)),Assumptions!$D$5,IF(ISNUMBER(SEARCH(Assumptions!$C$6,D2714)),Assumptions!$D$6,IF(ISNUMBER(SEARCH(Assumptions!$C$7,D2714)),Assumptions!$D$7,"Other Services"))),"Other Services"))</f>
        <v/>
      </c>
    </row>
    <row r="2715" customFormat="false" ht="15" hidden="false" customHeight="false" outlineLevel="0" collapsed="false">
      <c r="J2715" s="41" t="str">
        <f aca="false">IF(D2715="","",IFERROR(IF(ISNUMBER(SEARCH(Assumptions!$C$5,D2715)),Assumptions!$D$5,IF(ISNUMBER(SEARCH(Assumptions!$C$6,D2715)),Assumptions!$D$6,IF(ISNUMBER(SEARCH(Assumptions!$C$7,D2715)),Assumptions!$D$7,"Other Services"))),"Other Services"))</f>
        <v/>
      </c>
    </row>
    <row r="2716" customFormat="false" ht="15" hidden="false" customHeight="false" outlineLevel="0" collapsed="false">
      <c r="J2716" s="41" t="str">
        <f aca="false">IF(D2716="","",IFERROR(IF(ISNUMBER(SEARCH(Assumptions!$C$5,D2716)),Assumptions!$D$5,IF(ISNUMBER(SEARCH(Assumptions!$C$6,D2716)),Assumptions!$D$6,IF(ISNUMBER(SEARCH(Assumptions!$C$7,D2716)),Assumptions!$D$7,"Other Services"))),"Other Services"))</f>
        <v/>
      </c>
    </row>
    <row r="2717" customFormat="false" ht="15" hidden="false" customHeight="false" outlineLevel="0" collapsed="false">
      <c r="J2717" s="41" t="str">
        <f aca="false">IF(D2717="","",IFERROR(IF(ISNUMBER(SEARCH(Assumptions!$C$5,D2717)),Assumptions!$D$5,IF(ISNUMBER(SEARCH(Assumptions!$C$6,D2717)),Assumptions!$D$6,IF(ISNUMBER(SEARCH(Assumptions!$C$7,D2717)),Assumptions!$D$7,"Other Services"))),"Other Services"))</f>
        <v/>
      </c>
    </row>
    <row r="2718" customFormat="false" ht="15" hidden="false" customHeight="false" outlineLevel="0" collapsed="false">
      <c r="J2718" s="41" t="str">
        <f aca="false">IF(D2718="","",IFERROR(IF(ISNUMBER(SEARCH(Assumptions!$C$5,D2718)),Assumptions!$D$5,IF(ISNUMBER(SEARCH(Assumptions!$C$6,D2718)),Assumptions!$D$6,IF(ISNUMBER(SEARCH(Assumptions!$C$7,D2718)),Assumptions!$D$7,"Other Services"))),"Other Services"))</f>
        <v/>
      </c>
    </row>
    <row r="2719" customFormat="false" ht="15" hidden="false" customHeight="false" outlineLevel="0" collapsed="false">
      <c r="J2719" s="41" t="str">
        <f aca="false">IF(D2719="","",IFERROR(IF(ISNUMBER(SEARCH(Assumptions!$C$5,D2719)),Assumptions!$D$5,IF(ISNUMBER(SEARCH(Assumptions!$C$6,D2719)),Assumptions!$D$6,IF(ISNUMBER(SEARCH(Assumptions!$C$7,D2719)),Assumptions!$D$7,"Other Services"))),"Other Services"))</f>
        <v/>
      </c>
    </row>
    <row r="2720" customFormat="false" ht="15" hidden="false" customHeight="false" outlineLevel="0" collapsed="false">
      <c r="J2720" s="41" t="str">
        <f aca="false">IF(D2720="","",IFERROR(IF(ISNUMBER(SEARCH(Assumptions!$C$5,D2720)),Assumptions!$D$5,IF(ISNUMBER(SEARCH(Assumptions!$C$6,D2720)),Assumptions!$D$6,IF(ISNUMBER(SEARCH(Assumptions!$C$7,D2720)),Assumptions!$D$7,"Other Services"))),"Other Services"))</f>
        <v/>
      </c>
    </row>
    <row r="2721" customFormat="false" ht="15" hidden="false" customHeight="false" outlineLevel="0" collapsed="false">
      <c r="J2721" s="41" t="str">
        <f aca="false">IF(D2721="","",IFERROR(IF(ISNUMBER(SEARCH(Assumptions!$C$5,D2721)),Assumptions!$D$5,IF(ISNUMBER(SEARCH(Assumptions!$C$6,D2721)),Assumptions!$D$6,IF(ISNUMBER(SEARCH(Assumptions!$C$7,D2721)),Assumptions!$D$7,"Other Services"))),"Other Services"))</f>
        <v/>
      </c>
    </row>
    <row r="2722" customFormat="false" ht="15" hidden="false" customHeight="false" outlineLevel="0" collapsed="false">
      <c r="J2722" s="41" t="str">
        <f aca="false">IF(D2722="","",IFERROR(IF(ISNUMBER(SEARCH(Assumptions!$C$5,D2722)),Assumptions!$D$5,IF(ISNUMBER(SEARCH(Assumptions!$C$6,D2722)),Assumptions!$D$6,IF(ISNUMBER(SEARCH(Assumptions!$C$7,D2722)),Assumptions!$D$7,"Other Services"))),"Other Services"))</f>
        <v/>
      </c>
    </row>
    <row r="2723" customFormat="false" ht="15" hidden="false" customHeight="false" outlineLevel="0" collapsed="false">
      <c r="J2723" s="41" t="str">
        <f aca="false">IF(D2723="","",IFERROR(IF(ISNUMBER(SEARCH(Assumptions!$C$5,D2723)),Assumptions!$D$5,IF(ISNUMBER(SEARCH(Assumptions!$C$6,D2723)),Assumptions!$D$6,IF(ISNUMBER(SEARCH(Assumptions!$C$7,D2723)),Assumptions!$D$7,"Other Services"))),"Other Services"))</f>
        <v/>
      </c>
    </row>
    <row r="2724" customFormat="false" ht="15" hidden="false" customHeight="false" outlineLevel="0" collapsed="false">
      <c r="J2724" s="41" t="str">
        <f aca="false">IF(D2724="","",IFERROR(IF(ISNUMBER(SEARCH(Assumptions!$C$5,D2724)),Assumptions!$D$5,IF(ISNUMBER(SEARCH(Assumptions!$C$6,D2724)),Assumptions!$D$6,IF(ISNUMBER(SEARCH(Assumptions!$C$7,D2724)),Assumptions!$D$7,"Other Services"))),"Other Services"))</f>
        <v/>
      </c>
    </row>
    <row r="2725" customFormat="false" ht="15" hidden="false" customHeight="false" outlineLevel="0" collapsed="false">
      <c r="J2725" s="41" t="str">
        <f aca="false">IF(D2725="","",IFERROR(IF(ISNUMBER(SEARCH(Assumptions!$C$5,D2725)),Assumptions!$D$5,IF(ISNUMBER(SEARCH(Assumptions!$C$6,D2725)),Assumptions!$D$6,IF(ISNUMBER(SEARCH(Assumptions!$C$7,D2725)),Assumptions!$D$7,"Other Services"))),"Other Services"))</f>
        <v/>
      </c>
    </row>
    <row r="2726" customFormat="false" ht="15" hidden="false" customHeight="false" outlineLevel="0" collapsed="false">
      <c r="J2726" s="41" t="str">
        <f aca="false">IF(D2726="","",IFERROR(IF(ISNUMBER(SEARCH(Assumptions!$C$5,D2726)),Assumptions!$D$5,IF(ISNUMBER(SEARCH(Assumptions!$C$6,D2726)),Assumptions!$D$6,IF(ISNUMBER(SEARCH(Assumptions!$C$7,D2726)),Assumptions!$D$7,"Other Services"))),"Other Services"))</f>
        <v/>
      </c>
    </row>
    <row r="2727" customFormat="false" ht="15" hidden="false" customHeight="false" outlineLevel="0" collapsed="false">
      <c r="J2727" s="41" t="str">
        <f aca="false">IF(D2727="","",IFERROR(IF(ISNUMBER(SEARCH(Assumptions!$C$5,D2727)),Assumptions!$D$5,IF(ISNUMBER(SEARCH(Assumptions!$C$6,D2727)),Assumptions!$D$6,IF(ISNUMBER(SEARCH(Assumptions!$C$7,D2727)),Assumptions!$D$7,"Other Services"))),"Other Services"))</f>
        <v/>
      </c>
    </row>
    <row r="2728" customFormat="false" ht="15" hidden="false" customHeight="false" outlineLevel="0" collapsed="false">
      <c r="J2728" s="41" t="str">
        <f aca="false">IF(D2728="","",IFERROR(IF(ISNUMBER(SEARCH(Assumptions!$C$5,D2728)),Assumptions!$D$5,IF(ISNUMBER(SEARCH(Assumptions!$C$6,D2728)),Assumptions!$D$6,IF(ISNUMBER(SEARCH(Assumptions!$C$7,D2728)),Assumptions!$D$7,"Other Services"))),"Other Services"))</f>
        <v/>
      </c>
    </row>
    <row r="2729" customFormat="false" ht="15" hidden="false" customHeight="false" outlineLevel="0" collapsed="false">
      <c r="J2729" s="41" t="str">
        <f aca="false">IF(D2729="","",IFERROR(IF(ISNUMBER(SEARCH(Assumptions!$C$5,D2729)),Assumptions!$D$5,IF(ISNUMBER(SEARCH(Assumptions!$C$6,D2729)),Assumptions!$D$6,IF(ISNUMBER(SEARCH(Assumptions!$C$7,D2729)),Assumptions!$D$7,"Other Services"))),"Other Services"))</f>
        <v/>
      </c>
    </row>
    <row r="2730" customFormat="false" ht="15" hidden="false" customHeight="false" outlineLevel="0" collapsed="false">
      <c r="J2730" s="41" t="str">
        <f aca="false">IF(D2730="","",IFERROR(IF(ISNUMBER(SEARCH(Assumptions!$C$5,D2730)),Assumptions!$D$5,IF(ISNUMBER(SEARCH(Assumptions!$C$6,D2730)),Assumptions!$D$6,IF(ISNUMBER(SEARCH(Assumptions!$C$7,D2730)),Assumptions!$D$7,"Other Services"))),"Other Services"))</f>
        <v/>
      </c>
    </row>
    <row r="2731" customFormat="false" ht="15" hidden="false" customHeight="false" outlineLevel="0" collapsed="false">
      <c r="J2731" s="41" t="str">
        <f aca="false">IF(D2731="","",IFERROR(IF(ISNUMBER(SEARCH(Assumptions!$C$5,D2731)),Assumptions!$D$5,IF(ISNUMBER(SEARCH(Assumptions!$C$6,D2731)),Assumptions!$D$6,IF(ISNUMBER(SEARCH(Assumptions!$C$7,D2731)),Assumptions!$D$7,"Other Services"))),"Other Services"))</f>
        <v/>
      </c>
    </row>
    <row r="2732" customFormat="false" ht="15" hidden="false" customHeight="false" outlineLevel="0" collapsed="false">
      <c r="J2732" s="41" t="str">
        <f aca="false">IF(D2732="","",IFERROR(IF(ISNUMBER(SEARCH(Assumptions!$C$5,D2732)),Assumptions!$D$5,IF(ISNUMBER(SEARCH(Assumptions!$C$6,D2732)),Assumptions!$D$6,IF(ISNUMBER(SEARCH(Assumptions!$C$7,D2732)),Assumptions!$D$7,"Other Services"))),"Other Services"))</f>
        <v/>
      </c>
    </row>
    <row r="2733" customFormat="false" ht="15" hidden="false" customHeight="false" outlineLevel="0" collapsed="false">
      <c r="J2733" s="41" t="str">
        <f aca="false">IF(D2733="","",IFERROR(IF(ISNUMBER(SEARCH(Assumptions!$C$5,D2733)),Assumptions!$D$5,IF(ISNUMBER(SEARCH(Assumptions!$C$6,D2733)),Assumptions!$D$6,IF(ISNUMBER(SEARCH(Assumptions!$C$7,D2733)),Assumptions!$D$7,"Other Services"))),"Other Services"))</f>
        <v/>
      </c>
    </row>
    <row r="2734" customFormat="false" ht="15" hidden="false" customHeight="false" outlineLevel="0" collapsed="false">
      <c r="J2734" s="41" t="str">
        <f aca="false">IF(D2734="","",IFERROR(IF(ISNUMBER(SEARCH(Assumptions!$C$5,D2734)),Assumptions!$D$5,IF(ISNUMBER(SEARCH(Assumptions!$C$6,D2734)),Assumptions!$D$6,IF(ISNUMBER(SEARCH(Assumptions!$C$7,D2734)),Assumptions!$D$7,"Other Services"))),"Other Services"))</f>
        <v/>
      </c>
    </row>
    <row r="2735" customFormat="false" ht="15" hidden="false" customHeight="false" outlineLevel="0" collapsed="false">
      <c r="J2735" s="41" t="str">
        <f aca="false">IF(D2735="","",IFERROR(IF(ISNUMBER(SEARCH(Assumptions!$C$5,D2735)),Assumptions!$D$5,IF(ISNUMBER(SEARCH(Assumptions!$C$6,D2735)),Assumptions!$D$6,IF(ISNUMBER(SEARCH(Assumptions!$C$7,D2735)),Assumptions!$D$7,"Other Services"))),"Other Services"))</f>
        <v/>
      </c>
    </row>
    <row r="2736" customFormat="false" ht="15" hidden="false" customHeight="false" outlineLevel="0" collapsed="false">
      <c r="J2736" s="41" t="str">
        <f aca="false">IF(D2736="","",IFERROR(IF(ISNUMBER(SEARCH(Assumptions!$C$5,D2736)),Assumptions!$D$5,IF(ISNUMBER(SEARCH(Assumptions!$C$6,D2736)),Assumptions!$D$6,IF(ISNUMBER(SEARCH(Assumptions!$C$7,D2736)),Assumptions!$D$7,"Other Services"))),"Other Services"))</f>
        <v/>
      </c>
    </row>
    <row r="2737" customFormat="false" ht="15" hidden="false" customHeight="false" outlineLevel="0" collapsed="false">
      <c r="J2737" s="41" t="str">
        <f aca="false">IF(D2737="","",IFERROR(IF(ISNUMBER(SEARCH(Assumptions!$C$5,D2737)),Assumptions!$D$5,IF(ISNUMBER(SEARCH(Assumptions!$C$6,D2737)),Assumptions!$D$6,IF(ISNUMBER(SEARCH(Assumptions!$C$7,D2737)),Assumptions!$D$7,"Other Services"))),"Other Services"))</f>
        <v/>
      </c>
    </row>
    <row r="2738" customFormat="false" ht="15" hidden="false" customHeight="false" outlineLevel="0" collapsed="false">
      <c r="J2738" s="41" t="str">
        <f aca="false">IF(D2738="","",IFERROR(IF(ISNUMBER(SEARCH(Assumptions!$C$5,D2738)),Assumptions!$D$5,IF(ISNUMBER(SEARCH(Assumptions!$C$6,D2738)),Assumptions!$D$6,IF(ISNUMBER(SEARCH(Assumptions!$C$7,D2738)),Assumptions!$D$7,"Other Services"))),"Other Services"))</f>
        <v/>
      </c>
    </row>
    <row r="2739" customFormat="false" ht="15" hidden="false" customHeight="false" outlineLevel="0" collapsed="false">
      <c r="J2739" s="41" t="str">
        <f aca="false">IF(D2739="","",IFERROR(IF(ISNUMBER(SEARCH(Assumptions!$C$5,D2739)),Assumptions!$D$5,IF(ISNUMBER(SEARCH(Assumptions!$C$6,D2739)),Assumptions!$D$6,IF(ISNUMBER(SEARCH(Assumptions!$C$7,D2739)),Assumptions!$D$7,"Other Services"))),"Other Services"))</f>
        <v/>
      </c>
    </row>
    <row r="2740" customFormat="false" ht="15" hidden="false" customHeight="false" outlineLevel="0" collapsed="false">
      <c r="J2740" s="41" t="str">
        <f aca="false">IF(D2740="","",IFERROR(IF(ISNUMBER(SEARCH(Assumptions!$C$5,D2740)),Assumptions!$D$5,IF(ISNUMBER(SEARCH(Assumptions!$C$6,D2740)),Assumptions!$D$6,IF(ISNUMBER(SEARCH(Assumptions!$C$7,D2740)),Assumptions!$D$7,"Other Services"))),"Other Services"))</f>
        <v/>
      </c>
    </row>
    <row r="2741" customFormat="false" ht="15" hidden="false" customHeight="false" outlineLevel="0" collapsed="false">
      <c r="J2741" s="41" t="str">
        <f aca="false">IF(D2741="","",IFERROR(IF(ISNUMBER(SEARCH(Assumptions!$C$5,D2741)),Assumptions!$D$5,IF(ISNUMBER(SEARCH(Assumptions!$C$6,D2741)),Assumptions!$D$6,IF(ISNUMBER(SEARCH(Assumptions!$C$7,D2741)),Assumptions!$D$7,"Other Services"))),"Other Services"))</f>
        <v/>
      </c>
    </row>
    <row r="2742" customFormat="false" ht="15" hidden="false" customHeight="false" outlineLevel="0" collapsed="false">
      <c r="J2742" s="41" t="str">
        <f aca="false">IF(D2742="","",IFERROR(IF(ISNUMBER(SEARCH(Assumptions!$C$5,D2742)),Assumptions!$D$5,IF(ISNUMBER(SEARCH(Assumptions!$C$6,D2742)),Assumptions!$D$6,IF(ISNUMBER(SEARCH(Assumptions!$C$7,D2742)),Assumptions!$D$7,"Other Services"))),"Other Services"))</f>
        <v/>
      </c>
    </row>
    <row r="2743" customFormat="false" ht="15" hidden="false" customHeight="false" outlineLevel="0" collapsed="false">
      <c r="J2743" s="41" t="str">
        <f aca="false">IF(D2743="","",IFERROR(IF(ISNUMBER(SEARCH(Assumptions!$C$5,D2743)),Assumptions!$D$5,IF(ISNUMBER(SEARCH(Assumptions!$C$6,D2743)),Assumptions!$D$6,IF(ISNUMBER(SEARCH(Assumptions!$C$7,D2743)),Assumptions!$D$7,"Other Services"))),"Other Services"))</f>
        <v/>
      </c>
    </row>
    <row r="2744" customFormat="false" ht="15" hidden="false" customHeight="false" outlineLevel="0" collapsed="false">
      <c r="J2744" s="41" t="str">
        <f aca="false">IF(D2744="","",IFERROR(IF(ISNUMBER(SEARCH(Assumptions!$C$5,D2744)),Assumptions!$D$5,IF(ISNUMBER(SEARCH(Assumptions!$C$6,D2744)),Assumptions!$D$6,IF(ISNUMBER(SEARCH(Assumptions!$C$7,D2744)),Assumptions!$D$7,"Other Services"))),"Other Services"))</f>
        <v/>
      </c>
    </row>
    <row r="2745" customFormat="false" ht="15" hidden="false" customHeight="false" outlineLevel="0" collapsed="false">
      <c r="J2745" s="41" t="str">
        <f aca="false">IF(D2745="","",IFERROR(IF(ISNUMBER(SEARCH(Assumptions!$C$5,D2745)),Assumptions!$D$5,IF(ISNUMBER(SEARCH(Assumptions!$C$6,D2745)),Assumptions!$D$6,IF(ISNUMBER(SEARCH(Assumptions!$C$7,D2745)),Assumptions!$D$7,"Other Services"))),"Other Services"))</f>
        <v/>
      </c>
    </row>
    <row r="2746" customFormat="false" ht="15" hidden="false" customHeight="false" outlineLevel="0" collapsed="false">
      <c r="J2746" s="41" t="str">
        <f aca="false">IF(D2746="","",IFERROR(IF(ISNUMBER(SEARCH(Assumptions!$C$5,D2746)),Assumptions!$D$5,IF(ISNUMBER(SEARCH(Assumptions!$C$6,D2746)),Assumptions!$D$6,IF(ISNUMBER(SEARCH(Assumptions!$C$7,D2746)),Assumptions!$D$7,"Other Services"))),"Other Services"))</f>
        <v/>
      </c>
    </row>
    <row r="2747" customFormat="false" ht="15" hidden="false" customHeight="false" outlineLevel="0" collapsed="false">
      <c r="J2747" s="41" t="str">
        <f aca="false">IF(D2747="","",IFERROR(IF(ISNUMBER(SEARCH(Assumptions!$C$5,D2747)),Assumptions!$D$5,IF(ISNUMBER(SEARCH(Assumptions!$C$6,D2747)),Assumptions!$D$6,IF(ISNUMBER(SEARCH(Assumptions!$C$7,D2747)),Assumptions!$D$7,"Other Services"))),"Other Services"))</f>
        <v/>
      </c>
    </row>
    <row r="2748" customFormat="false" ht="15" hidden="false" customHeight="false" outlineLevel="0" collapsed="false">
      <c r="J2748" s="41" t="str">
        <f aca="false">IF(D2748="","",IFERROR(IF(ISNUMBER(SEARCH(Assumptions!$C$5,D2748)),Assumptions!$D$5,IF(ISNUMBER(SEARCH(Assumptions!$C$6,D2748)),Assumptions!$D$6,IF(ISNUMBER(SEARCH(Assumptions!$C$7,D2748)),Assumptions!$D$7,"Other Services"))),"Other Services"))</f>
        <v/>
      </c>
    </row>
    <row r="2749" customFormat="false" ht="15" hidden="false" customHeight="false" outlineLevel="0" collapsed="false">
      <c r="J2749" s="41" t="str">
        <f aca="false">IF(D2749="","",IFERROR(IF(ISNUMBER(SEARCH(Assumptions!$C$5,D2749)),Assumptions!$D$5,IF(ISNUMBER(SEARCH(Assumptions!$C$6,D2749)),Assumptions!$D$6,IF(ISNUMBER(SEARCH(Assumptions!$C$7,D2749)),Assumptions!$D$7,"Other Services"))),"Other Services"))</f>
        <v/>
      </c>
    </row>
    <row r="2750" customFormat="false" ht="15" hidden="false" customHeight="false" outlineLevel="0" collapsed="false">
      <c r="J2750" s="41" t="str">
        <f aca="false">IF(D2750="","",IFERROR(IF(ISNUMBER(SEARCH(Assumptions!$C$5,D2750)),Assumptions!$D$5,IF(ISNUMBER(SEARCH(Assumptions!$C$6,D2750)),Assumptions!$D$6,IF(ISNUMBER(SEARCH(Assumptions!$C$7,D2750)),Assumptions!$D$7,"Other Services"))),"Other Services"))</f>
        <v/>
      </c>
    </row>
    <row r="2751" customFormat="false" ht="15" hidden="false" customHeight="false" outlineLevel="0" collapsed="false">
      <c r="J2751" s="41" t="str">
        <f aca="false">IF(D2751="","",IFERROR(IF(ISNUMBER(SEARCH(Assumptions!$C$5,D2751)),Assumptions!$D$5,IF(ISNUMBER(SEARCH(Assumptions!$C$6,D2751)),Assumptions!$D$6,IF(ISNUMBER(SEARCH(Assumptions!$C$7,D2751)),Assumptions!$D$7,"Other Services"))),"Other Services"))</f>
        <v/>
      </c>
    </row>
    <row r="2752" customFormat="false" ht="15" hidden="false" customHeight="false" outlineLevel="0" collapsed="false">
      <c r="J2752" s="41" t="str">
        <f aca="false">IF(D2752="","",IFERROR(IF(ISNUMBER(SEARCH(Assumptions!$C$5,D2752)),Assumptions!$D$5,IF(ISNUMBER(SEARCH(Assumptions!$C$6,D2752)),Assumptions!$D$6,IF(ISNUMBER(SEARCH(Assumptions!$C$7,D2752)),Assumptions!$D$7,"Other Services"))),"Other Services"))</f>
        <v/>
      </c>
    </row>
    <row r="2753" customFormat="false" ht="15" hidden="false" customHeight="false" outlineLevel="0" collapsed="false">
      <c r="J2753" s="41" t="str">
        <f aca="false">IF(D2753="","",IFERROR(IF(ISNUMBER(SEARCH(Assumptions!$C$5,D2753)),Assumptions!$D$5,IF(ISNUMBER(SEARCH(Assumptions!$C$6,D2753)),Assumptions!$D$6,IF(ISNUMBER(SEARCH(Assumptions!$C$7,D2753)),Assumptions!$D$7,"Other Services"))),"Other Services"))</f>
        <v/>
      </c>
    </row>
    <row r="2754" customFormat="false" ht="15" hidden="false" customHeight="false" outlineLevel="0" collapsed="false">
      <c r="J2754" s="41" t="str">
        <f aca="false">IF(D2754="","",IFERROR(IF(ISNUMBER(SEARCH(Assumptions!$C$5,D2754)),Assumptions!$D$5,IF(ISNUMBER(SEARCH(Assumptions!$C$6,D2754)),Assumptions!$D$6,IF(ISNUMBER(SEARCH(Assumptions!$C$7,D2754)),Assumptions!$D$7,"Other Services"))),"Other Services"))</f>
        <v/>
      </c>
    </row>
    <row r="2755" customFormat="false" ht="15" hidden="false" customHeight="false" outlineLevel="0" collapsed="false">
      <c r="J2755" s="41" t="str">
        <f aca="false">IF(D2755="","",IFERROR(IF(ISNUMBER(SEARCH(Assumptions!$C$5,D2755)),Assumptions!$D$5,IF(ISNUMBER(SEARCH(Assumptions!$C$6,D2755)),Assumptions!$D$6,IF(ISNUMBER(SEARCH(Assumptions!$C$7,D2755)),Assumptions!$D$7,"Other Services"))),"Other Services"))</f>
        <v/>
      </c>
    </row>
    <row r="2756" customFormat="false" ht="15" hidden="false" customHeight="false" outlineLevel="0" collapsed="false">
      <c r="J2756" s="41" t="str">
        <f aca="false">IF(D2756="","",IFERROR(IF(ISNUMBER(SEARCH(Assumptions!$C$5,D2756)),Assumptions!$D$5,IF(ISNUMBER(SEARCH(Assumptions!$C$6,D2756)),Assumptions!$D$6,IF(ISNUMBER(SEARCH(Assumptions!$C$7,D2756)),Assumptions!$D$7,"Other Services"))),"Other Services"))</f>
        <v/>
      </c>
    </row>
    <row r="2757" customFormat="false" ht="15" hidden="false" customHeight="false" outlineLevel="0" collapsed="false">
      <c r="J2757" s="41" t="str">
        <f aca="false">IF(D2757="","",IFERROR(IF(ISNUMBER(SEARCH(Assumptions!$C$5,D2757)),Assumptions!$D$5,IF(ISNUMBER(SEARCH(Assumptions!$C$6,D2757)),Assumptions!$D$6,IF(ISNUMBER(SEARCH(Assumptions!$C$7,D2757)),Assumptions!$D$7,"Other Services"))),"Other Services"))</f>
        <v/>
      </c>
    </row>
    <row r="2758" customFormat="false" ht="15" hidden="false" customHeight="false" outlineLevel="0" collapsed="false">
      <c r="J2758" s="41" t="str">
        <f aca="false">IF(D2758="","",IFERROR(IF(ISNUMBER(SEARCH(Assumptions!$C$5,D2758)),Assumptions!$D$5,IF(ISNUMBER(SEARCH(Assumptions!$C$6,D2758)),Assumptions!$D$6,IF(ISNUMBER(SEARCH(Assumptions!$C$7,D2758)),Assumptions!$D$7,"Other Services"))),"Other Services"))</f>
        <v/>
      </c>
    </row>
    <row r="2759" customFormat="false" ht="15" hidden="false" customHeight="false" outlineLevel="0" collapsed="false">
      <c r="J2759" s="41" t="str">
        <f aca="false">IF(D2759="","",IFERROR(IF(ISNUMBER(SEARCH(Assumptions!$C$5,D2759)),Assumptions!$D$5,IF(ISNUMBER(SEARCH(Assumptions!$C$6,D2759)),Assumptions!$D$6,IF(ISNUMBER(SEARCH(Assumptions!$C$7,D2759)),Assumptions!$D$7,"Other Services"))),"Other Services"))</f>
        <v/>
      </c>
    </row>
    <row r="2760" customFormat="false" ht="15" hidden="false" customHeight="false" outlineLevel="0" collapsed="false">
      <c r="J2760" s="41" t="str">
        <f aca="false">IF(D2760="","",IFERROR(IF(ISNUMBER(SEARCH(Assumptions!$C$5,D2760)),Assumptions!$D$5,IF(ISNUMBER(SEARCH(Assumptions!$C$6,D2760)),Assumptions!$D$6,IF(ISNUMBER(SEARCH(Assumptions!$C$7,D2760)),Assumptions!$D$7,"Other Services"))),"Other Services"))</f>
        <v/>
      </c>
    </row>
    <row r="2761" customFormat="false" ht="15" hidden="false" customHeight="false" outlineLevel="0" collapsed="false">
      <c r="J2761" s="41" t="str">
        <f aca="false">IF(D2761="","",IFERROR(IF(ISNUMBER(SEARCH(Assumptions!$C$5,D2761)),Assumptions!$D$5,IF(ISNUMBER(SEARCH(Assumptions!$C$6,D2761)),Assumptions!$D$6,IF(ISNUMBER(SEARCH(Assumptions!$C$7,D2761)),Assumptions!$D$7,"Other Services"))),"Other Services"))</f>
        <v/>
      </c>
    </row>
    <row r="2762" customFormat="false" ht="15" hidden="false" customHeight="false" outlineLevel="0" collapsed="false">
      <c r="J2762" s="41" t="str">
        <f aca="false">IF(D2762="","",IFERROR(IF(ISNUMBER(SEARCH(Assumptions!$C$5,D2762)),Assumptions!$D$5,IF(ISNUMBER(SEARCH(Assumptions!$C$6,D2762)),Assumptions!$D$6,IF(ISNUMBER(SEARCH(Assumptions!$C$7,D2762)),Assumptions!$D$7,"Other Services"))),"Other Services"))</f>
        <v/>
      </c>
    </row>
    <row r="2763" customFormat="false" ht="15" hidden="false" customHeight="false" outlineLevel="0" collapsed="false">
      <c r="J2763" s="41" t="str">
        <f aca="false">IF(D2763="","",IFERROR(IF(ISNUMBER(SEARCH(Assumptions!$C$5,D2763)),Assumptions!$D$5,IF(ISNUMBER(SEARCH(Assumptions!$C$6,D2763)),Assumptions!$D$6,IF(ISNUMBER(SEARCH(Assumptions!$C$7,D2763)),Assumptions!$D$7,"Other Services"))),"Other Services"))</f>
        <v/>
      </c>
    </row>
    <row r="2764" customFormat="false" ht="15" hidden="false" customHeight="false" outlineLevel="0" collapsed="false">
      <c r="J2764" s="41" t="str">
        <f aca="false">IF(D2764="","",IFERROR(IF(ISNUMBER(SEARCH(Assumptions!$C$5,D2764)),Assumptions!$D$5,IF(ISNUMBER(SEARCH(Assumptions!$C$6,D2764)),Assumptions!$D$6,IF(ISNUMBER(SEARCH(Assumptions!$C$7,D2764)),Assumptions!$D$7,"Other Services"))),"Other Services"))</f>
        <v/>
      </c>
    </row>
    <row r="2765" customFormat="false" ht="15" hidden="false" customHeight="false" outlineLevel="0" collapsed="false">
      <c r="J2765" s="41" t="str">
        <f aca="false">IF(D2765="","",IFERROR(IF(ISNUMBER(SEARCH(Assumptions!$C$5,D2765)),Assumptions!$D$5,IF(ISNUMBER(SEARCH(Assumptions!$C$6,D2765)),Assumptions!$D$6,IF(ISNUMBER(SEARCH(Assumptions!$C$7,D2765)),Assumptions!$D$7,"Other Services"))),"Other Services"))</f>
        <v/>
      </c>
    </row>
    <row r="2766" customFormat="false" ht="15" hidden="false" customHeight="false" outlineLevel="0" collapsed="false">
      <c r="J2766" s="41" t="str">
        <f aca="false">IF(D2766="","",IFERROR(IF(ISNUMBER(SEARCH(Assumptions!$C$5,D2766)),Assumptions!$D$5,IF(ISNUMBER(SEARCH(Assumptions!$C$6,D2766)),Assumptions!$D$6,IF(ISNUMBER(SEARCH(Assumptions!$C$7,D2766)),Assumptions!$D$7,"Other Services"))),"Other Services"))</f>
        <v/>
      </c>
    </row>
    <row r="2767" customFormat="false" ht="15" hidden="false" customHeight="false" outlineLevel="0" collapsed="false">
      <c r="J2767" s="41" t="str">
        <f aca="false">IF(D2767="","",IFERROR(IF(ISNUMBER(SEARCH(Assumptions!$C$5,D2767)),Assumptions!$D$5,IF(ISNUMBER(SEARCH(Assumptions!$C$6,D2767)),Assumptions!$D$6,IF(ISNUMBER(SEARCH(Assumptions!$C$7,D2767)),Assumptions!$D$7,"Other Services"))),"Other Services"))</f>
        <v/>
      </c>
    </row>
    <row r="2768" customFormat="false" ht="15" hidden="false" customHeight="false" outlineLevel="0" collapsed="false">
      <c r="J2768" s="41" t="str">
        <f aca="false">IF(D2768="","",IFERROR(IF(ISNUMBER(SEARCH(Assumptions!$C$5,D2768)),Assumptions!$D$5,IF(ISNUMBER(SEARCH(Assumptions!$C$6,D2768)),Assumptions!$D$6,IF(ISNUMBER(SEARCH(Assumptions!$C$7,D2768)),Assumptions!$D$7,"Other Services"))),"Other Services"))</f>
        <v/>
      </c>
    </row>
    <row r="2769" customFormat="false" ht="15" hidden="false" customHeight="false" outlineLevel="0" collapsed="false">
      <c r="J2769" s="41" t="str">
        <f aca="false">IF(D2769="","",IFERROR(IF(ISNUMBER(SEARCH(Assumptions!$C$5,D2769)),Assumptions!$D$5,IF(ISNUMBER(SEARCH(Assumptions!$C$6,D2769)),Assumptions!$D$6,IF(ISNUMBER(SEARCH(Assumptions!$C$7,D2769)),Assumptions!$D$7,"Other Services"))),"Other Services"))</f>
        <v/>
      </c>
    </row>
    <row r="2770" customFormat="false" ht="15" hidden="false" customHeight="false" outlineLevel="0" collapsed="false">
      <c r="J2770" s="41" t="str">
        <f aca="false">IF(D2770="","",IFERROR(IF(ISNUMBER(SEARCH(Assumptions!$C$5,D2770)),Assumptions!$D$5,IF(ISNUMBER(SEARCH(Assumptions!$C$6,D2770)),Assumptions!$D$6,IF(ISNUMBER(SEARCH(Assumptions!$C$7,D2770)),Assumptions!$D$7,"Other Services"))),"Other Services"))</f>
        <v/>
      </c>
    </row>
    <row r="2771" customFormat="false" ht="15" hidden="false" customHeight="false" outlineLevel="0" collapsed="false">
      <c r="J2771" s="41" t="str">
        <f aca="false">IF(D2771="","",IFERROR(IF(ISNUMBER(SEARCH(Assumptions!$C$5,D2771)),Assumptions!$D$5,IF(ISNUMBER(SEARCH(Assumptions!$C$6,D2771)),Assumptions!$D$6,IF(ISNUMBER(SEARCH(Assumptions!$C$7,D2771)),Assumptions!$D$7,"Other Services"))),"Other Services"))</f>
        <v/>
      </c>
    </row>
    <row r="2772" customFormat="false" ht="15" hidden="false" customHeight="false" outlineLevel="0" collapsed="false">
      <c r="J2772" s="41" t="str">
        <f aca="false">IF(D2772="","",IFERROR(IF(ISNUMBER(SEARCH(Assumptions!$C$5,D2772)),Assumptions!$D$5,IF(ISNUMBER(SEARCH(Assumptions!$C$6,D2772)),Assumptions!$D$6,IF(ISNUMBER(SEARCH(Assumptions!$C$7,D2772)),Assumptions!$D$7,"Other Services"))),"Other Services"))</f>
        <v/>
      </c>
    </row>
    <row r="2773" customFormat="false" ht="15" hidden="false" customHeight="false" outlineLevel="0" collapsed="false">
      <c r="J2773" s="41" t="str">
        <f aca="false">IF(D2773="","",IFERROR(IF(ISNUMBER(SEARCH(Assumptions!$C$5,D2773)),Assumptions!$D$5,IF(ISNUMBER(SEARCH(Assumptions!$C$6,D2773)),Assumptions!$D$6,IF(ISNUMBER(SEARCH(Assumptions!$C$7,D2773)),Assumptions!$D$7,"Other Services"))),"Other Services"))</f>
        <v/>
      </c>
    </row>
    <row r="2774" customFormat="false" ht="15" hidden="false" customHeight="false" outlineLevel="0" collapsed="false">
      <c r="J2774" s="41" t="str">
        <f aca="false">IF(D2774="","",IFERROR(IF(ISNUMBER(SEARCH(Assumptions!$C$5,D2774)),Assumptions!$D$5,IF(ISNUMBER(SEARCH(Assumptions!$C$6,D2774)),Assumptions!$D$6,IF(ISNUMBER(SEARCH(Assumptions!$C$7,D2774)),Assumptions!$D$7,"Other Services"))),"Other Services"))</f>
        <v/>
      </c>
    </row>
    <row r="2775" customFormat="false" ht="15" hidden="false" customHeight="false" outlineLevel="0" collapsed="false">
      <c r="J2775" s="41" t="str">
        <f aca="false">IF(D2775="","",IFERROR(IF(ISNUMBER(SEARCH(Assumptions!$C$5,D2775)),Assumptions!$D$5,IF(ISNUMBER(SEARCH(Assumptions!$C$6,D2775)),Assumptions!$D$6,IF(ISNUMBER(SEARCH(Assumptions!$C$7,D2775)),Assumptions!$D$7,"Other Services"))),"Other Services"))</f>
        <v/>
      </c>
    </row>
    <row r="2776" customFormat="false" ht="15" hidden="false" customHeight="false" outlineLevel="0" collapsed="false">
      <c r="J2776" s="41" t="str">
        <f aca="false">IF(D2776="","",IFERROR(IF(ISNUMBER(SEARCH(Assumptions!$C$5,D2776)),Assumptions!$D$5,IF(ISNUMBER(SEARCH(Assumptions!$C$6,D2776)),Assumptions!$D$6,IF(ISNUMBER(SEARCH(Assumptions!$C$7,D2776)),Assumptions!$D$7,"Other Services"))),"Other Services"))</f>
        <v/>
      </c>
    </row>
    <row r="2777" customFormat="false" ht="15" hidden="false" customHeight="false" outlineLevel="0" collapsed="false">
      <c r="J2777" s="41" t="str">
        <f aca="false">IF(D2777="","",IFERROR(IF(ISNUMBER(SEARCH(Assumptions!$C$5,D2777)),Assumptions!$D$5,IF(ISNUMBER(SEARCH(Assumptions!$C$6,D2777)),Assumptions!$D$6,IF(ISNUMBER(SEARCH(Assumptions!$C$7,D2777)),Assumptions!$D$7,"Other Services"))),"Other Services"))</f>
        <v/>
      </c>
    </row>
    <row r="2778" customFormat="false" ht="15" hidden="false" customHeight="false" outlineLevel="0" collapsed="false">
      <c r="J2778" s="41" t="str">
        <f aca="false">IF(D2778="","",IFERROR(IF(ISNUMBER(SEARCH(Assumptions!$C$5,D2778)),Assumptions!$D$5,IF(ISNUMBER(SEARCH(Assumptions!$C$6,D2778)),Assumptions!$D$6,IF(ISNUMBER(SEARCH(Assumptions!$C$7,D2778)),Assumptions!$D$7,"Other Services"))),"Other Services"))</f>
        <v/>
      </c>
    </row>
    <row r="2779" customFormat="false" ht="15" hidden="false" customHeight="false" outlineLevel="0" collapsed="false">
      <c r="J2779" s="41" t="str">
        <f aca="false">IF(D2779="","",IFERROR(IF(ISNUMBER(SEARCH(Assumptions!$C$5,D2779)),Assumptions!$D$5,IF(ISNUMBER(SEARCH(Assumptions!$C$6,D2779)),Assumptions!$D$6,IF(ISNUMBER(SEARCH(Assumptions!$C$7,D2779)),Assumptions!$D$7,"Other Services"))),"Other Services"))</f>
        <v/>
      </c>
    </row>
    <row r="2780" customFormat="false" ht="15" hidden="false" customHeight="false" outlineLevel="0" collapsed="false">
      <c r="J2780" s="41" t="str">
        <f aca="false">IF(D2780="","",IFERROR(IF(ISNUMBER(SEARCH(Assumptions!$C$5,D2780)),Assumptions!$D$5,IF(ISNUMBER(SEARCH(Assumptions!$C$6,D2780)),Assumptions!$D$6,IF(ISNUMBER(SEARCH(Assumptions!$C$7,D2780)),Assumptions!$D$7,"Other Services"))),"Other Services"))</f>
        <v/>
      </c>
    </row>
    <row r="2781" customFormat="false" ht="15" hidden="false" customHeight="false" outlineLevel="0" collapsed="false">
      <c r="J2781" s="41" t="str">
        <f aca="false">IF(D2781="","",IFERROR(IF(ISNUMBER(SEARCH(Assumptions!$C$5,D2781)),Assumptions!$D$5,IF(ISNUMBER(SEARCH(Assumptions!$C$6,D2781)),Assumptions!$D$6,IF(ISNUMBER(SEARCH(Assumptions!$C$7,D2781)),Assumptions!$D$7,"Other Services"))),"Other Services"))</f>
        <v/>
      </c>
    </row>
    <row r="2782" customFormat="false" ht="15" hidden="false" customHeight="false" outlineLevel="0" collapsed="false">
      <c r="J2782" s="41" t="str">
        <f aca="false">IF(D2782="","",IFERROR(IF(ISNUMBER(SEARCH(Assumptions!$C$5,D2782)),Assumptions!$D$5,IF(ISNUMBER(SEARCH(Assumptions!$C$6,D2782)),Assumptions!$D$6,IF(ISNUMBER(SEARCH(Assumptions!$C$7,D2782)),Assumptions!$D$7,"Other Services"))),"Other Services"))</f>
        <v/>
      </c>
    </row>
    <row r="2783" customFormat="false" ht="15" hidden="false" customHeight="false" outlineLevel="0" collapsed="false">
      <c r="J2783" s="41" t="str">
        <f aca="false">IF(D2783="","",IFERROR(IF(ISNUMBER(SEARCH(Assumptions!$C$5,D2783)),Assumptions!$D$5,IF(ISNUMBER(SEARCH(Assumptions!$C$6,D2783)),Assumptions!$D$6,IF(ISNUMBER(SEARCH(Assumptions!$C$7,D2783)),Assumptions!$D$7,"Other Services"))),"Other Services"))</f>
        <v/>
      </c>
    </row>
    <row r="2784" customFormat="false" ht="15" hidden="false" customHeight="false" outlineLevel="0" collapsed="false">
      <c r="J2784" s="41" t="str">
        <f aca="false">IF(D2784="","",IFERROR(IF(ISNUMBER(SEARCH(Assumptions!$C$5,D2784)),Assumptions!$D$5,IF(ISNUMBER(SEARCH(Assumptions!$C$6,D2784)),Assumptions!$D$6,IF(ISNUMBER(SEARCH(Assumptions!$C$7,D2784)),Assumptions!$D$7,"Other Services"))),"Other Services"))</f>
        <v/>
      </c>
    </row>
    <row r="2785" customFormat="false" ht="15" hidden="false" customHeight="false" outlineLevel="0" collapsed="false">
      <c r="J2785" s="41" t="str">
        <f aca="false">IF(D2785="","",IFERROR(IF(ISNUMBER(SEARCH(Assumptions!$C$5,D2785)),Assumptions!$D$5,IF(ISNUMBER(SEARCH(Assumptions!$C$6,D2785)),Assumptions!$D$6,IF(ISNUMBER(SEARCH(Assumptions!$C$7,D2785)),Assumptions!$D$7,"Other Services"))),"Other Services"))</f>
        <v/>
      </c>
    </row>
    <row r="2786" customFormat="false" ht="15" hidden="false" customHeight="false" outlineLevel="0" collapsed="false">
      <c r="J2786" s="41" t="str">
        <f aca="false">IF(D2786="","",IFERROR(IF(ISNUMBER(SEARCH(Assumptions!$C$5,D2786)),Assumptions!$D$5,IF(ISNUMBER(SEARCH(Assumptions!$C$6,D2786)),Assumptions!$D$6,IF(ISNUMBER(SEARCH(Assumptions!$C$7,D2786)),Assumptions!$D$7,"Other Services"))),"Other Services"))</f>
        <v/>
      </c>
    </row>
    <row r="2787" customFormat="false" ht="15" hidden="false" customHeight="false" outlineLevel="0" collapsed="false">
      <c r="J2787" s="41" t="str">
        <f aca="false">IF(D2787="","",IFERROR(IF(ISNUMBER(SEARCH(Assumptions!$C$5,D2787)),Assumptions!$D$5,IF(ISNUMBER(SEARCH(Assumptions!$C$6,D2787)),Assumptions!$D$6,IF(ISNUMBER(SEARCH(Assumptions!$C$7,D2787)),Assumptions!$D$7,"Other Services"))),"Other Services"))</f>
        <v/>
      </c>
    </row>
    <row r="2788" customFormat="false" ht="15" hidden="false" customHeight="false" outlineLevel="0" collapsed="false">
      <c r="J2788" s="41" t="str">
        <f aca="false">IF(D2788="","",IFERROR(IF(ISNUMBER(SEARCH(Assumptions!$C$5,D2788)),Assumptions!$D$5,IF(ISNUMBER(SEARCH(Assumptions!$C$6,D2788)),Assumptions!$D$6,IF(ISNUMBER(SEARCH(Assumptions!$C$7,D2788)),Assumptions!$D$7,"Other Services"))),"Other Services"))</f>
        <v/>
      </c>
    </row>
    <row r="2789" customFormat="false" ht="15" hidden="false" customHeight="false" outlineLevel="0" collapsed="false">
      <c r="J2789" s="41" t="str">
        <f aca="false">IF(D2789="","",IFERROR(IF(ISNUMBER(SEARCH(Assumptions!$C$5,D2789)),Assumptions!$D$5,IF(ISNUMBER(SEARCH(Assumptions!$C$6,D2789)),Assumptions!$D$6,IF(ISNUMBER(SEARCH(Assumptions!$C$7,D2789)),Assumptions!$D$7,"Other Services"))),"Other Services"))</f>
        <v/>
      </c>
    </row>
    <row r="2790" customFormat="false" ht="15" hidden="false" customHeight="false" outlineLevel="0" collapsed="false">
      <c r="J2790" s="41" t="str">
        <f aca="false">IF(D2790="","",IFERROR(IF(ISNUMBER(SEARCH(Assumptions!$C$5,D2790)),Assumptions!$D$5,IF(ISNUMBER(SEARCH(Assumptions!$C$6,D2790)),Assumptions!$D$6,IF(ISNUMBER(SEARCH(Assumptions!$C$7,D2790)),Assumptions!$D$7,"Other Services"))),"Other Services"))</f>
        <v/>
      </c>
    </row>
    <row r="2791" customFormat="false" ht="15" hidden="false" customHeight="false" outlineLevel="0" collapsed="false">
      <c r="J2791" s="41" t="str">
        <f aca="false">IF(D2791="","",IFERROR(IF(ISNUMBER(SEARCH(Assumptions!$C$5,D2791)),Assumptions!$D$5,IF(ISNUMBER(SEARCH(Assumptions!$C$6,D2791)),Assumptions!$D$6,IF(ISNUMBER(SEARCH(Assumptions!$C$7,D2791)),Assumptions!$D$7,"Other Services"))),"Other Services"))</f>
        <v/>
      </c>
    </row>
    <row r="2792" customFormat="false" ht="15" hidden="false" customHeight="false" outlineLevel="0" collapsed="false">
      <c r="J2792" s="41" t="str">
        <f aca="false">IF(D2792="","",IFERROR(IF(ISNUMBER(SEARCH(Assumptions!$C$5,D2792)),Assumptions!$D$5,IF(ISNUMBER(SEARCH(Assumptions!$C$6,D2792)),Assumptions!$D$6,IF(ISNUMBER(SEARCH(Assumptions!$C$7,D2792)),Assumptions!$D$7,"Other Services"))),"Other Services"))</f>
        <v/>
      </c>
    </row>
    <row r="2793" customFormat="false" ht="15" hidden="false" customHeight="false" outlineLevel="0" collapsed="false">
      <c r="J2793" s="41" t="str">
        <f aca="false">IF(D2793="","",IFERROR(IF(ISNUMBER(SEARCH(Assumptions!$C$5,D2793)),Assumptions!$D$5,IF(ISNUMBER(SEARCH(Assumptions!$C$6,D2793)),Assumptions!$D$6,IF(ISNUMBER(SEARCH(Assumptions!$C$7,D2793)),Assumptions!$D$7,"Other Services"))),"Other Services"))</f>
        <v/>
      </c>
    </row>
    <row r="2794" customFormat="false" ht="15" hidden="false" customHeight="false" outlineLevel="0" collapsed="false">
      <c r="J2794" s="41" t="str">
        <f aca="false">IF(D2794="","",IFERROR(IF(ISNUMBER(SEARCH(Assumptions!$C$5,D2794)),Assumptions!$D$5,IF(ISNUMBER(SEARCH(Assumptions!$C$6,D2794)),Assumptions!$D$6,IF(ISNUMBER(SEARCH(Assumptions!$C$7,D2794)),Assumptions!$D$7,"Other Services"))),"Other Services"))</f>
        <v/>
      </c>
    </row>
    <row r="2795" customFormat="false" ht="15" hidden="false" customHeight="false" outlineLevel="0" collapsed="false">
      <c r="J2795" s="41" t="str">
        <f aca="false">IF(D2795="","",IFERROR(IF(ISNUMBER(SEARCH(Assumptions!$C$5,D2795)),Assumptions!$D$5,IF(ISNUMBER(SEARCH(Assumptions!$C$6,D2795)),Assumptions!$D$6,IF(ISNUMBER(SEARCH(Assumptions!$C$7,D2795)),Assumptions!$D$7,"Other Services"))),"Other Services"))</f>
        <v/>
      </c>
    </row>
    <row r="2796" customFormat="false" ht="15" hidden="false" customHeight="false" outlineLevel="0" collapsed="false">
      <c r="J2796" s="41" t="str">
        <f aca="false">IF(D2796="","",IFERROR(IF(ISNUMBER(SEARCH(Assumptions!$C$5,D2796)),Assumptions!$D$5,IF(ISNUMBER(SEARCH(Assumptions!$C$6,D2796)),Assumptions!$D$6,IF(ISNUMBER(SEARCH(Assumptions!$C$7,D2796)),Assumptions!$D$7,"Other Services"))),"Other Services"))</f>
        <v/>
      </c>
    </row>
    <row r="2797" customFormat="false" ht="15" hidden="false" customHeight="false" outlineLevel="0" collapsed="false">
      <c r="J2797" s="41" t="str">
        <f aca="false">IF(D2797="","",IFERROR(IF(ISNUMBER(SEARCH(Assumptions!$C$5,D2797)),Assumptions!$D$5,IF(ISNUMBER(SEARCH(Assumptions!$C$6,D2797)),Assumptions!$D$6,IF(ISNUMBER(SEARCH(Assumptions!$C$7,D2797)),Assumptions!$D$7,"Other Services"))),"Other Services"))</f>
        <v/>
      </c>
    </row>
    <row r="2798" customFormat="false" ht="15" hidden="false" customHeight="false" outlineLevel="0" collapsed="false">
      <c r="J2798" s="41" t="str">
        <f aca="false">IF(D2798="","",IFERROR(IF(ISNUMBER(SEARCH(Assumptions!$C$5,D2798)),Assumptions!$D$5,IF(ISNUMBER(SEARCH(Assumptions!$C$6,D2798)),Assumptions!$D$6,IF(ISNUMBER(SEARCH(Assumptions!$C$7,D2798)),Assumptions!$D$7,"Other Services"))),"Other Services"))</f>
        <v/>
      </c>
    </row>
    <row r="2799" customFormat="false" ht="15" hidden="false" customHeight="false" outlineLevel="0" collapsed="false">
      <c r="J2799" s="41" t="str">
        <f aca="false">IF(D2799="","",IFERROR(IF(ISNUMBER(SEARCH(Assumptions!$C$5,D2799)),Assumptions!$D$5,IF(ISNUMBER(SEARCH(Assumptions!$C$6,D2799)),Assumptions!$D$6,IF(ISNUMBER(SEARCH(Assumptions!$C$7,D2799)),Assumptions!$D$7,"Other Services"))),"Other Services"))</f>
        <v/>
      </c>
    </row>
    <row r="2800" customFormat="false" ht="15" hidden="false" customHeight="false" outlineLevel="0" collapsed="false">
      <c r="J2800" s="41" t="str">
        <f aca="false">IF(D2800="","",IFERROR(IF(ISNUMBER(SEARCH(Assumptions!$C$5,D2800)),Assumptions!$D$5,IF(ISNUMBER(SEARCH(Assumptions!$C$6,D2800)),Assumptions!$D$6,IF(ISNUMBER(SEARCH(Assumptions!$C$7,D2800)),Assumptions!$D$7,"Other Services"))),"Other Services"))</f>
        <v/>
      </c>
    </row>
    <row r="2801" customFormat="false" ht="15" hidden="false" customHeight="false" outlineLevel="0" collapsed="false">
      <c r="J2801" s="41" t="str">
        <f aca="false">IF(D2801="","",IFERROR(IF(ISNUMBER(SEARCH(Assumptions!$C$5,D2801)),Assumptions!$D$5,IF(ISNUMBER(SEARCH(Assumptions!$C$6,D2801)),Assumptions!$D$6,IF(ISNUMBER(SEARCH(Assumptions!$C$7,D2801)),Assumptions!$D$7,"Other Services"))),"Other Services"))</f>
        <v/>
      </c>
    </row>
    <row r="2802" customFormat="false" ht="15" hidden="false" customHeight="false" outlineLevel="0" collapsed="false">
      <c r="J2802" s="41" t="str">
        <f aca="false">IF(D2802="","",IFERROR(IF(ISNUMBER(SEARCH(Assumptions!$C$5,D2802)),Assumptions!$D$5,IF(ISNUMBER(SEARCH(Assumptions!$C$6,D2802)),Assumptions!$D$6,IF(ISNUMBER(SEARCH(Assumptions!$C$7,D2802)),Assumptions!$D$7,"Other Services"))),"Other Services"))</f>
        <v/>
      </c>
    </row>
    <row r="2803" customFormat="false" ht="15" hidden="false" customHeight="false" outlineLevel="0" collapsed="false">
      <c r="J2803" s="41" t="str">
        <f aca="false">IF(D2803="","",IFERROR(IF(ISNUMBER(SEARCH(Assumptions!$C$5,D2803)),Assumptions!$D$5,IF(ISNUMBER(SEARCH(Assumptions!$C$6,D2803)),Assumptions!$D$6,IF(ISNUMBER(SEARCH(Assumptions!$C$7,D2803)),Assumptions!$D$7,"Other Services"))),"Other Services"))</f>
        <v/>
      </c>
    </row>
    <row r="2804" customFormat="false" ht="15" hidden="false" customHeight="false" outlineLevel="0" collapsed="false">
      <c r="J2804" s="41" t="str">
        <f aca="false">IF(D2804="","",IFERROR(IF(ISNUMBER(SEARCH(Assumptions!$C$5,D2804)),Assumptions!$D$5,IF(ISNUMBER(SEARCH(Assumptions!$C$6,D2804)),Assumptions!$D$6,IF(ISNUMBER(SEARCH(Assumptions!$C$7,D2804)),Assumptions!$D$7,"Other Services"))),"Other Services"))</f>
        <v/>
      </c>
    </row>
    <row r="2805" customFormat="false" ht="15" hidden="false" customHeight="false" outlineLevel="0" collapsed="false">
      <c r="J2805" s="41" t="str">
        <f aca="false">IF(D2805="","",IFERROR(IF(ISNUMBER(SEARCH(Assumptions!$C$5,D2805)),Assumptions!$D$5,IF(ISNUMBER(SEARCH(Assumptions!$C$6,D2805)),Assumptions!$D$6,IF(ISNUMBER(SEARCH(Assumptions!$C$7,D2805)),Assumptions!$D$7,"Other Services"))),"Other Services"))</f>
        <v/>
      </c>
    </row>
    <row r="2806" customFormat="false" ht="15" hidden="false" customHeight="false" outlineLevel="0" collapsed="false">
      <c r="J2806" s="41" t="str">
        <f aca="false">IF(D2806="","",IFERROR(IF(ISNUMBER(SEARCH(Assumptions!$C$5,D2806)),Assumptions!$D$5,IF(ISNUMBER(SEARCH(Assumptions!$C$6,D2806)),Assumptions!$D$6,IF(ISNUMBER(SEARCH(Assumptions!$C$7,D2806)),Assumptions!$D$7,"Other Services"))),"Other Services"))</f>
        <v/>
      </c>
    </row>
    <row r="2807" customFormat="false" ht="15" hidden="false" customHeight="false" outlineLevel="0" collapsed="false">
      <c r="J2807" s="41" t="str">
        <f aca="false">IF(D2807="","",IFERROR(IF(ISNUMBER(SEARCH(Assumptions!$C$5,D2807)),Assumptions!$D$5,IF(ISNUMBER(SEARCH(Assumptions!$C$6,D2807)),Assumptions!$D$6,IF(ISNUMBER(SEARCH(Assumptions!$C$7,D2807)),Assumptions!$D$7,"Other Services"))),"Other Services"))</f>
        <v/>
      </c>
    </row>
    <row r="2808" customFormat="false" ht="15" hidden="false" customHeight="false" outlineLevel="0" collapsed="false">
      <c r="J2808" s="41" t="str">
        <f aca="false">IF(D2808="","",IFERROR(IF(ISNUMBER(SEARCH(Assumptions!$C$5,D2808)),Assumptions!$D$5,IF(ISNUMBER(SEARCH(Assumptions!$C$6,D2808)),Assumptions!$D$6,IF(ISNUMBER(SEARCH(Assumptions!$C$7,D2808)),Assumptions!$D$7,"Other Services"))),"Other Services"))</f>
        <v/>
      </c>
    </row>
    <row r="2809" customFormat="false" ht="15" hidden="false" customHeight="false" outlineLevel="0" collapsed="false">
      <c r="J2809" s="41" t="str">
        <f aca="false">IF(D2809="","",IFERROR(IF(ISNUMBER(SEARCH(Assumptions!$C$5,D2809)),Assumptions!$D$5,IF(ISNUMBER(SEARCH(Assumptions!$C$6,D2809)),Assumptions!$D$6,IF(ISNUMBER(SEARCH(Assumptions!$C$7,D2809)),Assumptions!$D$7,"Other Services"))),"Other Services"))</f>
        <v/>
      </c>
    </row>
    <row r="2810" customFormat="false" ht="15" hidden="false" customHeight="false" outlineLevel="0" collapsed="false">
      <c r="J2810" s="41" t="str">
        <f aca="false">IF(D2810="","",IFERROR(IF(ISNUMBER(SEARCH(Assumptions!$C$5,D2810)),Assumptions!$D$5,IF(ISNUMBER(SEARCH(Assumptions!$C$6,D2810)),Assumptions!$D$6,IF(ISNUMBER(SEARCH(Assumptions!$C$7,D2810)),Assumptions!$D$7,"Other Services"))),"Other Services"))</f>
        <v/>
      </c>
    </row>
    <row r="2811" customFormat="false" ht="15" hidden="false" customHeight="false" outlineLevel="0" collapsed="false">
      <c r="J2811" s="41" t="str">
        <f aca="false">IF(D2811="","",IFERROR(IF(ISNUMBER(SEARCH(Assumptions!$C$5,D2811)),Assumptions!$D$5,IF(ISNUMBER(SEARCH(Assumptions!$C$6,D2811)),Assumptions!$D$6,IF(ISNUMBER(SEARCH(Assumptions!$C$7,D2811)),Assumptions!$D$7,"Other Services"))),"Other Services"))</f>
        <v/>
      </c>
    </row>
    <row r="2812" customFormat="false" ht="15" hidden="false" customHeight="false" outlineLevel="0" collapsed="false">
      <c r="J2812" s="41" t="str">
        <f aca="false">IF(D2812="","",IFERROR(IF(ISNUMBER(SEARCH(Assumptions!$C$5,D2812)),Assumptions!$D$5,IF(ISNUMBER(SEARCH(Assumptions!$C$6,D2812)),Assumptions!$D$6,IF(ISNUMBER(SEARCH(Assumptions!$C$7,D2812)),Assumptions!$D$7,"Other Services"))),"Other Services"))</f>
        <v/>
      </c>
    </row>
    <row r="2813" customFormat="false" ht="15" hidden="false" customHeight="false" outlineLevel="0" collapsed="false">
      <c r="J2813" s="41" t="str">
        <f aca="false">IF(D2813="","",IFERROR(IF(ISNUMBER(SEARCH(Assumptions!$C$5,D2813)),Assumptions!$D$5,IF(ISNUMBER(SEARCH(Assumptions!$C$6,D2813)),Assumptions!$D$6,IF(ISNUMBER(SEARCH(Assumptions!$C$7,D2813)),Assumptions!$D$7,"Other Services"))),"Other Services"))</f>
        <v/>
      </c>
    </row>
    <row r="2814" customFormat="false" ht="15" hidden="false" customHeight="false" outlineLevel="0" collapsed="false">
      <c r="J2814" s="41" t="str">
        <f aca="false">IF(D2814="","",IFERROR(IF(ISNUMBER(SEARCH(Assumptions!$C$5,D2814)),Assumptions!$D$5,IF(ISNUMBER(SEARCH(Assumptions!$C$6,D2814)),Assumptions!$D$6,IF(ISNUMBER(SEARCH(Assumptions!$C$7,D2814)),Assumptions!$D$7,"Other Services"))),"Other Services"))</f>
        <v/>
      </c>
    </row>
    <row r="2815" customFormat="false" ht="15" hidden="false" customHeight="false" outlineLevel="0" collapsed="false">
      <c r="J2815" s="41" t="str">
        <f aca="false">IF(D2815="","",IFERROR(IF(ISNUMBER(SEARCH(Assumptions!$C$5,D2815)),Assumptions!$D$5,IF(ISNUMBER(SEARCH(Assumptions!$C$6,D2815)),Assumptions!$D$6,IF(ISNUMBER(SEARCH(Assumptions!$C$7,D2815)),Assumptions!$D$7,"Other Services"))),"Other Services"))</f>
        <v/>
      </c>
    </row>
    <row r="2816" customFormat="false" ht="15" hidden="false" customHeight="false" outlineLevel="0" collapsed="false">
      <c r="J2816" s="41" t="str">
        <f aca="false">IF(D2816="","",IFERROR(IF(ISNUMBER(SEARCH(Assumptions!$C$5,D2816)),Assumptions!$D$5,IF(ISNUMBER(SEARCH(Assumptions!$C$6,D2816)),Assumptions!$D$6,IF(ISNUMBER(SEARCH(Assumptions!$C$7,D2816)),Assumptions!$D$7,"Other Services"))),"Other Services"))</f>
        <v/>
      </c>
    </row>
    <row r="2817" customFormat="false" ht="15" hidden="false" customHeight="false" outlineLevel="0" collapsed="false">
      <c r="J2817" s="41" t="str">
        <f aca="false">IF(D2817="","",IFERROR(IF(ISNUMBER(SEARCH(Assumptions!$C$5,D2817)),Assumptions!$D$5,IF(ISNUMBER(SEARCH(Assumptions!$C$6,D2817)),Assumptions!$D$6,IF(ISNUMBER(SEARCH(Assumptions!$C$7,D2817)),Assumptions!$D$7,"Other Services"))),"Other Services"))</f>
        <v/>
      </c>
    </row>
    <row r="2818" customFormat="false" ht="15" hidden="false" customHeight="false" outlineLevel="0" collapsed="false">
      <c r="J2818" s="41" t="str">
        <f aca="false">IF(D2818="","",IFERROR(IF(ISNUMBER(SEARCH(Assumptions!$C$5,D2818)),Assumptions!$D$5,IF(ISNUMBER(SEARCH(Assumptions!$C$6,D2818)),Assumptions!$D$6,IF(ISNUMBER(SEARCH(Assumptions!$C$7,D2818)),Assumptions!$D$7,"Other Services"))),"Other Services"))</f>
        <v/>
      </c>
    </row>
    <row r="2819" customFormat="false" ht="15" hidden="false" customHeight="false" outlineLevel="0" collapsed="false">
      <c r="J2819" s="41" t="str">
        <f aca="false">IF(D2819="","",IFERROR(IF(ISNUMBER(SEARCH(Assumptions!$C$5,D2819)),Assumptions!$D$5,IF(ISNUMBER(SEARCH(Assumptions!$C$6,D2819)),Assumptions!$D$6,IF(ISNUMBER(SEARCH(Assumptions!$C$7,D2819)),Assumptions!$D$7,"Other Services"))),"Other Services"))</f>
        <v/>
      </c>
    </row>
    <row r="2820" customFormat="false" ht="15" hidden="false" customHeight="false" outlineLevel="0" collapsed="false">
      <c r="J2820" s="41" t="str">
        <f aca="false">IF(D2820="","",IFERROR(IF(ISNUMBER(SEARCH(Assumptions!$C$5,D2820)),Assumptions!$D$5,IF(ISNUMBER(SEARCH(Assumptions!$C$6,D2820)),Assumptions!$D$6,IF(ISNUMBER(SEARCH(Assumptions!$C$7,D2820)),Assumptions!$D$7,"Other Services"))),"Other Services"))</f>
        <v/>
      </c>
    </row>
    <row r="2821" customFormat="false" ht="15" hidden="false" customHeight="false" outlineLevel="0" collapsed="false">
      <c r="J2821" s="41" t="str">
        <f aca="false">IF(D2821="","",IFERROR(IF(ISNUMBER(SEARCH(Assumptions!$C$5,D2821)),Assumptions!$D$5,IF(ISNUMBER(SEARCH(Assumptions!$C$6,D2821)),Assumptions!$D$6,IF(ISNUMBER(SEARCH(Assumptions!$C$7,D2821)),Assumptions!$D$7,"Other Services"))),"Other Services"))</f>
        <v/>
      </c>
    </row>
    <row r="2822" customFormat="false" ht="15" hidden="false" customHeight="false" outlineLevel="0" collapsed="false">
      <c r="J2822" s="41" t="str">
        <f aca="false">IF(D2822="","",IFERROR(IF(ISNUMBER(SEARCH(Assumptions!$C$5,D2822)),Assumptions!$D$5,IF(ISNUMBER(SEARCH(Assumptions!$C$6,D2822)),Assumptions!$D$6,IF(ISNUMBER(SEARCH(Assumptions!$C$7,D2822)),Assumptions!$D$7,"Other Services"))),"Other Services"))</f>
        <v/>
      </c>
    </row>
    <row r="2823" customFormat="false" ht="15" hidden="false" customHeight="false" outlineLevel="0" collapsed="false">
      <c r="J2823" s="41" t="str">
        <f aca="false">IF(D2823="","",IFERROR(IF(ISNUMBER(SEARCH(Assumptions!$C$5,D2823)),Assumptions!$D$5,IF(ISNUMBER(SEARCH(Assumptions!$C$6,D2823)),Assumptions!$D$6,IF(ISNUMBER(SEARCH(Assumptions!$C$7,D2823)),Assumptions!$D$7,"Other Services"))),"Other Services"))</f>
        <v/>
      </c>
    </row>
    <row r="2824" customFormat="false" ht="15" hidden="false" customHeight="false" outlineLevel="0" collapsed="false">
      <c r="J2824" s="41" t="str">
        <f aca="false">IF(D2824="","",IFERROR(IF(ISNUMBER(SEARCH(Assumptions!$C$5,D2824)),Assumptions!$D$5,IF(ISNUMBER(SEARCH(Assumptions!$C$6,D2824)),Assumptions!$D$6,IF(ISNUMBER(SEARCH(Assumptions!$C$7,D2824)),Assumptions!$D$7,"Other Services"))),"Other Services"))</f>
        <v/>
      </c>
    </row>
    <row r="2825" customFormat="false" ht="15" hidden="false" customHeight="false" outlineLevel="0" collapsed="false">
      <c r="J2825" s="41" t="str">
        <f aca="false">IF(D2825="","",IFERROR(IF(ISNUMBER(SEARCH(Assumptions!$C$5,D2825)),Assumptions!$D$5,IF(ISNUMBER(SEARCH(Assumptions!$C$6,D2825)),Assumptions!$D$6,IF(ISNUMBER(SEARCH(Assumptions!$C$7,D2825)),Assumptions!$D$7,"Other Services"))),"Other Services"))</f>
        <v/>
      </c>
    </row>
    <row r="2826" customFormat="false" ht="15" hidden="false" customHeight="false" outlineLevel="0" collapsed="false">
      <c r="J2826" s="41" t="str">
        <f aca="false">IF(D2826="","",IFERROR(IF(ISNUMBER(SEARCH(Assumptions!$C$5,D2826)),Assumptions!$D$5,IF(ISNUMBER(SEARCH(Assumptions!$C$6,D2826)),Assumptions!$D$6,IF(ISNUMBER(SEARCH(Assumptions!$C$7,D2826)),Assumptions!$D$7,"Other Services"))),"Other Services"))</f>
        <v/>
      </c>
    </row>
    <row r="2827" customFormat="false" ht="15" hidden="false" customHeight="false" outlineLevel="0" collapsed="false">
      <c r="J2827" s="41" t="str">
        <f aca="false">IF(D2827="","",IFERROR(IF(ISNUMBER(SEARCH(Assumptions!$C$5,D2827)),Assumptions!$D$5,IF(ISNUMBER(SEARCH(Assumptions!$C$6,D2827)),Assumptions!$D$6,IF(ISNUMBER(SEARCH(Assumptions!$C$7,D2827)),Assumptions!$D$7,"Other Services"))),"Other Services"))</f>
        <v/>
      </c>
    </row>
    <row r="2828" customFormat="false" ht="15" hidden="false" customHeight="false" outlineLevel="0" collapsed="false">
      <c r="J2828" s="41" t="str">
        <f aca="false">IF(D2828="","",IFERROR(IF(ISNUMBER(SEARCH(Assumptions!$C$5,D2828)),Assumptions!$D$5,IF(ISNUMBER(SEARCH(Assumptions!$C$6,D2828)),Assumptions!$D$6,IF(ISNUMBER(SEARCH(Assumptions!$C$7,D2828)),Assumptions!$D$7,"Other Services"))),"Other Services"))</f>
        <v/>
      </c>
    </row>
    <row r="2829" customFormat="false" ht="15" hidden="false" customHeight="false" outlineLevel="0" collapsed="false">
      <c r="J2829" s="41" t="str">
        <f aca="false">IF(D2829="","",IFERROR(IF(ISNUMBER(SEARCH(Assumptions!$C$5,D2829)),Assumptions!$D$5,IF(ISNUMBER(SEARCH(Assumptions!$C$6,D2829)),Assumptions!$D$6,IF(ISNUMBER(SEARCH(Assumptions!$C$7,D2829)),Assumptions!$D$7,"Other Services"))),"Other Services"))</f>
        <v/>
      </c>
    </row>
    <row r="2830" customFormat="false" ht="15" hidden="false" customHeight="false" outlineLevel="0" collapsed="false">
      <c r="J2830" s="41" t="str">
        <f aca="false">IF(D2830="","",IFERROR(IF(ISNUMBER(SEARCH(Assumptions!$C$5,D2830)),Assumptions!$D$5,IF(ISNUMBER(SEARCH(Assumptions!$C$6,D2830)),Assumptions!$D$6,IF(ISNUMBER(SEARCH(Assumptions!$C$7,D2830)),Assumptions!$D$7,"Other Services"))),"Other Services"))</f>
        <v/>
      </c>
    </row>
    <row r="2831" customFormat="false" ht="15" hidden="false" customHeight="false" outlineLevel="0" collapsed="false">
      <c r="J2831" s="41" t="str">
        <f aca="false">IF(D2831="","",IFERROR(IF(ISNUMBER(SEARCH(Assumptions!$C$5,D2831)),Assumptions!$D$5,IF(ISNUMBER(SEARCH(Assumptions!$C$6,D2831)),Assumptions!$D$6,IF(ISNUMBER(SEARCH(Assumptions!$C$7,D2831)),Assumptions!$D$7,"Other Services"))),"Other Services"))</f>
        <v/>
      </c>
    </row>
    <row r="2832" customFormat="false" ht="15" hidden="false" customHeight="false" outlineLevel="0" collapsed="false">
      <c r="J2832" s="41" t="str">
        <f aca="false">IF(D2832="","",IFERROR(IF(ISNUMBER(SEARCH(Assumptions!$C$5,D2832)),Assumptions!$D$5,IF(ISNUMBER(SEARCH(Assumptions!$C$6,D2832)),Assumptions!$D$6,IF(ISNUMBER(SEARCH(Assumptions!$C$7,D2832)),Assumptions!$D$7,"Other Services"))),"Other Services"))</f>
        <v/>
      </c>
    </row>
    <row r="2833" customFormat="false" ht="15" hidden="false" customHeight="false" outlineLevel="0" collapsed="false">
      <c r="J2833" s="41" t="str">
        <f aca="false">IF(D2833="","",IFERROR(IF(ISNUMBER(SEARCH(Assumptions!$C$5,D2833)),Assumptions!$D$5,IF(ISNUMBER(SEARCH(Assumptions!$C$6,D2833)),Assumptions!$D$6,IF(ISNUMBER(SEARCH(Assumptions!$C$7,D2833)),Assumptions!$D$7,"Other Services"))),"Other Services"))</f>
        <v/>
      </c>
    </row>
    <row r="2834" customFormat="false" ht="15" hidden="false" customHeight="false" outlineLevel="0" collapsed="false">
      <c r="J2834" s="41" t="str">
        <f aca="false">IF(D2834="","",IFERROR(IF(ISNUMBER(SEARCH(Assumptions!$C$5,D2834)),Assumptions!$D$5,IF(ISNUMBER(SEARCH(Assumptions!$C$6,D2834)),Assumptions!$D$6,IF(ISNUMBER(SEARCH(Assumptions!$C$7,D2834)),Assumptions!$D$7,"Other Services"))),"Other Services"))</f>
        <v/>
      </c>
    </row>
    <row r="2835" customFormat="false" ht="15" hidden="false" customHeight="false" outlineLevel="0" collapsed="false">
      <c r="J2835" s="41" t="str">
        <f aca="false">IF(D2835="","",IFERROR(IF(ISNUMBER(SEARCH(Assumptions!$C$5,D2835)),Assumptions!$D$5,IF(ISNUMBER(SEARCH(Assumptions!$C$6,D2835)),Assumptions!$D$6,IF(ISNUMBER(SEARCH(Assumptions!$C$7,D2835)),Assumptions!$D$7,"Other Services"))),"Other Services"))</f>
        <v/>
      </c>
    </row>
    <row r="2836" customFormat="false" ht="15" hidden="false" customHeight="false" outlineLevel="0" collapsed="false">
      <c r="J2836" s="41" t="str">
        <f aca="false">IF(D2836="","",IFERROR(IF(ISNUMBER(SEARCH(Assumptions!$C$5,D2836)),Assumptions!$D$5,IF(ISNUMBER(SEARCH(Assumptions!$C$6,D2836)),Assumptions!$D$6,IF(ISNUMBER(SEARCH(Assumptions!$C$7,D2836)),Assumptions!$D$7,"Other Services"))),"Other Services"))</f>
        <v/>
      </c>
    </row>
    <row r="2837" customFormat="false" ht="15" hidden="false" customHeight="false" outlineLevel="0" collapsed="false">
      <c r="J2837" s="41" t="str">
        <f aca="false">IF(D2837="","",IFERROR(IF(ISNUMBER(SEARCH(Assumptions!$C$5,D2837)),Assumptions!$D$5,IF(ISNUMBER(SEARCH(Assumptions!$C$6,D2837)),Assumptions!$D$6,IF(ISNUMBER(SEARCH(Assumptions!$C$7,D2837)),Assumptions!$D$7,"Other Services"))),"Other Services"))</f>
        <v/>
      </c>
    </row>
    <row r="2838" customFormat="false" ht="15" hidden="false" customHeight="false" outlineLevel="0" collapsed="false">
      <c r="J2838" s="41" t="str">
        <f aca="false">IF(D2838="","",IFERROR(IF(ISNUMBER(SEARCH(Assumptions!$C$5,D2838)),Assumptions!$D$5,IF(ISNUMBER(SEARCH(Assumptions!$C$6,D2838)),Assumptions!$D$6,IF(ISNUMBER(SEARCH(Assumptions!$C$7,D2838)),Assumptions!$D$7,"Other Services"))),"Other Services"))</f>
        <v/>
      </c>
    </row>
    <row r="2839" customFormat="false" ht="15" hidden="false" customHeight="false" outlineLevel="0" collapsed="false">
      <c r="J2839" s="41" t="str">
        <f aca="false">IF(D2839="","",IFERROR(IF(ISNUMBER(SEARCH(Assumptions!$C$5,D2839)),Assumptions!$D$5,IF(ISNUMBER(SEARCH(Assumptions!$C$6,D2839)),Assumptions!$D$6,IF(ISNUMBER(SEARCH(Assumptions!$C$7,D2839)),Assumptions!$D$7,"Other Services"))),"Other Services"))</f>
        <v/>
      </c>
    </row>
    <row r="2840" customFormat="false" ht="15" hidden="false" customHeight="false" outlineLevel="0" collapsed="false">
      <c r="J2840" s="41" t="str">
        <f aca="false">IF(D2840="","",IFERROR(IF(ISNUMBER(SEARCH(Assumptions!$C$5,D2840)),Assumptions!$D$5,IF(ISNUMBER(SEARCH(Assumptions!$C$6,D2840)),Assumptions!$D$6,IF(ISNUMBER(SEARCH(Assumptions!$C$7,D2840)),Assumptions!$D$7,"Other Services"))),"Other Services"))</f>
        <v/>
      </c>
    </row>
    <row r="2841" customFormat="false" ht="15" hidden="false" customHeight="false" outlineLevel="0" collapsed="false">
      <c r="J2841" s="41" t="str">
        <f aca="false">IF(D2841="","",IFERROR(IF(ISNUMBER(SEARCH(Assumptions!$C$5,D2841)),Assumptions!$D$5,IF(ISNUMBER(SEARCH(Assumptions!$C$6,D2841)),Assumptions!$D$6,IF(ISNUMBER(SEARCH(Assumptions!$C$7,D2841)),Assumptions!$D$7,"Other Services"))),"Other Services"))</f>
        <v/>
      </c>
    </row>
    <row r="2842" customFormat="false" ht="15" hidden="false" customHeight="false" outlineLevel="0" collapsed="false">
      <c r="J2842" s="41" t="str">
        <f aca="false">IF(D2842="","",IFERROR(IF(ISNUMBER(SEARCH(Assumptions!$C$5,D2842)),Assumptions!$D$5,IF(ISNUMBER(SEARCH(Assumptions!$C$6,D2842)),Assumptions!$D$6,IF(ISNUMBER(SEARCH(Assumptions!$C$7,D2842)),Assumptions!$D$7,"Other Services"))),"Other Services"))</f>
        <v/>
      </c>
    </row>
    <row r="2843" customFormat="false" ht="15" hidden="false" customHeight="false" outlineLevel="0" collapsed="false">
      <c r="J2843" s="41" t="str">
        <f aca="false">IF(D2843="","",IFERROR(IF(ISNUMBER(SEARCH(Assumptions!$C$5,D2843)),Assumptions!$D$5,IF(ISNUMBER(SEARCH(Assumptions!$C$6,D2843)),Assumptions!$D$6,IF(ISNUMBER(SEARCH(Assumptions!$C$7,D2843)),Assumptions!$D$7,"Other Services"))),"Other Services"))</f>
        <v/>
      </c>
    </row>
    <row r="2844" customFormat="false" ht="15" hidden="false" customHeight="false" outlineLevel="0" collapsed="false">
      <c r="J2844" s="41" t="str">
        <f aca="false">IF(D2844="","",IFERROR(IF(ISNUMBER(SEARCH(Assumptions!$C$5,D2844)),Assumptions!$D$5,IF(ISNUMBER(SEARCH(Assumptions!$C$6,D2844)),Assumptions!$D$6,IF(ISNUMBER(SEARCH(Assumptions!$C$7,D2844)),Assumptions!$D$7,"Other Services"))),"Other Services"))</f>
        <v/>
      </c>
    </row>
    <row r="2845" customFormat="false" ht="15" hidden="false" customHeight="false" outlineLevel="0" collapsed="false">
      <c r="J2845" s="41" t="str">
        <f aca="false">IF(D2845="","",IFERROR(IF(ISNUMBER(SEARCH(Assumptions!$C$5,D2845)),Assumptions!$D$5,IF(ISNUMBER(SEARCH(Assumptions!$C$6,D2845)),Assumptions!$D$6,IF(ISNUMBER(SEARCH(Assumptions!$C$7,D2845)),Assumptions!$D$7,"Other Services"))),"Other Services"))</f>
        <v/>
      </c>
    </row>
    <row r="2846" customFormat="false" ht="15" hidden="false" customHeight="false" outlineLevel="0" collapsed="false">
      <c r="J2846" s="41" t="str">
        <f aca="false">IF(D2846="","",IFERROR(IF(ISNUMBER(SEARCH(Assumptions!$C$5,D2846)),Assumptions!$D$5,IF(ISNUMBER(SEARCH(Assumptions!$C$6,D2846)),Assumptions!$D$6,IF(ISNUMBER(SEARCH(Assumptions!$C$7,D2846)),Assumptions!$D$7,"Other Services"))),"Other Services"))</f>
        <v/>
      </c>
    </row>
    <row r="2847" customFormat="false" ht="15" hidden="false" customHeight="false" outlineLevel="0" collapsed="false">
      <c r="J2847" s="41" t="str">
        <f aca="false">IF(D2847="","",IFERROR(IF(ISNUMBER(SEARCH(Assumptions!$C$5,D2847)),Assumptions!$D$5,IF(ISNUMBER(SEARCH(Assumptions!$C$6,D2847)),Assumptions!$D$6,IF(ISNUMBER(SEARCH(Assumptions!$C$7,D2847)),Assumptions!$D$7,"Other Services"))),"Other Services"))</f>
        <v/>
      </c>
    </row>
    <row r="2848" customFormat="false" ht="15" hidden="false" customHeight="false" outlineLevel="0" collapsed="false">
      <c r="J2848" s="41" t="str">
        <f aca="false">IF(D2848="","",IFERROR(IF(ISNUMBER(SEARCH(Assumptions!$C$5,D2848)),Assumptions!$D$5,IF(ISNUMBER(SEARCH(Assumptions!$C$6,D2848)),Assumptions!$D$6,IF(ISNUMBER(SEARCH(Assumptions!$C$7,D2848)),Assumptions!$D$7,"Other Services"))),"Other Services"))</f>
        <v/>
      </c>
    </row>
    <row r="2849" customFormat="false" ht="15" hidden="false" customHeight="false" outlineLevel="0" collapsed="false">
      <c r="J2849" s="41" t="str">
        <f aca="false">IF(D2849="","",IFERROR(IF(ISNUMBER(SEARCH(Assumptions!$C$5,D2849)),Assumptions!$D$5,IF(ISNUMBER(SEARCH(Assumptions!$C$6,D2849)),Assumptions!$D$6,IF(ISNUMBER(SEARCH(Assumptions!$C$7,D2849)),Assumptions!$D$7,"Other Services"))),"Other Services"))</f>
        <v/>
      </c>
    </row>
    <row r="2850" customFormat="false" ht="15" hidden="false" customHeight="false" outlineLevel="0" collapsed="false">
      <c r="J2850" s="41" t="str">
        <f aca="false">IF(D2850="","",IFERROR(IF(ISNUMBER(SEARCH(Assumptions!$C$5,D2850)),Assumptions!$D$5,IF(ISNUMBER(SEARCH(Assumptions!$C$6,D2850)),Assumptions!$D$6,IF(ISNUMBER(SEARCH(Assumptions!$C$7,D2850)),Assumptions!$D$7,"Other Services"))),"Other Services"))</f>
        <v/>
      </c>
    </row>
    <row r="2851" customFormat="false" ht="15" hidden="false" customHeight="false" outlineLevel="0" collapsed="false">
      <c r="J2851" s="41" t="str">
        <f aca="false">IF(D2851="","",IFERROR(IF(ISNUMBER(SEARCH(Assumptions!$C$5,D2851)),Assumptions!$D$5,IF(ISNUMBER(SEARCH(Assumptions!$C$6,D2851)),Assumptions!$D$6,IF(ISNUMBER(SEARCH(Assumptions!$C$7,D2851)),Assumptions!$D$7,"Other Services"))),"Other Services"))</f>
        <v/>
      </c>
    </row>
    <row r="2852" customFormat="false" ht="15" hidden="false" customHeight="false" outlineLevel="0" collapsed="false">
      <c r="J2852" s="41" t="str">
        <f aca="false">IF(D2852="","",IFERROR(IF(ISNUMBER(SEARCH(Assumptions!$C$5,D2852)),Assumptions!$D$5,IF(ISNUMBER(SEARCH(Assumptions!$C$6,D2852)),Assumptions!$D$6,IF(ISNUMBER(SEARCH(Assumptions!$C$7,D2852)),Assumptions!$D$7,"Other Services"))),"Other Services"))</f>
        <v/>
      </c>
    </row>
    <row r="2853" customFormat="false" ht="15" hidden="false" customHeight="false" outlineLevel="0" collapsed="false">
      <c r="J2853" s="41" t="str">
        <f aca="false">IF(D2853="","",IFERROR(IF(ISNUMBER(SEARCH(Assumptions!$C$5,D2853)),Assumptions!$D$5,IF(ISNUMBER(SEARCH(Assumptions!$C$6,D2853)),Assumptions!$D$6,IF(ISNUMBER(SEARCH(Assumptions!$C$7,D2853)),Assumptions!$D$7,"Other Services"))),"Other Services"))</f>
        <v/>
      </c>
    </row>
    <row r="2854" customFormat="false" ht="15" hidden="false" customHeight="false" outlineLevel="0" collapsed="false">
      <c r="J2854" s="41" t="str">
        <f aca="false">IF(D2854="","",IFERROR(IF(ISNUMBER(SEARCH(Assumptions!$C$5,D2854)),Assumptions!$D$5,IF(ISNUMBER(SEARCH(Assumptions!$C$6,D2854)),Assumptions!$D$6,IF(ISNUMBER(SEARCH(Assumptions!$C$7,D2854)),Assumptions!$D$7,"Other Services"))),"Other Services"))</f>
        <v/>
      </c>
    </row>
    <row r="2855" customFormat="false" ht="15" hidden="false" customHeight="false" outlineLevel="0" collapsed="false">
      <c r="J2855" s="41" t="str">
        <f aca="false">IF(D2855="","",IFERROR(IF(ISNUMBER(SEARCH(Assumptions!$C$5,D2855)),Assumptions!$D$5,IF(ISNUMBER(SEARCH(Assumptions!$C$6,D2855)),Assumptions!$D$6,IF(ISNUMBER(SEARCH(Assumptions!$C$7,D2855)),Assumptions!$D$7,"Other Services"))),"Other Services"))</f>
        <v/>
      </c>
    </row>
    <row r="2856" customFormat="false" ht="15" hidden="false" customHeight="false" outlineLevel="0" collapsed="false">
      <c r="J2856" s="41" t="str">
        <f aca="false">IF(D2856="","",IFERROR(IF(ISNUMBER(SEARCH(Assumptions!$C$5,D2856)),Assumptions!$D$5,IF(ISNUMBER(SEARCH(Assumptions!$C$6,D2856)),Assumptions!$D$6,IF(ISNUMBER(SEARCH(Assumptions!$C$7,D2856)),Assumptions!$D$7,"Other Services"))),"Other Services"))</f>
        <v/>
      </c>
    </row>
    <row r="2857" customFormat="false" ht="15" hidden="false" customHeight="false" outlineLevel="0" collapsed="false">
      <c r="J2857" s="41" t="str">
        <f aca="false">IF(D2857="","",IFERROR(IF(ISNUMBER(SEARCH(Assumptions!$C$5,D2857)),Assumptions!$D$5,IF(ISNUMBER(SEARCH(Assumptions!$C$6,D2857)),Assumptions!$D$6,IF(ISNUMBER(SEARCH(Assumptions!$C$7,D2857)),Assumptions!$D$7,"Other Services"))),"Other Services"))</f>
        <v/>
      </c>
    </row>
    <row r="2858" customFormat="false" ht="15" hidden="false" customHeight="false" outlineLevel="0" collapsed="false">
      <c r="J2858" s="41" t="str">
        <f aca="false">IF(D2858="","",IFERROR(IF(ISNUMBER(SEARCH(Assumptions!$C$5,D2858)),Assumptions!$D$5,IF(ISNUMBER(SEARCH(Assumptions!$C$6,D2858)),Assumptions!$D$6,IF(ISNUMBER(SEARCH(Assumptions!$C$7,D2858)),Assumptions!$D$7,"Other Services"))),"Other Services"))</f>
        <v/>
      </c>
    </row>
    <row r="2859" customFormat="false" ht="15" hidden="false" customHeight="false" outlineLevel="0" collapsed="false">
      <c r="J2859" s="41" t="str">
        <f aca="false">IF(D2859="","",IFERROR(IF(ISNUMBER(SEARCH(Assumptions!$C$5,D2859)),Assumptions!$D$5,IF(ISNUMBER(SEARCH(Assumptions!$C$6,D2859)),Assumptions!$D$6,IF(ISNUMBER(SEARCH(Assumptions!$C$7,D2859)),Assumptions!$D$7,"Other Services"))),"Other Services"))</f>
        <v/>
      </c>
    </row>
    <row r="2860" customFormat="false" ht="15" hidden="false" customHeight="false" outlineLevel="0" collapsed="false">
      <c r="J2860" s="41" t="str">
        <f aca="false">IF(D2860="","",IFERROR(IF(ISNUMBER(SEARCH(Assumptions!$C$5,D2860)),Assumptions!$D$5,IF(ISNUMBER(SEARCH(Assumptions!$C$6,D2860)),Assumptions!$D$6,IF(ISNUMBER(SEARCH(Assumptions!$C$7,D2860)),Assumptions!$D$7,"Other Services"))),"Other Services"))</f>
        <v/>
      </c>
    </row>
    <row r="2861" customFormat="false" ht="15" hidden="false" customHeight="false" outlineLevel="0" collapsed="false">
      <c r="J2861" s="41" t="str">
        <f aca="false">IF(D2861="","",IFERROR(IF(ISNUMBER(SEARCH(Assumptions!$C$5,D2861)),Assumptions!$D$5,IF(ISNUMBER(SEARCH(Assumptions!$C$6,D2861)),Assumptions!$D$6,IF(ISNUMBER(SEARCH(Assumptions!$C$7,D2861)),Assumptions!$D$7,"Other Services"))),"Other Services"))</f>
        <v/>
      </c>
    </row>
    <row r="2862" customFormat="false" ht="15" hidden="false" customHeight="false" outlineLevel="0" collapsed="false">
      <c r="J2862" s="41" t="str">
        <f aca="false">IF(D2862="","",IFERROR(IF(ISNUMBER(SEARCH(Assumptions!$C$5,D2862)),Assumptions!$D$5,IF(ISNUMBER(SEARCH(Assumptions!$C$6,D2862)),Assumptions!$D$6,IF(ISNUMBER(SEARCH(Assumptions!$C$7,D2862)),Assumptions!$D$7,"Other Services"))),"Other Services"))</f>
        <v/>
      </c>
    </row>
    <row r="2863" customFormat="false" ht="15" hidden="false" customHeight="false" outlineLevel="0" collapsed="false">
      <c r="J2863" s="41" t="str">
        <f aca="false">IF(D2863="","",IFERROR(IF(ISNUMBER(SEARCH(Assumptions!$C$5,D2863)),Assumptions!$D$5,IF(ISNUMBER(SEARCH(Assumptions!$C$6,D2863)),Assumptions!$D$6,IF(ISNUMBER(SEARCH(Assumptions!$C$7,D2863)),Assumptions!$D$7,"Other Services"))),"Other Services"))</f>
        <v/>
      </c>
    </row>
    <row r="2864" customFormat="false" ht="15" hidden="false" customHeight="false" outlineLevel="0" collapsed="false">
      <c r="J2864" s="41" t="str">
        <f aca="false">IF(D2864="","",IFERROR(IF(ISNUMBER(SEARCH(Assumptions!$C$5,D2864)),Assumptions!$D$5,IF(ISNUMBER(SEARCH(Assumptions!$C$6,D2864)),Assumptions!$D$6,IF(ISNUMBER(SEARCH(Assumptions!$C$7,D2864)),Assumptions!$D$7,"Other Services"))),"Other Services"))</f>
        <v/>
      </c>
    </row>
    <row r="2865" customFormat="false" ht="15" hidden="false" customHeight="false" outlineLevel="0" collapsed="false">
      <c r="J2865" s="41" t="str">
        <f aca="false">IF(D2865="","",IFERROR(IF(ISNUMBER(SEARCH(Assumptions!$C$5,D2865)),Assumptions!$D$5,IF(ISNUMBER(SEARCH(Assumptions!$C$6,D2865)),Assumptions!$D$6,IF(ISNUMBER(SEARCH(Assumptions!$C$7,D2865)),Assumptions!$D$7,"Other Services"))),"Other Services"))</f>
        <v/>
      </c>
    </row>
    <row r="2866" customFormat="false" ht="15" hidden="false" customHeight="false" outlineLevel="0" collapsed="false">
      <c r="J2866" s="41" t="str">
        <f aca="false">IF(D2866="","",IFERROR(IF(ISNUMBER(SEARCH(Assumptions!$C$5,D2866)),Assumptions!$D$5,IF(ISNUMBER(SEARCH(Assumptions!$C$6,D2866)),Assumptions!$D$6,IF(ISNUMBER(SEARCH(Assumptions!$C$7,D2866)),Assumptions!$D$7,"Other Services"))),"Other Services"))</f>
        <v/>
      </c>
    </row>
    <row r="2867" customFormat="false" ht="15" hidden="false" customHeight="false" outlineLevel="0" collapsed="false">
      <c r="J2867" s="41" t="str">
        <f aca="false">IF(D2867="","",IFERROR(IF(ISNUMBER(SEARCH(Assumptions!$C$5,D2867)),Assumptions!$D$5,IF(ISNUMBER(SEARCH(Assumptions!$C$6,D2867)),Assumptions!$D$6,IF(ISNUMBER(SEARCH(Assumptions!$C$7,D2867)),Assumptions!$D$7,"Other Services"))),"Other Services"))</f>
        <v/>
      </c>
    </row>
    <row r="2868" customFormat="false" ht="15" hidden="false" customHeight="false" outlineLevel="0" collapsed="false">
      <c r="J2868" s="41" t="str">
        <f aca="false">IF(D2868="","",IFERROR(IF(ISNUMBER(SEARCH(Assumptions!$C$5,D2868)),Assumptions!$D$5,IF(ISNUMBER(SEARCH(Assumptions!$C$6,D2868)),Assumptions!$D$6,IF(ISNUMBER(SEARCH(Assumptions!$C$7,D2868)),Assumptions!$D$7,"Other Services"))),"Other Services"))</f>
        <v/>
      </c>
    </row>
    <row r="2869" customFormat="false" ht="15" hidden="false" customHeight="false" outlineLevel="0" collapsed="false">
      <c r="J2869" s="41" t="str">
        <f aca="false">IF(D2869="","",IFERROR(IF(ISNUMBER(SEARCH(Assumptions!$C$5,D2869)),Assumptions!$D$5,IF(ISNUMBER(SEARCH(Assumptions!$C$6,D2869)),Assumptions!$D$6,IF(ISNUMBER(SEARCH(Assumptions!$C$7,D2869)),Assumptions!$D$7,"Other Services"))),"Other Services"))</f>
        <v/>
      </c>
    </row>
    <row r="2870" customFormat="false" ht="15" hidden="false" customHeight="false" outlineLevel="0" collapsed="false">
      <c r="J2870" s="41" t="str">
        <f aca="false">IF(D2870="","",IFERROR(IF(ISNUMBER(SEARCH(Assumptions!$C$5,D2870)),Assumptions!$D$5,IF(ISNUMBER(SEARCH(Assumptions!$C$6,D2870)),Assumptions!$D$6,IF(ISNUMBER(SEARCH(Assumptions!$C$7,D2870)),Assumptions!$D$7,"Other Services"))),"Other Services"))</f>
        <v/>
      </c>
    </row>
    <row r="2871" customFormat="false" ht="15" hidden="false" customHeight="false" outlineLevel="0" collapsed="false">
      <c r="J2871" s="41" t="str">
        <f aca="false">IF(D2871="","",IFERROR(IF(ISNUMBER(SEARCH(Assumptions!$C$5,D2871)),Assumptions!$D$5,IF(ISNUMBER(SEARCH(Assumptions!$C$6,D2871)),Assumptions!$D$6,IF(ISNUMBER(SEARCH(Assumptions!$C$7,D2871)),Assumptions!$D$7,"Other Services"))),"Other Services"))</f>
        <v/>
      </c>
    </row>
    <row r="2872" customFormat="false" ht="15" hidden="false" customHeight="false" outlineLevel="0" collapsed="false">
      <c r="J2872" s="41" t="str">
        <f aca="false">IF(D2872="","",IFERROR(IF(ISNUMBER(SEARCH(Assumptions!$C$5,D2872)),Assumptions!$D$5,IF(ISNUMBER(SEARCH(Assumptions!$C$6,D2872)),Assumptions!$D$6,IF(ISNUMBER(SEARCH(Assumptions!$C$7,D2872)),Assumptions!$D$7,"Other Services"))),"Other Services"))</f>
        <v/>
      </c>
    </row>
    <row r="2873" customFormat="false" ht="15" hidden="false" customHeight="false" outlineLevel="0" collapsed="false">
      <c r="J2873" s="41" t="str">
        <f aca="false">IF(D2873="","",IFERROR(IF(ISNUMBER(SEARCH(Assumptions!$C$5,D2873)),Assumptions!$D$5,IF(ISNUMBER(SEARCH(Assumptions!$C$6,D2873)),Assumptions!$D$6,IF(ISNUMBER(SEARCH(Assumptions!$C$7,D2873)),Assumptions!$D$7,"Other Services"))),"Other Services"))</f>
        <v/>
      </c>
    </row>
    <row r="2874" customFormat="false" ht="15" hidden="false" customHeight="false" outlineLevel="0" collapsed="false">
      <c r="J2874" s="41" t="str">
        <f aca="false">IF(D2874="","",IFERROR(IF(ISNUMBER(SEARCH(Assumptions!$C$5,D2874)),Assumptions!$D$5,IF(ISNUMBER(SEARCH(Assumptions!$C$6,D2874)),Assumptions!$D$6,IF(ISNUMBER(SEARCH(Assumptions!$C$7,D2874)),Assumptions!$D$7,"Other Services"))),"Other Services"))</f>
        <v/>
      </c>
    </row>
    <row r="2875" customFormat="false" ht="15" hidden="false" customHeight="false" outlineLevel="0" collapsed="false">
      <c r="J2875" s="41" t="str">
        <f aca="false">IF(D2875="","",IFERROR(IF(ISNUMBER(SEARCH(Assumptions!$C$5,D2875)),Assumptions!$D$5,IF(ISNUMBER(SEARCH(Assumptions!$C$6,D2875)),Assumptions!$D$6,IF(ISNUMBER(SEARCH(Assumptions!$C$7,D2875)),Assumptions!$D$7,"Other Services"))),"Other Services"))</f>
        <v/>
      </c>
    </row>
    <row r="2876" customFormat="false" ht="15" hidden="false" customHeight="false" outlineLevel="0" collapsed="false">
      <c r="J2876" s="41" t="str">
        <f aca="false">IF(D2876="","",IFERROR(IF(ISNUMBER(SEARCH(Assumptions!$C$5,D2876)),Assumptions!$D$5,IF(ISNUMBER(SEARCH(Assumptions!$C$6,D2876)),Assumptions!$D$6,IF(ISNUMBER(SEARCH(Assumptions!$C$7,D2876)),Assumptions!$D$7,"Other Services"))),"Other Services"))</f>
        <v/>
      </c>
    </row>
    <row r="2877" customFormat="false" ht="15" hidden="false" customHeight="false" outlineLevel="0" collapsed="false">
      <c r="J2877" s="41" t="str">
        <f aca="false">IF(D2877="","",IFERROR(IF(ISNUMBER(SEARCH(Assumptions!$C$5,D2877)),Assumptions!$D$5,IF(ISNUMBER(SEARCH(Assumptions!$C$6,D2877)),Assumptions!$D$6,IF(ISNUMBER(SEARCH(Assumptions!$C$7,D2877)),Assumptions!$D$7,"Other Services"))),"Other Services"))</f>
        <v/>
      </c>
    </row>
    <row r="2878" customFormat="false" ht="15" hidden="false" customHeight="false" outlineLevel="0" collapsed="false">
      <c r="J2878" s="41" t="str">
        <f aca="false">IF(D2878="","",IFERROR(IF(ISNUMBER(SEARCH(Assumptions!$C$5,D2878)),Assumptions!$D$5,IF(ISNUMBER(SEARCH(Assumptions!$C$6,D2878)),Assumptions!$D$6,IF(ISNUMBER(SEARCH(Assumptions!$C$7,D2878)),Assumptions!$D$7,"Other Services"))),"Other Services"))</f>
        <v/>
      </c>
    </row>
    <row r="2879" customFormat="false" ht="15" hidden="false" customHeight="false" outlineLevel="0" collapsed="false">
      <c r="J2879" s="41" t="str">
        <f aca="false">IF(D2879="","",IFERROR(IF(ISNUMBER(SEARCH(Assumptions!$C$5,D2879)),Assumptions!$D$5,IF(ISNUMBER(SEARCH(Assumptions!$C$6,D2879)),Assumptions!$D$6,IF(ISNUMBER(SEARCH(Assumptions!$C$7,D2879)),Assumptions!$D$7,"Other Services"))),"Other Services"))</f>
        <v/>
      </c>
    </row>
    <row r="2880" customFormat="false" ht="15" hidden="false" customHeight="false" outlineLevel="0" collapsed="false">
      <c r="J2880" s="41" t="str">
        <f aca="false">IF(D2880="","",IFERROR(IF(ISNUMBER(SEARCH(Assumptions!$C$5,D2880)),Assumptions!$D$5,IF(ISNUMBER(SEARCH(Assumptions!$C$6,D2880)),Assumptions!$D$6,IF(ISNUMBER(SEARCH(Assumptions!$C$7,D2880)),Assumptions!$D$7,"Other Services"))),"Other Services"))</f>
        <v/>
      </c>
    </row>
    <row r="2881" customFormat="false" ht="15" hidden="false" customHeight="false" outlineLevel="0" collapsed="false">
      <c r="J2881" s="41" t="str">
        <f aca="false">IF(D2881="","",IFERROR(IF(ISNUMBER(SEARCH(Assumptions!$C$5,D2881)),Assumptions!$D$5,IF(ISNUMBER(SEARCH(Assumptions!$C$6,D2881)),Assumptions!$D$6,IF(ISNUMBER(SEARCH(Assumptions!$C$7,D2881)),Assumptions!$D$7,"Other Services"))),"Other Services"))</f>
        <v/>
      </c>
    </row>
    <row r="2882" customFormat="false" ht="15" hidden="false" customHeight="false" outlineLevel="0" collapsed="false">
      <c r="J2882" s="41" t="str">
        <f aca="false">IF(D2882="","",IFERROR(IF(ISNUMBER(SEARCH(Assumptions!$C$5,D2882)),Assumptions!$D$5,IF(ISNUMBER(SEARCH(Assumptions!$C$6,D2882)),Assumptions!$D$6,IF(ISNUMBER(SEARCH(Assumptions!$C$7,D2882)),Assumptions!$D$7,"Other Services"))),"Other Services"))</f>
        <v/>
      </c>
    </row>
    <row r="2883" customFormat="false" ht="15" hidden="false" customHeight="false" outlineLevel="0" collapsed="false">
      <c r="J2883" s="41" t="str">
        <f aca="false">IF(D2883="","",IFERROR(IF(ISNUMBER(SEARCH(Assumptions!$C$5,D2883)),Assumptions!$D$5,IF(ISNUMBER(SEARCH(Assumptions!$C$6,D2883)),Assumptions!$D$6,IF(ISNUMBER(SEARCH(Assumptions!$C$7,D2883)),Assumptions!$D$7,"Other Services"))),"Other Services"))</f>
        <v/>
      </c>
    </row>
    <row r="2884" customFormat="false" ht="15" hidden="false" customHeight="false" outlineLevel="0" collapsed="false">
      <c r="J2884" s="41" t="str">
        <f aca="false">IF(D2884="","",IFERROR(IF(ISNUMBER(SEARCH(Assumptions!$C$5,D2884)),Assumptions!$D$5,IF(ISNUMBER(SEARCH(Assumptions!$C$6,D2884)),Assumptions!$D$6,IF(ISNUMBER(SEARCH(Assumptions!$C$7,D2884)),Assumptions!$D$7,"Other Services"))),"Other Services"))</f>
        <v/>
      </c>
    </row>
    <row r="2885" customFormat="false" ht="15" hidden="false" customHeight="false" outlineLevel="0" collapsed="false">
      <c r="J2885" s="41" t="str">
        <f aca="false">IF(D2885="","",IFERROR(IF(ISNUMBER(SEARCH(Assumptions!$C$5,D2885)),Assumptions!$D$5,IF(ISNUMBER(SEARCH(Assumptions!$C$6,D2885)),Assumptions!$D$6,IF(ISNUMBER(SEARCH(Assumptions!$C$7,D2885)),Assumptions!$D$7,"Other Services"))),"Other Services"))</f>
        <v/>
      </c>
    </row>
    <row r="2886" customFormat="false" ht="15" hidden="false" customHeight="false" outlineLevel="0" collapsed="false">
      <c r="J2886" s="41" t="str">
        <f aca="false">IF(D2886="","",IFERROR(IF(ISNUMBER(SEARCH(Assumptions!$C$5,D2886)),Assumptions!$D$5,IF(ISNUMBER(SEARCH(Assumptions!$C$6,D2886)),Assumptions!$D$6,IF(ISNUMBER(SEARCH(Assumptions!$C$7,D2886)),Assumptions!$D$7,"Other Services"))),"Other Services"))</f>
        <v/>
      </c>
    </row>
    <row r="2887" customFormat="false" ht="15" hidden="false" customHeight="false" outlineLevel="0" collapsed="false">
      <c r="J2887" s="41" t="str">
        <f aca="false">IF(D2887="","",IFERROR(IF(ISNUMBER(SEARCH(Assumptions!$C$5,D2887)),Assumptions!$D$5,IF(ISNUMBER(SEARCH(Assumptions!$C$6,D2887)),Assumptions!$D$6,IF(ISNUMBER(SEARCH(Assumptions!$C$7,D2887)),Assumptions!$D$7,"Other Services"))),"Other Services"))</f>
        <v/>
      </c>
    </row>
    <row r="2888" customFormat="false" ht="15" hidden="false" customHeight="false" outlineLevel="0" collapsed="false">
      <c r="J2888" s="41" t="str">
        <f aca="false">IF(D2888="","",IFERROR(IF(ISNUMBER(SEARCH(Assumptions!$C$5,D2888)),Assumptions!$D$5,IF(ISNUMBER(SEARCH(Assumptions!$C$6,D2888)),Assumptions!$D$6,IF(ISNUMBER(SEARCH(Assumptions!$C$7,D2888)),Assumptions!$D$7,"Other Services"))),"Other Services"))</f>
        <v/>
      </c>
    </row>
    <row r="2889" customFormat="false" ht="15" hidden="false" customHeight="false" outlineLevel="0" collapsed="false">
      <c r="J2889" s="41" t="str">
        <f aca="false">IF(D2889="","",IFERROR(IF(ISNUMBER(SEARCH(Assumptions!$C$5,D2889)),Assumptions!$D$5,IF(ISNUMBER(SEARCH(Assumptions!$C$6,D2889)),Assumptions!$D$6,IF(ISNUMBER(SEARCH(Assumptions!$C$7,D2889)),Assumptions!$D$7,"Other Services"))),"Other Services"))</f>
        <v/>
      </c>
    </row>
    <row r="2890" customFormat="false" ht="15" hidden="false" customHeight="false" outlineLevel="0" collapsed="false">
      <c r="J2890" s="41" t="str">
        <f aca="false">IF(D2890="","",IFERROR(IF(ISNUMBER(SEARCH(Assumptions!$C$5,D2890)),Assumptions!$D$5,IF(ISNUMBER(SEARCH(Assumptions!$C$6,D2890)),Assumptions!$D$6,IF(ISNUMBER(SEARCH(Assumptions!$C$7,D2890)),Assumptions!$D$7,"Other Services"))),"Other Services"))</f>
        <v/>
      </c>
    </row>
    <row r="2891" customFormat="false" ht="15" hidden="false" customHeight="false" outlineLevel="0" collapsed="false">
      <c r="J2891" s="41" t="str">
        <f aca="false">IF(D2891="","",IFERROR(IF(ISNUMBER(SEARCH(Assumptions!$C$5,D2891)),Assumptions!$D$5,IF(ISNUMBER(SEARCH(Assumptions!$C$6,D2891)),Assumptions!$D$6,IF(ISNUMBER(SEARCH(Assumptions!$C$7,D2891)),Assumptions!$D$7,"Other Services"))),"Other Services"))</f>
        <v/>
      </c>
    </row>
    <row r="2892" customFormat="false" ht="15" hidden="false" customHeight="false" outlineLevel="0" collapsed="false">
      <c r="J2892" s="41" t="str">
        <f aca="false">IF(D2892="","",IFERROR(IF(ISNUMBER(SEARCH(Assumptions!$C$5,D2892)),Assumptions!$D$5,IF(ISNUMBER(SEARCH(Assumptions!$C$6,D2892)),Assumptions!$D$6,IF(ISNUMBER(SEARCH(Assumptions!$C$7,D2892)),Assumptions!$D$7,"Other Services"))),"Other Services"))</f>
        <v/>
      </c>
    </row>
    <row r="2893" customFormat="false" ht="15" hidden="false" customHeight="false" outlineLevel="0" collapsed="false">
      <c r="J2893" s="41" t="str">
        <f aca="false">IF(D2893="","",IFERROR(IF(ISNUMBER(SEARCH(Assumptions!$C$5,D2893)),Assumptions!$D$5,IF(ISNUMBER(SEARCH(Assumptions!$C$6,D2893)),Assumptions!$D$6,IF(ISNUMBER(SEARCH(Assumptions!$C$7,D2893)),Assumptions!$D$7,"Other Services"))),"Other Services"))</f>
        <v/>
      </c>
    </row>
    <row r="2894" customFormat="false" ht="15" hidden="false" customHeight="false" outlineLevel="0" collapsed="false">
      <c r="J2894" s="41" t="str">
        <f aca="false">IF(D2894="","",IFERROR(IF(ISNUMBER(SEARCH(Assumptions!$C$5,D2894)),Assumptions!$D$5,IF(ISNUMBER(SEARCH(Assumptions!$C$6,D2894)),Assumptions!$D$6,IF(ISNUMBER(SEARCH(Assumptions!$C$7,D2894)),Assumptions!$D$7,"Other Services"))),"Other Services"))</f>
        <v/>
      </c>
    </row>
    <row r="2895" customFormat="false" ht="15" hidden="false" customHeight="false" outlineLevel="0" collapsed="false">
      <c r="J2895" s="41" t="str">
        <f aca="false">IF(D2895="","",IFERROR(IF(ISNUMBER(SEARCH(Assumptions!$C$5,D2895)),Assumptions!$D$5,IF(ISNUMBER(SEARCH(Assumptions!$C$6,D2895)),Assumptions!$D$6,IF(ISNUMBER(SEARCH(Assumptions!$C$7,D2895)),Assumptions!$D$7,"Other Services"))),"Other Services"))</f>
        <v/>
      </c>
    </row>
    <row r="2896" customFormat="false" ht="15" hidden="false" customHeight="false" outlineLevel="0" collapsed="false">
      <c r="J2896" s="41" t="str">
        <f aca="false">IF(D2896="","",IFERROR(IF(ISNUMBER(SEARCH(Assumptions!$C$5,D2896)),Assumptions!$D$5,IF(ISNUMBER(SEARCH(Assumptions!$C$6,D2896)),Assumptions!$D$6,IF(ISNUMBER(SEARCH(Assumptions!$C$7,D2896)),Assumptions!$D$7,"Other Services"))),"Other Services"))</f>
        <v/>
      </c>
    </row>
    <row r="2897" customFormat="false" ht="15" hidden="false" customHeight="false" outlineLevel="0" collapsed="false">
      <c r="J2897" s="41" t="str">
        <f aca="false">IF(D2897="","",IFERROR(IF(ISNUMBER(SEARCH(Assumptions!$C$5,D2897)),Assumptions!$D$5,IF(ISNUMBER(SEARCH(Assumptions!$C$6,D2897)),Assumptions!$D$6,IF(ISNUMBER(SEARCH(Assumptions!$C$7,D2897)),Assumptions!$D$7,"Other Services"))),"Other Services"))</f>
        <v/>
      </c>
    </row>
    <row r="2898" customFormat="false" ht="15" hidden="false" customHeight="false" outlineLevel="0" collapsed="false">
      <c r="J2898" s="41" t="str">
        <f aca="false">IF(D2898="","",IFERROR(IF(ISNUMBER(SEARCH(Assumptions!$C$5,D2898)),Assumptions!$D$5,IF(ISNUMBER(SEARCH(Assumptions!$C$6,D2898)),Assumptions!$D$6,IF(ISNUMBER(SEARCH(Assumptions!$C$7,D2898)),Assumptions!$D$7,"Other Services"))),"Other Services"))</f>
        <v/>
      </c>
    </row>
    <row r="2899" customFormat="false" ht="15" hidden="false" customHeight="false" outlineLevel="0" collapsed="false">
      <c r="J2899" s="41" t="str">
        <f aca="false">IF(D2899="","",IFERROR(IF(ISNUMBER(SEARCH(Assumptions!$C$5,D2899)),Assumptions!$D$5,IF(ISNUMBER(SEARCH(Assumptions!$C$6,D2899)),Assumptions!$D$6,IF(ISNUMBER(SEARCH(Assumptions!$C$7,D2899)),Assumptions!$D$7,"Other Services"))),"Other Services"))</f>
        <v/>
      </c>
    </row>
    <row r="2900" customFormat="false" ht="15" hidden="false" customHeight="false" outlineLevel="0" collapsed="false">
      <c r="J2900" s="41" t="str">
        <f aca="false">IF(D2900="","",IFERROR(IF(ISNUMBER(SEARCH(Assumptions!$C$5,D2900)),Assumptions!$D$5,IF(ISNUMBER(SEARCH(Assumptions!$C$6,D2900)),Assumptions!$D$6,IF(ISNUMBER(SEARCH(Assumptions!$C$7,D2900)),Assumptions!$D$7,"Other Services"))),"Other Services"))</f>
        <v/>
      </c>
    </row>
    <row r="2901" customFormat="false" ht="15" hidden="false" customHeight="false" outlineLevel="0" collapsed="false">
      <c r="J2901" s="41" t="str">
        <f aca="false">IF(D2901="","",IFERROR(IF(ISNUMBER(SEARCH(Assumptions!$C$5,D2901)),Assumptions!$D$5,IF(ISNUMBER(SEARCH(Assumptions!$C$6,D2901)),Assumptions!$D$6,IF(ISNUMBER(SEARCH(Assumptions!$C$7,D2901)),Assumptions!$D$7,"Other Services"))),"Other Services"))</f>
        <v/>
      </c>
    </row>
    <row r="2902" customFormat="false" ht="15" hidden="false" customHeight="false" outlineLevel="0" collapsed="false">
      <c r="J2902" s="41" t="str">
        <f aca="false">IF(D2902="","",IFERROR(IF(ISNUMBER(SEARCH(Assumptions!$C$5,D2902)),Assumptions!$D$5,IF(ISNUMBER(SEARCH(Assumptions!$C$6,D2902)),Assumptions!$D$6,IF(ISNUMBER(SEARCH(Assumptions!$C$7,D2902)),Assumptions!$D$7,"Other Services"))),"Other Services"))</f>
        <v/>
      </c>
    </row>
    <row r="2903" customFormat="false" ht="15" hidden="false" customHeight="false" outlineLevel="0" collapsed="false">
      <c r="J2903" s="41" t="str">
        <f aca="false">IF(D2903="","",IFERROR(IF(ISNUMBER(SEARCH(Assumptions!$C$5,D2903)),Assumptions!$D$5,IF(ISNUMBER(SEARCH(Assumptions!$C$6,D2903)),Assumptions!$D$6,IF(ISNUMBER(SEARCH(Assumptions!$C$7,D2903)),Assumptions!$D$7,"Other Services"))),"Other Services"))</f>
        <v/>
      </c>
    </row>
    <row r="2904" customFormat="false" ht="15" hidden="false" customHeight="false" outlineLevel="0" collapsed="false">
      <c r="J2904" s="41" t="str">
        <f aca="false">IF(D2904="","",IFERROR(IF(ISNUMBER(SEARCH(Assumptions!$C$5,D2904)),Assumptions!$D$5,IF(ISNUMBER(SEARCH(Assumptions!$C$6,D2904)),Assumptions!$D$6,IF(ISNUMBER(SEARCH(Assumptions!$C$7,D2904)),Assumptions!$D$7,"Other Services"))),"Other Services"))</f>
        <v/>
      </c>
    </row>
    <row r="2905" customFormat="false" ht="15" hidden="false" customHeight="false" outlineLevel="0" collapsed="false">
      <c r="J2905" s="41" t="str">
        <f aca="false">IF(D2905="","",IFERROR(IF(ISNUMBER(SEARCH(Assumptions!$C$5,D2905)),Assumptions!$D$5,IF(ISNUMBER(SEARCH(Assumptions!$C$6,D2905)),Assumptions!$D$6,IF(ISNUMBER(SEARCH(Assumptions!$C$7,D2905)),Assumptions!$D$7,"Other Services"))),"Other Services"))</f>
        <v/>
      </c>
    </row>
    <row r="2906" customFormat="false" ht="15" hidden="false" customHeight="false" outlineLevel="0" collapsed="false">
      <c r="J2906" s="41" t="str">
        <f aca="false">IF(D2906="","",IFERROR(IF(ISNUMBER(SEARCH(Assumptions!$C$5,D2906)),Assumptions!$D$5,IF(ISNUMBER(SEARCH(Assumptions!$C$6,D2906)),Assumptions!$D$6,IF(ISNUMBER(SEARCH(Assumptions!$C$7,D2906)),Assumptions!$D$7,"Other Services"))),"Other Services"))</f>
        <v/>
      </c>
    </row>
    <row r="2907" customFormat="false" ht="15" hidden="false" customHeight="false" outlineLevel="0" collapsed="false">
      <c r="J2907" s="41" t="str">
        <f aca="false">IF(D2907="","",IFERROR(IF(ISNUMBER(SEARCH(Assumptions!$C$5,D2907)),Assumptions!$D$5,IF(ISNUMBER(SEARCH(Assumptions!$C$6,D2907)),Assumptions!$D$6,IF(ISNUMBER(SEARCH(Assumptions!$C$7,D2907)),Assumptions!$D$7,"Other Services"))),"Other Services"))</f>
        <v/>
      </c>
    </row>
    <row r="2908" customFormat="false" ht="15" hidden="false" customHeight="false" outlineLevel="0" collapsed="false">
      <c r="J2908" s="41" t="str">
        <f aca="false">IF(D2908="","",IFERROR(IF(ISNUMBER(SEARCH(Assumptions!$C$5,D2908)),Assumptions!$D$5,IF(ISNUMBER(SEARCH(Assumptions!$C$6,D2908)),Assumptions!$D$6,IF(ISNUMBER(SEARCH(Assumptions!$C$7,D2908)),Assumptions!$D$7,"Other Services"))),"Other Services"))</f>
        <v/>
      </c>
    </row>
    <row r="2909" customFormat="false" ht="15" hidden="false" customHeight="false" outlineLevel="0" collapsed="false">
      <c r="J2909" s="41" t="str">
        <f aca="false">IF(D2909="","",IFERROR(IF(ISNUMBER(SEARCH(Assumptions!$C$5,D2909)),Assumptions!$D$5,IF(ISNUMBER(SEARCH(Assumptions!$C$6,D2909)),Assumptions!$D$6,IF(ISNUMBER(SEARCH(Assumptions!$C$7,D2909)),Assumptions!$D$7,"Other Services"))),"Other Services"))</f>
        <v/>
      </c>
    </row>
    <row r="2910" customFormat="false" ht="15" hidden="false" customHeight="false" outlineLevel="0" collapsed="false">
      <c r="J2910" s="41" t="str">
        <f aca="false">IF(D2910="","",IFERROR(IF(ISNUMBER(SEARCH(Assumptions!$C$5,D2910)),Assumptions!$D$5,IF(ISNUMBER(SEARCH(Assumptions!$C$6,D2910)),Assumptions!$D$6,IF(ISNUMBER(SEARCH(Assumptions!$C$7,D2910)),Assumptions!$D$7,"Other Services"))),"Other Services"))</f>
        <v/>
      </c>
    </row>
    <row r="2911" customFormat="false" ht="15" hidden="false" customHeight="false" outlineLevel="0" collapsed="false">
      <c r="J2911" s="41" t="str">
        <f aca="false">IF(D2911="","",IFERROR(IF(ISNUMBER(SEARCH(Assumptions!$C$5,D2911)),Assumptions!$D$5,IF(ISNUMBER(SEARCH(Assumptions!$C$6,D2911)),Assumptions!$D$6,IF(ISNUMBER(SEARCH(Assumptions!$C$7,D2911)),Assumptions!$D$7,"Other Services"))),"Other Services"))</f>
        <v/>
      </c>
    </row>
    <row r="2912" customFormat="false" ht="15" hidden="false" customHeight="false" outlineLevel="0" collapsed="false">
      <c r="J2912" s="41" t="str">
        <f aca="false">IF(D2912="","",IFERROR(IF(ISNUMBER(SEARCH(Assumptions!$C$5,D2912)),Assumptions!$D$5,IF(ISNUMBER(SEARCH(Assumptions!$C$6,D2912)),Assumptions!$D$6,IF(ISNUMBER(SEARCH(Assumptions!$C$7,D2912)),Assumptions!$D$7,"Other Services"))),"Other Services"))</f>
        <v/>
      </c>
    </row>
    <row r="2913" customFormat="false" ht="15" hidden="false" customHeight="false" outlineLevel="0" collapsed="false">
      <c r="J2913" s="41" t="str">
        <f aca="false">IF(D2913="","",IFERROR(IF(ISNUMBER(SEARCH(Assumptions!$C$5,D2913)),Assumptions!$D$5,IF(ISNUMBER(SEARCH(Assumptions!$C$6,D2913)),Assumptions!$D$6,IF(ISNUMBER(SEARCH(Assumptions!$C$7,D2913)),Assumptions!$D$7,"Other Services"))),"Other Services"))</f>
        <v/>
      </c>
    </row>
    <row r="2914" customFormat="false" ht="15" hidden="false" customHeight="false" outlineLevel="0" collapsed="false">
      <c r="J2914" s="41" t="str">
        <f aca="false">IF(D2914="","",IFERROR(IF(ISNUMBER(SEARCH(Assumptions!$C$5,D2914)),Assumptions!$D$5,IF(ISNUMBER(SEARCH(Assumptions!$C$6,D2914)),Assumptions!$D$6,IF(ISNUMBER(SEARCH(Assumptions!$C$7,D2914)),Assumptions!$D$7,"Other Services"))),"Other Services"))</f>
        <v/>
      </c>
    </row>
    <row r="2915" customFormat="false" ht="15" hidden="false" customHeight="false" outlineLevel="0" collapsed="false">
      <c r="J2915" s="41" t="str">
        <f aca="false">IF(D2915="","",IFERROR(IF(ISNUMBER(SEARCH(Assumptions!$C$5,D2915)),Assumptions!$D$5,IF(ISNUMBER(SEARCH(Assumptions!$C$6,D2915)),Assumptions!$D$6,IF(ISNUMBER(SEARCH(Assumptions!$C$7,D2915)),Assumptions!$D$7,"Other Services"))),"Other Services"))</f>
        <v/>
      </c>
    </row>
    <row r="2916" customFormat="false" ht="15" hidden="false" customHeight="false" outlineLevel="0" collapsed="false">
      <c r="J2916" s="41" t="str">
        <f aca="false">IF(D2916="","",IFERROR(IF(ISNUMBER(SEARCH(Assumptions!$C$5,D2916)),Assumptions!$D$5,IF(ISNUMBER(SEARCH(Assumptions!$C$6,D2916)),Assumptions!$D$6,IF(ISNUMBER(SEARCH(Assumptions!$C$7,D2916)),Assumptions!$D$7,"Other Services"))),"Other Services"))</f>
        <v/>
      </c>
    </row>
    <row r="2917" customFormat="false" ht="15" hidden="false" customHeight="false" outlineLevel="0" collapsed="false">
      <c r="J2917" s="41" t="str">
        <f aca="false">IF(D2917="","",IFERROR(IF(ISNUMBER(SEARCH(Assumptions!$C$5,D2917)),Assumptions!$D$5,IF(ISNUMBER(SEARCH(Assumptions!$C$6,D2917)),Assumptions!$D$6,IF(ISNUMBER(SEARCH(Assumptions!$C$7,D2917)),Assumptions!$D$7,"Other Services"))),"Other Services"))</f>
        <v/>
      </c>
    </row>
    <row r="2918" customFormat="false" ht="15" hidden="false" customHeight="false" outlineLevel="0" collapsed="false">
      <c r="J2918" s="41" t="str">
        <f aca="false">IF(D2918="","",IFERROR(IF(ISNUMBER(SEARCH(Assumptions!$C$5,D2918)),Assumptions!$D$5,IF(ISNUMBER(SEARCH(Assumptions!$C$6,D2918)),Assumptions!$D$6,IF(ISNUMBER(SEARCH(Assumptions!$C$7,D2918)),Assumptions!$D$7,"Other Services"))),"Other Services"))</f>
        <v/>
      </c>
    </row>
    <row r="2919" customFormat="false" ht="15" hidden="false" customHeight="false" outlineLevel="0" collapsed="false">
      <c r="J2919" s="41" t="str">
        <f aca="false">IF(D2919="","",IFERROR(IF(ISNUMBER(SEARCH(Assumptions!$C$5,D2919)),Assumptions!$D$5,IF(ISNUMBER(SEARCH(Assumptions!$C$6,D2919)),Assumptions!$D$6,IF(ISNUMBER(SEARCH(Assumptions!$C$7,D2919)),Assumptions!$D$7,"Other Services"))),"Other Services"))</f>
        <v/>
      </c>
    </row>
    <row r="2920" customFormat="false" ht="15" hidden="false" customHeight="false" outlineLevel="0" collapsed="false">
      <c r="J2920" s="41" t="str">
        <f aca="false">IF(D2920="","",IFERROR(IF(ISNUMBER(SEARCH(Assumptions!$C$5,D2920)),Assumptions!$D$5,IF(ISNUMBER(SEARCH(Assumptions!$C$6,D2920)),Assumptions!$D$6,IF(ISNUMBER(SEARCH(Assumptions!$C$7,D2920)),Assumptions!$D$7,"Other Services"))),"Other Services"))</f>
        <v/>
      </c>
    </row>
    <row r="2921" customFormat="false" ht="15" hidden="false" customHeight="false" outlineLevel="0" collapsed="false">
      <c r="J2921" s="41" t="str">
        <f aca="false">IF(D2921="","",IFERROR(IF(ISNUMBER(SEARCH(Assumptions!$C$5,D2921)),Assumptions!$D$5,IF(ISNUMBER(SEARCH(Assumptions!$C$6,D2921)),Assumptions!$D$6,IF(ISNUMBER(SEARCH(Assumptions!$C$7,D2921)),Assumptions!$D$7,"Other Services"))),"Other Services"))</f>
        <v/>
      </c>
    </row>
    <row r="2922" customFormat="false" ht="15" hidden="false" customHeight="false" outlineLevel="0" collapsed="false">
      <c r="J2922" s="41" t="str">
        <f aca="false">IF(D2922="","",IFERROR(IF(ISNUMBER(SEARCH(Assumptions!$C$5,D2922)),Assumptions!$D$5,IF(ISNUMBER(SEARCH(Assumptions!$C$6,D2922)),Assumptions!$D$6,IF(ISNUMBER(SEARCH(Assumptions!$C$7,D2922)),Assumptions!$D$7,"Other Services"))),"Other Services"))</f>
        <v/>
      </c>
    </row>
    <row r="2923" customFormat="false" ht="15" hidden="false" customHeight="false" outlineLevel="0" collapsed="false">
      <c r="J2923" s="41" t="str">
        <f aca="false">IF(D2923="","",IFERROR(IF(ISNUMBER(SEARCH(Assumptions!$C$5,D2923)),Assumptions!$D$5,IF(ISNUMBER(SEARCH(Assumptions!$C$6,D2923)),Assumptions!$D$6,IF(ISNUMBER(SEARCH(Assumptions!$C$7,D2923)),Assumptions!$D$7,"Other Services"))),"Other Services"))</f>
        <v/>
      </c>
    </row>
    <row r="2924" customFormat="false" ht="15" hidden="false" customHeight="false" outlineLevel="0" collapsed="false">
      <c r="J2924" s="41" t="str">
        <f aca="false">IF(D2924="","",IFERROR(IF(ISNUMBER(SEARCH(Assumptions!$C$5,D2924)),Assumptions!$D$5,IF(ISNUMBER(SEARCH(Assumptions!$C$6,D2924)),Assumptions!$D$6,IF(ISNUMBER(SEARCH(Assumptions!$C$7,D2924)),Assumptions!$D$7,"Other Services"))),"Other Services"))</f>
        <v/>
      </c>
    </row>
    <row r="2925" customFormat="false" ht="15" hidden="false" customHeight="false" outlineLevel="0" collapsed="false">
      <c r="J2925" s="41" t="str">
        <f aca="false">IF(D2925="","",IFERROR(IF(ISNUMBER(SEARCH(Assumptions!$C$5,D2925)),Assumptions!$D$5,IF(ISNUMBER(SEARCH(Assumptions!$C$6,D2925)),Assumptions!$D$6,IF(ISNUMBER(SEARCH(Assumptions!$C$7,D2925)),Assumptions!$D$7,"Other Services"))),"Other Services"))</f>
        <v/>
      </c>
    </row>
    <row r="2926" customFormat="false" ht="15" hidden="false" customHeight="false" outlineLevel="0" collapsed="false">
      <c r="J2926" s="41" t="str">
        <f aca="false">IF(D2926="","",IFERROR(IF(ISNUMBER(SEARCH(Assumptions!$C$5,D2926)),Assumptions!$D$5,IF(ISNUMBER(SEARCH(Assumptions!$C$6,D2926)),Assumptions!$D$6,IF(ISNUMBER(SEARCH(Assumptions!$C$7,D2926)),Assumptions!$D$7,"Other Services"))),"Other Services"))</f>
        <v/>
      </c>
    </row>
    <row r="2927" customFormat="false" ht="15" hidden="false" customHeight="false" outlineLevel="0" collapsed="false">
      <c r="J2927" s="41" t="str">
        <f aca="false">IF(D2927="","",IFERROR(IF(ISNUMBER(SEARCH(Assumptions!$C$5,D2927)),Assumptions!$D$5,IF(ISNUMBER(SEARCH(Assumptions!$C$6,D2927)),Assumptions!$D$6,IF(ISNUMBER(SEARCH(Assumptions!$C$7,D2927)),Assumptions!$D$7,"Other Services"))),"Other Services"))</f>
        <v/>
      </c>
    </row>
    <row r="2928" customFormat="false" ht="15" hidden="false" customHeight="false" outlineLevel="0" collapsed="false">
      <c r="J2928" s="41" t="str">
        <f aca="false">IF(D2928="","",IFERROR(IF(ISNUMBER(SEARCH(Assumptions!$C$5,D2928)),Assumptions!$D$5,IF(ISNUMBER(SEARCH(Assumptions!$C$6,D2928)),Assumptions!$D$6,IF(ISNUMBER(SEARCH(Assumptions!$C$7,D2928)),Assumptions!$D$7,"Other Services"))),"Other Services"))</f>
        <v/>
      </c>
    </row>
    <row r="2929" customFormat="false" ht="15" hidden="false" customHeight="false" outlineLevel="0" collapsed="false">
      <c r="J2929" s="41" t="str">
        <f aca="false">IF(D2929="","",IFERROR(IF(ISNUMBER(SEARCH(Assumptions!$C$5,D2929)),Assumptions!$D$5,IF(ISNUMBER(SEARCH(Assumptions!$C$6,D2929)),Assumptions!$D$6,IF(ISNUMBER(SEARCH(Assumptions!$C$7,D2929)),Assumptions!$D$7,"Other Services"))),"Other Services"))</f>
        <v/>
      </c>
    </row>
    <row r="2930" customFormat="false" ht="15" hidden="false" customHeight="false" outlineLevel="0" collapsed="false">
      <c r="J2930" s="41" t="str">
        <f aca="false">IF(D2930="","",IFERROR(IF(ISNUMBER(SEARCH(Assumptions!$C$5,D2930)),Assumptions!$D$5,IF(ISNUMBER(SEARCH(Assumptions!$C$6,D2930)),Assumptions!$D$6,IF(ISNUMBER(SEARCH(Assumptions!$C$7,D2930)),Assumptions!$D$7,"Other Services"))),"Other Services"))</f>
        <v/>
      </c>
    </row>
    <row r="2931" customFormat="false" ht="15" hidden="false" customHeight="false" outlineLevel="0" collapsed="false">
      <c r="J2931" s="41" t="str">
        <f aca="false">IF(D2931="","",IFERROR(IF(ISNUMBER(SEARCH(Assumptions!$C$5,D2931)),Assumptions!$D$5,IF(ISNUMBER(SEARCH(Assumptions!$C$6,D2931)),Assumptions!$D$6,IF(ISNUMBER(SEARCH(Assumptions!$C$7,D2931)),Assumptions!$D$7,"Other Services"))),"Other Services"))</f>
        <v/>
      </c>
    </row>
    <row r="2932" customFormat="false" ht="15" hidden="false" customHeight="false" outlineLevel="0" collapsed="false">
      <c r="J2932" s="41" t="str">
        <f aca="false">IF(D2932="","",IFERROR(IF(ISNUMBER(SEARCH(Assumptions!$C$5,D2932)),Assumptions!$D$5,IF(ISNUMBER(SEARCH(Assumptions!$C$6,D2932)),Assumptions!$D$6,IF(ISNUMBER(SEARCH(Assumptions!$C$7,D2932)),Assumptions!$D$7,"Other Services"))),"Other Services"))</f>
        <v/>
      </c>
    </row>
    <row r="2933" customFormat="false" ht="15" hidden="false" customHeight="false" outlineLevel="0" collapsed="false">
      <c r="J2933" s="41" t="str">
        <f aca="false">IF(D2933="","",IFERROR(IF(ISNUMBER(SEARCH(Assumptions!$C$5,D2933)),Assumptions!$D$5,IF(ISNUMBER(SEARCH(Assumptions!$C$6,D2933)),Assumptions!$D$6,IF(ISNUMBER(SEARCH(Assumptions!$C$7,D2933)),Assumptions!$D$7,"Other Services"))),"Other Services"))</f>
        <v/>
      </c>
    </row>
    <row r="2934" customFormat="false" ht="15" hidden="false" customHeight="false" outlineLevel="0" collapsed="false">
      <c r="J2934" s="41" t="str">
        <f aca="false">IF(D2934="","",IFERROR(IF(ISNUMBER(SEARCH(Assumptions!$C$5,D2934)),Assumptions!$D$5,IF(ISNUMBER(SEARCH(Assumptions!$C$6,D2934)),Assumptions!$D$6,IF(ISNUMBER(SEARCH(Assumptions!$C$7,D2934)),Assumptions!$D$7,"Other Services"))),"Other Services"))</f>
        <v/>
      </c>
    </row>
    <row r="2935" customFormat="false" ht="15" hidden="false" customHeight="false" outlineLevel="0" collapsed="false">
      <c r="J2935" s="41" t="str">
        <f aca="false">IF(D2935="","",IFERROR(IF(ISNUMBER(SEARCH(Assumptions!$C$5,D2935)),Assumptions!$D$5,IF(ISNUMBER(SEARCH(Assumptions!$C$6,D2935)),Assumptions!$D$6,IF(ISNUMBER(SEARCH(Assumptions!$C$7,D2935)),Assumptions!$D$7,"Other Services"))),"Other Services"))</f>
        <v/>
      </c>
    </row>
    <row r="2936" customFormat="false" ht="15" hidden="false" customHeight="false" outlineLevel="0" collapsed="false">
      <c r="J2936" s="41" t="str">
        <f aca="false">IF(D2936="","",IFERROR(IF(ISNUMBER(SEARCH(Assumptions!$C$5,D2936)),Assumptions!$D$5,IF(ISNUMBER(SEARCH(Assumptions!$C$6,D2936)),Assumptions!$D$6,IF(ISNUMBER(SEARCH(Assumptions!$C$7,D2936)),Assumptions!$D$7,"Other Services"))),"Other Services"))</f>
        <v/>
      </c>
    </row>
    <row r="2937" customFormat="false" ht="15" hidden="false" customHeight="false" outlineLevel="0" collapsed="false">
      <c r="J2937" s="41" t="str">
        <f aca="false">IF(D2937="","",IFERROR(IF(ISNUMBER(SEARCH(Assumptions!$C$5,D2937)),Assumptions!$D$5,IF(ISNUMBER(SEARCH(Assumptions!$C$6,D2937)),Assumptions!$D$6,IF(ISNUMBER(SEARCH(Assumptions!$C$7,D2937)),Assumptions!$D$7,"Other Services"))),"Other Services"))</f>
        <v/>
      </c>
    </row>
    <row r="2938" customFormat="false" ht="15" hidden="false" customHeight="false" outlineLevel="0" collapsed="false">
      <c r="J2938" s="41" t="str">
        <f aca="false">IF(D2938="","",IFERROR(IF(ISNUMBER(SEARCH(Assumptions!$C$5,D2938)),Assumptions!$D$5,IF(ISNUMBER(SEARCH(Assumptions!$C$6,D2938)),Assumptions!$D$6,IF(ISNUMBER(SEARCH(Assumptions!$C$7,D2938)),Assumptions!$D$7,"Other Services"))),"Other Services"))</f>
        <v/>
      </c>
    </row>
    <row r="2939" customFormat="false" ht="15" hidden="false" customHeight="false" outlineLevel="0" collapsed="false">
      <c r="J2939" s="41" t="str">
        <f aca="false">IF(D2939="","",IFERROR(IF(ISNUMBER(SEARCH(Assumptions!$C$5,D2939)),Assumptions!$D$5,IF(ISNUMBER(SEARCH(Assumptions!$C$6,D2939)),Assumptions!$D$6,IF(ISNUMBER(SEARCH(Assumptions!$C$7,D2939)),Assumptions!$D$7,"Other Services"))),"Other Services"))</f>
        <v/>
      </c>
    </row>
    <row r="2940" customFormat="false" ht="15" hidden="false" customHeight="false" outlineLevel="0" collapsed="false">
      <c r="J2940" s="41" t="str">
        <f aca="false">IF(D2940="","",IFERROR(IF(ISNUMBER(SEARCH(Assumptions!$C$5,D2940)),Assumptions!$D$5,IF(ISNUMBER(SEARCH(Assumptions!$C$6,D2940)),Assumptions!$D$6,IF(ISNUMBER(SEARCH(Assumptions!$C$7,D2940)),Assumptions!$D$7,"Other Services"))),"Other Services"))</f>
        <v/>
      </c>
    </row>
    <row r="2941" customFormat="false" ht="15" hidden="false" customHeight="false" outlineLevel="0" collapsed="false">
      <c r="J2941" s="41" t="str">
        <f aca="false">IF(D2941="","",IFERROR(IF(ISNUMBER(SEARCH(Assumptions!$C$5,D2941)),Assumptions!$D$5,IF(ISNUMBER(SEARCH(Assumptions!$C$6,D2941)),Assumptions!$D$6,IF(ISNUMBER(SEARCH(Assumptions!$C$7,D2941)),Assumptions!$D$7,"Other Services"))),"Other Services"))</f>
        <v/>
      </c>
    </row>
    <row r="2942" customFormat="false" ht="15" hidden="false" customHeight="false" outlineLevel="0" collapsed="false">
      <c r="J2942" s="41" t="str">
        <f aca="false">IF(D2942="","",IFERROR(IF(ISNUMBER(SEARCH(Assumptions!$C$5,D2942)),Assumptions!$D$5,IF(ISNUMBER(SEARCH(Assumptions!$C$6,D2942)),Assumptions!$D$6,IF(ISNUMBER(SEARCH(Assumptions!$C$7,D2942)),Assumptions!$D$7,"Other Services"))),"Other Services"))</f>
        <v/>
      </c>
    </row>
    <row r="2943" customFormat="false" ht="15" hidden="false" customHeight="false" outlineLevel="0" collapsed="false">
      <c r="J2943" s="41" t="str">
        <f aca="false">IF(D2943="","",IFERROR(IF(ISNUMBER(SEARCH(Assumptions!$C$5,D2943)),Assumptions!$D$5,IF(ISNUMBER(SEARCH(Assumptions!$C$6,D2943)),Assumptions!$D$6,IF(ISNUMBER(SEARCH(Assumptions!$C$7,D2943)),Assumptions!$D$7,"Other Services"))),"Other Services"))</f>
        <v/>
      </c>
    </row>
    <row r="2944" customFormat="false" ht="15" hidden="false" customHeight="false" outlineLevel="0" collapsed="false">
      <c r="J2944" s="41" t="str">
        <f aca="false">IF(D2944="","",IFERROR(IF(ISNUMBER(SEARCH(Assumptions!$C$5,D2944)),Assumptions!$D$5,IF(ISNUMBER(SEARCH(Assumptions!$C$6,D2944)),Assumptions!$D$6,IF(ISNUMBER(SEARCH(Assumptions!$C$7,D2944)),Assumptions!$D$7,"Other Services"))),"Other Services"))</f>
        <v/>
      </c>
    </row>
    <row r="2945" customFormat="false" ht="15" hidden="false" customHeight="false" outlineLevel="0" collapsed="false">
      <c r="J2945" s="41" t="str">
        <f aca="false">IF(D2945="","",IFERROR(IF(ISNUMBER(SEARCH(Assumptions!$C$5,D2945)),Assumptions!$D$5,IF(ISNUMBER(SEARCH(Assumptions!$C$6,D2945)),Assumptions!$D$6,IF(ISNUMBER(SEARCH(Assumptions!$C$7,D2945)),Assumptions!$D$7,"Other Services"))),"Other Services"))</f>
        <v/>
      </c>
    </row>
    <row r="2946" customFormat="false" ht="15" hidden="false" customHeight="false" outlineLevel="0" collapsed="false">
      <c r="J2946" s="41" t="str">
        <f aca="false">IF(D2946="","",IFERROR(IF(ISNUMBER(SEARCH(Assumptions!$C$5,D2946)),Assumptions!$D$5,IF(ISNUMBER(SEARCH(Assumptions!$C$6,D2946)),Assumptions!$D$6,IF(ISNUMBER(SEARCH(Assumptions!$C$7,D2946)),Assumptions!$D$7,"Other Services"))),"Other Services"))</f>
        <v/>
      </c>
    </row>
    <row r="2947" customFormat="false" ht="15" hidden="false" customHeight="false" outlineLevel="0" collapsed="false">
      <c r="J2947" s="41" t="str">
        <f aca="false">IF(D2947="","",IFERROR(IF(ISNUMBER(SEARCH(Assumptions!$C$5,D2947)),Assumptions!$D$5,IF(ISNUMBER(SEARCH(Assumptions!$C$6,D2947)),Assumptions!$D$6,IF(ISNUMBER(SEARCH(Assumptions!$C$7,D2947)),Assumptions!$D$7,"Other Services"))),"Other Services"))</f>
        <v/>
      </c>
    </row>
    <row r="2948" customFormat="false" ht="15" hidden="false" customHeight="false" outlineLevel="0" collapsed="false">
      <c r="J2948" s="41" t="str">
        <f aca="false">IF(D2948="","",IFERROR(IF(ISNUMBER(SEARCH(Assumptions!$C$5,D2948)),Assumptions!$D$5,IF(ISNUMBER(SEARCH(Assumptions!$C$6,D2948)),Assumptions!$D$6,IF(ISNUMBER(SEARCH(Assumptions!$C$7,D2948)),Assumptions!$D$7,"Other Services"))),"Other Services"))</f>
        <v/>
      </c>
    </row>
    <row r="2949" customFormat="false" ht="15" hidden="false" customHeight="false" outlineLevel="0" collapsed="false">
      <c r="J2949" s="41" t="str">
        <f aca="false">IF(D2949="","",IFERROR(IF(ISNUMBER(SEARCH(Assumptions!$C$5,D2949)),Assumptions!$D$5,IF(ISNUMBER(SEARCH(Assumptions!$C$6,D2949)),Assumptions!$D$6,IF(ISNUMBER(SEARCH(Assumptions!$C$7,D2949)),Assumptions!$D$7,"Other Services"))),"Other Services"))</f>
        <v/>
      </c>
    </row>
    <row r="2950" customFormat="false" ht="15" hidden="false" customHeight="false" outlineLevel="0" collapsed="false">
      <c r="J2950" s="41" t="str">
        <f aca="false">IF(D2950="","",IFERROR(IF(ISNUMBER(SEARCH(Assumptions!$C$5,D2950)),Assumptions!$D$5,IF(ISNUMBER(SEARCH(Assumptions!$C$6,D2950)),Assumptions!$D$6,IF(ISNUMBER(SEARCH(Assumptions!$C$7,D2950)),Assumptions!$D$7,"Other Services"))),"Other Services"))</f>
        <v/>
      </c>
    </row>
    <row r="2951" customFormat="false" ht="15" hidden="false" customHeight="false" outlineLevel="0" collapsed="false">
      <c r="J2951" s="41" t="str">
        <f aca="false">IF(D2951="","",IFERROR(IF(ISNUMBER(SEARCH(Assumptions!$C$5,D2951)),Assumptions!$D$5,IF(ISNUMBER(SEARCH(Assumptions!$C$6,D2951)),Assumptions!$D$6,IF(ISNUMBER(SEARCH(Assumptions!$C$7,D2951)),Assumptions!$D$7,"Other Services"))),"Other Services"))</f>
        <v/>
      </c>
    </row>
    <row r="2952" customFormat="false" ht="15" hidden="false" customHeight="false" outlineLevel="0" collapsed="false">
      <c r="J2952" s="41" t="str">
        <f aca="false">IF(D2952="","",IFERROR(IF(ISNUMBER(SEARCH(Assumptions!$C$5,D2952)),Assumptions!$D$5,IF(ISNUMBER(SEARCH(Assumptions!$C$6,D2952)),Assumptions!$D$6,IF(ISNUMBER(SEARCH(Assumptions!$C$7,D2952)),Assumptions!$D$7,"Other Services"))),"Other Services"))</f>
        <v/>
      </c>
    </row>
    <row r="2953" customFormat="false" ht="15" hidden="false" customHeight="false" outlineLevel="0" collapsed="false">
      <c r="J2953" s="41" t="str">
        <f aca="false">IF(D2953="","",IFERROR(IF(ISNUMBER(SEARCH(Assumptions!$C$5,D2953)),Assumptions!$D$5,IF(ISNUMBER(SEARCH(Assumptions!$C$6,D2953)),Assumptions!$D$6,IF(ISNUMBER(SEARCH(Assumptions!$C$7,D2953)),Assumptions!$D$7,"Other Services"))),"Other Services"))</f>
        <v/>
      </c>
    </row>
    <row r="2954" customFormat="false" ht="15" hidden="false" customHeight="false" outlineLevel="0" collapsed="false">
      <c r="J2954" s="41" t="str">
        <f aca="false">IF(D2954="","",IFERROR(IF(ISNUMBER(SEARCH(Assumptions!$C$5,D2954)),Assumptions!$D$5,IF(ISNUMBER(SEARCH(Assumptions!$C$6,D2954)),Assumptions!$D$6,IF(ISNUMBER(SEARCH(Assumptions!$C$7,D2954)),Assumptions!$D$7,"Other Services"))),"Other Services"))</f>
        <v/>
      </c>
    </row>
    <row r="2955" customFormat="false" ht="15" hidden="false" customHeight="false" outlineLevel="0" collapsed="false">
      <c r="J2955" s="41" t="str">
        <f aca="false">IF(D2955="","",IFERROR(IF(ISNUMBER(SEARCH(Assumptions!$C$5,D2955)),Assumptions!$D$5,IF(ISNUMBER(SEARCH(Assumptions!$C$6,D2955)),Assumptions!$D$6,IF(ISNUMBER(SEARCH(Assumptions!$C$7,D2955)),Assumptions!$D$7,"Other Services"))),"Other Services"))</f>
        <v/>
      </c>
    </row>
    <row r="2956" customFormat="false" ht="15" hidden="false" customHeight="false" outlineLevel="0" collapsed="false">
      <c r="J2956" s="41" t="str">
        <f aca="false">IF(D2956="","",IFERROR(IF(ISNUMBER(SEARCH(Assumptions!$C$5,D2956)),Assumptions!$D$5,IF(ISNUMBER(SEARCH(Assumptions!$C$6,D2956)),Assumptions!$D$6,IF(ISNUMBER(SEARCH(Assumptions!$C$7,D2956)),Assumptions!$D$7,"Other Services"))),"Other Services"))</f>
        <v/>
      </c>
    </row>
    <row r="2957" customFormat="false" ht="15" hidden="false" customHeight="false" outlineLevel="0" collapsed="false">
      <c r="J2957" s="41" t="str">
        <f aca="false">IF(D2957="","",IFERROR(IF(ISNUMBER(SEARCH(Assumptions!$C$5,D2957)),Assumptions!$D$5,IF(ISNUMBER(SEARCH(Assumptions!$C$6,D2957)),Assumptions!$D$6,IF(ISNUMBER(SEARCH(Assumptions!$C$7,D2957)),Assumptions!$D$7,"Other Services"))),"Other Services"))</f>
        <v/>
      </c>
    </row>
    <row r="2958" customFormat="false" ht="15" hidden="false" customHeight="false" outlineLevel="0" collapsed="false">
      <c r="J2958" s="41" t="str">
        <f aca="false">IF(D2958="","",IFERROR(IF(ISNUMBER(SEARCH(Assumptions!$C$5,D2958)),Assumptions!$D$5,IF(ISNUMBER(SEARCH(Assumptions!$C$6,D2958)),Assumptions!$D$6,IF(ISNUMBER(SEARCH(Assumptions!$C$7,D2958)),Assumptions!$D$7,"Other Services"))),"Other Services"))</f>
        <v/>
      </c>
    </row>
    <row r="2959" customFormat="false" ht="15" hidden="false" customHeight="false" outlineLevel="0" collapsed="false">
      <c r="J2959" s="41" t="str">
        <f aca="false">IF(D2959="","",IFERROR(IF(ISNUMBER(SEARCH(Assumptions!$C$5,D2959)),Assumptions!$D$5,IF(ISNUMBER(SEARCH(Assumptions!$C$6,D2959)),Assumptions!$D$6,IF(ISNUMBER(SEARCH(Assumptions!$C$7,D2959)),Assumptions!$D$7,"Other Services"))),"Other Services"))</f>
        <v/>
      </c>
    </row>
    <row r="2960" customFormat="false" ht="15" hidden="false" customHeight="false" outlineLevel="0" collapsed="false">
      <c r="J2960" s="41" t="str">
        <f aca="false">IF(D2960="","",IFERROR(IF(ISNUMBER(SEARCH(Assumptions!$C$5,D2960)),Assumptions!$D$5,IF(ISNUMBER(SEARCH(Assumptions!$C$6,D2960)),Assumptions!$D$6,IF(ISNUMBER(SEARCH(Assumptions!$C$7,D2960)),Assumptions!$D$7,"Other Services"))),"Other Services"))</f>
        <v/>
      </c>
    </row>
    <row r="2961" customFormat="false" ht="15" hidden="false" customHeight="false" outlineLevel="0" collapsed="false">
      <c r="J2961" s="41" t="str">
        <f aca="false">IF(D2961="","",IFERROR(IF(ISNUMBER(SEARCH(Assumptions!$C$5,D2961)),Assumptions!$D$5,IF(ISNUMBER(SEARCH(Assumptions!$C$6,D2961)),Assumptions!$D$6,IF(ISNUMBER(SEARCH(Assumptions!$C$7,D2961)),Assumptions!$D$7,"Other Services"))),"Other Services"))</f>
        <v/>
      </c>
    </row>
    <row r="2962" customFormat="false" ht="15" hidden="false" customHeight="false" outlineLevel="0" collapsed="false">
      <c r="J2962" s="41" t="str">
        <f aca="false">IF(D2962="","",IFERROR(IF(ISNUMBER(SEARCH(Assumptions!$C$5,D2962)),Assumptions!$D$5,IF(ISNUMBER(SEARCH(Assumptions!$C$6,D2962)),Assumptions!$D$6,IF(ISNUMBER(SEARCH(Assumptions!$C$7,D2962)),Assumptions!$D$7,"Other Services"))),"Other Services"))</f>
        <v/>
      </c>
    </row>
    <row r="2963" customFormat="false" ht="15" hidden="false" customHeight="false" outlineLevel="0" collapsed="false">
      <c r="J2963" s="41" t="str">
        <f aca="false">IF(D2963="","",IFERROR(IF(ISNUMBER(SEARCH(Assumptions!$C$5,D2963)),Assumptions!$D$5,IF(ISNUMBER(SEARCH(Assumptions!$C$6,D2963)),Assumptions!$D$6,IF(ISNUMBER(SEARCH(Assumptions!$C$7,D2963)),Assumptions!$D$7,"Other Services"))),"Other Services"))</f>
        <v/>
      </c>
    </row>
    <row r="2964" customFormat="false" ht="15" hidden="false" customHeight="false" outlineLevel="0" collapsed="false">
      <c r="J2964" s="41" t="str">
        <f aca="false">IF(D2964="","",IFERROR(IF(ISNUMBER(SEARCH(Assumptions!$C$5,D2964)),Assumptions!$D$5,IF(ISNUMBER(SEARCH(Assumptions!$C$6,D2964)),Assumptions!$D$6,IF(ISNUMBER(SEARCH(Assumptions!$C$7,D2964)),Assumptions!$D$7,"Other Services"))),"Other Services"))</f>
        <v/>
      </c>
    </row>
    <row r="2965" customFormat="false" ht="15" hidden="false" customHeight="false" outlineLevel="0" collapsed="false">
      <c r="J2965" s="41" t="str">
        <f aca="false">IF(D2965="","",IFERROR(IF(ISNUMBER(SEARCH(Assumptions!$C$5,D2965)),Assumptions!$D$5,IF(ISNUMBER(SEARCH(Assumptions!$C$6,D2965)),Assumptions!$D$6,IF(ISNUMBER(SEARCH(Assumptions!$C$7,D2965)),Assumptions!$D$7,"Other Services"))),"Other Services"))</f>
        <v/>
      </c>
    </row>
    <row r="2966" customFormat="false" ht="15" hidden="false" customHeight="false" outlineLevel="0" collapsed="false">
      <c r="J2966" s="41" t="str">
        <f aca="false">IF(D2966="","",IFERROR(IF(ISNUMBER(SEARCH(Assumptions!$C$5,D2966)),Assumptions!$D$5,IF(ISNUMBER(SEARCH(Assumptions!$C$6,D2966)),Assumptions!$D$6,IF(ISNUMBER(SEARCH(Assumptions!$C$7,D2966)),Assumptions!$D$7,"Other Services"))),"Other Services"))</f>
        <v/>
      </c>
    </row>
    <row r="2967" customFormat="false" ht="15" hidden="false" customHeight="false" outlineLevel="0" collapsed="false">
      <c r="J2967" s="41" t="str">
        <f aca="false">IF(D2967="","",IFERROR(IF(ISNUMBER(SEARCH(Assumptions!$C$5,D2967)),Assumptions!$D$5,IF(ISNUMBER(SEARCH(Assumptions!$C$6,D2967)),Assumptions!$D$6,IF(ISNUMBER(SEARCH(Assumptions!$C$7,D2967)),Assumptions!$D$7,"Other Services"))),"Other Services"))</f>
        <v/>
      </c>
    </row>
    <row r="2968" customFormat="false" ht="15" hidden="false" customHeight="false" outlineLevel="0" collapsed="false">
      <c r="J2968" s="41" t="str">
        <f aca="false">IF(D2968="","",IFERROR(IF(ISNUMBER(SEARCH(Assumptions!$C$5,D2968)),Assumptions!$D$5,IF(ISNUMBER(SEARCH(Assumptions!$C$6,D2968)),Assumptions!$D$6,IF(ISNUMBER(SEARCH(Assumptions!$C$7,D2968)),Assumptions!$D$7,"Other Services"))),"Other Services"))</f>
        <v/>
      </c>
    </row>
    <row r="2969" customFormat="false" ht="15" hidden="false" customHeight="false" outlineLevel="0" collapsed="false">
      <c r="J2969" s="41" t="str">
        <f aca="false">IF(D2969="","",IFERROR(IF(ISNUMBER(SEARCH(Assumptions!$C$5,D2969)),Assumptions!$D$5,IF(ISNUMBER(SEARCH(Assumptions!$C$6,D2969)),Assumptions!$D$6,IF(ISNUMBER(SEARCH(Assumptions!$C$7,D2969)),Assumptions!$D$7,"Other Services"))),"Other Services"))</f>
        <v/>
      </c>
    </row>
    <row r="2970" customFormat="false" ht="15" hidden="false" customHeight="false" outlineLevel="0" collapsed="false">
      <c r="J2970" s="41" t="str">
        <f aca="false">IF(D2970="","",IFERROR(IF(ISNUMBER(SEARCH(Assumptions!$C$5,D2970)),Assumptions!$D$5,IF(ISNUMBER(SEARCH(Assumptions!$C$6,D2970)),Assumptions!$D$6,IF(ISNUMBER(SEARCH(Assumptions!$C$7,D2970)),Assumptions!$D$7,"Other Services"))),"Other Services"))</f>
        <v/>
      </c>
    </row>
    <row r="2971" customFormat="false" ht="15" hidden="false" customHeight="false" outlineLevel="0" collapsed="false">
      <c r="J2971" s="41" t="str">
        <f aca="false">IF(D2971="","",IFERROR(IF(ISNUMBER(SEARCH(Assumptions!$C$5,D2971)),Assumptions!$D$5,IF(ISNUMBER(SEARCH(Assumptions!$C$6,D2971)),Assumptions!$D$6,IF(ISNUMBER(SEARCH(Assumptions!$C$7,D2971)),Assumptions!$D$7,"Other Services"))),"Other Services"))</f>
        <v/>
      </c>
    </row>
    <row r="2972" customFormat="false" ht="15" hidden="false" customHeight="false" outlineLevel="0" collapsed="false">
      <c r="J2972" s="41" t="str">
        <f aca="false">IF(D2972="","",IFERROR(IF(ISNUMBER(SEARCH(Assumptions!$C$5,D2972)),Assumptions!$D$5,IF(ISNUMBER(SEARCH(Assumptions!$C$6,D2972)),Assumptions!$D$6,IF(ISNUMBER(SEARCH(Assumptions!$C$7,D2972)),Assumptions!$D$7,"Other Services"))),"Other Services"))</f>
        <v/>
      </c>
    </row>
    <row r="2973" customFormat="false" ht="15" hidden="false" customHeight="false" outlineLevel="0" collapsed="false">
      <c r="J2973" s="41" t="str">
        <f aca="false">IF(D2973="","",IFERROR(IF(ISNUMBER(SEARCH(Assumptions!$C$5,D2973)),Assumptions!$D$5,IF(ISNUMBER(SEARCH(Assumptions!$C$6,D2973)),Assumptions!$D$6,IF(ISNUMBER(SEARCH(Assumptions!$C$7,D2973)),Assumptions!$D$7,"Other Services"))),"Other Services"))</f>
        <v/>
      </c>
    </row>
    <row r="2974" customFormat="false" ht="15" hidden="false" customHeight="false" outlineLevel="0" collapsed="false">
      <c r="J2974" s="41" t="str">
        <f aca="false">IF(D2974="","",IFERROR(IF(ISNUMBER(SEARCH(Assumptions!$C$5,D2974)),Assumptions!$D$5,IF(ISNUMBER(SEARCH(Assumptions!$C$6,D2974)),Assumptions!$D$6,IF(ISNUMBER(SEARCH(Assumptions!$C$7,D2974)),Assumptions!$D$7,"Other Services"))),"Other Services"))</f>
        <v/>
      </c>
    </row>
    <row r="2975" customFormat="false" ht="15" hidden="false" customHeight="false" outlineLevel="0" collapsed="false">
      <c r="J2975" s="41" t="str">
        <f aca="false">IF(D2975="","",IFERROR(IF(ISNUMBER(SEARCH(Assumptions!$C$5,D2975)),Assumptions!$D$5,IF(ISNUMBER(SEARCH(Assumptions!$C$6,D2975)),Assumptions!$D$6,IF(ISNUMBER(SEARCH(Assumptions!$C$7,D2975)),Assumptions!$D$7,"Other Services"))),"Other Services"))</f>
        <v/>
      </c>
    </row>
    <row r="2976" customFormat="false" ht="15" hidden="false" customHeight="false" outlineLevel="0" collapsed="false">
      <c r="J2976" s="41" t="str">
        <f aca="false">IF(D2976="","",IFERROR(IF(ISNUMBER(SEARCH(Assumptions!$C$5,D2976)),Assumptions!$D$5,IF(ISNUMBER(SEARCH(Assumptions!$C$6,D2976)),Assumptions!$D$6,IF(ISNUMBER(SEARCH(Assumptions!$C$7,D2976)),Assumptions!$D$7,"Other Services"))),"Other Services"))</f>
        <v/>
      </c>
    </row>
    <row r="2977" customFormat="false" ht="15" hidden="false" customHeight="false" outlineLevel="0" collapsed="false">
      <c r="J2977" s="41" t="str">
        <f aca="false">IF(D2977="","",IFERROR(IF(ISNUMBER(SEARCH(Assumptions!$C$5,D2977)),Assumptions!$D$5,IF(ISNUMBER(SEARCH(Assumptions!$C$6,D2977)),Assumptions!$D$6,IF(ISNUMBER(SEARCH(Assumptions!$C$7,D2977)),Assumptions!$D$7,"Other Services"))),"Other Services"))</f>
        <v/>
      </c>
    </row>
    <row r="2978" customFormat="false" ht="15" hidden="false" customHeight="false" outlineLevel="0" collapsed="false">
      <c r="J2978" s="41" t="str">
        <f aca="false">IF(D2978="","",IFERROR(IF(ISNUMBER(SEARCH(Assumptions!$C$5,D2978)),Assumptions!$D$5,IF(ISNUMBER(SEARCH(Assumptions!$C$6,D2978)),Assumptions!$D$6,IF(ISNUMBER(SEARCH(Assumptions!$C$7,D2978)),Assumptions!$D$7,"Other Services"))),"Other Services"))</f>
        <v/>
      </c>
    </row>
    <row r="2979" customFormat="false" ht="15" hidden="false" customHeight="false" outlineLevel="0" collapsed="false">
      <c r="J2979" s="41" t="str">
        <f aca="false">IF(D2979="","",IFERROR(IF(ISNUMBER(SEARCH(Assumptions!$C$5,D2979)),Assumptions!$D$5,IF(ISNUMBER(SEARCH(Assumptions!$C$6,D2979)),Assumptions!$D$6,IF(ISNUMBER(SEARCH(Assumptions!$C$7,D2979)),Assumptions!$D$7,"Other Services"))),"Other Services"))</f>
        <v/>
      </c>
    </row>
    <row r="2980" customFormat="false" ht="15" hidden="false" customHeight="false" outlineLevel="0" collapsed="false">
      <c r="J2980" s="41" t="str">
        <f aca="false">IF(D2980="","",IFERROR(IF(ISNUMBER(SEARCH(Assumptions!$C$5,D2980)),Assumptions!$D$5,IF(ISNUMBER(SEARCH(Assumptions!$C$6,D2980)),Assumptions!$D$6,IF(ISNUMBER(SEARCH(Assumptions!$C$7,D2980)),Assumptions!$D$7,"Other Services"))),"Other Services"))</f>
        <v/>
      </c>
    </row>
    <row r="2981" customFormat="false" ht="15" hidden="false" customHeight="false" outlineLevel="0" collapsed="false">
      <c r="J2981" s="41" t="str">
        <f aca="false">IF(D2981="","",IFERROR(IF(ISNUMBER(SEARCH(Assumptions!$C$5,D2981)),Assumptions!$D$5,IF(ISNUMBER(SEARCH(Assumptions!$C$6,D2981)),Assumptions!$D$6,IF(ISNUMBER(SEARCH(Assumptions!$C$7,D2981)),Assumptions!$D$7,"Other Services"))),"Other Services"))</f>
        <v/>
      </c>
    </row>
    <row r="2982" customFormat="false" ht="15" hidden="false" customHeight="false" outlineLevel="0" collapsed="false">
      <c r="J2982" s="41" t="str">
        <f aca="false">IF(D2982="","",IFERROR(IF(ISNUMBER(SEARCH(Assumptions!$C$5,D2982)),Assumptions!$D$5,IF(ISNUMBER(SEARCH(Assumptions!$C$6,D2982)),Assumptions!$D$6,IF(ISNUMBER(SEARCH(Assumptions!$C$7,D2982)),Assumptions!$D$7,"Other Services"))),"Other Services"))</f>
        <v/>
      </c>
    </row>
    <row r="2983" customFormat="false" ht="15" hidden="false" customHeight="false" outlineLevel="0" collapsed="false">
      <c r="J2983" s="41" t="str">
        <f aca="false">IF(D2983="","",IFERROR(IF(ISNUMBER(SEARCH(Assumptions!$C$5,D2983)),Assumptions!$D$5,IF(ISNUMBER(SEARCH(Assumptions!$C$6,D2983)),Assumptions!$D$6,IF(ISNUMBER(SEARCH(Assumptions!$C$7,D2983)),Assumptions!$D$7,"Other Services"))),"Other Services"))</f>
        <v/>
      </c>
    </row>
    <row r="2984" customFormat="false" ht="15" hidden="false" customHeight="false" outlineLevel="0" collapsed="false">
      <c r="J2984" s="41" t="str">
        <f aca="false">IF(D2984="","",IFERROR(IF(ISNUMBER(SEARCH(Assumptions!$C$5,D2984)),Assumptions!$D$5,IF(ISNUMBER(SEARCH(Assumptions!$C$6,D2984)),Assumptions!$D$6,IF(ISNUMBER(SEARCH(Assumptions!$C$7,D2984)),Assumptions!$D$7,"Other Services"))),"Other Services"))</f>
        <v/>
      </c>
    </row>
    <row r="2985" customFormat="false" ht="15" hidden="false" customHeight="false" outlineLevel="0" collapsed="false">
      <c r="J2985" s="41" t="str">
        <f aca="false">IF(D2985="","",IFERROR(IF(ISNUMBER(SEARCH(Assumptions!$C$5,D2985)),Assumptions!$D$5,IF(ISNUMBER(SEARCH(Assumptions!$C$6,D2985)),Assumptions!$D$6,IF(ISNUMBER(SEARCH(Assumptions!$C$7,D2985)),Assumptions!$D$7,"Other Services"))),"Other Services"))</f>
        <v/>
      </c>
    </row>
    <row r="2986" customFormat="false" ht="15" hidden="false" customHeight="false" outlineLevel="0" collapsed="false">
      <c r="J2986" s="41" t="str">
        <f aca="false">IF(D2986="","",IFERROR(IF(ISNUMBER(SEARCH(Assumptions!$C$5,D2986)),Assumptions!$D$5,IF(ISNUMBER(SEARCH(Assumptions!$C$6,D2986)),Assumptions!$D$6,IF(ISNUMBER(SEARCH(Assumptions!$C$7,D2986)),Assumptions!$D$7,"Other Services"))),"Other Services"))</f>
        <v/>
      </c>
    </row>
    <row r="2987" customFormat="false" ht="15" hidden="false" customHeight="false" outlineLevel="0" collapsed="false">
      <c r="J2987" s="41" t="str">
        <f aca="false">IF(D2987="","",IFERROR(IF(ISNUMBER(SEARCH(Assumptions!$C$5,D2987)),Assumptions!$D$5,IF(ISNUMBER(SEARCH(Assumptions!$C$6,D2987)),Assumptions!$D$6,IF(ISNUMBER(SEARCH(Assumptions!$C$7,D2987)),Assumptions!$D$7,"Other Services"))),"Other Services"))</f>
        <v/>
      </c>
    </row>
    <row r="2988" customFormat="false" ht="15" hidden="false" customHeight="false" outlineLevel="0" collapsed="false">
      <c r="J2988" s="41" t="str">
        <f aca="false">IF(D2988="","",IFERROR(IF(ISNUMBER(SEARCH(Assumptions!$C$5,D2988)),Assumptions!$D$5,IF(ISNUMBER(SEARCH(Assumptions!$C$6,D2988)),Assumptions!$D$6,IF(ISNUMBER(SEARCH(Assumptions!$C$7,D2988)),Assumptions!$D$7,"Other Services"))),"Other Services"))</f>
        <v/>
      </c>
    </row>
    <row r="2989" customFormat="false" ht="15" hidden="false" customHeight="false" outlineLevel="0" collapsed="false">
      <c r="J2989" s="41" t="str">
        <f aca="false">IF(D2989="","",IFERROR(IF(ISNUMBER(SEARCH(Assumptions!$C$5,D2989)),Assumptions!$D$5,IF(ISNUMBER(SEARCH(Assumptions!$C$6,D2989)),Assumptions!$D$6,IF(ISNUMBER(SEARCH(Assumptions!$C$7,D2989)),Assumptions!$D$7,"Other Services"))),"Other Services"))</f>
        <v/>
      </c>
    </row>
    <row r="2990" customFormat="false" ht="15" hidden="false" customHeight="false" outlineLevel="0" collapsed="false">
      <c r="J2990" s="41" t="str">
        <f aca="false">IF(D2990="","",IFERROR(IF(ISNUMBER(SEARCH(Assumptions!$C$5,D2990)),Assumptions!$D$5,IF(ISNUMBER(SEARCH(Assumptions!$C$6,D2990)),Assumptions!$D$6,IF(ISNUMBER(SEARCH(Assumptions!$C$7,D2990)),Assumptions!$D$7,"Other Services"))),"Other Services"))</f>
        <v/>
      </c>
    </row>
    <row r="2991" customFormat="false" ht="15" hidden="false" customHeight="false" outlineLevel="0" collapsed="false">
      <c r="J2991" s="41" t="str">
        <f aca="false">IF(D2991="","",IFERROR(IF(ISNUMBER(SEARCH(Assumptions!$C$5,D2991)),Assumptions!$D$5,IF(ISNUMBER(SEARCH(Assumptions!$C$6,D2991)),Assumptions!$D$6,IF(ISNUMBER(SEARCH(Assumptions!$C$7,D2991)),Assumptions!$D$7,"Other Services"))),"Other Services"))</f>
        <v/>
      </c>
    </row>
    <row r="2992" customFormat="false" ht="15" hidden="false" customHeight="false" outlineLevel="0" collapsed="false">
      <c r="J2992" s="41" t="str">
        <f aca="false">IF(D2992="","",IFERROR(IF(ISNUMBER(SEARCH(Assumptions!$C$5,D2992)),Assumptions!$D$5,IF(ISNUMBER(SEARCH(Assumptions!$C$6,D2992)),Assumptions!$D$6,IF(ISNUMBER(SEARCH(Assumptions!$C$7,D2992)),Assumptions!$D$7,"Other Services"))),"Other Services"))</f>
        <v/>
      </c>
    </row>
    <row r="2993" customFormat="false" ht="15" hidden="false" customHeight="false" outlineLevel="0" collapsed="false">
      <c r="J2993" s="41" t="str">
        <f aca="false">IF(D2993="","",IFERROR(IF(ISNUMBER(SEARCH(Assumptions!$C$5,D2993)),Assumptions!$D$5,IF(ISNUMBER(SEARCH(Assumptions!$C$6,D2993)),Assumptions!$D$6,IF(ISNUMBER(SEARCH(Assumptions!$C$7,D2993)),Assumptions!$D$7,"Other Services"))),"Other Services"))</f>
        <v/>
      </c>
    </row>
    <row r="2994" customFormat="false" ht="15" hidden="false" customHeight="false" outlineLevel="0" collapsed="false">
      <c r="J2994" s="41" t="str">
        <f aca="false">IF(D2994="","",IFERROR(IF(ISNUMBER(SEARCH(Assumptions!$C$5,D2994)),Assumptions!$D$5,IF(ISNUMBER(SEARCH(Assumptions!$C$6,D2994)),Assumptions!$D$6,IF(ISNUMBER(SEARCH(Assumptions!$C$7,D2994)),Assumptions!$D$7,"Other Services"))),"Other Services"))</f>
        <v/>
      </c>
    </row>
    <row r="2995" customFormat="false" ht="15" hidden="false" customHeight="false" outlineLevel="0" collapsed="false">
      <c r="J2995" s="41" t="str">
        <f aca="false">IF(D2995="","",IFERROR(IF(ISNUMBER(SEARCH(Assumptions!$C$5,D2995)),Assumptions!$D$5,IF(ISNUMBER(SEARCH(Assumptions!$C$6,D2995)),Assumptions!$D$6,IF(ISNUMBER(SEARCH(Assumptions!$C$7,D2995)),Assumptions!$D$7,"Other Services"))),"Other Services"))</f>
        <v/>
      </c>
    </row>
    <row r="2996" customFormat="false" ht="15" hidden="false" customHeight="false" outlineLevel="0" collapsed="false">
      <c r="J2996" s="41" t="str">
        <f aca="false">IF(D2996="","",IFERROR(IF(ISNUMBER(SEARCH(Assumptions!$C$5,D2996)),Assumptions!$D$5,IF(ISNUMBER(SEARCH(Assumptions!$C$6,D2996)),Assumptions!$D$6,IF(ISNUMBER(SEARCH(Assumptions!$C$7,D2996)),Assumptions!$D$7,"Other Services"))),"Other Services"))</f>
        <v/>
      </c>
    </row>
    <row r="2997" customFormat="false" ht="15" hidden="false" customHeight="false" outlineLevel="0" collapsed="false">
      <c r="J2997" s="41" t="str">
        <f aca="false">IF(D2997="","",IFERROR(IF(ISNUMBER(SEARCH(Assumptions!$C$5,D2997)),Assumptions!$D$5,IF(ISNUMBER(SEARCH(Assumptions!$C$6,D2997)),Assumptions!$D$6,IF(ISNUMBER(SEARCH(Assumptions!$C$7,D2997)),Assumptions!$D$7,"Other Services"))),"Other Services"))</f>
        <v/>
      </c>
    </row>
    <row r="2998" customFormat="false" ht="15" hidden="false" customHeight="false" outlineLevel="0" collapsed="false">
      <c r="J2998" s="41" t="str">
        <f aca="false">IF(D2998="","",IFERROR(IF(ISNUMBER(SEARCH(Assumptions!$C$5,D2998)),Assumptions!$D$5,IF(ISNUMBER(SEARCH(Assumptions!$C$6,D2998)),Assumptions!$D$6,IF(ISNUMBER(SEARCH(Assumptions!$C$7,D2998)),Assumptions!$D$7,"Other Services"))),"Other Services"))</f>
        <v/>
      </c>
    </row>
    <row r="2999" customFormat="false" ht="15" hidden="false" customHeight="false" outlineLevel="0" collapsed="false">
      <c r="J2999" s="41" t="str">
        <f aca="false">IF(D2999="","",IFERROR(IF(ISNUMBER(SEARCH(Assumptions!$C$5,D2999)),Assumptions!$D$5,IF(ISNUMBER(SEARCH(Assumptions!$C$6,D2999)),Assumptions!$D$6,IF(ISNUMBER(SEARCH(Assumptions!$C$7,D2999)),Assumptions!$D$7,"Other Services"))),"Other Services"))</f>
        <v/>
      </c>
    </row>
    <row r="3000" customFormat="false" ht="15" hidden="false" customHeight="false" outlineLevel="0" collapsed="false">
      <c r="J3000" s="41" t="str">
        <f aca="false">IF(D3000="","",IFERROR(IF(ISNUMBER(SEARCH(Assumptions!$C$5,D3000)),Assumptions!$D$5,IF(ISNUMBER(SEARCH(Assumptions!$C$6,D3000)),Assumptions!$D$6,IF(ISNUMBER(SEARCH(Assumptions!$C$7,D3000)),Assumptions!$D$7,"Other Services"))),"Other Services"))</f>
        <v/>
      </c>
    </row>
    <row r="3001" customFormat="false" ht="15" hidden="false" customHeight="false" outlineLevel="0" collapsed="false">
      <c r="J3001" s="41" t="str">
        <f aca="false">IF(D3001="","",IFERROR(IF(ISNUMBER(SEARCH(Assumptions!$C$5,D3001)),Assumptions!$D$5,IF(ISNUMBER(SEARCH(Assumptions!$C$6,D3001)),Assumptions!$D$6,IF(ISNUMBER(SEARCH(Assumptions!$C$7,D3001)),Assumptions!$D$7,"Other Services"))),"Other Services"))</f>
        <v/>
      </c>
    </row>
    <row r="3002" customFormat="false" ht="15" hidden="false" customHeight="false" outlineLevel="0" collapsed="false">
      <c r="J3002" s="41" t="str">
        <f aca="false">IF(D3002="","",IFERROR(IF(ISNUMBER(SEARCH(Assumptions!$C$5,D3002)),Assumptions!$D$5,IF(ISNUMBER(SEARCH(Assumptions!$C$6,D3002)),Assumptions!$D$6,IF(ISNUMBER(SEARCH(Assumptions!$C$7,D3002)),Assumptions!$D$7,"Other Services"))),"Other Services"))</f>
        <v/>
      </c>
    </row>
    <row r="3003" customFormat="false" ht="15" hidden="false" customHeight="false" outlineLevel="0" collapsed="false">
      <c r="J3003" s="41" t="str">
        <f aca="false">IF(D3003="","",IFERROR(IF(ISNUMBER(SEARCH(Assumptions!$C$5,D3003)),Assumptions!$D$5,IF(ISNUMBER(SEARCH(Assumptions!$C$6,D3003)),Assumptions!$D$6,IF(ISNUMBER(SEARCH(Assumptions!$C$7,D3003)),Assumptions!$D$7,"Other Services"))),"Other Services"))</f>
        <v/>
      </c>
    </row>
    <row r="3004" customFormat="false" ht="15" hidden="false" customHeight="false" outlineLevel="0" collapsed="false">
      <c r="J3004" s="41" t="str">
        <f aca="false">IF(D3004="","",IFERROR(IF(ISNUMBER(SEARCH(Assumptions!$C$5,D3004)),Assumptions!$D$5,IF(ISNUMBER(SEARCH(Assumptions!$C$6,D3004)),Assumptions!$D$6,IF(ISNUMBER(SEARCH(Assumptions!$C$7,D3004)),Assumptions!$D$7,"Other Services"))),"Other Services"))</f>
        <v/>
      </c>
    </row>
    <row r="3005" customFormat="false" ht="15" hidden="false" customHeight="false" outlineLevel="0" collapsed="false">
      <c r="J3005" s="41" t="str">
        <f aca="false">IF(D3005="","",IFERROR(IF(ISNUMBER(SEARCH(Assumptions!$C$5,D3005)),Assumptions!$D$5,IF(ISNUMBER(SEARCH(Assumptions!$C$6,D3005)),Assumptions!$D$6,IF(ISNUMBER(SEARCH(Assumptions!$C$7,D3005)),Assumptions!$D$7,"Other Services"))),"Other Services"))</f>
        <v/>
      </c>
    </row>
    <row r="3006" customFormat="false" ht="15" hidden="false" customHeight="false" outlineLevel="0" collapsed="false">
      <c r="J3006" s="41" t="str">
        <f aca="false">IF(D3006="","",IFERROR(IF(ISNUMBER(SEARCH(Assumptions!$C$5,D3006)),Assumptions!$D$5,IF(ISNUMBER(SEARCH(Assumptions!$C$6,D3006)),Assumptions!$D$6,IF(ISNUMBER(SEARCH(Assumptions!$C$7,D3006)),Assumptions!$D$7,"Other Services"))),"Other Services"))</f>
        <v/>
      </c>
    </row>
    <row r="3007" customFormat="false" ht="15" hidden="false" customHeight="false" outlineLevel="0" collapsed="false">
      <c r="J3007" s="41" t="str">
        <f aca="false">IF(D3007="","",IFERROR(IF(ISNUMBER(SEARCH(Assumptions!$C$5,D3007)),Assumptions!$D$5,IF(ISNUMBER(SEARCH(Assumptions!$C$6,D3007)),Assumptions!$D$6,IF(ISNUMBER(SEARCH(Assumptions!$C$7,D3007)),Assumptions!$D$7,"Other Services"))),"Other Services"))</f>
        <v/>
      </c>
    </row>
    <row r="3008" customFormat="false" ht="15" hidden="false" customHeight="false" outlineLevel="0" collapsed="false">
      <c r="J3008" s="41" t="str">
        <f aca="false">IF(D3008="","",IFERROR(IF(ISNUMBER(SEARCH(Assumptions!$C$5,D3008)),Assumptions!$D$5,IF(ISNUMBER(SEARCH(Assumptions!$C$6,D3008)),Assumptions!$D$6,IF(ISNUMBER(SEARCH(Assumptions!$C$7,D3008)),Assumptions!$D$7,"Other Services"))),"Other Services"))</f>
        <v/>
      </c>
    </row>
    <row r="3009" customFormat="false" ht="15" hidden="false" customHeight="false" outlineLevel="0" collapsed="false">
      <c r="J3009" s="41" t="str">
        <f aca="false">IF(D3009="","",IFERROR(IF(ISNUMBER(SEARCH(Assumptions!$C$5,D3009)),Assumptions!$D$5,IF(ISNUMBER(SEARCH(Assumptions!$C$6,D3009)),Assumptions!$D$6,IF(ISNUMBER(SEARCH(Assumptions!$C$7,D3009)),Assumptions!$D$7,"Other Services"))),"Other Services"))</f>
        <v/>
      </c>
    </row>
    <row r="3010" customFormat="false" ht="15" hidden="false" customHeight="false" outlineLevel="0" collapsed="false">
      <c r="J3010" s="41" t="str">
        <f aca="false">IF(D3010="","",IFERROR(IF(ISNUMBER(SEARCH(Assumptions!$C$5,D3010)),Assumptions!$D$5,IF(ISNUMBER(SEARCH(Assumptions!$C$6,D3010)),Assumptions!$D$6,IF(ISNUMBER(SEARCH(Assumptions!$C$7,D3010)),Assumptions!$D$7,"Other Services"))),"Other Services"))</f>
        <v/>
      </c>
    </row>
    <row r="3011" customFormat="false" ht="15" hidden="false" customHeight="false" outlineLevel="0" collapsed="false">
      <c r="J3011" s="41" t="str">
        <f aca="false">IF(D3011="","",IFERROR(IF(ISNUMBER(SEARCH(Assumptions!$C$5,D3011)),Assumptions!$D$5,IF(ISNUMBER(SEARCH(Assumptions!$C$6,D3011)),Assumptions!$D$6,IF(ISNUMBER(SEARCH(Assumptions!$C$7,D3011)),Assumptions!$D$7,"Other Services"))),"Other Services"))</f>
        <v/>
      </c>
    </row>
    <row r="3012" customFormat="false" ht="15" hidden="false" customHeight="false" outlineLevel="0" collapsed="false">
      <c r="J3012" s="41" t="str">
        <f aca="false">IF(D3012="","",IFERROR(IF(ISNUMBER(SEARCH(Assumptions!$C$5,D3012)),Assumptions!$D$5,IF(ISNUMBER(SEARCH(Assumptions!$C$6,D3012)),Assumptions!$D$6,IF(ISNUMBER(SEARCH(Assumptions!$C$7,D3012)),Assumptions!$D$7,"Other Services"))),"Other Services"))</f>
        <v/>
      </c>
    </row>
    <row r="3013" customFormat="false" ht="15" hidden="false" customHeight="false" outlineLevel="0" collapsed="false">
      <c r="J3013" s="41" t="str">
        <f aca="false">IF(D3013="","",IFERROR(IF(ISNUMBER(SEARCH(Assumptions!$C$5,D3013)),Assumptions!$D$5,IF(ISNUMBER(SEARCH(Assumptions!$C$6,D3013)),Assumptions!$D$6,IF(ISNUMBER(SEARCH(Assumptions!$C$7,D3013)),Assumptions!$D$7,"Other Services"))),"Other Services"))</f>
        <v/>
      </c>
    </row>
    <row r="3014" customFormat="false" ht="15" hidden="false" customHeight="false" outlineLevel="0" collapsed="false">
      <c r="J3014" s="41" t="str">
        <f aca="false">IF(D3014="","",IFERROR(IF(ISNUMBER(SEARCH(Assumptions!$C$5,D3014)),Assumptions!$D$5,IF(ISNUMBER(SEARCH(Assumptions!$C$6,D3014)),Assumptions!$D$6,IF(ISNUMBER(SEARCH(Assumptions!$C$7,D3014)),Assumptions!$D$7,"Other Services"))),"Other Services"))</f>
        <v/>
      </c>
    </row>
    <row r="3015" customFormat="false" ht="15" hidden="false" customHeight="false" outlineLevel="0" collapsed="false">
      <c r="J3015" s="41" t="str">
        <f aca="false">IF(D3015="","",IFERROR(IF(ISNUMBER(SEARCH(Assumptions!$C$5,D3015)),Assumptions!$D$5,IF(ISNUMBER(SEARCH(Assumptions!$C$6,D3015)),Assumptions!$D$6,IF(ISNUMBER(SEARCH(Assumptions!$C$7,D3015)),Assumptions!$D$7,"Other Services"))),"Other Services"))</f>
        <v/>
      </c>
    </row>
    <row r="3016" customFormat="false" ht="15" hidden="false" customHeight="false" outlineLevel="0" collapsed="false">
      <c r="J3016" s="41" t="str">
        <f aca="false">IF(D3016="","",IFERROR(IF(ISNUMBER(SEARCH(Assumptions!$C$5,D3016)),Assumptions!$D$5,IF(ISNUMBER(SEARCH(Assumptions!$C$6,D3016)),Assumptions!$D$6,IF(ISNUMBER(SEARCH(Assumptions!$C$7,D3016)),Assumptions!$D$7,"Other Services"))),"Other Services"))</f>
        <v/>
      </c>
    </row>
    <row r="3017" customFormat="false" ht="15" hidden="false" customHeight="false" outlineLevel="0" collapsed="false">
      <c r="J3017" s="41" t="str">
        <f aca="false">IF(D3017="","",IFERROR(IF(ISNUMBER(SEARCH(Assumptions!$C$5,D3017)),Assumptions!$D$5,IF(ISNUMBER(SEARCH(Assumptions!$C$6,D3017)),Assumptions!$D$6,IF(ISNUMBER(SEARCH(Assumptions!$C$7,D3017)),Assumptions!$D$7,"Other Services"))),"Other Services"))</f>
        <v/>
      </c>
    </row>
    <row r="3018" customFormat="false" ht="15" hidden="false" customHeight="false" outlineLevel="0" collapsed="false">
      <c r="J3018" s="41" t="str">
        <f aca="false">IF(D3018="","",IFERROR(IF(ISNUMBER(SEARCH(Assumptions!$C$5,D3018)),Assumptions!$D$5,IF(ISNUMBER(SEARCH(Assumptions!$C$6,D3018)),Assumptions!$D$6,IF(ISNUMBER(SEARCH(Assumptions!$C$7,D3018)),Assumptions!$D$7,"Other Services"))),"Other Services"))</f>
        <v/>
      </c>
    </row>
    <row r="3019" customFormat="false" ht="15" hidden="false" customHeight="false" outlineLevel="0" collapsed="false">
      <c r="J3019" s="41" t="str">
        <f aca="false">IF(D3019="","",IFERROR(IF(ISNUMBER(SEARCH(Assumptions!$C$5,D3019)),Assumptions!$D$5,IF(ISNUMBER(SEARCH(Assumptions!$C$6,D3019)),Assumptions!$D$6,IF(ISNUMBER(SEARCH(Assumptions!$C$7,D3019)),Assumptions!$D$7,"Other Services"))),"Other Services"))</f>
        <v/>
      </c>
    </row>
    <row r="3020" customFormat="false" ht="15" hidden="false" customHeight="false" outlineLevel="0" collapsed="false">
      <c r="J3020" s="41" t="str">
        <f aca="false">IF(D3020="","",IFERROR(IF(ISNUMBER(SEARCH(Assumptions!$C$5,D3020)),Assumptions!$D$5,IF(ISNUMBER(SEARCH(Assumptions!$C$6,D3020)),Assumptions!$D$6,IF(ISNUMBER(SEARCH(Assumptions!$C$7,D3020)),Assumptions!$D$7,"Other Services"))),"Other Services"))</f>
        <v/>
      </c>
    </row>
    <row r="3021" customFormat="false" ht="15" hidden="false" customHeight="false" outlineLevel="0" collapsed="false">
      <c r="J3021" s="41" t="str">
        <f aca="false">IF(D3021="","",IFERROR(IF(ISNUMBER(SEARCH(Assumptions!$C$5,D3021)),Assumptions!$D$5,IF(ISNUMBER(SEARCH(Assumptions!$C$6,D3021)),Assumptions!$D$6,IF(ISNUMBER(SEARCH(Assumptions!$C$7,D3021)),Assumptions!$D$7,"Other Services"))),"Other Services"))</f>
        <v/>
      </c>
    </row>
    <row r="3022" customFormat="false" ht="15" hidden="false" customHeight="false" outlineLevel="0" collapsed="false">
      <c r="J3022" s="41" t="str">
        <f aca="false">IF(D3022="","",IFERROR(IF(ISNUMBER(SEARCH(Assumptions!$C$5,D3022)),Assumptions!$D$5,IF(ISNUMBER(SEARCH(Assumptions!$C$6,D3022)),Assumptions!$D$6,IF(ISNUMBER(SEARCH(Assumptions!$C$7,D3022)),Assumptions!$D$7,"Other Services"))),"Other Services"))</f>
        <v/>
      </c>
    </row>
    <row r="3023" customFormat="false" ht="15" hidden="false" customHeight="false" outlineLevel="0" collapsed="false">
      <c r="J3023" s="41" t="str">
        <f aca="false">IF(D3023="","",IFERROR(IF(ISNUMBER(SEARCH(Assumptions!$C$5,D3023)),Assumptions!$D$5,IF(ISNUMBER(SEARCH(Assumptions!$C$6,D3023)),Assumptions!$D$6,IF(ISNUMBER(SEARCH(Assumptions!$C$7,D3023)),Assumptions!$D$7,"Other Services"))),"Other Services"))</f>
        <v/>
      </c>
    </row>
    <row r="3024" customFormat="false" ht="15" hidden="false" customHeight="false" outlineLevel="0" collapsed="false">
      <c r="J3024" s="41" t="str">
        <f aca="false">IF(D3024="","",IFERROR(IF(ISNUMBER(SEARCH(Assumptions!$C$5,D3024)),Assumptions!$D$5,IF(ISNUMBER(SEARCH(Assumptions!$C$6,D3024)),Assumptions!$D$6,IF(ISNUMBER(SEARCH(Assumptions!$C$7,D3024)),Assumptions!$D$7,"Other Services"))),"Other Services"))</f>
        <v/>
      </c>
    </row>
    <row r="3025" customFormat="false" ht="15" hidden="false" customHeight="false" outlineLevel="0" collapsed="false">
      <c r="J3025" s="41" t="str">
        <f aca="false">IF(D3025="","",IFERROR(IF(ISNUMBER(SEARCH(Assumptions!$C$5,D3025)),Assumptions!$D$5,IF(ISNUMBER(SEARCH(Assumptions!$C$6,D3025)),Assumptions!$D$6,IF(ISNUMBER(SEARCH(Assumptions!$C$7,D3025)),Assumptions!$D$7,"Other Services"))),"Other Services"))</f>
        <v/>
      </c>
    </row>
    <row r="3026" customFormat="false" ht="15" hidden="false" customHeight="false" outlineLevel="0" collapsed="false">
      <c r="J3026" s="41" t="str">
        <f aca="false">IF(D3026="","",IFERROR(IF(ISNUMBER(SEARCH(Assumptions!$C$5,D3026)),Assumptions!$D$5,IF(ISNUMBER(SEARCH(Assumptions!$C$6,D3026)),Assumptions!$D$6,IF(ISNUMBER(SEARCH(Assumptions!$C$7,D3026)),Assumptions!$D$7,"Other Services"))),"Other Services"))</f>
        <v/>
      </c>
    </row>
    <row r="3027" customFormat="false" ht="15" hidden="false" customHeight="false" outlineLevel="0" collapsed="false">
      <c r="J3027" s="41" t="str">
        <f aca="false">IF(D3027="","",IFERROR(IF(ISNUMBER(SEARCH(Assumptions!$C$5,D3027)),Assumptions!$D$5,IF(ISNUMBER(SEARCH(Assumptions!$C$6,D3027)),Assumptions!$D$6,IF(ISNUMBER(SEARCH(Assumptions!$C$7,D3027)),Assumptions!$D$7,"Other Services"))),"Other Services"))</f>
        <v/>
      </c>
    </row>
    <row r="3028" customFormat="false" ht="15" hidden="false" customHeight="false" outlineLevel="0" collapsed="false">
      <c r="J3028" s="41" t="str">
        <f aca="false">IF(D3028="","",IFERROR(IF(ISNUMBER(SEARCH(Assumptions!$C$5,D3028)),Assumptions!$D$5,IF(ISNUMBER(SEARCH(Assumptions!$C$6,D3028)),Assumptions!$D$6,IF(ISNUMBER(SEARCH(Assumptions!$C$7,D3028)),Assumptions!$D$7,"Other Services"))),"Other Services"))</f>
        <v/>
      </c>
    </row>
    <row r="3029" customFormat="false" ht="15" hidden="false" customHeight="false" outlineLevel="0" collapsed="false">
      <c r="J3029" s="41" t="str">
        <f aca="false">IF(D3029="","",IFERROR(IF(ISNUMBER(SEARCH(Assumptions!$C$5,D3029)),Assumptions!$D$5,IF(ISNUMBER(SEARCH(Assumptions!$C$6,D3029)),Assumptions!$D$6,IF(ISNUMBER(SEARCH(Assumptions!$C$7,D3029)),Assumptions!$D$7,"Other Services"))),"Other Services"))</f>
        <v/>
      </c>
    </row>
    <row r="3030" customFormat="false" ht="15" hidden="false" customHeight="false" outlineLevel="0" collapsed="false">
      <c r="J3030" s="41" t="str">
        <f aca="false">IF(D3030="","",IFERROR(IF(ISNUMBER(SEARCH(Assumptions!$C$5,D3030)),Assumptions!$D$5,IF(ISNUMBER(SEARCH(Assumptions!$C$6,D3030)),Assumptions!$D$6,IF(ISNUMBER(SEARCH(Assumptions!$C$7,D3030)),Assumptions!$D$7,"Other Services"))),"Other Services"))</f>
        <v/>
      </c>
    </row>
    <row r="3031" customFormat="false" ht="15" hidden="false" customHeight="false" outlineLevel="0" collapsed="false">
      <c r="J3031" s="41" t="str">
        <f aca="false">IF(D3031="","",IFERROR(IF(ISNUMBER(SEARCH(Assumptions!$C$5,D3031)),Assumptions!$D$5,IF(ISNUMBER(SEARCH(Assumptions!$C$6,D3031)),Assumptions!$D$6,IF(ISNUMBER(SEARCH(Assumptions!$C$7,D3031)),Assumptions!$D$7,"Other Services"))),"Other Services"))</f>
        <v/>
      </c>
    </row>
    <row r="3032" customFormat="false" ht="15" hidden="false" customHeight="false" outlineLevel="0" collapsed="false">
      <c r="J3032" s="41" t="str">
        <f aca="false">IF(D3032="","",IFERROR(IF(ISNUMBER(SEARCH(Assumptions!$C$5,D3032)),Assumptions!$D$5,IF(ISNUMBER(SEARCH(Assumptions!$C$6,D3032)),Assumptions!$D$6,IF(ISNUMBER(SEARCH(Assumptions!$C$7,D3032)),Assumptions!$D$7,"Other Services"))),"Other Services"))</f>
        <v/>
      </c>
    </row>
    <row r="3033" customFormat="false" ht="15" hidden="false" customHeight="false" outlineLevel="0" collapsed="false">
      <c r="J3033" s="41" t="str">
        <f aca="false">IF(D3033="","",IFERROR(IF(ISNUMBER(SEARCH(Assumptions!$C$5,D3033)),Assumptions!$D$5,IF(ISNUMBER(SEARCH(Assumptions!$C$6,D3033)),Assumptions!$D$6,IF(ISNUMBER(SEARCH(Assumptions!$C$7,D3033)),Assumptions!$D$7,"Other Services"))),"Other Services"))</f>
        <v/>
      </c>
    </row>
    <row r="3034" customFormat="false" ht="15" hidden="false" customHeight="false" outlineLevel="0" collapsed="false">
      <c r="J3034" s="41" t="str">
        <f aca="false">IF(D3034="","",IFERROR(IF(ISNUMBER(SEARCH(Assumptions!$C$5,D3034)),Assumptions!$D$5,IF(ISNUMBER(SEARCH(Assumptions!$C$6,D3034)),Assumptions!$D$6,IF(ISNUMBER(SEARCH(Assumptions!$C$7,D3034)),Assumptions!$D$7,"Other Services"))),"Other Services"))</f>
        <v/>
      </c>
    </row>
    <row r="3035" customFormat="false" ht="15" hidden="false" customHeight="false" outlineLevel="0" collapsed="false">
      <c r="J3035" s="41" t="str">
        <f aca="false">IF(D3035="","",IFERROR(IF(ISNUMBER(SEARCH(Assumptions!$C$5,D3035)),Assumptions!$D$5,IF(ISNUMBER(SEARCH(Assumptions!$C$6,D3035)),Assumptions!$D$6,IF(ISNUMBER(SEARCH(Assumptions!$C$7,D3035)),Assumptions!$D$7,"Other Services"))),"Other Services"))</f>
        <v/>
      </c>
    </row>
    <row r="3036" customFormat="false" ht="15" hidden="false" customHeight="false" outlineLevel="0" collapsed="false">
      <c r="J3036" s="41" t="str">
        <f aca="false">IF(D3036="","",IFERROR(IF(ISNUMBER(SEARCH(Assumptions!$C$5,D3036)),Assumptions!$D$5,IF(ISNUMBER(SEARCH(Assumptions!$C$6,D3036)),Assumptions!$D$6,IF(ISNUMBER(SEARCH(Assumptions!$C$7,D3036)),Assumptions!$D$7,"Other Services"))),"Other Services"))</f>
        <v/>
      </c>
    </row>
    <row r="3037" customFormat="false" ht="15" hidden="false" customHeight="false" outlineLevel="0" collapsed="false">
      <c r="J3037" s="41" t="str">
        <f aca="false">IF(D3037="","",IFERROR(IF(ISNUMBER(SEARCH(Assumptions!$C$5,D3037)),Assumptions!$D$5,IF(ISNUMBER(SEARCH(Assumptions!$C$6,D3037)),Assumptions!$D$6,IF(ISNUMBER(SEARCH(Assumptions!$C$7,D3037)),Assumptions!$D$7,"Other Services"))),"Other Services"))</f>
        <v/>
      </c>
    </row>
    <row r="3038" customFormat="false" ht="15" hidden="false" customHeight="false" outlineLevel="0" collapsed="false">
      <c r="J3038" s="41" t="str">
        <f aca="false">IF(D3038="","",IFERROR(IF(ISNUMBER(SEARCH(Assumptions!$C$5,D3038)),Assumptions!$D$5,IF(ISNUMBER(SEARCH(Assumptions!$C$6,D3038)),Assumptions!$D$6,IF(ISNUMBER(SEARCH(Assumptions!$C$7,D3038)),Assumptions!$D$7,"Other Services"))),"Other Services"))</f>
        <v/>
      </c>
    </row>
    <row r="3039" customFormat="false" ht="15" hidden="false" customHeight="false" outlineLevel="0" collapsed="false">
      <c r="J3039" s="41" t="str">
        <f aca="false">IF(D3039="","",IFERROR(IF(ISNUMBER(SEARCH(Assumptions!$C$5,D3039)),Assumptions!$D$5,IF(ISNUMBER(SEARCH(Assumptions!$C$6,D3039)),Assumptions!$D$6,IF(ISNUMBER(SEARCH(Assumptions!$C$7,D3039)),Assumptions!$D$7,"Other Services"))),"Other Services"))</f>
        <v/>
      </c>
    </row>
    <row r="3040" customFormat="false" ht="15" hidden="false" customHeight="false" outlineLevel="0" collapsed="false">
      <c r="J3040" s="41" t="str">
        <f aca="false">IF(D3040="","",IFERROR(IF(ISNUMBER(SEARCH(Assumptions!$C$5,D3040)),Assumptions!$D$5,IF(ISNUMBER(SEARCH(Assumptions!$C$6,D3040)),Assumptions!$D$6,IF(ISNUMBER(SEARCH(Assumptions!$C$7,D3040)),Assumptions!$D$7,"Other Services"))),"Other Services"))</f>
        <v/>
      </c>
    </row>
    <row r="3041" customFormat="false" ht="15" hidden="false" customHeight="false" outlineLevel="0" collapsed="false">
      <c r="J3041" s="41" t="str">
        <f aca="false">IF(D3041="","",IFERROR(IF(ISNUMBER(SEARCH(Assumptions!$C$5,D3041)),Assumptions!$D$5,IF(ISNUMBER(SEARCH(Assumptions!$C$6,D3041)),Assumptions!$D$6,IF(ISNUMBER(SEARCH(Assumptions!$C$7,D3041)),Assumptions!$D$7,"Other Services"))),"Other Services"))</f>
        <v/>
      </c>
    </row>
    <row r="3042" customFormat="false" ht="15" hidden="false" customHeight="false" outlineLevel="0" collapsed="false">
      <c r="J3042" s="41" t="str">
        <f aca="false">IF(D3042="","",IFERROR(IF(ISNUMBER(SEARCH(Assumptions!$C$5,D3042)),Assumptions!$D$5,IF(ISNUMBER(SEARCH(Assumptions!$C$6,D3042)),Assumptions!$D$6,IF(ISNUMBER(SEARCH(Assumptions!$C$7,D3042)),Assumptions!$D$7,"Other Services"))),"Other Services"))</f>
        <v/>
      </c>
    </row>
    <row r="3043" customFormat="false" ht="15" hidden="false" customHeight="false" outlineLevel="0" collapsed="false">
      <c r="J3043" s="41" t="str">
        <f aca="false">IF(D3043="","",IFERROR(IF(ISNUMBER(SEARCH(Assumptions!$C$5,D3043)),Assumptions!$D$5,IF(ISNUMBER(SEARCH(Assumptions!$C$6,D3043)),Assumptions!$D$6,IF(ISNUMBER(SEARCH(Assumptions!$C$7,D3043)),Assumptions!$D$7,"Other Services"))),"Other Services"))</f>
        <v/>
      </c>
    </row>
    <row r="3044" customFormat="false" ht="15" hidden="false" customHeight="false" outlineLevel="0" collapsed="false">
      <c r="J3044" s="41" t="str">
        <f aca="false">IF(D3044="","",IFERROR(IF(ISNUMBER(SEARCH(Assumptions!$C$5,D3044)),Assumptions!$D$5,IF(ISNUMBER(SEARCH(Assumptions!$C$6,D3044)),Assumptions!$D$6,IF(ISNUMBER(SEARCH(Assumptions!$C$7,D3044)),Assumptions!$D$7,"Other Services"))),"Other Services"))</f>
        <v/>
      </c>
    </row>
    <row r="3045" customFormat="false" ht="15" hidden="false" customHeight="false" outlineLevel="0" collapsed="false">
      <c r="J3045" s="41" t="str">
        <f aca="false">IF(D3045="","",IFERROR(IF(ISNUMBER(SEARCH(Assumptions!$C$5,D3045)),Assumptions!$D$5,IF(ISNUMBER(SEARCH(Assumptions!$C$6,D3045)),Assumptions!$D$6,IF(ISNUMBER(SEARCH(Assumptions!$C$7,D3045)),Assumptions!$D$7,"Other Services"))),"Other Services"))</f>
        <v/>
      </c>
    </row>
    <row r="3046" customFormat="false" ht="15" hidden="false" customHeight="false" outlineLevel="0" collapsed="false">
      <c r="J3046" s="41" t="str">
        <f aca="false">IF(D3046="","",IFERROR(IF(ISNUMBER(SEARCH(Assumptions!$C$5,D3046)),Assumptions!$D$5,IF(ISNUMBER(SEARCH(Assumptions!$C$6,D3046)),Assumptions!$D$6,IF(ISNUMBER(SEARCH(Assumptions!$C$7,D3046)),Assumptions!$D$7,"Other Services"))),"Other Services"))</f>
        <v/>
      </c>
    </row>
    <row r="3047" customFormat="false" ht="15" hidden="false" customHeight="false" outlineLevel="0" collapsed="false">
      <c r="J3047" s="41" t="str">
        <f aca="false">IF(D3047="","",IFERROR(IF(ISNUMBER(SEARCH(Assumptions!$C$5,D3047)),Assumptions!$D$5,IF(ISNUMBER(SEARCH(Assumptions!$C$6,D3047)),Assumptions!$D$6,IF(ISNUMBER(SEARCH(Assumptions!$C$7,D3047)),Assumptions!$D$7,"Other Services"))),"Other Services"))</f>
        <v/>
      </c>
    </row>
    <row r="3048" customFormat="false" ht="15" hidden="false" customHeight="false" outlineLevel="0" collapsed="false">
      <c r="J3048" s="41" t="str">
        <f aca="false">IF(D3048="","",IFERROR(IF(ISNUMBER(SEARCH(Assumptions!$C$5,D3048)),Assumptions!$D$5,IF(ISNUMBER(SEARCH(Assumptions!$C$6,D3048)),Assumptions!$D$6,IF(ISNUMBER(SEARCH(Assumptions!$C$7,D3048)),Assumptions!$D$7,"Other Services"))),"Other Services"))</f>
        <v/>
      </c>
    </row>
    <row r="3049" customFormat="false" ht="15" hidden="false" customHeight="false" outlineLevel="0" collapsed="false">
      <c r="J3049" s="41" t="str">
        <f aca="false">IF(D3049="","",IFERROR(IF(ISNUMBER(SEARCH(Assumptions!$C$5,D3049)),Assumptions!$D$5,IF(ISNUMBER(SEARCH(Assumptions!$C$6,D3049)),Assumptions!$D$6,IF(ISNUMBER(SEARCH(Assumptions!$C$7,D3049)),Assumptions!$D$7,"Other Services"))),"Other Services"))</f>
        <v/>
      </c>
    </row>
    <row r="3050" customFormat="false" ht="15" hidden="false" customHeight="false" outlineLevel="0" collapsed="false">
      <c r="J3050" s="41" t="str">
        <f aca="false">IF(D3050="","",IFERROR(IF(ISNUMBER(SEARCH(Assumptions!$C$5,D3050)),Assumptions!$D$5,IF(ISNUMBER(SEARCH(Assumptions!$C$6,D3050)),Assumptions!$D$6,IF(ISNUMBER(SEARCH(Assumptions!$C$7,D3050)),Assumptions!$D$7,"Other Services"))),"Other Services"))</f>
        <v/>
      </c>
    </row>
    <row r="3051" customFormat="false" ht="15" hidden="false" customHeight="false" outlineLevel="0" collapsed="false">
      <c r="J3051" s="41" t="str">
        <f aca="false">IF(D3051="","",IFERROR(IF(ISNUMBER(SEARCH(Assumptions!$C$5,D3051)),Assumptions!$D$5,IF(ISNUMBER(SEARCH(Assumptions!$C$6,D3051)),Assumptions!$D$6,IF(ISNUMBER(SEARCH(Assumptions!$C$7,D3051)),Assumptions!$D$7,"Other Services"))),"Other Services"))</f>
        <v/>
      </c>
    </row>
    <row r="3052" customFormat="false" ht="15" hidden="false" customHeight="false" outlineLevel="0" collapsed="false">
      <c r="J3052" s="41" t="str">
        <f aca="false">IF(D3052="","",IFERROR(IF(ISNUMBER(SEARCH(Assumptions!$C$5,D3052)),Assumptions!$D$5,IF(ISNUMBER(SEARCH(Assumptions!$C$6,D3052)),Assumptions!$D$6,IF(ISNUMBER(SEARCH(Assumptions!$C$7,D3052)),Assumptions!$D$7,"Other Services"))),"Other Services"))</f>
        <v/>
      </c>
    </row>
    <row r="3053" customFormat="false" ht="15" hidden="false" customHeight="false" outlineLevel="0" collapsed="false">
      <c r="J3053" s="41" t="str">
        <f aca="false">IF(D3053="","",IFERROR(IF(ISNUMBER(SEARCH(Assumptions!$C$5,D3053)),Assumptions!$D$5,IF(ISNUMBER(SEARCH(Assumptions!$C$6,D3053)),Assumptions!$D$6,IF(ISNUMBER(SEARCH(Assumptions!$C$7,D3053)),Assumptions!$D$7,"Other Services"))),"Other Services"))</f>
        <v/>
      </c>
    </row>
    <row r="3054" customFormat="false" ht="15" hidden="false" customHeight="false" outlineLevel="0" collapsed="false">
      <c r="J3054" s="41" t="str">
        <f aca="false">IF(D3054="","",IFERROR(IF(ISNUMBER(SEARCH(Assumptions!$C$5,D3054)),Assumptions!$D$5,IF(ISNUMBER(SEARCH(Assumptions!$C$6,D3054)),Assumptions!$D$6,IF(ISNUMBER(SEARCH(Assumptions!$C$7,D3054)),Assumptions!$D$7,"Other Services"))),"Other Services"))</f>
        <v/>
      </c>
    </row>
    <row r="3055" customFormat="false" ht="15" hidden="false" customHeight="false" outlineLevel="0" collapsed="false">
      <c r="J3055" s="41" t="str">
        <f aca="false">IF(D3055="","",IFERROR(IF(ISNUMBER(SEARCH(Assumptions!$C$5,D3055)),Assumptions!$D$5,IF(ISNUMBER(SEARCH(Assumptions!$C$6,D3055)),Assumptions!$D$6,IF(ISNUMBER(SEARCH(Assumptions!$C$7,D3055)),Assumptions!$D$7,"Other Services"))),"Other Services"))</f>
        <v/>
      </c>
    </row>
    <row r="3056" customFormat="false" ht="15" hidden="false" customHeight="false" outlineLevel="0" collapsed="false">
      <c r="J3056" s="41" t="str">
        <f aca="false">IF(D3056="","",IFERROR(IF(ISNUMBER(SEARCH(Assumptions!$C$5,D3056)),Assumptions!$D$5,IF(ISNUMBER(SEARCH(Assumptions!$C$6,D3056)),Assumptions!$D$6,IF(ISNUMBER(SEARCH(Assumptions!$C$7,D3056)),Assumptions!$D$7,"Other Services"))),"Other Services"))</f>
        <v/>
      </c>
    </row>
    <row r="3057" customFormat="false" ht="15" hidden="false" customHeight="false" outlineLevel="0" collapsed="false">
      <c r="J3057" s="41" t="str">
        <f aca="false">IF(D3057="","",IFERROR(IF(ISNUMBER(SEARCH(Assumptions!$C$5,D3057)),Assumptions!$D$5,IF(ISNUMBER(SEARCH(Assumptions!$C$6,D3057)),Assumptions!$D$6,IF(ISNUMBER(SEARCH(Assumptions!$C$7,D3057)),Assumptions!$D$7,"Other Services"))),"Other Services"))</f>
        <v/>
      </c>
    </row>
    <row r="3058" customFormat="false" ht="15" hidden="false" customHeight="false" outlineLevel="0" collapsed="false">
      <c r="J3058" s="41" t="str">
        <f aca="false">IF(D3058="","",IFERROR(IF(ISNUMBER(SEARCH(Assumptions!$C$5,D3058)),Assumptions!$D$5,IF(ISNUMBER(SEARCH(Assumptions!$C$6,D3058)),Assumptions!$D$6,IF(ISNUMBER(SEARCH(Assumptions!$C$7,D3058)),Assumptions!$D$7,"Other Services"))),"Other Services"))</f>
        <v/>
      </c>
    </row>
    <row r="3059" customFormat="false" ht="15" hidden="false" customHeight="false" outlineLevel="0" collapsed="false">
      <c r="J3059" s="41" t="str">
        <f aca="false">IF(D3059="","",IFERROR(IF(ISNUMBER(SEARCH(Assumptions!$C$5,D3059)),Assumptions!$D$5,IF(ISNUMBER(SEARCH(Assumptions!$C$6,D3059)),Assumptions!$D$6,IF(ISNUMBER(SEARCH(Assumptions!$C$7,D3059)),Assumptions!$D$7,"Other Services"))),"Other Services"))</f>
        <v/>
      </c>
    </row>
    <row r="3060" customFormat="false" ht="15" hidden="false" customHeight="false" outlineLevel="0" collapsed="false">
      <c r="J3060" s="41" t="str">
        <f aca="false">IF(D3060="","",IFERROR(IF(ISNUMBER(SEARCH(Assumptions!$C$5,D3060)),Assumptions!$D$5,IF(ISNUMBER(SEARCH(Assumptions!$C$6,D3060)),Assumptions!$D$6,IF(ISNUMBER(SEARCH(Assumptions!$C$7,D3060)),Assumptions!$D$7,"Other Services"))),"Other Services"))</f>
        <v/>
      </c>
    </row>
    <row r="3061" customFormat="false" ht="15" hidden="false" customHeight="false" outlineLevel="0" collapsed="false">
      <c r="J3061" s="41" t="str">
        <f aca="false">IF(D3061="","",IFERROR(IF(ISNUMBER(SEARCH(Assumptions!$C$5,D3061)),Assumptions!$D$5,IF(ISNUMBER(SEARCH(Assumptions!$C$6,D3061)),Assumptions!$D$6,IF(ISNUMBER(SEARCH(Assumptions!$C$7,D3061)),Assumptions!$D$7,"Other Services"))),"Other Services"))</f>
        <v/>
      </c>
    </row>
    <row r="3062" customFormat="false" ht="15" hidden="false" customHeight="false" outlineLevel="0" collapsed="false">
      <c r="J3062" s="41" t="str">
        <f aca="false">IF(D3062="","",IFERROR(IF(ISNUMBER(SEARCH(Assumptions!$C$5,D3062)),Assumptions!$D$5,IF(ISNUMBER(SEARCH(Assumptions!$C$6,D3062)),Assumptions!$D$6,IF(ISNUMBER(SEARCH(Assumptions!$C$7,D3062)),Assumptions!$D$7,"Other Services"))),"Other Services"))</f>
        <v/>
      </c>
    </row>
    <row r="3063" customFormat="false" ht="15" hidden="false" customHeight="false" outlineLevel="0" collapsed="false">
      <c r="J3063" s="41" t="str">
        <f aca="false">IF(D3063="","",IFERROR(IF(ISNUMBER(SEARCH(Assumptions!$C$5,D3063)),Assumptions!$D$5,IF(ISNUMBER(SEARCH(Assumptions!$C$6,D3063)),Assumptions!$D$6,IF(ISNUMBER(SEARCH(Assumptions!$C$7,D3063)),Assumptions!$D$7,"Other Services"))),"Other Services"))</f>
        <v/>
      </c>
    </row>
    <row r="3064" customFormat="false" ht="15" hidden="false" customHeight="false" outlineLevel="0" collapsed="false">
      <c r="J3064" s="41" t="str">
        <f aca="false">IF(D3064="","",IFERROR(IF(ISNUMBER(SEARCH(Assumptions!$C$5,D3064)),Assumptions!$D$5,IF(ISNUMBER(SEARCH(Assumptions!$C$6,D3064)),Assumptions!$D$6,IF(ISNUMBER(SEARCH(Assumptions!$C$7,D3064)),Assumptions!$D$7,"Other Services"))),"Other Services"))</f>
        <v/>
      </c>
    </row>
    <row r="3065" customFormat="false" ht="15" hidden="false" customHeight="false" outlineLevel="0" collapsed="false">
      <c r="J3065" s="41" t="str">
        <f aca="false">IF(D3065="","",IFERROR(IF(ISNUMBER(SEARCH(Assumptions!$C$5,D3065)),Assumptions!$D$5,IF(ISNUMBER(SEARCH(Assumptions!$C$6,D3065)),Assumptions!$D$6,IF(ISNUMBER(SEARCH(Assumptions!$C$7,D3065)),Assumptions!$D$7,"Other Services"))),"Other Services"))</f>
        <v/>
      </c>
    </row>
    <row r="3066" customFormat="false" ht="15" hidden="false" customHeight="false" outlineLevel="0" collapsed="false">
      <c r="J3066" s="41" t="str">
        <f aca="false">IF(D3066="","",IFERROR(IF(ISNUMBER(SEARCH(Assumptions!$C$5,D3066)),Assumptions!$D$5,IF(ISNUMBER(SEARCH(Assumptions!$C$6,D3066)),Assumptions!$D$6,IF(ISNUMBER(SEARCH(Assumptions!$C$7,D3066)),Assumptions!$D$7,"Other Services"))),"Other Services"))</f>
        <v/>
      </c>
    </row>
    <row r="3067" customFormat="false" ht="15" hidden="false" customHeight="false" outlineLevel="0" collapsed="false">
      <c r="J3067" s="41" t="str">
        <f aca="false">IF(D3067="","",IFERROR(IF(ISNUMBER(SEARCH(Assumptions!$C$5,D3067)),Assumptions!$D$5,IF(ISNUMBER(SEARCH(Assumptions!$C$6,D3067)),Assumptions!$D$6,IF(ISNUMBER(SEARCH(Assumptions!$C$7,D3067)),Assumptions!$D$7,"Other Services"))),"Other Services"))</f>
        <v/>
      </c>
    </row>
    <row r="3068" customFormat="false" ht="15" hidden="false" customHeight="false" outlineLevel="0" collapsed="false">
      <c r="J3068" s="41" t="str">
        <f aca="false">IF(D3068="","",IFERROR(IF(ISNUMBER(SEARCH(Assumptions!$C$5,D3068)),Assumptions!$D$5,IF(ISNUMBER(SEARCH(Assumptions!$C$6,D3068)),Assumptions!$D$6,IF(ISNUMBER(SEARCH(Assumptions!$C$7,D3068)),Assumptions!$D$7,"Other Services"))),"Other Services"))</f>
        <v/>
      </c>
    </row>
    <row r="3069" customFormat="false" ht="15" hidden="false" customHeight="false" outlineLevel="0" collapsed="false">
      <c r="J3069" s="41" t="str">
        <f aca="false">IF(D3069="","",IFERROR(IF(ISNUMBER(SEARCH(Assumptions!$C$5,D3069)),Assumptions!$D$5,IF(ISNUMBER(SEARCH(Assumptions!$C$6,D3069)),Assumptions!$D$6,IF(ISNUMBER(SEARCH(Assumptions!$C$7,D3069)),Assumptions!$D$7,"Other Services"))),"Other Services"))</f>
        <v/>
      </c>
    </row>
    <row r="3070" customFormat="false" ht="15" hidden="false" customHeight="false" outlineLevel="0" collapsed="false">
      <c r="J3070" s="41" t="str">
        <f aca="false">IF(D3070="","",IFERROR(IF(ISNUMBER(SEARCH(Assumptions!$C$5,D3070)),Assumptions!$D$5,IF(ISNUMBER(SEARCH(Assumptions!$C$6,D3070)),Assumptions!$D$6,IF(ISNUMBER(SEARCH(Assumptions!$C$7,D3070)),Assumptions!$D$7,"Other Services"))),"Other Services"))</f>
        <v/>
      </c>
    </row>
    <row r="3071" customFormat="false" ht="15" hidden="false" customHeight="false" outlineLevel="0" collapsed="false">
      <c r="J3071" s="41" t="str">
        <f aca="false">IF(D3071="","",IFERROR(IF(ISNUMBER(SEARCH(Assumptions!$C$5,D3071)),Assumptions!$D$5,IF(ISNUMBER(SEARCH(Assumptions!$C$6,D3071)),Assumptions!$D$6,IF(ISNUMBER(SEARCH(Assumptions!$C$7,D3071)),Assumptions!$D$7,"Other Services"))),"Other Services"))</f>
        <v/>
      </c>
    </row>
    <row r="3072" customFormat="false" ht="15" hidden="false" customHeight="false" outlineLevel="0" collapsed="false">
      <c r="J3072" s="41" t="str">
        <f aca="false">IF(D3072="","",IFERROR(IF(ISNUMBER(SEARCH(Assumptions!$C$5,D3072)),Assumptions!$D$5,IF(ISNUMBER(SEARCH(Assumptions!$C$6,D3072)),Assumptions!$D$6,IF(ISNUMBER(SEARCH(Assumptions!$C$7,D3072)),Assumptions!$D$7,"Other Services"))),"Other Services"))</f>
        <v/>
      </c>
    </row>
    <row r="3073" customFormat="false" ht="15" hidden="false" customHeight="false" outlineLevel="0" collapsed="false">
      <c r="J3073" s="41" t="str">
        <f aca="false">IF(D3073="","",IFERROR(IF(ISNUMBER(SEARCH(Assumptions!$C$5,D3073)),Assumptions!$D$5,IF(ISNUMBER(SEARCH(Assumptions!$C$6,D3073)),Assumptions!$D$6,IF(ISNUMBER(SEARCH(Assumptions!$C$7,D3073)),Assumptions!$D$7,"Other Services"))),"Other Services"))</f>
        <v/>
      </c>
    </row>
    <row r="3074" customFormat="false" ht="15" hidden="false" customHeight="false" outlineLevel="0" collapsed="false">
      <c r="J3074" s="41" t="str">
        <f aca="false">IF(D3074="","",IFERROR(IF(ISNUMBER(SEARCH(Assumptions!$C$5,D3074)),Assumptions!$D$5,IF(ISNUMBER(SEARCH(Assumptions!$C$6,D3074)),Assumptions!$D$6,IF(ISNUMBER(SEARCH(Assumptions!$C$7,D3074)),Assumptions!$D$7,"Other Services"))),"Other Services"))</f>
        <v/>
      </c>
    </row>
    <row r="3075" customFormat="false" ht="15" hidden="false" customHeight="false" outlineLevel="0" collapsed="false">
      <c r="J3075" s="41" t="str">
        <f aca="false">IF(D3075="","",IFERROR(IF(ISNUMBER(SEARCH(Assumptions!$C$5,D3075)),Assumptions!$D$5,IF(ISNUMBER(SEARCH(Assumptions!$C$6,D3075)),Assumptions!$D$6,IF(ISNUMBER(SEARCH(Assumptions!$C$7,D3075)),Assumptions!$D$7,"Other Services"))),"Other Services"))</f>
        <v/>
      </c>
    </row>
    <row r="3076" customFormat="false" ht="15" hidden="false" customHeight="false" outlineLevel="0" collapsed="false">
      <c r="J3076" s="41" t="str">
        <f aca="false">IF(D3076="","",IFERROR(IF(ISNUMBER(SEARCH(Assumptions!$C$5,D3076)),Assumptions!$D$5,IF(ISNUMBER(SEARCH(Assumptions!$C$6,D3076)),Assumptions!$D$6,IF(ISNUMBER(SEARCH(Assumptions!$C$7,D3076)),Assumptions!$D$7,"Other Services"))),"Other Services"))</f>
        <v/>
      </c>
    </row>
    <row r="3077" customFormat="false" ht="15" hidden="false" customHeight="false" outlineLevel="0" collapsed="false">
      <c r="J3077" s="41" t="str">
        <f aca="false">IF(D3077="","",IFERROR(IF(ISNUMBER(SEARCH(Assumptions!$C$5,D3077)),Assumptions!$D$5,IF(ISNUMBER(SEARCH(Assumptions!$C$6,D3077)),Assumptions!$D$6,IF(ISNUMBER(SEARCH(Assumptions!$C$7,D3077)),Assumptions!$D$7,"Other Services"))),"Other Services"))</f>
        <v/>
      </c>
    </row>
    <row r="3078" customFormat="false" ht="15" hidden="false" customHeight="false" outlineLevel="0" collapsed="false">
      <c r="J3078" s="41" t="str">
        <f aca="false">IF(D3078="","",IFERROR(IF(ISNUMBER(SEARCH(Assumptions!$C$5,D3078)),Assumptions!$D$5,IF(ISNUMBER(SEARCH(Assumptions!$C$6,D3078)),Assumptions!$D$6,IF(ISNUMBER(SEARCH(Assumptions!$C$7,D3078)),Assumptions!$D$7,"Other Services"))),"Other Services"))</f>
        <v/>
      </c>
    </row>
    <row r="3079" customFormat="false" ht="15" hidden="false" customHeight="false" outlineLevel="0" collapsed="false">
      <c r="J3079" s="41" t="str">
        <f aca="false">IF(D3079="","",IFERROR(IF(ISNUMBER(SEARCH(Assumptions!$C$5,D3079)),Assumptions!$D$5,IF(ISNUMBER(SEARCH(Assumptions!$C$6,D3079)),Assumptions!$D$6,IF(ISNUMBER(SEARCH(Assumptions!$C$7,D3079)),Assumptions!$D$7,"Other Services"))),"Other Services"))</f>
        <v/>
      </c>
    </row>
    <row r="3080" customFormat="false" ht="15" hidden="false" customHeight="false" outlineLevel="0" collapsed="false">
      <c r="J3080" s="41" t="str">
        <f aca="false">IF(D3080="","",IFERROR(IF(ISNUMBER(SEARCH(Assumptions!$C$5,D3080)),Assumptions!$D$5,IF(ISNUMBER(SEARCH(Assumptions!$C$6,D3080)),Assumptions!$D$6,IF(ISNUMBER(SEARCH(Assumptions!$C$7,D3080)),Assumptions!$D$7,"Other Services"))),"Other Services"))</f>
        <v/>
      </c>
    </row>
    <row r="3081" customFormat="false" ht="15" hidden="false" customHeight="false" outlineLevel="0" collapsed="false">
      <c r="J3081" s="41" t="str">
        <f aca="false">IF(D3081="","",IFERROR(IF(ISNUMBER(SEARCH(Assumptions!$C$5,D3081)),Assumptions!$D$5,IF(ISNUMBER(SEARCH(Assumptions!$C$6,D3081)),Assumptions!$D$6,IF(ISNUMBER(SEARCH(Assumptions!$C$7,D3081)),Assumptions!$D$7,"Other Services"))),"Other Services"))</f>
        <v/>
      </c>
    </row>
    <row r="3082" customFormat="false" ht="15" hidden="false" customHeight="false" outlineLevel="0" collapsed="false">
      <c r="J3082" s="41" t="str">
        <f aca="false">IF(D3082="","",IFERROR(IF(ISNUMBER(SEARCH(Assumptions!$C$5,D3082)),Assumptions!$D$5,IF(ISNUMBER(SEARCH(Assumptions!$C$6,D3082)),Assumptions!$D$6,IF(ISNUMBER(SEARCH(Assumptions!$C$7,D3082)),Assumptions!$D$7,"Other Services"))),"Other Services"))</f>
        <v/>
      </c>
    </row>
    <row r="3083" customFormat="false" ht="15" hidden="false" customHeight="false" outlineLevel="0" collapsed="false">
      <c r="J3083" s="41" t="str">
        <f aca="false">IF(D3083="","",IFERROR(IF(ISNUMBER(SEARCH(Assumptions!$C$5,D3083)),Assumptions!$D$5,IF(ISNUMBER(SEARCH(Assumptions!$C$6,D3083)),Assumptions!$D$6,IF(ISNUMBER(SEARCH(Assumptions!$C$7,D3083)),Assumptions!$D$7,"Other Services"))),"Other Services"))</f>
        <v/>
      </c>
    </row>
    <row r="3084" customFormat="false" ht="15" hidden="false" customHeight="false" outlineLevel="0" collapsed="false">
      <c r="J3084" s="41" t="str">
        <f aca="false">IF(D3084="","",IFERROR(IF(ISNUMBER(SEARCH(Assumptions!$C$5,D3084)),Assumptions!$D$5,IF(ISNUMBER(SEARCH(Assumptions!$C$6,D3084)),Assumptions!$D$6,IF(ISNUMBER(SEARCH(Assumptions!$C$7,D3084)),Assumptions!$D$7,"Other Services"))),"Other Services"))</f>
        <v/>
      </c>
    </row>
    <row r="3085" customFormat="false" ht="15" hidden="false" customHeight="false" outlineLevel="0" collapsed="false">
      <c r="J3085" s="41" t="str">
        <f aca="false">IF(D3085="","",IFERROR(IF(ISNUMBER(SEARCH(Assumptions!$C$5,D3085)),Assumptions!$D$5,IF(ISNUMBER(SEARCH(Assumptions!$C$6,D3085)),Assumptions!$D$6,IF(ISNUMBER(SEARCH(Assumptions!$C$7,D3085)),Assumptions!$D$7,"Other Services"))),"Other Services"))</f>
        <v/>
      </c>
    </row>
    <row r="3086" customFormat="false" ht="15" hidden="false" customHeight="false" outlineLevel="0" collapsed="false">
      <c r="J3086" s="41" t="str">
        <f aca="false">IF(D3086="","",IFERROR(IF(ISNUMBER(SEARCH(Assumptions!$C$5,D3086)),Assumptions!$D$5,IF(ISNUMBER(SEARCH(Assumptions!$C$6,D3086)),Assumptions!$D$6,IF(ISNUMBER(SEARCH(Assumptions!$C$7,D3086)),Assumptions!$D$7,"Other Services"))),"Other Services"))</f>
        <v/>
      </c>
    </row>
    <row r="3087" customFormat="false" ht="15" hidden="false" customHeight="false" outlineLevel="0" collapsed="false">
      <c r="J3087" s="41" t="str">
        <f aca="false">IF(D3087="","",IFERROR(IF(ISNUMBER(SEARCH(Assumptions!$C$5,D3087)),Assumptions!$D$5,IF(ISNUMBER(SEARCH(Assumptions!$C$6,D3087)),Assumptions!$D$6,IF(ISNUMBER(SEARCH(Assumptions!$C$7,D3087)),Assumptions!$D$7,"Other Services"))),"Other Services"))</f>
        <v/>
      </c>
    </row>
    <row r="3088" customFormat="false" ht="15" hidden="false" customHeight="false" outlineLevel="0" collapsed="false">
      <c r="J3088" s="41" t="str">
        <f aca="false">IF(D3088="","",IFERROR(IF(ISNUMBER(SEARCH(Assumptions!$C$5,D3088)),Assumptions!$D$5,IF(ISNUMBER(SEARCH(Assumptions!$C$6,D3088)),Assumptions!$D$6,IF(ISNUMBER(SEARCH(Assumptions!$C$7,D3088)),Assumptions!$D$7,"Other Services"))),"Other Services"))</f>
        <v/>
      </c>
    </row>
    <row r="3089" customFormat="false" ht="15" hidden="false" customHeight="false" outlineLevel="0" collapsed="false">
      <c r="J3089" s="41" t="str">
        <f aca="false">IF(D3089="","",IFERROR(IF(ISNUMBER(SEARCH(Assumptions!$C$5,D3089)),Assumptions!$D$5,IF(ISNUMBER(SEARCH(Assumptions!$C$6,D3089)),Assumptions!$D$6,IF(ISNUMBER(SEARCH(Assumptions!$C$7,D3089)),Assumptions!$D$7,"Other Services"))),"Other Services"))</f>
        <v/>
      </c>
    </row>
    <row r="3090" customFormat="false" ht="15" hidden="false" customHeight="false" outlineLevel="0" collapsed="false">
      <c r="J3090" s="41" t="str">
        <f aca="false">IF(D3090="","",IFERROR(IF(ISNUMBER(SEARCH(Assumptions!$C$5,D3090)),Assumptions!$D$5,IF(ISNUMBER(SEARCH(Assumptions!$C$6,D3090)),Assumptions!$D$6,IF(ISNUMBER(SEARCH(Assumptions!$C$7,D3090)),Assumptions!$D$7,"Other Services"))),"Other Services"))</f>
        <v/>
      </c>
    </row>
    <row r="3091" customFormat="false" ht="15" hidden="false" customHeight="false" outlineLevel="0" collapsed="false">
      <c r="J3091" s="41" t="str">
        <f aca="false">IF(D3091="","",IFERROR(IF(ISNUMBER(SEARCH(Assumptions!$C$5,D3091)),Assumptions!$D$5,IF(ISNUMBER(SEARCH(Assumptions!$C$6,D3091)),Assumptions!$D$6,IF(ISNUMBER(SEARCH(Assumptions!$C$7,D3091)),Assumptions!$D$7,"Other Services"))),"Other Services"))</f>
        <v/>
      </c>
    </row>
    <row r="3092" customFormat="false" ht="15" hidden="false" customHeight="false" outlineLevel="0" collapsed="false">
      <c r="J3092" s="41" t="str">
        <f aca="false">IF(D3092="","",IFERROR(IF(ISNUMBER(SEARCH(Assumptions!$C$5,D3092)),Assumptions!$D$5,IF(ISNUMBER(SEARCH(Assumptions!$C$6,D3092)),Assumptions!$D$6,IF(ISNUMBER(SEARCH(Assumptions!$C$7,D3092)),Assumptions!$D$7,"Other Services"))),"Other Services"))</f>
        <v/>
      </c>
    </row>
    <row r="3093" customFormat="false" ht="15" hidden="false" customHeight="false" outlineLevel="0" collapsed="false">
      <c r="J3093" s="41" t="str">
        <f aca="false">IF(D3093="","",IFERROR(IF(ISNUMBER(SEARCH(Assumptions!$C$5,D3093)),Assumptions!$D$5,IF(ISNUMBER(SEARCH(Assumptions!$C$6,D3093)),Assumptions!$D$6,IF(ISNUMBER(SEARCH(Assumptions!$C$7,D3093)),Assumptions!$D$7,"Other Services"))),"Other Services"))</f>
        <v/>
      </c>
    </row>
    <row r="3094" customFormat="false" ht="15" hidden="false" customHeight="false" outlineLevel="0" collapsed="false">
      <c r="J3094" s="41" t="str">
        <f aca="false">IF(D3094="","",IFERROR(IF(ISNUMBER(SEARCH(Assumptions!$C$5,D3094)),Assumptions!$D$5,IF(ISNUMBER(SEARCH(Assumptions!$C$6,D3094)),Assumptions!$D$6,IF(ISNUMBER(SEARCH(Assumptions!$C$7,D3094)),Assumptions!$D$7,"Other Services"))),"Other Services"))</f>
        <v/>
      </c>
    </row>
    <row r="3095" customFormat="false" ht="15" hidden="false" customHeight="false" outlineLevel="0" collapsed="false">
      <c r="J3095" s="41" t="str">
        <f aca="false">IF(D3095="","",IFERROR(IF(ISNUMBER(SEARCH(Assumptions!$C$5,D3095)),Assumptions!$D$5,IF(ISNUMBER(SEARCH(Assumptions!$C$6,D3095)),Assumptions!$D$6,IF(ISNUMBER(SEARCH(Assumptions!$C$7,D3095)),Assumptions!$D$7,"Other Services"))),"Other Services"))</f>
        <v/>
      </c>
    </row>
    <row r="3096" customFormat="false" ht="15" hidden="false" customHeight="false" outlineLevel="0" collapsed="false">
      <c r="J3096" s="41" t="str">
        <f aca="false">IF(D3096="","",IFERROR(IF(ISNUMBER(SEARCH(Assumptions!$C$5,D3096)),Assumptions!$D$5,IF(ISNUMBER(SEARCH(Assumptions!$C$6,D3096)),Assumptions!$D$6,IF(ISNUMBER(SEARCH(Assumptions!$C$7,D3096)),Assumptions!$D$7,"Other Services"))),"Other Services"))</f>
        <v/>
      </c>
    </row>
    <row r="3097" customFormat="false" ht="15" hidden="false" customHeight="false" outlineLevel="0" collapsed="false">
      <c r="J3097" s="41" t="str">
        <f aca="false">IF(D3097="","",IFERROR(IF(ISNUMBER(SEARCH(Assumptions!$C$5,D3097)),Assumptions!$D$5,IF(ISNUMBER(SEARCH(Assumptions!$C$6,D3097)),Assumptions!$D$6,IF(ISNUMBER(SEARCH(Assumptions!$C$7,D3097)),Assumptions!$D$7,"Other Services"))),"Other Services"))</f>
        <v/>
      </c>
    </row>
    <row r="3098" customFormat="false" ht="15" hidden="false" customHeight="false" outlineLevel="0" collapsed="false">
      <c r="J3098" s="41" t="str">
        <f aca="false">IF(D3098="","",IFERROR(IF(ISNUMBER(SEARCH(Assumptions!$C$5,D3098)),Assumptions!$D$5,IF(ISNUMBER(SEARCH(Assumptions!$C$6,D3098)),Assumptions!$D$6,IF(ISNUMBER(SEARCH(Assumptions!$C$7,D3098)),Assumptions!$D$7,"Other Services"))),"Other Services"))</f>
        <v/>
      </c>
    </row>
    <row r="3099" customFormat="false" ht="15" hidden="false" customHeight="false" outlineLevel="0" collapsed="false">
      <c r="J3099" s="41" t="str">
        <f aca="false">IF(D3099="","",IFERROR(IF(ISNUMBER(SEARCH(Assumptions!$C$5,D3099)),Assumptions!$D$5,IF(ISNUMBER(SEARCH(Assumptions!$C$6,D3099)),Assumptions!$D$6,IF(ISNUMBER(SEARCH(Assumptions!$C$7,D3099)),Assumptions!$D$7,"Other Services"))),"Other Services"))</f>
        <v/>
      </c>
    </row>
    <row r="3100" customFormat="false" ht="15" hidden="false" customHeight="false" outlineLevel="0" collapsed="false">
      <c r="J3100" s="41" t="str">
        <f aca="false">IF(D3100="","",IFERROR(IF(ISNUMBER(SEARCH(Assumptions!$C$5,D3100)),Assumptions!$D$5,IF(ISNUMBER(SEARCH(Assumptions!$C$6,D3100)),Assumptions!$D$6,IF(ISNUMBER(SEARCH(Assumptions!$C$7,D3100)),Assumptions!$D$7,"Other Services"))),"Other Services"))</f>
        <v/>
      </c>
    </row>
    <row r="3101" customFormat="false" ht="15" hidden="false" customHeight="false" outlineLevel="0" collapsed="false">
      <c r="J3101" s="41" t="str">
        <f aca="false">IF(D3101="","",IFERROR(IF(ISNUMBER(SEARCH(Assumptions!$C$5,D3101)),Assumptions!$D$5,IF(ISNUMBER(SEARCH(Assumptions!$C$6,D3101)),Assumptions!$D$6,IF(ISNUMBER(SEARCH(Assumptions!$C$7,D3101)),Assumptions!$D$7,"Other Services"))),"Other Services"))</f>
        <v/>
      </c>
    </row>
    <row r="3102" customFormat="false" ht="15" hidden="false" customHeight="false" outlineLevel="0" collapsed="false">
      <c r="J3102" s="41" t="str">
        <f aca="false">IF(D3102="","",IFERROR(IF(ISNUMBER(SEARCH(Assumptions!$C$5,D3102)),Assumptions!$D$5,IF(ISNUMBER(SEARCH(Assumptions!$C$6,D3102)),Assumptions!$D$6,IF(ISNUMBER(SEARCH(Assumptions!$C$7,D3102)),Assumptions!$D$7,"Other Services"))),"Other Services"))</f>
        <v/>
      </c>
    </row>
    <row r="3103" customFormat="false" ht="15" hidden="false" customHeight="false" outlineLevel="0" collapsed="false">
      <c r="J3103" s="41" t="str">
        <f aca="false">IF(D3103="","",IFERROR(IF(ISNUMBER(SEARCH(Assumptions!$C$5,D3103)),Assumptions!$D$5,IF(ISNUMBER(SEARCH(Assumptions!$C$6,D3103)),Assumptions!$D$6,IF(ISNUMBER(SEARCH(Assumptions!$C$7,D3103)),Assumptions!$D$7,"Other Services"))),"Other Services"))</f>
        <v/>
      </c>
    </row>
    <row r="3104" customFormat="false" ht="15" hidden="false" customHeight="false" outlineLevel="0" collapsed="false">
      <c r="J3104" s="41" t="str">
        <f aca="false">IF(D3104="","",IFERROR(IF(ISNUMBER(SEARCH(Assumptions!$C$5,D3104)),Assumptions!$D$5,IF(ISNUMBER(SEARCH(Assumptions!$C$6,D3104)),Assumptions!$D$6,IF(ISNUMBER(SEARCH(Assumptions!$C$7,D3104)),Assumptions!$D$7,"Other Services"))),"Other Services"))</f>
        <v/>
      </c>
    </row>
    <row r="3105" customFormat="false" ht="15" hidden="false" customHeight="false" outlineLevel="0" collapsed="false">
      <c r="J3105" s="41" t="str">
        <f aca="false">IF(D3105="","",IFERROR(IF(ISNUMBER(SEARCH(Assumptions!$C$5,D3105)),Assumptions!$D$5,IF(ISNUMBER(SEARCH(Assumptions!$C$6,D3105)),Assumptions!$D$6,IF(ISNUMBER(SEARCH(Assumptions!$C$7,D3105)),Assumptions!$D$7,"Other Services"))),"Other Services"))</f>
        <v/>
      </c>
    </row>
    <row r="3106" customFormat="false" ht="15" hidden="false" customHeight="false" outlineLevel="0" collapsed="false">
      <c r="J3106" s="41" t="str">
        <f aca="false">IF(D3106="","",IFERROR(IF(ISNUMBER(SEARCH(Assumptions!$C$5,D3106)),Assumptions!$D$5,IF(ISNUMBER(SEARCH(Assumptions!$C$6,D3106)),Assumptions!$D$6,IF(ISNUMBER(SEARCH(Assumptions!$C$7,D3106)),Assumptions!$D$7,"Other Services"))),"Other Services"))</f>
        <v/>
      </c>
    </row>
    <row r="3107" customFormat="false" ht="15" hidden="false" customHeight="false" outlineLevel="0" collapsed="false">
      <c r="J3107" s="41" t="str">
        <f aca="false">IF(D3107="","",IFERROR(IF(ISNUMBER(SEARCH(Assumptions!$C$5,D3107)),Assumptions!$D$5,IF(ISNUMBER(SEARCH(Assumptions!$C$6,D3107)),Assumptions!$D$6,IF(ISNUMBER(SEARCH(Assumptions!$C$7,D3107)),Assumptions!$D$7,"Other Services"))),"Other Services"))</f>
        <v/>
      </c>
    </row>
    <row r="3108" customFormat="false" ht="15" hidden="false" customHeight="false" outlineLevel="0" collapsed="false">
      <c r="J3108" s="41" t="str">
        <f aca="false">IF(D3108="","",IFERROR(IF(ISNUMBER(SEARCH(Assumptions!$C$5,D3108)),Assumptions!$D$5,IF(ISNUMBER(SEARCH(Assumptions!$C$6,D3108)),Assumptions!$D$6,IF(ISNUMBER(SEARCH(Assumptions!$C$7,D3108)),Assumptions!$D$7,"Other Services"))),"Other Services"))</f>
        <v/>
      </c>
    </row>
    <row r="3109" customFormat="false" ht="15" hidden="false" customHeight="false" outlineLevel="0" collapsed="false">
      <c r="J3109" s="41" t="str">
        <f aca="false">IF(D3109="","",IFERROR(IF(ISNUMBER(SEARCH(Assumptions!$C$5,D3109)),Assumptions!$D$5,IF(ISNUMBER(SEARCH(Assumptions!$C$6,D3109)),Assumptions!$D$6,IF(ISNUMBER(SEARCH(Assumptions!$C$7,D3109)),Assumptions!$D$7,"Other Services"))),"Other Services"))</f>
        <v/>
      </c>
    </row>
    <row r="3110" customFormat="false" ht="15" hidden="false" customHeight="false" outlineLevel="0" collapsed="false">
      <c r="J3110" s="41" t="str">
        <f aca="false">IF(D3110="","",IFERROR(IF(ISNUMBER(SEARCH(Assumptions!$C$5,D3110)),Assumptions!$D$5,IF(ISNUMBER(SEARCH(Assumptions!$C$6,D3110)),Assumptions!$D$6,IF(ISNUMBER(SEARCH(Assumptions!$C$7,D3110)),Assumptions!$D$7,"Other Services"))),"Other Services"))</f>
        <v/>
      </c>
    </row>
    <row r="3111" customFormat="false" ht="15" hidden="false" customHeight="false" outlineLevel="0" collapsed="false">
      <c r="J3111" s="41" t="str">
        <f aca="false">IF(D3111="","",IFERROR(IF(ISNUMBER(SEARCH(Assumptions!$C$5,D3111)),Assumptions!$D$5,IF(ISNUMBER(SEARCH(Assumptions!$C$6,D3111)),Assumptions!$D$6,IF(ISNUMBER(SEARCH(Assumptions!$C$7,D3111)),Assumptions!$D$7,"Other Services"))),"Other Services"))</f>
        <v/>
      </c>
    </row>
    <row r="3112" customFormat="false" ht="15" hidden="false" customHeight="false" outlineLevel="0" collapsed="false">
      <c r="J3112" s="41" t="str">
        <f aca="false">IF(D3112="","",IFERROR(IF(ISNUMBER(SEARCH(Assumptions!$C$5,D3112)),Assumptions!$D$5,IF(ISNUMBER(SEARCH(Assumptions!$C$6,D3112)),Assumptions!$D$6,IF(ISNUMBER(SEARCH(Assumptions!$C$7,D3112)),Assumptions!$D$7,"Other Services"))),"Other Services"))</f>
        <v/>
      </c>
    </row>
    <row r="3113" customFormat="false" ht="15" hidden="false" customHeight="false" outlineLevel="0" collapsed="false">
      <c r="J3113" s="41" t="str">
        <f aca="false">IF(D3113="","",IFERROR(IF(ISNUMBER(SEARCH(Assumptions!$C$5,D3113)),Assumptions!$D$5,IF(ISNUMBER(SEARCH(Assumptions!$C$6,D3113)),Assumptions!$D$6,IF(ISNUMBER(SEARCH(Assumptions!$C$7,D3113)),Assumptions!$D$7,"Other Services"))),"Other Services"))</f>
        <v/>
      </c>
    </row>
    <row r="3114" customFormat="false" ht="15" hidden="false" customHeight="false" outlineLevel="0" collapsed="false">
      <c r="J3114" s="41" t="str">
        <f aca="false">IF(D3114="","",IFERROR(IF(ISNUMBER(SEARCH(Assumptions!$C$5,D3114)),Assumptions!$D$5,IF(ISNUMBER(SEARCH(Assumptions!$C$6,D3114)),Assumptions!$D$6,IF(ISNUMBER(SEARCH(Assumptions!$C$7,D3114)),Assumptions!$D$7,"Other Services"))),"Other Services"))</f>
        <v/>
      </c>
    </row>
    <row r="3115" customFormat="false" ht="15" hidden="false" customHeight="false" outlineLevel="0" collapsed="false">
      <c r="J3115" s="41" t="str">
        <f aca="false">IF(D3115="","",IFERROR(IF(ISNUMBER(SEARCH(Assumptions!$C$5,D3115)),Assumptions!$D$5,IF(ISNUMBER(SEARCH(Assumptions!$C$6,D3115)),Assumptions!$D$6,IF(ISNUMBER(SEARCH(Assumptions!$C$7,D3115)),Assumptions!$D$7,"Other Services"))),"Other Services"))</f>
        <v/>
      </c>
    </row>
    <row r="3116" customFormat="false" ht="15" hidden="false" customHeight="false" outlineLevel="0" collapsed="false">
      <c r="J3116" s="41" t="str">
        <f aca="false">IF(D3116="","",IFERROR(IF(ISNUMBER(SEARCH(Assumptions!$C$5,D3116)),Assumptions!$D$5,IF(ISNUMBER(SEARCH(Assumptions!$C$6,D3116)),Assumptions!$D$6,IF(ISNUMBER(SEARCH(Assumptions!$C$7,D3116)),Assumptions!$D$7,"Other Services"))),"Other Services"))</f>
        <v/>
      </c>
    </row>
    <row r="3117" customFormat="false" ht="15" hidden="false" customHeight="false" outlineLevel="0" collapsed="false">
      <c r="J3117" s="41" t="str">
        <f aca="false">IF(D3117="","",IFERROR(IF(ISNUMBER(SEARCH(Assumptions!$C$5,D3117)),Assumptions!$D$5,IF(ISNUMBER(SEARCH(Assumptions!$C$6,D3117)),Assumptions!$D$6,IF(ISNUMBER(SEARCH(Assumptions!$C$7,D3117)),Assumptions!$D$7,"Other Services"))),"Other Services"))</f>
        <v/>
      </c>
    </row>
    <row r="3118" customFormat="false" ht="15" hidden="false" customHeight="false" outlineLevel="0" collapsed="false">
      <c r="J3118" s="41" t="str">
        <f aca="false">IF(D3118="","",IFERROR(IF(ISNUMBER(SEARCH(Assumptions!$C$5,D3118)),Assumptions!$D$5,IF(ISNUMBER(SEARCH(Assumptions!$C$6,D3118)),Assumptions!$D$6,IF(ISNUMBER(SEARCH(Assumptions!$C$7,D3118)),Assumptions!$D$7,"Other Services"))),"Other Services"))</f>
        <v/>
      </c>
    </row>
    <row r="3119" customFormat="false" ht="15" hidden="false" customHeight="false" outlineLevel="0" collapsed="false">
      <c r="J3119" s="41" t="str">
        <f aca="false">IF(D3119="","",IFERROR(IF(ISNUMBER(SEARCH(Assumptions!$C$5,D3119)),Assumptions!$D$5,IF(ISNUMBER(SEARCH(Assumptions!$C$6,D3119)),Assumptions!$D$6,IF(ISNUMBER(SEARCH(Assumptions!$C$7,D3119)),Assumptions!$D$7,"Other Services"))),"Other Services"))</f>
        <v/>
      </c>
    </row>
    <row r="3120" customFormat="false" ht="15" hidden="false" customHeight="false" outlineLevel="0" collapsed="false">
      <c r="J3120" s="41" t="str">
        <f aca="false">IF(D3120="","",IFERROR(IF(ISNUMBER(SEARCH(Assumptions!$C$5,D3120)),Assumptions!$D$5,IF(ISNUMBER(SEARCH(Assumptions!$C$6,D3120)),Assumptions!$D$6,IF(ISNUMBER(SEARCH(Assumptions!$C$7,D3120)),Assumptions!$D$7,"Other Services"))),"Other Services"))</f>
        <v/>
      </c>
    </row>
    <row r="3121" customFormat="false" ht="15" hidden="false" customHeight="false" outlineLevel="0" collapsed="false">
      <c r="J3121" s="41" t="str">
        <f aca="false">IF(D3121="","",IFERROR(IF(ISNUMBER(SEARCH(Assumptions!$C$5,D3121)),Assumptions!$D$5,IF(ISNUMBER(SEARCH(Assumptions!$C$6,D3121)),Assumptions!$D$6,IF(ISNUMBER(SEARCH(Assumptions!$C$7,D3121)),Assumptions!$D$7,"Other Services"))),"Other Services"))</f>
        <v/>
      </c>
    </row>
    <row r="3122" customFormat="false" ht="15" hidden="false" customHeight="false" outlineLevel="0" collapsed="false">
      <c r="J3122" s="41" t="str">
        <f aca="false">IF(D3122="","",IFERROR(IF(ISNUMBER(SEARCH(Assumptions!$C$5,D3122)),Assumptions!$D$5,IF(ISNUMBER(SEARCH(Assumptions!$C$6,D3122)),Assumptions!$D$6,IF(ISNUMBER(SEARCH(Assumptions!$C$7,D3122)),Assumptions!$D$7,"Other Services"))),"Other Services"))</f>
        <v/>
      </c>
    </row>
    <row r="3123" customFormat="false" ht="15" hidden="false" customHeight="false" outlineLevel="0" collapsed="false">
      <c r="J3123" s="41" t="str">
        <f aca="false">IF(D3123="","",IFERROR(IF(ISNUMBER(SEARCH(Assumptions!$C$5,D3123)),Assumptions!$D$5,IF(ISNUMBER(SEARCH(Assumptions!$C$6,D3123)),Assumptions!$D$6,IF(ISNUMBER(SEARCH(Assumptions!$C$7,D3123)),Assumptions!$D$7,"Other Services"))),"Other Services"))</f>
        <v/>
      </c>
    </row>
    <row r="3124" customFormat="false" ht="15" hidden="false" customHeight="false" outlineLevel="0" collapsed="false">
      <c r="J3124" s="41" t="str">
        <f aca="false">IF(D3124="","",IFERROR(IF(ISNUMBER(SEARCH(Assumptions!$C$5,D3124)),Assumptions!$D$5,IF(ISNUMBER(SEARCH(Assumptions!$C$6,D3124)),Assumptions!$D$6,IF(ISNUMBER(SEARCH(Assumptions!$C$7,D3124)),Assumptions!$D$7,"Other Services"))),"Other Services"))</f>
        <v/>
      </c>
    </row>
    <row r="3125" customFormat="false" ht="15" hidden="false" customHeight="false" outlineLevel="0" collapsed="false">
      <c r="J3125" s="41" t="str">
        <f aca="false">IF(D3125="","",IFERROR(IF(ISNUMBER(SEARCH(Assumptions!$C$5,D3125)),Assumptions!$D$5,IF(ISNUMBER(SEARCH(Assumptions!$C$6,D3125)),Assumptions!$D$6,IF(ISNUMBER(SEARCH(Assumptions!$C$7,D3125)),Assumptions!$D$7,"Other Services"))),"Other Services"))</f>
        <v/>
      </c>
    </row>
    <row r="3126" customFormat="false" ht="15" hidden="false" customHeight="false" outlineLevel="0" collapsed="false">
      <c r="J3126" s="41" t="str">
        <f aca="false">IF(D3126="","",IFERROR(IF(ISNUMBER(SEARCH(Assumptions!$C$5,D3126)),Assumptions!$D$5,IF(ISNUMBER(SEARCH(Assumptions!$C$6,D3126)),Assumptions!$D$6,IF(ISNUMBER(SEARCH(Assumptions!$C$7,D3126)),Assumptions!$D$7,"Other Services"))),"Other Services"))</f>
        <v/>
      </c>
    </row>
    <row r="3127" customFormat="false" ht="15" hidden="false" customHeight="false" outlineLevel="0" collapsed="false">
      <c r="J3127" s="41" t="str">
        <f aca="false">IF(D3127="","",IFERROR(IF(ISNUMBER(SEARCH(Assumptions!$C$5,D3127)),Assumptions!$D$5,IF(ISNUMBER(SEARCH(Assumptions!$C$6,D3127)),Assumptions!$D$6,IF(ISNUMBER(SEARCH(Assumptions!$C$7,D3127)),Assumptions!$D$7,"Other Services"))),"Other Services"))</f>
        <v/>
      </c>
    </row>
    <row r="3128" customFormat="false" ht="15" hidden="false" customHeight="false" outlineLevel="0" collapsed="false">
      <c r="J3128" s="41" t="str">
        <f aca="false">IF(D3128="","",IFERROR(IF(ISNUMBER(SEARCH(Assumptions!$C$5,D3128)),Assumptions!$D$5,IF(ISNUMBER(SEARCH(Assumptions!$C$6,D3128)),Assumptions!$D$6,IF(ISNUMBER(SEARCH(Assumptions!$C$7,D3128)),Assumptions!$D$7,"Other Services"))),"Other Services"))</f>
        <v/>
      </c>
    </row>
    <row r="3129" customFormat="false" ht="15" hidden="false" customHeight="false" outlineLevel="0" collapsed="false">
      <c r="J3129" s="41" t="str">
        <f aca="false">IF(D3129="","",IFERROR(IF(ISNUMBER(SEARCH(Assumptions!$C$5,D3129)),Assumptions!$D$5,IF(ISNUMBER(SEARCH(Assumptions!$C$6,D3129)),Assumptions!$D$6,IF(ISNUMBER(SEARCH(Assumptions!$C$7,D3129)),Assumptions!$D$7,"Other Services"))),"Other Services"))</f>
        <v/>
      </c>
    </row>
    <row r="3130" customFormat="false" ht="15" hidden="false" customHeight="false" outlineLevel="0" collapsed="false">
      <c r="J3130" s="41" t="str">
        <f aca="false">IF(D3130="","",IFERROR(IF(ISNUMBER(SEARCH(Assumptions!$C$5,D3130)),Assumptions!$D$5,IF(ISNUMBER(SEARCH(Assumptions!$C$6,D3130)),Assumptions!$D$6,IF(ISNUMBER(SEARCH(Assumptions!$C$7,D3130)),Assumptions!$D$7,"Other Services"))),"Other Services"))</f>
        <v/>
      </c>
    </row>
    <row r="3131" customFormat="false" ht="15" hidden="false" customHeight="false" outlineLevel="0" collapsed="false">
      <c r="J3131" s="41" t="str">
        <f aca="false">IF(D3131="","",IFERROR(IF(ISNUMBER(SEARCH(Assumptions!$C$5,D3131)),Assumptions!$D$5,IF(ISNUMBER(SEARCH(Assumptions!$C$6,D3131)),Assumptions!$D$6,IF(ISNUMBER(SEARCH(Assumptions!$C$7,D3131)),Assumptions!$D$7,"Other Services"))),"Other Services"))</f>
        <v/>
      </c>
    </row>
    <row r="3132" customFormat="false" ht="15" hidden="false" customHeight="false" outlineLevel="0" collapsed="false">
      <c r="J3132" s="41" t="str">
        <f aca="false">IF(D3132="","",IFERROR(IF(ISNUMBER(SEARCH(Assumptions!$C$5,D3132)),Assumptions!$D$5,IF(ISNUMBER(SEARCH(Assumptions!$C$6,D3132)),Assumptions!$D$6,IF(ISNUMBER(SEARCH(Assumptions!$C$7,D3132)),Assumptions!$D$7,"Other Services"))),"Other Services"))</f>
        <v/>
      </c>
    </row>
    <row r="3133" customFormat="false" ht="15" hidden="false" customHeight="false" outlineLevel="0" collapsed="false">
      <c r="J3133" s="41" t="str">
        <f aca="false">IF(D3133="","",IFERROR(IF(ISNUMBER(SEARCH(Assumptions!$C$5,D3133)),Assumptions!$D$5,IF(ISNUMBER(SEARCH(Assumptions!$C$6,D3133)),Assumptions!$D$6,IF(ISNUMBER(SEARCH(Assumptions!$C$7,D3133)),Assumptions!$D$7,"Other Services"))),"Other Services"))</f>
        <v/>
      </c>
    </row>
    <row r="3134" customFormat="false" ht="15" hidden="false" customHeight="false" outlineLevel="0" collapsed="false">
      <c r="J3134" s="41" t="str">
        <f aca="false">IF(D3134="","",IFERROR(IF(ISNUMBER(SEARCH(Assumptions!$C$5,D3134)),Assumptions!$D$5,IF(ISNUMBER(SEARCH(Assumptions!$C$6,D3134)),Assumptions!$D$6,IF(ISNUMBER(SEARCH(Assumptions!$C$7,D3134)),Assumptions!$D$7,"Other Services"))),"Other Services"))</f>
        <v/>
      </c>
    </row>
    <row r="3135" customFormat="false" ht="15" hidden="false" customHeight="false" outlineLevel="0" collapsed="false">
      <c r="J3135" s="41" t="str">
        <f aca="false">IF(D3135="","",IFERROR(IF(ISNUMBER(SEARCH(Assumptions!$C$5,D3135)),Assumptions!$D$5,IF(ISNUMBER(SEARCH(Assumptions!$C$6,D3135)),Assumptions!$D$6,IF(ISNUMBER(SEARCH(Assumptions!$C$7,D3135)),Assumptions!$D$7,"Other Services"))),"Other Services"))</f>
        <v/>
      </c>
    </row>
    <row r="3136" customFormat="false" ht="15" hidden="false" customHeight="false" outlineLevel="0" collapsed="false">
      <c r="J3136" s="41" t="str">
        <f aca="false">IF(D3136="","",IFERROR(IF(ISNUMBER(SEARCH(Assumptions!$C$5,D3136)),Assumptions!$D$5,IF(ISNUMBER(SEARCH(Assumptions!$C$6,D3136)),Assumptions!$D$6,IF(ISNUMBER(SEARCH(Assumptions!$C$7,D3136)),Assumptions!$D$7,"Other Services"))),"Other Services"))</f>
        <v/>
      </c>
    </row>
    <row r="3137" customFormat="false" ht="15" hidden="false" customHeight="false" outlineLevel="0" collapsed="false">
      <c r="J3137" s="41" t="str">
        <f aca="false">IF(D3137="","",IFERROR(IF(ISNUMBER(SEARCH(Assumptions!$C$5,D3137)),Assumptions!$D$5,IF(ISNUMBER(SEARCH(Assumptions!$C$6,D3137)),Assumptions!$D$6,IF(ISNUMBER(SEARCH(Assumptions!$C$7,D3137)),Assumptions!$D$7,"Other Services"))),"Other Services"))</f>
        <v/>
      </c>
    </row>
    <row r="3138" customFormat="false" ht="15" hidden="false" customHeight="false" outlineLevel="0" collapsed="false">
      <c r="J3138" s="41" t="str">
        <f aca="false">IF(D3138="","",IFERROR(IF(ISNUMBER(SEARCH(Assumptions!$C$5,D3138)),Assumptions!$D$5,IF(ISNUMBER(SEARCH(Assumptions!$C$6,D3138)),Assumptions!$D$6,IF(ISNUMBER(SEARCH(Assumptions!$C$7,D3138)),Assumptions!$D$7,"Other Services"))),"Other Services"))</f>
        <v/>
      </c>
    </row>
    <row r="3139" customFormat="false" ht="15" hidden="false" customHeight="false" outlineLevel="0" collapsed="false">
      <c r="J3139" s="41" t="str">
        <f aca="false">IF(D3139="","",IFERROR(IF(ISNUMBER(SEARCH(Assumptions!$C$5,D3139)),Assumptions!$D$5,IF(ISNUMBER(SEARCH(Assumptions!$C$6,D3139)),Assumptions!$D$6,IF(ISNUMBER(SEARCH(Assumptions!$C$7,D3139)),Assumptions!$D$7,"Other Services"))),"Other Services"))</f>
        <v/>
      </c>
    </row>
    <row r="3140" customFormat="false" ht="15" hidden="false" customHeight="false" outlineLevel="0" collapsed="false">
      <c r="J3140" s="41" t="str">
        <f aca="false">IF(D3140="","",IFERROR(IF(ISNUMBER(SEARCH(Assumptions!$C$5,D3140)),Assumptions!$D$5,IF(ISNUMBER(SEARCH(Assumptions!$C$6,D3140)),Assumptions!$D$6,IF(ISNUMBER(SEARCH(Assumptions!$C$7,D3140)),Assumptions!$D$7,"Other Services"))),"Other Services"))</f>
        <v/>
      </c>
    </row>
    <row r="3141" customFormat="false" ht="15" hidden="false" customHeight="false" outlineLevel="0" collapsed="false">
      <c r="J3141" s="41" t="str">
        <f aca="false">IF(D3141="","",IFERROR(IF(ISNUMBER(SEARCH(Assumptions!$C$5,D3141)),Assumptions!$D$5,IF(ISNUMBER(SEARCH(Assumptions!$C$6,D3141)),Assumptions!$D$6,IF(ISNUMBER(SEARCH(Assumptions!$C$7,D3141)),Assumptions!$D$7,"Other Services"))),"Other Services"))</f>
        <v/>
      </c>
    </row>
    <row r="3142" customFormat="false" ht="15" hidden="false" customHeight="false" outlineLevel="0" collapsed="false">
      <c r="J3142" s="41" t="str">
        <f aca="false">IF(D3142="","",IFERROR(IF(ISNUMBER(SEARCH(Assumptions!$C$5,D3142)),Assumptions!$D$5,IF(ISNUMBER(SEARCH(Assumptions!$C$6,D3142)),Assumptions!$D$6,IF(ISNUMBER(SEARCH(Assumptions!$C$7,D3142)),Assumptions!$D$7,"Other Services"))),"Other Services"))</f>
        <v/>
      </c>
    </row>
    <row r="3143" customFormat="false" ht="15" hidden="false" customHeight="false" outlineLevel="0" collapsed="false">
      <c r="J3143" s="41" t="str">
        <f aca="false">IF(D3143="","",IFERROR(IF(ISNUMBER(SEARCH(Assumptions!$C$5,D3143)),Assumptions!$D$5,IF(ISNUMBER(SEARCH(Assumptions!$C$6,D3143)),Assumptions!$D$6,IF(ISNUMBER(SEARCH(Assumptions!$C$7,D3143)),Assumptions!$D$7,"Other Services"))),"Other Services"))</f>
        <v/>
      </c>
    </row>
    <row r="3144" customFormat="false" ht="15" hidden="false" customHeight="false" outlineLevel="0" collapsed="false">
      <c r="J3144" s="41" t="str">
        <f aca="false">IF(D3144="","",IFERROR(IF(ISNUMBER(SEARCH(Assumptions!$C$5,D3144)),Assumptions!$D$5,IF(ISNUMBER(SEARCH(Assumptions!$C$6,D3144)),Assumptions!$D$6,IF(ISNUMBER(SEARCH(Assumptions!$C$7,D3144)),Assumptions!$D$7,"Other Services"))),"Other Services"))</f>
        <v/>
      </c>
    </row>
    <row r="3145" customFormat="false" ht="15" hidden="false" customHeight="false" outlineLevel="0" collapsed="false">
      <c r="J3145" s="41" t="str">
        <f aca="false">IF(D3145="","",IFERROR(IF(ISNUMBER(SEARCH(Assumptions!$C$5,D3145)),Assumptions!$D$5,IF(ISNUMBER(SEARCH(Assumptions!$C$6,D3145)),Assumptions!$D$6,IF(ISNUMBER(SEARCH(Assumptions!$C$7,D3145)),Assumptions!$D$7,"Other Services"))),"Other Services"))</f>
        <v/>
      </c>
    </row>
    <row r="3146" customFormat="false" ht="15" hidden="false" customHeight="false" outlineLevel="0" collapsed="false">
      <c r="J3146" s="41" t="str">
        <f aca="false">IF(D3146="","",IFERROR(IF(ISNUMBER(SEARCH(Assumptions!$C$5,D3146)),Assumptions!$D$5,IF(ISNUMBER(SEARCH(Assumptions!$C$6,D3146)),Assumptions!$D$6,IF(ISNUMBER(SEARCH(Assumptions!$C$7,D3146)),Assumptions!$D$7,"Other Services"))),"Other Services"))</f>
        <v/>
      </c>
    </row>
    <row r="3147" customFormat="false" ht="15" hidden="false" customHeight="false" outlineLevel="0" collapsed="false">
      <c r="J3147" s="41" t="str">
        <f aca="false">IF(D3147="","",IFERROR(IF(ISNUMBER(SEARCH(Assumptions!$C$5,D3147)),Assumptions!$D$5,IF(ISNUMBER(SEARCH(Assumptions!$C$6,D3147)),Assumptions!$D$6,IF(ISNUMBER(SEARCH(Assumptions!$C$7,D3147)),Assumptions!$D$7,"Other Services"))),"Other Services"))</f>
        <v/>
      </c>
    </row>
    <row r="3148" customFormat="false" ht="15" hidden="false" customHeight="false" outlineLevel="0" collapsed="false">
      <c r="J3148" s="41" t="str">
        <f aca="false">IF(D3148="","",IFERROR(IF(ISNUMBER(SEARCH(Assumptions!$C$5,D3148)),Assumptions!$D$5,IF(ISNUMBER(SEARCH(Assumptions!$C$6,D3148)),Assumptions!$D$6,IF(ISNUMBER(SEARCH(Assumptions!$C$7,D3148)),Assumptions!$D$7,"Other Services"))),"Other Services"))</f>
        <v/>
      </c>
    </row>
    <row r="3149" customFormat="false" ht="15" hidden="false" customHeight="false" outlineLevel="0" collapsed="false">
      <c r="J3149" s="41" t="str">
        <f aca="false">IF(D3149="","",IFERROR(IF(ISNUMBER(SEARCH(Assumptions!$C$5,D3149)),Assumptions!$D$5,IF(ISNUMBER(SEARCH(Assumptions!$C$6,D3149)),Assumptions!$D$6,IF(ISNUMBER(SEARCH(Assumptions!$C$7,D3149)),Assumptions!$D$7,"Other Services"))),"Other Services"))</f>
        <v/>
      </c>
    </row>
    <row r="3150" customFormat="false" ht="15" hidden="false" customHeight="false" outlineLevel="0" collapsed="false">
      <c r="J3150" s="41" t="str">
        <f aca="false">IF(D3150="","",IFERROR(IF(ISNUMBER(SEARCH(Assumptions!$C$5,D3150)),Assumptions!$D$5,IF(ISNUMBER(SEARCH(Assumptions!$C$6,D3150)),Assumptions!$D$6,IF(ISNUMBER(SEARCH(Assumptions!$C$7,D3150)),Assumptions!$D$7,"Other Services"))),"Other Services"))</f>
        <v/>
      </c>
    </row>
    <row r="3151" customFormat="false" ht="15" hidden="false" customHeight="false" outlineLevel="0" collapsed="false">
      <c r="J3151" s="41" t="str">
        <f aca="false">IF(D3151="","",IFERROR(IF(ISNUMBER(SEARCH(Assumptions!$C$5,D3151)),Assumptions!$D$5,IF(ISNUMBER(SEARCH(Assumptions!$C$6,D3151)),Assumptions!$D$6,IF(ISNUMBER(SEARCH(Assumptions!$C$7,D3151)),Assumptions!$D$7,"Other Services"))),"Other Services"))</f>
        <v/>
      </c>
    </row>
    <row r="3152" customFormat="false" ht="15" hidden="false" customHeight="false" outlineLevel="0" collapsed="false">
      <c r="J3152" s="41" t="str">
        <f aca="false">IF(D3152="","",IFERROR(IF(ISNUMBER(SEARCH(Assumptions!$C$5,D3152)),Assumptions!$D$5,IF(ISNUMBER(SEARCH(Assumptions!$C$6,D3152)),Assumptions!$D$6,IF(ISNUMBER(SEARCH(Assumptions!$C$7,D3152)),Assumptions!$D$7,"Other Services"))),"Other Services"))</f>
        <v/>
      </c>
    </row>
    <row r="3153" customFormat="false" ht="15" hidden="false" customHeight="false" outlineLevel="0" collapsed="false">
      <c r="J3153" s="41" t="str">
        <f aca="false">IF(D3153="","",IFERROR(IF(ISNUMBER(SEARCH(Assumptions!$C$5,D3153)),Assumptions!$D$5,IF(ISNUMBER(SEARCH(Assumptions!$C$6,D3153)),Assumptions!$D$6,IF(ISNUMBER(SEARCH(Assumptions!$C$7,D3153)),Assumptions!$D$7,"Other Services"))),"Other Services"))</f>
        <v/>
      </c>
    </row>
    <row r="3154" customFormat="false" ht="15" hidden="false" customHeight="false" outlineLevel="0" collapsed="false">
      <c r="J3154" s="41" t="str">
        <f aca="false">IF(D3154="","",IFERROR(IF(ISNUMBER(SEARCH(Assumptions!$C$5,D3154)),Assumptions!$D$5,IF(ISNUMBER(SEARCH(Assumptions!$C$6,D3154)),Assumptions!$D$6,IF(ISNUMBER(SEARCH(Assumptions!$C$7,D3154)),Assumptions!$D$7,"Other Services"))),"Other Services"))</f>
        <v/>
      </c>
    </row>
    <row r="3155" customFormat="false" ht="15" hidden="false" customHeight="false" outlineLevel="0" collapsed="false">
      <c r="J3155" s="41" t="str">
        <f aca="false">IF(D3155="","",IFERROR(IF(ISNUMBER(SEARCH(Assumptions!$C$5,D3155)),Assumptions!$D$5,IF(ISNUMBER(SEARCH(Assumptions!$C$6,D3155)),Assumptions!$D$6,IF(ISNUMBER(SEARCH(Assumptions!$C$7,D3155)),Assumptions!$D$7,"Other Services"))),"Other Services"))</f>
        <v/>
      </c>
    </row>
    <row r="3156" customFormat="false" ht="15" hidden="false" customHeight="false" outlineLevel="0" collapsed="false">
      <c r="J3156" s="41" t="str">
        <f aca="false">IF(D3156="","",IFERROR(IF(ISNUMBER(SEARCH(Assumptions!$C$5,D3156)),Assumptions!$D$5,IF(ISNUMBER(SEARCH(Assumptions!$C$6,D3156)),Assumptions!$D$6,IF(ISNUMBER(SEARCH(Assumptions!$C$7,D3156)),Assumptions!$D$7,"Other Services"))),"Other Services"))</f>
        <v/>
      </c>
    </row>
    <row r="3157" customFormat="false" ht="15" hidden="false" customHeight="false" outlineLevel="0" collapsed="false">
      <c r="J3157" s="41" t="str">
        <f aca="false">IF(D3157="","",IFERROR(IF(ISNUMBER(SEARCH(Assumptions!$C$5,D3157)),Assumptions!$D$5,IF(ISNUMBER(SEARCH(Assumptions!$C$6,D3157)),Assumptions!$D$6,IF(ISNUMBER(SEARCH(Assumptions!$C$7,D3157)),Assumptions!$D$7,"Other Services"))),"Other Services"))</f>
        <v/>
      </c>
    </row>
    <row r="3158" customFormat="false" ht="15" hidden="false" customHeight="false" outlineLevel="0" collapsed="false">
      <c r="J3158" s="41" t="str">
        <f aca="false">IF(D3158="","",IFERROR(IF(ISNUMBER(SEARCH(Assumptions!$C$5,D3158)),Assumptions!$D$5,IF(ISNUMBER(SEARCH(Assumptions!$C$6,D3158)),Assumptions!$D$6,IF(ISNUMBER(SEARCH(Assumptions!$C$7,D3158)),Assumptions!$D$7,"Other Services"))),"Other Services"))</f>
        <v/>
      </c>
    </row>
    <row r="3159" customFormat="false" ht="15" hidden="false" customHeight="false" outlineLevel="0" collapsed="false">
      <c r="J3159" s="41" t="str">
        <f aca="false">IF(D3159="","",IFERROR(IF(ISNUMBER(SEARCH(Assumptions!$C$5,D3159)),Assumptions!$D$5,IF(ISNUMBER(SEARCH(Assumptions!$C$6,D3159)),Assumptions!$D$6,IF(ISNUMBER(SEARCH(Assumptions!$C$7,D3159)),Assumptions!$D$7,"Other Services"))),"Other Services"))</f>
        <v/>
      </c>
    </row>
    <row r="3160" customFormat="false" ht="15" hidden="false" customHeight="false" outlineLevel="0" collapsed="false">
      <c r="J3160" s="41" t="str">
        <f aca="false">IF(D3160="","",IFERROR(IF(ISNUMBER(SEARCH(Assumptions!$C$5,D3160)),Assumptions!$D$5,IF(ISNUMBER(SEARCH(Assumptions!$C$6,D3160)),Assumptions!$D$6,IF(ISNUMBER(SEARCH(Assumptions!$C$7,D3160)),Assumptions!$D$7,"Other Services"))),"Other Services"))</f>
        <v/>
      </c>
    </row>
    <row r="3161" customFormat="false" ht="15" hidden="false" customHeight="false" outlineLevel="0" collapsed="false">
      <c r="J3161" s="41" t="str">
        <f aca="false">IF(D3161="","",IFERROR(IF(ISNUMBER(SEARCH(Assumptions!$C$5,D3161)),Assumptions!$D$5,IF(ISNUMBER(SEARCH(Assumptions!$C$6,D3161)),Assumptions!$D$6,IF(ISNUMBER(SEARCH(Assumptions!$C$7,D3161)),Assumptions!$D$7,"Other Services"))),"Other Services"))</f>
        <v/>
      </c>
    </row>
    <row r="3162" customFormat="false" ht="15" hidden="false" customHeight="false" outlineLevel="0" collapsed="false">
      <c r="J3162" s="41" t="str">
        <f aca="false">IF(D3162="","",IFERROR(IF(ISNUMBER(SEARCH(Assumptions!$C$5,D3162)),Assumptions!$D$5,IF(ISNUMBER(SEARCH(Assumptions!$C$6,D3162)),Assumptions!$D$6,IF(ISNUMBER(SEARCH(Assumptions!$C$7,D3162)),Assumptions!$D$7,"Other Services"))),"Other Services"))</f>
        <v/>
      </c>
    </row>
    <row r="3163" customFormat="false" ht="15" hidden="false" customHeight="false" outlineLevel="0" collapsed="false">
      <c r="J3163" s="41" t="str">
        <f aca="false">IF(D3163="","",IFERROR(IF(ISNUMBER(SEARCH(Assumptions!$C$5,D3163)),Assumptions!$D$5,IF(ISNUMBER(SEARCH(Assumptions!$C$6,D3163)),Assumptions!$D$6,IF(ISNUMBER(SEARCH(Assumptions!$C$7,D3163)),Assumptions!$D$7,"Other Services"))),"Other Services"))</f>
        <v/>
      </c>
    </row>
    <row r="3164" customFormat="false" ht="15" hidden="false" customHeight="false" outlineLevel="0" collapsed="false">
      <c r="J3164" s="41" t="str">
        <f aca="false">IF(D3164="","",IFERROR(IF(ISNUMBER(SEARCH(Assumptions!$C$5,D3164)),Assumptions!$D$5,IF(ISNUMBER(SEARCH(Assumptions!$C$6,D3164)),Assumptions!$D$6,IF(ISNUMBER(SEARCH(Assumptions!$C$7,D3164)),Assumptions!$D$7,"Other Services"))),"Other Services"))</f>
        <v/>
      </c>
    </row>
    <row r="3165" customFormat="false" ht="15" hidden="false" customHeight="false" outlineLevel="0" collapsed="false">
      <c r="J3165" s="41" t="str">
        <f aca="false">IF(D3165="","",IFERROR(IF(ISNUMBER(SEARCH(Assumptions!$C$5,D3165)),Assumptions!$D$5,IF(ISNUMBER(SEARCH(Assumptions!$C$6,D3165)),Assumptions!$D$6,IF(ISNUMBER(SEARCH(Assumptions!$C$7,D3165)),Assumptions!$D$7,"Other Services"))),"Other Services"))</f>
        <v/>
      </c>
    </row>
    <row r="3166" customFormat="false" ht="15" hidden="false" customHeight="false" outlineLevel="0" collapsed="false">
      <c r="J3166" s="41" t="str">
        <f aca="false">IF(D3166="","",IFERROR(IF(ISNUMBER(SEARCH(Assumptions!$C$5,D3166)),Assumptions!$D$5,IF(ISNUMBER(SEARCH(Assumptions!$C$6,D3166)),Assumptions!$D$6,IF(ISNUMBER(SEARCH(Assumptions!$C$7,D3166)),Assumptions!$D$7,"Other Services"))),"Other Services"))</f>
        <v/>
      </c>
    </row>
    <row r="3167" customFormat="false" ht="15" hidden="false" customHeight="false" outlineLevel="0" collapsed="false">
      <c r="J3167" s="41" t="str">
        <f aca="false">IF(D3167="","",IFERROR(IF(ISNUMBER(SEARCH(Assumptions!$C$5,D3167)),Assumptions!$D$5,IF(ISNUMBER(SEARCH(Assumptions!$C$6,D3167)),Assumptions!$D$6,IF(ISNUMBER(SEARCH(Assumptions!$C$7,D3167)),Assumptions!$D$7,"Other Services"))),"Other Services"))</f>
        <v/>
      </c>
    </row>
    <row r="3168" customFormat="false" ht="15" hidden="false" customHeight="false" outlineLevel="0" collapsed="false">
      <c r="J3168" s="41" t="str">
        <f aca="false">IF(D3168="","",IFERROR(IF(ISNUMBER(SEARCH(Assumptions!$C$5,D3168)),Assumptions!$D$5,IF(ISNUMBER(SEARCH(Assumptions!$C$6,D3168)),Assumptions!$D$6,IF(ISNUMBER(SEARCH(Assumptions!$C$7,D3168)),Assumptions!$D$7,"Other Services"))),"Other Services"))</f>
        <v/>
      </c>
    </row>
    <row r="3169" customFormat="false" ht="15" hidden="false" customHeight="false" outlineLevel="0" collapsed="false">
      <c r="J3169" s="41" t="str">
        <f aca="false">IF(D3169="","",IFERROR(IF(ISNUMBER(SEARCH(Assumptions!$C$5,D3169)),Assumptions!$D$5,IF(ISNUMBER(SEARCH(Assumptions!$C$6,D3169)),Assumptions!$D$6,IF(ISNUMBER(SEARCH(Assumptions!$C$7,D3169)),Assumptions!$D$7,"Other Services"))),"Other Services"))</f>
        <v/>
      </c>
    </row>
    <row r="3170" customFormat="false" ht="15" hidden="false" customHeight="false" outlineLevel="0" collapsed="false">
      <c r="J3170" s="41" t="str">
        <f aca="false">IF(D3170="","",IFERROR(IF(ISNUMBER(SEARCH(Assumptions!$C$5,D3170)),Assumptions!$D$5,IF(ISNUMBER(SEARCH(Assumptions!$C$6,D3170)),Assumptions!$D$6,IF(ISNUMBER(SEARCH(Assumptions!$C$7,D3170)),Assumptions!$D$7,"Other Services"))),"Other Services"))</f>
        <v/>
      </c>
    </row>
    <row r="3171" customFormat="false" ht="15" hidden="false" customHeight="false" outlineLevel="0" collapsed="false">
      <c r="J3171" s="41" t="str">
        <f aca="false">IF(D3171="","",IFERROR(IF(ISNUMBER(SEARCH(Assumptions!$C$5,D3171)),Assumptions!$D$5,IF(ISNUMBER(SEARCH(Assumptions!$C$6,D3171)),Assumptions!$D$6,IF(ISNUMBER(SEARCH(Assumptions!$C$7,D3171)),Assumptions!$D$7,"Other Services"))),"Other Services"))</f>
        <v/>
      </c>
    </row>
    <row r="3172" customFormat="false" ht="15" hidden="false" customHeight="false" outlineLevel="0" collapsed="false">
      <c r="J3172" s="41" t="str">
        <f aca="false">IF(D3172="","",IFERROR(IF(ISNUMBER(SEARCH(Assumptions!$C$5,D3172)),Assumptions!$D$5,IF(ISNUMBER(SEARCH(Assumptions!$C$6,D3172)),Assumptions!$D$6,IF(ISNUMBER(SEARCH(Assumptions!$C$7,D3172)),Assumptions!$D$7,"Other Services"))),"Other Services"))</f>
        <v/>
      </c>
    </row>
    <row r="3173" customFormat="false" ht="15" hidden="false" customHeight="false" outlineLevel="0" collapsed="false">
      <c r="J3173" s="41" t="str">
        <f aca="false">IF(D3173="","",IFERROR(IF(ISNUMBER(SEARCH(Assumptions!$C$5,D3173)),Assumptions!$D$5,IF(ISNUMBER(SEARCH(Assumptions!$C$6,D3173)),Assumptions!$D$6,IF(ISNUMBER(SEARCH(Assumptions!$C$7,D3173)),Assumptions!$D$7,"Other Services"))),"Other Services"))</f>
        <v/>
      </c>
    </row>
    <row r="3174" customFormat="false" ht="15" hidden="false" customHeight="false" outlineLevel="0" collapsed="false">
      <c r="J3174" s="41" t="str">
        <f aca="false">IF(D3174="","",IFERROR(IF(ISNUMBER(SEARCH(Assumptions!$C$5,D3174)),Assumptions!$D$5,IF(ISNUMBER(SEARCH(Assumptions!$C$6,D3174)),Assumptions!$D$6,IF(ISNUMBER(SEARCH(Assumptions!$C$7,D3174)),Assumptions!$D$7,"Other Services"))),"Other Services"))</f>
        <v/>
      </c>
    </row>
    <row r="3175" customFormat="false" ht="15" hidden="false" customHeight="false" outlineLevel="0" collapsed="false">
      <c r="J3175" s="41" t="str">
        <f aca="false">IF(D3175="","",IFERROR(IF(ISNUMBER(SEARCH(Assumptions!$C$5,D3175)),Assumptions!$D$5,IF(ISNUMBER(SEARCH(Assumptions!$C$6,D3175)),Assumptions!$D$6,IF(ISNUMBER(SEARCH(Assumptions!$C$7,D3175)),Assumptions!$D$7,"Other Services"))),"Other Services"))</f>
        <v/>
      </c>
    </row>
    <row r="3176" customFormat="false" ht="15" hidden="false" customHeight="false" outlineLevel="0" collapsed="false">
      <c r="J3176" s="41" t="str">
        <f aca="false">IF(D3176="","",IFERROR(IF(ISNUMBER(SEARCH(Assumptions!$C$5,D3176)),Assumptions!$D$5,IF(ISNUMBER(SEARCH(Assumptions!$C$6,D3176)),Assumptions!$D$6,IF(ISNUMBER(SEARCH(Assumptions!$C$7,D3176)),Assumptions!$D$7,"Other Services"))),"Other Services"))</f>
        <v/>
      </c>
    </row>
    <row r="3177" customFormat="false" ht="15" hidden="false" customHeight="false" outlineLevel="0" collapsed="false">
      <c r="J3177" s="41" t="str">
        <f aca="false">IF(D3177="","",IFERROR(IF(ISNUMBER(SEARCH(Assumptions!$C$5,D3177)),Assumptions!$D$5,IF(ISNUMBER(SEARCH(Assumptions!$C$6,D3177)),Assumptions!$D$6,IF(ISNUMBER(SEARCH(Assumptions!$C$7,D3177)),Assumptions!$D$7,"Other Services"))),"Other Services"))</f>
        <v/>
      </c>
    </row>
    <row r="3178" customFormat="false" ht="15" hidden="false" customHeight="false" outlineLevel="0" collapsed="false">
      <c r="J3178" s="41" t="str">
        <f aca="false">IF(D3178="","",IFERROR(IF(ISNUMBER(SEARCH(Assumptions!$C$5,D3178)),Assumptions!$D$5,IF(ISNUMBER(SEARCH(Assumptions!$C$6,D3178)),Assumptions!$D$6,IF(ISNUMBER(SEARCH(Assumptions!$C$7,D3178)),Assumptions!$D$7,"Other Services"))),"Other Services"))</f>
        <v/>
      </c>
    </row>
    <row r="3179" customFormat="false" ht="15" hidden="false" customHeight="false" outlineLevel="0" collapsed="false">
      <c r="J3179" s="41" t="str">
        <f aca="false">IF(D3179="","",IFERROR(IF(ISNUMBER(SEARCH(Assumptions!$C$5,D3179)),Assumptions!$D$5,IF(ISNUMBER(SEARCH(Assumptions!$C$6,D3179)),Assumptions!$D$6,IF(ISNUMBER(SEARCH(Assumptions!$C$7,D3179)),Assumptions!$D$7,"Other Services"))),"Other Services"))</f>
        <v/>
      </c>
    </row>
    <row r="3180" customFormat="false" ht="15" hidden="false" customHeight="false" outlineLevel="0" collapsed="false">
      <c r="J3180" s="41" t="str">
        <f aca="false">IF(D3180="","",IFERROR(IF(ISNUMBER(SEARCH(Assumptions!$C$5,D3180)),Assumptions!$D$5,IF(ISNUMBER(SEARCH(Assumptions!$C$6,D3180)),Assumptions!$D$6,IF(ISNUMBER(SEARCH(Assumptions!$C$7,D3180)),Assumptions!$D$7,"Other Services"))),"Other Services"))</f>
        <v/>
      </c>
    </row>
    <row r="3181" customFormat="false" ht="15" hidden="false" customHeight="false" outlineLevel="0" collapsed="false">
      <c r="J3181" s="41" t="str">
        <f aca="false">IF(D3181="","",IFERROR(IF(ISNUMBER(SEARCH(Assumptions!$C$5,D3181)),Assumptions!$D$5,IF(ISNUMBER(SEARCH(Assumptions!$C$6,D3181)),Assumptions!$D$6,IF(ISNUMBER(SEARCH(Assumptions!$C$7,D3181)),Assumptions!$D$7,"Other Services"))),"Other Services"))</f>
        <v/>
      </c>
    </row>
    <row r="3182" customFormat="false" ht="15" hidden="false" customHeight="false" outlineLevel="0" collapsed="false">
      <c r="J3182" s="41" t="str">
        <f aca="false">IF(D3182="","",IFERROR(IF(ISNUMBER(SEARCH(Assumptions!$C$5,D3182)),Assumptions!$D$5,IF(ISNUMBER(SEARCH(Assumptions!$C$6,D3182)),Assumptions!$D$6,IF(ISNUMBER(SEARCH(Assumptions!$C$7,D3182)),Assumptions!$D$7,"Other Services"))),"Other Services"))</f>
        <v/>
      </c>
    </row>
    <row r="3183" customFormat="false" ht="15" hidden="false" customHeight="false" outlineLevel="0" collapsed="false">
      <c r="J3183" s="41" t="str">
        <f aca="false">IF(D3183="","",IFERROR(IF(ISNUMBER(SEARCH(Assumptions!$C$5,D3183)),Assumptions!$D$5,IF(ISNUMBER(SEARCH(Assumptions!$C$6,D3183)),Assumptions!$D$6,IF(ISNUMBER(SEARCH(Assumptions!$C$7,D3183)),Assumptions!$D$7,"Other Services"))),"Other Services"))</f>
        <v/>
      </c>
    </row>
    <row r="3184" customFormat="false" ht="15" hidden="false" customHeight="false" outlineLevel="0" collapsed="false">
      <c r="J3184" s="41" t="str">
        <f aca="false">IF(D3184="","",IFERROR(IF(ISNUMBER(SEARCH(Assumptions!$C$5,D3184)),Assumptions!$D$5,IF(ISNUMBER(SEARCH(Assumptions!$C$6,D3184)),Assumptions!$D$6,IF(ISNUMBER(SEARCH(Assumptions!$C$7,D3184)),Assumptions!$D$7,"Other Services"))),"Other Services"))</f>
        <v/>
      </c>
    </row>
    <row r="3185" customFormat="false" ht="15" hidden="false" customHeight="false" outlineLevel="0" collapsed="false">
      <c r="J3185" s="41" t="str">
        <f aca="false">IF(D3185="","",IFERROR(IF(ISNUMBER(SEARCH(Assumptions!$C$5,D3185)),Assumptions!$D$5,IF(ISNUMBER(SEARCH(Assumptions!$C$6,D3185)),Assumptions!$D$6,IF(ISNUMBER(SEARCH(Assumptions!$C$7,D3185)),Assumptions!$D$7,"Other Services"))),"Other Services"))</f>
        <v/>
      </c>
    </row>
    <row r="3186" customFormat="false" ht="15" hidden="false" customHeight="false" outlineLevel="0" collapsed="false">
      <c r="J3186" s="41" t="str">
        <f aca="false">IF(D3186="","",IFERROR(IF(ISNUMBER(SEARCH(Assumptions!$C$5,D3186)),Assumptions!$D$5,IF(ISNUMBER(SEARCH(Assumptions!$C$6,D3186)),Assumptions!$D$6,IF(ISNUMBER(SEARCH(Assumptions!$C$7,D3186)),Assumptions!$D$7,"Other Services"))),"Other Services"))</f>
        <v/>
      </c>
    </row>
    <row r="3187" customFormat="false" ht="15" hidden="false" customHeight="false" outlineLevel="0" collapsed="false">
      <c r="J3187" s="41" t="str">
        <f aca="false">IF(D3187="","",IFERROR(IF(ISNUMBER(SEARCH(Assumptions!$C$5,D3187)),Assumptions!$D$5,IF(ISNUMBER(SEARCH(Assumptions!$C$6,D3187)),Assumptions!$D$6,IF(ISNUMBER(SEARCH(Assumptions!$C$7,D3187)),Assumptions!$D$7,"Other Services"))),"Other Services"))</f>
        <v/>
      </c>
    </row>
    <row r="3188" customFormat="false" ht="15" hidden="false" customHeight="false" outlineLevel="0" collapsed="false">
      <c r="J3188" s="41" t="str">
        <f aca="false">IF(D3188="","",IFERROR(IF(ISNUMBER(SEARCH(Assumptions!$C$5,D3188)),Assumptions!$D$5,IF(ISNUMBER(SEARCH(Assumptions!$C$6,D3188)),Assumptions!$D$6,IF(ISNUMBER(SEARCH(Assumptions!$C$7,D3188)),Assumptions!$D$7,"Other Services"))),"Other Services"))</f>
        <v/>
      </c>
    </row>
    <row r="3189" customFormat="false" ht="15" hidden="false" customHeight="false" outlineLevel="0" collapsed="false">
      <c r="J3189" s="41" t="str">
        <f aca="false">IF(D3189="","",IFERROR(IF(ISNUMBER(SEARCH(Assumptions!$C$5,D3189)),Assumptions!$D$5,IF(ISNUMBER(SEARCH(Assumptions!$C$6,D3189)),Assumptions!$D$6,IF(ISNUMBER(SEARCH(Assumptions!$C$7,D3189)),Assumptions!$D$7,"Other Services"))),"Other Services"))</f>
        <v/>
      </c>
    </row>
    <row r="3190" customFormat="false" ht="15" hidden="false" customHeight="false" outlineLevel="0" collapsed="false">
      <c r="J3190" s="41" t="str">
        <f aca="false">IF(D3190="","",IFERROR(IF(ISNUMBER(SEARCH(Assumptions!$C$5,D3190)),Assumptions!$D$5,IF(ISNUMBER(SEARCH(Assumptions!$C$6,D3190)),Assumptions!$D$6,IF(ISNUMBER(SEARCH(Assumptions!$C$7,D3190)),Assumptions!$D$7,"Other Services"))),"Other Services"))</f>
        <v/>
      </c>
    </row>
    <row r="3191" customFormat="false" ht="15" hidden="false" customHeight="false" outlineLevel="0" collapsed="false">
      <c r="J3191" s="41" t="str">
        <f aca="false">IF(D3191="","",IFERROR(IF(ISNUMBER(SEARCH(Assumptions!$C$5,D3191)),Assumptions!$D$5,IF(ISNUMBER(SEARCH(Assumptions!$C$6,D3191)),Assumptions!$D$6,IF(ISNUMBER(SEARCH(Assumptions!$C$7,D3191)),Assumptions!$D$7,"Other Services"))),"Other Services"))</f>
        <v/>
      </c>
    </row>
    <row r="3192" customFormat="false" ht="15" hidden="false" customHeight="false" outlineLevel="0" collapsed="false">
      <c r="J3192" s="41" t="str">
        <f aca="false">IF(D3192="","",IFERROR(IF(ISNUMBER(SEARCH(Assumptions!$C$5,D3192)),Assumptions!$D$5,IF(ISNUMBER(SEARCH(Assumptions!$C$6,D3192)),Assumptions!$D$6,IF(ISNUMBER(SEARCH(Assumptions!$C$7,D3192)),Assumptions!$D$7,"Other Services"))),"Other Services"))</f>
        <v/>
      </c>
    </row>
    <row r="3193" customFormat="false" ht="15" hidden="false" customHeight="false" outlineLevel="0" collapsed="false">
      <c r="J3193" s="41" t="str">
        <f aca="false">IF(D3193="","",IFERROR(IF(ISNUMBER(SEARCH(Assumptions!$C$5,D3193)),Assumptions!$D$5,IF(ISNUMBER(SEARCH(Assumptions!$C$6,D3193)),Assumptions!$D$6,IF(ISNUMBER(SEARCH(Assumptions!$C$7,D3193)),Assumptions!$D$7,"Other Services"))),"Other Services"))</f>
        <v/>
      </c>
    </row>
    <row r="3194" customFormat="false" ht="15" hidden="false" customHeight="false" outlineLevel="0" collapsed="false">
      <c r="J3194" s="41" t="str">
        <f aca="false">IF(D3194="","",IFERROR(IF(ISNUMBER(SEARCH(Assumptions!$C$5,D3194)),Assumptions!$D$5,IF(ISNUMBER(SEARCH(Assumptions!$C$6,D3194)),Assumptions!$D$6,IF(ISNUMBER(SEARCH(Assumptions!$C$7,D3194)),Assumptions!$D$7,"Other Services"))),"Other Services"))</f>
        <v/>
      </c>
    </row>
    <row r="3195" customFormat="false" ht="15" hidden="false" customHeight="false" outlineLevel="0" collapsed="false">
      <c r="J3195" s="41" t="str">
        <f aca="false">IF(D3195="","",IFERROR(IF(ISNUMBER(SEARCH(Assumptions!$C$5,D3195)),Assumptions!$D$5,IF(ISNUMBER(SEARCH(Assumptions!$C$6,D3195)),Assumptions!$D$6,IF(ISNUMBER(SEARCH(Assumptions!$C$7,D3195)),Assumptions!$D$7,"Other Services"))),"Other Services"))</f>
        <v/>
      </c>
    </row>
    <row r="3196" customFormat="false" ht="15" hidden="false" customHeight="false" outlineLevel="0" collapsed="false">
      <c r="J3196" s="41" t="str">
        <f aca="false">IF(D3196="","",IFERROR(IF(ISNUMBER(SEARCH(Assumptions!$C$5,D3196)),Assumptions!$D$5,IF(ISNUMBER(SEARCH(Assumptions!$C$6,D3196)),Assumptions!$D$6,IF(ISNUMBER(SEARCH(Assumptions!$C$7,D3196)),Assumptions!$D$7,"Other Services"))),"Other Services"))</f>
        <v/>
      </c>
    </row>
    <row r="3197" customFormat="false" ht="15" hidden="false" customHeight="false" outlineLevel="0" collapsed="false">
      <c r="J3197" s="41" t="str">
        <f aca="false">IF(D3197="","",IFERROR(IF(ISNUMBER(SEARCH(Assumptions!$C$5,D3197)),Assumptions!$D$5,IF(ISNUMBER(SEARCH(Assumptions!$C$6,D3197)),Assumptions!$D$6,IF(ISNUMBER(SEARCH(Assumptions!$C$7,D3197)),Assumptions!$D$7,"Other Services"))),"Other Services"))</f>
        <v/>
      </c>
    </row>
    <row r="3198" customFormat="false" ht="15" hidden="false" customHeight="false" outlineLevel="0" collapsed="false">
      <c r="J3198" s="41" t="str">
        <f aca="false">IF(D3198="","",IFERROR(IF(ISNUMBER(SEARCH(Assumptions!$C$5,D3198)),Assumptions!$D$5,IF(ISNUMBER(SEARCH(Assumptions!$C$6,D3198)),Assumptions!$D$6,IF(ISNUMBER(SEARCH(Assumptions!$C$7,D3198)),Assumptions!$D$7,"Other Services"))),"Other Services"))</f>
        <v/>
      </c>
    </row>
    <row r="3199" customFormat="false" ht="15" hidden="false" customHeight="false" outlineLevel="0" collapsed="false">
      <c r="J3199" s="41" t="str">
        <f aca="false">IF(D3199="","",IFERROR(IF(ISNUMBER(SEARCH(Assumptions!$C$5,D3199)),Assumptions!$D$5,IF(ISNUMBER(SEARCH(Assumptions!$C$6,D3199)),Assumptions!$D$6,IF(ISNUMBER(SEARCH(Assumptions!$C$7,D3199)),Assumptions!$D$7,"Other Services"))),"Other Services"))</f>
        <v/>
      </c>
    </row>
    <row r="3200" customFormat="false" ht="15" hidden="false" customHeight="false" outlineLevel="0" collapsed="false">
      <c r="J3200" s="41" t="str">
        <f aca="false">IF(D3200="","",IFERROR(IF(ISNUMBER(SEARCH(Assumptions!$C$5,D3200)),Assumptions!$D$5,IF(ISNUMBER(SEARCH(Assumptions!$C$6,D3200)),Assumptions!$D$6,IF(ISNUMBER(SEARCH(Assumptions!$C$7,D3200)),Assumptions!$D$7,"Other Services"))),"Other Services"))</f>
        <v/>
      </c>
    </row>
    <row r="3201" customFormat="false" ht="15" hidden="false" customHeight="false" outlineLevel="0" collapsed="false">
      <c r="J3201" s="41" t="str">
        <f aca="false">IF(D3201="","",IFERROR(IF(ISNUMBER(SEARCH(Assumptions!$C$5,D3201)),Assumptions!$D$5,IF(ISNUMBER(SEARCH(Assumptions!$C$6,D3201)),Assumptions!$D$6,IF(ISNUMBER(SEARCH(Assumptions!$C$7,D3201)),Assumptions!$D$7,"Other Services"))),"Other Services"))</f>
        <v/>
      </c>
    </row>
    <row r="3202" customFormat="false" ht="15" hidden="false" customHeight="false" outlineLevel="0" collapsed="false">
      <c r="J3202" s="41" t="str">
        <f aca="false">IF(D3202="","",IFERROR(IF(ISNUMBER(SEARCH(Assumptions!$C$5,D3202)),Assumptions!$D$5,IF(ISNUMBER(SEARCH(Assumptions!$C$6,D3202)),Assumptions!$D$6,IF(ISNUMBER(SEARCH(Assumptions!$C$7,D3202)),Assumptions!$D$7,"Other Services"))),"Other Services"))</f>
        <v/>
      </c>
    </row>
    <row r="3203" customFormat="false" ht="15" hidden="false" customHeight="false" outlineLevel="0" collapsed="false">
      <c r="J3203" s="41" t="str">
        <f aca="false">IF(D3203="","",IFERROR(IF(ISNUMBER(SEARCH(Assumptions!$C$5,D3203)),Assumptions!$D$5,IF(ISNUMBER(SEARCH(Assumptions!$C$6,D3203)),Assumptions!$D$6,IF(ISNUMBER(SEARCH(Assumptions!$C$7,D3203)),Assumptions!$D$7,"Other Services"))),"Other Services"))</f>
        <v/>
      </c>
    </row>
    <row r="3204" customFormat="false" ht="15" hidden="false" customHeight="false" outlineLevel="0" collapsed="false">
      <c r="J3204" s="41" t="str">
        <f aca="false">IF(D3204="","",IFERROR(IF(ISNUMBER(SEARCH(Assumptions!$C$5,D3204)),Assumptions!$D$5,IF(ISNUMBER(SEARCH(Assumptions!$C$6,D3204)),Assumptions!$D$6,IF(ISNUMBER(SEARCH(Assumptions!$C$7,D3204)),Assumptions!$D$7,"Other Services"))),"Other Services"))</f>
        <v/>
      </c>
    </row>
    <row r="3205" customFormat="false" ht="15" hidden="false" customHeight="false" outlineLevel="0" collapsed="false">
      <c r="J3205" s="41" t="str">
        <f aca="false">IF(D3205="","",IFERROR(IF(ISNUMBER(SEARCH(Assumptions!$C$5,D3205)),Assumptions!$D$5,IF(ISNUMBER(SEARCH(Assumptions!$C$6,D3205)),Assumptions!$D$6,IF(ISNUMBER(SEARCH(Assumptions!$C$7,D3205)),Assumptions!$D$7,"Other Services"))),"Other Services"))</f>
        <v/>
      </c>
    </row>
    <row r="3206" customFormat="false" ht="15" hidden="false" customHeight="false" outlineLevel="0" collapsed="false">
      <c r="J3206" s="41" t="str">
        <f aca="false">IF(D3206="","",IFERROR(IF(ISNUMBER(SEARCH(Assumptions!$C$5,D3206)),Assumptions!$D$5,IF(ISNUMBER(SEARCH(Assumptions!$C$6,D3206)),Assumptions!$D$6,IF(ISNUMBER(SEARCH(Assumptions!$C$7,D3206)),Assumptions!$D$7,"Other Services"))),"Other Services"))</f>
        <v/>
      </c>
    </row>
    <row r="3207" customFormat="false" ht="15" hidden="false" customHeight="false" outlineLevel="0" collapsed="false">
      <c r="J3207" s="41" t="str">
        <f aca="false">IF(D3207="","",IFERROR(IF(ISNUMBER(SEARCH(Assumptions!$C$5,D3207)),Assumptions!$D$5,IF(ISNUMBER(SEARCH(Assumptions!$C$6,D3207)),Assumptions!$D$6,IF(ISNUMBER(SEARCH(Assumptions!$C$7,D3207)),Assumptions!$D$7,"Other Services"))),"Other Services"))</f>
        <v/>
      </c>
    </row>
    <row r="3208" customFormat="false" ht="15" hidden="false" customHeight="false" outlineLevel="0" collapsed="false">
      <c r="J3208" s="41" t="str">
        <f aca="false">IF(D3208="","",IFERROR(IF(ISNUMBER(SEARCH(Assumptions!$C$5,D3208)),Assumptions!$D$5,IF(ISNUMBER(SEARCH(Assumptions!$C$6,D3208)),Assumptions!$D$6,IF(ISNUMBER(SEARCH(Assumptions!$C$7,D3208)),Assumptions!$D$7,"Other Services"))),"Other Services"))</f>
        <v/>
      </c>
    </row>
    <row r="3209" customFormat="false" ht="15" hidden="false" customHeight="false" outlineLevel="0" collapsed="false">
      <c r="J3209" s="41" t="str">
        <f aca="false">IF(D3209="","",IFERROR(IF(ISNUMBER(SEARCH(Assumptions!$C$5,D3209)),Assumptions!$D$5,IF(ISNUMBER(SEARCH(Assumptions!$C$6,D3209)),Assumptions!$D$6,IF(ISNUMBER(SEARCH(Assumptions!$C$7,D3209)),Assumptions!$D$7,"Other Services"))),"Other Services"))</f>
        <v/>
      </c>
    </row>
    <row r="3210" customFormat="false" ht="15" hidden="false" customHeight="false" outlineLevel="0" collapsed="false">
      <c r="J3210" s="41" t="str">
        <f aca="false">IF(D3210="","",IFERROR(IF(ISNUMBER(SEARCH(Assumptions!$C$5,D3210)),Assumptions!$D$5,IF(ISNUMBER(SEARCH(Assumptions!$C$6,D3210)),Assumptions!$D$6,IF(ISNUMBER(SEARCH(Assumptions!$C$7,D3210)),Assumptions!$D$7,"Other Services"))),"Other Services"))</f>
        <v/>
      </c>
    </row>
    <row r="3211" customFormat="false" ht="15" hidden="false" customHeight="false" outlineLevel="0" collapsed="false">
      <c r="J3211" s="41" t="str">
        <f aca="false">IF(D3211="","",IFERROR(IF(ISNUMBER(SEARCH(Assumptions!$C$5,D3211)),Assumptions!$D$5,IF(ISNUMBER(SEARCH(Assumptions!$C$6,D3211)),Assumptions!$D$6,IF(ISNUMBER(SEARCH(Assumptions!$C$7,D3211)),Assumptions!$D$7,"Other Services"))),"Other Services"))</f>
        <v/>
      </c>
    </row>
    <row r="3212" customFormat="false" ht="15" hidden="false" customHeight="false" outlineLevel="0" collapsed="false">
      <c r="J3212" s="41" t="str">
        <f aca="false">IF(D3212="","",IFERROR(IF(ISNUMBER(SEARCH(Assumptions!$C$5,D3212)),Assumptions!$D$5,IF(ISNUMBER(SEARCH(Assumptions!$C$6,D3212)),Assumptions!$D$6,IF(ISNUMBER(SEARCH(Assumptions!$C$7,D3212)),Assumptions!$D$7,"Other Services"))),"Other Services"))</f>
        <v/>
      </c>
    </row>
    <row r="3213" customFormat="false" ht="15" hidden="false" customHeight="false" outlineLevel="0" collapsed="false">
      <c r="J3213" s="41" t="str">
        <f aca="false">IF(D3213="","",IFERROR(IF(ISNUMBER(SEARCH(Assumptions!$C$5,D3213)),Assumptions!$D$5,IF(ISNUMBER(SEARCH(Assumptions!$C$6,D3213)),Assumptions!$D$6,IF(ISNUMBER(SEARCH(Assumptions!$C$7,D3213)),Assumptions!$D$7,"Other Services"))),"Other Services"))</f>
        <v/>
      </c>
    </row>
    <row r="3214" customFormat="false" ht="15" hidden="false" customHeight="false" outlineLevel="0" collapsed="false">
      <c r="J3214" s="41" t="str">
        <f aca="false">IF(D3214="","",IFERROR(IF(ISNUMBER(SEARCH(Assumptions!$C$5,D3214)),Assumptions!$D$5,IF(ISNUMBER(SEARCH(Assumptions!$C$6,D3214)),Assumptions!$D$6,IF(ISNUMBER(SEARCH(Assumptions!$C$7,D3214)),Assumptions!$D$7,"Other Services"))),"Other Services"))</f>
        <v/>
      </c>
    </row>
    <row r="3215" customFormat="false" ht="15" hidden="false" customHeight="false" outlineLevel="0" collapsed="false">
      <c r="J3215" s="41" t="str">
        <f aca="false">IF(D3215="","",IFERROR(IF(ISNUMBER(SEARCH(Assumptions!$C$5,D3215)),Assumptions!$D$5,IF(ISNUMBER(SEARCH(Assumptions!$C$6,D3215)),Assumptions!$D$6,IF(ISNUMBER(SEARCH(Assumptions!$C$7,D3215)),Assumptions!$D$7,"Other Services"))),"Other Services"))</f>
        <v/>
      </c>
    </row>
    <row r="3216" customFormat="false" ht="15" hidden="false" customHeight="false" outlineLevel="0" collapsed="false">
      <c r="J3216" s="41" t="str">
        <f aca="false">IF(D3216="","",IFERROR(IF(ISNUMBER(SEARCH(Assumptions!$C$5,D3216)),Assumptions!$D$5,IF(ISNUMBER(SEARCH(Assumptions!$C$6,D3216)),Assumptions!$D$6,IF(ISNUMBER(SEARCH(Assumptions!$C$7,D3216)),Assumptions!$D$7,"Other Services"))),"Other Services"))</f>
        <v/>
      </c>
    </row>
    <row r="3217" customFormat="false" ht="15" hidden="false" customHeight="false" outlineLevel="0" collapsed="false">
      <c r="J3217" s="41" t="str">
        <f aca="false">IF(D3217="","",IFERROR(IF(ISNUMBER(SEARCH(Assumptions!$C$5,D3217)),Assumptions!$D$5,IF(ISNUMBER(SEARCH(Assumptions!$C$6,D3217)),Assumptions!$D$6,IF(ISNUMBER(SEARCH(Assumptions!$C$7,D3217)),Assumptions!$D$7,"Other Services"))),"Other Services"))</f>
        <v/>
      </c>
    </row>
    <row r="3218" customFormat="false" ht="15" hidden="false" customHeight="false" outlineLevel="0" collapsed="false">
      <c r="J3218" s="41" t="str">
        <f aca="false">IF(D3218="","",IFERROR(IF(ISNUMBER(SEARCH(Assumptions!$C$5,D3218)),Assumptions!$D$5,IF(ISNUMBER(SEARCH(Assumptions!$C$6,D3218)),Assumptions!$D$6,IF(ISNUMBER(SEARCH(Assumptions!$C$7,D3218)),Assumptions!$D$7,"Other Services"))),"Other Services"))</f>
        <v/>
      </c>
    </row>
    <row r="3219" customFormat="false" ht="15" hidden="false" customHeight="false" outlineLevel="0" collapsed="false">
      <c r="J3219" s="41" t="str">
        <f aca="false">IF(D3219="","",IFERROR(IF(ISNUMBER(SEARCH(Assumptions!$C$5,D3219)),Assumptions!$D$5,IF(ISNUMBER(SEARCH(Assumptions!$C$6,D3219)),Assumptions!$D$6,IF(ISNUMBER(SEARCH(Assumptions!$C$7,D3219)),Assumptions!$D$7,"Other Services"))),"Other Services"))</f>
        <v/>
      </c>
    </row>
    <row r="3220" customFormat="false" ht="15" hidden="false" customHeight="false" outlineLevel="0" collapsed="false">
      <c r="J3220" s="41" t="str">
        <f aca="false">IF(D3220="","",IFERROR(IF(ISNUMBER(SEARCH(Assumptions!$C$5,D3220)),Assumptions!$D$5,IF(ISNUMBER(SEARCH(Assumptions!$C$6,D3220)),Assumptions!$D$6,IF(ISNUMBER(SEARCH(Assumptions!$C$7,D3220)),Assumptions!$D$7,"Other Services"))),"Other Services"))</f>
        <v/>
      </c>
    </row>
    <row r="3221" customFormat="false" ht="15" hidden="false" customHeight="false" outlineLevel="0" collapsed="false">
      <c r="J3221" s="41" t="str">
        <f aca="false">IF(D3221="","",IFERROR(IF(ISNUMBER(SEARCH(Assumptions!$C$5,D3221)),Assumptions!$D$5,IF(ISNUMBER(SEARCH(Assumptions!$C$6,D3221)),Assumptions!$D$6,IF(ISNUMBER(SEARCH(Assumptions!$C$7,D3221)),Assumptions!$D$7,"Other Services"))),"Other Services"))</f>
        <v/>
      </c>
    </row>
    <row r="3222" customFormat="false" ht="15" hidden="false" customHeight="false" outlineLevel="0" collapsed="false">
      <c r="J3222" s="41" t="str">
        <f aca="false">IF(D3222="","",IFERROR(IF(ISNUMBER(SEARCH(Assumptions!$C$5,D3222)),Assumptions!$D$5,IF(ISNUMBER(SEARCH(Assumptions!$C$6,D3222)),Assumptions!$D$6,IF(ISNUMBER(SEARCH(Assumptions!$C$7,D3222)),Assumptions!$D$7,"Other Services"))),"Other Services"))</f>
        <v/>
      </c>
    </row>
    <row r="3223" customFormat="false" ht="15" hidden="false" customHeight="false" outlineLevel="0" collapsed="false">
      <c r="J3223" s="41" t="str">
        <f aca="false">IF(D3223="","",IFERROR(IF(ISNUMBER(SEARCH(Assumptions!$C$5,D3223)),Assumptions!$D$5,IF(ISNUMBER(SEARCH(Assumptions!$C$6,D3223)),Assumptions!$D$6,IF(ISNUMBER(SEARCH(Assumptions!$C$7,D3223)),Assumptions!$D$7,"Other Services"))),"Other Services"))</f>
        <v/>
      </c>
    </row>
    <row r="3224" customFormat="false" ht="15" hidden="false" customHeight="false" outlineLevel="0" collapsed="false">
      <c r="J3224" s="41" t="str">
        <f aca="false">IF(D3224="","",IFERROR(IF(ISNUMBER(SEARCH(Assumptions!$C$5,D3224)),Assumptions!$D$5,IF(ISNUMBER(SEARCH(Assumptions!$C$6,D3224)),Assumptions!$D$6,IF(ISNUMBER(SEARCH(Assumptions!$C$7,D3224)),Assumptions!$D$7,"Other Services"))),"Other Services"))</f>
        <v/>
      </c>
    </row>
    <row r="3225" customFormat="false" ht="15" hidden="false" customHeight="false" outlineLevel="0" collapsed="false">
      <c r="J3225" s="41" t="str">
        <f aca="false">IF(D3225="","",IFERROR(IF(ISNUMBER(SEARCH(Assumptions!$C$5,D3225)),Assumptions!$D$5,IF(ISNUMBER(SEARCH(Assumptions!$C$6,D3225)),Assumptions!$D$6,IF(ISNUMBER(SEARCH(Assumptions!$C$7,D3225)),Assumptions!$D$7,"Other Services"))),"Other Services"))</f>
        <v/>
      </c>
    </row>
    <row r="3226" customFormat="false" ht="15" hidden="false" customHeight="false" outlineLevel="0" collapsed="false">
      <c r="J3226" s="41" t="str">
        <f aca="false">IF(D3226="","",IFERROR(IF(ISNUMBER(SEARCH(Assumptions!$C$5,D3226)),Assumptions!$D$5,IF(ISNUMBER(SEARCH(Assumptions!$C$6,D3226)),Assumptions!$D$6,IF(ISNUMBER(SEARCH(Assumptions!$C$7,D3226)),Assumptions!$D$7,"Other Services"))),"Other Services"))</f>
        <v/>
      </c>
    </row>
    <row r="3227" customFormat="false" ht="15" hidden="false" customHeight="false" outlineLevel="0" collapsed="false">
      <c r="J3227" s="41" t="str">
        <f aca="false">IF(D3227="","",IFERROR(IF(ISNUMBER(SEARCH(Assumptions!$C$5,D3227)),Assumptions!$D$5,IF(ISNUMBER(SEARCH(Assumptions!$C$6,D3227)),Assumptions!$D$6,IF(ISNUMBER(SEARCH(Assumptions!$C$7,D3227)),Assumptions!$D$7,"Other Services"))),"Other Services"))</f>
        <v/>
      </c>
    </row>
    <row r="3228" customFormat="false" ht="15" hidden="false" customHeight="false" outlineLevel="0" collapsed="false">
      <c r="J3228" s="41" t="str">
        <f aca="false">IF(D3228="","",IFERROR(IF(ISNUMBER(SEARCH(Assumptions!$C$5,D3228)),Assumptions!$D$5,IF(ISNUMBER(SEARCH(Assumptions!$C$6,D3228)),Assumptions!$D$6,IF(ISNUMBER(SEARCH(Assumptions!$C$7,D3228)),Assumptions!$D$7,"Other Services"))),"Other Services"))</f>
        <v/>
      </c>
    </row>
    <row r="3229" customFormat="false" ht="15" hidden="false" customHeight="false" outlineLevel="0" collapsed="false">
      <c r="J3229" s="41" t="str">
        <f aca="false">IF(D3229="","",IFERROR(IF(ISNUMBER(SEARCH(Assumptions!$C$5,D3229)),Assumptions!$D$5,IF(ISNUMBER(SEARCH(Assumptions!$C$6,D3229)),Assumptions!$D$6,IF(ISNUMBER(SEARCH(Assumptions!$C$7,D3229)),Assumptions!$D$7,"Other Services"))),"Other Services"))</f>
        <v/>
      </c>
    </row>
    <row r="3230" customFormat="false" ht="15" hidden="false" customHeight="false" outlineLevel="0" collapsed="false">
      <c r="J3230" s="41" t="str">
        <f aca="false">IF(D3230="","",IFERROR(IF(ISNUMBER(SEARCH(Assumptions!$C$5,D3230)),Assumptions!$D$5,IF(ISNUMBER(SEARCH(Assumptions!$C$6,D3230)),Assumptions!$D$6,IF(ISNUMBER(SEARCH(Assumptions!$C$7,D3230)),Assumptions!$D$7,"Other Services"))),"Other Services"))</f>
        <v/>
      </c>
    </row>
    <row r="3231" customFormat="false" ht="15" hidden="false" customHeight="false" outlineLevel="0" collapsed="false">
      <c r="J3231" s="41" t="str">
        <f aca="false">IF(D3231="","",IFERROR(IF(ISNUMBER(SEARCH(Assumptions!$C$5,D3231)),Assumptions!$D$5,IF(ISNUMBER(SEARCH(Assumptions!$C$6,D3231)),Assumptions!$D$6,IF(ISNUMBER(SEARCH(Assumptions!$C$7,D3231)),Assumptions!$D$7,"Other Services"))),"Other Services"))</f>
        <v/>
      </c>
    </row>
    <row r="3232" customFormat="false" ht="15" hidden="false" customHeight="false" outlineLevel="0" collapsed="false">
      <c r="J3232" s="41" t="str">
        <f aca="false">IF(D3232="","",IFERROR(IF(ISNUMBER(SEARCH(Assumptions!$C$5,D3232)),Assumptions!$D$5,IF(ISNUMBER(SEARCH(Assumptions!$C$6,D3232)),Assumptions!$D$6,IF(ISNUMBER(SEARCH(Assumptions!$C$7,D3232)),Assumptions!$D$7,"Other Services"))),"Other Services"))</f>
        <v/>
      </c>
    </row>
    <row r="3233" customFormat="false" ht="15" hidden="false" customHeight="false" outlineLevel="0" collapsed="false">
      <c r="J3233" s="41" t="str">
        <f aca="false">IF(D3233="","",IFERROR(IF(ISNUMBER(SEARCH(Assumptions!$C$5,D3233)),Assumptions!$D$5,IF(ISNUMBER(SEARCH(Assumptions!$C$6,D3233)),Assumptions!$D$6,IF(ISNUMBER(SEARCH(Assumptions!$C$7,D3233)),Assumptions!$D$7,"Other Services"))),"Other Services"))</f>
        <v/>
      </c>
    </row>
    <row r="3234" customFormat="false" ht="15" hidden="false" customHeight="false" outlineLevel="0" collapsed="false">
      <c r="J3234" s="41" t="str">
        <f aca="false">IF(D3234="","",IFERROR(IF(ISNUMBER(SEARCH(Assumptions!$C$5,D3234)),Assumptions!$D$5,IF(ISNUMBER(SEARCH(Assumptions!$C$6,D3234)),Assumptions!$D$6,IF(ISNUMBER(SEARCH(Assumptions!$C$7,D3234)),Assumptions!$D$7,"Other Services"))),"Other Services"))</f>
        <v/>
      </c>
    </row>
    <row r="3235" customFormat="false" ht="15" hidden="false" customHeight="false" outlineLevel="0" collapsed="false">
      <c r="J3235" s="41" t="str">
        <f aca="false">IF(D3235="","",IFERROR(IF(ISNUMBER(SEARCH(Assumptions!$C$5,D3235)),Assumptions!$D$5,IF(ISNUMBER(SEARCH(Assumptions!$C$6,D3235)),Assumptions!$D$6,IF(ISNUMBER(SEARCH(Assumptions!$C$7,D3235)),Assumptions!$D$7,"Other Services"))),"Other Services"))</f>
        <v/>
      </c>
    </row>
    <row r="3236" customFormat="false" ht="15" hidden="false" customHeight="false" outlineLevel="0" collapsed="false">
      <c r="J3236" s="41" t="str">
        <f aca="false">IF(D3236="","",IFERROR(IF(ISNUMBER(SEARCH(Assumptions!$C$5,D3236)),Assumptions!$D$5,IF(ISNUMBER(SEARCH(Assumptions!$C$6,D3236)),Assumptions!$D$6,IF(ISNUMBER(SEARCH(Assumptions!$C$7,D3236)),Assumptions!$D$7,"Other Services"))),"Other Services"))</f>
        <v/>
      </c>
    </row>
    <row r="3237" customFormat="false" ht="15" hidden="false" customHeight="false" outlineLevel="0" collapsed="false">
      <c r="J3237" s="41" t="str">
        <f aca="false">IF(D3237="","",IFERROR(IF(ISNUMBER(SEARCH(Assumptions!$C$5,D3237)),Assumptions!$D$5,IF(ISNUMBER(SEARCH(Assumptions!$C$6,D3237)),Assumptions!$D$6,IF(ISNUMBER(SEARCH(Assumptions!$C$7,D3237)),Assumptions!$D$7,"Other Services"))),"Other Services"))</f>
        <v/>
      </c>
    </row>
    <row r="3238" customFormat="false" ht="15" hidden="false" customHeight="false" outlineLevel="0" collapsed="false">
      <c r="J3238" s="41" t="str">
        <f aca="false">IF(D3238="","",IFERROR(IF(ISNUMBER(SEARCH(Assumptions!$C$5,D3238)),Assumptions!$D$5,IF(ISNUMBER(SEARCH(Assumptions!$C$6,D3238)),Assumptions!$D$6,IF(ISNUMBER(SEARCH(Assumptions!$C$7,D3238)),Assumptions!$D$7,"Other Services"))),"Other Services"))</f>
        <v/>
      </c>
    </row>
    <row r="3239" customFormat="false" ht="15" hidden="false" customHeight="false" outlineLevel="0" collapsed="false">
      <c r="J3239" s="41" t="str">
        <f aca="false">IF(D3239="","",IFERROR(IF(ISNUMBER(SEARCH(Assumptions!$C$5,D3239)),Assumptions!$D$5,IF(ISNUMBER(SEARCH(Assumptions!$C$6,D3239)),Assumptions!$D$6,IF(ISNUMBER(SEARCH(Assumptions!$C$7,D3239)),Assumptions!$D$7,"Other Services"))),"Other Services"))</f>
        <v/>
      </c>
    </row>
    <row r="3240" customFormat="false" ht="15" hidden="false" customHeight="false" outlineLevel="0" collapsed="false">
      <c r="J3240" s="41" t="str">
        <f aca="false">IF(D3240="","",IFERROR(IF(ISNUMBER(SEARCH(Assumptions!$C$5,D3240)),Assumptions!$D$5,IF(ISNUMBER(SEARCH(Assumptions!$C$6,D3240)),Assumptions!$D$6,IF(ISNUMBER(SEARCH(Assumptions!$C$7,D3240)),Assumptions!$D$7,"Other Services"))),"Other Services"))</f>
        <v/>
      </c>
    </row>
    <row r="3241" customFormat="false" ht="15" hidden="false" customHeight="false" outlineLevel="0" collapsed="false">
      <c r="J3241" s="41" t="str">
        <f aca="false">IF(D3241="","",IFERROR(IF(ISNUMBER(SEARCH(Assumptions!$C$5,D3241)),Assumptions!$D$5,IF(ISNUMBER(SEARCH(Assumptions!$C$6,D3241)),Assumptions!$D$6,IF(ISNUMBER(SEARCH(Assumptions!$C$7,D3241)),Assumptions!$D$7,"Other Services"))),"Other Services"))</f>
        <v/>
      </c>
    </row>
    <row r="3242" customFormat="false" ht="15" hidden="false" customHeight="false" outlineLevel="0" collapsed="false">
      <c r="J3242" s="41" t="str">
        <f aca="false">IF(D3242="","",IFERROR(IF(ISNUMBER(SEARCH(Assumptions!$C$5,D3242)),Assumptions!$D$5,IF(ISNUMBER(SEARCH(Assumptions!$C$6,D3242)),Assumptions!$D$6,IF(ISNUMBER(SEARCH(Assumptions!$C$7,D3242)),Assumptions!$D$7,"Other Services"))),"Other Services"))</f>
        <v/>
      </c>
    </row>
    <row r="3243" customFormat="false" ht="15" hidden="false" customHeight="false" outlineLevel="0" collapsed="false">
      <c r="J3243" s="41" t="str">
        <f aca="false">IF(D3243="","",IFERROR(IF(ISNUMBER(SEARCH(Assumptions!$C$5,D3243)),Assumptions!$D$5,IF(ISNUMBER(SEARCH(Assumptions!$C$6,D3243)),Assumptions!$D$6,IF(ISNUMBER(SEARCH(Assumptions!$C$7,D3243)),Assumptions!$D$7,"Other Services"))),"Other Services"))</f>
        <v/>
      </c>
    </row>
    <row r="3244" customFormat="false" ht="15" hidden="false" customHeight="false" outlineLevel="0" collapsed="false">
      <c r="J3244" s="41" t="str">
        <f aca="false">IF(D3244="","",IFERROR(IF(ISNUMBER(SEARCH(Assumptions!$C$5,D3244)),Assumptions!$D$5,IF(ISNUMBER(SEARCH(Assumptions!$C$6,D3244)),Assumptions!$D$6,IF(ISNUMBER(SEARCH(Assumptions!$C$7,D3244)),Assumptions!$D$7,"Other Services"))),"Other Services"))</f>
        <v/>
      </c>
    </row>
    <row r="3245" customFormat="false" ht="15" hidden="false" customHeight="false" outlineLevel="0" collapsed="false">
      <c r="J3245" s="41" t="str">
        <f aca="false">IF(D3245="","",IFERROR(IF(ISNUMBER(SEARCH(Assumptions!$C$5,D3245)),Assumptions!$D$5,IF(ISNUMBER(SEARCH(Assumptions!$C$6,D3245)),Assumptions!$D$6,IF(ISNUMBER(SEARCH(Assumptions!$C$7,D3245)),Assumptions!$D$7,"Other Services"))),"Other Services"))</f>
        <v/>
      </c>
    </row>
    <row r="3246" customFormat="false" ht="15" hidden="false" customHeight="false" outlineLevel="0" collapsed="false">
      <c r="J3246" s="41" t="str">
        <f aca="false">IF(D3246="","",IFERROR(IF(ISNUMBER(SEARCH(Assumptions!$C$5,D3246)),Assumptions!$D$5,IF(ISNUMBER(SEARCH(Assumptions!$C$6,D3246)),Assumptions!$D$6,IF(ISNUMBER(SEARCH(Assumptions!$C$7,D3246)),Assumptions!$D$7,"Other Services"))),"Other Services"))</f>
        <v/>
      </c>
    </row>
    <row r="3247" customFormat="false" ht="15" hidden="false" customHeight="false" outlineLevel="0" collapsed="false">
      <c r="J3247" s="41" t="str">
        <f aca="false">IF(D3247="","",IFERROR(IF(ISNUMBER(SEARCH(Assumptions!$C$5,D3247)),Assumptions!$D$5,IF(ISNUMBER(SEARCH(Assumptions!$C$6,D3247)),Assumptions!$D$6,IF(ISNUMBER(SEARCH(Assumptions!$C$7,D3247)),Assumptions!$D$7,"Other Services"))),"Other Services"))</f>
        <v/>
      </c>
    </row>
    <row r="3248" customFormat="false" ht="15" hidden="false" customHeight="false" outlineLevel="0" collapsed="false">
      <c r="J3248" s="41" t="str">
        <f aca="false">IF(D3248="","",IFERROR(IF(ISNUMBER(SEARCH(Assumptions!$C$5,D3248)),Assumptions!$D$5,IF(ISNUMBER(SEARCH(Assumptions!$C$6,D3248)),Assumptions!$D$6,IF(ISNUMBER(SEARCH(Assumptions!$C$7,D3248)),Assumptions!$D$7,"Other Services"))),"Other Services"))</f>
        <v/>
      </c>
    </row>
    <row r="3249" customFormat="false" ht="15" hidden="false" customHeight="false" outlineLevel="0" collapsed="false">
      <c r="J3249" s="41" t="str">
        <f aca="false">IF(D3249="","",IFERROR(IF(ISNUMBER(SEARCH(Assumptions!$C$5,D3249)),Assumptions!$D$5,IF(ISNUMBER(SEARCH(Assumptions!$C$6,D3249)),Assumptions!$D$6,IF(ISNUMBER(SEARCH(Assumptions!$C$7,D3249)),Assumptions!$D$7,"Other Services"))),"Other Services"))</f>
        <v/>
      </c>
    </row>
    <row r="3250" customFormat="false" ht="15" hidden="false" customHeight="false" outlineLevel="0" collapsed="false">
      <c r="J3250" s="41" t="str">
        <f aca="false">IF(D3250="","",IFERROR(IF(ISNUMBER(SEARCH(Assumptions!$C$5,D3250)),Assumptions!$D$5,IF(ISNUMBER(SEARCH(Assumptions!$C$6,D3250)),Assumptions!$D$6,IF(ISNUMBER(SEARCH(Assumptions!$C$7,D3250)),Assumptions!$D$7,"Other Services"))),"Other Services"))</f>
        <v/>
      </c>
    </row>
    <row r="3251" customFormat="false" ht="15" hidden="false" customHeight="false" outlineLevel="0" collapsed="false">
      <c r="J3251" s="41" t="str">
        <f aca="false">IF(D3251="","",IFERROR(IF(ISNUMBER(SEARCH(Assumptions!$C$5,D3251)),Assumptions!$D$5,IF(ISNUMBER(SEARCH(Assumptions!$C$6,D3251)),Assumptions!$D$6,IF(ISNUMBER(SEARCH(Assumptions!$C$7,D3251)),Assumptions!$D$7,"Other Services"))),"Other Services"))</f>
        <v/>
      </c>
    </row>
    <row r="3252" customFormat="false" ht="15" hidden="false" customHeight="false" outlineLevel="0" collapsed="false">
      <c r="J3252" s="41" t="str">
        <f aca="false">IF(D3252="","",IFERROR(IF(ISNUMBER(SEARCH(Assumptions!$C$5,D3252)),Assumptions!$D$5,IF(ISNUMBER(SEARCH(Assumptions!$C$6,D3252)),Assumptions!$D$6,IF(ISNUMBER(SEARCH(Assumptions!$C$7,D3252)),Assumptions!$D$7,"Other Services"))),"Other Services"))</f>
        <v/>
      </c>
    </row>
    <row r="3253" customFormat="false" ht="15" hidden="false" customHeight="false" outlineLevel="0" collapsed="false">
      <c r="J3253" s="41" t="str">
        <f aca="false">IF(D3253="","",IFERROR(IF(ISNUMBER(SEARCH(Assumptions!$C$5,D3253)),Assumptions!$D$5,IF(ISNUMBER(SEARCH(Assumptions!$C$6,D3253)),Assumptions!$D$6,IF(ISNUMBER(SEARCH(Assumptions!$C$7,D3253)),Assumptions!$D$7,"Other Services"))),"Other Services"))</f>
        <v/>
      </c>
    </row>
    <row r="3254" customFormat="false" ht="15" hidden="false" customHeight="false" outlineLevel="0" collapsed="false">
      <c r="J3254" s="41" t="str">
        <f aca="false">IF(D3254="","",IFERROR(IF(ISNUMBER(SEARCH(Assumptions!$C$5,D3254)),Assumptions!$D$5,IF(ISNUMBER(SEARCH(Assumptions!$C$6,D3254)),Assumptions!$D$6,IF(ISNUMBER(SEARCH(Assumptions!$C$7,D3254)),Assumptions!$D$7,"Other Services"))),"Other Services"))</f>
        <v/>
      </c>
    </row>
    <row r="3255" customFormat="false" ht="15" hidden="false" customHeight="false" outlineLevel="0" collapsed="false">
      <c r="J3255" s="41" t="str">
        <f aca="false">IF(D3255="","",IFERROR(IF(ISNUMBER(SEARCH(Assumptions!$C$5,D3255)),Assumptions!$D$5,IF(ISNUMBER(SEARCH(Assumptions!$C$6,D3255)),Assumptions!$D$6,IF(ISNUMBER(SEARCH(Assumptions!$C$7,D3255)),Assumptions!$D$7,"Other Services"))),"Other Services"))</f>
        <v/>
      </c>
    </row>
    <row r="3256" customFormat="false" ht="15" hidden="false" customHeight="false" outlineLevel="0" collapsed="false">
      <c r="J3256" s="41" t="str">
        <f aca="false">IF(D3256="","",IFERROR(IF(ISNUMBER(SEARCH(Assumptions!$C$5,D3256)),Assumptions!$D$5,IF(ISNUMBER(SEARCH(Assumptions!$C$6,D3256)),Assumptions!$D$6,IF(ISNUMBER(SEARCH(Assumptions!$C$7,D3256)),Assumptions!$D$7,"Other Services"))),"Other Services"))</f>
        <v/>
      </c>
    </row>
    <row r="3257" customFormat="false" ht="15" hidden="false" customHeight="false" outlineLevel="0" collapsed="false">
      <c r="J3257" s="41" t="str">
        <f aca="false">IF(D3257="","",IFERROR(IF(ISNUMBER(SEARCH(Assumptions!$C$5,D3257)),Assumptions!$D$5,IF(ISNUMBER(SEARCH(Assumptions!$C$6,D3257)),Assumptions!$D$6,IF(ISNUMBER(SEARCH(Assumptions!$C$7,D3257)),Assumptions!$D$7,"Other Services"))),"Other Services"))</f>
        <v/>
      </c>
    </row>
    <row r="3258" customFormat="false" ht="15" hidden="false" customHeight="false" outlineLevel="0" collapsed="false">
      <c r="J3258" s="41" t="str">
        <f aca="false">IF(D3258="","",IFERROR(IF(ISNUMBER(SEARCH(Assumptions!$C$5,D3258)),Assumptions!$D$5,IF(ISNUMBER(SEARCH(Assumptions!$C$6,D3258)),Assumptions!$D$6,IF(ISNUMBER(SEARCH(Assumptions!$C$7,D3258)),Assumptions!$D$7,"Other Services"))),"Other Services"))</f>
        <v/>
      </c>
    </row>
    <row r="3259" customFormat="false" ht="15" hidden="false" customHeight="false" outlineLevel="0" collapsed="false">
      <c r="J3259" s="41" t="str">
        <f aca="false">IF(D3259="","",IFERROR(IF(ISNUMBER(SEARCH(Assumptions!$C$5,D3259)),Assumptions!$D$5,IF(ISNUMBER(SEARCH(Assumptions!$C$6,D3259)),Assumptions!$D$6,IF(ISNUMBER(SEARCH(Assumptions!$C$7,D3259)),Assumptions!$D$7,"Other Services"))),"Other Services"))</f>
        <v/>
      </c>
    </row>
    <row r="3260" customFormat="false" ht="15" hidden="false" customHeight="false" outlineLevel="0" collapsed="false">
      <c r="J3260" s="41" t="str">
        <f aca="false">IF(D3260="","",IFERROR(IF(ISNUMBER(SEARCH(Assumptions!$C$5,D3260)),Assumptions!$D$5,IF(ISNUMBER(SEARCH(Assumptions!$C$6,D3260)),Assumptions!$D$6,IF(ISNUMBER(SEARCH(Assumptions!$C$7,D3260)),Assumptions!$D$7,"Other Services"))),"Other Services"))</f>
        <v/>
      </c>
    </row>
    <row r="3261" customFormat="false" ht="15" hidden="false" customHeight="false" outlineLevel="0" collapsed="false">
      <c r="J3261" s="41" t="str">
        <f aca="false">IF(D3261="","",IFERROR(IF(ISNUMBER(SEARCH(Assumptions!$C$5,D3261)),Assumptions!$D$5,IF(ISNUMBER(SEARCH(Assumptions!$C$6,D3261)),Assumptions!$D$6,IF(ISNUMBER(SEARCH(Assumptions!$C$7,D3261)),Assumptions!$D$7,"Other Services"))),"Other Services"))</f>
        <v/>
      </c>
    </row>
    <row r="3262" customFormat="false" ht="15" hidden="false" customHeight="false" outlineLevel="0" collapsed="false">
      <c r="J3262" s="41" t="str">
        <f aca="false">IF(D3262="","",IFERROR(IF(ISNUMBER(SEARCH(Assumptions!$C$5,D3262)),Assumptions!$D$5,IF(ISNUMBER(SEARCH(Assumptions!$C$6,D3262)),Assumptions!$D$6,IF(ISNUMBER(SEARCH(Assumptions!$C$7,D3262)),Assumptions!$D$7,"Other Services"))),"Other Services"))</f>
        <v/>
      </c>
    </row>
    <row r="3263" customFormat="false" ht="15" hidden="false" customHeight="false" outlineLevel="0" collapsed="false">
      <c r="J3263" s="41" t="str">
        <f aca="false">IF(D3263="","",IFERROR(IF(ISNUMBER(SEARCH(Assumptions!$C$5,D3263)),Assumptions!$D$5,IF(ISNUMBER(SEARCH(Assumptions!$C$6,D3263)),Assumptions!$D$6,IF(ISNUMBER(SEARCH(Assumptions!$C$7,D3263)),Assumptions!$D$7,"Other Services"))),"Other Services"))</f>
        <v/>
      </c>
    </row>
    <row r="3264" customFormat="false" ht="15" hidden="false" customHeight="false" outlineLevel="0" collapsed="false">
      <c r="J3264" s="41" t="str">
        <f aca="false">IF(D3264="","",IFERROR(IF(ISNUMBER(SEARCH(Assumptions!$C$5,D3264)),Assumptions!$D$5,IF(ISNUMBER(SEARCH(Assumptions!$C$6,D3264)),Assumptions!$D$6,IF(ISNUMBER(SEARCH(Assumptions!$C$7,D3264)),Assumptions!$D$7,"Other Services"))),"Other Services"))</f>
        <v/>
      </c>
    </row>
    <row r="3265" customFormat="false" ht="15" hidden="false" customHeight="false" outlineLevel="0" collapsed="false">
      <c r="J3265" s="41" t="str">
        <f aca="false">IF(D3265="","",IFERROR(IF(ISNUMBER(SEARCH(Assumptions!$C$5,D3265)),Assumptions!$D$5,IF(ISNUMBER(SEARCH(Assumptions!$C$6,D3265)),Assumptions!$D$6,IF(ISNUMBER(SEARCH(Assumptions!$C$7,D3265)),Assumptions!$D$7,"Other Services"))),"Other Services"))</f>
        <v/>
      </c>
    </row>
    <row r="3266" customFormat="false" ht="15" hidden="false" customHeight="false" outlineLevel="0" collapsed="false">
      <c r="J3266" s="41" t="str">
        <f aca="false">IF(D3266="","",IFERROR(IF(ISNUMBER(SEARCH(Assumptions!$C$5,D3266)),Assumptions!$D$5,IF(ISNUMBER(SEARCH(Assumptions!$C$6,D3266)),Assumptions!$D$6,IF(ISNUMBER(SEARCH(Assumptions!$C$7,D3266)),Assumptions!$D$7,"Other Services"))),"Other Services"))</f>
        <v/>
      </c>
    </row>
    <row r="3267" customFormat="false" ht="15" hidden="false" customHeight="false" outlineLevel="0" collapsed="false">
      <c r="J3267" s="41" t="str">
        <f aca="false">IF(D3267="","",IFERROR(IF(ISNUMBER(SEARCH(Assumptions!$C$5,D3267)),Assumptions!$D$5,IF(ISNUMBER(SEARCH(Assumptions!$C$6,D3267)),Assumptions!$D$6,IF(ISNUMBER(SEARCH(Assumptions!$C$7,D3267)),Assumptions!$D$7,"Other Services"))),"Other Services"))</f>
        <v/>
      </c>
    </row>
    <row r="3268" customFormat="false" ht="15" hidden="false" customHeight="false" outlineLevel="0" collapsed="false">
      <c r="J3268" s="41" t="str">
        <f aca="false">IF(D3268="","",IFERROR(IF(ISNUMBER(SEARCH(Assumptions!$C$5,D3268)),Assumptions!$D$5,IF(ISNUMBER(SEARCH(Assumptions!$C$6,D3268)),Assumptions!$D$6,IF(ISNUMBER(SEARCH(Assumptions!$C$7,D3268)),Assumptions!$D$7,"Other Services"))),"Other Services"))</f>
        <v/>
      </c>
    </row>
    <row r="3269" customFormat="false" ht="15" hidden="false" customHeight="false" outlineLevel="0" collapsed="false">
      <c r="J3269" s="41" t="str">
        <f aca="false">IF(D3269="","",IFERROR(IF(ISNUMBER(SEARCH(Assumptions!$C$5,D3269)),Assumptions!$D$5,IF(ISNUMBER(SEARCH(Assumptions!$C$6,D3269)),Assumptions!$D$6,IF(ISNUMBER(SEARCH(Assumptions!$C$7,D3269)),Assumptions!$D$7,"Other Services"))),"Other Services"))</f>
        <v/>
      </c>
    </row>
    <row r="3270" customFormat="false" ht="15" hidden="false" customHeight="false" outlineLevel="0" collapsed="false">
      <c r="J3270" s="41" t="str">
        <f aca="false">IF(D3270="","",IFERROR(IF(ISNUMBER(SEARCH(Assumptions!$C$5,D3270)),Assumptions!$D$5,IF(ISNUMBER(SEARCH(Assumptions!$C$6,D3270)),Assumptions!$D$6,IF(ISNUMBER(SEARCH(Assumptions!$C$7,D3270)),Assumptions!$D$7,"Other Services"))),"Other Services"))</f>
        <v/>
      </c>
    </row>
    <row r="3271" customFormat="false" ht="15" hidden="false" customHeight="false" outlineLevel="0" collapsed="false">
      <c r="J3271" s="41" t="str">
        <f aca="false">IF(D3271="","",IFERROR(IF(ISNUMBER(SEARCH(Assumptions!$C$5,D3271)),Assumptions!$D$5,IF(ISNUMBER(SEARCH(Assumptions!$C$6,D3271)),Assumptions!$D$6,IF(ISNUMBER(SEARCH(Assumptions!$C$7,D3271)),Assumptions!$D$7,"Other Services"))),"Other Services"))</f>
        <v/>
      </c>
    </row>
    <row r="3272" customFormat="false" ht="15" hidden="false" customHeight="false" outlineLevel="0" collapsed="false">
      <c r="J3272" s="41" t="str">
        <f aca="false">IF(D3272="","",IFERROR(IF(ISNUMBER(SEARCH(Assumptions!$C$5,D3272)),Assumptions!$D$5,IF(ISNUMBER(SEARCH(Assumptions!$C$6,D3272)),Assumptions!$D$6,IF(ISNUMBER(SEARCH(Assumptions!$C$7,D3272)),Assumptions!$D$7,"Other Services"))),"Other Services"))</f>
        <v/>
      </c>
    </row>
    <row r="3273" customFormat="false" ht="15" hidden="false" customHeight="false" outlineLevel="0" collapsed="false">
      <c r="J3273" s="41" t="str">
        <f aca="false">IF(D3273="","",IFERROR(IF(ISNUMBER(SEARCH(Assumptions!$C$5,D3273)),Assumptions!$D$5,IF(ISNUMBER(SEARCH(Assumptions!$C$6,D3273)),Assumptions!$D$6,IF(ISNUMBER(SEARCH(Assumptions!$C$7,D3273)),Assumptions!$D$7,"Other Services"))),"Other Services"))</f>
        <v/>
      </c>
    </row>
    <row r="3274" customFormat="false" ht="15" hidden="false" customHeight="false" outlineLevel="0" collapsed="false">
      <c r="J3274" s="41" t="str">
        <f aca="false">IF(D3274="","",IFERROR(IF(ISNUMBER(SEARCH(Assumptions!$C$5,D3274)),Assumptions!$D$5,IF(ISNUMBER(SEARCH(Assumptions!$C$6,D3274)),Assumptions!$D$6,IF(ISNUMBER(SEARCH(Assumptions!$C$7,D3274)),Assumptions!$D$7,"Other Services"))),"Other Services"))</f>
        <v/>
      </c>
    </row>
    <row r="3275" customFormat="false" ht="15" hidden="false" customHeight="false" outlineLevel="0" collapsed="false">
      <c r="J3275" s="41" t="str">
        <f aca="false">IF(D3275="","",IFERROR(IF(ISNUMBER(SEARCH(Assumptions!$C$5,D3275)),Assumptions!$D$5,IF(ISNUMBER(SEARCH(Assumptions!$C$6,D3275)),Assumptions!$D$6,IF(ISNUMBER(SEARCH(Assumptions!$C$7,D3275)),Assumptions!$D$7,"Other Services"))),"Other Services"))</f>
        <v/>
      </c>
    </row>
    <row r="3276" customFormat="false" ht="15" hidden="false" customHeight="false" outlineLevel="0" collapsed="false">
      <c r="J3276" s="41" t="str">
        <f aca="false">IF(D3276="","",IFERROR(IF(ISNUMBER(SEARCH(Assumptions!$C$5,D3276)),Assumptions!$D$5,IF(ISNUMBER(SEARCH(Assumptions!$C$6,D3276)),Assumptions!$D$6,IF(ISNUMBER(SEARCH(Assumptions!$C$7,D3276)),Assumptions!$D$7,"Other Services"))),"Other Services"))</f>
        <v/>
      </c>
    </row>
    <row r="3277" customFormat="false" ht="15" hidden="false" customHeight="false" outlineLevel="0" collapsed="false">
      <c r="J3277" s="41" t="str">
        <f aca="false">IF(D3277="","",IFERROR(IF(ISNUMBER(SEARCH(Assumptions!$C$5,D3277)),Assumptions!$D$5,IF(ISNUMBER(SEARCH(Assumptions!$C$6,D3277)),Assumptions!$D$6,IF(ISNUMBER(SEARCH(Assumptions!$C$7,D3277)),Assumptions!$D$7,"Other Services"))),"Other Services"))</f>
        <v/>
      </c>
    </row>
    <row r="3278" customFormat="false" ht="15" hidden="false" customHeight="false" outlineLevel="0" collapsed="false">
      <c r="J3278" s="41" t="str">
        <f aca="false">IF(D3278="","",IFERROR(IF(ISNUMBER(SEARCH(Assumptions!$C$5,D3278)),Assumptions!$D$5,IF(ISNUMBER(SEARCH(Assumptions!$C$6,D3278)),Assumptions!$D$6,IF(ISNUMBER(SEARCH(Assumptions!$C$7,D3278)),Assumptions!$D$7,"Other Services"))),"Other Services"))</f>
        <v/>
      </c>
    </row>
    <row r="3279" customFormat="false" ht="15" hidden="false" customHeight="false" outlineLevel="0" collapsed="false">
      <c r="J3279" s="41" t="str">
        <f aca="false">IF(D3279="","",IFERROR(IF(ISNUMBER(SEARCH(Assumptions!$C$5,D3279)),Assumptions!$D$5,IF(ISNUMBER(SEARCH(Assumptions!$C$6,D3279)),Assumptions!$D$6,IF(ISNUMBER(SEARCH(Assumptions!$C$7,D3279)),Assumptions!$D$7,"Other Services"))),"Other Services"))</f>
        <v/>
      </c>
    </row>
    <row r="3280" customFormat="false" ht="15" hidden="false" customHeight="false" outlineLevel="0" collapsed="false">
      <c r="J3280" s="41" t="str">
        <f aca="false">IF(D3280="","",IFERROR(IF(ISNUMBER(SEARCH(Assumptions!$C$5,D3280)),Assumptions!$D$5,IF(ISNUMBER(SEARCH(Assumptions!$C$6,D3280)),Assumptions!$D$6,IF(ISNUMBER(SEARCH(Assumptions!$C$7,D3280)),Assumptions!$D$7,"Other Services"))),"Other Services"))</f>
        <v/>
      </c>
    </row>
    <row r="3281" customFormat="false" ht="15" hidden="false" customHeight="false" outlineLevel="0" collapsed="false">
      <c r="J3281" s="41" t="str">
        <f aca="false">IF(D3281="","",IFERROR(IF(ISNUMBER(SEARCH(Assumptions!$C$5,D3281)),Assumptions!$D$5,IF(ISNUMBER(SEARCH(Assumptions!$C$6,D3281)),Assumptions!$D$6,IF(ISNUMBER(SEARCH(Assumptions!$C$7,D3281)),Assumptions!$D$7,"Other Services"))),"Other Services"))</f>
        <v/>
      </c>
    </row>
    <row r="3282" customFormat="false" ht="15" hidden="false" customHeight="false" outlineLevel="0" collapsed="false">
      <c r="J3282" s="41" t="str">
        <f aca="false">IF(D3282="","",IFERROR(IF(ISNUMBER(SEARCH(Assumptions!$C$5,D3282)),Assumptions!$D$5,IF(ISNUMBER(SEARCH(Assumptions!$C$6,D3282)),Assumptions!$D$6,IF(ISNUMBER(SEARCH(Assumptions!$C$7,D3282)),Assumptions!$D$7,"Other Services"))),"Other Services"))</f>
        <v/>
      </c>
    </row>
    <row r="3283" customFormat="false" ht="15" hidden="false" customHeight="false" outlineLevel="0" collapsed="false">
      <c r="J3283" s="41" t="str">
        <f aca="false">IF(D3283="","",IFERROR(IF(ISNUMBER(SEARCH(Assumptions!$C$5,D3283)),Assumptions!$D$5,IF(ISNUMBER(SEARCH(Assumptions!$C$6,D3283)),Assumptions!$D$6,IF(ISNUMBER(SEARCH(Assumptions!$C$7,D3283)),Assumptions!$D$7,"Other Services"))),"Other Services"))</f>
        <v/>
      </c>
    </row>
    <row r="3284" customFormat="false" ht="15" hidden="false" customHeight="false" outlineLevel="0" collapsed="false">
      <c r="J3284" s="41" t="str">
        <f aca="false">IF(D3284="","",IFERROR(IF(ISNUMBER(SEARCH(Assumptions!$C$5,D3284)),Assumptions!$D$5,IF(ISNUMBER(SEARCH(Assumptions!$C$6,D3284)),Assumptions!$D$6,IF(ISNUMBER(SEARCH(Assumptions!$C$7,D3284)),Assumptions!$D$7,"Other Services"))),"Other Services"))</f>
        <v/>
      </c>
    </row>
    <row r="3285" customFormat="false" ht="15" hidden="false" customHeight="false" outlineLevel="0" collapsed="false">
      <c r="J3285" s="41" t="str">
        <f aca="false">IF(D3285="","",IFERROR(IF(ISNUMBER(SEARCH(Assumptions!$C$5,D3285)),Assumptions!$D$5,IF(ISNUMBER(SEARCH(Assumptions!$C$6,D3285)),Assumptions!$D$6,IF(ISNUMBER(SEARCH(Assumptions!$C$7,D3285)),Assumptions!$D$7,"Other Services"))),"Other Services"))</f>
        <v/>
      </c>
    </row>
    <row r="3286" customFormat="false" ht="15" hidden="false" customHeight="false" outlineLevel="0" collapsed="false">
      <c r="J3286" s="41" t="str">
        <f aca="false">IF(D3286="","",IFERROR(IF(ISNUMBER(SEARCH(Assumptions!$C$5,D3286)),Assumptions!$D$5,IF(ISNUMBER(SEARCH(Assumptions!$C$6,D3286)),Assumptions!$D$6,IF(ISNUMBER(SEARCH(Assumptions!$C$7,D3286)),Assumptions!$D$7,"Other Services"))),"Other Services"))</f>
        <v/>
      </c>
    </row>
    <row r="3287" customFormat="false" ht="15" hidden="false" customHeight="false" outlineLevel="0" collapsed="false">
      <c r="J3287" s="41" t="str">
        <f aca="false">IF(D3287="","",IFERROR(IF(ISNUMBER(SEARCH(Assumptions!$C$5,D3287)),Assumptions!$D$5,IF(ISNUMBER(SEARCH(Assumptions!$C$6,D3287)),Assumptions!$D$6,IF(ISNUMBER(SEARCH(Assumptions!$C$7,D3287)),Assumptions!$D$7,"Other Services"))),"Other Services"))</f>
        <v/>
      </c>
    </row>
    <row r="3288" customFormat="false" ht="15" hidden="false" customHeight="false" outlineLevel="0" collapsed="false">
      <c r="J3288" s="41" t="str">
        <f aca="false">IF(D3288="","",IFERROR(IF(ISNUMBER(SEARCH(Assumptions!$C$5,D3288)),Assumptions!$D$5,IF(ISNUMBER(SEARCH(Assumptions!$C$6,D3288)),Assumptions!$D$6,IF(ISNUMBER(SEARCH(Assumptions!$C$7,D3288)),Assumptions!$D$7,"Other Services"))),"Other Services"))</f>
        <v/>
      </c>
    </row>
    <row r="3289" customFormat="false" ht="15" hidden="false" customHeight="false" outlineLevel="0" collapsed="false">
      <c r="J3289" s="41" t="str">
        <f aca="false">IF(D3289="","",IFERROR(IF(ISNUMBER(SEARCH(Assumptions!$C$5,D3289)),Assumptions!$D$5,IF(ISNUMBER(SEARCH(Assumptions!$C$6,D3289)),Assumptions!$D$6,IF(ISNUMBER(SEARCH(Assumptions!$C$7,D3289)),Assumptions!$D$7,"Other Services"))),"Other Services"))</f>
        <v/>
      </c>
    </row>
    <row r="3290" customFormat="false" ht="15" hidden="false" customHeight="false" outlineLevel="0" collapsed="false">
      <c r="J3290" s="41" t="str">
        <f aca="false">IF(D3290="","",IFERROR(IF(ISNUMBER(SEARCH(Assumptions!$C$5,D3290)),Assumptions!$D$5,IF(ISNUMBER(SEARCH(Assumptions!$C$6,D3290)),Assumptions!$D$6,IF(ISNUMBER(SEARCH(Assumptions!$C$7,D3290)),Assumptions!$D$7,"Other Services"))),"Other Services"))</f>
        <v/>
      </c>
    </row>
    <row r="3291" customFormat="false" ht="15" hidden="false" customHeight="false" outlineLevel="0" collapsed="false">
      <c r="J3291" s="41" t="str">
        <f aca="false">IF(D3291="","",IFERROR(IF(ISNUMBER(SEARCH(Assumptions!$C$5,D3291)),Assumptions!$D$5,IF(ISNUMBER(SEARCH(Assumptions!$C$6,D3291)),Assumptions!$D$6,IF(ISNUMBER(SEARCH(Assumptions!$C$7,D3291)),Assumptions!$D$7,"Other Services"))),"Other Services"))</f>
        <v/>
      </c>
    </row>
    <row r="3292" customFormat="false" ht="15" hidden="false" customHeight="false" outlineLevel="0" collapsed="false">
      <c r="J3292" s="41" t="str">
        <f aca="false">IF(D3292="","",IFERROR(IF(ISNUMBER(SEARCH(Assumptions!$C$5,D3292)),Assumptions!$D$5,IF(ISNUMBER(SEARCH(Assumptions!$C$6,D3292)),Assumptions!$D$6,IF(ISNUMBER(SEARCH(Assumptions!$C$7,D3292)),Assumptions!$D$7,"Other Services"))),"Other Services"))</f>
        <v/>
      </c>
    </row>
    <row r="3293" customFormat="false" ht="15" hidden="false" customHeight="false" outlineLevel="0" collapsed="false">
      <c r="J3293" s="41" t="str">
        <f aca="false">IF(D3293="","",IFERROR(IF(ISNUMBER(SEARCH(Assumptions!$C$5,D3293)),Assumptions!$D$5,IF(ISNUMBER(SEARCH(Assumptions!$C$6,D3293)),Assumptions!$D$6,IF(ISNUMBER(SEARCH(Assumptions!$C$7,D3293)),Assumptions!$D$7,"Other Services"))),"Other Services"))</f>
        <v/>
      </c>
    </row>
    <row r="3294" customFormat="false" ht="15" hidden="false" customHeight="false" outlineLevel="0" collapsed="false">
      <c r="J3294" s="41" t="str">
        <f aca="false">IF(D3294="","",IFERROR(IF(ISNUMBER(SEARCH(Assumptions!$C$5,D3294)),Assumptions!$D$5,IF(ISNUMBER(SEARCH(Assumptions!$C$6,D3294)),Assumptions!$D$6,IF(ISNUMBER(SEARCH(Assumptions!$C$7,D3294)),Assumptions!$D$7,"Other Services"))),"Other Services"))</f>
        <v/>
      </c>
    </row>
    <row r="3295" customFormat="false" ht="15" hidden="false" customHeight="false" outlineLevel="0" collapsed="false">
      <c r="J3295" s="41" t="str">
        <f aca="false">IF(D3295="","",IFERROR(IF(ISNUMBER(SEARCH(Assumptions!$C$5,D3295)),Assumptions!$D$5,IF(ISNUMBER(SEARCH(Assumptions!$C$6,D3295)),Assumptions!$D$6,IF(ISNUMBER(SEARCH(Assumptions!$C$7,D3295)),Assumptions!$D$7,"Other Services"))),"Other Services"))</f>
        <v/>
      </c>
    </row>
    <row r="3296" customFormat="false" ht="15" hidden="false" customHeight="false" outlineLevel="0" collapsed="false">
      <c r="J3296" s="41" t="str">
        <f aca="false">IF(D3296="","",IFERROR(IF(ISNUMBER(SEARCH(Assumptions!$C$5,D3296)),Assumptions!$D$5,IF(ISNUMBER(SEARCH(Assumptions!$C$6,D3296)),Assumptions!$D$6,IF(ISNUMBER(SEARCH(Assumptions!$C$7,D3296)),Assumptions!$D$7,"Other Services"))),"Other Services"))</f>
        <v/>
      </c>
    </row>
    <row r="3297" customFormat="false" ht="15" hidden="false" customHeight="false" outlineLevel="0" collapsed="false">
      <c r="J3297" s="41" t="str">
        <f aca="false">IF(D3297="","",IFERROR(IF(ISNUMBER(SEARCH(Assumptions!$C$5,D3297)),Assumptions!$D$5,IF(ISNUMBER(SEARCH(Assumptions!$C$6,D3297)),Assumptions!$D$6,IF(ISNUMBER(SEARCH(Assumptions!$C$7,D3297)),Assumptions!$D$7,"Other Services"))),"Other Services"))</f>
        <v/>
      </c>
    </row>
    <row r="3298" customFormat="false" ht="15" hidden="false" customHeight="false" outlineLevel="0" collapsed="false">
      <c r="J3298" s="41" t="str">
        <f aca="false">IF(D3298="","",IFERROR(IF(ISNUMBER(SEARCH(Assumptions!$C$5,D3298)),Assumptions!$D$5,IF(ISNUMBER(SEARCH(Assumptions!$C$6,D3298)),Assumptions!$D$6,IF(ISNUMBER(SEARCH(Assumptions!$C$7,D3298)),Assumptions!$D$7,"Other Services"))),"Other Services"))</f>
        <v/>
      </c>
    </row>
    <row r="3299" customFormat="false" ht="15" hidden="false" customHeight="false" outlineLevel="0" collapsed="false">
      <c r="J3299" s="41" t="str">
        <f aca="false">IF(D3299="","",IFERROR(IF(ISNUMBER(SEARCH(Assumptions!$C$5,D3299)),Assumptions!$D$5,IF(ISNUMBER(SEARCH(Assumptions!$C$6,D3299)),Assumptions!$D$6,IF(ISNUMBER(SEARCH(Assumptions!$C$7,D3299)),Assumptions!$D$7,"Other Services"))),"Other Services"))</f>
        <v/>
      </c>
    </row>
    <row r="3300" customFormat="false" ht="15" hidden="false" customHeight="false" outlineLevel="0" collapsed="false">
      <c r="J3300" s="41" t="str">
        <f aca="false">IF(D3300="","",IFERROR(IF(ISNUMBER(SEARCH(Assumptions!$C$5,D3300)),Assumptions!$D$5,IF(ISNUMBER(SEARCH(Assumptions!$C$6,D3300)),Assumptions!$D$6,IF(ISNUMBER(SEARCH(Assumptions!$C$7,D3300)),Assumptions!$D$7,"Other Services"))),"Other Services"))</f>
        <v/>
      </c>
    </row>
    <row r="3301" customFormat="false" ht="15" hidden="false" customHeight="false" outlineLevel="0" collapsed="false">
      <c r="J3301" s="41" t="str">
        <f aca="false">IF(D3301="","",IFERROR(IF(ISNUMBER(SEARCH(Assumptions!$C$5,D3301)),Assumptions!$D$5,IF(ISNUMBER(SEARCH(Assumptions!$C$6,D3301)),Assumptions!$D$6,IF(ISNUMBER(SEARCH(Assumptions!$C$7,D3301)),Assumptions!$D$7,"Other Services"))),"Other Services"))</f>
        <v/>
      </c>
    </row>
    <row r="3302" customFormat="false" ht="15" hidden="false" customHeight="false" outlineLevel="0" collapsed="false">
      <c r="J3302" s="41" t="str">
        <f aca="false">IF(D3302="","",IFERROR(IF(ISNUMBER(SEARCH(Assumptions!$C$5,D3302)),Assumptions!$D$5,IF(ISNUMBER(SEARCH(Assumptions!$C$6,D3302)),Assumptions!$D$6,IF(ISNUMBER(SEARCH(Assumptions!$C$7,D3302)),Assumptions!$D$7,"Other Services"))),"Other Services"))</f>
        <v/>
      </c>
    </row>
    <row r="3303" customFormat="false" ht="15" hidden="false" customHeight="false" outlineLevel="0" collapsed="false">
      <c r="J3303" s="41" t="str">
        <f aca="false">IF(D3303="","",IFERROR(IF(ISNUMBER(SEARCH(Assumptions!$C$5,D3303)),Assumptions!$D$5,IF(ISNUMBER(SEARCH(Assumptions!$C$6,D3303)),Assumptions!$D$6,IF(ISNUMBER(SEARCH(Assumptions!$C$7,D3303)),Assumptions!$D$7,"Other Services"))),"Other Services"))</f>
        <v/>
      </c>
    </row>
    <row r="3304" customFormat="false" ht="15" hidden="false" customHeight="false" outlineLevel="0" collapsed="false">
      <c r="J3304" s="41" t="str">
        <f aca="false">IF(D3304="","",IFERROR(IF(ISNUMBER(SEARCH(Assumptions!$C$5,D3304)),Assumptions!$D$5,IF(ISNUMBER(SEARCH(Assumptions!$C$6,D3304)),Assumptions!$D$6,IF(ISNUMBER(SEARCH(Assumptions!$C$7,D3304)),Assumptions!$D$7,"Other Services"))),"Other Services"))</f>
        <v/>
      </c>
    </row>
    <row r="3305" customFormat="false" ht="15" hidden="false" customHeight="false" outlineLevel="0" collapsed="false">
      <c r="J3305" s="41" t="str">
        <f aca="false">IF(D3305="","",IFERROR(IF(ISNUMBER(SEARCH(Assumptions!$C$5,D3305)),Assumptions!$D$5,IF(ISNUMBER(SEARCH(Assumptions!$C$6,D3305)),Assumptions!$D$6,IF(ISNUMBER(SEARCH(Assumptions!$C$7,D3305)),Assumptions!$D$7,"Other Services"))),"Other Services"))</f>
        <v/>
      </c>
    </row>
    <row r="3306" customFormat="false" ht="15" hidden="false" customHeight="false" outlineLevel="0" collapsed="false">
      <c r="J3306" s="41" t="str">
        <f aca="false">IF(D3306="","",IFERROR(IF(ISNUMBER(SEARCH(Assumptions!$C$5,D3306)),Assumptions!$D$5,IF(ISNUMBER(SEARCH(Assumptions!$C$6,D3306)),Assumptions!$D$6,IF(ISNUMBER(SEARCH(Assumptions!$C$7,D3306)),Assumptions!$D$7,"Other Services"))),"Other Services"))</f>
        <v/>
      </c>
    </row>
    <row r="3307" customFormat="false" ht="15" hidden="false" customHeight="false" outlineLevel="0" collapsed="false">
      <c r="J3307" s="41" t="str">
        <f aca="false">IF(D3307="","",IFERROR(IF(ISNUMBER(SEARCH(Assumptions!$C$5,D3307)),Assumptions!$D$5,IF(ISNUMBER(SEARCH(Assumptions!$C$6,D3307)),Assumptions!$D$6,IF(ISNUMBER(SEARCH(Assumptions!$C$7,D3307)),Assumptions!$D$7,"Other Services"))),"Other Services"))</f>
        <v/>
      </c>
    </row>
    <row r="3308" customFormat="false" ht="15" hidden="false" customHeight="false" outlineLevel="0" collapsed="false">
      <c r="J3308" s="41" t="str">
        <f aca="false">IF(D3308="","",IFERROR(IF(ISNUMBER(SEARCH(Assumptions!$C$5,D3308)),Assumptions!$D$5,IF(ISNUMBER(SEARCH(Assumptions!$C$6,D3308)),Assumptions!$D$6,IF(ISNUMBER(SEARCH(Assumptions!$C$7,D3308)),Assumptions!$D$7,"Other Services"))),"Other Services"))</f>
        <v/>
      </c>
    </row>
    <row r="3309" customFormat="false" ht="15" hidden="false" customHeight="false" outlineLevel="0" collapsed="false">
      <c r="J3309" s="41" t="str">
        <f aca="false">IF(D3309="","",IFERROR(IF(ISNUMBER(SEARCH(Assumptions!$C$5,D3309)),Assumptions!$D$5,IF(ISNUMBER(SEARCH(Assumptions!$C$6,D3309)),Assumptions!$D$6,IF(ISNUMBER(SEARCH(Assumptions!$C$7,D3309)),Assumptions!$D$7,"Other Services"))),"Other Services"))</f>
        <v/>
      </c>
    </row>
    <row r="3310" customFormat="false" ht="15" hidden="false" customHeight="false" outlineLevel="0" collapsed="false">
      <c r="J3310" s="41" t="str">
        <f aca="false">IF(D3310="","",IFERROR(IF(ISNUMBER(SEARCH(Assumptions!$C$5,D3310)),Assumptions!$D$5,IF(ISNUMBER(SEARCH(Assumptions!$C$6,D3310)),Assumptions!$D$6,IF(ISNUMBER(SEARCH(Assumptions!$C$7,D3310)),Assumptions!$D$7,"Other Services"))),"Other Services"))</f>
        <v/>
      </c>
    </row>
    <row r="3311" customFormat="false" ht="15" hidden="false" customHeight="false" outlineLevel="0" collapsed="false">
      <c r="J3311" s="41" t="str">
        <f aca="false">IF(D3311="","",IFERROR(IF(ISNUMBER(SEARCH(Assumptions!$C$5,D3311)),Assumptions!$D$5,IF(ISNUMBER(SEARCH(Assumptions!$C$6,D3311)),Assumptions!$D$6,IF(ISNUMBER(SEARCH(Assumptions!$C$7,D3311)),Assumptions!$D$7,"Other Services"))),"Other Services"))</f>
        <v/>
      </c>
    </row>
    <row r="3312" customFormat="false" ht="15" hidden="false" customHeight="false" outlineLevel="0" collapsed="false">
      <c r="J3312" s="41" t="str">
        <f aca="false">IF(D3312="","",IFERROR(IF(ISNUMBER(SEARCH(Assumptions!$C$5,D3312)),Assumptions!$D$5,IF(ISNUMBER(SEARCH(Assumptions!$C$6,D3312)),Assumptions!$D$6,IF(ISNUMBER(SEARCH(Assumptions!$C$7,D3312)),Assumptions!$D$7,"Other Services"))),"Other Services"))</f>
        <v/>
      </c>
    </row>
    <row r="3313" customFormat="false" ht="15" hidden="false" customHeight="false" outlineLevel="0" collapsed="false">
      <c r="J3313" s="41" t="str">
        <f aca="false">IF(D3313="","",IFERROR(IF(ISNUMBER(SEARCH(Assumptions!$C$5,D3313)),Assumptions!$D$5,IF(ISNUMBER(SEARCH(Assumptions!$C$6,D3313)),Assumptions!$D$6,IF(ISNUMBER(SEARCH(Assumptions!$C$7,D3313)),Assumptions!$D$7,"Other Services"))),"Other Services"))</f>
        <v/>
      </c>
    </row>
    <row r="3314" customFormat="false" ht="15" hidden="false" customHeight="false" outlineLevel="0" collapsed="false">
      <c r="J3314" s="41" t="str">
        <f aca="false">IF(D3314="","",IFERROR(IF(ISNUMBER(SEARCH(Assumptions!$C$5,D3314)),Assumptions!$D$5,IF(ISNUMBER(SEARCH(Assumptions!$C$6,D3314)),Assumptions!$D$6,IF(ISNUMBER(SEARCH(Assumptions!$C$7,D3314)),Assumptions!$D$7,"Other Services"))),"Other Services"))</f>
        <v/>
      </c>
    </row>
    <row r="3315" customFormat="false" ht="15" hidden="false" customHeight="false" outlineLevel="0" collapsed="false">
      <c r="J3315" s="41" t="str">
        <f aca="false">IF(D3315="","",IFERROR(IF(ISNUMBER(SEARCH(Assumptions!$C$5,D3315)),Assumptions!$D$5,IF(ISNUMBER(SEARCH(Assumptions!$C$6,D3315)),Assumptions!$D$6,IF(ISNUMBER(SEARCH(Assumptions!$C$7,D3315)),Assumptions!$D$7,"Other Services"))),"Other Services"))</f>
        <v/>
      </c>
    </row>
    <row r="3316" customFormat="false" ht="15" hidden="false" customHeight="false" outlineLevel="0" collapsed="false">
      <c r="J3316" s="41" t="str">
        <f aca="false">IF(D3316="","",IFERROR(IF(ISNUMBER(SEARCH(Assumptions!$C$5,D3316)),Assumptions!$D$5,IF(ISNUMBER(SEARCH(Assumptions!$C$6,D3316)),Assumptions!$D$6,IF(ISNUMBER(SEARCH(Assumptions!$C$7,D3316)),Assumptions!$D$7,"Other Services"))),"Other Services"))</f>
        <v/>
      </c>
    </row>
    <row r="3317" customFormat="false" ht="15" hidden="false" customHeight="false" outlineLevel="0" collapsed="false">
      <c r="J3317" s="41" t="str">
        <f aca="false">IF(D3317="","",IFERROR(IF(ISNUMBER(SEARCH(Assumptions!$C$5,D3317)),Assumptions!$D$5,IF(ISNUMBER(SEARCH(Assumptions!$C$6,D3317)),Assumptions!$D$6,IF(ISNUMBER(SEARCH(Assumptions!$C$7,D3317)),Assumptions!$D$7,"Other Services"))),"Other Services"))</f>
        <v/>
      </c>
    </row>
    <row r="3318" customFormat="false" ht="15" hidden="false" customHeight="false" outlineLevel="0" collapsed="false">
      <c r="J3318" s="41" t="str">
        <f aca="false">IF(D3318="","",IFERROR(IF(ISNUMBER(SEARCH(Assumptions!$C$5,D3318)),Assumptions!$D$5,IF(ISNUMBER(SEARCH(Assumptions!$C$6,D3318)),Assumptions!$D$6,IF(ISNUMBER(SEARCH(Assumptions!$C$7,D3318)),Assumptions!$D$7,"Other Services"))),"Other Services"))</f>
        <v/>
      </c>
    </row>
    <row r="3319" customFormat="false" ht="15" hidden="false" customHeight="false" outlineLevel="0" collapsed="false">
      <c r="J3319" s="41" t="str">
        <f aca="false">IF(D3319="","",IFERROR(IF(ISNUMBER(SEARCH(Assumptions!$C$5,D3319)),Assumptions!$D$5,IF(ISNUMBER(SEARCH(Assumptions!$C$6,D3319)),Assumptions!$D$6,IF(ISNUMBER(SEARCH(Assumptions!$C$7,D3319)),Assumptions!$D$7,"Other Services"))),"Other Services"))</f>
        <v/>
      </c>
    </row>
    <row r="3320" customFormat="false" ht="15" hidden="false" customHeight="false" outlineLevel="0" collapsed="false">
      <c r="J3320" s="41" t="str">
        <f aca="false">IF(D3320="","",IFERROR(IF(ISNUMBER(SEARCH(Assumptions!$C$5,D3320)),Assumptions!$D$5,IF(ISNUMBER(SEARCH(Assumptions!$C$6,D3320)),Assumptions!$D$6,IF(ISNUMBER(SEARCH(Assumptions!$C$7,D3320)),Assumptions!$D$7,"Other Services"))),"Other Services"))</f>
        <v/>
      </c>
    </row>
    <row r="3321" customFormat="false" ht="15" hidden="false" customHeight="false" outlineLevel="0" collapsed="false">
      <c r="J3321" s="41" t="str">
        <f aca="false">IF(D3321="","",IFERROR(IF(ISNUMBER(SEARCH(Assumptions!$C$5,D3321)),Assumptions!$D$5,IF(ISNUMBER(SEARCH(Assumptions!$C$6,D3321)),Assumptions!$D$6,IF(ISNUMBER(SEARCH(Assumptions!$C$7,D3321)),Assumptions!$D$7,"Other Services"))),"Other Services"))</f>
        <v/>
      </c>
    </row>
    <row r="3322" customFormat="false" ht="15" hidden="false" customHeight="false" outlineLevel="0" collapsed="false">
      <c r="J3322" s="41" t="str">
        <f aca="false">IF(D3322="","",IFERROR(IF(ISNUMBER(SEARCH(Assumptions!$C$5,D3322)),Assumptions!$D$5,IF(ISNUMBER(SEARCH(Assumptions!$C$6,D3322)),Assumptions!$D$6,IF(ISNUMBER(SEARCH(Assumptions!$C$7,D3322)),Assumptions!$D$7,"Other Services"))),"Other Services"))</f>
        <v/>
      </c>
    </row>
    <row r="3323" customFormat="false" ht="15" hidden="false" customHeight="false" outlineLevel="0" collapsed="false">
      <c r="J3323" s="41" t="str">
        <f aca="false">IF(D3323="","",IFERROR(IF(ISNUMBER(SEARCH(Assumptions!$C$5,D3323)),Assumptions!$D$5,IF(ISNUMBER(SEARCH(Assumptions!$C$6,D3323)),Assumptions!$D$6,IF(ISNUMBER(SEARCH(Assumptions!$C$7,D3323)),Assumptions!$D$7,"Other Services"))),"Other Services"))</f>
        <v/>
      </c>
    </row>
    <row r="3324" customFormat="false" ht="15" hidden="false" customHeight="false" outlineLevel="0" collapsed="false">
      <c r="J3324" s="41" t="str">
        <f aca="false">IF(D3324="","",IFERROR(IF(ISNUMBER(SEARCH(Assumptions!$C$5,D3324)),Assumptions!$D$5,IF(ISNUMBER(SEARCH(Assumptions!$C$6,D3324)),Assumptions!$D$6,IF(ISNUMBER(SEARCH(Assumptions!$C$7,D3324)),Assumptions!$D$7,"Other Services"))),"Other Services"))</f>
        <v/>
      </c>
    </row>
    <row r="3325" customFormat="false" ht="15" hidden="false" customHeight="false" outlineLevel="0" collapsed="false">
      <c r="J3325" s="41" t="str">
        <f aca="false">IF(D3325="","",IFERROR(IF(ISNUMBER(SEARCH(Assumptions!$C$5,D3325)),Assumptions!$D$5,IF(ISNUMBER(SEARCH(Assumptions!$C$6,D3325)),Assumptions!$D$6,IF(ISNUMBER(SEARCH(Assumptions!$C$7,D3325)),Assumptions!$D$7,"Other Services"))),"Other Services"))</f>
        <v/>
      </c>
    </row>
    <row r="3326" customFormat="false" ht="15" hidden="false" customHeight="false" outlineLevel="0" collapsed="false">
      <c r="J3326" s="41" t="str">
        <f aca="false">IF(D3326="","",IFERROR(IF(ISNUMBER(SEARCH(Assumptions!$C$5,D3326)),Assumptions!$D$5,IF(ISNUMBER(SEARCH(Assumptions!$C$6,D3326)),Assumptions!$D$6,IF(ISNUMBER(SEARCH(Assumptions!$C$7,D3326)),Assumptions!$D$7,"Other Services"))),"Other Services"))</f>
        <v/>
      </c>
    </row>
    <row r="3327" customFormat="false" ht="15" hidden="false" customHeight="false" outlineLevel="0" collapsed="false">
      <c r="J3327" s="41" t="str">
        <f aca="false">IF(D3327="","",IFERROR(IF(ISNUMBER(SEARCH(Assumptions!$C$5,D3327)),Assumptions!$D$5,IF(ISNUMBER(SEARCH(Assumptions!$C$6,D3327)),Assumptions!$D$6,IF(ISNUMBER(SEARCH(Assumptions!$C$7,D3327)),Assumptions!$D$7,"Other Services"))),"Other Services"))</f>
        <v/>
      </c>
    </row>
    <row r="3328" customFormat="false" ht="15" hidden="false" customHeight="false" outlineLevel="0" collapsed="false">
      <c r="J3328" s="41" t="str">
        <f aca="false">IF(D3328="","",IFERROR(IF(ISNUMBER(SEARCH(Assumptions!$C$5,D3328)),Assumptions!$D$5,IF(ISNUMBER(SEARCH(Assumptions!$C$6,D3328)),Assumptions!$D$6,IF(ISNUMBER(SEARCH(Assumptions!$C$7,D3328)),Assumptions!$D$7,"Other Services"))),"Other Services"))</f>
        <v/>
      </c>
    </row>
    <row r="3329" customFormat="false" ht="15" hidden="false" customHeight="false" outlineLevel="0" collapsed="false">
      <c r="J3329" s="41" t="str">
        <f aca="false">IF(D3329="","",IFERROR(IF(ISNUMBER(SEARCH(Assumptions!$C$5,D3329)),Assumptions!$D$5,IF(ISNUMBER(SEARCH(Assumptions!$C$6,D3329)),Assumptions!$D$6,IF(ISNUMBER(SEARCH(Assumptions!$C$7,D3329)),Assumptions!$D$7,"Other Services"))),"Other Services"))</f>
        <v/>
      </c>
    </row>
    <row r="3330" customFormat="false" ht="15" hidden="false" customHeight="false" outlineLevel="0" collapsed="false">
      <c r="J3330" s="41" t="str">
        <f aca="false">IF(D3330="","",IFERROR(IF(ISNUMBER(SEARCH(Assumptions!$C$5,D3330)),Assumptions!$D$5,IF(ISNUMBER(SEARCH(Assumptions!$C$6,D3330)),Assumptions!$D$6,IF(ISNUMBER(SEARCH(Assumptions!$C$7,D3330)),Assumptions!$D$7,"Other Services"))),"Other Services"))</f>
        <v/>
      </c>
    </row>
    <row r="3331" customFormat="false" ht="15" hidden="false" customHeight="false" outlineLevel="0" collapsed="false">
      <c r="J3331" s="41" t="str">
        <f aca="false">IF(D3331="","",IFERROR(IF(ISNUMBER(SEARCH(Assumptions!$C$5,D3331)),Assumptions!$D$5,IF(ISNUMBER(SEARCH(Assumptions!$C$6,D3331)),Assumptions!$D$6,IF(ISNUMBER(SEARCH(Assumptions!$C$7,D3331)),Assumptions!$D$7,"Other Services"))),"Other Services"))</f>
        <v/>
      </c>
    </row>
    <row r="3332" customFormat="false" ht="15" hidden="false" customHeight="false" outlineLevel="0" collapsed="false">
      <c r="J3332" s="41" t="str">
        <f aca="false">IF(D3332="","",IFERROR(IF(ISNUMBER(SEARCH(Assumptions!$C$5,D3332)),Assumptions!$D$5,IF(ISNUMBER(SEARCH(Assumptions!$C$6,D3332)),Assumptions!$D$6,IF(ISNUMBER(SEARCH(Assumptions!$C$7,D3332)),Assumptions!$D$7,"Other Services"))),"Other Services"))</f>
        <v/>
      </c>
    </row>
    <row r="3333" customFormat="false" ht="15" hidden="false" customHeight="false" outlineLevel="0" collapsed="false">
      <c r="J3333" s="41" t="str">
        <f aca="false">IF(D3333="","",IFERROR(IF(ISNUMBER(SEARCH(Assumptions!$C$5,D3333)),Assumptions!$D$5,IF(ISNUMBER(SEARCH(Assumptions!$C$6,D3333)),Assumptions!$D$6,IF(ISNUMBER(SEARCH(Assumptions!$C$7,D3333)),Assumptions!$D$7,"Other Services"))),"Other Services"))</f>
        <v/>
      </c>
    </row>
    <row r="3334" customFormat="false" ht="15" hidden="false" customHeight="false" outlineLevel="0" collapsed="false">
      <c r="J3334" s="41" t="str">
        <f aca="false">IF(D3334="","",IFERROR(IF(ISNUMBER(SEARCH(Assumptions!$C$5,D3334)),Assumptions!$D$5,IF(ISNUMBER(SEARCH(Assumptions!$C$6,D3334)),Assumptions!$D$6,IF(ISNUMBER(SEARCH(Assumptions!$C$7,D3334)),Assumptions!$D$7,"Other Services"))),"Other Services"))</f>
        <v/>
      </c>
    </row>
    <row r="3335" customFormat="false" ht="15" hidden="false" customHeight="false" outlineLevel="0" collapsed="false">
      <c r="J3335" s="41" t="str">
        <f aca="false">IF(D3335="","",IFERROR(IF(ISNUMBER(SEARCH(Assumptions!$C$5,D3335)),Assumptions!$D$5,IF(ISNUMBER(SEARCH(Assumptions!$C$6,D3335)),Assumptions!$D$6,IF(ISNUMBER(SEARCH(Assumptions!$C$7,D3335)),Assumptions!$D$7,"Other Services"))),"Other Services"))</f>
        <v/>
      </c>
    </row>
    <row r="3336" customFormat="false" ht="15" hidden="false" customHeight="false" outlineLevel="0" collapsed="false">
      <c r="J3336" s="41" t="str">
        <f aca="false">IF(D3336="","",IFERROR(IF(ISNUMBER(SEARCH(Assumptions!$C$5,D3336)),Assumptions!$D$5,IF(ISNUMBER(SEARCH(Assumptions!$C$6,D3336)),Assumptions!$D$6,IF(ISNUMBER(SEARCH(Assumptions!$C$7,D3336)),Assumptions!$D$7,"Other Services"))),"Other Services"))</f>
        <v/>
      </c>
    </row>
    <row r="3337" customFormat="false" ht="15" hidden="false" customHeight="false" outlineLevel="0" collapsed="false">
      <c r="J3337" s="41" t="str">
        <f aca="false">IF(D3337="","",IFERROR(IF(ISNUMBER(SEARCH(Assumptions!$C$5,D3337)),Assumptions!$D$5,IF(ISNUMBER(SEARCH(Assumptions!$C$6,D3337)),Assumptions!$D$6,IF(ISNUMBER(SEARCH(Assumptions!$C$7,D3337)),Assumptions!$D$7,"Other Services"))),"Other Services"))</f>
        <v/>
      </c>
    </row>
    <row r="3338" customFormat="false" ht="15" hidden="false" customHeight="false" outlineLevel="0" collapsed="false">
      <c r="J3338" s="41" t="str">
        <f aca="false">IF(D3338="","",IFERROR(IF(ISNUMBER(SEARCH(Assumptions!$C$5,D3338)),Assumptions!$D$5,IF(ISNUMBER(SEARCH(Assumptions!$C$6,D3338)),Assumptions!$D$6,IF(ISNUMBER(SEARCH(Assumptions!$C$7,D3338)),Assumptions!$D$7,"Other Services"))),"Other Services"))</f>
        <v/>
      </c>
    </row>
    <row r="3339" customFormat="false" ht="15" hidden="false" customHeight="false" outlineLevel="0" collapsed="false">
      <c r="J3339" s="41" t="str">
        <f aca="false">IF(D3339="","",IFERROR(IF(ISNUMBER(SEARCH(Assumptions!$C$5,D3339)),Assumptions!$D$5,IF(ISNUMBER(SEARCH(Assumptions!$C$6,D3339)),Assumptions!$D$6,IF(ISNUMBER(SEARCH(Assumptions!$C$7,D3339)),Assumptions!$D$7,"Other Services"))),"Other Services"))</f>
        <v/>
      </c>
    </row>
    <row r="3340" customFormat="false" ht="15" hidden="false" customHeight="false" outlineLevel="0" collapsed="false">
      <c r="J3340" s="41" t="str">
        <f aca="false">IF(D3340="","",IFERROR(IF(ISNUMBER(SEARCH(Assumptions!$C$5,D3340)),Assumptions!$D$5,IF(ISNUMBER(SEARCH(Assumptions!$C$6,D3340)),Assumptions!$D$6,IF(ISNUMBER(SEARCH(Assumptions!$C$7,D3340)),Assumptions!$D$7,"Other Services"))),"Other Services"))</f>
        <v/>
      </c>
    </row>
    <row r="3341" customFormat="false" ht="15" hidden="false" customHeight="false" outlineLevel="0" collapsed="false">
      <c r="J3341" s="41" t="str">
        <f aca="false">IF(D3341="","",IFERROR(IF(ISNUMBER(SEARCH(Assumptions!$C$5,D3341)),Assumptions!$D$5,IF(ISNUMBER(SEARCH(Assumptions!$C$6,D3341)),Assumptions!$D$6,IF(ISNUMBER(SEARCH(Assumptions!$C$7,D3341)),Assumptions!$D$7,"Other Services"))),"Other Services"))</f>
        <v/>
      </c>
    </row>
    <row r="3342" customFormat="false" ht="15" hidden="false" customHeight="false" outlineLevel="0" collapsed="false">
      <c r="J3342" s="41" t="str">
        <f aca="false">IF(D3342="","",IFERROR(IF(ISNUMBER(SEARCH(Assumptions!$C$5,D3342)),Assumptions!$D$5,IF(ISNUMBER(SEARCH(Assumptions!$C$6,D3342)),Assumptions!$D$6,IF(ISNUMBER(SEARCH(Assumptions!$C$7,D3342)),Assumptions!$D$7,"Other Services"))),"Other Services"))</f>
        <v/>
      </c>
    </row>
    <row r="3343" customFormat="false" ht="15" hidden="false" customHeight="false" outlineLevel="0" collapsed="false">
      <c r="J3343" s="41" t="str">
        <f aca="false">IF(D3343="","",IFERROR(IF(ISNUMBER(SEARCH(Assumptions!$C$5,D3343)),Assumptions!$D$5,IF(ISNUMBER(SEARCH(Assumptions!$C$6,D3343)),Assumptions!$D$6,IF(ISNUMBER(SEARCH(Assumptions!$C$7,D3343)),Assumptions!$D$7,"Other Services"))),"Other Services"))</f>
        <v/>
      </c>
    </row>
    <row r="3344" customFormat="false" ht="15" hidden="false" customHeight="false" outlineLevel="0" collapsed="false">
      <c r="J3344" s="41" t="str">
        <f aca="false">IF(D3344="","",IFERROR(IF(ISNUMBER(SEARCH(Assumptions!$C$5,D3344)),Assumptions!$D$5,IF(ISNUMBER(SEARCH(Assumptions!$C$6,D3344)),Assumptions!$D$6,IF(ISNUMBER(SEARCH(Assumptions!$C$7,D3344)),Assumptions!$D$7,"Other Services"))),"Other Services"))</f>
        <v/>
      </c>
    </row>
    <row r="3345" customFormat="false" ht="15" hidden="false" customHeight="false" outlineLevel="0" collapsed="false">
      <c r="J3345" s="41" t="str">
        <f aca="false">IF(D3345="","",IFERROR(IF(ISNUMBER(SEARCH(Assumptions!$C$5,D3345)),Assumptions!$D$5,IF(ISNUMBER(SEARCH(Assumptions!$C$6,D3345)),Assumptions!$D$6,IF(ISNUMBER(SEARCH(Assumptions!$C$7,D3345)),Assumptions!$D$7,"Other Services"))),"Other Services"))</f>
        <v/>
      </c>
    </row>
    <row r="3346" customFormat="false" ht="15" hidden="false" customHeight="false" outlineLevel="0" collapsed="false">
      <c r="J3346" s="41" t="str">
        <f aca="false">IF(D3346="","",IFERROR(IF(ISNUMBER(SEARCH(Assumptions!$C$5,D3346)),Assumptions!$D$5,IF(ISNUMBER(SEARCH(Assumptions!$C$6,D3346)),Assumptions!$D$6,IF(ISNUMBER(SEARCH(Assumptions!$C$7,D3346)),Assumptions!$D$7,"Other Services"))),"Other Services"))</f>
        <v/>
      </c>
    </row>
    <row r="3347" customFormat="false" ht="15" hidden="false" customHeight="false" outlineLevel="0" collapsed="false">
      <c r="J3347" s="41" t="str">
        <f aca="false">IF(D3347="","",IFERROR(IF(ISNUMBER(SEARCH(Assumptions!$C$5,D3347)),Assumptions!$D$5,IF(ISNUMBER(SEARCH(Assumptions!$C$6,D3347)),Assumptions!$D$6,IF(ISNUMBER(SEARCH(Assumptions!$C$7,D3347)),Assumptions!$D$7,"Other Services"))),"Other Services"))</f>
        <v/>
      </c>
    </row>
    <row r="3348" customFormat="false" ht="15" hidden="false" customHeight="false" outlineLevel="0" collapsed="false">
      <c r="J3348" s="41" t="str">
        <f aca="false">IF(D3348="","",IFERROR(IF(ISNUMBER(SEARCH(Assumptions!$C$5,D3348)),Assumptions!$D$5,IF(ISNUMBER(SEARCH(Assumptions!$C$6,D3348)),Assumptions!$D$6,IF(ISNUMBER(SEARCH(Assumptions!$C$7,D3348)),Assumptions!$D$7,"Other Services"))),"Other Services"))</f>
        <v/>
      </c>
    </row>
    <row r="3349" customFormat="false" ht="15" hidden="false" customHeight="false" outlineLevel="0" collapsed="false">
      <c r="J3349" s="41" t="str">
        <f aca="false">IF(D3349="","",IFERROR(IF(ISNUMBER(SEARCH(Assumptions!$C$5,D3349)),Assumptions!$D$5,IF(ISNUMBER(SEARCH(Assumptions!$C$6,D3349)),Assumptions!$D$6,IF(ISNUMBER(SEARCH(Assumptions!$C$7,D3349)),Assumptions!$D$7,"Other Services"))),"Other Services"))</f>
        <v/>
      </c>
    </row>
    <row r="3350" customFormat="false" ht="15" hidden="false" customHeight="false" outlineLevel="0" collapsed="false">
      <c r="J3350" s="41" t="str">
        <f aca="false">IF(D3350="","",IFERROR(IF(ISNUMBER(SEARCH(Assumptions!$C$5,D3350)),Assumptions!$D$5,IF(ISNUMBER(SEARCH(Assumptions!$C$6,D3350)),Assumptions!$D$6,IF(ISNUMBER(SEARCH(Assumptions!$C$7,D3350)),Assumptions!$D$7,"Other Services"))),"Other Services"))</f>
        <v/>
      </c>
    </row>
    <row r="3351" customFormat="false" ht="15" hidden="false" customHeight="false" outlineLevel="0" collapsed="false">
      <c r="J3351" s="41" t="str">
        <f aca="false">IF(D3351="","",IFERROR(IF(ISNUMBER(SEARCH(Assumptions!$C$5,D3351)),Assumptions!$D$5,IF(ISNUMBER(SEARCH(Assumptions!$C$6,D3351)),Assumptions!$D$6,IF(ISNUMBER(SEARCH(Assumptions!$C$7,D3351)),Assumptions!$D$7,"Other Services"))),"Other Services"))</f>
        <v/>
      </c>
    </row>
    <row r="3352" customFormat="false" ht="15" hidden="false" customHeight="false" outlineLevel="0" collapsed="false">
      <c r="J3352" s="41" t="str">
        <f aca="false">IF(D3352="","",IFERROR(IF(ISNUMBER(SEARCH(Assumptions!$C$5,D3352)),Assumptions!$D$5,IF(ISNUMBER(SEARCH(Assumptions!$C$6,D3352)),Assumptions!$D$6,IF(ISNUMBER(SEARCH(Assumptions!$C$7,D3352)),Assumptions!$D$7,"Other Services"))),"Other Services"))</f>
        <v/>
      </c>
    </row>
    <row r="3353" customFormat="false" ht="15" hidden="false" customHeight="false" outlineLevel="0" collapsed="false">
      <c r="J3353" s="41" t="str">
        <f aca="false">IF(D3353="","",IFERROR(IF(ISNUMBER(SEARCH(Assumptions!$C$5,D3353)),Assumptions!$D$5,IF(ISNUMBER(SEARCH(Assumptions!$C$6,D3353)),Assumptions!$D$6,IF(ISNUMBER(SEARCH(Assumptions!$C$7,D3353)),Assumptions!$D$7,"Other Services"))),"Other Services"))</f>
        <v/>
      </c>
    </row>
    <row r="3354" customFormat="false" ht="15" hidden="false" customHeight="false" outlineLevel="0" collapsed="false">
      <c r="J3354" s="41" t="str">
        <f aca="false">IF(D3354="","",IFERROR(IF(ISNUMBER(SEARCH(Assumptions!$C$5,D3354)),Assumptions!$D$5,IF(ISNUMBER(SEARCH(Assumptions!$C$6,D3354)),Assumptions!$D$6,IF(ISNUMBER(SEARCH(Assumptions!$C$7,D3354)),Assumptions!$D$7,"Other Services"))),"Other Services"))</f>
        <v/>
      </c>
    </row>
    <row r="3355" customFormat="false" ht="15" hidden="false" customHeight="false" outlineLevel="0" collapsed="false">
      <c r="J3355" s="41" t="str">
        <f aca="false">IF(D3355="","",IFERROR(IF(ISNUMBER(SEARCH(Assumptions!$C$5,D3355)),Assumptions!$D$5,IF(ISNUMBER(SEARCH(Assumptions!$C$6,D3355)),Assumptions!$D$6,IF(ISNUMBER(SEARCH(Assumptions!$C$7,D3355)),Assumptions!$D$7,"Other Services"))),"Other Services"))</f>
        <v/>
      </c>
    </row>
    <row r="3356" customFormat="false" ht="15" hidden="false" customHeight="false" outlineLevel="0" collapsed="false">
      <c r="J3356" s="41" t="str">
        <f aca="false">IF(D3356="","",IFERROR(IF(ISNUMBER(SEARCH(Assumptions!$C$5,D3356)),Assumptions!$D$5,IF(ISNUMBER(SEARCH(Assumptions!$C$6,D3356)),Assumptions!$D$6,IF(ISNUMBER(SEARCH(Assumptions!$C$7,D3356)),Assumptions!$D$7,"Other Services"))),"Other Services"))</f>
        <v/>
      </c>
    </row>
    <row r="3357" customFormat="false" ht="15" hidden="false" customHeight="false" outlineLevel="0" collapsed="false">
      <c r="J3357" s="41" t="str">
        <f aca="false">IF(D3357="","",IFERROR(IF(ISNUMBER(SEARCH(Assumptions!$C$5,D3357)),Assumptions!$D$5,IF(ISNUMBER(SEARCH(Assumptions!$C$6,D3357)),Assumptions!$D$6,IF(ISNUMBER(SEARCH(Assumptions!$C$7,D3357)),Assumptions!$D$7,"Other Services"))),"Other Services"))</f>
        <v/>
      </c>
    </row>
    <row r="3358" customFormat="false" ht="15" hidden="false" customHeight="false" outlineLevel="0" collapsed="false">
      <c r="J3358" s="41" t="str">
        <f aca="false">IF(D3358="","",IFERROR(IF(ISNUMBER(SEARCH(Assumptions!$C$5,D3358)),Assumptions!$D$5,IF(ISNUMBER(SEARCH(Assumptions!$C$6,D3358)),Assumptions!$D$6,IF(ISNUMBER(SEARCH(Assumptions!$C$7,D3358)),Assumptions!$D$7,"Other Services"))),"Other Services"))</f>
        <v/>
      </c>
    </row>
    <row r="3359" customFormat="false" ht="15" hidden="false" customHeight="false" outlineLevel="0" collapsed="false">
      <c r="J3359" s="41" t="str">
        <f aca="false">IF(D3359="","",IFERROR(IF(ISNUMBER(SEARCH(Assumptions!$C$5,D3359)),Assumptions!$D$5,IF(ISNUMBER(SEARCH(Assumptions!$C$6,D3359)),Assumptions!$D$6,IF(ISNUMBER(SEARCH(Assumptions!$C$7,D3359)),Assumptions!$D$7,"Other Services"))),"Other Services"))</f>
        <v/>
      </c>
    </row>
    <row r="3360" customFormat="false" ht="15" hidden="false" customHeight="false" outlineLevel="0" collapsed="false">
      <c r="J3360" s="41" t="str">
        <f aca="false">IF(D3360="","",IFERROR(IF(ISNUMBER(SEARCH(Assumptions!$C$5,D3360)),Assumptions!$D$5,IF(ISNUMBER(SEARCH(Assumptions!$C$6,D3360)),Assumptions!$D$6,IF(ISNUMBER(SEARCH(Assumptions!$C$7,D3360)),Assumptions!$D$7,"Other Services"))),"Other Services"))</f>
        <v/>
      </c>
    </row>
    <row r="3361" customFormat="false" ht="15" hidden="false" customHeight="false" outlineLevel="0" collapsed="false">
      <c r="J3361" s="41" t="str">
        <f aca="false">IF(D3361="","",IFERROR(IF(ISNUMBER(SEARCH(Assumptions!$C$5,D3361)),Assumptions!$D$5,IF(ISNUMBER(SEARCH(Assumptions!$C$6,D3361)),Assumptions!$D$6,IF(ISNUMBER(SEARCH(Assumptions!$C$7,D3361)),Assumptions!$D$7,"Other Services"))),"Other Services"))</f>
        <v/>
      </c>
    </row>
    <row r="3362" customFormat="false" ht="15" hidden="false" customHeight="false" outlineLevel="0" collapsed="false">
      <c r="J3362" s="41" t="str">
        <f aca="false">IF(D3362="","",IFERROR(IF(ISNUMBER(SEARCH(Assumptions!$C$5,D3362)),Assumptions!$D$5,IF(ISNUMBER(SEARCH(Assumptions!$C$6,D3362)),Assumptions!$D$6,IF(ISNUMBER(SEARCH(Assumptions!$C$7,D3362)),Assumptions!$D$7,"Other Services"))),"Other Services"))</f>
        <v/>
      </c>
    </row>
    <row r="3363" customFormat="false" ht="15" hidden="false" customHeight="false" outlineLevel="0" collapsed="false">
      <c r="J3363" s="41" t="str">
        <f aca="false">IF(D3363="","",IFERROR(IF(ISNUMBER(SEARCH(Assumptions!$C$5,D3363)),Assumptions!$D$5,IF(ISNUMBER(SEARCH(Assumptions!$C$6,D3363)),Assumptions!$D$6,IF(ISNUMBER(SEARCH(Assumptions!$C$7,D3363)),Assumptions!$D$7,"Other Services"))),"Other Services"))</f>
        <v/>
      </c>
    </row>
    <row r="3364" customFormat="false" ht="15" hidden="false" customHeight="false" outlineLevel="0" collapsed="false">
      <c r="J3364" s="41" t="str">
        <f aca="false">IF(D3364="","",IFERROR(IF(ISNUMBER(SEARCH(Assumptions!$C$5,D3364)),Assumptions!$D$5,IF(ISNUMBER(SEARCH(Assumptions!$C$6,D3364)),Assumptions!$D$6,IF(ISNUMBER(SEARCH(Assumptions!$C$7,D3364)),Assumptions!$D$7,"Other Services"))),"Other Services"))</f>
        <v/>
      </c>
    </row>
    <row r="3365" customFormat="false" ht="15" hidden="false" customHeight="false" outlineLevel="0" collapsed="false">
      <c r="J3365" s="41" t="str">
        <f aca="false">IF(D3365="","",IFERROR(IF(ISNUMBER(SEARCH(Assumptions!$C$5,D3365)),Assumptions!$D$5,IF(ISNUMBER(SEARCH(Assumptions!$C$6,D3365)),Assumptions!$D$6,IF(ISNUMBER(SEARCH(Assumptions!$C$7,D3365)),Assumptions!$D$7,"Other Services"))),"Other Services"))</f>
        <v/>
      </c>
    </row>
    <row r="3366" customFormat="false" ht="15" hidden="false" customHeight="false" outlineLevel="0" collapsed="false">
      <c r="J3366" s="41" t="str">
        <f aca="false">IF(D3366="","",IFERROR(IF(ISNUMBER(SEARCH(Assumptions!$C$5,D3366)),Assumptions!$D$5,IF(ISNUMBER(SEARCH(Assumptions!$C$6,D3366)),Assumptions!$D$6,IF(ISNUMBER(SEARCH(Assumptions!$C$7,D3366)),Assumptions!$D$7,"Other Services"))),"Other Services"))</f>
        <v/>
      </c>
    </row>
    <row r="3367" customFormat="false" ht="15" hidden="false" customHeight="false" outlineLevel="0" collapsed="false">
      <c r="J3367" s="41" t="str">
        <f aca="false">IF(D3367="","",IFERROR(IF(ISNUMBER(SEARCH(Assumptions!$C$5,D3367)),Assumptions!$D$5,IF(ISNUMBER(SEARCH(Assumptions!$C$6,D3367)),Assumptions!$D$6,IF(ISNUMBER(SEARCH(Assumptions!$C$7,D3367)),Assumptions!$D$7,"Other Services"))),"Other Services"))</f>
        <v/>
      </c>
    </row>
    <row r="3368" customFormat="false" ht="15" hidden="false" customHeight="false" outlineLevel="0" collapsed="false">
      <c r="J3368" s="41" t="str">
        <f aca="false">IF(D3368="","",IFERROR(IF(ISNUMBER(SEARCH(Assumptions!$C$5,D3368)),Assumptions!$D$5,IF(ISNUMBER(SEARCH(Assumptions!$C$6,D3368)),Assumptions!$D$6,IF(ISNUMBER(SEARCH(Assumptions!$C$7,D3368)),Assumptions!$D$7,"Other Services"))),"Other Services"))</f>
        <v/>
      </c>
    </row>
    <row r="3369" customFormat="false" ht="15" hidden="false" customHeight="false" outlineLevel="0" collapsed="false">
      <c r="J3369" s="41" t="str">
        <f aca="false">IF(D3369="","",IFERROR(IF(ISNUMBER(SEARCH(Assumptions!$C$5,D3369)),Assumptions!$D$5,IF(ISNUMBER(SEARCH(Assumptions!$C$6,D3369)),Assumptions!$D$6,IF(ISNUMBER(SEARCH(Assumptions!$C$7,D3369)),Assumptions!$D$7,"Other Services"))),"Other Services"))</f>
        <v/>
      </c>
    </row>
    <row r="3370" customFormat="false" ht="15" hidden="false" customHeight="false" outlineLevel="0" collapsed="false">
      <c r="J3370" s="41" t="str">
        <f aca="false">IF(D3370="","",IFERROR(IF(ISNUMBER(SEARCH(Assumptions!$C$5,D3370)),Assumptions!$D$5,IF(ISNUMBER(SEARCH(Assumptions!$C$6,D3370)),Assumptions!$D$6,IF(ISNUMBER(SEARCH(Assumptions!$C$7,D3370)),Assumptions!$D$7,"Other Services"))),"Other Services"))</f>
        <v/>
      </c>
    </row>
    <row r="3371" customFormat="false" ht="15" hidden="false" customHeight="false" outlineLevel="0" collapsed="false">
      <c r="J3371" s="41" t="str">
        <f aca="false">IF(D3371="","",IFERROR(IF(ISNUMBER(SEARCH(Assumptions!$C$5,D3371)),Assumptions!$D$5,IF(ISNUMBER(SEARCH(Assumptions!$C$6,D3371)),Assumptions!$D$6,IF(ISNUMBER(SEARCH(Assumptions!$C$7,D3371)),Assumptions!$D$7,"Other Services"))),"Other Services"))</f>
        <v/>
      </c>
    </row>
    <row r="3372" customFormat="false" ht="15" hidden="false" customHeight="false" outlineLevel="0" collapsed="false">
      <c r="J3372" s="41" t="str">
        <f aca="false">IF(D3372="","",IFERROR(IF(ISNUMBER(SEARCH(Assumptions!$C$5,D3372)),Assumptions!$D$5,IF(ISNUMBER(SEARCH(Assumptions!$C$6,D3372)),Assumptions!$D$6,IF(ISNUMBER(SEARCH(Assumptions!$C$7,D3372)),Assumptions!$D$7,"Other Services"))),"Other Services"))</f>
        <v/>
      </c>
    </row>
    <row r="3373" customFormat="false" ht="15" hidden="false" customHeight="false" outlineLevel="0" collapsed="false">
      <c r="J3373" s="41" t="str">
        <f aca="false">IF(D3373="","",IFERROR(IF(ISNUMBER(SEARCH(Assumptions!$C$5,D3373)),Assumptions!$D$5,IF(ISNUMBER(SEARCH(Assumptions!$C$6,D3373)),Assumptions!$D$6,IF(ISNUMBER(SEARCH(Assumptions!$C$7,D3373)),Assumptions!$D$7,"Other Services"))),"Other Services"))</f>
        <v/>
      </c>
    </row>
    <row r="3374" customFormat="false" ht="15" hidden="false" customHeight="false" outlineLevel="0" collapsed="false">
      <c r="J3374" s="41" t="str">
        <f aca="false">IF(D3374="","",IFERROR(IF(ISNUMBER(SEARCH(Assumptions!$C$5,D3374)),Assumptions!$D$5,IF(ISNUMBER(SEARCH(Assumptions!$C$6,D3374)),Assumptions!$D$6,IF(ISNUMBER(SEARCH(Assumptions!$C$7,D3374)),Assumptions!$D$7,"Other Services"))),"Other Services"))</f>
        <v/>
      </c>
    </row>
    <row r="3375" customFormat="false" ht="15" hidden="false" customHeight="false" outlineLevel="0" collapsed="false">
      <c r="J3375" s="41" t="str">
        <f aca="false">IF(D3375="","",IFERROR(IF(ISNUMBER(SEARCH(Assumptions!$C$5,D3375)),Assumptions!$D$5,IF(ISNUMBER(SEARCH(Assumptions!$C$6,D3375)),Assumptions!$D$6,IF(ISNUMBER(SEARCH(Assumptions!$C$7,D3375)),Assumptions!$D$7,"Other Services"))),"Other Services"))</f>
        <v/>
      </c>
    </row>
    <row r="3376" customFormat="false" ht="15" hidden="false" customHeight="false" outlineLevel="0" collapsed="false">
      <c r="J3376" s="41" t="str">
        <f aca="false">IF(D3376="","",IFERROR(IF(ISNUMBER(SEARCH(Assumptions!$C$5,D3376)),Assumptions!$D$5,IF(ISNUMBER(SEARCH(Assumptions!$C$6,D3376)),Assumptions!$D$6,IF(ISNUMBER(SEARCH(Assumptions!$C$7,D3376)),Assumptions!$D$7,"Other Services"))),"Other Services"))</f>
        <v/>
      </c>
    </row>
    <row r="3377" customFormat="false" ht="15" hidden="false" customHeight="false" outlineLevel="0" collapsed="false">
      <c r="J3377" s="41" t="str">
        <f aca="false">IF(D3377="","",IFERROR(IF(ISNUMBER(SEARCH(Assumptions!$C$5,D3377)),Assumptions!$D$5,IF(ISNUMBER(SEARCH(Assumptions!$C$6,D3377)),Assumptions!$D$6,IF(ISNUMBER(SEARCH(Assumptions!$C$7,D3377)),Assumptions!$D$7,"Other Services"))),"Other Services"))</f>
        <v/>
      </c>
    </row>
    <row r="3378" customFormat="false" ht="15" hidden="false" customHeight="false" outlineLevel="0" collapsed="false">
      <c r="J3378" s="41" t="str">
        <f aca="false">IF(D3378="","",IFERROR(IF(ISNUMBER(SEARCH(Assumptions!$C$5,D3378)),Assumptions!$D$5,IF(ISNUMBER(SEARCH(Assumptions!$C$6,D3378)),Assumptions!$D$6,IF(ISNUMBER(SEARCH(Assumptions!$C$7,D3378)),Assumptions!$D$7,"Other Services"))),"Other Services"))</f>
        <v/>
      </c>
    </row>
    <row r="3379" customFormat="false" ht="15" hidden="false" customHeight="false" outlineLevel="0" collapsed="false">
      <c r="J3379" s="41" t="str">
        <f aca="false">IF(D3379="","",IFERROR(IF(ISNUMBER(SEARCH(Assumptions!$C$5,D3379)),Assumptions!$D$5,IF(ISNUMBER(SEARCH(Assumptions!$C$6,D3379)),Assumptions!$D$6,IF(ISNUMBER(SEARCH(Assumptions!$C$7,D3379)),Assumptions!$D$7,"Other Services"))),"Other Services"))</f>
        <v/>
      </c>
    </row>
    <row r="3380" customFormat="false" ht="15" hidden="false" customHeight="false" outlineLevel="0" collapsed="false">
      <c r="J3380" s="41" t="str">
        <f aca="false">IF(D3380="","",IFERROR(IF(ISNUMBER(SEARCH(Assumptions!$C$5,D3380)),Assumptions!$D$5,IF(ISNUMBER(SEARCH(Assumptions!$C$6,D3380)),Assumptions!$D$6,IF(ISNUMBER(SEARCH(Assumptions!$C$7,D3380)),Assumptions!$D$7,"Other Services"))),"Other Services"))</f>
        <v/>
      </c>
    </row>
    <row r="3381" customFormat="false" ht="15" hidden="false" customHeight="false" outlineLevel="0" collapsed="false">
      <c r="J3381" s="41" t="str">
        <f aca="false">IF(D3381="","",IFERROR(IF(ISNUMBER(SEARCH(Assumptions!$C$5,D3381)),Assumptions!$D$5,IF(ISNUMBER(SEARCH(Assumptions!$C$6,D3381)),Assumptions!$D$6,IF(ISNUMBER(SEARCH(Assumptions!$C$7,D3381)),Assumptions!$D$7,"Other Services"))),"Other Services"))</f>
        <v/>
      </c>
    </row>
    <row r="3382" customFormat="false" ht="15" hidden="false" customHeight="false" outlineLevel="0" collapsed="false">
      <c r="J3382" s="41" t="str">
        <f aca="false">IF(D3382="","",IFERROR(IF(ISNUMBER(SEARCH(Assumptions!$C$5,D3382)),Assumptions!$D$5,IF(ISNUMBER(SEARCH(Assumptions!$C$6,D3382)),Assumptions!$D$6,IF(ISNUMBER(SEARCH(Assumptions!$C$7,D3382)),Assumptions!$D$7,"Other Services"))),"Other Services"))</f>
        <v/>
      </c>
    </row>
    <row r="3383" customFormat="false" ht="15" hidden="false" customHeight="false" outlineLevel="0" collapsed="false">
      <c r="J3383" s="41" t="str">
        <f aca="false">IF(D3383="","",IFERROR(IF(ISNUMBER(SEARCH(Assumptions!$C$5,D3383)),Assumptions!$D$5,IF(ISNUMBER(SEARCH(Assumptions!$C$6,D3383)),Assumptions!$D$6,IF(ISNUMBER(SEARCH(Assumptions!$C$7,D3383)),Assumptions!$D$7,"Other Services"))),"Other Services"))</f>
        <v/>
      </c>
    </row>
    <row r="3384" customFormat="false" ht="15" hidden="false" customHeight="false" outlineLevel="0" collapsed="false">
      <c r="J3384" s="41" t="str">
        <f aca="false">IF(D3384="","",IFERROR(IF(ISNUMBER(SEARCH(Assumptions!$C$5,D3384)),Assumptions!$D$5,IF(ISNUMBER(SEARCH(Assumptions!$C$6,D3384)),Assumptions!$D$6,IF(ISNUMBER(SEARCH(Assumptions!$C$7,D3384)),Assumptions!$D$7,"Other Services"))),"Other Services"))</f>
        <v/>
      </c>
    </row>
    <row r="3385" customFormat="false" ht="15" hidden="false" customHeight="false" outlineLevel="0" collapsed="false">
      <c r="J3385" s="41" t="str">
        <f aca="false">IF(D3385="","",IFERROR(IF(ISNUMBER(SEARCH(Assumptions!$C$5,D3385)),Assumptions!$D$5,IF(ISNUMBER(SEARCH(Assumptions!$C$6,D3385)),Assumptions!$D$6,IF(ISNUMBER(SEARCH(Assumptions!$C$7,D3385)),Assumptions!$D$7,"Other Services"))),"Other Services"))</f>
        <v/>
      </c>
    </row>
    <row r="3386" customFormat="false" ht="15" hidden="false" customHeight="false" outlineLevel="0" collapsed="false">
      <c r="J3386" s="41" t="str">
        <f aca="false">IF(D3386="","",IFERROR(IF(ISNUMBER(SEARCH(Assumptions!$C$5,D3386)),Assumptions!$D$5,IF(ISNUMBER(SEARCH(Assumptions!$C$6,D3386)),Assumptions!$D$6,IF(ISNUMBER(SEARCH(Assumptions!$C$7,D3386)),Assumptions!$D$7,"Other Services"))),"Other Services"))</f>
        <v/>
      </c>
    </row>
    <row r="3387" customFormat="false" ht="15" hidden="false" customHeight="false" outlineLevel="0" collapsed="false">
      <c r="J3387" s="41" t="str">
        <f aca="false">IF(D3387="","",IFERROR(IF(ISNUMBER(SEARCH(Assumptions!$C$5,D3387)),Assumptions!$D$5,IF(ISNUMBER(SEARCH(Assumptions!$C$6,D3387)),Assumptions!$D$6,IF(ISNUMBER(SEARCH(Assumptions!$C$7,D3387)),Assumptions!$D$7,"Other Services"))),"Other Services"))</f>
        <v/>
      </c>
    </row>
    <row r="3388" customFormat="false" ht="15" hidden="false" customHeight="false" outlineLevel="0" collapsed="false">
      <c r="J3388" s="41" t="str">
        <f aca="false">IF(D3388="","",IFERROR(IF(ISNUMBER(SEARCH(Assumptions!$C$5,D3388)),Assumptions!$D$5,IF(ISNUMBER(SEARCH(Assumptions!$C$6,D3388)),Assumptions!$D$6,IF(ISNUMBER(SEARCH(Assumptions!$C$7,D3388)),Assumptions!$D$7,"Other Services"))),"Other Services"))</f>
        <v/>
      </c>
    </row>
    <row r="3389" customFormat="false" ht="15" hidden="false" customHeight="false" outlineLevel="0" collapsed="false">
      <c r="J3389" s="41" t="str">
        <f aca="false">IF(D3389="","",IFERROR(IF(ISNUMBER(SEARCH(Assumptions!$C$5,D3389)),Assumptions!$D$5,IF(ISNUMBER(SEARCH(Assumptions!$C$6,D3389)),Assumptions!$D$6,IF(ISNUMBER(SEARCH(Assumptions!$C$7,D3389)),Assumptions!$D$7,"Other Services"))),"Other Services"))</f>
        <v/>
      </c>
    </row>
    <row r="3390" customFormat="false" ht="15" hidden="false" customHeight="false" outlineLevel="0" collapsed="false">
      <c r="J3390" s="41" t="str">
        <f aca="false">IF(D3390="","",IFERROR(IF(ISNUMBER(SEARCH(Assumptions!$C$5,D3390)),Assumptions!$D$5,IF(ISNUMBER(SEARCH(Assumptions!$C$6,D3390)),Assumptions!$D$6,IF(ISNUMBER(SEARCH(Assumptions!$C$7,D3390)),Assumptions!$D$7,"Other Services"))),"Other Services"))</f>
        <v/>
      </c>
    </row>
    <row r="3391" customFormat="false" ht="15" hidden="false" customHeight="false" outlineLevel="0" collapsed="false">
      <c r="J3391" s="41" t="str">
        <f aca="false">IF(D3391="","",IFERROR(IF(ISNUMBER(SEARCH(Assumptions!$C$5,D3391)),Assumptions!$D$5,IF(ISNUMBER(SEARCH(Assumptions!$C$6,D3391)),Assumptions!$D$6,IF(ISNUMBER(SEARCH(Assumptions!$C$7,D3391)),Assumptions!$D$7,"Other Services"))),"Other Services"))</f>
        <v/>
      </c>
    </row>
    <row r="3392" customFormat="false" ht="15" hidden="false" customHeight="false" outlineLevel="0" collapsed="false">
      <c r="J3392" s="41" t="str">
        <f aca="false">IF(D3392="","",IFERROR(IF(ISNUMBER(SEARCH(Assumptions!$C$5,D3392)),Assumptions!$D$5,IF(ISNUMBER(SEARCH(Assumptions!$C$6,D3392)),Assumptions!$D$6,IF(ISNUMBER(SEARCH(Assumptions!$C$7,D3392)),Assumptions!$D$7,"Other Services"))),"Other Services"))</f>
        <v/>
      </c>
    </row>
    <row r="3393" customFormat="false" ht="15" hidden="false" customHeight="false" outlineLevel="0" collapsed="false">
      <c r="J3393" s="41" t="str">
        <f aca="false">IF(D3393="","",IFERROR(IF(ISNUMBER(SEARCH(Assumptions!$C$5,D3393)),Assumptions!$D$5,IF(ISNUMBER(SEARCH(Assumptions!$C$6,D3393)),Assumptions!$D$6,IF(ISNUMBER(SEARCH(Assumptions!$C$7,D3393)),Assumptions!$D$7,"Other Services"))),"Other Services"))</f>
        <v/>
      </c>
    </row>
    <row r="3394" customFormat="false" ht="15" hidden="false" customHeight="false" outlineLevel="0" collapsed="false">
      <c r="J3394" s="41" t="str">
        <f aca="false">IF(D3394="","",IFERROR(IF(ISNUMBER(SEARCH(Assumptions!$C$5,D3394)),Assumptions!$D$5,IF(ISNUMBER(SEARCH(Assumptions!$C$6,D3394)),Assumptions!$D$6,IF(ISNUMBER(SEARCH(Assumptions!$C$7,D3394)),Assumptions!$D$7,"Other Services"))),"Other Services"))</f>
        <v/>
      </c>
    </row>
    <row r="3395" customFormat="false" ht="15" hidden="false" customHeight="false" outlineLevel="0" collapsed="false">
      <c r="J3395" s="41" t="str">
        <f aca="false">IF(D3395="","",IFERROR(IF(ISNUMBER(SEARCH(Assumptions!$C$5,D3395)),Assumptions!$D$5,IF(ISNUMBER(SEARCH(Assumptions!$C$6,D3395)),Assumptions!$D$6,IF(ISNUMBER(SEARCH(Assumptions!$C$7,D3395)),Assumptions!$D$7,"Other Services"))),"Other Services"))</f>
        <v/>
      </c>
    </row>
    <row r="3396" customFormat="false" ht="15" hidden="false" customHeight="false" outlineLevel="0" collapsed="false">
      <c r="J3396" s="41" t="str">
        <f aca="false">IF(D3396="","",IFERROR(IF(ISNUMBER(SEARCH(Assumptions!$C$5,D3396)),Assumptions!$D$5,IF(ISNUMBER(SEARCH(Assumptions!$C$6,D3396)),Assumptions!$D$6,IF(ISNUMBER(SEARCH(Assumptions!$C$7,D3396)),Assumptions!$D$7,"Other Services"))),"Other Services"))</f>
        <v/>
      </c>
    </row>
    <row r="3397" customFormat="false" ht="15" hidden="false" customHeight="false" outlineLevel="0" collapsed="false">
      <c r="J3397" s="41" t="str">
        <f aca="false">IF(D3397="","",IFERROR(IF(ISNUMBER(SEARCH(Assumptions!$C$5,D3397)),Assumptions!$D$5,IF(ISNUMBER(SEARCH(Assumptions!$C$6,D3397)),Assumptions!$D$6,IF(ISNUMBER(SEARCH(Assumptions!$C$7,D3397)),Assumptions!$D$7,"Other Services"))),"Other Services"))</f>
        <v/>
      </c>
    </row>
    <row r="3398" customFormat="false" ht="15" hidden="false" customHeight="false" outlineLevel="0" collapsed="false">
      <c r="J3398" s="41" t="str">
        <f aca="false">IF(D3398="","",IFERROR(IF(ISNUMBER(SEARCH(Assumptions!$C$5,D3398)),Assumptions!$D$5,IF(ISNUMBER(SEARCH(Assumptions!$C$6,D3398)),Assumptions!$D$6,IF(ISNUMBER(SEARCH(Assumptions!$C$7,D3398)),Assumptions!$D$7,"Other Services"))),"Other Services"))</f>
        <v/>
      </c>
    </row>
    <row r="3399" customFormat="false" ht="15" hidden="false" customHeight="false" outlineLevel="0" collapsed="false">
      <c r="J3399" s="41" t="str">
        <f aca="false">IF(D3399="","",IFERROR(IF(ISNUMBER(SEARCH(Assumptions!$C$5,D3399)),Assumptions!$D$5,IF(ISNUMBER(SEARCH(Assumptions!$C$6,D3399)),Assumptions!$D$6,IF(ISNUMBER(SEARCH(Assumptions!$C$7,D3399)),Assumptions!$D$7,"Other Services"))),"Other Services"))</f>
        <v/>
      </c>
    </row>
    <row r="3400" customFormat="false" ht="15" hidden="false" customHeight="false" outlineLevel="0" collapsed="false">
      <c r="J3400" s="41" t="str">
        <f aca="false">IF(D3400="","",IFERROR(IF(ISNUMBER(SEARCH(Assumptions!$C$5,D3400)),Assumptions!$D$5,IF(ISNUMBER(SEARCH(Assumptions!$C$6,D3400)),Assumptions!$D$6,IF(ISNUMBER(SEARCH(Assumptions!$C$7,D3400)),Assumptions!$D$7,"Other Services"))),"Other Services"))</f>
        <v/>
      </c>
    </row>
    <row r="3401" customFormat="false" ht="15" hidden="false" customHeight="false" outlineLevel="0" collapsed="false">
      <c r="J3401" s="41" t="str">
        <f aca="false">IF(D3401="","",IFERROR(IF(ISNUMBER(SEARCH(Assumptions!$C$5,D3401)),Assumptions!$D$5,IF(ISNUMBER(SEARCH(Assumptions!$C$6,D3401)),Assumptions!$D$6,IF(ISNUMBER(SEARCH(Assumptions!$C$7,D3401)),Assumptions!$D$7,"Other Services"))),"Other Services"))</f>
        <v/>
      </c>
    </row>
    <row r="3402" customFormat="false" ht="15" hidden="false" customHeight="false" outlineLevel="0" collapsed="false">
      <c r="J3402" s="41" t="str">
        <f aca="false">IF(D3402="","",IFERROR(IF(ISNUMBER(SEARCH(Assumptions!$C$5,D3402)),Assumptions!$D$5,IF(ISNUMBER(SEARCH(Assumptions!$C$6,D3402)),Assumptions!$D$6,IF(ISNUMBER(SEARCH(Assumptions!$C$7,D3402)),Assumptions!$D$7,"Other Services"))),"Other Services"))</f>
        <v/>
      </c>
    </row>
    <row r="3403" customFormat="false" ht="15" hidden="false" customHeight="false" outlineLevel="0" collapsed="false">
      <c r="J3403" s="41" t="str">
        <f aca="false">IF(D3403="","",IFERROR(IF(ISNUMBER(SEARCH(Assumptions!$C$5,D3403)),Assumptions!$D$5,IF(ISNUMBER(SEARCH(Assumptions!$C$6,D3403)),Assumptions!$D$6,IF(ISNUMBER(SEARCH(Assumptions!$C$7,D3403)),Assumptions!$D$7,"Other Services"))),"Other Services"))</f>
        <v/>
      </c>
    </row>
    <row r="3404" customFormat="false" ht="15" hidden="false" customHeight="false" outlineLevel="0" collapsed="false">
      <c r="J3404" s="41" t="str">
        <f aca="false">IF(D3404="","",IFERROR(IF(ISNUMBER(SEARCH(Assumptions!$C$5,D3404)),Assumptions!$D$5,IF(ISNUMBER(SEARCH(Assumptions!$C$6,D3404)),Assumptions!$D$6,IF(ISNUMBER(SEARCH(Assumptions!$C$7,D3404)),Assumptions!$D$7,"Other Services"))),"Other Services"))</f>
        <v/>
      </c>
    </row>
    <row r="3405" customFormat="false" ht="15" hidden="false" customHeight="false" outlineLevel="0" collapsed="false">
      <c r="J3405" s="41" t="str">
        <f aca="false">IF(D3405="","",IFERROR(IF(ISNUMBER(SEARCH(Assumptions!$C$5,D3405)),Assumptions!$D$5,IF(ISNUMBER(SEARCH(Assumptions!$C$6,D3405)),Assumptions!$D$6,IF(ISNUMBER(SEARCH(Assumptions!$C$7,D3405)),Assumptions!$D$7,"Other Services"))),"Other Services"))</f>
        <v/>
      </c>
    </row>
    <row r="3406" customFormat="false" ht="15" hidden="false" customHeight="false" outlineLevel="0" collapsed="false">
      <c r="J3406" s="41" t="str">
        <f aca="false">IF(D3406="","",IFERROR(IF(ISNUMBER(SEARCH(Assumptions!$C$5,D3406)),Assumptions!$D$5,IF(ISNUMBER(SEARCH(Assumptions!$C$6,D3406)),Assumptions!$D$6,IF(ISNUMBER(SEARCH(Assumptions!$C$7,D3406)),Assumptions!$D$7,"Other Services"))),"Other Services"))</f>
        <v/>
      </c>
    </row>
    <row r="3407" customFormat="false" ht="15" hidden="false" customHeight="false" outlineLevel="0" collapsed="false">
      <c r="J3407" s="41" t="str">
        <f aca="false">IF(D3407="","",IFERROR(IF(ISNUMBER(SEARCH(Assumptions!$C$5,D3407)),Assumptions!$D$5,IF(ISNUMBER(SEARCH(Assumptions!$C$6,D3407)),Assumptions!$D$6,IF(ISNUMBER(SEARCH(Assumptions!$C$7,D3407)),Assumptions!$D$7,"Other Services"))),"Other Services"))</f>
        <v/>
      </c>
    </row>
    <row r="3408" customFormat="false" ht="15" hidden="false" customHeight="false" outlineLevel="0" collapsed="false">
      <c r="J3408" s="41" t="str">
        <f aca="false">IF(D3408="","",IFERROR(IF(ISNUMBER(SEARCH(Assumptions!$C$5,D3408)),Assumptions!$D$5,IF(ISNUMBER(SEARCH(Assumptions!$C$6,D3408)),Assumptions!$D$6,IF(ISNUMBER(SEARCH(Assumptions!$C$7,D3408)),Assumptions!$D$7,"Other Services"))),"Other Services"))</f>
        <v/>
      </c>
    </row>
    <row r="3409" customFormat="false" ht="15" hidden="false" customHeight="false" outlineLevel="0" collapsed="false">
      <c r="J3409" s="41" t="str">
        <f aca="false">IF(D3409="","",IFERROR(IF(ISNUMBER(SEARCH(Assumptions!$C$5,D3409)),Assumptions!$D$5,IF(ISNUMBER(SEARCH(Assumptions!$C$6,D3409)),Assumptions!$D$6,IF(ISNUMBER(SEARCH(Assumptions!$C$7,D3409)),Assumptions!$D$7,"Other Services"))),"Other Services"))</f>
        <v/>
      </c>
    </row>
    <row r="3410" customFormat="false" ht="15" hidden="false" customHeight="false" outlineLevel="0" collapsed="false">
      <c r="J3410" s="41" t="str">
        <f aca="false">IF(D3410="","",IFERROR(IF(ISNUMBER(SEARCH(Assumptions!$C$5,D3410)),Assumptions!$D$5,IF(ISNUMBER(SEARCH(Assumptions!$C$6,D3410)),Assumptions!$D$6,IF(ISNUMBER(SEARCH(Assumptions!$C$7,D3410)),Assumptions!$D$7,"Other Services"))),"Other Services"))</f>
        <v/>
      </c>
    </row>
    <row r="3411" customFormat="false" ht="15" hidden="false" customHeight="false" outlineLevel="0" collapsed="false">
      <c r="J3411" s="41" t="str">
        <f aca="false">IF(D3411="","",IFERROR(IF(ISNUMBER(SEARCH(Assumptions!$C$5,D3411)),Assumptions!$D$5,IF(ISNUMBER(SEARCH(Assumptions!$C$6,D3411)),Assumptions!$D$6,IF(ISNUMBER(SEARCH(Assumptions!$C$7,D3411)),Assumptions!$D$7,"Other Services"))),"Other Services"))</f>
        <v/>
      </c>
    </row>
    <row r="3412" customFormat="false" ht="15" hidden="false" customHeight="false" outlineLevel="0" collapsed="false">
      <c r="J3412" s="41" t="str">
        <f aca="false">IF(D3412="","",IFERROR(IF(ISNUMBER(SEARCH(Assumptions!$C$5,D3412)),Assumptions!$D$5,IF(ISNUMBER(SEARCH(Assumptions!$C$6,D3412)),Assumptions!$D$6,IF(ISNUMBER(SEARCH(Assumptions!$C$7,D3412)),Assumptions!$D$7,"Other Services"))),"Other Services"))</f>
        <v/>
      </c>
    </row>
    <row r="3413" customFormat="false" ht="15" hidden="false" customHeight="false" outlineLevel="0" collapsed="false">
      <c r="J3413" s="41" t="str">
        <f aca="false">IF(D3413="","",IFERROR(IF(ISNUMBER(SEARCH(Assumptions!$C$5,D3413)),Assumptions!$D$5,IF(ISNUMBER(SEARCH(Assumptions!$C$6,D3413)),Assumptions!$D$6,IF(ISNUMBER(SEARCH(Assumptions!$C$7,D3413)),Assumptions!$D$7,"Other Services"))),"Other Services"))</f>
        <v/>
      </c>
    </row>
    <row r="3414" customFormat="false" ht="15" hidden="false" customHeight="false" outlineLevel="0" collapsed="false">
      <c r="J3414" s="41" t="str">
        <f aca="false">IF(D3414="","",IFERROR(IF(ISNUMBER(SEARCH(Assumptions!$C$5,D3414)),Assumptions!$D$5,IF(ISNUMBER(SEARCH(Assumptions!$C$6,D3414)),Assumptions!$D$6,IF(ISNUMBER(SEARCH(Assumptions!$C$7,D3414)),Assumptions!$D$7,"Other Services"))),"Other Services"))</f>
        <v/>
      </c>
    </row>
    <row r="3415" customFormat="false" ht="15" hidden="false" customHeight="false" outlineLevel="0" collapsed="false">
      <c r="J3415" s="41" t="str">
        <f aca="false">IF(D3415="","",IFERROR(IF(ISNUMBER(SEARCH(Assumptions!$C$5,D3415)),Assumptions!$D$5,IF(ISNUMBER(SEARCH(Assumptions!$C$6,D3415)),Assumptions!$D$6,IF(ISNUMBER(SEARCH(Assumptions!$C$7,D3415)),Assumptions!$D$7,"Other Services"))),"Other Services"))</f>
        <v/>
      </c>
    </row>
    <row r="3416" customFormat="false" ht="15" hidden="false" customHeight="false" outlineLevel="0" collapsed="false">
      <c r="J3416" s="41" t="str">
        <f aca="false">IF(D3416="","",IFERROR(IF(ISNUMBER(SEARCH(Assumptions!$C$5,D3416)),Assumptions!$D$5,IF(ISNUMBER(SEARCH(Assumptions!$C$6,D3416)),Assumptions!$D$6,IF(ISNUMBER(SEARCH(Assumptions!$C$7,D3416)),Assumptions!$D$7,"Other Services"))),"Other Services"))</f>
        <v/>
      </c>
    </row>
    <row r="3417" customFormat="false" ht="15" hidden="false" customHeight="false" outlineLevel="0" collapsed="false">
      <c r="J3417" s="41" t="str">
        <f aca="false">IF(D3417="","",IFERROR(IF(ISNUMBER(SEARCH(Assumptions!$C$5,D3417)),Assumptions!$D$5,IF(ISNUMBER(SEARCH(Assumptions!$C$6,D3417)),Assumptions!$D$6,IF(ISNUMBER(SEARCH(Assumptions!$C$7,D3417)),Assumptions!$D$7,"Other Services"))),"Other Services"))</f>
        <v/>
      </c>
    </row>
    <row r="3418" customFormat="false" ht="15" hidden="false" customHeight="false" outlineLevel="0" collapsed="false">
      <c r="J3418" s="41" t="str">
        <f aca="false">IF(D3418="","",IFERROR(IF(ISNUMBER(SEARCH(Assumptions!$C$5,D3418)),Assumptions!$D$5,IF(ISNUMBER(SEARCH(Assumptions!$C$6,D3418)),Assumptions!$D$6,IF(ISNUMBER(SEARCH(Assumptions!$C$7,D3418)),Assumptions!$D$7,"Other Services"))),"Other Services"))</f>
        <v/>
      </c>
    </row>
    <row r="3419" customFormat="false" ht="15" hidden="false" customHeight="false" outlineLevel="0" collapsed="false">
      <c r="J3419" s="41" t="str">
        <f aca="false">IF(D3419="","",IFERROR(IF(ISNUMBER(SEARCH(Assumptions!$C$5,D3419)),Assumptions!$D$5,IF(ISNUMBER(SEARCH(Assumptions!$C$6,D3419)),Assumptions!$D$6,IF(ISNUMBER(SEARCH(Assumptions!$C$7,D3419)),Assumptions!$D$7,"Other Services"))),"Other Services"))</f>
        <v/>
      </c>
    </row>
    <row r="3420" customFormat="false" ht="15" hidden="false" customHeight="false" outlineLevel="0" collapsed="false">
      <c r="J3420" s="41" t="str">
        <f aca="false">IF(D3420="","",IFERROR(IF(ISNUMBER(SEARCH(Assumptions!$C$5,D3420)),Assumptions!$D$5,IF(ISNUMBER(SEARCH(Assumptions!$C$6,D3420)),Assumptions!$D$6,IF(ISNUMBER(SEARCH(Assumptions!$C$7,D3420)),Assumptions!$D$7,"Other Services"))),"Other Services"))</f>
        <v/>
      </c>
    </row>
    <row r="3421" customFormat="false" ht="15" hidden="false" customHeight="false" outlineLevel="0" collapsed="false">
      <c r="J3421" s="41" t="str">
        <f aca="false">IF(D3421="","",IFERROR(IF(ISNUMBER(SEARCH(Assumptions!$C$5,D3421)),Assumptions!$D$5,IF(ISNUMBER(SEARCH(Assumptions!$C$6,D3421)),Assumptions!$D$6,IF(ISNUMBER(SEARCH(Assumptions!$C$7,D3421)),Assumptions!$D$7,"Other Services"))),"Other Services"))</f>
        <v/>
      </c>
    </row>
    <row r="3422" customFormat="false" ht="15" hidden="false" customHeight="false" outlineLevel="0" collapsed="false">
      <c r="J3422" s="41" t="str">
        <f aca="false">IF(D3422="","",IFERROR(IF(ISNUMBER(SEARCH(Assumptions!$C$5,D3422)),Assumptions!$D$5,IF(ISNUMBER(SEARCH(Assumptions!$C$6,D3422)),Assumptions!$D$6,IF(ISNUMBER(SEARCH(Assumptions!$C$7,D3422)),Assumptions!$D$7,"Other Services"))),"Other Services"))</f>
        <v/>
      </c>
    </row>
    <row r="3423" customFormat="false" ht="15" hidden="false" customHeight="false" outlineLevel="0" collapsed="false">
      <c r="J3423" s="41" t="str">
        <f aca="false">IF(D3423="","",IFERROR(IF(ISNUMBER(SEARCH(Assumptions!$C$5,D3423)),Assumptions!$D$5,IF(ISNUMBER(SEARCH(Assumptions!$C$6,D3423)),Assumptions!$D$6,IF(ISNUMBER(SEARCH(Assumptions!$C$7,D3423)),Assumptions!$D$7,"Other Services"))),"Other Services"))</f>
        <v/>
      </c>
    </row>
    <row r="3424" customFormat="false" ht="15" hidden="false" customHeight="false" outlineLevel="0" collapsed="false">
      <c r="J3424" s="41" t="str">
        <f aca="false">IF(D3424="","",IFERROR(IF(ISNUMBER(SEARCH(Assumptions!$C$5,D3424)),Assumptions!$D$5,IF(ISNUMBER(SEARCH(Assumptions!$C$6,D3424)),Assumptions!$D$6,IF(ISNUMBER(SEARCH(Assumptions!$C$7,D3424)),Assumptions!$D$7,"Other Services"))),"Other Services"))</f>
        <v/>
      </c>
    </row>
    <row r="3425" customFormat="false" ht="15" hidden="false" customHeight="false" outlineLevel="0" collapsed="false">
      <c r="J3425" s="41" t="str">
        <f aca="false">IF(D3425="","",IFERROR(IF(ISNUMBER(SEARCH(Assumptions!$C$5,D3425)),Assumptions!$D$5,IF(ISNUMBER(SEARCH(Assumptions!$C$6,D3425)),Assumptions!$D$6,IF(ISNUMBER(SEARCH(Assumptions!$C$7,D3425)),Assumptions!$D$7,"Other Services"))),"Other Services"))</f>
        <v/>
      </c>
    </row>
    <row r="3426" customFormat="false" ht="15" hidden="false" customHeight="false" outlineLevel="0" collapsed="false">
      <c r="J3426" s="41" t="str">
        <f aca="false">IF(D3426="","",IFERROR(IF(ISNUMBER(SEARCH(Assumptions!$C$5,D3426)),Assumptions!$D$5,IF(ISNUMBER(SEARCH(Assumptions!$C$6,D3426)),Assumptions!$D$6,IF(ISNUMBER(SEARCH(Assumptions!$C$7,D3426)),Assumptions!$D$7,"Other Services"))),"Other Services"))</f>
        <v/>
      </c>
    </row>
    <row r="3427" customFormat="false" ht="15" hidden="false" customHeight="false" outlineLevel="0" collapsed="false">
      <c r="J3427" s="41" t="str">
        <f aca="false">IF(D3427="","",IFERROR(IF(ISNUMBER(SEARCH(Assumptions!$C$5,D3427)),Assumptions!$D$5,IF(ISNUMBER(SEARCH(Assumptions!$C$6,D3427)),Assumptions!$D$6,IF(ISNUMBER(SEARCH(Assumptions!$C$7,D3427)),Assumptions!$D$7,"Other Services"))),"Other Services"))</f>
        <v/>
      </c>
    </row>
    <row r="3428" customFormat="false" ht="15" hidden="false" customHeight="false" outlineLevel="0" collapsed="false">
      <c r="J3428" s="41" t="str">
        <f aca="false">IF(D3428="","",IFERROR(IF(ISNUMBER(SEARCH(Assumptions!$C$5,D3428)),Assumptions!$D$5,IF(ISNUMBER(SEARCH(Assumptions!$C$6,D3428)),Assumptions!$D$6,IF(ISNUMBER(SEARCH(Assumptions!$C$7,D3428)),Assumptions!$D$7,"Other Services"))),"Other Services"))</f>
        <v/>
      </c>
    </row>
    <row r="3429" customFormat="false" ht="15" hidden="false" customHeight="false" outlineLevel="0" collapsed="false">
      <c r="J3429" s="41" t="str">
        <f aca="false">IF(D3429="","",IFERROR(IF(ISNUMBER(SEARCH(Assumptions!$C$5,D3429)),Assumptions!$D$5,IF(ISNUMBER(SEARCH(Assumptions!$C$6,D3429)),Assumptions!$D$6,IF(ISNUMBER(SEARCH(Assumptions!$C$7,D3429)),Assumptions!$D$7,"Other Services"))),"Other Services"))</f>
        <v/>
      </c>
    </row>
    <row r="3430" customFormat="false" ht="15" hidden="false" customHeight="false" outlineLevel="0" collapsed="false">
      <c r="J3430" s="41" t="str">
        <f aca="false">IF(D3430="","",IFERROR(IF(ISNUMBER(SEARCH(Assumptions!$C$5,D3430)),Assumptions!$D$5,IF(ISNUMBER(SEARCH(Assumptions!$C$6,D3430)),Assumptions!$D$6,IF(ISNUMBER(SEARCH(Assumptions!$C$7,D3430)),Assumptions!$D$7,"Other Services"))),"Other Services"))</f>
        <v/>
      </c>
    </row>
    <row r="3431" customFormat="false" ht="15" hidden="false" customHeight="false" outlineLevel="0" collapsed="false">
      <c r="J3431" s="41" t="str">
        <f aca="false">IF(D3431="","",IFERROR(IF(ISNUMBER(SEARCH(Assumptions!$C$5,D3431)),Assumptions!$D$5,IF(ISNUMBER(SEARCH(Assumptions!$C$6,D3431)),Assumptions!$D$6,IF(ISNUMBER(SEARCH(Assumptions!$C$7,D3431)),Assumptions!$D$7,"Other Services"))),"Other Services"))</f>
        <v/>
      </c>
    </row>
    <row r="3432" customFormat="false" ht="15" hidden="false" customHeight="false" outlineLevel="0" collapsed="false">
      <c r="J3432" s="41" t="str">
        <f aca="false">IF(D3432="","",IFERROR(IF(ISNUMBER(SEARCH(Assumptions!$C$5,D3432)),Assumptions!$D$5,IF(ISNUMBER(SEARCH(Assumptions!$C$6,D3432)),Assumptions!$D$6,IF(ISNUMBER(SEARCH(Assumptions!$C$7,D3432)),Assumptions!$D$7,"Other Services"))),"Other Services"))</f>
        <v/>
      </c>
    </row>
    <row r="3433" customFormat="false" ht="15" hidden="false" customHeight="false" outlineLevel="0" collapsed="false">
      <c r="J3433" s="41" t="str">
        <f aca="false">IF(D3433="","",IFERROR(IF(ISNUMBER(SEARCH(Assumptions!$C$5,D3433)),Assumptions!$D$5,IF(ISNUMBER(SEARCH(Assumptions!$C$6,D3433)),Assumptions!$D$6,IF(ISNUMBER(SEARCH(Assumptions!$C$7,D3433)),Assumptions!$D$7,"Other Services"))),"Other Services"))</f>
        <v/>
      </c>
    </row>
    <row r="3434" customFormat="false" ht="15" hidden="false" customHeight="false" outlineLevel="0" collapsed="false">
      <c r="J3434" s="41" t="str">
        <f aca="false">IF(D3434="","",IFERROR(IF(ISNUMBER(SEARCH(Assumptions!$C$5,D3434)),Assumptions!$D$5,IF(ISNUMBER(SEARCH(Assumptions!$C$6,D3434)),Assumptions!$D$6,IF(ISNUMBER(SEARCH(Assumptions!$C$7,D3434)),Assumptions!$D$7,"Other Services"))),"Other Services"))</f>
        <v/>
      </c>
    </row>
    <row r="3435" customFormat="false" ht="15" hidden="false" customHeight="false" outlineLevel="0" collapsed="false">
      <c r="J3435" s="41" t="str">
        <f aca="false">IF(D3435="","",IFERROR(IF(ISNUMBER(SEARCH(Assumptions!$C$5,D3435)),Assumptions!$D$5,IF(ISNUMBER(SEARCH(Assumptions!$C$6,D3435)),Assumptions!$D$6,IF(ISNUMBER(SEARCH(Assumptions!$C$7,D3435)),Assumptions!$D$7,"Other Services"))),"Other Services"))</f>
        <v/>
      </c>
    </row>
    <row r="3436" customFormat="false" ht="15" hidden="false" customHeight="false" outlineLevel="0" collapsed="false">
      <c r="J3436" s="41" t="str">
        <f aca="false">IF(D3436="","",IFERROR(IF(ISNUMBER(SEARCH(Assumptions!$C$5,D3436)),Assumptions!$D$5,IF(ISNUMBER(SEARCH(Assumptions!$C$6,D3436)),Assumptions!$D$6,IF(ISNUMBER(SEARCH(Assumptions!$C$7,D3436)),Assumptions!$D$7,"Other Services"))),"Other Services"))</f>
        <v/>
      </c>
    </row>
    <row r="3437" customFormat="false" ht="15" hidden="false" customHeight="false" outlineLevel="0" collapsed="false">
      <c r="J3437" s="41" t="str">
        <f aca="false">IF(D3437="","",IFERROR(IF(ISNUMBER(SEARCH(Assumptions!$C$5,D3437)),Assumptions!$D$5,IF(ISNUMBER(SEARCH(Assumptions!$C$6,D3437)),Assumptions!$D$6,IF(ISNUMBER(SEARCH(Assumptions!$C$7,D3437)),Assumptions!$D$7,"Other Services"))),"Other Services"))</f>
        <v/>
      </c>
    </row>
    <row r="3438" customFormat="false" ht="15" hidden="false" customHeight="false" outlineLevel="0" collapsed="false">
      <c r="J3438" s="41" t="str">
        <f aca="false">IF(D3438="","",IFERROR(IF(ISNUMBER(SEARCH(Assumptions!$C$5,D3438)),Assumptions!$D$5,IF(ISNUMBER(SEARCH(Assumptions!$C$6,D3438)),Assumptions!$D$6,IF(ISNUMBER(SEARCH(Assumptions!$C$7,D3438)),Assumptions!$D$7,"Other Services"))),"Other Services"))</f>
        <v/>
      </c>
    </row>
    <row r="3439" customFormat="false" ht="15" hidden="false" customHeight="false" outlineLevel="0" collapsed="false">
      <c r="J3439" s="41" t="str">
        <f aca="false">IF(D3439="","",IFERROR(IF(ISNUMBER(SEARCH(Assumptions!$C$5,D3439)),Assumptions!$D$5,IF(ISNUMBER(SEARCH(Assumptions!$C$6,D3439)),Assumptions!$D$6,IF(ISNUMBER(SEARCH(Assumptions!$C$7,D3439)),Assumptions!$D$7,"Other Services"))),"Other Services"))</f>
        <v/>
      </c>
    </row>
    <row r="3440" customFormat="false" ht="15" hidden="false" customHeight="false" outlineLevel="0" collapsed="false">
      <c r="J3440" s="41" t="str">
        <f aca="false">IF(D3440="","",IFERROR(IF(ISNUMBER(SEARCH(Assumptions!$C$5,D3440)),Assumptions!$D$5,IF(ISNUMBER(SEARCH(Assumptions!$C$6,D3440)),Assumptions!$D$6,IF(ISNUMBER(SEARCH(Assumptions!$C$7,D3440)),Assumptions!$D$7,"Other Services"))),"Other Services"))</f>
        <v/>
      </c>
    </row>
    <row r="3441" customFormat="false" ht="15" hidden="false" customHeight="false" outlineLevel="0" collapsed="false">
      <c r="J3441" s="41" t="str">
        <f aca="false">IF(D3441="","",IFERROR(IF(ISNUMBER(SEARCH(Assumptions!$C$5,D3441)),Assumptions!$D$5,IF(ISNUMBER(SEARCH(Assumptions!$C$6,D3441)),Assumptions!$D$6,IF(ISNUMBER(SEARCH(Assumptions!$C$7,D3441)),Assumptions!$D$7,"Other Services"))),"Other Services"))</f>
        <v/>
      </c>
    </row>
    <row r="3442" customFormat="false" ht="15" hidden="false" customHeight="false" outlineLevel="0" collapsed="false">
      <c r="J3442" s="41" t="str">
        <f aca="false">IF(D3442="","",IFERROR(IF(ISNUMBER(SEARCH(Assumptions!$C$5,D3442)),Assumptions!$D$5,IF(ISNUMBER(SEARCH(Assumptions!$C$6,D3442)),Assumptions!$D$6,IF(ISNUMBER(SEARCH(Assumptions!$C$7,D3442)),Assumptions!$D$7,"Other Services"))),"Other Services"))</f>
        <v/>
      </c>
    </row>
    <row r="3443" customFormat="false" ht="15" hidden="false" customHeight="false" outlineLevel="0" collapsed="false">
      <c r="J3443" s="41" t="str">
        <f aca="false">IF(D3443="","",IFERROR(IF(ISNUMBER(SEARCH(Assumptions!$C$5,D3443)),Assumptions!$D$5,IF(ISNUMBER(SEARCH(Assumptions!$C$6,D3443)),Assumptions!$D$6,IF(ISNUMBER(SEARCH(Assumptions!$C$7,D3443)),Assumptions!$D$7,"Other Services"))),"Other Services"))</f>
        <v/>
      </c>
    </row>
    <row r="3444" customFormat="false" ht="15" hidden="false" customHeight="false" outlineLevel="0" collapsed="false">
      <c r="J3444" s="41" t="str">
        <f aca="false">IF(D3444="","",IFERROR(IF(ISNUMBER(SEARCH(Assumptions!$C$5,D3444)),Assumptions!$D$5,IF(ISNUMBER(SEARCH(Assumptions!$C$6,D3444)),Assumptions!$D$6,IF(ISNUMBER(SEARCH(Assumptions!$C$7,D3444)),Assumptions!$D$7,"Other Services"))),"Other Services"))</f>
        <v/>
      </c>
    </row>
    <row r="3445" customFormat="false" ht="15" hidden="false" customHeight="false" outlineLevel="0" collapsed="false">
      <c r="J3445" s="41" t="str">
        <f aca="false">IF(D3445="","",IFERROR(IF(ISNUMBER(SEARCH(Assumptions!$C$5,D3445)),Assumptions!$D$5,IF(ISNUMBER(SEARCH(Assumptions!$C$6,D3445)),Assumptions!$D$6,IF(ISNUMBER(SEARCH(Assumptions!$C$7,D3445)),Assumptions!$D$7,"Other Services"))),"Other Services"))</f>
        <v/>
      </c>
    </row>
    <row r="3446" customFormat="false" ht="15" hidden="false" customHeight="false" outlineLevel="0" collapsed="false">
      <c r="J3446" s="41" t="str">
        <f aca="false">IF(D3446="","",IFERROR(IF(ISNUMBER(SEARCH(Assumptions!$C$5,D3446)),Assumptions!$D$5,IF(ISNUMBER(SEARCH(Assumptions!$C$6,D3446)),Assumptions!$D$6,IF(ISNUMBER(SEARCH(Assumptions!$C$7,D3446)),Assumptions!$D$7,"Other Services"))),"Other Services"))</f>
        <v/>
      </c>
    </row>
    <row r="3447" customFormat="false" ht="15" hidden="false" customHeight="false" outlineLevel="0" collapsed="false">
      <c r="J3447" s="41" t="str">
        <f aca="false">IF(D3447="","",IFERROR(IF(ISNUMBER(SEARCH(Assumptions!$C$5,D3447)),Assumptions!$D$5,IF(ISNUMBER(SEARCH(Assumptions!$C$6,D3447)),Assumptions!$D$6,IF(ISNUMBER(SEARCH(Assumptions!$C$7,D3447)),Assumptions!$D$7,"Other Services"))),"Other Services"))</f>
        <v/>
      </c>
    </row>
    <row r="3448" customFormat="false" ht="15" hidden="false" customHeight="false" outlineLevel="0" collapsed="false">
      <c r="J3448" s="41" t="str">
        <f aca="false">IF(D3448="","",IFERROR(IF(ISNUMBER(SEARCH(Assumptions!$C$5,D3448)),Assumptions!$D$5,IF(ISNUMBER(SEARCH(Assumptions!$C$6,D3448)),Assumptions!$D$6,IF(ISNUMBER(SEARCH(Assumptions!$C$7,D3448)),Assumptions!$D$7,"Other Services"))),"Other Services"))</f>
        <v/>
      </c>
    </row>
    <row r="3449" customFormat="false" ht="15" hidden="false" customHeight="false" outlineLevel="0" collapsed="false">
      <c r="J3449" s="41" t="str">
        <f aca="false">IF(D3449="","",IFERROR(IF(ISNUMBER(SEARCH(Assumptions!$C$5,D3449)),Assumptions!$D$5,IF(ISNUMBER(SEARCH(Assumptions!$C$6,D3449)),Assumptions!$D$6,IF(ISNUMBER(SEARCH(Assumptions!$C$7,D3449)),Assumptions!$D$7,"Other Services"))),"Other Services"))</f>
        <v/>
      </c>
    </row>
    <row r="3450" customFormat="false" ht="15" hidden="false" customHeight="false" outlineLevel="0" collapsed="false">
      <c r="J3450" s="41" t="str">
        <f aca="false">IF(D3450="","",IFERROR(IF(ISNUMBER(SEARCH(Assumptions!$C$5,D3450)),Assumptions!$D$5,IF(ISNUMBER(SEARCH(Assumptions!$C$6,D3450)),Assumptions!$D$6,IF(ISNUMBER(SEARCH(Assumptions!$C$7,D3450)),Assumptions!$D$7,"Other Services"))),"Other Services"))</f>
        <v/>
      </c>
    </row>
    <row r="3451" customFormat="false" ht="15" hidden="false" customHeight="false" outlineLevel="0" collapsed="false">
      <c r="J3451" s="41" t="str">
        <f aca="false">IF(D3451="","",IFERROR(IF(ISNUMBER(SEARCH(Assumptions!$C$5,D3451)),Assumptions!$D$5,IF(ISNUMBER(SEARCH(Assumptions!$C$6,D3451)),Assumptions!$D$6,IF(ISNUMBER(SEARCH(Assumptions!$C$7,D3451)),Assumptions!$D$7,"Other Services"))),"Other Services"))</f>
        <v/>
      </c>
    </row>
    <row r="3452" customFormat="false" ht="15" hidden="false" customHeight="false" outlineLevel="0" collapsed="false">
      <c r="J3452" s="41" t="str">
        <f aca="false">IF(D3452="","",IFERROR(IF(ISNUMBER(SEARCH(Assumptions!$C$5,D3452)),Assumptions!$D$5,IF(ISNUMBER(SEARCH(Assumptions!$C$6,D3452)),Assumptions!$D$6,IF(ISNUMBER(SEARCH(Assumptions!$C$7,D3452)),Assumptions!$D$7,"Other Services"))),"Other Services"))</f>
        <v/>
      </c>
    </row>
    <row r="3453" customFormat="false" ht="15" hidden="false" customHeight="false" outlineLevel="0" collapsed="false">
      <c r="J3453" s="41" t="str">
        <f aca="false">IF(D3453="","",IFERROR(IF(ISNUMBER(SEARCH(Assumptions!$C$5,D3453)),Assumptions!$D$5,IF(ISNUMBER(SEARCH(Assumptions!$C$6,D3453)),Assumptions!$D$6,IF(ISNUMBER(SEARCH(Assumptions!$C$7,D3453)),Assumptions!$D$7,"Other Services"))),"Other Services"))</f>
        <v/>
      </c>
    </row>
    <row r="3454" customFormat="false" ht="15" hidden="false" customHeight="false" outlineLevel="0" collapsed="false">
      <c r="J3454" s="41" t="str">
        <f aca="false">IF(D3454="","",IFERROR(IF(ISNUMBER(SEARCH(Assumptions!$C$5,D3454)),Assumptions!$D$5,IF(ISNUMBER(SEARCH(Assumptions!$C$6,D3454)),Assumptions!$D$6,IF(ISNUMBER(SEARCH(Assumptions!$C$7,D3454)),Assumptions!$D$7,"Other Services"))),"Other Services"))</f>
        <v/>
      </c>
    </row>
    <row r="3455" customFormat="false" ht="15" hidden="false" customHeight="false" outlineLevel="0" collapsed="false">
      <c r="J3455" s="41" t="str">
        <f aca="false">IF(D3455="","",IFERROR(IF(ISNUMBER(SEARCH(Assumptions!$C$5,D3455)),Assumptions!$D$5,IF(ISNUMBER(SEARCH(Assumptions!$C$6,D3455)),Assumptions!$D$6,IF(ISNUMBER(SEARCH(Assumptions!$C$7,D3455)),Assumptions!$D$7,"Other Services"))),"Other Services"))</f>
        <v/>
      </c>
    </row>
    <row r="3456" customFormat="false" ht="15" hidden="false" customHeight="false" outlineLevel="0" collapsed="false">
      <c r="J3456" s="41" t="str">
        <f aca="false">IF(D3456="","",IFERROR(IF(ISNUMBER(SEARCH(Assumptions!$C$5,D3456)),Assumptions!$D$5,IF(ISNUMBER(SEARCH(Assumptions!$C$6,D3456)),Assumptions!$D$6,IF(ISNUMBER(SEARCH(Assumptions!$C$7,D3456)),Assumptions!$D$7,"Other Services"))),"Other Services"))</f>
        <v/>
      </c>
    </row>
    <row r="3457" customFormat="false" ht="15" hidden="false" customHeight="false" outlineLevel="0" collapsed="false">
      <c r="J3457" s="41" t="str">
        <f aca="false">IF(D3457="","",IFERROR(IF(ISNUMBER(SEARCH(Assumptions!$C$5,D3457)),Assumptions!$D$5,IF(ISNUMBER(SEARCH(Assumptions!$C$6,D3457)),Assumptions!$D$6,IF(ISNUMBER(SEARCH(Assumptions!$C$7,D3457)),Assumptions!$D$7,"Other Services"))),"Other Services"))</f>
        <v/>
      </c>
    </row>
    <row r="3458" customFormat="false" ht="15" hidden="false" customHeight="false" outlineLevel="0" collapsed="false">
      <c r="J3458" s="41" t="str">
        <f aca="false">IF(D3458="","",IFERROR(IF(ISNUMBER(SEARCH(Assumptions!$C$5,D3458)),Assumptions!$D$5,IF(ISNUMBER(SEARCH(Assumptions!$C$6,D3458)),Assumptions!$D$6,IF(ISNUMBER(SEARCH(Assumptions!$C$7,D3458)),Assumptions!$D$7,"Other Services"))),"Other Services"))</f>
        <v/>
      </c>
    </row>
    <row r="3459" customFormat="false" ht="15" hidden="false" customHeight="false" outlineLevel="0" collapsed="false">
      <c r="J3459" s="41" t="str">
        <f aca="false">IF(D3459="","",IFERROR(IF(ISNUMBER(SEARCH(Assumptions!$C$5,D3459)),Assumptions!$D$5,IF(ISNUMBER(SEARCH(Assumptions!$C$6,D3459)),Assumptions!$D$6,IF(ISNUMBER(SEARCH(Assumptions!$C$7,D3459)),Assumptions!$D$7,"Other Services"))),"Other Services"))</f>
        <v/>
      </c>
    </row>
    <row r="3460" customFormat="false" ht="15" hidden="false" customHeight="false" outlineLevel="0" collapsed="false">
      <c r="J3460" s="41" t="str">
        <f aca="false">IF(D3460="","",IFERROR(IF(ISNUMBER(SEARCH(Assumptions!$C$5,D3460)),Assumptions!$D$5,IF(ISNUMBER(SEARCH(Assumptions!$C$6,D3460)),Assumptions!$D$6,IF(ISNUMBER(SEARCH(Assumptions!$C$7,D3460)),Assumptions!$D$7,"Other Services"))),"Other Services"))</f>
        <v/>
      </c>
    </row>
    <row r="3461" customFormat="false" ht="15" hidden="false" customHeight="false" outlineLevel="0" collapsed="false">
      <c r="J3461" s="41" t="str">
        <f aca="false">IF(D3461="","",IFERROR(IF(ISNUMBER(SEARCH(Assumptions!$C$5,D3461)),Assumptions!$D$5,IF(ISNUMBER(SEARCH(Assumptions!$C$6,D3461)),Assumptions!$D$6,IF(ISNUMBER(SEARCH(Assumptions!$C$7,D3461)),Assumptions!$D$7,"Other Services"))),"Other Services"))</f>
        <v/>
      </c>
    </row>
    <row r="3462" customFormat="false" ht="15" hidden="false" customHeight="false" outlineLevel="0" collapsed="false">
      <c r="J3462" s="41" t="str">
        <f aca="false">IF(D3462="","",IFERROR(IF(ISNUMBER(SEARCH(Assumptions!$C$5,D3462)),Assumptions!$D$5,IF(ISNUMBER(SEARCH(Assumptions!$C$6,D3462)),Assumptions!$D$6,IF(ISNUMBER(SEARCH(Assumptions!$C$7,D3462)),Assumptions!$D$7,"Other Services"))),"Other Services"))</f>
        <v/>
      </c>
    </row>
    <row r="3463" customFormat="false" ht="15" hidden="false" customHeight="false" outlineLevel="0" collapsed="false">
      <c r="J3463" s="41" t="str">
        <f aca="false">IF(D3463="","",IFERROR(IF(ISNUMBER(SEARCH(Assumptions!$C$5,D3463)),Assumptions!$D$5,IF(ISNUMBER(SEARCH(Assumptions!$C$6,D3463)),Assumptions!$D$6,IF(ISNUMBER(SEARCH(Assumptions!$C$7,D3463)),Assumptions!$D$7,"Other Services"))),"Other Services"))</f>
        <v/>
      </c>
    </row>
    <row r="3464" customFormat="false" ht="15" hidden="false" customHeight="false" outlineLevel="0" collapsed="false">
      <c r="J3464" s="41" t="str">
        <f aca="false">IF(D3464="","",IFERROR(IF(ISNUMBER(SEARCH(Assumptions!$C$5,D3464)),Assumptions!$D$5,IF(ISNUMBER(SEARCH(Assumptions!$C$6,D3464)),Assumptions!$D$6,IF(ISNUMBER(SEARCH(Assumptions!$C$7,D3464)),Assumptions!$D$7,"Other Services"))),"Other Services"))</f>
        <v/>
      </c>
    </row>
    <row r="3465" customFormat="false" ht="15" hidden="false" customHeight="false" outlineLevel="0" collapsed="false">
      <c r="J3465" s="41" t="str">
        <f aca="false">IF(D3465="","",IFERROR(IF(ISNUMBER(SEARCH(Assumptions!$C$5,D3465)),Assumptions!$D$5,IF(ISNUMBER(SEARCH(Assumptions!$C$6,D3465)),Assumptions!$D$6,IF(ISNUMBER(SEARCH(Assumptions!$C$7,D3465)),Assumptions!$D$7,"Other Services"))),"Other Services"))</f>
        <v/>
      </c>
    </row>
    <row r="3466" customFormat="false" ht="15" hidden="false" customHeight="false" outlineLevel="0" collapsed="false">
      <c r="J3466" s="41" t="str">
        <f aca="false">IF(D3466="","",IFERROR(IF(ISNUMBER(SEARCH(Assumptions!$C$5,D3466)),Assumptions!$D$5,IF(ISNUMBER(SEARCH(Assumptions!$C$6,D3466)),Assumptions!$D$6,IF(ISNUMBER(SEARCH(Assumptions!$C$7,D3466)),Assumptions!$D$7,"Other Services"))),"Other Services"))</f>
        <v/>
      </c>
    </row>
    <row r="3467" customFormat="false" ht="15" hidden="false" customHeight="false" outlineLevel="0" collapsed="false">
      <c r="J3467" s="41" t="str">
        <f aca="false">IF(D3467="","",IFERROR(IF(ISNUMBER(SEARCH(Assumptions!$C$5,D3467)),Assumptions!$D$5,IF(ISNUMBER(SEARCH(Assumptions!$C$6,D3467)),Assumptions!$D$6,IF(ISNUMBER(SEARCH(Assumptions!$C$7,D3467)),Assumptions!$D$7,"Other Services"))),"Other Services"))</f>
        <v/>
      </c>
    </row>
    <row r="3468" customFormat="false" ht="15" hidden="false" customHeight="false" outlineLevel="0" collapsed="false">
      <c r="J3468" s="41" t="str">
        <f aca="false">IF(D3468="","",IFERROR(IF(ISNUMBER(SEARCH(Assumptions!$C$5,D3468)),Assumptions!$D$5,IF(ISNUMBER(SEARCH(Assumptions!$C$6,D3468)),Assumptions!$D$6,IF(ISNUMBER(SEARCH(Assumptions!$C$7,D3468)),Assumptions!$D$7,"Other Services"))),"Other Services"))</f>
        <v/>
      </c>
    </row>
    <row r="3469" customFormat="false" ht="15" hidden="false" customHeight="false" outlineLevel="0" collapsed="false">
      <c r="J3469" s="41" t="str">
        <f aca="false">IF(D3469="","",IFERROR(IF(ISNUMBER(SEARCH(Assumptions!$C$5,D3469)),Assumptions!$D$5,IF(ISNUMBER(SEARCH(Assumptions!$C$6,D3469)),Assumptions!$D$6,IF(ISNUMBER(SEARCH(Assumptions!$C$7,D3469)),Assumptions!$D$7,"Other Services"))),"Other Services"))</f>
        <v/>
      </c>
    </row>
    <row r="3470" customFormat="false" ht="15" hidden="false" customHeight="false" outlineLevel="0" collapsed="false">
      <c r="J3470" s="41" t="str">
        <f aca="false">IF(D3470="","",IFERROR(IF(ISNUMBER(SEARCH(Assumptions!$C$5,D3470)),Assumptions!$D$5,IF(ISNUMBER(SEARCH(Assumptions!$C$6,D3470)),Assumptions!$D$6,IF(ISNUMBER(SEARCH(Assumptions!$C$7,D3470)),Assumptions!$D$7,"Other Services"))),"Other Services"))</f>
        <v/>
      </c>
    </row>
    <row r="3471" customFormat="false" ht="15" hidden="false" customHeight="false" outlineLevel="0" collapsed="false">
      <c r="J3471" s="41" t="str">
        <f aca="false">IF(D3471="","",IFERROR(IF(ISNUMBER(SEARCH(Assumptions!$C$5,D3471)),Assumptions!$D$5,IF(ISNUMBER(SEARCH(Assumptions!$C$6,D3471)),Assumptions!$D$6,IF(ISNUMBER(SEARCH(Assumptions!$C$7,D3471)),Assumptions!$D$7,"Other Services"))),"Other Services"))</f>
        <v/>
      </c>
    </row>
    <row r="3472" customFormat="false" ht="15" hidden="false" customHeight="false" outlineLevel="0" collapsed="false">
      <c r="J3472" s="41" t="str">
        <f aca="false">IF(D3472="","",IFERROR(IF(ISNUMBER(SEARCH(Assumptions!$C$5,D3472)),Assumptions!$D$5,IF(ISNUMBER(SEARCH(Assumptions!$C$6,D3472)),Assumptions!$D$6,IF(ISNUMBER(SEARCH(Assumptions!$C$7,D3472)),Assumptions!$D$7,"Other Services"))),"Other Services"))</f>
        <v/>
      </c>
    </row>
    <row r="3473" customFormat="false" ht="15" hidden="false" customHeight="false" outlineLevel="0" collapsed="false">
      <c r="J3473" s="41" t="str">
        <f aca="false">IF(D3473="","",IFERROR(IF(ISNUMBER(SEARCH(Assumptions!$C$5,D3473)),Assumptions!$D$5,IF(ISNUMBER(SEARCH(Assumptions!$C$6,D3473)),Assumptions!$D$6,IF(ISNUMBER(SEARCH(Assumptions!$C$7,D3473)),Assumptions!$D$7,"Other Services"))),"Other Services"))</f>
        <v/>
      </c>
    </row>
    <row r="3474" customFormat="false" ht="15" hidden="false" customHeight="false" outlineLevel="0" collapsed="false">
      <c r="J3474" s="41" t="str">
        <f aca="false">IF(D3474="","",IFERROR(IF(ISNUMBER(SEARCH(Assumptions!$C$5,D3474)),Assumptions!$D$5,IF(ISNUMBER(SEARCH(Assumptions!$C$6,D3474)),Assumptions!$D$6,IF(ISNUMBER(SEARCH(Assumptions!$C$7,D3474)),Assumptions!$D$7,"Other Services"))),"Other Services"))</f>
        <v/>
      </c>
    </row>
    <row r="3475" customFormat="false" ht="15" hidden="false" customHeight="false" outlineLevel="0" collapsed="false">
      <c r="J3475" s="41" t="str">
        <f aca="false">IF(D3475="","",IFERROR(IF(ISNUMBER(SEARCH(Assumptions!$C$5,D3475)),Assumptions!$D$5,IF(ISNUMBER(SEARCH(Assumptions!$C$6,D3475)),Assumptions!$D$6,IF(ISNUMBER(SEARCH(Assumptions!$C$7,D3475)),Assumptions!$D$7,"Other Services"))),"Other Services"))</f>
        <v/>
      </c>
    </row>
    <row r="3476" customFormat="false" ht="15" hidden="false" customHeight="false" outlineLevel="0" collapsed="false">
      <c r="J3476" s="41" t="str">
        <f aca="false">IF(D3476="","",IFERROR(IF(ISNUMBER(SEARCH(Assumptions!$C$5,D3476)),Assumptions!$D$5,IF(ISNUMBER(SEARCH(Assumptions!$C$6,D3476)),Assumptions!$D$6,IF(ISNUMBER(SEARCH(Assumptions!$C$7,D3476)),Assumptions!$D$7,"Other Services"))),"Other Services"))</f>
        <v/>
      </c>
    </row>
    <row r="3477" customFormat="false" ht="15" hidden="false" customHeight="false" outlineLevel="0" collapsed="false">
      <c r="J3477" s="41" t="str">
        <f aca="false">IF(D3477="","",IFERROR(IF(ISNUMBER(SEARCH(Assumptions!$C$5,D3477)),Assumptions!$D$5,IF(ISNUMBER(SEARCH(Assumptions!$C$6,D3477)),Assumptions!$D$6,IF(ISNUMBER(SEARCH(Assumptions!$C$7,D3477)),Assumptions!$D$7,"Other Services"))),"Other Services"))</f>
        <v/>
      </c>
    </row>
    <row r="3478" customFormat="false" ht="15" hidden="false" customHeight="false" outlineLevel="0" collapsed="false">
      <c r="J3478" s="41" t="str">
        <f aca="false">IF(D3478="","",IFERROR(IF(ISNUMBER(SEARCH(Assumptions!$C$5,D3478)),Assumptions!$D$5,IF(ISNUMBER(SEARCH(Assumptions!$C$6,D3478)),Assumptions!$D$6,IF(ISNUMBER(SEARCH(Assumptions!$C$7,D3478)),Assumptions!$D$7,"Other Services"))),"Other Services"))</f>
        <v/>
      </c>
    </row>
    <row r="3479" customFormat="false" ht="15" hidden="false" customHeight="false" outlineLevel="0" collapsed="false">
      <c r="J3479" s="41" t="str">
        <f aca="false">IF(D3479="","",IFERROR(IF(ISNUMBER(SEARCH(Assumptions!$C$5,D3479)),Assumptions!$D$5,IF(ISNUMBER(SEARCH(Assumptions!$C$6,D3479)),Assumptions!$D$6,IF(ISNUMBER(SEARCH(Assumptions!$C$7,D3479)),Assumptions!$D$7,"Other Services"))),"Other Services"))</f>
        <v/>
      </c>
    </row>
    <row r="3480" customFormat="false" ht="15" hidden="false" customHeight="false" outlineLevel="0" collapsed="false">
      <c r="J3480" s="41" t="str">
        <f aca="false">IF(D3480="","",IFERROR(IF(ISNUMBER(SEARCH(Assumptions!$C$5,D3480)),Assumptions!$D$5,IF(ISNUMBER(SEARCH(Assumptions!$C$6,D3480)),Assumptions!$D$6,IF(ISNUMBER(SEARCH(Assumptions!$C$7,D3480)),Assumptions!$D$7,"Other Services"))),"Other Services"))</f>
        <v/>
      </c>
    </row>
    <row r="3481" customFormat="false" ht="15" hidden="false" customHeight="false" outlineLevel="0" collapsed="false">
      <c r="J3481" s="41" t="str">
        <f aca="false">IF(D3481="","",IFERROR(IF(ISNUMBER(SEARCH(Assumptions!$C$5,D3481)),Assumptions!$D$5,IF(ISNUMBER(SEARCH(Assumptions!$C$6,D3481)),Assumptions!$D$6,IF(ISNUMBER(SEARCH(Assumptions!$C$7,D3481)),Assumptions!$D$7,"Other Services"))),"Other Services"))</f>
        <v/>
      </c>
    </row>
    <row r="3482" customFormat="false" ht="15" hidden="false" customHeight="false" outlineLevel="0" collapsed="false">
      <c r="J3482" s="41" t="str">
        <f aca="false">IF(D3482="","",IFERROR(IF(ISNUMBER(SEARCH(Assumptions!$C$5,D3482)),Assumptions!$D$5,IF(ISNUMBER(SEARCH(Assumptions!$C$6,D3482)),Assumptions!$D$6,IF(ISNUMBER(SEARCH(Assumptions!$C$7,D3482)),Assumptions!$D$7,"Other Services"))),"Other Services"))</f>
        <v/>
      </c>
    </row>
    <row r="3483" customFormat="false" ht="15" hidden="false" customHeight="false" outlineLevel="0" collapsed="false">
      <c r="J3483" s="41" t="str">
        <f aca="false">IF(D3483="","",IFERROR(IF(ISNUMBER(SEARCH(Assumptions!$C$5,D3483)),Assumptions!$D$5,IF(ISNUMBER(SEARCH(Assumptions!$C$6,D3483)),Assumptions!$D$6,IF(ISNUMBER(SEARCH(Assumptions!$C$7,D3483)),Assumptions!$D$7,"Other Services"))),"Other Services"))</f>
        <v/>
      </c>
    </row>
    <row r="3484" customFormat="false" ht="15" hidden="false" customHeight="false" outlineLevel="0" collapsed="false">
      <c r="J3484" s="41" t="str">
        <f aca="false">IF(D3484="","",IFERROR(IF(ISNUMBER(SEARCH(Assumptions!$C$5,D3484)),Assumptions!$D$5,IF(ISNUMBER(SEARCH(Assumptions!$C$6,D3484)),Assumptions!$D$6,IF(ISNUMBER(SEARCH(Assumptions!$C$7,D3484)),Assumptions!$D$7,"Other Services"))),"Other Services"))</f>
        <v/>
      </c>
    </row>
    <row r="3485" customFormat="false" ht="15" hidden="false" customHeight="false" outlineLevel="0" collapsed="false">
      <c r="J3485" s="41" t="str">
        <f aca="false">IF(D3485="","",IFERROR(IF(ISNUMBER(SEARCH(Assumptions!$C$5,D3485)),Assumptions!$D$5,IF(ISNUMBER(SEARCH(Assumptions!$C$6,D3485)),Assumptions!$D$6,IF(ISNUMBER(SEARCH(Assumptions!$C$7,D3485)),Assumptions!$D$7,"Other Services"))),"Other Services"))</f>
        <v/>
      </c>
    </row>
    <row r="3486" customFormat="false" ht="15" hidden="false" customHeight="false" outlineLevel="0" collapsed="false">
      <c r="J3486" s="41" t="str">
        <f aca="false">IF(D3486="","",IFERROR(IF(ISNUMBER(SEARCH(Assumptions!$C$5,D3486)),Assumptions!$D$5,IF(ISNUMBER(SEARCH(Assumptions!$C$6,D3486)),Assumptions!$D$6,IF(ISNUMBER(SEARCH(Assumptions!$C$7,D3486)),Assumptions!$D$7,"Other Services"))),"Other Services"))</f>
        <v/>
      </c>
    </row>
    <row r="3487" customFormat="false" ht="15" hidden="false" customHeight="false" outlineLevel="0" collapsed="false">
      <c r="J3487" s="41" t="str">
        <f aca="false">IF(D3487="","",IFERROR(IF(ISNUMBER(SEARCH(Assumptions!$C$5,D3487)),Assumptions!$D$5,IF(ISNUMBER(SEARCH(Assumptions!$C$6,D3487)),Assumptions!$D$6,IF(ISNUMBER(SEARCH(Assumptions!$C$7,D3487)),Assumptions!$D$7,"Other Services"))),"Other Services"))</f>
        <v/>
      </c>
    </row>
    <row r="3488" customFormat="false" ht="15" hidden="false" customHeight="false" outlineLevel="0" collapsed="false">
      <c r="J3488" s="41" t="str">
        <f aca="false">IF(D3488="","",IFERROR(IF(ISNUMBER(SEARCH(Assumptions!$C$5,D3488)),Assumptions!$D$5,IF(ISNUMBER(SEARCH(Assumptions!$C$6,D3488)),Assumptions!$D$6,IF(ISNUMBER(SEARCH(Assumptions!$C$7,D3488)),Assumptions!$D$7,"Other Services"))),"Other Services"))</f>
        <v/>
      </c>
    </row>
    <row r="3489" customFormat="false" ht="15" hidden="false" customHeight="false" outlineLevel="0" collapsed="false">
      <c r="J3489" s="41" t="str">
        <f aca="false">IF(D3489="","",IFERROR(IF(ISNUMBER(SEARCH(Assumptions!$C$5,D3489)),Assumptions!$D$5,IF(ISNUMBER(SEARCH(Assumptions!$C$6,D3489)),Assumptions!$D$6,IF(ISNUMBER(SEARCH(Assumptions!$C$7,D3489)),Assumptions!$D$7,"Other Services"))),"Other Services"))</f>
        <v/>
      </c>
    </row>
    <row r="3490" customFormat="false" ht="15" hidden="false" customHeight="false" outlineLevel="0" collapsed="false">
      <c r="J3490" s="41" t="str">
        <f aca="false">IF(D3490="","",IFERROR(IF(ISNUMBER(SEARCH(Assumptions!$C$5,D3490)),Assumptions!$D$5,IF(ISNUMBER(SEARCH(Assumptions!$C$6,D3490)),Assumptions!$D$6,IF(ISNUMBER(SEARCH(Assumptions!$C$7,D3490)),Assumptions!$D$7,"Other Services"))),"Other Services"))</f>
        <v/>
      </c>
    </row>
    <row r="3491" customFormat="false" ht="15" hidden="false" customHeight="false" outlineLevel="0" collapsed="false">
      <c r="J3491" s="41" t="str">
        <f aca="false">IF(D3491="","",IFERROR(IF(ISNUMBER(SEARCH(Assumptions!$C$5,D3491)),Assumptions!$D$5,IF(ISNUMBER(SEARCH(Assumptions!$C$6,D3491)),Assumptions!$D$6,IF(ISNUMBER(SEARCH(Assumptions!$C$7,D3491)),Assumptions!$D$7,"Other Services"))),"Other Services"))</f>
        <v/>
      </c>
    </row>
    <row r="3492" customFormat="false" ht="15" hidden="false" customHeight="false" outlineLevel="0" collapsed="false">
      <c r="J3492" s="41" t="str">
        <f aca="false">IF(D3492="","",IFERROR(IF(ISNUMBER(SEARCH(Assumptions!$C$5,D3492)),Assumptions!$D$5,IF(ISNUMBER(SEARCH(Assumptions!$C$6,D3492)),Assumptions!$D$6,IF(ISNUMBER(SEARCH(Assumptions!$C$7,D3492)),Assumptions!$D$7,"Other Services"))),"Other Services"))</f>
        <v/>
      </c>
    </row>
    <row r="3493" customFormat="false" ht="15" hidden="false" customHeight="false" outlineLevel="0" collapsed="false">
      <c r="J3493" s="41" t="str">
        <f aca="false">IF(D3493="","",IFERROR(IF(ISNUMBER(SEARCH(Assumptions!$C$5,D3493)),Assumptions!$D$5,IF(ISNUMBER(SEARCH(Assumptions!$C$6,D3493)),Assumptions!$D$6,IF(ISNUMBER(SEARCH(Assumptions!$C$7,D3493)),Assumptions!$D$7,"Other Services"))),"Other Services"))</f>
        <v/>
      </c>
    </row>
    <row r="3494" customFormat="false" ht="15" hidden="false" customHeight="false" outlineLevel="0" collapsed="false">
      <c r="J3494" s="41" t="str">
        <f aca="false">IF(D3494="","",IFERROR(IF(ISNUMBER(SEARCH(Assumptions!$C$5,D3494)),Assumptions!$D$5,IF(ISNUMBER(SEARCH(Assumptions!$C$6,D3494)),Assumptions!$D$6,IF(ISNUMBER(SEARCH(Assumptions!$C$7,D3494)),Assumptions!$D$7,"Other Services"))),"Other Services"))</f>
        <v/>
      </c>
    </row>
    <row r="3495" customFormat="false" ht="15" hidden="false" customHeight="false" outlineLevel="0" collapsed="false">
      <c r="J3495" s="41" t="str">
        <f aca="false">IF(D3495="","",IFERROR(IF(ISNUMBER(SEARCH(Assumptions!$C$5,D3495)),Assumptions!$D$5,IF(ISNUMBER(SEARCH(Assumptions!$C$6,D3495)),Assumptions!$D$6,IF(ISNUMBER(SEARCH(Assumptions!$C$7,D3495)),Assumptions!$D$7,"Other Services"))),"Other Services"))</f>
        <v/>
      </c>
    </row>
    <row r="3496" customFormat="false" ht="15" hidden="false" customHeight="false" outlineLevel="0" collapsed="false">
      <c r="J3496" s="41" t="str">
        <f aca="false">IF(D3496="","",IFERROR(IF(ISNUMBER(SEARCH(Assumptions!$C$5,D3496)),Assumptions!$D$5,IF(ISNUMBER(SEARCH(Assumptions!$C$6,D3496)),Assumptions!$D$6,IF(ISNUMBER(SEARCH(Assumptions!$C$7,D3496)),Assumptions!$D$7,"Other Services"))),"Other Services"))</f>
        <v/>
      </c>
    </row>
    <row r="3497" customFormat="false" ht="15" hidden="false" customHeight="false" outlineLevel="0" collapsed="false">
      <c r="J3497" s="41" t="str">
        <f aca="false">IF(D3497="","",IFERROR(IF(ISNUMBER(SEARCH(Assumptions!$C$5,D3497)),Assumptions!$D$5,IF(ISNUMBER(SEARCH(Assumptions!$C$6,D3497)),Assumptions!$D$6,IF(ISNUMBER(SEARCH(Assumptions!$C$7,D3497)),Assumptions!$D$7,"Other Services"))),"Other Services"))</f>
        <v/>
      </c>
    </row>
    <row r="3498" customFormat="false" ht="15" hidden="false" customHeight="false" outlineLevel="0" collapsed="false">
      <c r="J3498" s="41" t="str">
        <f aca="false">IF(D3498="","",IFERROR(IF(ISNUMBER(SEARCH(Assumptions!$C$5,D3498)),Assumptions!$D$5,IF(ISNUMBER(SEARCH(Assumptions!$C$6,D3498)),Assumptions!$D$6,IF(ISNUMBER(SEARCH(Assumptions!$C$7,D3498)),Assumptions!$D$7,"Other Services"))),"Other Services"))</f>
        <v/>
      </c>
    </row>
    <row r="3499" customFormat="false" ht="15" hidden="false" customHeight="false" outlineLevel="0" collapsed="false">
      <c r="J3499" s="41" t="str">
        <f aca="false">IF(D3499="","",IFERROR(IF(ISNUMBER(SEARCH(Assumptions!$C$5,D3499)),Assumptions!$D$5,IF(ISNUMBER(SEARCH(Assumptions!$C$6,D3499)),Assumptions!$D$6,IF(ISNUMBER(SEARCH(Assumptions!$C$7,D3499)),Assumptions!$D$7,"Other Services"))),"Other Services"))</f>
        <v/>
      </c>
    </row>
    <row r="3500" customFormat="false" ht="15" hidden="false" customHeight="false" outlineLevel="0" collapsed="false">
      <c r="J3500" s="41" t="str">
        <f aca="false">IF(D3500="","",IFERROR(IF(ISNUMBER(SEARCH(Assumptions!$C$5,D3500)),Assumptions!$D$5,IF(ISNUMBER(SEARCH(Assumptions!$C$6,D3500)),Assumptions!$D$6,IF(ISNUMBER(SEARCH(Assumptions!$C$7,D3500)),Assumptions!$D$7,"Other Services"))),"Other Services"))</f>
        <v/>
      </c>
    </row>
    <row r="3501" customFormat="false" ht="15" hidden="false" customHeight="false" outlineLevel="0" collapsed="false">
      <c r="J3501" s="41" t="str">
        <f aca="false">IF(D3501="","",IFERROR(IF(ISNUMBER(SEARCH(Assumptions!$C$5,D3501)),Assumptions!$D$5,IF(ISNUMBER(SEARCH(Assumptions!$C$6,D3501)),Assumptions!$D$6,IF(ISNUMBER(SEARCH(Assumptions!$C$7,D3501)),Assumptions!$D$7,"Other Services"))),"Other Services"))</f>
        <v/>
      </c>
    </row>
    <row r="3502" customFormat="false" ht="15" hidden="false" customHeight="false" outlineLevel="0" collapsed="false">
      <c r="J3502" s="41" t="str">
        <f aca="false">IF(D3502="","",IFERROR(IF(ISNUMBER(SEARCH(Assumptions!$C$5,D3502)),Assumptions!$D$5,IF(ISNUMBER(SEARCH(Assumptions!$C$6,D3502)),Assumptions!$D$6,IF(ISNUMBER(SEARCH(Assumptions!$C$7,D3502)),Assumptions!$D$7,"Other Services"))),"Other Services"))</f>
        <v/>
      </c>
    </row>
    <row r="3503" customFormat="false" ht="15" hidden="false" customHeight="false" outlineLevel="0" collapsed="false">
      <c r="J3503" s="41" t="str">
        <f aca="false">IF(D3503="","",IFERROR(IF(ISNUMBER(SEARCH(Assumptions!$C$5,D3503)),Assumptions!$D$5,IF(ISNUMBER(SEARCH(Assumptions!$C$6,D3503)),Assumptions!$D$6,IF(ISNUMBER(SEARCH(Assumptions!$C$7,D3503)),Assumptions!$D$7,"Other Services"))),"Other Services"))</f>
        <v/>
      </c>
    </row>
    <row r="3504" customFormat="false" ht="15" hidden="false" customHeight="false" outlineLevel="0" collapsed="false">
      <c r="J3504" s="41" t="str">
        <f aca="false">IF(D3504="","",IFERROR(IF(ISNUMBER(SEARCH(Assumptions!$C$5,D3504)),Assumptions!$D$5,IF(ISNUMBER(SEARCH(Assumptions!$C$6,D3504)),Assumptions!$D$6,IF(ISNUMBER(SEARCH(Assumptions!$C$7,D3504)),Assumptions!$D$7,"Other Services"))),"Other Services"))</f>
        <v/>
      </c>
    </row>
    <row r="3505" customFormat="false" ht="15" hidden="false" customHeight="false" outlineLevel="0" collapsed="false">
      <c r="J3505" s="41" t="str">
        <f aca="false">IF(D3505="","",IFERROR(IF(ISNUMBER(SEARCH(Assumptions!$C$5,D3505)),Assumptions!$D$5,IF(ISNUMBER(SEARCH(Assumptions!$C$6,D3505)),Assumptions!$D$6,IF(ISNUMBER(SEARCH(Assumptions!$C$7,D3505)),Assumptions!$D$7,"Other Services"))),"Other Services"))</f>
        <v/>
      </c>
    </row>
    <row r="3506" customFormat="false" ht="15" hidden="false" customHeight="false" outlineLevel="0" collapsed="false">
      <c r="J3506" s="41" t="str">
        <f aca="false">IF(D3506="","",IFERROR(IF(ISNUMBER(SEARCH(Assumptions!$C$5,D3506)),Assumptions!$D$5,IF(ISNUMBER(SEARCH(Assumptions!$C$6,D3506)),Assumptions!$D$6,IF(ISNUMBER(SEARCH(Assumptions!$C$7,D3506)),Assumptions!$D$7,"Other Services"))),"Other Services"))</f>
        <v/>
      </c>
    </row>
    <row r="3507" customFormat="false" ht="15" hidden="false" customHeight="false" outlineLevel="0" collapsed="false">
      <c r="J3507" s="41" t="str">
        <f aca="false">IF(D3507="","",IFERROR(IF(ISNUMBER(SEARCH(Assumptions!$C$5,D3507)),Assumptions!$D$5,IF(ISNUMBER(SEARCH(Assumptions!$C$6,D3507)),Assumptions!$D$6,IF(ISNUMBER(SEARCH(Assumptions!$C$7,D3507)),Assumptions!$D$7,"Other Services"))),"Other Services"))</f>
        <v/>
      </c>
    </row>
    <row r="3508" customFormat="false" ht="15" hidden="false" customHeight="false" outlineLevel="0" collapsed="false">
      <c r="J3508" s="41" t="str">
        <f aca="false">IF(D3508="","",IFERROR(IF(ISNUMBER(SEARCH(Assumptions!$C$5,D3508)),Assumptions!$D$5,IF(ISNUMBER(SEARCH(Assumptions!$C$6,D3508)),Assumptions!$D$6,IF(ISNUMBER(SEARCH(Assumptions!$C$7,D3508)),Assumptions!$D$7,"Other Services"))),"Other Services"))</f>
        <v/>
      </c>
    </row>
    <row r="3509" customFormat="false" ht="15" hidden="false" customHeight="false" outlineLevel="0" collapsed="false">
      <c r="J3509" s="41" t="str">
        <f aca="false">IF(D3509="","",IFERROR(IF(ISNUMBER(SEARCH(Assumptions!$C$5,D3509)),Assumptions!$D$5,IF(ISNUMBER(SEARCH(Assumptions!$C$6,D3509)),Assumptions!$D$6,IF(ISNUMBER(SEARCH(Assumptions!$C$7,D3509)),Assumptions!$D$7,"Other Services"))),"Other Services"))</f>
        <v/>
      </c>
    </row>
    <row r="3510" customFormat="false" ht="15" hidden="false" customHeight="false" outlineLevel="0" collapsed="false">
      <c r="J3510" s="41" t="str">
        <f aca="false">IF(D3510="","",IFERROR(IF(ISNUMBER(SEARCH(Assumptions!$C$5,D3510)),Assumptions!$D$5,IF(ISNUMBER(SEARCH(Assumptions!$C$6,D3510)),Assumptions!$D$6,IF(ISNUMBER(SEARCH(Assumptions!$C$7,D3510)),Assumptions!$D$7,"Other Services"))),"Other Services"))</f>
        <v/>
      </c>
    </row>
    <row r="3511" customFormat="false" ht="15" hidden="false" customHeight="false" outlineLevel="0" collapsed="false">
      <c r="J3511" s="41" t="str">
        <f aca="false">IF(D3511="","",IFERROR(IF(ISNUMBER(SEARCH(Assumptions!$C$5,D3511)),Assumptions!$D$5,IF(ISNUMBER(SEARCH(Assumptions!$C$6,D3511)),Assumptions!$D$6,IF(ISNUMBER(SEARCH(Assumptions!$C$7,D3511)),Assumptions!$D$7,"Other Services"))),"Other Services"))</f>
        <v/>
      </c>
    </row>
    <row r="3512" customFormat="false" ht="15" hidden="false" customHeight="false" outlineLevel="0" collapsed="false">
      <c r="J3512" s="41" t="str">
        <f aca="false">IF(D3512="","",IFERROR(IF(ISNUMBER(SEARCH(Assumptions!$C$5,D3512)),Assumptions!$D$5,IF(ISNUMBER(SEARCH(Assumptions!$C$6,D3512)),Assumptions!$D$6,IF(ISNUMBER(SEARCH(Assumptions!$C$7,D3512)),Assumptions!$D$7,"Other Services"))),"Other Services"))</f>
        <v/>
      </c>
    </row>
    <row r="3513" customFormat="false" ht="15" hidden="false" customHeight="false" outlineLevel="0" collapsed="false">
      <c r="J3513" s="41" t="str">
        <f aca="false">IF(D3513="","",IFERROR(IF(ISNUMBER(SEARCH(Assumptions!$C$5,D3513)),Assumptions!$D$5,IF(ISNUMBER(SEARCH(Assumptions!$C$6,D3513)),Assumptions!$D$6,IF(ISNUMBER(SEARCH(Assumptions!$C$7,D3513)),Assumptions!$D$7,"Other Services"))),"Other Services"))</f>
        <v/>
      </c>
    </row>
    <row r="3514" customFormat="false" ht="15" hidden="false" customHeight="false" outlineLevel="0" collapsed="false">
      <c r="J3514" s="41" t="str">
        <f aca="false">IF(D3514="","",IFERROR(IF(ISNUMBER(SEARCH(Assumptions!$C$5,D3514)),Assumptions!$D$5,IF(ISNUMBER(SEARCH(Assumptions!$C$6,D3514)),Assumptions!$D$6,IF(ISNUMBER(SEARCH(Assumptions!$C$7,D3514)),Assumptions!$D$7,"Other Services"))),"Other Services"))</f>
        <v/>
      </c>
    </row>
    <row r="3515" customFormat="false" ht="15" hidden="false" customHeight="false" outlineLevel="0" collapsed="false">
      <c r="J3515" s="41" t="str">
        <f aca="false">IF(D3515="","",IFERROR(IF(ISNUMBER(SEARCH(Assumptions!$C$5,D3515)),Assumptions!$D$5,IF(ISNUMBER(SEARCH(Assumptions!$C$6,D3515)),Assumptions!$D$6,IF(ISNUMBER(SEARCH(Assumptions!$C$7,D3515)),Assumptions!$D$7,"Other Services"))),"Other Services"))</f>
        <v/>
      </c>
    </row>
    <row r="3516" customFormat="false" ht="15" hidden="false" customHeight="false" outlineLevel="0" collapsed="false">
      <c r="J3516" s="41" t="str">
        <f aca="false">IF(D3516="","",IFERROR(IF(ISNUMBER(SEARCH(Assumptions!$C$5,D3516)),Assumptions!$D$5,IF(ISNUMBER(SEARCH(Assumptions!$C$6,D3516)),Assumptions!$D$6,IF(ISNUMBER(SEARCH(Assumptions!$C$7,D3516)),Assumptions!$D$7,"Other Services"))),"Other Services"))</f>
        <v/>
      </c>
    </row>
    <row r="3517" customFormat="false" ht="15" hidden="false" customHeight="false" outlineLevel="0" collapsed="false">
      <c r="J3517" s="41" t="str">
        <f aca="false">IF(D3517="","",IFERROR(IF(ISNUMBER(SEARCH(Assumptions!$C$5,D3517)),Assumptions!$D$5,IF(ISNUMBER(SEARCH(Assumptions!$C$6,D3517)),Assumptions!$D$6,IF(ISNUMBER(SEARCH(Assumptions!$C$7,D3517)),Assumptions!$D$7,"Other Services"))),"Other Services"))</f>
        <v/>
      </c>
    </row>
    <row r="3518" customFormat="false" ht="15" hidden="false" customHeight="false" outlineLevel="0" collapsed="false">
      <c r="J3518" s="41" t="str">
        <f aca="false">IF(D3518="","",IFERROR(IF(ISNUMBER(SEARCH(Assumptions!$C$5,D3518)),Assumptions!$D$5,IF(ISNUMBER(SEARCH(Assumptions!$C$6,D3518)),Assumptions!$D$6,IF(ISNUMBER(SEARCH(Assumptions!$C$7,D3518)),Assumptions!$D$7,"Other Services"))),"Other Services"))</f>
        <v/>
      </c>
    </row>
    <row r="3519" customFormat="false" ht="15" hidden="false" customHeight="false" outlineLevel="0" collapsed="false">
      <c r="J3519" s="41" t="str">
        <f aca="false">IF(D3519="","",IFERROR(IF(ISNUMBER(SEARCH(Assumptions!$C$5,D3519)),Assumptions!$D$5,IF(ISNUMBER(SEARCH(Assumptions!$C$6,D3519)),Assumptions!$D$6,IF(ISNUMBER(SEARCH(Assumptions!$C$7,D3519)),Assumptions!$D$7,"Other Services"))),"Other Services"))</f>
        <v/>
      </c>
    </row>
    <row r="3520" customFormat="false" ht="15" hidden="false" customHeight="false" outlineLevel="0" collapsed="false">
      <c r="J3520" s="41" t="str">
        <f aca="false">IF(D3520="","",IFERROR(IF(ISNUMBER(SEARCH(Assumptions!$C$5,D3520)),Assumptions!$D$5,IF(ISNUMBER(SEARCH(Assumptions!$C$6,D3520)),Assumptions!$D$6,IF(ISNUMBER(SEARCH(Assumptions!$C$7,D3520)),Assumptions!$D$7,"Other Services"))),"Other Services"))</f>
        <v/>
      </c>
    </row>
    <row r="3521" customFormat="false" ht="15" hidden="false" customHeight="false" outlineLevel="0" collapsed="false">
      <c r="J3521" s="41" t="str">
        <f aca="false">IF(D3521="","",IFERROR(IF(ISNUMBER(SEARCH(Assumptions!$C$5,D3521)),Assumptions!$D$5,IF(ISNUMBER(SEARCH(Assumptions!$C$6,D3521)),Assumptions!$D$6,IF(ISNUMBER(SEARCH(Assumptions!$C$7,D3521)),Assumptions!$D$7,"Other Services"))),"Other Services"))</f>
        <v/>
      </c>
    </row>
    <row r="3522" customFormat="false" ht="15" hidden="false" customHeight="false" outlineLevel="0" collapsed="false">
      <c r="J3522" s="41" t="str">
        <f aca="false">IF(D3522="","",IFERROR(IF(ISNUMBER(SEARCH(Assumptions!$C$5,D3522)),Assumptions!$D$5,IF(ISNUMBER(SEARCH(Assumptions!$C$6,D3522)),Assumptions!$D$6,IF(ISNUMBER(SEARCH(Assumptions!$C$7,D3522)),Assumptions!$D$7,"Other Services"))),"Other Services"))</f>
        <v/>
      </c>
    </row>
    <row r="3523" customFormat="false" ht="15" hidden="false" customHeight="false" outlineLevel="0" collapsed="false">
      <c r="J3523" s="41" t="str">
        <f aca="false">IF(D3523="","",IFERROR(IF(ISNUMBER(SEARCH(Assumptions!$C$5,D3523)),Assumptions!$D$5,IF(ISNUMBER(SEARCH(Assumptions!$C$6,D3523)),Assumptions!$D$6,IF(ISNUMBER(SEARCH(Assumptions!$C$7,D3523)),Assumptions!$D$7,"Other Services"))),"Other Services"))</f>
        <v/>
      </c>
    </row>
    <row r="3524" customFormat="false" ht="15" hidden="false" customHeight="false" outlineLevel="0" collapsed="false">
      <c r="J3524" s="41" t="str">
        <f aca="false">IF(D3524="","",IFERROR(IF(ISNUMBER(SEARCH(Assumptions!$C$5,D3524)),Assumptions!$D$5,IF(ISNUMBER(SEARCH(Assumptions!$C$6,D3524)),Assumptions!$D$6,IF(ISNUMBER(SEARCH(Assumptions!$C$7,D3524)),Assumptions!$D$7,"Other Services"))),"Other Services"))</f>
        <v/>
      </c>
    </row>
    <row r="3525" customFormat="false" ht="15" hidden="false" customHeight="false" outlineLevel="0" collapsed="false">
      <c r="J3525" s="41" t="str">
        <f aca="false">IF(D3525="","",IFERROR(IF(ISNUMBER(SEARCH(Assumptions!$C$5,D3525)),Assumptions!$D$5,IF(ISNUMBER(SEARCH(Assumptions!$C$6,D3525)),Assumptions!$D$6,IF(ISNUMBER(SEARCH(Assumptions!$C$7,D3525)),Assumptions!$D$7,"Other Services"))),"Other Services"))</f>
        <v/>
      </c>
    </row>
    <row r="3526" customFormat="false" ht="15" hidden="false" customHeight="false" outlineLevel="0" collapsed="false">
      <c r="J3526" s="41" t="str">
        <f aca="false">IF(D3526="","",IFERROR(IF(ISNUMBER(SEARCH(Assumptions!$C$5,D3526)),Assumptions!$D$5,IF(ISNUMBER(SEARCH(Assumptions!$C$6,D3526)),Assumptions!$D$6,IF(ISNUMBER(SEARCH(Assumptions!$C$7,D3526)),Assumptions!$D$7,"Other Services"))),"Other Services"))</f>
        <v/>
      </c>
    </row>
    <row r="3527" customFormat="false" ht="15" hidden="false" customHeight="false" outlineLevel="0" collapsed="false">
      <c r="J3527" s="41" t="str">
        <f aca="false">IF(D3527="","",IFERROR(IF(ISNUMBER(SEARCH(Assumptions!$C$5,D3527)),Assumptions!$D$5,IF(ISNUMBER(SEARCH(Assumptions!$C$6,D3527)),Assumptions!$D$6,IF(ISNUMBER(SEARCH(Assumptions!$C$7,D3527)),Assumptions!$D$7,"Other Services"))),"Other Services"))</f>
        <v/>
      </c>
    </row>
    <row r="3528" customFormat="false" ht="15" hidden="false" customHeight="false" outlineLevel="0" collapsed="false">
      <c r="J3528" s="41" t="str">
        <f aca="false">IF(D3528="","",IFERROR(IF(ISNUMBER(SEARCH(Assumptions!$C$5,D3528)),Assumptions!$D$5,IF(ISNUMBER(SEARCH(Assumptions!$C$6,D3528)),Assumptions!$D$6,IF(ISNUMBER(SEARCH(Assumptions!$C$7,D3528)),Assumptions!$D$7,"Other Services"))),"Other Services"))</f>
        <v/>
      </c>
    </row>
    <row r="3529" customFormat="false" ht="15" hidden="false" customHeight="false" outlineLevel="0" collapsed="false">
      <c r="J3529" s="41" t="str">
        <f aca="false">IF(D3529="","",IFERROR(IF(ISNUMBER(SEARCH(Assumptions!$C$5,D3529)),Assumptions!$D$5,IF(ISNUMBER(SEARCH(Assumptions!$C$6,D3529)),Assumptions!$D$6,IF(ISNUMBER(SEARCH(Assumptions!$C$7,D3529)),Assumptions!$D$7,"Other Services"))),"Other Services"))</f>
        <v/>
      </c>
    </row>
    <row r="3530" customFormat="false" ht="15" hidden="false" customHeight="false" outlineLevel="0" collapsed="false">
      <c r="J3530" s="41" t="str">
        <f aca="false">IF(D3530="","",IFERROR(IF(ISNUMBER(SEARCH(Assumptions!$C$5,D3530)),Assumptions!$D$5,IF(ISNUMBER(SEARCH(Assumptions!$C$6,D3530)),Assumptions!$D$6,IF(ISNUMBER(SEARCH(Assumptions!$C$7,D3530)),Assumptions!$D$7,"Other Services"))),"Other Services"))</f>
        <v/>
      </c>
    </row>
    <row r="3531" customFormat="false" ht="15" hidden="false" customHeight="false" outlineLevel="0" collapsed="false">
      <c r="J3531" s="41" t="str">
        <f aca="false">IF(D3531="","",IFERROR(IF(ISNUMBER(SEARCH(Assumptions!$C$5,D3531)),Assumptions!$D$5,IF(ISNUMBER(SEARCH(Assumptions!$C$6,D3531)),Assumptions!$D$6,IF(ISNUMBER(SEARCH(Assumptions!$C$7,D3531)),Assumptions!$D$7,"Other Services"))),"Other Services"))</f>
        <v/>
      </c>
    </row>
    <row r="3532" customFormat="false" ht="15" hidden="false" customHeight="false" outlineLevel="0" collapsed="false">
      <c r="J3532" s="41" t="str">
        <f aca="false">IF(D3532="","",IFERROR(IF(ISNUMBER(SEARCH(Assumptions!$C$5,D3532)),Assumptions!$D$5,IF(ISNUMBER(SEARCH(Assumptions!$C$6,D3532)),Assumptions!$D$6,IF(ISNUMBER(SEARCH(Assumptions!$C$7,D3532)),Assumptions!$D$7,"Other Services"))),"Other Services"))</f>
        <v/>
      </c>
    </row>
    <row r="3533" customFormat="false" ht="15" hidden="false" customHeight="false" outlineLevel="0" collapsed="false">
      <c r="J3533" s="41" t="str">
        <f aca="false">IF(D3533="","",IFERROR(IF(ISNUMBER(SEARCH(Assumptions!$C$5,D3533)),Assumptions!$D$5,IF(ISNUMBER(SEARCH(Assumptions!$C$6,D3533)),Assumptions!$D$6,IF(ISNUMBER(SEARCH(Assumptions!$C$7,D3533)),Assumptions!$D$7,"Other Services"))),"Other Services"))</f>
        <v/>
      </c>
    </row>
    <row r="3534" customFormat="false" ht="15" hidden="false" customHeight="false" outlineLevel="0" collapsed="false">
      <c r="J3534" s="41" t="str">
        <f aca="false">IF(D3534="","",IFERROR(IF(ISNUMBER(SEARCH(Assumptions!$C$5,D3534)),Assumptions!$D$5,IF(ISNUMBER(SEARCH(Assumptions!$C$6,D3534)),Assumptions!$D$6,IF(ISNUMBER(SEARCH(Assumptions!$C$7,D3534)),Assumptions!$D$7,"Other Services"))),"Other Services"))</f>
        <v/>
      </c>
    </row>
    <row r="3535" customFormat="false" ht="15" hidden="false" customHeight="false" outlineLevel="0" collapsed="false">
      <c r="J3535" s="41" t="str">
        <f aca="false">IF(D3535="","",IFERROR(IF(ISNUMBER(SEARCH(Assumptions!$C$5,D3535)),Assumptions!$D$5,IF(ISNUMBER(SEARCH(Assumptions!$C$6,D3535)),Assumptions!$D$6,IF(ISNUMBER(SEARCH(Assumptions!$C$7,D3535)),Assumptions!$D$7,"Other Services"))),"Other Services"))</f>
        <v/>
      </c>
    </row>
    <row r="3536" customFormat="false" ht="15" hidden="false" customHeight="false" outlineLevel="0" collapsed="false">
      <c r="J3536" s="41" t="str">
        <f aca="false">IF(D3536="","",IFERROR(IF(ISNUMBER(SEARCH(Assumptions!$C$5,D3536)),Assumptions!$D$5,IF(ISNUMBER(SEARCH(Assumptions!$C$6,D3536)),Assumptions!$D$6,IF(ISNUMBER(SEARCH(Assumptions!$C$7,D3536)),Assumptions!$D$7,"Other Services"))),"Other Services"))</f>
        <v/>
      </c>
    </row>
    <row r="3537" customFormat="false" ht="15" hidden="false" customHeight="false" outlineLevel="0" collapsed="false">
      <c r="J3537" s="41" t="str">
        <f aca="false">IF(D3537="","",IFERROR(IF(ISNUMBER(SEARCH(Assumptions!$C$5,D3537)),Assumptions!$D$5,IF(ISNUMBER(SEARCH(Assumptions!$C$6,D3537)),Assumptions!$D$6,IF(ISNUMBER(SEARCH(Assumptions!$C$7,D3537)),Assumptions!$D$7,"Other Services"))),"Other Services"))</f>
        <v/>
      </c>
    </row>
    <row r="3538" customFormat="false" ht="15" hidden="false" customHeight="false" outlineLevel="0" collapsed="false">
      <c r="J3538" s="41" t="str">
        <f aca="false">IF(D3538="","",IFERROR(IF(ISNUMBER(SEARCH(Assumptions!$C$5,D3538)),Assumptions!$D$5,IF(ISNUMBER(SEARCH(Assumptions!$C$6,D3538)),Assumptions!$D$6,IF(ISNUMBER(SEARCH(Assumptions!$C$7,D3538)),Assumptions!$D$7,"Other Services"))),"Other Services"))</f>
        <v/>
      </c>
    </row>
    <row r="3539" customFormat="false" ht="15" hidden="false" customHeight="false" outlineLevel="0" collapsed="false">
      <c r="J3539" s="41" t="str">
        <f aca="false">IF(D3539="","",IFERROR(IF(ISNUMBER(SEARCH(Assumptions!$C$5,D3539)),Assumptions!$D$5,IF(ISNUMBER(SEARCH(Assumptions!$C$6,D3539)),Assumptions!$D$6,IF(ISNUMBER(SEARCH(Assumptions!$C$7,D3539)),Assumptions!$D$7,"Other Services"))),"Other Services"))</f>
        <v/>
      </c>
    </row>
    <row r="3540" customFormat="false" ht="15" hidden="false" customHeight="false" outlineLevel="0" collapsed="false">
      <c r="J3540" s="41" t="str">
        <f aca="false">IF(D3540="","",IFERROR(IF(ISNUMBER(SEARCH(Assumptions!$C$5,D3540)),Assumptions!$D$5,IF(ISNUMBER(SEARCH(Assumptions!$C$6,D3540)),Assumptions!$D$6,IF(ISNUMBER(SEARCH(Assumptions!$C$7,D3540)),Assumptions!$D$7,"Other Services"))),"Other Services"))</f>
        <v/>
      </c>
    </row>
    <row r="3541" customFormat="false" ht="15" hidden="false" customHeight="false" outlineLevel="0" collapsed="false">
      <c r="J3541" s="41" t="str">
        <f aca="false">IF(D3541="","",IFERROR(IF(ISNUMBER(SEARCH(Assumptions!$C$5,D3541)),Assumptions!$D$5,IF(ISNUMBER(SEARCH(Assumptions!$C$6,D3541)),Assumptions!$D$6,IF(ISNUMBER(SEARCH(Assumptions!$C$7,D3541)),Assumptions!$D$7,"Other Services"))),"Other Services"))</f>
        <v/>
      </c>
    </row>
    <row r="3542" customFormat="false" ht="15" hidden="false" customHeight="false" outlineLevel="0" collapsed="false">
      <c r="J3542" s="41" t="str">
        <f aca="false">IF(D3542="","",IFERROR(IF(ISNUMBER(SEARCH(Assumptions!$C$5,D3542)),Assumptions!$D$5,IF(ISNUMBER(SEARCH(Assumptions!$C$6,D3542)),Assumptions!$D$6,IF(ISNUMBER(SEARCH(Assumptions!$C$7,D3542)),Assumptions!$D$7,"Other Services"))),"Other Services"))</f>
        <v/>
      </c>
    </row>
    <row r="3543" customFormat="false" ht="15" hidden="false" customHeight="false" outlineLevel="0" collapsed="false">
      <c r="J3543" s="41" t="str">
        <f aca="false">IF(D3543="","",IFERROR(IF(ISNUMBER(SEARCH(Assumptions!$C$5,D3543)),Assumptions!$D$5,IF(ISNUMBER(SEARCH(Assumptions!$C$6,D3543)),Assumptions!$D$6,IF(ISNUMBER(SEARCH(Assumptions!$C$7,D3543)),Assumptions!$D$7,"Other Services"))),"Other Services"))</f>
        <v/>
      </c>
    </row>
    <row r="3544" customFormat="false" ht="15" hidden="false" customHeight="false" outlineLevel="0" collapsed="false">
      <c r="J3544" s="41" t="str">
        <f aca="false">IF(D3544="","",IFERROR(IF(ISNUMBER(SEARCH(Assumptions!$C$5,D3544)),Assumptions!$D$5,IF(ISNUMBER(SEARCH(Assumptions!$C$6,D3544)),Assumptions!$D$6,IF(ISNUMBER(SEARCH(Assumptions!$C$7,D3544)),Assumptions!$D$7,"Other Services"))),"Other Services"))</f>
        <v/>
      </c>
    </row>
    <row r="3545" customFormat="false" ht="15" hidden="false" customHeight="false" outlineLevel="0" collapsed="false">
      <c r="J3545" s="41" t="str">
        <f aca="false">IF(D3545="","",IFERROR(IF(ISNUMBER(SEARCH(Assumptions!$C$5,D3545)),Assumptions!$D$5,IF(ISNUMBER(SEARCH(Assumptions!$C$6,D3545)),Assumptions!$D$6,IF(ISNUMBER(SEARCH(Assumptions!$C$7,D3545)),Assumptions!$D$7,"Other Services"))),"Other Services"))</f>
        <v/>
      </c>
    </row>
    <row r="3546" customFormat="false" ht="15" hidden="false" customHeight="false" outlineLevel="0" collapsed="false">
      <c r="J3546" s="41" t="str">
        <f aca="false">IF(D3546="","",IFERROR(IF(ISNUMBER(SEARCH(Assumptions!$C$5,D3546)),Assumptions!$D$5,IF(ISNUMBER(SEARCH(Assumptions!$C$6,D3546)),Assumptions!$D$6,IF(ISNUMBER(SEARCH(Assumptions!$C$7,D3546)),Assumptions!$D$7,"Other Services"))),"Other Services"))</f>
        <v/>
      </c>
    </row>
    <row r="3547" customFormat="false" ht="15" hidden="false" customHeight="false" outlineLevel="0" collapsed="false">
      <c r="J3547" s="41" t="str">
        <f aca="false">IF(D3547="","",IFERROR(IF(ISNUMBER(SEARCH(Assumptions!$C$5,D3547)),Assumptions!$D$5,IF(ISNUMBER(SEARCH(Assumptions!$C$6,D3547)),Assumptions!$D$6,IF(ISNUMBER(SEARCH(Assumptions!$C$7,D3547)),Assumptions!$D$7,"Other Services"))),"Other Services"))</f>
        <v/>
      </c>
    </row>
    <row r="3548" customFormat="false" ht="15" hidden="false" customHeight="false" outlineLevel="0" collapsed="false">
      <c r="J3548" s="41" t="str">
        <f aca="false">IF(D3548="","",IFERROR(IF(ISNUMBER(SEARCH(Assumptions!$C$5,D3548)),Assumptions!$D$5,IF(ISNUMBER(SEARCH(Assumptions!$C$6,D3548)),Assumptions!$D$6,IF(ISNUMBER(SEARCH(Assumptions!$C$7,D3548)),Assumptions!$D$7,"Other Services"))),"Other Services"))</f>
        <v/>
      </c>
    </row>
    <row r="3549" customFormat="false" ht="15" hidden="false" customHeight="false" outlineLevel="0" collapsed="false">
      <c r="J3549" s="41" t="str">
        <f aca="false">IF(D3549="","",IFERROR(IF(ISNUMBER(SEARCH(Assumptions!$C$5,D3549)),Assumptions!$D$5,IF(ISNUMBER(SEARCH(Assumptions!$C$6,D3549)),Assumptions!$D$6,IF(ISNUMBER(SEARCH(Assumptions!$C$7,D3549)),Assumptions!$D$7,"Other Services"))),"Other Services"))</f>
        <v/>
      </c>
    </row>
    <row r="3550" customFormat="false" ht="15" hidden="false" customHeight="false" outlineLevel="0" collapsed="false">
      <c r="J3550" s="41" t="str">
        <f aca="false">IF(D3550="","",IFERROR(IF(ISNUMBER(SEARCH(Assumptions!$C$5,D3550)),Assumptions!$D$5,IF(ISNUMBER(SEARCH(Assumptions!$C$6,D3550)),Assumptions!$D$6,IF(ISNUMBER(SEARCH(Assumptions!$C$7,D3550)),Assumptions!$D$7,"Other Services"))),"Other Services"))</f>
        <v/>
      </c>
    </row>
    <row r="3551" customFormat="false" ht="15" hidden="false" customHeight="false" outlineLevel="0" collapsed="false">
      <c r="J3551" s="41" t="str">
        <f aca="false">IF(D3551="","",IFERROR(IF(ISNUMBER(SEARCH(Assumptions!$C$5,D3551)),Assumptions!$D$5,IF(ISNUMBER(SEARCH(Assumptions!$C$6,D3551)),Assumptions!$D$6,IF(ISNUMBER(SEARCH(Assumptions!$C$7,D3551)),Assumptions!$D$7,"Other Services"))),"Other Services"))</f>
        <v/>
      </c>
    </row>
    <row r="3552" customFormat="false" ht="15" hidden="false" customHeight="false" outlineLevel="0" collapsed="false">
      <c r="J3552" s="41" t="str">
        <f aca="false">IF(D3552="","",IFERROR(IF(ISNUMBER(SEARCH(Assumptions!$C$5,D3552)),Assumptions!$D$5,IF(ISNUMBER(SEARCH(Assumptions!$C$6,D3552)),Assumptions!$D$6,IF(ISNUMBER(SEARCH(Assumptions!$C$7,D3552)),Assumptions!$D$7,"Other Services"))),"Other Services"))</f>
        <v/>
      </c>
    </row>
    <row r="3553" customFormat="false" ht="15" hidden="false" customHeight="false" outlineLevel="0" collapsed="false">
      <c r="J3553" s="41" t="str">
        <f aca="false">IF(D3553="","",IFERROR(IF(ISNUMBER(SEARCH(Assumptions!$C$5,D3553)),Assumptions!$D$5,IF(ISNUMBER(SEARCH(Assumptions!$C$6,D3553)),Assumptions!$D$6,IF(ISNUMBER(SEARCH(Assumptions!$C$7,D3553)),Assumptions!$D$7,"Other Services"))),"Other Services"))</f>
        <v/>
      </c>
    </row>
    <row r="3554" customFormat="false" ht="15" hidden="false" customHeight="false" outlineLevel="0" collapsed="false">
      <c r="J3554" s="41" t="str">
        <f aca="false">IF(D3554="","",IFERROR(IF(ISNUMBER(SEARCH(Assumptions!$C$5,D3554)),Assumptions!$D$5,IF(ISNUMBER(SEARCH(Assumptions!$C$6,D3554)),Assumptions!$D$6,IF(ISNUMBER(SEARCH(Assumptions!$C$7,D3554)),Assumptions!$D$7,"Other Services"))),"Other Services"))</f>
        <v/>
      </c>
    </row>
    <row r="3555" customFormat="false" ht="15" hidden="false" customHeight="false" outlineLevel="0" collapsed="false">
      <c r="J3555" s="41" t="str">
        <f aca="false">IF(D3555="","",IFERROR(IF(ISNUMBER(SEARCH(Assumptions!$C$5,D3555)),Assumptions!$D$5,IF(ISNUMBER(SEARCH(Assumptions!$C$6,D3555)),Assumptions!$D$6,IF(ISNUMBER(SEARCH(Assumptions!$C$7,D3555)),Assumptions!$D$7,"Other Services"))),"Other Services"))</f>
        <v/>
      </c>
    </row>
    <row r="3556" customFormat="false" ht="15" hidden="false" customHeight="false" outlineLevel="0" collapsed="false">
      <c r="J3556" s="41" t="str">
        <f aca="false">IF(D3556="","",IFERROR(IF(ISNUMBER(SEARCH(Assumptions!$C$5,D3556)),Assumptions!$D$5,IF(ISNUMBER(SEARCH(Assumptions!$C$6,D3556)),Assumptions!$D$6,IF(ISNUMBER(SEARCH(Assumptions!$C$7,D3556)),Assumptions!$D$7,"Other Services"))),"Other Services"))</f>
        <v/>
      </c>
    </row>
    <row r="3557" customFormat="false" ht="15" hidden="false" customHeight="false" outlineLevel="0" collapsed="false">
      <c r="J3557" s="41" t="str">
        <f aca="false">IF(D3557="","",IFERROR(IF(ISNUMBER(SEARCH(Assumptions!$C$5,D3557)),Assumptions!$D$5,IF(ISNUMBER(SEARCH(Assumptions!$C$6,D3557)),Assumptions!$D$6,IF(ISNUMBER(SEARCH(Assumptions!$C$7,D3557)),Assumptions!$D$7,"Other Services"))),"Other Services"))</f>
        <v/>
      </c>
    </row>
    <row r="3558" customFormat="false" ht="15" hidden="false" customHeight="false" outlineLevel="0" collapsed="false">
      <c r="J3558" s="41" t="str">
        <f aca="false">IF(D3558="","",IFERROR(IF(ISNUMBER(SEARCH(Assumptions!$C$5,D3558)),Assumptions!$D$5,IF(ISNUMBER(SEARCH(Assumptions!$C$6,D3558)),Assumptions!$D$6,IF(ISNUMBER(SEARCH(Assumptions!$C$7,D3558)),Assumptions!$D$7,"Other Services"))),"Other Services"))</f>
        <v/>
      </c>
    </row>
    <row r="3559" customFormat="false" ht="15" hidden="false" customHeight="false" outlineLevel="0" collapsed="false">
      <c r="J3559" s="41" t="str">
        <f aca="false">IF(D3559="","",IFERROR(IF(ISNUMBER(SEARCH(Assumptions!$C$5,D3559)),Assumptions!$D$5,IF(ISNUMBER(SEARCH(Assumptions!$C$6,D3559)),Assumptions!$D$6,IF(ISNUMBER(SEARCH(Assumptions!$C$7,D3559)),Assumptions!$D$7,"Other Services"))),"Other Services"))</f>
        <v/>
      </c>
    </row>
    <row r="3560" customFormat="false" ht="15" hidden="false" customHeight="false" outlineLevel="0" collapsed="false">
      <c r="J3560" s="41" t="str">
        <f aca="false">IF(D3560="","",IFERROR(IF(ISNUMBER(SEARCH(Assumptions!$C$5,D3560)),Assumptions!$D$5,IF(ISNUMBER(SEARCH(Assumptions!$C$6,D3560)),Assumptions!$D$6,IF(ISNUMBER(SEARCH(Assumptions!$C$7,D3560)),Assumptions!$D$7,"Other Services"))),"Other Services"))</f>
        <v/>
      </c>
    </row>
    <row r="3561" customFormat="false" ht="15" hidden="false" customHeight="false" outlineLevel="0" collapsed="false">
      <c r="J3561" s="41" t="str">
        <f aca="false">IF(D3561="","",IFERROR(IF(ISNUMBER(SEARCH(Assumptions!$C$5,D3561)),Assumptions!$D$5,IF(ISNUMBER(SEARCH(Assumptions!$C$6,D3561)),Assumptions!$D$6,IF(ISNUMBER(SEARCH(Assumptions!$C$7,D3561)),Assumptions!$D$7,"Other Services"))),"Other Services"))</f>
        <v/>
      </c>
    </row>
    <row r="3562" customFormat="false" ht="15" hidden="false" customHeight="false" outlineLevel="0" collapsed="false">
      <c r="J3562" s="41" t="str">
        <f aca="false">IF(D3562="","",IFERROR(IF(ISNUMBER(SEARCH(Assumptions!$C$5,D3562)),Assumptions!$D$5,IF(ISNUMBER(SEARCH(Assumptions!$C$6,D3562)),Assumptions!$D$6,IF(ISNUMBER(SEARCH(Assumptions!$C$7,D3562)),Assumptions!$D$7,"Other Services"))),"Other Services"))</f>
        <v/>
      </c>
    </row>
    <row r="3563" customFormat="false" ht="15" hidden="false" customHeight="false" outlineLevel="0" collapsed="false">
      <c r="J3563" s="41" t="str">
        <f aca="false">IF(D3563="","",IFERROR(IF(ISNUMBER(SEARCH(Assumptions!$C$5,D3563)),Assumptions!$D$5,IF(ISNUMBER(SEARCH(Assumptions!$C$6,D3563)),Assumptions!$D$6,IF(ISNUMBER(SEARCH(Assumptions!$C$7,D3563)),Assumptions!$D$7,"Other Services"))),"Other Services"))</f>
        <v/>
      </c>
    </row>
    <row r="3564" customFormat="false" ht="15" hidden="false" customHeight="false" outlineLevel="0" collapsed="false">
      <c r="J3564" s="41" t="str">
        <f aca="false">IF(D3564="","",IFERROR(IF(ISNUMBER(SEARCH(Assumptions!$C$5,D3564)),Assumptions!$D$5,IF(ISNUMBER(SEARCH(Assumptions!$C$6,D3564)),Assumptions!$D$6,IF(ISNUMBER(SEARCH(Assumptions!$C$7,D3564)),Assumptions!$D$7,"Other Services"))),"Other Services"))</f>
        <v/>
      </c>
    </row>
    <row r="3565" customFormat="false" ht="15" hidden="false" customHeight="false" outlineLevel="0" collapsed="false">
      <c r="J3565" s="41" t="str">
        <f aca="false">IF(D3565="","",IFERROR(IF(ISNUMBER(SEARCH(Assumptions!$C$5,D3565)),Assumptions!$D$5,IF(ISNUMBER(SEARCH(Assumptions!$C$6,D3565)),Assumptions!$D$6,IF(ISNUMBER(SEARCH(Assumptions!$C$7,D3565)),Assumptions!$D$7,"Other Services"))),"Other Services"))</f>
        <v/>
      </c>
    </row>
    <row r="3566" customFormat="false" ht="15" hidden="false" customHeight="false" outlineLevel="0" collapsed="false">
      <c r="J3566" s="41" t="str">
        <f aca="false">IF(D3566="","",IFERROR(IF(ISNUMBER(SEARCH(Assumptions!$C$5,D3566)),Assumptions!$D$5,IF(ISNUMBER(SEARCH(Assumptions!$C$6,D3566)),Assumptions!$D$6,IF(ISNUMBER(SEARCH(Assumptions!$C$7,D3566)),Assumptions!$D$7,"Other Services"))),"Other Services"))</f>
        <v/>
      </c>
    </row>
    <row r="3567" customFormat="false" ht="15" hidden="false" customHeight="false" outlineLevel="0" collapsed="false">
      <c r="J3567" s="41" t="str">
        <f aca="false">IF(D3567="","",IFERROR(IF(ISNUMBER(SEARCH(Assumptions!$C$5,D3567)),Assumptions!$D$5,IF(ISNUMBER(SEARCH(Assumptions!$C$6,D3567)),Assumptions!$D$6,IF(ISNUMBER(SEARCH(Assumptions!$C$7,D3567)),Assumptions!$D$7,"Other Services"))),"Other Services"))</f>
        <v/>
      </c>
    </row>
    <row r="3568" customFormat="false" ht="15" hidden="false" customHeight="false" outlineLevel="0" collapsed="false">
      <c r="J3568" s="41" t="str">
        <f aca="false">IF(D3568="","",IFERROR(IF(ISNUMBER(SEARCH(Assumptions!$C$5,D3568)),Assumptions!$D$5,IF(ISNUMBER(SEARCH(Assumptions!$C$6,D3568)),Assumptions!$D$6,IF(ISNUMBER(SEARCH(Assumptions!$C$7,D3568)),Assumptions!$D$7,"Other Services"))),"Other Services"))</f>
        <v/>
      </c>
    </row>
    <row r="3569" customFormat="false" ht="15" hidden="false" customHeight="false" outlineLevel="0" collapsed="false">
      <c r="J3569" s="41" t="str">
        <f aca="false">IF(D3569="","",IFERROR(IF(ISNUMBER(SEARCH(Assumptions!$C$5,D3569)),Assumptions!$D$5,IF(ISNUMBER(SEARCH(Assumptions!$C$6,D3569)),Assumptions!$D$6,IF(ISNUMBER(SEARCH(Assumptions!$C$7,D3569)),Assumptions!$D$7,"Other Services"))),"Other Services"))</f>
        <v/>
      </c>
    </row>
    <row r="3570" customFormat="false" ht="15" hidden="false" customHeight="false" outlineLevel="0" collapsed="false">
      <c r="J3570" s="41" t="str">
        <f aca="false">IF(D3570="","",IFERROR(IF(ISNUMBER(SEARCH(Assumptions!$C$5,D3570)),Assumptions!$D$5,IF(ISNUMBER(SEARCH(Assumptions!$C$6,D3570)),Assumptions!$D$6,IF(ISNUMBER(SEARCH(Assumptions!$C$7,D3570)),Assumptions!$D$7,"Other Services"))),"Other Services"))</f>
        <v/>
      </c>
    </row>
    <row r="3571" customFormat="false" ht="15" hidden="false" customHeight="false" outlineLevel="0" collapsed="false">
      <c r="J3571" s="41" t="str">
        <f aca="false">IF(D3571="","",IFERROR(IF(ISNUMBER(SEARCH(Assumptions!$C$5,D3571)),Assumptions!$D$5,IF(ISNUMBER(SEARCH(Assumptions!$C$6,D3571)),Assumptions!$D$6,IF(ISNUMBER(SEARCH(Assumptions!$C$7,D3571)),Assumptions!$D$7,"Other Services"))),"Other Services"))</f>
        <v/>
      </c>
    </row>
    <row r="3572" customFormat="false" ht="15" hidden="false" customHeight="false" outlineLevel="0" collapsed="false">
      <c r="J3572" s="41" t="str">
        <f aca="false">IF(D3572="","",IFERROR(IF(ISNUMBER(SEARCH(Assumptions!$C$5,D3572)),Assumptions!$D$5,IF(ISNUMBER(SEARCH(Assumptions!$C$6,D3572)),Assumptions!$D$6,IF(ISNUMBER(SEARCH(Assumptions!$C$7,D3572)),Assumptions!$D$7,"Other Services"))),"Other Services"))</f>
        <v/>
      </c>
    </row>
    <row r="3573" customFormat="false" ht="15" hidden="false" customHeight="false" outlineLevel="0" collapsed="false">
      <c r="J3573" s="41" t="str">
        <f aca="false">IF(D3573="","",IFERROR(IF(ISNUMBER(SEARCH(Assumptions!$C$5,D3573)),Assumptions!$D$5,IF(ISNUMBER(SEARCH(Assumptions!$C$6,D3573)),Assumptions!$D$6,IF(ISNUMBER(SEARCH(Assumptions!$C$7,D3573)),Assumptions!$D$7,"Other Services"))),"Other Services"))</f>
        <v/>
      </c>
    </row>
    <row r="3574" customFormat="false" ht="15" hidden="false" customHeight="false" outlineLevel="0" collapsed="false">
      <c r="J3574" s="41" t="str">
        <f aca="false">IF(D3574="","",IFERROR(IF(ISNUMBER(SEARCH(Assumptions!$C$5,D3574)),Assumptions!$D$5,IF(ISNUMBER(SEARCH(Assumptions!$C$6,D3574)),Assumptions!$D$6,IF(ISNUMBER(SEARCH(Assumptions!$C$7,D3574)),Assumptions!$D$7,"Other Services"))),"Other Services"))</f>
        <v/>
      </c>
    </row>
    <row r="3575" customFormat="false" ht="15" hidden="false" customHeight="false" outlineLevel="0" collapsed="false">
      <c r="J3575" s="41" t="str">
        <f aca="false">IF(D3575="","",IFERROR(IF(ISNUMBER(SEARCH(Assumptions!$C$5,D3575)),Assumptions!$D$5,IF(ISNUMBER(SEARCH(Assumptions!$C$6,D3575)),Assumptions!$D$6,IF(ISNUMBER(SEARCH(Assumptions!$C$7,D3575)),Assumptions!$D$7,"Other Services"))),"Other Services"))</f>
        <v/>
      </c>
    </row>
    <row r="3576" customFormat="false" ht="15" hidden="false" customHeight="false" outlineLevel="0" collapsed="false">
      <c r="J3576" s="41" t="str">
        <f aca="false">IF(D3576="","",IFERROR(IF(ISNUMBER(SEARCH(Assumptions!$C$5,D3576)),Assumptions!$D$5,IF(ISNUMBER(SEARCH(Assumptions!$C$6,D3576)),Assumptions!$D$6,IF(ISNUMBER(SEARCH(Assumptions!$C$7,D3576)),Assumptions!$D$7,"Other Services"))),"Other Services"))</f>
        <v/>
      </c>
    </row>
    <row r="3577" customFormat="false" ht="15" hidden="false" customHeight="false" outlineLevel="0" collapsed="false">
      <c r="J3577" s="41" t="str">
        <f aca="false">IF(D3577="","",IFERROR(IF(ISNUMBER(SEARCH(Assumptions!$C$5,D3577)),Assumptions!$D$5,IF(ISNUMBER(SEARCH(Assumptions!$C$6,D3577)),Assumptions!$D$6,IF(ISNUMBER(SEARCH(Assumptions!$C$7,D3577)),Assumptions!$D$7,"Other Services"))),"Other Services"))</f>
        <v/>
      </c>
    </row>
    <row r="3578" customFormat="false" ht="15" hidden="false" customHeight="false" outlineLevel="0" collapsed="false">
      <c r="J3578" s="41" t="str">
        <f aca="false">IF(D3578="","",IFERROR(IF(ISNUMBER(SEARCH(Assumptions!$C$5,D3578)),Assumptions!$D$5,IF(ISNUMBER(SEARCH(Assumptions!$C$6,D3578)),Assumptions!$D$6,IF(ISNUMBER(SEARCH(Assumptions!$C$7,D3578)),Assumptions!$D$7,"Other Services"))),"Other Services"))</f>
        <v/>
      </c>
    </row>
    <row r="3579" customFormat="false" ht="15" hidden="false" customHeight="false" outlineLevel="0" collapsed="false">
      <c r="J3579" s="41" t="str">
        <f aca="false">IF(D3579="","",IFERROR(IF(ISNUMBER(SEARCH(Assumptions!$C$5,D3579)),Assumptions!$D$5,IF(ISNUMBER(SEARCH(Assumptions!$C$6,D3579)),Assumptions!$D$6,IF(ISNUMBER(SEARCH(Assumptions!$C$7,D3579)),Assumptions!$D$7,"Other Services"))),"Other Services"))</f>
        <v/>
      </c>
    </row>
    <row r="3580" customFormat="false" ht="15" hidden="false" customHeight="false" outlineLevel="0" collapsed="false">
      <c r="J3580" s="41" t="str">
        <f aca="false">IF(D3580="","",IFERROR(IF(ISNUMBER(SEARCH(Assumptions!$C$5,D3580)),Assumptions!$D$5,IF(ISNUMBER(SEARCH(Assumptions!$C$6,D3580)),Assumptions!$D$6,IF(ISNUMBER(SEARCH(Assumptions!$C$7,D3580)),Assumptions!$D$7,"Other Services"))),"Other Services"))</f>
        <v/>
      </c>
    </row>
    <row r="3581" customFormat="false" ht="15" hidden="false" customHeight="false" outlineLevel="0" collapsed="false">
      <c r="J3581" s="41" t="str">
        <f aca="false">IF(D3581="","",IFERROR(IF(ISNUMBER(SEARCH(Assumptions!$C$5,D3581)),Assumptions!$D$5,IF(ISNUMBER(SEARCH(Assumptions!$C$6,D3581)),Assumptions!$D$6,IF(ISNUMBER(SEARCH(Assumptions!$C$7,D3581)),Assumptions!$D$7,"Other Services"))),"Other Services"))</f>
        <v/>
      </c>
    </row>
    <row r="3582" customFormat="false" ht="15" hidden="false" customHeight="false" outlineLevel="0" collapsed="false">
      <c r="J3582" s="41" t="str">
        <f aca="false">IF(D3582="","",IFERROR(IF(ISNUMBER(SEARCH(Assumptions!$C$5,D3582)),Assumptions!$D$5,IF(ISNUMBER(SEARCH(Assumptions!$C$6,D3582)),Assumptions!$D$6,IF(ISNUMBER(SEARCH(Assumptions!$C$7,D3582)),Assumptions!$D$7,"Other Services"))),"Other Services"))</f>
        <v/>
      </c>
    </row>
    <row r="3583" customFormat="false" ht="15" hidden="false" customHeight="false" outlineLevel="0" collapsed="false">
      <c r="J3583" s="41" t="str">
        <f aca="false">IF(D3583="","",IFERROR(IF(ISNUMBER(SEARCH(Assumptions!$C$5,D3583)),Assumptions!$D$5,IF(ISNUMBER(SEARCH(Assumptions!$C$6,D3583)),Assumptions!$D$6,IF(ISNUMBER(SEARCH(Assumptions!$C$7,D3583)),Assumptions!$D$7,"Other Services"))),"Other Services"))</f>
        <v/>
      </c>
    </row>
    <row r="3584" customFormat="false" ht="15" hidden="false" customHeight="false" outlineLevel="0" collapsed="false">
      <c r="J3584" s="41" t="str">
        <f aca="false">IF(D3584="","",IFERROR(IF(ISNUMBER(SEARCH(Assumptions!$C$5,D3584)),Assumptions!$D$5,IF(ISNUMBER(SEARCH(Assumptions!$C$6,D3584)),Assumptions!$D$6,IF(ISNUMBER(SEARCH(Assumptions!$C$7,D3584)),Assumptions!$D$7,"Other Services"))),"Other Services"))</f>
        <v/>
      </c>
    </row>
    <row r="3585" customFormat="false" ht="15" hidden="false" customHeight="false" outlineLevel="0" collapsed="false">
      <c r="J3585" s="41" t="str">
        <f aca="false">IF(D3585="","",IFERROR(IF(ISNUMBER(SEARCH(Assumptions!$C$5,D3585)),Assumptions!$D$5,IF(ISNUMBER(SEARCH(Assumptions!$C$6,D3585)),Assumptions!$D$6,IF(ISNUMBER(SEARCH(Assumptions!$C$7,D3585)),Assumptions!$D$7,"Other Services"))),"Other Services"))</f>
        <v/>
      </c>
    </row>
    <row r="3586" customFormat="false" ht="15" hidden="false" customHeight="false" outlineLevel="0" collapsed="false">
      <c r="J3586" s="41" t="str">
        <f aca="false">IF(D3586="","",IFERROR(IF(ISNUMBER(SEARCH(Assumptions!$C$5,D3586)),Assumptions!$D$5,IF(ISNUMBER(SEARCH(Assumptions!$C$6,D3586)),Assumptions!$D$6,IF(ISNUMBER(SEARCH(Assumptions!$C$7,D3586)),Assumptions!$D$7,"Other Services"))),"Other Services"))</f>
        <v/>
      </c>
    </row>
    <row r="3587" customFormat="false" ht="15" hidden="false" customHeight="false" outlineLevel="0" collapsed="false">
      <c r="J3587" s="41" t="str">
        <f aca="false">IF(D3587="","",IFERROR(IF(ISNUMBER(SEARCH(Assumptions!$C$5,D3587)),Assumptions!$D$5,IF(ISNUMBER(SEARCH(Assumptions!$C$6,D3587)),Assumptions!$D$6,IF(ISNUMBER(SEARCH(Assumptions!$C$7,D3587)),Assumptions!$D$7,"Other Services"))),"Other Services"))</f>
        <v/>
      </c>
    </row>
    <row r="3588" customFormat="false" ht="15" hidden="false" customHeight="false" outlineLevel="0" collapsed="false">
      <c r="J3588" s="41" t="str">
        <f aca="false">IF(D3588="","",IFERROR(IF(ISNUMBER(SEARCH(Assumptions!$C$5,D3588)),Assumptions!$D$5,IF(ISNUMBER(SEARCH(Assumptions!$C$6,D3588)),Assumptions!$D$6,IF(ISNUMBER(SEARCH(Assumptions!$C$7,D3588)),Assumptions!$D$7,"Other Services"))),"Other Services"))</f>
        <v/>
      </c>
    </row>
    <row r="3589" customFormat="false" ht="15" hidden="false" customHeight="false" outlineLevel="0" collapsed="false">
      <c r="J3589" s="41" t="str">
        <f aca="false">IF(D3589="","",IFERROR(IF(ISNUMBER(SEARCH(Assumptions!$C$5,D3589)),Assumptions!$D$5,IF(ISNUMBER(SEARCH(Assumptions!$C$6,D3589)),Assumptions!$D$6,IF(ISNUMBER(SEARCH(Assumptions!$C$7,D3589)),Assumptions!$D$7,"Other Services"))),"Other Services"))</f>
        <v/>
      </c>
    </row>
    <row r="3590" customFormat="false" ht="15" hidden="false" customHeight="false" outlineLevel="0" collapsed="false">
      <c r="J3590" s="41" t="str">
        <f aca="false">IF(D3590="","",IFERROR(IF(ISNUMBER(SEARCH(Assumptions!$C$5,D3590)),Assumptions!$D$5,IF(ISNUMBER(SEARCH(Assumptions!$C$6,D3590)),Assumptions!$D$6,IF(ISNUMBER(SEARCH(Assumptions!$C$7,D3590)),Assumptions!$D$7,"Other Services"))),"Other Services"))</f>
        <v/>
      </c>
    </row>
    <row r="3591" customFormat="false" ht="15" hidden="false" customHeight="false" outlineLevel="0" collapsed="false">
      <c r="J3591" s="41" t="str">
        <f aca="false">IF(D3591="","",IFERROR(IF(ISNUMBER(SEARCH(Assumptions!$C$5,D3591)),Assumptions!$D$5,IF(ISNUMBER(SEARCH(Assumptions!$C$6,D3591)),Assumptions!$D$6,IF(ISNUMBER(SEARCH(Assumptions!$C$7,D3591)),Assumptions!$D$7,"Other Services"))),"Other Services"))</f>
        <v/>
      </c>
    </row>
    <row r="3592" customFormat="false" ht="15" hidden="false" customHeight="false" outlineLevel="0" collapsed="false">
      <c r="J3592" s="41" t="str">
        <f aca="false">IF(D3592="","",IFERROR(IF(ISNUMBER(SEARCH(Assumptions!$C$5,D3592)),Assumptions!$D$5,IF(ISNUMBER(SEARCH(Assumptions!$C$6,D3592)),Assumptions!$D$6,IF(ISNUMBER(SEARCH(Assumptions!$C$7,D3592)),Assumptions!$D$7,"Other Services"))),"Other Services"))</f>
        <v/>
      </c>
    </row>
    <row r="3593" customFormat="false" ht="15" hidden="false" customHeight="false" outlineLevel="0" collapsed="false">
      <c r="J3593" s="41" t="str">
        <f aca="false">IF(D3593="","",IFERROR(IF(ISNUMBER(SEARCH(Assumptions!$C$5,D3593)),Assumptions!$D$5,IF(ISNUMBER(SEARCH(Assumptions!$C$6,D3593)),Assumptions!$D$6,IF(ISNUMBER(SEARCH(Assumptions!$C$7,D3593)),Assumptions!$D$7,"Other Services"))),"Other Services"))</f>
        <v/>
      </c>
    </row>
    <row r="3594" customFormat="false" ht="15" hidden="false" customHeight="false" outlineLevel="0" collapsed="false">
      <c r="J3594" s="41" t="str">
        <f aca="false">IF(D3594="","",IFERROR(IF(ISNUMBER(SEARCH(Assumptions!$C$5,D3594)),Assumptions!$D$5,IF(ISNUMBER(SEARCH(Assumptions!$C$6,D3594)),Assumptions!$D$6,IF(ISNUMBER(SEARCH(Assumptions!$C$7,D3594)),Assumptions!$D$7,"Other Services"))),"Other Services"))</f>
        <v/>
      </c>
    </row>
    <row r="3595" customFormat="false" ht="15" hidden="false" customHeight="false" outlineLevel="0" collapsed="false">
      <c r="J3595" s="41" t="str">
        <f aca="false">IF(D3595="","",IFERROR(IF(ISNUMBER(SEARCH(Assumptions!$C$5,D3595)),Assumptions!$D$5,IF(ISNUMBER(SEARCH(Assumptions!$C$6,D3595)),Assumptions!$D$6,IF(ISNUMBER(SEARCH(Assumptions!$C$7,D3595)),Assumptions!$D$7,"Other Services"))),"Other Services"))</f>
        <v/>
      </c>
    </row>
    <row r="3596" customFormat="false" ht="15" hidden="false" customHeight="false" outlineLevel="0" collapsed="false">
      <c r="J3596" s="41" t="str">
        <f aca="false">IF(D3596="","",IFERROR(IF(ISNUMBER(SEARCH(Assumptions!$C$5,D3596)),Assumptions!$D$5,IF(ISNUMBER(SEARCH(Assumptions!$C$6,D3596)),Assumptions!$D$6,IF(ISNUMBER(SEARCH(Assumptions!$C$7,D3596)),Assumptions!$D$7,"Other Services"))),"Other Services"))</f>
        <v/>
      </c>
    </row>
    <row r="3597" customFormat="false" ht="15" hidden="false" customHeight="false" outlineLevel="0" collapsed="false">
      <c r="J3597" s="41" t="str">
        <f aca="false">IF(D3597="","",IFERROR(IF(ISNUMBER(SEARCH(Assumptions!$C$5,D3597)),Assumptions!$D$5,IF(ISNUMBER(SEARCH(Assumptions!$C$6,D3597)),Assumptions!$D$6,IF(ISNUMBER(SEARCH(Assumptions!$C$7,D3597)),Assumptions!$D$7,"Other Services"))),"Other Services"))</f>
        <v/>
      </c>
    </row>
    <row r="3598" customFormat="false" ht="15" hidden="false" customHeight="false" outlineLevel="0" collapsed="false">
      <c r="J3598" s="41" t="str">
        <f aca="false">IF(D3598="","",IFERROR(IF(ISNUMBER(SEARCH(Assumptions!$C$5,D3598)),Assumptions!$D$5,IF(ISNUMBER(SEARCH(Assumptions!$C$6,D3598)),Assumptions!$D$6,IF(ISNUMBER(SEARCH(Assumptions!$C$7,D3598)),Assumptions!$D$7,"Other Services"))),"Other Services"))</f>
        <v/>
      </c>
    </row>
    <row r="3599" customFormat="false" ht="15" hidden="false" customHeight="false" outlineLevel="0" collapsed="false">
      <c r="J3599" s="41" t="str">
        <f aca="false">IF(D3599="","",IFERROR(IF(ISNUMBER(SEARCH(Assumptions!$C$5,D3599)),Assumptions!$D$5,IF(ISNUMBER(SEARCH(Assumptions!$C$6,D3599)),Assumptions!$D$6,IF(ISNUMBER(SEARCH(Assumptions!$C$7,D3599)),Assumptions!$D$7,"Other Services"))),"Other Services"))</f>
        <v/>
      </c>
    </row>
    <row r="3600" customFormat="false" ht="15" hidden="false" customHeight="false" outlineLevel="0" collapsed="false">
      <c r="J3600" s="41" t="str">
        <f aca="false">IF(D3600="","",IFERROR(IF(ISNUMBER(SEARCH(Assumptions!$C$5,D3600)),Assumptions!$D$5,IF(ISNUMBER(SEARCH(Assumptions!$C$6,D3600)),Assumptions!$D$6,IF(ISNUMBER(SEARCH(Assumptions!$C$7,D3600)),Assumptions!$D$7,"Other Services"))),"Other Services"))</f>
        <v/>
      </c>
    </row>
    <row r="3601" customFormat="false" ht="15" hidden="false" customHeight="false" outlineLevel="0" collapsed="false">
      <c r="J3601" s="41" t="str">
        <f aca="false">IF(D3601="","",IFERROR(IF(ISNUMBER(SEARCH(Assumptions!$C$5,D3601)),Assumptions!$D$5,IF(ISNUMBER(SEARCH(Assumptions!$C$6,D3601)),Assumptions!$D$6,IF(ISNUMBER(SEARCH(Assumptions!$C$7,D3601)),Assumptions!$D$7,"Other Services"))),"Other Services"))</f>
        <v/>
      </c>
    </row>
    <row r="3602" customFormat="false" ht="15" hidden="false" customHeight="false" outlineLevel="0" collapsed="false">
      <c r="J3602" s="41" t="str">
        <f aca="false">IF(D3602="","",IFERROR(IF(ISNUMBER(SEARCH(Assumptions!$C$5,D3602)),Assumptions!$D$5,IF(ISNUMBER(SEARCH(Assumptions!$C$6,D3602)),Assumptions!$D$6,IF(ISNUMBER(SEARCH(Assumptions!$C$7,D3602)),Assumptions!$D$7,"Other Services"))),"Other Services"))</f>
        <v/>
      </c>
    </row>
    <row r="3603" customFormat="false" ht="15" hidden="false" customHeight="false" outlineLevel="0" collapsed="false">
      <c r="J3603" s="41" t="str">
        <f aca="false">IF(D3603="","",IFERROR(IF(ISNUMBER(SEARCH(Assumptions!$C$5,D3603)),Assumptions!$D$5,IF(ISNUMBER(SEARCH(Assumptions!$C$6,D3603)),Assumptions!$D$6,IF(ISNUMBER(SEARCH(Assumptions!$C$7,D3603)),Assumptions!$D$7,"Other Services"))),"Other Services"))</f>
        <v/>
      </c>
    </row>
    <row r="3604" customFormat="false" ht="15" hidden="false" customHeight="false" outlineLevel="0" collapsed="false">
      <c r="J3604" s="41" t="str">
        <f aca="false">IF(D3604="","",IFERROR(IF(ISNUMBER(SEARCH(Assumptions!$C$5,D3604)),Assumptions!$D$5,IF(ISNUMBER(SEARCH(Assumptions!$C$6,D3604)),Assumptions!$D$6,IF(ISNUMBER(SEARCH(Assumptions!$C$7,D3604)),Assumptions!$D$7,"Other Services"))),"Other Services"))</f>
        <v/>
      </c>
    </row>
    <row r="3605" customFormat="false" ht="15" hidden="false" customHeight="false" outlineLevel="0" collapsed="false">
      <c r="J3605" s="41" t="str">
        <f aca="false">IF(D3605="","",IFERROR(IF(ISNUMBER(SEARCH(Assumptions!$C$5,D3605)),Assumptions!$D$5,IF(ISNUMBER(SEARCH(Assumptions!$C$6,D3605)),Assumptions!$D$6,IF(ISNUMBER(SEARCH(Assumptions!$C$7,D3605)),Assumptions!$D$7,"Other Services"))),"Other Services"))</f>
        <v/>
      </c>
    </row>
    <row r="3606" customFormat="false" ht="15" hidden="false" customHeight="false" outlineLevel="0" collapsed="false">
      <c r="J3606" s="41" t="str">
        <f aca="false">IF(D3606="","",IFERROR(IF(ISNUMBER(SEARCH(Assumptions!$C$5,D3606)),Assumptions!$D$5,IF(ISNUMBER(SEARCH(Assumptions!$C$6,D3606)),Assumptions!$D$6,IF(ISNUMBER(SEARCH(Assumptions!$C$7,D3606)),Assumptions!$D$7,"Other Services"))),"Other Services"))</f>
        <v/>
      </c>
    </row>
    <row r="3607" customFormat="false" ht="15" hidden="false" customHeight="false" outlineLevel="0" collapsed="false">
      <c r="J3607" s="41" t="str">
        <f aca="false">IF(D3607="","",IFERROR(IF(ISNUMBER(SEARCH(Assumptions!$C$5,D3607)),Assumptions!$D$5,IF(ISNUMBER(SEARCH(Assumptions!$C$6,D3607)),Assumptions!$D$6,IF(ISNUMBER(SEARCH(Assumptions!$C$7,D3607)),Assumptions!$D$7,"Other Services"))),"Other Services"))</f>
        <v/>
      </c>
    </row>
    <row r="3608" customFormat="false" ht="15" hidden="false" customHeight="false" outlineLevel="0" collapsed="false">
      <c r="J3608" s="41" t="str">
        <f aca="false">IF(D3608="","",IFERROR(IF(ISNUMBER(SEARCH(Assumptions!$C$5,D3608)),Assumptions!$D$5,IF(ISNUMBER(SEARCH(Assumptions!$C$6,D3608)),Assumptions!$D$6,IF(ISNUMBER(SEARCH(Assumptions!$C$7,D3608)),Assumptions!$D$7,"Other Services"))),"Other Services"))</f>
        <v/>
      </c>
    </row>
    <row r="3609" customFormat="false" ht="15" hidden="false" customHeight="false" outlineLevel="0" collapsed="false">
      <c r="J3609" s="41" t="str">
        <f aca="false">IF(D3609="","",IFERROR(IF(ISNUMBER(SEARCH(Assumptions!$C$5,D3609)),Assumptions!$D$5,IF(ISNUMBER(SEARCH(Assumptions!$C$6,D3609)),Assumptions!$D$6,IF(ISNUMBER(SEARCH(Assumptions!$C$7,D3609)),Assumptions!$D$7,"Other Services"))),"Other Services"))</f>
        <v/>
      </c>
    </row>
    <row r="3610" customFormat="false" ht="15" hidden="false" customHeight="false" outlineLevel="0" collapsed="false">
      <c r="J3610" s="41" t="str">
        <f aca="false">IF(D3610="","",IFERROR(IF(ISNUMBER(SEARCH(Assumptions!$C$5,D3610)),Assumptions!$D$5,IF(ISNUMBER(SEARCH(Assumptions!$C$6,D3610)),Assumptions!$D$6,IF(ISNUMBER(SEARCH(Assumptions!$C$7,D3610)),Assumptions!$D$7,"Other Services"))),"Other Services"))</f>
        <v/>
      </c>
    </row>
    <row r="3611" customFormat="false" ht="15" hidden="false" customHeight="false" outlineLevel="0" collapsed="false">
      <c r="J3611" s="41" t="str">
        <f aca="false">IF(D3611="","",IFERROR(IF(ISNUMBER(SEARCH(Assumptions!$C$5,D3611)),Assumptions!$D$5,IF(ISNUMBER(SEARCH(Assumptions!$C$6,D3611)),Assumptions!$D$6,IF(ISNUMBER(SEARCH(Assumptions!$C$7,D3611)),Assumptions!$D$7,"Other Services"))),"Other Services"))</f>
        <v/>
      </c>
    </row>
    <row r="3612" customFormat="false" ht="15" hidden="false" customHeight="false" outlineLevel="0" collapsed="false">
      <c r="J3612" s="41" t="str">
        <f aca="false">IF(D3612="","",IFERROR(IF(ISNUMBER(SEARCH(Assumptions!$C$5,D3612)),Assumptions!$D$5,IF(ISNUMBER(SEARCH(Assumptions!$C$6,D3612)),Assumptions!$D$6,IF(ISNUMBER(SEARCH(Assumptions!$C$7,D3612)),Assumptions!$D$7,"Other Services"))),"Other Services"))</f>
        <v/>
      </c>
    </row>
    <row r="3613" customFormat="false" ht="15" hidden="false" customHeight="false" outlineLevel="0" collapsed="false">
      <c r="J3613" s="41" t="str">
        <f aca="false">IF(D3613="","",IFERROR(IF(ISNUMBER(SEARCH(Assumptions!$C$5,D3613)),Assumptions!$D$5,IF(ISNUMBER(SEARCH(Assumptions!$C$6,D3613)),Assumptions!$D$6,IF(ISNUMBER(SEARCH(Assumptions!$C$7,D3613)),Assumptions!$D$7,"Other Services"))),"Other Services"))</f>
        <v/>
      </c>
    </row>
    <row r="3614" customFormat="false" ht="15" hidden="false" customHeight="false" outlineLevel="0" collapsed="false">
      <c r="J3614" s="41" t="str">
        <f aca="false">IF(D3614="","",IFERROR(IF(ISNUMBER(SEARCH(Assumptions!$C$5,D3614)),Assumptions!$D$5,IF(ISNUMBER(SEARCH(Assumptions!$C$6,D3614)),Assumptions!$D$6,IF(ISNUMBER(SEARCH(Assumptions!$C$7,D3614)),Assumptions!$D$7,"Other Services"))),"Other Services"))</f>
        <v/>
      </c>
    </row>
    <row r="3615" customFormat="false" ht="15" hidden="false" customHeight="false" outlineLevel="0" collapsed="false">
      <c r="J3615" s="41" t="str">
        <f aca="false">IF(D3615="","",IFERROR(IF(ISNUMBER(SEARCH(Assumptions!$C$5,D3615)),Assumptions!$D$5,IF(ISNUMBER(SEARCH(Assumptions!$C$6,D3615)),Assumptions!$D$6,IF(ISNUMBER(SEARCH(Assumptions!$C$7,D3615)),Assumptions!$D$7,"Other Services"))),"Other Services"))</f>
        <v/>
      </c>
    </row>
    <row r="3616" customFormat="false" ht="15" hidden="false" customHeight="false" outlineLevel="0" collapsed="false">
      <c r="J3616" s="41" t="str">
        <f aca="false">IF(D3616="","",IFERROR(IF(ISNUMBER(SEARCH(Assumptions!$C$5,D3616)),Assumptions!$D$5,IF(ISNUMBER(SEARCH(Assumptions!$C$6,D3616)),Assumptions!$D$6,IF(ISNUMBER(SEARCH(Assumptions!$C$7,D3616)),Assumptions!$D$7,"Other Services"))),"Other Services"))</f>
        <v/>
      </c>
    </row>
    <row r="3617" customFormat="false" ht="15" hidden="false" customHeight="false" outlineLevel="0" collapsed="false">
      <c r="J3617" s="41" t="str">
        <f aca="false">IF(D3617="","",IFERROR(IF(ISNUMBER(SEARCH(Assumptions!$C$5,D3617)),Assumptions!$D$5,IF(ISNUMBER(SEARCH(Assumptions!$C$6,D3617)),Assumptions!$D$6,IF(ISNUMBER(SEARCH(Assumptions!$C$7,D3617)),Assumptions!$D$7,"Other Services"))),"Other Services"))</f>
        <v/>
      </c>
    </row>
    <row r="3618" customFormat="false" ht="15" hidden="false" customHeight="false" outlineLevel="0" collapsed="false">
      <c r="J3618" s="41" t="str">
        <f aca="false">IF(D3618="","",IFERROR(IF(ISNUMBER(SEARCH(Assumptions!$C$5,D3618)),Assumptions!$D$5,IF(ISNUMBER(SEARCH(Assumptions!$C$6,D3618)),Assumptions!$D$6,IF(ISNUMBER(SEARCH(Assumptions!$C$7,D3618)),Assumptions!$D$7,"Other Services"))),"Other Services"))</f>
        <v/>
      </c>
    </row>
    <row r="3619" customFormat="false" ht="15" hidden="false" customHeight="false" outlineLevel="0" collapsed="false">
      <c r="J3619" s="41" t="str">
        <f aca="false">IF(D3619="","",IFERROR(IF(ISNUMBER(SEARCH(Assumptions!$C$5,D3619)),Assumptions!$D$5,IF(ISNUMBER(SEARCH(Assumptions!$C$6,D3619)),Assumptions!$D$6,IF(ISNUMBER(SEARCH(Assumptions!$C$7,D3619)),Assumptions!$D$7,"Other Services"))),"Other Services"))</f>
        <v/>
      </c>
    </row>
    <row r="3620" customFormat="false" ht="15" hidden="false" customHeight="false" outlineLevel="0" collapsed="false">
      <c r="J3620" s="41" t="str">
        <f aca="false">IF(D3620="","",IFERROR(IF(ISNUMBER(SEARCH(Assumptions!$C$5,D3620)),Assumptions!$D$5,IF(ISNUMBER(SEARCH(Assumptions!$C$6,D3620)),Assumptions!$D$6,IF(ISNUMBER(SEARCH(Assumptions!$C$7,D3620)),Assumptions!$D$7,"Other Services"))),"Other Services"))</f>
        <v/>
      </c>
    </row>
    <row r="3621" customFormat="false" ht="15" hidden="false" customHeight="false" outlineLevel="0" collapsed="false">
      <c r="J3621" s="41" t="str">
        <f aca="false">IF(D3621="","",IFERROR(IF(ISNUMBER(SEARCH(Assumptions!$C$5,D3621)),Assumptions!$D$5,IF(ISNUMBER(SEARCH(Assumptions!$C$6,D3621)),Assumptions!$D$6,IF(ISNUMBER(SEARCH(Assumptions!$C$7,D3621)),Assumptions!$D$7,"Other Services"))),"Other Services"))</f>
        <v/>
      </c>
    </row>
    <row r="3622" customFormat="false" ht="15" hidden="false" customHeight="false" outlineLevel="0" collapsed="false">
      <c r="J3622" s="41" t="str">
        <f aca="false">IF(D3622="","",IFERROR(IF(ISNUMBER(SEARCH(Assumptions!$C$5,D3622)),Assumptions!$D$5,IF(ISNUMBER(SEARCH(Assumptions!$C$6,D3622)),Assumptions!$D$6,IF(ISNUMBER(SEARCH(Assumptions!$C$7,D3622)),Assumptions!$D$7,"Other Services"))),"Other Services"))</f>
        <v/>
      </c>
    </row>
    <row r="3623" customFormat="false" ht="15" hidden="false" customHeight="false" outlineLevel="0" collapsed="false">
      <c r="J3623" s="41" t="str">
        <f aca="false">IF(D3623="","",IFERROR(IF(ISNUMBER(SEARCH(Assumptions!$C$5,D3623)),Assumptions!$D$5,IF(ISNUMBER(SEARCH(Assumptions!$C$6,D3623)),Assumptions!$D$6,IF(ISNUMBER(SEARCH(Assumptions!$C$7,D3623)),Assumptions!$D$7,"Other Services"))),"Other Services"))</f>
        <v/>
      </c>
    </row>
    <row r="3624" customFormat="false" ht="15" hidden="false" customHeight="false" outlineLevel="0" collapsed="false">
      <c r="J3624" s="41" t="str">
        <f aca="false">IF(D3624="","",IFERROR(IF(ISNUMBER(SEARCH(Assumptions!$C$5,D3624)),Assumptions!$D$5,IF(ISNUMBER(SEARCH(Assumptions!$C$6,D3624)),Assumptions!$D$6,IF(ISNUMBER(SEARCH(Assumptions!$C$7,D3624)),Assumptions!$D$7,"Other Services"))),"Other Services"))</f>
        <v/>
      </c>
    </row>
    <row r="3625" customFormat="false" ht="15" hidden="false" customHeight="false" outlineLevel="0" collapsed="false">
      <c r="J3625" s="41" t="str">
        <f aca="false">IF(D3625="","",IFERROR(IF(ISNUMBER(SEARCH(Assumptions!$C$5,D3625)),Assumptions!$D$5,IF(ISNUMBER(SEARCH(Assumptions!$C$6,D3625)),Assumptions!$D$6,IF(ISNUMBER(SEARCH(Assumptions!$C$7,D3625)),Assumptions!$D$7,"Other Services"))),"Other Services"))</f>
        <v/>
      </c>
    </row>
    <row r="3626" customFormat="false" ht="15" hidden="false" customHeight="false" outlineLevel="0" collapsed="false">
      <c r="J3626" s="41" t="str">
        <f aca="false">IF(D3626="","",IFERROR(IF(ISNUMBER(SEARCH(Assumptions!$C$5,D3626)),Assumptions!$D$5,IF(ISNUMBER(SEARCH(Assumptions!$C$6,D3626)),Assumptions!$D$6,IF(ISNUMBER(SEARCH(Assumptions!$C$7,D3626)),Assumptions!$D$7,"Other Services"))),"Other Services"))</f>
        <v/>
      </c>
    </row>
    <row r="3627" customFormat="false" ht="15" hidden="false" customHeight="false" outlineLevel="0" collapsed="false">
      <c r="J3627" s="41" t="str">
        <f aca="false">IF(D3627="","",IFERROR(IF(ISNUMBER(SEARCH(Assumptions!$C$5,D3627)),Assumptions!$D$5,IF(ISNUMBER(SEARCH(Assumptions!$C$6,D3627)),Assumptions!$D$6,IF(ISNUMBER(SEARCH(Assumptions!$C$7,D3627)),Assumptions!$D$7,"Other Services"))),"Other Services"))</f>
        <v/>
      </c>
    </row>
    <row r="3628" customFormat="false" ht="15" hidden="false" customHeight="false" outlineLevel="0" collapsed="false">
      <c r="J3628" s="41" t="str">
        <f aca="false">IF(D3628="","",IFERROR(IF(ISNUMBER(SEARCH(Assumptions!$C$5,D3628)),Assumptions!$D$5,IF(ISNUMBER(SEARCH(Assumptions!$C$6,D3628)),Assumptions!$D$6,IF(ISNUMBER(SEARCH(Assumptions!$C$7,D3628)),Assumptions!$D$7,"Other Services"))),"Other Services"))</f>
        <v/>
      </c>
    </row>
    <row r="3629" customFormat="false" ht="15" hidden="false" customHeight="false" outlineLevel="0" collapsed="false">
      <c r="J3629" s="41" t="str">
        <f aca="false">IF(D3629="","",IFERROR(IF(ISNUMBER(SEARCH(Assumptions!$C$5,D3629)),Assumptions!$D$5,IF(ISNUMBER(SEARCH(Assumptions!$C$6,D3629)),Assumptions!$D$6,IF(ISNUMBER(SEARCH(Assumptions!$C$7,D3629)),Assumptions!$D$7,"Other Services"))),"Other Services"))</f>
        <v/>
      </c>
    </row>
    <row r="3630" customFormat="false" ht="15" hidden="false" customHeight="false" outlineLevel="0" collapsed="false">
      <c r="J3630" s="41" t="str">
        <f aca="false">IF(D3630="","",IFERROR(IF(ISNUMBER(SEARCH(Assumptions!$C$5,D3630)),Assumptions!$D$5,IF(ISNUMBER(SEARCH(Assumptions!$C$6,D3630)),Assumptions!$D$6,IF(ISNUMBER(SEARCH(Assumptions!$C$7,D3630)),Assumptions!$D$7,"Other Services"))),"Other Services"))</f>
        <v/>
      </c>
    </row>
    <row r="3631" customFormat="false" ht="15" hidden="false" customHeight="false" outlineLevel="0" collapsed="false">
      <c r="J3631" s="41" t="str">
        <f aca="false">IF(D3631="","",IFERROR(IF(ISNUMBER(SEARCH(Assumptions!$C$5,D3631)),Assumptions!$D$5,IF(ISNUMBER(SEARCH(Assumptions!$C$6,D3631)),Assumptions!$D$6,IF(ISNUMBER(SEARCH(Assumptions!$C$7,D3631)),Assumptions!$D$7,"Other Services"))),"Other Services"))</f>
        <v/>
      </c>
    </row>
    <row r="3632" customFormat="false" ht="15" hidden="false" customHeight="false" outlineLevel="0" collapsed="false">
      <c r="J3632" s="41" t="str">
        <f aca="false">IF(D3632="","",IFERROR(IF(ISNUMBER(SEARCH(Assumptions!$C$5,D3632)),Assumptions!$D$5,IF(ISNUMBER(SEARCH(Assumptions!$C$6,D3632)),Assumptions!$D$6,IF(ISNUMBER(SEARCH(Assumptions!$C$7,D3632)),Assumptions!$D$7,"Other Services"))),"Other Services"))</f>
        <v/>
      </c>
    </row>
    <row r="3633" customFormat="false" ht="15" hidden="false" customHeight="false" outlineLevel="0" collapsed="false">
      <c r="J3633" s="41" t="str">
        <f aca="false">IF(D3633="","",IFERROR(IF(ISNUMBER(SEARCH(Assumptions!$C$5,D3633)),Assumptions!$D$5,IF(ISNUMBER(SEARCH(Assumptions!$C$6,D3633)),Assumptions!$D$6,IF(ISNUMBER(SEARCH(Assumptions!$C$7,D3633)),Assumptions!$D$7,"Other Services"))),"Other Services"))</f>
        <v/>
      </c>
    </row>
    <row r="3634" customFormat="false" ht="15" hidden="false" customHeight="false" outlineLevel="0" collapsed="false">
      <c r="J3634" s="41" t="str">
        <f aca="false">IF(D3634="","",IFERROR(IF(ISNUMBER(SEARCH(Assumptions!$C$5,D3634)),Assumptions!$D$5,IF(ISNUMBER(SEARCH(Assumptions!$C$6,D3634)),Assumptions!$D$6,IF(ISNUMBER(SEARCH(Assumptions!$C$7,D3634)),Assumptions!$D$7,"Other Services"))),"Other Services"))</f>
        <v/>
      </c>
    </row>
    <row r="3635" customFormat="false" ht="15" hidden="false" customHeight="false" outlineLevel="0" collapsed="false">
      <c r="J3635" s="41" t="str">
        <f aca="false">IF(D3635="","",IFERROR(IF(ISNUMBER(SEARCH(Assumptions!$C$5,D3635)),Assumptions!$D$5,IF(ISNUMBER(SEARCH(Assumptions!$C$6,D3635)),Assumptions!$D$6,IF(ISNUMBER(SEARCH(Assumptions!$C$7,D3635)),Assumptions!$D$7,"Other Services"))),"Other Services"))</f>
        <v/>
      </c>
    </row>
    <row r="3636" customFormat="false" ht="15" hidden="false" customHeight="false" outlineLevel="0" collapsed="false">
      <c r="J3636" s="41" t="str">
        <f aca="false">IF(D3636="","",IFERROR(IF(ISNUMBER(SEARCH(Assumptions!$C$5,D3636)),Assumptions!$D$5,IF(ISNUMBER(SEARCH(Assumptions!$C$6,D3636)),Assumptions!$D$6,IF(ISNUMBER(SEARCH(Assumptions!$C$7,D3636)),Assumptions!$D$7,"Other Services"))),"Other Services"))</f>
        <v/>
      </c>
    </row>
    <row r="3637" customFormat="false" ht="15" hidden="false" customHeight="false" outlineLevel="0" collapsed="false">
      <c r="J3637" s="41" t="str">
        <f aca="false">IF(D3637="","",IFERROR(IF(ISNUMBER(SEARCH(Assumptions!$C$5,D3637)),Assumptions!$D$5,IF(ISNUMBER(SEARCH(Assumptions!$C$6,D3637)),Assumptions!$D$6,IF(ISNUMBER(SEARCH(Assumptions!$C$7,D3637)),Assumptions!$D$7,"Other Services"))),"Other Services"))</f>
        <v/>
      </c>
    </row>
    <row r="3638" customFormat="false" ht="15" hidden="false" customHeight="false" outlineLevel="0" collapsed="false">
      <c r="J3638" s="41" t="str">
        <f aca="false">IF(D3638="","",IFERROR(IF(ISNUMBER(SEARCH(Assumptions!$C$5,D3638)),Assumptions!$D$5,IF(ISNUMBER(SEARCH(Assumptions!$C$6,D3638)),Assumptions!$D$6,IF(ISNUMBER(SEARCH(Assumptions!$C$7,D3638)),Assumptions!$D$7,"Other Services"))),"Other Services"))</f>
        <v/>
      </c>
    </row>
    <row r="3639" customFormat="false" ht="15" hidden="false" customHeight="false" outlineLevel="0" collapsed="false">
      <c r="J3639" s="41" t="str">
        <f aca="false">IF(D3639="","",IFERROR(IF(ISNUMBER(SEARCH(Assumptions!$C$5,D3639)),Assumptions!$D$5,IF(ISNUMBER(SEARCH(Assumptions!$C$6,D3639)),Assumptions!$D$6,IF(ISNUMBER(SEARCH(Assumptions!$C$7,D3639)),Assumptions!$D$7,"Other Services"))),"Other Services"))</f>
        <v/>
      </c>
    </row>
    <row r="3640" customFormat="false" ht="15" hidden="false" customHeight="false" outlineLevel="0" collapsed="false">
      <c r="J3640" s="41" t="str">
        <f aca="false">IF(D3640="","",IFERROR(IF(ISNUMBER(SEARCH(Assumptions!$C$5,D3640)),Assumptions!$D$5,IF(ISNUMBER(SEARCH(Assumptions!$C$6,D3640)),Assumptions!$D$6,IF(ISNUMBER(SEARCH(Assumptions!$C$7,D3640)),Assumptions!$D$7,"Other Services"))),"Other Services"))</f>
        <v/>
      </c>
    </row>
    <row r="3641" customFormat="false" ht="15" hidden="false" customHeight="false" outlineLevel="0" collapsed="false">
      <c r="J3641" s="41" t="str">
        <f aca="false">IF(D3641="","",IFERROR(IF(ISNUMBER(SEARCH(Assumptions!$C$5,D3641)),Assumptions!$D$5,IF(ISNUMBER(SEARCH(Assumptions!$C$6,D3641)),Assumptions!$D$6,IF(ISNUMBER(SEARCH(Assumptions!$C$7,D3641)),Assumptions!$D$7,"Other Services"))),"Other Services"))</f>
        <v/>
      </c>
    </row>
    <row r="3642" customFormat="false" ht="15" hidden="false" customHeight="false" outlineLevel="0" collapsed="false">
      <c r="J3642" s="41" t="str">
        <f aca="false">IF(D3642="","",IFERROR(IF(ISNUMBER(SEARCH(Assumptions!$C$5,D3642)),Assumptions!$D$5,IF(ISNUMBER(SEARCH(Assumptions!$C$6,D3642)),Assumptions!$D$6,IF(ISNUMBER(SEARCH(Assumptions!$C$7,D3642)),Assumptions!$D$7,"Other Services"))),"Other Services"))</f>
        <v/>
      </c>
    </row>
    <row r="3643" customFormat="false" ht="15" hidden="false" customHeight="false" outlineLevel="0" collapsed="false">
      <c r="J3643" s="41" t="str">
        <f aca="false">IF(D3643="","",IFERROR(IF(ISNUMBER(SEARCH(Assumptions!$C$5,D3643)),Assumptions!$D$5,IF(ISNUMBER(SEARCH(Assumptions!$C$6,D3643)),Assumptions!$D$6,IF(ISNUMBER(SEARCH(Assumptions!$C$7,D3643)),Assumptions!$D$7,"Other Services"))),"Other Services"))</f>
        <v/>
      </c>
    </row>
    <row r="3644" customFormat="false" ht="15" hidden="false" customHeight="false" outlineLevel="0" collapsed="false">
      <c r="J3644" s="41" t="str">
        <f aca="false">IF(D3644="","",IFERROR(IF(ISNUMBER(SEARCH(Assumptions!$C$5,D3644)),Assumptions!$D$5,IF(ISNUMBER(SEARCH(Assumptions!$C$6,D3644)),Assumptions!$D$6,IF(ISNUMBER(SEARCH(Assumptions!$C$7,D3644)),Assumptions!$D$7,"Other Services"))),"Other Services"))</f>
        <v/>
      </c>
    </row>
    <row r="3645" customFormat="false" ht="15" hidden="false" customHeight="false" outlineLevel="0" collapsed="false">
      <c r="J3645" s="41" t="str">
        <f aca="false">IF(D3645="","",IFERROR(IF(ISNUMBER(SEARCH(Assumptions!$C$5,D3645)),Assumptions!$D$5,IF(ISNUMBER(SEARCH(Assumptions!$C$6,D3645)),Assumptions!$D$6,IF(ISNUMBER(SEARCH(Assumptions!$C$7,D3645)),Assumptions!$D$7,"Other Services"))),"Other Services"))</f>
        <v/>
      </c>
    </row>
    <row r="3646" customFormat="false" ht="15" hidden="false" customHeight="false" outlineLevel="0" collapsed="false">
      <c r="J3646" s="41" t="str">
        <f aca="false">IF(D3646="","",IFERROR(IF(ISNUMBER(SEARCH(Assumptions!$C$5,D3646)),Assumptions!$D$5,IF(ISNUMBER(SEARCH(Assumptions!$C$6,D3646)),Assumptions!$D$6,IF(ISNUMBER(SEARCH(Assumptions!$C$7,D3646)),Assumptions!$D$7,"Other Services"))),"Other Services"))</f>
        <v/>
      </c>
    </row>
    <row r="3647" customFormat="false" ht="15" hidden="false" customHeight="false" outlineLevel="0" collapsed="false">
      <c r="J3647" s="41" t="str">
        <f aca="false">IF(D3647="","",IFERROR(IF(ISNUMBER(SEARCH(Assumptions!$C$5,D3647)),Assumptions!$D$5,IF(ISNUMBER(SEARCH(Assumptions!$C$6,D3647)),Assumptions!$D$6,IF(ISNUMBER(SEARCH(Assumptions!$C$7,D3647)),Assumptions!$D$7,"Other Services"))),"Other Services"))</f>
        <v/>
      </c>
    </row>
    <row r="3648" customFormat="false" ht="15" hidden="false" customHeight="false" outlineLevel="0" collapsed="false">
      <c r="J3648" s="41" t="str">
        <f aca="false">IF(D3648="","",IFERROR(IF(ISNUMBER(SEARCH(Assumptions!$C$5,D3648)),Assumptions!$D$5,IF(ISNUMBER(SEARCH(Assumptions!$C$6,D3648)),Assumptions!$D$6,IF(ISNUMBER(SEARCH(Assumptions!$C$7,D3648)),Assumptions!$D$7,"Other Services"))),"Other Services"))</f>
        <v/>
      </c>
    </row>
    <row r="3649" customFormat="false" ht="15" hidden="false" customHeight="false" outlineLevel="0" collapsed="false">
      <c r="J3649" s="41" t="str">
        <f aca="false">IF(D3649="","",IFERROR(IF(ISNUMBER(SEARCH(Assumptions!$C$5,D3649)),Assumptions!$D$5,IF(ISNUMBER(SEARCH(Assumptions!$C$6,D3649)),Assumptions!$D$6,IF(ISNUMBER(SEARCH(Assumptions!$C$7,D3649)),Assumptions!$D$7,"Other Services"))),"Other Services"))</f>
        <v/>
      </c>
    </row>
    <row r="3650" customFormat="false" ht="15" hidden="false" customHeight="false" outlineLevel="0" collapsed="false">
      <c r="J3650" s="41" t="str">
        <f aca="false">IF(D3650="","",IFERROR(IF(ISNUMBER(SEARCH(Assumptions!$C$5,D3650)),Assumptions!$D$5,IF(ISNUMBER(SEARCH(Assumptions!$C$6,D3650)),Assumptions!$D$6,IF(ISNUMBER(SEARCH(Assumptions!$C$7,D3650)),Assumptions!$D$7,"Other Services"))),"Other Services"))</f>
        <v/>
      </c>
    </row>
    <row r="3651" customFormat="false" ht="15" hidden="false" customHeight="false" outlineLevel="0" collapsed="false">
      <c r="J3651" s="41" t="str">
        <f aca="false">IF(D3651="","",IFERROR(IF(ISNUMBER(SEARCH(Assumptions!$C$5,D3651)),Assumptions!$D$5,IF(ISNUMBER(SEARCH(Assumptions!$C$6,D3651)),Assumptions!$D$6,IF(ISNUMBER(SEARCH(Assumptions!$C$7,D3651)),Assumptions!$D$7,"Other Services"))),"Other Services"))</f>
        <v/>
      </c>
    </row>
    <row r="3652" customFormat="false" ht="15" hidden="false" customHeight="false" outlineLevel="0" collapsed="false">
      <c r="J3652" s="41" t="str">
        <f aca="false">IF(D3652="","",IFERROR(IF(ISNUMBER(SEARCH(Assumptions!$C$5,D3652)),Assumptions!$D$5,IF(ISNUMBER(SEARCH(Assumptions!$C$6,D3652)),Assumptions!$D$6,IF(ISNUMBER(SEARCH(Assumptions!$C$7,D3652)),Assumptions!$D$7,"Other Services"))),"Other Services"))</f>
        <v/>
      </c>
    </row>
    <row r="3653" customFormat="false" ht="15" hidden="false" customHeight="false" outlineLevel="0" collapsed="false">
      <c r="J3653" s="41" t="str">
        <f aca="false">IF(D3653="","",IFERROR(IF(ISNUMBER(SEARCH(Assumptions!$C$5,D3653)),Assumptions!$D$5,IF(ISNUMBER(SEARCH(Assumptions!$C$6,D3653)),Assumptions!$D$6,IF(ISNUMBER(SEARCH(Assumptions!$C$7,D3653)),Assumptions!$D$7,"Other Services"))),"Other Services"))</f>
        <v/>
      </c>
    </row>
    <row r="3654" customFormat="false" ht="15" hidden="false" customHeight="false" outlineLevel="0" collapsed="false">
      <c r="J3654" s="41" t="str">
        <f aca="false">IF(D3654="","",IFERROR(IF(ISNUMBER(SEARCH(Assumptions!$C$5,D3654)),Assumptions!$D$5,IF(ISNUMBER(SEARCH(Assumptions!$C$6,D3654)),Assumptions!$D$6,IF(ISNUMBER(SEARCH(Assumptions!$C$7,D3654)),Assumptions!$D$7,"Other Services"))),"Other Services"))</f>
        <v/>
      </c>
    </row>
    <row r="3655" customFormat="false" ht="15" hidden="false" customHeight="false" outlineLevel="0" collapsed="false">
      <c r="J3655" s="41" t="str">
        <f aca="false">IF(D3655="","",IFERROR(IF(ISNUMBER(SEARCH(Assumptions!$C$5,D3655)),Assumptions!$D$5,IF(ISNUMBER(SEARCH(Assumptions!$C$6,D3655)),Assumptions!$D$6,IF(ISNUMBER(SEARCH(Assumptions!$C$7,D3655)),Assumptions!$D$7,"Other Services"))),"Other Services"))</f>
        <v/>
      </c>
    </row>
    <row r="3656" customFormat="false" ht="15" hidden="false" customHeight="false" outlineLevel="0" collapsed="false">
      <c r="J3656" s="41" t="str">
        <f aca="false">IF(D3656="","",IFERROR(IF(ISNUMBER(SEARCH(Assumptions!$C$5,D3656)),Assumptions!$D$5,IF(ISNUMBER(SEARCH(Assumptions!$C$6,D3656)),Assumptions!$D$6,IF(ISNUMBER(SEARCH(Assumptions!$C$7,D3656)),Assumptions!$D$7,"Other Services"))),"Other Services"))</f>
        <v/>
      </c>
    </row>
    <row r="3657" customFormat="false" ht="15" hidden="false" customHeight="false" outlineLevel="0" collapsed="false">
      <c r="J3657" s="41" t="str">
        <f aca="false">IF(D3657="","",IFERROR(IF(ISNUMBER(SEARCH(Assumptions!$C$5,D3657)),Assumptions!$D$5,IF(ISNUMBER(SEARCH(Assumptions!$C$6,D3657)),Assumptions!$D$6,IF(ISNUMBER(SEARCH(Assumptions!$C$7,D3657)),Assumptions!$D$7,"Other Services"))),"Other Services"))</f>
        <v/>
      </c>
    </row>
    <row r="3658" customFormat="false" ht="15" hidden="false" customHeight="false" outlineLevel="0" collapsed="false">
      <c r="J3658" s="41" t="str">
        <f aca="false">IF(D3658="","",IFERROR(IF(ISNUMBER(SEARCH(Assumptions!$C$5,D3658)),Assumptions!$D$5,IF(ISNUMBER(SEARCH(Assumptions!$C$6,D3658)),Assumptions!$D$6,IF(ISNUMBER(SEARCH(Assumptions!$C$7,D3658)),Assumptions!$D$7,"Other Services"))),"Other Services"))</f>
        <v/>
      </c>
    </row>
    <row r="3659" customFormat="false" ht="15" hidden="false" customHeight="false" outlineLevel="0" collapsed="false">
      <c r="J3659" s="41" t="str">
        <f aca="false">IF(D3659="","",IFERROR(IF(ISNUMBER(SEARCH(Assumptions!$C$5,D3659)),Assumptions!$D$5,IF(ISNUMBER(SEARCH(Assumptions!$C$6,D3659)),Assumptions!$D$6,IF(ISNUMBER(SEARCH(Assumptions!$C$7,D3659)),Assumptions!$D$7,"Other Services"))),"Other Services"))</f>
        <v/>
      </c>
    </row>
    <row r="3660" customFormat="false" ht="15" hidden="false" customHeight="false" outlineLevel="0" collapsed="false">
      <c r="J3660" s="41" t="str">
        <f aca="false">IF(D3660="","",IFERROR(IF(ISNUMBER(SEARCH(Assumptions!$C$5,D3660)),Assumptions!$D$5,IF(ISNUMBER(SEARCH(Assumptions!$C$6,D3660)),Assumptions!$D$6,IF(ISNUMBER(SEARCH(Assumptions!$C$7,D3660)),Assumptions!$D$7,"Other Services"))),"Other Services"))</f>
        <v/>
      </c>
    </row>
    <row r="3661" customFormat="false" ht="15" hidden="false" customHeight="false" outlineLevel="0" collapsed="false">
      <c r="J3661" s="41" t="str">
        <f aca="false">IF(D3661="","",IFERROR(IF(ISNUMBER(SEARCH(Assumptions!$C$5,D3661)),Assumptions!$D$5,IF(ISNUMBER(SEARCH(Assumptions!$C$6,D3661)),Assumptions!$D$6,IF(ISNUMBER(SEARCH(Assumptions!$C$7,D3661)),Assumptions!$D$7,"Other Services"))),"Other Services"))</f>
        <v/>
      </c>
    </row>
    <row r="3662" customFormat="false" ht="15" hidden="false" customHeight="false" outlineLevel="0" collapsed="false">
      <c r="J3662" s="41" t="str">
        <f aca="false">IF(D3662="","",IFERROR(IF(ISNUMBER(SEARCH(Assumptions!$C$5,D3662)),Assumptions!$D$5,IF(ISNUMBER(SEARCH(Assumptions!$C$6,D3662)),Assumptions!$D$6,IF(ISNUMBER(SEARCH(Assumptions!$C$7,D3662)),Assumptions!$D$7,"Other Services"))),"Other Services"))</f>
        <v/>
      </c>
    </row>
    <row r="3663" customFormat="false" ht="15" hidden="false" customHeight="false" outlineLevel="0" collapsed="false">
      <c r="J3663" s="41" t="str">
        <f aca="false">IF(D3663="","",IFERROR(IF(ISNUMBER(SEARCH(Assumptions!$C$5,D3663)),Assumptions!$D$5,IF(ISNUMBER(SEARCH(Assumptions!$C$6,D3663)),Assumptions!$D$6,IF(ISNUMBER(SEARCH(Assumptions!$C$7,D3663)),Assumptions!$D$7,"Other Services"))),"Other Services"))</f>
        <v/>
      </c>
    </row>
    <row r="3664" customFormat="false" ht="15" hidden="false" customHeight="false" outlineLevel="0" collapsed="false">
      <c r="J3664" s="41" t="str">
        <f aca="false">IF(D3664="","",IFERROR(IF(ISNUMBER(SEARCH(Assumptions!$C$5,D3664)),Assumptions!$D$5,IF(ISNUMBER(SEARCH(Assumptions!$C$6,D3664)),Assumptions!$D$6,IF(ISNUMBER(SEARCH(Assumptions!$C$7,D3664)),Assumptions!$D$7,"Other Services"))),"Other Services"))</f>
        <v/>
      </c>
    </row>
    <row r="3665" customFormat="false" ht="15" hidden="false" customHeight="false" outlineLevel="0" collapsed="false">
      <c r="J3665" s="41" t="str">
        <f aca="false">IF(D3665="","",IFERROR(IF(ISNUMBER(SEARCH(Assumptions!$C$5,D3665)),Assumptions!$D$5,IF(ISNUMBER(SEARCH(Assumptions!$C$6,D3665)),Assumptions!$D$6,IF(ISNUMBER(SEARCH(Assumptions!$C$7,D3665)),Assumptions!$D$7,"Other Services"))),"Other Services"))</f>
        <v/>
      </c>
    </row>
    <row r="3666" customFormat="false" ht="15" hidden="false" customHeight="false" outlineLevel="0" collapsed="false">
      <c r="J3666" s="41" t="str">
        <f aca="false">IF(D3666="","",IFERROR(IF(ISNUMBER(SEARCH(Assumptions!$C$5,D3666)),Assumptions!$D$5,IF(ISNUMBER(SEARCH(Assumptions!$C$6,D3666)),Assumptions!$D$6,IF(ISNUMBER(SEARCH(Assumptions!$C$7,D3666)),Assumptions!$D$7,"Other Services"))),"Other Services"))</f>
        <v/>
      </c>
    </row>
    <row r="3667" customFormat="false" ht="15" hidden="false" customHeight="false" outlineLevel="0" collapsed="false">
      <c r="J3667" s="41" t="str">
        <f aca="false">IF(D3667="","",IFERROR(IF(ISNUMBER(SEARCH(Assumptions!$C$5,D3667)),Assumptions!$D$5,IF(ISNUMBER(SEARCH(Assumptions!$C$6,D3667)),Assumptions!$D$6,IF(ISNUMBER(SEARCH(Assumptions!$C$7,D3667)),Assumptions!$D$7,"Other Services"))),"Other Services"))</f>
        <v/>
      </c>
    </row>
    <row r="3668" customFormat="false" ht="15" hidden="false" customHeight="false" outlineLevel="0" collapsed="false">
      <c r="J3668" s="41" t="str">
        <f aca="false">IF(D3668="","",IFERROR(IF(ISNUMBER(SEARCH(Assumptions!$C$5,D3668)),Assumptions!$D$5,IF(ISNUMBER(SEARCH(Assumptions!$C$6,D3668)),Assumptions!$D$6,IF(ISNUMBER(SEARCH(Assumptions!$C$7,D3668)),Assumptions!$D$7,"Other Services"))),"Other Services"))</f>
        <v/>
      </c>
    </row>
    <row r="3669" customFormat="false" ht="15" hidden="false" customHeight="false" outlineLevel="0" collapsed="false">
      <c r="J3669" s="41" t="str">
        <f aca="false">IF(D3669="","",IFERROR(IF(ISNUMBER(SEARCH(Assumptions!$C$5,D3669)),Assumptions!$D$5,IF(ISNUMBER(SEARCH(Assumptions!$C$6,D3669)),Assumptions!$D$6,IF(ISNUMBER(SEARCH(Assumptions!$C$7,D3669)),Assumptions!$D$7,"Other Services"))),"Other Services"))</f>
        <v/>
      </c>
    </row>
    <row r="3670" customFormat="false" ht="15" hidden="false" customHeight="false" outlineLevel="0" collapsed="false">
      <c r="J3670" s="41" t="str">
        <f aca="false">IF(D3670="","",IFERROR(IF(ISNUMBER(SEARCH(Assumptions!$C$5,D3670)),Assumptions!$D$5,IF(ISNUMBER(SEARCH(Assumptions!$C$6,D3670)),Assumptions!$D$6,IF(ISNUMBER(SEARCH(Assumptions!$C$7,D3670)),Assumptions!$D$7,"Other Services"))),"Other Services"))</f>
        <v/>
      </c>
    </row>
    <row r="3671" customFormat="false" ht="15" hidden="false" customHeight="false" outlineLevel="0" collapsed="false">
      <c r="J3671" s="41" t="str">
        <f aca="false">IF(D3671="","",IFERROR(IF(ISNUMBER(SEARCH(Assumptions!$C$5,D3671)),Assumptions!$D$5,IF(ISNUMBER(SEARCH(Assumptions!$C$6,D3671)),Assumptions!$D$6,IF(ISNUMBER(SEARCH(Assumptions!$C$7,D3671)),Assumptions!$D$7,"Other Services"))),"Other Services"))</f>
        <v/>
      </c>
    </row>
    <row r="3672" customFormat="false" ht="15" hidden="false" customHeight="false" outlineLevel="0" collapsed="false">
      <c r="J3672" s="41" t="str">
        <f aca="false">IF(D3672="","",IFERROR(IF(ISNUMBER(SEARCH(Assumptions!$C$5,D3672)),Assumptions!$D$5,IF(ISNUMBER(SEARCH(Assumptions!$C$6,D3672)),Assumptions!$D$6,IF(ISNUMBER(SEARCH(Assumptions!$C$7,D3672)),Assumptions!$D$7,"Other Services"))),"Other Services"))</f>
        <v/>
      </c>
    </row>
    <row r="3673" customFormat="false" ht="15" hidden="false" customHeight="false" outlineLevel="0" collapsed="false">
      <c r="J3673" s="41" t="str">
        <f aca="false">IF(D3673="","",IFERROR(IF(ISNUMBER(SEARCH(Assumptions!$C$5,D3673)),Assumptions!$D$5,IF(ISNUMBER(SEARCH(Assumptions!$C$6,D3673)),Assumptions!$D$6,IF(ISNUMBER(SEARCH(Assumptions!$C$7,D3673)),Assumptions!$D$7,"Other Services"))),"Other Services"))</f>
        <v/>
      </c>
    </row>
    <row r="3674" customFormat="false" ht="15" hidden="false" customHeight="false" outlineLevel="0" collapsed="false">
      <c r="J3674" s="41" t="str">
        <f aca="false">IF(D3674="","",IFERROR(IF(ISNUMBER(SEARCH(Assumptions!$C$5,D3674)),Assumptions!$D$5,IF(ISNUMBER(SEARCH(Assumptions!$C$6,D3674)),Assumptions!$D$6,IF(ISNUMBER(SEARCH(Assumptions!$C$7,D3674)),Assumptions!$D$7,"Other Services"))),"Other Services"))</f>
        <v/>
      </c>
    </row>
    <row r="3675" customFormat="false" ht="15" hidden="false" customHeight="false" outlineLevel="0" collapsed="false">
      <c r="J3675" s="41" t="str">
        <f aca="false">IF(D3675="","",IFERROR(IF(ISNUMBER(SEARCH(Assumptions!$C$5,D3675)),Assumptions!$D$5,IF(ISNUMBER(SEARCH(Assumptions!$C$6,D3675)),Assumptions!$D$6,IF(ISNUMBER(SEARCH(Assumptions!$C$7,D3675)),Assumptions!$D$7,"Other Services"))),"Other Services"))</f>
        <v/>
      </c>
    </row>
    <row r="3676" customFormat="false" ht="15" hidden="false" customHeight="false" outlineLevel="0" collapsed="false">
      <c r="J3676" s="41" t="str">
        <f aca="false">IF(D3676="","",IFERROR(IF(ISNUMBER(SEARCH(Assumptions!$C$5,D3676)),Assumptions!$D$5,IF(ISNUMBER(SEARCH(Assumptions!$C$6,D3676)),Assumptions!$D$6,IF(ISNUMBER(SEARCH(Assumptions!$C$7,D3676)),Assumptions!$D$7,"Other Services"))),"Other Services"))</f>
        <v/>
      </c>
    </row>
    <row r="3677" customFormat="false" ht="15" hidden="false" customHeight="false" outlineLevel="0" collapsed="false">
      <c r="J3677" s="41" t="str">
        <f aca="false">IF(D3677="","",IFERROR(IF(ISNUMBER(SEARCH(Assumptions!$C$5,D3677)),Assumptions!$D$5,IF(ISNUMBER(SEARCH(Assumptions!$C$6,D3677)),Assumptions!$D$6,IF(ISNUMBER(SEARCH(Assumptions!$C$7,D3677)),Assumptions!$D$7,"Other Services"))),"Other Services"))</f>
        <v/>
      </c>
    </row>
    <row r="3678" customFormat="false" ht="15" hidden="false" customHeight="false" outlineLevel="0" collapsed="false">
      <c r="J3678" s="41" t="str">
        <f aca="false">IF(D3678="","",IFERROR(IF(ISNUMBER(SEARCH(Assumptions!$C$5,D3678)),Assumptions!$D$5,IF(ISNUMBER(SEARCH(Assumptions!$C$6,D3678)),Assumptions!$D$6,IF(ISNUMBER(SEARCH(Assumptions!$C$7,D3678)),Assumptions!$D$7,"Other Services"))),"Other Services"))</f>
        <v/>
      </c>
    </row>
    <row r="3679" customFormat="false" ht="15" hidden="false" customHeight="false" outlineLevel="0" collapsed="false">
      <c r="J3679" s="41" t="str">
        <f aca="false">IF(D3679="","",IFERROR(IF(ISNUMBER(SEARCH(Assumptions!$C$5,D3679)),Assumptions!$D$5,IF(ISNUMBER(SEARCH(Assumptions!$C$6,D3679)),Assumptions!$D$6,IF(ISNUMBER(SEARCH(Assumptions!$C$7,D3679)),Assumptions!$D$7,"Other Services"))),"Other Services"))</f>
        <v/>
      </c>
    </row>
    <row r="3680" customFormat="false" ht="15" hidden="false" customHeight="false" outlineLevel="0" collapsed="false">
      <c r="J3680" s="41" t="str">
        <f aca="false">IF(D3680="","",IFERROR(IF(ISNUMBER(SEARCH(Assumptions!$C$5,D3680)),Assumptions!$D$5,IF(ISNUMBER(SEARCH(Assumptions!$C$6,D3680)),Assumptions!$D$6,IF(ISNUMBER(SEARCH(Assumptions!$C$7,D3680)),Assumptions!$D$7,"Other Services"))),"Other Services"))</f>
        <v/>
      </c>
    </row>
    <row r="3681" customFormat="false" ht="15" hidden="false" customHeight="false" outlineLevel="0" collapsed="false">
      <c r="J3681" s="41" t="str">
        <f aca="false">IF(D3681="","",IFERROR(IF(ISNUMBER(SEARCH(Assumptions!$C$5,D3681)),Assumptions!$D$5,IF(ISNUMBER(SEARCH(Assumptions!$C$6,D3681)),Assumptions!$D$6,IF(ISNUMBER(SEARCH(Assumptions!$C$7,D3681)),Assumptions!$D$7,"Other Services"))),"Other Services"))</f>
        <v/>
      </c>
    </row>
    <row r="3682" customFormat="false" ht="15" hidden="false" customHeight="false" outlineLevel="0" collapsed="false">
      <c r="J3682" s="41" t="str">
        <f aca="false">IF(D3682="","",IFERROR(IF(ISNUMBER(SEARCH(Assumptions!$C$5,D3682)),Assumptions!$D$5,IF(ISNUMBER(SEARCH(Assumptions!$C$6,D3682)),Assumptions!$D$6,IF(ISNUMBER(SEARCH(Assumptions!$C$7,D3682)),Assumptions!$D$7,"Other Services"))),"Other Services"))</f>
        <v/>
      </c>
    </row>
    <row r="3683" customFormat="false" ht="15" hidden="false" customHeight="false" outlineLevel="0" collapsed="false">
      <c r="J3683" s="41" t="str">
        <f aca="false">IF(D3683="","",IFERROR(IF(ISNUMBER(SEARCH(Assumptions!$C$5,D3683)),Assumptions!$D$5,IF(ISNUMBER(SEARCH(Assumptions!$C$6,D3683)),Assumptions!$D$6,IF(ISNUMBER(SEARCH(Assumptions!$C$7,D3683)),Assumptions!$D$7,"Other Services"))),"Other Services"))</f>
        <v/>
      </c>
    </row>
    <row r="3684" customFormat="false" ht="15" hidden="false" customHeight="false" outlineLevel="0" collapsed="false">
      <c r="J3684" s="41" t="str">
        <f aca="false">IF(D3684="","",IFERROR(IF(ISNUMBER(SEARCH(Assumptions!$C$5,D3684)),Assumptions!$D$5,IF(ISNUMBER(SEARCH(Assumptions!$C$6,D3684)),Assumptions!$D$6,IF(ISNUMBER(SEARCH(Assumptions!$C$7,D3684)),Assumptions!$D$7,"Other Services"))),"Other Services"))</f>
        <v/>
      </c>
    </row>
    <row r="3685" customFormat="false" ht="15" hidden="false" customHeight="false" outlineLevel="0" collapsed="false">
      <c r="J3685" s="41" t="str">
        <f aca="false">IF(D3685="","",IFERROR(IF(ISNUMBER(SEARCH(Assumptions!$C$5,D3685)),Assumptions!$D$5,IF(ISNUMBER(SEARCH(Assumptions!$C$6,D3685)),Assumptions!$D$6,IF(ISNUMBER(SEARCH(Assumptions!$C$7,D3685)),Assumptions!$D$7,"Other Services"))),"Other Services"))</f>
        <v/>
      </c>
    </row>
    <row r="3686" customFormat="false" ht="15" hidden="false" customHeight="false" outlineLevel="0" collapsed="false">
      <c r="J3686" s="41" t="str">
        <f aca="false">IF(D3686="","",IFERROR(IF(ISNUMBER(SEARCH(Assumptions!$C$5,D3686)),Assumptions!$D$5,IF(ISNUMBER(SEARCH(Assumptions!$C$6,D3686)),Assumptions!$D$6,IF(ISNUMBER(SEARCH(Assumptions!$C$7,D3686)),Assumptions!$D$7,"Other Services"))),"Other Services"))</f>
        <v/>
      </c>
    </row>
    <row r="3687" customFormat="false" ht="15" hidden="false" customHeight="false" outlineLevel="0" collapsed="false">
      <c r="J3687" s="41" t="str">
        <f aca="false">IF(D3687="","",IFERROR(IF(ISNUMBER(SEARCH(Assumptions!$C$5,D3687)),Assumptions!$D$5,IF(ISNUMBER(SEARCH(Assumptions!$C$6,D3687)),Assumptions!$D$6,IF(ISNUMBER(SEARCH(Assumptions!$C$7,D3687)),Assumptions!$D$7,"Other Services"))),"Other Services"))</f>
        <v/>
      </c>
    </row>
    <row r="3688" customFormat="false" ht="15" hidden="false" customHeight="false" outlineLevel="0" collapsed="false">
      <c r="J3688" s="41" t="str">
        <f aca="false">IF(D3688="","",IFERROR(IF(ISNUMBER(SEARCH(Assumptions!$C$5,D3688)),Assumptions!$D$5,IF(ISNUMBER(SEARCH(Assumptions!$C$6,D3688)),Assumptions!$D$6,IF(ISNUMBER(SEARCH(Assumptions!$C$7,D3688)),Assumptions!$D$7,"Other Services"))),"Other Services"))</f>
        <v/>
      </c>
    </row>
    <row r="3689" customFormat="false" ht="15" hidden="false" customHeight="false" outlineLevel="0" collapsed="false">
      <c r="J3689" s="41" t="str">
        <f aca="false">IF(D3689="","",IFERROR(IF(ISNUMBER(SEARCH(Assumptions!$C$5,D3689)),Assumptions!$D$5,IF(ISNUMBER(SEARCH(Assumptions!$C$6,D3689)),Assumptions!$D$6,IF(ISNUMBER(SEARCH(Assumptions!$C$7,D3689)),Assumptions!$D$7,"Other Services"))),"Other Services"))</f>
        <v/>
      </c>
    </row>
    <row r="3690" customFormat="false" ht="15" hidden="false" customHeight="false" outlineLevel="0" collapsed="false">
      <c r="J3690" s="41" t="str">
        <f aca="false">IF(D3690="","",IFERROR(IF(ISNUMBER(SEARCH(Assumptions!$C$5,D3690)),Assumptions!$D$5,IF(ISNUMBER(SEARCH(Assumptions!$C$6,D3690)),Assumptions!$D$6,IF(ISNUMBER(SEARCH(Assumptions!$C$7,D3690)),Assumptions!$D$7,"Other Services"))),"Other Services"))</f>
        <v/>
      </c>
    </row>
    <row r="3691" customFormat="false" ht="15" hidden="false" customHeight="false" outlineLevel="0" collapsed="false">
      <c r="J3691" s="41" t="str">
        <f aca="false">IF(D3691="","",IFERROR(IF(ISNUMBER(SEARCH(Assumptions!$C$5,D3691)),Assumptions!$D$5,IF(ISNUMBER(SEARCH(Assumptions!$C$6,D3691)),Assumptions!$D$6,IF(ISNUMBER(SEARCH(Assumptions!$C$7,D3691)),Assumptions!$D$7,"Other Services"))),"Other Services"))</f>
        <v/>
      </c>
    </row>
    <row r="3692" customFormat="false" ht="15" hidden="false" customHeight="false" outlineLevel="0" collapsed="false">
      <c r="J3692" s="41" t="str">
        <f aca="false">IF(D3692="","",IFERROR(IF(ISNUMBER(SEARCH(Assumptions!$C$5,D3692)),Assumptions!$D$5,IF(ISNUMBER(SEARCH(Assumptions!$C$6,D3692)),Assumptions!$D$6,IF(ISNUMBER(SEARCH(Assumptions!$C$7,D3692)),Assumptions!$D$7,"Other Services"))),"Other Services"))</f>
        <v/>
      </c>
    </row>
    <row r="3693" customFormat="false" ht="15" hidden="false" customHeight="false" outlineLevel="0" collapsed="false">
      <c r="J3693" s="41" t="str">
        <f aca="false">IF(D3693="","",IFERROR(IF(ISNUMBER(SEARCH(Assumptions!$C$5,D3693)),Assumptions!$D$5,IF(ISNUMBER(SEARCH(Assumptions!$C$6,D3693)),Assumptions!$D$6,IF(ISNUMBER(SEARCH(Assumptions!$C$7,D3693)),Assumptions!$D$7,"Other Services"))),"Other Services"))</f>
        <v/>
      </c>
    </row>
    <row r="3694" customFormat="false" ht="15" hidden="false" customHeight="false" outlineLevel="0" collapsed="false">
      <c r="J3694" s="41" t="str">
        <f aca="false">IF(D3694="","",IFERROR(IF(ISNUMBER(SEARCH(Assumptions!$C$5,D3694)),Assumptions!$D$5,IF(ISNUMBER(SEARCH(Assumptions!$C$6,D3694)),Assumptions!$D$6,IF(ISNUMBER(SEARCH(Assumptions!$C$7,D3694)),Assumptions!$D$7,"Other Services"))),"Other Services"))</f>
        <v/>
      </c>
    </row>
    <row r="3695" customFormat="false" ht="15" hidden="false" customHeight="false" outlineLevel="0" collapsed="false">
      <c r="J3695" s="41" t="str">
        <f aca="false">IF(D3695="","",IFERROR(IF(ISNUMBER(SEARCH(Assumptions!$C$5,D3695)),Assumptions!$D$5,IF(ISNUMBER(SEARCH(Assumptions!$C$6,D3695)),Assumptions!$D$6,IF(ISNUMBER(SEARCH(Assumptions!$C$7,D3695)),Assumptions!$D$7,"Other Services"))),"Other Services"))</f>
        <v/>
      </c>
    </row>
    <row r="3696" customFormat="false" ht="15" hidden="false" customHeight="false" outlineLevel="0" collapsed="false">
      <c r="J3696" s="41" t="str">
        <f aca="false">IF(D3696="","",IFERROR(IF(ISNUMBER(SEARCH(Assumptions!$C$5,D3696)),Assumptions!$D$5,IF(ISNUMBER(SEARCH(Assumptions!$C$6,D3696)),Assumptions!$D$6,IF(ISNUMBER(SEARCH(Assumptions!$C$7,D3696)),Assumptions!$D$7,"Other Services"))),"Other Services"))</f>
        <v/>
      </c>
    </row>
    <row r="3697" customFormat="false" ht="15" hidden="false" customHeight="false" outlineLevel="0" collapsed="false">
      <c r="J3697" s="41" t="str">
        <f aca="false">IF(D3697="","",IFERROR(IF(ISNUMBER(SEARCH(Assumptions!$C$5,D3697)),Assumptions!$D$5,IF(ISNUMBER(SEARCH(Assumptions!$C$6,D3697)),Assumptions!$D$6,IF(ISNUMBER(SEARCH(Assumptions!$C$7,D3697)),Assumptions!$D$7,"Other Services"))),"Other Services"))</f>
        <v/>
      </c>
    </row>
    <row r="3698" customFormat="false" ht="15" hidden="false" customHeight="false" outlineLevel="0" collapsed="false">
      <c r="J3698" s="41" t="str">
        <f aca="false">IF(D3698="","",IFERROR(IF(ISNUMBER(SEARCH(Assumptions!$C$5,D3698)),Assumptions!$D$5,IF(ISNUMBER(SEARCH(Assumptions!$C$6,D3698)),Assumptions!$D$6,IF(ISNUMBER(SEARCH(Assumptions!$C$7,D3698)),Assumptions!$D$7,"Other Services"))),"Other Services"))</f>
        <v/>
      </c>
    </row>
    <row r="3699" customFormat="false" ht="15" hidden="false" customHeight="false" outlineLevel="0" collapsed="false">
      <c r="J3699" s="41" t="str">
        <f aca="false">IF(D3699="","",IFERROR(IF(ISNUMBER(SEARCH(Assumptions!$C$5,D3699)),Assumptions!$D$5,IF(ISNUMBER(SEARCH(Assumptions!$C$6,D3699)),Assumptions!$D$6,IF(ISNUMBER(SEARCH(Assumptions!$C$7,D3699)),Assumptions!$D$7,"Other Services"))),"Other Services"))</f>
        <v/>
      </c>
    </row>
    <row r="3700" customFormat="false" ht="15" hidden="false" customHeight="false" outlineLevel="0" collapsed="false">
      <c r="J3700" s="41" t="str">
        <f aca="false">IF(D3700="","",IFERROR(IF(ISNUMBER(SEARCH(Assumptions!$C$5,D3700)),Assumptions!$D$5,IF(ISNUMBER(SEARCH(Assumptions!$C$6,D3700)),Assumptions!$D$6,IF(ISNUMBER(SEARCH(Assumptions!$C$7,D3700)),Assumptions!$D$7,"Other Services"))),"Other Services"))</f>
        <v/>
      </c>
    </row>
    <row r="3701" customFormat="false" ht="15" hidden="false" customHeight="false" outlineLevel="0" collapsed="false">
      <c r="J3701" s="41" t="str">
        <f aca="false">IF(D3701="","",IFERROR(IF(ISNUMBER(SEARCH(Assumptions!$C$5,D3701)),Assumptions!$D$5,IF(ISNUMBER(SEARCH(Assumptions!$C$6,D3701)),Assumptions!$D$6,IF(ISNUMBER(SEARCH(Assumptions!$C$7,D3701)),Assumptions!$D$7,"Other Services"))),"Other Services"))</f>
        <v/>
      </c>
    </row>
    <row r="3702" customFormat="false" ht="15" hidden="false" customHeight="false" outlineLevel="0" collapsed="false">
      <c r="J3702" s="41" t="str">
        <f aca="false">IF(D3702="","",IFERROR(IF(ISNUMBER(SEARCH(Assumptions!$C$5,D3702)),Assumptions!$D$5,IF(ISNUMBER(SEARCH(Assumptions!$C$6,D3702)),Assumptions!$D$6,IF(ISNUMBER(SEARCH(Assumptions!$C$7,D3702)),Assumptions!$D$7,"Other Services"))),"Other Services"))</f>
        <v/>
      </c>
    </row>
    <row r="3703" customFormat="false" ht="15" hidden="false" customHeight="false" outlineLevel="0" collapsed="false">
      <c r="J3703" s="41" t="str">
        <f aca="false">IF(D3703="","",IFERROR(IF(ISNUMBER(SEARCH(Assumptions!$C$5,D3703)),Assumptions!$D$5,IF(ISNUMBER(SEARCH(Assumptions!$C$6,D3703)),Assumptions!$D$6,IF(ISNUMBER(SEARCH(Assumptions!$C$7,D3703)),Assumptions!$D$7,"Other Services"))),"Other Services"))</f>
        <v/>
      </c>
    </row>
    <row r="3704" customFormat="false" ht="15" hidden="false" customHeight="false" outlineLevel="0" collapsed="false">
      <c r="J3704" s="41" t="str">
        <f aca="false">IF(D3704="","",IFERROR(IF(ISNUMBER(SEARCH(Assumptions!$C$5,D3704)),Assumptions!$D$5,IF(ISNUMBER(SEARCH(Assumptions!$C$6,D3704)),Assumptions!$D$6,IF(ISNUMBER(SEARCH(Assumptions!$C$7,D3704)),Assumptions!$D$7,"Other Services"))),"Other Services"))</f>
        <v/>
      </c>
    </row>
    <row r="3705" customFormat="false" ht="15" hidden="false" customHeight="false" outlineLevel="0" collapsed="false">
      <c r="J3705" s="41" t="str">
        <f aca="false">IF(D3705="","",IFERROR(IF(ISNUMBER(SEARCH(Assumptions!$C$5,D3705)),Assumptions!$D$5,IF(ISNUMBER(SEARCH(Assumptions!$C$6,D3705)),Assumptions!$D$6,IF(ISNUMBER(SEARCH(Assumptions!$C$7,D3705)),Assumptions!$D$7,"Other Services"))),"Other Services"))</f>
        <v/>
      </c>
    </row>
    <row r="3706" customFormat="false" ht="15" hidden="false" customHeight="false" outlineLevel="0" collapsed="false">
      <c r="J3706" s="41" t="str">
        <f aca="false">IF(D3706="","",IFERROR(IF(ISNUMBER(SEARCH(Assumptions!$C$5,D3706)),Assumptions!$D$5,IF(ISNUMBER(SEARCH(Assumptions!$C$6,D3706)),Assumptions!$D$6,IF(ISNUMBER(SEARCH(Assumptions!$C$7,D3706)),Assumptions!$D$7,"Other Services"))),"Other Services"))</f>
        <v/>
      </c>
    </row>
    <row r="3707" customFormat="false" ht="15" hidden="false" customHeight="false" outlineLevel="0" collapsed="false">
      <c r="J3707" s="41" t="str">
        <f aca="false">IF(D3707="","",IFERROR(IF(ISNUMBER(SEARCH(Assumptions!$C$5,D3707)),Assumptions!$D$5,IF(ISNUMBER(SEARCH(Assumptions!$C$6,D3707)),Assumptions!$D$6,IF(ISNUMBER(SEARCH(Assumptions!$C$7,D3707)),Assumptions!$D$7,"Other Services"))),"Other Services"))</f>
        <v/>
      </c>
    </row>
    <row r="3708" customFormat="false" ht="15" hidden="false" customHeight="false" outlineLevel="0" collapsed="false">
      <c r="J3708" s="41" t="str">
        <f aca="false">IF(D3708="","",IFERROR(IF(ISNUMBER(SEARCH(Assumptions!$C$5,D3708)),Assumptions!$D$5,IF(ISNUMBER(SEARCH(Assumptions!$C$6,D3708)),Assumptions!$D$6,IF(ISNUMBER(SEARCH(Assumptions!$C$7,D3708)),Assumptions!$D$7,"Other Services"))),"Other Services"))</f>
        <v/>
      </c>
    </row>
    <row r="3709" customFormat="false" ht="15" hidden="false" customHeight="false" outlineLevel="0" collapsed="false">
      <c r="J3709" s="41" t="str">
        <f aca="false">IF(D3709="","",IFERROR(IF(ISNUMBER(SEARCH(Assumptions!$C$5,D3709)),Assumptions!$D$5,IF(ISNUMBER(SEARCH(Assumptions!$C$6,D3709)),Assumptions!$D$6,IF(ISNUMBER(SEARCH(Assumptions!$C$7,D3709)),Assumptions!$D$7,"Other Services"))),"Other Services"))</f>
        <v/>
      </c>
    </row>
    <row r="3710" customFormat="false" ht="15" hidden="false" customHeight="false" outlineLevel="0" collapsed="false">
      <c r="J3710" s="41" t="str">
        <f aca="false">IF(D3710="","",IFERROR(IF(ISNUMBER(SEARCH(Assumptions!$C$5,D3710)),Assumptions!$D$5,IF(ISNUMBER(SEARCH(Assumptions!$C$6,D3710)),Assumptions!$D$6,IF(ISNUMBER(SEARCH(Assumptions!$C$7,D3710)),Assumptions!$D$7,"Other Services"))),"Other Services"))</f>
        <v/>
      </c>
    </row>
    <row r="3711" customFormat="false" ht="15" hidden="false" customHeight="false" outlineLevel="0" collapsed="false">
      <c r="J3711" s="41" t="str">
        <f aca="false">IF(D3711="","",IFERROR(IF(ISNUMBER(SEARCH(Assumptions!$C$5,D3711)),Assumptions!$D$5,IF(ISNUMBER(SEARCH(Assumptions!$C$6,D3711)),Assumptions!$D$6,IF(ISNUMBER(SEARCH(Assumptions!$C$7,D3711)),Assumptions!$D$7,"Other Services"))),"Other Services"))</f>
        <v/>
      </c>
    </row>
    <row r="3712" customFormat="false" ht="15" hidden="false" customHeight="false" outlineLevel="0" collapsed="false">
      <c r="J3712" s="41" t="str">
        <f aca="false">IF(D3712="","",IFERROR(IF(ISNUMBER(SEARCH(Assumptions!$C$5,D3712)),Assumptions!$D$5,IF(ISNUMBER(SEARCH(Assumptions!$C$6,D3712)),Assumptions!$D$6,IF(ISNUMBER(SEARCH(Assumptions!$C$7,D3712)),Assumptions!$D$7,"Other Services"))),"Other Services"))</f>
        <v/>
      </c>
    </row>
    <row r="3713" customFormat="false" ht="15" hidden="false" customHeight="false" outlineLevel="0" collapsed="false">
      <c r="J3713" s="41" t="str">
        <f aca="false">IF(D3713="","",IFERROR(IF(ISNUMBER(SEARCH(Assumptions!$C$5,D3713)),Assumptions!$D$5,IF(ISNUMBER(SEARCH(Assumptions!$C$6,D3713)),Assumptions!$D$6,IF(ISNUMBER(SEARCH(Assumptions!$C$7,D3713)),Assumptions!$D$7,"Other Services"))),"Other Services"))</f>
        <v/>
      </c>
    </row>
    <row r="3714" customFormat="false" ht="15" hidden="false" customHeight="false" outlineLevel="0" collapsed="false">
      <c r="J3714" s="41" t="str">
        <f aca="false">IF(D3714="","",IFERROR(IF(ISNUMBER(SEARCH(Assumptions!$C$5,D3714)),Assumptions!$D$5,IF(ISNUMBER(SEARCH(Assumptions!$C$6,D3714)),Assumptions!$D$6,IF(ISNUMBER(SEARCH(Assumptions!$C$7,D3714)),Assumptions!$D$7,"Other Services"))),"Other Services"))</f>
        <v/>
      </c>
    </row>
    <row r="3715" customFormat="false" ht="15" hidden="false" customHeight="false" outlineLevel="0" collapsed="false">
      <c r="J3715" s="41" t="str">
        <f aca="false">IF(D3715="","",IFERROR(IF(ISNUMBER(SEARCH(Assumptions!$C$5,D3715)),Assumptions!$D$5,IF(ISNUMBER(SEARCH(Assumptions!$C$6,D3715)),Assumptions!$D$6,IF(ISNUMBER(SEARCH(Assumptions!$C$7,D3715)),Assumptions!$D$7,"Other Services"))),"Other Services"))</f>
        <v/>
      </c>
    </row>
    <row r="3716" customFormat="false" ht="15" hidden="false" customHeight="false" outlineLevel="0" collapsed="false">
      <c r="J3716" s="41" t="str">
        <f aca="false">IF(D3716="","",IFERROR(IF(ISNUMBER(SEARCH(Assumptions!$C$5,D3716)),Assumptions!$D$5,IF(ISNUMBER(SEARCH(Assumptions!$C$6,D3716)),Assumptions!$D$6,IF(ISNUMBER(SEARCH(Assumptions!$C$7,D3716)),Assumptions!$D$7,"Other Services"))),"Other Services"))</f>
        <v/>
      </c>
    </row>
    <row r="3717" customFormat="false" ht="15" hidden="false" customHeight="false" outlineLevel="0" collapsed="false">
      <c r="J3717" s="41" t="str">
        <f aca="false">IF(D3717="","",IFERROR(IF(ISNUMBER(SEARCH(Assumptions!$C$5,D3717)),Assumptions!$D$5,IF(ISNUMBER(SEARCH(Assumptions!$C$6,D3717)),Assumptions!$D$6,IF(ISNUMBER(SEARCH(Assumptions!$C$7,D3717)),Assumptions!$D$7,"Other Services"))),"Other Services"))</f>
        <v/>
      </c>
    </row>
    <row r="3718" customFormat="false" ht="15" hidden="false" customHeight="false" outlineLevel="0" collapsed="false">
      <c r="J3718" s="41" t="str">
        <f aca="false">IF(D3718="","",IFERROR(IF(ISNUMBER(SEARCH(Assumptions!$C$5,D3718)),Assumptions!$D$5,IF(ISNUMBER(SEARCH(Assumptions!$C$6,D3718)),Assumptions!$D$6,IF(ISNUMBER(SEARCH(Assumptions!$C$7,D3718)),Assumptions!$D$7,"Other Services"))),"Other Services"))</f>
        <v/>
      </c>
    </row>
    <row r="3719" customFormat="false" ht="15" hidden="false" customHeight="false" outlineLevel="0" collapsed="false">
      <c r="J3719" s="41" t="str">
        <f aca="false">IF(D3719="","",IFERROR(IF(ISNUMBER(SEARCH(Assumptions!$C$5,D3719)),Assumptions!$D$5,IF(ISNUMBER(SEARCH(Assumptions!$C$6,D3719)),Assumptions!$D$6,IF(ISNUMBER(SEARCH(Assumptions!$C$7,D3719)),Assumptions!$D$7,"Other Services"))),"Other Services"))</f>
        <v/>
      </c>
    </row>
    <row r="3720" customFormat="false" ht="15" hidden="false" customHeight="false" outlineLevel="0" collapsed="false">
      <c r="J3720" s="41" t="str">
        <f aca="false">IF(D3720="","",IFERROR(IF(ISNUMBER(SEARCH(Assumptions!$C$5,D3720)),Assumptions!$D$5,IF(ISNUMBER(SEARCH(Assumptions!$C$6,D3720)),Assumptions!$D$6,IF(ISNUMBER(SEARCH(Assumptions!$C$7,D3720)),Assumptions!$D$7,"Other Services"))),"Other Services"))</f>
        <v/>
      </c>
    </row>
    <row r="3721" customFormat="false" ht="15" hidden="false" customHeight="false" outlineLevel="0" collapsed="false">
      <c r="J3721" s="41" t="str">
        <f aca="false">IF(D3721="","",IFERROR(IF(ISNUMBER(SEARCH(Assumptions!$C$5,D3721)),Assumptions!$D$5,IF(ISNUMBER(SEARCH(Assumptions!$C$6,D3721)),Assumptions!$D$6,IF(ISNUMBER(SEARCH(Assumptions!$C$7,D3721)),Assumptions!$D$7,"Other Services"))),"Other Services"))</f>
        <v/>
      </c>
    </row>
    <row r="3722" customFormat="false" ht="15" hidden="false" customHeight="false" outlineLevel="0" collapsed="false">
      <c r="J3722" s="41" t="str">
        <f aca="false">IF(D3722="","",IFERROR(IF(ISNUMBER(SEARCH(Assumptions!$C$5,D3722)),Assumptions!$D$5,IF(ISNUMBER(SEARCH(Assumptions!$C$6,D3722)),Assumptions!$D$6,IF(ISNUMBER(SEARCH(Assumptions!$C$7,D3722)),Assumptions!$D$7,"Other Services"))),"Other Services"))</f>
        <v/>
      </c>
    </row>
    <row r="3723" customFormat="false" ht="15" hidden="false" customHeight="false" outlineLevel="0" collapsed="false">
      <c r="J3723" s="41" t="str">
        <f aca="false">IF(D3723="","",IFERROR(IF(ISNUMBER(SEARCH(Assumptions!$C$5,D3723)),Assumptions!$D$5,IF(ISNUMBER(SEARCH(Assumptions!$C$6,D3723)),Assumptions!$D$6,IF(ISNUMBER(SEARCH(Assumptions!$C$7,D3723)),Assumptions!$D$7,"Other Services"))),"Other Services"))</f>
        <v/>
      </c>
    </row>
    <row r="3724" customFormat="false" ht="15" hidden="false" customHeight="false" outlineLevel="0" collapsed="false">
      <c r="J3724" s="41" t="str">
        <f aca="false">IF(D3724="","",IFERROR(IF(ISNUMBER(SEARCH(Assumptions!$C$5,D3724)),Assumptions!$D$5,IF(ISNUMBER(SEARCH(Assumptions!$C$6,D3724)),Assumptions!$D$6,IF(ISNUMBER(SEARCH(Assumptions!$C$7,D3724)),Assumptions!$D$7,"Other Services"))),"Other Services"))</f>
        <v/>
      </c>
    </row>
    <row r="3725" customFormat="false" ht="15" hidden="false" customHeight="false" outlineLevel="0" collapsed="false">
      <c r="J3725" s="41" t="str">
        <f aca="false">IF(D3725="","",IFERROR(IF(ISNUMBER(SEARCH(Assumptions!$C$5,D3725)),Assumptions!$D$5,IF(ISNUMBER(SEARCH(Assumptions!$C$6,D3725)),Assumptions!$D$6,IF(ISNUMBER(SEARCH(Assumptions!$C$7,D3725)),Assumptions!$D$7,"Other Services"))),"Other Services"))</f>
        <v/>
      </c>
    </row>
    <row r="3726" customFormat="false" ht="15" hidden="false" customHeight="false" outlineLevel="0" collapsed="false">
      <c r="J3726" s="41" t="str">
        <f aca="false">IF(D3726="","",IFERROR(IF(ISNUMBER(SEARCH(Assumptions!$C$5,D3726)),Assumptions!$D$5,IF(ISNUMBER(SEARCH(Assumptions!$C$6,D3726)),Assumptions!$D$6,IF(ISNUMBER(SEARCH(Assumptions!$C$7,D3726)),Assumptions!$D$7,"Other Services"))),"Other Services"))</f>
        <v/>
      </c>
    </row>
    <row r="3727" customFormat="false" ht="15" hidden="false" customHeight="false" outlineLevel="0" collapsed="false">
      <c r="J3727" s="41" t="str">
        <f aca="false">IF(D3727="","",IFERROR(IF(ISNUMBER(SEARCH(Assumptions!$C$5,D3727)),Assumptions!$D$5,IF(ISNUMBER(SEARCH(Assumptions!$C$6,D3727)),Assumptions!$D$6,IF(ISNUMBER(SEARCH(Assumptions!$C$7,D3727)),Assumptions!$D$7,"Other Services"))),"Other Services"))</f>
        <v/>
      </c>
    </row>
    <row r="3728" customFormat="false" ht="15" hidden="false" customHeight="false" outlineLevel="0" collapsed="false">
      <c r="J3728" s="41" t="str">
        <f aca="false">IF(D3728="","",IFERROR(IF(ISNUMBER(SEARCH(Assumptions!$C$5,D3728)),Assumptions!$D$5,IF(ISNUMBER(SEARCH(Assumptions!$C$6,D3728)),Assumptions!$D$6,IF(ISNUMBER(SEARCH(Assumptions!$C$7,D3728)),Assumptions!$D$7,"Other Services"))),"Other Services"))</f>
        <v/>
      </c>
    </row>
    <row r="3729" customFormat="false" ht="15" hidden="false" customHeight="false" outlineLevel="0" collapsed="false">
      <c r="J3729" s="41" t="str">
        <f aca="false">IF(D3729="","",IFERROR(IF(ISNUMBER(SEARCH(Assumptions!$C$5,D3729)),Assumptions!$D$5,IF(ISNUMBER(SEARCH(Assumptions!$C$6,D3729)),Assumptions!$D$6,IF(ISNUMBER(SEARCH(Assumptions!$C$7,D3729)),Assumptions!$D$7,"Other Services"))),"Other Services"))</f>
        <v/>
      </c>
    </row>
    <row r="3730" customFormat="false" ht="15" hidden="false" customHeight="false" outlineLevel="0" collapsed="false">
      <c r="J3730" s="41" t="str">
        <f aca="false">IF(D3730="","",IFERROR(IF(ISNUMBER(SEARCH(Assumptions!$C$5,D3730)),Assumptions!$D$5,IF(ISNUMBER(SEARCH(Assumptions!$C$6,D3730)),Assumptions!$D$6,IF(ISNUMBER(SEARCH(Assumptions!$C$7,D3730)),Assumptions!$D$7,"Other Services"))),"Other Services"))</f>
        <v/>
      </c>
    </row>
    <row r="3731" customFormat="false" ht="15" hidden="false" customHeight="false" outlineLevel="0" collapsed="false">
      <c r="J3731" s="41" t="str">
        <f aca="false">IF(D3731="","",IFERROR(IF(ISNUMBER(SEARCH(Assumptions!$C$5,D3731)),Assumptions!$D$5,IF(ISNUMBER(SEARCH(Assumptions!$C$6,D3731)),Assumptions!$D$6,IF(ISNUMBER(SEARCH(Assumptions!$C$7,D3731)),Assumptions!$D$7,"Other Services"))),"Other Services"))</f>
        <v/>
      </c>
    </row>
    <row r="3732" customFormat="false" ht="15" hidden="false" customHeight="false" outlineLevel="0" collapsed="false">
      <c r="J3732" s="41" t="str">
        <f aca="false">IF(D3732="","",IFERROR(IF(ISNUMBER(SEARCH(Assumptions!$C$5,D3732)),Assumptions!$D$5,IF(ISNUMBER(SEARCH(Assumptions!$C$6,D3732)),Assumptions!$D$6,IF(ISNUMBER(SEARCH(Assumptions!$C$7,D3732)),Assumptions!$D$7,"Other Services"))),"Other Services"))</f>
        <v/>
      </c>
    </row>
    <row r="3733" customFormat="false" ht="15" hidden="false" customHeight="false" outlineLevel="0" collapsed="false">
      <c r="J3733" s="41" t="str">
        <f aca="false">IF(D3733="","",IFERROR(IF(ISNUMBER(SEARCH(Assumptions!$C$5,D3733)),Assumptions!$D$5,IF(ISNUMBER(SEARCH(Assumptions!$C$6,D3733)),Assumptions!$D$6,IF(ISNUMBER(SEARCH(Assumptions!$C$7,D3733)),Assumptions!$D$7,"Other Services"))),"Other Services"))</f>
        <v/>
      </c>
    </row>
    <row r="3734" customFormat="false" ht="15" hidden="false" customHeight="false" outlineLevel="0" collapsed="false">
      <c r="J3734" s="41" t="str">
        <f aca="false">IF(D3734="","",IFERROR(IF(ISNUMBER(SEARCH(Assumptions!$C$5,D3734)),Assumptions!$D$5,IF(ISNUMBER(SEARCH(Assumptions!$C$6,D3734)),Assumptions!$D$6,IF(ISNUMBER(SEARCH(Assumptions!$C$7,D3734)),Assumptions!$D$7,"Other Services"))),"Other Services"))</f>
        <v/>
      </c>
    </row>
    <row r="3735" customFormat="false" ht="15" hidden="false" customHeight="false" outlineLevel="0" collapsed="false">
      <c r="J3735" s="41" t="str">
        <f aca="false">IF(D3735="","",IFERROR(IF(ISNUMBER(SEARCH(Assumptions!$C$5,D3735)),Assumptions!$D$5,IF(ISNUMBER(SEARCH(Assumptions!$C$6,D3735)),Assumptions!$D$6,IF(ISNUMBER(SEARCH(Assumptions!$C$7,D3735)),Assumptions!$D$7,"Other Services"))),"Other Services"))</f>
        <v/>
      </c>
    </row>
    <row r="3736" customFormat="false" ht="15" hidden="false" customHeight="false" outlineLevel="0" collapsed="false">
      <c r="J3736" s="41" t="str">
        <f aca="false">IF(D3736="","",IFERROR(IF(ISNUMBER(SEARCH(Assumptions!$C$5,D3736)),Assumptions!$D$5,IF(ISNUMBER(SEARCH(Assumptions!$C$6,D3736)),Assumptions!$D$6,IF(ISNUMBER(SEARCH(Assumptions!$C$7,D3736)),Assumptions!$D$7,"Other Services"))),"Other Services"))</f>
        <v/>
      </c>
    </row>
    <row r="3737" customFormat="false" ht="15" hidden="false" customHeight="false" outlineLevel="0" collapsed="false">
      <c r="J3737" s="41" t="str">
        <f aca="false">IF(D3737="","",IFERROR(IF(ISNUMBER(SEARCH(Assumptions!$C$5,D3737)),Assumptions!$D$5,IF(ISNUMBER(SEARCH(Assumptions!$C$6,D3737)),Assumptions!$D$6,IF(ISNUMBER(SEARCH(Assumptions!$C$7,D3737)),Assumptions!$D$7,"Other Services"))),"Other Services"))</f>
        <v/>
      </c>
    </row>
    <row r="3738" customFormat="false" ht="15" hidden="false" customHeight="false" outlineLevel="0" collapsed="false">
      <c r="J3738" s="41" t="str">
        <f aca="false">IF(D3738="","",IFERROR(IF(ISNUMBER(SEARCH(Assumptions!$C$5,D3738)),Assumptions!$D$5,IF(ISNUMBER(SEARCH(Assumptions!$C$6,D3738)),Assumptions!$D$6,IF(ISNUMBER(SEARCH(Assumptions!$C$7,D3738)),Assumptions!$D$7,"Other Services"))),"Other Services"))</f>
        <v/>
      </c>
    </row>
    <row r="3739" customFormat="false" ht="15" hidden="false" customHeight="false" outlineLevel="0" collapsed="false">
      <c r="J3739" s="41" t="str">
        <f aca="false">IF(D3739="","",IFERROR(IF(ISNUMBER(SEARCH(Assumptions!$C$5,D3739)),Assumptions!$D$5,IF(ISNUMBER(SEARCH(Assumptions!$C$6,D3739)),Assumptions!$D$6,IF(ISNUMBER(SEARCH(Assumptions!$C$7,D3739)),Assumptions!$D$7,"Other Services"))),"Other Services"))</f>
        <v/>
      </c>
    </row>
    <row r="3740" customFormat="false" ht="15" hidden="false" customHeight="false" outlineLevel="0" collapsed="false">
      <c r="J3740" s="41" t="str">
        <f aca="false">IF(D3740="","",IFERROR(IF(ISNUMBER(SEARCH(Assumptions!$C$5,D3740)),Assumptions!$D$5,IF(ISNUMBER(SEARCH(Assumptions!$C$6,D3740)),Assumptions!$D$6,IF(ISNUMBER(SEARCH(Assumptions!$C$7,D3740)),Assumptions!$D$7,"Other Services"))),"Other Services"))</f>
        <v/>
      </c>
    </row>
    <row r="3741" customFormat="false" ht="15" hidden="false" customHeight="false" outlineLevel="0" collapsed="false">
      <c r="J3741" s="41" t="str">
        <f aca="false">IF(D3741="","",IFERROR(IF(ISNUMBER(SEARCH(Assumptions!$C$5,D3741)),Assumptions!$D$5,IF(ISNUMBER(SEARCH(Assumptions!$C$6,D3741)),Assumptions!$D$6,IF(ISNUMBER(SEARCH(Assumptions!$C$7,D3741)),Assumptions!$D$7,"Other Services"))),"Other Services"))</f>
        <v/>
      </c>
    </row>
    <row r="3742" customFormat="false" ht="15" hidden="false" customHeight="false" outlineLevel="0" collapsed="false">
      <c r="J3742" s="41" t="str">
        <f aca="false">IF(D3742="","",IFERROR(IF(ISNUMBER(SEARCH(Assumptions!$C$5,D3742)),Assumptions!$D$5,IF(ISNUMBER(SEARCH(Assumptions!$C$6,D3742)),Assumptions!$D$6,IF(ISNUMBER(SEARCH(Assumptions!$C$7,D3742)),Assumptions!$D$7,"Other Services"))),"Other Services"))</f>
        <v/>
      </c>
    </row>
    <row r="3743" customFormat="false" ht="15" hidden="false" customHeight="false" outlineLevel="0" collapsed="false">
      <c r="J3743" s="41" t="str">
        <f aca="false">IF(D3743="","",IFERROR(IF(ISNUMBER(SEARCH(Assumptions!$C$5,D3743)),Assumptions!$D$5,IF(ISNUMBER(SEARCH(Assumptions!$C$6,D3743)),Assumptions!$D$6,IF(ISNUMBER(SEARCH(Assumptions!$C$7,D3743)),Assumptions!$D$7,"Other Services"))),"Other Services"))</f>
        <v/>
      </c>
    </row>
    <row r="3744" customFormat="false" ht="15" hidden="false" customHeight="false" outlineLevel="0" collapsed="false">
      <c r="J3744" s="41" t="str">
        <f aca="false">IF(D3744="","",IFERROR(IF(ISNUMBER(SEARCH(Assumptions!$C$5,D3744)),Assumptions!$D$5,IF(ISNUMBER(SEARCH(Assumptions!$C$6,D3744)),Assumptions!$D$6,IF(ISNUMBER(SEARCH(Assumptions!$C$7,D3744)),Assumptions!$D$7,"Other Services"))),"Other Services"))</f>
        <v/>
      </c>
    </row>
    <row r="3745" customFormat="false" ht="15" hidden="false" customHeight="false" outlineLevel="0" collapsed="false">
      <c r="J3745" s="41" t="str">
        <f aca="false">IF(D3745="","",IFERROR(IF(ISNUMBER(SEARCH(Assumptions!$C$5,D3745)),Assumptions!$D$5,IF(ISNUMBER(SEARCH(Assumptions!$C$6,D3745)),Assumptions!$D$6,IF(ISNUMBER(SEARCH(Assumptions!$C$7,D3745)),Assumptions!$D$7,"Other Services"))),"Other Services"))</f>
        <v/>
      </c>
    </row>
    <row r="3746" customFormat="false" ht="15" hidden="false" customHeight="false" outlineLevel="0" collapsed="false">
      <c r="J3746" s="41" t="str">
        <f aca="false">IF(D3746="","",IFERROR(IF(ISNUMBER(SEARCH(Assumptions!$C$5,D3746)),Assumptions!$D$5,IF(ISNUMBER(SEARCH(Assumptions!$C$6,D3746)),Assumptions!$D$6,IF(ISNUMBER(SEARCH(Assumptions!$C$7,D3746)),Assumptions!$D$7,"Other Services"))),"Other Services"))</f>
        <v/>
      </c>
    </row>
    <row r="3747" customFormat="false" ht="15" hidden="false" customHeight="false" outlineLevel="0" collapsed="false">
      <c r="J3747" s="41" t="str">
        <f aca="false">IF(D3747="","",IFERROR(IF(ISNUMBER(SEARCH(Assumptions!$C$5,D3747)),Assumptions!$D$5,IF(ISNUMBER(SEARCH(Assumptions!$C$6,D3747)),Assumptions!$D$6,IF(ISNUMBER(SEARCH(Assumptions!$C$7,D3747)),Assumptions!$D$7,"Other Services"))),"Other Services"))</f>
        <v/>
      </c>
    </row>
    <row r="3748" customFormat="false" ht="15" hidden="false" customHeight="false" outlineLevel="0" collapsed="false">
      <c r="J3748" s="41" t="str">
        <f aca="false">IF(D3748="","",IFERROR(IF(ISNUMBER(SEARCH(Assumptions!$C$5,D3748)),Assumptions!$D$5,IF(ISNUMBER(SEARCH(Assumptions!$C$6,D3748)),Assumptions!$D$6,IF(ISNUMBER(SEARCH(Assumptions!$C$7,D3748)),Assumptions!$D$7,"Other Services"))),"Other Services"))</f>
        <v/>
      </c>
    </row>
    <row r="3749" customFormat="false" ht="15" hidden="false" customHeight="false" outlineLevel="0" collapsed="false">
      <c r="J3749" s="41" t="str">
        <f aca="false">IF(D3749="","",IFERROR(IF(ISNUMBER(SEARCH(Assumptions!$C$5,D3749)),Assumptions!$D$5,IF(ISNUMBER(SEARCH(Assumptions!$C$6,D3749)),Assumptions!$D$6,IF(ISNUMBER(SEARCH(Assumptions!$C$7,D3749)),Assumptions!$D$7,"Other Services"))),"Other Services"))</f>
        <v/>
      </c>
    </row>
    <row r="3750" customFormat="false" ht="15" hidden="false" customHeight="false" outlineLevel="0" collapsed="false">
      <c r="J3750" s="41" t="str">
        <f aca="false">IF(D3750="","",IFERROR(IF(ISNUMBER(SEARCH(Assumptions!$C$5,D3750)),Assumptions!$D$5,IF(ISNUMBER(SEARCH(Assumptions!$C$6,D3750)),Assumptions!$D$6,IF(ISNUMBER(SEARCH(Assumptions!$C$7,D3750)),Assumptions!$D$7,"Other Services"))),"Other Services"))</f>
        <v/>
      </c>
    </row>
    <row r="3751" customFormat="false" ht="15" hidden="false" customHeight="false" outlineLevel="0" collapsed="false">
      <c r="J3751" s="41" t="str">
        <f aca="false">IF(D3751="","",IFERROR(IF(ISNUMBER(SEARCH(Assumptions!$C$5,D3751)),Assumptions!$D$5,IF(ISNUMBER(SEARCH(Assumptions!$C$6,D3751)),Assumptions!$D$6,IF(ISNUMBER(SEARCH(Assumptions!$C$7,D3751)),Assumptions!$D$7,"Other Services"))),"Other Services"))</f>
        <v/>
      </c>
    </row>
    <row r="3752" customFormat="false" ht="15" hidden="false" customHeight="false" outlineLevel="0" collapsed="false">
      <c r="J3752" s="41" t="str">
        <f aca="false">IF(D3752="","",IFERROR(IF(ISNUMBER(SEARCH(Assumptions!$C$5,D3752)),Assumptions!$D$5,IF(ISNUMBER(SEARCH(Assumptions!$C$6,D3752)),Assumptions!$D$6,IF(ISNUMBER(SEARCH(Assumptions!$C$7,D3752)),Assumptions!$D$7,"Other Services"))),"Other Services"))</f>
        <v/>
      </c>
    </row>
    <row r="3753" customFormat="false" ht="15" hidden="false" customHeight="false" outlineLevel="0" collapsed="false">
      <c r="J3753" s="41" t="str">
        <f aca="false">IF(D3753="","",IFERROR(IF(ISNUMBER(SEARCH(Assumptions!$C$5,D3753)),Assumptions!$D$5,IF(ISNUMBER(SEARCH(Assumptions!$C$6,D3753)),Assumptions!$D$6,IF(ISNUMBER(SEARCH(Assumptions!$C$7,D3753)),Assumptions!$D$7,"Other Services"))),"Other Services"))</f>
        <v/>
      </c>
    </row>
    <row r="3754" customFormat="false" ht="15" hidden="false" customHeight="false" outlineLevel="0" collapsed="false">
      <c r="J3754" s="41" t="str">
        <f aca="false">IF(D3754="","",IFERROR(IF(ISNUMBER(SEARCH(Assumptions!$C$5,D3754)),Assumptions!$D$5,IF(ISNUMBER(SEARCH(Assumptions!$C$6,D3754)),Assumptions!$D$6,IF(ISNUMBER(SEARCH(Assumptions!$C$7,D3754)),Assumptions!$D$7,"Other Services"))),"Other Services"))</f>
        <v/>
      </c>
    </row>
    <row r="3755" customFormat="false" ht="15" hidden="false" customHeight="false" outlineLevel="0" collapsed="false">
      <c r="J3755" s="41" t="str">
        <f aca="false">IF(D3755="","",IFERROR(IF(ISNUMBER(SEARCH(Assumptions!$C$5,D3755)),Assumptions!$D$5,IF(ISNUMBER(SEARCH(Assumptions!$C$6,D3755)),Assumptions!$D$6,IF(ISNUMBER(SEARCH(Assumptions!$C$7,D3755)),Assumptions!$D$7,"Other Services"))),"Other Services"))</f>
        <v/>
      </c>
    </row>
    <row r="3756" customFormat="false" ht="15" hidden="false" customHeight="false" outlineLevel="0" collapsed="false">
      <c r="J3756" s="41" t="str">
        <f aca="false">IF(D3756="","",IFERROR(IF(ISNUMBER(SEARCH(Assumptions!$C$5,D3756)),Assumptions!$D$5,IF(ISNUMBER(SEARCH(Assumptions!$C$6,D3756)),Assumptions!$D$6,IF(ISNUMBER(SEARCH(Assumptions!$C$7,D3756)),Assumptions!$D$7,"Other Services"))),"Other Services"))</f>
        <v/>
      </c>
    </row>
    <row r="3757" customFormat="false" ht="15" hidden="false" customHeight="false" outlineLevel="0" collapsed="false">
      <c r="J3757" s="41" t="str">
        <f aca="false">IF(D3757="","",IFERROR(IF(ISNUMBER(SEARCH(Assumptions!$C$5,D3757)),Assumptions!$D$5,IF(ISNUMBER(SEARCH(Assumptions!$C$6,D3757)),Assumptions!$D$6,IF(ISNUMBER(SEARCH(Assumptions!$C$7,D3757)),Assumptions!$D$7,"Other Services"))),"Other Services"))</f>
        <v/>
      </c>
    </row>
    <row r="3758" customFormat="false" ht="15" hidden="false" customHeight="false" outlineLevel="0" collapsed="false">
      <c r="J3758" s="41" t="str">
        <f aca="false">IF(D3758="","",IFERROR(IF(ISNUMBER(SEARCH(Assumptions!$C$5,D3758)),Assumptions!$D$5,IF(ISNUMBER(SEARCH(Assumptions!$C$6,D3758)),Assumptions!$D$6,IF(ISNUMBER(SEARCH(Assumptions!$C$7,D3758)),Assumptions!$D$7,"Other Services"))),"Other Services"))</f>
        <v/>
      </c>
    </row>
    <row r="3759" customFormat="false" ht="15" hidden="false" customHeight="false" outlineLevel="0" collapsed="false">
      <c r="J3759" s="41" t="str">
        <f aca="false">IF(D3759="","",IFERROR(IF(ISNUMBER(SEARCH(Assumptions!$C$5,D3759)),Assumptions!$D$5,IF(ISNUMBER(SEARCH(Assumptions!$C$6,D3759)),Assumptions!$D$6,IF(ISNUMBER(SEARCH(Assumptions!$C$7,D3759)),Assumptions!$D$7,"Other Services"))),"Other Services"))</f>
        <v/>
      </c>
    </row>
    <row r="3760" customFormat="false" ht="15" hidden="false" customHeight="false" outlineLevel="0" collapsed="false">
      <c r="J3760" s="41" t="str">
        <f aca="false">IF(D3760="","",IFERROR(IF(ISNUMBER(SEARCH(Assumptions!$C$5,D3760)),Assumptions!$D$5,IF(ISNUMBER(SEARCH(Assumptions!$C$6,D3760)),Assumptions!$D$6,IF(ISNUMBER(SEARCH(Assumptions!$C$7,D3760)),Assumptions!$D$7,"Other Services"))),"Other Services"))</f>
        <v/>
      </c>
    </row>
    <row r="3761" customFormat="false" ht="15" hidden="false" customHeight="false" outlineLevel="0" collapsed="false">
      <c r="J3761" s="41" t="str">
        <f aca="false">IF(D3761="","",IFERROR(IF(ISNUMBER(SEARCH(Assumptions!$C$5,D3761)),Assumptions!$D$5,IF(ISNUMBER(SEARCH(Assumptions!$C$6,D3761)),Assumptions!$D$6,IF(ISNUMBER(SEARCH(Assumptions!$C$7,D3761)),Assumptions!$D$7,"Other Services"))),"Other Services"))</f>
        <v/>
      </c>
    </row>
    <row r="3762" customFormat="false" ht="15" hidden="false" customHeight="false" outlineLevel="0" collapsed="false">
      <c r="J3762" s="41" t="str">
        <f aca="false">IF(D3762="","",IFERROR(IF(ISNUMBER(SEARCH(Assumptions!$C$5,D3762)),Assumptions!$D$5,IF(ISNUMBER(SEARCH(Assumptions!$C$6,D3762)),Assumptions!$D$6,IF(ISNUMBER(SEARCH(Assumptions!$C$7,D3762)),Assumptions!$D$7,"Other Services"))),"Other Services"))</f>
        <v/>
      </c>
    </row>
    <row r="3763" customFormat="false" ht="15" hidden="false" customHeight="false" outlineLevel="0" collapsed="false">
      <c r="J3763" s="41" t="str">
        <f aca="false">IF(D3763="","",IFERROR(IF(ISNUMBER(SEARCH(Assumptions!$C$5,D3763)),Assumptions!$D$5,IF(ISNUMBER(SEARCH(Assumptions!$C$6,D3763)),Assumptions!$D$6,IF(ISNUMBER(SEARCH(Assumptions!$C$7,D3763)),Assumptions!$D$7,"Other Services"))),"Other Services"))</f>
        <v/>
      </c>
    </row>
    <row r="3764" customFormat="false" ht="15" hidden="false" customHeight="false" outlineLevel="0" collapsed="false">
      <c r="J3764" s="41" t="str">
        <f aca="false">IF(D3764="","",IFERROR(IF(ISNUMBER(SEARCH(Assumptions!$C$5,D3764)),Assumptions!$D$5,IF(ISNUMBER(SEARCH(Assumptions!$C$6,D3764)),Assumptions!$D$6,IF(ISNUMBER(SEARCH(Assumptions!$C$7,D3764)),Assumptions!$D$7,"Other Services"))),"Other Services"))</f>
        <v/>
      </c>
    </row>
    <row r="3765" customFormat="false" ht="15" hidden="false" customHeight="false" outlineLevel="0" collapsed="false">
      <c r="J3765" s="41" t="str">
        <f aca="false">IF(D3765="","",IFERROR(IF(ISNUMBER(SEARCH(Assumptions!$C$5,D3765)),Assumptions!$D$5,IF(ISNUMBER(SEARCH(Assumptions!$C$6,D3765)),Assumptions!$D$6,IF(ISNUMBER(SEARCH(Assumptions!$C$7,D3765)),Assumptions!$D$7,"Other Services"))),"Other Services"))</f>
        <v/>
      </c>
    </row>
    <row r="3766" customFormat="false" ht="15" hidden="false" customHeight="false" outlineLevel="0" collapsed="false">
      <c r="J3766" s="41" t="str">
        <f aca="false">IF(D3766="","",IFERROR(IF(ISNUMBER(SEARCH(Assumptions!$C$5,D3766)),Assumptions!$D$5,IF(ISNUMBER(SEARCH(Assumptions!$C$6,D3766)),Assumptions!$D$6,IF(ISNUMBER(SEARCH(Assumptions!$C$7,D3766)),Assumptions!$D$7,"Other Services"))),"Other Services"))</f>
        <v/>
      </c>
    </row>
    <row r="3767" customFormat="false" ht="15" hidden="false" customHeight="false" outlineLevel="0" collapsed="false">
      <c r="J3767" s="41" t="str">
        <f aca="false">IF(D3767="","",IFERROR(IF(ISNUMBER(SEARCH(Assumptions!$C$5,D3767)),Assumptions!$D$5,IF(ISNUMBER(SEARCH(Assumptions!$C$6,D3767)),Assumptions!$D$6,IF(ISNUMBER(SEARCH(Assumptions!$C$7,D3767)),Assumptions!$D$7,"Other Services"))),"Other Services"))</f>
        <v/>
      </c>
    </row>
    <row r="3768" customFormat="false" ht="15" hidden="false" customHeight="false" outlineLevel="0" collapsed="false">
      <c r="J3768" s="41" t="str">
        <f aca="false">IF(D3768="","",IFERROR(IF(ISNUMBER(SEARCH(Assumptions!$C$5,D3768)),Assumptions!$D$5,IF(ISNUMBER(SEARCH(Assumptions!$C$6,D3768)),Assumptions!$D$6,IF(ISNUMBER(SEARCH(Assumptions!$C$7,D3768)),Assumptions!$D$7,"Other Services"))),"Other Services"))</f>
        <v/>
      </c>
    </row>
    <row r="3769" customFormat="false" ht="15" hidden="false" customHeight="false" outlineLevel="0" collapsed="false">
      <c r="J3769" s="41" t="str">
        <f aca="false">IF(D3769="","",IFERROR(IF(ISNUMBER(SEARCH(Assumptions!$C$5,D3769)),Assumptions!$D$5,IF(ISNUMBER(SEARCH(Assumptions!$C$6,D3769)),Assumptions!$D$6,IF(ISNUMBER(SEARCH(Assumptions!$C$7,D3769)),Assumptions!$D$7,"Other Services"))),"Other Services"))</f>
        <v/>
      </c>
    </row>
    <row r="3770" customFormat="false" ht="15" hidden="false" customHeight="false" outlineLevel="0" collapsed="false">
      <c r="J3770" s="41" t="str">
        <f aca="false">IF(D3770="","",IFERROR(IF(ISNUMBER(SEARCH(Assumptions!$C$5,D3770)),Assumptions!$D$5,IF(ISNUMBER(SEARCH(Assumptions!$C$6,D3770)),Assumptions!$D$6,IF(ISNUMBER(SEARCH(Assumptions!$C$7,D3770)),Assumptions!$D$7,"Other Services"))),"Other Services"))</f>
        <v/>
      </c>
    </row>
    <row r="3771" customFormat="false" ht="15" hidden="false" customHeight="false" outlineLevel="0" collapsed="false">
      <c r="J3771" s="41" t="str">
        <f aca="false">IF(D3771="","",IFERROR(IF(ISNUMBER(SEARCH(Assumptions!$C$5,D3771)),Assumptions!$D$5,IF(ISNUMBER(SEARCH(Assumptions!$C$6,D3771)),Assumptions!$D$6,IF(ISNUMBER(SEARCH(Assumptions!$C$7,D3771)),Assumptions!$D$7,"Other Services"))),"Other Services"))</f>
        <v/>
      </c>
    </row>
    <row r="3772" customFormat="false" ht="15" hidden="false" customHeight="false" outlineLevel="0" collapsed="false">
      <c r="J3772" s="41" t="str">
        <f aca="false">IF(D3772="","",IFERROR(IF(ISNUMBER(SEARCH(Assumptions!$C$5,D3772)),Assumptions!$D$5,IF(ISNUMBER(SEARCH(Assumptions!$C$6,D3772)),Assumptions!$D$6,IF(ISNUMBER(SEARCH(Assumptions!$C$7,D3772)),Assumptions!$D$7,"Other Services"))),"Other Services"))</f>
        <v/>
      </c>
    </row>
    <row r="3773" customFormat="false" ht="15" hidden="false" customHeight="false" outlineLevel="0" collapsed="false">
      <c r="J3773" s="41" t="str">
        <f aca="false">IF(D3773="","",IFERROR(IF(ISNUMBER(SEARCH(Assumptions!$C$5,D3773)),Assumptions!$D$5,IF(ISNUMBER(SEARCH(Assumptions!$C$6,D3773)),Assumptions!$D$6,IF(ISNUMBER(SEARCH(Assumptions!$C$7,D3773)),Assumptions!$D$7,"Other Services"))),"Other Services"))</f>
        <v/>
      </c>
    </row>
    <row r="3774" customFormat="false" ht="15" hidden="false" customHeight="false" outlineLevel="0" collapsed="false">
      <c r="J3774" s="41" t="str">
        <f aca="false">IF(D3774="","",IFERROR(IF(ISNUMBER(SEARCH(Assumptions!$C$5,D3774)),Assumptions!$D$5,IF(ISNUMBER(SEARCH(Assumptions!$C$6,D3774)),Assumptions!$D$6,IF(ISNUMBER(SEARCH(Assumptions!$C$7,D3774)),Assumptions!$D$7,"Other Services"))),"Other Services"))</f>
        <v/>
      </c>
    </row>
    <row r="3775" customFormat="false" ht="15" hidden="false" customHeight="false" outlineLevel="0" collapsed="false">
      <c r="J3775" s="41" t="str">
        <f aca="false">IF(D3775="","",IFERROR(IF(ISNUMBER(SEARCH(Assumptions!$C$5,D3775)),Assumptions!$D$5,IF(ISNUMBER(SEARCH(Assumptions!$C$6,D3775)),Assumptions!$D$6,IF(ISNUMBER(SEARCH(Assumptions!$C$7,D3775)),Assumptions!$D$7,"Other Services"))),"Other Services"))</f>
        <v/>
      </c>
    </row>
    <row r="3776" customFormat="false" ht="15" hidden="false" customHeight="false" outlineLevel="0" collapsed="false">
      <c r="J3776" s="41" t="str">
        <f aca="false">IF(D3776="","",IFERROR(IF(ISNUMBER(SEARCH(Assumptions!$C$5,D3776)),Assumptions!$D$5,IF(ISNUMBER(SEARCH(Assumptions!$C$6,D3776)),Assumptions!$D$6,IF(ISNUMBER(SEARCH(Assumptions!$C$7,D3776)),Assumptions!$D$7,"Other Services"))),"Other Services"))</f>
        <v/>
      </c>
    </row>
    <row r="3777" customFormat="false" ht="15" hidden="false" customHeight="false" outlineLevel="0" collapsed="false">
      <c r="J3777" s="41" t="str">
        <f aca="false">IF(D3777="","",IFERROR(IF(ISNUMBER(SEARCH(Assumptions!$C$5,D3777)),Assumptions!$D$5,IF(ISNUMBER(SEARCH(Assumptions!$C$6,D3777)),Assumptions!$D$6,IF(ISNUMBER(SEARCH(Assumptions!$C$7,D3777)),Assumptions!$D$7,"Other Services"))),"Other Services"))</f>
        <v/>
      </c>
    </row>
    <row r="3778" customFormat="false" ht="15" hidden="false" customHeight="false" outlineLevel="0" collapsed="false">
      <c r="J3778" s="41" t="str">
        <f aca="false">IF(D3778="","",IFERROR(IF(ISNUMBER(SEARCH(Assumptions!$C$5,D3778)),Assumptions!$D$5,IF(ISNUMBER(SEARCH(Assumptions!$C$6,D3778)),Assumptions!$D$6,IF(ISNUMBER(SEARCH(Assumptions!$C$7,D3778)),Assumptions!$D$7,"Other Services"))),"Other Services"))</f>
        <v/>
      </c>
    </row>
    <row r="3779" customFormat="false" ht="15" hidden="false" customHeight="false" outlineLevel="0" collapsed="false">
      <c r="J3779" s="41" t="str">
        <f aca="false">IF(D3779="","",IFERROR(IF(ISNUMBER(SEARCH(Assumptions!$C$5,D3779)),Assumptions!$D$5,IF(ISNUMBER(SEARCH(Assumptions!$C$6,D3779)),Assumptions!$D$6,IF(ISNUMBER(SEARCH(Assumptions!$C$7,D3779)),Assumptions!$D$7,"Other Services"))),"Other Services"))</f>
        <v/>
      </c>
    </row>
    <row r="3780" customFormat="false" ht="15" hidden="false" customHeight="false" outlineLevel="0" collapsed="false">
      <c r="J3780" s="41" t="str">
        <f aca="false">IF(D3780="","",IFERROR(IF(ISNUMBER(SEARCH(Assumptions!$C$5,D3780)),Assumptions!$D$5,IF(ISNUMBER(SEARCH(Assumptions!$C$6,D3780)),Assumptions!$D$6,IF(ISNUMBER(SEARCH(Assumptions!$C$7,D3780)),Assumptions!$D$7,"Other Services"))),"Other Services"))</f>
        <v/>
      </c>
    </row>
    <row r="3781" customFormat="false" ht="15" hidden="false" customHeight="false" outlineLevel="0" collapsed="false">
      <c r="J3781" s="41" t="str">
        <f aca="false">IF(D3781="","",IFERROR(IF(ISNUMBER(SEARCH(Assumptions!$C$5,D3781)),Assumptions!$D$5,IF(ISNUMBER(SEARCH(Assumptions!$C$6,D3781)),Assumptions!$D$6,IF(ISNUMBER(SEARCH(Assumptions!$C$7,D3781)),Assumptions!$D$7,"Other Services"))),"Other Services"))</f>
        <v/>
      </c>
    </row>
    <row r="3782" customFormat="false" ht="15" hidden="false" customHeight="false" outlineLevel="0" collapsed="false">
      <c r="J3782" s="41" t="str">
        <f aca="false">IF(D3782="","",IFERROR(IF(ISNUMBER(SEARCH(Assumptions!$C$5,D3782)),Assumptions!$D$5,IF(ISNUMBER(SEARCH(Assumptions!$C$6,D3782)),Assumptions!$D$6,IF(ISNUMBER(SEARCH(Assumptions!$C$7,D3782)),Assumptions!$D$7,"Other Services"))),"Other Services"))</f>
        <v/>
      </c>
    </row>
    <row r="3783" customFormat="false" ht="15" hidden="false" customHeight="false" outlineLevel="0" collapsed="false">
      <c r="J3783" s="41" t="str">
        <f aca="false">IF(D3783="","",IFERROR(IF(ISNUMBER(SEARCH(Assumptions!$C$5,D3783)),Assumptions!$D$5,IF(ISNUMBER(SEARCH(Assumptions!$C$6,D3783)),Assumptions!$D$6,IF(ISNUMBER(SEARCH(Assumptions!$C$7,D3783)),Assumptions!$D$7,"Other Services"))),"Other Services"))</f>
        <v/>
      </c>
    </row>
    <row r="3784" customFormat="false" ht="15" hidden="false" customHeight="false" outlineLevel="0" collapsed="false">
      <c r="J3784" s="41" t="str">
        <f aca="false">IF(D3784="","",IFERROR(IF(ISNUMBER(SEARCH(Assumptions!$C$5,D3784)),Assumptions!$D$5,IF(ISNUMBER(SEARCH(Assumptions!$C$6,D3784)),Assumptions!$D$6,IF(ISNUMBER(SEARCH(Assumptions!$C$7,D3784)),Assumptions!$D$7,"Other Services"))),"Other Services"))</f>
        <v/>
      </c>
    </row>
    <row r="3785" customFormat="false" ht="15" hidden="false" customHeight="false" outlineLevel="0" collapsed="false">
      <c r="J3785" s="41" t="str">
        <f aca="false">IF(D3785="","",IFERROR(IF(ISNUMBER(SEARCH(Assumptions!$C$5,D3785)),Assumptions!$D$5,IF(ISNUMBER(SEARCH(Assumptions!$C$6,D3785)),Assumptions!$D$6,IF(ISNUMBER(SEARCH(Assumptions!$C$7,D3785)),Assumptions!$D$7,"Other Services"))),"Other Services"))</f>
        <v/>
      </c>
    </row>
    <row r="3786" customFormat="false" ht="15" hidden="false" customHeight="false" outlineLevel="0" collapsed="false">
      <c r="J3786" s="41" t="str">
        <f aca="false">IF(D3786="","",IFERROR(IF(ISNUMBER(SEARCH(Assumptions!$C$5,D3786)),Assumptions!$D$5,IF(ISNUMBER(SEARCH(Assumptions!$C$6,D3786)),Assumptions!$D$6,IF(ISNUMBER(SEARCH(Assumptions!$C$7,D3786)),Assumptions!$D$7,"Other Services"))),"Other Services"))</f>
        <v/>
      </c>
    </row>
    <row r="3787" customFormat="false" ht="15" hidden="false" customHeight="false" outlineLevel="0" collapsed="false">
      <c r="J3787" s="41" t="str">
        <f aca="false">IF(D3787="","",IFERROR(IF(ISNUMBER(SEARCH(Assumptions!$C$5,D3787)),Assumptions!$D$5,IF(ISNUMBER(SEARCH(Assumptions!$C$6,D3787)),Assumptions!$D$6,IF(ISNUMBER(SEARCH(Assumptions!$C$7,D3787)),Assumptions!$D$7,"Other Services"))),"Other Services"))</f>
        <v/>
      </c>
    </row>
    <row r="3788" customFormat="false" ht="15" hidden="false" customHeight="false" outlineLevel="0" collapsed="false">
      <c r="J3788" s="41" t="str">
        <f aca="false">IF(D3788="","",IFERROR(IF(ISNUMBER(SEARCH(Assumptions!$C$5,D3788)),Assumptions!$D$5,IF(ISNUMBER(SEARCH(Assumptions!$C$6,D3788)),Assumptions!$D$6,IF(ISNUMBER(SEARCH(Assumptions!$C$7,D3788)),Assumptions!$D$7,"Other Services"))),"Other Services"))</f>
        <v/>
      </c>
    </row>
    <row r="3789" customFormat="false" ht="15" hidden="false" customHeight="false" outlineLevel="0" collapsed="false">
      <c r="J3789" s="41" t="str">
        <f aca="false">IF(D3789="","",IFERROR(IF(ISNUMBER(SEARCH(Assumptions!$C$5,D3789)),Assumptions!$D$5,IF(ISNUMBER(SEARCH(Assumptions!$C$6,D3789)),Assumptions!$D$6,IF(ISNUMBER(SEARCH(Assumptions!$C$7,D3789)),Assumptions!$D$7,"Other Services"))),"Other Services"))</f>
        <v/>
      </c>
    </row>
    <row r="3790" customFormat="false" ht="15" hidden="false" customHeight="false" outlineLevel="0" collapsed="false">
      <c r="J3790" s="41" t="str">
        <f aca="false">IF(D3790="","",IFERROR(IF(ISNUMBER(SEARCH(Assumptions!$C$5,D3790)),Assumptions!$D$5,IF(ISNUMBER(SEARCH(Assumptions!$C$6,D3790)),Assumptions!$D$6,IF(ISNUMBER(SEARCH(Assumptions!$C$7,D3790)),Assumptions!$D$7,"Other Services"))),"Other Services"))</f>
        <v/>
      </c>
    </row>
    <row r="3791" customFormat="false" ht="15" hidden="false" customHeight="false" outlineLevel="0" collapsed="false">
      <c r="J3791" s="41" t="str">
        <f aca="false">IF(D3791="","",IFERROR(IF(ISNUMBER(SEARCH(Assumptions!$C$5,D3791)),Assumptions!$D$5,IF(ISNUMBER(SEARCH(Assumptions!$C$6,D3791)),Assumptions!$D$6,IF(ISNUMBER(SEARCH(Assumptions!$C$7,D3791)),Assumptions!$D$7,"Other Services"))),"Other Services"))</f>
        <v/>
      </c>
    </row>
    <row r="3792" customFormat="false" ht="15" hidden="false" customHeight="false" outlineLevel="0" collapsed="false">
      <c r="J3792" s="41" t="str">
        <f aca="false">IF(D3792="","",IFERROR(IF(ISNUMBER(SEARCH(Assumptions!$C$5,D3792)),Assumptions!$D$5,IF(ISNUMBER(SEARCH(Assumptions!$C$6,D3792)),Assumptions!$D$6,IF(ISNUMBER(SEARCH(Assumptions!$C$7,D3792)),Assumptions!$D$7,"Other Services"))),"Other Services"))</f>
        <v/>
      </c>
    </row>
    <row r="3793" customFormat="false" ht="15" hidden="false" customHeight="false" outlineLevel="0" collapsed="false">
      <c r="J3793" s="41" t="str">
        <f aca="false">IF(D3793="","",IFERROR(IF(ISNUMBER(SEARCH(Assumptions!$C$5,D3793)),Assumptions!$D$5,IF(ISNUMBER(SEARCH(Assumptions!$C$6,D3793)),Assumptions!$D$6,IF(ISNUMBER(SEARCH(Assumptions!$C$7,D3793)),Assumptions!$D$7,"Other Services"))),"Other Services"))</f>
        <v/>
      </c>
    </row>
    <row r="3794" customFormat="false" ht="15" hidden="false" customHeight="false" outlineLevel="0" collapsed="false">
      <c r="J3794" s="41" t="str">
        <f aca="false">IF(D3794="","",IFERROR(IF(ISNUMBER(SEARCH(Assumptions!$C$5,D3794)),Assumptions!$D$5,IF(ISNUMBER(SEARCH(Assumptions!$C$6,D3794)),Assumptions!$D$6,IF(ISNUMBER(SEARCH(Assumptions!$C$7,D3794)),Assumptions!$D$7,"Other Services"))),"Other Services"))</f>
        <v/>
      </c>
    </row>
    <row r="3795" customFormat="false" ht="15" hidden="false" customHeight="false" outlineLevel="0" collapsed="false">
      <c r="J3795" s="41" t="str">
        <f aca="false">IF(D3795="","",IFERROR(IF(ISNUMBER(SEARCH(Assumptions!$C$5,D3795)),Assumptions!$D$5,IF(ISNUMBER(SEARCH(Assumptions!$C$6,D3795)),Assumptions!$D$6,IF(ISNUMBER(SEARCH(Assumptions!$C$7,D3795)),Assumptions!$D$7,"Other Services"))),"Other Services"))</f>
        <v/>
      </c>
    </row>
    <row r="3796" customFormat="false" ht="15" hidden="false" customHeight="false" outlineLevel="0" collapsed="false">
      <c r="J3796" s="41" t="str">
        <f aca="false">IF(D3796="","",IFERROR(IF(ISNUMBER(SEARCH(Assumptions!$C$5,D3796)),Assumptions!$D$5,IF(ISNUMBER(SEARCH(Assumptions!$C$6,D3796)),Assumptions!$D$6,IF(ISNUMBER(SEARCH(Assumptions!$C$7,D3796)),Assumptions!$D$7,"Other Services"))),"Other Services"))</f>
        <v/>
      </c>
    </row>
    <row r="3797" customFormat="false" ht="15" hidden="false" customHeight="false" outlineLevel="0" collapsed="false">
      <c r="J3797" s="41" t="str">
        <f aca="false">IF(D3797="","",IFERROR(IF(ISNUMBER(SEARCH(Assumptions!$C$5,D3797)),Assumptions!$D$5,IF(ISNUMBER(SEARCH(Assumptions!$C$6,D3797)),Assumptions!$D$6,IF(ISNUMBER(SEARCH(Assumptions!$C$7,D3797)),Assumptions!$D$7,"Other Services"))),"Other Services"))</f>
        <v/>
      </c>
    </row>
    <row r="3798" customFormat="false" ht="15" hidden="false" customHeight="false" outlineLevel="0" collapsed="false">
      <c r="J3798" s="41" t="str">
        <f aca="false">IF(D3798="","",IFERROR(IF(ISNUMBER(SEARCH(Assumptions!$C$5,D3798)),Assumptions!$D$5,IF(ISNUMBER(SEARCH(Assumptions!$C$6,D3798)),Assumptions!$D$6,IF(ISNUMBER(SEARCH(Assumptions!$C$7,D3798)),Assumptions!$D$7,"Other Services"))),"Other Services"))</f>
        <v/>
      </c>
    </row>
    <row r="3799" customFormat="false" ht="15" hidden="false" customHeight="false" outlineLevel="0" collapsed="false">
      <c r="J3799" s="41" t="str">
        <f aca="false">IF(D3799="","",IFERROR(IF(ISNUMBER(SEARCH(Assumptions!$C$5,D3799)),Assumptions!$D$5,IF(ISNUMBER(SEARCH(Assumptions!$C$6,D3799)),Assumptions!$D$6,IF(ISNUMBER(SEARCH(Assumptions!$C$7,D3799)),Assumptions!$D$7,"Other Services"))),"Other Services"))</f>
        <v/>
      </c>
    </row>
    <row r="3800" customFormat="false" ht="15" hidden="false" customHeight="false" outlineLevel="0" collapsed="false">
      <c r="J3800" s="41" t="str">
        <f aca="false">IF(D3800="","",IFERROR(IF(ISNUMBER(SEARCH(Assumptions!$C$5,D3800)),Assumptions!$D$5,IF(ISNUMBER(SEARCH(Assumptions!$C$6,D3800)),Assumptions!$D$6,IF(ISNUMBER(SEARCH(Assumptions!$C$7,D3800)),Assumptions!$D$7,"Other Services"))),"Other Services"))</f>
        <v/>
      </c>
    </row>
    <row r="3801" customFormat="false" ht="15" hidden="false" customHeight="false" outlineLevel="0" collapsed="false">
      <c r="J3801" s="41" t="str">
        <f aca="false">IF(D3801="","",IFERROR(IF(ISNUMBER(SEARCH(Assumptions!$C$5,D3801)),Assumptions!$D$5,IF(ISNUMBER(SEARCH(Assumptions!$C$6,D3801)),Assumptions!$D$6,IF(ISNUMBER(SEARCH(Assumptions!$C$7,D3801)),Assumptions!$D$7,"Other Services"))),"Other Services"))</f>
        <v/>
      </c>
    </row>
    <row r="3802" customFormat="false" ht="15" hidden="false" customHeight="false" outlineLevel="0" collapsed="false">
      <c r="J3802" s="41" t="str">
        <f aca="false">IF(D3802="","",IFERROR(IF(ISNUMBER(SEARCH(Assumptions!$C$5,D3802)),Assumptions!$D$5,IF(ISNUMBER(SEARCH(Assumptions!$C$6,D3802)),Assumptions!$D$6,IF(ISNUMBER(SEARCH(Assumptions!$C$7,D3802)),Assumptions!$D$7,"Other Services"))),"Other Services"))</f>
        <v/>
      </c>
    </row>
    <row r="3803" customFormat="false" ht="15" hidden="false" customHeight="false" outlineLevel="0" collapsed="false">
      <c r="J3803" s="41" t="str">
        <f aca="false">IF(D3803="","",IFERROR(IF(ISNUMBER(SEARCH(Assumptions!$C$5,D3803)),Assumptions!$D$5,IF(ISNUMBER(SEARCH(Assumptions!$C$6,D3803)),Assumptions!$D$6,IF(ISNUMBER(SEARCH(Assumptions!$C$7,D3803)),Assumptions!$D$7,"Other Services"))),"Other Services"))</f>
        <v/>
      </c>
    </row>
    <row r="3804" customFormat="false" ht="15" hidden="false" customHeight="false" outlineLevel="0" collapsed="false">
      <c r="J3804" s="41" t="str">
        <f aca="false">IF(D3804="","",IFERROR(IF(ISNUMBER(SEARCH(Assumptions!$C$5,D3804)),Assumptions!$D$5,IF(ISNUMBER(SEARCH(Assumptions!$C$6,D3804)),Assumptions!$D$6,IF(ISNUMBER(SEARCH(Assumptions!$C$7,D3804)),Assumptions!$D$7,"Other Services"))),"Other Services"))</f>
        <v/>
      </c>
    </row>
    <row r="3805" customFormat="false" ht="15" hidden="false" customHeight="false" outlineLevel="0" collapsed="false">
      <c r="J3805" s="41" t="str">
        <f aca="false">IF(D3805="","",IFERROR(IF(ISNUMBER(SEARCH(Assumptions!$C$5,D3805)),Assumptions!$D$5,IF(ISNUMBER(SEARCH(Assumptions!$C$6,D3805)),Assumptions!$D$6,IF(ISNUMBER(SEARCH(Assumptions!$C$7,D3805)),Assumptions!$D$7,"Other Services"))),"Other Services"))</f>
        <v/>
      </c>
    </row>
    <row r="3806" customFormat="false" ht="15" hidden="false" customHeight="false" outlineLevel="0" collapsed="false">
      <c r="J3806" s="41" t="str">
        <f aca="false">IF(D3806="","",IFERROR(IF(ISNUMBER(SEARCH(Assumptions!$C$5,D3806)),Assumptions!$D$5,IF(ISNUMBER(SEARCH(Assumptions!$C$6,D3806)),Assumptions!$D$6,IF(ISNUMBER(SEARCH(Assumptions!$C$7,D3806)),Assumptions!$D$7,"Other Services"))),"Other Services"))</f>
        <v/>
      </c>
    </row>
    <row r="3807" customFormat="false" ht="15" hidden="false" customHeight="false" outlineLevel="0" collapsed="false">
      <c r="J3807" s="41" t="str">
        <f aca="false">IF(D3807="","",IFERROR(IF(ISNUMBER(SEARCH(Assumptions!$C$5,D3807)),Assumptions!$D$5,IF(ISNUMBER(SEARCH(Assumptions!$C$6,D3807)),Assumptions!$D$6,IF(ISNUMBER(SEARCH(Assumptions!$C$7,D3807)),Assumptions!$D$7,"Other Services"))),"Other Services"))</f>
        <v/>
      </c>
    </row>
    <row r="3808" customFormat="false" ht="15" hidden="false" customHeight="false" outlineLevel="0" collapsed="false">
      <c r="J3808" s="41" t="str">
        <f aca="false">IF(D3808="","",IFERROR(IF(ISNUMBER(SEARCH(Assumptions!$C$5,D3808)),Assumptions!$D$5,IF(ISNUMBER(SEARCH(Assumptions!$C$6,D3808)),Assumptions!$D$6,IF(ISNUMBER(SEARCH(Assumptions!$C$7,D3808)),Assumptions!$D$7,"Other Services"))),"Other Services"))</f>
        <v/>
      </c>
    </row>
    <row r="3809" customFormat="false" ht="15" hidden="false" customHeight="false" outlineLevel="0" collapsed="false">
      <c r="J3809" s="41" t="str">
        <f aca="false">IF(D3809="","",IFERROR(IF(ISNUMBER(SEARCH(Assumptions!$C$5,D3809)),Assumptions!$D$5,IF(ISNUMBER(SEARCH(Assumptions!$C$6,D3809)),Assumptions!$D$6,IF(ISNUMBER(SEARCH(Assumptions!$C$7,D3809)),Assumptions!$D$7,"Other Services"))),"Other Services"))</f>
        <v/>
      </c>
    </row>
    <row r="3810" customFormat="false" ht="15" hidden="false" customHeight="false" outlineLevel="0" collapsed="false">
      <c r="J3810" s="41" t="str">
        <f aca="false">IF(D3810="","",IFERROR(IF(ISNUMBER(SEARCH(Assumptions!$C$5,D3810)),Assumptions!$D$5,IF(ISNUMBER(SEARCH(Assumptions!$C$6,D3810)),Assumptions!$D$6,IF(ISNUMBER(SEARCH(Assumptions!$C$7,D3810)),Assumptions!$D$7,"Other Services"))),"Other Services"))</f>
        <v/>
      </c>
    </row>
    <row r="3811" customFormat="false" ht="15" hidden="false" customHeight="false" outlineLevel="0" collapsed="false">
      <c r="J3811" s="41" t="str">
        <f aca="false">IF(D3811="","",IFERROR(IF(ISNUMBER(SEARCH(Assumptions!$C$5,D3811)),Assumptions!$D$5,IF(ISNUMBER(SEARCH(Assumptions!$C$6,D3811)),Assumptions!$D$6,IF(ISNUMBER(SEARCH(Assumptions!$C$7,D3811)),Assumptions!$D$7,"Other Services"))),"Other Services"))</f>
        <v/>
      </c>
    </row>
    <row r="3812" customFormat="false" ht="15" hidden="false" customHeight="false" outlineLevel="0" collapsed="false">
      <c r="J3812" s="41" t="str">
        <f aca="false">IF(D3812="","",IFERROR(IF(ISNUMBER(SEARCH(Assumptions!$C$5,D3812)),Assumptions!$D$5,IF(ISNUMBER(SEARCH(Assumptions!$C$6,D3812)),Assumptions!$D$6,IF(ISNUMBER(SEARCH(Assumptions!$C$7,D3812)),Assumptions!$D$7,"Other Services"))),"Other Services"))</f>
        <v/>
      </c>
    </row>
    <row r="3813" customFormat="false" ht="15" hidden="false" customHeight="false" outlineLevel="0" collapsed="false">
      <c r="J3813" s="41" t="str">
        <f aca="false">IF(D3813="","",IFERROR(IF(ISNUMBER(SEARCH(Assumptions!$C$5,D3813)),Assumptions!$D$5,IF(ISNUMBER(SEARCH(Assumptions!$C$6,D3813)),Assumptions!$D$6,IF(ISNUMBER(SEARCH(Assumptions!$C$7,D3813)),Assumptions!$D$7,"Other Services"))),"Other Services"))</f>
        <v/>
      </c>
    </row>
    <row r="3814" customFormat="false" ht="15" hidden="false" customHeight="false" outlineLevel="0" collapsed="false">
      <c r="J3814" s="41" t="str">
        <f aca="false">IF(D3814="","",IFERROR(IF(ISNUMBER(SEARCH(Assumptions!$C$5,D3814)),Assumptions!$D$5,IF(ISNUMBER(SEARCH(Assumptions!$C$6,D3814)),Assumptions!$D$6,IF(ISNUMBER(SEARCH(Assumptions!$C$7,D3814)),Assumptions!$D$7,"Other Services"))),"Other Services"))</f>
        <v/>
      </c>
    </row>
    <row r="3815" customFormat="false" ht="15" hidden="false" customHeight="false" outlineLevel="0" collapsed="false">
      <c r="J3815" s="41" t="str">
        <f aca="false">IF(D3815="","",IFERROR(IF(ISNUMBER(SEARCH(Assumptions!$C$5,D3815)),Assumptions!$D$5,IF(ISNUMBER(SEARCH(Assumptions!$C$6,D3815)),Assumptions!$D$6,IF(ISNUMBER(SEARCH(Assumptions!$C$7,D3815)),Assumptions!$D$7,"Other Services"))),"Other Services"))</f>
        <v/>
      </c>
    </row>
    <row r="3816" customFormat="false" ht="15" hidden="false" customHeight="false" outlineLevel="0" collapsed="false">
      <c r="J3816" s="41" t="str">
        <f aca="false">IF(D3816="","",IFERROR(IF(ISNUMBER(SEARCH(Assumptions!$C$5,D3816)),Assumptions!$D$5,IF(ISNUMBER(SEARCH(Assumptions!$C$6,D3816)),Assumptions!$D$6,IF(ISNUMBER(SEARCH(Assumptions!$C$7,D3816)),Assumptions!$D$7,"Other Services"))),"Other Services"))</f>
        <v/>
      </c>
    </row>
    <row r="3817" customFormat="false" ht="15" hidden="false" customHeight="false" outlineLevel="0" collapsed="false">
      <c r="J3817" s="41" t="str">
        <f aca="false">IF(D3817="","",IFERROR(IF(ISNUMBER(SEARCH(Assumptions!$C$5,D3817)),Assumptions!$D$5,IF(ISNUMBER(SEARCH(Assumptions!$C$6,D3817)),Assumptions!$D$6,IF(ISNUMBER(SEARCH(Assumptions!$C$7,D3817)),Assumptions!$D$7,"Other Services"))),"Other Services"))</f>
        <v/>
      </c>
    </row>
    <row r="3818" customFormat="false" ht="15" hidden="false" customHeight="false" outlineLevel="0" collapsed="false">
      <c r="J3818" s="41" t="str">
        <f aca="false">IF(D3818="","",IFERROR(IF(ISNUMBER(SEARCH(Assumptions!$C$5,D3818)),Assumptions!$D$5,IF(ISNUMBER(SEARCH(Assumptions!$C$6,D3818)),Assumptions!$D$6,IF(ISNUMBER(SEARCH(Assumptions!$C$7,D3818)),Assumptions!$D$7,"Other Services"))),"Other Services"))</f>
        <v/>
      </c>
    </row>
    <row r="3819" customFormat="false" ht="15" hidden="false" customHeight="false" outlineLevel="0" collapsed="false">
      <c r="J3819" s="41" t="str">
        <f aca="false">IF(D3819="","",IFERROR(IF(ISNUMBER(SEARCH(Assumptions!$C$5,D3819)),Assumptions!$D$5,IF(ISNUMBER(SEARCH(Assumptions!$C$6,D3819)),Assumptions!$D$6,IF(ISNUMBER(SEARCH(Assumptions!$C$7,D3819)),Assumptions!$D$7,"Other Services"))),"Other Services"))</f>
        <v/>
      </c>
    </row>
    <row r="3820" customFormat="false" ht="15" hidden="false" customHeight="false" outlineLevel="0" collapsed="false">
      <c r="J3820" s="41" t="str">
        <f aca="false">IF(D3820="","",IFERROR(IF(ISNUMBER(SEARCH(Assumptions!$C$5,D3820)),Assumptions!$D$5,IF(ISNUMBER(SEARCH(Assumptions!$C$6,D3820)),Assumptions!$D$6,IF(ISNUMBER(SEARCH(Assumptions!$C$7,D3820)),Assumptions!$D$7,"Other Services"))),"Other Services"))</f>
        <v/>
      </c>
    </row>
    <row r="3821" customFormat="false" ht="15" hidden="false" customHeight="false" outlineLevel="0" collapsed="false">
      <c r="J3821" s="41" t="str">
        <f aca="false">IF(D3821="","",IFERROR(IF(ISNUMBER(SEARCH(Assumptions!$C$5,D3821)),Assumptions!$D$5,IF(ISNUMBER(SEARCH(Assumptions!$C$6,D3821)),Assumptions!$D$6,IF(ISNUMBER(SEARCH(Assumptions!$C$7,D3821)),Assumptions!$D$7,"Other Services"))),"Other Services"))</f>
        <v/>
      </c>
    </row>
    <row r="3822" customFormat="false" ht="15" hidden="false" customHeight="false" outlineLevel="0" collapsed="false">
      <c r="J3822" s="41" t="str">
        <f aca="false">IF(D3822="","",IFERROR(IF(ISNUMBER(SEARCH(Assumptions!$C$5,D3822)),Assumptions!$D$5,IF(ISNUMBER(SEARCH(Assumptions!$C$6,D3822)),Assumptions!$D$6,IF(ISNUMBER(SEARCH(Assumptions!$C$7,D3822)),Assumptions!$D$7,"Other Services"))),"Other Services"))</f>
        <v/>
      </c>
    </row>
    <row r="3823" customFormat="false" ht="15" hidden="false" customHeight="false" outlineLevel="0" collapsed="false">
      <c r="J3823" s="41" t="str">
        <f aca="false">IF(D3823="","",IFERROR(IF(ISNUMBER(SEARCH(Assumptions!$C$5,D3823)),Assumptions!$D$5,IF(ISNUMBER(SEARCH(Assumptions!$C$6,D3823)),Assumptions!$D$6,IF(ISNUMBER(SEARCH(Assumptions!$C$7,D3823)),Assumptions!$D$7,"Other Services"))),"Other Services"))</f>
        <v/>
      </c>
    </row>
    <row r="3824" customFormat="false" ht="15" hidden="false" customHeight="false" outlineLevel="0" collapsed="false">
      <c r="J3824" s="41" t="str">
        <f aca="false">IF(D3824="","",IFERROR(IF(ISNUMBER(SEARCH(Assumptions!$C$5,D3824)),Assumptions!$D$5,IF(ISNUMBER(SEARCH(Assumptions!$C$6,D3824)),Assumptions!$D$6,IF(ISNUMBER(SEARCH(Assumptions!$C$7,D3824)),Assumptions!$D$7,"Other Services"))),"Other Services"))</f>
        <v/>
      </c>
    </row>
    <row r="3825" customFormat="false" ht="15" hidden="false" customHeight="false" outlineLevel="0" collapsed="false">
      <c r="J3825" s="41" t="str">
        <f aca="false">IF(D3825="","",IFERROR(IF(ISNUMBER(SEARCH(Assumptions!$C$5,D3825)),Assumptions!$D$5,IF(ISNUMBER(SEARCH(Assumptions!$C$6,D3825)),Assumptions!$D$6,IF(ISNUMBER(SEARCH(Assumptions!$C$7,D3825)),Assumptions!$D$7,"Other Services"))),"Other Services"))</f>
        <v/>
      </c>
    </row>
    <row r="3826" customFormat="false" ht="15" hidden="false" customHeight="false" outlineLevel="0" collapsed="false">
      <c r="J3826" s="41" t="str">
        <f aca="false">IF(D3826="","",IFERROR(IF(ISNUMBER(SEARCH(Assumptions!$C$5,D3826)),Assumptions!$D$5,IF(ISNUMBER(SEARCH(Assumptions!$C$6,D3826)),Assumptions!$D$6,IF(ISNUMBER(SEARCH(Assumptions!$C$7,D3826)),Assumptions!$D$7,"Other Services"))),"Other Services"))</f>
        <v/>
      </c>
    </row>
    <row r="3827" customFormat="false" ht="15" hidden="false" customHeight="false" outlineLevel="0" collapsed="false">
      <c r="J3827" s="41" t="str">
        <f aca="false">IF(D3827="","",IFERROR(IF(ISNUMBER(SEARCH(Assumptions!$C$5,D3827)),Assumptions!$D$5,IF(ISNUMBER(SEARCH(Assumptions!$C$6,D3827)),Assumptions!$D$6,IF(ISNUMBER(SEARCH(Assumptions!$C$7,D3827)),Assumptions!$D$7,"Other Services"))),"Other Services"))</f>
        <v/>
      </c>
    </row>
    <row r="3828" customFormat="false" ht="15" hidden="false" customHeight="false" outlineLevel="0" collapsed="false">
      <c r="J3828" s="41" t="str">
        <f aca="false">IF(D3828="","",IFERROR(IF(ISNUMBER(SEARCH(Assumptions!$C$5,D3828)),Assumptions!$D$5,IF(ISNUMBER(SEARCH(Assumptions!$C$6,D3828)),Assumptions!$D$6,IF(ISNUMBER(SEARCH(Assumptions!$C$7,D3828)),Assumptions!$D$7,"Other Services"))),"Other Services"))</f>
        <v/>
      </c>
    </row>
    <row r="3829" customFormat="false" ht="15" hidden="false" customHeight="false" outlineLevel="0" collapsed="false">
      <c r="J3829" s="41" t="str">
        <f aca="false">IF(D3829="","",IFERROR(IF(ISNUMBER(SEARCH(Assumptions!$C$5,D3829)),Assumptions!$D$5,IF(ISNUMBER(SEARCH(Assumptions!$C$6,D3829)),Assumptions!$D$6,IF(ISNUMBER(SEARCH(Assumptions!$C$7,D3829)),Assumptions!$D$7,"Other Services"))),"Other Services"))</f>
        <v/>
      </c>
    </row>
    <row r="3830" customFormat="false" ht="15" hidden="false" customHeight="false" outlineLevel="0" collapsed="false">
      <c r="J3830" s="41" t="str">
        <f aca="false">IF(D3830="","",IFERROR(IF(ISNUMBER(SEARCH(Assumptions!$C$5,D3830)),Assumptions!$D$5,IF(ISNUMBER(SEARCH(Assumptions!$C$6,D3830)),Assumptions!$D$6,IF(ISNUMBER(SEARCH(Assumptions!$C$7,D3830)),Assumptions!$D$7,"Other Services"))),"Other Services"))</f>
        <v/>
      </c>
    </row>
    <row r="3831" customFormat="false" ht="15" hidden="false" customHeight="false" outlineLevel="0" collapsed="false">
      <c r="J3831" s="41" t="str">
        <f aca="false">IF(D3831="","",IFERROR(IF(ISNUMBER(SEARCH(Assumptions!$C$5,D3831)),Assumptions!$D$5,IF(ISNUMBER(SEARCH(Assumptions!$C$6,D3831)),Assumptions!$D$6,IF(ISNUMBER(SEARCH(Assumptions!$C$7,D3831)),Assumptions!$D$7,"Other Services"))),"Other Services"))</f>
        <v/>
      </c>
    </row>
    <row r="3832" customFormat="false" ht="15" hidden="false" customHeight="false" outlineLevel="0" collapsed="false">
      <c r="J3832" s="41" t="str">
        <f aca="false">IF(D3832="","",IFERROR(IF(ISNUMBER(SEARCH(Assumptions!$C$5,D3832)),Assumptions!$D$5,IF(ISNUMBER(SEARCH(Assumptions!$C$6,D3832)),Assumptions!$D$6,IF(ISNUMBER(SEARCH(Assumptions!$C$7,D3832)),Assumptions!$D$7,"Other Services"))),"Other Services"))</f>
        <v/>
      </c>
    </row>
    <row r="3833" customFormat="false" ht="15" hidden="false" customHeight="false" outlineLevel="0" collapsed="false">
      <c r="J3833" s="41" t="str">
        <f aca="false">IF(D3833="","",IFERROR(IF(ISNUMBER(SEARCH(Assumptions!$C$5,D3833)),Assumptions!$D$5,IF(ISNUMBER(SEARCH(Assumptions!$C$6,D3833)),Assumptions!$D$6,IF(ISNUMBER(SEARCH(Assumptions!$C$7,D3833)),Assumptions!$D$7,"Other Services"))),"Other Services"))</f>
        <v/>
      </c>
    </row>
    <row r="3834" customFormat="false" ht="15" hidden="false" customHeight="false" outlineLevel="0" collapsed="false">
      <c r="J3834" s="41" t="str">
        <f aca="false">IF(D3834="","",IFERROR(IF(ISNUMBER(SEARCH(Assumptions!$C$5,D3834)),Assumptions!$D$5,IF(ISNUMBER(SEARCH(Assumptions!$C$6,D3834)),Assumptions!$D$6,IF(ISNUMBER(SEARCH(Assumptions!$C$7,D3834)),Assumptions!$D$7,"Other Services"))),"Other Services"))</f>
        <v/>
      </c>
    </row>
    <row r="3835" customFormat="false" ht="15" hidden="false" customHeight="false" outlineLevel="0" collapsed="false">
      <c r="J3835" s="41" t="str">
        <f aca="false">IF(D3835="","",IFERROR(IF(ISNUMBER(SEARCH(Assumptions!$C$5,D3835)),Assumptions!$D$5,IF(ISNUMBER(SEARCH(Assumptions!$C$6,D3835)),Assumptions!$D$6,IF(ISNUMBER(SEARCH(Assumptions!$C$7,D3835)),Assumptions!$D$7,"Other Services"))),"Other Services"))</f>
        <v/>
      </c>
    </row>
    <row r="3836" customFormat="false" ht="15" hidden="false" customHeight="false" outlineLevel="0" collapsed="false">
      <c r="J3836" s="41" t="str">
        <f aca="false">IF(D3836="","",IFERROR(IF(ISNUMBER(SEARCH(Assumptions!$C$5,D3836)),Assumptions!$D$5,IF(ISNUMBER(SEARCH(Assumptions!$C$6,D3836)),Assumptions!$D$6,IF(ISNUMBER(SEARCH(Assumptions!$C$7,D3836)),Assumptions!$D$7,"Other Services"))),"Other Services"))</f>
        <v/>
      </c>
    </row>
    <row r="3837" customFormat="false" ht="15" hidden="false" customHeight="false" outlineLevel="0" collapsed="false">
      <c r="J3837" s="41" t="str">
        <f aca="false">IF(D3837="","",IFERROR(IF(ISNUMBER(SEARCH(Assumptions!$C$5,D3837)),Assumptions!$D$5,IF(ISNUMBER(SEARCH(Assumptions!$C$6,D3837)),Assumptions!$D$6,IF(ISNUMBER(SEARCH(Assumptions!$C$7,D3837)),Assumptions!$D$7,"Other Services"))),"Other Services"))</f>
        <v/>
      </c>
    </row>
    <row r="3838" customFormat="false" ht="15" hidden="false" customHeight="false" outlineLevel="0" collapsed="false">
      <c r="J3838" s="41" t="str">
        <f aca="false">IF(D3838="","",IFERROR(IF(ISNUMBER(SEARCH(Assumptions!$C$5,D3838)),Assumptions!$D$5,IF(ISNUMBER(SEARCH(Assumptions!$C$6,D3838)),Assumptions!$D$6,IF(ISNUMBER(SEARCH(Assumptions!$C$7,D3838)),Assumptions!$D$7,"Other Services"))),"Other Services"))</f>
        <v/>
      </c>
    </row>
    <row r="3839" customFormat="false" ht="15" hidden="false" customHeight="false" outlineLevel="0" collapsed="false">
      <c r="J3839" s="41" t="str">
        <f aca="false">IF(D3839="","",IFERROR(IF(ISNUMBER(SEARCH(Assumptions!$C$5,D3839)),Assumptions!$D$5,IF(ISNUMBER(SEARCH(Assumptions!$C$6,D3839)),Assumptions!$D$6,IF(ISNUMBER(SEARCH(Assumptions!$C$7,D3839)),Assumptions!$D$7,"Other Services"))),"Other Services"))</f>
        <v/>
      </c>
    </row>
    <row r="3840" customFormat="false" ht="15" hidden="false" customHeight="false" outlineLevel="0" collapsed="false">
      <c r="J3840" s="41" t="str">
        <f aca="false">IF(D3840="","",IFERROR(IF(ISNUMBER(SEARCH(Assumptions!$C$5,D3840)),Assumptions!$D$5,IF(ISNUMBER(SEARCH(Assumptions!$C$6,D3840)),Assumptions!$D$6,IF(ISNUMBER(SEARCH(Assumptions!$C$7,D3840)),Assumptions!$D$7,"Other Services"))),"Other Services"))</f>
        <v/>
      </c>
    </row>
    <row r="3841" customFormat="false" ht="15" hidden="false" customHeight="false" outlineLevel="0" collapsed="false">
      <c r="J3841" s="41" t="str">
        <f aca="false">IF(D3841="","",IFERROR(IF(ISNUMBER(SEARCH(Assumptions!$C$5,D3841)),Assumptions!$D$5,IF(ISNUMBER(SEARCH(Assumptions!$C$6,D3841)),Assumptions!$D$6,IF(ISNUMBER(SEARCH(Assumptions!$C$7,D3841)),Assumptions!$D$7,"Other Services"))),"Other Services"))</f>
        <v/>
      </c>
    </row>
    <row r="3842" customFormat="false" ht="15" hidden="false" customHeight="false" outlineLevel="0" collapsed="false">
      <c r="J3842" s="41" t="str">
        <f aca="false">IF(D3842="","",IFERROR(IF(ISNUMBER(SEARCH(Assumptions!$C$5,D3842)),Assumptions!$D$5,IF(ISNUMBER(SEARCH(Assumptions!$C$6,D3842)),Assumptions!$D$6,IF(ISNUMBER(SEARCH(Assumptions!$C$7,D3842)),Assumptions!$D$7,"Other Services"))),"Other Services"))</f>
        <v/>
      </c>
    </row>
    <row r="3843" customFormat="false" ht="15" hidden="false" customHeight="false" outlineLevel="0" collapsed="false">
      <c r="J3843" s="41" t="str">
        <f aca="false">IF(D3843="","",IFERROR(IF(ISNUMBER(SEARCH(Assumptions!$C$5,D3843)),Assumptions!$D$5,IF(ISNUMBER(SEARCH(Assumptions!$C$6,D3843)),Assumptions!$D$6,IF(ISNUMBER(SEARCH(Assumptions!$C$7,D3843)),Assumptions!$D$7,"Other Services"))),"Other Services"))</f>
        <v/>
      </c>
    </row>
    <row r="3844" customFormat="false" ht="15" hidden="false" customHeight="false" outlineLevel="0" collapsed="false">
      <c r="J3844" s="41" t="str">
        <f aca="false">IF(D3844="","",IFERROR(IF(ISNUMBER(SEARCH(Assumptions!$C$5,D3844)),Assumptions!$D$5,IF(ISNUMBER(SEARCH(Assumptions!$C$6,D3844)),Assumptions!$D$6,IF(ISNUMBER(SEARCH(Assumptions!$C$7,D3844)),Assumptions!$D$7,"Other Services"))),"Other Services"))</f>
        <v/>
      </c>
    </row>
    <row r="3845" customFormat="false" ht="15" hidden="false" customHeight="false" outlineLevel="0" collapsed="false">
      <c r="J3845" s="41" t="str">
        <f aca="false">IF(D3845="","",IFERROR(IF(ISNUMBER(SEARCH(Assumptions!$C$5,D3845)),Assumptions!$D$5,IF(ISNUMBER(SEARCH(Assumptions!$C$6,D3845)),Assumptions!$D$6,IF(ISNUMBER(SEARCH(Assumptions!$C$7,D3845)),Assumptions!$D$7,"Other Services"))),"Other Services"))</f>
        <v/>
      </c>
    </row>
    <row r="3846" customFormat="false" ht="15" hidden="false" customHeight="false" outlineLevel="0" collapsed="false">
      <c r="J3846" s="41" t="str">
        <f aca="false">IF(D3846="","",IFERROR(IF(ISNUMBER(SEARCH(Assumptions!$C$5,D3846)),Assumptions!$D$5,IF(ISNUMBER(SEARCH(Assumptions!$C$6,D3846)),Assumptions!$D$6,IF(ISNUMBER(SEARCH(Assumptions!$C$7,D3846)),Assumptions!$D$7,"Other Services"))),"Other Services"))</f>
        <v/>
      </c>
    </row>
    <row r="3847" customFormat="false" ht="15" hidden="false" customHeight="false" outlineLevel="0" collapsed="false">
      <c r="J3847" s="41" t="str">
        <f aca="false">IF(D3847="","",IFERROR(IF(ISNUMBER(SEARCH(Assumptions!$C$5,D3847)),Assumptions!$D$5,IF(ISNUMBER(SEARCH(Assumptions!$C$6,D3847)),Assumptions!$D$6,IF(ISNUMBER(SEARCH(Assumptions!$C$7,D3847)),Assumptions!$D$7,"Other Services"))),"Other Services"))</f>
        <v/>
      </c>
    </row>
    <row r="3848" customFormat="false" ht="15" hidden="false" customHeight="false" outlineLevel="0" collapsed="false">
      <c r="J3848" s="41" t="str">
        <f aca="false">IF(D3848="","",IFERROR(IF(ISNUMBER(SEARCH(Assumptions!$C$5,D3848)),Assumptions!$D$5,IF(ISNUMBER(SEARCH(Assumptions!$C$6,D3848)),Assumptions!$D$6,IF(ISNUMBER(SEARCH(Assumptions!$C$7,D3848)),Assumptions!$D$7,"Other Services"))),"Other Services"))</f>
        <v/>
      </c>
    </row>
    <row r="3849" customFormat="false" ht="15" hidden="false" customHeight="false" outlineLevel="0" collapsed="false">
      <c r="J3849" s="41" t="str">
        <f aca="false">IF(D3849="","",IFERROR(IF(ISNUMBER(SEARCH(Assumptions!$C$5,D3849)),Assumptions!$D$5,IF(ISNUMBER(SEARCH(Assumptions!$C$6,D3849)),Assumptions!$D$6,IF(ISNUMBER(SEARCH(Assumptions!$C$7,D3849)),Assumptions!$D$7,"Other Services"))),"Other Services"))</f>
        <v/>
      </c>
    </row>
    <row r="3850" customFormat="false" ht="15" hidden="false" customHeight="false" outlineLevel="0" collapsed="false">
      <c r="J3850" s="41" t="str">
        <f aca="false">IF(D3850="","",IFERROR(IF(ISNUMBER(SEARCH(Assumptions!$C$5,D3850)),Assumptions!$D$5,IF(ISNUMBER(SEARCH(Assumptions!$C$6,D3850)),Assumptions!$D$6,IF(ISNUMBER(SEARCH(Assumptions!$C$7,D3850)),Assumptions!$D$7,"Other Services"))),"Other Services"))</f>
        <v/>
      </c>
    </row>
    <row r="3851" customFormat="false" ht="15" hidden="false" customHeight="false" outlineLevel="0" collapsed="false">
      <c r="J3851" s="41" t="str">
        <f aca="false">IF(D3851="","",IFERROR(IF(ISNUMBER(SEARCH(Assumptions!$C$5,D3851)),Assumptions!$D$5,IF(ISNUMBER(SEARCH(Assumptions!$C$6,D3851)),Assumptions!$D$6,IF(ISNUMBER(SEARCH(Assumptions!$C$7,D3851)),Assumptions!$D$7,"Other Services"))),"Other Services"))</f>
        <v/>
      </c>
    </row>
    <row r="3852" customFormat="false" ht="15" hidden="false" customHeight="false" outlineLevel="0" collapsed="false">
      <c r="J3852" s="41" t="str">
        <f aca="false">IF(D3852="","",IFERROR(IF(ISNUMBER(SEARCH(Assumptions!$C$5,D3852)),Assumptions!$D$5,IF(ISNUMBER(SEARCH(Assumptions!$C$6,D3852)),Assumptions!$D$6,IF(ISNUMBER(SEARCH(Assumptions!$C$7,D3852)),Assumptions!$D$7,"Other Services"))),"Other Services"))</f>
        <v/>
      </c>
    </row>
    <row r="3853" customFormat="false" ht="15" hidden="false" customHeight="false" outlineLevel="0" collapsed="false">
      <c r="J3853" s="41" t="str">
        <f aca="false">IF(D3853="","",IFERROR(IF(ISNUMBER(SEARCH(Assumptions!$C$5,D3853)),Assumptions!$D$5,IF(ISNUMBER(SEARCH(Assumptions!$C$6,D3853)),Assumptions!$D$6,IF(ISNUMBER(SEARCH(Assumptions!$C$7,D3853)),Assumptions!$D$7,"Other Services"))),"Other Services"))</f>
        <v/>
      </c>
    </row>
    <row r="3854" customFormat="false" ht="15" hidden="false" customHeight="false" outlineLevel="0" collapsed="false">
      <c r="J3854" s="41" t="str">
        <f aca="false">IF(D3854="","",IFERROR(IF(ISNUMBER(SEARCH(Assumptions!$C$5,D3854)),Assumptions!$D$5,IF(ISNUMBER(SEARCH(Assumptions!$C$6,D3854)),Assumptions!$D$6,IF(ISNUMBER(SEARCH(Assumptions!$C$7,D3854)),Assumptions!$D$7,"Other Services"))),"Other Services"))</f>
        <v/>
      </c>
    </row>
    <row r="3855" customFormat="false" ht="15" hidden="false" customHeight="false" outlineLevel="0" collapsed="false">
      <c r="J3855" s="41" t="str">
        <f aca="false">IF(D3855="","",IFERROR(IF(ISNUMBER(SEARCH(Assumptions!$C$5,D3855)),Assumptions!$D$5,IF(ISNUMBER(SEARCH(Assumptions!$C$6,D3855)),Assumptions!$D$6,IF(ISNUMBER(SEARCH(Assumptions!$C$7,D3855)),Assumptions!$D$7,"Other Services"))),"Other Services"))</f>
        <v/>
      </c>
    </row>
    <row r="3856" customFormat="false" ht="15" hidden="false" customHeight="false" outlineLevel="0" collapsed="false">
      <c r="J3856" s="41" t="str">
        <f aca="false">IF(D3856="","",IFERROR(IF(ISNUMBER(SEARCH(Assumptions!$C$5,D3856)),Assumptions!$D$5,IF(ISNUMBER(SEARCH(Assumptions!$C$6,D3856)),Assumptions!$D$6,IF(ISNUMBER(SEARCH(Assumptions!$C$7,D3856)),Assumptions!$D$7,"Other Services"))),"Other Services"))</f>
        <v/>
      </c>
    </row>
    <row r="3857" customFormat="false" ht="15" hidden="false" customHeight="false" outlineLevel="0" collapsed="false">
      <c r="J3857" s="41" t="str">
        <f aca="false">IF(D3857="","",IFERROR(IF(ISNUMBER(SEARCH(Assumptions!$C$5,D3857)),Assumptions!$D$5,IF(ISNUMBER(SEARCH(Assumptions!$C$6,D3857)),Assumptions!$D$6,IF(ISNUMBER(SEARCH(Assumptions!$C$7,D3857)),Assumptions!$D$7,"Other Services"))),"Other Services"))</f>
        <v/>
      </c>
    </row>
    <row r="3858" customFormat="false" ht="15" hidden="false" customHeight="false" outlineLevel="0" collapsed="false">
      <c r="J3858" s="41" t="str">
        <f aca="false">IF(D3858="","",IFERROR(IF(ISNUMBER(SEARCH(Assumptions!$C$5,D3858)),Assumptions!$D$5,IF(ISNUMBER(SEARCH(Assumptions!$C$6,D3858)),Assumptions!$D$6,IF(ISNUMBER(SEARCH(Assumptions!$C$7,D3858)),Assumptions!$D$7,"Other Services"))),"Other Services"))</f>
        <v/>
      </c>
    </row>
    <row r="3859" customFormat="false" ht="15" hidden="false" customHeight="false" outlineLevel="0" collapsed="false">
      <c r="J3859" s="41" t="str">
        <f aca="false">IF(D3859="","",IFERROR(IF(ISNUMBER(SEARCH(Assumptions!$C$5,D3859)),Assumptions!$D$5,IF(ISNUMBER(SEARCH(Assumptions!$C$6,D3859)),Assumptions!$D$6,IF(ISNUMBER(SEARCH(Assumptions!$C$7,D3859)),Assumptions!$D$7,"Other Services"))),"Other Services"))</f>
        <v/>
      </c>
    </row>
    <row r="3860" customFormat="false" ht="15" hidden="false" customHeight="false" outlineLevel="0" collapsed="false">
      <c r="J3860" s="41" t="str">
        <f aca="false">IF(D3860="","",IFERROR(IF(ISNUMBER(SEARCH(Assumptions!$C$5,D3860)),Assumptions!$D$5,IF(ISNUMBER(SEARCH(Assumptions!$C$6,D3860)),Assumptions!$D$6,IF(ISNUMBER(SEARCH(Assumptions!$C$7,D3860)),Assumptions!$D$7,"Other Services"))),"Other Services"))</f>
        <v/>
      </c>
    </row>
    <row r="3861" customFormat="false" ht="15" hidden="false" customHeight="false" outlineLevel="0" collapsed="false">
      <c r="J3861" s="41" t="str">
        <f aca="false">IF(D3861="","",IFERROR(IF(ISNUMBER(SEARCH(Assumptions!$C$5,D3861)),Assumptions!$D$5,IF(ISNUMBER(SEARCH(Assumptions!$C$6,D3861)),Assumptions!$D$6,IF(ISNUMBER(SEARCH(Assumptions!$C$7,D3861)),Assumptions!$D$7,"Other Services"))),"Other Services"))</f>
        <v/>
      </c>
    </row>
    <row r="3862" customFormat="false" ht="15" hidden="false" customHeight="false" outlineLevel="0" collapsed="false">
      <c r="J3862" s="41" t="str">
        <f aca="false">IF(D3862="","",IFERROR(IF(ISNUMBER(SEARCH(Assumptions!$C$5,D3862)),Assumptions!$D$5,IF(ISNUMBER(SEARCH(Assumptions!$C$6,D3862)),Assumptions!$D$6,IF(ISNUMBER(SEARCH(Assumptions!$C$7,D3862)),Assumptions!$D$7,"Other Services"))),"Other Services"))</f>
        <v/>
      </c>
    </row>
    <row r="3863" customFormat="false" ht="15" hidden="false" customHeight="false" outlineLevel="0" collapsed="false">
      <c r="J3863" s="41" t="str">
        <f aca="false">IF(D3863="","",IFERROR(IF(ISNUMBER(SEARCH(Assumptions!$C$5,D3863)),Assumptions!$D$5,IF(ISNUMBER(SEARCH(Assumptions!$C$6,D3863)),Assumptions!$D$6,IF(ISNUMBER(SEARCH(Assumptions!$C$7,D3863)),Assumptions!$D$7,"Other Services"))),"Other Services"))</f>
        <v/>
      </c>
    </row>
    <row r="3864" customFormat="false" ht="15" hidden="false" customHeight="false" outlineLevel="0" collapsed="false">
      <c r="J3864" s="41" t="str">
        <f aca="false">IF(D3864="","",IFERROR(IF(ISNUMBER(SEARCH(Assumptions!$C$5,D3864)),Assumptions!$D$5,IF(ISNUMBER(SEARCH(Assumptions!$C$6,D3864)),Assumptions!$D$6,IF(ISNUMBER(SEARCH(Assumptions!$C$7,D3864)),Assumptions!$D$7,"Other Services"))),"Other Services"))</f>
        <v/>
      </c>
    </row>
    <row r="3865" customFormat="false" ht="15" hidden="false" customHeight="false" outlineLevel="0" collapsed="false">
      <c r="J3865" s="41" t="str">
        <f aca="false">IF(D3865="","",IFERROR(IF(ISNUMBER(SEARCH(Assumptions!$C$5,D3865)),Assumptions!$D$5,IF(ISNUMBER(SEARCH(Assumptions!$C$6,D3865)),Assumptions!$D$6,IF(ISNUMBER(SEARCH(Assumptions!$C$7,D3865)),Assumptions!$D$7,"Other Services"))),"Other Services"))</f>
        <v/>
      </c>
    </row>
    <row r="3866" customFormat="false" ht="15" hidden="false" customHeight="false" outlineLevel="0" collapsed="false">
      <c r="J3866" s="41" t="str">
        <f aca="false">IF(D3866="","",IFERROR(IF(ISNUMBER(SEARCH(Assumptions!$C$5,D3866)),Assumptions!$D$5,IF(ISNUMBER(SEARCH(Assumptions!$C$6,D3866)),Assumptions!$D$6,IF(ISNUMBER(SEARCH(Assumptions!$C$7,D3866)),Assumptions!$D$7,"Other Services"))),"Other Services"))</f>
        <v/>
      </c>
    </row>
    <row r="3867" customFormat="false" ht="15" hidden="false" customHeight="false" outlineLevel="0" collapsed="false">
      <c r="J3867" s="41" t="str">
        <f aca="false">IF(D3867="","",IFERROR(IF(ISNUMBER(SEARCH(Assumptions!$C$5,D3867)),Assumptions!$D$5,IF(ISNUMBER(SEARCH(Assumptions!$C$6,D3867)),Assumptions!$D$6,IF(ISNUMBER(SEARCH(Assumptions!$C$7,D3867)),Assumptions!$D$7,"Other Services"))),"Other Services"))</f>
        <v/>
      </c>
    </row>
    <row r="3868" customFormat="false" ht="15" hidden="false" customHeight="false" outlineLevel="0" collapsed="false">
      <c r="J3868" s="41" t="str">
        <f aca="false">IF(D3868="","",IFERROR(IF(ISNUMBER(SEARCH(Assumptions!$C$5,D3868)),Assumptions!$D$5,IF(ISNUMBER(SEARCH(Assumptions!$C$6,D3868)),Assumptions!$D$6,IF(ISNUMBER(SEARCH(Assumptions!$C$7,D3868)),Assumptions!$D$7,"Other Services"))),"Other Services"))</f>
        <v/>
      </c>
    </row>
    <row r="3869" customFormat="false" ht="15" hidden="false" customHeight="false" outlineLevel="0" collapsed="false">
      <c r="J3869" s="41" t="str">
        <f aca="false">IF(D3869="","",IFERROR(IF(ISNUMBER(SEARCH(Assumptions!$C$5,D3869)),Assumptions!$D$5,IF(ISNUMBER(SEARCH(Assumptions!$C$6,D3869)),Assumptions!$D$6,IF(ISNUMBER(SEARCH(Assumptions!$C$7,D3869)),Assumptions!$D$7,"Other Services"))),"Other Services"))</f>
        <v/>
      </c>
    </row>
    <row r="3870" customFormat="false" ht="15" hidden="false" customHeight="false" outlineLevel="0" collapsed="false">
      <c r="J3870" s="41" t="str">
        <f aca="false">IF(D3870="","",IFERROR(IF(ISNUMBER(SEARCH(Assumptions!$C$5,D3870)),Assumptions!$D$5,IF(ISNUMBER(SEARCH(Assumptions!$C$6,D3870)),Assumptions!$D$6,IF(ISNUMBER(SEARCH(Assumptions!$C$7,D3870)),Assumptions!$D$7,"Other Services"))),"Other Services"))</f>
        <v/>
      </c>
    </row>
    <row r="3871" customFormat="false" ht="15" hidden="false" customHeight="false" outlineLevel="0" collapsed="false">
      <c r="J3871" s="41" t="str">
        <f aca="false">IF(D3871="","",IFERROR(IF(ISNUMBER(SEARCH(Assumptions!$C$5,D3871)),Assumptions!$D$5,IF(ISNUMBER(SEARCH(Assumptions!$C$6,D3871)),Assumptions!$D$6,IF(ISNUMBER(SEARCH(Assumptions!$C$7,D3871)),Assumptions!$D$7,"Other Services"))),"Other Services"))</f>
        <v/>
      </c>
    </row>
    <row r="3872" customFormat="false" ht="15" hidden="false" customHeight="false" outlineLevel="0" collapsed="false">
      <c r="J3872" s="41" t="str">
        <f aca="false">IF(D3872="","",IFERROR(IF(ISNUMBER(SEARCH(Assumptions!$C$5,D3872)),Assumptions!$D$5,IF(ISNUMBER(SEARCH(Assumptions!$C$6,D3872)),Assumptions!$D$6,IF(ISNUMBER(SEARCH(Assumptions!$C$7,D3872)),Assumptions!$D$7,"Other Services"))),"Other Services"))</f>
        <v/>
      </c>
    </row>
    <row r="3873" customFormat="false" ht="15" hidden="false" customHeight="false" outlineLevel="0" collapsed="false">
      <c r="J3873" s="41" t="str">
        <f aca="false">IF(D3873="","",IFERROR(IF(ISNUMBER(SEARCH(Assumptions!$C$5,D3873)),Assumptions!$D$5,IF(ISNUMBER(SEARCH(Assumptions!$C$6,D3873)),Assumptions!$D$6,IF(ISNUMBER(SEARCH(Assumptions!$C$7,D3873)),Assumptions!$D$7,"Other Services"))),"Other Services"))</f>
        <v/>
      </c>
    </row>
    <row r="3874" customFormat="false" ht="15" hidden="false" customHeight="false" outlineLevel="0" collapsed="false">
      <c r="J3874" s="41" t="str">
        <f aca="false">IF(D3874="","",IFERROR(IF(ISNUMBER(SEARCH(Assumptions!$C$5,D3874)),Assumptions!$D$5,IF(ISNUMBER(SEARCH(Assumptions!$C$6,D3874)),Assumptions!$D$6,IF(ISNUMBER(SEARCH(Assumptions!$C$7,D3874)),Assumptions!$D$7,"Other Services"))),"Other Services"))</f>
        <v/>
      </c>
    </row>
    <row r="3875" customFormat="false" ht="15" hidden="false" customHeight="false" outlineLevel="0" collapsed="false">
      <c r="J3875" s="41" t="str">
        <f aca="false">IF(D3875="","",IFERROR(IF(ISNUMBER(SEARCH(Assumptions!$C$5,D3875)),Assumptions!$D$5,IF(ISNUMBER(SEARCH(Assumptions!$C$6,D3875)),Assumptions!$D$6,IF(ISNUMBER(SEARCH(Assumptions!$C$7,D3875)),Assumptions!$D$7,"Other Services"))),"Other Services"))</f>
        <v/>
      </c>
    </row>
    <row r="3876" customFormat="false" ht="15" hidden="false" customHeight="false" outlineLevel="0" collapsed="false">
      <c r="J3876" s="41" t="str">
        <f aca="false">IF(D3876="","",IFERROR(IF(ISNUMBER(SEARCH(Assumptions!$C$5,D3876)),Assumptions!$D$5,IF(ISNUMBER(SEARCH(Assumptions!$C$6,D3876)),Assumptions!$D$6,IF(ISNUMBER(SEARCH(Assumptions!$C$7,D3876)),Assumptions!$D$7,"Other Services"))),"Other Services"))</f>
        <v/>
      </c>
    </row>
    <row r="3877" customFormat="false" ht="15" hidden="false" customHeight="false" outlineLevel="0" collapsed="false">
      <c r="J3877" s="41" t="str">
        <f aca="false">IF(D3877="","",IFERROR(IF(ISNUMBER(SEARCH(Assumptions!$C$5,D3877)),Assumptions!$D$5,IF(ISNUMBER(SEARCH(Assumptions!$C$6,D3877)),Assumptions!$D$6,IF(ISNUMBER(SEARCH(Assumptions!$C$7,D3877)),Assumptions!$D$7,"Other Services"))),"Other Services"))</f>
        <v/>
      </c>
    </row>
    <row r="3878" customFormat="false" ht="15" hidden="false" customHeight="false" outlineLevel="0" collapsed="false">
      <c r="J3878" s="41" t="str">
        <f aca="false">IF(D3878="","",IFERROR(IF(ISNUMBER(SEARCH(Assumptions!$C$5,D3878)),Assumptions!$D$5,IF(ISNUMBER(SEARCH(Assumptions!$C$6,D3878)),Assumptions!$D$6,IF(ISNUMBER(SEARCH(Assumptions!$C$7,D3878)),Assumptions!$D$7,"Other Services"))),"Other Services"))</f>
        <v/>
      </c>
    </row>
    <row r="3879" customFormat="false" ht="15" hidden="false" customHeight="false" outlineLevel="0" collapsed="false">
      <c r="J3879" s="41" t="str">
        <f aca="false">IF(D3879="","",IFERROR(IF(ISNUMBER(SEARCH(Assumptions!$C$5,D3879)),Assumptions!$D$5,IF(ISNUMBER(SEARCH(Assumptions!$C$6,D3879)),Assumptions!$D$6,IF(ISNUMBER(SEARCH(Assumptions!$C$7,D3879)),Assumptions!$D$7,"Other Services"))),"Other Services"))</f>
        <v/>
      </c>
    </row>
    <row r="3880" customFormat="false" ht="15" hidden="false" customHeight="false" outlineLevel="0" collapsed="false">
      <c r="J3880" s="41" t="str">
        <f aca="false">IF(D3880="","",IFERROR(IF(ISNUMBER(SEARCH(Assumptions!$C$5,D3880)),Assumptions!$D$5,IF(ISNUMBER(SEARCH(Assumptions!$C$6,D3880)),Assumptions!$D$6,IF(ISNUMBER(SEARCH(Assumptions!$C$7,D3880)),Assumptions!$D$7,"Other Services"))),"Other Services"))</f>
        <v/>
      </c>
    </row>
    <row r="3881" customFormat="false" ht="15" hidden="false" customHeight="false" outlineLevel="0" collapsed="false">
      <c r="J3881" s="41" t="str">
        <f aca="false">IF(D3881="","",IFERROR(IF(ISNUMBER(SEARCH(Assumptions!$C$5,D3881)),Assumptions!$D$5,IF(ISNUMBER(SEARCH(Assumptions!$C$6,D3881)),Assumptions!$D$6,IF(ISNUMBER(SEARCH(Assumptions!$C$7,D3881)),Assumptions!$D$7,"Other Services"))),"Other Services"))</f>
        <v/>
      </c>
    </row>
    <row r="3882" customFormat="false" ht="15" hidden="false" customHeight="false" outlineLevel="0" collapsed="false">
      <c r="J3882" s="41" t="str">
        <f aca="false">IF(D3882="","",IFERROR(IF(ISNUMBER(SEARCH(Assumptions!$C$5,D3882)),Assumptions!$D$5,IF(ISNUMBER(SEARCH(Assumptions!$C$6,D3882)),Assumptions!$D$6,IF(ISNUMBER(SEARCH(Assumptions!$C$7,D3882)),Assumptions!$D$7,"Other Services"))),"Other Services"))</f>
        <v/>
      </c>
    </row>
    <row r="3883" customFormat="false" ht="15" hidden="false" customHeight="false" outlineLevel="0" collapsed="false">
      <c r="J3883" s="41" t="str">
        <f aca="false">IF(D3883="","",IFERROR(IF(ISNUMBER(SEARCH(Assumptions!$C$5,D3883)),Assumptions!$D$5,IF(ISNUMBER(SEARCH(Assumptions!$C$6,D3883)),Assumptions!$D$6,IF(ISNUMBER(SEARCH(Assumptions!$C$7,D3883)),Assumptions!$D$7,"Other Services"))),"Other Services"))</f>
        <v/>
      </c>
    </row>
    <row r="3884" customFormat="false" ht="15" hidden="false" customHeight="false" outlineLevel="0" collapsed="false">
      <c r="J3884" s="41" t="str">
        <f aca="false">IF(D3884="","",IFERROR(IF(ISNUMBER(SEARCH(Assumptions!$C$5,D3884)),Assumptions!$D$5,IF(ISNUMBER(SEARCH(Assumptions!$C$6,D3884)),Assumptions!$D$6,IF(ISNUMBER(SEARCH(Assumptions!$C$7,D3884)),Assumptions!$D$7,"Other Services"))),"Other Services"))</f>
        <v/>
      </c>
    </row>
    <row r="3885" customFormat="false" ht="15" hidden="false" customHeight="false" outlineLevel="0" collapsed="false">
      <c r="J3885" s="41" t="str">
        <f aca="false">IF(D3885="","",IFERROR(IF(ISNUMBER(SEARCH(Assumptions!$C$5,D3885)),Assumptions!$D$5,IF(ISNUMBER(SEARCH(Assumptions!$C$6,D3885)),Assumptions!$D$6,IF(ISNUMBER(SEARCH(Assumptions!$C$7,D3885)),Assumptions!$D$7,"Other Services"))),"Other Services"))</f>
        <v/>
      </c>
    </row>
    <row r="3886" customFormat="false" ht="15" hidden="false" customHeight="false" outlineLevel="0" collapsed="false">
      <c r="J3886" s="41" t="str">
        <f aca="false">IF(D3886="","",IFERROR(IF(ISNUMBER(SEARCH(Assumptions!$C$5,D3886)),Assumptions!$D$5,IF(ISNUMBER(SEARCH(Assumptions!$C$6,D3886)),Assumptions!$D$6,IF(ISNUMBER(SEARCH(Assumptions!$C$7,D3886)),Assumptions!$D$7,"Other Services"))),"Other Services"))</f>
        <v/>
      </c>
    </row>
    <row r="3887" customFormat="false" ht="15" hidden="false" customHeight="false" outlineLevel="0" collapsed="false">
      <c r="J3887" s="41" t="str">
        <f aca="false">IF(D3887="","",IFERROR(IF(ISNUMBER(SEARCH(Assumptions!$C$5,D3887)),Assumptions!$D$5,IF(ISNUMBER(SEARCH(Assumptions!$C$6,D3887)),Assumptions!$D$6,IF(ISNUMBER(SEARCH(Assumptions!$C$7,D3887)),Assumptions!$D$7,"Other Services"))),"Other Services"))</f>
        <v/>
      </c>
    </row>
    <row r="3888" customFormat="false" ht="15" hidden="false" customHeight="false" outlineLevel="0" collapsed="false">
      <c r="J3888" s="41" t="str">
        <f aca="false">IF(D3888="","",IFERROR(IF(ISNUMBER(SEARCH(Assumptions!$C$5,D3888)),Assumptions!$D$5,IF(ISNUMBER(SEARCH(Assumptions!$C$6,D3888)),Assumptions!$D$6,IF(ISNUMBER(SEARCH(Assumptions!$C$7,D3888)),Assumptions!$D$7,"Other Services"))),"Other Services"))</f>
        <v/>
      </c>
    </row>
    <row r="3889" customFormat="false" ht="15" hidden="false" customHeight="false" outlineLevel="0" collapsed="false">
      <c r="J3889" s="41" t="str">
        <f aca="false">IF(D3889="","",IFERROR(IF(ISNUMBER(SEARCH(Assumptions!$C$5,D3889)),Assumptions!$D$5,IF(ISNUMBER(SEARCH(Assumptions!$C$6,D3889)),Assumptions!$D$6,IF(ISNUMBER(SEARCH(Assumptions!$C$7,D3889)),Assumptions!$D$7,"Other Services"))),"Other Services"))</f>
        <v/>
      </c>
    </row>
    <row r="3890" customFormat="false" ht="15" hidden="false" customHeight="false" outlineLevel="0" collapsed="false">
      <c r="J3890" s="41" t="str">
        <f aca="false">IF(D3890="","",IFERROR(IF(ISNUMBER(SEARCH(Assumptions!$C$5,D3890)),Assumptions!$D$5,IF(ISNUMBER(SEARCH(Assumptions!$C$6,D3890)),Assumptions!$D$6,IF(ISNUMBER(SEARCH(Assumptions!$C$7,D3890)),Assumptions!$D$7,"Other Services"))),"Other Services"))</f>
        <v/>
      </c>
    </row>
    <row r="3891" customFormat="false" ht="15" hidden="false" customHeight="false" outlineLevel="0" collapsed="false">
      <c r="J3891" s="41" t="str">
        <f aca="false">IF(D3891="","",IFERROR(IF(ISNUMBER(SEARCH(Assumptions!$C$5,D3891)),Assumptions!$D$5,IF(ISNUMBER(SEARCH(Assumptions!$C$6,D3891)),Assumptions!$D$6,IF(ISNUMBER(SEARCH(Assumptions!$C$7,D3891)),Assumptions!$D$7,"Other Services"))),"Other Services"))</f>
        <v/>
      </c>
    </row>
    <row r="3892" customFormat="false" ht="15" hidden="false" customHeight="false" outlineLevel="0" collapsed="false">
      <c r="J3892" s="41" t="str">
        <f aca="false">IF(D3892="","",IFERROR(IF(ISNUMBER(SEARCH(Assumptions!$C$5,D3892)),Assumptions!$D$5,IF(ISNUMBER(SEARCH(Assumptions!$C$6,D3892)),Assumptions!$D$6,IF(ISNUMBER(SEARCH(Assumptions!$C$7,D3892)),Assumptions!$D$7,"Other Services"))),"Other Services"))</f>
        <v/>
      </c>
    </row>
    <row r="3893" customFormat="false" ht="15" hidden="false" customHeight="false" outlineLevel="0" collapsed="false">
      <c r="J3893" s="41" t="str">
        <f aca="false">IF(D3893="","",IFERROR(IF(ISNUMBER(SEARCH(Assumptions!$C$5,D3893)),Assumptions!$D$5,IF(ISNUMBER(SEARCH(Assumptions!$C$6,D3893)),Assumptions!$D$6,IF(ISNUMBER(SEARCH(Assumptions!$C$7,D3893)),Assumptions!$D$7,"Other Services"))),"Other Services"))</f>
        <v/>
      </c>
    </row>
    <row r="3894" customFormat="false" ht="15" hidden="false" customHeight="false" outlineLevel="0" collapsed="false">
      <c r="J3894" s="41" t="str">
        <f aca="false">IF(D3894="","",IFERROR(IF(ISNUMBER(SEARCH(Assumptions!$C$5,D3894)),Assumptions!$D$5,IF(ISNUMBER(SEARCH(Assumptions!$C$6,D3894)),Assumptions!$D$6,IF(ISNUMBER(SEARCH(Assumptions!$C$7,D3894)),Assumptions!$D$7,"Other Services"))),"Other Services"))</f>
        <v/>
      </c>
    </row>
    <row r="3895" customFormat="false" ht="15" hidden="false" customHeight="false" outlineLevel="0" collapsed="false">
      <c r="J3895" s="41" t="str">
        <f aca="false">IF(D3895="","",IFERROR(IF(ISNUMBER(SEARCH(Assumptions!$C$5,D3895)),Assumptions!$D$5,IF(ISNUMBER(SEARCH(Assumptions!$C$6,D3895)),Assumptions!$D$6,IF(ISNUMBER(SEARCH(Assumptions!$C$7,D3895)),Assumptions!$D$7,"Other Services"))),"Other Services"))</f>
        <v/>
      </c>
    </row>
    <row r="3896" customFormat="false" ht="15" hidden="false" customHeight="false" outlineLevel="0" collapsed="false">
      <c r="J3896" s="41" t="str">
        <f aca="false">IF(D3896="","",IFERROR(IF(ISNUMBER(SEARCH(Assumptions!$C$5,D3896)),Assumptions!$D$5,IF(ISNUMBER(SEARCH(Assumptions!$C$6,D3896)),Assumptions!$D$6,IF(ISNUMBER(SEARCH(Assumptions!$C$7,D3896)),Assumptions!$D$7,"Other Services"))),"Other Services"))</f>
        <v/>
      </c>
    </row>
    <row r="3897" customFormat="false" ht="15" hidden="false" customHeight="false" outlineLevel="0" collapsed="false">
      <c r="J3897" s="41" t="str">
        <f aca="false">IF(D3897="","",IFERROR(IF(ISNUMBER(SEARCH(Assumptions!$C$5,D3897)),Assumptions!$D$5,IF(ISNUMBER(SEARCH(Assumptions!$C$6,D3897)),Assumptions!$D$6,IF(ISNUMBER(SEARCH(Assumptions!$C$7,D3897)),Assumptions!$D$7,"Other Services"))),"Other Services"))</f>
        <v/>
      </c>
    </row>
    <row r="3898" customFormat="false" ht="15" hidden="false" customHeight="false" outlineLevel="0" collapsed="false">
      <c r="J3898" s="41" t="str">
        <f aca="false">IF(D3898="","",IFERROR(IF(ISNUMBER(SEARCH(Assumptions!$C$5,D3898)),Assumptions!$D$5,IF(ISNUMBER(SEARCH(Assumptions!$C$6,D3898)),Assumptions!$D$6,IF(ISNUMBER(SEARCH(Assumptions!$C$7,D3898)),Assumptions!$D$7,"Other Services"))),"Other Services"))</f>
        <v/>
      </c>
    </row>
    <row r="3899" customFormat="false" ht="15" hidden="false" customHeight="false" outlineLevel="0" collapsed="false">
      <c r="J3899" s="41" t="str">
        <f aca="false">IF(D3899="","",IFERROR(IF(ISNUMBER(SEARCH(Assumptions!$C$5,D3899)),Assumptions!$D$5,IF(ISNUMBER(SEARCH(Assumptions!$C$6,D3899)),Assumptions!$D$6,IF(ISNUMBER(SEARCH(Assumptions!$C$7,D3899)),Assumptions!$D$7,"Other Services"))),"Other Services"))</f>
        <v/>
      </c>
    </row>
    <row r="3900" customFormat="false" ht="15" hidden="false" customHeight="false" outlineLevel="0" collapsed="false">
      <c r="J3900" s="41" t="str">
        <f aca="false">IF(D3900="","",IFERROR(IF(ISNUMBER(SEARCH(Assumptions!$C$5,D3900)),Assumptions!$D$5,IF(ISNUMBER(SEARCH(Assumptions!$C$6,D3900)),Assumptions!$D$6,IF(ISNUMBER(SEARCH(Assumptions!$C$7,D3900)),Assumptions!$D$7,"Other Services"))),"Other Services"))</f>
        <v/>
      </c>
    </row>
    <row r="3901" customFormat="false" ht="15" hidden="false" customHeight="false" outlineLevel="0" collapsed="false">
      <c r="J3901" s="41" t="str">
        <f aca="false">IF(D3901="","",IFERROR(IF(ISNUMBER(SEARCH(Assumptions!$C$5,D3901)),Assumptions!$D$5,IF(ISNUMBER(SEARCH(Assumptions!$C$6,D3901)),Assumptions!$D$6,IF(ISNUMBER(SEARCH(Assumptions!$C$7,D3901)),Assumptions!$D$7,"Other Services"))),"Other Services"))</f>
        <v/>
      </c>
    </row>
    <row r="3902" customFormat="false" ht="15" hidden="false" customHeight="false" outlineLevel="0" collapsed="false">
      <c r="J3902" s="41" t="str">
        <f aca="false">IF(D3902="","",IFERROR(IF(ISNUMBER(SEARCH(Assumptions!$C$5,D3902)),Assumptions!$D$5,IF(ISNUMBER(SEARCH(Assumptions!$C$6,D3902)),Assumptions!$D$6,IF(ISNUMBER(SEARCH(Assumptions!$C$7,D3902)),Assumptions!$D$7,"Other Services"))),"Other Services"))</f>
        <v/>
      </c>
    </row>
    <row r="3903" customFormat="false" ht="15" hidden="false" customHeight="false" outlineLevel="0" collapsed="false">
      <c r="J3903" s="41" t="str">
        <f aca="false">IF(D3903="","",IFERROR(IF(ISNUMBER(SEARCH(Assumptions!$C$5,D3903)),Assumptions!$D$5,IF(ISNUMBER(SEARCH(Assumptions!$C$6,D3903)),Assumptions!$D$6,IF(ISNUMBER(SEARCH(Assumptions!$C$7,D3903)),Assumptions!$D$7,"Other Services"))),"Other Services"))</f>
        <v/>
      </c>
    </row>
    <row r="3904" customFormat="false" ht="15" hidden="false" customHeight="false" outlineLevel="0" collapsed="false">
      <c r="J3904" s="41" t="str">
        <f aca="false">IF(D3904="","",IFERROR(IF(ISNUMBER(SEARCH(Assumptions!$C$5,D3904)),Assumptions!$D$5,IF(ISNUMBER(SEARCH(Assumptions!$C$6,D3904)),Assumptions!$D$6,IF(ISNUMBER(SEARCH(Assumptions!$C$7,D3904)),Assumptions!$D$7,"Other Services"))),"Other Services"))</f>
        <v/>
      </c>
    </row>
    <row r="3905" customFormat="false" ht="15" hidden="false" customHeight="false" outlineLevel="0" collapsed="false">
      <c r="J3905" s="41" t="str">
        <f aca="false">IF(D3905="","",IFERROR(IF(ISNUMBER(SEARCH(Assumptions!$C$5,D3905)),Assumptions!$D$5,IF(ISNUMBER(SEARCH(Assumptions!$C$6,D3905)),Assumptions!$D$6,IF(ISNUMBER(SEARCH(Assumptions!$C$7,D3905)),Assumptions!$D$7,"Other Services"))),"Other Services"))</f>
        <v/>
      </c>
    </row>
    <row r="3906" customFormat="false" ht="15" hidden="false" customHeight="false" outlineLevel="0" collapsed="false">
      <c r="J3906" s="41" t="str">
        <f aca="false">IF(D3906="","",IFERROR(IF(ISNUMBER(SEARCH(Assumptions!$C$5,D3906)),Assumptions!$D$5,IF(ISNUMBER(SEARCH(Assumptions!$C$6,D3906)),Assumptions!$D$6,IF(ISNUMBER(SEARCH(Assumptions!$C$7,D3906)),Assumptions!$D$7,"Other Services"))),"Other Services"))</f>
        <v/>
      </c>
    </row>
    <row r="3907" customFormat="false" ht="15" hidden="false" customHeight="false" outlineLevel="0" collapsed="false">
      <c r="J3907" s="41" t="str">
        <f aca="false">IF(D3907="","",IFERROR(IF(ISNUMBER(SEARCH(Assumptions!$C$5,D3907)),Assumptions!$D$5,IF(ISNUMBER(SEARCH(Assumptions!$C$6,D3907)),Assumptions!$D$6,IF(ISNUMBER(SEARCH(Assumptions!$C$7,D3907)),Assumptions!$D$7,"Other Services"))),"Other Services"))</f>
        <v/>
      </c>
    </row>
    <row r="3908" customFormat="false" ht="15" hidden="false" customHeight="false" outlineLevel="0" collapsed="false">
      <c r="J3908" s="41" t="str">
        <f aca="false">IF(D3908="","",IFERROR(IF(ISNUMBER(SEARCH(Assumptions!$C$5,D3908)),Assumptions!$D$5,IF(ISNUMBER(SEARCH(Assumptions!$C$6,D3908)),Assumptions!$D$6,IF(ISNUMBER(SEARCH(Assumptions!$C$7,D3908)),Assumptions!$D$7,"Other Services"))),"Other Services"))</f>
        <v/>
      </c>
    </row>
    <row r="3909" customFormat="false" ht="15" hidden="false" customHeight="false" outlineLevel="0" collapsed="false">
      <c r="J3909" s="41" t="str">
        <f aca="false">IF(D3909="","",IFERROR(IF(ISNUMBER(SEARCH(Assumptions!$C$5,D3909)),Assumptions!$D$5,IF(ISNUMBER(SEARCH(Assumptions!$C$6,D3909)),Assumptions!$D$6,IF(ISNUMBER(SEARCH(Assumptions!$C$7,D3909)),Assumptions!$D$7,"Other Services"))),"Other Services"))</f>
        <v/>
      </c>
    </row>
    <row r="3910" customFormat="false" ht="15" hidden="false" customHeight="false" outlineLevel="0" collapsed="false">
      <c r="J3910" s="41" t="str">
        <f aca="false">IF(D3910="","",IFERROR(IF(ISNUMBER(SEARCH(Assumptions!$C$5,D3910)),Assumptions!$D$5,IF(ISNUMBER(SEARCH(Assumptions!$C$6,D3910)),Assumptions!$D$6,IF(ISNUMBER(SEARCH(Assumptions!$C$7,D3910)),Assumptions!$D$7,"Other Services"))),"Other Services"))</f>
        <v/>
      </c>
    </row>
    <row r="3911" customFormat="false" ht="15" hidden="false" customHeight="false" outlineLevel="0" collapsed="false">
      <c r="J3911" s="41" t="str">
        <f aca="false">IF(D3911="","",IFERROR(IF(ISNUMBER(SEARCH(Assumptions!$C$5,D3911)),Assumptions!$D$5,IF(ISNUMBER(SEARCH(Assumptions!$C$6,D3911)),Assumptions!$D$6,IF(ISNUMBER(SEARCH(Assumptions!$C$7,D3911)),Assumptions!$D$7,"Other Services"))),"Other Services"))</f>
        <v/>
      </c>
    </row>
    <row r="3912" customFormat="false" ht="15" hidden="false" customHeight="false" outlineLevel="0" collapsed="false">
      <c r="J3912" s="41" t="str">
        <f aca="false">IF(D3912="","",IFERROR(IF(ISNUMBER(SEARCH(Assumptions!$C$5,D3912)),Assumptions!$D$5,IF(ISNUMBER(SEARCH(Assumptions!$C$6,D3912)),Assumptions!$D$6,IF(ISNUMBER(SEARCH(Assumptions!$C$7,D3912)),Assumptions!$D$7,"Other Services"))),"Other Services"))</f>
        <v/>
      </c>
    </row>
    <row r="3913" customFormat="false" ht="15" hidden="false" customHeight="false" outlineLevel="0" collapsed="false">
      <c r="J3913" s="41" t="str">
        <f aca="false">IF(D3913="","",IFERROR(IF(ISNUMBER(SEARCH(Assumptions!$C$5,D3913)),Assumptions!$D$5,IF(ISNUMBER(SEARCH(Assumptions!$C$6,D3913)),Assumptions!$D$6,IF(ISNUMBER(SEARCH(Assumptions!$C$7,D3913)),Assumptions!$D$7,"Other Services"))),"Other Services"))</f>
        <v/>
      </c>
    </row>
    <row r="3914" customFormat="false" ht="15" hidden="false" customHeight="false" outlineLevel="0" collapsed="false">
      <c r="J3914" s="41" t="str">
        <f aca="false">IF(D3914="","",IFERROR(IF(ISNUMBER(SEARCH(Assumptions!$C$5,D3914)),Assumptions!$D$5,IF(ISNUMBER(SEARCH(Assumptions!$C$6,D3914)),Assumptions!$D$6,IF(ISNUMBER(SEARCH(Assumptions!$C$7,D3914)),Assumptions!$D$7,"Other Services"))),"Other Services"))</f>
        <v/>
      </c>
    </row>
    <row r="3915" customFormat="false" ht="15" hidden="false" customHeight="false" outlineLevel="0" collapsed="false">
      <c r="J3915" s="41" t="str">
        <f aca="false">IF(D3915="","",IFERROR(IF(ISNUMBER(SEARCH(Assumptions!$C$5,D3915)),Assumptions!$D$5,IF(ISNUMBER(SEARCH(Assumptions!$C$6,D3915)),Assumptions!$D$6,IF(ISNUMBER(SEARCH(Assumptions!$C$7,D3915)),Assumptions!$D$7,"Other Services"))),"Other Services"))</f>
        <v/>
      </c>
    </row>
    <row r="3916" customFormat="false" ht="15" hidden="false" customHeight="false" outlineLevel="0" collapsed="false">
      <c r="J3916" s="41" t="str">
        <f aca="false">IF(D3916="","",IFERROR(IF(ISNUMBER(SEARCH(Assumptions!$C$5,D3916)),Assumptions!$D$5,IF(ISNUMBER(SEARCH(Assumptions!$C$6,D3916)),Assumptions!$D$6,IF(ISNUMBER(SEARCH(Assumptions!$C$7,D3916)),Assumptions!$D$7,"Other Services"))),"Other Services"))</f>
        <v/>
      </c>
    </row>
    <row r="3917" customFormat="false" ht="15" hidden="false" customHeight="false" outlineLevel="0" collapsed="false">
      <c r="J3917" s="41" t="str">
        <f aca="false">IF(D3917="","",IFERROR(IF(ISNUMBER(SEARCH(Assumptions!$C$5,D3917)),Assumptions!$D$5,IF(ISNUMBER(SEARCH(Assumptions!$C$6,D3917)),Assumptions!$D$6,IF(ISNUMBER(SEARCH(Assumptions!$C$7,D3917)),Assumptions!$D$7,"Other Services"))),"Other Services"))</f>
        <v/>
      </c>
    </row>
    <row r="3918" customFormat="false" ht="15" hidden="false" customHeight="false" outlineLevel="0" collapsed="false">
      <c r="J3918" s="41" t="str">
        <f aca="false">IF(D3918="","",IFERROR(IF(ISNUMBER(SEARCH(Assumptions!$C$5,D3918)),Assumptions!$D$5,IF(ISNUMBER(SEARCH(Assumptions!$C$6,D3918)),Assumptions!$D$6,IF(ISNUMBER(SEARCH(Assumptions!$C$7,D3918)),Assumptions!$D$7,"Other Services"))),"Other Services"))</f>
        <v/>
      </c>
    </row>
    <row r="3919" customFormat="false" ht="15" hidden="false" customHeight="false" outlineLevel="0" collapsed="false">
      <c r="J3919" s="41" t="str">
        <f aca="false">IF(D3919="","",IFERROR(IF(ISNUMBER(SEARCH(Assumptions!$C$5,D3919)),Assumptions!$D$5,IF(ISNUMBER(SEARCH(Assumptions!$C$6,D3919)),Assumptions!$D$6,IF(ISNUMBER(SEARCH(Assumptions!$C$7,D3919)),Assumptions!$D$7,"Other Services"))),"Other Services"))</f>
        <v/>
      </c>
    </row>
    <row r="3920" customFormat="false" ht="15" hidden="false" customHeight="false" outlineLevel="0" collapsed="false">
      <c r="J3920" s="41" t="str">
        <f aca="false">IF(D3920="","",IFERROR(IF(ISNUMBER(SEARCH(Assumptions!$C$5,D3920)),Assumptions!$D$5,IF(ISNUMBER(SEARCH(Assumptions!$C$6,D3920)),Assumptions!$D$6,IF(ISNUMBER(SEARCH(Assumptions!$C$7,D3920)),Assumptions!$D$7,"Other Services"))),"Other Services"))</f>
        <v/>
      </c>
    </row>
    <row r="3921" customFormat="false" ht="15" hidden="false" customHeight="false" outlineLevel="0" collapsed="false">
      <c r="J3921" s="41" t="str">
        <f aca="false">IF(D3921="","",IFERROR(IF(ISNUMBER(SEARCH(Assumptions!$C$5,D3921)),Assumptions!$D$5,IF(ISNUMBER(SEARCH(Assumptions!$C$6,D3921)),Assumptions!$D$6,IF(ISNUMBER(SEARCH(Assumptions!$C$7,D3921)),Assumptions!$D$7,"Other Services"))),"Other Services"))</f>
        <v/>
      </c>
    </row>
    <row r="3922" customFormat="false" ht="15" hidden="false" customHeight="false" outlineLevel="0" collapsed="false">
      <c r="J3922" s="41" t="str">
        <f aca="false">IF(D3922="","",IFERROR(IF(ISNUMBER(SEARCH(Assumptions!$C$5,D3922)),Assumptions!$D$5,IF(ISNUMBER(SEARCH(Assumptions!$C$6,D3922)),Assumptions!$D$6,IF(ISNUMBER(SEARCH(Assumptions!$C$7,D3922)),Assumptions!$D$7,"Other Services"))),"Other Services"))</f>
        <v/>
      </c>
    </row>
    <row r="3923" customFormat="false" ht="15" hidden="false" customHeight="false" outlineLevel="0" collapsed="false">
      <c r="J3923" s="41" t="str">
        <f aca="false">IF(D3923="","",IFERROR(IF(ISNUMBER(SEARCH(Assumptions!$C$5,D3923)),Assumptions!$D$5,IF(ISNUMBER(SEARCH(Assumptions!$C$6,D3923)),Assumptions!$D$6,IF(ISNUMBER(SEARCH(Assumptions!$C$7,D3923)),Assumptions!$D$7,"Other Services"))),"Other Services"))</f>
        <v/>
      </c>
    </row>
    <row r="3924" customFormat="false" ht="15" hidden="false" customHeight="false" outlineLevel="0" collapsed="false">
      <c r="J3924" s="41" t="str">
        <f aca="false">IF(D3924="","",IFERROR(IF(ISNUMBER(SEARCH(Assumptions!$C$5,D3924)),Assumptions!$D$5,IF(ISNUMBER(SEARCH(Assumptions!$C$6,D3924)),Assumptions!$D$6,IF(ISNUMBER(SEARCH(Assumptions!$C$7,D3924)),Assumptions!$D$7,"Other Services"))),"Other Services"))</f>
        <v/>
      </c>
    </row>
    <row r="3925" customFormat="false" ht="15" hidden="false" customHeight="false" outlineLevel="0" collapsed="false">
      <c r="J3925" s="41" t="str">
        <f aca="false">IF(D3925="","",IFERROR(IF(ISNUMBER(SEARCH(Assumptions!$C$5,D3925)),Assumptions!$D$5,IF(ISNUMBER(SEARCH(Assumptions!$C$6,D3925)),Assumptions!$D$6,IF(ISNUMBER(SEARCH(Assumptions!$C$7,D3925)),Assumptions!$D$7,"Other Services"))),"Other Services"))</f>
        <v/>
      </c>
    </row>
    <row r="3926" customFormat="false" ht="15" hidden="false" customHeight="false" outlineLevel="0" collapsed="false">
      <c r="J3926" s="41" t="str">
        <f aca="false">IF(D3926="","",IFERROR(IF(ISNUMBER(SEARCH(Assumptions!$C$5,D3926)),Assumptions!$D$5,IF(ISNUMBER(SEARCH(Assumptions!$C$6,D3926)),Assumptions!$D$6,IF(ISNUMBER(SEARCH(Assumptions!$C$7,D3926)),Assumptions!$D$7,"Other Services"))),"Other Services"))</f>
        <v/>
      </c>
    </row>
    <row r="3927" customFormat="false" ht="15" hidden="false" customHeight="false" outlineLevel="0" collapsed="false">
      <c r="J3927" s="41" t="str">
        <f aca="false">IF(D3927="","",IFERROR(IF(ISNUMBER(SEARCH(Assumptions!$C$5,D3927)),Assumptions!$D$5,IF(ISNUMBER(SEARCH(Assumptions!$C$6,D3927)),Assumptions!$D$6,IF(ISNUMBER(SEARCH(Assumptions!$C$7,D3927)),Assumptions!$D$7,"Other Services"))),"Other Services"))</f>
        <v/>
      </c>
    </row>
    <row r="3928" customFormat="false" ht="15" hidden="false" customHeight="false" outlineLevel="0" collapsed="false">
      <c r="J3928" s="41" t="str">
        <f aca="false">IF(D3928="","",IFERROR(IF(ISNUMBER(SEARCH(Assumptions!$C$5,D3928)),Assumptions!$D$5,IF(ISNUMBER(SEARCH(Assumptions!$C$6,D3928)),Assumptions!$D$6,IF(ISNUMBER(SEARCH(Assumptions!$C$7,D3928)),Assumptions!$D$7,"Other Services"))),"Other Services"))</f>
        <v/>
      </c>
    </row>
    <row r="3929" customFormat="false" ht="15" hidden="false" customHeight="false" outlineLevel="0" collapsed="false">
      <c r="J3929" s="41" t="str">
        <f aca="false">IF(D3929="","",IFERROR(IF(ISNUMBER(SEARCH(Assumptions!$C$5,D3929)),Assumptions!$D$5,IF(ISNUMBER(SEARCH(Assumptions!$C$6,D3929)),Assumptions!$D$6,IF(ISNUMBER(SEARCH(Assumptions!$C$7,D3929)),Assumptions!$D$7,"Other Services"))),"Other Services"))</f>
        <v/>
      </c>
    </row>
    <row r="3930" customFormat="false" ht="15" hidden="false" customHeight="false" outlineLevel="0" collapsed="false">
      <c r="J3930" s="41" t="str">
        <f aca="false">IF(D3930="","",IFERROR(IF(ISNUMBER(SEARCH(Assumptions!$C$5,D3930)),Assumptions!$D$5,IF(ISNUMBER(SEARCH(Assumptions!$C$6,D3930)),Assumptions!$D$6,IF(ISNUMBER(SEARCH(Assumptions!$C$7,D3930)),Assumptions!$D$7,"Other Services"))),"Other Services"))</f>
        <v/>
      </c>
    </row>
    <row r="3931" customFormat="false" ht="15" hidden="false" customHeight="false" outlineLevel="0" collapsed="false">
      <c r="J3931" s="41" t="str">
        <f aca="false">IF(D3931="","",IFERROR(IF(ISNUMBER(SEARCH(Assumptions!$C$5,D3931)),Assumptions!$D$5,IF(ISNUMBER(SEARCH(Assumptions!$C$6,D3931)),Assumptions!$D$6,IF(ISNUMBER(SEARCH(Assumptions!$C$7,D3931)),Assumptions!$D$7,"Other Services"))),"Other Services"))</f>
        <v/>
      </c>
    </row>
    <row r="3932" customFormat="false" ht="15" hidden="false" customHeight="false" outlineLevel="0" collapsed="false">
      <c r="J3932" s="41" t="str">
        <f aca="false">IF(D3932="","",IFERROR(IF(ISNUMBER(SEARCH(Assumptions!$C$5,D3932)),Assumptions!$D$5,IF(ISNUMBER(SEARCH(Assumptions!$C$6,D3932)),Assumptions!$D$6,IF(ISNUMBER(SEARCH(Assumptions!$C$7,D3932)),Assumptions!$D$7,"Other Services"))),"Other Services"))</f>
        <v/>
      </c>
    </row>
    <row r="3933" customFormat="false" ht="15" hidden="false" customHeight="false" outlineLevel="0" collapsed="false">
      <c r="J3933" s="41" t="str">
        <f aca="false">IF(D3933="","",IFERROR(IF(ISNUMBER(SEARCH(Assumptions!$C$5,D3933)),Assumptions!$D$5,IF(ISNUMBER(SEARCH(Assumptions!$C$6,D3933)),Assumptions!$D$6,IF(ISNUMBER(SEARCH(Assumptions!$C$7,D3933)),Assumptions!$D$7,"Other Services"))),"Other Services"))</f>
        <v/>
      </c>
    </row>
    <row r="3934" customFormat="false" ht="15" hidden="false" customHeight="false" outlineLevel="0" collapsed="false">
      <c r="J3934" s="41" t="str">
        <f aca="false">IF(D3934="","",IFERROR(IF(ISNUMBER(SEARCH(Assumptions!$C$5,D3934)),Assumptions!$D$5,IF(ISNUMBER(SEARCH(Assumptions!$C$6,D3934)),Assumptions!$D$6,IF(ISNUMBER(SEARCH(Assumptions!$C$7,D3934)),Assumptions!$D$7,"Other Services"))),"Other Services"))</f>
        <v/>
      </c>
    </row>
    <row r="3935" customFormat="false" ht="15" hidden="false" customHeight="false" outlineLevel="0" collapsed="false">
      <c r="J3935" s="41" t="str">
        <f aca="false">IF(D3935="","",IFERROR(IF(ISNUMBER(SEARCH(Assumptions!$C$5,D3935)),Assumptions!$D$5,IF(ISNUMBER(SEARCH(Assumptions!$C$6,D3935)),Assumptions!$D$6,IF(ISNUMBER(SEARCH(Assumptions!$C$7,D3935)),Assumptions!$D$7,"Other Services"))),"Other Services"))</f>
        <v/>
      </c>
    </row>
    <row r="3936" customFormat="false" ht="15" hidden="false" customHeight="false" outlineLevel="0" collapsed="false">
      <c r="J3936" s="41" t="str">
        <f aca="false">IF(D3936="","",IFERROR(IF(ISNUMBER(SEARCH(Assumptions!$C$5,D3936)),Assumptions!$D$5,IF(ISNUMBER(SEARCH(Assumptions!$C$6,D3936)),Assumptions!$D$6,IF(ISNUMBER(SEARCH(Assumptions!$C$7,D3936)),Assumptions!$D$7,"Other Services"))),"Other Services"))</f>
        <v/>
      </c>
    </row>
    <row r="3937" customFormat="false" ht="15" hidden="false" customHeight="false" outlineLevel="0" collapsed="false">
      <c r="J3937" s="41" t="str">
        <f aca="false">IF(D3937="","",IFERROR(IF(ISNUMBER(SEARCH(Assumptions!$C$5,D3937)),Assumptions!$D$5,IF(ISNUMBER(SEARCH(Assumptions!$C$6,D3937)),Assumptions!$D$6,IF(ISNUMBER(SEARCH(Assumptions!$C$7,D3937)),Assumptions!$D$7,"Other Services"))),"Other Services"))</f>
        <v/>
      </c>
    </row>
    <row r="3938" customFormat="false" ht="15" hidden="false" customHeight="false" outlineLevel="0" collapsed="false">
      <c r="J3938" s="41" t="str">
        <f aca="false">IF(D3938="","",IFERROR(IF(ISNUMBER(SEARCH(Assumptions!$C$5,D3938)),Assumptions!$D$5,IF(ISNUMBER(SEARCH(Assumptions!$C$6,D3938)),Assumptions!$D$6,IF(ISNUMBER(SEARCH(Assumptions!$C$7,D3938)),Assumptions!$D$7,"Other Services"))),"Other Services"))</f>
        <v/>
      </c>
    </row>
    <row r="3939" customFormat="false" ht="15" hidden="false" customHeight="false" outlineLevel="0" collapsed="false">
      <c r="J3939" s="41" t="str">
        <f aca="false">IF(D3939="","",IFERROR(IF(ISNUMBER(SEARCH(Assumptions!$C$5,D3939)),Assumptions!$D$5,IF(ISNUMBER(SEARCH(Assumptions!$C$6,D3939)),Assumptions!$D$6,IF(ISNUMBER(SEARCH(Assumptions!$C$7,D3939)),Assumptions!$D$7,"Other Services"))),"Other Services"))</f>
        <v/>
      </c>
    </row>
    <row r="3940" customFormat="false" ht="15" hidden="false" customHeight="false" outlineLevel="0" collapsed="false">
      <c r="J3940" s="41" t="str">
        <f aca="false">IF(D3940="","",IFERROR(IF(ISNUMBER(SEARCH(Assumptions!$C$5,D3940)),Assumptions!$D$5,IF(ISNUMBER(SEARCH(Assumptions!$C$6,D3940)),Assumptions!$D$6,IF(ISNUMBER(SEARCH(Assumptions!$C$7,D3940)),Assumptions!$D$7,"Other Services"))),"Other Services"))</f>
        <v/>
      </c>
    </row>
    <row r="3941" customFormat="false" ht="15" hidden="false" customHeight="false" outlineLevel="0" collapsed="false">
      <c r="J3941" s="41" t="str">
        <f aca="false">IF(D3941="","",IFERROR(IF(ISNUMBER(SEARCH(Assumptions!$C$5,D3941)),Assumptions!$D$5,IF(ISNUMBER(SEARCH(Assumptions!$C$6,D3941)),Assumptions!$D$6,IF(ISNUMBER(SEARCH(Assumptions!$C$7,D3941)),Assumptions!$D$7,"Other Services"))),"Other Services"))</f>
        <v/>
      </c>
    </row>
    <row r="3942" customFormat="false" ht="15" hidden="false" customHeight="false" outlineLevel="0" collapsed="false">
      <c r="J3942" s="41" t="str">
        <f aca="false">IF(D3942="","",IFERROR(IF(ISNUMBER(SEARCH(Assumptions!$C$5,D3942)),Assumptions!$D$5,IF(ISNUMBER(SEARCH(Assumptions!$C$6,D3942)),Assumptions!$D$6,IF(ISNUMBER(SEARCH(Assumptions!$C$7,D3942)),Assumptions!$D$7,"Other Services"))),"Other Services"))</f>
        <v/>
      </c>
    </row>
    <row r="3943" customFormat="false" ht="15" hidden="false" customHeight="false" outlineLevel="0" collapsed="false">
      <c r="J3943" s="41" t="str">
        <f aca="false">IF(D3943="","",IFERROR(IF(ISNUMBER(SEARCH(Assumptions!$C$5,D3943)),Assumptions!$D$5,IF(ISNUMBER(SEARCH(Assumptions!$C$6,D3943)),Assumptions!$D$6,IF(ISNUMBER(SEARCH(Assumptions!$C$7,D3943)),Assumptions!$D$7,"Other Services"))),"Other Services"))</f>
        <v/>
      </c>
    </row>
    <row r="3944" customFormat="false" ht="15" hidden="false" customHeight="false" outlineLevel="0" collapsed="false">
      <c r="J3944" s="41" t="str">
        <f aca="false">IF(D3944="","",IFERROR(IF(ISNUMBER(SEARCH(Assumptions!$C$5,D3944)),Assumptions!$D$5,IF(ISNUMBER(SEARCH(Assumptions!$C$6,D3944)),Assumptions!$D$6,IF(ISNUMBER(SEARCH(Assumptions!$C$7,D3944)),Assumptions!$D$7,"Other Services"))),"Other Services"))</f>
        <v/>
      </c>
    </row>
    <row r="3945" customFormat="false" ht="15" hidden="false" customHeight="false" outlineLevel="0" collapsed="false">
      <c r="J3945" s="41" t="str">
        <f aca="false">IF(D3945="","",IFERROR(IF(ISNUMBER(SEARCH(Assumptions!$C$5,D3945)),Assumptions!$D$5,IF(ISNUMBER(SEARCH(Assumptions!$C$6,D3945)),Assumptions!$D$6,IF(ISNUMBER(SEARCH(Assumptions!$C$7,D3945)),Assumptions!$D$7,"Other Services"))),"Other Services"))</f>
        <v/>
      </c>
    </row>
    <row r="3946" customFormat="false" ht="15" hidden="false" customHeight="false" outlineLevel="0" collapsed="false">
      <c r="J3946" s="41" t="str">
        <f aca="false">IF(D3946="","",IFERROR(IF(ISNUMBER(SEARCH(Assumptions!$C$5,D3946)),Assumptions!$D$5,IF(ISNUMBER(SEARCH(Assumptions!$C$6,D3946)),Assumptions!$D$6,IF(ISNUMBER(SEARCH(Assumptions!$C$7,D3946)),Assumptions!$D$7,"Other Services"))),"Other Services"))</f>
        <v/>
      </c>
    </row>
    <row r="3947" customFormat="false" ht="15" hidden="false" customHeight="false" outlineLevel="0" collapsed="false">
      <c r="J3947" s="41" t="str">
        <f aca="false">IF(D3947="","",IFERROR(IF(ISNUMBER(SEARCH(Assumptions!$C$5,D3947)),Assumptions!$D$5,IF(ISNUMBER(SEARCH(Assumptions!$C$6,D3947)),Assumptions!$D$6,IF(ISNUMBER(SEARCH(Assumptions!$C$7,D3947)),Assumptions!$D$7,"Other Services"))),"Other Services"))</f>
        <v/>
      </c>
    </row>
    <row r="3948" customFormat="false" ht="15" hidden="false" customHeight="false" outlineLevel="0" collapsed="false">
      <c r="J3948" s="41" t="str">
        <f aca="false">IF(D3948="","",IFERROR(IF(ISNUMBER(SEARCH(Assumptions!$C$5,D3948)),Assumptions!$D$5,IF(ISNUMBER(SEARCH(Assumptions!$C$6,D3948)),Assumptions!$D$6,IF(ISNUMBER(SEARCH(Assumptions!$C$7,D3948)),Assumptions!$D$7,"Other Services"))),"Other Services"))</f>
        <v/>
      </c>
    </row>
    <row r="3949" customFormat="false" ht="15" hidden="false" customHeight="false" outlineLevel="0" collapsed="false">
      <c r="J3949" s="41" t="str">
        <f aca="false">IF(D3949="","",IFERROR(IF(ISNUMBER(SEARCH(Assumptions!$C$5,D3949)),Assumptions!$D$5,IF(ISNUMBER(SEARCH(Assumptions!$C$6,D3949)),Assumptions!$D$6,IF(ISNUMBER(SEARCH(Assumptions!$C$7,D3949)),Assumptions!$D$7,"Other Services"))),"Other Services"))</f>
        <v/>
      </c>
    </row>
    <row r="3950" customFormat="false" ht="15" hidden="false" customHeight="false" outlineLevel="0" collapsed="false">
      <c r="J3950" s="41" t="str">
        <f aca="false">IF(D3950="","",IFERROR(IF(ISNUMBER(SEARCH(Assumptions!$C$5,D3950)),Assumptions!$D$5,IF(ISNUMBER(SEARCH(Assumptions!$C$6,D3950)),Assumptions!$D$6,IF(ISNUMBER(SEARCH(Assumptions!$C$7,D3950)),Assumptions!$D$7,"Other Services"))),"Other Services"))</f>
        <v/>
      </c>
    </row>
    <row r="3951" customFormat="false" ht="15" hidden="false" customHeight="false" outlineLevel="0" collapsed="false">
      <c r="J3951" s="41" t="str">
        <f aca="false">IF(D3951="","",IFERROR(IF(ISNUMBER(SEARCH(Assumptions!$C$5,D3951)),Assumptions!$D$5,IF(ISNUMBER(SEARCH(Assumptions!$C$6,D3951)),Assumptions!$D$6,IF(ISNUMBER(SEARCH(Assumptions!$C$7,D3951)),Assumptions!$D$7,"Other Services"))),"Other Services"))</f>
        <v/>
      </c>
    </row>
    <row r="3952" customFormat="false" ht="15" hidden="false" customHeight="false" outlineLevel="0" collapsed="false">
      <c r="J3952" s="41" t="str">
        <f aca="false">IF(D3952="","",IFERROR(IF(ISNUMBER(SEARCH(Assumptions!$C$5,D3952)),Assumptions!$D$5,IF(ISNUMBER(SEARCH(Assumptions!$C$6,D3952)),Assumptions!$D$6,IF(ISNUMBER(SEARCH(Assumptions!$C$7,D3952)),Assumptions!$D$7,"Other Services"))),"Other Services"))</f>
        <v/>
      </c>
    </row>
    <row r="3953" customFormat="false" ht="15" hidden="false" customHeight="false" outlineLevel="0" collapsed="false">
      <c r="J3953" s="41" t="str">
        <f aca="false">IF(D3953="","",IFERROR(IF(ISNUMBER(SEARCH(Assumptions!$C$5,D3953)),Assumptions!$D$5,IF(ISNUMBER(SEARCH(Assumptions!$C$6,D3953)),Assumptions!$D$6,IF(ISNUMBER(SEARCH(Assumptions!$C$7,D3953)),Assumptions!$D$7,"Other Services"))),"Other Services"))</f>
        <v/>
      </c>
    </row>
    <row r="3954" customFormat="false" ht="15" hidden="false" customHeight="false" outlineLevel="0" collapsed="false">
      <c r="J3954" s="41" t="str">
        <f aca="false">IF(D3954="","",IFERROR(IF(ISNUMBER(SEARCH(Assumptions!$C$5,D3954)),Assumptions!$D$5,IF(ISNUMBER(SEARCH(Assumptions!$C$6,D3954)),Assumptions!$D$6,IF(ISNUMBER(SEARCH(Assumptions!$C$7,D3954)),Assumptions!$D$7,"Other Services"))),"Other Services"))</f>
        <v/>
      </c>
    </row>
    <row r="3955" customFormat="false" ht="15" hidden="false" customHeight="false" outlineLevel="0" collapsed="false">
      <c r="J3955" s="41" t="str">
        <f aca="false">IF(D3955="","",IFERROR(IF(ISNUMBER(SEARCH(Assumptions!$C$5,D3955)),Assumptions!$D$5,IF(ISNUMBER(SEARCH(Assumptions!$C$6,D3955)),Assumptions!$D$6,IF(ISNUMBER(SEARCH(Assumptions!$C$7,D3955)),Assumptions!$D$7,"Other Services"))),"Other Services"))</f>
        <v/>
      </c>
    </row>
    <row r="3956" customFormat="false" ht="15" hidden="false" customHeight="false" outlineLevel="0" collapsed="false">
      <c r="J3956" s="41" t="str">
        <f aca="false">IF(D3956="","",IFERROR(IF(ISNUMBER(SEARCH(Assumptions!$C$5,D3956)),Assumptions!$D$5,IF(ISNUMBER(SEARCH(Assumptions!$C$6,D3956)),Assumptions!$D$6,IF(ISNUMBER(SEARCH(Assumptions!$C$7,D3956)),Assumptions!$D$7,"Other Services"))),"Other Services"))</f>
        <v/>
      </c>
    </row>
    <row r="3957" customFormat="false" ht="15" hidden="false" customHeight="false" outlineLevel="0" collapsed="false">
      <c r="J3957" s="41" t="str">
        <f aca="false">IF(D3957="","",IFERROR(IF(ISNUMBER(SEARCH(Assumptions!$C$5,D3957)),Assumptions!$D$5,IF(ISNUMBER(SEARCH(Assumptions!$C$6,D3957)),Assumptions!$D$6,IF(ISNUMBER(SEARCH(Assumptions!$C$7,D3957)),Assumptions!$D$7,"Other Services"))),"Other Services"))</f>
        <v/>
      </c>
    </row>
    <row r="3958" customFormat="false" ht="15" hidden="false" customHeight="false" outlineLevel="0" collapsed="false">
      <c r="J3958" s="41" t="str">
        <f aca="false">IF(D3958="","",IFERROR(IF(ISNUMBER(SEARCH(Assumptions!$C$5,D3958)),Assumptions!$D$5,IF(ISNUMBER(SEARCH(Assumptions!$C$6,D3958)),Assumptions!$D$6,IF(ISNUMBER(SEARCH(Assumptions!$C$7,D3958)),Assumptions!$D$7,"Other Services"))),"Other Services"))</f>
        <v/>
      </c>
    </row>
    <row r="3959" customFormat="false" ht="15" hidden="false" customHeight="false" outlineLevel="0" collapsed="false">
      <c r="J3959" s="41" t="str">
        <f aca="false">IF(D3959="","",IFERROR(IF(ISNUMBER(SEARCH(Assumptions!$C$5,D3959)),Assumptions!$D$5,IF(ISNUMBER(SEARCH(Assumptions!$C$6,D3959)),Assumptions!$D$6,IF(ISNUMBER(SEARCH(Assumptions!$C$7,D3959)),Assumptions!$D$7,"Other Services"))),"Other Services"))</f>
        <v/>
      </c>
    </row>
    <row r="3960" customFormat="false" ht="15" hidden="false" customHeight="false" outlineLevel="0" collapsed="false">
      <c r="J3960" s="41" t="str">
        <f aca="false">IF(D3960="","",IFERROR(IF(ISNUMBER(SEARCH(Assumptions!$C$5,D3960)),Assumptions!$D$5,IF(ISNUMBER(SEARCH(Assumptions!$C$6,D3960)),Assumptions!$D$6,IF(ISNUMBER(SEARCH(Assumptions!$C$7,D3960)),Assumptions!$D$7,"Other Services"))),"Other Services"))</f>
        <v/>
      </c>
    </row>
    <row r="3961" customFormat="false" ht="15" hidden="false" customHeight="false" outlineLevel="0" collapsed="false">
      <c r="J3961" s="41" t="str">
        <f aca="false">IF(D3961="","",IFERROR(IF(ISNUMBER(SEARCH(Assumptions!$C$5,D3961)),Assumptions!$D$5,IF(ISNUMBER(SEARCH(Assumptions!$C$6,D3961)),Assumptions!$D$6,IF(ISNUMBER(SEARCH(Assumptions!$C$7,D3961)),Assumptions!$D$7,"Other Services"))),"Other Services"))</f>
        <v/>
      </c>
    </row>
    <row r="3962" customFormat="false" ht="15" hidden="false" customHeight="false" outlineLevel="0" collapsed="false">
      <c r="J3962" s="41" t="str">
        <f aca="false">IF(D3962="","",IFERROR(IF(ISNUMBER(SEARCH(Assumptions!$C$5,D3962)),Assumptions!$D$5,IF(ISNUMBER(SEARCH(Assumptions!$C$6,D3962)),Assumptions!$D$6,IF(ISNUMBER(SEARCH(Assumptions!$C$7,D3962)),Assumptions!$D$7,"Other Services"))),"Other Services"))</f>
        <v/>
      </c>
    </row>
    <row r="3963" customFormat="false" ht="15" hidden="false" customHeight="false" outlineLevel="0" collapsed="false">
      <c r="J3963" s="41" t="str">
        <f aca="false">IF(D3963="","",IFERROR(IF(ISNUMBER(SEARCH(Assumptions!$C$5,D3963)),Assumptions!$D$5,IF(ISNUMBER(SEARCH(Assumptions!$C$6,D3963)),Assumptions!$D$6,IF(ISNUMBER(SEARCH(Assumptions!$C$7,D3963)),Assumptions!$D$7,"Other Services"))),"Other Services"))</f>
        <v/>
      </c>
    </row>
    <row r="3964" customFormat="false" ht="15" hidden="false" customHeight="false" outlineLevel="0" collapsed="false">
      <c r="J3964" s="41" t="str">
        <f aca="false">IF(D3964="","",IFERROR(IF(ISNUMBER(SEARCH(Assumptions!$C$5,D3964)),Assumptions!$D$5,IF(ISNUMBER(SEARCH(Assumptions!$C$6,D3964)),Assumptions!$D$6,IF(ISNUMBER(SEARCH(Assumptions!$C$7,D3964)),Assumptions!$D$7,"Other Services"))),"Other Services"))</f>
        <v/>
      </c>
    </row>
    <row r="3965" customFormat="false" ht="15" hidden="false" customHeight="false" outlineLevel="0" collapsed="false">
      <c r="J3965" s="41" t="str">
        <f aca="false">IF(D3965="","",IFERROR(IF(ISNUMBER(SEARCH(Assumptions!$C$5,D3965)),Assumptions!$D$5,IF(ISNUMBER(SEARCH(Assumptions!$C$6,D3965)),Assumptions!$D$6,IF(ISNUMBER(SEARCH(Assumptions!$C$7,D3965)),Assumptions!$D$7,"Other Services"))),"Other Services"))</f>
        <v/>
      </c>
    </row>
    <row r="3966" customFormat="false" ht="15" hidden="false" customHeight="false" outlineLevel="0" collapsed="false">
      <c r="J3966" s="41" t="str">
        <f aca="false">IF(D3966="","",IFERROR(IF(ISNUMBER(SEARCH(Assumptions!$C$5,D3966)),Assumptions!$D$5,IF(ISNUMBER(SEARCH(Assumptions!$C$6,D3966)),Assumptions!$D$6,IF(ISNUMBER(SEARCH(Assumptions!$C$7,D3966)),Assumptions!$D$7,"Other Services"))),"Other Services"))</f>
        <v/>
      </c>
    </row>
    <row r="3967" customFormat="false" ht="15" hidden="false" customHeight="false" outlineLevel="0" collapsed="false">
      <c r="J3967" s="41" t="str">
        <f aca="false">IF(D3967="","",IFERROR(IF(ISNUMBER(SEARCH(Assumptions!$C$5,D3967)),Assumptions!$D$5,IF(ISNUMBER(SEARCH(Assumptions!$C$6,D3967)),Assumptions!$D$6,IF(ISNUMBER(SEARCH(Assumptions!$C$7,D3967)),Assumptions!$D$7,"Other Services"))),"Other Services"))</f>
        <v/>
      </c>
    </row>
    <row r="3968" customFormat="false" ht="15" hidden="false" customHeight="false" outlineLevel="0" collapsed="false">
      <c r="J3968" s="41" t="str">
        <f aca="false">IF(D3968="","",IFERROR(IF(ISNUMBER(SEARCH(Assumptions!$C$5,D3968)),Assumptions!$D$5,IF(ISNUMBER(SEARCH(Assumptions!$C$6,D3968)),Assumptions!$D$6,IF(ISNUMBER(SEARCH(Assumptions!$C$7,D3968)),Assumptions!$D$7,"Other Services"))),"Other Services"))</f>
        <v/>
      </c>
    </row>
    <row r="3969" customFormat="false" ht="15" hidden="false" customHeight="false" outlineLevel="0" collapsed="false">
      <c r="J3969" s="41" t="str">
        <f aca="false">IF(D3969="","",IFERROR(IF(ISNUMBER(SEARCH(Assumptions!$C$5,D3969)),Assumptions!$D$5,IF(ISNUMBER(SEARCH(Assumptions!$C$6,D3969)),Assumptions!$D$6,IF(ISNUMBER(SEARCH(Assumptions!$C$7,D3969)),Assumptions!$D$7,"Other Services"))),"Other Services"))</f>
        <v/>
      </c>
    </row>
    <row r="3970" customFormat="false" ht="15" hidden="false" customHeight="false" outlineLevel="0" collapsed="false">
      <c r="J3970" s="41" t="str">
        <f aca="false">IF(D3970="","",IFERROR(IF(ISNUMBER(SEARCH(Assumptions!$C$5,D3970)),Assumptions!$D$5,IF(ISNUMBER(SEARCH(Assumptions!$C$6,D3970)),Assumptions!$D$6,IF(ISNUMBER(SEARCH(Assumptions!$C$7,D3970)),Assumptions!$D$7,"Other Services"))),"Other Services"))</f>
        <v/>
      </c>
    </row>
    <row r="3971" customFormat="false" ht="15" hidden="false" customHeight="false" outlineLevel="0" collapsed="false">
      <c r="J3971" s="41" t="str">
        <f aca="false">IF(D3971="","",IFERROR(IF(ISNUMBER(SEARCH(Assumptions!$C$5,D3971)),Assumptions!$D$5,IF(ISNUMBER(SEARCH(Assumptions!$C$6,D3971)),Assumptions!$D$6,IF(ISNUMBER(SEARCH(Assumptions!$C$7,D3971)),Assumptions!$D$7,"Other Services"))),"Other Services"))</f>
        <v/>
      </c>
    </row>
    <row r="3972" customFormat="false" ht="15" hidden="false" customHeight="false" outlineLevel="0" collapsed="false">
      <c r="J3972" s="41" t="str">
        <f aca="false">IF(D3972="","",IFERROR(IF(ISNUMBER(SEARCH(Assumptions!$C$5,D3972)),Assumptions!$D$5,IF(ISNUMBER(SEARCH(Assumptions!$C$6,D3972)),Assumptions!$D$6,IF(ISNUMBER(SEARCH(Assumptions!$C$7,D3972)),Assumptions!$D$7,"Other Services"))),"Other Services"))</f>
        <v/>
      </c>
    </row>
    <row r="3973" customFormat="false" ht="15" hidden="false" customHeight="false" outlineLevel="0" collapsed="false">
      <c r="J3973" s="41" t="str">
        <f aca="false">IF(D3973="","",IFERROR(IF(ISNUMBER(SEARCH(Assumptions!$C$5,D3973)),Assumptions!$D$5,IF(ISNUMBER(SEARCH(Assumptions!$C$6,D3973)),Assumptions!$D$6,IF(ISNUMBER(SEARCH(Assumptions!$C$7,D3973)),Assumptions!$D$7,"Other Services"))),"Other Services"))</f>
        <v/>
      </c>
    </row>
    <row r="3974" customFormat="false" ht="15" hidden="false" customHeight="false" outlineLevel="0" collapsed="false">
      <c r="J3974" s="41" t="str">
        <f aca="false">IF(D3974="","",IFERROR(IF(ISNUMBER(SEARCH(Assumptions!$C$5,D3974)),Assumptions!$D$5,IF(ISNUMBER(SEARCH(Assumptions!$C$6,D3974)),Assumptions!$D$6,IF(ISNUMBER(SEARCH(Assumptions!$C$7,D3974)),Assumptions!$D$7,"Other Services"))),"Other Services"))</f>
        <v/>
      </c>
    </row>
    <row r="3975" customFormat="false" ht="15" hidden="false" customHeight="false" outlineLevel="0" collapsed="false">
      <c r="J3975" s="41" t="str">
        <f aca="false">IF(D3975="","",IFERROR(IF(ISNUMBER(SEARCH(Assumptions!$C$5,D3975)),Assumptions!$D$5,IF(ISNUMBER(SEARCH(Assumptions!$C$6,D3975)),Assumptions!$D$6,IF(ISNUMBER(SEARCH(Assumptions!$C$7,D3975)),Assumptions!$D$7,"Other Services"))),"Other Services"))</f>
        <v/>
      </c>
    </row>
    <row r="3976" customFormat="false" ht="15" hidden="false" customHeight="false" outlineLevel="0" collapsed="false">
      <c r="J3976" s="41" t="str">
        <f aca="false">IF(D3976="","",IFERROR(IF(ISNUMBER(SEARCH(Assumptions!$C$5,D3976)),Assumptions!$D$5,IF(ISNUMBER(SEARCH(Assumptions!$C$6,D3976)),Assumptions!$D$6,IF(ISNUMBER(SEARCH(Assumptions!$C$7,D3976)),Assumptions!$D$7,"Other Services"))),"Other Services"))</f>
        <v/>
      </c>
    </row>
    <row r="3977" customFormat="false" ht="15" hidden="false" customHeight="false" outlineLevel="0" collapsed="false">
      <c r="J3977" s="41" t="str">
        <f aca="false">IF(D3977="","",IFERROR(IF(ISNUMBER(SEARCH(Assumptions!$C$5,D3977)),Assumptions!$D$5,IF(ISNUMBER(SEARCH(Assumptions!$C$6,D3977)),Assumptions!$D$6,IF(ISNUMBER(SEARCH(Assumptions!$C$7,D3977)),Assumptions!$D$7,"Other Services"))),"Other Services"))</f>
        <v/>
      </c>
    </row>
    <row r="3978" customFormat="false" ht="15" hidden="false" customHeight="false" outlineLevel="0" collapsed="false">
      <c r="J3978" s="41" t="str">
        <f aca="false">IF(D3978="","",IFERROR(IF(ISNUMBER(SEARCH(Assumptions!$C$5,D3978)),Assumptions!$D$5,IF(ISNUMBER(SEARCH(Assumptions!$C$6,D3978)),Assumptions!$D$6,IF(ISNUMBER(SEARCH(Assumptions!$C$7,D3978)),Assumptions!$D$7,"Other Services"))),"Other Services"))</f>
        <v/>
      </c>
    </row>
    <row r="3979" customFormat="false" ht="15" hidden="false" customHeight="false" outlineLevel="0" collapsed="false">
      <c r="J3979" s="41" t="str">
        <f aca="false">IF(D3979="","",IFERROR(IF(ISNUMBER(SEARCH(Assumptions!$C$5,D3979)),Assumptions!$D$5,IF(ISNUMBER(SEARCH(Assumptions!$C$6,D3979)),Assumptions!$D$6,IF(ISNUMBER(SEARCH(Assumptions!$C$7,D3979)),Assumptions!$D$7,"Other Services"))),"Other Services"))</f>
        <v/>
      </c>
    </row>
    <row r="3980" customFormat="false" ht="15" hidden="false" customHeight="false" outlineLevel="0" collapsed="false">
      <c r="J3980" s="41" t="str">
        <f aca="false">IF(D3980="","",IFERROR(IF(ISNUMBER(SEARCH(Assumptions!$C$5,D3980)),Assumptions!$D$5,IF(ISNUMBER(SEARCH(Assumptions!$C$6,D3980)),Assumptions!$D$6,IF(ISNUMBER(SEARCH(Assumptions!$C$7,D3980)),Assumptions!$D$7,"Other Services"))),"Other Services"))</f>
        <v/>
      </c>
    </row>
    <row r="3981" customFormat="false" ht="15" hidden="false" customHeight="false" outlineLevel="0" collapsed="false">
      <c r="J3981" s="41" t="str">
        <f aca="false">IF(D3981="","",IFERROR(IF(ISNUMBER(SEARCH(Assumptions!$C$5,D3981)),Assumptions!$D$5,IF(ISNUMBER(SEARCH(Assumptions!$C$6,D3981)),Assumptions!$D$6,IF(ISNUMBER(SEARCH(Assumptions!$C$7,D3981)),Assumptions!$D$7,"Other Services"))),"Other Services"))</f>
        <v/>
      </c>
    </row>
    <row r="3982" customFormat="false" ht="15" hidden="false" customHeight="false" outlineLevel="0" collapsed="false">
      <c r="J3982" s="41" t="str">
        <f aca="false">IF(D3982="","",IFERROR(IF(ISNUMBER(SEARCH(Assumptions!$C$5,D3982)),Assumptions!$D$5,IF(ISNUMBER(SEARCH(Assumptions!$C$6,D3982)),Assumptions!$D$6,IF(ISNUMBER(SEARCH(Assumptions!$C$7,D3982)),Assumptions!$D$7,"Other Services"))),"Other Services"))</f>
        <v/>
      </c>
    </row>
    <row r="3983" customFormat="false" ht="15" hidden="false" customHeight="false" outlineLevel="0" collapsed="false">
      <c r="J3983" s="41" t="str">
        <f aca="false">IF(D3983="","",IFERROR(IF(ISNUMBER(SEARCH(Assumptions!$C$5,D3983)),Assumptions!$D$5,IF(ISNUMBER(SEARCH(Assumptions!$C$6,D3983)),Assumptions!$D$6,IF(ISNUMBER(SEARCH(Assumptions!$C$7,D3983)),Assumptions!$D$7,"Other Services"))),"Other Services"))</f>
        <v/>
      </c>
    </row>
    <row r="3984" customFormat="false" ht="15" hidden="false" customHeight="false" outlineLevel="0" collapsed="false">
      <c r="J3984" s="41" t="str">
        <f aca="false">IF(D3984="","",IFERROR(IF(ISNUMBER(SEARCH(Assumptions!$C$5,D3984)),Assumptions!$D$5,IF(ISNUMBER(SEARCH(Assumptions!$C$6,D3984)),Assumptions!$D$6,IF(ISNUMBER(SEARCH(Assumptions!$C$7,D3984)),Assumptions!$D$7,"Other Services"))),"Other Services"))</f>
        <v/>
      </c>
    </row>
    <row r="3985" customFormat="false" ht="15" hidden="false" customHeight="false" outlineLevel="0" collapsed="false">
      <c r="J3985" s="41" t="str">
        <f aca="false">IF(D3985="","",IFERROR(IF(ISNUMBER(SEARCH(Assumptions!$C$5,D3985)),Assumptions!$D$5,IF(ISNUMBER(SEARCH(Assumptions!$C$6,D3985)),Assumptions!$D$6,IF(ISNUMBER(SEARCH(Assumptions!$C$7,D3985)),Assumptions!$D$7,"Other Services"))),"Other Services"))</f>
        <v/>
      </c>
    </row>
    <row r="3986" customFormat="false" ht="15" hidden="false" customHeight="false" outlineLevel="0" collapsed="false">
      <c r="J3986" s="41" t="str">
        <f aca="false">IF(D3986="","",IFERROR(IF(ISNUMBER(SEARCH(Assumptions!$C$5,D3986)),Assumptions!$D$5,IF(ISNUMBER(SEARCH(Assumptions!$C$6,D3986)),Assumptions!$D$6,IF(ISNUMBER(SEARCH(Assumptions!$C$7,D3986)),Assumptions!$D$7,"Other Services"))),"Other Services"))</f>
        <v/>
      </c>
    </row>
    <row r="3987" customFormat="false" ht="15" hidden="false" customHeight="false" outlineLevel="0" collapsed="false">
      <c r="J3987" s="41" t="str">
        <f aca="false">IF(D3987="","",IFERROR(IF(ISNUMBER(SEARCH(Assumptions!$C$5,D3987)),Assumptions!$D$5,IF(ISNUMBER(SEARCH(Assumptions!$C$6,D3987)),Assumptions!$D$6,IF(ISNUMBER(SEARCH(Assumptions!$C$7,D3987)),Assumptions!$D$7,"Other Services"))),"Other Services"))</f>
        <v/>
      </c>
    </row>
    <row r="3988" customFormat="false" ht="15" hidden="false" customHeight="false" outlineLevel="0" collapsed="false">
      <c r="J3988" s="41" t="str">
        <f aca="false">IF(D3988="","",IFERROR(IF(ISNUMBER(SEARCH(Assumptions!$C$5,D3988)),Assumptions!$D$5,IF(ISNUMBER(SEARCH(Assumptions!$C$6,D3988)),Assumptions!$D$6,IF(ISNUMBER(SEARCH(Assumptions!$C$7,D3988)),Assumptions!$D$7,"Other Services"))),"Other Services"))</f>
        <v/>
      </c>
    </row>
    <row r="3989" customFormat="false" ht="15" hidden="false" customHeight="false" outlineLevel="0" collapsed="false">
      <c r="J3989" s="41" t="str">
        <f aca="false">IF(D3989="","",IFERROR(IF(ISNUMBER(SEARCH(Assumptions!$C$5,D3989)),Assumptions!$D$5,IF(ISNUMBER(SEARCH(Assumptions!$C$6,D3989)),Assumptions!$D$6,IF(ISNUMBER(SEARCH(Assumptions!$C$7,D3989)),Assumptions!$D$7,"Other Services"))),"Other Services"))</f>
        <v/>
      </c>
    </row>
    <row r="3990" customFormat="false" ht="15" hidden="false" customHeight="false" outlineLevel="0" collapsed="false">
      <c r="J3990" s="41" t="str">
        <f aca="false">IF(D3990="","",IFERROR(IF(ISNUMBER(SEARCH(Assumptions!$C$5,D3990)),Assumptions!$D$5,IF(ISNUMBER(SEARCH(Assumptions!$C$6,D3990)),Assumptions!$D$6,IF(ISNUMBER(SEARCH(Assumptions!$C$7,D3990)),Assumptions!$D$7,"Other Services"))),"Other Services"))</f>
        <v/>
      </c>
    </row>
    <row r="3991" customFormat="false" ht="15" hidden="false" customHeight="false" outlineLevel="0" collapsed="false">
      <c r="J3991" s="41" t="str">
        <f aca="false">IF(D3991="","",IFERROR(IF(ISNUMBER(SEARCH(Assumptions!$C$5,D3991)),Assumptions!$D$5,IF(ISNUMBER(SEARCH(Assumptions!$C$6,D3991)),Assumptions!$D$6,IF(ISNUMBER(SEARCH(Assumptions!$C$7,D3991)),Assumptions!$D$7,"Other Services"))),"Other Services"))</f>
        <v/>
      </c>
    </row>
    <row r="3992" customFormat="false" ht="15" hidden="false" customHeight="false" outlineLevel="0" collapsed="false">
      <c r="J3992" s="41" t="str">
        <f aca="false">IF(D3992="","",IFERROR(IF(ISNUMBER(SEARCH(Assumptions!$C$5,D3992)),Assumptions!$D$5,IF(ISNUMBER(SEARCH(Assumptions!$C$6,D3992)),Assumptions!$D$6,IF(ISNUMBER(SEARCH(Assumptions!$C$7,D3992)),Assumptions!$D$7,"Other Services"))),"Other Services"))</f>
        <v/>
      </c>
    </row>
    <row r="3993" customFormat="false" ht="15" hidden="false" customHeight="false" outlineLevel="0" collapsed="false">
      <c r="J3993" s="41" t="str">
        <f aca="false">IF(D3993="","",IFERROR(IF(ISNUMBER(SEARCH(Assumptions!$C$5,D3993)),Assumptions!$D$5,IF(ISNUMBER(SEARCH(Assumptions!$C$6,D3993)),Assumptions!$D$6,IF(ISNUMBER(SEARCH(Assumptions!$C$7,D3993)),Assumptions!$D$7,"Other Services"))),"Other Services"))</f>
        <v/>
      </c>
    </row>
    <row r="3994" customFormat="false" ht="15" hidden="false" customHeight="false" outlineLevel="0" collapsed="false">
      <c r="J3994" s="41" t="str">
        <f aca="false">IF(D3994="","",IFERROR(IF(ISNUMBER(SEARCH(Assumptions!$C$5,D3994)),Assumptions!$D$5,IF(ISNUMBER(SEARCH(Assumptions!$C$6,D3994)),Assumptions!$D$6,IF(ISNUMBER(SEARCH(Assumptions!$C$7,D3994)),Assumptions!$D$7,"Other Services"))),"Other Services"))</f>
        <v/>
      </c>
    </row>
    <row r="3995" customFormat="false" ht="15" hidden="false" customHeight="false" outlineLevel="0" collapsed="false">
      <c r="J3995" s="41" t="str">
        <f aca="false">IF(D3995="","",IFERROR(IF(ISNUMBER(SEARCH(Assumptions!$C$5,D3995)),Assumptions!$D$5,IF(ISNUMBER(SEARCH(Assumptions!$C$6,D3995)),Assumptions!$D$6,IF(ISNUMBER(SEARCH(Assumptions!$C$7,D3995)),Assumptions!$D$7,"Other Services"))),"Other Services"))</f>
        <v/>
      </c>
    </row>
    <row r="3996" customFormat="false" ht="15" hidden="false" customHeight="false" outlineLevel="0" collapsed="false">
      <c r="J3996" s="41" t="str">
        <f aca="false">IF(D3996="","",IFERROR(IF(ISNUMBER(SEARCH(Assumptions!$C$5,D3996)),Assumptions!$D$5,IF(ISNUMBER(SEARCH(Assumptions!$C$6,D3996)),Assumptions!$D$6,IF(ISNUMBER(SEARCH(Assumptions!$C$7,D3996)),Assumptions!$D$7,"Other Services"))),"Other Services"))</f>
        <v/>
      </c>
    </row>
    <row r="3997" customFormat="false" ht="15" hidden="false" customHeight="false" outlineLevel="0" collapsed="false">
      <c r="J3997" s="41" t="str">
        <f aca="false">IF(D3997="","",IFERROR(IF(ISNUMBER(SEARCH(Assumptions!$C$5,D3997)),Assumptions!$D$5,IF(ISNUMBER(SEARCH(Assumptions!$C$6,D3997)),Assumptions!$D$6,IF(ISNUMBER(SEARCH(Assumptions!$C$7,D3997)),Assumptions!$D$7,"Other Services"))),"Other Services"))</f>
        <v/>
      </c>
    </row>
    <row r="3998" customFormat="false" ht="15" hidden="false" customHeight="false" outlineLevel="0" collapsed="false">
      <c r="J3998" s="41" t="str">
        <f aca="false">IF(D3998="","",IFERROR(IF(ISNUMBER(SEARCH(Assumptions!$C$5,D3998)),Assumptions!$D$5,IF(ISNUMBER(SEARCH(Assumptions!$C$6,D3998)),Assumptions!$D$6,IF(ISNUMBER(SEARCH(Assumptions!$C$7,D3998)),Assumptions!$D$7,"Other Services"))),"Other Services"))</f>
        <v/>
      </c>
    </row>
    <row r="3999" customFormat="false" ht="15" hidden="false" customHeight="false" outlineLevel="0" collapsed="false">
      <c r="J3999" s="41" t="str">
        <f aca="false">IF(D3999="","",IFERROR(IF(ISNUMBER(SEARCH(Assumptions!$C$5,D3999)),Assumptions!$D$5,IF(ISNUMBER(SEARCH(Assumptions!$C$6,D3999)),Assumptions!$D$6,IF(ISNUMBER(SEARCH(Assumptions!$C$7,D3999)),Assumptions!$D$7,"Other Services"))),"Other Services"))</f>
        <v/>
      </c>
    </row>
    <row r="4000" customFormat="false" ht="15" hidden="false" customHeight="false" outlineLevel="0" collapsed="false">
      <c r="J4000" s="41" t="str">
        <f aca="false">IF(D4000="","",IFERROR(IF(ISNUMBER(SEARCH(Assumptions!$C$5,D4000)),Assumptions!$D$5,IF(ISNUMBER(SEARCH(Assumptions!$C$6,D4000)),Assumptions!$D$6,IF(ISNUMBER(SEARCH(Assumptions!$C$7,D4000)),Assumptions!$D$7,"Other Services"))),"Other Services"))</f>
        <v/>
      </c>
    </row>
    <row r="4001" customFormat="false" ht="15" hidden="false" customHeight="false" outlineLevel="0" collapsed="false">
      <c r="J4001" s="41" t="str">
        <f aca="false">IF(D4001="","",IFERROR(IF(ISNUMBER(SEARCH(Assumptions!$C$5,D4001)),Assumptions!$D$5,IF(ISNUMBER(SEARCH(Assumptions!$C$6,D4001)),Assumptions!$D$6,IF(ISNUMBER(SEARCH(Assumptions!$C$7,D4001)),Assumptions!$D$7,"Other Services"))),"Other Services"))</f>
        <v/>
      </c>
    </row>
    <row r="4002" customFormat="false" ht="15" hidden="false" customHeight="false" outlineLevel="0" collapsed="false">
      <c r="J4002" s="41" t="str">
        <f aca="false">IF(D4002="","",IFERROR(IF(ISNUMBER(SEARCH(Assumptions!$C$5,D4002)),Assumptions!$D$5,IF(ISNUMBER(SEARCH(Assumptions!$C$6,D4002)),Assumptions!$D$6,IF(ISNUMBER(SEARCH(Assumptions!$C$7,D4002)),Assumptions!$D$7,"Other Services"))),"Other Services"))</f>
        <v/>
      </c>
    </row>
    <row r="4003" customFormat="false" ht="15" hidden="false" customHeight="false" outlineLevel="0" collapsed="false">
      <c r="J4003" s="41" t="str">
        <f aca="false">IF(D4003="","",IFERROR(IF(ISNUMBER(SEARCH(Assumptions!$C$5,D4003)),Assumptions!$D$5,IF(ISNUMBER(SEARCH(Assumptions!$C$6,D4003)),Assumptions!$D$6,IF(ISNUMBER(SEARCH(Assumptions!$C$7,D4003)),Assumptions!$D$7,"Other Services"))),"Other Services"))</f>
        <v/>
      </c>
    </row>
    <row r="4004" customFormat="false" ht="15" hidden="false" customHeight="false" outlineLevel="0" collapsed="false">
      <c r="J4004" s="41" t="str">
        <f aca="false">IF(D4004="","",IFERROR(IF(ISNUMBER(SEARCH(Assumptions!$C$5,D4004)),Assumptions!$D$5,IF(ISNUMBER(SEARCH(Assumptions!$C$6,D4004)),Assumptions!$D$6,IF(ISNUMBER(SEARCH(Assumptions!$C$7,D4004)),Assumptions!$D$7,"Other Services"))),"Other Services"))</f>
        <v/>
      </c>
    </row>
    <row r="4005" customFormat="false" ht="15" hidden="false" customHeight="false" outlineLevel="0" collapsed="false">
      <c r="J4005" s="41" t="str">
        <f aca="false">IF(D4005="","",IFERROR(IF(ISNUMBER(SEARCH(Assumptions!$C$5,D4005)),Assumptions!$D$5,IF(ISNUMBER(SEARCH(Assumptions!$C$6,D4005)),Assumptions!$D$6,IF(ISNUMBER(SEARCH(Assumptions!$C$7,D4005)),Assumptions!$D$7,"Other Services"))),"Other Services"))</f>
        <v/>
      </c>
    </row>
    <row r="4006" customFormat="false" ht="15" hidden="false" customHeight="false" outlineLevel="0" collapsed="false">
      <c r="J4006" s="41" t="str">
        <f aca="false">IF(D4006="","",IFERROR(IF(ISNUMBER(SEARCH(Assumptions!$C$5,D4006)),Assumptions!$D$5,IF(ISNUMBER(SEARCH(Assumptions!$C$6,D4006)),Assumptions!$D$6,IF(ISNUMBER(SEARCH(Assumptions!$C$7,D4006)),Assumptions!$D$7,"Other Services"))),"Other Services"))</f>
        <v/>
      </c>
    </row>
    <row r="4007" customFormat="false" ht="15" hidden="false" customHeight="false" outlineLevel="0" collapsed="false">
      <c r="J4007" s="41" t="str">
        <f aca="false">IF(D4007="","",IFERROR(IF(ISNUMBER(SEARCH(Assumptions!$C$5,D4007)),Assumptions!$D$5,IF(ISNUMBER(SEARCH(Assumptions!$C$6,D4007)),Assumptions!$D$6,IF(ISNUMBER(SEARCH(Assumptions!$C$7,D4007)),Assumptions!$D$7,"Other Services"))),"Other Services"))</f>
        <v/>
      </c>
    </row>
    <row r="4008" customFormat="false" ht="15" hidden="false" customHeight="false" outlineLevel="0" collapsed="false">
      <c r="J4008" s="41" t="str">
        <f aca="false">IF(D4008="","",IFERROR(IF(ISNUMBER(SEARCH(Assumptions!$C$5,D4008)),Assumptions!$D$5,IF(ISNUMBER(SEARCH(Assumptions!$C$6,D4008)),Assumptions!$D$6,IF(ISNUMBER(SEARCH(Assumptions!$C$7,D4008)),Assumptions!$D$7,"Other Services"))),"Other Services"))</f>
        <v/>
      </c>
    </row>
    <row r="4009" customFormat="false" ht="15" hidden="false" customHeight="false" outlineLevel="0" collapsed="false">
      <c r="J4009" s="41" t="str">
        <f aca="false">IF(D4009="","",IFERROR(IF(ISNUMBER(SEARCH(Assumptions!$C$5,D4009)),Assumptions!$D$5,IF(ISNUMBER(SEARCH(Assumptions!$C$6,D4009)),Assumptions!$D$6,IF(ISNUMBER(SEARCH(Assumptions!$C$7,D4009)),Assumptions!$D$7,"Other Services"))),"Other Services"))</f>
        <v/>
      </c>
    </row>
    <row r="4010" customFormat="false" ht="15" hidden="false" customHeight="false" outlineLevel="0" collapsed="false">
      <c r="J4010" s="41" t="str">
        <f aca="false">IF(D4010="","",IFERROR(IF(ISNUMBER(SEARCH(Assumptions!$C$5,D4010)),Assumptions!$D$5,IF(ISNUMBER(SEARCH(Assumptions!$C$6,D4010)),Assumptions!$D$6,IF(ISNUMBER(SEARCH(Assumptions!$C$7,D4010)),Assumptions!$D$7,"Other Services"))),"Other Services"))</f>
        <v/>
      </c>
    </row>
    <row r="4011" customFormat="false" ht="15" hidden="false" customHeight="false" outlineLevel="0" collapsed="false">
      <c r="J4011" s="41" t="str">
        <f aca="false">IF(D4011="","",IFERROR(IF(ISNUMBER(SEARCH(Assumptions!$C$5,D4011)),Assumptions!$D$5,IF(ISNUMBER(SEARCH(Assumptions!$C$6,D4011)),Assumptions!$D$6,IF(ISNUMBER(SEARCH(Assumptions!$C$7,D4011)),Assumptions!$D$7,"Other Services"))),"Other Services"))</f>
        <v/>
      </c>
    </row>
    <row r="4012" customFormat="false" ht="15" hidden="false" customHeight="false" outlineLevel="0" collapsed="false">
      <c r="J4012" s="41" t="str">
        <f aca="false">IF(D4012="","",IFERROR(IF(ISNUMBER(SEARCH(Assumptions!$C$5,D4012)),Assumptions!$D$5,IF(ISNUMBER(SEARCH(Assumptions!$C$6,D4012)),Assumptions!$D$6,IF(ISNUMBER(SEARCH(Assumptions!$C$7,D4012)),Assumptions!$D$7,"Other Services"))),"Other Services"))</f>
        <v/>
      </c>
    </row>
    <row r="4013" customFormat="false" ht="15" hidden="false" customHeight="false" outlineLevel="0" collapsed="false">
      <c r="J4013" s="41" t="str">
        <f aca="false">IF(D4013="","",IFERROR(IF(ISNUMBER(SEARCH(Assumptions!$C$5,D4013)),Assumptions!$D$5,IF(ISNUMBER(SEARCH(Assumptions!$C$6,D4013)),Assumptions!$D$6,IF(ISNUMBER(SEARCH(Assumptions!$C$7,D4013)),Assumptions!$D$7,"Other Services"))),"Other Services"))</f>
        <v/>
      </c>
    </row>
    <row r="4014" customFormat="false" ht="15" hidden="false" customHeight="false" outlineLevel="0" collapsed="false">
      <c r="J4014" s="41" t="str">
        <f aca="false">IF(D4014="","",IFERROR(IF(ISNUMBER(SEARCH(Assumptions!$C$5,D4014)),Assumptions!$D$5,IF(ISNUMBER(SEARCH(Assumptions!$C$6,D4014)),Assumptions!$D$6,IF(ISNUMBER(SEARCH(Assumptions!$C$7,D4014)),Assumptions!$D$7,"Other Services"))),"Other Services"))</f>
        <v/>
      </c>
    </row>
    <row r="4015" customFormat="false" ht="15" hidden="false" customHeight="false" outlineLevel="0" collapsed="false">
      <c r="J4015" s="41" t="str">
        <f aca="false">IF(D4015="","",IFERROR(IF(ISNUMBER(SEARCH(Assumptions!$C$5,D4015)),Assumptions!$D$5,IF(ISNUMBER(SEARCH(Assumptions!$C$6,D4015)),Assumptions!$D$6,IF(ISNUMBER(SEARCH(Assumptions!$C$7,D4015)),Assumptions!$D$7,"Other Services"))),"Other Services"))</f>
        <v/>
      </c>
    </row>
    <row r="4016" customFormat="false" ht="15" hidden="false" customHeight="false" outlineLevel="0" collapsed="false">
      <c r="J4016" s="41" t="str">
        <f aca="false">IF(D4016="","",IFERROR(IF(ISNUMBER(SEARCH(Assumptions!$C$5,D4016)),Assumptions!$D$5,IF(ISNUMBER(SEARCH(Assumptions!$C$6,D4016)),Assumptions!$D$6,IF(ISNUMBER(SEARCH(Assumptions!$C$7,D4016)),Assumptions!$D$7,"Other Services"))),"Other Services"))</f>
        <v/>
      </c>
    </row>
    <row r="4017" customFormat="false" ht="15" hidden="false" customHeight="false" outlineLevel="0" collapsed="false">
      <c r="J4017" s="41" t="str">
        <f aca="false">IF(D4017="","",IFERROR(IF(ISNUMBER(SEARCH(Assumptions!$C$5,D4017)),Assumptions!$D$5,IF(ISNUMBER(SEARCH(Assumptions!$C$6,D4017)),Assumptions!$D$6,IF(ISNUMBER(SEARCH(Assumptions!$C$7,D4017)),Assumptions!$D$7,"Other Services"))),"Other Services"))</f>
        <v/>
      </c>
    </row>
    <row r="4018" customFormat="false" ht="15" hidden="false" customHeight="false" outlineLevel="0" collapsed="false">
      <c r="J4018" s="41" t="str">
        <f aca="false">IF(D4018="","",IFERROR(IF(ISNUMBER(SEARCH(Assumptions!$C$5,D4018)),Assumptions!$D$5,IF(ISNUMBER(SEARCH(Assumptions!$C$6,D4018)),Assumptions!$D$6,IF(ISNUMBER(SEARCH(Assumptions!$C$7,D4018)),Assumptions!$D$7,"Other Services"))),"Other Services"))</f>
        <v/>
      </c>
    </row>
    <row r="4019" customFormat="false" ht="15" hidden="false" customHeight="false" outlineLevel="0" collapsed="false">
      <c r="J4019" s="41" t="str">
        <f aca="false">IF(D4019="","",IFERROR(IF(ISNUMBER(SEARCH(Assumptions!$C$5,D4019)),Assumptions!$D$5,IF(ISNUMBER(SEARCH(Assumptions!$C$6,D4019)),Assumptions!$D$6,IF(ISNUMBER(SEARCH(Assumptions!$C$7,D4019)),Assumptions!$D$7,"Other Services"))),"Other Services"))</f>
        <v/>
      </c>
    </row>
    <row r="4020" customFormat="false" ht="15" hidden="false" customHeight="false" outlineLevel="0" collapsed="false">
      <c r="J4020" s="41" t="str">
        <f aca="false">IF(D4020="","",IFERROR(IF(ISNUMBER(SEARCH(Assumptions!$C$5,D4020)),Assumptions!$D$5,IF(ISNUMBER(SEARCH(Assumptions!$C$6,D4020)),Assumptions!$D$6,IF(ISNUMBER(SEARCH(Assumptions!$C$7,D4020)),Assumptions!$D$7,"Other Services"))),"Other Services"))</f>
        <v/>
      </c>
    </row>
    <row r="4021" customFormat="false" ht="15" hidden="false" customHeight="false" outlineLevel="0" collapsed="false">
      <c r="J4021" s="41" t="str">
        <f aca="false">IF(D4021="","",IFERROR(IF(ISNUMBER(SEARCH(Assumptions!$C$5,D4021)),Assumptions!$D$5,IF(ISNUMBER(SEARCH(Assumptions!$C$6,D4021)),Assumptions!$D$6,IF(ISNUMBER(SEARCH(Assumptions!$C$7,D4021)),Assumptions!$D$7,"Other Services"))),"Other Services"))</f>
        <v/>
      </c>
    </row>
    <row r="4022" customFormat="false" ht="15" hidden="false" customHeight="false" outlineLevel="0" collapsed="false">
      <c r="J4022" s="41" t="str">
        <f aca="false">IF(D4022="","",IFERROR(IF(ISNUMBER(SEARCH(Assumptions!$C$5,D4022)),Assumptions!$D$5,IF(ISNUMBER(SEARCH(Assumptions!$C$6,D4022)),Assumptions!$D$6,IF(ISNUMBER(SEARCH(Assumptions!$C$7,D4022)),Assumptions!$D$7,"Other Services"))),"Other Services"))</f>
        <v/>
      </c>
    </row>
    <row r="4023" customFormat="false" ht="15" hidden="false" customHeight="false" outlineLevel="0" collapsed="false">
      <c r="J4023" s="41" t="str">
        <f aca="false">IF(D4023="","",IFERROR(IF(ISNUMBER(SEARCH(Assumptions!$C$5,D4023)),Assumptions!$D$5,IF(ISNUMBER(SEARCH(Assumptions!$C$6,D4023)),Assumptions!$D$6,IF(ISNUMBER(SEARCH(Assumptions!$C$7,D4023)),Assumptions!$D$7,"Other Services"))),"Other Services"))</f>
        <v/>
      </c>
    </row>
    <row r="4024" customFormat="false" ht="15" hidden="false" customHeight="false" outlineLevel="0" collapsed="false">
      <c r="J4024" s="41" t="str">
        <f aca="false">IF(D4024="","",IFERROR(IF(ISNUMBER(SEARCH(Assumptions!$C$5,D4024)),Assumptions!$D$5,IF(ISNUMBER(SEARCH(Assumptions!$C$6,D4024)),Assumptions!$D$6,IF(ISNUMBER(SEARCH(Assumptions!$C$7,D4024)),Assumptions!$D$7,"Other Services"))),"Other Services"))</f>
        <v/>
      </c>
    </row>
    <row r="4025" customFormat="false" ht="15" hidden="false" customHeight="false" outlineLevel="0" collapsed="false">
      <c r="J4025" s="41" t="str">
        <f aca="false">IF(D4025="","",IFERROR(IF(ISNUMBER(SEARCH(Assumptions!$C$5,D4025)),Assumptions!$D$5,IF(ISNUMBER(SEARCH(Assumptions!$C$6,D4025)),Assumptions!$D$6,IF(ISNUMBER(SEARCH(Assumptions!$C$7,D4025)),Assumptions!$D$7,"Other Services"))),"Other Services"))</f>
        <v/>
      </c>
    </row>
    <row r="4026" customFormat="false" ht="15" hidden="false" customHeight="false" outlineLevel="0" collapsed="false">
      <c r="J4026" s="41" t="str">
        <f aca="false">IF(D4026="","",IFERROR(IF(ISNUMBER(SEARCH(Assumptions!$C$5,D4026)),Assumptions!$D$5,IF(ISNUMBER(SEARCH(Assumptions!$C$6,D4026)),Assumptions!$D$6,IF(ISNUMBER(SEARCH(Assumptions!$C$7,D4026)),Assumptions!$D$7,"Other Services"))),"Other Services"))</f>
        <v/>
      </c>
    </row>
    <row r="4027" customFormat="false" ht="15" hidden="false" customHeight="false" outlineLevel="0" collapsed="false">
      <c r="J4027" s="41" t="str">
        <f aca="false">IF(D4027="","",IFERROR(IF(ISNUMBER(SEARCH(Assumptions!$C$5,D4027)),Assumptions!$D$5,IF(ISNUMBER(SEARCH(Assumptions!$C$6,D4027)),Assumptions!$D$6,IF(ISNUMBER(SEARCH(Assumptions!$C$7,D4027)),Assumptions!$D$7,"Other Services"))),"Other Services"))</f>
        <v/>
      </c>
    </row>
    <row r="4028" customFormat="false" ht="15" hidden="false" customHeight="false" outlineLevel="0" collapsed="false">
      <c r="J4028" s="41" t="str">
        <f aca="false">IF(D4028="","",IFERROR(IF(ISNUMBER(SEARCH(Assumptions!$C$5,D4028)),Assumptions!$D$5,IF(ISNUMBER(SEARCH(Assumptions!$C$6,D4028)),Assumptions!$D$6,IF(ISNUMBER(SEARCH(Assumptions!$C$7,D4028)),Assumptions!$D$7,"Other Services"))),"Other Services"))</f>
        <v/>
      </c>
    </row>
    <row r="4029" customFormat="false" ht="15" hidden="false" customHeight="false" outlineLevel="0" collapsed="false">
      <c r="J4029" s="41" t="str">
        <f aca="false">IF(D4029="","",IFERROR(IF(ISNUMBER(SEARCH(Assumptions!$C$5,D4029)),Assumptions!$D$5,IF(ISNUMBER(SEARCH(Assumptions!$C$6,D4029)),Assumptions!$D$6,IF(ISNUMBER(SEARCH(Assumptions!$C$7,D4029)),Assumptions!$D$7,"Other Services"))),"Other Services"))</f>
        <v/>
      </c>
    </row>
    <row r="4030" customFormat="false" ht="15" hidden="false" customHeight="false" outlineLevel="0" collapsed="false">
      <c r="J4030" s="41" t="str">
        <f aca="false">IF(D4030="","",IFERROR(IF(ISNUMBER(SEARCH(Assumptions!$C$5,D4030)),Assumptions!$D$5,IF(ISNUMBER(SEARCH(Assumptions!$C$6,D4030)),Assumptions!$D$6,IF(ISNUMBER(SEARCH(Assumptions!$C$7,D4030)),Assumptions!$D$7,"Other Services"))),"Other Services"))</f>
        <v/>
      </c>
    </row>
    <row r="4031" customFormat="false" ht="15" hidden="false" customHeight="false" outlineLevel="0" collapsed="false">
      <c r="J4031" s="41" t="str">
        <f aca="false">IF(D4031="","",IFERROR(IF(ISNUMBER(SEARCH(Assumptions!$C$5,D4031)),Assumptions!$D$5,IF(ISNUMBER(SEARCH(Assumptions!$C$6,D4031)),Assumptions!$D$6,IF(ISNUMBER(SEARCH(Assumptions!$C$7,D4031)),Assumptions!$D$7,"Other Services"))),"Other Services"))</f>
        <v/>
      </c>
    </row>
    <row r="4032" customFormat="false" ht="15" hidden="false" customHeight="false" outlineLevel="0" collapsed="false">
      <c r="J4032" s="41" t="str">
        <f aca="false">IF(D4032="","",IFERROR(IF(ISNUMBER(SEARCH(Assumptions!$C$5,D4032)),Assumptions!$D$5,IF(ISNUMBER(SEARCH(Assumptions!$C$6,D4032)),Assumptions!$D$6,IF(ISNUMBER(SEARCH(Assumptions!$C$7,D4032)),Assumptions!$D$7,"Other Services"))),"Other Services"))</f>
        <v/>
      </c>
    </row>
    <row r="4033" customFormat="false" ht="15" hidden="false" customHeight="false" outlineLevel="0" collapsed="false">
      <c r="J4033" s="41" t="str">
        <f aca="false">IF(D4033="","",IFERROR(IF(ISNUMBER(SEARCH(Assumptions!$C$5,D4033)),Assumptions!$D$5,IF(ISNUMBER(SEARCH(Assumptions!$C$6,D4033)),Assumptions!$D$6,IF(ISNUMBER(SEARCH(Assumptions!$C$7,D4033)),Assumptions!$D$7,"Other Services"))),"Other Services"))</f>
        <v/>
      </c>
    </row>
    <row r="4034" customFormat="false" ht="15" hidden="false" customHeight="false" outlineLevel="0" collapsed="false">
      <c r="J4034" s="41" t="str">
        <f aca="false">IF(D4034="","",IFERROR(IF(ISNUMBER(SEARCH(Assumptions!$C$5,D4034)),Assumptions!$D$5,IF(ISNUMBER(SEARCH(Assumptions!$C$6,D4034)),Assumptions!$D$6,IF(ISNUMBER(SEARCH(Assumptions!$C$7,D4034)),Assumptions!$D$7,"Other Services"))),"Other Services"))</f>
        <v/>
      </c>
    </row>
    <row r="4035" customFormat="false" ht="15" hidden="false" customHeight="false" outlineLevel="0" collapsed="false">
      <c r="J4035" s="41" t="str">
        <f aca="false">IF(D4035="","",IFERROR(IF(ISNUMBER(SEARCH(Assumptions!$C$5,D4035)),Assumptions!$D$5,IF(ISNUMBER(SEARCH(Assumptions!$C$6,D4035)),Assumptions!$D$6,IF(ISNUMBER(SEARCH(Assumptions!$C$7,D4035)),Assumptions!$D$7,"Other Services"))),"Other Services"))</f>
        <v/>
      </c>
    </row>
    <row r="4036" customFormat="false" ht="15" hidden="false" customHeight="false" outlineLevel="0" collapsed="false">
      <c r="J4036" s="41" t="str">
        <f aca="false">IF(D4036="","",IFERROR(IF(ISNUMBER(SEARCH(Assumptions!$C$5,D4036)),Assumptions!$D$5,IF(ISNUMBER(SEARCH(Assumptions!$C$6,D4036)),Assumptions!$D$6,IF(ISNUMBER(SEARCH(Assumptions!$C$7,D4036)),Assumptions!$D$7,"Other Services"))),"Other Services"))</f>
        <v/>
      </c>
    </row>
    <row r="4037" customFormat="false" ht="15" hidden="false" customHeight="false" outlineLevel="0" collapsed="false">
      <c r="J4037" s="41" t="str">
        <f aca="false">IF(D4037="","",IFERROR(IF(ISNUMBER(SEARCH(Assumptions!$C$5,D4037)),Assumptions!$D$5,IF(ISNUMBER(SEARCH(Assumptions!$C$6,D4037)),Assumptions!$D$6,IF(ISNUMBER(SEARCH(Assumptions!$C$7,D4037)),Assumptions!$D$7,"Other Services"))),"Other Services"))</f>
        <v/>
      </c>
    </row>
    <row r="4038" customFormat="false" ht="15" hidden="false" customHeight="false" outlineLevel="0" collapsed="false">
      <c r="J4038" s="41" t="str">
        <f aca="false">IF(D4038="","",IFERROR(IF(ISNUMBER(SEARCH(Assumptions!$C$5,D4038)),Assumptions!$D$5,IF(ISNUMBER(SEARCH(Assumptions!$C$6,D4038)),Assumptions!$D$6,IF(ISNUMBER(SEARCH(Assumptions!$C$7,D4038)),Assumptions!$D$7,"Other Services"))),"Other Services"))</f>
        <v/>
      </c>
    </row>
    <row r="4039" customFormat="false" ht="15" hidden="false" customHeight="false" outlineLevel="0" collapsed="false">
      <c r="J4039" s="41" t="str">
        <f aca="false">IF(D4039="","",IFERROR(IF(ISNUMBER(SEARCH(Assumptions!$C$5,D4039)),Assumptions!$D$5,IF(ISNUMBER(SEARCH(Assumptions!$C$6,D4039)),Assumptions!$D$6,IF(ISNUMBER(SEARCH(Assumptions!$C$7,D4039)),Assumptions!$D$7,"Other Services"))),"Other Services"))</f>
        <v/>
      </c>
    </row>
    <row r="4040" customFormat="false" ht="15" hidden="false" customHeight="false" outlineLevel="0" collapsed="false">
      <c r="J4040" s="41" t="str">
        <f aca="false">IF(D4040="","",IFERROR(IF(ISNUMBER(SEARCH(Assumptions!$C$5,D4040)),Assumptions!$D$5,IF(ISNUMBER(SEARCH(Assumptions!$C$6,D4040)),Assumptions!$D$6,IF(ISNUMBER(SEARCH(Assumptions!$C$7,D4040)),Assumptions!$D$7,"Other Services"))),"Other Services"))</f>
        <v/>
      </c>
    </row>
    <row r="4041" customFormat="false" ht="15" hidden="false" customHeight="false" outlineLevel="0" collapsed="false">
      <c r="J4041" s="41" t="str">
        <f aca="false">IF(D4041="","",IFERROR(IF(ISNUMBER(SEARCH(Assumptions!$C$5,D4041)),Assumptions!$D$5,IF(ISNUMBER(SEARCH(Assumptions!$C$6,D4041)),Assumptions!$D$6,IF(ISNUMBER(SEARCH(Assumptions!$C$7,D4041)),Assumptions!$D$7,"Other Services"))),"Other Services"))</f>
        <v/>
      </c>
    </row>
    <row r="4042" customFormat="false" ht="15" hidden="false" customHeight="false" outlineLevel="0" collapsed="false">
      <c r="J4042" s="41" t="str">
        <f aca="false">IF(D4042="","",IFERROR(IF(ISNUMBER(SEARCH(Assumptions!$C$5,D4042)),Assumptions!$D$5,IF(ISNUMBER(SEARCH(Assumptions!$C$6,D4042)),Assumptions!$D$6,IF(ISNUMBER(SEARCH(Assumptions!$C$7,D4042)),Assumptions!$D$7,"Other Services"))),"Other Services"))</f>
        <v/>
      </c>
    </row>
    <row r="4043" customFormat="false" ht="15" hidden="false" customHeight="false" outlineLevel="0" collapsed="false">
      <c r="J4043" s="41" t="str">
        <f aca="false">IF(D4043="","",IFERROR(IF(ISNUMBER(SEARCH(Assumptions!$C$5,D4043)),Assumptions!$D$5,IF(ISNUMBER(SEARCH(Assumptions!$C$6,D4043)),Assumptions!$D$6,IF(ISNUMBER(SEARCH(Assumptions!$C$7,D4043)),Assumptions!$D$7,"Other Services"))),"Other Services"))</f>
        <v/>
      </c>
    </row>
    <row r="4044" customFormat="false" ht="15" hidden="false" customHeight="false" outlineLevel="0" collapsed="false">
      <c r="J4044" s="41" t="str">
        <f aca="false">IF(D4044="","",IFERROR(IF(ISNUMBER(SEARCH(Assumptions!$C$5,D4044)),Assumptions!$D$5,IF(ISNUMBER(SEARCH(Assumptions!$C$6,D4044)),Assumptions!$D$6,IF(ISNUMBER(SEARCH(Assumptions!$C$7,D4044)),Assumptions!$D$7,"Other Services"))),"Other Services"))</f>
        <v/>
      </c>
    </row>
    <row r="4045" customFormat="false" ht="15" hidden="false" customHeight="false" outlineLevel="0" collapsed="false">
      <c r="J4045" s="41" t="str">
        <f aca="false">IF(D4045="","",IFERROR(IF(ISNUMBER(SEARCH(Assumptions!$C$5,D4045)),Assumptions!$D$5,IF(ISNUMBER(SEARCH(Assumptions!$C$6,D4045)),Assumptions!$D$6,IF(ISNUMBER(SEARCH(Assumptions!$C$7,D4045)),Assumptions!$D$7,"Other Services"))),"Other Services"))</f>
        <v/>
      </c>
    </row>
    <row r="4046" customFormat="false" ht="15" hidden="false" customHeight="false" outlineLevel="0" collapsed="false">
      <c r="J4046" s="41" t="str">
        <f aca="false">IF(D4046="","",IFERROR(IF(ISNUMBER(SEARCH(Assumptions!$C$5,D4046)),Assumptions!$D$5,IF(ISNUMBER(SEARCH(Assumptions!$C$6,D4046)),Assumptions!$D$6,IF(ISNUMBER(SEARCH(Assumptions!$C$7,D4046)),Assumptions!$D$7,"Other Services"))),"Other Services"))</f>
        <v/>
      </c>
    </row>
    <row r="4047" customFormat="false" ht="15" hidden="false" customHeight="false" outlineLevel="0" collapsed="false">
      <c r="J4047" s="41" t="str">
        <f aca="false">IF(D4047="","",IFERROR(IF(ISNUMBER(SEARCH(Assumptions!$C$5,D4047)),Assumptions!$D$5,IF(ISNUMBER(SEARCH(Assumptions!$C$6,D4047)),Assumptions!$D$6,IF(ISNUMBER(SEARCH(Assumptions!$C$7,D4047)),Assumptions!$D$7,"Other Services"))),"Other Services"))</f>
        <v/>
      </c>
    </row>
    <row r="4048" customFormat="false" ht="15" hidden="false" customHeight="false" outlineLevel="0" collapsed="false">
      <c r="J4048" s="41" t="str">
        <f aca="false">IF(D4048="","",IFERROR(IF(ISNUMBER(SEARCH(Assumptions!$C$5,D4048)),Assumptions!$D$5,IF(ISNUMBER(SEARCH(Assumptions!$C$6,D4048)),Assumptions!$D$6,IF(ISNUMBER(SEARCH(Assumptions!$C$7,D4048)),Assumptions!$D$7,"Other Services"))),"Other Services"))</f>
        <v/>
      </c>
    </row>
    <row r="4049" customFormat="false" ht="15" hidden="false" customHeight="false" outlineLevel="0" collapsed="false">
      <c r="J4049" s="41" t="str">
        <f aca="false">IF(D4049="","",IFERROR(IF(ISNUMBER(SEARCH(Assumptions!$C$5,D4049)),Assumptions!$D$5,IF(ISNUMBER(SEARCH(Assumptions!$C$6,D4049)),Assumptions!$D$6,IF(ISNUMBER(SEARCH(Assumptions!$C$7,D4049)),Assumptions!$D$7,"Other Services"))),"Other Services"))</f>
        <v/>
      </c>
    </row>
    <row r="4050" customFormat="false" ht="15" hidden="false" customHeight="false" outlineLevel="0" collapsed="false">
      <c r="J4050" s="41" t="str">
        <f aca="false">IF(D4050="","",IFERROR(IF(ISNUMBER(SEARCH(Assumptions!$C$5,D4050)),Assumptions!$D$5,IF(ISNUMBER(SEARCH(Assumptions!$C$6,D4050)),Assumptions!$D$6,IF(ISNUMBER(SEARCH(Assumptions!$C$7,D4050)),Assumptions!$D$7,"Other Services"))),"Other Services"))</f>
        <v/>
      </c>
    </row>
    <row r="4051" customFormat="false" ht="15" hidden="false" customHeight="false" outlineLevel="0" collapsed="false">
      <c r="J4051" s="41" t="str">
        <f aca="false">IF(D4051="","",IFERROR(IF(ISNUMBER(SEARCH(Assumptions!$C$5,D4051)),Assumptions!$D$5,IF(ISNUMBER(SEARCH(Assumptions!$C$6,D4051)),Assumptions!$D$6,IF(ISNUMBER(SEARCH(Assumptions!$C$7,D4051)),Assumptions!$D$7,"Other Services"))),"Other Services"))</f>
        <v/>
      </c>
    </row>
    <row r="4052" customFormat="false" ht="15" hidden="false" customHeight="false" outlineLevel="0" collapsed="false">
      <c r="J4052" s="41" t="str">
        <f aca="false">IF(D4052="","",IFERROR(IF(ISNUMBER(SEARCH(Assumptions!$C$5,D4052)),Assumptions!$D$5,IF(ISNUMBER(SEARCH(Assumptions!$C$6,D4052)),Assumptions!$D$6,IF(ISNUMBER(SEARCH(Assumptions!$C$7,D4052)),Assumptions!$D$7,"Other Services"))),"Other Services"))</f>
        <v/>
      </c>
    </row>
    <row r="4053" customFormat="false" ht="15" hidden="false" customHeight="false" outlineLevel="0" collapsed="false">
      <c r="J4053" s="41" t="str">
        <f aca="false">IF(D4053="","",IFERROR(IF(ISNUMBER(SEARCH(Assumptions!$C$5,D4053)),Assumptions!$D$5,IF(ISNUMBER(SEARCH(Assumptions!$C$6,D4053)),Assumptions!$D$6,IF(ISNUMBER(SEARCH(Assumptions!$C$7,D4053)),Assumptions!$D$7,"Other Services"))),"Other Services"))</f>
        <v/>
      </c>
    </row>
    <row r="4054" customFormat="false" ht="15" hidden="false" customHeight="false" outlineLevel="0" collapsed="false">
      <c r="J4054" s="41" t="str">
        <f aca="false">IF(D4054="","",IFERROR(IF(ISNUMBER(SEARCH(Assumptions!$C$5,D4054)),Assumptions!$D$5,IF(ISNUMBER(SEARCH(Assumptions!$C$6,D4054)),Assumptions!$D$6,IF(ISNUMBER(SEARCH(Assumptions!$C$7,D4054)),Assumptions!$D$7,"Other Services"))),"Other Services"))</f>
        <v/>
      </c>
    </row>
    <row r="4055" customFormat="false" ht="15" hidden="false" customHeight="false" outlineLevel="0" collapsed="false">
      <c r="J4055" s="41" t="str">
        <f aca="false">IF(D4055="","",IFERROR(IF(ISNUMBER(SEARCH(Assumptions!$C$5,D4055)),Assumptions!$D$5,IF(ISNUMBER(SEARCH(Assumptions!$C$6,D4055)),Assumptions!$D$6,IF(ISNUMBER(SEARCH(Assumptions!$C$7,D4055)),Assumptions!$D$7,"Other Services"))),"Other Services"))</f>
        <v/>
      </c>
    </row>
    <row r="4056" customFormat="false" ht="15" hidden="false" customHeight="false" outlineLevel="0" collapsed="false">
      <c r="J4056" s="41" t="str">
        <f aca="false">IF(D4056="","",IFERROR(IF(ISNUMBER(SEARCH(Assumptions!$C$5,D4056)),Assumptions!$D$5,IF(ISNUMBER(SEARCH(Assumptions!$C$6,D4056)),Assumptions!$D$6,IF(ISNUMBER(SEARCH(Assumptions!$C$7,D4056)),Assumptions!$D$7,"Other Services"))),"Other Services"))</f>
        <v/>
      </c>
    </row>
    <row r="4057" customFormat="false" ht="15" hidden="false" customHeight="false" outlineLevel="0" collapsed="false">
      <c r="J4057" s="41" t="str">
        <f aca="false">IF(D4057="","",IFERROR(IF(ISNUMBER(SEARCH(Assumptions!$C$5,D4057)),Assumptions!$D$5,IF(ISNUMBER(SEARCH(Assumptions!$C$6,D4057)),Assumptions!$D$6,IF(ISNUMBER(SEARCH(Assumptions!$C$7,D4057)),Assumptions!$D$7,"Other Services"))),"Other Services"))</f>
        <v/>
      </c>
    </row>
    <row r="4058" customFormat="false" ht="15" hidden="false" customHeight="false" outlineLevel="0" collapsed="false">
      <c r="J4058" s="41" t="str">
        <f aca="false">IF(D4058="","",IFERROR(IF(ISNUMBER(SEARCH(Assumptions!$C$5,D4058)),Assumptions!$D$5,IF(ISNUMBER(SEARCH(Assumptions!$C$6,D4058)),Assumptions!$D$6,IF(ISNUMBER(SEARCH(Assumptions!$C$7,D4058)),Assumptions!$D$7,"Other Services"))),"Other Services"))</f>
        <v/>
      </c>
    </row>
    <row r="4059" customFormat="false" ht="15" hidden="false" customHeight="false" outlineLevel="0" collapsed="false">
      <c r="J4059" s="41" t="str">
        <f aca="false">IF(D4059="","",IFERROR(IF(ISNUMBER(SEARCH(Assumptions!$C$5,D4059)),Assumptions!$D$5,IF(ISNUMBER(SEARCH(Assumptions!$C$6,D4059)),Assumptions!$D$6,IF(ISNUMBER(SEARCH(Assumptions!$C$7,D4059)),Assumptions!$D$7,"Other Services"))),"Other Services"))</f>
        <v/>
      </c>
    </row>
    <row r="4060" customFormat="false" ht="15" hidden="false" customHeight="false" outlineLevel="0" collapsed="false">
      <c r="J4060" s="41" t="str">
        <f aca="false">IF(D4060="","",IFERROR(IF(ISNUMBER(SEARCH(Assumptions!$C$5,D4060)),Assumptions!$D$5,IF(ISNUMBER(SEARCH(Assumptions!$C$6,D4060)),Assumptions!$D$6,IF(ISNUMBER(SEARCH(Assumptions!$C$7,D4060)),Assumptions!$D$7,"Other Services"))),"Other Services"))</f>
        <v/>
      </c>
    </row>
    <row r="4061" customFormat="false" ht="15" hidden="false" customHeight="false" outlineLevel="0" collapsed="false">
      <c r="J4061" s="41" t="str">
        <f aca="false">IF(D4061="","",IFERROR(IF(ISNUMBER(SEARCH(Assumptions!$C$5,D4061)),Assumptions!$D$5,IF(ISNUMBER(SEARCH(Assumptions!$C$6,D4061)),Assumptions!$D$6,IF(ISNUMBER(SEARCH(Assumptions!$C$7,D4061)),Assumptions!$D$7,"Other Services"))),"Other Services"))</f>
        <v/>
      </c>
    </row>
    <row r="4062" customFormat="false" ht="15" hidden="false" customHeight="false" outlineLevel="0" collapsed="false">
      <c r="J4062" s="41" t="str">
        <f aca="false">IF(D4062="","",IFERROR(IF(ISNUMBER(SEARCH(Assumptions!$C$5,D4062)),Assumptions!$D$5,IF(ISNUMBER(SEARCH(Assumptions!$C$6,D4062)),Assumptions!$D$6,IF(ISNUMBER(SEARCH(Assumptions!$C$7,D4062)),Assumptions!$D$7,"Other Services"))),"Other Services"))</f>
        <v/>
      </c>
    </row>
    <row r="4063" customFormat="false" ht="15" hidden="false" customHeight="false" outlineLevel="0" collapsed="false">
      <c r="J4063" s="41" t="str">
        <f aca="false">IF(D4063="","",IFERROR(IF(ISNUMBER(SEARCH(Assumptions!$C$5,D4063)),Assumptions!$D$5,IF(ISNUMBER(SEARCH(Assumptions!$C$6,D4063)),Assumptions!$D$6,IF(ISNUMBER(SEARCH(Assumptions!$C$7,D4063)),Assumptions!$D$7,"Other Services"))),"Other Services"))</f>
        <v/>
      </c>
    </row>
    <row r="4064" customFormat="false" ht="15" hidden="false" customHeight="false" outlineLevel="0" collapsed="false">
      <c r="J4064" s="41" t="str">
        <f aca="false">IF(D4064="","",IFERROR(IF(ISNUMBER(SEARCH(Assumptions!$C$5,D4064)),Assumptions!$D$5,IF(ISNUMBER(SEARCH(Assumptions!$C$6,D4064)),Assumptions!$D$6,IF(ISNUMBER(SEARCH(Assumptions!$C$7,D4064)),Assumptions!$D$7,"Other Services"))),"Other Services"))</f>
        <v/>
      </c>
    </row>
    <row r="4065" customFormat="false" ht="15" hidden="false" customHeight="false" outlineLevel="0" collapsed="false">
      <c r="J4065" s="41" t="str">
        <f aca="false">IF(D4065="","",IFERROR(IF(ISNUMBER(SEARCH(Assumptions!$C$5,D4065)),Assumptions!$D$5,IF(ISNUMBER(SEARCH(Assumptions!$C$6,D4065)),Assumptions!$D$6,IF(ISNUMBER(SEARCH(Assumptions!$C$7,D4065)),Assumptions!$D$7,"Other Services"))),"Other Services"))</f>
        <v/>
      </c>
    </row>
    <row r="4066" customFormat="false" ht="15" hidden="false" customHeight="false" outlineLevel="0" collapsed="false">
      <c r="J4066" s="41" t="str">
        <f aca="false">IF(D4066="","",IFERROR(IF(ISNUMBER(SEARCH(Assumptions!$C$5,D4066)),Assumptions!$D$5,IF(ISNUMBER(SEARCH(Assumptions!$C$6,D4066)),Assumptions!$D$6,IF(ISNUMBER(SEARCH(Assumptions!$C$7,D4066)),Assumptions!$D$7,"Other Services"))),"Other Services"))</f>
        <v/>
      </c>
    </row>
    <row r="4067" customFormat="false" ht="15" hidden="false" customHeight="false" outlineLevel="0" collapsed="false">
      <c r="J4067" s="41" t="str">
        <f aca="false">IF(D4067="","",IFERROR(IF(ISNUMBER(SEARCH(Assumptions!$C$5,D4067)),Assumptions!$D$5,IF(ISNUMBER(SEARCH(Assumptions!$C$6,D4067)),Assumptions!$D$6,IF(ISNUMBER(SEARCH(Assumptions!$C$7,D4067)),Assumptions!$D$7,"Other Services"))),"Other Services"))</f>
        <v/>
      </c>
    </row>
    <row r="4068" customFormat="false" ht="15" hidden="false" customHeight="false" outlineLevel="0" collapsed="false">
      <c r="J4068" s="41" t="str">
        <f aca="false">IF(D4068="","",IFERROR(IF(ISNUMBER(SEARCH(Assumptions!$C$5,D4068)),Assumptions!$D$5,IF(ISNUMBER(SEARCH(Assumptions!$C$6,D4068)),Assumptions!$D$6,IF(ISNUMBER(SEARCH(Assumptions!$C$7,D4068)),Assumptions!$D$7,"Other Services"))),"Other Services"))</f>
        <v/>
      </c>
    </row>
    <row r="4069" customFormat="false" ht="15" hidden="false" customHeight="false" outlineLevel="0" collapsed="false">
      <c r="J4069" s="41" t="str">
        <f aca="false">IF(D4069="","",IFERROR(IF(ISNUMBER(SEARCH(Assumptions!$C$5,D4069)),Assumptions!$D$5,IF(ISNUMBER(SEARCH(Assumptions!$C$6,D4069)),Assumptions!$D$6,IF(ISNUMBER(SEARCH(Assumptions!$C$7,D4069)),Assumptions!$D$7,"Other Services"))),"Other Services"))</f>
        <v/>
      </c>
    </row>
    <row r="4070" customFormat="false" ht="15" hidden="false" customHeight="false" outlineLevel="0" collapsed="false">
      <c r="J4070" s="41" t="str">
        <f aca="false">IF(D4070="","",IFERROR(IF(ISNUMBER(SEARCH(Assumptions!$C$5,D4070)),Assumptions!$D$5,IF(ISNUMBER(SEARCH(Assumptions!$C$6,D4070)),Assumptions!$D$6,IF(ISNUMBER(SEARCH(Assumptions!$C$7,D4070)),Assumptions!$D$7,"Other Services"))),"Other Services"))</f>
        <v/>
      </c>
    </row>
    <row r="4071" customFormat="false" ht="15" hidden="false" customHeight="false" outlineLevel="0" collapsed="false">
      <c r="J4071" s="41" t="str">
        <f aca="false">IF(D4071="","",IFERROR(IF(ISNUMBER(SEARCH(Assumptions!$C$5,D4071)),Assumptions!$D$5,IF(ISNUMBER(SEARCH(Assumptions!$C$6,D4071)),Assumptions!$D$6,IF(ISNUMBER(SEARCH(Assumptions!$C$7,D4071)),Assumptions!$D$7,"Other Services"))),"Other Services"))</f>
        <v/>
      </c>
    </row>
    <row r="4072" customFormat="false" ht="15" hidden="false" customHeight="false" outlineLevel="0" collapsed="false">
      <c r="J4072" s="41" t="str">
        <f aca="false">IF(D4072="","",IFERROR(IF(ISNUMBER(SEARCH(Assumptions!$C$5,D4072)),Assumptions!$D$5,IF(ISNUMBER(SEARCH(Assumptions!$C$6,D4072)),Assumptions!$D$6,IF(ISNUMBER(SEARCH(Assumptions!$C$7,D4072)),Assumptions!$D$7,"Other Services"))),"Other Services"))</f>
        <v/>
      </c>
    </row>
    <row r="4073" customFormat="false" ht="15" hidden="false" customHeight="false" outlineLevel="0" collapsed="false">
      <c r="J4073" s="41" t="str">
        <f aca="false">IF(D4073="","",IFERROR(IF(ISNUMBER(SEARCH(Assumptions!$C$5,D4073)),Assumptions!$D$5,IF(ISNUMBER(SEARCH(Assumptions!$C$6,D4073)),Assumptions!$D$6,IF(ISNUMBER(SEARCH(Assumptions!$C$7,D4073)),Assumptions!$D$7,"Other Services"))),"Other Services"))</f>
        <v/>
      </c>
    </row>
    <row r="4074" customFormat="false" ht="15" hidden="false" customHeight="false" outlineLevel="0" collapsed="false">
      <c r="J4074" s="41" t="str">
        <f aca="false">IF(D4074="","",IFERROR(IF(ISNUMBER(SEARCH(Assumptions!$C$5,D4074)),Assumptions!$D$5,IF(ISNUMBER(SEARCH(Assumptions!$C$6,D4074)),Assumptions!$D$6,IF(ISNUMBER(SEARCH(Assumptions!$C$7,D4074)),Assumptions!$D$7,"Other Services"))),"Other Services"))</f>
        <v/>
      </c>
    </row>
    <row r="4075" customFormat="false" ht="15" hidden="false" customHeight="false" outlineLevel="0" collapsed="false">
      <c r="J4075" s="41" t="str">
        <f aca="false">IF(D4075="","",IFERROR(IF(ISNUMBER(SEARCH(Assumptions!$C$5,D4075)),Assumptions!$D$5,IF(ISNUMBER(SEARCH(Assumptions!$C$6,D4075)),Assumptions!$D$6,IF(ISNUMBER(SEARCH(Assumptions!$C$7,D4075)),Assumptions!$D$7,"Other Services"))),"Other Services"))</f>
        <v/>
      </c>
    </row>
    <row r="4076" customFormat="false" ht="15" hidden="false" customHeight="false" outlineLevel="0" collapsed="false">
      <c r="J4076" s="41" t="str">
        <f aca="false">IF(D4076="","",IFERROR(IF(ISNUMBER(SEARCH(Assumptions!$C$5,D4076)),Assumptions!$D$5,IF(ISNUMBER(SEARCH(Assumptions!$C$6,D4076)),Assumptions!$D$6,IF(ISNUMBER(SEARCH(Assumptions!$C$7,D4076)),Assumptions!$D$7,"Other Services"))),"Other Services"))</f>
        <v/>
      </c>
    </row>
    <row r="4077" customFormat="false" ht="15" hidden="false" customHeight="false" outlineLevel="0" collapsed="false">
      <c r="J4077" s="41" t="str">
        <f aca="false">IF(D4077="","",IFERROR(IF(ISNUMBER(SEARCH(Assumptions!$C$5,D4077)),Assumptions!$D$5,IF(ISNUMBER(SEARCH(Assumptions!$C$6,D4077)),Assumptions!$D$6,IF(ISNUMBER(SEARCH(Assumptions!$C$7,D4077)),Assumptions!$D$7,"Other Services"))),"Other Services"))</f>
        <v/>
      </c>
    </row>
    <row r="4078" customFormat="false" ht="15" hidden="false" customHeight="false" outlineLevel="0" collapsed="false">
      <c r="J4078" s="41" t="str">
        <f aca="false">IF(D4078="","",IFERROR(IF(ISNUMBER(SEARCH(Assumptions!$C$5,D4078)),Assumptions!$D$5,IF(ISNUMBER(SEARCH(Assumptions!$C$6,D4078)),Assumptions!$D$6,IF(ISNUMBER(SEARCH(Assumptions!$C$7,D4078)),Assumptions!$D$7,"Other Services"))),"Other Services"))</f>
        <v/>
      </c>
    </row>
    <row r="4079" customFormat="false" ht="15" hidden="false" customHeight="false" outlineLevel="0" collapsed="false">
      <c r="J4079" s="41" t="str">
        <f aca="false">IF(D4079="","",IFERROR(IF(ISNUMBER(SEARCH(Assumptions!$C$5,D4079)),Assumptions!$D$5,IF(ISNUMBER(SEARCH(Assumptions!$C$6,D4079)),Assumptions!$D$6,IF(ISNUMBER(SEARCH(Assumptions!$C$7,D4079)),Assumptions!$D$7,"Other Services"))),"Other Services"))</f>
        <v/>
      </c>
    </row>
    <row r="4080" customFormat="false" ht="15" hidden="false" customHeight="false" outlineLevel="0" collapsed="false">
      <c r="J4080" s="41" t="str">
        <f aca="false">IF(D4080="","",IFERROR(IF(ISNUMBER(SEARCH(Assumptions!$C$5,D4080)),Assumptions!$D$5,IF(ISNUMBER(SEARCH(Assumptions!$C$6,D4080)),Assumptions!$D$6,IF(ISNUMBER(SEARCH(Assumptions!$C$7,D4080)),Assumptions!$D$7,"Other Services"))),"Other Services"))</f>
        <v/>
      </c>
    </row>
    <row r="4081" customFormat="false" ht="15" hidden="false" customHeight="false" outlineLevel="0" collapsed="false">
      <c r="J4081" s="41" t="str">
        <f aca="false">IF(D4081="","",IFERROR(IF(ISNUMBER(SEARCH(Assumptions!$C$5,D4081)),Assumptions!$D$5,IF(ISNUMBER(SEARCH(Assumptions!$C$6,D4081)),Assumptions!$D$6,IF(ISNUMBER(SEARCH(Assumptions!$C$7,D4081)),Assumptions!$D$7,"Other Services"))),"Other Services"))</f>
        <v/>
      </c>
    </row>
    <row r="4082" customFormat="false" ht="15" hidden="false" customHeight="false" outlineLevel="0" collapsed="false">
      <c r="J4082" s="41" t="str">
        <f aca="false">IF(D4082="","",IFERROR(IF(ISNUMBER(SEARCH(Assumptions!$C$5,D4082)),Assumptions!$D$5,IF(ISNUMBER(SEARCH(Assumptions!$C$6,D4082)),Assumptions!$D$6,IF(ISNUMBER(SEARCH(Assumptions!$C$7,D4082)),Assumptions!$D$7,"Other Services"))),"Other Services"))</f>
        <v/>
      </c>
    </row>
    <row r="4083" customFormat="false" ht="15" hidden="false" customHeight="false" outlineLevel="0" collapsed="false">
      <c r="J4083" s="41" t="str">
        <f aca="false">IF(D4083="","",IFERROR(IF(ISNUMBER(SEARCH(Assumptions!$C$5,D4083)),Assumptions!$D$5,IF(ISNUMBER(SEARCH(Assumptions!$C$6,D4083)),Assumptions!$D$6,IF(ISNUMBER(SEARCH(Assumptions!$C$7,D4083)),Assumptions!$D$7,"Other Services"))),"Other Services"))</f>
        <v/>
      </c>
    </row>
    <row r="4084" customFormat="false" ht="15" hidden="false" customHeight="false" outlineLevel="0" collapsed="false">
      <c r="J4084" s="41" t="str">
        <f aca="false">IF(D4084="","",IFERROR(IF(ISNUMBER(SEARCH(Assumptions!$C$5,D4084)),Assumptions!$D$5,IF(ISNUMBER(SEARCH(Assumptions!$C$6,D4084)),Assumptions!$D$6,IF(ISNUMBER(SEARCH(Assumptions!$C$7,D4084)),Assumptions!$D$7,"Other Services"))),"Other Services"))</f>
        <v/>
      </c>
    </row>
    <row r="4085" customFormat="false" ht="15" hidden="false" customHeight="false" outlineLevel="0" collapsed="false">
      <c r="J4085" s="41" t="str">
        <f aca="false">IF(D4085="","",IFERROR(IF(ISNUMBER(SEARCH(Assumptions!$C$5,D4085)),Assumptions!$D$5,IF(ISNUMBER(SEARCH(Assumptions!$C$6,D4085)),Assumptions!$D$6,IF(ISNUMBER(SEARCH(Assumptions!$C$7,D4085)),Assumptions!$D$7,"Other Services"))),"Other Services"))</f>
        <v/>
      </c>
    </row>
    <row r="4086" customFormat="false" ht="15" hidden="false" customHeight="false" outlineLevel="0" collapsed="false">
      <c r="J4086" s="41" t="str">
        <f aca="false">IF(D4086="","",IFERROR(IF(ISNUMBER(SEARCH(Assumptions!$C$5,D4086)),Assumptions!$D$5,IF(ISNUMBER(SEARCH(Assumptions!$C$6,D4086)),Assumptions!$D$6,IF(ISNUMBER(SEARCH(Assumptions!$C$7,D4086)),Assumptions!$D$7,"Other Services"))),"Other Services"))</f>
        <v/>
      </c>
    </row>
    <row r="4087" customFormat="false" ht="15" hidden="false" customHeight="false" outlineLevel="0" collapsed="false">
      <c r="J4087" s="41" t="str">
        <f aca="false">IF(D4087="","",IFERROR(IF(ISNUMBER(SEARCH(Assumptions!$C$5,D4087)),Assumptions!$D$5,IF(ISNUMBER(SEARCH(Assumptions!$C$6,D4087)),Assumptions!$D$6,IF(ISNUMBER(SEARCH(Assumptions!$C$7,D4087)),Assumptions!$D$7,"Other Services"))),"Other Services"))</f>
        <v/>
      </c>
    </row>
    <row r="4088" customFormat="false" ht="15" hidden="false" customHeight="false" outlineLevel="0" collapsed="false">
      <c r="J4088" s="41" t="str">
        <f aca="false">IF(D4088="","",IFERROR(IF(ISNUMBER(SEARCH(Assumptions!$C$5,D4088)),Assumptions!$D$5,IF(ISNUMBER(SEARCH(Assumptions!$C$6,D4088)),Assumptions!$D$6,IF(ISNUMBER(SEARCH(Assumptions!$C$7,D4088)),Assumptions!$D$7,"Other Services"))),"Other Services"))</f>
        <v/>
      </c>
    </row>
    <row r="4089" customFormat="false" ht="15" hidden="false" customHeight="false" outlineLevel="0" collapsed="false">
      <c r="J4089" s="41" t="str">
        <f aca="false">IF(D4089="","",IFERROR(IF(ISNUMBER(SEARCH(Assumptions!$C$5,D4089)),Assumptions!$D$5,IF(ISNUMBER(SEARCH(Assumptions!$C$6,D4089)),Assumptions!$D$6,IF(ISNUMBER(SEARCH(Assumptions!$C$7,D4089)),Assumptions!$D$7,"Other Services"))),"Other Services"))</f>
        <v/>
      </c>
    </row>
    <row r="4090" customFormat="false" ht="15" hidden="false" customHeight="false" outlineLevel="0" collapsed="false">
      <c r="J4090" s="41" t="str">
        <f aca="false">IF(D4090="","",IFERROR(IF(ISNUMBER(SEARCH(Assumptions!$C$5,D4090)),Assumptions!$D$5,IF(ISNUMBER(SEARCH(Assumptions!$C$6,D4090)),Assumptions!$D$6,IF(ISNUMBER(SEARCH(Assumptions!$C$7,D4090)),Assumptions!$D$7,"Other Services"))),"Other Services"))</f>
        <v/>
      </c>
    </row>
    <row r="4091" customFormat="false" ht="15" hidden="false" customHeight="false" outlineLevel="0" collapsed="false">
      <c r="J4091" s="41" t="str">
        <f aca="false">IF(D4091="","",IFERROR(IF(ISNUMBER(SEARCH(Assumptions!$C$5,D4091)),Assumptions!$D$5,IF(ISNUMBER(SEARCH(Assumptions!$C$6,D4091)),Assumptions!$D$6,IF(ISNUMBER(SEARCH(Assumptions!$C$7,D4091)),Assumptions!$D$7,"Other Services"))),"Other Services"))</f>
        <v/>
      </c>
    </row>
    <row r="4092" customFormat="false" ht="15" hidden="false" customHeight="false" outlineLevel="0" collapsed="false">
      <c r="J4092" s="41" t="str">
        <f aca="false">IF(D4092="","",IFERROR(IF(ISNUMBER(SEARCH(Assumptions!$C$5,D4092)),Assumptions!$D$5,IF(ISNUMBER(SEARCH(Assumptions!$C$6,D4092)),Assumptions!$D$6,IF(ISNUMBER(SEARCH(Assumptions!$C$7,D4092)),Assumptions!$D$7,"Other Services"))),"Other Services"))</f>
        <v/>
      </c>
    </row>
    <row r="4093" customFormat="false" ht="15" hidden="false" customHeight="false" outlineLevel="0" collapsed="false">
      <c r="J4093" s="41" t="str">
        <f aca="false">IF(D4093="","",IFERROR(IF(ISNUMBER(SEARCH(Assumptions!$C$5,D4093)),Assumptions!$D$5,IF(ISNUMBER(SEARCH(Assumptions!$C$6,D4093)),Assumptions!$D$6,IF(ISNUMBER(SEARCH(Assumptions!$C$7,D4093)),Assumptions!$D$7,"Other Services"))),"Other Services"))</f>
        <v/>
      </c>
    </row>
    <row r="4094" customFormat="false" ht="15" hidden="false" customHeight="false" outlineLevel="0" collapsed="false">
      <c r="J4094" s="41" t="str">
        <f aca="false">IF(D4094="","",IFERROR(IF(ISNUMBER(SEARCH(Assumptions!$C$5,D4094)),Assumptions!$D$5,IF(ISNUMBER(SEARCH(Assumptions!$C$6,D4094)),Assumptions!$D$6,IF(ISNUMBER(SEARCH(Assumptions!$C$7,D4094)),Assumptions!$D$7,"Other Services"))),"Other Services"))</f>
        <v/>
      </c>
    </row>
    <row r="4095" customFormat="false" ht="15" hidden="false" customHeight="false" outlineLevel="0" collapsed="false">
      <c r="J4095" s="41" t="str">
        <f aca="false">IF(D4095="","",IFERROR(IF(ISNUMBER(SEARCH(Assumptions!$C$5,D4095)),Assumptions!$D$5,IF(ISNUMBER(SEARCH(Assumptions!$C$6,D4095)),Assumptions!$D$6,IF(ISNUMBER(SEARCH(Assumptions!$C$7,D4095)),Assumptions!$D$7,"Other Services"))),"Other Services"))</f>
        <v/>
      </c>
    </row>
    <row r="4096" customFormat="false" ht="15" hidden="false" customHeight="false" outlineLevel="0" collapsed="false">
      <c r="J4096" s="41" t="str">
        <f aca="false">IF(D4096="","",IFERROR(IF(ISNUMBER(SEARCH(Assumptions!$C$5,D4096)),Assumptions!$D$5,IF(ISNUMBER(SEARCH(Assumptions!$C$6,D4096)),Assumptions!$D$6,IF(ISNUMBER(SEARCH(Assumptions!$C$7,D4096)),Assumptions!$D$7,"Other Services"))),"Other Services"))</f>
        <v/>
      </c>
    </row>
    <row r="4097" customFormat="false" ht="15" hidden="false" customHeight="false" outlineLevel="0" collapsed="false">
      <c r="J4097" s="41" t="str">
        <f aca="false">IF(D4097="","",IFERROR(IF(ISNUMBER(SEARCH(Assumptions!$C$5,D4097)),Assumptions!$D$5,IF(ISNUMBER(SEARCH(Assumptions!$C$6,D4097)),Assumptions!$D$6,IF(ISNUMBER(SEARCH(Assumptions!$C$7,D4097)),Assumptions!$D$7,"Other Services"))),"Other Services"))</f>
        <v/>
      </c>
    </row>
    <row r="4098" customFormat="false" ht="15" hidden="false" customHeight="false" outlineLevel="0" collapsed="false">
      <c r="J4098" s="41" t="str">
        <f aca="false">IF(D4098="","",IFERROR(IF(ISNUMBER(SEARCH(Assumptions!$C$5,D4098)),Assumptions!$D$5,IF(ISNUMBER(SEARCH(Assumptions!$C$6,D4098)),Assumptions!$D$6,IF(ISNUMBER(SEARCH(Assumptions!$C$7,D4098)),Assumptions!$D$7,"Other Services"))),"Other Services"))</f>
        <v/>
      </c>
    </row>
    <row r="4099" customFormat="false" ht="15" hidden="false" customHeight="false" outlineLevel="0" collapsed="false">
      <c r="J4099" s="41" t="str">
        <f aca="false">IF(D4099="","",IFERROR(IF(ISNUMBER(SEARCH(Assumptions!$C$5,D4099)),Assumptions!$D$5,IF(ISNUMBER(SEARCH(Assumptions!$C$6,D4099)),Assumptions!$D$6,IF(ISNUMBER(SEARCH(Assumptions!$C$7,D4099)),Assumptions!$D$7,"Other Services"))),"Other Services"))</f>
        <v/>
      </c>
    </row>
    <row r="4100" customFormat="false" ht="15" hidden="false" customHeight="false" outlineLevel="0" collapsed="false">
      <c r="J4100" s="41" t="str">
        <f aca="false">IF(D4100="","",IFERROR(IF(ISNUMBER(SEARCH(Assumptions!$C$5,D4100)),Assumptions!$D$5,IF(ISNUMBER(SEARCH(Assumptions!$C$6,D4100)),Assumptions!$D$6,IF(ISNUMBER(SEARCH(Assumptions!$C$7,D4100)),Assumptions!$D$7,"Other Services"))),"Other Services"))</f>
        <v/>
      </c>
    </row>
    <row r="4101" customFormat="false" ht="15" hidden="false" customHeight="false" outlineLevel="0" collapsed="false">
      <c r="J4101" s="41" t="str">
        <f aca="false">IF(D4101="","",IFERROR(IF(ISNUMBER(SEARCH(Assumptions!$C$5,D4101)),Assumptions!$D$5,IF(ISNUMBER(SEARCH(Assumptions!$C$6,D4101)),Assumptions!$D$6,IF(ISNUMBER(SEARCH(Assumptions!$C$7,D4101)),Assumptions!$D$7,"Other Services"))),"Other Services"))</f>
        <v/>
      </c>
    </row>
    <row r="4102" customFormat="false" ht="15" hidden="false" customHeight="false" outlineLevel="0" collapsed="false">
      <c r="J4102" s="41" t="str">
        <f aca="false">IF(D4102="","",IFERROR(IF(ISNUMBER(SEARCH(Assumptions!$C$5,D4102)),Assumptions!$D$5,IF(ISNUMBER(SEARCH(Assumptions!$C$6,D4102)),Assumptions!$D$6,IF(ISNUMBER(SEARCH(Assumptions!$C$7,D4102)),Assumptions!$D$7,"Other Services"))),"Other Services"))</f>
        <v/>
      </c>
    </row>
    <row r="4103" customFormat="false" ht="15" hidden="false" customHeight="false" outlineLevel="0" collapsed="false">
      <c r="J4103" s="41" t="str">
        <f aca="false">IF(D4103="","",IFERROR(IF(ISNUMBER(SEARCH(Assumptions!$C$5,D4103)),Assumptions!$D$5,IF(ISNUMBER(SEARCH(Assumptions!$C$6,D4103)),Assumptions!$D$6,IF(ISNUMBER(SEARCH(Assumptions!$C$7,D4103)),Assumptions!$D$7,"Other Services"))),"Other Services"))</f>
        <v/>
      </c>
    </row>
    <row r="4104" customFormat="false" ht="15" hidden="false" customHeight="false" outlineLevel="0" collapsed="false">
      <c r="J4104" s="41" t="str">
        <f aca="false">IF(D4104="","",IFERROR(IF(ISNUMBER(SEARCH(Assumptions!$C$5,D4104)),Assumptions!$D$5,IF(ISNUMBER(SEARCH(Assumptions!$C$6,D4104)),Assumptions!$D$6,IF(ISNUMBER(SEARCH(Assumptions!$C$7,D4104)),Assumptions!$D$7,"Other Services"))),"Other Services"))</f>
        <v/>
      </c>
    </row>
    <row r="4105" customFormat="false" ht="15" hidden="false" customHeight="false" outlineLevel="0" collapsed="false">
      <c r="J4105" s="41" t="str">
        <f aca="false">IF(D4105="","",IFERROR(IF(ISNUMBER(SEARCH(Assumptions!$C$5,D4105)),Assumptions!$D$5,IF(ISNUMBER(SEARCH(Assumptions!$C$6,D4105)),Assumptions!$D$6,IF(ISNUMBER(SEARCH(Assumptions!$C$7,D4105)),Assumptions!$D$7,"Other Services"))),"Other Services"))</f>
        <v/>
      </c>
    </row>
    <row r="4106" customFormat="false" ht="15" hidden="false" customHeight="false" outlineLevel="0" collapsed="false">
      <c r="J4106" s="41" t="str">
        <f aca="false">IF(D4106="","",IFERROR(IF(ISNUMBER(SEARCH(Assumptions!$C$5,D4106)),Assumptions!$D$5,IF(ISNUMBER(SEARCH(Assumptions!$C$6,D4106)),Assumptions!$D$6,IF(ISNUMBER(SEARCH(Assumptions!$C$7,D4106)),Assumptions!$D$7,"Other Services"))),"Other Services"))</f>
        <v/>
      </c>
    </row>
    <row r="4107" customFormat="false" ht="15" hidden="false" customHeight="false" outlineLevel="0" collapsed="false">
      <c r="J4107" s="41" t="str">
        <f aca="false">IF(D4107="","",IFERROR(IF(ISNUMBER(SEARCH(Assumptions!$C$5,D4107)),Assumptions!$D$5,IF(ISNUMBER(SEARCH(Assumptions!$C$6,D4107)),Assumptions!$D$6,IF(ISNUMBER(SEARCH(Assumptions!$C$7,D4107)),Assumptions!$D$7,"Other Services"))),"Other Services"))</f>
        <v/>
      </c>
    </row>
    <row r="4108" customFormat="false" ht="15" hidden="false" customHeight="false" outlineLevel="0" collapsed="false">
      <c r="J4108" s="41" t="str">
        <f aca="false">IF(D4108="","",IFERROR(IF(ISNUMBER(SEARCH(Assumptions!$C$5,D4108)),Assumptions!$D$5,IF(ISNUMBER(SEARCH(Assumptions!$C$6,D4108)),Assumptions!$D$6,IF(ISNUMBER(SEARCH(Assumptions!$C$7,D4108)),Assumptions!$D$7,"Other Services"))),"Other Services"))</f>
        <v/>
      </c>
    </row>
    <row r="4109" customFormat="false" ht="15" hidden="false" customHeight="false" outlineLevel="0" collapsed="false">
      <c r="J4109" s="41" t="str">
        <f aca="false">IF(D4109="","",IFERROR(IF(ISNUMBER(SEARCH(Assumptions!$C$5,D4109)),Assumptions!$D$5,IF(ISNUMBER(SEARCH(Assumptions!$C$6,D4109)),Assumptions!$D$6,IF(ISNUMBER(SEARCH(Assumptions!$C$7,D4109)),Assumptions!$D$7,"Other Services"))),"Other Services"))</f>
        <v/>
      </c>
    </row>
    <row r="4110" customFormat="false" ht="15" hidden="false" customHeight="false" outlineLevel="0" collapsed="false">
      <c r="J4110" s="41" t="str">
        <f aca="false">IF(D4110="","",IFERROR(IF(ISNUMBER(SEARCH(Assumptions!$C$5,D4110)),Assumptions!$D$5,IF(ISNUMBER(SEARCH(Assumptions!$C$6,D4110)),Assumptions!$D$6,IF(ISNUMBER(SEARCH(Assumptions!$C$7,D4110)),Assumptions!$D$7,"Other Services"))),"Other Services"))</f>
        <v/>
      </c>
    </row>
    <row r="4111" customFormat="false" ht="15" hidden="false" customHeight="false" outlineLevel="0" collapsed="false">
      <c r="J4111" s="41" t="str">
        <f aca="false">IF(D4111="","",IFERROR(IF(ISNUMBER(SEARCH(Assumptions!$C$5,D4111)),Assumptions!$D$5,IF(ISNUMBER(SEARCH(Assumptions!$C$6,D4111)),Assumptions!$D$6,IF(ISNUMBER(SEARCH(Assumptions!$C$7,D4111)),Assumptions!$D$7,"Other Services"))),"Other Services"))</f>
        <v/>
      </c>
    </row>
    <row r="4112" customFormat="false" ht="15" hidden="false" customHeight="false" outlineLevel="0" collapsed="false">
      <c r="J4112" s="41" t="str">
        <f aca="false">IF(D4112="","",IFERROR(IF(ISNUMBER(SEARCH(Assumptions!$C$5,D4112)),Assumptions!$D$5,IF(ISNUMBER(SEARCH(Assumptions!$C$6,D4112)),Assumptions!$D$6,IF(ISNUMBER(SEARCH(Assumptions!$C$7,D4112)),Assumptions!$D$7,"Other Services"))),"Other Services"))</f>
        <v/>
      </c>
    </row>
    <row r="4113" customFormat="false" ht="15" hidden="false" customHeight="false" outlineLevel="0" collapsed="false">
      <c r="J4113" s="41" t="str">
        <f aca="false">IF(D4113="","",IFERROR(IF(ISNUMBER(SEARCH(Assumptions!$C$5,D4113)),Assumptions!$D$5,IF(ISNUMBER(SEARCH(Assumptions!$C$6,D4113)),Assumptions!$D$6,IF(ISNUMBER(SEARCH(Assumptions!$C$7,D4113)),Assumptions!$D$7,"Other Services"))),"Other Services"))</f>
        <v/>
      </c>
    </row>
    <row r="4114" customFormat="false" ht="15" hidden="false" customHeight="false" outlineLevel="0" collapsed="false">
      <c r="J4114" s="41" t="str">
        <f aca="false">IF(D4114="","",IFERROR(IF(ISNUMBER(SEARCH(Assumptions!$C$5,D4114)),Assumptions!$D$5,IF(ISNUMBER(SEARCH(Assumptions!$C$6,D4114)),Assumptions!$D$6,IF(ISNUMBER(SEARCH(Assumptions!$C$7,D4114)),Assumptions!$D$7,"Other Services"))),"Other Services"))</f>
        <v/>
      </c>
    </row>
    <row r="4115" customFormat="false" ht="15" hidden="false" customHeight="false" outlineLevel="0" collapsed="false">
      <c r="J4115" s="41" t="str">
        <f aca="false">IF(D4115="","",IFERROR(IF(ISNUMBER(SEARCH(Assumptions!$C$5,D4115)),Assumptions!$D$5,IF(ISNUMBER(SEARCH(Assumptions!$C$6,D4115)),Assumptions!$D$6,IF(ISNUMBER(SEARCH(Assumptions!$C$7,D4115)),Assumptions!$D$7,"Other Services"))),"Other Services"))</f>
        <v/>
      </c>
    </row>
    <row r="4116" customFormat="false" ht="15" hidden="false" customHeight="false" outlineLevel="0" collapsed="false">
      <c r="J4116" s="41" t="str">
        <f aca="false">IF(D4116="","",IFERROR(IF(ISNUMBER(SEARCH(Assumptions!$C$5,D4116)),Assumptions!$D$5,IF(ISNUMBER(SEARCH(Assumptions!$C$6,D4116)),Assumptions!$D$6,IF(ISNUMBER(SEARCH(Assumptions!$C$7,D4116)),Assumptions!$D$7,"Other Services"))),"Other Services"))</f>
        <v/>
      </c>
    </row>
    <row r="4117" customFormat="false" ht="15" hidden="false" customHeight="false" outlineLevel="0" collapsed="false">
      <c r="J4117" s="41" t="str">
        <f aca="false">IF(D4117="","",IFERROR(IF(ISNUMBER(SEARCH(Assumptions!$C$5,D4117)),Assumptions!$D$5,IF(ISNUMBER(SEARCH(Assumptions!$C$6,D4117)),Assumptions!$D$6,IF(ISNUMBER(SEARCH(Assumptions!$C$7,D4117)),Assumptions!$D$7,"Other Services"))),"Other Services"))</f>
        <v/>
      </c>
    </row>
    <row r="4118" customFormat="false" ht="15" hidden="false" customHeight="false" outlineLevel="0" collapsed="false">
      <c r="J4118" s="41" t="str">
        <f aca="false">IF(D4118="","",IFERROR(IF(ISNUMBER(SEARCH(Assumptions!$C$5,D4118)),Assumptions!$D$5,IF(ISNUMBER(SEARCH(Assumptions!$C$6,D4118)),Assumptions!$D$6,IF(ISNUMBER(SEARCH(Assumptions!$C$7,D4118)),Assumptions!$D$7,"Other Services"))),"Other Services"))</f>
        <v/>
      </c>
    </row>
    <row r="4119" customFormat="false" ht="15" hidden="false" customHeight="false" outlineLevel="0" collapsed="false">
      <c r="J4119" s="41" t="str">
        <f aca="false">IF(D4119="","",IFERROR(IF(ISNUMBER(SEARCH(Assumptions!$C$5,D4119)),Assumptions!$D$5,IF(ISNUMBER(SEARCH(Assumptions!$C$6,D4119)),Assumptions!$D$6,IF(ISNUMBER(SEARCH(Assumptions!$C$7,D4119)),Assumptions!$D$7,"Other Services"))),"Other Services"))</f>
        <v/>
      </c>
    </row>
    <row r="4120" customFormat="false" ht="15" hidden="false" customHeight="false" outlineLevel="0" collapsed="false">
      <c r="J4120" s="41" t="str">
        <f aca="false">IF(D4120="","",IFERROR(IF(ISNUMBER(SEARCH(Assumptions!$C$5,D4120)),Assumptions!$D$5,IF(ISNUMBER(SEARCH(Assumptions!$C$6,D4120)),Assumptions!$D$6,IF(ISNUMBER(SEARCH(Assumptions!$C$7,D4120)),Assumptions!$D$7,"Other Services"))),"Other Services"))</f>
        <v/>
      </c>
    </row>
    <row r="4121" customFormat="false" ht="15" hidden="false" customHeight="false" outlineLevel="0" collapsed="false">
      <c r="J4121" s="41" t="str">
        <f aca="false">IF(D4121="","",IFERROR(IF(ISNUMBER(SEARCH(Assumptions!$C$5,D4121)),Assumptions!$D$5,IF(ISNUMBER(SEARCH(Assumptions!$C$6,D4121)),Assumptions!$D$6,IF(ISNUMBER(SEARCH(Assumptions!$C$7,D4121)),Assumptions!$D$7,"Other Services"))),"Other Services"))</f>
        <v/>
      </c>
    </row>
    <row r="4122" customFormat="false" ht="15" hidden="false" customHeight="false" outlineLevel="0" collapsed="false">
      <c r="J4122" s="41" t="str">
        <f aca="false">IF(D4122="","",IFERROR(IF(ISNUMBER(SEARCH(Assumptions!$C$5,D4122)),Assumptions!$D$5,IF(ISNUMBER(SEARCH(Assumptions!$C$6,D4122)),Assumptions!$D$6,IF(ISNUMBER(SEARCH(Assumptions!$C$7,D4122)),Assumptions!$D$7,"Other Services"))),"Other Services"))</f>
        <v/>
      </c>
    </row>
    <row r="4123" customFormat="false" ht="15" hidden="false" customHeight="false" outlineLevel="0" collapsed="false">
      <c r="J4123" s="41" t="str">
        <f aca="false">IF(D4123="","",IFERROR(IF(ISNUMBER(SEARCH(Assumptions!$C$5,D4123)),Assumptions!$D$5,IF(ISNUMBER(SEARCH(Assumptions!$C$6,D4123)),Assumptions!$D$6,IF(ISNUMBER(SEARCH(Assumptions!$C$7,D4123)),Assumptions!$D$7,"Other Services"))),"Other Services"))</f>
        <v/>
      </c>
    </row>
    <row r="4124" customFormat="false" ht="15" hidden="false" customHeight="false" outlineLevel="0" collapsed="false">
      <c r="J4124" s="41" t="str">
        <f aca="false">IF(D4124="","",IFERROR(IF(ISNUMBER(SEARCH(Assumptions!$C$5,D4124)),Assumptions!$D$5,IF(ISNUMBER(SEARCH(Assumptions!$C$6,D4124)),Assumptions!$D$6,IF(ISNUMBER(SEARCH(Assumptions!$C$7,D4124)),Assumptions!$D$7,"Other Services"))),"Other Services"))</f>
        <v/>
      </c>
    </row>
    <row r="4125" customFormat="false" ht="15" hidden="false" customHeight="false" outlineLevel="0" collapsed="false">
      <c r="J4125" s="41" t="str">
        <f aca="false">IF(D4125="","",IFERROR(IF(ISNUMBER(SEARCH(Assumptions!$C$5,D4125)),Assumptions!$D$5,IF(ISNUMBER(SEARCH(Assumptions!$C$6,D4125)),Assumptions!$D$6,IF(ISNUMBER(SEARCH(Assumptions!$C$7,D4125)),Assumptions!$D$7,"Other Services"))),"Other Services"))</f>
        <v/>
      </c>
    </row>
    <row r="4126" customFormat="false" ht="15" hidden="false" customHeight="false" outlineLevel="0" collapsed="false">
      <c r="J4126" s="41" t="str">
        <f aca="false">IF(D4126="","",IFERROR(IF(ISNUMBER(SEARCH(Assumptions!$C$5,D4126)),Assumptions!$D$5,IF(ISNUMBER(SEARCH(Assumptions!$C$6,D4126)),Assumptions!$D$6,IF(ISNUMBER(SEARCH(Assumptions!$C$7,D4126)),Assumptions!$D$7,"Other Services"))),"Other Services"))</f>
        <v/>
      </c>
    </row>
    <row r="4127" customFormat="false" ht="15" hidden="false" customHeight="false" outlineLevel="0" collapsed="false">
      <c r="J4127" s="41" t="str">
        <f aca="false">IF(D4127="","",IFERROR(IF(ISNUMBER(SEARCH(Assumptions!$C$5,D4127)),Assumptions!$D$5,IF(ISNUMBER(SEARCH(Assumptions!$C$6,D4127)),Assumptions!$D$6,IF(ISNUMBER(SEARCH(Assumptions!$C$7,D4127)),Assumptions!$D$7,"Other Services"))),"Other Services"))</f>
        <v/>
      </c>
    </row>
    <row r="4128" customFormat="false" ht="15" hidden="false" customHeight="false" outlineLevel="0" collapsed="false">
      <c r="J4128" s="41" t="str">
        <f aca="false">IF(D4128="","",IFERROR(IF(ISNUMBER(SEARCH(Assumptions!$C$5,D4128)),Assumptions!$D$5,IF(ISNUMBER(SEARCH(Assumptions!$C$6,D4128)),Assumptions!$D$6,IF(ISNUMBER(SEARCH(Assumptions!$C$7,D4128)),Assumptions!$D$7,"Other Services"))),"Other Services"))</f>
        <v/>
      </c>
    </row>
    <row r="4129" customFormat="false" ht="15" hidden="false" customHeight="false" outlineLevel="0" collapsed="false">
      <c r="J4129" s="41" t="str">
        <f aca="false">IF(D4129="","",IFERROR(IF(ISNUMBER(SEARCH(Assumptions!$C$5,D4129)),Assumptions!$D$5,IF(ISNUMBER(SEARCH(Assumptions!$C$6,D4129)),Assumptions!$D$6,IF(ISNUMBER(SEARCH(Assumptions!$C$7,D4129)),Assumptions!$D$7,"Other Services"))),"Other Services"))</f>
        <v/>
      </c>
    </row>
    <row r="4130" customFormat="false" ht="15" hidden="false" customHeight="false" outlineLevel="0" collapsed="false">
      <c r="J4130" s="41" t="str">
        <f aca="false">IF(D4130="","",IFERROR(IF(ISNUMBER(SEARCH(Assumptions!$C$5,D4130)),Assumptions!$D$5,IF(ISNUMBER(SEARCH(Assumptions!$C$6,D4130)),Assumptions!$D$6,IF(ISNUMBER(SEARCH(Assumptions!$C$7,D4130)),Assumptions!$D$7,"Other Services"))),"Other Services"))</f>
        <v/>
      </c>
    </row>
    <row r="4131" customFormat="false" ht="15" hidden="false" customHeight="false" outlineLevel="0" collapsed="false">
      <c r="J4131" s="41" t="str">
        <f aca="false">IF(D4131="","",IFERROR(IF(ISNUMBER(SEARCH(Assumptions!$C$5,D4131)),Assumptions!$D$5,IF(ISNUMBER(SEARCH(Assumptions!$C$6,D4131)),Assumptions!$D$6,IF(ISNUMBER(SEARCH(Assumptions!$C$7,D4131)),Assumptions!$D$7,"Other Services"))),"Other Services"))</f>
        <v/>
      </c>
    </row>
    <row r="4132" customFormat="false" ht="15" hidden="false" customHeight="false" outlineLevel="0" collapsed="false">
      <c r="J4132" s="41" t="str">
        <f aca="false">IF(D4132="","",IFERROR(IF(ISNUMBER(SEARCH(Assumptions!$C$5,D4132)),Assumptions!$D$5,IF(ISNUMBER(SEARCH(Assumptions!$C$6,D4132)),Assumptions!$D$6,IF(ISNUMBER(SEARCH(Assumptions!$C$7,D4132)),Assumptions!$D$7,"Other Services"))),"Other Services"))</f>
        <v/>
      </c>
    </row>
    <row r="4133" customFormat="false" ht="15" hidden="false" customHeight="false" outlineLevel="0" collapsed="false">
      <c r="J4133" s="41" t="str">
        <f aca="false">IF(D4133="","",IFERROR(IF(ISNUMBER(SEARCH(Assumptions!$C$5,D4133)),Assumptions!$D$5,IF(ISNUMBER(SEARCH(Assumptions!$C$6,D4133)),Assumptions!$D$6,IF(ISNUMBER(SEARCH(Assumptions!$C$7,D4133)),Assumptions!$D$7,"Other Services"))),"Other Services"))</f>
        <v/>
      </c>
    </row>
    <row r="4134" customFormat="false" ht="15" hidden="false" customHeight="false" outlineLevel="0" collapsed="false">
      <c r="J4134" s="41" t="str">
        <f aca="false">IF(D4134="","",IFERROR(IF(ISNUMBER(SEARCH(Assumptions!$C$5,D4134)),Assumptions!$D$5,IF(ISNUMBER(SEARCH(Assumptions!$C$6,D4134)),Assumptions!$D$6,IF(ISNUMBER(SEARCH(Assumptions!$C$7,D4134)),Assumptions!$D$7,"Other Services"))),"Other Services"))</f>
        <v/>
      </c>
    </row>
    <row r="4135" customFormat="false" ht="15" hidden="false" customHeight="false" outlineLevel="0" collapsed="false">
      <c r="J4135" s="41" t="str">
        <f aca="false">IF(D4135="","",IFERROR(IF(ISNUMBER(SEARCH(Assumptions!$C$5,D4135)),Assumptions!$D$5,IF(ISNUMBER(SEARCH(Assumptions!$C$6,D4135)),Assumptions!$D$6,IF(ISNUMBER(SEARCH(Assumptions!$C$7,D4135)),Assumptions!$D$7,"Other Services"))),"Other Services"))</f>
        <v/>
      </c>
    </row>
    <row r="4136" customFormat="false" ht="15" hidden="false" customHeight="false" outlineLevel="0" collapsed="false">
      <c r="J4136" s="41" t="str">
        <f aca="false">IF(D4136="","",IFERROR(IF(ISNUMBER(SEARCH(Assumptions!$C$5,D4136)),Assumptions!$D$5,IF(ISNUMBER(SEARCH(Assumptions!$C$6,D4136)),Assumptions!$D$6,IF(ISNUMBER(SEARCH(Assumptions!$C$7,D4136)),Assumptions!$D$7,"Other Services"))),"Other Services"))</f>
        <v/>
      </c>
    </row>
    <row r="4137" customFormat="false" ht="15" hidden="false" customHeight="false" outlineLevel="0" collapsed="false">
      <c r="J4137" s="41" t="str">
        <f aca="false">IF(D4137="","",IFERROR(IF(ISNUMBER(SEARCH(Assumptions!$C$5,D4137)),Assumptions!$D$5,IF(ISNUMBER(SEARCH(Assumptions!$C$6,D4137)),Assumptions!$D$6,IF(ISNUMBER(SEARCH(Assumptions!$C$7,D4137)),Assumptions!$D$7,"Other Services"))),"Other Services"))</f>
        <v/>
      </c>
    </row>
    <row r="4138" customFormat="false" ht="15" hidden="false" customHeight="false" outlineLevel="0" collapsed="false">
      <c r="J4138" s="41" t="str">
        <f aca="false">IF(D4138="","",IFERROR(IF(ISNUMBER(SEARCH(Assumptions!$C$5,D4138)),Assumptions!$D$5,IF(ISNUMBER(SEARCH(Assumptions!$C$6,D4138)),Assumptions!$D$6,IF(ISNUMBER(SEARCH(Assumptions!$C$7,D4138)),Assumptions!$D$7,"Other Services"))),"Other Services"))</f>
        <v/>
      </c>
    </row>
    <row r="4139" customFormat="false" ht="15" hidden="false" customHeight="false" outlineLevel="0" collapsed="false">
      <c r="J4139" s="41" t="str">
        <f aca="false">IF(D4139="","",IFERROR(IF(ISNUMBER(SEARCH(Assumptions!$C$5,D4139)),Assumptions!$D$5,IF(ISNUMBER(SEARCH(Assumptions!$C$6,D4139)),Assumptions!$D$6,IF(ISNUMBER(SEARCH(Assumptions!$C$7,D4139)),Assumptions!$D$7,"Other Services"))),"Other Services"))</f>
        <v/>
      </c>
    </row>
    <row r="4140" customFormat="false" ht="15" hidden="false" customHeight="false" outlineLevel="0" collapsed="false">
      <c r="J4140" s="41" t="str">
        <f aca="false">IF(D4140="","",IFERROR(IF(ISNUMBER(SEARCH(Assumptions!$C$5,D4140)),Assumptions!$D$5,IF(ISNUMBER(SEARCH(Assumptions!$C$6,D4140)),Assumptions!$D$6,IF(ISNUMBER(SEARCH(Assumptions!$C$7,D4140)),Assumptions!$D$7,"Other Services"))),"Other Services"))</f>
        <v/>
      </c>
    </row>
    <row r="4141" customFormat="false" ht="15" hidden="false" customHeight="false" outlineLevel="0" collapsed="false">
      <c r="J4141" s="41" t="str">
        <f aca="false">IF(D4141="","",IFERROR(IF(ISNUMBER(SEARCH(Assumptions!$C$5,D4141)),Assumptions!$D$5,IF(ISNUMBER(SEARCH(Assumptions!$C$6,D4141)),Assumptions!$D$6,IF(ISNUMBER(SEARCH(Assumptions!$C$7,D4141)),Assumptions!$D$7,"Other Services"))),"Other Services"))</f>
        <v/>
      </c>
    </row>
    <row r="4142" customFormat="false" ht="15" hidden="false" customHeight="false" outlineLevel="0" collapsed="false">
      <c r="J4142" s="41" t="str">
        <f aca="false">IF(D4142="","",IFERROR(IF(ISNUMBER(SEARCH(Assumptions!$C$5,D4142)),Assumptions!$D$5,IF(ISNUMBER(SEARCH(Assumptions!$C$6,D4142)),Assumptions!$D$6,IF(ISNUMBER(SEARCH(Assumptions!$C$7,D4142)),Assumptions!$D$7,"Other Services"))),"Other Services"))</f>
        <v/>
      </c>
    </row>
    <row r="4143" customFormat="false" ht="15" hidden="false" customHeight="false" outlineLevel="0" collapsed="false">
      <c r="J4143" s="41" t="str">
        <f aca="false">IF(D4143="","",IFERROR(IF(ISNUMBER(SEARCH(Assumptions!$C$5,D4143)),Assumptions!$D$5,IF(ISNUMBER(SEARCH(Assumptions!$C$6,D4143)),Assumptions!$D$6,IF(ISNUMBER(SEARCH(Assumptions!$C$7,D4143)),Assumptions!$D$7,"Other Services"))),"Other Services"))</f>
        <v/>
      </c>
    </row>
    <row r="4144" customFormat="false" ht="15" hidden="false" customHeight="false" outlineLevel="0" collapsed="false">
      <c r="J4144" s="41" t="str">
        <f aca="false">IF(D4144="","",IFERROR(IF(ISNUMBER(SEARCH(Assumptions!$C$5,D4144)),Assumptions!$D$5,IF(ISNUMBER(SEARCH(Assumptions!$C$6,D4144)),Assumptions!$D$6,IF(ISNUMBER(SEARCH(Assumptions!$C$7,D4144)),Assumptions!$D$7,"Other Services"))),"Other Services"))</f>
        <v/>
      </c>
    </row>
    <row r="4145" customFormat="false" ht="15" hidden="false" customHeight="false" outlineLevel="0" collapsed="false">
      <c r="J4145" s="41" t="str">
        <f aca="false">IF(D4145="","",IFERROR(IF(ISNUMBER(SEARCH(Assumptions!$C$5,D4145)),Assumptions!$D$5,IF(ISNUMBER(SEARCH(Assumptions!$C$6,D4145)),Assumptions!$D$6,IF(ISNUMBER(SEARCH(Assumptions!$C$7,D4145)),Assumptions!$D$7,"Other Services"))),"Other Services"))</f>
        <v/>
      </c>
    </row>
    <row r="4146" customFormat="false" ht="15" hidden="false" customHeight="false" outlineLevel="0" collapsed="false">
      <c r="J4146" s="41" t="str">
        <f aca="false">IF(D4146="","",IFERROR(IF(ISNUMBER(SEARCH(Assumptions!$C$5,D4146)),Assumptions!$D$5,IF(ISNUMBER(SEARCH(Assumptions!$C$6,D4146)),Assumptions!$D$6,IF(ISNUMBER(SEARCH(Assumptions!$C$7,D4146)),Assumptions!$D$7,"Other Services"))),"Other Services"))</f>
        <v/>
      </c>
    </row>
    <row r="4147" customFormat="false" ht="15" hidden="false" customHeight="false" outlineLevel="0" collapsed="false">
      <c r="J4147" s="41" t="str">
        <f aca="false">IF(D4147="","",IFERROR(IF(ISNUMBER(SEARCH(Assumptions!$C$5,D4147)),Assumptions!$D$5,IF(ISNUMBER(SEARCH(Assumptions!$C$6,D4147)),Assumptions!$D$6,IF(ISNUMBER(SEARCH(Assumptions!$C$7,D4147)),Assumptions!$D$7,"Other Services"))),"Other Services"))</f>
        <v/>
      </c>
    </row>
    <row r="4148" customFormat="false" ht="15" hidden="false" customHeight="false" outlineLevel="0" collapsed="false">
      <c r="J4148" s="41" t="str">
        <f aca="false">IF(D4148="","",IFERROR(IF(ISNUMBER(SEARCH(Assumptions!$C$5,D4148)),Assumptions!$D$5,IF(ISNUMBER(SEARCH(Assumptions!$C$6,D4148)),Assumptions!$D$6,IF(ISNUMBER(SEARCH(Assumptions!$C$7,D4148)),Assumptions!$D$7,"Other Services"))),"Other Services"))</f>
        <v/>
      </c>
    </row>
    <row r="4149" customFormat="false" ht="15" hidden="false" customHeight="false" outlineLevel="0" collapsed="false">
      <c r="J4149" s="41" t="str">
        <f aca="false">IF(D4149="","",IFERROR(IF(ISNUMBER(SEARCH(Assumptions!$C$5,D4149)),Assumptions!$D$5,IF(ISNUMBER(SEARCH(Assumptions!$C$6,D4149)),Assumptions!$D$6,IF(ISNUMBER(SEARCH(Assumptions!$C$7,D4149)),Assumptions!$D$7,"Other Services"))),"Other Services"))</f>
        <v/>
      </c>
    </row>
    <row r="4150" customFormat="false" ht="15" hidden="false" customHeight="false" outlineLevel="0" collapsed="false">
      <c r="J4150" s="41" t="str">
        <f aca="false">IF(D4150="","",IFERROR(IF(ISNUMBER(SEARCH(Assumptions!$C$5,D4150)),Assumptions!$D$5,IF(ISNUMBER(SEARCH(Assumptions!$C$6,D4150)),Assumptions!$D$6,IF(ISNUMBER(SEARCH(Assumptions!$C$7,D4150)),Assumptions!$D$7,"Other Services"))),"Other Services"))</f>
        <v/>
      </c>
    </row>
    <row r="4151" customFormat="false" ht="15" hidden="false" customHeight="false" outlineLevel="0" collapsed="false">
      <c r="J4151" s="41" t="str">
        <f aca="false">IF(D4151="","",IFERROR(IF(ISNUMBER(SEARCH(Assumptions!$C$5,D4151)),Assumptions!$D$5,IF(ISNUMBER(SEARCH(Assumptions!$C$6,D4151)),Assumptions!$D$6,IF(ISNUMBER(SEARCH(Assumptions!$C$7,D4151)),Assumptions!$D$7,"Other Services"))),"Other Services"))</f>
        <v/>
      </c>
    </row>
    <row r="4152" customFormat="false" ht="15" hidden="false" customHeight="false" outlineLevel="0" collapsed="false">
      <c r="J4152" s="41" t="str">
        <f aca="false">IF(D4152="","",IFERROR(IF(ISNUMBER(SEARCH(Assumptions!$C$5,D4152)),Assumptions!$D$5,IF(ISNUMBER(SEARCH(Assumptions!$C$6,D4152)),Assumptions!$D$6,IF(ISNUMBER(SEARCH(Assumptions!$C$7,D4152)),Assumptions!$D$7,"Other Services"))),"Other Services"))</f>
        <v/>
      </c>
    </row>
    <row r="4153" customFormat="false" ht="15" hidden="false" customHeight="false" outlineLevel="0" collapsed="false">
      <c r="J4153" s="41" t="str">
        <f aca="false">IF(D4153="","",IFERROR(IF(ISNUMBER(SEARCH(Assumptions!$C$5,D4153)),Assumptions!$D$5,IF(ISNUMBER(SEARCH(Assumptions!$C$6,D4153)),Assumptions!$D$6,IF(ISNUMBER(SEARCH(Assumptions!$C$7,D4153)),Assumptions!$D$7,"Other Services"))),"Other Services"))</f>
        <v/>
      </c>
    </row>
    <row r="4154" customFormat="false" ht="15" hidden="false" customHeight="false" outlineLevel="0" collapsed="false">
      <c r="J4154" s="41" t="str">
        <f aca="false">IF(D4154="","",IFERROR(IF(ISNUMBER(SEARCH(Assumptions!$C$5,D4154)),Assumptions!$D$5,IF(ISNUMBER(SEARCH(Assumptions!$C$6,D4154)),Assumptions!$D$6,IF(ISNUMBER(SEARCH(Assumptions!$C$7,D4154)),Assumptions!$D$7,"Other Services"))),"Other Services"))</f>
        <v/>
      </c>
    </row>
    <row r="4155" customFormat="false" ht="15" hidden="false" customHeight="false" outlineLevel="0" collapsed="false">
      <c r="J4155" s="41" t="str">
        <f aca="false">IF(D4155="","",IFERROR(IF(ISNUMBER(SEARCH(Assumptions!$C$5,D4155)),Assumptions!$D$5,IF(ISNUMBER(SEARCH(Assumptions!$C$6,D4155)),Assumptions!$D$6,IF(ISNUMBER(SEARCH(Assumptions!$C$7,D4155)),Assumptions!$D$7,"Other Services"))),"Other Services"))</f>
        <v/>
      </c>
    </row>
    <row r="4156" customFormat="false" ht="15" hidden="false" customHeight="false" outlineLevel="0" collapsed="false">
      <c r="J4156" s="41" t="str">
        <f aca="false">IF(D4156="","",IFERROR(IF(ISNUMBER(SEARCH(Assumptions!$C$5,D4156)),Assumptions!$D$5,IF(ISNUMBER(SEARCH(Assumptions!$C$6,D4156)),Assumptions!$D$6,IF(ISNUMBER(SEARCH(Assumptions!$C$7,D4156)),Assumptions!$D$7,"Other Services"))),"Other Services"))</f>
        <v/>
      </c>
    </row>
    <row r="4157" customFormat="false" ht="15" hidden="false" customHeight="false" outlineLevel="0" collapsed="false">
      <c r="J4157" s="41" t="str">
        <f aca="false">IF(D4157="","",IFERROR(IF(ISNUMBER(SEARCH(Assumptions!$C$5,D4157)),Assumptions!$D$5,IF(ISNUMBER(SEARCH(Assumptions!$C$6,D4157)),Assumptions!$D$6,IF(ISNUMBER(SEARCH(Assumptions!$C$7,D4157)),Assumptions!$D$7,"Other Services"))),"Other Services"))</f>
        <v/>
      </c>
    </row>
    <row r="4158" customFormat="false" ht="15" hidden="false" customHeight="false" outlineLevel="0" collapsed="false">
      <c r="J4158" s="41" t="str">
        <f aca="false">IF(D4158="","",IFERROR(IF(ISNUMBER(SEARCH(Assumptions!$C$5,D4158)),Assumptions!$D$5,IF(ISNUMBER(SEARCH(Assumptions!$C$6,D4158)),Assumptions!$D$6,IF(ISNUMBER(SEARCH(Assumptions!$C$7,D4158)),Assumptions!$D$7,"Other Services"))),"Other Services"))</f>
        <v/>
      </c>
    </row>
    <row r="4159" customFormat="false" ht="15" hidden="false" customHeight="false" outlineLevel="0" collapsed="false">
      <c r="J4159" s="41" t="str">
        <f aca="false">IF(D4159="","",IFERROR(IF(ISNUMBER(SEARCH(Assumptions!$C$5,D4159)),Assumptions!$D$5,IF(ISNUMBER(SEARCH(Assumptions!$C$6,D4159)),Assumptions!$D$6,IF(ISNUMBER(SEARCH(Assumptions!$C$7,D4159)),Assumptions!$D$7,"Other Services"))),"Other Services"))</f>
        <v/>
      </c>
    </row>
    <row r="4160" customFormat="false" ht="15" hidden="false" customHeight="false" outlineLevel="0" collapsed="false">
      <c r="J4160" s="41" t="str">
        <f aca="false">IF(D4160="","",IFERROR(IF(ISNUMBER(SEARCH(Assumptions!$C$5,D4160)),Assumptions!$D$5,IF(ISNUMBER(SEARCH(Assumptions!$C$6,D4160)),Assumptions!$D$6,IF(ISNUMBER(SEARCH(Assumptions!$C$7,D4160)),Assumptions!$D$7,"Other Services"))),"Other Services"))</f>
        <v/>
      </c>
    </row>
    <row r="4161" customFormat="false" ht="15" hidden="false" customHeight="false" outlineLevel="0" collapsed="false">
      <c r="J4161" s="41" t="str">
        <f aca="false">IF(D4161="","",IFERROR(IF(ISNUMBER(SEARCH(Assumptions!$C$5,D4161)),Assumptions!$D$5,IF(ISNUMBER(SEARCH(Assumptions!$C$6,D4161)),Assumptions!$D$6,IF(ISNUMBER(SEARCH(Assumptions!$C$7,D4161)),Assumptions!$D$7,"Other Services"))),"Other Services"))</f>
        <v/>
      </c>
    </row>
    <row r="4162" customFormat="false" ht="15" hidden="false" customHeight="false" outlineLevel="0" collapsed="false">
      <c r="J4162" s="41" t="str">
        <f aca="false">IF(D4162="","",IFERROR(IF(ISNUMBER(SEARCH(Assumptions!$C$5,D4162)),Assumptions!$D$5,IF(ISNUMBER(SEARCH(Assumptions!$C$6,D4162)),Assumptions!$D$6,IF(ISNUMBER(SEARCH(Assumptions!$C$7,D4162)),Assumptions!$D$7,"Other Services"))),"Other Services"))</f>
        <v/>
      </c>
    </row>
    <row r="4163" customFormat="false" ht="15" hidden="false" customHeight="false" outlineLevel="0" collapsed="false">
      <c r="J4163" s="41" t="str">
        <f aca="false">IF(D4163="","",IFERROR(IF(ISNUMBER(SEARCH(Assumptions!$C$5,D4163)),Assumptions!$D$5,IF(ISNUMBER(SEARCH(Assumptions!$C$6,D4163)),Assumptions!$D$6,IF(ISNUMBER(SEARCH(Assumptions!$C$7,D4163)),Assumptions!$D$7,"Other Services"))),"Other Services"))</f>
        <v/>
      </c>
    </row>
    <row r="4164" customFormat="false" ht="15" hidden="false" customHeight="false" outlineLevel="0" collapsed="false">
      <c r="J4164" s="41" t="str">
        <f aca="false">IF(D4164="","",IFERROR(IF(ISNUMBER(SEARCH(Assumptions!$C$5,D4164)),Assumptions!$D$5,IF(ISNUMBER(SEARCH(Assumptions!$C$6,D4164)),Assumptions!$D$6,IF(ISNUMBER(SEARCH(Assumptions!$C$7,D4164)),Assumptions!$D$7,"Other Services"))),"Other Services"))</f>
        <v/>
      </c>
    </row>
    <row r="4165" customFormat="false" ht="15" hidden="false" customHeight="false" outlineLevel="0" collapsed="false">
      <c r="J4165" s="41" t="str">
        <f aca="false">IF(D4165="","",IFERROR(IF(ISNUMBER(SEARCH(Assumptions!$C$5,D4165)),Assumptions!$D$5,IF(ISNUMBER(SEARCH(Assumptions!$C$6,D4165)),Assumptions!$D$6,IF(ISNUMBER(SEARCH(Assumptions!$C$7,D4165)),Assumptions!$D$7,"Other Services"))),"Other Services"))</f>
        <v/>
      </c>
    </row>
    <row r="4166" customFormat="false" ht="15" hidden="false" customHeight="false" outlineLevel="0" collapsed="false">
      <c r="J4166" s="41" t="str">
        <f aca="false">IF(D4166="","",IFERROR(IF(ISNUMBER(SEARCH(Assumptions!$C$5,D4166)),Assumptions!$D$5,IF(ISNUMBER(SEARCH(Assumptions!$C$6,D4166)),Assumptions!$D$6,IF(ISNUMBER(SEARCH(Assumptions!$C$7,D4166)),Assumptions!$D$7,"Other Services"))),"Other Services"))</f>
        <v/>
      </c>
    </row>
    <row r="4167" customFormat="false" ht="15" hidden="false" customHeight="false" outlineLevel="0" collapsed="false">
      <c r="J4167" s="41" t="str">
        <f aca="false">IF(D4167="","",IFERROR(IF(ISNUMBER(SEARCH(Assumptions!$C$5,D4167)),Assumptions!$D$5,IF(ISNUMBER(SEARCH(Assumptions!$C$6,D4167)),Assumptions!$D$6,IF(ISNUMBER(SEARCH(Assumptions!$C$7,D4167)),Assumptions!$D$7,"Other Services"))),"Other Services"))</f>
        <v/>
      </c>
    </row>
    <row r="4168" customFormat="false" ht="15" hidden="false" customHeight="false" outlineLevel="0" collapsed="false">
      <c r="J4168" s="41" t="str">
        <f aca="false">IF(D4168="","",IFERROR(IF(ISNUMBER(SEARCH(Assumptions!$C$5,D4168)),Assumptions!$D$5,IF(ISNUMBER(SEARCH(Assumptions!$C$6,D4168)),Assumptions!$D$6,IF(ISNUMBER(SEARCH(Assumptions!$C$7,D4168)),Assumptions!$D$7,"Other Services"))),"Other Services"))</f>
        <v/>
      </c>
    </row>
    <row r="4169" customFormat="false" ht="15" hidden="false" customHeight="false" outlineLevel="0" collapsed="false">
      <c r="J4169" s="41" t="str">
        <f aca="false">IF(D4169="","",IFERROR(IF(ISNUMBER(SEARCH(Assumptions!$C$5,D4169)),Assumptions!$D$5,IF(ISNUMBER(SEARCH(Assumptions!$C$6,D4169)),Assumptions!$D$6,IF(ISNUMBER(SEARCH(Assumptions!$C$7,D4169)),Assumptions!$D$7,"Other Services"))),"Other Services"))</f>
        <v/>
      </c>
    </row>
    <row r="4170" customFormat="false" ht="15" hidden="false" customHeight="false" outlineLevel="0" collapsed="false">
      <c r="J4170" s="41" t="str">
        <f aca="false">IF(D4170="","",IFERROR(IF(ISNUMBER(SEARCH(Assumptions!$C$5,D4170)),Assumptions!$D$5,IF(ISNUMBER(SEARCH(Assumptions!$C$6,D4170)),Assumptions!$D$6,IF(ISNUMBER(SEARCH(Assumptions!$C$7,D4170)),Assumptions!$D$7,"Other Services"))),"Other Services"))</f>
        <v/>
      </c>
    </row>
    <row r="4171" customFormat="false" ht="15" hidden="false" customHeight="false" outlineLevel="0" collapsed="false">
      <c r="J4171" s="41" t="str">
        <f aca="false">IF(D4171="","",IFERROR(IF(ISNUMBER(SEARCH(Assumptions!$C$5,D4171)),Assumptions!$D$5,IF(ISNUMBER(SEARCH(Assumptions!$C$6,D4171)),Assumptions!$D$6,IF(ISNUMBER(SEARCH(Assumptions!$C$7,D4171)),Assumptions!$D$7,"Other Services"))),"Other Services"))</f>
        <v/>
      </c>
    </row>
    <row r="4172" customFormat="false" ht="15" hidden="false" customHeight="false" outlineLevel="0" collapsed="false">
      <c r="J4172" s="41" t="str">
        <f aca="false">IF(D4172="","",IFERROR(IF(ISNUMBER(SEARCH(Assumptions!$C$5,D4172)),Assumptions!$D$5,IF(ISNUMBER(SEARCH(Assumptions!$C$6,D4172)),Assumptions!$D$6,IF(ISNUMBER(SEARCH(Assumptions!$C$7,D4172)),Assumptions!$D$7,"Other Services"))),"Other Services"))</f>
        <v/>
      </c>
    </row>
    <row r="4173" customFormat="false" ht="15" hidden="false" customHeight="false" outlineLevel="0" collapsed="false">
      <c r="J4173" s="41" t="str">
        <f aca="false">IF(D4173="","",IFERROR(IF(ISNUMBER(SEARCH(Assumptions!$C$5,D4173)),Assumptions!$D$5,IF(ISNUMBER(SEARCH(Assumptions!$C$6,D4173)),Assumptions!$D$6,IF(ISNUMBER(SEARCH(Assumptions!$C$7,D4173)),Assumptions!$D$7,"Other Services"))),"Other Services"))</f>
        <v/>
      </c>
    </row>
    <row r="4174" customFormat="false" ht="15" hidden="false" customHeight="false" outlineLevel="0" collapsed="false">
      <c r="J4174" s="41" t="str">
        <f aca="false">IF(D4174="","",IFERROR(IF(ISNUMBER(SEARCH(Assumptions!$C$5,D4174)),Assumptions!$D$5,IF(ISNUMBER(SEARCH(Assumptions!$C$6,D4174)),Assumptions!$D$6,IF(ISNUMBER(SEARCH(Assumptions!$C$7,D4174)),Assumptions!$D$7,"Other Services"))),"Other Services"))</f>
        <v/>
      </c>
    </row>
    <row r="4175" customFormat="false" ht="15" hidden="false" customHeight="false" outlineLevel="0" collapsed="false">
      <c r="J4175" s="41" t="str">
        <f aca="false">IF(D4175="","",IFERROR(IF(ISNUMBER(SEARCH(Assumptions!$C$5,D4175)),Assumptions!$D$5,IF(ISNUMBER(SEARCH(Assumptions!$C$6,D4175)),Assumptions!$D$6,IF(ISNUMBER(SEARCH(Assumptions!$C$7,D4175)),Assumptions!$D$7,"Other Services"))),"Other Services"))</f>
        <v/>
      </c>
    </row>
    <row r="4176" customFormat="false" ht="15" hidden="false" customHeight="false" outlineLevel="0" collapsed="false">
      <c r="J4176" s="41" t="str">
        <f aca="false">IF(D4176="","",IFERROR(IF(ISNUMBER(SEARCH(Assumptions!$C$5,D4176)),Assumptions!$D$5,IF(ISNUMBER(SEARCH(Assumptions!$C$6,D4176)),Assumptions!$D$6,IF(ISNUMBER(SEARCH(Assumptions!$C$7,D4176)),Assumptions!$D$7,"Other Services"))),"Other Services"))</f>
        <v/>
      </c>
    </row>
    <row r="4177" customFormat="false" ht="15" hidden="false" customHeight="false" outlineLevel="0" collapsed="false">
      <c r="J4177" s="41" t="str">
        <f aca="false">IF(D4177="","",IFERROR(IF(ISNUMBER(SEARCH(Assumptions!$C$5,D4177)),Assumptions!$D$5,IF(ISNUMBER(SEARCH(Assumptions!$C$6,D4177)),Assumptions!$D$6,IF(ISNUMBER(SEARCH(Assumptions!$C$7,D4177)),Assumptions!$D$7,"Other Services"))),"Other Services"))</f>
        <v/>
      </c>
    </row>
    <row r="4178" customFormat="false" ht="15" hidden="false" customHeight="false" outlineLevel="0" collapsed="false">
      <c r="J4178" s="41" t="str">
        <f aca="false">IF(D4178="","",IFERROR(IF(ISNUMBER(SEARCH(Assumptions!$C$5,D4178)),Assumptions!$D$5,IF(ISNUMBER(SEARCH(Assumptions!$C$6,D4178)),Assumptions!$D$6,IF(ISNUMBER(SEARCH(Assumptions!$C$7,D4178)),Assumptions!$D$7,"Other Services"))),"Other Services"))</f>
        <v/>
      </c>
    </row>
    <row r="4179" customFormat="false" ht="15" hidden="false" customHeight="false" outlineLevel="0" collapsed="false">
      <c r="J4179" s="41" t="str">
        <f aca="false">IF(D4179="","",IFERROR(IF(ISNUMBER(SEARCH(Assumptions!$C$5,D4179)),Assumptions!$D$5,IF(ISNUMBER(SEARCH(Assumptions!$C$6,D4179)),Assumptions!$D$6,IF(ISNUMBER(SEARCH(Assumptions!$C$7,D4179)),Assumptions!$D$7,"Other Services"))),"Other Services"))</f>
        <v/>
      </c>
    </row>
    <row r="4180" customFormat="false" ht="15" hidden="false" customHeight="false" outlineLevel="0" collapsed="false">
      <c r="J4180" s="41" t="str">
        <f aca="false">IF(D4180="","",IFERROR(IF(ISNUMBER(SEARCH(Assumptions!$C$5,D4180)),Assumptions!$D$5,IF(ISNUMBER(SEARCH(Assumptions!$C$6,D4180)),Assumptions!$D$6,IF(ISNUMBER(SEARCH(Assumptions!$C$7,D4180)),Assumptions!$D$7,"Other Services"))),"Other Services"))</f>
        <v/>
      </c>
    </row>
    <row r="4181" customFormat="false" ht="15" hidden="false" customHeight="false" outlineLevel="0" collapsed="false">
      <c r="J4181" s="41" t="str">
        <f aca="false">IF(D4181="","",IFERROR(IF(ISNUMBER(SEARCH(Assumptions!$C$5,D4181)),Assumptions!$D$5,IF(ISNUMBER(SEARCH(Assumptions!$C$6,D4181)),Assumptions!$D$6,IF(ISNUMBER(SEARCH(Assumptions!$C$7,D4181)),Assumptions!$D$7,"Other Services"))),"Other Services"))</f>
        <v/>
      </c>
    </row>
    <row r="4182" customFormat="false" ht="15" hidden="false" customHeight="false" outlineLevel="0" collapsed="false">
      <c r="J4182" s="41" t="str">
        <f aca="false">IF(D4182="","",IFERROR(IF(ISNUMBER(SEARCH(Assumptions!$C$5,D4182)),Assumptions!$D$5,IF(ISNUMBER(SEARCH(Assumptions!$C$6,D4182)),Assumptions!$D$6,IF(ISNUMBER(SEARCH(Assumptions!$C$7,D4182)),Assumptions!$D$7,"Other Services"))),"Other Services"))</f>
        <v/>
      </c>
    </row>
    <row r="4183" customFormat="false" ht="15" hidden="false" customHeight="false" outlineLevel="0" collapsed="false">
      <c r="J4183" s="41" t="str">
        <f aca="false">IF(D4183="","",IFERROR(IF(ISNUMBER(SEARCH(Assumptions!$C$5,D4183)),Assumptions!$D$5,IF(ISNUMBER(SEARCH(Assumptions!$C$6,D4183)),Assumptions!$D$6,IF(ISNUMBER(SEARCH(Assumptions!$C$7,D4183)),Assumptions!$D$7,"Other Services"))),"Other Services"))</f>
        <v/>
      </c>
    </row>
    <row r="4184" customFormat="false" ht="15" hidden="false" customHeight="false" outlineLevel="0" collapsed="false">
      <c r="J4184" s="41" t="str">
        <f aca="false">IF(D4184="","",IFERROR(IF(ISNUMBER(SEARCH(Assumptions!$C$5,D4184)),Assumptions!$D$5,IF(ISNUMBER(SEARCH(Assumptions!$C$6,D4184)),Assumptions!$D$6,IF(ISNUMBER(SEARCH(Assumptions!$C$7,D4184)),Assumptions!$D$7,"Other Services"))),"Other Services"))</f>
        <v/>
      </c>
    </row>
    <row r="4185" customFormat="false" ht="15" hidden="false" customHeight="false" outlineLevel="0" collapsed="false">
      <c r="J4185" s="41" t="str">
        <f aca="false">IF(D4185="","",IFERROR(IF(ISNUMBER(SEARCH(Assumptions!$C$5,D4185)),Assumptions!$D$5,IF(ISNUMBER(SEARCH(Assumptions!$C$6,D4185)),Assumptions!$D$6,IF(ISNUMBER(SEARCH(Assumptions!$C$7,D4185)),Assumptions!$D$7,"Other Services"))),"Other Services"))</f>
        <v/>
      </c>
    </row>
    <row r="4186" customFormat="false" ht="15" hidden="false" customHeight="false" outlineLevel="0" collapsed="false">
      <c r="J4186" s="41" t="str">
        <f aca="false">IF(D4186="","",IFERROR(IF(ISNUMBER(SEARCH(Assumptions!$C$5,D4186)),Assumptions!$D$5,IF(ISNUMBER(SEARCH(Assumptions!$C$6,D4186)),Assumptions!$D$6,IF(ISNUMBER(SEARCH(Assumptions!$C$7,D4186)),Assumptions!$D$7,"Other Services"))),"Other Services"))</f>
        <v/>
      </c>
    </row>
    <row r="4187" customFormat="false" ht="15" hidden="false" customHeight="false" outlineLevel="0" collapsed="false">
      <c r="J4187" s="41" t="str">
        <f aca="false">IF(D4187="","",IFERROR(IF(ISNUMBER(SEARCH(Assumptions!$C$5,D4187)),Assumptions!$D$5,IF(ISNUMBER(SEARCH(Assumptions!$C$6,D4187)),Assumptions!$D$6,IF(ISNUMBER(SEARCH(Assumptions!$C$7,D4187)),Assumptions!$D$7,"Other Services"))),"Other Services"))</f>
        <v/>
      </c>
    </row>
    <row r="4188" customFormat="false" ht="15" hidden="false" customHeight="false" outlineLevel="0" collapsed="false">
      <c r="J4188" s="41" t="str">
        <f aca="false">IF(D4188="","",IFERROR(IF(ISNUMBER(SEARCH(Assumptions!$C$5,D4188)),Assumptions!$D$5,IF(ISNUMBER(SEARCH(Assumptions!$C$6,D4188)),Assumptions!$D$6,IF(ISNUMBER(SEARCH(Assumptions!$C$7,D4188)),Assumptions!$D$7,"Other Services"))),"Other Services"))</f>
        <v/>
      </c>
    </row>
    <row r="4189" customFormat="false" ht="15" hidden="false" customHeight="false" outlineLevel="0" collapsed="false">
      <c r="J4189" s="41" t="str">
        <f aca="false">IF(D4189="","",IFERROR(IF(ISNUMBER(SEARCH(Assumptions!$C$5,D4189)),Assumptions!$D$5,IF(ISNUMBER(SEARCH(Assumptions!$C$6,D4189)),Assumptions!$D$6,IF(ISNUMBER(SEARCH(Assumptions!$C$7,D4189)),Assumptions!$D$7,"Other Services"))),"Other Services"))</f>
        <v/>
      </c>
    </row>
    <row r="4190" customFormat="false" ht="15" hidden="false" customHeight="false" outlineLevel="0" collapsed="false">
      <c r="J4190" s="41" t="str">
        <f aca="false">IF(D4190="","",IFERROR(IF(ISNUMBER(SEARCH(Assumptions!$C$5,D4190)),Assumptions!$D$5,IF(ISNUMBER(SEARCH(Assumptions!$C$6,D4190)),Assumptions!$D$6,IF(ISNUMBER(SEARCH(Assumptions!$C$7,D4190)),Assumptions!$D$7,"Other Services"))),"Other Services"))</f>
        <v/>
      </c>
    </row>
    <row r="4191" customFormat="false" ht="15" hidden="false" customHeight="false" outlineLevel="0" collapsed="false">
      <c r="J4191" s="41" t="str">
        <f aca="false">IF(D4191="","",IFERROR(IF(ISNUMBER(SEARCH(Assumptions!$C$5,D4191)),Assumptions!$D$5,IF(ISNUMBER(SEARCH(Assumptions!$C$6,D4191)),Assumptions!$D$6,IF(ISNUMBER(SEARCH(Assumptions!$C$7,D4191)),Assumptions!$D$7,"Other Services"))),"Other Services"))</f>
        <v/>
      </c>
    </row>
    <row r="4192" customFormat="false" ht="15" hidden="false" customHeight="false" outlineLevel="0" collapsed="false">
      <c r="J4192" s="41" t="str">
        <f aca="false">IF(D4192="","",IFERROR(IF(ISNUMBER(SEARCH(Assumptions!$C$5,D4192)),Assumptions!$D$5,IF(ISNUMBER(SEARCH(Assumptions!$C$6,D4192)),Assumptions!$D$6,IF(ISNUMBER(SEARCH(Assumptions!$C$7,D4192)),Assumptions!$D$7,"Other Services"))),"Other Services"))</f>
        <v/>
      </c>
    </row>
    <row r="4193" customFormat="false" ht="15" hidden="false" customHeight="false" outlineLevel="0" collapsed="false">
      <c r="J4193" s="41" t="str">
        <f aca="false">IF(D4193="","",IFERROR(IF(ISNUMBER(SEARCH(Assumptions!$C$5,D4193)),Assumptions!$D$5,IF(ISNUMBER(SEARCH(Assumptions!$C$6,D4193)),Assumptions!$D$6,IF(ISNUMBER(SEARCH(Assumptions!$C$7,D4193)),Assumptions!$D$7,"Other Services"))),"Other Services"))</f>
        <v/>
      </c>
    </row>
    <row r="4194" customFormat="false" ht="15" hidden="false" customHeight="false" outlineLevel="0" collapsed="false">
      <c r="J4194" s="41" t="str">
        <f aca="false">IF(D4194="","",IFERROR(IF(ISNUMBER(SEARCH(Assumptions!$C$5,D4194)),Assumptions!$D$5,IF(ISNUMBER(SEARCH(Assumptions!$C$6,D4194)),Assumptions!$D$6,IF(ISNUMBER(SEARCH(Assumptions!$C$7,D4194)),Assumptions!$D$7,"Other Services"))),"Other Services"))</f>
        <v/>
      </c>
    </row>
    <row r="4195" customFormat="false" ht="15" hidden="false" customHeight="false" outlineLevel="0" collapsed="false">
      <c r="J4195" s="41" t="str">
        <f aca="false">IF(D4195="","",IFERROR(IF(ISNUMBER(SEARCH(Assumptions!$C$5,D4195)),Assumptions!$D$5,IF(ISNUMBER(SEARCH(Assumptions!$C$6,D4195)),Assumptions!$D$6,IF(ISNUMBER(SEARCH(Assumptions!$C$7,D4195)),Assumptions!$D$7,"Other Services"))),"Other Services"))</f>
        <v/>
      </c>
    </row>
    <row r="4196" customFormat="false" ht="15" hidden="false" customHeight="false" outlineLevel="0" collapsed="false">
      <c r="J4196" s="41" t="str">
        <f aca="false">IF(D4196="","",IFERROR(IF(ISNUMBER(SEARCH(Assumptions!$C$5,D4196)),Assumptions!$D$5,IF(ISNUMBER(SEARCH(Assumptions!$C$6,D4196)),Assumptions!$D$6,IF(ISNUMBER(SEARCH(Assumptions!$C$7,D4196)),Assumptions!$D$7,"Other Services"))),"Other Services"))</f>
        <v/>
      </c>
    </row>
    <row r="4197" customFormat="false" ht="15" hidden="false" customHeight="false" outlineLevel="0" collapsed="false">
      <c r="J4197" s="41" t="str">
        <f aca="false">IF(D4197="","",IFERROR(IF(ISNUMBER(SEARCH(Assumptions!$C$5,D4197)),Assumptions!$D$5,IF(ISNUMBER(SEARCH(Assumptions!$C$6,D4197)),Assumptions!$D$6,IF(ISNUMBER(SEARCH(Assumptions!$C$7,D4197)),Assumptions!$D$7,"Other Services"))),"Other Services"))</f>
        <v/>
      </c>
    </row>
    <row r="4198" customFormat="false" ht="15" hidden="false" customHeight="false" outlineLevel="0" collapsed="false">
      <c r="J4198" s="41" t="str">
        <f aca="false">IF(D4198="","",IFERROR(IF(ISNUMBER(SEARCH(Assumptions!$C$5,D4198)),Assumptions!$D$5,IF(ISNUMBER(SEARCH(Assumptions!$C$6,D4198)),Assumptions!$D$6,IF(ISNUMBER(SEARCH(Assumptions!$C$7,D4198)),Assumptions!$D$7,"Other Services"))),"Other Services"))</f>
        <v/>
      </c>
    </row>
    <row r="4199" customFormat="false" ht="15" hidden="false" customHeight="false" outlineLevel="0" collapsed="false">
      <c r="J4199" s="41" t="str">
        <f aca="false">IF(D4199="","",IFERROR(IF(ISNUMBER(SEARCH(Assumptions!$C$5,D4199)),Assumptions!$D$5,IF(ISNUMBER(SEARCH(Assumptions!$C$6,D4199)),Assumptions!$D$6,IF(ISNUMBER(SEARCH(Assumptions!$C$7,D4199)),Assumptions!$D$7,"Other Services"))),"Other Services"))</f>
        <v/>
      </c>
    </row>
    <row r="4200" customFormat="false" ht="15" hidden="false" customHeight="false" outlineLevel="0" collapsed="false">
      <c r="J4200" s="41" t="str">
        <f aca="false">IF(D4200="","",IFERROR(IF(ISNUMBER(SEARCH(Assumptions!$C$5,D4200)),Assumptions!$D$5,IF(ISNUMBER(SEARCH(Assumptions!$C$6,D4200)),Assumptions!$D$6,IF(ISNUMBER(SEARCH(Assumptions!$C$7,D4200)),Assumptions!$D$7,"Other Services"))),"Other Services"))</f>
        <v/>
      </c>
    </row>
    <row r="4201" customFormat="false" ht="15" hidden="false" customHeight="false" outlineLevel="0" collapsed="false">
      <c r="J4201" s="41" t="str">
        <f aca="false">IF(D4201="","",IFERROR(IF(ISNUMBER(SEARCH(Assumptions!$C$5,D4201)),Assumptions!$D$5,IF(ISNUMBER(SEARCH(Assumptions!$C$6,D4201)),Assumptions!$D$6,IF(ISNUMBER(SEARCH(Assumptions!$C$7,D4201)),Assumptions!$D$7,"Other Services"))),"Other Services"))</f>
        <v/>
      </c>
    </row>
    <row r="4202" customFormat="false" ht="15" hidden="false" customHeight="false" outlineLevel="0" collapsed="false">
      <c r="J4202" s="41" t="str">
        <f aca="false">IF(D4202="","",IFERROR(IF(ISNUMBER(SEARCH(Assumptions!$C$5,D4202)),Assumptions!$D$5,IF(ISNUMBER(SEARCH(Assumptions!$C$6,D4202)),Assumptions!$D$6,IF(ISNUMBER(SEARCH(Assumptions!$C$7,D4202)),Assumptions!$D$7,"Other Services"))),"Other Services"))</f>
        <v/>
      </c>
    </row>
    <row r="4203" customFormat="false" ht="15" hidden="false" customHeight="false" outlineLevel="0" collapsed="false">
      <c r="J4203" s="41" t="str">
        <f aca="false">IF(D4203="","",IFERROR(IF(ISNUMBER(SEARCH(Assumptions!$C$5,D4203)),Assumptions!$D$5,IF(ISNUMBER(SEARCH(Assumptions!$C$6,D4203)),Assumptions!$D$6,IF(ISNUMBER(SEARCH(Assumptions!$C$7,D4203)),Assumptions!$D$7,"Other Services"))),"Other Services"))</f>
        <v/>
      </c>
    </row>
    <row r="4204" customFormat="false" ht="15" hidden="false" customHeight="false" outlineLevel="0" collapsed="false">
      <c r="J4204" s="41" t="str">
        <f aca="false">IF(D4204="","",IFERROR(IF(ISNUMBER(SEARCH(Assumptions!$C$5,D4204)),Assumptions!$D$5,IF(ISNUMBER(SEARCH(Assumptions!$C$6,D4204)),Assumptions!$D$6,IF(ISNUMBER(SEARCH(Assumptions!$C$7,D4204)),Assumptions!$D$7,"Other Services"))),"Other Services"))</f>
        <v/>
      </c>
    </row>
    <row r="4205" customFormat="false" ht="15" hidden="false" customHeight="false" outlineLevel="0" collapsed="false">
      <c r="J4205" s="41" t="str">
        <f aca="false">IF(D4205="","",IFERROR(IF(ISNUMBER(SEARCH(Assumptions!$C$5,D4205)),Assumptions!$D$5,IF(ISNUMBER(SEARCH(Assumptions!$C$6,D4205)),Assumptions!$D$6,IF(ISNUMBER(SEARCH(Assumptions!$C$7,D4205)),Assumptions!$D$7,"Other Services"))),"Other Services"))</f>
        <v/>
      </c>
    </row>
    <row r="4206" customFormat="false" ht="15" hidden="false" customHeight="false" outlineLevel="0" collapsed="false">
      <c r="J4206" s="41" t="str">
        <f aca="false">IF(D4206="","",IFERROR(IF(ISNUMBER(SEARCH(Assumptions!$C$5,D4206)),Assumptions!$D$5,IF(ISNUMBER(SEARCH(Assumptions!$C$6,D4206)),Assumptions!$D$6,IF(ISNUMBER(SEARCH(Assumptions!$C$7,D4206)),Assumptions!$D$7,"Other Services"))),"Other Services"))</f>
        <v/>
      </c>
    </row>
    <row r="4207" customFormat="false" ht="15" hidden="false" customHeight="false" outlineLevel="0" collapsed="false">
      <c r="J4207" s="41" t="str">
        <f aca="false">IF(D4207="","",IFERROR(IF(ISNUMBER(SEARCH(Assumptions!$C$5,D4207)),Assumptions!$D$5,IF(ISNUMBER(SEARCH(Assumptions!$C$6,D4207)),Assumptions!$D$6,IF(ISNUMBER(SEARCH(Assumptions!$C$7,D4207)),Assumptions!$D$7,"Other Services"))),"Other Services"))</f>
        <v/>
      </c>
    </row>
    <row r="4208" customFormat="false" ht="15" hidden="false" customHeight="false" outlineLevel="0" collapsed="false">
      <c r="J4208" s="41" t="str">
        <f aca="false">IF(D4208="","",IFERROR(IF(ISNUMBER(SEARCH(Assumptions!$C$5,D4208)),Assumptions!$D$5,IF(ISNUMBER(SEARCH(Assumptions!$C$6,D4208)),Assumptions!$D$6,IF(ISNUMBER(SEARCH(Assumptions!$C$7,D4208)),Assumptions!$D$7,"Other Services"))),"Other Services"))</f>
        <v/>
      </c>
    </row>
    <row r="4209" customFormat="false" ht="15" hidden="false" customHeight="false" outlineLevel="0" collapsed="false">
      <c r="J4209" s="41" t="str">
        <f aca="false">IF(D4209="","",IFERROR(IF(ISNUMBER(SEARCH(Assumptions!$C$5,D4209)),Assumptions!$D$5,IF(ISNUMBER(SEARCH(Assumptions!$C$6,D4209)),Assumptions!$D$6,IF(ISNUMBER(SEARCH(Assumptions!$C$7,D4209)),Assumptions!$D$7,"Other Services"))),"Other Services"))</f>
        <v/>
      </c>
    </row>
    <row r="4210" customFormat="false" ht="15" hidden="false" customHeight="false" outlineLevel="0" collapsed="false">
      <c r="J4210" s="41" t="str">
        <f aca="false">IF(D4210="","",IFERROR(IF(ISNUMBER(SEARCH(Assumptions!$C$5,D4210)),Assumptions!$D$5,IF(ISNUMBER(SEARCH(Assumptions!$C$6,D4210)),Assumptions!$D$6,IF(ISNUMBER(SEARCH(Assumptions!$C$7,D4210)),Assumptions!$D$7,"Other Services"))),"Other Services"))</f>
        <v/>
      </c>
    </row>
    <row r="4211" customFormat="false" ht="15" hidden="false" customHeight="false" outlineLevel="0" collapsed="false">
      <c r="J4211" s="41" t="str">
        <f aca="false">IF(D4211="","",IFERROR(IF(ISNUMBER(SEARCH(Assumptions!$C$5,D4211)),Assumptions!$D$5,IF(ISNUMBER(SEARCH(Assumptions!$C$6,D4211)),Assumptions!$D$6,IF(ISNUMBER(SEARCH(Assumptions!$C$7,D4211)),Assumptions!$D$7,"Other Services"))),"Other Services"))</f>
        <v/>
      </c>
    </row>
    <row r="4212" customFormat="false" ht="15" hidden="false" customHeight="false" outlineLevel="0" collapsed="false">
      <c r="J4212" s="41" t="str">
        <f aca="false">IF(D4212="","",IFERROR(IF(ISNUMBER(SEARCH(Assumptions!$C$5,D4212)),Assumptions!$D$5,IF(ISNUMBER(SEARCH(Assumptions!$C$6,D4212)),Assumptions!$D$6,IF(ISNUMBER(SEARCH(Assumptions!$C$7,D4212)),Assumptions!$D$7,"Other Services"))),"Other Services"))</f>
        <v/>
      </c>
    </row>
    <row r="4213" customFormat="false" ht="15" hidden="false" customHeight="false" outlineLevel="0" collapsed="false">
      <c r="J4213" s="41" t="str">
        <f aca="false">IF(D4213="","",IFERROR(IF(ISNUMBER(SEARCH(Assumptions!$C$5,D4213)),Assumptions!$D$5,IF(ISNUMBER(SEARCH(Assumptions!$C$6,D4213)),Assumptions!$D$6,IF(ISNUMBER(SEARCH(Assumptions!$C$7,D4213)),Assumptions!$D$7,"Other Services"))),"Other Services"))</f>
        <v/>
      </c>
    </row>
    <row r="4214" customFormat="false" ht="15" hidden="false" customHeight="false" outlineLevel="0" collapsed="false">
      <c r="J4214" s="41" t="str">
        <f aca="false">IF(D4214="","",IFERROR(IF(ISNUMBER(SEARCH(Assumptions!$C$5,D4214)),Assumptions!$D$5,IF(ISNUMBER(SEARCH(Assumptions!$C$6,D4214)),Assumptions!$D$6,IF(ISNUMBER(SEARCH(Assumptions!$C$7,D4214)),Assumptions!$D$7,"Other Services"))),"Other Services"))</f>
        <v/>
      </c>
    </row>
    <row r="4215" customFormat="false" ht="15" hidden="false" customHeight="false" outlineLevel="0" collapsed="false">
      <c r="J4215" s="41" t="str">
        <f aca="false">IF(D4215="","",IFERROR(IF(ISNUMBER(SEARCH(Assumptions!$C$5,D4215)),Assumptions!$D$5,IF(ISNUMBER(SEARCH(Assumptions!$C$6,D4215)),Assumptions!$D$6,IF(ISNUMBER(SEARCH(Assumptions!$C$7,D4215)),Assumptions!$D$7,"Other Services"))),"Other Services"))</f>
        <v/>
      </c>
    </row>
    <row r="4216" customFormat="false" ht="15" hidden="false" customHeight="false" outlineLevel="0" collapsed="false">
      <c r="J4216" s="41" t="str">
        <f aca="false">IF(D4216="","",IFERROR(IF(ISNUMBER(SEARCH(Assumptions!$C$5,D4216)),Assumptions!$D$5,IF(ISNUMBER(SEARCH(Assumptions!$C$6,D4216)),Assumptions!$D$6,IF(ISNUMBER(SEARCH(Assumptions!$C$7,D4216)),Assumptions!$D$7,"Other Services"))),"Other Services"))</f>
        <v/>
      </c>
    </row>
    <row r="4217" customFormat="false" ht="15" hidden="false" customHeight="false" outlineLevel="0" collapsed="false">
      <c r="J4217" s="41" t="str">
        <f aca="false">IF(D4217="","",IFERROR(IF(ISNUMBER(SEARCH(Assumptions!$C$5,D4217)),Assumptions!$D$5,IF(ISNUMBER(SEARCH(Assumptions!$C$6,D4217)),Assumptions!$D$6,IF(ISNUMBER(SEARCH(Assumptions!$C$7,D4217)),Assumptions!$D$7,"Other Services"))),"Other Services"))</f>
        <v/>
      </c>
    </row>
    <row r="4218" customFormat="false" ht="15" hidden="false" customHeight="false" outlineLevel="0" collapsed="false">
      <c r="J4218" s="41" t="str">
        <f aca="false">IF(D4218="","",IFERROR(IF(ISNUMBER(SEARCH(Assumptions!$C$5,D4218)),Assumptions!$D$5,IF(ISNUMBER(SEARCH(Assumptions!$C$6,D4218)),Assumptions!$D$6,IF(ISNUMBER(SEARCH(Assumptions!$C$7,D4218)),Assumptions!$D$7,"Other Services"))),"Other Services"))</f>
        <v/>
      </c>
    </row>
    <row r="4219" customFormat="false" ht="15" hidden="false" customHeight="false" outlineLevel="0" collapsed="false">
      <c r="J4219" s="41" t="str">
        <f aca="false">IF(D4219="","",IFERROR(IF(ISNUMBER(SEARCH(Assumptions!$C$5,D4219)),Assumptions!$D$5,IF(ISNUMBER(SEARCH(Assumptions!$C$6,D4219)),Assumptions!$D$6,IF(ISNUMBER(SEARCH(Assumptions!$C$7,D4219)),Assumptions!$D$7,"Other Services"))),"Other Services"))</f>
        <v/>
      </c>
    </row>
    <row r="4220" customFormat="false" ht="15" hidden="false" customHeight="false" outlineLevel="0" collapsed="false">
      <c r="J4220" s="41" t="str">
        <f aca="false">IF(D4220="","",IFERROR(IF(ISNUMBER(SEARCH(Assumptions!$C$5,D4220)),Assumptions!$D$5,IF(ISNUMBER(SEARCH(Assumptions!$C$6,D4220)),Assumptions!$D$6,IF(ISNUMBER(SEARCH(Assumptions!$C$7,D4220)),Assumptions!$D$7,"Other Services"))),"Other Services"))</f>
        <v/>
      </c>
    </row>
    <row r="4221" customFormat="false" ht="15" hidden="false" customHeight="false" outlineLevel="0" collapsed="false">
      <c r="J4221" s="41" t="str">
        <f aca="false">IF(D4221="","",IFERROR(IF(ISNUMBER(SEARCH(Assumptions!$C$5,D4221)),Assumptions!$D$5,IF(ISNUMBER(SEARCH(Assumptions!$C$6,D4221)),Assumptions!$D$6,IF(ISNUMBER(SEARCH(Assumptions!$C$7,D4221)),Assumptions!$D$7,"Other Services"))),"Other Services"))</f>
        <v/>
      </c>
    </row>
    <row r="4222" customFormat="false" ht="15" hidden="false" customHeight="false" outlineLevel="0" collapsed="false">
      <c r="J4222" s="41" t="str">
        <f aca="false">IF(D4222="","",IFERROR(IF(ISNUMBER(SEARCH(Assumptions!$C$5,D4222)),Assumptions!$D$5,IF(ISNUMBER(SEARCH(Assumptions!$C$6,D4222)),Assumptions!$D$6,IF(ISNUMBER(SEARCH(Assumptions!$C$7,D4222)),Assumptions!$D$7,"Other Services"))),"Other Services"))</f>
        <v/>
      </c>
    </row>
    <row r="4223" customFormat="false" ht="15" hidden="false" customHeight="false" outlineLevel="0" collapsed="false">
      <c r="J4223" s="41" t="str">
        <f aca="false">IF(D4223="","",IFERROR(IF(ISNUMBER(SEARCH(Assumptions!$C$5,D4223)),Assumptions!$D$5,IF(ISNUMBER(SEARCH(Assumptions!$C$6,D4223)),Assumptions!$D$6,IF(ISNUMBER(SEARCH(Assumptions!$C$7,D4223)),Assumptions!$D$7,"Other Services"))),"Other Services"))</f>
        <v/>
      </c>
    </row>
    <row r="4224" customFormat="false" ht="15" hidden="false" customHeight="false" outlineLevel="0" collapsed="false">
      <c r="J4224" s="41" t="str">
        <f aca="false">IF(D4224="","",IFERROR(IF(ISNUMBER(SEARCH(Assumptions!$C$5,D4224)),Assumptions!$D$5,IF(ISNUMBER(SEARCH(Assumptions!$C$6,D4224)),Assumptions!$D$6,IF(ISNUMBER(SEARCH(Assumptions!$C$7,D4224)),Assumptions!$D$7,"Other Services"))),"Other Services"))</f>
        <v/>
      </c>
    </row>
    <row r="4225" customFormat="false" ht="15" hidden="false" customHeight="false" outlineLevel="0" collapsed="false">
      <c r="J4225" s="41" t="str">
        <f aca="false">IF(D4225="","",IFERROR(IF(ISNUMBER(SEARCH(Assumptions!$C$5,D4225)),Assumptions!$D$5,IF(ISNUMBER(SEARCH(Assumptions!$C$6,D4225)),Assumptions!$D$6,IF(ISNUMBER(SEARCH(Assumptions!$C$7,D4225)),Assumptions!$D$7,"Other Services"))),"Other Services"))</f>
        <v/>
      </c>
    </row>
    <row r="4226" customFormat="false" ht="15" hidden="false" customHeight="false" outlineLevel="0" collapsed="false">
      <c r="J4226" s="41" t="str">
        <f aca="false">IF(D4226="","",IFERROR(IF(ISNUMBER(SEARCH(Assumptions!$C$5,D4226)),Assumptions!$D$5,IF(ISNUMBER(SEARCH(Assumptions!$C$6,D4226)),Assumptions!$D$6,IF(ISNUMBER(SEARCH(Assumptions!$C$7,D4226)),Assumptions!$D$7,"Other Services"))),"Other Services"))</f>
        <v/>
      </c>
    </row>
    <row r="4227" customFormat="false" ht="15" hidden="false" customHeight="false" outlineLevel="0" collapsed="false">
      <c r="J4227" s="41" t="str">
        <f aca="false">IF(D4227="","",IFERROR(IF(ISNUMBER(SEARCH(Assumptions!$C$5,D4227)),Assumptions!$D$5,IF(ISNUMBER(SEARCH(Assumptions!$C$6,D4227)),Assumptions!$D$6,IF(ISNUMBER(SEARCH(Assumptions!$C$7,D4227)),Assumptions!$D$7,"Other Services"))),"Other Services"))</f>
        <v/>
      </c>
    </row>
    <row r="4228" customFormat="false" ht="15" hidden="false" customHeight="false" outlineLevel="0" collapsed="false">
      <c r="J4228" s="41" t="str">
        <f aca="false">IF(D4228="","",IFERROR(IF(ISNUMBER(SEARCH(Assumptions!$C$5,D4228)),Assumptions!$D$5,IF(ISNUMBER(SEARCH(Assumptions!$C$6,D4228)),Assumptions!$D$6,IF(ISNUMBER(SEARCH(Assumptions!$C$7,D4228)),Assumptions!$D$7,"Other Services"))),"Other Services"))</f>
        <v/>
      </c>
    </row>
    <row r="4229" customFormat="false" ht="15" hidden="false" customHeight="false" outlineLevel="0" collapsed="false">
      <c r="J4229" s="41" t="str">
        <f aca="false">IF(D4229="","",IFERROR(IF(ISNUMBER(SEARCH(Assumptions!$C$5,D4229)),Assumptions!$D$5,IF(ISNUMBER(SEARCH(Assumptions!$C$6,D4229)),Assumptions!$D$6,IF(ISNUMBER(SEARCH(Assumptions!$C$7,D4229)),Assumptions!$D$7,"Other Services"))),"Other Services"))</f>
        <v/>
      </c>
    </row>
    <row r="4230" customFormat="false" ht="15" hidden="false" customHeight="false" outlineLevel="0" collapsed="false">
      <c r="J4230" s="41" t="str">
        <f aca="false">IF(D4230="","",IFERROR(IF(ISNUMBER(SEARCH(Assumptions!$C$5,D4230)),Assumptions!$D$5,IF(ISNUMBER(SEARCH(Assumptions!$C$6,D4230)),Assumptions!$D$6,IF(ISNUMBER(SEARCH(Assumptions!$C$7,D4230)),Assumptions!$D$7,"Other Services"))),"Other Services"))</f>
        <v/>
      </c>
    </row>
    <row r="4231" customFormat="false" ht="15" hidden="false" customHeight="false" outlineLevel="0" collapsed="false">
      <c r="J4231" s="41" t="str">
        <f aca="false">IF(D4231="","",IFERROR(IF(ISNUMBER(SEARCH(Assumptions!$C$5,D4231)),Assumptions!$D$5,IF(ISNUMBER(SEARCH(Assumptions!$C$6,D4231)),Assumptions!$D$6,IF(ISNUMBER(SEARCH(Assumptions!$C$7,D4231)),Assumptions!$D$7,"Other Services"))),"Other Services"))</f>
        <v/>
      </c>
    </row>
    <row r="4232" customFormat="false" ht="15" hidden="false" customHeight="false" outlineLevel="0" collapsed="false">
      <c r="J4232" s="41" t="str">
        <f aca="false">IF(D4232="","",IFERROR(IF(ISNUMBER(SEARCH(Assumptions!$C$5,D4232)),Assumptions!$D$5,IF(ISNUMBER(SEARCH(Assumptions!$C$6,D4232)),Assumptions!$D$6,IF(ISNUMBER(SEARCH(Assumptions!$C$7,D4232)),Assumptions!$D$7,"Other Services"))),"Other Services"))</f>
        <v/>
      </c>
    </row>
    <row r="4233" customFormat="false" ht="15" hidden="false" customHeight="false" outlineLevel="0" collapsed="false">
      <c r="J4233" s="41" t="str">
        <f aca="false">IF(D4233="","",IFERROR(IF(ISNUMBER(SEARCH(Assumptions!$C$5,D4233)),Assumptions!$D$5,IF(ISNUMBER(SEARCH(Assumptions!$C$6,D4233)),Assumptions!$D$6,IF(ISNUMBER(SEARCH(Assumptions!$C$7,D4233)),Assumptions!$D$7,"Other Services"))),"Other Services"))</f>
        <v/>
      </c>
    </row>
    <row r="4234" customFormat="false" ht="15" hidden="false" customHeight="false" outlineLevel="0" collapsed="false">
      <c r="J4234" s="41" t="str">
        <f aca="false">IF(D4234="","",IFERROR(IF(ISNUMBER(SEARCH(Assumptions!$C$5,D4234)),Assumptions!$D$5,IF(ISNUMBER(SEARCH(Assumptions!$C$6,D4234)),Assumptions!$D$6,IF(ISNUMBER(SEARCH(Assumptions!$C$7,D4234)),Assumptions!$D$7,"Other Services"))),"Other Services"))</f>
        <v/>
      </c>
    </row>
    <row r="4235" customFormat="false" ht="15" hidden="false" customHeight="false" outlineLevel="0" collapsed="false">
      <c r="J4235" s="41" t="str">
        <f aca="false">IF(D4235="","",IFERROR(IF(ISNUMBER(SEARCH(Assumptions!$C$5,D4235)),Assumptions!$D$5,IF(ISNUMBER(SEARCH(Assumptions!$C$6,D4235)),Assumptions!$D$6,IF(ISNUMBER(SEARCH(Assumptions!$C$7,D4235)),Assumptions!$D$7,"Other Services"))),"Other Services"))</f>
        <v/>
      </c>
    </row>
    <row r="4236" customFormat="false" ht="15" hidden="false" customHeight="false" outlineLevel="0" collapsed="false">
      <c r="J4236" s="41" t="str">
        <f aca="false">IF(D4236="","",IFERROR(IF(ISNUMBER(SEARCH(Assumptions!$C$5,D4236)),Assumptions!$D$5,IF(ISNUMBER(SEARCH(Assumptions!$C$6,D4236)),Assumptions!$D$6,IF(ISNUMBER(SEARCH(Assumptions!$C$7,D4236)),Assumptions!$D$7,"Other Services"))),"Other Services"))</f>
        <v/>
      </c>
    </row>
    <row r="4237" customFormat="false" ht="15" hidden="false" customHeight="false" outlineLevel="0" collapsed="false">
      <c r="J4237" s="41" t="str">
        <f aca="false">IF(D4237="","",IFERROR(IF(ISNUMBER(SEARCH(Assumptions!$C$5,D4237)),Assumptions!$D$5,IF(ISNUMBER(SEARCH(Assumptions!$C$6,D4237)),Assumptions!$D$6,IF(ISNUMBER(SEARCH(Assumptions!$C$7,D4237)),Assumptions!$D$7,"Other Services"))),"Other Services"))</f>
        <v/>
      </c>
    </row>
    <row r="4238" customFormat="false" ht="15" hidden="false" customHeight="false" outlineLevel="0" collapsed="false">
      <c r="J4238" s="41" t="str">
        <f aca="false">IF(D4238="","",IFERROR(IF(ISNUMBER(SEARCH(Assumptions!$C$5,D4238)),Assumptions!$D$5,IF(ISNUMBER(SEARCH(Assumptions!$C$6,D4238)),Assumptions!$D$6,IF(ISNUMBER(SEARCH(Assumptions!$C$7,D4238)),Assumptions!$D$7,"Other Services"))),"Other Services"))</f>
        <v/>
      </c>
    </row>
    <row r="4239" customFormat="false" ht="15" hidden="false" customHeight="false" outlineLevel="0" collapsed="false">
      <c r="J4239" s="41" t="str">
        <f aca="false">IF(D4239="","",IFERROR(IF(ISNUMBER(SEARCH(Assumptions!$C$5,D4239)),Assumptions!$D$5,IF(ISNUMBER(SEARCH(Assumptions!$C$6,D4239)),Assumptions!$D$6,IF(ISNUMBER(SEARCH(Assumptions!$C$7,D4239)),Assumptions!$D$7,"Other Services"))),"Other Services"))</f>
        <v/>
      </c>
    </row>
    <row r="4240" customFormat="false" ht="15" hidden="false" customHeight="false" outlineLevel="0" collapsed="false">
      <c r="J4240" s="41" t="str">
        <f aca="false">IF(D4240="","",IFERROR(IF(ISNUMBER(SEARCH(Assumptions!$C$5,D4240)),Assumptions!$D$5,IF(ISNUMBER(SEARCH(Assumptions!$C$6,D4240)),Assumptions!$D$6,IF(ISNUMBER(SEARCH(Assumptions!$C$7,D4240)),Assumptions!$D$7,"Other Services"))),"Other Services"))</f>
        <v/>
      </c>
    </row>
    <row r="4241" customFormat="false" ht="15" hidden="false" customHeight="false" outlineLevel="0" collapsed="false">
      <c r="J4241" s="41" t="str">
        <f aca="false">IF(D4241="","",IFERROR(IF(ISNUMBER(SEARCH(Assumptions!$C$5,D4241)),Assumptions!$D$5,IF(ISNUMBER(SEARCH(Assumptions!$C$6,D4241)),Assumptions!$D$6,IF(ISNUMBER(SEARCH(Assumptions!$C$7,D4241)),Assumptions!$D$7,"Other Services"))),"Other Services"))</f>
        <v/>
      </c>
    </row>
    <row r="4242" customFormat="false" ht="15" hidden="false" customHeight="false" outlineLevel="0" collapsed="false">
      <c r="J4242" s="41" t="str">
        <f aca="false">IF(D4242="","",IFERROR(IF(ISNUMBER(SEARCH(Assumptions!$C$5,D4242)),Assumptions!$D$5,IF(ISNUMBER(SEARCH(Assumptions!$C$6,D4242)),Assumptions!$D$6,IF(ISNUMBER(SEARCH(Assumptions!$C$7,D4242)),Assumptions!$D$7,"Other Services"))),"Other Services"))</f>
        <v/>
      </c>
    </row>
    <row r="4243" customFormat="false" ht="15" hidden="false" customHeight="false" outlineLevel="0" collapsed="false">
      <c r="J4243" s="41" t="str">
        <f aca="false">IF(D4243="","",IFERROR(IF(ISNUMBER(SEARCH(Assumptions!$C$5,D4243)),Assumptions!$D$5,IF(ISNUMBER(SEARCH(Assumptions!$C$6,D4243)),Assumptions!$D$6,IF(ISNUMBER(SEARCH(Assumptions!$C$7,D4243)),Assumptions!$D$7,"Other Services"))),"Other Services"))</f>
        <v/>
      </c>
    </row>
    <row r="4244" customFormat="false" ht="15" hidden="false" customHeight="false" outlineLevel="0" collapsed="false">
      <c r="J4244" s="41" t="str">
        <f aca="false">IF(D4244="","",IFERROR(IF(ISNUMBER(SEARCH(Assumptions!$C$5,D4244)),Assumptions!$D$5,IF(ISNUMBER(SEARCH(Assumptions!$C$6,D4244)),Assumptions!$D$6,IF(ISNUMBER(SEARCH(Assumptions!$C$7,D4244)),Assumptions!$D$7,"Other Services"))),"Other Services"))</f>
        <v/>
      </c>
    </row>
    <row r="4245" customFormat="false" ht="15" hidden="false" customHeight="false" outlineLevel="0" collapsed="false">
      <c r="J4245" s="41" t="str">
        <f aca="false">IF(D4245="","",IFERROR(IF(ISNUMBER(SEARCH(Assumptions!$C$5,D4245)),Assumptions!$D$5,IF(ISNUMBER(SEARCH(Assumptions!$C$6,D4245)),Assumptions!$D$6,IF(ISNUMBER(SEARCH(Assumptions!$C$7,D4245)),Assumptions!$D$7,"Other Services"))),"Other Services"))</f>
        <v/>
      </c>
    </row>
    <row r="4246" customFormat="false" ht="15" hidden="false" customHeight="false" outlineLevel="0" collapsed="false">
      <c r="J4246" s="41" t="str">
        <f aca="false">IF(D4246="","",IFERROR(IF(ISNUMBER(SEARCH(Assumptions!$C$5,D4246)),Assumptions!$D$5,IF(ISNUMBER(SEARCH(Assumptions!$C$6,D4246)),Assumptions!$D$6,IF(ISNUMBER(SEARCH(Assumptions!$C$7,D4246)),Assumptions!$D$7,"Other Services"))),"Other Services"))</f>
        <v/>
      </c>
    </row>
    <row r="4247" customFormat="false" ht="15" hidden="false" customHeight="false" outlineLevel="0" collapsed="false">
      <c r="J4247" s="41" t="str">
        <f aca="false">IF(D4247="","",IFERROR(IF(ISNUMBER(SEARCH(Assumptions!$C$5,D4247)),Assumptions!$D$5,IF(ISNUMBER(SEARCH(Assumptions!$C$6,D4247)),Assumptions!$D$6,IF(ISNUMBER(SEARCH(Assumptions!$C$7,D4247)),Assumptions!$D$7,"Other Services"))),"Other Services"))</f>
        <v/>
      </c>
    </row>
    <row r="4248" customFormat="false" ht="15" hidden="false" customHeight="false" outlineLevel="0" collapsed="false">
      <c r="J4248" s="41" t="str">
        <f aca="false">IF(D4248="","",IFERROR(IF(ISNUMBER(SEARCH(Assumptions!$C$5,D4248)),Assumptions!$D$5,IF(ISNUMBER(SEARCH(Assumptions!$C$6,D4248)),Assumptions!$D$6,IF(ISNUMBER(SEARCH(Assumptions!$C$7,D4248)),Assumptions!$D$7,"Other Services"))),"Other Services"))</f>
        <v/>
      </c>
    </row>
    <row r="4249" customFormat="false" ht="15" hidden="false" customHeight="false" outlineLevel="0" collapsed="false">
      <c r="J4249" s="41" t="str">
        <f aca="false">IF(D4249="","",IFERROR(IF(ISNUMBER(SEARCH(Assumptions!$C$5,D4249)),Assumptions!$D$5,IF(ISNUMBER(SEARCH(Assumptions!$C$6,D4249)),Assumptions!$D$6,IF(ISNUMBER(SEARCH(Assumptions!$C$7,D4249)),Assumptions!$D$7,"Other Services"))),"Other Services"))</f>
        <v/>
      </c>
    </row>
    <row r="4250" customFormat="false" ht="15" hidden="false" customHeight="false" outlineLevel="0" collapsed="false">
      <c r="J4250" s="41" t="str">
        <f aca="false">IF(D4250="","",IFERROR(IF(ISNUMBER(SEARCH(Assumptions!$C$5,D4250)),Assumptions!$D$5,IF(ISNUMBER(SEARCH(Assumptions!$C$6,D4250)),Assumptions!$D$6,IF(ISNUMBER(SEARCH(Assumptions!$C$7,D4250)),Assumptions!$D$7,"Other Services"))),"Other Services"))</f>
        <v/>
      </c>
    </row>
    <row r="4251" customFormat="false" ht="15" hidden="false" customHeight="false" outlineLevel="0" collapsed="false">
      <c r="J4251" s="41" t="str">
        <f aca="false">IF(D4251="","",IFERROR(IF(ISNUMBER(SEARCH(Assumptions!$C$5,D4251)),Assumptions!$D$5,IF(ISNUMBER(SEARCH(Assumptions!$C$6,D4251)),Assumptions!$D$6,IF(ISNUMBER(SEARCH(Assumptions!$C$7,D4251)),Assumptions!$D$7,"Other Services"))),"Other Services"))</f>
        <v/>
      </c>
    </row>
    <row r="4252" customFormat="false" ht="15" hidden="false" customHeight="false" outlineLevel="0" collapsed="false">
      <c r="J4252" s="41" t="str">
        <f aca="false">IF(D4252="","",IFERROR(IF(ISNUMBER(SEARCH(Assumptions!$C$5,D4252)),Assumptions!$D$5,IF(ISNUMBER(SEARCH(Assumptions!$C$6,D4252)),Assumptions!$D$6,IF(ISNUMBER(SEARCH(Assumptions!$C$7,D4252)),Assumptions!$D$7,"Other Services"))),"Other Services"))</f>
        <v/>
      </c>
    </row>
    <row r="4253" customFormat="false" ht="15" hidden="false" customHeight="false" outlineLevel="0" collapsed="false">
      <c r="J4253" s="41" t="str">
        <f aca="false">IF(D4253="","",IFERROR(IF(ISNUMBER(SEARCH(Assumptions!$C$5,D4253)),Assumptions!$D$5,IF(ISNUMBER(SEARCH(Assumptions!$C$6,D4253)),Assumptions!$D$6,IF(ISNUMBER(SEARCH(Assumptions!$C$7,D4253)),Assumptions!$D$7,"Other Services"))),"Other Services"))</f>
        <v/>
      </c>
    </row>
    <row r="4254" customFormat="false" ht="15" hidden="false" customHeight="false" outlineLevel="0" collapsed="false">
      <c r="J4254" s="41" t="str">
        <f aca="false">IF(D4254="","",IFERROR(IF(ISNUMBER(SEARCH(Assumptions!$C$5,D4254)),Assumptions!$D$5,IF(ISNUMBER(SEARCH(Assumptions!$C$6,D4254)),Assumptions!$D$6,IF(ISNUMBER(SEARCH(Assumptions!$C$7,D4254)),Assumptions!$D$7,"Other Services"))),"Other Services"))</f>
        <v/>
      </c>
    </row>
    <row r="4255" customFormat="false" ht="15" hidden="false" customHeight="false" outlineLevel="0" collapsed="false">
      <c r="J4255" s="41" t="str">
        <f aca="false">IF(D4255="","",IFERROR(IF(ISNUMBER(SEARCH(Assumptions!$C$5,D4255)),Assumptions!$D$5,IF(ISNUMBER(SEARCH(Assumptions!$C$6,D4255)),Assumptions!$D$6,IF(ISNUMBER(SEARCH(Assumptions!$C$7,D4255)),Assumptions!$D$7,"Other Services"))),"Other Services"))</f>
        <v/>
      </c>
    </row>
    <row r="4256" customFormat="false" ht="15" hidden="false" customHeight="false" outlineLevel="0" collapsed="false">
      <c r="J4256" s="41" t="str">
        <f aca="false">IF(D4256="","",IFERROR(IF(ISNUMBER(SEARCH(Assumptions!$C$5,D4256)),Assumptions!$D$5,IF(ISNUMBER(SEARCH(Assumptions!$C$6,D4256)),Assumptions!$D$6,IF(ISNUMBER(SEARCH(Assumptions!$C$7,D4256)),Assumptions!$D$7,"Other Services"))),"Other Services"))</f>
        <v/>
      </c>
    </row>
    <row r="4257" customFormat="false" ht="15" hidden="false" customHeight="false" outlineLevel="0" collapsed="false">
      <c r="J4257" s="41" t="str">
        <f aca="false">IF(D4257="","",IFERROR(IF(ISNUMBER(SEARCH(Assumptions!$C$5,D4257)),Assumptions!$D$5,IF(ISNUMBER(SEARCH(Assumptions!$C$6,D4257)),Assumptions!$D$6,IF(ISNUMBER(SEARCH(Assumptions!$C$7,D4257)),Assumptions!$D$7,"Other Services"))),"Other Services"))</f>
        <v/>
      </c>
    </row>
    <row r="4258" customFormat="false" ht="15" hidden="false" customHeight="false" outlineLevel="0" collapsed="false">
      <c r="J4258" s="41" t="str">
        <f aca="false">IF(D4258="","",IFERROR(IF(ISNUMBER(SEARCH(Assumptions!$C$5,D4258)),Assumptions!$D$5,IF(ISNUMBER(SEARCH(Assumptions!$C$6,D4258)),Assumptions!$D$6,IF(ISNUMBER(SEARCH(Assumptions!$C$7,D4258)),Assumptions!$D$7,"Other Services"))),"Other Services"))</f>
        <v/>
      </c>
    </row>
    <row r="4259" customFormat="false" ht="15" hidden="false" customHeight="false" outlineLevel="0" collapsed="false">
      <c r="J4259" s="41" t="str">
        <f aca="false">IF(D4259="","",IFERROR(IF(ISNUMBER(SEARCH(Assumptions!$C$5,D4259)),Assumptions!$D$5,IF(ISNUMBER(SEARCH(Assumptions!$C$6,D4259)),Assumptions!$D$6,IF(ISNUMBER(SEARCH(Assumptions!$C$7,D4259)),Assumptions!$D$7,"Other Services"))),"Other Services"))</f>
        <v/>
      </c>
    </row>
    <row r="4260" customFormat="false" ht="15" hidden="false" customHeight="false" outlineLevel="0" collapsed="false">
      <c r="J4260" s="41" t="str">
        <f aca="false">IF(D4260="","",IFERROR(IF(ISNUMBER(SEARCH(Assumptions!$C$5,D4260)),Assumptions!$D$5,IF(ISNUMBER(SEARCH(Assumptions!$C$6,D4260)),Assumptions!$D$6,IF(ISNUMBER(SEARCH(Assumptions!$C$7,D4260)),Assumptions!$D$7,"Other Services"))),"Other Services"))</f>
        <v/>
      </c>
    </row>
    <row r="4261" customFormat="false" ht="15" hidden="false" customHeight="false" outlineLevel="0" collapsed="false">
      <c r="J4261" s="41" t="str">
        <f aca="false">IF(D4261="","",IFERROR(IF(ISNUMBER(SEARCH(Assumptions!$C$5,D4261)),Assumptions!$D$5,IF(ISNUMBER(SEARCH(Assumptions!$C$6,D4261)),Assumptions!$D$6,IF(ISNUMBER(SEARCH(Assumptions!$C$7,D4261)),Assumptions!$D$7,"Other Services"))),"Other Services"))</f>
        <v/>
      </c>
    </row>
    <row r="4262" customFormat="false" ht="15" hidden="false" customHeight="false" outlineLevel="0" collapsed="false">
      <c r="J4262" s="41" t="str">
        <f aca="false">IF(D4262="","",IFERROR(IF(ISNUMBER(SEARCH(Assumptions!$C$5,D4262)),Assumptions!$D$5,IF(ISNUMBER(SEARCH(Assumptions!$C$6,D4262)),Assumptions!$D$6,IF(ISNUMBER(SEARCH(Assumptions!$C$7,D4262)),Assumptions!$D$7,"Other Services"))),"Other Services"))</f>
        <v/>
      </c>
    </row>
    <row r="4263" customFormat="false" ht="15" hidden="false" customHeight="false" outlineLevel="0" collapsed="false">
      <c r="J4263" s="41" t="str">
        <f aca="false">IF(D4263="","",IFERROR(IF(ISNUMBER(SEARCH(Assumptions!$C$5,D4263)),Assumptions!$D$5,IF(ISNUMBER(SEARCH(Assumptions!$C$6,D4263)),Assumptions!$D$6,IF(ISNUMBER(SEARCH(Assumptions!$C$7,D4263)),Assumptions!$D$7,"Other Services"))),"Other Services"))</f>
        <v/>
      </c>
    </row>
    <row r="4264" customFormat="false" ht="15" hidden="false" customHeight="false" outlineLevel="0" collapsed="false">
      <c r="J4264" s="41" t="str">
        <f aca="false">IF(D4264="","",IFERROR(IF(ISNUMBER(SEARCH(Assumptions!$C$5,D4264)),Assumptions!$D$5,IF(ISNUMBER(SEARCH(Assumptions!$C$6,D4264)),Assumptions!$D$6,IF(ISNUMBER(SEARCH(Assumptions!$C$7,D4264)),Assumptions!$D$7,"Other Services"))),"Other Services"))</f>
        <v/>
      </c>
    </row>
    <row r="4265" customFormat="false" ht="15" hidden="false" customHeight="false" outlineLevel="0" collapsed="false">
      <c r="J4265" s="41" t="str">
        <f aca="false">IF(D4265="","",IFERROR(IF(ISNUMBER(SEARCH(Assumptions!$C$5,D4265)),Assumptions!$D$5,IF(ISNUMBER(SEARCH(Assumptions!$C$6,D4265)),Assumptions!$D$6,IF(ISNUMBER(SEARCH(Assumptions!$C$7,D4265)),Assumptions!$D$7,"Other Services"))),"Other Services"))</f>
        <v/>
      </c>
    </row>
    <row r="4266" customFormat="false" ht="15" hidden="false" customHeight="false" outlineLevel="0" collapsed="false">
      <c r="J4266" s="41" t="str">
        <f aca="false">IF(D4266="","",IFERROR(IF(ISNUMBER(SEARCH(Assumptions!$C$5,D4266)),Assumptions!$D$5,IF(ISNUMBER(SEARCH(Assumptions!$C$6,D4266)),Assumptions!$D$6,IF(ISNUMBER(SEARCH(Assumptions!$C$7,D4266)),Assumptions!$D$7,"Other Services"))),"Other Services"))</f>
        <v/>
      </c>
    </row>
    <row r="4267" customFormat="false" ht="15" hidden="false" customHeight="false" outlineLevel="0" collapsed="false">
      <c r="J4267" s="41" t="str">
        <f aca="false">IF(D4267="","",IFERROR(IF(ISNUMBER(SEARCH(Assumptions!$C$5,D4267)),Assumptions!$D$5,IF(ISNUMBER(SEARCH(Assumptions!$C$6,D4267)),Assumptions!$D$6,IF(ISNUMBER(SEARCH(Assumptions!$C$7,D4267)),Assumptions!$D$7,"Other Services"))),"Other Services"))</f>
        <v/>
      </c>
    </row>
    <row r="4268" customFormat="false" ht="15" hidden="false" customHeight="false" outlineLevel="0" collapsed="false">
      <c r="J4268" s="41" t="str">
        <f aca="false">IF(D4268="","",IFERROR(IF(ISNUMBER(SEARCH(Assumptions!$C$5,D4268)),Assumptions!$D$5,IF(ISNUMBER(SEARCH(Assumptions!$C$6,D4268)),Assumptions!$D$6,IF(ISNUMBER(SEARCH(Assumptions!$C$7,D4268)),Assumptions!$D$7,"Other Services"))),"Other Services"))</f>
        <v/>
      </c>
    </row>
    <row r="4269" customFormat="false" ht="15" hidden="false" customHeight="false" outlineLevel="0" collapsed="false">
      <c r="J4269" s="41" t="str">
        <f aca="false">IF(D4269="","",IFERROR(IF(ISNUMBER(SEARCH(Assumptions!$C$5,D4269)),Assumptions!$D$5,IF(ISNUMBER(SEARCH(Assumptions!$C$6,D4269)),Assumptions!$D$6,IF(ISNUMBER(SEARCH(Assumptions!$C$7,D4269)),Assumptions!$D$7,"Other Services"))),"Other Services"))</f>
        <v/>
      </c>
    </row>
    <row r="4270" customFormat="false" ht="15" hidden="false" customHeight="false" outlineLevel="0" collapsed="false">
      <c r="J4270" s="41" t="str">
        <f aca="false">IF(D4270="","",IFERROR(IF(ISNUMBER(SEARCH(Assumptions!$C$5,D4270)),Assumptions!$D$5,IF(ISNUMBER(SEARCH(Assumptions!$C$6,D4270)),Assumptions!$D$6,IF(ISNUMBER(SEARCH(Assumptions!$C$7,D4270)),Assumptions!$D$7,"Other Services"))),"Other Services"))</f>
        <v/>
      </c>
    </row>
    <row r="4271" customFormat="false" ht="15" hidden="false" customHeight="false" outlineLevel="0" collapsed="false">
      <c r="J4271" s="41" t="str">
        <f aca="false">IF(D4271="","",IFERROR(IF(ISNUMBER(SEARCH(Assumptions!$C$5,D4271)),Assumptions!$D$5,IF(ISNUMBER(SEARCH(Assumptions!$C$6,D4271)),Assumptions!$D$6,IF(ISNUMBER(SEARCH(Assumptions!$C$7,D4271)),Assumptions!$D$7,"Other Services"))),"Other Services"))</f>
        <v/>
      </c>
    </row>
    <row r="4272" customFormat="false" ht="15" hidden="false" customHeight="false" outlineLevel="0" collapsed="false">
      <c r="J4272" s="41" t="str">
        <f aca="false">IF(D4272="","",IFERROR(IF(ISNUMBER(SEARCH(Assumptions!$C$5,D4272)),Assumptions!$D$5,IF(ISNUMBER(SEARCH(Assumptions!$C$6,D4272)),Assumptions!$D$6,IF(ISNUMBER(SEARCH(Assumptions!$C$7,D4272)),Assumptions!$D$7,"Other Services"))),"Other Services"))</f>
        <v/>
      </c>
    </row>
    <row r="4273" customFormat="false" ht="15" hidden="false" customHeight="false" outlineLevel="0" collapsed="false">
      <c r="J4273" s="41" t="str">
        <f aca="false">IF(D4273="","",IFERROR(IF(ISNUMBER(SEARCH(Assumptions!$C$5,D4273)),Assumptions!$D$5,IF(ISNUMBER(SEARCH(Assumptions!$C$6,D4273)),Assumptions!$D$6,IF(ISNUMBER(SEARCH(Assumptions!$C$7,D4273)),Assumptions!$D$7,"Other Services"))),"Other Services"))</f>
        <v/>
      </c>
    </row>
    <row r="4274" customFormat="false" ht="15" hidden="false" customHeight="false" outlineLevel="0" collapsed="false">
      <c r="J4274" s="41" t="str">
        <f aca="false">IF(D4274="","",IFERROR(IF(ISNUMBER(SEARCH(Assumptions!$C$5,D4274)),Assumptions!$D$5,IF(ISNUMBER(SEARCH(Assumptions!$C$6,D4274)),Assumptions!$D$6,IF(ISNUMBER(SEARCH(Assumptions!$C$7,D4274)),Assumptions!$D$7,"Other Services"))),"Other Services"))</f>
        <v/>
      </c>
    </row>
    <row r="4275" customFormat="false" ht="15" hidden="false" customHeight="false" outlineLevel="0" collapsed="false">
      <c r="J4275" s="41" t="str">
        <f aca="false">IF(D4275="","",IFERROR(IF(ISNUMBER(SEARCH(Assumptions!$C$5,D4275)),Assumptions!$D$5,IF(ISNUMBER(SEARCH(Assumptions!$C$6,D4275)),Assumptions!$D$6,IF(ISNUMBER(SEARCH(Assumptions!$C$7,D4275)),Assumptions!$D$7,"Other Services"))),"Other Services"))</f>
        <v/>
      </c>
    </row>
    <row r="4276" customFormat="false" ht="15" hidden="false" customHeight="false" outlineLevel="0" collapsed="false">
      <c r="J4276" s="41" t="str">
        <f aca="false">IF(D4276="","",IFERROR(IF(ISNUMBER(SEARCH(Assumptions!$C$5,D4276)),Assumptions!$D$5,IF(ISNUMBER(SEARCH(Assumptions!$C$6,D4276)),Assumptions!$D$6,IF(ISNUMBER(SEARCH(Assumptions!$C$7,D4276)),Assumptions!$D$7,"Other Services"))),"Other Services"))</f>
        <v/>
      </c>
    </row>
    <row r="4277" customFormat="false" ht="15" hidden="false" customHeight="false" outlineLevel="0" collapsed="false">
      <c r="J4277" s="41" t="str">
        <f aca="false">IF(D4277="","",IFERROR(IF(ISNUMBER(SEARCH(Assumptions!$C$5,D4277)),Assumptions!$D$5,IF(ISNUMBER(SEARCH(Assumptions!$C$6,D4277)),Assumptions!$D$6,IF(ISNUMBER(SEARCH(Assumptions!$C$7,D4277)),Assumptions!$D$7,"Other Services"))),"Other Services"))</f>
        <v/>
      </c>
    </row>
    <row r="4278" customFormat="false" ht="15" hidden="false" customHeight="false" outlineLevel="0" collapsed="false">
      <c r="J4278" s="41" t="str">
        <f aca="false">IF(D4278="","",IFERROR(IF(ISNUMBER(SEARCH(Assumptions!$C$5,D4278)),Assumptions!$D$5,IF(ISNUMBER(SEARCH(Assumptions!$C$6,D4278)),Assumptions!$D$6,IF(ISNUMBER(SEARCH(Assumptions!$C$7,D4278)),Assumptions!$D$7,"Other Services"))),"Other Services"))</f>
        <v/>
      </c>
    </row>
    <row r="4279" customFormat="false" ht="15" hidden="false" customHeight="false" outlineLevel="0" collapsed="false">
      <c r="J4279" s="41" t="str">
        <f aca="false">IF(D4279="","",IFERROR(IF(ISNUMBER(SEARCH(Assumptions!$C$5,D4279)),Assumptions!$D$5,IF(ISNUMBER(SEARCH(Assumptions!$C$6,D4279)),Assumptions!$D$6,IF(ISNUMBER(SEARCH(Assumptions!$C$7,D4279)),Assumptions!$D$7,"Other Services"))),"Other Services"))</f>
        <v/>
      </c>
    </row>
    <row r="4280" customFormat="false" ht="15" hidden="false" customHeight="false" outlineLevel="0" collapsed="false">
      <c r="J4280" s="41" t="str">
        <f aca="false">IF(D4280="","",IFERROR(IF(ISNUMBER(SEARCH(Assumptions!$C$5,D4280)),Assumptions!$D$5,IF(ISNUMBER(SEARCH(Assumptions!$C$6,D4280)),Assumptions!$D$6,IF(ISNUMBER(SEARCH(Assumptions!$C$7,D4280)),Assumptions!$D$7,"Other Services"))),"Other Services"))</f>
        <v/>
      </c>
    </row>
    <row r="4281" customFormat="false" ht="15" hidden="false" customHeight="false" outlineLevel="0" collapsed="false">
      <c r="J4281" s="41" t="str">
        <f aca="false">IF(D4281="","",IFERROR(IF(ISNUMBER(SEARCH(Assumptions!$C$5,D4281)),Assumptions!$D$5,IF(ISNUMBER(SEARCH(Assumptions!$C$6,D4281)),Assumptions!$D$6,IF(ISNUMBER(SEARCH(Assumptions!$C$7,D4281)),Assumptions!$D$7,"Other Services"))),"Other Services"))</f>
        <v/>
      </c>
    </row>
    <row r="4282" customFormat="false" ht="15" hidden="false" customHeight="false" outlineLevel="0" collapsed="false">
      <c r="J4282" s="41" t="str">
        <f aca="false">IF(D4282="","",IFERROR(IF(ISNUMBER(SEARCH(Assumptions!$C$5,D4282)),Assumptions!$D$5,IF(ISNUMBER(SEARCH(Assumptions!$C$6,D4282)),Assumptions!$D$6,IF(ISNUMBER(SEARCH(Assumptions!$C$7,D4282)),Assumptions!$D$7,"Other Services"))),"Other Services"))</f>
        <v/>
      </c>
    </row>
    <row r="4283" customFormat="false" ht="15" hidden="false" customHeight="false" outlineLevel="0" collapsed="false">
      <c r="J4283" s="41" t="str">
        <f aca="false">IF(D4283="","",IFERROR(IF(ISNUMBER(SEARCH(Assumptions!$C$5,D4283)),Assumptions!$D$5,IF(ISNUMBER(SEARCH(Assumptions!$C$6,D4283)),Assumptions!$D$6,IF(ISNUMBER(SEARCH(Assumptions!$C$7,D4283)),Assumptions!$D$7,"Other Services"))),"Other Services"))</f>
        <v/>
      </c>
    </row>
    <row r="4284" customFormat="false" ht="15" hidden="false" customHeight="false" outlineLevel="0" collapsed="false">
      <c r="J4284" s="41" t="str">
        <f aca="false">IF(D4284="","",IFERROR(IF(ISNUMBER(SEARCH(Assumptions!$C$5,D4284)),Assumptions!$D$5,IF(ISNUMBER(SEARCH(Assumptions!$C$6,D4284)),Assumptions!$D$6,IF(ISNUMBER(SEARCH(Assumptions!$C$7,D4284)),Assumptions!$D$7,"Other Services"))),"Other Services"))</f>
        <v/>
      </c>
    </row>
    <row r="4285" customFormat="false" ht="15" hidden="false" customHeight="false" outlineLevel="0" collapsed="false">
      <c r="J4285" s="41" t="str">
        <f aca="false">IF(D4285="","",IFERROR(IF(ISNUMBER(SEARCH(Assumptions!$C$5,D4285)),Assumptions!$D$5,IF(ISNUMBER(SEARCH(Assumptions!$C$6,D4285)),Assumptions!$D$6,IF(ISNUMBER(SEARCH(Assumptions!$C$7,D4285)),Assumptions!$D$7,"Other Services"))),"Other Services"))</f>
        <v/>
      </c>
    </row>
    <row r="4286" customFormat="false" ht="15" hidden="false" customHeight="false" outlineLevel="0" collapsed="false">
      <c r="J4286" s="41" t="str">
        <f aca="false">IF(D4286="","",IFERROR(IF(ISNUMBER(SEARCH(Assumptions!$C$5,D4286)),Assumptions!$D$5,IF(ISNUMBER(SEARCH(Assumptions!$C$6,D4286)),Assumptions!$D$6,IF(ISNUMBER(SEARCH(Assumptions!$C$7,D4286)),Assumptions!$D$7,"Other Services"))),"Other Services"))</f>
        <v/>
      </c>
    </row>
    <row r="4287" customFormat="false" ht="15" hidden="false" customHeight="false" outlineLevel="0" collapsed="false">
      <c r="J4287" s="41" t="str">
        <f aca="false">IF(D4287="","",IFERROR(IF(ISNUMBER(SEARCH(Assumptions!$C$5,D4287)),Assumptions!$D$5,IF(ISNUMBER(SEARCH(Assumptions!$C$6,D4287)),Assumptions!$D$6,IF(ISNUMBER(SEARCH(Assumptions!$C$7,D4287)),Assumptions!$D$7,"Other Services"))),"Other Services"))</f>
        <v/>
      </c>
    </row>
    <row r="4288" customFormat="false" ht="15" hidden="false" customHeight="false" outlineLevel="0" collapsed="false">
      <c r="J4288" s="41" t="str">
        <f aca="false">IF(D4288="","",IFERROR(IF(ISNUMBER(SEARCH(Assumptions!$C$5,D4288)),Assumptions!$D$5,IF(ISNUMBER(SEARCH(Assumptions!$C$6,D4288)),Assumptions!$D$6,IF(ISNUMBER(SEARCH(Assumptions!$C$7,D4288)),Assumptions!$D$7,"Other Services"))),"Other Services"))</f>
        <v/>
      </c>
    </row>
    <row r="4289" customFormat="false" ht="15" hidden="false" customHeight="false" outlineLevel="0" collapsed="false">
      <c r="J4289" s="41" t="str">
        <f aca="false">IF(D4289="","",IFERROR(IF(ISNUMBER(SEARCH(Assumptions!$C$5,D4289)),Assumptions!$D$5,IF(ISNUMBER(SEARCH(Assumptions!$C$6,D4289)),Assumptions!$D$6,IF(ISNUMBER(SEARCH(Assumptions!$C$7,D4289)),Assumptions!$D$7,"Other Services"))),"Other Services"))</f>
        <v/>
      </c>
    </row>
    <row r="4290" customFormat="false" ht="15" hidden="false" customHeight="false" outlineLevel="0" collapsed="false">
      <c r="J4290" s="41" t="str">
        <f aca="false">IF(D4290="","",IFERROR(IF(ISNUMBER(SEARCH(Assumptions!$C$5,D4290)),Assumptions!$D$5,IF(ISNUMBER(SEARCH(Assumptions!$C$6,D4290)),Assumptions!$D$6,IF(ISNUMBER(SEARCH(Assumptions!$C$7,D4290)),Assumptions!$D$7,"Other Services"))),"Other Services"))</f>
        <v/>
      </c>
    </row>
    <row r="4291" customFormat="false" ht="15" hidden="false" customHeight="false" outlineLevel="0" collapsed="false">
      <c r="J4291" s="41" t="str">
        <f aca="false">IF(D4291="","",IFERROR(IF(ISNUMBER(SEARCH(Assumptions!$C$5,D4291)),Assumptions!$D$5,IF(ISNUMBER(SEARCH(Assumptions!$C$6,D4291)),Assumptions!$D$6,IF(ISNUMBER(SEARCH(Assumptions!$C$7,D4291)),Assumptions!$D$7,"Other Services"))),"Other Services"))</f>
        <v/>
      </c>
    </row>
    <row r="4292" customFormat="false" ht="15" hidden="false" customHeight="false" outlineLevel="0" collapsed="false">
      <c r="J4292" s="41" t="str">
        <f aca="false">IF(D4292="","",IFERROR(IF(ISNUMBER(SEARCH(Assumptions!$C$5,D4292)),Assumptions!$D$5,IF(ISNUMBER(SEARCH(Assumptions!$C$6,D4292)),Assumptions!$D$6,IF(ISNUMBER(SEARCH(Assumptions!$C$7,D4292)),Assumptions!$D$7,"Other Services"))),"Other Services"))</f>
        <v/>
      </c>
    </row>
    <row r="4293" customFormat="false" ht="15" hidden="false" customHeight="false" outlineLevel="0" collapsed="false">
      <c r="J4293" s="41" t="str">
        <f aca="false">IF(D4293="","",IFERROR(IF(ISNUMBER(SEARCH(Assumptions!$C$5,D4293)),Assumptions!$D$5,IF(ISNUMBER(SEARCH(Assumptions!$C$6,D4293)),Assumptions!$D$6,IF(ISNUMBER(SEARCH(Assumptions!$C$7,D4293)),Assumptions!$D$7,"Other Services"))),"Other Services"))</f>
        <v/>
      </c>
    </row>
    <row r="4294" customFormat="false" ht="15" hidden="false" customHeight="false" outlineLevel="0" collapsed="false">
      <c r="J4294" s="41" t="str">
        <f aca="false">IF(D4294="","",IFERROR(IF(ISNUMBER(SEARCH(Assumptions!$C$5,D4294)),Assumptions!$D$5,IF(ISNUMBER(SEARCH(Assumptions!$C$6,D4294)),Assumptions!$D$6,IF(ISNUMBER(SEARCH(Assumptions!$C$7,D4294)),Assumptions!$D$7,"Other Services"))),"Other Services"))</f>
        <v/>
      </c>
    </row>
    <row r="4295" customFormat="false" ht="15" hidden="false" customHeight="false" outlineLevel="0" collapsed="false">
      <c r="J4295" s="41" t="str">
        <f aca="false">IF(D4295="","",IFERROR(IF(ISNUMBER(SEARCH(Assumptions!$C$5,D4295)),Assumptions!$D$5,IF(ISNUMBER(SEARCH(Assumptions!$C$6,D4295)),Assumptions!$D$6,IF(ISNUMBER(SEARCH(Assumptions!$C$7,D4295)),Assumptions!$D$7,"Other Services"))),"Other Services"))</f>
        <v/>
      </c>
    </row>
    <row r="4296" customFormat="false" ht="15" hidden="false" customHeight="false" outlineLevel="0" collapsed="false">
      <c r="J4296" s="41" t="str">
        <f aca="false">IF(D4296="","",IFERROR(IF(ISNUMBER(SEARCH(Assumptions!$C$5,D4296)),Assumptions!$D$5,IF(ISNUMBER(SEARCH(Assumptions!$C$6,D4296)),Assumptions!$D$6,IF(ISNUMBER(SEARCH(Assumptions!$C$7,D4296)),Assumptions!$D$7,"Other Services"))),"Other Services"))</f>
        <v/>
      </c>
    </row>
    <row r="4297" customFormat="false" ht="15" hidden="false" customHeight="false" outlineLevel="0" collapsed="false">
      <c r="J4297" s="41" t="str">
        <f aca="false">IF(D4297="","",IFERROR(IF(ISNUMBER(SEARCH(Assumptions!$C$5,D4297)),Assumptions!$D$5,IF(ISNUMBER(SEARCH(Assumptions!$C$6,D4297)),Assumptions!$D$6,IF(ISNUMBER(SEARCH(Assumptions!$C$7,D4297)),Assumptions!$D$7,"Other Services"))),"Other Services"))</f>
        <v/>
      </c>
    </row>
    <row r="4298" customFormat="false" ht="15" hidden="false" customHeight="false" outlineLevel="0" collapsed="false">
      <c r="J4298" s="41" t="str">
        <f aca="false">IF(D4298="","",IFERROR(IF(ISNUMBER(SEARCH(Assumptions!$C$5,D4298)),Assumptions!$D$5,IF(ISNUMBER(SEARCH(Assumptions!$C$6,D4298)),Assumptions!$D$6,IF(ISNUMBER(SEARCH(Assumptions!$C$7,D4298)),Assumptions!$D$7,"Other Services"))),"Other Services"))</f>
        <v/>
      </c>
    </row>
    <row r="4299" customFormat="false" ht="15" hidden="false" customHeight="false" outlineLevel="0" collapsed="false">
      <c r="J4299" s="41" t="str">
        <f aca="false">IF(D4299="","",IFERROR(IF(ISNUMBER(SEARCH(Assumptions!$C$5,D4299)),Assumptions!$D$5,IF(ISNUMBER(SEARCH(Assumptions!$C$6,D4299)),Assumptions!$D$6,IF(ISNUMBER(SEARCH(Assumptions!$C$7,D4299)),Assumptions!$D$7,"Other Services"))),"Other Services"))</f>
        <v/>
      </c>
    </row>
    <row r="4300" customFormat="false" ht="15" hidden="false" customHeight="false" outlineLevel="0" collapsed="false">
      <c r="J4300" s="41" t="str">
        <f aca="false">IF(D4300="","",IFERROR(IF(ISNUMBER(SEARCH(Assumptions!$C$5,D4300)),Assumptions!$D$5,IF(ISNUMBER(SEARCH(Assumptions!$C$6,D4300)),Assumptions!$D$6,IF(ISNUMBER(SEARCH(Assumptions!$C$7,D4300)),Assumptions!$D$7,"Other Services"))),"Other Services"))</f>
        <v/>
      </c>
    </row>
    <row r="4301" customFormat="false" ht="15" hidden="false" customHeight="false" outlineLevel="0" collapsed="false">
      <c r="J4301" s="41" t="str">
        <f aca="false">IF(D4301="","",IFERROR(IF(ISNUMBER(SEARCH(Assumptions!$C$5,D4301)),Assumptions!$D$5,IF(ISNUMBER(SEARCH(Assumptions!$C$6,D4301)),Assumptions!$D$6,IF(ISNUMBER(SEARCH(Assumptions!$C$7,D4301)),Assumptions!$D$7,"Other Services"))),"Other Services"))</f>
        <v/>
      </c>
    </row>
    <row r="4302" customFormat="false" ht="15" hidden="false" customHeight="false" outlineLevel="0" collapsed="false">
      <c r="J4302" s="41" t="str">
        <f aca="false">IF(D4302="","",IFERROR(IF(ISNUMBER(SEARCH(Assumptions!$C$5,D4302)),Assumptions!$D$5,IF(ISNUMBER(SEARCH(Assumptions!$C$6,D4302)),Assumptions!$D$6,IF(ISNUMBER(SEARCH(Assumptions!$C$7,D4302)),Assumptions!$D$7,"Other Services"))),"Other Services"))</f>
        <v/>
      </c>
    </row>
    <row r="4303" customFormat="false" ht="15" hidden="false" customHeight="false" outlineLevel="0" collapsed="false">
      <c r="J4303" s="41" t="str">
        <f aca="false">IF(D4303="","",IFERROR(IF(ISNUMBER(SEARCH(Assumptions!$C$5,D4303)),Assumptions!$D$5,IF(ISNUMBER(SEARCH(Assumptions!$C$6,D4303)),Assumptions!$D$6,IF(ISNUMBER(SEARCH(Assumptions!$C$7,D4303)),Assumptions!$D$7,"Other Services"))),"Other Services"))</f>
        <v/>
      </c>
    </row>
    <row r="4304" customFormat="false" ht="15" hidden="false" customHeight="false" outlineLevel="0" collapsed="false">
      <c r="J4304" s="41" t="str">
        <f aca="false">IF(D4304="","",IFERROR(IF(ISNUMBER(SEARCH(Assumptions!$C$5,D4304)),Assumptions!$D$5,IF(ISNUMBER(SEARCH(Assumptions!$C$6,D4304)),Assumptions!$D$6,IF(ISNUMBER(SEARCH(Assumptions!$C$7,D4304)),Assumptions!$D$7,"Other Services"))),"Other Services"))</f>
        <v/>
      </c>
    </row>
    <row r="4305" customFormat="false" ht="15" hidden="false" customHeight="false" outlineLevel="0" collapsed="false">
      <c r="J4305" s="41" t="str">
        <f aca="false">IF(D4305="","",IFERROR(IF(ISNUMBER(SEARCH(Assumptions!$C$5,D4305)),Assumptions!$D$5,IF(ISNUMBER(SEARCH(Assumptions!$C$6,D4305)),Assumptions!$D$6,IF(ISNUMBER(SEARCH(Assumptions!$C$7,D4305)),Assumptions!$D$7,"Other Services"))),"Other Services"))</f>
        <v/>
      </c>
    </row>
    <row r="4306" customFormat="false" ht="15" hidden="false" customHeight="false" outlineLevel="0" collapsed="false">
      <c r="J4306" s="41" t="str">
        <f aca="false">IF(D4306="","",IFERROR(IF(ISNUMBER(SEARCH(Assumptions!$C$5,D4306)),Assumptions!$D$5,IF(ISNUMBER(SEARCH(Assumptions!$C$6,D4306)),Assumptions!$D$6,IF(ISNUMBER(SEARCH(Assumptions!$C$7,D4306)),Assumptions!$D$7,"Other Services"))),"Other Services"))</f>
        <v/>
      </c>
    </row>
    <row r="4307" customFormat="false" ht="15" hidden="false" customHeight="false" outlineLevel="0" collapsed="false">
      <c r="J4307" s="41" t="str">
        <f aca="false">IF(D4307="","",IFERROR(IF(ISNUMBER(SEARCH(Assumptions!$C$5,D4307)),Assumptions!$D$5,IF(ISNUMBER(SEARCH(Assumptions!$C$6,D4307)),Assumptions!$D$6,IF(ISNUMBER(SEARCH(Assumptions!$C$7,D4307)),Assumptions!$D$7,"Other Services"))),"Other Services"))</f>
        <v/>
      </c>
    </row>
    <row r="4308" customFormat="false" ht="15" hidden="false" customHeight="false" outlineLevel="0" collapsed="false">
      <c r="J4308" s="41" t="str">
        <f aca="false">IF(D4308="","",IFERROR(IF(ISNUMBER(SEARCH(Assumptions!$C$5,D4308)),Assumptions!$D$5,IF(ISNUMBER(SEARCH(Assumptions!$C$6,D4308)),Assumptions!$D$6,IF(ISNUMBER(SEARCH(Assumptions!$C$7,D4308)),Assumptions!$D$7,"Other Services"))),"Other Services"))</f>
        <v/>
      </c>
    </row>
    <row r="4309" customFormat="false" ht="15" hidden="false" customHeight="false" outlineLevel="0" collapsed="false">
      <c r="J4309" s="41" t="str">
        <f aca="false">IF(D4309="","",IFERROR(IF(ISNUMBER(SEARCH(Assumptions!$C$5,D4309)),Assumptions!$D$5,IF(ISNUMBER(SEARCH(Assumptions!$C$6,D4309)),Assumptions!$D$6,IF(ISNUMBER(SEARCH(Assumptions!$C$7,D4309)),Assumptions!$D$7,"Other Services"))),"Other Services"))</f>
        <v/>
      </c>
    </row>
    <row r="4310" customFormat="false" ht="15" hidden="false" customHeight="false" outlineLevel="0" collapsed="false">
      <c r="J4310" s="41" t="str">
        <f aca="false">IF(D4310="","",IFERROR(IF(ISNUMBER(SEARCH(Assumptions!$C$5,D4310)),Assumptions!$D$5,IF(ISNUMBER(SEARCH(Assumptions!$C$6,D4310)),Assumptions!$D$6,IF(ISNUMBER(SEARCH(Assumptions!$C$7,D4310)),Assumptions!$D$7,"Other Services"))),"Other Services"))</f>
        <v/>
      </c>
    </row>
    <row r="4311" customFormat="false" ht="15" hidden="false" customHeight="false" outlineLevel="0" collapsed="false">
      <c r="J4311" s="41" t="str">
        <f aca="false">IF(D4311="","",IFERROR(IF(ISNUMBER(SEARCH(Assumptions!$C$5,D4311)),Assumptions!$D$5,IF(ISNUMBER(SEARCH(Assumptions!$C$6,D4311)),Assumptions!$D$6,IF(ISNUMBER(SEARCH(Assumptions!$C$7,D4311)),Assumptions!$D$7,"Other Services"))),"Other Services"))</f>
        <v/>
      </c>
    </row>
    <row r="4312" customFormat="false" ht="15" hidden="false" customHeight="false" outlineLevel="0" collapsed="false">
      <c r="J4312" s="41" t="str">
        <f aca="false">IF(D4312="","",IFERROR(IF(ISNUMBER(SEARCH(Assumptions!$C$5,D4312)),Assumptions!$D$5,IF(ISNUMBER(SEARCH(Assumptions!$C$6,D4312)),Assumptions!$D$6,IF(ISNUMBER(SEARCH(Assumptions!$C$7,D4312)),Assumptions!$D$7,"Other Services"))),"Other Services"))</f>
        <v/>
      </c>
    </row>
    <row r="4313" customFormat="false" ht="15" hidden="false" customHeight="false" outlineLevel="0" collapsed="false">
      <c r="J4313" s="41" t="str">
        <f aca="false">IF(D4313="","",IFERROR(IF(ISNUMBER(SEARCH(Assumptions!$C$5,D4313)),Assumptions!$D$5,IF(ISNUMBER(SEARCH(Assumptions!$C$6,D4313)),Assumptions!$D$6,IF(ISNUMBER(SEARCH(Assumptions!$C$7,D4313)),Assumptions!$D$7,"Other Services"))),"Other Services"))</f>
        <v/>
      </c>
    </row>
    <row r="4314" customFormat="false" ht="15" hidden="false" customHeight="false" outlineLevel="0" collapsed="false">
      <c r="J4314" s="41" t="str">
        <f aca="false">IF(D4314="","",IFERROR(IF(ISNUMBER(SEARCH(Assumptions!$C$5,D4314)),Assumptions!$D$5,IF(ISNUMBER(SEARCH(Assumptions!$C$6,D4314)),Assumptions!$D$6,IF(ISNUMBER(SEARCH(Assumptions!$C$7,D4314)),Assumptions!$D$7,"Other Services"))),"Other Services"))</f>
        <v/>
      </c>
    </row>
    <row r="4315" customFormat="false" ht="15" hidden="false" customHeight="false" outlineLevel="0" collapsed="false">
      <c r="J4315" s="41" t="str">
        <f aca="false">IF(D4315="","",IFERROR(IF(ISNUMBER(SEARCH(Assumptions!$C$5,D4315)),Assumptions!$D$5,IF(ISNUMBER(SEARCH(Assumptions!$C$6,D4315)),Assumptions!$D$6,IF(ISNUMBER(SEARCH(Assumptions!$C$7,D4315)),Assumptions!$D$7,"Other Services"))),"Other Services"))</f>
        <v/>
      </c>
    </row>
    <row r="4316" customFormat="false" ht="15" hidden="false" customHeight="false" outlineLevel="0" collapsed="false">
      <c r="J4316" s="41" t="str">
        <f aca="false">IF(D4316="","",IFERROR(IF(ISNUMBER(SEARCH(Assumptions!$C$5,D4316)),Assumptions!$D$5,IF(ISNUMBER(SEARCH(Assumptions!$C$6,D4316)),Assumptions!$D$6,IF(ISNUMBER(SEARCH(Assumptions!$C$7,D4316)),Assumptions!$D$7,"Other Services"))),"Other Services"))</f>
        <v/>
      </c>
    </row>
    <row r="4317" customFormat="false" ht="15" hidden="false" customHeight="false" outlineLevel="0" collapsed="false">
      <c r="J4317" s="41" t="str">
        <f aca="false">IF(D4317="","",IFERROR(IF(ISNUMBER(SEARCH(Assumptions!$C$5,D4317)),Assumptions!$D$5,IF(ISNUMBER(SEARCH(Assumptions!$C$6,D4317)),Assumptions!$D$6,IF(ISNUMBER(SEARCH(Assumptions!$C$7,D4317)),Assumptions!$D$7,"Other Services"))),"Other Services"))</f>
        <v/>
      </c>
    </row>
    <row r="4318" customFormat="false" ht="15" hidden="false" customHeight="false" outlineLevel="0" collapsed="false">
      <c r="J4318" s="41" t="str">
        <f aca="false">IF(D4318="","",IFERROR(IF(ISNUMBER(SEARCH(Assumptions!$C$5,D4318)),Assumptions!$D$5,IF(ISNUMBER(SEARCH(Assumptions!$C$6,D4318)),Assumptions!$D$6,IF(ISNUMBER(SEARCH(Assumptions!$C$7,D4318)),Assumptions!$D$7,"Other Services"))),"Other Services"))</f>
        <v/>
      </c>
    </row>
    <row r="4319" customFormat="false" ht="15" hidden="false" customHeight="false" outlineLevel="0" collapsed="false">
      <c r="J4319" s="41" t="str">
        <f aca="false">IF(D4319="","",IFERROR(IF(ISNUMBER(SEARCH(Assumptions!$C$5,D4319)),Assumptions!$D$5,IF(ISNUMBER(SEARCH(Assumptions!$C$6,D4319)),Assumptions!$D$6,IF(ISNUMBER(SEARCH(Assumptions!$C$7,D4319)),Assumptions!$D$7,"Other Services"))),"Other Services"))</f>
        <v/>
      </c>
    </row>
    <row r="4320" customFormat="false" ht="15" hidden="false" customHeight="false" outlineLevel="0" collapsed="false">
      <c r="J4320" s="41" t="str">
        <f aca="false">IF(D4320="","",IFERROR(IF(ISNUMBER(SEARCH(Assumptions!$C$5,D4320)),Assumptions!$D$5,IF(ISNUMBER(SEARCH(Assumptions!$C$6,D4320)),Assumptions!$D$6,IF(ISNUMBER(SEARCH(Assumptions!$C$7,D4320)),Assumptions!$D$7,"Other Services"))),"Other Services"))</f>
        <v/>
      </c>
    </row>
    <row r="4321" customFormat="false" ht="15" hidden="false" customHeight="false" outlineLevel="0" collapsed="false">
      <c r="J4321" s="41" t="str">
        <f aca="false">IF(D4321="","",IFERROR(IF(ISNUMBER(SEARCH(Assumptions!$C$5,D4321)),Assumptions!$D$5,IF(ISNUMBER(SEARCH(Assumptions!$C$6,D4321)),Assumptions!$D$6,IF(ISNUMBER(SEARCH(Assumptions!$C$7,D4321)),Assumptions!$D$7,"Other Services"))),"Other Services"))</f>
        <v/>
      </c>
    </row>
    <row r="4322" customFormat="false" ht="15" hidden="false" customHeight="false" outlineLevel="0" collapsed="false">
      <c r="J4322" s="41" t="str">
        <f aca="false">IF(D4322="","",IFERROR(IF(ISNUMBER(SEARCH(Assumptions!$C$5,D4322)),Assumptions!$D$5,IF(ISNUMBER(SEARCH(Assumptions!$C$6,D4322)),Assumptions!$D$6,IF(ISNUMBER(SEARCH(Assumptions!$C$7,D4322)),Assumptions!$D$7,"Other Services"))),"Other Services"))</f>
        <v/>
      </c>
    </row>
    <row r="4323" customFormat="false" ht="15" hidden="false" customHeight="false" outlineLevel="0" collapsed="false">
      <c r="J4323" s="41" t="str">
        <f aca="false">IF(D4323="","",IFERROR(IF(ISNUMBER(SEARCH(Assumptions!$C$5,D4323)),Assumptions!$D$5,IF(ISNUMBER(SEARCH(Assumptions!$C$6,D4323)),Assumptions!$D$6,IF(ISNUMBER(SEARCH(Assumptions!$C$7,D4323)),Assumptions!$D$7,"Other Services"))),"Other Services"))</f>
        <v/>
      </c>
    </row>
    <row r="4324" customFormat="false" ht="15" hidden="false" customHeight="false" outlineLevel="0" collapsed="false">
      <c r="J4324" s="41" t="str">
        <f aca="false">IF(D4324="","",IFERROR(IF(ISNUMBER(SEARCH(Assumptions!$C$5,D4324)),Assumptions!$D$5,IF(ISNUMBER(SEARCH(Assumptions!$C$6,D4324)),Assumptions!$D$6,IF(ISNUMBER(SEARCH(Assumptions!$C$7,D4324)),Assumptions!$D$7,"Other Services"))),"Other Services"))</f>
        <v/>
      </c>
    </row>
    <row r="4325" customFormat="false" ht="15" hidden="false" customHeight="false" outlineLevel="0" collapsed="false">
      <c r="J4325" s="41" t="str">
        <f aca="false">IF(D4325="","",IFERROR(IF(ISNUMBER(SEARCH(Assumptions!$C$5,D4325)),Assumptions!$D$5,IF(ISNUMBER(SEARCH(Assumptions!$C$6,D4325)),Assumptions!$D$6,IF(ISNUMBER(SEARCH(Assumptions!$C$7,D4325)),Assumptions!$D$7,"Other Services"))),"Other Services"))</f>
        <v/>
      </c>
    </row>
    <row r="4326" customFormat="false" ht="15" hidden="false" customHeight="false" outlineLevel="0" collapsed="false">
      <c r="J4326" s="41" t="str">
        <f aca="false">IF(D4326="","",IFERROR(IF(ISNUMBER(SEARCH(Assumptions!$C$5,D4326)),Assumptions!$D$5,IF(ISNUMBER(SEARCH(Assumptions!$C$6,D4326)),Assumptions!$D$6,IF(ISNUMBER(SEARCH(Assumptions!$C$7,D4326)),Assumptions!$D$7,"Other Services"))),"Other Services"))</f>
        <v/>
      </c>
    </row>
    <row r="4327" customFormat="false" ht="15" hidden="false" customHeight="false" outlineLevel="0" collapsed="false">
      <c r="J4327" s="41" t="str">
        <f aca="false">IF(D4327="","",IFERROR(IF(ISNUMBER(SEARCH(Assumptions!$C$5,D4327)),Assumptions!$D$5,IF(ISNUMBER(SEARCH(Assumptions!$C$6,D4327)),Assumptions!$D$6,IF(ISNUMBER(SEARCH(Assumptions!$C$7,D4327)),Assumptions!$D$7,"Other Services"))),"Other Services"))</f>
        <v/>
      </c>
    </row>
    <row r="4328" customFormat="false" ht="15" hidden="false" customHeight="false" outlineLevel="0" collapsed="false">
      <c r="J4328" s="41" t="str">
        <f aca="false">IF(D4328="","",IFERROR(IF(ISNUMBER(SEARCH(Assumptions!$C$5,D4328)),Assumptions!$D$5,IF(ISNUMBER(SEARCH(Assumptions!$C$6,D4328)),Assumptions!$D$6,IF(ISNUMBER(SEARCH(Assumptions!$C$7,D4328)),Assumptions!$D$7,"Other Services"))),"Other Services"))</f>
        <v/>
      </c>
    </row>
    <row r="4329" customFormat="false" ht="15" hidden="false" customHeight="false" outlineLevel="0" collapsed="false">
      <c r="J4329" s="41" t="str">
        <f aca="false">IF(D4329="","",IFERROR(IF(ISNUMBER(SEARCH(Assumptions!$C$5,D4329)),Assumptions!$D$5,IF(ISNUMBER(SEARCH(Assumptions!$C$6,D4329)),Assumptions!$D$6,IF(ISNUMBER(SEARCH(Assumptions!$C$7,D4329)),Assumptions!$D$7,"Other Services"))),"Other Services"))</f>
        <v/>
      </c>
    </row>
    <row r="4330" customFormat="false" ht="15" hidden="false" customHeight="false" outlineLevel="0" collapsed="false">
      <c r="J4330" s="41" t="str">
        <f aca="false">IF(D4330="","",IFERROR(IF(ISNUMBER(SEARCH(Assumptions!$C$5,D4330)),Assumptions!$D$5,IF(ISNUMBER(SEARCH(Assumptions!$C$6,D4330)),Assumptions!$D$6,IF(ISNUMBER(SEARCH(Assumptions!$C$7,D4330)),Assumptions!$D$7,"Other Services"))),"Other Services"))</f>
        <v/>
      </c>
    </row>
    <row r="4331" customFormat="false" ht="15" hidden="false" customHeight="false" outlineLevel="0" collapsed="false">
      <c r="J4331" s="41" t="str">
        <f aca="false">IF(D4331="","",IFERROR(IF(ISNUMBER(SEARCH(Assumptions!$C$5,D4331)),Assumptions!$D$5,IF(ISNUMBER(SEARCH(Assumptions!$C$6,D4331)),Assumptions!$D$6,IF(ISNUMBER(SEARCH(Assumptions!$C$7,D4331)),Assumptions!$D$7,"Other Services"))),"Other Services"))</f>
        <v/>
      </c>
    </row>
    <row r="4332" customFormat="false" ht="15" hidden="false" customHeight="false" outlineLevel="0" collapsed="false">
      <c r="J4332" s="41" t="str">
        <f aca="false">IF(D4332="","",IFERROR(IF(ISNUMBER(SEARCH(Assumptions!$C$5,D4332)),Assumptions!$D$5,IF(ISNUMBER(SEARCH(Assumptions!$C$6,D4332)),Assumptions!$D$6,IF(ISNUMBER(SEARCH(Assumptions!$C$7,D4332)),Assumptions!$D$7,"Other Services"))),"Other Services"))</f>
        <v/>
      </c>
    </row>
    <row r="4333" customFormat="false" ht="15" hidden="false" customHeight="false" outlineLevel="0" collapsed="false">
      <c r="J4333" s="41" t="str">
        <f aca="false">IF(D4333="","",IFERROR(IF(ISNUMBER(SEARCH(Assumptions!$C$5,D4333)),Assumptions!$D$5,IF(ISNUMBER(SEARCH(Assumptions!$C$6,D4333)),Assumptions!$D$6,IF(ISNUMBER(SEARCH(Assumptions!$C$7,D4333)),Assumptions!$D$7,"Other Services"))),"Other Services"))</f>
        <v/>
      </c>
    </row>
    <row r="4334" customFormat="false" ht="15" hidden="false" customHeight="false" outlineLevel="0" collapsed="false">
      <c r="J4334" s="41" t="str">
        <f aca="false">IF(D4334="","",IFERROR(IF(ISNUMBER(SEARCH(Assumptions!$C$5,D4334)),Assumptions!$D$5,IF(ISNUMBER(SEARCH(Assumptions!$C$6,D4334)),Assumptions!$D$6,IF(ISNUMBER(SEARCH(Assumptions!$C$7,D4334)),Assumptions!$D$7,"Other Services"))),"Other Services"))</f>
        <v/>
      </c>
    </row>
    <row r="4335" customFormat="false" ht="15" hidden="false" customHeight="false" outlineLevel="0" collapsed="false">
      <c r="J4335" s="41" t="str">
        <f aca="false">IF(D4335="","",IFERROR(IF(ISNUMBER(SEARCH(Assumptions!$C$5,D4335)),Assumptions!$D$5,IF(ISNUMBER(SEARCH(Assumptions!$C$6,D4335)),Assumptions!$D$6,IF(ISNUMBER(SEARCH(Assumptions!$C$7,D4335)),Assumptions!$D$7,"Other Services"))),"Other Services"))</f>
        <v/>
      </c>
    </row>
    <row r="4336" customFormat="false" ht="15" hidden="false" customHeight="false" outlineLevel="0" collapsed="false">
      <c r="J4336" s="41" t="str">
        <f aca="false">IF(D4336="","",IFERROR(IF(ISNUMBER(SEARCH(Assumptions!$C$5,D4336)),Assumptions!$D$5,IF(ISNUMBER(SEARCH(Assumptions!$C$6,D4336)),Assumptions!$D$6,IF(ISNUMBER(SEARCH(Assumptions!$C$7,D4336)),Assumptions!$D$7,"Other Services"))),"Other Services"))</f>
        <v/>
      </c>
    </row>
    <row r="4337" customFormat="false" ht="15" hidden="false" customHeight="false" outlineLevel="0" collapsed="false">
      <c r="J4337" s="41" t="str">
        <f aca="false">IF(D4337="","",IFERROR(IF(ISNUMBER(SEARCH(Assumptions!$C$5,D4337)),Assumptions!$D$5,IF(ISNUMBER(SEARCH(Assumptions!$C$6,D4337)),Assumptions!$D$6,IF(ISNUMBER(SEARCH(Assumptions!$C$7,D4337)),Assumptions!$D$7,"Other Services"))),"Other Services"))</f>
        <v/>
      </c>
    </row>
    <row r="4338" customFormat="false" ht="15" hidden="false" customHeight="false" outlineLevel="0" collapsed="false">
      <c r="J4338" s="41" t="str">
        <f aca="false">IF(D4338="","",IFERROR(IF(ISNUMBER(SEARCH(Assumptions!$C$5,D4338)),Assumptions!$D$5,IF(ISNUMBER(SEARCH(Assumptions!$C$6,D4338)),Assumptions!$D$6,IF(ISNUMBER(SEARCH(Assumptions!$C$7,D4338)),Assumptions!$D$7,"Other Services"))),"Other Services"))</f>
        <v/>
      </c>
    </row>
    <row r="4339" customFormat="false" ht="15" hidden="false" customHeight="false" outlineLevel="0" collapsed="false">
      <c r="J4339" s="41" t="str">
        <f aca="false">IF(D4339="","",IFERROR(IF(ISNUMBER(SEARCH(Assumptions!$C$5,D4339)),Assumptions!$D$5,IF(ISNUMBER(SEARCH(Assumptions!$C$6,D4339)),Assumptions!$D$6,IF(ISNUMBER(SEARCH(Assumptions!$C$7,D4339)),Assumptions!$D$7,"Other Services"))),"Other Services"))</f>
        <v/>
      </c>
    </row>
    <row r="4340" customFormat="false" ht="15" hidden="false" customHeight="false" outlineLevel="0" collapsed="false">
      <c r="J4340" s="41" t="str">
        <f aca="false">IF(D4340="","",IFERROR(IF(ISNUMBER(SEARCH(Assumptions!$C$5,D4340)),Assumptions!$D$5,IF(ISNUMBER(SEARCH(Assumptions!$C$6,D4340)),Assumptions!$D$6,IF(ISNUMBER(SEARCH(Assumptions!$C$7,D4340)),Assumptions!$D$7,"Other Services"))),"Other Services"))</f>
        <v/>
      </c>
    </row>
    <row r="4341" customFormat="false" ht="15" hidden="false" customHeight="false" outlineLevel="0" collapsed="false">
      <c r="J4341" s="41" t="str">
        <f aca="false">IF(D4341="","",IFERROR(IF(ISNUMBER(SEARCH(Assumptions!$C$5,D4341)),Assumptions!$D$5,IF(ISNUMBER(SEARCH(Assumptions!$C$6,D4341)),Assumptions!$D$6,IF(ISNUMBER(SEARCH(Assumptions!$C$7,D4341)),Assumptions!$D$7,"Other Services"))),"Other Services"))</f>
        <v/>
      </c>
    </row>
    <row r="4342" customFormat="false" ht="15" hidden="false" customHeight="false" outlineLevel="0" collapsed="false">
      <c r="J4342" s="41" t="str">
        <f aca="false">IF(D4342="","",IFERROR(IF(ISNUMBER(SEARCH(Assumptions!$C$5,D4342)),Assumptions!$D$5,IF(ISNUMBER(SEARCH(Assumptions!$C$6,D4342)),Assumptions!$D$6,IF(ISNUMBER(SEARCH(Assumptions!$C$7,D4342)),Assumptions!$D$7,"Other Services"))),"Other Services"))</f>
        <v/>
      </c>
    </row>
    <row r="4343" customFormat="false" ht="15" hidden="false" customHeight="false" outlineLevel="0" collapsed="false">
      <c r="J4343" s="41" t="str">
        <f aca="false">IF(D4343="","",IFERROR(IF(ISNUMBER(SEARCH(Assumptions!$C$5,D4343)),Assumptions!$D$5,IF(ISNUMBER(SEARCH(Assumptions!$C$6,D4343)),Assumptions!$D$6,IF(ISNUMBER(SEARCH(Assumptions!$C$7,D4343)),Assumptions!$D$7,"Other Services"))),"Other Services"))</f>
        <v/>
      </c>
    </row>
    <row r="4344" customFormat="false" ht="15" hidden="false" customHeight="false" outlineLevel="0" collapsed="false">
      <c r="J4344" s="41" t="str">
        <f aca="false">IF(D4344="","",IFERROR(IF(ISNUMBER(SEARCH(Assumptions!$C$5,D4344)),Assumptions!$D$5,IF(ISNUMBER(SEARCH(Assumptions!$C$6,D4344)),Assumptions!$D$6,IF(ISNUMBER(SEARCH(Assumptions!$C$7,D4344)),Assumptions!$D$7,"Other Services"))),"Other Services"))</f>
        <v/>
      </c>
    </row>
    <row r="4345" customFormat="false" ht="15" hidden="false" customHeight="false" outlineLevel="0" collapsed="false">
      <c r="J4345" s="41" t="str">
        <f aca="false">IF(D4345="","",IFERROR(IF(ISNUMBER(SEARCH(Assumptions!$C$5,D4345)),Assumptions!$D$5,IF(ISNUMBER(SEARCH(Assumptions!$C$6,D4345)),Assumptions!$D$6,IF(ISNUMBER(SEARCH(Assumptions!$C$7,D4345)),Assumptions!$D$7,"Other Services"))),"Other Services"))</f>
        <v/>
      </c>
    </row>
    <row r="4346" customFormat="false" ht="15" hidden="false" customHeight="false" outlineLevel="0" collapsed="false">
      <c r="J4346" s="41" t="str">
        <f aca="false">IF(D4346="","",IFERROR(IF(ISNUMBER(SEARCH(Assumptions!$C$5,D4346)),Assumptions!$D$5,IF(ISNUMBER(SEARCH(Assumptions!$C$6,D4346)),Assumptions!$D$6,IF(ISNUMBER(SEARCH(Assumptions!$C$7,D4346)),Assumptions!$D$7,"Other Services"))),"Other Services"))</f>
        <v/>
      </c>
    </row>
    <row r="4347" customFormat="false" ht="15" hidden="false" customHeight="false" outlineLevel="0" collapsed="false">
      <c r="J4347" s="41" t="str">
        <f aca="false">IF(D4347="","",IFERROR(IF(ISNUMBER(SEARCH(Assumptions!$C$5,D4347)),Assumptions!$D$5,IF(ISNUMBER(SEARCH(Assumptions!$C$6,D4347)),Assumptions!$D$6,IF(ISNUMBER(SEARCH(Assumptions!$C$7,D4347)),Assumptions!$D$7,"Other Services"))),"Other Services"))</f>
        <v/>
      </c>
    </row>
    <row r="4348" customFormat="false" ht="15" hidden="false" customHeight="false" outlineLevel="0" collapsed="false">
      <c r="J4348" s="41" t="str">
        <f aca="false">IF(D4348="","",IFERROR(IF(ISNUMBER(SEARCH(Assumptions!$C$5,D4348)),Assumptions!$D$5,IF(ISNUMBER(SEARCH(Assumptions!$C$6,D4348)),Assumptions!$D$6,IF(ISNUMBER(SEARCH(Assumptions!$C$7,D4348)),Assumptions!$D$7,"Other Services"))),"Other Services"))</f>
        <v/>
      </c>
    </row>
    <row r="4349" customFormat="false" ht="15" hidden="false" customHeight="false" outlineLevel="0" collapsed="false">
      <c r="J4349" s="41" t="str">
        <f aca="false">IF(D4349="","",IFERROR(IF(ISNUMBER(SEARCH(Assumptions!$C$5,D4349)),Assumptions!$D$5,IF(ISNUMBER(SEARCH(Assumptions!$C$6,D4349)),Assumptions!$D$6,IF(ISNUMBER(SEARCH(Assumptions!$C$7,D4349)),Assumptions!$D$7,"Other Services"))),"Other Services"))</f>
        <v/>
      </c>
    </row>
    <row r="4350" customFormat="false" ht="15" hidden="false" customHeight="false" outlineLevel="0" collapsed="false">
      <c r="J4350" s="41" t="str">
        <f aca="false">IF(D4350="","",IFERROR(IF(ISNUMBER(SEARCH(Assumptions!$C$5,D4350)),Assumptions!$D$5,IF(ISNUMBER(SEARCH(Assumptions!$C$6,D4350)),Assumptions!$D$6,IF(ISNUMBER(SEARCH(Assumptions!$C$7,D4350)),Assumptions!$D$7,"Other Services"))),"Other Services"))</f>
        <v/>
      </c>
    </row>
    <row r="4351" customFormat="false" ht="15" hidden="false" customHeight="false" outlineLevel="0" collapsed="false">
      <c r="J4351" s="41" t="str">
        <f aca="false">IF(D4351="","",IFERROR(IF(ISNUMBER(SEARCH(Assumptions!$C$5,D4351)),Assumptions!$D$5,IF(ISNUMBER(SEARCH(Assumptions!$C$6,D4351)),Assumptions!$D$6,IF(ISNUMBER(SEARCH(Assumptions!$C$7,D4351)),Assumptions!$D$7,"Other Services"))),"Other Services"))</f>
        <v/>
      </c>
    </row>
    <row r="4352" customFormat="false" ht="15" hidden="false" customHeight="false" outlineLevel="0" collapsed="false">
      <c r="J4352" s="41" t="str">
        <f aca="false">IF(D4352="","",IFERROR(IF(ISNUMBER(SEARCH(Assumptions!$C$5,D4352)),Assumptions!$D$5,IF(ISNUMBER(SEARCH(Assumptions!$C$6,D4352)),Assumptions!$D$6,IF(ISNUMBER(SEARCH(Assumptions!$C$7,D4352)),Assumptions!$D$7,"Other Services"))),"Other Services"))</f>
        <v/>
      </c>
    </row>
    <row r="4353" customFormat="false" ht="15" hidden="false" customHeight="false" outlineLevel="0" collapsed="false">
      <c r="J4353" s="41" t="str">
        <f aca="false">IF(D4353="","",IFERROR(IF(ISNUMBER(SEARCH(Assumptions!$C$5,D4353)),Assumptions!$D$5,IF(ISNUMBER(SEARCH(Assumptions!$C$6,D4353)),Assumptions!$D$6,IF(ISNUMBER(SEARCH(Assumptions!$C$7,D4353)),Assumptions!$D$7,"Other Services"))),"Other Services"))</f>
        <v/>
      </c>
    </row>
    <row r="4354" customFormat="false" ht="15" hidden="false" customHeight="false" outlineLevel="0" collapsed="false">
      <c r="J4354" s="41" t="str">
        <f aca="false">IF(D4354="","",IFERROR(IF(ISNUMBER(SEARCH(Assumptions!$C$5,D4354)),Assumptions!$D$5,IF(ISNUMBER(SEARCH(Assumptions!$C$6,D4354)),Assumptions!$D$6,IF(ISNUMBER(SEARCH(Assumptions!$C$7,D4354)),Assumptions!$D$7,"Other Services"))),"Other Services"))</f>
        <v/>
      </c>
    </row>
    <row r="4355" customFormat="false" ht="15" hidden="false" customHeight="false" outlineLevel="0" collapsed="false">
      <c r="J4355" s="41" t="str">
        <f aca="false">IF(D4355="","",IFERROR(IF(ISNUMBER(SEARCH(Assumptions!$C$5,D4355)),Assumptions!$D$5,IF(ISNUMBER(SEARCH(Assumptions!$C$6,D4355)),Assumptions!$D$6,IF(ISNUMBER(SEARCH(Assumptions!$C$7,D4355)),Assumptions!$D$7,"Other Services"))),"Other Services"))</f>
        <v/>
      </c>
    </row>
    <row r="4356" customFormat="false" ht="15" hidden="false" customHeight="false" outlineLevel="0" collapsed="false">
      <c r="J4356" s="41" t="str">
        <f aca="false">IF(D4356="","",IFERROR(IF(ISNUMBER(SEARCH(Assumptions!$C$5,D4356)),Assumptions!$D$5,IF(ISNUMBER(SEARCH(Assumptions!$C$6,D4356)),Assumptions!$D$6,IF(ISNUMBER(SEARCH(Assumptions!$C$7,D4356)),Assumptions!$D$7,"Other Services"))),"Other Services"))</f>
        <v/>
      </c>
    </row>
    <row r="4357" customFormat="false" ht="15" hidden="false" customHeight="false" outlineLevel="0" collapsed="false">
      <c r="J4357" s="41" t="str">
        <f aca="false">IF(D4357="","",IFERROR(IF(ISNUMBER(SEARCH(Assumptions!$C$5,D4357)),Assumptions!$D$5,IF(ISNUMBER(SEARCH(Assumptions!$C$6,D4357)),Assumptions!$D$6,IF(ISNUMBER(SEARCH(Assumptions!$C$7,D4357)),Assumptions!$D$7,"Other Services"))),"Other Services"))</f>
        <v/>
      </c>
    </row>
    <row r="4358" customFormat="false" ht="15" hidden="false" customHeight="false" outlineLevel="0" collapsed="false">
      <c r="J4358" s="41" t="str">
        <f aca="false">IF(D4358="","",IFERROR(IF(ISNUMBER(SEARCH(Assumptions!$C$5,D4358)),Assumptions!$D$5,IF(ISNUMBER(SEARCH(Assumptions!$C$6,D4358)),Assumptions!$D$6,IF(ISNUMBER(SEARCH(Assumptions!$C$7,D4358)),Assumptions!$D$7,"Other Services"))),"Other Services"))</f>
        <v/>
      </c>
    </row>
    <row r="4359" customFormat="false" ht="15" hidden="false" customHeight="false" outlineLevel="0" collapsed="false">
      <c r="J4359" s="41" t="str">
        <f aca="false">IF(D4359="","",IFERROR(IF(ISNUMBER(SEARCH(Assumptions!$C$5,D4359)),Assumptions!$D$5,IF(ISNUMBER(SEARCH(Assumptions!$C$6,D4359)),Assumptions!$D$6,IF(ISNUMBER(SEARCH(Assumptions!$C$7,D4359)),Assumptions!$D$7,"Other Services"))),"Other Services"))</f>
        <v/>
      </c>
    </row>
    <row r="4360" customFormat="false" ht="15" hidden="false" customHeight="false" outlineLevel="0" collapsed="false">
      <c r="J4360" s="41" t="str">
        <f aca="false">IF(D4360="","",IFERROR(IF(ISNUMBER(SEARCH(Assumptions!$C$5,D4360)),Assumptions!$D$5,IF(ISNUMBER(SEARCH(Assumptions!$C$6,D4360)),Assumptions!$D$6,IF(ISNUMBER(SEARCH(Assumptions!$C$7,D4360)),Assumptions!$D$7,"Other Services"))),"Other Services"))</f>
        <v/>
      </c>
    </row>
    <row r="4361" customFormat="false" ht="15" hidden="false" customHeight="false" outlineLevel="0" collapsed="false">
      <c r="J4361" s="41" t="str">
        <f aca="false">IF(D4361="","",IFERROR(IF(ISNUMBER(SEARCH(Assumptions!$C$5,D4361)),Assumptions!$D$5,IF(ISNUMBER(SEARCH(Assumptions!$C$6,D4361)),Assumptions!$D$6,IF(ISNUMBER(SEARCH(Assumptions!$C$7,D4361)),Assumptions!$D$7,"Other Services"))),"Other Services"))</f>
        <v/>
      </c>
    </row>
    <row r="4362" customFormat="false" ht="15" hidden="false" customHeight="false" outlineLevel="0" collapsed="false">
      <c r="J4362" s="41" t="str">
        <f aca="false">IF(D4362="","",IFERROR(IF(ISNUMBER(SEARCH(Assumptions!$C$5,D4362)),Assumptions!$D$5,IF(ISNUMBER(SEARCH(Assumptions!$C$6,D4362)),Assumptions!$D$6,IF(ISNUMBER(SEARCH(Assumptions!$C$7,D4362)),Assumptions!$D$7,"Other Services"))),"Other Services"))</f>
        <v/>
      </c>
    </row>
    <row r="4363" customFormat="false" ht="15" hidden="false" customHeight="false" outlineLevel="0" collapsed="false">
      <c r="J4363" s="41" t="str">
        <f aca="false">IF(D4363="","",IFERROR(IF(ISNUMBER(SEARCH(Assumptions!$C$5,D4363)),Assumptions!$D$5,IF(ISNUMBER(SEARCH(Assumptions!$C$6,D4363)),Assumptions!$D$6,IF(ISNUMBER(SEARCH(Assumptions!$C$7,D4363)),Assumptions!$D$7,"Other Services"))),"Other Services"))</f>
        <v/>
      </c>
    </row>
    <row r="4364" customFormat="false" ht="15" hidden="false" customHeight="false" outlineLevel="0" collapsed="false">
      <c r="J4364" s="41" t="str">
        <f aca="false">IF(D4364="","",IFERROR(IF(ISNUMBER(SEARCH(Assumptions!$C$5,D4364)),Assumptions!$D$5,IF(ISNUMBER(SEARCH(Assumptions!$C$6,D4364)),Assumptions!$D$6,IF(ISNUMBER(SEARCH(Assumptions!$C$7,D4364)),Assumptions!$D$7,"Other Services"))),"Other Services"))</f>
        <v/>
      </c>
    </row>
    <row r="4365" customFormat="false" ht="15" hidden="false" customHeight="false" outlineLevel="0" collapsed="false">
      <c r="J4365" s="41" t="str">
        <f aca="false">IF(D4365="","",IFERROR(IF(ISNUMBER(SEARCH(Assumptions!$C$5,D4365)),Assumptions!$D$5,IF(ISNUMBER(SEARCH(Assumptions!$C$6,D4365)),Assumptions!$D$6,IF(ISNUMBER(SEARCH(Assumptions!$C$7,D4365)),Assumptions!$D$7,"Other Services"))),"Other Services"))</f>
        <v/>
      </c>
    </row>
    <row r="4366" customFormat="false" ht="15" hidden="false" customHeight="false" outlineLevel="0" collapsed="false">
      <c r="J4366" s="41" t="str">
        <f aca="false">IF(D4366="","",IFERROR(IF(ISNUMBER(SEARCH(Assumptions!$C$5,D4366)),Assumptions!$D$5,IF(ISNUMBER(SEARCH(Assumptions!$C$6,D4366)),Assumptions!$D$6,IF(ISNUMBER(SEARCH(Assumptions!$C$7,D4366)),Assumptions!$D$7,"Other Services"))),"Other Services"))</f>
        <v/>
      </c>
    </row>
    <row r="4367" customFormat="false" ht="15" hidden="false" customHeight="false" outlineLevel="0" collapsed="false">
      <c r="J4367" s="41" t="str">
        <f aca="false">IF(D4367="","",IFERROR(IF(ISNUMBER(SEARCH(Assumptions!$C$5,D4367)),Assumptions!$D$5,IF(ISNUMBER(SEARCH(Assumptions!$C$6,D4367)),Assumptions!$D$6,IF(ISNUMBER(SEARCH(Assumptions!$C$7,D4367)),Assumptions!$D$7,"Other Services"))),"Other Services"))</f>
        <v/>
      </c>
    </row>
    <row r="4368" customFormat="false" ht="15" hidden="false" customHeight="false" outlineLevel="0" collapsed="false">
      <c r="J4368" s="41" t="str">
        <f aca="false">IF(D4368="","",IFERROR(IF(ISNUMBER(SEARCH(Assumptions!$C$5,D4368)),Assumptions!$D$5,IF(ISNUMBER(SEARCH(Assumptions!$C$6,D4368)),Assumptions!$D$6,IF(ISNUMBER(SEARCH(Assumptions!$C$7,D4368)),Assumptions!$D$7,"Other Services"))),"Other Services"))</f>
        <v/>
      </c>
    </row>
    <row r="4369" customFormat="false" ht="15" hidden="false" customHeight="false" outlineLevel="0" collapsed="false">
      <c r="J4369" s="41" t="str">
        <f aca="false">IF(D4369="","",IFERROR(IF(ISNUMBER(SEARCH(Assumptions!$C$5,D4369)),Assumptions!$D$5,IF(ISNUMBER(SEARCH(Assumptions!$C$6,D4369)),Assumptions!$D$6,IF(ISNUMBER(SEARCH(Assumptions!$C$7,D4369)),Assumptions!$D$7,"Other Services"))),"Other Services"))</f>
        <v/>
      </c>
    </row>
    <row r="4370" customFormat="false" ht="15" hidden="false" customHeight="false" outlineLevel="0" collapsed="false">
      <c r="J4370" s="41" t="str">
        <f aca="false">IF(D4370="","",IFERROR(IF(ISNUMBER(SEARCH(Assumptions!$C$5,D4370)),Assumptions!$D$5,IF(ISNUMBER(SEARCH(Assumptions!$C$6,D4370)),Assumptions!$D$6,IF(ISNUMBER(SEARCH(Assumptions!$C$7,D4370)),Assumptions!$D$7,"Other Services"))),"Other Services"))</f>
        <v/>
      </c>
    </row>
    <row r="4371" customFormat="false" ht="15" hidden="false" customHeight="false" outlineLevel="0" collapsed="false">
      <c r="J4371" s="41" t="str">
        <f aca="false">IF(D4371="","",IFERROR(IF(ISNUMBER(SEARCH(Assumptions!$C$5,D4371)),Assumptions!$D$5,IF(ISNUMBER(SEARCH(Assumptions!$C$6,D4371)),Assumptions!$D$6,IF(ISNUMBER(SEARCH(Assumptions!$C$7,D4371)),Assumptions!$D$7,"Other Services"))),"Other Services"))</f>
        <v/>
      </c>
    </row>
    <row r="4372" customFormat="false" ht="15" hidden="false" customHeight="false" outlineLevel="0" collapsed="false">
      <c r="J4372" s="41" t="str">
        <f aca="false">IF(D4372="","",IFERROR(IF(ISNUMBER(SEARCH(Assumptions!$C$5,D4372)),Assumptions!$D$5,IF(ISNUMBER(SEARCH(Assumptions!$C$6,D4372)),Assumptions!$D$6,IF(ISNUMBER(SEARCH(Assumptions!$C$7,D4372)),Assumptions!$D$7,"Other Services"))),"Other Services"))</f>
        <v/>
      </c>
    </row>
    <row r="4373" customFormat="false" ht="15" hidden="false" customHeight="false" outlineLevel="0" collapsed="false">
      <c r="J4373" s="41" t="str">
        <f aca="false">IF(D4373="","",IFERROR(IF(ISNUMBER(SEARCH(Assumptions!$C$5,D4373)),Assumptions!$D$5,IF(ISNUMBER(SEARCH(Assumptions!$C$6,D4373)),Assumptions!$D$6,IF(ISNUMBER(SEARCH(Assumptions!$C$7,D4373)),Assumptions!$D$7,"Other Services"))),"Other Services"))</f>
        <v/>
      </c>
    </row>
    <row r="4374" customFormat="false" ht="15" hidden="false" customHeight="false" outlineLevel="0" collapsed="false">
      <c r="J4374" s="41" t="str">
        <f aca="false">IF(D4374="","",IFERROR(IF(ISNUMBER(SEARCH(Assumptions!$C$5,D4374)),Assumptions!$D$5,IF(ISNUMBER(SEARCH(Assumptions!$C$6,D4374)),Assumptions!$D$6,IF(ISNUMBER(SEARCH(Assumptions!$C$7,D4374)),Assumptions!$D$7,"Other Services"))),"Other Services"))</f>
        <v/>
      </c>
    </row>
    <row r="4375" customFormat="false" ht="15" hidden="false" customHeight="false" outlineLevel="0" collapsed="false">
      <c r="J4375" s="41" t="str">
        <f aca="false">IF(D4375="","",IFERROR(IF(ISNUMBER(SEARCH(Assumptions!$C$5,D4375)),Assumptions!$D$5,IF(ISNUMBER(SEARCH(Assumptions!$C$6,D4375)),Assumptions!$D$6,IF(ISNUMBER(SEARCH(Assumptions!$C$7,D4375)),Assumptions!$D$7,"Other Services"))),"Other Services"))</f>
        <v/>
      </c>
    </row>
    <row r="4376" customFormat="false" ht="15" hidden="false" customHeight="false" outlineLevel="0" collapsed="false">
      <c r="J4376" s="41" t="str">
        <f aca="false">IF(D4376="","",IFERROR(IF(ISNUMBER(SEARCH(Assumptions!$C$5,D4376)),Assumptions!$D$5,IF(ISNUMBER(SEARCH(Assumptions!$C$6,D4376)),Assumptions!$D$6,IF(ISNUMBER(SEARCH(Assumptions!$C$7,D4376)),Assumptions!$D$7,"Other Services"))),"Other Services"))</f>
        <v/>
      </c>
    </row>
    <row r="4377" customFormat="false" ht="15" hidden="false" customHeight="false" outlineLevel="0" collapsed="false">
      <c r="J4377" s="41" t="str">
        <f aca="false">IF(D4377="","",IFERROR(IF(ISNUMBER(SEARCH(Assumptions!$C$5,D4377)),Assumptions!$D$5,IF(ISNUMBER(SEARCH(Assumptions!$C$6,D4377)),Assumptions!$D$6,IF(ISNUMBER(SEARCH(Assumptions!$C$7,D4377)),Assumptions!$D$7,"Other Services"))),"Other Services"))</f>
        <v/>
      </c>
    </row>
    <row r="4378" customFormat="false" ht="15" hidden="false" customHeight="false" outlineLevel="0" collapsed="false">
      <c r="J4378" s="41" t="str">
        <f aca="false">IF(D4378="","",IFERROR(IF(ISNUMBER(SEARCH(Assumptions!$C$5,D4378)),Assumptions!$D$5,IF(ISNUMBER(SEARCH(Assumptions!$C$6,D4378)),Assumptions!$D$6,IF(ISNUMBER(SEARCH(Assumptions!$C$7,D4378)),Assumptions!$D$7,"Other Services"))),"Other Services"))</f>
        <v/>
      </c>
    </row>
    <row r="4379" customFormat="false" ht="15" hidden="false" customHeight="false" outlineLevel="0" collapsed="false">
      <c r="J4379" s="41" t="str">
        <f aca="false">IF(D4379="","",IFERROR(IF(ISNUMBER(SEARCH(Assumptions!$C$5,D4379)),Assumptions!$D$5,IF(ISNUMBER(SEARCH(Assumptions!$C$6,D4379)),Assumptions!$D$6,IF(ISNUMBER(SEARCH(Assumptions!$C$7,D4379)),Assumptions!$D$7,"Other Services"))),"Other Services"))</f>
        <v/>
      </c>
    </row>
    <row r="4380" customFormat="false" ht="15" hidden="false" customHeight="false" outlineLevel="0" collapsed="false">
      <c r="J4380" s="41" t="str">
        <f aca="false">IF(D4380="","",IFERROR(IF(ISNUMBER(SEARCH(Assumptions!$C$5,D4380)),Assumptions!$D$5,IF(ISNUMBER(SEARCH(Assumptions!$C$6,D4380)),Assumptions!$D$6,IF(ISNUMBER(SEARCH(Assumptions!$C$7,D4380)),Assumptions!$D$7,"Other Services"))),"Other Services"))</f>
        <v/>
      </c>
    </row>
    <row r="4381" customFormat="false" ht="15" hidden="false" customHeight="false" outlineLevel="0" collapsed="false">
      <c r="J4381" s="41" t="str">
        <f aca="false">IF(D4381="","",IFERROR(IF(ISNUMBER(SEARCH(Assumptions!$C$5,D4381)),Assumptions!$D$5,IF(ISNUMBER(SEARCH(Assumptions!$C$6,D4381)),Assumptions!$D$6,IF(ISNUMBER(SEARCH(Assumptions!$C$7,D4381)),Assumptions!$D$7,"Other Services"))),"Other Services"))</f>
        <v/>
      </c>
    </row>
    <row r="4382" customFormat="false" ht="15" hidden="false" customHeight="false" outlineLevel="0" collapsed="false">
      <c r="J4382" s="41" t="str">
        <f aca="false">IF(D4382="","",IFERROR(IF(ISNUMBER(SEARCH(Assumptions!$C$5,D4382)),Assumptions!$D$5,IF(ISNUMBER(SEARCH(Assumptions!$C$6,D4382)),Assumptions!$D$6,IF(ISNUMBER(SEARCH(Assumptions!$C$7,D4382)),Assumptions!$D$7,"Other Services"))),"Other Services"))</f>
        <v/>
      </c>
    </row>
    <row r="4383" customFormat="false" ht="15" hidden="false" customHeight="false" outlineLevel="0" collapsed="false">
      <c r="J4383" s="41" t="str">
        <f aca="false">IF(D4383="","",IFERROR(IF(ISNUMBER(SEARCH(Assumptions!$C$5,D4383)),Assumptions!$D$5,IF(ISNUMBER(SEARCH(Assumptions!$C$6,D4383)),Assumptions!$D$6,IF(ISNUMBER(SEARCH(Assumptions!$C$7,D4383)),Assumptions!$D$7,"Other Services"))),"Other Services"))</f>
        <v/>
      </c>
    </row>
    <row r="4384" customFormat="false" ht="15" hidden="false" customHeight="false" outlineLevel="0" collapsed="false">
      <c r="J4384" s="41" t="str">
        <f aca="false">IF(D4384="","",IFERROR(IF(ISNUMBER(SEARCH(Assumptions!$C$5,D4384)),Assumptions!$D$5,IF(ISNUMBER(SEARCH(Assumptions!$C$6,D4384)),Assumptions!$D$6,IF(ISNUMBER(SEARCH(Assumptions!$C$7,D4384)),Assumptions!$D$7,"Other Services"))),"Other Services"))</f>
        <v/>
      </c>
    </row>
    <row r="4385" customFormat="false" ht="15" hidden="false" customHeight="false" outlineLevel="0" collapsed="false">
      <c r="J4385" s="41" t="str">
        <f aca="false">IF(D4385="","",IFERROR(IF(ISNUMBER(SEARCH(Assumptions!$C$5,D4385)),Assumptions!$D$5,IF(ISNUMBER(SEARCH(Assumptions!$C$6,D4385)),Assumptions!$D$6,IF(ISNUMBER(SEARCH(Assumptions!$C$7,D4385)),Assumptions!$D$7,"Other Services"))),"Other Services"))</f>
        <v/>
      </c>
    </row>
    <row r="4386" customFormat="false" ht="15" hidden="false" customHeight="false" outlineLevel="0" collapsed="false">
      <c r="J4386" s="41" t="str">
        <f aca="false">IF(D4386="","",IFERROR(IF(ISNUMBER(SEARCH(Assumptions!$C$5,D4386)),Assumptions!$D$5,IF(ISNUMBER(SEARCH(Assumptions!$C$6,D4386)),Assumptions!$D$6,IF(ISNUMBER(SEARCH(Assumptions!$C$7,D4386)),Assumptions!$D$7,"Other Services"))),"Other Services"))</f>
        <v/>
      </c>
    </row>
    <row r="4387" customFormat="false" ht="15" hidden="false" customHeight="false" outlineLevel="0" collapsed="false">
      <c r="J4387" s="41" t="str">
        <f aca="false">IF(D4387="","",IFERROR(IF(ISNUMBER(SEARCH(Assumptions!$C$5,D4387)),Assumptions!$D$5,IF(ISNUMBER(SEARCH(Assumptions!$C$6,D4387)),Assumptions!$D$6,IF(ISNUMBER(SEARCH(Assumptions!$C$7,D4387)),Assumptions!$D$7,"Other Services"))),"Other Services"))</f>
        <v/>
      </c>
    </row>
    <row r="4388" customFormat="false" ht="15" hidden="false" customHeight="false" outlineLevel="0" collapsed="false">
      <c r="J4388" s="41" t="str">
        <f aca="false">IF(D4388="","",IFERROR(IF(ISNUMBER(SEARCH(Assumptions!$C$5,D4388)),Assumptions!$D$5,IF(ISNUMBER(SEARCH(Assumptions!$C$6,D4388)),Assumptions!$D$6,IF(ISNUMBER(SEARCH(Assumptions!$C$7,D4388)),Assumptions!$D$7,"Other Services"))),"Other Services"))</f>
        <v/>
      </c>
    </row>
    <row r="4389" customFormat="false" ht="15" hidden="false" customHeight="false" outlineLevel="0" collapsed="false">
      <c r="J4389" s="41" t="str">
        <f aca="false">IF(D4389="","",IFERROR(IF(ISNUMBER(SEARCH(Assumptions!$C$5,D4389)),Assumptions!$D$5,IF(ISNUMBER(SEARCH(Assumptions!$C$6,D4389)),Assumptions!$D$6,IF(ISNUMBER(SEARCH(Assumptions!$C$7,D4389)),Assumptions!$D$7,"Other Services"))),"Other Services"))</f>
        <v/>
      </c>
    </row>
    <row r="4390" customFormat="false" ht="15" hidden="false" customHeight="false" outlineLevel="0" collapsed="false">
      <c r="J4390" s="41" t="str">
        <f aca="false">IF(D4390="","",IFERROR(IF(ISNUMBER(SEARCH(Assumptions!$C$5,D4390)),Assumptions!$D$5,IF(ISNUMBER(SEARCH(Assumptions!$C$6,D4390)),Assumptions!$D$6,IF(ISNUMBER(SEARCH(Assumptions!$C$7,D4390)),Assumptions!$D$7,"Other Services"))),"Other Services"))</f>
        <v/>
      </c>
    </row>
    <row r="4391" customFormat="false" ht="15" hidden="false" customHeight="false" outlineLevel="0" collapsed="false">
      <c r="J4391" s="41" t="str">
        <f aca="false">IF(D4391="","",IFERROR(IF(ISNUMBER(SEARCH(Assumptions!$C$5,D4391)),Assumptions!$D$5,IF(ISNUMBER(SEARCH(Assumptions!$C$6,D4391)),Assumptions!$D$6,IF(ISNUMBER(SEARCH(Assumptions!$C$7,D4391)),Assumptions!$D$7,"Other Services"))),"Other Services"))</f>
        <v/>
      </c>
    </row>
    <row r="4392" customFormat="false" ht="15" hidden="false" customHeight="false" outlineLevel="0" collapsed="false">
      <c r="J4392" s="41" t="str">
        <f aca="false">IF(D4392="","",IFERROR(IF(ISNUMBER(SEARCH(Assumptions!$C$5,D4392)),Assumptions!$D$5,IF(ISNUMBER(SEARCH(Assumptions!$C$6,D4392)),Assumptions!$D$6,IF(ISNUMBER(SEARCH(Assumptions!$C$7,D4392)),Assumptions!$D$7,"Other Services"))),"Other Services"))</f>
        <v/>
      </c>
    </row>
    <row r="4393" customFormat="false" ht="15" hidden="false" customHeight="false" outlineLevel="0" collapsed="false">
      <c r="J4393" s="41" t="str">
        <f aca="false">IF(D4393="","",IFERROR(IF(ISNUMBER(SEARCH(Assumptions!$C$5,D4393)),Assumptions!$D$5,IF(ISNUMBER(SEARCH(Assumptions!$C$6,D4393)),Assumptions!$D$6,IF(ISNUMBER(SEARCH(Assumptions!$C$7,D4393)),Assumptions!$D$7,"Other Services"))),"Other Services"))</f>
        <v/>
      </c>
    </row>
    <row r="4394" customFormat="false" ht="15" hidden="false" customHeight="false" outlineLevel="0" collapsed="false">
      <c r="J4394" s="41" t="str">
        <f aca="false">IF(D4394="","",IFERROR(IF(ISNUMBER(SEARCH(Assumptions!$C$5,D4394)),Assumptions!$D$5,IF(ISNUMBER(SEARCH(Assumptions!$C$6,D4394)),Assumptions!$D$6,IF(ISNUMBER(SEARCH(Assumptions!$C$7,D4394)),Assumptions!$D$7,"Other Services"))),"Other Services"))</f>
        <v/>
      </c>
    </row>
    <row r="4395" customFormat="false" ht="15" hidden="false" customHeight="false" outlineLevel="0" collapsed="false">
      <c r="J4395" s="41" t="str">
        <f aca="false">IF(D4395="","",IFERROR(IF(ISNUMBER(SEARCH(Assumptions!$C$5,D4395)),Assumptions!$D$5,IF(ISNUMBER(SEARCH(Assumptions!$C$6,D4395)),Assumptions!$D$6,IF(ISNUMBER(SEARCH(Assumptions!$C$7,D4395)),Assumptions!$D$7,"Other Services"))),"Other Services"))</f>
        <v/>
      </c>
    </row>
    <row r="4396" customFormat="false" ht="15" hidden="false" customHeight="false" outlineLevel="0" collapsed="false">
      <c r="J4396" s="41" t="str">
        <f aca="false">IF(D4396="","",IFERROR(IF(ISNUMBER(SEARCH(Assumptions!$C$5,D4396)),Assumptions!$D$5,IF(ISNUMBER(SEARCH(Assumptions!$C$6,D4396)),Assumptions!$D$6,IF(ISNUMBER(SEARCH(Assumptions!$C$7,D4396)),Assumptions!$D$7,"Other Services"))),"Other Services"))</f>
        <v/>
      </c>
    </row>
    <row r="4397" customFormat="false" ht="15" hidden="false" customHeight="false" outlineLevel="0" collapsed="false">
      <c r="J4397" s="41" t="str">
        <f aca="false">IF(D4397="","",IFERROR(IF(ISNUMBER(SEARCH(Assumptions!$C$5,D4397)),Assumptions!$D$5,IF(ISNUMBER(SEARCH(Assumptions!$C$6,D4397)),Assumptions!$D$6,IF(ISNUMBER(SEARCH(Assumptions!$C$7,D4397)),Assumptions!$D$7,"Other Services"))),"Other Services"))</f>
        <v/>
      </c>
    </row>
    <row r="4398" customFormat="false" ht="15" hidden="false" customHeight="false" outlineLevel="0" collapsed="false">
      <c r="J4398" s="41" t="str">
        <f aca="false">IF(D4398="","",IFERROR(IF(ISNUMBER(SEARCH(Assumptions!$C$5,D4398)),Assumptions!$D$5,IF(ISNUMBER(SEARCH(Assumptions!$C$6,D4398)),Assumptions!$D$6,IF(ISNUMBER(SEARCH(Assumptions!$C$7,D4398)),Assumptions!$D$7,"Other Services"))),"Other Services"))</f>
        <v/>
      </c>
    </row>
    <row r="4399" customFormat="false" ht="15" hidden="false" customHeight="false" outlineLevel="0" collapsed="false">
      <c r="J4399" s="41" t="str">
        <f aca="false">IF(D4399="","",IFERROR(IF(ISNUMBER(SEARCH(Assumptions!$C$5,D4399)),Assumptions!$D$5,IF(ISNUMBER(SEARCH(Assumptions!$C$6,D4399)),Assumptions!$D$6,IF(ISNUMBER(SEARCH(Assumptions!$C$7,D4399)),Assumptions!$D$7,"Other Services"))),"Other Services"))</f>
        <v/>
      </c>
    </row>
    <row r="4400" customFormat="false" ht="15" hidden="false" customHeight="false" outlineLevel="0" collapsed="false">
      <c r="J4400" s="41" t="str">
        <f aca="false">IF(D4400="","",IFERROR(IF(ISNUMBER(SEARCH(Assumptions!$C$5,D4400)),Assumptions!$D$5,IF(ISNUMBER(SEARCH(Assumptions!$C$6,D4400)),Assumptions!$D$6,IF(ISNUMBER(SEARCH(Assumptions!$C$7,D4400)),Assumptions!$D$7,"Other Services"))),"Other Services"))</f>
        <v/>
      </c>
    </row>
    <row r="4401" customFormat="false" ht="15" hidden="false" customHeight="false" outlineLevel="0" collapsed="false">
      <c r="J4401" s="41" t="str">
        <f aca="false">IF(D4401="","",IFERROR(IF(ISNUMBER(SEARCH(Assumptions!$C$5,D4401)),Assumptions!$D$5,IF(ISNUMBER(SEARCH(Assumptions!$C$6,D4401)),Assumptions!$D$6,IF(ISNUMBER(SEARCH(Assumptions!$C$7,D4401)),Assumptions!$D$7,"Other Services"))),"Other Services"))</f>
        <v/>
      </c>
    </row>
    <row r="4402" customFormat="false" ht="15" hidden="false" customHeight="false" outlineLevel="0" collapsed="false">
      <c r="J4402" s="41" t="str">
        <f aca="false">IF(D4402="","",IFERROR(IF(ISNUMBER(SEARCH(Assumptions!$C$5,D4402)),Assumptions!$D$5,IF(ISNUMBER(SEARCH(Assumptions!$C$6,D4402)),Assumptions!$D$6,IF(ISNUMBER(SEARCH(Assumptions!$C$7,D4402)),Assumptions!$D$7,"Other Services"))),"Other Services"))</f>
        <v/>
      </c>
    </row>
    <row r="4403" customFormat="false" ht="15" hidden="false" customHeight="false" outlineLevel="0" collapsed="false">
      <c r="J4403" s="41" t="str">
        <f aca="false">IF(D4403="","",IFERROR(IF(ISNUMBER(SEARCH(Assumptions!$C$5,D4403)),Assumptions!$D$5,IF(ISNUMBER(SEARCH(Assumptions!$C$6,D4403)),Assumptions!$D$6,IF(ISNUMBER(SEARCH(Assumptions!$C$7,D4403)),Assumptions!$D$7,"Other Services"))),"Other Services"))</f>
        <v/>
      </c>
    </row>
    <row r="4404" customFormat="false" ht="15" hidden="false" customHeight="false" outlineLevel="0" collapsed="false">
      <c r="J4404" s="41" t="str">
        <f aca="false">IF(D4404="","",IFERROR(IF(ISNUMBER(SEARCH(Assumptions!$C$5,D4404)),Assumptions!$D$5,IF(ISNUMBER(SEARCH(Assumptions!$C$6,D4404)),Assumptions!$D$6,IF(ISNUMBER(SEARCH(Assumptions!$C$7,D4404)),Assumptions!$D$7,"Other Services"))),"Other Services"))</f>
        <v/>
      </c>
    </row>
    <row r="4405" customFormat="false" ht="15" hidden="false" customHeight="false" outlineLevel="0" collapsed="false">
      <c r="J4405" s="41" t="str">
        <f aca="false">IF(D4405="","",IFERROR(IF(ISNUMBER(SEARCH(Assumptions!$C$5,D4405)),Assumptions!$D$5,IF(ISNUMBER(SEARCH(Assumptions!$C$6,D4405)),Assumptions!$D$6,IF(ISNUMBER(SEARCH(Assumptions!$C$7,D4405)),Assumptions!$D$7,"Other Services"))),"Other Services"))</f>
        <v/>
      </c>
    </row>
    <row r="4406" customFormat="false" ht="15" hidden="false" customHeight="false" outlineLevel="0" collapsed="false">
      <c r="J4406" s="41" t="str">
        <f aca="false">IF(D4406="","",IFERROR(IF(ISNUMBER(SEARCH(Assumptions!$C$5,D4406)),Assumptions!$D$5,IF(ISNUMBER(SEARCH(Assumptions!$C$6,D4406)),Assumptions!$D$6,IF(ISNUMBER(SEARCH(Assumptions!$C$7,D4406)),Assumptions!$D$7,"Other Services"))),"Other Services"))</f>
        <v/>
      </c>
    </row>
    <row r="4407" customFormat="false" ht="15" hidden="false" customHeight="false" outlineLevel="0" collapsed="false">
      <c r="J4407" s="41" t="str">
        <f aca="false">IF(D4407="","",IFERROR(IF(ISNUMBER(SEARCH(Assumptions!$C$5,D4407)),Assumptions!$D$5,IF(ISNUMBER(SEARCH(Assumptions!$C$6,D4407)),Assumptions!$D$6,IF(ISNUMBER(SEARCH(Assumptions!$C$7,D4407)),Assumptions!$D$7,"Other Services"))),"Other Services"))</f>
        <v/>
      </c>
    </row>
    <row r="4408" customFormat="false" ht="15" hidden="false" customHeight="false" outlineLevel="0" collapsed="false">
      <c r="J4408" s="41" t="str">
        <f aca="false">IF(D4408="","",IFERROR(IF(ISNUMBER(SEARCH(Assumptions!$C$5,D4408)),Assumptions!$D$5,IF(ISNUMBER(SEARCH(Assumptions!$C$6,D4408)),Assumptions!$D$6,IF(ISNUMBER(SEARCH(Assumptions!$C$7,D4408)),Assumptions!$D$7,"Other Services"))),"Other Services"))</f>
        <v/>
      </c>
    </row>
    <row r="4409" customFormat="false" ht="15" hidden="false" customHeight="false" outlineLevel="0" collapsed="false">
      <c r="J4409" s="41" t="str">
        <f aca="false">IF(D4409="","",IFERROR(IF(ISNUMBER(SEARCH(Assumptions!$C$5,D4409)),Assumptions!$D$5,IF(ISNUMBER(SEARCH(Assumptions!$C$6,D4409)),Assumptions!$D$6,IF(ISNUMBER(SEARCH(Assumptions!$C$7,D4409)),Assumptions!$D$7,"Other Services"))),"Other Services"))</f>
        <v/>
      </c>
    </row>
    <row r="4410" customFormat="false" ht="15" hidden="false" customHeight="false" outlineLevel="0" collapsed="false">
      <c r="J4410" s="41" t="str">
        <f aca="false">IF(D4410="","",IFERROR(IF(ISNUMBER(SEARCH(Assumptions!$C$5,D4410)),Assumptions!$D$5,IF(ISNUMBER(SEARCH(Assumptions!$C$6,D4410)),Assumptions!$D$6,IF(ISNUMBER(SEARCH(Assumptions!$C$7,D4410)),Assumptions!$D$7,"Other Services"))),"Other Services"))</f>
        <v/>
      </c>
    </row>
    <row r="4411" customFormat="false" ht="15" hidden="false" customHeight="false" outlineLevel="0" collapsed="false">
      <c r="J4411" s="41" t="str">
        <f aca="false">IF(D4411="","",IFERROR(IF(ISNUMBER(SEARCH(Assumptions!$C$5,D4411)),Assumptions!$D$5,IF(ISNUMBER(SEARCH(Assumptions!$C$6,D4411)),Assumptions!$D$6,IF(ISNUMBER(SEARCH(Assumptions!$C$7,D4411)),Assumptions!$D$7,"Other Services"))),"Other Services"))</f>
        <v/>
      </c>
    </row>
    <row r="4412" customFormat="false" ht="15" hidden="false" customHeight="false" outlineLevel="0" collapsed="false">
      <c r="J4412" s="41" t="str">
        <f aca="false">IF(D4412="","",IFERROR(IF(ISNUMBER(SEARCH(Assumptions!$C$5,D4412)),Assumptions!$D$5,IF(ISNUMBER(SEARCH(Assumptions!$C$6,D4412)),Assumptions!$D$6,IF(ISNUMBER(SEARCH(Assumptions!$C$7,D4412)),Assumptions!$D$7,"Other Services"))),"Other Services"))</f>
        <v/>
      </c>
    </row>
    <row r="4413" customFormat="false" ht="15" hidden="false" customHeight="false" outlineLevel="0" collapsed="false">
      <c r="J4413" s="41" t="str">
        <f aca="false">IF(D4413="","",IFERROR(IF(ISNUMBER(SEARCH(Assumptions!$C$5,D4413)),Assumptions!$D$5,IF(ISNUMBER(SEARCH(Assumptions!$C$6,D4413)),Assumptions!$D$6,IF(ISNUMBER(SEARCH(Assumptions!$C$7,D4413)),Assumptions!$D$7,"Other Services"))),"Other Services"))</f>
        <v/>
      </c>
    </row>
    <row r="4414" customFormat="false" ht="15" hidden="false" customHeight="false" outlineLevel="0" collapsed="false">
      <c r="J4414" s="41" t="str">
        <f aca="false">IF(D4414="","",IFERROR(IF(ISNUMBER(SEARCH(Assumptions!$C$5,D4414)),Assumptions!$D$5,IF(ISNUMBER(SEARCH(Assumptions!$C$6,D4414)),Assumptions!$D$6,IF(ISNUMBER(SEARCH(Assumptions!$C$7,D4414)),Assumptions!$D$7,"Other Services"))),"Other Services"))</f>
        <v/>
      </c>
    </row>
    <row r="4415" customFormat="false" ht="15" hidden="false" customHeight="false" outlineLevel="0" collapsed="false">
      <c r="J4415" s="41" t="str">
        <f aca="false">IF(D4415="","",IFERROR(IF(ISNUMBER(SEARCH(Assumptions!$C$5,D4415)),Assumptions!$D$5,IF(ISNUMBER(SEARCH(Assumptions!$C$6,D4415)),Assumptions!$D$6,IF(ISNUMBER(SEARCH(Assumptions!$C$7,D4415)),Assumptions!$D$7,"Other Services"))),"Other Services"))</f>
        <v/>
      </c>
    </row>
    <row r="4416" customFormat="false" ht="15" hidden="false" customHeight="false" outlineLevel="0" collapsed="false">
      <c r="J4416" s="41" t="str">
        <f aca="false">IF(D4416="","",IFERROR(IF(ISNUMBER(SEARCH(Assumptions!$C$5,D4416)),Assumptions!$D$5,IF(ISNUMBER(SEARCH(Assumptions!$C$6,D4416)),Assumptions!$D$6,IF(ISNUMBER(SEARCH(Assumptions!$C$7,D4416)),Assumptions!$D$7,"Other Services"))),"Other Services"))</f>
        <v/>
      </c>
    </row>
    <row r="4417" customFormat="false" ht="15" hidden="false" customHeight="false" outlineLevel="0" collapsed="false">
      <c r="J4417" s="41" t="str">
        <f aca="false">IF(D4417="","",IFERROR(IF(ISNUMBER(SEARCH(Assumptions!$C$5,D4417)),Assumptions!$D$5,IF(ISNUMBER(SEARCH(Assumptions!$C$6,D4417)),Assumptions!$D$6,IF(ISNUMBER(SEARCH(Assumptions!$C$7,D4417)),Assumptions!$D$7,"Other Services"))),"Other Services"))</f>
        <v/>
      </c>
    </row>
    <row r="4418" customFormat="false" ht="15" hidden="false" customHeight="false" outlineLevel="0" collapsed="false">
      <c r="J4418" s="41" t="str">
        <f aca="false">IF(D4418="","",IFERROR(IF(ISNUMBER(SEARCH(Assumptions!$C$5,D4418)),Assumptions!$D$5,IF(ISNUMBER(SEARCH(Assumptions!$C$6,D4418)),Assumptions!$D$6,IF(ISNUMBER(SEARCH(Assumptions!$C$7,D4418)),Assumptions!$D$7,"Other Services"))),"Other Services"))</f>
        <v/>
      </c>
    </row>
    <row r="4419" customFormat="false" ht="15" hidden="false" customHeight="false" outlineLevel="0" collapsed="false">
      <c r="J4419" s="41" t="str">
        <f aca="false">IF(D4419="","",IFERROR(IF(ISNUMBER(SEARCH(Assumptions!$C$5,D4419)),Assumptions!$D$5,IF(ISNUMBER(SEARCH(Assumptions!$C$6,D4419)),Assumptions!$D$6,IF(ISNUMBER(SEARCH(Assumptions!$C$7,D4419)),Assumptions!$D$7,"Other Services"))),"Other Services"))</f>
        <v/>
      </c>
    </row>
    <row r="4420" customFormat="false" ht="15" hidden="false" customHeight="false" outlineLevel="0" collapsed="false">
      <c r="J4420" s="41" t="str">
        <f aca="false">IF(D4420="","",IFERROR(IF(ISNUMBER(SEARCH(Assumptions!$C$5,D4420)),Assumptions!$D$5,IF(ISNUMBER(SEARCH(Assumptions!$C$6,D4420)),Assumptions!$D$6,IF(ISNUMBER(SEARCH(Assumptions!$C$7,D4420)),Assumptions!$D$7,"Other Services"))),"Other Services"))</f>
        <v/>
      </c>
    </row>
    <row r="4421" customFormat="false" ht="15" hidden="false" customHeight="false" outlineLevel="0" collapsed="false">
      <c r="J4421" s="41" t="str">
        <f aca="false">IF(D4421="","",IFERROR(IF(ISNUMBER(SEARCH(Assumptions!$C$5,D4421)),Assumptions!$D$5,IF(ISNUMBER(SEARCH(Assumptions!$C$6,D4421)),Assumptions!$D$6,IF(ISNUMBER(SEARCH(Assumptions!$C$7,D4421)),Assumptions!$D$7,"Other Services"))),"Other Services"))</f>
        <v/>
      </c>
    </row>
    <row r="4422" customFormat="false" ht="15" hidden="false" customHeight="false" outlineLevel="0" collapsed="false">
      <c r="J4422" s="41" t="str">
        <f aca="false">IF(D4422="","",IFERROR(IF(ISNUMBER(SEARCH(Assumptions!$C$5,D4422)),Assumptions!$D$5,IF(ISNUMBER(SEARCH(Assumptions!$C$6,D4422)),Assumptions!$D$6,IF(ISNUMBER(SEARCH(Assumptions!$C$7,D4422)),Assumptions!$D$7,"Other Services"))),"Other Services"))</f>
        <v/>
      </c>
    </row>
    <row r="4423" customFormat="false" ht="15" hidden="false" customHeight="false" outlineLevel="0" collapsed="false">
      <c r="J4423" s="41" t="str">
        <f aca="false">IF(D4423="","",IFERROR(IF(ISNUMBER(SEARCH(Assumptions!$C$5,D4423)),Assumptions!$D$5,IF(ISNUMBER(SEARCH(Assumptions!$C$6,D4423)),Assumptions!$D$6,IF(ISNUMBER(SEARCH(Assumptions!$C$7,D4423)),Assumptions!$D$7,"Other Services"))),"Other Services"))</f>
        <v/>
      </c>
    </row>
    <row r="4424" customFormat="false" ht="15" hidden="false" customHeight="false" outlineLevel="0" collapsed="false">
      <c r="J4424" s="41" t="str">
        <f aca="false">IF(D4424="","",IFERROR(IF(ISNUMBER(SEARCH(Assumptions!$C$5,D4424)),Assumptions!$D$5,IF(ISNUMBER(SEARCH(Assumptions!$C$6,D4424)),Assumptions!$D$6,IF(ISNUMBER(SEARCH(Assumptions!$C$7,D4424)),Assumptions!$D$7,"Other Services"))),"Other Services"))</f>
        <v/>
      </c>
    </row>
    <row r="4425" customFormat="false" ht="15" hidden="false" customHeight="false" outlineLevel="0" collapsed="false">
      <c r="J4425" s="41" t="str">
        <f aca="false">IF(D4425="","",IFERROR(IF(ISNUMBER(SEARCH(Assumptions!$C$5,D4425)),Assumptions!$D$5,IF(ISNUMBER(SEARCH(Assumptions!$C$6,D4425)),Assumptions!$D$6,IF(ISNUMBER(SEARCH(Assumptions!$C$7,D4425)),Assumptions!$D$7,"Other Services"))),"Other Services"))</f>
        <v/>
      </c>
    </row>
    <row r="4426" customFormat="false" ht="15" hidden="false" customHeight="false" outlineLevel="0" collapsed="false">
      <c r="J4426" s="41" t="str">
        <f aca="false">IF(D4426="","",IFERROR(IF(ISNUMBER(SEARCH(Assumptions!$C$5,D4426)),Assumptions!$D$5,IF(ISNUMBER(SEARCH(Assumptions!$C$6,D4426)),Assumptions!$D$6,IF(ISNUMBER(SEARCH(Assumptions!$C$7,D4426)),Assumptions!$D$7,"Other Services"))),"Other Services"))</f>
        <v/>
      </c>
    </row>
    <row r="4427" customFormat="false" ht="15" hidden="false" customHeight="false" outlineLevel="0" collapsed="false">
      <c r="J4427" s="41" t="str">
        <f aca="false">IF(D4427="","",IFERROR(IF(ISNUMBER(SEARCH(Assumptions!$C$5,D4427)),Assumptions!$D$5,IF(ISNUMBER(SEARCH(Assumptions!$C$6,D4427)),Assumptions!$D$6,IF(ISNUMBER(SEARCH(Assumptions!$C$7,D4427)),Assumptions!$D$7,"Other Services"))),"Other Services"))</f>
        <v/>
      </c>
    </row>
    <row r="4428" customFormat="false" ht="15" hidden="false" customHeight="false" outlineLevel="0" collapsed="false">
      <c r="J4428" s="41" t="str">
        <f aca="false">IF(D4428="","",IFERROR(IF(ISNUMBER(SEARCH(Assumptions!$C$5,D4428)),Assumptions!$D$5,IF(ISNUMBER(SEARCH(Assumptions!$C$6,D4428)),Assumptions!$D$6,IF(ISNUMBER(SEARCH(Assumptions!$C$7,D4428)),Assumptions!$D$7,"Other Services"))),"Other Services"))</f>
        <v/>
      </c>
    </row>
    <row r="4429" customFormat="false" ht="15" hidden="false" customHeight="false" outlineLevel="0" collapsed="false">
      <c r="J4429" s="41" t="str">
        <f aca="false">IF(D4429="","",IFERROR(IF(ISNUMBER(SEARCH(Assumptions!$C$5,D4429)),Assumptions!$D$5,IF(ISNUMBER(SEARCH(Assumptions!$C$6,D4429)),Assumptions!$D$6,IF(ISNUMBER(SEARCH(Assumptions!$C$7,D4429)),Assumptions!$D$7,"Other Services"))),"Other Services"))</f>
        <v/>
      </c>
    </row>
    <row r="4430" customFormat="false" ht="15" hidden="false" customHeight="false" outlineLevel="0" collapsed="false">
      <c r="J4430" s="41" t="str">
        <f aca="false">IF(D4430="","",IFERROR(IF(ISNUMBER(SEARCH(Assumptions!$C$5,D4430)),Assumptions!$D$5,IF(ISNUMBER(SEARCH(Assumptions!$C$6,D4430)),Assumptions!$D$6,IF(ISNUMBER(SEARCH(Assumptions!$C$7,D4430)),Assumptions!$D$7,"Other Services"))),"Other Services"))</f>
        <v/>
      </c>
    </row>
    <row r="4431" customFormat="false" ht="15" hidden="false" customHeight="false" outlineLevel="0" collapsed="false">
      <c r="J4431" s="41" t="str">
        <f aca="false">IF(D4431="","",IFERROR(IF(ISNUMBER(SEARCH(Assumptions!$C$5,D4431)),Assumptions!$D$5,IF(ISNUMBER(SEARCH(Assumptions!$C$6,D4431)),Assumptions!$D$6,IF(ISNUMBER(SEARCH(Assumptions!$C$7,D4431)),Assumptions!$D$7,"Other Services"))),"Other Services"))</f>
        <v/>
      </c>
    </row>
    <row r="4432" customFormat="false" ht="15" hidden="false" customHeight="false" outlineLevel="0" collapsed="false">
      <c r="J4432" s="41" t="str">
        <f aca="false">IF(D4432="","",IFERROR(IF(ISNUMBER(SEARCH(Assumptions!$C$5,D4432)),Assumptions!$D$5,IF(ISNUMBER(SEARCH(Assumptions!$C$6,D4432)),Assumptions!$D$6,IF(ISNUMBER(SEARCH(Assumptions!$C$7,D4432)),Assumptions!$D$7,"Other Services"))),"Other Services"))</f>
        <v/>
      </c>
    </row>
    <row r="4433" customFormat="false" ht="15" hidden="false" customHeight="false" outlineLevel="0" collapsed="false">
      <c r="J4433" s="41" t="str">
        <f aca="false">IF(D4433="","",IFERROR(IF(ISNUMBER(SEARCH(Assumptions!$C$5,D4433)),Assumptions!$D$5,IF(ISNUMBER(SEARCH(Assumptions!$C$6,D4433)),Assumptions!$D$6,IF(ISNUMBER(SEARCH(Assumptions!$C$7,D4433)),Assumptions!$D$7,"Other Services"))),"Other Services"))</f>
        <v/>
      </c>
    </row>
    <row r="4434" customFormat="false" ht="15" hidden="false" customHeight="false" outlineLevel="0" collapsed="false">
      <c r="J4434" s="41" t="str">
        <f aca="false">IF(D4434="","",IFERROR(IF(ISNUMBER(SEARCH(Assumptions!$C$5,D4434)),Assumptions!$D$5,IF(ISNUMBER(SEARCH(Assumptions!$C$6,D4434)),Assumptions!$D$6,IF(ISNUMBER(SEARCH(Assumptions!$C$7,D4434)),Assumptions!$D$7,"Other Services"))),"Other Services"))</f>
        <v/>
      </c>
    </row>
    <row r="4435" customFormat="false" ht="15" hidden="false" customHeight="false" outlineLevel="0" collapsed="false">
      <c r="J4435" s="41" t="str">
        <f aca="false">IF(D4435="","",IFERROR(IF(ISNUMBER(SEARCH(Assumptions!$C$5,D4435)),Assumptions!$D$5,IF(ISNUMBER(SEARCH(Assumptions!$C$6,D4435)),Assumptions!$D$6,IF(ISNUMBER(SEARCH(Assumptions!$C$7,D4435)),Assumptions!$D$7,"Other Services"))),"Other Services"))</f>
        <v/>
      </c>
    </row>
    <row r="4436" customFormat="false" ht="15" hidden="false" customHeight="false" outlineLevel="0" collapsed="false">
      <c r="J4436" s="41" t="str">
        <f aca="false">IF(D4436="","",IFERROR(IF(ISNUMBER(SEARCH(Assumptions!$C$5,D4436)),Assumptions!$D$5,IF(ISNUMBER(SEARCH(Assumptions!$C$6,D4436)),Assumptions!$D$6,IF(ISNUMBER(SEARCH(Assumptions!$C$7,D4436)),Assumptions!$D$7,"Other Services"))),"Other Services"))</f>
        <v/>
      </c>
    </row>
    <row r="4437" customFormat="false" ht="15" hidden="false" customHeight="false" outlineLevel="0" collapsed="false">
      <c r="J4437" s="41" t="str">
        <f aca="false">IF(D4437="","",IFERROR(IF(ISNUMBER(SEARCH(Assumptions!$C$5,D4437)),Assumptions!$D$5,IF(ISNUMBER(SEARCH(Assumptions!$C$6,D4437)),Assumptions!$D$6,IF(ISNUMBER(SEARCH(Assumptions!$C$7,D4437)),Assumptions!$D$7,"Other Services"))),"Other Services"))</f>
        <v/>
      </c>
    </row>
    <row r="4438" customFormat="false" ht="15" hidden="false" customHeight="false" outlineLevel="0" collapsed="false">
      <c r="J4438" s="41" t="str">
        <f aca="false">IF(D4438="","",IFERROR(IF(ISNUMBER(SEARCH(Assumptions!$C$5,D4438)),Assumptions!$D$5,IF(ISNUMBER(SEARCH(Assumptions!$C$6,D4438)),Assumptions!$D$6,IF(ISNUMBER(SEARCH(Assumptions!$C$7,D4438)),Assumptions!$D$7,"Other Services"))),"Other Services"))</f>
        <v/>
      </c>
    </row>
    <row r="4439" customFormat="false" ht="15" hidden="false" customHeight="false" outlineLevel="0" collapsed="false">
      <c r="J4439" s="41" t="str">
        <f aca="false">IF(D4439="","",IFERROR(IF(ISNUMBER(SEARCH(Assumptions!$C$5,D4439)),Assumptions!$D$5,IF(ISNUMBER(SEARCH(Assumptions!$C$6,D4439)),Assumptions!$D$6,IF(ISNUMBER(SEARCH(Assumptions!$C$7,D4439)),Assumptions!$D$7,"Other Services"))),"Other Services"))</f>
        <v/>
      </c>
    </row>
    <row r="4440" customFormat="false" ht="15" hidden="false" customHeight="false" outlineLevel="0" collapsed="false">
      <c r="J4440" s="41" t="str">
        <f aca="false">IF(D4440="","",IFERROR(IF(ISNUMBER(SEARCH(Assumptions!$C$5,D4440)),Assumptions!$D$5,IF(ISNUMBER(SEARCH(Assumptions!$C$6,D4440)),Assumptions!$D$6,IF(ISNUMBER(SEARCH(Assumptions!$C$7,D4440)),Assumptions!$D$7,"Other Services"))),"Other Services"))</f>
        <v/>
      </c>
    </row>
    <row r="4441" customFormat="false" ht="15" hidden="false" customHeight="false" outlineLevel="0" collapsed="false">
      <c r="J4441" s="41" t="str">
        <f aca="false">IF(D4441="","",IFERROR(IF(ISNUMBER(SEARCH(Assumptions!$C$5,D4441)),Assumptions!$D$5,IF(ISNUMBER(SEARCH(Assumptions!$C$6,D4441)),Assumptions!$D$6,IF(ISNUMBER(SEARCH(Assumptions!$C$7,D4441)),Assumptions!$D$7,"Other Services"))),"Other Services"))</f>
        <v/>
      </c>
    </row>
    <row r="4442" customFormat="false" ht="15" hidden="false" customHeight="false" outlineLevel="0" collapsed="false">
      <c r="J4442" s="41" t="str">
        <f aca="false">IF(D4442="","",IFERROR(IF(ISNUMBER(SEARCH(Assumptions!$C$5,D4442)),Assumptions!$D$5,IF(ISNUMBER(SEARCH(Assumptions!$C$6,D4442)),Assumptions!$D$6,IF(ISNUMBER(SEARCH(Assumptions!$C$7,D4442)),Assumptions!$D$7,"Other Services"))),"Other Services"))</f>
        <v/>
      </c>
    </row>
    <row r="4443" customFormat="false" ht="15" hidden="false" customHeight="false" outlineLevel="0" collapsed="false">
      <c r="J4443" s="41" t="str">
        <f aca="false">IF(D4443="","",IFERROR(IF(ISNUMBER(SEARCH(Assumptions!$C$5,D4443)),Assumptions!$D$5,IF(ISNUMBER(SEARCH(Assumptions!$C$6,D4443)),Assumptions!$D$6,IF(ISNUMBER(SEARCH(Assumptions!$C$7,D4443)),Assumptions!$D$7,"Other Services"))),"Other Services"))</f>
        <v/>
      </c>
    </row>
    <row r="4444" customFormat="false" ht="15" hidden="false" customHeight="false" outlineLevel="0" collapsed="false">
      <c r="J4444" s="41" t="str">
        <f aca="false">IF(D4444="","",IFERROR(IF(ISNUMBER(SEARCH(Assumptions!$C$5,D4444)),Assumptions!$D$5,IF(ISNUMBER(SEARCH(Assumptions!$C$6,D4444)),Assumptions!$D$6,IF(ISNUMBER(SEARCH(Assumptions!$C$7,D4444)),Assumptions!$D$7,"Other Services"))),"Other Services"))</f>
        <v/>
      </c>
    </row>
    <row r="4445" customFormat="false" ht="15" hidden="false" customHeight="false" outlineLevel="0" collapsed="false">
      <c r="J4445" s="41" t="str">
        <f aca="false">IF(D4445="","",IFERROR(IF(ISNUMBER(SEARCH(Assumptions!$C$5,D4445)),Assumptions!$D$5,IF(ISNUMBER(SEARCH(Assumptions!$C$6,D4445)),Assumptions!$D$6,IF(ISNUMBER(SEARCH(Assumptions!$C$7,D4445)),Assumptions!$D$7,"Other Services"))),"Other Services"))</f>
        <v/>
      </c>
    </row>
    <row r="4446" customFormat="false" ht="15" hidden="false" customHeight="false" outlineLevel="0" collapsed="false">
      <c r="J4446" s="41" t="str">
        <f aca="false">IF(D4446="","",IFERROR(IF(ISNUMBER(SEARCH(Assumptions!$C$5,D4446)),Assumptions!$D$5,IF(ISNUMBER(SEARCH(Assumptions!$C$6,D4446)),Assumptions!$D$6,IF(ISNUMBER(SEARCH(Assumptions!$C$7,D4446)),Assumptions!$D$7,"Other Services"))),"Other Services"))</f>
        <v/>
      </c>
    </row>
    <row r="4447" customFormat="false" ht="15" hidden="false" customHeight="false" outlineLevel="0" collapsed="false">
      <c r="J4447" s="41" t="str">
        <f aca="false">IF(D4447="","",IFERROR(IF(ISNUMBER(SEARCH(Assumptions!$C$5,D4447)),Assumptions!$D$5,IF(ISNUMBER(SEARCH(Assumptions!$C$6,D4447)),Assumptions!$D$6,IF(ISNUMBER(SEARCH(Assumptions!$C$7,D4447)),Assumptions!$D$7,"Other Services"))),"Other Services"))</f>
        <v/>
      </c>
    </row>
    <row r="4448" customFormat="false" ht="15" hidden="false" customHeight="false" outlineLevel="0" collapsed="false">
      <c r="J4448" s="41" t="str">
        <f aca="false">IF(D4448="","",IFERROR(IF(ISNUMBER(SEARCH(Assumptions!$C$5,D4448)),Assumptions!$D$5,IF(ISNUMBER(SEARCH(Assumptions!$C$6,D4448)),Assumptions!$D$6,IF(ISNUMBER(SEARCH(Assumptions!$C$7,D4448)),Assumptions!$D$7,"Other Services"))),"Other Services"))</f>
        <v/>
      </c>
    </row>
    <row r="4449" customFormat="false" ht="15" hidden="false" customHeight="false" outlineLevel="0" collapsed="false">
      <c r="J4449" s="41" t="str">
        <f aca="false">IF(D4449="","",IFERROR(IF(ISNUMBER(SEARCH(Assumptions!$C$5,D4449)),Assumptions!$D$5,IF(ISNUMBER(SEARCH(Assumptions!$C$6,D4449)),Assumptions!$D$6,IF(ISNUMBER(SEARCH(Assumptions!$C$7,D4449)),Assumptions!$D$7,"Other Services"))),"Other Services"))</f>
        <v/>
      </c>
    </row>
    <row r="4450" customFormat="false" ht="15" hidden="false" customHeight="false" outlineLevel="0" collapsed="false">
      <c r="J4450" s="41" t="str">
        <f aca="false">IF(D4450="","",IFERROR(IF(ISNUMBER(SEARCH(Assumptions!$C$5,D4450)),Assumptions!$D$5,IF(ISNUMBER(SEARCH(Assumptions!$C$6,D4450)),Assumptions!$D$6,IF(ISNUMBER(SEARCH(Assumptions!$C$7,D4450)),Assumptions!$D$7,"Other Services"))),"Other Services"))</f>
        <v/>
      </c>
    </row>
    <row r="4451" customFormat="false" ht="15" hidden="false" customHeight="false" outlineLevel="0" collapsed="false">
      <c r="J4451" s="41" t="str">
        <f aca="false">IF(D4451="","",IFERROR(IF(ISNUMBER(SEARCH(Assumptions!$C$5,D4451)),Assumptions!$D$5,IF(ISNUMBER(SEARCH(Assumptions!$C$6,D4451)),Assumptions!$D$6,IF(ISNUMBER(SEARCH(Assumptions!$C$7,D4451)),Assumptions!$D$7,"Other Services"))),"Other Services"))</f>
        <v/>
      </c>
    </row>
    <row r="4452" customFormat="false" ht="15" hidden="false" customHeight="false" outlineLevel="0" collapsed="false">
      <c r="J4452" s="41" t="str">
        <f aca="false">IF(D4452="","",IFERROR(IF(ISNUMBER(SEARCH(Assumptions!$C$5,D4452)),Assumptions!$D$5,IF(ISNUMBER(SEARCH(Assumptions!$C$6,D4452)),Assumptions!$D$6,IF(ISNUMBER(SEARCH(Assumptions!$C$7,D4452)),Assumptions!$D$7,"Other Services"))),"Other Services"))</f>
        <v/>
      </c>
    </row>
    <row r="4453" customFormat="false" ht="15" hidden="false" customHeight="false" outlineLevel="0" collapsed="false">
      <c r="J4453" s="41" t="str">
        <f aca="false">IF(D4453="","",IFERROR(IF(ISNUMBER(SEARCH(Assumptions!$C$5,D4453)),Assumptions!$D$5,IF(ISNUMBER(SEARCH(Assumptions!$C$6,D4453)),Assumptions!$D$6,IF(ISNUMBER(SEARCH(Assumptions!$C$7,D4453)),Assumptions!$D$7,"Other Services"))),"Other Services"))</f>
        <v/>
      </c>
    </row>
    <row r="4454" customFormat="false" ht="15" hidden="false" customHeight="false" outlineLevel="0" collapsed="false">
      <c r="J4454" s="41" t="str">
        <f aca="false">IF(D4454="","",IFERROR(IF(ISNUMBER(SEARCH(Assumptions!$C$5,D4454)),Assumptions!$D$5,IF(ISNUMBER(SEARCH(Assumptions!$C$6,D4454)),Assumptions!$D$6,IF(ISNUMBER(SEARCH(Assumptions!$C$7,D4454)),Assumptions!$D$7,"Other Services"))),"Other Services"))</f>
        <v/>
      </c>
    </row>
    <row r="4455" customFormat="false" ht="15" hidden="false" customHeight="false" outlineLevel="0" collapsed="false">
      <c r="J4455" s="41" t="str">
        <f aca="false">IF(D4455="","",IFERROR(IF(ISNUMBER(SEARCH(Assumptions!$C$5,D4455)),Assumptions!$D$5,IF(ISNUMBER(SEARCH(Assumptions!$C$6,D4455)),Assumptions!$D$6,IF(ISNUMBER(SEARCH(Assumptions!$C$7,D4455)),Assumptions!$D$7,"Other Services"))),"Other Services"))</f>
        <v/>
      </c>
    </row>
    <row r="4456" customFormat="false" ht="15" hidden="false" customHeight="false" outlineLevel="0" collapsed="false">
      <c r="J4456" s="41" t="str">
        <f aca="false">IF(D4456="","",IFERROR(IF(ISNUMBER(SEARCH(Assumptions!$C$5,D4456)),Assumptions!$D$5,IF(ISNUMBER(SEARCH(Assumptions!$C$6,D4456)),Assumptions!$D$6,IF(ISNUMBER(SEARCH(Assumptions!$C$7,D4456)),Assumptions!$D$7,"Other Services"))),"Other Services"))</f>
        <v/>
      </c>
    </row>
    <row r="4457" customFormat="false" ht="15" hidden="false" customHeight="false" outlineLevel="0" collapsed="false">
      <c r="J4457" s="41" t="str">
        <f aca="false">IF(D4457="","",IFERROR(IF(ISNUMBER(SEARCH(Assumptions!$C$5,D4457)),Assumptions!$D$5,IF(ISNUMBER(SEARCH(Assumptions!$C$6,D4457)),Assumptions!$D$6,IF(ISNUMBER(SEARCH(Assumptions!$C$7,D4457)),Assumptions!$D$7,"Other Services"))),"Other Services"))</f>
        <v/>
      </c>
    </row>
    <row r="4458" customFormat="false" ht="15" hidden="false" customHeight="false" outlineLevel="0" collapsed="false">
      <c r="J4458" s="41" t="str">
        <f aca="false">IF(D4458="","",IFERROR(IF(ISNUMBER(SEARCH(Assumptions!$C$5,D4458)),Assumptions!$D$5,IF(ISNUMBER(SEARCH(Assumptions!$C$6,D4458)),Assumptions!$D$6,IF(ISNUMBER(SEARCH(Assumptions!$C$7,D4458)),Assumptions!$D$7,"Other Services"))),"Other Services"))</f>
        <v/>
      </c>
    </row>
    <row r="4459" customFormat="false" ht="15" hidden="false" customHeight="false" outlineLevel="0" collapsed="false">
      <c r="J4459" s="41" t="str">
        <f aca="false">IF(D4459="","",IFERROR(IF(ISNUMBER(SEARCH(Assumptions!$C$5,D4459)),Assumptions!$D$5,IF(ISNUMBER(SEARCH(Assumptions!$C$6,D4459)),Assumptions!$D$6,IF(ISNUMBER(SEARCH(Assumptions!$C$7,D4459)),Assumptions!$D$7,"Other Services"))),"Other Services"))</f>
        <v/>
      </c>
    </row>
    <row r="4460" customFormat="false" ht="15" hidden="false" customHeight="false" outlineLevel="0" collapsed="false">
      <c r="J4460" s="41" t="str">
        <f aca="false">IF(D4460="","",IFERROR(IF(ISNUMBER(SEARCH(Assumptions!$C$5,D4460)),Assumptions!$D$5,IF(ISNUMBER(SEARCH(Assumptions!$C$6,D4460)),Assumptions!$D$6,IF(ISNUMBER(SEARCH(Assumptions!$C$7,D4460)),Assumptions!$D$7,"Other Services"))),"Other Services"))</f>
        <v/>
      </c>
    </row>
    <row r="4461" customFormat="false" ht="15" hidden="false" customHeight="false" outlineLevel="0" collapsed="false">
      <c r="J4461" s="41" t="str">
        <f aca="false">IF(D4461="","",IFERROR(IF(ISNUMBER(SEARCH(Assumptions!$C$5,D4461)),Assumptions!$D$5,IF(ISNUMBER(SEARCH(Assumptions!$C$6,D4461)),Assumptions!$D$6,IF(ISNUMBER(SEARCH(Assumptions!$C$7,D4461)),Assumptions!$D$7,"Other Services"))),"Other Services"))</f>
        <v/>
      </c>
    </row>
    <row r="4462" customFormat="false" ht="15" hidden="false" customHeight="false" outlineLevel="0" collapsed="false">
      <c r="J4462" s="41" t="str">
        <f aca="false">IF(D4462="","",IFERROR(IF(ISNUMBER(SEARCH(Assumptions!$C$5,D4462)),Assumptions!$D$5,IF(ISNUMBER(SEARCH(Assumptions!$C$6,D4462)),Assumptions!$D$6,IF(ISNUMBER(SEARCH(Assumptions!$C$7,D4462)),Assumptions!$D$7,"Other Services"))),"Other Services"))</f>
        <v/>
      </c>
    </row>
    <row r="4463" customFormat="false" ht="15" hidden="false" customHeight="false" outlineLevel="0" collapsed="false">
      <c r="J4463" s="41" t="str">
        <f aca="false">IF(D4463="","",IFERROR(IF(ISNUMBER(SEARCH(Assumptions!$C$5,D4463)),Assumptions!$D$5,IF(ISNUMBER(SEARCH(Assumptions!$C$6,D4463)),Assumptions!$D$6,IF(ISNUMBER(SEARCH(Assumptions!$C$7,D4463)),Assumptions!$D$7,"Other Services"))),"Other Services"))</f>
        <v/>
      </c>
    </row>
    <row r="4464" customFormat="false" ht="15" hidden="false" customHeight="false" outlineLevel="0" collapsed="false">
      <c r="J4464" s="41" t="str">
        <f aca="false">IF(D4464="","",IFERROR(IF(ISNUMBER(SEARCH(Assumptions!$C$5,D4464)),Assumptions!$D$5,IF(ISNUMBER(SEARCH(Assumptions!$C$6,D4464)),Assumptions!$D$6,IF(ISNUMBER(SEARCH(Assumptions!$C$7,D4464)),Assumptions!$D$7,"Other Services"))),"Other Services"))</f>
        <v/>
      </c>
    </row>
    <row r="4465" customFormat="false" ht="15" hidden="false" customHeight="false" outlineLevel="0" collapsed="false">
      <c r="J4465" s="41" t="str">
        <f aca="false">IF(D4465="","",IFERROR(IF(ISNUMBER(SEARCH(Assumptions!$C$5,D4465)),Assumptions!$D$5,IF(ISNUMBER(SEARCH(Assumptions!$C$6,D4465)),Assumptions!$D$6,IF(ISNUMBER(SEARCH(Assumptions!$C$7,D4465)),Assumptions!$D$7,"Other Services"))),"Other Services"))</f>
        <v/>
      </c>
    </row>
    <row r="4466" customFormat="false" ht="15" hidden="false" customHeight="false" outlineLevel="0" collapsed="false">
      <c r="J4466" s="41" t="str">
        <f aca="false">IF(D4466="","",IFERROR(IF(ISNUMBER(SEARCH(Assumptions!$C$5,D4466)),Assumptions!$D$5,IF(ISNUMBER(SEARCH(Assumptions!$C$6,D4466)),Assumptions!$D$6,IF(ISNUMBER(SEARCH(Assumptions!$C$7,D4466)),Assumptions!$D$7,"Other Services"))),"Other Services"))</f>
        <v/>
      </c>
    </row>
    <row r="4467" customFormat="false" ht="15" hidden="false" customHeight="false" outlineLevel="0" collapsed="false">
      <c r="J4467" s="41" t="str">
        <f aca="false">IF(D4467="","",IFERROR(IF(ISNUMBER(SEARCH(Assumptions!$C$5,D4467)),Assumptions!$D$5,IF(ISNUMBER(SEARCH(Assumptions!$C$6,D4467)),Assumptions!$D$6,IF(ISNUMBER(SEARCH(Assumptions!$C$7,D4467)),Assumptions!$D$7,"Other Services"))),"Other Services"))</f>
        <v/>
      </c>
    </row>
    <row r="4468" customFormat="false" ht="15" hidden="false" customHeight="false" outlineLevel="0" collapsed="false">
      <c r="J4468" s="41" t="str">
        <f aca="false">IF(D4468="","",IFERROR(IF(ISNUMBER(SEARCH(Assumptions!$C$5,D4468)),Assumptions!$D$5,IF(ISNUMBER(SEARCH(Assumptions!$C$6,D4468)),Assumptions!$D$6,IF(ISNUMBER(SEARCH(Assumptions!$C$7,D4468)),Assumptions!$D$7,"Other Services"))),"Other Services"))</f>
        <v/>
      </c>
    </row>
    <row r="4469" customFormat="false" ht="15" hidden="false" customHeight="false" outlineLevel="0" collapsed="false">
      <c r="J4469" s="41" t="str">
        <f aca="false">IF(D4469="","",IFERROR(IF(ISNUMBER(SEARCH(Assumptions!$C$5,D4469)),Assumptions!$D$5,IF(ISNUMBER(SEARCH(Assumptions!$C$6,D4469)),Assumptions!$D$6,IF(ISNUMBER(SEARCH(Assumptions!$C$7,D4469)),Assumptions!$D$7,"Other Services"))),"Other Services"))</f>
        <v/>
      </c>
    </row>
    <row r="4470" customFormat="false" ht="15" hidden="false" customHeight="false" outlineLevel="0" collapsed="false">
      <c r="J4470" s="41" t="str">
        <f aca="false">IF(D4470="","",IFERROR(IF(ISNUMBER(SEARCH(Assumptions!$C$5,D4470)),Assumptions!$D$5,IF(ISNUMBER(SEARCH(Assumptions!$C$6,D4470)),Assumptions!$D$6,IF(ISNUMBER(SEARCH(Assumptions!$C$7,D4470)),Assumptions!$D$7,"Other Services"))),"Other Services"))</f>
        <v/>
      </c>
    </row>
    <row r="4471" customFormat="false" ht="15" hidden="false" customHeight="false" outlineLevel="0" collapsed="false">
      <c r="J4471" s="41" t="str">
        <f aca="false">IF(D4471="","",IFERROR(IF(ISNUMBER(SEARCH(Assumptions!$C$5,D4471)),Assumptions!$D$5,IF(ISNUMBER(SEARCH(Assumptions!$C$6,D4471)),Assumptions!$D$6,IF(ISNUMBER(SEARCH(Assumptions!$C$7,D4471)),Assumptions!$D$7,"Other Services"))),"Other Services"))</f>
        <v/>
      </c>
    </row>
    <row r="4472" customFormat="false" ht="15" hidden="false" customHeight="false" outlineLevel="0" collapsed="false">
      <c r="J4472" s="41" t="str">
        <f aca="false">IF(D4472="","",IFERROR(IF(ISNUMBER(SEARCH(Assumptions!$C$5,D4472)),Assumptions!$D$5,IF(ISNUMBER(SEARCH(Assumptions!$C$6,D4472)),Assumptions!$D$6,IF(ISNUMBER(SEARCH(Assumptions!$C$7,D4472)),Assumptions!$D$7,"Other Services"))),"Other Services"))</f>
        <v/>
      </c>
    </row>
    <row r="4473" customFormat="false" ht="15" hidden="false" customHeight="false" outlineLevel="0" collapsed="false">
      <c r="J4473" s="41" t="str">
        <f aca="false">IF(D4473="","",IFERROR(IF(ISNUMBER(SEARCH(Assumptions!$C$5,D4473)),Assumptions!$D$5,IF(ISNUMBER(SEARCH(Assumptions!$C$6,D4473)),Assumptions!$D$6,IF(ISNUMBER(SEARCH(Assumptions!$C$7,D4473)),Assumptions!$D$7,"Other Services"))),"Other Services"))</f>
        <v/>
      </c>
    </row>
    <row r="4474" customFormat="false" ht="15" hidden="false" customHeight="false" outlineLevel="0" collapsed="false">
      <c r="J4474" s="41" t="str">
        <f aca="false">IF(D4474="","",IFERROR(IF(ISNUMBER(SEARCH(Assumptions!$C$5,D4474)),Assumptions!$D$5,IF(ISNUMBER(SEARCH(Assumptions!$C$6,D4474)),Assumptions!$D$6,IF(ISNUMBER(SEARCH(Assumptions!$C$7,D4474)),Assumptions!$D$7,"Other Services"))),"Other Services"))</f>
        <v/>
      </c>
    </row>
    <row r="4475" customFormat="false" ht="15" hidden="false" customHeight="false" outlineLevel="0" collapsed="false">
      <c r="J4475" s="41" t="str">
        <f aca="false">IF(D4475="","",IFERROR(IF(ISNUMBER(SEARCH(Assumptions!$C$5,D4475)),Assumptions!$D$5,IF(ISNUMBER(SEARCH(Assumptions!$C$6,D4475)),Assumptions!$D$6,IF(ISNUMBER(SEARCH(Assumptions!$C$7,D4475)),Assumptions!$D$7,"Other Services"))),"Other Services"))</f>
        <v/>
      </c>
    </row>
    <row r="4476" customFormat="false" ht="15" hidden="false" customHeight="false" outlineLevel="0" collapsed="false">
      <c r="J4476" s="41" t="str">
        <f aca="false">IF(D4476="","",IFERROR(IF(ISNUMBER(SEARCH(Assumptions!$C$5,D4476)),Assumptions!$D$5,IF(ISNUMBER(SEARCH(Assumptions!$C$6,D4476)),Assumptions!$D$6,IF(ISNUMBER(SEARCH(Assumptions!$C$7,D4476)),Assumptions!$D$7,"Other Services"))),"Other Services"))</f>
        <v/>
      </c>
    </row>
    <row r="4477" customFormat="false" ht="15" hidden="false" customHeight="false" outlineLevel="0" collapsed="false">
      <c r="J4477" s="41" t="str">
        <f aca="false">IF(D4477="","",IFERROR(IF(ISNUMBER(SEARCH(Assumptions!$C$5,D4477)),Assumptions!$D$5,IF(ISNUMBER(SEARCH(Assumptions!$C$6,D4477)),Assumptions!$D$6,IF(ISNUMBER(SEARCH(Assumptions!$C$7,D4477)),Assumptions!$D$7,"Other Services"))),"Other Services"))</f>
        <v/>
      </c>
    </row>
    <row r="4478" customFormat="false" ht="15" hidden="false" customHeight="false" outlineLevel="0" collapsed="false">
      <c r="J4478" s="41" t="str">
        <f aca="false">IF(D4478="","",IFERROR(IF(ISNUMBER(SEARCH(Assumptions!$C$5,D4478)),Assumptions!$D$5,IF(ISNUMBER(SEARCH(Assumptions!$C$6,D4478)),Assumptions!$D$6,IF(ISNUMBER(SEARCH(Assumptions!$C$7,D4478)),Assumptions!$D$7,"Other Services"))),"Other Services"))</f>
        <v/>
      </c>
    </row>
    <row r="4479" customFormat="false" ht="15" hidden="false" customHeight="false" outlineLevel="0" collapsed="false">
      <c r="J4479" s="41" t="str">
        <f aca="false">IF(D4479="","",IFERROR(IF(ISNUMBER(SEARCH(Assumptions!$C$5,D4479)),Assumptions!$D$5,IF(ISNUMBER(SEARCH(Assumptions!$C$6,D4479)),Assumptions!$D$6,IF(ISNUMBER(SEARCH(Assumptions!$C$7,D4479)),Assumptions!$D$7,"Other Services"))),"Other Services"))</f>
        <v/>
      </c>
    </row>
    <row r="4480" customFormat="false" ht="15" hidden="false" customHeight="false" outlineLevel="0" collapsed="false">
      <c r="J4480" s="41" t="str">
        <f aca="false">IF(D4480="","",IFERROR(IF(ISNUMBER(SEARCH(Assumptions!$C$5,D4480)),Assumptions!$D$5,IF(ISNUMBER(SEARCH(Assumptions!$C$6,D4480)),Assumptions!$D$6,IF(ISNUMBER(SEARCH(Assumptions!$C$7,D4480)),Assumptions!$D$7,"Other Services"))),"Other Services"))</f>
        <v/>
      </c>
    </row>
    <row r="4481" customFormat="false" ht="15" hidden="false" customHeight="false" outlineLevel="0" collapsed="false">
      <c r="J4481" s="41" t="str">
        <f aca="false">IF(D4481="","",IFERROR(IF(ISNUMBER(SEARCH(Assumptions!$C$5,D4481)),Assumptions!$D$5,IF(ISNUMBER(SEARCH(Assumptions!$C$6,D4481)),Assumptions!$D$6,IF(ISNUMBER(SEARCH(Assumptions!$C$7,D4481)),Assumptions!$D$7,"Other Services"))),"Other Services"))</f>
        <v/>
      </c>
    </row>
    <row r="4482" customFormat="false" ht="15" hidden="false" customHeight="false" outlineLevel="0" collapsed="false">
      <c r="J4482" s="41" t="str">
        <f aca="false">IF(D4482="","",IFERROR(IF(ISNUMBER(SEARCH(Assumptions!$C$5,D4482)),Assumptions!$D$5,IF(ISNUMBER(SEARCH(Assumptions!$C$6,D4482)),Assumptions!$D$6,IF(ISNUMBER(SEARCH(Assumptions!$C$7,D4482)),Assumptions!$D$7,"Other Services"))),"Other Services"))</f>
        <v/>
      </c>
    </row>
    <row r="4483" customFormat="false" ht="15" hidden="false" customHeight="false" outlineLevel="0" collapsed="false">
      <c r="J4483" s="41" t="str">
        <f aca="false">IF(D4483="","",IFERROR(IF(ISNUMBER(SEARCH(Assumptions!$C$5,D4483)),Assumptions!$D$5,IF(ISNUMBER(SEARCH(Assumptions!$C$6,D4483)),Assumptions!$D$6,IF(ISNUMBER(SEARCH(Assumptions!$C$7,D4483)),Assumptions!$D$7,"Other Services"))),"Other Services"))</f>
        <v/>
      </c>
    </row>
    <row r="4484" customFormat="false" ht="15" hidden="false" customHeight="false" outlineLevel="0" collapsed="false">
      <c r="J4484" s="41" t="str">
        <f aca="false">IF(D4484="","",IFERROR(IF(ISNUMBER(SEARCH(Assumptions!$C$5,D4484)),Assumptions!$D$5,IF(ISNUMBER(SEARCH(Assumptions!$C$6,D4484)),Assumptions!$D$6,IF(ISNUMBER(SEARCH(Assumptions!$C$7,D4484)),Assumptions!$D$7,"Other Services"))),"Other Services"))</f>
        <v/>
      </c>
    </row>
    <row r="4485" customFormat="false" ht="15" hidden="false" customHeight="false" outlineLevel="0" collapsed="false">
      <c r="J4485" s="41" t="str">
        <f aca="false">IF(D4485="","",IFERROR(IF(ISNUMBER(SEARCH(Assumptions!$C$5,D4485)),Assumptions!$D$5,IF(ISNUMBER(SEARCH(Assumptions!$C$6,D4485)),Assumptions!$D$6,IF(ISNUMBER(SEARCH(Assumptions!$C$7,D4485)),Assumptions!$D$7,"Other Services"))),"Other Services"))</f>
        <v/>
      </c>
    </row>
    <row r="4486" customFormat="false" ht="15" hidden="false" customHeight="false" outlineLevel="0" collapsed="false">
      <c r="J4486" s="41" t="str">
        <f aca="false">IF(D4486="","",IFERROR(IF(ISNUMBER(SEARCH(Assumptions!$C$5,D4486)),Assumptions!$D$5,IF(ISNUMBER(SEARCH(Assumptions!$C$6,D4486)),Assumptions!$D$6,IF(ISNUMBER(SEARCH(Assumptions!$C$7,D4486)),Assumptions!$D$7,"Other Services"))),"Other Services"))</f>
        <v/>
      </c>
    </row>
    <row r="4487" customFormat="false" ht="15" hidden="false" customHeight="false" outlineLevel="0" collapsed="false">
      <c r="J4487" s="41" t="str">
        <f aca="false">IF(D4487="","",IFERROR(IF(ISNUMBER(SEARCH(Assumptions!$C$5,D4487)),Assumptions!$D$5,IF(ISNUMBER(SEARCH(Assumptions!$C$6,D4487)),Assumptions!$D$6,IF(ISNUMBER(SEARCH(Assumptions!$C$7,D4487)),Assumptions!$D$7,"Other Services"))),"Other Services"))</f>
        <v/>
      </c>
    </row>
    <row r="4488" customFormat="false" ht="15" hidden="false" customHeight="false" outlineLevel="0" collapsed="false">
      <c r="J4488" s="41" t="str">
        <f aca="false">IF(D4488="","",IFERROR(IF(ISNUMBER(SEARCH(Assumptions!$C$5,D4488)),Assumptions!$D$5,IF(ISNUMBER(SEARCH(Assumptions!$C$6,D4488)),Assumptions!$D$6,IF(ISNUMBER(SEARCH(Assumptions!$C$7,D4488)),Assumptions!$D$7,"Other Services"))),"Other Services"))</f>
        <v/>
      </c>
    </row>
    <row r="4489" customFormat="false" ht="15" hidden="false" customHeight="false" outlineLevel="0" collapsed="false">
      <c r="J4489" s="41" t="str">
        <f aca="false">IF(D4489="","",IFERROR(IF(ISNUMBER(SEARCH(Assumptions!$C$5,D4489)),Assumptions!$D$5,IF(ISNUMBER(SEARCH(Assumptions!$C$6,D4489)),Assumptions!$D$6,IF(ISNUMBER(SEARCH(Assumptions!$C$7,D4489)),Assumptions!$D$7,"Other Services"))),"Other Services"))</f>
        <v/>
      </c>
    </row>
    <row r="4490" customFormat="false" ht="15" hidden="false" customHeight="false" outlineLevel="0" collapsed="false">
      <c r="J4490" s="41" t="str">
        <f aca="false">IF(D4490="","",IFERROR(IF(ISNUMBER(SEARCH(Assumptions!$C$5,D4490)),Assumptions!$D$5,IF(ISNUMBER(SEARCH(Assumptions!$C$6,D4490)),Assumptions!$D$6,IF(ISNUMBER(SEARCH(Assumptions!$C$7,D4490)),Assumptions!$D$7,"Other Services"))),"Other Services"))</f>
        <v/>
      </c>
    </row>
    <row r="4491" customFormat="false" ht="15" hidden="false" customHeight="false" outlineLevel="0" collapsed="false">
      <c r="J4491" s="41" t="str">
        <f aca="false">IF(D4491="","",IFERROR(IF(ISNUMBER(SEARCH(Assumptions!$C$5,D4491)),Assumptions!$D$5,IF(ISNUMBER(SEARCH(Assumptions!$C$6,D4491)),Assumptions!$D$6,IF(ISNUMBER(SEARCH(Assumptions!$C$7,D4491)),Assumptions!$D$7,"Other Services"))),"Other Services"))</f>
        <v/>
      </c>
    </row>
    <row r="4492" customFormat="false" ht="15" hidden="false" customHeight="false" outlineLevel="0" collapsed="false">
      <c r="J4492" s="41" t="str">
        <f aca="false">IF(D4492="","",IFERROR(IF(ISNUMBER(SEARCH(Assumptions!$C$5,D4492)),Assumptions!$D$5,IF(ISNUMBER(SEARCH(Assumptions!$C$6,D4492)),Assumptions!$D$6,IF(ISNUMBER(SEARCH(Assumptions!$C$7,D4492)),Assumptions!$D$7,"Other Services"))),"Other Services"))</f>
        <v/>
      </c>
    </row>
    <row r="4493" customFormat="false" ht="15" hidden="false" customHeight="false" outlineLevel="0" collapsed="false">
      <c r="J4493" s="41" t="str">
        <f aca="false">IF(D4493="","",IFERROR(IF(ISNUMBER(SEARCH(Assumptions!$C$5,D4493)),Assumptions!$D$5,IF(ISNUMBER(SEARCH(Assumptions!$C$6,D4493)),Assumptions!$D$6,IF(ISNUMBER(SEARCH(Assumptions!$C$7,D4493)),Assumptions!$D$7,"Other Services"))),"Other Services"))</f>
        <v/>
      </c>
    </row>
    <row r="4494" customFormat="false" ht="15" hidden="false" customHeight="false" outlineLevel="0" collapsed="false">
      <c r="J4494" s="41" t="str">
        <f aca="false">IF(D4494="","",IFERROR(IF(ISNUMBER(SEARCH(Assumptions!$C$5,D4494)),Assumptions!$D$5,IF(ISNUMBER(SEARCH(Assumptions!$C$6,D4494)),Assumptions!$D$6,IF(ISNUMBER(SEARCH(Assumptions!$C$7,D4494)),Assumptions!$D$7,"Other Services"))),"Other Services"))</f>
        <v/>
      </c>
    </row>
    <row r="4495" customFormat="false" ht="15" hidden="false" customHeight="false" outlineLevel="0" collapsed="false">
      <c r="J4495" s="41" t="str">
        <f aca="false">IF(D4495="","",IFERROR(IF(ISNUMBER(SEARCH(Assumptions!$C$5,D4495)),Assumptions!$D$5,IF(ISNUMBER(SEARCH(Assumptions!$C$6,D4495)),Assumptions!$D$6,IF(ISNUMBER(SEARCH(Assumptions!$C$7,D4495)),Assumptions!$D$7,"Other Services"))),"Other Services"))</f>
        <v/>
      </c>
    </row>
    <row r="4496" customFormat="false" ht="15" hidden="false" customHeight="false" outlineLevel="0" collapsed="false">
      <c r="J4496" s="41" t="str">
        <f aca="false">IF(D4496="","",IFERROR(IF(ISNUMBER(SEARCH(Assumptions!$C$5,D4496)),Assumptions!$D$5,IF(ISNUMBER(SEARCH(Assumptions!$C$6,D4496)),Assumptions!$D$6,IF(ISNUMBER(SEARCH(Assumptions!$C$7,D4496)),Assumptions!$D$7,"Other Services"))),"Other Services"))</f>
        <v/>
      </c>
    </row>
    <row r="4497" customFormat="false" ht="15" hidden="false" customHeight="false" outlineLevel="0" collapsed="false">
      <c r="J4497" s="41" t="str">
        <f aca="false">IF(D4497="","",IFERROR(IF(ISNUMBER(SEARCH(Assumptions!$C$5,D4497)),Assumptions!$D$5,IF(ISNUMBER(SEARCH(Assumptions!$C$6,D4497)),Assumptions!$D$6,IF(ISNUMBER(SEARCH(Assumptions!$C$7,D4497)),Assumptions!$D$7,"Other Services"))),"Other Services"))</f>
        <v/>
      </c>
    </row>
    <row r="4498" customFormat="false" ht="15" hidden="false" customHeight="false" outlineLevel="0" collapsed="false">
      <c r="J4498" s="41" t="str">
        <f aca="false">IF(D4498="","",IFERROR(IF(ISNUMBER(SEARCH(Assumptions!$C$5,D4498)),Assumptions!$D$5,IF(ISNUMBER(SEARCH(Assumptions!$C$6,D4498)),Assumptions!$D$6,IF(ISNUMBER(SEARCH(Assumptions!$C$7,D4498)),Assumptions!$D$7,"Other Services"))),"Other Services"))</f>
        <v/>
      </c>
    </row>
    <row r="4499" customFormat="false" ht="15" hidden="false" customHeight="false" outlineLevel="0" collapsed="false">
      <c r="J4499" s="41" t="str">
        <f aca="false">IF(D4499="","",IFERROR(IF(ISNUMBER(SEARCH(Assumptions!$C$5,D4499)),Assumptions!$D$5,IF(ISNUMBER(SEARCH(Assumptions!$C$6,D4499)),Assumptions!$D$6,IF(ISNUMBER(SEARCH(Assumptions!$C$7,D4499)),Assumptions!$D$7,"Other Services"))),"Other Services"))</f>
        <v/>
      </c>
    </row>
    <row r="4500" customFormat="false" ht="15" hidden="false" customHeight="false" outlineLevel="0" collapsed="false">
      <c r="J4500" s="41" t="str">
        <f aca="false">IF(D4500="","",IFERROR(IF(ISNUMBER(SEARCH(Assumptions!$C$5,D4500)),Assumptions!$D$5,IF(ISNUMBER(SEARCH(Assumptions!$C$6,D4500)),Assumptions!$D$6,IF(ISNUMBER(SEARCH(Assumptions!$C$7,D4500)),Assumptions!$D$7,"Other Services"))),"Other Services"))</f>
        <v/>
      </c>
    </row>
    <row r="4501" customFormat="false" ht="15" hidden="false" customHeight="false" outlineLevel="0" collapsed="false">
      <c r="J4501" s="41" t="str">
        <f aca="false">IF(D4501="","",IFERROR(IF(ISNUMBER(SEARCH(Assumptions!$C$5,D4501)),Assumptions!$D$5,IF(ISNUMBER(SEARCH(Assumptions!$C$6,D4501)),Assumptions!$D$6,IF(ISNUMBER(SEARCH(Assumptions!$C$7,D4501)),Assumptions!$D$7,"Other Services"))),"Other Services"))</f>
        <v/>
      </c>
    </row>
    <row r="4502" customFormat="false" ht="15" hidden="false" customHeight="false" outlineLevel="0" collapsed="false">
      <c r="J4502" s="41" t="str">
        <f aca="false">IF(D4502="","",IFERROR(IF(ISNUMBER(SEARCH(Assumptions!$C$5,D4502)),Assumptions!$D$5,IF(ISNUMBER(SEARCH(Assumptions!$C$6,D4502)),Assumptions!$D$6,IF(ISNUMBER(SEARCH(Assumptions!$C$7,D4502)),Assumptions!$D$7,"Other Services"))),"Other Services"))</f>
        <v/>
      </c>
    </row>
    <row r="4503" customFormat="false" ht="15" hidden="false" customHeight="false" outlineLevel="0" collapsed="false">
      <c r="J4503" s="41" t="str">
        <f aca="false">IF(D4503="","",IFERROR(IF(ISNUMBER(SEARCH(Assumptions!$C$5,D4503)),Assumptions!$D$5,IF(ISNUMBER(SEARCH(Assumptions!$C$6,D4503)),Assumptions!$D$6,IF(ISNUMBER(SEARCH(Assumptions!$C$7,D4503)),Assumptions!$D$7,"Other Services"))),"Other Services"))</f>
        <v/>
      </c>
    </row>
    <row r="4504" customFormat="false" ht="15" hidden="false" customHeight="false" outlineLevel="0" collapsed="false">
      <c r="J4504" s="41" t="str">
        <f aca="false">IF(D4504="","",IFERROR(IF(ISNUMBER(SEARCH(Assumptions!$C$5,D4504)),Assumptions!$D$5,IF(ISNUMBER(SEARCH(Assumptions!$C$6,D4504)),Assumptions!$D$6,IF(ISNUMBER(SEARCH(Assumptions!$C$7,D4504)),Assumptions!$D$7,"Other Services"))),"Other Services"))</f>
        <v/>
      </c>
    </row>
    <row r="4505" customFormat="false" ht="15" hidden="false" customHeight="false" outlineLevel="0" collapsed="false">
      <c r="J4505" s="41" t="str">
        <f aca="false">IF(D4505="","",IFERROR(IF(ISNUMBER(SEARCH(Assumptions!$C$5,D4505)),Assumptions!$D$5,IF(ISNUMBER(SEARCH(Assumptions!$C$6,D4505)),Assumptions!$D$6,IF(ISNUMBER(SEARCH(Assumptions!$C$7,D4505)),Assumptions!$D$7,"Other Services"))),"Other Services"))</f>
        <v/>
      </c>
    </row>
    <row r="4506" customFormat="false" ht="15" hidden="false" customHeight="false" outlineLevel="0" collapsed="false">
      <c r="J4506" s="41" t="str">
        <f aca="false">IF(D4506="","",IFERROR(IF(ISNUMBER(SEARCH(Assumptions!$C$5,D4506)),Assumptions!$D$5,IF(ISNUMBER(SEARCH(Assumptions!$C$6,D4506)),Assumptions!$D$6,IF(ISNUMBER(SEARCH(Assumptions!$C$7,D4506)),Assumptions!$D$7,"Other Services"))),"Other Services"))</f>
        <v/>
      </c>
    </row>
    <row r="4507" customFormat="false" ht="15" hidden="false" customHeight="false" outlineLevel="0" collapsed="false">
      <c r="J4507" s="41" t="str">
        <f aca="false">IF(D4507="","",IFERROR(IF(ISNUMBER(SEARCH(Assumptions!$C$5,D4507)),Assumptions!$D$5,IF(ISNUMBER(SEARCH(Assumptions!$C$6,D4507)),Assumptions!$D$6,IF(ISNUMBER(SEARCH(Assumptions!$C$7,D4507)),Assumptions!$D$7,"Other Services"))),"Other Services"))</f>
        <v/>
      </c>
    </row>
    <row r="4508" customFormat="false" ht="15" hidden="false" customHeight="false" outlineLevel="0" collapsed="false">
      <c r="J4508" s="41" t="str">
        <f aca="false">IF(D4508="","",IFERROR(IF(ISNUMBER(SEARCH(Assumptions!$C$5,D4508)),Assumptions!$D$5,IF(ISNUMBER(SEARCH(Assumptions!$C$6,D4508)),Assumptions!$D$6,IF(ISNUMBER(SEARCH(Assumptions!$C$7,D4508)),Assumptions!$D$7,"Other Services"))),"Other Services"))</f>
        <v/>
      </c>
    </row>
    <row r="4509" customFormat="false" ht="15" hidden="false" customHeight="false" outlineLevel="0" collapsed="false">
      <c r="J4509" s="41" t="str">
        <f aca="false">IF(D4509="","",IFERROR(IF(ISNUMBER(SEARCH(Assumptions!$C$5,D4509)),Assumptions!$D$5,IF(ISNUMBER(SEARCH(Assumptions!$C$6,D4509)),Assumptions!$D$6,IF(ISNUMBER(SEARCH(Assumptions!$C$7,D4509)),Assumptions!$D$7,"Other Services"))),"Other Services"))</f>
        <v/>
      </c>
    </row>
    <row r="4510" customFormat="false" ht="15" hidden="false" customHeight="false" outlineLevel="0" collapsed="false">
      <c r="J4510" s="41" t="str">
        <f aca="false">IF(D4510="","",IFERROR(IF(ISNUMBER(SEARCH(Assumptions!$C$5,D4510)),Assumptions!$D$5,IF(ISNUMBER(SEARCH(Assumptions!$C$6,D4510)),Assumptions!$D$6,IF(ISNUMBER(SEARCH(Assumptions!$C$7,D4510)),Assumptions!$D$7,"Other Services"))),"Other Services"))</f>
        <v/>
      </c>
    </row>
    <row r="4511" customFormat="false" ht="15" hidden="false" customHeight="false" outlineLevel="0" collapsed="false">
      <c r="J4511" s="41" t="str">
        <f aca="false">IF(D4511="","",IFERROR(IF(ISNUMBER(SEARCH(Assumptions!$C$5,D4511)),Assumptions!$D$5,IF(ISNUMBER(SEARCH(Assumptions!$C$6,D4511)),Assumptions!$D$6,IF(ISNUMBER(SEARCH(Assumptions!$C$7,D4511)),Assumptions!$D$7,"Other Services"))),"Other Services"))</f>
        <v/>
      </c>
    </row>
    <row r="4512" customFormat="false" ht="15" hidden="false" customHeight="false" outlineLevel="0" collapsed="false">
      <c r="J4512" s="41" t="str">
        <f aca="false">IF(D4512="","",IFERROR(IF(ISNUMBER(SEARCH(Assumptions!$C$5,D4512)),Assumptions!$D$5,IF(ISNUMBER(SEARCH(Assumptions!$C$6,D4512)),Assumptions!$D$6,IF(ISNUMBER(SEARCH(Assumptions!$C$7,D4512)),Assumptions!$D$7,"Other Services"))),"Other Services"))</f>
        <v/>
      </c>
    </row>
    <row r="4513" customFormat="false" ht="15" hidden="false" customHeight="false" outlineLevel="0" collapsed="false">
      <c r="J4513" s="41" t="str">
        <f aca="false">IF(D4513="","",IFERROR(IF(ISNUMBER(SEARCH(Assumptions!$C$5,D4513)),Assumptions!$D$5,IF(ISNUMBER(SEARCH(Assumptions!$C$6,D4513)),Assumptions!$D$6,IF(ISNUMBER(SEARCH(Assumptions!$C$7,D4513)),Assumptions!$D$7,"Other Services"))),"Other Services"))</f>
        <v/>
      </c>
    </row>
    <row r="4514" customFormat="false" ht="15" hidden="false" customHeight="false" outlineLevel="0" collapsed="false">
      <c r="J4514" s="41" t="str">
        <f aca="false">IF(D4514="","",IFERROR(IF(ISNUMBER(SEARCH(Assumptions!$C$5,D4514)),Assumptions!$D$5,IF(ISNUMBER(SEARCH(Assumptions!$C$6,D4514)),Assumptions!$D$6,IF(ISNUMBER(SEARCH(Assumptions!$C$7,D4514)),Assumptions!$D$7,"Other Services"))),"Other Services"))</f>
        <v/>
      </c>
    </row>
    <row r="4515" customFormat="false" ht="15" hidden="false" customHeight="false" outlineLevel="0" collapsed="false">
      <c r="J4515" s="41" t="str">
        <f aca="false">IF(D4515="","",IFERROR(IF(ISNUMBER(SEARCH(Assumptions!$C$5,D4515)),Assumptions!$D$5,IF(ISNUMBER(SEARCH(Assumptions!$C$6,D4515)),Assumptions!$D$6,IF(ISNUMBER(SEARCH(Assumptions!$C$7,D4515)),Assumptions!$D$7,"Other Services"))),"Other Services"))</f>
        <v/>
      </c>
    </row>
    <row r="4516" customFormat="false" ht="15" hidden="false" customHeight="false" outlineLevel="0" collapsed="false">
      <c r="J4516" s="41" t="str">
        <f aca="false">IF(D4516="","",IFERROR(IF(ISNUMBER(SEARCH(Assumptions!$C$5,D4516)),Assumptions!$D$5,IF(ISNUMBER(SEARCH(Assumptions!$C$6,D4516)),Assumptions!$D$6,IF(ISNUMBER(SEARCH(Assumptions!$C$7,D4516)),Assumptions!$D$7,"Other Services"))),"Other Services"))</f>
        <v/>
      </c>
    </row>
    <row r="4517" customFormat="false" ht="15" hidden="false" customHeight="false" outlineLevel="0" collapsed="false">
      <c r="J4517" s="41" t="str">
        <f aca="false">IF(D4517="","",IFERROR(IF(ISNUMBER(SEARCH(Assumptions!$C$5,D4517)),Assumptions!$D$5,IF(ISNUMBER(SEARCH(Assumptions!$C$6,D4517)),Assumptions!$D$6,IF(ISNUMBER(SEARCH(Assumptions!$C$7,D4517)),Assumptions!$D$7,"Other Services"))),"Other Services"))</f>
        <v/>
      </c>
    </row>
    <row r="4518" customFormat="false" ht="15" hidden="false" customHeight="false" outlineLevel="0" collapsed="false">
      <c r="J4518" s="41" t="str">
        <f aca="false">IF(D4518="","",IFERROR(IF(ISNUMBER(SEARCH(Assumptions!$C$5,D4518)),Assumptions!$D$5,IF(ISNUMBER(SEARCH(Assumptions!$C$6,D4518)),Assumptions!$D$6,IF(ISNUMBER(SEARCH(Assumptions!$C$7,D4518)),Assumptions!$D$7,"Other Services"))),"Other Services"))</f>
        <v/>
      </c>
    </row>
    <row r="4519" customFormat="false" ht="15" hidden="false" customHeight="false" outlineLevel="0" collapsed="false">
      <c r="J4519" s="41" t="str">
        <f aca="false">IF(D4519="","",IFERROR(IF(ISNUMBER(SEARCH(Assumptions!$C$5,D4519)),Assumptions!$D$5,IF(ISNUMBER(SEARCH(Assumptions!$C$6,D4519)),Assumptions!$D$6,IF(ISNUMBER(SEARCH(Assumptions!$C$7,D4519)),Assumptions!$D$7,"Other Services"))),"Other Services"))</f>
        <v/>
      </c>
    </row>
    <row r="4520" customFormat="false" ht="15" hidden="false" customHeight="false" outlineLevel="0" collapsed="false">
      <c r="J4520" s="41" t="str">
        <f aca="false">IF(D4520="","",IFERROR(IF(ISNUMBER(SEARCH(Assumptions!$C$5,D4520)),Assumptions!$D$5,IF(ISNUMBER(SEARCH(Assumptions!$C$6,D4520)),Assumptions!$D$6,IF(ISNUMBER(SEARCH(Assumptions!$C$7,D4520)),Assumptions!$D$7,"Other Services"))),"Other Services"))</f>
        <v/>
      </c>
    </row>
    <row r="4521" customFormat="false" ht="15" hidden="false" customHeight="false" outlineLevel="0" collapsed="false">
      <c r="J4521" s="41" t="str">
        <f aca="false">IF(D4521="","",IFERROR(IF(ISNUMBER(SEARCH(Assumptions!$C$5,D4521)),Assumptions!$D$5,IF(ISNUMBER(SEARCH(Assumptions!$C$6,D4521)),Assumptions!$D$6,IF(ISNUMBER(SEARCH(Assumptions!$C$7,D4521)),Assumptions!$D$7,"Other Services"))),"Other Services"))</f>
        <v/>
      </c>
    </row>
    <row r="4522" customFormat="false" ht="15" hidden="false" customHeight="false" outlineLevel="0" collapsed="false">
      <c r="J4522" s="41" t="str">
        <f aca="false">IF(D4522="","",IFERROR(IF(ISNUMBER(SEARCH(Assumptions!$C$5,D4522)),Assumptions!$D$5,IF(ISNUMBER(SEARCH(Assumptions!$C$6,D4522)),Assumptions!$D$6,IF(ISNUMBER(SEARCH(Assumptions!$C$7,D4522)),Assumptions!$D$7,"Other Services"))),"Other Services"))</f>
        <v/>
      </c>
    </row>
    <row r="4523" customFormat="false" ht="15" hidden="false" customHeight="false" outlineLevel="0" collapsed="false">
      <c r="J4523" s="41" t="str">
        <f aca="false">IF(D4523="","",IFERROR(IF(ISNUMBER(SEARCH(Assumptions!$C$5,D4523)),Assumptions!$D$5,IF(ISNUMBER(SEARCH(Assumptions!$C$6,D4523)),Assumptions!$D$6,IF(ISNUMBER(SEARCH(Assumptions!$C$7,D4523)),Assumptions!$D$7,"Other Services"))),"Other Services"))</f>
        <v/>
      </c>
    </row>
    <row r="4524" customFormat="false" ht="15" hidden="false" customHeight="false" outlineLevel="0" collapsed="false">
      <c r="J4524" s="41" t="str">
        <f aca="false">IF(D4524="","",IFERROR(IF(ISNUMBER(SEARCH(Assumptions!$C$5,D4524)),Assumptions!$D$5,IF(ISNUMBER(SEARCH(Assumptions!$C$6,D4524)),Assumptions!$D$6,IF(ISNUMBER(SEARCH(Assumptions!$C$7,D4524)),Assumptions!$D$7,"Other Services"))),"Other Services"))</f>
        <v/>
      </c>
    </row>
    <row r="4525" customFormat="false" ht="15" hidden="false" customHeight="false" outlineLevel="0" collapsed="false">
      <c r="J4525" s="41" t="str">
        <f aca="false">IF(D4525="","",IFERROR(IF(ISNUMBER(SEARCH(Assumptions!$C$5,D4525)),Assumptions!$D$5,IF(ISNUMBER(SEARCH(Assumptions!$C$6,D4525)),Assumptions!$D$6,IF(ISNUMBER(SEARCH(Assumptions!$C$7,D4525)),Assumptions!$D$7,"Other Services"))),"Other Services"))</f>
        <v/>
      </c>
    </row>
    <row r="4526" customFormat="false" ht="15" hidden="false" customHeight="false" outlineLevel="0" collapsed="false">
      <c r="J4526" s="41" t="str">
        <f aca="false">IF(D4526="","",IFERROR(IF(ISNUMBER(SEARCH(Assumptions!$C$5,D4526)),Assumptions!$D$5,IF(ISNUMBER(SEARCH(Assumptions!$C$6,D4526)),Assumptions!$D$6,IF(ISNUMBER(SEARCH(Assumptions!$C$7,D4526)),Assumptions!$D$7,"Other Services"))),"Other Services"))</f>
        <v/>
      </c>
    </row>
    <row r="4527" customFormat="false" ht="15" hidden="false" customHeight="false" outlineLevel="0" collapsed="false">
      <c r="J4527" s="41" t="str">
        <f aca="false">IF(D4527="","",IFERROR(IF(ISNUMBER(SEARCH(Assumptions!$C$5,D4527)),Assumptions!$D$5,IF(ISNUMBER(SEARCH(Assumptions!$C$6,D4527)),Assumptions!$D$6,IF(ISNUMBER(SEARCH(Assumptions!$C$7,D4527)),Assumptions!$D$7,"Other Services"))),"Other Services"))</f>
        <v/>
      </c>
    </row>
    <row r="4528" customFormat="false" ht="15" hidden="false" customHeight="false" outlineLevel="0" collapsed="false">
      <c r="J4528" s="41" t="str">
        <f aca="false">IF(D4528="","",IFERROR(IF(ISNUMBER(SEARCH(Assumptions!$C$5,D4528)),Assumptions!$D$5,IF(ISNUMBER(SEARCH(Assumptions!$C$6,D4528)),Assumptions!$D$6,IF(ISNUMBER(SEARCH(Assumptions!$C$7,D4528)),Assumptions!$D$7,"Other Services"))),"Other Services"))</f>
        <v/>
      </c>
    </row>
    <row r="4529" customFormat="false" ht="15" hidden="false" customHeight="false" outlineLevel="0" collapsed="false">
      <c r="J4529" s="41" t="str">
        <f aca="false">IF(D4529="","",IFERROR(IF(ISNUMBER(SEARCH(Assumptions!$C$5,D4529)),Assumptions!$D$5,IF(ISNUMBER(SEARCH(Assumptions!$C$6,D4529)),Assumptions!$D$6,IF(ISNUMBER(SEARCH(Assumptions!$C$7,D4529)),Assumptions!$D$7,"Other Services"))),"Other Services"))</f>
        <v/>
      </c>
    </row>
    <row r="4530" customFormat="false" ht="15" hidden="false" customHeight="false" outlineLevel="0" collapsed="false">
      <c r="J4530" s="41" t="str">
        <f aca="false">IF(D4530="","",IFERROR(IF(ISNUMBER(SEARCH(Assumptions!$C$5,D4530)),Assumptions!$D$5,IF(ISNUMBER(SEARCH(Assumptions!$C$6,D4530)),Assumptions!$D$6,IF(ISNUMBER(SEARCH(Assumptions!$C$7,D4530)),Assumptions!$D$7,"Other Services"))),"Other Services"))</f>
        <v/>
      </c>
    </row>
    <row r="4531" customFormat="false" ht="15" hidden="false" customHeight="false" outlineLevel="0" collapsed="false">
      <c r="J4531" s="41" t="str">
        <f aca="false">IF(D4531="","",IFERROR(IF(ISNUMBER(SEARCH(Assumptions!$C$5,D4531)),Assumptions!$D$5,IF(ISNUMBER(SEARCH(Assumptions!$C$6,D4531)),Assumptions!$D$6,IF(ISNUMBER(SEARCH(Assumptions!$C$7,D4531)),Assumptions!$D$7,"Other Services"))),"Other Services"))</f>
        <v/>
      </c>
    </row>
    <row r="4532" customFormat="false" ht="15" hidden="false" customHeight="false" outlineLevel="0" collapsed="false">
      <c r="J4532" s="41" t="str">
        <f aca="false">IF(D4532="","",IFERROR(IF(ISNUMBER(SEARCH(Assumptions!$C$5,D4532)),Assumptions!$D$5,IF(ISNUMBER(SEARCH(Assumptions!$C$6,D4532)),Assumptions!$D$6,IF(ISNUMBER(SEARCH(Assumptions!$C$7,D4532)),Assumptions!$D$7,"Other Services"))),"Other Services"))</f>
        <v/>
      </c>
    </row>
    <row r="4533" customFormat="false" ht="15" hidden="false" customHeight="false" outlineLevel="0" collapsed="false">
      <c r="J4533" s="41" t="str">
        <f aca="false">IF(D4533="","",IFERROR(IF(ISNUMBER(SEARCH(Assumptions!$C$5,D4533)),Assumptions!$D$5,IF(ISNUMBER(SEARCH(Assumptions!$C$6,D4533)),Assumptions!$D$6,IF(ISNUMBER(SEARCH(Assumptions!$C$7,D4533)),Assumptions!$D$7,"Other Services"))),"Other Services"))</f>
        <v/>
      </c>
    </row>
    <row r="4534" customFormat="false" ht="15" hidden="false" customHeight="false" outlineLevel="0" collapsed="false">
      <c r="J4534" s="41" t="str">
        <f aca="false">IF(D4534="","",IFERROR(IF(ISNUMBER(SEARCH(Assumptions!$C$5,D4534)),Assumptions!$D$5,IF(ISNUMBER(SEARCH(Assumptions!$C$6,D4534)),Assumptions!$D$6,IF(ISNUMBER(SEARCH(Assumptions!$C$7,D4534)),Assumptions!$D$7,"Other Services"))),"Other Services"))</f>
        <v/>
      </c>
    </row>
    <row r="4535" customFormat="false" ht="15" hidden="false" customHeight="false" outlineLevel="0" collapsed="false">
      <c r="J4535" s="41" t="str">
        <f aca="false">IF(D4535="","",IFERROR(IF(ISNUMBER(SEARCH(Assumptions!$C$5,D4535)),Assumptions!$D$5,IF(ISNUMBER(SEARCH(Assumptions!$C$6,D4535)),Assumptions!$D$6,IF(ISNUMBER(SEARCH(Assumptions!$C$7,D4535)),Assumptions!$D$7,"Other Services"))),"Other Services"))</f>
        <v/>
      </c>
    </row>
    <row r="4536" customFormat="false" ht="15" hidden="false" customHeight="false" outlineLevel="0" collapsed="false">
      <c r="J4536" s="41" t="str">
        <f aca="false">IF(D4536="","",IFERROR(IF(ISNUMBER(SEARCH(Assumptions!$C$5,D4536)),Assumptions!$D$5,IF(ISNUMBER(SEARCH(Assumptions!$C$6,D4536)),Assumptions!$D$6,IF(ISNUMBER(SEARCH(Assumptions!$C$7,D4536)),Assumptions!$D$7,"Other Services"))),"Other Services"))</f>
        <v/>
      </c>
    </row>
    <row r="4537" customFormat="false" ht="15" hidden="false" customHeight="false" outlineLevel="0" collapsed="false">
      <c r="J4537" s="41" t="str">
        <f aca="false">IF(D4537="","",IFERROR(IF(ISNUMBER(SEARCH(Assumptions!$C$5,D4537)),Assumptions!$D$5,IF(ISNUMBER(SEARCH(Assumptions!$C$6,D4537)),Assumptions!$D$6,IF(ISNUMBER(SEARCH(Assumptions!$C$7,D4537)),Assumptions!$D$7,"Other Services"))),"Other Services"))</f>
        <v/>
      </c>
    </row>
    <row r="4538" customFormat="false" ht="15" hidden="false" customHeight="false" outlineLevel="0" collapsed="false">
      <c r="J4538" s="41" t="str">
        <f aca="false">IF(D4538="","",IFERROR(IF(ISNUMBER(SEARCH(Assumptions!$C$5,D4538)),Assumptions!$D$5,IF(ISNUMBER(SEARCH(Assumptions!$C$6,D4538)),Assumptions!$D$6,IF(ISNUMBER(SEARCH(Assumptions!$C$7,D4538)),Assumptions!$D$7,"Other Services"))),"Other Services"))</f>
        <v/>
      </c>
    </row>
    <row r="4539" customFormat="false" ht="15" hidden="false" customHeight="false" outlineLevel="0" collapsed="false">
      <c r="J4539" s="41" t="str">
        <f aca="false">IF(D4539="","",IFERROR(IF(ISNUMBER(SEARCH(Assumptions!$C$5,D4539)),Assumptions!$D$5,IF(ISNUMBER(SEARCH(Assumptions!$C$6,D4539)),Assumptions!$D$6,IF(ISNUMBER(SEARCH(Assumptions!$C$7,D4539)),Assumptions!$D$7,"Other Services"))),"Other Services"))</f>
        <v/>
      </c>
    </row>
    <row r="4540" customFormat="false" ht="15" hidden="false" customHeight="false" outlineLevel="0" collapsed="false">
      <c r="J4540" s="41" t="str">
        <f aca="false">IF(D4540="","",IFERROR(IF(ISNUMBER(SEARCH(Assumptions!$C$5,D4540)),Assumptions!$D$5,IF(ISNUMBER(SEARCH(Assumptions!$C$6,D4540)),Assumptions!$D$6,IF(ISNUMBER(SEARCH(Assumptions!$C$7,D4540)),Assumptions!$D$7,"Other Services"))),"Other Services"))</f>
        <v/>
      </c>
    </row>
    <row r="4541" customFormat="false" ht="15" hidden="false" customHeight="false" outlineLevel="0" collapsed="false">
      <c r="J4541" s="41" t="str">
        <f aca="false">IF(D4541="","",IFERROR(IF(ISNUMBER(SEARCH(Assumptions!$C$5,D4541)),Assumptions!$D$5,IF(ISNUMBER(SEARCH(Assumptions!$C$6,D4541)),Assumptions!$D$6,IF(ISNUMBER(SEARCH(Assumptions!$C$7,D4541)),Assumptions!$D$7,"Other Services"))),"Other Services"))</f>
        <v/>
      </c>
    </row>
    <row r="4542" customFormat="false" ht="15" hidden="false" customHeight="false" outlineLevel="0" collapsed="false">
      <c r="J4542" s="41" t="str">
        <f aca="false">IF(D4542="","",IFERROR(IF(ISNUMBER(SEARCH(Assumptions!$C$5,D4542)),Assumptions!$D$5,IF(ISNUMBER(SEARCH(Assumptions!$C$6,D4542)),Assumptions!$D$6,IF(ISNUMBER(SEARCH(Assumptions!$C$7,D4542)),Assumptions!$D$7,"Other Services"))),"Other Services"))</f>
        <v/>
      </c>
    </row>
    <row r="4543" customFormat="false" ht="15" hidden="false" customHeight="false" outlineLevel="0" collapsed="false">
      <c r="J4543" s="41" t="str">
        <f aca="false">IF(D4543="","",IFERROR(IF(ISNUMBER(SEARCH(Assumptions!$C$5,D4543)),Assumptions!$D$5,IF(ISNUMBER(SEARCH(Assumptions!$C$6,D4543)),Assumptions!$D$6,IF(ISNUMBER(SEARCH(Assumptions!$C$7,D4543)),Assumptions!$D$7,"Other Services"))),"Other Services"))</f>
        <v/>
      </c>
    </row>
    <row r="4544" customFormat="false" ht="15" hidden="false" customHeight="false" outlineLevel="0" collapsed="false">
      <c r="J4544" s="41" t="str">
        <f aca="false">IF(D4544="","",IFERROR(IF(ISNUMBER(SEARCH(Assumptions!$C$5,D4544)),Assumptions!$D$5,IF(ISNUMBER(SEARCH(Assumptions!$C$6,D4544)),Assumptions!$D$6,IF(ISNUMBER(SEARCH(Assumptions!$C$7,D4544)),Assumptions!$D$7,"Other Services"))),"Other Services"))</f>
        <v/>
      </c>
    </row>
    <row r="4545" customFormat="false" ht="15" hidden="false" customHeight="false" outlineLevel="0" collapsed="false">
      <c r="J4545" s="41" t="str">
        <f aca="false">IF(D4545="","",IFERROR(IF(ISNUMBER(SEARCH(Assumptions!$C$5,D4545)),Assumptions!$D$5,IF(ISNUMBER(SEARCH(Assumptions!$C$6,D4545)),Assumptions!$D$6,IF(ISNUMBER(SEARCH(Assumptions!$C$7,D4545)),Assumptions!$D$7,"Other Services"))),"Other Services"))</f>
        <v/>
      </c>
    </row>
    <row r="4546" customFormat="false" ht="15" hidden="false" customHeight="false" outlineLevel="0" collapsed="false">
      <c r="J4546" s="41" t="str">
        <f aca="false">IF(D4546="","",IFERROR(IF(ISNUMBER(SEARCH(Assumptions!$C$5,D4546)),Assumptions!$D$5,IF(ISNUMBER(SEARCH(Assumptions!$C$6,D4546)),Assumptions!$D$6,IF(ISNUMBER(SEARCH(Assumptions!$C$7,D4546)),Assumptions!$D$7,"Other Services"))),"Other Services"))</f>
        <v/>
      </c>
    </row>
    <row r="4547" customFormat="false" ht="15" hidden="false" customHeight="false" outlineLevel="0" collapsed="false">
      <c r="J4547" s="41" t="str">
        <f aca="false">IF(D4547="","",IFERROR(IF(ISNUMBER(SEARCH(Assumptions!$C$5,D4547)),Assumptions!$D$5,IF(ISNUMBER(SEARCH(Assumptions!$C$6,D4547)),Assumptions!$D$6,IF(ISNUMBER(SEARCH(Assumptions!$C$7,D4547)),Assumptions!$D$7,"Other Services"))),"Other Services"))</f>
        <v/>
      </c>
    </row>
    <row r="4548" customFormat="false" ht="15" hidden="false" customHeight="false" outlineLevel="0" collapsed="false">
      <c r="J4548" s="41" t="str">
        <f aca="false">IF(D4548="","",IFERROR(IF(ISNUMBER(SEARCH(Assumptions!$C$5,D4548)),Assumptions!$D$5,IF(ISNUMBER(SEARCH(Assumptions!$C$6,D4548)),Assumptions!$D$6,IF(ISNUMBER(SEARCH(Assumptions!$C$7,D4548)),Assumptions!$D$7,"Other Services"))),"Other Services"))</f>
        <v/>
      </c>
    </row>
    <row r="4549" customFormat="false" ht="15" hidden="false" customHeight="false" outlineLevel="0" collapsed="false">
      <c r="J4549" s="41" t="str">
        <f aca="false">IF(D4549="","",IFERROR(IF(ISNUMBER(SEARCH(Assumptions!$C$5,D4549)),Assumptions!$D$5,IF(ISNUMBER(SEARCH(Assumptions!$C$6,D4549)),Assumptions!$D$6,IF(ISNUMBER(SEARCH(Assumptions!$C$7,D4549)),Assumptions!$D$7,"Other Services"))),"Other Services"))</f>
        <v/>
      </c>
    </row>
    <row r="4550" customFormat="false" ht="15" hidden="false" customHeight="false" outlineLevel="0" collapsed="false">
      <c r="J4550" s="41" t="str">
        <f aca="false">IF(D4550="","",IFERROR(IF(ISNUMBER(SEARCH(Assumptions!$C$5,D4550)),Assumptions!$D$5,IF(ISNUMBER(SEARCH(Assumptions!$C$6,D4550)),Assumptions!$D$6,IF(ISNUMBER(SEARCH(Assumptions!$C$7,D4550)),Assumptions!$D$7,"Other Services"))),"Other Services"))</f>
        <v/>
      </c>
    </row>
    <row r="4551" customFormat="false" ht="15" hidden="false" customHeight="false" outlineLevel="0" collapsed="false">
      <c r="J4551" s="41" t="str">
        <f aca="false">IF(D4551="","",IFERROR(IF(ISNUMBER(SEARCH(Assumptions!$C$5,D4551)),Assumptions!$D$5,IF(ISNUMBER(SEARCH(Assumptions!$C$6,D4551)),Assumptions!$D$6,IF(ISNUMBER(SEARCH(Assumptions!$C$7,D4551)),Assumptions!$D$7,"Other Services"))),"Other Services"))</f>
        <v/>
      </c>
    </row>
    <row r="4552" customFormat="false" ht="15" hidden="false" customHeight="false" outlineLevel="0" collapsed="false">
      <c r="J4552" s="41" t="str">
        <f aca="false">IF(D4552="","",IFERROR(IF(ISNUMBER(SEARCH(Assumptions!$C$5,D4552)),Assumptions!$D$5,IF(ISNUMBER(SEARCH(Assumptions!$C$6,D4552)),Assumptions!$D$6,IF(ISNUMBER(SEARCH(Assumptions!$C$7,D4552)),Assumptions!$D$7,"Other Services"))),"Other Services"))</f>
        <v/>
      </c>
    </row>
    <row r="4553" customFormat="false" ht="15" hidden="false" customHeight="false" outlineLevel="0" collapsed="false">
      <c r="J4553" s="41" t="str">
        <f aca="false">IF(D4553="","",IFERROR(IF(ISNUMBER(SEARCH(Assumptions!$C$5,D4553)),Assumptions!$D$5,IF(ISNUMBER(SEARCH(Assumptions!$C$6,D4553)),Assumptions!$D$6,IF(ISNUMBER(SEARCH(Assumptions!$C$7,D4553)),Assumptions!$D$7,"Other Services"))),"Other Services"))</f>
        <v/>
      </c>
    </row>
    <row r="4554" customFormat="false" ht="15" hidden="false" customHeight="false" outlineLevel="0" collapsed="false">
      <c r="J4554" s="41" t="str">
        <f aca="false">IF(D4554="","",IFERROR(IF(ISNUMBER(SEARCH(Assumptions!$C$5,D4554)),Assumptions!$D$5,IF(ISNUMBER(SEARCH(Assumptions!$C$6,D4554)),Assumptions!$D$6,IF(ISNUMBER(SEARCH(Assumptions!$C$7,D4554)),Assumptions!$D$7,"Other Services"))),"Other Services"))</f>
        <v/>
      </c>
    </row>
    <row r="4555" customFormat="false" ht="15" hidden="false" customHeight="false" outlineLevel="0" collapsed="false">
      <c r="J4555" s="41" t="str">
        <f aca="false">IF(D4555="","",IFERROR(IF(ISNUMBER(SEARCH(Assumptions!$C$5,D4555)),Assumptions!$D$5,IF(ISNUMBER(SEARCH(Assumptions!$C$6,D4555)),Assumptions!$D$6,IF(ISNUMBER(SEARCH(Assumptions!$C$7,D4555)),Assumptions!$D$7,"Other Services"))),"Other Services"))</f>
        <v/>
      </c>
    </row>
    <row r="4556" customFormat="false" ht="15" hidden="false" customHeight="false" outlineLevel="0" collapsed="false">
      <c r="J4556" s="41" t="str">
        <f aca="false">IF(D4556="","",IFERROR(IF(ISNUMBER(SEARCH(Assumptions!$C$5,D4556)),Assumptions!$D$5,IF(ISNUMBER(SEARCH(Assumptions!$C$6,D4556)),Assumptions!$D$6,IF(ISNUMBER(SEARCH(Assumptions!$C$7,D4556)),Assumptions!$D$7,"Other Services"))),"Other Services"))</f>
        <v/>
      </c>
    </row>
    <row r="4557" customFormat="false" ht="15" hidden="false" customHeight="false" outlineLevel="0" collapsed="false">
      <c r="J4557" s="41" t="str">
        <f aca="false">IF(D4557="","",IFERROR(IF(ISNUMBER(SEARCH(Assumptions!$C$5,D4557)),Assumptions!$D$5,IF(ISNUMBER(SEARCH(Assumptions!$C$6,D4557)),Assumptions!$D$6,IF(ISNUMBER(SEARCH(Assumptions!$C$7,D4557)),Assumptions!$D$7,"Other Services"))),"Other Services"))</f>
        <v/>
      </c>
    </row>
    <row r="4558" customFormat="false" ht="15" hidden="false" customHeight="false" outlineLevel="0" collapsed="false">
      <c r="J4558" s="41" t="str">
        <f aca="false">IF(D4558="","",IFERROR(IF(ISNUMBER(SEARCH(Assumptions!$C$5,D4558)),Assumptions!$D$5,IF(ISNUMBER(SEARCH(Assumptions!$C$6,D4558)),Assumptions!$D$6,IF(ISNUMBER(SEARCH(Assumptions!$C$7,D4558)),Assumptions!$D$7,"Other Services"))),"Other Services"))</f>
        <v/>
      </c>
    </row>
    <row r="4559" customFormat="false" ht="15" hidden="false" customHeight="false" outlineLevel="0" collapsed="false">
      <c r="J4559" s="41" t="str">
        <f aca="false">IF(D4559="","",IFERROR(IF(ISNUMBER(SEARCH(Assumptions!$C$5,D4559)),Assumptions!$D$5,IF(ISNUMBER(SEARCH(Assumptions!$C$6,D4559)),Assumptions!$D$6,IF(ISNUMBER(SEARCH(Assumptions!$C$7,D4559)),Assumptions!$D$7,"Other Services"))),"Other Services"))</f>
        <v/>
      </c>
    </row>
    <row r="4560" customFormat="false" ht="15" hidden="false" customHeight="false" outlineLevel="0" collapsed="false">
      <c r="J4560" s="41" t="str">
        <f aca="false">IF(D4560="","",IFERROR(IF(ISNUMBER(SEARCH(Assumptions!$C$5,D4560)),Assumptions!$D$5,IF(ISNUMBER(SEARCH(Assumptions!$C$6,D4560)),Assumptions!$D$6,IF(ISNUMBER(SEARCH(Assumptions!$C$7,D4560)),Assumptions!$D$7,"Other Services"))),"Other Services"))</f>
        <v/>
      </c>
    </row>
    <row r="4561" customFormat="false" ht="15" hidden="false" customHeight="false" outlineLevel="0" collapsed="false">
      <c r="J4561" s="41" t="str">
        <f aca="false">IF(D4561="","",IFERROR(IF(ISNUMBER(SEARCH(Assumptions!$C$5,D4561)),Assumptions!$D$5,IF(ISNUMBER(SEARCH(Assumptions!$C$6,D4561)),Assumptions!$D$6,IF(ISNUMBER(SEARCH(Assumptions!$C$7,D4561)),Assumptions!$D$7,"Other Services"))),"Other Services"))</f>
        <v/>
      </c>
    </row>
    <row r="4562" customFormat="false" ht="15" hidden="false" customHeight="false" outlineLevel="0" collapsed="false">
      <c r="J4562" s="41" t="str">
        <f aca="false">IF(D4562="","",IFERROR(IF(ISNUMBER(SEARCH(Assumptions!$C$5,D4562)),Assumptions!$D$5,IF(ISNUMBER(SEARCH(Assumptions!$C$6,D4562)),Assumptions!$D$6,IF(ISNUMBER(SEARCH(Assumptions!$C$7,D4562)),Assumptions!$D$7,"Other Services"))),"Other Services"))</f>
        <v/>
      </c>
    </row>
    <row r="4563" customFormat="false" ht="15" hidden="false" customHeight="false" outlineLevel="0" collapsed="false">
      <c r="J4563" s="41" t="str">
        <f aca="false">IF(D4563="","",IFERROR(IF(ISNUMBER(SEARCH(Assumptions!$C$5,D4563)),Assumptions!$D$5,IF(ISNUMBER(SEARCH(Assumptions!$C$6,D4563)),Assumptions!$D$6,IF(ISNUMBER(SEARCH(Assumptions!$C$7,D4563)),Assumptions!$D$7,"Other Services"))),"Other Services"))</f>
        <v/>
      </c>
    </row>
    <row r="4564" customFormat="false" ht="15" hidden="false" customHeight="false" outlineLevel="0" collapsed="false">
      <c r="J4564" s="41" t="str">
        <f aca="false">IF(D4564="","",IFERROR(IF(ISNUMBER(SEARCH(Assumptions!$C$5,D4564)),Assumptions!$D$5,IF(ISNUMBER(SEARCH(Assumptions!$C$6,D4564)),Assumptions!$D$6,IF(ISNUMBER(SEARCH(Assumptions!$C$7,D4564)),Assumptions!$D$7,"Other Services"))),"Other Services"))</f>
        <v/>
      </c>
    </row>
    <row r="4565" customFormat="false" ht="15" hidden="false" customHeight="false" outlineLevel="0" collapsed="false">
      <c r="J4565" s="41" t="str">
        <f aca="false">IF(D4565="","",IFERROR(IF(ISNUMBER(SEARCH(Assumptions!$C$5,D4565)),Assumptions!$D$5,IF(ISNUMBER(SEARCH(Assumptions!$C$6,D4565)),Assumptions!$D$6,IF(ISNUMBER(SEARCH(Assumptions!$C$7,D4565)),Assumptions!$D$7,"Other Services"))),"Other Services"))</f>
        <v/>
      </c>
    </row>
    <row r="4566" customFormat="false" ht="15" hidden="false" customHeight="false" outlineLevel="0" collapsed="false">
      <c r="J4566" s="41" t="str">
        <f aca="false">IF(D4566="","",IFERROR(IF(ISNUMBER(SEARCH(Assumptions!$C$5,D4566)),Assumptions!$D$5,IF(ISNUMBER(SEARCH(Assumptions!$C$6,D4566)),Assumptions!$D$6,IF(ISNUMBER(SEARCH(Assumptions!$C$7,D4566)),Assumptions!$D$7,"Other Services"))),"Other Services"))</f>
        <v/>
      </c>
    </row>
    <row r="4567" customFormat="false" ht="15" hidden="false" customHeight="false" outlineLevel="0" collapsed="false">
      <c r="J4567" s="41" t="str">
        <f aca="false">IF(D4567="","",IFERROR(IF(ISNUMBER(SEARCH(Assumptions!$C$5,D4567)),Assumptions!$D$5,IF(ISNUMBER(SEARCH(Assumptions!$C$6,D4567)),Assumptions!$D$6,IF(ISNUMBER(SEARCH(Assumptions!$C$7,D4567)),Assumptions!$D$7,"Other Services"))),"Other Services"))</f>
        <v/>
      </c>
    </row>
    <row r="4568" customFormat="false" ht="15" hidden="false" customHeight="false" outlineLevel="0" collapsed="false">
      <c r="J4568" s="41" t="str">
        <f aca="false">IF(D4568="","",IFERROR(IF(ISNUMBER(SEARCH(Assumptions!$C$5,D4568)),Assumptions!$D$5,IF(ISNUMBER(SEARCH(Assumptions!$C$6,D4568)),Assumptions!$D$6,IF(ISNUMBER(SEARCH(Assumptions!$C$7,D4568)),Assumptions!$D$7,"Other Services"))),"Other Services"))</f>
        <v/>
      </c>
    </row>
    <row r="4569" customFormat="false" ht="15" hidden="false" customHeight="false" outlineLevel="0" collapsed="false">
      <c r="J4569" s="41" t="str">
        <f aca="false">IF(D4569="","",IFERROR(IF(ISNUMBER(SEARCH(Assumptions!$C$5,D4569)),Assumptions!$D$5,IF(ISNUMBER(SEARCH(Assumptions!$C$6,D4569)),Assumptions!$D$6,IF(ISNUMBER(SEARCH(Assumptions!$C$7,D4569)),Assumptions!$D$7,"Other Services"))),"Other Services"))</f>
        <v/>
      </c>
    </row>
    <row r="4570" customFormat="false" ht="15" hidden="false" customHeight="false" outlineLevel="0" collapsed="false">
      <c r="J4570" s="41" t="str">
        <f aca="false">IF(D4570="","",IFERROR(IF(ISNUMBER(SEARCH(Assumptions!$C$5,D4570)),Assumptions!$D$5,IF(ISNUMBER(SEARCH(Assumptions!$C$6,D4570)),Assumptions!$D$6,IF(ISNUMBER(SEARCH(Assumptions!$C$7,D4570)),Assumptions!$D$7,"Other Services"))),"Other Services"))</f>
        <v/>
      </c>
    </row>
    <row r="4571" customFormat="false" ht="15" hidden="false" customHeight="false" outlineLevel="0" collapsed="false">
      <c r="J4571" s="41" t="str">
        <f aca="false">IF(D4571="","",IFERROR(IF(ISNUMBER(SEARCH(Assumptions!$C$5,D4571)),Assumptions!$D$5,IF(ISNUMBER(SEARCH(Assumptions!$C$6,D4571)),Assumptions!$D$6,IF(ISNUMBER(SEARCH(Assumptions!$C$7,D4571)),Assumptions!$D$7,"Other Services"))),"Other Services"))</f>
        <v/>
      </c>
    </row>
    <row r="4572" customFormat="false" ht="15" hidden="false" customHeight="false" outlineLevel="0" collapsed="false">
      <c r="J4572" s="41" t="str">
        <f aca="false">IF(D4572="","",IFERROR(IF(ISNUMBER(SEARCH(Assumptions!$C$5,D4572)),Assumptions!$D$5,IF(ISNUMBER(SEARCH(Assumptions!$C$6,D4572)),Assumptions!$D$6,IF(ISNUMBER(SEARCH(Assumptions!$C$7,D4572)),Assumptions!$D$7,"Other Services"))),"Other Services"))</f>
        <v/>
      </c>
    </row>
    <row r="4573" customFormat="false" ht="15" hidden="false" customHeight="false" outlineLevel="0" collapsed="false">
      <c r="J4573" s="41" t="str">
        <f aca="false">IF(D4573="","",IFERROR(IF(ISNUMBER(SEARCH(Assumptions!$C$5,D4573)),Assumptions!$D$5,IF(ISNUMBER(SEARCH(Assumptions!$C$6,D4573)),Assumptions!$D$6,IF(ISNUMBER(SEARCH(Assumptions!$C$7,D4573)),Assumptions!$D$7,"Other Services"))),"Other Services"))</f>
        <v/>
      </c>
    </row>
    <row r="4574" customFormat="false" ht="15" hidden="false" customHeight="false" outlineLevel="0" collapsed="false">
      <c r="J4574" s="41" t="str">
        <f aca="false">IF(D4574="","",IFERROR(IF(ISNUMBER(SEARCH(Assumptions!$C$5,D4574)),Assumptions!$D$5,IF(ISNUMBER(SEARCH(Assumptions!$C$6,D4574)),Assumptions!$D$6,IF(ISNUMBER(SEARCH(Assumptions!$C$7,D4574)),Assumptions!$D$7,"Other Services"))),"Other Services"))</f>
        <v/>
      </c>
    </row>
    <row r="4575" customFormat="false" ht="15" hidden="false" customHeight="false" outlineLevel="0" collapsed="false">
      <c r="J4575" s="41" t="str">
        <f aca="false">IF(D4575="","",IFERROR(IF(ISNUMBER(SEARCH(Assumptions!$C$5,D4575)),Assumptions!$D$5,IF(ISNUMBER(SEARCH(Assumptions!$C$6,D4575)),Assumptions!$D$6,IF(ISNUMBER(SEARCH(Assumptions!$C$7,D4575)),Assumptions!$D$7,"Other Services"))),"Other Services"))</f>
        <v/>
      </c>
    </row>
    <row r="4576" customFormat="false" ht="15" hidden="false" customHeight="false" outlineLevel="0" collapsed="false">
      <c r="J4576" s="41" t="str">
        <f aca="false">IF(D4576="","",IFERROR(IF(ISNUMBER(SEARCH(Assumptions!$C$5,D4576)),Assumptions!$D$5,IF(ISNUMBER(SEARCH(Assumptions!$C$6,D4576)),Assumptions!$D$6,IF(ISNUMBER(SEARCH(Assumptions!$C$7,D4576)),Assumptions!$D$7,"Other Services"))),"Other Services"))</f>
        <v/>
      </c>
    </row>
    <row r="4577" customFormat="false" ht="15" hidden="false" customHeight="false" outlineLevel="0" collapsed="false">
      <c r="J4577" s="41" t="str">
        <f aca="false">IF(D4577="","",IFERROR(IF(ISNUMBER(SEARCH(Assumptions!$C$5,D4577)),Assumptions!$D$5,IF(ISNUMBER(SEARCH(Assumptions!$C$6,D4577)),Assumptions!$D$6,IF(ISNUMBER(SEARCH(Assumptions!$C$7,D4577)),Assumptions!$D$7,"Other Services"))),"Other Services"))</f>
        <v/>
      </c>
    </row>
    <row r="4578" customFormat="false" ht="15" hidden="false" customHeight="false" outlineLevel="0" collapsed="false">
      <c r="J4578" s="41" t="str">
        <f aca="false">IF(D4578="","",IFERROR(IF(ISNUMBER(SEARCH(Assumptions!$C$5,D4578)),Assumptions!$D$5,IF(ISNUMBER(SEARCH(Assumptions!$C$6,D4578)),Assumptions!$D$6,IF(ISNUMBER(SEARCH(Assumptions!$C$7,D4578)),Assumptions!$D$7,"Other Services"))),"Other Services"))</f>
        <v/>
      </c>
    </row>
    <row r="4579" customFormat="false" ht="15" hidden="false" customHeight="false" outlineLevel="0" collapsed="false">
      <c r="J4579" s="41" t="str">
        <f aca="false">IF(D4579="","",IFERROR(IF(ISNUMBER(SEARCH(Assumptions!$C$5,D4579)),Assumptions!$D$5,IF(ISNUMBER(SEARCH(Assumptions!$C$6,D4579)),Assumptions!$D$6,IF(ISNUMBER(SEARCH(Assumptions!$C$7,D4579)),Assumptions!$D$7,"Other Services"))),"Other Services"))</f>
        <v/>
      </c>
    </row>
    <row r="4580" customFormat="false" ht="15" hidden="false" customHeight="false" outlineLevel="0" collapsed="false">
      <c r="J4580" s="41" t="str">
        <f aca="false">IF(D4580="","",IFERROR(IF(ISNUMBER(SEARCH(Assumptions!$C$5,D4580)),Assumptions!$D$5,IF(ISNUMBER(SEARCH(Assumptions!$C$6,D4580)),Assumptions!$D$6,IF(ISNUMBER(SEARCH(Assumptions!$C$7,D4580)),Assumptions!$D$7,"Other Services"))),"Other Services"))</f>
        <v/>
      </c>
    </row>
    <row r="4581" customFormat="false" ht="15" hidden="false" customHeight="false" outlineLevel="0" collapsed="false">
      <c r="J4581" s="41" t="str">
        <f aca="false">IF(D4581="","",IFERROR(IF(ISNUMBER(SEARCH(Assumptions!$C$5,D4581)),Assumptions!$D$5,IF(ISNUMBER(SEARCH(Assumptions!$C$6,D4581)),Assumptions!$D$6,IF(ISNUMBER(SEARCH(Assumptions!$C$7,D4581)),Assumptions!$D$7,"Other Services"))),"Other Services"))</f>
        <v/>
      </c>
    </row>
    <row r="4582" customFormat="false" ht="15" hidden="false" customHeight="false" outlineLevel="0" collapsed="false">
      <c r="J4582" s="41" t="str">
        <f aca="false">IF(D4582="","",IFERROR(IF(ISNUMBER(SEARCH(Assumptions!$C$5,D4582)),Assumptions!$D$5,IF(ISNUMBER(SEARCH(Assumptions!$C$6,D4582)),Assumptions!$D$6,IF(ISNUMBER(SEARCH(Assumptions!$C$7,D4582)),Assumptions!$D$7,"Other Services"))),"Other Services"))</f>
        <v/>
      </c>
    </row>
    <row r="4583" customFormat="false" ht="15" hidden="false" customHeight="false" outlineLevel="0" collapsed="false">
      <c r="J4583" s="41" t="str">
        <f aca="false">IF(D4583="","",IFERROR(IF(ISNUMBER(SEARCH(Assumptions!$C$5,D4583)),Assumptions!$D$5,IF(ISNUMBER(SEARCH(Assumptions!$C$6,D4583)),Assumptions!$D$6,IF(ISNUMBER(SEARCH(Assumptions!$C$7,D4583)),Assumptions!$D$7,"Other Services"))),"Other Services"))</f>
        <v/>
      </c>
    </row>
    <row r="4584" customFormat="false" ht="15" hidden="false" customHeight="false" outlineLevel="0" collapsed="false">
      <c r="J4584" s="41" t="str">
        <f aca="false">IF(D4584="","",IFERROR(IF(ISNUMBER(SEARCH(Assumptions!$C$5,D4584)),Assumptions!$D$5,IF(ISNUMBER(SEARCH(Assumptions!$C$6,D4584)),Assumptions!$D$6,IF(ISNUMBER(SEARCH(Assumptions!$C$7,D4584)),Assumptions!$D$7,"Other Services"))),"Other Services"))</f>
        <v/>
      </c>
    </row>
    <row r="4585" customFormat="false" ht="15" hidden="false" customHeight="false" outlineLevel="0" collapsed="false">
      <c r="J4585" s="41" t="str">
        <f aca="false">IF(D4585="","",IFERROR(IF(ISNUMBER(SEARCH(Assumptions!$C$5,D4585)),Assumptions!$D$5,IF(ISNUMBER(SEARCH(Assumptions!$C$6,D4585)),Assumptions!$D$6,IF(ISNUMBER(SEARCH(Assumptions!$C$7,D4585)),Assumptions!$D$7,"Other Services"))),"Other Services"))</f>
        <v/>
      </c>
    </row>
    <row r="4586" customFormat="false" ht="15" hidden="false" customHeight="false" outlineLevel="0" collapsed="false">
      <c r="J4586" s="41" t="str">
        <f aca="false">IF(D4586="","",IFERROR(IF(ISNUMBER(SEARCH(Assumptions!$C$5,D4586)),Assumptions!$D$5,IF(ISNUMBER(SEARCH(Assumptions!$C$6,D4586)),Assumptions!$D$6,IF(ISNUMBER(SEARCH(Assumptions!$C$7,D4586)),Assumptions!$D$7,"Other Services"))),"Other Services"))</f>
        <v/>
      </c>
    </row>
    <row r="4587" customFormat="false" ht="15" hidden="false" customHeight="false" outlineLevel="0" collapsed="false">
      <c r="J4587" s="41" t="str">
        <f aca="false">IF(D4587="","",IFERROR(IF(ISNUMBER(SEARCH(Assumptions!$C$5,D4587)),Assumptions!$D$5,IF(ISNUMBER(SEARCH(Assumptions!$C$6,D4587)),Assumptions!$D$6,IF(ISNUMBER(SEARCH(Assumptions!$C$7,D4587)),Assumptions!$D$7,"Other Services"))),"Other Services"))</f>
        <v/>
      </c>
    </row>
    <row r="4588" customFormat="false" ht="15" hidden="false" customHeight="false" outlineLevel="0" collapsed="false">
      <c r="J4588" s="41" t="str">
        <f aca="false">IF(D4588="","",IFERROR(IF(ISNUMBER(SEARCH(Assumptions!$C$5,D4588)),Assumptions!$D$5,IF(ISNUMBER(SEARCH(Assumptions!$C$6,D4588)),Assumptions!$D$6,IF(ISNUMBER(SEARCH(Assumptions!$C$7,D4588)),Assumptions!$D$7,"Other Services"))),"Other Services"))</f>
        <v/>
      </c>
    </row>
    <row r="4589" customFormat="false" ht="15" hidden="false" customHeight="false" outlineLevel="0" collapsed="false">
      <c r="J4589" s="41" t="str">
        <f aca="false">IF(D4589="","",IFERROR(IF(ISNUMBER(SEARCH(Assumptions!$C$5,D4589)),Assumptions!$D$5,IF(ISNUMBER(SEARCH(Assumptions!$C$6,D4589)),Assumptions!$D$6,IF(ISNUMBER(SEARCH(Assumptions!$C$7,D4589)),Assumptions!$D$7,"Other Services"))),"Other Services"))</f>
        <v/>
      </c>
    </row>
    <row r="4590" customFormat="false" ht="15" hidden="false" customHeight="false" outlineLevel="0" collapsed="false">
      <c r="J4590" s="41" t="str">
        <f aca="false">IF(D4590="","",IFERROR(IF(ISNUMBER(SEARCH(Assumptions!$C$5,D4590)),Assumptions!$D$5,IF(ISNUMBER(SEARCH(Assumptions!$C$6,D4590)),Assumptions!$D$6,IF(ISNUMBER(SEARCH(Assumptions!$C$7,D4590)),Assumptions!$D$7,"Other Services"))),"Other Services"))</f>
        <v/>
      </c>
    </row>
    <row r="4591" customFormat="false" ht="15" hidden="false" customHeight="false" outlineLevel="0" collapsed="false">
      <c r="J4591" s="41" t="str">
        <f aca="false">IF(D4591="","",IFERROR(IF(ISNUMBER(SEARCH(Assumptions!$C$5,D4591)),Assumptions!$D$5,IF(ISNUMBER(SEARCH(Assumptions!$C$6,D4591)),Assumptions!$D$6,IF(ISNUMBER(SEARCH(Assumptions!$C$7,D4591)),Assumptions!$D$7,"Other Services"))),"Other Services"))</f>
        <v/>
      </c>
    </row>
    <row r="4592" customFormat="false" ht="15" hidden="false" customHeight="false" outlineLevel="0" collapsed="false">
      <c r="J4592" s="41" t="str">
        <f aca="false">IF(D4592="","",IFERROR(IF(ISNUMBER(SEARCH(Assumptions!$C$5,D4592)),Assumptions!$D$5,IF(ISNUMBER(SEARCH(Assumptions!$C$6,D4592)),Assumptions!$D$6,IF(ISNUMBER(SEARCH(Assumptions!$C$7,D4592)),Assumptions!$D$7,"Other Services"))),"Other Services"))</f>
        <v/>
      </c>
    </row>
    <row r="4593" customFormat="false" ht="15" hidden="false" customHeight="false" outlineLevel="0" collapsed="false">
      <c r="J4593" s="41" t="str">
        <f aca="false">IF(D4593="","",IFERROR(IF(ISNUMBER(SEARCH(Assumptions!$C$5,D4593)),Assumptions!$D$5,IF(ISNUMBER(SEARCH(Assumptions!$C$6,D4593)),Assumptions!$D$6,IF(ISNUMBER(SEARCH(Assumptions!$C$7,D4593)),Assumptions!$D$7,"Other Services"))),"Other Services"))</f>
        <v/>
      </c>
    </row>
    <row r="4594" customFormat="false" ht="15" hidden="false" customHeight="false" outlineLevel="0" collapsed="false">
      <c r="J4594" s="41" t="str">
        <f aca="false">IF(D4594="","",IFERROR(IF(ISNUMBER(SEARCH(Assumptions!$C$5,D4594)),Assumptions!$D$5,IF(ISNUMBER(SEARCH(Assumptions!$C$6,D4594)),Assumptions!$D$6,IF(ISNUMBER(SEARCH(Assumptions!$C$7,D4594)),Assumptions!$D$7,"Other Services"))),"Other Services"))</f>
        <v/>
      </c>
    </row>
    <row r="4595" customFormat="false" ht="15" hidden="false" customHeight="false" outlineLevel="0" collapsed="false">
      <c r="J4595" s="41" t="str">
        <f aca="false">IF(D4595="","",IFERROR(IF(ISNUMBER(SEARCH(Assumptions!$C$5,D4595)),Assumptions!$D$5,IF(ISNUMBER(SEARCH(Assumptions!$C$6,D4595)),Assumptions!$D$6,IF(ISNUMBER(SEARCH(Assumptions!$C$7,D4595)),Assumptions!$D$7,"Other Services"))),"Other Services"))</f>
        <v/>
      </c>
    </row>
    <row r="4596" customFormat="false" ht="15" hidden="false" customHeight="false" outlineLevel="0" collapsed="false">
      <c r="J4596" s="41" t="str">
        <f aca="false">IF(D4596="","",IFERROR(IF(ISNUMBER(SEARCH(Assumptions!$C$5,D4596)),Assumptions!$D$5,IF(ISNUMBER(SEARCH(Assumptions!$C$6,D4596)),Assumptions!$D$6,IF(ISNUMBER(SEARCH(Assumptions!$C$7,D4596)),Assumptions!$D$7,"Other Services"))),"Other Services"))</f>
        <v/>
      </c>
    </row>
    <row r="4597" customFormat="false" ht="15" hidden="false" customHeight="false" outlineLevel="0" collapsed="false">
      <c r="J4597" s="41" t="str">
        <f aca="false">IF(D4597="","",IFERROR(IF(ISNUMBER(SEARCH(Assumptions!$C$5,D4597)),Assumptions!$D$5,IF(ISNUMBER(SEARCH(Assumptions!$C$6,D4597)),Assumptions!$D$6,IF(ISNUMBER(SEARCH(Assumptions!$C$7,D4597)),Assumptions!$D$7,"Other Services"))),"Other Services"))</f>
        <v/>
      </c>
    </row>
    <row r="4598" customFormat="false" ht="15" hidden="false" customHeight="false" outlineLevel="0" collapsed="false">
      <c r="J4598" s="41" t="str">
        <f aca="false">IF(D4598="","",IFERROR(IF(ISNUMBER(SEARCH(Assumptions!$C$5,D4598)),Assumptions!$D$5,IF(ISNUMBER(SEARCH(Assumptions!$C$6,D4598)),Assumptions!$D$6,IF(ISNUMBER(SEARCH(Assumptions!$C$7,D4598)),Assumptions!$D$7,"Other Services"))),"Other Services"))</f>
        <v/>
      </c>
    </row>
    <row r="4599" customFormat="false" ht="15" hidden="false" customHeight="false" outlineLevel="0" collapsed="false">
      <c r="J4599" s="41" t="str">
        <f aca="false">IF(D4599="","",IFERROR(IF(ISNUMBER(SEARCH(Assumptions!$C$5,D4599)),Assumptions!$D$5,IF(ISNUMBER(SEARCH(Assumptions!$C$6,D4599)),Assumptions!$D$6,IF(ISNUMBER(SEARCH(Assumptions!$C$7,D4599)),Assumptions!$D$7,"Other Services"))),"Other Services"))</f>
        <v/>
      </c>
    </row>
    <row r="4600" customFormat="false" ht="15" hidden="false" customHeight="false" outlineLevel="0" collapsed="false">
      <c r="J4600" s="41" t="str">
        <f aca="false">IF(D4600="","",IFERROR(IF(ISNUMBER(SEARCH(Assumptions!$C$5,D4600)),Assumptions!$D$5,IF(ISNUMBER(SEARCH(Assumptions!$C$6,D4600)),Assumptions!$D$6,IF(ISNUMBER(SEARCH(Assumptions!$C$7,D4600)),Assumptions!$D$7,"Other Services"))),"Other Services"))</f>
        <v/>
      </c>
    </row>
    <row r="4601" customFormat="false" ht="15" hidden="false" customHeight="false" outlineLevel="0" collapsed="false">
      <c r="J4601" s="41" t="str">
        <f aca="false">IF(D4601="","",IFERROR(IF(ISNUMBER(SEARCH(Assumptions!$C$5,D4601)),Assumptions!$D$5,IF(ISNUMBER(SEARCH(Assumptions!$C$6,D4601)),Assumptions!$D$6,IF(ISNUMBER(SEARCH(Assumptions!$C$7,D4601)),Assumptions!$D$7,"Other Services"))),"Other Services"))</f>
        <v/>
      </c>
    </row>
    <row r="4602" customFormat="false" ht="15" hidden="false" customHeight="false" outlineLevel="0" collapsed="false">
      <c r="J4602" s="41" t="str">
        <f aca="false">IF(D4602="","",IFERROR(IF(ISNUMBER(SEARCH(Assumptions!$C$5,D4602)),Assumptions!$D$5,IF(ISNUMBER(SEARCH(Assumptions!$C$6,D4602)),Assumptions!$D$6,IF(ISNUMBER(SEARCH(Assumptions!$C$7,D4602)),Assumptions!$D$7,"Other Services"))),"Other Services"))</f>
        <v/>
      </c>
    </row>
    <row r="4603" customFormat="false" ht="15" hidden="false" customHeight="false" outlineLevel="0" collapsed="false">
      <c r="J4603" s="41" t="str">
        <f aca="false">IF(D4603="","",IFERROR(IF(ISNUMBER(SEARCH(Assumptions!$C$5,D4603)),Assumptions!$D$5,IF(ISNUMBER(SEARCH(Assumptions!$C$6,D4603)),Assumptions!$D$6,IF(ISNUMBER(SEARCH(Assumptions!$C$7,D4603)),Assumptions!$D$7,"Other Services"))),"Other Services"))</f>
        <v/>
      </c>
    </row>
    <row r="4604" customFormat="false" ht="15" hidden="false" customHeight="false" outlineLevel="0" collapsed="false">
      <c r="J4604" s="41" t="str">
        <f aca="false">IF(D4604="","",IFERROR(IF(ISNUMBER(SEARCH(Assumptions!$C$5,D4604)),Assumptions!$D$5,IF(ISNUMBER(SEARCH(Assumptions!$C$6,D4604)),Assumptions!$D$6,IF(ISNUMBER(SEARCH(Assumptions!$C$7,D4604)),Assumptions!$D$7,"Other Services"))),"Other Services"))</f>
        <v/>
      </c>
    </row>
    <row r="4605" customFormat="false" ht="15" hidden="false" customHeight="false" outlineLevel="0" collapsed="false">
      <c r="J4605" s="41" t="str">
        <f aca="false">IF(D4605="","",IFERROR(IF(ISNUMBER(SEARCH(Assumptions!$C$5,D4605)),Assumptions!$D$5,IF(ISNUMBER(SEARCH(Assumptions!$C$6,D4605)),Assumptions!$D$6,IF(ISNUMBER(SEARCH(Assumptions!$C$7,D4605)),Assumptions!$D$7,"Other Services"))),"Other Services"))</f>
        <v/>
      </c>
    </row>
    <row r="4606" customFormat="false" ht="15" hidden="false" customHeight="false" outlineLevel="0" collapsed="false">
      <c r="J4606" s="41" t="str">
        <f aca="false">IF(D4606="","",IFERROR(IF(ISNUMBER(SEARCH(Assumptions!$C$5,D4606)),Assumptions!$D$5,IF(ISNUMBER(SEARCH(Assumptions!$C$6,D4606)),Assumptions!$D$6,IF(ISNUMBER(SEARCH(Assumptions!$C$7,D4606)),Assumptions!$D$7,"Other Services"))),"Other Services"))</f>
        <v/>
      </c>
    </row>
    <row r="4607" customFormat="false" ht="15" hidden="false" customHeight="false" outlineLevel="0" collapsed="false">
      <c r="J4607" s="41" t="str">
        <f aca="false">IF(D4607="","",IFERROR(IF(ISNUMBER(SEARCH(Assumptions!$C$5,D4607)),Assumptions!$D$5,IF(ISNUMBER(SEARCH(Assumptions!$C$6,D4607)),Assumptions!$D$6,IF(ISNUMBER(SEARCH(Assumptions!$C$7,D4607)),Assumptions!$D$7,"Other Services"))),"Other Services"))</f>
        <v/>
      </c>
    </row>
    <row r="4608" customFormat="false" ht="15" hidden="false" customHeight="false" outlineLevel="0" collapsed="false">
      <c r="J4608" s="41" t="str">
        <f aca="false">IF(D4608="","",IFERROR(IF(ISNUMBER(SEARCH(Assumptions!$C$5,D4608)),Assumptions!$D$5,IF(ISNUMBER(SEARCH(Assumptions!$C$6,D4608)),Assumptions!$D$6,IF(ISNUMBER(SEARCH(Assumptions!$C$7,D4608)),Assumptions!$D$7,"Other Services"))),"Other Services"))</f>
        <v/>
      </c>
    </row>
    <row r="4609" customFormat="false" ht="15" hidden="false" customHeight="false" outlineLevel="0" collapsed="false">
      <c r="J4609" s="41" t="str">
        <f aca="false">IF(D4609="","",IFERROR(IF(ISNUMBER(SEARCH(Assumptions!$C$5,D4609)),Assumptions!$D$5,IF(ISNUMBER(SEARCH(Assumptions!$C$6,D4609)),Assumptions!$D$6,IF(ISNUMBER(SEARCH(Assumptions!$C$7,D4609)),Assumptions!$D$7,"Other Services"))),"Other Services"))</f>
        <v/>
      </c>
    </row>
    <row r="4610" customFormat="false" ht="15" hidden="false" customHeight="false" outlineLevel="0" collapsed="false">
      <c r="J4610" s="41" t="str">
        <f aca="false">IF(D4610="","",IFERROR(IF(ISNUMBER(SEARCH(Assumptions!$C$5,D4610)),Assumptions!$D$5,IF(ISNUMBER(SEARCH(Assumptions!$C$6,D4610)),Assumptions!$D$6,IF(ISNUMBER(SEARCH(Assumptions!$C$7,D4610)),Assumptions!$D$7,"Other Services"))),"Other Services"))</f>
        <v/>
      </c>
    </row>
    <row r="4611" customFormat="false" ht="15" hidden="false" customHeight="false" outlineLevel="0" collapsed="false">
      <c r="J4611" s="41" t="str">
        <f aca="false">IF(D4611="","",IFERROR(IF(ISNUMBER(SEARCH(Assumptions!$C$5,D4611)),Assumptions!$D$5,IF(ISNUMBER(SEARCH(Assumptions!$C$6,D4611)),Assumptions!$D$6,IF(ISNUMBER(SEARCH(Assumptions!$C$7,D4611)),Assumptions!$D$7,"Other Services"))),"Other Services"))</f>
        <v/>
      </c>
    </row>
    <row r="4612" customFormat="false" ht="15" hidden="false" customHeight="false" outlineLevel="0" collapsed="false">
      <c r="J4612" s="41" t="str">
        <f aca="false">IF(D4612="","",IFERROR(IF(ISNUMBER(SEARCH(Assumptions!$C$5,D4612)),Assumptions!$D$5,IF(ISNUMBER(SEARCH(Assumptions!$C$6,D4612)),Assumptions!$D$6,IF(ISNUMBER(SEARCH(Assumptions!$C$7,D4612)),Assumptions!$D$7,"Other Services"))),"Other Services"))</f>
        <v/>
      </c>
    </row>
    <row r="4613" customFormat="false" ht="15" hidden="false" customHeight="false" outlineLevel="0" collapsed="false">
      <c r="J4613" s="41" t="str">
        <f aca="false">IF(D4613="","",IFERROR(IF(ISNUMBER(SEARCH(Assumptions!$C$5,D4613)),Assumptions!$D$5,IF(ISNUMBER(SEARCH(Assumptions!$C$6,D4613)),Assumptions!$D$6,IF(ISNUMBER(SEARCH(Assumptions!$C$7,D4613)),Assumptions!$D$7,"Other Services"))),"Other Services"))</f>
        <v/>
      </c>
    </row>
    <row r="4614" customFormat="false" ht="15" hidden="false" customHeight="false" outlineLevel="0" collapsed="false">
      <c r="J4614" s="41" t="str">
        <f aca="false">IF(D4614="","",IFERROR(IF(ISNUMBER(SEARCH(Assumptions!$C$5,D4614)),Assumptions!$D$5,IF(ISNUMBER(SEARCH(Assumptions!$C$6,D4614)),Assumptions!$D$6,IF(ISNUMBER(SEARCH(Assumptions!$C$7,D4614)),Assumptions!$D$7,"Other Services"))),"Other Services"))</f>
        <v/>
      </c>
    </row>
    <row r="4615" customFormat="false" ht="15" hidden="false" customHeight="false" outlineLevel="0" collapsed="false">
      <c r="J4615" s="41" t="str">
        <f aca="false">IF(D4615="","",IFERROR(IF(ISNUMBER(SEARCH(Assumptions!$C$5,D4615)),Assumptions!$D$5,IF(ISNUMBER(SEARCH(Assumptions!$C$6,D4615)),Assumptions!$D$6,IF(ISNUMBER(SEARCH(Assumptions!$C$7,D4615)),Assumptions!$D$7,"Other Services"))),"Other Services"))</f>
        <v/>
      </c>
    </row>
    <row r="4616" customFormat="false" ht="15" hidden="false" customHeight="false" outlineLevel="0" collapsed="false">
      <c r="J4616" s="41" t="str">
        <f aca="false">IF(D4616="","",IFERROR(IF(ISNUMBER(SEARCH(Assumptions!$C$5,D4616)),Assumptions!$D$5,IF(ISNUMBER(SEARCH(Assumptions!$C$6,D4616)),Assumptions!$D$6,IF(ISNUMBER(SEARCH(Assumptions!$C$7,D4616)),Assumptions!$D$7,"Other Services"))),"Other Services"))</f>
        <v/>
      </c>
    </row>
    <row r="4617" customFormat="false" ht="15" hidden="false" customHeight="false" outlineLevel="0" collapsed="false">
      <c r="J4617" s="41" t="str">
        <f aca="false">IF(D4617="","",IFERROR(IF(ISNUMBER(SEARCH(Assumptions!$C$5,D4617)),Assumptions!$D$5,IF(ISNUMBER(SEARCH(Assumptions!$C$6,D4617)),Assumptions!$D$6,IF(ISNUMBER(SEARCH(Assumptions!$C$7,D4617)),Assumptions!$D$7,"Other Services"))),"Other Services"))</f>
        <v/>
      </c>
    </row>
    <row r="4618" customFormat="false" ht="15" hidden="false" customHeight="false" outlineLevel="0" collapsed="false">
      <c r="J4618" s="41" t="str">
        <f aca="false">IF(D4618="","",IFERROR(IF(ISNUMBER(SEARCH(Assumptions!$C$5,D4618)),Assumptions!$D$5,IF(ISNUMBER(SEARCH(Assumptions!$C$6,D4618)),Assumptions!$D$6,IF(ISNUMBER(SEARCH(Assumptions!$C$7,D4618)),Assumptions!$D$7,"Other Services"))),"Other Services"))</f>
        <v/>
      </c>
    </row>
    <row r="4619" customFormat="false" ht="15" hidden="false" customHeight="false" outlineLevel="0" collapsed="false">
      <c r="J4619" s="41" t="str">
        <f aca="false">IF(D4619="","",IFERROR(IF(ISNUMBER(SEARCH(Assumptions!$C$5,D4619)),Assumptions!$D$5,IF(ISNUMBER(SEARCH(Assumptions!$C$6,D4619)),Assumptions!$D$6,IF(ISNUMBER(SEARCH(Assumptions!$C$7,D4619)),Assumptions!$D$7,"Other Services"))),"Other Services"))</f>
        <v/>
      </c>
    </row>
    <row r="4620" customFormat="false" ht="15" hidden="false" customHeight="false" outlineLevel="0" collapsed="false">
      <c r="J4620" s="41" t="str">
        <f aca="false">IF(D4620="","",IFERROR(IF(ISNUMBER(SEARCH(Assumptions!$C$5,D4620)),Assumptions!$D$5,IF(ISNUMBER(SEARCH(Assumptions!$C$6,D4620)),Assumptions!$D$6,IF(ISNUMBER(SEARCH(Assumptions!$C$7,D4620)),Assumptions!$D$7,"Other Services"))),"Other Services"))</f>
        <v/>
      </c>
    </row>
    <row r="4621" customFormat="false" ht="15" hidden="false" customHeight="false" outlineLevel="0" collapsed="false">
      <c r="J4621" s="41" t="str">
        <f aca="false">IF(D4621="","",IFERROR(IF(ISNUMBER(SEARCH(Assumptions!$C$5,D4621)),Assumptions!$D$5,IF(ISNUMBER(SEARCH(Assumptions!$C$6,D4621)),Assumptions!$D$6,IF(ISNUMBER(SEARCH(Assumptions!$C$7,D4621)),Assumptions!$D$7,"Other Services"))),"Other Services"))</f>
        <v/>
      </c>
    </row>
    <row r="4622" customFormat="false" ht="15" hidden="false" customHeight="false" outlineLevel="0" collapsed="false">
      <c r="J4622" s="41" t="str">
        <f aca="false">IF(D4622="","",IFERROR(IF(ISNUMBER(SEARCH(Assumptions!$C$5,D4622)),Assumptions!$D$5,IF(ISNUMBER(SEARCH(Assumptions!$C$6,D4622)),Assumptions!$D$6,IF(ISNUMBER(SEARCH(Assumptions!$C$7,D4622)),Assumptions!$D$7,"Other Services"))),"Other Services"))</f>
        <v/>
      </c>
    </row>
    <row r="4623" customFormat="false" ht="15" hidden="false" customHeight="false" outlineLevel="0" collapsed="false">
      <c r="J4623" s="41" t="str">
        <f aca="false">IF(D4623="","",IFERROR(IF(ISNUMBER(SEARCH(Assumptions!$C$5,D4623)),Assumptions!$D$5,IF(ISNUMBER(SEARCH(Assumptions!$C$6,D4623)),Assumptions!$D$6,IF(ISNUMBER(SEARCH(Assumptions!$C$7,D4623)),Assumptions!$D$7,"Other Services"))),"Other Services"))</f>
        <v/>
      </c>
    </row>
    <row r="4624" customFormat="false" ht="15" hidden="false" customHeight="false" outlineLevel="0" collapsed="false">
      <c r="J4624" s="41" t="str">
        <f aca="false">IF(D4624="","",IFERROR(IF(ISNUMBER(SEARCH(Assumptions!$C$5,D4624)),Assumptions!$D$5,IF(ISNUMBER(SEARCH(Assumptions!$C$6,D4624)),Assumptions!$D$6,IF(ISNUMBER(SEARCH(Assumptions!$C$7,D4624)),Assumptions!$D$7,"Other Services"))),"Other Services"))</f>
        <v/>
      </c>
    </row>
    <row r="4625" customFormat="false" ht="15" hidden="false" customHeight="false" outlineLevel="0" collapsed="false">
      <c r="J4625" s="41" t="str">
        <f aca="false">IF(D4625="","",IFERROR(IF(ISNUMBER(SEARCH(Assumptions!$C$5,D4625)),Assumptions!$D$5,IF(ISNUMBER(SEARCH(Assumptions!$C$6,D4625)),Assumptions!$D$6,IF(ISNUMBER(SEARCH(Assumptions!$C$7,D4625)),Assumptions!$D$7,"Other Services"))),"Other Services"))</f>
        <v/>
      </c>
    </row>
    <row r="4626" customFormat="false" ht="15" hidden="false" customHeight="false" outlineLevel="0" collapsed="false">
      <c r="J4626" s="41" t="str">
        <f aca="false">IF(D4626="","",IFERROR(IF(ISNUMBER(SEARCH(Assumptions!$C$5,D4626)),Assumptions!$D$5,IF(ISNUMBER(SEARCH(Assumptions!$C$6,D4626)),Assumptions!$D$6,IF(ISNUMBER(SEARCH(Assumptions!$C$7,D4626)),Assumptions!$D$7,"Other Services"))),"Other Services"))</f>
        <v/>
      </c>
    </row>
    <row r="4627" customFormat="false" ht="15" hidden="false" customHeight="false" outlineLevel="0" collapsed="false">
      <c r="J4627" s="41" t="str">
        <f aca="false">IF(D4627="","",IFERROR(IF(ISNUMBER(SEARCH(Assumptions!$C$5,D4627)),Assumptions!$D$5,IF(ISNUMBER(SEARCH(Assumptions!$C$6,D4627)),Assumptions!$D$6,IF(ISNUMBER(SEARCH(Assumptions!$C$7,D4627)),Assumptions!$D$7,"Other Services"))),"Other Services"))</f>
        <v/>
      </c>
    </row>
    <row r="4628" customFormat="false" ht="15" hidden="false" customHeight="false" outlineLevel="0" collapsed="false">
      <c r="J4628" s="41" t="str">
        <f aca="false">IF(D4628="","",IFERROR(IF(ISNUMBER(SEARCH(Assumptions!$C$5,D4628)),Assumptions!$D$5,IF(ISNUMBER(SEARCH(Assumptions!$C$6,D4628)),Assumptions!$D$6,IF(ISNUMBER(SEARCH(Assumptions!$C$7,D4628)),Assumptions!$D$7,"Other Services"))),"Other Services"))</f>
        <v/>
      </c>
    </row>
    <row r="4629" customFormat="false" ht="15" hidden="false" customHeight="false" outlineLevel="0" collapsed="false">
      <c r="J4629" s="41" t="str">
        <f aca="false">IF(D4629="","",IFERROR(IF(ISNUMBER(SEARCH(Assumptions!$C$5,D4629)),Assumptions!$D$5,IF(ISNUMBER(SEARCH(Assumptions!$C$6,D4629)),Assumptions!$D$6,IF(ISNUMBER(SEARCH(Assumptions!$C$7,D4629)),Assumptions!$D$7,"Other Services"))),"Other Services"))</f>
        <v/>
      </c>
    </row>
    <row r="4630" customFormat="false" ht="15" hidden="false" customHeight="false" outlineLevel="0" collapsed="false">
      <c r="J4630" s="41" t="str">
        <f aca="false">IF(D4630="","",IFERROR(IF(ISNUMBER(SEARCH(Assumptions!$C$5,D4630)),Assumptions!$D$5,IF(ISNUMBER(SEARCH(Assumptions!$C$6,D4630)),Assumptions!$D$6,IF(ISNUMBER(SEARCH(Assumptions!$C$7,D4630)),Assumptions!$D$7,"Other Services"))),"Other Services"))</f>
        <v/>
      </c>
    </row>
    <row r="4631" customFormat="false" ht="15" hidden="false" customHeight="false" outlineLevel="0" collapsed="false">
      <c r="J4631" s="41" t="str">
        <f aca="false">IF(D4631="","",IFERROR(IF(ISNUMBER(SEARCH(Assumptions!$C$5,D4631)),Assumptions!$D$5,IF(ISNUMBER(SEARCH(Assumptions!$C$6,D4631)),Assumptions!$D$6,IF(ISNUMBER(SEARCH(Assumptions!$C$7,D4631)),Assumptions!$D$7,"Other Services"))),"Other Services"))</f>
        <v/>
      </c>
    </row>
    <row r="4632" customFormat="false" ht="15" hidden="false" customHeight="false" outlineLevel="0" collapsed="false">
      <c r="J4632" s="41" t="str">
        <f aca="false">IF(D4632="","",IFERROR(IF(ISNUMBER(SEARCH(Assumptions!$C$5,D4632)),Assumptions!$D$5,IF(ISNUMBER(SEARCH(Assumptions!$C$6,D4632)),Assumptions!$D$6,IF(ISNUMBER(SEARCH(Assumptions!$C$7,D4632)),Assumptions!$D$7,"Other Services"))),"Other Services"))</f>
        <v/>
      </c>
    </row>
    <row r="4633" customFormat="false" ht="15" hidden="false" customHeight="false" outlineLevel="0" collapsed="false">
      <c r="J4633" s="41" t="str">
        <f aca="false">IF(D4633="","",IFERROR(IF(ISNUMBER(SEARCH(Assumptions!$C$5,D4633)),Assumptions!$D$5,IF(ISNUMBER(SEARCH(Assumptions!$C$6,D4633)),Assumptions!$D$6,IF(ISNUMBER(SEARCH(Assumptions!$C$7,D4633)),Assumptions!$D$7,"Other Services"))),"Other Services"))</f>
        <v/>
      </c>
    </row>
    <row r="4634" customFormat="false" ht="15" hidden="false" customHeight="false" outlineLevel="0" collapsed="false">
      <c r="J4634" s="41" t="str">
        <f aca="false">IF(D4634="","",IFERROR(IF(ISNUMBER(SEARCH(Assumptions!$C$5,D4634)),Assumptions!$D$5,IF(ISNUMBER(SEARCH(Assumptions!$C$6,D4634)),Assumptions!$D$6,IF(ISNUMBER(SEARCH(Assumptions!$C$7,D4634)),Assumptions!$D$7,"Other Services"))),"Other Services"))</f>
        <v/>
      </c>
    </row>
    <row r="4635" customFormat="false" ht="15" hidden="false" customHeight="false" outlineLevel="0" collapsed="false">
      <c r="J4635" s="41" t="str">
        <f aca="false">IF(D4635="","",IFERROR(IF(ISNUMBER(SEARCH(Assumptions!$C$5,D4635)),Assumptions!$D$5,IF(ISNUMBER(SEARCH(Assumptions!$C$6,D4635)),Assumptions!$D$6,IF(ISNUMBER(SEARCH(Assumptions!$C$7,D4635)),Assumptions!$D$7,"Other Services"))),"Other Services"))</f>
        <v/>
      </c>
    </row>
    <row r="4636" customFormat="false" ht="15" hidden="false" customHeight="false" outlineLevel="0" collapsed="false">
      <c r="J4636" s="41" t="str">
        <f aca="false">IF(D4636="","",IFERROR(IF(ISNUMBER(SEARCH(Assumptions!$C$5,D4636)),Assumptions!$D$5,IF(ISNUMBER(SEARCH(Assumptions!$C$6,D4636)),Assumptions!$D$6,IF(ISNUMBER(SEARCH(Assumptions!$C$7,D4636)),Assumptions!$D$7,"Other Services"))),"Other Services"))</f>
        <v/>
      </c>
    </row>
    <row r="4637" customFormat="false" ht="15" hidden="false" customHeight="false" outlineLevel="0" collapsed="false">
      <c r="J4637" s="41" t="str">
        <f aca="false">IF(D4637="","",IFERROR(IF(ISNUMBER(SEARCH(Assumptions!$C$5,D4637)),Assumptions!$D$5,IF(ISNUMBER(SEARCH(Assumptions!$C$6,D4637)),Assumptions!$D$6,IF(ISNUMBER(SEARCH(Assumptions!$C$7,D4637)),Assumptions!$D$7,"Other Services"))),"Other Services"))</f>
        <v/>
      </c>
    </row>
    <row r="4638" customFormat="false" ht="15" hidden="false" customHeight="false" outlineLevel="0" collapsed="false">
      <c r="J4638" s="41" t="str">
        <f aca="false">IF(D4638="","",IFERROR(IF(ISNUMBER(SEARCH(Assumptions!$C$5,D4638)),Assumptions!$D$5,IF(ISNUMBER(SEARCH(Assumptions!$C$6,D4638)),Assumptions!$D$6,IF(ISNUMBER(SEARCH(Assumptions!$C$7,D4638)),Assumptions!$D$7,"Other Services"))),"Other Services"))</f>
        <v/>
      </c>
    </row>
    <row r="4639" customFormat="false" ht="15" hidden="false" customHeight="false" outlineLevel="0" collapsed="false">
      <c r="J4639" s="41" t="str">
        <f aca="false">IF(D4639="","",IFERROR(IF(ISNUMBER(SEARCH(Assumptions!$C$5,D4639)),Assumptions!$D$5,IF(ISNUMBER(SEARCH(Assumptions!$C$6,D4639)),Assumptions!$D$6,IF(ISNUMBER(SEARCH(Assumptions!$C$7,D4639)),Assumptions!$D$7,"Other Services"))),"Other Services"))</f>
        <v/>
      </c>
    </row>
    <row r="4640" customFormat="false" ht="15" hidden="false" customHeight="false" outlineLevel="0" collapsed="false">
      <c r="J4640" s="41" t="str">
        <f aca="false">IF(D4640="","",IFERROR(IF(ISNUMBER(SEARCH(Assumptions!$C$5,D4640)),Assumptions!$D$5,IF(ISNUMBER(SEARCH(Assumptions!$C$6,D4640)),Assumptions!$D$6,IF(ISNUMBER(SEARCH(Assumptions!$C$7,D4640)),Assumptions!$D$7,"Other Services"))),"Other Services"))</f>
        <v/>
      </c>
    </row>
    <row r="4641" customFormat="false" ht="15" hidden="false" customHeight="false" outlineLevel="0" collapsed="false">
      <c r="J4641" s="41" t="str">
        <f aca="false">IF(D4641="","",IFERROR(IF(ISNUMBER(SEARCH(Assumptions!$C$5,D4641)),Assumptions!$D$5,IF(ISNUMBER(SEARCH(Assumptions!$C$6,D4641)),Assumptions!$D$6,IF(ISNUMBER(SEARCH(Assumptions!$C$7,D4641)),Assumptions!$D$7,"Other Services"))),"Other Services"))</f>
        <v/>
      </c>
    </row>
    <row r="4642" customFormat="false" ht="15" hidden="false" customHeight="false" outlineLevel="0" collapsed="false">
      <c r="J4642" s="41" t="str">
        <f aca="false">IF(D4642="","",IFERROR(IF(ISNUMBER(SEARCH(Assumptions!$C$5,D4642)),Assumptions!$D$5,IF(ISNUMBER(SEARCH(Assumptions!$C$6,D4642)),Assumptions!$D$6,IF(ISNUMBER(SEARCH(Assumptions!$C$7,D4642)),Assumptions!$D$7,"Other Services"))),"Other Services"))</f>
        <v/>
      </c>
    </row>
    <row r="4643" customFormat="false" ht="15" hidden="false" customHeight="false" outlineLevel="0" collapsed="false">
      <c r="J4643" s="41" t="str">
        <f aca="false">IF(D4643="","",IFERROR(IF(ISNUMBER(SEARCH(Assumptions!$C$5,D4643)),Assumptions!$D$5,IF(ISNUMBER(SEARCH(Assumptions!$C$6,D4643)),Assumptions!$D$6,IF(ISNUMBER(SEARCH(Assumptions!$C$7,D4643)),Assumptions!$D$7,"Other Services"))),"Other Services"))</f>
        <v/>
      </c>
    </row>
    <row r="4644" customFormat="false" ht="15" hidden="false" customHeight="false" outlineLevel="0" collapsed="false">
      <c r="J4644" s="41" t="str">
        <f aca="false">IF(D4644="","",IFERROR(IF(ISNUMBER(SEARCH(Assumptions!$C$5,D4644)),Assumptions!$D$5,IF(ISNUMBER(SEARCH(Assumptions!$C$6,D4644)),Assumptions!$D$6,IF(ISNUMBER(SEARCH(Assumptions!$C$7,D4644)),Assumptions!$D$7,"Other Services"))),"Other Services"))</f>
        <v/>
      </c>
    </row>
    <row r="4645" customFormat="false" ht="15" hidden="false" customHeight="false" outlineLevel="0" collapsed="false">
      <c r="J4645" s="41" t="str">
        <f aca="false">IF(D4645="","",IFERROR(IF(ISNUMBER(SEARCH(Assumptions!$C$5,D4645)),Assumptions!$D$5,IF(ISNUMBER(SEARCH(Assumptions!$C$6,D4645)),Assumptions!$D$6,IF(ISNUMBER(SEARCH(Assumptions!$C$7,D4645)),Assumptions!$D$7,"Other Services"))),"Other Services"))</f>
        <v/>
      </c>
    </row>
    <row r="4646" customFormat="false" ht="15" hidden="false" customHeight="false" outlineLevel="0" collapsed="false">
      <c r="J4646" s="41" t="str">
        <f aca="false">IF(D4646="","",IFERROR(IF(ISNUMBER(SEARCH(Assumptions!$C$5,D4646)),Assumptions!$D$5,IF(ISNUMBER(SEARCH(Assumptions!$C$6,D4646)),Assumptions!$D$6,IF(ISNUMBER(SEARCH(Assumptions!$C$7,D4646)),Assumptions!$D$7,"Other Services"))),"Other Services"))</f>
        <v/>
      </c>
    </row>
    <row r="4647" customFormat="false" ht="15" hidden="false" customHeight="false" outlineLevel="0" collapsed="false">
      <c r="J4647" s="41" t="str">
        <f aca="false">IF(D4647="","",IFERROR(IF(ISNUMBER(SEARCH(Assumptions!$C$5,D4647)),Assumptions!$D$5,IF(ISNUMBER(SEARCH(Assumptions!$C$6,D4647)),Assumptions!$D$6,IF(ISNUMBER(SEARCH(Assumptions!$C$7,D4647)),Assumptions!$D$7,"Other Services"))),"Other Services"))</f>
        <v/>
      </c>
    </row>
    <row r="4648" customFormat="false" ht="15" hidden="false" customHeight="false" outlineLevel="0" collapsed="false">
      <c r="J4648" s="41" t="str">
        <f aca="false">IF(D4648="","",IFERROR(IF(ISNUMBER(SEARCH(Assumptions!$C$5,D4648)),Assumptions!$D$5,IF(ISNUMBER(SEARCH(Assumptions!$C$6,D4648)),Assumptions!$D$6,IF(ISNUMBER(SEARCH(Assumptions!$C$7,D4648)),Assumptions!$D$7,"Other Services"))),"Other Services"))</f>
        <v/>
      </c>
    </row>
    <row r="4649" customFormat="false" ht="15" hidden="false" customHeight="false" outlineLevel="0" collapsed="false">
      <c r="J4649" s="41" t="str">
        <f aca="false">IF(D4649="","",IFERROR(IF(ISNUMBER(SEARCH(Assumptions!$C$5,D4649)),Assumptions!$D$5,IF(ISNUMBER(SEARCH(Assumptions!$C$6,D4649)),Assumptions!$D$6,IF(ISNUMBER(SEARCH(Assumptions!$C$7,D4649)),Assumptions!$D$7,"Other Services"))),"Other Services"))</f>
        <v/>
      </c>
    </row>
    <row r="4650" customFormat="false" ht="15" hidden="false" customHeight="false" outlineLevel="0" collapsed="false">
      <c r="J4650" s="41" t="str">
        <f aca="false">IF(D4650="","",IFERROR(IF(ISNUMBER(SEARCH(Assumptions!$C$5,D4650)),Assumptions!$D$5,IF(ISNUMBER(SEARCH(Assumptions!$C$6,D4650)),Assumptions!$D$6,IF(ISNUMBER(SEARCH(Assumptions!$C$7,D4650)),Assumptions!$D$7,"Other Services"))),"Other Services"))</f>
        <v/>
      </c>
    </row>
    <row r="4651" customFormat="false" ht="15" hidden="false" customHeight="false" outlineLevel="0" collapsed="false">
      <c r="J4651" s="41" t="str">
        <f aca="false">IF(D4651="","",IFERROR(IF(ISNUMBER(SEARCH(Assumptions!$C$5,D4651)),Assumptions!$D$5,IF(ISNUMBER(SEARCH(Assumptions!$C$6,D4651)),Assumptions!$D$6,IF(ISNUMBER(SEARCH(Assumptions!$C$7,D4651)),Assumptions!$D$7,"Other Services"))),"Other Services"))</f>
        <v/>
      </c>
    </row>
    <row r="4652" customFormat="false" ht="15" hidden="false" customHeight="false" outlineLevel="0" collapsed="false">
      <c r="J4652" s="41" t="str">
        <f aca="false">IF(D4652="","",IFERROR(IF(ISNUMBER(SEARCH(Assumptions!$C$5,D4652)),Assumptions!$D$5,IF(ISNUMBER(SEARCH(Assumptions!$C$6,D4652)),Assumptions!$D$6,IF(ISNUMBER(SEARCH(Assumptions!$C$7,D4652)),Assumptions!$D$7,"Other Services"))),"Other Services"))</f>
        <v/>
      </c>
    </row>
    <row r="4653" customFormat="false" ht="15" hidden="false" customHeight="false" outlineLevel="0" collapsed="false">
      <c r="J4653" s="41" t="str">
        <f aca="false">IF(D4653="","",IFERROR(IF(ISNUMBER(SEARCH(Assumptions!$C$5,D4653)),Assumptions!$D$5,IF(ISNUMBER(SEARCH(Assumptions!$C$6,D4653)),Assumptions!$D$6,IF(ISNUMBER(SEARCH(Assumptions!$C$7,D4653)),Assumptions!$D$7,"Other Services"))),"Other Services"))</f>
        <v/>
      </c>
    </row>
    <row r="4654" customFormat="false" ht="15" hidden="false" customHeight="false" outlineLevel="0" collapsed="false">
      <c r="J4654" s="41" t="str">
        <f aca="false">IF(D4654="","",IFERROR(IF(ISNUMBER(SEARCH(Assumptions!$C$5,D4654)),Assumptions!$D$5,IF(ISNUMBER(SEARCH(Assumptions!$C$6,D4654)),Assumptions!$D$6,IF(ISNUMBER(SEARCH(Assumptions!$C$7,D4654)),Assumptions!$D$7,"Other Services"))),"Other Services"))</f>
        <v/>
      </c>
    </row>
    <row r="4655" customFormat="false" ht="15" hidden="false" customHeight="false" outlineLevel="0" collapsed="false">
      <c r="J4655" s="41" t="str">
        <f aca="false">IF(D4655="","",IFERROR(IF(ISNUMBER(SEARCH(Assumptions!$C$5,D4655)),Assumptions!$D$5,IF(ISNUMBER(SEARCH(Assumptions!$C$6,D4655)),Assumptions!$D$6,IF(ISNUMBER(SEARCH(Assumptions!$C$7,D4655)),Assumptions!$D$7,"Other Services"))),"Other Services"))</f>
        <v/>
      </c>
    </row>
    <row r="4656" customFormat="false" ht="15" hidden="false" customHeight="false" outlineLevel="0" collapsed="false">
      <c r="J4656" s="41" t="str">
        <f aca="false">IF(D4656="","",IFERROR(IF(ISNUMBER(SEARCH(Assumptions!$C$5,D4656)),Assumptions!$D$5,IF(ISNUMBER(SEARCH(Assumptions!$C$6,D4656)),Assumptions!$D$6,IF(ISNUMBER(SEARCH(Assumptions!$C$7,D4656)),Assumptions!$D$7,"Other Services"))),"Other Services"))</f>
        <v/>
      </c>
    </row>
    <row r="4657" customFormat="false" ht="15" hidden="false" customHeight="false" outlineLevel="0" collapsed="false">
      <c r="J4657" s="41" t="str">
        <f aca="false">IF(D4657="","",IFERROR(IF(ISNUMBER(SEARCH(Assumptions!$C$5,D4657)),Assumptions!$D$5,IF(ISNUMBER(SEARCH(Assumptions!$C$6,D4657)),Assumptions!$D$6,IF(ISNUMBER(SEARCH(Assumptions!$C$7,D4657)),Assumptions!$D$7,"Other Services"))),"Other Services"))</f>
        <v/>
      </c>
    </row>
    <row r="4658" customFormat="false" ht="15" hidden="false" customHeight="false" outlineLevel="0" collapsed="false">
      <c r="J4658" s="41" t="str">
        <f aca="false">IF(D4658="","",IFERROR(IF(ISNUMBER(SEARCH(Assumptions!$C$5,D4658)),Assumptions!$D$5,IF(ISNUMBER(SEARCH(Assumptions!$C$6,D4658)),Assumptions!$D$6,IF(ISNUMBER(SEARCH(Assumptions!$C$7,D4658)),Assumptions!$D$7,"Other Services"))),"Other Services"))</f>
        <v/>
      </c>
    </row>
    <row r="4659" customFormat="false" ht="15" hidden="false" customHeight="false" outlineLevel="0" collapsed="false">
      <c r="J4659" s="41" t="str">
        <f aca="false">IF(D4659="","",IFERROR(IF(ISNUMBER(SEARCH(Assumptions!$C$5,D4659)),Assumptions!$D$5,IF(ISNUMBER(SEARCH(Assumptions!$C$6,D4659)),Assumptions!$D$6,IF(ISNUMBER(SEARCH(Assumptions!$C$7,D4659)),Assumptions!$D$7,"Other Services"))),"Other Services"))</f>
        <v/>
      </c>
    </row>
    <row r="4660" customFormat="false" ht="15" hidden="false" customHeight="false" outlineLevel="0" collapsed="false">
      <c r="J4660" s="41" t="str">
        <f aca="false">IF(D4660="","",IFERROR(IF(ISNUMBER(SEARCH(Assumptions!$C$5,D4660)),Assumptions!$D$5,IF(ISNUMBER(SEARCH(Assumptions!$C$6,D4660)),Assumptions!$D$6,IF(ISNUMBER(SEARCH(Assumptions!$C$7,D4660)),Assumptions!$D$7,"Other Services"))),"Other Services"))</f>
        <v/>
      </c>
    </row>
    <row r="4661" customFormat="false" ht="15" hidden="false" customHeight="false" outlineLevel="0" collapsed="false">
      <c r="J4661" s="41" t="str">
        <f aca="false">IF(D4661="","",IFERROR(IF(ISNUMBER(SEARCH(Assumptions!$C$5,D4661)),Assumptions!$D$5,IF(ISNUMBER(SEARCH(Assumptions!$C$6,D4661)),Assumptions!$D$6,IF(ISNUMBER(SEARCH(Assumptions!$C$7,D4661)),Assumptions!$D$7,"Other Services"))),"Other Services"))</f>
        <v/>
      </c>
    </row>
    <row r="4662" customFormat="false" ht="15" hidden="false" customHeight="false" outlineLevel="0" collapsed="false">
      <c r="J4662" s="41" t="str">
        <f aca="false">IF(D4662="","",IFERROR(IF(ISNUMBER(SEARCH(Assumptions!$C$5,D4662)),Assumptions!$D$5,IF(ISNUMBER(SEARCH(Assumptions!$C$6,D4662)),Assumptions!$D$6,IF(ISNUMBER(SEARCH(Assumptions!$C$7,D4662)),Assumptions!$D$7,"Other Services"))),"Other Services"))</f>
        <v/>
      </c>
    </row>
    <row r="4663" customFormat="false" ht="15" hidden="false" customHeight="false" outlineLevel="0" collapsed="false">
      <c r="J4663" s="41" t="str">
        <f aca="false">IF(D4663="","",IFERROR(IF(ISNUMBER(SEARCH(Assumptions!$C$5,D4663)),Assumptions!$D$5,IF(ISNUMBER(SEARCH(Assumptions!$C$6,D4663)),Assumptions!$D$6,IF(ISNUMBER(SEARCH(Assumptions!$C$7,D4663)),Assumptions!$D$7,"Other Services"))),"Other Services"))</f>
        <v/>
      </c>
    </row>
    <row r="4664" customFormat="false" ht="15" hidden="false" customHeight="false" outlineLevel="0" collapsed="false">
      <c r="J4664" s="41" t="str">
        <f aca="false">IF(D4664="","",IFERROR(IF(ISNUMBER(SEARCH(Assumptions!$C$5,D4664)),Assumptions!$D$5,IF(ISNUMBER(SEARCH(Assumptions!$C$6,D4664)),Assumptions!$D$6,IF(ISNUMBER(SEARCH(Assumptions!$C$7,D4664)),Assumptions!$D$7,"Other Services"))),"Other Services"))</f>
        <v/>
      </c>
    </row>
    <row r="4665" customFormat="false" ht="15" hidden="false" customHeight="false" outlineLevel="0" collapsed="false">
      <c r="J4665" s="41" t="str">
        <f aca="false">IF(D4665="","",IFERROR(IF(ISNUMBER(SEARCH(Assumptions!$C$5,D4665)),Assumptions!$D$5,IF(ISNUMBER(SEARCH(Assumptions!$C$6,D4665)),Assumptions!$D$6,IF(ISNUMBER(SEARCH(Assumptions!$C$7,D4665)),Assumptions!$D$7,"Other Services"))),"Other Services"))</f>
        <v/>
      </c>
    </row>
    <row r="4666" customFormat="false" ht="15" hidden="false" customHeight="false" outlineLevel="0" collapsed="false">
      <c r="J4666" s="41" t="str">
        <f aca="false">IF(D4666="","",IFERROR(IF(ISNUMBER(SEARCH(Assumptions!$C$5,D4666)),Assumptions!$D$5,IF(ISNUMBER(SEARCH(Assumptions!$C$6,D4666)),Assumptions!$D$6,IF(ISNUMBER(SEARCH(Assumptions!$C$7,D4666)),Assumptions!$D$7,"Other Services"))),"Other Services"))</f>
        <v/>
      </c>
    </row>
    <row r="4667" customFormat="false" ht="15" hidden="false" customHeight="false" outlineLevel="0" collapsed="false">
      <c r="J4667" s="41" t="str">
        <f aca="false">IF(D4667="","",IFERROR(IF(ISNUMBER(SEARCH(Assumptions!$C$5,D4667)),Assumptions!$D$5,IF(ISNUMBER(SEARCH(Assumptions!$C$6,D4667)),Assumptions!$D$6,IF(ISNUMBER(SEARCH(Assumptions!$C$7,D4667)),Assumptions!$D$7,"Other Services"))),"Other Services"))</f>
        <v/>
      </c>
    </row>
    <row r="4668" customFormat="false" ht="15" hidden="false" customHeight="false" outlineLevel="0" collapsed="false">
      <c r="J4668" s="41" t="str">
        <f aca="false">IF(D4668="","",IFERROR(IF(ISNUMBER(SEARCH(Assumptions!$C$5,D4668)),Assumptions!$D$5,IF(ISNUMBER(SEARCH(Assumptions!$C$6,D4668)),Assumptions!$D$6,IF(ISNUMBER(SEARCH(Assumptions!$C$7,D4668)),Assumptions!$D$7,"Other Services"))),"Other Services"))</f>
        <v/>
      </c>
    </row>
    <row r="4669" customFormat="false" ht="15" hidden="false" customHeight="false" outlineLevel="0" collapsed="false">
      <c r="J4669" s="41" t="str">
        <f aca="false">IF(D4669="","",IFERROR(IF(ISNUMBER(SEARCH(Assumptions!$C$5,D4669)),Assumptions!$D$5,IF(ISNUMBER(SEARCH(Assumptions!$C$6,D4669)),Assumptions!$D$6,IF(ISNUMBER(SEARCH(Assumptions!$C$7,D4669)),Assumptions!$D$7,"Other Services"))),"Other Services"))</f>
        <v/>
      </c>
    </row>
    <row r="4670" customFormat="false" ht="15" hidden="false" customHeight="false" outlineLevel="0" collapsed="false">
      <c r="J4670" s="41" t="str">
        <f aca="false">IF(D4670="","",IFERROR(IF(ISNUMBER(SEARCH(Assumptions!$C$5,D4670)),Assumptions!$D$5,IF(ISNUMBER(SEARCH(Assumptions!$C$6,D4670)),Assumptions!$D$6,IF(ISNUMBER(SEARCH(Assumptions!$C$7,D4670)),Assumptions!$D$7,"Other Services"))),"Other Services"))</f>
        <v/>
      </c>
    </row>
    <row r="4671" customFormat="false" ht="15" hidden="false" customHeight="false" outlineLevel="0" collapsed="false">
      <c r="J4671" s="41" t="str">
        <f aca="false">IF(D4671="","",IFERROR(IF(ISNUMBER(SEARCH(Assumptions!$C$5,D4671)),Assumptions!$D$5,IF(ISNUMBER(SEARCH(Assumptions!$C$6,D4671)),Assumptions!$D$6,IF(ISNUMBER(SEARCH(Assumptions!$C$7,D4671)),Assumptions!$D$7,"Other Services"))),"Other Services"))</f>
        <v/>
      </c>
    </row>
    <row r="4672" customFormat="false" ht="15" hidden="false" customHeight="false" outlineLevel="0" collapsed="false">
      <c r="J4672" s="41" t="str">
        <f aca="false">IF(D4672="","",IFERROR(IF(ISNUMBER(SEARCH(Assumptions!$C$5,D4672)),Assumptions!$D$5,IF(ISNUMBER(SEARCH(Assumptions!$C$6,D4672)),Assumptions!$D$6,IF(ISNUMBER(SEARCH(Assumptions!$C$7,D4672)),Assumptions!$D$7,"Other Services"))),"Other Services"))</f>
        <v/>
      </c>
    </row>
    <row r="4673" customFormat="false" ht="15" hidden="false" customHeight="false" outlineLevel="0" collapsed="false">
      <c r="J4673" s="41" t="str">
        <f aca="false">IF(D4673="","",IFERROR(IF(ISNUMBER(SEARCH(Assumptions!$C$5,D4673)),Assumptions!$D$5,IF(ISNUMBER(SEARCH(Assumptions!$C$6,D4673)),Assumptions!$D$6,IF(ISNUMBER(SEARCH(Assumptions!$C$7,D4673)),Assumptions!$D$7,"Other Services"))),"Other Services"))</f>
        <v/>
      </c>
    </row>
    <row r="4674" customFormat="false" ht="15" hidden="false" customHeight="false" outlineLevel="0" collapsed="false">
      <c r="J4674" s="41" t="str">
        <f aca="false">IF(D4674="","",IFERROR(IF(ISNUMBER(SEARCH(Assumptions!$C$5,D4674)),Assumptions!$D$5,IF(ISNUMBER(SEARCH(Assumptions!$C$6,D4674)),Assumptions!$D$6,IF(ISNUMBER(SEARCH(Assumptions!$C$7,D4674)),Assumptions!$D$7,"Other Services"))),"Other Services"))</f>
        <v/>
      </c>
    </row>
    <row r="4675" customFormat="false" ht="15" hidden="false" customHeight="false" outlineLevel="0" collapsed="false">
      <c r="J4675" s="41" t="str">
        <f aca="false">IF(D4675="","",IFERROR(IF(ISNUMBER(SEARCH(Assumptions!$C$5,D4675)),Assumptions!$D$5,IF(ISNUMBER(SEARCH(Assumptions!$C$6,D4675)),Assumptions!$D$6,IF(ISNUMBER(SEARCH(Assumptions!$C$7,D4675)),Assumptions!$D$7,"Other Services"))),"Other Services"))</f>
        <v/>
      </c>
    </row>
    <row r="4676" customFormat="false" ht="15" hidden="false" customHeight="false" outlineLevel="0" collapsed="false">
      <c r="J4676" s="41" t="str">
        <f aca="false">IF(D4676="","",IFERROR(IF(ISNUMBER(SEARCH(Assumptions!$C$5,D4676)),Assumptions!$D$5,IF(ISNUMBER(SEARCH(Assumptions!$C$6,D4676)),Assumptions!$D$6,IF(ISNUMBER(SEARCH(Assumptions!$C$7,D4676)),Assumptions!$D$7,"Other Services"))),"Other Services"))</f>
        <v/>
      </c>
    </row>
    <row r="4677" customFormat="false" ht="15" hidden="false" customHeight="false" outlineLevel="0" collapsed="false">
      <c r="J4677" s="41" t="str">
        <f aca="false">IF(D4677="","",IFERROR(IF(ISNUMBER(SEARCH(Assumptions!$C$5,D4677)),Assumptions!$D$5,IF(ISNUMBER(SEARCH(Assumptions!$C$6,D4677)),Assumptions!$D$6,IF(ISNUMBER(SEARCH(Assumptions!$C$7,D4677)),Assumptions!$D$7,"Other Services"))),"Other Services"))</f>
        <v/>
      </c>
    </row>
    <row r="4678" customFormat="false" ht="15" hidden="false" customHeight="false" outlineLevel="0" collapsed="false">
      <c r="J4678" s="41" t="str">
        <f aca="false">IF(D4678="","",IFERROR(IF(ISNUMBER(SEARCH(Assumptions!$C$5,D4678)),Assumptions!$D$5,IF(ISNUMBER(SEARCH(Assumptions!$C$6,D4678)),Assumptions!$D$6,IF(ISNUMBER(SEARCH(Assumptions!$C$7,D4678)),Assumptions!$D$7,"Other Services"))),"Other Services"))</f>
        <v/>
      </c>
    </row>
    <row r="4679" customFormat="false" ht="15" hidden="false" customHeight="false" outlineLevel="0" collapsed="false">
      <c r="J4679" s="41" t="str">
        <f aca="false">IF(D4679="","",IFERROR(IF(ISNUMBER(SEARCH(Assumptions!$C$5,D4679)),Assumptions!$D$5,IF(ISNUMBER(SEARCH(Assumptions!$C$6,D4679)),Assumptions!$D$6,IF(ISNUMBER(SEARCH(Assumptions!$C$7,D4679)),Assumptions!$D$7,"Other Services"))),"Other Services"))</f>
        <v/>
      </c>
    </row>
    <row r="4680" customFormat="false" ht="15" hidden="false" customHeight="false" outlineLevel="0" collapsed="false">
      <c r="J4680" s="41" t="str">
        <f aca="false">IF(D4680="","",IFERROR(IF(ISNUMBER(SEARCH(Assumptions!$C$5,D4680)),Assumptions!$D$5,IF(ISNUMBER(SEARCH(Assumptions!$C$6,D4680)),Assumptions!$D$6,IF(ISNUMBER(SEARCH(Assumptions!$C$7,D4680)),Assumptions!$D$7,"Other Services"))),"Other Services"))</f>
        <v/>
      </c>
    </row>
    <row r="4681" customFormat="false" ht="15" hidden="false" customHeight="false" outlineLevel="0" collapsed="false">
      <c r="J4681" s="41" t="str">
        <f aca="false">IF(D4681="","",IFERROR(IF(ISNUMBER(SEARCH(Assumptions!$C$5,D4681)),Assumptions!$D$5,IF(ISNUMBER(SEARCH(Assumptions!$C$6,D4681)),Assumptions!$D$6,IF(ISNUMBER(SEARCH(Assumptions!$C$7,D4681)),Assumptions!$D$7,"Other Services"))),"Other Services"))</f>
        <v/>
      </c>
    </row>
    <row r="4682" customFormat="false" ht="15" hidden="false" customHeight="false" outlineLevel="0" collapsed="false">
      <c r="J4682" s="41" t="str">
        <f aca="false">IF(D4682="","",IFERROR(IF(ISNUMBER(SEARCH(Assumptions!$C$5,D4682)),Assumptions!$D$5,IF(ISNUMBER(SEARCH(Assumptions!$C$6,D4682)),Assumptions!$D$6,IF(ISNUMBER(SEARCH(Assumptions!$C$7,D4682)),Assumptions!$D$7,"Other Services"))),"Other Services"))</f>
        <v/>
      </c>
    </row>
    <row r="4683" customFormat="false" ht="15" hidden="false" customHeight="false" outlineLevel="0" collapsed="false">
      <c r="J4683" s="41" t="str">
        <f aca="false">IF(D4683="","",IFERROR(IF(ISNUMBER(SEARCH(Assumptions!$C$5,D4683)),Assumptions!$D$5,IF(ISNUMBER(SEARCH(Assumptions!$C$6,D4683)),Assumptions!$D$6,IF(ISNUMBER(SEARCH(Assumptions!$C$7,D4683)),Assumptions!$D$7,"Other Services"))),"Other Services"))</f>
        <v/>
      </c>
    </row>
    <row r="4684" customFormat="false" ht="15" hidden="false" customHeight="false" outlineLevel="0" collapsed="false">
      <c r="J4684" s="41" t="str">
        <f aca="false">IF(D4684="","",IFERROR(IF(ISNUMBER(SEARCH(Assumptions!$C$5,D4684)),Assumptions!$D$5,IF(ISNUMBER(SEARCH(Assumptions!$C$6,D4684)),Assumptions!$D$6,IF(ISNUMBER(SEARCH(Assumptions!$C$7,D4684)),Assumptions!$D$7,"Other Services"))),"Other Services"))</f>
        <v/>
      </c>
    </row>
    <row r="4685" customFormat="false" ht="15" hidden="false" customHeight="false" outlineLevel="0" collapsed="false">
      <c r="J4685" s="41" t="str">
        <f aca="false">IF(D4685="","",IFERROR(IF(ISNUMBER(SEARCH(Assumptions!$C$5,D4685)),Assumptions!$D$5,IF(ISNUMBER(SEARCH(Assumptions!$C$6,D4685)),Assumptions!$D$6,IF(ISNUMBER(SEARCH(Assumptions!$C$7,D4685)),Assumptions!$D$7,"Other Services"))),"Other Services"))</f>
        <v/>
      </c>
    </row>
    <row r="4686" customFormat="false" ht="15" hidden="false" customHeight="false" outlineLevel="0" collapsed="false">
      <c r="J4686" s="41" t="str">
        <f aca="false">IF(D4686="","",IFERROR(IF(ISNUMBER(SEARCH(Assumptions!$C$5,D4686)),Assumptions!$D$5,IF(ISNUMBER(SEARCH(Assumptions!$C$6,D4686)),Assumptions!$D$6,IF(ISNUMBER(SEARCH(Assumptions!$C$7,D4686)),Assumptions!$D$7,"Other Services"))),"Other Services"))</f>
        <v/>
      </c>
    </row>
    <row r="4687" customFormat="false" ht="15" hidden="false" customHeight="false" outlineLevel="0" collapsed="false">
      <c r="J4687" s="41" t="str">
        <f aca="false">IF(D4687="","",IFERROR(IF(ISNUMBER(SEARCH(Assumptions!$C$5,D4687)),Assumptions!$D$5,IF(ISNUMBER(SEARCH(Assumptions!$C$6,D4687)),Assumptions!$D$6,IF(ISNUMBER(SEARCH(Assumptions!$C$7,D4687)),Assumptions!$D$7,"Other Services"))),"Other Services"))</f>
        <v/>
      </c>
    </row>
    <row r="4688" customFormat="false" ht="15" hidden="false" customHeight="false" outlineLevel="0" collapsed="false">
      <c r="J4688" s="41" t="str">
        <f aca="false">IF(D4688="","",IFERROR(IF(ISNUMBER(SEARCH(Assumptions!$C$5,D4688)),Assumptions!$D$5,IF(ISNUMBER(SEARCH(Assumptions!$C$6,D4688)),Assumptions!$D$6,IF(ISNUMBER(SEARCH(Assumptions!$C$7,D4688)),Assumptions!$D$7,"Other Services"))),"Other Services"))</f>
        <v/>
      </c>
    </row>
    <row r="4689" customFormat="false" ht="15" hidden="false" customHeight="false" outlineLevel="0" collapsed="false">
      <c r="J4689" s="41" t="str">
        <f aca="false">IF(D4689="","",IFERROR(IF(ISNUMBER(SEARCH(Assumptions!$C$5,D4689)),Assumptions!$D$5,IF(ISNUMBER(SEARCH(Assumptions!$C$6,D4689)),Assumptions!$D$6,IF(ISNUMBER(SEARCH(Assumptions!$C$7,D4689)),Assumptions!$D$7,"Other Services"))),"Other Services"))</f>
        <v/>
      </c>
    </row>
    <row r="4690" customFormat="false" ht="15" hidden="false" customHeight="false" outlineLevel="0" collapsed="false">
      <c r="J4690" s="41" t="str">
        <f aca="false">IF(D4690="","",IFERROR(IF(ISNUMBER(SEARCH(Assumptions!$C$5,D4690)),Assumptions!$D$5,IF(ISNUMBER(SEARCH(Assumptions!$C$6,D4690)),Assumptions!$D$6,IF(ISNUMBER(SEARCH(Assumptions!$C$7,D4690)),Assumptions!$D$7,"Other Services"))),"Other Services"))</f>
        <v/>
      </c>
    </row>
    <row r="4691" customFormat="false" ht="15" hidden="false" customHeight="false" outlineLevel="0" collapsed="false">
      <c r="J4691" s="41" t="str">
        <f aca="false">IF(D4691="","",IFERROR(IF(ISNUMBER(SEARCH(Assumptions!$C$5,D4691)),Assumptions!$D$5,IF(ISNUMBER(SEARCH(Assumptions!$C$6,D4691)),Assumptions!$D$6,IF(ISNUMBER(SEARCH(Assumptions!$C$7,D4691)),Assumptions!$D$7,"Other Services"))),"Other Services"))</f>
        <v/>
      </c>
    </row>
    <row r="4692" customFormat="false" ht="15" hidden="false" customHeight="false" outlineLevel="0" collapsed="false">
      <c r="J4692" s="41" t="str">
        <f aca="false">IF(D4692="","",IFERROR(IF(ISNUMBER(SEARCH(Assumptions!$C$5,D4692)),Assumptions!$D$5,IF(ISNUMBER(SEARCH(Assumptions!$C$6,D4692)),Assumptions!$D$6,IF(ISNUMBER(SEARCH(Assumptions!$C$7,D4692)),Assumptions!$D$7,"Other Services"))),"Other Services"))</f>
        <v/>
      </c>
    </row>
    <row r="4693" customFormat="false" ht="15" hidden="false" customHeight="false" outlineLevel="0" collapsed="false">
      <c r="J4693" s="41" t="str">
        <f aca="false">IF(D4693="","",IFERROR(IF(ISNUMBER(SEARCH(Assumptions!$C$5,D4693)),Assumptions!$D$5,IF(ISNUMBER(SEARCH(Assumptions!$C$6,D4693)),Assumptions!$D$6,IF(ISNUMBER(SEARCH(Assumptions!$C$7,D4693)),Assumptions!$D$7,"Other Services"))),"Other Services"))</f>
        <v/>
      </c>
    </row>
    <row r="4694" customFormat="false" ht="15" hidden="false" customHeight="false" outlineLevel="0" collapsed="false">
      <c r="J4694" s="41" t="str">
        <f aca="false">IF(D4694="","",IFERROR(IF(ISNUMBER(SEARCH(Assumptions!$C$5,D4694)),Assumptions!$D$5,IF(ISNUMBER(SEARCH(Assumptions!$C$6,D4694)),Assumptions!$D$6,IF(ISNUMBER(SEARCH(Assumptions!$C$7,D4694)),Assumptions!$D$7,"Other Services"))),"Other Services"))</f>
        <v/>
      </c>
    </row>
    <row r="4695" customFormat="false" ht="15" hidden="false" customHeight="false" outlineLevel="0" collapsed="false">
      <c r="J4695" s="41" t="str">
        <f aca="false">IF(D4695="","",IFERROR(IF(ISNUMBER(SEARCH(Assumptions!$C$5,D4695)),Assumptions!$D$5,IF(ISNUMBER(SEARCH(Assumptions!$C$6,D4695)),Assumptions!$D$6,IF(ISNUMBER(SEARCH(Assumptions!$C$7,D4695)),Assumptions!$D$7,"Other Services"))),"Other Services"))</f>
        <v/>
      </c>
    </row>
    <row r="4696" customFormat="false" ht="15" hidden="false" customHeight="false" outlineLevel="0" collapsed="false">
      <c r="J4696" s="41" t="str">
        <f aca="false">IF(D4696="","",IFERROR(IF(ISNUMBER(SEARCH(Assumptions!$C$5,D4696)),Assumptions!$D$5,IF(ISNUMBER(SEARCH(Assumptions!$C$6,D4696)),Assumptions!$D$6,IF(ISNUMBER(SEARCH(Assumptions!$C$7,D4696)),Assumptions!$D$7,"Other Services"))),"Other Services"))</f>
        <v/>
      </c>
    </row>
    <row r="4697" customFormat="false" ht="15" hidden="false" customHeight="false" outlineLevel="0" collapsed="false">
      <c r="J4697" s="41" t="str">
        <f aca="false">IF(D4697="","",IFERROR(IF(ISNUMBER(SEARCH(Assumptions!$C$5,D4697)),Assumptions!$D$5,IF(ISNUMBER(SEARCH(Assumptions!$C$6,D4697)),Assumptions!$D$6,IF(ISNUMBER(SEARCH(Assumptions!$C$7,D4697)),Assumptions!$D$7,"Other Services"))),"Other Services"))</f>
        <v/>
      </c>
    </row>
    <row r="4698" customFormat="false" ht="15" hidden="false" customHeight="false" outlineLevel="0" collapsed="false">
      <c r="J4698" s="41" t="str">
        <f aca="false">IF(D4698="","",IFERROR(IF(ISNUMBER(SEARCH(Assumptions!$C$5,D4698)),Assumptions!$D$5,IF(ISNUMBER(SEARCH(Assumptions!$C$6,D4698)),Assumptions!$D$6,IF(ISNUMBER(SEARCH(Assumptions!$C$7,D4698)),Assumptions!$D$7,"Other Services"))),"Other Services"))</f>
        <v/>
      </c>
    </row>
    <row r="4699" customFormat="false" ht="15" hidden="false" customHeight="false" outlineLevel="0" collapsed="false">
      <c r="J4699" s="41" t="str">
        <f aca="false">IF(D4699="","",IFERROR(IF(ISNUMBER(SEARCH(Assumptions!$C$5,D4699)),Assumptions!$D$5,IF(ISNUMBER(SEARCH(Assumptions!$C$6,D4699)),Assumptions!$D$6,IF(ISNUMBER(SEARCH(Assumptions!$C$7,D4699)),Assumptions!$D$7,"Other Services"))),"Other Services"))</f>
        <v/>
      </c>
    </row>
    <row r="4700" customFormat="false" ht="15" hidden="false" customHeight="false" outlineLevel="0" collapsed="false">
      <c r="J4700" s="41" t="str">
        <f aca="false">IF(D4700="","",IFERROR(IF(ISNUMBER(SEARCH(Assumptions!$C$5,D4700)),Assumptions!$D$5,IF(ISNUMBER(SEARCH(Assumptions!$C$6,D4700)),Assumptions!$D$6,IF(ISNUMBER(SEARCH(Assumptions!$C$7,D4700)),Assumptions!$D$7,"Other Services"))),"Other Services"))</f>
        <v/>
      </c>
    </row>
    <row r="4701" customFormat="false" ht="15" hidden="false" customHeight="false" outlineLevel="0" collapsed="false">
      <c r="J4701" s="41" t="str">
        <f aca="false">IF(D4701="","",IFERROR(IF(ISNUMBER(SEARCH(Assumptions!$C$5,D4701)),Assumptions!$D$5,IF(ISNUMBER(SEARCH(Assumptions!$C$6,D4701)),Assumptions!$D$6,IF(ISNUMBER(SEARCH(Assumptions!$C$7,D4701)),Assumptions!$D$7,"Other Services"))),"Other Services"))</f>
        <v/>
      </c>
    </row>
    <row r="4702" customFormat="false" ht="15" hidden="false" customHeight="false" outlineLevel="0" collapsed="false">
      <c r="J4702" s="41" t="str">
        <f aca="false">IF(D4702="","",IFERROR(IF(ISNUMBER(SEARCH(Assumptions!$C$5,D4702)),Assumptions!$D$5,IF(ISNUMBER(SEARCH(Assumptions!$C$6,D4702)),Assumptions!$D$6,IF(ISNUMBER(SEARCH(Assumptions!$C$7,D4702)),Assumptions!$D$7,"Other Services"))),"Other Services"))</f>
        <v/>
      </c>
    </row>
    <row r="4703" customFormat="false" ht="15" hidden="false" customHeight="false" outlineLevel="0" collapsed="false">
      <c r="J4703" s="41" t="str">
        <f aca="false">IF(D4703="","",IFERROR(IF(ISNUMBER(SEARCH(Assumptions!$C$5,D4703)),Assumptions!$D$5,IF(ISNUMBER(SEARCH(Assumptions!$C$6,D4703)),Assumptions!$D$6,IF(ISNUMBER(SEARCH(Assumptions!$C$7,D4703)),Assumptions!$D$7,"Other Services"))),"Other Services"))</f>
        <v/>
      </c>
    </row>
    <row r="4704" customFormat="false" ht="15" hidden="false" customHeight="false" outlineLevel="0" collapsed="false">
      <c r="J4704" s="41" t="str">
        <f aca="false">IF(D4704="","",IFERROR(IF(ISNUMBER(SEARCH(Assumptions!$C$5,D4704)),Assumptions!$D$5,IF(ISNUMBER(SEARCH(Assumptions!$C$6,D4704)),Assumptions!$D$6,IF(ISNUMBER(SEARCH(Assumptions!$C$7,D4704)),Assumptions!$D$7,"Other Services"))),"Other Services"))</f>
        <v/>
      </c>
    </row>
    <row r="4705" customFormat="false" ht="15" hidden="false" customHeight="false" outlineLevel="0" collapsed="false">
      <c r="J4705" s="41" t="str">
        <f aca="false">IF(D4705="","",IFERROR(IF(ISNUMBER(SEARCH(Assumptions!$C$5,D4705)),Assumptions!$D$5,IF(ISNUMBER(SEARCH(Assumptions!$C$6,D4705)),Assumptions!$D$6,IF(ISNUMBER(SEARCH(Assumptions!$C$7,D4705)),Assumptions!$D$7,"Other Services"))),"Other Services"))</f>
        <v/>
      </c>
    </row>
    <row r="4706" customFormat="false" ht="15" hidden="false" customHeight="false" outlineLevel="0" collapsed="false">
      <c r="J4706" s="41" t="str">
        <f aca="false">IF(D4706="","",IFERROR(IF(ISNUMBER(SEARCH(Assumptions!$C$5,D4706)),Assumptions!$D$5,IF(ISNUMBER(SEARCH(Assumptions!$C$6,D4706)),Assumptions!$D$6,IF(ISNUMBER(SEARCH(Assumptions!$C$7,D4706)),Assumptions!$D$7,"Other Services"))),"Other Services"))</f>
        <v/>
      </c>
    </row>
    <row r="4707" customFormat="false" ht="15" hidden="false" customHeight="false" outlineLevel="0" collapsed="false">
      <c r="J4707" s="41" t="str">
        <f aca="false">IF(D4707="","",IFERROR(IF(ISNUMBER(SEARCH(Assumptions!$C$5,D4707)),Assumptions!$D$5,IF(ISNUMBER(SEARCH(Assumptions!$C$6,D4707)),Assumptions!$D$6,IF(ISNUMBER(SEARCH(Assumptions!$C$7,D4707)),Assumptions!$D$7,"Other Services"))),"Other Services"))</f>
        <v/>
      </c>
    </row>
    <row r="4708" customFormat="false" ht="15" hidden="false" customHeight="false" outlineLevel="0" collapsed="false">
      <c r="J4708" s="41" t="str">
        <f aca="false">IF(D4708="","",IFERROR(IF(ISNUMBER(SEARCH(Assumptions!$C$5,D4708)),Assumptions!$D$5,IF(ISNUMBER(SEARCH(Assumptions!$C$6,D4708)),Assumptions!$D$6,IF(ISNUMBER(SEARCH(Assumptions!$C$7,D4708)),Assumptions!$D$7,"Other Services"))),"Other Services"))</f>
        <v/>
      </c>
    </row>
    <row r="4709" customFormat="false" ht="15" hidden="false" customHeight="false" outlineLevel="0" collapsed="false">
      <c r="J4709" s="41" t="str">
        <f aca="false">IF(D4709="","",IFERROR(IF(ISNUMBER(SEARCH(Assumptions!$C$5,D4709)),Assumptions!$D$5,IF(ISNUMBER(SEARCH(Assumptions!$C$6,D4709)),Assumptions!$D$6,IF(ISNUMBER(SEARCH(Assumptions!$C$7,D4709)),Assumptions!$D$7,"Other Services"))),"Other Services"))</f>
        <v/>
      </c>
    </row>
    <row r="4710" customFormat="false" ht="15" hidden="false" customHeight="false" outlineLevel="0" collapsed="false">
      <c r="J4710" s="41" t="str">
        <f aca="false">IF(D4710="","",IFERROR(IF(ISNUMBER(SEARCH(Assumptions!$C$5,D4710)),Assumptions!$D$5,IF(ISNUMBER(SEARCH(Assumptions!$C$6,D4710)),Assumptions!$D$6,IF(ISNUMBER(SEARCH(Assumptions!$C$7,D4710)),Assumptions!$D$7,"Other Services"))),"Other Services"))</f>
        <v/>
      </c>
    </row>
    <row r="4711" customFormat="false" ht="15" hidden="false" customHeight="false" outlineLevel="0" collapsed="false">
      <c r="J4711" s="41" t="str">
        <f aca="false">IF(D4711="","",IFERROR(IF(ISNUMBER(SEARCH(Assumptions!$C$5,D4711)),Assumptions!$D$5,IF(ISNUMBER(SEARCH(Assumptions!$C$6,D4711)),Assumptions!$D$6,IF(ISNUMBER(SEARCH(Assumptions!$C$7,D4711)),Assumptions!$D$7,"Other Services"))),"Other Services"))</f>
        <v/>
      </c>
    </row>
    <row r="4712" customFormat="false" ht="15" hidden="false" customHeight="false" outlineLevel="0" collapsed="false">
      <c r="J4712" s="41" t="str">
        <f aca="false">IF(D4712="","",IFERROR(IF(ISNUMBER(SEARCH(Assumptions!$C$5,D4712)),Assumptions!$D$5,IF(ISNUMBER(SEARCH(Assumptions!$C$6,D4712)),Assumptions!$D$6,IF(ISNUMBER(SEARCH(Assumptions!$C$7,D4712)),Assumptions!$D$7,"Other Services"))),"Other Services"))</f>
        <v/>
      </c>
    </row>
    <row r="4713" customFormat="false" ht="15" hidden="false" customHeight="false" outlineLevel="0" collapsed="false">
      <c r="J4713" s="41" t="str">
        <f aca="false">IF(D4713="","",IFERROR(IF(ISNUMBER(SEARCH(Assumptions!$C$5,D4713)),Assumptions!$D$5,IF(ISNUMBER(SEARCH(Assumptions!$C$6,D4713)),Assumptions!$D$6,IF(ISNUMBER(SEARCH(Assumptions!$C$7,D4713)),Assumptions!$D$7,"Other Services"))),"Other Services"))</f>
        <v/>
      </c>
    </row>
    <row r="4714" customFormat="false" ht="15" hidden="false" customHeight="false" outlineLevel="0" collapsed="false">
      <c r="J4714" s="41" t="str">
        <f aca="false">IF(D4714="","",IFERROR(IF(ISNUMBER(SEARCH(Assumptions!$C$5,D4714)),Assumptions!$D$5,IF(ISNUMBER(SEARCH(Assumptions!$C$6,D4714)),Assumptions!$D$6,IF(ISNUMBER(SEARCH(Assumptions!$C$7,D4714)),Assumptions!$D$7,"Other Services"))),"Other Services"))</f>
        <v/>
      </c>
    </row>
    <row r="4715" customFormat="false" ht="15" hidden="false" customHeight="false" outlineLevel="0" collapsed="false">
      <c r="J4715" s="41" t="str">
        <f aca="false">IF(D4715="","",IFERROR(IF(ISNUMBER(SEARCH(Assumptions!$C$5,D4715)),Assumptions!$D$5,IF(ISNUMBER(SEARCH(Assumptions!$C$6,D4715)),Assumptions!$D$6,IF(ISNUMBER(SEARCH(Assumptions!$C$7,D4715)),Assumptions!$D$7,"Other Services"))),"Other Services"))</f>
        <v/>
      </c>
    </row>
    <row r="4716" customFormat="false" ht="15" hidden="false" customHeight="false" outlineLevel="0" collapsed="false">
      <c r="J4716" s="41" t="str">
        <f aca="false">IF(D4716="","",IFERROR(IF(ISNUMBER(SEARCH(Assumptions!$C$5,D4716)),Assumptions!$D$5,IF(ISNUMBER(SEARCH(Assumptions!$C$6,D4716)),Assumptions!$D$6,IF(ISNUMBER(SEARCH(Assumptions!$C$7,D4716)),Assumptions!$D$7,"Other Services"))),"Other Services"))</f>
        <v/>
      </c>
    </row>
    <row r="4717" customFormat="false" ht="15" hidden="false" customHeight="false" outlineLevel="0" collapsed="false">
      <c r="J4717" s="41" t="str">
        <f aca="false">IF(D4717="","",IFERROR(IF(ISNUMBER(SEARCH(Assumptions!$C$5,D4717)),Assumptions!$D$5,IF(ISNUMBER(SEARCH(Assumptions!$C$6,D4717)),Assumptions!$D$6,IF(ISNUMBER(SEARCH(Assumptions!$C$7,D4717)),Assumptions!$D$7,"Other Services"))),"Other Services"))</f>
        <v/>
      </c>
    </row>
    <row r="4718" customFormat="false" ht="15" hidden="false" customHeight="false" outlineLevel="0" collapsed="false">
      <c r="J4718" s="41" t="str">
        <f aca="false">IF(D4718="","",IFERROR(IF(ISNUMBER(SEARCH(Assumptions!$C$5,D4718)),Assumptions!$D$5,IF(ISNUMBER(SEARCH(Assumptions!$C$6,D4718)),Assumptions!$D$6,IF(ISNUMBER(SEARCH(Assumptions!$C$7,D4718)),Assumptions!$D$7,"Other Services"))),"Other Services"))</f>
        <v/>
      </c>
    </row>
    <row r="4719" customFormat="false" ht="15" hidden="false" customHeight="false" outlineLevel="0" collapsed="false">
      <c r="J4719" s="41" t="str">
        <f aca="false">IF(D4719="","",IFERROR(IF(ISNUMBER(SEARCH(Assumptions!$C$5,D4719)),Assumptions!$D$5,IF(ISNUMBER(SEARCH(Assumptions!$C$6,D4719)),Assumptions!$D$6,IF(ISNUMBER(SEARCH(Assumptions!$C$7,D4719)),Assumptions!$D$7,"Other Services"))),"Other Services"))</f>
        <v/>
      </c>
    </row>
    <row r="4720" customFormat="false" ht="15" hidden="false" customHeight="false" outlineLevel="0" collapsed="false">
      <c r="J4720" s="41" t="str">
        <f aca="false">IF(D4720="","",IFERROR(IF(ISNUMBER(SEARCH(Assumptions!$C$5,D4720)),Assumptions!$D$5,IF(ISNUMBER(SEARCH(Assumptions!$C$6,D4720)),Assumptions!$D$6,IF(ISNUMBER(SEARCH(Assumptions!$C$7,D4720)),Assumptions!$D$7,"Other Services"))),"Other Services"))</f>
        <v/>
      </c>
    </row>
    <row r="4721" customFormat="false" ht="15" hidden="false" customHeight="false" outlineLevel="0" collapsed="false">
      <c r="J4721" s="41" t="str">
        <f aca="false">IF(D4721="","",IFERROR(IF(ISNUMBER(SEARCH(Assumptions!$C$5,D4721)),Assumptions!$D$5,IF(ISNUMBER(SEARCH(Assumptions!$C$6,D4721)),Assumptions!$D$6,IF(ISNUMBER(SEARCH(Assumptions!$C$7,D4721)),Assumptions!$D$7,"Other Services"))),"Other Services"))</f>
        <v/>
      </c>
    </row>
    <row r="4722" customFormat="false" ht="15" hidden="false" customHeight="false" outlineLevel="0" collapsed="false">
      <c r="J4722" s="41" t="str">
        <f aca="false">IF(D4722="","",IFERROR(IF(ISNUMBER(SEARCH(Assumptions!$C$5,D4722)),Assumptions!$D$5,IF(ISNUMBER(SEARCH(Assumptions!$C$6,D4722)),Assumptions!$D$6,IF(ISNUMBER(SEARCH(Assumptions!$C$7,D4722)),Assumptions!$D$7,"Other Services"))),"Other Services"))</f>
        <v/>
      </c>
    </row>
    <row r="4723" customFormat="false" ht="15" hidden="false" customHeight="false" outlineLevel="0" collapsed="false">
      <c r="J4723" s="41" t="str">
        <f aca="false">IF(D4723="","",IFERROR(IF(ISNUMBER(SEARCH(Assumptions!$C$5,D4723)),Assumptions!$D$5,IF(ISNUMBER(SEARCH(Assumptions!$C$6,D4723)),Assumptions!$D$6,IF(ISNUMBER(SEARCH(Assumptions!$C$7,D4723)),Assumptions!$D$7,"Other Services"))),"Other Services"))</f>
        <v/>
      </c>
    </row>
    <row r="4724" customFormat="false" ht="15" hidden="false" customHeight="false" outlineLevel="0" collapsed="false">
      <c r="J4724" s="41" t="str">
        <f aca="false">IF(D4724="","",IFERROR(IF(ISNUMBER(SEARCH(Assumptions!$C$5,D4724)),Assumptions!$D$5,IF(ISNUMBER(SEARCH(Assumptions!$C$6,D4724)),Assumptions!$D$6,IF(ISNUMBER(SEARCH(Assumptions!$C$7,D4724)),Assumptions!$D$7,"Other Services"))),"Other Services"))</f>
        <v/>
      </c>
    </row>
    <row r="4725" customFormat="false" ht="15" hidden="false" customHeight="false" outlineLevel="0" collapsed="false">
      <c r="J4725" s="41" t="str">
        <f aca="false">IF(D4725="","",IFERROR(IF(ISNUMBER(SEARCH(Assumptions!$C$5,D4725)),Assumptions!$D$5,IF(ISNUMBER(SEARCH(Assumptions!$C$6,D4725)),Assumptions!$D$6,IF(ISNUMBER(SEARCH(Assumptions!$C$7,D4725)),Assumptions!$D$7,"Other Services"))),"Other Services"))</f>
        <v/>
      </c>
    </row>
    <row r="4726" customFormat="false" ht="15" hidden="false" customHeight="false" outlineLevel="0" collapsed="false">
      <c r="J4726" s="41" t="str">
        <f aca="false">IF(D4726="","",IFERROR(IF(ISNUMBER(SEARCH(Assumptions!$C$5,D4726)),Assumptions!$D$5,IF(ISNUMBER(SEARCH(Assumptions!$C$6,D4726)),Assumptions!$D$6,IF(ISNUMBER(SEARCH(Assumptions!$C$7,D4726)),Assumptions!$D$7,"Other Services"))),"Other Services"))</f>
        <v/>
      </c>
    </row>
    <row r="4727" customFormat="false" ht="15" hidden="false" customHeight="false" outlineLevel="0" collapsed="false">
      <c r="J4727" s="41" t="str">
        <f aca="false">IF(D4727="","",IFERROR(IF(ISNUMBER(SEARCH(Assumptions!$C$5,D4727)),Assumptions!$D$5,IF(ISNUMBER(SEARCH(Assumptions!$C$6,D4727)),Assumptions!$D$6,IF(ISNUMBER(SEARCH(Assumptions!$C$7,D4727)),Assumptions!$D$7,"Other Services"))),"Other Services"))</f>
        <v/>
      </c>
    </row>
    <row r="4728" customFormat="false" ht="15" hidden="false" customHeight="false" outlineLevel="0" collapsed="false">
      <c r="J4728" s="41" t="str">
        <f aca="false">IF(D4728="","",IFERROR(IF(ISNUMBER(SEARCH(Assumptions!$C$5,D4728)),Assumptions!$D$5,IF(ISNUMBER(SEARCH(Assumptions!$C$6,D4728)),Assumptions!$D$6,IF(ISNUMBER(SEARCH(Assumptions!$C$7,D4728)),Assumptions!$D$7,"Other Services"))),"Other Services"))</f>
        <v/>
      </c>
    </row>
    <row r="4729" customFormat="false" ht="15" hidden="false" customHeight="false" outlineLevel="0" collapsed="false">
      <c r="J4729" s="41" t="str">
        <f aca="false">IF(D4729="","",IFERROR(IF(ISNUMBER(SEARCH(Assumptions!$C$5,D4729)),Assumptions!$D$5,IF(ISNUMBER(SEARCH(Assumptions!$C$6,D4729)),Assumptions!$D$6,IF(ISNUMBER(SEARCH(Assumptions!$C$7,D4729)),Assumptions!$D$7,"Other Services"))),"Other Services"))</f>
        <v/>
      </c>
    </row>
    <row r="4730" customFormat="false" ht="15" hidden="false" customHeight="false" outlineLevel="0" collapsed="false">
      <c r="J4730" s="41" t="str">
        <f aca="false">IF(D4730="","",IFERROR(IF(ISNUMBER(SEARCH(Assumptions!$C$5,D4730)),Assumptions!$D$5,IF(ISNUMBER(SEARCH(Assumptions!$C$6,D4730)),Assumptions!$D$6,IF(ISNUMBER(SEARCH(Assumptions!$C$7,D4730)),Assumptions!$D$7,"Other Services"))),"Other Services"))</f>
        <v/>
      </c>
    </row>
    <row r="4731" customFormat="false" ht="15" hidden="false" customHeight="false" outlineLevel="0" collapsed="false">
      <c r="J4731" s="41" t="str">
        <f aca="false">IF(D4731="","",IFERROR(IF(ISNUMBER(SEARCH(Assumptions!$C$5,D4731)),Assumptions!$D$5,IF(ISNUMBER(SEARCH(Assumptions!$C$6,D4731)),Assumptions!$D$6,IF(ISNUMBER(SEARCH(Assumptions!$C$7,D4731)),Assumptions!$D$7,"Other Services"))),"Other Services"))</f>
        <v/>
      </c>
    </row>
    <row r="4732" customFormat="false" ht="15" hidden="false" customHeight="false" outlineLevel="0" collapsed="false">
      <c r="J4732" s="41" t="str">
        <f aca="false">IF(D4732="","",IFERROR(IF(ISNUMBER(SEARCH(Assumptions!$C$5,D4732)),Assumptions!$D$5,IF(ISNUMBER(SEARCH(Assumptions!$C$6,D4732)),Assumptions!$D$6,IF(ISNUMBER(SEARCH(Assumptions!$C$7,D4732)),Assumptions!$D$7,"Other Services"))),"Other Services"))</f>
        <v/>
      </c>
    </row>
    <row r="4733" customFormat="false" ht="15" hidden="false" customHeight="false" outlineLevel="0" collapsed="false">
      <c r="J4733" s="41" t="str">
        <f aca="false">IF(D4733="","",IFERROR(IF(ISNUMBER(SEARCH(Assumptions!$C$5,D4733)),Assumptions!$D$5,IF(ISNUMBER(SEARCH(Assumptions!$C$6,D4733)),Assumptions!$D$6,IF(ISNUMBER(SEARCH(Assumptions!$C$7,D4733)),Assumptions!$D$7,"Other Services"))),"Other Services"))</f>
        <v/>
      </c>
    </row>
    <row r="4734" customFormat="false" ht="15" hidden="false" customHeight="false" outlineLevel="0" collapsed="false">
      <c r="J4734" s="41" t="str">
        <f aca="false">IF(D4734="","",IFERROR(IF(ISNUMBER(SEARCH(Assumptions!$C$5,D4734)),Assumptions!$D$5,IF(ISNUMBER(SEARCH(Assumptions!$C$6,D4734)),Assumptions!$D$6,IF(ISNUMBER(SEARCH(Assumptions!$C$7,D4734)),Assumptions!$D$7,"Other Services"))),"Other Services"))</f>
        <v/>
      </c>
    </row>
    <row r="4735" customFormat="false" ht="15" hidden="false" customHeight="false" outlineLevel="0" collapsed="false">
      <c r="J4735" s="41" t="str">
        <f aca="false">IF(D4735="","",IFERROR(IF(ISNUMBER(SEARCH(Assumptions!$C$5,D4735)),Assumptions!$D$5,IF(ISNUMBER(SEARCH(Assumptions!$C$6,D4735)),Assumptions!$D$6,IF(ISNUMBER(SEARCH(Assumptions!$C$7,D4735)),Assumptions!$D$7,"Other Services"))),"Other Services"))</f>
        <v/>
      </c>
    </row>
    <row r="4736" customFormat="false" ht="15" hidden="false" customHeight="false" outlineLevel="0" collapsed="false">
      <c r="J4736" s="41" t="str">
        <f aca="false">IF(D4736="","",IFERROR(IF(ISNUMBER(SEARCH(Assumptions!$C$5,D4736)),Assumptions!$D$5,IF(ISNUMBER(SEARCH(Assumptions!$C$6,D4736)),Assumptions!$D$6,IF(ISNUMBER(SEARCH(Assumptions!$C$7,D4736)),Assumptions!$D$7,"Other Services"))),"Other Services"))</f>
        <v/>
      </c>
    </row>
    <row r="4737" customFormat="false" ht="15" hidden="false" customHeight="false" outlineLevel="0" collapsed="false">
      <c r="J4737" s="41" t="str">
        <f aca="false">IF(D4737="","",IFERROR(IF(ISNUMBER(SEARCH(Assumptions!$C$5,D4737)),Assumptions!$D$5,IF(ISNUMBER(SEARCH(Assumptions!$C$6,D4737)),Assumptions!$D$6,IF(ISNUMBER(SEARCH(Assumptions!$C$7,D4737)),Assumptions!$D$7,"Other Services"))),"Other Services"))</f>
        <v/>
      </c>
    </row>
    <row r="4738" customFormat="false" ht="15" hidden="false" customHeight="false" outlineLevel="0" collapsed="false">
      <c r="J4738" s="41" t="str">
        <f aca="false">IF(D4738="","",IFERROR(IF(ISNUMBER(SEARCH(Assumptions!$C$5,D4738)),Assumptions!$D$5,IF(ISNUMBER(SEARCH(Assumptions!$C$6,D4738)),Assumptions!$D$6,IF(ISNUMBER(SEARCH(Assumptions!$C$7,D4738)),Assumptions!$D$7,"Other Services"))),"Other Services"))</f>
        <v/>
      </c>
    </row>
    <row r="4739" customFormat="false" ht="15" hidden="false" customHeight="false" outlineLevel="0" collapsed="false">
      <c r="J4739" s="41" t="str">
        <f aca="false">IF(D4739="","",IFERROR(IF(ISNUMBER(SEARCH(Assumptions!$C$5,D4739)),Assumptions!$D$5,IF(ISNUMBER(SEARCH(Assumptions!$C$6,D4739)),Assumptions!$D$6,IF(ISNUMBER(SEARCH(Assumptions!$C$7,D4739)),Assumptions!$D$7,"Other Services"))),"Other Services"))</f>
        <v/>
      </c>
    </row>
    <row r="4740" customFormat="false" ht="15" hidden="false" customHeight="false" outlineLevel="0" collapsed="false">
      <c r="J4740" s="41" t="str">
        <f aca="false">IF(D4740="","",IFERROR(IF(ISNUMBER(SEARCH(Assumptions!$C$5,D4740)),Assumptions!$D$5,IF(ISNUMBER(SEARCH(Assumptions!$C$6,D4740)),Assumptions!$D$6,IF(ISNUMBER(SEARCH(Assumptions!$C$7,D4740)),Assumptions!$D$7,"Other Services"))),"Other Services"))</f>
        <v/>
      </c>
    </row>
    <row r="4741" customFormat="false" ht="15" hidden="false" customHeight="false" outlineLevel="0" collapsed="false">
      <c r="J4741" s="41" t="str">
        <f aca="false">IF(D4741="","",IFERROR(IF(ISNUMBER(SEARCH(Assumptions!$C$5,D4741)),Assumptions!$D$5,IF(ISNUMBER(SEARCH(Assumptions!$C$6,D4741)),Assumptions!$D$6,IF(ISNUMBER(SEARCH(Assumptions!$C$7,D4741)),Assumptions!$D$7,"Other Services"))),"Other Services"))</f>
        <v/>
      </c>
    </row>
    <row r="4742" customFormat="false" ht="15" hidden="false" customHeight="false" outlineLevel="0" collapsed="false">
      <c r="J4742" s="41" t="str">
        <f aca="false">IF(D4742="","",IFERROR(IF(ISNUMBER(SEARCH(Assumptions!$C$5,D4742)),Assumptions!$D$5,IF(ISNUMBER(SEARCH(Assumptions!$C$6,D4742)),Assumptions!$D$6,IF(ISNUMBER(SEARCH(Assumptions!$C$7,D4742)),Assumptions!$D$7,"Other Services"))),"Other Services"))</f>
        <v/>
      </c>
    </row>
    <row r="4743" customFormat="false" ht="15" hidden="false" customHeight="false" outlineLevel="0" collapsed="false">
      <c r="J4743" s="41" t="str">
        <f aca="false">IF(D4743="","",IFERROR(IF(ISNUMBER(SEARCH(Assumptions!$C$5,D4743)),Assumptions!$D$5,IF(ISNUMBER(SEARCH(Assumptions!$C$6,D4743)),Assumptions!$D$6,IF(ISNUMBER(SEARCH(Assumptions!$C$7,D4743)),Assumptions!$D$7,"Other Services"))),"Other Services"))</f>
        <v/>
      </c>
    </row>
    <row r="4744" customFormat="false" ht="15" hidden="false" customHeight="false" outlineLevel="0" collapsed="false">
      <c r="J4744" s="41" t="str">
        <f aca="false">IF(D4744="","",IFERROR(IF(ISNUMBER(SEARCH(Assumptions!$C$5,D4744)),Assumptions!$D$5,IF(ISNUMBER(SEARCH(Assumptions!$C$6,D4744)),Assumptions!$D$6,IF(ISNUMBER(SEARCH(Assumptions!$C$7,D4744)),Assumptions!$D$7,"Other Services"))),"Other Services"))</f>
        <v/>
      </c>
    </row>
    <row r="4745" customFormat="false" ht="15" hidden="false" customHeight="false" outlineLevel="0" collapsed="false">
      <c r="J4745" s="41" t="str">
        <f aca="false">IF(D4745="","",IFERROR(IF(ISNUMBER(SEARCH(Assumptions!$C$5,D4745)),Assumptions!$D$5,IF(ISNUMBER(SEARCH(Assumptions!$C$6,D4745)),Assumptions!$D$6,IF(ISNUMBER(SEARCH(Assumptions!$C$7,D4745)),Assumptions!$D$7,"Other Services"))),"Other Services"))</f>
        <v/>
      </c>
    </row>
    <row r="4746" customFormat="false" ht="15" hidden="false" customHeight="false" outlineLevel="0" collapsed="false">
      <c r="J4746" s="41" t="str">
        <f aca="false">IF(D4746="","",IFERROR(IF(ISNUMBER(SEARCH(Assumptions!$C$5,D4746)),Assumptions!$D$5,IF(ISNUMBER(SEARCH(Assumptions!$C$6,D4746)),Assumptions!$D$6,IF(ISNUMBER(SEARCH(Assumptions!$C$7,D4746)),Assumptions!$D$7,"Other Services"))),"Other Services"))</f>
        <v/>
      </c>
    </row>
    <row r="4747" customFormat="false" ht="15" hidden="false" customHeight="false" outlineLevel="0" collapsed="false">
      <c r="J4747" s="41" t="str">
        <f aca="false">IF(D4747="","",IFERROR(IF(ISNUMBER(SEARCH(Assumptions!$C$5,D4747)),Assumptions!$D$5,IF(ISNUMBER(SEARCH(Assumptions!$C$6,D4747)),Assumptions!$D$6,IF(ISNUMBER(SEARCH(Assumptions!$C$7,D4747)),Assumptions!$D$7,"Other Services"))),"Other Services"))</f>
        <v/>
      </c>
    </row>
    <row r="4748" customFormat="false" ht="15" hidden="false" customHeight="false" outlineLevel="0" collapsed="false">
      <c r="J4748" s="41" t="str">
        <f aca="false">IF(D4748="","",IFERROR(IF(ISNUMBER(SEARCH(Assumptions!$C$5,D4748)),Assumptions!$D$5,IF(ISNUMBER(SEARCH(Assumptions!$C$6,D4748)),Assumptions!$D$6,IF(ISNUMBER(SEARCH(Assumptions!$C$7,D4748)),Assumptions!$D$7,"Other Services"))),"Other Services"))</f>
        <v/>
      </c>
    </row>
    <row r="4749" customFormat="false" ht="15" hidden="false" customHeight="false" outlineLevel="0" collapsed="false">
      <c r="J4749" s="41" t="str">
        <f aca="false">IF(D4749="","",IFERROR(IF(ISNUMBER(SEARCH(Assumptions!$C$5,D4749)),Assumptions!$D$5,IF(ISNUMBER(SEARCH(Assumptions!$C$6,D4749)),Assumptions!$D$6,IF(ISNUMBER(SEARCH(Assumptions!$C$7,D4749)),Assumptions!$D$7,"Other Services"))),"Other Services"))</f>
        <v/>
      </c>
    </row>
    <row r="4750" customFormat="false" ht="15" hidden="false" customHeight="false" outlineLevel="0" collapsed="false">
      <c r="J4750" s="41" t="str">
        <f aca="false">IF(D4750="","",IFERROR(IF(ISNUMBER(SEARCH(Assumptions!$C$5,D4750)),Assumptions!$D$5,IF(ISNUMBER(SEARCH(Assumptions!$C$6,D4750)),Assumptions!$D$6,IF(ISNUMBER(SEARCH(Assumptions!$C$7,D4750)),Assumptions!$D$7,"Other Services"))),"Other Services"))</f>
        <v/>
      </c>
    </row>
    <row r="4751" customFormat="false" ht="15" hidden="false" customHeight="false" outlineLevel="0" collapsed="false">
      <c r="J4751" s="41" t="str">
        <f aca="false">IF(D4751="","",IFERROR(IF(ISNUMBER(SEARCH(Assumptions!$C$5,D4751)),Assumptions!$D$5,IF(ISNUMBER(SEARCH(Assumptions!$C$6,D4751)),Assumptions!$D$6,IF(ISNUMBER(SEARCH(Assumptions!$C$7,D4751)),Assumptions!$D$7,"Other Services"))),"Other Services"))</f>
        <v/>
      </c>
    </row>
    <row r="4752" customFormat="false" ht="15" hidden="false" customHeight="false" outlineLevel="0" collapsed="false">
      <c r="J4752" s="41" t="str">
        <f aca="false">IF(D4752="","",IFERROR(IF(ISNUMBER(SEARCH(Assumptions!$C$5,D4752)),Assumptions!$D$5,IF(ISNUMBER(SEARCH(Assumptions!$C$6,D4752)),Assumptions!$D$6,IF(ISNUMBER(SEARCH(Assumptions!$C$7,D4752)),Assumptions!$D$7,"Other Services"))),"Other Services"))</f>
        <v/>
      </c>
    </row>
    <row r="4753" customFormat="false" ht="15" hidden="false" customHeight="false" outlineLevel="0" collapsed="false">
      <c r="J4753" s="41" t="str">
        <f aca="false">IF(D4753="","",IFERROR(IF(ISNUMBER(SEARCH(Assumptions!$C$5,D4753)),Assumptions!$D$5,IF(ISNUMBER(SEARCH(Assumptions!$C$6,D4753)),Assumptions!$D$6,IF(ISNUMBER(SEARCH(Assumptions!$C$7,D4753)),Assumptions!$D$7,"Other Services"))),"Other Services"))</f>
        <v/>
      </c>
    </row>
    <row r="4754" customFormat="false" ht="15" hidden="false" customHeight="false" outlineLevel="0" collapsed="false">
      <c r="J4754" s="41" t="str">
        <f aca="false">IF(D4754="","",IFERROR(IF(ISNUMBER(SEARCH(Assumptions!$C$5,D4754)),Assumptions!$D$5,IF(ISNUMBER(SEARCH(Assumptions!$C$6,D4754)),Assumptions!$D$6,IF(ISNUMBER(SEARCH(Assumptions!$C$7,D4754)),Assumptions!$D$7,"Other Services"))),"Other Services"))</f>
        <v/>
      </c>
    </row>
    <row r="4755" customFormat="false" ht="15" hidden="false" customHeight="false" outlineLevel="0" collapsed="false">
      <c r="J4755" s="41" t="str">
        <f aca="false">IF(D4755="","",IFERROR(IF(ISNUMBER(SEARCH(Assumptions!$C$5,D4755)),Assumptions!$D$5,IF(ISNUMBER(SEARCH(Assumptions!$C$6,D4755)),Assumptions!$D$6,IF(ISNUMBER(SEARCH(Assumptions!$C$7,D4755)),Assumptions!$D$7,"Other Services"))),"Other Services"))</f>
        <v/>
      </c>
    </row>
    <row r="4756" customFormat="false" ht="15" hidden="false" customHeight="false" outlineLevel="0" collapsed="false">
      <c r="J4756" s="41" t="str">
        <f aca="false">IF(D4756="","",IFERROR(IF(ISNUMBER(SEARCH(Assumptions!$C$5,D4756)),Assumptions!$D$5,IF(ISNUMBER(SEARCH(Assumptions!$C$6,D4756)),Assumptions!$D$6,IF(ISNUMBER(SEARCH(Assumptions!$C$7,D4756)),Assumptions!$D$7,"Other Services"))),"Other Services"))</f>
        <v/>
      </c>
    </row>
    <row r="4757" customFormat="false" ht="15" hidden="false" customHeight="false" outlineLevel="0" collapsed="false">
      <c r="J4757" s="41" t="str">
        <f aca="false">IF(D4757="","",IFERROR(IF(ISNUMBER(SEARCH(Assumptions!$C$5,D4757)),Assumptions!$D$5,IF(ISNUMBER(SEARCH(Assumptions!$C$6,D4757)),Assumptions!$D$6,IF(ISNUMBER(SEARCH(Assumptions!$C$7,D4757)),Assumptions!$D$7,"Other Services"))),"Other Services"))</f>
        <v/>
      </c>
    </row>
    <row r="4758" customFormat="false" ht="15" hidden="false" customHeight="false" outlineLevel="0" collapsed="false">
      <c r="J4758" s="41" t="str">
        <f aca="false">IF(D4758="","",IFERROR(IF(ISNUMBER(SEARCH(Assumptions!$C$5,D4758)),Assumptions!$D$5,IF(ISNUMBER(SEARCH(Assumptions!$C$6,D4758)),Assumptions!$D$6,IF(ISNUMBER(SEARCH(Assumptions!$C$7,D4758)),Assumptions!$D$7,"Other Services"))),"Other Services"))</f>
        <v/>
      </c>
    </row>
    <row r="4759" customFormat="false" ht="15" hidden="false" customHeight="false" outlineLevel="0" collapsed="false">
      <c r="J4759" s="41" t="str">
        <f aca="false">IF(D4759="","",IFERROR(IF(ISNUMBER(SEARCH(Assumptions!$C$5,D4759)),Assumptions!$D$5,IF(ISNUMBER(SEARCH(Assumptions!$C$6,D4759)),Assumptions!$D$6,IF(ISNUMBER(SEARCH(Assumptions!$C$7,D4759)),Assumptions!$D$7,"Other Services"))),"Other Services"))</f>
        <v/>
      </c>
    </row>
    <row r="4760" customFormat="false" ht="15" hidden="false" customHeight="false" outlineLevel="0" collapsed="false">
      <c r="J4760" s="41" t="str">
        <f aca="false">IF(D4760="","",IFERROR(IF(ISNUMBER(SEARCH(Assumptions!$C$5,D4760)),Assumptions!$D$5,IF(ISNUMBER(SEARCH(Assumptions!$C$6,D4760)),Assumptions!$D$6,IF(ISNUMBER(SEARCH(Assumptions!$C$7,D4760)),Assumptions!$D$7,"Other Services"))),"Other Services"))</f>
        <v/>
      </c>
    </row>
    <row r="4761" customFormat="false" ht="15" hidden="false" customHeight="false" outlineLevel="0" collapsed="false">
      <c r="J4761" s="41" t="str">
        <f aca="false">IF(D4761="","",IFERROR(IF(ISNUMBER(SEARCH(Assumptions!$C$5,D4761)),Assumptions!$D$5,IF(ISNUMBER(SEARCH(Assumptions!$C$6,D4761)),Assumptions!$D$6,IF(ISNUMBER(SEARCH(Assumptions!$C$7,D4761)),Assumptions!$D$7,"Other Services"))),"Other Services"))</f>
        <v/>
      </c>
    </row>
    <row r="4762" customFormat="false" ht="15" hidden="false" customHeight="false" outlineLevel="0" collapsed="false">
      <c r="J4762" s="41" t="str">
        <f aca="false">IF(D4762="","",IFERROR(IF(ISNUMBER(SEARCH(Assumptions!$C$5,D4762)),Assumptions!$D$5,IF(ISNUMBER(SEARCH(Assumptions!$C$6,D4762)),Assumptions!$D$6,IF(ISNUMBER(SEARCH(Assumptions!$C$7,D4762)),Assumptions!$D$7,"Other Services"))),"Other Services"))</f>
        <v/>
      </c>
    </row>
    <row r="4763" customFormat="false" ht="15" hidden="false" customHeight="false" outlineLevel="0" collapsed="false">
      <c r="J4763" s="41" t="str">
        <f aca="false">IF(D4763="","",IFERROR(IF(ISNUMBER(SEARCH(Assumptions!$C$5,D4763)),Assumptions!$D$5,IF(ISNUMBER(SEARCH(Assumptions!$C$6,D4763)),Assumptions!$D$6,IF(ISNUMBER(SEARCH(Assumptions!$C$7,D4763)),Assumptions!$D$7,"Other Services"))),"Other Services"))</f>
        <v/>
      </c>
    </row>
    <row r="4764" customFormat="false" ht="15" hidden="false" customHeight="false" outlineLevel="0" collapsed="false">
      <c r="J4764" s="41" t="str">
        <f aca="false">IF(D4764="","",IFERROR(IF(ISNUMBER(SEARCH(Assumptions!$C$5,D4764)),Assumptions!$D$5,IF(ISNUMBER(SEARCH(Assumptions!$C$6,D4764)),Assumptions!$D$6,IF(ISNUMBER(SEARCH(Assumptions!$C$7,D4764)),Assumptions!$D$7,"Other Services"))),"Other Services"))</f>
        <v/>
      </c>
    </row>
    <row r="4765" customFormat="false" ht="15" hidden="false" customHeight="false" outlineLevel="0" collapsed="false">
      <c r="J4765" s="41" t="str">
        <f aca="false">IF(D4765="","",IFERROR(IF(ISNUMBER(SEARCH(Assumptions!$C$5,D4765)),Assumptions!$D$5,IF(ISNUMBER(SEARCH(Assumptions!$C$6,D4765)),Assumptions!$D$6,IF(ISNUMBER(SEARCH(Assumptions!$C$7,D4765)),Assumptions!$D$7,"Other Services"))),"Other Services"))</f>
        <v/>
      </c>
    </row>
    <row r="4766" customFormat="false" ht="15" hidden="false" customHeight="false" outlineLevel="0" collapsed="false">
      <c r="J4766" s="41" t="str">
        <f aca="false">IF(D4766="","",IFERROR(IF(ISNUMBER(SEARCH(Assumptions!$C$5,D4766)),Assumptions!$D$5,IF(ISNUMBER(SEARCH(Assumptions!$C$6,D4766)),Assumptions!$D$6,IF(ISNUMBER(SEARCH(Assumptions!$C$7,D4766)),Assumptions!$D$7,"Other Services"))),"Other Services"))</f>
        <v/>
      </c>
    </row>
    <row r="4767" customFormat="false" ht="15" hidden="false" customHeight="false" outlineLevel="0" collapsed="false">
      <c r="J4767" s="41" t="str">
        <f aca="false">IF(D4767="","",IFERROR(IF(ISNUMBER(SEARCH(Assumptions!$C$5,D4767)),Assumptions!$D$5,IF(ISNUMBER(SEARCH(Assumptions!$C$6,D4767)),Assumptions!$D$6,IF(ISNUMBER(SEARCH(Assumptions!$C$7,D4767)),Assumptions!$D$7,"Other Services"))),"Other Services"))</f>
        <v/>
      </c>
    </row>
    <row r="4768" customFormat="false" ht="15" hidden="false" customHeight="false" outlineLevel="0" collapsed="false">
      <c r="J4768" s="41" t="str">
        <f aca="false">IF(D4768="","",IFERROR(IF(ISNUMBER(SEARCH(Assumptions!$C$5,D4768)),Assumptions!$D$5,IF(ISNUMBER(SEARCH(Assumptions!$C$6,D4768)),Assumptions!$D$6,IF(ISNUMBER(SEARCH(Assumptions!$C$7,D4768)),Assumptions!$D$7,"Other Services"))),"Other Services"))</f>
        <v/>
      </c>
    </row>
    <row r="4769" customFormat="false" ht="15" hidden="false" customHeight="false" outlineLevel="0" collapsed="false">
      <c r="J4769" s="41" t="str">
        <f aca="false">IF(D4769="","",IFERROR(IF(ISNUMBER(SEARCH(Assumptions!$C$5,D4769)),Assumptions!$D$5,IF(ISNUMBER(SEARCH(Assumptions!$C$6,D4769)),Assumptions!$D$6,IF(ISNUMBER(SEARCH(Assumptions!$C$7,D4769)),Assumptions!$D$7,"Other Services"))),"Other Services"))</f>
        <v/>
      </c>
    </row>
    <row r="4770" customFormat="false" ht="15" hidden="false" customHeight="false" outlineLevel="0" collapsed="false">
      <c r="J4770" s="41" t="str">
        <f aca="false">IF(D4770="","",IFERROR(IF(ISNUMBER(SEARCH(Assumptions!$C$5,D4770)),Assumptions!$D$5,IF(ISNUMBER(SEARCH(Assumptions!$C$6,D4770)),Assumptions!$D$6,IF(ISNUMBER(SEARCH(Assumptions!$C$7,D4770)),Assumptions!$D$7,"Other Services"))),"Other Services"))</f>
        <v/>
      </c>
    </row>
    <row r="4771" customFormat="false" ht="15" hidden="false" customHeight="false" outlineLevel="0" collapsed="false">
      <c r="J4771" s="41" t="str">
        <f aca="false">IF(D4771="","",IFERROR(IF(ISNUMBER(SEARCH(Assumptions!$C$5,D4771)),Assumptions!$D$5,IF(ISNUMBER(SEARCH(Assumptions!$C$6,D4771)),Assumptions!$D$6,IF(ISNUMBER(SEARCH(Assumptions!$C$7,D4771)),Assumptions!$D$7,"Other Services"))),"Other Services"))</f>
        <v/>
      </c>
    </row>
    <row r="4772" customFormat="false" ht="15" hidden="false" customHeight="false" outlineLevel="0" collapsed="false">
      <c r="J4772" s="41" t="str">
        <f aca="false">IF(D4772="","",IFERROR(IF(ISNUMBER(SEARCH(Assumptions!$C$5,D4772)),Assumptions!$D$5,IF(ISNUMBER(SEARCH(Assumptions!$C$6,D4772)),Assumptions!$D$6,IF(ISNUMBER(SEARCH(Assumptions!$C$7,D4772)),Assumptions!$D$7,"Other Services"))),"Other Services"))</f>
        <v/>
      </c>
    </row>
    <row r="4773" customFormat="false" ht="15" hidden="false" customHeight="false" outlineLevel="0" collapsed="false">
      <c r="J4773" s="41" t="str">
        <f aca="false">IF(D4773="","",IFERROR(IF(ISNUMBER(SEARCH(Assumptions!$C$5,D4773)),Assumptions!$D$5,IF(ISNUMBER(SEARCH(Assumptions!$C$6,D4773)),Assumptions!$D$6,IF(ISNUMBER(SEARCH(Assumptions!$C$7,D4773)),Assumptions!$D$7,"Other Services"))),"Other Services"))</f>
        <v/>
      </c>
    </row>
    <row r="4774" customFormat="false" ht="15" hidden="false" customHeight="false" outlineLevel="0" collapsed="false">
      <c r="J4774" s="41" t="str">
        <f aca="false">IF(D4774="","",IFERROR(IF(ISNUMBER(SEARCH(Assumptions!$C$5,D4774)),Assumptions!$D$5,IF(ISNUMBER(SEARCH(Assumptions!$C$6,D4774)),Assumptions!$D$6,IF(ISNUMBER(SEARCH(Assumptions!$C$7,D4774)),Assumptions!$D$7,"Other Services"))),"Other Services"))</f>
        <v/>
      </c>
    </row>
    <row r="4775" customFormat="false" ht="15" hidden="false" customHeight="false" outlineLevel="0" collapsed="false">
      <c r="J4775" s="41" t="str">
        <f aca="false">IF(D4775="","",IFERROR(IF(ISNUMBER(SEARCH(Assumptions!$C$5,D4775)),Assumptions!$D$5,IF(ISNUMBER(SEARCH(Assumptions!$C$6,D4775)),Assumptions!$D$6,IF(ISNUMBER(SEARCH(Assumptions!$C$7,D4775)),Assumptions!$D$7,"Other Services"))),"Other Services"))</f>
        <v/>
      </c>
    </row>
    <row r="4776" customFormat="false" ht="15" hidden="false" customHeight="false" outlineLevel="0" collapsed="false">
      <c r="J4776" s="41" t="str">
        <f aca="false">IF(D4776="","",IFERROR(IF(ISNUMBER(SEARCH(Assumptions!$C$5,D4776)),Assumptions!$D$5,IF(ISNUMBER(SEARCH(Assumptions!$C$6,D4776)),Assumptions!$D$6,IF(ISNUMBER(SEARCH(Assumptions!$C$7,D4776)),Assumptions!$D$7,"Other Services"))),"Other Services"))</f>
        <v/>
      </c>
    </row>
    <row r="4777" customFormat="false" ht="15" hidden="false" customHeight="false" outlineLevel="0" collapsed="false">
      <c r="J4777" s="41" t="str">
        <f aca="false">IF(D4777="","",IFERROR(IF(ISNUMBER(SEARCH(Assumptions!$C$5,D4777)),Assumptions!$D$5,IF(ISNUMBER(SEARCH(Assumptions!$C$6,D4777)),Assumptions!$D$6,IF(ISNUMBER(SEARCH(Assumptions!$C$7,D4777)),Assumptions!$D$7,"Other Services"))),"Other Services"))</f>
        <v/>
      </c>
    </row>
    <row r="4778" customFormat="false" ht="15" hidden="false" customHeight="false" outlineLevel="0" collapsed="false">
      <c r="J4778" s="41" t="str">
        <f aca="false">IF(D4778="","",IFERROR(IF(ISNUMBER(SEARCH(Assumptions!$C$5,D4778)),Assumptions!$D$5,IF(ISNUMBER(SEARCH(Assumptions!$C$6,D4778)),Assumptions!$D$6,IF(ISNUMBER(SEARCH(Assumptions!$C$7,D4778)),Assumptions!$D$7,"Other Services"))),"Other Services"))</f>
        <v/>
      </c>
    </row>
    <row r="4779" customFormat="false" ht="15" hidden="false" customHeight="false" outlineLevel="0" collapsed="false">
      <c r="J4779" s="41" t="str">
        <f aca="false">IF(D4779="","",IFERROR(IF(ISNUMBER(SEARCH(Assumptions!$C$5,D4779)),Assumptions!$D$5,IF(ISNUMBER(SEARCH(Assumptions!$C$6,D4779)),Assumptions!$D$6,IF(ISNUMBER(SEARCH(Assumptions!$C$7,D4779)),Assumptions!$D$7,"Other Services"))),"Other Services"))</f>
        <v/>
      </c>
    </row>
    <row r="4780" customFormat="false" ht="15" hidden="false" customHeight="false" outlineLevel="0" collapsed="false">
      <c r="J4780" s="41" t="str">
        <f aca="false">IF(D4780="","",IFERROR(IF(ISNUMBER(SEARCH(Assumptions!$C$5,D4780)),Assumptions!$D$5,IF(ISNUMBER(SEARCH(Assumptions!$C$6,D4780)),Assumptions!$D$6,IF(ISNUMBER(SEARCH(Assumptions!$C$7,D4780)),Assumptions!$D$7,"Other Services"))),"Other Services"))</f>
        <v/>
      </c>
    </row>
    <row r="4781" customFormat="false" ht="15" hidden="false" customHeight="false" outlineLevel="0" collapsed="false">
      <c r="J4781" s="41" t="str">
        <f aca="false">IF(D4781="","",IFERROR(IF(ISNUMBER(SEARCH(Assumptions!$C$5,D4781)),Assumptions!$D$5,IF(ISNUMBER(SEARCH(Assumptions!$C$6,D4781)),Assumptions!$D$6,IF(ISNUMBER(SEARCH(Assumptions!$C$7,D4781)),Assumptions!$D$7,"Other Services"))),"Other Services"))</f>
        <v/>
      </c>
    </row>
    <row r="4782" customFormat="false" ht="15" hidden="false" customHeight="false" outlineLevel="0" collapsed="false">
      <c r="J4782" s="41" t="str">
        <f aca="false">IF(D4782="","",IFERROR(IF(ISNUMBER(SEARCH(Assumptions!$C$5,D4782)),Assumptions!$D$5,IF(ISNUMBER(SEARCH(Assumptions!$C$6,D4782)),Assumptions!$D$6,IF(ISNUMBER(SEARCH(Assumptions!$C$7,D4782)),Assumptions!$D$7,"Other Services"))),"Other Services"))</f>
        <v/>
      </c>
    </row>
    <row r="4783" customFormat="false" ht="15" hidden="false" customHeight="false" outlineLevel="0" collapsed="false">
      <c r="J4783" s="41" t="str">
        <f aca="false">IF(D4783="","",IFERROR(IF(ISNUMBER(SEARCH(Assumptions!$C$5,D4783)),Assumptions!$D$5,IF(ISNUMBER(SEARCH(Assumptions!$C$6,D4783)),Assumptions!$D$6,IF(ISNUMBER(SEARCH(Assumptions!$C$7,D4783)),Assumptions!$D$7,"Other Services"))),"Other Services"))</f>
        <v/>
      </c>
    </row>
    <row r="4784" customFormat="false" ht="15" hidden="false" customHeight="false" outlineLevel="0" collapsed="false">
      <c r="J4784" s="41" t="str">
        <f aca="false">IF(D4784="","",IFERROR(IF(ISNUMBER(SEARCH(Assumptions!$C$5,D4784)),Assumptions!$D$5,IF(ISNUMBER(SEARCH(Assumptions!$C$6,D4784)),Assumptions!$D$6,IF(ISNUMBER(SEARCH(Assumptions!$C$7,D4784)),Assumptions!$D$7,"Other Services"))),"Other Services"))</f>
        <v/>
      </c>
    </row>
    <row r="4785" customFormat="false" ht="15" hidden="false" customHeight="false" outlineLevel="0" collapsed="false">
      <c r="J4785" s="41" t="str">
        <f aca="false">IF(D4785="","",IFERROR(IF(ISNUMBER(SEARCH(Assumptions!$C$5,D4785)),Assumptions!$D$5,IF(ISNUMBER(SEARCH(Assumptions!$C$6,D4785)),Assumptions!$D$6,IF(ISNUMBER(SEARCH(Assumptions!$C$7,D4785)),Assumptions!$D$7,"Other Services"))),"Other Services"))</f>
        <v/>
      </c>
    </row>
    <row r="4786" customFormat="false" ht="15" hidden="false" customHeight="false" outlineLevel="0" collapsed="false">
      <c r="J4786" s="41" t="str">
        <f aca="false">IF(D4786="","",IFERROR(IF(ISNUMBER(SEARCH(Assumptions!$C$5,D4786)),Assumptions!$D$5,IF(ISNUMBER(SEARCH(Assumptions!$C$6,D4786)),Assumptions!$D$6,IF(ISNUMBER(SEARCH(Assumptions!$C$7,D4786)),Assumptions!$D$7,"Other Services"))),"Other Services"))</f>
        <v/>
      </c>
    </row>
    <row r="4787" customFormat="false" ht="15" hidden="false" customHeight="false" outlineLevel="0" collapsed="false">
      <c r="J4787" s="41" t="str">
        <f aca="false">IF(D4787="","",IFERROR(IF(ISNUMBER(SEARCH(Assumptions!$C$5,D4787)),Assumptions!$D$5,IF(ISNUMBER(SEARCH(Assumptions!$C$6,D4787)),Assumptions!$D$6,IF(ISNUMBER(SEARCH(Assumptions!$C$7,D4787)),Assumptions!$D$7,"Other Services"))),"Other Services"))</f>
        <v/>
      </c>
    </row>
    <row r="4788" customFormat="false" ht="15" hidden="false" customHeight="false" outlineLevel="0" collapsed="false">
      <c r="J4788" s="41" t="str">
        <f aca="false">IF(D4788="","",IFERROR(IF(ISNUMBER(SEARCH(Assumptions!$C$5,D4788)),Assumptions!$D$5,IF(ISNUMBER(SEARCH(Assumptions!$C$6,D4788)),Assumptions!$D$6,IF(ISNUMBER(SEARCH(Assumptions!$C$7,D4788)),Assumptions!$D$7,"Other Services"))),"Other Services"))</f>
        <v/>
      </c>
    </row>
    <row r="4789" customFormat="false" ht="15" hidden="false" customHeight="false" outlineLevel="0" collapsed="false">
      <c r="J4789" s="41" t="str">
        <f aca="false">IF(D4789="","",IFERROR(IF(ISNUMBER(SEARCH(Assumptions!$C$5,D4789)),Assumptions!$D$5,IF(ISNUMBER(SEARCH(Assumptions!$C$6,D4789)),Assumptions!$D$6,IF(ISNUMBER(SEARCH(Assumptions!$C$7,D4789)),Assumptions!$D$7,"Other Services"))),"Other Services"))</f>
        <v/>
      </c>
    </row>
    <row r="4790" customFormat="false" ht="15" hidden="false" customHeight="false" outlineLevel="0" collapsed="false">
      <c r="J4790" s="41" t="str">
        <f aca="false">IF(D4790="","",IFERROR(IF(ISNUMBER(SEARCH(Assumptions!$C$5,D4790)),Assumptions!$D$5,IF(ISNUMBER(SEARCH(Assumptions!$C$6,D4790)),Assumptions!$D$6,IF(ISNUMBER(SEARCH(Assumptions!$C$7,D4790)),Assumptions!$D$7,"Other Services"))),"Other Services"))</f>
        <v/>
      </c>
    </row>
    <row r="4791" customFormat="false" ht="15" hidden="false" customHeight="false" outlineLevel="0" collapsed="false">
      <c r="J4791" s="41" t="str">
        <f aca="false">IF(D4791="","",IFERROR(IF(ISNUMBER(SEARCH(Assumptions!$C$5,D4791)),Assumptions!$D$5,IF(ISNUMBER(SEARCH(Assumptions!$C$6,D4791)),Assumptions!$D$6,IF(ISNUMBER(SEARCH(Assumptions!$C$7,D4791)),Assumptions!$D$7,"Other Services"))),"Other Services"))</f>
        <v/>
      </c>
    </row>
    <row r="4792" customFormat="false" ht="15" hidden="false" customHeight="false" outlineLevel="0" collapsed="false">
      <c r="J4792" s="41" t="str">
        <f aca="false">IF(D4792="","",IFERROR(IF(ISNUMBER(SEARCH(Assumptions!$C$5,D4792)),Assumptions!$D$5,IF(ISNUMBER(SEARCH(Assumptions!$C$6,D4792)),Assumptions!$D$6,IF(ISNUMBER(SEARCH(Assumptions!$C$7,D4792)),Assumptions!$D$7,"Other Services"))),"Other Services"))</f>
        <v/>
      </c>
    </row>
    <row r="4793" customFormat="false" ht="15" hidden="false" customHeight="false" outlineLevel="0" collapsed="false">
      <c r="J4793" s="41" t="str">
        <f aca="false">IF(D4793="","",IFERROR(IF(ISNUMBER(SEARCH(Assumptions!$C$5,D4793)),Assumptions!$D$5,IF(ISNUMBER(SEARCH(Assumptions!$C$6,D4793)),Assumptions!$D$6,IF(ISNUMBER(SEARCH(Assumptions!$C$7,D4793)),Assumptions!$D$7,"Other Services"))),"Other Services"))</f>
        <v/>
      </c>
    </row>
    <row r="4794" customFormat="false" ht="15" hidden="false" customHeight="false" outlineLevel="0" collapsed="false">
      <c r="J4794" s="41" t="str">
        <f aca="false">IF(D4794="","",IFERROR(IF(ISNUMBER(SEARCH(Assumptions!$C$5,D4794)),Assumptions!$D$5,IF(ISNUMBER(SEARCH(Assumptions!$C$6,D4794)),Assumptions!$D$6,IF(ISNUMBER(SEARCH(Assumptions!$C$7,D4794)),Assumptions!$D$7,"Other Services"))),"Other Services"))</f>
        <v/>
      </c>
    </row>
    <row r="4795" customFormat="false" ht="15" hidden="false" customHeight="false" outlineLevel="0" collapsed="false">
      <c r="J4795" s="41" t="str">
        <f aca="false">IF(D4795="","",IFERROR(IF(ISNUMBER(SEARCH(Assumptions!$C$5,D4795)),Assumptions!$D$5,IF(ISNUMBER(SEARCH(Assumptions!$C$6,D4795)),Assumptions!$D$6,IF(ISNUMBER(SEARCH(Assumptions!$C$7,D4795)),Assumptions!$D$7,"Other Services"))),"Other Services"))</f>
        <v/>
      </c>
    </row>
    <row r="4796" customFormat="false" ht="15" hidden="false" customHeight="false" outlineLevel="0" collapsed="false">
      <c r="J4796" s="41" t="str">
        <f aca="false">IF(D4796="","",IFERROR(IF(ISNUMBER(SEARCH(Assumptions!$C$5,D4796)),Assumptions!$D$5,IF(ISNUMBER(SEARCH(Assumptions!$C$6,D4796)),Assumptions!$D$6,IF(ISNUMBER(SEARCH(Assumptions!$C$7,D4796)),Assumptions!$D$7,"Other Services"))),"Other Services"))</f>
        <v/>
      </c>
    </row>
    <row r="4797" customFormat="false" ht="15" hidden="false" customHeight="false" outlineLevel="0" collapsed="false">
      <c r="J4797" s="41" t="str">
        <f aca="false">IF(D4797="","",IFERROR(IF(ISNUMBER(SEARCH(Assumptions!$C$5,D4797)),Assumptions!$D$5,IF(ISNUMBER(SEARCH(Assumptions!$C$6,D4797)),Assumptions!$D$6,IF(ISNUMBER(SEARCH(Assumptions!$C$7,D4797)),Assumptions!$D$7,"Other Services"))),"Other Services"))</f>
        <v/>
      </c>
    </row>
    <row r="4798" customFormat="false" ht="15" hidden="false" customHeight="false" outlineLevel="0" collapsed="false">
      <c r="J4798" s="41" t="str">
        <f aca="false">IF(D4798="","",IFERROR(IF(ISNUMBER(SEARCH(Assumptions!$C$5,D4798)),Assumptions!$D$5,IF(ISNUMBER(SEARCH(Assumptions!$C$6,D4798)),Assumptions!$D$6,IF(ISNUMBER(SEARCH(Assumptions!$C$7,D4798)),Assumptions!$D$7,"Other Services"))),"Other Services"))</f>
        <v/>
      </c>
    </row>
    <row r="4799" customFormat="false" ht="15" hidden="false" customHeight="false" outlineLevel="0" collapsed="false">
      <c r="J4799" s="41" t="str">
        <f aca="false">IF(D4799="","",IFERROR(IF(ISNUMBER(SEARCH(Assumptions!$C$5,D4799)),Assumptions!$D$5,IF(ISNUMBER(SEARCH(Assumptions!$C$6,D4799)),Assumptions!$D$6,IF(ISNUMBER(SEARCH(Assumptions!$C$7,D4799)),Assumptions!$D$7,"Other Services"))),"Other Services"))</f>
        <v/>
      </c>
    </row>
    <row r="4800" customFormat="false" ht="15" hidden="false" customHeight="false" outlineLevel="0" collapsed="false">
      <c r="J4800" s="41" t="str">
        <f aca="false">IF(D4800="","",IFERROR(IF(ISNUMBER(SEARCH(Assumptions!$C$5,D4800)),Assumptions!$D$5,IF(ISNUMBER(SEARCH(Assumptions!$C$6,D4800)),Assumptions!$D$6,IF(ISNUMBER(SEARCH(Assumptions!$C$7,D4800)),Assumptions!$D$7,"Other Services"))),"Other Services"))</f>
        <v/>
      </c>
    </row>
    <row r="4801" customFormat="false" ht="15" hidden="false" customHeight="false" outlineLevel="0" collapsed="false">
      <c r="J4801" s="41" t="str">
        <f aca="false">IF(D4801="","",IFERROR(IF(ISNUMBER(SEARCH(Assumptions!$C$5,D4801)),Assumptions!$D$5,IF(ISNUMBER(SEARCH(Assumptions!$C$6,D4801)),Assumptions!$D$6,IF(ISNUMBER(SEARCH(Assumptions!$C$7,D4801)),Assumptions!$D$7,"Other Services"))),"Other Services"))</f>
        <v/>
      </c>
    </row>
    <row r="4802" customFormat="false" ht="15" hidden="false" customHeight="false" outlineLevel="0" collapsed="false">
      <c r="J4802" s="41" t="str">
        <f aca="false">IF(D4802="","",IFERROR(IF(ISNUMBER(SEARCH(Assumptions!$C$5,D4802)),Assumptions!$D$5,IF(ISNUMBER(SEARCH(Assumptions!$C$6,D4802)),Assumptions!$D$6,IF(ISNUMBER(SEARCH(Assumptions!$C$7,D4802)),Assumptions!$D$7,"Other Services"))),"Other Services"))</f>
        <v/>
      </c>
    </row>
    <row r="4803" customFormat="false" ht="15" hidden="false" customHeight="false" outlineLevel="0" collapsed="false">
      <c r="J4803" s="41" t="str">
        <f aca="false">IF(D4803="","",IFERROR(IF(ISNUMBER(SEARCH(Assumptions!$C$5,D4803)),Assumptions!$D$5,IF(ISNUMBER(SEARCH(Assumptions!$C$6,D4803)),Assumptions!$D$6,IF(ISNUMBER(SEARCH(Assumptions!$C$7,D4803)),Assumptions!$D$7,"Other Services"))),"Other Services"))</f>
        <v/>
      </c>
    </row>
    <row r="4804" customFormat="false" ht="15" hidden="false" customHeight="false" outlineLevel="0" collapsed="false">
      <c r="J4804" s="41" t="str">
        <f aca="false">IF(D4804="","",IFERROR(IF(ISNUMBER(SEARCH(Assumptions!$C$5,D4804)),Assumptions!$D$5,IF(ISNUMBER(SEARCH(Assumptions!$C$6,D4804)),Assumptions!$D$6,IF(ISNUMBER(SEARCH(Assumptions!$C$7,D4804)),Assumptions!$D$7,"Other Services"))),"Other Services"))</f>
        <v/>
      </c>
    </row>
    <row r="4805" customFormat="false" ht="15" hidden="false" customHeight="false" outlineLevel="0" collapsed="false">
      <c r="J4805" s="41" t="str">
        <f aca="false">IF(D4805="","",IFERROR(IF(ISNUMBER(SEARCH(Assumptions!$C$5,D4805)),Assumptions!$D$5,IF(ISNUMBER(SEARCH(Assumptions!$C$6,D4805)),Assumptions!$D$6,IF(ISNUMBER(SEARCH(Assumptions!$C$7,D4805)),Assumptions!$D$7,"Other Services"))),"Other Services"))</f>
        <v/>
      </c>
    </row>
    <row r="4806" customFormat="false" ht="15" hidden="false" customHeight="false" outlineLevel="0" collapsed="false">
      <c r="J4806" s="41" t="str">
        <f aca="false">IF(D4806="","",IFERROR(IF(ISNUMBER(SEARCH(Assumptions!$C$5,D4806)),Assumptions!$D$5,IF(ISNUMBER(SEARCH(Assumptions!$C$6,D4806)),Assumptions!$D$6,IF(ISNUMBER(SEARCH(Assumptions!$C$7,D4806)),Assumptions!$D$7,"Other Services"))),"Other Services"))</f>
        <v/>
      </c>
    </row>
    <row r="4807" customFormat="false" ht="15" hidden="false" customHeight="false" outlineLevel="0" collapsed="false">
      <c r="J4807" s="41" t="str">
        <f aca="false">IF(D4807="","",IFERROR(IF(ISNUMBER(SEARCH(Assumptions!$C$5,D4807)),Assumptions!$D$5,IF(ISNUMBER(SEARCH(Assumptions!$C$6,D4807)),Assumptions!$D$6,IF(ISNUMBER(SEARCH(Assumptions!$C$7,D4807)),Assumptions!$D$7,"Other Services"))),"Other Services"))</f>
        <v/>
      </c>
    </row>
    <row r="4808" customFormat="false" ht="15" hidden="false" customHeight="false" outlineLevel="0" collapsed="false">
      <c r="J4808" s="41" t="str">
        <f aca="false">IF(D4808="","",IFERROR(IF(ISNUMBER(SEARCH(Assumptions!$C$5,D4808)),Assumptions!$D$5,IF(ISNUMBER(SEARCH(Assumptions!$C$6,D4808)),Assumptions!$D$6,IF(ISNUMBER(SEARCH(Assumptions!$C$7,D4808)),Assumptions!$D$7,"Other Services"))),"Other Services"))</f>
        <v/>
      </c>
    </row>
    <row r="4809" customFormat="false" ht="15" hidden="false" customHeight="false" outlineLevel="0" collapsed="false">
      <c r="J4809" s="41" t="str">
        <f aca="false">IF(D4809="","",IFERROR(IF(ISNUMBER(SEARCH(Assumptions!$C$5,D4809)),Assumptions!$D$5,IF(ISNUMBER(SEARCH(Assumptions!$C$6,D4809)),Assumptions!$D$6,IF(ISNUMBER(SEARCH(Assumptions!$C$7,D4809)),Assumptions!$D$7,"Other Services"))),"Other Services"))</f>
        <v/>
      </c>
    </row>
    <row r="4810" customFormat="false" ht="15" hidden="false" customHeight="false" outlineLevel="0" collapsed="false">
      <c r="J4810" s="41" t="str">
        <f aca="false">IF(D4810="","",IFERROR(IF(ISNUMBER(SEARCH(Assumptions!$C$5,D4810)),Assumptions!$D$5,IF(ISNUMBER(SEARCH(Assumptions!$C$6,D4810)),Assumptions!$D$6,IF(ISNUMBER(SEARCH(Assumptions!$C$7,D4810)),Assumptions!$D$7,"Other Services"))),"Other Services"))</f>
        <v/>
      </c>
    </row>
    <row r="4811" customFormat="false" ht="15" hidden="false" customHeight="false" outlineLevel="0" collapsed="false">
      <c r="J4811" s="41" t="str">
        <f aca="false">IF(D4811="","",IFERROR(IF(ISNUMBER(SEARCH(Assumptions!$C$5,D4811)),Assumptions!$D$5,IF(ISNUMBER(SEARCH(Assumptions!$C$6,D4811)),Assumptions!$D$6,IF(ISNUMBER(SEARCH(Assumptions!$C$7,D4811)),Assumptions!$D$7,"Other Services"))),"Other Services"))</f>
        <v/>
      </c>
    </row>
    <row r="4812" customFormat="false" ht="15" hidden="false" customHeight="false" outlineLevel="0" collapsed="false">
      <c r="J4812" s="41" t="str">
        <f aca="false">IF(D4812="","",IFERROR(IF(ISNUMBER(SEARCH(Assumptions!$C$5,D4812)),Assumptions!$D$5,IF(ISNUMBER(SEARCH(Assumptions!$C$6,D4812)),Assumptions!$D$6,IF(ISNUMBER(SEARCH(Assumptions!$C$7,D4812)),Assumptions!$D$7,"Other Services"))),"Other Services"))</f>
        <v/>
      </c>
    </row>
    <row r="4813" customFormat="false" ht="15" hidden="false" customHeight="false" outlineLevel="0" collapsed="false">
      <c r="J4813" s="41" t="str">
        <f aca="false">IF(D4813="","",IFERROR(IF(ISNUMBER(SEARCH(Assumptions!$C$5,D4813)),Assumptions!$D$5,IF(ISNUMBER(SEARCH(Assumptions!$C$6,D4813)),Assumptions!$D$6,IF(ISNUMBER(SEARCH(Assumptions!$C$7,D4813)),Assumptions!$D$7,"Other Services"))),"Other Services"))</f>
        <v/>
      </c>
    </row>
    <row r="4814" customFormat="false" ht="15" hidden="false" customHeight="false" outlineLevel="0" collapsed="false">
      <c r="J4814" s="41" t="str">
        <f aca="false">IF(D4814="","",IFERROR(IF(ISNUMBER(SEARCH(Assumptions!$C$5,D4814)),Assumptions!$D$5,IF(ISNUMBER(SEARCH(Assumptions!$C$6,D4814)),Assumptions!$D$6,IF(ISNUMBER(SEARCH(Assumptions!$C$7,D4814)),Assumptions!$D$7,"Other Services"))),"Other Services"))</f>
        <v/>
      </c>
    </row>
    <row r="4815" customFormat="false" ht="15" hidden="false" customHeight="false" outlineLevel="0" collapsed="false">
      <c r="J4815" s="41" t="str">
        <f aca="false">IF(D4815="","",IFERROR(IF(ISNUMBER(SEARCH(Assumptions!$C$5,D4815)),Assumptions!$D$5,IF(ISNUMBER(SEARCH(Assumptions!$C$6,D4815)),Assumptions!$D$6,IF(ISNUMBER(SEARCH(Assumptions!$C$7,D4815)),Assumptions!$D$7,"Other Services"))),"Other Services"))</f>
        <v/>
      </c>
    </row>
    <row r="4816" customFormat="false" ht="15" hidden="false" customHeight="false" outlineLevel="0" collapsed="false">
      <c r="J4816" s="41" t="str">
        <f aca="false">IF(D4816="","",IFERROR(IF(ISNUMBER(SEARCH(Assumptions!$C$5,D4816)),Assumptions!$D$5,IF(ISNUMBER(SEARCH(Assumptions!$C$6,D4816)),Assumptions!$D$6,IF(ISNUMBER(SEARCH(Assumptions!$C$7,D4816)),Assumptions!$D$7,"Other Services"))),"Other Services"))</f>
        <v/>
      </c>
    </row>
    <row r="4817" customFormat="false" ht="15" hidden="false" customHeight="false" outlineLevel="0" collapsed="false">
      <c r="J4817" s="41" t="str">
        <f aca="false">IF(D4817="","",IFERROR(IF(ISNUMBER(SEARCH(Assumptions!$C$5,D4817)),Assumptions!$D$5,IF(ISNUMBER(SEARCH(Assumptions!$C$6,D4817)),Assumptions!$D$6,IF(ISNUMBER(SEARCH(Assumptions!$C$7,D4817)),Assumptions!$D$7,"Other Services"))),"Other Services"))</f>
        <v/>
      </c>
    </row>
    <row r="4818" customFormat="false" ht="15" hidden="false" customHeight="false" outlineLevel="0" collapsed="false">
      <c r="J4818" s="41" t="str">
        <f aca="false">IF(D4818="","",IFERROR(IF(ISNUMBER(SEARCH(Assumptions!$C$5,D4818)),Assumptions!$D$5,IF(ISNUMBER(SEARCH(Assumptions!$C$6,D4818)),Assumptions!$D$6,IF(ISNUMBER(SEARCH(Assumptions!$C$7,D4818)),Assumptions!$D$7,"Other Services"))),"Other Services"))</f>
        <v/>
      </c>
    </row>
    <row r="4819" customFormat="false" ht="15" hidden="false" customHeight="false" outlineLevel="0" collapsed="false">
      <c r="J4819" s="41" t="str">
        <f aca="false">IF(D4819="","",IFERROR(IF(ISNUMBER(SEARCH(Assumptions!$C$5,D4819)),Assumptions!$D$5,IF(ISNUMBER(SEARCH(Assumptions!$C$6,D4819)),Assumptions!$D$6,IF(ISNUMBER(SEARCH(Assumptions!$C$7,D4819)),Assumptions!$D$7,"Other Services"))),"Other Services"))</f>
        <v/>
      </c>
    </row>
    <row r="4820" customFormat="false" ht="15" hidden="false" customHeight="false" outlineLevel="0" collapsed="false">
      <c r="J4820" s="41" t="str">
        <f aca="false">IF(D4820="","",IFERROR(IF(ISNUMBER(SEARCH(Assumptions!$C$5,D4820)),Assumptions!$D$5,IF(ISNUMBER(SEARCH(Assumptions!$C$6,D4820)),Assumptions!$D$6,IF(ISNUMBER(SEARCH(Assumptions!$C$7,D4820)),Assumptions!$D$7,"Other Services"))),"Other Services"))</f>
        <v/>
      </c>
    </row>
    <row r="4821" customFormat="false" ht="15" hidden="false" customHeight="false" outlineLevel="0" collapsed="false">
      <c r="J4821" s="41" t="str">
        <f aca="false">IF(D4821="","",IFERROR(IF(ISNUMBER(SEARCH(Assumptions!$C$5,D4821)),Assumptions!$D$5,IF(ISNUMBER(SEARCH(Assumptions!$C$6,D4821)),Assumptions!$D$6,IF(ISNUMBER(SEARCH(Assumptions!$C$7,D4821)),Assumptions!$D$7,"Other Services"))),"Other Services"))</f>
        <v/>
      </c>
    </row>
    <row r="4822" customFormat="false" ht="15" hidden="false" customHeight="false" outlineLevel="0" collapsed="false">
      <c r="J4822" s="41" t="str">
        <f aca="false">IF(D4822="","",IFERROR(IF(ISNUMBER(SEARCH(Assumptions!$C$5,D4822)),Assumptions!$D$5,IF(ISNUMBER(SEARCH(Assumptions!$C$6,D4822)),Assumptions!$D$6,IF(ISNUMBER(SEARCH(Assumptions!$C$7,D4822)),Assumptions!$D$7,"Other Services"))),"Other Services"))</f>
        <v/>
      </c>
    </row>
    <row r="4823" customFormat="false" ht="15" hidden="false" customHeight="false" outlineLevel="0" collapsed="false">
      <c r="J4823" s="41" t="str">
        <f aca="false">IF(D4823="","",IFERROR(IF(ISNUMBER(SEARCH(Assumptions!$C$5,D4823)),Assumptions!$D$5,IF(ISNUMBER(SEARCH(Assumptions!$C$6,D4823)),Assumptions!$D$6,IF(ISNUMBER(SEARCH(Assumptions!$C$7,D4823)),Assumptions!$D$7,"Other Services"))),"Other Services"))</f>
        <v/>
      </c>
    </row>
    <row r="4824" customFormat="false" ht="15" hidden="false" customHeight="false" outlineLevel="0" collapsed="false">
      <c r="J4824" s="41" t="str">
        <f aca="false">IF(D4824="","",IFERROR(IF(ISNUMBER(SEARCH(Assumptions!$C$5,D4824)),Assumptions!$D$5,IF(ISNUMBER(SEARCH(Assumptions!$C$6,D4824)),Assumptions!$D$6,IF(ISNUMBER(SEARCH(Assumptions!$C$7,D4824)),Assumptions!$D$7,"Other Services"))),"Other Services"))</f>
        <v/>
      </c>
    </row>
    <row r="4825" customFormat="false" ht="15" hidden="false" customHeight="false" outlineLevel="0" collapsed="false">
      <c r="J4825" s="41" t="str">
        <f aca="false">IF(D4825="","",IFERROR(IF(ISNUMBER(SEARCH(Assumptions!$C$5,D4825)),Assumptions!$D$5,IF(ISNUMBER(SEARCH(Assumptions!$C$6,D4825)),Assumptions!$D$6,IF(ISNUMBER(SEARCH(Assumptions!$C$7,D4825)),Assumptions!$D$7,"Other Services"))),"Other Services"))</f>
        <v/>
      </c>
    </row>
    <row r="4826" customFormat="false" ht="15" hidden="false" customHeight="false" outlineLevel="0" collapsed="false">
      <c r="J4826" s="41" t="str">
        <f aca="false">IF(D4826="","",IFERROR(IF(ISNUMBER(SEARCH(Assumptions!$C$5,D4826)),Assumptions!$D$5,IF(ISNUMBER(SEARCH(Assumptions!$C$6,D4826)),Assumptions!$D$6,IF(ISNUMBER(SEARCH(Assumptions!$C$7,D4826)),Assumptions!$D$7,"Other Services"))),"Other Services"))</f>
        <v/>
      </c>
    </row>
    <row r="4827" customFormat="false" ht="15" hidden="false" customHeight="false" outlineLevel="0" collapsed="false">
      <c r="J4827" s="41" t="str">
        <f aca="false">IF(D4827="","",IFERROR(IF(ISNUMBER(SEARCH(Assumptions!$C$5,D4827)),Assumptions!$D$5,IF(ISNUMBER(SEARCH(Assumptions!$C$6,D4827)),Assumptions!$D$6,IF(ISNUMBER(SEARCH(Assumptions!$C$7,D4827)),Assumptions!$D$7,"Other Services"))),"Other Services"))</f>
        <v/>
      </c>
    </row>
    <row r="4828" customFormat="false" ht="15" hidden="false" customHeight="false" outlineLevel="0" collapsed="false">
      <c r="J4828" s="41" t="str">
        <f aca="false">IF(D4828="","",IFERROR(IF(ISNUMBER(SEARCH(Assumptions!$C$5,D4828)),Assumptions!$D$5,IF(ISNUMBER(SEARCH(Assumptions!$C$6,D4828)),Assumptions!$D$6,IF(ISNUMBER(SEARCH(Assumptions!$C$7,D4828)),Assumptions!$D$7,"Other Services"))),"Other Services"))</f>
        <v/>
      </c>
    </row>
    <row r="4829" customFormat="false" ht="15" hidden="false" customHeight="false" outlineLevel="0" collapsed="false">
      <c r="J4829" s="41" t="str">
        <f aca="false">IF(D4829="","",IFERROR(IF(ISNUMBER(SEARCH(Assumptions!$C$5,D4829)),Assumptions!$D$5,IF(ISNUMBER(SEARCH(Assumptions!$C$6,D4829)),Assumptions!$D$6,IF(ISNUMBER(SEARCH(Assumptions!$C$7,D4829)),Assumptions!$D$7,"Other Services"))),"Other Services"))</f>
        <v/>
      </c>
    </row>
    <row r="4830" customFormat="false" ht="15" hidden="false" customHeight="false" outlineLevel="0" collapsed="false">
      <c r="J4830" s="41" t="str">
        <f aca="false">IF(D4830="","",IFERROR(IF(ISNUMBER(SEARCH(Assumptions!$C$5,D4830)),Assumptions!$D$5,IF(ISNUMBER(SEARCH(Assumptions!$C$6,D4830)),Assumptions!$D$6,IF(ISNUMBER(SEARCH(Assumptions!$C$7,D4830)),Assumptions!$D$7,"Other Services"))),"Other Services"))</f>
        <v/>
      </c>
    </row>
    <row r="4831" customFormat="false" ht="15" hidden="false" customHeight="false" outlineLevel="0" collapsed="false">
      <c r="J4831" s="41" t="str">
        <f aca="false">IF(D4831="","",IFERROR(IF(ISNUMBER(SEARCH(Assumptions!$C$5,D4831)),Assumptions!$D$5,IF(ISNUMBER(SEARCH(Assumptions!$C$6,D4831)),Assumptions!$D$6,IF(ISNUMBER(SEARCH(Assumptions!$C$7,D4831)),Assumptions!$D$7,"Other Services"))),"Other Services"))</f>
        <v/>
      </c>
    </row>
    <row r="4832" customFormat="false" ht="15" hidden="false" customHeight="false" outlineLevel="0" collapsed="false">
      <c r="J4832" s="41" t="str">
        <f aca="false">IF(D4832="","",IFERROR(IF(ISNUMBER(SEARCH(Assumptions!$C$5,D4832)),Assumptions!$D$5,IF(ISNUMBER(SEARCH(Assumptions!$C$6,D4832)),Assumptions!$D$6,IF(ISNUMBER(SEARCH(Assumptions!$C$7,D4832)),Assumptions!$D$7,"Other Services"))),"Other Services"))</f>
        <v/>
      </c>
    </row>
    <row r="4833" customFormat="false" ht="15" hidden="false" customHeight="false" outlineLevel="0" collapsed="false">
      <c r="J4833" s="41" t="str">
        <f aca="false">IF(D4833="","",IFERROR(IF(ISNUMBER(SEARCH(Assumptions!$C$5,D4833)),Assumptions!$D$5,IF(ISNUMBER(SEARCH(Assumptions!$C$6,D4833)),Assumptions!$D$6,IF(ISNUMBER(SEARCH(Assumptions!$C$7,D4833)),Assumptions!$D$7,"Other Services"))),"Other Services"))</f>
        <v/>
      </c>
    </row>
    <row r="4834" customFormat="false" ht="15" hidden="false" customHeight="false" outlineLevel="0" collapsed="false">
      <c r="J4834" s="41" t="str">
        <f aca="false">IF(D4834="","",IFERROR(IF(ISNUMBER(SEARCH(Assumptions!$C$5,D4834)),Assumptions!$D$5,IF(ISNUMBER(SEARCH(Assumptions!$C$6,D4834)),Assumptions!$D$6,IF(ISNUMBER(SEARCH(Assumptions!$C$7,D4834)),Assumptions!$D$7,"Other Services"))),"Other Services"))</f>
        <v/>
      </c>
    </row>
    <row r="4835" customFormat="false" ht="15" hidden="false" customHeight="false" outlineLevel="0" collapsed="false">
      <c r="J4835" s="41" t="str">
        <f aca="false">IF(D4835="","",IFERROR(IF(ISNUMBER(SEARCH(Assumptions!$C$5,D4835)),Assumptions!$D$5,IF(ISNUMBER(SEARCH(Assumptions!$C$6,D4835)),Assumptions!$D$6,IF(ISNUMBER(SEARCH(Assumptions!$C$7,D4835)),Assumptions!$D$7,"Other Services"))),"Other Services"))</f>
        <v/>
      </c>
    </row>
    <row r="4836" customFormat="false" ht="15" hidden="false" customHeight="false" outlineLevel="0" collapsed="false">
      <c r="J4836" s="41" t="str">
        <f aca="false">IF(D4836="","",IFERROR(IF(ISNUMBER(SEARCH(Assumptions!$C$5,D4836)),Assumptions!$D$5,IF(ISNUMBER(SEARCH(Assumptions!$C$6,D4836)),Assumptions!$D$6,IF(ISNUMBER(SEARCH(Assumptions!$C$7,D4836)),Assumptions!$D$7,"Other Services"))),"Other Services"))</f>
        <v/>
      </c>
    </row>
    <row r="4837" customFormat="false" ht="15" hidden="false" customHeight="false" outlineLevel="0" collapsed="false">
      <c r="J4837" s="41" t="str">
        <f aca="false">IF(D4837="","",IFERROR(IF(ISNUMBER(SEARCH(Assumptions!$C$5,D4837)),Assumptions!$D$5,IF(ISNUMBER(SEARCH(Assumptions!$C$6,D4837)),Assumptions!$D$6,IF(ISNUMBER(SEARCH(Assumptions!$C$7,D4837)),Assumptions!$D$7,"Other Services"))),"Other Services"))</f>
        <v/>
      </c>
    </row>
    <row r="4838" customFormat="false" ht="15" hidden="false" customHeight="false" outlineLevel="0" collapsed="false">
      <c r="J4838" s="41" t="str">
        <f aca="false">IF(D4838="","",IFERROR(IF(ISNUMBER(SEARCH(Assumptions!$C$5,D4838)),Assumptions!$D$5,IF(ISNUMBER(SEARCH(Assumptions!$C$6,D4838)),Assumptions!$D$6,IF(ISNUMBER(SEARCH(Assumptions!$C$7,D4838)),Assumptions!$D$7,"Other Services"))),"Other Services"))</f>
        <v/>
      </c>
    </row>
    <row r="4839" customFormat="false" ht="15" hidden="false" customHeight="false" outlineLevel="0" collapsed="false">
      <c r="J4839" s="41" t="str">
        <f aca="false">IF(D4839="","",IFERROR(IF(ISNUMBER(SEARCH(Assumptions!$C$5,D4839)),Assumptions!$D$5,IF(ISNUMBER(SEARCH(Assumptions!$C$6,D4839)),Assumptions!$D$6,IF(ISNUMBER(SEARCH(Assumptions!$C$7,D4839)),Assumptions!$D$7,"Other Services"))),"Other Services"))</f>
        <v/>
      </c>
    </row>
    <row r="4840" customFormat="false" ht="15" hidden="false" customHeight="false" outlineLevel="0" collapsed="false">
      <c r="J4840" s="41" t="str">
        <f aca="false">IF(D4840="","",IFERROR(IF(ISNUMBER(SEARCH(Assumptions!$C$5,D4840)),Assumptions!$D$5,IF(ISNUMBER(SEARCH(Assumptions!$C$6,D4840)),Assumptions!$D$6,IF(ISNUMBER(SEARCH(Assumptions!$C$7,D4840)),Assumptions!$D$7,"Other Services"))),"Other Services"))</f>
        <v/>
      </c>
    </row>
    <row r="4841" customFormat="false" ht="15" hidden="false" customHeight="false" outlineLevel="0" collapsed="false">
      <c r="J4841" s="41" t="str">
        <f aca="false">IF(D4841="","",IFERROR(IF(ISNUMBER(SEARCH(Assumptions!$C$5,D4841)),Assumptions!$D$5,IF(ISNUMBER(SEARCH(Assumptions!$C$6,D4841)),Assumptions!$D$6,IF(ISNUMBER(SEARCH(Assumptions!$C$7,D4841)),Assumptions!$D$7,"Other Services"))),"Other Services"))</f>
        <v/>
      </c>
    </row>
    <row r="4842" customFormat="false" ht="15" hidden="false" customHeight="false" outlineLevel="0" collapsed="false">
      <c r="J4842" s="41" t="str">
        <f aca="false">IF(D4842="","",IFERROR(IF(ISNUMBER(SEARCH(Assumptions!$C$5,D4842)),Assumptions!$D$5,IF(ISNUMBER(SEARCH(Assumptions!$C$6,D4842)),Assumptions!$D$6,IF(ISNUMBER(SEARCH(Assumptions!$C$7,D4842)),Assumptions!$D$7,"Other Services"))),"Other Services"))</f>
        <v/>
      </c>
    </row>
    <row r="4843" customFormat="false" ht="15" hidden="false" customHeight="false" outlineLevel="0" collapsed="false">
      <c r="J4843" s="41" t="str">
        <f aca="false">IF(D4843="","",IFERROR(IF(ISNUMBER(SEARCH(Assumptions!$C$5,D4843)),Assumptions!$D$5,IF(ISNUMBER(SEARCH(Assumptions!$C$6,D4843)),Assumptions!$D$6,IF(ISNUMBER(SEARCH(Assumptions!$C$7,D4843)),Assumptions!$D$7,"Other Services"))),"Other Services"))</f>
        <v/>
      </c>
    </row>
    <row r="4844" customFormat="false" ht="15" hidden="false" customHeight="false" outlineLevel="0" collapsed="false">
      <c r="J4844" s="41" t="str">
        <f aca="false">IF(D4844="","",IFERROR(IF(ISNUMBER(SEARCH(Assumptions!$C$5,D4844)),Assumptions!$D$5,IF(ISNUMBER(SEARCH(Assumptions!$C$6,D4844)),Assumptions!$D$6,IF(ISNUMBER(SEARCH(Assumptions!$C$7,D4844)),Assumptions!$D$7,"Other Services"))),"Other Services"))</f>
        <v/>
      </c>
    </row>
    <row r="4845" customFormat="false" ht="15" hidden="false" customHeight="false" outlineLevel="0" collapsed="false">
      <c r="J4845" s="41" t="str">
        <f aca="false">IF(D4845="","",IFERROR(IF(ISNUMBER(SEARCH(Assumptions!$C$5,D4845)),Assumptions!$D$5,IF(ISNUMBER(SEARCH(Assumptions!$C$6,D4845)),Assumptions!$D$6,IF(ISNUMBER(SEARCH(Assumptions!$C$7,D4845)),Assumptions!$D$7,"Other Services"))),"Other Services"))</f>
        <v/>
      </c>
    </row>
    <row r="4846" customFormat="false" ht="15" hidden="false" customHeight="false" outlineLevel="0" collapsed="false">
      <c r="J4846" s="41" t="str">
        <f aca="false">IF(D4846="","",IFERROR(IF(ISNUMBER(SEARCH(Assumptions!$C$5,D4846)),Assumptions!$D$5,IF(ISNUMBER(SEARCH(Assumptions!$C$6,D4846)),Assumptions!$D$6,IF(ISNUMBER(SEARCH(Assumptions!$C$7,D4846)),Assumptions!$D$7,"Other Services"))),"Other Services"))</f>
        <v/>
      </c>
    </row>
    <row r="4847" customFormat="false" ht="15" hidden="false" customHeight="false" outlineLevel="0" collapsed="false">
      <c r="J4847" s="41" t="str">
        <f aca="false">IF(D4847="","",IFERROR(IF(ISNUMBER(SEARCH(Assumptions!$C$5,D4847)),Assumptions!$D$5,IF(ISNUMBER(SEARCH(Assumptions!$C$6,D4847)),Assumptions!$D$6,IF(ISNUMBER(SEARCH(Assumptions!$C$7,D4847)),Assumptions!$D$7,"Other Services"))),"Other Services"))</f>
        <v/>
      </c>
    </row>
    <row r="4848" customFormat="false" ht="15" hidden="false" customHeight="false" outlineLevel="0" collapsed="false">
      <c r="J4848" s="41" t="str">
        <f aca="false">IF(D4848="","",IFERROR(IF(ISNUMBER(SEARCH(Assumptions!$C$5,D4848)),Assumptions!$D$5,IF(ISNUMBER(SEARCH(Assumptions!$C$6,D4848)),Assumptions!$D$6,IF(ISNUMBER(SEARCH(Assumptions!$C$7,D4848)),Assumptions!$D$7,"Other Services"))),"Other Services"))</f>
        <v/>
      </c>
    </row>
    <row r="4849" customFormat="false" ht="15" hidden="false" customHeight="false" outlineLevel="0" collapsed="false">
      <c r="J4849" s="41" t="str">
        <f aca="false">IF(D4849="","",IFERROR(IF(ISNUMBER(SEARCH(Assumptions!$C$5,D4849)),Assumptions!$D$5,IF(ISNUMBER(SEARCH(Assumptions!$C$6,D4849)),Assumptions!$D$6,IF(ISNUMBER(SEARCH(Assumptions!$C$7,D4849)),Assumptions!$D$7,"Other Services"))),"Other Services"))</f>
        <v/>
      </c>
    </row>
    <row r="4850" customFormat="false" ht="15" hidden="false" customHeight="false" outlineLevel="0" collapsed="false">
      <c r="J4850" s="41" t="str">
        <f aca="false">IF(D4850="","",IFERROR(IF(ISNUMBER(SEARCH(Assumptions!$C$5,D4850)),Assumptions!$D$5,IF(ISNUMBER(SEARCH(Assumptions!$C$6,D4850)),Assumptions!$D$6,IF(ISNUMBER(SEARCH(Assumptions!$C$7,D4850)),Assumptions!$D$7,"Other Services"))),"Other Services"))</f>
        <v/>
      </c>
    </row>
    <row r="4851" customFormat="false" ht="15" hidden="false" customHeight="false" outlineLevel="0" collapsed="false">
      <c r="J4851" s="41" t="str">
        <f aca="false">IF(D4851="","",IFERROR(IF(ISNUMBER(SEARCH(Assumptions!$C$5,D4851)),Assumptions!$D$5,IF(ISNUMBER(SEARCH(Assumptions!$C$6,D4851)),Assumptions!$D$6,IF(ISNUMBER(SEARCH(Assumptions!$C$7,D4851)),Assumptions!$D$7,"Other Services"))),"Other Services"))</f>
        <v/>
      </c>
    </row>
    <row r="4852" customFormat="false" ht="15" hidden="false" customHeight="false" outlineLevel="0" collapsed="false">
      <c r="J4852" s="41" t="str">
        <f aca="false">IF(D4852="","",IFERROR(IF(ISNUMBER(SEARCH(Assumptions!$C$5,D4852)),Assumptions!$D$5,IF(ISNUMBER(SEARCH(Assumptions!$C$6,D4852)),Assumptions!$D$6,IF(ISNUMBER(SEARCH(Assumptions!$C$7,D4852)),Assumptions!$D$7,"Other Services"))),"Other Services"))</f>
        <v/>
      </c>
    </row>
    <row r="4853" customFormat="false" ht="15" hidden="false" customHeight="false" outlineLevel="0" collapsed="false">
      <c r="J4853" s="41" t="str">
        <f aca="false">IF(D4853="","",IFERROR(IF(ISNUMBER(SEARCH(Assumptions!$C$5,D4853)),Assumptions!$D$5,IF(ISNUMBER(SEARCH(Assumptions!$C$6,D4853)),Assumptions!$D$6,IF(ISNUMBER(SEARCH(Assumptions!$C$7,D4853)),Assumptions!$D$7,"Other Services"))),"Other Services"))</f>
        <v/>
      </c>
    </row>
    <row r="4854" customFormat="false" ht="15" hidden="false" customHeight="false" outlineLevel="0" collapsed="false">
      <c r="J4854" s="41" t="str">
        <f aca="false">IF(D4854="","",IFERROR(IF(ISNUMBER(SEARCH(Assumptions!$C$5,D4854)),Assumptions!$D$5,IF(ISNUMBER(SEARCH(Assumptions!$C$6,D4854)),Assumptions!$D$6,IF(ISNUMBER(SEARCH(Assumptions!$C$7,D4854)),Assumptions!$D$7,"Other Services"))),"Other Services"))</f>
        <v/>
      </c>
    </row>
    <row r="4855" customFormat="false" ht="15" hidden="false" customHeight="false" outlineLevel="0" collapsed="false">
      <c r="J4855" s="41" t="str">
        <f aca="false">IF(D4855="","",IFERROR(IF(ISNUMBER(SEARCH(Assumptions!$C$5,D4855)),Assumptions!$D$5,IF(ISNUMBER(SEARCH(Assumptions!$C$6,D4855)),Assumptions!$D$6,IF(ISNUMBER(SEARCH(Assumptions!$C$7,D4855)),Assumptions!$D$7,"Other Services"))),"Other Services"))</f>
        <v/>
      </c>
    </row>
    <row r="4856" customFormat="false" ht="15" hidden="false" customHeight="false" outlineLevel="0" collapsed="false">
      <c r="J4856" s="41" t="str">
        <f aca="false">IF(D4856="","",IFERROR(IF(ISNUMBER(SEARCH(Assumptions!$C$5,D4856)),Assumptions!$D$5,IF(ISNUMBER(SEARCH(Assumptions!$C$6,D4856)),Assumptions!$D$6,IF(ISNUMBER(SEARCH(Assumptions!$C$7,D4856)),Assumptions!$D$7,"Other Services"))),"Other Services"))</f>
        <v/>
      </c>
    </row>
    <row r="4857" customFormat="false" ht="15" hidden="false" customHeight="false" outlineLevel="0" collapsed="false">
      <c r="J4857" s="41" t="str">
        <f aca="false">IF(D4857="","",IFERROR(IF(ISNUMBER(SEARCH(Assumptions!$C$5,D4857)),Assumptions!$D$5,IF(ISNUMBER(SEARCH(Assumptions!$C$6,D4857)),Assumptions!$D$6,IF(ISNUMBER(SEARCH(Assumptions!$C$7,D4857)),Assumptions!$D$7,"Other Services"))),"Other Services"))</f>
        <v/>
      </c>
    </row>
    <row r="4858" customFormat="false" ht="15" hidden="false" customHeight="false" outlineLevel="0" collapsed="false">
      <c r="J4858" s="41" t="str">
        <f aca="false">IF(D4858="","",IFERROR(IF(ISNUMBER(SEARCH(Assumptions!$C$5,D4858)),Assumptions!$D$5,IF(ISNUMBER(SEARCH(Assumptions!$C$6,D4858)),Assumptions!$D$6,IF(ISNUMBER(SEARCH(Assumptions!$C$7,D4858)),Assumptions!$D$7,"Other Services"))),"Other Services"))</f>
        <v/>
      </c>
    </row>
    <row r="4859" customFormat="false" ht="15" hidden="false" customHeight="false" outlineLevel="0" collapsed="false">
      <c r="J4859" s="41" t="str">
        <f aca="false">IF(D4859="","",IFERROR(IF(ISNUMBER(SEARCH(Assumptions!$C$5,D4859)),Assumptions!$D$5,IF(ISNUMBER(SEARCH(Assumptions!$C$6,D4859)),Assumptions!$D$6,IF(ISNUMBER(SEARCH(Assumptions!$C$7,D4859)),Assumptions!$D$7,"Other Services"))),"Other Services"))</f>
        <v/>
      </c>
    </row>
    <row r="4860" customFormat="false" ht="15" hidden="false" customHeight="false" outlineLevel="0" collapsed="false">
      <c r="J4860" s="41" t="str">
        <f aca="false">IF(D4860="","",IFERROR(IF(ISNUMBER(SEARCH(Assumptions!$C$5,D4860)),Assumptions!$D$5,IF(ISNUMBER(SEARCH(Assumptions!$C$6,D4860)),Assumptions!$D$6,IF(ISNUMBER(SEARCH(Assumptions!$C$7,D4860)),Assumptions!$D$7,"Other Services"))),"Other Services"))</f>
        <v/>
      </c>
    </row>
    <row r="4861" customFormat="false" ht="15" hidden="false" customHeight="false" outlineLevel="0" collapsed="false">
      <c r="J4861" s="41" t="str">
        <f aca="false">IF(D4861="","",IFERROR(IF(ISNUMBER(SEARCH(Assumptions!$C$5,D4861)),Assumptions!$D$5,IF(ISNUMBER(SEARCH(Assumptions!$C$6,D4861)),Assumptions!$D$6,IF(ISNUMBER(SEARCH(Assumptions!$C$7,D4861)),Assumptions!$D$7,"Other Services"))),"Other Services"))</f>
        <v/>
      </c>
    </row>
    <row r="4862" customFormat="false" ht="15" hidden="false" customHeight="false" outlineLevel="0" collapsed="false">
      <c r="J4862" s="41" t="str">
        <f aca="false">IF(D4862="","",IFERROR(IF(ISNUMBER(SEARCH(Assumptions!$C$5,D4862)),Assumptions!$D$5,IF(ISNUMBER(SEARCH(Assumptions!$C$6,D4862)),Assumptions!$D$6,IF(ISNUMBER(SEARCH(Assumptions!$C$7,D4862)),Assumptions!$D$7,"Other Services"))),"Other Services"))</f>
        <v/>
      </c>
    </row>
    <row r="4863" customFormat="false" ht="15" hidden="false" customHeight="false" outlineLevel="0" collapsed="false">
      <c r="J4863" s="41" t="str">
        <f aca="false">IF(D4863="","",IFERROR(IF(ISNUMBER(SEARCH(Assumptions!$C$5,D4863)),Assumptions!$D$5,IF(ISNUMBER(SEARCH(Assumptions!$C$6,D4863)),Assumptions!$D$6,IF(ISNUMBER(SEARCH(Assumptions!$C$7,D4863)),Assumptions!$D$7,"Other Services"))),"Other Services"))</f>
        <v/>
      </c>
    </row>
    <row r="4864" customFormat="false" ht="15" hidden="false" customHeight="false" outlineLevel="0" collapsed="false">
      <c r="J4864" s="41" t="str">
        <f aca="false">IF(D4864="","",IFERROR(IF(ISNUMBER(SEARCH(Assumptions!$C$5,D4864)),Assumptions!$D$5,IF(ISNUMBER(SEARCH(Assumptions!$C$6,D4864)),Assumptions!$D$6,IF(ISNUMBER(SEARCH(Assumptions!$C$7,D4864)),Assumptions!$D$7,"Other Services"))),"Other Services"))</f>
        <v/>
      </c>
    </row>
    <row r="4865" customFormat="false" ht="15" hidden="false" customHeight="false" outlineLevel="0" collapsed="false">
      <c r="J4865" s="41" t="str">
        <f aca="false">IF(D4865="","",IFERROR(IF(ISNUMBER(SEARCH(Assumptions!$C$5,D4865)),Assumptions!$D$5,IF(ISNUMBER(SEARCH(Assumptions!$C$6,D4865)),Assumptions!$D$6,IF(ISNUMBER(SEARCH(Assumptions!$C$7,D4865)),Assumptions!$D$7,"Other Services"))),"Other Services"))</f>
        <v/>
      </c>
    </row>
    <row r="4866" customFormat="false" ht="15" hidden="false" customHeight="false" outlineLevel="0" collapsed="false">
      <c r="J4866" s="41" t="str">
        <f aca="false">IF(D4866="","",IFERROR(IF(ISNUMBER(SEARCH(Assumptions!$C$5,D4866)),Assumptions!$D$5,IF(ISNUMBER(SEARCH(Assumptions!$C$6,D4866)),Assumptions!$D$6,IF(ISNUMBER(SEARCH(Assumptions!$C$7,D4866)),Assumptions!$D$7,"Other Services"))),"Other Services"))</f>
        <v/>
      </c>
    </row>
    <row r="4867" customFormat="false" ht="15" hidden="false" customHeight="false" outlineLevel="0" collapsed="false">
      <c r="J4867" s="41" t="str">
        <f aca="false">IF(D4867="","",IFERROR(IF(ISNUMBER(SEARCH(Assumptions!$C$5,D4867)),Assumptions!$D$5,IF(ISNUMBER(SEARCH(Assumptions!$C$6,D4867)),Assumptions!$D$6,IF(ISNUMBER(SEARCH(Assumptions!$C$7,D4867)),Assumptions!$D$7,"Other Services"))),"Other Services"))</f>
        <v/>
      </c>
    </row>
    <row r="4868" customFormat="false" ht="15" hidden="false" customHeight="false" outlineLevel="0" collapsed="false">
      <c r="J4868" s="41" t="str">
        <f aca="false">IF(D4868="","",IFERROR(IF(ISNUMBER(SEARCH(Assumptions!$C$5,D4868)),Assumptions!$D$5,IF(ISNUMBER(SEARCH(Assumptions!$C$6,D4868)),Assumptions!$D$6,IF(ISNUMBER(SEARCH(Assumptions!$C$7,D4868)),Assumptions!$D$7,"Other Services"))),"Other Services"))</f>
        <v/>
      </c>
    </row>
    <row r="4869" customFormat="false" ht="15" hidden="false" customHeight="false" outlineLevel="0" collapsed="false">
      <c r="J4869" s="41" t="str">
        <f aca="false">IF(D4869="","",IFERROR(IF(ISNUMBER(SEARCH(Assumptions!$C$5,D4869)),Assumptions!$D$5,IF(ISNUMBER(SEARCH(Assumptions!$C$6,D4869)),Assumptions!$D$6,IF(ISNUMBER(SEARCH(Assumptions!$C$7,D4869)),Assumptions!$D$7,"Other Services"))),"Other Services"))</f>
        <v/>
      </c>
    </row>
    <row r="4870" customFormat="false" ht="15" hidden="false" customHeight="false" outlineLevel="0" collapsed="false">
      <c r="J4870" s="41" t="str">
        <f aca="false">IF(D4870="","",IFERROR(IF(ISNUMBER(SEARCH(Assumptions!$C$5,D4870)),Assumptions!$D$5,IF(ISNUMBER(SEARCH(Assumptions!$C$6,D4870)),Assumptions!$D$6,IF(ISNUMBER(SEARCH(Assumptions!$C$7,D4870)),Assumptions!$D$7,"Other Services"))),"Other Services"))</f>
        <v/>
      </c>
    </row>
    <row r="4871" customFormat="false" ht="15" hidden="false" customHeight="false" outlineLevel="0" collapsed="false">
      <c r="J4871" s="41" t="str">
        <f aca="false">IF(D4871="","",IFERROR(IF(ISNUMBER(SEARCH(Assumptions!$C$5,D4871)),Assumptions!$D$5,IF(ISNUMBER(SEARCH(Assumptions!$C$6,D4871)),Assumptions!$D$6,IF(ISNUMBER(SEARCH(Assumptions!$C$7,D4871)),Assumptions!$D$7,"Other Services"))),"Other Services"))</f>
        <v/>
      </c>
    </row>
    <row r="4872" customFormat="false" ht="15" hidden="false" customHeight="false" outlineLevel="0" collapsed="false">
      <c r="J4872" s="41" t="str">
        <f aca="false">IF(D4872="","",IFERROR(IF(ISNUMBER(SEARCH(Assumptions!$C$5,D4872)),Assumptions!$D$5,IF(ISNUMBER(SEARCH(Assumptions!$C$6,D4872)),Assumptions!$D$6,IF(ISNUMBER(SEARCH(Assumptions!$C$7,D4872)),Assumptions!$D$7,"Other Services"))),"Other Services"))</f>
        <v/>
      </c>
    </row>
    <row r="4873" customFormat="false" ht="15" hidden="false" customHeight="false" outlineLevel="0" collapsed="false">
      <c r="J4873" s="41" t="str">
        <f aca="false">IF(D4873="","",IFERROR(IF(ISNUMBER(SEARCH(Assumptions!$C$5,D4873)),Assumptions!$D$5,IF(ISNUMBER(SEARCH(Assumptions!$C$6,D4873)),Assumptions!$D$6,IF(ISNUMBER(SEARCH(Assumptions!$C$7,D4873)),Assumptions!$D$7,"Other Services"))),"Other Services"))</f>
        <v/>
      </c>
    </row>
    <row r="4874" customFormat="false" ht="15" hidden="false" customHeight="false" outlineLevel="0" collapsed="false">
      <c r="J4874" s="41" t="str">
        <f aca="false">IF(D4874="","",IFERROR(IF(ISNUMBER(SEARCH(Assumptions!$C$5,D4874)),Assumptions!$D$5,IF(ISNUMBER(SEARCH(Assumptions!$C$6,D4874)),Assumptions!$D$6,IF(ISNUMBER(SEARCH(Assumptions!$C$7,D4874)),Assumptions!$D$7,"Other Services"))),"Other Services"))</f>
        <v/>
      </c>
    </row>
    <row r="4875" customFormat="false" ht="15" hidden="false" customHeight="false" outlineLevel="0" collapsed="false">
      <c r="J4875" s="41" t="str">
        <f aca="false">IF(D4875="","",IFERROR(IF(ISNUMBER(SEARCH(Assumptions!$C$5,D4875)),Assumptions!$D$5,IF(ISNUMBER(SEARCH(Assumptions!$C$6,D4875)),Assumptions!$D$6,IF(ISNUMBER(SEARCH(Assumptions!$C$7,D4875)),Assumptions!$D$7,"Other Services"))),"Other Services"))</f>
        <v/>
      </c>
    </row>
    <row r="4876" customFormat="false" ht="15" hidden="false" customHeight="false" outlineLevel="0" collapsed="false">
      <c r="J4876" s="41" t="str">
        <f aca="false">IF(D4876="","",IFERROR(IF(ISNUMBER(SEARCH(Assumptions!$C$5,D4876)),Assumptions!$D$5,IF(ISNUMBER(SEARCH(Assumptions!$C$6,D4876)),Assumptions!$D$6,IF(ISNUMBER(SEARCH(Assumptions!$C$7,D4876)),Assumptions!$D$7,"Other Services"))),"Other Services"))</f>
        <v/>
      </c>
    </row>
    <row r="4877" customFormat="false" ht="15" hidden="false" customHeight="false" outlineLevel="0" collapsed="false">
      <c r="J4877" s="41" t="str">
        <f aca="false">IF(D4877="","",IFERROR(IF(ISNUMBER(SEARCH(Assumptions!$C$5,D4877)),Assumptions!$D$5,IF(ISNUMBER(SEARCH(Assumptions!$C$6,D4877)),Assumptions!$D$6,IF(ISNUMBER(SEARCH(Assumptions!$C$7,D4877)),Assumptions!$D$7,"Other Services"))),"Other Services"))</f>
        <v/>
      </c>
    </row>
    <row r="4878" customFormat="false" ht="15" hidden="false" customHeight="false" outlineLevel="0" collapsed="false">
      <c r="J4878" s="41" t="str">
        <f aca="false">IF(D4878="","",IFERROR(IF(ISNUMBER(SEARCH(Assumptions!$C$5,D4878)),Assumptions!$D$5,IF(ISNUMBER(SEARCH(Assumptions!$C$6,D4878)),Assumptions!$D$6,IF(ISNUMBER(SEARCH(Assumptions!$C$7,D4878)),Assumptions!$D$7,"Other Services"))),"Other Services"))</f>
        <v/>
      </c>
    </row>
    <row r="4879" customFormat="false" ht="15" hidden="false" customHeight="false" outlineLevel="0" collapsed="false">
      <c r="J4879" s="41" t="str">
        <f aca="false">IF(D4879="","",IFERROR(IF(ISNUMBER(SEARCH(Assumptions!$C$5,D4879)),Assumptions!$D$5,IF(ISNUMBER(SEARCH(Assumptions!$C$6,D4879)),Assumptions!$D$6,IF(ISNUMBER(SEARCH(Assumptions!$C$7,D4879)),Assumptions!$D$7,"Other Services"))),"Other Services"))</f>
        <v/>
      </c>
    </row>
    <row r="4880" customFormat="false" ht="15" hidden="false" customHeight="false" outlineLevel="0" collapsed="false">
      <c r="J4880" s="41" t="str">
        <f aca="false">IF(D4880="","",IFERROR(IF(ISNUMBER(SEARCH(Assumptions!$C$5,D4880)),Assumptions!$D$5,IF(ISNUMBER(SEARCH(Assumptions!$C$6,D4880)),Assumptions!$D$6,IF(ISNUMBER(SEARCH(Assumptions!$C$7,D4880)),Assumptions!$D$7,"Other Services"))),"Other Services"))</f>
        <v/>
      </c>
    </row>
    <row r="4881" customFormat="false" ht="15" hidden="false" customHeight="false" outlineLevel="0" collapsed="false">
      <c r="J4881" s="41" t="str">
        <f aca="false">IF(D4881="","",IFERROR(IF(ISNUMBER(SEARCH(Assumptions!$C$5,D4881)),Assumptions!$D$5,IF(ISNUMBER(SEARCH(Assumptions!$C$6,D4881)),Assumptions!$D$6,IF(ISNUMBER(SEARCH(Assumptions!$C$7,D4881)),Assumptions!$D$7,"Other Services"))),"Other Services"))</f>
        <v/>
      </c>
    </row>
    <row r="4882" customFormat="false" ht="15" hidden="false" customHeight="false" outlineLevel="0" collapsed="false">
      <c r="J4882" s="41" t="str">
        <f aca="false">IF(D4882="","",IFERROR(IF(ISNUMBER(SEARCH(Assumptions!$C$5,D4882)),Assumptions!$D$5,IF(ISNUMBER(SEARCH(Assumptions!$C$6,D4882)),Assumptions!$D$6,IF(ISNUMBER(SEARCH(Assumptions!$C$7,D4882)),Assumptions!$D$7,"Other Services"))),"Other Services"))</f>
        <v/>
      </c>
    </row>
    <row r="4883" customFormat="false" ht="15" hidden="false" customHeight="false" outlineLevel="0" collapsed="false">
      <c r="J4883" s="41" t="str">
        <f aca="false">IF(D4883="","",IFERROR(IF(ISNUMBER(SEARCH(Assumptions!$C$5,D4883)),Assumptions!$D$5,IF(ISNUMBER(SEARCH(Assumptions!$C$6,D4883)),Assumptions!$D$6,IF(ISNUMBER(SEARCH(Assumptions!$C$7,D4883)),Assumptions!$D$7,"Other Services"))),"Other Services"))</f>
        <v/>
      </c>
    </row>
    <row r="4884" customFormat="false" ht="15" hidden="false" customHeight="false" outlineLevel="0" collapsed="false">
      <c r="J4884" s="41" t="str">
        <f aca="false">IF(D4884="","",IFERROR(IF(ISNUMBER(SEARCH(Assumptions!$C$5,D4884)),Assumptions!$D$5,IF(ISNUMBER(SEARCH(Assumptions!$C$6,D4884)),Assumptions!$D$6,IF(ISNUMBER(SEARCH(Assumptions!$C$7,D4884)),Assumptions!$D$7,"Other Services"))),"Other Services"))</f>
        <v/>
      </c>
    </row>
    <row r="4885" customFormat="false" ht="15" hidden="false" customHeight="false" outlineLevel="0" collapsed="false">
      <c r="J4885" s="41" t="str">
        <f aca="false">IF(D4885="","",IFERROR(IF(ISNUMBER(SEARCH(Assumptions!$C$5,D4885)),Assumptions!$D$5,IF(ISNUMBER(SEARCH(Assumptions!$C$6,D4885)),Assumptions!$D$6,IF(ISNUMBER(SEARCH(Assumptions!$C$7,D4885)),Assumptions!$D$7,"Other Services"))),"Other Services"))</f>
        <v/>
      </c>
    </row>
    <row r="4886" customFormat="false" ht="15" hidden="false" customHeight="false" outlineLevel="0" collapsed="false">
      <c r="J4886" s="41" t="str">
        <f aca="false">IF(D4886="","",IFERROR(IF(ISNUMBER(SEARCH(Assumptions!$C$5,D4886)),Assumptions!$D$5,IF(ISNUMBER(SEARCH(Assumptions!$C$6,D4886)),Assumptions!$D$6,IF(ISNUMBER(SEARCH(Assumptions!$C$7,D4886)),Assumptions!$D$7,"Other Services"))),"Other Services"))</f>
        <v/>
      </c>
    </row>
    <row r="4887" customFormat="false" ht="15" hidden="false" customHeight="false" outlineLevel="0" collapsed="false">
      <c r="J4887" s="41" t="str">
        <f aca="false">IF(D4887="","",IFERROR(IF(ISNUMBER(SEARCH(Assumptions!$C$5,D4887)),Assumptions!$D$5,IF(ISNUMBER(SEARCH(Assumptions!$C$6,D4887)),Assumptions!$D$6,IF(ISNUMBER(SEARCH(Assumptions!$C$7,D4887)),Assumptions!$D$7,"Other Services"))),"Other Services"))</f>
        <v/>
      </c>
    </row>
    <row r="4888" customFormat="false" ht="15" hidden="false" customHeight="false" outlineLevel="0" collapsed="false">
      <c r="J4888" s="41" t="str">
        <f aca="false">IF(D4888="","",IFERROR(IF(ISNUMBER(SEARCH(Assumptions!$C$5,D4888)),Assumptions!$D$5,IF(ISNUMBER(SEARCH(Assumptions!$C$6,D4888)),Assumptions!$D$6,IF(ISNUMBER(SEARCH(Assumptions!$C$7,D4888)),Assumptions!$D$7,"Other Services"))),"Other Services"))</f>
        <v/>
      </c>
    </row>
    <row r="4889" customFormat="false" ht="15" hidden="false" customHeight="false" outlineLevel="0" collapsed="false">
      <c r="J4889" s="41" t="str">
        <f aca="false">IF(D4889="","",IFERROR(IF(ISNUMBER(SEARCH(Assumptions!$C$5,D4889)),Assumptions!$D$5,IF(ISNUMBER(SEARCH(Assumptions!$C$6,D4889)),Assumptions!$D$6,IF(ISNUMBER(SEARCH(Assumptions!$C$7,D4889)),Assumptions!$D$7,"Other Services"))),"Other Services"))</f>
        <v/>
      </c>
    </row>
    <row r="4890" customFormat="false" ht="15" hidden="false" customHeight="false" outlineLevel="0" collapsed="false">
      <c r="J4890" s="41" t="str">
        <f aca="false">IF(D4890="","",IFERROR(IF(ISNUMBER(SEARCH(Assumptions!$C$5,D4890)),Assumptions!$D$5,IF(ISNUMBER(SEARCH(Assumptions!$C$6,D4890)),Assumptions!$D$6,IF(ISNUMBER(SEARCH(Assumptions!$C$7,D4890)),Assumptions!$D$7,"Other Services"))),"Other Services"))</f>
        <v/>
      </c>
    </row>
    <row r="4891" customFormat="false" ht="15" hidden="false" customHeight="false" outlineLevel="0" collapsed="false">
      <c r="J4891" s="41" t="str">
        <f aca="false">IF(D4891="","",IFERROR(IF(ISNUMBER(SEARCH(Assumptions!$C$5,D4891)),Assumptions!$D$5,IF(ISNUMBER(SEARCH(Assumptions!$C$6,D4891)),Assumptions!$D$6,IF(ISNUMBER(SEARCH(Assumptions!$C$7,D4891)),Assumptions!$D$7,"Other Services"))),"Other Services"))</f>
        <v/>
      </c>
    </row>
    <row r="4892" customFormat="false" ht="15" hidden="false" customHeight="false" outlineLevel="0" collapsed="false">
      <c r="J4892" s="41" t="str">
        <f aca="false">IF(D4892="","",IFERROR(IF(ISNUMBER(SEARCH(Assumptions!$C$5,D4892)),Assumptions!$D$5,IF(ISNUMBER(SEARCH(Assumptions!$C$6,D4892)),Assumptions!$D$6,IF(ISNUMBER(SEARCH(Assumptions!$C$7,D4892)),Assumptions!$D$7,"Other Services"))),"Other Services"))</f>
        <v/>
      </c>
    </row>
    <row r="4893" customFormat="false" ht="15" hidden="false" customHeight="false" outlineLevel="0" collapsed="false">
      <c r="J4893" s="41" t="str">
        <f aca="false">IF(D4893="","",IFERROR(IF(ISNUMBER(SEARCH(Assumptions!$C$5,D4893)),Assumptions!$D$5,IF(ISNUMBER(SEARCH(Assumptions!$C$6,D4893)),Assumptions!$D$6,IF(ISNUMBER(SEARCH(Assumptions!$C$7,D4893)),Assumptions!$D$7,"Other Services"))),"Other Services"))</f>
        <v/>
      </c>
    </row>
    <row r="4894" customFormat="false" ht="15" hidden="false" customHeight="false" outlineLevel="0" collapsed="false">
      <c r="J4894" s="41" t="str">
        <f aca="false">IF(D4894="","",IFERROR(IF(ISNUMBER(SEARCH(Assumptions!$C$5,D4894)),Assumptions!$D$5,IF(ISNUMBER(SEARCH(Assumptions!$C$6,D4894)),Assumptions!$D$6,IF(ISNUMBER(SEARCH(Assumptions!$C$7,D4894)),Assumptions!$D$7,"Other Services"))),"Other Services"))</f>
        <v/>
      </c>
    </row>
    <row r="4895" customFormat="false" ht="15" hidden="false" customHeight="false" outlineLevel="0" collapsed="false">
      <c r="J4895" s="41" t="str">
        <f aca="false">IF(D4895="","",IFERROR(IF(ISNUMBER(SEARCH(Assumptions!$C$5,D4895)),Assumptions!$D$5,IF(ISNUMBER(SEARCH(Assumptions!$C$6,D4895)),Assumptions!$D$6,IF(ISNUMBER(SEARCH(Assumptions!$C$7,D4895)),Assumptions!$D$7,"Other Services"))),"Other Services"))</f>
        <v/>
      </c>
    </row>
    <row r="4896" customFormat="false" ht="15" hidden="false" customHeight="false" outlineLevel="0" collapsed="false">
      <c r="J4896" s="41" t="str">
        <f aca="false">IF(D4896="","",IFERROR(IF(ISNUMBER(SEARCH(Assumptions!$C$5,D4896)),Assumptions!$D$5,IF(ISNUMBER(SEARCH(Assumptions!$C$6,D4896)),Assumptions!$D$6,IF(ISNUMBER(SEARCH(Assumptions!$C$7,D4896)),Assumptions!$D$7,"Other Services"))),"Other Services"))</f>
        <v/>
      </c>
    </row>
    <row r="4897" customFormat="false" ht="15" hidden="false" customHeight="false" outlineLevel="0" collapsed="false">
      <c r="J4897" s="41" t="str">
        <f aca="false">IF(D4897="","",IFERROR(IF(ISNUMBER(SEARCH(Assumptions!$C$5,D4897)),Assumptions!$D$5,IF(ISNUMBER(SEARCH(Assumptions!$C$6,D4897)),Assumptions!$D$6,IF(ISNUMBER(SEARCH(Assumptions!$C$7,D4897)),Assumptions!$D$7,"Other Services"))),"Other Services"))</f>
        <v/>
      </c>
    </row>
    <row r="4898" customFormat="false" ht="15" hidden="false" customHeight="false" outlineLevel="0" collapsed="false">
      <c r="J4898" s="41" t="str">
        <f aca="false">IF(D4898="","",IFERROR(IF(ISNUMBER(SEARCH(Assumptions!$C$5,D4898)),Assumptions!$D$5,IF(ISNUMBER(SEARCH(Assumptions!$C$6,D4898)),Assumptions!$D$6,IF(ISNUMBER(SEARCH(Assumptions!$C$7,D4898)),Assumptions!$D$7,"Other Services"))),"Other Services"))</f>
        <v/>
      </c>
    </row>
    <row r="4899" customFormat="false" ht="15" hidden="false" customHeight="false" outlineLevel="0" collapsed="false">
      <c r="J4899" s="41" t="str">
        <f aca="false">IF(D4899="","",IFERROR(IF(ISNUMBER(SEARCH(Assumptions!$C$5,D4899)),Assumptions!$D$5,IF(ISNUMBER(SEARCH(Assumptions!$C$6,D4899)),Assumptions!$D$6,IF(ISNUMBER(SEARCH(Assumptions!$C$7,D4899)),Assumptions!$D$7,"Other Services"))),"Other Services"))</f>
        <v/>
      </c>
    </row>
    <row r="4900" customFormat="false" ht="15" hidden="false" customHeight="false" outlineLevel="0" collapsed="false">
      <c r="J4900" s="41" t="str">
        <f aca="false">IF(D4900="","",IFERROR(IF(ISNUMBER(SEARCH(Assumptions!$C$5,D4900)),Assumptions!$D$5,IF(ISNUMBER(SEARCH(Assumptions!$C$6,D4900)),Assumptions!$D$6,IF(ISNUMBER(SEARCH(Assumptions!$C$7,D4900)),Assumptions!$D$7,"Other Services"))),"Other Services"))</f>
        <v/>
      </c>
    </row>
    <row r="4901" customFormat="false" ht="15" hidden="false" customHeight="false" outlineLevel="0" collapsed="false">
      <c r="J4901" s="41" t="str">
        <f aca="false">IF(D4901="","",IFERROR(IF(ISNUMBER(SEARCH(Assumptions!$C$5,D4901)),Assumptions!$D$5,IF(ISNUMBER(SEARCH(Assumptions!$C$6,D4901)),Assumptions!$D$6,IF(ISNUMBER(SEARCH(Assumptions!$C$7,D4901)),Assumptions!$D$7,"Other Services"))),"Other Services"))</f>
        <v/>
      </c>
    </row>
    <row r="4902" customFormat="false" ht="15" hidden="false" customHeight="false" outlineLevel="0" collapsed="false">
      <c r="J4902" s="41" t="str">
        <f aca="false">IF(D4902="","",IFERROR(IF(ISNUMBER(SEARCH(Assumptions!$C$5,D4902)),Assumptions!$D$5,IF(ISNUMBER(SEARCH(Assumptions!$C$6,D4902)),Assumptions!$D$6,IF(ISNUMBER(SEARCH(Assumptions!$C$7,D4902)),Assumptions!$D$7,"Other Services"))),"Other Services"))</f>
        <v/>
      </c>
    </row>
    <row r="4903" customFormat="false" ht="15" hidden="false" customHeight="false" outlineLevel="0" collapsed="false">
      <c r="J4903" s="41" t="str">
        <f aca="false">IF(D4903="","",IFERROR(IF(ISNUMBER(SEARCH(Assumptions!$C$5,D4903)),Assumptions!$D$5,IF(ISNUMBER(SEARCH(Assumptions!$C$6,D4903)),Assumptions!$D$6,IF(ISNUMBER(SEARCH(Assumptions!$C$7,D4903)),Assumptions!$D$7,"Other Services"))),"Other Services"))</f>
        <v/>
      </c>
    </row>
    <row r="4904" customFormat="false" ht="15" hidden="false" customHeight="false" outlineLevel="0" collapsed="false">
      <c r="J4904" s="41" t="str">
        <f aca="false">IF(D4904="","",IFERROR(IF(ISNUMBER(SEARCH(Assumptions!$C$5,D4904)),Assumptions!$D$5,IF(ISNUMBER(SEARCH(Assumptions!$C$6,D4904)),Assumptions!$D$6,IF(ISNUMBER(SEARCH(Assumptions!$C$7,D4904)),Assumptions!$D$7,"Other Services"))),"Other Services"))</f>
        <v/>
      </c>
    </row>
    <row r="4905" customFormat="false" ht="15" hidden="false" customHeight="false" outlineLevel="0" collapsed="false">
      <c r="J4905" s="41" t="str">
        <f aca="false">IF(D4905="","",IFERROR(IF(ISNUMBER(SEARCH(Assumptions!$C$5,D4905)),Assumptions!$D$5,IF(ISNUMBER(SEARCH(Assumptions!$C$6,D4905)),Assumptions!$D$6,IF(ISNUMBER(SEARCH(Assumptions!$C$7,D4905)),Assumptions!$D$7,"Other Services"))),"Other Services"))</f>
        <v/>
      </c>
    </row>
    <row r="4906" customFormat="false" ht="15" hidden="false" customHeight="false" outlineLevel="0" collapsed="false">
      <c r="J4906" s="41" t="str">
        <f aca="false">IF(D4906="","",IFERROR(IF(ISNUMBER(SEARCH(Assumptions!$C$5,D4906)),Assumptions!$D$5,IF(ISNUMBER(SEARCH(Assumptions!$C$6,D4906)),Assumptions!$D$6,IF(ISNUMBER(SEARCH(Assumptions!$C$7,D4906)),Assumptions!$D$7,"Other Services"))),"Other Services"))</f>
        <v/>
      </c>
    </row>
    <row r="4907" customFormat="false" ht="15" hidden="false" customHeight="false" outlineLevel="0" collapsed="false">
      <c r="J4907" s="41" t="str">
        <f aca="false">IF(D4907="","",IFERROR(IF(ISNUMBER(SEARCH(Assumptions!$C$5,D4907)),Assumptions!$D$5,IF(ISNUMBER(SEARCH(Assumptions!$C$6,D4907)),Assumptions!$D$6,IF(ISNUMBER(SEARCH(Assumptions!$C$7,D4907)),Assumptions!$D$7,"Other Services"))),"Other Services"))</f>
        <v/>
      </c>
    </row>
    <row r="4908" customFormat="false" ht="15" hidden="false" customHeight="false" outlineLevel="0" collapsed="false">
      <c r="J4908" s="41" t="str">
        <f aca="false">IF(D4908="","",IFERROR(IF(ISNUMBER(SEARCH(Assumptions!$C$5,D4908)),Assumptions!$D$5,IF(ISNUMBER(SEARCH(Assumptions!$C$6,D4908)),Assumptions!$D$6,IF(ISNUMBER(SEARCH(Assumptions!$C$7,D4908)),Assumptions!$D$7,"Other Services"))),"Other Services"))</f>
        <v/>
      </c>
    </row>
    <row r="4909" customFormat="false" ht="15" hidden="false" customHeight="false" outlineLevel="0" collapsed="false">
      <c r="J4909" s="41" t="str">
        <f aca="false">IF(D4909="","",IFERROR(IF(ISNUMBER(SEARCH(Assumptions!$C$5,D4909)),Assumptions!$D$5,IF(ISNUMBER(SEARCH(Assumptions!$C$6,D4909)),Assumptions!$D$6,IF(ISNUMBER(SEARCH(Assumptions!$C$7,D4909)),Assumptions!$D$7,"Other Services"))),"Other Services"))</f>
        <v/>
      </c>
    </row>
    <row r="4910" customFormat="false" ht="15" hidden="false" customHeight="false" outlineLevel="0" collapsed="false">
      <c r="J4910" s="41" t="str">
        <f aca="false">IF(D4910="","",IFERROR(IF(ISNUMBER(SEARCH(Assumptions!$C$5,D4910)),Assumptions!$D$5,IF(ISNUMBER(SEARCH(Assumptions!$C$6,D4910)),Assumptions!$D$6,IF(ISNUMBER(SEARCH(Assumptions!$C$7,D4910)),Assumptions!$D$7,"Other Services"))),"Other Services"))</f>
        <v/>
      </c>
    </row>
    <row r="4911" customFormat="false" ht="15" hidden="false" customHeight="false" outlineLevel="0" collapsed="false">
      <c r="J4911" s="41" t="str">
        <f aca="false">IF(D4911="","",IFERROR(IF(ISNUMBER(SEARCH(Assumptions!$C$5,D4911)),Assumptions!$D$5,IF(ISNUMBER(SEARCH(Assumptions!$C$6,D4911)),Assumptions!$D$6,IF(ISNUMBER(SEARCH(Assumptions!$C$7,D4911)),Assumptions!$D$7,"Other Services"))),"Other Services"))</f>
        <v/>
      </c>
    </row>
    <row r="4912" customFormat="false" ht="15" hidden="false" customHeight="false" outlineLevel="0" collapsed="false">
      <c r="J4912" s="41" t="str">
        <f aca="false">IF(D4912="","",IFERROR(IF(ISNUMBER(SEARCH(Assumptions!$C$5,D4912)),Assumptions!$D$5,IF(ISNUMBER(SEARCH(Assumptions!$C$6,D4912)),Assumptions!$D$6,IF(ISNUMBER(SEARCH(Assumptions!$C$7,D4912)),Assumptions!$D$7,"Other Services"))),"Other Services"))</f>
        <v/>
      </c>
    </row>
    <row r="4913" customFormat="false" ht="15" hidden="false" customHeight="false" outlineLevel="0" collapsed="false">
      <c r="J4913" s="41" t="str">
        <f aca="false">IF(D4913="","",IFERROR(IF(ISNUMBER(SEARCH(Assumptions!$C$5,D4913)),Assumptions!$D$5,IF(ISNUMBER(SEARCH(Assumptions!$C$6,D4913)),Assumptions!$D$6,IF(ISNUMBER(SEARCH(Assumptions!$C$7,D4913)),Assumptions!$D$7,"Other Services"))),"Other Services"))</f>
        <v/>
      </c>
    </row>
    <row r="4914" customFormat="false" ht="15" hidden="false" customHeight="false" outlineLevel="0" collapsed="false">
      <c r="J4914" s="41" t="str">
        <f aca="false">IF(D4914="","",IFERROR(IF(ISNUMBER(SEARCH(Assumptions!$C$5,D4914)),Assumptions!$D$5,IF(ISNUMBER(SEARCH(Assumptions!$C$6,D4914)),Assumptions!$D$6,IF(ISNUMBER(SEARCH(Assumptions!$C$7,D4914)),Assumptions!$D$7,"Other Services"))),"Other Services"))</f>
        <v/>
      </c>
    </row>
    <row r="4915" customFormat="false" ht="15" hidden="false" customHeight="false" outlineLevel="0" collapsed="false">
      <c r="J4915" s="41" t="str">
        <f aca="false">IF(D4915="","",IFERROR(IF(ISNUMBER(SEARCH(Assumptions!$C$5,D4915)),Assumptions!$D$5,IF(ISNUMBER(SEARCH(Assumptions!$C$6,D4915)),Assumptions!$D$6,IF(ISNUMBER(SEARCH(Assumptions!$C$7,D4915)),Assumptions!$D$7,"Other Services"))),"Other Services"))</f>
        <v/>
      </c>
    </row>
    <row r="4916" customFormat="false" ht="15" hidden="false" customHeight="false" outlineLevel="0" collapsed="false">
      <c r="J4916" s="41" t="str">
        <f aca="false">IF(D4916="","",IFERROR(IF(ISNUMBER(SEARCH(Assumptions!$C$5,D4916)),Assumptions!$D$5,IF(ISNUMBER(SEARCH(Assumptions!$C$6,D4916)),Assumptions!$D$6,IF(ISNUMBER(SEARCH(Assumptions!$C$7,D4916)),Assumptions!$D$7,"Other Services"))),"Other Services"))</f>
        <v/>
      </c>
    </row>
    <row r="4917" customFormat="false" ht="15" hidden="false" customHeight="false" outlineLevel="0" collapsed="false">
      <c r="J4917" s="41" t="str">
        <f aca="false">IF(D4917="","",IFERROR(IF(ISNUMBER(SEARCH(Assumptions!$C$5,D4917)),Assumptions!$D$5,IF(ISNUMBER(SEARCH(Assumptions!$C$6,D4917)),Assumptions!$D$6,IF(ISNUMBER(SEARCH(Assumptions!$C$7,D4917)),Assumptions!$D$7,"Other Services"))),"Other Services"))</f>
        <v/>
      </c>
    </row>
    <row r="4918" customFormat="false" ht="15" hidden="false" customHeight="false" outlineLevel="0" collapsed="false">
      <c r="J4918" s="41" t="str">
        <f aca="false">IF(D4918="","",IFERROR(IF(ISNUMBER(SEARCH(Assumptions!$C$5,D4918)),Assumptions!$D$5,IF(ISNUMBER(SEARCH(Assumptions!$C$6,D4918)),Assumptions!$D$6,IF(ISNUMBER(SEARCH(Assumptions!$C$7,D4918)),Assumptions!$D$7,"Other Services"))),"Other Services"))</f>
        <v/>
      </c>
    </row>
    <row r="4919" customFormat="false" ht="15" hidden="false" customHeight="false" outlineLevel="0" collapsed="false">
      <c r="J4919" s="41" t="str">
        <f aca="false">IF(D4919="","",IFERROR(IF(ISNUMBER(SEARCH(Assumptions!$C$5,D4919)),Assumptions!$D$5,IF(ISNUMBER(SEARCH(Assumptions!$C$6,D4919)),Assumptions!$D$6,IF(ISNUMBER(SEARCH(Assumptions!$C$7,D4919)),Assumptions!$D$7,"Other Services"))),"Other Services"))</f>
        <v/>
      </c>
    </row>
    <row r="4920" customFormat="false" ht="15" hidden="false" customHeight="false" outlineLevel="0" collapsed="false">
      <c r="J4920" s="41" t="str">
        <f aca="false">IF(D4920="","",IFERROR(IF(ISNUMBER(SEARCH(Assumptions!$C$5,D4920)),Assumptions!$D$5,IF(ISNUMBER(SEARCH(Assumptions!$C$6,D4920)),Assumptions!$D$6,IF(ISNUMBER(SEARCH(Assumptions!$C$7,D4920)),Assumptions!$D$7,"Other Services"))),"Other Services"))</f>
        <v/>
      </c>
    </row>
    <row r="4921" customFormat="false" ht="15" hidden="false" customHeight="false" outlineLevel="0" collapsed="false">
      <c r="J4921" s="41" t="str">
        <f aca="false">IF(D4921="","",IFERROR(IF(ISNUMBER(SEARCH(Assumptions!$C$5,D4921)),Assumptions!$D$5,IF(ISNUMBER(SEARCH(Assumptions!$C$6,D4921)),Assumptions!$D$6,IF(ISNUMBER(SEARCH(Assumptions!$C$7,D4921)),Assumptions!$D$7,"Other Services"))),"Other Services"))</f>
        <v/>
      </c>
    </row>
    <row r="4922" customFormat="false" ht="15" hidden="false" customHeight="false" outlineLevel="0" collapsed="false">
      <c r="J4922" s="41" t="str">
        <f aca="false">IF(D4922="","",IFERROR(IF(ISNUMBER(SEARCH(Assumptions!$C$5,D4922)),Assumptions!$D$5,IF(ISNUMBER(SEARCH(Assumptions!$C$6,D4922)),Assumptions!$D$6,IF(ISNUMBER(SEARCH(Assumptions!$C$7,D4922)),Assumptions!$D$7,"Other Services"))),"Other Services"))</f>
        <v/>
      </c>
    </row>
    <row r="4923" customFormat="false" ht="15" hidden="false" customHeight="false" outlineLevel="0" collapsed="false">
      <c r="J4923" s="41" t="str">
        <f aca="false">IF(D4923="","",IFERROR(IF(ISNUMBER(SEARCH(Assumptions!$C$5,D4923)),Assumptions!$D$5,IF(ISNUMBER(SEARCH(Assumptions!$C$6,D4923)),Assumptions!$D$6,IF(ISNUMBER(SEARCH(Assumptions!$C$7,D4923)),Assumptions!$D$7,"Other Services"))),"Other Services"))</f>
        <v/>
      </c>
    </row>
    <row r="4924" customFormat="false" ht="15" hidden="false" customHeight="false" outlineLevel="0" collapsed="false">
      <c r="J4924" s="41" t="str">
        <f aca="false">IF(D4924="","",IFERROR(IF(ISNUMBER(SEARCH(Assumptions!$C$5,D4924)),Assumptions!$D$5,IF(ISNUMBER(SEARCH(Assumptions!$C$6,D4924)),Assumptions!$D$6,IF(ISNUMBER(SEARCH(Assumptions!$C$7,D4924)),Assumptions!$D$7,"Other Services"))),"Other Services"))</f>
        <v/>
      </c>
    </row>
    <row r="4925" customFormat="false" ht="15" hidden="false" customHeight="false" outlineLevel="0" collapsed="false">
      <c r="J4925" s="41" t="str">
        <f aca="false">IF(D4925="","",IFERROR(IF(ISNUMBER(SEARCH(Assumptions!$C$5,D4925)),Assumptions!$D$5,IF(ISNUMBER(SEARCH(Assumptions!$C$6,D4925)),Assumptions!$D$6,IF(ISNUMBER(SEARCH(Assumptions!$C$7,D4925)),Assumptions!$D$7,"Other Services"))),"Other Services"))</f>
        <v/>
      </c>
    </row>
    <row r="4926" customFormat="false" ht="15" hidden="false" customHeight="false" outlineLevel="0" collapsed="false">
      <c r="J4926" s="41" t="str">
        <f aca="false">IF(D4926="","",IFERROR(IF(ISNUMBER(SEARCH(Assumptions!$C$5,D4926)),Assumptions!$D$5,IF(ISNUMBER(SEARCH(Assumptions!$C$6,D4926)),Assumptions!$D$6,IF(ISNUMBER(SEARCH(Assumptions!$C$7,D4926)),Assumptions!$D$7,"Other Services"))),"Other Services"))</f>
        <v/>
      </c>
    </row>
    <row r="4927" customFormat="false" ht="15" hidden="false" customHeight="false" outlineLevel="0" collapsed="false">
      <c r="J4927" s="41" t="str">
        <f aca="false">IF(D4927="","",IFERROR(IF(ISNUMBER(SEARCH(Assumptions!$C$5,D4927)),Assumptions!$D$5,IF(ISNUMBER(SEARCH(Assumptions!$C$6,D4927)),Assumptions!$D$6,IF(ISNUMBER(SEARCH(Assumptions!$C$7,D4927)),Assumptions!$D$7,"Other Services"))),"Other Services"))</f>
        <v/>
      </c>
    </row>
    <row r="4928" customFormat="false" ht="15" hidden="false" customHeight="false" outlineLevel="0" collapsed="false">
      <c r="J4928" s="41" t="str">
        <f aca="false">IF(D4928="","",IFERROR(IF(ISNUMBER(SEARCH(Assumptions!$C$5,D4928)),Assumptions!$D$5,IF(ISNUMBER(SEARCH(Assumptions!$C$6,D4928)),Assumptions!$D$6,IF(ISNUMBER(SEARCH(Assumptions!$C$7,D4928)),Assumptions!$D$7,"Other Services"))),"Other Services"))</f>
        <v/>
      </c>
    </row>
    <row r="4929" customFormat="false" ht="15" hidden="false" customHeight="false" outlineLevel="0" collapsed="false">
      <c r="J4929" s="41" t="str">
        <f aca="false">IF(D4929="","",IFERROR(IF(ISNUMBER(SEARCH(Assumptions!$C$5,D4929)),Assumptions!$D$5,IF(ISNUMBER(SEARCH(Assumptions!$C$6,D4929)),Assumptions!$D$6,IF(ISNUMBER(SEARCH(Assumptions!$C$7,D4929)),Assumptions!$D$7,"Other Services"))),"Other Services"))</f>
        <v/>
      </c>
    </row>
    <row r="4930" customFormat="false" ht="15" hidden="false" customHeight="false" outlineLevel="0" collapsed="false">
      <c r="J4930" s="41" t="str">
        <f aca="false">IF(D4930="","",IFERROR(IF(ISNUMBER(SEARCH(Assumptions!$C$5,D4930)),Assumptions!$D$5,IF(ISNUMBER(SEARCH(Assumptions!$C$6,D4930)),Assumptions!$D$6,IF(ISNUMBER(SEARCH(Assumptions!$C$7,D4930)),Assumptions!$D$7,"Other Services"))),"Other Services"))</f>
        <v/>
      </c>
    </row>
    <row r="4931" customFormat="false" ht="15" hidden="false" customHeight="false" outlineLevel="0" collapsed="false">
      <c r="J4931" s="41" t="str">
        <f aca="false">IF(D4931="","",IFERROR(IF(ISNUMBER(SEARCH(Assumptions!$C$5,D4931)),Assumptions!$D$5,IF(ISNUMBER(SEARCH(Assumptions!$C$6,D4931)),Assumptions!$D$6,IF(ISNUMBER(SEARCH(Assumptions!$C$7,D4931)),Assumptions!$D$7,"Other Services"))),"Other Services"))</f>
        <v/>
      </c>
    </row>
    <row r="4932" customFormat="false" ht="15" hidden="false" customHeight="false" outlineLevel="0" collapsed="false">
      <c r="J4932" s="41" t="str">
        <f aca="false">IF(D4932="","",IFERROR(IF(ISNUMBER(SEARCH(Assumptions!$C$5,D4932)),Assumptions!$D$5,IF(ISNUMBER(SEARCH(Assumptions!$C$6,D4932)),Assumptions!$D$6,IF(ISNUMBER(SEARCH(Assumptions!$C$7,D4932)),Assumptions!$D$7,"Other Services"))),"Other Services"))</f>
        <v/>
      </c>
    </row>
    <row r="4933" customFormat="false" ht="15" hidden="false" customHeight="false" outlineLevel="0" collapsed="false">
      <c r="J4933" s="41" t="str">
        <f aca="false">IF(D4933="","",IFERROR(IF(ISNUMBER(SEARCH(Assumptions!$C$5,D4933)),Assumptions!$D$5,IF(ISNUMBER(SEARCH(Assumptions!$C$6,D4933)),Assumptions!$D$6,IF(ISNUMBER(SEARCH(Assumptions!$C$7,D4933)),Assumptions!$D$7,"Other Services"))),"Other Services"))</f>
        <v/>
      </c>
    </row>
    <row r="4934" customFormat="false" ht="15" hidden="false" customHeight="false" outlineLevel="0" collapsed="false">
      <c r="J4934" s="41" t="str">
        <f aca="false">IF(D4934="","",IFERROR(IF(ISNUMBER(SEARCH(Assumptions!$C$5,D4934)),Assumptions!$D$5,IF(ISNUMBER(SEARCH(Assumptions!$C$6,D4934)),Assumptions!$D$6,IF(ISNUMBER(SEARCH(Assumptions!$C$7,D4934)),Assumptions!$D$7,"Other Services"))),"Other Services"))</f>
        <v/>
      </c>
    </row>
    <row r="4935" customFormat="false" ht="15" hidden="false" customHeight="false" outlineLevel="0" collapsed="false">
      <c r="J4935" s="41" t="str">
        <f aca="false">IF(D4935="","",IFERROR(IF(ISNUMBER(SEARCH(Assumptions!$C$5,D4935)),Assumptions!$D$5,IF(ISNUMBER(SEARCH(Assumptions!$C$6,D4935)),Assumptions!$D$6,IF(ISNUMBER(SEARCH(Assumptions!$C$7,D4935)),Assumptions!$D$7,"Other Services"))),"Other Services"))</f>
        <v/>
      </c>
    </row>
    <row r="4936" customFormat="false" ht="15" hidden="false" customHeight="false" outlineLevel="0" collapsed="false">
      <c r="J4936" s="41" t="str">
        <f aca="false">IF(D4936="","",IFERROR(IF(ISNUMBER(SEARCH(Assumptions!$C$5,D4936)),Assumptions!$D$5,IF(ISNUMBER(SEARCH(Assumptions!$C$6,D4936)),Assumptions!$D$6,IF(ISNUMBER(SEARCH(Assumptions!$C$7,D4936)),Assumptions!$D$7,"Other Services"))),"Other Services"))</f>
        <v/>
      </c>
    </row>
    <row r="4937" customFormat="false" ht="15" hidden="false" customHeight="false" outlineLevel="0" collapsed="false">
      <c r="J4937" s="41" t="str">
        <f aca="false">IF(D4937="","",IFERROR(IF(ISNUMBER(SEARCH(Assumptions!$C$5,D4937)),Assumptions!$D$5,IF(ISNUMBER(SEARCH(Assumptions!$C$6,D4937)),Assumptions!$D$6,IF(ISNUMBER(SEARCH(Assumptions!$C$7,D4937)),Assumptions!$D$7,"Other Services"))),"Other Services"))</f>
        <v/>
      </c>
    </row>
    <row r="4938" customFormat="false" ht="15" hidden="false" customHeight="false" outlineLevel="0" collapsed="false">
      <c r="J4938" s="41" t="str">
        <f aca="false">IF(D4938="","",IFERROR(IF(ISNUMBER(SEARCH(Assumptions!$C$5,D4938)),Assumptions!$D$5,IF(ISNUMBER(SEARCH(Assumptions!$C$6,D4938)),Assumptions!$D$6,IF(ISNUMBER(SEARCH(Assumptions!$C$7,D4938)),Assumptions!$D$7,"Other Services"))),"Other Services"))</f>
        <v/>
      </c>
    </row>
    <row r="4939" customFormat="false" ht="15" hidden="false" customHeight="false" outlineLevel="0" collapsed="false">
      <c r="J4939" s="41" t="str">
        <f aca="false">IF(D4939="","",IFERROR(IF(ISNUMBER(SEARCH(Assumptions!$C$5,D4939)),Assumptions!$D$5,IF(ISNUMBER(SEARCH(Assumptions!$C$6,D4939)),Assumptions!$D$6,IF(ISNUMBER(SEARCH(Assumptions!$C$7,D4939)),Assumptions!$D$7,"Other Services"))),"Other Services"))</f>
        <v/>
      </c>
    </row>
    <row r="4940" customFormat="false" ht="15" hidden="false" customHeight="false" outlineLevel="0" collapsed="false">
      <c r="J4940" s="41" t="str">
        <f aca="false">IF(D4940="","",IFERROR(IF(ISNUMBER(SEARCH(Assumptions!$C$5,D4940)),Assumptions!$D$5,IF(ISNUMBER(SEARCH(Assumptions!$C$6,D4940)),Assumptions!$D$6,IF(ISNUMBER(SEARCH(Assumptions!$C$7,D4940)),Assumptions!$D$7,"Other Services"))),"Other Services"))</f>
        <v/>
      </c>
    </row>
    <row r="4941" customFormat="false" ht="15" hidden="false" customHeight="false" outlineLevel="0" collapsed="false">
      <c r="J4941" s="41" t="str">
        <f aca="false">IF(D4941="","",IFERROR(IF(ISNUMBER(SEARCH(Assumptions!$C$5,D4941)),Assumptions!$D$5,IF(ISNUMBER(SEARCH(Assumptions!$C$6,D4941)),Assumptions!$D$6,IF(ISNUMBER(SEARCH(Assumptions!$C$7,D4941)),Assumptions!$D$7,"Other Services"))),"Other Services"))</f>
        <v/>
      </c>
    </row>
    <row r="4942" customFormat="false" ht="15" hidden="false" customHeight="false" outlineLevel="0" collapsed="false">
      <c r="J4942" s="41" t="str">
        <f aca="false">IF(D4942="","",IFERROR(IF(ISNUMBER(SEARCH(Assumptions!$C$5,D4942)),Assumptions!$D$5,IF(ISNUMBER(SEARCH(Assumptions!$C$6,D4942)),Assumptions!$D$6,IF(ISNUMBER(SEARCH(Assumptions!$C$7,D4942)),Assumptions!$D$7,"Other Services"))),"Other Services"))</f>
        <v/>
      </c>
    </row>
    <row r="4943" customFormat="false" ht="15" hidden="false" customHeight="false" outlineLevel="0" collapsed="false">
      <c r="J4943" s="41" t="str">
        <f aca="false">IF(D4943="","",IFERROR(IF(ISNUMBER(SEARCH(Assumptions!$C$5,D4943)),Assumptions!$D$5,IF(ISNUMBER(SEARCH(Assumptions!$C$6,D4943)),Assumptions!$D$6,IF(ISNUMBER(SEARCH(Assumptions!$C$7,D4943)),Assumptions!$D$7,"Other Services"))),"Other Services"))</f>
        <v/>
      </c>
    </row>
    <row r="4944" customFormat="false" ht="15" hidden="false" customHeight="false" outlineLevel="0" collapsed="false">
      <c r="J4944" s="41" t="str">
        <f aca="false">IF(D4944="","",IFERROR(IF(ISNUMBER(SEARCH(Assumptions!$C$5,D4944)),Assumptions!$D$5,IF(ISNUMBER(SEARCH(Assumptions!$C$6,D4944)),Assumptions!$D$6,IF(ISNUMBER(SEARCH(Assumptions!$C$7,D4944)),Assumptions!$D$7,"Other Services"))),"Other Services"))</f>
        <v/>
      </c>
    </row>
    <row r="4945" customFormat="false" ht="15" hidden="false" customHeight="false" outlineLevel="0" collapsed="false">
      <c r="J4945" s="41" t="str">
        <f aca="false">IF(D4945="","",IFERROR(IF(ISNUMBER(SEARCH(Assumptions!$C$5,D4945)),Assumptions!$D$5,IF(ISNUMBER(SEARCH(Assumptions!$C$6,D4945)),Assumptions!$D$6,IF(ISNUMBER(SEARCH(Assumptions!$C$7,D4945)),Assumptions!$D$7,"Other Services"))),"Other Services"))</f>
        <v/>
      </c>
    </row>
    <row r="4946" customFormat="false" ht="15" hidden="false" customHeight="false" outlineLevel="0" collapsed="false">
      <c r="J4946" s="41" t="str">
        <f aca="false">IF(D4946="","",IFERROR(IF(ISNUMBER(SEARCH(Assumptions!$C$5,D4946)),Assumptions!$D$5,IF(ISNUMBER(SEARCH(Assumptions!$C$6,D4946)),Assumptions!$D$6,IF(ISNUMBER(SEARCH(Assumptions!$C$7,D4946)),Assumptions!$D$7,"Other Services"))),"Other Services"))</f>
        <v/>
      </c>
    </row>
    <row r="4947" customFormat="false" ht="15" hidden="false" customHeight="false" outlineLevel="0" collapsed="false">
      <c r="J4947" s="41" t="str">
        <f aca="false">IF(D4947="","",IFERROR(IF(ISNUMBER(SEARCH(Assumptions!$C$5,D4947)),Assumptions!$D$5,IF(ISNUMBER(SEARCH(Assumptions!$C$6,D4947)),Assumptions!$D$6,IF(ISNUMBER(SEARCH(Assumptions!$C$7,D4947)),Assumptions!$D$7,"Other Services"))),"Other Services"))</f>
        <v/>
      </c>
    </row>
    <row r="4948" customFormat="false" ht="15" hidden="false" customHeight="false" outlineLevel="0" collapsed="false">
      <c r="J4948" s="41" t="str">
        <f aca="false">IF(D4948="","",IFERROR(IF(ISNUMBER(SEARCH(Assumptions!$C$5,D4948)),Assumptions!$D$5,IF(ISNUMBER(SEARCH(Assumptions!$C$6,D4948)),Assumptions!$D$6,IF(ISNUMBER(SEARCH(Assumptions!$C$7,D4948)),Assumptions!$D$7,"Other Services"))),"Other Services"))</f>
        <v/>
      </c>
    </row>
    <row r="4949" customFormat="false" ht="15" hidden="false" customHeight="false" outlineLevel="0" collapsed="false">
      <c r="J4949" s="41" t="str">
        <f aca="false">IF(D4949="","",IFERROR(IF(ISNUMBER(SEARCH(Assumptions!$C$5,D4949)),Assumptions!$D$5,IF(ISNUMBER(SEARCH(Assumptions!$C$6,D4949)),Assumptions!$D$6,IF(ISNUMBER(SEARCH(Assumptions!$C$7,D4949)),Assumptions!$D$7,"Other Services"))),"Other Services"))</f>
        <v/>
      </c>
    </row>
    <row r="4950" customFormat="false" ht="15" hidden="false" customHeight="false" outlineLevel="0" collapsed="false">
      <c r="J4950" s="41" t="str">
        <f aca="false">IF(D4950="","",IFERROR(IF(ISNUMBER(SEARCH(Assumptions!$C$5,D4950)),Assumptions!$D$5,IF(ISNUMBER(SEARCH(Assumptions!$C$6,D4950)),Assumptions!$D$6,IF(ISNUMBER(SEARCH(Assumptions!$C$7,D4950)),Assumptions!$D$7,"Other Services"))),"Other Services"))</f>
        <v/>
      </c>
    </row>
    <row r="4951" customFormat="false" ht="15" hidden="false" customHeight="false" outlineLevel="0" collapsed="false">
      <c r="J4951" s="41" t="str">
        <f aca="false">IF(D4951="","",IFERROR(IF(ISNUMBER(SEARCH(Assumptions!$C$5,D4951)),Assumptions!$D$5,IF(ISNUMBER(SEARCH(Assumptions!$C$6,D4951)),Assumptions!$D$6,IF(ISNUMBER(SEARCH(Assumptions!$C$7,D4951)),Assumptions!$D$7,"Other Services"))),"Other Services"))</f>
        <v/>
      </c>
    </row>
    <row r="4952" customFormat="false" ht="15" hidden="false" customHeight="false" outlineLevel="0" collapsed="false">
      <c r="J4952" s="41" t="str">
        <f aca="false">IF(D4952="","",IFERROR(IF(ISNUMBER(SEARCH(Assumptions!$C$5,D4952)),Assumptions!$D$5,IF(ISNUMBER(SEARCH(Assumptions!$C$6,D4952)),Assumptions!$D$6,IF(ISNUMBER(SEARCH(Assumptions!$C$7,D4952)),Assumptions!$D$7,"Other Services"))),"Other Services"))</f>
        <v/>
      </c>
    </row>
    <row r="4953" customFormat="false" ht="15" hidden="false" customHeight="false" outlineLevel="0" collapsed="false">
      <c r="J4953" s="41" t="str">
        <f aca="false">IF(D4953="","",IFERROR(IF(ISNUMBER(SEARCH(Assumptions!$C$5,D4953)),Assumptions!$D$5,IF(ISNUMBER(SEARCH(Assumptions!$C$6,D4953)),Assumptions!$D$6,IF(ISNUMBER(SEARCH(Assumptions!$C$7,D4953)),Assumptions!$D$7,"Other Services"))),"Other Services"))</f>
        <v/>
      </c>
    </row>
    <row r="4954" customFormat="false" ht="15" hidden="false" customHeight="false" outlineLevel="0" collapsed="false">
      <c r="J4954" s="41" t="str">
        <f aca="false">IF(D4954="","",IFERROR(IF(ISNUMBER(SEARCH(Assumptions!$C$5,D4954)),Assumptions!$D$5,IF(ISNUMBER(SEARCH(Assumptions!$C$6,D4954)),Assumptions!$D$6,IF(ISNUMBER(SEARCH(Assumptions!$C$7,D4954)),Assumptions!$D$7,"Other Services"))),"Other Services"))</f>
        <v/>
      </c>
    </row>
    <row r="4955" customFormat="false" ht="15" hidden="false" customHeight="false" outlineLevel="0" collapsed="false">
      <c r="J4955" s="41" t="str">
        <f aca="false">IF(D4955="","",IFERROR(IF(ISNUMBER(SEARCH(Assumptions!$C$5,D4955)),Assumptions!$D$5,IF(ISNUMBER(SEARCH(Assumptions!$C$6,D4955)),Assumptions!$D$6,IF(ISNUMBER(SEARCH(Assumptions!$C$7,D4955)),Assumptions!$D$7,"Other Services"))),"Other Services"))</f>
        <v/>
      </c>
    </row>
    <row r="4956" customFormat="false" ht="15" hidden="false" customHeight="false" outlineLevel="0" collapsed="false">
      <c r="J4956" s="41" t="str">
        <f aca="false">IF(D4956="","",IFERROR(IF(ISNUMBER(SEARCH(Assumptions!$C$5,D4956)),Assumptions!$D$5,IF(ISNUMBER(SEARCH(Assumptions!$C$6,D4956)),Assumptions!$D$6,IF(ISNUMBER(SEARCH(Assumptions!$C$7,D4956)),Assumptions!$D$7,"Other Services"))),"Other Services"))</f>
        <v/>
      </c>
    </row>
    <row r="4957" customFormat="false" ht="15" hidden="false" customHeight="false" outlineLevel="0" collapsed="false">
      <c r="J4957" s="41" t="str">
        <f aca="false">IF(D4957="","",IFERROR(IF(ISNUMBER(SEARCH(Assumptions!$C$5,D4957)),Assumptions!$D$5,IF(ISNUMBER(SEARCH(Assumptions!$C$6,D4957)),Assumptions!$D$6,IF(ISNUMBER(SEARCH(Assumptions!$C$7,D4957)),Assumptions!$D$7,"Other Services"))),"Other Services"))</f>
        <v/>
      </c>
    </row>
    <row r="4958" customFormat="false" ht="15" hidden="false" customHeight="false" outlineLevel="0" collapsed="false">
      <c r="J4958" s="41" t="str">
        <f aca="false">IF(D4958="","",IFERROR(IF(ISNUMBER(SEARCH(Assumptions!$C$5,D4958)),Assumptions!$D$5,IF(ISNUMBER(SEARCH(Assumptions!$C$6,D4958)),Assumptions!$D$6,IF(ISNUMBER(SEARCH(Assumptions!$C$7,D4958)),Assumptions!$D$7,"Other Services"))),"Other Services"))</f>
        <v/>
      </c>
    </row>
    <row r="4959" customFormat="false" ht="15" hidden="false" customHeight="false" outlineLevel="0" collapsed="false">
      <c r="J4959" s="41" t="str">
        <f aca="false">IF(D4959="","",IFERROR(IF(ISNUMBER(SEARCH(Assumptions!$C$5,D4959)),Assumptions!$D$5,IF(ISNUMBER(SEARCH(Assumptions!$C$6,D4959)),Assumptions!$D$6,IF(ISNUMBER(SEARCH(Assumptions!$C$7,D4959)),Assumptions!$D$7,"Other Services"))),"Other Services"))</f>
        <v/>
      </c>
    </row>
    <row r="4960" customFormat="false" ht="15" hidden="false" customHeight="false" outlineLevel="0" collapsed="false">
      <c r="J4960" s="41" t="str">
        <f aca="false">IF(D4960="","",IFERROR(IF(ISNUMBER(SEARCH(Assumptions!$C$5,D4960)),Assumptions!$D$5,IF(ISNUMBER(SEARCH(Assumptions!$C$6,D4960)),Assumptions!$D$6,IF(ISNUMBER(SEARCH(Assumptions!$C$7,D4960)),Assumptions!$D$7,"Other Services"))),"Other Services"))</f>
        <v/>
      </c>
    </row>
    <row r="4961" customFormat="false" ht="15" hidden="false" customHeight="false" outlineLevel="0" collapsed="false">
      <c r="J4961" s="41" t="str">
        <f aca="false">IF(D4961="","",IFERROR(IF(ISNUMBER(SEARCH(Assumptions!$C$5,D4961)),Assumptions!$D$5,IF(ISNUMBER(SEARCH(Assumptions!$C$6,D4961)),Assumptions!$D$6,IF(ISNUMBER(SEARCH(Assumptions!$C$7,D4961)),Assumptions!$D$7,"Other Services"))),"Other Services"))</f>
        <v/>
      </c>
    </row>
    <row r="4962" customFormat="false" ht="15" hidden="false" customHeight="false" outlineLevel="0" collapsed="false">
      <c r="J4962" s="41" t="str">
        <f aca="false">IF(D4962="","",IFERROR(IF(ISNUMBER(SEARCH(Assumptions!$C$5,D4962)),Assumptions!$D$5,IF(ISNUMBER(SEARCH(Assumptions!$C$6,D4962)),Assumptions!$D$6,IF(ISNUMBER(SEARCH(Assumptions!$C$7,D4962)),Assumptions!$D$7,"Other Services"))),"Other Services"))</f>
        <v/>
      </c>
    </row>
    <row r="4963" customFormat="false" ht="15" hidden="false" customHeight="false" outlineLevel="0" collapsed="false">
      <c r="J4963" s="41" t="str">
        <f aca="false">IF(D4963="","",IFERROR(IF(ISNUMBER(SEARCH(Assumptions!$C$5,D4963)),Assumptions!$D$5,IF(ISNUMBER(SEARCH(Assumptions!$C$6,D4963)),Assumptions!$D$6,IF(ISNUMBER(SEARCH(Assumptions!$C$7,D4963)),Assumptions!$D$7,"Other Services"))),"Other Services"))</f>
        <v/>
      </c>
    </row>
    <row r="4964" customFormat="false" ht="15" hidden="false" customHeight="false" outlineLevel="0" collapsed="false">
      <c r="J4964" s="41" t="str">
        <f aca="false">IF(D4964="","",IFERROR(IF(ISNUMBER(SEARCH(Assumptions!$C$5,D4964)),Assumptions!$D$5,IF(ISNUMBER(SEARCH(Assumptions!$C$6,D4964)),Assumptions!$D$6,IF(ISNUMBER(SEARCH(Assumptions!$C$7,D4964)),Assumptions!$D$7,"Other Services"))),"Other Services"))</f>
        <v/>
      </c>
    </row>
    <row r="4965" customFormat="false" ht="15" hidden="false" customHeight="false" outlineLevel="0" collapsed="false">
      <c r="J4965" s="41" t="str">
        <f aca="false">IF(D4965="","",IFERROR(IF(ISNUMBER(SEARCH(Assumptions!$C$5,D4965)),Assumptions!$D$5,IF(ISNUMBER(SEARCH(Assumptions!$C$6,D4965)),Assumptions!$D$6,IF(ISNUMBER(SEARCH(Assumptions!$C$7,D4965)),Assumptions!$D$7,"Other Services"))),"Other Services"))</f>
        <v/>
      </c>
    </row>
    <row r="4966" customFormat="false" ht="15" hidden="false" customHeight="false" outlineLevel="0" collapsed="false">
      <c r="J4966" s="41" t="str">
        <f aca="false">IF(D4966="","",IFERROR(IF(ISNUMBER(SEARCH(Assumptions!$C$5,D4966)),Assumptions!$D$5,IF(ISNUMBER(SEARCH(Assumptions!$C$6,D4966)),Assumptions!$D$6,IF(ISNUMBER(SEARCH(Assumptions!$C$7,D4966)),Assumptions!$D$7,"Other Services"))),"Other Services"))</f>
        <v/>
      </c>
    </row>
    <row r="4967" customFormat="false" ht="15" hidden="false" customHeight="false" outlineLevel="0" collapsed="false">
      <c r="J4967" s="41" t="str">
        <f aca="false">IF(D4967="","",IFERROR(IF(ISNUMBER(SEARCH(Assumptions!$C$5,D4967)),Assumptions!$D$5,IF(ISNUMBER(SEARCH(Assumptions!$C$6,D4967)),Assumptions!$D$6,IF(ISNUMBER(SEARCH(Assumptions!$C$7,D4967)),Assumptions!$D$7,"Other Services"))),"Other Services"))</f>
        <v/>
      </c>
    </row>
    <row r="4968" customFormat="false" ht="15" hidden="false" customHeight="false" outlineLevel="0" collapsed="false">
      <c r="J4968" s="41" t="str">
        <f aca="false">IF(D4968="","",IFERROR(IF(ISNUMBER(SEARCH(Assumptions!$C$5,D4968)),Assumptions!$D$5,IF(ISNUMBER(SEARCH(Assumptions!$C$6,D4968)),Assumptions!$D$6,IF(ISNUMBER(SEARCH(Assumptions!$C$7,D4968)),Assumptions!$D$7,"Other Services"))),"Other Services"))</f>
        <v/>
      </c>
    </row>
    <row r="4969" customFormat="false" ht="15" hidden="false" customHeight="false" outlineLevel="0" collapsed="false">
      <c r="J4969" s="41" t="str">
        <f aca="false">IF(D4969="","",IFERROR(IF(ISNUMBER(SEARCH(Assumptions!$C$5,D4969)),Assumptions!$D$5,IF(ISNUMBER(SEARCH(Assumptions!$C$6,D4969)),Assumptions!$D$6,IF(ISNUMBER(SEARCH(Assumptions!$C$7,D4969)),Assumptions!$D$7,"Other Services"))),"Other Services"))</f>
        <v/>
      </c>
    </row>
    <row r="4970" customFormat="false" ht="15" hidden="false" customHeight="false" outlineLevel="0" collapsed="false">
      <c r="J4970" s="41" t="str">
        <f aca="false">IF(D4970="","",IFERROR(IF(ISNUMBER(SEARCH(Assumptions!$C$5,D4970)),Assumptions!$D$5,IF(ISNUMBER(SEARCH(Assumptions!$C$6,D4970)),Assumptions!$D$6,IF(ISNUMBER(SEARCH(Assumptions!$C$7,D4970)),Assumptions!$D$7,"Other Services"))),"Other Services"))</f>
        <v/>
      </c>
    </row>
    <row r="4971" customFormat="false" ht="15" hidden="false" customHeight="false" outlineLevel="0" collapsed="false">
      <c r="J4971" s="41" t="str">
        <f aca="false">IF(D4971="","",IFERROR(IF(ISNUMBER(SEARCH(Assumptions!$C$5,D4971)),Assumptions!$D$5,IF(ISNUMBER(SEARCH(Assumptions!$C$6,D4971)),Assumptions!$D$6,IF(ISNUMBER(SEARCH(Assumptions!$C$7,D4971)),Assumptions!$D$7,"Other Services"))),"Other Services"))</f>
        <v/>
      </c>
    </row>
    <row r="4972" customFormat="false" ht="15" hidden="false" customHeight="false" outlineLevel="0" collapsed="false">
      <c r="J4972" s="41" t="str">
        <f aca="false">IF(D4972="","",IFERROR(IF(ISNUMBER(SEARCH(Assumptions!$C$5,D4972)),Assumptions!$D$5,IF(ISNUMBER(SEARCH(Assumptions!$C$6,D4972)),Assumptions!$D$6,IF(ISNUMBER(SEARCH(Assumptions!$C$7,D4972)),Assumptions!$D$7,"Other Services"))),"Other Services"))</f>
        <v/>
      </c>
    </row>
    <row r="4973" customFormat="false" ht="15" hidden="false" customHeight="false" outlineLevel="0" collapsed="false">
      <c r="J4973" s="41" t="str">
        <f aca="false">IF(D4973="","",IFERROR(IF(ISNUMBER(SEARCH(Assumptions!$C$5,D4973)),Assumptions!$D$5,IF(ISNUMBER(SEARCH(Assumptions!$C$6,D4973)),Assumptions!$D$6,IF(ISNUMBER(SEARCH(Assumptions!$C$7,D4973)),Assumptions!$D$7,"Other Services"))),"Other Services"))</f>
        <v/>
      </c>
    </row>
    <row r="4974" customFormat="false" ht="15" hidden="false" customHeight="false" outlineLevel="0" collapsed="false">
      <c r="J4974" s="41" t="str">
        <f aca="false">IF(D4974="","",IFERROR(IF(ISNUMBER(SEARCH(Assumptions!$C$5,D4974)),Assumptions!$D$5,IF(ISNUMBER(SEARCH(Assumptions!$C$6,D4974)),Assumptions!$D$6,IF(ISNUMBER(SEARCH(Assumptions!$C$7,D4974)),Assumptions!$D$7,"Other Services"))),"Other Services"))</f>
        <v/>
      </c>
    </row>
    <row r="4975" customFormat="false" ht="15" hidden="false" customHeight="false" outlineLevel="0" collapsed="false">
      <c r="J4975" s="41" t="str">
        <f aca="false">IF(D4975="","",IFERROR(IF(ISNUMBER(SEARCH(Assumptions!$C$5,D4975)),Assumptions!$D$5,IF(ISNUMBER(SEARCH(Assumptions!$C$6,D4975)),Assumptions!$D$6,IF(ISNUMBER(SEARCH(Assumptions!$C$7,D4975)),Assumptions!$D$7,"Other Services"))),"Other Services"))</f>
        <v/>
      </c>
    </row>
    <row r="4976" customFormat="false" ht="15" hidden="false" customHeight="false" outlineLevel="0" collapsed="false">
      <c r="J4976" s="41" t="str">
        <f aca="false">IF(D4976="","",IFERROR(IF(ISNUMBER(SEARCH(Assumptions!$C$5,D4976)),Assumptions!$D$5,IF(ISNUMBER(SEARCH(Assumptions!$C$6,D4976)),Assumptions!$D$6,IF(ISNUMBER(SEARCH(Assumptions!$C$7,D4976)),Assumptions!$D$7,"Other Services"))),"Other Services"))</f>
        <v/>
      </c>
    </row>
    <row r="4977" customFormat="false" ht="15" hidden="false" customHeight="false" outlineLevel="0" collapsed="false">
      <c r="J4977" s="41" t="str">
        <f aca="false">IF(D4977="","",IFERROR(IF(ISNUMBER(SEARCH(Assumptions!$C$5,D4977)),Assumptions!$D$5,IF(ISNUMBER(SEARCH(Assumptions!$C$6,D4977)),Assumptions!$D$6,IF(ISNUMBER(SEARCH(Assumptions!$C$7,D4977)),Assumptions!$D$7,"Other Services"))),"Other Services"))</f>
        <v/>
      </c>
    </row>
    <row r="4978" customFormat="false" ht="15" hidden="false" customHeight="false" outlineLevel="0" collapsed="false">
      <c r="J4978" s="41" t="str">
        <f aca="false">IF(D4978="","",IFERROR(IF(ISNUMBER(SEARCH(Assumptions!$C$5,D4978)),Assumptions!$D$5,IF(ISNUMBER(SEARCH(Assumptions!$C$6,D4978)),Assumptions!$D$6,IF(ISNUMBER(SEARCH(Assumptions!$C$7,D4978)),Assumptions!$D$7,"Other Services"))),"Other Services"))</f>
        <v/>
      </c>
    </row>
    <row r="4979" customFormat="false" ht="15" hidden="false" customHeight="false" outlineLevel="0" collapsed="false">
      <c r="J4979" s="41" t="str">
        <f aca="false">IF(D4979="","",IFERROR(IF(ISNUMBER(SEARCH(Assumptions!$C$5,D4979)),Assumptions!$D$5,IF(ISNUMBER(SEARCH(Assumptions!$C$6,D4979)),Assumptions!$D$6,IF(ISNUMBER(SEARCH(Assumptions!$C$7,D4979)),Assumptions!$D$7,"Other Services"))),"Other Services"))</f>
        <v/>
      </c>
    </row>
    <row r="4980" customFormat="false" ht="15" hidden="false" customHeight="false" outlineLevel="0" collapsed="false">
      <c r="J4980" s="41" t="str">
        <f aca="false">IF(D4980="","",IFERROR(IF(ISNUMBER(SEARCH(Assumptions!$C$5,D4980)),Assumptions!$D$5,IF(ISNUMBER(SEARCH(Assumptions!$C$6,D4980)),Assumptions!$D$6,IF(ISNUMBER(SEARCH(Assumptions!$C$7,D4980)),Assumptions!$D$7,"Other Services"))),"Other Services"))</f>
        <v/>
      </c>
    </row>
    <row r="4981" customFormat="false" ht="15" hidden="false" customHeight="false" outlineLevel="0" collapsed="false">
      <c r="J4981" s="41" t="str">
        <f aca="false">IF(D4981="","",IFERROR(IF(ISNUMBER(SEARCH(Assumptions!$C$5,D4981)),Assumptions!$D$5,IF(ISNUMBER(SEARCH(Assumptions!$C$6,D4981)),Assumptions!$D$6,IF(ISNUMBER(SEARCH(Assumptions!$C$7,D4981)),Assumptions!$D$7,"Other Services"))),"Other Services"))</f>
        <v/>
      </c>
    </row>
    <row r="4982" customFormat="false" ht="15" hidden="false" customHeight="false" outlineLevel="0" collapsed="false">
      <c r="J4982" s="41" t="str">
        <f aca="false">IF(D4982="","",IFERROR(IF(ISNUMBER(SEARCH(Assumptions!$C$5,D4982)),Assumptions!$D$5,IF(ISNUMBER(SEARCH(Assumptions!$C$6,D4982)),Assumptions!$D$6,IF(ISNUMBER(SEARCH(Assumptions!$C$7,D4982)),Assumptions!$D$7,"Other Services"))),"Other Services"))</f>
        <v/>
      </c>
    </row>
    <row r="4983" customFormat="false" ht="15" hidden="false" customHeight="false" outlineLevel="0" collapsed="false">
      <c r="J4983" s="41" t="str">
        <f aca="false">IF(D4983="","",IFERROR(IF(ISNUMBER(SEARCH(Assumptions!$C$5,D4983)),Assumptions!$D$5,IF(ISNUMBER(SEARCH(Assumptions!$C$6,D4983)),Assumptions!$D$6,IF(ISNUMBER(SEARCH(Assumptions!$C$7,D4983)),Assumptions!$D$7,"Other Services"))),"Other Services"))</f>
        <v/>
      </c>
    </row>
    <row r="4984" customFormat="false" ht="15" hidden="false" customHeight="false" outlineLevel="0" collapsed="false">
      <c r="J4984" s="41" t="str">
        <f aca="false">IF(D4984="","",IFERROR(IF(ISNUMBER(SEARCH(Assumptions!$C$5,D4984)),Assumptions!$D$5,IF(ISNUMBER(SEARCH(Assumptions!$C$6,D4984)),Assumptions!$D$6,IF(ISNUMBER(SEARCH(Assumptions!$C$7,D4984)),Assumptions!$D$7,"Other Services"))),"Other Services"))</f>
        <v/>
      </c>
    </row>
    <row r="4985" customFormat="false" ht="15" hidden="false" customHeight="false" outlineLevel="0" collapsed="false">
      <c r="J4985" s="41" t="str">
        <f aca="false">IF(D4985="","",IFERROR(IF(ISNUMBER(SEARCH(Assumptions!$C$5,D4985)),Assumptions!$D$5,IF(ISNUMBER(SEARCH(Assumptions!$C$6,D4985)),Assumptions!$D$6,IF(ISNUMBER(SEARCH(Assumptions!$C$7,D4985)),Assumptions!$D$7,"Other Services"))),"Other Services"))</f>
        <v/>
      </c>
    </row>
    <row r="4986" customFormat="false" ht="15" hidden="false" customHeight="false" outlineLevel="0" collapsed="false">
      <c r="J4986" s="41" t="str">
        <f aca="false">IF(D4986="","",IFERROR(IF(ISNUMBER(SEARCH(Assumptions!$C$5,D4986)),Assumptions!$D$5,IF(ISNUMBER(SEARCH(Assumptions!$C$6,D4986)),Assumptions!$D$6,IF(ISNUMBER(SEARCH(Assumptions!$C$7,D4986)),Assumptions!$D$7,"Other Services"))),"Other Services"))</f>
        <v/>
      </c>
    </row>
    <row r="4987" customFormat="false" ht="15" hidden="false" customHeight="false" outlineLevel="0" collapsed="false">
      <c r="J4987" s="41" t="str">
        <f aca="false">IF(D4987="","",IFERROR(IF(ISNUMBER(SEARCH(Assumptions!$C$5,D4987)),Assumptions!$D$5,IF(ISNUMBER(SEARCH(Assumptions!$C$6,D4987)),Assumptions!$D$6,IF(ISNUMBER(SEARCH(Assumptions!$C$7,D4987)),Assumptions!$D$7,"Other Services"))),"Other Services"))</f>
        <v/>
      </c>
    </row>
    <row r="4988" customFormat="false" ht="15" hidden="false" customHeight="false" outlineLevel="0" collapsed="false">
      <c r="J4988" s="41" t="str">
        <f aca="false">IF(D4988="","",IFERROR(IF(ISNUMBER(SEARCH(Assumptions!$C$5,D4988)),Assumptions!$D$5,IF(ISNUMBER(SEARCH(Assumptions!$C$6,D4988)),Assumptions!$D$6,IF(ISNUMBER(SEARCH(Assumptions!$C$7,D4988)),Assumptions!$D$7,"Other Services"))),"Other Services"))</f>
        <v/>
      </c>
    </row>
    <row r="4989" customFormat="false" ht="15" hidden="false" customHeight="false" outlineLevel="0" collapsed="false">
      <c r="J4989" s="41" t="str">
        <f aca="false">IF(D4989="","",IFERROR(IF(ISNUMBER(SEARCH(Assumptions!$C$5,D4989)),Assumptions!$D$5,IF(ISNUMBER(SEARCH(Assumptions!$C$6,D4989)),Assumptions!$D$6,IF(ISNUMBER(SEARCH(Assumptions!$C$7,D4989)),Assumptions!$D$7,"Other Services"))),"Other Services"))</f>
        <v/>
      </c>
    </row>
    <row r="4990" customFormat="false" ht="15" hidden="false" customHeight="false" outlineLevel="0" collapsed="false">
      <c r="J4990" s="41" t="str">
        <f aca="false">IF(D4990="","",IFERROR(IF(ISNUMBER(SEARCH(Assumptions!$C$5,D4990)),Assumptions!$D$5,IF(ISNUMBER(SEARCH(Assumptions!$C$6,D4990)),Assumptions!$D$6,IF(ISNUMBER(SEARCH(Assumptions!$C$7,D4990)),Assumptions!$D$7,"Other Services"))),"Other Services"))</f>
        <v/>
      </c>
    </row>
    <row r="4991" customFormat="false" ht="15" hidden="false" customHeight="false" outlineLevel="0" collapsed="false">
      <c r="J4991" s="41" t="str">
        <f aca="false">IF(D4991="","",IFERROR(IF(ISNUMBER(SEARCH(Assumptions!$C$5,D4991)),Assumptions!$D$5,IF(ISNUMBER(SEARCH(Assumptions!$C$6,D4991)),Assumptions!$D$6,IF(ISNUMBER(SEARCH(Assumptions!$C$7,D4991)),Assumptions!$D$7,"Other Services"))),"Other Services"))</f>
        <v/>
      </c>
    </row>
    <row r="4992" customFormat="false" ht="15" hidden="false" customHeight="false" outlineLevel="0" collapsed="false">
      <c r="J4992" s="41" t="str">
        <f aca="false">IF(D4992="","",IFERROR(IF(ISNUMBER(SEARCH(Assumptions!$C$5,D4992)),Assumptions!$D$5,IF(ISNUMBER(SEARCH(Assumptions!$C$6,D4992)),Assumptions!$D$6,IF(ISNUMBER(SEARCH(Assumptions!$C$7,D4992)),Assumptions!$D$7,"Other Services"))),"Other Services"))</f>
        <v/>
      </c>
    </row>
    <row r="4993" customFormat="false" ht="15" hidden="false" customHeight="false" outlineLevel="0" collapsed="false">
      <c r="J4993" s="41" t="str">
        <f aca="false">IF(D4993="","",IFERROR(IF(ISNUMBER(SEARCH(Assumptions!$C$5,D4993)),Assumptions!$D$5,IF(ISNUMBER(SEARCH(Assumptions!$C$6,D4993)),Assumptions!$D$6,IF(ISNUMBER(SEARCH(Assumptions!$C$7,D4993)),Assumptions!$D$7,"Other Services"))),"Other Services"))</f>
        <v/>
      </c>
    </row>
    <row r="4994" customFormat="false" ht="15" hidden="false" customHeight="false" outlineLevel="0" collapsed="false">
      <c r="J4994" s="41" t="str">
        <f aca="false">IF(D4994="","",IFERROR(IF(ISNUMBER(SEARCH(Assumptions!$C$5,D4994)),Assumptions!$D$5,IF(ISNUMBER(SEARCH(Assumptions!$C$6,D4994)),Assumptions!$D$6,IF(ISNUMBER(SEARCH(Assumptions!$C$7,D4994)),Assumptions!$D$7,"Other Services"))),"Other Services"))</f>
        <v/>
      </c>
    </row>
    <row r="4995" customFormat="false" ht="15" hidden="false" customHeight="false" outlineLevel="0" collapsed="false">
      <c r="J4995" s="41" t="str">
        <f aca="false">IF(D4995="","",IFERROR(IF(ISNUMBER(SEARCH(Assumptions!$C$5,D4995)),Assumptions!$D$5,IF(ISNUMBER(SEARCH(Assumptions!$C$6,D4995)),Assumptions!$D$6,IF(ISNUMBER(SEARCH(Assumptions!$C$7,D4995)),Assumptions!$D$7,"Other Services"))),"Other Services"))</f>
        <v/>
      </c>
    </row>
    <row r="4996" customFormat="false" ht="15" hidden="false" customHeight="false" outlineLevel="0" collapsed="false">
      <c r="J4996" s="41" t="str">
        <f aca="false">IF(D4996="","",IFERROR(IF(ISNUMBER(SEARCH(Assumptions!$C$5,D4996)),Assumptions!$D$5,IF(ISNUMBER(SEARCH(Assumptions!$C$6,D4996)),Assumptions!$D$6,IF(ISNUMBER(SEARCH(Assumptions!$C$7,D4996)),Assumptions!$D$7,"Other Services"))),"Other Services"))</f>
        <v/>
      </c>
    </row>
    <row r="4997" customFormat="false" ht="15" hidden="false" customHeight="false" outlineLevel="0" collapsed="false">
      <c r="J4997" s="41" t="str">
        <f aca="false">IF(D4997="","",IFERROR(IF(ISNUMBER(SEARCH(Assumptions!$C$5,D4997)),Assumptions!$D$5,IF(ISNUMBER(SEARCH(Assumptions!$C$6,D4997)),Assumptions!$D$6,IF(ISNUMBER(SEARCH(Assumptions!$C$7,D4997)),Assumptions!$D$7,"Other Services"))),"Other Services"))</f>
        <v/>
      </c>
    </row>
    <row r="4998" customFormat="false" ht="15" hidden="false" customHeight="false" outlineLevel="0" collapsed="false">
      <c r="J4998" s="41" t="str">
        <f aca="false">IF(D4998="","",IFERROR(IF(ISNUMBER(SEARCH(Assumptions!$C$5,D4998)),Assumptions!$D$5,IF(ISNUMBER(SEARCH(Assumptions!$C$6,D4998)),Assumptions!$D$6,IF(ISNUMBER(SEARCH(Assumptions!$C$7,D4998)),Assumptions!$D$7,"Other Services"))),"Other Services"))</f>
        <v/>
      </c>
    </row>
    <row r="4999" customFormat="false" ht="15" hidden="false" customHeight="false" outlineLevel="0" collapsed="false">
      <c r="J4999" s="41" t="str">
        <f aca="false">IF(D4999="","",IFERROR(IF(ISNUMBER(SEARCH(Assumptions!$C$5,D4999)),Assumptions!$D$5,IF(ISNUMBER(SEARCH(Assumptions!$C$6,D4999)),Assumptions!$D$6,IF(ISNUMBER(SEARCH(Assumptions!$C$7,D4999)),Assumptions!$D$7,"Other Services"))),"Other Services"))</f>
        <v/>
      </c>
    </row>
    <row r="5000" customFormat="false" ht="15" hidden="false" customHeight="false" outlineLevel="0" collapsed="false">
      <c r="J5000" s="41" t="str">
        <f aca="false">IF(D5000="","",IFERROR(IF(ISNUMBER(SEARCH(Assumptions!$C$5,D5000)),Assumptions!$D$5,IF(ISNUMBER(SEARCH(Assumptions!$C$6,D5000)),Assumptions!$D$6,IF(ISNUMBER(SEARCH(Assumptions!$C$7,D5000)),Assumptions!$D$7,"Other Services"))),"Other Services"))</f>
        <v/>
      </c>
    </row>
    <row r="5001" customFormat="false" ht="15" hidden="false" customHeight="false" outlineLevel="0" collapsed="false">
      <c r="J5001" s="41" t="str">
        <f aca="false">IF(D5001="","",IFERROR(IF(ISNUMBER(SEARCH(Assumptions!$C$5,D5001)),Assumptions!$D$5,IF(ISNUMBER(SEARCH(Assumptions!$C$6,D5001)),Assumptions!$D$6,IF(ISNUMBER(SEARCH(Assumptions!$C$7,D5001)),Assumptions!$D$7,"Other Services"))),"Other Services"))</f>
        <v/>
      </c>
    </row>
    <row r="5002" customFormat="false" ht="15" hidden="false" customHeight="false" outlineLevel="0" collapsed="false">
      <c r="J5002" s="41" t="str">
        <f aca="false">IF(D5002="","",IFERROR(IF(ISNUMBER(SEARCH(Assumptions!$C$5,D5002)),Assumptions!$D$5,IF(ISNUMBER(SEARCH(Assumptions!$C$6,D5002)),Assumptions!$D$6,IF(ISNUMBER(SEARCH(Assumptions!$C$7,D5002)),Assumptions!$D$7,"Other Services"))),"Other Services"))</f>
        <v/>
      </c>
    </row>
    <row r="5003" customFormat="false" ht="15" hidden="false" customHeight="false" outlineLevel="0" collapsed="false">
      <c r="J5003" s="41" t="str">
        <f aca="false">IF(D5003="","",IFERROR(IF(ISNUMBER(SEARCH(Assumptions!$C$5,D5003)),Assumptions!$D$5,IF(ISNUMBER(SEARCH(Assumptions!$C$6,D5003)),Assumptions!$D$6,IF(ISNUMBER(SEARCH(Assumptions!$C$7,D5003)),Assumptions!$D$7,"Other Services"))),"Other Services"))</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B5EA"/>
    <pageSetUpPr fitToPage="false"/>
  </sheetPr>
  <dimension ref="A1:J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25" width="12"/>
    <col collapsed="false" customWidth="true" hidden="false" outlineLevel="0" max="3" min="3" style="25" width="10"/>
    <col collapsed="false" customWidth="true" hidden="false" outlineLevel="0" max="4" min="4" style="25" width="34"/>
    <col collapsed="false" customWidth="true" hidden="false" outlineLevel="0" max="5" min="5" style="25" width="14"/>
    <col collapsed="false" customWidth="true" hidden="false" outlineLevel="0" max="6" min="6" style="25" width="26"/>
    <col collapsed="false" customWidth="true" hidden="false" outlineLevel="0" max="7" min="7" style="25" width="30"/>
    <col collapsed="false" customWidth="true" hidden="false" outlineLevel="0" max="8" min="8" style="25" width="14"/>
    <col collapsed="false" customWidth="true" hidden="false" outlineLevel="0" max="9" min="9" style="25" width="15"/>
    <col collapsed="false" customWidth="true" hidden="false" outlineLevel="0" max="10" min="10" style="25" width="14"/>
  </cols>
  <sheetData>
    <row r="1" customFormat="false" ht="15" hidden="false" customHeight="true" outlineLevel="0" collapsed="false">
      <c r="A1" s="31" t="s">
        <v>191</v>
      </c>
    </row>
    <row r="2" customFormat="false" ht="15" hidden="false" customHeight="true" outlineLevel="0" collapsed="false">
      <c r="A2" s="32" t="s">
        <v>192</v>
      </c>
    </row>
    <row r="3" customFormat="false" ht="21.75" hidden="false" customHeight="true" outlineLevel="0" collapsed="false">
      <c r="A3" s="33" t="s">
        <v>126</v>
      </c>
      <c r="B3" s="33" t="s">
        <v>193</v>
      </c>
      <c r="C3" s="33" t="s">
        <v>194</v>
      </c>
      <c r="D3" s="33" t="s">
        <v>195</v>
      </c>
      <c r="E3" s="33" t="s">
        <v>196</v>
      </c>
      <c r="F3" s="33" t="s">
        <v>197</v>
      </c>
      <c r="G3" s="33" t="s">
        <v>128</v>
      </c>
      <c r="H3" s="33" t="s">
        <v>198</v>
      </c>
      <c r="I3" s="33" t="s">
        <v>134</v>
      </c>
      <c r="J3" s="33" t="s">
        <v>135</v>
      </c>
    </row>
    <row r="4" customFormat="false" ht="15" hidden="false" customHeight="true" outlineLevel="0" collapsed="false">
      <c r="A4" s="34" t="n">
        <v>46115</v>
      </c>
      <c r="B4" s="34" t="n">
        <v>46145</v>
      </c>
      <c r="C4" s="35" t="s">
        <v>199</v>
      </c>
      <c r="D4" s="35" t="s">
        <v>168</v>
      </c>
      <c r="E4" s="37" t="str">
        <f aca="false">IFERROR(VLOOKUP(D4,Assumptions!$G$5:$H$16,2,0),"Other")</f>
        <v>UAE</v>
      </c>
      <c r="F4" s="35" t="s">
        <v>154</v>
      </c>
      <c r="G4" s="35" t="s">
        <v>200</v>
      </c>
      <c r="H4" s="36" t="n">
        <v>31821.05</v>
      </c>
      <c r="I4" s="35" t="s">
        <v>201</v>
      </c>
      <c r="J4" s="37" t="str">
        <f aca="false">IFERROR(IF(ISNUMBER(SEARCH(Assumptions!$C$5,G4)),Assumptions!$D$5,IF(ISNUMBER(SEARCH(Assumptions!$C$6,G4)),Assumptions!$D$6,IF(ISNUMBER(SEARCH(Assumptions!$C$7,G4)),Assumptions!$D$7,"Other Services"))),"Other Services")</f>
        <v>Subscription</v>
      </c>
    </row>
    <row r="5" customFormat="false" ht="15" hidden="false" customHeight="true" outlineLevel="0" collapsed="false">
      <c r="A5" s="34" t="n">
        <v>46130</v>
      </c>
      <c r="B5" s="34" t="n">
        <v>46160</v>
      </c>
      <c r="C5" s="35" t="s">
        <v>199</v>
      </c>
      <c r="D5" s="35" t="s">
        <v>202</v>
      </c>
      <c r="E5" s="37" t="str">
        <f aca="false">IF(D5="","",IFERROR(VLOOKUP(D5,Assumptions!$G$5:$H$16,2,0),"Other"))</f>
        <v>Kuwait</v>
      </c>
      <c r="F5" s="35" t="s">
        <v>161</v>
      </c>
      <c r="G5" s="35" t="s">
        <v>203</v>
      </c>
      <c r="H5" s="36" t="n">
        <v>9674.09</v>
      </c>
      <c r="I5" s="35" t="s">
        <v>201</v>
      </c>
      <c r="J5" s="37" t="str">
        <f aca="false">IF(G5="","",IFERROR(IF(ISNUMBER(SEARCH(Assumptions!$C$5,G5)),Assumptions!$D$5,IF(ISNUMBER(SEARCH(Assumptions!$C$6,G5)),Assumptions!$D$6,IF(ISNUMBER(SEARCH(Assumptions!$C$7,G5)),Assumptions!$D$7,"Other Services"))),"Other Services"))</f>
        <v>WhatsApp</v>
      </c>
    </row>
    <row r="6" customFormat="false" ht="15" hidden="false" customHeight="true" outlineLevel="0" collapsed="false">
      <c r="A6" s="34" t="n">
        <v>46128</v>
      </c>
      <c r="B6" s="34" t="n">
        <v>46158</v>
      </c>
      <c r="C6" s="35" t="s">
        <v>199</v>
      </c>
      <c r="D6" s="35" t="s">
        <v>156</v>
      </c>
      <c r="E6" s="37" t="str">
        <f aca="false">IF(D6="","",IFERROR(VLOOKUP(D6,Assumptions!$G$5:$H$16,2,0),"Other"))</f>
        <v>UAE</v>
      </c>
      <c r="F6" s="35" t="s">
        <v>146</v>
      </c>
      <c r="G6" s="35" t="s">
        <v>204</v>
      </c>
      <c r="H6" s="36" t="n">
        <v>16093.84</v>
      </c>
      <c r="I6" s="35" t="s">
        <v>205</v>
      </c>
      <c r="J6" s="37" t="str">
        <f aca="false">IF(G6="","",IFERROR(IF(ISNUMBER(SEARCH(Assumptions!$C$5,G6)),Assumptions!$D$5,IF(ISNUMBER(SEARCH(Assumptions!$C$6,G6)),Assumptions!$D$6,IF(ISNUMBER(SEARCH(Assumptions!$C$7,G6)),Assumptions!$D$7,"Other Services"))),"Other Services"))</f>
        <v>Development</v>
      </c>
    </row>
    <row r="7" customFormat="false" ht="15" hidden="false" customHeight="true" outlineLevel="0" collapsed="false">
      <c r="A7" s="34" t="n">
        <v>46116</v>
      </c>
      <c r="B7" s="34" t="n">
        <v>46146</v>
      </c>
      <c r="C7" s="35" t="s">
        <v>199</v>
      </c>
      <c r="D7" s="35" t="s">
        <v>178</v>
      </c>
      <c r="E7" s="37" t="str">
        <f aca="false">IF(D7="","",IFERROR(VLOOKUP(D7,Assumptions!$G$5:$H$16,2,0),"Other"))</f>
        <v>Singapore</v>
      </c>
      <c r="F7" s="35" t="s">
        <v>161</v>
      </c>
      <c r="G7" s="35" t="s">
        <v>203</v>
      </c>
      <c r="H7" s="36" t="n">
        <v>7621.99</v>
      </c>
      <c r="I7" s="35" t="s">
        <v>205</v>
      </c>
      <c r="J7" s="37" t="str">
        <f aca="false">IF(G7="","",IFERROR(IF(ISNUMBER(SEARCH(Assumptions!$C$5,G7)),Assumptions!$D$5,IF(ISNUMBER(SEARCH(Assumptions!$C$6,G7)),Assumptions!$D$6,IF(ISNUMBER(SEARCH(Assumptions!$C$7,G7)),Assumptions!$D$7,"Other Services"))),"Other Services"))</f>
        <v>WhatsApp</v>
      </c>
    </row>
    <row r="8" customFormat="false" ht="15" hidden="false" customHeight="true" outlineLevel="0" collapsed="false">
      <c r="A8" s="34" t="n">
        <v>46127</v>
      </c>
      <c r="B8" s="34" t="n">
        <v>46157</v>
      </c>
      <c r="C8" s="35" t="s">
        <v>199</v>
      </c>
      <c r="D8" s="35" t="s">
        <v>178</v>
      </c>
      <c r="E8" s="37" t="str">
        <f aca="false">IF(D8="","",IFERROR(VLOOKUP(D8,Assumptions!$G$5:$H$16,2,0),"Other"))</f>
        <v>Singapore</v>
      </c>
      <c r="F8" s="35" t="s">
        <v>159</v>
      </c>
      <c r="G8" s="35" t="s">
        <v>206</v>
      </c>
      <c r="H8" s="36" t="n">
        <v>52102.53</v>
      </c>
      <c r="I8" s="35" t="s">
        <v>207</v>
      </c>
      <c r="J8" s="37" t="str">
        <f aca="false">IF(G8="","",IFERROR(IF(ISNUMBER(SEARCH(Assumptions!$C$5,G8)),Assumptions!$D$5,IF(ISNUMBER(SEARCH(Assumptions!$C$6,G8)),Assumptions!$D$6,IF(ISNUMBER(SEARCH(Assumptions!$C$7,G8)),Assumptions!$D$7,"Other Services"))),"Other Services"))</f>
        <v>Subscription</v>
      </c>
    </row>
    <row r="9" customFormat="false" ht="15" hidden="false" customHeight="true" outlineLevel="0" collapsed="false">
      <c r="A9" s="34" t="n">
        <v>46116</v>
      </c>
      <c r="B9" s="34" t="n">
        <v>46146</v>
      </c>
      <c r="C9" s="35" t="s">
        <v>199</v>
      </c>
      <c r="D9" s="35" t="s">
        <v>136</v>
      </c>
      <c r="E9" s="37" t="str">
        <f aca="false">IF(D9="","",IFERROR(VLOOKUP(D9,Assumptions!$G$5:$H$16,2,0),"Other"))</f>
        <v>Saudi Arabia</v>
      </c>
      <c r="F9" s="35" t="s">
        <v>143</v>
      </c>
      <c r="G9" s="35" t="s">
        <v>208</v>
      </c>
      <c r="H9" s="36" t="n">
        <v>5515.54</v>
      </c>
      <c r="I9" s="35" t="s">
        <v>207</v>
      </c>
      <c r="J9" s="37" t="str">
        <f aca="false">IF(G9="","",IFERROR(IF(ISNUMBER(SEARCH(Assumptions!$C$5,G9)),Assumptions!$D$5,IF(ISNUMBER(SEARCH(Assumptions!$C$6,G9)),Assumptions!$D$6,IF(ISNUMBER(SEARCH(Assumptions!$C$7,G9)),Assumptions!$D$7,"Other Services"))),"Other Services"))</f>
        <v>Development</v>
      </c>
    </row>
    <row r="10" customFormat="false" ht="15" hidden="false" customHeight="true" outlineLevel="0" collapsed="false">
      <c r="A10" s="34" t="n">
        <v>46119</v>
      </c>
      <c r="B10" s="34" t="n">
        <v>46149</v>
      </c>
      <c r="C10" s="35" t="s">
        <v>199</v>
      </c>
      <c r="D10" s="35" t="s">
        <v>144</v>
      </c>
      <c r="E10" s="37" t="str">
        <f aca="false">IF(D10="","",IFERROR(VLOOKUP(D10,Assumptions!$G$5:$H$16,2,0),"Other"))</f>
        <v>UAE</v>
      </c>
      <c r="F10" s="35" t="s">
        <v>161</v>
      </c>
      <c r="G10" s="35" t="s">
        <v>203</v>
      </c>
      <c r="H10" s="36" t="n">
        <v>13032.12</v>
      </c>
      <c r="I10" s="35" t="s">
        <v>201</v>
      </c>
      <c r="J10" s="37" t="str">
        <f aca="false">IF(G10="","",IFERROR(IF(ISNUMBER(SEARCH(Assumptions!$C$5,G10)),Assumptions!$D$5,IF(ISNUMBER(SEARCH(Assumptions!$C$6,G10)),Assumptions!$D$6,IF(ISNUMBER(SEARCH(Assumptions!$C$7,G10)),Assumptions!$D$7,"Other Services"))),"Other Services"))</f>
        <v>WhatsApp</v>
      </c>
    </row>
    <row r="11" customFormat="false" ht="15" hidden="false" customHeight="true" outlineLevel="0" collapsed="false">
      <c r="A11" s="34" t="n">
        <v>46121</v>
      </c>
      <c r="B11" s="34" t="n">
        <v>46151</v>
      </c>
      <c r="C11" s="35" t="s">
        <v>199</v>
      </c>
      <c r="D11" s="35" t="s">
        <v>178</v>
      </c>
      <c r="E11" s="37" t="str">
        <f aca="false">IF(D11="","",IFERROR(VLOOKUP(D11,Assumptions!$G$5:$H$16,2,0),"Other"))</f>
        <v>Singapore</v>
      </c>
      <c r="F11" s="35" t="s">
        <v>161</v>
      </c>
      <c r="G11" s="35" t="s">
        <v>203</v>
      </c>
      <c r="H11" s="36" t="n">
        <v>28832.43</v>
      </c>
      <c r="I11" s="35" t="s">
        <v>205</v>
      </c>
      <c r="J11" s="37" t="str">
        <f aca="false">IF(G11="","",IFERROR(IF(ISNUMBER(SEARCH(Assumptions!$C$5,G11)),Assumptions!$D$5,IF(ISNUMBER(SEARCH(Assumptions!$C$6,G11)),Assumptions!$D$6,IF(ISNUMBER(SEARCH(Assumptions!$C$7,G11)),Assumptions!$D$7,"Other Services"))),"Other Services"))</f>
        <v>WhatsApp</v>
      </c>
    </row>
    <row r="12" customFormat="false" ht="15" hidden="false" customHeight="true" outlineLevel="0" collapsed="false">
      <c r="A12" s="34" t="n">
        <v>46127</v>
      </c>
      <c r="B12" s="34" t="n">
        <v>46127</v>
      </c>
      <c r="C12" s="35" t="s">
        <v>209</v>
      </c>
      <c r="D12" s="35" t="s">
        <v>210</v>
      </c>
      <c r="E12" s="37" t="str">
        <f aca="false">IF(D12="","",IFERROR(VLOOKUP(D12,Assumptions!$G$5:$H$16,2,0),"Other"))</f>
        <v>Other</v>
      </c>
      <c r="F12" s="35" t="s">
        <v>210</v>
      </c>
      <c r="G12" s="35" t="s">
        <v>211</v>
      </c>
      <c r="H12" s="36" t="n">
        <v>20296.54</v>
      </c>
      <c r="I12" s="35" t="s">
        <v>140</v>
      </c>
      <c r="J12" s="37" t="str">
        <f aca="false">IF(G12="","",IFERROR(IF(ISNUMBER(SEARCH(Assumptions!$C$5,G12)),Assumptions!$D$5,IF(ISNUMBER(SEARCH(Assumptions!$C$6,G12)),Assumptions!$D$6,IF(ISNUMBER(SEARCH(Assumptions!$C$7,G12)),Assumptions!$D$7,"Other Services"))),"Other Services"))</f>
        <v>Other Services</v>
      </c>
    </row>
    <row r="13" customFormat="false" ht="15" hidden="false" customHeight="true" outlineLevel="0" collapsed="false">
      <c r="A13" s="34" t="n">
        <v>46116</v>
      </c>
      <c r="B13" s="34" t="n">
        <v>46116</v>
      </c>
      <c r="C13" s="35" t="s">
        <v>209</v>
      </c>
      <c r="D13" s="35" t="s">
        <v>212</v>
      </c>
      <c r="E13" s="37" t="str">
        <f aca="false">IF(D13="","",IFERROR(VLOOKUP(D13,Assumptions!$G$5:$H$16,2,0),"Other"))</f>
        <v>Other</v>
      </c>
      <c r="F13" s="35" t="s">
        <v>212</v>
      </c>
      <c r="G13" s="35" t="s">
        <v>213</v>
      </c>
      <c r="H13" s="36" t="n">
        <v>1739.41</v>
      </c>
      <c r="I13" s="35" t="s">
        <v>140</v>
      </c>
      <c r="J13" s="37" t="str">
        <f aca="false">IF(G13="","",IFERROR(IF(ISNUMBER(SEARCH(Assumptions!$C$5,G13)),Assumptions!$D$5,IF(ISNUMBER(SEARCH(Assumptions!$C$6,G13)),Assumptions!$D$6,IF(ISNUMBER(SEARCH(Assumptions!$C$7,G13)),Assumptions!$D$7,"Other Services"))),"Other Services"))</f>
        <v>Other Services</v>
      </c>
    </row>
    <row r="14" customFormat="false" ht="15" hidden="false" customHeight="true" outlineLevel="0" collapsed="false">
      <c r="A14" s="34" t="n">
        <v>46113</v>
      </c>
      <c r="B14" s="34" t="n">
        <v>46113</v>
      </c>
      <c r="C14" s="35" t="s">
        <v>209</v>
      </c>
      <c r="D14" s="35" t="s">
        <v>212</v>
      </c>
      <c r="E14" s="37" t="str">
        <f aca="false">IF(D14="","",IFERROR(VLOOKUP(D14,Assumptions!$G$5:$H$16,2,0),"Other"))</f>
        <v>Other</v>
      </c>
      <c r="F14" s="35" t="s">
        <v>212</v>
      </c>
      <c r="G14" s="35" t="s">
        <v>213</v>
      </c>
      <c r="H14" s="36" t="n">
        <v>24240.41</v>
      </c>
      <c r="I14" s="35" t="s">
        <v>140</v>
      </c>
      <c r="J14" s="37" t="str">
        <f aca="false">IF(G14="","",IFERROR(IF(ISNUMBER(SEARCH(Assumptions!$C$5,G14)),Assumptions!$D$5,IF(ISNUMBER(SEARCH(Assumptions!$C$6,G14)),Assumptions!$D$6,IF(ISNUMBER(SEARCH(Assumptions!$C$7,G14)),Assumptions!$D$7,"Other Services"))),"Other Services"))</f>
        <v>Other Services</v>
      </c>
    </row>
    <row r="15" customFormat="false" ht="15" hidden="false" customHeight="true" outlineLevel="0" collapsed="false">
      <c r="A15" s="34" t="n">
        <v>46118</v>
      </c>
      <c r="B15" s="34" t="n">
        <v>46118</v>
      </c>
      <c r="C15" s="35" t="s">
        <v>209</v>
      </c>
      <c r="D15" s="35" t="s">
        <v>214</v>
      </c>
      <c r="E15" s="37" t="str">
        <f aca="false">IF(D15="","",IFERROR(VLOOKUP(D15,Assumptions!$G$5:$H$16,2,0),"Other"))</f>
        <v>Other</v>
      </c>
      <c r="F15" s="35" t="s">
        <v>214</v>
      </c>
      <c r="G15" s="35" t="s">
        <v>215</v>
      </c>
      <c r="H15" s="36" t="n">
        <v>10457.14</v>
      </c>
      <c r="I15" s="35" t="s">
        <v>140</v>
      </c>
      <c r="J15" s="37" t="str">
        <f aca="false">IF(G15="","",IFERROR(IF(ISNUMBER(SEARCH(Assumptions!$C$5,G15)),Assumptions!$D$5,IF(ISNUMBER(SEARCH(Assumptions!$C$6,G15)),Assumptions!$D$6,IF(ISNUMBER(SEARCH(Assumptions!$C$7,G15)),Assumptions!$D$7,"Other Services"))),"Other Services"))</f>
        <v>Other Services</v>
      </c>
    </row>
    <row r="16" customFormat="false" ht="15" hidden="false" customHeight="true" outlineLevel="0" collapsed="false">
      <c r="A16" s="34" t="n">
        <v>46119</v>
      </c>
      <c r="B16" s="34" t="n">
        <v>46119</v>
      </c>
      <c r="C16" s="35" t="s">
        <v>209</v>
      </c>
      <c r="D16" s="35" t="s">
        <v>216</v>
      </c>
      <c r="E16" s="37" t="str">
        <f aca="false">IF(D16="","",IFERROR(VLOOKUP(D16,Assumptions!$G$5:$H$16,2,0),"Other"))</f>
        <v>Other</v>
      </c>
      <c r="F16" s="35" t="s">
        <v>216</v>
      </c>
      <c r="G16" s="35" t="s">
        <v>217</v>
      </c>
      <c r="H16" s="36" t="n">
        <v>21683.93</v>
      </c>
      <c r="I16" s="35" t="s">
        <v>140</v>
      </c>
      <c r="J16" s="37" t="str">
        <f aca="false">IF(G16="","",IFERROR(IF(ISNUMBER(SEARCH(Assumptions!$C$5,G16)),Assumptions!$D$5,IF(ISNUMBER(SEARCH(Assumptions!$C$6,G16)),Assumptions!$D$6,IF(ISNUMBER(SEARCH(Assumptions!$C$7,G16)),Assumptions!$D$7,"Other Services"))),"Other Services"))</f>
        <v>Other Services</v>
      </c>
    </row>
    <row r="17" customFormat="false" ht="15" hidden="false" customHeight="true" outlineLevel="0" collapsed="false">
      <c r="A17" s="34" t="n">
        <v>46155</v>
      </c>
      <c r="B17" s="34" t="n">
        <v>46185</v>
      </c>
      <c r="C17" s="35" t="s">
        <v>199</v>
      </c>
      <c r="D17" s="35" t="s">
        <v>168</v>
      </c>
      <c r="E17" s="37" t="str">
        <f aca="false">IF(D17="","",IFERROR(VLOOKUP(D17,Assumptions!$G$5:$H$16,2,0),"Other"))</f>
        <v>UAE</v>
      </c>
      <c r="F17" s="35" t="s">
        <v>161</v>
      </c>
      <c r="G17" s="35" t="s">
        <v>218</v>
      </c>
      <c r="H17" s="36" t="n">
        <v>2125.01</v>
      </c>
      <c r="I17" s="35" t="s">
        <v>140</v>
      </c>
      <c r="J17" s="37" t="str">
        <f aca="false">IF(G17="","",IFERROR(IF(ISNUMBER(SEARCH(Assumptions!$C$5,G17)),Assumptions!$D$5,IF(ISNUMBER(SEARCH(Assumptions!$C$6,G17)),Assumptions!$D$6,IF(ISNUMBER(SEARCH(Assumptions!$C$7,G17)),Assumptions!$D$7,"Other Services"))),"Other Services"))</f>
        <v>WhatsApp</v>
      </c>
    </row>
    <row r="18" customFormat="false" ht="15" hidden="false" customHeight="true" outlineLevel="0" collapsed="false">
      <c r="A18" s="34" t="n">
        <v>46156</v>
      </c>
      <c r="B18" s="34" t="n">
        <v>46186</v>
      </c>
      <c r="C18" s="35" t="s">
        <v>199</v>
      </c>
      <c r="D18" s="35" t="s">
        <v>202</v>
      </c>
      <c r="E18" s="37" t="str">
        <f aca="false">IF(D18="","",IFERROR(VLOOKUP(D18,Assumptions!$G$5:$H$16,2,0),"Other"))</f>
        <v>Kuwait</v>
      </c>
      <c r="F18" s="35" t="s">
        <v>154</v>
      </c>
      <c r="G18" s="35" t="s">
        <v>219</v>
      </c>
      <c r="H18" s="36" t="n">
        <v>42402.31</v>
      </c>
      <c r="I18" s="35" t="s">
        <v>220</v>
      </c>
      <c r="J18" s="37" t="str">
        <f aca="false">IF(G18="","",IFERROR(IF(ISNUMBER(SEARCH(Assumptions!$C$5,G18)),Assumptions!$D$5,IF(ISNUMBER(SEARCH(Assumptions!$C$6,G18)),Assumptions!$D$6,IF(ISNUMBER(SEARCH(Assumptions!$C$7,G18)),Assumptions!$D$7,"Other Services"))),"Other Services"))</f>
        <v>Subscription</v>
      </c>
    </row>
    <row r="19" customFormat="false" ht="15" hidden="false" customHeight="true" outlineLevel="0" collapsed="false">
      <c r="A19" s="34" t="n">
        <v>46158</v>
      </c>
      <c r="B19" s="34" t="n">
        <v>46188</v>
      </c>
      <c r="C19" s="35" t="s">
        <v>199</v>
      </c>
      <c r="D19" s="35" t="s">
        <v>166</v>
      </c>
      <c r="E19" s="37" t="str">
        <f aca="false">IF(D19="","",IFERROR(VLOOKUP(D19,Assumptions!$G$5:$H$16,2,0),"Other"))</f>
        <v>Pakistan</v>
      </c>
      <c r="F19" s="35" t="s">
        <v>143</v>
      </c>
      <c r="G19" s="35" t="s">
        <v>221</v>
      </c>
      <c r="H19" s="36" t="n">
        <v>10978.22</v>
      </c>
      <c r="I19" s="35" t="s">
        <v>140</v>
      </c>
      <c r="J19" s="37" t="str">
        <f aca="false">IF(G19="","",IFERROR(IF(ISNUMBER(SEARCH(Assumptions!$C$5,G19)),Assumptions!$D$5,IF(ISNUMBER(SEARCH(Assumptions!$C$6,G19)),Assumptions!$D$6,IF(ISNUMBER(SEARCH(Assumptions!$C$7,G19)),Assumptions!$D$7,"Other Services"))),"Other Services"))</f>
        <v>Development</v>
      </c>
    </row>
    <row r="20" customFormat="false" ht="15" hidden="false" customHeight="true" outlineLevel="0" collapsed="false">
      <c r="A20" s="34" t="n">
        <v>46160</v>
      </c>
      <c r="B20" s="34" t="n">
        <v>46190</v>
      </c>
      <c r="C20" s="35" t="s">
        <v>199</v>
      </c>
      <c r="D20" s="35" t="s">
        <v>168</v>
      </c>
      <c r="E20" s="37" t="str">
        <f aca="false">IF(D20="","",IFERROR(VLOOKUP(D20,Assumptions!$G$5:$H$16,2,0),"Other"))</f>
        <v>UAE</v>
      </c>
      <c r="F20" s="35" t="s">
        <v>146</v>
      </c>
      <c r="G20" s="35" t="s">
        <v>222</v>
      </c>
      <c r="H20" s="36" t="n">
        <v>5535.54</v>
      </c>
      <c r="I20" s="35" t="s">
        <v>140</v>
      </c>
      <c r="J20" s="37" t="str">
        <f aca="false">IF(G20="","",IFERROR(IF(ISNUMBER(SEARCH(Assumptions!$C$5,G20)),Assumptions!$D$5,IF(ISNUMBER(SEARCH(Assumptions!$C$6,G20)),Assumptions!$D$6,IF(ISNUMBER(SEARCH(Assumptions!$C$7,G20)),Assumptions!$D$7,"Other Services"))),"Other Services"))</f>
        <v>Development</v>
      </c>
    </row>
    <row r="21" customFormat="false" ht="15" hidden="false" customHeight="true" outlineLevel="0" collapsed="false">
      <c r="A21" s="34" t="n">
        <v>46158</v>
      </c>
      <c r="B21" s="34" t="n">
        <v>46188</v>
      </c>
      <c r="C21" s="35" t="s">
        <v>199</v>
      </c>
      <c r="D21" s="35" t="s">
        <v>168</v>
      </c>
      <c r="E21" s="37" t="str">
        <f aca="false">IF(D21="","",IFERROR(VLOOKUP(D21,Assumptions!$G$5:$H$16,2,0),"Other"))</f>
        <v>UAE</v>
      </c>
      <c r="F21" s="35" t="s">
        <v>146</v>
      </c>
      <c r="G21" s="35" t="s">
        <v>222</v>
      </c>
      <c r="H21" s="36" t="n">
        <v>31165.32</v>
      </c>
      <c r="I21" s="35" t="s">
        <v>223</v>
      </c>
      <c r="J21" s="37" t="str">
        <f aca="false">IF(G21="","",IFERROR(IF(ISNUMBER(SEARCH(Assumptions!$C$5,G21)),Assumptions!$D$5,IF(ISNUMBER(SEARCH(Assumptions!$C$6,G21)),Assumptions!$D$6,IF(ISNUMBER(SEARCH(Assumptions!$C$7,G21)),Assumptions!$D$7,"Other Services"))),"Other Services"))</f>
        <v>Development</v>
      </c>
    </row>
    <row r="22" customFormat="false" ht="15" hidden="false" customHeight="true" outlineLevel="0" collapsed="false">
      <c r="A22" s="34" t="n">
        <v>46159</v>
      </c>
      <c r="B22" s="34" t="n">
        <v>46189</v>
      </c>
      <c r="C22" s="35" t="s">
        <v>199</v>
      </c>
      <c r="D22" s="35" t="s">
        <v>141</v>
      </c>
      <c r="E22" s="37" t="str">
        <f aca="false">IF(D22="","",IFERROR(VLOOKUP(D22,Assumptions!$G$5:$H$16,2,0),"Other"))</f>
        <v>Saudi Arabia</v>
      </c>
      <c r="F22" s="35" t="s">
        <v>138</v>
      </c>
      <c r="G22" s="35" t="s">
        <v>224</v>
      </c>
      <c r="H22" s="36" t="n">
        <v>6646.46</v>
      </c>
      <c r="I22" s="35" t="s">
        <v>140</v>
      </c>
      <c r="J22" s="37" t="str">
        <f aca="false">IF(G22="","",IFERROR(IF(ISNUMBER(SEARCH(Assumptions!$C$5,G22)),Assumptions!$D$5,IF(ISNUMBER(SEARCH(Assumptions!$C$6,G22)),Assumptions!$D$6,IF(ISNUMBER(SEARCH(Assumptions!$C$7,G22)),Assumptions!$D$7,"Other Services"))),"Other Services"))</f>
        <v>WhatsApp</v>
      </c>
    </row>
    <row r="23" customFormat="false" ht="15" hidden="false" customHeight="true" outlineLevel="0" collapsed="false">
      <c r="A23" s="34" t="n">
        <v>46150</v>
      </c>
      <c r="B23" s="34" t="n">
        <v>46180</v>
      </c>
      <c r="C23" s="35" t="s">
        <v>199</v>
      </c>
      <c r="D23" s="35" t="s">
        <v>156</v>
      </c>
      <c r="E23" s="37" t="str">
        <f aca="false">IF(D23="","",IFERROR(VLOOKUP(D23,Assumptions!$G$5:$H$16,2,0),"Other"))</f>
        <v>UAE</v>
      </c>
      <c r="F23" s="35" t="s">
        <v>138</v>
      </c>
      <c r="G23" s="35" t="s">
        <v>224</v>
      </c>
      <c r="H23" s="36" t="n">
        <v>25418.98</v>
      </c>
      <c r="I23" s="35" t="s">
        <v>223</v>
      </c>
      <c r="J23" s="37" t="str">
        <f aca="false">IF(G23="","",IFERROR(IF(ISNUMBER(SEARCH(Assumptions!$C$5,G23)),Assumptions!$D$5,IF(ISNUMBER(SEARCH(Assumptions!$C$6,G23)),Assumptions!$D$6,IF(ISNUMBER(SEARCH(Assumptions!$C$7,G23)),Assumptions!$D$7,"Other Services"))),"Other Services"))</f>
        <v>WhatsApp</v>
      </c>
    </row>
    <row r="24" customFormat="false" ht="15" hidden="false" customHeight="true" outlineLevel="0" collapsed="false">
      <c r="A24" s="34" t="n">
        <v>46161</v>
      </c>
      <c r="B24" s="34" t="n">
        <v>46191</v>
      </c>
      <c r="C24" s="35" t="s">
        <v>199</v>
      </c>
      <c r="D24" s="35" t="s">
        <v>156</v>
      </c>
      <c r="E24" s="37" t="str">
        <f aca="false">IF(D24="","",IFERROR(VLOOKUP(D24,Assumptions!$G$5:$H$16,2,0),"Other"))</f>
        <v>UAE</v>
      </c>
      <c r="F24" s="35" t="s">
        <v>161</v>
      </c>
      <c r="G24" s="35" t="s">
        <v>218</v>
      </c>
      <c r="H24" s="36" t="n">
        <v>36482.11</v>
      </c>
      <c r="I24" s="35" t="s">
        <v>220</v>
      </c>
      <c r="J24" s="37" t="str">
        <f aca="false">IF(G24="","",IFERROR(IF(ISNUMBER(SEARCH(Assumptions!$C$5,G24)),Assumptions!$D$5,IF(ISNUMBER(SEARCH(Assumptions!$C$6,G24)),Assumptions!$D$6,IF(ISNUMBER(SEARCH(Assumptions!$C$7,G24)),Assumptions!$D$7,"Other Services"))),"Other Services"))</f>
        <v>WhatsApp</v>
      </c>
    </row>
    <row r="25" customFormat="false" ht="15" hidden="false" customHeight="true" outlineLevel="0" collapsed="false">
      <c r="A25" s="34" t="n">
        <v>46164</v>
      </c>
      <c r="B25" s="34" t="n">
        <v>46164</v>
      </c>
      <c r="C25" s="35" t="s">
        <v>209</v>
      </c>
      <c r="D25" s="35" t="s">
        <v>216</v>
      </c>
      <c r="E25" s="37" t="str">
        <f aca="false">IF(D25="","",IFERROR(VLOOKUP(D25,Assumptions!$G$5:$H$16,2,0),"Other"))</f>
        <v>Other</v>
      </c>
      <c r="F25" s="35" t="s">
        <v>216</v>
      </c>
      <c r="G25" s="35" t="s">
        <v>225</v>
      </c>
      <c r="H25" s="36" t="n">
        <v>14799.97</v>
      </c>
      <c r="I25" s="35" t="s">
        <v>140</v>
      </c>
      <c r="J25" s="37" t="str">
        <f aca="false">IF(G25="","",IFERROR(IF(ISNUMBER(SEARCH(Assumptions!$C$5,G25)),Assumptions!$D$5,IF(ISNUMBER(SEARCH(Assumptions!$C$6,G25)),Assumptions!$D$6,IF(ISNUMBER(SEARCH(Assumptions!$C$7,G25)),Assumptions!$D$7,"Other Services"))),"Other Services"))</f>
        <v>Other Services</v>
      </c>
    </row>
    <row r="26" customFormat="false" ht="15" hidden="false" customHeight="true" outlineLevel="0" collapsed="false">
      <c r="A26" s="34" t="n">
        <v>46153</v>
      </c>
      <c r="B26" s="34" t="n">
        <v>46153</v>
      </c>
      <c r="C26" s="35" t="s">
        <v>209</v>
      </c>
      <c r="D26" s="35" t="s">
        <v>212</v>
      </c>
      <c r="E26" s="37" t="str">
        <f aca="false">IF(D26="","",IFERROR(VLOOKUP(D26,Assumptions!$G$5:$H$16,2,0),"Other"))</f>
        <v>Other</v>
      </c>
      <c r="F26" s="35" t="s">
        <v>212</v>
      </c>
      <c r="G26" s="35" t="s">
        <v>226</v>
      </c>
      <c r="H26" s="36" t="n">
        <v>23400.3</v>
      </c>
      <c r="I26" s="35" t="s">
        <v>140</v>
      </c>
      <c r="J26" s="37" t="str">
        <f aca="false">IF(G26="","",IFERROR(IF(ISNUMBER(SEARCH(Assumptions!$C$5,G26)),Assumptions!$D$5,IF(ISNUMBER(SEARCH(Assumptions!$C$6,G26)),Assumptions!$D$6,IF(ISNUMBER(SEARCH(Assumptions!$C$7,G26)),Assumptions!$D$7,"Other Services"))),"Other Services"))</f>
        <v>Other Services</v>
      </c>
    </row>
    <row r="27" customFormat="false" ht="15" hidden="false" customHeight="true" outlineLevel="0" collapsed="false">
      <c r="A27" s="34" t="n">
        <v>46164</v>
      </c>
      <c r="B27" s="34" t="n">
        <v>46164</v>
      </c>
      <c r="C27" s="35" t="s">
        <v>209</v>
      </c>
      <c r="D27" s="35" t="s">
        <v>214</v>
      </c>
      <c r="E27" s="37" t="str">
        <f aca="false">IF(D27="","",IFERROR(VLOOKUP(D27,Assumptions!$G$5:$H$16,2,0),"Other"))</f>
        <v>Other</v>
      </c>
      <c r="F27" s="35" t="s">
        <v>214</v>
      </c>
      <c r="G27" s="35" t="s">
        <v>227</v>
      </c>
      <c r="H27" s="36" t="n">
        <v>18046.7</v>
      </c>
      <c r="I27" s="35" t="s">
        <v>140</v>
      </c>
      <c r="J27" s="37" t="str">
        <f aca="false">IF(G27="","",IFERROR(IF(ISNUMBER(SEARCH(Assumptions!$C$5,G27)),Assumptions!$D$5,IF(ISNUMBER(SEARCH(Assumptions!$C$6,G27)),Assumptions!$D$6,IF(ISNUMBER(SEARCH(Assumptions!$C$7,G27)),Assumptions!$D$7,"Other Services"))),"Other Services"))</f>
        <v>Other Services</v>
      </c>
    </row>
    <row r="28" customFormat="false" ht="15" hidden="false" customHeight="true" outlineLevel="0" collapsed="false">
      <c r="A28" s="34" t="n">
        <v>46151</v>
      </c>
      <c r="B28" s="34" t="n">
        <v>46151</v>
      </c>
      <c r="C28" s="35" t="s">
        <v>209</v>
      </c>
      <c r="D28" s="35" t="s">
        <v>214</v>
      </c>
      <c r="E28" s="37" t="str">
        <f aca="false">IF(D28="","",IFERROR(VLOOKUP(D28,Assumptions!$G$5:$H$16,2,0),"Other"))</f>
        <v>Other</v>
      </c>
      <c r="F28" s="35" t="s">
        <v>214</v>
      </c>
      <c r="G28" s="35" t="s">
        <v>227</v>
      </c>
      <c r="H28" s="36" t="n">
        <v>10196.75</v>
      </c>
      <c r="I28" s="35" t="s">
        <v>140</v>
      </c>
      <c r="J28" s="37" t="str">
        <f aca="false">IF(G28="","",IFERROR(IF(ISNUMBER(SEARCH(Assumptions!$C$5,G28)),Assumptions!$D$5,IF(ISNUMBER(SEARCH(Assumptions!$C$6,G28)),Assumptions!$D$6,IF(ISNUMBER(SEARCH(Assumptions!$C$7,G28)),Assumptions!$D$7,"Other Services"))),"Other Services"))</f>
        <v>Other Services</v>
      </c>
    </row>
    <row r="29" customFormat="false" ht="15" hidden="false" customHeight="true" outlineLevel="0" collapsed="false">
      <c r="A29" s="34" t="n">
        <v>46163</v>
      </c>
      <c r="B29" s="34" t="n">
        <v>46163</v>
      </c>
      <c r="C29" s="35" t="s">
        <v>209</v>
      </c>
      <c r="D29" s="35" t="s">
        <v>228</v>
      </c>
      <c r="E29" s="37" t="str">
        <f aca="false">IF(D29="","",IFERROR(VLOOKUP(D29,Assumptions!$G$5:$H$16,2,0),"Other"))</f>
        <v>Other</v>
      </c>
      <c r="F29" s="35" t="s">
        <v>228</v>
      </c>
      <c r="G29" s="35" t="s">
        <v>229</v>
      </c>
      <c r="H29" s="36" t="n">
        <v>7849.93</v>
      </c>
      <c r="I29" s="35" t="s">
        <v>140</v>
      </c>
      <c r="J29" s="37" t="str">
        <f aca="false">IF(G29="","",IFERROR(IF(ISNUMBER(SEARCH(Assumptions!$C$5,G29)),Assumptions!$D$5,IF(ISNUMBER(SEARCH(Assumptions!$C$6,G29)),Assumptions!$D$6,IF(ISNUMBER(SEARCH(Assumptions!$C$7,G29)),Assumptions!$D$7,"Other Services"))),"Other Services"))</f>
        <v>Development</v>
      </c>
    </row>
    <row r="30" customFormat="false" ht="15" hidden="false" customHeight="true" outlineLevel="0" collapsed="false">
      <c r="A30" s="34" t="n">
        <v>46174</v>
      </c>
      <c r="B30" s="34" t="n">
        <v>46204</v>
      </c>
      <c r="C30" s="35" t="s">
        <v>199</v>
      </c>
      <c r="D30" s="35" t="s">
        <v>152</v>
      </c>
      <c r="E30" s="37" t="str">
        <f aca="false">IF(D30="","",IFERROR(VLOOKUP(D30,Assumptions!$G$5:$H$16,2,0),"Other"))</f>
        <v>Singapore</v>
      </c>
      <c r="F30" s="35" t="s">
        <v>138</v>
      </c>
      <c r="G30" s="35" t="s">
        <v>230</v>
      </c>
      <c r="H30" s="36" t="n">
        <v>28580.56</v>
      </c>
      <c r="I30" s="35" t="s">
        <v>223</v>
      </c>
      <c r="J30" s="37" t="str">
        <f aca="false">IF(G30="","",IFERROR(IF(ISNUMBER(SEARCH(Assumptions!$C$5,G30)),Assumptions!$D$5,IF(ISNUMBER(SEARCH(Assumptions!$C$6,G30)),Assumptions!$D$6,IF(ISNUMBER(SEARCH(Assumptions!$C$7,G30)),Assumptions!$D$7,"Other Services"))),"Other Services"))</f>
        <v>WhatsApp</v>
      </c>
    </row>
    <row r="31" customFormat="false" ht="15" hidden="false" customHeight="true" outlineLevel="0" collapsed="false">
      <c r="A31" s="34" t="n">
        <v>46191</v>
      </c>
      <c r="B31" s="34" t="n">
        <v>46221</v>
      </c>
      <c r="C31" s="35" t="s">
        <v>199</v>
      </c>
      <c r="D31" s="35" t="s">
        <v>144</v>
      </c>
      <c r="E31" s="37" t="str">
        <f aca="false">IF(D31="","",IFERROR(VLOOKUP(D31,Assumptions!$G$5:$H$16,2,0),"Other"))</f>
        <v>UAE</v>
      </c>
      <c r="F31" s="35" t="s">
        <v>138</v>
      </c>
      <c r="G31" s="35" t="s">
        <v>230</v>
      </c>
      <c r="H31" s="36" t="n">
        <v>14362.95</v>
      </c>
      <c r="I31" s="35" t="s">
        <v>140</v>
      </c>
      <c r="J31" s="37" t="str">
        <f aca="false">IF(G31="","",IFERROR(IF(ISNUMBER(SEARCH(Assumptions!$C$5,G31)),Assumptions!$D$5,IF(ISNUMBER(SEARCH(Assumptions!$C$6,G31)),Assumptions!$D$6,IF(ISNUMBER(SEARCH(Assumptions!$C$7,G31)),Assumptions!$D$7,"Other Services"))),"Other Services"))</f>
        <v>WhatsApp</v>
      </c>
    </row>
    <row r="32" customFormat="false" ht="15" hidden="false" customHeight="true" outlineLevel="0" collapsed="false">
      <c r="A32" s="34" t="n">
        <v>46181</v>
      </c>
      <c r="B32" s="34" t="n">
        <v>46211</v>
      </c>
      <c r="C32" s="35" t="s">
        <v>199</v>
      </c>
      <c r="D32" s="35" t="s">
        <v>152</v>
      </c>
      <c r="E32" s="37" t="str">
        <f aca="false">IF(D32="","",IFERROR(VLOOKUP(D32,Assumptions!$G$5:$H$16,2,0),"Other"))</f>
        <v>Singapore</v>
      </c>
      <c r="F32" s="35" t="s">
        <v>138</v>
      </c>
      <c r="G32" s="35" t="s">
        <v>230</v>
      </c>
      <c r="H32" s="36" t="n">
        <v>23432.57</v>
      </c>
      <c r="I32" s="35" t="s">
        <v>140</v>
      </c>
      <c r="J32" s="37" t="str">
        <f aca="false">IF(G32="","",IFERROR(IF(ISNUMBER(SEARCH(Assumptions!$C$5,G32)),Assumptions!$D$5,IF(ISNUMBER(SEARCH(Assumptions!$C$6,G32)),Assumptions!$D$6,IF(ISNUMBER(SEARCH(Assumptions!$C$7,G32)),Assumptions!$D$7,"Other Services"))),"Other Services"))</f>
        <v>WhatsApp</v>
      </c>
    </row>
    <row r="33" customFormat="false" ht="15" hidden="false" customHeight="true" outlineLevel="0" collapsed="false">
      <c r="A33" s="34" t="n">
        <v>46183</v>
      </c>
      <c r="B33" s="34" t="n">
        <v>46213</v>
      </c>
      <c r="C33" s="35" t="s">
        <v>199</v>
      </c>
      <c r="D33" s="35" t="s">
        <v>166</v>
      </c>
      <c r="E33" s="37" t="str">
        <f aca="false">IF(D33="","",IFERROR(VLOOKUP(D33,Assumptions!$G$5:$H$16,2,0),"Other"))</f>
        <v>Pakistan</v>
      </c>
      <c r="F33" s="35" t="s">
        <v>143</v>
      </c>
      <c r="G33" s="35" t="s">
        <v>231</v>
      </c>
      <c r="H33" s="36" t="n">
        <v>37477.31</v>
      </c>
      <c r="I33" s="35" t="s">
        <v>223</v>
      </c>
      <c r="J33" s="37" t="str">
        <f aca="false">IF(G33="","",IFERROR(IF(ISNUMBER(SEARCH(Assumptions!$C$5,G33)),Assumptions!$D$5,IF(ISNUMBER(SEARCH(Assumptions!$C$6,G33)),Assumptions!$D$6,IF(ISNUMBER(SEARCH(Assumptions!$C$7,G33)),Assumptions!$D$7,"Other Services"))),"Other Services"))</f>
        <v>Development</v>
      </c>
    </row>
    <row r="34" customFormat="false" ht="15" hidden="false" customHeight="true" outlineLevel="0" collapsed="false">
      <c r="A34" s="34" t="n">
        <v>46174</v>
      </c>
      <c r="B34" s="34" t="n">
        <v>46204</v>
      </c>
      <c r="C34" s="35" t="s">
        <v>199</v>
      </c>
      <c r="D34" s="35" t="s">
        <v>136</v>
      </c>
      <c r="E34" s="37" t="str">
        <f aca="false">IF(D34="","",IFERROR(VLOOKUP(D34,Assumptions!$G$5:$H$16,2,0),"Other"))</f>
        <v>Saudi Arabia</v>
      </c>
      <c r="F34" s="35" t="s">
        <v>146</v>
      </c>
      <c r="G34" s="35" t="s">
        <v>232</v>
      </c>
      <c r="H34" s="36" t="n">
        <v>40736.07</v>
      </c>
      <c r="I34" s="35" t="s">
        <v>220</v>
      </c>
      <c r="J34" s="37" t="str">
        <f aca="false">IF(G34="","",IFERROR(IF(ISNUMBER(SEARCH(Assumptions!$C$5,G34)),Assumptions!$D$5,IF(ISNUMBER(SEARCH(Assumptions!$C$6,G34)),Assumptions!$D$6,IF(ISNUMBER(SEARCH(Assumptions!$C$7,G34)),Assumptions!$D$7,"Other Services"))),"Other Services"))</f>
        <v>Development</v>
      </c>
    </row>
    <row r="35" customFormat="false" ht="15" hidden="false" customHeight="true" outlineLevel="0" collapsed="false">
      <c r="A35" s="34" t="n">
        <v>46178</v>
      </c>
      <c r="B35" s="34" t="n">
        <v>46208</v>
      </c>
      <c r="C35" s="35" t="s">
        <v>199</v>
      </c>
      <c r="D35" s="35" t="s">
        <v>136</v>
      </c>
      <c r="E35" s="37" t="str">
        <f aca="false">IF(D35="","",IFERROR(VLOOKUP(D35,Assumptions!$G$5:$H$16,2,0),"Other"))</f>
        <v>Saudi Arabia</v>
      </c>
      <c r="F35" s="35" t="s">
        <v>138</v>
      </c>
      <c r="G35" s="35" t="s">
        <v>230</v>
      </c>
      <c r="H35" s="36" t="n">
        <v>17339.02</v>
      </c>
      <c r="I35" s="35" t="s">
        <v>223</v>
      </c>
      <c r="J35" s="37" t="str">
        <f aca="false">IF(G35="","",IFERROR(IF(ISNUMBER(SEARCH(Assumptions!$C$5,G35)),Assumptions!$D$5,IF(ISNUMBER(SEARCH(Assumptions!$C$6,G35)),Assumptions!$D$6,IF(ISNUMBER(SEARCH(Assumptions!$C$7,G35)),Assumptions!$D$7,"Other Services"))),"Other Services"))</f>
        <v>WhatsApp</v>
      </c>
    </row>
    <row r="36" customFormat="false" ht="15" hidden="false" customHeight="true" outlineLevel="0" collapsed="false">
      <c r="A36" s="34" t="n">
        <v>46178</v>
      </c>
      <c r="B36" s="34" t="n">
        <v>46208</v>
      </c>
      <c r="C36" s="35" t="s">
        <v>199</v>
      </c>
      <c r="D36" s="35" t="s">
        <v>164</v>
      </c>
      <c r="E36" s="37" t="str">
        <f aca="false">IF(D36="","",IFERROR(VLOOKUP(D36,Assumptions!$G$5:$H$16,2,0),"Other"))</f>
        <v>Pakistan</v>
      </c>
      <c r="F36" s="35" t="s">
        <v>146</v>
      </c>
      <c r="G36" s="35" t="s">
        <v>232</v>
      </c>
      <c r="H36" s="36" t="n">
        <v>17796.2</v>
      </c>
      <c r="I36" s="35" t="s">
        <v>220</v>
      </c>
      <c r="J36" s="37" t="str">
        <f aca="false">IF(G36="","",IFERROR(IF(ISNUMBER(SEARCH(Assumptions!$C$5,G36)),Assumptions!$D$5,IF(ISNUMBER(SEARCH(Assumptions!$C$6,G36)),Assumptions!$D$6,IF(ISNUMBER(SEARCH(Assumptions!$C$7,G36)),Assumptions!$D$7,"Other Services"))),"Other Services"))</f>
        <v>Development</v>
      </c>
    </row>
    <row r="37" customFormat="false" ht="15" hidden="false" customHeight="true" outlineLevel="0" collapsed="false">
      <c r="A37" s="34" t="n">
        <v>46180</v>
      </c>
      <c r="B37" s="34" t="n">
        <v>46210</v>
      </c>
      <c r="C37" s="35" t="s">
        <v>199</v>
      </c>
      <c r="D37" s="35" t="s">
        <v>164</v>
      </c>
      <c r="E37" s="37" t="str">
        <f aca="false">IF(D37="","",IFERROR(VLOOKUP(D37,Assumptions!$G$5:$H$16,2,0),"Other"))</f>
        <v>Pakistan</v>
      </c>
      <c r="F37" s="35" t="s">
        <v>154</v>
      </c>
      <c r="G37" s="35" t="s">
        <v>233</v>
      </c>
      <c r="H37" s="36" t="n">
        <v>41874.83</v>
      </c>
      <c r="I37" s="35" t="s">
        <v>223</v>
      </c>
      <c r="J37" s="37" t="str">
        <f aca="false">IF(G37="","",IFERROR(IF(ISNUMBER(SEARCH(Assumptions!$C$5,G37)),Assumptions!$D$5,IF(ISNUMBER(SEARCH(Assumptions!$C$6,G37)),Assumptions!$D$6,IF(ISNUMBER(SEARCH(Assumptions!$C$7,G37)),Assumptions!$D$7,"Other Services"))),"Other Services"))</f>
        <v>Subscription</v>
      </c>
    </row>
    <row r="38" customFormat="false" ht="15" hidden="false" customHeight="true" outlineLevel="0" collapsed="false">
      <c r="A38" s="34" t="n">
        <v>46189</v>
      </c>
      <c r="B38" s="34" t="n">
        <v>46189</v>
      </c>
      <c r="C38" s="35" t="s">
        <v>209</v>
      </c>
      <c r="D38" s="35" t="s">
        <v>212</v>
      </c>
      <c r="E38" s="37" t="str">
        <f aca="false">IF(D38="","",IFERROR(VLOOKUP(D38,Assumptions!$G$5:$H$16,2,0),"Other"))</f>
        <v>Other</v>
      </c>
      <c r="F38" s="35" t="s">
        <v>212</v>
      </c>
      <c r="G38" s="35" t="s">
        <v>234</v>
      </c>
      <c r="H38" s="36" t="n">
        <v>6652.47</v>
      </c>
      <c r="I38" s="35" t="s">
        <v>140</v>
      </c>
      <c r="J38" s="37" t="str">
        <f aca="false">IF(G38="","",IFERROR(IF(ISNUMBER(SEARCH(Assumptions!$C$5,G38)),Assumptions!$D$5,IF(ISNUMBER(SEARCH(Assumptions!$C$6,G38)),Assumptions!$D$6,IF(ISNUMBER(SEARCH(Assumptions!$C$7,G38)),Assumptions!$D$7,"Other Services"))),"Other Services"))</f>
        <v>Other Services</v>
      </c>
    </row>
    <row r="39" customFormat="false" ht="15" hidden="false" customHeight="true" outlineLevel="0" collapsed="false">
      <c r="A39" s="34" t="n">
        <v>46176</v>
      </c>
      <c r="B39" s="34" t="n">
        <v>46176</v>
      </c>
      <c r="C39" s="35" t="s">
        <v>209</v>
      </c>
      <c r="D39" s="35" t="s">
        <v>210</v>
      </c>
      <c r="E39" s="37" t="str">
        <f aca="false">IF(D39="","",IFERROR(VLOOKUP(D39,Assumptions!$G$5:$H$16,2,0),"Other"))</f>
        <v>Other</v>
      </c>
      <c r="F39" s="35" t="s">
        <v>210</v>
      </c>
      <c r="G39" s="35" t="s">
        <v>235</v>
      </c>
      <c r="H39" s="36" t="n">
        <v>16039.97</v>
      </c>
      <c r="I39" s="35" t="s">
        <v>140</v>
      </c>
      <c r="J39" s="37" t="str">
        <f aca="false">IF(G39="","",IFERROR(IF(ISNUMBER(SEARCH(Assumptions!$C$5,G39)),Assumptions!$D$5,IF(ISNUMBER(SEARCH(Assumptions!$C$6,G39)),Assumptions!$D$6,IF(ISNUMBER(SEARCH(Assumptions!$C$7,G39)),Assumptions!$D$7,"Other Services"))),"Other Services"))</f>
        <v>Other Services</v>
      </c>
    </row>
    <row r="40" customFormat="false" ht="15" hidden="false" customHeight="true" outlineLevel="0" collapsed="false">
      <c r="A40" s="34" t="n">
        <v>46175</v>
      </c>
      <c r="B40" s="34" t="n">
        <v>46175</v>
      </c>
      <c r="C40" s="35" t="s">
        <v>209</v>
      </c>
      <c r="D40" s="35" t="s">
        <v>236</v>
      </c>
      <c r="E40" s="37" t="str">
        <f aca="false">IF(D40="","",IFERROR(VLOOKUP(D40,Assumptions!$G$5:$H$16,2,0),"Other"))</f>
        <v>Other</v>
      </c>
      <c r="F40" s="35" t="s">
        <v>236</v>
      </c>
      <c r="G40" s="35" t="s">
        <v>237</v>
      </c>
      <c r="H40" s="36" t="n">
        <v>586.87</v>
      </c>
      <c r="I40" s="35" t="s">
        <v>140</v>
      </c>
      <c r="J40" s="37" t="str">
        <f aca="false">IF(G40="","",IFERROR(IF(ISNUMBER(SEARCH(Assumptions!$C$5,G40)),Assumptions!$D$5,IF(ISNUMBER(SEARCH(Assumptions!$C$6,G40)),Assumptions!$D$6,IF(ISNUMBER(SEARCH(Assumptions!$C$7,G40)),Assumptions!$D$7,"Other Services"))),"Other Services"))</f>
        <v>Subscription</v>
      </c>
    </row>
    <row r="41" customFormat="false" ht="15" hidden="false" customHeight="true" outlineLevel="0" collapsed="false">
      <c r="A41" s="34" t="n">
        <v>46194</v>
      </c>
      <c r="B41" s="34" t="n">
        <v>46194</v>
      </c>
      <c r="C41" s="35" t="s">
        <v>209</v>
      </c>
      <c r="D41" s="35" t="s">
        <v>214</v>
      </c>
      <c r="E41" s="37" t="str">
        <f aca="false">IF(D41="","",IFERROR(VLOOKUP(D41,Assumptions!$G$5:$H$16,2,0),"Other"))</f>
        <v>Other</v>
      </c>
      <c r="F41" s="35" t="s">
        <v>214</v>
      </c>
      <c r="G41" s="35" t="s">
        <v>238</v>
      </c>
      <c r="H41" s="36" t="n">
        <v>24505.05</v>
      </c>
      <c r="I41" s="35" t="s">
        <v>140</v>
      </c>
      <c r="J41" s="37" t="str">
        <f aca="false">IF(G41="","",IFERROR(IF(ISNUMBER(SEARCH(Assumptions!$C$5,G41)),Assumptions!$D$5,IF(ISNUMBER(SEARCH(Assumptions!$C$6,G41)),Assumptions!$D$6,IF(ISNUMBER(SEARCH(Assumptions!$C$7,G41)),Assumptions!$D$7,"Other Services"))),"Other Services"))</f>
        <v>Other Services</v>
      </c>
    </row>
    <row r="42" customFormat="false" ht="15" hidden="false" customHeight="true" outlineLevel="0" collapsed="false">
      <c r="A42" s="34" t="n">
        <v>46197</v>
      </c>
      <c r="B42" s="34" t="n">
        <v>46197</v>
      </c>
      <c r="C42" s="35" t="s">
        <v>209</v>
      </c>
      <c r="D42" s="35" t="s">
        <v>214</v>
      </c>
      <c r="E42" s="37" t="str">
        <f aca="false">IF(D42="","",IFERROR(VLOOKUP(D42,Assumptions!$G$5:$H$16,2,0),"Other"))</f>
        <v>Other</v>
      </c>
      <c r="F42" s="35" t="s">
        <v>214</v>
      </c>
      <c r="G42" s="35" t="s">
        <v>238</v>
      </c>
      <c r="H42" s="36" t="n">
        <v>11324.97</v>
      </c>
      <c r="I42" s="35" t="s">
        <v>140</v>
      </c>
      <c r="J42" s="37" t="str">
        <f aca="false">IF(G42="","",IFERROR(IF(ISNUMBER(SEARCH(Assumptions!$C$5,G42)),Assumptions!$D$5,IF(ISNUMBER(SEARCH(Assumptions!$C$6,G42)),Assumptions!$D$6,IF(ISNUMBER(SEARCH(Assumptions!$C$7,G42)),Assumptions!$D$7,"Other Services"))),"Other Services"))</f>
        <v>Other Services</v>
      </c>
    </row>
    <row r="43" customFormat="false" ht="15" hidden="false" customHeight="false" outlineLevel="0" collapsed="false">
      <c r="E43" s="41" t="str">
        <f aca="false">IF(D43="","",IFERROR(VLOOKUP(D43,Assumptions!$G$5:$H$16,2,0),"Other"))</f>
        <v/>
      </c>
      <c r="J43" s="41" t="str">
        <f aca="false">IF(G43="","",IFERROR(IF(ISNUMBER(SEARCH(Assumptions!$C$5,G43)),Assumptions!$D$5,IF(ISNUMBER(SEARCH(Assumptions!$C$6,G43)),Assumptions!$D$6,IF(ISNUMBER(SEARCH(Assumptions!$C$7,G43)),Assumptions!$D$7,"Other Services"))),"Other Services"))</f>
        <v/>
      </c>
    </row>
    <row r="44" customFormat="false" ht="15" hidden="false" customHeight="false" outlineLevel="0" collapsed="false">
      <c r="E44" s="41" t="str">
        <f aca="false">IF(D44="","",IFERROR(VLOOKUP(D44,Assumptions!$G$5:$H$16,2,0),"Other"))</f>
        <v/>
      </c>
      <c r="J44" s="41" t="str">
        <f aca="false">IF(G44="","",IFERROR(IF(ISNUMBER(SEARCH(Assumptions!$C$5,G44)),Assumptions!$D$5,IF(ISNUMBER(SEARCH(Assumptions!$C$6,G44)),Assumptions!$D$6,IF(ISNUMBER(SEARCH(Assumptions!$C$7,G44)),Assumptions!$D$7,"Other Services"))),"Other Services"))</f>
        <v/>
      </c>
    </row>
    <row r="45" customFormat="false" ht="15" hidden="false" customHeight="false" outlineLevel="0" collapsed="false">
      <c r="E45" s="41" t="str">
        <f aca="false">IF(D45="","",IFERROR(VLOOKUP(D45,Assumptions!$G$5:$H$16,2,0),"Other"))</f>
        <v/>
      </c>
      <c r="J45" s="41" t="str">
        <f aca="false">IF(G45="","",IFERROR(IF(ISNUMBER(SEARCH(Assumptions!$C$5,G45)),Assumptions!$D$5,IF(ISNUMBER(SEARCH(Assumptions!$C$6,G45)),Assumptions!$D$6,IF(ISNUMBER(SEARCH(Assumptions!$C$7,G45)),Assumptions!$D$7,"Other Services"))),"Other Services"))</f>
        <v/>
      </c>
    </row>
    <row r="46" customFormat="false" ht="15" hidden="false" customHeight="false" outlineLevel="0" collapsed="false">
      <c r="E46" s="41" t="str">
        <f aca="false">IF(D46="","",IFERROR(VLOOKUP(D46,Assumptions!$G$5:$H$16,2,0),"Other"))</f>
        <v/>
      </c>
      <c r="J46" s="41" t="str">
        <f aca="false">IF(G46="","",IFERROR(IF(ISNUMBER(SEARCH(Assumptions!$C$5,G46)),Assumptions!$D$5,IF(ISNUMBER(SEARCH(Assumptions!$C$6,G46)),Assumptions!$D$6,IF(ISNUMBER(SEARCH(Assumptions!$C$7,G46)),Assumptions!$D$7,"Other Services"))),"Other Services"))</f>
        <v/>
      </c>
    </row>
    <row r="47" customFormat="false" ht="15" hidden="false" customHeight="false" outlineLevel="0" collapsed="false">
      <c r="E47" s="41" t="str">
        <f aca="false">IF(D47="","",IFERROR(VLOOKUP(D47,Assumptions!$G$5:$H$16,2,0),"Other"))</f>
        <v/>
      </c>
      <c r="J47" s="41" t="str">
        <f aca="false">IF(G47="","",IFERROR(IF(ISNUMBER(SEARCH(Assumptions!$C$5,G47)),Assumptions!$D$5,IF(ISNUMBER(SEARCH(Assumptions!$C$6,G47)),Assumptions!$D$6,IF(ISNUMBER(SEARCH(Assumptions!$C$7,G47)),Assumptions!$D$7,"Other Services"))),"Other Services"))</f>
        <v/>
      </c>
    </row>
    <row r="48" customFormat="false" ht="15" hidden="false" customHeight="false" outlineLevel="0" collapsed="false">
      <c r="E48" s="41" t="str">
        <f aca="false">IF(D48="","",IFERROR(VLOOKUP(D48,Assumptions!$G$5:$H$16,2,0),"Other"))</f>
        <v/>
      </c>
      <c r="J48" s="41" t="str">
        <f aca="false">IF(G48="","",IFERROR(IF(ISNUMBER(SEARCH(Assumptions!$C$5,G48)),Assumptions!$D$5,IF(ISNUMBER(SEARCH(Assumptions!$C$6,G48)),Assumptions!$D$6,IF(ISNUMBER(SEARCH(Assumptions!$C$7,G48)),Assumptions!$D$7,"Other Services"))),"Other Services"))</f>
        <v/>
      </c>
    </row>
    <row r="49" customFormat="false" ht="15" hidden="false" customHeight="false" outlineLevel="0" collapsed="false">
      <c r="E49" s="41" t="str">
        <f aca="false">IF(D49="","",IFERROR(VLOOKUP(D49,Assumptions!$G$5:$H$16,2,0),"Other"))</f>
        <v/>
      </c>
      <c r="J49" s="41" t="str">
        <f aca="false">IF(G49="","",IFERROR(IF(ISNUMBER(SEARCH(Assumptions!$C$5,G49)),Assumptions!$D$5,IF(ISNUMBER(SEARCH(Assumptions!$C$6,G49)),Assumptions!$D$6,IF(ISNUMBER(SEARCH(Assumptions!$C$7,G49)),Assumptions!$D$7,"Other Services"))),"Other Services"))</f>
        <v/>
      </c>
    </row>
    <row r="50" customFormat="false" ht="15" hidden="false" customHeight="false" outlineLevel="0" collapsed="false">
      <c r="E50" s="41" t="str">
        <f aca="false">IF(D50="","",IFERROR(VLOOKUP(D50,Assumptions!$G$5:$H$16,2,0),"Other"))</f>
        <v/>
      </c>
      <c r="J50" s="41" t="str">
        <f aca="false">IF(G50="","",IFERROR(IF(ISNUMBER(SEARCH(Assumptions!$C$5,G50)),Assumptions!$D$5,IF(ISNUMBER(SEARCH(Assumptions!$C$6,G50)),Assumptions!$D$6,IF(ISNUMBER(SEARCH(Assumptions!$C$7,G50)),Assumptions!$D$7,"Other Services"))),"Other Services"))</f>
        <v/>
      </c>
    </row>
    <row r="51" customFormat="false" ht="15" hidden="false" customHeight="false" outlineLevel="0" collapsed="false">
      <c r="E51" s="41" t="str">
        <f aca="false">IF(D51="","",IFERROR(VLOOKUP(D51,Assumptions!$G$5:$H$16,2,0),"Other"))</f>
        <v/>
      </c>
      <c r="J51" s="41" t="str">
        <f aca="false">IF(G51="","",IFERROR(IF(ISNUMBER(SEARCH(Assumptions!$C$5,G51)),Assumptions!$D$5,IF(ISNUMBER(SEARCH(Assumptions!$C$6,G51)),Assumptions!$D$6,IF(ISNUMBER(SEARCH(Assumptions!$C$7,G51)),Assumptions!$D$7,"Other Services"))),"Other Services"))</f>
        <v/>
      </c>
    </row>
    <row r="52" customFormat="false" ht="15" hidden="false" customHeight="false" outlineLevel="0" collapsed="false">
      <c r="E52" s="41" t="str">
        <f aca="false">IF(D52="","",IFERROR(VLOOKUP(D52,Assumptions!$G$5:$H$16,2,0),"Other"))</f>
        <v/>
      </c>
      <c r="J52" s="41" t="str">
        <f aca="false">IF(G52="","",IFERROR(IF(ISNUMBER(SEARCH(Assumptions!$C$5,G52)),Assumptions!$D$5,IF(ISNUMBER(SEARCH(Assumptions!$C$6,G52)),Assumptions!$D$6,IF(ISNUMBER(SEARCH(Assumptions!$C$7,G52)),Assumptions!$D$7,"Other Services"))),"Other Services"))</f>
        <v/>
      </c>
    </row>
    <row r="53" customFormat="false" ht="15" hidden="false" customHeight="false" outlineLevel="0" collapsed="false">
      <c r="E53" s="41" t="str">
        <f aca="false">IF(D53="","",IFERROR(VLOOKUP(D53,Assumptions!$G$5:$H$16,2,0),"Other"))</f>
        <v/>
      </c>
      <c r="J53" s="41" t="str">
        <f aca="false">IF(G53="","",IFERROR(IF(ISNUMBER(SEARCH(Assumptions!$C$5,G53)),Assumptions!$D$5,IF(ISNUMBER(SEARCH(Assumptions!$C$6,G53)),Assumptions!$D$6,IF(ISNUMBER(SEARCH(Assumptions!$C$7,G53)),Assumptions!$D$7,"Other Services"))),"Other Services"))</f>
        <v/>
      </c>
    </row>
    <row r="54" customFormat="false" ht="15" hidden="false" customHeight="false" outlineLevel="0" collapsed="false">
      <c r="E54" s="41" t="str">
        <f aca="false">IF(D54="","",IFERROR(VLOOKUP(D54,Assumptions!$G$5:$H$16,2,0),"Other"))</f>
        <v/>
      </c>
      <c r="J54" s="41" t="str">
        <f aca="false">IF(G54="","",IFERROR(IF(ISNUMBER(SEARCH(Assumptions!$C$5,G54)),Assumptions!$D$5,IF(ISNUMBER(SEARCH(Assumptions!$C$6,G54)),Assumptions!$D$6,IF(ISNUMBER(SEARCH(Assumptions!$C$7,G54)),Assumptions!$D$7,"Other Services"))),"Other Services"))</f>
        <v/>
      </c>
    </row>
    <row r="55" customFormat="false" ht="15" hidden="false" customHeight="false" outlineLevel="0" collapsed="false">
      <c r="E55" s="41" t="str">
        <f aca="false">IF(D55="","",IFERROR(VLOOKUP(D55,Assumptions!$G$5:$H$16,2,0),"Other"))</f>
        <v/>
      </c>
      <c r="J55" s="41" t="str">
        <f aca="false">IF(G55="","",IFERROR(IF(ISNUMBER(SEARCH(Assumptions!$C$5,G55)),Assumptions!$D$5,IF(ISNUMBER(SEARCH(Assumptions!$C$6,G55)),Assumptions!$D$6,IF(ISNUMBER(SEARCH(Assumptions!$C$7,G55)),Assumptions!$D$7,"Other Services"))),"Other Services"))</f>
        <v/>
      </c>
    </row>
    <row r="56" customFormat="false" ht="15" hidden="false" customHeight="false" outlineLevel="0" collapsed="false">
      <c r="E56" s="41" t="str">
        <f aca="false">IF(D56="","",IFERROR(VLOOKUP(D56,Assumptions!$G$5:$H$16,2,0),"Other"))</f>
        <v/>
      </c>
      <c r="J56" s="41" t="str">
        <f aca="false">IF(G56="","",IFERROR(IF(ISNUMBER(SEARCH(Assumptions!$C$5,G56)),Assumptions!$D$5,IF(ISNUMBER(SEARCH(Assumptions!$C$6,G56)),Assumptions!$D$6,IF(ISNUMBER(SEARCH(Assumptions!$C$7,G56)),Assumptions!$D$7,"Other Services"))),"Other Services"))</f>
        <v/>
      </c>
    </row>
    <row r="57" customFormat="false" ht="15" hidden="false" customHeight="false" outlineLevel="0" collapsed="false">
      <c r="E57" s="41" t="str">
        <f aca="false">IF(D57="","",IFERROR(VLOOKUP(D57,Assumptions!$G$5:$H$16,2,0),"Other"))</f>
        <v/>
      </c>
      <c r="J57" s="41" t="str">
        <f aca="false">IF(G57="","",IFERROR(IF(ISNUMBER(SEARCH(Assumptions!$C$5,G57)),Assumptions!$D$5,IF(ISNUMBER(SEARCH(Assumptions!$C$6,G57)),Assumptions!$D$6,IF(ISNUMBER(SEARCH(Assumptions!$C$7,G57)),Assumptions!$D$7,"Other Services"))),"Other Services"))</f>
        <v/>
      </c>
    </row>
    <row r="58" customFormat="false" ht="15" hidden="false" customHeight="false" outlineLevel="0" collapsed="false">
      <c r="E58" s="41" t="str">
        <f aca="false">IF(D58="","",IFERROR(VLOOKUP(D58,Assumptions!$G$5:$H$16,2,0),"Other"))</f>
        <v/>
      </c>
      <c r="J58" s="41" t="str">
        <f aca="false">IF(G58="","",IFERROR(IF(ISNUMBER(SEARCH(Assumptions!$C$5,G58)),Assumptions!$D$5,IF(ISNUMBER(SEARCH(Assumptions!$C$6,G58)),Assumptions!$D$6,IF(ISNUMBER(SEARCH(Assumptions!$C$7,G58)),Assumptions!$D$7,"Other Services"))),"Other Services"))</f>
        <v/>
      </c>
    </row>
    <row r="59" customFormat="false" ht="15" hidden="false" customHeight="false" outlineLevel="0" collapsed="false">
      <c r="E59" s="41" t="str">
        <f aca="false">IF(D59="","",IFERROR(VLOOKUP(D59,Assumptions!$G$5:$H$16,2,0),"Other"))</f>
        <v/>
      </c>
      <c r="J59" s="41" t="str">
        <f aca="false">IF(G59="","",IFERROR(IF(ISNUMBER(SEARCH(Assumptions!$C$5,G59)),Assumptions!$D$5,IF(ISNUMBER(SEARCH(Assumptions!$C$6,G59)),Assumptions!$D$6,IF(ISNUMBER(SEARCH(Assumptions!$C$7,G59)),Assumptions!$D$7,"Other Services"))),"Other Services"))</f>
        <v/>
      </c>
    </row>
    <row r="60" customFormat="false" ht="15" hidden="false" customHeight="false" outlineLevel="0" collapsed="false">
      <c r="E60" s="41" t="str">
        <f aca="false">IF(D60="","",IFERROR(VLOOKUP(D60,Assumptions!$G$5:$H$16,2,0),"Other"))</f>
        <v/>
      </c>
      <c r="J60" s="41" t="str">
        <f aca="false">IF(G60="","",IFERROR(IF(ISNUMBER(SEARCH(Assumptions!$C$5,G60)),Assumptions!$D$5,IF(ISNUMBER(SEARCH(Assumptions!$C$6,G60)),Assumptions!$D$6,IF(ISNUMBER(SEARCH(Assumptions!$C$7,G60)),Assumptions!$D$7,"Other Services"))),"Other Services"))</f>
        <v/>
      </c>
    </row>
    <row r="61" customFormat="false" ht="15" hidden="false" customHeight="false" outlineLevel="0" collapsed="false">
      <c r="E61" s="41" t="str">
        <f aca="false">IF(D61="","",IFERROR(VLOOKUP(D61,Assumptions!$G$5:$H$16,2,0),"Other"))</f>
        <v/>
      </c>
      <c r="J61" s="41" t="str">
        <f aca="false">IF(G61="","",IFERROR(IF(ISNUMBER(SEARCH(Assumptions!$C$5,G61)),Assumptions!$D$5,IF(ISNUMBER(SEARCH(Assumptions!$C$6,G61)),Assumptions!$D$6,IF(ISNUMBER(SEARCH(Assumptions!$C$7,G61)),Assumptions!$D$7,"Other Services"))),"Other Services"))</f>
        <v/>
      </c>
    </row>
    <row r="62" customFormat="false" ht="15" hidden="false" customHeight="false" outlineLevel="0" collapsed="false">
      <c r="E62" s="41" t="str">
        <f aca="false">IF(D62="","",IFERROR(VLOOKUP(D62,Assumptions!$G$5:$H$16,2,0),"Other"))</f>
        <v/>
      </c>
      <c r="J62" s="41" t="str">
        <f aca="false">IF(G62="","",IFERROR(IF(ISNUMBER(SEARCH(Assumptions!$C$5,G62)),Assumptions!$D$5,IF(ISNUMBER(SEARCH(Assumptions!$C$6,G62)),Assumptions!$D$6,IF(ISNUMBER(SEARCH(Assumptions!$C$7,G62)),Assumptions!$D$7,"Other Services"))),"Other Services"))</f>
        <v/>
      </c>
    </row>
    <row r="63" customFormat="false" ht="15" hidden="false" customHeight="false" outlineLevel="0" collapsed="false">
      <c r="E63" s="41" t="str">
        <f aca="false">IF(D63="","",IFERROR(VLOOKUP(D63,Assumptions!$G$5:$H$16,2,0),"Other"))</f>
        <v/>
      </c>
      <c r="J63" s="41" t="str">
        <f aca="false">IF(G63="","",IFERROR(IF(ISNUMBER(SEARCH(Assumptions!$C$5,G63)),Assumptions!$D$5,IF(ISNUMBER(SEARCH(Assumptions!$C$6,G63)),Assumptions!$D$6,IF(ISNUMBER(SEARCH(Assumptions!$C$7,G63)),Assumptions!$D$7,"Other Services"))),"Other Services"))</f>
        <v/>
      </c>
    </row>
    <row r="64" customFormat="false" ht="15" hidden="false" customHeight="false" outlineLevel="0" collapsed="false">
      <c r="E64" s="41" t="str">
        <f aca="false">IF(D64="","",IFERROR(VLOOKUP(D64,Assumptions!$G$5:$H$16,2,0),"Other"))</f>
        <v/>
      </c>
      <c r="J64" s="41" t="str">
        <f aca="false">IF(G64="","",IFERROR(IF(ISNUMBER(SEARCH(Assumptions!$C$5,G64)),Assumptions!$D$5,IF(ISNUMBER(SEARCH(Assumptions!$C$6,G64)),Assumptions!$D$6,IF(ISNUMBER(SEARCH(Assumptions!$C$7,G64)),Assumptions!$D$7,"Other Services"))),"Other Services"))</f>
        <v/>
      </c>
    </row>
    <row r="65" customFormat="false" ht="15" hidden="false" customHeight="false" outlineLevel="0" collapsed="false">
      <c r="E65" s="41" t="str">
        <f aca="false">IF(D65="","",IFERROR(VLOOKUP(D65,Assumptions!$G$5:$H$16,2,0),"Other"))</f>
        <v/>
      </c>
      <c r="J65" s="41" t="str">
        <f aca="false">IF(G65="","",IFERROR(IF(ISNUMBER(SEARCH(Assumptions!$C$5,G65)),Assumptions!$D$5,IF(ISNUMBER(SEARCH(Assumptions!$C$6,G65)),Assumptions!$D$6,IF(ISNUMBER(SEARCH(Assumptions!$C$7,G65)),Assumptions!$D$7,"Other Services"))),"Other Services"))</f>
        <v/>
      </c>
    </row>
    <row r="66" customFormat="false" ht="15" hidden="false" customHeight="false" outlineLevel="0" collapsed="false">
      <c r="E66" s="41" t="str">
        <f aca="false">IF(D66="","",IFERROR(VLOOKUP(D66,Assumptions!$G$5:$H$16,2,0),"Other"))</f>
        <v/>
      </c>
      <c r="J66" s="41" t="str">
        <f aca="false">IF(G66="","",IFERROR(IF(ISNUMBER(SEARCH(Assumptions!$C$5,G66)),Assumptions!$D$5,IF(ISNUMBER(SEARCH(Assumptions!$C$6,G66)),Assumptions!$D$6,IF(ISNUMBER(SEARCH(Assumptions!$C$7,G66)),Assumptions!$D$7,"Other Services"))),"Other Services"))</f>
        <v/>
      </c>
    </row>
    <row r="67" customFormat="false" ht="15" hidden="false" customHeight="false" outlineLevel="0" collapsed="false">
      <c r="E67" s="41" t="str">
        <f aca="false">IF(D67="","",IFERROR(VLOOKUP(D67,Assumptions!$G$5:$H$16,2,0),"Other"))</f>
        <v/>
      </c>
      <c r="J67" s="41" t="str">
        <f aca="false">IF(G67="","",IFERROR(IF(ISNUMBER(SEARCH(Assumptions!$C$5,G67)),Assumptions!$D$5,IF(ISNUMBER(SEARCH(Assumptions!$C$6,G67)),Assumptions!$D$6,IF(ISNUMBER(SEARCH(Assumptions!$C$7,G67)),Assumptions!$D$7,"Other Services"))),"Other Services"))</f>
        <v/>
      </c>
    </row>
    <row r="68" customFormat="false" ht="15" hidden="false" customHeight="false" outlineLevel="0" collapsed="false">
      <c r="E68" s="41" t="str">
        <f aca="false">IF(D68="","",IFERROR(VLOOKUP(D68,Assumptions!$G$5:$H$16,2,0),"Other"))</f>
        <v/>
      </c>
      <c r="J68" s="41" t="str">
        <f aca="false">IF(G68="","",IFERROR(IF(ISNUMBER(SEARCH(Assumptions!$C$5,G68)),Assumptions!$D$5,IF(ISNUMBER(SEARCH(Assumptions!$C$6,G68)),Assumptions!$D$6,IF(ISNUMBER(SEARCH(Assumptions!$C$7,G68)),Assumptions!$D$7,"Other Services"))),"Other Services"))</f>
        <v/>
      </c>
    </row>
    <row r="69" customFormat="false" ht="15" hidden="false" customHeight="false" outlineLevel="0" collapsed="false">
      <c r="E69" s="41" t="str">
        <f aca="false">IF(D69="","",IFERROR(VLOOKUP(D69,Assumptions!$G$5:$H$16,2,0),"Other"))</f>
        <v/>
      </c>
      <c r="J69" s="41" t="str">
        <f aca="false">IF(G69="","",IFERROR(IF(ISNUMBER(SEARCH(Assumptions!$C$5,G69)),Assumptions!$D$5,IF(ISNUMBER(SEARCH(Assumptions!$C$6,G69)),Assumptions!$D$6,IF(ISNUMBER(SEARCH(Assumptions!$C$7,G69)),Assumptions!$D$7,"Other Services"))),"Other Services"))</f>
        <v/>
      </c>
    </row>
    <row r="70" customFormat="false" ht="15" hidden="false" customHeight="false" outlineLevel="0" collapsed="false">
      <c r="E70" s="41" t="str">
        <f aca="false">IF(D70="","",IFERROR(VLOOKUP(D70,Assumptions!$G$5:$H$16,2,0),"Other"))</f>
        <v/>
      </c>
      <c r="J70" s="41" t="str">
        <f aca="false">IF(G70="","",IFERROR(IF(ISNUMBER(SEARCH(Assumptions!$C$5,G70)),Assumptions!$D$5,IF(ISNUMBER(SEARCH(Assumptions!$C$6,G70)),Assumptions!$D$6,IF(ISNUMBER(SEARCH(Assumptions!$C$7,G70)),Assumptions!$D$7,"Other Services"))),"Other Services"))</f>
        <v/>
      </c>
    </row>
    <row r="71" customFormat="false" ht="15" hidden="false" customHeight="false" outlineLevel="0" collapsed="false">
      <c r="E71" s="41" t="str">
        <f aca="false">IF(D71="","",IFERROR(VLOOKUP(D71,Assumptions!$G$5:$H$16,2,0),"Other"))</f>
        <v/>
      </c>
      <c r="J71" s="41" t="str">
        <f aca="false">IF(G71="","",IFERROR(IF(ISNUMBER(SEARCH(Assumptions!$C$5,G71)),Assumptions!$D$5,IF(ISNUMBER(SEARCH(Assumptions!$C$6,G71)),Assumptions!$D$6,IF(ISNUMBER(SEARCH(Assumptions!$C$7,G71)),Assumptions!$D$7,"Other Services"))),"Other Services"))</f>
        <v/>
      </c>
    </row>
    <row r="72" customFormat="false" ht="15" hidden="false" customHeight="false" outlineLevel="0" collapsed="false">
      <c r="E72" s="41" t="str">
        <f aca="false">IF(D72="","",IFERROR(VLOOKUP(D72,Assumptions!$G$5:$H$16,2,0),"Other"))</f>
        <v/>
      </c>
      <c r="J72" s="41" t="str">
        <f aca="false">IF(G72="","",IFERROR(IF(ISNUMBER(SEARCH(Assumptions!$C$5,G72)),Assumptions!$D$5,IF(ISNUMBER(SEARCH(Assumptions!$C$6,G72)),Assumptions!$D$6,IF(ISNUMBER(SEARCH(Assumptions!$C$7,G72)),Assumptions!$D$7,"Other Services"))),"Other Services"))</f>
        <v/>
      </c>
    </row>
    <row r="73" customFormat="false" ht="15" hidden="false" customHeight="false" outlineLevel="0" collapsed="false">
      <c r="E73" s="41" t="str">
        <f aca="false">IF(D73="","",IFERROR(VLOOKUP(D73,Assumptions!$G$5:$H$16,2,0),"Other"))</f>
        <v/>
      </c>
      <c r="J73" s="41" t="str">
        <f aca="false">IF(G73="","",IFERROR(IF(ISNUMBER(SEARCH(Assumptions!$C$5,G73)),Assumptions!$D$5,IF(ISNUMBER(SEARCH(Assumptions!$C$6,G73)),Assumptions!$D$6,IF(ISNUMBER(SEARCH(Assumptions!$C$7,G73)),Assumptions!$D$7,"Other Services"))),"Other Services"))</f>
        <v/>
      </c>
    </row>
    <row r="74" customFormat="false" ht="15" hidden="false" customHeight="false" outlineLevel="0" collapsed="false">
      <c r="E74" s="41" t="str">
        <f aca="false">IF(D74="","",IFERROR(VLOOKUP(D74,Assumptions!$G$5:$H$16,2,0),"Other"))</f>
        <v/>
      </c>
      <c r="J74" s="41" t="str">
        <f aca="false">IF(G74="","",IFERROR(IF(ISNUMBER(SEARCH(Assumptions!$C$5,G74)),Assumptions!$D$5,IF(ISNUMBER(SEARCH(Assumptions!$C$6,G74)),Assumptions!$D$6,IF(ISNUMBER(SEARCH(Assumptions!$C$7,G74)),Assumptions!$D$7,"Other Services"))),"Other Services"))</f>
        <v/>
      </c>
    </row>
    <row r="75" customFormat="false" ht="15" hidden="false" customHeight="false" outlineLevel="0" collapsed="false">
      <c r="E75" s="41" t="str">
        <f aca="false">IF(D75="","",IFERROR(VLOOKUP(D75,Assumptions!$G$5:$H$16,2,0),"Other"))</f>
        <v/>
      </c>
      <c r="J75" s="41" t="str">
        <f aca="false">IF(G75="","",IFERROR(IF(ISNUMBER(SEARCH(Assumptions!$C$5,G75)),Assumptions!$D$5,IF(ISNUMBER(SEARCH(Assumptions!$C$6,G75)),Assumptions!$D$6,IF(ISNUMBER(SEARCH(Assumptions!$C$7,G75)),Assumptions!$D$7,"Other Services"))),"Other Services"))</f>
        <v/>
      </c>
    </row>
    <row r="76" customFormat="false" ht="15" hidden="false" customHeight="false" outlineLevel="0" collapsed="false">
      <c r="E76" s="41" t="str">
        <f aca="false">IF(D76="","",IFERROR(VLOOKUP(D76,Assumptions!$G$5:$H$16,2,0),"Other"))</f>
        <v/>
      </c>
      <c r="J76" s="41" t="str">
        <f aca="false">IF(G76="","",IFERROR(IF(ISNUMBER(SEARCH(Assumptions!$C$5,G76)),Assumptions!$D$5,IF(ISNUMBER(SEARCH(Assumptions!$C$6,G76)),Assumptions!$D$6,IF(ISNUMBER(SEARCH(Assumptions!$C$7,G76)),Assumptions!$D$7,"Other Services"))),"Other Services"))</f>
        <v/>
      </c>
    </row>
    <row r="77" customFormat="false" ht="15" hidden="false" customHeight="false" outlineLevel="0" collapsed="false">
      <c r="E77" s="41" t="str">
        <f aca="false">IF(D77="","",IFERROR(VLOOKUP(D77,Assumptions!$G$5:$H$16,2,0),"Other"))</f>
        <v/>
      </c>
      <c r="J77" s="41" t="str">
        <f aca="false">IF(G77="","",IFERROR(IF(ISNUMBER(SEARCH(Assumptions!$C$5,G77)),Assumptions!$D$5,IF(ISNUMBER(SEARCH(Assumptions!$C$6,G77)),Assumptions!$D$6,IF(ISNUMBER(SEARCH(Assumptions!$C$7,G77)),Assumptions!$D$7,"Other Services"))),"Other Services"))</f>
        <v/>
      </c>
    </row>
    <row r="78" customFormat="false" ht="15" hidden="false" customHeight="false" outlineLevel="0" collapsed="false">
      <c r="E78" s="41" t="str">
        <f aca="false">IF(D78="","",IFERROR(VLOOKUP(D78,Assumptions!$G$5:$H$16,2,0),"Other"))</f>
        <v/>
      </c>
      <c r="J78" s="41" t="str">
        <f aca="false">IF(G78="","",IFERROR(IF(ISNUMBER(SEARCH(Assumptions!$C$5,G78)),Assumptions!$D$5,IF(ISNUMBER(SEARCH(Assumptions!$C$6,G78)),Assumptions!$D$6,IF(ISNUMBER(SEARCH(Assumptions!$C$7,G78)),Assumptions!$D$7,"Other Services"))),"Other Services"))</f>
        <v/>
      </c>
    </row>
    <row r="79" customFormat="false" ht="15" hidden="false" customHeight="false" outlineLevel="0" collapsed="false">
      <c r="E79" s="41" t="str">
        <f aca="false">IF(D79="","",IFERROR(VLOOKUP(D79,Assumptions!$G$5:$H$16,2,0),"Other"))</f>
        <v/>
      </c>
      <c r="J79" s="41" t="str">
        <f aca="false">IF(G79="","",IFERROR(IF(ISNUMBER(SEARCH(Assumptions!$C$5,G79)),Assumptions!$D$5,IF(ISNUMBER(SEARCH(Assumptions!$C$6,G79)),Assumptions!$D$6,IF(ISNUMBER(SEARCH(Assumptions!$C$7,G79)),Assumptions!$D$7,"Other Services"))),"Other Services"))</f>
        <v/>
      </c>
    </row>
    <row r="80" customFormat="false" ht="15" hidden="false" customHeight="false" outlineLevel="0" collapsed="false">
      <c r="E80" s="41" t="str">
        <f aca="false">IF(D80="","",IFERROR(VLOOKUP(D80,Assumptions!$G$5:$H$16,2,0),"Other"))</f>
        <v/>
      </c>
      <c r="J80" s="41" t="str">
        <f aca="false">IF(G80="","",IFERROR(IF(ISNUMBER(SEARCH(Assumptions!$C$5,G80)),Assumptions!$D$5,IF(ISNUMBER(SEARCH(Assumptions!$C$6,G80)),Assumptions!$D$6,IF(ISNUMBER(SEARCH(Assumptions!$C$7,G80)),Assumptions!$D$7,"Other Services"))),"Other Services"))</f>
        <v/>
      </c>
    </row>
    <row r="81" customFormat="false" ht="15" hidden="false" customHeight="false" outlineLevel="0" collapsed="false">
      <c r="E81" s="41" t="str">
        <f aca="false">IF(D81="","",IFERROR(VLOOKUP(D81,Assumptions!$G$5:$H$16,2,0),"Other"))</f>
        <v/>
      </c>
      <c r="J81" s="41" t="str">
        <f aca="false">IF(G81="","",IFERROR(IF(ISNUMBER(SEARCH(Assumptions!$C$5,G81)),Assumptions!$D$5,IF(ISNUMBER(SEARCH(Assumptions!$C$6,G81)),Assumptions!$D$6,IF(ISNUMBER(SEARCH(Assumptions!$C$7,G81)),Assumptions!$D$7,"Other Services"))),"Other Services"))</f>
        <v/>
      </c>
    </row>
    <row r="82" customFormat="false" ht="15" hidden="false" customHeight="false" outlineLevel="0" collapsed="false">
      <c r="E82" s="41" t="str">
        <f aca="false">IF(D82="","",IFERROR(VLOOKUP(D82,Assumptions!$G$5:$H$16,2,0),"Other"))</f>
        <v/>
      </c>
      <c r="J82" s="41" t="str">
        <f aca="false">IF(G82="","",IFERROR(IF(ISNUMBER(SEARCH(Assumptions!$C$5,G82)),Assumptions!$D$5,IF(ISNUMBER(SEARCH(Assumptions!$C$6,G82)),Assumptions!$D$6,IF(ISNUMBER(SEARCH(Assumptions!$C$7,G82)),Assumptions!$D$7,"Other Services"))),"Other Services"))</f>
        <v/>
      </c>
    </row>
    <row r="83" customFormat="false" ht="15" hidden="false" customHeight="false" outlineLevel="0" collapsed="false">
      <c r="E83" s="41" t="str">
        <f aca="false">IF(D83="","",IFERROR(VLOOKUP(D83,Assumptions!$G$5:$H$16,2,0),"Other"))</f>
        <v/>
      </c>
      <c r="J83" s="41" t="str">
        <f aca="false">IF(G83="","",IFERROR(IF(ISNUMBER(SEARCH(Assumptions!$C$5,G83)),Assumptions!$D$5,IF(ISNUMBER(SEARCH(Assumptions!$C$6,G83)),Assumptions!$D$6,IF(ISNUMBER(SEARCH(Assumptions!$C$7,G83)),Assumptions!$D$7,"Other Services"))),"Other Services"))</f>
        <v/>
      </c>
    </row>
    <row r="84" customFormat="false" ht="15" hidden="false" customHeight="false" outlineLevel="0" collapsed="false">
      <c r="E84" s="41" t="str">
        <f aca="false">IF(D84="","",IFERROR(VLOOKUP(D84,Assumptions!$G$5:$H$16,2,0),"Other"))</f>
        <v/>
      </c>
      <c r="J84" s="41" t="str">
        <f aca="false">IF(G84="","",IFERROR(IF(ISNUMBER(SEARCH(Assumptions!$C$5,G84)),Assumptions!$D$5,IF(ISNUMBER(SEARCH(Assumptions!$C$6,G84)),Assumptions!$D$6,IF(ISNUMBER(SEARCH(Assumptions!$C$7,G84)),Assumptions!$D$7,"Other Services"))),"Other Services"))</f>
        <v/>
      </c>
    </row>
    <row r="85" customFormat="false" ht="15" hidden="false" customHeight="false" outlineLevel="0" collapsed="false">
      <c r="E85" s="41" t="str">
        <f aca="false">IF(D85="","",IFERROR(VLOOKUP(D85,Assumptions!$G$5:$H$16,2,0),"Other"))</f>
        <v/>
      </c>
      <c r="J85" s="41" t="str">
        <f aca="false">IF(G85="","",IFERROR(IF(ISNUMBER(SEARCH(Assumptions!$C$5,G85)),Assumptions!$D$5,IF(ISNUMBER(SEARCH(Assumptions!$C$6,G85)),Assumptions!$D$6,IF(ISNUMBER(SEARCH(Assumptions!$C$7,G85)),Assumptions!$D$7,"Other Services"))),"Other Services"))</f>
        <v/>
      </c>
    </row>
    <row r="86" customFormat="false" ht="15" hidden="false" customHeight="false" outlineLevel="0" collapsed="false">
      <c r="E86" s="41" t="str">
        <f aca="false">IF(D86="","",IFERROR(VLOOKUP(D86,Assumptions!$G$5:$H$16,2,0),"Other"))</f>
        <v/>
      </c>
      <c r="J86" s="41" t="str">
        <f aca="false">IF(G86="","",IFERROR(IF(ISNUMBER(SEARCH(Assumptions!$C$5,G86)),Assumptions!$D$5,IF(ISNUMBER(SEARCH(Assumptions!$C$6,G86)),Assumptions!$D$6,IF(ISNUMBER(SEARCH(Assumptions!$C$7,G86)),Assumptions!$D$7,"Other Services"))),"Other Services"))</f>
        <v/>
      </c>
    </row>
    <row r="87" customFormat="false" ht="15" hidden="false" customHeight="false" outlineLevel="0" collapsed="false">
      <c r="E87" s="41" t="str">
        <f aca="false">IF(D87="","",IFERROR(VLOOKUP(D87,Assumptions!$G$5:$H$16,2,0),"Other"))</f>
        <v/>
      </c>
      <c r="J87" s="41" t="str">
        <f aca="false">IF(G87="","",IFERROR(IF(ISNUMBER(SEARCH(Assumptions!$C$5,G87)),Assumptions!$D$5,IF(ISNUMBER(SEARCH(Assumptions!$C$6,G87)),Assumptions!$D$6,IF(ISNUMBER(SEARCH(Assumptions!$C$7,G87)),Assumptions!$D$7,"Other Services"))),"Other Services"))</f>
        <v/>
      </c>
    </row>
    <row r="88" customFormat="false" ht="15" hidden="false" customHeight="false" outlineLevel="0" collapsed="false">
      <c r="E88" s="41" t="str">
        <f aca="false">IF(D88="","",IFERROR(VLOOKUP(D88,Assumptions!$G$5:$H$16,2,0),"Other"))</f>
        <v/>
      </c>
      <c r="J88" s="41" t="str">
        <f aca="false">IF(G88="","",IFERROR(IF(ISNUMBER(SEARCH(Assumptions!$C$5,G88)),Assumptions!$D$5,IF(ISNUMBER(SEARCH(Assumptions!$C$6,G88)),Assumptions!$D$6,IF(ISNUMBER(SEARCH(Assumptions!$C$7,G88)),Assumptions!$D$7,"Other Services"))),"Other Services"))</f>
        <v/>
      </c>
    </row>
    <row r="89" customFormat="false" ht="15" hidden="false" customHeight="false" outlineLevel="0" collapsed="false">
      <c r="E89" s="41" t="str">
        <f aca="false">IF(D89="","",IFERROR(VLOOKUP(D89,Assumptions!$G$5:$H$16,2,0),"Other"))</f>
        <v/>
      </c>
      <c r="J89" s="41" t="str">
        <f aca="false">IF(G89="","",IFERROR(IF(ISNUMBER(SEARCH(Assumptions!$C$5,G89)),Assumptions!$D$5,IF(ISNUMBER(SEARCH(Assumptions!$C$6,G89)),Assumptions!$D$6,IF(ISNUMBER(SEARCH(Assumptions!$C$7,G89)),Assumptions!$D$7,"Other Services"))),"Other Services"))</f>
        <v/>
      </c>
    </row>
    <row r="90" customFormat="false" ht="15" hidden="false" customHeight="false" outlineLevel="0" collapsed="false">
      <c r="E90" s="41" t="str">
        <f aca="false">IF(D90="","",IFERROR(VLOOKUP(D90,Assumptions!$G$5:$H$16,2,0),"Other"))</f>
        <v/>
      </c>
      <c r="J90" s="41" t="str">
        <f aca="false">IF(G90="","",IFERROR(IF(ISNUMBER(SEARCH(Assumptions!$C$5,G90)),Assumptions!$D$5,IF(ISNUMBER(SEARCH(Assumptions!$C$6,G90)),Assumptions!$D$6,IF(ISNUMBER(SEARCH(Assumptions!$C$7,G90)),Assumptions!$D$7,"Other Services"))),"Other Services"))</f>
        <v/>
      </c>
    </row>
    <row r="91" customFormat="false" ht="15" hidden="false" customHeight="false" outlineLevel="0" collapsed="false">
      <c r="E91" s="41" t="str">
        <f aca="false">IF(D91="","",IFERROR(VLOOKUP(D91,Assumptions!$G$5:$H$16,2,0),"Other"))</f>
        <v/>
      </c>
      <c r="J91" s="41" t="str">
        <f aca="false">IF(G91="","",IFERROR(IF(ISNUMBER(SEARCH(Assumptions!$C$5,G91)),Assumptions!$D$5,IF(ISNUMBER(SEARCH(Assumptions!$C$6,G91)),Assumptions!$D$6,IF(ISNUMBER(SEARCH(Assumptions!$C$7,G91)),Assumptions!$D$7,"Other Services"))),"Other Services"))</f>
        <v/>
      </c>
    </row>
    <row r="92" customFormat="false" ht="15" hidden="false" customHeight="false" outlineLevel="0" collapsed="false">
      <c r="E92" s="41" t="str">
        <f aca="false">IF(D92="","",IFERROR(VLOOKUP(D92,Assumptions!$G$5:$H$16,2,0),"Other"))</f>
        <v/>
      </c>
      <c r="J92" s="41" t="str">
        <f aca="false">IF(G92="","",IFERROR(IF(ISNUMBER(SEARCH(Assumptions!$C$5,G92)),Assumptions!$D$5,IF(ISNUMBER(SEARCH(Assumptions!$C$6,G92)),Assumptions!$D$6,IF(ISNUMBER(SEARCH(Assumptions!$C$7,G92)),Assumptions!$D$7,"Other Services"))),"Other Services"))</f>
        <v/>
      </c>
    </row>
    <row r="93" customFormat="false" ht="15" hidden="false" customHeight="false" outlineLevel="0" collapsed="false">
      <c r="E93" s="41" t="str">
        <f aca="false">IF(D93="","",IFERROR(VLOOKUP(D93,Assumptions!$G$5:$H$16,2,0),"Other"))</f>
        <v/>
      </c>
      <c r="J93" s="41" t="str">
        <f aca="false">IF(G93="","",IFERROR(IF(ISNUMBER(SEARCH(Assumptions!$C$5,G93)),Assumptions!$D$5,IF(ISNUMBER(SEARCH(Assumptions!$C$6,G93)),Assumptions!$D$6,IF(ISNUMBER(SEARCH(Assumptions!$C$7,G93)),Assumptions!$D$7,"Other Services"))),"Other Services"))</f>
        <v/>
      </c>
    </row>
    <row r="94" customFormat="false" ht="15" hidden="false" customHeight="false" outlineLevel="0" collapsed="false">
      <c r="E94" s="41" t="str">
        <f aca="false">IF(D94="","",IFERROR(VLOOKUP(D94,Assumptions!$G$5:$H$16,2,0),"Other"))</f>
        <v/>
      </c>
      <c r="J94" s="41" t="str">
        <f aca="false">IF(G94="","",IFERROR(IF(ISNUMBER(SEARCH(Assumptions!$C$5,G94)),Assumptions!$D$5,IF(ISNUMBER(SEARCH(Assumptions!$C$6,G94)),Assumptions!$D$6,IF(ISNUMBER(SEARCH(Assumptions!$C$7,G94)),Assumptions!$D$7,"Other Services"))),"Other Services"))</f>
        <v/>
      </c>
    </row>
    <row r="95" customFormat="false" ht="15" hidden="false" customHeight="false" outlineLevel="0" collapsed="false">
      <c r="E95" s="41" t="str">
        <f aca="false">IF(D95="","",IFERROR(VLOOKUP(D95,Assumptions!$G$5:$H$16,2,0),"Other"))</f>
        <v/>
      </c>
      <c r="J95" s="41" t="str">
        <f aca="false">IF(G95="","",IFERROR(IF(ISNUMBER(SEARCH(Assumptions!$C$5,G95)),Assumptions!$D$5,IF(ISNUMBER(SEARCH(Assumptions!$C$6,G95)),Assumptions!$D$6,IF(ISNUMBER(SEARCH(Assumptions!$C$7,G95)),Assumptions!$D$7,"Other Services"))),"Other Services"))</f>
        <v/>
      </c>
    </row>
    <row r="96" customFormat="false" ht="15" hidden="false" customHeight="false" outlineLevel="0" collapsed="false">
      <c r="E96" s="41" t="str">
        <f aca="false">IF(D96="","",IFERROR(VLOOKUP(D96,Assumptions!$G$5:$H$16,2,0),"Other"))</f>
        <v/>
      </c>
      <c r="J96" s="41" t="str">
        <f aca="false">IF(G96="","",IFERROR(IF(ISNUMBER(SEARCH(Assumptions!$C$5,G96)),Assumptions!$D$5,IF(ISNUMBER(SEARCH(Assumptions!$C$6,G96)),Assumptions!$D$6,IF(ISNUMBER(SEARCH(Assumptions!$C$7,G96)),Assumptions!$D$7,"Other Services"))),"Other Services"))</f>
        <v/>
      </c>
    </row>
    <row r="97" customFormat="false" ht="15" hidden="false" customHeight="false" outlineLevel="0" collapsed="false">
      <c r="E97" s="41" t="str">
        <f aca="false">IF(D97="","",IFERROR(VLOOKUP(D97,Assumptions!$G$5:$H$16,2,0),"Other"))</f>
        <v/>
      </c>
      <c r="J97" s="41" t="str">
        <f aca="false">IF(G97="","",IFERROR(IF(ISNUMBER(SEARCH(Assumptions!$C$5,G97)),Assumptions!$D$5,IF(ISNUMBER(SEARCH(Assumptions!$C$6,G97)),Assumptions!$D$6,IF(ISNUMBER(SEARCH(Assumptions!$C$7,G97)),Assumptions!$D$7,"Other Services"))),"Other Services"))</f>
        <v/>
      </c>
    </row>
    <row r="98" customFormat="false" ht="15" hidden="false" customHeight="false" outlineLevel="0" collapsed="false">
      <c r="E98" s="41" t="str">
        <f aca="false">IF(D98="","",IFERROR(VLOOKUP(D98,Assumptions!$G$5:$H$16,2,0),"Other"))</f>
        <v/>
      </c>
      <c r="J98" s="41" t="str">
        <f aca="false">IF(G98="","",IFERROR(IF(ISNUMBER(SEARCH(Assumptions!$C$5,G98)),Assumptions!$D$5,IF(ISNUMBER(SEARCH(Assumptions!$C$6,G98)),Assumptions!$D$6,IF(ISNUMBER(SEARCH(Assumptions!$C$7,G98)),Assumptions!$D$7,"Other Services"))),"Other Services"))</f>
        <v/>
      </c>
    </row>
    <row r="99" customFormat="false" ht="15" hidden="false" customHeight="false" outlineLevel="0" collapsed="false">
      <c r="E99" s="41" t="str">
        <f aca="false">IF(D99="","",IFERROR(VLOOKUP(D99,Assumptions!$G$5:$H$16,2,0),"Other"))</f>
        <v/>
      </c>
      <c r="J99" s="41" t="str">
        <f aca="false">IF(G99="","",IFERROR(IF(ISNUMBER(SEARCH(Assumptions!$C$5,G99)),Assumptions!$D$5,IF(ISNUMBER(SEARCH(Assumptions!$C$6,G99)),Assumptions!$D$6,IF(ISNUMBER(SEARCH(Assumptions!$C$7,G99)),Assumptions!$D$7,"Other Services"))),"Other Services"))</f>
        <v/>
      </c>
    </row>
    <row r="100" customFormat="false" ht="15" hidden="false" customHeight="false" outlineLevel="0" collapsed="false">
      <c r="E100" s="41" t="str">
        <f aca="false">IF(D100="","",IFERROR(VLOOKUP(D100,Assumptions!$G$5:$H$16,2,0),"Other"))</f>
        <v/>
      </c>
      <c r="J100" s="41" t="str">
        <f aca="false">IF(G100="","",IFERROR(IF(ISNUMBER(SEARCH(Assumptions!$C$5,G100)),Assumptions!$D$5,IF(ISNUMBER(SEARCH(Assumptions!$C$6,G100)),Assumptions!$D$6,IF(ISNUMBER(SEARCH(Assumptions!$C$7,G100)),Assumptions!$D$7,"Other Services"))),"Other Services"))</f>
        <v/>
      </c>
    </row>
    <row r="101" customFormat="false" ht="15" hidden="false" customHeight="false" outlineLevel="0" collapsed="false">
      <c r="E101" s="41" t="str">
        <f aca="false">IF(D101="","",IFERROR(VLOOKUP(D101,Assumptions!$G$5:$H$16,2,0),"Other"))</f>
        <v/>
      </c>
      <c r="J101" s="41" t="str">
        <f aca="false">IF(G101="","",IFERROR(IF(ISNUMBER(SEARCH(Assumptions!$C$5,G101)),Assumptions!$D$5,IF(ISNUMBER(SEARCH(Assumptions!$C$6,G101)),Assumptions!$D$6,IF(ISNUMBER(SEARCH(Assumptions!$C$7,G101)),Assumptions!$D$7,"Other Services"))),"Other Services"))</f>
        <v/>
      </c>
    </row>
    <row r="102" customFormat="false" ht="15" hidden="false" customHeight="false" outlineLevel="0" collapsed="false">
      <c r="E102" s="41" t="str">
        <f aca="false">IF(D102="","",IFERROR(VLOOKUP(D102,Assumptions!$G$5:$H$16,2,0),"Other"))</f>
        <v/>
      </c>
      <c r="J102" s="41" t="str">
        <f aca="false">IF(G102="","",IFERROR(IF(ISNUMBER(SEARCH(Assumptions!$C$5,G102)),Assumptions!$D$5,IF(ISNUMBER(SEARCH(Assumptions!$C$6,G102)),Assumptions!$D$6,IF(ISNUMBER(SEARCH(Assumptions!$C$7,G102)),Assumptions!$D$7,"Other Services"))),"Other Services"))</f>
        <v/>
      </c>
    </row>
    <row r="103" customFormat="false" ht="15" hidden="false" customHeight="false" outlineLevel="0" collapsed="false">
      <c r="E103" s="41" t="str">
        <f aca="false">IF(D103="","",IFERROR(VLOOKUP(D103,Assumptions!$G$5:$H$16,2,0),"Other"))</f>
        <v/>
      </c>
      <c r="J103" s="41" t="str">
        <f aca="false">IF(G103="","",IFERROR(IF(ISNUMBER(SEARCH(Assumptions!$C$5,G103)),Assumptions!$D$5,IF(ISNUMBER(SEARCH(Assumptions!$C$6,G103)),Assumptions!$D$6,IF(ISNUMBER(SEARCH(Assumptions!$C$7,G103)),Assumptions!$D$7,"Other Services"))),"Other Services"))</f>
        <v/>
      </c>
    </row>
    <row r="104" customFormat="false" ht="15" hidden="false" customHeight="false" outlineLevel="0" collapsed="false">
      <c r="E104" s="41" t="str">
        <f aca="false">IF(D104="","",IFERROR(VLOOKUP(D104,Assumptions!$G$5:$H$16,2,0),"Other"))</f>
        <v/>
      </c>
      <c r="J104" s="41" t="str">
        <f aca="false">IF(G104="","",IFERROR(IF(ISNUMBER(SEARCH(Assumptions!$C$5,G104)),Assumptions!$D$5,IF(ISNUMBER(SEARCH(Assumptions!$C$6,G104)),Assumptions!$D$6,IF(ISNUMBER(SEARCH(Assumptions!$C$7,G104)),Assumptions!$D$7,"Other Services"))),"Other Services"))</f>
        <v/>
      </c>
    </row>
    <row r="105" customFormat="false" ht="15" hidden="false" customHeight="false" outlineLevel="0" collapsed="false">
      <c r="E105" s="41" t="str">
        <f aca="false">IF(D105="","",IFERROR(VLOOKUP(D105,Assumptions!$G$5:$H$16,2,0),"Other"))</f>
        <v/>
      </c>
      <c r="J105" s="41" t="str">
        <f aca="false">IF(G105="","",IFERROR(IF(ISNUMBER(SEARCH(Assumptions!$C$5,G105)),Assumptions!$D$5,IF(ISNUMBER(SEARCH(Assumptions!$C$6,G105)),Assumptions!$D$6,IF(ISNUMBER(SEARCH(Assumptions!$C$7,G105)),Assumptions!$D$7,"Other Services"))),"Other Services"))</f>
        <v/>
      </c>
    </row>
    <row r="106" customFormat="false" ht="15" hidden="false" customHeight="false" outlineLevel="0" collapsed="false">
      <c r="E106" s="41" t="str">
        <f aca="false">IF(D106="","",IFERROR(VLOOKUP(D106,Assumptions!$G$5:$H$16,2,0),"Other"))</f>
        <v/>
      </c>
      <c r="J106" s="41" t="str">
        <f aca="false">IF(G106="","",IFERROR(IF(ISNUMBER(SEARCH(Assumptions!$C$5,G106)),Assumptions!$D$5,IF(ISNUMBER(SEARCH(Assumptions!$C$6,G106)),Assumptions!$D$6,IF(ISNUMBER(SEARCH(Assumptions!$C$7,G106)),Assumptions!$D$7,"Other Services"))),"Other Services"))</f>
        <v/>
      </c>
    </row>
    <row r="107" customFormat="false" ht="15" hidden="false" customHeight="false" outlineLevel="0" collapsed="false">
      <c r="E107" s="41" t="str">
        <f aca="false">IF(D107="","",IFERROR(VLOOKUP(D107,Assumptions!$G$5:$H$16,2,0),"Other"))</f>
        <v/>
      </c>
      <c r="J107" s="41" t="str">
        <f aca="false">IF(G107="","",IFERROR(IF(ISNUMBER(SEARCH(Assumptions!$C$5,G107)),Assumptions!$D$5,IF(ISNUMBER(SEARCH(Assumptions!$C$6,G107)),Assumptions!$D$6,IF(ISNUMBER(SEARCH(Assumptions!$C$7,G107)),Assumptions!$D$7,"Other Services"))),"Other Services"))</f>
        <v/>
      </c>
    </row>
    <row r="108" customFormat="false" ht="15" hidden="false" customHeight="false" outlineLevel="0" collapsed="false">
      <c r="E108" s="41" t="str">
        <f aca="false">IF(D108="","",IFERROR(VLOOKUP(D108,Assumptions!$G$5:$H$16,2,0),"Other"))</f>
        <v/>
      </c>
      <c r="J108" s="41" t="str">
        <f aca="false">IF(G108="","",IFERROR(IF(ISNUMBER(SEARCH(Assumptions!$C$5,G108)),Assumptions!$D$5,IF(ISNUMBER(SEARCH(Assumptions!$C$6,G108)),Assumptions!$D$6,IF(ISNUMBER(SEARCH(Assumptions!$C$7,G108)),Assumptions!$D$7,"Other Services"))),"Other Services"))</f>
        <v/>
      </c>
    </row>
    <row r="109" customFormat="false" ht="15" hidden="false" customHeight="false" outlineLevel="0" collapsed="false">
      <c r="E109" s="41" t="str">
        <f aca="false">IF(D109="","",IFERROR(VLOOKUP(D109,Assumptions!$G$5:$H$16,2,0),"Other"))</f>
        <v/>
      </c>
      <c r="J109" s="41" t="str">
        <f aca="false">IF(G109="","",IFERROR(IF(ISNUMBER(SEARCH(Assumptions!$C$5,G109)),Assumptions!$D$5,IF(ISNUMBER(SEARCH(Assumptions!$C$6,G109)),Assumptions!$D$6,IF(ISNUMBER(SEARCH(Assumptions!$C$7,G109)),Assumptions!$D$7,"Other Services"))),"Other Services"))</f>
        <v/>
      </c>
    </row>
    <row r="110" customFormat="false" ht="15" hidden="false" customHeight="false" outlineLevel="0" collapsed="false">
      <c r="E110" s="41" t="str">
        <f aca="false">IF(D110="","",IFERROR(VLOOKUP(D110,Assumptions!$G$5:$H$16,2,0),"Other"))</f>
        <v/>
      </c>
      <c r="J110" s="41" t="str">
        <f aca="false">IF(G110="","",IFERROR(IF(ISNUMBER(SEARCH(Assumptions!$C$5,G110)),Assumptions!$D$5,IF(ISNUMBER(SEARCH(Assumptions!$C$6,G110)),Assumptions!$D$6,IF(ISNUMBER(SEARCH(Assumptions!$C$7,G110)),Assumptions!$D$7,"Other Services"))),"Other Services"))</f>
        <v/>
      </c>
    </row>
    <row r="111" customFormat="false" ht="15" hidden="false" customHeight="false" outlineLevel="0" collapsed="false">
      <c r="E111" s="41" t="str">
        <f aca="false">IF(D111="","",IFERROR(VLOOKUP(D111,Assumptions!$G$5:$H$16,2,0),"Other"))</f>
        <v/>
      </c>
      <c r="J111" s="41" t="str">
        <f aca="false">IF(G111="","",IFERROR(IF(ISNUMBER(SEARCH(Assumptions!$C$5,G111)),Assumptions!$D$5,IF(ISNUMBER(SEARCH(Assumptions!$C$6,G111)),Assumptions!$D$6,IF(ISNUMBER(SEARCH(Assumptions!$C$7,G111)),Assumptions!$D$7,"Other Services"))),"Other Services"))</f>
        <v/>
      </c>
    </row>
    <row r="112" customFormat="false" ht="15" hidden="false" customHeight="false" outlineLevel="0" collapsed="false">
      <c r="E112" s="41" t="str">
        <f aca="false">IF(D112="","",IFERROR(VLOOKUP(D112,Assumptions!$G$5:$H$16,2,0),"Other"))</f>
        <v/>
      </c>
      <c r="J112" s="41" t="str">
        <f aca="false">IF(G112="","",IFERROR(IF(ISNUMBER(SEARCH(Assumptions!$C$5,G112)),Assumptions!$D$5,IF(ISNUMBER(SEARCH(Assumptions!$C$6,G112)),Assumptions!$D$6,IF(ISNUMBER(SEARCH(Assumptions!$C$7,G112)),Assumptions!$D$7,"Other Services"))),"Other Services"))</f>
        <v/>
      </c>
    </row>
    <row r="113" customFormat="false" ht="15" hidden="false" customHeight="false" outlineLevel="0" collapsed="false">
      <c r="E113" s="41" t="str">
        <f aca="false">IF(D113="","",IFERROR(VLOOKUP(D113,Assumptions!$G$5:$H$16,2,0),"Other"))</f>
        <v/>
      </c>
      <c r="J113" s="41" t="str">
        <f aca="false">IF(G113="","",IFERROR(IF(ISNUMBER(SEARCH(Assumptions!$C$5,G113)),Assumptions!$D$5,IF(ISNUMBER(SEARCH(Assumptions!$C$6,G113)),Assumptions!$D$6,IF(ISNUMBER(SEARCH(Assumptions!$C$7,G113)),Assumptions!$D$7,"Other Services"))),"Other Services"))</f>
        <v/>
      </c>
    </row>
    <row r="114" customFormat="false" ht="15" hidden="false" customHeight="false" outlineLevel="0" collapsed="false">
      <c r="E114" s="41" t="str">
        <f aca="false">IF(D114="","",IFERROR(VLOOKUP(D114,Assumptions!$G$5:$H$16,2,0),"Other"))</f>
        <v/>
      </c>
      <c r="J114" s="41" t="str">
        <f aca="false">IF(G114="","",IFERROR(IF(ISNUMBER(SEARCH(Assumptions!$C$5,G114)),Assumptions!$D$5,IF(ISNUMBER(SEARCH(Assumptions!$C$6,G114)),Assumptions!$D$6,IF(ISNUMBER(SEARCH(Assumptions!$C$7,G114)),Assumptions!$D$7,"Other Services"))),"Other Services"))</f>
        <v/>
      </c>
    </row>
    <row r="115" customFormat="false" ht="15" hidden="false" customHeight="false" outlineLevel="0" collapsed="false">
      <c r="E115" s="41" t="str">
        <f aca="false">IF(D115="","",IFERROR(VLOOKUP(D115,Assumptions!$G$5:$H$16,2,0),"Other"))</f>
        <v/>
      </c>
      <c r="J115" s="41" t="str">
        <f aca="false">IF(G115="","",IFERROR(IF(ISNUMBER(SEARCH(Assumptions!$C$5,G115)),Assumptions!$D$5,IF(ISNUMBER(SEARCH(Assumptions!$C$6,G115)),Assumptions!$D$6,IF(ISNUMBER(SEARCH(Assumptions!$C$7,G115)),Assumptions!$D$7,"Other Services"))),"Other Services"))</f>
        <v/>
      </c>
    </row>
    <row r="116" customFormat="false" ht="15" hidden="false" customHeight="false" outlineLevel="0" collapsed="false">
      <c r="E116" s="41" t="str">
        <f aca="false">IF(D116="","",IFERROR(VLOOKUP(D116,Assumptions!$G$5:$H$16,2,0),"Other"))</f>
        <v/>
      </c>
      <c r="J116" s="41" t="str">
        <f aca="false">IF(G116="","",IFERROR(IF(ISNUMBER(SEARCH(Assumptions!$C$5,G116)),Assumptions!$D$5,IF(ISNUMBER(SEARCH(Assumptions!$C$6,G116)),Assumptions!$D$6,IF(ISNUMBER(SEARCH(Assumptions!$C$7,G116)),Assumptions!$D$7,"Other Services"))),"Other Services"))</f>
        <v/>
      </c>
    </row>
    <row r="117" customFormat="false" ht="15" hidden="false" customHeight="false" outlineLevel="0" collapsed="false">
      <c r="E117" s="41" t="str">
        <f aca="false">IF(D117="","",IFERROR(VLOOKUP(D117,Assumptions!$G$5:$H$16,2,0),"Other"))</f>
        <v/>
      </c>
      <c r="J117" s="41" t="str">
        <f aca="false">IF(G117="","",IFERROR(IF(ISNUMBER(SEARCH(Assumptions!$C$5,G117)),Assumptions!$D$5,IF(ISNUMBER(SEARCH(Assumptions!$C$6,G117)),Assumptions!$D$6,IF(ISNUMBER(SEARCH(Assumptions!$C$7,G117)),Assumptions!$D$7,"Other Services"))),"Other Services"))</f>
        <v/>
      </c>
    </row>
    <row r="118" customFormat="false" ht="15" hidden="false" customHeight="false" outlineLevel="0" collapsed="false">
      <c r="E118" s="41" t="str">
        <f aca="false">IF(D118="","",IFERROR(VLOOKUP(D118,Assumptions!$G$5:$H$16,2,0),"Other"))</f>
        <v/>
      </c>
      <c r="J118" s="41" t="str">
        <f aca="false">IF(G118="","",IFERROR(IF(ISNUMBER(SEARCH(Assumptions!$C$5,G118)),Assumptions!$D$5,IF(ISNUMBER(SEARCH(Assumptions!$C$6,G118)),Assumptions!$D$6,IF(ISNUMBER(SEARCH(Assumptions!$C$7,G118)),Assumptions!$D$7,"Other Services"))),"Other Services"))</f>
        <v/>
      </c>
    </row>
    <row r="119" customFormat="false" ht="15" hidden="false" customHeight="false" outlineLevel="0" collapsed="false">
      <c r="E119" s="41" t="str">
        <f aca="false">IF(D119="","",IFERROR(VLOOKUP(D119,Assumptions!$G$5:$H$16,2,0),"Other"))</f>
        <v/>
      </c>
      <c r="J119" s="41" t="str">
        <f aca="false">IF(G119="","",IFERROR(IF(ISNUMBER(SEARCH(Assumptions!$C$5,G119)),Assumptions!$D$5,IF(ISNUMBER(SEARCH(Assumptions!$C$6,G119)),Assumptions!$D$6,IF(ISNUMBER(SEARCH(Assumptions!$C$7,G119)),Assumptions!$D$7,"Other Services"))),"Other Services"))</f>
        <v/>
      </c>
    </row>
    <row r="120" customFormat="false" ht="15" hidden="false" customHeight="false" outlineLevel="0" collapsed="false">
      <c r="E120" s="41" t="str">
        <f aca="false">IF(D120="","",IFERROR(VLOOKUP(D120,Assumptions!$G$5:$H$16,2,0),"Other"))</f>
        <v/>
      </c>
      <c r="J120" s="41" t="str">
        <f aca="false">IF(G120="","",IFERROR(IF(ISNUMBER(SEARCH(Assumptions!$C$5,G120)),Assumptions!$D$5,IF(ISNUMBER(SEARCH(Assumptions!$C$6,G120)),Assumptions!$D$6,IF(ISNUMBER(SEARCH(Assumptions!$C$7,G120)),Assumptions!$D$7,"Other Services"))),"Other Services"))</f>
        <v/>
      </c>
    </row>
    <row r="121" customFormat="false" ht="15" hidden="false" customHeight="false" outlineLevel="0" collapsed="false">
      <c r="E121" s="41" t="str">
        <f aca="false">IF(D121="","",IFERROR(VLOOKUP(D121,Assumptions!$G$5:$H$16,2,0),"Other"))</f>
        <v/>
      </c>
      <c r="J121" s="41" t="str">
        <f aca="false">IF(G121="","",IFERROR(IF(ISNUMBER(SEARCH(Assumptions!$C$5,G121)),Assumptions!$D$5,IF(ISNUMBER(SEARCH(Assumptions!$C$6,G121)),Assumptions!$D$6,IF(ISNUMBER(SEARCH(Assumptions!$C$7,G121)),Assumptions!$D$7,"Other Services"))),"Other Services"))</f>
        <v/>
      </c>
    </row>
    <row r="122" customFormat="false" ht="15" hidden="false" customHeight="false" outlineLevel="0" collapsed="false">
      <c r="E122" s="41" t="str">
        <f aca="false">IF(D122="","",IFERROR(VLOOKUP(D122,Assumptions!$G$5:$H$16,2,0),"Other"))</f>
        <v/>
      </c>
      <c r="J122" s="41" t="str">
        <f aca="false">IF(G122="","",IFERROR(IF(ISNUMBER(SEARCH(Assumptions!$C$5,G122)),Assumptions!$D$5,IF(ISNUMBER(SEARCH(Assumptions!$C$6,G122)),Assumptions!$D$6,IF(ISNUMBER(SEARCH(Assumptions!$C$7,G122)),Assumptions!$D$7,"Other Services"))),"Other Services"))</f>
        <v/>
      </c>
    </row>
    <row r="123" customFormat="false" ht="15" hidden="false" customHeight="false" outlineLevel="0" collapsed="false">
      <c r="E123" s="41" t="str">
        <f aca="false">IF(D123="","",IFERROR(VLOOKUP(D123,Assumptions!$G$5:$H$16,2,0),"Other"))</f>
        <v/>
      </c>
      <c r="J123" s="41" t="str">
        <f aca="false">IF(G123="","",IFERROR(IF(ISNUMBER(SEARCH(Assumptions!$C$5,G123)),Assumptions!$D$5,IF(ISNUMBER(SEARCH(Assumptions!$C$6,G123)),Assumptions!$D$6,IF(ISNUMBER(SEARCH(Assumptions!$C$7,G123)),Assumptions!$D$7,"Other Services"))),"Other Services"))</f>
        <v/>
      </c>
    </row>
    <row r="124" customFormat="false" ht="15" hidden="false" customHeight="false" outlineLevel="0" collapsed="false">
      <c r="E124" s="41" t="str">
        <f aca="false">IF(D124="","",IFERROR(VLOOKUP(D124,Assumptions!$G$5:$H$16,2,0),"Other"))</f>
        <v/>
      </c>
      <c r="J124" s="41" t="str">
        <f aca="false">IF(G124="","",IFERROR(IF(ISNUMBER(SEARCH(Assumptions!$C$5,G124)),Assumptions!$D$5,IF(ISNUMBER(SEARCH(Assumptions!$C$6,G124)),Assumptions!$D$6,IF(ISNUMBER(SEARCH(Assumptions!$C$7,G124)),Assumptions!$D$7,"Other Services"))),"Other Services"))</f>
        <v/>
      </c>
    </row>
    <row r="125" customFormat="false" ht="15" hidden="false" customHeight="false" outlineLevel="0" collapsed="false">
      <c r="E125" s="41" t="str">
        <f aca="false">IF(D125="","",IFERROR(VLOOKUP(D125,Assumptions!$G$5:$H$16,2,0),"Other"))</f>
        <v/>
      </c>
      <c r="J125" s="41" t="str">
        <f aca="false">IF(G125="","",IFERROR(IF(ISNUMBER(SEARCH(Assumptions!$C$5,G125)),Assumptions!$D$5,IF(ISNUMBER(SEARCH(Assumptions!$C$6,G125)),Assumptions!$D$6,IF(ISNUMBER(SEARCH(Assumptions!$C$7,G125)),Assumptions!$D$7,"Other Services"))),"Other Services"))</f>
        <v/>
      </c>
    </row>
    <row r="126" customFormat="false" ht="15" hidden="false" customHeight="false" outlineLevel="0" collapsed="false">
      <c r="E126" s="41" t="str">
        <f aca="false">IF(D126="","",IFERROR(VLOOKUP(D126,Assumptions!$G$5:$H$16,2,0),"Other"))</f>
        <v/>
      </c>
      <c r="J126" s="41" t="str">
        <f aca="false">IF(G126="","",IFERROR(IF(ISNUMBER(SEARCH(Assumptions!$C$5,G126)),Assumptions!$D$5,IF(ISNUMBER(SEARCH(Assumptions!$C$6,G126)),Assumptions!$D$6,IF(ISNUMBER(SEARCH(Assumptions!$C$7,G126)),Assumptions!$D$7,"Other Services"))),"Other Services"))</f>
        <v/>
      </c>
    </row>
    <row r="127" customFormat="false" ht="15" hidden="false" customHeight="false" outlineLevel="0" collapsed="false">
      <c r="E127" s="41" t="str">
        <f aca="false">IF(D127="","",IFERROR(VLOOKUP(D127,Assumptions!$G$5:$H$16,2,0),"Other"))</f>
        <v/>
      </c>
      <c r="J127" s="41" t="str">
        <f aca="false">IF(G127="","",IFERROR(IF(ISNUMBER(SEARCH(Assumptions!$C$5,G127)),Assumptions!$D$5,IF(ISNUMBER(SEARCH(Assumptions!$C$6,G127)),Assumptions!$D$6,IF(ISNUMBER(SEARCH(Assumptions!$C$7,G127)),Assumptions!$D$7,"Other Services"))),"Other Services"))</f>
        <v/>
      </c>
    </row>
    <row r="128" customFormat="false" ht="15" hidden="false" customHeight="false" outlineLevel="0" collapsed="false">
      <c r="E128" s="41" t="str">
        <f aca="false">IF(D128="","",IFERROR(VLOOKUP(D128,Assumptions!$G$5:$H$16,2,0),"Other"))</f>
        <v/>
      </c>
      <c r="J128" s="41" t="str">
        <f aca="false">IF(G128="","",IFERROR(IF(ISNUMBER(SEARCH(Assumptions!$C$5,G128)),Assumptions!$D$5,IF(ISNUMBER(SEARCH(Assumptions!$C$6,G128)),Assumptions!$D$6,IF(ISNUMBER(SEARCH(Assumptions!$C$7,G128)),Assumptions!$D$7,"Other Services"))),"Other Services"))</f>
        <v/>
      </c>
    </row>
    <row r="129" customFormat="false" ht="15" hidden="false" customHeight="false" outlineLevel="0" collapsed="false">
      <c r="E129" s="41" t="str">
        <f aca="false">IF(D129="","",IFERROR(VLOOKUP(D129,Assumptions!$G$5:$H$16,2,0),"Other"))</f>
        <v/>
      </c>
      <c r="J129" s="41" t="str">
        <f aca="false">IF(G129="","",IFERROR(IF(ISNUMBER(SEARCH(Assumptions!$C$5,G129)),Assumptions!$D$5,IF(ISNUMBER(SEARCH(Assumptions!$C$6,G129)),Assumptions!$D$6,IF(ISNUMBER(SEARCH(Assumptions!$C$7,G129)),Assumptions!$D$7,"Other Services"))),"Other Services"))</f>
        <v/>
      </c>
    </row>
    <row r="130" customFormat="false" ht="15" hidden="false" customHeight="false" outlineLevel="0" collapsed="false">
      <c r="E130" s="41" t="str">
        <f aca="false">IF(D130="","",IFERROR(VLOOKUP(D130,Assumptions!$G$5:$H$16,2,0),"Other"))</f>
        <v/>
      </c>
      <c r="J130" s="41" t="str">
        <f aca="false">IF(G130="","",IFERROR(IF(ISNUMBER(SEARCH(Assumptions!$C$5,G130)),Assumptions!$D$5,IF(ISNUMBER(SEARCH(Assumptions!$C$6,G130)),Assumptions!$D$6,IF(ISNUMBER(SEARCH(Assumptions!$C$7,G130)),Assumptions!$D$7,"Other Services"))),"Other Services"))</f>
        <v/>
      </c>
    </row>
    <row r="131" customFormat="false" ht="15" hidden="false" customHeight="false" outlineLevel="0" collapsed="false">
      <c r="E131" s="41" t="str">
        <f aca="false">IF(D131="","",IFERROR(VLOOKUP(D131,Assumptions!$G$5:$H$16,2,0),"Other"))</f>
        <v/>
      </c>
      <c r="J131" s="41" t="str">
        <f aca="false">IF(G131="","",IFERROR(IF(ISNUMBER(SEARCH(Assumptions!$C$5,G131)),Assumptions!$D$5,IF(ISNUMBER(SEARCH(Assumptions!$C$6,G131)),Assumptions!$D$6,IF(ISNUMBER(SEARCH(Assumptions!$C$7,G131)),Assumptions!$D$7,"Other Services"))),"Other Services"))</f>
        <v/>
      </c>
    </row>
    <row r="132" customFormat="false" ht="15" hidden="false" customHeight="false" outlineLevel="0" collapsed="false">
      <c r="E132" s="41" t="str">
        <f aca="false">IF(D132="","",IFERROR(VLOOKUP(D132,Assumptions!$G$5:$H$16,2,0),"Other"))</f>
        <v/>
      </c>
      <c r="J132" s="41" t="str">
        <f aca="false">IF(G132="","",IFERROR(IF(ISNUMBER(SEARCH(Assumptions!$C$5,G132)),Assumptions!$D$5,IF(ISNUMBER(SEARCH(Assumptions!$C$6,G132)),Assumptions!$D$6,IF(ISNUMBER(SEARCH(Assumptions!$C$7,G132)),Assumptions!$D$7,"Other Services"))),"Other Services"))</f>
        <v/>
      </c>
    </row>
    <row r="133" customFormat="false" ht="15" hidden="false" customHeight="false" outlineLevel="0" collapsed="false">
      <c r="E133" s="41" t="str">
        <f aca="false">IF(D133="","",IFERROR(VLOOKUP(D133,Assumptions!$G$5:$H$16,2,0),"Other"))</f>
        <v/>
      </c>
      <c r="J133" s="41" t="str">
        <f aca="false">IF(G133="","",IFERROR(IF(ISNUMBER(SEARCH(Assumptions!$C$5,G133)),Assumptions!$D$5,IF(ISNUMBER(SEARCH(Assumptions!$C$6,G133)),Assumptions!$D$6,IF(ISNUMBER(SEARCH(Assumptions!$C$7,G133)),Assumptions!$D$7,"Other Services"))),"Other Services"))</f>
        <v/>
      </c>
    </row>
    <row r="134" customFormat="false" ht="15" hidden="false" customHeight="false" outlineLevel="0" collapsed="false">
      <c r="E134" s="41" t="str">
        <f aca="false">IF(D134="","",IFERROR(VLOOKUP(D134,Assumptions!$G$5:$H$16,2,0),"Other"))</f>
        <v/>
      </c>
      <c r="J134" s="41" t="str">
        <f aca="false">IF(G134="","",IFERROR(IF(ISNUMBER(SEARCH(Assumptions!$C$5,G134)),Assumptions!$D$5,IF(ISNUMBER(SEARCH(Assumptions!$C$6,G134)),Assumptions!$D$6,IF(ISNUMBER(SEARCH(Assumptions!$C$7,G134)),Assumptions!$D$7,"Other Services"))),"Other Services"))</f>
        <v/>
      </c>
    </row>
    <row r="135" customFormat="false" ht="15" hidden="false" customHeight="false" outlineLevel="0" collapsed="false">
      <c r="E135" s="41" t="str">
        <f aca="false">IF(D135="","",IFERROR(VLOOKUP(D135,Assumptions!$G$5:$H$16,2,0),"Other"))</f>
        <v/>
      </c>
      <c r="J135" s="41" t="str">
        <f aca="false">IF(G135="","",IFERROR(IF(ISNUMBER(SEARCH(Assumptions!$C$5,G135)),Assumptions!$D$5,IF(ISNUMBER(SEARCH(Assumptions!$C$6,G135)),Assumptions!$D$6,IF(ISNUMBER(SEARCH(Assumptions!$C$7,G135)),Assumptions!$D$7,"Other Services"))),"Other Services"))</f>
        <v/>
      </c>
    </row>
    <row r="136" customFormat="false" ht="15" hidden="false" customHeight="false" outlineLevel="0" collapsed="false">
      <c r="E136" s="41" t="str">
        <f aca="false">IF(D136="","",IFERROR(VLOOKUP(D136,Assumptions!$G$5:$H$16,2,0),"Other"))</f>
        <v/>
      </c>
      <c r="J136" s="41" t="str">
        <f aca="false">IF(G136="","",IFERROR(IF(ISNUMBER(SEARCH(Assumptions!$C$5,G136)),Assumptions!$D$5,IF(ISNUMBER(SEARCH(Assumptions!$C$6,G136)),Assumptions!$D$6,IF(ISNUMBER(SEARCH(Assumptions!$C$7,G136)),Assumptions!$D$7,"Other Services"))),"Other Services"))</f>
        <v/>
      </c>
    </row>
    <row r="137" customFormat="false" ht="15" hidden="false" customHeight="false" outlineLevel="0" collapsed="false">
      <c r="E137" s="41" t="str">
        <f aca="false">IF(D137="","",IFERROR(VLOOKUP(D137,Assumptions!$G$5:$H$16,2,0),"Other"))</f>
        <v/>
      </c>
      <c r="J137" s="41" t="str">
        <f aca="false">IF(G137="","",IFERROR(IF(ISNUMBER(SEARCH(Assumptions!$C$5,G137)),Assumptions!$D$5,IF(ISNUMBER(SEARCH(Assumptions!$C$6,G137)),Assumptions!$D$6,IF(ISNUMBER(SEARCH(Assumptions!$C$7,G137)),Assumptions!$D$7,"Other Services"))),"Other Services"))</f>
        <v/>
      </c>
    </row>
    <row r="138" customFormat="false" ht="15" hidden="false" customHeight="false" outlineLevel="0" collapsed="false">
      <c r="E138" s="41" t="str">
        <f aca="false">IF(D138="","",IFERROR(VLOOKUP(D138,Assumptions!$G$5:$H$16,2,0),"Other"))</f>
        <v/>
      </c>
      <c r="J138" s="41" t="str">
        <f aca="false">IF(G138="","",IFERROR(IF(ISNUMBER(SEARCH(Assumptions!$C$5,G138)),Assumptions!$D$5,IF(ISNUMBER(SEARCH(Assumptions!$C$6,G138)),Assumptions!$D$6,IF(ISNUMBER(SEARCH(Assumptions!$C$7,G138)),Assumptions!$D$7,"Other Services"))),"Other Services"))</f>
        <v/>
      </c>
    </row>
    <row r="139" customFormat="false" ht="15" hidden="false" customHeight="false" outlineLevel="0" collapsed="false">
      <c r="E139" s="41" t="str">
        <f aca="false">IF(D139="","",IFERROR(VLOOKUP(D139,Assumptions!$G$5:$H$16,2,0),"Other"))</f>
        <v/>
      </c>
      <c r="J139" s="41" t="str">
        <f aca="false">IF(G139="","",IFERROR(IF(ISNUMBER(SEARCH(Assumptions!$C$5,G139)),Assumptions!$D$5,IF(ISNUMBER(SEARCH(Assumptions!$C$6,G139)),Assumptions!$D$6,IF(ISNUMBER(SEARCH(Assumptions!$C$7,G139)),Assumptions!$D$7,"Other Services"))),"Other Services"))</f>
        <v/>
      </c>
    </row>
    <row r="140" customFormat="false" ht="15" hidden="false" customHeight="false" outlineLevel="0" collapsed="false">
      <c r="E140" s="41" t="str">
        <f aca="false">IF(D140="","",IFERROR(VLOOKUP(D140,Assumptions!$G$5:$H$16,2,0),"Other"))</f>
        <v/>
      </c>
      <c r="J140" s="41" t="str">
        <f aca="false">IF(G140="","",IFERROR(IF(ISNUMBER(SEARCH(Assumptions!$C$5,G140)),Assumptions!$D$5,IF(ISNUMBER(SEARCH(Assumptions!$C$6,G140)),Assumptions!$D$6,IF(ISNUMBER(SEARCH(Assumptions!$C$7,G140)),Assumptions!$D$7,"Other Services"))),"Other Services"))</f>
        <v/>
      </c>
    </row>
    <row r="141" customFormat="false" ht="15" hidden="false" customHeight="false" outlineLevel="0" collapsed="false">
      <c r="E141" s="41" t="str">
        <f aca="false">IF(D141="","",IFERROR(VLOOKUP(D141,Assumptions!$G$5:$H$16,2,0),"Other"))</f>
        <v/>
      </c>
      <c r="J141" s="41" t="str">
        <f aca="false">IF(G141="","",IFERROR(IF(ISNUMBER(SEARCH(Assumptions!$C$5,G141)),Assumptions!$D$5,IF(ISNUMBER(SEARCH(Assumptions!$C$6,G141)),Assumptions!$D$6,IF(ISNUMBER(SEARCH(Assumptions!$C$7,G141)),Assumptions!$D$7,"Other Services"))),"Other Services"))</f>
        <v/>
      </c>
    </row>
    <row r="142" customFormat="false" ht="15" hidden="false" customHeight="false" outlineLevel="0" collapsed="false">
      <c r="E142" s="41" t="str">
        <f aca="false">IF(D142="","",IFERROR(VLOOKUP(D142,Assumptions!$G$5:$H$16,2,0),"Other"))</f>
        <v/>
      </c>
      <c r="J142" s="41" t="str">
        <f aca="false">IF(G142="","",IFERROR(IF(ISNUMBER(SEARCH(Assumptions!$C$5,G142)),Assumptions!$D$5,IF(ISNUMBER(SEARCH(Assumptions!$C$6,G142)),Assumptions!$D$6,IF(ISNUMBER(SEARCH(Assumptions!$C$7,G142)),Assumptions!$D$7,"Other Services"))),"Other Services"))</f>
        <v/>
      </c>
    </row>
    <row r="143" customFormat="false" ht="15" hidden="false" customHeight="false" outlineLevel="0" collapsed="false">
      <c r="E143" s="41" t="str">
        <f aca="false">IF(D143="","",IFERROR(VLOOKUP(D143,Assumptions!$G$5:$H$16,2,0),"Other"))</f>
        <v/>
      </c>
      <c r="J143" s="41" t="str">
        <f aca="false">IF(G143="","",IFERROR(IF(ISNUMBER(SEARCH(Assumptions!$C$5,G143)),Assumptions!$D$5,IF(ISNUMBER(SEARCH(Assumptions!$C$6,G143)),Assumptions!$D$6,IF(ISNUMBER(SEARCH(Assumptions!$C$7,G143)),Assumptions!$D$7,"Other Services"))),"Other Services"))</f>
        <v/>
      </c>
    </row>
    <row r="144" customFormat="false" ht="15" hidden="false" customHeight="false" outlineLevel="0" collapsed="false">
      <c r="E144" s="41" t="str">
        <f aca="false">IF(D144="","",IFERROR(VLOOKUP(D144,Assumptions!$G$5:$H$16,2,0),"Other"))</f>
        <v/>
      </c>
      <c r="J144" s="41" t="str">
        <f aca="false">IF(G144="","",IFERROR(IF(ISNUMBER(SEARCH(Assumptions!$C$5,G144)),Assumptions!$D$5,IF(ISNUMBER(SEARCH(Assumptions!$C$6,G144)),Assumptions!$D$6,IF(ISNUMBER(SEARCH(Assumptions!$C$7,G144)),Assumptions!$D$7,"Other Services"))),"Other Services"))</f>
        <v/>
      </c>
    </row>
    <row r="145" customFormat="false" ht="15" hidden="false" customHeight="false" outlineLevel="0" collapsed="false">
      <c r="E145" s="41" t="str">
        <f aca="false">IF(D145="","",IFERROR(VLOOKUP(D145,Assumptions!$G$5:$H$16,2,0),"Other"))</f>
        <v/>
      </c>
      <c r="J145" s="41" t="str">
        <f aca="false">IF(G145="","",IFERROR(IF(ISNUMBER(SEARCH(Assumptions!$C$5,G145)),Assumptions!$D$5,IF(ISNUMBER(SEARCH(Assumptions!$C$6,G145)),Assumptions!$D$6,IF(ISNUMBER(SEARCH(Assumptions!$C$7,G145)),Assumptions!$D$7,"Other Services"))),"Other Services"))</f>
        <v/>
      </c>
    </row>
    <row r="146" customFormat="false" ht="15" hidden="false" customHeight="false" outlineLevel="0" collapsed="false">
      <c r="E146" s="41" t="str">
        <f aca="false">IF(D146="","",IFERROR(VLOOKUP(D146,Assumptions!$G$5:$H$16,2,0),"Other"))</f>
        <v/>
      </c>
      <c r="J146" s="41" t="str">
        <f aca="false">IF(G146="","",IFERROR(IF(ISNUMBER(SEARCH(Assumptions!$C$5,G146)),Assumptions!$D$5,IF(ISNUMBER(SEARCH(Assumptions!$C$6,G146)),Assumptions!$D$6,IF(ISNUMBER(SEARCH(Assumptions!$C$7,G146)),Assumptions!$D$7,"Other Services"))),"Other Services"))</f>
        <v/>
      </c>
    </row>
    <row r="147" customFormat="false" ht="15" hidden="false" customHeight="false" outlineLevel="0" collapsed="false">
      <c r="E147" s="41" t="str">
        <f aca="false">IF(D147="","",IFERROR(VLOOKUP(D147,Assumptions!$G$5:$H$16,2,0),"Other"))</f>
        <v/>
      </c>
      <c r="J147" s="41" t="str">
        <f aca="false">IF(G147="","",IFERROR(IF(ISNUMBER(SEARCH(Assumptions!$C$5,G147)),Assumptions!$D$5,IF(ISNUMBER(SEARCH(Assumptions!$C$6,G147)),Assumptions!$D$6,IF(ISNUMBER(SEARCH(Assumptions!$C$7,G147)),Assumptions!$D$7,"Other Services"))),"Other Services"))</f>
        <v/>
      </c>
    </row>
    <row r="148" customFormat="false" ht="15" hidden="false" customHeight="false" outlineLevel="0" collapsed="false">
      <c r="E148" s="41" t="str">
        <f aca="false">IF(D148="","",IFERROR(VLOOKUP(D148,Assumptions!$G$5:$H$16,2,0),"Other"))</f>
        <v/>
      </c>
      <c r="J148" s="41" t="str">
        <f aca="false">IF(G148="","",IFERROR(IF(ISNUMBER(SEARCH(Assumptions!$C$5,G148)),Assumptions!$D$5,IF(ISNUMBER(SEARCH(Assumptions!$C$6,G148)),Assumptions!$D$6,IF(ISNUMBER(SEARCH(Assumptions!$C$7,G148)),Assumptions!$D$7,"Other Services"))),"Other Services"))</f>
        <v/>
      </c>
    </row>
    <row r="149" customFormat="false" ht="15" hidden="false" customHeight="false" outlineLevel="0" collapsed="false">
      <c r="E149" s="41" t="str">
        <f aca="false">IF(D149="","",IFERROR(VLOOKUP(D149,Assumptions!$G$5:$H$16,2,0),"Other"))</f>
        <v/>
      </c>
      <c r="J149" s="41" t="str">
        <f aca="false">IF(G149="","",IFERROR(IF(ISNUMBER(SEARCH(Assumptions!$C$5,G149)),Assumptions!$D$5,IF(ISNUMBER(SEARCH(Assumptions!$C$6,G149)),Assumptions!$D$6,IF(ISNUMBER(SEARCH(Assumptions!$C$7,G149)),Assumptions!$D$7,"Other Services"))),"Other Services"))</f>
        <v/>
      </c>
    </row>
    <row r="150" customFormat="false" ht="15" hidden="false" customHeight="false" outlineLevel="0" collapsed="false">
      <c r="E150" s="41" t="str">
        <f aca="false">IF(D150="","",IFERROR(VLOOKUP(D150,Assumptions!$G$5:$H$16,2,0),"Other"))</f>
        <v/>
      </c>
      <c r="J150" s="41" t="str">
        <f aca="false">IF(G150="","",IFERROR(IF(ISNUMBER(SEARCH(Assumptions!$C$5,G150)),Assumptions!$D$5,IF(ISNUMBER(SEARCH(Assumptions!$C$6,G150)),Assumptions!$D$6,IF(ISNUMBER(SEARCH(Assumptions!$C$7,G150)),Assumptions!$D$7,"Other Services"))),"Other Services"))</f>
        <v/>
      </c>
    </row>
    <row r="151" customFormat="false" ht="15" hidden="false" customHeight="false" outlineLevel="0" collapsed="false">
      <c r="E151" s="41" t="str">
        <f aca="false">IF(D151="","",IFERROR(VLOOKUP(D151,Assumptions!$G$5:$H$16,2,0),"Other"))</f>
        <v/>
      </c>
      <c r="J151" s="41" t="str">
        <f aca="false">IF(G151="","",IFERROR(IF(ISNUMBER(SEARCH(Assumptions!$C$5,G151)),Assumptions!$D$5,IF(ISNUMBER(SEARCH(Assumptions!$C$6,G151)),Assumptions!$D$6,IF(ISNUMBER(SEARCH(Assumptions!$C$7,G151)),Assumptions!$D$7,"Other Services"))),"Other Services"))</f>
        <v/>
      </c>
    </row>
    <row r="152" customFormat="false" ht="15" hidden="false" customHeight="false" outlineLevel="0" collapsed="false">
      <c r="E152" s="41" t="str">
        <f aca="false">IF(D152="","",IFERROR(VLOOKUP(D152,Assumptions!$G$5:$H$16,2,0),"Other"))</f>
        <v/>
      </c>
      <c r="J152" s="41" t="str">
        <f aca="false">IF(G152="","",IFERROR(IF(ISNUMBER(SEARCH(Assumptions!$C$5,G152)),Assumptions!$D$5,IF(ISNUMBER(SEARCH(Assumptions!$C$6,G152)),Assumptions!$D$6,IF(ISNUMBER(SEARCH(Assumptions!$C$7,G152)),Assumptions!$D$7,"Other Services"))),"Other Services"))</f>
        <v/>
      </c>
    </row>
    <row r="153" customFormat="false" ht="15" hidden="false" customHeight="false" outlineLevel="0" collapsed="false">
      <c r="E153" s="41" t="str">
        <f aca="false">IF(D153="","",IFERROR(VLOOKUP(D153,Assumptions!$G$5:$H$16,2,0),"Other"))</f>
        <v/>
      </c>
      <c r="J153" s="41" t="str">
        <f aca="false">IF(G153="","",IFERROR(IF(ISNUMBER(SEARCH(Assumptions!$C$5,G153)),Assumptions!$D$5,IF(ISNUMBER(SEARCH(Assumptions!$C$6,G153)),Assumptions!$D$6,IF(ISNUMBER(SEARCH(Assumptions!$C$7,G153)),Assumptions!$D$7,"Other Services"))),"Other Services"))</f>
        <v/>
      </c>
    </row>
    <row r="154" customFormat="false" ht="15" hidden="false" customHeight="false" outlineLevel="0" collapsed="false">
      <c r="E154" s="41" t="str">
        <f aca="false">IF(D154="","",IFERROR(VLOOKUP(D154,Assumptions!$G$5:$H$16,2,0),"Other"))</f>
        <v/>
      </c>
      <c r="J154" s="41" t="str">
        <f aca="false">IF(G154="","",IFERROR(IF(ISNUMBER(SEARCH(Assumptions!$C$5,G154)),Assumptions!$D$5,IF(ISNUMBER(SEARCH(Assumptions!$C$6,G154)),Assumptions!$D$6,IF(ISNUMBER(SEARCH(Assumptions!$C$7,G154)),Assumptions!$D$7,"Other Services"))),"Other Services"))</f>
        <v/>
      </c>
    </row>
    <row r="155" customFormat="false" ht="15" hidden="false" customHeight="false" outlineLevel="0" collapsed="false">
      <c r="E155" s="41" t="str">
        <f aca="false">IF(D155="","",IFERROR(VLOOKUP(D155,Assumptions!$G$5:$H$16,2,0),"Other"))</f>
        <v/>
      </c>
      <c r="J155" s="41" t="str">
        <f aca="false">IF(G155="","",IFERROR(IF(ISNUMBER(SEARCH(Assumptions!$C$5,G155)),Assumptions!$D$5,IF(ISNUMBER(SEARCH(Assumptions!$C$6,G155)),Assumptions!$D$6,IF(ISNUMBER(SEARCH(Assumptions!$C$7,G155)),Assumptions!$D$7,"Other Services"))),"Other Services"))</f>
        <v/>
      </c>
    </row>
    <row r="156" customFormat="false" ht="15" hidden="false" customHeight="false" outlineLevel="0" collapsed="false">
      <c r="E156" s="41" t="str">
        <f aca="false">IF(D156="","",IFERROR(VLOOKUP(D156,Assumptions!$G$5:$H$16,2,0),"Other"))</f>
        <v/>
      </c>
      <c r="J156" s="41" t="str">
        <f aca="false">IF(G156="","",IFERROR(IF(ISNUMBER(SEARCH(Assumptions!$C$5,G156)),Assumptions!$D$5,IF(ISNUMBER(SEARCH(Assumptions!$C$6,G156)),Assumptions!$D$6,IF(ISNUMBER(SEARCH(Assumptions!$C$7,G156)),Assumptions!$D$7,"Other Services"))),"Other Services"))</f>
        <v/>
      </c>
    </row>
    <row r="157" customFormat="false" ht="15" hidden="false" customHeight="false" outlineLevel="0" collapsed="false">
      <c r="E157" s="41" t="str">
        <f aca="false">IF(D157="","",IFERROR(VLOOKUP(D157,Assumptions!$G$5:$H$16,2,0),"Other"))</f>
        <v/>
      </c>
      <c r="J157" s="41" t="str">
        <f aca="false">IF(G157="","",IFERROR(IF(ISNUMBER(SEARCH(Assumptions!$C$5,G157)),Assumptions!$D$5,IF(ISNUMBER(SEARCH(Assumptions!$C$6,G157)),Assumptions!$D$6,IF(ISNUMBER(SEARCH(Assumptions!$C$7,G157)),Assumptions!$D$7,"Other Services"))),"Other Services"))</f>
        <v/>
      </c>
    </row>
    <row r="158" customFormat="false" ht="15" hidden="false" customHeight="false" outlineLevel="0" collapsed="false">
      <c r="E158" s="41" t="str">
        <f aca="false">IF(D158="","",IFERROR(VLOOKUP(D158,Assumptions!$G$5:$H$16,2,0),"Other"))</f>
        <v/>
      </c>
      <c r="J158" s="41" t="str">
        <f aca="false">IF(G158="","",IFERROR(IF(ISNUMBER(SEARCH(Assumptions!$C$5,G158)),Assumptions!$D$5,IF(ISNUMBER(SEARCH(Assumptions!$C$6,G158)),Assumptions!$D$6,IF(ISNUMBER(SEARCH(Assumptions!$C$7,G158)),Assumptions!$D$7,"Other Services"))),"Other Services"))</f>
        <v/>
      </c>
    </row>
    <row r="159" customFormat="false" ht="15" hidden="false" customHeight="false" outlineLevel="0" collapsed="false">
      <c r="E159" s="41" t="str">
        <f aca="false">IF(D159="","",IFERROR(VLOOKUP(D159,Assumptions!$G$5:$H$16,2,0),"Other"))</f>
        <v/>
      </c>
      <c r="J159" s="41" t="str">
        <f aca="false">IF(G159="","",IFERROR(IF(ISNUMBER(SEARCH(Assumptions!$C$5,G159)),Assumptions!$D$5,IF(ISNUMBER(SEARCH(Assumptions!$C$6,G159)),Assumptions!$D$6,IF(ISNUMBER(SEARCH(Assumptions!$C$7,G159)),Assumptions!$D$7,"Other Services"))),"Other Services"))</f>
        <v/>
      </c>
    </row>
    <row r="160" customFormat="false" ht="15" hidden="false" customHeight="false" outlineLevel="0" collapsed="false">
      <c r="E160" s="41" t="str">
        <f aca="false">IF(D160="","",IFERROR(VLOOKUP(D160,Assumptions!$G$5:$H$16,2,0),"Other"))</f>
        <v/>
      </c>
      <c r="J160" s="41" t="str">
        <f aca="false">IF(G160="","",IFERROR(IF(ISNUMBER(SEARCH(Assumptions!$C$5,G160)),Assumptions!$D$5,IF(ISNUMBER(SEARCH(Assumptions!$C$6,G160)),Assumptions!$D$6,IF(ISNUMBER(SEARCH(Assumptions!$C$7,G160)),Assumptions!$D$7,"Other Services"))),"Other Services"))</f>
        <v/>
      </c>
    </row>
    <row r="161" customFormat="false" ht="15" hidden="false" customHeight="false" outlineLevel="0" collapsed="false">
      <c r="E161" s="41" t="str">
        <f aca="false">IF(D161="","",IFERROR(VLOOKUP(D161,Assumptions!$G$5:$H$16,2,0),"Other"))</f>
        <v/>
      </c>
      <c r="J161" s="41" t="str">
        <f aca="false">IF(G161="","",IFERROR(IF(ISNUMBER(SEARCH(Assumptions!$C$5,G161)),Assumptions!$D$5,IF(ISNUMBER(SEARCH(Assumptions!$C$6,G161)),Assumptions!$D$6,IF(ISNUMBER(SEARCH(Assumptions!$C$7,G161)),Assumptions!$D$7,"Other Services"))),"Other Services"))</f>
        <v/>
      </c>
    </row>
    <row r="162" customFormat="false" ht="15" hidden="false" customHeight="false" outlineLevel="0" collapsed="false">
      <c r="E162" s="41" t="str">
        <f aca="false">IF(D162="","",IFERROR(VLOOKUP(D162,Assumptions!$G$5:$H$16,2,0),"Other"))</f>
        <v/>
      </c>
      <c r="J162" s="41" t="str">
        <f aca="false">IF(G162="","",IFERROR(IF(ISNUMBER(SEARCH(Assumptions!$C$5,G162)),Assumptions!$D$5,IF(ISNUMBER(SEARCH(Assumptions!$C$6,G162)),Assumptions!$D$6,IF(ISNUMBER(SEARCH(Assumptions!$C$7,G162)),Assumptions!$D$7,"Other Services"))),"Other Services"))</f>
        <v/>
      </c>
    </row>
    <row r="163" customFormat="false" ht="15" hidden="false" customHeight="false" outlineLevel="0" collapsed="false">
      <c r="E163" s="41" t="str">
        <f aca="false">IF(D163="","",IFERROR(VLOOKUP(D163,Assumptions!$G$5:$H$16,2,0),"Other"))</f>
        <v/>
      </c>
      <c r="J163" s="41" t="str">
        <f aca="false">IF(G163="","",IFERROR(IF(ISNUMBER(SEARCH(Assumptions!$C$5,G163)),Assumptions!$D$5,IF(ISNUMBER(SEARCH(Assumptions!$C$6,G163)),Assumptions!$D$6,IF(ISNUMBER(SEARCH(Assumptions!$C$7,G163)),Assumptions!$D$7,"Other Services"))),"Other Services"))</f>
        <v/>
      </c>
    </row>
    <row r="164" customFormat="false" ht="15" hidden="false" customHeight="false" outlineLevel="0" collapsed="false">
      <c r="E164" s="41" t="str">
        <f aca="false">IF(D164="","",IFERROR(VLOOKUP(D164,Assumptions!$G$5:$H$16,2,0),"Other"))</f>
        <v/>
      </c>
      <c r="J164" s="41" t="str">
        <f aca="false">IF(G164="","",IFERROR(IF(ISNUMBER(SEARCH(Assumptions!$C$5,G164)),Assumptions!$D$5,IF(ISNUMBER(SEARCH(Assumptions!$C$6,G164)),Assumptions!$D$6,IF(ISNUMBER(SEARCH(Assumptions!$C$7,G164)),Assumptions!$D$7,"Other Services"))),"Other Services"))</f>
        <v/>
      </c>
    </row>
    <row r="165" customFormat="false" ht="15" hidden="false" customHeight="false" outlineLevel="0" collapsed="false">
      <c r="E165" s="41" t="str">
        <f aca="false">IF(D165="","",IFERROR(VLOOKUP(D165,Assumptions!$G$5:$H$16,2,0),"Other"))</f>
        <v/>
      </c>
      <c r="J165" s="41" t="str">
        <f aca="false">IF(G165="","",IFERROR(IF(ISNUMBER(SEARCH(Assumptions!$C$5,G165)),Assumptions!$D$5,IF(ISNUMBER(SEARCH(Assumptions!$C$6,G165)),Assumptions!$D$6,IF(ISNUMBER(SEARCH(Assumptions!$C$7,G165)),Assumptions!$D$7,"Other Services"))),"Other Services"))</f>
        <v/>
      </c>
    </row>
    <row r="166" customFormat="false" ht="15" hidden="false" customHeight="false" outlineLevel="0" collapsed="false">
      <c r="E166" s="41" t="str">
        <f aca="false">IF(D166="","",IFERROR(VLOOKUP(D166,Assumptions!$G$5:$H$16,2,0),"Other"))</f>
        <v/>
      </c>
      <c r="J166" s="41" t="str">
        <f aca="false">IF(G166="","",IFERROR(IF(ISNUMBER(SEARCH(Assumptions!$C$5,G166)),Assumptions!$D$5,IF(ISNUMBER(SEARCH(Assumptions!$C$6,G166)),Assumptions!$D$6,IF(ISNUMBER(SEARCH(Assumptions!$C$7,G166)),Assumptions!$D$7,"Other Services"))),"Other Services"))</f>
        <v/>
      </c>
    </row>
    <row r="167" customFormat="false" ht="15" hidden="false" customHeight="false" outlineLevel="0" collapsed="false">
      <c r="E167" s="41" t="str">
        <f aca="false">IF(D167="","",IFERROR(VLOOKUP(D167,Assumptions!$G$5:$H$16,2,0),"Other"))</f>
        <v/>
      </c>
      <c r="J167" s="41" t="str">
        <f aca="false">IF(G167="","",IFERROR(IF(ISNUMBER(SEARCH(Assumptions!$C$5,G167)),Assumptions!$D$5,IF(ISNUMBER(SEARCH(Assumptions!$C$6,G167)),Assumptions!$D$6,IF(ISNUMBER(SEARCH(Assumptions!$C$7,G167)),Assumptions!$D$7,"Other Services"))),"Other Services"))</f>
        <v/>
      </c>
    </row>
    <row r="168" customFormat="false" ht="15" hidden="false" customHeight="false" outlineLevel="0" collapsed="false">
      <c r="E168" s="41" t="str">
        <f aca="false">IF(D168="","",IFERROR(VLOOKUP(D168,Assumptions!$G$5:$H$16,2,0),"Other"))</f>
        <v/>
      </c>
      <c r="J168" s="41" t="str">
        <f aca="false">IF(G168="","",IFERROR(IF(ISNUMBER(SEARCH(Assumptions!$C$5,G168)),Assumptions!$D$5,IF(ISNUMBER(SEARCH(Assumptions!$C$6,G168)),Assumptions!$D$6,IF(ISNUMBER(SEARCH(Assumptions!$C$7,G168)),Assumptions!$D$7,"Other Services"))),"Other Services"))</f>
        <v/>
      </c>
    </row>
    <row r="169" customFormat="false" ht="15" hidden="false" customHeight="false" outlineLevel="0" collapsed="false">
      <c r="E169" s="41" t="str">
        <f aca="false">IF(D169="","",IFERROR(VLOOKUP(D169,Assumptions!$G$5:$H$16,2,0),"Other"))</f>
        <v/>
      </c>
      <c r="J169" s="41" t="str">
        <f aca="false">IF(G169="","",IFERROR(IF(ISNUMBER(SEARCH(Assumptions!$C$5,G169)),Assumptions!$D$5,IF(ISNUMBER(SEARCH(Assumptions!$C$6,G169)),Assumptions!$D$6,IF(ISNUMBER(SEARCH(Assumptions!$C$7,G169)),Assumptions!$D$7,"Other Services"))),"Other Services"))</f>
        <v/>
      </c>
    </row>
    <row r="170" customFormat="false" ht="15" hidden="false" customHeight="false" outlineLevel="0" collapsed="false">
      <c r="E170" s="41" t="str">
        <f aca="false">IF(D170="","",IFERROR(VLOOKUP(D170,Assumptions!$G$5:$H$16,2,0),"Other"))</f>
        <v/>
      </c>
      <c r="J170" s="41" t="str">
        <f aca="false">IF(G170="","",IFERROR(IF(ISNUMBER(SEARCH(Assumptions!$C$5,G170)),Assumptions!$D$5,IF(ISNUMBER(SEARCH(Assumptions!$C$6,G170)),Assumptions!$D$6,IF(ISNUMBER(SEARCH(Assumptions!$C$7,G170)),Assumptions!$D$7,"Other Services"))),"Other Services"))</f>
        <v/>
      </c>
    </row>
    <row r="171" customFormat="false" ht="15" hidden="false" customHeight="false" outlineLevel="0" collapsed="false">
      <c r="E171" s="41" t="str">
        <f aca="false">IF(D171="","",IFERROR(VLOOKUP(D171,Assumptions!$G$5:$H$16,2,0),"Other"))</f>
        <v/>
      </c>
      <c r="J171" s="41" t="str">
        <f aca="false">IF(G171="","",IFERROR(IF(ISNUMBER(SEARCH(Assumptions!$C$5,G171)),Assumptions!$D$5,IF(ISNUMBER(SEARCH(Assumptions!$C$6,G171)),Assumptions!$D$6,IF(ISNUMBER(SEARCH(Assumptions!$C$7,G171)),Assumptions!$D$7,"Other Services"))),"Other Services"))</f>
        <v/>
      </c>
    </row>
    <row r="172" customFormat="false" ht="15" hidden="false" customHeight="false" outlineLevel="0" collapsed="false">
      <c r="E172" s="41" t="str">
        <f aca="false">IF(D172="","",IFERROR(VLOOKUP(D172,Assumptions!$G$5:$H$16,2,0),"Other"))</f>
        <v/>
      </c>
      <c r="J172" s="41" t="str">
        <f aca="false">IF(G172="","",IFERROR(IF(ISNUMBER(SEARCH(Assumptions!$C$5,G172)),Assumptions!$D$5,IF(ISNUMBER(SEARCH(Assumptions!$C$6,G172)),Assumptions!$D$6,IF(ISNUMBER(SEARCH(Assumptions!$C$7,G172)),Assumptions!$D$7,"Other Services"))),"Other Services"))</f>
        <v/>
      </c>
    </row>
    <row r="173" customFormat="false" ht="15" hidden="false" customHeight="false" outlineLevel="0" collapsed="false">
      <c r="E173" s="41" t="str">
        <f aca="false">IF(D173="","",IFERROR(VLOOKUP(D173,Assumptions!$G$5:$H$16,2,0),"Other"))</f>
        <v/>
      </c>
      <c r="J173" s="41" t="str">
        <f aca="false">IF(G173="","",IFERROR(IF(ISNUMBER(SEARCH(Assumptions!$C$5,G173)),Assumptions!$D$5,IF(ISNUMBER(SEARCH(Assumptions!$C$6,G173)),Assumptions!$D$6,IF(ISNUMBER(SEARCH(Assumptions!$C$7,G173)),Assumptions!$D$7,"Other Services"))),"Other Services"))</f>
        <v/>
      </c>
    </row>
    <row r="174" customFormat="false" ht="15" hidden="false" customHeight="false" outlineLevel="0" collapsed="false">
      <c r="E174" s="41" t="str">
        <f aca="false">IF(D174="","",IFERROR(VLOOKUP(D174,Assumptions!$G$5:$H$16,2,0),"Other"))</f>
        <v/>
      </c>
      <c r="J174" s="41" t="str">
        <f aca="false">IF(G174="","",IFERROR(IF(ISNUMBER(SEARCH(Assumptions!$C$5,G174)),Assumptions!$D$5,IF(ISNUMBER(SEARCH(Assumptions!$C$6,G174)),Assumptions!$D$6,IF(ISNUMBER(SEARCH(Assumptions!$C$7,G174)),Assumptions!$D$7,"Other Services"))),"Other Services"))</f>
        <v/>
      </c>
    </row>
    <row r="175" customFormat="false" ht="15" hidden="false" customHeight="false" outlineLevel="0" collapsed="false">
      <c r="E175" s="41" t="str">
        <f aca="false">IF(D175="","",IFERROR(VLOOKUP(D175,Assumptions!$G$5:$H$16,2,0),"Other"))</f>
        <v/>
      </c>
      <c r="J175" s="41" t="str">
        <f aca="false">IF(G175="","",IFERROR(IF(ISNUMBER(SEARCH(Assumptions!$C$5,G175)),Assumptions!$D$5,IF(ISNUMBER(SEARCH(Assumptions!$C$6,G175)),Assumptions!$D$6,IF(ISNUMBER(SEARCH(Assumptions!$C$7,G175)),Assumptions!$D$7,"Other Services"))),"Other Services"))</f>
        <v/>
      </c>
    </row>
    <row r="176" customFormat="false" ht="15" hidden="false" customHeight="false" outlineLevel="0" collapsed="false">
      <c r="E176" s="41" t="str">
        <f aca="false">IF(D176="","",IFERROR(VLOOKUP(D176,Assumptions!$G$5:$H$16,2,0),"Other"))</f>
        <v/>
      </c>
      <c r="J176" s="41" t="str">
        <f aca="false">IF(G176="","",IFERROR(IF(ISNUMBER(SEARCH(Assumptions!$C$5,G176)),Assumptions!$D$5,IF(ISNUMBER(SEARCH(Assumptions!$C$6,G176)),Assumptions!$D$6,IF(ISNUMBER(SEARCH(Assumptions!$C$7,G176)),Assumptions!$D$7,"Other Services"))),"Other Services"))</f>
        <v/>
      </c>
    </row>
    <row r="177" customFormat="false" ht="15" hidden="false" customHeight="false" outlineLevel="0" collapsed="false">
      <c r="E177" s="41" t="str">
        <f aca="false">IF(D177="","",IFERROR(VLOOKUP(D177,Assumptions!$G$5:$H$16,2,0),"Other"))</f>
        <v/>
      </c>
      <c r="J177" s="41" t="str">
        <f aca="false">IF(G177="","",IFERROR(IF(ISNUMBER(SEARCH(Assumptions!$C$5,G177)),Assumptions!$D$5,IF(ISNUMBER(SEARCH(Assumptions!$C$6,G177)),Assumptions!$D$6,IF(ISNUMBER(SEARCH(Assumptions!$C$7,G177)),Assumptions!$D$7,"Other Services"))),"Other Services"))</f>
        <v/>
      </c>
    </row>
    <row r="178" customFormat="false" ht="15" hidden="false" customHeight="false" outlineLevel="0" collapsed="false">
      <c r="E178" s="41" t="str">
        <f aca="false">IF(D178="","",IFERROR(VLOOKUP(D178,Assumptions!$G$5:$H$16,2,0),"Other"))</f>
        <v/>
      </c>
      <c r="J178" s="41" t="str">
        <f aca="false">IF(G178="","",IFERROR(IF(ISNUMBER(SEARCH(Assumptions!$C$5,G178)),Assumptions!$D$5,IF(ISNUMBER(SEARCH(Assumptions!$C$6,G178)),Assumptions!$D$6,IF(ISNUMBER(SEARCH(Assumptions!$C$7,G178)),Assumptions!$D$7,"Other Services"))),"Other Services"))</f>
        <v/>
      </c>
    </row>
    <row r="179" customFormat="false" ht="15" hidden="false" customHeight="false" outlineLevel="0" collapsed="false">
      <c r="E179" s="41" t="str">
        <f aca="false">IF(D179="","",IFERROR(VLOOKUP(D179,Assumptions!$G$5:$H$16,2,0),"Other"))</f>
        <v/>
      </c>
      <c r="J179" s="41" t="str">
        <f aca="false">IF(G179="","",IFERROR(IF(ISNUMBER(SEARCH(Assumptions!$C$5,G179)),Assumptions!$D$5,IF(ISNUMBER(SEARCH(Assumptions!$C$6,G179)),Assumptions!$D$6,IF(ISNUMBER(SEARCH(Assumptions!$C$7,G179)),Assumptions!$D$7,"Other Services"))),"Other Services"))</f>
        <v/>
      </c>
    </row>
    <row r="180" customFormat="false" ht="15" hidden="false" customHeight="false" outlineLevel="0" collapsed="false">
      <c r="E180" s="41" t="str">
        <f aca="false">IF(D180="","",IFERROR(VLOOKUP(D180,Assumptions!$G$5:$H$16,2,0),"Other"))</f>
        <v/>
      </c>
      <c r="J180" s="41" t="str">
        <f aca="false">IF(G180="","",IFERROR(IF(ISNUMBER(SEARCH(Assumptions!$C$5,G180)),Assumptions!$D$5,IF(ISNUMBER(SEARCH(Assumptions!$C$6,G180)),Assumptions!$D$6,IF(ISNUMBER(SEARCH(Assumptions!$C$7,G180)),Assumptions!$D$7,"Other Services"))),"Other Services"))</f>
        <v/>
      </c>
    </row>
    <row r="181" customFormat="false" ht="15" hidden="false" customHeight="false" outlineLevel="0" collapsed="false">
      <c r="E181" s="41" t="str">
        <f aca="false">IF(D181="","",IFERROR(VLOOKUP(D181,Assumptions!$G$5:$H$16,2,0),"Other"))</f>
        <v/>
      </c>
      <c r="J181" s="41" t="str">
        <f aca="false">IF(G181="","",IFERROR(IF(ISNUMBER(SEARCH(Assumptions!$C$5,G181)),Assumptions!$D$5,IF(ISNUMBER(SEARCH(Assumptions!$C$6,G181)),Assumptions!$D$6,IF(ISNUMBER(SEARCH(Assumptions!$C$7,G181)),Assumptions!$D$7,"Other Services"))),"Other Services"))</f>
        <v/>
      </c>
    </row>
    <row r="182" customFormat="false" ht="15" hidden="false" customHeight="false" outlineLevel="0" collapsed="false">
      <c r="E182" s="41" t="str">
        <f aca="false">IF(D182="","",IFERROR(VLOOKUP(D182,Assumptions!$G$5:$H$16,2,0),"Other"))</f>
        <v/>
      </c>
      <c r="J182" s="41" t="str">
        <f aca="false">IF(G182="","",IFERROR(IF(ISNUMBER(SEARCH(Assumptions!$C$5,G182)),Assumptions!$D$5,IF(ISNUMBER(SEARCH(Assumptions!$C$6,G182)),Assumptions!$D$6,IF(ISNUMBER(SEARCH(Assumptions!$C$7,G182)),Assumptions!$D$7,"Other Services"))),"Other Services"))</f>
        <v/>
      </c>
    </row>
    <row r="183" customFormat="false" ht="15" hidden="false" customHeight="false" outlineLevel="0" collapsed="false">
      <c r="E183" s="41" t="str">
        <f aca="false">IF(D183="","",IFERROR(VLOOKUP(D183,Assumptions!$G$5:$H$16,2,0),"Other"))</f>
        <v/>
      </c>
      <c r="J183" s="41" t="str">
        <f aca="false">IF(G183="","",IFERROR(IF(ISNUMBER(SEARCH(Assumptions!$C$5,G183)),Assumptions!$D$5,IF(ISNUMBER(SEARCH(Assumptions!$C$6,G183)),Assumptions!$D$6,IF(ISNUMBER(SEARCH(Assumptions!$C$7,G183)),Assumptions!$D$7,"Other Services"))),"Other Services"))</f>
        <v/>
      </c>
    </row>
    <row r="184" customFormat="false" ht="15" hidden="false" customHeight="false" outlineLevel="0" collapsed="false">
      <c r="E184" s="41" t="str">
        <f aca="false">IF(D184="","",IFERROR(VLOOKUP(D184,Assumptions!$G$5:$H$16,2,0),"Other"))</f>
        <v/>
      </c>
      <c r="J184" s="41" t="str">
        <f aca="false">IF(G184="","",IFERROR(IF(ISNUMBER(SEARCH(Assumptions!$C$5,G184)),Assumptions!$D$5,IF(ISNUMBER(SEARCH(Assumptions!$C$6,G184)),Assumptions!$D$6,IF(ISNUMBER(SEARCH(Assumptions!$C$7,G184)),Assumptions!$D$7,"Other Services"))),"Other Services"))</f>
        <v/>
      </c>
    </row>
    <row r="185" customFormat="false" ht="15" hidden="false" customHeight="false" outlineLevel="0" collapsed="false">
      <c r="E185" s="41" t="str">
        <f aca="false">IF(D185="","",IFERROR(VLOOKUP(D185,Assumptions!$G$5:$H$16,2,0),"Other"))</f>
        <v/>
      </c>
      <c r="J185" s="41" t="str">
        <f aca="false">IF(G185="","",IFERROR(IF(ISNUMBER(SEARCH(Assumptions!$C$5,G185)),Assumptions!$D$5,IF(ISNUMBER(SEARCH(Assumptions!$C$6,G185)),Assumptions!$D$6,IF(ISNUMBER(SEARCH(Assumptions!$C$7,G185)),Assumptions!$D$7,"Other Services"))),"Other Services"))</f>
        <v/>
      </c>
    </row>
    <row r="186" customFormat="false" ht="15" hidden="false" customHeight="false" outlineLevel="0" collapsed="false">
      <c r="E186" s="41" t="str">
        <f aca="false">IF(D186="","",IFERROR(VLOOKUP(D186,Assumptions!$G$5:$H$16,2,0),"Other"))</f>
        <v/>
      </c>
      <c r="J186" s="41" t="str">
        <f aca="false">IF(G186="","",IFERROR(IF(ISNUMBER(SEARCH(Assumptions!$C$5,G186)),Assumptions!$D$5,IF(ISNUMBER(SEARCH(Assumptions!$C$6,G186)),Assumptions!$D$6,IF(ISNUMBER(SEARCH(Assumptions!$C$7,G186)),Assumptions!$D$7,"Other Services"))),"Other Services"))</f>
        <v/>
      </c>
    </row>
    <row r="187" customFormat="false" ht="15" hidden="false" customHeight="false" outlineLevel="0" collapsed="false">
      <c r="E187" s="41" t="str">
        <f aca="false">IF(D187="","",IFERROR(VLOOKUP(D187,Assumptions!$G$5:$H$16,2,0),"Other"))</f>
        <v/>
      </c>
      <c r="J187" s="41" t="str">
        <f aca="false">IF(G187="","",IFERROR(IF(ISNUMBER(SEARCH(Assumptions!$C$5,G187)),Assumptions!$D$5,IF(ISNUMBER(SEARCH(Assumptions!$C$6,G187)),Assumptions!$D$6,IF(ISNUMBER(SEARCH(Assumptions!$C$7,G187)),Assumptions!$D$7,"Other Services"))),"Other Services"))</f>
        <v/>
      </c>
    </row>
    <row r="188" customFormat="false" ht="15" hidden="false" customHeight="false" outlineLevel="0" collapsed="false">
      <c r="E188" s="41" t="str">
        <f aca="false">IF(D188="","",IFERROR(VLOOKUP(D188,Assumptions!$G$5:$H$16,2,0),"Other"))</f>
        <v/>
      </c>
      <c r="J188" s="41" t="str">
        <f aca="false">IF(G188="","",IFERROR(IF(ISNUMBER(SEARCH(Assumptions!$C$5,G188)),Assumptions!$D$5,IF(ISNUMBER(SEARCH(Assumptions!$C$6,G188)),Assumptions!$D$6,IF(ISNUMBER(SEARCH(Assumptions!$C$7,G188)),Assumptions!$D$7,"Other Services"))),"Other Services"))</f>
        <v/>
      </c>
    </row>
    <row r="189" customFormat="false" ht="15" hidden="false" customHeight="false" outlineLevel="0" collapsed="false">
      <c r="E189" s="41" t="str">
        <f aca="false">IF(D189="","",IFERROR(VLOOKUP(D189,Assumptions!$G$5:$H$16,2,0),"Other"))</f>
        <v/>
      </c>
      <c r="J189" s="41" t="str">
        <f aca="false">IF(G189="","",IFERROR(IF(ISNUMBER(SEARCH(Assumptions!$C$5,G189)),Assumptions!$D$5,IF(ISNUMBER(SEARCH(Assumptions!$C$6,G189)),Assumptions!$D$6,IF(ISNUMBER(SEARCH(Assumptions!$C$7,G189)),Assumptions!$D$7,"Other Services"))),"Other Services"))</f>
        <v/>
      </c>
    </row>
    <row r="190" customFormat="false" ht="15" hidden="false" customHeight="false" outlineLevel="0" collapsed="false">
      <c r="E190" s="41" t="str">
        <f aca="false">IF(D190="","",IFERROR(VLOOKUP(D190,Assumptions!$G$5:$H$16,2,0),"Other"))</f>
        <v/>
      </c>
      <c r="J190" s="41" t="str">
        <f aca="false">IF(G190="","",IFERROR(IF(ISNUMBER(SEARCH(Assumptions!$C$5,G190)),Assumptions!$D$5,IF(ISNUMBER(SEARCH(Assumptions!$C$6,G190)),Assumptions!$D$6,IF(ISNUMBER(SEARCH(Assumptions!$C$7,G190)),Assumptions!$D$7,"Other Services"))),"Other Services"))</f>
        <v/>
      </c>
    </row>
    <row r="191" customFormat="false" ht="15" hidden="false" customHeight="false" outlineLevel="0" collapsed="false">
      <c r="E191" s="41" t="str">
        <f aca="false">IF(D191="","",IFERROR(VLOOKUP(D191,Assumptions!$G$5:$H$16,2,0),"Other"))</f>
        <v/>
      </c>
      <c r="J191" s="41" t="str">
        <f aca="false">IF(G191="","",IFERROR(IF(ISNUMBER(SEARCH(Assumptions!$C$5,G191)),Assumptions!$D$5,IF(ISNUMBER(SEARCH(Assumptions!$C$6,G191)),Assumptions!$D$6,IF(ISNUMBER(SEARCH(Assumptions!$C$7,G191)),Assumptions!$D$7,"Other Services"))),"Other Services"))</f>
        <v/>
      </c>
    </row>
    <row r="192" customFormat="false" ht="15" hidden="false" customHeight="false" outlineLevel="0" collapsed="false">
      <c r="E192" s="41" t="str">
        <f aca="false">IF(D192="","",IFERROR(VLOOKUP(D192,Assumptions!$G$5:$H$16,2,0),"Other"))</f>
        <v/>
      </c>
      <c r="J192" s="41" t="str">
        <f aca="false">IF(G192="","",IFERROR(IF(ISNUMBER(SEARCH(Assumptions!$C$5,G192)),Assumptions!$D$5,IF(ISNUMBER(SEARCH(Assumptions!$C$6,G192)),Assumptions!$D$6,IF(ISNUMBER(SEARCH(Assumptions!$C$7,G192)),Assumptions!$D$7,"Other Services"))),"Other Services"))</f>
        <v/>
      </c>
    </row>
    <row r="193" customFormat="false" ht="15" hidden="false" customHeight="false" outlineLevel="0" collapsed="false">
      <c r="E193" s="41" t="str">
        <f aca="false">IF(D193="","",IFERROR(VLOOKUP(D193,Assumptions!$G$5:$H$16,2,0),"Other"))</f>
        <v/>
      </c>
      <c r="J193" s="41" t="str">
        <f aca="false">IF(G193="","",IFERROR(IF(ISNUMBER(SEARCH(Assumptions!$C$5,G193)),Assumptions!$D$5,IF(ISNUMBER(SEARCH(Assumptions!$C$6,G193)),Assumptions!$D$6,IF(ISNUMBER(SEARCH(Assumptions!$C$7,G193)),Assumptions!$D$7,"Other Services"))),"Other Services"))</f>
        <v/>
      </c>
    </row>
    <row r="194" customFormat="false" ht="15" hidden="false" customHeight="false" outlineLevel="0" collapsed="false">
      <c r="E194" s="41" t="str">
        <f aca="false">IF(D194="","",IFERROR(VLOOKUP(D194,Assumptions!$G$5:$H$16,2,0),"Other"))</f>
        <v/>
      </c>
      <c r="J194" s="41" t="str">
        <f aca="false">IF(G194="","",IFERROR(IF(ISNUMBER(SEARCH(Assumptions!$C$5,G194)),Assumptions!$D$5,IF(ISNUMBER(SEARCH(Assumptions!$C$6,G194)),Assumptions!$D$6,IF(ISNUMBER(SEARCH(Assumptions!$C$7,G194)),Assumptions!$D$7,"Other Services"))),"Other Services"))</f>
        <v/>
      </c>
    </row>
    <row r="195" customFormat="false" ht="15" hidden="false" customHeight="false" outlineLevel="0" collapsed="false">
      <c r="E195" s="41" t="str">
        <f aca="false">IF(D195="","",IFERROR(VLOOKUP(D195,Assumptions!$G$5:$H$16,2,0),"Other"))</f>
        <v/>
      </c>
      <c r="J195" s="41" t="str">
        <f aca="false">IF(G195="","",IFERROR(IF(ISNUMBER(SEARCH(Assumptions!$C$5,G195)),Assumptions!$D$5,IF(ISNUMBER(SEARCH(Assumptions!$C$6,G195)),Assumptions!$D$6,IF(ISNUMBER(SEARCH(Assumptions!$C$7,G195)),Assumptions!$D$7,"Other Services"))),"Other Services"))</f>
        <v/>
      </c>
    </row>
    <row r="196" customFormat="false" ht="15" hidden="false" customHeight="false" outlineLevel="0" collapsed="false">
      <c r="E196" s="41" t="str">
        <f aca="false">IF(D196="","",IFERROR(VLOOKUP(D196,Assumptions!$G$5:$H$16,2,0),"Other"))</f>
        <v/>
      </c>
      <c r="J196" s="41" t="str">
        <f aca="false">IF(G196="","",IFERROR(IF(ISNUMBER(SEARCH(Assumptions!$C$5,G196)),Assumptions!$D$5,IF(ISNUMBER(SEARCH(Assumptions!$C$6,G196)),Assumptions!$D$6,IF(ISNUMBER(SEARCH(Assumptions!$C$7,G196)),Assumptions!$D$7,"Other Services"))),"Other Services"))</f>
        <v/>
      </c>
    </row>
    <row r="197" customFormat="false" ht="15" hidden="false" customHeight="false" outlineLevel="0" collapsed="false">
      <c r="E197" s="41" t="str">
        <f aca="false">IF(D197="","",IFERROR(VLOOKUP(D197,Assumptions!$G$5:$H$16,2,0),"Other"))</f>
        <v/>
      </c>
      <c r="J197" s="41" t="str">
        <f aca="false">IF(G197="","",IFERROR(IF(ISNUMBER(SEARCH(Assumptions!$C$5,G197)),Assumptions!$D$5,IF(ISNUMBER(SEARCH(Assumptions!$C$6,G197)),Assumptions!$D$6,IF(ISNUMBER(SEARCH(Assumptions!$C$7,G197)),Assumptions!$D$7,"Other Services"))),"Other Services"))</f>
        <v/>
      </c>
    </row>
    <row r="198" customFormat="false" ht="15" hidden="false" customHeight="false" outlineLevel="0" collapsed="false">
      <c r="E198" s="41" t="str">
        <f aca="false">IF(D198="","",IFERROR(VLOOKUP(D198,Assumptions!$G$5:$H$16,2,0),"Other"))</f>
        <v/>
      </c>
      <c r="J198" s="41" t="str">
        <f aca="false">IF(G198="","",IFERROR(IF(ISNUMBER(SEARCH(Assumptions!$C$5,G198)),Assumptions!$D$5,IF(ISNUMBER(SEARCH(Assumptions!$C$6,G198)),Assumptions!$D$6,IF(ISNUMBER(SEARCH(Assumptions!$C$7,G198)),Assumptions!$D$7,"Other Services"))),"Other Services"))</f>
        <v/>
      </c>
    </row>
    <row r="199" customFormat="false" ht="15" hidden="false" customHeight="false" outlineLevel="0" collapsed="false">
      <c r="E199" s="41" t="str">
        <f aca="false">IF(D199="","",IFERROR(VLOOKUP(D199,Assumptions!$G$5:$H$16,2,0),"Other"))</f>
        <v/>
      </c>
      <c r="J199" s="41" t="str">
        <f aca="false">IF(G199="","",IFERROR(IF(ISNUMBER(SEARCH(Assumptions!$C$5,G199)),Assumptions!$D$5,IF(ISNUMBER(SEARCH(Assumptions!$C$6,G199)),Assumptions!$D$6,IF(ISNUMBER(SEARCH(Assumptions!$C$7,G199)),Assumptions!$D$7,"Other Services"))),"Other Services"))</f>
        <v/>
      </c>
    </row>
    <row r="200" customFormat="false" ht="15" hidden="false" customHeight="false" outlineLevel="0" collapsed="false">
      <c r="E200" s="41" t="str">
        <f aca="false">IF(D200="","",IFERROR(VLOOKUP(D200,Assumptions!$G$5:$H$16,2,0),"Other"))</f>
        <v/>
      </c>
      <c r="J200" s="41" t="str">
        <f aca="false">IF(G200="","",IFERROR(IF(ISNUMBER(SEARCH(Assumptions!$C$5,G200)),Assumptions!$D$5,IF(ISNUMBER(SEARCH(Assumptions!$C$6,G200)),Assumptions!$D$6,IF(ISNUMBER(SEARCH(Assumptions!$C$7,G200)),Assumptions!$D$7,"Other Services"))),"Other Services"))</f>
        <v/>
      </c>
    </row>
    <row r="201" customFormat="false" ht="15" hidden="false" customHeight="false" outlineLevel="0" collapsed="false">
      <c r="E201" s="41" t="str">
        <f aca="false">IF(D201="","",IFERROR(VLOOKUP(D201,Assumptions!$G$5:$H$16,2,0),"Other"))</f>
        <v/>
      </c>
      <c r="J201" s="41" t="str">
        <f aca="false">IF(G201="","",IFERROR(IF(ISNUMBER(SEARCH(Assumptions!$C$5,G201)),Assumptions!$D$5,IF(ISNUMBER(SEARCH(Assumptions!$C$6,G201)),Assumptions!$D$6,IF(ISNUMBER(SEARCH(Assumptions!$C$7,G201)),Assumptions!$D$7,"Other Services"))),"Other Services"))</f>
        <v/>
      </c>
    </row>
    <row r="202" customFormat="false" ht="15" hidden="false" customHeight="false" outlineLevel="0" collapsed="false">
      <c r="E202" s="41" t="str">
        <f aca="false">IF(D202="","",IFERROR(VLOOKUP(D202,Assumptions!$G$5:$H$16,2,0),"Other"))</f>
        <v/>
      </c>
      <c r="J202" s="41" t="str">
        <f aca="false">IF(G202="","",IFERROR(IF(ISNUMBER(SEARCH(Assumptions!$C$5,G202)),Assumptions!$D$5,IF(ISNUMBER(SEARCH(Assumptions!$C$6,G202)),Assumptions!$D$6,IF(ISNUMBER(SEARCH(Assumptions!$C$7,G202)),Assumptions!$D$7,"Other Services"))),"Other Services"))</f>
        <v/>
      </c>
    </row>
    <row r="203" customFormat="false" ht="15" hidden="false" customHeight="false" outlineLevel="0" collapsed="false">
      <c r="E203" s="41" t="str">
        <f aca="false">IF(D203="","",IFERROR(VLOOKUP(D203,Assumptions!$G$5:$H$16,2,0),"Other"))</f>
        <v/>
      </c>
      <c r="J203" s="41" t="str">
        <f aca="false">IF(G203="","",IFERROR(IF(ISNUMBER(SEARCH(Assumptions!$C$5,G203)),Assumptions!$D$5,IF(ISNUMBER(SEARCH(Assumptions!$C$6,G203)),Assumptions!$D$6,IF(ISNUMBER(SEARCH(Assumptions!$C$7,G203)),Assumptions!$D$7,"Other Services"))),"Other Services"))</f>
        <v/>
      </c>
    </row>
    <row r="204" customFormat="false" ht="15" hidden="false" customHeight="false" outlineLevel="0" collapsed="false">
      <c r="E204" s="41" t="str">
        <f aca="false">IF(D204="","",IFERROR(VLOOKUP(D204,Assumptions!$G$5:$H$16,2,0),"Other"))</f>
        <v/>
      </c>
      <c r="J204" s="41" t="str">
        <f aca="false">IF(G204="","",IFERROR(IF(ISNUMBER(SEARCH(Assumptions!$C$5,G204)),Assumptions!$D$5,IF(ISNUMBER(SEARCH(Assumptions!$C$6,G204)),Assumptions!$D$6,IF(ISNUMBER(SEARCH(Assumptions!$C$7,G204)),Assumptions!$D$7,"Other Services"))),"Other Services"))</f>
        <v/>
      </c>
    </row>
    <row r="205" customFormat="false" ht="15" hidden="false" customHeight="false" outlineLevel="0" collapsed="false">
      <c r="E205" s="41" t="str">
        <f aca="false">IF(D205="","",IFERROR(VLOOKUP(D205,Assumptions!$G$5:$H$16,2,0),"Other"))</f>
        <v/>
      </c>
      <c r="J205" s="41" t="str">
        <f aca="false">IF(G205="","",IFERROR(IF(ISNUMBER(SEARCH(Assumptions!$C$5,G205)),Assumptions!$D$5,IF(ISNUMBER(SEARCH(Assumptions!$C$6,G205)),Assumptions!$D$6,IF(ISNUMBER(SEARCH(Assumptions!$C$7,G205)),Assumptions!$D$7,"Other Services"))),"Other Services"))</f>
        <v/>
      </c>
    </row>
    <row r="206" customFormat="false" ht="15" hidden="false" customHeight="false" outlineLevel="0" collapsed="false">
      <c r="E206" s="41" t="str">
        <f aca="false">IF(D206="","",IFERROR(VLOOKUP(D206,Assumptions!$G$5:$H$16,2,0),"Other"))</f>
        <v/>
      </c>
      <c r="J206" s="41" t="str">
        <f aca="false">IF(G206="","",IFERROR(IF(ISNUMBER(SEARCH(Assumptions!$C$5,G206)),Assumptions!$D$5,IF(ISNUMBER(SEARCH(Assumptions!$C$6,G206)),Assumptions!$D$6,IF(ISNUMBER(SEARCH(Assumptions!$C$7,G206)),Assumptions!$D$7,"Other Services"))),"Other Services"))</f>
        <v/>
      </c>
    </row>
    <row r="207" customFormat="false" ht="15" hidden="false" customHeight="false" outlineLevel="0" collapsed="false">
      <c r="E207" s="41" t="str">
        <f aca="false">IF(D207="","",IFERROR(VLOOKUP(D207,Assumptions!$G$5:$H$16,2,0),"Other"))</f>
        <v/>
      </c>
      <c r="J207" s="41" t="str">
        <f aca="false">IF(G207="","",IFERROR(IF(ISNUMBER(SEARCH(Assumptions!$C$5,G207)),Assumptions!$D$5,IF(ISNUMBER(SEARCH(Assumptions!$C$6,G207)),Assumptions!$D$6,IF(ISNUMBER(SEARCH(Assumptions!$C$7,G207)),Assumptions!$D$7,"Other Services"))),"Other Services"))</f>
        <v/>
      </c>
    </row>
    <row r="208" customFormat="false" ht="15" hidden="false" customHeight="false" outlineLevel="0" collapsed="false">
      <c r="E208" s="41" t="str">
        <f aca="false">IF(D208="","",IFERROR(VLOOKUP(D208,Assumptions!$G$5:$H$16,2,0),"Other"))</f>
        <v/>
      </c>
      <c r="J208" s="41" t="str">
        <f aca="false">IF(G208="","",IFERROR(IF(ISNUMBER(SEARCH(Assumptions!$C$5,G208)),Assumptions!$D$5,IF(ISNUMBER(SEARCH(Assumptions!$C$6,G208)),Assumptions!$D$6,IF(ISNUMBER(SEARCH(Assumptions!$C$7,G208)),Assumptions!$D$7,"Other Services"))),"Other Services"))</f>
        <v/>
      </c>
    </row>
    <row r="209" customFormat="false" ht="15" hidden="false" customHeight="false" outlineLevel="0" collapsed="false">
      <c r="E209" s="41" t="str">
        <f aca="false">IF(D209="","",IFERROR(VLOOKUP(D209,Assumptions!$G$5:$H$16,2,0),"Other"))</f>
        <v/>
      </c>
      <c r="J209" s="41" t="str">
        <f aca="false">IF(G209="","",IFERROR(IF(ISNUMBER(SEARCH(Assumptions!$C$5,G209)),Assumptions!$D$5,IF(ISNUMBER(SEARCH(Assumptions!$C$6,G209)),Assumptions!$D$6,IF(ISNUMBER(SEARCH(Assumptions!$C$7,G209)),Assumptions!$D$7,"Other Services"))),"Other Services"))</f>
        <v/>
      </c>
    </row>
    <row r="210" customFormat="false" ht="15" hidden="false" customHeight="false" outlineLevel="0" collapsed="false">
      <c r="E210" s="41" t="str">
        <f aca="false">IF(D210="","",IFERROR(VLOOKUP(D210,Assumptions!$G$5:$H$16,2,0),"Other"))</f>
        <v/>
      </c>
      <c r="J210" s="41" t="str">
        <f aca="false">IF(G210="","",IFERROR(IF(ISNUMBER(SEARCH(Assumptions!$C$5,G210)),Assumptions!$D$5,IF(ISNUMBER(SEARCH(Assumptions!$C$6,G210)),Assumptions!$D$6,IF(ISNUMBER(SEARCH(Assumptions!$C$7,G210)),Assumptions!$D$7,"Other Services"))),"Other Services"))</f>
        <v/>
      </c>
    </row>
    <row r="211" customFormat="false" ht="15" hidden="false" customHeight="false" outlineLevel="0" collapsed="false">
      <c r="E211" s="41" t="str">
        <f aca="false">IF(D211="","",IFERROR(VLOOKUP(D211,Assumptions!$G$5:$H$16,2,0),"Other"))</f>
        <v/>
      </c>
      <c r="J211" s="41" t="str">
        <f aca="false">IF(G211="","",IFERROR(IF(ISNUMBER(SEARCH(Assumptions!$C$5,G211)),Assumptions!$D$5,IF(ISNUMBER(SEARCH(Assumptions!$C$6,G211)),Assumptions!$D$6,IF(ISNUMBER(SEARCH(Assumptions!$C$7,G211)),Assumptions!$D$7,"Other Services"))),"Other Services"))</f>
        <v/>
      </c>
    </row>
    <row r="212" customFormat="false" ht="15" hidden="false" customHeight="false" outlineLevel="0" collapsed="false">
      <c r="E212" s="41" t="str">
        <f aca="false">IF(D212="","",IFERROR(VLOOKUP(D212,Assumptions!$G$5:$H$16,2,0),"Other"))</f>
        <v/>
      </c>
      <c r="J212" s="41" t="str">
        <f aca="false">IF(G212="","",IFERROR(IF(ISNUMBER(SEARCH(Assumptions!$C$5,G212)),Assumptions!$D$5,IF(ISNUMBER(SEARCH(Assumptions!$C$6,G212)),Assumptions!$D$6,IF(ISNUMBER(SEARCH(Assumptions!$C$7,G212)),Assumptions!$D$7,"Other Services"))),"Other Services"))</f>
        <v/>
      </c>
    </row>
    <row r="213" customFormat="false" ht="15" hidden="false" customHeight="false" outlineLevel="0" collapsed="false">
      <c r="E213" s="41" t="str">
        <f aca="false">IF(D213="","",IFERROR(VLOOKUP(D213,Assumptions!$G$5:$H$16,2,0),"Other"))</f>
        <v/>
      </c>
      <c r="J213" s="41" t="str">
        <f aca="false">IF(G213="","",IFERROR(IF(ISNUMBER(SEARCH(Assumptions!$C$5,G213)),Assumptions!$D$5,IF(ISNUMBER(SEARCH(Assumptions!$C$6,G213)),Assumptions!$D$6,IF(ISNUMBER(SEARCH(Assumptions!$C$7,G213)),Assumptions!$D$7,"Other Services"))),"Other Services"))</f>
        <v/>
      </c>
    </row>
    <row r="214" customFormat="false" ht="15" hidden="false" customHeight="false" outlineLevel="0" collapsed="false">
      <c r="E214" s="41" t="str">
        <f aca="false">IF(D214="","",IFERROR(VLOOKUP(D214,Assumptions!$G$5:$H$16,2,0),"Other"))</f>
        <v/>
      </c>
      <c r="J214" s="41" t="str">
        <f aca="false">IF(G214="","",IFERROR(IF(ISNUMBER(SEARCH(Assumptions!$C$5,G214)),Assumptions!$D$5,IF(ISNUMBER(SEARCH(Assumptions!$C$6,G214)),Assumptions!$D$6,IF(ISNUMBER(SEARCH(Assumptions!$C$7,G214)),Assumptions!$D$7,"Other Services"))),"Other Services"))</f>
        <v/>
      </c>
    </row>
    <row r="215" customFormat="false" ht="15" hidden="false" customHeight="false" outlineLevel="0" collapsed="false">
      <c r="E215" s="41" t="str">
        <f aca="false">IF(D215="","",IFERROR(VLOOKUP(D215,Assumptions!$G$5:$H$16,2,0),"Other"))</f>
        <v/>
      </c>
      <c r="J215" s="41" t="str">
        <f aca="false">IF(G215="","",IFERROR(IF(ISNUMBER(SEARCH(Assumptions!$C$5,G215)),Assumptions!$D$5,IF(ISNUMBER(SEARCH(Assumptions!$C$6,G215)),Assumptions!$D$6,IF(ISNUMBER(SEARCH(Assumptions!$C$7,G215)),Assumptions!$D$7,"Other Services"))),"Other Services"))</f>
        <v/>
      </c>
    </row>
    <row r="216" customFormat="false" ht="15" hidden="false" customHeight="false" outlineLevel="0" collapsed="false">
      <c r="E216" s="41" t="str">
        <f aca="false">IF(D216="","",IFERROR(VLOOKUP(D216,Assumptions!$G$5:$H$16,2,0),"Other"))</f>
        <v/>
      </c>
      <c r="J216" s="41" t="str">
        <f aca="false">IF(G216="","",IFERROR(IF(ISNUMBER(SEARCH(Assumptions!$C$5,G216)),Assumptions!$D$5,IF(ISNUMBER(SEARCH(Assumptions!$C$6,G216)),Assumptions!$D$6,IF(ISNUMBER(SEARCH(Assumptions!$C$7,G216)),Assumptions!$D$7,"Other Services"))),"Other Services"))</f>
        <v/>
      </c>
    </row>
    <row r="217" customFormat="false" ht="15" hidden="false" customHeight="false" outlineLevel="0" collapsed="false">
      <c r="E217" s="41" t="str">
        <f aca="false">IF(D217="","",IFERROR(VLOOKUP(D217,Assumptions!$G$5:$H$16,2,0),"Other"))</f>
        <v/>
      </c>
      <c r="J217" s="41" t="str">
        <f aca="false">IF(G217="","",IFERROR(IF(ISNUMBER(SEARCH(Assumptions!$C$5,G217)),Assumptions!$D$5,IF(ISNUMBER(SEARCH(Assumptions!$C$6,G217)),Assumptions!$D$6,IF(ISNUMBER(SEARCH(Assumptions!$C$7,G217)),Assumptions!$D$7,"Other Services"))),"Other Services"))</f>
        <v/>
      </c>
    </row>
    <row r="218" customFormat="false" ht="15" hidden="false" customHeight="false" outlineLevel="0" collapsed="false">
      <c r="E218" s="41" t="str">
        <f aca="false">IF(D218="","",IFERROR(VLOOKUP(D218,Assumptions!$G$5:$H$16,2,0),"Other"))</f>
        <v/>
      </c>
      <c r="J218" s="41" t="str">
        <f aca="false">IF(G218="","",IFERROR(IF(ISNUMBER(SEARCH(Assumptions!$C$5,G218)),Assumptions!$D$5,IF(ISNUMBER(SEARCH(Assumptions!$C$6,G218)),Assumptions!$D$6,IF(ISNUMBER(SEARCH(Assumptions!$C$7,G218)),Assumptions!$D$7,"Other Services"))),"Other Services"))</f>
        <v/>
      </c>
    </row>
    <row r="219" customFormat="false" ht="15" hidden="false" customHeight="false" outlineLevel="0" collapsed="false">
      <c r="E219" s="41" t="str">
        <f aca="false">IF(D219="","",IFERROR(VLOOKUP(D219,Assumptions!$G$5:$H$16,2,0),"Other"))</f>
        <v/>
      </c>
      <c r="J219" s="41" t="str">
        <f aca="false">IF(G219="","",IFERROR(IF(ISNUMBER(SEARCH(Assumptions!$C$5,G219)),Assumptions!$D$5,IF(ISNUMBER(SEARCH(Assumptions!$C$6,G219)),Assumptions!$D$6,IF(ISNUMBER(SEARCH(Assumptions!$C$7,G219)),Assumptions!$D$7,"Other Services"))),"Other Services"))</f>
        <v/>
      </c>
    </row>
    <row r="220" customFormat="false" ht="15" hidden="false" customHeight="false" outlineLevel="0" collapsed="false">
      <c r="E220" s="41" t="str">
        <f aca="false">IF(D220="","",IFERROR(VLOOKUP(D220,Assumptions!$G$5:$H$16,2,0),"Other"))</f>
        <v/>
      </c>
      <c r="J220" s="41" t="str">
        <f aca="false">IF(G220="","",IFERROR(IF(ISNUMBER(SEARCH(Assumptions!$C$5,G220)),Assumptions!$D$5,IF(ISNUMBER(SEARCH(Assumptions!$C$6,G220)),Assumptions!$D$6,IF(ISNUMBER(SEARCH(Assumptions!$C$7,G220)),Assumptions!$D$7,"Other Services"))),"Other Services"))</f>
        <v/>
      </c>
    </row>
    <row r="221" customFormat="false" ht="15" hidden="false" customHeight="false" outlineLevel="0" collapsed="false">
      <c r="E221" s="41" t="str">
        <f aca="false">IF(D221="","",IFERROR(VLOOKUP(D221,Assumptions!$G$5:$H$16,2,0),"Other"))</f>
        <v/>
      </c>
      <c r="J221" s="41" t="str">
        <f aca="false">IF(G221="","",IFERROR(IF(ISNUMBER(SEARCH(Assumptions!$C$5,G221)),Assumptions!$D$5,IF(ISNUMBER(SEARCH(Assumptions!$C$6,G221)),Assumptions!$D$6,IF(ISNUMBER(SEARCH(Assumptions!$C$7,G221)),Assumptions!$D$7,"Other Services"))),"Other Services"))</f>
        <v/>
      </c>
    </row>
    <row r="222" customFormat="false" ht="15" hidden="false" customHeight="false" outlineLevel="0" collapsed="false">
      <c r="E222" s="41" t="str">
        <f aca="false">IF(D222="","",IFERROR(VLOOKUP(D222,Assumptions!$G$5:$H$16,2,0),"Other"))</f>
        <v/>
      </c>
      <c r="J222" s="41" t="str">
        <f aca="false">IF(G222="","",IFERROR(IF(ISNUMBER(SEARCH(Assumptions!$C$5,G222)),Assumptions!$D$5,IF(ISNUMBER(SEARCH(Assumptions!$C$6,G222)),Assumptions!$D$6,IF(ISNUMBER(SEARCH(Assumptions!$C$7,G222)),Assumptions!$D$7,"Other Services"))),"Other Services"))</f>
        <v/>
      </c>
    </row>
    <row r="223" customFormat="false" ht="15" hidden="false" customHeight="false" outlineLevel="0" collapsed="false">
      <c r="E223" s="41" t="str">
        <f aca="false">IF(D223="","",IFERROR(VLOOKUP(D223,Assumptions!$G$5:$H$16,2,0),"Other"))</f>
        <v/>
      </c>
      <c r="J223" s="41" t="str">
        <f aca="false">IF(G223="","",IFERROR(IF(ISNUMBER(SEARCH(Assumptions!$C$5,G223)),Assumptions!$D$5,IF(ISNUMBER(SEARCH(Assumptions!$C$6,G223)),Assumptions!$D$6,IF(ISNUMBER(SEARCH(Assumptions!$C$7,G223)),Assumptions!$D$7,"Other Services"))),"Other Services"))</f>
        <v/>
      </c>
    </row>
    <row r="224" customFormat="false" ht="15" hidden="false" customHeight="false" outlineLevel="0" collapsed="false">
      <c r="E224" s="41" t="str">
        <f aca="false">IF(D224="","",IFERROR(VLOOKUP(D224,Assumptions!$G$5:$H$16,2,0),"Other"))</f>
        <v/>
      </c>
      <c r="J224" s="41" t="str">
        <f aca="false">IF(G224="","",IFERROR(IF(ISNUMBER(SEARCH(Assumptions!$C$5,G224)),Assumptions!$D$5,IF(ISNUMBER(SEARCH(Assumptions!$C$6,G224)),Assumptions!$D$6,IF(ISNUMBER(SEARCH(Assumptions!$C$7,G224)),Assumptions!$D$7,"Other Services"))),"Other Services"))</f>
        <v/>
      </c>
    </row>
    <row r="225" customFormat="false" ht="15" hidden="false" customHeight="false" outlineLevel="0" collapsed="false">
      <c r="E225" s="41" t="str">
        <f aca="false">IF(D225="","",IFERROR(VLOOKUP(D225,Assumptions!$G$5:$H$16,2,0),"Other"))</f>
        <v/>
      </c>
      <c r="J225" s="41" t="str">
        <f aca="false">IF(G225="","",IFERROR(IF(ISNUMBER(SEARCH(Assumptions!$C$5,G225)),Assumptions!$D$5,IF(ISNUMBER(SEARCH(Assumptions!$C$6,G225)),Assumptions!$D$6,IF(ISNUMBER(SEARCH(Assumptions!$C$7,G225)),Assumptions!$D$7,"Other Services"))),"Other Services"))</f>
        <v/>
      </c>
    </row>
    <row r="226" customFormat="false" ht="15" hidden="false" customHeight="false" outlineLevel="0" collapsed="false">
      <c r="E226" s="41" t="str">
        <f aca="false">IF(D226="","",IFERROR(VLOOKUP(D226,Assumptions!$G$5:$H$16,2,0),"Other"))</f>
        <v/>
      </c>
      <c r="J226" s="41" t="str">
        <f aca="false">IF(G226="","",IFERROR(IF(ISNUMBER(SEARCH(Assumptions!$C$5,G226)),Assumptions!$D$5,IF(ISNUMBER(SEARCH(Assumptions!$C$6,G226)),Assumptions!$D$6,IF(ISNUMBER(SEARCH(Assumptions!$C$7,G226)),Assumptions!$D$7,"Other Services"))),"Other Services"))</f>
        <v/>
      </c>
    </row>
    <row r="227" customFormat="false" ht="15" hidden="false" customHeight="false" outlineLevel="0" collapsed="false">
      <c r="E227" s="41" t="str">
        <f aca="false">IF(D227="","",IFERROR(VLOOKUP(D227,Assumptions!$G$5:$H$16,2,0),"Other"))</f>
        <v/>
      </c>
      <c r="J227" s="41" t="str">
        <f aca="false">IF(G227="","",IFERROR(IF(ISNUMBER(SEARCH(Assumptions!$C$5,G227)),Assumptions!$D$5,IF(ISNUMBER(SEARCH(Assumptions!$C$6,G227)),Assumptions!$D$6,IF(ISNUMBER(SEARCH(Assumptions!$C$7,G227)),Assumptions!$D$7,"Other Services"))),"Other Services"))</f>
        <v/>
      </c>
    </row>
    <row r="228" customFormat="false" ht="15" hidden="false" customHeight="false" outlineLevel="0" collapsed="false">
      <c r="E228" s="41" t="str">
        <f aca="false">IF(D228="","",IFERROR(VLOOKUP(D228,Assumptions!$G$5:$H$16,2,0),"Other"))</f>
        <v/>
      </c>
      <c r="J228" s="41" t="str">
        <f aca="false">IF(G228="","",IFERROR(IF(ISNUMBER(SEARCH(Assumptions!$C$5,G228)),Assumptions!$D$5,IF(ISNUMBER(SEARCH(Assumptions!$C$6,G228)),Assumptions!$D$6,IF(ISNUMBER(SEARCH(Assumptions!$C$7,G228)),Assumptions!$D$7,"Other Services"))),"Other Services"))</f>
        <v/>
      </c>
    </row>
    <row r="229" customFormat="false" ht="15" hidden="false" customHeight="false" outlineLevel="0" collapsed="false">
      <c r="E229" s="41" t="str">
        <f aca="false">IF(D229="","",IFERROR(VLOOKUP(D229,Assumptions!$G$5:$H$16,2,0),"Other"))</f>
        <v/>
      </c>
      <c r="J229" s="41" t="str">
        <f aca="false">IF(G229="","",IFERROR(IF(ISNUMBER(SEARCH(Assumptions!$C$5,G229)),Assumptions!$D$5,IF(ISNUMBER(SEARCH(Assumptions!$C$6,G229)),Assumptions!$D$6,IF(ISNUMBER(SEARCH(Assumptions!$C$7,G229)),Assumptions!$D$7,"Other Services"))),"Other Services"))</f>
        <v/>
      </c>
    </row>
    <row r="230" customFormat="false" ht="15" hidden="false" customHeight="false" outlineLevel="0" collapsed="false">
      <c r="E230" s="41" t="str">
        <f aca="false">IF(D230="","",IFERROR(VLOOKUP(D230,Assumptions!$G$5:$H$16,2,0),"Other"))</f>
        <v/>
      </c>
      <c r="J230" s="41" t="str">
        <f aca="false">IF(G230="","",IFERROR(IF(ISNUMBER(SEARCH(Assumptions!$C$5,G230)),Assumptions!$D$5,IF(ISNUMBER(SEARCH(Assumptions!$C$6,G230)),Assumptions!$D$6,IF(ISNUMBER(SEARCH(Assumptions!$C$7,G230)),Assumptions!$D$7,"Other Services"))),"Other Services"))</f>
        <v/>
      </c>
    </row>
    <row r="231" customFormat="false" ht="15" hidden="false" customHeight="false" outlineLevel="0" collapsed="false">
      <c r="E231" s="41" t="str">
        <f aca="false">IF(D231="","",IFERROR(VLOOKUP(D231,Assumptions!$G$5:$H$16,2,0),"Other"))</f>
        <v/>
      </c>
      <c r="J231" s="41" t="str">
        <f aca="false">IF(G231="","",IFERROR(IF(ISNUMBER(SEARCH(Assumptions!$C$5,G231)),Assumptions!$D$5,IF(ISNUMBER(SEARCH(Assumptions!$C$6,G231)),Assumptions!$D$6,IF(ISNUMBER(SEARCH(Assumptions!$C$7,G231)),Assumptions!$D$7,"Other Services"))),"Other Services"))</f>
        <v/>
      </c>
    </row>
    <row r="232" customFormat="false" ht="15" hidden="false" customHeight="false" outlineLevel="0" collapsed="false">
      <c r="E232" s="41" t="str">
        <f aca="false">IF(D232="","",IFERROR(VLOOKUP(D232,Assumptions!$G$5:$H$16,2,0),"Other"))</f>
        <v/>
      </c>
      <c r="J232" s="41" t="str">
        <f aca="false">IF(G232="","",IFERROR(IF(ISNUMBER(SEARCH(Assumptions!$C$5,G232)),Assumptions!$D$5,IF(ISNUMBER(SEARCH(Assumptions!$C$6,G232)),Assumptions!$D$6,IF(ISNUMBER(SEARCH(Assumptions!$C$7,G232)),Assumptions!$D$7,"Other Services"))),"Other Services"))</f>
        <v/>
      </c>
    </row>
    <row r="233" customFormat="false" ht="15" hidden="false" customHeight="false" outlineLevel="0" collapsed="false">
      <c r="E233" s="41" t="str">
        <f aca="false">IF(D233="","",IFERROR(VLOOKUP(D233,Assumptions!$G$5:$H$16,2,0),"Other"))</f>
        <v/>
      </c>
      <c r="J233" s="41" t="str">
        <f aca="false">IF(G233="","",IFERROR(IF(ISNUMBER(SEARCH(Assumptions!$C$5,G233)),Assumptions!$D$5,IF(ISNUMBER(SEARCH(Assumptions!$C$6,G233)),Assumptions!$D$6,IF(ISNUMBER(SEARCH(Assumptions!$C$7,G233)),Assumptions!$D$7,"Other Services"))),"Other Services"))</f>
        <v/>
      </c>
    </row>
    <row r="234" customFormat="false" ht="15" hidden="false" customHeight="false" outlineLevel="0" collapsed="false">
      <c r="E234" s="41" t="str">
        <f aca="false">IF(D234="","",IFERROR(VLOOKUP(D234,Assumptions!$G$5:$H$16,2,0),"Other"))</f>
        <v/>
      </c>
      <c r="J234" s="41" t="str">
        <f aca="false">IF(G234="","",IFERROR(IF(ISNUMBER(SEARCH(Assumptions!$C$5,G234)),Assumptions!$D$5,IF(ISNUMBER(SEARCH(Assumptions!$C$6,G234)),Assumptions!$D$6,IF(ISNUMBER(SEARCH(Assumptions!$C$7,G234)),Assumptions!$D$7,"Other Services"))),"Other Services"))</f>
        <v/>
      </c>
    </row>
    <row r="235" customFormat="false" ht="15" hidden="false" customHeight="false" outlineLevel="0" collapsed="false">
      <c r="E235" s="41" t="str">
        <f aca="false">IF(D235="","",IFERROR(VLOOKUP(D235,Assumptions!$G$5:$H$16,2,0),"Other"))</f>
        <v/>
      </c>
      <c r="J235" s="41" t="str">
        <f aca="false">IF(G235="","",IFERROR(IF(ISNUMBER(SEARCH(Assumptions!$C$5,G235)),Assumptions!$D$5,IF(ISNUMBER(SEARCH(Assumptions!$C$6,G235)),Assumptions!$D$6,IF(ISNUMBER(SEARCH(Assumptions!$C$7,G235)),Assumptions!$D$7,"Other Services"))),"Other Services"))</f>
        <v/>
      </c>
    </row>
    <row r="236" customFormat="false" ht="15" hidden="false" customHeight="false" outlineLevel="0" collapsed="false">
      <c r="E236" s="41" t="str">
        <f aca="false">IF(D236="","",IFERROR(VLOOKUP(D236,Assumptions!$G$5:$H$16,2,0),"Other"))</f>
        <v/>
      </c>
      <c r="J236" s="41" t="str">
        <f aca="false">IF(G236="","",IFERROR(IF(ISNUMBER(SEARCH(Assumptions!$C$5,G236)),Assumptions!$D$5,IF(ISNUMBER(SEARCH(Assumptions!$C$6,G236)),Assumptions!$D$6,IF(ISNUMBER(SEARCH(Assumptions!$C$7,G236)),Assumptions!$D$7,"Other Services"))),"Other Services"))</f>
        <v/>
      </c>
    </row>
    <row r="237" customFormat="false" ht="15" hidden="false" customHeight="false" outlineLevel="0" collapsed="false">
      <c r="E237" s="41" t="str">
        <f aca="false">IF(D237="","",IFERROR(VLOOKUP(D237,Assumptions!$G$5:$H$16,2,0),"Other"))</f>
        <v/>
      </c>
      <c r="J237" s="41" t="str">
        <f aca="false">IF(G237="","",IFERROR(IF(ISNUMBER(SEARCH(Assumptions!$C$5,G237)),Assumptions!$D$5,IF(ISNUMBER(SEARCH(Assumptions!$C$6,G237)),Assumptions!$D$6,IF(ISNUMBER(SEARCH(Assumptions!$C$7,G237)),Assumptions!$D$7,"Other Services"))),"Other Services"))</f>
        <v/>
      </c>
    </row>
    <row r="238" customFormat="false" ht="15" hidden="false" customHeight="false" outlineLevel="0" collapsed="false">
      <c r="E238" s="41" t="str">
        <f aca="false">IF(D238="","",IFERROR(VLOOKUP(D238,Assumptions!$G$5:$H$16,2,0),"Other"))</f>
        <v/>
      </c>
      <c r="J238" s="41" t="str">
        <f aca="false">IF(G238="","",IFERROR(IF(ISNUMBER(SEARCH(Assumptions!$C$5,G238)),Assumptions!$D$5,IF(ISNUMBER(SEARCH(Assumptions!$C$6,G238)),Assumptions!$D$6,IF(ISNUMBER(SEARCH(Assumptions!$C$7,G238)),Assumptions!$D$7,"Other Services"))),"Other Services"))</f>
        <v/>
      </c>
    </row>
    <row r="239" customFormat="false" ht="15" hidden="false" customHeight="false" outlineLevel="0" collapsed="false">
      <c r="E239" s="41" t="str">
        <f aca="false">IF(D239="","",IFERROR(VLOOKUP(D239,Assumptions!$G$5:$H$16,2,0),"Other"))</f>
        <v/>
      </c>
      <c r="J239" s="41" t="str">
        <f aca="false">IF(G239="","",IFERROR(IF(ISNUMBER(SEARCH(Assumptions!$C$5,G239)),Assumptions!$D$5,IF(ISNUMBER(SEARCH(Assumptions!$C$6,G239)),Assumptions!$D$6,IF(ISNUMBER(SEARCH(Assumptions!$C$7,G239)),Assumptions!$D$7,"Other Services"))),"Other Services"))</f>
        <v/>
      </c>
    </row>
    <row r="240" customFormat="false" ht="15" hidden="false" customHeight="false" outlineLevel="0" collapsed="false">
      <c r="E240" s="41" t="str">
        <f aca="false">IF(D240="","",IFERROR(VLOOKUP(D240,Assumptions!$G$5:$H$16,2,0),"Other"))</f>
        <v/>
      </c>
      <c r="J240" s="41" t="str">
        <f aca="false">IF(G240="","",IFERROR(IF(ISNUMBER(SEARCH(Assumptions!$C$5,G240)),Assumptions!$D$5,IF(ISNUMBER(SEARCH(Assumptions!$C$6,G240)),Assumptions!$D$6,IF(ISNUMBER(SEARCH(Assumptions!$C$7,G240)),Assumptions!$D$7,"Other Services"))),"Other Services"))</f>
        <v/>
      </c>
    </row>
    <row r="241" customFormat="false" ht="15" hidden="false" customHeight="false" outlineLevel="0" collapsed="false">
      <c r="E241" s="41" t="str">
        <f aca="false">IF(D241="","",IFERROR(VLOOKUP(D241,Assumptions!$G$5:$H$16,2,0),"Other"))</f>
        <v/>
      </c>
      <c r="J241" s="41" t="str">
        <f aca="false">IF(G241="","",IFERROR(IF(ISNUMBER(SEARCH(Assumptions!$C$5,G241)),Assumptions!$D$5,IF(ISNUMBER(SEARCH(Assumptions!$C$6,G241)),Assumptions!$D$6,IF(ISNUMBER(SEARCH(Assumptions!$C$7,G241)),Assumptions!$D$7,"Other Services"))),"Other Services"))</f>
        <v/>
      </c>
    </row>
    <row r="242" customFormat="false" ht="15" hidden="false" customHeight="false" outlineLevel="0" collapsed="false">
      <c r="E242" s="41" t="str">
        <f aca="false">IF(D242="","",IFERROR(VLOOKUP(D242,Assumptions!$G$5:$H$16,2,0),"Other"))</f>
        <v/>
      </c>
      <c r="J242" s="41" t="str">
        <f aca="false">IF(G242="","",IFERROR(IF(ISNUMBER(SEARCH(Assumptions!$C$5,G242)),Assumptions!$D$5,IF(ISNUMBER(SEARCH(Assumptions!$C$6,G242)),Assumptions!$D$6,IF(ISNUMBER(SEARCH(Assumptions!$C$7,G242)),Assumptions!$D$7,"Other Services"))),"Other Services"))</f>
        <v/>
      </c>
    </row>
    <row r="243" customFormat="false" ht="15" hidden="false" customHeight="false" outlineLevel="0" collapsed="false">
      <c r="E243" s="41" t="str">
        <f aca="false">IF(D243="","",IFERROR(VLOOKUP(D243,Assumptions!$G$5:$H$16,2,0),"Other"))</f>
        <v/>
      </c>
      <c r="J243" s="41" t="str">
        <f aca="false">IF(G243="","",IFERROR(IF(ISNUMBER(SEARCH(Assumptions!$C$5,G243)),Assumptions!$D$5,IF(ISNUMBER(SEARCH(Assumptions!$C$6,G243)),Assumptions!$D$6,IF(ISNUMBER(SEARCH(Assumptions!$C$7,G243)),Assumptions!$D$7,"Other Services"))),"Other Services"))</f>
        <v/>
      </c>
    </row>
    <row r="244" customFormat="false" ht="15" hidden="false" customHeight="false" outlineLevel="0" collapsed="false">
      <c r="E244" s="41" t="str">
        <f aca="false">IF(D244="","",IFERROR(VLOOKUP(D244,Assumptions!$G$5:$H$16,2,0),"Other"))</f>
        <v/>
      </c>
      <c r="J244" s="41" t="str">
        <f aca="false">IF(G244="","",IFERROR(IF(ISNUMBER(SEARCH(Assumptions!$C$5,G244)),Assumptions!$D$5,IF(ISNUMBER(SEARCH(Assumptions!$C$6,G244)),Assumptions!$D$6,IF(ISNUMBER(SEARCH(Assumptions!$C$7,G244)),Assumptions!$D$7,"Other Services"))),"Other Services"))</f>
        <v/>
      </c>
    </row>
    <row r="245" customFormat="false" ht="15" hidden="false" customHeight="false" outlineLevel="0" collapsed="false">
      <c r="E245" s="41" t="str">
        <f aca="false">IF(D245="","",IFERROR(VLOOKUP(D245,Assumptions!$G$5:$H$16,2,0),"Other"))</f>
        <v/>
      </c>
      <c r="J245" s="41" t="str">
        <f aca="false">IF(G245="","",IFERROR(IF(ISNUMBER(SEARCH(Assumptions!$C$5,G245)),Assumptions!$D$5,IF(ISNUMBER(SEARCH(Assumptions!$C$6,G245)),Assumptions!$D$6,IF(ISNUMBER(SEARCH(Assumptions!$C$7,G245)),Assumptions!$D$7,"Other Services"))),"Other Services"))</f>
        <v/>
      </c>
    </row>
    <row r="246" customFormat="false" ht="15" hidden="false" customHeight="false" outlineLevel="0" collapsed="false">
      <c r="E246" s="41" t="str">
        <f aca="false">IF(D246="","",IFERROR(VLOOKUP(D246,Assumptions!$G$5:$H$16,2,0),"Other"))</f>
        <v/>
      </c>
      <c r="J246" s="41" t="str">
        <f aca="false">IF(G246="","",IFERROR(IF(ISNUMBER(SEARCH(Assumptions!$C$5,G246)),Assumptions!$D$5,IF(ISNUMBER(SEARCH(Assumptions!$C$6,G246)),Assumptions!$D$6,IF(ISNUMBER(SEARCH(Assumptions!$C$7,G246)),Assumptions!$D$7,"Other Services"))),"Other Services"))</f>
        <v/>
      </c>
    </row>
    <row r="247" customFormat="false" ht="15" hidden="false" customHeight="false" outlineLevel="0" collapsed="false">
      <c r="E247" s="41" t="str">
        <f aca="false">IF(D247="","",IFERROR(VLOOKUP(D247,Assumptions!$G$5:$H$16,2,0),"Other"))</f>
        <v/>
      </c>
      <c r="J247" s="41" t="str">
        <f aca="false">IF(G247="","",IFERROR(IF(ISNUMBER(SEARCH(Assumptions!$C$5,G247)),Assumptions!$D$5,IF(ISNUMBER(SEARCH(Assumptions!$C$6,G247)),Assumptions!$D$6,IF(ISNUMBER(SEARCH(Assumptions!$C$7,G247)),Assumptions!$D$7,"Other Services"))),"Other Services"))</f>
        <v/>
      </c>
    </row>
    <row r="248" customFormat="false" ht="15" hidden="false" customHeight="false" outlineLevel="0" collapsed="false">
      <c r="E248" s="41" t="str">
        <f aca="false">IF(D248="","",IFERROR(VLOOKUP(D248,Assumptions!$G$5:$H$16,2,0),"Other"))</f>
        <v/>
      </c>
      <c r="J248" s="41" t="str">
        <f aca="false">IF(G248="","",IFERROR(IF(ISNUMBER(SEARCH(Assumptions!$C$5,G248)),Assumptions!$D$5,IF(ISNUMBER(SEARCH(Assumptions!$C$6,G248)),Assumptions!$D$6,IF(ISNUMBER(SEARCH(Assumptions!$C$7,G248)),Assumptions!$D$7,"Other Services"))),"Other Services"))</f>
        <v/>
      </c>
    </row>
    <row r="249" customFormat="false" ht="15" hidden="false" customHeight="false" outlineLevel="0" collapsed="false">
      <c r="E249" s="41" t="str">
        <f aca="false">IF(D249="","",IFERROR(VLOOKUP(D249,Assumptions!$G$5:$H$16,2,0),"Other"))</f>
        <v/>
      </c>
      <c r="J249" s="41" t="str">
        <f aca="false">IF(G249="","",IFERROR(IF(ISNUMBER(SEARCH(Assumptions!$C$5,G249)),Assumptions!$D$5,IF(ISNUMBER(SEARCH(Assumptions!$C$6,G249)),Assumptions!$D$6,IF(ISNUMBER(SEARCH(Assumptions!$C$7,G249)),Assumptions!$D$7,"Other Services"))),"Other Services"))</f>
        <v/>
      </c>
    </row>
    <row r="250" customFormat="false" ht="15" hidden="false" customHeight="false" outlineLevel="0" collapsed="false">
      <c r="E250" s="41" t="str">
        <f aca="false">IF(D250="","",IFERROR(VLOOKUP(D250,Assumptions!$G$5:$H$16,2,0),"Other"))</f>
        <v/>
      </c>
      <c r="J250" s="41" t="str">
        <f aca="false">IF(G250="","",IFERROR(IF(ISNUMBER(SEARCH(Assumptions!$C$5,G250)),Assumptions!$D$5,IF(ISNUMBER(SEARCH(Assumptions!$C$6,G250)),Assumptions!$D$6,IF(ISNUMBER(SEARCH(Assumptions!$C$7,G250)),Assumptions!$D$7,"Other Services"))),"Other Services"))</f>
        <v/>
      </c>
    </row>
    <row r="251" customFormat="false" ht="15" hidden="false" customHeight="false" outlineLevel="0" collapsed="false">
      <c r="E251" s="41" t="str">
        <f aca="false">IF(D251="","",IFERROR(VLOOKUP(D251,Assumptions!$G$5:$H$16,2,0),"Other"))</f>
        <v/>
      </c>
      <c r="J251" s="41" t="str">
        <f aca="false">IF(G251="","",IFERROR(IF(ISNUMBER(SEARCH(Assumptions!$C$5,G251)),Assumptions!$D$5,IF(ISNUMBER(SEARCH(Assumptions!$C$6,G251)),Assumptions!$D$6,IF(ISNUMBER(SEARCH(Assumptions!$C$7,G251)),Assumptions!$D$7,"Other Services"))),"Other Services"))</f>
        <v/>
      </c>
    </row>
    <row r="252" customFormat="false" ht="15" hidden="false" customHeight="false" outlineLevel="0" collapsed="false">
      <c r="E252" s="41" t="str">
        <f aca="false">IF(D252="","",IFERROR(VLOOKUP(D252,Assumptions!$G$5:$H$16,2,0),"Other"))</f>
        <v/>
      </c>
      <c r="J252" s="41" t="str">
        <f aca="false">IF(G252="","",IFERROR(IF(ISNUMBER(SEARCH(Assumptions!$C$5,G252)),Assumptions!$D$5,IF(ISNUMBER(SEARCH(Assumptions!$C$6,G252)),Assumptions!$D$6,IF(ISNUMBER(SEARCH(Assumptions!$C$7,G252)),Assumptions!$D$7,"Other Services"))),"Other Services"))</f>
        <v/>
      </c>
    </row>
    <row r="253" customFormat="false" ht="15" hidden="false" customHeight="false" outlineLevel="0" collapsed="false">
      <c r="E253" s="41" t="str">
        <f aca="false">IF(D253="","",IFERROR(VLOOKUP(D253,Assumptions!$G$5:$H$16,2,0),"Other"))</f>
        <v/>
      </c>
      <c r="J253" s="41" t="str">
        <f aca="false">IF(G253="","",IFERROR(IF(ISNUMBER(SEARCH(Assumptions!$C$5,G253)),Assumptions!$D$5,IF(ISNUMBER(SEARCH(Assumptions!$C$6,G253)),Assumptions!$D$6,IF(ISNUMBER(SEARCH(Assumptions!$C$7,G253)),Assumptions!$D$7,"Other Services"))),"Other Services"))</f>
        <v/>
      </c>
    </row>
    <row r="254" customFormat="false" ht="15" hidden="false" customHeight="false" outlineLevel="0" collapsed="false">
      <c r="E254" s="41" t="str">
        <f aca="false">IF(D254="","",IFERROR(VLOOKUP(D254,Assumptions!$G$5:$H$16,2,0),"Other"))</f>
        <v/>
      </c>
      <c r="J254" s="41" t="str">
        <f aca="false">IF(G254="","",IFERROR(IF(ISNUMBER(SEARCH(Assumptions!$C$5,G254)),Assumptions!$D$5,IF(ISNUMBER(SEARCH(Assumptions!$C$6,G254)),Assumptions!$D$6,IF(ISNUMBER(SEARCH(Assumptions!$C$7,G254)),Assumptions!$D$7,"Other Services"))),"Other Services"))</f>
        <v/>
      </c>
    </row>
    <row r="255" customFormat="false" ht="15" hidden="false" customHeight="false" outlineLevel="0" collapsed="false">
      <c r="E255" s="41" t="str">
        <f aca="false">IF(D255="","",IFERROR(VLOOKUP(D255,Assumptions!$G$5:$H$16,2,0),"Other"))</f>
        <v/>
      </c>
      <c r="J255" s="41" t="str">
        <f aca="false">IF(G255="","",IFERROR(IF(ISNUMBER(SEARCH(Assumptions!$C$5,G255)),Assumptions!$D$5,IF(ISNUMBER(SEARCH(Assumptions!$C$6,G255)),Assumptions!$D$6,IF(ISNUMBER(SEARCH(Assumptions!$C$7,G255)),Assumptions!$D$7,"Other Services"))),"Other Services"))</f>
        <v/>
      </c>
    </row>
    <row r="256" customFormat="false" ht="15" hidden="false" customHeight="false" outlineLevel="0" collapsed="false">
      <c r="E256" s="41" t="str">
        <f aca="false">IF(D256="","",IFERROR(VLOOKUP(D256,Assumptions!$G$5:$H$16,2,0),"Other"))</f>
        <v/>
      </c>
      <c r="J256" s="41" t="str">
        <f aca="false">IF(G256="","",IFERROR(IF(ISNUMBER(SEARCH(Assumptions!$C$5,G256)),Assumptions!$D$5,IF(ISNUMBER(SEARCH(Assumptions!$C$6,G256)),Assumptions!$D$6,IF(ISNUMBER(SEARCH(Assumptions!$C$7,G256)),Assumptions!$D$7,"Other Services"))),"Other Services"))</f>
        <v/>
      </c>
    </row>
    <row r="257" customFormat="false" ht="15" hidden="false" customHeight="false" outlineLevel="0" collapsed="false">
      <c r="E257" s="41" t="str">
        <f aca="false">IF(D257="","",IFERROR(VLOOKUP(D257,Assumptions!$G$5:$H$16,2,0),"Other"))</f>
        <v/>
      </c>
      <c r="J257" s="41" t="str">
        <f aca="false">IF(G257="","",IFERROR(IF(ISNUMBER(SEARCH(Assumptions!$C$5,G257)),Assumptions!$D$5,IF(ISNUMBER(SEARCH(Assumptions!$C$6,G257)),Assumptions!$D$6,IF(ISNUMBER(SEARCH(Assumptions!$C$7,G257)),Assumptions!$D$7,"Other Services"))),"Other Services"))</f>
        <v/>
      </c>
    </row>
    <row r="258" customFormat="false" ht="15" hidden="false" customHeight="false" outlineLevel="0" collapsed="false">
      <c r="E258" s="41" t="str">
        <f aca="false">IF(D258="","",IFERROR(VLOOKUP(D258,Assumptions!$G$5:$H$16,2,0),"Other"))</f>
        <v/>
      </c>
      <c r="J258" s="41" t="str">
        <f aca="false">IF(G258="","",IFERROR(IF(ISNUMBER(SEARCH(Assumptions!$C$5,G258)),Assumptions!$D$5,IF(ISNUMBER(SEARCH(Assumptions!$C$6,G258)),Assumptions!$D$6,IF(ISNUMBER(SEARCH(Assumptions!$C$7,G258)),Assumptions!$D$7,"Other Services"))),"Other Services"))</f>
        <v/>
      </c>
    </row>
    <row r="259" customFormat="false" ht="15" hidden="false" customHeight="false" outlineLevel="0" collapsed="false">
      <c r="E259" s="41" t="str">
        <f aca="false">IF(D259="","",IFERROR(VLOOKUP(D259,Assumptions!$G$5:$H$16,2,0),"Other"))</f>
        <v/>
      </c>
      <c r="J259" s="41" t="str">
        <f aca="false">IF(G259="","",IFERROR(IF(ISNUMBER(SEARCH(Assumptions!$C$5,G259)),Assumptions!$D$5,IF(ISNUMBER(SEARCH(Assumptions!$C$6,G259)),Assumptions!$D$6,IF(ISNUMBER(SEARCH(Assumptions!$C$7,G259)),Assumptions!$D$7,"Other Services"))),"Other Services"))</f>
        <v/>
      </c>
    </row>
    <row r="260" customFormat="false" ht="15" hidden="false" customHeight="false" outlineLevel="0" collapsed="false">
      <c r="E260" s="41" t="str">
        <f aca="false">IF(D260="","",IFERROR(VLOOKUP(D260,Assumptions!$G$5:$H$16,2,0),"Other"))</f>
        <v/>
      </c>
      <c r="J260" s="41" t="str">
        <f aca="false">IF(G260="","",IFERROR(IF(ISNUMBER(SEARCH(Assumptions!$C$5,G260)),Assumptions!$D$5,IF(ISNUMBER(SEARCH(Assumptions!$C$6,G260)),Assumptions!$D$6,IF(ISNUMBER(SEARCH(Assumptions!$C$7,G260)),Assumptions!$D$7,"Other Services"))),"Other Services"))</f>
        <v/>
      </c>
    </row>
    <row r="261" customFormat="false" ht="15" hidden="false" customHeight="false" outlineLevel="0" collapsed="false">
      <c r="E261" s="41" t="str">
        <f aca="false">IF(D261="","",IFERROR(VLOOKUP(D261,Assumptions!$G$5:$H$16,2,0),"Other"))</f>
        <v/>
      </c>
      <c r="J261" s="41" t="str">
        <f aca="false">IF(G261="","",IFERROR(IF(ISNUMBER(SEARCH(Assumptions!$C$5,G261)),Assumptions!$D$5,IF(ISNUMBER(SEARCH(Assumptions!$C$6,G261)),Assumptions!$D$6,IF(ISNUMBER(SEARCH(Assumptions!$C$7,G261)),Assumptions!$D$7,"Other Services"))),"Other Services"))</f>
        <v/>
      </c>
    </row>
    <row r="262" customFormat="false" ht="15" hidden="false" customHeight="false" outlineLevel="0" collapsed="false">
      <c r="E262" s="41" t="str">
        <f aca="false">IF(D262="","",IFERROR(VLOOKUP(D262,Assumptions!$G$5:$H$16,2,0),"Other"))</f>
        <v/>
      </c>
      <c r="J262" s="41" t="str">
        <f aca="false">IF(G262="","",IFERROR(IF(ISNUMBER(SEARCH(Assumptions!$C$5,G262)),Assumptions!$D$5,IF(ISNUMBER(SEARCH(Assumptions!$C$6,G262)),Assumptions!$D$6,IF(ISNUMBER(SEARCH(Assumptions!$C$7,G262)),Assumptions!$D$7,"Other Services"))),"Other Services"))</f>
        <v/>
      </c>
    </row>
    <row r="263" customFormat="false" ht="15" hidden="false" customHeight="false" outlineLevel="0" collapsed="false">
      <c r="E263" s="41" t="str">
        <f aca="false">IF(D263="","",IFERROR(VLOOKUP(D263,Assumptions!$G$5:$H$16,2,0),"Other"))</f>
        <v/>
      </c>
      <c r="J263" s="41" t="str">
        <f aca="false">IF(G263="","",IFERROR(IF(ISNUMBER(SEARCH(Assumptions!$C$5,G263)),Assumptions!$D$5,IF(ISNUMBER(SEARCH(Assumptions!$C$6,G263)),Assumptions!$D$6,IF(ISNUMBER(SEARCH(Assumptions!$C$7,G263)),Assumptions!$D$7,"Other Services"))),"Other Services"))</f>
        <v/>
      </c>
    </row>
    <row r="264" customFormat="false" ht="15" hidden="false" customHeight="false" outlineLevel="0" collapsed="false">
      <c r="E264" s="41" t="str">
        <f aca="false">IF(D264="","",IFERROR(VLOOKUP(D264,Assumptions!$G$5:$H$16,2,0),"Other"))</f>
        <v/>
      </c>
      <c r="J264" s="41" t="str">
        <f aca="false">IF(G264="","",IFERROR(IF(ISNUMBER(SEARCH(Assumptions!$C$5,G264)),Assumptions!$D$5,IF(ISNUMBER(SEARCH(Assumptions!$C$6,G264)),Assumptions!$D$6,IF(ISNUMBER(SEARCH(Assumptions!$C$7,G264)),Assumptions!$D$7,"Other Services"))),"Other Services"))</f>
        <v/>
      </c>
    </row>
    <row r="265" customFormat="false" ht="15" hidden="false" customHeight="false" outlineLevel="0" collapsed="false">
      <c r="E265" s="41" t="str">
        <f aca="false">IF(D265="","",IFERROR(VLOOKUP(D265,Assumptions!$G$5:$H$16,2,0),"Other"))</f>
        <v/>
      </c>
      <c r="J265" s="41" t="str">
        <f aca="false">IF(G265="","",IFERROR(IF(ISNUMBER(SEARCH(Assumptions!$C$5,G265)),Assumptions!$D$5,IF(ISNUMBER(SEARCH(Assumptions!$C$6,G265)),Assumptions!$D$6,IF(ISNUMBER(SEARCH(Assumptions!$C$7,G265)),Assumptions!$D$7,"Other Services"))),"Other Services"))</f>
        <v/>
      </c>
    </row>
    <row r="266" customFormat="false" ht="15" hidden="false" customHeight="false" outlineLevel="0" collapsed="false">
      <c r="E266" s="41" t="str">
        <f aca="false">IF(D266="","",IFERROR(VLOOKUP(D266,Assumptions!$G$5:$H$16,2,0),"Other"))</f>
        <v/>
      </c>
      <c r="J266" s="41" t="str">
        <f aca="false">IF(G266="","",IFERROR(IF(ISNUMBER(SEARCH(Assumptions!$C$5,G266)),Assumptions!$D$5,IF(ISNUMBER(SEARCH(Assumptions!$C$6,G266)),Assumptions!$D$6,IF(ISNUMBER(SEARCH(Assumptions!$C$7,G266)),Assumptions!$D$7,"Other Services"))),"Other Services"))</f>
        <v/>
      </c>
    </row>
    <row r="267" customFormat="false" ht="15" hidden="false" customHeight="false" outlineLevel="0" collapsed="false">
      <c r="E267" s="41" t="str">
        <f aca="false">IF(D267="","",IFERROR(VLOOKUP(D267,Assumptions!$G$5:$H$16,2,0),"Other"))</f>
        <v/>
      </c>
      <c r="J267" s="41" t="str">
        <f aca="false">IF(G267="","",IFERROR(IF(ISNUMBER(SEARCH(Assumptions!$C$5,G267)),Assumptions!$D$5,IF(ISNUMBER(SEARCH(Assumptions!$C$6,G267)),Assumptions!$D$6,IF(ISNUMBER(SEARCH(Assumptions!$C$7,G267)),Assumptions!$D$7,"Other Services"))),"Other Services"))</f>
        <v/>
      </c>
    </row>
    <row r="268" customFormat="false" ht="15" hidden="false" customHeight="false" outlineLevel="0" collapsed="false">
      <c r="E268" s="41" t="str">
        <f aca="false">IF(D268="","",IFERROR(VLOOKUP(D268,Assumptions!$G$5:$H$16,2,0),"Other"))</f>
        <v/>
      </c>
      <c r="J268" s="41" t="str">
        <f aca="false">IF(G268="","",IFERROR(IF(ISNUMBER(SEARCH(Assumptions!$C$5,G268)),Assumptions!$D$5,IF(ISNUMBER(SEARCH(Assumptions!$C$6,G268)),Assumptions!$D$6,IF(ISNUMBER(SEARCH(Assumptions!$C$7,G268)),Assumptions!$D$7,"Other Services"))),"Other Services"))</f>
        <v/>
      </c>
    </row>
    <row r="269" customFormat="false" ht="15" hidden="false" customHeight="false" outlineLevel="0" collapsed="false">
      <c r="E269" s="41" t="str">
        <f aca="false">IF(D269="","",IFERROR(VLOOKUP(D269,Assumptions!$G$5:$H$16,2,0),"Other"))</f>
        <v/>
      </c>
      <c r="J269" s="41" t="str">
        <f aca="false">IF(G269="","",IFERROR(IF(ISNUMBER(SEARCH(Assumptions!$C$5,G269)),Assumptions!$D$5,IF(ISNUMBER(SEARCH(Assumptions!$C$6,G269)),Assumptions!$D$6,IF(ISNUMBER(SEARCH(Assumptions!$C$7,G269)),Assumptions!$D$7,"Other Services"))),"Other Services"))</f>
        <v/>
      </c>
    </row>
    <row r="270" customFormat="false" ht="15" hidden="false" customHeight="false" outlineLevel="0" collapsed="false">
      <c r="E270" s="41" t="str">
        <f aca="false">IF(D270="","",IFERROR(VLOOKUP(D270,Assumptions!$G$5:$H$16,2,0),"Other"))</f>
        <v/>
      </c>
      <c r="J270" s="41" t="str">
        <f aca="false">IF(G270="","",IFERROR(IF(ISNUMBER(SEARCH(Assumptions!$C$5,G270)),Assumptions!$D$5,IF(ISNUMBER(SEARCH(Assumptions!$C$6,G270)),Assumptions!$D$6,IF(ISNUMBER(SEARCH(Assumptions!$C$7,G270)),Assumptions!$D$7,"Other Services"))),"Other Services"))</f>
        <v/>
      </c>
    </row>
    <row r="271" customFormat="false" ht="15" hidden="false" customHeight="false" outlineLevel="0" collapsed="false">
      <c r="E271" s="41" t="str">
        <f aca="false">IF(D271="","",IFERROR(VLOOKUP(D271,Assumptions!$G$5:$H$16,2,0),"Other"))</f>
        <v/>
      </c>
      <c r="J271" s="41" t="str">
        <f aca="false">IF(G271="","",IFERROR(IF(ISNUMBER(SEARCH(Assumptions!$C$5,G271)),Assumptions!$D$5,IF(ISNUMBER(SEARCH(Assumptions!$C$6,G271)),Assumptions!$D$6,IF(ISNUMBER(SEARCH(Assumptions!$C$7,G271)),Assumptions!$D$7,"Other Services"))),"Other Services"))</f>
        <v/>
      </c>
    </row>
    <row r="272" customFormat="false" ht="15" hidden="false" customHeight="false" outlineLevel="0" collapsed="false">
      <c r="E272" s="41" t="str">
        <f aca="false">IF(D272="","",IFERROR(VLOOKUP(D272,Assumptions!$G$5:$H$16,2,0),"Other"))</f>
        <v/>
      </c>
      <c r="J272" s="41" t="str">
        <f aca="false">IF(G272="","",IFERROR(IF(ISNUMBER(SEARCH(Assumptions!$C$5,G272)),Assumptions!$D$5,IF(ISNUMBER(SEARCH(Assumptions!$C$6,G272)),Assumptions!$D$6,IF(ISNUMBER(SEARCH(Assumptions!$C$7,G272)),Assumptions!$D$7,"Other Services"))),"Other Services"))</f>
        <v/>
      </c>
    </row>
    <row r="273" customFormat="false" ht="15" hidden="false" customHeight="false" outlineLevel="0" collapsed="false">
      <c r="E273" s="41" t="str">
        <f aca="false">IF(D273="","",IFERROR(VLOOKUP(D273,Assumptions!$G$5:$H$16,2,0),"Other"))</f>
        <v/>
      </c>
      <c r="J273" s="41" t="str">
        <f aca="false">IF(G273="","",IFERROR(IF(ISNUMBER(SEARCH(Assumptions!$C$5,G273)),Assumptions!$D$5,IF(ISNUMBER(SEARCH(Assumptions!$C$6,G273)),Assumptions!$D$6,IF(ISNUMBER(SEARCH(Assumptions!$C$7,G273)),Assumptions!$D$7,"Other Services"))),"Other Services"))</f>
        <v/>
      </c>
    </row>
    <row r="274" customFormat="false" ht="15" hidden="false" customHeight="false" outlineLevel="0" collapsed="false">
      <c r="E274" s="41" t="str">
        <f aca="false">IF(D274="","",IFERROR(VLOOKUP(D274,Assumptions!$G$5:$H$16,2,0),"Other"))</f>
        <v/>
      </c>
      <c r="J274" s="41" t="str">
        <f aca="false">IF(G274="","",IFERROR(IF(ISNUMBER(SEARCH(Assumptions!$C$5,G274)),Assumptions!$D$5,IF(ISNUMBER(SEARCH(Assumptions!$C$6,G274)),Assumptions!$D$6,IF(ISNUMBER(SEARCH(Assumptions!$C$7,G274)),Assumptions!$D$7,"Other Services"))),"Other Services"))</f>
        <v/>
      </c>
    </row>
    <row r="275" customFormat="false" ht="15" hidden="false" customHeight="false" outlineLevel="0" collapsed="false">
      <c r="E275" s="41" t="str">
        <f aca="false">IF(D275="","",IFERROR(VLOOKUP(D275,Assumptions!$G$5:$H$16,2,0),"Other"))</f>
        <v/>
      </c>
      <c r="J275" s="41" t="str">
        <f aca="false">IF(G275="","",IFERROR(IF(ISNUMBER(SEARCH(Assumptions!$C$5,G275)),Assumptions!$D$5,IF(ISNUMBER(SEARCH(Assumptions!$C$6,G275)),Assumptions!$D$6,IF(ISNUMBER(SEARCH(Assumptions!$C$7,G275)),Assumptions!$D$7,"Other Services"))),"Other Services"))</f>
        <v/>
      </c>
    </row>
    <row r="276" customFormat="false" ht="15" hidden="false" customHeight="false" outlineLevel="0" collapsed="false">
      <c r="E276" s="41" t="str">
        <f aca="false">IF(D276="","",IFERROR(VLOOKUP(D276,Assumptions!$G$5:$H$16,2,0),"Other"))</f>
        <v/>
      </c>
      <c r="J276" s="41" t="str">
        <f aca="false">IF(G276="","",IFERROR(IF(ISNUMBER(SEARCH(Assumptions!$C$5,G276)),Assumptions!$D$5,IF(ISNUMBER(SEARCH(Assumptions!$C$6,G276)),Assumptions!$D$6,IF(ISNUMBER(SEARCH(Assumptions!$C$7,G276)),Assumptions!$D$7,"Other Services"))),"Other Services"))</f>
        <v/>
      </c>
    </row>
    <row r="277" customFormat="false" ht="15" hidden="false" customHeight="false" outlineLevel="0" collapsed="false">
      <c r="E277" s="41" t="str">
        <f aca="false">IF(D277="","",IFERROR(VLOOKUP(D277,Assumptions!$G$5:$H$16,2,0),"Other"))</f>
        <v/>
      </c>
      <c r="J277" s="41" t="str">
        <f aca="false">IF(G277="","",IFERROR(IF(ISNUMBER(SEARCH(Assumptions!$C$5,G277)),Assumptions!$D$5,IF(ISNUMBER(SEARCH(Assumptions!$C$6,G277)),Assumptions!$D$6,IF(ISNUMBER(SEARCH(Assumptions!$C$7,G277)),Assumptions!$D$7,"Other Services"))),"Other Services"))</f>
        <v/>
      </c>
    </row>
    <row r="278" customFormat="false" ht="15" hidden="false" customHeight="false" outlineLevel="0" collapsed="false">
      <c r="E278" s="41" t="str">
        <f aca="false">IF(D278="","",IFERROR(VLOOKUP(D278,Assumptions!$G$5:$H$16,2,0),"Other"))</f>
        <v/>
      </c>
      <c r="J278" s="41" t="str">
        <f aca="false">IF(G278="","",IFERROR(IF(ISNUMBER(SEARCH(Assumptions!$C$5,G278)),Assumptions!$D$5,IF(ISNUMBER(SEARCH(Assumptions!$C$6,G278)),Assumptions!$D$6,IF(ISNUMBER(SEARCH(Assumptions!$C$7,G278)),Assumptions!$D$7,"Other Services"))),"Other Services"))</f>
        <v/>
      </c>
    </row>
    <row r="279" customFormat="false" ht="15" hidden="false" customHeight="false" outlineLevel="0" collapsed="false">
      <c r="E279" s="41" t="str">
        <f aca="false">IF(D279="","",IFERROR(VLOOKUP(D279,Assumptions!$G$5:$H$16,2,0),"Other"))</f>
        <v/>
      </c>
      <c r="J279" s="41" t="str">
        <f aca="false">IF(G279="","",IFERROR(IF(ISNUMBER(SEARCH(Assumptions!$C$5,G279)),Assumptions!$D$5,IF(ISNUMBER(SEARCH(Assumptions!$C$6,G279)),Assumptions!$D$6,IF(ISNUMBER(SEARCH(Assumptions!$C$7,G279)),Assumptions!$D$7,"Other Services"))),"Other Services"))</f>
        <v/>
      </c>
    </row>
    <row r="280" customFormat="false" ht="15" hidden="false" customHeight="false" outlineLevel="0" collapsed="false">
      <c r="E280" s="41" t="str">
        <f aca="false">IF(D280="","",IFERROR(VLOOKUP(D280,Assumptions!$G$5:$H$16,2,0),"Other"))</f>
        <v/>
      </c>
      <c r="J280" s="41" t="str">
        <f aca="false">IF(G280="","",IFERROR(IF(ISNUMBER(SEARCH(Assumptions!$C$5,G280)),Assumptions!$D$5,IF(ISNUMBER(SEARCH(Assumptions!$C$6,G280)),Assumptions!$D$6,IF(ISNUMBER(SEARCH(Assumptions!$C$7,G280)),Assumptions!$D$7,"Other Services"))),"Other Services"))</f>
        <v/>
      </c>
    </row>
    <row r="281" customFormat="false" ht="15" hidden="false" customHeight="false" outlineLevel="0" collapsed="false">
      <c r="E281" s="41" t="str">
        <f aca="false">IF(D281="","",IFERROR(VLOOKUP(D281,Assumptions!$G$5:$H$16,2,0),"Other"))</f>
        <v/>
      </c>
      <c r="J281" s="41" t="str">
        <f aca="false">IF(G281="","",IFERROR(IF(ISNUMBER(SEARCH(Assumptions!$C$5,G281)),Assumptions!$D$5,IF(ISNUMBER(SEARCH(Assumptions!$C$6,G281)),Assumptions!$D$6,IF(ISNUMBER(SEARCH(Assumptions!$C$7,G281)),Assumptions!$D$7,"Other Services"))),"Other Services"))</f>
        <v/>
      </c>
    </row>
    <row r="282" customFormat="false" ht="15" hidden="false" customHeight="false" outlineLevel="0" collapsed="false">
      <c r="E282" s="41" t="str">
        <f aca="false">IF(D282="","",IFERROR(VLOOKUP(D282,Assumptions!$G$5:$H$16,2,0),"Other"))</f>
        <v/>
      </c>
      <c r="J282" s="41" t="str">
        <f aca="false">IF(G282="","",IFERROR(IF(ISNUMBER(SEARCH(Assumptions!$C$5,G282)),Assumptions!$D$5,IF(ISNUMBER(SEARCH(Assumptions!$C$6,G282)),Assumptions!$D$6,IF(ISNUMBER(SEARCH(Assumptions!$C$7,G282)),Assumptions!$D$7,"Other Services"))),"Other Services"))</f>
        <v/>
      </c>
    </row>
    <row r="283" customFormat="false" ht="15" hidden="false" customHeight="false" outlineLevel="0" collapsed="false">
      <c r="E283" s="41" t="str">
        <f aca="false">IF(D283="","",IFERROR(VLOOKUP(D283,Assumptions!$G$5:$H$16,2,0),"Other"))</f>
        <v/>
      </c>
      <c r="J283" s="41" t="str">
        <f aca="false">IF(G283="","",IFERROR(IF(ISNUMBER(SEARCH(Assumptions!$C$5,G283)),Assumptions!$D$5,IF(ISNUMBER(SEARCH(Assumptions!$C$6,G283)),Assumptions!$D$6,IF(ISNUMBER(SEARCH(Assumptions!$C$7,G283)),Assumptions!$D$7,"Other Services"))),"Other Services"))</f>
        <v/>
      </c>
    </row>
    <row r="284" customFormat="false" ht="15" hidden="false" customHeight="false" outlineLevel="0" collapsed="false">
      <c r="E284" s="41" t="str">
        <f aca="false">IF(D284="","",IFERROR(VLOOKUP(D284,Assumptions!$G$5:$H$16,2,0),"Other"))</f>
        <v/>
      </c>
      <c r="J284" s="41" t="str">
        <f aca="false">IF(G284="","",IFERROR(IF(ISNUMBER(SEARCH(Assumptions!$C$5,G284)),Assumptions!$D$5,IF(ISNUMBER(SEARCH(Assumptions!$C$6,G284)),Assumptions!$D$6,IF(ISNUMBER(SEARCH(Assumptions!$C$7,G284)),Assumptions!$D$7,"Other Services"))),"Other Services"))</f>
        <v/>
      </c>
    </row>
    <row r="285" customFormat="false" ht="15" hidden="false" customHeight="false" outlineLevel="0" collapsed="false">
      <c r="E285" s="41" t="str">
        <f aca="false">IF(D285="","",IFERROR(VLOOKUP(D285,Assumptions!$G$5:$H$16,2,0),"Other"))</f>
        <v/>
      </c>
      <c r="J285" s="41" t="str">
        <f aca="false">IF(G285="","",IFERROR(IF(ISNUMBER(SEARCH(Assumptions!$C$5,G285)),Assumptions!$D$5,IF(ISNUMBER(SEARCH(Assumptions!$C$6,G285)),Assumptions!$D$6,IF(ISNUMBER(SEARCH(Assumptions!$C$7,G285)),Assumptions!$D$7,"Other Services"))),"Other Services"))</f>
        <v/>
      </c>
    </row>
    <row r="286" customFormat="false" ht="15" hidden="false" customHeight="false" outlineLevel="0" collapsed="false">
      <c r="E286" s="41" t="str">
        <f aca="false">IF(D286="","",IFERROR(VLOOKUP(D286,Assumptions!$G$5:$H$16,2,0),"Other"))</f>
        <v/>
      </c>
      <c r="J286" s="41" t="str">
        <f aca="false">IF(G286="","",IFERROR(IF(ISNUMBER(SEARCH(Assumptions!$C$5,G286)),Assumptions!$D$5,IF(ISNUMBER(SEARCH(Assumptions!$C$6,G286)),Assumptions!$D$6,IF(ISNUMBER(SEARCH(Assumptions!$C$7,G286)),Assumptions!$D$7,"Other Services"))),"Other Services"))</f>
        <v/>
      </c>
    </row>
    <row r="287" customFormat="false" ht="15" hidden="false" customHeight="false" outlineLevel="0" collapsed="false">
      <c r="E287" s="41" t="str">
        <f aca="false">IF(D287="","",IFERROR(VLOOKUP(D287,Assumptions!$G$5:$H$16,2,0),"Other"))</f>
        <v/>
      </c>
      <c r="J287" s="41" t="str">
        <f aca="false">IF(G287="","",IFERROR(IF(ISNUMBER(SEARCH(Assumptions!$C$5,G287)),Assumptions!$D$5,IF(ISNUMBER(SEARCH(Assumptions!$C$6,G287)),Assumptions!$D$6,IF(ISNUMBER(SEARCH(Assumptions!$C$7,G287)),Assumptions!$D$7,"Other Services"))),"Other Services"))</f>
        <v/>
      </c>
    </row>
    <row r="288" customFormat="false" ht="15" hidden="false" customHeight="false" outlineLevel="0" collapsed="false">
      <c r="E288" s="41" t="str">
        <f aca="false">IF(D288="","",IFERROR(VLOOKUP(D288,Assumptions!$G$5:$H$16,2,0),"Other"))</f>
        <v/>
      </c>
      <c r="J288" s="41" t="str">
        <f aca="false">IF(G288="","",IFERROR(IF(ISNUMBER(SEARCH(Assumptions!$C$5,G288)),Assumptions!$D$5,IF(ISNUMBER(SEARCH(Assumptions!$C$6,G288)),Assumptions!$D$6,IF(ISNUMBER(SEARCH(Assumptions!$C$7,G288)),Assumptions!$D$7,"Other Services"))),"Other Services"))</f>
        <v/>
      </c>
    </row>
    <row r="289" customFormat="false" ht="15" hidden="false" customHeight="false" outlineLevel="0" collapsed="false">
      <c r="E289" s="41" t="str">
        <f aca="false">IF(D289="","",IFERROR(VLOOKUP(D289,Assumptions!$G$5:$H$16,2,0),"Other"))</f>
        <v/>
      </c>
      <c r="J289" s="41" t="str">
        <f aca="false">IF(G289="","",IFERROR(IF(ISNUMBER(SEARCH(Assumptions!$C$5,G289)),Assumptions!$D$5,IF(ISNUMBER(SEARCH(Assumptions!$C$6,G289)),Assumptions!$D$6,IF(ISNUMBER(SEARCH(Assumptions!$C$7,G289)),Assumptions!$D$7,"Other Services"))),"Other Services"))</f>
        <v/>
      </c>
    </row>
    <row r="290" customFormat="false" ht="15" hidden="false" customHeight="false" outlineLevel="0" collapsed="false">
      <c r="E290" s="41" t="str">
        <f aca="false">IF(D290="","",IFERROR(VLOOKUP(D290,Assumptions!$G$5:$H$16,2,0),"Other"))</f>
        <v/>
      </c>
      <c r="J290" s="41" t="str">
        <f aca="false">IF(G290="","",IFERROR(IF(ISNUMBER(SEARCH(Assumptions!$C$5,G290)),Assumptions!$D$5,IF(ISNUMBER(SEARCH(Assumptions!$C$6,G290)),Assumptions!$D$6,IF(ISNUMBER(SEARCH(Assumptions!$C$7,G290)),Assumptions!$D$7,"Other Services"))),"Other Services"))</f>
        <v/>
      </c>
    </row>
    <row r="291" customFormat="false" ht="15" hidden="false" customHeight="false" outlineLevel="0" collapsed="false">
      <c r="E291" s="41" t="str">
        <f aca="false">IF(D291="","",IFERROR(VLOOKUP(D291,Assumptions!$G$5:$H$16,2,0),"Other"))</f>
        <v/>
      </c>
      <c r="J291" s="41" t="str">
        <f aca="false">IF(G291="","",IFERROR(IF(ISNUMBER(SEARCH(Assumptions!$C$5,G291)),Assumptions!$D$5,IF(ISNUMBER(SEARCH(Assumptions!$C$6,G291)),Assumptions!$D$6,IF(ISNUMBER(SEARCH(Assumptions!$C$7,G291)),Assumptions!$D$7,"Other Services"))),"Other Services"))</f>
        <v/>
      </c>
    </row>
    <row r="292" customFormat="false" ht="15" hidden="false" customHeight="false" outlineLevel="0" collapsed="false">
      <c r="E292" s="41" t="str">
        <f aca="false">IF(D292="","",IFERROR(VLOOKUP(D292,Assumptions!$G$5:$H$16,2,0),"Other"))</f>
        <v/>
      </c>
      <c r="J292" s="41" t="str">
        <f aca="false">IF(G292="","",IFERROR(IF(ISNUMBER(SEARCH(Assumptions!$C$5,G292)),Assumptions!$D$5,IF(ISNUMBER(SEARCH(Assumptions!$C$6,G292)),Assumptions!$D$6,IF(ISNUMBER(SEARCH(Assumptions!$C$7,G292)),Assumptions!$D$7,"Other Services"))),"Other Services"))</f>
        <v/>
      </c>
    </row>
    <row r="293" customFormat="false" ht="15" hidden="false" customHeight="false" outlineLevel="0" collapsed="false">
      <c r="E293" s="41" t="str">
        <f aca="false">IF(D293="","",IFERROR(VLOOKUP(D293,Assumptions!$G$5:$H$16,2,0),"Other"))</f>
        <v/>
      </c>
      <c r="J293" s="41" t="str">
        <f aca="false">IF(G293="","",IFERROR(IF(ISNUMBER(SEARCH(Assumptions!$C$5,G293)),Assumptions!$D$5,IF(ISNUMBER(SEARCH(Assumptions!$C$6,G293)),Assumptions!$D$6,IF(ISNUMBER(SEARCH(Assumptions!$C$7,G293)),Assumptions!$D$7,"Other Services"))),"Other Services"))</f>
        <v/>
      </c>
    </row>
    <row r="294" customFormat="false" ht="15" hidden="false" customHeight="false" outlineLevel="0" collapsed="false">
      <c r="E294" s="41" t="str">
        <f aca="false">IF(D294="","",IFERROR(VLOOKUP(D294,Assumptions!$G$5:$H$16,2,0),"Other"))</f>
        <v/>
      </c>
      <c r="J294" s="41" t="str">
        <f aca="false">IF(G294="","",IFERROR(IF(ISNUMBER(SEARCH(Assumptions!$C$5,G294)),Assumptions!$D$5,IF(ISNUMBER(SEARCH(Assumptions!$C$6,G294)),Assumptions!$D$6,IF(ISNUMBER(SEARCH(Assumptions!$C$7,G294)),Assumptions!$D$7,"Other Services"))),"Other Services"))</f>
        <v/>
      </c>
    </row>
    <row r="295" customFormat="false" ht="15" hidden="false" customHeight="false" outlineLevel="0" collapsed="false">
      <c r="E295" s="41" t="str">
        <f aca="false">IF(D295="","",IFERROR(VLOOKUP(D295,Assumptions!$G$5:$H$16,2,0),"Other"))</f>
        <v/>
      </c>
      <c r="J295" s="41" t="str">
        <f aca="false">IF(G295="","",IFERROR(IF(ISNUMBER(SEARCH(Assumptions!$C$5,G295)),Assumptions!$D$5,IF(ISNUMBER(SEARCH(Assumptions!$C$6,G295)),Assumptions!$D$6,IF(ISNUMBER(SEARCH(Assumptions!$C$7,G295)),Assumptions!$D$7,"Other Services"))),"Other Services"))</f>
        <v/>
      </c>
    </row>
    <row r="296" customFormat="false" ht="15" hidden="false" customHeight="false" outlineLevel="0" collapsed="false">
      <c r="E296" s="41" t="str">
        <f aca="false">IF(D296="","",IFERROR(VLOOKUP(D296,Assumptions!$G$5:$H$16,2,0),"Other"))</f>
        <v/>
      </c>
      <c r="J296" s="41" t="str">
        <f aca="false">IF(G296="","",IFERROR(IF(ISNUMBER(SEARCH(Assumptions!$C$5,G296)),Assumptions!$D$5,IF(ISNUMBER(SEARCH(Assumptions!$C$6,G296)),Assumptions!$D$6,IF(ISNUMBER(SEARCH(Assumptions!$C$7,G296)),Assumptions!$D$7,"Other Services"))),"Other Services"))</f>
        <v/>
      </c>
    </row>
    <row r="297" customFormat="false" ht="15" hidden="false" customHeight="false" outlineLevel="0" collapsed="false">
      <c r="E297" s="41" t="str">
        <f aca="false">IF(D297="","",IFERROR(VLOOKUP(D297,Assumptions!$G$5:$H$16,2,0),"Other"))</f>
        <v/>
      </c>
      <c r="J297" s="41" t="str">
        <f aca="false">IF(G297="","",IFERROR(IF(ISNUMBER(SEARCH(Assumptions!$C$5,G297)),Assumptions!$D$5,IF(ISNUMBER(SEARCH(Assumptions!$C$6,G297)),Assumptions!$D$6,IF(ISNUMBER(SEARCH(Assumptions!$C$7,G297)),Assumptions!$D$7,"Other Services"))),"Other Services"))</f>
        <v/>
      </c>
    </row>
    <row r="298" customFormat="false" ht="15" hidden="false" customHeight="false" outlineLevel="0" collapsed="false">
      <c r="E298" s="41" t="str">
        <f aca="false">IF(D298="","",IFERROR(VLOOKUP(D298,Assumptions!$G$5:$H$16,2,0),"Other"))</f>
        <v/>
      </c>
      <c r="J298" s="41" t="str">
        <f aca="false">IF(G298="","",IFERROR(IF(ISNUMBER(SEARCH(Assumptions!$C$5,G298)),Assumptions!$D$5,IF(ISNUMBER(SEARCH(Assumptions!$C$6,G298)),Assumptions!$D$6,IF(ISNUMBER(SEARCH(Assumptions!$C$7,G298)),Assumptions!$D$7,"Other Services"))),"Other Services"))</f>
        <v/>
      </c>
    </row>
    <row r="299" customFormat="false" ht="15" hidden="false" customHeight="false" outlineLevel="0" collapsed="false">
      <c r="E299" s="41" t="str">
        <f aca="false">IF(D299="","",IFERROR(VLOOKUP(D299,Assumptions!$G$5:$H$16,2,0),"Other"))</f>
        <v/>
      </c>
      <c r="J299" s="41" t="str">
        <f aca="false">IF(G299="","",IFERROR(IF(ISNUMBER(SEARCH(Assumptions!$C$5,G299)),Assumptions!$D$5,IF(ISNUMBER(SEARCH(Assumptions!$C$6,G299)),Assumptions!$D$6,IF(ISNUMBER(SEARCH(Assumptions!$C$7,G299)),Assumptions!$D$7,"Other Services"))),"Other Services"))</f>
        <v/>
      </c>
    </row>
    <row r="300" customFormat="false" ht="15" hidden="false" customHeight="false" outlineLevel="0" collapsed="false">
      <c r="E300" s="41" t="str">
        <f aca="false">IF(D300="","",IFERROR(VLOOKUP(D300,Assumptions!$G$5:$H$16,2,0),"Other"))</f>
        <v/>
      </c>
      <c r="J300" s="41" t="str">
        <f aca="false">IF(G300="","",IFERROR(IF(ISNUMBER(SEARCH(Assumptions!$C$5,G300)),Assumptions!$D$5,IF(ISNUMBER(SEARCH(Assumptions!$C$6,G300)),Assumptions!$D$6,IF(ISNUMBER(SEARCH(Assumptions!$C$7,G300)),Assumptions!$D$7,"Other Services"))),"Other Services"))</f>
        <v/>
      </c>
    </row>
    <row r="301" customFormat="false" ht="15" hidden="false" customHeight="false" outlineLevel="0" collapsed="false">
      <c r="E301" s="41" t="str">
        <f aca="false">IF(D301="","",IFERROR(VLOOKUP(D301,Assumptions!$G$5:$H$16,2,0),"Other"))</f>
        <v/>
      </c>
      <c r="J301" s="41" t="str">
        <f aca="false">IF(G301="","",IFERROR(IF(ISNUMBER(SEARCH(Assumptions!$C$5,G301)),Assumptions!$D$5,IF(ISNUMBER(SEARCH(Assumptions!$C$6,G301)),Assumptions!$D$6,IF(ISNUMBER(SEARCH(Assumptions!$C$7,G301)),Assumptions!$D$7,"Other Services"))),"Other Services"))</f>
        <v/>
      </c>
    </row>
    <row r="302" customFormat="false" ht="15" hidden="false" customHeight="false" outlineLevel="0" collapsed="false">
      <c r="E302" s="41" t="str">
        <f aca="false">IF(D302="","",IFERROR(VLOOKUP(D302,Assumptions!$G$5:$H$16,2,0),"Other"))</f>
        <v/>
      </c>
      <c r="J302" s="41" t="str">
        <f aca="false">IF(G302="","",IFERROR(IF(ISNUMBER(SEARCH(Assumptions!$C$5,G302)),Assumptions!$D$5,IF(ISNUMBER(SEARCH(Assumptions!$C$6,G302)),Assumptions!$D$6,IF(ISNUMBER(SEARCH(Assumptions!$C$7,G302)),Assumptions!$D$7,"Other Services"))),"Other Services"))</f>
        <v/>
      </c>
    </row>
    <row r="303" customFormat="false" ht="15" hidden="false" customHeight="false" outlineLevel="0" collapsed="false">
      <c r="E303" s="41" t="str">
        <f aca="false">IF(D303="","",IFERROR(VLOOKUP(D303,Assumptions!$G$5:$H$16,2,0),"Other"))</f>
        <v/>
      </c>
      <c r="J303" s="41" t="str">
        <f aca="false">IF(G303="","",IFERROR(IF(ISNUMBER(SEARCH(Assumptions!$C$5,G303)),Assumptions!$D$5,IF(ISNUMBER(SEARCH(Assumptions!$C$6,G303)),Assumptions!$D$6,IF(ISNUMBER(SEARCH(Assumptions!$C$7,G303)),Assumptions!$D$7,"Other Services"))),"Other Services"))</f>
        <v/>
      </c>
    </row>
    <row r="304" customFormat="false" ht="15" hidden="false" customHeight="false" outlineLevel="0" collapsed="false">
      <c r="E304" s="41" t="str">
        <f aca="false">IF(D304="","",IFERROR(VLOOKUP(D304,Assumptions!$G$5:$H$16,2,0),"Other"))</f>
        <v/>
      </c>
      <c r="J304" s="41" t="str">
        <f aca="false">IF(G304="","",IFERROR(IF(ISNUMBER(SEARCH(Assumptions!$C$5,G304)),Assumptions!$D$5,IF(ISNUMBER(SEARCH(Assumptions!$C$6,G304)),Assumptions!$D$6,IF(ISNUMBER(SEARCH(Assumptions!$C$7,G304)),Assumptions!$D$7,"Other Services"))),"Other Services"))</f>
        <v/>
      </c>
    </row>
    <row r="305" customFormat="false" ht="15" hidden="false" customHeight="false" outlineLevel="0" collapsed="false">
      <c r="E305" s="41" t="str">
        <f aca="false">IF(D305="","",IFERROR(VLOOKUP(D305,Assumptions!$G$5:$H$16,2,0),"Other"))</f>
        <v/>
      </c>
      <c r="J305" s="41" t="str">
        <f aca="false">IF(G305="","",IFERROR(IF(ISNUMBER(SEARCH(Assumptions!$C$5,G305)),Assumptions!$D$5,IF(ISNUMBER(SEARCH(Assumptions!$C$6,G305)),Assumptions!$D$6,IF(ISNUMBER(SEARCH(Assumptions!$C$7,G305)),Assumptions!$D$7,"Other Services"))),"Other Services"))</f>
        <v/>
      </c>
    </row>
    <row r="306" customFormat="false" ht="15" hidden="false" customHeight="false" outlineLevel="0" collapsed="false">
      <c r="E306" s="41" t="str">
        <f aca="false">IF(D306="","",IFERROR(VLOOKUP(D306,Assumptions!$G$5:$H$16,2,0),"Other"))</f>
        <v/>
      </c>
      <c r="J306" s="41" t="str">
        <f aca="false">IF(G306="","",IFERROR(IF(ISNUMBER(SEARCH(Assumptions!$C$5,G306)),Assumptions!$D$5,IF(ISNUMBER(SEARCH(Assumptions!$C$6,G306)),Assumptions!$D$6,IF(ISNUMBER(SEARCH(Assumptions!$C$7,G306)),Assumptions!$D$7,"Other Services"))),"Other Services"))</f>
        <v/>
      </c>
    </row>
    <row r="307" customFormat="false" ht="15" hidden="false" customHeight="false" outlineLevel="0" collapsed="false">
      <c r="E307" s="41" t="str">
        <f aca="false">IF(D307="","",IFERROR(VLOOKUP(D307,Assumptions!$G$5:$H$16,2,0),"Other"))</f>
        <v/>
      </c>
      <c r="J307" s="41" t="str">
        <f aca="false">IF(G307="","",IFERROR(IF(ISNUMBER(SEARCH(Assumptions!$C$5,G307)),Assumptions!$D$5,IF(ISNUMBER(SEARCH(Assumptions!$C$6,G307)),Assumptions!$D$6,IF(ISNUMBER(SEARCH(Assumptions!$C$7,G307)),Assumptions!$D$7,"Other Services"))),"Other Services"))</f>
        <v/>
      </c>
    </row>
    <row r="308" customFormat="false" ht="15" hidden="false" customHeight="false" outlineLevel="0" collapsed="false">
      <c r="E308" s="41" t="str">
        <f aca="false">IF(D308="","",IFERROR(VLOOKUP(D308,Assumptions!$G$5:$H$16,2,0),"Other"))</f>
        <v/>
      </c>
      <c r="J308" s="41" t="str">
        <f aca="false">IF(G308="","",IFERROR(IF(ISNUMBER(SEARCH(Assumptions!$C$5,G308)),Assumptions!$D$5,IF(ISNUMBER(SEARCH(Assumptions!$C$6,G308)),Assumptions!$D$6,IF(ISNUMBER(SEARCH(Assumptions!$C$7,G308)),Assumptions!$D$7,"Other Services"))),"Other Services"))</f>
        <v/>
      </c>
    </row>
    <row r="309" customFormat="false" ht="15" hidden="false" customHeight="false" outlineLevel="0" collapsed="false">
      <c r="E309" s="41" t="str">
        <f aca="false">IF(D309="","",IFERROR(VLOOKUP(D309,Assumptions!$G$5:$H$16,2,0),"Other"))</f>
        <v/>
      </c>
      <c r="J309" s="41" t="str">
        <f aca="false">IF(G309="","",IFERROR(IF(ISNUMBER(SEARCH(Assumptions!$C$5,G309)),Assumptions!$D$5,IF(ISNUMBER(SEARCH(Assumptions!$C$6,G309)),Assumptions!$D$6,IF(ISNUMBER(SEARCH(Assumptions!$C$7,G309)),Assumptions!$D$7,"Other Services"))),"Other Services"))</f>
        <v/>
      </c>
    </row>
    <row r="310" customFormat="false" ht="15" hidden="false" customHeight="false" outlineLevel="0" collapsed="false">
      <c r="E310" s="41" t="str">
        <f aca="false">IF(D310="","",IFERROR(VLOOKUP(D310,Assumptions!$G$5:$H$16,2,0),"Other"))</f>
        <v/>
      </c>
      <c r="J310" s="41" t="str">
        <f aca="false">IF(G310="","",IFERROR(IF(ISNUMBER(SEARCH(Assumptions!$C$5,G310)),Assumptions!$D$5,IF(ISNUMBER(SEARCH(Assumptions!$C$6,G310)),Assumptions!$D$6,IF(ISNUMBER(SEARCH(Assumptions!$C$7,G310)),Assumptions!$D$7,"Other Services"))),"Other Services"))</f>
        <v/>
      </c>
    </row>
    <row r="311" customFormat="false" ht="15" hidden="false" customHeight="false" outlineLevel="0" collapsed="false">
      <c r="E311" s="41" t="str">
        <f aca="false">IF(D311="","",IFERROR(VLOOKUP(D311,Assumptions!$G$5:$H$16,2,0),"Other"))</f>
        <v/>
      </c>
      <c r="J311" s="41" t="str">
        <f aca="false">IF(G311="","",IFERROR(IF(ISNUMBER(SEARCH(Assumptions!$C$5,G311)),Assumptions!$D$5,IF(ISNUMBER(SEARCH(Assumptions!$C$6,G311)),Assumptions!$D$6,IF(ISNUMBER(SEARCH(Assumptions!$C$7,G311)),Assumptions!$D$7,"Other Services"))),"Other Services"))</f>
        <v/>
      </c>
    </row>
    <row r="312" customFormat="false" ht="15" hidden="false" customHeight="false" outlineLevel="0" collapsed="false">
      <c r="E312" s="41" t="str">
        <f aca="false">IF(D312="","",IFERROR(VLOOKUP(D312,Assumptions!$G$5:$H$16,2,0),"Other"))</f>
        <v/>
      </c>
      <c r="J312" s="41" t="str">
        <f aca="false">IF(G312="","",IFERROR(IF(ISNUMBER(SEARCH(Assumptions!$C$5,G312)),Assumptions!$D$5,IF(ISNUMBER(SEARCH(Assumptions!$C$6,G312)),Assumptions!$D$6,IF(ISNUMBER(SEARCH(Assumptions!$C$7,G312)),Assumptions!$D$7,"Other Services"))),"Other Services"))</f>
        <v/>
      </c>
    </row>
    <row r="313" customFormat="false" ht="15" hidden="false" customHeight="false" outlineLevel="0" collapsed="false">
      <c r="E313" s="41" t="str">
        <f aca="false">IF(D313="","",IFERROR(VLOOKUP(D313,Assumptions!$G$5:$H$16,2,0),"Other"))</f>
        <v/>
      </c>
      <c r="J313" s="41" t="str">
        <f aca="false">IF(G313="","",IFERROR(IF(ISNUMBER(SEARCH(Assumptions!$C$5,G313)),Assumptions!$D$5,IF(ISNUMBER(SEARCH(Assumptions!$C$6,G313)),Assumptions!$D$6,IF(ISNUMBER(SEARCH(Assumptions!$C$7,G313)),Assumptions!$D$7,"Other Services"))),"Other Services"))</f>
        <v/>
      </c>
    </row>
    <row r="314" customFormat="false" ht="15" hidden="false" customHeight="false" outlineLevel="0" collapsed="false">
      <c r="E314" s="41" t="str">
        <f aca="false">IF(D314="","",IFERROR(VLOOKUP(D314,Assumptions!$G$5:$H$16,2,0),"Other"))</f>
        <v/>
      </c>
      <c r="J314" s="41" t="str">
        <f aca="false">IF(G314="","",IFERROR(IF(ISNUMBER(SEARCH(Assumptions!$C$5,G314)),Assumptions!$D$5,IF(ISNUMBER(SEARCH(Assumptions!$C$6,G314)),Assumptions!$D$6,IF(ISNUMBER(SEARCH(Assumptions!$C$7,G314)),Assumptions!$D$7,"Other Services"))),"Other Services"))</f>
        <v/>
      </c>
    </row>
    <row r="315" customFormat="false" ht="15" hidden="false" customHeight="false" outlineLevel="0" collapsed="false">
      <c r="E315" s="41" t="str">
        <f aca="false">IF(D315="","",IFERROR(VLOOKUP(D315,Assumptions!$G$5:$H$16,2,0),"Other"))</f>
        <v/>
      </c>
      <c r="J315" s="41" t="str">
        <f aca="false">IF(G315="","",IFERROR(IF(ISNUMBER(SEARCH(Assumptions!$C$5,G315)),Assumptions!$D$5,IF(ISNUMBER(SEARCH(Assumptions!$C$6,G315)),Assumptions!$D$6,IF(ISNUMBER(SEARCH(Assumptions!$C$7,G315)),Assumptions!$D$7,"Other Services"))),"Other Services"))</f>
        <v/>
      </c>
    </row>
    <row r="316" customFormat="false" ht="15" hidden="false" customHeight="false" outlineLevel="0" collapsed="false">
      <c r="E316" s="41" t="str">
        <f aca="false">IF(D316="","",IFERROR(VLOOKUP(D316,Assumptions!$G$5:$H$16,2,0),"Other"))</f>
        <v/>
      </c>
      <c r="J316" s="41" t="str">
        <f aca="false">IF(G316="","",IFERROR(IF(ISNUMBER(SEARCH(Assumptions!$C$5,G316)),Assumptions!$D$5,IF(ISNUMBER(SEARCH(Assumptions!$C$6,G316)),Assumptions!$D$6,IF(ISNUMBER(SEARCH(Assumptions!$C$7,G316)),Assumptions!$D$7,"Other Services"))),"Other Services"))</f>
        <v/>
      </c>
    </row>
    <row r="317" customFormat="false" ht="15" hidden="false" customHeight="false" outlineLevel="0" collapsed="false">
      <c r="E317" s="41" t="str">
        <f aca="false">IF(D317="","",IFERROR(VLOOKUP(D317,Assumptions!$G$5:$H$16,2,0),"Other"))</f>
        <v/>
      </c>
      <c r="J317" s="41" t="str">
        <f aca="false">IF(G317="","",IFERROR(IF(ISNUMBER(SEARCH(Assumptions!$C$5,G317)),Assumptions!$D$5,IF(ISNUMBER(SEARCH(Assumptions!$C$6,G317)),Assumptions!$D$6,IF(ISNUMBER(SEARCH(Assumptions!$C$7,G317)),Assumptions!$D$7,"Other Services"))),"Other Services"))</f>
        <v/>
      </c>
    </row>
    <row r="318" customFormat="false" ht="15" hidden="false" customHeight="false" outlineLevel="0" collapsed="false">
      <c r="E318" s="41" t="str">
        <f aca="false">IF(D318="","",IFERROR(VLOOKUP(D318,Assumptions!$G$5:$H$16,2,0),"Other"))</f>
        <v/>
      </c>
      <c r="J318" s="41" t="str">
        <f aca="false">IF(G318="","",IFERROR(IF(ISNUMBER(SEARCH(Assumptions!$C$5,G318)),Assumptions!$D$5,IF(ISNUMBER(SEARCH(Assumptions!$C$6,G318)),Assumptions!$D$6,IF(ISNUMBER(SEARCH(Assumptions!$C$7,G318)),Assumptions!$D$7,"Other Services"))),"Other Services"))</f>
        <v/>
      </c>
    </row>
    <row r="319" customFormat="false" ht="15" hidden="false" customHeight="false" outlineLevel="0" collapsed="false">
      <c r="E319" s="41" t="str">
        <f aca="false">IF(D319="","",IFERROR(VLOOKUP(D319,Assumptions!$G$5:$H$16,2,0),"Other"))</f>
        <v/>
      </c>
      <c r="J319" s="41" t="str">
        <f aca="false">IF(G319="","",IFERROR(IF(ISNUMBER(SEARCH(Assumptions!$C$5,G319)),Assumptions!$D$5,IF(ISNUMBER(SEARCH(Assumptions!$C$6,G319)),Assumptions!$D$6,IF(ISNUMBER(SEARCH(Assumptions!$C$7,G319)),Assumptions!$D$7,"Other Services"))),"Other Services"))</f>
        <v/>
      </c>
    </row>
    <row r="320" customFormat="false" ht="15" hidden="false" customHeight="false" outlineLevel="0" collapsed="false">
      <c r="E320" s="41" t="str">
        <f aca="false">IF(D320="","",IFERROR(VLOOKUP(D320,Assumptions!$G$5:$H$16,2,0),"Other"))</f>
        <v/>
      </c>
      <c r="J320" s="41" t="str">
        <f aca="false">IF(G320="","",IFERROR(IF(ISNUMBER(SEARCH(Assumptions!$C$5,G320)),Assumptions!$D$5,IF(ISNUMBER(SEARCH(Assumptions!$C$6,G320)),Assumptions!$D$6,IF(ISNUMBER(SEARCH(Assumptions!$C$7,G320)),Assumptions!$D$7,"Other Services"))),"Other Services"))</f>
        <v/>
      </c>
    </row>
    <row r="321" customFormat="false" ht="15" hidden="false" customHeight="false" outlineLevel="0" collapsed="false">
      <c r="E321" s="41" t="str">
        <f aca="false">IF(D321="","",IFERROR(VLOOKUP(D321,Assumptions!$G$5:$H$16,2,0),"Other"))</f>
        <v/>
      </c>
      <c r="J321" s="41" t="str">
        <f aca="false">IF(G321="","",IFERROR(IF(ISNUMBER(SEARCH(Assumptions!$C$5,G321)),Assumptions!$D$5,IF(ISNUMBER(SEARCH(Assumptions!$C$6,G321)),Assumptions!$D$6,IF(ISNUMBER(SEARCH(Assumptions!$C$7,G321)),Assumptions!$D$7,"Other Services"))),"Other Services"))</f>
        <v/>
      </c>
    </row>
    <row r="322" customFormat="false" ht="15" hidden="false" customHeight="false" outlineLevel="0" collapsed="false">
      <c r="E322" s="41" t="str">
        <f aca="false">IF(D322="","",IFERROR(VLOOKUP(D322,Assumptions!$G$5:$H$16,2,0),"Other"))</f>
        <v/>
      </c>
      <c r="J322" s="41" t="str">
        <f aca="false">IF(G322="","",IFERROR(IF(ISNUMBER(SEARCH(Assumptions!$C$5,G322)),Assumptions!$D$5,IF(ISNUMBER(SEARCH(Assumptions!$C$6,G322)),Assumptions!$D$6,IF(ISNUMBER(SEARCH(Assumptions!$C$7,G322)),Assumptions!$D$7,"Other Services"))),"Other Services"))</f>
        <v/>
      </c>
    </row>
    <row r="323" customFormat="false" ht="15" hidden="false" customHeight="false" outlineLevel="0" collapsed="false">
      <c r="E323" s="41" t="str">
        <f aca="false">IF(D323="","",IFERROR(VLOOKUP(D323,Assumptions!$G$5:$H$16,2,0),"Other"))</f>
        <v/>
      </c>
      <c r="J323" s="41" t="str">
        <f aca="false">IF(G323="","",IFERROR(IF(ISNUMBER(SEARCH(Assumptions!$C$5,G323)),Assumptions!$D$5,IF(ISNUMBER(SEARCH(Assumptions!$C$6,G323)),Assumptions!$D$6,IF(ISNUMBER(SEARCH(Assumptions!$C$7,G323)),Assumptions!$D$7,"Other Services"))),"Other Services"))</f>
        <v/>
      </c>
    </row>
    <row r="324" customFormat="false" ht="15" hidden="false" customHeight="false" outlineLevel="0" collapsed="false">
      <c r="E324" s="41" t="str">
        <f aca="false">IF(D324="","",IFERROR(VLOOKUP(D324,Assumptions!$G$5:$H$16,2,0),"Other"))</f>
        <v/>
      </c>
      <c r="J324" s="41" t="str">
        <f aca="false">IF(G324="","",IFERROR(IF(ISNUMBER(SEARCH(Assumptions!$C$5,G324)),Assumptions!$D$5,IF(ISNUMBER(SEARCH(Assumptions!$C$6,G324)),Assumptions!$D$6,IF(ISNUMBER(SEARCH(Assumptions!$C$7,G324)),Assumptions!$D$7,"Other Services"))),"Other Services"))</f>
        <v/>
      </c>
    </row>
    <row r="325" customFormat="false" ht="15" hidden="false" customHeight="false" outlineLevel="0" collapsed="false">
      <c r="E325" s="41" t="str">
        <f aca="false">IF(D325="","",IFERROR(VLOOKUP(D325,Assumptions!$G$5:$H$16,2,0),"Other"))</f>
        <v/>
      </c>
      <c r="J325" s="41" t="str">
        <f aca="false">IF(G325="","",IFERROR(IF(ISNUMBER(SEARCH(Assumptions!$C$5,G325)),Assumptions!$D$5,IF(ISNUMBER(SEARCH(Assumptions!$C$6,G325)),Assumptions!$D$6,IF(ISNUMBER(SEARCH(Assumptions!$C$7,G325)),Assumptions!$D$7,"Other Services"))),"Other Services"))</f>
        <v/>
      </c>
    </row>
    <row r="326" customFormat="false" ht="15" hidden="false" customHeight="false" outlineLevel="0" collapsed="false">
      <c r="E326" s="41" t="str">
        <f aca="false">IF(D326="","",IFERROR(VLOOKUP(D326,Assumptions!$G$5:$H$16,2,0),"Other"))</f>
        <v/>
      </c>
      <c r="J326" s="41" t="str">
        <f aca="false">IF(G326="","",IFERROR(IF(ISNUMBER(SEARCH(Assumptions!$C$5,G326)),Assumptions!$D$5,IF(ISNUMBER(SEARCH(Assumptions!$C$6,G326)),Assumptions!$D$6,IF(ISNUMBER(SEARCH(Assumptions!$C$7,G326)),Assumptions!$D$7,"Other Services"))),"Other Services"))</f>
        <v/>
      </c>
    </row>
    <row r="327" customFormat="false" ht="15" hidden="false" customHeight="false" outlineLevel="0" collapsed="false">
      <c r="E327" s="41" t="str">
        <f aca="false">IF(D327="","",IFERROR(VLOOKUP(D327,Assumptions!$G$5:$H$16,2,0),"Other"))</f>
        <v/>
      </c>
      <c r="J327" s="41" t="str">
        <f aca="false">IF(G327="","",IFERROR(IF(ISNUMBER(SEARCH(Assumptions!$C$5,G327)),Assumptions!$D$5,IF(ISNUMBER(SEARCH(Assumptions!$C$6,G327)),Assumptions!$D$6,IF(ISNUMBER(SEARCH(Assumptions!$C$7,G327)),Assumptions!$D$7,"Other Services"))),"Other Services"))</f>
        <v/>
      </c>
    </row>
    <row r="328" customFormat="false" ht="15" hidden="false" customHeight="false" outlineLevel="0" collapsed="false">
      <c r="E328" s="41" t="str">
        <f aca="false">IF(D328="","",IFERROR(VLOOKUP(D328,Assumptions!$G$5:$H$16,2,0),"Other"))</f>
        <v/>
      </c>
      <c r="J328" s="41" t="str">
        <f aca="false">IF(G328="","",IFERROR(IF(ISNUMBER(SEARCH(Assumptions!$C$5,G328)),Assumptions!$D$5,IF(ISNUMBER(SEARCH(Assumptions!$C$6,G328)),Assumptions!$D$6,IF(ISNUMBER(SEARCH(Assumptions!$C$7,G328)),Assumptions!$D$7,"Other Services"))),"Other Services"))</f>
        <v/>
      </c>
    </row>
    <row r="329" customFormat="false" ht="15" hidden="false" customHeight="false" outlineLevel="0" collapsed="false">
      <c r="E329" s="41" t="str">
        <f aca="false">IF(D329="","",IFERROR(VLOOKUP(D329,Assumptions!$G$5:$H$16,2,0),"Other"))</f>
        <v/>
      </c>
      <c r="J329" s="41" t="str">
        <f aca="false">IF(G329="","",IFERROR(IF(ISNUMBER(SEARCH(Assumptions!$C$5,G329)),Assumptions!$D$5,IF(ISNUMBER(SEARCH(Assumptions!$C$6,G329)),Assumptions!$D$6,IF(ISNUMBER(SEARCH(Assumptions!$C$7,G329)),Assumptions!$D$7,"Other Services"))),"Other Services"))</f>
        <v/>
      </c>
    </row>
    <row r="330" customFormat="false" ht="15" hidden="false" customHeight="false" outlineLevel="0" collapsed="false">
      <c r="E330" s="41" t="str">
        <f aca="false">IF(D330="","",IFERROR(VLOOKUP(D330,Assumptions!$G$5:$H$16,2,0),"Other"))</f>
        <v/>
      </c>
      <c r="J330" s="41" t="str">
        <f aca="false">IF(G330="","",IFERROR(IF(ISNUMBER(SEARCH(Assumptions!$C$5,G330)),Assumptions!$D$5,IF(ISNUMBER(SEARCH(Assumptions!$C$6,G330)),Assumptions!$D$6,IF(ISNUMBER(SEARCH(Assumptions!$C$7,G330)),Assumptions!$D$7,"Other Services"))),"Other Services"))</f>
        <v/>
      </c>
    </row>
    <row r="331" customFormat="false" ht="15" hidden="false" customHeight="false" outlineLevel="0" collapsed="false">
      <c r="E331" s="41" t="str">
        <f aca="false">IF(D331="","",IFERROR(VLOOKUP(D331,Assumptions!$G$5:$H$16,2,0),"Other"))</f>
        <v/>
      </c>
      <c r="J331" s="41" t="str">
        <f aca="false">IF(G331="","",IFERROR(IF(ISNUMBER(SEARCH(Assumptions!$C$5,G331)),Assumptions!$D$5,IF(ISNUMBER(SEARCH(Assumptions!$C$6,G331)),Assumptions!$D$6,IF(ISNUMBER(SEARCH(Assumptions!$C$7,G331)),Assumptions!$D$7,"Other Services"))),"Other Services"))</f>
        <v/>
      </c>
    </row>
    <row r="332" customFormat="false" ht="15" hidden="false" customHeight="false" outlineLevel="0" collapsed="false">
      <c r="E332" s="41" t="str">
        <f aca="false">IF(D332="","",IFERROR(VLOOKUP(D332,Assumptions!$G$5:$H$16,2,0),"Other"))</f>
        <v/>
      </c>
      <c r="J332" s="41" t="str">
        <f aca="false">IF(G332="","",IFERROR(IF(ISNUMBER(SEARCH(Assumptions!$C$5,G332)),Assumptions!$D$5,IF(ISNUMBER(SEARCH(Assumptions!$C$6,G332)),Assumptions!$D$6,IF(ISNUMBER(SEARCH(Assumptions!$C$7,G332)),Assumptions!$D$7,"Other Services"))),"Other Services"))</f>
        <v/>
      </c>
    </row>
    <row r="333" customFormat="false" ht="15" hidden="false" customHeight="false" outlineLevel="0" collapsed="false">
      <c r="E333" s="41" t="str">
        <f aca="false">IF(D333="","",IFERROR(VLOOKUP(D333,Assumptions!$G$5:$H$16,2,0),"Other"))</f>
        <v/>
      </c>
      <c r="J333" s="41" t="str">
        <f aca="false">IF(G333="","",IFERROR(IF(ISNUMBER(SEARCH(Assumptions!$C$5,G333)),Assumptions!$D$5,IF(ISNUMBER(SEARCH(Assumptions!$C$6,G333)),Assumptions!$D$6,IF(ISNUMBER(SEARCH(Assumptions!$C$7,G333)),Assumptions!$D$7,"Other Services"))),"Other Services"))</f>
        <v/>
      </c>
    </row>
    <row r="334" customFormat="false" ht="15" hidden="false" customHeight="false" outlineLevel="0" collapsed="false">
      <c r="E334" s="41" t="str">
        <f aca="false">IF(D334="","",IFERROR(VLOOKUP(D334,Assumptions!$G$5:$H$16,2,0),"Other"))</f>
        <v/>
      </c>
      <c r="J334" s="41" t="str">
        <f aca="false">IF(G334="","",IFERROR(IF(ISNUMBER(SEARCH(Assumptions!$C$5,G334)),Assumptions!$D$5,IF(ISNUMBER(SEARCH(Assumptions!$C$6,G334)),Assumptions!$D$6,IF(ISNUMBER(SEARCH(Assumptions!$C$7,G334)),Assumptions!$D$7,"Other Services"))),"Other Services"))</f>
        <v/>
      </c>
    </row>
    <row r="335" customFormat="false" ht="15" hidden="false" customHeight="false" outlineLevel="0" collapsed="false">
      <c r="E335" s="41" t="str">
        <f aca="false">IF(D335="","",IFERROR(VLOOKUP(D335,Assumptions!$G$5:$H$16,2,0),"Other"))</f>
        <v/>
      </c>
      <c r="J335" s="41" t="str">
        <f aca="false">IF(G335="","",IFERROR(IF(ISNUMBER(SEARCH(Assumptions!$C$5,G335)),Assumptions!$D$5,IF(ISNUMBER(SEARCH(Assumptions!$C$6,G335)),Assumptions!$D$6,IF(ISNUMBER(SEARCH(Assumptions!$C$7,G335)),Assumptions!$D$7,"Other Services"))),"Other Services"))</f>
        <v/>
      </c>
    </row>
    <row r="336" customFormat="false" ht="15" hidden="false" customHeight="false" outlineLevel="0" collapsed="false">
      <c r="E336" s="41" t="str">
        <f aca="false">IF(D336="","",IFERROR(VLOOKUP(D336,Assumptions!$G$5:$H$16,2,0),"Other"))</f>
        <v/>
      </c>
      <c r="J336" s="41" t="str">
        <f aca="false">IF(G336="","",IFERROR(IF(ISNUMBER(SEARCH(Assumptions!$C$5,G336)),Assumptions!$D$5,IF(ISNUMBER(SEARCH(Assumptions!$C$6,G336)),Assumptions!$D$6,IF(ISNUMBER(SEARCH(Assumptions!$C$7,G336)),Assumptions!$D$7,"Other Services"))),"Other Services"))</f>
        <v/>
      </c>
    </row>
    <row r="337" customFormat="false" ht="15" hidden="false" customHeight="false" outlineLevel="0" collapsed="false">
      <c r="E337" s="41" t="str">
        <f aca="false">IF(D337="","",IFERROR(VLOOKUP(D337,Assumptions!$G$5:$H$16,2,0),"Other"))</f>
        <v/>
      </c>
      <c r="J337" s="41" t="str">
        <f aca="false">IF(G337="","",IFERROR(IF(ISNUMBER(SEARCH(Assumptions!$C$5,G337)),Assumptions!$D$5,IF(ISNUMBER(SEARCH(Assumptions!$C$6,G337)),Assumptions!$D$6,IF(ISNUMBER(SEARCH(Assumptions!$C$7,G337)),Assumptions!$D$7,"Other Services"))),"Other Services"))</f>
        <v/>
      </c>
    </row>
    <row r="338" customFormat="false" ht="15" hidden="false" customHeight="false" outlineLevel="0" collapsed="false">
      <c r="E338" s="41" t="str">
        <f aca="false">IF(D338="","",IFERROR(VLOOKUP(D338,Assumptions!$G$5:$H$16,2,0),"Other"))</f>
        <v/>
      </c>
      <c r="J338" s="41" t="str">
        <f aca="false">IF(G338="","",IFERROR(IF(ISNUMBER(SEARCH(Assumptions!$C$5,G338)),Assumptions!$D$5,IF(ISNUMBER(SEARCH(Assumptions!$C$6,G338)),Assumptions!$D$6,IF(ISNUMBER(SEARCH(Assumptions!$C$7,G338)),Assumptions!$D$7,"Other Services"))),"Other Services"))</f>
        <v/>
      </c>
    </row>
    <row r="339" customFormat="false" ht="15" hidden="false" customHeight="false" outlineLevel="0" collapsed="false">
      <c r="E339" s="41" t="str">
        <f aca="false">IF(D339="","",IFERROR(VLOOKUP(D339,Assumptions!$G$5:$H$16,2,0),"Other"))</f>
        <v/>
      </c>
      <c r="J339" s="41" t="str">
        <f aca="false">IF(G339="","",IFERROR(IF(ISNUMBER(SEARCH(Assumptions!$C$5,G339)),Assumptions!$D$5,IF(ISNUMBER(SEARCH(Assumptions!$C$6,G339)),Assumptions!$D$6,IF(ISNUMBER(SEARCH(Assumptions!$C$7,G339)),Assumptions!$D$7,"Other Services"))),"Other Services"))</f>
        <v/>
      </c>
    </row>
    <row r="340" customFormat="false" ht="15" hidden="false" customHeight="false" outlineLevel="0" collapsed="false">
      <c r="E340" s="41" t="str">
        <f aca="false">IF(D340="","",IFERROR(VLOOKUP(D340,Assumptions!$G$5:$H$16,2,0),"Other"))</f>
        <v/>
      </c>
      <c r="J340" s="41" t="str">
        <f aca="false">IF(G340="","",IFERROR(IF(ISNUMBER(SEARCH(Assumptions!$C$5,G340)),Assumptions!$D$5,IF(ISNUMBER(SEARCH(Assumptions!$C$6,G340)),Assumptions!$D$6,IF(ISNUMBER(SEARCH(Assumptions!$C$7,G340)),Assumptions!$D$7,"Other Services"))),"Other Services"))</f>
        <v/>
      </c>
    </row>
    <row r="341" customFormat="false" ht="15" hidden="false" customHeight="false" outlineLevel="0" collapsed="false">
      <c r="E341" s="41" t="str">
        <f aca="false">IF(D341="","",IFERROR(VLOOKUP(D341,Assumptions!$G$5:$H$16,2,0),"Other"))</f>
        <v/>
      </c>
      <c r="J341" s="41" t="str">
        <f aca="false">IF(G341="","",IFERROR(IF(ISNUMBER(SEARCH(Assumptions!$C$5,G341)),Assumptions!$D$5,IF(ISNUMBER(SEARCH(Assumptions!$C$6,G341)),Assumptions!$D$6,IF(ISNUMBER(SEARCH(Assumptions!$C$7,G341)),Assumptions!$D$7,"Other Services"))),"Other Services"))</f>
        <v/>
      </c>
    </row>
    <row r="342" customFormat="false" ht="15" hidden="false" customHeight="false" outlineLevel="0" collapsed="false">
      <c r="E342" s="41" t="str">
        <f aca="false">IF(D342="","",IFERROR(VLOOKUP(D342,Assumptions!$G$5:$H$16,2,0),"Other"))</f>
        <v/>
      </c>
      <c r="J342" s="41" t="str">
        <f aca="false">IF(G342="","",IFERROR(IF(ISNUMBER(SEARCH(Assumptions!$C$5,G342)),Assumptions!$D$5,IF(ISNUMBER(SEARCH(Assumptions!$C$6,G342)),Assumptions!$D$6,IF(ISNUMBER(SEARCH(Assumptions!$C$7,G342)),Assumptions!$D$7,"Other Services"))),"Other Services"))</f>
        <v/>
      </c>
    </row>
    <row r="343" customFormat="false" ht="15" hidden="false" customHeight="false" outlineLevel="0" collapsed="false">
      <c r="E343" s="41" t="str">
        <f aca="false">IF(D343="","",IFERROR(VLOOKUP(D343,Assumptions!$G$5:$H$16,2,0),"Other"))</f>
        <v/>
      </c>
      <c r="J343" s="41" t="str">
        <f aca="false">IF(G343="","",IFERROR(IF(ISNUMBER(SEARCH(Assumptions!$C$5,G343)),Assumptions!$D$5,IF(ISNUMBER(SEARCH(Assumptions!$C$6,G343)),Assumptions!$D$6,IF(ISNUMBER(SEARCH(Assumptions!$C$7,G343)),Assumptions!$D$7,"Other Services"))),"Other Services"))</f>
        <v/>
      </c>
    </row>
    <row r="344" customFormat="false" ht="15" hidden="false" customHeight="false" outlineLevel="0" collapsed="false">
      <c r="E344" s="41" t="str">
        <f aca="false">IF(D344="","",IFERROR(VLOOKUP(D344,Assumptions!$G$5:$H$16,2,0),"Other"))</f>
        <v/>
      </c>
      <c r="J344" s="41" t="str">
        <f aca="false">IF(G344="","",IFERROR(IF(ISNUMBER(SEARCH(Assumptions!$C$5,G344)),Assumptions!$D$5,IF(ISNUMBER(SEARCH(Assumptions!$C$6,G344)),Assumptions!$D$6,IF(ISNUMBER(SEARCH(Assumptions!$C$7,G344)),Assumptions!$D$7,"Other Services"))),"Other Services"))</f>
        <v/>
      </c>
    </row>
    <row r="345" customFormat="false" ht="15" hidden="false" customHeight="false" outlineLevel="0" collapsed="false">
      <c r="E345" s="41" t="str">
        <f aca="false">IF(D345="","",IFERROR(VLOOKUP(D345,Assumptions!$G$5:$H$16,2,0),"Other"))</f>
        <v/>
      </c>
      <c r="J345" s="41" t="str">
        <f aca="false">IF(G345="","",IFERROR(IF(ISNUMBER(SEARCH(Assumptions!$C$5,G345)),Assumptions!$D$5,IF(ISNUMBER(SEARCH(Assumptions!$C$6,G345)),Assumptions!$D$6,IF(ISNUMBER(SEARCH(Assumptions!$C$7,G345)),Assumptions!$D$7,"Other Services"))),"Other Services"))</f>
        <v/>
      </c>
    </row>
    <row r="346" customFormat="false" ht="15" hidden="false" customHeight="false" outlineLevel="0" collapsed="false">
      <c r="E346" s="41" t="str">
        <f aca="false">IF(D346="","",IFERROR(VLOOKUP(D346,Assumptions!$G$5:$H$16,2,0),"Other"))</f>
        <v/>
      </c>
      <c r="J346" s="41" t="str">
        <f aca="false">IF(G346="","",IFERROR(IF(ISNUMBER(SEARCH(Assumptions!$C$5,G346)),Assumptions!$D$5,IF(ISNUMBER(SEARCH(Assumptions!$C$6,G346)),Assumptions!$D$6,IF(ISNUMBER(SEARCH(Assumptions!$C$7,G346)),Assumptions!$D$7,"Other Services"))),"Other Services"))</f>
        <v/>
      </c>
    </row>
    <row r="347" customFormat="false" ht="15" hidden="false" customHeight="false" outlineLevel="0" collapsed="false">
      <c r="E347" s="41" t="str">
        <f aca="false">IF(D347="","",IFERROR(VLOOKUP(D347,Assumptions!$G$5:$H$16,2,0),"Other"))</f>
        <v/>
      </c>
      <c r="J347" s="41" t="str">
        <f aca="false">IF(G347="","",IFERROR(IF(ISNUMBER(SEARCH(Assumptions!$C$5,G347)),Assumptions!$D$5,IF(ISNUMBER(SEARCH(Assumptions!$C$6,G347)),Assumptions!$D$6,IF(ISNUMBER(SEARCH(Assumptions!$C$7,G347)),Assumptions!$D$7,"Other Services"))),"Other Services"))</f>
        <v/>
      </c>
    </row>
    <row r="348" customFormat="false" ht="15" hidden="false" customHeight="false" outlineLevel="0" collapsed="false">
      <c r="E348" s="41" t="str">
        <f aca="false">IF(D348="","",IFERROR(VLOOKUP(D348,Assumptions!$G$5:$H$16,2,0),"Other"))</f>
        <v/>
      </c>
      <c r="J348" s="41" t="str">
        <f aca="false">IF(G348="","",IFERROR(IF(ISNUMBER(SEARCH(Assumptions!$C$5,G348)),Assumptions!$D$5,IF(ISNUMBER(SEARCH(Assumptions!$C$6,G348)),Assumptions!$D$6,IF(ISNUMBER(SEARCH(Assumptions!$C$7,G348)),Assumptions!$D$7,"Other Services"))),"Other Services"))</f>
        <v/>
      </c>
    </row>
    <row r="349" customFormat="false" ht="15" hidden="false" customHeight="false" outlineLevel="0" collapsed="false">
      <c r="E349" s="41" t="str">
        <f aca="false">IF(D349="","",IFERROR(VLOOKUP(D349,Assumptions!$G$5:$H$16,2,0),"Other"))</f>
        <v/>
      </c>
      <c r="J349" s="41" t="str">
        <f aca="false">IF(G349="","",IFERROR(IF(ISNUMBER(SEARCH(Assumptions!$C$5,G349)),Assumptions!$D$5,IF(ISNUMBER(SEARCH(Assumptions!$C$6,G349)),Assumptions!$D$6,IF(ISNUMBER(SEARCH(Assumptions!$C$7,G349)),Assumptions!$D$7,"Other Services"))),"Other Services"))</f>
        <v/>
      </c>
    </row>
    <row r="350" customFormat="false" ht="15" hidden="false" customHeight="false" outlineLevel="0" collapsed="false">
      <c r="E350" s="41" t="str">
        <f aca="false">IF(D350="","",IFERROR(VLOOKUP(D350,Assumptions!$G$5:$H$16,2,0),"Other"))</f>
        <v/>
      </c>
      <c r="J350" s="41" t="str">
        <f aca="false">IF(G350="","",IFERROR(IF(ISNUMBER(SEARCH(Assumptions!$C$5,G350)),Assumptions!$D$5,IF(ISNUMBER(SEARCH(Assumptions!$C$6,G350)),Assumptions!$D$6,IF(ISNUMBER(SEARCH(Assumptions!$C$7,G350)),Assumptions!$D$7,"Other Services"))),"Other Services"))</f>
        <v/>
      </c>
    </row>
    <row r="351" customFormat="false" ht="15" hidden="false" customHeight="false" outlineLevel="0" collapsed="false">
      <c r="E351" s="41" t="str">
        <f aca="false">IF(D351="","",IFERROR(VLOOKUP(D351,Assumptions!$G$5:$H$16,2,0),"Other"))</f>
        <v/>
      </c>
      <c r="J351" s="41" t="str">
        <f aca="false">IF(G351="","",IFERROR(IF(ISNUMBER(SEARCH(Assumptions!$C$5,G351)),Assumptions!$D$5,IF(ISNUMBER(SEARCH(Assumptions!$C$6,G351)),Assumptions!$D$6,IF(ISNUMBER(SEARCH(Assumptions!$C$7,G351)),Assumptions!$D$7,"Other Services"))),"Other Services"))</f>
        <v/>
      </c>
    </row>
    <row r="352" customFormat="false" ht="15" hidden="false" customHeight="false" outlineLevel="0" collapsed="false">
      <c r="E352" s="41" t="str">
        <f aca="false">IF(D352="","",IFERROR(VLOOKUP(D352,Assumptions!$G$5:$H$16,2,0),"Other"))</f>
        <v/>
      </c>
      <c r="J352" s="41" t="str">
        <f aca="false">IF(G352="","",IFERROR(IF(ISNUMBER(SEARCH(Assumptions!$C$5,G352)),Assumptions!$D$5,IF(ISNUMBER(SEARCH(Assumptions!$C$6,G352)),Assumptions!$D$6,IF(ISNUMBER(SEARCH(Assumptions!$C$7,G352)),Assumptions!$D$7,"Other Services"))),"Other Services"))</f>
        <v/>
      </c>
    </row>
    <row r="353" customFormat="false" ht="15" hidden="false" customHeight="false" outlineLevel="0" collapsed="false">
      <c r="E353" s="41" t="str">
        <f aca="false">IF(D353="","",IFERROR(VLOOKUP(D353,Assumptions!$G$5:$H$16,2,0),"Other"))</f>
        <v/>
      </c>
      <c r="J353" s="41" t="str">
        <f aca="false">IF(G353="","",IFERROR(IF(ISNUMBER(SEARCH(Assumptions!$C$5,G353)),Assumptions!$D$5,IF(ISNUMBER(SEARCH(Assumptions!$C$6,G353)),Assumptions!$D$6,IF(ISNUMBER(SEARCH(Assumptions!$C$7,G353)),Assumptions!$D$7,"Other Services"))),"Other Services"))</f>
        <v/>
      </c>
    </row>
    <row r="354" customFormat="false" ht="15" hidden="false" customHeight="false" outlineLevel="0" collapsed="false">
      <c r="E354" s="41" t="str">
        <f aca="false">IF(D354="","",IFERROR(VLOOKUP(D354,Assumptions!$G$5:$H$16,2,0),"Other"))</f>
        <v/>
      </c>
      <c r="J354" s="41" t="str">
        <f aca="false">IF(G354="","",IFERROR(IF(ISNUMBER(SEARCH(Assumptions!$C$5,G354)),Assumptions!$D$5,IF(ISNUMBER(SEARCH(Assumptions!$C$6,G354)),Assumptions!$D$6,IF(ISNUMBER(SEARCH(Assumptions!$C$7,G354)),Assumptions!$D$7,"Other Services"))),"Other Services"))</f>
        <v/>
      </c>
    </row>
    <row r="355" customFormat="false" ht="15" hidden="false" customHeight="false" outlineLevel="0" collapsed="false">
      <c r="E355" s="41" t="str">
        <f aca="false">IF(D355="","",IFERROR(VLOOKUP(D355,Assumptions!$G$5:$H$16,2,0),"Other"))</f>
        <v/>
      </c>
      <c r="J355" s="41" t="str">
        <f aca="false">IF(G355="","",IFERROR(IF(ISNUMBER(SEARCH(Assumptions!$C$5,G355)),Assumptions!$D$5,IF(ISNUMBER(SEARCH(Assumptions!$C$6,G355)),Assumptions!$D$6,IF(ISNUMBER(SEARCH(Assumptions!$C$7,G355)),Assumptions!$D$7,"Other Services"))),"Other Services"))</f>
        <v/>
      </c>
    </row>
    <row r="356" customFormat="false" ht="15" hidden="false" customHeight="false" outlineLevel="0" collapsed="false">
      <c r="E356" s="41" t="str">
        <f aca="false">IF(D356="","",IFERROR(VLOOKUP(D356,Assumptions!$G$5:$H$16,2,0),"Other"))</f>
        <v/>
      </c>
      <c r="J356" s="41" t="str">
        <f aca="false">IF(G356="","",IFERROR(IF(ISNUMBER(SEARCH(Assumptions!$C$5,G356)),Assumptions!$D$5,IF(ISNUMBER(SEARCH(Assumptions!$C$6,G356)),Assumptions!$D$6,IF(ISNUMBER(SEARCH(Assumptions!$C$7,G356)),Assumptions!$D$7,"Other Services"))),"Other Services"))</f>
        <v/>
      </c>
    </row>
    <row r="357" customFormat="false" ht="15" hidden="false" customHeight="false" outlineLevel="0" collapsed="false">
      <c r="E357" s="41" t="str">
        <f aca="false">IF(D357="","",IFERROR(VLOOKUP(D357,Assumptions!$G$5:$H$16,2,0),"Other"))</f>
        <v/>
      </c>
      <c r="J357" s="41" t="str">
        <f aca="false">IF(G357="","",IFERROR(IF(ISNUMBER(SEARCH(Assumptions!$C$5,G357)),Assumptions!$D$5,IF(ISNUMBER(SEARCH(Assumptions!$C$6,G357)),Assumptions!$D$6,IF(ISNUMBER(SEARCH(Assumptions!$C$7,G357)),Assumptions!$D$7,"Other Services"))),"Other Services"))</f>
        <v/>
      </c>
    </row>
    <row r="358" customFormat="false" ht="15" hidden="false" customHeight="false" outlineLevel="0" collapsed="false">
      <c r="E358" s="41" t="str">
        <f aca="false">IF(D358="","",IFERROR(VLOOKUP(D358,Assumptions!$G$5:$H$16,2,0),"Other"))</f>
        <v/>
      </c>
      <c r="J358" s="41" t="str">
        <f aca="false">IF(G358="","",IFERROR(IF(ISNUMBER(SEARCH(Assumptions!$C$5,G358)),Assumptions!$D$5,IF(ISNUMBER(SEARCH(Assumptions!$C$6,G358)),Assumptions!$D$6,IF(ISNUMBER(SEARCH(Assumptions!$C$7,G358)),Assumptions!$D$7,"Other Services"))),"Other Services"))</f>
        <v/>
      </c>
    </row>
    <row r="359" customFormat="false" ht="15" hidden="false" customHeight="false" outlineLevel="0" collapsed="false">
      <c r="E359" s="41" t="str">
        <f aca="false">IF(D359="","",IFERROR(VLOOKUP(D359,Assumptions!$G$5:$H$16,2,0),"Other"))</f>
        <v/>
      </c>
      <c r="J359" s="41" t="str">
        <f aca="false">IF(G359="","",IFERROR(IF(ISNUMBER(SEARCH(Assumptions!$C$5,G359)),Assumptions!$D$5,IF(ISNUMBER(SEARCH(Assumptions!$C$6,G359)),Assumptions!$D$6,IF(ISNUMBER(SEARCH(Assumptions!$C$7,G359)),Assumptions!$D$7,"Other Services"))),"Other Services"))</f>
        <v/>
      </c>
    </row>
    <row r="360" customFormat="false" ht="15" hidden="false" customHeight="false" outlineLevel="0" collapsed="false">
      <c r="E360" s="41" t="str">
        <f aca="false">IF(D360="","",IFERROR(VLOOKUP(D360,Assumptions!$G$5:$H$16,2,0),"Other"))</f>
        <v/>
      </c>
      <c r="J360" s="41" t="str">
        <f aca="false">IF(G360="","",IFERROR(IF(ISNUMBER(SEARCH(Assumptions!$C$5,G360)),Assumptions!$D$5,IF(ISNUMBER(SEARCH(Assumptions!$C$6,G360)),Assumptions!$D$6,IF(ISNUMBER(SEARCH(Assumptions!$C$7,G360)),Assumptions!$D$7,"Other Services"))),"Other Services"))</f>
        <v/>
      </c>
    </row>
    <row r="361" customFormat="false" ht="15" hidden="false" customHeight="false" outlineLevel="0" collapsed="false">
      <c r="E361" s="41" t="str">
        <f aca="false">IF(D361="","",IFERROR(VLOOKUP(D361,Assumptions!$G$5:$H$16,2,0),"Other"))</f>
        <v/>
      </c>
      <c r="J361" s="41" t="str">
        <f aca="false">IF(G361="","",IFERROR(IF(ISNUMBER(SEARCH(Assumptions!$C$5,G361)),Assumptions!$D$5,IF(ISNUMBER(SEARCH(Assumptions!$C$6,G361)),Assumptions!$D$6,IF(ISNUMBER(SEARCH(Assumptions!$C$7,G361)),Assumptions!$D$7,"Other Services"))),"Other Services"))</f>
        <v/>
      </c>
    </row>
    <row r="362" customFormat="false" ht="15" hidden="false" customHeight="false" outlineLevel="0" collapsed="false">
      <c r="E362" s="41" t="str">
        <f aca="false">IF(D362="","",IFERROR(VLOOKUP(D362,Assumptions!$G$5:$H$16,2,0),"Other"))</f>
        <v/>
      </c>
      <c r="J362" s="41" t="str">
        <f aca="false">IF(G362="","",IFERROR(IF(ISNUMBER(SEARCH(Assumptions!$C$5,G362)),Assumptions!$D$5,IF(ISNUMBER(SEARCH(Assumptions!$C$6,G362)),Assumptions!$D$6,IF(ISNUMBER(SEARCH(Assumptions!$C$7,G362)),Assumptions!$D$7,"Other Services"))),"Other Services"))</f>
        <v/>
      </c>
    </row>
    <row r="363" customFormat="false" ht="15" hidden="false" customHeight="false" outlineLevel="0" collapsed="false">
      <c r="E363" s="41" t="str">
        <f aca="false">IF(D363="","",IFERROR(VLOOKUP(D363,Assumptions!$G$5:$H$16,2,0),"Other"))</f>
        <v/>
      </c>
      <c r="J363" s="41" t="str">
        <f aca="false">IF(G363="","",IFERROR(IF(ISNUMBER(SEARCH(Assumptions!$C$5,G363)),Assumptions!$D$5,IF(ISNUMBER(SEARCH(Assumptions!$C$6,G363)),Assumptions!$D$6,IF(ISNUMBER(SEARCH(Assumptions!$C$7,G363)),Assumptions!$D$7,"Other Services"))),"Other Services"))</f>
        <v/>
      </c>
    </row>
    <row r="364" customFormat="false" ht="15" hidden="false" customHeight="false" outlineLevel="0" collapsed="false">
      <c r="E364" s="41" t="str">
        <f aca="false">IF(D364="","",IFERROR(VLOOKUP(D364,Assumptions!$G$5:$H$16,2,0),"Other"))</f>
        <v/>
      </c>
      <c r="J364" s="41" t="str">
        <f aca="false">IF(G364="","",IFERROR(IF(ISNUMBER(SEARCH(Assumptions!$C$5,G364)),Assumptions!$D$5,IF(ISNUMBER(SEARCH(Assumptions!$C$6,G364)),Assumptions!$D$6,IF(ISNUMBER(SEARCH(Assumptions!$C$7,G364)),Assumptions!$D$7,"Other Services"))),"Other Services"))</f>
        <v/>
      </c>
    </row>
    <row r="365" customFormat="false" ht="15" hidden="false" customHeight="false" outlineLevel="0" collapsed="false">
      <c r="E365" s="41" t="str">
        <f aca="false">IF(D365="","",IFERROR(VLOOKUP(D365,Assumptions!$G$5:$H$16,2,0),"Other"))</f>
        <v/>
      </c>
      <c r="J365" s="41" t="str">
        <f aca="false">IF(G365="","",IFERROR(IF(ISNUMBER(SEARCH(Assumptions!$C$5,G365)),Assumptions!$D$5,IF(ISNUMBER(SEARCH(Assumptions!$C$6,G365)),Assumptions!$D$6,IF(ISNUMBER(SEARCH(Assumptions!$C$7,G365)),Assumptions!$D$7,"Other Services"))),"Other Services"))</f>
        <v/>
      </c>
    </row>
    <row r="366" customFormat="false" ht="15" hidden="false" customHeight="false" outlineLevel="0" collapsed="false">
      <c r="E366" s="41" t="str">
        <f aca="false">IF(D366="","",IFERROR(VLOOKUP(D366,Assumptions!$G$5:$H$16,2,0),"Other"))</f>
        <v/>
      </c>
      <c r="J366" s="41" t="str">
        <f aca="false">IF(G366="","",IFERROR(IF(ISNUMBER(SEARCH(Assumptions!$C$5,G366)),Assumptions!$D$5,IF(ISNUMBER(SEARCH(Assumptions!$C$6,G366)),Assumptions!$D$6,IF(ISNUMBER(SEARCH(Assumptions!$C$7,G366)),Assumptions!$D$7,"Other Services"))),"Other Services"))</f>
        <v/>
      </c>
    </row>
    <row r="367" customFormat="false" ht="15" hidden="false" customHeight="false" outlineLevel="0" collapsed="false">
      <c r="E367" s="41" t="str">
        <f aca="false">IF(D367="","",IFERROR(VLOOKUP(D367,Assumptions!$G$5:$H$16,2,0),"Other"))</f>
        <v/>
      </c>
      <c r="J367" s="41" t="str">
        <f aca="false">IF(G367="","",IFERROR(IF(ISNUMBER(SEARCH(Assumptions!$C$5,G367)),Assumptions!$D$5,IF(ISNUMBER(SEARCH(Assumptions!$C$6,G367)),Assumptions!$D$6,IF(ISNUMBER(SEARCH(Assumptions!$C$7,G367)),Assumptions!$D$7,"Other Services"))),"Other Services"))</f>
        <v/>
      </c>
    </row>
    <row r="368" customFormat="false" ht="15" hidden="false" customHeight="false" outlineLevel="0" collapsed="false">
      <c r="E368" s="41" t="str">
        <f aca="false">IF(D368="","",IFERROR(VLOOKUP(D368,Assumptions!$G$5:$H$16,2,0),"Other"))</f>
        <v/>
      </c>
      <c r="J368" s="41" t="str">
        <f aca="false">IF(G368="","",IFERROR(IF(ISNUMBER(SEARCH(Assumptions!$C$5,G368)),Assumptions!$D$5,IF(ISNUMBER(SEARCH(Assumptions!$C$6,G368)),Assumptions!$D$6,IF(ISNUMBER(SEARCH(Assumptions!$C$7,G368)),Assumptions!$D$7,"Other Services"))),"Other Services"))</f>
        <v/>
      </c>
    </row>
    <row r="369" customFormat="false" ht="15" hidden="false" customHeight="false" outlineLevel="0" collapsed="false">
      <c r="E369" s="41" t="str">
        <f aca="false">IF(D369="","",IFERROR(VLOOKUP(D369,Assumptions!$G$5:$H$16,2,0),"Other"))</f>
        <v/>
      </c>
      <c r="J369" s="41" t="str">
        <f aca="false">IF(G369="","",IFERROR(IF(ISNUMBER(SEARCH(Assumptions!$C$5,G369)),Assumptions!$D$5,IF(ISNUMBER(SEARCH(Assumptions!$C$6,G369)),Assumptions!$D$6,IF(ISNUMBER(SEARCH(Assumptions!$C$7,G369)),Assumptions!$D$7,"Other Services"))),"Other Services"))</f>
        <v/>
      </c>
    </row>
    <row r="370" customFormat="false" ht="15" hidden="false" customHeight="false" outlineLevel="0" collapsed="false">
      <c r="E370" s="41" t="str">
        <f aca="false">IF(D370="","",IFERROR(VLOOKUP(D370,Assumptions!$G$5:$H$16,2,0),"Other"))</f>
        <v/>
      </c>
      <c r="J370" s="41" t="str">
        <f aca="false">IF(G370="","",IFERROR(IF(ISNUMBER(SEARCH(Assumptions!$C$5,G370)),Assumptions!$D$5,IF(ISNUMBER(SEARCH(Assumptions!$C$6,G370)),Assumptions!$D$6,IF(ISNUMBER(SEARCH(Assumptions!$C$7,G370)),Assumptions!$D$7,"Other Services"))),"Other Services"))</f>
        <v/>
      </c>
    </row>
    <row r="371" customFormat="false" ht="15" hidden="false" customHeight="false" outlineLevel="0" collapsed="false">
      <c r="E371" s="41" t="str">
        <f aca="false">IF(D371="","",IFERROR(VLOOKUP(D371,Assumptions!$G$5:$H$16,2,0),"Other"))</f>
        <v/>
      </c>
      <c r="J371" s="41" t="str">
        <f aca="false">IF(G371="","",IFERROR(IF(ISNUMBER(SEARCH(Assumptions!$C$5,G371)),Assumptions!$D$5,IF(ISNUMBER(SEARCH(Assumptions!$C$6,G371)),Assumptions!$D$6,IF(ISNUMBER(SEARCH(Assumptions!$C$7,G371)),Assumptions!$D$7,"Other Services"))),"Other Services"))</f>
        <v/>
      </c>
    </row>
    <row r="372" customFormat="false" ht="15" hidden="false" customHeight="false" outlineLevel="0" collapsed="false">
      <c r="E372" s="41" t="str">
        <f aca="false">IF(D372="","",IFERROR(VLOOKUP(D372,Assumptions!$G$5:$H$16,2,0),"Other"))</f>
        <v/>
      </c>
      <c r="J372" s="41" t="str">
        <f aca="false">IF(G372="","",IFERROR(IF(ISNUMBER(SEARCH(Assumptions!$C$5,G372)),Assumptions!$D$5,IF(ISNUMBER(SEARCH(Assumptions!$C$6,G372)),Assumptions!$D$6,IF(ISNUMBER(SEARCH(Assumptions!$C$7,G372)),Assumptions!$D$7,"Other Services"))),"Other Services"))</f>
        <v/>
      </c>
    </row>
    <row r="373" customFormat="false" ht="15" hidden="false" customHeight="false" outlineLevel="0" collapsed="false">
      <c r="E373" s="41" t="str">
        <f aca="false">IF(D373="","",IFERROR(VLOOKUP(D373,Assumptions!$G$5:$H$16,2,0),"Other"))</f>
        <v/>
      </c>
      <c r="J373" s="41" t="str">
        <f aca="false">IF(G373="","",IFERROR(IF(ISNUMBER(SEARCH(Assumptions!$C$5,G373)),Assumptions!$D$5,IF(ISNUMBER(SEARCH(Assumptions!$C$6,G373)),Assumptions!$D$6,IF(ISNUMBER(SEARCH(Assumptions!$C$7,G373)),Assumptions!$D$7,"Other Services"))),"Other Services"))</f>
        <v/>
      </c>
    </row>
    <row r="374" customFormat="false" ht="15" hidden="false" customHeight="false" outlineLevel="0" collapsed="false">
      <c r="E374" s="41" t="str">
        <f aca="false">IF(D374="","",IFERROR(VLOOKUP(D374,Assumptions!$G$5:$H$16,2,0),"Other"))</f>
        <v/>
      </c>
      <c r="J374" s="41" t="str">
        <f aca="false">IF(G374="","",IFERROR(IF(ISNUMBER(SEARCH(Assumptions!$C$5,G374)),Assumptions!$D$5,IF(ISNUMBER(SEARCH(Assumptions!$C$6,G374)),Assumptions!$D$6,IF(ISNUMBER(SEARCH(Assumptions!$C$7,G374)),Assumptions!$D$7,"Other Services"))),"Other Services"))</f>
        <v/>
      </c>
    </row>
    <row r="375" customFormat="false" ht="15" hidden="false" customHeight="false" outlineLevel="0" collapsed="false">
      <c r="E375" s="41" t="str">
        <f aca="false">IF(D375="","",IFERROR(VLOOKUP(D375,Assumptions!$G$5:$H$16,2,0),"Other"))</f>
        <v/>
      </c>
      <c r="J375" s="41" t="str">
        <f aca="false">IF(G375="","",IFERROR(IF(ISNUMBER(SEARCH(Assumptions!$C$5,G375)),Assumptions!$D$5,IF(ISNUMBER(SEARCH(Assumptions!$C$6,G375)),Assumptions!$D$6,IF(ISNUMBER(SEARCH(Assumptions!$C$7,G375)),Assumptions!$D$7,"Other Services"))),"Other Services"))</f>
        <v/>
      </c>
    </row>
    <row r="376" customFormat="false" ht="15" hidden="false" customHeight="false" outlineLevel="0" collapsed="false">
      <c r="E376" s="41" t="str">
        <f aca="false">IF(D376="","",IFERROR(VLOOKUP(D376,Assumptions!$G$5:$H$16,2,0),"Other"))</f>
        <v/>
      </c>
      <c r="J376" s="41" t="str">
        <f aca="false">IF(G376="","",IFERROR(IF(ISNUMBER(SEARCH(Assumptions!$C$5,G376)),Assumptions!$D$5,IF(ISNUMBER(SEARCH(Assumptions!$C$6,G376)),Assumptions!$D$6,IF(ISNUMBER(SEARCH(Assumptions!$C$7,G376)),Assumptions!$D$7,"Other Services"))),"Other Services"))</f>
        <v/>
      </c>
    </row>
    <row r="377" customFormat="false" ht="15" hidden="false" customHeight="false" outlineLevel="0" collapsed="false">
      <c r="E377" s="41" t="str">
        <f aca="false">IF(D377="","",IFERROR(VLOOKUP(D377,Assumptions!$G$5:$H$16,2,0),"Other"))</f>
        <v/>
      </c>
      <c r="J377" s="41" t="str">
        <f aca="false">IF(G377="","",IFERROR(IF(ISNUMBER(SEARCH(Assumptions!$C$5,G377)),Assumptions!$D$5,IF(ISNUMBER(SEARCH(Assumptions!$C$6,G377)),Assumptions!$D$6,IF(ISNUMBER(SEARCH(Assumptions!$C$7,G377)),Assumptions!$D$7,"Other Services"))),"Other Services"))</f>
        <v/>
      </c>
    </row>
    <row r="378" customFormat="false" ht="15" hidden="false" customHeight="false" outlineLevel="0" collapsed="false">
      <c r="E378" s="41" t="str">
        <f aca="false">IF(D378="","",IFERROR(VLOOKUP(D378,Assumptions!$G$5:$H$16,2,0),"Other"))</f>
        <v/>
      </c>
      <c r="J378" s="41" t="str">
        <f aca="false">IF(G378="","",IFERROR(IF(ISNUMBER(SEARCH(Assumptions!$C$5,G378)),Assumptions!$D$5,IF(ISNUMBER(SEARCH(Assumptions!$C$6,G378)),Assumptions!$D$6,IF(ISNUMBER(SEARCH(Assumptions!$C$7,G378)),Assumptions!$D$7,"Other Services"))),"Other Services"))</f>
        <v/>
      </c>
    </row>
    <row r="379" customFormat="false" ht="15" hidden="false" customHeight="false" outlineLevel="0" collapsed="false">
      <c r="E379" s="41" t="str">
        <f aca="false">IF(D379="","",IFERROR(VLOOKUP(D379,Assumptions!$G$5:$H$16,2,0),"Other"))</f>
        <v/>
      </c>
      <c r="J379" s="41" t="str">
        <f aca="false">IF(G379="","",IFERROR(IF(ISNUMBER(SEARCH(Assumptions!$C$5,G379)),Assumptions!$D$5,IF(ISNUMBER(SEARCH(Assumptions!$C$6,G379)),Assumptions!$D$6,IF(ISNUMBER(SEARCH(Assumptions!$C$7,G379)),Assumptions!$D$7,"Other Services"))),"Other Services"))</f>
        <v/>
      </c>
    </row>
    <row r="380" customFormat="false" ht="15" hidden="false" customHeight="false" outlineLevel="0" collapsed="false">
      <c r="E380" s="41" t="str">
        <f aca="false">IF(D380="","",IFERROR(VLOOKUP(D380,Assumptions!$G$5:$H$16,2,0),"Other"))</f>
        <v/>
      </c>
      <c r="J380" s="41" t="str">
        <f aca="false">IF(G380="","",IFERROR(IF(ISNUMBER(SEARCH(Assumptions!$C$5,G380)),Assumptions!$D$5,IF(ISNUMBER(SEARCH(Assumptions!$C$6,G380)),Assumptions!$D$6,IF(ISNUMBER(SEARCH(Assumptions!$C$7,G380)),Assumptions!$D$7,"Other Services"))),"Other Services"))</f>
        <v/>
      </c>
    </row>
    <row r="381" customFormat="false" ht="15" hidden="false" customHeight="false" outlineLevel="0" collapsed="false">
      <c r="E381" s="41" t="str">
        <f aca="false">IF(D381="","",IFERROR(VLOOKUP(D381,Assumptions!$G$5:$H$16,2,0),"Other"))</f>
        <v/>
      </c>
      <c r="J381" s="41" t="str">
        <f aca="false">IF(G381="","",IFERROR(IF(ISNUMBER(SEARCH(Assumptions!$C$5,G381)),Assumptions!$D$5,IF(ISNUMBER(SEARCH(Assumptions!$C$6,G381)),Assumptions!$D$6,IF(ISNUMBER(SEARCH(Assumptions!$C$7,G381)),Assumptions!$D$7,"Other Services"))),"Other Services"))</f>
        <v/>
      </c>
    </row>
    <row r="382" customFormat="false" ht="15" hidden="false" customHeight="false" outlineLevel="0" collapsed="false">
      <c r="E382" s="41" t="str">
        <f aca="false">IF(D382="","",IFERROR(VLOOKUP(D382,Assumptions!$G$5:$H$16,2,0),"Other"))</f>
        <v/>
      </c>
      <c r="J382" s="41" t="str">
        <f aca="false">IF(G382="","",IFERROR(IF(ISNUMBER(SEARCH(Assumptions!$C$5,G382)),Assumptions!$D$5,IF(ISNUMBER(SEARCH(Assumptions!$C$6,G382)),Assumptions!$D$6,IF(ISNUMBER(SEARCH(Assumptions!$C$7,G382)),Assumptions!$D$7,"Other Services"))),"Other Services"))</f>
        <v/>
      </c>
    </row>
    <row r="383" customFormat="false" ht="15" hidden="false" customHeight="false" outlineLevel="0" collapsed="false">
      <c r="E383" s="41" t="str">
        <f aca="false">IF(D383="","",IFERROR(VLOOKUP(D383,Assumptions!$G$5:$H$16,2,0),"Other"))</f>
        <v/>
      </c>
      <c r="J383" s="41" t="str">
        <f aca="false">IF(G383="","",IFERROR(IF(ISNUMBER(SEARCH(Assumptions!$C$5,G383)),Assumptions!$D$5,IF(ISNUMBER(SEARCH(Assumptions!$C$6,G383)),Assumptions!$D$6,IF(ISNUMBER(SEARCH(Assumptions!$C$7,G383)),Assumptions!$D$7,"Other Services"))),"Other Services"))</f>
        <v/>
      </c>
    </row>
    <row r="384" customFormat="false" ht="15" hidden="false" customHeight="false" outlineLevel="0" collapsed="false">
      <c r="E384" s="41" t="str">
        <f aca="false">IF(D384="","",IFERROR(VLOOKUP(D384,Assumptions!$G$5:$H$16,2,0),"Other"))</f>
        <v/>
      </c>
      <c r="J384" s="41" t="str">
        <f aca="false">IF(G384="","",IFERROR(IF(ISNUMBER(SEARCH(Assumptions!$C$5,G384)),Assumptions!$D$5,IF(ISNUMBER(SEARCH(Assumptions!$C$6,G384)),Assumptions!$D$6,IF(ISNUMBER(SEARCH(Assumptions!$C$7,G384)),Assumptions!$D$7,"Other Services"))),"Other Services"))</f>
        <v/>
      </c>
    </row>
    <row r="385" customFormat="false" ht="15" hidden="false" customHeight="false" outlineLevel="0" collapsed="false">
      <c r="E385" s="41" t="str">
        <f aca="false">IF(D385="","",IFERROR(VLOOKUP(D385,Assumptions!$G$5:$H$16,2,0),"Other"))</f>
        <v/>
      </c>
      <c r="J385" s="41" t="str">
        <f aca="false">IF(G385="","",IFERROR(IF(ISNUMBER(SEARCH(Assumptions!$C$5,G385)),Assumptions!$D$5,IF(ISNUMBER(SEARCH(Assumptions!$C$6,G385)),Assumptions!$D$6,IF(ISNUMBER(SEARCH(Assumptions!$C$7,G385)),Assumptions!$D$7,"Other Services"))),"Other Services"))</f>
        <v/>
      </c>
    </row>
    <row r="386" customFormat="false" ht="15" hidden="false" customHeight="false" outlineLevel="0" collapsed="false">
      <c r="E386" s="41" t="str">
        <f aca="false">IF(D386="","",IFERROR(VLOOKUP(D386,Assumptions!$G$5:$H$16,2,0),"Other"))</f>
        <v/>
      </c>
      <c r="J386" s="41" t="str">
        <f aca="false">IF(G386="","",IFERROR(IF(ISNUMBER(SEARCH(Assumptions!$C$5,G386)),Assumptions!$D$5,IF(ISNUMBER(SEARCH(Assumptions!$C$6,G386)),Assumptions!$D$6,IF(ISNUMBER(SEARCH(Assumptions!$C$7,G386)),Assumptions!$D$7,"Other Services"))),"Other Services"))</f>
        <v/>
      </c>
    </row>
    <row r="387" customFormat="false" ht="15" hidden="false" customHeight="false" outlineLevel="0" collapsed="false">
      <c r="E387" s="41" t="str">
        <f aca="false">IF(D387="","",IFERROR(VLOOKUP(D387,Assumptions!$G$5:$H$16,2,0),"Other"))</f>
        <v/>
      </c>
      <c r="J387" s="41" t="str">
        <f aca="false">IF(G387="","",IFERROR(IF(ISNUMBER(SEARCH(Assumptions!$C$5,G387)),Assumptions!$D$5,IF(ISNUMBER(SEARCH(Assumptions!$C$6,G387)),Assumptions!$D$6,IF(ISNUMBER(SEARCH(Assumptions!$C$7,G387)),Assumptions!$D$7,"Other Services"))),"Other Services"))</f>
        <v/>
      </c>
    </row>
    <row r="388" customFormat="false" ht="15" hidden="false" customHeight="false" outlineLevel="0" collapsed="false">
      <c r="E388" s="41" t="str">
        <f aca="false">IF(D388="","",IFERROR(VLOOKUP(D388,Assumptions!$G$5:$H$16,2,0),"Other"))</f>
        <v/>
      </c>
      <c r="J388" s="41" t="str">
        <f aca="false">IF(G388="","",IFERROR(IF(ISNUMBER(SEARCH(Assumptions!$C$5,G388)),Assumptions!$D$5,IF(ISNUMBER(SEARCH(Assumptions!$C$6,G388)),Assumptions!$D$6,IF(ISNUMBER(SEARCH(Assumptions!$C$7,G388)),Assumptions!$D$7,"Other Services"))),"Other Services"))</f>
        <v/>
      </c>
    </row>
    <row r="389" customFormat="false" ht="15" hidden="false" customHeight="false" outlineLevel="0" collapsed="false">
      <c r="E389" s="41" t="str">
        <f aca="false">IF(D389="","",IFERROR(VLOOKUP(D389,Assumptions!$G$5:$H$16,2,0),"Other"))</f>
        <v/>
      </c>
      <c r="J389" s="41" t="str">
        <f aca="false">IF(G389="","",IFERROR(IF(ISNUMBER(SEARCH(Assumptions!$C$5,G389)),Assumptions!$D$5,IF(ISNUMBER(SEARCH(Assumptions!$C$6,G389)),Assumptions!$D$6,IF(ISNUMBER(SEARCH(Assumptions!$C$7,G389)),Assumptions!$D$7,"Other Services"))),"Other Services"))</f>
        <v/>
      </c>
    </row>
    <row r="390" customFormat="false" ht="15" hidden="false" customHeight="false" outlineLevel="0" collapsed="false">
      <c r="E390" s="41" t="str">
        <f aca="false">IF(D390="","",IFERROR(VLOOKUP(D390,Assumptions!$G$5:$H$16,2,0),"Other"))</f>
        <v/>
      </c>
      <c r="J390" s="41" t="str">
        <f aca="false">IF(G390="","",IFERROR(IF(ISNUMBER(SEARCH(Assumptions!$C$5,G390)),Assumptions!$D$5,IF(ISNUMBER(SEARCH(Assumptions!$C$6,G390)),Assumptions!$D$6,IF(ISNUMBER(SEARCH(Assumptions!$C$7,G390)),Assumptions!$D$7,"Other Services"))),"Other Services"))</f>
        <v/>
      </c>
    </row>
    <row r="391" customFormat="false" ht="15" hidden="false" customHeight="false" outlineLevel="0" collapsed="false">
      <c r="E391" s="41" t="str">
        <f aca="false">IF(D391="","",IFERROR(VLOOKUP(D391,Assumptions!$G$5:$H$16,2,0),"Other"))</f>
        <v/>
      </c>
      <c r="J391" s="41" t="str">
        <f aca="false">IF(G391="","",IFERROR(IF(ISNUMBER(SEARCH(Assumptions!$C$5,G391)),Assumptions!$D$5,IF(ISNUMBER(SEARCH(Assumptions!$C$6,G391)),Assumptions!$D$6,IF(ISNUMBER(SEARCH(Assumptions!$C$7,G391)),Assumptions!$D$7,"Other Services"))),"Other Services"))</f>
        <v/>
      </c>
    </row>
    <row r="392" customFormat="false" ht="15" hidden="false" customHeight="false" outlineLevel="0" collapsed="false">
      <c r="E392" s="41" t="str">
        <f aca="false">IF(D392="","",IFERROR(VLOOKUP(D392,Assumptions!$G$5:$H$16,2,0),"Other"))</f>
        <v/>
      </c>
      <c r="J392" s="41" t="str">
        <f aca="false">IF(G392="","",IFERROR(IF(ISNUMBER(SEARCH(Assumptions!$C$5,G392)),Assumptions!$D$5,IF(ISNUMBER(SEARCH(Assumptions!$C$6,G392)),Assumptions!$D$6,IF(ISNUMBER(SEARCH(Assumptions!$C$7,G392)),Assumptions!$D$7,"Other Services"))),"Other Services"))</f>
        <v/>
      </c>
    </row>
    <row r="393" customFormat="false" ht="15" hidden="false" customHeight="false" outlineLevel="0" collapsed="false">
      <c r="E393" s="41" t="str">
        <f aca="false">IF(D393="","",IFERROR(VLOOKUP(D393,Assumptions!$G$5:$H$16,2,0),"Other"))</f>
        <v/>
      </c>
      <c r="J393" s="41" t="str">
        <f aca="false">IF(G393="","",IFERROR(IF(ISNUMBER(SEARCH(Assumptions!$C$5,G393)),Assumptions!$D$5,IF(ISNUMBER(SEARCH(Assumptions!$C$6,G393)),Assumptions!$D$6,IF(ISNUMBER(SEARCH(Assumptions!$C$7,G393)),Assumptions!$D$7,"Other Services"))),"Other Services"))</f>
        <v/>
      </c>
    </row>
    <row r="394" customFormat="false" ht="15" hidden="false" customHeight="false" outlineLevel="0" collapsed="false">
      <c r="E394" s="41" t="str">
        <f aca="false">IF(D394="","",IFERROR(VLOOKUP(D394,Assumptions!$G$5:$H$16,2,0),"Other"))</f>
        <v/>
      </c>
      <c r="J394" s="41" t="str">
        <f aca="false">IF(G394="","",IFERROR(IF(ISNUMBER(SEARCH(Assumptions!$C$5,G394)),Assumptions!$D$5,IF(ISNUMBER(SEARCH(Assumptions!$C$6,G394)),Assumptions!$D$6,IF(ISNUMBER(SEARCH(Assumptions!$C$7,G394)),Assumptions!$D$7,"Other Services"))),"Other Services"))</f>
        <v/>
      </c>
    </row>
    <row r="395" customFormat="false" ht="15" hidden="false" customHeight="false" outlineLevel="0" collapsed="false">
      <c r="E395" s="41" t="str">
        <f aca="false">IF(D395="","",IFERROR(VLOOKUP(D395,Assumptions!$G$5:$H$16,2,0),"Other"))</f>
        <v/>
      </c>
      <c r="J395" s="41" t="str">
        <f aca="false">IF(G395="","",IFERROR(IF(ISNUMBER(SEARCH(Assumptions!$C$5,G395)),Assumptions!$D$5,IF(ISNUMBER(SEARCH(Assumptions!$C$6,G395)),Assumptions!$D$6,IF(ISNUMBER(SEARCH(Assumptions!$C$7,G395)),Assumptions!$D$7,"Other Services"))),"Other Services"))</f>
        <v/>
      </c>
    </row>
    <row r="396" customFormat="false" ht="15" hidden="false" customHeight="false" outlineLevel="0" collapsed="false">
      <c r="E396" s="41" t="str">
        <f aca="false">IF(D396="","",IFERROR(VLOOKUP(D396,Assumptions!$G$5:$H$16,2,0),"Other"))</f>
        <v/>
      </c>
      <c r="J396" s="41" t="str">
        <f aca="false">IF(G396="","",IFERROR(IF(ISNUMBER(SEARCH(Assumptions!$C$5,G396)),Assumptions!$D$5,IF(ISNUMBER(SEARCH(Assumptions!$C$6,G396)),Assumptions!$D$6,IF(ISNUMBER(SEARCH(Assumptions!$C$7,G396)),Assumptions!$D$7,"Other Services"))),"Other Services"))</f>
        <v/>
      </c>
    </row>
    <row r="397" customFormat="false" ht="15" hidden="false" customHeight="false" outlineLevel="0" collapsed="false">
      <c r="E397" s="41" t="str">
        <f aca="false">IF(D397="","",IFERROR(VLOOKUP(D397,Assumptions!$G$5:$H$16,2,0),"Other"))</f>
        <v/>
      </c>
      <c r="J397" s="41" t="str">
        <f aca="false">IF(G397="","",IFERROR(IF(ISNUMBER(SEARCH(Assumptions!$C$5,G397)),Assumptions!$D$5,IF(ISNUMBER(SEARCH(Assumptions!$C$6,G397)),Assumptions!$D$6,IF(ISNUMBER(SEARCH(Assumptions!$C$7,G397)),Assumptions!$D$7,"Other Services"))),"Other Services"))</f>
        <v/>
      </c>
    </row>
    <row r="398" customFormat="false" ht="15" hidden="false" customHeight="false" outlineLevel="0" collapsed="false">
      <c r="E398" s="41" t="str">
        <f aca="false">IF(D398="","",IFERROR(VLOOKUP(D398,Assumptions!$G$5:$H$16,2,0),"Other"))</f>
        <v/>
      </c>
      <c r="J398" s="41" t="str">
        <f aca="false">IF(G398="","",IFERROR(IF(ISNUMBER(SEARCH(Assumptions!$C$5,G398)),Assumptions!$D$5,IF(ISNUMBER(SEARCH(Assumptions!$C$6,G398)),Assumptions!$D$6,IF(ISNUMBER(SEARCH(Assumptions!$C$7,G398)),Assumptions!$D$7,"Other Services"))),"Other Services"))</f>
        <v/>
      </c>
    </row>
    <row r="399" customFormat="false" ht="15" hidden="false" customHeight="false" outlineLevel="0" collapsed="false">
      <c r="E399" s="41" t="str">
        <f aca="false">IF(D399="","",IFERROR(VLOOKUP(D399,Assumptions!$G$5:$H$16,2,0),"Other"))</f>
        <v/>
      </c>
      <c r="J399" s="41" t="str">
        <f aca="false">IF(G399="","",IFERROR(IF(ISNUMBER(SEARCH(Assumptions!$C$5,G399)),Assumptions!$D$5,IF(ISNUMBER(SEARCH(Assumptions!$C$6,G399)),Assumptions!$D$6,IF(ISNUMBER(SEARCH(Assumptions!$C$7,G399)),Assumptions!$D$7,"Other Services"))),"Other Services"))</f>
        <v/>
      </c>
    </row>
    <row r="400" customFormat="false" ht="15" hidden="false" customHeight="false" outlineLevel="0" collapsed="false">
      <c r="E400" s="41" t="str">
        <f aca="false">IF(D400="","",IFERROR(VLOOKUP(D400,Assumptions!$G$5:$H$16,2,0),"Other"))</f>
        <v/>
      </c>
      <c r="J400" s="41" t="str">
        <f aca="false">IF(G400="","",IFERROR(IF(ISNUMBER(SEARCH(Assumptions!$C$5,G400)),Assumptions!$D$5,IF(ISNUMBER(SEARCH(Assumptions!$C$6,G400)),Assumptions!$D$6,IF(ISNUMBER(SEARCH(Assumptions!$C$7,G400)),Assumptions!$D$7,"Other Services"))),"Other Services"))</f>
        <v/>
      </c>
    </row>
    <row r="401" customFormat="false" ht="15" hidden="false" customHeight="false" outlineLevel="0" collapsed="false">
      <c r="E401" s="41" t="str">
        <f aca="false">IF(D401="","",IFERROR(VLOOKUP(D401,Assumptions!$G$5:$H$16,2,0),"Other"))</f>
        <v/>
      </c>
      <c r="J401" s="41" t="str">
        <f aca="false">IF(G401="","",IFERROR(IF(ISNUMBER(SEARCH(Assumptions!$C$5,G401)),Assumptions!$D$5,IF(ISNUMBER(SEARCH(Assumptions!$C$6,G401)),Assumptions!$D$6,IF(ISNUMBER(SEARCH(Assumptions!$C$7,G401)),Assumptions!$D$7,"Other Services"))),"Other Services"))</f>
        <v/>
      </c>
    </row>
    <row r="402" customFormat="false" ht="15" hidden="false" customHeight="false" outlineLevel="0" collapsed="false">
      <c r="E402" s="41" t="str">
        <f aca="false">IF(D402="","",IFERROR(VLOOKUP(D402,Assumptions!$G$5:$H$16,2,0),"Other"))</f>
        <v/>
      </c>
      <c r="J402" s="41" t="str">
        <f aca="false">IF(G402="","",IFERROR(IF(ISNUMBER(SEARCH(Assumptions!$C$5,G402)),Assumptions!$D$5,IF(ISNUMBER(SEARCH(Assumptions!$C$6,G402)),Assumptions!$D$6,IF(ISNUMBER(SEARCH(Assumptions!$C$7,G402)),Assumptions!$D$7,"Other Services"))),"Other Services"))</f>
        <v/>
      </c>
    </row>
    <row r="403" customFormat="false" ht="15" hidden="false" customHeight="false" outlineLevel="0" collapsed="false">
      <c r="E403" s="41" t="str">
        <f aca="false">IF(D403="","",IFERROR(VLOOKUP(D403,Assumptions!$G$5:$H$16,2,0),"Other"))</f>
        <v/>
      </c>
      <c r="J403" s="41" t="str">
        <f aca="false">IF(G403="","",IFERROR(IF(ISNUMBER(SEARCH(Assumptions!$C$5,G403)),Assumptions!$D$5,IF(ISNUMBER(SEARCH(Assumptions!$C$6,G403)),Assumptions!$D$6,IF(ISNUMBER(SEARCH(Assumptions!$C$7,G403)),Assumptions!$D$7,"Other Services"))),"Other Services"))</f>
        <v/>
      </c>
    </row>
    <row r="404" customFormat="false" ht="15" hidden="false" customHeight="false" outlineLevel="0" collapsed="false">
      <c r="E404" s="41" t="str">
        <f aca="false">IF(D404="","",IFERROR(VLOOKUP(D404,Assumptions!$G$5:$H$16,2,0),"Other"))</f>
        <v/>
      </c>
      <c r="J404" s="41" t="str">
        <f aca="false">IF(G404="","",IFERROR(IF(ISNUMBER(SEARCH(Assumptions!$C$5,G404)),Assumptions!$D$5,IF(ISNUMBER(SEARCH(Assumptions!$C$6,G404)),Assumptions!$D$6,IF(ISNUMBER(SEARCH(Assumptions!$C$7,G404)),Assumptions!$D$7,"Other Services"))),"Other Services"))</f>
        <v/>
      </c>
    </row>
    <row r="405" customFormat="false" ht="15" hidden="false" customHeight="false" outlineLevel="0" collapsed="false">
      <c r="E405" s="41" t="str">
        <f aca="false">IF(D405="","",IFERROR(VLOOKUP(D405,Assumptions!$G$5:$H$16,2,0),"Other"))</f>
        <v/>
      </c>
      <c r="J405" s="41" t="str">
        <f aca="false">IF(G405="","",IFERROR(IF(ISNUMBER(SEARCH(Assumptions!$C$5,G405)),Assumptions!$D$5,IF(ISNUMBER(SEARCH(Assumptions!$C$6,G405)),Assumptions!$D$6,IF(ISNUMBER(SEARCH(Assumptions!$C$7,G405)),Assumptions!$D$7,"Other Services"))),"Other Services"))</f>
        <v/>
      </c>
    </row>
    <row r="406" customFormat="false" ht="15" hidden="false" customHeight="false" outlineLevel="0" collapsed="false">
      <c r="E406" s="41" t="str">
        <f aca="false">IF(D406="","",IFERROR(VLOOKUP(D406,Assumptions!$G$5:$H$16,2,0),"Other"))</f>
        <v/>
      </c>
      <c r="J406" s="41" t="str">
        <f aca="false">IF(G406="","",IFERROR(IF(ISNUMBER(SEARCH(Assumptions!$C$5,G406)),Assumptions!$D$5,IF(ISNUMBER(SEARCH(Assumptions!$C$6,G406)),Assumptions!$D$6,IF(ISNUMBER(SEARCH(Assumptions!$C$7,G406)),Assumptions!$D$7,"Other Services"))),"Other Services"))</f>
        <v/>
      </c>
    </row>
    <row r="407" customFormat="false" ht="15" hidden="false" customHeight="false" outlineLevel="0" collapsed="false">
      <c r="E407" s="41" t="str">
        <f aca="false">IF(D407="","",IFERROR(VLOOKUP(D407,Assumptions!$G$5:$H$16,2,0),"Other"))</f>
        <v/>
      </c>
      <c r="J407" s="41" t="str">
        <f aca="false">IF(G407="","",IFERROR(IF(ISNUMBER(SEARCH(Assumptions!$C$5,G407)),Assumptions!$D$5,IF(ISNUMBER(SEARCH(Assumptions!$C$6,G407)),Assumptions!$D$6,IF(ISNUMBER(SEARCH(Assumptions!$C$7,G407)),Assumptions!$D$7,"Other Services"))),"Other Services"))</f>
        <v/>
      </c>
    </row>
    <row r="408" customFormat="false" ht="15" hidden="false" customHeight="false" outlineLevel="0" collapsed="false">
      <c r="E408" s="41" t="str">
        <f aca="false">IF(D408="","",IFERROR(VLOOKUP(D408,Assumptions!$G$5:$H$16,2,0),"Other"))</f>
        <v/>
      </c>
      <c r="J408" s="41" t="str">
        <f aca="false">IF(G408="","",IFERROR(IF(ISNUMBER(SEARCH(Assumptions!$C$5,G408)),Assumptions!$D$5,IF(ISNUMBER(SEARCH(Assumptions!$C$6,G408)),Assumptions!$D$6,IF(ISNUMBER(SEARCH(Assumptions!$C$7,G408)),Assumptions!$D$7,"Other Services"))),"Other Services"))</f>
        <v/>
      </c>
    </row>
    <row r="409" customFormat="false" ht="15" hidden="false" customHeight="false" outlineLevel="0" collapsed="false">
      <c r="E409" s="41" t="str">
        <f aca="false">IF(D409="","",IFERROR(VLOOKUP(D409,Assumptions!$G$5:$H$16,2,0),"Other"))</f>
        <v/>
      </c>
      <c r="J409" s="41" t="str">
        <f aca="false">IF(G409="","",IFERROR(IF(ISNUMBER(SEARCH(Assumptions!$C$5,G409)),Assumptions!$D$5,IF(ISNUMBER(SEARCH(Assumptions!$C$6,G409)),Assumptions!$D$6,IF(ISNUMBER(SEARCH(Assumptions!$C$7,G409)),Assumptions!$D$7,"Other Services"))),"Other Services"))</f>
        <v/>
      </c>
    </row>
    <row r="410" customFormat="false" ht="15" hidden="false" customHeight="false" outlineLevel="0" collapsed="false">
      <c r="E410" s="41" t="str">
        <f aca="false">IF(D410="","",IFERROR(VLOOKUP(D410,Assumptions!$G$5:$H$16,2,0),"Other"))</f>
        <v/>
      </c>
      <c r="J410" s="41" t="str">
        <f aca="false">IF(G410="","",IFERROR(IF(ISNUMBER(SEARCH(Assumptions!$C$5,G410)),Assumptions!$D$5,IF(ISNUMBER(SEARCH(Assumptions!$C$6,G410)),Assumptions!$D$6,IF(ISNUMBER(SEARCH(Assumptions!$C$7,G410)),Assumptions!$D$7,"Other Services"))),"Other Services"))</f>
        <v/>
      </c>
    </row>
    <row r="411" customFormat="false" ht="15" hidden="false" customHeight="false" outlineLevel="0" collapsed="false">
      <c r="E411" s="41" t="str">
        <f aca="false">IF(D411="","",IFERROR(VLOOKUP(D411,Assumptions!$G$5:$H$16,2,0),"Other"))</f>
        <v/>
      </c>
      <c r="J411" s="41" t="str">
        <f aca="false">IF(G411="","",IFERROR(IF(ISNUMBER(SEARCH(Assumptions!$C$5,G411)),Assumptions!$D$5,IF(ISNUMBER(SEARCH(Assumptions!$C$6,G411)),Assumptions!$D$6,IF(ISNUMBER(SEARCH(Assumptions!$C$7,G411)),Assumptions!$D$7,"Other Services"))),"Other Services"))</f>
        <v/>
      </c>
    </row>
    <row r="412" customFormat="false" ht="15" hidden="false" customHeight="false" outlineLevel="0" collapsed="false">
      <c r="E412" s="41" t="str">
        <f aca="false">IF(D412="","",IFERROR(VLOOKUP(D412,Assumptions!$G$5:$H$16,2,0),"Other"))</f>
        <v/>
      </c>
      <c r="J412" s="41" t="str">
        <f aca="false">IF(G412="","",IFERROR(IF(ISNUMBER(SEARCH(Assumptions!$C$5,G412)),Assumptions!$D$5,IF(ISNUMBER(SEARCH(Assumptions!$C$6,G412)),Assumptions!$D$6,IF(ISNUMBER(SEARCH(Assumptions!$C$7,G412)),Assumptions!$D$7,"Other Services"))),"Other Services"))</f>
        <v/>
      </c>
    </row>
    <row r="413" customFormat="false" ht="15" hidden="false" customHeight="false" outlineLevel="0" collapsed="false">
      <c r="E413" s="41" t="str">
        <f aca="false">IF(D413="","",IFERROR(VLOOKUP(D413,Assumptions!$G$5:$H$16,2,0),"Other"))</f>
        <v/>
      </c>
      <c r="J413" s="41" t="str">
        <f aca="false">IF(G413="","",IFERROR(IF(ISNUMBER(SEARCH(Assumptions!$C$5,G413)),Assumptions!$D$5,IF(ISNUMBER(SEARCH(Assumptions!$C$6,G413)),Assumptions!$D$6,IF(ISNUMBER(SEARCH(Assumptions!$C$7,G413)),Assumptions!$D$7,"Other Services"))),"Other Services"))</f>
        <v/>
      </c>
    </row>
    <row r="414" customFormat="false" ht="15" hidden="false" customHeight="false" outlineLevel="0" collapsed="false">
      <c r="E414" s="41" t="str">
        <f aca="false">IF(D414="","",IFERROR(VLOOKUP(D414,Assumptions!$G$5:$H$16,2,0),"Other"))</f>
        <v/>
      </c>
      <c r="J414" s="41" t="str">
        <f aca="false">IF(G414="","",IFERROR(IF(ISNUMBER(SEARCH(Assumptions!$C$5,G414)),Assumptions!$D$5,IF(ISNUMBER(SEARCH(Assumptions!$C$6,G414)),Assumptions!$D$6,IF(ISNUMBER(SEARCH(Assumptions!$C$7,G414)),Assumptions!$D$7,"Other Services"))),"Other Services"))</f>
        <v/>
      </c>
    </row>
    <row r="415" customFormat="false" ht="15" hidden="false" customHeight="false" outlineLevel="0" collapsed="false">
      <c r="E415" s="41" t="str">
        <f aca="false">IF(D415="","",IFERROR(VLOOKUP(D415,Assumptions!$G$5:$H$16,2,0),"Other"))</f>
        <v/>
      </c>
      <c r="J415" s="41" t="str">
        <f aca="false">IF(G415="","",IFERROR(IF(ISNUMBER(SEARCH(Assumptions!$C$5,G415)),Assumptions!$D$5,IF(ISNUMBER(SEARCH(Assumptions!$C$6,G415)),Assumptions!$D$6,IF(ISNUMBER(SEARCH(Assumptions!$C$7,G415)),Assumptions!$D$7,"Other Services"))),"Other Services"))</f>
        <v/>
      </c>
    </row>
    <row r="416" customFormat="false" ht="15" hidden="false" customHeight="false" outlineLevel="0" collapsed="false">
      <c r="E416" s="41" t="str">
        <f aca="false">IF(D416="","",IFERROR(VLOOKUP(D416,Assumptions!$G$5:$H$16,2,0),"Other"))</f>
        <v/>
      </c>
      <c r="J416" s="41" t="str">
        <f aca="false">IF(G416="","",IFERROR(IF(ISNUMBER(SEARCH(Assumptions!$C$5,G416)),Assumptions!$D$5,IF(ISNUMBER(SEARCH(Assumptions!$C$6,G416)),Assumptions!$D$6,IF(ISNUMBER(SEARCH(Assumptions!$C$7,G416)),Assumptions!$D$7,"Other Services"))),"Other Services"))</f>
        <v/>
      </c>
    </row>
    <row r="417" customFormat="false" ht="15" hidden="false" customHeight="false" outlineLevel="0" collapsed="false">
      <c r="E417" s="41" t="str">
        <f aca="false">IF(D417="","",IFERROR(VLOOKUP(D417,Assumptions!$G$5:$H$16,2,0),"Other"))</f>
        <v/>
      </c>
      <c r="J417" s="41" t="str">
        <f aca="false">IF(G417="","",IFERROR(IF(ISNUMBER(SEARCH(Assumptions!$C$5,G417)),Assumptions!$D$5,IF(ISNUMBER(SEARCH(Assumptions!$C$6,G417)),Assumptions!$D$6,IF(ISNUMBER(SEARCH(Assumptions!$C$7,G417)),Assumptions!$D$7,"Other Services"))),"Other Services"))</f>
        <v/>
      </c>
    </row>
    <row r="418" customFormat="false" ht="15" hidden="false" customHeight="false" outlineLevel="0" collapsed="false">
      <c r="E418" s="41" t="str">
        <f aca="false">IF(D418="","",IFERROR(VLOOKUP(D418,Assumptions!$G$5:$H$16,2,0),"Other"))</f>
        <v/>
      </c>
      <c r="J418" s="41" t="str">
        <f aca="false">IF(G418="","",IFERROR(IF(ISNUMBER(SEARCH(Assumptions!$C$5,G418)),Assumptions!$D$5,IF(ISNUMBER(SEARCH(Assumptions!$C$6,G418)),Assumptions!$D$6,IF(ISNUMBER(SEARCH(Assumptions!$C$7,G418)),Assumptions!$D$7,"Other Services"))),"Other Services"))</f>
        <v/>
      </c>
    </row>
    <row r="419" customFormat="false" ht="15" hidden="false" customHeight="false" outlineLevel="0" collapsed="false">
      <c r="E419" s="41" t="str">
        <f aca="false">IF(D419="","",IFERROR(VLOOKUP(D419,Assumptions!$G$5:$H$16,2,0),"Other"))</f>
        <v/>
      </c>
      <c r="J419" s="41" t="str">
        <f aca="false">IF(G419="","",IFERROR(IF(ISNUMBER(SEARCH(Assumptions!$C$5,G419)),Assumptions!$D$5,IF(ISNUMBER(SEARCH(Assumptions!$C$6,G419)),Assumptions!$D$6,IF(ISNUMBER(SEARCH(Assumptions!$C$7,G419)),Assumptions!$D$7,"Other Services"))),"Other Services"))</f>
        <v/>
      </c>
    </row>
    <row r="420" customFormat="false" ht="15" hidden="false" customHeight="false" outlineLevel="0" collapsed="false">
      <c r="E420" s="41" t="str">
        <f aca="false">IF(D420="","",IFERROR(VLOOKUP(D420,Assumptions!$G$5:$H$16,2,0),"Other"))</f>
        <v/>
      </c>
      <c r="J420" s="41" t="str">
        <f aca="false">IF(G420="","",IFERROR(IF(ISNUMBER(SEARCH(Assumptions!$C$5,G420)),Assumptions!$D$5,IF(ISNUMBER(SEARCH(Assumptions!$C$6,G420)),Assumptions!$D$6,IF(ISNUMBER(SEARCH(Assumptions!$C$7,G420)),Assumptions!$D$7,"Other Services"))),"Other Services"))</f>
        <v/>
      </c>
    </row>
    <row r="421" customFormat="false" ht="15" hidden="false" customHeight="false" outlineLevel="0" collapsed="false">
      <c r="E421" s="41" t="str">
        <f aca="false">IF(D421="","",IFERROR(VLOOKUP(D421,Assumptions!$G$5:$H$16,2,0),"Other"))</f>
        <v/>
      </c>
      <c r="J421" s="41" t="str">
        <f aca="false">IF(G421="","",IFERROR(IF(ISNUMBER(SEARCH(Assumptions!$C$5,G421)),Assumptions!$D$5,IF(ISNUMBER(SEARCH(Assumptions!$C$6,G421)),Assumptions!$D$6,IF(ISNUMBER(SEARCH(Assumptions!$C$7,G421)),Assumptions!$D$7,"Other Services"))),"Other Services"))</f>
        <v/>
      </c>
    </row>
    <row r="422" customFormat="false" ht="15" hidden="false" customHeight="false" outlineLevel="0" collapsed="false">
      <c r="E422" s="41" t="str">
        <f aca="false">IF(D422="","",IFERROR(VLOOKUP(D422,Assumptions!$G$5:$H$16,2,0),"Other"))</f>
        <v/>
      </c>
      <c r="J422" s="41" t="str">
        <f aca="false">IF(G422="","",IFERROR(IF(ISNUMBER(SEARCH(Assumptions!$C$5,G422)),Assumptions!$D$5,IF(ISNUMBER(SEARCH(Assumptions!$C$6,G422)),Assumptions!$D$6,IF(ISNUMBER(SEARCH(Assumptions!$C$7,G422)),Assumptions!$D$7,"Other Services"))),"Other Services"))</f>
        <v/>
      </c>
    </row>
    <row r="423" customFormat="false" ht="15" hidden="false" customHeight="false" outlineLevel="0" collapsed="false">
      <c r="E423" s="41" t="str">
        <f aca="false">IF(D423="","",IFERROR(VLOOKUP(D423,Assumptions!$G$5:$H$16,2,0),"Other"))</f>
        <v/>
      </c>
      <c r="J423" s="41" t="str">
        <f aca="false">IF(G423="","",IFERROR(IF(ISNUMBER(SEARCH(Assumptions!$C$5,G423)),Assumptions!$D$5,IF(ISNUMBER(SEARCH(Assumptions!$C$6,G423)),Assumptions!$D$6,IF(ISNUMBER(SEARCH(Assumptions!$C$7,G423)),Assumptions!$D$7,"Other Services"))),"Other Services"))</f>
        <v/>
      </c>
    </row>
    <row r="424" customFormat="false" ht="15" hidden="false" customHeight="false" outlineLevel="0" collapsed="false">
      <c r="E424" s="41" t="str">
        <f aca="false">IF(D424="","",IFERROR(VLOOKUP(D424,Assumptions!$G$5:$H$16,2,0),"Other"))</f>
        <v/>
      </c>
      <c r="J424" s="41" t="str">
        <f aca="false">IF(G424="","",IFERROR(IF(ISNUMBER(SEARCH(Assumptions!$C$5,G424)),Assumptions!$D$5,IF(ISNUMBER(SEARCH(Assumptions!$C$6,G424)),Assumptions!$D$6,IF(ISNUMBER(SEARCH(Assumptions!$C$7,G424)),Assumptions!$D$7,"Other Services"))),"Other Services"))</f>
        <v/>
      </c>
    </row>
    <row r="425" customFormat="false" ht="15" hidden="false" customHeight="false" outlineLevel="0" collapsed="false">
      <c r="E425" s="41" t="str">
        <f aca="false">IF(D425="","",IFERROR(VLOOKUP(D425,Assumptions!$G$5:$H$16,2,0),"Other"))</f>
        <v/>
      </c>
      <c r="J425" s="41" t="str">
        <f aca="false">IF(G425="","",IFERROR(IF(ISNUMBER(SEARCH(Assumptions!$C$5,G425)),Assumptions!$D$5,IF(ISNUMBER(SEARCH(Assumptions!$C$6,G425)),Assumptions!$D$6,IF(ISNUMBER(SEARCH(Assumptions!$C$7,G425)),Assumptions!$D$7,"Other Services"))),"Other Services"))</f>
        <v/>
      </c>
    </row>
    <row r="426" customFormat="false" ht="15" hidden="false" customHeight="false" outlineLevel="0" collapsed="false">
      <c r="E426" s="41" t="str">
        <f aca="false">IF(D426="","",IFERROR(VLOOKUP(D426,Assumptions!$G$5:$H$16,2,0),"Other"))</f>
        <v/>
      </c>
      <c r="J426" s="41" t="str">
        <f aca="false">IF(G426="","",IFERROR(IF(ISNUMBER(SEARCH(Assumptions!$C$5,G426)),Assumptions!$D$5,IF(ISNUMBER(SEARCH(Assumptions!$C$6,G426)),Assumptions!$D$6,IF(ISNUMBER(SEARCH(Assumptions!$C$7,G426)),Assumptions!$D$7,"Other Services"))),"Other Services"))</f>
        <v/>
      </c>
    </row>
    <row r="427" customFormat="false" ht="15" hidden="false" customHeight="false" outlineLevel="0" collapsed="false">
      <c r="E427" s="41" t="str">
        <f aca="false">IF(D427="","",IFERROR(VLOOKUP(D427,Assumptions!$G$5:$H$16,2,0),"Other"))</f>
        <v/>
      </c>
      <c r="J427" s="41" t="str">
        <f aca="false">IF(G427="","",IFERROR(IF(ISNUMBER(SEARCH(Assumptions!$C$5,G427)),Assumptions!$D$5,IF(ISNUMBER(SEARCH(Assumptions!$C$6,G427)),Assumptions!$D$6,IF(ISNUMBER(SEARCH(Assumptions!$C$7,G427)),Assumptions!$D$7,"Other Services"))),"Other Services"))</f>
        <v/>
      </c>
    </row>
    <row r="428" customFormat="false" ht="15" hidden="false" customHeight="false" outlineLevel="0" collapsed="false">
      <c r="E428" s="41" t="str">
        <f aca="false">IF(D428="","",IFERROR(VLOOKUP(D428,Assumptions!$G$5:$H$16,2,0),"Other"))</f>
        <v/>
      </c>
      <c r="J428" s="41" t="str">
        <f aca="false">IF(G428="","",IFERROR(IF(ISNUMBER(SEARCH(Assumptions!$C$5,G428)),Assumptions!$D$5,IF(ISNUMBER(SEARCH(Assumptions!$C$6,G428)),Assumptions!$D$6,IF(ISNUMBER(SEARCH(Assumptions!$C$7,G428)),Assumptions!$D$7,"Other Services"))),"Other Services"))</f>
        <v/>
      </c>
    </row>
    <row r="429" customFormat="false" ht="15" hidden="false" customHeight="false" outlineLevel="0" collapsed="false">
      <c r="E429" s="41" t="str">
        <f aca="false">IF(D429="","",IFERROR(VLOOKUP(D429,Assumptions!$G$5:$H$16,2,0),"Other"))</f>
        <v/>
      </c>
      <c r="J429" s="41" t="str">
        <f aca="false">IF(G429="","",IFERROR(IF(ISNUMBER(SEARCH(Assumptions!$C$5,G429)),Assumptions!$D$5,IF(ISNUMBER(SEARCH(Assumptions!$C$6,G429)),Assumptions!$D$6,IF(ISNUMBER(SEARCH(Assumptions!$C$7,G429)),Assumptions!$D$7,"Other Services"))),"Other Services"))</f>
        <v/>
      </c>
    </row>
    <row r="430" customFormat="false" ht="15" hidden="false" customHeight="false" outlineLevel="0" collapsed="false">
      <c r="E430" s="41" t="str">
        <f aca="false">IF(D430="","",IFERROR(VLOOKUP(D430,Assumptions!$G$5:$H$16,2,0),"Other"))</f>
        <v/>
      </c>
      <c r="J430" s="41" t="str">
        <f aca="false">IF(G430="","",IFERROR(IF(ISNUMBER(SEARCH(Assumptions!$C$5,G430)),Assumptions!$D$5,IF(ISNUMBER(SEARCH(Assumptions!$C$6,G430)),Assumptions!$D$6,IF(ISNUMBER(SEARCH(Assumptions!$C$7,G430)),Assumptions!$D$7,"Other Services"))),"Other Services"))</f>
        <v/>
      </c>
    </row>
    <row r="431" customFormat="false" ht="15" hidden="false" customHeight="false" outlineLevel="0" collapsed="false">
      <c r="E431" s="41" t="str">
        <f aca="false">IF(D431="","",IFERROR(VLOOKUP(D431,Assumptions!$G$5:$H$16,2,0),"Other"))</f>
        <v/>
      </c>
      <c r="J431" s="41" t="str">
        <f aca="false">IF(G431="","",IFERROR(IF(ISNUMBER(SEARCH(Assumptions!$C$5,G431)),Assumptions!$D$5,IF(ISNUMBER(SEARCH(Assumptions!$C$6,G431)),Assumptions!$D$6,IF(ISNUMBER(SEARCH(Assumptions!$C$7,G431)),Assumptions!$D$7,"Other Services"))),"Other Services"))</f>
        <v/>
      </c>
    </row>
    <row r="432" customFormat="false" ht="15" hidden="false" customHeight="false" outlineLevel="0" collapsed="false">
      <c r="E432" s="41" t="str">
        <f aca="false">IF(D432="","",IFERROR(VLOOKUP(D432,Assumptions!$G$5:$H$16,2,0),"Other"))</f>
        <v/>
      </c>
      <c r="J432" s="41" t="str">
        <f aca="false">IF(G432="","",IFERROR(IF(ISNUMBER(SEARCH(Assumptions!$C$5,G432)),Assumptions!$D$5,IF(ISNUMBER(SEARCH(Assumptions!$C$6,G432)),Assumptions!$D$6,IF(ISNUMBER(SEARCH(Assumptions!$C$7,G432)),Assumptions!$D$7,"Other Services"))),"Other Services"))</f>
        <v/>
      </c>
    </row>
    <row r="433" customFormat="false" ht="15" hidden="false" customHeight="false" outlineLevel="0" collapsed="false">
      <c r="E433" s="41" t="str">
        <f aca="false">IF(D433="","",IFERROR(VLOOKUP(D433,Assumptions!$G$5:$H$16,2,0),"Other"))</f>
        <v/>
      </c>
      <c r="J433" s="41" t="str">
        <f aca="false">IF(G433="","",IFERROR(IF(ISNUMBER(SEARCH(Assumptions!$C$5,G433)),Assumptions!$D$5,IF(ISNUMBER(SEARCH(Assumptions!$C$6,G433)),Assumptions!$D$6,IF(ISNUMBER(SEARCH(Assumptions!$C$7,G433)),Assumptions!$D$7,"Other Services"))),"Other Services"))</f>
        <v/>
      </c>
    </row>
    <row r="434" customFormat="false" ht="15" hidden="false" customHeight="false" outlineLevel="0" collapsed="false">
      <c r="E434" s="41" t="str">
        <f aca="false">IF(D434="","",IFERROR(VLOOKUP(D434,Assumptions!$G$5:$H$16,2,0),"Other"))</f>
        <v/>
      </c>
      <c r="J434" s="41" t="str">
        <f aca="false">IF(G434="","",IFERROR(IF(ISNUMBER(SEARCH(Assumptions!$C$5,G434)),Assumptions!$D$5,IF(ISNUMBER(SEARCH(Assumptions!$C$6,G434)),Assumptions!$D$6,IF(ISNUMBER(SEARCH(Assumptions!$C$7,G434)),Assumptions!$D$7,"Other Services"))),"Other Services"))</f>
        <v/>
      </c>
    </row>
    <row r="435" customFormat="false" ht="15" hidden="false" customHeight="false" outlineLevel="0" collapsed="false">
      <c r="E435" s="41" t="str">
        <f aca="false">IF(D435="","",IFERROR(VLOOKUP(D435,Assumptions!$G$5:$H$16,2,0),"Other"))</f>
        <v/>
      </c>
      <c r="J435" s="41" t="str">
        <f aca="false">IF(G435="","",IFERROR(IF(ISNUMBER(SEARCH(Assumptions!$C$5,G435)),Assumptions!$D$5,IF(ISNUMBER(SEARCH(Assumptions!$C$6,G435)),Assumptions!$D$6,IF(ISNUMBER(SEARCH(Assumptions!$C$7,G435)),Assumptions!$D$7,"Other Services"))),"Other Services"))</f>
        <v/>
      </c>
    </row>
    <row r="436" customFormat="false" ht="15" hidden="false" customHeight="false" outlineLevel="0" collapsed="false">
      <c r="E436" s="41" t="str">
        <f aca="false">IF(D436="","",IFERROR(VLOOKUP(D436,Assumptions!$G$5:$H$16,2,0),"Other"))</f>
        <v/>
      </c>
      <c r="J436" s="41" t="str">
        <f aca="false">IF(G436="","",IFERROR(IF(ISNUMBER(SEARCH(Assumptions!$C$5,G436)),Assumptions!$D$5,IF(ISNUMBER(SEARCH(Assumptions!$C$6,G436)),Assumptions!$D$6,IF(ISNUMBER(SEARCH(Assumptions!$C$7,G436)),Assumptions!$D$7,"Other Services"))),"Other Services"))</f>
        <v/>
      </c>
    </row>
    <row r="437" customFormat="false" ht="15" hidden="false" customHeight="false" outlineLevel="0" collapsed="false">
      <c r="E437" s="41" t="str">
        <f aca="false">IF(D437="","",IFERROR(VLOOKUP(D437,Assumptions!$G$5:$H$16,2,0),"Other"))</f>
        <v/>
      </c>
      <c r="J437" s="41" t="str">
        <f aca="false">IF(G437="","",IFERROR(IF(ISNUMBER(SEARCH(Assumptions!$C$5,G437)),Assumptions!$D$5,IF(ISNUMBER(SEARCH(Assumptions!$C$6,G437)),Assumptions!$D$6,IF(ISNUMBER(SEARCH(Assumptions!$C$7,G437)),Assumptions!$D$7,"Other Services"))),"Other Services"))</f>
        <v/>
      </c>
    </row>
    <row r="438" customFormat="false" ht="15" hidden="false" customHeight="false" outlineLevel="0" collapsed="false">
      <c r="E438" s="41" t="str">
        <f aca="false">IF(D438="","",IFERROR(VLOOKUP(D438,Assumptions!$G$5:$H$16,2,0),"Other"))</f>
        <v/>
      </c>
      <c r="J438" s="41" t="str">
        <f aca="false">IF(G438="","",IFERROR(IF(ISNUMBER(SEARCH(Assumptions!$C$5,G438)),Assumptions!$D$5,IF(ISNUMBER(SEARCH(Assumptions!$C$6,G438)),Assumptions!$D$6,IF(ISNUMBER(SEARCH(Assumptions!$C$7,G438)),Assumptions!$D$7,"Other Services"))),"Other Services"))</f>
        <v/>
      </c>
    </row>
    <row r="439" customFormat="false" ht="15" hidden="false" customHeight="false" outlineLevel="0" collapsed="false">
      <c r="E439" s="41" t="str">
        <f aca="false">IF(D439="","",IFERROR(VLOOKUP(D439,Assumptions!$G$5:$H$16,2,0),"Other"))</f>
        <v/>
      </c>
      <c r="J439" s="41" t="str">
        <f aca="false">IF(G439="","",IFERROR(IF(ISNUMBER(SEARCH(Assumptions!$C$5,G439)),Assumptions!$D$5,IF(ISNUMBER(SEARCH(Assumptions!$C$6,G439)),Assumptions!$D$6,IF(ISNUMBER(SEARCH(Assumptions!$C$7,G439)),Assumptions!$D$7,"Other Services"))),"Other Services"))</f>
        <v/>
      </c>
    </row>
    <row r="440" customFormat="false" ht="15" hidden="false" customHeight="false" outlineLevel="0" collapsed="false">
      <c r="E440" s="41" t="str">
        <f aca="false">IF(D440="","",IFERROR(VLOOKUP(D440,Assumptions!$G$5:$H$16,2,0),"Other"))</f>
        <v/>
      </c>
      <c r="J440" s="41" t="str">
        <f aca="false">IF(G440="","",IFERROR(IF(ISNUMBER(SEARCH(Assumptions!$C$5,G440)),Assumptions!$D$5,IF(ISNUMBER(SEARCH(Assumptions!$C$6,G440)),Assumptions!$D$6,IF(ISNUMBER(SEARCH(Assumptions!$C$7,G440)),Assumptions!$D$7,"Other Services"))),"Other Services"))</f>
        <v/>
      </c>
    </row>
    <row r="441" customFormat="false" ht="15" hidden="false" customHeight="false" outlineLevel="0" collapsed="false">
      <c r="E441" s="41" t="str">
        <f aca="false">IF(D441="","",IFERROR(VLOOKUP(D441,Assumptions!$G$5:$H$16,2,0),"Other"))</f>
        <v/>
      </c>
      <c r="J441" s="41" t="str">
        <f aca="false">IF(G441="","",IFERROR(IF(ISNUMBER(SEARCH(Assumptions!$C$5,G441)),Assumptions!$D$5,IF(ISNUMBER(SEARCH(Assumptions!$C$6,G441)),Assumptions!$D$6,IF(ISNUMBER(SEARCH(Assumptions!$C$7,G441)),Assumptions!$D$7,"Other Services"))),"Other Services"))</f>
        <v/>
      </c>
    </row>
    <row r="442" customFormat="false" ht="15" hidden="false" customHeight="false" outlineLevel="0" collapsed="false">
      <c r="E442" s="41" t="str">
        <f aca="false">IF(D442="","",IFERROR(VLOOKUP(D442,Assumptions!$G$5:$H$16,2,0),"Other"))</f>
        <v/>
      </c>
      <c r="J442" s="41" t="str">
        <f aca="false">IF(G442="","",IFERROR(IF(ISNUMBER(SEARCH(Assumptions!$C$5,G442)),Assumptions!$D$5,IF(ISNUMBER(SEARCH(Assumptions!$C$6,G442)),Assumptions!$D$6,IF(ISNUMBER(SEARCH(Assumptions!$C$7,G442)),Assumptions!$D$7,"Other Services"))),"Other Services"))</f>
        <v/>
      </c>
    </row>
    <row r="443" customFormat="false" ht="15" hidden="false" customHeight="false" outlineLevel="0" collapsed="false">
      <c r="E443" s="41" t="str">
        <f aca="false">IF(D443="","",IFERROR(VLOOKUP(D443,Assumptions!$G$5:$H$16,2,0),"Other"))</f>
        <v/>
      </c>
      <c r="J443" s="41" t="str">
        <f aca="false">IF(G443="","",IFERROR(IF(ISNUMBER(SEARCH(Assumptions!$C$5,G443)),Assumptions!$D$5,IF(ISNUMBER(SEARCH(Assumptions!$C$6,G443)),Assumptions!$D$6,IF(ISNUMBER(SEARCH(Assumptions!$C$7,G443)),Assumptions!$D$7,"Other Services"))),"Other Services"))</f>
        <v/>
      </c>
    </row>
    <row r="444" customFormat="false" ht="15" hidden="false" customHeight="false" outlineLevel="0" collapsed="false">
      <c r="E444" s="41" t="str">
        <f aca="false">IF(D444="","",IFERROR(VLOOKUP(D444,Assumptions!$G$5:$H$16,2,0),"Other"))</f>
        <v/>
      </c>
      <c r="J444" s="41" t="str">
        <f aca="false">IF(G444="","",IFERROR(IF(ISNUMBER(SEARCH(Assumptions!$C$5,G444)),Assumptions!$D$5,IF(ISNUMBER(SEARCH(Assumptions!$C$6,G444)),Assumptions!$D$6,IF(ISNUMBER(SEARCH(Assumptions!$C$7,G444)),Assumptions!$D$7,"Other Services"))),"Other Services"))</f>
        <v/>
      </c>
    </row>
    <row r="445" customFormat="false" ht="15" hidden="false" customHeight="false" outlineLevel="0" collapsed="false">
      <c r="E445" s="41" t="str">
        <f aca="false">IF(D445="","",IFERROR(VLOOKUP(D445,Assumptions!$G$5:$H$16,2,0),"Other"))</f>
        <v/>
      </c>
      <c r="J445" s="41" t="str">
        <f aca="false">IF(G445="","",IFERROR(IF(ISNUMBER(SEARCH(Assumptions!$C$5,G445)),Assumptions!$D$5,IF(ISNUMBER(SEARCH(Assumptions!$C$6,G445)),Assumptions!$D$6,IF(ISNUMBER(SEARCH(Assumptions!$C$7,G445)),Assumptions!$D$7,"Other Services"))),"Other Services"))</f>
        <v/>
      </c>
    </row>
    <row r="446" customFormat="false" ht="15" hidden="false" customHeight="false" outlineLevel="0" collapsed="false">
      <c r="E446" s="41" t="str">
        <f aca="false">IF(D446="","",IFERROR(VLOOKUP(D446,Assumptions!$G$5:$H$16,2,0),"Other"))</f>
        <v/>
      </c>
      <c r="J446" s="41" t="str">
        <f aca="false">IF(G446="","",IFERROR(IF(ISNUMBER(SEARCH(Assumptions!$C$5,G446)),Assumptions!$D$5,IF(ISNUMBER(SEARCH(Assumptions!$C$6,G446)),Assumptions!$D$6,IF(ISNUMBER(SEARCH(Assumptions!$C$7,G446)),Assumptions!$D$7,"Other Services"))),"Other Services"))</f>
        <v/>
      </c>
    </row>
    <row r="447" customFormat="false" ht="15" hidden="false" customHeight="false" outlineLevel="0" collapsed="false">
      <c r="E447" s="41" t="str">
        <f aca="false">IF(D447="","",IFERROR(VLOOKUP(D447,Assumptions!$G$5:$H$16,2,0),"Other"))</f>
        <v/>
      </c>
      <c r="J447" s="41" t="str">
        <f aca="false">IF(G447="","",IFERROR(IF(ISNUMBER(SEARCH(Assumptions!$C$5,G447)),Assumptions!$D$5,IF(ISNUMBER(SEARCH(Assumptions!$C$6,G447)),Assumptions!$D$6,IF(ISNUMBER(SEARCH(Assumptions!$C$7,G447)),Assumptions!$D$7,"Other Services"))),"Other Services"))</f>
        <v/>
      </c>
    </row>
    <row r="448" customFormat="false" ht="15" hidden="false" customHeight="false" outlineLevel="0" collapsed="false">
      <c r="E448" s="41" t="str">
        <f aca="false">IF(D448="","",IFERROR(VLOOKUP(D448,Assumptions!$G$5:$H$16,2,0),"Other"))</f>
        <v/>
      </c>
      <c r="J448" s="41" t="str">
        <f aca="false">IF(G448="","",IFERROR(IF(ISNUMBER(SEARCH(Assumptions!$C$5,G448)),Assumptions!$D$5,IF(ISNUMBER(SEARCH(Assumptions!$C$6,G448)),Assumptions!$D$6,IF(ISNUMBER(SEARCH(Assumptions!$C$7,G448)),Assumptions!$D$7,"Other Services"))),"Other Services"))</f>
        <v/>
      </c>
    </row>
    <row r="449" customFormat="false" ht="15" hidden="false" customHeight="false" outlineLevel="0" collapsed="false">
      <c r="E449" s="41" t="str">
        <f aca="false">IF(D449="","",IFERROR(VLOOKUP(D449,Assumptions!$G$5:$H$16,2,0),"Other"))</f>
        <v/>
      </c>
      <c r="J449" s="41" t="str">
        <f aca="false">IF(G449="","",IFERROR(IF(ISNUMBER(SEARCH(Assumptions!$C$5,G449)),Assumptions!$D$5,IF(ISNUMBER(SEARCH(Assumptions!$C$6,G449)),Assumptions!$D$6,IF(ISNUMBER(SEARCH(Assumptions!$C$7,G449)),Assumptions!$D$7,"Other Services"))),"Other Services"))</f>
        <v/>
      </c>
    </row>
    <row r="450" customFormat="false" ht="15" hidden="false" customHeight="false" outlineLevel="0" collapsed="false">
      <c r="E450" s="41" t="str">
        <f aca="false">IF(D450="","",IFERROR(VLOOKUP(D450,Assumptions!$G$5:$H$16,2,0),"Other"))</f>
        <v/>
      </c>
      <c r="J450" s="41" t="str">
        <f aca="false">IF(G450="","",IFERROR(IF(ISNUMBER(SEARCH(Assumptions!$C$5,G450)),Assumptions!$D$5,IF(ISNUMBER(SEARCH(Assumptions!$C$6,G450)),Assumptions!$D$6,IF(ISNUMBER(SEARCH(Assumptions!$C$7,G450)),Assumptions!$D$7,"Other Services"))),"Other Services"))</f>
        <v/>
      </c>
    </row>
    <row r="451" customFormat="false" ht="15" hidden="false" customHeight="false" outlineLevel="0" collapsed="false">
      <c r="E451" s="41" t="str">
        <f aca="false">IF(D451="","",IFERROR(VLOOKUP(D451,Assumptions!$G$5:$H$16,2,0),"Other"))</f>
        <v/>
      </c>
      <c r="J451" s="41" t="str">
        <f aca="false">IF(G451="","",IFERROR(IF(ISNUMBER(SEARCH(Assumptions!$C$5,G451)),Assumptions!$D$5,IF(ISNUMBER(SEARCH(Assumptions!$C$6,G451)),Assumptions!$D$6,IF(ISNUMBER(SEARCH(Assumptions!$C$7,G451)),Assumptions!$D$7,"Other Services"))),"Other Services"))</f>
        <v/>
      </c>
    </row>
    <row r="452" customFormat="false" ht="15" hidden="false" customHeight="false" outlineLevel="0" collapsed="false">
      <c r="E452" s="41" t="str">
        <f aca="false">IF(D452="","",IFERROR(VLOOKUP(D452,Assumptions!$G$5:$H$16,2,0),"Other"))</f>
        <v/>
      </c>
      <c r="J452" s="41" t="str">
        <f aca="false">IF(G452="","",IFERROR(IF(ISNUMBER(SEARCH(Assumptions!$C$5,G452)),Assumptions!$D$5,IF(ISNUMBER(SEARCH(Assumptions!$C$6,G452)),Assumptions!$D$6,IF(ISNUMBER(SEARCH(Assumptions!$C$7,G452)),Assumptions!$D$7,"Other Services"))),"Other Services"))</f>
        <v/>
      </c>
    </row>
    <row r="453" customFormat="false" ht="15" hidden="false" customHeight="false" outlineLevel="0" collapsed="false">
      <c r="E453" s="41" t="str">
        <f aca="false">IF(D453="","",IFERROR(VLOOKUP(D453,Assumptions!$G$5:$H$16,2,0),"Other"))</f>
        <v/>
      </c>
      <c r="J453" s="41" t="str">
        <f aca="false">IF(G453="","",IFERROR(IF(ISNUMBER(SEARCH(Assumptions!$C$5,G453)),Assumptions!$D$5,IF(ISNUMBER(SEARCH(Assumptions!$C$6,G453)),Assumptions!$D$6,IF(ISNUMBER(SEARCH(Assumptions!$C$7,G453)),Assumptions!$D$7,"Other Services"))),"Other Services"))</f>
        <v/>
      </c>
    </row>
    <row r="454" customFormat="false" ht="15" hidden="false" customHeight="false" outlineLevel="0" collapsed="false">
      <c r="E454" s="41" t="str">
        <f aca="false">IF(D454="","",IFERROR(VLOOKUP(D454,Assumptions!$G$5:$H$16,2,0),"Other"))</f>
        <v/>
      </c>
      <c r="J454" s="41" t="str">
        <f aca="false">IF(G454="","",IFERROR(IF(ISNUMBER(SEARCH(Assumptions!$C$5,G454)),Assumptions!$D$5,IF(ISNUMBER(SEARCH(Assumptions!$C$6,G454)),Assumptions!$D$6,IF(ISNUMBER(SEARCH(Assumptions!$C$7,G454)),Assumptions!$D$7,"Other Services"))),"Other Services"))</f>
        <v/>
      </c>
    </row>
    <row r="455" customFormat="false" ht="15" hidden="false" customHeight="false" outlineLevel="0" collapsed="false">
      <c r="E455" s="41" t="str">
        <f aca="false">IF(D455="","",IFERROR(VLOOKUP(D455,Assumptions!$G$5:$H$16,2,0),"Other"))</f>
        <v/>
      </c>
      <c r="J455" s="41" t="str">
        <f aca="false">IF(G455="","",IFERROR(IF(ISNUMBER(SEARCH(Assumptions!$C$5,G455)),Assumptions!$D$5,IF(ISNUMBER(SEARCH(Assumptions!$C$6,G455)),Assumptions!$D$6,IF(ISNUMBER(SEARCH(Assumptions!$C$7,G455)),Assumptions!$D$7,"Other Services"))),"Other Services"))</f>
        <v/>
      </c>
    </row>
    <row r="456" customFormat="false" ht="15" hidden="false" customHeight="false" outlineLevel="0" collapsed="false">
      <c r="E456" s="41" t="str">
        <f aca="false">IF(D456="","",IFERROR(VLOOKUP(D456,Assumptions!$G$5:$H$16,2,0),"Other"))</f>
        <v/>
      </c>
      <c r="J456" s="41" t="str">
        <f aca="false">IF(G456="","",IFERROR(IF(ISNUMBER(SEARCH(Assumptions!$C$5,G456)),Assumptions!$D$5,IF(ISNUMBER(SEARCH(Assumptions!$C$6,G456)),Assumptions!$D$6,IF(ISNUMBER(SEARCH(Assumptions!$C$7,G456)),Assumptions!$D$7,"Other Services"))),"Other Services"))</f>
        <v/>
      </c>
    </row>
    <row r="457" customFormat="false" ht="15" hidden="false" customHeight="false" outlineLevel="0" collapsed="false">
      <c r="E457" s="41" t="str">
        <f aca="false">IF(D457="","",IFERROR(VLOOKUP(D457,Assumptions!$G$5:$H$16,2,0),"Other"))</f>
        <v/>
      </c>
      <c r="J457" s="41" t="str">
        <f aca="false">IF(G457="","",IFERROR(IF(ISNUMBER(SEARCH(Assumptions!$C$5,G457)),Assumptions!$D$5,IF(ISNUMBER(SEARCH(Assumptions!$C$6,G457)),Assumptions!$D$6,IF(ISNUMBER(SEARCH(Assumptions!$C$7,G457)),Assumptions!$D$7,"Other Services"))),"Other Services"))</f>
        <v/>
      </c>
    </row>
    <row r="458" customFormat="false" ht="15" hidden="false" customHeight="false" outlineLevel="0" collapsed="false">
      <c r="E458" s="41" t="str">
        <f aca="false">IF(D458="","",IFERROR(VLOOKUP(D458,Assumptions!$G$5:$H$16,2,0),"Other"))</f>
        <v/>
      </c>
      <c r="J458" s="41" t="str">
        <f aca="false">IF(G458="","",IFERROR(IF(ISNUMBER(SEARCH(Assumptions!$C$5,G458)),Assumptions!$D$5,IF(ISNUMBER(SEARCH(Assumptions!$C$6,G458)),Assumptions!$D$6,IF(ISNUMBER(SEARCH(Assumptions!$C$7,G458)),Assumptions!$D$7,"Other Services"))),"Other Services"))</f>
        <v/>
      </c>
    </row>
    <row r="459" customFormat="false" ht="15" hidden="false" customHeight="false" outlineLevel="0" collapsed="false">
      <c r="E459" s="41" t="str">
        <f aca="false">IF(D459="","",IFERROR(VLOOKUP(D459,Assumptions!$G$5:$H$16,2,0),"Other"))</f>
        <v/>
      </c>
      <c r="J459" s="41" t="str">
        <f aca="false">IF(G459="","",IFERROR(IF(ISNUMBER(SEARCH(Assumptions!$C$5,G459)),Assumptions!$D$5,IF(ISNUMBER(SEARCH(Assumptions!$C$6,G459)),Assumptions!$D$6,IF(ISNUMBER(SEARCH(Assumptions!$C$7,G459)),Assumptions!$D$7,"Other Services"))),"Other Services"))</f>
        <v/>
      </c>
    </row>
    <row r="460" customFormat="false" ht="15" hidden="false" customHeight="false" outlineLevel="0" collapsed="false">
      <c r="E460" s="41" t="str">
        <f aca="false">IF(D460="","",IFERROR(VLOOKUP(D460,Assumptions!$G$5:$H$16,2,0),"Other"))</f>
        <v/>
      </c>
      <c r="J460" s="41" t="str">
        <f aca="false">IF(G460="","",IFERROR(IF(ISNUMBER(SEARCH(Assumptions!$C$5,G460)),Assumptions!$D$5,IF(ISNUMBER(SEARCH(Assumptions!$C$6,G460)),Assumptions!$D$6,IF(ISNUMBER(SEARCH(Assumptions!$C$7,G460)),Assumptions!$D$7,"Other Services"))),"Other Services"))</f>
        <v/>
      </c>
    </row>
    <row r="461" customFormat="false" ht="15" hidden="false" customHeight="false" outlineLevel="0" collapsed="false">
      <c r="E461" s="41" t="str">
        <f aca="false">IF(D461="","",IFERROR(VLOOKUP(D461,Assumptions!$G$5:$H$16,2,0),"Other"))</f>
        <v/>
      </c>
      <c r="J461" s="41" t="str">
        <f aca="false">IF(G461="","",IFERROR(IF(ISNUMBER(SEARCH(Assumptions!$C$5,G461)),Assumptions!$D$5,IF(ISNUMBER(SEARCH(Assumptions!$C$6,G461)),Assumptions!$D$6,IF(ISNUMBER(SEARCH(Assumptions!$C$7,G461)),Assumptions!$D$7,"Other Services"))),"Other Services"))</f>
        <v/>
      </c>
    </row>
    <row r="462" customFormat="false" ht="15" hidden="false" customHeight="false" outlineLevel="0" collapsed="false">
      <c r="E462" s="41" t="str">
        <f aca="false">IF(D462="","",IFERROR(VLOOKUP(D462,Assumptions!$G$5:$H$16,2,0),"Other"))</f>
        <v/>
      </c>
      <c r="J462" s="41" t="str">
        <f aca="false">IF(G462="","",IFERROR(IF(ISNUMBER(SEARCH(Assumptions!$C$5,G462)),Assumptions!$D$5,IF(ISNUMBER(SEARCH(Assumptions!$C$6,G462)),Assumptions!$D$6,IF(ISNUMBER(SEARCH(Assumptions!$C$7,G462)),Assumptions!$D$7,"Other Services"))),"Other Services"))</f>
        <v/>
      </c>
    </row>
    <row r="463" customFormat="false" ht="15" hidden="false" customHeight="false" outlineLevel="0" collapsed="false">
      <c r="E463" s="41" t="str">
        <f aca="false">IF(D463="","",IFERROR(VLOOKUP(D463,Assumptions!$G$5:$H$16,2,0),"Other"))</f>
        <v/>
      </c>
      <c r="J463" s="41" t="str">
        <f aca="false">IF(G463="","",IFERROR(IF(ISNUMBER(SEARCH(Assumptions!$C$5,G463)),Assumptions!$D$5,IF(ISNUMBER(SEARCH(Assumptions!$C$6,G463)),Assumptions!$D$6,IF(ISNUMBER(SEARCH(Assumptions!$C$7,G463)),Assumptions!$D$7,"Other Services"))),"Other Services"))</f>
        <v/>
      </c>
    </row>
    <row r="464" customFormat="false" ht="15" hidden="false" customHeight="false" outlineLevel="0" collapsed="false">
      <c r="E464" s="41" t="str">
        <f aca="false">IF(D464="","",IFERROR(VLOOKUP(D464,Assumptions!$G$5:$H$16,2,0),"Other"))</f>
        <v/>
      </c>
      <c r="J464" s="41" t="str">
        <f aca="false">IF(G464="","",IFERROR(IF(ISNUMBER(SEARCH(Assumptions!$C$5,G464)),Assumptions!$D$5,IF(ISNUMBER(SEARCH(Assumptions!$C$6,G464)),Assumptions!$D$6,IF(ISNUMBER(SEARCH(Assumptions!$C$7,G464)),Assumptions!$D$7,"Other Services"))),"Other Services"))</f>
        <v/>
      </c>
    </row>
    <row r="465" customFormat="false" ht="15" hidden="false" customHeight="false" outlineLevel="0" collapsed="false">
      <c r="E465" s="41" t="str">
        <f aca="false">IF(D465="","",IFERROR(VLOOKUP(D465,Assumptions!$G$5:$H$16,2,0),"Other"))</f>
        <v/>
      </c>
      <c r="J465" s="41" t="str">
        <f aca="false">IF(G465="","",IFERROR(IF(ISNUMBER(SEARCH(Assumptions!$C$5,G465)),Assumptions!$D$5,IF(ISNUMBER(SEARCH(Assumptions!$C$6,G465)),Assumptions!$D$6,IF(ISNUMBER(SEARCH(Assumptions!$C$7,G465)),Assumptions!$D$7,"Other Services"))),"Other Services"))</f>
        <v/>
      </c>
    </row>
    <row r="466" customFormat="false" ht="15" hidden="false" customHeight="false" outlineLevel="0" collapsed="false">
      <c r="E466" s="41" t="str">
        <f aca="false">IF(D466="","",IFERROR(VLOOKUP(D466,Assumptions!$G$5:$H$16,2,0),"Other"))</f>
        <v/>
      </c>
      <c r="J466" s="41" t="str">
        <f aca="false">IF(G466="","",IFERROR(IF(ISNUMBER(SEARCH(Assumptions!$C$5,G466)),Assumptions!$D$5,IF(ISNUMBER(SEARCH(Assumptions!$C$6,G466)),Assumptions!$D$6,IF(ISNUMBER(SEARCH(Assumptions!$C$7,G466)),Assumptions!$D$7,"Other Services"))),"Other Services"))</f>
        <v/>
      </c>
    </row>
    <row r="467" customFormat="false" ht="15" hidden="false" customHeight="false" outlineLevel="0" collapsed="false">
      <c r="E467" s="41" t="str">
        <f aca="false">IF(D467="","",IFERROR(VLOOKUP(D467,Assumptions!$G$5:$H$16,2,0),"Other"))</f>
        <v/>
      </c>
      <c r="J467" s="41" t="str">
        <f aca="false">IF(G467="","",IFERROR(IF(ISNUMBER(SEARCH(Assumptions!$C$5,G467)),Assumptions!$D$5,IF(ISNUMBER(SEARCH(Assumptions!$C$6,G467)),Assumptions!$D$6,IF(ISNUMBER(SEARCH(Assumptions!$C$7,G467)),Assumptions!$D$7,"Other Services"))),"Other Services"))</f>
        <v/>
      </c>
    </row>
    <row r="468" customFormat="false" ht="15" hidden="false" customHeight="false" outlineLevel="0" collapsed="false">
      <c r="E468" s="41" t="str">
        <f aca="false">IF(D468="","",IFERROR(VLOOKUP(D468,Assumptions!$G$5:$H$16,2,0),"Other"))</f>
        <v/>
      </c>
      <c r="J468" s="41" t="str">
        <f aca="false">IF(G468="","",IFERROR(IF(ISNUMBER(SEARCH(Assumptions!$C$5,G468)),Assumptions!$D$5,IF(ISNUMBER(SEARCH(Assumptions!$C$6,G468)),Assumptions!$D$6,IF(ISNUMBER(SEARCH(Assumptions!$C$7,G468)),Assumptions!$D$7,"Other Services"))),"Other Services"))</f>
        <v/>
      </c>
    </row>
    <row r="469" customFormat="false" ht="15" hidden="false" customHeight="false" outlineLevel="0" collapsed="false">
      <c r="E469" s="41" t="str">
        <f aca="false">IF(D469="","",IFERROR(VLOOKUP(D469,Assumptions!$G$5:$H$16,2,0),"Other"))</f>
        <v/>
      </c>
      <c r="J469" s="41" t="str">
        <f aca="false">IF(G469="","",IFERROR(IF(ISNUMBER(SEARCH(Assumptions!$C$5,G469)),Assumptions!$D$5,IF(ISNUMBER(SEARCH(Assumptions!$C$6,G469)),Assumptions!$D$6,IF(ISNUMBER(SEARCH(Assumptions!$C$7,G469)),Assumptions!$D$7,"Other Services"))),"Other Services"))</f>
        <v/>
      </c>
    </row>
    <row r="470" customFormat="false" ht="15" hidden="false" customHeight="false" outlineLevel="0" collapsed="false">
      <c r="E470" s="41" t="str">
        <f aca="false">IF(D470="","",IFERROR(VLOOKUP(D470,Assumptions!$G$5:$H$16,2,0),"Other"))</f>
        <v/>
      </c>
      <c r="J470" s="41" t="str">
        <f aca="false">IF(G470="","",IFERROR(IF(ISNUMBER(SEARCH(Assumptions!$C$5,G470)),Assumptions!$D$5,IF(ISNUMBER(SEARCH(Assumptions!$C$6,G470)),Assumptions!$D$6,IF(ISNUMBER(SEARCH(Assumptions!$C$7,G470)),Assumptions!$D$7,"Other Services"))),"Other Services"))</f>
        <v/>
      </c>
    </row>
    <row r="471" customFormat="false" ht="15" hidden="false" customHeight="false" outlineLevel="0" collapsed="false">
      <c r="E471" s="41" t="str">
        <f aca="false">IF(D471="","",IFERROR(VLOOKUP(D471,Assumptions!$G$5:$H$16,2,0),"Other"))</f>
        <v/>
      </c>
      <c r="J471" s="41" t="str">
        <f aca="false">IF(G471="","",IFERROR(IF(ISNUMBER(SEARCH(Assumptions!$C$5,G471)),Assumptions!$D$5,IF(ISNUMBER(SEARCH(Assumptions!$C$6,G471)),Assumptions!$D$6,IF(ISNUMBER(SEARCH(Assumptions!$C$7,G471)),Assumptions!$D$7,"Other Services"))),"Other Services"))</f>
        <v/>
      </c>
    </row>
    <row r="472" customFormat="false" ht="15" hidden="false" customHeight="false" outlineLevel="0" collapsed="false">
      <c r="E472" s="41" t="str">
        <f aca="false">IF(D472="","",IFERROR(VLOOKUP(D472,Assumptions!$G$5:$H$16,2,0),"Other"))</f>
        <v/>
      </c>
      <c r="J472" s="41" t="str">
        <f aca="false">IF(G472="","",IFERROR(IF(ISNUMBER(SEARCH(Assumptions!$C$5,G472)),Assumptions!$D$5,IF(ISNUMBER(SEARCH(Assumptions!$C$6,G472)),Assumptions!$D$6,IF(ISNUMBER(SEARCH(Assumptions!$C$7,G472)),Assumptions!$D$7,"Other Services"))),"Other Services"))</f>
        <v/>
      </c>
    </row>
    <row r="473" customFormat="false" ht="15" hidden="false" customHeight="false" outlineLevel="0" collapsed="false">
      <c r="E473" s="41" t="str">
        <f aca="false">IF(D473="","",IFERROR(VLOOKUP(D473,Assumptions!$G$5:$H$16,2,0),"Other"))</f>
        <v/>
      </c>
      <c r="J473" s="41" t="str">
        <f aca="false">IF(G473="","",IFERROR(IF(ISNUMBER(SEARCH(Assumptions!$C$5,G473)),Assumptions!$D$5,IF(ISNUMBER(SEARCH(Assumptions!$C$6,G473)),Assumptions!$D$6,IF(ISNUMBER(SEARCH(Assumptions!$C$7,G473)),Assumptions!$D$7,"Other Services"))),"Other Services"))</f>
        <v/>
      </c>
    </row>
    <row r="474" customFormat="false" ht="15" hidden="false" customHeight="false" outlineLevel="0" collapsed="false">
      <c r="E474" s="41" t="str">
        <f aca="false">IF(D474="","",IFERROR(VLOOKUP(D474,Assumptions!$G$5:$H$16,2,0),"Other"))</f>
        <v/>
      </c>
      <c r="J474" s="41" t="str">
        <f aca="false">IF(G474="","",IFERROR(IF(ISNUMBER(SEARCH(Assumptions!$C$5,G474)),Assumptions!$D$5,IF(ISNUMBER(SEARCH(Assumptions!$C$6,G474)),Assumptions!$D$6,IF(ISNUMBER(SEARCH(Assumptions!$C$7,G474)),Assumptions!$D$7,"Other Services"))),"Other Services"))</f>
        <v/>
      </c>
    </row>
    <row r="475" customFormat="false" ht="15" hidden="false" customHeight="false" outlineLevel="0" collapsed="false">
      <c r="E475" s="41" t="str">
        <f aca="false">IF(D475="","",IFERROR(VLOOKUP(D475,Assumptions!$G$5:$H$16,2,0),"Other"))</f>
        <v/>
      </c>
      <c r="J475" s="41" t="str">
        <f aca="false">IF(G475="","",IFERROR(IF(ISNUMBER(SEARCH(Assumptions!$C$5,G475)),Assumptions!$D$5,IF(ISNUMBER(SEARCH(Assumptions!$C$6,G475)),Assumptions!$D$6,IF(ISNUMBER(SEARCH(Assumptions!$C$7,G475)),Assumptions!$D$7,"Other Services"))),"Other Services"))</f>
        <v/>
      </c>
    </row>
    <row r="476" customFormat="false" ht="15" hidden="false" customHeight="false" outlineLevel="0" collapsed="false">
      <c r="E476" s="41" t="str">
        <f aca="false">IF(D476="","",IFERROR(VLOOKUP(D476,Assumptions!$G$5:$H$16,2,0),"Other"))</f>
        <v/>
      </c>
      <c r="J476" s="41" t="str">
        <f aca="false">IF(G476="","",IFERROR(IF(ISNUMBER(SEARCH(Assumptions!$C$5,G476)),Assumptions!$D$5,IF(ISNUMBER(SEARCH(Assumptions!$C$6,G476)),Assumptions!$D$6,IF(ISNUMBER(SEARCH(Assumptions!$C$7,G476)),Assumptions!$D$7,"Other Services"))),"Other Services"))</f>
        <v/>
      </c>
    </row>
    <row r="477" customFormat="false" ht="15" hidden="false" customHeight="false" outlineLevel="0" collapsed="false">
      <c r="E477" s="41" t="str">
        <f aca="false">IF(D477="","",IFERROR(VLOOKUP(D477,Assumptions!$G$5:$H$16,2,0),"Other"))</f>
        <v/>
      </c>
      <c r="J477" s="41" t="str">
        <f aca="false">IF(G477="","",IFERROR(IF(ISNUMBER(SEARCH(Assumptions!$C$5,G477)),Assumptions!$D$5,IF(ISNUMBER(SEARCH(Assumptions!$C$6,G477)),Assumptions!$D$6,IF(ISNUMBER(SEARCH(Assumptions!$C$7,G477)),Assumptions!$D$7,"Other Services"))),"Other Services"))</f>
        <v/>
      </c>
    </row>
    <row r="478" customFormat="false" ht="15" hidden="false" customHeight="false" outlineLevel="0" collapsed="false">
      <c r="E478" s="41" t="str">
        <f aca="false">IF(D478="","",IFERROR(VLOOKUP(D478,Assumptions!$G$5:$H$16,2,0),"Other"))</f>
        <v/>
      </c>
      <c r="J478" s="41" t="str">
        <f aca="false">IF(G478="","",IFERROR(IF(ISNUMBER(SEARCH(Assumptions!$C$5,G478)),Assumptions!$D$5,IF(ISNUMBER(SEARCH(Assumptions!$C$6,G478)),Assumptions!$D$6,IF(ISNUMBER(SEARCH(Assumptions!$C$7,G478)),Assumptions!$D$7,"Other Services"))),"Other Services"))</f>
        <v/>
      </c>
    </row>
    <row r="479" customFormat="false" ht="15" hidden="false" customHeight="false" outlineLevel="0" collapsed="false">
      <c r="E479" s="41" t="str">
        <f aca="false">IF(D479="","",IFERROR(VLOOKUP(D479,Assumptions!$G$5:$H$16,2,0),"Other"))</f>
        <v/>
      </c>
      <c r="J479" s="41" t="str">
        <f aca="false">IF(G479="","",IFERROR(IF(ISNUMBER(SEARCH(Assumptions!$C$5,G479)),Assumptions!$D$5,IF(ISNUMBER(SEARCH(Assumptions!$C$6,G479)),Assumptions!$D$6,IF(ISNUMBER(SEARCH(Assumptions!$C$7,G479)),Assumptions!$D$7,"Other Services"))),"Other Services"))</f>
        <v/>
      </c>
    </row>
    <row r="480" customFormat="false" ht="15" hidden="false" customHeight="false" outlineLevel="0" collapsed="false">
      <c r="E480" s="41" t="str">
        <f aca="false">IF(D480="","",IFERROR(VLOOKUP(D480,Assumptions!$G$5:$H$16,2,0),"Other"))</f>
        <v/>
      </c>
      <c r="J480" s="41" t="str">
        <f aca="false">IF(G480="","",IFERROR(IF(ISNUMBER(SEARCH(Assumptions!$C$5,G480)),Assumptions!$D$5,IF(ISNUMBER(SEARCH(Assumptions!$C$6,G480)),Assumptions!$D$6,IF(ISNUMBER(SEARCH(Assumptions!$C$7,G480)),Assumptions!$D$7,"Other Services"))),"Other Services"))</f>
        <v/>
      </c>
    </row>
    <row r="481" customFormat="false" ht="15" hidden="false" customHeight="false" outlineLevel="0" collapsed="false">
      <c r="E481" s="41" t="str">
        <f aca="false">IF(D481="","",IFERROR(VLOOKUP(D481,Assumptions!$G$5:$H$16,2,0),"Other"))</f>
        <v/>
      </c>
      <c r="J481" s="41" t="str">
        <f aca="false">IF(G481="","",IFERROR(IF(ISNUMBER(SEARCH(Assumptions!$C$5,G481)),Assumptions!$D$5,IF(ISNUMBER(SEARCH(Assumptions!$C$6,G481)),Assumptions!$D$6,IF(ISNUMBER(SEARCH(Assumptions!$C$7,G481)),Assumptions!$D$7,"Other Services"))),"Other Services"))</f>
        <v/>
      </c>
    </row>
    <row r="482" customFormat="false" ht="15" hidden="false" customHeight="false" outlineLevel="0" collapsed="false">
      <c r="E482" s="41" t="str">
        <f aca="false">IF(D482="","",IFERROR(VLOOKUP(D482,Assumptions!$G$5:$H$16,2,0),"Other"))</f>
        <v/>
      </c>
      <c r="J482" s="41" t="str">
        <f aca="false">IF(G482="","",IFERROR(IF(ISNUMBER(SEARCH(Assumptions!$C$5,G482)),Assumptions!$D$5,IF(ISNUMBER(SEARCH(Assumptions!$C$6,G482)),Assumptions!$D$6,IF(ISNUMBER(SEARCH(Assumptions!$C$7,G482)),Assumptions!$D$7,"Other Services"))),"Other Services"))</f>
        <v/>
      </c>
    </row>
    <row r="483" customFormat="false" ht="15" hidden="false" customHeight="false" outlineLevel="0" collapsed="false">
      <c r="E483" s="41" t="str">
        <f aca="false">IF(D483="","",IFERROR(VLOOKUP(D483,Assumptions!$G$5:$H$16,2,0),"Other"))</f>
        <v/>
      </c>
      <c r="J483" s="41" t="str">
        <f aca="false">IF(G483="","",IFERROR(IF(ISNUMBER(SEARCH(Assumptions!$C$5,G483)),Assumptions!$D$5,IF(ISNUMBER(SEARCH(Assumptions!$C$6,G483)),Assumptions!$D$6,IF(ISNUMBER(SEARCH(Assumptions!$C$7,G483)),Assumptions!$D$7,"Other Services"))),"Other Services"))</f>
        <v/>
      </c>
    </row>
    <row r="484" customFormat="false" ht="15" hidden="false" customHeight="false" outlineLevel="0" collapsed="false">
      <c r="E484" s="41" t="str">
        <f aca="false">IF(D484="","",IFERROR(VLOOKUP(D484,Assumptions!$G$5:$H$16,2,0),"Other"))</f>
        <v/>
      </c>
      <c r="J484" s="41" t="str">
        <f aca="false">IF(G484="","",IFERROR(IF(ISNUMBER(SEARCH(Assumptions!$C$5,G484)),Assumptions!$D$5,IF(ISNUMBER(SEARCH(Assumptions!$C$6,G484)),Assumptions!$D$6,IF(ISNUMBER(SEARCH(Assumptions!$C$7,G484)),Assumptions!$D$7,"Other Services"))),"Other Services"))</f>
        <v/>
      </c>
    </row>
    <row r="485" customFormat="false" ht="15" hidden="false" customHeight="false" outlineLevel="0" collapsed="false">
      <c r="E485" s="41" t="str">
        <f aca="false">IF(D485="","",IFERROR(VLOOKUP(D485,Assumptions!$G$5:$H$16,2,0),"Other"))</f>
        <v/>
      </c>
      <c r="J485" s="41" t="str">
        <f aca="false">IF(G485="","",IFERROR(IF(ISNUMBER(SEARCH(Assumptions!$C$5,G485)),Assumptions!$D$5,IF(ISNUMBER(SEARCH(Assumptions!$C$6,G485)),Assumptions!$D$6,IF(ISNUMBER(SEARCH(Assumptions!$C$7,G485)),Assumptions!$D$7,"Other Services"))),"Other Services"))</f>
        <v/>
      </c>
    </row>
    <row r="486" customFormat="false" ht="15" hidden="false" customHeight="false" outlineLevel="0" collapsed="false">
      <c r="E486" s="41" t="str">
        <f aca="false">IF(D486="","",IFERROR(VLOOKUP(D486,Assumptions!$G$5:$H$16,2,0),"Other"))</f>
        <v/>
      </c>
      <c r="J486" s="41" t="str">
        <f aca="false">IF(G486="","",IFERROR(IF(ISNUMBER(SEARCH(Assumptions!$C$5,G486)),Assumptions!$D$5,IF(ISNUMBER(SEARCH(Assumptions!$C$6,G486)),Assumptions!$D$6,IF(ISNUMBER(SEARCH(Assumptions!$C$7,G486)),Assumptions!$D$7,"Other Services"))),"Other Services"))</f>
        <v/>
      </c>
    </row>
    <row r="487" customFormat="false" ht="15" hidden="false" customHeight="false" outlineLevel="0" collapsed="false">
      <c r="E487" s="41" t="str">
        <f aca="false">IF(D487="","",IFERROR(VLOOKUP(D487,Assumptions!$G$5:$H$16,2,0),"Other"))</f>
        <v/>
      </c>
      <c r="J487" s="41" t="str">
        <f aca="false">IF(G487="","",IFERROR(IF(ISNUMBER(SEARCH(Assumptions!$C$5,G487)),Assumptions!$D$5,IF(ISNUMBER(SEARCH(Assumptions!$C$6,G487)),Assumptions!$D$6,IF(ISNUMBER(SEARCH(Assumptions!$C$7,G487)),Assumptions!$D$7,"Other Services"))),"Other Services"))</f>
        <v/>
      </c>
    </row>
    <row r="488" customFormat="false" ht="15" hidden="false" customHeight="false" outlineLevel="0" collapsed="false">
      <c r="E488" s="41" t="str">
        <f aca="false">IF(D488="","",IFERROR(VLOOKUP(D488,Assumptions!$G$5:$H$16,2,0),"Other"))</f>
        <v/>
      </c>
      <c r="J488" s="41" t="str">
        <f aca="false">IF(G488="","",IFERROR(IF(ISNUMBER(SEARCH(Assumptions!$C$5,G488)),Assumptions!$D$5,IF(ISNUMBER(SEARCH(Assumptions!$C$6,G488)),Assumptions!$D$6,IF(ISNUMBER(SEARCH(Assumptions!$C$7,G488)),Assumptions!$D$7,"Other Services"))),"Other Services"))</f>
        <v/>
      </c>
    </row>
    <row r="489" customFormat="false" ht="15" hidden="false" customHeight="false" outlineLevel="0" collapsed="false">
      <c r="E489" s="41" t="str">
        <f aca="false">IF(D489="","",IFERROR(VLOOKUP(D489,Assumptions!$G$5:$H$16,2,0),"Other"))</f>
        <v/>
      </c>
      <c r="J489" s="41" t="str">
        <f aca="false">IF(G489="","",IFERROR(IF(ISNUMBER(SEARCH(Assumptions!$C$5,G489)),Assumptions!$D$5,IF(ISNUMBER(SEARCH(Assumptions!$C$6,G489)),Assumptions!$D$6,IF(ISNUMBER(SEARCH(Assumptions!$C$7,G489)),Assumptions!$D$7,"Other Services"))),"Other Services"))</f>
        <v/>
      </c>
    </row>
    <row r="490" customFormat="false" ht="15" hidden="false" customHeight="false" outlineLevel="0" collapsed="false">
      <c r="E490" s="41" t="str">
        <f aca="false">IF(D490="","",IFERROR(VLOOKUP(D490,Assumptions!$G$5:$H$16,2,0),"Other"))</f>
        <v/>
      </c>
      <c r="J490" s="41" t="str">
        <f aca="false">IF(G490="","",IFERROR(IF(ISNUMBER(SEARCH(Assumptions!$C$5,G490)),Assumptions!$D$5,IF(ISNUMBER(SEARCH(Assumptions!$C$6,G490)),Assumptions!$D$6,IF(ISNUMBER(SEARCH(Assumptions!$C$7,G490)),Assumptions!$D$7,"Other Services"))),"Other Services"))</f>
        <v/>
      </c>
    </row>
    <row r="491" customFormat="false" ht="15" hidden="false" customHeight="false" outlineLevel="0" collapsed="false">
      <c r="E491" s="41" t="str">
        <f aca="false">IF(D491="","",IFERROR(VLOOKUP(D491,Assumptions!$G$5:$H$16,2,0),"Other"))</f>
        <v/>
      </c>
      <c r="J491" s="41" t="str">
        <f aca="false">IF(G491="","",IFERROR(IF(ISNUMBER(SEARCH(Assumptions!$C$5,G491)),Assumptions!$D$5,IF(ISNUMBER(SEARCH(Assumptions!$C$6,G491)),Assumptions!$D$6,IF(ISNUMBER(SEARCH(Assumptions!$C$7,G491)),Assumptions!$D$7,"Other Services"))),"Other Services"))</f>
        <v/>
      </c>
    </row>
    <row r="492" customFormat="false" ht="15" hidden="false" customHeight="false" outlineLevel="0" collapsed="false">
      <c r="E492" s="41" t="str">
        <f aca="false">IF(D492="","",IFERROR(VLOOKUP(D492,Assumptions!$G$5:$H$16,2,0),"Other"))</f>
        <v/>
      </c>
      <c r="J492" s="41" t="str">
        <f aca="false">IF(G492="","",IFERROR(IF(ISNUMBER(SEARCH(Assumptions!$C$5,G492)),Assumptions!$D$5,IF(ISNUMBER(SEARCH(Assumptions!$C$6,G492)),Assumptions!$D$6,IF(ISNUMBER(SEARCH(Assumptions!$C$7,G492)),Assumptions!$D$7,"Other Services"))),"Other Services"))</f>
        <v/>
      </c>
    </row>
    <row r="493" customFormat="false" ht="15" hidden="false" customHeight="false" outlineLevel="0" collapsed="false">
      <c r="E493" s="41" t="str">
        <f aca="false">IF(D493="","",IFERROR(VLOOKUP(D493,Assumptions!$G$5:$H$16,2,0),"Other"))</f>
        <v/>
      </c>
      <c r="J493" s="41" t="str">
        <f aca="false">IF(G493="","",IFERROR(IF(ISNUMBER(SEARCH(Assumptions!$C$5,G493)),Assumptions!$D$5,IF(ISNUMBER(SEARCH(Assumptions!$C$6,G493)),Assumptions!$D$6,IF(ISNUMBER(SEARCH(Assumptions!$C$7,G493)),Assumptions!$D$7,"Other Services"))),"Other Services"))</f>
        <v/>
      </c>
    </row>
    <row r="494" customFormat="false" ht="15" hidden="false" customHeight="false" outlineLevel="0" collapsed="false">
      <c r="E494" s="41" t="str">
        <f aca="false">IF(D494="","",IFERROR(VLOOKUP(D494,Assumptions!$G$5:$H$16,2,0),"Other"))</f>
        <v/>
      </c>
      <c r="J494" s="41" t="str">
        <f aca="false">IF(G494="","",IFERROR(IF(ISNUMBER(SEARCH(Assumptions!$C$5,G494)),Assumptions!$D$5,IF(ISNUMBER(SEARCH(Assumptions!$C$6,G494)),Assumptions!$D$6,IF(ISNUMBER(SEARCH(Assumptions!$C$7,G494)),Assumptions!$D$7,"Other Services"))),"Other Services"))</f>
        <v/>
      </c>
    </row>
    <row r="495" customFormat="false" ht="15" hidden="false" customHeight="false" outlineLevel="0" collapsed="false">
      <c r="E495" s="41" t="str">
        <f aca="false">IF(D495="","",IFERROR(VLOOKUP(D495,Assumptions!$G$5:$H$16,2,0),"Other"))</f>
        <v/>
      </c>
      <c r="J495" s="41" t="str">
        <f aca="false">IF(G495="","",IFERROR(IF(ISNUMBER(SEARCH(Assumptions!$C$5,G495)),Assumptions!$D$5,IF(ISNUMBER(SEARCH(Assumptions!$C$6,G495)),Assumptions!$D$6,IF(ISNUMBER(SEARCH(Assumptions!$C$7,G495)),Assumptions!$D$7,"Other Services"))),"Other Services"))</f>
        <v/>
      </c>
    </row>
    <row r="496" customFormat="false" ht="15" hidden="false" customHeight="false" outlineLevel="0" collapsed="false">
      <c r="E496" s="41" t="str">
        <f aca="false">IF(D496="","",IFERROR(VLOOKUP(D496,Assumptions!$G$5:$H$16,2,0),"Other"))</f>
        <v/>
      </c>
      <c r="J496" s="41" t="str">
        <f aca="false">IF(G496="","",IFERROR(IF(ISNUMBER(SEARCH(Assumptions!$C$5,G496)),Assumptions!$D$5,IF(ISNUMBER(SEARCH(Assumptions!$C$6,G496)),Assumptions!$D$6,IF(ISNUMBER(SEARCH(Assumptions!$C$7,G496)),Assumptions!$D$7,"Other Services"))),"Other Services"))</f>
        <v/>
      </c>
    </row>
    <row r="497" customFormat="false" ht="15" hidden="false" customHeight="false" outlineLevel="0" collapsed="false">
      <c r="E497" s="41" t="str">
        <f aca="false">IF(D497="","",IFERROR(VLOOKUP(D497,Assumptions!$G$5:$H$16,2,0),"Other"))</f>
        <v/>
      </c>
      <c r="J497" s="41" t="str">
        <f aca="false">IF(G497="","",IFERROR(IF(ISNUMBER(SEARCH(Assumptions!$C$5,G497)),Assumptions!$D$5,IF(ISNUMBER(SEARCH(Assumptions!$C$6,G497)),Assumptions!$D$6,IF(ISNUMBER(SEARCH(Assumptions!$C$7,G497)),Assumptions!$D$7,"Other Services"))),"Other Services"))</f>
        <v/>
      </c>
    </row>
    <row r="498" customFormat="false" ht="15" hidden="false" customHeight="false" outlineLevel="0" collapsed="false">
      <c r="E498" s="41" t="str">
        <f aca="false">IF(D498="","",IFERROR(VLOOKUP(D498,Assumptions!$G$5:$H$16,2,0),"Other"))</f>
        <v/>
      </c>
      <c r="J498" s="41" t="str">
        <f aca="false">IF(G498="","",IFERROR(IF(ISNUMBER(SEARCH(Assumptions!$C$5,G498)),Assumptions!$D$5,IF(ISNUMBER(SEARCH(Assumptions!$C$6,G498)),Assumptions!$D$6,IF(ISNUMBER(SEARCH(Assumptions!$C$7,G498)),Assumptions!$D$7,"Other Services"))),"Other Services"))</f>
        <v/>
      </c>
    </row>
    <row r="499" customFormat="false" ht="15" hidden="false" customHeight="false" outlineLevel="0" collapsed="false">
      <c r="E499" s="41" t="str">
        <f aca="false">IF(D499="","",IFERROR(VLOOKUP(D499,Assumptions!$G$5:$H$16,2,0),"Other"))</f>
        <v/>
      </c>
      <c r="J499" s="41" t="str">
        <f aca="false">IF(G499="","",IFERROR(IF(ISNUMBER(SEARCH(Assumptions!$C$5,G499)),Assumptions!$D$5,IF(ISNUMBER(SEARCH(Assumptions!$C$6,G499)),Assumptions!$D$6,IF(ISNUMBER(SEARCH(Assumptions!$C$7,G499)),Assumptions!$D$7,"Other Services"))),"Other Services"))</f>
        <v/>
      </c>
    </row>
    <row r="500" customFormat="false" ht="15" hidden="false" customHeight="false" outlineLevel="0" collapsed="false">
      <c r="E500" s="41" t="str">
        <f aca="false">IF(D500="","",IFERROR(VLOOKUP(D500,Assumptions!$G$5:$H$16,2,0),"Other"))</f>
        <v/>
      </c>
      <c r="J500" s="41" t="str">
        <f aca="false">IF(G500="","",IFERROR(IF(ISNUMBER(SEARCH(Assumptions!$C$5,G500)),Assumptions!$D$5,IF(ISNUMBER(SEARCH(Assumptions!$C$6,G500)),Assumptions!$D$6,IF(ISNUMBER(SEARCH(Assumptions!$C$7,G500)),Assumptions!$D$7,"Other Services"))),"Other Services"))</f>
        <v/>
      </c>
    </row>
    <row r="501" customFormat="false" ht="15" hidden="false" customHeight="false" outlineLevel="0" collapsed="false">
      <c r="E501" s="41" t="str">
        <f aca="false">IF(D501="","",IFERROR(VLOOKUP(D501,Assumptions!$G$5:$H$16,2,0),"Other"))</f>
        <v/>
      </c>
      <c r="J501" s="41" t="str">
        <f aca="false">IF(G501="","",IFERROR(IF(ISNUMBER(SEARCH(Assumptions!$C$5,G501)),Assumptions!$D$5,IF(ISNUMBER(SEARCH(Assumptions!$C$6,G501)),Assumptions!$D$6,IF(ISNUMBER(SEARCH(Assumptions!$C$7,G501)),Assumptions!$D$7,"Other Services"))),"Other Services"))</f>
        <v/>
      </c>
    </row>
    <row r="502" customFormat="false" ht="15" hidden="false" customHeight="false" outlineLevel="0" collapsed="false">
      <c r="E502" s="41" t="str">
        <f aca="false">IF(D502="","",IFERROR(VLOOKUP(D502,Assumptions!$G$5:$H$16,2,0),"Other"))</f>
        <v/>
      </c>
      <c r="J502" s="41" t="str">
        <f aca="false">IF(G502="","",IFERROR(IF(ISNUMBER(SEARCH(Assumptions!$C$5,G502)),Assumptions!$D$5,IF(ISNUMBER(SEARCH(Assumptions!$C$6,G502)),Assumptions!$D$6,IF(ISNUMBER(SEARCH(Assumptions!$C$7,G502)),Assumptions!$D$7,"Other Services"))),"Other Services"))</f>
        <v/>
      </c>
    </row>
    <row r="503" customFormat="false" ht="15" hidden="false" customHeight="false" outlineLevel="0" collapsed="false">
      <c r="E503" s="41" t="str">
        <f aca="false">IF(D503="","",IFERROR(VLOOKUP(D503,Assumptions!$G$5:$H$16,2,0),"Other"))</f>
        <v/>
      </c>
      <c r="J503" s="41" t="str">
        <f aca="false">IF(G503="","",IFERROR(IF(ISNUMBER(SEARCH(Assumptions!$C$5,G503)),Assumptions!$D$5,IF(ISNUMBER(SEARCH(Assumptions!$C$6,G503)),Assumptions!$D$6,IF(ISNUMBER(SEARCH(Assumptions!$C$7,G503)),Assumptions!$D$7,"Other Services"))),"Other Services"))</f>
        <v/>
      </c>
    </row>
    <row r="504" customFormat="false" ht="15" hidden="false" customHeight="false" outlineLevel="0" collapsed="false">
      <c r="E504" s="41" t="str">
        <f aca="false">IF(D504="","",IFERROR(VLOOKUP(D504,Assumptions!$G$5:$H$16,2,0),"Other"))</f>
        <v/>
      </c>
      <c r="J504" s="41" t="str">
        <f aca="false">IF(G504="","",IFERROR(IF(ISNUMBER(SEARCH(Assumptions!$C$5,G504)),Assumptions!$D$5,IF(ISNUMBER(SEARCH(Assumptions!$C$6,G504)),Assumptions!$D$6,IF(ISNUMBER(SEARCH(Assumptions!$C$7,G504)),Assumptions!$D$7,"Other Services"))),"Other Services"))</f>
        <v/>
      </c>
    </row>
    <row r="505" customFormat="false" ht="15" hidden="false" customHeight="false" outlineLevel="0" collapsed="false">
      <c r="E505" s="41" t="str">
        <f aca="false">IF(D505="","",IFERROR(VLOOKUP(D505,Assumptions!$G$5:$H$16,2,0),"Other"))</f>
        <v/>
      </c>
      <c r="J505" s="41" t="str">
        <f aca="false">IF(G505="","",IFERROR(IF(ISNUMBER(SEARCH(Assumptions!$C$5,G505)),Assumptions!$D$5,IF(ISNUMBER(SEARCH(Assumptions!$C$6,G505)),Assumptions!$D$6,IF(ISNUMBER(SEARCH(Assumptions!$C$7,G505)),Assumptions!$D$7,"Other Services"))),"Other Services"))</f>
        <v/>
      </c>
    </row>
    <row r="506" customFormat="false" ht="15" hidden="false" customHeight="false" outlineLevel="0" collapsed="false">
      <c r="E506" s="41" t="str">
        <f aca="false">IF(D506="","",IFERROR(VLOOKUP(D506,Assumptions!$G$5:$H$16,2,0),"Other"))</f>
        <v/>
      </c>
      <c r="J506" s="41" t="str">
        <f aca="false">IF(G506="","",IFERROR(IF(ISNUMBER(SEARCH(Assumptions!$C$5,G506)),Assumptions!$D$5,IF(ISNUMBER(SEARCH(Assumptions!$C$6,G506)),Assumptions!$D$6,IF(ISNUMBER(SEARCH(Assumptions!$C$7,G506)),Assumptions!$D$7,"Other Services"))),"Other Services"))</f>
        <v/>
      </c>
    </row>
    <row r="507" customFormat="false" ht="15" hidden="false" customHeight="false" outlineLevel="0" collapsed="false">
      <c r="E507" s="41" t="str">
        <f aca="false">IF(D507="","",IFERROR(VLOOKUP(D507,Assumptions!$G$5:$H$16,2,0),"Other"))</f>
        <v/>
      </c>
      <c r="J507" s="41" t="str">
        <f aca="false">IF(G507="","",IFERROR(IF(ISNUMBER(SEARCH(Assumptions!$C$5,G507)),Assumptions!$D$5,IF(ISNUMBER(SEARCH(Assumptions!$C$6,G507)),Assumptions!$D$6,IF(ISNUMBER(SEARCH(Assumptions!$C$7,G507)),Assumptions!$D$7,"Other Services"))),"Other Services"))</f>
        <v/>
      </c>
    </row>
    <row r="508" customFormat="false" ht="15" hidden="false" customHeight="false" outlineLevel="0" collapsed="false">
      <c r="E508" s="41" t="str">
        <f aca="false">IF(D508="","",IFERROR(VLOOKUP(D508,Assumptions!$G$5:$H$16,2,0),"Other"))</f>
        <v/>
      </c>
      <c r="J508" s="41" t="str">
        <f aca="false">IF(G508="","",IFERROR(IF(ISNUMBER(SEARCH(Assumptions!$C$5,G508)),Assumptions!$D$5,IF(ISNUMBER(SEARCH(Assumptions!$C$6,G508)),Assumptions!$D$6,IF(ISNUMBER(SEARCH(Assumptions!$C$7,G508)),Assumptions!$D$7,"Other Services"))),"Other Services"))</f>
        <v/>
      </c>
    </row>
    <row r="509" customFormat="false" ht="15" hidden="false" customHeight="false" outlineLevel="0" collapsed="false">
      <c r="E509" s="41" t="str">
        <f aca="false">IF(D509="","",IFERROR(VLOOKUP(D509,Assumptions!$G$5:$H$16,2,0),"Other"))</f>
        <v/>
      </c>
      <c r="J509" s="41" t="str">
        <f aca="false">IF(G509="","",IFERROR(IF(ISNUMBER(SEARCH(Assumptions!$C$5,G509)),Assumptions!$D$5,IF(ISNUMBER(SEARCH(Assumptions!$C$6,G509)),Assumptions!$D$6,IF(ISNUMBER(SEARCH(Assumptions!$C$7,G509)),Assumptions!$D$7,"Other Services"))),"Other Services"))</f>
        <v/>
      </c>
    </row>
    <row r="510" customFormat="false" ht="15" hidden="false" customHeight="false" outlineLevel="0" collapsed="false">
      <c r="E510" s="41" t="str">
        <f aca="false">IF(D510="","",IFERROR(VLOOKUP(D510,Assumptions!$G$5:$H$16,2,0),"Other"))</f>
        <v/>
      </c>
      <c r="J510" s="41" t="str">
        <f aca="false">IF(G510="","",IFERROR(IF(ISNUMBER(SEARCH(Assumptions!$C$5,G510)),Assumptions!$D$5,IF(ISNUMBER(SEARCH(Assumptions!$C$6,G510)),Assumptions!$D$6,IF(ISNUMBER(SEARCH(Assumptions!$C$7,G510)),Assumptions!$D$7,"Other Services"))),"Other Services"))</f>
        <v/>
      </c>
    </row>
    <row r="511" customFormat="false" ht="15" hidden="false" customHeight="false" outlineLevel="0" collapsed="false">
      <c r="E511" s="41" t="str">
        <f aca="false">IF(D511="","",IFERROR(VLOOKUP(D511,Assumptions!$G$5:$H$16,2,0),"Other"))</f>
        <v/>
      </c>
      <c r="J511" s="41" t="str">
        <f aca="false">IF(G511="","",IFERROR(IF(ISNUMBER(SEARCH(Assumptions!$C$5,G511)),Assumptions!$D$5,IF(ISNUMBER(SEARCH(Assumptions!$C$6,G511)),Assumptions!$D$6,IF(ISNUMBER(SEARCH(Assumptions!$C$7,G511)),Assumptions!$D$7,"Other Services"))),"Other Services"))</f>
        <v/>
      </c>
    </row>
    <row r="512" customFormat="false" ht="15" hidden="false" customHeight="false" outlineLevel="0" collapsed="false">
      <c r="E512" s="41" t="str">
        <f aca="false">IF(D512="","",IFERROR(VLOOKUP(D512,Assumptions!$G$5:$H$16,2,0),"Other"))</f>
        <v/>
      </c>
      <c r="J512" s="41" t="str">
        <f aca="false">IF(G512="","",IFERROR(IF(ISNUMBER(SEARCH(Assumptions!$C$5,G512)),Assumptions!$D$5,IF(ISNUMBER(SEARCH(Assumptions!$C$6,G512)),Assumptions!$D$6,IF(ISNUMBER(SEARCH(Assumptions!$C$7,G512)),Assumptions!$D$7,"Other Services"))),"Other Services"))</f>
        <v/>
      </c>
    </row>
    <row r="513" customFormat="false" ht="15" hidden="false" customHeight="false" outlineLevel="0" collapsed="false">
      <c r="E513" s="41" t="str">
        <f aca="false">IF(D513="","",IFERROR(VLOOKUP(D513,Assumptions!$G$5:$H$16,2,0),"Other"))</f>
        <v/>
      </c>
      <c r="J513" s="41" t="str">
        <f aca="false">IF(G513="","",IFERROR(IF(ISNUMBER(SEARCH(Assumptions!$C$5,G513)),Assumptions!$D$5,IF(ISNUMBER(SEARCH(Assumptions!$C$6,G513)),Assumptions!$D$6,IF(ISNUMBER(SEARCH(Assumptions!$C$7,G513)),Assumptions!$D$7,"Other Services"))),"Other Services"))</f>
        <v/>
      </c>
    </row>
    <row r="514" customFormat="false" ht="15" hidden="false" customHeight="false" outlineLevel="0" collapsed="false">
      <c r="E514" s="41" t="str">
        <f aca="false">IF(D514="","",IFERROR(VLOOKUP(D514,Assumptions!$G$5:$H$16,2,0),"Other"))</f>
        <v/>
      </c>
      <c r="J514" s="41" t="str">
        <f aca="false">IF(G514="","",IFERROR(IF(ISNUMBER(SEARCH(Assumptions!$C$5,G514)),Assumptions!$D$5,IF(ISNUMBER(SEARCH(Assumptions!$C$6,G514)),Assumptions!$D$6,IF(ISNUMBER(SEARCH(Assumptions!$C$7,G514)),Assumptions!$D$7,"Other Services"))),"Other Services"))</f>
        <v/>
      </c>
    </row>
    <row r="515" customFormat="false" ht="15" hidden="false" customHeight="false" outlineLevel="0" collapsed="false">
      <c r="E515" s="41" t="str">
        <f aca="false">IF(D515="","",IFERROR(VLOOKUP(D515,Assumptions!$G$5:$H$16,2,0),"Other"))</f>
        <v/>
      </c>
      <c r="J515" s="41" t="str">
        <f aca="false">IF(G515="","",IFERROR(IF(ISNUMBER(SEARCH(Assumptions!$C$5,G515)),Assumptions!$D$5,IF(ISNUMBER(SEARCH(Assumptions!$C$6,G515)),Assumptions!$D$6,IF(ISNUMBER(SEARCH(Assumptions!$C$7,G515)),Assumptions!$D$7,"Other Services"))),"Other Services"))</f>
        <v/>
      </c>
    </row>
    <row r="516" customFormat="false" ht="15" hidden="false" customHeight="false" outlineLevel="0" collapsed="false">
      <c r="E516" s="41" t="str">
        <f aca="false">IF(D516="","",IFERROR(VLOOKUP(D516,Assumptions!$G$5:$H$16,2,0),"Other"))</f>
        <v/>
      </c>
      <c r="J516" s="41" t="str">
        <f aca="false">IF(G516="","",IFERROR(IF(ISNUMBER(SEARCH(Assumptions!$C$5,G516)),Assumptions!$D$5,IF(ISNUMBER(SEARCH(Assumptions!$C$6,G516)),Assumptions!$D$6,IF(ISNUMBER(SEARCH(Assumptions!$C$7,G516)),Assumptions!$D$7,"Other Services"))),"Other Services"))</f>
        <v/>
      </c>
    </row>
    <row r="517" customFormat="false" ht="15" hidden="false" customHeight="false" outlineLevel="0" collapsed="false">
      <c r="E517" s="41" t="str">
        <f aca="false">IF(D517="","",IFERROR(VLOOKUP(D517,Assumptions!$G$5:$H$16,2,0),"Other"))</f>
        <v/>
      </c>
      <c r="J517" s="41" t="str">
        <f aca="false">IF(G517="","",IFERROR(IF(ISNUMBER(SEARCH(Assumptions!$C$5,G517)),Assumptions!$D$5,IF(ISNUMBER(SEARCH(Assumptions!$C$6,G517)),Assumptions!$D$6,IF(ISNUMBER(SEARCH(Assumptions!$C$7,G517)),Assumptions!$D$7,"Other Services"))),"Other Services"))</f>
        <v/>
      </c>
    </row>
    <row r="518" customFormat="false" ht="15" hidden="false" customHeight="false" outlineLevel="0" collapsed="false">
      <c r="E518" s="41" t="str">
        <f aca="false">IF(D518="","",IFERROR(VLOOKUP(D518,Assumptions!$G$5:$H$16,2,0),"Other"))</f>
        <v/>
      </c>
      <c r="J518" s="41" t="str">
        <f aca="false">IF(G518="","",IFERROR(IF(ISNUMBER(SEARCH(Assumptions!$C$5,G518)),Assumptions!$D$5,IF(ISNUMBER(SEARCH(Assumptions!$C$6,G518)),Assumptions!$D$6,IF(ISNUMBER(SEARCH(Assumptions!$C$7,G518)),Assumptions!$D$7,"Other Services"))),"Other Services"))</f>
        <v/>
      </c>
    </row>
    <row r="519" customFormat="false" ht="15" hidden="false" customHeight="false" outlineLevel="0" collapsed="false">
      <c r="E519" s="41" t="str">
        <f aca="false">IF(D519="","",IFERROR(VLOOKUP(D519,Assumptions!$G$5:$H$16,2,0),"Other"))</f>
        <v/>
      </c>
      <c r="J519" s="41" t="str">
        <f aca="false">IF(G519="","",IFERROR(IF(ISNUMBER(SEARCH(Assumptions!$C$5,G519)),Assumptions!$D$5,IF(ISNUMBER(SEARCH(Assumptions!$C$6,G519)),Assumptions!$D$6,IF(ISNUMBER(SEARCH(Assumptions!$C$7,G519)),Assumptions!$D$7,"Other Services"))),"Other Services"))</f>
        <v/>
      </c>
    </row>
    <row r="520" customFormat="false" ht="15" hidden="false" customHeight="false" outlineLevel="0" collapsed="false">
      <c r="E520" s="41" t="str">
        <f aca="false">IF(D520="","",IFERROR(VLOOKUP(D520,Assumptions!$G$5:$H$16,2,0),"Other"))</f>
        <v/>
      </c>
      <c r="J520" s="41" t="str">
        <f aca="false">IF(G520="","",IFERROR(IF(ISNUMBER(SEARCH(Assumptions!$C$5,G520)),Assumptions!$D$5,IF(ISNUMBER(SEARCH(Assumptions!$C$6,G520)),Assumptions!$D$6,IF(ISNUMBER(SEARCH(Assumptions!$C$7,G520)),Assumptions!$D$7,"Other Services"))),"Other Services"))</f>
        <v/>
      </c>
    </row>
    <row r="521" customFormat="false" ht="15" hidden="false" customHeight="false" outlineLevel="0" collapsed="false">
      <c r="E521" s="41" t="str">
        <f aca="false">IF(D521="","",IFERROR(VLOOKUP(D521,Assumptions!$G$5:$H$16,2,0),"Other"))</f>
        <v/>
      </c>
      <c r="J521" s="41" t="str">
        <f aca="false">IF(G521="","",IFERROR(IF(ISNUMBER(SEARCH(Assumptions!$C$5,G521)),Assumptions!$D$5,IF(ISNUMBER(SEARCH(Assumptions!$C$6,G521)),Assumptions!$D$6,IF(ISNUMBER(SEARCH(Assumptions!$C$7,G521)),Assumptions!$D$7,"Other Services"))),"Other Services"))</f>
        <v/>
      </c>
    </row>
    <row r="522" customFormat="false" ht="15" hidden="false" customHeight="false" outlineLevel="0" collapsed="false">
      <c r="E522" s="41" t="str">
        <f aca="false">IF(D522="","",IFERROR(VLOOKUP(D522,Assumptions!$G$5:$H$16,2,0),"Other"))</f>
        <v/>
      </c>
      <c r="J522" s="41" t="str">
        <f aca="false">IF(G522="","",IFERROR(IF(ISNUMBER(SEARCH(Assumptions!$C$5,G522)),Assumptions!$D$5,IF(ISNUMBER(SEARCH(Assumptions!$C$6,G522)),Assumptions!$D$6,IF(ISNUMBER(SEARCH(Assumptions!$C$7,G522)),Assumptions!$D$7,"Other Services"))),"Other Services"))</f>
        <v/>
      </c>
    </row>
    <row r="523" customFormat="false" ht="15" hidden="false" customHeight="false" outlineLevel="0" collapsed="false">
      <c r="E523" s="41" t="str">
        <f aca="false">IF(D523="","",IFERROR(VLOOKUP(D523,Assumptions!$G$5:$H$16,2,0),"Other"))</f>
        <v/>
      </c>
      <c r="J523" s="41" t="str">
        <f aca="false">IF(G523="","",IFERROR(IF(ISNUMBER(SEARCH(Assumptions!$C$5,G523)),Assumptions!$D$5,IF(ISNUMBER(SEARCH(Assumptions!$C$6,G523)),Assumptions!$D$6,IF(ISNUMBER(SEARCH(Assumptions!$C$7,G523)),Assumptions!$D$7,"Other Services"))),"Other Services"))</f>
        <v/>
      </c>
    </row>
    <row r="524" customFormat="false" ht="15" hidden="false" customHeight="false" outlineLevel="0" collapsed="false">
      <c r="E524" s="41" t="str">
        <f aca="false">IF(D524="","",IFERROR(VLOOKUP(D524,Assumptions!$G$5:$H$16,2,0),"Other"))</f>
        <v/>
      </c>
      <c r="J524" s="41" t="str">
        <f aca="false">IF(G524="","",IFERROR(IF(ISNUMBER(SEARCH(Assumptions!$C$5,G524)),Assumptions!$D$5,IF(ISNUMBER(SEARCH(Assumptions!$C$6,G524)),Assumptions!$D$6,IF(ISNUMBER(SEARCH(Assumptions!$C$7,G524)),Assumptions!$D$7,"Other Services"))),"Other Services"))</f>
        <v/>
      </c>
    </row>
    <row r="525" customFormat="false" ht="15" hidden="false" customHeight="false" outlineLevel="0" collapsed="false">
      <c r="E525" s="41" t="str">
        <f aca="false">IF(D525="","",IFERROR(VLOOKUP(D525,Assumptions!$G$5:$H$16,2,0),"Other"))</f>
        <v/>
      </c>
      <c r="J525" s="41" t="str">
        <f aca="false">IF(G525="","",IFERROR(IF(ISNUMBER(SEARCH(Assumptions!$C$5,G525)),Assumptions!$D$5,IF(ISNUMBER(SEARCH(Assumptions!$C$6,G525)),Assumptions!$D$6,IF(ISNUMBER(SEARCH(Assumptions!$C$7,G525)),Assumptions!$D$7,"Other Services"))),"Other Services"))</f>
        <v/>
      </c>
    </row>
    <row r="526" customFormat="false" ht="15" hidden="false" customHeight="false" outlineLevel="0" collapsed="false">
      <c r="E526" s="41" t="str">
        <f aca="false">IF(D526="","",IFERROR(VLOOKUP(D526,Assumptions!$G$5:$H$16,2,0),"Other"))</f>
        <v/>
      </c>
      <c r="J526" s="41" t="str">
        <f aca="false">IF(G526="","",IFERROR(IF(ISNUMBER(SEARCH(Assumptions!$C$5,G526)),Assumptions!$D$5,IF(ISNUMBER(SEARCH(Assumptions!$C$6,G526)),Assumptions!$D$6,IF(ISNUMBER(SEARCH(Assumptions!$C$7,G526)),Assumptions!$D$7,"Other Services"))),"Other Services"))</f>
        <v/>
      </c>
    </row>
    <row r="527" customFormat="false" ht="15" hidden="false" customHeight="false" outlineLevel="0" collapsed="false">
      <c r="E527" s="41" t="str">
        <f aca="false">IF(D527="","",IFERROR(VLOOKUP(D527,Assumptions!$G$5:$H$16,2,0),"Other"))</f>
        <v/>
      </c>
      <c r="J527" s="41" t="str">
        <f aca="false">IF(G527="","",IFERROR(IF(ISNUMBER(SEARCH(Assumptions!$C$5,G527)),Assumptions!$D$5,IF(ISNUMBER(SEARCH(Assumptions!$C$6,G527)),Assumptions!$D$6,IF(ISNUMBER(SEARCH(Assumptions!$C$7,G527)),Assumptions!$D$7,"Other Services"))),"Other Services"))</f>
        <v/>
      </c>
    </row>
    <row r="528" customFormat="false" ht="15" hidden="false" customHeight="false" outlineLevel="0" collapsed="false">
      <c r="E528" s="41" t="str">
        <f aca="false">IF(D528="","",IFERROR(VLOOKUP(D528,Assumptions!$G$5:$H$16,2,0),"Other"))</f>
        <v/>
      </c>
      <c r="J528" s="41" t="str">
        <f aca="false">IF(G528="","",IFERROR(IF(ISNUMBER(SEARCH(Assumptions!$C$5,G528)),Assumptions!$D$5,IF(ISNUMBER(SEARCH(Assumptions!$C$6,G528)),Assumptions!$D$6,IF(ISNUMBER(SEARCH(Assumptions!$C$7,G528)),Assumptions!$D$7,"Other Services"))),"Other Services"))</f>
        <v/>
      </c>
    </row>
    <row r="529" customFormat="false" ht="15" hidden="false" customHeight="false" outlineLevel="0" collapsed="false">
      <c r="E529" s="41" t="str">
        <f aca="false">IF(D529="","",IFERROR(VLOOKUP(D529,Assumptions!$G$5:$H$16,2,0),"Other"))</f>
        <v/>
      </c>
      <c r="J529" s="41" t="str">
        <f aca="false">IF(G529="","",IFERROR(IF(ISNUMBER(SEARCH(Assumptions!$C$5,G529)),Assumptions!$D$5,IF(ISNUMBER(SEARCH(Assumptions!$C$6,G529)),Assumptions!$D$6,IF(ISNUMBER(SEARCH(Assumptions!$C$7,G529)),Assumptions!$D$7,"Other Services"))),"Other Services"))</f>
        <v/>
      </c>
    </row>
    <row r="530" customFormat="false" ht="15" hidden="false" customHeight="false" outlineLevel="0" collapsed="false">
      <c r="E530" s="41" t="str">
        <f aca="false">IF(D530="","",IFERROR(VLOOKUP(D530,Assumptions!$G$5:$H$16,2,0),"Other"))</f>
        <v/>
      </c>
      <c r="J530" s="41" t="str">
        <f aca="false">IF(G530="","",IFERROR(IF(ISNUMBER(SEARCH(Assumptions!$C$5,G530)),Assumptions!$D$5,IF(ISNUMBER(SEARCH(Assumptions!$C$6,G530)),Assumptions!$D$6,IF(ISNUMBER(SEARCH(Assumptions!$C$7,G530)),Assumptions!$D$7,"Other Services"))),"Other Services"))</f>
        <v/>
      </c>
    </row>
    <row r="531" customFormat="false" ht="15" hidden="false" customHeight="false" outlineLevel="0" collapsed="false">
      <c r="E531" s="41" t="str">
        <f aca="false">IF(D531="","",IFERROR(VLOOKUP(D531,Assumptions!$G$5:$H$16,2,0),"Other"))</f>
        <v/>
      </c>
      <c r="J531" s="41" t="str">
        <f aca="false">IF(G531="","",IFERROR(IF(ISNUMBER(SEARCH(Assumptions!$C$5,G531)),Assumptions!$D$5,IF(ISNUMBER(SEARCH(Assumptions!$C$6,G531)),Assumptions!$D$6,IF(ISNUMBER(SEARCH(Assumptions!$C$7,G531)),Assumptions!$D$7,"Other Services"))),"Other Services"))</f>
        <v/>
      </c>
    </row>
    <row r="532" customFormat="false" ht="15" hidden="false" customHeight="false" outlineLevel="0" collapsed="false">
      <c r="E532" s="41" t="str">
        <f aca="false">IF(D532="","",IFERROR(VLOOKUP(D532,Assumptions!$G$5:$H$16,2,0),"Other"))</f>
        <v/>
      </c>
      <c r="J532" s="41" t="str">
        <f aca="false">IF(G532="","",IFERROR(IF(ISNUMBER(SEARCH(Assumptions!$C$5,G532)),Assumptions!$D$5,IF(ISNUMBER(SEARCH(Assumptions!$C$6,G532)),Assumptions!$D$6,IF(ISNUMBER(SEARCH(Assumptions!$C$7,G532)),Assumptions!$D$7,"Other Services"))),"Other Services"))</f>
        <v/>
      </c>
    </row>
    <row r="533" customFormat="false" ht="15" hidden="false" customHeight="false" outlineLevel="0" collapsed="false">
      <c r="E533" s="41" t="str">
        <f aca="false">IF(D533="","",IFERROR(VLOOKUP(D533,Assumptions!$G$5:$H$16,2,0),"Other"))</f>
        <v/>
      </c>
      <c r="J533" s="41" t="str">
        <f aca="false">IF(G533="","",IFERROR(IF(ISNUMBER(SEARCH(Assumptions!$C$5,G533)),Assumptions!$D$5,IF(ISNUMBER(SEARCH(Assumptions!$C$6,G533)),Assumptions!$D$6,IF(ISNUMBER(SEARCH(Assumptions!$C$7,G533)),Assumptions!$D$7,"Other Services"))),"Other Services"))</f>
        <v/>
      </c>
    </row>
    <row r="534" customFormat="false" ht="15" hidden="false" customHeight="false" outlineLevel="0" collapsed="false">
      <c r="E534" s="41" t="str">
        <f aca="false">IF(D534="","",IFERROR(VLOOKUP(D534,Assumptions!$G$5:$H$16,2,0),"Other"))</f>
        <v/>
      </c>
      <c r="J534" s="41" t="str">
        <f aca="false">IF(G534="","",IFERROR(IF(ISNUMBER(SEARCH(Assumptions!$C$5,G534)),Assumptions!$D$5,IF(ISNUMBER(SEARCH(Assumptions!$C$6,G534)),Assumptions!$D$6,IF(ISNUMBER(SEARCH(Assumptions!$C$7,G534)),Assumptions!$D$7,"Other Services"))),"Other Services"))</f>
        <v/>
      </c>
    </row>
    <row r="535" customFormat="false" ht="15" hidden="false" customHeight="false" outlineLevel="0" collapsed="false">
      <c r="E535" s="41" t="str">
        <f aca="false">IF(D535="","",IFERROR(VLOOKUP(D535,Assumptions!$G$5:$H$16,2,0),"Other"))</f>
        <v/>
      </c>
      <c r="J535" s="41" t="str">
        <f aca="false">IF(G535="","",IFERROR(IF(ISNUMBER(SEARCH(Assumptions!$C$5,G535)),Assumptions!$D$5,IF(ISNUMBER(SEARCH(Assumptions!$C$6,G535)),Assumptions!$D$6,IF(ISNUMBER(SEARCH(Assumptions!$C$7,G535)),Assumptions!$D$7,"Other Services"))),"Other Services"))</f>
        <v/>
      </c>
    </row>
    <row r="536" customFormat="false" ht="15" hidden="false" customHeight="false" outlineLevel="0" collapsed="false">
      <c r="E536" s="41" t="str">
        <f aca="false">IF(D536="","",IFERROR(VLOOKUP(D536,Assumptions!$G$5:$H$16,2,0),"Other"))</f>
        <v/>
      </c>
      <c r="J536" s="41" t="str">
        <f aca="false">IF(G536="","",IFERROR(IF(ISNUMBER(SEARCH(Assumptions!$C$5,G536)),Assumptions!$D$5,IF(ISNUMBER(SEARCH(Assumptions!$C$6,G536)),Assumptions!$D$6,IF(ISNUMBER(SEARCH(Assumptions!$C$7,G536)),Assumptions!$D$7,"Other Services"))),"Other Services"))</f>
        <v/>
      </c>
    </row>
    <row r="537" customFormat="false" ht="15" hidden="false" customHeight="false" outlineLevel="0" collapsed="false">
      <c r="E537" s="41" t="str">
        <f aca="false">IF(D537="","",IFERROR(VLOOKUP(D537,Assumptions!$G$5:$H$16,2,0),"Other"))</f>
        <v/>
      </c>
      <c r="J537" s="41" t="str">
        <f aca="false">IF(G537="","",IFERROR(IF(ISNUMBER(SEARCH(Assumptions!$C$5,G537)),Assumptions!$D$5,IF(ISNUMBER(SEARCH(Assumptions!$C$6,G537)),Assumptions!$D$6,IF(ISNUMBER(SEARCH(Assumptions!$C$7,G537)),Assumptions!$D$7,"Other Services"))),"Other Services"))</f>
        <v/>
      </c>
    </row>
    <row r="538" customFormat="false" ht="15" hidden="false" customHeight="false" outlineLevel="0" collapsed="false">
      <c r="E538" s="41" t="str">
        <f aca="false">IF(D538="","",IFERROR(VLOOKUP(D538,Assumptions!$G$5:$H$16,2,0),"Other"))</f>
        <v/>
      </c>
      <c r="J538" s="41" t="str">
        <f aca="false">IF(G538="","",IFERROR(IF(ISNUMBER(SEARCH(Assumptions!$C$5,G538)),Assumptions!$D$5,IF(ISNUMBER(SEARCH(Assumptions!$C$6,G538)),Assumptions!$D$6,IF(ISNUMBER(SEARCH(Assumptions!$C$7,G538)),Assumptions!$D$7,"Other Services"))),"Other Services"))</f>
        <v/>
      </c>
    </row>
    <row r="539" customFormat="false" ht="15" hidden="false" customHeight="false" outlineLevel="0" collapsed="false">
      <c r="E539" s="41" t="str">
        <f aca="false">IF(D539="","",IFERROR(VLOOKUP(D539,Assumptions!$G$5:$H$16,2,0),"Other"))</f>
        <v/>
      </c>
      <c r="J539" s="41" t="str">
        <f aca="false">IF(G539="","",IFERROR(IF(ISNUMBER(SEARCH(Assumptions!$C$5,G539)),Assumptions!$D$5,IF(ISNUMBER(SEARCH(Assumptions!$C$6,G539)),Assumptions!$D$6,IF(ISNUMBER(SEARCH(Assumptions!$C$7,G539)),Assumptions!$D$7,"Other Services"))),"Other Services"))</f>
        <v/>
      </c>
    </row>
    <row r="540" customFormat="false" ht="15" hidden="false" customHeight="false" outlineLevel="0" collapsed="false">
      <c r="E540" s="41" t="str">
        <f aca="false">IF(D540="","",IFERROR(VLOOKUP(D540,Assumptions!$G$5:$H$16,2,0),"Other"))</f>
        <v/>
      </c>
      <c r="J540" s="41" t="str">
        <f aca="false">IF(G540="","",IFERROR(IF(ISNUMBER(SEARCH(Assumptions!$C$5,G540)),Assumptions!$D$5,IF(ISNUMBER(SEARCH(Assumptions!$C$6,G540)),Assumptions!$D$6,IF(ISNUMBER(SEARCH(Assumptions!$C$7,G540)),Assumptions!$D$7,"Other Services"))),"Other Services"))</f>
        <v/>
      </c>
    </row>
    <row r="541" customFormat="false" ht="15" hidden="false" customHeight="false" outlineLevel="0" collapsed="false">
      <c r="E541" s="41" t="str">
        <f aca="false">IF(D541="","",IFERROR(VLOOKUP(D541,Assumptions!$G$5:$H$16,2,0),"Other"))</f>
        <v/>
      </c>
      <c r="J541" s="41" t="str">
        <f aca="false">IF(G541="","",IFERROR(IF(ISNUMBER(SEARCH(Assumptions!$C$5,G541)),Assumptions!$D$5,IF(ISNUMBER(SEARCH(Assumptions!$C$6,G541)),Assumptions!$D$6,IF(ISNUMBER(SEARCH(Assumptions!$C$7,G541)),Assumptions!$D$7,"Other Services"))),"Other Services"))</f>
        <v/>
      </c>
    </row>
    <row r="542" customFormat="false" ht="15" hidden="false" customHeight="false" outlineLevel="0" collapsed="false">
      <c r="E542" s="41" t="str">
        <f aca="false">IF(D542="","",IFERROR(VLOOKUP(D542,Assumptions!$G$5:$H$16,2,0),"Other"))</f>
        <v/>
      </c>
      <c r="J542" s="41" t="str">
        <f aca="false">IF(G542="","",IFERROR(IF(ISNUMBER(SEARCH(Assumptions!$C$5,G542)),Assumptions!$D$5,IF(ISNUMBER(SEARCH(Assumptions!$C$6,G542)),Assumptions!$D$6,IF(ISNUMBER(SEARCH(Assumptions!$C$7,G542)),Assumptions!$D$7,"Other Services"))),"Other Services"))</f>
        <v/>
      </c>
    </row>
    <row r="543" customFormat="false" ht="15" hidden="false" customHeight="false" outlineLevel="0" collapsed="false">
      <c r="E543" s="41" t="str">
        <f aca="false">IF(D543="","",IFERROR(VLOOKUP(D543,Assumptions!$G$5:$H$16,2,0),"Other"))</f>
        <v/>
      </c>
      <c r="J543" s="41" t="str">
        <f aca="false">IF(G543="","",IFERROR(IF(ISNUMBER(SEARCH(Assumptions!$C$5,G543)),Assumptions!$D$5,IF(ISNUMBER(SEARCH(Assumptions!$C$6,G543)),Assumptions!$D$6,IF(ISNUMBER(SEARCH(Assumptions!$C$7,G543)),Assumptions!$D$7,"Other Services"))),"Other Services"))</f>
        <v/>
      </c>
    </row>
    <row r="544" customFormat="false" ht="15" hidden="false" customHeight="false" outlineLevel="0" collapsed="false">
      <c r="E544" s="41" t="str">
        <f aca="false">IF(D544="","",IFERROR(VLOOKUP(D544,Assumptions!$G$5:$H$16,2,0),"Other"))</f>
        <v/>
      </c>
      <c r="J544" s="41" t="str">
        <f aca="false">IF(G544="","",IFERROR(IF(ISNUMBER(SEARCH(Assumptions!$C$5,G544)),Assumptions!$D$5,IF(ISNUMBER(SEARCH(Assumptions!$C$6,G544)),Assumptions!$D$6,IF(ISNUMBER(SEARCH(Assumptions!$C$7,G544)),Assumptions!$D$7,"Other Services"))),"Other Services"))</f>
        <v/>
      </c>
    </row>
    <row r="545" customFormat="false" ht="15" hidden="false" customHeight="false" outlineLevel="0" collapsed="false">
      <c r="E545" s="41" t="str">
        <f aca="false">IF(D545="","",IFERROR(VLOOKUP(D545,Assumptions!$G$5:$H$16,2,0),"Other"))</f>
        <v/>
      </c>
      <c r="J545" s="41" t="str">
        <f aca="false">IF(G545="","",IFERROR(IF(ISNUMBER(SEARCH(Assumptions!$C$5,G545)),Assumptions!$D$5,IF(ISNUMBER(SEARCH(Assumptions!$C$6,G545)),Assumptions!$D$6,IF(ISNUMBER(SEARCH(Assumptions!$C$7,G545)),Assumptions!$D$7,"Other Services"))),"Other Services"))</f>
        <v/>
      </c>
    </row>
    <row r="546" customFormat="false" ht="15" hidden="false" customHeight="false" outlineLevel="0" collapsed="false">
      <c r="E546" s="41" t="str">
        <f aca="false">IF(D546="","",IFERROR(VLOOKUP(D546,Assumptions!$G$5:$H$16,2,0),"Other"))</f>
        <v/>
      </c>
      <c r="J546" s="41" t="str">
        <f aca="false">IF(G546="","",IFERROR(IF(ISNUMBER(SEARCH(Assumptions!$C$5,G546)),Assumptions!$D$5,IF(ISNUMBER(SEARCH(Assumptions!$C$6,G546)),Assumptions!$D$6,IF(ISNUMBER(SEARCH(Assumptions!$C$7,G546)),Assumptions!$D$7,"Other Services"))),"Other Services"))</f>
        <v/>
      </c>
    </row>
    <row r="547" customFormat="false" ht="15" hidden="false" customHeight="false" outlineLevel="0" collapsed="false">
      <c r="E547" s="41" t="str">
        <f aca="false">IF(D547="","",IFERROR(VLOOKUP(D547,Assumptions!$G$5:$H$16,2,0),"Other"))</f>
        <v/>
      </c>
      <c r="J547" s="41" t="str">
        <f aca="false">IF(G547="","",IFERROR(IF(ISNUMBER(SEARCH(Assumptions!$C$5,G547)),Assumptions!$D$5,IF(ISNUMBER(SEARCH(Assumptions!$C$6,G547)),Assumptions!$D$6,IF(ISNUMBER(SEARCH(Assumptions!$C$7,G547)),Assumptions!$D$7,"Other Services"))),"Other Services"))</f>
        <v/>
      </c>
    </row>
    <row r="548" customFormat="false" ht="15" hidden="false" customHeight="false" outlineLevel="0" collapsed="false">
      <c r="E548" s="41" t="str">
        <f aca="false">IF(D548="","",IFERROR(VLOOKUP(D548,Assumptions!$G$5:$H$16,2,0),"Other"))</f>
        <v/>
      </c>
      <c r="J548" s="41" t="str">
        <f aca="false">IF(G548="","",IFERROR(IF(ISNUMBER(SEARCH(Assumptions!$C$5,G548)),Assumptions!$D$5,IF(ISNUMBER(SEARCH(Assumptions!$C$6,G548)),Assumptions!$D$6,IF(ISNUMBER(SEARCH(Assumptions!$C$7,G548)),Assumptions!$D$7,"Other Services"))),"Other Services"))</f>
        <v/>
      </c>
    </row>
    <row r="549" customFormat="false" ht="15" hidden="false" customHeight="false" outlineLevel="0" collapsed="false">
      <c r="E549" s="41" t="str">
        <f aca="false">IF(D549="","",IFERROR(VLOOKUP(D549,Assumptions!$G$5:$H$16,2,0),"Other"))</f>
        <v/>
      </c>
      <c r="J549" s="41" t="str">
        <f aca="false">IF(G549="","",IFERROR(IF(ISNUMBER(SEARCH(Assumptions!$C$5,G549)),Assumptions!$D$5,IF(ISNUMBER(SEARCH(Assumptions!$C$6,G549)),Assumptions!$D$6,IF(ISNUMBER(SEARCH(Assumptions!$C$7,G549)),Assumptions!$D$7,"Other Services"))),"Other Services"))</f>
        <v/>
      </c>
    </row>
    <row r="550" customFormat="false" ht="15" hidden="false" customHeight="false" outlineLevel="0" collapsed="false">
      <c r="E550" s="41" t="str">
        <f aca="false">IF(D550="","",IFERROR(VLOOKUP(D550,Assumptions!$G$5:$H$16,2,0),"Other"))</f>
        <v/>
      </c>
      <c r="J550" s="41" t="str">
        <f aca="false">IF(G550="","",IFERROR(IF(ISNUMBER(SEARCH(Assumptions!$C$5,G550)),Assumptions!$D$5,IF(ISNUMBER(SEARCH(Assumptions!$C$6,G550)),Assumptions!$D$6,IF(ISNUMBER(SEARCH(Assumptions!$C$7,G550)),Assumptions!$D$7,"Other Services"))),"Other Services"))</f>
        <v/>
      </c>
    </row>
    <row r="551" customFormat="false" ht="15" hidden="false" customHeight="false" outlineLevel="0" collapsed="false">
      <c r="E551" s="41" t="str">
        <f aca="false">IF(D551="","",IFERROR(VLOOKUP(D551,Assumptions!$G$5:$H$16,2,0),"Other"))</f>
        <v/>
      </c>
      <c r="J551" s="41" t="str">
        <f aca="false">IF(G551="","",IFERROR(IF(ISNUMBER(SEARCH(Assumptions!$C$5,G551)),Assumptions!$D$5,IF(ISNUMBER(SEARCH(Assumptions!$C$6,G551)),Assumptions!$D$6,IF(ISNUMBER(SEARCH(Assumptions!$C$7,G551)),Assumptions!$D$7,"Other Services"))),"Other Services"))</f>
        <v/>
      </c>
    </row>
    <row r="552" customFormat="false" ht="15" hidden="false" customHeight="false" outlineLevel="0" collapsed="false">
      <c r="E552" s="41" t="str">
        <f aca="false">IF(D552="","",IFERROR(VLOOKUP(D552,Assumptions!$G$5:$H$16,2,0),"Other"))</f>
        <v/>
      </c>
      <c r="J552" s="41" t="str">
        <f aca="false">IF(G552="","",IFERROR(IF(ISNUMBER(SEARCH(Assumptions!$C$5,G552)),Assumptions!$D$5,IF(ISNUMBER(SEARCH(Assumptions!$C$6,G552)),Assumptions!$D$6,IF(ISNUMBER(SEARCH(Assumptions!$C$7,G552)),Assumptions!$D$7,"Other Services"))),"Other Services"))</f>
        <v/>
      </c>
    </row>
    <row r="553" customFormat="false" ht="15" hidden="false" customHeight="false" outlineLevel="0" collapsed="false">
      <c r="E553" s="41" t="str">
        <f aca="false">IF(D553="","",IFERROR(VLOOKUP(D553,Assumptions!$G$5:$H$16,2,0),"Other"))</f>
        <v/>
      </c>
      <c r="J553" s="41" t="str">
        <f aca="false">IF(G553="","",IFERROR(IF(ISNUMBER(SEARCH(Assumptions!$C$5,G553)),Assumptions!$D$5,IF(ISNUMBER(SEARCH(Assumptions!$C$6,G553)),Assumptions!$D$6,IF(ISNUMBER(SEARCH(Assumptions!$C$7,G553)),Assumptions!$D$7,"Other Services"))),"Other Services"))</f>
        <v/>
      </c>
    </row>
    <row r="554" customFormat="false" ht="15" hidden="false" customHeight="false" outlineLevel="0" collapsed="false">
      <c r="E554" s="41" t="str">
        <f aca="false">IF(D554="","",IFERROR(VLOOKUP(D554,Assumptions!$G$5:$H$16,2,0),"Other"))</f>
        <v/>
      </c>
      <c r="J554" s="41" t="str">
        <f aca="false">IF(G554="","",IFERROR(IF(ISNUMBER(SEARCH(Assumptions!$C$5,G554)),Assumptions!$D$5,IF(ISNUMBER(SEARCH(Assumptions!$C$6,G554)),Assumptions!$D$6,IF(ISNUMBER(SEARCH(Assumptions!$C$7,G554)),Assumptions!$D$7,"Other Services"))),"Other Services"))</f>
        <v/>
      </c>
    </row>
    <row r="555" customFormat="false" ht="15" hidden="false" customHeight="false" outlineLevel="0" collapsed="false">
      <c r="E555" s="41" t="str">
        <f aca="false">IF(D555="","",IFERROR(VLOOKUP(D555,Assumptions!$G$5:$H$16,2,0),"Other"))</f>
        <v/>
      </c>
      <c r="J555" s="41" t="str">
        <f aca="false">IF(G555="","",IFERROR(IF(ISNUMBER(SEARCH(Assumptions!$C$5,G555)),Assumptions!$D$5,IF(ISNUMBER(SEARCH(Assumptions!$C$6,G555)),Assumptions!$D$6,IF(ISNUMBER(SEARCH(Assumptions!$C$7,G555)),Assumptions!$D$7,"Other Services"))),"Other Services"))</f>
        <v/>
      </c>
    </row>
    <row r="556" customFormat="false" ht="15" hidden="false" customHeight="false" outlineLevel="0" collapsed="false">
      <c r="E556" s="41" t="str">
        <f aca="false">IF(D556="","",IFERROR(VLOOKUP(D556,Assumptions!$G$5:$H$16,2,0),"Other"))</f>
        <v/>
      </c>
      <c r="J556" s="41" t="str">
        <f aca="false">IF(G556="","",IFERROR(IF(ISNUMBER(SEARCH(Assumptions!$C$5,G556)),Assumptions!$D$5,IF(ISNUMBER(SEARCH(Assumptions!$C$6,G556)),Assumptions!$D$6,IF(ISNUMBER(SEARCH(Assumptions!$C$7,G556)),Assumptions!$D$7,"Other Services"))),"Other Services"))</f>
        <v/>
      </c>
    </row>
    <row r="557" customFormat="false" ht="15" hidden="false" customHeight="false" outlineLevel="0" collapsed="false">
      <c r="E557" s="41" t="str">
        <f aca="false">IF(D557="","",IFERROR(VLOOKUP(D557,Assumptions!$G$5:$H$16,2,0),"Other"))</f>
        <v/>
      </c>
      <c r="J557" s="41" t="str">
        <f aca="false">IF(G557="","",IFERROR(IF(ISNUMBER(SEARCH(Assumptions!$C$5,G557)),Assumptions!$D$5,IF(ISNUMBER(SEARCH(Assumptions!$C$6,G557)),Assumptions!$D$6,IF(ISNUMBER(SEARCH(Assumptions!$C$7,G557)),Assumptions!$D$7,"Other Services"))),"Other Services"))</f>
        <v/>
      </c>
    </row>
    <row r="558" customFormat="false" ht="15" hidden="false" customHeight="false" outlineLevel="0" collapsed="false">
      <c r="E558" s="41" t="str">
        <f aca="false">IF(D558="","",IFERROR(VLOOKUP(D558,Assumptions!$G$5:$H$16,2,0),"Other"))</f>
        <v/>
      </c>
      <c r="J558" s="41" t="str">
        <f aca="false">IF(G558="","",IFERROR(IF(ISNUMBER(SEARCH(Assumptions!$C$5,G558)),Assumptions!$D$5,IF(ISNUMBER(SEARCH(Assumptions!$C$6,G558)),Assumptions!$D$6,IF(ISNUMBER(SEARCH(Assumptions!$C$7,G558)),Assumptions!$D$7,"Other Services"))),"Other Services"))</f>
        <v/>
      </c>
    </row>
    <row r="559" customFormat="false" ht="15" hidden="false" customHeight="false" outlineLevel="0" collapsed="false">
      <c r="E559" s="41" t="str">
        <f aca="false">IF(D559="","",IFERROR(VLOOKUP(D559,Assumptions!$G$5:$H$16,2,0),"Other"))</f>
        <v/>
      </c>
      <c r="J559" s="41" t="str">
        <f aca="false">IF(G559="","",IFERROR(IF(ISNUMBER(SEARCH(Assumptions!$C$5,G559)),Assumptions!$D$5,IF(ISNUMBER(SEARCH(Assumptions!$C$6,G559)),Assumptions!$D$6,IF(ISNUMBER(SEARCH(Assumptions!$C$7,G559)),Assumptions!$D$7,"Other Services"))),"Other Services"))</f>
        <v/>
      </c>
    </row>
    <row r="560" customFormat="false" ht="15" hidden="false" customHeight="false" outlineLevel="0" collapsed="false">
      <c r="E560" s="41" t="str">
        <f aca="false">IF(D560="","",IFERROR(VLOOKUP(D560,Assumptions!$G$5:$H$16,2,0),"Other"))</f>
        <v/>
      </c>
      <c r="J560" s="41" t="str">
        <f aca="false">IF(G560="","",IFERROR(IF(ISNUMBER(SEARCH(Assumptions!$C$5,G560)),Assumptions!$D$5,IF(ISNUMBER(SEARCH(Assumptions!$C$6,G560)),Assumptions!$D$6,IF(ISNUMBER(SEARCH(Assumptions!$C$7,G560)),Assumptions!$D$7,"Other Services"))),"Other Services"))</f>
        <v/>
      </c>
    </row>
    <row r="561" customFormat="false" ht="15" hidden="false" customHeight="false" outlineLevel="0" collapsed="false">
      <c r="E561" s="41" t="str">
        <f aca="false">IF(D561="","",IFERROR(VLOOKUP(D561,Assumptions!$G$5:$H$16,2,0),"Other"))</f>
        <v/>
      </c>
      <c r="J561" s="41" t="str">
        <f aca="false">IF(G561="","",IFERROR(IF(ISNUMBER(SEARCH(Assumptions!$C$5,G561)),Assumptions!$D$5,IF(ISNUMBER(SEARCH(Assumptions!$C$6,G561)),Assumptions!$D$6,IF(ISNUMBER(SEARCH(Assumptions!$C$7,G561)),Assumptions!$D$7,"Other Services"))),"Other Services"))</f>
        <v/>
      </c>
    </row>
    <row r="562" customFormat="false" ht="15" hidden="false" customHeight="false" outlineLevel="0" collapsed="false">
      <c r="E562" s="41" t="str">
        <f aca="false">IF(D562="","",IFERROR(VLOOKUP(D562,Assumptions!$G$5:$H$16,2,0),"Other"))</f>
        <v/>
      </c>
      <c r="J562" s="41" t="str">
        <f aca="false">IF(G562="","",IFERROR(IF(ISNUMBER(SEARCH(Assumptions!$C$5,G562)),Assumptions!$D$5,IF(ISNUMBER(SEARCH(Assumptions!$C$6,G562)),Assumptions!$D$6,IF(ISNUMBER(SEARCH(Assumptions!$C$7,G562)),Assumptions!$D$7,"Other Services"))),"Other Services"))</f>
        <v/>
      </c>
    </row>
    <row r="563" customFormat="false" ht="15" hidden="false" customHeight="false" outlineLevel="0" collapsed="false">
      <c r="E563" s="41" t="str">
        <f aca="false">IF(D563="","",IFERROR(VLOOKUP(D563,Assumptions!$G$5:$H$16,2,0),"Other"))</f>
        <v/>
      </c>
      <c r="J563" s="41" t="str">
        <f aca="false">IF(G563="","",IFERROR(IF(ISNUMBER(SEARCH(Assumptions!$C$5,G563)),Assumptions!$D$5,IF(ISNUMBER(SEARCH(Assumptions!$C$6,G563)),Assumptions!$D$6,IF(ISNUMBER(SEARCH(Assumptions!$C$7,G563)),Assumptions!$D$7,"Other Services"))),"Other Services"))</f>
        <v/>
      </c>
    </row>
    <row r="564" customFormat="false" ht="15" hidden="false" customHeight="false" outlineLevel="0" collapsed="false">
      <c r="E564" s="41" t="str">
        <f aca="false">IF(D564="","",IFERROR(VLOOKUP(D564,Assumptions!$G$5:$H$16,2,0),"Other"))</f>
        <v/>
      </c>
      <c r="J564" s="41" t="str">
        <f aca="false">IF(G564="","",IFERROR(IF(ISNUMBER(SEARCH(Assumptions!$C$5,G564)),Assumptions!$D$5,IF(ISNUMBER(SEARCH(Assumptions!$C$6,G564)),Assumptions!$D$6,IF(ISNUMBER(SEARCH(Assumptions!$C$7,G564)),Assumptions!$D$7,"Other Services"))),"Other Services"))</f>
        <v/>
      </c>
    </row>
    <row r="565" customFormat="false" ht="15" hidden="false" customHeight="false" outlineLevel="0" collapsed="false">
      <c r="E565" s="41" t="str">
        <f aca="false">IF(D565="","",IFERROR(VLOOKUP(D565,Assumptions!$G$5:$H$16,2,0),"Other"))</f>
        <v/>
      </c>
      <c r="J565" s="41" t="str">
        <f aca="false">IF(G565="","",IFERROR(IF(ISNUMBER(SEARCH(Assumptions!$C$5,G565)),Assumptions!$D$5,IF(ISNUMBER(SEARCH(Assumptions!$C$6,G565)),Assumptions!$D$6,IF(ISNUMBER(SEARCH(Assumptions!$C$7,G565)),Assumptions!$D$7,"Other Services"))),"Other Services"))</f>
        <v/>
      </c>
    </row>
    <row r="566" customFormat="false" ht="15" hidden="false" customHeight="false" outlineLevel="0" collapsed="false">
      <c r="E566" s="41" t="str">
        <f aca="false">IF(D566="","",IFERROR(VLOOKUP(D566,Assumptions!$G$5:$H$16,2,0),"Other"))</f>
        <v/>
      </c>
      <c r="J566" s="41" t="str">
        <f aca="false">IF(G566="","",IFERROR(IF(ISNUMBER(SEARCH(Assumptions!$C$5,G566)),Assumptions!$D$5,IF(ISNUMBER(SEARCH(Assumptions!$C$6,G566)),Assumptions!$D$6,IF(ISNUMBER(SEARCH(Assumptions!$C$7,G566)),Assumptions!$D$7,"Other Services"))),"Other Services"))</f>
        <v/>
      </c>
    </row>
    <row r="567" customFormat="false" ht="15" hidden="false" customHeight="false" outlineLevel="0" collapsed="false">
      <c r="E567" s="41" t="str">
        <f aca="false">IF(D567="","",IFERROR(VLOOKUP(D567,Assumptions!$G$5:$H$16,2,0),"Other"))</f>
        <v/>
      </c>
      <c r="J567" s="41" t="str">
        <f aca="false">IF(G567="","",IFERROR(IF(ISNUMBER(SEARCH(Assumptions!$C$5,G567)),Assumptions!$D$5,IF(ISNUMBER(SEARCH(Assumptions!$C$6,G567)),Assumptions!$D$6,IF(ISNUMBER(SEARCH(Assumptions!$C$7,G567)),Assumptions!$D$7,"Other Services"))),"Other Services"))</f>
        <v/>
      </c>
    </row>
    <row r="568" customFormat="false" ht="15" hidden="false" customHeight="false" outlineLevel="0" collapsed="false">
      <c r="E568" s="41" t="str">
        <f aca="false">IF(D568="","",IFERROR(VLOOKUP(D568,Assumptions!$G$5:$H$16,2,0),"Other"))</f>
        <v/>
      </c>
      <c r="J568" s="41" t="str">
        <f aca="false">IF(G568="","",IFERROR(IF(ISNUMBER(SEARCH(Assumptions!$C$5,G568)),Assumptions!$D$5,IF(ISNUMBER(SEARCH(Assumptions!$C$6,G568)),Assumptions!$D$6,IF(ISNUMBER(SEARCH(Assumptions!$C$7,G568)),Assumptions!$D$7,"Other Services"))),"Other Services"))</f>
        <v/>
      </c>
    </row>
    <row r="569" customFormat="false" ht="15" hidden="false" customHeight="false" outlineLevel="0" collapsed="false">
      <c r="E569" s="41" t="str">
        <f aca="false">IF(D569="","",IFERROR(VLOOKUP(D569,Assumptions!$G$5:$H$16,2,0),"Other"))</f>
        <v/>
      </c>
      <c r="J569" s="41" t="str">
        <f aca="false">IF(G569="","",IFERROR(IF(ISNUMBER(SEARCH(Assumptions!$C$5,G569)),Assumptions!$D$5,IF(ISNUMBER(SEARCH(Assumptions!$C$6,G569)),Assumptions!$D$6,IF(ISNUMBER(SEARCH(Assumptions!$C$7,G569)),Assumptions!$D$7,"Other Services"))),"Other Services"))</f>
        <v/>
      </c>
    </row>
    <row r="570" customFormat="false" ht="15" hidden="false" customHeight="false" outlineLevel="0" collapsed="false">
      <c r="E570" s="41" t="str">
        <f aca="false">IF(D570="","",IFERROR(VLOOKUP(D570,Assumptions!$G$5:$H$16,2,0),"Other"))</f>
        <v/>
      </c>
      <c r="J570" s="41" t="str">
        <f aca="false">IF(G570="","",IFERROR(IF(ISNUMBER(SEARCH(Assumptions!$C$5,G570)),Assumptions!$D$5,IF(ISNUMBER(SEARCH(Assumptions!$C$6,G570)),Assumptions!$D$6,IF(ISNUMBER(SEARCH(Assumptions!$C$7,G570)),Assumptions!$D$7,"Other Services"))),"Other Services"))</f>
        <v/>
      </c>
    </row>
    <row r="571" customFormat="false" ht="15" hidden="false" customHeight="false" outlineLevel="0" collapsed="false">
      <c r="E571" s="41" t="str">
        <f aca="false">IF(D571="","",IFERROR(VLOOKUP(D571,Assumptions!$G$5:$H$16,2,0),"Other"))</f>
        <v/>
      </c>
      <c r="J571" s="41" t="str">
        <f aca="false">IF(G571="","",IFERROR(IF(ISNUMBER(SEARCH(Assumptions!$C$5,G571)),Assumptions!$D$5,IF(ISNUMBER(SEARCH(Assumptions!$C$6,G571)),Assumptions!$D$6,IF(ISNUMBER(SEARCH(Assumptions!$C$7,G571)),Assumptions!$D$7,"Other Services"))),"Other Services"))</f>
        <v/>
      </c>
    </row>
    <row r="572" customFormat="false" ht="15" hidden="false" customHeight="false" outlineLevel="0" collapsed="false">
      <c r="E572" s="41" t="str">
        <f aca="false">IF(D572="","",IFERROR(VLOOKUP(D572,Assumptions!$G$5:$H$16,2,0),"Other"))</f>
        <v/>
      </c>
      <c r="J572" s="41" t="str">
        <f aca="false">IF(G572="","",IFERROR(IF(ISNUMBER(SEARCH(Assumptions!$C$5,G572)),Assumptions!$D$5,IF(ISNUMBER(SEARCH(Assumptions!$C$6,G572)),Assumptions!$D$6,IF(ISNUMBER(SEARCH(Assumptions!$C$7,G572)),Assumptions!$D$7,"Other Services"))),"Other Services"))</f>
        <v/>
      </c>
    </row>
    <row r="573" customFormat="false" ht="15" hidden="false" customHeight="false" outlineLevel="0" collapsed="false">
      <c r="E573" s="41" t="str">
        <f aca="false">IF(D573="","",IFERROR(VLOOKUP(D573,Assumptions!$G$5:$H$16,2,0),"Other"))</f>
        <v/>
      </c>
      <c r="J573" s="41" t="str">
        <f aca="false">IF(G573="","",IFERROR(IF(ISNUMBER(SEARCH(Assumptions!$C$5,G573)),Assumptions!$D$5,IF(ISNUMBER(SEARCH(Assumptions!$C$6,G573)),Assumptions!$D$6,IF(ISNUMBER(SEARCH(Assumptions!$C$7,G573)),Assumptions!$D$7,"Other Services"))),"Other Services"))</f>
        <v/>
      </c>
    </row>
    <row r="574" customFormat="false" ht="15" hidden="false" customHeight="false" outlineLevel="0" collapsed="false">
      <c r="E574" s="41" t="str">
        <f aca="false">IF(D574="","",IFERROR(VLOOKUP(D574,Assumptions!$G$5:$H$16,2,0),"Other"))</f>
        <v/>
      </c>
      <c r="J574" s="41" t="str">
        <f aca="false">IF(G574="","",IFERROR(IF(ISNUMBER(SEARCH(Assumptions!$C$5,G574)),Assumptions!$D$5,IF(ISNUMBER(SEARCH(Assumptions!$C$6,G574)),Assumptions!$D$6,IF(ISNUMBER(SEARCH(Assumptions!$C$7,G574)),Assumptions!$D$7,"Other Services"))),"Other Services"))</f>
        <v/>
      </c>
    </row>
    <row r="575" customFormat="false" ht="15" hidden="false" customHeight="false" outlineLevel="0" collapsed="false">
      <c r="E575" s="41" t="str">
        <f aca="false">IF(D575="","",IFERROR(VLOOKUP(D575,Assumptions!$G$5:$H$16,2,0),"Other"))</f>
        <v/>
      </c>
      <c r="J575" s="41" t="str">
        <f aca="false">IF(G575="","",IFERROR(IF(ISNUMBER(SEARCH(Assumptions!$C$5,G575)),Assumptions!$D$5,IF(ISNUMBER(SEARCH(Assumptions!$C$6,G575)),Assumptions!$D$6,IF(ISNUMBER(SEARCH(Assumptions!$C$7,G575)),Assumptions!$D$7,"Other Services"))),"Other Services"))</f>
        <v/>
      </c>
    </row>
    <row r="576" customFormat="false" ht="15" hidden="false" customHeight="false" outlineLevel="0" collapsed="false">
      <c r="E576" s="41" t="str">
        <f aca="false">IF(D576="","",IFERROR(VLOOKUP(D576,Assumptions!$G$5:$H$16,2,0),"Other"))</f>
        <v/>
      </c>
      <c r="J576" s="41" t="str">
        <f aca="false">IF(G576="","",IFERROR(IF(ISNUMBER(SEARCH(Assumptions!$C$5,G576)),Assumptions!$D$5,IF(ISNUMBER(SEARCH(Assumptions!$C$6,G576)),Assumptions!$D$6,IF(ISNUMBER(SEARCH(Assumptions!$C$7,G576)),Assumptions!$D$7,"Other Services"))),"Other Services"))</f>
        <v/>
      </c>
    </row>
    <row r="577" customFormat="false" ht="15" hidden="false" customHeight="false" outlineLevel="0" collapsed="false">
      <c r="E577" s="41" t="str">
        <f aca="false">IF(D577="","",IFERROR(VLOOKUP(D577,Assumptions!$G$5:$H$16,2,0),"Other"))</f>
        <v/>
      </c>
      <c r="J577" s="41" t="str">
        <f aca="false">IF(G577="","",IFERROR(IF(ISNUMBER(SEARCH(Assumptions!$C$5,G577)),Assumptions!$D$5,IF(ISNUMBER(SEARCH(Assumptions!$C$6,G577)),Assumptions!$D$6,IF(ISNUMBER(SEARCH(Assumptions!$C$7,G577)),Assumptions!$D$7,"Other Services"))),"Other Services"))</f>
        <v/>
      </c>
    </row>
    <row r="578" customFormat="false" ht="15" hidden="false" customHeight="false" outlineLevel="0" collapsed="false">
      <c r="E578" s="41" t="str">
        <f aca="false">IF(D578="","",IFERROR(VLOOKUP(D578,Assumptions!$G$5:$H$16,2,0),"Other"))</f>
        <v/>
      </c>
      <c r="J578" s="41" t="str">
        <f aca="false">IF(G578="","",IFERROR(IF(ISNUMBER(SEARCH(Assumptions!$C$5,G578)),Assumptions!$D$5,IF(ISNUMBER(SEARCH(Assumptions!$C$6,G578)),Assumptions!$D$6,IF(ISNUMBER(SEARCH(Assumptions!$C$7,G578)),Assumptions!$D$7,"Other Services"))),"Other Services"))</f>
        <v/>
      </c>
    </row>
    <row r="579" customFormat="false" ht="15" hidden="false" customHeight="false" outlineLevel="0" collapsed="false">
      <c r="E579" s="41" t="str">
        <f aca="false">IF(D579="","",IFERROR(VLOOKUP(D579,Assumptions!$G$5:$H$16,2,0),"Other"))</f>
        <v/>
      </c>
      <c r="J579" s="41" t="str">
        <f aca="false">IF(G579="","",IFERROR(IF(ISNUMBER(SEARCH(Assumptions!$C$5,G579)),Assumptions!$D$5,IF(ISNUMBER(SEARCH(Assumptions!$C$6,G579)),Assumptions!$D$6,IF(ISNUMBER(SEARCH(Assumptions!$C$7,G579)),Assumptions!$D$7,"Other Services"))),"Other Services"))</f>
        <v/>
      </c>
    </row>
    <row r="580" customFormat="false" ht="15" hidden="false" customHeight="false" outlineLevel="0" collapsed="false">
      <c r="E580" s="41" t="str">
        <f aca="false">IF(D580="","",IFERROR(VLOOKUP(D580,Assumptions!$G$5:$H$16,2,0),"Other"))</f>
        <v/>
      </c>
      <c r="J580" s="41" t="str">
        <f aca="false">IF(G580="","",IFERROR(IF(ISNUMBER(SEARCH(Assumptions!$C$5,G580)),Assumptions!$D$5,IF(ISNUMBER(SEARCH(Assumptions!$C$6,G580)),Assumptions!$D$6,IF(ISNUMBER(SEARCH(Assumptions!$C$7,G580)),Assumptions!$D$7,"Other Services"))),"Other Services"))</f>
        <v/>
      </c>
    </row>
    <row r="581" customFormat="false" ht="15" hidden="false" customHeight="false" outlineLevel="0" collapsed="false">
      <c r="E581" s="41" t="str">
        <f aca="false">IF(D581="","",IFERROR(VLOOKUP(D581,Assumptions!$G$5:$H$16,2,0),"Other"))</f>
        <v/>
      </c>
      <c r="J581" s="41" t="str">
        <f aca="false">IF(G581="","",IFERROR(IF(ISNUMBER(SEARCH(Assumptions!$C$5,G581)),Assumptions!$D$5,IF(ISNUMBER(SEARCH(Assumptions!$C$6,G581)),Assumptions!$D$6,IF(ISNUMBER(SEARCH(Assumptions!$C$7,G581)),Assumptions!$D$7,"Other Services"))),"Other Services"))</f>
        <v/>
      </c>
    </row>
    <row r="582" customFormat="false" ht="15" hidden="false" customHeight="false" outlineLevel="0" collapsed="false">
      <c r="E582" s="41" t="str">
        <f aca="false">IF(D582="","",IFERROR(VLOOKUP(D582,Assumptions!$G$5:$H$16,2,0),"Other"))</f>
        <v/>
      </c>
      <c r="J582" s="41" t="str">
        <f aca="false">IF(G582="","",IFERROR(IF(ISNUMBER(SEARCH(Assumptions!$C$5,G582)),Assumptions!$D$5,IF(ISNUMBER(SEARCH(Assumptions!$C$6,G582)),Assumptions!$D$6,IF(ISNUMBER(SEARCH(Assumptions!$C$7,G582)),Assumptions!$D$7,"Other Services"))),"Other Services"))</f>
        <v/>
      </c>
    </row>
    <row r="583" customFormat="false" ht="15" hidden="false" customHeight="false" outlineLevel="0" collapsed="false">
      <c r="E583" s="41" t="str">
        <f aca="false">IF(D583="","",IFERROR(VLOOKUP(D583,Assumptions!$G$5:$H$16,2,0),"Other"))</f>
        <v/>
      </c>
      <c r="J583" s="41" t="str">
        <f aca="false">IF(G583="","",IFERROR(IF(ISNUMBER(SEARCH(Assumptions!$C$5,G583)),Assumptions!$D$5,IF(ISNUMBER(SEARCH(Assumptions!$C$6,G583)),Assumptions!$D$6,IF(ISNUMBER(SEARCH(Assumptions!$C$7,G583)),Assumptions!$D$7,"Other Services"))),"Other Services"))</f>
        <v/>
      </c>
    </row>
    <row r="584" customFormat="false" ht="15" hidden="false" customHeight="false" outlineLevel="0" collapsed="false">
      <c r="E584" s="41" t="str">
        <f aca="false">IF(D584="","",IFERROR(VLOOKUP(D584,Assumptions!$G$5:$H$16,2,0),"Other"))</f>
        <v/>
      </c>
      <c r="J584" s="41" t="str">
        <f aca="false">IF(G584="","",IFERROR(IF(ISNUMBER(SEARCH(Assumptions!$C$5,G584)),Assumptions!$D$5,IF(ISNUMBER(SEARCH(Assumptions!$C$6,G584)),Assumptions!$D$6,IF(ISNUMBER(SEARCH(Assumptions!$C$7,G584)),Assumptions!$D$7,"Other Services"))),"Other Services"))</f>
        <v/>
      </c>
    </row>
    <row r="585" customFormat="false" ht="15" hidden="false" customHeight="false" outlineLevel="0" collapsed="false">
      <c r="E585" s="41" t="str">
        <f aca="false">IF(D585="","",IFERROR(VLOOKUP(D585,Assumptions!$G$5:$H$16,2,0),"Other"))</f>
        <v/>
      </c>
      <c r="J585" s="41" t="str">
        <f aca="false">IF(G585="","",IFERROR(IF(ISNUMBER(SEARCH(Assumptions!$C$5,G585)),Assumptions!$D$5,IF(ISNUMBER(SEARCH(Assumptions!$C$6,G585)),Assumptions!$D$6,IF(ISNUMBER(SEARCH(Assumptions!$C$7,G585)),Assumptions!$D$7,"Other Services"))),"Other Services"))</f>
        <v/>
      </c>
    </row>
    <row r="586" customFormat="false" ht="15" hidden="false" customHeight="false" outlineLevel="0" collapsed="false">
      <c r="E586" s="41" t="str">
        <f aca="false">IF(D586="","",IFERROR(VLOOKUP(D586,Assumptions!$G$5:$H$16,2,0),"Other"))</f>
        <v/>
      </c>
      <c r="J586" s="41" t="str">
        <f aca="false">IF(G586="","",IFERROR(IF(ISNUMBER(SEARCH(Assumptions!$C$5,G586)),Assumptions!$D$5,IF(ISNUMBER(SEARCH(Assumptions!$C$6,G586)),Assumptions!$D$6,IF(ISNUMBER(SEARCH(Assumptions!$C$7,G586)),Assumptions!$D$7,"Other Services"))),"Other Services"))</f>
        <v/>
      </c>
    </row>
    <row r="587" customFormat="false" ht="15" hidden="false" customHeight="false" outlineLevel="0" collapsed="false">
      <c r="E587" s="41" t="str">
        <f aca="false">IF(D587="","",IFERROR(VLOOKUP(D587,Assumptions!$G$5:$H$16,2,0),"Other"))</f>
        <v/>
      </c>
      <c r="J587" s="41" t="str">
        <f aca="false">IF(G587="","",IFERROR(IF(ISNUMBER(SEARCH(Assumptions!$C$5,G587)),Assumptions!$D$5,IF(ISNUMBER(SEARCH(Assumptions!$C$6,G587)),Assumptions!$D$6,IF(ISNUMBER(SEARCH(Assumptions!$C$7,G587)),Assumptions!$D$7,"Other Services"))),"Other Services"))</f>
        <v/>
      </c>
    </row>
    <row r="588" customFormat="false" ht="15" hidden="false" customHeight="false" outlineLevel="0" collapsed="false">
      <c r="E588" s="41" t="str">
        <f aca="false">IF(D588="","",IFERROR(VLOOKUP(D588,Assumptions!$G$5:$H$16,2,0),"Other"))</f>
        <v/>
      </c>
      <c r="J588" s="41" t="str">
        <f aca="false">IF(G588="","",IFERROR(IF(ISNUMBER(SEARCH(Assumptions!$C$5,G588)),Assumptions!$D$5,IF(ISNUMBER(SEARCH(Assumptions!$C$6,G588)),Assumptions!$D$6,IF(ISNUMBER(SEARCH(Assumptions!$C$7,G588)),Assumptions!$D$7,"Other Services"))),"Other Services"))</f>
        <v/>
      </c>
    </row>
    <row r="589" customFormat="false" ht="15" hidden="false" customHeight="false" outlineLevel="0" collapsed="false">
      <c r="E589" s="41" t="str">
        <f aca="false">IF(D589="","",IFERROR(VLOOKUP(D589,Assumptions!$G$5:$H$16,2,0),"Other"))</f>
        <v/>
      </c>
      <c r="J589" s="41" t="str">
        <f aca="false">IF(G589="","",IFERROR(IF(ISNUMBER(SEARCH(Assumptions!$C$5,G589)),Assumptions!$D$5,IF(ISNUMBER(SEARCH(Assumptions!$C$6,G589)),Assumptions!$D$6,IF(ISNUMBER(SEARCH(Assumptions!$C$7,G589)),Assumptions!$D$7,"Other Services"))),"Other Services"))</f>
        <v/>
      </c>
    </row>
    <row r="590" customFormat="false" ht="15" hidden="false" customHeight="false" outlineLevel="0" collapsed="false">
      <c r="E590" s="41" t="str">
        <f aca="false">IF(D590="","",IFERROR(VLOOKUP(D590,Assumptions!$G$5:$H$16,2,0),"Other"))</f>
        <v/>
      </c>
      <c r="J590" s="41" t="str">
        <f aca="false">IF(G590="","",IFERROR(IF(ISNUMBER(SEARCH(Assumptions!$C$5,G590)),Assumptions!$D$5,IF(ISNUMBER(SEARCH(Assumptions!$C$6,G590)),Assumptions!$D$6,IF(ISNUMBER(SEARCH(Assumptions!$C$7,G590)),Assumptions!$D$7,"Other Services"))),"Other Services"))</f>
        <v/>
      </c>
    </row>
    <row r="591" customFormat="false" ht="15" hidden="false" customHeight="false" outlineLevel="0" collapsed="false">
      <c r="E591" s="41" t="str">
        <f aca="false">IF(D591="","",IFERROR(VLOOKUP(D591,Assumptions!$G$5:$H$16,2,0),"Other"))</f>
        <v/>
      </c>
      <c r="J591" s="41" t="str">
        <f aca="false">IF(G591="","",IFERROR(IF(ISNUMBER(SEARCH(Assumptions!$C$5,G591)),Assumptions!$D$5,IF(ISNUMBER(SEARCH(Assumptions!$C$6,G591)),Assumptions!$D$6,IF(ISNUMBER(SEARCH(Assumptions!$C$7,G591)),Assumptions!$D$7,"Other Services"))),"Other Services"))</f>
        <v/>
      </c>
    </row>
    <row r="592" customFormat="false" ht="15" hidden="false" customHeight="false" outlineLevel="0" collapsed="false">
      <c r="E592" s="41" t="str">
        <f aca="false">IF(D592="","",IFERROR(VLOOKUP(D592,Assumptions!$G$5:$H$16,2,0),"Other"))</f>
        <v/>
      </c>
      <c r="J592" s="41" t="str">
        <f aca="false">IF(G592="","",IFERROR(IF(ISNUMBER(SEARCH(Assumptions!$C$5,G592)),Assumptions!$D$5,IF(ISNUMBER(SEARCH(Assumptions!$C$6,G592)),Assumptions!$D$6,IF(ISNUMBER(SEARCH(Assumptions!$C$7,G592)),Assumptions!$D$7,"Other Services"))),"Other Services"))</f>
        <v/>
      </c>
    </row>
    <row r="593" customFormat="false" ht="15" hidden="false" customHeight="false" outlineLevel="0" collapsed="false">
      <c r="E593" s="41" t="str">
        <f aca="false">IF(D593="","",IFERROR(VLOOKUP(D593,Assumptions!$G$5:$H$16,2,0),"Other"))</f>
        <v/>
      </c>
      <c r="J593" s="41" t="str">
        <f aca="false">IF(G593="","",IFERROR(IF(ISNUMBER(SEARCH(Assumptions!$C$5,G593)),Assumptions!$D$5,IF(ISNUMBER(SEARCH(Assumptions!$C$6,G593)),Assumptions!$D$6,IF(ISNUMBER(SEARCH(Assumptions!$C$7,G593)),Assumptions!$D$7,"Other Services"))),"Other Services"))</f>
        <v/>
      </c>
    </row>
    <row r="594" customFormat="false" ht="15" hidden="false" customHeight="false" outlineLevel="0" collapsed="false">
      <c r="E594" s="41" t="str">
        <f aca="false">IF(D594="","",IFERROR(VLOOKUP(D594,Assumptions!$G$5:$H$16,2,0),"Other"))</f>
        <v/>
      </c>
      <c r="J594" s="41" t="str">
        <f aca="false">IF(G594="","",IFERROR(IF(ISNUMBER(SEARCH(Assumptions!$C$5,G594)),Assumptions!$D$5,IF(ISNUMBER(SEARCH(Assumptions!$C$6,G594)),Assumptions!$D$6,IF(ISNUMBER(SEARCH(Assumptions!$C$7,G594)),Assumptions!$D$7,"Other Services"))),"Other Services"))</f>
        <v/>
      </c>
    </row>
    <row r="595" customFormat="false" ht="15" hidden="false" customHeight="false" outlineLevel="0" collapsed="false">
      <c r="E595" s="41" t="str">
        <f aca="false">IF(D595="","",IFERROR(VLOOKUP(D595,Assumptions!$G$5:$H$16,2,0),"Other"))</f>
        <v/>
      </c>
      <c r="J595" s="41" t="str">
        <f aca="false">IF(G595="","",IFERROR(IF(ISNUMBER(SEARCH(Assumptions!$C$5,G595)),Assumptions!$D$5,IF(ISNUMBER(SEARCH(Assumptions!$C$6,G595)),Assumptions!$D$6,IF(ISNUMBER(SEARCH(Assumptions!$C$7,G595)),Assumptions!$D$7,"Other Services"))),"Other Services"))</f>
        <v/>
      </c>
    </row>
    <row r="596" customFormat="false" ht="15" hidden="false" customHeight="false" outlineLevel="0" collapsed="false">
      <c r="E596" s="41" t="str">
        <f aca="false">IF(D596="","",IFERROR(VLOOKUP(D596,Assumptions!$G$5:$H$16,2,0),"Other"))</f>
        <v/>
      </c>
      <c r="J596" s="41" t="str">
        <f aca="false">IF(G596="","",IFERROR(IF(ISNUMBER(SEARCH(Assumptions!$C$5,G596)),Assumptions!$D$5,IF(ISNUMBER(SEARCH(Assumptions!$C$6,G596)),Assumptions!$D$6,IF(ISNUMBER(SEARCH(Assumptions!$C$7,G596)),Assumptions!$D$7,"Other Services"))),"Other Services"))</f>
        <v/>
      </c>
    </row>
    <row r="597" customFormat="false" ht="15" hidden="false" customHeight="false" outlineLevel="0" collapsed="false">
      <c r="E597" s="41" t="str">
        <f aca="false">IF(D597="","",IFERROR(VLOOKUP(D597,Assumptions!$G$5:$H$16,2,0),"Other"))</f>
        <v/>
      </c>
      <c r="J597" s="41" t="str">
        <f aca="false">IF(G597="","",IFERROR(IF(ISNUMBER(SEARCH(Assumptions!$C$5,G597)),Assumptions!$D$5,IF(ISNUMBER(SEARCH(Assumptions!$C$6,G597)),Assumptions!$D$6,IF(ISNUMBER(SEARCH(Assumptions!$C$7,G597)),Assumptions!$D$7,"Other Services"))),"Other Services"))</f>
        <v/>
      </c>
    </row>
    <row r="598" customFormat="false" ht="15" hidden="false" customHeight="false" outlineLevel="0" collapsed="false">
      <c r="E598" s="41" t="str">
        <f aca="false">IF(D598="","",IFERROR(VLOOKUP(D598,Assumptions!$G$5:$H$16,2,0),"Other"))</f>
        <v/>
      </c>
      <c r="J598" s="41" t="str">
        <f aca="false">IF(G598="","",IFERROR(IF(ISNUMBER(SEARCH(Assumptions!$C$5,G598)),Assumptions!$D$5,IF(ISNUMBER(SEARCH(Assumptions!$C$6,G598)),Assumptions!$D$6,IF(ISNUMBER(SEARCH(Assumptions!$C$7,G598)),Assumptions!$D$7,"Other Services"))),"Other Services"))</f>
        <v/>
      </c>
    </row>
    <row r="599" customFormat="false" ht="15" hidden="false" customHeight="false" outlineLevel="0" collapsed="false">
      <c r="E599" s="41" t="str">
        <f aca="false">IF(D599="","",IFERROR(VLOOKUP(D599,Assumptions!$G$5:$H$16,2,0),"Other"))</f>
        <v/>
      </c>
      <c r="J599" s="41" t="str">
        <f aca="false">IF(G599="","",IFERROR(IF(ISNUMBER(SEARCH(Assumptions!$C$5,G599)),Assumptions!$D$5,IF(ISNUMBER(SEARCH(Assumptions!$C$6,G599)),Assumptions!$D$6,IF(ISNUMBER(SEARCH(Assumptions!$C$7,G599)),Assumptions!$D$7,"Other Services"))),"Other Services"))</f>
        <v/>
      </c>
    </row>
    <row r="600" customFormat="false" ht="15" hidden="false" customHeight="false" outlineLevel="0" collapsed="false">
      <c r="E600" s="41" t="str">
        <f aca="false">IF(D600="","",IFERROR(VLOOKUP(D600,Assumptions!$G$5:$H$16,2,0),"Other"))</f>
        <v/>
      </c>
      <c r="J600" s="41" t="str">
        <f aca="false">IF(G600="","",IFERROR(IF(ISNUMBER(SEARCH(Assumptions!$C$5,G600)),Assumptions!$D$5,IF(ISNUMBER(SEARCH(Assumptions!$C$6,G600)),Assumptions!$D$6,IF(ISNUMBER(SEARCH(Assumptions!$C$7,G600)),Assumptions!$D$7,"Other Services"))),"Other Services"))</f>
        <v/>
      </c>
    </row>
    <row r="601" customFormat="false" ht="15" hidden="false" customHeight="false" outlineLevel="0" collapsed="false">
      <c r="E601" s="41" t="str">
        <f aca="false">IF(D601="","",IFERROR(VLOOKUP(D601,Assumptions!$G$5:$H$16,2,0),"Other"))</f>
        <v/>
      </c>
      <c r="J601" s="41" t="str">
        <f aca="false">IF(G601="","",IFERROR(IF(ISNUMBER(SEARCH(Assumptions!$C$5,G601)),Assumptions!$D$5,IF(ISNUMBER(SEARCH(Assumptions!$C$6,G601)),Assumptions!$D$6,IF(ISNUMBER(SEARCH(Assumptions!$C$7,G601)),Assumptions!$D$7,"Other Services"))),"Other Services"))</f>
        <v/>
      </c>
    </row>
    <row r="602" customFormat="false" ht="15" hidden="false" customHeight="false" outlineLevel="0" collapsed="false">
      <c r="E602" s="41" t="str">
        <f aca="false">IF(D602="","",IFERROR(VLOOKUP(D602,Assumptions!$G$5:$H$16,2,0),"Other"))</f>
        <v/>
      </c>
      <c r="J602" s="41" t="str">
        <f aca="false">IF(G602="","",IFERROR(IF(ISNUMBER(SEARCH(Assumptions!$C$5,G602)),Assumptions!$D$5,IF(ISNUMBER(SEARCH(Assumptions!$C$6,G602)),Assumptions!$D$6,IF(ISNUMBER(SEARCH(Assumptions!$C$7,G602)),Assumptions!$D$7,"Other Services"))),"Other Services"))</f>
        <v/>
      </c>
    </row>
    <row r="603" customFormat="false" ht="15" hidden="false" customHeight="false" outlineLevel="0" collapsed="false">
      <c r="E603" s="41" t="str">
        <f aca="false">IF(D603="","",IFERROR(VLOOKUP(D603,Assumptions!$G$5:$H$16,2,0),"Other"))</f>
        <v/>
      </c>
      <c r="J603" s="41" t="str">
        <f aca="false">IF(G603="","",IFERROR(IF(ISNUMBER(SEARCH(Assumptions!$C$5,G603)),Assumptions!$D$5,IF(ISNUMBER(SEARCH(Assumptions!$C$6,G603)),Assumptions!$D$6,IF(ISNUMBER(SEARCH(Assumptions!$C$7,G603)),Assumptions!$D$7,"Other Services"))),"Other Services"))</f>
        <v/>
      </c>
    </row>
    <row r="604" customFormat="false" ht="15" hidden="false" customHeight="false" outlineLevel="0" collapsed="false">
      <c r="E604" s="41" t="str">
        <f aca="false">IF(D604="","",IFERROR(VLOOKUP(D604,Assumptions!$G$5:$H$16,2,0),"Other"))</f>
        <v/>
      </c>
      <c r="J604" s="41" t="str">
        <f aca="false">IF(G604="","",IFERROR(IF(ISNUMBER(SEARCH(Assumptions!$C$5,G604)),Assumptions!$D$5,IF(ISNUMBER(SEARCH(Assumptions!$C$6,G604)),Assumptions!$D$6,IF(ISNUMBER(SEARCH(Assumptions!$C$7,G604)),Assumptions!$D$7,"Other Services"))),"Other Services"))</f>
        <v/>
      </c>
    </row>
    <row r="605" customFormat="false" ht="15" hidden="false" customHeight="false" outlineLevel="0" collapsed="false">
      <c r="E605" s="41" t="str">
        <f aca="false">IF(D605="","",IFERROR(VLOOKUP(D605,Assumptions!$G$5:$H$16,2,0),"Other"))</f>
        <v/>
      </c>
      <c r="J605" s="41" t="str">
        <f aca="false">IF(G605="","",IFERROR(IF(ISNUMBER(SEARCH(Assumptions!$C$5,G605)),Assumptions!$D$5,IF(ISNUMBER(SEARCH(Assumptions!$C$6,G605)),Assumptions!$D$6,IF(ISNUMBER(SEARCH(Assumptions!$C$7,G605)),Assumptions!$D$7,"Other Services"))),"Other Services"))</f>
        <v/>
      </c>
    </row>
    <row r="606" customFormat="false" ht="15" hidden="false" customHeight="false" outlineLevel="0" collapsed="false">
      <c r="E606" s="41" t="str">
        <f aca="false">IF(D606="","",IFERROR(VLOOKUP(D606,Assumptions!$G$5:$H$16,2,0),"Other"))</f>
        <v/>
      </c>
      <c r="J606" s="41" t="str">
        <f aca="false">IF(G606="","",IFERROR(IF(ISNUMBER(SEARCH(Assumptions!$C$5,G606)),Assumptions!$D$5,IF(ISNUMBER(SEARCH(Assumptions!$C$6,G606)),Assumptions!$D$6,IF(ISNUMBER(SEARCH(Assumptions!$C$7,G606)),Assumptions!$D$7,"Other Services"))),"Other Services"))</f>
        <v/>
      </c>
    </row>
    <row r="607" customFormat="false" ht="15" hidden="false" customHeight="false" outlineLevel="0" collapsed="false">
      <c r="E607" s="41" t="str">
        <f aca="false">IF(D607="","",IFERROR(VLOOKUP(D607,Assumptions!$G$5:$H$16,2,0),"Other"))</f>
        <v/>
      </c>
      <c r="J607" s="41" t="str">
        <f aca="false">IF(G607="","",IFERROR(IF(ISNUMBER(SEARCH(Assumptions!$C$5,G607)),Assumptions!$D$5,IF(ISNUMBER(SEARCH(Assumptions!$C$6,G607)),Assumptions!$D$6,IF(ISNUMBER(SEARCH(Assumptions!$C$7,G607)),Assumptions!$D$7,"Other Services"))),"Other Services"))</f>
        <v/>
      </c>
    </row>
    <row r="608" customFormat="false" ht="15" hidden="false" customHeight="false" outlineLevel="0" collapsed="false">
      <c r="E608" s="41" t="str">
        <f aca="false">IF(D608="","",IFERROR(VLOOKUP(D608,Assumptions!$G$5:$H$16,2,0),"Other"))</f>
        <v/>
      </c>
      <c r="J608" s="41" t="str">
        <f aca="false">IF(G608="","",IFERROR(IF(ISNUMBER(SEARCH(Assumptions!$C$5,G608)),Assumptions!$D$5,IF(ISNUMBER(SEARCH(Assumptions!$C$6,G608)),Assumptions!$D$6,IF(ISNUMBER(SEARCH(Assumptions!$C$7,G608)),Assumptions!$D$7,"Other Services"))),"Other Services"))</f>
        <v/>
      </c>
    </row>
    <row r="609" customFormat="false" ht="15" hidden="false" customHeight="false" outlineLevel="0" collapsed="false">
      <c r="E609" s="41" t="str">
        <f aca="false">IF(D609="","",IFERROR(VLOOKUP(D609,Assumptions!$G$5:$H$16,2,0),"Other"))</f>
        <v/>
      </c>
      <c r="J609" s="41" t="str">
        <f aca="false">IF(G609="","",IFERROR(IF(ISNUMBER(SEARCH(Assumptions!$C$5,G609)),Assumptions!$D$5,IF(ISNUMBER(SEARCH(Assumptions!$C$6,G609)),Assumptions!$D$6,IF(ISNUMBER(SEARCH(Assumptions!$C$7,G609)),Assumptions!$D$7,"Other Services"))),"Other Services"))</f>
        <v/>
      </c>
    </row>
    <row r="610" customFormat="false" ht="15" hidden="false" customHeight="false" outlineLevel="0" collapsed="false">
      <c r="E610" s="41" t="str">
        <f aca="false">IF(D610="","",IFERROR(VLOOKUP(D610,Assumptions!$G$5:$H$16,2,0),"Other"))</f>
        <v/>
      </c>
      <c r="J610" s="41" t="str">
        <f aca="false">IF(G610="","",IFERROR(IF(ISNUMBER(SEARCH(Assumptions!$C$5,G610)),Assumptions!$D$5,IF(ISNUMBER(SEARCH(Assumptions!$C$6,G610)),Assumptions!$D$6,IF(ISNUMBER(SEARCH(Assumptions!$C$7,G610)),Assumptions!$D$7,"Other Services"))),"Other Services"))</f>
        <v/>
      </c>
    </row>
    <row r="611" customFormat="false" ht="15" hidden="false" customHeight="false" outlineLevel="0" collapsed="false">
      <c r="E611" s="41" t="str">
        <f aca="false">IF(D611="","",IFERROR(VLOOKUP(D611,Assumptions!$G$5:$H$16,2,0),"Other"))</f>
        <v/>
      </c>
      <c r="J611" s="41" t="str">
        <f aca="false">IF(G611="","",IFERROR(IF(ISNUMBER(SEARCH(Assumptions!$C$5,G611)),Assumptions!$D$5,IF(ISNUMBER(SEARCH(Assumptions!$C$6,G611)),Assumptions!$D$6,IF(ISNUMBER(SEARCH(Assumptions!$C$7,G611)),Assumptions!$D$7,"Other Services"))),"Other Services"))</f>
        <v/>
      </c>
    </row>
    <row r="612" customFormat="false" ht="15" hidden="false" customHeight="false" outlineLevel="0" collapsed="false">
      <c r="E612" s="41" t="str">
        <f aca="false">IF(D612="","",IFERROR(VLOOKUP(D612,Assumptions!$G$5:$H$16,2,0),"Other"))</f>
        <v/>
      </c>
      <c r="J612" s="41" t="str">
        <f aca="false">IF(G612="","",IFERROR(IF(ISNUMBER(SEARCH(Assumptions!$C$5,G612)),Assumptions!$D$5,IF(ISNUMBER(SEARCH(Assumptions!$C$6,G612)),Assumptions!$D$6,IF(ISNUMBER(SEARCH(Assumptions!$C$7,G612)),Assumptions!$D$7,"Other Services"))),"Other Services"))</f>
        <v/>
      </c>
    </row>
    <row r="613" customFormat="false" ht="15" hidden="false" customHeight="false" outlineLevel="0" collapsed="false">
      <c r="E613" s="41" t="str">
        <f aca="false">IF(D613="","",IFERROR(VLOOKUP(D613,Assumptions!$G$5:$H$16,2,0),"Other"))</f>
        <v/>
      </c>
      <c r="J613" s="41" t="str">
        <f aca="false">IF(G613="","",IFERROR(IF(ISNUMBER(SEARCH(Assumptions!$C$5,G613)),Assumptions!$D$5,IF(ISNUMBER(SEARCH(Assumptions!$C$6,G613)),Assumptions!$D$6,IF(ISNUMBER(SEARCH(Assumptions!$C$7,G613)),Assumptions!$D$7,"Other Services"))),"Other Services"))</f>
        <v/>
      </c>
    </row>
    <row r="614" customFormat="false" ht="15" hidden="false" customHeight="false" outlineLevel="0" collapsed="false">
      <c r="E614" s="41" t="str">
        <f aca="false">IF(D614="","",IFERROR(VLOOKUP(D614,Assumptions!$G$5:$H$16,2,0),"Other"))</f>
        <v/>
      </c>
      <c r="J614" s="41" t="str">
        <f aca="false">IF(G614="","",IFERROR(IF(ISNUMBER(SEARCH(Assumptions!$C$5,G614)),Assumptions!$D$5,IF(ISNUMBER(SEARCH(Assumptions!$C$6,G614)),Assumptions!$D$6,IF(ISNUMBER(SEARCH(Assumptions!$C$7,G614)),Assumptions!$D$7,"Other Services"))),"Other Services"))</f>
        <v/>
      </c>
    </row>
    <row r="615" customFormat="false" ht="15" hidden="false" customHeight="false" outlineLevel="0" collapsed="false">
      <c r="E615" s="41" t="str">
        <f aca="false">IF(D615="","",IFERROR(VLOOKUP(D615,Assumptions!$G$5:$H$16,2,0),"Other"))</f>
        <v/>
      </c>
      <c r="J615" s="41" t="str">
        <f aca="false">IF(G615="","",IFERROR(IF(ISNUMBER(SEARCH(Assumptions!$C$5,G615)),Assumptions!$D$5,IF(ISNUMBER(SEARCH(Assumptions!$C$6,G615)),Assumptions!$D$6,IF(ISNUMBER(SEARCH(Assumptions!$C$7,G615)),Assumptions!$D$7,"Other Services"))),"Other Services"))</f>
        <v/>
      </c>
    </row>
    <row r="616" customFormat="false" ht="15" hidden="false" customHeight="false" outlineLevel="0" collapsed="false">
      <c r="E616" s="41" t="str">
        <f aca="false">IF(D616="","",IFERROR(VLOOKUP(D616,Assumptions!$G$5:$H$16,2,0),"Other"))</f>
        <v/>
      </c>
      <c r="J616" s="41" t="str">
        <f aca="false">IF(G616="","",IFERROR(IF(ISNUMBER(SEARCH(Assumptions!$C$5,G616)),Assumptions!$D$5,IF(ISNUMBER(SEARCH(Assumptions!$C$6,G616)),Assumptions!$D$6,IF(ISNUMBER(SEARCH(Assumptions!$C$7,G616)),Assumptions!$D$7,"Other Services"))),"Other Services"))</f>
        <v/>
      </c>
    </row>
    <row r="617" customFormat="false" ht="15" hidden="false" customHeight="false" outlineLevel="0" collapsed="false">
      <c r="E617" s="41" t="str">
        <f aca="false">IF(D617="","",IFERROR(VLOOKUP(D617,Assumptions!$G$5:$H$16,2,0),"Other"))</f>
        <v/>
      </c>
      <c r="J617" s="41" t="str">
        <f aca="false">IF(G617="","",IFERROR(IF(ISNUMBER(SEARCH(Assumptions!$C$5,G617)),Assumptions!$D$5,IF(ISNUMBER(SEARCH(Assumptions!$C$6,G617)),Assumptions!$D$6,IF(ISNUMBER(SEARCH(Assumptions!$C$7,G617)),Assumptions!$D$7,"Other Services"))),"Other Services"))</f>
        <v/>
      </c>
    </row>
    <row r="618" customFormat="false" ht="15" hidden="false" customHeight="false" outlineLevel="0" collapsed="false">
      <c r="E618" s="41" t="str">
        <f aca="false">IF(D618="","",IFERROR(VLOOKUP(D618,Assumptions!$G$5:$H$16,2,0),"Other"))</f>
        <v/>
      </c>
      <c r="J618" s="41" t="str">
        <f aca="false">IF(G618="","",IFERROR(IF(ISNUMBER(SEARCH(Assumptions!$C$5,G618)),Assumptions!$D$5,IF(ISNUMBER(SEARCH(Assumptions!$C$6,G618)),Assumptions!$D$6,IF(ISNUMBER(SEARCH(Assumptions!$C$7,G618)),Assumptions!$D$7,"Other Services"))),"Other Services"))</f>
        <v/>
      </c>
    </row>
    <row r="619" customFormat="false" ht="15" hidden="false" customHeight="false" outlineLevel="0" collapsed="false">
      <c r="E619" s="41" t="str">
        <f aca="false">IF(D619="","",IFERROR(VLOOKUP(D619,Assumptions!$G$5:$H$16,2,0),"Other"))</f>
        <v/>
      </c>
      <c r="J619" s="41" t="str">
        <f aca="false">IF(G619="","",IFERROR(IF(ISNUMBER(SEARCH(Assumptions!$C$5,G619)),Assumptions!$D$5,IF(ISNUMBER(SEARCH(Assumptions!$C$6,G619)),Assumptions!$D$6,IF(ISNUMBER(SEARCH(Assumptions!$C$7,G619)),Assumptions!$D$7,"Other Services"))),"Other Services"))</f>
        <v/>
      </c>
    </row>
    <row r="620" customFormat="false" ht="15" hidden="false" customHeight="false" outlineLevel="0" collapsed="false">
      <c r="E620" s="41" t="str">
        <f aca="false">IF(D620="","",IFERROR(VLOOKUP(D620,Assumptions!$G$5:$H$16,2,0),"Other"))</f>
        <v/>
      </c>
      <c r="J620" s="41" t="str">
        <f aca="false">IF(G620="","",IFERROR(IF(ISNUMBER(SEARCH(Assumptions!$C$5,G620)),Assumptions!$D$5,IF(ISNUMBER(SEARCH(Assumptions!$C$6,G620)),Assumptions!$D$6,IF(ISNUMBER(SEARCH(Assumptions!$C$7,G620)),Assumptions!$D$7,"Other Services"))),"Other Services"))</f>
        <v/>
      </c>
    </row>
    <row r="621" customFormat="false" ht="15" hidden="false" customHeight="false" outlineLevel="0" collapsed="false">
      <c r="E621" s="41" t="str">
        <f aca="false">IF(D621="","",IFERROR(VLOOKUP(D621,Assumptions!$G$5:$H$16,2,0),"Other"))</f>
        <v/>
      </c>
      <c r="J621" s="41" t="str">
        <f aca="false">IF(G621="","",IFERROR(IF(ISNUMBER(SEARCH(Assumptions!$C$5,G621)),Assumptions!$D$5,IF(ISNUMBER(SEARCH(Assumptions!$C$6,G621)),Assumptions!$D$6,IF(ISNUMBER(SEARCH(Assumptions!$C$7,G621)),Assumptions!$D$7,"Other Services"))),"Other Services"))</f>
        <v/>
      </c>
    </row>
    <row r="622" customFormat="false" ht="15" hidden="false" customHeight="false" outlineLevel="0" collapsed="false">
      <c r="E622" s="41" t="str">
        <f aca="false">IF(D622="","",IFERROR(VLOOKUP(D622,Assumptions!$G$5:$H$16,2,0),"Other"))</f>
        <v/>
      </c>
      <c r="J622" s="41" t="str">
        <f aca="false">IF(G622="","",IFERROR(IF(ISNUMBER(SEARCH(Assumptions!$C$5,G622)),Assumptions!$D$5,IF(ISNUMBER(SEARCH(Assumptions!$C$6,G622)),Assumptions!$D$6,IF(ISNUMBER(SEARCH(Assumptions!$C$7,G622)),Assumptions!$D$7,"Other Services"))),"Other Services"))</f>
        <v/>
      </c>
    </row>
    <row r="623" customFormat="false" ht="15" hidden="false" customHeight="false" outlineLevel="0" collapsed="false">
      <c r="E623" s="41" t="str">
        <f aca="false">IF(D623="","",IFERROR(VLOOKUP(D623,Assumptions!$G$5:$H$16,2,0),"Other"))</f>
        <v/>
      </c>
      <c r="J623" s="41" t="str">
        <f aca="false">IF(G623="","",IFERROR(IF(ISNUMBER(SEARCH(Assumptions!$C$5,G623)),Assumptions!$D$5,IF(ISNUMBER(SEARCH(Assumptions!$C$6,G623)),Assumptions!$D$6,IF(ISNUMBER(SEARCH(Assumptions!$C$7,G623)),Assumptions!$D$7,"Other Services"))),"Other Services"))</f>
        <v/>
      </c>
    </row>
    <row r="624" customFormat="false" ht="15" hidden="false" customHeight="false" outlineLevel="0" collapsed="false">
      <c r="E624" s="41" t="str">
        <f aca="false">IF(D624="","",IFERROR(VLOOKUP(D624,Assumptions!$G$5:$H$16,2,0),"Other"))</f>
        <v/>
      </c>
      <c r="J624" s="41" t="str">
        <f aca="false">IF(G624="","",IFERROR(IF(ISNUMBER(SEARCH(Assumptions!$C$5,G624)),Assumptions!$D$5,IF(ISNUMBER(SEARCH(Assumptions!$C$6,G624)),Assumptions!$D$6,IF(ISNUMBER(SEARCH(Assumptions!$C$7,G624)),Assumptions!$D$7,"Other Services"))),"Other Services"))</f>
        <v/>
      </c>
    </row>
    <row r="625" customFormat="false" ht="15" hidden="false" customHeight="false" outlineLevel="0" collapsed="false">
      <c r="E625" s="41" t="str">
        <f aca="false">IF(D625="","",IFERROR(VLOOKUP(D625,Assumptions!$G$5:$H$16,2,0),"Other"))</f>
        <v/>
      </c>
      <c r="J625" s="41" t="str">
        <f aca="false">IF(G625="","",IFERROR(IF(ISNUMBER(SEARCH(Assumptions!$C$5,G625)),Assumptions!$D$5,IF(ISNUMBER(SEARCH(Assumptions!$C$6,G625)),Assumptions!$D$6,IF(ISNUMBER(SEARCH(Assumptions!$C$7,G625)),Assumptions!$D$7,"Other Services"))),"Other Services"))</f>
        <v/>
      </c>
    </row>
    <row r="626" customFormat="false" ht="15" hidden="false" customHeight="false" outlineLevel="0" collapsed="false">
      <c r="E626" s="41" t="str">
        <f aca="false">IF(D626="","",IFERROR(VLOOKUP(D626,Assumptions!$G$5:$H$16,2,0),"Other"))</f>
        <v/>
      </c>
      <c r="J626" s="41" t="str">
        <f aca="false">IF(G626="","",IFERROR(IF(ISNUMBER(SEARCH(Assumptions!$C$5,G626)),Assumptions!$D$5,IF(ISNUMBER(SEARCH(Assumptions!$C$6,G626)),Assumptions!$D$6,IF(ISNUMBER(SEARCH(Assumptions!$C$7,G626)),Assumptions!$D$7,"Other Services"))),"Other Services"))</f>
        <v/>
      </c>
    </row>
    <row r="627" customFormat="false" ht="15" hidden="false" customHeight="false" outlineLevel="0" collapsed="false">
      <c r="E627" s="41" t="str">
        <f aca="false">IF(D627="","",IFERROR(VLOOKUP(D627,Assumptions!$G$5:$H$16,2,0),"Other"))</f>
        <v/>
      </c>
      <c r="J627" s="41" t="str">
        <f aca="false">IF(G627="","",IFERROR(IF(ISNUMBER(SEARCH(Assumptions!$C$5,G627)),Assumptions!$D$5,IF(ISNUMBER(SEARCH(Assumptions!$C$6,G627)),Assumptions!$D$6,IF(ISNUMBER(SEARCH(Assumptions!$C$7,G627)),Assumptions!$D$7,"Other Services"))),"Other Services"))</f>
        <v/>
      </c>
    </row>
    <row r="628" customFormat="false" ht="15" hidden="false" customHeight="false" outlineLevel="0" collapsed="false">
      <c r="E628" s="41" t="str">
        <f aca="false">IF(D628="","",IFERROR(VLOOKUP(D628,Assumptions!$G$5:$H$16,2,0),"Other"))</f>
        <v/>
      </c>
      <c r="J628" s="41" t="str">
        <f aca="false">IF(G628="","",IFERROR(IF(ISNUMBER(SEARCH(Assumptions!$C$5,G628)),Assumptions!$D$5,IF(ISNUMBER(SEARCH(Assumptions!$C$6,G628)),Assumptions!$D$6,IF(ISNUMBER(SEARCH(Assumptions!$C$7,G628)),Assumptions!$D$7,"Other Services"))),"Other Services"))</f>
        <v/>
      </c>
    </row>
    <row r="629" customFormat="false" ht="15" hidden="false" customHeight="false" outlineLevel="0" collapsed="false">
      <c r="E629" s="41" t="str">
        <f aca="false">IF(D629="","",IFERROR(VLOOKUP(D629,Assumptions!$G$5:$H$16,2,0),"Other"))</f>
        <v/>
      </c>
      <c r="J629" s="41" t="str">
        <f aca="false">IF(G629="","",IFERROR(IF(ISNUMBER(SEARCH(Assumptions!$C$5,G629)),Assumptions!$D$5,IF(ISNUMBER(SEARCH(Assumptions!$C$6,G629)),Assumptions!$D$6,IF(ISNUMBER(SEARCH(Assumptions!$C$7,G629)),Assumptions!$D$7,"Other Services"))),"Other Services"))</f>
        <v/>
      </c>
    </row>
    <row r="630" customFormat="false" ht="15" hidden="false" customHeight="false" outlineLevel="0" collapsed="false">
      <c r="E630" s="41" t="str">
        <f aca="false">IF(D630="","",IFERROR(VLOOKUP(D630,Assumptions!$G$5:$H$16,2,0),"Other"))</f>
        <v/>
      </c>
      <c r="J630" s="41" t="str">
        <f aca="false">IF(G630="","",IFERROR(IF(ISNUMBER(SEARCH(Assumptions!$C$5,G630)),Assumptions!$D$5,IF(ISNUMBER(SEARCH(Assumptions!$C$6,G630)),Assumptions!$D$6,IF(ISNUMBER(SEARCH(Assumptions!$C$7,G630)),Assumptions!$D$7,"Other Services"))),"Other Services"))</f>
        <v/>
      </c>
    </row>
    <row r="631" customFormat="false" ht="15" hidden="false" customHeight="false" outlineLevel="0" collapsed="false">
      <c r="E631" s="41" t="str">
        <f aca="false">IF(D631="","",IFERROR(VLOOKUP(D631,Assumptions!$G$5:$H$16,2,0),"Other"))</f>
        <v/>
      </c>
      <c r="J631" s="41" t="str">
        <f aca="false">IF(G631="","",IFERROR(IF(ISNUMBER(SEARCH(Assumptions!$C$5,G631)),Assumptions!$D$5,IF(ISNUMBER(SEARCH(Assumptions!$C$6,G631)),Assumptions!$D$6,IF(ISNUMBER(SEARCH(Assumptions!$C$7,G631)),Assumptions!$D$7,"Other Services"))),"Other Services"))</f>
        <v/>
      </c>
    </row>
    <row r="632" customFormat="false" ht="15" hidden="false" customHeight="false" outlineLevel="0" collapsed="false">
      <c r="E632" s="41" t="str">
        <f aca="false">IF(D632="","",IFERROR(VLOOKUP(D632,Assumptions!$G$5:$H$16,2,0),"Other"))</f>
        <v/>
      </c>
      <c r="J632" s="41" t="str">
        <f aca="false">IF(G632="","",IFERROR(IF(ISNUMBER(SEARCH(Assumptions!$C$5,G632)),Assumptions!$D$5,IF(ISNUMBER(SEARCH(Assumptions!$C$6,G632)),Assumptions!$D$6,IF(ISNUMBER(SEARCH(Assumptions!$C$7,G632)),Assumptions!$D$7,"Other Services"))),"Other Services"))</f>
        <v/>
      </c>
    </row>
    <row r="633" customFormat="false" ht="15" hidden="false" customHeight="false" outlineLevel="0" collapsed="false">
      <c r="E633" s="41" t="str">
        <f aca="false">IF(D633="","",IFERROR(VLOOKUP(D633,Assumptions!$G$5:$H$16,2,0),"Other"))</f>
        <v/>
      </c>
      <c r="J633" s="41" t="str">
        <f aca="false">IF(G633="","",IFERROR(IF(ISNUMBER(SEARCH(Assumptions!$C$5,G633)),Assumptions!$D$5,IF(ISNUMBER(SEARCH(Assumptions!$C$6,G633)),Assumptions!$D$6,IF(ISNUMBER(SEARCH(Assumptions!$C$7,G633)),Assumptions!$D$7,"Other Services"))),"Other Services"))</f>
        <v/>
      </c>
    </row>
    <row r="634" customFormat="false" ht="15" hidden="false" customHeight="false" outlineLevel="0" collapsed="false">
      <c r="E634" s="41" t="str">
        <f aca="false">IF(D634="","",IFERROR(VLOOKUP(D634,Assumptions!$G$5:$H$16,2,0),"Other"))</f>
        <v/>
      </c>
      <c r="J634" s="41" t="str">
        <f aca="false">IF(G634="","",IFERROR(IF(ISNUMBER(SEARCH(Assumptions!$C$5,G634)),Assumptions!$D$5,IF(ISNUMBER(SEARCH(Assumptions!$C$6,G634)),Assumptions!$D$6,IF(ISNUMBER(SEARCH(Assumptions!$C$7,G634)),Assumptions!$D$7,"Other Services"))),"Other Services"))</f>
        <v/>
      </c>
    </row>
    <row r="635" customFormat="false" ht="15" hidden="false" customHeight="false" outlineLevel="0" collapsed="false">
      <c r="E635" s="41" t="str">
        <f aca="false">IF(D635="","",IFERROR(VLOOKUP(D635,Assumptions!$G$5:$H$16,2,0),"Other"))</f>
        <v/>
      </c>
      <c r="J635" s="41" t="str">
        <f aca="false">IF(G635="","",IFERROR(IF(ISNUMBER(SEARCH(Assumptions!$C$5,G635)),Assumptions!$D$5,IF(ISNUMBER(SEARCH(Assumptions!$C$6,G635)),Assumptions!$D$6,IF(ISNUMBER(SEARCH(Assumptions!$C$7,G635)),Assumptions!$D$7,"Other Services"))),"Other Services"))</f>
        <v/>
      </c>
    </row>
    <row r="636" customFormat="false" ht="15" hidden="false" customHeight="false" outlineLevel="0" collapsed="false">
      <c r="E636" s="41" t="str">
        <f aca="false">IF(D636="","",IFERROR(VLOOKUP(D636,Assumptions!$G$5:$H$16,2,0),"Other"))</f>
        <v/>
      </c>
      <c r="J636" s="41" t="str">
        <f aca="false">IF(G636="","",IFERROR(IF(ISNUMBER(SEARCH(Assumptions!$C$5,G636)),Assumptions!$D$5,IF(ISNUMBER(SEARCH(Assumptions!$C$6,G636)),Assumptions!$D$6,IF(ISNUMBER(SEARCH(Assumptions!$C$7,G636)),Assumptions!$D$7,"Other Services"))),"Other Services"))</f>
        <v/>
      </c>
    </row>
    <row r="637" customFormat="false" ht="15" hidden="false" customHeight="false" outlineLevel="0" collapsed="false">
      <c r="E637" s="41" t="str">
        <f aca="false">IF(D637="","",IFERROR(VLOOKUP(D637,Assumptions!$G$5:$H$16,2,0),"Other"))</f>
        <v/>
      </c>
      <c r="J637" s="41" t="str">
        <f aca="false">IF(G637="","",IFERROR(IF(ISNUMBER(SEARCH(Assumptions!$C$5,G637)),Assumptions!$D$5,IF(ISNUMBER(SEARCH(Assumptions!$C$6,G637)),Assumptions!$D$6,IF(ISNUMBER(SEARCH(Assumptions!$C$7,G637)),Assumptions!$D$7,"Other Services"))),"Other Services"))</f>
        <v/>
      </c>
    </row>
    <row r="638" customFormat="false" ht="15" hidden="false" customHeight="false" outlineLevel="0" collapsed="false">
      <c r="E638" s="41" t="str">
        <f aca="false">IF(D638="","",IFERROR(VLOOKUP(D638,Assumptions!$G$5:$H$16,2,0),"Other"))</f>
        <v/>
      </c>
      <c r="J638" s="41" t="str">
        <f aca="false">IF(G638="","",IFERROR(IF(ISNUMBER(SEARCH(Assumptions!$C$5,G638)),Assumptions!$D$5,IF(ISNUMBER(SEARCH(Assumptions!$C$6,G638)),Assumptions!$D$6,IF(ISNUMBER(SEARCH(Assumptions!$C$7,G638)),Assumptions!$D$7,"Other Services"))),"Other Services"))</f>
        <v/>
      </c>
    </row>
    <row r="639" customFormat="false" ht="15" hidden="false" customHeight="false" outlineLevel="0" collapsed="false">
      <c r="E639" s="41" t="str">
        <f aca="false">IF(D639="","",IFERROR(VLOOKUP(D639,Assumptions!$G$5:$H$16,2,0),"Other"))</f>
        <v/>
      </c>
      <c r="J639" s="41" t="str">
        <f aca="false">IF(G639="","",IFERROR(IF(ISNUMBER(SEARCH(Assumptions!$C$5,G639)),Assumptions!$D$5,IF(ISNUMBER(SEARCH(Assumptions!$C$6,G639)),Assumptions!$D$6,IF(ISNUMBER(SEARCH(Assumptions!$C$7,G639)),Assumptions!$D$7,"Other Services"))),"Other Services"))</f>
        <v/>
      </c>
    </row>
    <row r="640" customFormat="false" ht="15" hidden="false" customHeight="false" outlineLevel="0" collapsed="false">
      <c r="E640" s="41" t="str">
        <f aca="false">IF(D640="","",IFERROR(VLOOKUP(D640,Assumptions!$G$5:$H$16,2,0),"Other"))</f>
        <v/>
      </c>
      <c r="J640" s="41" t="str">
        <f aca="false">IF(G640="","",IFERROR(IF(ISNUMBER(SEARCH(Assumptions!$C$5,G640)),Assumptions!$D$5,IF(ISNUMBER(SEARCH(Assumptions!$C$6,G640)),Assumptions!$D$6,IF(ISNUMBER(SEARCH(Assumptions!$C$7,G640)),Assumptions!$D$7,"Other Services"))),"Other Services"))</f>
        <v/>
      </c>
    </row>
    <row r="641" customFormat="false" ht="15" hidden="false" customHeight="false" outlineLevel="0" collapsed="false">
      <c r="E641" s="41" t="str">
        <f aca="false">IF(D641="","",IFERROR(VLOOKUP(D641,Assumptions!$G$5:$H$16,2,0),"Other"))</f>
        <v/>
      </c>
      <c r="J641" s="41" t="str">
        <f aca="false">IF(G641="","",IFERROR(IF(ISNUMBER(SEARCH(Assumptions!$C$5,G641)),Assumptions!$D$5,IF(ISNUMBER(SEARCH(Assumptions!$C$6,G641)),Assumptions!$D$6,IF(ISNUMBER(SEARCH(Assumptions!$C$7,G641)),Assumptions!$D$7,"Other Services"))),"Other Services"))</f>
        <v/>
      </c>
    </row>
    <row r="642" customFormat="false" ht="15" hidden="false" customHeight="false" outlineLevel="0" collapsed="false">
      <c r="E642" s="41" t="str">
        <f aca="false">IF(D642="","",IFERROR(VLOOKUP(D642,Assumptions!$G$5:$H$16,2,0),"Other"))</f>
        <v/>
      </c>
      <c r="J642" s="41" t="str">
        <f aca="false">IF(G642="","",IFERROR(IF(ISNUMBER(SEARCH(Assumptions!$C$5,G642)),Assumptions!$D$5,IF(ISNUMBER(SEARCH(Assumptions!$C$6,G642)),Assumptions!$D$6,IF(ISNUMBER(SEARCH(Assumptions!$C$7,G642)),Assumptions!$D$7,"Other Services"))),"Other Services"))</f>
        <v/>
      </c>
    </row>
    <row r="643" customFormat="false" ht="15" hidden="false" customHeight="false" outlineLevel="0" collapsed="false">
      <c r="E643" s="41" t="str">
        <f aca="false">IF(D643="","",IFERROR(VLOOKUP(D643,Assumptions!$G$5:$H$16,2,0),"Other"))</f>
        <v/>
      </c>
      <c r="J643" s="41" t="str">
        <f aca="false">IF(G643="","",IFERROR(IF(ISNUMBER(SEARCH(Assumptions!$C$5,G643)),Assumptions!$D$5,IF(ISNUMBER(SEARCH(Assumptions!$C$6,G643)),Assumptions!$D$6,IF(ISNUMBER(SEARCH(Assumptions!$C$7,G643)),Assumptions!$D$7,"Other Services"))),"Other Services"))</f>
        <v/>
      </c>
    </row>
    <row r="644" customFormat="false" ht="15" hidden="false" customHeight="false" outlineLevel="0" collapsed="false">
      <c r="E644" s="41" t="str">
        <f aca="false">IF(D644="","",IFERROR(VLOOKUP(D644,Assumptions!$G$5:$H$16,2,0),"Other"))</f>
        <v/>
      </c>
      <c r="J644" s="41" t="str">
        <f aca="false">IF(G644="","",IFERROR(IF(ISNUMBER(SEARCH(Assumptions!$C$5,G644)),Assumptions!$D$5,IF(ISNUMBER(SEARCH(Assumptions!$C$6,G644)),Assumptions!$D$6,IF(ISNUMBER(SEARCH(Assumptions!$C$7,G644)),Assumptions!$D$7,"Other Services"))),"Other Services"))</f>
        <v/>
      </c>
    </row>
    <row r="645" customFormat="false" ht="15" hidden="false" customHeight="false" outlineLevel="0" collapsed="false">
      <c r="E645" s="41" t="str">
        <f aca="false">IF(D645="","",IFERROR(VLOOKUP(D645,Assumptions!$G$5:$H$16,2,0),"Other"))</f>
        <v/>
      </c>
      <c r="J645" s="41" t="str">
        <f aca="false">IF(G645="","",IFERROR(IF(ISNUMBER(SEARCH(Assumptions!$C$5,G645)),Assumptions!$D$5,IF(ISNUMBER(SEARCH(Assumptions!$C$6,G645)),Assumptions!$D$6,IF(ISNUMBER(SEARCH(Assumptions!$C$7,G645)),Assumptions!$D$7,"Other Services"))),"Other Services"))</f>
        <v/>
      </c>
    </row>
    <row r="646" customFormat="false" ht="15" hidden="false" customHeight="false" outlineLevel="0" collapsed="false">
      <c r="E646" s="41" t="str">
        <f aca="false">IF(D646="","",IFERROR(VLOOKUP(D646,Assumptions!$G$5:$H$16,2,0),"Other"))</f>
        <v/>
      </c>
      <c r="J646" s="41" t="str">
        <f aca="false">IF(G646="","",IFERROR(IF(ISNUMBER(SEARCH(Assumptions!$C$5,G646)),Assumptions!$D$5,IF(ISNUMBER(SEARCH(Assumptions!$C$6,G646)),Assumptions!$D$6,IF(ISNUMBER(SEARCH(Assumptions!$C$7,G646)),Assumptions!$D$7,"Other Services"))),"Other Services"))</f>
        <v/>
      </c>
    </row>
    <row r="647" customFormat="false" ht="15" hidden="false" customHeight="false" outlineLevel="0" collapsed="false">
      <c r="E647" s="41" t="str">
        <f aca="false">IF(D647="","",IFERROR(VLOOKUP(D647,Assumptions!$G$5:$H$16,2,0),"Other"))</f>
        <v/>
      </c>
      <c r="J647" s="41" t="str">
        <f aca="false">IF(G647="","",IFERROR(IF(ISNUMBER(SEARCH(Assumptions!$C$5,G647)),Assumptions!$D$5,IF(ISNUMBER(SEARCH(Assumptions!$C$6,G647)),Assumptions!$D$6,IF(ISNUMBER(SEARCH(Assumptions!$C$7,G647)),Assumptions!$D$7,"Other Services"))),"Other Services"))</f>
        <v/>
      </c>
    </row>
    <row r="648" customFormat="false" ht="15" hidden="false" customHeight="false" outlineLevel="0" collapsed="false">
      <c r="E648" s="41" t="str">
        <f aca="false">IF(D648="","",IFERROR(VLOOKUP(D648,Assumptions!$G$5:$H$16,2,0),"Other"))</f>
        <v/>
      </c>
      <c r="J648" s="41" t="str">
        <f aca="false">IF(G648="","",IFERROR(IF(ISNUMBER(SEARCH(Assumptions!$C$5,G648)),Assumptions!$D$5,IF(ISNUMBER(SEARCH(Assumptions!$C$6,G648)),Assumptions!$D$6,IF(ISNUMBER(SEARCH(Assumptions!$C$7,G648)),Assumptions!$D$7,"Other Services"))),"Other Services"))</f>
        <v/>
      </c>
    </row>
    <row r="649" customFormat="false" ht="15" hidden="false" customHeight="false" outlineLevel="0" collapsed="false">
      <c r="E649" s="41" t="str">
        <f aca="false">IF(D649="","",IFERROR(VLOOKUP(D649,Assumptions!$G$5:$H$16,2,0),"Other"))</f>
        <v/>
      </c>
      <c r="J649" s="41" t="str">
        <f aca="false">IF(G649="","",IFERROR(IF(ISNUMBER(SEARCH(Assumptions!$C$5,G649)),Assumptions!$D$5,IF(ISNUMBER(SEARCH(Assumptions!$C$6,G649)),Assumptions!$D$6,IF(ISNUMBER(SEARCH(Assumptions!$C$7,G649)),Assumptions!$D$7,"Other Services"))),"Other Services"))</f>
        <v/>
      </c>
    </row>
    <row r="650" customFormat="false" ht="15" hidden="false" customHeight="false" outlineLevel="0" collapsed="false">
      <c r="E650" s="41" t="str">
        <f aca="false">IF(D650="","",IFERROR(VLOOKUP(D650,Assumptions!$G$5:$H$16,2,0),"Other"))</f>
        <v/>
      </c>
      <c r="J650" s="41" t="str">
        <f aca="false">IF(G650="","",IFERROR(IF(ISNUMBER(SEARCH(Assumptions!$C$5,G650)),Assumptions!$D$5,IF(ISNUMBER(SEARCH(Assumptions!$C$6,G650)),Assumptions!$D$6,IF(ISNUMBER(SEARCH(Assumptions!$C$7,G650)),Assumptions!$D$7,"Other Services"))),"Other Services"))</f>
        <v/>
      </c>
    </row>
    <row r="651" customFormat="false" ht="15" hidden="false" customHeight="false" outlineLevel="0" collapsed="false">
      <c r="E651" s="41" t="str">
        <f aca="false">IF(D651="","",IFERROR(VLOOKUP(D651,Assumptions!$G$5:$H$16,2,0),"Other"))</f>
        <v/>
      </c>
      <c r="J651" s="41" t="str">
        <f aca="false">IF(G651="","",IFERROR(IF(ISNUMBER(SEARCH(Assumptions!$C$5,G651)),Assumptions!$D$5,IF(ISNUMBER(SEARCH(Assumptions!$C$6,G651)),Assumptions!$D$6,IF(ISNUMBER(SEARCH(Assumptions!$C$7,G651)),Assumptions!$D$7,"Other Services"))),"Other Services"))</f>
        <v/>
      </c>
    </row>
    <row r="652" customFormat="false" ht="15" hidden="false" customHeight="false" outlineLevel="0" collapsed="false">
      <c r="E652" s="41" t="str">
        <f aca="false">IF(D652="","",IFERROR(VLOOKUP(D652,Assumptions!$G$5:$H$16,2,0),"Other"))</f>
        <v/>
      </c>
      <c r="J652" s="41" t="str">
        <f aca="false">IF(G652="","",IFERROR(IF(ISNUMBER(SEARCH(Assumptions!$C$5,G652)),Assumptions!$D$5,IF(ISNUMBER(SEARCH(Assumptions!$C$6,G652)),Assumptions!$D$6,IF(ISNUMBER(SEARCH(Assumptions!$C$7,G652)),Assumptions!$D$7,"Other Services"))),"Other Services"))</f>
        <v/>
      </c>
    </row>
    <row r="653" customFormat="false" ht="15" hidden="false" customHeight="false" outlineLevel="0" collapsed="false">
      <c r="E653" s="41" t="str">
        <f aca="false">IF(D653="","",IFERROR(VLOOKUP(D653,Assumptions!$G$5:$H$16,2,0),"Other"))</f>
        <v/>
      </c>
      <c r="J653" s="41" t="str">
        <f aca="false">IF(G653="","",IFERROR(IF(ISNUMBER(SEARCH(Assumptions!$C$5,G653)),Assumptions!$D$5,IF(ISNUMBER(SEARCH(Assumptions!$C$6,G653)),Assumptions!$D$6,IF(ISNUMBER(SEARCH(Assumptions!$C$7,G653)),Assumptions!$D$7,"Other Services"))),"Other Services"))</f>
        <v/>
      </c>
    </row>
    <row r="654" customFormat="false" ht="15" hidden="false" customHeight="false" outlineLevel="0" collapsed="false">
      <c r="E654" s="41" t="str">
        <f aca="false">IF(D654="","",IFERROR(VLOOKUP(D654,Assumptions!$G$5:$H$16,2,0),"Other"))</f>
        <v/>
      </c>
      <c r="J654" s="41" t="str">
        <f aca="false">IF(G654="","",IFERROR(IF(ISNUMBER(SEARCH(Assumptions!$C$5,G654)),Assumptions!$D$5,IF(ISNUMBER(SEARCH(Assumptions!$C$6,G654)),Assumptions!$D$6,IF(ISNUMBER(SEARCH(Assumptions!$C$7,G654)),Assumptions!$D$7,"Other Services"))),"Other Services"))</f>
        <v/>
      </c>
    </row>
    <row r="655" customFormat="false" ht="15" hidden="false" customHeight="false" outlineLevel="0" collapsed="false">
      <c r="E655" s="41" t="str">
        <f aca="false">IF(D655="","",IFERROR(VLOOKUP(D655,Assumptions!$G$5:$H$16,2,0),"Other"))</f>
        <v/>
      </c>
      <c r="J655" s="41" t="str">
        <f aca="false">IF(G655="","",IFERROR(IF(ISNUMBER(SEARCH(Assumptions!$C$5,G655)),Assumptions!$D$5,IF(ISNUMBER(SEARCH(Assumptions!$C$6,G655)),Assumptions!$D$6,IF(ISNUMBER(SEARCH(Assumptions!$C$7,G655)),Assumptions!$D$7,"Other Services"))),"Other Services"))</f>
        <v/>
      </c>
    </row>
    <row r="656" customFormat="false" ht="15" hidden="false" customHeight="false" outlineLevel="0" collapsed="false">
      <c r="E656" s="41" t="str">
        <f aca="false">IF(D656="","",IFERROR(VLOOKUP(D656,Assumptions!$G$5:$H$16,2,0),"Other"))</f>
        <v/>
      </c>
      <c r="J656" s="41" t="str">
        <f aca="false">IF(G656="","",IFERROR(IF(ISNUMBER(SEARCH(Assumptions!$C$5,G656)),Assumptions!$D$5,IF(ISNUMBER(SEARCH(Assumptions!$C$6,G656)),Assumptions!$D$6,IF(ISNUMBER(SEARCH(Assumptions!$C$7,G656)),Assumptions!$D$7,"Other Services"))),"Other Services"))</f>
        <v/>
      </c>
    </row>
    <row r="657" customFormat="false" ht="15" hidden="false" customHeight="false" outlineLevel="0" collapsed="false">
      <c r="E657" s="41" t="str">
        <f aca="false">IF(D657="","",IFERROR(VLOOKUP(D657,Assumptions!$G$5:$H$16,2,0),"Other"))</f>
        <v/>
      </c>
      <c r="J657" s="41" t="str">
        <f aca="false">IF(G657="","",IFERROR(IF(ISNUMBER(SEARCH(Assumptions!$C$5,G657)),Assumptions!$D$5,IF(ISNUMBER(SEARCH(Assumptions!$C$6,G657)),Assumptions!$D$6,IF(ISNUMBER(SEARCH(Assumptions!$C$7,G657)),Assumptions!$D$7,"Other Services"))),"Other Services"))</f>
        <v/>
      </c>
    </row>
    <row r="658" customFormat="false" ht="15" hidden="false" customHeight="false" outlineLevel="0" collapsed="false">
      <c r="E658" s="41" t="str">
        <f aca="false">IF(D658="","",IFERROR(VLOOKUP(D658,Assumptions!$G$5:$H$16,2,0),"Other"))</f>
        <v/>
      </c>
      <c r="J658" s="41" t="str">
        <f aca="false">IF(G658="","",IFERROR(IF(ISNUMBER(SEARCH(Assumptions!$C$5,G658)),Assumptions!$D$5,IF(ISNUMBER(SEARCH(Assumptions!$C$6,G658)),Assumptions!$D$6,IF(ISNUMBER(SEARCH(Assumptions!$C$7,G658)),Assumptions!$D$7,"Other Services"))),"Other Services"))</f>
        <v/>
      </c>
    </row>
    <row r="659" customFormat="false" ht="15" hidden="false" customHeight="false" outlineLevel="0" collapsed="false">
      <c r="E659" s="41" t="str">
        <f aca="false">IF(D659="","",IFERROR(VLOOKUP(D659,Assumptions!$G$5:$H$16,2,0),"Other"))</f>
        <v/>
      </c>
      <c r="J659" s="41" t="str">
        <f aca="false">IF(G659="","",IFERROR(IF(ISNUMBER(SEARCH(Assumptions!$C$5,G659)),Assumptions!$D$5,IF(ISNUMBER(SEARCH(Assumptions!$C$6,G659)),Assumptions!$D$6,IF(ISNUMBER(SEARCH(Assumptions!$C$7,G659)),Assumptions!$D$7,"Other Services"))),"Other Services"))</f>
        <v/>
      </c>
    </row>
    <row r="660" customFormat="false" ht="15" hidden="false" customHeight="false" outlineLevel="0" collapsed="false">
      <c r="E660" s="41" t="str">
        <f aca="false">IF(D660="","",IFERROR(VLOOKUP(D660,Assumptions!$G$5:$H$16,2,0),"Other"))</f>
        <v/>
      </c>
      <c r="J660" s="41" t="str">
        <f aca="false">IF(G660="","",IFERROR(IF(ISNUMBER(SEARCH(Assumptions!$C$5,G660)),Assumptions!$D$5,IF(ISNUMBER(SEARCH(Assumptions!$C$6,G660)),Assumptions!$D$6,IF(ISNUMBER(SEARCH(Assumptions!$C$7,G660)),Assumptions!$D$7,"Other Services"))),"Other Services"))</f>
        <v/>
      </c>
    </row>
    <row r="661" customFormat="false" ht="15" hidden="false" customHeight="false" outlineLevel="0" collapsed="false">
      <c r="E661" s="41" t="str">
        <f aca="false">IF(D661="","",IFERROR(VLOOKUP(D661,Assumptions!$G$5:$H$16,2,0),"Other"))</f>
        <v/>
      </c>
      <c r="J661" s="41" t="str">
        <f aca="false">IF(G661="","",IFERROR(IF(ISNUMBER(SEARCH(Assumptions!$C$5,G661)),Assumptions!$D$5,IF(ISNUMBER(SEARCH(Assumptions!$C$6,G661)),Assumptions!$D$6,IF(ISNUMBER(SEARCH(Assumptions!$C$7,G661)),Assumptions!$D$7,"Other Services"))),"Other Services"))</f>
        <v/>
      </c>
    </row>
    <row r="662" customFormat="false" ht="15" hidden="false" customHeight="false" outlineLevel="0" collapsed="false">
      <c r="E662" s="41" t="str">
        <f aca="false">IF(D662="","",IFERROR(VLOOKUP(D662,Assumptions!$G$5:$H$16,2,0),"Other"))</f>
        <v/>
      </c>
      <c r="J662" s="41" t="str">
        <f aca="false">IF(G662="","",IFERROR(IF(ISNUMBER(SEARCH(Assumptions!$C$5,G662)),Assumptions!$D$5,IF(ISNUMBER(SEARCH(Assumptions!$C$6,G662)),Assumptions!$D$6,IF(ISNUMBER(SEARCH(Assumptions!$C$7,G662)),Assumptions!$D$7,"Other Services"))),"Other Services"))</f>
        <v/>
      </c>
    </row>
    <row r="663" customFormat="false" ht="15" hidden="false" customHeight="false" outlineLevel="0" collapsed="false">
      <c r="E663" s="41" t="str">
        <f aca="false">IF(D663="","",IFERROR(VLOOKUP(D663,Assumptions!$G$5:$H$16,2,0),"Other"))</f>
        <v/>
      </c>
      <c r="J663" s="41" t="str">
        <f aca="false">IF(G663="","",IFERROR(IF(ISNUMBER(SEARCH(Assumptions!$C$5,G663)),Assumptions!$D$5,IF(ISNUMBER(SEARCH(Assumptions!$C$6,G663)),Assumptions!$D$6,IF(ISNUMBER(SEARCH(Assumptions!$C$7,G663)),Assumptions!$D$7,"Other Services"))),"Other Services"))</f>
        <v/>
      </c>
    </row>
    <row r="664" customFormat="false" ht="15" hidden="false" customHeight="false" outlineLevel="0" collapsed="false">
      <c r="E664" s="41" t="str">
        <f aca="false">IF(D664="","",IFERROR(VLOOKUP(D664,Assumptions!$G$5:$H$16,2,0),"Other"))</f>
        <v/>
      </c>
      <c r="J664" s="41" t="str">
        <f aca="false">IF(G664="","",IFERROR(IF(ISNUMBER(SEARCH(Assumptions!$C$5,G664)),Assumptions!$D$5,IF(ISNUMBER(SEARCH(Assumptions!$C$6,G664)),Assumptions!$D$6,IF(ISNUMBER(SEARCH(Assumptions!$C$7,G664)),Assumptions!$D$7,"Other Services"))),"Other Services"))</f>
        <v/>
      </c>
    </row>
    <row r="665" customFormat="false" ht="15" hidden="false" customHeight="false" outlineLevel="0" collapsed="false">
      <c r="E665" s="41" t="str">
        <f aca="false">IF(D665="","",IFERROR(VLOOKUP(D665,Assumptions!$G$5:$H$16,2,0),"Other"))</f>
        <v/>
      </c>
      <c r="J665" s="41" t="str">
        <f aca="false">IF(G665="","",IFERROR(IF(ISNUMBER(SEARCH(Assumptions!$C$5,G665)),Assumptions!$D$5,IF(ISNUMBER(SEARCH(Assumptions!$C$6,G665)),Assumptions!$D$6,IF(ISNUMBER(SEARCH(Assumptions!$C$7,G665)),Assumptions!$D$7,"Other Services"))),"Other Services"))</f>
        <v/>
      </c>
    </row>
    <row r="666" customFormat="false" ht="15" hidden="false" customHeight="false" outlineLevel="0" collapsed="false">
      <c r="E666" s="41" t="str">
        <f aca="false">IF(D666="","",IFERROR(VLOOKUP(D666,Assumptions!$G$5:$H$16,2,0),"Other"))</f>
        <v/>
      </c>
      <c r="J666" s="41" t="str">
        <f aca="false">IF(G666="","",IFERROR(IF(ISNUMBER(SEARCH(Assumptions!$C$5,G666)),Assumptions!$D$5,IF(ISNUMBER(SEARCH(Assumptions!$C$6,G666)),Assumptions!$D$6,IF(ISNUMBER(SEARCH(Assumptions!$C$7,G666)),Assumptions!$D$7,"Other Services"))),"Other Services"))</f>
        <v/>
      </c>
    </row>
    <row r="667" customFormat="false" ht="15" hidden="false" customHeight="false" outlineLevel="0" collapsed="false">
      <c r="E667" s="41" t="str">
        <f aca="false">IF(D667="","",IFERROR(VLOOKUP(D667,Assumptions!$G$5:$H$16,2,0),"Other"))</f>
        <v/>
      </c>
      <c r="J667" s="41" t="str">
        <f aca="false">IF(G667="","",IFERROR(IF(ISNUMBER(SEARCH(Assumptions!$C$5,G667)),Assumptions!$D$5,IF(ISNUMBER(SEARCH(Assumptions!$C$6,G667)),Assumptions!$D$6,IF(ISNUMBER(SEARCH(Assumptions!$C$7,G667)),Assumptions!$D$7,"Other Services"))),"Other Services"))</f>
        <v/>
      </c>
    </row>
    <row r="668" customFormat="false" ht="15" hidden="false" customHeight="false" outlineLevel="0" collapsed="false">
      <c r="E668" s="41" t="str">
        <f aca="false">IF(D668="","",IFERROR(VLOOKUP(D668,Assumptions!$G$5:$H$16,2,0),"Other"))</f>
        <v/>
      </c>
      <c r="J668" s="41" t="str">
        <f aca="false">IF(G668="","",IFERROR(IF(ISNUMBER(SEARCH(Assumptions!$C$5,G668)),Assumptions!$D$5,IF(ISNUMBER(SEARCH(Assumptions!$C$6,G668)),Assumptions!$D$6,IF(ISNUMBER(SEARCH(Assumptions!$C$7,G668)),Assumptions!$D$7,"Other Services"))),"Other Services"))</f>
        <v/>
      </c>
    </row>
    <row r="669" customFormat="false" ht="15" hidden="false" customHeight="false" outlineLevel="0" collapsed="false">
      <c r="E669" s="41" t="str">
        <f aca="false">IF(D669="","",IFERROR(VLOOKUP(D669,Assumptions!$G$5:$H$16,2,0),"Other"))</f>
        <v/>
      </c>
      <c r="J669" s="41" t="str">
        <f aca="false">IF(G669="","",IFERROR(IF(ISNUMBER(SEARCH(Assumptions!$C$5,G669)),Assumptions!$D$5,IF(ISNUMBER(SEARCH(Assumptions!$C$6,G669)),Assumptions!$D$6,IF(ISNUMBER(SEARCH(Assumptions!$C$7,G669)),Assumptions!$D$7,"Other Services"))),"Other Services"))</f>
        <v/>
      </c>
    </row>
    <row r="670" customFormat="false" ht="15" hidden="false" customHeight="false" outlineLevel="0" collapsed="false">
      <c r="E670" s="41" t="str">
        <f aca="false">IF(D670="","",IFERROR(VLOOKUP(D670,Assumptions!$G$5:$H$16,2,0),"Other"))</f>
        <v/>
      </c>
      <c r="J670" s="41" t="str">
        <f aca="false">IF(G670="","",IFERROR(IF(ISNUMBER(SEARCH(Assumptions!$C$5,G670)),Assumptions!$D$5,IF(ISNUMBER(SEARCH(Assumptions!$C$6,G670)),Assumptions!$D$6,IF(ISNUMBER(SEARCH(Assumptions!$C$7,G670)),Assumptions!$D$7,"Other Services"))),"Other Services"))</f>
        <v/>
      </c>
    </row>
    <row r="671" customFormat="false" ht="15" hidden="false" customHeight="false" outlineLevel="0" collapsed="false">
      <c r="E671" s="41" t="str">
        <f aca="false">IF(D671="","",IFERROR(VLOOKUP(D671,Assumptions!$G$5:$H$16,2,0),"Other"))</f>
        <v/>
      </c>
      <c r="J671" s="41" t="str">
        <f aca="false">IF(G671="","",IFERROR(IF(ISNUMBER(SEARCH(Assumptions!$C$5,G671)),Assumptions!$D$5,IF(ISNUMBER(SEARCH(Assumptions!$C$6,G671)),Assumptions!$D$6,IF(ISNUMBER(SEARCH(Assumptions!$C$7,G671)),Assumptions!$D$7,"Other Services"))),"Other Services"))</f>
        <v/>
      </c>
    </row>
    <row r="672" customFormat="false" ht="15" hidden="false" customHeight="false" outlineLevel="0" collapsed="false">
      <c r="E672" s="41" t="str">
        <f aca="false">IF(D672="","",IFERROR(VLOOKUP(D672,Assumptions!$G$5:$H$16,2,0),"Other"))</f>
        <v/>
      </c>
      <c r="J672" s="41" t="str">
        <f aca="false">IF(G672="","",IFERROR(IF(ISNUMBER(SEARCH(Assumptions!$C$5,G672)),Assumptions!$D$5,IF(ISNUMBER(SEARCH(Assumptions!$C$6,G672)),Assumptions!$D$6,IF(ISNUMBER(SEARCH(Assumptions!$C$7,G672)),Assumptions!$D$7,"Other Services"))),"Other Services"))</f>
        <v/>
      </c>
    </row>
    <row r="673" customFormat="false" ht="15" hidden="false" customHeight="false" outlineLevel="0" collapsed="false">
      <c r="E673" s="41" t="str">
        <f aca="false">IF(D673="","",IFERROR(VLOOKUP(D673,Assumptions!$G$5:$H$16,2,0),"Other"))</f>
        <v/>
      </c>
      <c r="J673" s="41" t="str">
        <f aca="false">IF(G673="","",IFERROR(IF(ISNUMBER(SEARCH(Assumptions!$C$5,G673)),Assumptions!$D$5,IF(ISNUMBER(SEARCH(Assumptions!$C$6,G673)),Assumptions!$D$6,IF(ISNUMBER(SEARCH(Assumptions!$C$7,G673)),Assumptions!$D$7,"Other Services"))),"Other Services"))</f>
        <v/>
      </c>
    </row>
    <row r="674" customFormat="false" ht="15" hidden="false" customHeight="false" outlineLevel="0" collapsed="false">
      <c r="E674" s="41" t="str">
        <f aca="false">IF(D674="","",IFERROR(VLOOKUP(D674,Assumptions!$G$5:$H$16,2,0),"Other"))</f>
        <v/>
      </c>
      <c r="J674" s="41" t="str">
        <f aca="false">IF(G674="","",IFERROR(IF(ISNUMBER(SEARCH(Assumptions!$C$5,G674)),Assumptions!$D$5,IF(ISNUMBER(SEARCH(Assumptions!$C$6,G674)),Assumptions!$D$6,IF(ISNUMBER(SEARCH(Assumptions!$C$7,G674)),Assumptions!$D$7,"Other Services"))),"Other Services"))</f>
        <v/>
      </c>
    </row>
    <row r="675" customFormat="false" ht="15" hidden="false" customHeight="false" outlineLevel="0" collapsed="false">
      <c r="E675" s="41" t="str">
        <f aca="false">IF(D675="","",IFERROR(VLOOKUP(D675,Assumptions!$G$5:$H$16,2,0),"Other"))</f>
        <v/>
      </c>
      <c r="J675" s="41" t="str">
        <f aca="false">IF(G675="","",IFERROR(IF(ISNUMBER(SEARCH(Assumptions!$C$5,G675)),Assumptions!$D$5,IF(ISNUMBER(SEARCH(Assumptions!$C$6,G675)),Assumptions!$D$6,IF(ISNUMBER(SEARCH(Assumptions!$C$7,G675)),Assumptions!$D$7,"Other Services"))),"Other Services"))</f>
        <v/>
      </c>
    </row>
    <row r="676" customFormat="false" ht="15" hidden="false" customHeight="false" outlineLevel="0" collapsed="false">
      <c r="E676" s="41" t="str">
        <f aca="false">IF(D676="","",IFERROR(VLOOKUP(D676,Assumptions!$G$5:$H$16,2,0),"Other"))</f>
        <v/>
      </c>
      <c r="J676" s="41" t="str">
        <f aca="false">IF(G676="","",IFERROR(IF(ISNUMBER(SEARCH(Assumptions!$C$5,G676)),Assumptions!$D$5,IF(ISNUMBER(SEARCH(Assumptions!$C$6,G676)),Assumptions!$D$6,IF(ISNUMBER(SEARCH(Assumptions!$C$7,G676)),Assumptions!$D$7,"Other Services"))),"Other Services"))</f>
        <v/>
      </c>
    </row>
    <row r="677" customFormat="false" ht="15" hidden="false" customHeight="false" outlineLevel="0" collapsed="false">
      <c r="E677" s="41" t="str">
        <f aca="false">IF(D677="","",IFERROR(VLOOKUP(D677,Assumptions!$G$5:$H$16,2,0),"Other"))</f>
        <v/>
      </c>
      <c r="J677" s="41" t="str">
        <f aca="false">IF(G677="","",IFERROR(IF(ISNUMBER(SEARCH(Assumptions!$C$5,G677)),Assumptions!$D$5,IF(ISNUMBER(SEARCH(Assumptions!$C$6,G677)),Assumptions!$D$6,IF(ISNUMBER(SEARCH(Assumptions!$C$7,G677)),Assumptions!$D$7,"Other Services"))),"Other Services"))</f>
        <v/>
      </c>
    </row>
    <row r="678" customFormat="false" ht="15" hidden="false" customHeight="false" outlineLevel="0" collapsed="false">
      <c r="E678" s="41" t="str">
        <f aca="false">IF(D678="","",IFERROR(VLOOKUP(D678,Assumptions!$G$5:$H$16,2,0),"Other"))</f>
        <v/>
      </c>
      <c r="J678" s="41" t="str">
        <f aca="false">IF(G678="","",IFERROR(IF(ISNUMBER(SEARCH(Assumptions!$C$5,G678)),Assumptions!$D$5,IF(ISNUMBER(SEARCH(Assumptions!$C$6,G678)),Assumptions!$D$6,IF(ISNUMBER(SEARCH(Assumptions!$C$7,G678)),Assumptions!$D$7,"Other Services"))),"Other Services"))</f>
        <v/>
      </c>
    </row>
    <row r="679" customFormat="false" ht="15" hidden="false" customHeight="false" outlineLevel="0" collapsed="false">
      <c r="E679" s="41" t="str">
        <f aca="false">IF(D679="","",IFERROR(VLOOKUP(D679,Assumptions!$G$5:$H$16,2,0),"Other"))</f>
        <v/>
      </c>
      <c r="J679" s="41" t="str">
        <f aca="false">IF(G679="","",IFERROR(IF(ISNUMBER(SEARCH(Assumptions!$C$5,G679)),Assumptions!$D$5,IF(ISNUMBER(SEARCH(Assumptions!$C$6,G679)),Assumptions!$D$6,IF(ISNUMBER(SEARCH(Assumptions!$C$7,G679)),Assumptions!$D$7,"Other Services"))),"Other Services"))</f>
        <v/>
      </c>
    </row>
    <row r="680" customFormat="false" ht="15" hidden="false" customHeight="false" outlineLevel="0" collapsed="false">
      <c r="E680" s="41" t="str">
        <f aca="false">IF(D680="","",IFERROR(VLOOKUP(D680,Assumptions!$G$5:$H$16,2,0),"Other"))</f>
        <v/>
      </c>
      <c r="J680" s="41" t="str">
        <f aca="false">IF(G680="","",IFERROR(IF(ISNUMBER(SEARCH(Assumptions!$C$5,G680)),Assumptions!$D$5,IF(ISNUMBER(SEARCH(Assumptions!$C$6,G680)),Assumptions!$D$6,IF(ISNUMBER(SEARCH(Assumptions!$C$7,G680)),Assumptions!$D$7,"Other Services"))),"Other Services"))</f>
        <v/>
      </c>
    </row>
    <row r="681" customFormat="false" ht="15" hidden="false" customHeight="false" outlineLevel="0" collapsed="false">
      <c r="E681" s="41" t="str">
        <f aca="false">IF(D681="","",IFERROR(VLOOKUP(D681,Assumptions!$G$5:$H$16,2,0),"Other"))</f>
        <v/>
      </c>
      <c r="J681" s="41" t="str">
        <f aca="false">IF(G681="","",IFERROR(IF(ISNUMBER(SEARCH(Assumptions!$C$5,G681)),Assumptions!$D$5,IF(ISNUMBER(SEARCH(Assumptions!$C$6,G681)),Assumptions!$D$6,IF(ISNUMBER(SEARCH(Assumptions!$C$7,G681)),Assumptions!$D$7,"Other Services"))),"Other Services"))</f>
        <v/>
      </c>
    </row>
    <row r="682" customFormat="false" ht="15" hidden="false" customHeight="false" outlineLevel="0" collapsed="false">
      <c r="E682" s="41" t="str">
        <f aca="false">IF(D682="","",IFERROR(VLOOKUP(D682,Assumptions!$G$5:$H$16,2,0),"Other"))</f>
        <v/>
      </c>
      <c r="J682" s="41" t="str">
        <f aca="false">IF(G682="","",IFERROR(IF(ISNUMBER(SEARCH(Assumptions!$C$5,G682)),Assumptions!$D$5,IF(ISNUMBER(SEARCH(Assumptions!$C$6,G682)),Assumptions!$D$6,IF(ISNUMBER(SEARCH(Assumptions!$C$7,G682)),Assumptions!$D$7,"Other Services"))),"Other Services"))</f>
        <v/>
      </c>
    </row>
    <row r="683" customFormat="false" ht="15" hidden="false" customHeight="false" outlineLevel="0" collapsed="false">
      <c r="E683" s="41" t="str">
        <f aca="false">IF(D683="","",IFERROR(VLOOKUP(D683,Assumptions!$G$5:$H$16,2,0),"Other"))</f>
        <v/>
      </c>
      <c r="J683" s="41" t="str">
        <f aca="false">IF(G683="","",IFERROR(IF(ISNUMBER(SEARCH(Assumptions!$C$5,G683)),Assumptions!$D$5,IF(ISNUMBER(SEARCH(Assumptions!$C$6,G683)),Assumptions!$D$6,IF(ISNUMBER(SEARCH(Assumptions!$C$7,G683)),Assumptions!$D$7,"Other Services"))),"Other Services"))</f>
        <v/>
      </c>
    </row>
    <row r="684" customFormat="false" ht="15" hidden="false" customHeight="false" outlineLevel="0" collapsed="false">
      <c r="E684" s="41" t="str">
        <f aca="false">IF(D684="","",IFERROR(VLOOKUP(D684,Assumptions!$G$5:$H$16,2,0),"Other"))</f>
        <v/>
      </c>
      <c r="J684" s="41" t="str">
        <f aca="false">IF(G684="","",IFERROR(IF(ISNUMBER(SEARCH(Assumptions!$C$5,G684)),Assumptions!$D$5,IF(ISNUMBER(SEARCH(Assumptions!$C$6,G684)),Assumptions!$D$6,IF(ISNUMBER(SEARCH(Assumptions!$C$7,G684)),Assumptions!$D$7,"Other Services"))),"Other Services"))</f>
        <v/>
      </c>
    </row>
    <row r="685" customFormat="false" ht="15" hidden="false" customHeight="false" outlineLevel="0" collapsed="false">
      <c r="E685" s="41" t="str">
        <f aca="false">IF(D685="","",IFERROR(VLOOKUP(D685,Assumptions!$G$5:$H$16,2,0),"Other"))</f>
        <v/>
      </c>
      <c r="J685" s="41" t="str">
        <f aca="false">IF(G685="","",IFERROR(IF(ISNUMBER(SEARCH(Assumptions!$C$5,G685)),Assumptions!$D$5,IF(ISNUMBER(SEARCH(Assumptions!$C$6,G685)),Assumptions!$D$6,IF(ISNUMBER(SEARCH(Assumptions!$C$7,G685)),Assumptions!$D$7,"Other Services"))),"Other Services"))</f>
        <v/>
      </c>
    </row>
    <row r="686" customFormat="false" ht="15" hidden="false" customHeight="false" outlineLevel="0" collapsed="false">
      <c r="E686" s="41" t="str">
        <f aca="false">IF(D686="","",IFERROR(VLOOKUP(D686,Assumptions!$G$5:$H$16,2,0),"Other"))</f>
        <v/>
      </c>
      <c r="J686" s="41" t="str">
        <f aca="false">IF(G686="","",IFERROR(IF(ISNUMBER(SEARCH(Assumptions!$C$5,G686)),Assumptions!$D$5,IF(ISNUMBER(SEARCH(Assumptions!$C$6,G686)),Assumptions!$D$6,IF(ISNUMBER(SEARCH(Assumptions!$C$7,G686)),Assumptions!$D$7,"Other Services"))),"Other Services"))</f>
        <v/>
      </c>
    </row>
    <row r="687" customFormat="false" ht="15" hidden="false" customHeight="false" outlineLevel="0" collapsed="false">
      <c r="E687" s="41" t="str">
        <f aca="false">IF(D687="","",IFERROR(VLOOKUP(D687,Assumptions!$G$5:$H$16,2,0),"Other"))</f>
        <v/>
      </c>
      <c r="J687" s="41" t="str">
        <f aca="false">IF(G687="","",IFERROR(IF(ISNUMBER(SEARCH(Assumptions!$C$5,G687)),Assumptions!$D$5,IF(ISNUMBER(SEARCH(Assumptions!$C$6,G687)),Assumptions!$D$6,IF(ISNUMBER(SEARCH(Assumptions!$C$7,G687)),Assumptions!$D$7,"Other Services"))),"Other Services"))</f>
        <v/>
      </c>
    </row>
    <row r="688" customFormat="false" ht="15" hidden="false" customHeight="false" outlineLevel="0" collapsed="false">
      <c r="E688" s="41" t="str">
        <f aca="false">IF(D688="","",IFERROR(VLOOKUP(D688,Assumptions!$G$5:$H$16,2,0),"Other"))</f>
        <v/>
      </c>
      <c r="J688" s="41" t="str">
        <f aca="false">IF(G688="","",IFERROR(IF(ISNUMBER(SEARCH(Assumptions!$C$5,G688)),Assumptions!$D$5,IF(ISNUMBER(SEARCH(Assumptions!$C$6,G688)),Assumptions!$D$6,IF(ISNUMBER(SEARCH(Assumptions!$C$7,G688)),Assumptions!$D$7,"Other Services"))),"Other Services"))</f>
        <v/>
      </c>
    </row>
    <row r="689" customFormat="false" ht="15" hidden="false" customHeight="false" outlineLevel="0" collapsed="false">
      <c r="E689" s="41" t="str">
        <f aca="false">IF(D689="","",IFERROR(VLOOKUP(D689,Assumptions!$G$5:$H$16,2,0),"Other"))</f>
        <v/>
      </c>
      <c r="J689" s="41" t="str">
        <f aca="false">IF(G689="","",IFERROR(IF(ISNUMBER(SEARCH(Assumptions!$C$5,G689)),Assumptions!$D$5,IF(ISNUMBER(SEARCH(Assumptions!$C$6,G689)),Assumptions!$D$6,IF(ISNUMBER(SEARCH(Assumptions!$C$7,G689)),Assumptions!$D$7,"Other Services"))),"Other Services"))</f>
        <v/>
      </c>
    </row>
    <row r="690" customFormat="false" ht="15" hidden="false" customHeight="false" outlineLevel="0" collapsed="false">
      <c r="E690" s="41" t="str">
        <f aca="false">IF(D690="","",IFERROR(VLOOKUP(D690,Assumptions!$G$5:$H$16,2,0),"Other"))</f>
        <v/>
      </c>
      <c r="J690" s="41" t="str">
        <f aca="false">IF(G690="","",IFERROR(IF(ISNUMBER(SEARCH(Assumptions!$C$5,G690)),Assumptions!$D$5,IF(ISNUMBER(SEARCH(Assumptions!$C$6,G690)),Assumptions!$D$6,IF(ISNUMBER(SEARCH(Assumptions!$C$7,G690)),Assumptions!$D$7,"Other Services"))),"Other Services"))</f>
        <v/>
      </c>
    </row>
    <row r="691" customFormat="false" ht="15" hidden="false" customHeight="false" outlineLevel="0" collapsed="false">
      <c r="E691" s="41" t="str">
        <f aca="false">IF(D691="","",IFERROR(VLOOKUP(D691,Assumptions!$G$5:$H$16,2,0),"Other"))</f>
        <v/>
      </c>
      <c r="J691" s="41" t="str">
        <f aca="false">IF(G691="","",IFERROR(IF(ISNUMBER(SEARCH(Assumptions!$C$5,G691)),Assumptions!$D$5,IF(ISNUMBER(SEARCH(Assumptions!$C$6,G691)),Assumptions!$D$6,IF(ISNUMBER(SEARCH(Assumptions!$C$7,G691)),Assumptions!$D$7,"Other Services"))),"Other Services"))</f>
        <v/>
      </c>
    </row>
    <row r="692" customFormat="false" ht="15" hidden="false" customHeight="false" outlineLevel="0" collapsed="false">
      <c r="E692" s="41" t="str">
        <f aca="false">IF(D692="","",IFERROR(VLOOKUP(D692,Assumptions!$G$5:$H$16,2,0),"Other"))</f>
        <v/>
      </c>
      <c r="J692" s="41" t="str">
        <f aca="false">IF(G692="","",IFERROR(IF(ISNUMBER(SEARCH(Assumptions!$C$5,G692)),Assumptions!$D$5,IF(ISNUMBER(SEARCH(Assumptions!$C$6,G692)),Assumptions!$D$6,IF(ISNUMBER(SEARCH(Assumptions!$C$7,G692)),Assumptions!$D$7,"Other Services"))),"Other Services"))</f>
        <v/>
      </c>
    </row>
    <row r="693" customFormat="false" ht="15" hidden="false" customHeight="false" outlineLevel="0" collapsed="false">
      <c r="E693" s="41" t="str">
        <f aca="false">IF(D693="","",IFERROR(VLOOKUP(D693,Assumptions!$G$5:$H$16,2,0),"Other"))</f>
        <v/>
      </c>
      <c r="J693" s="41" t="str">
        <f aca="false">IF(G693="","",IFERROR(IF(ISNUMBER(SEARCH(Assumptions!$C$5,G693)),Assumptions!$D$5,IF(ISNUMBER(SEARCH(Assumptions!$C$6,G693)),Assumptions!$D$6,IF(ISNUMBER(SEARCH(Assumptions!$C$7,G693)),Assumptions!$D$7,"Other Services"))),"Other Services"))</f>
        <v/>
      </c>
    </row>
    <row r="694" customFormat="false" ht="15" hidden="false" customHeight="false" outlineLevel="0" collapsed="false">
      <c r="E694" s="41" t="str">
        <f aca="false">IF(D694="","",IFERROR(VLOOKUP(D694,Assumptions!$G$5:$H$16,2,0),"Other"))</f>
        <v/>
      </c>
      <c r="J694" s="41" t="str">
        <f aca="false">IF(G694="","",IFERROR(IF(ISNUMBER(SEARCH(Assumptions!$C$5,G694)),Assumptions!$D$5,IF(ISNUMBER(SEARCH(Assumptions!$C$6,G694)),Assumptions!$D$6,IF(ISNUMBER(SEARCH(Assumptions!$C$7,G694)),Assumptions!$D$7,"Other Services"))),"Other Services"))</f>
        <v/>
      </c>
    </row>
    <row r="695" customFormat="false" ht="15" hidden="false" customHeight="false" outlineLevel="0" collapsed="false">
      <c r="E695" s="41" t="str">
        <f aca="false">IF(D695="","",IFERROR(VLOOKUP(D695,Assumptions!$G$5:$H$16,2,0),"Other"))</f>
        <v/>
      </c>
      <c r="J695" s="41" t="str">
        <f aca="false">IF(G695="","",IFERROR(IF(ISNUMBER(SEARCH(Assumptions!$C$5,G695)),Assumptions!$D$5,IF(ISNUMBER(SEARCH(Assumptions!$C$6,G695)),Assumptions!$D$6,IF(ISNUMBER(SEARCH(Assumptions!$C$7,G695)),Assumptions!$D$7,"Other Services"))),"Other Services"))</f>
        <v/>
      </c>
    </row>
    <row r="696" customFormat="false" ht="15" hidden="false" customHeight="false" outlineLevel="0" collapsed="false">
      <c r="E696" s="41" t="str">
        <f aca="false">IF(D696="","",IFERROR(VLOOKUP(D696,Assumptions!$G$5:$H$16,2,0),"Other"))</f>
        <v/>
      </c>
      <c r="J696" s="41" t="str">
        <f aca="false">IF(G696="","",IFERROR(IF(ISNUMBER(SEARCH(Assumptions!$C$5,G696)),Assumptions!$D$5,IF(ISNUMBER(SEARCH(Assumptions!$C$6,G696)),Assumptions!$D$6,IF(ISNUMBER(SEARCH(Assumptions!$C$7,G696)),Assumptions!$D$7,"Other Services"))),"Other Services"))</f>
        <v/>
      </c>
    </row>
    <row r="697" customFormat="false" ht="15" hidden="false" customHeight="false" outlineLevel="0" collapsed="false">
      <c r="E697" s="41" t="str">
        <f aca="false">IF(D697="","",IFERROR(VLOOKUP(D697,Assumptions!$G$5:$H$16,2,0),"Other"))</f>
        <v/>
      </c>
      <c r="J697" s="41" t="str">
        <f aca="false">IF(G697="","",IFERROR(IF(ISNUMBER(SEARCH(Assumptions!$C$5,G697)),Assumptions!$D$5,IF(ISNUMBER(SEARCH(Assumptions!$C$6,G697)),Assumptions!$D$6,IF(ISNUMBER(SEARCH(Assumptions!$C$7,G697)),Assumptions!$D$7,"Other Services"))),"Other Services"))</f>
        <v/>
      </c>
    </row>
    <row r="698" customFormat="false" ht="15" hidden="false" customHeight="false" outlineLevel="0" collapsed="false">
      <c r="E698" s="41" t="str">
        <f aca="false">IF(D698="","",IFERROR(VLOOKUP(D698,Assumptions!$G$5:$H$16,2,0),"Other"))</f>
        <v/>
      </c>
      <c r="J698" s="41" t="str">
        <f aca="false">IF(G698="","",IFERROR(IF(ISNUMBER(SEARCH(Assumptions!$C$5,G698)),Assumptions!$D$5,IF(ISNUMBER(SEARCH(Assumptions!$C$6,G698)),Assumptions!$D$6,IF(ISNUMBER(SEARCH(Assumptions!$C$7,G698)),Assumptions!$D$7,"Other Services"))),"Other Services"))</f>
        <v/>
      </c>
    </row>
    <row r="699" customFormat="false" ht="15" hidden="false" customHeight="false" outlineLevel="0" collapsed="false">
      <c r="E699" s="41" t="str">
        <f aca="false">IF(D699="","",IFERROR(VLOOKUP(D699,Assumptions!$G$5:$H$16,2,0),"Other"))</f>
        <v/>
      </c>
      <c r="J699" s="41" t="str">
        <f aca="false">IF(G699="","",IFERROR(IF(ISNUMBER(SEARCH(Assumptions!$C$5,G699)),Assumptions!$D$5,IF(ISNUMBER(SEARCH(Assumptions!$C$6,G699)),Assumptions!$D$6,IF(ISNUMBER(SEARCH(Assumptions!$C$7,G699)),Assumptions!$D$7,"Other Services"))),"Other Services"))</f>
        <v/>
      </c>
    </row>
    <row r="700" customFormat="false" ht="15" hidden="false" customHeight="false" outlineLevel="0" collapsed="false">
      <c r="E700" s="41" t="str">
        <f aca="false">IF(D700="","",IFERROR(VLOOKUP(D700,Assumptions!$G$5:$H$16,2,0),"Other"))</f>
        <v/>
      </c>
      <c r="J700" s="41" t="str">
        <f aca="false">IF(G700="","",IFERROR(IF(ISNUMBER(SEARCH(Assumptions!$C$5,G700)),Assumptions!$D$5,IF(ISNUMBER(SEARCH(Assumptions!$C$6,G700)),Assumptions!$D$6,IF(ISNUMBER(SEARCH(Assumptions!$C$7,G700)),Assumptions!$D$7,"Other Services"))),"Other Services"))</f>
        <v/>
      </c>
    </row>
    <row r="701" customFormat="false" ht="15" hidden="false" customHeight="false" outlineLevel="0" collapsed="false">
      <c r="E701" s="41" t="str">
        <f aca="false">IF(D701="","",IFERROR(VLOOKUP(D701,Assumptions!$G$5:$H$16,2,0),"Other"))</f>
        <v/>
      </c>
      <c r="J701" s="41" t="str">
        <f aca="false">IF(G701="","",IFERROR(IF(ISNUMBER(SEARCH(Assumptions!$C$5,G701)),Assumptions!$D$5,IF(ISNUMBER(SEARCH(Assumptions!$C$6,G701)),Assumptions!$D$6,IF(ISNUMBER(SEARCH(Assumptions!$C$7,G701)),Assumptions!$D$7,"Other Services"))),"Other Services"))</f>
        <v/>
      </c>
    </row>
    <row r="702" customFormat="false" ht="15" hidden="false" customHeight="false" outlineLevel="0" collapsed="false">
      <c r="E702" s="41" t="str">
        <f aca="false">IF(D702="","",IFERROR(VLOOKUP(D702,Assumptions!$G$5:$H$16,2,0),"Other"))</f>
        <v/>
      </c>
      <c r="J702" s="41" t="str">
        <f aca="false">IF(G702="","",IFERROR(IF(ISNUMBER(SEARCH(Assumptions!$C$5,G702)),Assumptions!$D$5,IF(ISNUMBER(SEARCH(Assumptions!$C$6,G702)),Assumptions!$D$6,IF(ISNUMBER(SEARCH(Assumptions!$C$7,G702)),Assumptions!$D$7,"Other Services"))),"Other Services"))</f>
        <v/>
      </c>
    </row>
    <row r="703" customFormat="false" ht="15" hidden="false" customHeight="false" outlineLevel="0" collapsed="false">
      <c r="E703" s="41" t="str">
        <f aca="false">IF(D703="","",IFERROR(VLOOKUP(D703,Assumptions!$G$5:$H$16,2,0),"Other"))</f>
        <v/>
      </c>
      <c r="J703" s="41" t="str">
        <f aca="false">IF(G703="","",IFERROR(IF(ISNUMBER(SEARCH(Assumptions!$C$5,G703)),Assumptions!$D$5,IF(ISNUMBER(SEARCH(Assumptions!$C$6,G703)),Assumptions!$D$6,IF(ISNUMBER(SEARCH(Assumptions!$C$7,G703)),Assumptions!$D$7,"Other Services"))),"Other Services"))</f>
        <v/>
      </c>
    </row>
    <row r="704" customFormat="false" ht="15" hidden="false" customHeight="false" outlineLevel="0" collapsed="false">
      <c r="E704" s="41" t="str">
        <f aca="false">IF(D704="","",IFERROR(VLOOKUP(D704,Assumptions!$G$5:$H$16,2,0),"Other"))</f>
        <v/>
      </c>
      <c r="J704" s="41" t="str">
        <f aca="false">IF(G704="","",IFERROR(IF(ISNUMBER(SEARCH(Assumptions!$C$5,G704)),Assumptions!$D$5,IF(ISNUMBER(SEARCH(Assumptions!$C$6,G704)),Assumptions!$D$6,IF(ISNUMBER(SEARCH(Assumptions!$C$7,G704)),Assumptions!$D$7,"Other Services"))),"Other Services"))</f>
        <v/>
      </c>
    </row>
    <row r="705" customFormat="false" ht="15" hidden="false" customHeight="false" outlineLevel="0" collapsed="false">
      <c r="E705" s="41" t="str">
        <f aca="false">IF(D705="","",IFERROR(VLOOKUP(D705,Assumptions!$G$5:$H$16,2,0),"Other"))</f>
        <v/>
      </c>
      <c r="J705" s="41" t="str">
        <f aca="false">IF(G705="","",IFERROR(IF(ISNUMBER(SEARCH(Assumptions!$C$5,G705)),Assumptions!$D$5,IF(ISNUMBER(SEARCH(Assumptions!$C$6,G705)),Assumptions!$D$6,IF(ISNUMBER(SEARCH(Assumptions!$C$7,G705)),Assumptions!$D$7,"Other Services"))),"Other Services"))</f>
        <v/>
      </c>
    </row>
    <row r="706" customFormat="false" ht="15" hidden="false" customHeight="false" outlineLevel="0" collapsed="false">
      <c r="E706" s="41" t="str">
        <f aca="false">IF(D706="","",IFERROR(VLOOKUP(D706,Assumptions!$G$5:$H$16,2,0),"Other"))</f>
        <v/>
      </c>
      <c r="J706" s="41" t="str">
        <f aca="false">IF(G706="","",IFERROR(IF(ISNUMBER(SEARCH(Assumptions!$C$5,G706)),Assumptions!$D$5,IF(ISNUMBER(SEARCH(Assumptions!$C$6,G706)),Assumptions!$D$6,IF(ISNUMBER(SEARCH(Assumptions!$C$7,G706)),Assumptions!$D$7,"Other Services"))),"Other Services"))</f>
        <v/>
      </c>
    </row>
    <row r="707" customFormat="false" ht="15" hidden="false" customHeight="false" outlineLevel="0" collapsed="false">
      <c r="E707" s="41" t="str">
        <f aca="false">IF(D707="","",IFERROR(VLOOKUP(D707,Assumptions!$G$5:$H$16,2,0),"Other"))</f>
        <v/>
      </c>
      <c r="J707" s="41" t="str">
        <f aca="false">IF(G707="","",IFERROR(IF(ISNUMBER(SEARCH(Assumptions!$C$5,G707)),Assumptions!$D$5,IF(ISNUMBER(SEARCH(Assumptions!$C$6,G707)),Assumptions!$D$6,IF(ISNUMBER(SEARCH(Assumptions!$C$7,G707)),Assumptions!$D$7,"Other Services"))),"Other Services"))</f>
        <v/>
      </c>
    </row>
    <row r="708" customFormat="false" ht="15" hidden="false" customHeight="false" outlineLevel="0" collapsed="false">
      <c r="E708" s="41" t="str">
        <f aca="false">IF(D708="","",IFERROR(VLOOKUP(D708,Assumptions!$G$5:$H$16,2,0),"Other"))</f>
        <v/>
      </c>
      <c r="J708" s="41" t="str">
        <f aca="false">IF(G708="","",IFERROR(IF(ISNUMBER(SEARCH(Assumptions!$C$5,G708)),Assumptions!$D$5,IF(ISNUMBER(SEARCH(Assumptions!$C$6,G708)),Assumptions!$D$6,IF(ISNUMBER(SEARCH(Assumptions!$C$7,G708)),Assumptions!$D$7,"Other Services"))),"Other Services"))</f>
        <v/>
      </c>
    </row>
    <row r="709" customFormat="false" ht="15" hidden="false" customHeight="false" outlineLevel="0" collapsed="false">
      <c r="E709" s="41" t="str">
        <f aca="false">IF(D709="","",IFERROR(VLOOKUP(D709,Assumptions!$G$5:$H$16,2,0),"Other"))</f>
        <v/>
      </c>
      <c r="J709" s="41" t="str">
        <f aca="false">IF(G709="","",IFERROR(IF(ISNUMBER(SEARCH(Assumptions!$C$5,G709)),Assumptions!$D$5,IF(ISNUMBER(SEARCH(Assumptions!$C$6,G709)),Assumptions!$D$6,IF(ISNUMBER(SEARCH(Assumptions!$C$7,G709)),Assumptions!$D$7,"Other Services"))),"Other Services"))</f>
        <v/>
      </c>
    </row>
    <row r="710" customFormat="false" ht="15" hidden="false" customHeight="false" outlineLevel="0" collapsed="false">
      <c r="E710" s="41" t="str">
        <f aca="false">IF(D710="","",IFERROR(VLOOKUP(D710,Assumptions!$G$5:$H$16,2,0),"Other"))</f>
        <v/>
      </c>
      <c r="J710" s="41" t="str">
        <f aca="false">IF(G710="","",IFERROR(IF(ISNUMBER(SEARCH(Assumptions!$C$5,G710)),Assumptions!$D$5,IF(ISNUMBER(SEARCH(Assumptions!$C$6,G710)),Assumptions!$D$6,IF(ISNUMBER(SEARCH(Assumptions!$C$7,G710)),Assumptions!$D$7,"Other Services"))),"Other Services"))</f>
        <v/>
      </c>
    </row>
    <row r="711" customFormat="false" ht="15" hidden="false" customHeight="false" outlineLevel="0" collapsed="false">
      <c r="E711" s="41" t="str">
        <f aca="false">IF(D711="","",IFERROR(VLOOKUP(D711,Assumptions!$G$5:$H$16,2,0),"Other"))</f>
        <v/>
      </c>
      <c r="J711" s="41" t="str">
        <f aca="false">IF(G711="","",IFERROR(IF(ISNUMBER(SEARCH(Assumptions!$C$5,G711)),Assumptions!$D$5,IF(ISNUMBER(SEARCH(Assumptions!$C$6,G711)),Assumptions!$D$6,IF(ISNUMBER(SEARCH(Assumptions!$C$7,G711)),Assumptions!$D$7,"Other Services"))),"Other Services"))</f>
        <v/>
      </c>
    </row>
    <row r="712" customFormat="false" ht="15" hidden="false" customHeight="false" outlineLevel="0" collapsed="false">
      <c r="E712" s="41" t="str">
        <f aca="false">IF(D712="","",IFERROR(VLOOKUP(D712,Assumptions!$G$5:$H$16,2,0),"Other"))</f>
        <v/>
      </c>
      <c r="J712" s="41" t="str">
        <f aca="false">IF(G712="","",IFERROR(IF(ISNUMBER(SEARCH(Assumptions!$C$5,G712)),Assumptions!$D$5,IF(ISNUMBER(SEARCH(Assumptions!$C$6,G712)),Assumptions!$D$6,IF(ISNUMBER(SEARCH(Assumptions!$C$7,G712)),Assumptions!$D$7,"Other Services"))),"Other Services"))</f>
        <v/>
      </c>
    </row>
    <row r="713" customFormat="false" ht="15" hidden="false" customHeight="false" outlineLevel="0" collapsed="false">
      <c r="E713" s="41" t="str">
        <f aca="false">IF(D713="","",IFERROR(VLOOKUP(D713,Assumptions!$G$5:$H$16,2,0),"Other"))</f>
        <v/>
      </c>
      <c r="J713" s="41" t="str">
        <f aca="false">IF(G713="","",IFERROR(IF(ISNUMBER(SEARCH(Assumptions!$C$5,G713)),Assumptions!$D$5,IF(ISNUMBER(SEARCH(Assumptions!$C$6,G713)),Assumptions!$D$6,IF(ISNUMBER(SEARCH(Assumptions!$C$7,G713)),Assumptions!$D$7,"Other Services"))),"Other Services"))</f>
        <v/>
      </c>
    </row>
    <row r="714" customFormat="false" ht="15" hidden="false" customHeight="false" outlineLevel="0" collapsed="false">
      <c r="E714" s="41" t="str">
        <f aca="false">IF(D714="","",IFERROR(VLOOKUP(D714,Assumptions!$G$5:$H$16,2,0),"Other"))</f>
        <v/>
      </c>
      <c r="J714" s="41" t="str">
        <f aca="false">IF(G714="","",IFERROR(IF(ISNUMBER(SEARCH(Assumptions!$C$5,G714)),Assumptions!$D$5,IF(ISNUMBER(SEARCH(Assumptions!$C$6,G714)),Assumptions!$D$6,IF(ISNUMBER(SEARCH(Assumptions!$C$7,G714)),Assumptions!$D$7,"Other Services"))),"Other Services"))</f>
        <v/>
      </c>
    </row>
    <row r="715" customFormat="false" ht="15" hidden="false" customHeight="false" outlineLevel="0" collapsed="false">
      <c r="E715" s="41" t="str">
        <f aca="false">IF(D715="","",IFERROR(VLOOKUP(D715,Assumptions!$G$5:$H$16,2,0),"Other"))</f>
        <v/>
      </c>
      <c r="J715" s="41" t="str">
        <f aca="false">IF(G715="","",IFERROR(IF(ISNUMBER(SEARCH(Assumptions!$C$5,G715)),Assumptions!$D$5,IF(ISNUMBER(SEARCH(Assumptions!$C$6,G715)),Assumptions!$D$6,IF(ISNUMBER(SEARCH(Assumptions!$C$7,G715)),Assumptions!$D$7,"Other Services"))),"Other Services"))</f>
        <v/>
      </c>
    </row>
    <row r="716" customFormat="false" ht="15" hidden="false" customHeight="false" outlineLevel="0" collapsed="false">
      <c r="E716" s="41" t="str">
        <f aca="false">IF(D716="","",IFERROR(VLOOKUP(D716,Assumptions!$G$5:$H$16,2,0),"Other"))</f>
        <v/>
      </c>
      <c r="J716" s="41" t="str">
        <f aca="false">IF(G716="","",IFERROR(IF(ISNUMBER(SEARCH(Assumptions!$C$5,G716)),Assumptions!$D$5,IF(ISNUMBER(SEARCH(Assumptions!$C$6,G716)),Assumptions!$D$6,IF(ISNUMBER(SEARCH(Assumptions!$C$7,G716)),Assumptions!$D$7,"Other Services"))),"Other Services"))</f>
        <v/>
      </c>
    </row>
    <row r="717" customFormat="false" ht="15" hidden="false" customHeight="false" outlineLevel="0" collapsed="false">
      <c r="E717" s="41" t="str">
        <f aca="false">IF(D717="","",IFERROR(VLOOKUP(D717,Assumptions!$G$5:$H$16,2,0),"Other"))</f>
        <v/>
      </c>
      <c r="J717" s="41" t="str">
        <f aca="false">IF(G717="","",IFERROR(IF(ISNUMBER(SEARCH(Assumptions!$C$5,G717)),Assumptions!$D$5,IF(ISNUMBER(SEARCH(Assumptions!$C$6,G717)),Assumptions!$D$6,IF(ISNUMBER(SEARCH(Assumptions!$C$7,G717)),Assumptions!$D$7,"Other Services"))),"Other Services"))</f>
        <v/>
      </c>
    </row>
    <row r="718" customFormat="false" ht="15" hidden="false" customHeight="false" outlineLevel="0" collapsed="false">
      <c r="E718" s="41" t="str">
        <f aca="false">IF(D718="","",IFERROR(VLOOKUP(D718,Assumptions!$G$5:$H$16,2,0),"Other"))</f>
        <v/>
      </c>
      <c r="J718" s="41" t="str">
        <f aca="false">IF(G718="","",IFERROR(IF(ISNUMBER(SEARCH(Assumptions!$C$5,G718)),Assumptions!$D$5,IF(ISNUMBER(SEARCH(Assumptions!$C$6,G718)),Assumptions!$D$6,IF(ISNUMBER(SEARCH(Assumptions!$C$7,G718)),Assumptions!$D$7,"Other Services"))),"Other Services"))</f>
        <v/>
      </c>
    </row>
    <row r="719" customFormat="false" ht="15" hidden="false" customHeight="false" outlineLevel="0" collapsed="false">
      <c r="E719" s="41" t="str">
        <f aca="false">IF(D719="","",IFERROR(VLOOKUP(D719,Assumptions!$G$5:$H$16,2,0),"Other"))</f>
        <v/>
      </c>
      <c r="J719" s="41" t="str">
        <f aca="false">IF(G719="","",IFERROR(IF(ISNUMBER(SEARCH(Assumptions!$C$5,G719)),Assumptions!$D$5,IF(ISNUMBER(SEARCH(Assumptions!$C$6,G719)),Assumptions!$D$6,IF(ISNUMBER(SEARCH(Assumptions!$C$7,G719)),Assumptions!$D$7,"Other Services"))),"Other Services"))</f>
        <v/>
      </c>
    </row>
    <row r="720" customFormat="false" ht="15" hidden="false" customHeight="false" outlineLevel="0" collapsed="false">
      <c r="E720" s="41" t="str">
        <f aca="false">IF(D720="","",IFERROR(VLOOKUP(D720,Assumptions!$G$5:$H$16,2,0),"Other"))</f>
        <v/>
      </c>
      <c r="J720" s="41" t="str">
        <f aca="false">IF(G720="","",IFERROR(IF(ISNUMBER(SEARCH(Assumptions!$C$5,G720)),Assumptions!$D$5,IF(ISNUMBER(SEARCH(Assumptions!$C$6,G720)),Assumptions!$D$6,IF(ISNUMBER(SEARCH(Assumptions!$C$7,G720)),Assumptions!$D$7,"Other Services"))),"Other Services"))</f>
        <v/>
      </c>
    </row>
    <row r="721" customFormat="false" ht="15" hidden="false" customHeight="false" outlineLevel="0" collapsed="false">
      <c r="E721" s="41" t="str">
        <f aca="false">IF(D721="","",IFERROR(VLOOKUP(D721,Assumptions!$G$5:$H$16,2,0),"Other"))</f>
        <v/>
      </c>
      <c r="J721" s="41" t="str">
        <f aca="false">IF(G721="","",IFERROR(IF(ISNUMBER(SEARCH(Assumptions!$C$5,G721)),Assumptions!$D$5,IF(ISNUMBER(SEARCH(Assumptions!$C$6,G721)),Assumptions!$D$6,IF(ISNUMBER(SEARCH(Assumptions!$C$7,G721)),Assumptions!$D$7,"Other Services"))),"Other Services"))</f>
        <v/>
      </c>
    </row>
    <row r="722" customFormat="false" ht="15" hidden="false" customHeight="false" outlineLevel="0" collapsed="false">
      <c r="E722" s="41" t="str">
        <f aca="false">IF(D722="","",IFERROR(VLOOKUP(D722,Assumptions!$G$5:$H$16,2,0),"Other"))</f>
        <v/>
      </c>
      <c r="J722" s="41" t="str">
        <f aca="false">IF(G722="","",IFERROR(IF(ISNUMBER(SEARCH(Assumptions!$C$5,G722)),Assumptions!$D$5,IF(ISNUMBER(SEARCH(Assumptions!$C$6,G722)),Assumptions!$D$6,IF(ISNUMBER(SEARCH(Assumptions!$C$7,G722)),Assumptions!$D$7,"Other Services"))),"Other Services"))</f>
        <v/>
      </c>
    </row>
    <row r="723" customFormat="false" ht="15" hidden="false" customHeight="false" outlineLevel="0" collapsed="false">
      <c r="E723" s="41" t="str">
        <f aca="false">IF(D723="","",IFERROR(VLOOKUP(D723,Assumptions!$G$5:$H$16,2,0),"Other"))</f>
        <v/>
      </c>
      <c r="J723" s="41" t="str">
        <f aca="false">IF(G723="","",IFERROR(IF(ISNUMBER(SEARCH(Assumptions!$C$5,G723)),Assumptions!$D$5,IF(ISNUMBER(SEARCH(Assumptions!$C$6,G723)),Assumptions!$D$6,IF(ISNUMBER(SEARCH(Assumptions!$C$7,G723)),Assumptions!$D$7,"Other Services"))),"Other Services"))</f>
        <v/>
      </c>
    </row>
    <row r="724" customFormat="false" ht="15" hidden="false" customHeight="false" outlineLevel="0" collapsed="false">
      <c r="E724" s="41" t="str">
        <f aca="false">IF(D724="","",IFERROR(VLOOKUP(D724,Assumptions!$G$5:$H$16,2,0),"Other"))</f>
        <v/>
      </c>
      <c r="J724" s="41" t="str">
        <f aca="false">IF(G724="","",IFERROR(IF(ISNUMBER(SEARCH(Assumptions!$C$5,G724)),Assumptions!$D$5,IF(ISNUMBER(SEARCH(Assumptions!$C$6,G724)),Assumptions!$D$6,IF(ISNUMBER(SEARCH(Assumptions!$C$7,G724)),Assumptions!$D$7,"Other Services"))),"Other Services"))</f>
        <v/>
      </c>
    </row>
    <row r="725" customFormat="false" ht="15" hidden="false" customHeight="false" outlineLevel="0" collapsed="false">
      <c r="E725" s="41" t="str">
        <f aca="false">IF(D725="","",IFERROR(VLOOKUP(D725,Assumptions!$G$5:$H$16,2,0),"Other"))</f>
        <v/>
      </c>
      <c r="J725" s="41" t="str">
        <f aca="false">IF(G725="","",IFERROR(IF(ISNUMBER(SEARCH(Assumptions!$C$5,G725)),Assumptions!$D$5,IF(ISNUMBER(SEARCH(Assumptions!$C$6,G725)),Assumptions!$D$6,IF(ISNUMBER(SEARCH(Assumptions!$C$7,G725)),Assumptions!$D$7,"Other Services"))),"Other Services"))</f>
        <v/>
      </c>
    </row>
    <row r="726" customFormat="false" ht="15" hidden="false" customHeight="false" outlineLevel="0" collapsed="false">
      <c r="E726" s="41" t="str">
        <f aca="false">IF(D726="","",IFERROR(VLOOKUP(D726,Assumptions!$G$5:$H$16,2,0),"Other"))</f>
        <v/>
      </c>
      <c r="J726" s="41" t="str">
        <f aca="false">IF(G726="","",IFERROR(IF(ISNUMBER(SEARCH(Assumptions!$C$5,G726)),Assumptions!$D$5,IF(ISNUMBER(SEARCH(Assumptions!$C$6,G726)),Assumptions!$D$6,IF(ISNUMBER(SEARCH(Assumptions!$C$7,G726)),Assumptions!$D$7,"Other Services"))),"Other Services"))</f>
        <v/>
      </c>
    </row>
    <row r="727" customFormat="false" ht="15" hidden="false" customHeight="false" outlineLevel="0" collapsed="false">
      <c r="E727" s="41" t="str">
        <f aca="false">IF(D727="","",IFERROR(VLOOKUP(D727,Assumptions!$G$5:$H$16,2,0),"Other"))</f>
        <v/>
      </c>
      <c r="J727" s="41" t="str">
        <f aca="false">IF(G727="","",IFERROR(IF(ISNUMBER(SEARCH(Assumptions!$C$5,G727)),Assumptions!$D$5,IF(ISNUMBER(SEARCH(Assumptions!$C$6,G727)),Assumptions!$D$6,IF(ISNUMBER(SEARCH(Assumptions!$C$7,G727)),Assumptions!$D$7,"Other Services"))),"Other Services"))</f>
        <v/>
      </c>
    </row>
    <row r="728" customFormat="false" ht="15" hidden="false" customHeight="false" outlineLevel="0" collapsed="false">
      <c r="E728" s="41" t="str">
        <f aca="false">IF(D728="","",IFERROR(VLOOKUP(D728,Assumptions!$G$5:$H$16,2,0),"Other"))</f>
        <v/>
      </c>
      <c r="J728" s="41" t="str">
        <f aca="false">IF(G728="","",IFERROR(IF(ISNUMBER(SEARCH(Assumptions!$C$5,G728)),Assumptions!$D$5,IF(ISNUMBER(SEARCH(Assumptions!$C$6,G728)),Assumptions!$D$6,IF(ISNUMBER(SEARCH(Assumptions!$C$7,G728)),Assumptions!$D$7,"Other Services"))),"Other Services"))</f>
        <v/>
      </c>
    </row>
    <row r="729" customFormat="false" ht="15" hidden="false" customHeight="false" outlineLevel="0" collapsed="false">
      <c r="E729" s="41" t="str">
        <f aca="false">IF(D729="","",IFERROR(VLOOKUP(D729,Assumptions!$G$5:$H$16,2,0),"Other"))</f>
        <v/>
      </c>
      <c r="J729" s="41" t="str">
        <f aca="false">IF(G729="","",IFERROR(IF(ISNUMBER(SEARCH(Assumptions!$C$5,G729)),Assumptions!$D$5,IF(ISNUMBER(SEARCH(Assumptions!$C$6,G729)),Assumptions!$D$6,IF(ISNUMBER(SEARCH(Assumptions!$C$7,G729)),Assumptions!$D$7,"Other Services"))),"Other Services"))</f>
        <v/>
      </c>
    </row>
    <row r="730" customFormat="false" ht="15" hidden="false" customHeight="false" outlineLevel="0" collapsed="false">
      <c r="E730" s="41" t="str">
        <f aca="false">IF(D730="","",IFERROR(VLOOKUP(D730,Assumptions!$G$5:$H$16,2,0),"Other"))</f>
        <v/>
      </c>
      <c r="J730" s="41" t="str">
        <f aca="false">IF(G730="","",IFERROR(IF(ISNUMBER(SEARCH(Assumptions!$C$5,G730)),Assumptions!$D$5,IF(ISNUMBER(SEARCH(Assumptions!$C$6,G730)),Assumptions!$D$6,IF(ISNUMBER(SEARCH(Assumptions!$C$7,G730)),Assumptions!$D$7,"Other Services"))),"Other Services"))</f>
        <v/>
      </c>
    </row>
    <row r="731" customFormat="false" ht="15" hidden="false" customHeight="false" outlineLevel="0" collapsed="false">
      <c r="E731" s="41" t="str">
        <f aca="false">IF(D731="","",IFERROR(VLOOKUP(D731,Assumptions!$G$5:$H$16,2,0),"Other"))</f>
        <v/>
      </c>
      <c r="J731" s="41" t="str">
        <f aca="false">IF(G731="","",IFERROR(IF(ISNUMBER(SEARCH(Assumptions!$C$5,G731)),Assumptions!$D$5,IF(ISNUMBER(SEARCH(Assumptions!$C$6,G731)),Assumptions!$D$6,IF(ISNUMBER(SEARCH(Assumptions!$C$7,G731)),Assumptions!$D$7,"Other Services"))),"Other Services"))</f>
        <v/>
      </c>
    </row>
    <row r="732" customFormat="false" ht="15" hidden="false" customHeight="false" outlineLevel="0" collapsed="false">
      <c r="E732" s="41" t="str">
        <f aca="false">IF(D732="","",IFERROR(VLOOKUP(D732,Assumptions!$G$5:$H$16,2,0),"Other"))</f>
        <v/>
      </c>
      <c r="J732" s="41" t="str">
        <f aca="false">IF(G732="","",IFERROR(IF(ISNUMBER(SEARCH(Assumptions!$C$5,G732)),Assumptions!$D$5,IF(ISNUMBER(SEARCH(Assumptions!$C$6,G732)),Assumptions!$D$6,IF(ISNUMBER(SEARCH(Assumptions!$C$7,G732)),Assumptions!$D$7,"Other Services"))),"Other Services"))</f>
        <v/>
      </c>
    </row>
    <row r="733" customFormat="false" ht="15" hidden="false" customHeight="false" outlineLevel="0" collapsed="false">
      <c r="E733" s="41" t="str">
        <f aca="false">IF(D733="","",IFERROR(VLOOKUP(D733,Assumptions!$G$5:$H$16,2,0),"Other"))</f>
        <v/>
      </c>
      <c r="J733" s="41" t="str">
        <f aca="false">IF(G733="","",IFERROR(IF(ISNUMBER(SEARCH(Assumptions!$C$5,G733)),Assumptions!$D$5,IF(ISNUMBER(SEARCH(Assumptions!$C$6,G733)),Assumptions!$D$6,IF(ISNUMBER(SEARCH(Assumptions!$C$7,G733)),Assumptions!$D$7,"Other Services"))),"Other Services"))</f>
        <v/>
      </c>
    </row>
    <row r="734" customFormat="false" ht="15" hidden="false" customHeight="false" outlineLevel="0" collapsed="false">
      <c r="E734" s="41" t="str">
        <f aca="false">IF(D734="","",IFERROR(VLOOKUP(D734,Assumptions!$G$5:$H$16,2,0),"Other"))</f>
        <v/>
      </c>
      <c r="J734" s="41" t="str">
        <f aca="false">IF(G734="","",IFERROR(IF(ISNUMBER(SEARCH(Assumptions!$C$5,G734)),Assumptions!$D$5,IF(ISNUMBER(SEARCH(Assumptions!$C$6,G734)),Assumptions!$D$6,IF(ISNUMBER(SEARCH(Assumptions!$C$7,G734)),Assumptions!$D$7,"Other Services"))),"Other Services"))</f>
        <v/>
      </c>
    </row>
    <row r="735" customFormat="false" ht="15" hidden="false" customHeight="false" outlineLevel="0" collapsed="false">
      <c r="E735" s="41" t="str">
        <f aca="false">IF(D735="","",IFERROR(VLOOKUP(D735,Assumptions!$G$5:$H$16,2,0),"Other"))</f>
        <v/>
      </c>
      <c r="J735" s="41" t="str">
        <f aca="false">IF(G735="","",IFERROR(IF(ISNUMBER(SEARCH(Assumptions!$C$5,G735)),Assumptions!$D$5,IF(ISNUMBER(SEARCH(Assumptions!$C$6,G735)),Assumptions!$D$6,IF(ISNUMBER(SEARCH(Assumptions!$C$7,G735)),Assumptions!$D$7,"Other Services"))),"Other Services"))</f>
        <v/>
      </c>
    </row>
    <row r="736" customFormat="false" ht="15" hidden="false" customHeight="false" outlineLevel="0" collapsed="false">
      <c r="E736" s="41" t="str">
        <f aca="false">IF(D736="","",IFERROR(VLOOKUP(D736,Assumptions!$G$5:$H$16,2,0),"Other"))</f>
        <v/>
      </c>
      <c r="J736" s="41" t="str">
        <f aca="false">IF(G736="","",IFERROR(IF(ISNUMBER(SEARCH(Assumptions!$C$5,G736)),Assumptions!$D$5,IF(ISNUMBER(SEARCH(Assumptions!$C$6,G736)),Assumptions!$D$6,IF(ISNUMBER(SEARCH(Assumptions!$C$7,G736)),Assumptions!$D$7,"Other Services"))),"Other Services"))</f>
        <v/>
      </c>
    </row>
    <row r="737" customFormat="false" ht="15" hidden="false" customHeight="false" outlineLevel="0" collapsed="false">
      <c r="E737" s="41" t="str">
        <f aca="false">IF(D737="","",IFERROR(VLOOKUP(D737,Assumptions!$G$5:$H$16,2,0),"Other"))</f>
        <v/>
      </c>
      <c r="J737" s="41" t="str">
        <f aca="false">IF(G737="","",IFERROR(IF(ISNUMBER(SEARCH(Assumptions!$C$5,G737)),Assumptions!$D$5,IF(ISNUMBER(SEARCH(Assumptions!$C$6,G737)),Assumptions!$D$6,IF(ISNUMBER(SEARCH(Assumptions!$C$7,G737)),Assumptions!$D$7,"Other Services"))),"Other Services"))</f>
        <v/>
      </c>
    </row>
    <row r="738" customFormat="false" ht="15" hidden="false" customHeight="false" outlineLevel="0" collapsed="false">
      <c r="E738" s="41" t="str">
        <f aca="false">IF(D738="","",IFERROR(VLOOKUP(D738,Assumptions!$G$5:$H$16,2,0),"Other"))</f>
        <v/>
      </c>
      <c r="J738" s="41" t="str">
        <f aca="false">IF(G738="","",IFERROR(IF(ISNUMBER(SEARCH(Assumptions!$C$5,G738)),Assumptions!$D$5,IF(ISNUMBER(SEARCH(Assumptions!$C$6,G738)),Assumptions!$D$6,IF(ISNUMBER(SEARCH(Assumptions!$C$7,G738)),Assumptions!$D$7,"Other Services"))),"Other Services"))</f>
        <v/>
      </c>
    </row>
    <row r="739" customFormat="false" ht="15" hidden="false" customHeight="false" outlineLevel="0" collapsed="false">
      <c r="E739" s="41" t="str">
        <f aca="false">IF(D739="","",IFERROR(VLOOKUP(D739,Assumptions!$G$5:$H$16,2,0),"Other"))</f>
        <v/>
      </c>
      <c r="J739" s="41" t="str">
        <f aca="false">IF(G739="","",IFERROR(IF(ISNUMBER(SEARCH(Assumptions!$C$5,G739)),Assumptions!$D$5,IF(ISNUMBER(SEARCH(Assumptions!$C$6,G739)),Assumptions!$D$6,IF(ISNUMBER(SEARCH(Assumptions!$C$7,G739)),Assumptions!$D$7,"Other Services"))),"Other Services"))</f>
        <v/>
      </c>
    </row>
    <row r="740" customFormat="false" ht="15" hidden="false" customHeight="false" outlineLevel="0" collapsed="false">
      <c r="E740" s="41" t="str">
        <f aca="false">IF(D740="","",IFERROR(VLOOKUP(D740,Assumptions!$G$5:$H$16,2,0),"Other"))</f>
        <v/>
      </c>
      <c r="J740" s="41" t="str">
        <f aca="false">IF(G740="","",IFERROR(IF(ISNUMBER(SEARCH(Assumptions!$C$5,G740)),Assumptions!$D$5,IF(ISNUMBER(SEARCH(Assumptions!$C$6,G740)),Assumptions!$D$6,IF(ISNUMBER(SEARCH(Assumptions!$C$7,G740)),Assumptions!$D$7,"Other Services"))),"Other Services"))</f>
        <v/>
      </c>
    </row>
    <row r="741" customFormat="false" ht="15" hidden="false" customHeight="false" outlineLevel="0" collapsed="false">
      <c r="E741" s="41" t="str">
        <f aca="false">IF(D741="","",IFERROR(VLOOKUP(D741,Assumptions!$G$5:$H$16,2,0),"Other"))</f>
        <v/>
      </c>
      <c r="J741" s="41" t="str">
        <f aca="false">IF(G741="","",IFERROR(IF(ISNUMBER(SEARCH(Assumptions!$C$5,G741)),Assumptions!$D$5,IF(ISNUMBER(SEARCH(Assumptions!$C$6,G741)),Assumptions!$D$6,IF(ISNUMBER(SEARCH(Assumptions!$C$7,G741)),Assumptions!$D$7,"Other Services"))),"Other Services"))</f>
        <v/>
      </c>
    </row>
    <row r="742" customFormat="false" ht="15" hidden="false" customHeight="false" outlineLevel="0" collapsed="false">
      <c r="E742" s="41" t="str">
        <f aca="false">IF(D742="","",IFERROR(VLOOKUP(D742,Assumptions!$G$5:$H$16,2,0),"Other"))</f>
        <v/>
      </c>
      <c r="J742" s="41" t="str">
        <f aca="false">IF(G742="","",IFERROR(IF(ISNUMBER(SEARCH(Assumptions!$C$5,G742)),Assumptions!$D$5,IF(ISNUMBER(SEARCH(Assumptions!$C$6,G742)),Assumptions!$D$6,IF(ISNUMBER(SEARCH(Assumptions!$C$7,G742)),Assumptions!$D$7,"Other Services"))),"Other Services"))</f>
        <v/>
      </c>
    </row>
    <row r="743" customFormat="false" ht="15" hidden="false" customHeight="false" outlineLevel="0" collapsed="false">
      <c r="E743" s="41" t="str">
        <f aca="false">IF(D743="","",IFERROR(VLOOKUP(D743,Assumptions!$G$5:$H$16,2,0),"Other"))</f>
        <v/>
      </c>
      <c r="J743" s="41" t="str">
        <f aca="false">IF(G743="","",IFERROR(IF(ISNUMBER(SEARCH(Assumptions!$C$5,G743)),Assumptions!$D$5,IF(ISNUMBER(SEARCH(Assumptions!$C$6,G743)),Assumptions!$D$6,IF(ISNUMBER(SEARCH(Assumptions!$C$7,G743)),Assumptions!$D$7,"Other Services"))),"Other Services"))</f>
        <v/>
      </c>
    </row>
    <row r="744" customFormat="false" ht="15" hidden="false" customHeight="false" outlineLevel="0" collapsed="false">
      <c r="E744" s="41" t="str">
        <f aca="false">IF(D744="","",IFERROR(VLOOKUP(D744,Assumptions!$G$5:$H$16,2,0),"Other"))</f>
        <v/>
      </c>
      <c r="J744" s="41" t="str">
        <f aca="false">IF(G744="","",IFERROR(IF(ISNUMBER(SEARCH(Assumptions!$C$5,G744)),Assumptions!$D$5,IF(ISNUMBER(SEARCH(Assumptions!$C$6,G744)),Assumptions!$D$6,IF(ISNUMBER(SEARCH(Assumptions!$C$7,G744)),Assumptions!$D$7,"Other Services"))),"Other Services"))</f>
        <v/>
      </c>
    </row>
    <row r="745" customFormat="false" ht="15" hidden="false" customHeight="false" outlineLevel="0" collapsed="false">
      <c r="E745" s="41" t="str">
        <f aca="false">IF(D745="","",IFERROR(VLOOKUP(D745,Assumptions!$G$5:$H$16,2,0),"Other"))</f>
        <v/>
      </c>
      <c r="J745" s="41" t="str">
        <f aca="false">IF(G745="","",IFERROR(IF(ISNUMBER(SEARCH(Assumptions!$C$5,G745)),Assumptions!$D$5,IF(ISNUMBER(SEARCH(Assumptions!$C$6,G745)),Assumptions!$D$6,IF(ISNUMBER(SEARCH(Assumptions!$C$7,G745)),Assumptions!$D$7,"Other Services"))),"Other Services"))</f>
        <v/>
      </c>
    </row>
    <row r="746" customFormat="false" ht="15" hidden="false" customHeight="false" outlineLevel="0" collapsed="false">
      <c r="E746" s="41" t="str">
        <f aca="false">IF(D746="","",IFERROR(VLOOKUP(D746,Assumptions!$G$5:$H$16,2,0),"Other"))</f>
        <v/>
      </c>
      <c r="J746" s="41" t="str">
        <f aca="false">IF(G746="","",IFERROR(IF(ISNUMBER(SEARCH(Assumptions!$C$5,G746)),Assumptions!$D$5,IF(ISNUMBER(SEARCH(Assumptions!$C$6,G746)),Assumptions!$D$6,IF(ISNUMBER(SEARCH(Assumptions!$C$7,G746)),Assumptions!$D$7,"Other Services"))),"Other Services"))</f>
        <v/>
      </c>
    </row>
    <row r="747" customFormat="false" ht="15" hidden="false" customHeight="false" outlineLevel="0" collapsed="false">
      <c r="E747" s="41" t="str">
        <f aca="false">IF(D747="","",IFERROR(VLOOKUP(D747,Assumptions!$G$5:$H$16,2,0),"Other"))</f>
        <v/>
      </c>
      <c r="J747" s="41" t="str">
        <f aca="false">IF(G747="","",IFERROR(IF(ISNUMBER(SEARCH(Assumptions!$C$5,G747)),Assumptions!$D$5,IF(ISNUMBER(SEARCH(Assumptions!$C$6,G747)),Assumptions!$D$6,IF(ISNUMBER(SEARCH(Assumptions!$C$7,G747)),Assumptions!$D$7,"Other Services"))),"Other Services"))</f>
        <v/>
      </c>
    </row>
    <row r="748" customFormat="false" ht="15" hidden="false" customHeight="false" outlineLevel="0" collapsed="false">
      <c r="E748" s="41" t="str">
        <f aca="false">IF(D748="","",IFERROR(VLOOKUP(D748,Assumptions!$G$5:$H$16,2,0),"Other"))</f>
        <v/>
      </c>
      <c r="J748" s="41" t="str">
        <f aca="false">IF(G748="","",IFERROR(IF(ISNUMBER(SEARCH(Assumptions!$C$5,G748)),Assumptions!$D$5,IF(ISNUMBER(SEARCH(Assumptions!$C$6,G748)),Assumptions!$D$6,IF(ISNUMBER(SEARCH(Assumptions!$C$7,G748)),Assumptions!$D$7,"Other Services"))),"Other Services"))</f>
        <v/>
      </c>
    </row>
    <row r="749" customFormat="false" ht="15" hidden="false" customHeight="false" outlineLevel="0" collapsed="false">
      <c r="E749" s="41" t="str">
        <f aca="false">IF(D749="","",IFERROR(VLOOKUP(D749,Assumptions!$G$5:$H$16,2,0),"Other"))</f>
        <v/>
      </c>
      <c r="J749" s="41" t="str">
        <f aca="false">IF(G749="","",IFERROR(IF(ISNUMBER(SEARCH(Assumptions!$C$5,G749)),Assumptions!$D$5,IF(ISNUMBER(SEARCH(Assumptions!$C$6,G749)),Assumptions!$D$6,IF(ISNUMBER(SEARCH(Assumptions!$C$7,G749)),Assumptions!$D$7,"Other Services"))),"Other Services"))</f>
        <v/>
      </c>
    </row>
    <row r="750" customFormat="false" ht="15" hidden="false" customHeight="false" outlineLevel="0" collapsed="false">
      <c r="E750" s="41" t="str">
        <f aca="false">IF(D750="","",IFERROR(VLOOKUP(D750,Assumptions!$G$5:$H$16,2,0),"Other"))</f>
        <v/>
      </c>
      <c r="J750" s="41" t="str">
        <f aca="false">IF(G750="","",IFERROR(IF(ISNUMBER(SEARCH(Assumptions!$C$5,G750)),Assumptions!$D$5,IF(ISNUMBER(SEARCH(Assumptions!$C$6,G750)),Assumptions!$D$6,IF(ISNUMBER(SEARCH(Assumptions!$C$7,G750)),Assumptions!$D$7,"Other Services"))),"Other Services"))</f>
        <v/>
      </c>
    </row>
    <row r="751" customFormat="false" ht="15" hidden="false" customHeight="false" outlineLevel="0" collapsed="false">
      <c r="E751" s="41" t="str">
        <f aca="false">IF(D751="","",IFERROR(VLOOKUP(D751,Assumptions!$G$5:$H$16,2,0),"Other"))</f>
        <v/>
      </c>
      <c r="J751" s="41" t="str">
        <f aca="false">IF(G751="","",IFERROR(IF(ISNUMBER(SEARCH(Assumptions!$C$5,G751)),Assumptions!$D$5,IF(ISNUMBER(SEARCH(Assumptions!$C$6,G751)),Assumptions!$D$6,IF(ISNUMBER(SEARCH(Assumptions!$C$7,G751)),Assumptions!$D$7,"Other Services"))),"Other Services"))</f>
        <v/>
      </c>
    </row>
    <row r="752" customFormat="false" ht="15" hidden="false" customHeight="false" outlineLevel="0" collapsed="false">
      <c r="E752" s="41" t="str">
        <f aca="false">IF(D752="","",IFERROR(VLOOKUP(D752,Assumptions!$G$5:$H$16,2,0),"Other"))</f>
        <v/>
      </c>
      <c r="J752" s="41" t="str">
        <f aca="false">IF(G752="","",IFERROR(IF(ISNUMBER(SEARCH(Assumptions!$C$5,G752)),Assumptions!$D$5,IF(ISNUMBER(SEARCH(Assumptions!$C$6,G752)),Assumptions!$D$6,IF(ISNUMBER(SEARCH(Assumptions!$C$7,G752)),Assumptions!$D$7,"Other Services"))),"Other Services"))</f>
        <v/>
      </c>
    </row>
    <row r="753" customFormat="false" ht="15" hidden="false" customHeight="false" outlineLevel="0" collapsed="false">
      <c r="E753" s="41" t="str">
        <f aca="false">IF(D753="","",IFERROR(VLOOKUP(D753,Assumptions!$G$5:$H$16,2,0),"Other"))</f>
        <v/>
      </c>
      <c r="J753" s="41" t="str">
        <f aca="false">IF(G753="","",IFERROR(IF(ISNUMBER(SEARCH(Assumptions!$C$5,G753)),Assumptions!$D$5,IF(ISNUMBER(SEARCH(Assumptions!$C$6,G753)),Assumptions!$D$6,IF(ISNUMBER(SEARCH(Assumptions!$C$7,G753)),Assumptions!$D$7,"Other Services"))),"Other Services"))</f>
        <v/>
      </c>
    </row>
    <row r="754" customFormat="false" ht="15" hidden="false" customHeight="false" outlineLevel="0" collapsed="false">
      <c r="E754" s="41" t="str">
        <f aca="false">IF(D754="","",IFERROR(VLOOKUP(D754,Assumptions!$G$5:$H$16,2,0),"Other"))</f>
        <v/>
      </c>
      <c r="J754" s="41" t="str">
        <f aca="false">IF(G754="","",IFERROR(IF(ISNUMBER(SEARCH(Assumptions!$C$5,G754)),Assumptions!$D$5,IF(ISNUMBER(SEARCH(Assumptions!$C$6,G754)),Assumptions!$D$6,IF(ISNUMBER(SEARCH(Assumptions!$C$7,G754)),Assumptions!$D$7,"Other Services"))),"Other Services"))</f>
        <v/>
      </c>
    </row>
    <row r="755" customFormat="false" ht="15" hidden="false" customHeight="false" outlineLevel="0" collapsed="false">
      <c r="E755" s="41" t="str">
        <f aca="false">IF(D755="","",IFERROR(VLOOKUP(D755,Assumptions!$G$5:$H$16,2,0),"Other"))</f>
        <v/>
      </c>
      <c r="J755" s="41" t="str">
        <f aca="false">IF(G755="","",IFERROR(IF(ISNUMBER(SEARCH(Assumptions!$C$5,G755)),Assumptions!$D$5,IF(ISNUMBER(SEARCH(Assumptions!$C$6,G755)),Assumptions!$D$6,IF(ISNUMBER(SEARCH(Assumptions!$C$7,G755)),Assumptions!$D$7,"Other Services"))),"Other Services"))</f>
        <v/>
      </c>
    </row>
    <row r="756" customFormat="false" ht="15" hidden="false" customHeight="false" outlineLevel="0" collapsed="false">
      <c r="E756" s="41" t="str">
        <f aca="false">IF(D756="","",IFERROR(VLOOKUP(D756,Assumptions!$G$5:$H$16,2,0),"Other"))</f>
        <v/>
      </c>
      <c r="J756" s="41" t="str">
        <f aca="false">IF(G756="","",IFERROR(IF(ISNUMBER(SEARCH(Assumptions!$C$5,G756)),Assumptions!$D$5,IF(ISNUMBER(SEARCH(Assumptions!$C$6,G756)),Assumptions!$D$6,IF(ISNUMBER(SEARCH(Assumptions!$C$7,G756)),Assumptions!$D$7,"Other Services"))),"Other Services"))</f>
        <v/>
      </c>
    </row>
    <row r="757" customFormat="false" ht="15" hidden="false" customHeight="false" outlineLevel="0" collapsed="false">
      <c r="E757" s="41" t="str">
        <f aca="false">IF(D757="","",IFERROR(VLOOKUP(D757,Assumptions!$G$5:$H$16,2,0),"Other"))</f>
        <v/>
      </c>
      <c r="J757" s="41" t="str">
        <f aca="false">IF(G757="","",IFERROR(IF(ISNUMBER(SEARCH(Assumptions!$C$5,G757)),Assumptions!$D$5,IF(ISNUMBER(SEARCH(Assumptions!$C$6,G757)),Assumptions!$D$6,IF(ISNUMBER(SEARCH(Assumptions!$C$7,G757)),Assumptions!$D$7,"Other Services"))),"Other Services"))</f>
        <v/>
      </c>
    </row>
    <row r="758" customFormat="false" ht="15" hidden="false" customHeight="false" outlineLevel="0" collapsed="false">
      <c r="E758" s="41" t="str">
        <f aca="false">IF(D758="","",IFERROR(VLOOKUP(D758,Assumptions!$G$5:$H$16,2,0),"Other"))</f>
        <v/>
      </c>
      <c r="J758" s="41" t="str">
        <f aca="false">IF(G758="","",IFERROR(IF(ISNUMBER(SEARCH(Assumptions!$C$5,G758)),Assumptions!$D$5,IF(ISNUMBER(SEARCH(Assumptions!$C$6,G758)),Assumptions!$D$6,IF(ISNUMBER(SEARCH(Assumptions!$C$7,G758)),Assumptions!$D$7,"Other Services"))),"Other Services"))</f>
        <v/>
      </c>
    </row>
    <row r="759" customFormat="false" ht="15" hidden="false" customHeight="false" outlineLevel="0" collapsed="false">
      <c r="E759" s="41" t="str">
        <f aca="false">IF(D759="","",IFERROR(VLOOKUP(D759,Assumptions!$G$5:$H$16,2,0),"Other"))</f>
        <v/>
      </c>
      <c r="J759" s="41" t="str">
        <f aca="false">IF(G759="","",IFERROR(IF(ISNUMBER(SEARCH(Assumptions!$C$5,G759)),Assumptions!$D$5,IF(ISNUMBER(SEARCH(Assumptions!$C$6,G759)),Assumptions!$D$6,IF(ISNUMBER(SEARCH(Assumptions!$C$7,G759)),Assumptions!$D$7,"Other Services"))),"Other Services"))</f>
        <v/>
      </c>
    </row>
    <row r="760" customFormat="false" ht="15" hidden="false" customHeight="false" outlineLevel="0" collapsed="false">
      <c r="E760" s="41" t="str">
        <f aca="false">IF(D760="","",IFERROR(VLOOKUP(D760,Assumptions!$G$5:$H$16,2,0),"Other"))</f>
        <v/>
      </c>
      <c r="J760" s="41" t="str">
        <f aca="false">IF(G760="","",IFERROR(IF(ISNUMBER(SEARCH(Assumptions!$C$5,G760)),Assumptions!$D$5,IF(ISNUMBER(SEARCH(Assumptions!$C$6,G760)),Assumptions!$D$6,IF(ISNUMBER(SEARCH(Assumptions!$C$7,G760)),Assumptions!$D$7,"Other Services"))),"Other Services"))</f>
        <v/>
      </c>
    </row>
    <row r="761" customFormat="false" ht="15" hidden="false" customHeight="false" outlineLevel="0" collapsed="false">
      <c r="E761" s="41" t="str">
        <f aca="false">IF(D761="","",IFERROR(VLOOKUP(D761,Assumptions!$G$5:$H$16,2,0),"Other"))</f>
        <v/>
      </c>
      <c r="J761" s="41" t="str">
        <f aca="false">IF(G761="","",IFERROR(IF(ISNUMBER(SEARCH(Assumptions!$C$5,G761)),Assumptions!$D$5,IF(ISNUMBER(SEARCH(Assumptions!$C$6,G761)),Assumptions!$D$6,IF(ISNUMBER(SEARCH(Assumptions!$C$7,G761)),Assumptions!$D$7,"Other Services"))),"Other Services"))</f>
        <v/>
      </c>
    </row>
    <row r="762" customFormat="false" ht="15" hidden="false" customHeight="false" outlineLevel="0" collapsed="false">
      <c r="E762" s="41" t="str">
        <f aca="false">IF(D762="","",IFERROR(VLOOKUP(D762,Assumptions!$G$5:$H$16,2,0),"Other"))</f>
        <v/>
      </c>
      <c r="J762" s="41" t="str">
        <f aca="false">IF(G762="","",IFERROR(IF(ISNUMBER(SEARCH(Assumptions!$C$5,G762)),Assumptions!$D$5,IF(ISNUMBER(SEARCH(Assumptions!$C$6,G762)),Assumptions!$D$6,IF(ISNUMBER(SEARCH(Assumptions!$C$7,G762)),Assumptions!$D$7,"Other Services"))),"Other Services"))</f>
        <v/>
      </c>
    </row>
    <row r="763" customFormat="false" ht="15" hidden="false" customHeight="false" outlineLevel="0" collapsed="false">
      <c r="E763" s="41" t="str">
        <f aca="false">IF(D763="","",IFERROR(VLOOKUP(D763,Assumptions!$G$5:$H$16,2,0),"Other"))</f>
        <v/>
      </c>
      <c r="J763" s="41" t="str">
        <f aca="false">IF(G763="","",IFERROR(IF(ISNUMBER(SEARCH(Assumptions!$C$5,G763)),Assumptions!$D$5,IF(ISNUMBER(SEARCH(Assumptions!$C$6,G763)),Assumptions!$D$6,IF(ISNUMBER(SEARCH(Assumptions!$C$7,G763)),Assumptions!$D$7,"Other Services"))),"Other Services"))</f>
        <v/>
      </c>
    </row>
    <row r="764" customFormat="false" ht="15" hidden="false" customHeight="false" outlineLevel="0" collapsed="false">
      <c r="E764" s="41" t="str">
        <f aca="false">IF(D764="","",IFERROR(VLOOKUP(D764,Assumptions!$G$5:$H$16,2,0),"Other"))</f>
        <v/>
      </c>
      <c r="J764" s="41" t="str">
        <f aca="false">IF(G764="","",IFERROR(IF(ISNUMBER(SEARCH(Assumptions!$C$5,G764)),Assumptions!$D$5,IF(ISNUMBER(SEARCH(Assumptions!$C$6,G764)),Assumptions!$D$6,IF(ISNUMBER(SEARCH(Assumptions!$C$7,G764)),Assumptions!$D$7,"Other Services"))),"Other Services"))</f>
        <v/>
      </c>
    </row>
    <row r="765" customFormat="false" ht="15" hidden="false" customHeight="false" outlineLevel="0" collapsed="false">
      <c r="E765" s="41" t="str">
        <f aca="false">IF(D765="","",IFERROR(VLOOKUP(D765,Assumptions!$G$5:$H$16,2,0),"Other"))</f>
        <v/>
      </c>
      <c r="J765" s="41" t="str">
        <f aca="false">IF(G765="","",IFERROR(IF(ISNUMBER(SEARCH(Assumptions!$C$5,G765)),Assumptions!$D$5,IF(ISNUMBER(SEARCH(Assumptions!$C$6,G765)),Assumptions!$D$6,IF(ISNUMBER(SEARCH(Assumptions!$C$7,G765)),Assumptions!$D$7,"Other Services"))),"Other Services"))</f>
        <v/>
      </c>
    </row>
    <row r="766" customFormat="false" ht="15" hidden="false" customHeight="false" outlineLevel="0" collapsed="false">
      <c r="E766" s="41" t="str">
        <f aca="false">IF(D766="","",IFERROR(VLOOKUP(D766,Assumptions!$G$5:$H$16,2,0),"Other"))</f>
        <v/>
      </c>
      <c r="J766" s="41" t="str">
        <f aca="false">IF(G766="","",IFERROR(IF(ISNUMBER(SEARCH(Assumptions!$C$5,G766)),Assumptions!$D$5,IF(ISNUMBER(SEARCH(Assumptions!$C$6,G766)),Assumptions!$D$6,IF(ISNUMBER(SEARCH(Assumptions!$C$7,G766)),Assumptions!$D$7,"Other Services"))),"Other Services"))</f>
        <v/>
      </c>
    </row>
    <row r="767" customFormat="false" ht="15" hidden="false" customHeight="false" outlineLevel="0" collapsed="false">
      <c r="E767" s="41" t="str">
        <f aca="false">IF(D767="","",IFERROR(VLOOKUP(D767,Assumptions!$G$5:$H$16,2,0),"Other"))</f>
        <v/>
      </c>
      <c r="J767" s="41" t="str">
        <f aca="false">IF(G767="","",IFERROR(IF(ISNUMBER(SEARCH(Assumptions!$C$5,G767)),Assumptions!$D$5,IF(ISNUMBER(SEARCH(Assumptions!$C$6,G767)),Assumptions!$D$6,IF(ISNUMBER(SEARCH(Assumptions!$C$7,G767)),Assumptions!$D$7,"Other Services"))),"Other Services"))</f>
        <v/>
      </c>
    </row>
    <row r="768" customFormat="false" ht="15" hidden="false" customHeight="false" outlineLevel="0" collapsed="false">
      <c r="E768" s="41" t="str">
        <f aca="false">IF(D768="","",IFERROR(VLOOKUP(D768,Assumptions!$G$5:$H$16,2,0),"Other"))</f>
        <v/>
      </c>
      <c r="J768" s="41" t="str">
        <f aca="false">IF(G768="","",IFERROR(IF(ISNUMBER(SEARCH(Assumptions!$C$5,G768)),Assumptions!$D$5,IF(ISNUMBER(SEARCH(Assumptions!$C$6,G768)),Assumptions!$D$6,IF(ISNUMBER(SEARCH(Assumptions!$C$7,G768)),Assumptions!$D$7,"Other Services"))),"Other Services"))</f>
        <v/>
      </c>
    </row>
    <row r="769" customFormat="false" ht="15" hidden="false" customHeight="false" outlineLevel="0" collapsed="false">
      <c r="E769" s="41" t="str">
        <f aca="false">IF(D769="","",IFERROR(VLOOKUP(D769,Assumptions!$G$5:$H$16,2,0),"Other"))</f>
        <v/>
      </c>
      <c r="J769" s="41" t="str">
        <f aca="false">IF(G769="","",IFERROR(IF(ISNUMBER(SEARCH(Assumptions!$C$5,G769)),Assumptions!$D$5,IF(ISNUMBER(SEARCH(Assumptions!$C$6,G769)),Assumptions!$D$6,IF(ISNUMBER(SEARCH(Assumptions!$C$7,G769)),Assumptions!$D$7,"Other Services"))),"Other Services"))</f>
        <v/>
      </c>
    </row>
    <row r="770" customFormat="false" ht="15" hidden="false" customHeight="false" outlineLevel="0" collapsed="false">
      <c r="E770" s="41" t="str">
        <f aca="false">IF(D770="","",IFERROR(VLOOKUP(D770,Assumptions!$G$5:$H$16,2,0),"Other"))</f>
        <v/>
      </c>
      <c r="J770" s="41" t="str">
        <f aca="false">IF(G770="","",IFERROR(IF(ISNUMBER(SEARCH(Assumptions!$C$5,G770)),Assumptions!$D$5,IF(ISNUMBER(SEARCH(Assumptions!$C$6,G770)),Assumptions!$D$6,IF(ISNUMBER(SEARCH(Assumptions!$C$7,G770)),Assumptions!$D$7,"Other Services"))),"Other Services"))</f>
        <v/>
      </c>
    </row>
    <row r="771" customFormat="false" ht="15" hidden="false" customHeight="false" outlineLevel="0" collapsed="false">
      <c r="E771" s="41" t="str">
        <f aca="false">IF(D771="","",IFERROR(VLOOKUP(D771,Assumptions!$G$5:$H$16,2,0),"Other"))</f>
        <v/>
      </c>
      <c r="J771" s="41" t="str">
        <f aca="false">IF(G771="","",IFERROR(IF(ISNUMBER(SEARCH(Assumptions!$C$5,G771)),Assumptions!$D$5,IF(ISNUMBER(SEARCH(Assumptions!$C$6,G771)),Assumptions!$D$6,IF(ISNUMBER(SEARCH(Assumptions!$C$7,G771)),Assumptions!$D$7,"Other Services"))),"Other Services"))</f>
        <v/>
      </c>
    </row>
    <row r="772" customFormat="false" ht="15" hidden="false" customHeight="false" outlineLevel="0" collapsed="false">
      <c r="E772" s="41" t="str">
        <f aca="false">IF(D772="","",IFERROR(VLOOKUP(D772,Assumptions!$G$5:$H$16,2,0),"Other"))</f>
        <v/>
      </c>
      <c r="J772" s="41" t="str">
        <f aca="false">IF(G772="","",IFERROR(IF(ISNUMBER(SEARCH(Assumptions!$C$5,G772)),Assumptions!$D$5,IF(ISNUMBER(SEARCH(Assumptions!$C$6,G772)),Assumptions!$D$6,IF(ISNUMBER(SEARCH(Assumptions!$C$7,G772)),Assumptions!$D$7,"Other Services"))),"Other Services"))</f>
        <v/>
      </c>
    </row>
    <row r="773" customFormat="false" ht="15" hidden="false" customHeight="false" outlineLevel="0" collapsed="false">
      <c r="E773" s="41" t="str">
        <f aca="false">IF(D773="","",IFERROR(VLOOKUP(D773,Assumptions!$G$5:$H$16,2,0),"Other"))</f>
        <v/>
      </c>
      <c r="J773" s="41" t="str">
        <f aca="false">IF(G773="","",IFERROR(IF(ISNUMBER(SEARCH(Assumptions!$C$5,G773)),Assumptions!$D$5,IF(ISNUMBER(SEARCH(Assumptions!$C$6,G773)),Assumptions!$D$6,IF(ISNUMBER(SEARCH(Assumptions!$C$7,G773)),Assumptions!$D$7,"Other Services"))),"Other Services"))</f>
        <v/>
      </c>
    </row>
    <row r="774" customFormat="false" ht="15" hidden="false" customHeight="false" outlineLevel="0" collapsed="false">
      <c r="E774" s="41" t="str">
        <f aca="false">IF(D774="","",IFERROR(VLOOKUP(D774,Assumptions!$G$5:$H$16,2,0),"Other"))</f>
        <v/>
      </c>
      <c r="J774" s="41" t="str">
        <f aca="false">IF(G774="","",IFERROR(IF(ISNUMBER(SEARCH(Assumptions!$C$5,G774)),Assumptions!$D$5,IF(ISNUMBER(SEARCH(Assumptions!$C$6,G774)),Assumptions!$D$6,IF(ISNUMBER(SEARCH(Assumptions!$C$7,G774)),Assumptions!$D$7,"Other Services"))),"Other Services"))</f>
        <v/>
      </c>
    </row>
    <row r="775" customFormat="false" ht="15" hidden="false" customHeight="false" outlineLevel="0" collapsed="false">
      <c r="E775" s="41" t="str">
        <f aca="false">IF(D775="","",IFERROR(VLOOKUP(D775,Assumptions!$G$5:$H$16,2,0),"Other"))</f>
        <v/>
      </c>
      <c r="J775" s="41" t="str">
        <f aca="false">IF(G775="","",IFERROR(IF(ISNUMBER(SEARCH(Assumptions!$C$5,G775)),Assumptions!$D$5,IF(ISNUMBER(SEARCH(Assumptions!$C$6,G775)),Assumptions!$D$6,IF(ISNUMBER(SEARCH(Assumptions!$C$7,G775)),Assumptions!$D$7,"Other Services"))),"Other Services"))</f>
        <v/>
      </c>
    </row>
    <row r="776" customFormat="false" ht="15" hidden="false" customHeight="false" outlineLevel="0" collapsed="false">
      <c r="E776" s="41" t="str">
        <f aca="false">IF(D776="","",IFERROR(VLOOKUP(D776,Assumptions!$G$5:$H$16,2,0),"Other"))</f>
        <v/>
      </c>
      <c r="J776" s="41" t="str">
        <f aca="false">IF(G776="","",IFERROR(IF(ISNUMBER(SEARCH(Assumptions!$C$5,G776)),Assumptions!$D$5,IF(ISNUMBER(SEARCH(Assumptions!$C$6,G776)),Assumptions!$D$6,IF(ISNUMBER(SEARCH(Assumptions!$C$7,G776)),Assumptions!$D$7,"Other Services"))),"Other Services"))</f>
        <v/>
      </c>
    </row>
    <row r="777" customFormat="false" ht="15" hidden="false" customHeight="false" outlineLevel="0" collapsed="false">
      <c r="E777" s="41" t="str">
        <f aca="false">IF(D777="","",IFERROR(VLOOKUP(D777,Assumptions!$G$5:$H$16,2,0),"Other"))</f>
        <v/>
      </c>
      <c r="J777" s="41" t="str">
        <f aca="false">IF(G777="","",IFERROR(IF(ISNUMBER(SEARCH(Assumptions!$C$5,G777)),Assumptions!$D$5,IF(ISNUMBER(SEARCH(Assumptions!$C$6,G777)),Assumptions!$D$6,IF(ISNUMBER(SEARCH(Assumptions!$C$7,G777)),Assumptions!$D$7,"Other Services"))),"Other Services"))</f>
        <v/>
      </c>
    </row>
    <row r="778" customFormat="false" ht="15" hidden="false" customHeight="false" outlineLevel="0" collapsed="false">
      <c r="E778" s="41" t="str">
        <f aca="false">IF(D778="","",IFERROR(VLOOKUP(D778,Assumptions!$G$5:$H$16,2,0),"Other"))</f>
        <v/>
      </c>
      <c r="J778" s="41" t="str">
        <f aca="false">IF(G778="","",IFERROR(IF(ISNUMBER(SEARCH(Assumptions!$C$5,G778)),Assumptions!$D$5,IF(ISNUMBER(SEARCH(Assumptions!$C$6,G778)),Assumptions!$D$6,IF(ISNUMBER(SEARCH(Assumptions!$C$7,G778)),Assumptions!$D$7,"Other Services"))),"Other Services"))</f>
        <v/>
      </c>
    </row>
    <row r="779" customFormat="false" ht="15" hidden="false" customHeight="false" outlineLevel="0" collapsed="false">
      <c r="E779" s="41" t="str">
        <f aca="false">IF(D779="","",IFERROR(VLOOKUP(D779,Assumptions!$G$5:$H$16,2,0),"Other"))</f>
        <v/>
      </c>
      <c r="J779" s="41" t="str">
        <f aca="false">IF(G779="","",IFERROR(IF(ISNUMBER(SEARCH(Assumptions!$C$5,G779)),Assumptions!$D$5,IF(ISNUMBER(SEARCH(Assumptions!$C$6,G779)),Assumptions!$D$6,IF(ISNUMBER(SEARCH(Assumptions!$C$7,G779)),Assumptions!$D$7,"Other Services"))),"Other Services"))</f>
        <v/>
      </c>
    </row>
    <row r="780" customFormat="false" ht="15" hidden="false" customHeight="false" outlineLevel="0" collapsed="false">
      <c r="E780" s="41" t="str">
        <f aca="false">IF(D780="","",IFERROR(VLOOKUP(D780,Assumptions!$G$5:$H$16,2,0),"Other"))</f>
        <v/>
      </c>
      <c r="J780" s="41" t="str">
        <f aca="false">IF(G780="","",IFERROR(IF(ISNUMBER(SEARCH(Assumptions!$C$5,G780)),Assumptions!$D$5,IF(ISNUMBER(SEARCH(Assumptions!$C$6,G780)),Assumptions!$D$6,IF(ISNUMBER(SEARCH(Assumptions!$C$7,G780)),Assumptions!$D$7,"Other Services"))),"Other Services"))</f>
        <v/>
      </c>
    </row>
    <row r="781" customFormat="false" ht="15" hidden="false" customHeight="false" outlineLevel="0" collapsed="false">
      <c r="E781" s="41" t="str">
        <f aca="false">IF(D781="","",IFERROR(VLOOKUP(D781,Assumptions!$G$5:$H$16,2,0),"Other"))</f>
        <v/>
      </c>
      <c r="J781" s="41" t="str">
        <f aca="false">IF(G781="","",IFERROR(IF(ISNUMBER(SEARCH(Assumptions!$C$5,G781)),Assumptions!$D$5,IF(ISNUMBER(SEARCH(Assumptions!$C$6,G781)),Assumptions!$D$6,IF(ISNUMBER(SEARCH(Assumptions!$C$7,G781)),Assumptions!$D$7,"Other Services"))),"Other Services"))</f>
        <v/>
      </c>
    </row>
    <row r="782" customFormat="false" ht="15" hidden="false" customHeight="false" outlineLevel="0" collapsed="false">
      <c r="E782" s="41" t="str">
        <f aca="false">IF(D782="","",IFERROR(VLOOKUP(D782,Assumptions!$G$5:$H$16,2,0),"Other"))</f>
        <v/>
      </c>
      <c r="J782" s="41" t="str">
        <f aca="false">IF(G782="","",IFERROR(IF(ISNUMBER(SEARCH(Assumptions!$C$5,G782)),Assumptions!$D$5,IF(ISNUMBER(SEARCH(Assumptions!$C$6,G782)),Assumptions!$D$6,IF(ISNUMBER(SEARCH(Assumptions!$C$7,G782)),Assumptions!$D$7,"Other Services"))),"Other Services"))</f>
        <v/>
      </c>
    </row>
    <row r="783" customFormat="false" ht="15" hidden="false" customHeight="false" outlineLevel="0" collapsed="false">
      <c r="E783" s="41" t="str">
        <f aca="false">IF(D783="","",IFERROR(VLOOKUP(D783,Assumptions!$G$5:$H$16,2,0),"Other"))</f>
        <v/>
      </c>
      <c r="J783" s="41" t="str">
        <f aca="false">IF(G783="","",IFERROR(IF(ISNUMBER(SEARCH(Assumptions!$C$5,G783)),Assumptions!$D$5,IF(ISNUMBER(SEARCH(Assumptions!$C$6,G783)),Assumptions!$D$6,IF(ISNUMBER(SEARCH(Assumptions!$C$7,G783)),Assumptions!$D$7,"Other Services"))),"Other Services"))</f>
        <v/>
      </c>
    </row>
    <row r="784" customFormat="false" ht="15" hidden="false" customHeight="false" outlineLevel="0" collapsed="false">
      <c r="E784" s="41" t="str">
        <f aca="false">IF(D784="","",IFERROR(VLOOKUP(D784,Assumptions!$G$5:$H$16,2,0),"Other"))</f>
        <v/>
      </c>
      <c r="J784" s="41" t="str">
        <f aca="false">IF(G784="","",IFERROR(IF(ISNUMBER(SEARCH(Assumptions!$C$5,G784)),Assumptions!$D$5,IF(ISNUMBER(SEARCH(Assumptions!$C$6,G784)),Assumptions!$D$6,IF(ISNUMBER(SEARCH(Assumptions!$C$7,G784)),Assumptions!$D$7,"Other Services"))),"Other Services"))</f>
        <v/>
      </c>
    </row>
    <row r="785" customFormat="false" ht="15" hidden="false" customHeight="false" outlineLevel="0" collapsed="false">
      <c r="E785" s="41" t="str">
        <f aca="false">IF(D785="","",IFERROR(VLOOKUP(D785,Assumptions!$G$5:$H$16,2,0),"Other"))</f>
        <v/>
      </c>
      <c r="J785" s="41" t="str">
        <f aca="false">IF(G785="","",IFERROR(IF(ISNUMBER(SEARCH(Assumptions!$C$5,G785)),Assumptions!$D$5,IF(ISNUMBER(SEARCH(Assumptions!$C$6,G785)),Assumptions!$D$6,IF(ISNUMBER(SEARCH(Assumptions!$C$7,G785)),Assumptions!$D$7,"Other Services"))),"Other Services"))</f>
        <v/>
      </c>
    </row>
    <row r="786" customFormat="false" ht="15" hidden="false" customHeight="false" outlineLevel="0" collapsed="false">
      <c r="E786" s="41" t="str">
        <f aca="false">IF(D786="","",IFERROR(VLOOKUP(D786,Assumptions!$G$5:$H$16,2,0),"Other"))</f>
        <v/>
      </c>
      <c r="J786" s="41" t="str">
        <f aca="false">IF(G786="","",IFERROR(IF(ISNUMBER(SEARCH(Assumptions!$C$5,G786)),Assumptions!$D$5,IF(ISNUMBER(SEARCH(Assumptions!$C$6,G786)),Assumptions!$D$6,IF(ISNUMBER(SEARCH(Assumptions!$C$7,G786)),Assumptions!$D$7,"Other Services"))),"Other Services"))</f>
        <v/>
      </c>
    </row>
    <row r="787" customFormat="false" ht="15" hidden="false" customHeight="false" outlineLevel="0" collapsed="false">
      <c r="E787" s="41" t="str">
        <f aca="false">IF(D787="","",IFERROR(VLOOKUP(D787,Assumptions!$G$5:$H$16,2,0),"Other"))</f>
        <v/>
      </c>
      <c r="J787" s="41" t="str">
        <f aca="false">IF(G787="","",IFERROR(IF(ISNUMBER(SEARCH(Assumptions!$C$5,G787)),Assumptions!$D$5,IF(ISNUMBER(SEARCH(Assumptions!$C$6,G787)),Assumptions!$D$6,IF(ISNUMBER(SEARCH(Assumptions!$C$7,G787)),Assumptions!$D$7,"Other Services"))),"Other Services"))</f>
        <v/>
      </c>
    </row>
    <row r="788" customFormat="false" ht="15" hidden="false" customHeight="false" outlineLevel="0" collapsed="false">
      <c r="E788" s="41" t="str">
        <f aca="false">IF(D788="","",IFERROR(VLOOKUP(D788,Assumptions!$G$5:$H$16,2,0),"Other"))</f>
        <v/>
      </c>
      <c r="J788" s="41" t="str">
        <f aca="false">IF(G788="","",IFERROR(IF(ISNUMBER(SEARCH(Assumptions!$C$5,G788)),Assumptions!$D$5,IF(ISNUMBER(SEARCH(Assumptions!$C$6,G788)),Assumptions!$D$6,IF(ISNUMBER(SEARCH(Assumptions!$C$7,G788)),Assumptions!$D$7,"Other Services"))),"Other Services"))</f>
        <v/>
      </c>
    </row>
    <row r="789" customFormat="false" ht="15" hidden="false" customHeight="false" outlineLevel="0" collapsed="false">
      <c r="E789" s="41" t="str">
        <f aca="false">IF(D789="","",IFERROR(VLOOKUP(D789,Assumptions!$G$5:$H$16,2,0),"Other"))</f>
        <v/>
      </c>
      <c r="J789" s="41" t="str">
        <f aca="false">IF(G789="","",IFERROR(IF(ISNUMBER(SEARCH(Assumptions!$C$5,G789)),Assumptions!$D$5,IF(ISNUMBER(SEARCH(Assumptions!$C$6,G789)),Assumptions!$D$6,IF(ISNUMBER(SEARCH(Assumptions!$C$7,G789)),Assumptions!$D$7,"Other Services"))),"Other Services"))</f>
        <v/>
      </c>
    </row>
    <row r="790" customFormat="false" ht="15" hidden="false" customHeight="false" outlineLevel="0" collapsed="false">
      <c r="E790" s="41" t="str">
        <f aca="false">IF(D790="","",IFERROR(VLOOKUP(D790,Assumptions!$G$5:$H$16,2,0),"Other"))</f>
        <v/>
      </c>
      <c r="J790" s="41" t="str">
        <f aca="false">IF(G790="","",IFERROR(IF(ISNUMBER(SEARCH(Assumptions!$C$5,G790)),Assumptions!$D$5,IF(ISNUMBER(SEARCH(Assumptions!$C$6,G790)),Assumptions!$D$6,IF(ISNUMBER(SEARCH(Assumptions!$C$7,G790)),Assumptions!$D$7,"Other Services"))),"Other Services"))</f>
        <v/>
      </c>
    </row>
    <row r="791" customFormat="false" ht="15" hidden="false" customHeight="false" outlineLevel="0" collapsed="false">
      <c r="E791" s="41" t="str">
        <f aca="false">IF(D791="","",IFERROR(VLOOKUP(D791,Assumptions!$G$5:$H$16,2,0),"Other"))</f>
        <v/>
      </c>
      <c r="J791" s="41" t="str">
        <f aca="false">IF(G791="","",IFERROR(IF(ISNUMBER(SEARCH(Assumptions!$C$5,G791)),Assumptions!$D$5,IF(ISNUMBER(SEARCH(Assumptions!$C$6,G791)),Assumptions!$D$6,IF(ISNUMBER(SEARCH(Assumptions!$C$7,G791)),Assumptions!$D$7,"Other Services"))),"Other Services"))</f>
        <v/>
      </c>
    </row>
    <row r="792" customFormat="false" ht="15" hidden="false" customHeight="false" outlineLevel="0" collapsed="false">
      <c r="E792" s="41" t="str">
        <f aca="false">IF(D792="","",IFERROR(VLOOKUP(D792,Assumptions!$G$5:$H$16,2,0),"Other"))</f>
        <v/>
      </c>
      <c r="J792" s="41" t="str">
        <f aca="false">IF(G792="","",IFERROR(IF(ISNUMBER(SEARCH(Assumptions!$C$5,G792)),Assumptions!$D$5,IF(ISNUMBER(SEARCH(Assumptions!$C$6,G792)),Assumptions!$D$6,IF(ISNUMBER(SEARCH(Assumptions!$C$7,G792)),Assumptions!$D$7,"Other Services"))),"Other Services"))</f>
        <v/>
      </c>
    </row>
    <row r="793" customFormat="false" ht="15" hidden="false" customHeight="false" outlineLevel="0" collapsed="false">
      <c r="E793" s="41" t="str">
        <f aca="false">IF(D793="","",IFERROR(VLOOKUP(D793,Assumptions!$G$5:$H$16,2,0),"Other"))</f>
        <v/>
      </c>
      <c r="J793" s="41" t="str">
        <f aca="false">IF(G793="","",IFERROR(IF(ISNUMBER(SEARCH(Assumptions!$C$5,G793)),Assumptions!$D$5,IF(ISNUMBER(SEARCH(Assumptions!$C$6,G793)),Assumptions!$D$6,IF(ISNUMBER(SEARCH(Assumptions!$C$7,G793)),Assumptions!$D$7,"Other Services"))),"Other Services"))</f>
        <v/>
      </c>
    </row>
    <row r="794" customFormat="false" ht="15" hidden="false" customHeight="false" outlineLevel="0" collapsed="false">
      <c r="E794" s="41" t="str">
        <f aca="false">IF(D794="","",IFERROR(VLOOKUP(D794,Assumptions!$G$5:$H$16,2,0),"Other"))</f>
        <v/>
      </c>
      <c r="J794" s="41" t="str">
        <f aca="false">IF(G794="","",IFERROR(IF(ISNUMBER(SEARCH(Assumptions!$C$5,G794)),Assumptions!$D$5,IF(ISNUMBER(SEARCH(Assumptions!$C$6,G794)),Assumptions!$D$6,IF(ISNUMBER(SEARCH(Assumptions!$C$7,G794)),Assumptions!$D$7,"Other Services"))),"Other Services"))</f>
        <v/>
      </c>
    </row>
    <row r="795" customFormat="false" ht="15" hidden="false" customHeight="false" outlineLevel="0" collapsed="false">
      <c r="E795" s="41" t="str">
        <f aca="false">IF(D795="","",IFERROR(VLOOKUP(D795,Assumptions!$G$5:$H$16,2,0),"Other"))</f>
        <v/>
      </c>
      <c r="J795" s="41" t="str">
        <f aca="false">IF(G795="","",IFERROR(IF(ISNUMBER(SEARCH(Assumptions!$C$5,G795)),Assumptions!$D$5,IF(ISNUMBER(SEARCH(Assumptions!$C$6,G795)),Assumptions!$D$6,IF(ISNUMBER(SEARCH(Assumptions!$C$7,G795)),Assumptions!$D$7,"Other Services"))),"Other Services"))</f>
        <v/>
      </c>
    </row>
    <row r="796" customFormat="false" ht="15" hidden="false" customHeight="false" outlineLevel="0" collapsed="false">
      <c r="E796" s="41" t="str">
        <f aca="false">IF(D796="","",IFERROR(VLOOKUP(D796,Assumptions!$G$5:$H$16,2,0),"Other"))</f>
        <v/>
      </c>
      <c r="J796" s="41" t="str">
        <f aca="false">IF(G796="","",IFERROR(IF(ISNUMBER(SEARCH(Assumptions!$C$5,G796)),Assumptions!$D$5,IF(ISNUMBER(SEARCH(Assumptions!$C$6,G796)),Assumptions!$D$6,IF(ISNUMBER(SEARCH(Assumptions!$C$7,G796)),Assumptions!$D$7,"Other Services"))),"Other Services"))</f>
        <v/>
      </c>
    </row>
    <row r="797" customFormat="false" ht="15" hidden="false" customHeight="false" outlineLevel="0" collapsed="false">
      <c r="E797" s="41" t="str">
        <f aca="false">IF(D797="","",IFERROR(VLOOKUP(D797,Assumptions!$G$5:$H$16,2,0),"Other"))</f>
        <v/>
      </c>
      <c r="J797" s="41" t="str">
        <f aca="false">IF(G797="","",IFERROR(IF(ISNUMBER(SEARCH(Assumptions!$C$5,G797)),Assumptions!$D$5,IF(ISNUMBER(SEARCH(Assumptions!$C$6,G797)),Assumptions!$D$6,IF(ISNUMBER(SEARCH(Assumptions!$C$7,G797)),Assumptions!$D$7,"Other Services"))),"Other Services"))</f>
        <v/>
      </c>
    </row>
    <row r="798" customFormat="false" ht="15" hidden="false" customHeight="false" outlineLevel="0" collapsed="false">
      <c r="E798" s="41" t="str">
        <f aca="false">IF(D798="","",IFERROR(VLOOKUP(D798,Assumptions!$G$5:$H$16,2,0),"Other"))</f>
        <v/>
      </c>
      <c r="J798" s="41" t="str">
        <f aca="false">IF(G798="","",IFERROR(IF(ISNUMBER(SEARCH(Assumptions!$C$5,G798)),Assumptions!$D$5,IF(ISNUMBER(SEARCH(Assumptions!$C$6,G798)),Assumptions!$D$6,IF(ISNUMBER(SEARCH(Assumptions!$C$7,G798)),Assumptions!$D$7,"Other Services"))),"Other Services"))</f>
        <v/>
      </c>
    </row>
    <row r="799" customFormat="false" ht="15" hidden="false" customHeight="false" outlineLevel="0" collapsed="false">
      <c r="E799" s="41" t="str">
        <f aca="false">IF(D799="","",IFERROR(VLOOKUP(D799,Assumptions!$G$5:$H$16,2,0),"Other"))</f>
        <v/>
      </c>
      <c r="J799" s="41" t="str">
        <f aca="false">IF(G799="","",IFERROR(IF(ISNUMBER(SEARCH(Assumptions!$C$5,G799)),Assumptions!$D$5,IF(ISNUMBER(SEARCH(Assumptions!$C$6,G799)),Assumptions!$D$6,IF(ISNUMBER(SEARCH(Assumptions!$C$7,G799)),Assumptions!$D$7,"Other Services"))),"Other Services"))</f>
        <v/>
      </c>
    </row>
    <row r="800" customFormat="false" ht="15" hidden="false" customHeight="false" outlineLevel="0" collapsed="false">
      <c r="E800" s="41" t="str">
        <f aca="false">IF(D800="","",IFERROR(VLOOKUP(D800,Assumptions!$G$5:$H$16,2,0),"Other"))</f>
        <v/>
      </c>
      <c r="J800" s="41" t="str">
        <f aca="false">IF(G800="","",IFERROR(IF(ISNUMBER(SEARCH(Assumptions!$C$5,G800)),Assumptions!$D$5,IF(ISNUMBER(SEARCH(Assumptions!$C$6,G800)),Assumptions!$D$6,IF(ISNUMBER(SEARCH(Assumptions!$C$7,G800)),Assumptions!$D$7,"Other Services"))),"Other Services"))</f>
        <v/>
      </c>
    </row>
    <row r="801" customFormat="false" ht="15" hidden="false" customHeight="false" outlineLevel="0" collapsed="false">
      <c r="E801" s="41" t="str">
        <f aca="false">IF(D801="","",IFERROR(VLOOKUP(D801,Assumptions!$G$5:$H$16,2,0),"Other"))</f>
        <v/>
      </c>
      <c r="J801" s="41" t="str">
        <f aca="false">IF(G801="","",IFERROR(IF(ISNUMBER(SEARCH(Assumptions!$C$5,G801)),Assumptions!$D$5,IF(ISNUMBER(SEARCH(Assumptions!$C$6,G801)),Assumptions!$D$6,IF(ISNUMBER(SEARCH(Assumptions!$C$7,G801)),Assumptions!$D$7,"Other Services"))),"Other Services"))</f>
        <v/>
      </c>
    </row>
    <row r="802" customFormat="false" ht="15" hidden="false" customHeight="false" outlineLevel="0" collapsed="false">
      <c r="E802" s="41" t="str">
        <f aca="false">IF(D802="","",IFERROR(VLOOKUP(D802,Assumptions!$G$5:$H$16,2,0),"Other"))</f>
        <v/>
      </c>
      <c r="J802" s="41" t="str">
        <f aca="false">IF(G802="","",IFERROR(IF(ISNUMBER(SEARCH(Assumptions!$C$5,G802)),Assumptions!$D$5,IF(ISNUMBER(SEARCH(Assumptions!$C$6,G802)),Assumptions!$D$6,IF(ISNUMBER(SEARCH(Assumptions!$C$7,G802)),Assumptions!$D$7,"Other Services"))),"Other Services"))</f>
        <v/>
      </c>
    </row>
    <row r="803" customFormat="false" ht="15" hidden="false" customHeight="false" outlineLevel="0" collapsed="false">
      <c r="E803" s="41" t="str">
        <f aca="false">IF(D803="","",IFERROR(VLOOKUP(D803,Assumptions!$G$5:$H$16,2,0),"Other"))</f>
        <v/>
      </c>
      <c r="J803" s="41" t="str">
        <f aca="false">IF(G803="","",IFERROR(IF(ISNUMBER(SEARCH(Assumptions!$C$5,G803)),Assumptions!$D$5,IF(ISNUMBER(SEARCH(Assumptions!$C$6,G803)),Assumptions!$D$6,IF(ISNUMBER(SEARCH(Assumptions!$C$7,G803)),Assumptions!$D$7,"Other Services"))),"Other Services"))</f>
        <v/>
      </c>
    </row>
    <row r="804" customFormat="false" ht="15" hidden="false" customHeight="false" outlineLevel="0" collapsed="false">
      <c r="E804" s="41" t="str">
        <f aca="false">IF(D804="","",IFERROR(VLOOKUP(D804,Assumptions!$G$5:$H$16,2,0),"Other"))</f>
        <v/>
      </c>
      <c r="J804" s="41" t="str">
        <f aca="false">IF(G804="","",IFERROR(IF(ISNUMBER(SEARCH(Assumptions!$C$5,G804)),Assumptions!$D$5,IF(ISNUMBER(SEARCH(Assumptions!$C$6,G804)),Assumptions!$D$6,IF(ISNUMBER(SEARCH(Assumptions!$C$7,G804)),Assumptions!$D$7,"Other Services"))),"Other Services"))</f>
        <v/>
      </c>
    </row>
    <row r="805" customFormat="false" ht="15" hidden="false" customHeight="false" outlineLevel="0" collapsed="false">
      <c r="E805" s="41" t="str">
        <f aca="false">IF(D805="","",IFERROR(VLOOKUP(D805,Assumptions!$G$5:$H$16,2,0),"Other"))</f>
        <v/>
      </c>
      <c r="J805" s="41" t="str">
        <f aca="false">IF(G805="","",IFERROR(IF(ISNUMBER(SEARCH(Assumptions!$C$5,G805)),Assumptions!$D$5,IF(ISNUMBER(SEARCH(Assumptions!$C$6,G805)),Assumptions!$D$6,IF(ISNUMBER(SEARCH(Assumptions!$C$7,G805)),Assumptions!$D$7,"Other Services"))),"Other Services"))</f>
        <v/>
      </c>
    </row>
    <row r="806" customFormat="false" ht="15" hidden="false" customHeight="false" outlineLevel="0" collapsed="false">
      <c r="E806" s="41" t="str">
        <f aca="false">IF(D806="","",IFERROR(VLOOKUP(D806,Assumptions!$G$5:$H$16,2,0),"Other"))</f>
        <v/>
      </c>
      <c r="J806" s="41" t="str">
        <f aca="false">IF(G806="","",IFERROR(IF(ISNUMBER(SEARCH(Assumptions!$C$5,G806)),Assumptions!$D$5,IF(ISNUMBER(SEARCH(Assumptions!$C$6,G806)),Assumptions!$D$6,IF(ISNUMBER(SEARCH(Assumptions!$C$7,G806)),Assumptions!$D$7,"Other Services"))),"Other Services"))</f>
        <v/>
      </c>
    </row>
    <row r="807" customFormat="false" ht="15" hidden="false" customHeight="false" outlineLevel="0" collapsed="false">
      <c r="E807" s="41" t="str">
        <f aca="false">IF(D807="","",IFERROR(VLOOKUP(D807,Assumptions!$G$5:$H$16,2,0),"Other"))</f>
        <v/>
      </c>
      <c r="J807" s="41" t="str">
        <f aca="false">IF(G807="","",IFERROR(IF(ISNUMBER(SEARCH(Assumptions!$C$5,G807)),Assumptions!$D$5,IF(ISNUMBER(SEARCH(Assumptions!$C$6,G807)),Assumptions!$D$6,IF(ISNUMBER(SEARCH(Assumptions!$C$7,G807)),Assumptions!$D$7,"Other Services"))),"Other Services"))</f>
        <v/>
      </c>
    </row>
    <row r="808" customFormat="false" ht="15" hidden="false" customHeight="false" outlineLevel="0" collapsed="false">
      <c r="E808" s="41" t="str">
        <f aca="false">IF(D808="","",IFERROR(VLOOKUP(D808,Assumptions!$G$5:$H$16,2,0),"Other"))</f>
        <v/>
      </c>
      <c r="J808" s="41" t="str">
        <f aca="false">IF(G808="","",IFERROR(IF(ISNUMBER(SEARCH(Assumptions!$C$5,G808)),Assumptions!$D$5,IF(ISNUMBER(SEARCH(Assumptions!$C$6,G808)),Assumptions!$D$6,IF(ISNUMBER(SEARCH(Assumptions!$C$7,G808)),Assumptions!$D$7,"Other Services"))),"Other Services"))</f>
        <v/>
      </c>
    </row>
    <row r="809" customFormat="false" ht="15" hidden="false" customHeight="false" outlineLevel="0" collapsed="false">
      <c r="E809" s="41" t="str">
        <f aca="false">IF(D809="","",IFERROR(VLOOKUP(D809,Assumptions!$G$5:$H$16,2,0),"Other"))</f>
        <v/>
      </c>
      <c r="J809" s="41" t="str">
        <f aca="false">IF(G809="","",IFERROR(IF(ISNUMBER(SEARCH(Assumptions!$C$5,G809)),Assumptions!$D$5,IF(ISNUMBER(SEARCH(Assumptions!$C$6,G809)),Assumptions!$D$6,IF(ISNUMBER(SEARCH(Assumptions!$C$7,G809)),Assumptions!$D$7,"Other Services"))),"Other Services"))</f>
        <v/>
      </c>
    </row>
    <row r="810" customFormat="false" ht="15" hidden="false" customHeight="false" outlineLevel="0" collapsed="false">
      <c r="E810" s="41" t="str">
        <f aca="false">IF(D810="","",IFERROR(VLOOKUP(D810,Assumptions!$G$5:$H$16,2,0),"Other"))</f>
        <v/>
      </c>
      <c r="J810" s="41" t="str">
        <f aca="false">IF(G810="","",IFERROR(IF(ISNUMBER(SEARCH(Assumptions!$C$5,G810)),Assumptions!$D$5,IF(ISNUMBER(SEARCH(Assumptions!$C$6,G810)),Assumptions!$D$6,IF(ISNUMBER(SEARCH(Assumptions!$C$7,G810)),Assumptions!$D$7,"Other Services"))),"Other Services"))</f>
        <v/>
      </c>
    </row>
    <row r="811" customFormat="false" ht="15" hidden="false" customHeight="false" outlineLevel="0" collapsed="false">
      <c r="E811" s="41" t="str">
        <f aca="false">IF(D811="","",IFERROR(VLOOKUP(D811,Assumptions!$G$5:$H$16,2,0),"Other"))</f>
        <v/>
      </c>
      <c r="J811" s="41" t="str">
        <f aca="false">IF(G811="","",IFERROR(IF(ISNUMBER(SEARCH(Assumptions!$C$5,G811)),Assumptions!$D$5,IF(ISNUMBER(SEARCH(Assumptions!$C$6,G811)),Assumptions!$D$6,IF(ISNUMBER(SEARCH(Assumptions!$C$7,G811)),Assumptions!$D$7,"Other Services"))),"Other Services"))</f>
        <v/>
      </c>
    </row>
    <row r="812" customFormat="false" ht="15" hidden="false" customHeight="false" outlineLevel="0" collapsed="false">
      <c r="E812" s="41" t="str">
        <f aca="false">IF(D812="","",IFERROR(VLOOKUP(D812,Assumptions!$G$5:$H$16,2,0),"Other"))</f>
        <v/>
      </c>
      <c r="J812" s="41" t="str">
        <f aca="false">IF(G812="","",IFERROR(IF(ISNUMBER(SEARCH(Assumptions!$C$5,G812)),Assumptions!$D$5,IF(ISNUMBER(SEARCH(Assumptions!$C$6,G812)),Assumptions!$D$6,IF(ISNUMBER(SEARCH(Assumptions!$C$7,G812)),Assumptions!$D$7,"Other Services"))),"Other Services"))</f>
        <v/>
      </c>
    </row>
    <row r="813" customFormat="false" ht="15" hidden="false" customHeight="false" outlineLevel="0" collapsed="false">
      <c r="E813" s="41" t="str">
        <f aca="false">IF(D813="","",IFERROR(VLOOKUP(D813,Assumptions!$G$5:$H$16,2,0),"Other"))</f>
        <v/>
      </c>
      <c r="J813" s="41" t="str">
        <f aca="false">IF(G813="","",IFERROR(IF(ISNUMBER(SEARCH(Assumptions!$C$5,G813)),Assumptions!$D$5,IF(ISNUMBER(SEARCH(Assumptions!$C$6,G813)),Assumptions!$D$6,IF(ISNUMBER(SEARCH(Assumptions!$C$7,G813)),Assumptions!$D$7,"Other Services"))),"Other Services"))</f>
        <v/>
      </c>
    </row>
    <row r="814" customFormat="false" ht="15" hidden="false" customHeight="false" outlineLevel="0" collapsed="false">
      <c r="E814" s="41" t="str">
        <f aca="false">IF(D814="","",IFERROR(VLOOKUP(D814,Assumptions!$G$5:$H$16,2,0),"Other"))</f>
        <v/>
      </c>
      <c r="J814" s="41" t="str">
        <f aca="false">IF(G814="","",IFERROR(IF(ISNUMBER(SEARCH(Assumptions!$C$5,G814)),Assumptions!$D$5,IF(ISNUMBER(SEARCH(Assumptions!$C$6,G814)),Assumptions!$D$6,IF(ISNUMBER(SEARCH(Assumptions!$C$7,G814)),Assumptions!$D$7,"Other Services"))),"Other Services"))</f>
        <v/>
      </c>
    </row>
    <row r="815" customFormat="false" ht="15" hidden="false" customHeight="false" outlineLevel="0" collapsed="false">
      <c r="E815" s="41" t="str">
        <f aca="false">IF(D815="","",IFERROR(VLOOKUP(D815,Assumptions!$G$5:$H$16,2,0),"Other"))</f>
        <v/>
      </c>
      <c r="J815" s="41" t="str">
        <f aca="false">IF(G815="","",IFERROR(IF(ISNUMBER(SEARCH(Assumptions!$C$5,G815)),Assumptions!$D$5,IF(ISNUMBER(SEARCH(Assumptions!$C$6,G815)),Assumptions!$D$6,IF(ISNUMBER(SEARCH(Assumptions!$C$7,G815)),Assumptions!$D$7,"Other Services"))),"Other Services"))</f>
        <v/>
      </c>
    </row>
    <row r="816" customFormat="false" ht="15" hidden="false" customHeight="false" outlineLevel="0" collapsed="false">
      <c r="E816" s="41" t="str">
        <f aca="false">IF(D816="","",IFERROR(VLOOKUP(D816,Assumptions!$G$5:$H$16,2,0),"Other"))</f>
        <v/>
      </c>
      <c r="J816" s="41" t="str">
        <f aca="false">IF(G816="","",IFERROR(IF(ISNUMBER(SEARCH(Assumptions!$C$5,G816)),Assumptions!$D$5,IF(ISNUMBER(SEARCH(Assumptions!$C$6,G816)),Assumptions!$D$6,IF(ISNUMBER(SEARCH(Assumptions!$C$7,G816)),Assumptions!$D$7,"Other Services"))),"Other Services"))</f>
        <v/>
      </c>
    </row>
    <row r="817" customFormat="false" ht="15" hidden="false" customHeight="false" outlineLevel="0" collapsed="false">
      <c r="E817" s="41" t="str">
        <f aca="false">IF(D817="","",IFERROR(VLOOKUP(D817,Assumptions!$G$5:$H$16,2,0),"Other"))</f>
        <v/>
      </c>
      <c r="J817" s="41" t="str">
        <f aca="false">IF(G817="","",IFERROR(IF(ISNUMBER(SEARCH(Assumptions!$C$5,G817)),Assumptions!$D$5,IF(ISNUMBER(SEARCH(Assumptions!$C$6,G817)),Assumptions!$D$6,IF(ISNUMBER(SEARCH(Assumptions!$C$7,G817)),Assumptions!$D$7,"Other Services"))),"Other Services"))</f>
        <v/>
      </c>
    </row>
    <row r="818" customFormat="false" ht="15" hidden="false" customHeight="false" outlineLevel="0" collapsed="false">
      <c r="E818" s="41" t="str">
        <f aca="false">IF(D818="","",IFERROR(VLOOKUP(D818,Assumptions!$G$5:$H$16,2,0),"Other"))</f>
        <v/>
      </c>
      <c r="J818" s="41" t="str">
        <f aca="false">IF(G818="","",IFERROR(IF(ISNUMBER(SEARCH(Assumptions!$C$5,G818)),Assumptions!$D$5,IF(ISNUMBER(SEARCH(Assumptions!$C$6,G818)),Assumptions!$D$6,IF(ISNUMBER(SEARCH(Assumptions!$C$7,G818)),Assumptions!$D$7,"Other Services"))),"Other Services"))</f>
        <v/>
      </c>
    </row>
    <row r="819" customFormat="false" ht="15" hidden="false" customHeight="false" outlineLevel="0" collapsed="false">
      <c r="E819" s="41" t="str">
        <f aca="false">IF(D819="","",IFERROR(VLOOKUP(D819,Assumptions!$G$5:$H$16,2,0),"Other"))</f>
        <v/>
      </c>
      <c r="J819" s="41" t="str">
        <f aca="false">IF(G819="","",IFERROR(IF(ISNUMBER(SEARCH(Assumptions!$C$5,G819)),Assumptions!$D$5,IF(ISNUMBER(SEARCH(Assumptions!$C$6,G819)),Assumptions!$D$6,IF(ISNUMBER(SEARCH(Assumptions!$C$7,G819)),Assumptions!$D$7,"Other Services"))),"Other Services"))</f>
        <v/>
      </c>
    </row>
    <row r="820" customFormat="false" ht="15" hidden="false" customHeight="false" outlineLevel="0" collapsed="false">
      <c r="E820" s="41" t="str">
        <f aca="false">IF(D820="","",IFERROR(VLOOKUP(D820,Assumptions!$G$5:$H$16,2,0),"Other"))</f>
        <v/>
      </c>
      <c r="J820" s="41" t="str">
        <f aca="false">IF(G820="","",IFERROR(IF(ISNUMBER(SEARCH(Assumptions!$C$5,G820)),Assumptions!$D$5,IF(ISNUMBER(SEARCH(Assumptions!$C$6,G820)),Assumptions!$D$6,IF(ISNUMBER(SEARCH(Assumptions!$C$7,G820)),Assumptions!$D$7,"Other Services"))),"Other Services"))</f>
        <v/>
      </c>
    </row>
    <row r="821" customFormat="false" ht="15" hidden="false" customHeight="false" outlineLevel="0" collapsed="false">
      <c r="E821" s="41" t="str">
        <f aca="false">IF(D821="","",IFERROR(VLOOKUP(D821,Assumptions!$G$5:$H$16,2,0),"Other"))</f>
        <v/>
      </c>
      <c r="J821" s="41" t="str">
        <f aca="false">IF(G821="","",IFERROR(IF(ISNUMBER(SEARCH(Assumptions!$C$5,G821)),Assumptions!$D$5,IF(ISNUMBER(SEARCH(Assumptions!$C$6,G821)),Assumptions!$D$6,IF(ISNUMBER(SEARCH(Assumptions!$C$7,G821)),Assumptions!$D$7,"Other Services"))),"Other Services"))</f>
        <v/>
      </c>
    </row>
    <row r="822" customFormat="false" ht="15" hidden="false" customHeight="false" outlineLevel="0" collapsed="false">
      <c r="E822" s="41" t="str">
        <f aca="false">IF(D822="","",IFERROR(VLOOKUP(D822,Assumptions!$G$5:$H$16,2,0),"Other"))</f>
        <v/>
      </c>
      <c r="J822" s="41" t="str">
        <f aca="false">IF(G822="","",IFERROR(IF(ISNUMBER(SEARCH(Assumptions!$C$5,G822)),Assumptions!$D$5,IF(ISNUMBER(SEARCH(Assumptions!$C$6,G822)),Assumptions!$D$6,IF(ISNUMBER(SEARCH(Assumptions!$C$7,G822)),Assumptions!$D$7,"Other Services"))),"Other Services"))</f>
        <v/>
      </c>
    </row>
    <row r="823" customFormat="false" ht="15" hidden="false" customHeight="false" outlineLevel="0" collapsed="false">
      <c r="E823" s="41" t="str">
        <f aca="false">IF(D823="","",IFERROR(VLOOKUP(D823,Assumptions!$G$5:$H$16,2,0),"Other"))</f>
        <v/>
      </c>
      <c r="J823" s="41" t="str">
        <f aca="false">IF(G823="","",IFERROR(IF(ISNUMBER(SEARCH(Assumptions!$C$5,G823)),Assumptions!$D$5,IF(ISNUMBER(SEARCH(Assumptions!$C$6,G823)),Assumptions!$D$6,IF(ISNUMBER(SEARCH(Assumptions!$C$7,G823)),Assumptions!$D$7,"Other Services"))),"Other Services"))</f>
        <v/>
      </c>
    </row>
    <row r="824" customFormat="false" ht="15" hidden="false" customHeight="false" outlineLevel="0" collapsed="false">
      <c r="E824" s="41" t="str">
        <f aca="false">IF(D824="","",IFERROR(VLOOKUP(D824,Assumptions!$G$5:$H$16,2,0),"Other"))</f>
        <v/>
      </c>
      <c r="J824" s="41" t="str">
        <f aca="false">IF(G824="","",IFERROR(IF(ISNUMBER(SEARCH(Assumptions!$C$5,G824)),Assumptions!$D$5,IF(ISNUMBER(SEARCH(Assumptions!$C$6,G824)),Assumptions!$D$6,IF(ISNUMBER(SEARCH(Assumptions!$C$7,G824)),Assumptions!$D$7,"Other Services"))),"Other Services"))</f>
        <v/>
      </c>
    </row>
    <row r="825" customFormat="false" ht="15" hidden="false" customHeight="false" outlineLevel="0" collapsed="false">
      <c r="E825" s="41" t="str">
        <f aca="false">IF(D825="","",IFERROR(VLOOKUP(D825,Assumptions!$G$5:$H$16,2,0),"Other"))</f>
        <v/>
      </c>
      <c r="J825" s="41" t="str">
        <f aca="false">IF(G825="","",IFERROR(IF(ISNUMBER(SEARCH(Assumptions!$C$5,G825)),Assumptions!$D$5,IF(ISNUMBER(SEARCH(Assumptions!$C$6,G825)),Assumptions!$D$6,IF(ISNUMBER(SEARCH(Assumptions!$C$7,G825)),Assumptions!$D$7,"Other Services"))),"Other Services"))</f>
        <v/>
      </c>
    </row>
    <row r="826" customFormat="false" ht="15" hidden="false" customHeight="false" outlineLevel="0" collapsed="false">
      <c r="E826" s="41" t="str">
        <f aca="false">IF(D826="","",IFERROR(VLOOKUP(D826,Assumptions!$G$5:$H$16,2,0),"Other"))</f>
        <v/>
      </c>
      <c r="J826" s="41" t="str">
        <f aca="false">IF(G826="","",IFERROR(IF(ISNUMBER(SEARCH(Assumptions!$C$5,G826)),Assumptions!$D$5,IF(ISNUMBER(SEARCH(Assumptions!$C$6,G826)),Assumptions!$D$6,IF(ISNUMBER(SEARCH(Assumptions!$C$7,G826)),Assumptions!$D$7,"Other Services"))),"Other Services"))</f>
        <v/>
      </c>
    </row>
    <row r="827" customFormat="false" ht="15" hidden="false" customHeight="false" outlineLevel="0" collapsed="false">
      <c r="E827" s="41" t="str">
        <f aca="false">IF(D827="","",IFERROR(VLOOKUP(D827,Assumptions!$G$5:$H$16,2,0),"Other"))</f>
        <v/>
      </c>
      <c r="J827" s="41" t="str">
        <f aca="false">IF(G827="","",IFERROR(IF(ISNUMBER(SEARCH(Assumptions!$C$5,G827)),Assumptions!$D$5,IF(ISNUMBER(SEARCH(Assumptions!$C$6,G827)),Assumptions!$D$6,IF(ISNUMBER(SEARCH(Assumptions!$C$7,G827)),Assumptions!$D$7,"Other Services"))),"Other Services"))</f>
        <v/>
      </c>
    </row>
    <row r="828" customFormat="false" ht="15" hidden="false" customHeight="false" outlineLevel="0" collapsed="false">
      <c r="E828" s="41" t="str">
        <f aca="false">IF(D828="","",IFERROR(VLOOKUP(D828,Assumptions!$G$5:$H$16,2,0),"Other"))</f>
        <v/>
      </c>
      <c r="J828" s="41" t="str">
        <f aca="false">IF(G828="","",IFERROR(IF(ISNUMBER(SEARCH(Assumptions!$C$5,G828)),Assumptions!$D$5,IF(ISNUMBER(SEARCH(Assumptions!$C$6,G828)),Assumptions!$D$6,IF(ISNUMBER(SEARCH(Assumptions!$C$7,G828)),Assumptions!$D$7,"Other Services"))),"Other Services"))</f>
        <v/>
      </c>
    </row>
    <row r="829" customFormat="false" ht="15" hidden="false" customHeight="false" outlineLevel="0" collapsed="false">
      <c r="E829" s="41" t="str">
        <f aca="false">IF(D829="","",IFERROR(VLOOKUP(D829,Assumptions!$G$5:$H$16,2,0),"Other"))</f>
        <v/>
      </c>
      <c r="J829" s="41" t="str">
        <f aca="false">IF(G829="","",IFERROR(IF(ISNUMBER(SEARCH(Assumptions!$C$5,G829)),Assumptions!$D$5,IF(ISNUMBER(SEARCH(Assumptions!$C$6,G829)),Assumptions!$D$6,IF(ISNUMBER(SEARCH(Assumptions!$C$7,G829)),Assumptions!$D$7,"Other Services"))),"Other Services"))</f>
        <v/>
      </c>
    </row>
    <row r="830" customFormat="false" ht="15" hidden="false" customHeight="false" outlineLevel="0" collapsed="false">
      <c r="E830" s="41" t="str">
        <f aca="false">IF(D830="","",IFERROR(VLOOKUP(D830,Assumptions!$G$5:$H$16,2,0),"Other"))</f>
        <v/>
      </c>
      <c r="J830" s="41" t="str">
        <f aca="false">IF(G830="","",IFERROR(IF(ISNUMBER(SEARCH(Assumptions!$C$5,G830)),Assumptions!$D$5,IF(ISNUMBER(SEARCH(Assumptions!$C$6,G830)),Assumptions!$D$6,IF(ISNUMBER(SEARCH(Assumptions!$C$7,G830)),Assumptions!$D$7,"Other Services"))),"Other Services"))</f>
        <v/>
      </c>
    </row>
    <row r="831" customFormat="false" ht="15" hidden="false" customHeight="false" outlineLevel="0" collapsed="false">
      <c r="E831" s="41" t="str">
        <f aca="false">IF(D831="","",IFERROR(VLOOKUP(D831,Assumptions!$G$5:$H$16,2,0),"Other"))</f>
        <v/>
      </c>
      <c r="J831" s="41" t="str">
        <f aca="false">IF(G831="","",IFERROR(IF(ISNUMBER(SEARCH(Assumptions!$C$5,G831)),Assumptions!$D$5,IF(ISNUMBER(SEARCH(Assumptions!$C$6,G831)),Assumptions!$D$6,IF(ISNUMBER(SEARCH(Assumptions!$C$7,G831)),Assumptions!$D$7,"Other Services"))),"Other Services"))</f>
        <v/>
      </c>
    </row>
    <row r="832" customFormat="false" ht="15" hidden="false" customHeight="false" outlineLevel="0" collapsed="false">
      <c r="E832" s="41" t="str">
        <f aca="false">IF(D832="","",IFERROR(VLOOKUP(D832,Assumptions!$G$5:$H$16,2,0),"Other"))</f>
        <v/>
      </c>
      <c r="J832" s="41" t="str">
        <f aca="false">IF(G832="","",IFERROR(IF(ISNUMBER(SEARCH(Assumptions!$C$5,G832)),Assumptions!$D$5,IF(ISNUMBER(SEARCH(Assumptions!$C$6,G832)),Assumptions!$D$6,IF(ISNUMBER(SEARCH(Assumptions!$C$7,G832)),Assumptions!$D$7,"Other Services"))),"Other Services"))</f>
        <v/>
      </c>
    </row>
    <row r="833" customFormat="false" ht="15" hidden="false" customHeight="false" outlineLevel="0" collapsed="false">
      <c r="E833" s="41" t="str">
        <f aca="false">IF(D833="","",IFERROR(VLOOKUP(D833,Assumptions!$G$5:$H$16,2,0),"Other"))</f>
        <v/>
      </c>
      <c r="J833" s="41" t="str">
        <f aca="false">IF(G833="","",IFERROR(IF(ISNUMBER(SEARCH(Assumptions!$C$5,G833)),Assumptions!$D$5,IF(ISNUMBER(SEARCH(Assumptions!$C$6,G833)),Assumptions!$D$6,IF(ISNUMBER(SEARCH(Assumptions!$C$7,G833)),Assumptions!$D$7,"Other Services"))),"Other Services"))</f>
        <v/>
      </c>
    </row>
    <row r="834" customFormat="false" ht="15" hidden="false" customHeight="false" outlineLevel="0" collapsed="false">
      <c r="E834" s="41" t="str">
        <f aca="false">IF(D834="","",IFERROR(VLOOKUP(D834,Assumptions!$G$5:$H$16,2,0),"Other"))</f>
        <v/>
      </c>
      <c r="J834" s="41" t="str">
        <f aca="false">IF(G834="","",IFERROR(IF(ISNUMBER(SEARCH(Assumptions!$C$5,G834)),Assumptions!$D$5,IF(ISNUMBER(SEARCH(Assumptions!$C$6,G834)),Assumptions!$D$6,IF(ISNUMBER(SEARCH(Assumptions!$C$7,G834)),Assumptions!$D$7,"Other Services"))),"Other Services"))</f>
        <v/>
      </c>
    </row>
    <row r="835" customFormat="false" ht="15" hidden="false" customHeight="false" outlineLevel="0" collapsed="false">
      <c r="E835" s="41" t="str">
        <f aca="false">IF(D835="","",IFERROR(VLOOKUP(D835,Assumptions!$G$5:$H$16,2,0),"Other"))</f>
        <v/>
      </c>
      <c r="J835" s="41" t="str">
        <f aca="false">IF(G835="","",IFERROR(IF(ISNUMBER(SEARCH(Assumptions!$C$5,G835)),Assumptions!$D$5,IF(ISNUMBER(SEARCH(Assumptions!$C$6,G835)),Assumptions!$D$6,IF(ISNUMBER(SEARCH(Assumptions!$C$7,G835)),Assumptions!$D$7,"Other Services"))),"Other Services"))</f>
        <v/>
      </c>
    </row>
    <row r="836" customFormat="false" ht="15" hidden="false" customHeight="false" outlineLevel="0" collapsed="false">
      <c r="E836" s="41" t="str">
        <f aca="false">IF(D836="","",IFERROR(VLOOKUP(D836,Assumptions!$G$5:$H$16,2,0),"Other"))</f>
        <v/>
      </c>
      <c r="J836" s="41" t="str">
        <f aca="false">IF(G836="","",IFERROR(IF(ISNUMBER(SEARCH(Assumptions!$C$5,G836)),Assumptions!$D$5,IF(ISNUMBER(SEARCH(Assumptions!$C$6,G836)),Assumptions!$D$6,IF(ISNUMBER(SEARCH(Assumptions!$C$7,G836)),Assumptions!$D$7,"Other Services"))),"Other Services"))</f>
        <v/>
      </c>
    </row>
    <row r="837" customFormat="false" ht="15" hidden="false" customHeight="false" outlineLevel="0" collapsed="false">
      <c r="E837" s="41" t="str">
        <f aca="false">IF(D837="","",IFERROR(VLOOKUP(D837,Assumptions!$G$5:$H$16,2,0),"Other"))</f>
        <v/>
      </c>
      <c r="J837" s="41" t="str">
        <f aca="false">IF(G837="","",IFERROR(IF(ISNUMBER(SEARCH(Assumptions!$C$5,G837)),Assumptions!$D$5,IF(ISNUMBER(SEARCH(Assumptions!$C$6,G837)),Assumptions!$D$6,IF(ISNUMBER(SEARCH(Assumptions!$C$7,G837)),Assumptions!$D$7,"Other Services"))),"Other Services"))</f>
        <v/>
      </c>
    </row>
    <row r="838" customFormat="false" ht="15" hidden="false" customHeight="false" outlineLevel="0" collapsed="false">
      <c r="E838" s="41" t="str">
        <f aca="false">IF(D838="","",IFERROR(VLOOKUP(D838,Assumptions!$G$5:$H$16,2,0),"Other"))</f>
        <v/>
      </c>
      <c r="J838" s="41" t="str">
        <f aca="false">IF(G838="","",IFERROR(IF(ISNUMBER(SEARCH(Assumptions!$C$5,G838)),Assumptions!$D$5,IF(ISNUMBER(SEARCH(Assumptions!$C$6,G838)),Assumptions!$D$6,IF(ISNUMBER(SEARCH(Assumptions!$C$7,G838)),Assumptions!$D$7,"Other Services"))),"Other Services"))</f>
        <v/>
      </c>
    </row>
    <row r="839" customFormat="false" ht="15" hidden="false" customHeight="false" outlineLevel="0" collapsed="false">
      <c r="E839" s="41" t="str">
        <f aca="false">IF(D839="","",IFERROR(VLOOKUP(D839,Assumptions!$G$5:$H$16,2,0),"Other"))</f>
        <v/>
      </c>
      <c r="J839" s="41" t="str">
        <f aca="false">IF(G839="","",IFERROR(IF(ISNUMBER(SEARCH(Assumptions!$C$5,G839)),Assumptions!$D$5,IF(ISNUMBER(SEARCH(Assumptions!$C$6,G839)),Assumptions!$D$6,IF(ISNUMBER(SEARCH(Assumptions!$C$7,G839)),Assumptions!$D$7,"Other Services"))),"Other Services"))</f>
        <v/>
      </c>
    </row>
    <row r="840" customFormat="false" ht="15" hidden="false" customHeight="false" outlineLevel="0" collapsed="false">
      <c r="E840" s="41" t="str">
        <f aca="false">IF(D840="","",IFERROR(VLOOKUP(D840,Assumptions!$G$5:$H$16,2,0),"Other"))</f>
        <v/>
      </c>
      <c r="J840" s="41" t="str">
        <f aca="false">IF(G840="","",IFERROR(IF(ISNUMBER(SEARCH(Assumptions!$C$5,G840)),Assumptions!$D$5,IF(ISNUMBER(SEARCH(Assumptions!$C$6,G840)),Assumptions!$D$6,IF(ISNUMBER(SEARCH(Assumptions!$C$7,G840)),Assumptions!$D$7,"Other Services"))),"Other Services"))</f>
        <v/>
      </c>
    </row>
    <row r="841" customFormat="false" ht="15" hidden="false" customHeight="false" outlineLevel="0" collapsed="false">
      <c r="E841" s="41" t="str">
        <f aca="false">IF(D841="","",IFERROR(VLOOKUP(D841,Assumptions!$G$5:$H$16,2,0),"Other"))</f>
        <v/>
      </c>
      <c r="J841" s="41" t="str">
        <f aca="false">IF(G841="","",IFERROR(IF(ISNUMBER(SEARCH(Assumptions!$C$5,G841)),Assumptions!$D$5,IF(ISNUMBER(SEARCH(Assumptions!$C$6,G841)),Assumptions!$D$6,IF(ISNUMBER(SEARCH(Assumptions!$C$7,G841)),Assumptions!$D$7,"Other Services"))),"Other Services"))</f>
        <v/>
      </c>
    </row>
    <row r="842" customFormat="false" ht="15" hidden="false" customHeight="false" outlineLevel="0" collapsed="false">
      <c r="E842" s="41" t="str">
        <f aca="false">IF(D842="","",IFERROR(VLOOKUP(D842,Assumptions!$G$5:$H$16,2,0),"Other"))</f>
        <v/>
      </c>
      <c r="J842" s="41" t="str">
        <f aca="false">IF(G842="","",IFERROR(IF(ISNUMBER(SEARCH(Assumptions!$C$5,G842)),Assumptions!$D$5,IF(ISNUMBER(SEARCH(Assumptions!$C$6,G842)),Assumptions!$D$6,IF(ISNUMBER(SEARCH(Assumptions!$C$7,G842)),Assumptions!$D$7,"Other Services"))),"Other Services"))</f>
        <v/>
      </c>
    </row>
    <row r="843" customFormat="false" ht="15" hidden="false" customHeight="false" outlineLevel="0" collapsed="false">
      <c r="E843" s="41" t="str">
        <f aca="false">IF(D843="","",IFERROR(VLOOKUP(D843,Assumptions!$G$5:$H$16,2,0),"Other"))</f>
        <v/>
      </c>
      <c r="J843" s="41" t="str">
        <f aca="false">IF(G843="","",IFERROR(IF(ISNUMBER(SEARCH(Assumptions!$C$5,G843)),Assumptions!$D$5,IF(ISNUMBER(SEARCH(Assumptions!$C$6,G843)),Assumptions!$D$6,IF(ISNUMBER(SEARCH(Assumptions!$C$7,G843)),Assumptions!$D$7,"Other Services"))),"Other Services"))</f>
        <v/>
      </c>
    </row>
    <row r="844" customFormat="false" ht="15" hidden="false" customHeight="false" outlineLevel="0" collapsed="false">
      <c r="E844" s="41" t="str">
        <f aca="false">IF(D844="","",IFERROR(VLOOKUP(D844,Assumptions!$G$5:$H$16,2,0),"Other"))</f>
        <v/>
      </c>
      <c r="J844" s="41" t="str">
        <f aca="false">IF(G844="","",IFERROR(IF(ISNUMBER(SEARCH(Assumptions!$C$5,G844)),Assumptions!$D$5,IF(ISNUMBER(SEARCH(Assumptions!$C$6,G844)),Assumptions!$D$6,IF(ISNUMBER(SEARCH(Assumptions!$C$7,G844)),Assumptions!$D$7,"Other Services"))),"Other Services"))</f>
        <v/>
      </c>
    </row>
    <row r="845" customFormat="false" ht="15" hidden="false" customHeight="false" outlineLevel="0" collapsed="false">
      <c r="E845" s="41" t="str">
        <f aca="false">IF(D845="","",IFERROR(VLOOKUP(D845,Assumptions!$G$5:$H$16,2,0),"Other"))</f>
        <v/>
      </c>
      <c r="J845" s="41" t="str">
        <f aca="false">IF(G845="","",IFERROR(IF(ISNUMBER(SEARCH(Assumptions!$C$5,G845)),Assumptions!$D$5,IF(ISNUMBER(SEARCH(Assumptions!$C$6,G845)),Assumptions!$D$6,IF(ISNUMBER(SEARCH(Assumptions!$C$7,G845)),Assumptions!$D$7,"Other Services"))),"Other Services"))</f>
        <v/>
      </c>
    </row>
    <row r="846" customFormat="false" ht="15" hidden="false" customHeight="false" outlineLevel="0" collapsed="false">
      <c r="E846" s="41" t="str">
        <f aca="false">IF(D846="","",IFERROR(VLOOKUP(D846,Assumptions!$G$5:$H$16,2,0),"Other"))</f>
        <v/>
      </c>
      <c r="J846" s="41" t="str">
        <f aca="false">IF(G846="","",IFERROR(IF(ISNUMBER(SEARCH(Assumptions!$C$5,G846)),Assumptions!$D$5,IF(ISNUMBER(SEARCH(Assumptions!$C$6,G846)),Assumptions!$D$6,IF(ISNUMBER(SEARCH(Assumptions!$C$7,G846)),Assumptions!$D$7,"Other Services"))),"Other Services"))</f>
        <v/>
      </c>
    </row>
    <row r="847" customFormat="false" ht="15" hidden="false" customHeight="false" outlineLevel="0" collapsed="false">
      <c r="E847" s="41" t="str">
        <f aca="false">IF(D847="","",IFERROR(VLOOKUP(D847,Assumptions!$G$5:$H$16,2,0),"Other"))</f>
        <v/>
      </c>
      <c r="J847" s="41" t="str">
        <f aca="false">IF(G847="","",IFERROR(IF(ISNUMBER(SEARCH(Assumptions!$C$5,G847)),Assumptions!$D$5,IF(ISNUMBER(SEARCH(Assumptions!$C$6,G847)),Assumptions!$D$6,IF(ISNUMBER(SEARCH(Assumptions!$C$7,G847)),Assumptions!$D$7,"Other Services"))),"Other Services"))</f>
        <v/>
      </c>
    </row>
    <row r="848" customFormat="false" ht="15" hidden="false" customHeight="false" outlineLevel="0" collapsed="false">
      <c r="E848" s="41" t="str">
        <f aca="false">IF(D848="","",IFERROR(VLOOKUP(D848,Assumptions!$G$5:$H$16,2,0),"Other"))</f>
        <v/>
      </c>
      <c r="J848" s="41" t="str">
        <f aca="false">IF(G848="","",IFERROR(IF(ISNUMBER(SEARCH(Assumptions!$C$5,G848)),Assumptions!$D$5,IF(ISNUMBER(SEARCH(Assumptions!$C$6,G848)),Assumptions!$D$6,IF(ISNUMBER(SEARCH(Assumptions!$C$7,G848)),Assumptions!$D$7,"Other Services"))),"Other Services"))</f>
        <v/>
      </c>
    </row>
    <row r="849" customFormat="false" ht="15" hidden="false" customHeight="false" outlineLevel="0" collapsed="false">
      <c r="E849" s="41" t="str">
        <f aca="false">IF(D849="","",IFERROR(VLOOKUP(D849,Assumptions!$G$5:$H$16,2,0),"Other"))</f>
        <v/>
      </c>
      <c r="J849" s="41" t="str">
        <f aca="false">IF(G849="","",IFERROR(IF(ISNUMBER(SEARCH(Assumptions!$C$5,G849)),Assumptions!$D$5,IF(ISNUMBER(SEARCH(Assumptions!$C$6,G849)),Assumptions!$D$6,IF(ISNUMBER(SEARCH(Assumptions!$C$7,G849)),Assumptions!$D$7,"Other Services"))),"Other Services"))</f>
        <v/>
      </c>
    </row>
    <row r="850" customFormat="false" ht="15" hidden="false" customHeight="false" outlineLevel="0" collapsed="false">
      <c r="E850" s="41" t="str">
        <f aca="false">IF(D850="","",IFERROR(VLOOKUP(D850,Assumptions!$G$5:$H$16,2,0),"Other"))</f>
        <v/>
      </c>
      <c r="J850" s="41" t="str">
        <f aca="false">IF(G850="","",IFERROR(IF(ISNUMBER(SEARCH(Assumptions!$C$5,G850)),Assumptions!$D$5,IF(ISNUMBER(SEARCH(Assumptions!$C$6,G850)),Assumptions!$D$6,IF(ISNUMBER(SEARCH(Assumptions!$C$7,G850)),Assumptions!$D$7,"Other Services"))),"Other Services"))</f>
        <v/>
      </c>
    </row>
    <row r="851" customFormat="false" ht="15" hidden="false" customHeight="false" outlineLevel="0" collapsed="false">
      <c r="E851" s="41" t="str">
        <f aca="false">IF(D851="","",IFERROR(VLOOKUP(D851,Assumptions!$G$5:$H$16,2,0),"Other"))</f>
        <v/>
      </c>
      <c r="J851" s="41" t="str">
        <f aca="false">IF(G851="","",IFERROR(IF(ISNUMBER(SEARCH(Assumptions!$C$5,G851)),Assumptions!$D$5,IF(ISNUMBER(SEARCH(Assumptions!$C$6,G851)),Assumptions!$D$6,IF(ISNUMBER(SEARCH(Assumptions!$C$7,G851)),Assumptions!$D$7,"Other Services"))),"Other Services"))</f>
        <v/>
      </c>
    </row>
    <row r="852" customFormat="false" ht="15" hidden="false" customHeight="false" outlineLevel="0" collapsed="false">
      <c r="E852" s="41" t="str">
        <f aca="false">IF(D852="","",IFERROR(VLOOKUP(D852,Assumptions!$G$5:$H$16,2,0),"Other"))</f>
        <v/>
      </c>
      <c r="J852" s="41" t="str">
        <f aca="false">IF(G852="","",IFERROR(IF(ISNUMBER(SEARCH(Assumptions!$C$5,G852)),Assumptions!$D$5,IF(ISNUMBER(SEARCH(Assumptions!$C$6,G852)),Assumptions!$D$6,IF(ISNUMBER(SEARCH(Assumptions!$C$7,G852)),Assumptions!$D$7,"Other Services"))),"Other Services"))</f>
        <v/>
      </c>
    </row>
    <row r="853" customFormat="false" ht="15" hidden="false" customHeight="false" outlineLevel="0" collapsed="false">
      <c r="E853" s="41" t="str">
        <f aca="false">IF(D853="","",IFERROR(VLOOKUP(D853,Assumptions!$G$5:$H$16,2,0),"Other"))</f>
        <v/>
      </c>
      <c r="J853" s="41" t="str">
        <f aca="false">IF(G853="","",IFERROR(IF(ISNUMBER(SEARCH(Assumptions!$C$5,G853)),Assumptions!$D$5,IF(ISNUMBER(SEARCH(Assumptions!$C$6,G853)),Assumptions!$D$6,IF(ISNUMBER(SEARCH(Assumptions!$C$7,G853)),Assumptions!$D$7,"Other Services"))),"Other Services"))</f>
        <v/>
      </c>
    </row>
    <row r="854" customFormat="false" ht="15" hidden="false" customHeight="false" outlineLevel="0" collapsed="false">
      <c r="E854" s="41" t="str">
        <f aca="false">IF(D854="","",IFERROR(VLOOKUP(D854,Assumptions!$G$5:$H$16,2,0),"Other"))</f>
        <v/>
      </c>
      <c r="J854" s="41" t="str">
        <f aca="false">IF(G854="","",IFERROR(IF(ISNUMBER(SEARCH(Assumptions!$C$5,G854)),Assumptions!$D$5,IF(ISNUMBER(SEARCH(Assumptions!$C$6,G854)),Assumptions!$D$6,IF(ISNUMBER(SEARCH(Assumptions!$C$7,G854)),Assumptions!$D$7,"Other Services"))),"Other Services"))</f>
        <v/>
      </c>
    </row>
    <row r="855" customFormat="false" ht="15" hidden="false" customHeight="false" outlineLevel="0" collapsed="false">
      <c r="E855" s="41" t="str">
        <f aca="false">IF(D855="","",IFERROR(VLOOKUP(D855,Assumptions!$G$5:$H$16,2,0),"Other"))</f>
        <v/>
      </c>
      <c r="J855" s="41" t="str">
        <f aca="false">IF(G855="","",IFERROR(IF(ISNUMBER(SEARCH(Assumptions!$C$5,G855)),Assumptions!$D$5,IF(ISNUMBER(SEARCH(Assumptions!$C$6,G855)),Assumptions!$D$6,IF(ISNUMBER(SEARCH(Assumptions!$C$7,G855)),Assumptions!$D$7,"Other Services"))),"Other Services"))</f>
        <v/>
      </c>
    </row>
    <row r="856" customFormat="false" ht="15" hidden="false" customHeight="false" outlineLevel="0" collapsed="false">
      <c r="E856" s="41" t="str">
        <f aca="false">IF(D856="","",IFERROR(VLOOKUP(D856,Assumptions!$G$5:$H$16,2,0),"Other"))</f>
        <v/>
      </c>
      <c r="J856" s="41" t="str">
        <f aca="false">IF(G856="","",IFERROR(IF(ISNUMBER(SEARCH(Assumptions!$C$5,G856)),Assumptions!$D$5,IF(ISNUMBER(SEARCH(Assumptions!$C$6,G856)),Assumptions!$D$6,IF(ISNUMBER(SEARCH(Assumptions!$C$7,G856)),Assumptions!$D$7,"Other Services"))),"Other Services"))</f>
        <v/>
      </c>
    </row>
    <row r="857" customFormat="false" ht="15" hidden="false" customHeight="false" outlineLevel="0" collapsed="false">
      <c r="E857" s="41" t="str">
        <f aca="false">IF(D857="","",IFERROR(VLOOKUP(D857,Assumptions!$G$5:$H$16,2,0),"Other"))</f>
        <v/>
      </c>
      <c r="J857" s="41" t="str">
        <f aca="false">IF(G857="","",IFERROR(IF(ISNUMBER(SEARCH(Assumptions!$C$5,G857)),Assumptions!$D$5,IF(ISNUMBER(SEARCH(Assumptions!$C$6,G857)),Assumptions!$D$6,IF(ISNUMBER(SEARCH(Assumptions!$C$7,G857)),Assumptions!$D$7,"Other Services"))),"Other Services"))</f>
        <v/>
      </c>
    </row>
    <row r="858" customFormat="false" ht="15" hidden="false" customHeight="false" outlineLevel="0" collapsed="false">
      <c r="E858" s="41" t="str">
        <f aca="false">IF(D858="","",IFERROR(VLOOKUP(D858,Assumptions!$G$5:$H$16,2,0),"Other"))</f>
        <v/>
      </c>
      <c r="J858" s="41" t="str">
        <f aca="false">IF(G858="","",IFERROR(IF(ISNUMBER(SEARCH(Assumptions!$C$5,G858)),Assumptions!$D$5,IF(ISNUMBER(SEARCH(Assumptions!$C$6,G858)),Assumptions!$D$6,IF(ISNUMBER(SEARCH(Assumptions!$C$7,G858)),Assumptions!$D$7,"Other Services"))),"Other Services"))</f>
        <v/>
      </c>
    </row>
    <row r="859" customFormat="false" ht="15" hidden="false" customHeight="false" outlineLevel="0" collapsed="false">
      <c r="E859" s="41" t="str">
        <f aca="false">IF(D859="","",IFERROR(VLOOKUP(D859,Assumptions!$G$5:$H$16,2,0),"Other"))</f>
        <v/>
      </c>
      <c r="J859" s="41" t="str">
        <f aca="false">IF(G859="","",IFERROR(IF(ISNUMBER(SEARCH(Assumptions!$C$5,G859)),Assumptions!$D$5,IF(ISNUMBER(SEARCH(Assumptions!$C$6,G859)),Assumptions!$D$6,IF(ISNUMBER(SEARCH(Assumptions!$C$7,G859)),Assumptions!$D$7,"Other Services"))),"Other Services"))</f>
        <v/>
      </c>
    </row>
    <row r="860" customFormat="false" ht="15" hidden="false" customHeight="false" outlineLevel="0" collapsed="false">
      <c r="E860" s="41" t="str">
        <f aca="false">IF(D860="","",IFERROR(VLOOKUP(D860,Assumptions!$G$5:$H$16,2,0),"Other"))</f>
        <v/>
      </c>
      <c r="J860" s="41" t="str">
        <f aca="false">IF(G860="","",IFERROR(IF(ISNUMBER(SEARCH(Assumptions!$C$5,G860)),Assumptions!$D$5,IF(ISNUMBER(SEARCH(Assumptions!$C$6,G860)),Assumptions!$D$6,IF(ISNUMBER(SEARCH(Assumptions!$C$7,G860)),Assumptions!$D$7,"Other Services"))),"Other Services"))</f>
        <v/>
      </c>
    </row>
    <row r="861" customFormat="false" ht="15" hidden="false" customHeight="false" outlineLevel="0" collapsed="false">
      <c r="E861" s="41" t="str">
        <f aca="false">IF(D861="","",IFERROR(VLOOKUP(D861,Assumptions!$G$5:$H$16,2,0),"Other"))</f>
        <v/>
      </c>
      <c r="J861" s="41" t="str">
        <f aca="false">IF(G861="","",IFERROR(IF(ISNUMBER(SEARCH(Assumptions!$C$5,G861)),Assumptions!$D$5,IF(ISNUMBER(SEARCH(Assumptions!$C$6,G861)),Assumptions!$D$6,IF(ISNUMBER(SEARCH(Assumptions!$C$7,G861)),Assumptions!$D$7,"Other Services"))),"Other Services"))</f>
        <v/>
      </c>
    </row>
    <row r="862" customFormat="false" ht="15" hidden="false" customHeight="false" outlineLevel="0" collapsed="false">
      <c r="E862" s="41" t="str">
        <f aca="false">IF(D862="","",IFERROR(VLOOKUP(D862,Assumptions!$G$5:$H$16,2,0),"Other"))</f>
        <v/>
      </c>
      <c r="J862" s="41" t="str">
        <f aca="false">IF(G862="","",IFERROR(IF(ISNUMBER(SEARCH(Assumptions!$C$5,G862)),Assumptions!$D$5,IF(ISNUMBER(SEARCH(Assumptions!$C$6,G862)),Assumptions!$D$6,IF(ISNUMBER(SEARCH(Assumptions!$C$7,G862)),Assumptions!$D$7,"Other Services"))),"Other Services"))</f>
        <v/>
      </c>
    </row>
    <row r="863" customFormat="false" ht="15" hidden="false" customHeight="false" outlineLevel="0" collapsed="false">
      <c r="E863" s="41" t="str">
        <f aca="false">IF(D863="","",IFERROR(VLOOKUP(D863,Assumptions!$G$5:$H$16,2,0),"Other"))</f>
        <v/>
      </c>
      <c r="J863" s="41" t="str">
        <f aca="false">IF(G863="","",IFERROR(IF(ISNUMBER(SEARCH(Assumptions!$C$5,G863)),Assumptions!$D$5,IF(ISNUMBER(SEARCH(Assumptions!$C$6,G863)),Assumptions!$D$6,IF(ISNUMBER(SEARCH(Assumptions!$C$7,G863)),Assumptions!$D$7,"Other Services"))),"Other Services"))</f>
        <v/>
      </c>
    </row>
    <row r="864" customFormat="false" ht="15" hidden="false" customHeight="false" outlineLevel="0" collapsed="false">
      <c r="E864" s="41" t="str">
        <f aca="false">IF(D864="","",IFERROR(VLOOKUP(D864,Assumptions!$G$5:$H$16,2,0),"Other"))</f>
        <v/>
      </c>
      <c r="J864" s="41" t="str">
        <f aca="false">IF(G864="","",IFERROR(IF(ISNUMBER(SEARCH(Assumptions!$C$5,G864)),Assumptions!$D$5,IF(ISNUMBER(SEARCH(Assumptions!$C$6,G864)),Assumptions!$D$6,IF(ISNUMBER(SEARCH(Assumptions!$C$7,G864)),Assumptions!$D$7,"Other Services"))),"Other Services"))</f>
        <v/>
      </c>
    </row>
    <row r="865" customFormat="false" ht="15" hidden="false" customHeight="false" outlineLevel="0" collapsed="false">
      <c r="E865" s="41" t="str">
        <f aca="false">IF(D865="","",IFERROR(VLOOKUP(D865,Assumptions!$G$5:$H$16,2,0),"Other"))</f>
        <v/>
      </c>
      <c r="J865" s="41" t="str">
        <f aca="false">IF(G865="","",IFERROR(IF(ISNUMBER(SEARCH(Assumptions!$C$5,G865)),Assumptions!$D$5,IF(ISNUMBER(SEARCH(Assumptions!$C$6,G865)),Assumptions!$D$6,IF(ISNUMBER(SEARCH(Assumptions!$C$7,G865)),Assumptions!$D$7,"Other Services"))),"Other Services"))</f>
        <v/>
      </c>
    </row>
    <row r="866" customFormat="false" ht="15" hidden="false" customHeight="false" outlineLevel="0" collapsed="false">
      <c r="E866" s="41" t="str">
        <f aca="false">IF(D866="","",IFERROR(VLOOKUP(D866,Assumptions!$G$5:$H$16,2,0),"Other"))</f>
        <v/>
      </c>
      <c r="J866" s="41" t="str">
        <f aca="false">IF(G866="","",IFERROR(IF(ISNUMBER(SEARCH(Assumptions!$C$5,G866)),Assumptions!$D$5,IF(ISNUMBER(SEARCH(Assumptions!$C$6,G866)),Assumptions!$D$6,IF(ISNUMBER(SEARCH(Assumptions!$C$7,G866)),Assumptions!$D$7,"Other Services"))),"Other Services"))</f>
        <v/>
      </c>
    </row>
    <row r="867" customFormat="false" ht="15" hidden="false" customHeight="false" outlineLevel="0" collapsed="false">
      <c r="E867" s="41" t="str">
        <f aca="false">IF(D867="","",IFERROR(VLOOKUP(D867,Assumptions!$G$5:$H$16,2,0),"Other"))</f>
        <v/>
      </c>
      <c r="J867" s="41" t="str">
        <f aca="false">IF(G867="","",IFERROR(IF(ISNUMBER(SEARCH(Assumptions!$C$5,G867)),Assumptions!$D$5,IF(ISNUMBER(SEARCH(Assumptions!$C$6,G867)),Assumptions!$D$6,IF(ISNUMBER(SEARCH(Assumptions!$C$7,G867)),Assumptions!$D$7,"Other Services"))),"Other Services"))</f>
        <v/>
      </c>
    </row>
    <row r="868" customFormat="false" ht="15" hidden="false" customHeight="false" outlineLevel="0" collapsed="false">
      <c r="E868" s="41" t="str">
        <f aca="false">IF(D868="","",IFERROR(VLOOKUP(D868,Assumptions!$G$5:$H$16,2,0),"Other"))</f>
        <v/>
      </c>
      <c r="J868" s="41" t="str">
        <f aca="false">IF(G868="","",IFERROR(IF(ISNUMBER(SEARCH(Assumptions!$C$5,G868)),Assumptions!$D$5,IF(ISNUMBER(SEARCH(Assumptions!$C$6,G868)),Assumptions!$D$6,IF(ISNUMBER(SEARCH(Assumptions!$C$7,G868)),Assumptions!$D$7,"Other Services"))),"Other Services"))</f>
        <v/>
      </c>
    </row>
    <row r="869" customFormat="false" ht="15" hidden="false" customHeight="false" outlineLevel="0" collapsed="false">
      <c r="E869" s="41" t="str">
        <f aca="false">IF(D869="","",IFERROR(VLOOKUP(D869,Assumptions!$G$5:$H$16,2,0),"Other"))</f>
        <v/>
      </c>
      <c r="J869" s="41" t="str">
        <f aca="false">IF(G869="","",IFERROR(IF(ISNUMBER(SEARCH(Assumptions!$C$5,G869)),Assumptions!$D$5,IF(ISNUMBER(SEARCH(Assumptions!$C$6,G869)),Assumptions!$D$6,IF(ISNUMBER(SEARCH(Assumptions!$C$7,G869)),Assumptions!$D$7,"Other Services"))),"Other Services"))</f>
        <v/>
      </c>
    </row>
    <row r="870" customFormat="false" ht="15" hidden="false" customHeight="false" outlineLevel="0" collapsed="false">
      <c r="E870" s="41" t="str">
        <f aca="false">IF(D870="","",IFERROR(VLOOKUP(D870,Assumptions!$G$5:$H$16,2,0),"Other"))</f>
        <v/>
      </c>
      <c r="J870" s="41" t="str">
        <f aca="false">IF(G870="","",IFERROR(IF(ISNUMBER(SEARCH(Assumptions!$C$5,G870)),Assumptions!$D$5,IF(ISNUMBER(SEARCH(Assumptions!$C$6,G870)),Assumptions!$D$6,IF(ISNUMBER(SEARCH(Assumptions!$C$7,G870)),Assumptions!$D$7,"Other Services"))),"Other Services"))</f>
        <v/>
      </c>
    </row>
    <row r="871" customFormat="false" ht="15" hidden="false" customHeight="false" outlineLevel="0" collapsed="false">
      <c r="E871" s="41" t="str">
        <f aca="false">IF(D871="","",IFERROR(VLOOKUP(D871,Assumptions!$G$5:$H$16,2,0),"Other"))</f>
        <v/>
      </c>
      <c r="J871" s="41" t="str">
        <f aca="false">IF(G871="","",IFERROR(IF(ISNUMBER(SEARCH(Assumptions!$C$5,G871)),Assumptions!$D$5,IF(ISNUMBER(SEARCH(Assumptions!$C$6,G871)),Assumptions!$D$6,IF(ISNUMBER(SEARCH(Assumptions!$C$7,G871)),Assumptions!$D$7,"Other Services"))),"Other Services"))</f>
        <v/>
      </c>
    </row>
    <row r="872" customFormat="false" ht="15" hidden="false" customHeight="false" outlineLevel="0" collapsed="false">
      <c r="E872" s="41" t="str">
        <f aca="false">IF(D872="","",IFERROR(VLOOKUP(D872,Assumptions!$G$5:$H$16,2,0),"Other"))</f>
        <v/>
      </c>
      <c r="J872" s="41" t="str">
        <f aca="false">IF(G872="","",IFERROR(IF(ISNUMBER(SEARCH(Assumptions!$C$5,G872)),Assumptions!$D$5,IF(ISNUMBER(SEARCH(Assumptions!$C$6,G872)),Assumptions!$D$6,IF(ISNUMBER(SEARCH(Assumptions!$C$7,G872)),Assumptions!$D$7,"Other Services"))),"Other Services"))</f>
        <v/>
      </c>
    </row>
    <row r="873" customFormat="false" ht="15" hidden="false" customHeight="false" outlineLevel="0" collapsed="false">
      <c r="E873" s="41" t="str">
        <f aca="false">IF(D873="","",IFERROR(VLOOKUP(D873,Assumptions!$G$5:$H$16,2,0),"Other"))</f>
        <v/>
      </c>
      <c r="J873" s="41" t="str">
        <f aca="false">IF(G873="","",IFERROR(IF(ISNUMBER(SEARCH(Assumptions!$C$5,G873)),Assumptions!$D$5,IF(ISNUMBER(SEARCH(Assumptions!$C$6,G873)),Assumptions!$D$6,IF(ISNUMBER(SEARCH(Assumptions!$C$7,G873)),Assumptions!$D$7,"Other Services"))),"Other Services"))</f>
        <v/>
      </c>
    </row>
    <row r="874" customFormat="false" ht="15" hidden="false" customHeight="false" outlineLevel="0" collapsed="false">
      <c r="E874" s="41" t="str">
        <f aca="false">IF(D874="","",IFERROR(VLOOKUP(D874,Assumptions!$G$5:$H$16,2,0),"Other"))</f>
        <v/>
      </c>
      <c r="J874" s="41" t="str">
        <f aca="false">IF(G874="","",IFERROR(IF(ISNUMBER(SEARCH(Assumptions!$C$5,G874)),Assumptions!$D$5,IF(ISNUMBER(SEARCH(Assumptions!$C$6,G874)),Assumptions!$D$6,IF(ISNUMBER(SEARCH(Assumptions!$C$7,G874)),Assumptions!$D$7,"Other Services"))),"Other Services"))</f>
        <v/>
      </c>
    </row>
    <row r="875" customFormat="false" ht="15" hidden="false" customHeight="false" outlineLevel="0" collapsed="false">
      <c r="E875" s="41" t="str">
        <f aca="false">IF(D875="","",IFERROR(VLOOKUP(D875,Assumptions!$G$5:$H$16,2,0),"Other"))</f>
        <v/>
      </c>
      <c r="J875" s="41" t="str">
        <f aca="false">IF(G875="","",IFERROR(IF(ISNUMBER(SEARCH(Assumptions!$C$5,G875)),Assumptions!$D$5,IF(ISNUMBER(SEARCH(Assumptions!$C$6,G875)),Assumptions!$D$6,IF(ISNUMBER(SEARCH(Assumptions!$C$7,G875)),Assumptions!$D$7,"Other Services"))),"Other Services"))</f>
        <v/>
      </c>
    </row>
    <row r="876" customFormat="false" ht="15" hidden="false" customHeight="false" outlineLevel="0" collapsed="false">
      <c r="E876" s="41" t="str">
        <f aca="false">IF(D876="","",IFERROR(VLOOKUP(D876,Assumptions!$G$5:$H$16,2,0),"Other"))</f>
        <v/>
      </c>
      <c r="J876" s="41" t="str">
        <f aca="false">IF(G876="","",IFERROR(IF(ISNUMBER(SEARCH(Assumptions!$C$5,G876)),Assumptions!$D$5,IF(ISNUMBER(SEARCH(Assumptions!$C$6,G876)),Assumptions!$D$6,IF(ISNUMBER(SEARCH(Assumptions!$C$7,G876)),Assumptions!$D$7,"Other Services"))),"Other Services"))</f>
        <v/>
      </c>
    </row>
    <row r="877" customFormat="false" ht="15" hidden="false" customHeight="false" outlineLevel="0" collapsed="false">
      <c r="E877" s="41" t="str">
        <f aca="false">IF(D877="","",IFERROR(VLOOKUP(D877,Assumptions!$G$5:$H$16,2,0),"Other"))</f>
        <v/>
      </c>
      <c r="J877" s="41" t="str">
        <f aca="false">IF(G877="","",IFERROR(IF(ISNUMBER(SEARCH(Assumptions!$C$5,G877)),Assumptions!$D$5,IF(ISNUMBER(SEARCH(Assumptions!$C$6,G877)),Assumptions!$D$6,IF(ISNUMBER(SEARCH(Assumptions!$C$7,G877)),Assumptions!$D$7,"Other Services"))),"Other Services"))</f>
        <v/>
      </c>
    </row>
    <row r="878" customFormat="false" ht="15" hidden="false" customHeight="false" outlineLevel="0" collapsed="false">
      <c r="E878" s="41" t="str">
        <f aca="false">IF(D878="","",IFERROR(VLOOKUP(D878,Assumptions!$G$5:$H$16,2,0),"Other"))</f>
        <v/>
      </c>
      <c r="J878" s="41" t="str">
        <f aca="false">IF(G878="","",IFERROR(IF(ISNUMBER(SEARCH(Assumptions!$C$5,G878)),Assumptions!$D$5,IF(ISNUMBER(SEARCH(Assumptions!$C$6,G878)),Assumptions!$D$6,IF(ISNUMBER(SEARCH(Assumptions!$C$7,G878)),Assumptions!$D$7,"Other Services"))),"Other Services"))</f>
        <v/>
      </c>
    </row>
    <row r="879" customFormat="false" ht="15" hidden="false" customHeight="false" outlineLevel="0" collapsed="false">
      <c r="E879" s="41" t="str">
        <f aca="false">IF(D879="","",IFERROR(VLOOKUP(D879,Assumptions!$G$5:$H$16,2,0),"Other"))</f>
        <v/>
      </c>
      <c r="J879" s="41" t="str">
        <f aca="false">IF(G879="","",IFERROR(IF(ISNUMBER(SEARCH(Assumptions!$C$5,G879)),Assumptions!$D$5,IF(ISNUMBER(SEARCH(Assumptions!$C$6,G879)),Assumptions!$D$6,IF(ISNUMBER(SEARCH(Assumptions!$C$7,G879)),Assumptions!$D$7,"Other Services"))),"Other Services"))</f>
        <v/>
      </c>
    </row>
    <row r="880" customFormat="false" ht="15" hidden="false" customHeight="false" outlineLevel="0" collapsed="false">
      <c r="E880" s="41" t="str">
        <f aca="false">IF(D880="","",IFERROR(VLOOKUP(D880,Assumptions!$G$5:$H$16,2,0),"Other"))</f>
        <v/>
      </c>
      <c r="J880" s="41" t="str">
        <f aca="false">IF(G880="","",IFERROR(IF(ISNUMBER(SEARCH(Assumptions!$C$5,G880)),Assumptions!$D$5,IF(ISNUMBER(SEARCH(Assumptions!$C$6,G880)),Assumptions!$D$6,IF(ISNUMBER(SEARCH(Assumptions!$C$7,G880)),Assumptions!$D$7,"Other Services"))),"Other Services"))</f>
        <v/>
      </c>
    </row>
    <row r="881" customFormat="false" ht="15" hidden="false" customHeight="false" outlineLevel="0" collapsed="false">
      <c r="E881" s="41" t="str">
        <f aca="false">IF(D881="","",IFERROR(VLOOKUP(D881,Assumptions!$G$5:$H$16,2,0),"Other"))</f>
        <v/>
      </c>
      <c r="J881" s="41" t="str">
        <f aca="false">IF(G881="","",IFERROR(IF(ISNUMBER(SEARCH(Assumptions!$C$5,G881)),Assumptions!$D$5,IF(ISNUMBER(SEARCH(Assumptions!$C$6,G881)),Assumptions!$D$6,IF(ISNUMBER(SEARCH(Assumptions!$C$7,G881)),Assumptions!$D$7,"Other Services"))),"Other Services"))</f>
        <v/>
      </c>
    </row>
    <row r="882" customFormat="false" ht="15" hidden="false" customHeight="false" outlineLevel="0" collapsed="false">
      <c r="E882" s="41" t="str">
        <f aca="false">IF(D882="","",IFERROR(VLOOKUP(D882,Assumptions!$G$5:$H$16,2,0),"Other"))</f>
        <v/>
      </c>
      <c r="J882" s="41" t="str">
        <f aca="false">IF(G882="","",IFERROR(IF(ISNUMBER(SEARCH(Assumptions!$C$5,G882)),Assumptions!$D$5,IF(ISNUMBER(SEARCH(Assumptions!$C$6,G882)),Assumptions!$D$6,IF(ISNUMBER(SEARCH(Assumptions!$C$7,G882)),Assumptions!$D$7,"Other Services"))),"Other Services"))</f>
        <v/>
      </c>
    </row>
    <row r="883" customFormat="false" ht="15" hidden="false" customHeight="false" outlineLevel="0" collapsed="false">
      <c r="E883" s="41" t="str">
        <f aca="false">IF(D883="","",IFERROR(VLOOKUP(D883,Assumptions!$G$5:$H$16,2,0),"Other"))</f>
        <v/>
      </c>
      <c r="J883" s="41" t="str">
        <f aca="false">IF(G883="","",IFERROR(IF(ISNUMBER(SEARCH(Assumptions!$C$5,G883)),Assumptions!$D$5,IF(ISNUMBER(SEARCH(Assumptions!$C$6,G883)),Assumptions!$D$6,IF(ISNUMBER(SEARCH(Assumptions!$C$7,G883)),Assumptions!$D$7,"Other Services"))),"Other Services"))</f>
        <v/>
      </c>
    </row>
    <row r="884" customFormat="false" ht="15" hidden="false" customHeight="false" outlineLevel="0" collapsed="false">
      <c r="E884" s="41" t="str">
        <f aca="false">IF(D884="","",IFERROR(VLOOKUP(D884,Assumptions!$G$5:$H$16,2,0),"Other"))</f>
        <v/>
      </c>
      <c r="J884" s="41" t="str">
        <f aca="false">IF(G884="","",IFERROR(IF(ISNUMBER(SEARCH(Assumptions!$C$5,G884)),Assumptions!$D$5,IF(ISNUMBER(SEARCH(Assumptions!$C$6,G884)),Assumptions!$D$6,IF(ISNUMBER(SEARCH(Assumptions!$C$7,G884)),Assumptions!$D$7,"Other Services"))),"Other Services"))</f>
        <v/>
      </c>
    </row>
    <row r="885" customFormat="false" ht="15" hidden="false" customHeight="false" outlineLevel="0" collapsed="false">
      <c r="E885" s="41" t="str">
        <f aca="false">IF(D885="","",IFERROR(VLOOKUP(D885,Assumptions!$G$5:$H$16,2,0),"Other"))</f>
        <v/>
      </c>
      <c r="J885" s="41" t="str">
        <f aca="false">IF(G885="","",IFERROR(IF(ISNUMBER(SEARCH(Assumptions!$C$5,G885)),Assumptions!$D$5,IF(ISNUMBER(SEARCH(Assumptions!$C$6,G885)),Assumptions!$D$6,IF(ISNUMBER(SEARCH(Assumptions!$C$7,G885)),Assumptions!$D$7,"Other Services"))),"Other Services"))</f>
        <v/>
      </c>
    </row>
    <row r="886" customFormat="false" ht="15" hidden="false" customHeight="false" outlineLevel="0" collapsed="false">
      <c r="E886" s="41" t="str">
        <f aca="false">IF(D886="","",IFERROR(VLOOKUP(D886,Assumptions!$G$5:$H$16,2,0),"Other"))</f>
        <v/>
      </c>
      <c r="J886" s="41" t="str">
        <f aca="false">IF(G886="","",IFERROR(IF(ISNUMBER(SEARCH(Assumptions!$C$5,G886)),Assumptions!$D$5,IF(ISNUMBER(SEARCH(Assumptions!$C$6,G886)),Assumptions!$D$6,IF(ISNUMBER(SEARCH(Assumptions!$C$7,G886)),Assumptions!$D$7,"Other Services"))),"Other Services"))</f>
        <v/>
      </c>
    </row>
    <row r="887" customFormat="false" ht="15" hidden="false" customHeight="false" outlineLevel="0" collapsed="false">
      <c r="E887" s="41" t="str">
        <f aca="false">IF(D887="","",IFERROR(VLOOKUP(D887,Assumptions!$G$5:$H$16,2,0),"Other"))</f>
        <v/>
      </c>
      <c r="J887" s="41" t="str">
        <f aca="false">IF(G887="","",IFERROR(IF(ISNUMBER(SEARCH(Assumptions!$C$5,G887)),Assumptions!$D$5,IF(ISNUMBER(SEARCH(Assumptions!$C$6,G887)),Assumptions!$D$6,IF(ISNUMBER(SEARCH(Assumptions!$C$7,G887)),Assumptions!$D$7,"Other Services"))),"Other Services"))</f>
        <v/>
      </c>
    </row>
    <row r="888" customFormat="false" ht="15" hidden="false" customHeight="false" outlineLevel="0" collapsed="false">
      <c r="E888" s="41" t="str">
        <f aca="false">IF(D888="","",IFERROR(VLOOKUP(D888,Assumptions!$G$5:$H$16,2,0),"Other"))</f>
        <v/>
      </c>
      <c r="J888" s="41" t="str">
        <f aca="false">IF(G888="","",IFERROR(IF(ISNUMBER(SEARCH(Assumptions!$C$5,G888)),Assumptions!$D$5,IF(ISNUMBER(SEARCH(Assumptions!$C$6,G888)),Assumptions!$D$6,IF(ISNUMBER(SEARCH(Assumptions!$C$7,G888)),Assumptions!$D$7,"Other Services"))),"Other Services"))</f>
        <v/>
      </c>
    </row>
    <row r="889" customFormat="false" ht="15" hidden="false" customHeight="false" outlineLevel="0" collapsed="false">
      <c r="E889" s="41" t="str">
        <f aca="false">IF(D889="","",IFERROR(VLOOKUP(D889,Assumptions!$G$5:$H$16,2,0),"Other"))</f>
        <v/>
      </c>
      <c r="J889" s="41" t="str">
        <f aca="false">IF(G889="","",IFERROR(IF(ISNUMBER(SEARCH(Assumptions!$C$5,G889)),Assumptions!$D$5,IF(ISNUMBER(SEARCH(Assumptions!$C$6,G889)),Assumptions!$D$6,IF(ISNUMBER(SEARCH(Assumptions!$C$7,G889)),Assumptions!$D$7,"Other Services"))),"Other Services"))</f>
        <v/>
      </c>
    </row>
    <row r="890" customFormat="false" ht="15" hidden="false" customHeight="false" outlineLevel="0" collapsed="false">
      <c r="E890" s="41" t="str">
        <f aca="false">IF(D890="","",IFERROR(VLOOKUP(D890,Assumptions!$G$5:$H$16,2,0),"Other"))</f>
        <v/>
      </c>
      <c r="J890" s="41" t="str">
        <f aca="false">IF(G890="","",IFERROR(IF(ISNUMBER(SEARCH(Assumptions!$C$5,G890)),Assumptions!$D$5,IF(ISNUMBER(SEARCH(Assumptions!$C$6,G890)),Assumptions!$D$6,IF(ISNUMBER(SEARCH(Assumptions!$C$7,G890)),Assumptions!$D$7,"Other Services"))),"Other Services"))</f>
        <v/>
      </c>
    </row>
    <row r="891" customFormat="false" ht="15" hidden="false" customHeight="false" outlineLevel="0" collapsed="false">
      <c r="E891" s="41" t="str">
        <f aca="false">IF(D891="","",IFERROR(VLOOKUP(D891,Assumptions!$G$5:$H$16,2,0),"Other"))</f>
        <v/>
      </c>
      <c r="J891" s="41" t="str">
        <f aca="false">IF(G891="","",IFERROR(IF(ISNUMBER(SEARCH(Assumptions!$C$5,G891)),Assumptions!$D$5,IF(ISNUMBER(SEARCH(Assumptions!$C$6,G891)),Assumptions!$D$6,IF(ISNUMBER(SEARCH(Assumptions!$C$7,G891)),Assumptions!$D$7,"Other Services"))),"Other Services"))</f>
        <v/>
      </c>
    </row>
    <row r="892" customFormat="false" ht="15" hidden="false" customHeight="false" outlineLevel="0" collapsed="false">
      <c r="E892" s="41" t="str">
        <f aca="false">IF(D892="","",IFERROR(VLOOKUP(D892,Assumptions!$G$5:$H$16,2,0),"Other"))</f>
        <v/>
      </c>
      <c r="J892" s="41" t="str">
        <f aca="false">IF(G892="","",IFERROR(IF(ISNUMBER(SEARCH(Assumptions!$C$5,G892)),Assumptions!$D$5,IF(ISNUMBER(SEARCH(Assumptions!$C$6,G892)),Assumptions!$D$6,IF(ISNUMBER(SEARCH(Assumptions!$C$7,G892)),Assumptions!$D$7,"Other Services"))),"Other Services"))</f>
        <v/>
      </c>
    </row>
    <row r="893" customFormat="false" ht="15" hidden="false" customHeight="false" outlineLevel="0" collapsed="false">
      <c r="E893" s="41" t="str">
        <f aca="false">IF(D893="","",IFERROR(VLOOKUP(D893,Assumptions!$G$5:$H$16,2,0),"Other"))</f>
        <v/>
      </c>
      <c r="J893" s="41" t="str">
        <f aca="false">IF(G893="","",IFERROR(IF(ISNUMBER(SEARCH(Assumptions!$C$5,G893)),Assumptions!$D$5,IF(ISNUMBER(SEARCH(Assumptions!$C$6,G893)),Assumptions!$D$6,IF(ISNUMBER(SEARCH(Assumptions!$C$7,G893)),Assumptions!$D$7,"Other Services"))),"Other Services"))</f>
        <v/>
      </c>
    </row>
    <row r="894" customFormat="false" ht="15" hidden="false" customHeight="false" outlineLevel="0" collapsed="false">
      <c r="E894" s="41" t="str">
        <f aca="false">IF(D894="","",IFERROR(VLOOKUP(D894,Assumptions!$G$5:$H$16,2,0),"Other"))</f>
        <v/>
      </c>
      <c r="J894" s="41" t="str">
        <f aca="false">IF(G894="","",IFERROR(IF(ISNUMBER(SEARCH(Assumptions!$C$5,G894)),Assumptions!$D$5,IF(ISNUMBER(SEARCH(Assumptions!$C$6,G894)),Assumptions!$D$6,IF(ISNUMBER(SEARCH(Assumptions!$C$7,G894)),Assumptions!$D$7,"Other Services"))),"Other Services"))</f>
        <v/>
      </c>
    </row>
    <row r="895" customFormat="false" ht="15" hidden="false" customHeight="false" outlineLevel="0" collapsed="false">
      <c r="E895" s="41" t="str">
        <f aca="false">IF(D895="","",IFERROR(VLOOKUP(D895,Assumptions!$G$5:$H$16,2,0),"Other"))</f>
        <v/>
      </c>
      <c r="J895" s="41" t="str">
        <f aca="false">IF(G895="","",IFERROR(IF(ISNUMBER(SEARCH(Assumptions!$C$5,G895)),Assumptions!$D$5,IF(ISNUMBER(SEARCH(Assumptions!$C$6,G895)),Assumptions!$D$6,IF(ISNUMBER(SEARCH(Assumptions!$C$7,G895)),Assumptions!$D$7,"Other Services"))),"Other Services"))</f>
        <v/>
      </c>
    </row>
    <row r="896" customFormat="false" ht="15" hidden="false" customHeight="false" outlineLevel="0" collapsed="false">
      <c r="E896" s="41" t="str">
        <f aca="false">IF(D896="","",IFERROR(VLOOKUP(D896,Assumptions!$G$5:$H$16,2,0),"Other"))</f>
        <v/>
      </c>
      <c r="J896" s="41" t="str">
        <f aca="false">IF(G896="","",IFERROR(IF(ISNUMBER(SEARCH(Assumptions!$C$5,G896)),Assumptions!$D$5,IF(ISNUMBER(SEARCH(Assumptions!$C$6,G896)),Assumptions!$D$6,IF(ISNUMBER(SEARCH(Assumptions!$C$7,G896)),Assumptions!$D$7,"Other Services"))),"Other Services"))</f>
        <v/>
      </c>
    </row>
    <row r="897" customFormat="false" ht="15" hidden="false" customHeight="false" outlineLevel="0" collapsed="false">
      <c r="E897" s="41" t="str">
        <f aca="false">IF(D897="","",IFERROR(VLOOKUP(D897,Assumptions!$G$5:$H$16,2,0),"Other"))</f>
        <v/>
      </c>
      <c r="J897" s="41" t="str">
        <f aca="false">IF(G897="","",IFERROR(IF(ISNUMBER(SEARCH(Assumptions!$C$5,G897)),Assumptions!$D$5,IF(ISNUMBER(SEARCH(Assumptions!$C$6,G897)),Assumptions!$D$6,IF(ISNUMBER(SEARCH(Assumptions!$C$7,G897)),Assumptions!$D$7,"Other Services"))),"Other Services"))</f>
        <v/>
      </c>
    </row>
    <row r="898" customFormat="false" ht="15" hidden="false" customHeight="false" outlineLevel="0" collapsed="false">
      <c r="E898" s="41" t="str">
        <f aca="false">IF(D898="","",IFERROR(VLOOKUP(D898,Assumptions!$G$5:$H$16,2,0),"Other"))</f>
        <v/>
      </c>
      <c r="J898" s="41" t="str">
        <f aca="false">IF(G898="","",IFERROR(IF(ISNUMBER(SEARCH(Assumptions!$C$5,G898)),Assumptions!$D$5,IF(ISNUMBER(SEARCH(Assumptions!$C$6,G898)),Assumptions!$D$6,IF(ISNUMBER(SEARCH(Assumptions!$C$7,G898)),Assumptions!$D$7,"Other Services"))),"Other Services"))</f>
        <v/>
      </c>
    </row>
    <row r="899" customFormat="false" ht="15" hidden="false" customHeight="false" outlineLevel="0" collapsed="false">
      <c r="E899" s="41" t="str">
        <f aca="false">IF(D899="","",IFERROR(VLOOKUP(D899,Assumptions!$G$5:$H$16,2,0),"Other"))</f>
        <v/>
      </c>
      <c r="J899" s="41" t="str">
        <f aca="false">IF(G899="","",IFERROR(IF(ISNUMBER(SEARCH(Assumptions!$C$5,G899)),Assumptions!$D$5,IF(ISNUMBER(SEARCH(Assumptions!$C$6,G899)),Assumptions!$D$6,IF(ISNUMBER(SEARCH(Assumptions!$C$7,G899)),Assumptions!$D$7,"Other Services"))),"Other Services"))</f>
        <v/>
      </c>
    </row>
    <row r="900" customFormat="false" ht="15" hidden="false" customHeight="false" outlineLevel="0" collapsed="false">
      <c r="E900" s="41" t="str">
        <f aca="false">IF(D900="","",IFERROR(VLOOKUP(D900,Assumptions!$G$5:$H$16,2,0),"Other"))</f>
        <v/>
      </c>
      <c r="J900" s="41" t="str">
        <f aca="false">IF(G900="","",IFERROR(IF(ISNUMBER(SEARCH(Assumptions!$C$5,G900)),Assumptions!$D$5,IF(ISNUMBER(SEARCH(Assumptions!$C$6,G900)),Assumptions!$D$6,IF(ISNUMBER(SEARCH(Assumptions!$C$7,G900)),Assumptions!$D$7,"Other Services"))),"Other Services"))</f>
        <v/>
      </c>
    </row>
    <row r="901" customFormat="false" ht="15" hidden="false" customHeight="false" outlineLevel="0" collapsed="false">
      <c r="E901" s="41" t="str">
        <f aca="false">IF(D901="","",IFERROR(VLOOKUP(D901,Assumptions!$G$5:$H$16,2,0),"Other"))</f>
        <v/>
      </c>
      <c r="J901" s="41" t="str">
        <f aca="false">IF(G901="","",IFERROR(IF(ISNUMBER(SEARCH(Assumptions!$C$5,G901)),Assumptions!$D$5,IF(ISNUMBER(SEARCH(Assumptions!$C$6,G901)),Assumptions!$D$6,IF(ISNUMBER(SEARCH(Assumptions!$C$7,G901)),Assumptions!$D$7,"Other Services"))),"Other Services"))</f>
        <v/>
      </c>
    </row>
    <row r="902" customFormat="false" ht="15" hidden="false" customHeight="false" outlineLevel="0" collapsed="false">
      <c r="E902" s="41" t="str">
        <f aca="false">IF(D902="","",IFERROR(VLOOKUP(D902,Assumptions!$G$5:$H$16,2,0),"Other"))</f>
        <v/>
      </c>
      <c r="J902" s="41" t="str">
        <f aca="false">IF(G902="","",IFERROR(IF(ISNUMBER(SEARCH(Assumptions!$C$5,G902)),Assumptions!$D$5,IF(ISNUMBER(SEARCH(Assumptions!$C$6,G902)),Assumptions!$D$6,IF(ISNUMBER(SEARCH(Assumptions!$C$7,G902)),Assumptions!$D$7,"Other Services"))),"Other Services"))</f>
        <v/>
      </c>
    </row>
    <row r="903" customFormat="false" ht="15" hidden="false" customHeight="false" outlineLevel="0" collapsed="false">
      <c r="E903" s="41" t="str">
        <f aca="false">IF(D903="","",IFERROR(VLOOKUP(D903,Assumptions!$G$5:$H$16,2,0),"Other"))</f>
        <v/>
      </c>
      <c r="J903" s="41" t="str">
        <f aca="false">IF(G903="","",IFERROR(IF(ISNUMBER(SEARCH(Assumptions!$C$5,G903)),Assumptions!$D$5,IF(ISNUMBER(SEARCH(Assumptions!$C$6,G903)),Assumptions!$D$6,IF(ISNUMBER(SEARCH(Assumptions!$C$7,G903)),Assumptions!$D$7,"Other Services"))),"Other Services"))</f>
        <v/>
      </c>
    </row>
    <row r="904" customFormat="false" ht="15" hidden="false" customHeight="false" outlineLevel="0" collapsed="false">
      <c r="E904" s="41" t="str">
        <f aca="false">IF(D904="","",IFERROR(VLOOKUP(D904,Assumptions!$G$5:$H$16,2,0),"Other"))</f>
        <v/>
      </c>
      <c r="J904" s="41" t="str">
        <f aca="false">IF(G904="","",IFERROR(IF(ISNUMBER(SEARCH(Assumptions!$C$5,G904)),Assumptions!$D$5,IF(ISNUMBER(SEARCH(Assumptions!$C$6,G904)),Assumptions!$D$6,IF(ISNUMBER(SEARCH(Assumptions!$C$7,G904)),Assumptions!$D$7,"Other Services"))),"Other Services"))</f>
        <v/>
      </c>
    </row>
    <row r="905" customFormat="false" ht="15" hidden="false" customHeight="false" outlineLevel="0" collapsed="false">
      <c r="E905" s="41" t="str">
        <f aca="false">IF(D905="","",IFERROR(VLOOKUP(D905,Assumptions!$G$5:$H$16,2,0),"Other"))</f>
        <v/>
      </c>
      <c r="J905" s="41" t="str">
        <f aca="false">IF(G905="","",IFERROR(IF(ISNUMBER(SEARCH(Assumptions!$C$5,G905)),Assumptions!$D$5,IF(ISNUMBER(SEARCH(Assumptions!$C$6,G905)),Assumptions!$D$6,IF(ISNUMBER(SEARCH(Assumptions!$C$7,G905)),Assumptions!$D$7,"Other Services"))),"Other Services"))</f>
        <v/>
      </c>
    </row>
    <row r="906" customFormat="false" ht="15" hidden="false" customHeight="false" outlineLevel="0" collapsed="false">
      <c r="E906" s="41" t="str">
        <f aca="false">IF(D906="","",IFERROR(VLOOKUP(D906,Assumptions!$G$5:$H$16,2,0),"Other"))</f>
        <v/>
      </c>
      <c r="J906" s="41" t="str">
        <f aca="false">IF(G906="","",IFERROR(IF(ISNUMBER(SEARCH(Assumptions!$C$5,G906)),Assumptions!$D$5,IF(ISNUMBER(SEARCH(Assumptions!$C$6,G906)),Assumptions!$D$6,IF(ISNUMBER(SEARCH(Assumptions!$C$7,G906)),Assumptions!$D$7,"Other Services"))),"Other Services"))</f>
        <v/>
      </c>
    </row>
    <row r="907" customFormat="false" ht="15" hidden="false" customHeight="false" outlineLevel="0" collapsed="false">
      <c r="E907" s="41" t="str">
        <f aca="false">IF(D907="","",IFERROR(VLOOKUP(D907,Assumptions!$G$5:$H$16,2,0),"Other"))</f>
        <v/>
      </c>
      <c r="J907" s="41" t="str">
        <f aca="false">IF(G907="","",IFERROR(IF(ISNUMBER(SEARCH(Assumptions!$C$5,G907)),Assumptions!$D$5,IF(ISNUMBER(SEARCH(Assumptions!$C$6,G907)),Assumptions!$D$6,IF(ISNUMBER(SEARCH(Assumptions!$C$7,G907)),Assumptions!$D$7,"Other Services"))),"Other Services"))</f>
        <v/>
      </c>
    </row>
    <row r="908" customFormat="false" ht="15" hidden="false" customHeight="false" outlineLevel="0" collapsed="false">
      <c r="E908" s="41" t="str">
        <f aca="false">IF(D908="","",IFERROR(VLOOKUP(D908,Assumptions!$G$5:$H$16,2,0),"Other"))</f>
        <v/>
      </c>
      <c r="J908" s="41" t="str">
        <f aca="false">IF(G908="","",IFERROR(IF(ISNUMBER(SEARCH(Assumptions!$C$5,G908)),Assumptions!$D$5,IF(ISNUMBER(SEARCH(Assumptions!$C$6,G908)),Assumptions!$D$6,IF(ISNUMBER(SEARCH(Assumptions!$C$7,G908)),Assumptions!$D$7,"Other Services"))),"Other Services"))</f>
        <v/>
      </c>
    </row>
    <row r="909" customFormat="false" ht="15" hidden="false" customHeight="false" outlineLevel="0" collapsed="false">
      <c r="E909" s="41" t="str">
        <f aca="false">IF(D909="","",IFERROR(VLOOKUP(D909,Assumptions!$G$5:$H$16,2,0),"Other"))</f>
        <v/>
      </c>
      <c r="J909" s="41" t="str">
        <f aca="false">IF(G909="","",IFERROR(IF(ISNUMBER(SEARCH(Assumptions!$C$5,G909)),Assumptions!$D$5,IF(ISNUMBER(SEARCH(Assumptions!$C$6,G909)),Assumptions!$D$6,IF(ISNUMBER(SEARCH(Assumptions!$C$7,G909)),Assumptions!$D$7,"Other Services"))),"Other Services"))</f>
        <v/>
      </c>
    </row>
    <row r="910" customFormat="false" ht="15" hidden="false" customHeight="false" outlineLevel="0" collapsed="false">
      <c r="E910" s="41" t="str">
        <f aca="false">IF(D910="","",IFERROR(VLOOKUP(D910,Assumptions!$G$5:$H$16,2,0),"Other"))</f>
        <v/>
      </c>
      <c r="J910" s="41" t="str">
        <f aca="false">IF(G910="","",IFERROR(IF(ISNUMBER(SEARCH(Assumptions!$C$5,G910)),Assumptions!$D$5,IF(ISNUMBER(SEARCH(Assumptions!$C$6,G910)),Assumptions!$D$6,IF(ISNUMBER(SEARCH(Assumptions!$C$7,G910)),Assumptions!$D$7,"Other Services"))),"Other Services"))</f>
        <v/>
      </c>
    </row>
    <row r="911" customFormat="false" ht="15" hidden="false" customHeight="false" outlineLevel="0" collapsed="false">
      <c r="E911" s="41" t="str">
        <f aca="false">IF(D911="","",IFERROR(VLOOKUP(D911,Assumptions!$G$5:$H$16,2,0),"Other"))</f>
        <v/>
      </c>
      <c r="J911" s="41" t="str">
        <f aca="false">IF(G911="","",IFERROR(IF(ISNUMBER(SEARCH(Assumptions!$C$5,G911)),Assumptions!$D$5,IF(ISNUMBER(SEARCH(Assumptions!$C$6,G911)),Assumptions!$D$6,IF(ISNUMBER(SEARCH(Assumptions!$C$7,G911)),Assumptions!$D$7,"Other Services"))),"Other Services"))</f>
        <v/>
      </c>
    </row>
    <row r="912" customFormat="false" ht="15" hidden="false" customHeight="false" outlineLevel="0" collapsed="false">
      <c r="E912" s="41" t="str">
        <f aca="false">IF(D912="","",IFERROR(VLOOKUP(D912,Assumptions!$G$5:$H$16,2,0),"Other"))</f>
        <v/>
      </c>
      <c r="J912" s="41" t="str">
        <f aca="false">IF(G912="","",IFERROR(IF(ISNUMBER(SEARCH(Assumptions!$C$5,G912)),Assumptions!$D$5,IF(ISNUMBER(SEARCH(Assumptions!$C$6,G912)),Assumptions!$D$6,IF(ISNUMBER(SEARCH(Assumptions!$C$7,G912)),Assumptions!$D$7,"Other Services"))),"Other Services"))</f>
        <v/>
      </c>
    </row>
    <row r="913" customFormat="false" ht="15" hidden="false" customHeight="false" outlineLevel="0" collapsed="false">
      <c r="E913" s="41" t="str">
        <f aca="false">IF(D913="","",IFERROR(VLOOKUP(D913,Assumptions!$G$5:$H$16,2,0),"Other"))</f>
        <v/>
      </c>
      <c r="J913" s="41" t="str">
        <f aca="false">IF(G913="","",IFERROR(IF(ISNUMBER(SEARCH(Assumptions!$C$5,G913)),Assumptions!$D$5,IF(ISNUMBER(SEARCH(Assumptions!$C$6,G913)),Assumptions!$D$6,IF(ISNUMBER(SEARCH(Assumptions!$C$7,G913)),Assumptions!$D$7,"Other Services"))),"Other Services"))</f>
        <v/>
      </c>
    </row>
    <row r="914" customFormat="false" ht="15" hidden="false" customHeight="false" outlineLevel="0" collapsed="false">
      <c r="E914" s="41" t="str">
        <f aca="false">IF(D914="","",IFERROR(VLOOKUP(D914,Assumptions!$G$5:$H$16,2,0),"Other"))</f>
        <v/>
      </c>
      <c r="J914" s="41" t="str">
        <f aca="false">IF(G914="","",IFERROR(IF(ISNUMBER(SEARCH(Assumptions!$C$5,G914)),Assumptions!$D$5,IF(ISNUMBER(SEARCH(Assumptions!$C$6,G914)),Assumptions!$D$6,IF(ISNUMBER(SEARCH(Assumptions!$C$7,G914)),Assumptions!$D$7,"Other Services"))),"Other Services"))</f>
        <v/>
      </c>
    </row>
    <row r="915" customFormat="false" ht="15" hidden="false" customHeight="false" outlineLevel="0" collapsed="false">
      <c r="E915" s="41" t="str">
        <f aca="false">IF(D915="","",IFERROR(VLOOKUP(D915,Assumptions!$G$5:$H$16,2,0),"Other"))</f>
        <v/>
      </c>
      <c r="J915" s="41" t="str">
        <f aca="false">IF(G915="","",IFERROR(IF(ISNUMBER(SEARCH(Assumptions!$C$5,G915)),Assumptions!$D$5,IF(ISNUMBER(SEARCH(Assumptions!$C$6,G915)),Assumptions!$D$6,IF(ISNUMBER(SEARCH(Assumptions!$C$7,G915)),Assumptions!$D$7,"Other Services"))),"Other Services"))</f>
        <v/>
      </c>
    </row>
    <row r="916" customFormat="false" ht="15" hidden="false" customHeight="false" outlineLevel="0" collapsed="false">
      <c r="E916" s="41" t="str">
        <f aca="false">IF(D916="","",IFERROR(VLOOKUP(D916,Assumptions!$G$5:$H$16,2,0),"Other"))</f>
        <v/>
      </c>
      <c r="J916" s="41" t="str">
        <f aca="false">IF(G916="","",IFERROR(IF(ISNUMBER(SEARCH(Assumptions!$C$5,G916)),Assumptions!$D$5,IF(ISNUMBER(SEARCH(Assumptions!$C$6,G916)),Assumptions!$D$6,IF(ISNUMBER(SEARCH(Assumptions!$C$7,G916)),Assumptions!$D$7,"Other Services"))),"Other Services"))</f>
        <v/>
      </c>
    </row>
    <row r="917" customFormat="false" ht="15" hidden="false" customHeight="false" outlineLevel="0" collapsed="false">
      <c r="E917" s="41" t="str">
        <f aca="false">IF(D917="","",IFERROR(VLOOKUP(D917,Assumptions!$G$5:$H$16,2,0),"Other"))</f>
        <v/>
      </c>
      <c r="J917" s="41" t="str">
        <f aca="false">IF(G917="","",IFERROR(IF(ISNUMBER(SEARCH(Assumptions!$C$5,G917)),Assumptions!$D$5,IF(ISNUMBER(SEARCH(Assumptions!$C$6,G917)),Assumptions!$D$6,IF(ISNUMBER(SEARCH(Assumptions!$C$7,G917)),Assumptions!$D$7,"Other Services"))),"Other Services"))</f>
        <v/>
      </c>
    </row>
    <row r="918" customFormat="false" ht="15" hidden="false" customHeight="false" outlineLevel="0" collapsed="false">
      <c r="E918" s="41" t="str">
        <f aca="false">IF(D918="","",IFERROR(VLOOKUP(D918,Assumptions!$G$5:$H$16,2,0),"Other"))</f>
        <v/>
      </c>
      <c r="J918" s="41" t="str">
        <f aca="false">IF(G918="","",IFERROR(IF(ISNUMBER(SEARCH(Assumptions!$C$5,G918)),Assumptions!$D$5,IF(ISNUMBER(SEARCH(Assumptions!$C$6,G918)),Assumptions!$D$6,IF(ISNUMBER(SEARCH(Assumptions!$C$7,G918)),Assumptions!$D$7,"Other Services"))),"Other Services"))</f>
        <v/>
      </c>
    </row>
    <row r="919" customFormat="false" ht="15" hidden="false" customHeight="false" outlineLevel="0" collapsed="false">
      <c r="E919" s="41" t="str">
        <f aca="false">IF(D919="","",IFERROR(VLOOKUP(D919,Assumptions!$G$5:$H$16,2,0),"Other"))</f>
        <v/>
      </c>
      <c r="J919" s="41" t="str">
        <f aca="false">IF(G919="","",IFERROR(IF(ISNUMBER(SEARCH(Assumptions!$C$5,G919)),Assumptions!$D$5,IF(ISNUMBER(SEARCH(Assumptions!$C$6,G919)),Assumptions!$D$6,IF(ISNUMBER(SEARCH(Assumptions!$C$7,G919)),Assumptions!$D$7,"Other Services"))),"Other Services"))</f>
        <v/>
      </c>
    </row>
    <row r="920" customFormat="false" ht="15" hidden="false" customHeight="false" outlineLevel="0" collapsed="false">
      <c r="E920" s="41" t="str">
        <f aca="false">IF(D920="","",IFERROR(VLOOKUP(D920,Assumptions!$G$5:$H$16,2,0),"Other"))</f>
        <v/>
      </c>
      <c r="J920" s="41" t="str">
        <f aca="false">IF(G920="","",IFERROR(IF(ISNUMBER(SEARCH(Assumptions!$C$5,G920)),Assumptions!$D$5,IF(ISNUMBER(SEARCH(Assumptions!$C$6,G920)),Assumptions!$D$6,IF(ISNUMBER(SEARCH(Assumptions!$C$7,G920)),Assumptions!$D$7,"Other Services"))),"Other Services"))</f>
        <v/>
      </c>
    </row>
    <row r="921" customFormat="false" ht="15" hidden="false" customHeight="false" outlineLevel="0" collapsed="false">
      <c r="E921" s="41" t="str">
        <f aca="false">IF(D921="","",IFERROR(VLOOKUP(D921,Assumptions!$G$5:$H$16,2,0),"Other"))</f>
        <v/>
      </c>
      <c r="J921" s="41" t="str">
        <f aca="false">IF(G921="","",IFERROR(IF(ISNUMBER(SEARCH(Assumptions!$C$5,G921)),Assumptions!$D$5,IF(ISNUMBER(SEARCH(Assumptions!$C$6,G921)),Assumptions!$D$6,IF(ISNUMBER(SEARCH(Assumptions!$C$7,G921)),Assumptions!$D$7,"Other Services"))),"Other Services"))</f>
        <v/>
      </c>
    </row>
    <row r="922" customFormat="false" ht="15" hidden="false" customHeight="false" outlineLevel="0" collapsed="false">
      <c r="E922" s="41" t="str">
        <f aca="false">IF(D922="","",IFERROR(VLOOKUP(D922,Assumptions!$G$5:$H$16,2,0),"Other"))</f>
        <v/>
      </c>
      <c r="J922" s="41" t="str">
        <f aca="false">IF(G922="","",IFERROR(IF(ISNUMBER(SEARCH(Assumptions!$C$5,G922)),Assumptions!$D$5,IF(ISNUMBER(SEARCH(Assumptions!$C$6,G922)),Assumptions!$D$6,IF(ISNUMBER(SEARCH(Assumptions!$C$7,G922)),Assumptions!$D$7,"Other Services"))),"Other Services"))</f>
        <v/>
      </c>
    </row>
    <row r="923" customFormat="false" ht="15" hidden="false" customHeight="false" outlineLevel="0" collapsed="false">
      <c r="E923" s="41" t="str">
        <f aca="false">IF(D923="","",IFERROR(VLOOKUP(D923,Assumptions!$G$5:$H$16,2,0),"Other"))</f>
        <v/>
      </c>
      <c r="J923" s="41" t="str">
        <f aca="false">IF(G923="","",IFERROR(IF(ISNUMBER(SEARCH(Assumptions!$C$5,G923)),Assumptions!$D$5,IF(ISNUMBER(SEARCH(Assumptions!$C$6,G923)),Assumptions!$D$6,IF(ISNUMBER(SEARCH(Assumptions!$C$7,G923)),Assumptions!$D$7,"Other Services"))),"Other Services"))</f>
        <v/>
      </c>
    </row>
    <row r="924" customFormat="false" ht="15" hidden="false" customHeight="false" outlineLevel="0" collapsed="false">
      <c r="E924" s="41" t="str">
        <f aca="false">IF(D924="","",IFERROR(VLOOKUP(D924,Assumptions!$G$5:$H$16,2,0),"Other"))</f>
        <v/>
      </c>
      <c r="J924" s="41" t="str">
        <f aca="false">IF(G924="","",IFERROR(IF(ISNUMBER(SEARCH(Assumptions!$C$5,G924)),Assumptions!$D$5,IF(ISNUMBER(SEARCH(Assumptions!$C$6,G924)),Assumptions!$D$6,IF(ISNUMBER(SEARCH(Assumptions!$C$7,G924)),Assumptions!$D$7,"Other Services"))),"Other Services"))</f>
        <v/>
      </c>
    </row>
    <row r="925" customFormat="false" ht="15" hidden="false" customHeight="false" outlineLevel="0" collapsed="false">
      <c r="E925" s="41" t="str">
        <f aca="false">IF(D925="","",IFERROR(VLOOKUP(D925,Assumptions!$G$5:$H$16,2,0),"Other"))</f>
        <v/>
      </c>
      <c r="J925" s="41" t="str">
        <f aca="false">IF(G925="","",IFERROR(IF(ISNUMBER(SEARCH(Assumptions!$C$5,G925)),Assumptions!$D$5,IF(ISNUMBER(SEARCH(Assumptions!$C$6,G925)),Assumptions!$D$6,IF(ISNUMBER(SEARCH(Assumptions!$C$7,G925)),Assumptions!$D$7,"Other Services"))),"Other Services"))</f>
        <v/>
      </c>
    </row>
    <row r="926" customFormat="false" ht="15" hidden="false" customHeight="false" outlineLevel="0" collapsed="false">
      <c r="E926" s="41" t="str">
        <f aca="false">IF(D926="","",IFERROR(VLOOKUP(D926,Assumptions!$G$5:$H$16,2,0),"Other"))</f>
        <v/>
      </c>
      <c r="J926" s="41" t="str">
        <f aca="false">IF(G926="","",IFERROR(IF(ISNUMBER(SEARCH(Assumptions!$C$5,G926)),Assumptions!$D$5,IF(ISNUMBER(SEARCH(Assumptions!$C$6,G926)),Assumptions!$D$6,IF(ISNUMBER(SEARCH(Assumptions!$C$7,G926)),Assumptions!$D$7,"Other Services"))),"Other Services"))</f>
        <v/>
      </c>
    </row>
    <row r="927" customFormat="false" ht="15" hidden="false" customHeight="false" outlineLevel="0" collapsed="false">
      <c r="E927" s="41" t="str">
        <f aca="false">IF(D927="","",IFERROR(VLOOKUP(D927,Assumptions!$G$5:$H$16,2,0),"Other"))</f>
        <v/>
      </c>
      <c r="J927" s="41" t="str">
        <f aca="false">IF(G927="","",IFERROR(IF(ISNUMBER(SEARCH(Assumptions!$C$5,G927)),Assumptions!$D$5,IF(ISNUMBER(SEARCH(Assumptions!$C$6,G927)),Assumptions!$D$6,IF(ISNUMBER(SEARCH(Assumptions!$C$7,G927)),Assumptions!$D$7,"Other Services"))),"Other Services"))</f>
        <v/>
      </c>
    </row>
    <row r="928" customFormat="false" ht="15" hidden="false" customHeight="false" outlineLevel="0" collapsed="false">
      <c r="E928" s="41" t="str">
        <f aca="false">IF(D928="","",IFERROR(VLOOKUP(D928,Assumptions!$G$5:$H$16,2,0),"Other"))</f>
        <v/>
      </c>
      <c r="J928" s="41" t="str">
        <f aca="false">IF(G928="","",IFERROR(IF(ISNUMBER(SEARCH(Assumptions!$C$5,G928)),Assumptions!$D$5,IF(ISNUMBER(SEARCH(Assumptions!$C$6,G928)),Assumptions!$D$6,IF(ISNUMBER(SEARCH(Assumptions!$C$7,G928)),Assumptions!$D$7,"Other Services"))),"Other Services"))</f>
        <v/>
      </c>
    </row>
    <row r="929" customFormat="false" ht="15" hidden="false" customHeight="false" outlineLevel="0" collapsed="false">
      <c r="E929" s="41" t="str">
        <f aca="false">IF(D929="","",IFERROR(VLOOKUP(D929,Assumptions!$G$5:$H$16,2,0),"Other"))</f>
        <v/>
      </c>
      <c r="J929" s="41" t="str">
        <f aca="false">IF(G929="","",IFERROR(IF(ISNUMBER(SEARCH(Assumptions!$C$5,G929)),Assumptions!$D$5,IF(ISNUMBER(SEARCH(Assumptions!$C$6,G929)),Assumptions!$D$6,IF(ISNUMBER(SEARCH(Assumptions!$C$7,G929)),Assumptions!$D$7,"Other Services"))),"Other Services"))</f>
        <v/>
      </c>
    </row>
    <row r="930" customFormat="false" ht="15" hidden="false" customHeight="false" outlineLevel="0" collapsed="false">
      <c r="E930" s="41" t="str">
        <f aca="false">IF(D930="","",IFERROR(VLOOKUP(D930,Assumptions!$G$5:$H$16,2,0),"Other"))</f>
        <v/>
      </c>
      <c r="J930" s="41" t="str">
        <f aca="false">IF(G930="","",IFERROR(IF(ISNUMBER(SEARCH(Assumptions!$C$5,G930)),Assumptions!$D$5,IF(ISNUMBER(SEARCH(Assumptions!$C$6,G930)),Assumptions!$D$6,IF(ISNUMBER(SEARCH(Assumptions!$C$7,G930)),Assumptions!$D$7,"Other Services"))),"Other Services"))</f>
        <v/>
      </c>
    </row>
    <row r="931" customFormat="false" ht="15" hidden="false" customHeight="false" outlineLevel="0" collapsed="false">
      <c r="E931" s="41" t="str">
        <f aca="false">IF(D931="","",IFERROR(VLOOKUP(D931,Assumptions!$G$5:$H$16,2,0),"Other"))</f>
        <v/>
      </c>
      <c r="J931" s="41" t="str">
        <f aca="false">IF(G931="","",IFERROR(IF(ISNUMBER(SEARCH(Assumptions!$C$5,G931)),Assumptions!$D$5,IF(ISNUMBER(SEARCH(Assumptions!$C$6,G931)),Assumptions!$D$6,IF(ISNUMBER(SEARCH(Assumptions!$C$7,G931)),Assumptions!$D$7,"Other Services"))),"Other Services"))</f>
        <v/>
      </c>
    </row>
    <row r="932" customFormat="false" ht="15" hidden="false" customHeight="false" outlineLevel="0" collapsed="false">
      <c r="E932" s="41" t="str">
        <f aca="false">IF(D932="","",IFERROR(VLOOKUP(D932,Assumptions!$G$5:$H$16,2,0),"Other"))</f>
        <v/>
      </c>
      <c r="J932" s="41" t="str">
        <f aca="false">IF(G932="","",IFERROR(IF(ISNUMBER(SEARCH(Assumptions!$C$5,G932)),Assumptions!$D$5,IF(ISNUMBER(SEARCH(Assumptions!$C$6,G932)),Assumptions!$D$6,IF(ISNUMBER(SEARCH(Assumptions!$C$7,G932)),Assumptions!$D$7,"Other Services"))),"Other Services"))</f>
        <v/>
      </c>
    </row>
    <row r="933" customFormat="false" ht="15" hidden="false" customHeight="false" outlineLevel="0" collapsed="false">
      <c r="E933" s="41" t="str">
        <f aca="false">IF(D933="","",IFERROR(VLOOKUP(D933,Assumptions!$G$5:$H$16,2,0),"Other"))</f>
        <v/>
      </c>
      <c r="J933" s="41" t="str">
        <f aca="false">IF(G933="","",IFERROR(IF(ISNUMBER(SEARCH(Assumptions!$C$5,G933)),Assumptions!$D$5,IF(ISNUMBER(SEARCH(Assumptions!$C$6,G933)),Assumptions!$D$6,IF(ISNUMBER(SEARCH(Assumptions!$C$7,G933)),Assumptions!$D$7,"Other Services"))),"Other Services"))</f>
        <v/>
      </c>
    </row>
    <row r="934" customFormat="false" ht="15" hidden="false" customHeight="false" outlineLevel="0" collapsed="false">
      <c r="E934" s="41" t="str">
        <f aca="false">IF(D934="","",IFERROR(VLOOKUP(D934,Assumptions!$G$5:$H$16,2,0),"Other"))</f>
        <v/>
      </c>
      <c r="J934" s="41" t="str">
        <f aca="false">IF(G934="","",IFERROR(IF(ISNUMBER(SEARCH(Assumptions!$C$5,G934)),Assumptions!$D$5,IF(ISNUMBER(SEARCH(Assumptions!$C$6,G934)),Assumptions!$D$6,IF(ISNUMBER(SEARCH(Assumptions!$C$7,G934)),Assumptions!$D$7,"Other Services"))),"Other Services"))</f>
        <v/>
      </c>
    </row>
    <row r="935" customFormat="false" ht="15" hidden="false" customHeight="false" outlineLevel="0" collapsed="false">
      <c r="E935" s="41" t="str">
        <f aca="false">IF(D935="","",IFERROR(VLOOKUP(D935,Assumptions!$G$5:$H$16,2,0),"Other"))</f>
        <v/>
      </c>
      <c r="J935" s="41" t="str">
        <f aca="false">IF(G935="","",IFERROR(IF(ISNUMBER(SEARCH(Assumptions!$C$5,G935)),Assumptions!$D$5,IF(ISNUMBER(SEARCH(Assumptions!$C$6,G935)),Assumptions!$D$6,IF(ISNUMBER(SEARCH(Assumptions!$C$7,G935)),Assumptions!$D$7,"Other Services"))),"Other Services"))</f>
        <v/>
      </c>
    </row>
    <row r="936" customFormat="false" ht="15" hidden="false" customHeight="false" outlineLevel="0" collapsed="false">
      <c r="E936" s="41" t="str">
        <f aca="false">IF(D936="","",IFERROR(VLOOKUP(D936,Assumptions!$G$5:$H$16,2,0),"Other"))</f>
        <v/>
      </c>
      <c r="J936" s="41" t="str">
        <f aca="false">IF(G936="","",IFERROR(IF(ISNUMBER(SEARCH(Assumptions!$C$5,G936)),Assumptions!$D$5,IF(ISNUMBER(SEARCH(Assumptions!$C$6,G936)),Assumptions!$D$6,IF(ISNUMBER(SEARCH(Assumptions!$C$7,G936)),Assumptions!$D$7,"Other Services"))),"Other Services"))</f>
        <v/>
      </c>
    </row>
    <row r="937" customFormat="false" ht="15" hidden="false" customHeight="false" outlineLevel="0" collapsed="false">
      <c r="E937" s="41" t="str">
        <f aca="false">IF(D937="","",IFERROR(VLOOKUP(D937,Assumptions!$G$5:$H$16,2,0),"Other"))</f>
        <v/>
      </c>
      <c r="J937" s="41" t="str">
        <f aca="false">IF(G937="","",IFERROR(IF(ISNUMBER(SEARCH(Assumptions!$C$5,G937)),Assumptions!$D$5,IF(ISNUMBER(SEARCH(Assumptions!$C$6,G937)),Assumptions!$D$6,IF(ISNUMBER(SEARCH(Assumptions!$C$7,G937)),Assumptions!$D$7,"Other Services"))),"Other Services"))</f>
        <v/>
      </c>
    </row>
    <row r="938" customFormat="false" ht="15" hidden="false" customHeight="false" outlineLevel="0" collapsed="false">
      <c r="E938" s="41" t="str">
        <f aca="false">IF(D938="","",IFERROR(VLOOKUP(D938,Assumptions!$G$5:$H$16,2,0),"Other"))</f>
        <v/>
      </c>
      <c r="J938" s="41" t="str">
        <f aca="false">IF(G938="","",IFERROR(IF(ISNUMBER(SEARCH(Assumptions!$C$5,G938)),Assumptions!$D$5,IF(ISNUMBER(SEARCH(Assumptions!$C$6,G938)),Assumptions!$D$6,IF(ISNUMBER(SEARCH(Assumptions!$C$7,G938)),Assumptions!$D$7,"Other Services"))),"Other Services"))</f>
        <v/>
      </c>
    </row>
    <row r="939" customFormat="false" ht="15" hidden="false" customHeight="false" outlineLevel="0" collapsed="false">
      <c r="E939" s="41" t="str">
        <f aca="false">IF(D939="","",IFERROR(VLOOKUP(D939,Assumptions!$G$5:$H$16,2,0),"Other"))</f>
        <v/>
      </c>
      <c r="J939" s="41" t="str">
        <f aca="false">IF(G939="","",IFERROR(IF(ISNUMBER(SEARCH(Assumptions!$C$5,G939)),Assumptions!$D$5,IF(ISNUMBER(SEARCH(Assumptions!$C$6,G939)),Assumptions!$D$6,IF(ISNUMBER(SEARCH(Assumptions!$C$7,G939)),Assumptions!$D$7,"Other Services"))),"Other Services"))</f>
        <v/>
      </c>
    </row>
    <row r="940" customFormat="false" ht="15" hidden="false" customHeight="false" outlineLevel="0" collapsed="false">
      <c r="E940" s="41" t="str">
        <f aca="false">IF(D940="","",IFERROR(VLOOKUP(D940,Assumptions!$G$5:$H$16,2,0),"Other"))</f>
        <v/>
      </c>
      <c r="J940" s="41" t="str">
        <f aca="false">IF(G940="","",IFERROR(IF(ISNUMBER(SEARCH(Assumptions!$C$5,G940)),Assumptions!$D$5,IF(ISNUMBER(SEARCH(Assumptions!$C$6,G940)),Assumptions!$D$6,IF(ISNUMBER(SEARCH(Assumptions!$C$7,G940)),Assumptions!$D$7,"Other Services"))),"Other Services"))</f>
        <v/>
      </c>
    </row>
    <row r="941" customFormat="false" ht="15" hidden="false" customHeight="false" outlineLevel="0" collapsed="false">
      <c r="E941" s="41" t="str">
        <f aca="false">IF(D941="","",IFERROR(VLOOKUP(D941,Assumptions!$G$5:$H$16,2,0),"Other"))</f>
        <v/>
      </c>
      <c r="J941" s="41" t="str">
        <f aca="false">IF(G941="","",IFERROR(IF(ISNUMBER(SEARCH(Assumptions!$C$5,G941)),Assumptions!$D$5,IF(ISNUMBER(SEARCH(Assumptions!$C$6,G941)),Assumptions!$D$6,IF(ISNUMBER(SEARCH(Assumptions!$C$7,G941)),Assumptions!$D$7,"Other Services"))),"Other Services"))</f>
        <v/>
      </c>
    </row>
    <row r="942" customFormat="false" ht="15" hidden="false" customHeight="false" outlineLevel="0" collapsed="false">
      <c r="E942" s="41" t="str">
        <f aca="false">IF(D942="","",IFERROR(VLOOKUP(D942,Assumptions!$G$5:$H$16,2,0),"Other"))</f>
        <v/>
      </c>
      <c r="J942" s="41" t="str">
        <f aca="false">IF(G942="","",IFERROR(IF(ISNUMBER(SEARCH(Assumptions!$C$5,G942)),Assumptions!$D$5,IF(ISNUMBER(SEARCH(Assumptions!$C$6,G942)),Assumptions!$D$6,IF(ISNUMBER(SEARCH(Assumptions!$C$7,G942)),Assumptions!$D$7,"Other Services"))),"Other Services"))</f>
        <v/>
      </c>
    </row>
    <row r="943" customFormat="false" ht="15" hidden="false" customHeight="false" outlineLevel="0" collapsed="false">
      <c r="E943" s="41" t="str">
        <f aca="false">IF(D943="","",IFERROR(VLOOKUP(D943,Assumptions!$G$5:$H$16,2,0),"Other"))</f>
        <v/>
      </c>
      <c r="J943" s="41" t="str">
        <f aca="false">IF(G943="","",IFERROR(IF(ISNUMBER(SEARCH(Assumptions!$C$5,G943)),Assumptions!$D$5,IF(ISNUMBER(SEARCH(Assumptions!$C$6,G943)),Assumptions!$D$6,IF(ISNUMBER(SEARCH(Assumptions!$C$7,G943)),Assumptions!$D$7,"Other Services"))),"Other Services"))</f>
        <v/>
      </c>
    </row>
    <row r="944" customFormat="false" ht="15" hidden="false" customHeight="false" outlineLevel="0" collapsed="false">
      <c r="E944" s="41" t="str">
        <f aca="false">IF(D944="","",IFERROR(VLOOKUP(D944,Assumptions!$G$5:$H$16,2,0),"Other"))</f>
        <v/>
      </c>
      <c r="J944" s="41" t="str">
        <f aca="false">IF(G944="","",IFERROR(IF(ISNUMBER(SEARCH(Assumptions!$C$5,G944)),Assumptions!$D$5,IF(ISNUMBER(SEARCH(Assumptions!$C$6,G944)),Assumptions!$D$6,IF(ISNUMBER(SEARCH(Assumptions!$C$7,G944)),Assumptions!$D$7,"Other Services"))),"Other Services"))</f>
        <v/>
      </c>
    </row>
    <row r="945" customFormat="false" ht="15" hidden="false" customHeight="false" outlineLevel="0" collapsed="false">
      <c r="E945" s="41" t="str">
        <f aca="false">IF(D945="","",IFERROR(VLOOKUP(D945,Assumptions!$G$5:$H$16,2,0),"Other"))</f>
        <v/>
      </c>
      <c r="J945" s="41" t="str">
        <f aca="false">IF(G945="","",IFERROR(IF(ISNUMBER(SEARCH(Assumptions!$C$5,G945)),Assumptions!$D$5,IF(ISNUMBER(SEARCH(Assumptions!$C$6,G945)),Assumptions!$D$6,IF(ISNUMBER(SEARCH(Assumptions!$C$7,G945)),Assumptions!$D$7,"Other Services"))),"Other Services"))</f>
        <v/>
      </c>
    </row>
    <row r="946" customFormat="false" ht="15" hidden="false" customHeight="false" outlineLevel="0" collapsed="false">
      <c r="E946" s="41" t="str">
        <f aca="false">IF(D946="","",IFERROR(VLOOKUP(D946,Assumptions!$G$5:$H$16,2,0),"Other"))</f>
        <v/>
      </c>
      <c r="J946" s="41" t="str">
        <f aca="false">IF(G946="","",IFERROR(IF(ISNUMBER(SEARCH(Assumptions!$C$5,G946)),Assumptions!$D$5,IF(ISNUMBER(SEARCH(Assumptions!$C$6,G946)),Assumptions!$D$6,IF(ISNUMBER(SEARCH(Assumptions!$C$7,G946)),Assumptions!$D$7,"Other Services"))),"Other Services"))</f>
        <v/>
      </c>
    </row>
    <row r="947" customFormat="false" ht="15" hidden="false" customHeight="false" outlineLevel="0" collapsed="false">
      <c r="E947" s="41" t="str">
        <f aca="false">IF(D947="","",IFERROR(VLOOKUP(D947,Assumptions!$G$5:$H$16,2,0),"Other"))</f>
        <v/>
      </c>
      <c r="J947" s="41" t="str">
        <f aca="false">IF(G947="","",IFERROR(IF(ISNUMBER(SEARCH(Assumptions!$C$5,G947)),Assumptions!$D$5,IF(ISNUMBER(SEARCH(Assumptions!$C$6,G947)),Assumptions!$D$6,IF(ISNUMBER(SEARCH(Assumptions!$C$7,G947)),Assumptions!$D$7,"Other Services"))),"Other Services"))</f>
        <v/>
      </c>
    </row>
    <row r="948" customFormat="false" ht="15" hidden="false" customHeight="false" outlineLevel="0" collapsed="false">
      <c r="E948" s="41" t="str">
        <f aca="false">IF(D948="","",IFERROR(VLOOKUP(D948,Assumptions!$G$5:$H$16,2,0),"Other"))</f>
        <v/>
      </c>
      <c r="J948" s="41" t="str">
        <f aca="false">IF(G948="","",IFERROR(IF(ISNUMBER(SEARCH(Assumptions!$C$5,G948)),Assumptions!$D$5,IF(ISNUMBER(SEARCH(Assumptions!$C$6,G948)),Assumptions!$D$6,IF(ISNUMBER(SEARCH(Assumptions!$C$7,G948)),Assumptions!$D$7,"Other Services"))),"Other Services"))</f>
        <v/>
      </c>
    </row>
    <row r="949" customFormat="false" ht="15" hidden="false" customHeight="false" outlineLevel="0" collapsed="false">
      <c r="E949" s="41" t="str">
        <f aca="false">IF(D949="","",IFERROR(VLOOKUP(D949,Assumptions!$G$5:$H$16,2,0),"Other"))</f>
        <v/>
      </c>
      <c r="J949" s="41" t="str">
        <f aca="false">IF(G949="","",IFERROR(IF(ISNUMBER(SEARCH(Assumptions!$C$5,G949)),Assumptions!$D$5,IF(ISNUMBER(SEARCH(Assumptions!$C$6,G949)),Assumptions!$D$6,IF(ISNUMBER(SEARCH(Assumptions!$C$7,G949)),Assumptions!$D$7,"Other Services"))),"Other Services"))</f>
        <v/>
      </c>
    </row>
    <row r="950" customFormat="false" ht="15" hidden="false" customHeight="false" outlineLevel="0" collapsed="false">
      <c r="E950" s="41" t="str">
        <f aca="false">IF(D950="","",IFERROR(VLOOKUP(D950,Assumptions!$G$5:$H$16,2,0),"Other"))</f>
        <v/>
      </c>
      <c r="J950" s="41" t="str">
        <f aca="false">IF(G950="","",IFERROR(IF(ISNUMBER(SEARCH(Assumptions!$C$5,G950)),Assumptions!$D$5,IF(ISNUMBER(SEARCH(Assumptions!$C$6,G950)),Assumptions!$D$6,IF(ISNUMBER(SEARCH(Assumptions!$C$7,G950)),Assumptions!$D$7,"Other Services"))),"Other Services"))</f>
        <v/>
      </c>
    </row>
    <row r="951" customFormat="false" ht="15" hidden="false" customHeight="false" outlineLevel="0" collapsed="false">
      <c r="E951" s="41" t="str">
        <f aca="false">IF(D951="","",IFERROR(VLOOKUP(D951,Assumptions!$G$5:$H$16,2,0),"Other"))</f>
        <v/>
      </c>
      <c r="J951" s="41" t="str">
        <f aca="false">IF(G951="","",IFERROR(IF(ISNUMBER(SEARCH(Assumptions!$C$5,G951)),Assumptions!$D$5,IF(ISNUMBER(SEARCH(Assumptions!$C$6,G951)),Assumptions!$D$6,IF(ISNUMBER(SEARCH(Assumptions!$C$7,G951)),Assumptions!$D$7,"Other Services"))),"Other Services"))</f>
        <v/>
      </c>
    </row>
    <row r="952" customFormat="false" ht="15" hidden="false" customHeight="false" outlineLevel="0" collapsed="false">
      <c r="E952" s="41" t="str">
        <f aca="false">IF(D952="","",IFERROR(VLOOKUP(D952,Assumptions!$G$5:$H$16,2,0),"Other"))</f>
        <v/>
      </c>
      <c r="J952" s="41" t="str">
        <f aca="false">IF(G952="","",IFERROR(IF(ISNUMBER(SEARCH(Assumptions!$C$5,G952)),Assumptions!$D$5,IF(ISNUMBER(SEARCH(Assumptions!$C$6,G952)),Assumptions!$D$6,IF(ISNUMBER(SEARCH(Assumptions!$C$7,G952)),Assumptions!$D$7,"Other Services"))),"Other Services"))</f>
        <v/>
      </c>
    </row>
    <row r="953" customFormat="false" ht="15" hidden="false" customHeight="false" outlineLevel="0" collapsed="false">
      <c r="E953" s="41" t="str">
        <f aca="false">IF(D953="","",IFERROR(VLOOKUP(D953,Assumptions!$G$5:$H$16,2,0),"Other"))</f>
        <v/>
      </c>
      <c r="J953" s="41" t="str">
        <f aca="false">IF(G953="","",IFERROR(IF(ISNUMBER(SEARCH(Assumptions!$C$5,G953)),Assumptions!$D$5,IF(ISNUMBER(SEARCH(Assumptions!$C$6,G953)),Assumptions!$D$6,IF(ISNUMBER(SEARCH(Assumptions!$C$7,G953)),Assumptions!$D$7,"Other Services"))),"Other Services"))</f>
        <v/>
      </c>
    </row>
    <row r="954" customFormat="false" ht="15" hidden="false" customHeight="false" outlineLevel="0" collapsed="false">
      <c r="E954" s="41" t="str">
        <f aca="false">IF(D954="","",IFERROR(VLOOKUP(D954,Assumptions!$G$5:$H$16,2,0),"Other"))</f>
        <v/>
      </c>
      <c r="J954" s="41" t="str">
        <f aca="false">IF(G954="","",IFERROR(IF(ISNUMBER(SEARCH(Assumptions!$C$5,G954)),Assumptions!$D$5,IF(ISNUMBER(SEARCH(Assumptions!$C$6,G954)),Assumptions!$D$6,IF(ISNUMBER(SEARCH(Assumptions!$C$7,G954)),Assumptions!$D$7,"Other Services"))),"Other Services"))</f>
        <v/>
      </c>
    </row>
    <row r="955" customFormat="false" ht="15" hidden="false" customHeight="false" outlineLevel="0" collapsed="false">
      <c r="E955" s="41" t="str">
        <f aca="false">IF(D955="","",IFERROR(VLOOKUP(D955,Assumptions!$G$5:$H$16,2,0),"Other"))</f>
        <v/>
      </c>
      <c r="J955" s="41" t="str">
        <f aca="false">IF(G955="","",IFERROR(IF(ISNUMBER(SEARCH(Assumptions!$C$5,G955)),Assumptions!$D$5,IF(ISNUMBER(SEARCH(Assumptions!$C$6,G955)),Assumptions!$D$6,IF(ISNUMBER(SEARCH(Assumptions!$C$7,G955)),Assumptions!$D$7,"Other Services"))),"Other Services"))</f>
        <v/>
      </c>
    </row>
    <row r="956" customFormat="false" ht="15" hidden="false" customHeight="false" outlineLevel="0" collapsed="false">
      <c r="E956" s="41" t="str">
        <f aca="false">IF(D956="","",IFERROR(VLOOKUP(D956,Assumptions!$G$5:$H$16,2,0),"Other"))</f>
        <v/>
      </c>
      <c r="J956" s="41" t="str">
        <f aca="false">IF(G956="","",IFERROR(IF(ISNUMBER(SEARCH(Assumptions!$C$5,G956)),Assumptions!$D$5,IF(ISNUMBER(SEARCH(Assumptions!$C$6,G956)),Assumptions!$D$6,IF(ISNUMBER(SEARCH(Assumptions!$C$7,G956)),Assumptions!$D$7,"Other Services"))),"Other Services"))</f>
        <v/>
      </c>
    </row>
    <row r="957" customFormat="false" ht="15" hidden="false" customHeight="false" outlineLevel="0" collapsed="false">
      <c r="E957" s="41" t="str">
        <f aca="false">IF(D957="","",IFERROR(VLOOKUP(D957,Assumptions!$G$5:$H$16,2,0),"Other"))</f>
        <v/>
      </c>
      <c r="J957" s="41" t="str">
        <f aca="false">IF(G957="","",IFERROR(IF(ISNUMBER(SEARCH(Assumptions!$C$5,G957)),Assumptions!$D$5,IF(ISNUMBER(SEARCH(Assumptions!$C$6,G957)),Assumptions!$D$6,IF(ISNUMBER(SEARCH(Assumptions!$C$7,G957)),Assumptions!$D$7,"Other Services"))),"Other Services"))</f>
        <v/>
      </c>
    </row>
    <row r="958" customFormat="false" ht="15" hidden="false" customHeight="false" outlineLevel="0" collapsed="false">
      <c r="E958" s="41" t="str">
        <f aca="false">IF(D958="","",IFERROR(VLOOKUP(D958,Assumptions!$G$5:$H$16,2,0),"Other"))</f>
        <v/>
      </c>
      <c r="J958" s="41" t="str">
        <f aca="false">IF(G958="","",IFERROR(IF(ISNUMBER(SEARCH(Assumptions!$C$5,G958)),Assumptions!$D$5,IF(ISNUMBER(SEARCH(Assumptions!$C$6,G958)),Assumptions!$D$6,IF(ISNUMBER(SEARCH(Assumptions!$C$7,G958)),Assumptions!$D$7,"Other Services"))),"Other Services"))</f>
        <v/>
      </c>
    </row>
    <row r="959" customFormat="false" ht="15" hidden="false" customHeight="false" outlineLevel="0" collapsed="false">
      <c r="E959" s="41" t="str">
        <f aca="false">IF(D959="","",IFERROR(VLOOKUP(D959,Assumptions!$G$5:$H$16,2,0),"Other"))</f>
        <v/>
      </c>
      <c r="J959" s="41" t="str">
        <f aca="false">IF(G959="","",IFERROR(IF(ISNUMBER(SEARCH(Assumptions!$C$5,G959)),Assumptions!$D$5,IF(ISNUMBER(SEARCH(Assumptions!$C$6,G959)),Assumptions!$D$6,IF(ISNUMBER(SEARCH(Assumptions!$C$7,G959)),Assumptions!$D$7,"Other Services"))),"Other Services"))</f>
        <v/>
      </c>
    </row>
    <row r="960" customFormat="false" ht="15" hidden="false" customHeight="false" outlineLevel="0" collapsed="false">
      <c r="E960" s="41" t="str">
        <f aca="false">IF(D960="","",IFERROR(VLOOKUP(D960,Assumptions!$G$5:$H$16,2,0),"Other"))</f>
        <v/>
      </c>
      <c r="J960" s="41" t="str">
        <f aca="false">IF(G960="","",IFERROR(IF(ISNUMBER(SEARCH(Assumptions!$C$5,G960)),Assumptions!$D$5,IF(ISNUMBER(SEARCH(Assumptions!$C$6,G960)),Assumptions!$D$6,IF(ISNUMBER(SEARCH(Assumptions!$C$7,G960)),Assumptions!$D$7,"Other Services"))),"Other Services"))</f>
        <v/>
      </c>
    </row>
    <row r="961" customFormat="false" ht="15" hidden="false" customHeight="false" outlineLevel="0" collapsed="false">
      <c r="E961" s="41" t="str">
        <f aca="false">IF(D961="","",IFERROR(VLOOKUP(D961,Assumptions!$G$5:$H$16,2,0),"Other"))</f>
        <v/>
      </c>
      <c r="J961" s="41" t="str">
        <f aca="false">IF(G961="","",IFERROR(IF(ISNUMBER(SEARCH(Assumptions!$C$5,G961)),Assumptions!$D$5,IF(ISNUMBER(SEARCH(Assumptions!$C$6,G961)),Assumptions!$D$6,IF(ISNUMBER(SEARCH(Assumptions!$C$7,G961)),Assumptions!$D$7,"Other Services"))),"Other Services"))</f>
        <v/>
      </c>
    </row>
    <row r="962" customFormat="false" ht="15" hidden="false" customHeight="false" outlineLevel="0" collapsed="false">
      <c r="E962" s="41" t="str">
        <f aca="false">IF(D962="","",IFERROR(VLOOKUP(D962,Assumptions!$G$5:$H$16,2,0),"Other"))</f>
        <v/>
      </c>
      <c r="J962" s="41" t="str">
        <f aca="false">IF(G962="","",IFERROR(IF(ISNUMBER(SEARCH(Assumptions!$C$5,G962)),Assumptions!$D$5,IF(ISNUMBER(SEARCH(Assumptions!$C$6,G962)),Assumptions!$D$6,IF(ISNUMBER(SEARCH(Assumptions!$C$7,G962)),Assumptions!$D$7,"Other Services"))),"Other Services"))</f>
        <v/>
      </c>
    </row>
    <row r="963" customFormat="false" ht="15" hidden="false" customHeight="false" outlineLevel="0" collapsed="false">
      <c r="E963" s="41" t="str">
        <f aca="false">IF(D963="","",IFERROR(VLOOKUP(D963,Assumptions!$G$5:$H$16,2,0),"Other"))</f>
        <v/>
      </c>
      <c r="J963" s="41" t="str">
        <f aca="false">IF(G963="","",IFERROR(IF(ISNUMBER(SEARCH(Assumptions!$C$5,G963)),Assumptions!$D$5,IF(ISNUMBER(SEARCH(Assumptions!$C$6,G963)),Assumptions!$D$6,IF(ISNUMBER(SEARCH(Assumptions!$C$7,G963)),Assumptions!$D$7,"Other Services"))),"Other Services"))</f>
        <v/>
      </c>
    </row>
    <row r="964" customFormat="false" ht="15" hidden="false" customHeight="false" outlineLevel="0" collapsed="false">
      <c r="E964" s="41" t="str">
        <f aca="false">IF(D964="","",IFERROR(VLOOKUP(D964,Assumptions!$G$5:$H$16,2,0),"Other"))</f>
        <v/>
      </c>
      <c r="J964" s="41" t="str">
        <f aca="false">IF(G964="","",IFERROR(IF(ISNUMBER(SEARCH(Assumptions!$C$5,G964)),Assumptions!$D$5,IF(ISNUMBER(SEARCH(Assumptions!$C$6,G964)),Assumptions!$D$6,IF(ISNUMBER(SEARCH(Assumptions!$C$7,G964)),Assumptions!$D$7,"Other Services"))),"Other Services"))</f>
        <v/>
      </c>
    </row>
    <row r="965" customFormat="false" ht="15" hidden="false" customHeight="false" outlineLevel="0" collapsed="false">
      <c r="E965" s="41" t="str">
        <f aca="false">IF(D965="","",IFERROR(VLOOKUP(D965,Assumptions!$G$5:$H$16,2,0),"Other"))</f>
        <v/>
      </c>
      <c r="J965" s="41" t="str">
        <f aca="false">IF(G965="","",IFERROR(IF(ISNUMBER(SEARCH(Assumptions!$C$5,G965)),Assumptions!$D$5,IF(ISNUMBER(SEARCH(Assumptions!$C$6,G965)),Assumptions!$D$6,IF(ISNUMBER(SEARCH(Assumptions!$C$7,G965)),Assumptions!$D$7,"Other Services"))),"Other Services"))</f>
        <v/>
      </c>
    </row>
    <row r="966" customFormat="false" ht="15" hidden="false" customHeight="false" outlineLevel="0" collapsed="false">
      <c r="E966" s="41" t="str">
        <f aca="false">IF(D966="","",IFERROR(VLOOKUP(D966,Assumptions!$G$5:$H$16,2,0),"Other"))</f>
        <v/>
      </c>
      <c r="J966" s="41" t="str">
        <f aca="false">IF(G966="","",IFERROR(IF(ISNUMBER(SEARCH(Assumptions!$C$5,G966)),Assumptions!$D$5,IF(ISNUMBER(SEARCH(Assumptions!$C$6,G966)),Assumptions!$D$6,IF(ISNUMBER(SEARCH(Assumptions!$C$7,G966)),Assumptions!$D$7,"Other Services"))),"Other Services"))</f>
        <v/>
      </c>
    </row>
    <row r="967" customFormat="false" ht="15" hidden="false" customHeight="false" outlineLevel="0" collapsed="false">
      <c r="E967" s="41" t="str">
        <f aca="false">IF(D967="","",IFERROR(VLOOKUP(D967,Assumptions!$G$5:$H$16,2,0),"Other"))</f>
        <v/>
      </c>
      <c r="J967" s="41" t="str">
        <f aca="false">IF(G967="","",IFERROR(IF(ISNUMBER(SEARCH(Assumptions!$C$5,G967)),Assumptions!$D$5,IF(ISNUMBER(SEARCH(Assumptions!$C$6,G967)),Assumptions!$D$6,IF(ISNUMBER(SEARCH(Assumptions!$C$7,G967)),Assumptions!$D$7,"Other Services"))),"Other Services"))</f>
        <v/>
      </c>
    </row>
    <row r="968" customFormat="false" ht="15" hidden="false" customHeight="false" outlineLevel="0" collapsed="false">
      <c r="E968" s="41" t="str">
        <f aca="false">IF(D968="","",IFERROR(VLOOKUP(D968,Assumptions!$G$5:$H$16,2,0),"Other"))</f>
        <v/>
      </c>
      <c r="J968" s="41" t="str">
        <f aca="false">IF(G968="","",IFERROR(IF(ISNUMBER(SEARCH(Assumptions!$C$5,G968)),Assumptions!$D$5,IF(ISNUMBER(SEARCH(Assumptions!$C$6,G968)),Assumptions!$D$6,IF(ISNUMBER(SEARCH(Assumptions!$C$7,G968)),Assumptions!$D$7,"Other Services"))),"Other Services"))</f>
        <v/>
      </c>
    </row>
    <row r="969" customFormat="false" ht="15" hidden="false" customHeight="false" outlineLevel="0" collapsed="false">
      <c r="E969" s="41" t="str">
        <f aca="false">IF(D969="","",IFERROR(VLOOKUP(D969,Assumptions!$G$5:$H$16,2,0),"Other"))</f>
        <v/>
      </c>
      <c r="J969" s="41" t="str">
        <f aca="false">IF(G969="","",IFERROR(IF(ISNUMBER(SEARCH(Assumptions!$C$5,G969)),Assumptions!$D$5,IF(ISNUMBER(SEARCH(Assumptions!$C$6,G969)),Assumptions!$D$6,IF(ISNUMBER(SEARCH(Assumptions!$C$7,G969)),Assumptions!$D$7,"Other Services"))),"Other Services"))</f>
        <v/>
      </c>
    </row>
    <row r="970" customFormat="false" ht="15" hidden="false" customHeight="false" outlineLevel="0" collapsed="false">
      <c r="E970" s="41" t="str">
        <f aca="false">IF(D970="","",IFERROR(VLOOKUP(D970,Assumptions!$G$5:$H$16,2,0),"Other"))</f>
        <v/>
      </c>
      <c r="J970" s="41" t="str">
        <f aca="false">IF(G970="","",IFERROR(IF(ISNUMBER(SEARCH(Assumptions!$C$5,G970)),Assumptions!$D$5,IF(ISNUMBER(SEARCH(Assumptions!$C$6,G970)),Assumptions!$D$6,IF(ISNUMBER(SEARCH(Assumptions!$C$7,G970)),Assumptions!$D$7,"Other Services"))),"Other Services"))</f>
        <v/>
      </c>
    </row>
    <row r="971" customFormat="false" ht="15" hidden="false" customHeight="false" outlineLevel="0" collapsed="false">
      <c r="E971" s="41" t="str">
        <f aca="false">IF(D971="","",IFERROR(VLOOKUP(D971,Assumptions!$G$5:$H$16,2,0),"Other"))</f>
        <v/>
      </c>
      <c r="J971" s="41" t="str">
        <f aca="false">IF(G971="","",IFERROR(IF(ISNUMBER(SEARCH(Assumptions!$C$5,G971)),Assumptions!$D$5,IF(ISNUMBER(SEARCH(Assumptions!$C$6,G971)),Assumptions!$D$6,IF(ISNUMBER(SEARCH(Assumptions!$C$7,G971)),Assumptions!$D$7,"Other Services"))),"Other Services"))</f>
        <v/>
      </c>
    </row>
    <row r="972" customFormat="false" ht="15" hidden="false" customHeight="false" outlineLevel="0" collapsed="false">
      <c r="E972" s="41" t="str">
        <f aca="false">IF(D972="","",IFERROR(VLOOKUP(D972,Assumptions!$G$5:$H$16,2,0),"Other"))</f>
        <v/>
      </c>
      <c r="J972" s="41" t="str">
        <f aca="false">IF(G972="","",IFERROR(IF(ISNUMBER(SEARCH(Assumptions!$C$5,G972)),Assumptions!$D$5,IF(ISNUMBER(SEARCH(Assumptions!$C$6,G972)),Assumptions!$D$6,IF(ISNUMBER(SEARCH(Assumptions!$C$7,G972)),Assumptions!$D$7,"Other Services"))),"Other Services"))</f>
        <v/>
      </c>
    </row>
    <row r="973" customFormat="false" ht="15" hidden="false" customHeight="false" outlineLevel="0" collapsed="false">
      <c r="E973" s="41" t="str">
        <f aca="false">IF(D973="","",IFERROR(VLOOKUP(D973,Assumptions!$G$5:$H$16,2,0),"Other"))</f>
        <v/>
      </c>
      <c r="J973" s="41" t="str">
        <f aca="false">IF(G973="","",IFERROR(IF(ISNUMBER(SEARCH(Assumptions!$C$5,G973)),Assumptions!$D$5,IF(ISNUMBER(SEARCH(Assumptions!$C$6,G973)),Assumptions!$D$6,IF(ISNUMBER(SEARCH(Assumptions!$C$7,G973)),Assumptions!$D$7,"Other Services"))),"Other Services"))</f>
        <v/>
      </c>
    </row>
    <row r="974" customFormat="false" ht="15" hidden="false" customHeight="false" outlineLevel="0" collapsed="false">
      <c r="E974" s="41" t="str">
        <f aca="false">IF(D974="","",IFERROR(VLOOKUP(D974,Assumptions!$G$5:$H$16,2,0),"Other"))</f>
        <v/>
      </c>
      <c r="J974" s="41" t="str">
        <f aca="false">IF(G974="","",IFERROR(IF(ISNUMBER(SEARCH(Assumptions!$C$5,G974)),Assumptions!$D$5,IF(ISNUMBER(SEARCH(Assumptions!$C$6,G974)),Assumptions!$D$6,IF(ISNUMBER(SEARCH(Assumptions!$C$7,G974)),Assumptions!$D$7,"Other Services"))),"Other Services"))</f>
        <v/>
      </c>
    </row>
    <row r="975" customFormat="false" ht="15" hidden="false" customHeight="false" outlineLevel="0" collapsed="false">
      <c r="E975" s="41" t="str">
        <f aca="false">IF(D975="","",IFERROR(VLOOKUP(D975,Assumptions!$G$5:$H$16,2,0),"Other"))</f>
        <v/>
      </c>
      <c r="J975" s="41" t="str">
        <f aca="false">IF(G975="","",IFERROR(IF(ISNUMBER(SEARCH(Assumptions!$C$5,G975)),Assumptions!$D$5,IF(ISNUMBER(SEARCH(Assumptions!$C$6,G975)),Assumptions!$D$6,IF(ISNUMBER(SEARCH(Assumptions!$C$7,G975)),Assumptions!$D$7,"Other Services"))),"Other Services"))</f>
        <v/>
      </c>
    </row>
    <row r="976" customFormat="false" ht="15" hidden="false" customHeight="false" outlineLevel="0" collapsed="false">
      <c r="E976" s="41" t="str">
        <f aca="false">IF(D976="","",IFERROR(VLOOKUP(D976,Assumptions!$G$5:$H$16,2,0),"Other"))</f>
        <v/>
      </c>
      <c r="J976" s="41" t="str">
        <f aca="false">IF(G976="","",IFERROR(IF(ISNUMBER(SEARCH(Assumptions!$C$5,G976)),Assumptions!$D$5,IF(ISNUMBER(SEARCH(Assumptions!$C$6,G976)),Assumptions!$D$6,IF(ISNUMBER(SEARCH(Assumptions!$C$7,G976)),Assumptions!$D$7,"Other Services"))),"Other Services"))</f>
        <v/>
      </c>
    </row>
    <row r="977" customFormat="false" ht="15" hidden="false" customHeight="false" outlineLevel="0" collapsed="false">
      <c r="E977" s="41" t="str">
        <f aca="false">IF(D977="","",IFERROR(VLOOKUP(D977,Assumptions!$G$5:$H$16,2,0),"Other"))</f>
        <v/>
      </c>
      <c r="J977" s="41" t="str">
        <f aca="false">IF(G977="","",IFERROR(IF(ISNUMBER(SEARCH(Assumptions!$C$5,G977)),Assumptions!$D$5,IF(ISNUMBER(SEARCH(Assumptions!$C$6,G977)),Assumptions!$D$6,IF(ISNUMBER(SEARCH(Assumptions!$C$7,G977)),Assumptions!$D$7,"Other Services"))),"Other Services"))</f>
        <v/>
      </c>
    </row>
    <row r="978" customFormat="false" ht="15" hidden="false" customHeight="false" outlineLevel="0" collapsed="false">
      <c r="E978" s="41" t="str">
        <f aca="false">IF(D978="","",IFERROR(VLOOKUP(D978,Assumptions!$G$5:$H$16,2,0),"Other"))</f>
        <v/>
      </c>
      <c r="J978" s="41" t="str">
        <f aca="false">IF(G978="","",IFERROR(IF(ISNUMBER(SEARCH(Assumptions!$C$5,G978)),Assumptions!$D$5,IF(ISNUMBER(SEARCH(Assumptions!$C$6,G978)),Assumptions!$D$6,IF(ISNUMBER(SEARCH(Assumptions!$C$7,G978)),Assumptions!$D$7,"Other Services"))),"Other Services"))</f>
        <v/>
      </c>
    </row>
    <row r="979" customFormat="false" ht="15" hidden="false" customHeight="false" outlineLevel="0" collapsed="false">
      <c r="E979" s="41" t="str">
        <f aca="false">IF(D979="","",IFERROR(VLOOKUP(D979,Assumptions!$G$5:$H$16,2,0),"Other"))</f>
        <v/>
      </c>
      <c r="J979" s="41" t="str">
        <f aca="false">IF(G979="","",IFERROR(IF(ISNUMBER(SEARCH(Assumptions!$C$5,G979)),Assumptions!$D$5,IF(ISNUMBER(SEARCH(Assumptions!$C$6,G979)),Assumptions!$D$6,IF(ISNUMBER(SEARCH(Assumptions!$C$7,G979)),Assumptions!$D$7,"Other Services"))),"Other Services"))</f>
        <v/>
      </c>
    </row>
    <row r="980" customFormat="false" ht="15" hidden="false" customHeight="false" outlineLevel="0" collapsed="false">
      <c r="E980" s="41" t="str">
        <f aca="false">IF(D980="","",IFERROR(VLOOKUP(D980,Assumptions!$G$5:$H$16,2,0),"Other"))</f>
        <v/>
      </c>
      <c r="J980" s="41" t="str">
        <f aca="false">IF(G980="","",IFERROR(IF(ISNUMBER(SEARCH(Assumptions!$C$5,G980)),Assumptions!$D$5,IF(ISNUMBER(SEARCH(Assumptions!$C$6,G980)),Assumptions!$D$6,IF(ISNUMBER(SEARCH(Assumptions!$C$7,G980)),Assumptions!$D$7,"Other Services"))),"Other Services"))</f>
        <v/>
      </c>
    </row>
    <row r="981" customFormat="false" ht="15" hidden="false" customHeight="false" outlineLevel="0" collapsed="false">
      <c r="E981" s="41" t="str">
        <f aca="false">IF(D981="","",IFERROR(VLOOKUP(D981,Assumptions!$G$5:$H$16,2,0),"Other"))</f>
        <v/>
      </c>
      <c r="J981" s="41" t="str">
        <f aca="false">IF(G981="","",IFERROR(IF(ISNUMBER(SEARCH(Assumptions!$C$5,G981)),Assumptions!$D$5,IF(ISNUMBER(SEARCH(Assumptions!$C$6,G981)),Assumptions!$D$6,IF(ISNUMBER(SEARCH(Assumptions!$C$7,G981)),Assumptions!$D$7,"Other Services"))),"Other Services"))</f>
        <v/>
      </c>
    </row>
    <row r="982" customFormat="false" ht="15" hidden="false" customHeight="false" outlineLevel="0" collapsed="false">
      <c r="E982" s="41" t="str">
        <f aca="false">IF(D982="","",IFERROR(VLOOKUP(D982,Assumptions!$G$5:$H$16,2,0),"Other"))</f>
        <v/>
      </c>
      <c r="J982" s="41" t="str">
        <f aca="false">IF(G982="","",IFERROR(IF(ISNUMBER(SEARCH(Assumptions!$C$5,G982)),Assumptions!$D$5,IF(ISNUMBER(SEARCH(Assumptions!$C$6,G982)),Assumptions!$D$6,IF(ISNUMBER(SEARCH(Assumptions!$C$7,G982)),Assumptions!$D$7,"Other Services"))),"Other Services"))</f>
        <v/>
      </c>
    </row>
    <row r="983" customFormat="false" ht="15" hidden="false" customHeight="false" outlineLevel="0" collapsed="false">
      <c r="E983" s="41" t="str">
        <f aca="false">IF(D983="","",IFERROR(VLOOKUP(D983,Assumptions!$G$5:$H$16,2,0),"Other"))</f>
        <v/>
      </c>
      <c r="J983" s="41" t="str">
        <f aca="false">IF(G983="","",IFERROR(IF(ISNUMBER(SEARCH(Assumptions!$C$5,G983)),Assumptions!$D$5,IF(ISNUMBER(SEARCH(Assumptions!$C$6,G983)),Assumptions!$D$6,IF(ISNUMBER(SEARCH(Assumptions!$C$7,G983)),Assumptions!$D$7,"Other Services"))),"Other Services"))</f>
        <v/>
      </c>
    </row>
    <row r="984" customFormat="false" ht="15" hidden="false" customHeight="false" outlineLevel="0" collapsed="false">
      <c r="E984" s="41" t="str">
        <f aca="false">IF(D984="","",IFERROR(VLOOKUP(D984,Assumptions!$G$5:$H$16,2,0),"Other"))</f>
        <v/>
      </c>
      <c r="J984" s="41" t="str">
        <f aca="false">IF(G984="","",IFERROR(IF(ISNUMBER(SEARCH(Assumptions!$C$5,G984)),Assumptions!$D$5,IF(ISNUMBER(SEARCH(Assumptions!$C$6,G984)),Assumptions!$D$6,IF(ISNUMBER(SEARCH(Assumptions!$C$7,G984)),Assumptions!$D$7,"Other Services"))),"Other Services"))</f>
        <v/>
      </c>
    </row>
    <row r="985" customFormat="false" ht="15" hidden="false" customHeight="false" outlineLevel="0" collapsed="false">
      <c r="E985" s="41" t="str">
        <f aca="false">IF(D985="","",IFERROR(VLOOKUP(D985,Assumptions!$G$5:$H$16,2,0),"Other"))</f>
        <v/>
      </c>
      <c r="J985" s="41" t="str">
        <f aca="false">IF(G985="","",IFERROR(IF(ISNUMBER(SEARCH(Assumptions!$C$5,G985)),Assumptions!$D$5,IF(ISNUMBER(SEARCH(Assumptions!$C$6,G985)),Assumptions!$D$6,IF(ISNUMBER(SEARCH(Assumptions!$C$7,G985)),Assumptions!$D$7,"Other Services"))),"Other Services"))</f>
        <v/>
      </c>
    </row>
    <row r="986" customFormat="false" ht="15" hidden="false" customHeight="false" outlineLevel="0" collapsed="false">
      <c r="E986" s="41" t="str">
        <f aca="false">IF(D986="","",IFERROR(VLOOKUP(D986,Assumptions!$G$5:$H$16,2,0),"Other"))</f>
        <v/>
      </c>
      <c r="J986" s="41" t="str">
        <f aca="false">IF(G986="","",IFERROR(IF(ISNUMBER(SEARCH(Assumptions!$C$5,G986)),Assumptions!$D$5,IF(ISNUMBER(SEARCH(Assumptions!$C$6,G986)),Assumptions!$D$6,IF(ISNUMBER(SEARCH(Assumptions!$C$7,G986)),Assumptions!$D$7,"Other Services"))),"Other Services"))</f>
        <v/>
      </c>
    </row>
    <row r="987" customFormat="false" ht="15" hidden="false" customHeight="false" outlineLevel="0" collapsed="false">
      <c r="E987" s="41" t="str">
        <f aca="false">IF(D987="","",IFERROR(VLOOKUP(D987,Assumptions!$G$5:$H$16,2,0),"Other"))</f>
        <v/>
      </c>
      <c r="J987" s="41" t="str">
        <f aca="false">IF(G987="","",IFERROR(IF(ISNUMBER(SEARCH(Assumptions!$C$5,G987)),Assumptions!$D$5,IF(ISNUMBER(SEARCH(Assumptions!$C$6,G987)),Assumptions!$D$6,IF(ISNUMBER(SEARCH(Assumptions!$C$7,G987)),Assumptions!$D$7,"Other Services"))),"Other Services"))</f>
        <v/>
      </c>
    </row>
    <row r="988" customFormat="false" ht="15" hidden="false" customHeight="false" outlineLevel="0" collapsed="false">
      <c r="E988" s="41" t="str">
        <f aca="false">IF(D988="","",IFERROR(VLOOKUP(D988,Assumptions!$G$5:$H$16,2,0),"Other"))</f>
        <v/>
      </c>
      <c r="J988" s="41" t="str">
        <f aca="false">IF(G988="","",IFERROR(IF(ISNUMBER(SEARCH(Assumptions!$C$5,G988)),Assumptions!$D$5,IF(ISNUMBER(SEARCH(Assumptions!$C$6,G988)),Assumptions!$D$6,IF(ISNUMBER(SEARCH(Assumptions!$C$7,G988)),Assumptions!$D$7,"Other Services"))),"Other Services"))</f>
        <v/>
      </c>
    </row>
    <row r="989" customFormat="false" ht="15" hidden="false" customHeight="false" outlineLevel="0" collapsed="false">
      <c r="E989" s="41" t="str">
        <f aca="false">IF(D989="","",IFERROR(VLOOKUP(D989,Assumptions!$G$5:$H$16,2,0),"Other"))</f>
        <v/>
      </c>
      <c r="J989" s="41" t="str">
        <f aca="false">IF(G989="","",IFERROR(IF(ISNUMBER(SEARCH(Assumptions!$C$5,G989)),Assumptions!$D$5,IF(ISNUMBER(SEARCH(Assumptions!$C$6,G989)),Assumptions!$D$6,IF(ISNUMBER(SEARCH(Assumptions!$C$7,G989)),Assumptions!$D$7,"Other Services"))),"Other Services"))</f>
        <v/>
      </c>
    </row>
    <row r="990" customFormat="false" ht="15" hidden="false" customHeight="false" outlineLevel="0" collapsed="false">
      <c r="E990" s="41" t="str">
        <f aca="false">IF(D990="","",IFERROR(VLOOKUP(D990,Assumptions!$G$5:$H$16,2,0),"Other"))</f>
        <v/>
      </c>
      <c r="J990" s="41" t="str">
        <f aca="false">IF(G990="","",IFERROR(IF(ISNUMBER(SEARCH(Assumptions!$C$5,G990)),Assumptions!$D$5,IF(ISNUMBER(SEARCH(Assumptions!$C$6,G990)),Assumptions!$D$6,IF(ISNUMBER(SEARCH(Assumptions!$C$7,G990)),Assumptions!$D$7,"Other Services"))),"Other Services"))</f>
        <v/>
      </c>
    </row>
    <row r="991" customFormat="false" ht="15" hidden="false" customHeight="false" outlineLevel="0" collapsed="false">
      <c r="E991" s="41" t="str">
        <f aca="false">IF(D991="","",IFERROR(VLOOKUP(D991,Assumptions!$G$5:$H$16,2,0),"Other"))</f>
        <v/>
      </c>
      <c r="J991" s="41" t="str">
        <f aca="false">IF(G991="","",IFERROR(IF(ISNUMBER(SEARCH(Assumptions!$C$5,G991)),Assumptions!$D$5,IF(ISNUMBER(SEARCH(Assumptions!$C$6,G991)),Assumptions!$D$6,IF(ISNUMBER(SEARCH(Assumptions!$C$7,G991)),Assumptions!$D$7,"Other Services"))),"Other Services"))</f>
        <v/>
      </c>
    </row>
    <row r="992" customFormat="false" ht="15" hidden="false" customHeight="false" outlineLevel="0" collapsed="false">
      <c r="E992" s="41" t="str">
        <f aca="false">IF(D992="","",IFERROR(VLOOKUP(D992,Assumptions!$G$5:$H$16,2,0),"Other"))</f>
        <v/>
      </c>
      <c r="J992" s="41" t="str">
        <f aca="false">IF(G992="","",IFERROR(IF(ISNUMBER(SEARCH(Assumptions!$C$5,G992)),Assumptions!$D$5,IF(ISNUMBER(SEARCH(Assumptions!$C$6,G992)),Assumptions!$D$6,IF(ISNUMBER(SEARCH(Assumptions!$C$7,G992)),Assumptions!$D$7,"Other Services"))),"Other Services"))</f>
        <v/>
      </c>
    </row>
    <row r="993" customFormat="false" ht="15" hidden="false" customHeight="false" outlineLevel="0" collapsed="false">
      <c r="E993" s="41" t="str">
        <f aca="false">IF(D993="","",IFERROR(VLOOKUP(D993,Assumptions!$G$5:$H$16,2,0),"Other"))</f>
        <v/>
      </c>
      <c r="J993" s="41" t="str">
        <f aca="false">IF(G993="","",IFERROR(IF(ISNUMBER(SEARCH(Assumptions!$C$5,G993)),Assumptions!$D$5,IF(ISNUMBER(SEARCH(Assumptions!$C$6,G993)),Assumptions!$D$6,IF(ISNUMBER(SEARCH(Assumptions!$C$7,G993)),Assumptions!$D$7,"Other Services"))),"Other Services"))</f>
        <v/>
      </c>
    </row>
    <row r="994" customFormat="false" ht="15" hidden="false" customHeight="false" outlineLevel="0" collapsed="false">
      <c r="E994" s="41" t="str">
        <f aca="false">IF(D994="","",IFERROR(VLOOKUP(D994,Assumptions!$G$5:$H$16,2,0),"Other"))</f>
        <v/>
      </c>
      <c r="J994" s="41" t="str">
        <f aca="false">IF(G994="","",IFERROR(IF(ISNUMBER(SEARCH(Assumptions!$C$5,G994)),Assumptions!$D$5,IF(ISNUMBER(SEARCH(Assumptions!$C$6,G994)),Assumptions!$D$6,IF(ISNUMBER(SEARCH(Assumptions!$C$7,G994)),Assumptions!$D$7,"Other Services"))),"Other Services"))</f>
        <v/>
      </c>
    </row>
    <row r="995" customFormat="false" ht="15" hidden="false" customHeight="false" outlineLevel="0" collapsed="false">
      <c r="E995" s="41" t="str">
        <f aca="false">IF(D995="","",IFERROR(VLOOKUP(D995,Assumptions!$G$5:$H$16,2,0),"Other"))</f>
        <v/>
      </c>
      <c r="J995" s="41" t="str">
        <f aca="false">IF(G995="","",IFERROR(IF(ISNUMBER(SEARCH(Assumptions!$C$5,G995)),Assumptions!$D$5,IF(ISNUMBER(SEARCH(Assumptions!$C$6,G995)),Assumptions!$D$6,IF(ISNUMBER(SEARCH(Assumptions!$C$7,G995)),Assumptions!$D$7,"Other Services"))),"Other Services"))</f>
        <v/>
      </c>
    </row>
    <row r="996" customFormat="false" ht="15" hidden="false" customHeight="false" outlineLevel="0" collapsed="false">
      <c r="E996" s="41" t="str">
        <f aca="false">IF(D996="","",IFERROR(VLOOKUP(D996,Assumptions!$G$5:$H$16,2,0),"Other"))</f>
        <v/>
      </c>
      <c r="J996" s="41" t="str">
        <f aca="false">IF(G996="","",IFERROR(IF(ISNUMBER(SEARCH(Assumptions!$C$5,G996)),Assumptions!$D$5,IF(ISNUMBER(SEARCH(Assumptions!$C$6,G996)),Assumptions!$D$6,IF(ISNUMBER(SEARCH(Assumptions!$C$7,G996)),Assumptions!$D$7,"Other Services"))),"Other Services"))</f>
        <v/>
      </c>
    </row>
    <row r="997" customFormat="false" ht="15" hidden="false" customHeight="false" outlineLevel="0" collapsed="false">
      <c r="E997" s="41" t="str">
        <f aca="false">IF(D997="","",IFERROR(VLOOKUP(D997,Assumptions!$G$5:$H$16,2,0),"Other"))</f>
        <v/>
      </c>
      <c r="J997" s="41" t="str">
        <f aca="false">IF(G997="","",IFERROR(IF(ISNUMBER(SEARCH(Assumptions!$C$5,G997)),Assumptions!$D$5,IF(ISNUMBER(SEARCH(Assumptions!$C$6,G997)),Assumptions!$D$6,IF(ISNUMBER(SEARCH(Assumptions!$C$7,G997)),Assumptions!$D$7,"Other Services"))),"Other Services"))</f>
        <v/>
      </c>
    </row>
    <row r="998" customFormat="false" ht="15" hidden="false" customHeight="false" outlineLevel="0" collapsed="false">
      <c r="E998" s="41" t="str">
        <f aca="false">IF(D998="","",IFERROR(VLOOKUP(D998,Assumptions!$G$5:$H$16,2,0),"Other"))</f>
        <v/>
      </c>
      <c r="J998" s="41" t="str">
        <f aca="false">IF(G998="","",IFERROR(IF(ISNUMBER(SEARCH(Assumptions!$C$5,G998)),Assumptions!$D$5,IF(ISNUMBER(SEARCH(Assumptions!$C$6,G998)),Assumptions!$D$6,IF(ISNUMBER(SEARCH(Assumptions!$C$7,G998)),Assumptions!$D$7,"Other Services"))),"Other Services"))</f>
        <v/>
      </c>
    </row>
    <row r="999" customFormat="false" ht="15" hidden="false" customHeight="false" outlineLevel="0" collapsed="false">
      <c r="E999" s="41" t="str">
        <f aca="false">IF(D999="","",IFERROR(VLOOKUP(D999,Assumptions!$G$5:$H$16,2,0),"Other"))</f>
        <v/>
      </c>
      <c r="J999" s="41" t="str">
        <f aca="false">IF(G999="","",IFERROR(IF(ISNUMBER(SEARCH(Assumptions!$C$5,G999)),Assumptions!$D$5,IF(ISNUMBER(SEARCH(Assumptions!$C$6,G999)),Assumptions!$D$6,IF(ISNUMBER(SEARCH(Assumptions!$C$7,G999)),Assumptions!$D$7,"Other Services"))),"Other Services"))</f>
        <v/>
      </c>
    </row>
    <row r="1000" customFormat="false" ht="15" hidden="false" customHeight="false" outlineLevel="0" collapsed="false">
      <c r="E1000" s="41" t="str">
        <f aca="false">IF(D1000="","",IFERROR(VLOOKUP(D1000,Assumptions!$G$5:$H$16,2,0),"Other"))</f>
        <v/>
      </c>
      <c r="J1000" s="41" t="str">
        <f aca="false">IF(G1000="","",IFERROR(IF(ISNUMBER(SEARCH(Assumptions!$C$5,G1000)),Assumptions!$D$5,IF(ISNUMBER(SEARCH(Assumptions!$C$6,G1000)),Assumptions!$D$6,IF(ISNUMBER(SEARCH(Assumptions!$C$7,G1000)),Assumptions!$D$7,"Other Services"))),"Other Services"))</f>
        <v/>
      </c>
    </row>
    <row r="1001" customFormat="false" ht="15" hidden="false" customHeight="false" outlineLevel="0" collapsed="false">
      <c r="E1001" s="41" t="str">
        <f aca="false">IF(D1001="","",IFERROR(VLOOKUP(D1001,Assumptions!$G$5:$H$16,2,0),"Other"))</f>
        <v/>
      </c>
      <c r="J1001" s="41" t="str">
        <f aca="false">IF(G1001="","",IFERROR(IF(ISNUMBER(SEARCH(Assumptions!$C$5,G1001)),Assumptions!$D$5,IF(ISNUMBER(SEARCH(Assumptions!$C$6,G1001)),Assumptions!$D$6,IF(ISNUMBER(SEARCH(Assumptions!$C$7,G1001)),Assumptions!$D$7,"Other Services"))),"Other Services"))</f>
        <v/>
      </c>
    </row>
    <row r="1002" customFormat="false" ht="15" hidden="false" customHeight="false" outlineLevel="0" collapsed="false">
      <c r="E1002" s="41" t="str">
        <f aca="false">IF(D1002="","",IFERROR(VLOOKUP(D1002,Assumptions!$G$5:$H$16,2,0),"Other"))</f>
        <v/>
      </c>
      <c r="J1002" s="41" t="str">
        <f aca="false">IF(G1002="","",IFERROR(IF(ISNUMBER(SEARCH(Assumptions!$C$5,G1002)),Assumptions!$D$5,IF(ISNUMBER(SEARCH(Assumptions!$C$6,G1002)),Assumptions!$D$6,IF(ISNUMBER(SEARCH(Assumptions!$C$7,G1002)),Assumptions!$D$7,"Other Services"))),"Other Services"))</f>
        <v/>
      </c>
    </row>
    <row r="1003" customFormat="false" ht="15" hidden="false" customHeight="false" outlineLevel="0" collapsed="false">
      <c r="E1003" s="41" t="str">
        <f aca="false">IF(D1003="","",IFERROR(VLOOKUP(D1003,Assumptions!$G$5:$H$16,2,0),"Other"))</f>
        <v/>
      </c>
      <c r="J1003" s="41" t="str">
        <f aca="false">IF(G1003="","",IFERROR(IF(ISNUMBER(SEARCH(Assumptions!$C$5,G1003)),Assumptions!$D$5,IF(ISNUMBER(SEARCH(Assumptions!$C$6,G1003)),Assumptions!$D$6,IF(ISNUMBER(SEARCH(Assumptions!$C$7,G1003)),Assumptions!$D$7,"Other Services"))),"Other Services"))</f>
        <v/>
      </c>
    </row>
    <row r="1004" customFormat="false" ht="15" hidden="false" customHeight="false" outlineLevel="0" collapsed="false">
      <c r="E1004" s="41" t="str">
        <f aca="false">IF(D1004="","",IFERROR(VLOOKUP(D1004,Assumptions!$G$5:$H$16,2,0),"Other"))</f>
        <v/>
      </c>
      <c r="J1004" s="41" t="str">
        <f aca="false">IF(G1004="","",IFERROR(IF(ISNUMBER(SEARCH(Assumptions!$C$5,G1004)),Assumptions!$D$5,IF(ISNUMBER(SEARCH(Assumptions!$C$6,G1004)),Assumptions!$D$6,IF(ISNUMBER(SEARCH(Assumptions!$C$7,G1004)),Assumptions!$D$7,"Other Services"))),"Other Services"))</f>
        <v/>
      </c>
    </row>
    <row r="1005" customFormat="false" ht="15" hidden="false" customHeight="false" outlineLevel="0" collapsed="false">
      <c r="E1005" s="41" t="str">
        <f aca="false">IF(D1005="","",IFERROR(VLOOKUP(D1005,Assumptions!$G$5:$H$16,2,0),"Other"))</f>
        <v/>
      </c>
      <c r="J1005" s="41" t="str">
        <f aca="false">IF(G1005="","",IFERROR(IF(ISNUMBER(SEARCH(Assumptions!$C$5,G1005)),Assumptions!$D$5,IF(ISNUMBER(SEARCH(Assumptions!$C$6,G1005)),Assumptions!$D$6,IF(ISNUMBER(SEARCH(Assumptions!$C$7,G1005)),Assumptions!$D$7,"Other Services"))),"Other Services"))</f>
        <v/>
      </c>
    </row>
    <row r="1006" customFormat="false" ht="15" hidden="false" customHeight="false" outlineLevel="0" collapsed="false">
      <c r="E1006" s="41" t="str">
        <f aca="false">IF(D1006="","",IFERROR(VLOOKUP(D1006,Assumptions!$G$5:$H$16,2,0),"Other"))</f>
        <v/>
      </c>
      <c r="J1006" s="41" t="str">
        <f aca="false">IF(G1006="","",IFERROR(IF(ISNUMBER(SEARCH(Assumptions!$C$5,G1006)),Assumptions!$D$5,IF(ISNUMBER(SEARCH(Assumptions!$C$6,G1006)),Assumptions!$D$6,IF(ISNUMBER(SEARCH(Assumptions!$C$7,G1006)),Assumptions!$D$7,"Other Services"))),"Other Services"))</f>
        <v/>
      </c>
    </row>
    <row r="1007" customFormat="false" ht="15" hidden="false" customHeight="false" outlineLevel="0" collapsed="false">
      <c r="E1007" s="41" t="str">
        <f aca="false">IF(D1007="","",IFERROR(VLOOKUP(D1007,Assumptions!$G$5:$H$16,2,0),"Other"))</f>
        <v/>
      </c>
      <c r="J1007" s="41" t="str">
        <f aca="false">IF(G1007="","",IFERROR(IF(ISNUMBER(SEARCH(Assumptions!$C$5,G1007)),Assumptions!$D$5,IF(ISNUMBER(SEARCH(Assumptions!$C$6,G1007)),Assumptions!$D$6,IF(ISNUMBER(SEARCH(Assumptions!$C$7,G1007)),Assumptions!$D$7,"Other Services"))),"Other Services"))</f>
        <v/>
      </c>
    </row>
    <row r="1008" customFormat="false" ht="15" hidden="false" customHeight="false" outlineLevel="0" collapsed="false">
      <c r="E1008" s="41" t="str">
        <f aca="false">IF(D1008="","",IFERROR(VLOOKUP(D1008,Assumptions!$G$5:$H$16,2,0),"Other"))</f>
        <v/>
      </c>
      <c r="J1008" s="41" t="str">
        <f aca="false">IF(G1008="","",IFERROR(IF(ISNUMBER(SEARCH(Assumptions!$C$5,G1008)),Assumptions!$D$5,IF(ISNUMBER(SEARCH(Assumptions!$C$6,G1008)),Assumptions!$D$6,IF(ISNUMBER(SEARCH(Assumptions!$C$7,G1008)),Assumptions!$D$7,"Other Services"))),"Other Services"))</f>
        <v/>
      </c>
    </row>
    <row r="1009" customFormat="false" ht="15" hidden="false" customHeight="false" outlineLevel="0" collapsed="false">
      <c r="E1009" s="41" t="str">
        <f aca="false">IF(D1009="","",IFERROR(VLOOKUP(D1009,Assumptions!$G$5:$H$16,2,0),"Other"))</f>
        <v/>
      </c>
      <c r="J1009" s="41" t="str">
        <f aca="false">IF(G1009="","",IFERROR(IF(ISNUMBER(SEARCH(Assumptions!$C$5,G1009)),Assumptions!$D$5,IF(ISNUMBER(SEARCH(Assumptions!$C$6,G1009)),Assumptions!$D$6,IF(ISNUMBER(SEARCH(Assumptions!$C$7,G1009)),Assumptions!$D$7,"Other Services"))),"Other Services"))</f>
        <v/>
      </c>
    </row>
    <row r="1010" customFormat="false" ht="15" hidden="false" customHeight="false" outlineLevel="0" collapsed="false">
      <c r="E1010" s="41" t="str">
        <f aca="false">IF(D1010="","",IFERROR(VLOOKUP(D1010,Assumptions!$G$5:$H$16,2,0),"Other"))</f>
        <v/>
      </c>
      <c r="J1010" s="41" t="str">
        <f aca="false">IF(G1010="","",IFERROR(IF(ISNUMBER(SEARCH(Assumptions!$C$5,G1010)),Assumptions!$D$5,IF(ISNUMBER(SEARCH(Assumptions!$C$6,G1010)),Assumptions!$D$6,IF(ISNUMBER(SEARCH(Assumptions!$C$7,G1010)),Assumptions!$D$7,"Other Services"))),"Other Services"))</f>
        <v/>
      </c>
    </row>
    <row r="1011" customFormat="false" ht="15" hidden="false" customHeight="false" outlineLevel="0" collapsed="false">
      <c r="E1011" s="41" t="str">
        <f aca="false">IF(D1011="","",IFERROR(VLOOKUP(D1011,Assumptions!$G$5:$H$16,2,0),"Other"))</f>
        <v/>
      </c>
      <c r="J1011" s="41" t="str">
        <f aca="false">IF(G1011="","",IFERROR(IF(ISNUMBER(SEARCH(Assumptions!$C$5,G1011)),Assumptions!$D$5,IF(ISNUMBER(SEARCH(Assumptions!$C$6,G1011)),Assumptions!$D$6,IF(ISNUMBER(SEARCH(Assumptions!$C$7,G1011)),Assumptions!$D$7,"Other Services"))),"Other Services"))</f>
        <v/>
      </c>
    </row>
    <row r="1012" customFormat="false" ht="15" hidden="false" customHeight="false" outlineLevel="0" collapsed="false">
      <c r="E1012" s="41" t="str">
        <f aca="false">IF(D1012="","",IFERROR(VLOOKUP(D1012,Assumptions!$G$5:$H$16,2,0),"Other"))</f>
        <v/>
      </c>
      <c r="J1012" s="41" t="str">
        <f aca="false">IF(G1012="","",IFERROR(IF(ISNUMBER(SEARCH(Assumptions!$C$5,G1012)),Assumptions!$D$5,IF(ISNUMBER(SEARCH(Assumptions!$C$6,G1012)),Assumptions!$D$6,IF(ISNUMBER(SEARCH(Assumptions!$C$7,G1012)),Assumptions!$D$7,"Other Services"))),"Other Services"))</f>
        <v/>
      </c>
    </row>
    <row r="1013" customFormat="false" ht="15" hidden="false" customHeight="false" outlineLevel="0" collapsed="false">
      <c r="E1013" s="41" t="str">
        <f aca="false">IF(D1013="","",IFERROR(VLOOKUP(D1013,Assumptions!$G$5:$H$16,2,0),"Other"))</f>
        <v/>
      </c>
      <c r="J1013" s="41" t="str">
        <f aca="false">IF(G1013="","",IFERROR(IF(ISNUMBER(SEARCH(Assumptions!$C$5,G1013)),Assumptions!$D$5,IF(ISNUMBER(SEARCH(Assumptions!$C$6,G1013)),Assumptions!$D$6,IF(ISNUMBER(SEARCH(Assumptions!$C$7,G1013)),Assumptions!$D$7,"Other Services"))),"Other Services"))</f>
        <v/>
      </c>
    </row>
    <row r="1014" customFormat="false" ht="15" hidden="false" customHeight="false" outlineLevel="0" collapsed="false">
      <c r="E1014" s="41" t="str">
        <f aca="false">IF(D1014="","",IFERROR(VLOOKUP(D1014,Assumptions!$G$5:$H$16,2,0),"Other"))</f>
        <v/>
      </c>
      <c r="J1014" s="41" t="str">
        <f aca="false">IF(G1014="","",IFERROR(IF(ISNUMBER(SEARCH(Assumptions!$C$5,G1014)),Assumptions!$D$5,IF(ISNUMBER(SEARCH(Assumptions!$C$6,G1014)),Assumptions!$D$6,IF(ISNUMBER(SEARCH(Assumptions!$C$7,G1014)),Assumptions!$D$7,"Other Services"))),"Other Services"))</f>
        <v/>
      </c>
    </row>
    <row r="1015" customFormat="false" ht="15" hidden="false" customHeight="false" outlineLevel="0" collapsed="false">
      <c r="E1015" s="41" t="str">
        <f aca="false">IF(D1015="","",IFERROR(VLOOKUP(D1015,Assumptions!$G$5:$H$16,2,0),"Other"))</f>
        <v/>
      </c>
      <c r="J1015" s="41" t="str">
        <f aca="false">IF(G1015="","",IFERROR(IF(ISNUMBER(SEARCH(Assumptions!$C$5,G1015)),Assumptions!$D$5,IF(ISNUMBER(SEARCH(Assumptions!$C$6,G1015)),Assumptions!$D$6,IF(ISNUMBER(SEARCH(Assumptions!$C$7,G1015)),Assumptions!$D$7,"Other Services"))),"Other Services"))</f>
        <v/>
      </c>
    </row>
    <row r="1016" customFormat="false" ht="15" hidden="false" customHeight="false" outlineLevel="0" collapsed="false">
      <c r="E1016" s="41" t="str">
        <f aca="false">IF(D1016="","",IFERROR(VLOOKUP(D1016,Assumptions!$G$5:$H$16,2,0),"Other"))</f>
        <v/>
      </c>
      <c r="J1016" s="41" t="str">
        <f aca="false">IF(G1016="","",IFERROR(IF(ISNUMBER(SEARCH(Assumptions!$C$5,G1016)),Assumptions!$D$5,IF(ISNUMBER(SEARCH(Assumptions!$C$6,G1016)),Assumptions!$D$6,IF(ISNUMBER(SEARCH(Assumptions!$C$7,G1016)),Assumptions!$D$7,"Other Services"))),"Other Services"))</f>
        <v/>
      </c>
    </row>
    <row r="1017" customFormat="false" ht="15" hidden="false" customHeight="false" outlineLevel="0" collapsed="false">
      <c r="E1017" s="41" t="str">
        <f aca="false">IF(D1017="","",IFERROR(VLOOKUP(D1017,Assumptions!$G$5:$H$16,2,0),"Other"))</f>
        <v/>
      </c>
      <c r="J1017" s="41" t="str">
        <f aca="false">IF(G1017="","",IFERROR(IF(ISNUMBER(SEARCH(Assumptions!$C$5,G1017)),Assumptions!$D$5,IF(ISNUMBER(SEARCH(Assumptions!$C$6,G1017)),Assumptions!$D$6,IF(ISNUMBER(SEARCH(Assumptions!$C$7,G1017)),Assumptions!$D$7,"Other Services"))),"Other Services"))</f>
        <v/>
      </c>
    </row>
    <row r="1018" customFormat="false" ht="15" hidden="false" customHeight="false" outlineLevel="0" collapsed="false">
      <c r="E1018" s="41" t="str">
        <f aca="false">IF(D1018="","",IFERROR(VLOOKUP(D1018,Assumptions!$G$5:$H$16,2,0),"Other"))</f>
        <v/>
      </c>
      <c r="J1018" s="41" t="str">
        <f aca="false">IF(G1018="","",IFERROR(IF(ISNUMBER(SEARCH(Assumptions!$C$5,G1018)),Assumptions!$D$5,IF(ISNUMBER(SEARCH(Assumptions!$C$6,G1018)),Assumptions!$D$6,IF(ISNUMBER(SEARCH(Assumptions!$C$7,G1018)),Assumptions!$D$7,"Other Services"))),"Other Services"))</f>
        <v/>
      </c>
    </row>
    <row r="1019" customFormat="false" ht="15" hidden="false" customHeight="false" outlineLevel="0" collapsed="false">
      <c r="E1019" s="41" t="str">
        <f aca="false">IF(D1019="","",IFERROR(VLOOKUP(D1019,Assumptions!$G$5:$H$16,2,0),"Other"))</f>
        <v/>
      </c>
      <c r="J1019" s="41" t="str">
        <f aca="false">IF(G1019="","",IFERROR(IF(ISNUMBER(SEARCH(Assumptions!$C$5,G1019)),Assumptions!$D$5,IF(ISNUMBER(SEARCH(Assumptions!$C$6,G1019)),Assumptions!$D$6,IF(ISNUMBER(SEARCH(Assumptions!$C$7,G1019)),Assumptions!$D$7,"Other Services"))),"Other Services"))</f>
        <v/>
      </c>
    </row>
    <row r="1020" customFormat="false" ht="15" hidden="false" customHeight="false" outlineLevel="0" collapsed="false">
      <c r="E1020" s="41" t="str">
        <f aca="false">IF(D1020="","",IFERROR(VLOOKUP(D1020,Assumptions!$G$5:$H$16,2,0),"Other"))</f>
        <v/>
      </c>
      <c r="J1020" s="41" t="str">
        <f aca="false">IF(G1020="","",IFERROR(IF(ISNUMBER(SEARCH(Assumptions!$C$5,G1020)),Assumptions!$D$5,IF(ISNUMBER(SEARCH(Assumptions!$C$6,G1020)),Assumptions!$D$6,IF(ISNUMBER(SEARCH(Assumptions!$C$7,G1020)),Assumptions!$D$7,"Other Services"))),"Other Services"))</f>
        <v/>
      </c>
    </row>
    <row r="1021" customFormat="false" ht="15" hidden="false" customHeight="false" outlineLevel="0" collapsed="false">
      <c r="E1021" s="41" t="str">
        <f aca="false">IF(D1021="","",IFERROR(VLOOKUP(D1021,Assumptions!$G$5:$H$16,2,0),"Other"))</f>
        <v/>
      </c>
      <c r="J1021" s="41" t="str">
        <f aca="false">IF(G1021="","",IFERROR(IF(ISNUMBER(SEARCH(Assumptions!$C$5,G1021)),Assumptions!$D$5,IF(ISNUMBER(SEARCH(Assumptions!$C$6,G1021)),Assumptions!$D$6,IF(ISNUMBER(SEARCH(Assumptions!$C$7,G1021)),Assumptions!$D$7,"Other Services"))),"Other Services"))</f>
        <v/>
      </c>
    </row>
    <row r="1022" customFormat="false" ht="15" hidden="false" customHeight="false" outlineLevel="0" collapsed="false">
      <c r="E1022" s="41" t="str">
        <f aca="false">IF(D1022="","",IFERROR(VLOOKUP(D1022,Assumptions!$G$5:$H$16,2,0),"Other"))</f>
        <v/>
      </c>
      <c r="J1022" s="41" t="str">
        <f aca="false">IF(G1022="","",IFERROR(IF(ISNUMBER(SEARCH(Assumptions!$C$5,G1022)),Assumptions!$D$5,IF(ISNUMBER(SEARCH(Assumptions!$C$6,G1022)),Assumptions!$D$6,IF(ISNUMBER(SEARCH(Assumptions!$C$7,G1022)),Assumptions!$D$7,"Other Services"))),"Other Services"))</f>
        <v/>
      </c>
    </row>
    <row r="1023" customFormat="false" ht="15" hidden="false" customHeight="false" outlineLevel="0" collapsed="false">
      <c r="E1023" s="41" t="str">
        <f aca="false">IF(D1023="","",IFERROR(VLOOKUP(D1023,Assumptions!$G$5:$H$16,2,0),"Other"))</f>
        <v/>
      </c>
      <c r="J1023" s="41" t="str">
        <f aca="false">IF(G1023="","",IFERROR(IF(ISNUMBER(SEARCH(Assumptions!$C$5,G1023)),Assumptions!$D$5,IF(ISNUMBER(SEARCH(Assumptions!$C$6,G1023)),Assumptions!$D$6,IF(ISNUMBER(SEARCH(Assumptions!$C$7,G1023)),Assumptions!$D$7,"Other Services"))),"Other Services"))</f>
        <v/>
      </c>
    </row>
    <row r="1024" customFormat="false" ht="15" hidden="false" customHeight="false" outlineLevel="0" collapsed="false">
      <c r="E1024" s="41" t="str">
        <f aca="false">IF(D1024="","",IFERROR(VLOOKUP(D1024,Assumptions!$G$5:$H$16,2,0),"Other"))</f>
        <v/>
      </c>
      <c r="J1024" s="41" t="str">
        <f aca="false">IF(G1024="","",IFERROR(IF(ISNUMBER(SEARCH(Assumptions!$C$5,G1024)),Assumptions!$D$5,IF(ISNUMBER(SEARCH(Assumptions!$C$6,G1024)),Assumptions!$D$6,IF(ISNUMBER(SEARCH(Assumptions!$C$7,G1024)),Assumptions!$D$7,"Other Services"))),"Other Services"))</f>
        <v/>
      </c>
    </row>
    <row r="1025" customFormat="false" ht="15" hidden="false" customHeight="false" outlineLevel="0" collapsed="false">
      <c r="E1025" s="41" t="str">
        <f aca="false">IF(D1025="","",IFERROR(VLOOKUP(D1025,Assumptions!$G$5:$H$16,2,0),"Other"))</f>
        <v/>
      </c>
      <c r="J1025" s="41" t="str">
        <f aca="false">IF(G1025="","",IFERROR(IF(ISNUMBER(SEARCH(Assumptions!$C$5,G1025)),Assumptions!$D$5,IF(ISNUMBER(SEARCH(Assumptions!$C$6,G1025)),Assumptions!$D$6,IF(ISNUMBER(SEARCH(Assumptions!$C$7,G1025)),Assumptions!$D$7,"Other Services"))),"Other Services"))</f>
        <v/>
      </c>
    </row>
    <row r="1026" customFormat="false" ht="15" hidden="false" customHeight="false" outlineLevel="0" collapsed="false">
      <c r="E1026" s="41" t="str">
        <f aca="false">IF(D1026="","",IFERROR(VLOOKUP(D1026,Assumptions!$G$5:$H$16,2,0),"Other"))</f>
        <v/>
      </c>
      <c r="J1026" s="41" t="str">
        <f aca="false">IF(G1026="","",IFERROR(IF(ISNUMBER(SEARCH(Assumptions!$C$5,G1026)),Assumptions!$D$5,IF(ISNUMBER(SEARCH(Assumptions!$C$6,G1026)),Assumptions!$D$6,IF(ISNUMBER(SEARCH(Assumptions!$C$7,G1026)),Assumptions!$D$7,"Other Services"))),"Other Services"))</f>
        <v/>
      </c>
    </row>
    <row r="1027" customFormat="false" ht="15" hidden="false" customHeight="false" outlineLevel="0" collapsed="false">
      <c r="E1027" s="41" t="str">
        <f aca="false">IF(D1027="","",IFERROR(VLOOKUP(D1027,Assumptions!$G$5:$H$16,2,0),"Other"))</f>
        <v/>
      </c>
      <c r="J1027" s="41" t="str">
        <f aca="false">IF(G1027="","",IFERROR(IF(ISNUMBER(SEARCH(Assumptions!$C$5,G1027)),Assumptions!$D$5,IF(ISNUMBER(SEARCH(Assumptions!$C$6,G1027)),Assumptions!$D$6,IF(ISNUMBER(SEARCH(Assumptions!$C$7,G1027)),Assumptions!$D$7,"Other Services"))),"Other Services"))</f>
        <v/>
      </c>
    </row>
    <row r="1028" customFormat="false" ht="15" hidden="false" customHeight="false" outlineLevel="0" collapsed="false">
      <c r="E1028" s="41" t="str">
        <f aca="false">IF(D1028="","",IFERROR(VLOOKUP(D1028,Assumptions!$G$5:$H$16,2,0),"Other"))</f>
        <v/>
      </c>
      <c r="J1028" s="41" t="str">
        <f aca="false">IF(G1028="","",IFERROR(IF(ISNUMBER(SEARCH(Assumptions!$C$5,G1028)),Assumptions!$D$5,IF(ISNUMBER(SEARCH(Assumptions!$C$6,G1028)),Assumptions!$D$6,IF(ISNUMBER(SEARCH(Assumptions!$C$7,G1028)),Assumptions!$D$7,"Other Services"))),"Other Services"))</f>
        <v/>
      </c>
    </row>
    <row r="1029" customFormat="false" ht="15" hidden="false" customHeight="false" outlineLevel="0" collapsed="false">
      <c r="E1029" s="41" t="str">
        <f aca="false">IF(D1029="","",IFERROR(VLOOKUP(D1029,Assumptions!$G$5:$H$16,2,0),"Other"))</f>
        <v/>
      </c>
      <c r="J1029" s="41" t="str">
        <f aca="false">IF(G1029="","",IFERROR(IF(ISNUMBER(SEARCH(Assumptions!$C$5,G1029)),Assumptions!$D$5,IF(ISNUMBER(SEARCH(Assumptions!$C$6,G1029)),Assumptions!$D$6,IF(ISNUMBER(SEARCH(Assumptions!$C$7,G1029)),Assumptions!$D$7,"Other Services"))),"Other Services"))</f>
        <v/>
      </c>
    </row>
    <row r="1030" customFormat="false" ht="15" hidden="false" customHeight="false" outlineLevel="0" collapsed="false">
      <c r="E1030" s="41" t="str">
        <f aca="false">IF(D1030="","",IFERROR(VLOOKUP(D1030,Assumptions!$G$5:$H$16,2,0),"Other"))</f>
        <v/>
      </c>
      <c r="J1030" s="41" t="str">
        <f aca="false">IF(G1030="","",IFERROR(IF(ISNUMBER(SEARCH(Assumptions!$C$5,G1030)),Assumptions!$D$5,IF(ISNUMBER(SEARCH(Assumptions!$C$6,G1030)),Assumptions!$D$6,IF(ISNUMBER(SEARCH(Assumptions!$C$7,G1030)),Assumptions!$D$7,"Other Services"))),"Other Services"))</f>
        <v/>
      </c>
    </row>
    <row r="1031" customFormat="false" ht="15" hidden="false" customHeight="false" outlineLevel="0" collapsed="false">
      <c r="E1031" s="41" t="str">
        <f aca="false">IF(D1031="","",IFERROR(VLOOKUP(D1031,Assumptions!$G$5:$H$16,2,0),"Other"))</f>
        <v/>
      </c>
      <c r="J1031" s="41" t="str">
        <f aca="false">IF(G1031="","",IFERROR(IF(ISNUMBER(SEARCH(Assumptions!$C$5,G1031)),Assumptions!$D$5,IF(ISNUMBER(SEARCH(Assumptions!$C$6,G1031)),Assumptions!$D$6,IF(ISNUMBER(SEARCH(Assumptions!$C$7,G1031)),Assumptions!$D$7,"Other Services"))),"Other Services"))</f>
        <v/>
      </c>
    </row>
    <row r="1032" customFormat="false" ht="15" hidden="false" customHeight="false" outlineLevel="0" collapsed="false">
      <c r="E1032" s="41" t="str">
        <f aca="false">IF(D1032="","",IFERROR(VLOOKUP(D1032,Assumptions!$G$5:$H$16,2,0),"Other"))</f>
        <v/>
      </c>
      <c r="J1032" s="41" t="str">
        <f aca="false">IF(G1032="","",IFERROR(IF(ISNUMBER(SEARCH(Assumptions!$C$5,G1032)),Assumptions!$D$5,IF(ISNUMBER(SEARCH(Assumptions!$C$6,G1032)),Assumptions!$D$6,IF(ISNUMBER(SEARCH(Assumptions!$C$7,G1032)),Assumptions!$D$7,"Other Services"))),"Other Services"))</f>
        <v/>
      </c>
    </row>
    <row r="1033" customFormat="false" ht="15" hidden="false" customHeight="false" outlineLevel="0" collapsed="false">
      <c r="E1033" s="41" t="str">
        <f aca="false">IF(D1033="","",IFERROR(VLOOKUP(D1033,Assumptions!$G$5:$H$16,2,0),"Other"))</f>
        <v/>
      </c>
      <c r="J1033" s="41" t="str">
        <f aca="false">IF(G1033="","",IFERROR(IF(ISNUMBER(SEARCH(Assumptions!$C$5,G1033)),Assumptions!$D$5,IF(ISNUMBER(SEARCH(Assumptions!$C$6,G1033)),Assumptions!$D$6,IF(ISNUMBER(SEARCH(Assumptions!$C$7,G1033)),Assumptions!$D$7,"Other Services"))),"Other Services"))</f>
        <v/>
      </c>
    </row>
    <row r="1034" customFormat="false" ht="15" hidden="false" customHeight="false" outlineLevel="0" collapsed="false">
      <c r="E1034" s="41" t="str">
        <f aca="false">IF(D1034="","",IFERROR(VLOOKUP(D1034,Assumptions!$G$5:$H$16,2,0),"Other"))</f>
        <v/>
      </c>
      <c r="J1034" s="41" t="str">
        <f aca="false">IF(G1034="","",IFERROR(IF(ISNUMBER(SEARCH(Assumptions!$C$5,G1034)),Assumptions!$D$5,IF(ISNUMBER(SEARCH(Assumptions!$C$6,G1034)),Assumptions!$D$6,IF(ISNUMBER(SEARCH(Assumptions!$C$7,G1034)),Assumptions!$D$7,"Other Services"))),"Other Services"))</f>
        <v/>
      </c>
    </row>
    <row r="1035" customFormat="false" ht="15" hidden="false" customHeight="false" outlineLevel="0" collapsed="false">
      <c r="E1035" s="41" t="str">
        <f aca="false">IF(D1035="","",IFERROR(VLOOKUP(D1035,Assumptions!$G$5:$H$16,2,0),"Other"))</f>
        <v/>
      </c>
      <c r="J1035" s="41" t="str">
        <f aca="false">IF(G1035="","",IFERROR(IF(ISNUMBER(SEARCH(Assumptions!$C$5,G1035)),Assumptions!$D$5,IF(ISNUMBER(SEARCH(Assumptions!$C$6,G1035)),Assumptions!$D$6,IF(ISNUMBER(SEARCH(Assumptions!$C$7,G1035)),Assumptions!$D$7,"Other Services"))),"Other Services"))</f>
        <v/>
      </c>
    </row>
    <row r="1036" customFormat="false" ht="15" hidden="false" customHeight="false" outlineLevel="0" collapsed="false">
      <c r="E1036" s="41" t="str">
        <f aca="false">IF(D1036="","",IFERROR(VLOOKUP(D1036,Assumptions!$G$5:$H$16,2,0),"Other"))</f>
        <v/>
      </c>
      <c r="J1036" s="41" t="str">
        <f aca="false">IF(G1036="","",IFERROR(IF(ISNUMBER(SEARCH(Assumptions!$C$5,G1036)),Assumptions!$D$5,IF(ISNUMBER(SEARCH(Assumptions!$C$6,G1036)),Assumptions!$D$6,IF(ISNUMBER(SEARCH(Assumptions!$C$7,G1036)),Assumptions!$D$7,"Other Services"))),"Other Services"))</f>
        <v/>
      </c>
    </row>
    <row r="1037" customFormat="false" ht="15" hidden="false" customHeight="false" outlineLevel="0" collapsed="false">
      <c r="E1037" s="41" t="str">
        <f aca="false">IF(D1037="","",IFERROR(VLOOKUP(D1037,Assumptions!$G$5:$H$16,2,0),"Other"))</f>
        <v/>
      </c>
      <c r="J1037" s="41" t="str">
        <f aca="false">IF(G1037="","",IFERROR(IF(ISNUMBER(SEARCH(Assumptions!$C$5,G1037)),Assumptions!$D$5,IF(ISNUMBER(SEARCH(Assumptions!$C$6,G1037)),Assumptions!$D$6,IF(ISNUMBER(SEARCH(Assumptions!$C$7,G1037)),Assumptions!$D$7,"Other Services"))),"Other Services"))</f>
        <v/>
      </c>
    </row>
    <row r="1038" customFormat="false" ht="15" hidden="false" customHeight="false" outlineLevel="0" collapsed="false">
      <c r="E1038" s="41" t="str">
        <f aca="false">IF(D1038="","",IFERROR(VLOOKUP(D1038,Assumptions!$G$5:$H$16,2,0),"Other"))</f>
        <v/>
      </c>
      <c r="J1038" s="41" t="str">
        <f aca="false">IF(G1038="","",IFERROR(IF(ISNUMBER(SEARCH(Assumptions!$C$5,G1038)),Assumptions!$D$5,IF(ISNUMBER(SEARCH(Assumptions!$C$6,G1038)),Assumptions!$D$6,IF(ISNUMBER(SEARCH(Assumptions!$C$7,G1038)),Assumptions!$D$7,"Other Services"))),"Other Services"))</f>
        <v/>
      </c>
    </row>
    <row r="1039" customFormat="false" ht="15" hidden="false" customHeight="false" outlineLevel="0" collapsed="false">
      <c r="E1039" s="41" t="str">
        <f aca="false">IF(D1039="","",IFERROR(VLOOKUP(D1039,Assumptions!$G$5:$H$16,2,0),"Other"))</f>
        <v/>
      </c>
      <c r="J1039" s="41" t="str">
        <f aca="false">IF(G1039="","",IFERROR(IF(ISNUMBER(SEARCH(Assumptions!$C$5,G1039)),Assumptions!$D$5,IF(ISNUMBER(SEARCH(Assumptions!$C$6,G1039)),Assumptions!$D$6,IF(ISNUMBER(SEARCH(Assumptions!$C$7,G1039)),Assumptions!$D$7,"Other Services"))),"Other Services"))</f>
        <v/>
      </c>
    </row>
    <row r="1040" customFormat="false" ht="15" hidden="false" customHeight="false" outlineLevel="0" collapsed="false">
      <c r="E1040" s="41" t="str">
        <f aca="false">IF(D1040="","",IFERROR(VLOOKUP(D1040,Assumptions!$G$5:$H$16,2,0),"Other"))</f>
        <v/>
      </c>
      <c r="J1040" s="41" t="str">
        <f aca="false">IF(G1040="","",IFERROR(IF(ISNUMBER(SEARCH(Assumptions!$C$5,G1040)),Assumptions!$D$5,IF(ISNUMBER(SEARCH(Assumptions!$C$6,G1040)),Assumptions!$D$6,IF(ISNUMBER(SEARCH(Assumptions!$C$7,G1040)),Assumptions!$D$7,"Other Services"))),"Other Services"))</f>
        <v/>
      </c>
    </row>
    <row r="1041" customFormat="false" ht="15" hidden="false" customHeight="false" outlineLevel="0" collapsed="false">
      <c r="E1041" s="41" t="str">
        <f aca="false">IF(D1041="","",IFERROR(VLOOKUP(D1041,Assumptions!$G$5:$H$16,2,0),"Other"))</f>
        <v/>
      </c>
      <c r="J1041" s="41" t="str">
        <f aca="false">IF(G1041="","",IFERROR(IF(ISNUMBER(SEARCH(Assumptions!$C$5,G1041)),Assumptions!$D$5,IF(ISNUMBER(SEARCH(Assumptions!$C$6,G1041)),Assumptions!$D$6,IF(ISNUMBER(SEARCH(Assumptions!$C$7,G1041)),Assumptions!$D$7,"Other Services"))),"Other Services"))</f>
        <v/>
      </c>
    </row>
    <row r="1042" customFormat="false" ht="15" hidden="false" customHeight="false" outlineLevel="0" collapsed="false">
      <c r="E1042" s="41" t="str">
        <f aca="false">IF(D1042="","",IFERROR(VLOOKUP(D1042,Assumptions!$G$5:$H$16,2,0),"Other"))</f>
        <v/>
      </c>
      <c r="J1042" s="41" t="str">
        <f aca="false">IF(G1042="","",IFERROR(IF(ISNUMBER(SEARCH(Assumptions!$C$5,G1042)),Assumptions!$D$5,IF(ISNUMBER(SEARCH(Assumptions!$C$6,G1042)),Assumptions!$D$6,IF(ISNUMBER(SEARCH(Assumptions!$C$7,G1042)),Assumptions!$D$7,"Other Services"))),"Other Services"))</f>
        <v/>
      </c>
    </row>
    <row r="1043" customFormat="false" ht="15" hidden="false" customHeight="false" outlineLevel="0" collapsed="false">
      <c r="E1043" s="41" t="str">
        <f aca="false">IF(D1043="","",IFERROR(VLOOKUP(D1043,Assumptions!$G$5:$H$16,2,0),"Other"))</f>
        <v/>
      </c>
      <c r="J1043" s="41" t="str">
        <f aca="false">IF(G1043="","",IFERROR(IF(ISNUMBER(SEARCH(Assumptions!$C$5,G1043)),Assumptions!$D$5,IF(ISNUMBER(SEARCH(Assumptions!$C$6,G1043)),Assumptions!$D$6,IF(ISNUMBER(SEARCH(Assumptions!$C$7,G1043)),Assumptions!$D$7,"Other Services"))),"Other Services"))</f>
        <v/>
      </c>
    </row>
    <row r="1044" customFormat="false" ht="15" hidden="false" customHeight="false" outlineLevel="0" collapsed="false">
      <c r="E1044" s="41" t="str">
        <f aca="false">IF(D1044="","",IFERROR(VLOOKUP(D1044,Assumptions!$G$5:$H$16,2,0),"Other"))</f>
        <v/>
      </c>
      <c r="J1044" s="41" t="str">
        <f aca="false">IF(G1044="","",IFERROR(IF(ISNUMBER(SEARCH(Assumptions!$C$5,G1044)),Assumptions!$D$5,IF(ISNUMBER(SEARCH(Assumptions!$C$6,G1044)),Assumptions!$D$6,IF(ISNUMBER(SEARCH(Assumptions!$C$7,G1044)),Assumptions!$D$7,"Other Services"))),"Other Services"))</f>
        <v/>
      </c>
    </row>
    <row r="1045" customFormat="false" ht="15" hidden="false" customHeight="false" outlineLevel="0" collapsed="false">
      <c r="E1045" s="41" t="str">
        <f aca="false">IF(D1045="","",IFERROR(VLOOKUP(D1045,Assumptions!$G$5:$H$16,2,0),"Other"))</f>
        <v/>
      </c>
      <c r="J1045" s="41" t="str">
        <f aca="false">IF(G1045="","",IFERROR(IF(ISNUMBER(SEARCH(Assumptions!$C$5,G1045)),Assumptions!$D$5,IF(ISNUMBER(SEARCH(Assumptions!$C$6,G1045)),Assumptions!$D$6,IF(ISNUMBER(SEARCH(Assumptions!$C$7,G1045)),Assumptions!$D$7,"Other Services"))),"Other Services"))</f>
        <v/>
      </c>
    </row>
    <row r="1046" customFormat="false" ht="15" hidden="false" customHeight="false" outlineLevel="0" collapsed="false">
      <c r="E1046" s="41" t="str">
        <f aca="false">IF(D1046="","",IFERROR(VLOOKUP(D1046,Assumptions!$G$5:$H$16,2,0),"Other"))</f>
        <v/>
      </c>
      <c r="J1046" s="41" t="str">
        <f aca="false">IF(G1046="","",IFERROR(IF(ISNUMBER(SEARCH(Assumptions!$C$5,G1046)),Assumptions!$D$5,IF(ISNUMBER(SEARCH(Assumptions!$C$6,G1046)),Assumptions!$D$6,IF(ISNUMBER(SEARCH(Assumptions!$C$7,G1046)),Assumptions!$D$7,"Other Services"))),"Other Services"))</f>
        <v/>
      </c>
    </row>
    <row r="1047" customFormat="false" ht="15" hidden="false" customHeight="false" outlineLevel="0" collapsed="false">
      <c r="E1047" s="41" t="str">
        <f aca="false">IF(D1047="","",IFERROR(VLOOKUP(D1047,Assumptions!$G$5:$H$16,2,0),"Other"))</f>
        <v/>
      </c>
      <c r="J1047" s="41" t="str">
        <f aca="false">IF(G1047="","",IFERROR(IF(ISNUMBER(SEARCH(Assumptions!$C$5,G1047)),Assumptions!$D$5,IF(ISNUMBER(SEARCH(Assumptions!$C$6,G1047)),Assumptions!$D$6,IF(ISNUMBER(SEARCH(Assumptions!$C$7,G1047)),Assumptions!$D$7,"Other Services"))),"Other Services"))</f>
        <v/>
      </c>
    </row>
    <row r="1048" customFormat="false" ht="15" hidden="false" customHeight="false" outlineLevel="0" collapsed="false">
      <c r="E1048" s="41" t="str">
        <f aca="false">IF(D1048="","",IFERROR(VLOOKUP(D1048,Assumptions!$G$5:$H$16,2,0),"Other"))</f>
        <v/>
      </c>
      <c r="J1048" s="41" t="str">
        <f aca="false">IF(G1048="","",IFERROR(IF(ISNUMBER(SEARCH(Assumptions!$C$5,G1048)),Assumptions!$D$5,IF(ISNUMBER(SEARCH(Assumptions!$C$6,G1048)),Assumptions!$D$6,IF(ISNUMBER(SEARCH(Assumptions!$C$7,G1048)),Assumptions!$D$7,"Other Services"))),"Other Services"))</f>
        <v/>
      </c>
    </row>
    <row r="1049" customFormat="false" ht="15" hidden="false" customHeight="false" outlineLevel="0" collapsed="false">
      <c r="E1049" s="41" t="str">
        <f aca="false">IF(D1049="","",IFERROR(VLOOKUP(D1049,Assumptions!$G$5:$H$16,2,0),"Other"))</f>
        <v/>
      </c>
      <c r="J1049" s="41" t="str">
        <f aca="false">IF(G1049="","",IFERROR(IF(ISNUMBER(SEARCH(Assumptions!$C$5,G1049)),Assumptions!$D$5,IF(ISNUMBER(SEARCH(Assumptions!$C$6,G1049)),Assumptions!$D$6,IF(ISNUMBER(SEARCH(Assumptions!$C$7,G1049)),Assumptions!$D$7,"Other Services"))),"Other Services"))</f>
        <v/>
      </c>
    </row>
    <row r="1050" customFormat="false" ht="15" hidden="false" customHeight="false" outlineLevel="0" collapsed="false">
      <c r="E1050" s="41" t="str">
        <f aca="false">IF(D1050="","",IFERROR(VLOOKUP(D1050,Assumptions!$G$5:$H$16,2,0),"Other"))</f>
        <v/>
      </c>
      <c r="J1050" s="41" t="str">
        <f aca="false">IF(G1050="","",IFERROR(IF(ISNUMBER(SEARCH(Assumptions!$C$5,G1050)),Assumptions!$D$5,IF(ISNUMBER(SEARCH(Assumptions!$C$6,G1050)),Assumptions!$D$6,IF(ISNUMBER(SEARCH(Assumptions!$C$7,G1050)),Assumptions!$D$7,"Other Services"))),"Other Services"))</f>
        <v/>
      </c>
    </row>
    <row r="1051" customFormat="false" ht="15" hidden="false" customHeight="false" outlineLevel="0" collapsed="false">
      <c r="E1051" s="41" t="str">
        <f aca="false">IF(D1051="","",IFERROR(VLOOKUP(D1051,Assumptions!$G$5:$H$16,2,0),"Other"))</f>
        <v/>
      </c>
      <c r="J1051" s="41" t="str">
        <f aca="false">IF(G1051="","",IFERROR(IF(ISNUMBER(SEARCH(Assumptions!$C$5,G1051)),Assumptions!$D$5,IF(ISNUMBER(SEARCH(Assumptions!$C$6,G1051)),Assumptions!$D$6,IF(ISNUMBER(SEARCH(Assumptions!$C$7,G1051)),Assumptions!$D$7,"Other Services"))),"Other Services"))</f>
        <v/>
      </c>
    </row>
    <row r="1052" customFormat="false" ht="15" hidden="false" customHeight="false" outlineLevel="0" collapsed="false">
      <c r="E1052" s="41" t="str">
        <f aca="false">IF(D1052="","",IFERROR(VLOOKUP(D1052,Assumptions!$G$5:$H$16,2,0),"Other"))</f>
        <v/>
      </c>
      <c r="J1052" s="41" t="str">
        <f aca="false">IF(G1052="","",IFERROR(IF(ISNUMBER(SEARCH(Assumptions!$C$5,G1052)),Assumptions!$D$5,IF(ISNUMBER(SEARCH(Assumptions!$C$6,G1052)),Assumptions!$D$6,IF(ISNUMBER(SEARCH(Assumptions!$C$7,G1052)),Assumptions!$D$7,"Other Services"))),"Other Services"))</f>
        <v/>
      </c>
    </row>
    <row r="1053" customFormat="false" ht="15" hidden="false" customHeight="false" outlineLevel="0" collapsed="false">
      <c r="E1053" s="41" t="str">
        <f aca="false">IF(D1053="","",IFERROR(VLOOKUP(D1053,Assumptions!$G$5:$H$16,2,0),"Other"))</f>
        <v/>
      </c>
      <c r="J1053" s="41" t="str">
        <f aca="false">IF(G1053="","",IFERROR(IF(ISNUMBER(SEARCH(Assumptions!$C$5,G1053)),Assumptions!$D$5,IF(ISNUMBER(SEARCH(Assumptions!$C$6,G1053)),Assumptions!$D$6,IF(ISNUMBER(SEARCH(Assumptions!$C$7,G1053)),Assumptions!$D$7,"Other Services"))),"Other Services"))</f>
        <v/>
      </c>
    </row>
    <row r="1054" customFormat="false" ht="15" hidden="false" customHeight="false" outlineLevel="0" collapsed="false">
      <c r="E1054" s="41" t="str">
        <f aca="false">IF(D1054="","",IFERROR(VLOOKUP(D1054,Assumptions!$G$5:$H$16,2,0),"Other"))</f>
        <v/>
      </c>
      <c r="J1054" s="41" t="str">
        <f aca="false">IF(G1054="","",IFERROR(IF(ISNUMBER(SEARCH(Assumptions!$C$5,G1054)),Assumptions!$D$5,IF(ISNUMBER(SEARCH(Assumptions!$C$6,G1054)),Assumptions!$D$6,IF(ISNUMBER(SEARCH(Assumptions!$C$7,G1054)),Assumptions!$D$7,"Other Services"))),"Other Services"))</f>
        <v/>
      </c>
    </row>
    <row r="1055" customFormat="false" ht="15" hidden="false" customHeight="false" outlineLevel="0" collapsed="false">
      <c r="E1055" s="41" t="str">
        <f aca="false">IF(D1055="","",IFERROR(VLOOKUP(D1055,Assumptions!$G$5:$H$16,2,0),"Other"))</f>
        <v/>
      </c>
      <c r="J1055" s="41" t="str">
        <f aca="false">IF(G1055="","",IFERROR(IF(ISNUMBER(SEARCH(Assumptions!$C$5,G1055)),Assumptions!$D$5,IF(ISNUMBER(SEARCH(Assumptions!$C$6,G1055)),Assumptions!$D$6,IF(ISNUMBER(SEARCH(Assumptions!$C$7,G1055)),Assumptions!$D$7,"Other Services"))),"Other Services"))</f>
        <v/>
      </c>
    </row>
    <row r="1056" customFormat="false" ht="15" hidden="false" customHeight="false" outlineLevel="0" collapsed="false">
      <c r="E1056" s="41" t="str">
        <f aca="false">IF(D1056="","",IFERROR(VLOOKUP(D1056,Assumptions!$G$5:$H$16,2,0),"Other"))</f>
        <v/>
      </c>
      <c r="J1056" s="41" t="str">
        <f aca="false">IF(G1056="","",IFERROR(IF(ISNUMBER(SEARCH(Assumptions!$C$5,G1056)),Assumptions!$D$5,IF(ISNUMBER(SEARCH(Assumptions!$C$6,G1056)),Assumptions!$D$6,IF(ISNUMBER(SEARCH(Assumptions!$C$7,G1056)),Assumptions!$D$7,"Other Services"))),"Other Services"))</f>
        <v/>
      </c>
    </row>
    <row r="1057" customFormat="false" ht="15" hidden="false" customHeight="false" outlineLevel="0" collapsed="false">
      <c r="E1057" s="41" t="str">
        <f aca="false">IF(D1057="","",IFERROR(VLOOKUP(D1057,Assumptions!$G$5:$H$16,2,0),"Other"))</f>
        <v/>
      </c>
      <c r="J1057" s="41" t="str">
        <f aca="false">IF(G1057="","",IFERROR(IF(ISNUMBER(SEARCH(Assumptions!$C$5,G1057)),Assumptions!$D$5,IF(ISNUMBER(SEARCH(Assumptions!$C$6,G1057)),Assumptions!$D$6,IF(ISNUMBER(SEARCH(Assumptions!$C$7,G1057)),Assumptions!$D$7,"Other Services"))),"Other Services"))</f>
        <v/>
      </c>
    </row>
    <row r="1058" customFormat="false" ht="15" hidden="false" customHeight="false" outlineLevel="0" collapsed="false">
      <c r="E1058" s="41" t="str">
        <f aca="false">IF(D1058="","",IFERROR(VLOOKUP(D1058,Assumptions!$G$5:$H$16,2,0),"Other"))</f>
        <v/>
      </c>
      <c r="J1058" s="41" t="str">
        <f aca="false">IF(G1058="","",IFERROR(IF(ISNUMBER(SEARCH(Assumptions!$C$5,G1058)),Assumptions!$D$5,IF(ISNUMBER(SEARCH(Assumptions!$C$6,G1058)),Assumptions!$D$6,IF(ISNUMBER(SEARCH(Assumptions!$C$7,G1058)),Assumptions!$D$7,"Other Services"))),"Other Services"))</f>
        <v/>
      </c>
    </row>
    <row r="1059" customFormat="false" ht="15" hidden="false" customHeight="false" outlineLevel="0" collapsed="false">
      <c r="E1059" s="41" t="str">
        <f aca="false">IF(D1059="","",IFERROR(VLOOKUP(D1059,Assumptions!$G$5:$H$16,2,0),"Other"))</f>
        <v/>
      </c>
      <c r="J1059" s="41" t="str">
        <f aca="false">IF(G1059="","",IFERROR(IF(ISNUMBER(SEARCH(Assumptions!$C$5,G1059)),Assumptions!$D$5,IF(ISNUMBER(SEARCH(Assumptions!$C$6,G1059)),Assumptions!$D$6,IF(ISNUMBER(SEARCH(Assumptions!$C$7,G1059)),Assumptions!$D$7,"Other Services"))),"Other Services"))</f>
        <v/>
      </c>
    </row>
    <row r="1060" customFormat="false" ht="15" hidden="false" customHeight="false" outlineLevel="0" collapsed="false">
      <c r="E1060" s="41" t="str">
        <f aca="false">IF(D1060="","",IFERROR(VLOOKUP(D1060,Assumptions!$G$5:$H$16,2,0),"Other"))</f>
        <v/>
      </c>
      <c r="J1060" s="41" t="str">
        <f aca="false">IF(G1060="","",IFERROR(IF(ISNUMBER(SEARCH(Assumptions!$C$5,G1060)),Assumptions!$D$5,IF(ISNUMBER(SEARCH(Assumptions!$C$6,G1060)),Assumptions!$D$6,IF(ISNUMBER(SEARCH(Assumptions!$C$7,G1060)),Assumptions!$D$7,"Other Services"))),"Other Services"))</f>
        <v/>
      </c>
    </row>
    <row r="1061" customFormat="false" ht="15" hidden="false" customHeight="false" outlineLevel="0" collapsed="false">
      <c r="E1061" s="41" t="str">
        <f aca="false">IF(D1061="","",IFERROR(VLOOKUP(D1061,Assumptions!$G$5:$H$16,2,0),"Other"))</f>
        <v/>
      </c>
      <c r="J1061" s="41" t="str">
        <f aca="false">IF(G1061="","",IFERROR(IF(ISNUMBER(SEARCH(Assumptions!$C$5,G1061)),Assumptions!$D$5,IF(ISNUMBER(SEARCH(Assumptions!$C$6,G1061)),Assumptions!$D$6,IF(ISNUMBER(SEARCH(Assumptions!$C$7,G1061)),Assumptions!$D$7,"Other Services"))),"Other Services"))</f>
        <v/>
      </c>
    </row>
    <row r="1062" customFormat="false" ht="15" hidden="false" customHeight="false" outlineLevel="0" collapsed="false">
      <c r="E1062" s="41" t="str">
        <f aca="false">IF(D1062="","",IFERROR(VLOOKUP(D1062,Assumptions!$G$5:$H$16,2,0),"Other"))</f>
        <v/>
      </c>
      <c r="J1062" s="41" t="str">
        <f aca="false">IF(G1062="","",IFERROR(IF(ISNUMBER(SEARCH(Assumptions!$C$5,G1062)),Assumptions!$D$5,IF(ISNUMBER(SEARCH(Assumptions!$C$6,G1062)),Assumptions!$D$6,IF(ISNUMBER(SEARCH(Assumptions!$C$7,G1062)),Assumptions!$D$7,"Other Services"))),"Other Services"))</f>
        <v/>
      </c>
    </row>
    <row r="1063" customFormat="false" ht="15" hidden="false" customHeight="false" outlineLevel="0" collapsed="false">
      <c r="E1063" s="41" t="str">
        <f aca="false">IF(D1063="","",IFERROR(VLOOKUP(D1063,Assumptions!$G$5:$H$16,2,0),"Other"))</f>
        <v/>
      </c>
      <c r="J1063" s="41" t="str">
        <f aca="false">IF(G1063="","",IFERROR(IF(ISNUMBER(SEARCH(Assumptions!$C$5,G1063)),Assumptions!$D$5,IF(ISNUMBER(SEARCH(Assumptions!$C$6,G1063)),Assumptions!$D$6,IF(ISNUMBER(SEARCH(Assumptions!$C$7,G1063)),Assumptions!$D$7,"Other Services"))),"Other Services"))</f>
        <v/>
      </c>
    </row>
    <row r="1064" customFormat="false" ht="15" hidden="false" customHeight="false" outlineLevel="0" collapsed="false">
      <c r="E1064" s="41" t="str">
        <f aca="false">IF(D1064="","",IFERROR(VLOOKUP(D1064,Assumptions!$G$5:$H$16,2,0),"Other"))</f>
        <v/>
      </c>
      <c r="J1064" s="41" t="str">
        <f aca="false">IF(G1064="","",IFERROR(IF(ISNUMBER(SEARCH(Assumptions!$C$5,G1064)),Assumptions!$D$5,IF(ISNUMBER(SEARCH(Assumptions!$C$6,G1064)),Assumptions!$D$6,IF(ISNUMBER(SEARCH(Assumptions!$C$7,G1064)),Assumptions!$D$7,"Other Services"))),"Other Services"))</f>
        <v/>
      </c>
    </row>
    <row r="1065" customFormat="false" ht="15" hidden="false" customHeight="false" outlineLevel="0" collapsed="false">
      <c r="E1065" s="41" t="str">
        <f aca="false">IF(D1065="","",IFERROR(VLOOKUP(D1065,Assumptions!$G$5:$H$16,2,0),"Other"))</f>
        <v/>
      </c>
      <c r="J1065" s="41" t="str">
        <f aca="false">IF(G1065="","",IFERROR(IF(ISNUMBER(SEARCH(Assumptions!$C$5,G1065)),Assumptions!$D$5,IF(ISNUMBER(SEARCH(Assumptions!$C$6,G1065)),Assumptions!$D$6,IF(ISNUMBER(SEARCH(Assumptions!$C$7,G1065)),Assumptions!$D$7,"Other Services"))),"Other Services"))</f>
        <v/>
      </c>
    </row>
    <row r="1066" customFormat="false" ht="15" hidden="false" customHeight="false" outlineLevel="0" collapsed="false">
      <c r="E1066" s="41" t="str">
        <f aca="false">IF(D1066="","",IFERROR(VLOOKUP(D1066,Assumptions!$G$5:$H$16,2,0),"Other"))</f>
        <v/>
      </c>
      <c r="J1066" s="41" t="str">
        <f aca="false">IF(G1066="","",IFERROR(IF(ISNUMBER(SEARCH(Assumptions!$C$5,G1066)),Assumptions!$D$5,IF(ISNUMBER(SEARCH(Assumptions!$C$6,G1066)),Assumptions!$D$6,IF(ISNUMBER(SEARCH(Assumptions!$C$7,G1066)),Assumptions!$D$7,"Other Services"))),"Other Services"))</f>
        <v/>
      </c>
    </row>
    <row r="1067" customFormat="false" ht="15" hidden="false" customHeight="false" outlineLevel="0" collapsed="false">
      <c r="E1067" s="41" t="str">
        <f aca="false">IF(D1067="","",IFERROR(VLOOKUP(D1067,Assumptions!$G$5:$H$16,2,0),"Other"))</f>
        <v/>
      </c>
      <c r="J1067" s="41" t="str">
        <f aca="false">IF(G1067="","",IFERROR(IF(ISNUMBER(SEARCH(Assumptions!$C$5,G1067)),Assumptions!$D$5,IF(ISNUMBER(SEARCH(Assumptions!$C$6,G1067)),Assumptions!$D$6,IF(ISNUMBER(SEARCH(Assumptions!$C$7,G1067)),Assumptions!$D$7,"Other Services"))),"Other Services"))</f>
        <v/>
      </c>
    </row>
    <row r="1068" customFormat="false" ht="15" hidden="false" customHeight="false" outlineLevel="0" collapsed="false">
      <c r="E1068" s="41" t="str">
        <f aca="false">IF(D1068="","",IFERROR(VLOOKUP(D1068,Assumptions!$G$5:$H$16,2,0),"Other"))</f>
        <v/>
      </c>
      <c r="J1068" s="41" t="str">
        <f aca="false">IF(G1068="","",IFERROR(IF(ISNUMBER(SEARCH(Assumptions!$C$5,G1068)),Assumptions!$D$5,IF(ISNUMBER(SEARCH(Assumptions!$C$6,G1068)),Assumptions!$D$6,IF(ISNUMBER(SEARCH(Assumptions!$C$7,G1068)),Assumptions!$D$7,"Other Services"))),"Other Services"))</f>
        <v/>
      </c>
    </row>
    <row r="1069" customFormat="false" ht="15" hidden="false" customHeight="false" outlineLevel="0" collapsed="false">
      <c r="E1069" s="41" t="str">
        <f aca="false">IF(D1069="","",IFERROR(VLOOKUP(D1069,Assumptions!$G$5:$H$16,2,0),"Other"))</f>
        <v/>
      </c>
      <c r="J1069" s="41" t="str">
        <f aca="false">IF(G1069="","",IFERROR(IF(ISNUMBER(SEARCH(Assumptions!$C$5,G1069)),Assumptions!$D$5,IF(ISNUMBER(SEARCH(Assumptions!$C$6,G1069)),Assumptions!$D$6,IF(ISNUMBER(SEARCH(Assumptions!$C$7,G1069)),Assumptions!$D$7,"Other Services"))),"Other Services"))</f>
        <v/>
      </c>
    </row>
    <row r="1070" customFormat="false" ht="15" hidden="false" customHeight="false" outlineLevel="0" collapsed="false">
      <c r="E1070" s="41" t="str">
        <f aca="false">IF(D1070="","",IFERROR(VLOOKUP(D1070,Assumptions!$G$5:$H$16,2,0),"Other"))</f>
        <v/>
      </c>
      <c r="J1070" s="41" t="str">
        <f aca="false">IF(G1070="","",IFERROR(IF(ISNUMBER(SEARCH(Assumptions!$C$5,G1070)),Assumptions!$D$5,IF(ISNUMBER(SEARCH(Assumptions!$C$6,G1070)),Assumptions!$D$6,IF(ISNUMBER(SEARCH(Assumptions!$C$7,G1070)),Assumptions!$D$7,"Other Services"))),"Other Services"))</f>
        <v/>
      </c>
    </row>
    <row r="1071" customFormat="false" ht="15" hidden="false" customHeight="false" outlineLevel="0" collapsed="false">
      <c r="E1071" s="41" t="str">
        <f aca="false">IF(D1071="","",IFERROR(VLOOKUP(D1071,Assumptions!$G$5:$H$16,2,0),"Other"))</f>
        <v/>
      </c>
      <c r="J1071" s="41" t="str">
        <f aca="false">IF(G1071="","",IFERROR(IF(ISNUMBER(SEARCH(Assumptions!$C$5,G1071)),Assumptions!$D$5,IF(ISNUMBER(SEARCH(Assumptions!$C$6,G1071)),Assumptions!$D$6,IF(ISNUMBER(SEARCH(Assumptions!$C$7,G1071)),Assumptions!$D$7,"Other Services"))),"Other Services"))</f>
        <v/>
      </c>
    </row>
    <row r="1072" customFormat="false" ht="15" hidden="false" customHeight="false" outlineLevel="0" collapsed="false">
      <c r="E1072" s="41" t="str">
        <f aca="false">IF(D1072="","",IFERROR(VLOOKUP(D1072,Assumptions!$G$5:$H$16,2,0),"Other"))</f>
        <v/>
      </c>
      <c r="J1072" s="41" t="str">
        <f aca="false">IF(G1072="","",IFERROR(IF(ISNUMBER(SEARCH(Assumptions!$C$5,G1072)),Assumptions!$D$5,IF(ISNUMBER(SEARCH(Assumptions!$C$6,G1072)),Assumptions!$D$6,IF(ISNUMBER(SEARCH(Assumptions!$C$7,G1072)),Assumptions!$D$7,"Other Services"))),"Other Services"))</f>
        <v/>
      </c>
    </row>
    <row r="1073" customFormat="false" ht="15" hidden="false" customHeight="false" outlineLevel="0" collapsed="false">
      <c r="E1073" s="41" t="str">
        <f aca="false">IF(D1073="","",IFERROR(VLOOKUP(D1073,Assumptions!$G$5:$H$16,2,0),"Other"))</f>
        <v/>
      </c>
      <c r="J1073" s="41" t="str">
        <f aca="false">IF(G1073="","",IFERROR(IF(ISNUMBER(SEARCH(Assumptions!$C$5,G1073)),Assumptions!$D$5,IF(ISNUMBER(SEARCH(Assumptions!$C$6,G1073)),Assumptions!$D$6,IF(ISNUMBER(SEARCH(Assumptions!$C$7,G1073)),Assumptions!$D$7,"Other Services"))),"Other Services"))</f>
        <v/>
      </c>
    </row>
    <row r="1074" customFormat="false" ht="15" hidden="false" customHeight="false" outlineLevel="0" collapsed="false">
      <c r="E1074" s="41" t="str">
        <f aca="false">IF(D1074="","",IFERROR(VLOOKUP(D1074,Assumptions!$G$5:$H$16,2,0),"Other"))</f>
        <v/>
      </c>
      <c r="J1074" s="41" t="str">
        <f aca="false">IF(G1074="","",IFERROR(IF(ISNUMBER(SEARCH(Assumptions!$C$5,G1074)),Assumptions!$D$5,IF(ISNUMBER(SEARCH(Assumptions!$C$6,G1074)),Assumptions!$D$6,IF(ISNUMBER(SEARCH(Assumptions!$C$7,G1074)),Assumptions!$D$7,"Other Services"))),"Other Services"))</f>
        <v/>
      </c>
    </row>
    <row r="1075" customFormat="false" ht="15" hidden="false" customHeight="false" outlineLevel="0" collapsed="false">
      <c r="E1075" s="41" t="str">
        <f aca="false">IF(D1075="","",IFERROR(VLOOKUP(D1075,Assumptions!$G$5:$H$16,2,0),"Other"))</f>
        <v/>
      </c>
      <c r="J1075" s="41" t="str">
        <f aca="false">IF(G1075="","",IFERROR(IF(ISNUMBER(SEARCH(Assumptions!$C$5,G1075)),Assumptions!$D$5,IF(ISNUMBER(SEARCH(Assumptions!$C$6,G1075)),Assumptions!$D$6,IF(ISNUMBER(SEARCH(Assumptions!$C$7,G1075)),Assumptions!$D$7,"Other Services"))),"Other Services"))</f>
        <v/>
      </c>
    </row>
    <row r="1076" customFormat="false" ht="15" hidden="false" customHeight="false" outlineLevel="0" collapsed="false">
      <c r="E1076" s="41" t="str">
        <f aca="false">IF(D1076="","",IFERROR(VLOOKUP(D1076,Assumptions!$G$5:$H$16,2,0),"Other"))</f>
        <v/>
      </c>
      <c r="J1076" s="41" t="str">
        <f aca="false">IF(G1076="","",IFERROR(IF(ISNUMBER(SEARCH(Assumptions!$C$5,G1076)),Assumptions!$D$5,IF(ISNUMBER(SEARCH(Assumptions!$C$6,G1076)),Assumptions!$D$6,IF(ISNUMBER(SEARCH(Assumptions!$C$7,G1076)),Assumptions!$D$7,"Other Services"))),"Other Services"))</f>
        <v/>
      </c>
    </row>
    <row r="1077" customFormat="false" ht="15" hidden="false" customHeight="false" outlineLevel="0" collapsed="false">
      <c r="E1077" s="41" t="str">
        <f aca="false">IF(D1077="","",IFERROR(VLOOKUP(D1077,Assumptions!$G$5:$H$16,2,0),"Other"))</f>
        <v/>
      </c>
      <c r="J1077" s="41" t="str">
        <f aca="false">IF(G1077="","",IFERROR(IF(ISNUMBER(SEARCH(Assumptions!$C$5,G1077)),Assumptions!$D$5,IF(ISNUMBER(SEARCH(Assumptions!$C$6,G1077)),Assumptions!$D$6,IF(ISNUMBER(SEARCH(Assumptions!$C$7,G1077)),Assumptions!$D$7,"Other Services"))),"Other Services"))</f>
        <v/>
      </c>
    </row>
    <row r="1078" customFormat="false" ht="15" hidden="false" customHeight="false" outlineLevel="0" collapsed="false">
      <c r="E1078" s="41" t="str">
        <f aca="false">IF(D1078="","",IFERROR(VLOOKUP(D1078,Assumptions!$G$5:$H$16,2,0),"Other"))</f>
        <v/>
      </c>
      <c r="J1078" s="41" t="str">
        <f aca="false">IF(G1078="","",IFERROR(IF(ISNUMBER(SEARCH(Assumptions!$C$5,G1078)),Assumptions!$D$5,IF(ISNUMBER(SEARCH(Assumptions!$C$6,G1078)),Assumptions!$D$6,IF(ISNUMBER(SEARCH(Assumptions!$C$7,G1078)),Assumptions!$D$7,"Other Services"))),"Other Services"))</f>
        <v/>
      </c>
    </row>
    <row r="1079" customFormat="false" ht="15" hidden="false" customHeight="false" outlineLevel="0" collapsed="false">
      <c r="E1079" s="41" t="str">
        <f aca="false">IF(D1079="","",IFERROR(VLOOKUP(D1079,Assumptions!$G$5:$H$16,2,0),"Other"))</f>
        <v/>
      </c>
      <c r="J1079" s="41" t="str">
        <f aca="false">IF(G1079="","",IFERROR(IF(ISNUMBER(SEARCH(Assumptions!$C$5,G1079)),Assumptions!$D$5,IF(ISNUMBER(SEARCH(Assumptions!$C$6,G1079)),Assumptions!$D$6,IF(ISNUMBER(SEARCH(Assumptions!$C$7,G1079)),Assumptions!$D$7,"Other Services"))),"Other Services"))</f>
        <v/>
      </c>
    </row>
    <row r="1080" customFormat="false" ht="15" hidden="false" customHeight="false" outlineLevel="0" collapsed="false">
      <c r="E1080" s="41" t="str">
        <f aca="false">IF(D1080="","",IFERROR(VLOOKUP(D1080,Assumptions!$G$5:$H$16,2,0),"Other"))</f>
        <v/>
      </c>
      <c r="J1080" s="41" t="str">
        <f aca="false">IF(G1080="","",IFERROR(IF(ISNUMBER(SEARCH(Assumptions!$C$5,G1080)),Assumptions!$D$5,IF(ISNUMBER(SEARCH(Assumptions!$C$6,G1080)),Assumptions!$D$6,IF(ISNUMBER(SEARCH(Assumptions!$C$7,G1080)),Assumptions!$D$7,"Other Services"))),"Other Services"))</f>
        <v/>
      </c>
    </row>
    <row r="1081" customFormat="false" ht="15" hidden="false" customHeight="false" outlineLevel="0" collapsed="false">
      <c r="E1081" s="41" t="str">
        <f aca="false">IF(D1081="","",IFERROR(VLOOKUP(D1081,Assumptions!$G$5:$H$16,2,0),"Other"))</f>
        <v/>
      </c>
      <c r="J1081" s="41" t="str">
        <f aca="false">IF(G1081="","",IFERROR(IF(ISNUMBER(SEARCH(Assumptions!$C$5,G1081)),Assumptions!$D$5,IF(ISNUMBER(SEARCH(Assumptions!$C$6,G1081)),Assumptions!$D$6,IF(ISNUMBER(SEARCH(Assumptions!$C$7,G1081)),Assumptions!$D$7,"Other Services"))),"Other Services"))</f>
        <v/>
      </c>
    </row>
    <row r="1082" customFormat="false" ht="15" hidden="false" customHeight="false" outlineLevel="0" collapsed="false">
      <c r="E1082" s="41" t="str">
        <f aca="false">IF(D1082="","",IFERROR(VLOOKUP(D1082,Assumptions!$G$5:$H$16,2,0),"Other"))</f>
        <v/>
      </c>
      <c r="J1082" s="41" t="str">
        <f aca="false">IF(G1082="","",IFERROR(IF(ISNUMBER(SEARCH(Assumptions!$C$5,G1082)),Assumptions!$D$5,IF(ISNUMBER(SEARCH(Assumptions!$C$6,G1082)),Assumptions!$D$6,IF(ISNUMBER(SEARCH(Assumptions!$C$7,G1082)),Assumptions!$D$7,"Other Services"))),"Other Services"))</f>
        <v/>
      </c>
    </row>
    <row r="1083" customFormat="false" ht="15" hidden="false" customHeight="false" outlineLevel="0" collapsed="false">
      <c r="E1083" s="41" t="str">
        <f aca="false">IF(D1083="","",IFERROR(VLOOKUP(D1083,Assumptions!$G$5:$H$16,2,0),"Other"))</f>
        <v/>
      </c>
      <c r="J1083" s="41" t="str">
        <f aca="false">IF(G1083="","",IFERROR(IF(ISNUMBER(SEARCH(Assumptions!$C$5,G1083)),Assumptions!$D$5,IF(ISNUMBER(SEARCH(Assumptions!$C$6,G1083)),Assumptions!$D$6,IF(ISNUMBER(SEARCH(Assumptions!$C$7,G1083)),Assumptions!$D$7,"Other Services"))),"Other Services"))</f>
        <v/>
      </c>
    </row>
    <row r="1084" customFormat="false" ht="15" hidden="false" customHeight="false" outlineLevel="0" collapsed="false">
      <c r="E1084" s="41" t="str">
        <f aca="false">IF(D1084="","",IFERROR(VLOOKUP(D1084,Assumptions!$G$5:$H$16,2,0),"Other"))</f>
        <v/>
      </c>
      <c r="J1084" s="41" t="str">
        <f aca="false">IF(G1084="","",IFERROR(IF(ISNUMBER(SEARCH(Assumptions!$C$5,G1084)),Assumptions!$D$5,IF(ISNUMBER(SEARCH(Assumptions!$C$6,G1084)),Assumptions!$D$6,IF(ISNUMBER(SEARCH(Assumptions!$C$7,G1084)),Assumptions!$D$7,"Other Services"))),"Other Services"))</f>
        <v/>
      </c>
    </row>
    <row r="1085" customFormat="false" ht="15" hidden="false" customHeight="false" outlineLevel="0" collapsed="false">
      <c r="E1085" s="41" t="str">
        <f aca="false">IF(D1085="","",IFERROR(VLOOKUP(D1085,Assumptions!$G$5:$H$16,2,0),"Other"))</f>
        <v/>
      </c>
      <c r="J1085" s="41" t="str">
        <f aca="false">IF(G1085="","",IFERROR(IF(ISNUMBER(SEARCH(Assumptions!$C$5,G1085)),Assumptions!$D$5,IF(ISNUMBER(SEARCH(Assumptions!$C$6,G1085)),Assumptions!$D$6,IF(ISNUMBER(SEARCH(Assumptions!$C$7,G1085)),Assumptions!$D$7,"Other Services"))),"Other Services"))</f>
        <v/>
      </c>
    </row>
    <row r="1086" customFormat="false" ht="15" hidden="false" customHeight="false" outlineLevel="0" collapsed="false">
      <c r="E1086" s="41" t="str">
        <f aca="false">IF(D1086="","",IFERROR(VLOOKUP(D1086,Assumptions!$G$5:$H$16,2,0),"Other"))</f>
        <v/>
      </c>
      <c r="J1086" s="41" t="str">
        <f aca="false">IF(G1086="","",IFERROR(IF(ISNUMBER(SEARCH(Assumptions!$C$5,G1086)),Assumptions!$D$5,IF(ISNUMBER(SEARCH(Assumptions!$C$6,G1086)),Assumptions!$D$6,IF(ISNUMBER(SEARCH(Assumptions!$C$7,G1086)),Assumptions!$D$7,"Other Services"))),"Other Services"))</f>
        <v/>
      </c>
    </row>
    <row r="1087" customFormat="false" ht="15" hidden="false" customHeight="false" outlineLevel="0" collapsed="false">
      <c r="E1087" s="41" t="str">
        <f aca="false">IF(D1087="","",IFERROR(VLOOKUP(D1087,Assumptions!$G$5:$H$16,2,0),"Other"))</f>
        <v/>
      </c>
      <c r="J1087" s="41" t="str">
        <f aca="false">IF(G1087="","",IFERROR(IF(ISNUMBER(SEARCH(Assumptions!$C$5,G1087)),Assumptions!$D$5,IF(ISNUMBER(SEARCH(Assumptions!$C$6,G1087)),Assumptions!$D$6,IF(ISNUMBER(SEARCH(Assumptions!$C$7,G1087)),Assumptions!$D$7,"Other Services"))),"Other Services"))</f>
        <v/>
      </c>
    </row>
    <row r="1088" customFormat="false" ht="15" hidden="false" customHeight="false" outlineLevel="0" collapsed="false">
      <c r="E1088" s="41" t="str">
        <f aca="false">IF(D1088="","",IFERROR(VLOOKUP(D1088,Assumptions!$G$5:$H$16,2,0),"Other"))</f>
        <v/>
      </c>
      <c r="J1088" s="41" t="str">
        <f aca="false">IF(G1088="","",IFERROR(IF(ISNUMBER(SEARCH(Assumptions!$C$5,G1088)),Assumptions!$D$5,IF(ISNUMBER(SEARCH(Assumptions!$C$6,G1088)),Assumptions!$D$6,IF(ISNUMBER(SEARCH(Assumptions!$C$7,G1088)),Assumptions!$D$7,"Other Services"))),"Other Services"))</f>
        <v/>
      </c>
    </row>
    <row r="1089" customFormat="false" ht="15" hidden="false" customHeight="false" outlineLevel="0" collapsed="false">
      <c r="E1089" s="41" t="str">
        <f aca="false">IF(D1089="","",IFERROR(VLOOKUP(D1089,Assumptions!$G$5:$H$16,2,0),"Other"))</f>
        <v/>
      </c>
      <c r="J1089" s="41" t="str">
        <f aca="false">IF(G1089="","",IFERROR(IF(ISNUMBER(SEARCH(Assumptions!$C$5,G1089)),Assumptions!$D$5,IF(ISNUMBER(SEARCH(Assumptions!$C$6,G1089)),Assumptions!$D$6,IF(ISNUMBER(SEARCH(Assumptions!$C$7,G1089)),Assumptions!$D$7,"Other Services"))),"Other Services"))</f>
        <v/>
      </c>
    </row>
    <row r="1090" customFormat="false" ht="15" hidden="false" customHeight="false" outlineLevel="0" collapsed="false">
      <c r="E1090" s="41" t="str">
        <f aca="false">IF(D1090="","",IFERROR(VLOOKUP(D1090,Assumptions!$G$5:$H$16,2,0),"Other"))</f>
        <v/>
      </c>
      <c r="J1090" s="41" t="str">
        <f aca="false">IF(G1090="","",IFERROR(IF(ISNUMBER(SEARCH(Assumptions!$C$5,G1090)),Assumptions!$D$5,IF(ISNUMBER(SEARCH(Assumptions!$C$6,G1090)),Assumptions!$D$6,IF(ISNUMBER(SEARCH(Assumptions!$C$7,G1090)),Assumptions!$D$7,"Other Services"))),"Other Services"))</f>
        <v/>
      </c>
    </row>
    <row r="1091" customFormat="false" ht="15" hidden="false" customHeight="false" outlineLevel="0" collapsed="false">
      <c r="E1091" s="41" t="str">
        <f aca="false">IF(D1091="","",IFERROR(VLOOKUP(D1091,Assumptions!$G$5:$H$16,2,0),"Other"))</f>
        <v/>
      </c>
      <c r="J1091" s="41" t="str">
        <f aca="false">IF(G1091="","",IFERROR(IF(ISNUMBER(SEARCH(Assumptions!$C$5,G1091)),Assumptions!$D$5,IF(ISNUMBER(SEARCH(Assumptions!$C$6,G1091)),Assumptions!$D$6,IF(ISNUMBER(SEARCH(Assumptions!$C$7,G1091)),Assumptions!$D$7,"Other Services"))),"Other Services"))</f>
        <v/>
      </c>
    </row>
    <row r="1092" customFormat="false" ht="15" hidden="false" customHeight="false" outlineLevel="0" collapsed="false">
      <c r="E1092" s="41" t="str">
        <f aca="false">IF(D1092="","",IFERROR(VLOOKUP(D1092,Assumptions!$G$5:$H$16,2,0),"Other"))</f>
        <v/>
      </c>
      <c r="J1092" s="41" t="str">
        <f aca="false">IF(G1092="","",IFERROR(IF(ISNUMBER(SEARCH(Assumptions!$C$5,G1092)),Assumptions!$D$5,IF(ISNUMBER(SEARCH(Assumptions!$C$6,G1092)),Assumptions!$D$6,IF(ISNUMBER(SEARCH(Assumptions!$C$7,G1092)),Assumptions!$D$7,"Other Services"))),"Other Services"))</f>
        <v/>
      </c>
    </row>
    <row r="1093" customFormat="false" ht="15" hidden="false" customHeight="false" outlineLevel="0" collapsed="false">
      <c r="E1093" s="41" t="str">
        <f aca="false">IF(D1093="","",IFERROR(VLOOKUP(D1093,Assumptions!$G$5:$H$16,2,0),"Other"))</f>
        <v/>
      </c>
      <c r="J1093" s="41" t="str">
        <f aca="false">IF(G1093="","",IFERROR(IF(ISNUMBER(SEARCH(Assumptions!$C$5,G1093)),Assumptions!$D$5,IF(ISNUMBER(SEARCH(Assumptions!$C$6,G1093)),Assumptions!$D$6,IF(ISNUMBER(SEARCH(Assumptions!$C$7,G1093)),Assumptions!$D$7,"Other Services"))),"Other Services"))</f>
        <v/>
      </c>
    </row>
    <row r="1094" customFormat="false" ht="15" hidden="false" customHeight="false" outlineLevel="0" collapsed="false">
      <c r="E1094" s="41" t="str">
        <f aca="false">IF(D1094="","",IFERROR(VLOOKUP(D1094,Assumptions!$G$5:$H$16,2,0),"Other"))</f>
        <v/>
      </c>
      <c r="J1094" s="41" t="str">
        <f aca="false">IF(G1094="","",IFERROR(IF(ISNUMBER(SEARCH(Assumptions!$C$5,G1094)),Assumptions!$D$5,IF(ISNUMBER(SEARCH(Assumptions!$C$6,G1094)),Assumptions!$D$6,IF(ISNUMBER(SEARCH(Assumptions!$C$7,G1094)),Assumptions!$D$7,"Other Services"))),"Other Services"))</f>
        <v/>
      </c>
    </row>
    <row r="1095" customFormat="false" ht="15" hidden="false" customHeight="false" outlineLevel="0" collapsed="false">
      <c r="E1095" s="41" t="str">
        <f aca="false">IF(D1095="","",IFERROR(VLOOKUP(D1095,Assumptions!$G$5:$H$16,2,0),"Other"))</f>
        <v/>
      </c>
      <c r="J1095" s="41" t="str">
        <f aca="false">IF(G1095="","",IFERROR(IF(ISNUMBER(SEARCH(Assumptions!$C$5,G1095)),Assumptions!$D$5,IF(ISNUMBER(SEARCH(Assumptions!$C$6,G1095)),Assumptions!$D$6,IF(ISNUMBER(SEARCH(Assumptions!$C$7,G1095)),Assumptions!$D$7,"Other Services"))),"Other Services"))</f>
        <v/>
      </c>
    </row>
    <row r="1096" customFormat="false" ht="15" hidden="false" customHeight="false" outlineLevel="0" collapsed="false">
      <c r="E1096" s="41" t="str">
        <f aca="false">IF(D1096="","",IFERROR(VLOOKUP(D1096,Assumptions!$G$5:$H$16,2,0),"Other"))</f>
        <v/>
      </c>
      <c r="J1096" s="41" t="str">
        <f aca="false">IF(G1096="","",IFERROR(IF(ISNUMBER(SEARCH(Assumptions!$C$5,G1096)),Assumptions!$D$5,IF(ISNUMBER(SEARCH(Assumptions!$C$6,G1096)),Assumptions!$D$6,IF(ISNUMBER(SEARCH(Assumptions!$C$7,G1096)),Assumptions!$D$7,"Other Services"))),"Other Services"))</f>
        <v/>
      </c>
    </row>
    <row r="1097" customFormat="false" ht="15" hidden="false" customHeight="false" outlineLevel="0" collapsed="false">
      <c r="E1097" s="41" t="str">
        <f aca="false">IF(D1097="","",IFERROR(VLOOKUP(D1097,Assumptions!$G$5:$H$16,2,0),"Other"))</f>
        <v/>
      </c>
      <c r="J1097" s="41" t="str">
        <f aca="false">IF(G1097="","",IFERROR(IF(ISNUMBER(SEARCH(Assumptions!$C$5,G1097)),Assumptions!$D$5,IF(ISNUMBER(SEARCH(Assumptions!$C$6,G1097)),Assumptions!$D$6,IF(ISNUMBER(SEARCH(Assumptions!$C$7,G1097)),Assumptions!$D$7,"Other Services"))),"Other Services"))</f>
        <v/>
      </c>
    </row>
    <row r="1098" customFormat="false" ht="15" hidden="false" customHeight="false" outlineLevel="0" collapsed="false">
      <c r="E1098" s="41" t="str">
        <f aca="false">IF(D1098="","",IFERROR(VLOOKUP(D1098,Assumptions!$G$5:$H$16,2,0),"Other"))</f>
        <v/>
      </c>
      <c r="J1098" s="41" t="str">
        <f aca="false">IF(G1098="","",IFERROR(IF(ISNUMBER(SEARCH(Assumptions!$C$5,G1098)),Assumptions!$D$5,IF(ISNUMBER(SEARCH(Assumptions!$C$6,G1098)),Assumptions!$D$6,IF(ISNUMBER(SEARCH(Assumptions!$C$7,G1098)),Assumptions!$D$7,"Other Services"))),"Other Services"))</f>
        <v/>
      </c>
    </row>
    <row r="1099" customFormat="false" ht="15" hidden="false" customHeight="false" outlineLevel="0" collapsed="false">
      <c r="E1099" s="41" t="str">
        <f aca="false">IF(D1099="","",IFERROR(VLOOKUP(D1099,Assumptions!$G$5:$H$16,2,0),"Other"))</f>
        <v/>
      </c>
      <c r="J1099" s="41" t="str">
        <f aca="false">IF(G1099="","",IFERROR(IF(ISNUMBER(SEARCH(Assumptions!$C$5,G1099)),Assumptions!$D$5,IF(ISNUMBER(SEARCH(Assumptions!$C$6,G1099)),Assumptions!$D$6,IF(ISNUMBER(SEARCH(Assumptions!$C$7,G1099)),Assumptions!$D$7,"Other Services"))),"Other Services"))</f>
        <v/>
      </c>
    </row>
    <row r="1100" customFormat="false" ht="15" hidden="false" customHeight="false" outlineLevel="0" collapsed="false">
      <c r="E1100" s="41" t="str">
        <f aca="false">IF(D1100="","",IFERROR(VLOOKUP(D1100,Assumptions!$G$5:$H$16,2,0),"Other"))</f>
        <v/>
      </c>
      <c r="J1100" s="41" t="str">
        <f aca="false">IF(G1100="","",IFERROR(IF(ISNUMBER(SEARCH(Assumptions!$C$5,G1100)),Assumptions!$D$5,IF(ISNUMBER(SEARCH(Assumptions!$C$6,G1100)),Assumptions!$D$6,IF(ISNUMBER(SEARCH(Assumptions!$C$7,G1100)),Assumptions!$D$7,"Other Services"))),"Other Services"))</f>
        <v/>
      </c>
    </row>
    <row r="1101" customFormat="false" ht="15" hidden="false" customHeight="false" outlineLevel="0" collapsed="false">
      <c r="E1101" s="41" t="str">
        <f aca="false">IF(D1101="","",IFERROR(VLOOKUP(D1101,Assumptions!$G$5:$H$16,2,0),"Other"))</f>
        <v/>
      </c>
      <c r="J1101" s="41" t="str">
        <f aca="false">IF(G1101="","",IFERROR(IF(ISNUMBER(SEARCH(Assumptions!$C$5,G1101)),Assumptions!$D$5,IF(ISNUMBER(SEARCH(Assumptions!$C$6,G1101)),Assumptions!$D$6,IF(ISNUMBER(SEARCH(Assumptions!$C$7,G1101)),Assumptions!$D$7,"Other Services"))),"Other Services"))</f>
        <v/>
      </c>
    </row>
    <row r="1102" customFormat="false" ht="15" hidden="false" customHeight="false" outlineLevel="0" collapsed="false">
      <c r="E1102" s="41" t="str">
        <f aca="false">IF(D1102="","",IFERROR(VLOOKUP(D1102,Assumptions!$G$5:$H$16,2,0),"Other"))</f>
        <v/>
      </c>
      <c r="J1102" s="41" t="str">
        <f aca="false">IF(G1102="","",IFERROR(IF(ISNUMBER(SEARCH(Assumptions!$C$5,G1102)),Assumptions!$D$5,IF(ISNUMBER(SEARCH(Assumptions!$C$6,G1102)),Assumptions!$D$6,IF(ISNUMBER(SEARCH(Assumptions!$C$7,G1102)),Assumptions!$D$7,"Other Services"))),"Other Services"))</f>
        <v/>
      </c>
    </row>
    <row r="1103" customFormat="false" ht="15" hidden="false" customHeight="false" outlineLevel="0" collapsed="false">
      <c r="E1103" s="41" t="str">
        <f aca="false">IF(D1103="","",IFERROR(VLOOKUP(D1103,Assumptions!$G$5:$H$16,2,0),"Other"))</f>
        <v/>
      </c>
      <c r="J1103" s="41" t="str">
        <f aca="false">IF(G1103="","",IFERROR(IF(ISNUMBER(SEARCH(Assumptions!$C$5,G1103)),Assumptions!$D$5,IF(ISNUMBER(SEARCH(Assumptions!$C$6,G1103)),Assumptions!$D$6,IF(ISNUMBER(SEARCH(Assumptions!$C$7,G1103)),Assumptions!$D$7,"Other Services"))),"Other Services"))</f>
        <v/>
      </c>
    </row>
    <row r="1104" customFormat="false" ht="15" hidden="false" customHeight="false" outlineLevel="0" collapsed="false">
      <c r="E1104" s="41" t="str">
        <f aca="false">IF(D1104="","",IFERROR(VLOOKUP(D1104,Assumptions!$G$5:$H$16,2,0),"Other"))</f>
        <v/>
      </c>
      <c r="J1104" s="41" t="str">
        <f aca="false">IF(G1104="","",IFERROR(IF(ISNUMBER(SEARCH(Assumptions!$C$5,G1104)),Assumptions!$D$5,IF(ISNUMBER(SEARCH(Assumptions!$C$6,G1104)),Assumptions!$D$6,IF(ISNUMBER(SEARCH(Assumptions!$C$7,G1104)),Assumptions!$D$7,"Other Services"))),"Other Services"))</f>
        <v/>
      </c>
    </row>
    <row r="1105" customFormat="false" ht="15" hidden="false" customHeight="false" outlineLevel="0" collapsed="false">
      <c r="E1105" s="41" t="str">
        <f aca="false">IF(D1105="","",IFERROR(VLOOKUP(D1105,Assumptions!$G$5:$H$16,2,0),"Other"))</f>
        <v/>
      </c>
      <c r="J1105" s="41" t="str">
        <f aca="false">IF(G1105="","",IFERROR(IF(ISNUMBER(SEARCH(Assumptions!$C$5,G1105)),Assumptions!$D$5,IF(ISNUMBER(SEARCH(Assumptions!$C$6,G1105)),Assumptions!$D$6,IF(ISNUMBER(SEARCH(Assumptions!$C$7,G1105)),Assumptions!$D$7,"Other Services"))),"Other Services"))</f>
        <v/>
      </c>
    </row>
    <row r="1106" customFormat="false" ht="15" hidden="false" customHeight="false" outlineLevel="0" collapsed="false">
      <c r="E1106" s="41" t="str">
        <f aca="false">IF(D1106="","",IFERROR(VLOOKUP(D1106,Assumptions!$G$5:$H$16,2,0),"Other"))</f>
        <v/>
      </c>
      <c r="J1106" s="41" t="str">
        <f aca="false">IF(G1106="","",IFERROR(IF(ISNUMBER(SEARCH(Assumptions!$C$5,G1106)),Assumptions!$D$5,IF(ISNUMBER(SEARCH(Assumptions!$C$6,G1106)),Assumptions!$D$6,IF(ISNUMBER(SEARCH(Assumptions!$C$7,G1106)),Assumptions!$D$7,"Other Services"))),"Other Services"))</f>
        <v/>
      </c>
    </row>
    <row r="1107" customFormat="false" ht="15" hidden="false" customHeight="false" outlineLevel="0" collapsed="false">
      <c r="E1107" s="41" t="str">
        <f aca="false">IF(D1107="","",IFERROR(VLOOKUP(D1107,Assumptions!$G$5:$H$16,2,0),"Other"))</f>
        <v/>
      </c>
      <c r="J1107" s="41" t="str">
        <f aca="false">IF(G1107="","",IFERROR(IF(ISNUMBER(SEARCH(Assumptions!$C$5,G1107)),Assumptions!$D$5,IF(ISNUMBER(SEARCH(Assumptions!$C$6,G1107)),Assumptions!$D$6,IF(ISNUMBER(SEARCH(Assumptions!$C$7,G1107)),Assumptions!$D$7,"Other Services"))),"Other Services"))</f>
        <v/>
      </c>
    </row>
    <row r="1108" customFormat="false" ht="15" hidden="false" customHeight="false" outlineLevel="0" collapsed="false">
      <c r="E1108" s="41" t="str">
        <f aca="false">IF(D1108="","",IFERROR(VLOOKUP(D1108,Assumptions!$G$5:$H$16,2,0),"Other"))</f>
        <v/>
      </c>
      <c r="J1108" s="41" t="str">
        <f aca="false">IF(G1108="","",IFERROR(IF(ISNUMBER(SEARCH(Assumptions!$C$5,G1108)),Assumptions!$D$5,IF(ISNUMBER(SEARCH(Assumptions!$C$6,G1108)),Assumptions!$D$6,IF(ISNUMBER(SEARCH(Assumptions!$C$7,G1108)),Assumptions!$D$7,"Other Services"))),"Other Services"))</f>
        <v/>
      </c>
    </row>
    <row r="1109" customFormat="false" ht="15" hidden="false" customHeight="false" outlineLevel="0" collapsed="false">
      <c r="E1109" s="41" t="str">
        <f aca="false">IF(D1109="","",IFERROR(VLOOKUP(D1109,Assumptions!$G$5:$H$16,2,0),"Other"))</f>
        <v/>
      </c>
      <c r="J1109" s="41" t="str">
        <f aca="false">IF(G1109="","",IFERROR(IF(ISNUMBER(SEARCH(Assumptions!$C$5,G1109)),Assumptions!$D$5,IF(ISNUMBER(SEARCH(Assumptions!$C$6,G1109)),Assumptions!$D$6,IF(ISNUMBER(SEARCH(Assumptions!$C$7,G1109)),Assumptions!$D$7,"Other Services"))),"Other Services"))</f>
        <v/>
      </c>
    </row>
    <row r="1110" customFormat="false" ht="15" hidden="false" customHeight="false" outlineLevel="0" collapsed="false">
      <c r="E1110" s="41" t="str">
        <f aca="false">IF(D1110="","",IFERROR(VLOOKUP(D1110,Assumptions!$G$5:$H$16,2,0),"Other"))</f>
        <v/>
      </c>
      <c r="J1110" s="41" t="str">
        <f aca="false">IF(G1110="","",IFERROR(IF(ISNUMBER(SEARCH(Assumptions!$C$5,G1110)),Assumptions!$D$5,IF(ISNUMBER(SEARCH(Assumptions!$C$6,G1110)),Assumptions!$D$6,IF(ISNUMBER(SEARCH(Assumptions!$C$7,G1110)),Assumptions!$D$7,"Other Services"))),"Other Services"))</f>
        <v/>
      </c>
    </row>
    <row r="1111" customFormat="false" ht="15" hidden="false" customHeight="false" outlineLevel="0" collapsed="false">
      <c r="E1111" s="41" t="str">
        <f aca="false">IF(D1111="","",IFERROR(VLOOKUP(D1111,Assumptions!$G$5:$H$16,2,0),"Other"))</f>
        <v/>
      </c>
      <c r="J1111" s="41" t="str">
        <f aca="false">IF(G1111="","",IFERROR(IF(ISNUMBER(SEARCH(Assumptions!$C$5,G1111)),Assumptions!$D$5,IF(ISNUMBER(SEARCH(Assumptions!$C$6,G1111)),Assumptions!$D$6,IF(ISNUMBER(SEARCH(Assumptions!$C$7,G1111)),Assumptions!$D$7,"Other Services"))),"Other Services"))</f>
        <v/>
      </c>
    </row>
    <row r="1112" customFormat="false" ht="15" hidden="false" customHeight="false" outlineLevel="0" collapsed="false">
      <c r="E1112" s="41" t="str">
        <f aca="false">IF(D1112="","",IFERROR(VLOOKUP(D1112,Assumptions!$G$5:$H$16,2,0),"Other"))</f>
        <v/>
      </c>
      <c r="J1112" s="41" t="str">
        <f aca="false">IF(G1112="","",IFERROR(IF(ISNUMBER(SEARCH(Assumptions!$C$5,G1112)),Assumptions!$D$5,IF(ISNUMBER(SEARCH(Assumptions!$C$6,G1112)),Assumptions!$D$6,IF(ISNUMBER(SEARCH(Assumptions!$C$7,G1112)),Assumptions!$D$7,"Other Services"))),"Other Services"))</f>
        <v/>
      </c>
    </row>
    <row r="1113" customFormat="false" ht="15" hidden="false" customHeight="false" outlineLevel="0" collapsed="false">
      <c r="E1113" s="41" t="str">
        <f aca="false">IF(D1113="","",IFERROR(VLOOKUP(D1113,Assumptions!$G$5:$H$16,2,0),"Other"))</f>
        <v/>
      </c>
      <c r="J1113" s="41" t="str">
        <f aca="false">IF(G1113="","",IFERROR(IF(ISNUMBER(SEARCH(Assumptions!$C$5,G1113)),Assumptions!$D$5,IF(ISNUMBER(SEARCH(Assumptions!$C$6,G1113)),Assumptions!$D$6,IF(ISNUMBER(SEARCH(Assumptions!$C$7,G1113)),Assumptions!$D$7,"Other Services"))),"Other Services"))</f>
        <v/>
      </c>
    </row>
    <row r="1114" customFormat="false" ht="15" hidden="false" customHeight="false" outlineLevel="0" collapsed="false">
      <c r="E1114" s="41" t="str">
        <f aca="false">IF(D1114="","",IFERROR(VLOOKUP(D1114,Assumptions!$G$5:$H$16,2,0),"Other"))</f>
        <v/>
      </c>
      <c r="J1114" s="41" t="str">
        <f aca="false">IF(G1114="","",IFERROR(IF(ISNUMBER(SEARCH(Assumptions!$C$5,G1114)),Assumptions!$D$5,IF(ISNUMBER(SEARCH(Assumptions!$C$6,G1114)),Assumptions!$D$6,IF(ISNUMBER(SEARCH(Assumptions!$C$7,G1114)),Assumptions!$D$7,"Other Services"))),"Other Services"))</f>
        <v/>
      </c>
    </row>
    <row r="1115" customFormat="false" ht="15" hidden="false" customHeight="false" outlineLevel="0" collapsed="false">
      <c r="E1115" s="41" t="str">
        <f aca="false">IF(D1115="","",IFERROR(VLOOKUP(D1115,Assumptions!$G$5:$H$16,2,0),"Other"))</f>
        <v/>
      </c>
      <c r="J1115" s="41" t="str">
        <f aca="false">IF(G1115="","",IFERROR(IF(ISNUMBER(SEARCH(Assumptions!$C$5,G1115)),Assumptions!$D$5,IF(ISNUMBER(SEARCH(Assumptions!$C$6,G1115)),Assumptions!$D$6,IF(ISNUMBER(SEARCH(Assumptions!$C$7,G1115)),Assumptions!$D$7,"Other Services"))),"Other Services"))</f>
        <v/>
      </c>
    </row>
    <row r="1116" customFormat="false" ht="15" hidden="false" customHeight="false" outlineLevel="0" collapsed="false">
      <c r="E1116" s="41" t="str">
        <f aca="false">IF(D1116="","",IFERROR(VLOOKUP(D1116,Assumptions!$G$5:$H$16,2,0),"Other"))</f>
        <v/>
      </c>
      <c r="J1116" s="41" t="str">
        <f aca="false">IF(G1116="","",IFERROR(IF(ISNUMBER(SEARCH(Assumptions!$C$5,G1116)),Assumptions!$D$5,IF(ISNUMBER(SEARCH(Assumptions!$C$6,G1116)),Assumptions!$D$6,IF(ISNUMBER(SEARCH(Assumptions!$C$7,G1116)),Assumptions!$D$7,"Other Services"))),"Other Services"))</f>
        <v/>
      </c>
    </row>
    <row r="1117" customFormat="false" ht="15" hidden="false" customHeight="false" outlineLevel="0" collapsed="false">
      <c r="E1117" s="41" t="str">
        <f aca="false">IF(D1117="","",IFERROR(VLOOKUP(D1117,Assumptions!$G$5:$H$16,2,0),"Other"))</f>
        <v/>
      </c>
      <c r="J1117" s="41" t="str">
        <f aca="false">IF(G1117="","",IFERROR(IF(ISNUMBER(SEARCH(Assumptions!$C$5,G1117)),Assumptions!$D$5,IF(ISNUMBER(SEARCH(Assumptions!$C$6,G1117)),Assumptions!$D$6,IF(ISNUMBER(SEARCH(Assumptions!$C$7,G1117)),Assumptions!$D$7,"Other Services"))),"Other Services"))</f>
        <v/>
      </c>
    </row>
    <row r="1118" customFormat="false" ht="15" hidden="false" customHeight="false" outlineLevel="0" collapsed="false">
      <c r="E1118" s="41" t="str">
        <f aca="false">IF(D1118="","",IFERROR(VLOOKUP(D1118,Assumptions!$G$5:$H$16,2,0),"Other"))</f>
        <v/>
      </c>
      <c r="J1118" s="41" t="str">
        <f aca="false">IF(G1118="","",IFERROR(IF(ISNUMBER(SEARCH(Assumptions!$C$5,G1118)),Assumptions!$D$5,IF(ISNUMBER(SEARCH(Assumptions!$C$6,G1118)),Assumptions!$D$6,IF(ISNUMBER(SEARCH(Assumptions!$C$7,G1118)),Assumptions!$D$7,"Other Services"))),"Other Services"))</f>
        <v/>
      </c>
    </row>
    <row r="1119" customFormat="false" ht="15" hidden="false" customHeight="false" outlineLevel="0" collapsed="false">
      <c r="E1119" s="41" t="str">
        <f aca="false">IF(D1119="","",IFERROR(VLOOKUP(D1119,Assumptions!$G$5:$H$16,2,0),"Other"))</f>
        <v/>
      </c>
      <c r="J1119" s="41" t="str">
        <f aca="false">IF(G1119="","",IFERROR(IF(ISNUMBER(SEARCH(Assumptions!$C$5,G1119)),Assumptions!$D$5,IF(ISNUMBER(SEARCH(Assumptions!$C$6,G1119)),Assumptions!$D$6,IF(ISNUMBER(SEARCH(Assumptions!$C$7,G1119)),Assumptions!$D$7,"Other Services"))),"Other Services"))</f>
        <v/>
      </c>
    </row>
    <row r="1120" customFormat="false" ht="15" hidden="false" customHeight="false" outlineLevel="0" collapsed="false">
      <c r="E1120" s="41" t="str">
        <f aca="false">IF(D1120="","",IFERROR(VLOOKUP(D1120,Assumptions!$G$5:$H$16,2,0),"Other"))</f>
        <v/>
      </c>
      <c r="J1120" s="41" t="str">
        <f aca="false">IF(G1120="","",IFERROR(IF(ISNUMBER(SEARCH(Assumptions!$C$5,G1120)),Assumptions!$D$5,IF(ISNUMBER(SEARCH(Assumptions!$C$6,G1120)),Assumptions!$D$6,IF(ISNUMBER(SEARCH(Assumptions!$C$7,G1120)),Assumptions!$D$7,"Other Services"))),"Other Services"))</f>
        <v/>
      </c>
    </row>
    <row r="1121" customFormat="false" ht="15" hidden="false" customHeight="false" outlineLevel="0" collapsed="false">
      <c r="E1121" s="41" t="str">
        <f aca="false">IF(D1121="","",IFERROR(VLOOKUP(D1121,Assumptions!$G$5:$H$16,2,0),"Other"))</f>
        <v/>
      </c>
      <c r="J1121" s="41" t="str">
        <f aca="false">IF(G1121="","",IFERROR(IF(ISNUMBER(SEARCH(Assumptions!$C$5,G1121)),Assumptions!$D$5,IF(ISNUMBER(SEARCH(Assumptions!$C$6,G1121)),Assumptions!$D$6,IF(ISNUMBER(SEARCH(Assumptions!$C$7,G1121)),Assumptions!$D$7,"Other Services"))),"Other Services"))</f>
        <v/>
      </c>
    </row>
    <row r="1122" customFormat="false" ht="15" hidden="false" customHeight="false" outlineLevel="0" collapsed="false">
      <c r="E1122" s="41" t="str">
        <f aca="false">IF(D1122="","",IFERROR(VLOOKUP(D1122,Assumptions!$G$5:$H$16,2,0),"Other"))</f>
        <v/>
      </c>
      <c r="J1122" s="41" t="str">
        <f aca="false">IF(G1122="","",IFERROR(IF(ISNUMBER(SEARCH(Assumptions!$C$5,G1122)),Assumptions!$D$5,IF(ISNUMBER(SEARCH(Assumptions!$C$6,G1122)),Assumptions!$D$6,IF(ISNUMBER(SEARCH(Assumptions!$C$7,G1122)),Assumptions!$D$7,"Other Services"))),"Other Services"))</f>
        <v/>
      </c>
    </row>
    <row r="1123" customFormat="false" ht="15" hidden="false" customHeight="false" outlineLevel="0" collapsed="false">
      <c r="E1123" s="41" t="str">
        <f aca="false">IF(D1123="","",IFERROR(VLOOKUP(D1123,Assumptions!$G$5:$H$16,2,0),"Other"))</f>
        <v/>
      </c>
      <c r="J1123" s="41" t="str">
        <f aca="false">IF(G1123="","",IFERROR(IF(ISNUMBER(SEARCH(Assumptions!$C$5,G1123)),Assumptions!$D$5,IF(ISNUMBER(SEARCH(Assumptions!$C$6,G1123)),Assumptions!$D$6,IF(ISNUMBER(SEARCH(Assumptions!$C$7,G1123)),Assumptions!$D$7,"Other Services"))),"Other Services"))</f>
        <v/>
      </c>
    </row>
    <row r="1124" customFormat="false" ht="15" hidden="false" customHeight="false" outlineLevel="0" collapsed="false">
      <c r="E1124" s="41" t="str">
        <f aca="false">IF(D1124="","",IFERROR(VLOOKUP(D1124,Assumptions!$G$5:$H$16,2,0),"Other"))</f>
        <v/>
      </c>
      <c r="J1124" s="41" t="str">
        <f aca="false">IF(G1124="","",IFERROR(IF(ISNUMBER(SEARCH(Assumptions!$C$5,G1124)),Assumptions!$D$5,IF(ISNUMBER(SEARCH(Assumptions!$C$6,G1124)),Assumptions!$D$6,IF(ISNUMBER(SEARCH(Assumptions!$C$7,G1124)),Assumptions!$D$7,"Other Services"))),"Other Services"))</f>
        <v/>
      </c>
    </row>
    <row r="1125" customFormat="false" ht="15" hidden="false" customHeight="false" outlineLevel="0" collapsed="false">
      <c r="E1125" s="41" t="str">
        <f aca="false">IF(D1125="","",IFERROR(VLOOKUP(D1125,Assumptions!$G$5:$H$16,2,0),"Other"))</f>
        <v/>
      </c>
      <c r="J1125" s="41" t="str">
        <f aca="false">IF(G1125="","",IFERROR(IF(ISNUMBER(SEARCH(Assumptions!$C$5,G1125)),Assumptions!$D$5,IF(ISNUMBER(SEARCH(Assumptions!$C$6,G1125)),Assumptions!$D$6,IF(ISNUMBER(SEARCH(Assumptions!$C$7,G1125)),Assumptions!$D$7,"Other Services"))),"Other Services"))</f>
        <v/>
      </c>
    </row>
    <row r="1126" customFormat="false" ht="15" hidden="false" customHeight="false" outlineLevel="0" collapsed="false">
      <c r="E1126" s="41" t="str">
        <f aca="false">IF(D1126="","",IFERROR(VLOOKUP(D1126,Assumptions!$G$5:$H$16,2,0),"Other"))</f>
        <v/>
      </c>
      <c r="J1126" s="41" t="str">
        <f aca="false">IF(G1126="","",IFERROR(IF(ISNUMBER(SEARCH(Assumptions!$C$5,G1126)),Assumptions!$D$5,IF(ISNUMBER(SEARCH(Assumptions!$C$6,G1126)),Assumptions!$D$6,IF(ISNUMBER(SEARCH(Assumptions!$C$7,G1126)),Assumptions!$D$7,"Other Services"))),"Other Services"))</f>
        <v/>
      </c>
    </row>
    <row r="1127" customFormat="false" ht="15" hidden="false" customHeight="false" outlineLevel="0" collapsed="false">
      <c r="E1127" s="41" t="str">
        <f aca="false">IF(D1127="","",IFERROR(VLOOKUP(D1127,Assumptions!$G$5:$H$16,2,0),"Other"))</f>
        <v/>
      </c>
      <c r="J1127" s="41" t="str">
        <f aca="false">IF(G1127="","",IFERROR(IF(ISNUMBER(SEARCH(Assumptions!$C$5,G1127)),Assumptions!$D$5,IF(ISNUMBER(SEARCH(Assumptions!$C$6,G1127)),Assumptions!$D$6,IF(ISNUMBER(SEARCH(Assumptions!$C$7,G1127)),Assumptions!$D$7,"Other Services"))),"Other Services"))</f>
        <v/>
      </c>
    </row>
    <row r="1128" customFormat="false" ht="15" hidden="false" customHeight="false" outlineLevel="0" collapsed="false">
      <c r="E1128" s="41" t="str">
        <f aca="false">IF(D1128="","",IFERROR(VLOOKUP(D1128,Assumptions!$G$5:$H$16,2,0),"Other"))</f>
        <v/>
      </c>
      <c r="J1128" s="41" t="str">
        <f aca="false">IF(G1128="","",IFERROR(IF(ISNUMBER(SEARCH(Assumptions!$C$5,G1128)),Assumptions!$D$5,IF(ISNUMBER(SEARCH(Assumptions!$C$6,G1128)),Assumptions!$D$6,IF(ISNUMBER(SEARCH(Assumptions!$C$7,G1128)),Assumptions!$D$7,"Other Services"))),"Other Services"))</f>
        <v/>
      </c>
    </row>
    <row r="1129" customFormat="false" ht="15" hidden="false" customHeight="false" outlineLevel="0" collapsed="false">
      <c r="E1129" s="41" t="str">
        <f aca="false">IF(D1129="","",IFERROR(VLOOKUP(D1129,Assumptions!$G$5:$H$16,2,0),"Other"))</f>
        <v/>
      </c>
      <c r="J1129" s="41" t="str">
        <f aca="false">IF(G1129="","",IFERROR(IF(ISNUMBER(SEARCH(Assumptions!$C$5,G1129)),Assumptions!$D$5,IF(ISNUMBER(SEARCH(Assumptions!$C$6,G1129)),Assumptions!$D$6,IF(ISNUMBER(SEARCH(Assumptions!$C$7,G1129)),Assumptions!$D$7,"Other Services"))),"Other Services"))</f>
        <v/>
      </c>
    </row>
    <row r="1130" customFormat="false" ht="15" hidden="false" customHeight="false" outlineLevel="0" collapsed="false">
      <c r="E1130" s="41" t="str">
        <f aca="false">IF(D1130="","",IFERROR(VLOOKUP(D1130,Assumptions!$G$5:$H$16,2,0),"Other"))</f>
        <v/>
      </c>
      <c r="J1130" s="41" t="str">
        <f aca="false">IF(G1130="","",IFERROR(IF(ISNUMBER(SEARCH(Assumptions!$C$5,G1130)),Assumptions!$D$5,IF(ISNUMBER(SEARCH(Assumptions!$C$6,G1130)),Assumptions!$D$6,IF(ISNUMBER(SEARCH(Assumptions!$C$7,G1130)),Assumptions!$D$7,"Other Services"))),"Other Services"))</f>
        <v/>
      </c>
    </row>
    <row r="1131" customFormat="false" ht="15" hidden="false" customHeight="false" outlineLevel="0" collapsed="false">
      <c r="E1131" s="41" t="str">
        <f aca="false">IF(D1131="","",IFERROR(VLOOKUP(D1131,Assumptions!$G$5:$H$16,2,0),"Other"))</f>
        <v/>
      </c>
      <c r="J1131" s="41" t="str">
        <f aca="false">IF(G1131="","",IFERROR(IF(ISNUMBER(SEARCH(Assumptions!$C$5,G1131)),Assumptions!$D$5,IF(ISNUMBER(SEARCH(Assumptions!$C$6,G1131)),Assumptions!$D$6,IF(ISNUMBER(SEARCH(Assumptions!$C$7,G1131)),Assumptions!$D$7,"Other Services"))),"Other Services"))</f>
        <v/>
      </c>
    </row>
    <row r="1132" customFormat="false" ht="15" hidden="false" customHeight="false" outlineLevel="0" collapsed="false">
      <c r="E1132" s="41" t="str">
        <f aca="false">IF(D1132="","",IFERROR(VLOOKUP(D1132,Assumptions!$G$5:$H$16,2,0),"Other"))</f>
        <v/>
      </c>
      <c r="J1132" s="41" t="str">
        <f aca="false">IF(G1132="","",IFERROR(IF(ISNUMBER(SEARCH(Assumptions!$C$5,G1132)),Assumptions!$D$5,IF(ISNUMBER(SEARCH(Assumptions!$C$6,G1132)),Assumptions!$D$6,IF(ISNUMBER(SEARCH(Assumptions!$C$7,G1132)),Assumptions!$D$7,"Other Services"))),"Other Services"))</f>
        <v/>
      </c>
    </row>
    <row r="1133" customFormat="false" ht="15" hidden="false" customHeight="false" outlineLevel="0" collapsed="false">
      <c r="E1133" s="41" t="str">
        <f aca="false">IF(D1133="","",IFERROR(VLOOKUP(D1133,Assumptions!$G$5:$H$16,2,0),"Other"))</f>
        <v/>
      </c>
      <c r="J1133" s="41" t="str">
        <f aca="false">IF(G1133="","",IFERROR(IF(ISNUMBER(SEARCH(Assumptions!$C$5,G1133)),Assumptions!$D$5,IF(ISNUMBER(SEARCH(Assumptions!$C$6,G1133)),Assumptions!$D$6,IF(ISNUMBER(SEARCH(Assumptions!$C$7,G1133)),Assumptions!$D$7,"Other Services"))),"Other Services"))</f>
        <v/>
      </c>
    </row>
    <row r="1134" customFormat="false" ht="15" hidden="false" customHeight="false" outlineLevel="0" collapsed="false">
      <c r="E1134" s="41" t="str">
        <f aca="false">IF(D1134="","",IFERROR(VLOOKUP(D1134,Assumptions!$G$5:$H$16,2,0),"Other"))</f>
        <v/>
      </c>
      <c r="J1134" s="41" t="str">
        <f aca="false">IF(G1134="","",IFERROR(IF(ISNUMBER(SEARCH(Assumptions!$C$5,G1134)),Assumptions!$D$5,IF(ISNUMBER(SEARCH(Assumptions!$C$6,G1134)),Assumptions!$D$6,IF(ISNUMBER(SEARCH(Assumptions!$C$7,G1134)),Assumptions!$D$7,"Other Services"))),"Other Services"))</f>
        <v/>
      </c>
    </row>
    <row r="1135" customFormat="false" ht="15" hidden="false" customHeight="false" outlineLevel="0" collapsed="false">
      <c r="E1135" s="41" t="str">
        <f aca="false">IF(D1135="","",IFERROR(VLOOKUP(D1135,Assumptions!$G$5:$H$16,2,0),"Other"))</f>
        <v/>
      </c>
      <c r="J1135" s="41" t="str">
        <f aca="false">IF(G1135="","",IFERROR(IF(ISNUMBER(SEARCH(Assumptions!$C$5,G1135)),Assumptions!$D$5,IF(ISNUMBER(SEARCH(Assumptions!$C$6,G1135)),Assumptions!$D$6,IF(ISNUMBER(SEARCH(Assumptions!$C$7,G1135)),Assumptions!$D$7,"Other Services"))),"Other Services"))</f>
        <v/>
      </c>
    </row>
    <row r="1136" customFormat="false" ht="15" hidden="false" customHeight="false" outlineLevel="0" collapsed="false">
      <c r="E1136" s="41" t="str">
        <f aca="false">IF(D1136="","",IFERROR(VLOOKUP(D1136,Assumptions!$G$5:$H$16,2,0),"Other"))</f>
        <v/>
      </c>
      <c r="J1136" s="41" t="str">
        <f aca="false">IF(G1136="","",IFERROR(IF(ISNUMBER(SEARCH(Assumptions!$C$5,G1136)),Assumptions!$D$5,IF(ISNUMBER(SEARCH(Assumptions!$C$6,G1136)),Assumptions!$D$6,IF(ISNUMBER(SEARCH(Assumptions!$C$7,G1136)),Assumptions!$D$7,"Other Services"))),"Other Services"))</f>
        <v/>
      </c>
    </row>
    <row r="1137" customFormat="false" ht="15" hidden="false" customHeight="false" outlineLevel="0" collapsed="false">
      <c r="E1137" s="41" t="str">
        <f aca="false">IF(D1137="","",IFERROR(VLOOKUP(D1137,Assumptions!$G$5:$H$16,2,0),"Other"))</f>
        <v/>
      </c>
      <c r="J1137" s="41" t="str">
        <f aca="false">IF(G1137="","",IFERROR(IF(ISNUMBER(SEARCH(Assumptions!$C$5,G1137)),Assumptions!$D$5,IF(ISNUMBER(SEARCH(Assumptions!$C$6,G1137)),Assumptions!$D$6,IF(ISNUMBER(SEARCH(Assumptions!$C$7,G1137)),Assumptions!$D$7,"Other Services"))),"Other Services"))</f>
        <v/>
      </c>
    </row>
    <row r="1138" customFormat="false" ht="15" hidden="false" customHeight="false" outlineLevel="0" collapsed="false">
      <c r="E1138" s="41" t="str">
        <f aca="false">IF(D1138="","",IFERROR(VLOOKUP(D1138,Assumptions!$G$5:$H$16,2,0),"Other"))</f>
        <v/>
      </c>
      <c r="J1138" s="41" t="str">
        <f aca="false">IF(G1138="","",IFERROR(IF(ISNUMBER(SEARCH(Assumptions!$C$5,G1138)),Assumptions!$D$5,IF(ISNUMBER(SEARCH(Assumptions!$C$6,G1138)),Assumptions!$D$6,IF(ISNUMBER(SEARCH(Assumptions!$C$7,G1138)),Assumptions!$D$7,"Other Services"))),"Other Services"))</f>
        <v/>
      </c>
    </row>
    <row r="1139" customFormat="false" ht="15" hidden="false" customHeight="false" outlineLevel="0" collapsed="false">
      <c r="E1139" s="41" t="str">
        <f aca="false">IF(D1139="","",IFERROR(VLOOKUP(D1139,Assumptions!$G$5:$H$16,2,0),"Other"))</f>
        <v/>
      </c>
      <c r="J1139" s="41" t="str">
        <f aca="false">IF(G1139="","",IFERROR(IF(ISNUMBER(SEARCH(Assumptions!$C$5,G1139)),Assumptions!$D$5,IF(ISNUMBER(SEARCH(Assumptions!$C$6,G1139)),Assumptions!$D$6,IF(ISNUMBER(SEARCH(Assumptions!$C$7,G1139)),Assumptions!$D$7,"Other Services"))),"Other Services"))</f>
        <v/>
      </c>
    </row>
    <row r="1140" customFormat="false" ht="15" hidden="false" customHeight="false" outlineLevel="0" collapsed="false">
      <c r="E1140" s="41" t="str">
        <f aca="false">IF(D1140="","",IFERROR(VLOOKUP(D1140,Assumptions!$G$5:$H$16,2,0),"Other"))</f>
        <v/>
      </c>
      <c r="J1140" s="41" t="str">
        <f aca="false">IF(G1140="","",IFERROR(IF(ISNUMBER(SEARCH(Assumptions!$C$5,G1140)),Assumptions!$D$5,IF(ISNUMBER(SEARCH(Assumptions!$C$6,G1140)),Assumptions!$D$6,IF(ISNUMBER(SEARCH(Assumptions!$C$7,G1140)),Assumptions!$D$7,"Other Services"))),"Other Services"))</f>
        <v/>
      </c>
    </row>
    <row r="1141" customFormat="false" ht="15" hidden="false" customHeight="false" outlineLevel="0" collapsed="false">
      <c r="E1141" s="41" t="str">
        <f aca="false">IF(D1141="","",IFERROR(VLOOKUP(D1141,Assumptions!$G$5:$H$16,2,0),"Other"))</f>
        <v/>
      </c>
      <c r="J1141" s="41" t="str">
        <f aca="false">IF(G1141="","",IFERROR(IF(ISNUMBER(SEARCH(Assumptions!$C$5,G1141)),Assumptions!$D$5,IF(ISNUMBER(SEARCH(Assumptions!$C$6,G1141)),Assumptions!$D$6,IF(ISNUMBER(SEARCH(Assumptions!$C$7,G1141)),Assumptions!$D$7,"Other Services"))),"Other Services"))</f>
        <v/>
      </c>
    </row>
    <row r="1142" customFormat="false" ht="15" hidden="false" customHeight="false" outlineLevel="0" collapsed="false">
      <c r="E1142" s="41" t="str">
        <f aca="false">IF(D1142="","",IFERROR(VLOOKUP(D1142,Assumptions!$G$5:$H$16,2,0),"Other"))</f>
        <v/>
      </c>
      <c r="J1142" s="41" t="str">
        <f aca="false">IF(G1142="","",IFERROR(IF(ISNUMBER(SEARCH(Assumptions!$C$5,G1142)),Assumptions!$D$5,IF(ISNUMBER(SEARCH(Assumptions!$C$6,G1142)),Assumptions!$D$6,IF(ISNUMBER(SEARCH(Assumptions!$C$7,G1142)),Assumptions!$D$7,"Other Services"))),"Other Services"))</f>
        <v/>
      </c>
    </row>
    <row r="1143" customFormat="false" ht="15" hidden="false" customHeight="false" outlineLevel="0" collapsed="false">
      <c r="E1143" s="41" t="str">
        <f aca="false">IF(D1143="","",IFERROR(VLOOKUP(D1143,Assumptions!$G$5:$H$16,2,0),"Other"))</f>
        <v/>
      </c>
      <c r="J1143" s="41" t="str">
        <f aca="false">IF(G1143="","",IFERROR(IF(ISNUMBER(SEARCH(Assumptions!$C$5,G1143)),Assumptions!$D$5,IF(ISNUMBER(SEARCH(Assumptions!$C$6,G1143)),Assumptions!$D$6,IF(ISNUMBER(SEARCH(Assumptions!$C$7,G1143)),Assumptions!$D$7,"Other Services"))),"Other Services"))</f>
        <v/>
      </c>
    </row>
    <row r="1144" customFormat="false" ht="15" hidden="false" customHeight="false" outlineLevel="0" collapsed="false">
      <c r="E1144" s="41" t="str">
        <f aca="false">IF(D1144="","",IFERROR(VLOOKUP(D1144,Assumptions!$G$5:$H$16,2,0),"Other"))</f>
        <v/>
      </c>
      <c r="J1144" s="41" t="str">
        <f aca="false">IF(G1144="","",IFERROR(IF(ISNUMBER(SEARCH(Assumptions!$C$5,G1144)),Assumptions!$D$5,IF(ISNUMBER(SEARCH(Assumptions!$C$6,G1144)),Assumptions!$D$6,IF(ISNUMBER(SEARCH(Assumptions!$C$7,G1144)),Assumptions!$D$7,"Other Services"))),"Other Services"))</f>
        <v/>
      </c>
    </row>
    <row r="1145" customFormat="false" ht="15" hidden="false" customHeight="false" outlineLevel="0" collapsed="false">
      <c r="E1145" s="41" t="str">
        <f aca="false">IF(D1145="","",IFERROR(VLOOKUP(D1145,Assumptions!$G$5:$H$16,2,0),"Other"))</f>
        <v/>
      </c>
      <c r="J1145" s="41" t="str">
        <f aca="false">IF(G1145="","",IFERROR(IF(ISNUMBER(SEARCH(Assumptions!$C$5,G1145)),Assumptions!$D$5,IF(ISNUMBER(SEARCH(Assumptions!$C$6,G1145)),Assumptions!$D$6,IF(ISNUMBER(SEARCH(Assumptions!$C$7,G1145)),Assumptions!$D$7,"Other Services"))),"Other Services"))</f>
        <v/>
      </c>
    </row>
    <row r="1146" customFormat="false" ht="15" hidden="false" customHeight="false" outlineLevel="0" collapsed="false">
      <c r="E1146" s="41" t="str">
        <f aca="false">IF(D1146="","",IFERROR(VLOOKUP(D1146,Assumptions!$G$5:$H$16,2,0),"Other"))</f>
        <v/>
      </c>
      <c r="J1146" s="41" t="str">
        <f aca="false">IF(G1146="","",IFERROR(IF(ISNUMBER(SEARCH(Assumptions!$C$5,G1146)),Assumptions!$D$5,IF(ISNUMBER(SEARCH(Assumptions!$C$6,G1146)),Assumptions!$D$6,IF(ISNUMBER(SEARCH(Assumptions!$C$7,G1146)),Assumptions!$D$7,"Other Services"))),"Other Services"))</f>
        <v/>
      </c>
    </row>
    <row r="1147" customFormat="false" ht="15" hidden="false" customHeight="false" outlineLevel="0" collapsed="false">
      <c r="E1147" s="41" t="str">
        <f aca="false">IF(D1147="","",IFERROR(VLOOKUP(D1147,Assumptions!$G$5:$H$16,2,0),"Other"))</f>
        <v/>
      </c>
      <c r="J1147" s="41" t="str">
        <f aca="false">IF(G1147="","",IFERROR(IF(ISNUMBER(SEARCH(Assumptions!$C$5,G1147)),Assumptions!$D$5,IF(ISNUMBER(SEARCH(Assumptions!$C$6,G1147)),Assumptions!$D$6,IF(ISNUMBER(SEARCH(Assumptions!$C$7,G1147)),Assumptions!$D$7,"Other Services"))),"Other Services"))</f>
        <v/>
      </c>
    </row>
    <row r="1148" customFormat="false" ht="15" hidden="false" customHeight="false" outlineLevel="0" collapsed="false">
      <c r="E1148" s="41" t="str">
        <f aca="false">IF(D1148="","",IFERROR(VLOOKUP(D1148,Assumptions!$G$5:$H$16,2,0),"Other"))</f>
        <v/>
      </c>
      <c r="J1148" s="41" t="str">
        <f aca="false">IF(G1148="","",IFERROR(IF(ISNUMBER(SEARCH(Assumptions!$C$5,G1148)),Assumptions!$D$5,IF(ISNUMBER(SEARCH(Assumptions!$C$6,G1148)),Assumptions!$D$6,IF(ISNUMBER(SEARCH(Assumptions!$C$7,G1148)),Assumptions!$D$7,"Other Services"))),"Other Services"))</f>
        <v/>
      </c>
    </row>
    <row r="1149" customFormat="false" ht="15" hidden="false" customHeight="false" outlineLevel="0" collapsed="false">
      <c r="E1149" s="41" t="str">
        <f aca="false">IF(D1149="","",IFERROR(VLOOKUP(D1149,Assumptions!$G$5:$H$16,2,0),"Other"))</f>
        <v/>
      </c>
      <c r="J1149" s="41" t="str">
        <f aca="false">IF(G1149="","",IFERROR(IF(ISNUMBER(SEARCH(Assumptions!$C$5,G1149)),Assumptions!$D$5,IF(ISNUMBER(SEARCH(Assumptions!$C$6,G1149)),Assumptions!$D$6,IF(ISNUMBER(SEARCH(Assumptions!$C$7,G1149)),Assumptions!$D$7,"Other Services"))),"Other Services"))</f>
        <v/>
      </c>
    </row>
    <row r="1150" customFormat="false" ht="15" hidden="false" customHeight="false" outlineLevel="0" collapsed="false">
      <c r="E1150" s="41" t="str">
        <f aca="false">IF(D1150="","",IFERROR(VLOOKUP(D1150,Assumptions!$G$5:$H$16,2,0),"Other"))</f>
        <v/>
      </c>
      <c r="J1150" s="41" t="str">
        <f aca="false">IF(G1150="","",IFERROR(IF(ISNUMBER(SEARCH(Assumptions!$C$5,G1150)),Assumptions!$D$5,IF(ISNUMBER(SEARCH(Assumptions!$C$6,G1150)),Assumptions!$D$6,IF(ISNUMBER(SEARCH(Assumptions!$C$7,G1150)),Assumptions!$D$7,"Other Services"))),"Other Services"))</f>
        <v/>
      </c>
    </row>
    <row r="1151" customFormat="false" ht="15" hidden="false" customHeight="false" outlineLevel="0" collapsed="false">
      <c r="E1151" s="41" t="str">
        <f aca="false">IF(D1151="","",IFERROR(VLOOKUP(D1151,Assumptions!$G$5:$H$16,2,0),"Other"))</f>
        <v/>
      </c>
      <c r="J1151" s="41" t="str">
        <f aca="false">IF(G1151="","",IFERROR(IF(ISNUMBER(SEARCH(Assumptions!$C$5,G1151)),Assumptions!$D$5,IF(ISNUMBER(SEARCH(Assumptions!$C$6,G1151)),Assumptions!$D$6,IF(ISNUMBER(SEARCH(Assumptions!$C$7,G1151)),Assumptions!$D$7,"Other Services"))),"Other Services"))</f>
        <v/>
      </c>
    </row>
    <row r="1152" customFormat="false" ht="15" hidden="false" customHeight="false" outlineLevel="0" collapsed="false">
      <c r="E1152" s="41" t="str">
        <f aca="false">IF(D1152="","",IFERROR(VLOOKUP(D1152,Assumptions!$G$5:$H$16,2,0),"Other"))</f>
        <v/>
      </c>
      <c r="J1152" s="41" t="str">
        <f aca="false">IF(G1152="","",IFERROR(IF(ISNUMBER(SEARCH(Assumptions!$C$5,G1152)),Assumptions!$D$5,IF(ISNUMBER(SEARCH(Assumptions!$C$6,G1152)),Assumptions!$D$6,IF(ISNUMBER(SEARCH(Assumptions!$C$7,G1152)),Assumptions!$D$7,"Other Services"))),"Other Services"))</f>
        <v/>
      </c>
    </row>
    <row r="1153" customFormat="false" ht="15" hidden="false" customHeight="false" outlineLevel="0" collapsed="false">
      <c r="E1153" s="41" t="str">
        <f aca="false">IF(D1153="","",IFERROR(VLOOKUP(D1153,Assumptions!$G$5:$H$16,2,0),"Other"))</f>
        <v/>
      </c>
      <c r="J1153" s="41" t="str">
        <f aca="false">IF(G1153="","",IFERROR(IF(ISNUMBER(SEARCH(Assumptions!$C$5,G1153)),Assumptions!$D$5,IF(ISNUMBER(SEARCH(Assumptions!$C$6,G1153)),Assumptions!$D$6,IF(ISNUMBER(SEARCH(Assumptions!$C$7,G1153)),Assumptions!$D$7,"Other Services"))),"Other Services"))</f>
        <v/>
      </c>
    </row>
    <row r="1154" customFormat="false" ht="15" hidden="false" customHeight="false" outlineLevel="0" collapsed="false">
      <c r="E1154" s="41" t="str">
        <f aca="false">IF(D1154="","",IFERROR(VLOOKUP(D1154,Assumptions!$G$5:$H$16,2,0),"Other"))</f>
        <v/>
      </c>
      <c r="J1154" s="41" t="str">
        <f aca="false">IF(G1154="","",IFERROR(IF(ISNUMBER(SEARCH(Assumptions!$C$5,G1154)),Assumptions!$D$5,IF(ISNUMBER(SEARCH(Assumptions!$C$6,G1154)),Assumptions!$D$6,IF(ISNUMBER(SEARCH(Assumptions!$C$7,G1154)),Assumptions!$D$7,"Other Services"))),"Other Services"))</f>
        <v/>
      </c>
    </row>
    <row r="1155" customFormat="false" ht="15" hidden="false" customHeight="false" outlineLevel="0" collapsed="false">
      <c r="E1155" s="41" t="str">
        <f aca="false">IF(D1155="","",IFERROR(VLOOKUP(D1155,Assumptions!$G$5:$H$16,2,0),"Other"))</f>
        <v/>
      </c>
      <c r="J1155" s="41" t="str">
        <f aca="false">IF(G1155="","",IFERROR(IF(ISNUMBER(SEARCH(Assumptions!$C$5,G1155)),Assumptions!$D$5,IF(ISNUMBER(SEARCH(Assumptions!$C$6,G1155)),Assumptions!$D$6,IF(ISNUMBER(SEARCH(Assumptions!$C$7,G1155)),Assumptions!$D$7,"Other Services"))),"Other Services"))</f>
        <v/>
      </c>
    </row>
    <row r="1156" customFormat="false" ht="15" hidden="false" customHeight="false" outlineLevel="0" collapsed="false">
      <c r="E1156" s="41" t="str">
        <f aca="false">IF(D1156="","",IFERROR(VLOOKUP(D1156,Assumptions!$G$5:$H$16,2,0),"Other"))</f>
        <v/>
      </c>
      <c r="J1156" s="41" t="str">
        <f aca="false">IF(G1156="","",IFERROR(IF(ISNUMBER(SEARCH(Assumptions!$C$5,G1156)),Assumptions!$D$5,IF(ISNUMBER(SEARCH(Assumptions!$C$6,G1156)),Assumptions!$D$6,IF(ISNUMBER(SEARCH(Assumptions!$C$7,G1156)),Assumptions!$D$7,"Other Services"))),"Other Services"))</f>
        <v/>
      </c>
    </row>
    <row r="1157" customFormat="false" ht="15" hidden="false" customHeight="false" outlineLevel="0" collapsed="false">
      <c r="E1157" s="41" t="str">
        <f aca="false">IF(D1157="","",IFERROR(VLOOKUP(D1157,Assumptions!$G$5:$H$16,2,0),"Other"))</f>
        <v/>
      </c>
      <c r="J1157" s="41" t="str">
        <f aca="false">IF(G1157="","",IFERROR(IF(ISNUMBER(SEARCH(Assumptions!$C$5,G1157)),Assumptions!$D$5,IF(ISNUMBER(SEARCH(Assumptions!$C$6,G1157)),Assumptions!$D$6,IF(ISNUMBER(SEARCH(Assumptions!$C$7,G1157)),Assumptions!$D$7,"Other Services"))),"Other Services"))</f>
        <v/>
      </c>
    </row>
    <row r="1158" customFormat="false" ht="15" hidden="false" customHeight="false" outlineLevel="0" collapsed="false">
      <c r="E1158" s="41" t="str">
        <f aca="false">IF(D1158="","",IFERROR(VLOOKUP(D1158,Assumptions!$G$5:$H$16,2,0),"Other"))</f>
        <v/>
      </c>
      <c r="J1158" s="41" t="str">
        <f aca="false">IF(G1158="","",IFERROR(IF(ISNUMBER(SEARCH(Assumptions!$C$5,G1158)),Assumptions!$D$5,IF(ISNUMBER(SEARCH(Assumptions!$C$6,G1158)),Assumptions!$D$6,IF(ISNUMBER(SEARCH(Assumptions!$C$7,G1158)),Assumptions!$D$7,"Other Services"))),"Other Services"))</f>
        <v/>
      </c>
    </row>
    <row r="1159" customFormat="false" ht="15" hidden="false" customHeight="false" outlineLevel="0" collapsed="false">
      <c r="E1159" s="41" t="str">
        <f aca="false">IF(D1159="","",IFERROR(VLOOKUP(D1159,Assumptions!$G$5:$H$16,2,0),"Other"))</f>
        <v/>
      </c>
      <c r="J1159" s="41" t="str">
        <f aca="false">IF(G1159="","",IFERROR(IF(ISNUMBER(SEARCH(Assumptions!$C$5,G1159)),Assumptions!$D$5,IF(ISNUMBER(SEARCH(Assumptions!$C$6,G1159)),Assumptions!$D$6,IF(ISNUMBER(SEARCH(Assumptions!$C$7,G1159)),Assumptions!$D$7,"Other Services"))),"Other Services"))</f>
        <v/>
      </c>
    </row>
    <row r="1160" customFormat="false" ht="15" hidden="false" customHeight="false" outlineLevel="0" collapsed="false">
      <c r="E1160" s="41" t="str">
        <f aca="false">IF(D1160="","",IFERROR(VLOOKUP(D1160,Assumptions!$G$5:$H$16,2,0),"Other"))</f>
        <v/>
      </c>
      <c r="J1160" s="41" t="str">
        <f aca="false">IF(G1160="","",IFERROR(IF(ISNUMBER(SEARCH(Assumptions!$C$5,G1160)),Assumptions!$D$5,IF(ISNUMBER(SEARCH(Assumptions!$C$6,G1160)),Assumptions!$D$6,IF(ISNUMBER(SEARCH(Assumptions!$C$7,G1160)),Assumptions!$D$7,"Other Services"))),"Other Services"))</f>
        <v/>
      </c>
    </row>
    <row r="1161" customFormat="false" ht="15" hidden="false" customHeight="false" outlineLevel="0" collapsed="false">
      <c r="E1161" s="41" t="str">
        <f aca="false">IF(D1161="","",IFERROR(VLOOKUP(D1161,Assumptions!$G$5:$H$16,2,0),"Other"))</f>
        <v/>
      </c>
      <c r="J1161" s="41" t="str">
        <f aca="false">IF(G1161="","",IFERROR(IF(ISNUMBER(SEARCH(Assumptions!$C$5,G1161)),Assumptions!$D$5,IF(ISNUMBER(SEARCH(Assumptions!$C$6,G1161)),Assumptions!$D$6,IF(ISNUMBER(SEARCH(Assumptions!$C$7,G1161)),Assumptions!$D$7,"Other Services"))),"Other Services"))</f>
        <v/>
      </c>
    </row>
    <row r="1162" customFormat="false" ht="15" hidden="false" customHeight="false" outlineLevel="0" collapsed="false">
      <c r="E1162" s="41" t="str">
        <f aca="false">IF(D1162="","",IFERROR(VLOOKUP(D1162,Assumptions!$G$5:$H$16,2,0),"Other"))</f>
        <v/>
      </c>
      <c r="J1162" s="41" t="str">
        <f aca="false">IF(G1162="","",IFERROR(IF(ISNUMBER(SEARCH(Assumptions!$C$5,G1162)),Assumptions!$D$5,IF(ISNUMBER(SEARCH(Assumptions!$C$6,G1162)),Assumptions!$D$6,IF(ISNUMBER(SEARCH(Assumptions!$C$7,G1162)),Assumptions!$D$7,"Other Services"))),"Other Services"))</f>
        <v/>
      </c>
    </row>
    <row r="1163" customFormat="false" ht="15" hidden="false" customHeight="false" outlineLevel="0" collapsed="false">
      <c r="E1163" s="41" t="str">
        <f aca="false">IF(D1163="","",IFERROR(VLOOKUP(D1163,Assumptions!$G$5:$H$16,2,0),"Other"))</f>
        <v/>
      </c>
      <c r="J1163" s="41" t="str">
        <f aca="false">IF(G1163="","",IFERROR(IF(ISNUMBER(SEARCH(Assumptions!$C$5,G1163)),Assumptions!$D$5,IF(ISNUMBER(SEARCH(Assumptions!$C$6,G1163)),Assumptions!$D$6,IF(ISNUMBER(SEARCH(Assumptions!$C$7,G1163)),Assumptions!$D$7,"Other Services"))),"Other Services"))</f>
        <v/>
      </c>
    </row>
    <row r="1164" customFormat="false" ht="15" hidden="false" customHeight="false" outlineLevel="0" collapsed="false">
      <c r="E1164" s="41" t="str">
        <f aca="false">IF(D1164="","",IFERROR(VLOOKUP(D1164,Assumptions!$G$5:$H$16,2,0),"Other"))</f>
        <v/>
      </c>
      <c r="J1164" s="41" t="str">
        <f aca="false">IF(G1164="","",IFERROR(IF(ISNUMBER(SEARCH(Assumptions!$C$5,G1164)),Assumptions!$D$5,IF(ISNUMBER(SEARCH(Assumptions!$C$6,G1164)),Assumptions!$D$6,IF(ISNUMBER(SEARCH(Assumptions!$C$7,G1164)),Assumptions!$D$7,"Other Services"))),"Other Services"))</f>
        <v/>
      </c>
    </row>
    <row r="1165" customFormat="false" ht="15" hidden="false" customHeight="false" outlineLevel="0" collapsed="false">
      <c r="E1165" s="41" t="str">
        <f aca="false">IF(D1165="","",IFERROR(VLOOKUP(D1165,Assumptions!$G$5:$H$16,2,0),"Other"))</f>
        <v/>
      </c>
      <c r="J1165" s="41" t="str">
        <f aca="false">IF(G1165="","",IFERROR(IF(ISNUMBER(SEARCH(Assumptions!$C$5,G1165)),Assumptions!$D$5,IF(ISNUMBER(SEARCH(Assumptions!$C$6,G1165)),Assumptions!$D$6,IF(ISNUMBER(SEARCH(Assumptions!$C$7,G1165)),Assumptions!$D$7,"Other Services"))),"Other Services"))</f>
        <v/>
      </c>
    </row>
    <row r="1166" customFormat="false" ht="15" hidden="false" customHeight="false" outlineLevel="0" collapsed="false">
      <c r="E1166" s="41" t="str">
        <f aca="false">IF(D1166="","",IFERROR(VLOOKUP(D1166,Assumptions!$G$5:$H$16,2,0),"Other"))</f>
        <v/>
      </c>
      <c r="J1166" s="41" t="str">
        <f aca="false">IF(G1166="","",IFERROR(IF(ISNUMBER(SEARCH(Assumptions!$C$5,G1166)),Assumptions!$D$5,IF(ISNUMBER(SEARCH(Assumptions!$C$6,G1166)),Assumptions!$D$6,IF(ISNUMBER(SEARCH(Assumptions!$C$7,G1166)),Assumptions!$D$7,"Other Services"))),"Other Services"))</f>
        <v/>
      </c>
    </row>
    <row r="1167" customFormat="false" ht="15" hidden="false" customHeight="false" outlineLevel="0" collapsed="false">
      <c r="E1167" s="41" t="str">
        <f aca="false">IF(D1167="","",IFERROR(VLOOKUP(D1167,Assumptions!$G$5:$H$16,2,0),"Other"))</f>
        <v/>
      </c>
      <c r="J1167" s="41" t="str">
        <f aca="false">IF(G1167="","",IFERROR(IF(ISNUMBER(SEARCH(Assumptions!$C$5,G1167)),Assumptions!$D$5,IF(ISNUMBER(SEARCH(Assumptions!$C$6,G1167)),Assumptions!$D$6,IF(ISNUMBER(SEARCH(Assumptions!$C$7,G1167)),Assumptions!$D$7,"Other Services"))),"Other Services"))</f>
        <v/>
      </c>
    </row>
    <row r="1168" customFormat="false" ht="15" hidden="false" customHeight="false" outlineLevel="0" collapsed="false">
      <c r="E1168" s="41" t="str">
        <f aca="false">IF(D1168="","",IFERROR(VLOOKUP(D1168,Assumptions!$G$5:$H$16,2,0),"Other"))</f>
        <v/>
      </c>
      <c r="J1168" s="41" t="str">
        <f aca="false">IF(G1168="","",IFERROR(IF(ISNUMBER(SEARCH(Assumptions!$C$5,G1168)),Assumptions!$D$5,IF(ISNUMBER(SEARCH(Assumptions!$C$6,G1168)),Assumptions!$D$6,IF(ISNUMBER(SEARCH(Assumptions!$C$7,G1168)),Assumptions!$D$7,"Other Services"))),"Other Services"))</f>
        <v/>
      </c>
    </row>
    <row r="1169" customFormat="false" ht="15" hidden="false" customHeight="false" outlineLevel="0" collapsed="false">
      <c r="E1169" s="41" t="str">
        <f aca="false">IF(D1169="","",IFERROR(VLOOKUP(D1169,Assumptions!$G$5:$H$16,2,0),"Other"))</f>
        <v/>
      </c>
      <c r="J1169" s="41" t="str">
        <f aca="false">IF(G1169="","",IFERROR(IF(ISNUMBER(SEARCH(Assumptions!$C$5,G1169)),Assumptions!$D$5,IF(ISNUMBER(SEARCH(Assumptions!$C$6,G1169)),Assumptions!$D$6,IF(ISNUMBER(SEARCH(Assumptions!$C$7,G1169)),Assumptions!$D$7,"Other Services"))),"Other Services"))</f>
        <v/>
      </c>
    </row>
    <row r="1170" customFormat="false" ht="15" hidden="false" customHeight="false" outlineLevel="0" collapsed="false">
      <c r="E1170" s="41" t="str">
        <f aca="false">IF(D1170="","",IFERROR(VLOOKUP(D1170,Assumptions!$G$5:$H$16,2,0),"Other"))</f>
        <v/>
      </c>
      <c r="J1170" s="41" t="str">
        <f aca="false">IF(G1170="","",IFERROR(IF(ISNUMBER(SEARCH(Assumptions!$C$5,G1170)),Assumptions!$D$5,IF(ISNUMBER(SEARCH(Assumptions!$C$6,G1170)),Assumptions!$D$6,IF(ISNUMBER(SEARCH(Assumptions!$C$7,G1170)),Assumptions!$D$7,"Other Services"))),"Other Services"))</f>
        <v/>
      </c>
    </row>
    <row r="1171" customFormat="false" ht="15" hidden="false" customHeight="false" outlineLevel="0" collapsed="false">
      <c r="E1171" s="41" t="str">
        <f aca="false">IF(D1171="","",IFERROR(VLOOKUP(D1171,Assumptions!$G$5:$H$16,2,0),"Other"))</f>
        <v/>
      </c>
      <c r="J1171" s="41" t="str">
        <f aca="false">IF(G1171="","",IFERROR(IF(ISNUMBER(SEARCH(Assumptions!$C$5,G1171)),Assumptions!$D$5,IF(ISNUMBER(SEARCH(Assumptions!$C$6,G1171)),Assumptions!$D$6,IF(ISNUMBER(SEARCH(Assumptions!$C$7,G1171)),Assumptions!$D$7,"Other Services"))),"Other Services"))</f>
        <v/>
      </c>
    </row>
    <row r="1172" customFormat="false" ht="15" hidden="false" customHeight="false" outlineLevel="0" collapsed="false">
      <c r="E1172" s="41" t="str">
        <f aca="false">IF(D1172="","",IFERROR(VLOOKUP(D1172,Assumptions!$G$5:$H$16,2,0),"Other"))</f>
        <v/>
      </c>
      <c r="J1172" s="41" t="str">
        <f aca="false">IF(G1172="","",IFERROR(IF(ISNUMBER(SEARCH(Assumptions!$C$5,G1172)),Assumptions!$D$5,IF(ISNUMBER(SEARCH(Assumptions!$C$6,G1172)),Assumptions!$D$6,IF(ISNUMBER(SEARCH(Assumptions!$C$7,G1172)),Assumptions!$D$7,"Other Services"))),"Other Services"))</f>
        <v/>
      </c>
    </row>
    <row r="1173" customFormat="false" ht="15" hidden="false" customHeight="false" outlineLevel="0" collapsed="false">
      <c r="E1173" s="41" t="str">
        <f aca="false">IF(D1173="","",IFERROR(VLOOKUP(D1173,Assumptions!$G$5:$H$16,2,0),"Other"))</f>
        <v/>
      </c>
      <c r="J1173" s="41" t="str">
        <f aca="false">IF(G1173="","",IFERROR(IF(ISNUMBER(SEARCH(Assumptions!$C$5,G1173)),Assumptions!$D$5,IF(ISNUMBER(SEARCH(Assumptions!$C$6,G1173)),Assumptions!$D$6,IF(ISNUMBER(SEARCH(Assumptions!$C$7,G1173)),Assumptions!$D$7,"Other Services"))),"Other Services"))</f>
        <v/>
      </c>
    </row>
    <row r="1174" customFormat="false" ht="15" hidden="false" customHeight="false" outlineLevel="0" collapsed="false">
      <c r="E1174" s="41" t="str">
        <f aca="false">IF(D1174="","",IFERROR(VLOOKUP(D1174,Assumptions!$G$5:$H$16,2,0),"Other"))</f>
        <v/>
      </c>
      <c r="J1174" s="41" t="str">
        <f aca="false">IF(G1174="","",IFERROR(IF(ISNUMBER(SEARCH(Assumptions!$C$5,G1174)),Assumptions!$D$5,IF(ISNUMBER(SEARCH(Assumptions!$C$6,G1174)),Assumptions!$D$6,IF(ISNUMBER(SEARCH(Assumptions!$C$7,G1174)),Assumptions!$D$7,"Other Services"))),"Other Services"))</f>
        <v/>
      </c>
    </row>
    <row r="1175" customFormat="false" ht="15" hidden="false" customHeight="false" outlineLevel="0" collapsed="false">
      <c r="E1175" s="41" t="str">
        <f aca="false">IF(D1175="","",IFERROR(VLOOKUP(D1175,Assumptions!$G$5:$H$16,2,0),"Other"))</f>
        <v/>
      </c>
      <c r="J1175" s="41" t="str">
        <f aca="false">IF(G1175="","",IFERROR(IF(ISNUMBER(SEARCH(Assumptions!$C$5,G1175)),Assumptions!$D$5,IF(ISNUMBER(SEARCH(Assumptions!$C$6,G1175)),Assumptions!$D$6,IF(ISNUMBER(SEARCH(Assumptions!$C$7,G1175)),Assumptions!$D$7,"Other Services"))),"Other Services"))</f>
        <v/>
      </c>
    </row>
    <row r="1176" customFormat="false" ht="15" hidden="false" customHeight="false" outlineLevel="0" collapsed="false">
      <c r="E1176" s="41" t="str">
        <f aca="false">IF(D1176="","",IFERROR(VLOOKUP(D1176,Assumptions!$G$5:$H$16,2,0),"Other"))</f>
        <v/>
      </c>
      <c r="J1176" s="41" t="str">
        <f aca="false">IF(G1176="","",IFERROR(IF(ISNUMBER(SEARCH(Assumptions!$C$5,G1176)),Assumptions!$D$5,IF(ISNUMBER(SEARCH(Assumptions!$C$6,G1176)),Assumptions!$D$6,IF(ISNUMBER(SEARCH(Assumptions!$C$7,G1176)),Assumptions!$D$7,"Other Services"))),"Other Services"))</f>
        <v/>
      </c>
    </row>
    <row r="1177" customFormat="false" ht="15" hidden="false" customHeight="false" outlineLevel="0" collapsed="false">
      <c r="E1177" s="41" t="str">
        <f aca="false">IF(D1177="","",IFERROR(VLOOKUP(D1177,Assumptions!$G$5:$H$16,2,0),"Other"))</f>
        <v/>
      </c>
      <c r="J1177" s="41" t="str">
        <f aca="false">IF(G1177="","",IFERROR(IF(ISNUMBER(SEARCH(Assumptions!$C$5,G1177)),Assumptions!$D$5,IF(ISNUMBER(SEARCH(Assumptions!$C$6,G1177)),Assumptions!$D$6,IF(ISNUMBER(SEARCH(Assumptions!$C$7,G1177)),Assumptions!$D$7,"Other Services"))),"Other Services"))</f>
        <v/>
      </c>
    </row>
    <row r="1178" customFormat="false" ht="15" hidden="false" customHeight="false" outlineLevel="0" collapsed="false">
      <c r="E1178" s="41" t="str">
        <f aca="false">IF(D1178="","",IFERROR(VLOOKUP(D1178,Assumptions!$G$5:$H$16,2,0),"Other"))</f>
        <v/>
      </c>
      <c r="J1178" s="41" t="str">
        <f aca="false">IF(G1178="","",IFERROR(IF(ISNUMBER(SEARCH(Assumptions!$C$5,G1178)),Assumptions!$D$5,IF(ISNUMBER(SEARCH(Assumptions!$C$6,G1178)),Assumptions!$D$6,IF(ISNUMBER(SEARCH(Assumptions!$C$7,G1178)),Assumptions!$D$7,"Other Services"))),"Other Services"))</f>
        <v/>
      </c>
    </row>
    <row r="1179" customFormat="false" ht="15" hidden="false" customHeight="false" outlineLevel="0" collapsed="false">
      <c r="E1179" s="41" t="str">
        <f aca="false">IF(D1179="","",IFERROR(VLOOKUP(D1179,Assumptions!$G$5:$H$16,2,0),"Other"))</f>
        <v/>
      </c>
      <c r="J1179" s="41" t="str">
        <f aca="false">IF(G1179="","",IFERROR(IF(ISNUMBER(SEARCH(Assumptions!$C$5,G1179)),Assumptions!$D$5,IF(ISNUMBER(SEARCH(Assumptions!$C$6,G1179)),Assumptions!$D$6,IF(ISNUMBER(SEARCH(Assumptions!$C$7,G1179)),Assumptions!$D$7,"Other Services"))),"Other Services"))</f>
        <v/>
      </c>
    </row>
    <row r="1180" customFormat="false" ht="15" hidden="false" customHeight="false" outlineLevel="0" collapsed="false">
      <c r="E1180" s="41" t="str">
        <f aca="false">IF(D1180="","",IFERROR(VLOOKUP(D1180,Assumptions!$G$5:$H$16,2,0),"Other"))</f>
        <v/>
      </c>
      <c r="J1180" s="41" t="str">
        <f aca="false">IF(G1180="","",IFERROR(IF(ISNUMBER(SEARCH(Assumptions!$C$5,G1180)),Assumptions!$D$5,IF(ISNUMBER(SEARCH(Assumptions!$C$6,G1180)),Assumptions!$D$6,IF(ISNUMBER(SEARCH(Assumptions!$C$7,G1180)),Assumptions!$D$7,"Other Services"))),"Other Services"))</f>
        <v/>
      </c>
    </row>
    <row r="1181" customFormat="false" ht="15" hidden="false" customHeight="false" outlineLevel="0" collapsed="false">
      <c r="E1181" s="41" t="str">
        <f aca="false">IF(D1181="","",IFERROR(VLOOKUP(D1181,Assumptions!$G$5:$H$16,2,0),"Other"))</f>
        <v/>
      </c>
      <c r="J1181" s="41" t="str">
        <f aca="false">IF(G1181="","",IFERROR(IF(ISNUMBER(SEARCH(Assumptions!$C$5,G1181)),Assumptions!$D$5,IF(ISNUMBER(SEARCH(Assumptions!$C$6,G1181)),Assumptions!$D$6,IF(ISNUMBER(SEARCH(Assumptions!$C$7,G1181)),Assumptions!$D$7,"Other Services"))),"Other Services"))</f>
        <v/>
      </c>
    </row>
    <row r="1182" customFormat="false" ht="15" hidden="false" customHeight="false" outlineLevel="0" collapsed="false">
      <c r="E1182" s="41" t="str">
        <f aca="false">IF(D1182="","",IFERROR(VLOOKUP(D1182,Assumptions!$G$5:$H$16,2,0),"Other"))</f>
        <v/>
      </c>
      <c r="J1182" s="41" t="str">
        <f aca="false">IF(G1182="","",IFERROR(IF(ISNUMBER(SEARCH(Assumptions!$C$5,G1182)),Assumptions!$D$5,IF(ISNUMBER(SEARCH(Assumptions!$C$6,G1182)),Assumptions!$D$6,IF(ISNUMBER(SEARCH(Assumptions!$C$7,G1182)),Assumptions!$D$7,"Other Services"))),"Other Services"))</f>
        <v/>
      </c>
    </row>
    <row r="1183" customFormat="false" ht="15" hidden="false" customHeight="false" outlineLevel="0" collapsed="false">
      <c r="E1183" s="41" t="str">
        <f aca="false">IF(D1183="","",IFERROR(VLOOKUP(D1183,Assumptions!$G$5:$H$16,2,0),"Other"))</f>
        <v/>
      </c>
      <c r="J1183" s="41" t="str">
        <f aca="false">IF(G1183="","",IFERROR(IF(ISNUMBER(SEARCH(Assumptions!$C$5,G1183)),Assumptions!$D$5,IF(ISNUMBER(SEARCH(Assumptions!$C$6,G1183)),Assumptions!$D$6,IF(ISNUMBER(SEARCH(Assumptions!$C$7,G1183)),Assumptions!$D$7,"Other Services"))),"Other Services"))</f>
        <v/>
      </c>
    </row>
    <row r="1184" customFormat="false" ht="15" hidden="false" customHeight="false" outlineLevel="0" collapsed="false">
      <c r="E1184" s="41" t="str">
        <f aca="false">IF(D1184="","",IFERROR(VLOOKUP(D1184,Assumptions!$G$5:$H$16,2,0),"Other"))</f>
        <v/>
      </c>
      <c r="J1184" s="41" t="str">
        <f aca="false">IF(G1184="","",IFERROR(IF(ISNUMBER(SEARCH(Assumptions!$C$5,G1184)),Assumptions!$D$5,IF(ISNUMBER(SEARCH(Assumptions!$C$6,G1184)),Assumptions!$D$6,IF(ISNUMBER(SEARCH(Assumptions!$C$7,G1184)),Assumptions!$D$7,"Other Services"))),"Other Services"))</f>
        <v/>
      </c>
    </row>
    <row r="1185" customFormat="false" ht="15" hidden="false" customHeight="false" outlineLevel="0" collapsed="false">
      <c r="E1185" s="41" t="str">
        <f aca="false">IF(D1185="","",IFERROR(VLOOKUP(D1185,Assumptions!$G$5:$H$16,2,0),"Other"))</f>
        <v/>
      </c>
      <c r="J1185" s="41" t="str">
        <f aca="false">IF(G1185="","",IFERROR(IF(ISNUMBER(SEARCH(Assumptions!$C$5,G1185)),Assumptions!$D$5,IF(ISNUMBER(SEARCH(Assumptions!$C$6,G1185)),Assumptions!$D$6,IF(ISNUMBER(SEARCH(Assumptions!$C$7,G1185)),Assumptions!$D$7,"Other Services"))),"Other Services"))</f>
        <v/>
      </c>
    </row>
    <row r="1186" customFormat="false" ht="15" hidden="false" customHeight="false" outlineLevel="0" collapsed="false">
      <c r="E1186" s="41" t="str">
        <f aca="false">IF(D1186="","",IFERROR(VLOOKUP(D1186,Assumptions!$G$5:$H$16,2,0),"Other"))</f>
        <v/>
      </c>
      <c r="J1186" s="41" t="str">
        <f aca="false">IF(G1186="","",IFERROR(IF(ISNUMBER(SEARCH(Assumptions!$C$5,G1186)),Assumptions!$D$5,IF(ISNUMBER(SEARCH(Assumptions!$C$6,G1186)),Assumptions!$D$6,IF(ISNUMBER(SEARCH(Assumptions!$C$7,G1186)),Assumptions!$D$7,"Other Services"))),"Other Services"))</f>
        <v/>
      </c>
    </row>
    <row r="1187" customFormat="false" ht="15" hidden="false" customHeight="false" outlineLevel="0" collapsed="false">
      <c r="E1187" s="41" t="str">
        <f aca="false">IF(D1187="","",IFERROR(VLOOKUP(D1187,Assumptions!$G$5:$H$16,2,0),"Other"))</f>
        <v/>
      </c>
      <c r="J1187" s="41" t="str">
        <f aca="false">IF(G1187="","",IFERROR(IF(ISNUMBER(SEARCH(Assumptions!$C$5,G1187)),Assumptions!$D$5,IF(ISNUMBER(SEARCH(Assumptions!$C$6,G1187)),Assumptions!$D$6,IF(ISNUMBER(SEARCH(Assumptions!$C$7,G1187)),Assumptions!$D$7,"Other Services"))),"Other Services"))</f>
        <v/>
      </c>
    </row>
    <row r="1188" customFormat="false" ht="15" hidden="false" customHeight="false" outlineLevel="0" collapsed="false">
      <c r="E1188" s="41" t="str">
        <f aca="false">IF(D1188="","",IFERROR(VLOOKUP(D1188,Assumptions!$G$5:$H$16,2,0),"Other"))</f>
        <v/>
      </c>
      <c r="J1188" s="41" t="str">
        <f aca="false">IF(G1188="","",IFERROR(IF(ISNUMBER(SEARCH(Assumptions!$C$5,G1188)),Assumptions!$D$5,IF(ISNUMBER(SEARCH(Assumptions!$C$6,G1188)),Assumptions!$D$6,IF(ISNUMBER(SEARCH(Assumptions!$C$7,G1188)),Assumptions!$D$7,"Other Services"))),"Other Services"))</f>
        <v/>
      </c>
    </row>
    <row r="1189" customFormat="false" ht="15" hidden="false" customHeight="false" outlineLevel="0" collapsed="false">
      <c r="E1189" s="41" t="str">
        <f aca="false">IF(D1189="","",IFERROR(VLOOKUP(D1189,Assumptions!$G$5:$H$16,2,0),"Other"))</f>
        <v/>
      </c>
      <c r="J1189" s="41" t="str">
        <f aca="false">IF(G1189="","",IFERROR(IF(ISNUMBER(SEARCH(Assumptions!$C$5,G1189)),Assumptions!$D$5,IF(ISNUMBER(SEARCH(Assumptions!$C$6,G1189)),Assumptions!$D$6,IF(ISNUMBER(SEARCH(Assumptions!$C$7,G1189)),Assumptions!$D$7,"Other Services"))),"Other Services"))</f>
        <v/>
      </c>
    </row>
    <row r="1190" customFormat="false" ht="15" hidden="false" customHeight="false" outlineLevel="0" collapsed="false">
      <c r="E1190" s="41" t="str">
        <f aca="false">IF(D1190="","",IFERROR(VLOOKUP(D1190,Assumptions!$G$5:$H$16,2,0),"Other"))</f>
        <v/>
      </c>
      <c r="J1190" s="41" t="str">
        <f aca="false">IF(G1190="","",IFERROR(IF(ISNUMBER(SEARCH(Assumptions!$C$5,G1190)),Assumptions!$D$5,IF(ISNUMBER(SEARCH(Assumptions!$C$6,G1190)),Assumptions!$D$6,IF(ISNUMBER(SEARCH(Assumptions!$C$7,G1190)),Assumptions!$D$7,"Other Services"))),"Other Services"))</f>
        <v/>
      </c>
    </row>
    <row r="1191" customFormat="false" ht="15" hidden="false" customHeight="false" outlineLevel="0" collapsed="false">
      <c r="E1191" s="41" t="str">
        <f aca="false">IF(D1191="","",IFERROR(VLOOKUP(D1191,Assumptions!$G$5:$H$16,2,0),"Other"))</f>
        <v/>
      </c>
      <c r="J1191" s="41" t="str">
        <f aca="false">IF(G1191="","",IFERROR(IF(ISNUMBER(SEARCH(Assumptions!$C$5,G1191)),Assumptions!$D$5,IF(ISNUMBER(SEARCH(Assumptions!$C$6,G1191)),Assumptions!$D$6,IF(ISNUMBER(SEARCH(Assumptions!$C$7,G1191)),Assumptions!$D$7,"Other Services"))),"Other Services"))</f>
        <v/>
      </c>
    </row>
    <row r="1192" customFormat="false" ht="15" hidden="false" customHeight="false" outlineLevel="0" collapsed="false">
      <c r="E1192" s="41" t="str">
        <f aca="false">IF(D1192="","",IFERROR(VLOOKUP(D1192,Assumptions!$G$5:$H$16,2,0),"Other"))</f>
        <v/>
      </c>
      <c r="J1192" s="41" t="str">
        <f aca="false">IF(G1192="","",IFERROR(IF(ISNUMBER(SEARCH(Assumptions!$C$5,G1192)),Assumptions!$D$5,IF(ISNUMBER(SEARCH(Assumptions!$C$6,G1192)),Assumptions!$D$6,IF(ISNUMBER(SEARCH(Assumptions!$C$7,G1192)),Assumptions!$D$7,"Other Services"))),"Other Services"))</f>
        <v/>
      </c>
    </row>
    <row r="1193" customFormat="false" ht="15" hidden="false" customHeight="false" outlineLevel="0" collapsed="false">
      <c r="E1193" s="41" t="str">
        <f aca="false">IF(D1193="","",IFERROR(VLOOKUP(D1193,Assumptions!$G$5:$H$16,2,0),"Other"))</f>
        <v/>
      </c>
      <c r="J1193" s="41" t="str">
        <f aca="false">IF(G1193="","",IFERROR(IF(ISNUMBER(SEARCH(Assumptions!$C$5,G1193)),Assumptions!$D$5,IF(ISNUMBER(SEARCH(Assumptions!$C$6,G1193)),Assumptions!$D$6,IF(ISNUMBER(SEARCH(Assumptions!$C$7,G1193)),Assumptions!$D$7,"Other Services"))),"Other Services"))</f>
        <v/>
      </c>
    </row>
    <row r="1194" customFormat="false" ht="15" hidden="false" customHeight="false" outlineLevel="0" collapsed="false">
      <c r="E1194" s="41" t="str">
        <f aca="false">IF(D1194="","",IFERROR(VLOOKUP(D1194,Assumptions!$G$5:$H$16,2,0),"Other"))</f>
        <v/>
      </c>
      <c r="J1194" s="41" t="str">
        <f aca="false">IF(G1194="","",IFERROR(IF(ISNUMBER(SEARCH(Assumptions!$C$5,G1194)),Assumptions!$D$5,IF(ISNUMBER(SEARCH(Assumptions!$C$6,G1194)),Assumptions!$D$6,IF(ISNUMBER(SEARCH(Assumptions!$C$7,G1194)),Assumptions!$D$7,"Other Services"))),"Other Services"))</f>
        <v/>
      </c>
    </row>
    <row r="1195" customFormat="false" ht="15" hidden="false" customHeight="false" outlineLevel="0" collapsed="false">
      <c r="E1195" s="41" t="str">
        <f aca="false">IF(D1195="","",IFERROR(VLOOKUP(D1195,Assumptions!$G$5:$H$16,2,0),"Other"))</f>
        <v/>
      </c>
      <c r="J1195" s="41" t="str">
        <f aca="false">IF(G1195="","",IFERROR(IF(ISNUMBER(SEARCH(Assumptions!$C$5,G1195)),Assumptions!$D$5,IF(ISNUMBER(SEARCH(Assumptions!$C$6,G1195)),Assumptions!$D$6,IF(ISNUMBER(SEARCH(Assumptions!$C$7,G1195)),Assumptions!$D$7,"Other Services"))),"Other Services"))</f>
        <v/>
      </c>
    </row>
    <row r="1196" customFormat="false" ht="15" hidden="false" customHeight="false" outlineLevel="0" collapsed="false">
      <c r="E1196" s="41" t="str">
        <f aca="false">IF(D1196="","",IFERROR(VLOOKUP(D1196,Assumptions!$G$5:$H$16,2,0),"Other"))</f>
        <v/>
      </c>
      <c r="J1196" s="41" t="str">
        <f aca="false">IF(G1196="","",IFERROR(IF(ISNUMBER(SEARCH(Assumptions!$C$5,G1196)),Assumptions!$D$5,IF(ISNUMBER(SEARCH(Assumptions!$C$6,G1196)),Assumptions!$D$6,IF(ISNUMBER(SEARCH(Assumptions!$C$7,G1196)),Assumptions!$D$7,"Other Services"))),"Other Services"))</f>
        <v/>
      </c>
    </row>
    <row r="1197" customFormat="false" ht="15" hidden="false" customHeight="false" outlineLevel="0" collapsed="false">
      <c r="E1197" s="41" t="str">
        <f aca="false">IF(D1197="","",IFERROR(VLOOKUP(D1197,Assumptions!$G$5:$H$16,2,0),"Other"))</f>
        <v/>
      </c>
      <c r="J1197" s="41" t="str">
        <f aca="false">IF(G1197="","",IFERROR(IF(ISNUMBER(SEARCH(Assumptions!$C$5,G1197)),Assumptions!$D$5,IF(ISNUMBER(SEARCH(Assumptions!$C$6,G1197)),Assumptions!$D$6,IF(ISNUMBER(SEARCH(Assumptions!$C$7,G1197)),Assumptions!$D$7,"Other Services"))),"Other Services"))</f>
        <v/>
      </c>
    </row>
    <row r="1198" customFormat="false" ht="15" hidden="false" customHeight="false" outlineLevel="0" collapsed="false">
      <c r="E1198" s="41" t="str">
        <f aca="false">IF(D1198="","",IFERROR(VLOOKUP(D1198,Assumptions!$G$5:$H$16,2,0),"Other"))</f>
        <v/>
      </c>
      <c r="J1198" s="41" t="str">
        <f aca="false">IF(G1198="","",IFERROR(IF(ISNUMBER(SEARCH(Assumptions!$C$5,G1198)),Assumptions!$D$5,IF(ISNUMBER(SEARCH(Assumptions!$C$6,G1198)),Assumptions!$D$6,IF(ISNUMBER(SEARCH(Assumptions!$C$7,G1198)),Assumptions!$D$7,"Other Services"))),"Other Services"))</f>
        <v/>
      </c>
    </row>
    <row r="1199" customFormat="false" ht="15" hidden="false" customHeight="false" outlineLevel="0" collapsed="false">
      <c r="E1199" s="41" t="str">
        <f aca="false">IF(D1199="","",IFERROR(VLOOKUP(D1199,Assumptions!$G$5:$H$16,2,0),"Other"))</f>
        <v/>
      </c>
      <c r="J1199" s="41" t="str">
        <f aca="false">IF(G1199="","",IFERROR(IF(ISNUMBER(SEARCH(Assumptions!$C$5,G1199)),Assumptions!$D$5,IF(ISNUMBER(SEARCH(Assumptions!$C$6,G1199)),Assumptions!$D$6,IF(ISNUMBER(SEARCH(Assumptions!$C$7,G1199)),Assumptions!$D$7,"Other Services"))),"Other Services"))</f>
        <v/>
      </c>
    </row>
    <row r="1200" customFormat="false" ht="15" hidden="false" customHeight="false" outlineLevel="0" collapsed="false">
      <c r="E1200" s="41" t="str">
        <f aca="false">IF(D1200="","",IFERROR(VLOOKUP(D1200,Assumptions!$G$5:$H$16,2,0),"Other"))</f>
        <v/>
      </c>
      <c r="J1200" s="41" t="str">
        <f aca="false">IF(G1200="","",IFERROR(IF(ISNUMBER(SEARCH(Assumptions!$C$5,G1200)),Assumptions!$D$5,IF(ISNUMBER(SEARCH(Assumptions!$C$6,G1200)),Assumptions!$D$6,IF(ISNUMBER(SEARCH(Assumptions!$C$7,G1200)),Assumptions!$D$7,"Other Services"))),"Other Services"))</f>
        <v/>
      </c>
    </row>
    <row r="1201" customFormat="false" ht="15" hidden="false" customHeight="false" outlineLevel="0" collapsed="false">
      <c r="E1201" s="41" t="str">
        <f aca="false">IF(D1201="","",IFERROR(VLOOKUP(D1201,Assumptions!$G$5:$H$16,2,0),"Other"))</f>
        <v/>
      </c>
      <c r="J1201" s="41" t="str">
        <f aca="false">IF(G1201="","",IFERROR(IF(ISNUMBER(SEARCH(Assumptions!$C$5,G1201)),Assumptions!$D$5,IF(ISNUMBER(SEARCH(Assumptions!$C$6,G1201)),Assumptions!$D$6,IF(ISNUMBER(SEARCH(Assumptions!$C$7,G1201)),Assumptions!$D$7,"Other Services"))),"Other Services"))</f>
        <v/>
      </c>
    </row>
    <row r="1202" customFormat="false" ht="15" hidden="false" customHeight="false" outlineLevel="0" collapsed="false">
      <c r="E1202" s="41" t="str">
        <f aca="false">IF(D1202="","",IFERROR(VLOOKUP(D1202,Assumptions!$G$5:$H$16,2,0),"Other"))</f>
        <v/>
      </c>
      <c r="J1202" s="41" t="str">
        <f aca="false">IF(G1202="","",IFERROR(IF(ISNUMBER(SEARCH(Assumptions!$C$5,G1202)),Assumptions!$D$5,IF(ISNUMBER(SEARCH(Assumptions!$C$6,G1202)),Assumptions!$D$6,IF(ISNUMBER(SEARCH(Assumptions!$C$7,G1202)),Assumptions!$D$7,"Other Services"))),"Other Services"))</f>
        <v/>
      </c>
    </row>
    <row r="1203" customFormat="false" ht="15" hidden="false" customHeight="false" outlineLevel="0" collapsed="false">
      <c r="E1203" s="41" t="str">
        <f aca="false">IF(D1203="","",IFERROR(VLOOKUP(D1203,Assumptions!$G$5:$H$16,2,0),"Other"))</f>
        <v/>
      </c>
      <c r="J1203" s="41" t="str">
        <f aca="false">IF(G1203="","",IFERROR(IF(ISNUMBER(SEARCH(Assumptions!$C$5,G1203)),Assumptions!$D$5,IF(ISNUMBER(SEARCH(Assumptions!$C$6,G1203)),Assumptions!$D$6,IF(ISNUMBER(SEARCH(Assumptions!$C$7,G1203)),Assumptions!$D$7,"Other Services"))),"Other Services"))</f>
        <v/>
      </c>
    </row>
    <row r="1204" customFormat="false" ht="15" hidden="false" customHeight="false" outlineLevel="0" collapsed="false">
      <c r="E1204" s="41" t="str">
        <f aca="false">IF(D1204="","",IFERROR(VLOOKUP(D1204,Assumptions!$G$5:$H$16,2,0),"Other"))</f>
        <v/>
      </c>
      <c r="J1204" s="41" t="str">
        <f aca="false">IF(G1204="","",IFERROR(IF(ISNUMBER(SEARCH(Assumptions!$C$5,G1204)),Assumptions!$D$5,IF(ISNUMBER(SEARCH(Assumptions!$C$6,G1204)),Assumptions!$D$6,IF(ISNUMBER(SEARCH(Assumptions!$C$7,G1204)),Assumptions!$D$7,"Other Services"))),"Other Services"))</f>
        <v/>
      </c>
    </row>
    <row r="1205" customFormat="false" ht="15" hidden="false" customHeight="false" outlineLevel="0" collapsed="false">
      <c r="E1205" s="41" t="str">
        <f aca="false">IF(D1205="","",IFERROR(VLOOKUP(D1205,Assumptions!$G$5:$H$16,2,0),"Other"))</f>
        <v/>
      </c>
      <c r="J1205" s="41" t="str">
        <f aca="false">IF(G1205="","",IFERROR(IF(ISNUMBER(SEARCH(Assumptions!$C$5,G1205)),Assumptions!$D$5,IF(ISNUMBER(SEARCH(Assumptions!$C$6,G1205)),Assumptions!$D$6,IF(ISNUMBER(SEARCH(Assumptions!$C$7,G1205)),Assumptions!$D$7,"Other Services"))),"Other Services"))</f>
        <v/>
      </c>
    </row>
    <row r="1206" customFormat="false" ht="15" hidden="false" customHeight="false" outlineLevel="0" collapsed="false">
      <c r="E1206" s="41" t="str">
        <f aca="false">IF(D1206="","",IFERROR(VLOOKUP(D1206,Assumptions!$G$5:$H$16,2,0),"Other"))</f>
        <v/>
      </c>
      <c r="J1206" s="41" t="str">
        <f aca="false">IF(G1206="","",IFERROR(IF(ISNUMBER(SEARCH(Assumptions!$C$5,G1206)),Assumptions!$D$5,IF(ISNUMBER(SEARCH(Assumptions!$C$6,G1206)),Assumptions!$D$6,IF(ISNUMBER(SEARCH(Assumptions!$C$7,G1206)),Assumptions!$D$7,"Other Services"))),"Other Services"))</f>
        <v/>
      </c>
    </row>
    <row r="1207" customFormat="false" ht="15" hidden="false" customHeight="false" outlineLevel="0" collapsed="false">
      <c r="E1207" s="41" t="str">
        <f aca="false">IF(D1207="","",IFERROR(VLOOKUP(D1207,Assumptions!$G$5:$H$16,2,0),"Other"))</f>
        <v/>
      </c>
      <c r="J1207" s="41" t="str">
        <f aca="false">IF(G1207="","",IFERROR(IF(ISNUMBER(SEARCH(Assumptions!$C$5,G1207)),Assumptions!$D$5,IF(ISNUMBER(SEARCH(Assumptions!$C$6,G1207)),Assumptions!$D$6,IF(ISNUMBER(SEARCH(Assumptions!$C$7,G1207)),Assumptions!$D$7,"Other Services"))),"Other Services"))</f>
        <v/>
      </c>
    </row>
    <row r="1208" customFormat="false" ht="15" hidden="false" customHeight="false" outlineLevel="0" collapsed="false">
      <c r="E1208" s="41" t="str">
        <f aca="false">IF(D1208="","",IFERROR(VLOOKUP(D1208,Assumptions!$G$5:$H$16,2,0),"Other"))</f>
        <v/>
      </c>
      <c r="J1208" s="41" t="str">
        <f aca="false">IF(G1208="","",IFERROR(IF(ISNUMBER(SEARCH(Assumptions!$C$5,G1208)),Assumptions!$D$5,IF(ISNUMBER(SEARCH(Assumptions!$C$6,G1208)),Assumptions!$D$6,IF(ISNUMBER(SEARCH(Assumptions!$C$7,G1208)),Assumptions!$D$7,"Other Services"))),"Other Services"))</f>
        <v/>
      </c>
    </row>
    <row r="1209" customFormat="false" ht="15" hidden="false" customHeight="false" outlineLevel="0" collapsed="false">
      <c r="E1209" s="41" t="str">
        <f aca="false">IF(D1209="","",IFERROR(VLOOKUP(D1209,Assumptions!$G$5:$H$16,2,0),"Other"))</f>
        <v/>
      </c>
      <c r="J1209" s="41" t="str">
        <f aca="false">IF(G1209="","",IFERROR(IF(ISNUMBER(SEARCH(Assumptions!$C$5,G1209)),Assumptions!$D$5,IF(ISNUMBER(SEARCH(Assumptions!$C$6,G1209)),Assumptions!$D$6,IF(ISNUMBER(SEARCH(Assumptions!$C$7,G1209)),Assumptions!$D$7,"Other Services"))),"Other Services"))</f>
        <v/>
      </c>
    </row>
    <row r="1210" customFormat="false" ht="15" hidden="false" customHeight="false" outlineLevel="0" collapsed="false">
      <c r="E1210" s="41" t="str">
        <f aca="false">IF(D1210="","",IFERROR(VLOOKUP(D1210,Assumptions!$G$5:$H$16,2,0),"Other"))</f>
        <v/>
      </c>
      <c r="J1210" s="41" t="str">
        <f aca="false">IF(G1210="","",IFERROR(IF(ISNUMBER(SEARCH(Assumptions!$C$5,G1210)),Assumptions!$D$5,IF(ISNUMBER(SEARCH(Assumptions!$C$6,G1210)),Assumptions!$D$6,IF(ISNUMBER(SEARCH(Assumptions!$C$7,G1210)),Assumptions!$D$7,"Other Services"))),"Other Services"))</f>
        <v/>
      </c>
    </row>
    <row r="1211" customFormat="false" ht="15" hidden="false" customHeight="false" outlineLevel="0" collapsed="false">
      <c r="E1211" s="41" t="str">
        <f aca="false">IF(D1211="","",IFERROR(VLOOKUP(D1211,Assumptions!$G$5:$H$16,2,0),"Other"))</f>
        <v/>
      </c>
      <c r="J1211" s="41" t="str">
        <f aca="false">IF(G1211="","",IFERROR(IF(ISNUMBER(SEARCH(Assumptions!$C$5,G1211)),Assumptions!$D$5,IF(ISNUMBER(SEARCH(Assumptions!$C$6,G1211)),Assumptions!$D$6,IF(ISNUMBER(SEARCH(Assumptions!$C$7,G1211)),Assumptions!$D$7,"Other Services"))),"Other Services"))</f>
        <v/>
      </c>
    </row>
    <row r="1212" customFormat="false" ht="15" hidden="false" customHeight="false" outlineLevel="0" collapsed="false">
      <c r="E1212" s="41" t="str">
        <f aca="false">IF(D1212="","",IFERROR(VLOOKUP(D1212,Assumptions!$G$5:$H$16,2,0),"Other"))</f>
        <v/>
      </c>
      <c r="J1212" s="41" t="str">
        <f aca="false">IF(G1212="","",IFERROR(IF(ISNUMBER(SEARCH(Assumptions!$C$5,G1212)),Assumptions!$D$5,IF(ISNUMBER(SEARCH(Assumptions!$C$6,G1212)),Assumptions!$D$6,IF(ISNUMBER(SEARCH(Assumptions!$C$7,G1212)),Assumptions!$D$7,"Other Services"))),"Other Services"))</f>
        <v/>
      </c>
    </row>
    <row r="1213" customFormat="false" ht="15" hidden="false" customHeight="false" outlineLevel="0" collapsed="false">
      <c r="E1213" s="41" t="str">
        <f aca="false">IF(D1213="","",IFERROR(VLOOKUP(D1213,Assumptions!$G$5:$H$16,2,0),"Other"))</f>
        <v/>
      </c>
      <c r="J1213" s="41" t="str">
        <f aca="false">IF(G1213="","",IFERROR(IF(ISNUMBER(SEARCH(Assumptions!$C$5,G1213)),Assumptions!$D$5,IF(ISNUMBER(SEARCH(Assumptions!$C$6,G1213)),Assumptions!$D$6,IF(ISNUMBER(SEARCH(Assumptions!$C$7,G1213)),Assumptions!$D$7,"Other Services"))),"Other Services"))</f>
        <v/>
      </c>
    </row>
    <row r="1214" customFormat="false" ht="15" hidden="false" customHeight="false" outlineLevel="0" collapsed="false">
      <c r="E1214" s="41" t="str">
        <f aca="false">IF(D1214="","",IFERROR(VLOOKUP(D1214,Assumptions!$G$5:$H$16,2,0),"Other"))</f>
        <v/>
      </c>
      <c r="J1214" s="41" t="str">
        <f aca="false">IF(G1214="","",IFERROR(IF(ISNUMBER(SEARCH(Assumptions!$C$5,G1214)),Assumptions!$D$5,IF(ISNUMBER(SEARCH(Assumptions!$C$6,G1214)),Assumptions!$D$6,IF(ISNUMBER(SEARCH(Assumptions!$C$7,G1214)),Assumptions!$D$7,"Other Services"))),"Other Services"))</f>
        <v/>
      </c>
    </row>
    <row r="1215" customFormat="false" ht="15" hidden="false" customHeight="false" outlineLevel="0" collapsed="false">
      <c r="E1215" s="41" t="str">
        <f aca="false">IF(D1215="","",IFERROR(VLOOKUP(D1215,Assumptions!$G$5:$H$16,2,0),"Other"))</f>
        <v/>
      </c>
      <c r="J1215" s="41" t="str">
        <f aca="false">IF(G1215="","",IFERROR(IF(ISNUMBER(SEARCH(Assumptions!$C$5,G1215)),Assumptions!$D$5,IF(ISNUMBER(SEARCH(Assumptions!$C$6,G1215)),Assumptions!$D$6,IF(ISNUMBER(SEARCH(Assumptions!$C$7,G1215)),Assumptions!$D$7,"Other Services"))),"Other Services"))</f>
        <v/>
      </c>
    </row>
    <row r="1216" customFormat="false" ht="15" hidden="false" customHeight="false" outlineLevel="0" collapsed="false">
      <c r="E1216" s="41" t="str">
        <f aca="false">IF(D1216="","",IFERROR(VLOOKUP(D1216,Assumptions!$G$5:$H$16,2,0),"Other"))</f>
        <v/>
      </c>
      <c r="J1216" s="41" t="str">
        <f aca="false">IF(G1216="","",IFERROR(IF(ISNUMBER(SEARCH(Assumptions!$C$5,G1216)),Assumptions!$D$5,IF(ISNUMBER(SEARCH(Assumptions!$C$6,G1216)),Assumptions!$D$6,IF(ISNUMBER(SEARCH(Assumptions!$C$7,G1216)),Assumptions!$D$7,"Other Services"))),"Other Services"))</f>
        <v/>
      </c>
    </row>
    <row r="1217" customFormat="false" ht="15" hidden="false" customHeight="false" outlineLevel="0" collapsed="false">
      <c r="E1217" s="41" t="str">
        <f aca="false">IF(D1217="","",IFERROR(VLOOKUP(D1217,Assumptions!$G$5:$H$16,2,0),"Other"))</f>
        <v/>
      </c>
      <c r="J1217" s="41" t="str">
        <f aca="false">IF(G1217="","",IFERROR(IF(ISNUMBER(SEARCH(Assumptions!$C$5,G1217)),Assumptions!$D$5,IF(ISNUMBER(SEARCH(Assumptions!$C$6,G1217)),Assumptions!$D$6,IF(ISNUMBER(SEARCH(Assumptions!$C$7,G1217)),Assumptions!$D$7,"Other Services"))),"Other Services"))</f>
        <v/>
      </c>
    </row>
    <row r="1218" customFormat="false" ht="15" hidden="false" customHeight="false" outlineLevel="0" collapsed="false">
      <c r="E1218" s="41" t="str">
        <f aca="false">IF(D1218="","",IFERROR(VLOOKUP(D1218,Assumptions!$G$5:$H$16,2,0),"Other"))</f>
        <v/>
      </c>
      <c r="J1218" s="41" t="str">
        <f aca="false">IF(G1218="","",IFERROR(IF(ISNUMBER(SEARCH(Assumptions!$C$5,G1218)),Assumptions!$D$5,IF(ISNUMBER(SEARCH(Assumptions!$C$6,G1218)),Assumptions!$D$6,IF(ISNUMBER(SEARCH(Assumptions!$C$7,G1218)),Assumptions!$D$7,"Other Services"))),"Other Services"))</f>
        <v/>
      </c>
    </row>
    <row r="1219" customFormat="false" ht="15" hidden="false" customHeight="false" outlineLevel="0" collapsed="false">
      <c r="E1219" s="41" t="str">
        <f aca="false">IF(D1219="","",IFERROR(VLOOKUP(D1219,Assumptions!$G$5:$H$16,2,0),"Other"))</f>
        <v/>
      </c>
      <c r="J1219" s="41" t="str">
        <f aca="false">IF(G1219="","",IFERROR(IF(ISNUMBER(SEARCH(Assumptions!$C$5,G1219)),Assumptions!$D$5,IF(ISNUMBER(SEARCH(Assumptions!$C$6,G1219)),Assumptions!$D$6,IF(ISNUMBER(SEARCH(Assumptions!$C$7,G1219)),Assumptions!$D$7,"Other Services"))),"Other Services"))</f>
        <v/>
      </c>
    </row>
    <row r="1220" customFormat="false" ht="15" hidden="false" customHeight="false" outlineLevel="0" collapsed="false">
      <c r="E1220" s="41" t="str">
        <f aca="false">IF(D1220="","",IFERROR(VLOOKUP(D1220,Assumptions!$G$5:$H$16,2,0),"Other"))</f>
        <v/>
      </c>
      <c r="J1220" s="41" t="str">
        <f aca="false">IF(G1220="","",IFERROR(IF(ISNUMBER(SEARCH(Assumptions!$C$5,G1220)),Assumptions!$D$5,IF(ISNUMBER(SEARCH(Assumptions!$C$6,G1220)),Assumptions!$D$6,IF(ISNUMBER(SEARCH(Assumptions!$C$7,G1220)),Assumptions!$D$7,"Other Services"))),"Other Services"))</f>
        <v/>
      </c>
    </row>
    <row r="1221" customFormat="false" ht="15" hidden="false" customHeight="false" outlineLevel="0" collapsed="false">
      <c r="E1221" s="41" t="str">
        <f aca="false">IF(D1221="","",IFERROR(VLOOKUP(D1221,Assumptions!$G$5:$H$16,2,0),"Other"))</f>
        <v/>
      </c>
      <c r="J1221" s="41" t="str">
        <f aca="false">IF(G1221="","",IFERROR(IF(ISNUMBER(SEARCH(Assumptions!$C$5,G1221)),Assumptions!$D$5,IF(ISNUMBER(SEARCH(Assumptions!$C$6,G1221)),Assumptions!$D$6,IF(ISNUMBER(SEARCH(Assumptions!$C$7,G1221)),Assumptions!$D$7,"Other Services"))),"Other Services"))</f>
        <v/>
      </c>
    </row>
    <row r="1222" customFormat="false" ht="15" hidden="false" customHeight="false" outlineLevel="0" collapsed="false">
      <c r="E1222" s="41" t="str">
        <f aca="false">IF(D1222="","",IFERROR(VLOOKUP(D1222,Assumptions!$G$5:$H$16,2,0),"Other"))</f>
        <v/>
      </c>
      <c r="J1222" s="41" t="str">
        <f aca="false">IF(G1222="","",IFERROR(IF(ISNUMBER(SEARCH(Assumptions!$C$5,G1222)),Assumptions!$D$5,IF(ISNUMBER(SEARCH(Assumptions!$C$6,G1222)),Assumptions!$D$6,IF(ISNUMBER(SEARCH(Assumptions!$C$7,G1222)),Assumptions!$D$7,"Other Services"))),"Other Services"))</f>
        <v/>
      </c>
    </row>
    <row r="1223" customFormat="false" ht="15" hidden="false" customHeight="false" outlineLevel="0" collapsed="false">
      <c r="E1223" s="41" t="str">
        <f aca="false">IF(D1223="","",IFERROR(VLOOKUP(D1223,Assumptions!$G$5:$H$16,2,0),"Other"))</f>
        <v/>
      </c>
      <c r="J1223" s="41" t="str">
        <f aca="false">IF(G1223="","",IFERROR(IF(ISNUMBER(SEARCH(Assumptions!$C$5,G1223)),Assumptions!$D$5,IF(ISNUMBER(SEARCH(Assumptions!$C$6,G1223)),Assumptions!$D$6,IF(ISNUMBER(SEARCH(Assumptions!$C$7,G1223)),Assumptions!$D$7,"Other Services"))),"Other Services"))</f>
        <v/>
      </c>
    </row>
    <row r="1224" customFormat="false" ht="15" hidden="false" customHeight="false" outlineLevel="0" collapsed="false">
      <c r="E1224" s="41" t="str">
        <f aca="false">IF(D1224="","",IFERROR(VLOOKUP(D1224,Assumptions!$G$5:$H$16,2,0),"Other"))</f>
        <v/>
      </c>
      <c r="J1224" s="41" t="str">
        <f aca="false">IF(G1224="","",IFERROR(IF(ISNUMBER(SEARCH(Assumptions!$C$5,G1224)),Assumptions!$D$5,IF(ISNUMBER(SEARCH(Assumptions!$C$6,G1224)),Assumptions!$D$6,IF(ISNUMBER(SEARCH(Assumptions!$C$7,G1224)),Assumptions!$D$7,"Other Services"))),"Other Services"))</f>
        <v/>
      </c>
    </row>
    <row r="1225" customFormat="false" ht="15" hidden="false" customHeight="false" outlineLevel="0" collapsed="false">
      <c r="E1225" s="41" t="str">
        <f aca="false">IF(D1225="","",IFERROR(VLOOKUP(D1225,Assumptions!$G$5:$H$16,2,0),"Other"))</f>
        <v/>
      </c>
      <c r="J1225" s="41" t="str">
        <f aca="false">IF(G1225="","",IFERROR(IF(ISNUMBER(SEARCH(Assumptions!$C$5,G1225)),Assumptions!$D$5,IF(ISNUMBER(SEARCH(Assumptions!$C$6,G1225)),Assumptions!$D$6,IF(ISNUMBER(SEARCH(Assumptions!$C$7,G1225)),Assumptions!$D$7,"Other Services"))),"Other Services"))</f>
        <v/>
      </c>
    </row>
    <row r="1226" customFormat="false" ht="15" hidden="false" customHeight="false" outlineLevel="0" collapsed="false">
      <c r="E1226" s="41" t="str">
        <f aca="false">IF(D1226="","",IFERROR(VLOOKUP(D1226,Assumptions!$G$5:$H$16,2,0),"Other"))</f>
        <v/>
      </c>
      <c r="J1226" s="41" t="str">
        <f aca="false">IF(G1226="","",IFERROR(IF(ISNUMBER(SEARCH(Assumptions!$C$5,G1226)),Assumptions!$D$5,IF(ISNUMBER(SEARCH(Assumptions!$C$6,G1226)),Assumptions!$D$6,IF(ISNUMBER(SEARCH(Assumptions!$C$7,G1226)),Assumptions!$D$7,"Other Services"))),"Other Services"))</f>
        <v/>
      </c>
    </row>
    <row r="1227" customFormat="false" ht="15" hidden="false" customHeight="false" outlineLevel="0" collapsed="false">
      <c r="E1227" s="41" t="str">
        <f aca="false">IF(D1227="","",IFERROR(VLOOKUP(D1227,Assumptions!$G$5:$H$16,2,0),"Other"))</f>
        <v/>
      </c>
      <c r="J1227" s="41" t="str">
        <f aca="false">IF(G1227="","",IFERROR(IF(ISNUMBER(SEARCH(Assumptions!$C$5,G1227)),Assumptions!$D$5,IF(ISNUMBER(SEARCH(Assumptions!$C$6,G1227)),Assumptions!$D$6,IF(ISNUMBER(SEARCH(Assumptions!$C$7,G1227)),Assumptions!$D$7,"Other Services"))),"Other Services"))</f>
        <v/>
      </c>
    </row>
    <row r="1228" customFormat="false" ht="15" hidden="false" customHeight="false" outlineLevel="0" collapsed="false">
      <c r="E1228" s="41" t="str">
        <f aca="false">IF(D1228="","",IFERROR(VLOOKUP(D1228,Assumptions!$G$5:$H$16,2,0),"Other"))</f>
        <v/>
      </c>
      <c r="J1228" s="41" t="str">
        <f aca="false">IF(G1228="","",IFERROR(IF(ISNUMBER(SEARCH(Assumptions!$C$5,G1228)),Assumptions!$D$5,IF(ISNUMBER(SEARCH(Assumptions!$C$6,G1228)),Assumptions!$D$6,IF(ISNUMBER(SEARCH(Assumptions!$C$7,G1228)),Assumptions!$D$7,"Other Services"))),"Other Services"))</f>
        <v/>
      </c>
    </row>
    <row r="1229" customFormat="false" ht="15" hidden="false" customHeight="false" outlineLevel="0" collapsed="false">
      <c r="E1229" s="41" t="str">
        <f aca="false">IF(D1229="","",IFERROR(VLOOKUP(D1229,Assumptions!$G$5:$H$16,2,0),"Other"))</f>
        <v/>
      </c>
      <c r="J1229" s="41" t="str">
        <f aca="false">IF(G1229="","",IFERROR(IF(ISNUMBER(SEARCH(Assumptions!$C$5,G1229)),Assumptions!$D$5,IF(ISNUMBER(SEARCH(Assumptions!$C$6,G1229)),Assumptions!$D$6,IF(ISNUMBER(SEARCH(Assumptions!$C$7,G1229)),Assumptions!$D$7,"Other Services"))),"Other Services"))</f>
        <v/>
      </c>
    </row>
    <row r="1230" customFormat="false" ht="15" hidden="false" customHeight="false" outlineLevel="0" collapsed="false">
      <c r="E1230" s="41" t="str">
        <f aca="false">IF(D1230="","",IFERROR(VLOOKUP(D1230,Assumptions!$G$5:$H$16,2,0),"Other"))</f>
        <v/>
      </c>
      <c r="J1230" s="41" t="str">
        <f aca="false">IF(G1230="","",IFERROR(IF(ISNUMBER(SEARCH(Assumptions!$C$5,G1230)),Assumptions!$D$5,IF(ISNUMBER(SEARCH(Assumptions!$C$6,G1230)),Assumptions!$D$6,IF(ISNUMBER(SEARCH(Assumptions!$C$7,G1230)),Assumptions!$D$7,"Other Services"))),"Other Services"))</f>
        <v/>
      </c>
    </row>
    <row r="1231" customFormat="false" ht="15" hidden="false" customHeight="false" outlineLevel="0" collapsed="false">
      <c r="E1231" s="41" t="str">
        <f aca="false">IF(D1231="","",IFERROR(VLOOKUP(D1231,Assumptions!$G$5:$H$16,2,0),"Other"))</f>
        <v/>
      </c>
      <c r="J1231" s="41" t="str">
        <f aca="false">IF(G1231="","",IFERROR(IF(ISNUMBER(SEARCH(Assumptions!$C$5,G1231)),Assumptions!$D$5,IF(ISNUMBER(SEARCH(Assumptions!$C$6,G1231)),Assumptions!$D$6,IF(ISNUMBER(SEARCH(Assumptions!$C$7,G1231)),Assumptions!$D$7,"Other Services"))),"Other Services"))</f>
        <v/>
      </c>
    </row>
    <row r="1232" customFormat="false" ht="15" hidden="false" customHeight="false" outlineLevel="0" collapsed="false">
      <c r="E1232" s="41" t="str">
        <f aca="false">IF(D1232="","",IFERROR(VLOOKUP(D1232,Assumptions!$G$5:$H$16,2,0),"Other"))</f>
        <v/>
      </c>
      <c r="J1232" s="41" t="str">
        <f aca="false">IF(G1232="","",IFERROR(IF(ISNUMBER(SEARCH(Assumptions!$C$5,G1232)),Assumptions!$D$5,IF(ISNUMBER(SEARCH(Assumptions!$C$6,G1232)),Assumptions!$D$6,IF(ISNUMBER(SEARCH(Assumptions!$C$7,G1232)),Assumptions!$D$7,"Other Services"))),"Other Services"))</f>
        <v/>
      </c>
    </row>
    <row r="1233" customFormat="false" ht="15" hidden="false" customHeight="false" outlineLevel="0" collapsed="false">
      <c r="E1233" s="41" t="str">
        <f aca="false">IF(D1233="","",IFERROR(VLOOKUP(D1233,Assumptions!$G$5:$H$16,2,0),"Other"))</f>
        <v/>
      </c>
      <c r="J1233" s="41" t="str">
        <f aca="false">IF(G1233="","",IFERROR(IF(ISNUMBER(SEARCH(Assumptions!$C$5,G1233)),Assumptions!$D$5,IF(ISNUMBER(SEARCH(Assumptions!$C$6,G1233)),Assumptions!$D$6,IF(ISNUMBER(SEARCH(Assumptions!$C$7,G1233)),Assumptions!$D$7,"Other Services"))),"Other Services"))</f>
        <v/>
      </c>
    </row>
    <row r="1234" customFormat="false" ht="15" hidden="false" customHeight="false" outlineLevel="0" collapsed="false">
      <c r="E1234" s="41" t="str">
        <f aca="false">IF(D1234="","",IFERROR(VLOOKUP(D1234,Assumptions!$G$5:$H$16,2,0),"Other"))</f>
        <v/>
      </c>
      <c r="J1234" s="41" t="str">
        <f aca="false">IF(G1234="","",IFERROR(IF(ISNUMBER(SEARCH(Assumptions!$C$5,G1234)),Assumptions!$D$5,IF(ISNUMBER(SEARCH(Assumptions!$C$6,G1234)),Assumptions!$D$6,IF(ISNUMBER(SEARCH(Assumptions!$C$7,G1234)),Assumptions!$D$7,"Other Services"))),"Other Services"))</f>
        <v/>
      </c>
    </row>
    <row r="1235" customFormat="false" ht="15" hidden="false" customHeight="false" outlineLevel="0" collapsed="false">
      <c r="E1235" s="41" t="str">
        <f aca="false">IF(D1235="","",IFERROR(VLOOKUP(D1235,Assumptions!$G$5:$H$16,2,0),"Other"))</f>
        <v/>
      </c>
      <c r="J1235" s="41" t="str">
        <f aca="false">IF(G1235="","",IFERROR(IF(ISNUMBER(SEARCH(Assumptions!$C$5,G1235)),Assumptions!$D$5,IF(ISNUMBER(SEARCH(Assumptions!$C$6,G1235)),Assumptions!$D$6,IF(ISNUMBER(SEARCH(Assumptions!$C$7,G1235)),Assumptions!$D$7,"Other Services"))),"Other Services"))</f>
        <v/>
      </c>
    </row>
    <row r="1236" customFormat="false" ht="15" hidden="false" customHeight="false" outlineLevel="0" collapsed="false">
      <c r="E1236" s="41" t="str">
        <f aca="false">IF(D1236="","",IFERROR(VLOOKUP(D1236,Assumptions!$G$5:$H$16,2,0),"Other"))</f>
        <v/>
      </c>
      <c r="J1236" s="41" t="str">
        <f aca="false">IF(G1236="","",IFERROR(IF(ISNUMBER(SEARCH(Assumptions!$C$5,G1236)),Assumptions!$D$5,IF(ISNUMBER(SEARCH(Assumptions!$C$6,G1236)),Assumptions!$D$6,IF(ISNUMBER(SEARCH(Assumptions!$C$7,G1236)),Assumptions!$D$7,"Other Services"))),"Other Services"))</f>
        <v/>
      </c>
    </row>
    <row r="1237" customFormat="false" ht="15" hidden="false" customHeight="false" outlineLevel="0" collapsed="false">
      <c r="E1237" s="41" t="str">
        <f aca="false">IF(D1237="","",IFERROR(VLOOKUP(D1237,Assumptions!$G$5:$H$16,2,0),"Other"))</f>
        <v/>
      </c>
      <c r="J1237" s="41" t="str">
        <f aca="false">IF(G1237="","",IFERROR(IF(ISNUMBER(SEARCH(Assumptions!$C$5,G1237)),Assumptions!$D$5,IF(ISNUMBER(SEARCH(Assumptions!$C$6,G1237)),Assumptions!$D$6,IF(ISNUMBER(SEARCH(Assumptions!$C$7,G1237)),Assumptions!$D$7,"Other Services"))),"Other Services"))</f>
        <v/>
      </c>
    </row>
    <row r="1238" customFormat="false" ht="15" hidden="false" customHeight="false" outlineLevel="0" collapsed="false">
      <c r="E1238" s="41" t="str">
        <f aca="false">IF(D1238="","",IFERROR(VLOOKUP(D1238,Assumptions!$G$5:$H$16,2,0),"Other"))</f>
        <v/>
      </c>
      <c r="J1238" s="41" t="str">
        <f aca="false">IF(G1238="","",IFERROR(IF(ISNUMBER(SEARCH(Assumptions!$C$5,G1238)),Assumptions!$D$5,IF(ISNUMBER(SEARCH(Assumptions!$C$6,G1238)),Assumptions!$D$6,IF(ISNUMBER(SEARCH(Assumptions!$C$7,G1238)),Assumptions!$D$7,"Other Services"))),"Other Services"))</f>
        <v/>
      </c>
    </row>
    <row r="1239" customFormat="false" ht="15" hidden="false" customHeight="false" outlineLevel="0" collapsed="false">
      <c r="E1239" s="41" t="str">
        <f aca="false">IF(D1239="","",IFERROR(VLOOKUP(D1239,Assumptions!$G$5:$H$16,2,0),"Other"))</f>
        <v/>
      </c>
      <c r="J1239" s="41" t="str">
        <f aca="false">IF(G1239="","",IFERROR(IF(ISNUMBER(SEARCH(Assumptions!$C$5,G1239)),Assumptions!$D$5,IF(ISNUMBER(SEARCH(Assumptions!$C$6,G1239)),Assumptions!$D$6,IF(ISNUMBER(SEARCH(Assumptions!$C$7,G1239)),Assumptions!$D$7,"Other Services"))),"Other Services"))</f>
        <v/>
      </c>
    </row>
    <row r="1240" customFormat="false" ht="15" hidden="false" customHeight="false" outlineLevel="0" collapsed="false">
      <c r="E1240" s="41" t="str">
        <f aca="false">IF(D1240="","",IFERROR(VLOOKUP(D1240,Assumptions!$G$5:$H$16,2,0),"Other"))</f>
        <v/>
      </c>
      <c r="J1240" s="41" t="str">
        <f aca="false">IF(G1240="","",IFERROR(IF(ISNUMBER(SEARCH(Assumptions!$C$5,G1240)),Assumptions!$D$5,IF(ISNUMBER(SEARCH(Assumptions!$C$6,G1240)),Assumptions!$D$6,IF(ISNUMBER(SEARCH(Assumptions!$C$7,G1240)),Assumptions!$D$7,"Other Services"))),"Other Services"))</f>
        <v/>
      </c>
    </row>
    <row r="1241" customFormat="false" ht="15" hidden="false" customHeight="false" outlineLevel="0" collapsed="false">
      <c r="E1241" s="41" t="str">
        <f aca="false">IF(D1241="","",IFERROR(VLOOKUP(D1241,Assumptions!$G$5:$H$16,2,0),"Other"))</f>
        <v/>
      </c>
      <c r="J1241" s="41" t="str">
        <f aca="false">IF(G1241="","",IFERROR(IF(ISNUMBER(SEARCH(Assumptions!$C$5,G1241)),Assumptions!$D$5,IF(ISNUMBER(SEARCH(Assumptions!$C$6,G1241)),Assumptions!$D$6,IF(ISNUMBER(SEARCH(Assumptions!$C$7,G1241)),Assumptions!$D$7,"Other Services"))),"Other Services"))</f>
        <v/>
      </c>
    </row>
    <row r="1242" customFormat="false" ht="15" hidden="false" customHeight="false" outlineLevel="0" collapsed="false">
      <c r="E1242" s="41" t="str">
        <f aca="false">IF(D1242="","",IFERROR(VLOOKUP(D1242,Assumptions!$G$5:$H$16,2,0),"Other"))</f>
        <v/>
      </c>
      <c r="J1242" s="41" t="str">
        <f aca="false">IF(G1242="","",IFERROR(IF(ISNUMBER(SEARCH(Assumptions!$C$5,G1242)),Assumptions!$D$5,IF(ISNUMBER(SEARCH(Assumptions!$C$6,G1242)),Assumptions!$D$6,IF(ISNUMBER(SEARCH(Assumptions!$C$7,G1242)),Assumptions!$D$7,"Other Services"))),"Other Services"))</f>
        <v/>
      </c>
    </row>
    <row r="1243" customFormat="false" ht="15" hidden="false" customHeight="false" outlineLevel="0" collapsed="false">
      <c r="E1243" s="41" t="str">
        <f aca="false">IF(D1243="","",IFERROR(VLOOKUP(D1243,Assumptions!$G$5:$H$16,2,0),"Other"))</f>
        <v/>
      </c>
      <c r="J1243" s="41" t="str">
        <f aca="false">IF(G1243="","",IFERROR(IF(ISNUMBER(SEARCH(Assumptions!$C$5,G1243)),Assumptions!$D$5,IF(ISNUMBER(SEARCH(Assumptions!$C$6,G1243)),Assumptions!$D$6,IF(ISNUMBER(SEARCH(Assumptions!$C$7,G1243)),Assumptions!$D$7,"Other Services"))),"Other Services"))</f>
        <v/>
      </c>
    </row>
    <row r="1244" customFormat="false" ht="15" hidden="false" customHeight="false" outlineLevel="0" collapsed="false">
      <c r="E1244" s="41" t="str">
        <f aca="false">IF(D1244="","",IFERROR(VLOOKUP(D1244,Assumptions!$G$5:$H$16,2,0),"Other"))</f>
        <v/>
      </c>
      <c r="J1244" s="41" t="str">
        <f aca="false">IF(G1244="","",IFERROR(IF(ISNUMBER(SEARCH(Assumptions!$C$5,G1244)),Assumptions!$D$5,IF(ISNUMBER(SEARCH(Assumptions!$C$6,G1244)),Assumptions!$D$6,IF(ISNUMBER(SEARCH(Assumptions!$C$7,G1244)),Assumptions!$D$7,"Other Services"))),"Other Services"))</f>
        <v/>
      </c>
    </row>
    <row r="1245" customFormat="false" ht="15" hidden="false" customHeight="false" outlineLevel="0" collapsed="false">
      <c r="E1245" s="41" t="str">
        <f aca="false">IF(D1245="","",IFERROR(VLOOKUP(D1245,Assumptions!$G$5:$H$16,2,0),"Other"))</f>
        <v/>
      </c>
      <c r="J1245" s="41" t="str">
        <f aca="false">IF(G1245="","",IFERROR(IF(ISNUMBER(SEARCH(Assumptions!$C$5,G1245)),Assumptions!$D$5,IF(ISNUMBER(SEARCH(Assumptions!$C$6,G1245)),Assumptions!$D$6,IF(ISNUMBER(SEARCH(Assumptions!$C$7,G1245)),Assumptions!$D$7,"Other Services"))),"Other Services"))</f>
        <v/>
      </c>
    </row>
    <row r="1246" customFormat="false" ht="15" hidden="false" customHeight="false" outlineLevel="0" collapsed="false">
      <c r="E1246" s="41" t="str">
        <f aca="false">IF(D1246="","",IFERROR(VLOOKUP(D1246,Assumptions!$G$5:$H$16,2,0),"Other"))</f>
        <v/>
      </c>
      <c r="J1246" s="41" t="str">
        <f aca="false">IF(G1246="","",IFERROR(IF(ISNUMBER(SEARCH(Assumptions!$C$5,G1246)),Assumptions!$D$5,IF(ISNUMBER(SEARCH(Assumptions!$C$6,G1246)),Assumptions!$D$6,IF(ISNUMBER(SEARCH(Assumptions!$C$7,G1246)),Assumptions!$D$7,"Other Services"))),"Other Services"))</f>
        <v/>
      </c>
    </row>
    <row r="1247" customFormat="false" ht="15" hidden="false" customHeight="false" outlineLevel="0" collapsed="false">
      <c r="E1247" s="41" t="str">
        <f aca="false">IF(D1247="","",IFERROR(VLOOKUP(D1247,Assumptions!$G$5:$H$16,2,0),"Other"))</f>
        <v/>
      </c>
      <c r="J1247" s="41" t="str">
        <f aca="false">IF(G1247="","",IFERROR(IF(ISNUMBER(SEARCH(Assumptions!$C$5,G1247)),Assumptions!$D$5,IF(ISNUMBER(SEARCH(Assumptions!$C$6,G1247)),Assumptions!$D$6,IF(ISNUMBER(SEARCH(Assumptions!$C$7,G1247)),Assumptions!$D$7,"Other Services"))),"Other Services"))</f>
        <v/>
      </c>
    </row>
    <row r="1248" customFormat="false" ht="15" hidden="false" customHeight="false" outlineLevel="0" collapsed="false">
      <c r="E1248" s="41" t="str">
        <f aca="false">IF(D1248="","",IFERROR(VLOOKUP(D1248,Assumptions!$G$5:$H$16,2,0),"Other"))</f>
        <v/>
      </c>
      <c r="J1248" s="41" t="str">
        <f aca="false">IF(G1248="","",IFERROR(IF(ISNUMBER(SEARCH(Assumptions!$C$5,G1248)),Assumptions!$D$5,IF(ISNUMBER(SEARCH(Assumptions!$C$6,G1248)),Assumptions!$D$6,IF(ISNUMBER(SEARCH(Assumptions!$C$7,G1248)),Assumptions!$D$7,"Other Services"))),"Other Services"))</f>
        <v/>
      </c>
    </row>
    <row r="1249" customFormat="false" ht="15" hidden="false" customHeight="false" outlineLevel="0" collapsed="false">
      <c r="E1249" s="41" t="str">
        <f aca="false">IF(D1249="","",IFERROR(VLOOKUP(D1249,Assumptions!$G$5:$H$16,2,0),"Other"))</f>
        <v/>
      </c>
      <c r="J1249" s="41" t="str">
        <f aca="false">IF(G1249="","",IFERROR(IF(ISNUMBER(SEARCH(Assumptions!$C$5,G1249)),Assumptions!$D$5,IF(ISNUMBER(SEARCH(Assumptions!$C$6,G1249)),Assumptions!$D$6,IF(ISNUMBER(SEARCH(Assumptions!$C$7,G1249)),Assumptions!$D$7,"Other Services"))),"Other Services"))</f>
        <v/>
      </c>
    </row>
    <row r="1250" customFormat="false" ht="15" hidden="false" customHeight="false" outlineLevel="0" collapsed="false">
      <c r="E1250" s="41" t="str">
        <f aca="false">IF(D1250="","",IFERROR(VLOOKUP(D1250,Assumptions!$G$5:$H$16,2,0),"Other"))</f>
        <v/>
      </c>
      <c r="J1250" s="41" t="str">
        <f aca="false">IF(G1250="","",IFERROR(IF(ISNUMBER(SEARCH(Assumptions!$C$5,G1250)),Assumptions!$D$5,IF(ISNUMBER(SEARCH(Assumptions!$C$6,G1250)),Assumptions!$D$6,IF(ISNUMBER(SEARCH(Assumptions!$C$7,G1250)),Assumptions!$D$7,"Other Services"))),"Other Services"))</f>
        <v/>
      </c>
    </row>
    <row r="1251" customFormat="false" ht="15" hidden="false" customHeight="false" outlineLevel="0" collapsed="false">
      <c r="E1251" s="41" t="str">
        <f aca="false">IF(D1251="","",IFERROR(VLOOKUP(D1251,Assumptions!$G$5:$H$16,2,0),"Other"))</f>
        <v/>
      </c>
      <c r="J1251" s="41" t="str">
        <f aca="false">IF(G1251="","",IFERROR(IF(ISNUMBER(SEARCH(Assumptions!$C$5,G1251)),Assumptions!$D$5,IF(ISNUMBER(SEARCH(Assumptions!$C$6,G1251)),Assumptions!$D$6,IF(ISNUMBER(SEARCH(Assumptions!$C$7,G1251)),Assumptions!$D$7,"Other Services"))),"Other Services"))</f>
        <v/>
      </c>
    </row>
    <row r="1252" customFormat="false" ht="15" hidden="false" customHeight="false" outlineLevel="0" collapsed="false">
      <c r="E1252" s="41" t="str">
        <f aca="false">IF(D1252="","",IFERROR(VLOOKUP(D1252,Assumptions!$G$5:$H$16,2,0),"Other"))</f>
        <v/>
      </c>
      <c r="J1252" s="41" t="str">
        <f aca="false">IF(G1252="","",IFERROR(IF(ISNUMBER(SEARCH(Assumptions!$C$5,G1252)),Assumptions!$D$5,IF(ISNUMBER(SEARCH(Assumptions!$C$6,G1252)),Assumptions!$D$6,IF(ISNUMBER(SEARCH(Assumptions!$C$7,G1252)),Assumptions!$D$7,"Other Services"))),"Other Services"))</f>
        <v/>
      </c>
    </row>
    <row r="1253" customFormat="false" ht="15" hidden="false" customHeight="false" outlineLevel="0" collapsed="false">
      <c r="E1253" s="41" t="str">
        <f aca="false">IF(D1253="","",IFERROR(VLOOKUP(D1253,Assumptions!$G$5:$H$16,2,0),"Other"))</f>
        <v/>
      </c>
      <c r="J1253" s="41" t="str">
        <f aca="false">IF(G1253="","",IFERROR(IF(ISNUMBER(SEARCH(Assumptions!$C$5,G1253)),Assumptions!$D$5,IF(ISNUMBER(SEARCH(Assumptions!$C$6,G1253)),Assumptions!$D$6,IF(ISNUMBER(SEARCH(Assumptions!$C$7,G1253)),Assumptions!$D$7,"Other Services"))),"Other Services"))</f>
        <v/>
      </c>
    </row>
    <row r="1254" customFormat="false" ht="15" hidden="false" customHeight="false" outlineLevel="0" collapsed="false">
      <c r="E1254" s="41" t="str">
        <f aca="false">IF(D1254="","",IFERROR(VLOOKUP(D1254,Assumptions!$G$5:$H$16,2,0),"Other"))</f>
        <v/>
      </c>
      <c r="J1254" s="41" t="str">
        <f aca="false">IF(G1254="","",IFERROR(IF(ISNUMBER(SEARCH(Assumptions!$C$5,G1254)),Assumptions!$D$5,IF(ISNUMBER(SEARCH(Assumptions!$C$6,G1254)),Assumptions!$D$6,IF(ISNUMBER(SEARCH(Assumptions!$C$7,G1254)),Assumptions!$D$7,"Other Services"))),"Other Services"))</f>
        <v/>
      </c>
    </row>
    <row r="1255" customFormat="false" ht="15" hidden="false" customHeight="false" outlineLevel="0" collapsed="false">
      <c r="E1255" s="41" t="str">
        <f aca="false">IF(D1255="","",IFERROR(VLOOKUP(D1255,Assumptions!$G$5:$H$16,2,0),"Other"))</f>
        <v/>
      </c>
      <c r="J1255" s="41" t="str">
        <f aca="false">IF(G1255="","",IFERROR(IF(ISNUMBER(SEARCH(Assumptions!$C$5,G1255)),Assumptions!$D$5,IF(ISNUMBER(SEARCH(Assumptions!$C$6,G1255)),Assumptions!$D$6,IF(ISNUMBER(SEARCH(Assumptions!$C$7,G1255)),Assumptions!$D$7,"Other Services"))),"Other Services"))</f>
        <v/>
      </c>
    </row>
    <row r="1256" customFormat="false" ht="15" hidden="false" customHeight="false" outlineLevel="0" collapsed="false">
      <c r="E1256" s="41" t="str">
        <f aca="false">IF(D1256="","",IFERROR(VLOOKUP(D1256,Assumptions!$G$5:$H$16,2,0),"Other"))</f>
        <v/>
      </c>
      <c r="J1256" s="41" t="str">
        <f aca="false">IF(G1256="","",IFERROR(IF(ISNUMBER(SEARCH(Assumptions!$C$5,G1256)),Assumptions!$D$5,IF(ISNUMBER(SEARCH(Assumptions!$C$6,G1256)),Assumptions!$D$6,IF(ISNUMBER(SEARCH(Assumptions!$C$7,G1256)),Assumptions!$D$7,"Other Services"))),"Other Services"))</f>
        <v/>
      </c>
    </row>
    <row r="1257" customFormat="false" ht="15" hidden="false" customHeight="false" outlineLevel="0" collapsed="false">
      <c r="E1257" s="41" t="str">
        <f aca="false">IF(D1257="","",IFERROR(VLOOKUP(D1257,Assumptions!$G$5:$H$16,2,0),"Other"))</f>
        <v/>
      </c>
      <c r="J1257" s="41" t="str">
        <f aca="false">IF(G1257="","",IFERROR(IF(ISNUMBER(SEARCH(Assumptions!$C$5,G1257)),Assumptions!$D$5,IF(ISNUMBER(SEARCH(Assumptions!$C$6,G1257)),Assumptions!$D$6,IF(ISNUMBER(SEARCH(Assumptions!$C$7,G1257)),Assumptions!$D$7,"Other Services"))),"Other Services"))</f>
        <v/>
      </c>
    </row>
    <row r="1258" customFormat="false" ht="15" hidden="false" customHeight="false" outlineLevel="0" collapsed="false">
      <c r="E1258" s="41" t="str">
        <f aca="false">IF(D1258="","",IFERROR(VLOOKUP(D1258,Assumptions!$G$5:$H$16,2,0),"Other"))</f>
        <v/>
      </c>
      <c r="J1258" s="41" t="str">
        <f aca="false">IF(G1258="","",IFERROR(IF(ISNUMBER(SEARCH(Assumptions!$C$5,G1258)),Assumptions!$D$5,IF(ISNUMBER(SEARCH(Assumptions!$C$6,G1258)),Assumptions!$D$6,IF(ISNUMBER(SEARCH(Assumptions!$C$7,G1258)),Assumptions!$D$7,"Other Services"))),"Other Services"))</f>
        <v/>
      </c>
    </row>
    <row r="1259" customFormat="false" ht="15" hidden="false" customHeight="false" outlineLevel="0" collapsed="false">
      <c r="E1259" s="41" t="str">
        <f aca="false">IF(D1259="","",IFERROR(VLOOKUP(D1259,Assumptions!$G$5:$H$16,2,0),"Other"))</f>
        <v/>
      </c>
      <c r="J1259" s="41" t="str">
        <f aca="false">IF(G1259="","",IFERROR(IF(ISNUMBER(SEARCH(Assumptions!$C$5,G1259)),Assumptions!$D$5,IF(ISNUMBER(SEARCH(Assumptions!$C$6,G1259)),Assumptions!$D$6,IF(ISNUMBER(SEARCH(Assumptions!$C$7,G1259)),Assumptions!$D$7,"Other Services"))),"Other Services"))</f>
        <v/>
      </c>
    </row>
    <row r="1260" customFormat="false" ht="15" hidden="false" customHeight="false" outlineLevel="0" collapsed="false">
      <c r="E1260" s="41" t="str">
        <f aca="false">IF(D1260="","",IFERROR(VLOOKUP(D1260,Assumptions!$G$5:$H$16,2,0),"Other"))</f>
        <v/>
      </c>
      <c r="J1260" s="41" t="str">
        <f aca="false">IF(G1260="","",IFERROR(IF(ISNUMBER(SEARCH(Assumptions!$C$5,G1260)),Assumptions!$D$5,IF(ISNUMBER(SEARCH(Assumptions!$C$6,G1260)),Assumptions!$D$6,IF(ISNUMBER(SEARCH(Assumptions!$C$7,G1260)),Assumptions!$D$7,"Other Services"))),"Other Services"))</f>
        <v/>
      </c>
    </row>
    <row r="1261" customFormat="false" ht="15" hidden="false" customHeight="false" outlineLevel="0" collapsed="false">
      <c r="E1261" s="41" t="str">
        <f aca="false">IF(D1261="","",IFERROR(VLOOKUP(D1261,Assumptions!$G$5:$H$16,2,0),"Other"))</f>
        <v/>
      </c>
      <c r="J1261" s="41" t="str">
        <f aca="false">IF(G1261="","",IFERROR(IF(ISNUMBER(SEARCH(Assumptions!$C$5,G1261)),Assumptions!$D$5,IF(ISNUMBER(SEARCH(Assumptions!$C$6,G1261)),Assumptions!$D$6,IF(ISNUMBER(SEARCH(Assumptions!$C$7,G1261)),Assumptions!$D$7,"Other Services"))),"Other Services"))</f>
        <v/>
      </c>
    </row>
    <row r="1262" customFormat="false" ht="15" hidden="false" customHeight="false" outlineLevel="0" collapsed="false">
      <c r="E1262" s="41" t="str">
        <f aca="false">IF(D1262="","",IFERROR(VLOOKUP(D1262,Assumptions!$G$5:$H$16,2,0),"Other"))</f>
        <v/>
      </c>
      <c r="J1262" s="41" t="str">
        <f aca="false">IF(G1262="","",IFERROR(IF(ISNUMBER(SEARCH(Assumptions!$C$5,G1262)),Assumptions!$D$5,IF(ISNUMBER(SEARCH(Assumptions!$C$6,G1262)),Assumptions!$D$6,IF(ISNUMBER(SEARCH(Assumptions!$C$7,G1262)),Assumptions!$D$7,"Other Services"))),"Other Services"))</f>
        <v/>
      </c>
    </row>
    <row r="1263" customFormat="false" ht="15" hidden="false" customHeight="false" outlineLevel="0" collapsed="false">
      <c r="E1263" s="41" t="str">
        <f aca="false">IF(D1263="","",IFERROR(VLOOKUP(D1263,Assumptions!$G$5:$H$16,2,0),"Other"))</f>
        <v/>
      </c>
      <c r="J1263" s="41" t="str">
        <f aca="false">IF(G1263="","",IFERROR(IF(ISNUMBER(SEARCH(Assumptions!$C$5,G1263)),Assumptions!$D$5,IF(ISNUMBER(SEARCH(Assumptions!$C$6,G1263)),Assumptions!$D$6,IF(ISNUMBER(SEARCH(Assumptions!$C$7,G1263)),Assumptions!$D$7,"Other Services"))),"Other Services"))</f>
        <v/>
      </c>
    </row>
    <row r="1264" customFormat="false" ht="15" hidden="false" customHeight="false" outlineLevel="0" collapsed="false">
      <c r="E1264" s="41" t="str">
        <f aca="false">IF(D1264="","",IFERROR(VLOOKUP(D1264,Assumptions!$G$5:$H$16,2,0),"Other"))</f>
        <v/>
      </c>
      <c r="J1264" s="41" t="str">
        <f aca="false">IF(G1264="","",IFERROR(IF(ISNUMBER(SEARCH(Assumptions!$C$5,G1264)),Assumptions!$D$5,IF(ISNUMBER(SEARCH(Assumptions!$C$6,G1264)),Assumptions!$D$6,IF(ISNUMBER(SEARCH(Assumptions!$C$7,G1264)),Assumptions!$D$7,"Other Services"))),"Other Services"))</f>
        <v/>
      </c>
    </row>
    <row r="1265" customFormat="false" ht="15" hidden="false" customHeight="false" outlineLevel="0" collapsed="false">
      <c r="E1265" s="41" t="str">
        <f aca="false">IF(D1265="","",IFERROR(VLOOKUP(D1265,Assumptions!$G$5:$H$16,2,0),"Other"))</f>
        <v/>
      </c>
      <c r="J1265" s="41" t="str">
        <f aca="false">IF(G1265="","",IFERROR(IF(ISNUMBER(SEARCH(Assumptions!$C$5,G1265)),Assumptions!$D$5,IF(ISNUMBER(SEARCH(Assumptions!$C$6,G1265)),Assumptions!$D$6,IF(ISNUMBER(SEARCH(Assumptions!$C$7,G1265)),Assumptions!$D$7,"Other Services"))),"Other Services"))</f>
        <v/>
      </c>
    </row>
    <row r="1266" customFormat="false" ht="15" hidden="false" customHeight="false" outlineLevel="0" collapsed="false">
      <c r="E1266" s="41" t="str">
        <f aca="false">IF(D1266="","",IFERROR(VLOOKUP(D1266,Assumptions!$G$5:$H$16,2,0),"Other"))</f>
        <v/>
      </c>
      <c r="J1266" s="41" t="str">
        <f aca="false">IF(G1266="","",IFERROR(IF(ISNUMBER(SEARCH(Assumptions!$C$5,G1266)),Assumptions!$D$5,IF(ISNUMBER(SEARCH(Assumptions!$C$6,G1266)),Assumptions!$D$6,IF(ISNUMBER(SEARCH(Assumptions!$C$7,G1266)),Assumptions!$D$7,"Other Services"))),"Other Services"))</f>
        <v/>
      </c>
    </row>
    <row r="1267" customFormat="false" ht="15" hidden="false" customHeight="false" outlineLevel="0" collapsed="false">
      <c r="E1267" s="41" t="str">
        <f aca="false">IF(D1267="","",IFERROR(VLOOKUP(D1267,Assumptions!$G$5:$H$16,2,0),"Other"))</f>
        <v/>
      </c>
      <c r="J1267" s="41" t="str">
        <f aca="false">IF(G1267="","",IFERROR(IF(ISNUMBER(SEARCH(Assumptions!$C$5,G1267)),Assumptions!$D$5,IF(ISNUMBER(SEARCH(Assumptions!$C$6,G1267)),Assumptions!$D$6,IF(ISNUMBER(SEARCH(Assumptions!$C$7,G1267)),Assumptions!$D$7,"Other Services"))),"Other Services"))</f>
        <v/>
      </c>
    </row>
    <row r="1268" customFormat="false" ht="15" hidden="false" customHeight="false" outlineLevel="0" collapsed="false">
      <c r="E1268" s="41" t="str">
        <f aca="false">IF(D1268="","",IFERROR(VLOOKUP(D1268,Assumptions!$G$5:$H$16,2,0),"Other"))</f>
        <v/>
      </c>
      <c r="J1268" s="41" t="str">
        <f aca="false">IF(G1268="","",IFERROR(IF(ISNUMBER(SEARCH(Assumptions!$C$5,G1268)),Assumptions!$D$5,IF(ISNUMBER(SEARCH(Assumptions!$C$6,G1268)),Assumptions!$D$6,IF(ISNUMBER(SEARCH(Assumptions!$C$7,G1268)),Assumptions!$D$7,"Other Services"))),"Other Services"))</f>
        <v/>
      </c>
    </row>
    <row r="1269" customFormat="false" ht="15" hidden="false" customHeight="false" outlineLevel="0" collapsed="false">
      <c r="E1269" s="41" t="str">
        <f aca="false">IF(D1269="","",IFERROR(VLOOKUP(D1269,Assumptions!$G$5:$H$16,2,0),"Other"))</f>
        <v/>
      </c>
      <c r="J1269" s="41" t="str">
        <f aca="false">IF(G1269="","",IFERROR(IF(ISNUMBER(SEARCH(Assumptions!$C$5,G1269)),Assumptions!$D$5,IF(ISNUMBER(SEARCH(Assumptions!$C$6,G1269)),Assumptions!$D$6,IF(ISNUMBER(SEARCH(Assumptions!$C$7,G1269)),Assumptions!$D$7,"Other Services"))),"Other Services"))</f>
        <v/>
      </c>
    </row>
    <row r="1270" customFormat="false" ht="15" hidden="false" customHeight="false" outlineLevel="0" collapsed="false">
      <c r="E1270" s="41" t="str">
        <f aca="false">IF(D1270="","",IFERROR(VLOOKUP(D1270,Assumptions!$G$5:$H$16,2,0),"Other"))</f>
        <v/>
      </c>
      <c r="J1270" s="41" t="str">
        <f aca="false">IF(G1270="","",IFERROR(IF(ISNUMBER(SEARCH(Assumptions!$C$5,G1270)),Assumptions!$D$5,IF(ISNUMBER(SEARCH(Assumptions!$C$6,G1270)),Assumptions!$D$6,IF(ISNUMBER(SEARCH(Assumptions!$C$7,G1270)),Assumptions!$D$7,"Other Services"))),"Other Services"))</f>
        <v/>
      </c>
    </row>
    <row r="1271" customFormat="false" ht="15" hidden="false" customHeight="false" outlineLevel="0" collapsed="false">
      <c r="E1271" s="41" t="str">
        <f aca="false">IF(D1271="","",IFERROR(VLOOKUP(D1271,Assumptions!$G$5:$H$16,2,0),"Other"))</f>
        <v/>
      </c>
      <c r="J1271" s="41" t="str">
        <f aca="false">IF(G1271="","",IFERROR(IF(ISNUMBER(SEARCH(Assumptions!$C$5,G1271)),Assumptions!$D$5,IF(ISNUMBER(SEARCH(Assumptions!$C$6,G1271)),Assumptions!$D$6,IF(ISNUMBER(SEARCH(Assumptions!$C$7,G1271)),Assumptions!$D$7,"Other Services"))),"Other Services"))</f>
        <v/>
      </c>
    </row>
    <row r="1272" customFormat="false" ht="15" hidden="false" customHeight="false" outlineLevel="0" collapsed="false">
      <c r="E1272" s="41" t="str">
        <f aca="false">IF(D1272="","",IFERROR(VLOOKUP(D1272,Assumptions!$G$5:$H$16,2,0),"Other"))</f>
        <v/>
      </c>
      <c r="J1272" s="41" t="str">
        <f aca="false">IF(G1272="","",IFERROR(IF(ISNUMBER(SEARCH(Assumptions!$C$5,G1272)),Assumptions!$D$5,IF(ISNUMBER(SEARCH(Assumptions!$C$6,G1272)),Assumptions!$D$6,IF(ISNUMBER(SEARCH(Assumptions!$C$7,G1272)),Assumptions!$D$7,"Other Services"))),"Other Services"))</f>
        <v/>
      </c>
    </row>
    <row r="1273" customFormat="false" ht="15" hidden="false" customHeight="false" outlineLevel="0" collapsed="false">
      <c r="E1273" s="41" t="str">
        <f aca="false">IF(D1273="","",IFERROR(VLOOKUP(D1273,Assumptions!$G$5:$H$16,2,0),"Other"))</f>
        <v/>
      </c>
      <c r="J1273" s="41" t="str">
        <f aca="false">IF(G1273="","",IFERROR(IF(ISNUMBER(SEARCH(Assumptions!$C$5,G1273)),Assumptions!$D$5,IF(ISNUMBER(SEARCH(Assumptions!$C$6,G1273)),Assumptions!$D$6,IF(ISNUMBER(SEARCH(Assumptions!$C$7,G1273)),Assumptions!$D$7,"Other Services"))),"Other Services"))</f>
        <v/>
      </c>
    </row>
    <row r="1274" customFormat="false" ht="15" hidden="false" customHeight="false" outlineLevel="0" collapsed="false">
      <c r="E1274" s="41" t="str">
        <f aca="false">IF(D1274="","",IFERROR(VLOOKUP(D1274,Assumptions!$G$5:$H$16,2,0),"Other"))</f>
        <v/>
      </c>
      <c r="J1274" s="41" t="str">
        <f aca="false">IF(G1274="","",IFERROR(IF(ISNUMBER(SEARCH(Assumptions!$C$5,G1274)),Assumptions!$D$5,IF(ISNUMBER(SEARCH(Assumptions!$C$6,G1274)),Assumptions!$D$6,IF(ISNUMBER(SEARCH(Assumptions!$C$7,G1274)),Assumptions!$D$7,"Other Services"))),"Other Services"))</f>
        <v/>
      </c>
    </row>
    <row r="1275" customFormat="false" ht="15" hidden="false" customHeight="false" outlineLevel="0" collapsed="false">
      <c r="E1275" s="41" t="str">
        <f aca="false">IF(D1275="","",IFERROR(VLOOKUP(D1275,Assumptions!$G$5:$H$16,2,0),"Other"))</f>
        <v/>
      </c>
      <c r="J1275" s="41" t="str">
        <f aca="false">IF(G1275="","",IFERROR(IF(ISNUMBER(SEARCH(Assumptions!$C$5,G1275)),Assumptions!$D$5,IF(ISNUMBER(SEARCH(Assumptions!$C$6,G1275)),Assumptions!$D$6,IF(ISNUMBER(SEARCH(Assumptions!$C$7,G1275)),Assumptions!$D$7,"Other Services"))),"Other Services"))</f>
        <v/>
      </c>
    </row>
    <row r="1276" customFormat="false" ht="15" hidden="false" customHeight="false" outlineLevel="0" collapsed="false">
      <c r="E1276" s="41" t="str">
        <f aca="false">IF(D1276="","",IFERROR(VLOOKUP(D1276,Assumptions!$G$5:$H$16,2,0),"Other"))</f>
        <v/>
      </c>
      <c r="J1276" s="41" t="str">
        <f aca="false">IF(G1276="","",IFERROR(IF(ISNUMBER(SEARCH(Assumptions!$C$5,G1276)),Assumptions!$D$5,IF(ISNUMBER(SEARCH(Assumptions!$C$6,G1276)),Assumptions!$D$6,IF(ISNUMBER(SEARCH(Assumptions!$C$7,G1276)),Assumptions!$D$7,"Other Services"))),"Other Services"))</f>
        <v/>
      </c>
    </row>
    <row r="1277" customFormat="false" ht="15" hidden="false" customHeight="false" outlineLevel="0" collapsed="false">
      <c r="E1277" s="41" t="str">
        <f aca="false">IF(D1277="","",IFERROR(VLOOKUP(D1277,Assumptions!$G$5:$H$16,2,0),"Other"))</f>
        <v/>
      </c>
      <c r="J1277" s="41" t="str">
        <f aca="false">IF(G1277="","",IFERROR(IF(ISNUMBER(SEARCH(Assumptions!$C$5,G1277)),Assumptions!$D$5,IF(ISNUMBER(SEARCH(Assumptions!$C$6,G1277)),Assumptions!$D$6,IF(ISNUMBER(SEARCH(Assumptions!$C$7,G1277)),Assumptions!$D$7,"Other Services"))),"Other Services"))</f>
        <v/>
      </c>
    </row>
    <row r="1278" customFormat="false" ht="15" hidden="false" customHeight="false" outlineLevel="0" collapsed="false">
      <c r="E1278" s="41" t="str">
        <f aca="false">IF(D1278="","",IFERROR(VLOOKUP(D1278,Assumptions!$G$5:$H$16,2,0),"Other"))</f>
        <v/>
      </c>
      <c r="J1278" s="41" t="str">
        <f aca="false">IF(G1278="","",IFERROR(IF(ISNUMBER(SEARCH(Assumptions!$C$5,G1278)),Assumptions!$D$5,IF(ISNUMBER(SEARCH(Assumptions!$C$6,G1278)),Assumptions!$D$6,IF(ISNUMBER(SEARCH(Assumptions!$C$7,G1278)),Assumptions!$D$7,"Other Services"))),"Other Services"))</f>
        <v/>
      </c>
    </row>
    <row r="1279" customFormat="false" ht="15" hidden="false" customHeight="false" outlineLevel="0" collapsed="false">
      <c r="E1279" s="41" t="str">
        <f aca="false">IF(D1279="","",IFERROR(VLOOKUP(D1279,Assumptions!$G$5:$H$16,2,0),"Other"))</f>
        <v/>
      </c>
      <c r="J1279" s="41" t="str">
        <f aca="false">IF(G1279="","",IFERROR(IF(ISNUMBER(SEARCH(Assumptions!$C$5,G1279)),Assumptions!$D$5,IF(ISNUMBER(SEARCH(Assumptions!$C$6,G1279)),Assumptions!$D$6,IF(ISNUMBER(SEARCH(Assumptions!$C$7,G1279)),Assumptions!$D$7,"Other Services"))),"Other Services"))</f>
        <v/>
      </c>
    </row>
    <row r="1280" customFormat="false" ht="15" hidden="false" customHeight="false" outlineLevel="0" collapsed="false">
      <c r="E1280" s="41" t="str">
        <f aca="false">IF(D1280="","",IFERROR(VLOOKUP(D1280,Assumptions!$G$5:$H$16,2,0),"Other"))</f>
        <v/>
      </c>
      <c r="J1280" s="41" t="str">
        <f aca="false">IF(G1280="","",IFERROR(IF(ISNUMBER(SEARCH(Assumptions!$C$5,G1280)),Assumptions!$D$5,IF(ISNUMBER(SEARCH(Assumptions!$C$6,G1280)),Assumptions!$D$6,IF(ISNUMBER(SEARCH(Assumptions!$C$7,G1280)),Assumptions!$D$7,"Other Services"))),"Other Services"))</f>
        <v/>
      </c>
    </row>
    <row r="1281" customFormat="false" ht="15" hidden="false" customHeight="false" outlineLevel="0" collapsed="false">
      <c r="E1281" s="41" t="str">
        <f aca="false">IF(D1281="","",IFERROR(VLOOKUP(D1281,Assumptions!$G$5:$H$16,2,0),"Other"))</f>
        <v/>
      </c>
      <c r="J1281" s="41" t="str">
        <f aca="false">IF(G1281="","",IFERROR(IF(ISNUMBER(SEARCH(Assumptions!$C$5,G1281)),Assumptions!$D$5,IF(ISNUMBER(SEARCH(Assumptions!$C$6,G1281)),Assumptions!$D$6,IF(ISNUMBER(SEARCH(Assumptions!$C$7,G1281)),Assumptions!$D$7,"Other Services"))),"Other Services"))</f>
        <v/>
      </c>
    </row>
    <row r="1282" customFormat="false" ht="15" hidden="false" customHeight="false" outlineLevel="0" collapsed="false">
      <c r="E1282" s="41" t="str">
        <f aca="false">IF(D1282="","",IFERROR(VLOOKUP(D1282,Assumptions!$G$5:$H$16,2,0),"Other"))</f>
        <v/>
      </c>
      <c r="J1282" s="41" t="str">
        <f aca="false">IF(G1282="","",IFERROR(IF(ISNUMBER(SEARCH(Assumptions!$C$5,G1282)),Assumptions!$D$5,IF(ISNUMBER(SEARCH(Assumptions!$C$6,G1282)),Assumptions!$D$6,IF(ISNUMBER(SEARCH(Assumptions!$C$7,G1282)),Assumptions!$D$7,"Other Services"))),"Other Services"))</f>
        <v/>
      </c>
    </row>
    <row r="1283" customFormat="false" ht="15" hidden="false" customHeight="false" outlineLevel="0" collapsed="false">
      <c r="E1283" s="41" t="str">
        <f aca="false">IF(D1283="","",IFERROR(VLOOKUP(D1283,Assumptions!$G$5:$H$16,2,0),"Other"))</f>
        <v/>
      </c>
      <c r="J1283" s="41" t="str">
        <f aca="false">IF(G1283="","",IFERROR(IF(ISNUMBER(SEARCH(Assumptions!$C$5,G1283)),Assumptions!$D$5,IF(ISNUMBER(SEARCH(Assumptions!$C$6,G1283)),Assumptions!$D$6,IF(ISNUMBER(SEARCH(Assumptions!$C$7,G1283)),Assumptions!$D$7,"Other Services"))),"Other Services"))</f>
        <v/>
      </c>
    </row>
    <row r="1284" customFormat="false" ht="15" hidden="false" customHeight="false" outlineLevel="0" collapsed="false">
      <c r="E1284" s="41" t="str">
        <f aca="false">IF(D1284="","",IFERROR(VLOOKUP(D1284,Assumptions!$G$5:$H$16,2,0),"Other"))</f>
        <v/>
      </c>
      <c r="J1284" s="41" t="str">
        <f aca="false">IF(G1284="","",IFERROR(IF(ISNUMBER(SEARCH(Assumptions!$C$5,G1284)),Assumptions!$D$5,IF(ISNUMBER(SEARCH(Assumptions!$C$6,G1284)),Assumptions!$D$6,IF(ISNUMBER(SEARCH(Assumptions!$C$7,G1284)),Assumptions!$D$7,"Other Services"))),"Other Services"))</f>
        <v/>
      </c>
    </row>
    <row r="1285" customFormat="false" ht="15" hidden="false" customHeight="false" outlineLevel="0" collapsed="false">
      <c r="E1285" s="41" t="str">
        <f aca="false">IF(D1285="","",IFERROR(VLOOKUP(D1285,Assumptions!$G$5:$H$16,2,0),"Other"))</f>
        <v/>
      </c>
      <c r="J1285" s="41" t="str">
        <f aca="false">IF(G1285="","",IFERROR(IF(ISNUMBER(SEARCH(Assumptions!$C$5,G1285)),Assumptions!$D$5,IF(ISNUMBER(SEARCH(Assumptions!$C$6,G1285)),Assumptions!$D$6,IF(ISNUMBER(SEARCH(Assumptions!$C$7,G1285)),Assumptions!$D$7,"Other Services"))),"Other Services"))</f>
        <v/>
      </c>
    </row>
    <row r="1286" customFormat="false" ht="15" hidden="false" customHeight="false" outlineLevel="0" collapsed="false">
      <c r="E1286" s="41" t="str">
        <f aca="false">IF(D1286="","",IFERROR(VLOOKUP(D1286,Assumptions!$G$5:$H$16,2,0),"Other"))</f>
        <v/>
      </c>
      <c r="J1286" s="41" t="str">
        <f aca="false">IF(G1286="","",IFERROR(IF(ISNUMBER(SEARCH(Assumptions!$C$5,G1286)),Assumptions!$D$5,IF(ISNUMBER(SEARCH(Assumptions!$C$6,G1286)),Assumptions!$D$6,IF(ISNUMBER(SEARCH(Assumptions!$C$7,G1286)),Assumptions!$D$7,"Other Services"))),"Other Services"))</f>
        <v/>
      </c>
    </row>
    <row r="1287" customFormat="false" ht="15" hidden="false" customHeight="false" outlineLevel="0" collapsed="false">
      <c r="E1287" s="41" t="str">
        <f aca="false">IF(D1287="","",IFERROR(VLOOKUP(D1287,Assumptions!$G$5:$H$16,2,0),"Other"))</f>
        <v/>
      </c>
      <c r="J1287" s="41" t="str">
        <f aca="false">IF(G1287="","",IFERROR(IF(ISNUMBER(SEARCH(Assumptions!$C$5,G1287)),Assumptions!$D$5,IF(ISNUMBER(SEARCH(Assumptions!$C$6,G1287)),Assumptions!$D$6,IF(ISNUMBER(SEARCH(Assumptions!$C$7,G1287)),Assumptions!$D$7,"Other Services"))),"Other Services"))</f>
        <v/>
      </c>
    </row>
    <row r="1288" customFormat="false" ht="15" hidden="false" customHeight="false" outlineLevel="0" collapsed="false">
      <c r="E1288" s="41" t="str">
        <f aca="false">IF(D1288="","",IFERROR(VLOOKUP(D1288,Assumptions!$G$5:$H$16,2,0),"Other"))</f>
        <v/>
      </c>
      <c r="J1288" s="41" t="str">
        <f aca="false">IF(G1288="","",IFERROR(IF(ISNUMBER(SEARCH(Assumptions!$C$5,G1288)),Assumptions!$D$5,IF(ISNUMBER(SEARCH(Assumptions!$C$6,G1288)),Assumptions!$D$6,IF(ISNUMBER(SEARCH(Assumptions!$C$7,G1288)),Assumptions!$D$7,"Other Services"))),"Other Services"))</f>
        <v/>
      </c>
    </row>
    <row r="1289" customFormat="false" ht="15" hidden="false" customHeight="false" outlineLevel="0" collapsed="false">
      <c r="E1289" s="41" t="str">
        <f aca="false">IF(D1289="","",IFERROR(VLOOKUP(D1289,Assumptions!$G$5:$H$16,2,0),"Other"))</f>
        <v/>
      </c>
      <c r="J1289" s="41" t="str">
        <f aca="false">IF(G1289="","",IFERROR(IF(ISNUMBER(SEARCH(Assumptions!$C$5,G1289)),Assumptions!$D$5,IF(ISNUMBER(SEARCH(Assumptions!$C$6,G1289)),Assumptions!$D$6,IF(ISNUMBER(SEARCH(Assumptions!$C$7,G1289)),Assumptions!$D$7,"Other Services"))),"Other Services"))</f>
        <v/>
      </c>
    </row>
    <row r="1290" customFormat="false" ht="15" hidden="false" customHeight="false" outlineLevel="0" collapsed="false">
      <c r="E1290" s="41" t="str">
        <f aca="false">IF(D1290="","",IFERROR(VLOOKUP(D1290,Assumptions!$G$5:$H$16,2,0),"Other"))</f>
        <v/>
      </c>
      <c r="J1290" s="41" t="str">
        <f aca="false">IF(G1290="","",IFERROR(IF(ISNUMBER(SEARCH(Assumptions!$C$5,G1290)),Assumptions!$D$5,IF(ISNUMBER(SEARCH(Assumptions!$C$6,G1290)),Assumptions!$D$6,IF(ISNUMBER(SEARCH(Assumptions!$C$7,G1290)),Assumptions!$D$7,"Other Services"))),"Other Services"))</f>
        <v/>
      </c>
    </row>
    <row r="1291" customFormat="false" ht="15" hidden="false" customHeight="false" outlineLevel="0" collapsed="false">
      <c r="E1291" s="41" t="str">
        <f aca="false">IF(D1291="","",IFERROR(VLOOKUP(D1291,Assumptions!$G$5:$H$16,2,0),"Other"))</f>
        <v/>
      </c>
      <c r="J1291" s="41" t="str">
        <f aca="false">IF(G1291="","",IFERROR(IF(ISNUMBER(SEARCH(Assumptions!$C$5,G1291)),Assumptions!$D$5,IF(ISNUMBER(SEARCH(Assumptions!$C$6,G1291)),Assumptions!$D$6,IF(ISNUMBER(SEARCH(Assumptions!$C$7,G1291)),Assumptions!$D$7,"Other Services"))),"Other Services"))</f>
        <v/>
      </c>
    </row>
    <row r="1292" customFormat="false" ht="15" hidden="false" customHeight="false" outlineLevel="0" collapsed="false">
      <c r="E1292" s="41" t="str">
        <f aca="false">IF(D1292="","",IFERROR(VLOOKUP(D1292,Assumptions!$G$5:$H$16,2,0),"Other"))</f>
        <v/>
      </c>
      <c r="J1292" s="41" t="str">
        <f aca="false">IF(G1292="","",IFERROR(IF(ISNUMBER(SEARCH(Assumptions!$C$5,G1292)),Assumptions!$D$5,IF(ISNUMBER(SEARCH(Assumptions!$C$6,G1292)),Assumptions!$D$6,IF(ISNUMBER(SEARCH(Assumptions!$C$7,G1292)),Assumptions!$D$7,"Other Services"))),"Other Services"))</f>
        <v/>
      </c>
    </row>
    <row r="1293" customFormat="false" ht="15" hidden="false" customHeight="false" outlineLevel="0" collapsed="false">
      <c r="E1293" s="41" t="str">
        <f aca="false">IF(D1293="","",IFERROR(VLOOKUP(D1293,Assumptions!$G$5:$H$16,2,0),"Other"))</f>
        <v/>
      </c>
      <c r="J1293" s="41" t="str">
        <f aca="false">IF(G1293="","",IFERROR(IF(ISNUMBER(SEARCH(Assumptions!$C$5,G1293)),Assumptions!$D$5,IF(ISNUMBER(SEARCH(Assumptions!$C$6,G1293)),Assumptions!$D$6,IF(ISNUMBER(SEARCH(Assumptions!$C$7,G1293)),Assumptions!$D$7,"Other Services"))),"Other Services"))</f>
        <v/>
      </c>
    </row>
    <row r="1294" customFormat="false" ht="15" hidden="false" customHeight="false" outlineLevel="0" collapsed="false">
      <c r="E1294" s="41" t="str">
        <f aca="false">IF(D1294="","",IFERROR(VLOOKUP(D1294,Assumptions!$G$5:$H$16,2,0),"Other"))</f>
        <v/>
      </c>
      <c r="J1294" s="41" t="str">
        <f aca="false">IF(G1294="","",IFERROR(IF(ISNUMBER(SEARCH(Assumptions!$C$5,G1294)),Assumptions!$D$5,IF(ISNUMBER(SEARCH(Assumptions!$C$6,G1294)),Assumptions!$D$6,IF(ISNUMBER(SEARCH(Assumptions!$C$7,G1294)),Assumptions!$D$7,"Other Services"))),"Other Services"))</f>
        <v/>
      </c>
    </row>
    <row r="1295" customFormat="false" ht="15" hidden="false" customHeight="false" outlineLevel="0" collapsed="false">
      <c r="E1295" s="41" t="str">
        <f aca="false">IF(D1295="","",IFERROR(VLOOKUP(D1295,Assumptions!$G$5:$H$16,2,0),"Other"))</f>
        <v/>
      </c>
      <c r="J1295" s="41" t="str">
        <f aca="false">IF(G1295="","",IFERROR(IF(ISNUMBER(SEARCH(Assumptions!$C$5,G1295)),Assumptions!$D$5,IF(ISNUMBER(SEARCH(Assumptions!$C$6,G1295)),Assumptions!$D$6,IF(ISNUMBER(SEARCH(Assumptions!$C$7,G1295)),Assumptions!$D$7,"Other Services"))),"Other Services"))</f>
        <v/>
      </c>
    </row>
    <row r="1296" customFormat="false" ht="15" hidden="false" customHeight="false" outlineLevel="0" collapsed="false">
      <c r="E1296" s="41" t="str">
        <f aca="false">IF(D1296="","",IFERROR(VLOOKUP(D1296,Assumptions!$G$5:$H$16,2,0),"Other"))</f>
        <v/>
      </c>
      <c r="J1296" s="41" t="str">
        <f aca="false">IF(G1296="","",IFERROR(IF(ISNUMBER(SEARCH(Assumptions!$C$5,G1296)),Assumptions!$D$5,IF(ISNUMBER(SEARCH(Assumptions!$C$6,G1296)),Assumptions!$D$6,IF(ISNUMBER(SEARCH(Assumptions!$C$7,G1296)),Assumptions!$D$7,"Other Services"))),"Other Services"))</f>
        <v/>
      </c>
    </row>
    <row r="1297" customFormat="false" ht="15" hidden="false" customHeight="false" outlineLevel="0" collapsed="false">
      <c r="E1297" s="41" t="str">
        <f aca="false">IF(D1297="","",IFERROR(VLOOKUP(D1297,Assumptions!$G$5:$H$16,2,0),"Other"))</f>
        <v/>
      </c>
      <c r="J1297" s="41" t="str">
        <f aca="false">IF(G1297="","",IFERROR(IF(ISNUMBER(SEARCH(Assumptions!$C$5,G1297)),Assumptions!$D$5,IF(ISNUMBER(SEARCH(Assumptions!$C$6,G1297)),Assumptions!$D$6,IF(ISNUMBER(SEARCH(Assumptions!$C$7,G1297)),Assumptions!$D$7,"Other Services"))),"Other Services"))</f>
        <v/>
      </c>
    </row>
    <row r="1298" customFormat="false" ht="15" hidden="false" customHeight="false" outlineLevel="0" collapsed="false">
      <c r="E1298" s="41" t="str">
        <f aca="false">IF(D1298="","",IFERROR(VLOOKUP(D1298,Assumptions!$G$5:$H$16,2,0),"Other"))</f>
        <v/>
      </c>
      <c r="J1298" s="41" t="str">
        <f aca="false">IF(G1298="","",IFERROR(IF(ISNUMBER(SEARCH(Assumptions!$C$5,G1298)),Assumptions!$D$5,IF(ISNUMBER(SEARCH(Assumptions!$C$6,G1298)),Assumptions!$D$6,IF(ISNUMBER(SEARCH(Assumptions!$C$7,G1298)),Assumptions!$D$7,"Other Services"))),"Other Services"))</f>
        <v/>
      </c>
    </row>
    <row r="1299" customFormat="false" ht="15" hidden="false" customHeight="false" outlineLevel="0" collapsed="false">
      <c r="E1299" s="41" t="str">
        <f aca="false">IF(D1299="","",IFERROR(VLOOKUP(D1299,Assumptions!$G$5:$H$16,2,0),"Other"))</f>
        <v/>
      </c>
      <c r="J1299" s="41" t="str">
        <f aca="false">IF(G1299="","",IFERROR(IF(ISNUMBER(SEARCH(Assumptions!$C$5,G1299)),Assumptions!$D$5,IF(ISNUMBER(SEARCH(Assumptions!$C$6,G1299)),Assumptions!$D$6,IF(ISNUMBER(SEARCH(Assumptions!$C$7,G1299)),Assumptions!$D$7,"Other Services"))),"Other Services"))</f>
        <v/>
      </c>
    </row>
    <row r="1300" customFormat="false" ht="15" hidden="false" customHeight="false" outlineLevel="0" collapsed="false">
      <c r="E1300" s="41" t="str">
        <f aca="false">IF(D1300="","",IFERROR(VLOOKUP(D1300,Assumptions!$G$5:$H$16,2,0),"Other"))</f>
        <v/>
      </c>
      <c r="J1300" s="41" t="str">
        <f aca="false">IF(G1300="","",IFERROR(IF(ISNUMBER(SEARCH(Assumptions!$C$5,G1300)),Assumptions!$D$5,IF(ISNUMBER(SEARCH(Assumptions!$C$6,G1300)),Assumptions!$D$6,IF(ISNUMBER(SEARCH(Assumptions!$C$7,G1300)),Assumptions!$D$7,"Other Services"))),"Other Services"))</f>
        <v/>
      </c>
    </row>
    <row r="1301" customFormat="false" ht="15" hidden="false" customHeight="false" outlineLevel="0" collapsed="false">
      <c r="E1301" s="41" t="str">
        <f aca="false">IF(D1301="","",IFERROR(VLOOKUP(D1301,Assumptions!$G$5:$H$16,2,0),"Other"))</f>
        <v/>
      </c>
      <c r="J1301" s="41" t="str">
        <f aca="false">IF(G1301="","",IFERROR(IF(ISNUMBER(SEARCH(Assumptions!$C$5,G1301)),Assumptions!$D$5,IF(ISNUMBER(SEARCH(Assumptions!$C$6,G1301)),Assumptions!$D$6,IF(ISNUMBER(SEARCH(Assumptions!$C$7,G1301)),Assumptions!$D$7,"Other Services"))),"Other Services"))</f>
        <v/>
      </c>
    </row>
    <row r="1302" customFormat="false" ht="15" hidden="false" customHeight="false" outlineLevel="0" collapsed="false">
      <c r="E1302" s="41" t="str">
        <f aca="false">IF(D1302="","",IFERROR(VLOOKUP(D1302,Assumptions!$G$5:$H$16,2,0),"Other"))</f>
        <v/>
      </c>
      <c r="J1302" s="41" t="str">
        <f aca="false">IF(G1302="","",IFERROR(IF(ISNUMBER(SEARCH(Assumptions!$C$5,G1302)),Assumptions!$D$5,IF(ISNUMBER(SEARCH(Assumptions!$C$6,G1302)),Assumptions!$D$6,IF(ISNUMBER(SEARCH(Assumptions!$C$7,G1302)),Assumptions!$D$7,"Other Services"))),"Other Services"))</f>
        <v/>
      </c>
    </row>
    <row r="1303" customFormat="false" ht="15" hidden="false" customHeight="false" outlineLevel="0" collapsed="false">
      <c r="E1303" s="41" t="str">
        <f aca="false">IF(D1303="","",IFERROR(VLOOKUP(D1303,Assumptions!$G$5:$H$16,2,0),"Other"))</f>
        <v/>
      </c>
      <c r="J1303" s="41" t="str">
        <f aca="false">IF(G1303="","",IFERROR(IF(ISNUMBER(SEARCH(Assumptions!$C$5,G1303)),Assumptions!$D$5,IF(ISNUMBER(SEARCH(Assumptions!$C$6,G1303)),Assumptions!$D$6,IF(ISNUMBER(SEARCH(Assumptions!$C$7,G1303)),Assumptions!$D$7,"Other Services"))),"Other Services"))</f>
        <v/>
      </c>
    </row>
    <row r="1304" customFormat="false" ht="15" hidden="false" customHeight="false" outlineLevel="0" collapsed="false">
      <c r="E1304" s="41" t="str">
        <f aca="false">IF(D1304="","",IFERROR(VLOOKUP(D1304,Assumptions!$G$5:$H$16,2,0),"Other"))</f>
        <v/>
      </c>
      <c r="J1304" s="41" t="str">
        <f aca="false">IF(G1304="","",IFERROR(IF(ISNUMBER(SEARCH(Assumptions!$C$5,G1304)),Assumptions!$D$5,IF(ISNUMBER(SEARCH(Assumptions!$C$6,G1304)),Assumptions!$D$6,IF(ISNUMBER(SEARCH(Assumptions!$C$7,G1304)),Assumptions!$D$7,"Other Services"))),"Other Services"))</f>
        <v/>
      </c>
    </row>
    <row r="1305" customFormat="false" ht="15" hidden="false" customHeight="false" outlineLevel="0" collapsed="false">
      <c r="E1305" s="41" t="str">
        <f aca="false">IF(D1305="","",IFERROR(VLOOKUP(D1305,Assumptions!$G$5:$H$16,2,0),"Other"))</f>
        <v/>
      </c>
      <c r="J1305" s="41" t="str">
        <f aca="false">IF(G1305="","",IFERROR(IF(ISNUMBER(SEARCH(Assumptions!$C$5,G1305)),Assumptions!$D$5,IF(ISNUMBER(SEARCH(Assumptions!$C$6,G1305)),Assumptions!$D$6,IF(ISNUMBER(SEARCH(Assumptions!$C$7,G1305)),Assumptions!$D$7,"Other Services"))),"Other Services"))</f>
        <v/>
      </c>
    </row>
    <row r="1306" customFormat="false" ht="15" hidden="false" customHeight="false" outlineLevel="0" collapsed="false">
      <c r="E1306" s="41" t="str">
        <f aca="false">IF(D1306="","",IFERROR(VLOOKUP(D1306,Assumptions!$G$5:$H$16,2,0),"Other"))</f>
        <v/>
      </c>
      <c r="J1306" s="41" t="str">
        <f aca="false">IF(G1306="","",IFERROR(IF(ISNUMBER(SEARCH(Assumptions!$C$5,G1306)),Assumptions!$D$5,IF(ISNUMBER(SEARCH(Assumptions!$C$6,G1306)),Assumptions!$D$6,IF(ISNUMBER(SEARCH(Assumptions!$C$7,G1306)),Assumptions!$D$7,"Other Services"))),"Other Services"))</f>
        <v/>
      </c>
    </row>
    <row r="1307" customFormat="false" ht="15" hidden="false" customHeight="false" outlineLevel="0" collapsed="false">
      <c r="E1307" s="41" t="str">
        <f aca="false">IF(D1307="","",IFERROR(VLOOKUP(D1307,Assumptions!$G$5:$H$16,2,0),"Other"))</f>
        <v/>
      </c>
      <c r="J1307" s="41" t="str">
        <f aca="false">IF(G1307="","",IFERROR(IF(ISNUMBER(SEARCH(Assumptions!$C$5,G1307)),Assumptions!$D$5,IF(ISNUMBER(SEARCH(Assumptions!$C$6,G1307)),Assumptions!$D$6,IF(ISNUMBER(SEARCH(Assumptions!$C$7,G1307)),Assumptions!$D$7,"Other Services"))),"Other Services"))</f>
        <v/>
      </c>
    </row>
    <row r="1308" customFormat="false" ht="15" hidden="false" customHeight="false" outlineLevel="0" collapsed="false">
      <c r="E1308" s="41" t="str">
        <f aca="false">IF(D1308="","",IFERROR(VLOOKUP(D1308,Assumptions!$G$5:$H$16,2,0),"Other"))</f>
        <v/>
      </c>
      <c r="J1308" s="41" t="str">
        <f aca="false">IF(G1308="","",IFERROR(IF(ISNUMBER(SEARCH(Assumptions!$C$5,G1308)),Assumptions!$D$5,IF(ISNUMBER(SEARCH(Assumptions!$C$6,G1308)),Assumptions!$D$6,IF(ISNUMBER(SEARCH(Assumptions!$C$7,G1308)),Assumptions!$D$7,"Other Services"))),"Other Services"))</f>
        <v/>
      </c>
    </row>
    <row r="1309" customFormat="false" ht="15" hidden="false" customHeight="false" outlineLevel="0" collapsed="false">
      <c r="E1309" s="41" t="str">
        <f aca="false">IF(D1309="","",IFERROR(VLOOKUP(D1309,Assumptions!$G$5:$H$16,2,0),"Other"))</f>
        <v/>
      </c>
      <c r="J1309" s="41" t="str">
        <f aca="false">IF(G1309="","",IFERROR(IF(ISNUMBER(SEARCH(Assumptions!$C$5,G1309)),Assumptions!$D$5,IF(ISNUMBER(SEARCH(Assumptions!$C$6,G1309)),Assumptions!$D$6,IF(ISNUMBER(SEARCH(Assumptions!$C$7,G1309)),Assumptions!$D$7,"Other Services"))),"Other Services"))</f>
        <v/>
      </c>
    </row>
    <row r="1310" customFormat="false" ht="15" hidden="false" customHeight="false" outlineLevel="0" collapsed="false">
      <c r="E1310" s="41" t="str">
        <f aca="false">IF(D1310="","",IFERROR(VLOOKUP(D1310,Assumptions!$G$5:$H$16,2,0),"Other"))</f>
        <v/>
      </c>
      <c r="J1310" s="41" t="str">
        <f aca="false">IF(G1310="","",IFERROR(IF(ISNUMBER(SEARCH(Assumptions!$C$5,G1310)),Assumptions!$D$5,IF(ISNUMBER(SEARCH(Assumptions!$C$6,G1310)),Assumptions!$D$6,IF(ISNUMBER(SEARCH(Assumptions!$C$7,G1310)),Assumptions!$D$7,"Other Services"))),"Other Services"))</f>
        <v/>
      </c>
    </row>
    <row r="1311" customFormat="false" ht="15" hidden="false" customHeight="false" outlineLevel="0" collapsed="false">
      <c r="E1311" s="41" t="str">
        <f aca="false">IF(D1311="","",IFERROR(VLOOKUP(D1311,Assumptions!$G$5:$H$16,2,0),"Other"))</f>
        <v/>
      </c>
      <c r="J1311" s="41" t="str">
        <f aca="false">IF(G1311="","",IFERROR(IF(ISNUMBER(SEARCH(Assumptions!$C$5,G1311)),Assumptions!$D$5,IF(ISNUMBER(SEARCH(Assumptions!$C$6,G1311)),Assumptions!$D$6,IF(ISNUMBER(SEARCH(Assumptions!$C$7,G1311)),Assumptions!$D$7,"Other Services"))),"Other Services"))</f>
        <v/>
      </c>
    </row>
    <row r="1312" customFormat="false" ht="15" hidden="false" customHeight="false" outlineLevel="0" collapsed="false">
      <c r="E1312" s="41" t="str">
        <f aca="false">IF(D1312="","",IFERROR(VLOOKUP(D1312,Assumptions!$G$5:$H$16,2,0),"Other"))</f>
        <v/>
      </c>
      <c r="J1312" s="41" t="str">
        <f aca="false">IF(G1312="","",IFERROR(IF(ISNUMBER(SEARCH(Assumptions!$C$5,G1312)),Assumptions!$D$5,IF(ISNUMBER(SEARCH(Assumptions!$C$6,G1312)),Assumptions!$D$6,IF(ISNUMBER(SEARCH(Assumptions!$C$7,G1312)),Assumptions!$D$7,"Other Services"))),"Other Services"))</f>
        <v/>
      </c>
    </row>
    <row r="1313" customFormat="false" ht="15" hidden="false" customHeight="false" outlineLevel="0" collapsed="false">
      <c r="E1313" s="41" t="str">
        <f aca="false">IF(D1313="","",IFERROR(VLOOKUP(D1313,Assumptions!$G$5:$H$16,2,0),"Other"))</f>
        <v/>
      </c>
      <c r="J1313" s="41" t="str">
        <f aca="false">IF(G1313="","",IFERROR(IF(ISNUMBER(SEARCH(Assumptions!$C$5,G1313)),Assumptions!$D$5,IF(ISNUMBER(SEARCH(Assumptions!$C$6,G1313)),Assumptions!$D$6,IF(ISNUMBER(SEARCH(Assumptions!$C$7,G1313)),Assumptions!$D$7,"Other Services"))),"Other Services"))</f>
        <v/>
      </c>
    </row>
    <row r="1314" customFormat="false" ht="15" hidden="false" customHeight="false" outlineLevel="0" collapsed="false">
      <c r="E1314" s="41" t="str">
        <f aca="false">IF(D1314="","",IFERROR(VLOOKUP(D1314,Assumptions!$G$5:$H$16,2,0),"Other"))</f>
        <v/>
      </c>
      <c r="J1314" s="41" t="str">
        <f aca="false">IF(G1314="","",IFERROR(IF(ISNUMBER(SEARCH(Assumptions!$C$5,G1314)),Assumptions!$D$5,IF(ISNUMBER(SEARCH(Assumptions!$C$6,G1314)),Assumptions!$D$6,IF(ISNUMBER(SEARCH(Assumptions!$C$7,G1314)),Assumptions!$D$7,"Other Services"))),"Other Services"))</f>
        <v/>
      </c>
    </row>
    <row r="1315" customFormat="false" ht="15" hidden="false" customHeight="false" outlineLevel="0" collapsed="false">
      <c r="E1315" s="41" t="str">
        <f aca="false">IF(D1315="","",IFERROR(VLOOKUP(D1315,Assumptions!$G$5:$H$16,2,0),"Other"))</f>
        <v/>
      </c>
      <c r="J1315" s="41" t="str">
        <f aca="false">IF(G1315="","",IFERROR(IF(ISNUMBER(SEARCH(Assumptions!$C$5,G1315)),Assumptions!$D$5,IF(ISNUMBER(SEARCH(Assumptions!$C$6,G1315)),Assumptions!$D$6,IF(ISNUMBER(SEARCH(Assumptions!$C$7,G1315)),Assumptions!$D$7,"Other Services"))),"Other Services"))</f>
        <v/>
      </c>
    </row>
    <row r="1316" customFormat="false" ht="15" hidden="false" customHeight="false" outlineLevel="0" collapsed="false">
      <c r="E1316" s="41" t="str">
        <f aca="false">IF(D1316="","",IFERROR(VLOOKUP(D1316,Assumptions!$G$5:$H$16,2,0),"Other"))</f>
        <v/>
      </c>
      <c r="J1316" s="41" t="str">
        <f aca="false">IF(G1316="","",IFERROR(IF(ISNUMBER(SEARCH(Assumptions!$C$5,G1316)),Assumptions!$D$5,IF(ISNUMBER(SEARCH(Assumptions!$C$6,G1316)),Assumptions!$D$6,IF(ISNUMBER(SEARCH(Assumptions!$C$7,G1316)),Assumptions!$D$7,"Other Services"))),"Other Services"))</f>
        <v/>
      </c>
    </row>
    <row r="1317" customFormat="false" ht="15" hidden="false" customHeight="false" outlineLevel="0" collapsed="false">
      <c r="E1317" s="41" t="str">
        <f aca="false">IF(D1317="","",IFERROR(VLOOKUP(D1317,Assumptions!$G$5:$H$16,2,0),"Other"))</f>
        <v/>
      </c>
      <c r="J1317" s="41" t="str">
        <f aca="false">IF(G1317="","",IFERROR(IF(ISNUMBER(SEARCH(Assumptions!$C$5,G1317)),Assumptions!$D$5,IF(ISNUMBER(SEARCH(Assumptions!$C$6,G1317)),Assumptions!$D$6,IF(ISNUMBER(SEARCH(Assumptions!$C$7,G1317)),Assumptions!$D$7,"Other Services"))),"Other Services"))</f>
        <v/>
      </c>
    </row>
    <row r="1318" customFormat="false" ht="15" hidden="false" customHeight="false" outlineLevel="0" collapsed="false">
      <c r="E1318" s="41" t="str">
        <f aca="false">IF(D1318="","",IFERROR(VLOOKUP(D1318,Assumptions!$G$5:$H$16,2,0),"Other"))</f>
        <v/>
      </c>
      <c r="J1318" s="41" t="str">
        <f aca="false">IF(G1318="","",IFERROR(IF(ISNUMBER(SEARCH(Assumptions!$C$5,G1318)),Assumptions!$D$5,IF(ISNUMBER(SEARCH(Assumptions!$C$6,G1318)),Assumptions!$D$6,IF(ISNUMBER(SEARCH(Assumptions!$C$7,G1318)),Assumptions!$D$7,"Other Services"))),"Other Services"))</f>
        <v/>
      </c>
    </row>
    <row r="1319" customFormat="false" ht="15" hidden="false" customHeight="false" outlineLevel="0" collapsed="false">
      <c r="E1319" s="41" t="str">
        <f aca="false">IF(D1319="","",IFERROR(VLOOKUP(D1319,Assumptions!$G$5:$H$16,2,0),"Other"))</f>
        <v/>
      </c>
      <c r="J1319" s="41" t="str">
        <f aca="false">IF(G1319="","",IFERROR(IF(ISNUMBER(SEARCH(Assumptions!$C$5,G1319)),Assumptions!$D$5,IF(ISNUMBER(SEARCH(Assumptions!$C$6,G1319)),Assumptions!$D$6,IF(ISNUMBER(SEARCH(Assumptions!$C$7,G1319)),Assumptions!$D$7,"Other Services"))),"Other Services"))</f>
        <v/>
      </c>
    </row>
    <row r="1320" customFormat="false" ht="15" hidden="false" customHeight="false" outlineLevel="0" collapsed="false">
      <c r="E1320" s="41" t="str">
        <f aca="false">IF(D1320="","",IFERROR(VLOOKUP(D1320,Assumptions!$G$5:$H$16,2,0),"Other"))</f>
        <v/>
      </c>
      <c r="J1320" s="41" t="str">
        <f aca="false">IF(G1320="","",IFERROR(IF(ISNUMBER(SEARCH(Assumptions!$C$5,G1320)),Assumptions!$D$5,IF(ISNUMBER(SEARCH(Assumptions!$C$6,G1320)),Assumptions!$D$6,IF(ISNUMBER(SEARCH(Assumptions!$C$7,G1320)),Assumptions!$D$7,"Other Services"))),"Other Services"))</f>
        <v/>
      </c>
    </row>
    <row r="1321" customFormat="false" ht="15" hidden="false" customHeight="false" outlineLevel="0" collapsed="false">
      <c r="E1321" s="41" t="str">
        <f aca="false">IF(D1321="","",IFERROR(VLOOKUP(D1321,Assumptions!$G$5:$H$16,2,0),"Other"))</f>
        <v/>
      </c>
      <c r="J1321" s="41" t="str">
        <f aca="false">IF(G1321="","",IFERROR(IF(ISNUMBER(SEARCH(Assumptions!$C$5,G1321)),Assumptions!$D$5,IF(ISNUMBER(SEARCH(Assumptions!$C$6,G1321)),Assumptions!$D$6,IF(ISNUMBER(SEARCH(Assumptions!$C$7,G1321)),Assumptions!$D$7,"Other Services"))),"Other Services"))</f>
        <v/>
      </c>
    </row>
    <row r="1322" customFormat="false" ht="15" hidden="false" customHeight="false" outlineLevel="0" collapsed="false">
      <c r="E1322" s="41" t="str">
        <f aca="false">IF(D1322="","",IFERROR(VLOOKUP(D1322,Assumptions!$G$5:$H$16,2,0),"Other"))</f>
        <v/>
      </c>
      <c r="J1322" s="41" t="str">
        <f aca="false">IF(G1322="","",IFERROR(IF(ISNUMBER(SEARCH(Assumptions!$C$5,G1322)),Assumptions!$D$5,IF(ISNUMBER(SEARCH(Assumptions!$C$6,G1322)),Assumptions!$D$6,IF(ISNUMBER(SEARCH(Assumptions!$C$7,G1322)),Assumptions!$D$7,"Other Services"))),"Other Services"))</f>
        <v/>
      </c>
    </row>
    <row r="1323" customFormat="false" ht="15" hidden="false" customHeight="false" outlineLevel="0" collapsed="false">
      <c r="E1323" s="41" t="str">
        <f aca="false">IF(D1323="","",IFERROR(VLOOKUP(D1323,Assumptions!$G$5:$H$16,2,0),"Other"))</f>
        <v/>
      </c>
      <c r="J1323" s="41" t="str">
        <f aca="false">IF(G1323="","",IFERROR(IF(ISNUMBER(SEARCH(Assumptions!$C$5,G1323)),Assumptions!$D$5,IF(ISNUMBER(SEARCH(Assumptions!$C$6,G1323)),Assumptions!$D$6,IF(ISNUMBER(SEARCH(Assumptions!$C$7,G1323)),Assumptions!$D$7,"Other Services"))),"Other Services"))</f>
        <v/>
      </c>
    </row>
    <row r="1324" customFormat="false" ht="15" hidden="false" customHeight="false" outlineLevel="0" collapsed="false">
      <c r="E1324" s="41" t="str">
        <f aca="false">IF(D1324="","",IFERROR(VLOOKUP(D1324,Assumptions!$G$5:$H$16,2,0),"Other"))</f>
        <v/>
      </c>
      <c r="J1324" s="41" t="str">
        <f aca="false">IF(G1324="","",IFERROR(IF(ISNUMBER(SEARCH(Assumptions!$C$5,G1324)),Assumptions!$D$5,IF(ISNUMBER(SEARCH(Assumptions!$C$6,G1324)),Assumptions!$D$6,IF(ISNUMBER(SEARCH(Assumptions!$C$7,G1324)),Assumptions!$D$7,"Other Services"))),"Other Services"))</f>
        <v/>
      </c>
    </row>
    <row r="1325" customFormat="false" ht="15" hidden="false" customHeight="false" outlineLevel="0" collapsed="false">
      <c r="E1325" s="41" t="str">
        <f aca="false">IF(D1325="","",IFERROR(VLOOKUP(D1325,Assumptions!$G$5:$H$16,2,0),"Other"))</f>
        <v/>
      </c>
      <c r="J1325" s="41" t="str">
        <f aca="false">IF(G1325="","",IFERROR(IF(ISNUMBER(SEARCH(Assumptions!$C$5,G1325)),Assumptions!$D$5,IF(ISNUMBER(SEARCH(Assumptions!$C$6,G1325)),Assumptions!$D$6,IF(ISNUMBER(SEARCH(Assumptions!$C$7,G1325)),Assumptions!$D$7,"Other Services"))),"Other Services"))</f>
        <v/>
      </c>
    </row>
    <row r="1326" customFormat="false" ht="15" hidden="false" customHeight="false" outlineLevel="0" collapsed="false">
      <c r="E1326" s="41" t="str">
        <f aca="false">IF(D1326="","",IFERROR(VLOOKUP(D1326,Assumptions!$G$5:$H$16,2,0),"Other"))</f>
        <v/>
      </c>
      <c r="J1326" s="41" t="str">
        <f aca="false">IF(G1326="","",IFERROR(IF(ISNUMBER(SEARCH(Assumptions!$C$5,G1326)),Assumptions!$D$5,IF(ISNUMBER(SEARCH(Assumptions!$C$6,G1326)),Assumptions!$D$6,IF(ISNUMBER(SEARCH(Assumptions!$C$7,G1326)),Assumptions!$D$7,"Other Services"))),"Other Services"))</f>
        <v/>
      </c>
    </row>
    <row r="1327" customFormat="false" ht="15" hidden="false" customHeight="false" outlineLevel="0" collapsed="false">
      <c r="E1327" s="41" t="str">
        <f aca="false">IF(D1327="","",IFERROR(VLOOKUP(D1327,Assumptions!$G$5:$H$16,2,0),"Other"))</f>
        <v/>
      </c>
      <c r="J1327" s="41" t="str">
        <f aca="false">IF(G1327="","",IFERROR(IF(ISNUMBER(SEARCH(Assumptions!$C$5,G1327)),Assumptions!$D$5,IF(ISNUMBER(SEARCH(Assumptions!$C$6,G1327)),Assumptions!$D$6,IF(ISNUMBER(SEARCH(Assumptions!$C$7,G1327)),Assumptions!$D$7,"Other Services"))),"Other Services"))</f>
        <v/>
      </c>
    </row>
    <row r="1328" customFormat="false" ht="15" hidden="false" customHeight="false" outlineLevel="0" collapsed="false">
      <c r="E1328" s="41" t="str">
        <f aca="false">IF(D1328="","",IFERROR(VLOOKUP(D1328,Assumptions!$G$5:$H$16,2,0),"Other"))</f>
        <v/>
      </c>
      <c r="J1328" s="41" t="str">
        <f aca="false">IF(G1328="","",IFERROR(IF(ISNUMBER(SEARCH(Assumptions!$C$5,G1328)),Assumptions!$D$5,IF(ISNUMBER(SEARCH(Assumptions!$C$6,G1328)),Assumptions!$D$6,IF(ISNUMBER(SEARCH(Assumptions!$C$7,G1328)),Assumptions!$D$7,"Other Services"))),"Other Services"))</f>
        <v/>
      </c>
    </row>
    <row r="1329" customFormat="false" ht="15" hidden="false" customHeight="false" outlineLevel="0" collapsed="false">
      <c r="E1329" s="41" t="str">
        <f aca="false">IF(D1329="","",IFERROR(VLOOKUP(D1329,Assumptions!$G$5:$H$16,2,0),"Other"))</f>
        <v/>
      </c>
      <c r="J1329" s="41" t="str">
        <f aca="false">IF(G1329="","",IFERROR(IF(ISNUMBER(SEARCH(Assumptions!$C$5,G1329)),Assumptions!$D$5,IF(ISNUMBER(SEARCH(Assumptions!$C$6,G1329)),Assumptions!$D$6,IF(ISNUMBER(SEARCH(Assumptions!$C$7,G1329)),Assumptions!$D$7,"Other Services"))),"Other Services"))</f>
        <v/>
      </c>
    </row>
    <row r="1330" customFormat="false" ht="15" hidden="false" customHeight="false" outlineLevel="0" collapsed="false">
      <c r="E1330" s="41" t="str">
        <f aca="false">IF(D1330="","",IFERROR(VLOOKUP(D1330,Assumptions!$G$5:$H$16,2,0),"Other"))</f>
        <v/>
      </c>
      <c r="J1330" s="41" t="str">
        <f aca="false">IF(G1330="","",IFERROR(IF(ISNUMBER(SEARCH(Assumptions!$C$5,G1330)),Assumptions!$D$5,IF(ISNUMBER(SEARCH(Assumptions!$C$6,G1330)),Assumptions!$D$6,IF(ISNUMBER(SEARCH(Assumptions!$C$7,G1330)),Assumptions!$D$7,"Other Services"))),"Other Services"))</f>
        <v/>
      </c>
    </row>
    <row r="1331" customFormat="false" ht="15" hidden="false" customHeight="false" outlineLevel="0" collapsed="false">
      <c r="E1331" s="41" t="str">
        <f aca="false">IF(D1331="","",IFERROR(VLOOKUP(D1331,Assumptions!$G$5:$H$16,2,0),"Other"))</f>
        <v/>
      </c>
      <c r="J1331" s="41" t="str">
        <f aca="false">IF(G1331="","",IFERROR(IF(ISNUMBER(SEARCH(Assumptions!$C$5,G1331)),Assumptions!$D$5,IF(ISNUMBER(SEARCH(Assumptions!$C$6,G1331)),Assumptions!$D$6,IF(ISNUMBER(SEARCH(Assumptions!$C$7,G1331)),Assumptions!$D$7,"Other Services"))),"Other Services"))</f>
        <v/>
      </c>
    </row>
    <row r="1332" customFormat="false" ht="15" hidden="false" customHeight="false" outlineLevel="0" collapsed="false">
      <c r="E1332" s="41" t="str">
        <f aca="false">IF(D1332="","",IFERROR(VLOOKUP(D1332,Assumptions!$G$5:$H$16,2,0),"Other"))</f>
        <v/>
      </c>
      <c r="J1332" s="41" t="str">
        <f aca="false">IF(G1332="","",IFERROR(IF(ISNUMBER(SEARCH(Assumptions!$C$5,G1332)),Assumptions!$D$5,IF(ISNUMBER(SEARCH(Assumptions!$C$6,G1332)),Assumptions!$D$6,IF(ISNUMBER(SEARCH(Assumptions!$C$7,G1332)),Assumptions!$D$7,"Other Services"))),"Other Services"))</f>
        <v/>
      </c>
    </row>
    <row r="1333" customFormat="false" ht="15" hidden="false" customHeight="false" outlineLevel="0" collapsed="false">
      <c r="E1333" s="41" t="str">
        <f aca="false">IF(D1333="","",IFERROR(VLOOKUP(D1333,Assumptions!$G$5:$H$16,2,0),"Other"))</f>
        <v/>
      </c>
      <c r="J1333" s="41" t="str">
        <f aca="false">IF(G1333="","",IFERROR(IF(ISNUMBER(SEARCH(Assumptions!$C$5,G1333)),Assumptions!$D$5,IF(ISNUMBER(SEARCH(Assumptions!$C$6,G1333)),Assumptions!$D$6,IF(ISNUMBER(SEARCH(Assumptions!$C$7,G1333)),Assumptions!$D$7,"Other Services"))),"Other Services"))</f>
        <v/>
      </c>
    </row>
    <row r="1334" customFormat="false" ht="15" hidden="false" customHeight="false" outlineLevel="0" collapsed="false">
      <c r="E1334" s="41" t="str">
        <f aca="false">IF(D1334="","",IFERROR(VLOOKUP(D1334,Assumptions!$G$5:$H$16,2,0),"Other"))</f>
        <v/>
      </c>
      <c r="J1334" s="41" t="str">
        <f aca="false">IF(G1334="","",IFERROR(IF(ISNUMBER(SEARCH(Assumptions!$C$5,G1334)),Assumptions!$D$5,IF(ISNUMBER(SEARCH(Assumptions!$C$6,G1334)),Assumptions!$D$6,IF(ISNUMBER(SEARCH(Assumptions!$C$7,G1334)),Assumptions!$D$7,"Other Services"))),"Other Services"))</f>
        <v/>
      </c>
    </row>
    <row r="1335" customFormat="false" ht="15" hidden="false" customHeight="false" outlineLevel="0" collapsed="false">
      <c r="E1335" s="41" t="str">
        <f aca="false">IF(D1335="","",IFERROR(VLOOKUP(D1335,Assumptions!$G$5:$H$16,2,0),"Other"))</f>
        <v/>
      </c>
      <c r="J1335" s="41" t="str">
        <f aca="false">IF(G1335="","",IFERROR(IF(ISNUMBER(SEARCH(Assumptions!$C$5,G1335)),Assumptions!$D$5,IF(ISNUMBER(SEARCH(Assumptions!$C$6,G1335)),Assumptions!$D$6,IF(ISNUMBER(SEARCH(Assumptions!$C$7,G1335)),Assumptions!$D$7,"Other Services"))),"Other Services"))</f>
        <v/>
      </c>
    </row>
    <row r="1336" customFormat="false" ht="15" hidden="false" customHeight="false" outlineLevel="0" collapsed="false">
      <c r="E1336" s="41" t="str">
        <f aca="false">IF(D1336="","",IFERROR(VLOOKUP(D1336,Assumptions!$G$5:$H$16,2,0),"Other"))</f>
        <v/>
      </c>
      <c r="J1336" s="41" t="str">
        <f aca="false">IF(G1336="","",IFERROR(IF(ISNUMBER(SEARCH(Assumptions!$C$5,G1336)),Assumptions!$D$5,IF(ISNUMBER(SEARCH(Assumptions!$C$6,G1336)),Assumptions!$D$6,IF(ISNUMBER(SEARCH(Assumptions!$C$7,G1336)),Assumptions!$D$7,"Other Services"))),"Other Services"))</f>
        <v/>
      </c>
    </row>
    <row r="1337" customFormat="false" ht="15" hidden="false" customHeight="false" outlineLevel="0" collapsed="false">
      <c r="E1337" s="41" t="str">
        <f aca="false">IF(D1337="","",IFERROR(VLOOKUP(D1337,Assumptions!$G$5:$H$16,2,0),"Other"))</f>
        <v/>
      </c>
      <c r="J1337" s="41" t="str">
        <f aca="false">IF(G1337="","",IFERROR(IF(ISNUMBER(SEARCH(Assumptions!$C$5,G1337)),Assumptions!$D$5,IF(ISNUMBER(SEARCH(Assumptions!$C$6,G1337)),Assumptions!$D$6,IF(ISNUMBER(SEARCH(Assumptions!$C$7,G1337)),Assumptions!$D$7,"Other Services"))),"Other Services"))</f>
        <v/>
      </c>
    </row>
    <row r="1338" customFormat="false" ht="15" hidden="false" customHeight="false" outlineLevel="0" collapsed="false">
      <c r="E1338" s="41" t="str">
        <f aca="false">IF(D1338="","",IFERROR(VLOOKUP(D1338,Assumptions!$G$5:$H$16,2,0),"Other"))</f>
        <v/>
      </c>
      <c r="J1338" s="41" t="str">
        <f aca="false">IF(G1338="","",IFERROR(IF(ISNUMBER(SEARCH(Assumptions!$C$5,G1338)),Assumptions!$D$5,IF(ISNUMBER(SEARCH(Assumptions!$C$6,G1338)),Assumptions!$D$6,IF(ISNUMBER(SEARCH(Assumptions!$C$7,G1338)),Assumptions!$D$7,"Other Services"))),"Other Services"))</f>
        <v/>
      </c>
    </row>
    <row r="1339" customFormat="false" ht="15" hidden="false" customHeight="false" outlineLevel="0" collapsed="false">
      <c r="E1339" s="41" t="str">
        <f aca="false">IF(D1339="","",IFERROR(VLOOKUP(D1339,Assumptions!$G$5:$H$16,2,0),"Other"))</f>
        <v/>
      </c>
      <c r="J1339" s="41" t="str">
        <f aca="false">IF(G1339="","",IFERROR(IF(ISNUMBER(SEARCH(Assumptions!$C$5,G1339)),Assumptions!$D$5,IF(ISNUMBER(SEARCH(Assumptions!$C$6,G1339)),Assumptions!$D$6,IF(ISNUMBER(SEARCH(Assumptions!$C$7,G1339)),Assumptions!$D$7,"Other Services"))),"Other Services"))</f>
        <v/>
      </c>
    </row>
    <row r="1340" customFormat="false" ht="15" hidden="false" customHeight="false" outlineLevel="0" collapsed="false">
      <c r="E1340" s="41" t="str">
        <f aca="false">IF(D1340="","",IFERROR(VLOOKUP(D1340,Assumptions!$G$5:$H$16,2,0),"Other"))</f>
        <v/>
      </c>
      <c r="J1340" s="41" t="str">
        <f aca="false">IF(G1340="","",IFERROR(IF(ISNUMBER(SEARCH(Assumptions!$C$5,G1340)),Assumptions!$D$5,IF(ISNUMBER(SEARCH(Assumptions!$C$6,G1340)),Assumptions!$D$6,IF(ISNUMBER(SEARCH(Assumptions!$C$7,G1340)),Assumptions!$D$7,"Other Services"))),"Other Services"))</f>
        <v/>
      </c>
    </row>
    <row r="1341" customFormat="false" ht="15" hidden="false" customHeight="false" outlineLevel="0" collapsed="false">
      <c r="E1341" s="41" t="str">
        <f aca="false">IF(D1341="","",IFERROR(VLOOKUP(D1341,Assumptions!$G$5:$H$16,2,0),"Other"))</f>
        <v/>
      </c>
      <c r="J1341" s="41" t="str">
        <f aca="false">IF(G1341="","",IFERROR(IF(ISNUMBER(SEARCH(Assumptions!$C$5,G1341)),Assumptions!$D$5,IF(ISNUMBER(SEARCH(Assumptions!$C$6,G1341)),Assumptions!$D$6,IF(ISNUMBER(SEARCH(Assumptions!$C$7,G1341)),Assumptions!$D$7,"Other Services"))),"Other Services"))</f>
        <v/>
      </c>
    </row>
    <row r="1342" customFormat="false" ht="15" hidden="false" customHeight="false" outlineLevel="0" collapsed="false">
      <c r="E1342" s="41" t="str">
        <f aca="false">IF(D1342="","",IFERROR(VLOOKUP(D1342,Assumptions!$G$5:$H$16,2,0),"Other"))</f>
        <v/>
      </c>
      <c r="J1342" s="41" t="str">
        <f aca="false">IF(G1342="","",IFERROR(IF(ISNUMBER(SEARCH(Assumptions!$C$5,G1342)),Assumptions!$D$5,IF(ISNUMBER(SEARCH(Assumptions!$C$6,G1342)),Assumptions!$D$6,IF(ISNUMBER(SEARCH(Assumptions!$C$7,G1342)),Assumptions!$D$7,"Other Services"))),"Other Services"))</f>
        <v/>
      </c>
    </row>
    <row r="1343" customFormat="false" ht="15" hidden="false" customHeight="false" outlineLevel="0" collapsed="false">
      <c r="E1343" s="41" t="str">
        <f aca="false">IF(D1343="","",IFERROR(VLOOKUP(D1343,Assumptions!$G$5:$H$16,2,0),"Other"))</f>
        <v/>
      </c>
      <c r="J1343" s="41" t="str">
        <f aca="false">IF(G1343="","",IFERROR(IF(ISNUMBER(SEARCH(Assumptions!$C$5,G1343)),Assumptions!$D$5,IF(ISNUMBER(SEARCH(Assumptions!$C$6,G1343)),Assumptions!$D$6,IF(ISNUMBER(SEARCH(Assumptions!$C$7,G1343)),Assumptions!$D$7,"Other Services"))),"Other Services"))</f>
        <v/>
      </c>
    </row>
    <row r="1344" customFormat="false" ht="15" hidden="false" customHeight="false" outlineLevel="0" collapsed="false">
      <c r="E1344" s="41" t="str">
        <f aca="false">IF(D1344="","",IFERROR(VLOOKUP(D1344,Assumptions!$G$5:$H$16,2,0),"Other"))</f>
        <v/>
      </c>
      <c r="J1344" s="41" t="str">
        <f aca="false">IF(G1344="","",IFERROR(IF(ISNUMBER(SEARCH(Assumptions!$C$5,G1344)),Assumptions!$D$5,IF(ISNUMBER(SEARCH(Assumptions!$C$6,G1344)),Assumptions!$D$6,IF(ISNUMBER(SEARCH(Assumptions!$C$7,G1344)),Assumptions!$D$7,"Other Services"))),"Other Services"))</f>
        <v/>
      </c>
    </row>
    <row r="1345" customFormat="false" ht="15" hidden="false" customHeight="false" outlineLevel="0" collapsed="false">
      <c r="E1345" s="41" t="str">
        <f aca="false">IF(D1345="","",IFERROR(VLOOKUP(D1345,Assumptions!$G$5:$H$16,2,0),"Other"))</f>
        <v/>
      </c>
      <c r="J1345" s="41" t="str">
        <f aca="false">IF(G1345="","",IFERROR(IF(ISNUMBER(SEARCH(Assumptions!$C$5,G1345)),Assumptions!$D$5,IF(ISNUMBER(SEARCH(Assumptions!$C$6,G1345)),Assumptions!$D$6,IF(ISNUMBER(SEARCH(Assumptions!$C$7,G1345)),Assumptions!$D$7,"Other Services"))),"Other Services"))</f>
        <v/>
      </c>
    </row>
    <row r="1346" customFormat="false" ht="15" hidden="false" customHeight="false" outlineLevel="0" collapsed="false">
      <c r="E1346" s="41" t="str">
        <f aca="false">IF(D1346="","",IFERROR(VLOOKUP(D1346,Assumptions!$G$5:$H$16,2,0),"Other"))</f>
        <v/>
      </c>
      <c r="J1346" s="41" t="str">
        <f aca="false">IF(G1346="","",IFERROR(IF(ISNUMBER(SEARCH(Assumptions!$C$5,G1346)),Assumptions!$D$5,IF(ISNUMBER(SEARCH(Assumptions!$C$6,G1346)),Assumptions!$D$6,IF(ISNUMBER(SEARCH(Assumptions!$C$7,G1346)),Assumptions!$D$7,"Other Services"))),"Other Services"))</f>
        <v/>
      </c>
    </row>
    <row r="1347" customFormat="false" ht="15" hidden="false" customHeight="false" outlineLevel="0" collapsed="false">
      <c r="E1347" s="41" t="str">
        <f aca="false">IF(D1347="","",IFERROR(VLOOKUP(D1347,Assumptions!$G$5:$H$16,2,0),"Other"))</f>
        <v/>
      </c>
      <c r="J1347" s="41" t="str">
        <f aca="false">IF(G1347="","",IFERROR(IF(ISNUMBER(SEARCH(Assumptions!$C$5,G1347)),Assumptions!$D$5,IF(ISNUMBER(SEARCH(Assumptions!$C$6,G1347)),Assumptions!$D$6,IF(ISNUMBER(SEARCH(Assumptions!$C$7,G1347)),Assumptions!$D$7,"Other Services"))),"Other Services"))</f>
        <v/>
      </c>
    </row>
    <row r="1348" customFormat="false" ht="15" hidden="false" customHeight="false" outlineLevel="0" collapsed="false">
      <c r="E1348" s="41" t="str">
        <f aca="false">IF(D1348="","",IFERROR(VLOOKUP(D1348,Assumptions!$G$5:$H$16,2,0),"Other"))</f>
        <v/>
      </c>
      <c r="J1348" s="41" t="str">
        <f aca="false">IF(G1348="","",IFERROR(IF(ISNUMBER(SEARCH(Assumptions!$C$5,G1348)),Assumptions!$D$5,IF(ISNUMBER(SEARCH(Assumptions!$C$6,G1348)),Assumptions!$D$6,IF(ISNUMBER(SEARCH(Assumptions!$C$7,G1348)),Assumptions!$D$7,"Other Services"))),"Other Services"))</f>
        <v/>
      </c>
    </row>
    <row r="1349" customFormat="false" ht="15" hidden="false" customHeight="false" outlineLevel="0" collapsed="false">
      <c r="E1349" s="41" t="str">
        <f aca="false">IF(D1349="","",IFERROR(VLOOKUP(D1349,Assumptions!$G$5:$H$16,2,0),"Other"))</f>
        <v/>
      </c>
      <c r="J1349" s="41" t="str">
        <f aca="false">IF(G1349="","",IFERROR(IF(ISNUMBER(SEARCH(Assumptions!$C$5,G1349)),Assumptions!$D$5,IF(ISNUMBER(SEARCH(Assumptions!$C$6,G1349)),Assumptions!$D$6,IF(ISNUMBER(SEARCH(Assumptions!$C$7,G1349)),Assumptions!$D$7,"Other Services"))),"Other Services"))</f>
        <v/>
      </c>
    </row>
    <row r="1350" customFormat="false" ht="15" hidden="false" customHeight="false" outlineLevel="0" collapsed="false">
      <c r="E1350" s="41" t="str">
        <f aca="false">IF(D1350="","",IFERROR(VLOOKUP(D1350,Assumptions!$G$5:$H$16,2,0),"Other"))</f>
        <v/>
      </c>
      <c r="J1350" s="41" t="str">
        <f aca="false">IF(G1350="","",IFERROR(IF(ISNUMBER(SEARCH(Assumptions!$C$5,G1350)),Assumptions!$D$5,IF(ISNUMBER(SEARCH(Assumptions!$C$6,G1350)),Assumptions!$D$6,IF(ISNUMBER(SEARCH(Assumptions!$C$7,G1350)),Assumptions!$D$7,"Other Services"))),"Other Services"))</f>
        <v/>
      </c>
    </row>
    <row r="1351" customFormat="false" ht="15" hidden="false" customHeight="false" outlineLevel="0" collapsed="false">
      <c r="E1351" s="41" t="str">
        <f aca="false">IF(D1351="","",IFERROR(VLOOKUP(D1351,Assumptions!$G$5:$H$16,2,0),"Other"))</f>
        <v/>
      </c>
      <c r="J1351" s="41" t="str">
        <f aca="false">IF(G1351="","",IFERROR(IF(ISNUMBER(SEARCH(Assumptions!$C$5,G1351)),Assumptions!$D$5,IF(ISNUMBER(SEARCH(Assumptions!$C$6,G1351)),Assumptions!$D$6,IF(ISNUMBER(SEARCH(Assumptions!$C$7,G1351)),Assumptions!$D$7,"Other Services"))),"Other Services"))</f>
        <v/>
      </c>
    </row>
    <row r="1352" customFormat="false" ht="15" hidden="false" customHeight="false" outlineLevel="0" collapsed="false">
      <c r="E1352" s="41" t="str">
        <f aca="false">IF(D1352="","",IFERROR(VLOOKUP(D1352,Assumptions!$G$5:$H$16,2,0),"Other"))</f>
        <v/>
      </c>
      <c r="J1352" s="41" t="str">
        <f aca="false">IF(G1352="","",IFERROR(IF(ISNUMBER(SEARCH(Assumptions!$C$5,G1352)),Assumptions!$D$5,IF(ISNUMBER(SEARCH(Assumptions!$C$6,G1352)),Assumptions!$D$6,IF(ISNUMBER(SEARCH(Assumptions!$C$7,G1352)),Assumptions!$D$7,"Other Services"))),"Other Services"))</f>
        <v/>
      </c>
    </row>
    <row r="1353" customFormat="false" ht="15" hidden="false" customHeight="false" outlineLevel="0" collapsed="false">
      <c r="E1353" s="41" t="str">
        <f aca="false">IF(D1353="","",IFERROR(VLOOKUP(D1353,Assumptions!$G$5:$H$16,2,0),"Other"))</f>
        <v/>
      </c>
      <c r="J1353" s="41" t="str">
        <f aca="false">IF(G1353="","",IFERROR(IF(ISNUMBER(SEARCH(Assumptions!$C$5,G1353)),Assumptions!$D$5,IF(ISNUMBER(SEARCH(Assumptions!$C$6,G1353)),Assumptions!$D$6,IF(ISNUMBER(SEARCH(Assumptions!$C$7,G1353)),Assumptions!$D$7,"Other Services"))),"Other Services"))</f>
        <v/>
      </c>
    </row>
    <row r="1354" customFormat="false" ht="15" hidden="false" customHeight="false" outlineLevel="0" collapsed="false">
      <c r="E1354" s="41" t="str">
        <f aca="false">IF(D1354="","",IFERROR(VLOOKUP(D1354,Assumptions!$G$5:$H$16,2,0),"Other"))</f>
        <v/>
      </c>
      <c r="J1354" s="41" t="str">
        <f aca="false">IF(G1354="","",IFERROR(IF(ISNUMBER(SEARCH(Assumptions!$C$5,G1354)),Assumptions!$D$5,IF(ISNUMBER(SEARCH(Assumptions!$C$6,G1354)),Assumptions!$D$6,IF(ISNUMBER(SEARCH(Assumptions!$C$7,G1354)),Assumptions!$D$7,"Other Services"))),"Other Services"))</f>
        <v/>
      </c>
    </row>
    <row r="1355" customFormat="false" ht="15" hidden="false" customHeight="false" outlineLevel="0" collapsed="false">
      <c r="E1355" s="41" t="str">
        <f aca="false">IF(D1355="","",IFERROR(VLOOKUP(D1355,Assumptions!$G$5:$H$16,2,0),"Other"))</f>
        <v/>
      </c>
      <c r="J1355" s="41" t="str">
        <f aca="false">IF(G1355="","",IFERROR(IF(ISNUMBER(SEARCH(Assumptions!$C$5,G1355)),Assumptions!$D$5,IF(ISNUMBER(SEARCH(Assumptions!$C$6,G1355)),Assumptions!$D$6,IF(ISNUMBER(SEARCH(Assumptions!$C$7,G1355)),Assumptions!$D$7,"Other Services"))),"Other Services"))</f>
        <v/>
      </c>
    </row>
    <row r="1356" customFormat="false" ht="15" hidden="false" customHeight="false" outlineLevel="0" collapsed="false">
      <c r="E1356" s="41" t="str">
        <f aca="false">IF(D1356="","",IFERROR(VLOOKUP(D1356,Assumptions!$G$5:$H$16,2,0),"Other"))</f>
        <v/>
      </c>
      <c r="J1356" s="41" t="str">
        <f aca="false">IF(G1356="","",IFERROR(IF(ISNUMBER(SEARCH(Assumptions!$C$5,G1356)),Assumptions!$D$5,IF(ISNUMBER(SEARCH(Assumptions!$C$6,G1356)),Assumptions!$D$6,IF(ISNUMBER(SEARCH(Assumptions!$C$7,G1356)),Assumptions!$D$7,"Other Services"))),"Other Services"))</f>
        <v/>
      </c>
    </row>
    <row r="1357" customFormat="false" ht="15" hidden="false" customHeight="false" outlineLevel="0" collapsed="false">
      <c r="E1357" s="41" t="str">
        <f aca="false">IF(D1357="","",IFERROR(VLOOKUP(D1357,Assumptions!$G$5:$H$16,2,0),"Other"))</f>
        <v/>
      </c>
      <c r="J1357" s="41" t="str">
        <f aca="false">IF(G1357="","",IFERROR(IF(ISNUMBER(SEARCH(Assumptions!$C$5,G1357)),Assumptions!$D$5,IF(ISNUMBER(SEARCH(Assumptions!$C$6,G1357)),Assumptions!$D$6,IF(ISNUMBER(SEARCH(Assumptions!$C$7,G1357)),Assumptions!$D$7,"Other Services"))),"Other Services"))</f>
        <v/>
      </c>
    </row>
    <row r="1358" customFormat="false" ht="15" hidden="false" customHeight="false" outlineLevel="0" collapsed="false">
      <c r="E1358" s="41" t="str">
        <f aca="false">IF(D1358="","",IFERROR(VLOOKUP(D1358,Assumptions!$G$5:$H$16,2,0),"Other"))</f>
        <v/>
      </c>
      <c r="J1358" s="41" t="str">
        <f aca="false">IF(G1358="","",IFERROR(IF(ISNUMBER(SEARCH(Assumptions!$C$5,G1358)),Assumptions!$D$5,IF(ISNUMBER(SEARCH(Assumptions!$C$6,G1358)),Assumptions!$D$6,IF(ISNUMBER(SEARCH(Assumptions!$C$7,G1358)),Assumptions!$D$7,"Other Services"))),"Other Services"))</f>
        <v/>
      </c>
    </row>
    <row r="1359" customFormat="false" ht="15" hidden="false" customHeight="false" outlineLevel="0" collapsed="false">
      <c r="E1359" s="41" t="str">
        <f aca="false">IF(D1359="","",IFERROR(VLOOKUP(D1359,Assumptions!$G$5:$H$16,2,0),"Other"))</f>
        <v/>
      </c>
      <c r="J1359" s="41" t="str">
        <f aca="false">IF(G1359="","",IFERROR(IF(ISNUMBER(SEARCH(Assumptions!$C$5,G1359)),Assumptions!$D$5,IF(ISNUMBER(SEARCH(Assumptions!$C$6,G1359)),Assumptions!$D$6,IF(ISNUMBER(SEARCH(Assumptions!$C$7,G1359)),Assumptions!$D$7,"Other Services"))),"Other Services"))</f>
        <v/>
      </c>
    </row>
    <row r="1360" customFormat="false" ht="15" hidden="false" customHeight="false" outlineLevel="0" collapsed="false">
      <c r="E1360" s="41" t="str">
        <f aca="false">IF(D1360="","",IFERROR(VLOOKUP(D1360,Assumptions!$G$5:$H$16,2,0),"Other"))</f>
        <v/>
      </c>
      <c r="J1360" s="41" t="str">
        <f aca="false">IF(G1360="","",IFERROR(IF(ISNUMBER(SEARCH(Assumptions!$C$5,G1360)),Assumptions!$D$5,IF(ISNUMBER(SEARCH(Assumptions!$C$6,G1360)),Assumptions!$D$6,IF(ISNUMBER(SEARCH(Assumptions!$C$7,G1360)),Assumptions!$D$7,"Other Services"))),"Other Services"))</f>
        <v/>
      </c>
    </row>
    <row r="1361" customFormat="false" ht="15" hidden="false" customHeight="false" outlineLevel="0" collapsed="false">
      <c r="E1361" s="41" t="str">
        <f aca="false">IF(D1361="","",IFERROR(VLOOKUP(D1361,Assumptions!$G$5:$H$16,2,0),"Other"))</f>
        <v/>
      </c>
      <c r="J1361" s="41" t="str">
        <f aca="false">IF(G1361="","",IFERROR(IF(ISNUMBER(SEARCH(Assumptions!$C$5,G1361)),Assumptions!$D$5,IF(ISNUMBER(SEARCH(Assumptions!$C$6,G1361)),Assumptions!$D$6,IF(ISNUMBER(SEARCH(Assumptions!$C$7,G1361)),Assumptions!$D$7,"Other Services"))),"Other Services"))</f>
        <v/>
      </c>
    </row>
    <row r="1362" customFormat="false" ht="15" hidden="false" customHeight="false" outlineLevel="0" collapsed="false">
      <c r="E1362" s="41" t="str">
        <f aca="false">IF(D1362="","",IFERROR(VLOOKUP(D1362,Assumptions!$G$5:$H$16,2,0),"Other"))</f>
        <v/>
      </c>
      <c r="J1362" s="41" t="str">
        <f aca="false">IF(G1362="","",IFERROR(IF(ISNUMBER(SEARCH(Assumptions!$C$5,G1362)),Assumptions!$D$5,IF(ISNUMBER(SEARCH(Assumptions!$C$6,G1362)),Assumptions!$D$6,IF(ISNUMBER(SEARCH(Assumptions!$C$7,G1362)),Assumptions!$D$7,"Other Services"))),"Other Services"))</f>
        <v/>
      </c>
    </row>
    <row r="1363" customFormat="false" ht="15" hidden="false" customHeight="false" outlineLevel="0" collapsed="false">
      <c r="E1363" s="41" t="str">
        <f aca="false">IF(D1363="","",IFERROR(VLOOKUP(D1363,Assumptions!$G$5:$H$16,2,0),"Other"))</f>
        <v/>
      </c>
      <c r="J1363" s="41" t="str">
        <f aca="false">IF(G1363="","",IFERROR(IF(ISNUMBER(SEARCH(Assumptions!$C$5,G1363)),Assumptions!$D$5,IF(ISNUMBER(SEARCH(Assumptions!$C$6,G1363)),Assumptions!$D$6,IF(ISNUMBER(SEARCH(Assumptions!$C$7,G1363)),Assumptions!$D$7,"Other Services"))),"Other Services"))</f>
        <v/>
      </c>
    </row>
    <row r="1364" customFormat="false" ht="15" hidden="false" customHeight="false" outlineLevel="0" collapsed="false">
      <c r="E1364" s="41" t="str">
        <f aca="false">IF(D1364="","",IFERROR(VLOOKUP(D1364,Assumptions!$G$5:$H$16,2,0),"Other"))</f>
        <v/>
      </c>
      <c r="J1364" s="41" t="str">
        <f aca="false">IF(G1364="","",IFERROR(IF(ISNUMBER(SEARCH(Assumptions!$C$5,G1364)),Assumptions!$D$5,IF(ISNUMBER(SEARCH(Assumptions!$C$6,G1364)),Assumptions!$D$6,IF(ISNUMBER(SEARCH(Assumptions!$C$7,G1364)),Assumptions!$D$7,"Other Services"))),"Other Services"))</f>
        <v/>
      </c>
    </row>
    <row r="1365" customFormat="false" ht="15" hidden="false" customHeight="false" outlineLevel="0" collapsed="false">
      <c r="E1365" s="41" t="str">
        <f aca="false">IF(D1365="","",IFERROR(VLOOKUP(D1365,Assumptions!$G$5:$H$16,2,0),"Other"))</f>
        <v/>
      </c>
      <c r="J1365" s="41" t="str">
        <f aca="false">IF(G1365="","",IFERROR(IF(ISNUMBER(SEARCH(Assumptions!$C$5,G1365)),Assumptions!$D$5,IF(ISNUMBER(SEARCH(Assumptions!$C$6,G1365)),Assumptions!$D$6,IF(ISNUMBER(SEARCH(Assumptions!$C$7,G1365)),Assumptions!$D$7,"Other Services"))),"Other Services"))</f>
        <v/>
      </c>
    </row>
    <row r="1366" customFormat="false" ht="15" hidden="false" customHeight="false" outlineLevel="0" collapsed="false">
      <c r="E1366" s="41" t="str">
        <f aca="false">IF(D1366="","",IFERROR(VLOOKUP(D1366,Assumptions!$G$5:$H$16,2,0),"Other"))</f>
        <v/>
      </c>
      <c r="J1366" s="41" t="str">
        <f aca="false">IF(G1366="","",IFERROR(IF(ISNUMBER(SEARCH(Assumptions!$C$5,G1366)),Assumptions!$D$5,IF(ISNUMBER(SEARCH(Assumptions!$C$6,G1366)),Assumptions!$D$6,IF(ISNUMBER(SEARCH(Assumptions!$C$7,G1366)),Assumptions!$D$7,"Other Services"))),"Other Services"))</f>
        <v/>
      </c>
    </row>
    <row r="1367" customFormat="false" ht="15" hidden="false" customHeight="false" outlineLevel="0" collapsed="false">
      <c r="E1367" s="41" t="str">
        <f aca="false">IF(D1367="","",IFERROR(VLOOKUP(D1367,Assumptions!$G$5:$H$16,2,0),"Other"))</f>
        <v/>
      </c>
      <c r="J1367" s="41" t="str">
        <f aca="false">IF(G1367="","",IFERROR(IF(ISNUMBER(SEARCH(Assumptions!$C$5,G1367)),Assumptions!$D$5,IF(ISNUMBER(SEARCH(Assumptions!$C$6,G1367)),Assumptions!$D$6,IF(ISNUMBER(SEARCH(Assumptions!$C$7,G1367)),Assumptions!$D$7,"Other Services"))),"Other Services"))</f>
        <v/>
      </c>
    </row>
    <row r="1368" customFormat="false" ht="15" hidden="false" customHeight="false" outlineLevel="0" collapsed="false">
      <c r="E1368" s="41" t="str">
        <f aca="false">IF(D1368="","",IFERROR(VLOOKUP(D1368,Assumptions!$G$5:$H$16,2,0),"Other"))</f>
        <v/>
      </c>
      <c r="J1368" s="41" t="str">
        <f aca="false">IF(G1368="","",IFERROR(IF(ISNUMBER(SEARCH(Assumptions!$C$5,G1368)),Assumptions!$D$5,IF(ISNUMBER(SEARCH(Assumptions!$C$6,G1368)),Assumptions!$D$6,IF(ISNUMBER(SEARCH(Assumptions!$C$7,G1368)),Assumptions!$D$7,"Other Services"))),"Other Services"))</f>
        <v/>
      </c>
    </row>
    <row r="1369" customFormat="false" ht="15" hidden="false" customHeight="false" outlineLevel="0" collapsed="false">
      <c r="E1369" s="41" t="str">
        <f aca="false">IF(D1369="","",IFERROR(VLOOKUP(D1369,Assumptions!$G$5:$H$16,2,0),"Other"))</f>
        <v/>
      </c>
      <c r="J1369" s="41" t="str">
        <f aca="false">IF(G1369="","",IFERROR(IF(ISNUMBER(SEARCH(Assumptions!$C$5,G1369)),Assumptions!$D$5,IF(ISNUMBER(SEARCH(Assumptions!$C$6,G1369)),Assumptions!$D$6,IF(ISNUMBER(SEARCH(Assumptions!$C$7,G1369)),Assumptions!$D$7,"Other Services"))),"Other Services"))</f>
        <v/>
      </c>
    </row>
    <row r="1370" customFormat="false" ht="15" hidden="false" customHeight="false" outlineLevel="0" collapsed="false">
      <c r="E1370" s="41" t="str">
        <f aca="false">IF(D1370="","",IFERROR(VLOOKUP(D1370,Assumptions!$G$5:$H$16,2,0),"Other"))</f>
        <v/>
      </c>
      <c r="J1370" s="41" t="str">
        <f aca="false">IF(G1370="","",IFERROR(IF(ISNUMBER(SEARCH(Assumptions!$C$5,G1370)),Assumptions!$D$5,IF(ISNUMBER(SEARCH(Assumptions!$C$6,G1370)),Assumptions!$D$6,IF(ISNUMBER(SEARCH(Assumptions!$C$7,G1370)),Assumptions!$D$7,"Other Services"))),"Other Services"))</f>
        <v/>
      </c>
    </row>
    <row r="1371" customFormat="false" ht="15" hidden="false" customHeight="false" outlineLevel="0" collapsed="false">
      <c r="E1371" s="41" t="str">
        <f aca="false">IF(D1371="","",IFERROR(VLOOKUP(D1371,Assumptions!$G$5:$H$16,2,0),"Other"))</f>
        <v/>
      </c>
      <c r="J1371" s="41" t="str">
        <f aca="false">IF(G1371="","",IFERROR(IF(ISNUMBER(SEARCH(Assumptions!$C$5,G1371)),Assumptions!$D$5,IF(ISNUMBER(SEARCH(Assumptions!$C$6,G1371)),Assumptions!$D$6,IF(ISNUMBER(SEARCH(Assumptions!$C$7,G1371)),Assumptions!$D$7,"Other Services"))),"Other Services"))</f>
        <v/>
      </c>
    </row>
    <row r="1372" customFormat="false" ht="15" hidden="false" customHeight="false" outlineLevel="0" collapsed="false">
      <c r="E1372" s="41" t="str">
        <f aca="false">IF(D1372="","",IFERROR(VLOOKUP(D1372,Assumptions!$G$5:$H$16,2,0),"Other"))</f>
        <v/>
      </c>
      <c r="J1372" s="41" t="str">
        <f aca="false">IF(G1372="","",IFERROR(IF(ISNUMBER(SEARCH(Assumptions!$C$5,G1372)),Assumptions!$D$5,IF(ISNUMBER(SEARCH(Assumptions!$C$6,G1372)),Assumptions!$D$6,IF(ISNUMBER(SEARCH(Assumptions!$C$7,G1372)),Assumptions!$D$7,"Other Services"))),"Other Services"))</f>
        <v/>
      </c>
    </row>
    <row r="1373" customFormat="false" ht="15" hidden="false" customHeight="false" outlineLevel="0" collapsed="false">
      <c r="E1373" s="41" t="str">
        <f aca="false">IF(D1373="","",IFERROR(VLOOKUP(D1373,Assumptions!$G$5:$H$16,2,0),"Other"))</f>
        <v/>
      </c>
      <c r="J1373" s="41" t="str">
        <f aca="false">IF(G1373="","",IFERROR(IF(ISNUMBER(SEARCH(Assumptions!$C$5,G1373)),Assumptions!$D$5,IF(ISNUMBER(SEARCH(Assumptions!$C$6,G1373)),Assumptions!$D$6,IF(ISNUMBER(SEARCH(Assumptions!$C$7,G1373)),Assumptions!$D$7,"Other Services"))),"Other Services"))</f>
        <v/>
      </c>
    </row>
    <row r="1374" customFormat="false" ht="15" hidden="false" customHeight="false" outlineLevel="0" collapsed="false">
      <c r="E1374" s="41" t="str">
        <f aca="false">IF(D1374="","",IFERROR(VLOOKUP(D1374,Assumptions!$G$5:$H$16,2,0),"Other"))</f>
        <v/>
      </c>
      <c r="J1374" s="41" t="str">
        <f aca="false">IF(G1374="","",IFERROR(IF(ISNUMBER(SEARCH(Assumptions!$C$5,G1374)),Assumptions!$D$5,IF(ISNUMBER(SEARCH(Assumptions!$C$6,G1374)),Assumptions!$D$6,IF(ISNUMBER(SEARCH(Assumptions!$C$7,G1374)),Assumptions!$D$7,"Other Services"))),"Other Services"))</f>
        <v/>
      </c>
    </row>
    <row r="1375" customFormat="false" ht="15" hidden="false" customHeight="false" outlineLevel="0" collapsed="false">
      <c r="E1375" s="41" t="str">
        <f aca="false">IF(D1375="","",IFERROR(VLOOKUP(D1375,Assumptions!$G$5:$H$16,2,0),"Other"))</f>
        <v/>
      </c>
      <c r="J1375" s="41" t="str">
        <f aca="false">IF(G1375="","",IFERROR(IF(ISNUMBER(SEARCH(Assumptions!$C$5,G1375)),Assumptions!$D$5,IF(ISNUMBER(SEARCH(Assumptions!$C$6,G1375)),Assumptions!$D$6,IF(ISNUMBER(SEARCH(Assumptions!$C$7,G1375)),Assumptions!$D$7,"Other Services"))),"Other Services"))</f>
        <v/>
      </c>
    </row>
    <row r="1376" customFormat="false" ht="15" hidden="false" customHeight="false" outlineLevel="0" collapsed="false">
      <c r="E1376" s="41" t="str">
        <f aca="false">IF(D1376="","",IFERROR(VLOOKUP(D1376,Assumptions!$G$5:$H$16,2,0),"Other"))</f>
        <v/>
      </c>
      <c r="J1376" s="41" t="str">
        <f aca="false">IF(G1376="","",IFERROR(IF(ISNUMBER(SEARCH(Assumptions!$C$5,G1376)),Assumptions!$D$5,IF(ISNUMBER(SEARCH(Assumptions!$C$6,G1376)),Assumptions!$D$6,IF(ISNUMBER(SEARCH(Assumptions!$C$7,G1376)),Assumptions!$D$7,"Other Services"))),"Other Services"))</f>
        <v/>
      </c>
    </row>
    <row r="1377" customFormat="false" ht="15" hidden="false" customHeight="false" outlineLevel="0" collapsed="false">
      <c r="E1377" s="41" t="str">
        <f aca="false">IF(D1377="","",IFERROR(VLOOKUP(D1377,Assumptions!$G$5:$H$16,2,0),"Other"))</f>
        <v/>
      </c>
      <c r="J1377" s="41" t="str">
        <f aca="false">IF(G1377="","",IFERROR(IF(ISNUMBER(SEARCH(Assumptions!$C$5,G1377)),Assumptions!$D$5,IF(ISNUMBER(SEARCH(Assumptions!$C$6,G1377)),Assumptions!$D$6,IF(ISNUMBER(SEARCH(Assumptions!$C$7,G1377)),Assumptions!$D$7,"Other Services"))),"Other Services"))</f>
        <v/>
      </c>
    </row>
    <row r="1378" customFormat="false" ht="15" hidden="false" customHeight="false" outlineLevel="0" collapsed="false">
      <c r="E1378" s="41" t="str">
        <f aca="false">IF(D1378="","",IFERROR(VLOOKUP(D1378,Assumptions!$G$5:$H$16,2,0),"Other"))</f>
        <v/>
      </c>
      <c r="J1378" s="41" t="str">
        <f aca="false">IF(G1378="","",IFERROR(IF(ISNUMBER(SEARCH(Assumptions!$C$5,G1378)),Assumptions!$D$5,IF(ISNUMBER(SEARCH(Assumptions!$C$6,G1378)),Assumptions!$D$6,IF(ISNUMBER(SEARCH(Assumptions!$C$7,G1378)),Assumptions!$D$7,"Other Services"))),"Other Services"))</f>
        <v/>
      </c>
    </row>
    <row r="1379" customFormat="false" ht="15" hidden="false" customHeight="false" outlineLevel="0" collapsed="false">
      <c r="E1379" s="41" t="str">
        <f aca="false">IF(D1379="","",IFERROR(VLOOKUP(D1379,Assumptions!$G$5:$H$16,2,0),"Other"))</f>
        <v/>
      </c>
      <c r="J1379" s="41" t="str">
        <f aca="false">IF(G1379="","",IFERROR(IF(ISNUMBER(SEARCH(Assumptions!$C$5,G1379)),Assumptions!$D$5,IF(ISNUMBER(SEARCH(Assumptions!$C$6,G1379)),Assumptions!$D$6,IF(ISNUMBER(SEARCH(Assumptions!$C$7,G1379)),Assumptions!$D$7,"Other Services"))),"Other Services"))</f>
        <v/>
      </c>
    </row>
    <row r="1380" customFormat="false" ht="15" hidden="false" customHeight="false" outlineLevel="0" collapsed="false">
      <c r="E1380" s="41" t="str">
        <f aca="false">IF(D1380="","",IFERROR(VLOOKUP(D1380,Assumptions!$G$5:$H$16,2,0),"Other"))</f>
        <v/>
      </c>
      <c r="J1380" s="41" t="str">
        <f aca="false">IF(G1380="","",IFERROR(IF(ISNUMBER(SEARCH(Assumptions!$C$5,G1380)),Assumptions!$D$5,IF(ISNUMBER(SEARCH(Assumptions!$C$6,G1380)),Assumptions!$D$6,IF(ISNUMBER(SEARCH(Assumptions!$C$7,G1380)),Assumptions!$D$7,"Other Services"))),"Other Services"))</f>
        <v/>
      </c>
    </row>
    <row r="1381" customFormat="false" ht="15" hidden="false" customHeight="false" outlineLevel="0" collapsed="false">
      <c r="E1381" s="41" t="str">
        <f aca="false">IF(D1381="","",IFERROR(VLOOKUP(D1381,Assumptions!$G$5:$H$16,2,0),"Other"))</f>
        <v/>
      </c>
      <c r="J1381" s="41" t="str">
        <f aca="false">IF(G1381="","",IFERROR(IF(ISNUMBER(SEARCH(Assumptions!$C$5,G1381)),Assumptions!$D$5,IF(ISNUMBER(SEARCH(Assumptions!$C$6,G1381)),Assumptions!$D$6,IF(ISNUMBER(SEARCH(Assumptions!$C$7,G1381)),Assumptions!$D$7,"Other Services"))),"Other Services"))</f>
        <v/>
      </c>
    </row>
    <row r="1382" customFormat="false" ht="15" hidden="false" customHeight="false" outlineLevel="0" collapsed="false">
      <c r="E1382" s="41" t="str">
        <f aca="false">IF(D1382="","",IFERROR(VLOOKUP(D1382,Assumptions!$G$5:$H$16,2,0),"Other"))</f>
        <v/>
      </c>
      <c r="J1382" s="41" t="str">
        <f aca="false">IF(G1382="","",IFERROR(IF(ISNUMBER(SEARCH(Assumptions!$C$5,G1382)),Assumptions!$D$5,IF(ISNUMBER(SEARCH(Assumptions!$C$6,G1382)),Assumptions!$D$6,IF(ISNUMBER(SEARCH(Assumptions!$C$7,G1382)),Assumptions!$D$7,"Other Services"))),"Other Services"))</f>
        <v/>
      </c>
    </row>
    <row r="1383" customFormat="false" ht="15" hidden="false" customHeight="false" outlineLevel="0" collapsed="false">
      <c r="E1383" s="41" t="str">
        <f aca="false">IF(D1383="","",IFERROR(VLOOKUP(D1383,Assumptions!$G$5:$H$16,2,0),"Other"))</f>
        <v/>
      </c>
      <c r="J1383" s="41" t="str">
        <f aca="false">IF(G1383="","",IFERROR(IF(ISNUMBER(SEARCH(Assumptions!$C$5,G1383)),Assumptions!$D$5,IF(ISNUMBER(SEARCH(Assumptions!$C$6,G1383)),Assumptions!$D$6,IF(ISNUMBER(SEARCH(Assumptions!$C$7,G1383)),Assumptions!$D$7,"Other Services"))),"Other Services"))</f>
        <v/>
      </c>
    </row>
    <row r="1384" customFormat="false" ht="15" hidden="false" customHeight="false" outlineLevel="0" collapsed="false">
      <c r="E1384" s="41" t="str">
        <f aca="false">IF(D1384="","",IFERROR(VLOOKUP(D1384,Assumptions!$G$5:$H$16,2,0),"Other"))</f>
        <v/>
      </c>
      <c r="J1384" s="41" t="str">
        <f aca="false">IF(G1384="","",IFERROR(IF(ISNUMBER(SEARCH(Assumptions!$C$5,G1384)),Assumptions!$D$5,IF(ISNUMBER(SEARCH(Assumptions!$C$6,G1384)),Assumptions!$D$6,IF(ISNUMBER(SEARCH(Assumptions!$C$7,G1384)),Assumptions!$D$7,"Other Services"))),"Other Services"))</f>
        <v/>
      </c>
    </row>
    <row r="1385" customFormat="false" ht="15" hidden="false" customHeight="false" outlineLevel="0" collapsed="false">
      <c r="E1385" s="41" t="str">
        <f aca="false">IF(D1385="","",IFERROR(VLOOKUP(D1385,Assumptions!$G$5:$H$16,2,0),"Other"))</f>
        <v/>
      </c>
      <c r="J1385" s="41" t="str">
        <f aca="false">IF(G1385="","",IFERROR(IF(ISNUMBER(SEARCH(Assumptions!$C$5,G1385)),Assumptions!$D$5,IF(ISNUMBER(SEARCH(Assumptions!$C$6,G1385)),Assumptions!$D$6,IF(ISNUMBER(SEARCH(Assumptions!$C$7,G1385)),Assumptions!$D$7,"Other Services"))),"Other Services"))</f>
        <v/>
      </c>
    </row>
    <row r="1386" customFormat="false" ht="15" hidden="false" customHeight="false" outlineLevel="0" collapsed="false">
      <c r="E1386" s="41" t="str">
        <f aca="false">IF(D1386="","",IFERROR(VLOOKUP(D1386,Assumptions!$G$5:$H$16,2,0),"Other"))</f>
        <v/>
      </c>
      <c r="J1386" s="41" t="str">
        <f aca="false">IF(G1386="","",IFERROR(IF(ISNUMBER(SEARCH(Assumptions!$C$5,G1386)),Assumptions!$D$5,IF(ISNUMBER(SEARCH(Assumptions!$C$6,G1386)),Assumptions!$D$6,IF(ISNUMBER(SEARCH(Assumptions!$C$7,G1386)),Assumptions!$D$7,"Other Services"))),"Other Services"))</f>
        <v/>
      </c>
    </row>
    <row r="1387" customFormat="false" ht="15" hidden="false" customHeight="false" outlineLevel="0" collapsed="false">
      <c r="E1387" s="41" t="str">
        <f aca="false">IF(D1387="","",IFERROR(VLOOKUP(D1387,Assumptions!$G$5:$H$16,2,0),"Other"))</f>
        <v/>
      </c>
      <c r="J1387" s="41" t="str">
        <f aca="false">IF(G1387="","",IFERROR(IF(ISNUMBER(SEARCH(Assumptions!$C$5,G1387)),Assumptions!$D$5,IF(ISNUMBER(SEARCH(Assumptions!$C$6,G1387)),Assumptions!$D$6,IF(ISNUMBER(SEARCH(Assumptions!$C$7,G1387)),Assumptions!$D$7,"Other Services"))),"Other Services"))</f>
        <v/>
      </c>
    </row>
    <row r="1388" customFormat="false" ht="15" hidden="false" customHeight="false" outlineLevel="0" collapsed="false">
      <c r="E1388" s="41" t="str">
        <f aca="false">IF(D1388="","",IFERROR(VLOOKUP(D1388,Assumptions!$G$5:$H$16,2,0),"Other"))</f>
        <v/>
      </c>
      <c r="J1388" s="41" t="str">
        <f aca="false">IF(G1388="","",IFERROR(IF(ISNUMBER(SEARCH(Assumptions!$C$5,G1388)),Assumptions!$D$5,IF(ISNUMBER(SEARCH(Assumptions!$C$6,G1388)),Assumptions!$D$6,IF(ISNUMBER(SEARCH(Assumptions!$C$7,G1388)),Assumptions!$D$7,"Other Services"))),"Other Services"))</f>
        <v/>
      </c>
    </row>
    <row r="1389" customFormat="false" ht="15" hidden="false" customHeight="false" outlineLevel="0" collapsed="false">
      <c r="E1389" s="41" t="str">
        <f aca="false">IF(D1389="","",IFERROR(VLOOKUP(D1389,Assumptions!$G$5:$H$16,2,0),"Other"))</f>
        <v/>
      </c>
      <c r="J1389" s="41" t="str">
        <f aca="false">IF(G1389="","",IFERROR(IF(ISNUMBER(SEARCH(Assumptions!$C$5,G1389)),Assumptions!$D$5,IF(ISNUMBER(SEARCH(Assumptions!$C$6,G1389)),Assumptions!$D$6,IF(ISNUMBER(SEARCH(Assumptions!$C$7,G1389)),Assumptions!$D$7,"Other Services"))),"Other Services"))</f>
        <v/>
      </c>
    </row>
    <row r="1390" customFormat="false" ht="15" hidden="false" customHeight="false" outlineLevel="0" collapsed="false">
      <c r="E1390" s="41" t="str">
        <f aca="false">IF(D1390="","",IFERROR(VLOOKUP(D1390,Assumptions!$G$5:$H$16,2,0),"Other"))</f>
        <v/>
      </c>
      <c r="J1390" s="41" t="str">
        <f aca="false">IF(G1390="","",IFERROR(IF(ISNUMBER(SEARCH(Assumptions!$C$5,G1390)),Assumptions!$D$5,IF(ISNUMBER(SEARCH(Assumptions!$C$6,G1390)),Assumptions!$D$6,IF(ISNUMBER(SEARCH(Assumptions!$C$7,G1390)),Assumptions!$D$7,"Other Services"))),"Other Services"))</f>
        <v/>
      </c>
    </row>
    <row r="1391" customFormat="false" ht="15" hidden="false" customHeight="false" outlineLevel="0" collapsed="false">
      <c r="E1391" s="41" t="str">
        <f aca="false">IF(D1391="","",IFERROR(VLOOKUP(D1391,Assumptions!$G$5:$H$16,2,0),"Other"))</f>
        <v/>
      </c>
      <c r="J1391" s="41" t="str">
        <f aca="false">IF(G1391="","",IFERROR(IF(ISNUMBER(SEARCH(Assumptions!$C$5,G1391)),Assumptions!$D$5,IF(ISNUMBER(SEARCH(Assumptions!$C$6,G1391)),Assumptions!$D$6,IF(ISNUMBER(SEARCH(Assumptions!$C$7,G1391)),Assumptions!$D$7,"Other Services"))),"Other Services"))</f>
        <v/>
      </c>
    </row>
    <row r="1392" customFormat="false" ht="15" hidden="false" customHeight="false" outlineLevel="0" collapsed="false">
      <c r="E1392" s="41" t="str">
        <f aca="false">IF(D1392="","",IFERROR(VLOOKUP(D1392,Assumptions!$G$5:$H$16,2,0),"Other"))</f>
        <v/>
      </c>
      <c r="J1392" s="41" t="str">
        <f aca="false">IF(G1392="","",IFERROR(IF(ISNUMBER(SEARCH(Assumptions!$C$5,G1392)),Assumptions!$D$5,IF(ISNUMBER(SEARCH(Assumptions!$C$6,G1392)),Assumptions!$D$6,IF(ISNUMBER(SEARCH(Assumptions!$C$7,G1392)),Assumptions!$D$7,"Other Services"))),"Other Services"))</f>
        <v/>
      </c>
    </row>
    <row r="1393" customFormat="false" ht="15" hidden="false" customHeight="false" outlineLevel="0" collapsed="false">
      <c r="E1393" s="41" t="str">
        <f aca="false">IF(D1393="","",IFERROR(VLOOKUP(D1393,Assumptions!$G$5:$H$16,2,0),"Other"))</f>
        <v/>
      </c>
      <c r="J1393" s="41" t="str">
        <f aca="false">IF(G1393="","",IFERROR(IF(ISNUMBER(SEARCH(Assumptions!$C$5,G1393)),Assumptions!$D$5,IF(ISNUMBER(SEARCH(Assumptions!$C$6,G1393)),Assumptions!$D$6,IF(ISNUMBER(SEARCH(Assumptions!$C$7,G1393)),Assumptions!$D$7,"Other Services"))),"Other Services"))</f>
        <v/>
      </c>
    </row>
    <row r="1394" customFormat="false" ht="15" hidden="false" customHeight="false" outlineLevel="0" collapsed="false">
      <c r="E1394" s="41" t="str">
        <f aca="false">IF(D1394="","",IFERROR(VLOOKUP(D1394,Assumptions!$G$5:$H$16,2,0),"Other"))</f>
        <v/>
      </c>
      <c r="J1394" s="41" t="str">
        <f aca="false">IF(G1394="","",IFERROR(IF(ISNUMBER(SEARCH(Assumptions!$C$5,G1394)),Assumptions!$D$5,IF(ISNUMBER(SEARCH(Assumptions!$C$6,G1394)),Assumptions!$D$6,IF(ISNUMBER(SEARCH(Assumptions!$C$7,G1394)),Assumptions!$D$7,"Other Services"))),"Other Services"))</f>
        <v/>
      </c>
    </row>
    <row r="1395" customFormat="false" ht="15" hidden="false" customHeight="false" outlineLevel="0" collapsed="false">
      <c r="E1395" s="41" t="str">
        <f aca="false">IF(D1395="","",IFERROR(VLOOKUP(D1395,Assumptions!$G$5:$H$16,2,0),"Other"))</f>
        <v/>
      </c>
      <c r="J1395" s="41" t="str">
        <f aca="false">IF(G1395="","",IFERROR(IF(ISNUMBER(SEARCH(Assumptions!$C$5,G1395)),Assumptions!$D$5,IF(ISNUMBER(SEARCH(Assumptions!$C$6,G1395)),Assumptions!$D$6,IF(ISNUMBER(SEARCH(Assumptions!$C$7,G1395)),Assumptions!$D$7,"Other Services"))),"Other Services"))</f>
        <v/>
      </c>
    </row>
    <row r="1396" customFormat="false" ht="15" hidden="false" customHeight="false" outlineLevel="0" collapsed="false">
      <c r="E1396" s="41" t="str">
        <f aca="false">IF(D1396="","",IFERROR(VLOOKUP(D1396,Assumptions!$G$5:$H$16,2,0),"Other"))</f>
        <v/>
      </c>
      <c r="J1396" s="41" t="str">
        <f aca="false">IF(G1396="","",IFERROR(IF(ISNUMBER(SEARCH(Assumptions!$C$5,G1396)),Assumptions!$D$5,IF(ISNUMBER(SEARCH(Assumptions!$C$6,G1396)),Assumptions!$D$6,IF(ISNUMBER(SEARCH(Assumptions!$C$7,G1396)),Assumptions!$D$7,"Other Services"))),"Other Services"))</f>
        <v/>
      </c>
    </row>
    <row r="1397" customFormat="false" ht="15" hidden="false" customHeight="false" outlineLevel="0" collapsed="false">
      <c r="E1397" s="41" t="str">
        <f aca="false">IF(D1397="","",IFERROR(VLOOKUP(D1397,Assumptions!$G$5:$H$16,2,0),"Other"))</f>
        <v/>
      </c>
      <c r="J1397" s="41" t="str">
        <f aca="false">IF(G1397="","",IFERROR(IF(ISNUMBER(SEARCH(Assumptions!$C$5,G1397)),Assumptions!$D$5,IF(ISNUMBER(SEARCH(Assumptions!$C$6,G1397)),Assumptions!$D$6,IF(ISNUMBER(SEARCH(Assumptions!$C$7,G1397)),Assumptions!$D$7,"Other Services"))),"Other Services"))</f>
        <v/>
      </c>
    </row>
    <row r="1398" customFormat="false" ht="15" hidden="false" customHeight="false" outlineLevel="0" collapsed="false">
      <c r="E1398" s="41" t="str">
        <f aca="false">IF(D1398="","",IFERROR(VLOOKUP(D1398,Assumptions!$G$5:$H$16,2,0),"Other"))</f>
        <v/>
      </c>
      <c r="J1398" s="41" t="str">
        <f aca="false">IF(G1398="","",IFERROR(IF(ISNUMBER(SEARCH(Assumptions!$C$5,G1398)),Assumptions!$D$5,IF(ISNUMBER(SEARCH(Assumptions!$C$6,G1398)),Assumptions!$D$6,IF(ISNUMBER(SEARCH(Assumptions!$C$7,G1398)),Assumptions!$D$7,"Other Services"))),"Other Services"))</f>
        <v/>
      </c>
    </row>
    <row r="1399" customFormat="false" ht="15" hidden="false" customHeight="false" outlineLevel="0" collapsed="false">
      <c r="E1399" s="41" t="str">
        <f aca="false">IF(D1399="","",IFERROR(VLOOKUP(D1399,Assumptions!$G$5:$H$16,2,0),"Other"))</f>
        <v/>
      </c>
      <c r="J1399" s="41" t="str">
        <f aca="false">IF(G1399="","",IFERROR(IF(ISNUMBER(SEARCH(Assumptions!$C$5,G1399)),Assumptions!$D$5,IF(ISNUMBER(SEARCH(Assumptions!$C$6,G1399)),Assumptions!$D$6,IF(ISNUMBER(SEARCH(Assumptions!$C$7,G1399)),Assumptions!$D$7,"Other Services"))),"Other Services"))</f>
        <v/>
      </c>
    </row>
    <row r="1400" customFormat="false" ht="15" hidden="false" customHeight="false" outlineLevel="0" collapsed="false">
      <c r="E1400" s="41" t="str">
        <f aca="false">IF(D1400="","",IFERROR(VLOOKUP(D1400,Assumptions!$G$5:$H$16,2,0),"Other"))</f>
        <v/>
      </c>
      <c r="J1400" s="41" t="str">
        <f aca="false">IF(G1400="","",IFERROR(IF(ISNUMBER(SEARCH(Assumptions!$C$5,G1400)),Assumptions!$D$5,IF(ISNUMBER(SEARCH(Assumptions!$C$6,G1400)),Assumptions!$D$6,IF(ISNUMBER(SEARCH(Assumptions!$C$7,G1400)),Assumptions!$D$7,"Other Services"))),"Other Services"))</f>
        <v/>
      </c>
    </row>
    <row r="1401" customFormat="false" ht="15" hidden="false" customHeight="false" outlineLevel="0" collapsed="false">
      <c r="E1401" s="41" t="str">
        <f aca="false">IF(D1401="","",IFERROR(VLOOKUP(D1401,Assumptions!$G$5:$H$16,2,0),"Other"))</f>
        <v/>
      </c>
      <c r="J1401" s="41" t="str">
        <f aca="false">IF(G1401="","",IFERROR(IF(ISNUMBER(SEARCH(Assumptions!$C$5,G1401)),Assumptions!$D$5,IF(ISNUMBER(SEARCH(Assumptions!$C$6,G1401)),Assumptions!$D$6,IF(ISNUMBER(SEARCH(Assumptions!$C$7,G1401)),Assumptions!$D$7,"Other Services"))),"Other Services"))</f>
        <v/>
      </c>
    </row>
    <row r="1402" customFormat="false" ht="15" hidden="false" customHeight="false" outlineLevel="0" collapsed="false">
      <c r="E1402" s="41" t="str">
        <f aca="false">IF(D1402="","",IFERROR(VLOOKUP(D1402,Assumptions!$G$5:$H$16,2,0),"Other"))</f>
        <v/>
      </c>
      <c r="J1402" s="41" t="str">
        <f aca="false">IF(G1402="","",IFERROR(IF(ISNUMBER(SEARCH(Assumptions!$C$5,G1402)),Assumptions!$D$5,IF(ISNUMBER(SEARCH(Assumptions!$C$6,G1402)),Assumptions!$D$6,IF(ISNUMBER(SEARCH(Assumptions!$C$7,G1402)),Assumptions!$D$7,"Other Services"))),"Other Services"))</f>
        <v/>
      </c>
    </row>
    <row r="1403" customFormat="false" ht="15" hidden="false" customHeight="false" outlineLevel="0" collapsed="false">
      <c r="E1403" s="41" t="str">
        <f aca="false">IF(D1403="","",IFERROR(VLOOKUP(D1403,Assumptions!$G$5:$H$16,2,0),"Other"))</f>
        <v/>
      </c>
      <c r="J1403" s="41" t="str">
        <f aca="false">IF(G1403="","",IFERROR(IF(ISNUMBER(SEARCH(Assumptions!$C$5,G1403)),Assumptions!$D$5,IF(ISNUMBER(SEARCH(Assumptions!$C$6,G1403)),Assumptions!$D$6,IF(ISNUMBER(SEARCH(Assumptions!$C$7,G1403)),Assumptions!$D$7,"Other Services"))),"Other Services"))</f>
        <v/>
      </c>
    </row>
    <row r="1404" customFormat="false" ht="15" hidden="false" customHeight="false" outlineLevel="0" collapsed="false">
      <c r="E1404" s="41" t="str">
        <f aca="false">IF(D1404="","",IFERROR(VLOOKUP(D1404,Assumptions!$G$5:$H$16,2,0),"Other"))</f>
        <v/>
      </c>
      <c r="J1404" s="41" t="str">
        <f aca="false">IF(G1404="","",IFERROR(IF(ISNUMBER(SEARCH(Assumptions!$C$5,G1404)),Assumptions!$D$5,IF(ISNUMBER(SEARCH(Assumptions!$C$6,G1404)),Assumptions!$D$6,IF(ISNUMBER(SEARCH(Assumptions!$C$7,G1404)),Assumptions!$D$7,"Other Services"))),"Other Services"))</f>
        <v/>
      </c>
    </row>
    <row r="1405" customFormat="false" ht="15" hidden="false" customHeight="false" outlineLevel="0" collapsed="false">
      <c r="E1405" s="41" t="str">
        <f aca="false">IF(D1405="","",IFERROR(VLOOKUP(D1405,Assumptions!$G$5:$H$16,2,0),"Other"))</f>
        <v/>
      </c>
      <c r="J1405" s="41" t="str">
        <f aca="false">IF(G1405="","",IFERROR(IF(ISNUMBER(SEARCH(Assumptions!$C$5,G1405)),Assumptions!$D$5,IF(ISNUMBER(SEARCH(Assumptions!$C$6,G1405)),Assumptions!$D$6,IF(ISNUMBER(SEARCH(Assumptions!$C$7,G1405)),Assumptions!$D$7,"Other Services"))),"Other Services"))</f>
        <v/>
      </c>
    </row>
    <row r="1406" customFormat="false" ht="15" hidden="false" customHeight="false" outlineLevel="0" collapsed="false">
      <c r="E1406" s="41" t="str">
        <f aca="false">IF(D1406="","",IFERROR(VLOOKUP(D1406,Assumptions!$G$5:$H$16,2,0),"Other"))</f>
        <v/>
      </c>
      <c r="J1406" s="41" t="str">
        <f aca="false">IF(G1406="","",IFERROR(IF(ISNUMBER(SEARCH(Assumptions!$C$5,G1406)),Assumptions!$D$5,IF(ISNUMBER(SEARCH(Assumptions!$C$6,G1406)),Assumptions!$D$6,IF(ISNUMBER(SEARCH(Assumptions!$C$7,G1406)),Assumptions!$D$7,"Other Services"))),"Other Services"))</f>
        <v/>
      </c>
    </row>
    <row r="1407" customFormat="false" ht="15" hidden="false" customHeight="false" outlineLevel="0" collapsed="false">
      <c r="E1407" s="41" t="str">
        <f aca="false">IF(D1407="","",IFERROR(VLOOKUP(D1407,Assumptions!$G$5:$H$16,2,0),"Other"))</f>
        <v/>
      </c>
      <c r="J1407" s="41" t="str">
        <f aca="false">IF(G1407="","",IFERROR(IF(ISNUMBER(SEARCH(Assumptions!$C$5,G1407)),Assumptions!$D$5,IF(ISNUMBER(SEARCH(Assumptions!$C$6,G1407)),Assumptions!$D$6,IF(ISNUMBER(SEARCH(Assumptions!$C$7,G1407)),Assumptions!$D$7,"Other Services"))),"Other Services"))</f>
        <v/>
      </c>
    </row>
    <row r="1408" customFormat="false" ht="15" hidden="false" customHeight="false" outlineLevel="0" collapsed="false">
      <c r="E1408" s="41" t="str">
        <f aca="false">IF(D1408="","",IFERROR(VLOOKUP(D1408,Assumptions!$G$5:$H$16,2,0),"Other"))</f>
        <v/>
      </c>
      <c r="J1408" s="41" t="str">
        <f aca="false">IF(G1408="","",IFERROR(IF(ISNUMBER(SEARCH(Assumptions!$C$5,G1408)),Assumptions!$D$5,IF(ISNUMBER(SEARCH(Assumptions!$C$6,G1408)),Assumptions!$D$6,IF(ISNUMBER(SEARCH(Assumptions!$C$7,G1408)),Assumptions!$D$7,"Other Services"))),"Other Services"))</f>
        <v/>
      </c>
    </row>
    <row r="1409" customFormat="false" ht="15" hidden="false" customHeight="false" outlineLevel="0" collapsed="false">
      <c r="E1409" s="41" t="str">
        <f aca="false">IF(D1409="","",IFERROR(VLOOKUP(D1409,Assumptions!$G$5:$H$16,2,0),"Other"))</f>
        <v/>
      </c>
      <c r="J1409" s="41" t="str">
        <f aca="false">IF(G1409="","",IFERROR(IF(ISNUMBER(SEARCH(Assumptions!$C$5,G1409)),Assumptions!$D$5,IF(ISNUMBER(SEARCH(Assumptions!$C$6,G1409)),Assumptions!$D$6,IF(ISNUMBER(SEARCH(Assumptions!$C$7,G1409)),Assumptions!$D$7,"Other Services"))),"Other Services"))</f>
        <v/>
      </c>
    </row>
    <row r="1410" customFormat="false" ht="15" hidden="false" customHeight="false" outlineLevel="0" collapsed="false">
      <c r="E1410" s="41" t="str">
        <f aca="false">IF(D1410="","",IFERROR(VLOOKUP(D1410,Assumptions!$G$5:$H$16,2,0),"Other"))</f>
        <v/>
      </c>
      <c r="J1410" s="41" t="str">
        <f aca="false">IF(G1410="","",IFERROR(IF(ISNUMBER(SEARCH(Assumptions!$C$5,G1410)),Assumptions!$D$5,IF(ISNUMBER(SEARCH(Assumptions!$C$6,G1410)),Assumptions!$D$6,IF(ISNUMBER(SEARCH(Assumptions!$C$7,G1410)),Assumptions!$D$7,"Other Services"))),"Other Services"))</f>
        <v/>
      </c>
    </row>
    <row r="1411" customFormat="false" ht="15" hidden="false" customHeight="false" outlineLevel="0" collapsed="false">
      <c r="E1411" s="41" t="str">
        <f aca="false">IF(D1411="","",IFERROR(VLOOKUP(D1411,Assumptions!$G$5:$H$16,2,0),"Other"))</f>
        <v/>
      </c>
      <c r="J1411" s="41" t="str">
        <f aca="false">IF(G1411="","",IFERROR(IF(ISNUMBER(SEARCH(Assumptions!$C$5,G1411)),Assumptions!$D$5,IF(ISNUMBER(SEARCH(Assumptions!$C$6,G1411)),Assumptions!$D$6,IF(ISNUMBER(SEARCH(Assumptions!$C$7,G1411)),Assumptions!$D$7,"Other Services"))),"Other Services"))</f>
        <v/>
      </c>
    </row>
    <row r="1412" customFormat="false" ht="15" hidden="false" customHeight="false" outlineLevel="0" collapsed="false">
      <c r="E1412" s="41" t="str">
        <f aca="false">IF(D1412="","",IFERROR(VLOOKUP(D1412,Assumptions!$G$5:$H$16,2,0),"Other"))</f>
        <v/>
      </c>
      <c r="J1412" s="41" t="str">
        <f aca="false">IF(G1412="","",IFERROR(IF(ISNUMBER(SEARCH(Assumptions!$C$5,G1412)),Assumptions!$D$5,IF(ISNUMBER(SEARCH(Assumptions!$C$6,G1412)),Assumptions!$D$6,IF(ISNUMBER(SEARCH(Assumptions!$C$7,G1412)),Assumptions!$D$7,"Other Services"))),"Other Services"))</f>
        <v/>
      </c>
    </row>
    <row r="1413" customFormat="false" ht="15" hidden="false" customHeight="false" outlineLevel="0" collapsed="false">
      <c r="E1413" s="41" t="str">
        <f aca="false">IF(D1413="","",IFERROR(VLOOKUP(D1413,Assumptions!$G$5:$H$16,2,0),"Other"))</f>
        <v/>
      </c>
      <c r="J1413" s="41" t="str">
        <f aca="false">IF(G1413="","",IFERROR(IF(ISNUMBER(SEARCH(Assumptions!$C$5,G1413)),Assumptions!$D$5,IF(ISNUMBER(SEARCH(Assumptions!$C$6,G1413)),Assumptions!$D$6,IF(ISNUMBER(SEARCH(Assumptions!$C$7,G1413)),Assumptions!$D$7,"Other Services"))),"Other Services"))</f>
        <v/>
      </c>
    </row>
    <row r="1414" customFormat="false" ht="15" hidden="false" customHeight="false" outlineLevel="0" collapsed="false">
      <c r="E1414" s="41" t="str">
        <f aca="false">IF(D1414="","",IFERROR(VLOOKUP(D1414,Assumptions!$G$5:$H$16,2,0),"Other"))</f>
        <v/>
      </c>
      <c r="J1414" s="41" t="str">
        <f aca="false">IF(G1414="","",IFERROR(IF(ISNUMBER(SEARCH(Assumptions!$C$5,G1414)),Assumptions!$D$5,IF(ISNUMBER(SEARCH(Assumptions!$C$6,G1414)),Assumptions!$D$6,IF(ISNUMBER(SEARCH(Assumptions!$C$7,G1414)),Assumptions!$D$7,"Other Services"))),"Other Services"))</f>
        <v/>
      </c>
    </row>
    <row r="1415" customFormat="false" ht="15" hidden="false" customHeight="false" outlineLevel="0" collapsed="false">
      <c r="E1415" s="41" t="str">
        <f aca="false">IF(D1415="","",IFERROR(VLOOKUP(D1415,Assumptions!$G$5:$H$16,2,0),"Other"))</f>
        <v/>
      </c>
      <c r="J1415" s="41" t="str">
        <f aca="false">IF(G1415="","",IFERROR(IF(ISNUMBER(SEARCH(Assumptions!$C$5,G1415)),Assumptions!$D$5,IF(ISNUMBER(SEARCH(Assumptions!$C$6,G1415)),Assumptions!$D$6,IF(ISNUMBER(SEARCH(Assumptions!$C$7,G1415)),Assumptions!$D$7,"Other Services"))),"Other Services"))</f>
        <v/>
      </c>
    </row>
    <row r="1416" customFormat="false" ht="15" hidden="false" customHeight="false" outlineLevel="0" collapsed="false">
      <c r="E1416" s="41" t="str">
        <f aca="false">IF(D1416="","",IFERROR(VLOOKUP(D1416,Assumptions!$G$5:$H$16,2,0),"Other"))</f>
        <v/>
      </c>
      <c r="J1416" s="41" t="str">
        <f aca="false">IF(G1416="","",IFERROR(IF(ISNUMBER(SEARCH(Assumptions!$C$5,G1416)),Assumptions!$D$5,IF(ISNUMBER(SEARCH(Assumptions!$C$6,G1416)),Assumptions!$D$6,IF(ISNUMBER(SEARCH(Assumptions!$C$7,G1416)),Assumptions!$D$7,"Other Services"))),"Other Services"))</f>
        <v/>
      </c>
    </row>
    <row r="1417" customFormat="false" ht="15" hidden="false" customHeight="false" outlineLevel="0" collapsed="false">
      <c r="E1417" s="41" t="str">
        <f aca="false">IF(D1417="","",IFERROR(VLOOKUP(D1417,Assumptions!$G$5:$H$16,2,0),"Other"))</f>
        <v/>
      </c>
      <c r="J1417" s="41" t="str">
        <f aca="false">IF(G1417="","",IFERROR(IF(ISNUMBER(SEARCH(Assumptions!$C$5,G1417)),Assumptions!$D$5,IF(ISNUMBER(SEARCH(Assumptions!$C$6,G1417)),Assumptions!$D$6,IF(ISNUMBER(SEARCH(Assumptions!$C$7,G1417)),Assumptions!$D$7,"Other Services"))),"Other Services"))</f>
        <v/>
      </c>
    </row>
    <row r="1418" customFormat="false" ht="15" hidden="false" customHeight="false" outlineLevel="0" collapsed="false">
      <c r="E1418" s="41" t="str">
        <f aca="false">IF(D1418="","",IFERROR(VLOOKUP(D1418,Assumptions!$G$5:$H$16,2,0),"Other"))</f>
        <v/>
      </c>
      <c r="J1418" s="41" t="str">
        <f aca="false">IF(G1418="","",IFERROR(IF(ISNUMBER(SEARCH(Assumptions!$C$5,G1418)),Assumptions!$D$5,IF(ISNUMBER(SEARCH(Assumptions!$C$6,G1418)),Assumptions!$D$6,IF(ISNUMBER(SEARCH(Assumptions!$C$7,G1418)),Assumptions!$D$7,"Other Services"))),"Other Services"))</f>
        <v/>
      </c>
    </row>
    <row r="1419" customFormat="false" ht="15" hidden="false" customHeight="false" outlineLevel="0" collapsed="false">
      <c r="E1419" s="41" t="str">
        <f aca="false">IF(D1419="","",IFERROR(VLOOKUP(D1419,Assumptions!$G$5:$H$16,2,0),"Other"))</f>
        <v/>
      </c>
      <c r="J1419" s="41" t="str">
        <f aca="false">IF(G1419="","",IFERROR(IF(ISNUMBER(SEARCH(Assumptions!$C$5,G1419)),Assumptions!$D$5,IF(ISNUMBER(SEARCH(Assumptions!$C$6,G1419)),Assumptions!$D$6,IF(ISNUMBER(SEARCH(Assumptions!$C$7,G1419)),Assumptions!$D$7,"Other Services"))),"Other Services"))</f>
        <v/>
      </c>
    </row>
    <row r="1420" customFormat="false" ht="15" hidden="false" customHeight="false" outlineLevel="0" collapsed="false">
      <c r="E1420" s="41" t="str">
        <f aca="false">IF(D1420="","",IFERROR(VLOOKUP(D1420,Assumptions!$G$5:$H$16,2,0),"Other"))</f>
        <v/>
      </c>
      <c r="J1420" s="41" t="str">
        <f aca="false">IF(G1420="","",IFERROR(IF(ISNUMBER(SEARCH(Assumptions!$C$5,G1420)),Assumptions!$D$5,IF(ISNUMBER(SEARCH(Assumptions!$C$6,G1420)),Assumptions!$D$6,IF(ISNUMBER(SEARCH(Assumptions!$C$7,G1420)),Assumptions!$D$7,"Other Services"))),"Other Services"))</f>
        <v/>
      </c>
    </row>
    <row r="1421" customFormat="false" ht="15" hidden="false" customHeight="false" outlineLevel="0" collapsed="false">
      <c r="E1421" s="41" t="str">
        <f aca="false">IF(D1421="","",IFERROR(VLOOKUP(D1421,Assumptions!$G$5:$H$16,2,0),"Other"))</f>
        <v/>
      </c>
      <c r="J1421" s="41" t="str">
        <f aca="false">IF(G1421="","",IFERROR(IF(ISNUMBER(SEARCH(Assumptions!$C$5,G1421)),Assumptions!$D$5,IF(ISNUMBER(SEARCH(Assumptions!$C$6,G1421)),Assumptions!$D$6,IF(ISNUMBER(SEARCH(Assumptions!$C$7,G1421)),Assumptions!$D$7,"Other Services"))),"Other Services"))</f>
        <v/>
      </c>
    </row>
    <row r="1422" customFormat="false" ht="15" hidden="false" customHeight="false" outlineLevel="0" collapsed="false">
      <c r="E1422" s="41" t="str">
        <f aca="false">IF(D1422="","",IFERROR(VLOOKUP(D1422,Assumptions!$G$5:$H$16,2,0),"Other"))</f>
        <v/>
      </c>
      <c r="J1422" s="41" t="str">
        <f aca="false">IF(G1422="","",IFERROR(IF(ISNUMBER(SEARCH(Assumptions!$C$5,G1422)),Assumptions!$D$5,IF(ISNUMBER(SEARCH(Assumptions!$C$6,G1422)),Assumptions!$D$6,IF(ISNUMBER(SEARCH(Assumptions!$C$7,G1422)),Assumptions!$D$7,"Other Services"))),"Other Services"))</f>
        <v/>
      </c>
    </row>
    <row r="1423" customFormat="false" ht="15" hidden="false" customHeight="false" outlineLevel="0" collapsed="false">
      <c r="E1423" s="41" t="str">
        <f aca="false">IF(D1423="","",IFERROR(VLOOKUP(D1423,Assumptions!$G$5:$H$16,2,0),"Other"))</f>
        <v/>
      </c>
      <c r="J1423" s="41" t="str">
        <f aca="false">IF(G1423="","",IFERROR(IF(ISNUMBER(SEARCH(Assumptions!$C$5,G1423)),Assumptions!$D$5,IF(ISNUMBER(SEARCH(Assumptions!$C$6,G1423)),Assumptions!$D$6,IF(ISNUMBER(SEARCH(Assumptions!$C$7,G1423)),Assumptions!$D$7,"Other Services"))),"Other Services"))</f>
        <v/>
      </c>
    </row>
    <row r="1424" customFormat="false" ht="15" hidden="false" customHeight="false" outlineLevel="0" collapsed="false">
      <c r="E1424" s="41" t="str">
        <f aca="false">IF(D1424="","",IFERROR(VLOOKUP(D1424,Assumptions!$G$5:$H$16,2,0),"Other"))</f>
        <v/>
      </c>
      <c r="J1424" s="41" t="str">
        <f aca="false">IF(G1424="","",IFERROR(IF(ISNUMBER(SEARCH(Assumptions!$C$5,G1424)),Assumptions!$D$5,IF(ISNUMBER(SEARCH(Assumptions!$C$6,G1424)),Assumptions!$D$6,IF(ISNUMBER(SEARCH(Assumptions!$C$7,G1424)),Assumptions!$D$7,"Other Services"))),"Other Services"))</f>
        <v/>
      </c>
    </row>
    <row r="1425" customFormat="false" ht="15" hidden="false" customHeight="false" outlineLevel="0" collapsed="false">
      <c r="E1425" s="41" t="str">
        <f aca="false">IF(D1425="","",IFERROR(VLOOKUP(D1425,Assumptions!$G$5:$H$16,2,0),"Other"))</f>
        <v/>
      </c>
      <c r="J1425" s="41" t="str">
        <f aca="false">IF(G1425="","",IFERROR(IF(ISNUMBER(SEARCH(Assumptions!$C$5,G1425)),Assumptions!$D$5,IF(ISNUMBER(SEARCH(Assumptions!$C$6,G1425)),Assumptions!$D$6,IF(ISNUMBER(SEARCH(Assumptions!$C$7,G1425)),Assumptions!$D$7,"Other Services"))),"Other Services"))</f>
        <v/>
      </c>
    </row>
    <row r="1426" customFormat="false" ht="15" hidden="false" customHeight="false" outlineLevel="0" collapsed="false">
      <c r="E1426" s="41" t="str">
        <f aca="false">IF(D1426="","",IFERROR(VLOOKUP(D1426,Assumptions!$G$5:$H$16,2,0),"Other"))</f>
        <v/>
      </c>
      <c r="J1426" s="41" t="str">
        <f aca="false">IF(G1426="","",IFERROR(IF(ISNUMBER(SEARCH(Assumptions!$C$5,G1426)),Assumptions!$D$5,IF(ISNUMBER(SEARCH(Assumptions!$C$6,G1426)),Assumptions!$D$6,IF(ISNUMBER(SEARCH(Assumptions!$C$7,G1426)),Assumptions!$D$7,"Other Services"))),"Other Services"))</f>
        <v/>
      </c>
    </row>
    <row r="1427" customFormat="false" ht="15" hidden="false" customHeight="false" outlineLevel="0" collapsed="false">
      <c r="E1427" s="41" t="str">
        <f aca="false">IF(D1427="","",IFERROR(VLOOKUP(D1427,Assumptions!$G$5:$H$16,2,0),"Other"))</f>
        <v/>
      </c>
      <c r="J1427" s="41" t="str">
        <f aca="false">IF(G1427="","",IFERROR(IF(ISNUMBER(SEARCH(Assumptions!$C$5,G1427)),Assumptions!$D$5,IF(ISNUMBER(SEARCH(Assumptions!$C$6,G1427)),Assumptions!$D$6,IF(ISNUMBER(SEARCH(Assumptions!$C$7,G1427)),Assumptions!$D$7,"Other Services"))),"Other Services"))</f>
        <v/>
      </c>
    </row>
    <row r="1428" customFormat="false" ht="15" hidden="false" customHeight="false" outlineLevel="0" collapsed="false">
      <c r="E1428" s="41" t="str">
        <f aca="false">IF(D1428="","",IFERROR(VLOOKUP(D1428,Assumptions!$G$5:$H$16,2,0),"Other"))</f>
        <v/>
      </c>
      <c r="J1428" s="41" t="str">
        <f aca="false">IF(G1428="","",IFERROR(IF(ISNUMBER(SEARCH(Assumptions!$C$5,G1428)),Assumptions!$D$5,IF(ISNUMBER(SEARCH(Assumptions!$C$6,G1428)),Assumptions!$D$6,IF(ISNUMBER(SEARCH(Assumptions!$C$7,G1428)),Assumptions!$D$7,"Other Services"))),"Other Services"))</f>
        <v/>
      </c>
    </row>
    <row r="1429" customFormat="false" ht="15" hidden="false" customHeight="false" outlineLevel="0" collapsed="false">
      <c r="E1429" s="41" t="str">
        <f aca="false">IF(D1429="","",IFERROR(VLOOKUP(D1429,Assumptions!$G$5:$H$16,2,0),"Other"))</f>
        <v/>
      </c>
      <c r="J1429" s="41" t="str">
        <f aca="false">IF(G1429="","",IFERROR(IF(ISNUMBER(SEARCH(Assumptions!$C$5,G1429)),Assumptions!$D$5,IF(ISNUMBER(SEARCH(Assumptions!$C$6,G1429)),Assumptions!$D$6,IF(ISNUMBER(SEARCH(Assumptions!$C$7,G1429)),Assumptions!$D$7,"Other Services"))),"Other Services"))</f>
        <v/>
      </c>
    </row>
    <row r="1430" customFormat="false" ht="15" hidden="false" customHeight="false" outlineLevel="0" collapsed="false">
      <c r="E1430" s="41" t="str">
        <f aca="false">IF(D1430="","",IFERROR(VLOOKUP(D1430,Assumptions!$G$5:$H$16,2,0),"Other"))</f>
        <v/>
      </c>
      <c r="J1430" s="41" t="str">
        <f aca="false">IF(G1430="","",IFERROR(IF(ISNUMBER(SEARCH(Assumptions!$C$5,G1430)),Assumptions!$D$5,IF(ISNUMBER(SEARCH(Assumptions!$C$6,G1430)),Assumptions!$D$6,IF(ISNUMBER(SEARCH(Assumptions!$C$7,G1430)),Assumptions!$D$7,"Other Services"))),"Other Services"))</f>
        <v/>
      </c>
    </row>
    <row r="1431" customFormat="false" ht="15" hidden="false" customHeight="false" outlineLevel="0" collapsed="false">
      <c r="E1431" s="41" t="str">
        <f aca="false">IF(D1431="","",IFERROR(VLOOKUP(D1431,Assumptions!$G$5:$H$16,2,0),"Other"))</f>
        <v/>
      </c>
      <c r="J1431" s="41" t="str">
        <f aca="false">IF(G1431="","",IFERROR(IF(ISNUMBER(SEARCH(Assumptions!$C$5,G1431)),Assumptions!$D$5,IF(ISNUMBER(SEARCH(Assumptions!$C$6,G1431)),Assumptions!$D$6,IF(ISNUMBER(SEARCH(Assumptions!$C$7,G1431)),Assumptions!$D$7,"Other Services"))),"Other Services"))</f>
        <v/>
      </c>
    </row>
    <row r="1432" customFormat="false" ht="15" hidden="false" customHeight="false" outlineLevel="0" collapsed="false">
      <c r="E1432" s="41" t="str">
        <f aca="false">IF(D1432="","",IFERROR(VLOOKUP(D1432,Assumptions!$G$5:$H$16,2,0),"Other"))</f>
        <v/>
      </c>
      <c r="J1432" s="41" t="str">
        <f aca="false">IF(G1432="","",IFERROR(IF(ISNUMBER(SEARCH(Assumptions!$C$5,G1432)),Assumptions!$D$5,IF(ISNUMBER(SEARCH(Assumptions!$C$6,G1432)),Assumptions!$D$6,IF(ISNUMBER(SEARCH(Assumptions!$C$7,G1432)),Assumptions!$D$7,"Other Services"))),"Other Services"))</f>
        <v/>
      </c>
    </row>
    <row r="1433" customFormat="false" ht="15" hidden="false" customHeight="false" outlineLevel="0" collapsed="false">
      <c r="E1433" s="41" t="str">
        <f aca="false">IF(D1433="","",IFERROR(VLOOKUP(D1433,Assumptions!$G$5:$H$16,2,0),"Other"))</f>
        <v/>
      </c>
      <c r="J1433" s="41" t="str">
        <f aca="false">IF(G1433="","",IFERROR(IF(ISNUMBER(SEARCH(Assumptions!$C$5,G1433)),Assumptions!$D$5,IF(ISNUMBER(SEARCH(Assumptions!$C$6,G1433)),Assumptions!$D$6,IF(ISNUMBER(SEARCH(Assumptions!$C$7,G1433)),Assumptions!$D$7,"Other Services"))),"Other Services"))</f>
        <v/>
      </c>
    </row>
    <row r="1434" customFormat="false" ht="15" hidden="false" customHeight="false" outlineLevel="0" collapsed="false">
      <c r="E1434" s="41" t="str">
        <f aca="false">IF(D1434="","",IFERROR(VLOOKUP(D1434,Assumptions!$G$5:$H$16,2,0),"Other"))</f>
        <v/>
      </c>
      <c r="J1434" s="41" t="str">
        <f aca="false">IF(G1434="","",IFERROR(IF(ISNUMBER(SEARCH(Assumptions!$C$5,G1434)),Assumptions!$D$5,IF(ISNUMBER(SEARCH(Assumptions!$C$6,G1434)),Assumptions!$D$6,IF(ISNUMBER(SEARCH(Assumptions!$C$7,G1434)),Assumptions!$D$7,"Other Services"))),"Other Services"))</f>
        <v/>
      </c>
    </row>
    <row r="1435" customFormat="false" ht="15" hidden="false" customHeight="false" outlineLevel="0" collapsed="false">
      <c r="E1435" s="41" t="str">
        <f aca="false">IF(D1435="","",IFERROR(VLOOKUP(D1435,Assumptions!$G$5:$H$16,2,0),"Other"))</f>
        <v/>
      </c>
      <c r="J1435" s="41" t="str">
        <f aca="false">IF(G1435="","",IFERROR(IF(ISNUMBER(SEARCH(Assumptions!$C$5,G1435)),Assumptions!$D$5,IF(ISNUMBER(SEARCH(Assumptions!$C$6,G1435)),Assumptions!$D$6,IF(ISNUMBER(SEARCH(Assumptions!$C$7,G1435)),Assumptions!$D$7,"Other Services"))),"Other Services"))</f>
        <v/>
      </c>
    </row>
    <row r="1436" customFormat="false" ht="15" hidden="false" customHeight="false" outlineLevel="0" collapsed="false">
      <c r="E1436" s="41" t="str">
        <f aca="false">IF(D1436="","",IFERROR(VLOOKUP(D1436,Assumptions!$G$5:$H$16,2,0),"Other"))</f>
        <v/>
      </c>
      <c r="J1436" s="41" t="str">
        <f aca="false">IF(G1436="","",IFERROR(IF(ISNUMBER(SEARCH(Assumptions!$C$5,G1436)),Assumptions!$D$5,IF(ISNUMBER(SEARCH(Assumptions!$C$6,G1436)),Assumptions!$D$6,IF(ISNUMBER(SEARCH(Assumptions!$C$7,G1436)),Assumptions!$D$7,"Other Services"))),"Other Services"))</f>
        <v/>
      </c>
    </row>
    <row r="1437" customFormat="false" ht="15" hidden="false" customHeight="false" outlineLevel="0" collapsed="false">
      <c r="E1437" s="41" t="str">
        <f aca="false">IF(D1437="","",IFERROR(VLOOKUP(D1437,Assumptions!$G$5:$H$16,2,0),"Other"))</f>
        <v/>
      </c>
      <c r="J1437" s="41" t="str">
        <f aca="false">IF(G1437="","",IFERROR(IF(ISNUMBER(SEARCH(Assumptions!$C$5,G1437)),Assumptions!$D$5,IF(ISNUMBER(SEARCH(Assumptions!$C$6,G1437)),Assumptions!$D$6,IF(ISNUMBER(SEARCH(Assumptions!$C$7,G1437)),Assumptions!$D$7,"Other Services"))),"Other Services"))</f>
        <v/>
      </c>
    </row>
    <row r="1438" customFormat="false" ht="15" hidden="false" customHeight="false" outlineLevel="0" collapsed="false">
      <c r="E1438" s="41" t="str">
        <f aca="false">IF(D1438="","",IFERROR(VLOOKUP(D1438,Assumptions!$G$5:$H$16,2,0),"Other"))</f>
        <v/>
      </c>
      <c r="J1438" s="41" t="str">
        <f aca="false">IF(G1438="","",IFERROR(IF(ISNUMBER(SEARCH(Assumptions!$C$5,G1438)),Assumptions!$D$5,IF(ISNUMBER(SEARCH(Assumptions!$C$6,G1438)),Assumptions!$D$6,IF(ISNUMBER(SEARCH(Assumptions!$C$7,G1438)),Assumptions!$D$7,"Other Services"))),"Other Services"))</f>
        <v/>
      </c>
    </row>
    <row r="1439" customFormat="false" ht="15" hidden="false" customHeight="false" outlineLevel="0" collapsed="false">
      <c r="E1439" s="41" t="str">
        <f aca="false">IF(D1439="","",IFERROR(VLOOKUP(D1439,Assumptions!$G$5:$H$16,2,0),"Other"))</f>
        <v/>
      </c>
      <c r="J1439" s="41" t="str">
        <f aca="false">IF(G1439="","",IFERROR(IF(ISNUMBER(SEARCH(Assumptions!$C$5,G1439)),Assumptions!$D$5,IF(ISNUMBER(SEARCH(Assumptions!$C$6,G1439)),Assumptions!$D$6,IF(ISNUMBER(SEARCH(Assumptions!$C$7,G1439)),Assumptions!$D$7,"Other Services"))),"Other Services"))</f>
        <v/>
      </c>
    </row>
    <row r="1440" customFormat="false" ht="15" hidden="false" customHeight="false" outlineLevel="0" collapsed="false">
      <c r="E1440" s="41" t="str">
        <f aca="false">IF(D1440="","",IFERROR(VLOOKUP(D1440,Assumptions!$G$5:$H$16,2,0),"Other"))</f>
        <v/>
      </c>
      <c r="J1440" s="41" t="str">
        <f aca="false">IF(G1440="","",IFERROR(IF(ISNUMBER(SEARCH(Assumptions!$C$5,G1440)),Assumptions!$D$5,IF(ISNUMBER(SEARCH(Assumptions!$C$6,G1440)),Assumptions!$D$6,IF(ISNUMBER(SEARCH(Assumptions!$C$7,G1440)),Assumptions!$D$7,"Other Services"))),"Other Services"))</f>
        <v/>
      </c>
    </row>
    <row r="1441" customFormat="false" ht="15" hidden="false" customHeight="false" outlineLevel="0" collapsed="false">
      <c r="E1441" s="41" t="str">
        <f aca="false">IF(D1441="","",IFERROR(VLOOKUP(D1441,Assumptions!$G$5:$H$16,2,0),"Other"))</f>
        <v/>
      </c>
      <c r="J1441" s="41" t="str">
        <f aca="false">IF(G1441="","",IFERROR(IF(ISNUMBER(SEARCH(Assumptions!$C$5,G1441)),Assumptions!$D$5,IF(ISNUMBER(SEARCH(Assumptions!$C$6,G1441)),Assumptions!$D$6,IF(ISNUMBER(SEARCH(Assumptions!$C$7,G1441)),Assumptions!$D$7,"Other Services"))),"Other Services"))</f>
        <v/>
      </c>
    </row>
    <row r="1442" customFormat="false" ht="15" hidden="false" customHeight="false" outlineLevel="0" collapsed="false">
      <c r="E1442" s="41" t="str">
        <f aca="false">IF(D1442="","",IFERROR(VLOOKUP(D1442,Assumptions!$G$5:$H$16,2,0),"Other"))</f>
        <v/>
      </c>
      <c r="J1442" s="41" t="str">
        <f aca="false">IF(G1442="","",IFERROR(IF(ISNUMBER(SEARCH(Assumptions!$C$5,G1442)),Assumptions!$D$5,IF(ISNUMBER(SEARCH(Assumptions!$C$6,G1442)),Assumptions!$D$6,IF(ISNUMBER(SEARCH(Assumptions!$C$7,G1442)),Assumptions!$D$7,"Other Services"))),"Other Services"))</f>
        <v/>
      </c>
    </row>
    <row r="1443" customFormat="false" ht="15" hidden="false" customHeight="false" outlineLevel="0" collapsed="false">
      <c r="E1443" s="41" t="str">
        <f aca="false">IF(D1443="","",IFERROR(VLOOKUP(D1443,Assumptions!$G$5:$H$16,2,0),"Other"))</f>
        <v/>
      </c>
      <c r="J1443" s="41" t="str">
        <f aca="false">IF(G1443="","",IFERROR(IF(ISNUMBER(SEARCH(Assumptions!$C$5,G1443)),Assumptions!$D$5,IF(ISNUMBER(SEARCH(Assumptions!$C$6,G1443)),Assumptions!$D$6,IF(ISNUMBER(SEARCH(Assumptions!$C$7,G1443)),Assumptions!$D$7,"Other Services"))),"Other Services"))</f>
        <v/>
      </c>
    </row>
    <row r="1444" customFormat="false" ht="15" hidden="false" customHeight="false" outlineLevel="0" collapsed="false">
      <c r="E1444" s="41" t="str">
        <f aca="false">IF(D1444="","",IFERROR(VLOOKUP(D1444,Assumptions!$G$5:$H$16,2,0),"Other"))</f>
        <v/>
      </c>
      <c r="J1444" s="41" t="str">
        <f aca="false">IF(G1444="","",IFERROR(IF(ISNUMBER(SEARCH(Assumptions!$C$5,G1444)),Assumptions!$D$5,IF(ISNUMBER(SEARCH(Assumptions!$C$6,G1444)),Assumptions!$D$6,IF(ISNUMBER(SEARCH(Assumptions!$C$7,G1444)),Assumptions!$D$7,"Other Services"))),"Other Services"))</f>
        <v/>
      </c>
    </row>
    <row r="1445" customFormat="false" ht="15" hidden="false" customHeight="false" outlineLevel="0" collapsed="false">
      <c r="E1445" s="41" t="str">
        <f aca="false">IF(D1445="","",IFERROR(VLOOKUP(D1445,Assumptions!$G$5:$H$16,2,0),"Other"))</f>
        <v/>
      </c>
      <c r="J1445" s="41" t="str">
        <f aca="false">IF(G1445="","",IFERROR(IF(ISNUMBER(SEARCH(Assumptions!$C$5,G1445)),Assumptions!$D$5,IF(ISNUMBER(SEARCH(Assumptions!$C$6,G1445)),Assumptions!$D$6,IF(ISNUMBER(SEARCH(Assumptions!$C$7,G1445)),Assumptions!$D$7,"Other Services"))),"Other Services"))</f>
        <v/>
      </c>
    </row>
    <row r="1446" customFormat="false" ht="15" hidden="false" customHeight="false" outlineLevel="0" collapsed="false">
      <c r="E1446" s="41" t="str">
        <f aca="false">IF(D1446="","",IFERROR(VLOOKUP(D1446,Assumptions!$G$5:$H$16,2,0),"Other"))</f>
        <v/>
      </c>
      <c r="J1446" s="41" t="str">
        <f aca="false">IF(G1446="","",IFERROR(IF(ISNUMBER(SEARCH(Assumptions!$C$5,G1446)),Assumptions!$D$5,IF(ISNUMBER(SEARCH(Assumptions!$C$6,G1446)),Assumptions!$D$6,IF(ISNUMBER(SEARCH(Assumptions!$C$7,G1446)),Assumptions!$D$7,"Other Services"))),"Other Services"))</f>
        <v/>
      </c>
    </row>
    <row r="1447" customFormat="false" ht="15" hidden="false" customHeight="false" outlineLevel="0" collapsed="false">
      <c r="E1447" s="41" t="str">
        <f aca="false">IF(D1447="","",IFERROR(VLOOKUP(D1447,Assumptions!$G$5:$H$16,2,0),"Other"))</f>
        <v/>
      </c>
      <c r="J1447" s="41" t="str">
        <f aca="false">IF(G1447="","",IFERROR(IF(ISNUMBER(SEARCH(Assumptions!$C$5,G1447)),Assumptions!$D$5,IF(ISNUMBER(SEARCH(Assumptions!$C$6,G1447)),Assumptions!$D$6,IF(ISNUMBER(SEARCH(Assumptions!$C$7,G1447)),Assumptions!$D$7,"Other Services"))),"Other Services"))</f>
        <v/>
      </c>
    </row>
    <row r="1448" customFormat="false" ht="15" hidden="false" customHeight="false" outlineLevel="0" collapsed="false">
      <c r="E1448" s="41" t="str">
        <f aca="false">IF(D1448="","",IFERROR(VLOOKUP(D1448,Assumptions!$G$5:$H$16,2,0),"Other"))</f>
        <v/>
      </c>
      <c r="J1448" s="41" t="str">
        <f aca="false">IF(G1448="","",IFERROR(IF(ISNUMBER(SEARCH(Assumptions!$C$5,G1448)),Assumptions!$D$5,IF(ISNUMBER(SEARCH(Assumptions!$C$6,G1448)),Assumptions!$D$6,IF(ISNUMBER(SEARCH(Assumptions!$C$7,G1448)),Assumptions!$D$7,"Other Services"))),"Other Services"))</f>
        <v/>
      </c>
    </row>
    <row r="1449" customFormat="false" ht="15" hidden="false" customHeight="false" outlineLevel="0" collapsed="false">
      <c r="E1449" s="41" t="str">
        <f aca="false">IF(D1449="","",IFERROR(VLOOKUP(D1449,Assumptions!$G$5:$H$16,2,0),"Other"))</f>
        <v/>
      </c>
      <c r="J1449" s="41" t="str">
        <f aca="false">IF(G1449="","",IFERROR(IF(ISNUMBER(SEARCH(Assumptions!$C$5,G1449)),Assumptions!$D$5,IF(ISNUMBER(SEARCH(Assumptions!$C$6,G1449)),Assumptions!$D$6,IF(ISNUMBER(SEARCH(Assumptions!$C$7,G1449)),Assumptions!$D$7,"Other Services"))),"Other Services"))</f>
        <v/>
      </c>
    </row>
    <row r="1450" customFormat="false" ht="15" hidden="false" customHeight="false" outlineLevel="0" collapsed="false">
      <c r="E1450" s="41" t="str">
        <f aca="false">IF(D1450="","",IFERROR(VLOOKUP(D1450,Assumptions!$G$5:$H$16,2,0),"Other"))</f>
        <v/>
      </c>
      <c r="J1450" s="41" t="str">
        <f aca="false">IF(G1450="","",IFERROR(IF(ISNUMBER(SEARCH(Assumptions!$C$5,G1450)),Assumptions!$D$5,IF(ISNUMBER(SEARCH(Assumptions!$C$6,G1450)),Assumptions!$D$6,IF(ISNUMBER(SEARCH(Assumptions!$C$7,G1450)),Assumptions!$D$7,"Other Services"))),"Other Services"))</f>
        <v/>
      </c>
    </row>
    <row r="1451" customFormat="false" ht="15" hidden="false" customHeight="false" outlineLevel="0" collapsed="false">
      <c r="E1451" s="41" t="str">
        <f aca="false">IF(D1451="","",IFERROR(VLOOKUP(D1451,Assumptions!$G$5:$H$16,2,0),"Other"))</f>
        <v/>
      </c>
      <c r="J1451" s="41" t="str">
        <f aca="false">IF(G1451="","",IFERROR(IF(ISNUMBER(SEARCH(Assumptions!$C$5,G1451)),Assumptions!$D$5,IF(ISNUMBER(SEARCH(Assumptions!$C$6,G1451)),Assumptions!$D$6,IF(ISNUMBER(SEARCH(Assumptions!$C$7,G1451)),Assumptions!$D$7,"Other Services"))),"Other Services"))</f>
        <v/>
      </c>
    </row>
    <row r="1452" customFormat="false" ht="15" hidden="false" customHeight="false" outlineLevel="0" collapsed="false">
      <c r="E1452" s="41" t="str">
        <f aca="false">IF(D1452="","",IFERROR(VLOOKUP(D1452,Assumptions!$G$5:$H$16,2,0),"Other"))</f>
        <v/>
      </c>
      <c r="J1452" s="41" t="str">
        <f aca="false">IF(G1452="","",IFERROR(IF(ISNUMBER(SEARCH(Assumptions!$C$5,G1452)),Assumptions!$D$5,IF(ISNUMBER(SEARCH(Assumptions!$C$6,G1452)),Assumptions!$D$6,IF(ISNUMBER(SEARCH(Assumptions!$C$7,G1452)),Assumptions!$D$7,"Other Services"))),"Other Services"))</f>
        <v/>
      </c>
    </row>
    <row r="1453" customFormat="false" ht="15" hidden="false" customHeight="false" outlineLevel="0" collapsed="false">
      <c r="E1453" s="41" t="str">
        <f aca="false">IF(D1453="","",IFERROR(VLOOKUP(D1453,Assumptions!$G$5:$H$16,2,0),"Other"))</f>
        <v/>
      </c>
      <c r="J1453" s="41" t="str">
        <f aca="false">IF(G1453="","",IFERROR(IF(ISNUMBER(SEARCH(Assumptions!$C$5,G1453)),Assumptions!$D$5,IF(ISNUMBER(SEARCH(Assumptions!$C$6,G1453)),Assumptions!$D$6,IF(ISNUMBER(SEARCH(Assumptions!$C$7,G1453)),Assumptions!$D$7,"Other Services"))),"Other Services"))</f>
        <v/>
      </c>
    </row>
    <row r="1454" customFormat="false" ht="15" hidden="false" customHeight="false" outlineLevel="0" collapsed="false">
      <c r="E1454" s="41" t="str">
        <f aca="false">IF(D1454="","",IFERROR(VLOOKUP(D1454,Assumptions!$G$5:$H$16,2,0),"Other"))</f>
        <v/>
      </c>
      <c r="J1454" s="41" t="str">
        <f aca="false">IF(G1454="","",IFERROR(IF(ISNUMBER(SEARCH(Assumptions!$C$5,G1454)),Assumptions!$D$5,IF(ISNUMBER(SEARCH(Assumptions!$C$6,G1454)),Assumptions!$D$6,IF(ISNUMBER(SEARCH(Assumptions!$C$7,G1454)),Assumptions!$D$7,"Other Services"))),"Other Services"))</f>
        <v/>
      </c>
    </row>
    <row r="1455" customFormat="false" ht="15" hidden="false" customHeight="false" outlineLevel="0" collapsed="false">
      <c r="E1455" s="41" t="str">
        <f aca="false">IF(D1455="","",IFERROR(VLOOKUP(D1455,Assumptions!$G$5:$H$16,2,0),"Other"))</f>
        <v/>
      </c>
      <c r="J1455" s="41" t="str">
        <f aca="false">IF(G1455="","",IFERROR(IF(ISNUMBER(SEARCH(Assumptions!$C$5,G1455)),Assumptions!$D$5,IF(ISNUMBER(SEARCH(Assumptions!$C$6,G1455)),Assumptions!$D$6,IF(ISNUMBER(SEARCH(Assumptions!$C$7,G1455)),Assumptions!$D$7,"Other Services"))),"Other Services"))</f>
        <v/>
      </c>
    </row>
    <row r="1456" customFormat="false" ht="15" hidden="false" customHeight="false" outlineLevel="0" collapsed="false">
      <c r="E1456" s="41" t="str">
        <f aca="false">IF(D1456="","",IFERROR(VLOOKUP(D1456,Assumptions!$G$5:$H$16,2,0),"Other"))</f>
        <v/>
      </c>
      <c r="J1456" s="41" t="str">
        <f aca="false">IF(G1456="","",IFERROR(IF(ISNUMBER(SEARCH(Assumptions!$C$5,G1456)),Assumptions!$D$5,IF(ISNUMBER(SEARCH(Assumptions!$C$6,G1456)),Assumptions!$D$6,IF(ISNUMBER(SEARCH(Assumptions!$C$7,G1456)),Assumptions!$D$7,"Other Services"))),"Other Services"))</f>
        <v/>
      </c>
    </row>
    <row r="1457" customFormat="false" ht="15" hidden="false" customHeight="false" outlineLevel="0" collapsed="false">
      <c r="E1457" s="41" t="str">
        <f aca="false">IF(D1457="","",IFERROR(VLOOKUP(D1457,Assumptions!$G$5:$H$16,2,0),"Other"))</f>
        <v/>
      </c>
      <c r="J1457" s="41" t="str">
        <f aca="false">IF(G1457="","",IFERROR(IF(ISNUMBER(SEARCH(Assumptions!$C$5,G1457)),Assumptions!$D$5,IF(ISNUMBER(SEARCH(Assumptions!$C$6,G1457)),Assumptions!$D$6,IF(ISNUMBER(SEARCH(Assumptions!$C$7,G1457)),Assumptions!$D$7,"Other Services"))),"Other Services"))</f>
        <v/>
      </c>
    </row>
    <row r="1458" customFormat="false" ht="15" hidden="false" customHeight="false" outlineLevel="0" collapsed="false">
      <c r="E1458" s="41" t="str">
        <f aca="false">IF(D1458="","",IFERROR(VLOOKUP(D1458,Assumptions!$G$5:$H$16,2,0),"Other"))</f>
        <v/>
      </c>
      <c r="J1458" s="41" t="str">
        <f aca="false">IF(G1458="","",IFERROR(IF(ISNUMBER(SEARCH(Assumptions!$C$5,G1458)),Assumptions!$D$5,IF(ISNUMBER(SEARCH(Assumptions!$C$6,G1458)),Assumptions!$D$6,IF(ISNUMBER(SEARCH(Assumptions!$C$7,G1458)),Assumptions!$D$7,"Other Services"))),"Other Services"))</f>
        <v/>
      </c>
    </row>
    <row r="1459" customFormat="false" ht="15" hidden="false" customHeight="false" outlineLevel="0" collapsed="false">
      <c r="E1459" s="41" t="str">
        <f aca="false">IF(D1459="","",IFERROR(VLOOKUP(D1459,Assumptions!$G$5:$H$16,2,0),"Other"))</f>
        <v/>
      </c>
      <c r="J1459" s="41" t="str">
        <f aca="false">IF(G1459="","",IFERROR(IF(ISNUMBER(SEARCH(Assumptions!$C$5,G1459)),Assumptions!$D$5,IF(ISNUMBER(SEARCH(Assumptions!$C$6,G1459)),Assumptions!$D$6,IF(ISNUMBER(SEARCH(Assumptions!$C$7,G1459)),Assumptions!$D$7,"Other Services"))),"Other Services"))</f>
        <v/>
      </c>
    </row>
    <row r="1460" customFormat="false" ht="15" hidden="false" customHeight="false" outlineLevel="0" collapsed="false">
      <c r="E1460" s="41" t="str">
        <f aca="false">IF(D1460="","",IFERROR(VLOOKUP(D1460,Assumptions!$G$5:$H$16,2,0),"Other"))</f>
        <v/>
      </c>
      <c r="J1460" s="41" t="str">
        <f aca="false">IF(G1460="","",IFERROR(IF(ISNUMBER(SEARCH(Assumptions!$C$5,G1460)),Assumptions!$D$5,IF(ISNUMBER(SEARCH(Assumptions!$C$6,G1460)),Assumptions!$D$6,IF(ISNUMBER(SEARCH(Assumptions!$C$7,G1460)),Assumptions!$D$7,"Other Services"))),"Other Services"))</f>
        <v/>
      </c>
    </row>
    <row r="1461" customFormat="false" ht="15" hidden="false" customHeight="false" outlineLevel="0" collapsed="false">
      <c r="E1461" s="41" t="str">
        <f aca="false">IF(D1461="","",IFERROR(VLOOKUP(D1461,Assumptions!$G$5:$H$16,2,0),"Other"))</f>
        <v/>
      </c>
      <c r="J1461" s="41" t="str">
        <f aca="false">IF(G1461="","",IFERROR(IF(ISNUMBER(SEARCH(Assumptions!$C$5,G1461)),Assumptions!$D$5,IF(ISNUMBER(SEARCH(Assumptions!$C$6,G1461)),Assumptions!$D$6,IF(ISNUMBER(SEARCH(Assumptions!$C$7,G1461)),Assumptions!$D$7,"Other Services"))),"Other Services"))</f>
        <v/>
      </c>
    </row>
    <row r="1462" customFormat="false" ht="15" hidden="false" customHeight="false" outlineLevel="0" collapsed="false">
      <c r="E1462" s="41" t="str">
        <f aca="false">IF(D1462="","",IFERROR(VLOOKUP(D1462,Assumptions!$G$5:$H$16,2,0),"Other"))</f>
        <v/>
      </c>
      <c r="J1462" s="41" t="str">
        <f aca="false">IF(G1462="","",IFERROR(IF(ISNUMBER(SEARCH(Assumptions!$C$5,G1462)),Assumptions!$D$5,IF(ISNUMBER(SEARCH(Assumptions!$C$6,G1462)),Assumptions!$D$6,IF(ISNUMBER(SEARCH(Assumptions!$C$7,G1462)),Assumptions!$D$7,"Other Services"))),"Other Services"))</f>
        <v/>
      </c>
    </row>
    <row r="1463" customFormat="false" ht="15" hidden="false" customHeight="false" outlineLevel="0" collapsed="false">
      <c r="E1463" s="41" t="str">
        <f aca="false">IF(D1463="","",IFERROR(VLOOKUP(D1463,Assumptions!$G$5:$H$16,2,0),"Other"))</f>
        <v/>
      </c>
      <c r="J1463" s="41" t="str">
        <f aca="false">IF(G1463="","",IFERROR(IF(ISNUMBER(SEARCH(Assumptions!$C$5,G1463)),Assumptions!$D$5,IF(ISNUMBER(SEARCH(Assumptions!$C$6,G1463)),Assumptions!$D$6,IF(ISNUMBER(SEARCH(Assumptions!$C$7,G1463)),Assumptions!$D$7,"Other Services"))),"Other Services"))</f>
        <v/>
      </c>
    </row>
    <row r="1464" customFormat="false" ht="15" hidden="false" customHeight="false" outlineLevel="0" collapsed="false">
      <c r="E1464" s="41" t="str">
        <f aca="false">IF(D1464="","",IFERROR(VLOOKUP(D1464,Assumptions!$G$5:$H$16,2,0),"Other"))</f>
        <v/>
      </c>
      <c r="J1464" s="41" t="str">
        <f aca="false">IF(G1464="","",IFERROR(IF(ISNUMBER(SEARCH(Assumptions!$C$5,G1464)),Assumptions!$D$5,IF(ISNUMBER(SEARCH(Assumptions!$C$6,G1464)),Assumptions!$D$6,IF(ISNUMBER(SEARCH(Assumptions!$C$7,G1464)),Assumptions!$D$7,"Other Services"))),"Other Services"))</f>
        <v/>
      </c>
    </row>
    <row r="1465" customFormat="false" ht="15" hidden="false" customHeight="false" outlineLevel="0" collapsed="false">
      <c r="E1465" s="41" t="str">
        <f aca="false">IF(D1465="","",IFERROR(VLOOKUP(D1465,Assumptions!$G$5:$H$16,2,0),"Other"))</f>
        <v/>
      </c>
      <c r="J1465" s="41" t="str">
        <f aca="false">IF(G1465="","",IFERROR(IF(ISNUMBER(SEARCH(Assumptions!$C$5,G1465)),Assumptions!$D$5,IF(ISNUMBER(SEARCH(Assumptions!$C$6,G1465)),Assumptions!$D$6,IF(ISNUMBER(SEARCH(Assumptions!$C$7,G1465)),Assumptions!$D$7,"Other Services"))),"Other Services"))</f>
        <v/>
      </c>
    </row>
    <row r="1466" customFormat="false" ht="15" hidden="false" customHeight="false" outlineLevel="0" collapsed="false">
      <c r="E1466" s="41" t="str">
        <f aca="false">IF(D1466="","",IFERROR(VLOOKUP(D1466,Assumptions!$G$5:$H$16,2,0),"Other"))</f>
        <v/>
      </c>
      <c r="J1466" s="41" t="str">
        <f aca="false">IF(G1466="","",IFERROR(IF(ISNUMBER(SEARCH(Assumptions!$C$5,G1466)),Assumptions!$D$5,IF(ISNUMBER(SEARCH(Assumptions!$C$6,G1466)),Assumptions!$D$6,IF(ISNUMBER(SEARCH(Assumptions!$C$7,G1466)),Assumptions!$D$7,"Other Services"))),"Other Services"))</f>
        <v/>
      </c>
    </row>
    <row r="1467" customFormat="false" ht="15" hidden="false" customHeight="false" outlineLevel="0" collapsed="false">
      <c r="E1467" s="41" t="str">
        <f aca="false">IF(D1467="","",IFERROR(VLOOKUP(D1467,Assumptions!$G$5:$H$16,2,0),"Other"))</f>
        <v/>
      </c>
      <c r="J1467" s="41" t="str">
        <f aca="false">IF(G1467="","",IFERROR(IF(ISNUMBER(SEARCH(Assumptions!$C$5,G1467)),Assumptions!$D$5,IF(ISNUMBER(SEARCH(Assumptions!$C$6,G1467)),Assumptions!$D$6,IF(ISNUMBER(SEARCH(Assumptions!$C$7,G1467)),Assumptions!$D$7,"Other Services"))),"Other Services"))</f>
        <v/>
      </c>
    </row>
    <row r="1468" customFormat="false" ht="15" hidden="false" customHeight="false" outlineLevel="0" collapsed="false">
      <c r="E1468" s="41" t="str">
        <f aca="false">IF(D1468="","",IFERROR(VLOOKUP(D1468,Assumptions!$G$5:$H$16,2,0),"Other"))</f>
        <v/>
      </c>
      <c r="J1468" s="41" t="str">
        <f aca="false">IF(G1468="","",IFERROR(IF(ISNUMBER(SEARCH(Assumptions!$C$5,G1468)),Assumptions!$D$5,IF(ISNUMBER(SEARCH(Assumptions!$C$6,G1468)),Assumptions!$D$6,IF(ISNUMBER(SEARCH(Assumptions!$C$7,G1468)),Assumptions!$D$7,"Other Services"))),"Other Services"))</f>
        <v/>
      </c>
    </row>
    <row r="1469" customFormat="false" ht="15" hidden="false" customHeight="false" outlineLevel="0" collapsed="false">
      <c r="E1469" s="41" t="str">
        <f aca="false">IF(D1469="","",IFERROR(VLOOKUP(D1469,Assumptions!$G$5:$H$16,2,0),"Other"))</f>
        <v/>
      </c>
      <c r="J1469" s="41" t="str">
        <f aca="false">IF(G1469="","",IFERROR(IF(ISNUMBER(SEARCH(Assumptions!$C$5,G1469)),Assumptions!$D$5,IF(ISNUMBER(SEARCH(Assumptions!$C$6,G1469)),Assumptions!$D$6,IF(ISNUMBER(SEARCH(Assumptions!$C$7,G1469)),Assumptions!$D$7,"Other Services"))),"Other Services"))</f>
        <v/>
      </c>
    </row>
    <row r="1470" customFormat="false" ht="15" hidden="false" customHeight="false" outlineLevel="0" collapsed="false">
      <c r="E1470" s="41" t="str">
        <f aca="false">IF(D1470="","",IFERROR(VLOOKUP(D1470,Assumptions!$G$5:$H$16,2,0),"Other"))</f>
        <v/>
      </c>
      <c r="J1470" s="41" t="str">
        <f aca="false">IF(G1470="","",IFERROR(IF(ISNUMBER(SEARCH(Assumptions!$C$5,G1470)),Assumptions!$D$5,IF(ISNUMBER(SEARCH(Assumptions!$C$6,G1470)),Assumptions!$D$6,IF(ISNUMBER(SEARCH(Assumptions!$C$7,G1470)),Assumptions!$D$7,"Other Services"))),"Other Services"))</f>
        <v/>
      </c>
    </row>
    <row r="1471" customFormat="false" ht="15" hidden="false" customHeight="false" outlineLevel="0" collapsed="false">
      <c r="E1471" s="41" t="str">
        <f aca="false">IF(D1471="","",IFERROR(VLOOKUP(D1471,Assumptions!$G$5:$H$16,2,0),"Other"))</f>
        <v/>
      </c>
      <c r="J1471" s="41" t="str">
        <f aca="false">IF(G1471="","",IFERROR(IF(ISNUMBER(SEARCH(Assumptions!$C$5,G1471)),Assumptions!$D$5,IF(ISNUMBER(SEARCH(Assumptions!$C$6,G1471)),Assumptions!$D$6,IF(ISNUMBER(SEARCH(Assumptions!$C$7,G1471)),Assumptions!$D$7,"Other Services"))),"Other Services"))</f>
        <v/>
      </c>
    </row>
    <row r="1472" customFormat="false" ht="15" hidden="false" customHeight="false" outlineLevel="0" collapsed="false">
      <c r="E1472" s="41" t="str">
        <f aca="false">IF(D1472="","",IFERROR(VLOOKUP(D1472,Assumptions!$G$5:$H$16,2,0),"Other"))</f>
        <v/>
      </c>
      <c r="J1472" s="41" t="str">
        <f aca="false">IF(G1472="","",IFERROR(IF(ISNUMBER(SEARCH(Assumptions!$C$5,G1472)),Assumptions!$D$5,IF(ISNUMBER(SEARCH(Assumptions!$C$6,G1472)),Assumptions!$D$6,IF(ISNUMBER(SEARCH(Assumptions!$C$7,G1472)),Assumptions!$D$7,"Other Services"))),"Other Services"))</f>
        <v/>
      </c>
    </row>
    <row r="1473" customFormat="false" ht="15" hidden="false" customHeight="false" outlineLevel="0" collapsed="false">
      <c r="E1473" s="41" t="str">
        <f aca="false">IF(D1473="","",IFERROR(VLOOKUP(D1473,Assumptions!$G$5:$H$16,2,0),"Other"))</f>
        <v/>
      </c>
      <c r="J1473" s="41" t="str">
        <f aca="false">IF(G1473="","",IFERROR(IF(ISNUMBER(SEARCH(Assumptions!$C$5,G1473)),Assumptions!$D$5,IF(ISNUMBER(SEARCH(Assumptions!$C$6,G1473)),Assumptions!$D$6,IF(ISNUMBER(SEARCH(Assumptions!$C$7,G1473)),Assumptions!$D$7,"Other Services"))),"Other Services"))</f>
        <v/>
      </c>
    </row>
    <row r="1474" customFormat="false" ht="15" hidden="false" customHeight="false" outlineLevel="0" collapsed="false">
      <c r="E1474" s="41" t="str">
        <f aca="false">IF(D1474="","",IFERROR(VLOOKUP(D1474,Assumptions!$G$5:$H$16,2,0),"Other"))</f>
        <v/>
      </c>
      <c r="J1474" s="41" t="str">
        <f aca="false">IF(G1474="","",IFERROR(IF(ISNUMBER(SEARCH(Assumptions!$C$5,G1474)),Assumptions!$D$5,IF(ISNUMBER(SEARCH(Assumptions!$C$6,G1474)),Assumptions!$D$6,IF(ISNUMBER(SEARCH(Assumptions!$C$7,G1474)),Assumptions!$D$7,"Other Services"))),"Other Services"))</f>
        <v/>
      </c>
    </row>
    <row r="1475" customFormat="false" ht="15" hidden="false" customHeight="false" outlineLevel="0" collapsed="false">
      <c r="E1475" s="41" t="str">
        <f aca="false">IF(D1475="","",IFERROR(VLOOKUP(D1475,Assumptions!$G$5:$H$16,2,0),"Other"))</f>
        <v/>
      </c>
      <c r="J1475" s="41" t="str">
        <f aca="false">IF(G1475="","",IFERROR(IF(ISNUMBER(SEARCH(Assumptions!$C$5,G1475)),Assumptions!$D$5,IF(ISNUMBER(SEARCH(Assumptions!$C$6,G1475)),Assumptions!$D$6,IF(ISNUMBER(SEARCH(Assumptions!$C$7,G1475)),Assumptions!$D$7,"Other Services"))),"Other Services"))</f>
        <v/>
      </c>
    </row>
    <row r="1476" customFormat="false" ht="15" hidden="false" customHeight="false" outlineLevel="0" collapsed="false">
      <c r="E1476" s="41" t="str">
        <f aca="false">IF(D1476="","",IFERROR(VLOOKUP(D1476,Assumptions!$G$5:$H$16,2,0),"Other"))</f>
        <v/>
      </c>
      <c r="J1476" s="41" t="str">
        <f aca="false">IF(G1476="","",IFERROR(IF(ISNUMBER(SEARCH(Assumptions!$C$5,G1476)),Assumptions!$D$5,IF(ISNUMBER(SEARCH(Assumptions!$C$6,G1476)),Assumptions!$D$6,IF(ISNUMBER(SEARCH(Assumptions!$C$7,G1476)),Assumptions!$D$7,"Other Services"))),"Other Services"))</f>
        <v/>
      </c>
    </row>
    <row r="1477" customFormat="false" ht="15" hidden="false" customHeight="false" outlineLevel="0" collapsed="false">
      <c r="E1477" s="41" t="str">
        <f aca="false">IF(D1477="","",IFERROR(VLOOKUP(D1477,Assumptions!$G$5:$H$16,2,0),"Other"))</f>
        <v/>
      </c>
      <c r="J1477" s="41" t="str">
        <f aca="false">IF(G1477="","",IFERROR(IF(ISNUMBER(SEARCH(Assumptions!$C$5,G1477)),Assumptions!$D$5,IF(ISNUMBER(SEARCH(Assumptions!$C$6,G1477)),Assumptions!$D$6,IF(ISNUMBER(SEARCH(Assumptions!$C$7,G1477)),Assumptions!$D$7,"Other Services"))),"Other Services"))</f>
        <v/>
      </c>
    </row>
    <row r="1478" customFormat="false" ht="15" hidden="false" customHeight="false" outlineLevel="0" collapsed="false">
      <c r="E1478" s="41" t="str">
        <f aca="false">IF(D1478="","",IFERROR(VLOOKUP(D1478,Assumptions!$G$5:$H$16,2,0),"Other"))</f>
        <v/>
      </c>
      <c r="J1478" s="41" t="str">
        <f aca="false">IF(G1478="","",IFERROR(IF(ISNUMBER(SEARCH(Assumptions!$C$5,G1478)),Assumptions!$D$5,IF(ISNUMBER(SEARCH(Assumptions!$C$6,G1478)),Assumptions!$D$6,IF(ISNUMBER(SEARCH(Assumptions!$C$7,G1478)),Assumptions!$D$7,"Other Services"))),"Other Services"))</f>
        <v/>
      </c>
    </row>
    <row r="1479" customFormat="false" ht="15" hidden="false" customHeight="false" outlineLevel="0" collapsed="false">
      <c r="E1479" s="41" t="str">
        <f aca="false">IF(D1479="","",IFERROR(VLOOKUP(D1479,Assumptions!$G$5:$H$16,2,0),"Other"))</f>
        <v/>
      </c>
      <c r="J1479" s="41" t="str">
        <f aca="false">IF(G1479="","",IFERROR(IF(ISNUMBER(SEARCH(Assumptions!$C$5,G1479)),Assumptions!$D$5,IF(ISNUMBER(SEARCH(Assumptions!$C$6,G1479)),Assumptions!$D$6,IF(ISNUMBER(SEARCH(Assumptions!$C$7,G1479)),Assumptions!$D$7,"Other Services"))),"Other Services"))</f>
        <v/>
      </c>
    </row>
    <row r="1480" customFormat="false" ht="15" hidden="false" customHeight="false" outlineLevel="0" collapsed="false">
      <c r="E1480" s="41" t="str">
        <f aca="false">IF(D1480="","",IFERROR(VLOOKUP(D1480,Assumptions!$G$5:$H$16,2,0),"Other"))</f>
        <v/>
      </c>
      <c r="J1480" s="41" t="str">
        <f aca="false">IF(G1480="","",IFERROR(IF(ISNUMBER(SEARCH(Assumptions!$C$5,G1480)),Assumptions!$D$5,IF(ISNUMBER(SEARCH(Assumptions!$C$6,G1480)),Assumptions!$D$6,IF(ISNUMBER(SEARCH(Assumptions!$C$7,G1480)),Assumptions!$D$7,"Other Services"))),"Other Services"))</f>
        <v/>
      </c>
    </row>
    <row r="1481" customFormat="false" ht="15" hidden="false" customHeight="false" outlineLevel="0" collapsed="false">
      <c r="E1481" s="41" t="str">
        <f aca="false">IF(D1481="","",IFERROR(VLOOKUP(D1481,Assumptions!$G$5:$H$16,2,0),"Other"))</f>
        <v/>
      </c>
      <c r="J1481" s="41" t="str">
        <f aca="false">IF(G1481="","",IFERROR(IF(ISNUMBER(SEARCH(Assumptions!$C$5,G1481)),Assumptions!$D$5,IF(ISNUMBER(SEARCH(Assumptions!$C$6,G1481)),Assumptions!$D$6,IF(ISNUMBER(SEARCH(Assumptions!$C$7,G1481)),Assumptions!$D$7,"Other Services"))),"Other Services"))</f>
        <v/>
      </c>
    </row>
    <row r="1482" customFormat="false" ht="15" hidden="false" customHeight="false" outlineLevel="0" collapsed="false">
      <c r="E1482" s="41" t="str">
        <f aca="false">IF(D1482="","",IFERROR(VLOOKUP(D1482,Assumptions!$G$5:$H$16,2,0),"Other"))</f>
        <v/>
      </c>
      <c r="J1482" s="41" t="str">
        <f aca="false">IF(G1482="","",IFERROR(IF(ISNUMBER(SEARCH(Assumptions!$C$5,G1482)),Assumptions!$D$5,IF(ISNUMBER(SEARCH(Assumptions!$C$6,G1482)),Assumptions!$D$6,IF(ISNUMBER(SEARCH(Assumptions!$C$7,G1482)),Assumptions!$D$7,"Other Services"))),"Other Services"))</f>
        <v/>
      </c>
    </row>
    <row r="1483" customFormat="false" ht="15" hidden="false" customHeight="false" outlineLevel="0" collapsed="false">
      <c r="E1483" s="41" t="str">
        <f aca="false">IF(D1483="","",IFERROR(VLOOKUP(D1483,Assumptions!$G$5:$H$16,2,0),"Other"))</f>
        <v/>
      </c>
      <c r="J1483" s="41" t="str">
        <f aca="false">IF(G1483="","",IFERROR(IF(ISNUMBER(SEARCH(Assumptions!$C$5,G1483)),Assumptions!$D$5,IF(ISNUMBER(SEARCH(Assumptions!$C$6,G1483)),Assumptions!$D$6,IF(ISNUMBER(SEARCH(Assumptions!$C$7,G1483)),Assumptions!$D$7,"Other Services"))),"Other Services"))</f>
        <v/>
      </c>
    </row>
    <row r="1484" customFormat="false" ht="15" hidden="false" customHeight="false" outlineLevel="0" collapsed="false">
      <c r="E1484" s="41" t="str">
        <f aca="false">IF(D1484="","",IFERROR(VLOOKUP(D1484,Assumptions!$G$5:$H$16,2,0),"Other"))</f>
        <v/>
      </c>
      <c r="J1484" s="41" t="str">
        <f aca="false">IF(G1484="","",IFERROR(IF(ISNUMBER(SEARCH(Assumptions!$C$5,G1484)),Assumptions!$D$5,IF(ISNUMBER(SEARCH(Assumptions!$C$6,G1484)),Assumptions!$D$6,IF(ISNUMBER(SEARCH(Assumptions!$C$7,G1484)),Assumptions!$D$7,"Other Services"))),"Other Services"))</f>
        <v/>
      </c>
    </row>
    <row r="1485" customFormat="false" ht="15" hidden="false" customHeight="false" outlineLevel="0" collapsed="false">
      <c r="E1485" s="41" t="str">
        <f aca="false">IF(D1485="","",IFERROR(VLOOKUP(D1485,Assumptions!$G$5:$H$16,2,0),"Other"))</f>
        <v/>
      </c>
      <c r="J1485" s="41" t="str">
        <f aca="false">IF(G1485="","",IFERROR(IF(ISNUMBER(SEARCH(Assumptions!$C$5,G1485)),Assumptions!$D$5,IF(ISNUMBER(SEARCH(Assumptions!$C$6,G1485)),Assumptions!$D$6,IF(ISNUMBER(SEARCH(Assumptions!$C$7,G1485)),Assumptions!$D$7,"Other Services"))),"Other Services"))</f>
        <v/>
      </c>
    </row>
    <row r="1486" customFormat="false" ht="15" hidden="false" customHeight="false" outlineLevel="0" collapsed="false">
      <c r="E1486" s="41" t="str">
        <f aca="false">IF(D1486="","",IFERROR(VLOOKUP(D1486,Assumptions!$G$5:$H$16,2,0),"Other"))</f>
        <v/>
      </c>
      <c r="J1486" s="41" t="str">
        <f aca="false">IF(G1486="","",IFERROR(IF(ISNUMBER(SEARCH(Assumptions!$C$5,G1486)),Assumptions!$D$5,IF(ISNUMBER(SEARCH(Assumptions!$C$6,G1486)),Assumptions!$D$6,IF(ISNUMBER(SEARCH(Assumptions!$C$7,G1486)),Assumptions!$D$7,"Other Services"))),"Other Services"))</f>
        <v/>
      </c>
    </row>
    <row r="1487" customFormat="false" ht="15" hidden="false" customHeight="false" outlineLevel="0" collapsed="false">
      <c r="E1487" s="41" t="str">
        <f aca="false">IF(D1487="","",IFERROR(VLOOKUP(D1487,Assumptions!$G$5:$H$16,2,0),"Other"))</f>
        <v/>
      </c>
      <c r="J1487" s="41" t="str">
        <f aca="false">IF(G1487="","",IFERROR(IF(ISNUMBER(SEARCH(Assumptions!$C$5,G1487)),Assumptions!$D$5,IF(ISNUMBER(SEARCH(Assumptions!$C$6,G1487)),Assumptions!$D$6,IF(ISNUMBER(SEARCH(Assumptions!$C$7,G1487)),Assumptions!$D$7,"Other Services"))),"Other Services"))</f>
        <v/>
      </c>
    </row>
    <row r="1488" customFormat="false" ht="15" hidden="false" customHeight="false" outlineLevel="0" collapsed="false">
      <c r="E1488" s="41" t="str">
        <f aca="false">IF(D1488="","",IFERROR(VLOOKUP(D1488,Assumptions!$G$5:$H$16,2,0),"Other"))</f>
        <v/>
      </c>
      <c r="J1488" s="41" t="str">
        <f aca="false">IF(G1488="","",IFERROR(IF(ISNUMBER(SEARCH(Assumptions!$C$5,G1488)),Assumptions!$D$5,IF(ISNUMBER(SEARCH(Assumptions!$C$6,G1488)),Assumptions!$D$6,IF(ISNUMBER(SEARCH(Assumptions!$C$7,G1488)),Assumptions!$D$7,"Other Services"))),"Other Services"))</f>
        <v/>
      </c>
    </row>
    <row r="1489" customFormat="false" ht="15" hidden="false" customHeight="false" outlineLevel="0" collapsed="false">
      <c r="E1489" s="41" t="str">
        <f aca="false">IF(D1489="","",IFERROR(VLOOKUP(D1489,Assumptions!$G$5:$H$16,2,0),"Other"))</f>
        <v/>
      </c>
      <c r="J1489" s="41" t="str">
        <f aca="false">IF(G1489="","",IFERROR(IF(ISNUMBER(SEARCH(Assumptions!$C$5,G1489)),Assumptions!$D$5,IF(ISNUMBER(SEARCH(Assumptions!$C$6,G1489)),Assumptions!$D$6,IF(ISNUMBER(SEARCH(Assumptions!$C$7,G1489)),Assumptions!$D$7,"Other Services"))),"Other Services"))</f>
        <v/>
      </c>
    </row>
    <row r="1490" customFormat="false" ht="15" hidden="false" customHeight="false" outlineLevel="0" collapsed="false">
      <c r="E1490" s="41" t="str">
        <f aca="false">IF(D1490="","",IFERROR(VLOOKUP(D1490,Assumptions!$G$5:$H$16,2,0),"Other"))</f>
        <v/>
      </c>
      <c r="J1490" s="41" t="str">
        <f aca="false">IF(G1490="","",IFERROR(IF(ISNUMBER(SEARCH(Assumptions!$C$5,G1490)),Assumptions!$D$5,IF(ISNUMBER(SEARCH(Assumptions!$C$6,G1490)),Assumptions!$D$6,IF(ISNUMBER(SEARCH(Assumptions!$C$7,G1490)),Assumptions!$D$7,"Other Services"))),"Other Services"))</f>
        <v/>
      </c>
    </row>
    <row r="1491" customFormat="false" ht="15" hidden="false" customHeight="false" outlineLevel="0" collapsed="false">
      <c r="E1491" s="41" t="str">
        <f aca="false">IF(D1491="","",IFERROR(VLOOKUP(D1491,Assumptions!$G$5:$H$16,2,0),"Other"))</f>
        <v/>
      </c>
      <c r="J1491" s="41" t="str">
        <f aca="false">IF(G1491="","",IFERROR(IF(ISNUMBER(SEARCH(Assumptions!$C$5,G1491)),Assumptions!$D$5,IF(ISNUMBER(SEARCH(Assumptions!$C$6,G1491)),Assumptions!$D$6,IF(ISNUMBER(SEARCH(Assumptions!$C$7,G1491)),Assumptions!$D$7,"Other Services"))),"Other Services"))</f>
        <v/>
      </c>
    </row>
    <row r="1492" customFormat="false" ht="15" hidden="false" customHeight="false" outlineLevel="0" collapsed="false">
      <c r="E1492" s="41" t="str">
        <f aca="false">IF(D1492="","",IFERROR(VLOOKUP(D1492,Assumptions!$G$5:$H$16,2,0),"Other"))</f>
        <v/>
      </c>
      <c r="J1492" s="41" t="str">
        <f aca="false">IF(G1492="","",IFERROR(IF(ISNUMBER(SEARCH(Assumptions!$C$5,G1492)),Assumptions!$D$5,IF(ISNUMBER(SEARCH(Assumptions!$C$6,G1492)),Assumptions!$D$6,IF(ISNUMBER(SEARCH(Assumptions!$C$7,G1492)),Assumptions!$D$7,"Other Services"))),"Other Services"))</f>
        <v/>
      </c>
    </row>
    <row r="1493" customFormat="false" ht="15" hidden="false" customHeight="false" outlineLevel="0" collapsed="false">
      <c r="E1493" s="41" t="str">
        <f aca="false">IF(D1493="","",IFERROR(VLOOKUP(D1493,Assumptions!$G$5:$H$16,2,0),"Other"))</f>
        <v/>
      </c>
      <c r="J1493" s="41" t="str">
        <f aca="false">IF(G1493="","",IFERROR(IF(ISNUMBER(SEARCH(Assumptions!$C$5,G1493)),Assumptions!$D$5,IF(ISNUMBER(SEARCH(Assumptions!$C$6,G1493)),Assumptions!$D$6,IF(ISNUMBER(SEARCH(Assumptions!$C$7,G1493)),Assumptions!$D$7,"Other Services"))),"Other Services"))</f>
        <v/>
      </c>
    </row>
    <row r="1494" customFormat="false" ht="15" hidden="false" customHeight="false" outlineLevel="0" collapsed="false">
      <c r="E1494" s="41" t="str">
        <f aca="false">IF(D1494="","",IFERROR(VLOOKUP(D1494,Assumptions!$G$5:$H$16,2,0),"Other"))</f>
        <v/>
      </c>
      <c r="J1494" s="41" t="str">
        <f aca="false">IF(G1494="","",IFERROR(IF(ISNUMBER(SEARCH(Assumptions!$C$5,G1494)),Assumptions!$D$5,IF(ISNUMBER(SEARCH(Assumptions!$C$6,G1494)),Assumptions!$D$6,IF(ISNUMBER(SEARCH(Assumptions!$C$7,G1494)),Assumptions!$D$7,"Other Services"))),"Other Services"))</f>
        <v/>
      </c>
    </row>
    <row r="1495" customFormat="false" ht="15" hidden="false" customHeight="false" outlineLevel="0" collapsed="false">
      <c r="E1495" s="41" t="str">
        <f aca="false">IF(D1495="","",IFERROR(VLOOKUP(D1495,Assumptions!$G$5:$H$16,2,0),"Other"))</f>
        <v/>
      </c>
      <c r="J1495" s="41" t="str">
        <f aca="false">IF(G1495="","",IFERROR(IF(ISNUMBER(SEARCH(Assumptions!$C$5,G1495)),Assumptions!$D$5,IF(ISNUMBER(SEARCH(Assumptions!$C$6,G1495)),Assumptions!$D$6,IF(ISNUMBER(SEARCH(Assumptions!$C$7,G1495)),Assumptions!$D$7,"Other Services"))),"Other Services"))</f>
        <v/>
      </c>
    </row>
    <row r="1496" customFormat="false" ht="15" hidden="false" customHeight="false" outlineLevel="0" collapsed="false">
      <c r="E1496" s="41" t="str">
        <f aca="false">IF(D1496="","",IFERROR(VLOOKUP(D1496,Assumptions!$G$5:$H$16,2,0),"Other"))</f>
        <v/>
      </c>
      <c r="J1496" s="41" t="str">
        <f aca="false">IF(G1496="","",IFERROR(IF(ISNUMBER(SEARCH(Assumptions!$C$5,G1496)),Assumptions!$D$5,IF(ISNUMBER(SEARCH(Assumptions!$C$6,G1496)),Assumptions!$D$6,IF(ISNUMBER(SEARCH(Assumptions!$C$7,G1496)),Assumptions!$D$7,"Other Services"))),"Other Services"))</f>
        <v/>
      </c>
    </row>
    <row r="1497" customFormat="false" ht="15" hidden="false" customHeight="false" outlineLevel="0" collapsed="false">
      <c r="E1497" s="41" t="str">
        <f aca="false">IF(D1497="","",IFERROR(VLOOKUP(D1497,Assumptions!$G$5:$H$16,2,0),"Other"))</f>
        <v/>
      </c>
      <c r="J1497" s="41" t="str">
        <f aca="false">IF(G1497="","",IFERROR(IF(ISNUMBER(SEARCH(Assumptions!$C$5,G1497)),Assumptions!$D$5,IF(ISNUMBER(SEARCH(Assumptions!$C$6,G1497)),Assumptions!$D$6,IF(ISNUMBER(SEARCH(Assumptions!$C$7,G1497)),Assumptions!$D$7,"Other Services"))),"Other Services"))</f>
        <v/>
      </c>
    </row>
    <row r="1498" customFormat="false" ht="15" hidden="false" customHeight="false" outlineLevel="0" collapsed="false">
      <c r="E1498" s="41" t="str">
        <f aca="false">IF(D1498="","",IFERROR(VLOOKUP(D1498,Assumptions!$G$5:$H$16,2,0),"Other"))</f>
        <v/>
      </c>
      <c r="J1498" s="41" t="str">
        <f aca="false">IF(G1498="","",IFERROR(IF(ISNUMBER(SEARCH(Assumptions!$C$5,G1498)),Assumptions!$D$5,IF(ISNUMBER(SEARCH(Assumptions!$C$6,G1498)),Assumptions!$D$6,IF(ISNUMBER(SEARCH(Assumptions!$C$7,G1498)),Assumptions!$D$7,"Other Services"))),"Other Services"))</f>
        <v/>
      </c>
    </row>
    <row r="1499" customFormat="false" ht="15" hidden="false" customHeight="false" outlineLevel="0" collapsed="false">
      <c r="E1499" s="41" t="str">
        <f aca="false">IF(D1499="","",IFERROR(VLOOKUP(D1499,Assumptions!$G$5:$H$16,2,0),"Other"))</f>
        <v/>
      </c>
      <c r="J1499" s="41" t="str">
        <f aca="false">IF(G1499="","",IFERROR(IF(ISNUMBER(SEARCH(Assumptions!$C$5,G1499)),Assumptions!$D$5,IF(ISNUMBER(SEARCH(Assumptions!$C$6,G1499)),Assumptions!$D$6,IF(ISNUMBER(SEARCH(Assumptions!$C$7,G1499)),Assumptions!$D$7,"Other Services"))),"Other Services"))</f>
        <v/>
      </c>
    </row>
    <row r="1500" customFormat="false" ht="15" hidden="false" customHeight="false" outlineLevel="0" collapsed="false">
      <c r="E1500" s="41" t="str">
        <f aca="false">IF(D1500="","",IFERROR(VLOOKUP(D1500,Assumptions!$G$5:$H$16,2,0),"Other"))</f>
        <v/>
      </c>
      <c r="J1500" s="41" t="str">
        <f aca="false">IF(G1500="","",IFERROR(IF(ISNUMBER(SEARCH(Assumptions!$C$5,G1500)),Assumptions!$D$5,IF(ISNUMBER(SEARCH(Assumptions!$C$6,G1500)),Assumptions!$D$6,IF(ISNUMBER(SEARCH(Assumptions!$C$7,G1500)),Assumptions!$D$7,"Other Services"))),"Other Services"))</f>
        <v/>
      </c>
    </row>
    <row r="1501" customFormat="false" ht="15" hidden="false" customHeight="false" outlineLevel="0" collapsed="false">
      <c r="E1501" s="41" t="str">
        <f aca="false">IF(D1501="","",IFERROR(VLOOKUP(D1501,Assumptions!$G$5:$H$16,2,0),"Other"))</f>
        <v/>
      </c>
      <c r="J1501" s="41" t="str">
        <f aca="false">IF(G1501="","",IFERROR(IF(ISNUMBER(SEARCH(Assumptions!$C$5,G1501)),Assumptions!$D$5,IF(ISNUMBER(SEARCH(Assumptions!$C$6,G1501)),Assumptions!$D$6,IF(ISNUMBER(SEARCH(Assumptions!$C$7,G1501)),Assumptions!$D$7,"Other Services"))),"Other Services"))</f>
        <v/>
      </c>
    </row>
    <row r="1502" customFormat="false" ht="15" hidden="false" customHeight="false" outlineLevel="0" collapsed="false">
      <c r="E1502" s="41" t="str">
        <f aca="false">IF(D1502="","",IFERROR(VLOOKUP(D1502,Assumptions!$G$5:$H$16,2,0),"Other"))</f>
        <v/>
      </c>
      <c r="J1502" s="41" t="str">
        <f aca="false">IF(G1502="","",IFERROR(IF(ISNUMBER(SEARCH(Assumptions!$C$5,G1502)),Assumptions!$D$5,IF(ISNUMBER(SEARCH(Assumptions!$C$6,G1502)),Assumptions!$D$6,IF(ISNUMBER(SEARCH(Assumptions!$C$7,G1502)),Assumptions!$D$7,"Other Services"))),"Other Services"))</f>
        <v/>
      </c>
    </row>
    <row r="1503" customFormat="false" ht="15" hidden="false" customHeight="false" outlineLevel="0" collapsed="false">
      <c r="E1503" s="41" t="str">
        <f aca="false">IF(D1503="","",IFERROR(VLOOKUP(D1503,Assumptions!$G$5:$H$16,2,0),"Other"))</f>
        <v/>
      </c>
      <c r="J1503" s="41" t="str">
        <f aca="false">IF(G1503="","",IFERROR(IF(ISNUMBER(SEARCH(Assumptions!$C$5,G1503)),Assumptions!$D$5,IF(ISNUMBER(SEARCH(Assumptions!$C$6,G1503)),Assumptions!$D$6,IF(ISNUMBER(SEARCH(Assumptions!$C$7,G1503)),Assumptions!$D$7,"Other Services"))),"Other Services"))</f>
        <v/>
      </c>
    </row>
    <row r="1504" customFormat="false" ht="15" hidden="false" customHeight="false" outlineLevel="0" collapsed="false">
      <c r="E1504" s="41" t="str">
        <f aca="false">IF(D1504="","",IFERROR(VLOOKUP(D1504,Assumptions!$G$5:$H$16,2,0),"Other"))</f>
        <v/>
      </c>
      <c r="J1504" s="41" t="str">
        <f aca="false">IF(G1504="","",IFERROR(IF(ISNUMBER(SEARCH(Assumptions!$C$5,G1504)),Assumptions!$D$5,IF(ISNUMBER(SEARCH(Assumptions!$C$6,G1504)),Assumptions!$D$6,IF(ISNUMBER(SEARCH(Assumptions!$C$7,G1504)),Assumptions!$D$7,"Other Services"))),"Other Services"))</f>
        <v/>
      </c>
    </row>
    <row r="1505" customFormat="false" ht="15" hidden="false" customHeight="false" outlineLevel="0" collapsed="false">
      <c r="E1505" s="41" t="str">
        <f aca="false">IF(D1505="","",IFERROR(VLOOKUP(D1505,Assumptions!$G$5:$H$16,2,0),"Other"))</f>
        <v/>
      </c>
      <c r="J1505" s="41" t="str">
        <f aca="false">IF(G1505="","",IFERROR(IF(ISNUMBER(SEARCH(Assumptions!$C$5,G1505)),Assumptions!$D$5,IF(ISNUMBER(SEARCH(Assumptions!$C$6,G1505)),Assumptions!$D$6,IF(ISNUMBER(SEARCH(Assumptions!$C$7,G1505)),Assumptions!$D$7,"Other Services"))),"Other Services"))</f>
        <v/>
      </c>
    </row>
    <row r="1506" customFormat="false" ht="15" hidden="false" customHeight="false" outlineLevel="0" collapsed="false">
      <c r="E1506" s="41" t="str">
        <f aca="false">IF(D1506="","",IFERROR(VLOOKUP(D1506,Assumptions!$G$5:$H$16,2,0),"Other"))</f>
        <v/>
      </c>
      <c r="J1506" s="41" t="str">
        <f aca="false">IF(G1506="","",IFERROR(IF(ISNUMBER(SEARCH(Assumptions!$C$5,G1506)),Assumptions!$D$5,IF(ISNUMBER(SEARCH(Assumptions!$C$6,G1506)),Assumptions!$D$6,IF(ISNUMBER(SEARCH(Assumptions!$C$7,G1506)),Assumptions!$D$7,"Other Services"))),"Other Services"))</f>
        <v/>
      </c>
    </row>
    <row r="1507" customFormat="false" ht="15" hidden="false" customHeight="false" outlineLevel="0" collapsed="false">
      <c r="E1507" s="41" t="str">
        <f aca="false">IF(D1507="","",IFERROR(VLOOKUP(D1507,Assumptions!$G$5:$H$16,2,0),"Other"))</f>
        <v/>
      </c>
      <c r="J1507" s="41" t="str">
        <f aca="false">IF(G1507="","",IFERROR(IF(ISNUMBER(SEARCH(Assumptions!$C$5,G1507)),Assumptions!$D$5,IF(ISNUMBER(SEARCH(Assumptions!$C$6,G1507)),Assumptions!$D$6,IF(ISNUMBER(SEARCH(Assumptions!$C$7,G1507)),Assumptions!$D$7,"Other Services"))),"Other Services"))</f>
        <v/>
      </c>
    </row>
    <row r="1508" customFormat="false" ht="15" hidden="false" customHeight="false" outlineLevel="0" collapsed="false">
      <c r="E1508" s="41" t="str">
        <f aca="false">IF(D1508="","",IFERROR(VLOOKUP(D1508,Assumptions!$G$5:$H$16,2,0),"Other"))</f>
        <v/>
      </c>
      <c r="J1508" s="41" t="str">
        <f aca="false">IF(G1508="","",IFERROR(IF(ISNUMBER(SEARCH(Assumptions!$C$5,G1508)),Assumptions!$D$5,IF(ISNUMBER(SEARCH(Assumptions!$C$6,G1508)),Assumptions!$D$6,IF(ISNUMBER(SEARCH(Assumptions!$C$7,G1508)),Assumptions!$D$7,"Other Services"))),"Other Services"))</f>
        <v/>
      </c>
    </row>
    <row r="1509" customFormat="false" ht="15" hidden="false" customHeight="false" outlineLevel="0" collapsed="false">
      <c r="E1509" s="41" t="str">
        <f aca="false">IF(D1509="","",IFERROR(VLOOKUP(D1509,Assumptions!$G$5:$H$16,2,0),"Other"))</f>
        <v/>
      </c>
      <c r="J1509" s="41" t="str">
        <f aca="false">IF(G1509="","",IFERROR(IF(ISNUMBER(SEARCH(Assumptions!$C$5,G1509)),Assumptions!$D$5,IF(ISNUMBER(SEARCH(Assumptions!$C$6,G1509)),Assumptions!$D$6,IF(ISNUMBER(SEARCH(Assumptions!$C$7,G1509)),Assumptions!$D$7,"Other Services"))),"Other Services"))</f>
        <v/>
      </c>
    </row>
    <row r="1510" customFormat="false" ht="15" hidden="false" customHeight="false" outlineLevel="0" collapsed="false">
      <c r="E1510" s="41" t="str">
        <f aca="false">IF(D1510="","",IFERROR(VLOOKUP(D1510,Assumptions!$G$5:$H$16,2,0),"Other"))</f>
        <v/>
      </c>
      <c r="J1510" s="41" t="str">
        <f aca="false">IF(G1510="","",IFERROR(IF(ISNUMBER(SEARCH(Assumptions!$C$5,G1510)),Assumptions!$D$5,IF(ISNUMBER(SEARCH(Assumptions!$C$6,G1510)),Assumptions!$D$6,IF(ISNUMBER(SEARCH(Assumptions!$C$7,G1510)),Assumptions!$D$7,"Other Services"))),"Other Services"))</f>
        <v/>
      </c>
    </row>
    <row r="1511" customFormat="false" ht="15" hidden="false" customHeight="false" outlineLevel="0" collapsed="false">
      <c r="E1511" s="41" t="str">
        <f aca="false">IF(D1511="","",IFERROR(VLOOKUP(D1511,Assumptions!$G$5:$H$16,2,0),"Other"))</f>
        <v/>
      </c>
      <c r="J1511" s="41" t="str">
        <f aca="false">IF(G1511="","",IFERROR(IF(ISNUMBER(SEARCH(Assumptions!$C$5,G1511)),Assumptions!$D$5,IF(ISNUMBER(SEARCH(Assumptions!$C$6,G1511)),Assumptions!$D$6,IF(ISNUMBER(SEARCH(Assumptions!$C$7,G1511)),Assumptions!$D$7,"Other Services"))),"Other Services"))</f>
        <v/>
      </c>
    </row>
    <row r="1512" customFormat="false" ht="15" hidden="false" customHeight="false" outlineLevel="0" collapsed="false">
      <c r="E1512" s="41" t="str">
        <f aca="false">IF(D1512="","",IFERROR(VLOOKUP(D1512,Assumptions!$G$5:$H$16,2,0),"Other"))</f>
        <v/>
      </c>
      <c r="J1512" s="41" t="str">
        <f aca="false">IF(G1512="","",IFERROR(IF(ISNUMBER(SEARCH(Assumptions!$C$5,G1512)),Assumptions!$D$5,IF(ISNUMBER(SEARCH(Assumptions!$C$6,G1512)),Assumptions!$D$6,IF(ISNUMBER(SEARCH(Assumptions!$C$7,G1512)),Assumptions!$D$7,"Other Services"))),"Other Services"))</f>
        <v/>
      </c>
    </row>
    <row r="1513" customFormat="false" ht="15" hidden="false" customHeight="false" outlineLevel="0" collapsed="false">
      <c r="E1513" s="41" t="str">
        <f aca="false">IF(D1513="","",IFERROR(VLOOKUP(D1513,Assumptions!$G$5:$H$16,2,0),"Other"))</f>
        <v/>
      </c>
      <c r="J1513" s="41" t="str">
        <f aca="false">IF(G1513="","",IFERROR(IF(ISNUMBER(SEARCH(Assumptions!$C$5,G1513)),Assumptions!$D$5,IF(ISNUMBER(SEARCH(Assumptions!$C$6,G1513)),Assumptions!$D$6,IF(ISNUMBER(SEARCH(Assumptions!$C$7,G1513)),Assumptions!$D$7,"Other Services"))),"Other Services"))</f>
        <v/>
      </c>
    </row>
    <row r="1514" customFormat="false" ht="15" hidden="false" customHeight="false" outlineLevel="0" collapsed="false">
      <c r="E1514" s="41" t="str">
        <f aca="false">IF(D1514="","",IFERROR(VLOOKUP(D1514,Assumptions!$G$5:$H$16,2,0),"Other"))</f>
        <v/>
      </c>
      <c r="J1514" s="41" t="str">
        <f aca="false">IF(G1514="","",IFERROR(IF(ISNUMBER(SEARCH(Assumptions!$C$5,G1514)),Assumptions!$D$5,IF(ISNUMBER(SEARCH(Assumptions!$C$6,G1514)),Assumptions!$D$6,IF(ISNUMBER(SEARCH(Assumptions!$C$7,G1514)),Assumptions!$D$7,"Other Services"))),"Other Services"))</f>
        <v/>
      </c>
    </row>
    <row r="1515" customFormat="false" ht="15" hidden="false" customHeight="false" outlineLevel="0" collapsed="false">
      <c r="E1515" s="41" t="str">
        <f aca="false">IF(D1515="","",IFERROR(VLOOKUP(D1515,Assumptions!$G$5:$H$16,2,0),"Other"))</f>
        <v/>
      </c>
      <c r="J1515" s="41" t="str">
        <f aca="false">IF(G1515="","",IFERROR(IF(ISNUMBER(SEARCH(Assumptions!$C$5,G1515)),Assumptions!$D$5,IF(ISNUMBER(SEARCH(Assumptions!$C$6,G1515)),Assumptions!$D$6,IF(ISNUMBER(SEARCH(Assumptions!$C$7,G1515)),Assumptions!$D$7,"Other Services"))),"Other Services"))</f>
        <v/>
      </c>
    </row>
    <row r="1516" customFormat="false" ht="15" hidden="false" customHeight="false" outlineLevel="0" collapsed="false">
      <c r="E1516" s="41" t="str">
        <f aca="false">IF(D1516="","",IFERROR(VLOOKUP(D1516,Assumptions!$G$5:$H$16,2,0),"Other"))</f>
        <v/>
      </c>
      <c r="J1516" s="41" t="str">
        <f aca="false">IF(G1516="","",IFERROR(IF(ISNUMBER(SEARCH(Assumptions!$C$5,G1516)),Assumptions!$D$5,IF(ISNUMBER(SEARCH(Assumptions!$C$6,G1516)),Assumptions!$D$6,IF(ISNUMBER(SEARCH(Assumptions!$C$7,G1516)),Assumptions!$D$7,"Other Services"))),"Other Services"))</f>
        <v/>
      </c>
    </row>
    <row r="1517" customFormat="false" ht="15" hidden="false" customHeight="false" outlineLevel="0" collapsed="false">
      <c r="E1517" s="41" t="str">
        <f aca="false">IF(D1517="","",IFERROR(VLOOKUP(D1517,Assumptions!$G$5:$H$16,2,0),"Other"))</f>
        <v/>
      </c>
      <c r="J1517" s="41" t="str">
        <f aca="false">IF(G1517="","",IFERROR(IF(ISNUMBER(SEARCH(Assumptions!$C$5,G1517)),Assumptions!$D$5,IF(ISNUMBER(SEARCH(Assumptions!$C$6,G1517)),Assumptions!$D$6,IF(ISNUMBER(SEARCH(Assumptions!$C$7,G1517)),Assumptions!$D$7,"Other Services"))),"Other Services"))</f>
        <v/>
      </c>
    </row>
    <row r="1518" customFormat="false" ht="15" hidden="false" customHeight="false" outlineLevel="0" collapsed="false">
      <c r="E1518" s="41" t="str">
        <f aca="false">IF(D1518="","",IFERROR(VLOOKUP(D1518,Assumptions!$G$5:$H$16,2,0),"Other"))</f>
        <v/>
      </c>
      <c r="J1518" s="41" t="str">
        <f aca="false">IF(G1518="","",IFERROR(IF(ISNUMBER(SEARCH(Assumptions!$C$5,G1518)),Assumptions!$D$5,IF(ISNUMBER(SEARCH(Assumptions!$C$6,G1518)),Assumptions!$D$6,IF(ISNUMBER(SEARCH(Assumptions!$C$7,G1518)),Assumptions!$D$7,"Other Services"))),"Other Services"))</f>
        <v/>
      </c>
    </row>
    <row r="1519" customFormat="false" ht="15" hidden="false" customHeight="false" outlineLevel="0" collapsed="false">
      <c r="E1519" s="41" t="str">
        <f aca="false">IF(D1519="","",IFERROR(VLOOKUP(D1519,Assumptions!$G$5:$H$16,2,0),"Other"))</f>
        <v/>
      </c>
      <c r="J1519" s="41" t="str">
        <f aca="false">IF(G1519="","",IFERROR(IF(ISNUMBER(SEARCH(Assumptions!$C$5,G1519)),Assumptions!$D$5,IF(ISNUMBER(SEARCH(Assumptions!$C$6,G1519)),Assumptions!$D$6,IF(ISNUMBER(SEARCH(Assumptions!$C$7,G1519)),Assumptions!$D$7,"Other Services"))),"Other Services"))</f>
        <v/>
      </c>
    </row>
    <row r="1520" customFormat="false" ht="15" hidden="false" customHeight="false" outlineLevel="0" collapsed="false">
      <c r="E1520" s="41" t="str">
        <f aca="false">IF(D1520="","",IFERROR(VLOOKUP(D1520,Assumptions!$G$5:$H$16,2,0),"Other"))</f>
        <v/>
      </c>
      <c r="J1520" s="41" t="str">
        <f aca="false">IF(G1520="","",IFERROR(IF(ISNUMBER(SEARCH(Assumptions!$C$5,G1520)),Assumptions!$D$5,IF(ISNUMBER(SEARCH(Assumptions!$C$6,G1520)),Assumptions!$D$6,IF(ISNUMBER(SEARCH(Assumptions!$C$7,G1520)),Assumptions!$D$7,"Other Services"))),"Other Services"))</f>
        <v/>
      </c>
    </row>
    <row r="1521" customFormat="false" ht="15" hidden="false" customHeight="false" outlineLevel="0" collapsed="false">
      <c r="E1521" s="41" t="str">
        <f aca="false">IF(D1521="","",IFERROR(VLOOKUP(D1521,Assumptions!$G$5:$H$16,2,0),"Other"))</f>
        <v/>
      </c>
      <c r="J1521" s="41" t="str">
        <f aca="false">IF(G1521="","",IFERROR(IF(ISNUMBER(SEARCH(Assumptions!$C$5,G1521)),Assumptions!$D$5,IF(ISNUMBER(SEARCH(Assumptions!$C$6,G1521)),Assumptions!$D$6,IF(ISNUMBER(SEARCH(Assumptions!$C$7,G1521)),Assumptions!$D$7,"Other Services"))),"Other Services"))</f>
        <v/>
      </c>
    </row>
    <row r="1522" customFormat="false" ht="15" hidden="false" customHeight="false" outlineLevel="0" collapsed="false">
      <c r="E1522" s="41" t="str">
        <f aca="false">IF(D1522="","",IFERROR(VLOOKUP(D1522,Assumptions!$G$5:$H$16,2,0),"Other"))</f>
        <v/>
      </c>
      <c r="J1522" s="41" t="str">
        <f aca="false">IF(G1522="","",IFERROR(IF(ISNUMBER(SEARCH(Assumptions!$C$5,G1522)),Assumptions!$D$5,IF(ISNUMBER(SEARCH(Assumptions!$C$6,G1522)),Assumptions!$D$6,IF(ISNUMBER(SEARCH(Assumptions!$C$7,G1522)),Assumptions!$D$7,"Other Services"))),"Other Services"))</f>
        <v/>
      </c>
    </row>
    <row r="1523" customFormat="false" ht="15" hidden="false" customHeight="false" outlineLevel="0" collapsed="false">
      <c r="E1523" s="41" t="str">
        <f aca="false">IF(D1523="","",IFERROR(VLOOKUP(D1523,Assumptions!$G$5:$H$16,2,0),"Other"))</f>
        <v/>
      </c>
      <c r="J1523" s="41" t="str">
        <f aca="false">IF(G1523="","",IFERROR(IF(ISNUMBER(SEARCH(Assumptions!$C$5,G1523)),Assumptions!$D$5,IF(ISNUMBER(SEARCH(Assumptions!$C$6,G1523)),Assumptions!$D$6,IF(ISNUMBER(SEARCH(Assumptions!$C$7,G1523)),Assumptions!$D$7,"Other Services"))),"Other Services"))</f>
        <v/>
      </c>
    </row>
    <row r="1524" customFormat="false" ht="15" hidden="false" customHeight="false" outlineLevel="0" collapsed="false">
      <c r="E1524" s="41" t="str">
        <f aca="false">IF(D1524="","",IFERROR(VLOOKUP(D1524,Assumptions!$G$5:$H$16,2,0),"Other"))</f>
        <v/>
      </c>
      <c r="J1524" s="41" t="str">
        <f aca="false">IF(G1524="","",IFERROR(IF(ISNUMBER(SEARCH(Assumptions!$C$5,G1524)),Assumptions!$D$5,IF(ISNUMBER(SEARCH(Assumptions!$C$6,G1524)),Assumptions!$D$6,IF(ISNUMBER(SEARCH(Assumptions!$C$7,G1524)),Assumptions!$D$7,"Other Services"))),"Other Services"))</f>
        <v/>
      </c>
    </row>
    <row r="1525" customFormat="false" ht="15" hidden="false" customHeight="false" outlineLevel="0" collapsed="false">
      <c r="E1525" s="41" t="str">
        <f aca="false">IF(D1525="","",IFERROR(VLOOKUP(D1525,Assumptions!$G$5:$H$16,2,0),"Other"))</f>
        <v/>
      </c>
      <c r="J1525" s="41" t="str">
        <f aca="false">IF(G1525="","",IFERROR(IF(ISNUMBER(SEARCH(Assumptions!$C$5,G1525)),Assumptions!$D$5,IF(ISNUMBER(SEARCH(Assumptions!$C$6,G1525)),Assumptions!$D$6,IF(ISNUMBER(SEARCH(Assumptions!$C$7,G1525)),Assumptions!$D$7,"Other Services"))),"Other Services"))</f>
        <v/>
      </c>
    </row>
    <row r="1526" customFormat="false" ht="15" hidden="false" customHeight="false" outlineLevel="0" collapsed="false">
      <c r="E1526" s="41" t="str">
        <f aca="false">IF(D1526="","",IFERROR(VLOOKUP(D1526,Assumptions!$G$5:$H$16,2,0),"Other"))</f>
        <v/>
      </c>
      <c r="J1526" s="41" t="str">
        <f aca="false">IF(G1526="","",IFERROR(IF(ISNUMBER(SEARCH(Assumptions!$C$5,G1526)),Assumptions!$D$5,IF(ISNUMBER(SEARCH(Assumptions!$C$6,G1526)),Assumptions!$D$6,IF(ISNUMBER(SEARCH(Assumptions!$C$7,G1526)),Assumptions!$D$7,"Other Services"))),"Other Services"))</f>
        <v/>
      </c>
    </row>
    <row r="1527" customFormat="false" ht="15" hidden="false" customHeight="false" outlineLevel="0" collapsed="false">
      <c r="E1527" s="41" t="str">
        <f aca="false">IF(D1527="","",IFERROR(VLOOKUP(D1527,Assumptions!$G$5:$H$16,2,0),"Other"))</f>
        <v/>
      </c>
      <c r="J1527" s="41" t="str">
        <f aca="false">IF(G1527="","",IFERROR(IF(ISNUMBER(SEARCH(Assumptions!$C$5,G1527)),Assumptions!$D$5,IF(ISNUMBER(SEARCH(Assumptions!$C$6,G1527)),Assumptions!$D$6,IF(ISNUMBER(SEARCH(Assumptions!$C$7,G1527)),Assumptions!$D$7,"Other Services"))),"Other Services"))</f>
        <v/>
      </c>
    </row>
    <row r="1528" customFormat="false" ht="15" hidden="false" customHeight="false" outlineLevel="0" collapsed="false">
      <c r="E1528" s="41" t="str">
        <f aca="false">IF(D1528="","",IFERROR(VLOOKUP(D1528,Assumptions!$G$5:$H$16,2,0),"Other"))</f>
        <v/>
      </c>
      <c r="J1528" s="41" t="str">
        <f aca="false">IF(G1528="","",IFERROR(IF(ISNUMBER(SEARCH(Assumptions!$C$5,G1528)),Assumptions!$D$5,IF(ISNUMBER(SEARCH(Assumptions!$C$6,G1528)),Assumptions!$D$6,IF(ISNUMBER(SEARCH(Assumptions!$C$7,G1528)),Assumptions!$D$7,"Other Services"))),"Other Services"))</f>
        <v/>
      </c>
    </row>
    <row r="1529" customFormat="false" ht="15" hidden="false" customHeight="false" outlineLevel="0" collapsed="false">
      <c r="E1529" s="41" t="str">
        <f aca="false">IF(D1529="","",IFERROR(VLOOKUP(D1529,Assumptions!$G$5:$H$16,2,0),"Other"))</f>
        <v/>
      </c>
      <c r="J1529" s="41" t="str">
        <f aca="false">IF(G1529="","",IFERROR(IF(ISNUMBER(SEARCH(Assumptions!$C$5,G1529)),Assumptions!$D$5,IF(ISNUMBER(SEARCH(Assumptions!$C$6,G1529)),Assumptions!$D$6,IF(ISNUMBER(SEARCH(Assumptions!$C$7,G1529)),Assumptions!$D$7,"Other Services"))),"Other Services"))</f>
        <v/>
      </c>
    </row>
    <row r="1530" customFormat="false" ht="15" hidden="false" customHeight="false" outlineLevel="0" collapsed="false">
      <c r="E1530" s="41" t="str">
        <f aca="false">IF(D1530="","",IFERROR(VLOOKUP(D1530,Assumptions!$G$5:$H$16,2,0),"Other"))</f>
        <v/>
      </c>
      <c r="J1530" s="41" t="str">
        <f aca="false">IF(G1530="","",IFERROR(IF(ISNUMBER(SEARCH(Assumptions!$C$5,G1530)),Assumptions!$D$5,IF(ISNUMBER(SEARCH(Assumptions!$C$6,G1530)),Assumptions!$D$6,IF(ISNUMBER(SEARCH(Assumptions!$C$7,G1530)),Assumptions!$D$7,"Other Services"))),"Other Services"))</f>
        <v/>
      </c>
    </row>
    <row r="1531" customFormat="false" ht="15" hidden="false" customHeight="false" outlineLevel="0" collapsed="false">
      <c r="E1531" s="41" t="str">
        <f aca="false">IF(D1531="","",IFERROR(VLOOKUP(D1531,Assumptions!$G$5:$H$16,2,0),"Other"))</f>
        <v/>
      </c>
      <c r="J1531" s="41" t="str">
        <f aca="false">IF(G1531="","",IFERROR(IF(ISNUMBER(SEARCH(Assumptions!$C$5,G1531)),Assumptions!$D$5,IF(ISNUMBER(SEARCH(Assumptions!$C$6,G1531)),Assumptions!$D$6,IF(ISNUMBER(SEARCH(Assumptions!$C$7,G1531)),Assumptions!$D$7,"Other Services"))),"Other Services"))</f>
        <v/>
      </c>
    </row>
    <row r="1532" customFormat="false" ht="15" hidden="false" customHeight="false" outlineLevel="0" collapsed="false">
      <c r="E1532" s="41" t="str">
        <f aca="false">IF(D1532="","",IFERROR(VLOOKUP(D1532,Assumptions!$G$5:$H$16,2,0),"Other"))</f>
        <v/>
      </c>
      <c r="J1532" s="41" t="str">
        <f aca="false">IF(G1532="","",IFERROR(IF(ISNUMBER(SEARCH(Assumptions!$C$5,G1532)),Assumptions!$D$5,IF(ISNUMBER(SEARCH(Assumptions!$C$6,G1532)),Assumptions!$D$6,IF(ISNUMBER(SEARCH(Assumptions!$C$7,G1532)),Assumptions!$D$7,"Other Services"))),"Other Services"))</f>
        <v/>
      </c>
    </row>
    <row r="1533" customFormat="false" ht="15" hidden="false" customHeight="false" outlineLevel="0" collapsed="false">
      <c r="E1533" s="41" t="str">
        <f aca="false">IF(D1533="","",IFERROR(VLOOKUP(D1533,Assumptions!$G$5:$H$16,2,0),"Other"))</f>
        <v/>
      </c>
      <c r="J1533" s="41" t="str">
        <f aca="false">IF(G1533="","",IFERROR(IF(ISNUMBER(SEARCH(Assumptions!$C$5,G1533)),Assumptions!$D$5,IF(ISNUMBER(SEARCH(Assumptions!$C$6,G1533)),Assumptions!$D$6,IF(ISNUMBER(SEARCH(Assumptions!$C$7,G1533)),Assumptions!$D$7,"Other Services"))),"Other Services"))</f>
        <v/>
      </c>
    </row>
    <row r="1534" customFormat="false" ht="15" hidden="false" customHeight="false" outlineLevel="0" collapsed="false">
      <c r="E1534" s="41" t="str">
        <f aca="false">IF(D1534="","",IFERROR(VLOOKUP(D1534,Assumptions!$G$5:$H$16,2,0),"Other"))</f>
        <v/>
      </c>
      <c r="J1534" s="41" t="str">
        <f aca="false">IF(G1534="","",IFERROR(IF(ISNUMBER(SEARCH(Assumptions!$C$5,G1534)),Assumptions!$D$5,IF(ISNUMBER(SEARCH(Assumptions!$C$6,G1534)),Assumptions!$D$6,IF(ISNUMBER(SEARCH(Assumptions!$C$7,G1534)),Assumptions!$D$7,"Other Services"))),"Other Services"))</f>
        <v/>
      </c>
    </row>
    <row r="1535" customFormat="false" ht="15" hidden="false" customHeight="false" outlineLevel="0" collapsed="false">
      <c r="E1535" s="41" t="str">
        <f aca="false">IF(D1535="","",IFERROR(VLOOKUP(D1535,Assumptions!$G$5:$H$16,2,0),"Other"))</f>
        <v/>
      </c>
      <c r="J1535" s="41" t="str">
        <f aca="false">IF(G1535="","",IFERROR(IF(ISNUMBER(SEARCH(Assumptions!$C$5,G1535)),Assumptions!$D$5,IF(ISNUMBER(SEARCH(Assumptions!$C$6,G1535)),Assumptions!$D$6,IF(ISNUMBER(SEARCH(Assumptions!$C$7,G1535)),Assumptions!$D$7,"Other Services"))),"Other Services"))</f>
        <v/>
      </c>
    </row>
    <row r="1536" customFormat="false" ht="15" hidden="false" customHeight="false" outlineLevel="0" collapsed="false">
      <c r="E1536" s="41" t="str">
        <f aca="false">IF(D1536="","",IFERROR(VLOOKUP(D1536,Assumptions!$G$5:$H$16,2,0),"Other"))</f>
        <v/>
      </c>
      <c r="J1536" s="41" t="str">
        <f aca="false">IF(G1536="","",IFERROR(IF(ISNUMBER(SEARCH(Assumptions!$C$5,G1536)),Assumptions!$D$5,IF(ISNUMBER(SEARCH(Assumptions!$C$6,G1536)),Assumptions!$D$6,IF(ISNUMBER(SEARCH(Assumptions!$C$7,G1536)),Assumptions!$D$7,"Other Services"))),"Other Services"))</f>
        <v/>
      </c>
    </row>
    <row r="1537" customFormat="false" ht="15" hidden="false" customHeight="false" outlineLevel="0" collapsed="false">
      <c r="E1537" s="41" t="str">
        <f aca="false">IF(D1537="","",IFERROR(VLOOKUP(D1537,Assumptions!$G$5:$H$16,2,0),"Other"))</f>
        <v/>
      </c>
      <c r="J1537" s="41" t="str">
        <f aca="false">IF(G1537="","",IFERROR(IF(ISNUMBER(SEARCH(Assumptions!$C$5,G1537)),Assumptions!$D$5,IF(ISNUMBER(SEARCH(Assumptions!$C$6,G1537)),Assumptions!$D$6,IF(ISNUMBER(SEARCH(Assumptions!$C$7,G1537)),Assumptions!$D$7,"Other Services"))),"Other Services"))</f>
        <v/>
      </c>
    </row>
    <row r="1538" customFormat="false" ht="15" hidden="false" customHeight="false" outlineLevel="0" collapsed="false">
      <c r="E1538" s="41" t="str">
        <f aca="false">IF(D1538="","",IFERROR(VLOOKUP(D1538,Assumptions!$G$5:$H$16,2,0),"Other"))</f>
        <v/>
      </c>
      <c r="J1538" s="41" t="str">
        <f aca="false">IF(G1538="","",IFERROR(IF(ISNUMBER(SEARCH(Assumptions!$C$5,G1538)),Assumptions!$D$5,IF(ISNUMBER(SEARCH(Assumptions!$C$6,G1538)),Assumptions!$D$6,IF(ISNUMBER(SEARCH(Assumptions!$C$7,G1538)),Assumptions!$D$7,"Other Services"))),"Other Services"))</f>
        <v/>
      </c>
    </row>
    <row r="1539" customFormat="false" ht="15" hidden="false" customHeight="false" outlineLevel="0" collapsed="false">
      <c r="E1539" s="41" t="str">
        <f aca="false">IF(D1539="","",IFERROR(VLOOKUP(D1539,Assumptions!$G$5:$H$16,2,0),"Other"))</f>
        <v/>
      </c>
      <c r="J1539" s="41" t="str">
        <f aca="false">IF(G1539="","",IFERROR(IF(ISNUMBER(SEARCH(Assumptions!$C$5,G1539)),Assumptions!$D$5,IF(ISNUMBER(SEARCH(Assumptions!$C$6,G1539)),Assumptions!$D$6,IF(ISNUMBER(SEARCH(Assumptions!$C$7,G1539)),Assumptions!$D$7,"Other Services"))),"Other Services"))</f>
        <v/>
      </c>
    </row>
    <row r="1540" customFormat="false" ht="15" hidden="false" customHeight="false" outlineLevel="0" collapsed="false">
      <c r="E1540" s="41" t="str">
        <f aca="false">IF(D1540="","",IFERROR(VLOOKUP(D1540,Assumptions!$G$5:$H$16,2,0),"Other"))</f>
        <v/>
      </c>
      <c r="J1540" s="41" t="str">
        <f aca="false">IF(G1540="","",IFERROR(IF(ISNUMBER(SEARCH(Assumptions!$C$5,G1540)),Assumptions!$D$5,IF(ISNUMBER(SEARCH(Assumptions!$C$6,G1540)),Assumptions!$D$6,IF(ISNUMBER(SEARCH(Assumptions!$C$7,G1540)),Assumptions!$D$7,"Other Services"))),"Other Services"))</f>
        <v/>
      </c>
    </row>
    <row r="1541" customFormat="false" ht="15" hidden="false" customHeight="false" outlineLevel="0" collapsed="false">
      <c r="E1541" s="41" t="str">
        <f aca="false">IF(D1541="","",IFERROR(VLOOKUP(D1541,Assumptions!$G$5:$H$16,2,0),"Other"))</f>
        <v/>
      </c>
      <c r="J1541" s="41" t="str">
        <f aca="false">IF(G1541="","",IFERROR(IF(ISNUMBER(SEARCH(Assumptions!$C$5,G1541)),Assumptions!$D$5,IF(ISNUMBER(SEARCH(Assumptions!$C$6,G1541)),Assumptions!$D$6,IF(ISNUMBER(SEARCH(Assumptions!$C$7,G1541)),Assumptions!$D$7,"Other Services"))),"Other Services"))</f>
        <v/>
      </c>
    </row>
    <row r="1542" customFormat="false" ht="15" hidden="false" customHeight="false" outlineLevel="0" collapsed="false">
      <c r="E1542" s="41" t="str">
        <f aca="false">IF(D1542="","",IFERROR(VLOOKUP(D1542,Assumptions!$G$5:$H$16,2,0),"Other"))</f>
        <v/>
      </c>
      <c r="J1542" s="41" t="str">
        <f aca="false">IF(G1542="","",IFERROR(IF(ISNUMBER(SEARCH(Assumptions!$C$5,G1542)),Assumptions!$D$5,IF(ISNUMBER(SEARCH(Assumptions!$C$6,G1542)),Assumptions!$D$6,IF(ISNUMBER(SEARCH(Assumptions!$C$7,G1542)),Assumptions!$D$7,"Other Services"))),"Other Services"))</f>
        <v/>
      </c>
    </row>
    <row r="1543" customFormat="false" ht="15" hidden="false" customHeight="false" outlineLevel="0" collapsed="false">
      <c r="E1543" s="41" t="str">
        <f aca="false">IF(D1543="","",IFERROR(VLOOKUP(D1543,Assumptions!$G$5:$H$16,2,0),"Other"))</f>
        <v/>
      </c>
      <c r="J1543" s="41" t="str">
        <f aca="false">IF(G1543="","",IFERROR(IF(ISNUMBER(SEARCH(Assumptions!$C$5,G1543)),Assumptions!$D$5,IF(ISNUMBER(SEARCH(Assumptions!$C$6,G1543)),Assumptions!$D$6,IF(ISNUMBER(SEARCH(Assumptions!$C$7,G1543)),Assumptions!$D$7,"Other Services"))),"Other Services"))</f>
        <v/>
      </c>
    </row>
    <row r="1544" customFormat="false" ht="15" hidden="false" customHeight="false" outlineLevel="0" collapsed="false">
      <c r="E1544" s="41" t="str">
        <f aca="false">IF(D1544="","",IFERROR(VLOOKUP(D1544,Assumptions!$G$5:$H$16,2,0),"Other"))</f>
        <v/>
      </c>
      <c r="J1544" s="41" t="str">
        <f aca="false">IF(G1544="","",IFERROR(IF(ISNUMBER(SEARCH(Assumptions!$C$5,G1544)),Assumptions!$D$5,IF(ISNUMBER(SEARCH(Assumptions!$C$6,G1544)),Assumptions!$D$6,IF(ISNUMBER(SEARCH(Assumptions!$C$7,G1544)),Assumptions!$D$7,"Other Services"))),"Other Services"))</f>
        <v/>
      </c>
    </row>
    <row r="1545" customFormat="false" ht="15" hidden="false" customHeight="false" outlineLevel="0" collapsed="false">
      <c r="E1545" s="41" t="str">
        <f aca="false">IF(D1545="","",IFERROR(VLOOKUP(D1545,Assumptions!$G$5:$H$16,2,0),"Other"))</f>
        <v/>
      </c>
      <c r="J1545" s="41" t="str">
        <f aca="false">IF(G1545="","",IFERROR(IF(ISNUMBER(SEARCH(Assumptions!$C$5,G1545)),Assumptions!$D$5,IF(ISNUMBER(SEARCH(Assumptions!$C$6,G1545)),Assumptions!$D$6,IF(ISNUMBER(SEARCH(Assumptions!$C$7,G1545)),Assumptions!$D$7,"Other Services"))),"Other Services"))</f>
        <v/>
      </c>
    </row>
    <row r="1546" customFormat="false" ht="15" hidden="false" customHeight="false" outlineLevel="0" collapsed="false">
      <c r="E1546" s="41" t="str">
        <f aca="false">IF(D1546="","",IFERROR(VLOOKUP(D1546,Assumptions!$G$5:$H$16,2,0),"Other"))</f>
        <v/>
      </c>
      <c r="J1546" s="41" t="str">
        <f aca="false">IF(G1546="","",IFERROR(IF(ISNUMBER(SEARCH(Assumptions!$C$5,G1546)),Assumptions!$D$5,IF(ISNUMBER(SEARCH(Assumptions!$C$6,G1546)),Assumptions!$D$6,IF(ISNUMBER(SEARCH(Assumptions!$C$7,G1546)),Assumptions!$D$7,"Other Services"))),"Other Services"))</f>
        <v/>
      </c>
    </row>
    <row r="1547" customFormat="false" ht="15" hidden="false" customHeight="false" outlineLevel="0" collapsed="false">
      <c r="E1547" s="41" t="str">
        <f aca="false">IF(D1547="","",IFERROR(VLOOKUP(D1547,Assumptions!$G$5:$H$16,2,0),"Other"))</f>
        <v/>
      </c>
      <c r="J1547" s="41" t="str">
        <f aca="false">IF(G1547="","",IFERROR(IF(ISNUMBER(SEARCH(Assumptions!$C$5,G1547)),Assumptions!$D$5,IF(ISNUMBER(SEARCH(Assumptions!$C$6,G1547)),Assumptions!$D$6,IF(ISNUMBER(SEARCH(Assumptions!$C$7,G1547)),Assumptions!$D$7,"Other Services"))),"Other Services"))</f>
        <v/>
      </c>
    </row>
    <row r="1548" customFormat="false" ht="15" hidden="false" customHeight="false" outlineLevel="0" collapsed="false">
      <c r="E1548" s="41" t="str">
        <f aca="false">IF(D1548="","",IFERROR(VLOOKUP(D1548,Assumptions!$G$5:$H$16,2,0),"Other"))</f>
        <v/>
      </c>
      <c r="J1548" s="41" t="str">
        <f aca="false">IF(G1548="","",IFERROR(IF(ISNUMBER(SEARCH(Assumptions!$C$5,G1548)),Assumptions!$D$5,IF(ISNUMBER(SEARCH(Assumptions!$C$6,G1548)),Assumptions!$D$6,IF(ISNUMBER(SEARCH(Assumptions!$C$7,G1548)),Assumptions!$D$7,"Other Services"))),"Other Services"))</f>
        <v/>
      </c>
    </row>
    <row r="1549" customFormat="false" ht="15" hidden="false" customHeight="false" outlineLevel="0" collapsed="false">
      <c r="E1549" s="41" t="str">
        <f aca="false">IF(D1549="","",IFERROR(VLOOKUP(D1549,Assumptions!$G$5:$H$16,2,0),"Other"))</f>
        <v/>
      </c>
      <c r="J1549" s="41" t="str">
        <f aca="false">IF(G1549="","",IFERROR(IF(ISNUMBER(SEARCH(Assumptions!$C$5,G1549)),Assumptions!$D$5,IF(ISNUMBER(SEARCH(Assumptions!$C$6,G1549)),Assumptions!$D$6,IF(ISNUMBER(SEARCH(Assumptions!$C$7,G1549)),Assumptions!$D$7,"Other Services"))),"Other Services"))</f>
        <v/>
      </c>
    </row>
    <row r="1550" customFormat="false" ht="15" hidden="false" customHeight="false" outlineLevel="0" collapsed="false">
      <c r="E1550" s="41" t="str">
        <f aca="false">IF(D1550="","",IFERROR(VLOOKUP(D1550,Assumptions!$G$5:$H$16,2,0),"Other"))</f>
        <v/>
      </c>
      <c r="J1550" s="41" t="str">
        <f aca="false">IF(G1550="","",IFERROR(IF(ISNUMBER(SEARCH(Assumptions!$C$5,G1550)),Assumptions!$D$5,IF(ISNUMBER(SEARCH(Assumptions!$C$6,G1550)),Assumptions!$D$6,IF(ISNUMBER(SEARCH(Assumptions!$C$7,G1550)),Assumptions!$D$7,"Other Services"))),"Other Services"))</f>
        <v/>
      </c>
    </row>
    <row r="1551" customFormat="false" ht="15" hidden="false" customHeight="false" outlineLevel="0" collapsed="false">
      <c r="E1551" s="41" t="str">
        <f aca="false">IF(D1551="","",IFERROR(VLOOKUP(D1551,Assumptions!$G$5:$H$16,2,0),"Other"))</f>
        <v/>
      </c>
      <c r="J1551" s="41" t="str">
        <f aca="false">IF(G1551="","",IFERROR(IF(ISNUMBER(SEARCH(Assumptions!$C$5,G1551)),Assumptions!$D$5,IF(ISNUMBER(SEARCH(Assumptions!$C$6,G1551)),Assumptions!$D$6,IF(ISNUMBER(SEARCH(Assumptions!$C$7,G1551)),Assumptions!$D$7,"Other Services"))),"Other Services"))</f>
        <v/>
      </c>
    </row>
    <row r="1552" customFormat="false" ht="15" hidden="false" customHeight="false" outlineLevel="0" collapsed="false">
      <c r="E1552" s="41" t="str">
        <f aca="false">IF(D1552="","",IFERROR(VLOOKUP(D1552,Assumptions!$G$5:$H$16,2,0),"Other"))</f>
        <v/>
      </c>
      <c r="J1552" s="41" t="str">
        <f aca="false">IF(G1552="","",IFERROR(IF(ISNUMBER(SEARCH(Assumptions!$C$5,G1552)),Assumptions!$D$5,IF(ISNUMBER(SEARCH(Assumptions!$C$6,G1552)),Assumptions!$D$6,IF(ISNUMBER(SEARCH(Assumptions!$C$7,G1552)),Assumptions!$D$7,"Other Services"))),"Other Services"))</f>
        <v/>
      </c>
    </row>
    <row r="1553" customFormat="false" ht="15" hidden="false" customHeight="false" outlineLevel="0" collapsed="false">
      <c r="E1553" s="41" t="str">
        <f aca="false">IF(D1553="","",IFERROR(VLOOKUP(D1553,Assumptions!$G$5:$H$16,2,0),"Other"))</f>
        <v/>
      </c>
      <c r="J1553" s="41" t="str">
        <f aca="false">IF(G1553="","",IFERROR(IF(ISNUMBER(SEARCH(Assumptions!$C$5,G1553)),Assumptions!$D$5,IF(ISNUMBER(SEARCH(Assumptions!$C$6,G1553)),Assumptions!$D$6,IF(ISNUMBER(SEARCH(Assumptions!$C$7,G1553)),Assumptions!$D$7,"Other Services"))),"Other Services"))</f>
        <v/>
      </c>
    </row>
    <row r="1554" customFormat="false" ht="15" hidden="false" customHeight="false" outlineLevel="0" collapsed="false">
      <c r="E1554" s="41" t="str">
        <f aca="false">IF(D1554="","",IFERROR(VLOOKUP(D1554,Assumptions!$G$5:$H$16,2,0),"Other"))</f>
        <v/>
      </c>
      <c r="J1554" s="41" t="str">
        <f aca="false">IF(G1554="","",IFERROR(IF(ISNUMBER(SEARCH(Assumptions!$C$5,G1554)),Assumptions!$D$5,IF(ISNUMBER(SEARCH(Assumptions!$C$6,G1554)),Assumptions!$D$6,IF(ISNUMBER(SEARCH(Assumptions!$C$7,G1554)),Assumptions!$D$7,"Other Services"))),"Other Services"))</f>
        <v/>
      </c>
    </row>
    <row r="1555" customFormat="false" ht="15" hidden="false" customHeight="false" outlineLevel="0" collapsed="false">
      <c r="E1555" s="41" t="str">
        <f aca="false">IF(D1555="","",IFERROR(VLOOKUP(D1555,Assumptions!$G$5:$H$16,2,0),"Other"))</f>
        <v/>
      </c>
      <c r="J1555" s="41" t="str">
        <f aca="false">IF(G1555="","",IFERROR(IF(ISNUMBER(SEARCH(Assumptions!$C$5,G1555)),Assumptions!$D$5,IF(ISNUMBER(SEARCH(Assumptions!$C$6,G1555)),Assumptions!$D$6,IF(ISNUMBER(SEARCH(Assumptions!$C$7,G1555)),Assumptions!$D$7,"Other Services"))),"Other Services"))</f>
        <v/>
      </c>
    </row>
    <row r="1556" customFormat="false" ht="15" hidden="false" customHeight="false" outlineLevel="0" collapsed="false">
      <c r="E1556" s="41" t="str">
        <f aca="false">IF(D1556="","",IFERROR(VLOOKUP(D1556,Assumptions!$G$5:$H$16,2,0),"Other"))</f>
        <v/>
      </c>
      <c r="J1556" s="41" t="str">
        <f aca="false">IF(G1556="","",IFERROR(IF(ISNUMBER(SEARCH(Assumptions!$C$5,G1556)),Assumptions!$D$5,IF(ISNUMBER(SEARCH(Assumptions!$C$6,G1556)),Assumptions!$D$6,IF(ISNUMBER(SEARCH(Assumptions!$C$7,G1556)),Assumptions!$D$7,"Other Services"))),"Other Services"))</f>
        <v/>
      </c>
    </row>
    <row r="1557" customFormat="false" ht="15" hidden="false" customHeight="false" outlineLevel="0" collapsed="false">
      <c r="E1557" s="41" t="str">
        <f aca="false">IF(D1557="","",IFERROR(VLOOKUP(D1557,Assumptions!$G$5:$H$16,2,0),"Other"))</f>
        <v/>
      </c>
      <c r="J1557" s="41" t="str">
        <f aca="false">IF(G1557="","",IFERROR(IF(ISNUMBER(SEARCH(Assumptions!$C$5,G1557)),Assumptions!$D$5,IF(ISNUMBER(SEARCH(Assumptions!$C$6,G1557)),Assumptions!$D$6,IF(ISNUMBER(SEARCH(Assumptions!$C$7,G1557)),Assumptions!$D$7,"Other Services"))),"Other Services"))</f>
        <v/>
      </c>
    </row>
    <row r="1558" customFormat="false" ht="15" hidden="false" customHeight="false" outlineLevel="0" collapsed="false">
      <c r="E1558" s="41" t="str">
        <f aca="false">IF(D1558="","",IFERROR(VLOOKUP(D1558,Assumptions!$G$5:$H$16,2,0),"Other"))</f>
        <v/>
      </c>
      <c r="J1558" s="41" t="str">
        <f aca="false">IF(G1558="","",IFERROR(IF(ISNUMBER(SEARCH(Assumptions!$C$5,G1558)),Assumptions!$D$5,IF(ISNUMBER(SEARCH(Assumptions!$C$6,G1558)),Assumptions!$D$6,IF(ISNUMBER(SEARCH(Assumptions!$C$7,G1558)),Assumptions!$D$7,"Other Services"))),"Other Services"))</f>
        <v/>
      </c>
    </row>
    <row r="1559" customFormat="false" ht="15" hidden="false" customHeight="false" outlineLevel="0" collapsed="false">
      <c r="E1559" s="41" t="str">
        <f aca="false">IF(D1559="","",IFERROR(VLOOKUP(D1559,Assumptions!$G$5:$H$16,2,0),"Other"))</f>
        <v/>
      </c>
      <c r="J1559" s="41" t="str">
        <f aca="false">IF(G1559="","",IFERROR(IF(ISNUMBER(SEARCH(Assumptions!$C$5,G1559)),Assumptions!$D$5,IF(ISNUMBER(SEARCH(Assumptions!$C$6,G1559)),Assumptions!$D$6,IF(ISNUMBER(SEARCH(Assumptions!$C$7,G1559)),Assumptions!$D$7,"Other Services"))),"Other Services"))</f>
        <v/>
      </c>
    </row>
    <row r="1560" customFormat="false" ht="15" hidden="false" customHeight="false" outlineLevel="0" collapsed="false">
      <c r="E1560" s="41" t="str">
        <f aca="false">IF(D1560="","",IFERROR(VLOOKUP(D1560,Assumptions!$G$5:$H$16,2,0),"Other"))</f>
        <v/>
      </c>
      <c r="J1560" s="41" t="str">
        <f aca="false">IF(G1560="","",IFERROR(IF(ISNUMBER(SEARCH(Assumptions!$C$5,G1560)),Assumptions!$D$5,IF(ISNUMBER(SEARCH(Assumptions!$C$6,G1560)),Assumptions!$D$6,IF(ISNUMBER(SEARCH(Assumptions!$C$7,G1560)),Assumptions!$D$7,"Other Services"))),"Other Services"))</f>
        <v/>
      </c>
    </row>
    <row r="1561" customFormat="false" ht="15" hidden="false" customHeight="false" outlineLevel="0" collapsed="false">
      <c r="E1561" s="41" t="str">
        <f aca="false">IF(D1561="","",IFERROR(VLOOKUP(D1561,Assumptions!$G$5:$H$16,2,0),"Other"))</f>
        <v/>
      </c>
      <c r="J1561" s="41" t="str">
        <f aca="false">IF(G1561="","",IFERROR(IF(ISNUMBER(SEARCH(Assumptions!$C$5,G1561)),Assumptions!$D$5,IF(ISNUMBER(SEARCH(Assumptions!$C$6,G1561)),Assumptions!$D$6,IF(ISNUMBER(SEARCH(Assumptions!$C$7,G1561)),Assumptions!$D$7,"Other Services"))),"Other Services"))</f>
        <v/>
      </c>
    </row>
    <row r="1562" customFormat="false" ht="15" hidden="false" customHeight="false" outlineLevel="0" collapsed="false">
      <c r="E1562" s="41" t="str">
        <f aca="false">IF(D1562="","",IFERROR(VLOOKUP(D1562,Assumptions!$G$5:$H$16,2,0),"Other"))</f>
        <v/>
      </c>
      <c r="J1562" s="41" t="str">
        <f aca="false">IF(G1562="","",IFERROR(IF(ISNUMBER(SEARCH(Assumptions!$C$5,G1562)),Assumptions!$D$5,IF(ISNUMBER(SEARCH(Assumptions!$C$6,G1562)),Assumptions!$D$6,IF(ISNUMBER(SEARCH(Assumptions!$C$7,G1562)),Assumptions!$D$7,"Other Services"))),"Other Services"))</f>
        <v/>
      </c>
    </row>
    <row r="1563" customFormat="false" ht="15" hidden="false" customHeight="false" outlineLevel="0" collapsed="false">
      <c r="E1563" s="41" t="str">
        <f aca="false">IF(D1563="","",IFERROR(VLOOKUP(D1563,Assumptions!$G$5:$H$16,2,0),"Other"))</f>
        <v/>
      </c>
      <c r="J1563" s="41" t="str">
        <f aca="false">IF(G1563="","",IFERROR(IF(ISNUMBER(SEARCH(Assumptions!$C$5,G1563)),Assumptions!$D$5,IF(ISNUMBER(SEARCH(Assumptions!$C$6,G1563)),Assumptions!$D$6,IF(ISNUMBER(SEARCH(Assumptions!$C$7,G1563)),Assumptions!$D$7,"Other Services"))),"Other Services"))</f>
        <v/>
      </c>
    </row>
    <row r="1564" customFormat="false" ht="15" hidden="false" customHeight="false" outlineLevel="0" collapsed="false">
      <c r="E1564" s="41" t="str">
        <f aca="false">IF(D1564="","",IFERROR(VLOOKUP(D1564,Assumptions!$G$5:$H$16,2,0),"Other"))</f>
        <v/>
      </c>
      <c r="J1564" s="41" t="str">
        <f aca="false">IF(G1564="","",IFERROR(IF(ISNUMBER(SEARCH(Assumptions!$C$5,G1564)),Assumptions!$D$5,IF(ISNUMBER(SEARCH(Assumptions!$C$6,G1564)),Assumptions!$D$6,IF(ISNUMBER(SEARCH(Assumptions!$C$7,G1564)),Assumptions!$D$7,"Other Services"))),"Other Services"))</f>
        <v/>
      </c>
    </row>
    <row r="1565" customFormat="false" ht="15" hidden="false" customHeight="false" outlineLevel="0" collapsed="false">
      <c r="E1565" s="41" t="str">
        <f aca="false">IF(D1565="","",IFERROR(VLOOKUP(D1565,Assumptions!$G$5:$H$16,2,0),"Other"))</f>
        <v/>
      </c>
      <c r="J1565" s="41" t="str">
        <f aca="false">IF(G1565="","",IFERROR(IF(ISNUMBER(SEARCH(Assumptions!$C$5,G1565)),Assumptions!$D$5,IF(ISNUMBER(SEARCH(Assumptions!$C$6,G1565)),Assumptions!$D$6,IF(ISNUMBER(SEARCH(Assumptions!$C$7,G1565)),Assumptions!$D$7,"Other Services"))),"Other Services"))</f>
        <v/>
      </c>
    </row>
    <row r="1566" customFormat="false" ht="15" hidden="false" customHeight="false" outlineLevel="0" collapsed="false">
      <c r="E1566" s="41" t="str">
        <f aca="false">IF(D1566="","",IFERROR(VLOOKUP(D1566,Assumptions!$G$5:$H$16,2,0),"Other"))</f>
        <v/>
      </c>
      <c r="J1566" s="41" t="str">
        <f aca="false">IF(G1566="","",IFERROR(IF(ISNUMBER(SEARCH(Assumptions!$C$5,G1566)),Assumptions!$D$5,IF(ISNUMBER(SEARCH(Assumptions!$C$6,G1566)),Assumptions!$D$6,IF(ISNUMBER(SEARCH(Assumptions!$C$7,G1566)),Assumptions!$D$7,"Other Services"))),"Other Services"))</f>
        <v/>
      </c>
    </row>
    <row r="1567" customFormat="false" ht="15" hidden="false" customHeight="false" outlineLevel="0" collapsed="false">
      <c r="E1567" s="41" t="str">
        <f aca="false">IF(D1567="","",IFERROR(VLOOKUP(D1567,Assumptions!$G$5:$H$16,2,0),"Other"))</f>
        <v/>
      </c>
      <c r="J1567" s="41" t="str">
        <f aca="false">IF(G1567="","",IFERROR(IF(ISNUMBER(SEARCH(Assumptions!$C$5,G1567)),Assumptions!$D$5,IF(ISNUMBER(SEARCH(Assumptions!$C$6,G1567)),Assumptions!$D$6,IF(ISNUMBER(SEARCH(Assumptions!$C$7,G1567)),Assumptions!$D$7,"Other Services"))),"Other Services"))</f>
        <v/>
      </c>
    </row>
    <row r="1568" customFormat="false" ht="15" hidden="false" customHeight="false" outlineLevel="0" collapsed="false">
      <c r="E1568" s="41" t="str">
        <f aca="false">IF(D1568="","",IFERROR(VLOOKUP(D1568,Assumptions!$G$5:$H$16,2,0),"Other"))</f>
        <v/>
      </c>
      <c r="J1568" s="41" t="str">
        <f aca="false">IF(G1568="","",IFERROR(IF(ISNUMBER(SEARCH(Assumptions!$C$5,G1568)),Assumptions!$D$5,IF(ISNUMBER(SEARCH(Assumptions!$C$6,G1568)),Assumptions!$D$6,IF(ISNUMBER(SEARCH(Assumptions!$C$7,G1568)),Assumptions!$D$7,"Other Services"))),"Other Services"))</f>
        <v/>
      </c>
    </row>
    <row r="1569" customFormat="false" ht="15" hidden="false" customHeight="false" outlineLevel="0" collapsed="false">
      <c r="E1569" s="41" t="str">
        <f aca="false">IF(D1569="","",IFERROR(VLOOKUP(D1569,Assumptions!$G$5:$H$16,2,0),"Other"))</f>
        <v/>
      </c>
      <c r="J1569" s="41" t="str">
        <f aca="false">IF(G1569="","",IFERROR(IF(ISNUMBER(SEARCH(Assumptions!$C$5,G1569)),Assumptions!$D$5,IF(ISNUMBER(SEARCH(Assumptions!$C$6,G1569)),Assumptions!$D$6,IF(ISNUMBER(SEARCH(Assumptions!$C$7,G1569)),Assumptions!$D$7,"Other Services"))),"Other Services"))</f>
        <v/>
      </c>
    </row>
    <row r="1570" customFormat="false" ht="15" hidden="false" customHeight="false" outlineLevel="0" collapsed="false">
      <c r="E1570" s="41" t="str">
        <f aca="false">IF(D1570="","",IFERROR(VLOOKUP(D1570,Assumptions!$G$5:$H$16,2,0),"Other"))</f>
        <v/>
      </c>
      <c r="J1570" s="41" t="str">
        <f aca="false">IF(G1570="","",IFERROR(IF(ISNUMBER(SEARCH(Assumptions!$C$5,G1570)),Assumptions!$D$5,IF(ISNUMBER(SEARCH(Assumptions!$C$6,G1570)),Assumptions!$D$6,IF(ISNUMBER(SEARCH(Assumptions!$C$7,G1570)),Assumptions!$D$7,"Other Services"))),"Other Services"))</f>
        <v/>
      </c>
    </row>
    <row r="1571" customFormat="false" ht="15" hidden="false" customHeight="false" outlineLevel="0" collapsed="false">
      <c r="E1571" s="41" t="str">
        <f aca="false">IF(D1571="","",IFERROR(VLOOKUP(D1571,Assumptions!$G$5:$H$16,2,0),"Other"))</f>
        <v/>
      </c>
      <c r="J1571" s="41" t="str">
        <f aca="false">IF(G1571="","",IFERROR(IF(ISNUMBER(SEARCH(Assumptions!$C$5,G1571)),Assumptions!$D$5,IF(ISNUMBER(SEARCH(Assumptions!$C$6,G1571)),Assumptions!$D$6,IF(ISNUMBER(SEARCH(Assumptions!$C$7,G1571)),Assumptions!$D$7,"Other Services"))),"Other Services"))</f>
        <v/>
      </c>
    </row>
    <row r="1572" customFormat="false" ht="15" hidden="false" customHeight="false" outlineLevel="0" collapsed="false">
      <c r="E1572" s="41" t="str">
        <f aca="false">IF(D1572="","",IFERROR(VLOOKUP(D1572,Assumptions!$G$5:$H$16,2,0),"Other"))</f>
        <v/>
      </c>
      <c r="J1572" s="41" t="str">
        <f aca="false">IF(G1572="","",IFERROR(IF(ISNUMBER(SEARCH(Assumptions!$C$5,G1572)),Assumptions!$D$5,IF(ISNUMBER(SEARCH(Assumptions!$C$6,G1572)),Assumptions!$D$6,IF(ISNUMBER(SEARCH(Assumptions!$C$7,G1572)),Assumptions!$D$7,"Other Services"))),"Other Services"))</f>
        <v/>
      </c>
    </row>
    <row r="1573" customFormat="false" ht="15" hidden="false" customHeight="false" outlineLevel="0" collapsed="false">
      <c r="E1573" s="41" t="str">
        <f aca="false">IF(D1573="","",IFERROR(VLOOKUP(D1573,Assumptions!$G$5:$H$16,2,0),"Other"))</f>
        <v/>
      </c>
      <c r="J1573" s="41" t="str">
        <f aca="false">IF(G1573="","",IFERROR(IF(ISNUMBER(SEARCH(Assumptions!$C$5,G1573)),Assumptions!$D$5,IF(ISNUMBER(SEARCH(Assumptions!$C$6,G1573)),Assumptions!$D$6,IF(ISNUMBER(SEARCH(Assumptions!$C$7,G1573)),Assumptions!$D$7,"Other Services"))),"Other Services"))</f>
        <v/>
      </c>
    </row>
    <row r="1574" customFormat="false" ht="15" hidden="false" customHeight="false" outlineLevel="0" collapsed="false">
      <c r="E1574" s="41" t="str">
        <f aca="false">IF(D1574="","",IFERROR(VLOOKUP(D1574,Assumptions!$G$5:$H$16,2,0),"Other"))</f>
        <v/>
      </c>
      <c r="J1574" s="41" t="str">
        <f aca="false">IF(G1574="","",IFERROR(IF(ISNUMBER(SEARCH(Assumptions!$C$5,G1574)),Assumptions!$D$5,IF(ISNUMBER(SEARCH(Assumptions!$C$6,G1574)),Assumptions!$D$6,IF(ISNUMBER(SEARCH(Assumptions!$C$7,G1574)),Assumptions!$D$7,"Other Services"))),"Other Services"))</f>
        <v/>
      </c>
    </row>
    <row r="1575" customFormat="false" ht="15" hidden="false" customHeight="false" outlineLevel="0" collapsed="false">
      <c r="E1575" s="41" t="str">
        <f aca="false">IF(D1575="","",IFERROR(VLOOKUP(D1575,Assumptions!$G$5:$H$16,2,0),"Other"))</f>
        <v/>
      </c>
      <c r="J1575" s="41" t="str">
        <f aca="false">IF(G1575="","",IFERROR(IF(ISNUMBER(SEARCH(Assumptions!$C$5,G1575)),Assumptions!$D$5,IF(ISNUMBER(SEARCH(Assumptions!$C$6,G1575)),Assumptions!$D$6,IF(ISNUMBER(SEARCH(Assumptions!$C$7,G1575)),Assumptions!$D$7,"Other Services"))),"Other Services"))</f>
        <v/>
      </c>
    </row>
    <row r="1576" customFormat="false" ht="15" hidden="false" customHeight="false" outlineLevel="0" collapsed="false">
      <c r="E1576" s="41" t="str">
        <f aca="false">IF(D1576="","",IFERROR(VLOOKUP(D1576,Assumptions!$G$5:$H$16,2,0),"Other"))</f>
        <v/>
      </c>
      <c r="J1576" s="41" t="str">
        <f aca="false">IF(G1576="","",IFERROR(IF(ISNUMBER(SEARCH(Assumptions!$C$5,G1576)),Assumptions!$D$5,IF(ISNUMBER(SEARCH(Assumptions!$C$6,G1576)),Assumptions!$D$6,IF(ISNUMBER(SEARCH(Assumptions!$C$7,G1576)),Assumptions!$D$7,"Other Services"))),"Other Services"))</f>
        <v/>
      </c>
    </row>
    <row r="1577" customFormat="false" ht="15" hidden="false" customHeight="false" outlineLevel="0" collapsed="false">
      <c r="E1577" s="41" t="str">
        <f aca="false">IF(D1577="","",IFERROR(VLOOKUP(D1577,Assumptions!$G$5:$H$16,2,0),"Other"))</f>
        <v/>
      </c>
      <c r="J1577" s="41" t="str">
        <f aca="false">IF(G1577="","",IFERROR(IF(ISNUMBER(SEARCH(Assumptions!$C$5,G1577)),Assumptions!$D$5,IF(ISNUMBER(SEARCH(Assumptions!$C$6,G1577)),Assumptions!$D$6,IF(ISNUMBER(SEARCH(Assumptions!$C$7,G1577)),Assumptions!$D$7,"Other Services"))),"Other Services"))</f>
        <v/>
      </c>
    </row>
    <row r="1578" customFormat="false" ht="15" hidden="false" customHeight="false" outlineLevel="0" collapsed="false">
      <c r="E1578" s="41" t="str">
        <f aca="false">IF(D1578="","",IFERROR(VLOOKUP(D1578,Assumptions!$G$5:$H$16,2,0),"Other"))</f>
        <v/>
      </c>
      <c r="J1578" s="41" t="str">
        <f aca="false">IF(G1578="","",IFERROR(IF(ISNUMBER(SEARCH(Assumptions!$C$5,G1578)),Assumptions!$D$5,IF(ISNUMBER(SEARCH(Assumptions!$C$6,G1578)),Assumptions!$D$6,IF(ISNUMBER(SEARCH(Assumptions!$C$7,G1578)),Assumptions!$D$7,"Other Services"))),"Other Services"))</f>
        <v/>
      </c>
    </row>
    <row r="1579" customFormat="false" ht="15" hidden="false" customHeight="false" outlineLevel="0" collapsed="false">
      <c r="E1579" s="41" t="str">
        <f aca="false">IF(D1579="","",IFERROR(VLOOKUP(D1579,Assumptions!$G$5:$H$16,2,0),"Other"))</f>
        <v/>
      </c>
      <c r="J1579" s="41" t="str">
        <f aca="false">IF(G1579="","",IFERROR(IF(ISNUMBER(SEARCH(Assumptions!$C$5,G1579)),Assumptions!$D$5,IF(ISNUMBER(SEARCH(Assumptions!$C$6,G1579)),Assumptions!$D$6,IF(ISNUMBER(SEARCH(Assumptions!$C$7,G1579)),Assumptions!$D$7,"Other Services"))),"Other Services"))</f>
        <v/>
      </c>
    </row>
    <row r="1580" customFormat="false" ht="15" hidden="false" customHeight="false" outlineLevel="0" collapsed="false">
      <c r="E1580" s="41" t="str">
        <f aca="false">IF(D1580="","",IFERROR(VLOOKUP(D1580,Assumptions!$G$5:$H$16,2,0),"Other"))</f>
        <v/>
      </c>
      <c r="J1580" s="41" t="str">
        <f aca="false">IF(G1580="","",IFERROR(IF(ISNUMBER(SEARCH(Assumptions!$C$5,G1580)),Assumptions!$D$5,IF(ISNUMBER(SEARCH(Assumptions!$C$6,G1580)),Assumptions!$D$6,IF(ISNUMBER(SEARCH(Assumptions!$C$7,G1580)),Assumptions!$D$7,"Other Services"))),"Other Services"))</f>
        <v/>
      </c>
    </row>
    <row r="1581" customFormat="false" ht="15" hidden="false" customHeight="false" outlineLevel="0" collapsed="false">
      <c r="E1581" s="41" t="str">
        <f aca="false">IF(D1581="","",IFERROR(VLOOKUP(D1581,Assumptions!$G$5:$H$16,2,0),"Other"))</f>
        <v/>
      </c>
      <c r="J1581" s="41" t="str">
        <f aca="false">IF(G1581="","",IFERROR(IF(ISNUMBER(SEARCH(Assumptions!$C$5,G1581)),Assumptions!$D$5,IF(ISNUMBER(SEARCH(Assumptions!$C$6,G1581)),Assumptions!$D$6,IF(ISNUMBER(SEARCH(Assumptions!$C$7,G1581)),Assumptions!$D$7,"Other Services"))),"Other Services"))</f>
        <v/>
      </c>
    </row>
    <row r="1582" customFormat="false" ht="15" hidden="false" customHeight="false" outlineLevel="0" collapsed="false">
      <c r="E1582" s="41" t="str">
        <f aca="false">IF(D1582="","",IFERROR(VLOOKUP(D1582,Assumptions!$G$5:$H$16,2,0),"Other"))</f>
        <v/>
      </c>
      <c r="J1582" s="41" t="str">
        <f aca="false">IF(G1582="","",IFERROR(IF(ISNUMBER(SEARCH(Assumptions!$C$5,G1582)),Assumptions!$D$5,IF(ISNUMBER(SEARCH(Assumptions!$C$6,G1582)),Assumptions!$D$6,IF(ISNUMBER(SEARCH(Assumptions!$C$7,G1582)),Assumptions!$D$7,"Other Services"))),"Other Services"))</f>
        <v/>
      </c>
    </row>
    <row r="1583" customFormat="false" ht="15" hidden="false" customHeight="false" outlineLevel="0" collapsed="false">
      <c r="E1583" s="41" t="str">
        <f aca="false">IF(D1583="","",IFERROR(VLOOKUP(D1583,Assumptions!$G$5:$H$16,2,0),"Other"))</f>
        <v/>
      </c>
      <c r="J1583" s="41" t="str">
        <f aca="false">IF(G1583="","",IFERROR(IF(ISNUMBER(SEARCH(Assumptions!$C$5,G1583)),Assumptions!$D$5,IF(ISNUMBER(SEARCH(Assumptions!$C$6,G1583)),Assumptions!$D$6,IF(ISNUMBER(SEARCH(Assumptions!$C$7,G1583)),Assumptions!$D$7,"Other Services"))),"Other Services"))</f>
        <v/>
      </c>
    </row>
    <row r="1584" customFormat="false" ht="15" hidden="false" customHeight="false" outlineLevel="0" collapsed="false">
      <c r="E1584" s="41" t="str">
        <f aca="false">IF(D1584="","",IFERROR(VLOOKUP(D1584,Assumptions!$G$5:$H$16,2,0),"Other"))</f>
        <v/>
      </c>
      <c r="J1584" s="41" t="str">
        <f aca="false">IF(G1584="","",IFERROR(IF(ISNUMBER(SEARCH(Assumptions!$C$5,G1584)),Assumptions!$D$5,IF(ISNUMBER(SEARCH(Assumptions!$C$6,G1584)),Assumptions!$D$6,IF(ISNUMBER(SEARCH(Assumptions!$C$7,G1584)),Assumptions!$D$7,"Other Services"))),"Other Services"))</f>
        <v/>
      </c>
    </row>
    <row r="1585" customFormat="false" ht="15" hidden="false" customHeight="false" outlineLevel="0" collapsed="false">
      <c r="E1585" s="41" t="str">
        <f aca="false">IF(D1585="","",IFERROR(VLOOKUP(D1585,Assumptions!$G$5:$H$16,2,0),"Other"))</f>
        <v/>
      </c>
      <c r="J1585" s="41" t="str">
        <f aca="false">IF(G1585="","",IFERROR(IF(ISNUMBER(SEARCH(Assumptions!$C$5,G1585)),Assumptions!$D$5,IF(ISNUMBER(SEARCH(Assumptions!$C$6,G1585)),Assumptions!$D$6,IF(ISNUMBER(SEARCH(Assumptions!$C$7,G1585)),Assumptions!$D$7,"Other Services"))),"Other Services"))</f>
        <v/>
      </c>
    </row>
    <row r="1586" customFormat="false" ht="15" hidden="false" customHeight="false" outlineLevel="0" collapsed="false">
      <c r="E1586" s="41" t="str">
        <f aca="false">IF(D1586="","",IFERROR(VLOOKUP(D1586,Assumptions!$G$5:$H$16,2,0),"Other"))</f>
        <v/>
      </c>
      <c r="J1586" s="41" t="str">
        <f aca="false">IF(G1586="","",IFERROR(IF(ISNUMBER(SEARCH(Assumptions!$C$5,G1586)),Assumptions!$D$5,IF(ISNUMBER(SEARCH(Assumptions!$C$6,G1586)),Assumptions!$D$6,IF(ISNUMBER(SEARCH(Assumptions!$C$7,G1586)),Assumptions!$D$7,"Other Services"))),"Other Services"))</f>
        <v/>
      </c>
    </row>
    <row r="1587" customFormat="false" ht="15" hidden="false" customHeight="false" outlineLevel="0" collapsed="false">
      <c r="E1587" s="41" t="str">
        <f aca="false">IF(D1587="","",IFERROR(VLOOKUP(D1587,Assumptions!$G$5:$H$16,2,0),"Other"))</f>
        <v/>
      </c>
      <c r="J1587" s="41" t="str">
        <f aca="false">IF(G1587="","",IFERROR(IF(ISNUMBER(SEARCH(Assumptions!$C$5,G1587)),Assumptions!$D$5,IF(ISNUMBER(SEARCH(Assumptions!$C$6,G1587)),Assumptions!$D$6,IF(ISNUMBER(SEARCH(Assumptions!$C$7,G1587)),Assumptions!$D$7,"Other Services"))),"Other Services"))</f>
        <v/>
      </c>
    </row>
    <row r="1588" customFormat="false" ht="15" hidden="false" customHeight="false" outlineLevel="0" collapsed="false">
      <c r="E1588" s="41" t="str">
        <f aca="false">IF(D1588="","",IFERROR(VLOOKUP(D1588,Assumptions!$G$5:$H$16,2,0),"Other"))</f>
        <v/>
      </c>
      <c r="J1588" s="41" t="str">
        <f aca="false">IF(G1588="","",IFERROR(IF(ISNUMBER(SEARCH(Assumptions!$C$5,G1588)),Assumptions!$D$5,IF(ISNUMBER(SEARCH(Assumptions!$C$6,G1588)),Assumptions!$D$6,IF(ISNUMBER(SEARCH(Assumptions!$C$7,G1588)),Assumptions!$D$7,"Other Services"))),"Other Services"))</f>
        <v/>
      </c>
    </row>
    <row r="1589" customFormat="false" ht="15" hidden="false" customHeight="false" outlineLevel="0" collapsed="false">
      <c r="E1589" s="41" t="str">
        <f aca="false">IF(D1589="","",IFERROR(VLOOKUP(D1589,Assumptions!$G$5:$H$16,2,0),"Other"))</f>
        <v/>
      </c>
      <c r="J1589" s="41" t="str">
        <f aca="false">IF(G1589="","",IFERROR(IF(ISNUMBER(SEARCH(Assumptions!$C$5,G1589)),Assumptions!$D$5,IF(ISNUMBER(SEARCH(Assumptions!$C$6,G1589)),Assumptions!$D$6,IF(ISNUMBER(SEARCH(Assumptions!$C$7,G1589)),Assumptions!$D$7,"Other Services"))),"Other Services"))</f>
        <v/>
      </c>
    </row>
    <row r="1590" customFormat="false" ht="15" hidden="false" customHeight="false" outlineLevel="0" collapsed="false">
      <c r="E1590" s="41" t="str">
        <f aca="false">IF(D1590="","",IFERROR(VLOOKUP(D1590,Assumptions!$G$5:$H$16,2,0),"Other"))</f>
        <v/>
      </c>
      <c r="J1590" s="41" t="str">
        <f aca="false">IF(G1590="","",IFERROR(IF(ISNUMBER(SEARCH(Assumptions!$C$5,G1590)),Assumptions!$D$5,IF(ISNUMBER(SEARCH(Assumptions!$C$6,G1590)),Assumptions!$D$6,IF(ISNUMBER(SEARCH(Assumptions!$C$7,G1590)),Assumptions!$D$7,"Other Services"))),"Other Services"))</f>
        <v/>
      </c>
    </row>
    <row r="1591" customFormat="false" ht="15" hidden="false" customHeight="false" outlineLevel="0" collapsed="false">
      <c r="E1591" s="41" t="str">
        <f aca="false">IF(D1591="","",IFERROR(VLOOKUP(D1591,Assumptions!$G$5:$H$16,2,0),"Other"))</f>
        <v/>
      </c>
      <c r="J1591" s="41" t="str">
        <f aca="false">IF(G1591="","",IFERROR(IF(ISNUMBER(SEARCH(Assumptions!$C$5,G1591)),Assumptions!$D$5,IF(ISNUMBER(SEARCH(Assumptions!$C$6,G1591)),Assumptions!$D$6,IF(ISNUMBER(SEARCH(Assumptions!$C$7,G1591)),Assumptions!$D$7,"Other Services"))),"Other Services"))</f>
        <v/>
      </c>
    </row>
    <row r="1592" customFormat="false" ht="15" hidden="false" customHeight="false" outlineLevel="0" collapsed="false">
      <c r="E1592" s="41" t="str">
        <f aca="false">IF(D1592="","",IFERROR(VLOOKUP(D1592,Assumptions!$G$5:$H$16,2,0),"Other"))</f>
        <v/>
      </c>
      <c r="J1592" s="41" t="str">
        <f aca="false">IF(G1592="","",IFERROR(IF(ISNUMBER(SEARCH(Assumptions!$C$5,G1592)),Assumptions!$D$5,IF(ISNUMBER(SEARCH(Assumptions!$C$6,G1592)),Assumptions!$D$6,IF(ISNUMBER(SEARCH(Assumptions!$C$7,G1592)),Assumptions!$D$7,"Other Services"))),"Other Services"))</f>
        <v/>
      </c>
    </row>
    <row r="1593" customFormat="false" ht="15" hidden="false" customHeight="false" outlineLevel="0" collapsed="false">
      <c r="E1593" s="41" t="str">
        <f aca="false">IF(D1593="","",IFERROR(VLOOKUP(D1593,Assumptions!$G$5:$H$16,2,0),"Other"))</f>
        <v/>
      </c>
      <c r="J1593" s="41" t="str">
        <f aca="false">IF(G1593="","",IFERROR(IF(ISNUMBER(SEARCH(Assumptions!$C$5,G1593)),Assumptions!$D$5,IF(ISNUMBER(SEARCH(Assumptions!$C$6,G1593)),Assumptions!$D$6,IF(ISNUMBER(SEARCH(Assumptions!$C$7,G1593)),Assumptions!$D$7,"Other Services"))),"Other Services"))</f>
        <v/>
      </c>
    </row>
    <row r="1594" customFormat="false" ht="15" hidden="false" customHeight="false" outlineLevel="0" collapsed="false">
      <c r="E1594" s="41" t="str">
        <f aca="false">IF(D1594="","",IFERROR(VLOOKUP(D1594,Assumptions!$G$5:$H$16,2,0),"Other"))</f>
        <v/>
      </c>
      <c r="J1594" s="41" t="str">
        <f aca="false">IF(G1594="","",IFERROR(IF(ISNUMBER(SEARCH(Assumptions!$C$5,G1594)),Assumptions!$D$5,IF(ISNUMBER(SEARCH(Assumptions!$C$6,G1594)),Assumptions!$D$6,IF(ISNUMBER(SEARCH(Assumptions!$C$7,G1594)),Assumptions!$D$7,"Other Services"))),"Other Services"))</f>
        <v/>
      </c>
    </row>
    <row r="1595" customFormat="false" ht="15" hidden="false" customHeight="false" outlineLevel="0" collapsed="false">
      <c r="E1595" s="41" t="str">
        <f aca="false">IF(D1595="","",IFERROR(VLOOKUP(D1595,Assumptions!$G$5:$H$16,2,0),"Other"))</f>
        <v/>
      </c>
      <c r="J1595" s="41" t="str">
        <f aca="false">IF(G1595="","",IFERROR(IF(ISNUMBER(SEARCH(Assumptions!$C$5,G1595)),Assumptions!$D$5,IF(ISNUMBER(SEARCH(Assumptions!$C$6,G1595)),Assumptions!$D$6,IF(ISNUMBER(SEARCH(Assumptions!$C$7,G1595)),Assumptions!$D$7,"Other Services"))),"Other Services"))</f>
        <v/>
      </c>
    </row>
    <row r="1596" customFormat="false" ht="15" hidden="false" customHeight="false" outlineLevel="0" collapsed="false">
      <c r="E1596" s="41" t="str">
        <f aca="false">IF(D1596="","",IFERROR(VLOOKUP(D1596,Assumptions!$G$5:$H$16,2,0),"Other"))</f>
        <v/>
      </c>
      <c r="J1596" s="41" t="str">
        <f aca="false">IF(G1596="","",IFERROR(IF(ISNUMBER(SEARCH(Assumptions!$C$5,G1596)),Assumptions!$D$5,IF(ISNUMBER(SEARCH(Assumptions!$C$6,G1596)),Assumptions!$D$6,IF(ISNUMBER(SEARCH(Assumptions!$C$7,G1596)),Assumptions!$D$7,"Other Services"))),"Other Services"))</f>
        <v/>
      </c>
    </row>
    <row r="1597" customFormat="false" ht="15" hidden="false" customHeight="false" outlineLevel="0" collapsed="false">
      <c r="E1597" s="41" t="str">
        <f aca="false">IF(D1597="","",IFERROR(VLOOKUP(D1597,Assumptions!$G$5:$H$16,2,0),"Other"))</f>
        <v/>
      </c>
      <c r="J1597" s="41" t="str">
        <f aca="false">IF(G1597="","",IFERROR(IF(ISNUMBER(SEARCH(Assumptions!$C$5,G1597)),Assumptions!$D$5,IF(ISNUMBER(SEARCH(Assumptions!$C$6,G1597)),Assumptions!$D$6,IF(ISNUMBER(SEARCH(Assumptions!$C$7,G1597)),Assumptions!$D$7,"Other Services"))),"Other Services"))</f>
        <v/>
      </c>
    </row>
    <row r="1598" customFormat="false" ht="15" hidden="false" customHeight="false" outlineLevel="0" collapsed="false">
      <c r="E1598" s="41" t="str">
        <f aca="false">IF(D1598="","",IFERROR(VLOOKUP(D1598,Assumptions!$G$5:$H$16,2,0),"Other"))</f>
        <v/>
      </c>
      <c r="J1598" s="41" t="str">
        <f aca="false">IF(G1598="","",IFERROR(IF(ISNUMBER(SEARCH(Assumptions!$C$5,G1598)),Assumptions!$D$5,IF(ISNUMBER(SEARCH(Assumptions!$C$6,G1598)),Assumptions!$D$6,IF(ISNUMBER(SEARCH(Assumptions!$C$7,G1598)),Assumptions!$D$7,"Other Services"))),"Other Services"))</f>
        <v/>
      </c>
    </row>
    <row r="1599" customFormat="false" ht="15" hidden="false" customHeight="false" outlineLevel="0" collapsed="false">
      <c r="E1599" s="41" t="str">
        <f aca="false">IF(D1599="","",IFERROR(VLOOKUP(D1599,Assumptions!$G$5:$H$16,2,0),"Other"))</f>
        <v/>
      </c>
      <c r="J1599" s="41" t="str">
        <f aca="false">IF(G1599="","",IFERROR(IF(ISNUMBER(SEARCH(Assumptions!$C$5,G1599)),Assumptions!$D$5,IF(ISNUMBER(SEARCH(Assumptions!$C$6,G1599)),Assumptions!$D$6,IF(ISNUMBER(SEARCH(Assumptions!$C$7,G1599)),Assumptions!$D$7,"Other Services"))),"Other Services"))</f>
        <v/>
      </c>
    </row>
    <row r="1600" customFormat="false" ht="15" hidden="false" customHeight="false" outlineLevel="0" collapsed="false">
      <c r="E1600" s="41" t="str">
        <f aca="false">IF(D1600="","",IFERROR(VLOOKUP(D1600,Assumptions!$G$5:$H$16,2,0),"Other"))</f>
        <v/>
      </c>
      <c r="J1600" s="41" t="str">
        <f aca="false">IF(G1600="","",IFERROR(IF(ISNUMBER(SEARCH(Assumptions!$C$5,G1600)),Assumptions!$D$5,IF(ISNUMBER(SEARCH(Assumptions!$C$6,G1600)),Assumptions!$D$6,IF(ISNUMBER(SEARCH(Assumptions!$C$7,G1600)),Assumptions!$D$7,"Other Services"))),"Other Services"))</f>
        <v/>
      </c>
    </row>
    <row r="1601" customFormat="false" ht="15" hidden="false" customHeight="false" outlineLevel="0" collapsed="false">
      <c r="E1601" s="41" t="str">
        <f aca="false">IF(D1601="","",IFERROR(VLOOKUP(D1601,Assumptions!$G$5:$H$16,2,0),"Other"))</f>
        <v/>
      </c>
      <c r="J1601" s="41" t="str">
        <f aca="false">IF(G1601="","",IFERROR(IF(ISNUMBER(SEARCH(Assumptions!$C$5,G1601)),Assumptions!$D$5,IF(ISNUMBER(SEARCH(Assumptions!$C$6,G1601)),Assumptions!$D$6,IF(ISNUMBER(SEARCH(Assumptions!$C$7,G1601)),Assumptions!$D$7,"Other Services"))),"Other Services"))</f>
        <v/>
      </c>
    </row>
    <row r="1602" customFormat="false" ht="15" hidden="false" customHeight="false" outlineLevel="0" collapsed="false">
      <c r="E1602" s="41" t="str">
        <f aca="false">IF(D1602="","",IFERROR(VLOOKUP(D1602,Assumptions!$G$5:$H$16,2,0),"Other"))</f>
        <v/>
      </c>
      <c r="J1602" s="41" t="str">
        <f aca="false">IF(G1602="","",IFERROR(IF(ISNUMBER(SEARCH(Assumptions!$C$5,G1602)),Assumptions!$D$5,IF(ISNUMBER(SEARCH(Assumptions!$C$6,G1602)),Assumptions!$D$6,IF(ISNUMBER(SEARCH(Assumptions!$C$7,G1602)),Assumptions!$D$7,"Other Services"))),"Other Services"))</f>
        <v/>
      </c>
    </row>
    <row r="1603" customFormat="false" ht="15" hidden="false" customHeight="false" outlineLevel="0" collapsed="false">
      <c r="E1603" s="41" t="str">
        <f aca="false">IF(D1603="","",IFERROR(VLOOKUP(D1603,Assumptions!$G$5:$H$16,2,0),"Other"))</f>
        <v/>
      </c>
      <c r="J1603" s="41" t="str">
        <f aca="false">IF(G1603="","",IFERROR(IF(ISNUMBER(SEARCH(Assumptions!$C$5,G1603)),Assumptions!$D$5,IF(ISNUMBER(SEARCH(Assumptions!$C$6,G1603)),Assumptions!$D$6,IF(ISNUMBER(SEARCH(Assumptions!$C$7,G1603)),Assumptions!$D$7,"Other Services"))),"Other Services"))</f>
        <v/>
      </c>
    </row>
    <row r="1604" customFormat="false" ht="15" hidden="false" customHeight="false" outlineLevel="0" collapsed="false">
      <c r="E1604" s="41" t="str">
        <f aca="false">IF(D1604="","",IFERROR(VLOOKUP(D1604,Assumptions!$G$5:$H$16,2,0),"Other"))</f>
        <v/>
      </c>
      <c r="J1604" s="41" t="str">
        <f aca="false">IF(G1604="","",IFERROR(IF(ISNUMBER(SEARCH(Assumptions!$C$5,G1604)),Assumptions!$D$5,IF(ISNUMBER(SEARCH(Assumptions!$C$6,G1604)),Assumptions!$D$6,IF(ISNUMBER(SEARCH(Assumptions!$C$7,G1604)),Assumptions!$D$7,"Other Services"))),"Other Services"))</f>
        <v/>
      </c>
    </row>
    <row r="1605" customFormat="false" ht="15" hidden="false" customHeight="false" outlineLevel="0" collapsed="false">
      <c r="E1605" s="41" t="str">
        <f aca="false">IF(D1605="","",IFERROR(VLOOKUP(D1605,Assumptions!$G$5:$H$16,2,0),"Other"))</f>
        <v/>
      </c>
      <c r="J1605" s="41" t="str">
        <f aca="false">IF(G1605="","",IFERROR(IF(ISNUMBER(SEARCH(Assumptions!$C$5,G1605)),Assumptions!$D$5,IF(ISNUMBER(SEARCH(Assumptions!$C$6,G1605)),Assumptions!$D$6,IF(ISNUMBER(SEARCH(Assumptions!$C$7,G1605)),Assumptions!$D$7,"Other Services"))),"Other Services"))</f>
        <v/>
      </c>
    </row>
    <row r="1606" customFormat="false" ht="15" hidden="false" customHeight="false" outlineLevel="0" collapsed="false">
      <c r="E1606" s="41" t="str">
        <f aca="false">IF(D1606="","",IFERROR(VLOOKUP(D1606,Assumptions!$G$5:$H$16,2,0),"Other"))</f>
        <v/>
      </c>
      <c r="J1606" s="41" t="str">
        <f aca="false">IF(G1606="","",IFERROR(IF(ISNUMBER(SEARCH(Assumptions!$C$5,G1606)),Assumptions!$D$5,IF(ISNUMBER(SEARCH(Assumptions!$C$6,G1606)),Assumptions!$D$6,IF(ISNUMBER(SEARCH(Assumptions!$C$7,G1606)),Assumptions!$D$7,"Other Services"))),"Other Services"))</f>
        <v/>
      </c>
    </row>
    <row r="1607" customFormat="false" ht="15" hidden="false" customHeight="false" outlineLevel="0" collapsed="false">
      <c r="E1607" s="41" t="str">
        <f aca="false">IF(D1607="","",IFERROR(VLOOKUP(D1607,Assumptions!$G$5:$H$16,2,0),"Other"))</f>
        <v/>
      </c>
      <c r="J1607" s="41" t="str">
        <f aca="false">IF(G1607="","",IFERROR(IF(ISNUMBER(SEARCH(Assumptions!$C$5,G1607)),Assumptions!$D$5,IF(ISNUMBER(SEARCH(Assumptions!$C$6,G1607)),Assumptions!$D$6,IF(ISNUMBER(SEARCH(Assumptions!$C$7,G1607)),Assumptions!$D$7,"Other Services"))),"Other Services"))</f>
        <v/>
      </c>
    </row>
    <row r="1608" customFormat="false" ht="15" hidden="false" customHeight="false" outlineLevel="0" collapsed="false">
      <c r="E1608" s="41" t="str">
        <f aca="false">IF(D1608="","",IFERROR(VLOOKUP(D1608,Assumptions!$G$5:$H$16,2,0),"Other"))</f>
        <v/>
      </c>
      <c r="J1608" s="41" t="str">
        <f aca="false">IF(G1608="","",IFERROR(IF(ISNUMBER(SEARCH(Assumptions!$C$5,G1608)),Assumptions!$D$5,IF(ISNUMBER(SEARCH(Assumptions!$C$6,G1608)),Assumptions!$D$6,IF(ISNUMBER(SEARCH(Assumptions!$C$7,G1608)),Assumptions!$D$7,"Other Services"))),"Other Services"))</f>
        <v/>
      </c>
    </row>
    <row r="1609" customFormat="false" ht="15" hidden="false" customHeight="false" outlineLevel="0" collapsed="false">
      <c r="E1609" s="41" t="str">
        <f aca="false">IF(D1609="","",IFERROR(VLOOKUP(D1609,Assumptions!$G$5:$H$16,2,0),"Other"))</f>
        <v/>
      </c>
      <c r="J1609" s="41" t="str">
        <f aca="false">IF(G1609="","",IFERROR(IF(ISNUMBER(SEARCH(Assumptions!$C$5,G1609)),Assumptions!$D$5,IF(ISNUMBER(SEARCH(Assumptions!$C$6,G1609)),Assumptions!$D$6,IF(ISNUMBER(SEARCH(Assumptions!$C$7,G1609)),Assumptions!$D$7,"Other Services"))),"Other Services"))</f>
        <v/>
      </c>
    </row>
    <row r="1610" customFormat="false" ht="15" hidden="false" customHeight="false" outlineLevel="0" collapsed="false">
      <c r="E1610" s="41" t="str">
        <f aca="false">IF(D1610="","",IFERROR(VLOOKUP(D1610,Assumptions!$G$5:$H$16,2,0),"Other"))</f>
        <v/>
      </c>
      <c r="J1610" s="41" t="str">
        <f aca="false">IF(G1610="","",IFERROR(IF(ISNUMBER(SEARCH(Assumptions!$C$5,G1610)),Assumptions!$D$5,IF(ISNUMBER(SEARCH(Assumptions!$C$6,G1610)),Assumptions!$D$6,IF(ISNUMBER(SEARCH(Assumptions!$C$7,G1610)),Assumptions!$D$7,"Other Services"))),"Other Services"))</f>
        <v/>
      </c>
    </row>
    <row r="1611" customFormat="false" ht="15" hidden="false" customHeight="false" outlineLevel="0" collapsed="false">
      <c r="E1611" s="41" t="str">
        <f aca="false">IF(D1611="","",IFERROR(VLOOKUP(D1611,Assumptions!$G$5:$H$16,2,0),"Other"))</f>
        <v/>
      </c>
      <c r="J1611" s="41" t="str">
        <f aca="false">IF(G1611="","",IFERROR(IF(ISNUMBER(SEARCH(Assumptions!$C$5,G1611)),Assumptions!$D$5,IF(ISNUMBER(SEARCH(Assumptions!$C$6,G1611)),Assumptions!$D$6,IF(ISNUMBER(SEARCH(Assumptions!$C$7,G1611)),Assumptions!$D$7,"Other Services"))),"Other Services"))</f>
        <v/>
      </c>
    </row>
    <row r="1612" customFormat="false" ht="15" hidden="false" customHeight="false" outlineLevel="0" collapsed="false">
      <c r="E1612" s="41" t="str">
        <f aca="false">IF(D1612="","",IFERROR(VLOOKUP(D1612,Assumptions!$G$5:$H$16,2,0),"Other"))</f>
        <v/>
      </c>
      <c r="J1612" s="41" t="str">
        <f aca="false">IF(G1612="","",IFERROR(IF(ISNUMBER(SEARCH(Assumptions!$C$5,G1612)),Assumptions!$D$5,IF(ISNUMBER(SEARCH(Assumptions!$C$6,G1612)),Assumptions!$D$6,IF(ISNUMBER(SEARCH(Assumptions!$C$7,G1612)),Assumptions!$D$7,"Other Services"))),"Other Services"))</f>
        <v/>
      </c>
    </row>
    <row r="1613" customFormat="false" ht="15" hidden="false" customHeight="false" outlineLevel="0" collapsed="false">
      <c r="E1613" s="41" t="str">
        <f aca="false">IF(D1613="","",IFERROR(VLOOKUP(D1613,Assumptions!$G$5:$H$16,2,0),"Other"))</f>
        <v/>
      </c>
      <c r="J1613" s="41" t="str">
        <f aca="false">IF(G1613="","",IFERROR(IF(ISNUMBER(SEARCH(Assumptions!$C$5,G1613)),Assumptions!$D$5,IF(ISNUMBER(SEARCH(Assumptions!$C$6,G1613)),Assumptions!$D$6,IF(ISNUMBER(SEARCH(Assumptions!$C$7,G1613)),Assumptions!$D$7,"Other Services"))),"Other Services"))</f>
        <v/>
      </c>
    </row>
    <row r="1614" customFormat="false" ht="15" hidden="false" customHeight="false" outlineLevel="0" collapsed="false">
      <c r="E1614" s="41" t="str">
        <f aca="false">IF(D1614="","",IFERROR(VLOOKUP(D1614,Assumptions!$G$5:$H$16,2,0),"Other"))</f>
        <v/>
      </c>
      <c r="J1614" s="41" t="str">
        <f aca="false">IF(G1614="","",IFERROR(IF(ISNUMBER(SEARCH(Assumptions!$C$5,G1614)),Assumptions!$D$5,IF(ISNUMBER(SEARCH(Assumptions!$C$6,G1614)),Assumptions!$D$6,IF(ISNUMBER(SEARCH(Assumptions!$C$7,G1614)),Assumptions!$D$7,"Other Services"))),"Other Services"))</f>
        <v/>
      </c>
    </row>
    <row r="1615" customFormat="false" ht="15" hidden="false" customHeight="false" outlineLevel="0" collapsed="false">
      <c r="E1615" s="41" t="str">
        <f aca="false">IF(D1615="","",IFERROR(VLOOKUP(D1615,Assumptions!$G$5:$H$16,2,0),"Other"))</f>
        <v/>
      </c>
      <c r="J1615" s="41" t="str">
        <f aca="false">IF(G1615="","",IFERROR(IF(ISNUMBER(SEARCH(Assumptions!$C$5,G1615)),Assumptions!$D$5,IF(ISNUMBER(SEARCH(Assumptions!$C$6,G1615)),Assumptions!$D$6,IF(ISNUMBER(SEARCH(Assumptions!$C$7,G1615)),Assumptions!$D$7,"Other Services"))),"Other Services"))</f>
        <v/>
      </c>
    </row>
    <row r="1616" customFormat="false" ht="15" hidden="false" customHeight="false" outlineLevel="0" collapsed="false">
      <c r="E1616" s="41" t="str">
        <f aca="false">IF(D1616="","",IFERROR(VLOOKUP(D1616,Assumptions!$G$5:$H$16,2,0),"Other"))</f>
        <v/>
      </c>
      <c r="J1616" s="41" t="str">
        <f aca="false">IF(G1616="","",IFERROR(IF(ISNUMBER(SEARCH(Assumptions!$C$5,G1616)),Assumptions!$D$5,IF(ISNUMBER(SEARCH(Assumptions!$C$6,G1616)),Assumptions!$D$6,IF(ISNUMBER(SEARCH(Assumptions!$C$7,G1616)),Assumptions!$D$7,"Other Services"))),"Other Services"))</f>
        <v/>
      </c>
    </row>
    <row r="1617" customFormat="false" ht="15" hidden="false" customHeight="false" outlineLevel="0" collapsed="false">
      <c r="E1617" s="41" t="str">
        <f aca="false">IF(D1617="","",IFERROR(VLOOKUP(D1617,Assumptions!$G$5:$H$16,2,0),"Other"))</f>
        <v/>
      </c>
      <c r="J1617" s="41" t="str">
        <f aca="false">IF(G1617="","",IFERROR(IF(ISNUMBER(SEARCH(Assumptions!$C$5,G1617)),Assumptions!$D$5,IF(ISNUMBER(SEARCH(Assumptions!$C$6,G1617)),Assumptions!$D$6,IF(ISNUMBER(SEARCH(Assumptions!$C$7,G1617)),Assumptions!$D$7,"Other Services"))),"Other Services"))</f>
        <v/>
      </c>
    </row>
    <row r="1618" customFormat="false" ht="15" hidden="false" customHeight="false" outlineLevel="0" collapsed="false">
      <c r="E1618" s="41" t="str">
        <f aca="false">IF(D1618="","",IFERROR(VLOOKUP(D1618,Assumptions!$G$5:$H$16,2,0),"Other"))</f>
        <v/>
      </c>
      <c r="J1618" s="41" t="str">
        <f aca="false">IF(G1618="","",IFERROR(IF(ISNUMBER(SEARCH(Assumptions!$C$5,G1618)),Assumptions!$D$5,IF(ISNUMBER(SEARCH(Assumptions!$C$6,G1618)),Assumptions!$D$6,IF(ISNUMBER(SEARCH(Assumptions!$C$7,G1618)),Assumptions!$D$7,"Other Services"))),"Other Services"))</f>
        <v/>
      </c>
    </row>
    <row r="1619" customFormat="false" ht="15" hidden="false" customHeight="false" outlineLevel="0" collapsed="false">
      <c r="E1619" s="41" t="str">
        <f aca="false">IF(D1619="","",IFERROR(VLOOKUP(D1619,Assumptions!$G$5:$H$16,2,0),"Other"))</f>
        <v/>
      </c>
      <c r="J1619" s="41" t="str">
        <f aca="false">IF(G1619="","",IFERROR(IF(ISNUMBER(SEARCH(Assumptions!$C$5,G1619)),Assumptions!$D$5,IF(ISNUMBER(SEARCH(Assumptions!$C$6,G1619)),Assumptions!$D$6,IF(ISNUMBER(SEARCH(Assumptions!$C$7,G1619)),Assumptions!$D$7,"Other Services"))),"Other Services"))</f>
        <v/>
      </c>
    </row>
    <row r="1620" customFormat="false" ht="15" hidden="false" customHeight="false" outlineLevel="0" collapsed="false">
      <c r="E1620" s="41" t="str">
        <f aca="false">IF(D1620="","",IFERROR(VLOOKUP(D1620,Assumptions!$G$5:$H$16,2,0),"Other"))</f>
        <v/>
      </c>
      <c r="J1620" s="41" t="str">
        <f aca="false">IF(G1620="","",IFERROR(IF(ISNUMBER(SEARCH(Assumptions!$C$5,G1620)),Assumptions!$D$5,IF(ISNUMBER(SEARCH(Assumptions!$C$6,G1620)),Assumptions!$D$6,IF(ISNUMBER(SEARCH(Assumptions!$C$7,G1620)),Assumptions!$D$7,"Other Services"))),"Other Services"))</f>
        <v/>
      </c>
    </row>
    <row r="1621" customFormat="false" ht="15" hidden="false" customHeight="false" outlineLevel="0" collapsed="false">
      <c r="E1621" s="41" t="str">
        <f aca="false">IF(D1621="","",IFERROR(VLOOKUP(D1621,Assumptions!$G$5:$H$16,2,0),"Other"))</f>
        <v/>
      </c>
      <c r="J1621" s="41" t="str">
        <f aca="false">IF(G1621="","",IFERROR(IF(ISNUMBER(SEARCH(Assumptions!$C$5,G1621)),Assumptions!$D$5,IF(ISNUMBER(SEARCH(Assumptions!$C$6,G1621)),Assumptions!$D$6,IF(ISNUMBER(SEARCH(Assumptions!$C$7,G1621)),Assumptions!$D$7,"Other Services"))),"Other Services"))</f>
        <v/>
      </c>
    </row>
    <row r="1622" customFormat="false" ht="15" hidden="false" customHeight="false" outlineLevel="0" collapsed="false">
      <c r="E1622" s="41" t="str">
        <f aca="false">IF(D1622="","",IFERROR(VLOOKUP(D1622,Assumptions!$G$5:$H$16,2,0),"Other"))</f>
        <v/>
      </c>
      <c r="J1622" s="41" t="str">
        <f aca="false">IF(G1622="","",IFERROR(IF(ISNUMBER(SEARCH(Assumptions!$C$5,G1622)),Assumptions!$D$5,IF(ISNUMBER(SEARCH(Assumptions!$C$6,G1622)),Assumptions!$D$6,IF(ISNUMBER(SEARCH(Assumptions!$C$7,G1622)),Assumptions!$D$7,"Other Services"))),"Other Services"))</f>
        <v/>
      </c>
    </row>
    <row r="1623" customFormat="false" ht="15" hidden="false" customHeight="false" outlineLevel="0" collapsed="false">
      <c r="E1623" s="41" t="str">
        <f aca="false">IF(D1623="","",IFERROR(VLOOKUP(D1623,Assumptions!$G$5:$H$16,2,0),"Other"))</f>
        <v/>
      </c>
      <c r="J1623" s="41" t="str">
        <f aca="false">IF(G1623="","",IFERROR(IF(ISNUMBER(SEARCH(Assumptions!$C$5,G1623)),Assumptions!$D$5,IF(ISNUMBER(SEARCH(Assumptions!$C$6,G1623)),Assumptions!$D$6,IF(ISNUMBER(SEARCH(Assumptions!$C$7,G1623)),Assumptions!$D$7,"Other Services"))),"Other Services"))</f>
        <v/>
      </c>
    </row>
    <row r="1624" customFormat="false" ht="15" hidden="false" customHeight="false" outlineLevel="0" collapsed="false">
      <c r="E1624" s="41" t="str">
        <f aca="false">IF(D1624="","",IFERROR(VLOOKUP(D1624,Assumptions!$G$5:$H$16,2,0),"Other"))</f>
        <v/>
      </c>
      <c r="J1624" s="41" t="str">
        <f aca="false">IF(G1624="","",IFERROR(IF(ISNUMBER(SEARCH(Assumptions!$C$5,G1624)),Assumptions!$D$5,IF(ISNUMBER(SEARCH(Assumptions!$C$6,G1624)),Assumptions!$D$6,IF(ISNUMBER(SEARCH(Assumptions!$C$7,G1624)),Assumptions!$D$7,"Other Services"))),"Other Services"))</f>
        <v/>
      </c>
    </row>
    <row r="1625" customFormat="false" ht="15" hidden="false" customHeight="false" outlineLevel="0" collapsed="false">
      <c r="E1625" s="41" t="str">
        <f aca="false">IF(D1625="","",IFERROR(VLOOKUP(D1625,Assumptions!$G$5:$H$16,2,0),"Other"))</f>
        <v/>
      </c>
      <c r="J1625" s="41" t="str">
        <f aca="false">IF(G1625="","",IFERROR(IF(ISNUMBER(SEARCH(Assumptions!$C$5,G1625)),Assumptions!$D$5,IF(ISNUMBER(SEARCH(Assumptions!$C$6,G1625)),Assumptions!$D$6,IF(ISNUMBER(SEARCH(Assumptions!$C$7,G1625)),Assumptions!$D$7,"Other Services"))),"Other Services"))</f>
        <v/>
      </c>
    </row>
    <row r="1626" customFormat="false" ht="15" hidden="false" customHeight="false" outlineLevel="0" collapsed="false">
      <c r="E1626" s="41" t="str">
        <f aca="false">IF(D1626="","",IFERROR(VLOOKUP(D1626,Assumptions!$G$5:$H$16,2,0),"Other"))</f>
        <v/>
      </c>
      <c r="J1626" s="41" t="str">
        <f aca="false">IF(G1626="","",IFERROR(IF(ISNUMBER(SEARCH(Assumptions!$C$5,G1626)),Assumptions!$D$5,IF(ISNUMBER(SEARCH(Assumptions!$C$6,G1626)),Assumptions!$D$6,IF(ISNUMBER(SEARCH(Assumptions!$C$7,G1626)),Assumptions!$D$7,"Other Services"))),"Other Services"))</f>
        <v/>
      </c>
    </row>
    <row r="1627" customFormat="false" ht="15" hidden="false" customHeight="false" outlineLevel="0" collapsed="false">
      <c r="E1627" s="41" t="str">
        <f aca="false">IF(D1627="","",IFERROR(VLOOKUP(D1627,Assumptions!$G$5:$H$16,2,0),"Other"))</f>
        <v/>
      </c>
      <c r="J1627" s="41" t="str">
        <f aca="false">IF(G1627="","",IFERROR(IF(ISNUMBER(SEARCH(Assumptions!$C$5,G1627)),Assumptions!$D$5,IF(ISNUMBER(SEARCH(Assumptions!$C$6,G1627)),Assumptions!$D$6,IF(ISNUMBER(SEARCH(Assumptions!$C$7,G1627)),Assumptions!$D$7,"Other Services"))),"Other Services"))</f>
        <v/>
      </c>
    </row>
    <row r="1628" customFormat="false" ht="15" hidden="false" customHeight="false" outlineLevel="0" collapsed="false">
      <c r="E1628" s="41" t="str">
        <f aca="false">IF(D1628="","",IFERROR(VLOOKUP(D1628,Assumptions!$G$5:$H$16,2,0),"Other"))</f>
        <v/>
      </c>
      <c r="J1628" s="41" t="str">
        <f aca="false">IF(G1628="","",IFERROR(IF(ISNUMBER(SEARCH(Assumptions!$C$5,G1628)),Assumptions!$D$5,IF(ISNUMBER(SEARCH(Assumptions!$C$6,G1628)),Assumptions!$D$6,IF(ISNUMBER(SEARCH(Assumptions!$C$7,G1628)),Assumptions!$D$7,"Other Services"))),"Other Services"))</f>
        <v/>
      </c>
    </row>
    <row r="1629" customFormat="false" ht="15" hidden="false" customHeight="false" outlineLevel="0" collapsed="false">
      <c r="E1629" s="41" t="str">
        <f aca="false">IF(D1629="","",IFERROR(VLOOKUP(D1629,Assumptions!$G$5:$H$16,2,0),"Other"))</f>
        <v/>
      </c>
      <c r="J1629" s="41" t="str">
        <f aca="false">IF(G1629="","",IFERROR(IF(ISNUMBER(SEARCH(Assumptions!$C$5,G1629)),Assumptions!$D$5,IF(ISNUMBER(SEARCH(Assumptions!$C$6,G1629)),Assumptions!$D$6,IF(ISNUMBER(SEARCH(Assumptions!$C$7,G1629)),Assumptions!$D$7,"Other Services"))),"Other Services"))</f>
        <v/>
      </c>
    </row>
    <row r="1630" customFormat="false" ht="15" hidden="false" customHeight="false" outlineLevel="0" collapsed="false">
      <c r="E1630" s="41" t="str">
        <f aca="false">IF(D1630="","",IFERROR(VLOOKUP(D1630,Assumptions!$G$5:$H$16,2,0),"Other"))</f>
        <v/>
      </c>
      <c r="J1630" s="41" t="str">
        <f aca="false">IF(G1630="","",IFERROR(IF(ISNUMBER(SEARCH(Assumptions!$C$5,G1630)),Assumptions!$D$5,IF(ISNUMBER(SEARCH(Assumptions!$C$6,G1630)),Assumptions!$D$6,IF(ISNUMBER(SEARCH(Assumptions!$C$7,G1630)),Assumptions!$D$7,"Other Services"))),"Other Services"))</f>
        <v/>
      </c>
    </row>
    <row r="1631" customFormat="false" ht="15" hidden="false" customHeight="false" outlineLevel="0" collapsed="false">
      <c r="E1631" s="41" t="str">
        <f aca="false">IF(D1631="","",IFERROR(VLOOKUP(D1631,Assumptions!$G$5:$H$16,2,0),"Other"))</f>
        <v/>
      </c>
      <c r="J1631" s="41" t="str">
        <f aca="false">IF(G1631="","",IFERROR(IF(ISNUMBER(SEARCH(Assumptions!$C$5,G1631)),Assumptions!$D$5,IF(ISNUMBER(SEARCH(Assumptions!$C$6,G1631)),Assumptions!$D$6,IF(ISNUMBER(SEARCH(Assumptions!$C$7,G1631)),Assumptions!$D$7,"Other Services"))),"Other Services"))</f>
        <v/>
      </c>
    </row>
    <row r="1632" customFormat="false" ht="15" hidden="false" customHeight="false" outlineLevel="0" collapsed="false">
      <c r="E1632" s="41" t="str">
        <f aca="false">IF(D1632="","",IFERROR(VLOOKUP(D1632,Assumptions!$G$5:$H$16,2,0),"Other"))</f>
        <v/>
      </c>
      <c r="J1632" s="41" t="str">
        <f aca="false">IF(G1632="","",IFERROR(IF(ISNUMBER(SEARCH(Assumptions!$C$5,G1632)),Assumptions!$D$5,IF(ISNUMBER(SEARCH(Assumptions!$C$6,G1632)),Assumptions!$D$6,IF(ISNUMBER(SEARCH(Assumptions!$C$7,G1632)),Assumptions!$D$7,"Other Services"))),"Other Services"))</f>
        <v/>
      </c>
    </row>
    <row r="1633" customFormat="false" ht="15" hidden="false" customHeight="false" outlineLevel="0" collapsed="false">
      <c r="E1633" s="41" t="str">
        <f aca="false">IF(D1633="","",IFERROR(VLOOKUP(D1633,Assumptions!$G$5:$H$16,2,0),"Other"))</f>
        <v/>
      </c>
      <c r="J1633" s="41" t="str">
        <f aca="false">IF(G1633="","",IFERROR(IF(ISNUMBER(SEARCH(Assumptions!$C$5,G1633)),Assumptions!$D$5,IF(ISNUMBER(SEARCH(Assumptions!$C$6,G1633)),Assumptions!$D$6,IF(ISNUMBER(SEARCH(Assumptions!$C$7,G1633)),Assumptions!$D$7,"Other Services"))),"Other Services"))</f>
        <v/>
      </c>
    </row>
    <row r="1634" customFormat="false" ht="15" hidden="false" customHeight="false" outlineLevel="0" collapsed="false">
      <c r="E1634" s="41" t="str">
        <f aca="false">IF(D1634="","",IFERROR(VLOOKUP(D1634,Assumptions!$G$5:$H$16,2,0),"Other"))</f>
        <v/>
      </c>
      <c r="J1634" s="41" t="str">
        <f aca="false">IF(G1634="","",IFERROR(IF(ISNUMBER(SEARCH(Assumptions!$C$5,G1634)),Assumptions!$D$5,IF(ISNUMBER(SEARCH(Assumptions!$C$6,G1634)),Assumptions!$D$6,IF(ISNUMBER(SEARCH(Assumptions!$C$7,G1634)),Assumptions!$D$7,"Other Services"))),"Other Services"))</f>
        <v/>
      </c>
    </row>
    <row r="1635" customFormat="false" ht="15" hidden="false" customHeight="false" outlineLevel="0" collapsed="false">
      <c r="E1635" s="41" t="str">
        <f aca="false">IF(D1635="","",IFERROR(VLOOKUP(D1635,Assumptions!$G$5:$H$16,2,0),"Other"))</f>
        <v/>
      </c>
      <c r="J1635" s="41" t="str">
        <f aca="false">IF(G1635="","",IFERROR(IF(ISNUMBER(SEARCH(Assumptions!$C$5,G1635)),Assumptions!$D$5,IF(ISNUMBER(SEARCH(Assumptions!$C$6,G1635)),Assumptions!$D$6,IF(ISNUMBER(SEARCH(Assumptions!$C$7,G1635)),Assumptions!$D$7,"Other Services"))),"Other Services"))</f>
        <v/>
      </c>
    </row>
    <row r="1636" customFormat="false" ht="15" hidden="false" customHeight="false" outlineLevel="0" collapsed="false">
      <c r="E1636" s="41" t="str">
        <f aca="false">IF(D1636="","",IFERROR(VLOOKUP(D1636,Assumptions!$G$5:$H$16,2,0),"Other"))</f>
        <v/>
      </c>
      <c r="J1636" s="41" t="str">
        <f aca="false">IF(G1636="","",IFERROR(IF(ISNUMBER(SEARCH(Assumptions!$C$5,G1636)),Assumptions!$D$5,IF(ISNUMBER(SEARCH(Assumptions!$C$6,G1636)),Assumptions!$D$6,IF(ISNUMBER(SEARCH(Assumptions!$C$7,G1636)),Assumptions!$D$7,"Other Services"))),"Other Services"))</f>
        <v/>
      </c>
    </row>
    <row r="1637" customFormat="false" ht="15" hidden="false" customHeight="false" outlineLevel="0" collapsed="false">
      <c r="E1637" s="41" t="str">
        <f aca="false">IF(D1637="","",IFERROR(VLOOKUP(D1637,Assumptions!$G$5:$H$16,2,0),"Other"))</f>
        <v/>
      </c>
      <c r="J1637" s="41" t="str">
        <f aca="false">IF(G1637="","",IFERROR(IF(ISNUMBER(SEARCH(Assumptions!$C$5,G1637)),Assumptions!$D$5,IF(ISNUMBER(SEARCH(Assumptions!$C$6,G1637)),Assumptions!$D$6,IF(ISNUMBER(SEARCH(Assumptions!$C$7,G1637)),Assumptions!$D$7,"Other Services"))),"Other Services"))</f>
        <v/>
      </c>
    </row>
    <row r="1638" customFormat="false" ht="15" hidden="false" customHeight="false" outlineLevel="0" collapsed="false">
      <c r="E1638" s="41" t="str">
        <f aca="false">IF(D1638="","",IFERROR(VLOOKUP(D1638,Assumptions!$G$5:$H$16,2,0),"Other"))</f>
        <v/>
      </c>
      <c r="J1638" s="41" t="str">
        <f aca="false">IF(G1638="","",IFERROR(IF(ISNUMBER(SEARCH(Assumptions!$C$5,G1638)),Assumptions!$D$5,IF(ISNUMBER(SEARCH(Assumptions!$C$6,G1638)),Assumptions!$D$6,IF(ISNUMBER(SEARCH(Assumptions!$C$7,G1638)),Assumptions!$D$7,"Other Services"))),"Other Services"))</f>
        <v/>
      </c>
    </row>
    <row r="1639" customFormat="false" ht="15" hidden="false" customHeight="false" outlineLevel="0" collapsed="false">
      <c r="E1639" s="41" t="str">
        <f aca="false">IF(D1639="","",IFERROR(VLOOKUP(D1639,Assumptions!$G$5:$H$16,2,0),"Other"))</f>
        <v/>
      </c>
      <c r="J1639" s="41" t="str">
        <f aca="false">IF(G1639="","",IFERROR(IF(ISNUMBER(SEARCH(Assumptions!$C$5,G1639)),Assumptions!$D$5,IF(ISNUMBER(SEARCH(Assumptions!$C$6,G1639)),Assumptions!$D$6,IF(ISNUMBER(SEARCH(Assumptions!$C$7,G1639)),Assumptions!$D$7,"Other Services"))),"Other Services"))</f>
        <v/>
      </c>
    </row>
    <row r="1640" customFormat="false" ht="15" hidden="false" customHeight="false" outlineLevel="0" collapsed="false">
      <c r="E1640" s="41" t="str">
        <f aca="false">IF(D1640="","",IFERROR(VLOOKUP(D1640,Assumptions!$G$5:$H$16,2,0),"Other"))</f>
        <v/>
      </c>
      <c r="J1640" s="41" t="str">
        <f aca="false">IF(G1640="","",IFERROR(IF(ISNUMBER(SEARCH(Assumptions!$C$5,G1640)),Assumptions!$D$5,IF(ISNUMBER(SEARCH(Assumptions!$C$6,G1640)),Assumptions!$D$6,IF(ISNUMBER(SEARCH(Assumptions!$C$7,G1640)),Assumptions!$D$7,"Other Services"))),"Other Services"))</f>
        <v/>
      </c>
    </row>
    <row r="1641" customFormat="false" ht="15" hidden="false" customHeight="false" outlineLevel="0" collapsed="false">
      <c r="E1641" s="41" t="str">
        <f aca="false">IF(D1641="","",IFERROR(VLOOKUP(D1641,Assumptions!$G$5:$H$16,2,0),"Other"))</f>
        <v/>
      </c>
      <c r="J1641" s="41" t="str">
        <f aca="false">IF(G1641="","",IFERROR(IF(ISNUMBER(SEARCH(Assumptions!$C$5,G1641)),Assumptions!$D$5,IF(ISNUMBER(SEARCH(Assumptions!$C$6,G1641)),Assumptions!$D$6,IF(ISNUMBER(SEARCH(Assumptions!$C$7,G1641)),Assumptions!$D$7,"Other Services"))),"Other Services"))</f>
        <v/>
      </c>
    </row>
    <row r="1642" customFormat="false" ht="15" hidden="false" customHeight="false" outlineLevel="0" collapsed="false">
      <c r="E1642" s="41" t="str">
        <f aca="false">IF(D1642="","",IFERROR(VLOOKUP(D1642,Assumptions!$G$5:$H$16,2,0),"Other"))</f>
        <v/>
      </c>
      <c r="J1642" s="41" t="str">
        <f aca="false">IF(G1642="","",IFERROR(IF(ISNUMBER(SEARCH(Assumptions!$C$5,G1642)),Assumptions!$D$5,IF(ISNUMBER(SEARCH(Assumptions!$C$6,G1642)),Assumptions!$D$6,IF(ISNUMBER(SEARCH(Assumptions!$C$7,G1642)),Assumptions!$D$7,"Other Services"))),"Other Services"))</f>
        <v/>
      </c>
    </row>
    <row r="1643" customFormat="false" ht="15" hidden="false" customHeight="false" outlineLevel="0" collapsed="false">
      <c r="E1643" s="41" t="str">
        <f aca="false">IF(D1643="","",IFERROR(VLOOKUP(D1643,Assumptions!$G$5:$H$16,2,0),"Other"))</f>
        <v/>
      </c>
      <c r="J1643" s="41" t="str">
        <f aca="false">IF(G1643="","",IFERROR(IF(ISNUMBER(SEARCH(Assumptions!$C$5,G1643)),Assumptions!$D$5,IF(ISNUMBER(SEARCH(Assumptions!$C$6,G1643)),Assumptions!$D$6,IF(ISNUMBER(SEARCH(Assumptions!$C$7,G1643)),Assumptions!$D$7,"Other Services"))),"Other Services"))</f>
        <v/>
      </c>
    </row>
    <row r="1644" customFormat="false" ht="15" hidden="false" customHeight="false" outlineLevel="0" collapsed="false">
      <c r="E1644" s="41" t="str">
        <f aca="false">IF(D1644="","",IFERROR(VLOOKUP(D1644,Assumptions!$G$5:$H$16,2,0),"Other"))</f>
        <v/>
      </c>
      <c r="J1644" s="41" t="str">
        <f aca="false">IF(G1644="","",IFERROR(IF(ISNUMBER(SEARCH(Assumptions!$C$5,G1644)),Assumptions!$D$5,IF(ISNUMBER(SEARCH(Assumptions!$C$6,G1644)),Assumptions!$D$6,IF(ISNUMBER(SEARCH(Assumptions!$C$7,G1644)),Assumptions!$D$7,"Other Services"))),"Other Services"))</f>
        <v/>
      </c>
    </row>
    <row r="1645" customFormat="false" ht="15" hidden="false" customHeight="false" outlineLevel="0" collapsed="false">
      <c r="E1645" s="41" t="str">
        <f aca="false">IF(D1645="","",IFERROR(VLOOKUP(D1645,Assumptions!$G$5:$H$16,2,0),"Other"))</f>
        <v/>
      </c>
      <c r="J1645" s="41" t="str">
        <f aca="false">IF(G1645="","",IFERROR(IF(ISNUMBER(SEARCH(Assumptions!$C$5,G1645)),Assumptions!$D$5,IF(ISNUMBER(SEARCH(Assumptions!$C$6,G1645)),Assumptions!$D$6,IF(ISNUMBER(SEARCH(Assumptions!$C$7,G1645)),Assumptions!$D$7,"Other Services"))),"Other Services"))</f>
        <v/>
      </c>
    </row>
    <row r="1646" customFormat="false" ht="15" hidden="false" customHeight="false" outlineLevel="0" collapsed="false">
      <c r="E1646" s="41" t="str">
        <f aca="false">IF(D1646="","",IFERROR(VLOOKUP(D1646,Assumptions!$G$5:$H$16,2,0),"Other"))</f>
        <v/>
      </c>
      <c r="J1646" s="41" t="str">
        <f aca="false">IF(G1646="","",IFERROR(IF(ISNUMBER(SEARCH(Assumptions!$C$5,G1646)),Assumptions!$D$5,IF(ISNUMBER(SEARCH(Assumptions!$C$6,G1646)),Assumptions!$D$6,IF(ISNUMBER(SEARCH(Assumptions!$C$7,G1646)),Assumptions!$D$7,"Other Services"))),"Other Services"))</f>
        <v/>
      </c>
    </row>
    <row r="1647" customFormat="false" ht="15" hidden="false" customHeight="false" outlineLevel="0" collapsed="false">
      <c r="E1647" s="41" t="str">
        <f aca="false">IF(D1647="","",IFERROR(VLOOKUP(D1647,Assumptions!$G$5:$H$16,2,0),"Other"))</f>
        <v/>
      </c>
      <c r="J1647" s="41" t="str">
        <f aca="false">IF(G1647="","",IFERROR(IF(ISNUMBER(SEARCH(Assumptions!$C$5,G1647)),Assumptions!$D$5,IF(ISNUMBER(SEARCH(Assumptions!$C$6,G1647)),Assumptions!$D$6,IF(ISNUMBER(SEARCH(Assumptions!$C$7,G1647)),Assumptions!$D$7,"Other Services"))),"Other Services"))</f>
        <v/>
      </c>
    </row>
    <row r="1648" customFormat="false" ht="15" hidden="false" customHeight="false" outlineLevel="0" collapsed="false">
      <c r="E1648" s="41" t="str">
        <f aca="false">IF(D1648="","",IFERROR(VLOOKUP(D1648,Assumptions!$G$5:$H$16,2,0),"Other"))</f>
        <v/>
      </c>
      <c r="J1648" s="41" t="str">
        <f aca="false">IF(G1648="","",IFERROR(IF(ISNUMBER(SEARCH(Assumptions!$C$5,G1648)),Assumptions!$D$5,IF(ISNUMBER(SEARCH(Assumptions!$C$6,G1648)),Assumptions!$D$6,IF(ISNUMBER(SEARCH(Assumptions!$C$7,G1648)),Assumptions!$D$7,"Other Services"))),"Other Services"))</f>
        <v/>
      </c>
    </row>
    <row r="1649" customFormat="false" ht="15" hidden="false" customHeight="false" outlineLevel="0" collapsed="false">
      <c r="E1649" s="41" t="str">
        <f aca="false">IF(D1649="","",IFERROR(VLOOKUP(D1649,Assumptions!$G$5:$H$16,2,0),"Other"))</f>
        <v/>
      </c>
      <c r="J1649" s="41" t="str">
        <f aca="false">IF(G1649="","",IFERROR(IF(ISNUMBER(SEARCH(Assumptions!$C$5,G1649)),Assumptions!$D$5,IF(ISNUMBER(SEARCH(Assumptions!$C$6,G1649)),Assumptions!$D$6,IF(ISNUMBER(SEARCH(Assumptions!$C$7,G1649)),Assumptions!$D$7,"Other Services"))),"Other Services"))</f>
        <v/>
      </c>
    </row>
    <row r="1650" customFormat="false" ht="15" hidden="false" customHeight="false" outlineLevel="0" collapsed="false">
      <c r="E1650" s="41" t="str">
        <f aca="false">IF(D1650="","",IFERROR(VLOOKUP(D1650,Assumptions!$G$5:$H$16,2,0),"Other"))</f>
        <v/>
      </c>
      <c r="J1650" s="41" t="str">
        <f aca="false">IF(G1650="","",IFERROR(IF(ISNUMBER(SEARCH(Assumptions!$C$5,G1650)),Assumptions!$D$5,IF(ISNUMBER(SEARCH(Assumptions!$C$6,G1650)),Assumptions!$D$6,IF(ISNUMBER(SEARCH(Assumptions!$C$7,G1650)),Assumptions!$D$7,"Other Services"))),"Other Services"))</f>
        <v/>
      </c>
    </row>
    <row r="1651" customFormat="false" ht="15" hidden="false" customHeight="false" outlineLevel="0" collapsed="false">
      <c r="E1651" s="41" t="str">
        <f aca="false">IF(D1651="","",IFERROR(VLOOKUP(D1651,Assumptions!$G$5:$H$16,2,0),"Other"))</f>
        <v/>
      </c>
      <c r="J1651" s="41" t="str">
        <f aca="false">IF(G1651="","",IFERROR(IF(ISNUMBER(SEARCH(Assumptions!$C$5,G1651)),Assumptions!$D$5,IF(ISNUMBER(SEARCH(Assumptions!$C$6,G1651)),Assumptions!$D$6,IF(ISNUMBER(SEARCH(Assumptions!$C$7,G1651)),Assumptions!$D$7,"Other Services"))),"Other Services"))</f>
        <v/>
      </c>
    </row>
    <row r="1652" customFormat="false" ht="15" hidden="false" customHeight="false" outlineLevel="0" collapsed="false">
      <c r="E1652" s="41" t="str">
        <f aca="false">IF(D1652="","",IFERROR(VLOOKUP(D1652,Assumptions!$G$5:$H$16,2,0),"Other"))</f>
        <v/>
      </c>
      <c r="J1652" s="41" t="str">
        <f aca="false">IF(G1652="","",IFERROR(IF(ISNUMBER(SEARCH(Assumptions!$C$5,G1652)),Assumptions!$D$5,IF(ISNUMBER(SEARCH(Assumptions!$C$6,G1652)),Assumptions!$D$6,IF(ISNUMBER(SEARCH(Assumptions!$C$7,G1652)),Assumptions!$D$7,"Other Services"))),"Other Services"))</f>
        <v/>
      </c>
    </row>
    <row r="1653" customFormat="false" ht="15" hidden="false" customHeight="false" outlineLevel="0" collapsed="false">
      <c r="E1653" s="41" t="str">
        <f aca="false">IF(D1653="","",IFERROR(VLOOKUP(D1653,Assumptions!$G$5:$H$16,2,0),"Other"))</f>
        <v/>
      </c>
      <c r="J1653" s="41" t="str">
        <f aca="false">IF(G1653="","",IFERROR(IF(ISNUMBER(SEARCH(Assumptions!$C$5,G1653)),Assumptions!$D$5,IF(ISNUMBER(SEARCH(Assumptions!$C$6,G1653)),Assumptions!$D$6,IF(ISNUMBER(SEARCH(Assumptions!$C$7,G1653)),Assumptions!$D$7,"Other Services"))),"Other Services"))</f>
        <v/>
      </c>
    </row>
    <row r="1654" customFormat="false" ht="15" hidden="false" customHeight="false" outlineLevel="0" collapsed="false">
      <c r="E1654" s="41" t="str">
        <f aca="false">IF(D1654="","",IFERROR(VLOOKUP(D1654,Assumptions!$G$5:$H$16,2,0),"Other"))</f>
        <v/>
      </c>
      <c r="J1654" s="41" t="str">
        <f aca="false">IF(G1654="","",IFERROR(IF(ISNUMBER(SEARCH(Assumptions!$C$5,G1654)),Assumptions!$D$5,IF(ISNUMBER(SEARCH(Assumptions!$C$6,G1654)),Assumptions!$D$6,IF(ISNUMBER(SEARCH(Assumptions!$C$7,G1654)),Assumptions!$D$7,"Other Services"))),"Other Services"))</f>
        <v/>
      </c>
    </row>
    <row r="1655" customFormat="false" ht="15" hidden="false" customHeight="false" outlineLevel="0" collapsed="false">
      <c r="E1655" s="41" t="str">
        <f aca="false">IF(D1655="","",IFERROR(VLOOKUP(D1655,Assumptions!$G$5:$H$16,2,0),"Other"))</f>
        <v/>
      </c>
      <c r="J1655" s="41" t="str">
        <f aca="false">IF(G1655="","",IFERROR(IF(ISNUMBER(SEARCH(Assumptions!$C$5,G1655)),Assumptions!$D$5,IF(ISNUMBER(SEARCH(Assumptions!$C$6,G1655)),Assumptions!$D$6,IF(ISNUMBER(SEARCH(Assumptions!$C$7,G1655)),Assumptions!$D$7,"Other Services"))),"Other Services"))</f>
        <v/>
      </c>
    </row>
    <row r="1656" customFormat="false" ht="15" hidden="false" customHeight="false" outlineLevel="0" collapsed="false">
      <c r="E1656" s="41" t="str">
        <f aca="false">IF(D1656="","",IFERROR(VLOOKUP(D1656,Assumptions!$G$5:$H$16,2,0),"Other"))</f>
        <v/>
      </c>
      <c r="J1656" s="41" t="str">
        <f aca="false">IF(G1656="","",IFERROR(IF(ISNUMBER(SEARCH(Assumptions!$C$5,G1656)),Assumptions!$D$5,IF(ISNUMBER(SEARCH(Assumptions!$C$6,G1656)),Assumptions!$D$6,IF(ISNUMBER(SEARCH(Assumptions!$C$7,G1656)),Assumptions!$D$7,"Other Services"))),"Other Services"))</f>
        <v/>
      </c>
    </row>
    <row r="1657" customFormat="false" ht="15" hidden="false" customHeight="false" outlineLevel="0" collapsed="false">
      <c r="E1657" s="41" t="str">
        <f aca="false">IF(D1657="","",IFERROR(VLOOKUP(D1657,Assumptions!$G$5:$H$16,2,0),"Other"))</f>
        <v/>
      </c>
      <c r="J1657" s="41" t="str">
        <f aca="false">IF(G1657="","",IFERROR(IF(ISNUMBER(SEARCH(Assumptions!$C$5,G1657)),Assumptions!$D$5,IF(ISNUMBER(SEARCH(Assumptions!$C$6,G1657)),Assumptions!$D$6,IF(ISNUMBER(SEARCH(Assumptions!$C$7,G1657)),Assumptions!$D$7,"Other Services"))),"Other Services"))</f>
        <v/>
      </c>
    </row>
    <row r="1658" customFormat="false" ht="15" hidden="false" customHeight="false" outlineLevel="0" collapsed="false">
      <c r="E1658" s="41" t="str">
        <f aca="false">IF(D1658="","",IFERROR(VLOOKUP(D1658,Assumptions!$G$5:$H$16,2,0),"Other"))</f>
        <v/>
      </c>
      <c r="J1658" s="41" t="str">
        <f aca="false">IF(G1658="","",IFERROR(IF(ISNUMBER(SEARCH(Assumptions!$C$5,G1658)),Assumptions!$D$5,IF(ISNUMBER(SEARCH(Assumptions!$C$6,G1658)),Assumptions!$D$6,IF(ISNUMBER(SEARCH(Assumptions!$C$7,G1658)),Assumptions!$D$7,"Other Services"))),"Other Services"))</f>
        <v/>
      </c>
    </row>
    <row r="1659" customFormat="false" ht="15" hidden="false" customHeight="false" outlineLevel="0" collapsed="false">
      <c r="E1659" s="41" t="str">
        <f aca="false">IF(D1659="","",IFERROR(VLOOKUP(D1659,Assumptions!$G$5:$H$16,2,0),"Other"))</f>
        <v/>
      </c>
      <c r="J1659" s="41" t="str">
        <f aca="false">IF(G1659="","",IFERROR(IF(ISNUMBER(SEARCH(Assumptions!$C$5,G1659)),Assumptions!$D$5,IF(ISNUMBER(SEARCH(Assumptions!$C$6,G1659)),Assumptions!$D$6,IF(ISNUMBER(SEARCH(Assumptions!$C$7,G1659)),Assumptions!$D$7,"Other Services"))),"Other Services"))</f>
        <v/>
      </c>
    </row>
    <row r="1660" customFormat="false" ht="15" hidden="false" customHeight="false" outlineLevel="0" collapsed="false">
      <c r="E1660" s="41" t="str">
        <f aca="false">IF(D1660="","",IFERROR(VLOOKUP(D1660,Assumptions!$G$5:$H$16,2,0),"Other"))</f>
        <v/>
      </c>
      <c r="J1660" s="41" t="str">
        <f aca="false">IF(G1660="","",IFERROR(IF(ISNUMBER(SEARCH(Assumptions!$C$5,G1660)),Assumptions!$D$5,IF(ISNUMBER(SEARCH(Assumptions!$C$6,G1660)),Assumptions!$D$6,IF(ISNUMBER(SEARCH(Assumptions!$C$7,G1660)),Assumptions!$D$7,"Other Services"))),"Other Services"))</f>
        <v/>
      </c>
    </row>
    <row r="1661" customFormat="false" ht="15" hidden="false" customHeight="false" outlineLevel="0" collapsed="false">
      <c r="E1661" s="41" t="str">
        <f aca="false">IF(D1661="","",IFERROR(VLOOKUP(D1661,Assumptions!$G$5:$H$16,2,0),"Other"))</f>
        <v/>
      </c>
      <c r="J1661" s="41" t="str">
        <f aca="false">IF(G1661="","",IFERROR(IF(ISNUMBER(SEARCH(Assumptions!$C$5,G1661)),Assumptions!$D$5,IF(ISNUMBER(SEARCH(Assumptions!$C$6,G1661)),Assumptions!$D$6,IF(ISNUMBER(SEARCH(Assumptions!$C$7,G1661)),Assumptions!$D$7,"Other Services"))),"Other Services"))</f>
        <v/>
      </c>
    </row>
    <row r="1662" customFormat="false" ht="15" hidden="false" customHeight="false" outlineLevel="0" collapsed="false">
      <c r="E1662" s="41" t="str">
        <f aca="false">IF(D1662="","",IFERROR(VLOOKUP(D1662,Assumptions!$G$5:$H$16,2,0),"Other"))</f>
        <v/>
      </c>
      <c r="J1662" s="41" t="str">
        <f aca="false">IF(G1662="","",IFERROR(IF(ISNUMBER(SEARCH(Assumptions!$C$5,G1662)),Assumptions!$D$5,IF(ISNUMBER(SEARCH(Assumptions!$C$6,G1662)),Assumptions!$D$6,IF(ISNUMBER(SEARCH(Assumptions!$C$7,G1662)),Assumptions!$D$7,"Other Services"))),"Other Services"))</f>
        <v/>
      </c>
    </row>
    <row r="1663" customFormat="false" ht="15" hidden="false" customHeight="false" outlineLevel="0" collapsed="false">
      <c r="E1663" s="41" t="str">
        <f aca="false">IF(D1663="","",IFERROR(VLOOKUP(D1663,Assumptions!$G$5:$H$16,2,0),"Other"))</f>
        <v/>
      </c>
      <c r="J1663" s="41" t="str">
        <f aca="false">IF(G1663="","",IFERROR(IF(ISNUMBER(SEARCH(Assumptions!$C$5,G1663)),Assumptions!$D$5,IF(ISNUMBER(SEARCH(Assumptions!$C$6,G1663)),Assumptions!$D$6,IF(ISNUMBER(SEARCH(Assumptions!$C$7,G1663)),Assumptions!$D$7,"Other Services"))),"Other Services"))</f>
        <v/>
      </c>
    </row>
    <row r="1664" customFormat="false" ht="15" hidden="false" customHeight="false" outlineLevel="0" collapsed="false">
      <c r="E1664" s="41" t="str">
        <f aca="false">IF(D1664="","",IFERROR(VLOOKUP(D1664,Assumptions!$G$5:$H$16,2,0),"Other"))</f>
        <v/>
      </c>
      <c r="J1664" s="41" t="str">
        <f aca="false">IF(G1664="","",IFERROR(IF(ISNUMBER(SEARCH(Assumptions!$C$5,G1664)),Assumptions!$D$5,IF(ISNUMBER(SEARCH(Assumptions!$C$6,G1664)),Assumptions!$D$6,IF(ISNUMBER(SEARCH(Assumptions!$C$7,G1664)),Assumptions!$D$7,"Other Services"))),"Other Services"))</f>
        <v/>
      </c>
    </row>
    <row r="1665" customFormat="false" ht="15" hidden="false" customHeight="false" outlineLevel="0" collapsed="false">
      <c r="E1665" s="41" t="str">
        <f aca="false">IF(D1665="","",IFERROR(VLOOKUP(D1665,Assumptions!$G$5:$H$16,2,0),"Other"))</f>
        <v/>
      </c>
      <c r="J1665" s="41" t="str">
        <f aca="false">IF(G1665="","",IFERROR(IF(ISNUMBER(SEARCH(Assumptions!$C$5,G1665)),Assumptions!$D$5,IF(ISNUMBER(SEARCH(Assumptions!$C$6,G1665)),Assumptions!$D$6,IF(ISNUMBER(SEARCH(Assumptions!$C$7,G1665)),Assumptions!$D$7,"Other Services"))),"Other Services"))</f>
        <v/>
      </c>
    </row>
    <row r="1666" customFormat="false" ht="15" hidden="false" customHeight="false" outlineLevel="0" collapsed="false">
      <c r="E1666" s="41" t="str">
        <f aca="false">IF(D1666="","",IFERROR(VLOOKUP(D1666,Assumptions!$G$5:$H$16,2,0),"Other"))</f>
        <v/>
      </c>
      <c r="J1666" s="41" t="str">
        <f aca="false">IF(G1666="","",IFERROR(IF(ISNUMBER(SEARCH(Assumptions!$C$5,G1666)),Assumptions!$D$5,IF(ISNUMBER(SEARCH(Assumptions!$C$6,G1666)),Assumptions!$D$6,IF(ISNUMBER(SEARCH(Assumptions!$C$7,G1666)),Assumptions!$D$7,"Other Services"))),"Other Services"))</f>
        <v/>
      </c>
    </row>
    <row r="1667" customFormat="false" ht="15" hidden="false" customHeight="false" outlineLevel="0" collapsed="false">
      <c r="E1667" s="41" t="str">
        <f aca="false">IF(D1667="","",IFERROR(VLOOKUP(D1667,Assumptions!$G$5:$H$16,2,0),"Other"))</f>
        <v/>
      </c>
      <c r="J1667" s="41" t="str">
        <f aca="false">IF(G1667="","",IFERROR(IF(ISNUMBER(SEARCH(Assumptions!$C$5,G1667)),Assumptions!$D$5,IF(ISNUMBER(SEARCH(Assumptions!$C$6,G1667)),Assumptions!$D$6,IF(ISNUMBER(SEARCH(Assumptions!$C$7,G1667)),Assumptions!$D$7,"Other Services"))),"Other Services"))</f>
        <v/>
      </c>
    </row>
    <row r="1668" customFormat="false" ht="15" hidden="false" customHeight="false" outlineLevel="0" collapsed="false">
      <c r="E1668" s="41" t="str">
        <f aca="false">IF(D1668="","",IFERROR(VLOOKUP(D1668,Assumptions!$G$5:$H$16,2,0),"Other"))</f>
        <v/>
      </c>
      <c r="J1668" s="41" t="str">
        <f aca="false">IF(G1668="","",IFERROR(IF(ISNUMBER(SEARCH(Assumptions!$C$5,G1668)),Assumptions!$D$5,IF(ISNUMBER(SEARCH(Assumptions!$C$6,G1668)),Assumptions!$D$6,IF(ISNUMBER(SEARCH(Assumptions!$C$7,G1668)),Assumptions!$D$7,"Other Services"))),"Other Services"))</f>
        <v/>
      </c>
    </row>
    <row r="1669" customFormat="false" ht="15" hidden="false" customHeight="false" outlineLevel="0" collapsed="false">
      <c r="E1669" s="41" t="str">
        <f aca="false">IF(D1669="","",IFERROR(VLOOKUP(D1669,Assumptions!$G$5:$H$16,2,0),"Other"))</f>
        <v/>
      </c>
      <c r="J1669" s="41" t="str">
        <f aca="false">IF(G1669="","",IFERROR(IF(ISNUMBER(SEARCH(Assumptions!$C$5,G1669)),Assumptions!$D$5,IF(ISNUMBER(SEARCH(Assumptions!$C$6,G1669)),Assumptions!$D$6,IF(ISNUMBER(SEARCH(Assumptions!$C$7,G1669)),Assumptions!$D$7,"Other Services"))),"Other Services"))</f>
        <v/>
      </c>
    </row>
    <row r="1670" customFormat="false" ht="15" hidden="false" customHeight="false" outlineLevel="0" collapsed="false">
      <c r="E1670" s="41" t="str">
        <f aca="false">IF(D1670="","",IFERROR(VLOOKUP(D1670,Assumptions!$G$5:$H$16,2,0),"Other"))</f>
        <v/>
      </c>
      <c r="J1670" s="41" t="str">
        <f aca="false">IF(G1670="","",IFERROR(IF(ISNUMBER(SEARCH(Assumptions!$C$5,G1670)),Assumptions!$D$5,IF(ISNUMBER(SEARCH(Assumptions!$C$6,G1670)),Assumptions!$D$6,IF(ISNUMBER(SEARCH(Assumptions!$C$7,G1670)),Assumptions!$D$7,"Other Services"))),"Other Services"))</f>
        <v/>
      </c>
    </row>
    <row r="1671" customFormat="false" ht="15" hidden="false" customHeight="false" outlineLevel="0" collapsed="false">
      <c r="E1671" s="41" t="str">
        <f aca="false">IF(D1671="","",IFERROR(VLOOKUP(D1671,Assumptions!$G$5:$H$16,2,0),"Other"))</f>
        <v/>
      </c>
      <c r="J1671" s="41" t="str">
        <f aca="false">IF(G1671="","",IFERROR(IF(ISNUMBER(SEARCH(Assumptions!$C$5,G1671)),Assumptions!$D$5,IF(ISNUMBER(SEARCH(Assumptions!$C$6,G1671)),Assumptions!$D$6,IF(ISNUMBER(SEARCH(Assumptions!$C$7,G1671)),Assumptions!$D$7,"Other Services"))),"Other Services"))</f>
        <v/>
      </c>
    </row>
    <row r="1672" customFormat="false" ht="15" hidden="false" customHeight="false" outlineLevel="0" collapsed="false">
      <c r="E1672" s="41" t="str">
        <f aca="false">IF(D1672="","",IFERROR(VLOOKUP(D1672,Assumptions!$G$5:$H$16,2,0),"Other"))</f>
        <v/>
      </c>
      <c r="J1672" s="41" t="str">
        <f aca="false">IF(G1672="","",IFERROR(IF(ISNUMBER(SEARCH(Assumptions!$C$5,G1672)),Assumptions!$D$5,IF(ISNUMBER(SEARCH(Assumptions!$C$6,G1672)),Assumptions!$D$6,IF(ISNUMBER(SEARCH(Assumptions!$C$7,G1672)),Assumptions!$D$7,"Other Services"))),"Other Services"))</f>
        <v/>
      </c>
    </row>
    <row r="1673" customFormat="false" ht="15" hidden="false" customHeight="false" outlineLevel="0" collapsed="false">
      <c r="E1673" s="41" t="str">
        <f aca="false">IF(D1673="","",IFERROR(VLOOKUP(D1673,Assumptions!$G$5:$H$16,2,0),"Other"))</f>
        <v/>
      </c>
      <c r="J1673" s="41" t="str">
        <f aca="false">IF(G1673="","",IFERROR(IF(ISNUMBER(SEARCH(Assumptions!$C$5,G1673)),Assumptions!$D$5,IF(ISNUMBER(SEARCH(Assumptions!$C$6,G1673)),Assumptions!$D$6,IF(ISNUMBER(SEARCH(Assumptions!$C$7,G1673)),Assumptions!$D$7,"Other Services"))),"Other Services"))</f>
        <v/>
      </c>
    </row>
    <row r="1674" customFormat="false" ht="15" hidden="false" customHeight="false" outlineLevel="0" collapsed="false">
      <c r="E1674" s="41" t="str">
        <f aca="false">IF(D1674="","",IFERROR(VLOOKUP(D1674,Assumptions!$G$5:$H$16,2,0),"Other"))</f>
        <v/>
      </c>
      <c r="J1674" s="41" t="str">
        <f aca="false">IF(G1674="","",IFERROR(IF(ISNUMBER(SEARCH(Assumptions!$C$5,G1674)),Assumptions!$D$5,IF(ISNUMBER(SEARCH(Assumptions!$C$6,G1674)),Assumptions!$D$6,IF(ISNUMBER(SEARCH(Assumptions!$C$7,G1674)),Assumptions!$D$7,"Other Services"))),"Other Services"))</f>
        <v/>
      </c>
    </row>
    <row r="1675" customFormat="false" ht="15" hidden="false" customHeight="false" outlineLevel="0" collapsed="false">
      <c r="E1675" s="41" t="str">
        <f aca="false">IF(D1675="","",IFERROR(VLOOKUP(D1675,Assumptions!$G$5:$H$16,2,0),"Other"))</f>
        <v/>
      </c>
      <c r="J1675" s="41" t="str">
        <f aca="false">IF(G1675="","",IFERROR(IF(ISNUMBER(SEARCH(Assumptions!$C$5,G1675)),Assumptions!$D$5,IF(ISNUMBER(SEARCH(Assumptions!$C$6,G1675)),Assumptions!$D$6,IF(ISNUMBER(SEARCH(Assumptions!$C$7,G1675)),Assumptions!$D$7,"Other Services"))),"Other Services"))</f>
        <v/>
      </c>
    </row>
    <row r="1676" customFormat="false" ht="15" hidden="false" customHeight="false" outlineLevel="0" collapsed="false">
      <c r="E1676" s="41" t="str">
        <f aca="false">IF(D1676="","",IFERROR(VLOOKUP(D1676,Assumptions!$G$5:$H$16,2,0),"Other"))</f>
        <v/>
      </c>
      <c r="J1676" s="41" t="str">
        <f aca="false">IF(G1676="","",IFERROR(IF(ISNUMBER(SEARCH(Assumptions!$C$5,G1676)),Assumptions!$D$5,IF(ISNUMBER(SEARCH(Assumptions!$C$6,G1676)),Assumptions!$D$6,IF(ISNUMBER(SEARCH(Assumptions!$C$7,G1676)),Assumptions!$D$7,"Other Services"))),"Other Services"))</f>
        <v/>
      </c>
    </row>
    <row r="1677" customFormat="false" ht="15" hidden="false" customHeight="false" outlineLevel="0" collapsed="false">
      <c r="E1677" s="41" t="str">
        <f aca="false">IF(D1677="","",IFERROR(VLOOKUP(D1677,Assumptions!$G$5:$H$16,2,0),"Other"))</f>
        <v/>
      </c>
      <c r="J1677" s="41" t="str">
        <f aca="false">IF(G1677="","",IFERROR(IF(ISNUMBER(SEARCH(Assumptions!$C$5,G1677)),Assumptions!$D$5,IF(ISNUMBER(SEARCH(Assumptions!$C$6,G1677)),Assumptions!$D$6,IF(ISNUMBER(SEARCH(Assumptions!$C$7,G1677)),Assumptions!$D$7,"Other Services"))),"Other Services"))</f>
        <v/>
      </c>
    </row>
    <row r="1678" customFormat="false" ht="15" hidden="false" customHeight="false" outlineLevel="0" collapsed="false">
      <c r="E1678" s="41" t="str">
        <f aca="false">IF(D1678="","",IFERROR(VLOOKUP(D1678,Assumptions!$G$5:$H$16,2,0),"Other"))</f>
        <v/>
      </c>
      <c r="J1678" s="41" t="str">
        <f aca="false">IF(G1678="","",IFERROR(IF(ISNUMBER(SEARCH(Assumptions!$C$5,G1678)),Assumptions!$D$5,IF(ISNUMBER(SEARCH(Assumptions!$C$6,G1678)),Assumptions!$D$6,IF(ISNUMBER(SEARCH(Assumptions!$C$7,G1678)),Assumptions!$D$7,"Other Services"))),"Other Services"))</f>
        <v/>
      </c>
    </row>
    <row r="1679" customFormat="false" ht="15" hidden="false" customHeight="false" outlineLevel="0" collapsed="false">
      <c r="E1679" s="41" t="str">
        <f aca="false">IF(D1679="","",IFERROR(VLOOKUP(D1679,Assumptions!$G$5:$H$16,2,0),"Other"))</f>
        <v/>
      </c>
      <c r="J1679" s="41" t="str">
        <f aca="false">IF(G1679="","",IFERROR(IF(ISNUMBER(SEARCH(Assumptions!$C$5,G1679)),Assumptions!$D$5,IF(ISNUMBER(SEARCH(Assumptions!$C$6,G1679)),Assumptions!$D$6,IF(ISNUMBER(SEARCH(Assumptions!$C$7,G1679)),Assumptions!$D$7,"Other Services"))),"Other Services"))</f>
        <v/>
      </c>
    </row>
    <row r="1680" customFormat="false" ht="15" hidden="false" customHeight="false" outlineLevel="0" collapsed="false">
      <c r="E1680" s="41" t="str">
        <f aca="false">IF(D1680="","",IFERROR(VLOOKUP(D1680,Assumptions!$G$5:$H$16,2,0),"Other"))</f>
        <v/>
      </c>
      <c r="J1680" s="41" t="str">
        <f aca="false">IF(G1680="","",IFERROR(IF(ISNUMBER(SEARCH(Assumptions!$C$5,G1680)),Assumptions!$D$5,IF(ISNUMBER(SEARCH(Assumptions!$C$6,G1680)),Assumptions!$D$6,IF(ISNUMBER(SEARCH(Assumptions!$C$7,G1680)),Assumptions!$D$7,"Other Services"))),"Other Services"))</f>
        <v/>
      </c>
    </row>
    <row r="1681" customFormat="false" ht="15" hidden="false" customHeight="false" outlineLevel="0" collapsed="false">
      <c r="E1681" s="41" t="str">
        <f aca="false">IF(D1681="","",IFERROR(VLOOKUP(D1681,Assumptions!$G$5:$H$16,2,0),"Other"))</f>
        <v/>
      </c>
      <c r="J1681" s="41" t="str">
        <f aca="false">IF(G1681="","",IFERROR(IF(ISNUMBER(SEARCH(Assumptions!$C$5,G1681)),Assumptions!$D$5,IF(ISNUMBER(SEARCH(Assumptions!$C$6,G1681)),Assumptions!$D$6,IF(ISNUMBER(SEARCH(Assumptions!$C$7,G1681)),Assumptions!$D$7,"Other Services"))),"Other Services"))</f>
        <v/>
      </c>
    </row>
    <row r="1682" customFormat="false" ht="15" hidden="false" customHeight="false" outlineLevel="0" collapsed="false">
      <c r="E1682" s="41" t="str">
        <f aca="false">IF(D1682="","",IFERROR(VLOOKUP(D1682,Assumptions!$G$5:$H$16,2,0),"Other"))</f>
        <v/>
      </c>
      <c r="J1682" s="41" t="str">
        <f aca="false">IF(G1682="","",IFERROR(IF(ISNUMBER(SEARCH(Assumptions!$C$5,G1682)),Assumptions!$D$5,IF(ISNUMBER(SEARCH(Assumptions!$C$6,G1682)),Assumptions!$D$6,IF(ISNUMBER(SEARCH(Assumptions!$C$7,G1682)),Assumptions!$D$7,"Other Services"))),"Other Services"))</f>
        <v/>
      </c>
    </row>
    <row r="1683" customFormat="false" ht="15" hidden="false" customHeight="false" outlineLevel="0" collapsed="false">
      <c r="E1683" s="41" t="str">
        <f aca="false">IF(D1683="","",IFERROR(VLOOKUP(D1683,Assumptions!$G$5:$H$16,2,0),"Other"))</f>
        <v/>
      </c>
      <c r="J1683" s="41" t="str">
        <f aca="false">IF(G1683="","",IFERROR(IF(ISNUMBER(SEARCH(Assumptions!$C$5,G1683)),Assumptions!$D$5,IF(ISNUMBER(SEARCH(Assumptions!$C$6,G1683)),Assumptions!$D$6,IF(ISNUMBER(SEARCH(Assumptions!$C$7,G1683)),Assumptions!$D$7,"Other Services"))),"Other Services"))</f>
        <v/>
      </c>
    </row>
    <row r="1684" customFormat="false" ht="15" hidden="false" customHeight="false" outlineLevel="0" collapsed="false">
      <c r="E1684" s="41" t="str">
        <f aca="false">IF(D1684="","",IFERROR(VLOOKUP(D1684,Assumptions!$G$5:$H$16,2,0),"Other"))</f>
        <v/>
      </c>
      <c r="J1684" s="41" t="str">
        <f aca="false">IF(G1684="","",IFERROR(IF(ISNUMBER(SEARCH(Assumptions!$C$5,G1684)),Assumptions!$D$5,IF(ISNUMBER(SEARCH(Assumptions!$C$6,G1684)),Assumptions!$D$6,IF(ISNUMBER(SEARCH(Assumptions!$C$7,G1684)),Assumptions!$D$7,"Other Services"))),"Other Services"))</f>
        <v/>
      </c>
    </row>
    <row r="1685" customFormat="false" ht="15" hidden="false" customHeight="false" outlineLevel="0" collapsed="false">
      <c r="E1685" s="41" t="str">
        <f aca="false">IF(D1685="","",IFERROR(VLOOKUP(D1685,Assumptions!$G$5:$H$16,2,0),"Other"))</f>
        <v/>
      </c>
      <c r="J1685" s="41" t="str">
        <f aca="false">IF(G1685="","",IFERROR(IF(ISNUMBER(SEARCH(Assumptions!$C$5,G1685)),Assumptions!$D$5,IF(ISNUMBER(SEARCH(Assumptions!$C$6,G1685)),Assumptions!$D$6,IF(ISNUMBER(SEARCH(Assumptions!$C$7,G1685)),Assumptions!$D$7,"Other Services"))),"Other Services"))</f>
        <v/>
      </c>
    </row>
    <row r="1686" customFormat="false" ht="15" hidden="false" customHeight="false" outlineLevel="0" collapsed="false">
      <c r="E1686" s="41" t="str">
        <f aca="false">IF(D1686="","",IFERROR(VLOOKUP(D1686,Assumptions!$G$5:$H$16,2,0),"Other"))</f>
        <v/>
      </c>
      <c r="J1686" s="41" t="str">
        <f aca="false">IF(G1686="","",IFERROR(IF(ISNUMBER(SEARCH(Assumptions!$C$5,G1686)),Assumptions!$D$5,IF(ISNUMBER(SEARCH(Assumptions!$C$6,G1686)),Assumptions!$D$6,IF(ISNUMBER(SEARCH(Assumptions!$C$7,G1686)),Assumptions!$D$7,"Other Services"))),"Other Services"))</f>
        <v/>
      </c>
    </row>
    <row r="1687" customFormat="false" ht="15" hidden="false" customHeight="false" outlineLevel="0" collapsed="false">
      <c r="E1687" s="41" t="str">
        <f aca="false">IF(D1687="","",IFERROR(VLOOKUP(D1687,Assumptions!$G$5:$H$16,2,0),"Other"))</f>
        <v/>
      </c>
      <c r="J1687" s="41" t="str">
        <f aca="false">IF(G1687="","",IFERROR(IF(ISNUMBER(SEARCH(Assumptions!$C$5,G1687)),Assumptions!$D$5,IF(ISNUMBER(SEARCH(Assumptions!$C$6,G1687)),Assumptions!$D$6,IF(ISNUMBER(SEARCH(Assumptions!$C$7,G1687)),Assumptions!$D$7,"Other Services"))),"Other Services"))</f>
        <v/>
      </c>
    </row>
    <row r="1688" customFormat="false" ht="15" hidden="false" customHeight="false" outlineLevel="0" collapsed="false">
      <c r="E1688" s="41" t="str">
        <f aca="false">IF(D1688="","",IFERROR(VLOOKUP(D1688,Assumptions!$G$5:$H$16,2,0),"Other"))</f>
        <v/>
      </c>
      <c r="J1688" s="41" t="str">
        <f aca="false">IF(G1688="","",IFERROR(IF(ISNUMBER(SEARCH(Assumptions!$C$5,G1688)),Assumptions!$D$5,IF(ISNUMBER(SEARCH(Assumptions!$C$6,G1688)),Assumptions!$D$6,IF(ISNUMBER(SEARCH(Assumptions!$C$7,G1688)),Assumptions!$D$7,"Other Services"))),"Other Services"))</f>
        <v/>
      </c>
    </row>
    <row r="1689" customFormat="false" ht="15" hidden="false" customHeight="false" outlineLevel="0" collapsed="false">
      <c r="E1689" s="41" t="str">
        <f aca="false">IF(D1689="","",IFERROR(VLOOKUP(D1689,Assumptions!$G$5:$H$16,2,0),"Other"))</f>
        <v/>
      </c>
      <c r="J1689" s="41" t="str">
        <f aca="false">IF(G1689="","",IFERROR(IF(ISNUMBER(SEARCH(Assumptions!$C$5,G1689)),Assumptions!$D$5,IF(ISNUMBER(SEARCH(Assumptions!$C$6,G1689)),Assumptions!$D$6,IF(ISNUMBER(SEARCH(Assumptions!$C$7,G1689)),Assumptions!$D$7,"Other Services"))),"Other Services"))</f>
        <v/>
      </c>
    </row>
    <row r="1690" customFormat="false" ht="15" hidden="false" customHeight="false" outlineLevel="0" collapsed="false">
      <c r="E1690" s="41" t="str">
        <f aca="false">IF(D1690="","",IFERROR(VLOOKUP(D1690,Assumptions!$G$5:$H$16,2,0),"Other"))</f>
        <v/>
      </c>
      <c r="J1690" s="41" t="str">
        <f aca="false">IF(G1690="","",IFERROR(IF(ISNUMBER(SEARCH(Assumptions!$C$5,G1690)),Assumptions!$D$5,IF(ISNUMBER(SEARCH(Assumptions!$C$6,G1690)),Assumptions!$D$6,IF(ISNUMBER(SEARCH(Assumptions!$C$7,G1690)),Assumptions!$D$7,"Other Services"))),"Other Services"))</f>
        <v/>
      </c>
    </row>
    <row r="1691" customFormat="false" ht="15" hidden="false" customHeight="false" outlineLevel="0" collapsed="false">
      <c r="E1691" s="41" t="str">
        <f aca="false">IF(D1691="","",IFERROR(VLOOKUP(D1691,Assumptions!$G$5:$H$16,2,0),"Other"))</f>
        <v/>
      </c>
      <c r="J1691" s="41" t="str">
        <f aca="false">IF(G1691="","",IFERROR(IF(ISNUMBER(SEARCH(Assumptions!$C$5,G1691)),Assumptions!$D$5,IF(ISNUMBER(SEARCH(Assumptions!$C$6,G1691)),Assumptions!$D$6,IF(ISNUMBER(SEARCH(Assumptions!$C$7,G1691)),Assumptions!$D$7,"Other Services"))),"Other Services"))</f>
        <v/>
      </c>
    </row>
    <row r="1692" customFormat="false" ht="15" hidden="false" customHeight="false" outlineLevel="0" collapsed="false">
      <c r="E1692" s="41" t="str">
        <f aca="false">IF(D1692="","",IFERROR(VLOOKUP(D1692,Assumptions!$G$5:$H$16,2,0),"Other"))</f>
        <v/>
      </c>
      <c r="J1692" s="41" t="str">
        <f aca="false">IF(G1692="","",IFERROR(IF(ISNUMBER(SEARCH(Assumptions!$C$5,G1692)),Assumptions!$D$5,IF(ISNUMBER(SEARCH(Assumptions!$C$6,G1692)),Assumptions!$D$6,IF(ISNUMBER(SEARCH(Assumptions!$C$7,G1692)),Assumptions!$D$7,"Other Services"))),"Other Services"))</f>
        <v/>
      </c>
    </row>
    <row r="1693" customFormat="false" ht="15" hidden="false" customHeight="false" outlineLevel="0" collapsed="false">
      <c r="E1693" s="41" t="str">
        <f aca="false">IF(D1693="","",IFERROR(VLOOKUP(D1693,Assumptions!$G$5:$H$16,2,0),"Other"))</f>
        <v/>
      </c>
      <c r="J1693" s="41" t="str">
        <f aca="false">IF(G1693="","",IFERROR(IF(ISNUMBER(SEARCH(Assumptions!$C$5,G1693)),Assumptions!$D$5,IF(ISNUMBER(SEARCH(Assumptions!$C$6,G1693)),Assumptions!$D$6,IF(ISNUMBER(SEARCH(Assumptions!$C$7,G1693)),Assumptions!$D$7,"Other Services"))),"Other Services"))</f>
        <v/>
      </c>
    </row>
    <row r="1694" customFormat="false" ht="15" hidden="false" customHeight="false" outlineLevel="0" collapsed="false">
      <c r="E1694" s="41" t="str">
        <f aca="false">IF(D1694="","",IFERROR(VLOOKUP(D1694,Assumptions!$G$5:$H$16,2,0),"Other"))</f>
        <v/>
      </c>
      <c r="J1694" s="41" t="str">
        <f aca="false">IF(G1694="","",IFERROR(IF(ISNUMBER(SEARCH(Assumptions!$C$5,G1694)),Assumptions!$D$5,IF(ISNUMBER(SEARCH(Assumptions!$C$6,G1694)),Assumptions!$D$6,IF(ISNUMBER(SEARCH(Assumptions!$C$7,G1694)),Assumptions!$D$7,"Other Services"))),"Other Services"))</f>
        <v/>
      </c>
    </row>
    <row r="1695" customFormat="false" ht="15" hidden="false" customHeight="false" outlineLevel="0" collapsed="false">
      <c r="E1695" s="41" t="str">
        <f aca="false">IF(D1695="","",IFERROR(VLOOKUP(D1695,Assumptions!$G$5:$H$16,2,0),"Other"))</f>
        <v/>
      </c>
      <c r="J1695" s="41" t="str">
        <f aca="false">IF(G1695="","",IFERROR(IF(ISNUMBER(SEARCH(Assumptions!$C$5,G1695)),Assumptions!$D$5,IF(ISNUMBER(SEARCH(Assumptions!$C$6,G1695)),Assumptions!$D$6,IF(ISNUMBER(SEARCH(Assumptions!$C$7,G1695)),Assumptions!$D$7,"Other Services"))),"Other Services"))</f>
        <v/>
      </c>
    </row>
    <row r="1696" customFormat="false" ht="15" hidden="false" customHeight="false" outlineLevel="0" collapsed="false">
      <c r="E1696" s="41" t="str">
        <f aca="false">IF(D1696="","",IFERROR(VLOOKUP(D1696,Assumptions!$G$5:$H$16,2,0),"Other"))</f>
        <v/>
      </c>
      <c r="J1696" s="41" t="str">
        <f aca="false">IF(G1696="","",IFERROR(IF(ISNUMBER(SEARCH(Assumptions!$C$5,G1696)),Assumptions!$D$5,IF(ISNUMBER(SEARCH(Assumptions!$C$6,G1696)),Assumptions!$D$6,IF(ISNUMBER(SEARCH(Assumptions!$C$7,G1696)),Assumptions!$D$7,"Other Services"))),"Other Services"))</f>
        <v/>
      </c>
    </row>
    <row r="1697" customFormat="false" ht="15" hidden="false" customHeight="false" outlineLevel="0" collapsed="false">
      <c r="E1697" s="41" t="str">
        <f aca="false">IF(D1697="","",IFERROR(VLOOKUP(D1697,Assumptions!$G$5:$H$16,2,0),"Other"))</f>
        <v/>
      </c>
      <c r="J1697" s="41" t="str">
        <f aca="false">IF(G1697="","",IFERROR(IF(ISNUMBER(SEARCH(Assumptions!$C$5,G1697)),Assumptions!$D$5,IF(ISNUMBER(SEARCH(Assumptions!$C$6,G1697)),Assumptions!$D$6,IF(ISNUMBER(SEARCH(Assumptions!$C$7,G1697)),Assumptions!$D$7,"Other Services"))),"Other Services"))</f>
        <v/>
      </c>
    </row>
    <row r="1698" customFormat="false" ht="15" hidden="false" customHeight="false" outlineLevel="0" collapsed="false">
      <c r="E1698" s="41" t="str">
        <f aca="false">IF(D1698="","",IFERROR(VLOOKUP(D1698,Assumptions!$G$5:$H$16,2,0),"Other"))</f>
        <v/>
      </c>
      <c r="J1698" s="41" t="str">
        <f aca="false">IF(G1698="","",IFERROR(IF(ISNUMBER(SEARCH(Assumptions!$C$5,G1698)),Assumptions!$D$5,IF(ISNUMBER(SEARCH(Assumptions!$C$6,G1698)),Assumptions!$D$6,IF(ISNUMBER(SEARCH(Assumptions!$C$7,G1698)),Assumptions!$D$7,"Other Services"))),"Other Services"))</f>
        <v/>
      </c>
    </row>
    <row r="1699" customFormat="false" ht="15" hidden="false" customHeight="false" outlineLevel="0" collapsed="false">
      <c r="E1699" s="41" t="str">
        <f aca="false">IF(D1699="","",IFERROR(VLOOKUP(D1699,Assumptions!$G$5:$H$16,2,0),"Other"))</f>
        <v/>
      </c>
      <c r="J1699" s="41" t="str">
        <f aca="false">IF(G1699="","",IFERROR(IF(ISNUMBER(SEARCH(Assumptions!$C$5,G1699)),Assumptions!$D$5,IF(ISNUMBER(SEARCH(Assumptions!$C$6,G1699)),Assumptions!$D$6,IF(ISNUMBER(SEARCH(Assumptions!$C$7,G1699)),Assumptions!$D$7,"Other Services"))),"Other Services"))</f>
        <v/>
      </c>
    </row>
    <row r="1700" customFormat="false" ht="15" hidden="false" customHeight="false" outlineLevel="0" collapsed="false">
      <c r="E1700" s="41" t="str">
        <f aca="false">IF(D1700="","",IFERROR(VLOOKUP(D1700,Assumptions!$G$5:$H$16,2,0),"Other"))</f>
        <v/>
      </c>
      <c r="J1700" s="41" t="str">
        <f aca="false">IF(G1700="","",IFERROR(IF(ISNUMBER(SEARCH(Assumptions!$C$5,G1700)),Assumptions!$D$5,IF(ISNUMBER(SEARCH(Assumptions!$C$6,G1700)),Assumptions!$D$6,IF(ISNUMBER(SEARCH(Assumptions!$C$7,G1700)),Assumptions!$D$7,"Other Services"))),"Other Services"))</f>
        <v/>
      </c>
    </row>
    <row r="1701" customFormat="false" ht="15" hidden="false" customHeight="false" outlineLevel="0" collapsed="false">
      <c r="E1701" s="41" t="str">
        <f aca="false">IF(D1701="","",IFERROR(VLOOKUP(D1701,Assumptions!$G$5:$H$16,2,0),"Other"))</f>
        <v/>
      </c>
      <c r="J1701" s="41" t="str">
        <f aca="false">IF(G1701="","",IFERROR(IF(ISNUMBER(SEARCH(Assumptions!$C$5,G1701)),Assumptions!$D$5,IF(ISNUMBER(SEARCH(Assumptions!$C$6,G1701)),Assumptions!$D$6,IF(ISNUMBER(SEARCH(Assumptions!$C$7,G1701)),Assumptions!$D$7,"Other Services"))),"Other Services"))</f>
        <v/>
      </c>
    </row>
    <row r="1702" customFormat="false" ht="15" hidden="false" customHeight="false" outlineLevel="0" collapsed="false">
      <c r="E1702" s="41" t="str">
        <f aca="false">IF(D1702="","",IFERROR(VLOOKUP(D1702,Assumptions!$G$5:$H$16,2,0),"Other"))</f>
        <v/>
      </c>
      <c r="J1702" s="41" t="str">
        <f aca="false">IF(G1702="","",IFERROR(IF(ISNUMBER(SEARCH(Assumptions!$C$5,G1702)),Assumptions!$D$5,IF(ISNUMBER(SEARCH(Assumptions!$C$6,G1702)),Assumptions!$D$6,IF(ISNUMBER(SEARCH(Assumptions!$C$7,G1702)),Assumptions!$D$7,"Other Services"))),"Other Services"))</f>
        <v/>
      </c>
    </row>
    <row r="1703" customFormat="false" ht="15" hidden="false" customHeight="false" outlineLevel="0" collapsed="false">
      <c r="E1703" s="41" t="str">
        <f aca="false">IF(D1703="","",IFERROR(VLOOKUP(D1703,Assumptions!$G$5:$H$16,2,0),"Other"))</f>
        <v/>
      </c>
      <c r="J1703" s="41" t="str">
        <f aca="false">IF(G1703="","",IFERROR(IF(ISNUMBER(SEARCH(Assumptions!$C$5,G1703)),Assumptions!$D$5,IF(ISNUMBER(SEARCH(Assumptions!$C$6,G1703)),Assumptions!$D$6,IF(ISNUMBER(SEARCH(Assumptions!$C$7,G1703)),Assumptions!$D$7,"Other Services"))),"Other Services"))</f>
        <v/>
      </c>
    </row>
    <row r="1704" customFormat="false" ht="15" hidden="false" customHeight="false" outlineLevel="0" collapsed="false">
      <c r="E1704" s="41" t="str">
        <f aca="false">IF(D1704="","",IFERROR(VLOOKUP(D1704,Assumptions!$G$5:$H$16,2,0),"Other"))</f>
        <v/>
      </c>
      <c r="J1704" s="41" t="str">
        <f aca="false">IF(G1704="","",IFERROR(IF(ISNUMBER(SEARCH(Assumptions!$C$5,G1704)),Assumptions!$D$5,IF(ISNUMBER(SEARCH(Assumptions!$C$6,G1704)),Assumptions!$D$6,IF(ISNUMBER(SEARCH(Assumptions!$C$7,G1704)),Assumptions!$D$7,"Other Services"))),"Other Services"))</f>
        <v/>
      </c>
    </row>
    <row r="1705" customFormat="false" ht="15" hidden="false" customHeight="false" outlineLevel="0" collapsed="false">
      <c r="E1705" s="41" t="str">
        <f aca="false">IF(D1705="","",IFERROR(VLOOKUP(D1705,Assumptions!$G$5:$H$16,2,0),"Other"))</f>
        <v/>
      </c>
      <c r="J1705" s="41" t="str">
        <f aca="false">IF(G1705="","",IFERROR(IF(ISNUMBER(SEARCH(Assumptions!$C$5,G1705)),Assumptions!$D$5,IF(ISNUMBER(SEARCH(Assumptions!$C$6,G1705)),Assumptions!$D$6,IF(ISNUMBER(SEARCH(Assumptions!$C$7,G1705)),Assumptions!$D$7,"Other Services"))),"Other Services"))</f>
        <v/>
      </c>
    </row>
    <row r="1706" customFormat="false" ht="15" hidden="false" customHeight="false" outlineLevel="0" collapsed="false">
      <c r="E1706" s="41" t="str">
        <f aca="false">IF(D1706="","",IFERROR(VLOOKUP(D1706,Assumptions!$G$5:$H$16,2,0),"Other"))</f>
        <v/>
      </c>
      <c r="J1706" s="41" t="str">
        <f aca="false">IF(G1706="","",IFERROR(IF(ISNUMBER(SEARCH(Assumptions!$C$5,G1706)),Assumptions!$D$5,IF(ISNUMBER(SEARCH(Assumptions!$C$6,G1706)),Assumptions!$D$6,IF(ISNUMBER(SEARCH(Assumptions!$C$7,G1706)),Assumptions!$D$7,"Other Services"))),"Other Services"))</f>
        <v/>
      </c>
    </row>
    <row r="1707" customFormat="false" ht="15" hidden="false" customHeight="false" outlineLevel="0" collapsed="false">
      <c r="E1707" s="41" t="str">
        <f aca="false">IF(D1707="","",IFERROR(VLOOKUP(D1707,Assumptions!$G$5:$H$16,2,0),"Other"))</f>
        <v/>
      </c>
      <c r="J1707" s="41" t="str">
        <f aca="false">IF(G1707="","",IFERROR(IF(ISNUMBER(SEARCH(Assumptions!$C$5,G1707)),Assumptions!$D$5,IF(ISNUMBER(SEARCH(Assumptions!$C$6,G1707)),Assumptions!$D$6,IF(ISNUMBER(SEARCH(Assumptions!$C$7,G1707)),Assumptions!$D$7,"Other Services"))),"Other Services"))</f>
        <v/>
      </c>
    </row>
    <row r="1708" customFormat="false" ht="15" hidden="false" customHeight="false" outlineLevel="0" collapsed="false">
      <c r="E1708" s="41" t="str">
        <f aca="false">IF(D1708="","",IFERROR(VLOOKUP(D1708,Assumptions!$G$5:$H$16,2,0),"Other"))</f>
        <v/>
      </c>
      <c r="J1708" s="41" t="str">
        <f aca="false">IF(G1708="","",IFERROR(IF(ISNUMBER(SEARCH(Assumptions!$C$5,G1708)),Assumptions!$D$5,IF(ISNUMBER(SEARCH(Assumptions!$C$6,G1708)),Assumptions!$D$6,IF(ISNUMBER(SEARCH(Assumptions!$C$7,G1708)),Assumptions!$D$7,"Other Services"))),"Other Services"))</f>
        <v/>
      </c>
    </row>
    <row r="1709" customFormat="false" ht="15" hidden="false" customHeight="false" outlineLevel="0" collapsed="false">
      <c r="E1709" s="41" t="str">
        <f aca="false">IF(D1709="","",IFERROR(VLOOKUP(D1709,Assumptions!$G$5:$H$16,2,0),"Other"))</f>
        <v/>
      </c>
      <c r="J1709" s="41" t="str">
        <f aca="false">IF(G1709="","",IFERROR(IF(ISNUMBER(SEARCH(Assumptions!$C$5,G1709)),Assumptions!$D$5,IF(ISNUMBER(SEARCH(Assumptions!$C$6,G1709)),Assumptions!$D$6,IF(ISNUMBER(SEARCH(Assumptions!$C$7,G1709)),Assumptions!$D$7,"Other Services"))),"Other Services"))</f>
        <v/>
      </c>
    </row>
    <row r="1710" customFormat="false" ht="15" hidden="false" customHeight="false" outlineLevel="0" collapsed="false">
      <c r="E1710" s="41" t="str">
        <f aca="false">IF(D1710="","",IFERROR(VLOOKUP(D1710,Assumptions!$G$5:$H$16,2,0),"Other"))</f>
        <v/>
      </c>
      <c r="J1710" s="41" t="str">
        <f aca="false">IF(G1710="","",IFERROR(IF(ISNUMBER(SEARCH(Assumptions!$C$5,G1710)),Assumptions!$D$5,IF(ISNUMBER(SEARCH(Assumptions!$C$6,G1710)),Assumptions!$D$6,IF(ISNUMBER(SEARCH(Assumptions!$C$7,G1710)),Assumptions!$D$7,"Other Services"))),"Other Services"))</f>
        <v/>
      </c>
    </row>
    <row r="1711" customFormat="false" ht="15" hidden="false" customHeight="false" outlineLevel="0" collapsed="false">
      <c r="E1711" s="41" t="str">
        <f aca="false">IF(D1711="","",IFERROR(VLOOKUP(D1711,Assumptions!$G$5:$H$16,2,0),"Other"))</f>
        <v/>
      </c>
      <c r="J1711" s="41" t="str">
        <f aca="false">IF(G1711="","",IFERROR(IF(ISNUMBER(SEARCH(Assumptions!$C$5,G1711)),Assumptions!$D$5,IF(ISNUMBER(SEARCH(Assumptions!$C$6,G1711)),Assumptions!$D$6,IF(ISNUMBER(SEARCH(Assumptions!$C$7,G1711)),Assumptions!$D$7,"Other Services"))),"Other Services"))</f>
        <v/>
      </c>
    </row>
    <row r="1712" customFormat="false" ht="15" hidden="false" customHeight="false" outlineLevel="0" collapsed="false">
      <c r="E1712" s="41" t="str">
        <f aca="false">IF(D1712="","",IFERROR(VLOOKUP(D1712,Assumptions!$G$5:$H$16,2,0),"Other"))</f>
        <v/>
      </c>
      <c r="J1712" s="41" t="str">
        <f aca="false">IF(G1712="","",IFERROR(IF(ISNUMBER(SEARCH(Assumptions!$C$5,G1712)),Assumptions!$D$5,IF(ISNUMBER(SEARCH(Assumptions!$C$6,G1712)),Assumptions!$D$6,IF(ISNUMBER(SEARCH(Assumptions!$C$7,G1712)),Assumptions!$D$7,"Other Services"))),"Other Services"))</f>
        <v/>
      </c>
    </row>
    <row r="1713" customFormat="false" ht="15" hidden="false" customHeight="false" outlineLevel="0" collapsed="false">
      <c r="E1713" s="41" t="str">
        <f aca="false">IF(D1713="","",IFERROR(VLOOKUP(D1713,Assumptions!$G$5:$H$16,2,0),"Other"))</f>
        <v/>
      </c>
      <c r="J1713" s="41" t="str">
        <f aca="false">IF(G1713="","",IFERROR(IF(ISNUMBER(SEARCH(Assumptions!$C$5,G1713)),Assumptions!$D$5,IF(ISNUMBER(SEARCH(Assumptions!$C$6,G1713)),Assumptions!$D$6,IF(ISNUMBER(SEARCH(Assumptions!$C$7,G1713)),Assumptions!$D$7,"Other Services"))),"Other Services"))</f>
        <v/>
      </c>
    </row>
    <row r="1714" customFormat="false" ht="15" hidden="false" customHeight="false" outlineLevel="0" collapsed="false">
      <c r="E1714" s="41" t="str">
        <f aca="false">IF(D1714="","",IFERROR(VLOOKUP(D1714,Assumptions!$G$5:$H$16,2,0),"Other"))</f>
        <v/>
      </c>
      <c r="J1714" s="41" t="str">
        <f aca="false">IF(G1714="","",IFERROR(IF(ISNUMBER(SEARCH(Assumptions!$C$5,G1714)),Assumptions!$D$5,IF(ISNUMBER(SEARCH(Assumptions!$C$6,G1714)),Assumptions!$D$6,IF(ISNUMBER(SEARCH(Assumptions!$C$7,G1714)),Assumptions!$D$7,"Other Services"))),"Other Services"))</f>
        <v/>
      </c>
    </row>
    <row r="1715" customFormat="false" ht="15" hidden="false" customHeight="false" outlineLevel="0" collapsed="false">
      <c r="E1715" s="41" t="str">
        <f aca="false">IF(D1715="","",IFERROR(VLOOKUP(D1715,Assumptions!$G$5:$H$16,2,0),"Other"))</f>
        <v/>
      </c>
      <c r="J1715" s="41" t="str">
        <f aca="false">IF(G1715="","",IFERROR(IF(ISNUMBER(SEARCH(Assumptions!$C$5,G1715)),Assumptions!$D$5,IF(ISNUMBER(SEARCH(Assumptions!$C$6,G1715)),Assumptions!$D$6,IF(ISNUMBER(SEARCH(Assumptions!$C$7,G1715)),Assumptions!$D$7,"Other Services"))),"Other Services"))</f>
        <v/>
      </c>
    </row>
    <row r="1716" customFormat="false" ht="15" hidden="false" customHeight="false" outlineLevel="0" collapsed="false">
      <c r="E1716" s="41" t="str">
        <f aca="false">IF(D1716="","",IFERROR(VLOOKUP(D1716,Assumptions!$G$5:$H$16,2,0),"Other"))</f>
        <v/>
      </c>
      <c r="J1716" s="41" t="str">
        <f aca="false">IF(G1716="","",IFERROR(IF(ISNUMBER(SEARCH(Assumptions!$C$5,G1716)),Assumptions!$D$5,IF(ISNUMBER(SEARCH(Assumptions!$C$6,G1716)),Assumptions!$D$6,IF(ISNUMBER(SEARCH(Assumptions!$C$7,G1716)),Assumptions!$D$7,"Other Services"))),"Other Services"))</f>
        <v/>
      </c>
    </row>
    <row r="1717" customFormat="false" ht="15" hidden="false" customHeight="false" outlineLevel="0" collapsed="false">
      <c r="E1717" s="41" t="str">
        <f aca="false">IF(D1717="","",IFERROR(VLOOKUP(D1717,Assumptions!$G$5:$H$16,2,0),"Other"))</f>
        <v/>
      </c>
      <c r="J1717" s="41" t="str">
        <f aca="false">IF(G1717="","",IFERROR(IF(ISNUMBER(SEARCH(Assumptions!$C$5,G1717)),Assumptions!$D$5,IF(ISNUMBER(SEARCH(Assumptions!$C$6,G1717)),Assumptions!$D$6,IF(ISNUMBER(SEARCH(Assumptions!$C$7,G1717)),Assumptions!$D$7,"Other Services"))),"Other Services"))</f>
        <v/>
      </c>
    </row>
    <row r="1718" customFormat="false" ht="15" hidden="false" customHeight="false" outlineLevel="0" collapsed="false">
      <c r="E1718" s="41" t="str">
        <f aca="false">IF(D1718="","",IFERROR(VLOOKUP(D1718,Assumptions!$G$5:$H$16,2,0),"Other"))</f>
        <v/>
      </c>
      <c r="J1718" s="41" t="str">
        <f aca="false">IF(G1718="","",IFERROR(IF(ISNUMBER(SEARCH(Assumptions!$C$5,G1718)),Assumptions!$D$5,IF(ISNUMBER(SEARCH(Assumptions!$C$6,G1718)),Assumptions!$D$6,IF(ISNUMBER(SEARCH(Assumptions!$C$7,G1718)),Assumptions!$D$7,"Other Services"))),"Other Services"))</f>
        <v/>
      </c>
    </row>
    <row r="1719" customFormat="false" ht="15" hidden="false" customHeight="false" outlineLevel="0" collapsed="false">
      <c r="E1719" s="41" t="str">
        <f aca="false">IF(D1719="","",IFERROR(VLOOKUP(D1719,Assumptions!$G$5:$H$16,2,0),"Other"))</f>
        <v/>
      </c>
      <c r="J1719" s="41" t="str">
        <f aca="false">IF(G1719="","",IFERROR(IF(ISNUMBER(SEARCH(Assumptions!$C$5,G1719)),Assumptions!$D$5,IF(ISNUMBER(SEARCH(Assumptions!$C$6,G1719)),Assumptions!$D$6,IF(ISNUMBER(SEARCH(Assumptions!$C$7,G1719)),Assumptions!$D$7,"Other Services"))),"Other Services"))</f>
        <v/>
      </c>
    </row>
    <row r="1720" customFormat="false" ht="15" hidden="false" customHeight="false" outlineLevel="0" collapsed="false">
      <c r="E1720" s="41" t="str">
        <f aca="false">IF(D1720="","",IFERROR(VLOOKUP(D1720,Assumptions!$G$5:$H$16,2,0),"Other"))</f>
        <v/>
      </c>
      <c r="J1720" s="41" t="str">
        <f aca="false">IF(G1720="","",IFERROR(IF(ISNUMBER(SEARCH(Assumptions!$C$5,G1720)),Assumptions!$D$5,IF(ISNUMBER(SEARCH(Assumptions!$C$6,G1720)),Assumptions!$D$6,IF(ISNUMBER(SEARCH(Assumptions!$C$7,G1720)),Assumptions!$D$7,"Other Services"))),"Other Services"))</f>
        <v/>
      </c>
    </row>
    <row r="1721" customFormat="false" ht="15" hidden="false" customHeight="false" outlineLevel="0" collapsed="false">
      <c r="E1721" s="41" t="str">
        <f aca="false">IF(D1721="","",IFERROR(VLOOKUP(D1721,Assumptions!$G$5:$H$16,2,0),"Other"))</f>
        <v/>
      </c>
      <c r="J1721" s="41" t="str">
        <f aca="false">IF(G1721="","",IFERROR(IF(ISNUMBER(SEARCH(Assumptions!$C$5,G1721)),Assumptions!$D$5,IF(ISNUMBER(SEARCH(Assumptions!$C$6,G1721)),Assumptions!$D$6,IF(ISNUMBER(SEARCH(Assumptions!$C$7,G1721)),Assumptions!$D$7,"Other Services"))),"Other Services"))</f>
        <v/>
      </c>
    </row>
    <row r="1722" customFormat="false" ht="15" hidden="false" customHeight="false" outlineLevel="0" collapsed="false">
      <c r="E1722" s="41" t="str">
        <f aca="false">IF(D1722="","",IFERROR(VLOOKUP(D1722,Assumptions!$G$5:$H$16,2,0),"Other"))</f>
        <v/>
      </c>
      <c r="J1722" s="41" t="str">
        <f aca="false">IF(G1722="","",IFERROR(IF(ISNUMBER(SEARCH(Assumptions!$C$5,G1722)),Assumptions!$D$5,IF(ISNUMBER(SEARCH(Assumptions!$C$6,G1722)),Assumptions!$D$6,IF(ISNUMBER(SEARCH(Assumptions!$C$7,G1722)),Assumptions!$D$7,"Other Services"))),"Other Services"))</f>
        <v/>
      </c>
    </row>
    <row r="1723" customFormat="false" ht="15" hidden="false" customHeight="false" outlineLevel="0" collapsed="false">
      <c r="E1723" s="41" t="str">
        <f aca="false">IF(D1723="","",IFERROR(VLOOKUP(D1723,Assumptions!$G$5:$H$16,2,0),"Other"))</f>
        <v/>
      </c>
      <c r="J1723" s="41" t="str">
        <f aca="false">IF(G1723="","",IFERROR(IF(ISNUMBER(SEARCH(Assumptions!$C$5,G1723)),Assumptions!$D$5,IF(ISNUMBER(SEARCH(Assumptions!$C$6,G1723)),Assumptions!$D$6,IF(ISNUMBER(SEARCH(Assumptions!$C$7,G1723)),Assumptions!$D$7,"Other Services"))),"Other Services"))</f>
        <v/>
      </c>
    </row>
    <row r="1724" customFormat="false" ht="15" hidden="false" customHeight="false" outlineLevel="0" collapsed="false">
      <c r="E1724" s="41" t="str">
        <f aca="false">IF(D1724="","",IFERROR(VLOOKUP(D1724,Assumptions!$G$5:$H$16,2,0),"Other"))</f>
        <v/>
      </c>
      <c r="J1724" s="41" t="str">
        <f aca="false">IF(G1724="","",IFERROR(IF(ISNUMBER(SEARCH(Assumptions!$C$5,G1724)),Assumptions!$D$5,IF(ISNUMBER(SEARCH(Assumptions!$C$6,G1724)),Assumptions!$D$6,IF(ISNUMBER(SEARCH(Assumptions!$C$7,G1724)),Assumptions!$D$7,"Other Services"))),"Other Services"))</f>
        <v/>
      </c>
    </row>
    <row r="1725" customFormat="false" ht="15" hidden="false" customHeight="false" outlineLevel="0" collapsed="false">
      <c r="E1725" s="41" t="str">
        <f aca="false">IF(D1725="","",IFERROR(VLOOKUP(D1725,Assumptions!$G$5:$H$16,2,0),"Other"))</f>
        <v/>
      </c>
      <c r="J1725" s="41" t="str">
        <f aca="false">IF(G1725="","",IFERROR(IF(ISNUMBER(SEARCH(Assumptions!$C$5,G1725)),Assumptions!$D$5,IF(ISNUMBER(SEARCH(Assumptions!$C$6,G1725)),Assumptions!$D$6,IF(ISNUMBER(SEARCH(Assumptions!$C$7,G1725)),Assumptions!$D$7,"Other Services"))),"Other Services"))</f>
        <v/>
      </c>
    </row>
    <row r="1726" customFormat="false" ht="15" hidden="false" customHeight="false" outlineLevel="0" collapsed="false">
      <c r="E1726" s="41" t="str">
        <f aca="false">IF(D1726="","",IFERROR(VLOOKUP(D1726,Assumptions!$G$5:$H$16,2,0),"Other"))</f>
        <v/>
      </c>
      <c r="J1726" s="41" t="str">
        <f aca="false">IF(G1726="","",IFERROR(IF(ISNUMBER(SEARCH(Assumptions!$C$5,G1726)),Assumptions!$D$5,IF(ISNUMBER(SEARCH(Assumptions!$C$6,G1726)),Assumptions!$D$6,IF(ISNUMBER(SEARCH(Assumptions!$C$7,G1726)),Assumptions!$D$7,"Other Services"))),"Other Services"))</f>
        <v/>
      </c>
    </row>
    <row r="1727" customFormat="false" ht="15" hidden="false" customHeight="false" outlineLevel="0" collapsed="false">
      <c r="E1727" s="41" t="str">
        <f aca="false">IF(D1727="","",IFERROR(VLOOKUP(D1727,Assumptions!$G$5:$H$16,2,0),"Other"))</f>
        <v/>
      </c>
      <c r="J1727" s="41" t="str">
        <f aca="false">IF(G1727="","",IFERROR(IF(ISNUMBER(SEARCH(Assumptions!$C$5,G1727)),Assumptions!$D$5,IF(ISNUMBER(SEARCH(Assumptions!$C$6,G1727)),Assumptions!$D$6,IF(ISNUMBER(SEARCH(Assumptions!$C$7,G1727)),Assumptions!$D$7,"Other Services"))),"Other Services"))</f>
        <v/>
      </c>
    </row>
    <row r="1728" customFormat="false" ht="15" hidden="false" customHeight="false" outlineLevel="0" collapsed="false">
      <c r="E1728" s="41" t="str">
        <f aca="false">IF(D1728="","",IFERROR(VLOOKUP(D1728,Assumptions!$G$5:$H$16,2,0),"Other"))</f>
        <v/>
      </c>
      <c r="J1728" s="41" t="str">
        <f aca="false">IF(G1728="","",IFERROR(IF(ISNUMBER(SEARCH(Assumptions!$C$5,G1728)),Assumptions!$D$5,IF(ISNUMBER(SEARCH(Assumptions!$C$6,G1728)),Assumptions!$D$6,IF(ISNUMBER(SEARCH(Assumptions!$C$7,G1728)),Assumptions!$D$7,"Other Services"))),"Other Services"))</f>
        <v/>
      </c>
    </row>
    <row r="1729" customFormat="false" ht="15" hidden="false" customHeight="false" outlineLevel="0" collapsed="false">
      <c r="E1729" s="41" t="str">
        <f aca="false">IF(D1729="","",IFERROR(VLOOKUP(D1729,Assumptions!$G$5:$H$16,2,0),"Other"))</f>
        <v/>
      </c>
      <c r="J1729" s="41" t="str">
        <f aca="false">IF(G1729="","",IFERROR(IF(ISNUMBER(SEARCH(Assumptions!$C$5,G1729)),Assumptions!$D$5,IF(ISNUMBER(SEARCH(Assumptions!$C$6,G1729)),Assumptions!$D$6,IF(ISNUMBER(SEARCH(Assumptions!$C$7,G1729)),Assumptions!$D$7,"Other Services"))),"Other Services"))</f>
        <v/>
      </c>
    </row>
    <row r="1730" customFormat="false" ht="15" hidden="false" customHeight="false" outlineLevel="0" collapsed="false">
      <c r="E1730" s="41" t="str">
        <f aca="false">IF(D1730="","",IFERROR(VLOOKUP(D1730,Assumptions!$G$5:$H$16,2,0),"Other"))</f>
        <v/>
      </c>
      <c r="J1730" s="41" t="str">
        <f aca="false">IF(G1730="","",IFERROR(IF(ISNUMBER(SEARCH(Assumptions!$C$5,G1730)),Assumptions!$D$5,IF(ISNUMBER(SEARCH(Assumptions!$C$6,G1730)),Assumptions!$D$6,IF(ISNUMBER(SEARCH(Assumptions!$C$7,G1730)),Assumptions!$D$7,"Other Services"))),"Other Services"))</f>
        <v/>
      </c>
    </row>
    <row r="1731" customFormat="false" ht="15" hidden="false" customHeight="false" outlineLevel="0" collapsed="false">
      <c r="E1731" s="41" t="str">
        <f aca="false">IF(D1731="","",IFERROR(VLOOKUP(D1731,Assumptions!$G$5:$H$16,2,0),"Other"))</f>
        <v/>
      </c>
      <c r="J1731" s="41" t="str">
        <f aca="false">IF(G1731="","",IFERROR(IF(ISNUMBER(SEARCH(Assumptions!$C$5,G1731)),Assumptions!$D$5,IF(ISNUMBER(SEARCH(Assumptions!$C$6,G1731)),Assumptions!$D$6,IF(ISNUMBER(SEARCH(Assumptions!$C$7,G1731)),Assumptions!$D$7,"Other Services"))),"Other Services"))</f>
        <v/>
      </c>
    </row>
    <row r="1732" customFormat="false" ht="15" hidden="false" customHeight="false" outlineLevel="0" collapsed="false">
      <c r="E1732" s="41" t="str">
        <f aca="false">IF(D1732="","",IFERROR(VLOOKUP(D1732,Assumptions!$G$5:$H$16,2,0),"Other"))</f>
        <v/>
      </c>
      <c r="J1732" s="41" t="str">
        <f aca="false">IF(G1732="","",IFERROR(IF(ISNUMBER(SEARCH(Assumptions!$C$5,G1732)),Assumptions!$D$5,IF(ISNUMBER(SEARCH(Assumptions!$C$6,G1732)),Assumptions!$D$6,IF(ISNUMBER(SEARCH(Assumptions!$C$7,G1732)),Assumptions!$D$7,"Other Services"))),"Other Services"))</f>
        <v/>
      </c>
    </row>
    <row r="1733" customFormat="false" ht="15" hidden="false" customHeight="false" outlineLevel="0" collapsed="false">
      <c r="E1733" s="41" t="str">
        <f aca="false">IF(D1733="","",IFERROR(VLOOKUP(D1733,Assumptions!$G$5:$H$16,2,0),"Other"))</f>
        <v/>
      </c>
      <c r="J1733" s="41" t="str">
        <f aca="false">IF(G1733="","",IFERROR(IF(ISNUMBER(SEARCH(Assumptions!$C$5,G1733)),Assumptions!$D$5,IF(ISNUMBER(SEARCH(Assumptions!$C$6,G1733)),Assumptions!$D$6,IF(ISNUMBER(SEARCH(Assumptions!$C$7,G1733)),Assumptions!$D$7,"Other Services"))),"Other Services"))</f>
        <v/>
      </c>
    </row>
    <row r="1734" customFormat="false" ht="15" hidden="false" customHeight="false" outlineLevel="0" collapsed="false">
      <c r="E1734" s="41" t="str">
        <f aca="false">IF(D1734="","",IFERROR(VLOOKUP(D1734,Assumptions!$G$5:$H$16,2,0),"Other"))</f>
        <v/>
      </c>
      <c r="J1734" s="41" t="str">
        <f aca="false">IF(G1734="","",IFERROR(IF(ISNUMBER(SEARCH(Assumptions!$C$5,G1734)),Assumptions!$D$5,IF(ISNUMBER(SEARCH(Assumptions!$C$6,G1734)),Assumptions!$D$6,IF(ISNUMBER(SEARCH(Assumptions!$C$7,G1734)),Assumptions!$D$7,"Other Services"))),"Other Services"))</f>
        <v/>
      </c>
    </row>
    <row r="1735" customFormat="false" ht="15" hidden="false" customHeight="false" outlineLevel="0" collapsed="false">
      <c r="E1735" s="41" t="str">
        <f aca="false">IF(D1735="","",IFERROR(VLOOKUP(D1735,Assumptions!$G$5:$H$16,2,0),"Other"))</f>
        <v/>
      </c>
      <c r="J1735" s="41" t="str">
        <f aca="false">IF(G1735="","",IFERROR(IF(ISNUMBER(SEARCH(Assumptions!$C$5,G1735)),Assumptions!$D$5,IF(ISNUMBER(SEARCH(Assumptions!$C$6,G1735)),Assumptions!$D$6,IF(ISNUMBER(SEARCH(Assumptions!$C$7,G1735)),Assumptions!$D$7,"Other Services"))),"Other Services"))</f>
        <v/>
      </c>
    </row>
    <row r="1736" customFormat="false" ht="15" hidden="false" customHeight="false" outlineLevel="0" collapsed="false">
      <c r="E1736" s="41" t="str">
        <f aca="false">IF(D1736="","",IFERROR(VLOOKUP(D1736,Assumptions!$G$5:$H$16,2,0),"Other"))</f>
        <v/>
      </c>
      <c r="J1736" s="41" t="str">
        <f aca="false">IF(G1736="","",IFERROR(IF(ISNUMBER(SEARCH(Assumptions!$C$5,G1736)),Assumptions!$D$5,IF(ISNUMBER(SEARCH(Assumptions!$C$6,G1736)),Assumptions!$D$6,IF(ISNUMBER(SEARCH(Assumptions!$C$7,G1736)),Assumptions!$D$7,"Other Services"))),"Other Services"))</f>
        <v/>
      </c>
    </row>
    <row r="1737" customFormat="false" ht="15" hidden="false" customHeight="false" outlineLevel="0" collapsed="false">
      <c r="E1737" s="41" t="str">
        <f aca="false">IF(D1737="","",IFERROR(VLOOKUP(D1737,Assumptions!$G$5:$H$16,2,0),"Other"))</f>
        <v/>
      </c>
      <c r="J1737" s="41" t="str">
        <f aca="false">IF(G1737="","",IFERROR(IF(ISNUMBER(SEARCH(Assumptions!$C$5,G1737)),Assumptions!$D$5,IF(ISNUMBER(SEARCH(Assumptions!$C$6,G1737)),Assumptions!$D$6,IF(ISNUMBER(SEARCH(Assumptions!$C$7,G1737)),Assumptions!$D$7,"Other Services"))),"Other Services"))</f>
        <v/>
      </c>
    </row>
    <row r="1738" customFormat="false" ht="15" hidden="false" customHeight="false" outlineLevel="0" collapsed="false">
      <c r="E1738" s="41" t="str">
        <f aca="false">IF(D1738="","",IFERROR(VLOOKUP(D1738,Assumptions!$G$5:$H$16,2,0),"Other"))</f>
        <v/>
      </c>
      <c r="J1738" s="41" t="str">
        <f aca="false">IF(G1738="","",IFERROR(IF(ISNUMBER(SEARCH(Assumptions!$C$5,G1738)),Assumptions!$D$5,IF(ISNUMBER(SEARCH(Assumptions!$C$6,G1738)),Assumptions!$D$6,IF(ISNUMBER(SEARCH(Assumptions!$C$7,G1738)),Assumptions!$D$7,"Other Services"))),"Other Services"))</f>
        <v/>
      </c>
    </row>
    <row r="1739" customFormat="false" ht="15" hidden="false" customHeight="false" outlineLevel="0" collapsed="false">
      <c r="E1739" s="41" t="str">
        <f aca="false">IF(D1739="","",IFERROR(VLOOKUP(D1739,Assumptions!$G$5:$H$16,2,0),"Other"))</f>
        <v/>
      </c>
      <c r="J1739" s="41" t="str">
        <f aca="false">IF(G1739="","",IFERROR(IF(ISNUMBER(SEARCH(Assumptions!$C$5,G1739)),Assumptions!$D$5,IF(ISNUMBER(SEARCH(Assumptions!$C$6,G1739)),Assumptions!$D$6,IF(ISNUMBER(SEARCH(Assumptions!$C$7,G1739)),Assumptions!$D$7,"Other Services"))),"Other Services"))</f>
        <v/>
      </c>
    </row>
    <row r="1740" customFormat="false" ht="15" hidden="false" customHeight="false" outlineLevel="0" collapsed="false">
      <c r="E1740" s="41" t="str">
        <f aca="false">IF(D1740="","",IFERROR(VLOOKUP(D1740,Assumptions!$G$5:$H$16,2,0),"Other"))</f>
        <v/>
      </c>
      <c r="J1740" s="41" t="str">
        <f aca="false">IF(G1740="","",IFERROR(IF(ISNUMBER(SEARCH(Assumptions!$C$5,G1740)),Assumptions!$D$5,IF(ISNUMBER(SEARCH(Assumptions!$C$6,G1740)),Assumptions!$D$6,IF(ISNUMBER(SEARCH(Assumptions!$C$7,G1740)),Assumptions!$D$7,"Other Services"))),"Other Services"))</f>
        <v/>
      </c>
    </row>
    <row r="1741" customFormat="false" ht="15" hidden="false" customHeight="false" outlineLevel="0" collapsed="false">
      <c r="E1741" s="41" t="str">
        <f aca="false">IF(D1741="","",IFERROR(VLOOKUP(D1741,Assumptions!$G$5:$H$16,2,0),"Other"))</f>
        <v/>
      </c>
      <c r="J1741" s="41" t="str">
        <f aca="false">IF(G1741="","",IFERROR(IF(ISNUMBER(SEARCH(Assumptions!$C$5,G1741)),Assumptions!$D$5,IF(ISNUMBER(SEARCH(Assumptions!$C$6,G1741)),Assumptions!$D$6,IF(ISNUMBER(SEARCH(Assumptions!$C$7,G1741)),Assumptions!$D$7,"Other Services"))),"Other Services"))</f>
        <v/>
      </c>
    </row>
    <row r="1742" customFormat="false" ht="15" hidden="false" customHeight="false" outlineLevel="0" collapsed="false">
      <c r="E1742" s="41" t="str">
        <f aca="false">IF(D1742="","",IFERROR(VLOOKUP(D1742,Assumptions!$G$5:$H$16,2,0),"Other"))</f>
        <v/>
      </c>
      <c r="J1742" s="41" t="str">
        <f aca="false">IF(G1742="","",IFERROR(IF(ISNUMBER(SEARCH(Assumptions!$C$5,G1742)),Assumptions!$D$5,IF(ISNUMBER(SEARCH(Assumptions!$C$6,G1742)),Assumptions!$D$6,IF(ISNUMBER(SEARCH(Assumptions!$C$7,G1742)),Assumptions!$D$7,"Other Services"))),"Other Services"))</f>
        <v/>
      </c>
    </row>
    <row r="1743" customFormat="false" ht="15" hidden="false" customHeight="false" outlineLevel="0" collapsed="false">
      <c r="E1743" s="41" t="str">
        <f aca="false">IF(D1743="","",IFERROR(VLOOKUP(D1743,Assumptions!$G$5:$H$16,2,0),"Other"))</f>
        <v/>
      </c>
      <c r="J1743" s="41" t="str">
        <f aca="false">IF(G1743="","",IFERROR(IF(ISNUMBER(SEARCH(Assumptions!$C$5,G1743)),Assumptions!$D$5,IF(ISNUMBER(SEARCH(Assumptions!$C$6,G1743)),Assumptions!$D$6,IF(ISNUMBER(SEARCH(Assumptions!$C$7,G1743)),Assumptions!$D$7,"Other Services"))),"Other Services"))</f>
        <v/>
      </c>
    </row>
    <row r="1744" customFormat="false" ht="15" hidden="false" customHeight="false" outlineLevel="0" collapsed="false">
      <c r="E1744" s="41" t="str">
        <f aca="false">IF(D1744="","",IFERROR(VLOOKUP(D1744,Assumptions!$G$5:$H$16,2,0),"Other"))</f>
        <v/>
      </c>
      <c r="J1744" s="41" t="str">
        <f aca="false">IF(G1744="","",IFERROR(IF(ISNUMBER(SEARCH(Assumptions!$C$5,G1744)),Assumptions!$D$5,IF(ISNUMBER(SEARCH(Assumptions!$C$6,G1744)),Assumptions!$D$6,IF(ISNUMBER(SEARCH(Assumptions!$C$7,G1744)),Assumptions!$D$7,"Other Services"))),"Other Services"))</f>
        <v/>
      </c>
    </row>
    <row r="1745" customFormat="false" ht="15" hidden="false" customHeight="false" outlineLevel="0" collapsed="false">
      <c r="E1745" s="41" t="str">
        <f aca="false">IF(D1745="","",IFERROR(VLOOKUP(D1745,Assumptions!$G$5:$H$16,2,0),"Other"))</f>
        <v/>
      </c>
      <c r="J1745" s="41" t="str">
        <f aca="false">IF(G1745="","",IFERROR(IF(ISNUMBER(SEARCH(Assumptions!$C$5,G1745)),Assumptions!$D$5,IF(ISNUMBER(SEARCH(Assumptions!$C$6,G1745)),Assumptions!$D$6,IF(ISNUMBER(SEARCH(Assumptions!$C$7,G1745)),Assumptions!$D$7,"Other Services"))),"Other Services"))</f>
        <v/>
      </c>
    </row>
    <row r="1746" customFormat="false" ht="15" hidden="false" customHeight="false" outlineLevel="0" collapsed="false">
      <c r="E1746" s="41" t="str">
        <f aca="false">IF(D1746="","",IFERROR(VLOOKUP(D1746,Assumptions!$G$5:$H$16,2,0),"Other"))</f>
        <v/>
      </c>
      <c r="J1746" s="41" t="str">
        <f aca="false">IF(G1746="","",IFERROR(IF(ISNUMBER(SEARCH(Assumptions!$C$5,G1746)),Assumptions!$D$5,IF(ISNUMBER(SEARCH(Assumptions!$C$6,G1746)),Assumptions!$D$6,IF(ISNUMBER(SEARCH(Assumptions!$C$7,G1746)),Assumptions!$D$7,"Other Services"))),"Other Services"))</f>
        <v/>
      </c>
    </row>
    <row r="1747" customFormat="false" ht="15" hidden="false" customHeight="false" outlineLevel="0" collapsed="false">
      <c r="E1747" s="41" t="str">
        <f aca="false">IF(D1747="","",IFERROR(VLOOKUP(D1747,Assumptions!$G$5:$H$16,2,0),"Other"))</f>
        <v/>
      </c>
      <c r="J1747" s="41" t="str">
        <f aca="false">IF(G1747="","",IFERROR(IF(ISNUMBER(SEARCH(Assumptions!$C$5,G1747)),Assumptions!$D$5,IF(ISNUMBER(SEARCH(Assumptions!$C$6,G1747)),Assumptions!$D$6,IF(ISNUMBER(SEARCH(Assumptions!$C$7,G1747)),Assumptions!$D$7,"Other Services"))),"Other Services"))</f>
        <v/>
      </c>
    </row>
    <row r="1748" customFormat="false" ht="15" hidden="false" customHeight="false" outlineLevel="0" collapsed="false">
      <c r="E1748" s="41" t="str">
        <f aca="false">IF(D1748="","",IFERROR(VLOOKUP(D1748,Assumptions!$G$5:$H$16,2,0),"Other"))</f>
        <v/>
      </c>
      <c r="J1748" s="41" t="str">
        <f aca="false">IF(G1748="","",IFERROR(IF(ISNUMBER(SEARCH(Assumptions!$C$5,G1748)),Assumptions!$D$5,IF(ISNUMBER(SEARCH(Assumptions!$C$6,G1748)),Assumptions!$D$6,IF(ISNUMBER(SEARCH(Assumptions!$C$7,G1748)),Assumptions!$D$7,"Other Services"))),"Other Services"))</f>
        <v/>
      </c>
    </row>
    <row r="1749" customFormat="false" ht="15" hidden="false" customHeight="false" outlineLevel="0" collapsed="false">
      <c r="E1749" s="41" t="str">
        <f aca="false">IF(D1749="","",IFERROR(VLOOKUP(D1749,Assumptions!$G$5:$H$16,2,0),"Other"))</f>
        <v/>
      </c>
      <c r="J1749" s="41" t="str">
        <f aca="false">IF(G1749="","",IFERROR(IF(ISNUMBER(SEARCH(Assumptions!$C$5,G1749)),Assumptions!$D$5,IF(ISNUMBER(SEARCH(Assumptions!$C$6,G1749)),Assumptions!$D$6,IF(ISNUMBER(SEARCH(Assumptions!$C$7,G1749)),Assumptions!$D$7,"Other Services"))),"Other Services"))</f>
        <v/>
      </c>
    </row>
    <row r="1750" customFormat="false" ht="15" hidden="false" customHeight="false" outlineLevel="0" collapsed="false">
      <c r="E1750" s="41" t="str">
        <f aca="false">IF(D1750="","",IFERROR(VLOOKUP(D1750,Assumptions!$G$5:$H$16,2,0),"Other"))</f>
        <v/>
      </c>
      <c r="J1750" s="41" t="str">
        <f aca="false">IF(G1750="","",IFERROR(IF(ISNUMBER(SEARCH(Assumptions!$C$5,G1750)),Assumptions!$D$5,IF(ISNUMBER(SEARCH(Assumptions!$C$6,G1750)),Assumptions!$D$6,IF(ISNUMBER(SEARCH(Assumptions!$C$7,G1750)),Assumptions!$D$7,"Other Services"))),"Other Services"))</f>
        <v/>
      </c>
    </row>
    <row r="1751" customFormat="false" ht="15" hidden="false" customHeight="false" outlineLevel="0" collapsed="false">
      <c r="E1751" s="41" t="str">
        <f aca="false">IF(D1751="","",IFERROR(VLOOKUP(D1751,Assumptions!$G$5:$H$16,2,0),"Other"))</f>
        <v/>
      </c>
      <c r="J1751" s="41" t="str">
        <f aca="false">IF(G1751="","",IFERROR(IF(ISNUMBER(SEARCH(Assumptions!$C$5,G1751)),Assumptions!$D$5,IF(ISNUMBER(SEARCH(Assumptions!$C$6,G1751)),Assumptions!$D$6,IF(ISNUMBER(SEARCH(Assumptions!$C$7,G1751)),Assumptions!$D$7,"Other Services"))),"Other Services"))</f>
        <v/>
      </c>
    </row>
    <row r="1752" customFormat="false" ht="15" hidden="false" customHeight="false" outlineLevel="0" collapsed="false">
      <c r="E1752" s="41" t="str">
        <f aca="false">IF(D1752="","",IFERROR(VLOOKUP(D1752,Assumptions!$G$5:$H$16,2,0),"Other"))</f>
        <v/>
      </c>
      <c r="J1752" s="41" t="str">
        <f aca="false">IF(G1752="","",IFERROR(IF(ISNUMBER(SEARCH(Assumptions!$C$5,G1752)),Assumptions!$D$5,IF(ISNUMBER(SEARCH(Assumptions!$C$6,G1752)),Assumptions!$D$6,IF(ISNUMBER(SEARCH(Assumptions!$C$7,G1752)),Assumptions!$D$7,"Other Services"))),"Other Services"))</f>
        <v/>
      </c>
    </row>
    <row r="1753" customFormat="false" ht="15" hidden="false" customHeight="false" outlineLevel="0" collapsed="false">
      <c r="E1753" s="41" t="str">
        <f aca="false">IF(D1753="","",IFERROR(VLOOKUP(D1753,Assumptions!$G$5:$H$16,2,0),"Other"))</f>
        <v/>
      </c>
      <c r="J1753" s="41" t="str">
        <f aca="false">IF(G1753="","",IFERROR(IF(ISNUMBER(SEARCH(Assumptions!$C$5,G1753)),Assumptions!$D$5,IF(ISNUMBER(SEARCH(Assumptions!$C$6,G1753)),Assumptions!$D$6,IF(ISNUMBER(SEARCH(Assumptions!$C$7,G1753)),Assumptions!$D$7,"Other Services"))),"Other Services"))</f>
        <v/>
      </c>
    </row>
    <row r="1754" customFormat="false" ht="15" hidden="false" customHeight="false" outlineLevel="0" collapsed="false">
      <c r="E1754" s="41" t="str">
        <f aca="false">IF(D1754="","",IFERROR(VLOOKUP(D1754,Assumptions!$G$5:$H$16,2,0),"Other"))</f>
        <v/>
      </c>
      <c r="J1754" s="41" t="str">
        <f aca="false">IF(G1754="","",IFERROR(IF(ISNUMBER(SEARCH(Assumptions!$C$5,G1754)),Assumptions!$D$5,IF(ISNUMBER(SEARCH(Assumptions!$C$6,G1754)),Assumptions!$D$6,IF(ISNUMBER(SEARCH(Assumptions!$C$7,G1754)),Assumptions!$D$7,"Other Services"))),"Other Services"))</f>
        <v/>
      </c>
    </row>
    <row r="1755" customFormat="false" ht="15" hidden="false" customHeight="false" outlineLevel="0" collapsed="false">
      <c r="E1755" s="41" t="str">
        <f aca="false">IF(D1755="","",IFERROR(VLOOKUP(D1755,Assumptions!$G$5:$H$16,2,0),"Other"))</f>
        <v/>
      </c>
      <c r="J1755" s="41" t="str">
        <f aca="false">IF(G1755="","",IFERROR(IF(ISNUMBER(SEARCH(Assumptions!$C$5,G1755)),Assumptions!$D$5,IF(ISNUMBER(SEARCH(Assumptions!$C$6,G1755)),Assumptions!$D$6,IF(ISNUMBER(SEARCH(Assumptions!$C$7,G1755)),Assumptions!$D$7,"Other Services"))),"Other Services"))</f>
        <v/>
      </c>
    </row>
    <row r="1756" customFormat="false" ht="15" hidden="false" customHeight="false" outlineLevel="0" collapsed="false">
      <c r="E1756" s="41" t="str">
        <f aca="false">IF(D1756="","",IFERROR(VLOOKUP(D1756,Assumptions!$G$5:$H$16,2,0),"Other"))</f>
        <v/>
      </c>
      <c r="J1756" s="41" t="str">
        <f aca="false">IF(G1756="","",IFERROR(IF(ISNUMBER(SEARCH(Assumptions!$C$5,G1756)),Assumptions!$D$5,IF(ISNUMBER(SEARCH(Assumptions!$C$6,G1756)),Assumptions!$D$6,IF(ISNUMBER(SEARCH(Assumptions!$C$7,G1756)),Assumptions!$D$7,"Other Services"))),"Other Services"))</f>
        <v/>
      </c>
    </row>
    <row r="1757" customFormat="false" ht="15" hidden="false" customHeight="false" outlineLevel="0" collapsed="false">
      <c r="E1757" s="41" t="str">
        <f aca="false">IF(D1757="","",IFERROR(VLOOKUP(D1757,Assumptions!$G$5:$H$16,2,0),"Other"))</f>
        <v/>
      </c>
      <c r="J1757" s="41" t="str">
        <f aca="false">IF(G1757="","",IFERROR(IF(ISNUMBER(SEARCH(Assumptions!$C$5,G1757)),Assumptions!$D$5,IF(ISNUMBER(SEARCH(Assumptions!$C$6,G1757)),Assumptions!$D$6,IF(ISNUMBER(SEARCH(Assumptions!$C$7,G1757)),Assumptions!$D$7,"Other Services"))),"Other Services"))</f>
        <v/>
      </c>
    </row>
    <row r="1758" customFormat="false" ht="15" hidden="false" customHeight="false" outlineLevel="0" collapsed="false">
      <c r="E1758" s="41" t="str">
        <f aca="false">IF(D1758="","",IFERROR(VLOOKUP(D1758,Assumptions!$G$5:$H$16,2,0),"Other"))</f>
        <v/>
      </c>
      <c r="J1758" s="41" t="str">
        <f aca="false">IF(G1758="","",IFERROR(IF(ISNUMBER(SEARCH(Assumptions!$C$5,G1758)),Assumptions!$D$5,IF(ISNUMBER(SEARCH(Assumptions!$C$6,G1758)),Assumptions!$D$6,IF(ISNUMBER(SEARCH(Assumptions!$C$7,G1758)),Assumptions!$D$7,"Other Services"))),"Other Services"))</f>
        <v/>
      </c>
    </row>
    <row r="1759" customFormat="false" ht="15" hidden="false" customHeight="false" outlineLevel="0" collapsed="false">
      <c r="E1759" s="41" t="str">
        <f aca="false">IF(D1759="","",IFERROR(VLOOKUP(D1759,Assumptions!$G$5:$H$16,2,0),"Other"))</f>
        <v/>
      </c>
      <c r="J1759" s="41" t="str">
        <f aca="false">IF(G1759="","",IFERROR(IF(ISNUMBER(SEARCH(Assumptions!$C$5,G1759)),Assumptions!$D$5,IF(ISNUMBER(SEARCH(Assumptions!$C$6,G1759)),Assumptions!$D$6,IF(ISNUMBER(SEARCH(Assumptions!$C$7,G1759)),Assumptions!$D$7,"Other Services"))),"Other Services"))</f>
        <v/>
      </c>
    </row>
    <row r="1760" customFormat="false" ht="15" hidden="false" customHeight="false" outlineLevel="0" collapsed="false">
      <c r="E1760" s="41" t="str">
        <f aca="false">IF(D1760="","",IFERROR(VLOOKUP(D1760,Assumptions!$G$5:$H$16,2,0),"Other"))</f>
        <v/>
      </c>
      <c r="J1760" s="41" t="str">
        <f aca="false">IF(G1760="","",IFERROR(IF(ISNUMBER(SEARCH(Assumptions!$C$5,G1760)),Assumptions!$D$5,IF(ISNUMBER(SEARCH(Assumptions!$C$6,G1760)),Assumptions!$D$6,IF(ISNUMBER(SEARCH(Assumptions!$C$7,G1760)),Assumptions!$D$7,"Other Services"))),"Other Services"))</f>
        <v/>
      </c>
    </row>
    <row r="1761" customFormat="false" ht="15" hidden="false" customHeight="false" outlineLevel="0" collapsed="false">
      <c r="E1761" s="41" t="str">
        <f aca="false">IF(D1761="","",IFERROR(VLOOKUP(D1761,Assumptions!$G$5:$H$16,2,0),"Other"))</f>
        <v/>
      </c>
      <c r="J1761" s="41" t="str">
        <f aca="false">IF(G1761="","",IFERROR(IF(ISNUMBER(SEARCH(Assumptions!$C$5,G1761)),Assumptions!$D$5,IF(ISNUMBER(SEARCH(Assumptions!$C$6,G1761)),Assumptions!$D$6,IF(ISNUMBER(SEARCH(Assumptions!$C$7,G1761)),Assumptions!$D$7,"Other Services"))),"Other Services"))</f>
        <v/>
      </c>
    </row>
    <row r="1762" customFormat="false" ht="15" hidden="false" customHeight="false" outlineLevel="0" collapsed="false">
      <c r="E1762" s="41" t="str">
        <f aca="false">IF(D1762="","",IFERROR(VLOOKUP(D1762,Assumptions!$G$5:$H$16,2,0),"Other"))</f>
        <v/>
      </c>
      <c r="J1762" s="41" t="str">
        <f aca="false">IF(G1762="","",IFERROR(IF(ISNUMBER(SEARCH(Assumptions!$C$5,G1762)),Assumptions!$D$5,IF(ISNUMBER(SEARCH(Assumptions!$C$6,G1762)),Assumptions!$D$6,IF(ISNUMBER(SEARCH(Assumptions!$C$7,G1762)),Assumptions!$D$7,"Other Services"))),"Other Services"))</f>
        <v/>
      </c>
    </row>
    <row r="1763" customFormat="false" ht="15" hidden="false" customHeight="false" outlineLevel="0" collapsed="false">
      <c r="E1763" s="41" t="str">
        <f aca="false">IF(D1763="","",IFERROR(VLOOKUP(D1763,Assumptions!$G$5:$H$16,2,0),"Other"))</f>
        <v/>
      </c>
      <c r="J1763" s="41" t="str">
        <f aca="false">IF(G1763="","",IFERROR(IF(ISNUMBER(SEARCH(Assumptions!$C$5,G1763)),Assumptions!$D$5,IF(ISNUMBER(SEARCH(Assumptions!$C$6,G1763)),Assumptions!$D$6,IF(ISNUMBER(SEARCH(Assumptions!$C$7,G1763)),Assumptions!$D$7,"Other Services"))),"Other Services"))</f>
        <v/>
      </c>
    </row>
    <row r="1764" customFormat="false" ht="15" hidden="false" customHeight="false" outlineLevel="0" collapsed="false">
      <c r="E1764" s="41" t="str">
        <f aca="false">IF(D1764="","",IFERROR(VLOOKUP(D1764,Assumptions!$G$5:$H$16,2,0),"Other"))</f>
        <v/>
      </c>
      <c r="J1764" s="41" t="str">
        <f aca="false">IF(G1764="","",IFERROR(IF(ISNUMBER(SEARCH(Assumptions!$C$5,G1764)),Assumptions!$D$5,IF(ISNUMBER(SEARCH(Assumptions!$C$6,G1764)),Assumptions!$D$6,IF(ISNUMBER(SEARCH(Assumptions!$C$7,G1764)),Assumptions!$D$7,"Other Services"))),"Other Services"))</f>
        <v/>
      </c>
    </row>
    <row r="1765" customFormat="false" ht="15" hidden="false" customHeight="false" outlineLevel="0" collapsed="false">
      <c r="E1765" s="41" t="str">
        <f aca="false">IF(D1765="","",IFERROR(VLOOKUP(D1765,Assumptions!$G$5:$H$16,2,0),"Other"))</f>
        <v/>
      </c>
      <c r="J1765" s="41" t="str">
        <f aca="false">IF(G1765="","",IFERROR(IF(ISNUMBER(SEARCH(Assumptions!$C$5,G1765)),Assumptions!$D$5,IF(ISNUMBER(SEARCH(Assumptions!$C$6,G1765)),Assumptions!$D$6,IF(ISNUMBER(SEARCH(Assumptions!$C$7,G1765)),Assumptions!$D$7,"Other Services"))),"Other Services"))</f>
        <v/>
      </c>
    </row>
    <row r="1766" customFormat="false" ht="15" hidden="false" customHeight="false" outlineLevel="0" collapsed="false">
      <c r="E1766" s="41" t="str">
        <f aca="false">IF(D1766="","",IFERROR(VLOOKUP(D1766,Assumptions!$G$5:$H$16,2,0),"Other"))</f>
        <v/>
      </c>
      <c r="J1766" s="41" t="str">
        <f aca="false">IF(G1766="","",IFERROR(IF(ISNUMBER(SEARCH(Assumptions!$C$5,G1766)),Assumptions!$D$5,IF(ISNUMBER(SEARCH(Assumptions!$C$6,G1766)),Assumptions!$D$6,IF(ISNUMBER(SEARCH(Assumptions!$C$7,G1766)),Assumptions!$D$7,"Other Services"))),"Other Services"))</f>
        <v/>
      </c>
    </row>
    <row r="1767" customFormat="false" ht="15" hidden="false" customHeight="false" outlineLevel="0" collapsed="false">
      <c r="E1767" s="41" t="str">
        <f aca="false">IF(D1767="","",IFERROR(VLOOKUP(D1767,Assumptions!$G$5:$H$16,2,0),"Other"))</f>
        <v/>
      </c>
      <c r="J1767" s="41" t="str">
        <f aca="false">IF(G1767="","",IFERROR(IF(ISNUMBER(SEARCH(Assumptions!$C$5,G1767)),Assumptions!$D$5,IF(ISNUMBER(SEARCH(Assumptions!$C$6,G1767)),Assumptions!$D$6,IF(ISNUMBER(SEARCH(Assumptions!$C$7,G1767)),Assumptions!$D$7,"Other Services"))),"Other Services"))</f>
        <v/>
      </c>
    </row>
    <row r="1768" customFormat="false" ht="15" hidden="false" customHeight="false" outlineLevel="0" collapsed="false">
      <c r="E1768" s="41" t="str">
        <f aca="false">IF(D1768="","",IFERROR(VLOOKUP(D1768,Assumptions!$G$5:$H$16,2,0),"Other"))</f>
        <v/>
      </c>
      <c r="J1768" s="41" t="str">
        <f aca="false">IF(G1768="","",IFERROR(IF(ISNUMBER(SEARCH(Assumptions!$C$5,G1768)),Assumptions!$D$5,IF(ISNUMBER(SEARCH(Assumptions!$C$6,G1768)),Assumptions!$D$6,IF(ISNUMBER(SEARCH(Assumptions!$C$7,G1768)),Assumptions!$D$7,"Other Services"))),"Other Services"))</f>
        <v/>
      </c>
    </row>
    <row r="1769" customFormat="false" ht="15" hidden="false" customHeight="false" outlineLevel="0" collapsed="false">
      <c r="E1769" s="41" t="str">
        <f aca="false">IF(D1769="","",IFERROR(VLOOKUP(D1769,Assumptions!$G$5:$H$16,2,0),"Other"))</f>
        <v/>
      </c>
      <c r="J1769" s="41" t="str">
        <f aca="false">IF(G1769="","",IFERROR(IF(ISNUMBER(SEARCH(Assumptions!$C$5,G1769)),Assumptions!$D$5,IF(ISNUMBER(SEARCH(Assumptions!$C$6,G1769)),Assumptions!$D$6,IF(ISNUMBER(SEARCH(Assumptions!$C$7,G1769)),Assumptions!$D$7,"Other Services"))),"Other Services"))</f>
        <v/>
      </c>
    </row>
    <row r="1770" customFormat="false" ht="15" hidden="false" customHeight="false" outlineLevel="0" collapsed="false">
      <c r="E1770" s="41" t="str">
        <f aca="false">IF(D1770="","",IFERROR(VLOOKUP(D1770,Assumptions!$G$5:$H$16,2,0),"Other"))</f>
        <v/>
      </c>
      <c r="J1770" s="41" t="str">
        <f aca="false">IF(G1770="","",IFERROR(IF(ISNUMBER(SEARCH(Assumptions!$C$5,G1770)),Assumptions!$D$5,IF(ISNUMBER(SEARCH(Assumptions!$C$6,G1770)),Assumptions!$D$6,IF(ISNUMBER(SEARCH(Assumptions!$C$7,G1770)),Assumptions!$D$7,"Other Services"))),"Other Services"))</f>
        <v/>
      </c>
    </row>
    <row r="1771" customFormat="false" ht="15" hidden="false" customHeight="false" outlineLevel="0" collapsed="false">
      <c r="E1771" s="41" t="str">
        <f aca="false">IF(D1771="","",IFERROR(VLOOKUP(D1771,Assumptions!$G$5:$H$16,2,0),"Other"))</f>
        <v/>
      </c>
      <c r="J1771" s="41" t="str">
        <f aca="false">IF(G1771="","",IFERROR(IF(ISNUMBER(SEARCH(Assumptions!$C$5,G1771)),Assumptions!$D$5,IF(ISNUMBER(SEARCH(Assumptions!$C$6,G1771)),Assumptions!$D$6,IF(ISNUMBER(SEARCH(Assumptions!$C$7,G1771)),Assumptions!$D$7,"Other Services"))),"Other Services"))</f>
        <v/>
      </c>
    </row>
    <row r="1772" customFormat="false" ht="15" hidden="false" customHeight="false" outlineLevel="0" collapsed="false">
      <c r="E1772" s="41" t="str">
        <f aca="false">IF(D1772="","",IFERROR(VLOOKUP(D1772,Assumptions!$G$5:$H$16,2,0),"Other"))</f>
        <v/>
      </c>
      <c r="J1772" s="41" t="str">
        <f aca="false">IF(G1772="","",IFERROR(IF(ISNUMBER(SEARCH(Assumptions!$C$5,G1772)),Assumptions!$D$5,IF(ISNUMBER(SEARCH(Assumptions!$C$6,G1772)),Assumptions!$D$6,IF(ISNUMBER(SEARCH(Assumptions!$C$7,G1772)),Assumptions!$D$7,"Other Services"))),"Other Services"))</f>
        <v/>
      </c>
    </row>
    <row r="1773" customFormat="false" ht="15" hidden="false" customHeight="false" outlineLevel="0" collapsed="false">
      <c r="E1773" s="41" t="str">
        <f aca="false">IF(D1773="","",IFERROR(VLOOKUP(D1773,Assumptions!$G$5:$H$16,2,0),"Other"))</f>
        <v/>
      </c>
      <c r="J1773" s="41" t="str">
        <f aca="false">IF(G1773="","",IFERROR(IF(ISNUMBER(SEARCH(Assumptions!$C$5,G1773)),Assumptions!$D$5,IF(ISNUMBER(SEARCH(Assumptions!$C$6,G1773)),Assumptions!$D$6,IF(ISNUMBER(SEARCH(Assumptions!$C$7,G1773)),Assumptions!$D$7,"Other Services"))),"Other Services"))</f>
        <v/>
      </c>
    </row>
    <row r="1774" customFormat="false" ht="15" hidden="false" customHeight="false" outlineLevel="0" collapsed="false">
      <c r="E1774" s="41" t="str">
        <f aca="false">IF(D1774="","",IFERROR(VLOOKUP(D1774,Assumptions!$G$5:$H$16,2,0),"Other"))</f>
        <v/>
      </c>
      <c r="J1774" s="41" t="str">
        <f aca="false">IF(G1774="","",IFERROR(IF(ISNUMBER(SEARCH(Assumptions!$C$5,G1774)),Assumptions!$D$5,IF(ISNUMBER(SEARCH(Assumptions!$C$6,G1774)),Assumptions!$D$6,IF(ISNUMBER(SEARCH(Assumptions!$C$7,G1774)),Assumptions!$D$7,"Other Services"))),"Other Services"))</f>
        <v/>
      </c>
    </row>
    <row r="1775" customFormat="false" ht="15" hidden="false" customHeight="false" outlineLevel="0" collapsed="false">
      <c r="E1775" s="41" t="str">
        <f aca="false">IF(D1775="","",IFERROR(VLOOKUP(D1775,Assumptions!$G$5:$H$16,2,0),"Other"))</f>
        <v/>
      </c>
      <c r="J1775" s="41" t="str">
        <f aca="false">IF(G1775="","",IFERROR(IF(ISNUMBER(SEARCH(Assumptions!$C$5,G1775)),Assumptions!$D$5,IF(ISNUMBER(SEARCH(Assumptions!$C$6,G1775)),Assumptions!$D$6,IF(ISNUMBER(SEARCH(Assumptions!$C$7,G1775)),Assumptions!$D$7,"Other Services"))),"Other Services"))</f>
        <v/>
      </c>
    </row>
    <row r="1776" customFormat="false" ht="15" hidden="false" customHeight="false" outlineLevel="0" collapsed="false">
      <c r="E1776" s="41" t="str">
        <f aca="false">IF(D1776="","",IFERROR(VLOOKUP(D1776,Assumptions!$G$5:$H$16,2,0),"Other"))</f>
        <v/>
      </c>
      <c r="J1776" s="41" t="str">
        <f aca="false">IF(G1776="","",IFERROR(IF(ISNUMBER(SEARCH(Assumptions!$C$5,G1776)),Assumptions!$D$5,IF(ISNUMBER(SEARCH(Assumptions!$C$6,G1776)),Assumptions!$D$6,IF(ISNUMBER(SEARCH(Assumptions!$C$7,G1776)),Assumptions!$D$7,"Other Services"))),"Other Services"))</f>
        <v/>
      </c>
    </row>
    <row r="1777" customFormat="false" ht="15" hidden="false" customHeight="false" outlineLevel="0" collapsed="false">
      <c r="E1777" s="41" t="str">
        <f aca="false">IF(D1777="","",IFERROR(VLOOKUP(D1777,Assumptions!$G$5:$H$16,2,0),"Other"))</f>
        <v/>
      </c>
      <c r="J1777" s="41" t="str">
        <f aca="false">IF(G1777="","",IFERROR(IF(ISNUMBER(SEARCH(Assumptions!$C$5,G1777)),Assumptions!$D$5,IF(ISNUMBER(SEARCH(Assumptions!$C$6,G1777)),Assumptions!$D$6,IF(ISNUMBER(SEARCH(Assumptions!$C$7,G1777)),Assumptions!$D$7,"Other Services"))),"Other Services"))</f>
        <v/>
      </c>
    </row>
    <row r="1778" customFormat="false" ht="15" hidden="false" customHeight="false" outlineLevel="0" collapsed="false">
      <c r="E1778" s="41" t="str">
        <f aca="false">IF(D1778="","",IFERROR(VLOOKUP(D1778,Assumptions!$G$5:$H$16,2,0),"Other"))</f>
        <v/>
      </c>
      <c r="J1778" s="41" t="str">
        <f aca="false">IF(G1778="","",IFERROR(IF(ISNUMBER(SEARCH(Assumptions!$C$5,G1778)),Assumptions!$D$5,IF(ISNUMBER(SEARCH(Assumptions!$C$6,G1778)),Assumptions!$D$6,IF(ISNUMBER(SEARCH(Assumptions!$C$7,G1778)),Assumptions!$D$7,"Other Services"))),"Other Services"))</f>
        <v/>
      </c>
    </row>
    <row r="1779" customFormat="false" ht="15" hidden="false" customHeight="false" outlineLevel="0" collapsed="false">
      <c r="E1779" s="41" t="str">
        <f aca="false">IF(D1779="","",IFERROR(VLOOKUP(D1779,Assumptions!$G$5:$H$16,2,0),"Other"))</f>
        <v/>
      </c>
      <c r="J1779" s="41" t="str">
        <f aca="false">IF(G1779="","",IFERROR(IF(ISNUMBER(SEARCH(Assumptions!$C$5,G1779)),Assumptions!$D$5,IF(ISNUMBER(SEARCH(Assumptions!$C$6,G1779)),Assumptions!$D$6,IF(ISNUMBER(SEARCH(Assumptions!$C$7,G1779)),Assumptions!$D$7,"Other Services"))),"Other Services"))</f>
        <v/>
      </c>
    </row>
    <row r="1780" customFormat="false" ht="15" hidden="false" customHeight="false" outlineLevel="0" collapsed="false">
      <c r="E1780" s="41" t="str">
        <f aca="false">IF(D1780="","",IFERROR(VLOOKUP(D1780,Assumptions!$G$5:$H$16,2,0),"Other"))</f>
        <v/>
      </c>
      <c r="J1780" s="41" t="str">
        <f aca="false">IF(G1780="","",IFERROR(IF(ISNUMBER(SEARCH(Assumptions!$C$5,G1780)),Assumptions!$D$5,IF(ISNUMBER(SEARCH(Assumptions!$C$6,G1780)),Assumptions!$D$6,IF(ISNUMBER(SEARCH(Assumptions!$C$7,G1780)),Assumptions!$D$7,"Other Services"))),"Other Services"))</f>
        <v/>
      </c>
    </row>
    <row r="1781" customFormat="false" ht="15" hidden="false" customHeight="false" outlineLevel="0" collapsed="false">
      <c r="E1781" s="41" t="str">
        <f aca="false">IF(D1781="","",IFERROR(VLOOKUP(D1781,Assumptions!$G$5:$H$16,2,0),"Other"))</f>
        <v/>
      </c>
      <c r="J1781" s="41" t="str">
        <f aca="false">IF(G1781="","",IFERROR(IF(ISNUMBER(SEARCH(Assumptions!$C$5,G1781)),Assumptions!$D$5,IF(ISNUMBER(SEARCH(Assumptions!$C$6,G1781)),Assumptions!$D$6,IF(ISNUMBER(SEARCH(Assumptions!$C$7,G1781)),Assumptions!$D$7,"Other Services"))),"Other Services"))</f>
        <v/>
      </c>
    </row>
    <row r="1782" customFormat="false" ht="15" hidden="false" customHeight="false" outlineLevel="0" collapsed="false">
      <c r="E1782" s="41" t="str">
        <f aca="false">IF(D1782="","",IFERROR(VLOOKUP(D1782,Assumptions!$G$5:$H$16,2,0),"Other"))</f>
        <v/>
      </c>
      <c r="J1782" s="41" t="str">
        <f aca="false">IF(G1782="","",IFERROR(IF(ISNUMBER(SEARCH(Assumptions!$C$5,G1782)),Assumptions!$D$5,IF(ISNUMBER(SEARCH(Assumptions!$C$6,G1782)),Assumptions!$D$6,IF(ISNUMBER(SEARCH(Assumptions!$C$7,G1782)),Assumptions!$D$7,"Other Services"))),"Other Services"))</f>
        <v/>
      </c>
    </row>
    <row r="1783" customFormat="false" ht="15" hidden="false" customHeight="false" outlineLevel="0" collapsed="false">
      <c r="E1783" s="41" t="str">
        <f aca="false">IF(D1783="","",IFERROR(VLOOKUP(D1783,Assumptions!$G$5:$H$16,2,0),"Other"))</f>
        <v/>
      </c>
      <c r="J1783" s="41" t="str">
        <f aca="false">IF(G1783="","",IFERROR(IF(ISNUMBER(SEARCH(Assumptions!$C$5,G1783)),Assumptions!$D$5,IF(ISNUMBER(SEARCH(Assumptions!$C$6,G1783)),Assumptions!$D$6,IF(ISNUMBER(SEARCH(Assumptions!$C$7,G1783)),Assumptions!$D$7,"Other Services"))),"Other Services"))</f>
        <v/>
      </c>
    </row>
    <row r="1784" customFormat="false" ht="15" hidden="false" customHeight="false" outlineLevel="0" collapsed="false">
      <c r="E1784" s="41" t="str">
        <f aca="false">IF(D1784="","",IFERROR(VLOOKUP(D1784,Assumptions!$G$5:$H$16,2,0),"Other"))</f>
        <v/>
      </c>
      <c r="J1784" s="41" t="str">
        <f aca="false">IF(G1784="","",IFERROR(IF(ISNUMBER(SEARCH(Assumptions!$C$5,G1784)),Assumptions!$D$5,IF(ISNUMBER(SEARCH(Assumptions!$C$6,G1784)),Assumptions!$D$6,IF(ISNUMBER(SEARCH(Assumptions!$C$7,G1784)),Assumptions!$D$7,"Other Services"))),"Other Services"))</f>
        <v/>
      </c>
    </row>
    <row r="1785" customFormat="false" ht="15" hidden="false" customHeight="false" outlineLevel="0" collapsed="false">
      <c r="E1785" s="41" t="str">
        <f aca="false">IF(D1785="","",IFERROR(VLOOKUP(D1785,Assumptions!$G$5:$H$16,2,0),"Other"))</f>
        <v/>
      </c>
      <c r="J1785" s="41" t="str">
        <f aca="false">IF(G1785="","",IFERROR(IF(ISNUMBER(SEARCH(Assumptions!$C$5,G1785)),Assumptions!$D$5,IF(ISNUMBER(SEARCH(Assumptions!$C$6,G1785)),Assumptions!$D$6,IF(ISNUMBER(SEARCH(Assumptions!$C$7,G1785)),Assumptions!$D$7,"Other Services"))),"Other Services"))</f>
        <v/>
      </c>
    </row>
    <row r="1786" customFormat="false" ht="15" hidden="false" customHeight="false" outlineLevel="0" collapsed="false">
      <c r="E1786" s="41" t="str">
        <f aca="false">IF(D1786="","",IFERROR(VLOOKUP(D1786,Assumptions!$G$5:$H$16,2,0),"Other"))</f>
        <v/>
      </c>
      <c r="J1786" s="41" t="str">
        <f aca="false">IF(G1786="","",IFERROR(IF(ISNUMBER(SEARCH(Assumptions!$C$5,G1786)),Assumptions!$D$5,IF(ISNUMBER(SEARCH(Assumptions!$C$6,G1786)),Assumptions!$D$6,IF(ISNUMBER(SEARCH(Assumptions!$C$7,G1786)),Assumptions!$D$7,"Other Services"))),"Other Services"))</f>
        <v/>
      </c>
    </row>
    <row r="1787" customFormat="false" ht="15" hidden="false" customHeight="false" outlineLevel="0" collapsed="false">
      <c r="E1787" s="41" t="str">
        <f aca="false">IF(D1787="","",IFERROR(VLOOKUP(D1787,Assumptions!$G$5:$H$16,2,0),"Other"))</f>
        <v/>
      </c>
      <c r="J1787" s="41" t="str">
        <f aca="false">IF(G1787="","",IFERROR(IF(ISNUMBER(SEARCH(Assumptions!$C$5,G1787)),Assumptions!$D$5,IF(ISNUMBER(SEARCH(Assumptions!$C$6,G1787)),Assumptions!$D$6,IF(ISNUMBER(SEARCH(Assumptions!$C$7,G1787)),Assumptions!$D$7,"Other Services"))),"Other Services"))</f>
        <v/>
      </c>
    </row>
    <row r="1788" customFormat="false" ht="15" hidden="false" customHeight="false" outlineLevel="0" collapsed="false">
      <c r="E1788" s="41" t="str">
        <f aca="false">IF(D1788="","",IFERROR(VLOOKUP(D1788,Assumptions!$G$5:$H$16,2,0),"Other"))</f>
        <v/>
      </c>
      <c r="J1788" s="41" t="str">
        <f aca="false">IF(G1788="","",IFERROR(IF(ISNUMBER(SEARCH(Assumptions!$C$5,G1788)),Assumptions!$D$5,IF(ISNUMBER(SEARCH(Assumptions!$C$6,G1788)),Assumptions!$D$6,IF(ISNUMBER(SEARCH(Assumptions!$C$7,G1788)),Assumptions!$D$7,"Other Services"))),"Other Services"))</f>
        <v/>
      </c>
    </row>
    <row r="1789" customFormat="false" ht="15" hidden="false" customHeight="false" outlineLevel="0" collapsed="false">
      <c r="E1789" s="41" t="str">
        <f aca="false">IF(D1789="","",IFERROR(VLOOKUP(D1789,Assumptions!$G$5:$H$16,2,0),"Other"))</f>
        <v/>
      </c>
      <c r="J1789" s="41" t="str">
        <f aca="false">IF(G1789="","",IFERROR(IF(ISNUMBER(SEARCH(Assumptions!$C$5,G1789)),Assumptions!$D$5,IF(ISNUMBER(SEARCH(Assumptions!$C$6,G1789)),Assumptions!$D$6,IF(ISNUMBER(SEARCH(Assumptions!$C$7,G1789)),Assumptions!$D$7,"Other Services"))),"Other Services"))</f>
        <v/>
      </c>
    </row>
    <row r="1790" customFormat="false" ht="15" hidden="false" customHeight="false" outlineLevel="0" collapsed="false">
      <c r="E1790" s="41" t="str">
        <f aca="false">IF(D1790="","",IFERROR(VLOOKUP(D1790,Assumptions!$G$5:$H$16,2,0),"Other"))</f>
        <v/>
      </c>
      <c r="J1790" s="41" t="str">
        <f aca="false">IF(G1790="","",IFERROR(IF(ISNUMBER(SEARCH(Assumptions!$C$5,G1790)),Assumptions!$D$5,IF(ISNUMBER(SEARCH(Assumptions!$C$6,G1790)),Assumptions!$D$6,IF(ISNUMBER(SEARCH(Assumptions!$C$7,G1790)),Assumptions!$D$7,"Other Services"))),"Other Services"))</f>
        <v/>
      </c>
    </row>
    <row r="1791" customFormat="false" ht="15" hidden="false" customHeight="false" outlineLevel="0" collapsed="false">
      <c r="E1791" s="41" t="str">
        <f aca="false">IF(D1791="","",IFERROR(VLOOKUP(D1791,Assumptions!$G$5:$H$16,2,0),"Other"))</f>
        <v/>
      </c>
      <c r="J1791" s="41" t="str">
        <f aca="false">IF(G1791="","",IFERROR(IF(ISNUMBER(SEARCH(Assumptions!$C$5,G1791)),Assumptions!$D$5,IF(ISNUMBER(SEARCH(Assumptions!$C$6,G1791)),Assumptions!$D$6,IF(ISNUMBER(SEARCH(Assumptions!$C$7,G1791)),Assumptions!$D$7,"Other Services"))),"Other Services"))</f>
        <v/>
      </c>
    </row>
    <row r="1792" customFormat="false" ht="15" hidden="false" customHeight="false" outlineLevel="0" collapsed="false">
      <c r="E1792" s="41" t="str">
        <f aca="false">IF(D1792="","",IFERROR(VLOOKUP(D1792,Assumptions!$G$5:$H$16,2,0),"Other"))</f>
        <v/>
      </c>
      <c r="J1792" s="41" t="str">
        <f aca="false">IF(G1792="","",IFERROR(IF(ISNUMBER(SEARCH(Assumptions!$C$5,G1792)),Assumptions!$D$5,IF(ISNUMBER(SEARCH(Assumptions!$C$6,G1792)),Assumptions!$D$6,IF(ISNUMBER(SEARCH(Assumptions!$C$7,G1792)),Assumptions!$D$7,"Other Services"))),"Other Services"))</f>
        <v/>
      </c>
    </row>
    <row r="1793" customFormat="false" ht="15" hidden="false" customHeight="false" outlineLevel="0" collapsed="false">
      <c r="E1793" s="41" t="str">
        <f aca="false">IF(D1793="","",IFERROR(VLOOKUP(D1793,Assumptions!$G$5:$H$16,2,0),"Other"))</f>
        <v/>
      </c>
      <c r="J1793" s="41" t="str">
        <f aca="false">IF(G1793="","",IFERROR(IF(ISNUMBER(SEARCH(Assumptions!$C$5,G1793)),Assumptions!$D$5,IF(ISNUMBER(SEARCH(Assumptions!$C$6,G1793)),Assumptions!$D$6,IF(ISNUMBER(SEARCH(Assumptions!$C$7,G1793)),Assumptions!$D$7,"Other Services"))),"Other Services"))</f>
        <v/>
      </c>
    </row>
    <row r="1794" customFormat="false" ht="15" hidden="false" customHeight="false" outlineLevel="0" collapsed="false">
      <c r="E1794" s="41" t="str">
        <f aca="false">IF(D1794="","",IFERROR(VLOOKUP(D1794,Assumptions!$G$5:$H$16,2,0),"Other"))</f>
        <v/>
      </c>
      <c r="J1794" s="41" t="str">
        <f aca="false">IF(G1794="","",IFERROR(IF(ISNUMBER(SEARCH(Assumptions!$C$5,G1794)),Assumptions!$D$5,IF(ISNUMBER(SEARCH(Assumptions!$C$6,G1794)),Assumptions!$D$6,IF(ISNUMBER(SEARCH(Assumptions!$C$7,G1794)),Assumptions!$D$7,"Other Services"))),"Other Services"))</f>
        <v/>
      </c>
    </row>
    <row r="1795" customFormat="false" ht="15" hidden="false" customHeight="false" outlineLevel="0" collapsed="false">
      <c r="E1795" s="41" t="str">
        <f aca="false">IF(D1795="","",IFERROR(VLOOKUP(D1795,Assumptions!$G$5:$H$16,2,0),"Other"))</f>
        <v/>
      </c>
      <c r="J1795" s="41" t="str">
        <f aca="false">IF(G1795="","",IFERROR(IF(ISNUMBER(SEARCH(Assumptions!$C$5,G1795)),Assumptions!$D$5,IF(ISNUMBER(SEARCH(Assumptions!$C$6,G1795)),Assumptions!$D$6,IF(ISNUMBER(SEARCH(Assumptions!$C$7,G1795)),Assumptions!$D$7,"Other Services"))),"Other Services"))</f>
        <v/>
      </c>
    </row>
    <row r="1796" customFormat="false" ht="15" hidden="false" customHeight="false" outlineLevel="0" collapsed="false">
      <c r="E1796" s="41" t="str">
        <f aca="false">IF(D1796="","",IFERROR(VLOOKUP(D1796,Assumptions!$G$5:$H$16,2,0),"Other"))</f>
        <v/>
      </c>
      <c r="J1796" s="41" t="str">
        <f aca="false">IF(G1796="","",IFERROR(IF(ISNUMBER(SEARCH(Assumptions!$C$5,G1796)),Assumptions!$D$5,IF(ISNUMBER(SEARCH(Assumptions!$C$6,G1796)),Assumptions!$D$6,IF(ISNUMBER(SEARCH(Assumptions!$C$7,G1796)),Assumptions!$D$7,"Other Services"))),"Other Services"))</f>
        <v/>
      </c>
    </row>
    <row r="1797" customFormat="false" ht="15" hidden="false" customHeight="false" outlineLevel="0" collapsed="false">
      <c r="E1797" s="41" t="str">
        <f aca="false">IF(D1797="","",IFERROR(VLOOKUP(D1797,Assumptions!$G$5:$H$16,2,0),"Other"))</f>
        <v/>
      </c>
      <c r="J1797" s="41" t="str">
        <f aca="false">IF(G1797="","",IFERROR(IF(ISNUMBER(SEARCH(Assumptions!$C$5,G1797)),Assumptions!$D$5,IF(ISNUMBER(SEARCH(Assumptions!$C$6,G1797)),Assumptions!$D$6,IF(ISNUMBER(SEARCH(Assumptions!$C$7,G1797)),Assumptions!$D$7,"Other Services"))),"Other Services"))</f>
        <v/>
      </c>
    </row>
    <row r="1798" customFormat="false" ht="15" hidden="false" customHeight="false" outlineLevel="0" collapsed="false">
      <c r="E1798" s="41" t="str">
        <f aca="false">IF(D1798="","",IFERROR(VLOOKUP(D1798,Assumptions!$G$5:$H$16,2,0),"Other"))</f>
        <v/>
      </c>
      <c r="J1798" s="41" t="str">
        <f aca="false">IF(G1798="","",IFERROR(IF(ISNUMBER(SEARCH(Assumptions!$C$5,G1798)),Assumptions!$D$5,IF(ISNUMBER(SEARCH(Assumptions!$C$6,G1798)),Assumptions!$D$6,IF(ISNUMBER(SEARCH(Assumptions!$C$7,G1798)),Assumptions!$D$7,"Other Services"))),"Other Services"))</f>
        <v/>
      </c>
    </row>
    <row r="1799" customFormat="false" ht="15" hidden="false" customHeight="false" outlineLevel="0" collapsed="false">
      <c r="E1799" s="41" t="str">
        <f aca="false">IF(D1799="","",IFERROR(VLOOKUP(D1799,Assumptions!$G$5:$H$16,2,0),"Other"))</f>
        <v/>
      </c>
      <c r="J1799" s="41" t="str">
        <f aca="false">IF(G1799="","",IFERROR(IF(ISNUMBER(SEARCH(Assumptions!$C$5,G1799)),Assumptions!$D$5,IF(ISNUMBER(SEARCH(Assumptions!$C$6,G1799)),Assumptions!$D$6,IF(ISNUMBER(SEARCH(Assumptions!$C$7,G1799)),Assumptions!$D$7,"Other Services"))),"Other Services"))</f>
        <v/>
      </c>
    </row>
    <row r="1800" customFormat="false" ht="15" hidden="false" customHeight="false" outlineLevel="0" collapsed="false">
      <c r="E1800" s="41" t="str">
        <f aca="false">IF(D1800="","",IFERROR(VLOOKUP(D1800,Assumptions!$G$5:$H$16,2,0),"Other"))</f>
        <v/>
      </c>
      <c r="J1800" s="41" t="str">
        <f aca="false">IF(G1800="","",IFERROR(IF(ISNUMBER(SEARCH(Assumptions!$C$5,G1800)),Assumptions!$D$5,IF(ISNUMBER(SEARCH(Assumptions!$C$6,G1800)),Assumptions!$D$6,IF(ISNUMBER(SEARCH(Assumptions!$C$7,G1800)),Assumptions!$D$7,"Other Services"))),"Other Services"))</f>
        <v/>
      </c>
    </row>
    <row r="1801" customFormat="false" ht="15" hidden="false" customHeight="false" outlineLevel="0" collapsed="false">
      <c r="E1801" s="41" t="str">
        <f aca="false">IF(D1801="","",IFERROR(VLOOKUP(D1801,Assumptions!$G$5:$H$16,2,0),"Other"))</f>
        <v/>
      </c>
      <c r="J1801" s="41" t="str">
        <f aca="false">IF(G1801="","",IFERROR(IF(ISNUMBER(SEARCH(Assumptions!$C$5,G1801)),Assumptions!$D$5,IF(ISNUMBER(SEARCH(Assumptions!$C$6,G1801)),Assumptions!$D$6,IF(ISNUMBER(SEARCH(Assumptions!$C$7,G1801)),Assumptions!$D$7,"Other Services"))),"Other Services"))</f>
        <v/>
      </c>
    </row>
    <row r="1802" customFormat="false" ht="15" hidden="false" customHeight="false" outlineLevel="0" collapsed="false">
      <c r="E1802" s="41" t="str">
        <f aca="false">IF(D1802="","",IFERROR(VLOOKUP(D1802,Assumptions!$G$5:$H$16,2,0),"Other"))</f>
        <v/>
      </c>
      <c r="J1802" s="41" t="str">
        <f aca="false">IF(G1802="","",IFERROR(IF(ISNUMBER(SEARCH(Assumptions!$C$5,G1802)),Assumptions!$D$5,IF(ISNUMBER(SEARCH(Assumptions!$C$6,G1802)),Assumptions!$D$6,IF(ISNUMBER(SEARCH(Assumptions!$C$7,G1802)),Assumptions!$D$7,"Other Services"))),"Other Services"))</f>
        <v/>
      </c>
    </row>
    <row r="1803" customFormat="false" ht="15" hidden="false" customHeight="false" outlineLevel="0" collapsed="false">
      <c r="E1803" s="41" t="str">
        <f aca="false">IF(D1803="","",IFERROR(VLOOKUP(D1803,Assumptions!$G$5:$H$16,2,0),"Other"))</f>
        <v/>
      </c>
      <c r="J1803" s="41" t="str">
        <f aca="false">IF(G1803="","",IFERROR(IF(ISNUMBER(SEARCH(Assumptions!$C$5,G1803)),Assumptions!$D$5,IF(ISNUMBER(SEARCH(Assumptions!$C$6,G1803)),Assumptions!$D$6,IF(ISNUMBER(SEARCH(Assumptions!$C$7,G1803)),Assumptions!$D$7,"Other Services"))),"Other Services"))</f>
        <v/>
      </c>
    </row>
    <row r="1804" customFormat="false" ht="15" hidden="false" customHeight="false" outlineLevel="0" collapsed="false">
      <c r="E1804" s="41" t="str">
        <f aca="false">IF(D1804="","",IFERROR(VLOOKUP(D1804,Assumptions!$G$5:$H$16,2,0),"Other"))</f>
        <v/>
      </c>
      <c r="J1804" s="41" t="str">
        <f aca="false">IF(G1804="","",IFERROR(IF(ISNUMBER(SEARCH(Assumptions!$C$5,G1804)),Assumptions!$D$5,IF(ISNUMBER(SEARCH(Assumptions!$C$6,G1804)),Assumptions!$D$6,IF(ISNUMBER(SEARCH(Assumptions!$C$7,G1804)),Assumptions!$D$7,"Other Services"))),"Other Services"))</f>
        <v/>
      </c>
    </row>
    <row r="1805" customFormat="false" ht="15" hidden="false" customHeight="false" outlineLevel="0" collapsed="false">
      <c r="E1805" s="41" t="str">
        <f aca="false">IF(D1805="","",IFERROR(VLOOKUP(D1805,Assumptions!$G$5:$H$16,2,0),"Other"))</f>
        <v/>
      </c>
      <c r="J1805" s="41" t="str">
        <f aca="false">IF(G1805="","",IFERROR(IF(ISNUMBER(SEARCH(Assumptions!$C$5,G1805)),Assumptions!$D$5,IF(ISNUMBER(SEARCH(Assumptions!$C$6,G1805)),Assumptions!$D$6,IF(ISNUMBER(SEARCH(Assumptions!$C$7,G1805)),Assumptions!$D$7,"Other Services"))),"Other Services"))</f>
        <v/>
      </c>
    </row>
    <row r="1806" customFormat="false" ht="15" hidden="false" customHeight="false" outlineLevel="0" collapsed="false">
      <c r="E1806" s="41" t="str">
        <f aca="false">IF(D1806="","",IFERROR(VLOOKUP(D1806,Assumptions!$G$5:$H$16,2,0),"Other"))</f>
        <v/>
      </c>
      <c r="J1806" s="41" t="str">
        <f aca="false">IF(G1806="","",IFERROR(IF(ISNUMBER(SEARCH(Assumptions!$C$5,G1806)),Assumptions!$D$5,IF(ISNUMBER(SEARCH(Assumptions!$C$6,G1806)),Assumptions!$D$6,IF(ISNUMBER(SEARCH(Assumptions!$C$7,G1806)),Assumptions!$D$7,"Other Services"))),"Other Services"))</f>
        <v/>
      </c>
    </row>
    <row r="1807" customFormat="false" ht="15" hidden="false" customHeight="false" outlineLevel="0" collapsed="false">
      <c r="E1807" s="41" t="str">
        <f aca="false">IF(D1807="","",IFERROR(VLOOKUP(D1807,Assumptions!$G$5:$H$16,2,0),"Other"))</f>
        <v/>
      </c>
      <c r="J1807" s="41" t="str">
        <f aca="false">IF(G1807="","",IFERROR(IF(ISNUMBER(SEARCH(Assumptions!$C$5,G1807)),Assumptions!$D$5,IF(ISNUMBER(SEARCH(Assumptions!$C$6,G1807)),Assumptions!$D$6,IF(ISNUMBER(SEARCH(Assumptions!$C$7,G1807)),Assumptions!$D$7,"Other Services"))),"Other Services"))</f>
        <v/>
      </c>
    </row>
    <row r="1808" customFormat="false" ht="15" hidden="false" customHeight="false" outlineLevel="0" collapsed="false">
      <c r="E1808" s="41" t="str">
        <f aca="false">IF(D1808="","",IFERROR(VLOOKUP(D1808,Assumptions!$G$5:$H$16,2,0),"Other"))</f>
        <v/>
      </c>
      <c r="J1808" s="41" t="str">
        <f aca="false">IF(G1808="","",IFERROR(IF(ISNUMBER(SEARCH(Assumptions!$C$5,G1808)),Assumptions!$D$5,IF(ISNUMBER(SEARCH(Assumptions!$C$6,G1808)),Assumptions!$D$6,IF(ISNUMBER(SEARCH(Assumptions!$C$7,G1808)),Assumptions!$D$7,"Other Services"))),"Other Services"))</f>
        <v/>
      </c>
    </row>
    <row r="1809" customFormat="false" ht="15" hidden="false" customHeight="false" outlineLevel="0" collapsed="false">
      <c r="E1809" s="41" t="str">
        <f aca="false">IF(D1809="","",IFERROR(VLOOKUP(D1809,Assumptions!$G$5:$H$16,2,0),"Other"))</f>
        <v/>
      </c>
      <c r="J1809" s="41" t="str">
        <f aca="false">IF(G1809="","",IFERROR(IF(ISNUMBER(SEARCH(Assumptions!$C$5,G1809)),Assumptions!$D$5,IF(ISNUMBER(SEARCH(Assumptions!$C$6,G1809)),Assumptions!$D$6,IF(ISNUMBER(SEARCH(Assumptions!$C$7,G1809)),Assumptions!$D$7,"Other Services"))),"Other Services"))</f>
        <v/>
      </c>
    </row>
    <row r="1810" customFormat="false" ht="15" hidden="false" customHeight="false" outlineLevel="0" collapsed="false">
      <c r="E1810" s="41" t="str">
        <f aca="false">IF(D1810="","",IFERROR(VLOOKUP(D1810,Assumptions!$G$5:$H$16,2,0),"Other"))</f>
        <v/>
      </c>
      <c r="J1810" s="41" t="str">
        <f aca="false">IF(G1810="","",IFERROR(IF(ISNUMBER(SEARCH(Assumptions!$C$5,G1810)),Assumptions!$D$5,IF(ISNUMBER(SEARCH(Assumptions!$C$6,G1810)),Assumptions!$D$6,IF(ISNUMBER(SEARCH(Assumptions!$C$7,G1810)),Assumptions!$D$7,"Other Services"))),"Other Services"))</f>
        <v/>
      </c>
    </row>
    <row r="1811" customFormat="false" ht="15" hidden="false" customHeight="false" outlineLevel="0" collapsed="false">
      <c r="E1811" s="41" t="str">
        <f aca="false">IF(D1811="","",IFERROR(VLOOKUP(D1811,Assumptions!$G$5:$H$16,2,0),"Other"))</f>
        <v/>
      </c>
      <c r="J1811" s="41" t="str">
        <f aca="false">IF(G1811="","",IFERROR(IF(ISNUMBER(SEARCH(Assumptions!$C$5,G1811)),Assumptions!$D$5,IF(ISNUMBER(SEARCH(Assumptions!$C$6,G1811)),Assumptions!$D$6,IF(ISNUMBER(SEARCH(Assumptions!$C$7,G1811)),Assumptions!$D$7,"Other Services"))),"Other Services"))</f>
        <v/>
      </c>
    </row>
    <row r="1812" customFormat="false" ht="15" hidden="false" customHeight="false" outlineLevel="0" collapsed="false">
      <c r="E1812" s="41" t="str">
        <f aca="false">IF(D1812="","",IFERROR(VLOOKUP(D1812,Assumptions!$G$5:$H$16,2,0),"Other"))</f>
        <v/>
      </c>
      <c r="J1812" s="41" t="str">
        <f aca="false">IF(G1812="","",IFERROR(IF(ISNUMBER(SEARCH(Assumptions!$C$5,G1812)),Assumptions!$D$5,IF(ISNUMBER(SEARCH(Assumptions!$C$6,G1812)),Assumptions!$D$6,IF(ISNUMBER(SEARCH(Assumptions!$C$7,G1812)),Assumptions!$D$7,"Other Services"))),"Other Services"))</f>
        <v/>
      </c>
    </row>
    <row r="1813" customFormat="false" ht="15" hidden="false" customHeight="false" outlineLevel="0" collapsed="false">
      <c r="E1813" s="41" t="str">
        <f aca="false">IF(D1813="","",IFERROR(VLOOKUP(D1813,Assumptions!$G$5:$H$16,2,0),"Other"))</f>
        <v/>
      </c>
      <c r="J1813" s="41" t="str">
        <f aca="false">IF(G1813="","",IFERROR(IF(ISNUMBER(SEARCH(Assumptions!$C$5,G1813)),Assumptions!$D$5,IF(ISNUMBER(SEARCH(Assumptions!$C$6,G1813)),Assumptions!$D$6,IF(ISNUMBER(SEARCH(Assumptions!$C$7,G1813)),Assumptions!$D$7,"Other Services"))),"Other Services"))</f>
        <v/>
      </c>
    </row>
    <row r="1814" customFormat="false" ht="15" hidden="false" customHeight="false" outlineLevel="0" collapsed="false">
      <c r="E1814" s="41" t="str">
        <f aca="false">IF(D1814="","",IFERROR(VLOOKUP(D1814,Assumptions!$G$5:$H$16,2,0),"Other"))</f>
        <v/>
      </c>
      <c r="J1814" s="41" t="str">
        <f aca="false">IF(G1814="","",IFERROR(IF(ISNUMBER(SEARCH(Assumptions!$C$5,G1814)),Assumptions!$D$5,IF(ISNUMBER(SEARCH(Assumptions!$C$6,G1814)),Assumptions!$D$6,IF(ISNUMBER(SEARCH(Assumptions!$C$7,G1814)),Assumptions!$D$7,"Other Services"))),"Other Services"))</f>
        <v/>
      </c>
    </row>
    <row r="1815" customFormat="false" ht="15" hidden="false" customHeight="false" outlineLevel="0" collapsed="false">
      <c r="E1815" s="41" t="str">
        <f aca="false">IF(D1815="","",IFERROR(VLOOKUP(D1815,Assumptions!$G$5:$H$16,2,0),"Other"))</f>
        <v/>
      </c>
      <c r="J1815" s="41" t="str">
        <f aca="false">IF(G1815="","",IFERROR(IF(ISNUMBER(SEARCH(Assumptions!$C$5,G1815)),Assumptions!$D$5,IF(ISNUMBER(SEARCH(Assumptions!$C$6,G1815)),Assumptions!$D$6,IF(ISNUMBER(SEARCH(Assumptions!$C$7,G1815)),Assumptions!$D$7,"Other Services"))),"Other Services"))</f>
        <v/>
      </c>
    </row>
    <row r="1816" customFormat="false" ht="15" hidden="false" customHeight="false" outlineLevel="0" collapsed="false">
      <c r="E1816" s="41" t="str">
        <f aca="false">IF(D1816="","",IFERROR(VLOOKUP(D1816,Assumptions!$G$5:$H$16,2,0),"Other"))</f>
        <v/>
      </c>
      <c r="J1816" s="41" t="str">
        <f aca="false">IF(G1816="","",IFERROR(IF(ISNUMBER(SEARCH(Assumptions!$C$5,G1816)),Assumptions!$D$5,IF(ISNUMBER(SEARCH(Assumptions!$C$6,G1816)),Assumptions!$D$6,IF(ISNUMBER(SEARCH(Assumptions!$C$7,G1816)),Assumptions!$D$7,"Other Services"))),"Other Services"))</f>
        <v/>
      </c>
    </row>
    <row r="1817" customFormat="false" ht="15" hidden="false" customHeight="false" outlineLevel="0" collapsed="false">
      <c r="E1817" s="41" t="str">
        <f aca="false">IF(D1817="","",IFERROR(VLOOKUP(D1817,Assumptions!$G$5:$H$16,2,0),"Other"))</f>
        <v/>
      </c>
      <c r="J1817" s="41" t="str">
        <f aca="false">IF(G1817="","",IFERROR(IF(ISNUMBER(SEARCH(Assumptions!$C$5,G1817)),Assumptions!$D$5,IF(ISNUMBER(SEARCH(Assumptions!$C$6,G1817)),Assumptions!$D$6,IF(ISNUMBER(SEARCH(Assumptions!$C$7,G1817)),Assumptions!$D$7,"Other Services"))),"Other Services"))</f>
        <v/>
      </c>
    </row>
    <row r="1818" customFormat="false" ht="15" hidden="false" customHeight="false" outlineLevel="0" collapsed="false">
      <c r="E1818" s="41" t="str">
        <f aca="false">IF(D1818="","",IFERROR(VLOOKUP(D1818,Assumptions!$G$5:$H$16,2,0),"Other"))</f>
        <v/>
      </c>
      <c r="J1818" s="41" t="str">
        <f aca="false">IF(G1818="","",IFERROR(IF(ISNUMBER(SEARCH(Assumptions!$C$5,G1818)),Assumptions!$D$5,IF(ISNUMBER(SEARCH(Assumptions!$C$6,G1818)),Assumptions!$D$6,IF(ISNUMBER(SEARCH(Assumptions!$C$7,G1818)),Assumptions!$D$7,"Other Services"))),"Other Services"))</f>
        <v/>
      </c>
    </row>
    <row r="1819" customFormat="false" ht="15" hidden="false" customHeight="false" outlineLevel="0" collapsed="false">
      <c r="E1819" s="41" t="str">
        <f aca="false">IF(D1819="","",IFERROR(VLOOKUP(D1819,Assumptions!$G$5:$H$16,2,0),"Other"))</f>
        <v/>
      </c>
      <c r="J1819" s="41" t="str">
        <f aca="false">IF(G1819="","",IFERROR(IF(ISNUMBER(SEARCH(Assumptions!$C$5,G1819)),Assumptions!$D$5,IF(ISNUMBER(SEARCH(Assumptions!$C$6,G1819)),Assumptions!$D$6,IF(ISNUMBER(SEARCH(Assumptions!$C$7,G1819)),Assumptions!$D$7,"Other Services"))),"Other Services"))</f>
        <v/>
      </c>
    </row>
    <row r="1820" customFormat="false" ht="15" hidden="false" customHeight="false" outlineLevel="0" collapsed="false">
      <c r="E1820" s="41" t="str">
        <f aca="false">IF(D1820="","",IFERROR(VLOOKUP(D1820,Assumptions!$G$5:$H$16,2,0),"Other"))</f>
        <v/>
      </c>
      <c r="J1820" s="41" t="str">
        <f aca="false">IF(G1820="","",IFERROR(IF(ISNUMBER(SEARCH(Assumptions!$C$5,G1820)),Assumptions!$D$5,IF(ISNUMBER(SEARCH(Assumptions!$C$6,G1820)),Assumptions!$D$6,IF(ISNUMBER(SEARCH(Assumptions!$C$7,G1820)),Assumptions!$D$7,"Other Services"))),"Other Services"))</f>
        <v/>
      </c>
    </row>
    <row r="1821" customFormat="false" ht="15" hidden="false" customHeight="false" outlineLevel="0" collapsed="false">
      <c r="E1821" s="41" t="str">
        <f aca="false">IF(D1821="","",IFERROR(VLOOKUP(D1821,Assumptions!$G$5:$H$16,2,0),"Other"))</f>
        <v/>
      </c>
      <c r="J1821" s="41" t="str">
        <f aca="false">IF(G1821="","",IFERROR(IF(ISNUMBER(SEARCH(Assumptions!$C$5,G1821)),Assumptions!$D$5,IF(ISNUMBER(SEARCH(Assumptions!$C$6,G1821)),Assumptions!$D$6,IF(ISNUMBER(SEARCH(Assumptions!$C$7,G1821)),Assumptions!$D$7,"Other Services"))),"Other Services"))</f>
        <v/>
      </c>
    </row>
    <row r="1822" customFormat="false" ht="15" hidden="false" customHeight="false" outlineLevel="0" collapsed="false">
      <c r="E1822" s="41" t="str">
        <f aca="false">IF(D1822="","",IFERROR(VLOOKUP(D1822,Assumptions!$G$5:$H$16,2,0),"Other"))</f>
        <v/>
      </c>
      <c r="J1822" s="41" t="str">
        <f aca="false">IF(G1822="","",IFERROR(IF(ISNUMBER(SEARCH(Assumptions!$C$5,G1822)),Assumptions!$D$5,IF(ISNUMBER(SEARCH(Assumptions!$C$6,G1822)),Assumptions!$D$6,IF(ISNUMBER(SEARCH(Assumptions!$C$7,G1822)),Assumptions!$D$7,"Other Services"))),"Other Services"))</f>
        <v/>
      </c>
    </row>
    <row r="1823" customFormat="false" ht="15" hidden="false" customHeight="false" outlineLevel="0" collapsed="false">
      <c r="E1823" s="41" t="str">
        <f aca="false">IF(D1823="","",IFERROR(VLOOKUP(D1823,Assumptions!$G$5:$H$16,2,0),"Other"))</f>
        <v/>
      </c>
      <c r="J1823" s="41" t="str">
        <f aca="false">IF(G1823="","",IFERROR(IF(ISNUMBER(SEARCH(Assumptions!$C$5,G1823)),Assumptions!$D$5,IF(ISNUMBER(SEARCH(Assumptions!$C$6,G1823)),Assumptions!$D$6,IF(ISNUMBER(SEARCH(Assumptions!$C$7,G1823)),Assumptions!$D$7,"Other Services"))),"Other Services"))</f>
        <v/>
      </c>
    </row>
    <row r="1824" customFormat="false" ht="15" hidden="false" customHeight="false" outlineLevel="0" collapsed="false">
      <c r="E1824" s="41" t="str">
        <f aca="false">IF(D1824="","",IFERROR(VLOOKUP(D1824,Assumptions!$G$5:$H$16,2,0),"Other"))</f>
        <v/>
      </c>
      <c r="J1824" s="41" t="str">
        <f aca="false">IF(G1824="","",IFERROR(IF(ISNUMBER(SEARCH(Assumptions!$C$5,G1824)),Assumptions!$D$5,IF(ISNUMBER(SEARCH(Assumptions!$C$6,G1824)),Assumptions!$D$6,IF(ISNUMBER(SEARCH(Assumptions!$C$7,G1824)),Assumptions!$D$7,"Other Services"))),"Other Services"))</f>
        <v/>
      </c>
    </row>
    <row r="1825" customFormat="false" ht="15" hidden="false" customHeight="false" outlineLevel="0" collapsed="false">
      <c r="E1825" s="41" t="str">
        <f aca="false">IF(D1825="","",IFERROR(VLOOKUP(D1825,Assumptions!$G$5:$H$16,2,0),"Other"))</f>
        <v/>
      </c>
      <c r="J1825" s="41" t="str">
        <f aca="false">IF(G1825="","",IFERROR(IF(ISNUMBER(SEARCH(Assumptions!$C$5,G1825)),Assumptions!$D$5,IF(ISNUMBER(SEARCH(Assumptions!$C$6,G1825)),Assumptions!$D$6,IF(ISNUMBER(SEARCH(Assumptions!$C$7,G1825)),Assumptions!$D$7,"Other Services"))),"Other Services"))</f>
        <v/>
      </c>
    </row>
    <row r="1826" customFormat="false" ht="15" hidden="false" customHeight="false" outlineLevel="0" collapsed="false">
      <c r="E1826" s="41" t="str">
        <f aca="false">IF(D1826="","",IFERROR(VLOOKUP(D1826,Assumptions!$G$5:$H$16,2,0),"Other"))</f>
        <v/>
      </c>
      <c r="J1826" s="41" t="str">
        <f aca="false">IF(G1826="","",IFERROR(IF(ISNUMBER(SEARCH(Assumptions!$C$5,G1826)),Assumptions!$D$5,IF(ISNUMBER(SEARCH(Assumptions!$C$6,G1826)),Assumptions!$D$6,IF(ISNUMBER(SEARCH(Assumptions!$C$7,G1826)),Assumptions!$D$7,"Other Services"))),"Other Services"))</f>
        <v/>
      </c>
    </row>
    <row r="1827" customFormat="false" ht="15" hidden="false" customHeight="false" outlineLevel="0" collapsed="false">
      <c r="E1827" s="41" t="str">
        <f aca="false">IF(D1827="","",IFERROR(VLOOKUP(D1827,Assumptions!$G$5:$H$16,2,0),"Other"))</f>
        <v/>
      </c>
      <c r="J1827" s="41" t="str">
        <f aca="false">IF(G1827="","",IFERROR(IF(ISNUMBER(SEARCH(Assumptions!$C$5,G1827)),Assumptions!$D$5,IF(ISNUMBER(SEARCH(Assumptions!$C$6,G1827)),Assumptions!$D$6,IF(ISNUMBER(SEARCH(Assumptions!$C$7,G1827)),Assumptions!$D$7,"Other Services"))),"Other Services"))</f>
        <v/>
      </c>
    </row>
    <row r="1828" customFormat="false" ht="15" hidden="false" customHeight="false" outlineLevel="0" collapsed="false">
      <c r="E1828" s="41" t="str">
        <f aca="false">IF(D1828="","",IFERROR(VLOOKUP(D1828,Assumptions!$G$5:$H$16,2,0),"Other"))</f>
        <v/>
      </c>
      <c r="J1828" s="41" t="str">
        <f aca="false">IF(G1828="","",IFERROR(IF(ISNUMBER(SEARCH(Assumptions!$C$5,G1828)),Assumptions!$D$5,IF(ISNUMBER(SEARCH(Assumptions!$C$6,G1828)),Assumptions!$D$6,IF(ISNUMBER(SEARCH(Assumptions!$C$7,G1828)),Assumptions!$D$7,"Other Services"))),"Other Services"))</f>
        <v/>
      </c>
    </row>
    <row r="1829" customFormat="false" ht="15" hidden="false" customHeight="false" outlineLevel="0" collapsed="false">
      <c r="E1829" s="41" t="str">
        <f aca="false">IF(D1829="","",IFERROR(VLOOKUP(D1829,Assumptions!$G$5:$H$16,2,0),"Other"))</f>
        <v/>
      </c>
      <c r="J1829" s="41" t="str">
        <f aca="false">IF(G1829="","",IFERROR(IF(ISNUMBER(SEARCH(Assumptions!$C$5,G1829)),Assumptions!$D$5,IF(ISNUMBER(SEARCH(Assumptions!$C$6,G1829)),Assumptions!$D$6,IF(ISNUMBER(SEARCH(Assumptions!$C$7,G1829)),Assumptions!$D$7,"Other Services"))),"Other Services"))</f>
        <v/>
      </c>
    </row>
    <row r="1830" customFormat="false" ht="15" hidden="false" customHeight="false" outlineLevel="0" collapsed="false">
      <c r="E1830" s="41" t="str">
        <f aca="false">IF(D1830="","",IFERROR(VLOOKUP(D1830,Assumptions!$G$5:$H$16,2,0),"Other"))</f>
        <v/>
      </c>
      <c r="J1830" s="41" t="str">
        <f aca="false">IF(G1830="","",IFERROR(IF(ISNUMBER(SEARCH(Assumptions!$C$5,G1830)),Assumptions!$D$5,IF(ISNUMBER(SEARCH(Assumptions!$C$6,G1830)),Assumptions!$D$6,IF(ISNUMBER(SEARCH(Assumptions!$C$7,G1830)),Assumptions!$D$7,"Other Services"))),"Other Services"))</f>
        <v/>
      </c>
    </row>
    <row r="1831" customFormat="false" ht="15" hidden="false" customHeight="false" outlineLevel="0" collapsed="false">
      <c r="E1831" s="41" t="str">
        <f aca="false">IF(D1831="","",IFERROR(VLOOKUP(D1831,Assumptions!$G$5:$H$16,2,0),"Other"))</f>
        <v/>
      </c>
      <c r="J1831" s="41" t="str">
        <f aca="false">IF(G1831="","",IFERROR(IF(ISNUMBER(SEARCH(Assumptions!$C$5,G1831)),Assumptions!$D$5,IF(ISNUMBER(SEARCH(Assumptions!$C$6,G1831)),Assumptions!$D$6,IF(ISNUMBER(SEARCH(Assumptions!$C$7,G1831)),Assumptions!$D$7,"Other Services"))),"Other Services"))</f>
        <v/>
      </c>
    </row>
    <row r="1832" customFormat="false" ht="15" hidden="false" customHeight="false" outlineLevel="0" collapsed="false">
      <c r="E1832" s="41" t="str">
        <f aca="false">IF(D1832="","",IFERROR(VLOOKUP(D1832,Assumptions!$G$5:$H$16,2,0),"Other"))</f>
        <v/>
      </c>
      <c r="J1832" s="41" t="str">
        <f aca="false">IF(G1832="","",IFERROR(IF(ISNUMBER(SEARCH(Assumptions!$C$5,G1832)),Assumptions!$D$5,IF(ISNUMBER(SEARCH(Assumptions!$C$6,G1832)),Assumptions!$D$6,IF(ISNUMBER(SEARCH(Assumptions!$C$7,G1832)),Assumptions!$D$7,"Other Services"))),"Other Services"))</f>
        <v/>
      </c>
    </row>
    <row r="1833" customFormat="false" ht="15" hidden="false" customHeight="false" outlineLevel="0" collapsed="false">
      <c r="E1833" s="41" t="str">
        <f aca="false">IF(D1833="","",IFERROR(VLOOKUP(D1833,Assumptions!$G$5:$H$16,2,0),"Other"))</f>
        <v/>
      </c>
      <c r="J1833" s="41" t="str">
        <f aca="false">IF(G1833="","",IFERROR(IF(ISNUMBER(SEARCH(Assumptions!$C$5,G1833)),Assumptions!$D$5,IF(ISNUMBER(SEARCH(Assumptions!$C$6,G1833)),Assumptions!$D$6,IF(ISNUMBER(SEARCH(Assumptions!$C$7,G1833)),Assumptions!$D$7,"Other Services"))),"Other Services"))</f>
        <v/>
      </c>
    </row>
    <row r="1834" customFormat="false" ht="15" hidden="false" customHeight="false" outlineLevel="0" collapsed="false">
      <c r="E1834" s="41" t="str">
        <f aca="false">IF(D1834="","",IFERROR(VLOOKUP(D1834,Assumptions!$G$5:$H$16,2,0),"Other"))</f>
        <v/>
      </c>
      <c r="J1834" s="41" t="str">
        <f aca="false">IF(G1834="","",IFERROR(IF(ISNUMBER(SEARCH(Assumptions!$C$5,G1834)),Assumptions!$D$5,IF(ISNUMBER(SEARCH(Assumptions!$C$6,G1834)),Assumptions!$D$6,IF(ISNUMBER(SEARCH(Assumptions!$C$7,G1834)),Assumptions!$D$7,"Other Services"))),"Other Services"))</f>
        <v/>
      </c>
    </row>
    <row r="1835" customFormat="false" ht="15" hidden="false" customHeight="false" outlineLevel="0" collapsed="false">
      <c r="E1835" s="41" t="str">
        <f aca="false">IF(D1835="","",IFERROR(VLOOKUP(D1835,Assumptions!$G$5:$H$16,2,0),"Other"))</f>
        <v/>
      </c>
      <c r="J1835" s="41" t="str">
        <f aca="false">IF(G1835="","",IFERROR(IF(ISNUMBER(SEARCH(Assumptions!$C$5,G1835)),Assumptions!$D$5,IF(ISNUMBER(SEARCH(Assumptions!$C$6,G1835)),Assumptions!$D$6,IF(ISNUMBER(SEARCH(Assumptions!$C$7,G1835)),Assumptions!$D$7,"Other Services"))),"Other Services"))</f>
        <v/>
      </c>
    </row>
    <row r="1836" customFormat="false" ht="15" hidden="false" customHeight="false" outlineLevel="0" collapsed="false">
      <c r="E1836" s="41" t="str">
        <f aca="false">IF(D1836="","",IFERROR(VLOOKUP(D1836,Assumptions!$G$5:$H$16,2,0),"Other"))</f>
        <v/>
      </c>
      <c r="J1836" s="41" t="str">
        <f aca="false">IF(G1836="","",IFERROR(IF(ISNUMBER(SEARCH(Assumptions!$C$5,G1836)),Assumptions!$D$5,IF(ISNUMBER(SEARCH(Assumptions!$C$6,G1836)),Assumptions!$D$6,IF(ISNUMBER(SEARCH(Assumptions!$C$7,G1836)),Assumptions!$D$7,"Other Services"))),"Other Services"))</f>
        <v/>
      </c>
    </row>
    <row r="1837" customFormat="false" ht="15" hidden="false" customHeight="false" outlineLevel="0" collapsed="false">
      <c r="E1837" s="41" t="str">
        <f aca="false">IF(D1837="","",IFERROR(VLOOKUP(D1837,Assumptions!$G$5:$H$16,2,0),"Other"))</f>
        <v/>
      </c>
      <c r="J1837" s="41" t="str">
        <f aca="false">IF(G1837="","",IFERROR(IF(ISNUMBER(SEARCH(Assumptions!$C$5,G1837)),Assumptions!$D$5,IF(ISNUMBER(SEARCH(Assumptions!$C$6,G1837)),Assumptions!$D$6,IF(ISNUMBER(SEARCH(Assumptions!$C$7,G1837)),Assumptions!$D$7,"Other Services"))),"Other Services"))</f>
        <v/>
      </c>
    </row>
    <row r="1838" customFormat="false" ht="15" hidden="false" customHeight="false" outlineLevel="0" collapsed="false">
      <c r="E1838" s="41" t="str">
        <f aca="false">IF(D1838="","",IFERROR(VLOOKUP(D1838,Assumptions!$G$5:$H$16,2,0),"Other"))</f>
        <v/>
      </c>
      <c r="J1838" s="41" t="str">
        <f aca="false">IF(G1838="","",IFERROR(IF(ISNUMBER(SEARCH(Assumptions!$C$5,G1838)),Assumptions!$D$5,IF(ISNUMBER(SEARCH(Assumptions!$C$6,G1838)),Assumptions!$D$6,IF(ISNUMBER(SEARCH(Assumptions!$C$7,G1838)),Assumptions!$D$7,"Other Services"))),"Other Services"))</f>
        <v/>
      </c>
    </row>
    <row r="1839" customFormat="false" ht="15" hidden="false" customHeight="false" outlineLevel="0" collapsed="false">
      <c r="E1839" s="41" t="str">
        <f aca="false">IF(D1839="","",IFERROR(VLOOKUP(D1839,Assumptions!$G$5:$H$16,2,0),"Other"))</f>
        <v/>
      </c>
      <c r="J1839" s="41" t="str">
        <f aca="false">IF(G1839="","",IFERROR(IF(ISNUMBER(SEARCH(Assumptions!$C$5,G1839)),Assumptions!$D$5,IF(ISNUMBER(SEARCH(Assumptions!$C$6,G1839)),Assumptions!$D$6,IF(ISNUMBER(SEARCH(Assumptions!$C$7,G1839)),Assumptions!$D$7,"Other Services"))),"Other Services"))</f>
        <v/>
      </c>
    </row>
    <row r="1840" customFormat="false" ht="15" hidden="false" customHeight="false" outlineLevel="0" collapsed="false">
      <c r="E1840" s="41" t="str">
        <f aca="false">IF(D1840="","",IFERROR(VLOOKUP(D1840,Assumptions!$G$5:$H$16,2,0),"Other"))</f>
        <v/>
      </c>
      <c r="J1840" s="41" t="str">
        <f aca="false">IF(G1840="","",IFERROR(IF(ISNUMBER(SEARCH(Assumptions!$C$5,G1840)),Assumptions!$D$5,IF(ISNUMBER(SEARCH(Assumptions!$C$6,G1840)),Assumptions!$D$6,IF(ISNUMBER(SEARCH(Assumptions!$C$7,G1840)),Assumptions!$D$7,"Other Services"))),"Other Services"))</f>
        <v/>
      </c>
    </row>
    <row r="1841" customFormat="false" ht="15" hidden="false" customHeight="false" outlineLevel="0" collapsed="false">
      <c r="E1841" s="41" t="str">
        <f aca="false">IF(D1841="","",IFERROR(VLOOKUP(D1841,Assumptions!$G$5:$H$16,2,0),"Other"))</f>
        <v/>
      </c>
      <c r="J1841" s="41" t="str">
        <f aca="false">IF(G1841="","",IFERROR(IF(ISNUMBER(SEARCH(Assumptions!$C$5,G1841)),Assumptions!$D$5,IF(ISNUMBER(SEARCH(Assumptions!$C$6,G1841)),Assumptions!$D$6,IF(ISNUMBER(SEARCH(Assumptions!$C$7,G1841)),Assumptions!$D$7,"Other Services"))),"Other Services"))</f>
        <v/>
      </c>
    </row>
    <row r="1842" customFormat="false" ht="15" hidden="false" customHeight="false" outlineLevel="0" collapsed="false">
      <c r="E1842" s="41" t="str">
        <f aca="false">IF(D1842="","",IFERROR(VLOOKUP(D1842,Assumptions!$G$5:$H$16,2,0),"Other"))</f>
        <v/>
      </c>
      <c r="J1842" s="41" t="str">
        <f aca="false">IF(G1842="","",IFERROR(IF(ISNUMBER(SEARCH(Assumptions!$C$5,G1842)),Assumptions!$D$5,IF(ISNUMBER(SEARCH(Assumptions!$C$6,G1842)),Assumptions!$D$6,IF(ISNUMBER(SEARCH(Assumptions!$C$7,G1842)),Assumptions!$D$7,"Other Services"))),"Other Services"))</f>
        <v/>
      </c>
    </row>
    <row r="1843" customFormat="false" ht="15" hidden="false" customHeight="false" outlineLevel="0" collapsed="false">
      <c r="E1843" s="41" t="str">
        <f aca="false">IF(D1843="","",IFERROR(VLOOKUP(D1843,Assumptions!$G$5:$H$16,2,0),"Other"))</f>
        <v/>
      </c>
      <c r="J1843" s="41" t="str">
        <f aca="false">IF(G1843="","",IFERROR(IF(ISNUMBER(SEARCH(Assumptions!$C$5,G1843)),Assumptions!$D$5,IF(ISNUMBER(SEARCH(Assumptions!$C$6,G1843)),Assumptions!$D$6,IF(ISNUMBER(SEARCH(Assumptions!$C$7,G1843)),Assumptions!$D$7,"Other Services"))),"Other Services"))</f>
        <v/>
      </c>
    </row>
    <row r="1844" customFormat="false" ht="15" hidden="false" customHeight="false" outlineLevel="0" collapsed="false">
      <c r="E1844" s="41" t="str">
        <f aca="false">IF(D1844="","",IFERROR(VLOOKUP(D1844,Assumptions!$G$5:$H$16,2,0),"Other"))</f>
        <v/>
      </c>
      <c r="J1844" s="41" t="str">
        <f aca="false">IF(G1844="","",IFERROR(IF(ISNUMBER(SEARCH(Assumptions!$C$5,G1844)),Assumptions!$D$5,IF(ISNUMBER(SEARCH(Assumptions!$C$6,G1844)),Assumptions!$D$6,IF(ISNUMBER(SEARCH(Assumptions!$C$7,G1844)),Assumptions!$D$7,"Other Services"))),"Other Services"))</f>
        <v/>
      </c>
    </row>
    <row r="1845" customFormat="false" ht="15" hidden="false" customHeight="false" outlineLevel="0" collapsed="false">
      <c r="E1845" s="41" t="str">
        <f aca="false">IF(D1845="","",IFERROR(VLOOKUP(D1845,Assumptions!$G$5:$H$16,2,0),"Other"))</f>
        <v/>
      </c>
      <c r="J1845" s="41" t="str">
        <f aca="false">IF(G1845="","",IFERROR(IF(ISNUMBER(SEARCH(Assumptions!$C$5,G1845)),Assumptions!$D$5,IF(ISNUMBER(SEARCH(Assumptions!$C$6,G1845)),Assumptions!$D$6,IF(ISNUMBER(SEARCH(Assumptions!$C$7,G1845)),Assumptions!$D$7,"Other Services"))),"Other Services"))</f>
        <v/>
      </c>
    </row>
    <row r="1846" customFormat="false" ht="15" hidden="false" customHeight="false" outlineLevel="0" collapsed="false">
      <c r="E1846" s="41" t="str">
        <f aca="false">IF(D1846="","",IFERROR(VLOOKUP(D1846,Assumptions!$G$5:$H$16,2,0),"Other"))</f>
        <v/>
      </c>
      <c r="J1846" s="41" t="str">
        <f aca="false">IF(G1846="","",IFERROR(IF(ISNUMBER(SEARCH(Assumptions!$C$5,G1846)),Assumptions!$D$5,IF(ISNUMBER(SEARCH(Assumptions!$C$6,G1846)),Assumptions!$D$6,IF(ISNUMBER(SEARCH(Assumptions!$C$7,G1846)),Assumptions!$D$7,"Other Services"))),"Other Services"))</f>
        <v/>
      </c>
    </row>
    <row r="1847" customFormat="false" ht="15" hidden="false" customHeight="false" outlineLevel="0" collapsed="false">
      <c r="E1847" s="41" t="str">
        <f aca="false">IF(D1847="","",IFERROR(VLOOKUP(D1847,Assumptions!$G$5:$H$16,2,0),"Other"))</f>
        <v/>
      </c>
      <c r="J1847" s="41" t="str">
        <f aca="false">IF(G1847="","",IFERROR(IF(ISNUMBER(SEARCH(Assumptions!$C$5,G1847)),Assumptions!$D$5,IF(ISNUMBER(SEARCH(Assumptions!$C$6,G1847)),Assumptions!$D$6,IF(ISNUMBER(SEARCH(Assumptions!$C$7,G1847)),Assumptions!$D$7,"Other Services"))),"Other Services"))</f>
        <v/>
      </c>
    </row>
    <row r="1848" customFormat="false" ht="15" hidden="false" customHeight="false" outlineLevel="0" collapsed="false">
      <c r="E1848" s="41" t="str">
        <f aca="false">IF(D1848="","",IFERROR(VLOOKUP(D1848,Assumptions!$G$5:$H$16,2,0),"Other"))</f>
        <v/>
      </c>
      <c r="J1848" s="41" t="str">
        <f aca="false">IF(G1848="","",IFERROR(IF(ISNUMBER(SEARCH(Assumptions!$C$5,G1848)),Assumptions!$D$5,IF(ISNUMBER(SEARCH(Assumptions!$C$6,G1848)),Assumptions!$D$6,IF(ISNUMBER(SEARCH(Assumptions!$C$7,G1848)),Assumptions!$D$7,"Other Services"))),"Other Services"))</f>
        <v/>
      </c>
    </row>
    <row r="1849" customFormat="false" ht="15" hidden="false" customHeight="false" outlineLevel="0" collapsed="false">
      <c r="E1849" s="41" t="str">
        <f aca="false">IF(D1849="","",IFERROR(VLOOKUP(D1849,Assumptions!$G$5:$H$16,2,0),"Other"))</f>
        <v/>
      </c>
      <c r="J1849" s="41" t="str">
        <f aca="false">IF(G1849="","",IFERROR(IF(ISNUMBER(SEARCH(Assumptions!$C$5,G1849)),Assumptions!$D$5,IF(ISNUMBER(SEARCH(Assumptions!$C$6,G1849)),Assumptions!$D$6,IF(ISNUMBER(SEARCH(Assumptions!$C$7,G1849)),Assumptions!$D$7,"Other Services"))),"Other Services"))</f>
        <v/>
      </c>
    </row>
    <row r="1850" customFormat="false" ht="15" hidden="false" customHeight="false" outlineLevel="0" collapsed="false">
      <c r="E1850" s="41" t="str">
        <f aca="false">IF(D1850="","",IFERROR(VLOOKUP(D1850,Assumptions!$G$5:$H$16,2,0),"Other"))</f>
        <v/>
      </c>
      <c r="J1850" s="41" t="str">
        <f aca="false">IF(G1850="","",IFERROR(IF(ISNUMBER(SEARCH(Assumptions!$C$5,G1850)),Assumptions!$D$5,IF(ISNUMBER(SEARCH(Assumptions!$C$6,G1850)),Assumptions!$D$6,IF(ISNUMBER(SEARCH(Assumptions!$C$7,G1850)),Assumptions!$D$7,"Other Services"))),"Other Services"))</f>
        <v/>
      </c>
    </row>
    <row r="1851" customFormat="false" ht="15" hidden="false" customHeight="false" outlineLevel="0" collapsed="false">
      <c r="E1851" s="41" t="str">
        <f aca="false">IF(D1851="","",IFERROR(VLOOKUP(D1851,Assumptions!$G$5:$H$16,2,0),"Other"))</f>
        <v/>
      </c>
      <c r="J1851" s="41" t="str">
        <f aca="false">IF(G1851="","",IFERROR(IF(ISNUMBER(SEARCH(Assumptions!$C$5,G1851)),Assumptions!$D$5,IF(ISNUMBER(SEARCH(Assumptions!$C$6,G1851)),Assumptions!$D$6,IF(ISNUMBER(SEARCH(Assumptions!$C$7,G1851)),Assumptions!$D$7,"Other Services"))),"Other Services"))</f>
        <v/>
      </c>
    </row>
    <row r="1852" customFormat="false" ht="15" hidden="false" customHeight="false" outlineLevel="0" collapsed="false">
      <c r="E1852" s="41" t="str">
        <f aca="false">IF(D1852="","",IFERROR(VLOOKUP(D1852,Assumptions!$G$5:$H$16,2,0),"Other"))</f>
        <v/>
      </c>
      <c r="J1852" s="41" t="str">
        <f aca="false">IF(G1852="","",IFERROR(IF(ISNUMBER(SEARCH(Assumptions!$C$5,G1852)),Assumptions!$D$5,IF(ISNUMBER(SEARCH(Assumptions!$C$6,G1852)),Assumptions!$D$6,IF(ISNUMBER(SEARCH(Assumptions!$C$7,G1852)),Assumptions!$D$7,"Other Services"))),"Other Services"))</f>
        <v/>
      </c>
    </row>
    <row r="1853" customFormat="false" ht="15" hidden="false" customHeight="false" outlineLevel="0" collapsed="false">
      <c r="E1853" s="41" t="str">
        <f aca="false">IF(D1853="","",IFERROR(VLOOKUP(D1853,Assumptions!$G$5:$H$16,2,0),"Other"))</f>
        <v/>
      </c>
      <c r="J1853" s="41" t="str">
        <f aca="false">IF(G1853="","",IFERROR(IF(ISNUMBER(SEARCH(Assumptions!$C$5,G1853)),Assumptions!$D$5,IF(ISNUMBER(SEARCH(Assumptions!$C$6,G1853)),Assumptions!$D$6,IF(ISNUMBER(SEARCH(Assumptions!$C$7,G1853)),Assumptions!$D$7,"Other Services"))),"Other Services"))</f>
        <v/>
      </c>
    </row>
    <row r="1854" customFormat="false" ht="15" hidden="false" customHeight="false" outlineLevel="0" collapsed="false">
      <c r="E1854" s="41" t="str">
        <f aca="false">IF(D1854="","",IFERROR(VLOOKUP(D1854,Assumptions!$G$5:$H$16,2,0),"Other"))</f>
        <v/>
      </c>
      <c r="J1854" s="41" t="str">
        <f aca="false">IF(G1854="","",IFERROR(IF(ISNUMBER(SEARCH(Assumptions!$C$5,G1854)),Assumptions!$D$5,IF(ISNUMBER(SEARCH(Assumptions!$C$6,G1854)),Assumptions!$D$6,IF(ISNUMBER(SEARCH(Assumptions!$C$7,G1854)),Assumptions!$D$7,"Other Services"))),"Other Services"))</f>
        <v/>
      </c>
    </row>
    <row r="1855" customFormat="false" ht="15" hidden="false" customHeight="false" outlineLevel="0" collapsed="false">
      <c r="E1855" s="41" t="str">
        <f aca="false">IF(D1855="","",IFERROR(VLOOKUP(D1855,Assumptions!$G$5:$H$16,2,0),"Other"))</f>
        <v/>
      </c>
      <c r="J1855" s="41" t="str">
        <f aca="false">IF(G1855="","",IFERROR(IF(ISNUMBER(SEARCH(Assumptions!$C$5,G1855)),Assumptions!$D$5,IF(ISNUMBER(SEARCH(Assumptions!$C$6,G1855)),Assumptions!$D$6,IF(ISNUMBER(SEARCH(Assumptions!$C$7,G1855)),Assumptions!$D$7,"Other Services"))),"Other Services"))</f>
        <v/>
      </c>
    </row>
    <row r="1856" customFormat="false" ht="15" hidden="false" customHeight="false" outlineLevel="0" collapsed="false">
      <c r="E1856" s="41" t="str">
        <f aca="false">IF(D1856="","",IFERROR(VLOOKUP(D1856,Assumptions!$G$5:$H$16,2,0),"Other"))</f>
        <v/>
      </c>
      <c r="J1856" s="41" t="str">
        <f aca="false">IF(G1856="","",IFERROR(IF(ISNUMBER(SEARCH(Assumptions!$C$5,G1856)),Assumptions!$D$5,IF(ISNUMBER(SEARCH(Assumptions!$C$6,G1856)),Assumptions!$D$6,IF(ISNUMBER(SEARCH(Assumptions!$C$7,G1856)),Assumptions!$D$7,"Other Services"))),"Other Services"))</f>
        <v/>
      </c>
    </row>
    <row r="1857" customFormat="false" ht="15" hidden="false" customHeight="false" outlineLevel="0" collapsed="false">
      <c r="E1857" s="41" t="str">
        <f aca="false">IF(D1857="","",IFERROR(VLOOKUP(D1857,Assumptions!$G$5:$H$16,2,0),"Other"))</f>
        <v/>
      </c>
      <c r="J1857" s="41" t="str">
        <f aca="false">IF(G1857="","",IFERROR(IF(ISNUMBER(SEARCH(Assumptions!$C$5,G1857)),Assumptions!$D$5,IF(ISNUMBER(SEARCH(Assumptions!$C$6,G1857)),Assumptions!$D$6,IF(ISNUMBER(SEARCH(Assumptions!$C$7,G1857)),Assumptions!$D$7,"Other Services"))),"Other Services"))</f>
        <v/>
      </c>
    </row>
    <row r="1858" customFormat="false" ht="15" hidden="false" customHeight="false" outlineLevel="0" collapsed="false">
      <c r="E1858" s="41" t="str">
        <f aca="false">IF(D1858="","",IFERROR(VLOOKUP(D1858,Assumptions!$G$5:$H$16,2,0),"Other"))</f>
        <v/>
      </c>
      <c r="J1858" s="41" t="str">
        <f aca="false">IF(G1858="","",IFERROR(IF(ISNUMBER(SEARCH(Assumptions!$C$5,G1858)),Assumptions!$D$5,IF(ISNUMBER(SEARCH(Assumptions!$C$6,G1858)),Assumptions!$D$6,IF(ISNUMBER(SEARCH(Assumptions!$C$7,G1858)),Assumptions!$D$7,"Other Services"))),"Other Services"))</f>
        <v/>
      </c>
    </row>
    <row r="1859" customFormat="false" ht="15" hidden="false" customHeight="false" outlineLevel="0" collapsed="false">
      <c r="E1859" s="41" t="str">
        <f aca="false">IF(D1859="","",IFERROR(VLOOKUP(D1859,Assumptions!$G$5:$H$16,2,0),"Other"))</f>
        <v/>
      </c>
      <c r="J1859" s="41" t="str">
        <f aca="false">IF(G1859="","",IFERROR(IF(ISNUMBER(SEARCH(Assumptions!$C$5,G1859)),Assumptions!$D$5,IF(ISNUMBER(SEARCH(Assumptions!$C$6,G1859)),Assumptions!$D$6,IF(ISNUMBER(SEARCH(Assumptions!$C$7,G1859)),Assumptions!$D$7,"Other Services"))),"Other Services"))</f>
        <v/>
      </c>
    </row>
    <row r="1860" customFormat="false" ht="15" hidden="false" customHeight="false" outlineLevel="0" collapsed="false">
      <c r="E1860" s="41" t="str">
        <f aca="false">IF(D1860="","",IFERROR(VLOOKUP(D1860,Assumptions!$G$5:$H$16,2,0),"Other"))</f>
        <v/>
      </c>
      <c r="J1860" s="41" t="str">
        <f aca="false">IF(G1860="","",IFERROR(IF(ISNUMBER(SEARCH(Assumptions!$C$5,G1860)),Assumptions!$D$5,IF(ISNUMBER(SEARCH(Assumptions!$C$6,G1860)),Assumptions!$D$6,IF(ISNUMBER(SEARCH(Assumptions!$C$7,G1860)),Assumptions!$D$7,"Other Services"))),"Other Services"))</f>
        <v/>
      </c>
    </row>
    <row r="1861" customFormat="false" ht="15" hidden="false" customHeight="false" outlineLevel="0" collapsed="false">
      <c r="E1861" s="41" t="str">
        <f aca="false">IF(D1861="","",IFERROR(VLOOKUP(D1861,Assumptions!$G$5:$H$16,2,0),"Other"))</f>
        <v/>
      </c>
      <c r="J1861" s="41" t="str">
        <f aca="false">IF(G1861="","",IFERROR(IF(ISNUMBER(SEARCH(Assumptions!$C$5,G1861)),Assumptions!$D$5,IF(ISNUMBER(SEARCH(Assumptions!$C$6,G1861)),Assumptions!$D$6,IF(ISNUMBER(SEARCH(Assumptions!$C$7,G1861)),Assumptions!$D$7,"Other Services"))),"Other Services"))</f>
        <v/>
      </c>
    </row>
    <row r="1862" customFormat="false" ht="15" hidden="false" customHeight="false" outlineLevel="0" collapsed="false">
      <c r="E1862" s="41" t="str">
        <f aca="false">IF(D1862="","",IFERROR(VLOOKUP(D1862,Assumptions!$G$5:$H$16,2,0),"Other"))</f>
        <v/>
      </c>
      <c r="J1862" s="41" t="str">
        <f aca="false">IF(G1862="","",IFERROR(IF(ISNUMBER(SEARCH(Assumptions!$C$5,G1862)),Assumptions!$D$5,IF(ISNUMBER(SEARCH(Assumptions!$C$6,G1862)),Assumptions!$D$6,IF(ISNUMBER(SEARCH(Assumptions!$C$7,G1862)),Assumptions!$D$7,"Other Services"))),"Other Services"))</f>
        <v/>
      </c>
    </row>
    <row r="1863" customFormat="false" ht="15" hidden="false" customHeight="false" outlineLevel="0" collapsed="false">
      <c r="E1863" s="41" t="str">
        <f aca="false">IF(D1863="","",IFERROR(VLOOKUP(D1863,Assumptions!$G$5:$H$16,2,0),"Other"))</f>
        <v/>
      </c>
      <c r="J1863" s="41" t="str">
        <f aca="false">IF(G1863="","",IFERROR(IF(ISNUMBER(SEARCH(Assumptions!$C$5,G1863)),Assumptions!$D$5,IF(ISNUMBER(SEARCH(Assumptions!$C$6,G1863)),Assumptions!$D$6,IF(ISNUMBER(SEARCH(Assumptions!$C$7,G1863)),Assumptions!$D$7,"Other Services"))),"Other Services"))</f>
        <v/>
      </c>
    </row>
    <row r="1864" customFormat="false" ht="15" hidden="false" customHeight="false" outlineLevel="0" collapsed="false">
      <c r="E1864" s="41" t="str">
        <f aca="false">IF(D1864="","",IFERROR(VLOOKUP(D1864,Assumptions!$G$5:$H$16,2,0),"Other"))</f>
        <v/>
      </c>
      <c r="J1864" s="41" t="str">
        <f aca="false">IF(G1864="","",IFERROR(IF(ISNUMBER(SEARCH(Assumptions!$C$5,G1864)),Assumptions!$D$5,IF(ISNUMBER(SEARCH(Assumptions!$C$6,G1864)),Assumptions!$D$6,IF(ISNUMBER(SEARCH(Assumptions!$C$7,G1864)),Assumptions!$D$7,"Other Services"))),"Other Services"))</f>
        <v/>
      </c>
    </row>
    <row r="1865" customFormat="false" ht="15" hidden="false" customHeight="false" outlineLevel="0" collapsed="false">
      <c r="E1865" s="41" t="str">
        <f aca="false">IF(D1865="","",IFERROR(VLOOKUP(D1865,Assumptions!$G$5:$H$16,2,0),"Other"))</f>
        <v/>
      </c>
      <c r="J1865" s="41" t="str">
        <f aca="false">IF(G1865="","",IFERROR(IF(ISNUMBER(SEARCH(Assumptions!$C$5,G1865)),Assumptions!$D$5,IF(ISNUMBER(SEARCH(Assumptions!$C$6,G1865)),Assumptions!$D$6,IF(ISNUMBER(SEARCH(Assumptions!$C$7,G1865)),Assumptions!$D$7,"Other Services"))),"Other Services"))</f>
        <v/>
      </c>
    </row>
    <row r="1866" customFormat="false" ht="15" hidden="false" customHeight="false" outlineLevel="0" collapsed="false">
      <c r="E1866" s="41" t="str">
        <f aca="false">IF(D1866="","",IFERROR(VLOOKUP(D1866,Assumptions!$G$5:$H$16,2,0),"Other"))</f>
        <v/>
      </c>
      <c r="J1866" s="41" t="str">
        <f aca="false">IF(G1866="","",IFERROR(IF(ISNUMBER(SEARCH(Assumptions!$C$5,G1866)),Assumptions!$D$5,IF(ISNUMBER(SEARCH(Assumptions!$C$6,G1866)),Assumptions!$D$6,IF(ISNUMBER(SEARCH(Assumptions!$C$7,G1866)),Assumptions!$D$7,"Other Services"))),"Other Services"))</f>
        <v/>
      </c>
    </row>
    <row r="1867" customFormat="false" ht="15" hidden="false" customHeight="false" outlineLevel="0" collapsed="false">
      <c r="E1867" s="41" t="str">
        <f aca="false">IF(D1867="","",IFERROR(VLOOKUP(D1867,Assumptions!$G$5:$H$16,2,0),"Other"))</f>
        <v/>
      </c>
      <c r="J1867" s="41" t="str">
        <f aca="false">IF(G1867="","",IFERROR(IF(ISNUMBER(SEARCH(Assumptions!$C$5,G1867)),Assumptions!$D$5,IF(ISNUMBER(SEARCH(Assumptions!$C$6,G1867)),Assumptions!$D$6,IF(ISNUMBER(SEARCH(Assumptions!$C$7,G1867)),Assumptions!$D$7,"Other Services"))),"Other Services"))</f>
        <v/>
      </c>
    </row>
    <row r="1868" customFormat="false" ht="15" hidden="false" customHeight="false" outlineLevel="0" collapsed="false">
      <c r="E1868" s="41" t="str">
        <f aca="false">IF(D1868="","",IFERROR(VLOOKUP(D1868,Assumptions!$G$5:$H$16,2,0),"Other"))</f>
        <v/>
      </c>
      <c r="J1868" s="41" t="str">
        <f aca="false">IF(G1868="","",IFERROR(IF(ISNUMBER(SEARCH(Assumptions!$C$5,G1868)),Assumptions!$D$5,IF(ISNUMBER(SEARCH(Assumptions!$C$6,G1868)),Assumptions!$D$6,IF(ISNUMBER(SEARCH(Assumptions!$C$7,G1868)),Assumptions!$D$7,"Other Services"))),"Other Services"))</f>
        <v/>
      </c>
    </row>
    <row r="1869" customFormat="false" ht="15" hidden="false" customHeight="false" outlineLevel="0" collapsed="false">
      <c r="E1869" s="41" t="str">
        <f aca="false">IF(D1869="","",IFERROR(VLOOKUP(D1869,Assumptions!$G$5:$H$16,2,0),"Other"))</f>
        <v/>
      </c>
      <c r="J1869" s="41" t="str">
        <f aca="false">IF(G1869="","",IFERROR(IF(ISNUMBER(SEARCH(Assumptions!$C$5,G1869)),Assumptions!$D$5,IF(ISNUMBER(SEARCH(Assumptions!$C$6,G1869)),Assumptions!$D$6,IF(ISNUMBER(SEARCH(Assumptions!$C$7,G1869)),Assumptions!$D$7,"Other Services"))),"Other Services"))</f>
        <v/>
      </c>
    </row>
    <row r="1870" customFormat="false" ht="15" hidden="false" customHeight="false" outlineLevel="0" collapsed="false">
      <c r="E1870" s="41" t="str">
        <f aca="false">IF(D1870="","",IFERROR(VLOOKUP(D1870,Assumptions!$G$5:$H$16,2,0),"Other"))</f>
        <v/>
      </c>
      <c r="J1870" s="41" t="str">
        <f aca="false">IF(G1870="","",IFERROR(IF(ISNUMBER(SEARCH(Assumptions!$C$5,G1870)),Assumptions!$D$5,IF(ISNUMBER(SEARCH(Assumptions!$C$6,G1870)),Assumptions!$D$6,IF(ISNUMBER(SEARCH(Assumptions!$C$7,G1870)),Assumptions!$D$7,"Other Services"))),"Other Services"))</f>
        <v/>
      </c>
    </row>
    <row r="1871" customFormat="false" ht="15" hidden="false" customHeight="false" outlineLevel="0" collapsed="false">
      <c r="E1871" s="41" t="str">
        <f aca="false">IF(D1871="","",IFERROR(VLOOKUP(D1871,Assumptions!$G$5:$H$16,2,0),"Other"))</f>
        <v/>
      </c>
      <c r="J1871" s="41" t="str">
        <f aca="false">IF(G1871="","",IFERROR(IF(ISNUMBER(SEARCH(Assumptions!$C$5,G1871)),Assumptions!$D$5,IF(ISNUMBER(SEARCH(Assumptions!$C$6,G1871)),Assumptions!$D$6,IF(ISNUMBER(SEARCH(Assumptions!$C$7,G1871)),Assumptions!$D$7,"Other Services"))),"Other Services"))</f>
        <v/>
      </c>
    </row>
    <row r="1872" customFormat="false" ht="15" hidden="false" customHeight="false" outlineLevel="0" collapsed="false">
      <c r="E1872" s="41" t="str">
        <f aca="false">IF(D1872="","",IFERROR(VLOOKUP(D1872,Assumptions!$G$5:$H$16,2,0),"Other"))</f>
        <v/>
      </c>
      <c r="J1872" s="41" t="str">
        <f aca="false">IF(G1872="","",IFERROR(IF(ISNUMBER(SEARCH(Assumptions!$C$5,G1872)),Assumptions!$D$5,IF(ISNUMBER(SEARCH(Assumptions!$C$6,G1872)),Assumptions!$D$6,IF(ISNUMBER(SEARCH(Assumptions!$C$7,G1872)),Assumptions!$D$7,"Other Services"))),"Other Services"))</f>
        <v/>
      </c>
    </row>
    <row r="1873" customFormat="false" ht="15" hidden="false" customHeight="false" outlineLevel="0" collapsed="false">
      <c r="E1873" s="41" t="str">
        <f aca="false">IF(D1873="","",IFERROR(VLOOKUP(D1873,Assumptions!$G$5:$H$16,2,0),"Other"))</f>
        <v/>
      </c>
      <c r="J1873" s="41" t="str">
        <f aca="false">IF(G1873="","",IFERROR(IF(ISNUMBER(SEARCH(Assumptions!$C$5,G1873)),Assumptions!$D$5,IF(ISNUMBER(SEARCH(Assumptions!$C$6,G1873)),Assumptions!$D$6,IF(ISNUMBER(SEARCH(Assumptions!$C$7,G1873)),Assumptions!$D$7,"Other Services"))),"Other Services"))</f>
        <v/>
      </c>
    </row>
    <row r="1874" customFormat="false" ht="15" hidden="false" customHeight="false" outlineLevel="0" collapsed="false">
      <c r="E1874" s="41" t="str">
        <f aca="false">IF(D1874="","",IFERROR(VLOOKUP(D1874,Assumptions!$G$5:$H$16,2,0),"Other"))</f>
        <v/>
      </c>
      <c r="J1874" s="41" t="str">
        <f aca="false">IF(G1874="","",IFERROR(IF(ISNUMBER(SEARCH(Assumptions!$C$5,G1874)),Assumptions!$D$5,IF(ISNUMBER(SEARCH(Assumptions!$C$6,G1874)),Assumptions!$D$6,IF(ISNUMBER(SEARCH(Assumptions!$C$7,G1874)),Assumptions!$D$7,"Other Services"))),"Other Services"))</f>
        <v/>
      </c>
    </row>
    <row r="1875" customFormat="false" ht="15" hidden="false" customHeight="false" outlineLevel="0" collapsed="false">
      <c r="E1875" s="41" t="str">
        <f aca="false">IF(D1875="","",IFERROR(VLOOKUP(D1875,Assumptions!$G$5:$H$16,2,0),"Other"))</f>
        <v/>
      </c>
      <c r="J1875" s="41" t="str">
        <f aca="false">IF(G1875="","",IFERROR(IF(ISNUMBER(SEARCH(Assumptions!$C$5,G1875)),Assumptions!$D$5,IF(ISNUMBER(SEARCH(Assumptions!$C$6,G1875)),Assumptions!$D$6,IF(ISNUMBER(SEARCH(Assumptions!$C$7,G1875)),Assumptions!$D$7,"Other Services"))),"Other Services"))</f>
        <v/>
      </c>
    </row>
    <row r="1876" customFormat="false" ht="15" hidden="false" customHeight="false" outlineLevel="0" collapsed="false">
      <c r="E1876" s="41" t="str">
        <f aca="false">IF(D1876="","",IFERROR(VLOOKUP(D1876,Assumptions!$G$5:$H$16,2,0),"Other"))</f>
        <v/>
      </c>
      <c r="J1876" s="41" t="str">
        <f aca="false">IF(G1876="","",IFERROR(IF(ISNUMBER(SEARCH(Assumptions!$C$5,G1876)),Assumptions!$D$5,IF(ISNUMBER(SEARCH(Assumptions!$C$6,G1876)),Assumptions!$D$6,IF(ISNUMBER(SEARCH(Assumptions!$C$7,G1876)),Assumptions!$D$7,"Other Services"))),"Other Services"))</f>
        <v/>
      </c>
    </row>
    <row r="1877" customFormat="false" ht="15" hidden="false" customHeight="false" outlineLevel="0" collapsed="false">
      <c r="E1877" s="41" t="str">
        <f aca="false">IF(D1877="","",IFERROR(VLOOKUP(D1877,Assumptions!$G$5:$H$16,2,0),"Other"))</f>
        <v/>
      </c>
      <c r="J1877" s="41" t="str">
        <f aca="false">IF(G1877="","",IFERROR(IF(ISNUMBER(SEARCH(Assumptions!$C$5,G1877)),Assumptions!$D$5,IF(ISNUMBER(SEARCH(Assumptions!$C$6,G1877)),Assumptions!$D$6,IF(ISNUMBER(SEARCH(Assumptions!$C$7,G1877)),Assumptions!$D$7,"Other Services"))),"Other Services"))</f>
        <v/>
      </c>
    </row>
    <row r="1878" customFormat="false" ht="15" hidden="false" customHeight="false" outlineLevel="0" collapsed="false">
      <c r="E1878" s="41" t="str">
        <f aca="false">IF(D1878="","",IFERROR(VLOOKUP(D1878,Assumptions!$G$5:$H$16,2,0),"Other"))</f>
        <v/>
      </c>
      <c r="J1878" s="41" t="str">
        <f aca="false">IF(G1878="","",IFERROR(IF(ISNUMBER(SEARCH(Assumptions!$C$5,G1878)),Assumptions!$D$5,IF(ISNUMBER(SEARCH(Assumptions!$C$6,G1878)),Assumptions!$D$6,IF(ISNUMBER(SEARCH(Assumptions!$C$7,G1878)),Assumptions!$D$7,"Other Services"))),"Other Services"))</f>
        <v/>
      </c>
    </row>
    <row r="1879" customFormat="false" ht="15" hidden="false" customHeight="false" outlineLevel="0" collapsed="false">
      <c r="E1879" s="41" t="str">
        <f aca="false">IF(D1879="","",IFERROR(VLOOKUP(D1879,Assumptions!$G$5:$H$16,2,0),"Other"))</f>
        <v/>
      </c>
      <c r="J1879" s="41" t="str">
        <f aca="false">IF(G1879="","",IFERROR(IF(ISNUMBER(SEARCH(Assumptions!$C$5,G1879)),Assumptions!$D$5,IF(ISNUMBER(SEARCH(Assumptions!$C$6,G1879)),Assumptions!$D$6,IF(ISNUMBER(SEARCH(Assumptions!$C$7,G1879)),Assumptions!$D$7,"Other Services"))),"Other Services"))</f>
        <v/>
      </c>
    </row>
    <row r="1880" customFormat="false" ht="15" hidden="false" customHeight="false" outlineLevel="0" collapsed="false">
      <c r="E1880" s="41" t="str">
        <f aca="false">IF(D1880="","",IFERROR(VLOOKUP(D1880,Assumptions!$G$5:$H$16,2,0),"Other"))</f>
        <v/>
      </c>
      <c r="J1880" s="41" t="str">
        <f aca="false">IF(G1880="","",IFERROR(IF(ISNUMBER(SEARCH(Assumptions!$C$5,G1880)),Assumptions!$D$5,IF(ISNUMBER(SEARCH(Assumptions!$C$6,G1880)),Assumptions!$D$6,IF(ISNUMBER(SEARCH(Assumptions!$C$7,G1880)),Assumptions!$D$7,"Other Services"))),"Other Services"))</f>
        <v/>
      </c>
    </row>
    <row r="1881" customFormat="false" ht="15" hidden="false" customHeight="false" outlineLevel="0" collapsed="false">
      <c r="E1881" s="41" t="str">
        <f aca="false">IF(D1881="","",IFERROR(VLOOKUP(D1881,Assumptions!$G$5:$H$16,2,0),"Other"))</f>
        <v/>
      </c>
      <c r="J1881" s="41" t="str">
        <f aca="false">IF(G1881="","",IFERROR(IF(ISNUMBER(SEARCH(Assumptions!$C$5,G1881)),Assumptions!$D$5,IF(ISNUMBER(SEARCH(Assumptions!$C$6,G1881)),Assumptions!$D$6,IF(ISNUMBER(SEARCH(Assumptions!$C$7,G1881)),Assumptions!$D$7,"Other Services"))),"Other Services"))</f>
        <v/>
      </c>
    </row>
    <row r="1882" customFormat="false" ht="15" hidden="false" customHeight="false" outlineLevel="0" collapsed="false">
      <c r="E1882" s="41" t="str">
        <f aca="false">IF(D1882="","",IFERROR(VLOOKUP(D1882,Assumptions!$G$5:$H$16,2,0),"Other"))</f>
        <v/>
      </c>
      <c r="J1882" s="41" t="str">
        <f aca="false">IF(G1882="","",IFERROR(IF(ISNUMBER(SEARCH(Assumptions!$C$5,G1882)),Assumptions!$D$5,IF(ISNUMBER(SEARCH(Assumptions!$C$6,G1882)),Assumptions!$D$6,IF(ISNUMBER(SEARCH(Assumptions!$C$7,G1882)),Assumptions!$D$7,"Other Services"))),"Other Services"))</f>
        <v/>
      </c>
    </row>
    <row r="1883" customFormat="false" ht="15" hidden="false" customHeight="false" outlineLevel="0" collapsed="false">
      <c r="E1883" s="41" t="str">
        <f aca="false">IF(D1883="","",IFERROR(VLOOKUP(D1883,Assumptions!$G$5:$H$16,2,0),"Other"))</f>
        <v/>
      </c>
      <c r="J1883" s="41" t="str">
        <f aca="false">IF(G1883="","",IFERROR(IF(ISNUMBER(SEARCH(Assumptions!$C$5,G1883)),Assumptions!$D$5,IF(ISNUMBER(SEARCH(Assumptions!$C$6,G1883)),Assumptions!$D$6,IF(ISNUMBER(SEARCH(Assumptions!$C$7,G1883)),Assumptions!$D$7,"Other Services"))),"Other Services"))</f>
        <v/>
      </c>
    </row>
    <row r="1884" customFormat="false" ht="15" hidden="false" customHeight="false" outlineLevel="0" collapsed="false">
      <c r="E1884" s="41" t="str">
        <f aca="false">IF(D1884="","",IFERROR(VLOOKUP(D1884,Assumptions!$G$5:$H$16,2,0),"Other"))</f>
        <v/>
      </c>
      <c r="J1884" s="41" t="str">
        <f aca="false">IF(G1884="","",IFERROR(IF(ISNUMBER(SEARCH(Assumptions!$C$5,G1884)),Assumptions!$D$5,IF(ISNUMBER(SEARCH(Assumptions!$C$6,G1884)),Assumptions!$D$6,IF(ISNUMBER(SEARCH(Assumptions!$C$7,G1884)),Assumptions!$D$7,"Other Services"))),"Other Services"))</f>
        <v/>
      </c>
    </row>
    <row r="1885" customFormat="false" ht="15" hidden="false" customHeight="false" outlineLevel="0" collapsed="false">
      <c r="E1885" s="41" t="str">
        <f aca="false">IF(D1885="","",IFERROR(VLOOKUP(D1885,Assumptions!$G$5:$H$16,2,0),"Other"))</f>
        <v/>
      </c>
      <c r="J1885" s="41" t="str">
        <f aca="false">IF(G1885="","",IFERROR(IF(ISNUMBER(SEARCH(Assumptions!$C$5,G1885)),Assumptions!$D$5,IF(ISNUMBER(SEARCH(Assumptions!$C$6,G1885)),Assumptions!$D$6,IF(ISNUMBER(SEARCH(Assumptions!$C$7,G1885)),Assumptions!$D$7,"Other Services"))),"Other Services"))</f>
        <v/>
      </c>
    </row>
    <row r="1886" customFormat="false" ht="15" hidden="false" customHeight="false" outlineLevel="0" collapsed="false">
      <c r="E1886" s="41" t="str">
        <f aca="false">IF(D1886="","",IFERROR(VLOOKUP(D1886,Assumptions!$G$5:$H$16,2,0),"Other"))</f>
        <v/>
      </c>
      <c r="J1886" s="41" t="str">
        <f aca="false">IF(G1886="","",IFERROR(IF(ISNUMBER(SEARCH(Assumptions!$C$5,G1886)),Assumptions!$D$5,IF(ISNUMBER(SEARCH(Assumptions!$C$6,G1886)),Assumptions!$D$6,IF(ISNUMBER(SEARCH(Assumptions!$C$7,G1886)),Assumptions!$D$7,"Other Services"))),"Other Services"))</f>
        <v/>
      </c>
    </row>
    <row r="1887" customFormat="false" ht="15" hidden="false" customHeight="false" outlineLevel="0" collapsed="false">
      <c r="E1887" s="41" t="str">
        <f aca="false">IF(D1887="","",IFERROR(VLOOKUP(D1887,Assumptions!$G$5:$H$16,2,0),"Other"))</f>
        <v/>
      </c>
      <c r="J1887" s="41" t="str">
        <f aca="false">IF(G1887="","",IFERROR(IF(ISNUMBER(SEARCH(Assumptions!$C$5,G1887)),Assumptions!$D$5,IF(ISNUMBER(SEARCH(Assumptions!$C$6,G1887)),Assumptions!$D$6,IF(ISNUMBER(SEARCH(Assumptions!$C$7,G1887)),Assumptions!$D$7,"Other Services"))),"Other Services"))</f>
        <v/>
      </c>
    </row>
    <row r="1888" customFormat="false" ht="15" hidden="false" customHeight="false" outlineLevel="0" collapsed="false">
      <c r="E1888" s="41" t="str">
        <f aca="false">IF(D1888="","",IFERROR(VLOOKUP(D1888,Assumptions!$G$5:$H$16,2,0),"Other"))</f>
        <v/>
      </c>
      <c r="J1888" s="41" t="str">
        <f aca="false">IF(G1888="","",IFERROR(IF(ISNUMBER(SEARCH(Assumptions!$C$5,G1888)),Assumptions!$D$5,IF(ISNUMBER(SEARCH(Assumptions!$C$6,G1888)),Assumptions!$D$6,IF(ISNUMBER(SEARCH(Assumptions!$C$7,G1888)),Assumptions!$D$7,"Other Services"))),"Other Services"))</f>
        <v/>
      </c>
    </row>
    <row r="1889" customFormat="false" ht="15" hidden="false" customHeight="false" outlineLevel="0" collapsed="false">
      <c r="E1889" s="41" t="str">
        <f aca="false">IF(D1889="","",IFERROR(VLOOKUP(D1889,Assumptions!$G$5:$H$16,2,0),"Other"))</f>
        <v/>
      </c>
      <c r="J1889" s="41" t="str">
        <f aca="false">IF(G1889="","",IFERROR(IF(ISNUMBER(SEARCH(Assumptions!$C$5,G1889)),Assumptions!$D$5,IF(ISNUMBER(SEARCH(Assumptions!$C$6,G1889)),Assumptions!$D$6,IF(ISNUMBER(SEARCH(Assumptions!$C$7,G1889)),Assumptions!$D$7,"Other Services"))),"Other Services"))</f>
        <v/>
      </c>
    </row>
    <row r="1890" customFormat="false" ht="15" hidden="false" customHeight="false" outlineLevel="0" collapsed="false">
      <c r="E1890" s="41" t="str">
        <f aca="false">IF(D1890="","",IFERROR(VLOOKUP(D1890,Assumptions!$G$5:$H$16,2,0),"Other"))</f>
        <v/>
      </c>
      <c r="J1890" s="41" t="str">
        <f aca="false">IF(G1890="","",IFERROR(IF(ISNUMBER(SEARCH(Assumptions!$C$5,G1890)),Assumptions!$D$5,IF(ISNUMBER(SEARCH(Assumptions!$C$6,G1890)),Assumptions!$D$6,IF(ISNUMBER(SEARCH(Assumptions!$C$7,G1890)),Assumptions!$D$7,"Other Services"))),"Other Services"))</f>
        <v/>
      </c>
    </row>
    <row r="1891" customFormat="false" ht="15" hidden="false" customHeight="false" outlineLevel="0" collapsed="false">
      <c r="E1891" s="41" t="str">
        <f aca="false">IF(D1891="","",IFERROR(VLOOKUP(D1891,Assumptions!$G$5:$H$16,2,0),"Other"))</f>
        <v/>
      </c>
      <c r="J1891" s="41" t="str">
        <f aca="false">IF(G1891="","",IFERROR(IF(ISNUMBER(SEARCH(Assumptions!$C$5,G1891)),Assumptions!$D$5,IF(ISNUMBER(SEARCH(Assumptions!$C$6,G1891)),Assumptions!$D$6,IF(ISNUMBER(SEARCH(Assumptions!$C$7,G1891)),Assumptions!$D$7,"Other Services"))),"Other Services"))</f>
        <v/>
      </c>
    </row>
    <row r="1892" customFormat="false" ht="15" hidden="false" customHeight="false" outlineLevel="0" collapsed="false">
      <c r="E1892" s="41" t="str">
        <f aca="false">IF(D1892="","",IFERROR(VLOOKUP(D1892,Assumptions!$G$5:$H$16,2,0),"Other"))</f>
        <v/>
      </c>
      <c r="J1892" s="41" t="str">
        <f aca="false">IF(G1892="","",IFERROR(IF(ISNUMBER(SEARCH(Assumptions!$C$5,G1892)),Assumptions!$D$5,IF(ISNUMBER(SEARCH(Assumptions!$C$6,G1892)),Assumptions!$D$6,IF(ISNUMBER(SEARCH(Assumptions!$C$7,G1892)),Assumptions!$D$7,"Other Services"))),"Other Services"))</f>
        <v/>
      </c>
    </row>
    <row r="1893" customFormat="false" ht="15" hidden="false" customHeight="false" outlineLevel="0" collapsed="false">
      <c r="E1893" s="41" t="str">
        <f aca="false">IF(D1893="","",IFERROR(VLOOKUP(D1893,Assumptions!$G$5:$H$16,2,0),"Other"))</f>
        <v/>
      </c>
      <c r="J1893" s="41" t="str">
        <f aca="false">IF(G1893="","",IFERROR(IF(ISNUMBER(SEARCH(Assumptions!$C$5,G1893)),Assumptions!$D$5,IF(ISNUMBER(SEARCH(Assumptions!$C$6,G1893)),Assumptions!$D$6,IF(ISNUMBER(SEARCH(Assumptions!$C$7,G1893)),Assumptions!$D$7,"Other Services"))),"Other Services"))</f>
        <v/>
      </c>
    </row>
    <row r="1894" customFormat="false" ht="15" hidden="false" customHeight="false" outlineLevel="0" collapsed="false">
      <c r="E1894" s="41" t="str">
        <f aca="false">IF(D1894="","",IFERROR(VLOOKUP(D1894,Assumptions!$G$5:$H$16,2,0),"Other"))</f>
        <v/>
      </c>
      <c r="J1894" s="41" t="str">
        <f aca="false">IF(G1894="","",IFERROR(IF(ISNUMBER(SEARCH(Assumptions!$C$5,G1894)),Assumptions!$D$5,IF(ISNUMBER(SEARCH(Assumptions!$C$6,G1894)),Assumptions!$D$6,IF(ISNUMBER(SEARCH(Assumptions!$C$7,G1894)),Assumptions!$D$7,"Other Services"))),"Other Services"))</f>
        <v/>
      </c>
    </row>
    <row r="1895" customFormat="false" ht="15" hidden="false" customHeight="false" outlineLevel="0" collapsed="false">
      <c r="E1895" s="41" t="str">
        <f aca="false">IF(D1895="","",IFERROR(VLOOKUP(D1895,Assumptions!$G$5:$H$16,2,0),"Other"))</f>
        <v/>
      </c>
      <c r="J1895" s="41" t="str">
        <f aca="false">IF(G1895="","",IFERROR(IF(ISNUMBER(SEARCH(Assumptions!$C$5,G1895)),Assumptions!$D$5,IF(ISNUMBER(SEARCH(Assumptions!$C$6,G1895)),Assumptions!$D$6,IF(ISNUMBER(SEARCH(Assumptions!$C$7,G1895)),Assumptions!$D$7,"Other Services"))),"Other Services"))</f>
        <v/>
      </c>
    </row>
    <row r="1896" customFormat="false" ht="15" hidden="false" customHeight="false" outlineLevel="0" collapsed="false">
      <c r="E1896" s="41" t="str">
        <f aca="false">IF(D1896="","",IFERROR(VLOOKUP(D1896,Assumptions!$G$5:$H$16,2,0),"Other"))</f>
        <v/>
      </c>
      <c r="J1896" s="41" t="str">
        <f aca="false">IF(G1896="","",IFERROR(IF(ISNUMBER(SEARCH(Assumptions!$C$5,G1896)),Assumptions!$D$5,IF(ISNUMBER(SEARCH(Assumptions!$C$6,G1896)),Assumptions!$D$6,IF(ISNUMBER(SEARCH(Assumptions!$C$7,G1896)),Assumptions!$D$7,"Other Services"))),"Other Services"))</f>
        <v/>
      </c>
    </row>
    <row r="1897" customFormat="false" ht="15" hidden="false" customHeight="false" outlineLevel="0" collapsed="false">
      <c r="E1897" s="41" t="str">
        <f aca="false">IF(D1897="","",IFERROR(VLOOKUP(D1897,Assumptions!$G$5:$H$16,2,0),"Other"))</f>
        <v/>
      </c>
      <c r="J1897" s="41" t="str">
        <f aca="false">IF(G1897="","",IFERROR(IF(ISNUMBER(SEARCH(Assumptions!$C$5,G1897)),Assumptions!$D$5,IF(ISNUMBER(SEARCH(Assumptions!$C$6,G1897)),Assumptions!$D$6,IF(ISNUMBER(SEARCH(Assumptions!$C$7,G1897)),Assumptions!$D$7,"Other Services"))),"Other Services"))</f>
        <v/>
      </c>
    </row>
    <row r="1898" customFormat="false" ht="15" hidden="false" customHeight="false" outlineLevel="0" collapsed="false">
      <c r="E1898" s="41" t="str">
        <f aca="false">IF(D1898="","",IFERROR(VLOOKUP(D1898,Assumptions!$G$5:$H$16,2,0),"Other"))</f>
        <v/>
      </c>
      <c r="J1898" s="41" t="str">
        <f aca="false">IF(G1898="","",IFERROR(IF(ISNUMBER(SEARCH(Assumptions!$C$5,G1898)),Assumptions!$D$5,IF(ISNUMBER(SEARCH(Assumptions!$C$6,G1898)),Assumptions!$D$6,IF(ISNUMBER(SEARCH(Assumptions!$C$7,G1898)),Assumptions!$D$7,"Other Services"))),"Other Services"))</f>
        <v/>
      </c>
    </row>
    <row r="1899" customFormat="false" ht="15" hidden="false" customHeight="false" outlineLevel="0" collapsed="false">
      <c r="E1899" s="41" t="str">
        <f aca="false">IF(D1899="","",IFERROR(VLOOKUP(D1899,Assumptions!$G$5:$H$16,2,0),"Other"))</f>
        <v/>
      </c>
      <c r="J1899" s="41" t="str">
        <f aca="false">IF(G1899="","",IFERROR(IF(ISNUMBER(SEARCH(Assumptions!$C$5,G1899)),Assumptions!$D$5,IF(ISNUMBER(SEARCH(Assumptions!$C$6,G1899)),Assumptions!$D$6,IF(ISNUMBER(SEARCH(Assumptions!$C$7,G1899)),Assumptions!$D$7,"Other Services"))),"Other Services"))</f>
        <v/>
      </c>
    </row>
    <row r="1900" customFormat="false" ht="15" hidden="false" customHeight="false" outlineLevel="0" collapsed="false">
      <c r="E1900" s="41" t="str">
        <f aca="false">IF(D1900="","",IFERROR(VLOOKUP(D1900,Assumptions!$G$5:$H$16,2,0),"Other"))</f>
        <v/>
      </c>
      <c r="J1900" s="41" t="str">
        <f aca="false">IF(G1900="","",IFERROR(IF(ISNUMBER(SEARCH(Assumptions!$C$5,G1900)),Assumptions!$D$5,IF(ISNUMBER(SEARCH(Assumptions!$C$6,G1900)),Assumptions!$D$6,IF(ISNUMBER(SEARCH(Assumptions!$C$7,G1900)),Assumptions!$D$7,"Other Services"))),"Other Services"))</f>
        <v/>
      </c>
    </row>
    <row r="1901" customFormat="false" ht="15" hidden="false" customHeight="false" outlineLevel="0" collapsed="false">
      <c r="E1901" s="41" t="str">
        <f aca="false">IF(D1901="","",IFERROR(VLOOKUP(D1901,Assumptions!$G$5:$H$16,2,0),"Other"))</f>
        <v/>
      </c>
      <c r="J1901" s="41" t="str">
        <f aca="false">IF(G1901="","",IFERROR(IF(ISNUMBER(SEARCH(Assumptions!$C$5,G1901)),Assumptions!$D$5,IF(ISNUMBER(SEARCH(Assumptions!$C$6,G1901)),Assumptions!$D$6,IF(ISNUMBER(SEARCH(Assumptions!$C$7,G1901)),Assumptions!$D$7,"Other Services"))),"Other Services"))</f>
        <v/>
      </c>
    </row>
    <row r="1902" customFormat="false" ht="15" hidden="false" customHeight="false" outlineLevel="0" collapsed="false">
      <c r="E1902" s="41" t="str">
        <f aca="false">IF(D1902="","",IFERROR(VLOOKUP(D1902,Assumptions!$G$5:$H$16,2,0),"Other"))</f>
        <v/>
      </c>
      <c r="J1902" s="41" t="str">
        <f aca="false">IF(G1902="","",IFERROR(IF(ISNUMBER(SEARCH(Assumptions!$C$5,G1902)),Assumptions!$D$5,IF(ISNUMBER(SEARCH(Assumptions!$C$6,G1902)),Assumptions!$D$6,IF(ISNUMBER(SEARCH(Assumptions!$C$7,G1902)),Assumptions!$D$7,"Other Services"))),"Other Services"))</f>
        <v/>
      </c>
    </row>
    <row r="1903" customFormat="false" ht="15" hidden="false" customHeight="false" outlineLevel="0" collapsed="false">
      <c r="E1903" s="41" t="str">
        <f aca="false">IF(D1903="","",IFERROR(VLOOKUP(D1903,Assumptions!$G$5:$H$16,2,0),"Other"))</f>
        <v/>
      </c>
      <c r="J1903" s="41" t="str">
        <f aca="false">IF(G1903="","",IFERROR(IF(ISNUMBER(SEARCH(Assumptions!$C$5,G1903)),Assumptions!$D$5,IF(ISNUMBER(SEARCH(Assumptions!$C$6,G1903)),Assumptions!$D$6,IF(ISNUMBER(SEARCH(Assumptions!$C$7,G1903)),Assumptions!$D$7,"Other Services"))),"Other Services"))</f>
        <v/>
      </c>
    </row>
    <row r="1904" customFormat="false" ht="15" hidden="false" customHeight="false" outlineLevel="0" collapsed="false">
      <c r="E1904" s="41" t="str">
        <f aca="false">IF(D1904="","",IFERROR(VLOOKUP(D1904,Assumptions!$G$5:$H$16,2,0),"Other"))</f>
        <v/>
      </c>
      <c r="J1904" s="41" t="str">
        <f aca="false">IF(G1904="","",IFERROR(IF(ISNUMBER(SEARCH(Assumptions!$C$5,G1904)),Assumptions!$D$5,IF(ISNUMBER(SEARCH(Assumptions!$C$6,G1904)),Assumptions!$D$6,IF(ISNUMBER(SEARCH(Assumptions!$C$7,G1904)),Assumptions!$D$7,"Other Services"))),"Other Services"))</f>
        <v/>
      </c>
    </row>
    <row r="1905" customFormat="false" ht="15" hidden="false" customHeight="false" outlineLevel="0" collapsed="false">
      <c r="E1905" s="41" t="str">
        <f aca="false">IF(D1905="","",IFERROR(VLOOKUP(D1905,Assumptions!$G$5:$H$16,2,0),"Other"))</f>
        <v/>
      </c>
      <c r="J1905" s="41" t="str">
        <f aca="false">IF(G1905="","",IFERROR(IF(ISNUMBER(SEARCH(Assumptions!$C$5,G1905)),Assumptions!$D$5,IF(ISNUMBER(SEARCH(Assumptions!$C$6,G1905)),Assumptions!$D$6,IF(ISNUMBER(SEARCH(Assumptions!$C$7,G1905)),Assumptions!$D$7,"Other Services"))),"Other Services"))</f>
        <v/>
      </c>
    </row>
    <row r="1906" customFormat="false" ht="15" hidden="false" customHeight="false" outlineLevel="0" collapsed="false">
      <c r="E1906" s="41" t="str">
        <f aca="false">IF(D1906="","",IFERROR(VLOOKUP(D1906,Assumptions!$G$5:$H$16,2,0),"Other"))</f>
        <v/>
      </c>
      <c r="J1906" s="41" t="str">
        <f aca="false">IF(G1906="","",IFERROR(IF(ISNUMBER(SEARCH(Assumptions!$C$5,G1906)),Assumptions!$D$5,IF(ISNUMBER(SEARCH(Assumptions!$C$6,G1906)),Assumptions!$D$6,IF(ISNUMBER(SEARCH(Assumptions!$C$7,G1906)),Assumptions!$D$7,"Other Services"))),"Other Services"))</f>
        <v/>
      </c>
    </row>
    <row r="1907" customFormat="false" ht="15" hidden="false" customHeight="false" outlineLevel="0" collapsed="false">
      <c r="E1907" s="41" t="str">
        <f aca="false">IF(D1907="","",IFERROR(VLOOKUP(D1907,Assumptions!$G$5:$H$16,2,0),"Other"))</f>
        <v/>
      </c>
      <c r="J1907" s="41" t="str">
        <f aca="false">IF(G1907="","",IFERROR(IF(ISNUMBER(SEARCH(Assumptions!$C$5,G1907)),Assumptions!$D$5,IF(ISNUMBER(SEARCH(Assumptions!$C$6,G1907)),Assumptions!$D$6,IF(ISNUMBER(SEARCH(Assumptions!$C$7,G1907)),Assumptions!$D$7,"Other Services"))),"Other Services"))</f>
        <v/>
      </c>
    </row>
    <row r="1908" customFormat="false" ht="15" hidden="false" customHeight="false" outlineLevel="0" collapsed="false">
      <c r="E1908" s="41" t="str">
        <f aca="false">IF(D1908="","",IFERROR(VLOOKUP(D1908,Assumptions!$G$5:$H$16,2,0),"Other"))</f>
        <v/>
      </c>
      <c r="J1908" s="41" t="str">
        <f aca="false">IF(G1908="","",IFERROR(IF(ISNUMBER(SEARCH(Assumptions!$C$5,G1908)),Assumptions!$D$5,IF(ISNUMBER(SEARCH(Assumptions!$C$6,G1908)),Assumptions!$D$6,IF(ISNUMBER(SEARCH(Assumptions!$C$7,G1908)),Assumptions!$D$7,"Other Services"))),"Other Services"))</f>
        <v/>
      </c>
    </row>
    <row r="1909" customFormat="false" ht="15" hidden="false" customHeight="false" outlineLevel="0" collapsed="false">
      <c r="E1909" s="41" t="str">
        <f aca="false">IF(D1909="","",IFERROR(VLOOKUP(D1909,Assumptions!$G$5:$H$16,2,0),"Other"))</f>
        <v/>
      </c>
      <c r="J1909" s="41" t="str">
        <f aca="false">IF(G1909="","",IFERROR(IF(ISNUMBER(SEARCH(Assumptions!$C$5,G1909)),Assumptions!$D$5,IF(ISNUMBER(SEARCH(Assumptions!$C$6,G1909)),Assumptions!$D$6,IF(ISNUMBER(SEARCH(Assumptions!$C$7,G1909)),Assumptions!$D$7,"Other Services"))),"Other Services"))</f>
        <v/>
      </c>
    </row>
    <row r="1910" customFormat="false" ht="15" hidden="false" customHeight="false" outlineLevel="0" collapsed="false">
      <c r="E1910" s="41" t="str">
        <f aca="false">IF(D1910="","",IFERROR(VLOOKUP(D1910,Assumptions!$G$5:$H$16,2,0),"Other"))</f>
        <v/>
      </c>
      <c r="J1910" s="41" t="str">
        <f aca="false">IF(G1910="","",IFERROR(IF(ISNUMBER(SEARCH(Assumptions!$C$5,G1910)),Assumptions!$D$5,IF(ISNUMBER(SEARCH(Assumptions!$C$6,G1910)),Assumptions!$D$6,IF(ISNUMBER(SEARCH(Assumptions!$C$7,G1910)),Assumptions!$D$7,"Other Services"))),"Other Services"))</f>
        <v/>
      </c>
    </row>
    <row r="1911" customFormat="false" ht="15" hidden="false" customHeight="false" outlineLevel="0" collapsed="false">
      <c r="E1911" s="41" t="str">
        <f aca="false">IF(D1911="","",IFERROR(VLOOKUP(D1911,Assumptions!$G$5:$H$16,2,0),"Other"))</f>
        <v/>
      </c>
      <c r="J1911" s="41" t="str">
        <f aca="false">IF(G1911="","",IFERROR(IF(ISNUMBER(SEARCH(Assumptions!$C$5,G1911)),Assumptions!$D$5,IF(ISNUMBER(SEARCH(Assumptions!$C$6,G1911)),Assumptions!$D$6,IF(ISNUMBER(SEARCH(Assumptions!$C$7,G1911)),Assumptions!$D$7,"Other Services"))),"Other Services"))</f>
        <v/>
      </c>
    </row>
    <row r="1912" customFormat="false" ht="15" hidden="false" customHeight="false" outlineLevel="0" collapsed="false">
      <c r="E1912" s="41" t="str">
        <f aca="false">IF(D1912="","",IFERROR(VLOOKUP(D1912,Assumptions!$G$5:$H$16,2,0),"Other"))</f>
        <v/>
      </c>
      <c r="J1912" s="41" t="str">
        <f aca="false">IF(G1912="","",IFERROR(IF(ISNUMBER(SEARCH(Assumptions!$C$5,G1912)),Assumptions!$D$5,IF(ISNUMBER(SEARCH(Assumptions!$C$6,G1912)),Assumptions!$D$6,IF(ISNUMBER(SEARCH(Assumptions!$C$7,G1912)),Assumptions!$D$7,"Other Services"))),"Other Services"))</f>
        <v/>
      </c>
    </row>
    <row r="1913" customFormat="false" ht="15" hidden="false" customHeight="false" outlineLevel="0" collapsed="false">
      <c r="E1913" s="41" t="str">
        <f aca="false">IF(D1913="","",IFERROR(VLOOKUP(D1913,Assumptions!$G$5:$H$16,2,0),"Other"))</f>
        <v/>
      </c>
      <c r="J1913" s="41" t="str">
        <f aca="false">IF(G1913="","",IFERROR(IF(ISNUMBER(SEARCH(Assumptions!$C$5,G1913)),Assumptions!$D$5,IF(ISNUMBER(SEARCH(Assumptions!$C$6,G1913)),Assumptions!$D$6,IF(ISNUMBER(SEARCH(Assumptions!$C$7,G1913)),Assumptions!$D$7,"Other Services"))),"Other Services"))</f>
        <v/>
      </c>
    </row>
    <row r="1914" customFormat="false" ht="15" hidden="false" customHeight="false" outlineLevel="0" collapsed="false">
      <c r="E1914" s="41" t="str">
        <f aca="false">IF(D1914="","",IFERROR(VLOOKUP(D1914,Assumptions!$G$5:$H$16,2,0),"Other"))</f>
        <v/>
      </c>
      <c r="J1914" s="41" t="str">
        <f aca="false">IF(G1914="","",IFERROR(IF(ISNUMBER(SEARCH(Assumptions!$C$5,G1914)),Assumptions!$D$5,IF(ISNUMBER(SEARCH(Assumptions!$C$6,G1914)),Assumptions!$D$6,IF(ISNUMBER(SEARCH(Assumptions!$C$7,G1914)),Assumptions!$D$7,"Other Services"))),"Other Services"))</f>
        <v/>
      </c>
    </row>
    <row r="1915" customFormat="false" ht="15" hidden="false" customHeight="false" outlineLevel="0" collapsed="false">
      <c r="E1915" s="41" t="str">
        <f aca="false">IF(D1915="","",IFERROR(VLOOKUP(D1915,Assumptions!$G$5:$H$16,2,0),"Other"))</f>
        <v/>
      </c>
      <c r="J1915" s="41" t="str">
        <f aca="false">IF(G1915="","",IFERROR(IF(ISNUMBER(SEARCH(Assumptions!$C$5,G1915)),Assumptions!$D$5,IF(ISNUMBER(SEARCH(Assumptions!$C$6,G1915)),Assumptions!$D$6,IF(ISNUMBER(SEARCH(Assumptions!$C$7,G1915)),Assumptions!$D$7,"Other Services"))),"Other Services"))</f>
        <v/>
      </c>
    </row>
    <row r="1916" customFormat="false" ht="15" hidden="false" customHeight="false" outlineLevel="0" collapsed="false">
      <c r="E1916" s="41" t="str">
        <f aca="false">IF(D1916="","",IFERROR(VLOOKUP(D1916,Assumptions!$G$5:$H$16,2,0),"Other"))</f>
        <v/>
      </c>
      <c r="J1916" s="41" t="str">
        <f aca="false">IF(G1916="","",IFERROR(IF(ISNUMBER(SEARCH(Assumptions!$C$5,G1916)),Assumptions!$D$5,IF(ISNUMBER(SEARCH(Assumptions!$C$6,G1916)),Assumptions!$D$6,IF(ISNUMBER(SEARCH(Assumptions!$C$7,G1916)),Assumptions!$D$7,"Other Services"))),"Other Services"))</f>
        <v/>
      </c>
    </row>
    <row r="1917" customFormat="false" ht="15" hidden="false" customHeight="false" outlineLevel="0" collapsed="false">
      <c r="E1917" s="41" t="str">
        <f aca="false">IF(D1917="","",IFERROR(VLOOKUP(D1917,Assumptions!$G$5:$H$16,2,0),"Other"))</f>
        <v/>
      </c>
      <c r="J1917" s="41" t="str">
        <f aca="false">IF(G1917="","",IFERROR(IF(ISNUMBER(SEARCH(Assumptions!$C$5,G1917)),Assumptions!$D$5,IF(ISNUMBER(SEARCH(Assumptions!$C$6,G1917)),Assumptions!$D$6,IF(ISNUMBER(SEARCH(Assumptions!$C$7,G1917)),Assumptions!$D$7,"Other Services"))),"Other Services"))</f>
        <v/>
      </c>
    </row>
    <row r="1918" customFormat="false" ht="15" hidden="false" customHeight="false" outlineLevel="0" collapsed="false">
      <c r="E1918" s="41" t="str">
        <f aca="false">IF(D1918="","",IFERROR(VLOOKUP(D1918,Assumptions!$G$5:$H$16,2,0),"Other"))</f>
        <v/>
      </c>
      <c r="J1918" s="41" t="str">
        <f aca="false">IF(G1918="","",IFERROR(IF(ISNUMBER(SEARCH(Assumptions!$C$5,G1918)),Assumptions!$D$5,IF(ISNUMBER(SEARCH(Assumptions!$C$6,G1918)),Assumptions!$D$6,IF(ISNUMBER(SEARCH(Assumptions!$C$7,G1918)),Assumptions!$D$7,"Other Services"))),"Other Services"))</f>
        <v/>
      </c>
    </row>
    <row r="1919" customFormat="false" ht="15" hidden="false" customHeight="false" outlineLevel="0" collapsed="false">
      <c r="E1919" s="41" t="str">
        <f aca="false">IF(D1919="","",IFERROR(VLOOKUP(D1919,Assumptions!$G$5:$H$16,2,0),"Other"))</f>
        <v/>
      </c>
      <c r="J1919" s="41" t="str">
        <f aca="false">IF(G1919="","",IFERROR(IF(ISNUMBER(SEARCH(Assumptions!$C$5,G1919)),Assumptions!$D$5,IF(ISNUMBER(SEARCH(Assumptions!$C$6,G1919)),Assumptions!$D$6,IF(ISNUMBER(SEARCH(Assumptions!$C$7,G1919)),Assumptions!$D$7,"Other Services"))),"Other Services"))</f>
        <v/>
      </c>
    </row>
    <row r="1920" customFormat="false" ht="15" hidden="false" customHeight="false" outlineLevel="0" collapsed="false">
      <c r="E1920" s="41" t="str">
        <f aca="false">IF(D1920="","",IFERROR(VLOOKUP(D1920,Assumptions!$G$5:$H$16,2,0),"Other"))</f>
        <v/>
      </c>
      <c r="J1920" s="41" t="str">
        <f aca="false">IF(G1920="","",IFERROR(IF(ISNUMBER(SEARCH(Assumptions!$C$5,G1920)),Assumptions!$D$5,IF(ISNUMBER(SEARCH(Assumptions!$C$6,G1920)),Assumptions!$D$6,IF(ISNUMBER(SEARCH(Assumptions!$C$7,G1920)),Assumptions!$D$7,"Other Services"))),"Other Services"))</f>
        <v/>
      </c>
    </row>
    <row r="1921" customFormat="false" ht="15" hidden="false" customHeight="false" outlineLevel="0" collapsed="false">
      <c r="E1921" s="41" t="str">
        <f aca="false">IF(D1921="","",IFERROR(VLOOKUP(D1921,Assumptions!$G$5:$H$16,2,0),"Other"))</f>
        <v/>
      </c>
      <c r="J1921" s="41" t="str">
        <f aca="false">IF(G1921="","",IFERROR(IF(ISNUMBER(SEARCH(Assumptions!$C$5,G1921)),Assumptions!$D$5,IF(ISNUMBER(SEARCH(Assumptions!$C$6,G1921)),Assumptions!$D$6,IF(ISNUMBER(SEARCH(Assumptions!$C$7,G1921)),Assumptions!$D$7,"Other Services"))),"Other Services"))</f>
        <v/>
      </c>
    </row>
    <row r="1922" customFormat="false" ht="15" hidden="false" customHeight="false" outlineLevel="0" collapsed="false">
      <c r="E1922" s="41" t="str">
        <f aca="false">IF(D1922="","",IFERROR(VLOOKUP(D1922,Assumptions!$G$5:$H$16,2,0),"Other"))</f>
        <v/>
      </c>
      <c r="J1922" s="41" t="str">
        <f aca="false">IF(G1922="","",IFERROR(IF(ISNUMBER(SEARCH(Assumptions!$C$5,G1922)),Assumptions!$D$5,IF(ISNUMBER(SEARCH(Assumptions!$C$6,G1922)),Assumptions!$D$6,IF(ISNUMBER(SEARCH(Assumptions!$C$7,G1922)),Assumptions!$D$7,"Other Services"))),"Other Services"))</f>
        <v/>
      </c>
    </row>
    <row r="1923" customFormat="false" ht="15" hidden="false" customHeight="false" outlineLevel="0" collapsed="false">
      <c r="E1923" s="41" t="str">
        <f aca="false">IF(D1923="","",IFERROR(VLOOKUP(D1923,Assumptions!$G$5:$H$16,2,0),"Other"))</f>
        <v/>
      </c>
      <c r="J1923" s="41" t="str">
        <f aca="false">IF(G1923="","",IFERROR(IF(ISNUMBER(SEARCH(Assumptions!$C$5,G1923)),Assumptions!$D$5,IF(ISNUMBER(SEARCH(Assumptions!$C$6,G1923)),Assumptions!$D$6,IF(ISNUMBER(SEARCH(Assumptions!$C$7,G1923)),Assumptions!$D$7,"Other Services"))),"Other Services"))</f>
        <v/>
      </c>
    </row>
    <row r="1924" customFormat="false" ht="15" hidden="false" customHeight="false" outlineLevel="0" collapsed="false">
      <c r="E1924" s="41" t="str">
        <f aca="false">IF(D1924="","",IFERROR(VLOOKUP(D1924,Assumptions!$G$5:$H$16,2,0),"Other"))</f>
        <v/>
      </c>
      <c r="J1924" s="41" t="str">
        <f aca="false">IF(G1924="","",IFERROR(IF(ISNUMBER(SEARCH(Assumptions!$C$5,G1924)),Assumptions!$D$5,IF(ISNUMBER(SEARCH(Assumptions!$C$6,G1924)),Assumptions!$D$6,IF(ISNUMBER(SEARCH(Assumptions!$C$7,G1924)),Assumptions!$D$7,"Other Services"))),"Other Services"))</f>
        <v/>
      </c>
    </row>
    <row r="1925" customFormat="false" ht="15" hidden="false" customHeight="false" outlineLevel="0" collapsed="false">
      <c r="E1925" s="41" t="str">
        <f aca="false">IF(D1925="","",IFERROR(VLOOKUP(D1925,Assumptions!$G$5:$H$16,2,0),"Other"))</f>
        <v/>
      </c>
      <c r="J1925" s="41" t="str">
        <f aca="false">IF(G1925="","",IFERROR(IF(ISNUMBER(SEARCH(Assumptions!$C$5,G1925)),Assumptions!$D$5,IF(ISNUMBER(SEARCH(Assumptions!$C$6,G1925)),Assumptions!$D$6,IF(ISNUMBER(SEARCH(Assumptions!$C$7,G1925)),Assumptions!$D$7,"Other Services"))),"Other Services"))</f>
        <v/>
      </c>
    </row>
    <row r="1926" customFormat="false" ht="15" hidden="false" customHeight="false" outlineLevel="0" collapsed="false">
      <c r="E1926" s="41" t="str">
        <f aca="false">IF(D1926="","",IFERROR(VLOOKUP(D1926,Assumptions!$G$5:$H$16,2,0),"Other"))</f>
        <v/>
      </c>
      <c r="J1926" s="41" t="str">
        <f aca="false">IF(G1926="","",IFERROR(IF(ISNUMBER(SEARCH(Assumptions!$C$5,G1926)),Assumptions!$D$5,IF(ISNUMBER(SEARCH(Assumptions!$C$6,G1926)),Assumptions!$D$6,IF(ISNUMBER(SEARCH(Assumptions!$C$7,G1926)),Assumptions!$D$7,"Other Services"))),"Other Services"))</f>
        <v/>
      </c>
    </row>
    <row r="1927" customFormat="false" ht="15" hidden="false" customHeight="false" outlineLevel="0" collapsed="false">
      <c r="E1927" s="41" t="str">
        <f aca="false">IF(D1927="","",IFERROR(VLOOKUP(D1927,Assumptions!$G$5:$H$16,2,0),"Other"))</f>
        <v/>
      </c>
      <c r="J1927" s="41" t="str">
        <f aca="false">IF(G1927="","",IFERROR(IF(ISNUMBER(SEARCH(Assumptions!$C$5,G1927)),Assumptions!$D$5,IF(ISNUMBER(SEARCH(Assumptions!$C$6,G1927)),Assumptions!$D$6,IF(ISNUMBER(SEARCH(Assumptions!$C$7,G1927)),Assumptions!$D$7,"Other Services"))),"Other Services"))</f>
        <v/>
      </c>
    </row>
    <row r="1928" customFormat="false" ht="15" hidden="false" customHeight="false" outlineLevel="0" collapsed="false">
      <c r="E1928" s="41" t="str">
        <f aca="false">IF(D1928="","",IFERROR(VLOOKUP(D1928,Assumptions!$G$5:$H$16,2,0),"Other"))</f>
        <v/>
      </c>
      <c r="J1928" s="41" t="str">
        <f aca="false">IF(G1928="","",IFERROR(IF(ISNUMBER(SEARCH(Assumptions!$C$5,G1928)),Assumptions!$D$5,IF(ISNUMBER(SEARCH(Assumptions!$C$6,G1928)),Assumptions!$D$6,IF(ISNUMBER(SEARCH(Assumptions!$C$7,G1928)),Assumptions!$D$7,"Other Services"))),"Other Services"))</f>
        <v/>
      </c>
    </row>
    <row r="1929" customFormat="false" ht="15" hidden="false" customHeight="false" outlineLevel="0" collapsed="false">
      <c r="E1929" s="41" t="str">
        <f aca="false">IF(D1929="","",IFERROR(VLOOKUP(D1929,Assumptions!$G$5:$H$16,2,0),"Other"))</f>
        <v/>
      </c>
      <c r="J1929" s="41" t="str">
        <f aca="false">IF(G1929="","",IFERROR(IF(ISNUMBER(SEARCH(Assumptions!$C$5,G1929)),Assumptions!$D$5,IF(ISNUMBER(SEARCH(Assumptions!$C$6,G1929)),Assumptions!$D$6,IF(ISNUMBER(SEARCH(Assumptions!$C$7,G1929)),Assumptions!$D$7,"Other Services"))),"Other Services"))</f>
        <v/>
      </c>
    </row>
    <row r="1930" customFormat="false" ht="15" hidden="false" customHeight="false" outlineLevel="0" collapsed="false">
      <c r="E1930" s="41" t="str">
        <f aca="false">IF(D1930="","",IFERROR(VLOOKUP(D1930,Assumptions!$G$5:$H$16,2,0),"Other"))</f>
        <v/>
      </c>
      <c r="J1930" s="41" t="str">
        <f aca="false">IF(G1930="","",IFERROR(IF(ISNUMBER(SEARCH(Assumptions!$C$5,G1930)),Assumptions!$D$5,IF(ISNUMBER(SEARCH(Assumptions!$C$6,G1930)),Assumptions!$D$6,IF(ISNUMBER(SEARCH(Assumptions!$C$7,G1930)),Assumptions!$D$7,"Other Services"))),"Other Services"))</f>
        <v/>
      </c>
    </row>
    <row r="1931" customFormat="false" ht="15" hidden="false" customHeight="false" outlineLevel="0" collapsed="false">
      <c r="E1931" s="41" t="str">
        <f aca="false">IF(D1931="","",IFERROR(VLOOKUP(D1931,Assumptions!$G$5:$H$16,2,0),"Other"))</f>
        <v/>
      </c>
      <c r="J1931" s="41" t="str">
        <f aca="false">IF(G1931="","",IFERROR(IF(ISNUMBER(SEARCH(Assumptions!$C$5,G1931)),Assumptions!$D$5,IF(ISNUMBER(SEARCH(Assumptions!$C$6,G1931)),Assumptions!$D$6,IF(ISNUMBER(SEARCH(Assumptions!$C$7,G1931)),Assumptions!$D$7,"Other Services"))),"Other Services"))</f>
        <v/>
      </c>
    </row>
    <row r="1932" customFormat="false" ht="15" hidden="false" customHeight="false" outlineLevel="0" collapsed="false">
      <c r="E1932" s="41" t="str">
        <f aca="false">IF(D1932="","",IFERROR(VLOOKUP(D1932,Assumptions!$G$5:$H$16,2,0),"Other"))</f>
        <v/>
      </c>
      <c r="J1932" s="41" t="str">
        <f aca="false">IF(G1932="","",IFERROR(IF(ISNUMBER(SEARCH(Assumptions!$C$5,G1932)),Assumptions!$D$5,IF(ISNUMBER(SEARCH(Assumptions!$C$6,G1932)),Assumptions!$D$6,IF(ISNUMBER(SEARCH(Assumptions!$C$7,G1932)),Assumptions!$D$7,"Other Services"))),"Other Services"))</f>
        <v/>
      </c>
    </row>
    <row r="1933" customFormat="false" ht="15" hidden="false" customHeight="false" outlineLevel="0" collapsed="false">
      <c r="E1933" s="41" t="str">
        <f aca="false">IF(D1933="","",IFERROR(VLOOKUP(D1933,Assumptions!$G$5:$H$16,2,0),"Other"))</f>
        <v/>
      </c>
      <c r="J1933" s="41" t="str">
        <f aca="false">IF(G1933="","",IFERROR(IF(ISNUMBER(SEARCH(Assumptions!$C$5,G1933)),Assumptions!$D$5,IF(ISNUMBER(SEARCH(Assumptions!$C$6,G1933)),Assumptions!$D$6,IF(ISNUMBER(SEARCH(Assumptions!$C$7,G1933)),Assumptions!$D$7,"Other Services"))),"Other Services"))</f>
        <v/>
      </c>
    </row>
    <row r="1934" customFormat="false" ht="15" hidden="false" customHeight="false" outlineLevel="0" collapsed="false">
      <c r="E1934" s="41" t="str">
        <f aca="false">IF(D1934="","",IFERROR(VLOOKUP(D1934,Assumptions!$G$5:$H$16,2,0),"Other"))</f>
        <v/>
      </c>
      <c r="J1934" s="41" t="str">
        <f aca="false">IF(G1934="","",IFERROR(IF(ISNUMBER(SEARCH(Assumptions!$C$5,G1934)),Assumptions!$D$5,IF(ISNUMBER(SEARCH(Assumptions!$C$6,G1934)),Assumptions!$D$6,IF(ISNUMBER(SEARCH(Assumptions!$C$7,G1934)),Assumptions!$D$7,"Other Services"))),"Other Services"))</f>
        <v/>
      </c>
    </row>
    <row r="1935" customFormat="false" ht="15" hidden="false" customHeight="false" outlineLevel="0" collapsed="false">
      <c r="E1935" s="41" t="str">
        <f aca="false">IF(D1935="","",IFERROR(VLOOKUP(D1935,Assumptions!$G$5:$H$16,2,0),"Other"))</f>
        <v/>
      </c>
      <c r="J1935" s="41" t="str">
        <f aca="false">IF(G1935="","",IFERROR(IF(ISNUMBER(SEARCH(Assumptions!$C$5,G1935)),Assumptions!$D$5,IF(ISNUMBER(SEARCH(Assumptions!$C$6,G1935)),Assumptions!$D$6,IF(ISNUMBER(SEARCH(Assumptions!$C$7,G1935)),Assumptions!$D$7,"Other Services"))),"Other Services"))</f>
        <v/>
      </c>
    </row>
    <row r="1936" customFormat="false" ht="15" hidden="false" customHeight="false" outlineLevel="0" collapsed="false">
      <c r="E1936" s="41" t="str">
        <f aca="false">IF(D1936="","",IFERROR(VLOOKUP(D1936,Assumptions!$G$5:$H$16,2,0),"Other"))</f>
        <v/>
      </c>
      <c r="J1936" s="41" t="str">
        <f aca="false">IF(G1936="","",IFERROR(IF(ISNUMBER(SEARCH(Assumptions!$C$5,G1936)),Assumptions!$D$5,IF(ISNUMBER(SEARCH(Assumptions!$C$6,G1936)),Assumptions!$D$6,IF(ISNUMBER(SEARCH(Assumptions!$C$7,G1936)),Assumptions!$D$7,"Other Services"))),"Other Services"))</f>
        <v/>
      </c>
    </row>
    <row r="1937" customFormat="false" ht="15" hidden="false" customHeight="false" outlineLevel="0" collapsed="false">
      <c r="E1937" s="41" t="str">
        <f aca="false">IF(D1937="","",IFERROR(VLOOKUP(D1937,Assumptions!$G$5:$H$16,2,0),"Other"))</f>
        <v/>
      </c>
      <c r="J1937" s="41" t="str">
        <f aca="false">IF(G1937="","",IFERROR(IF(ISNUMBER(SEARCH(Assumptions!$C$5,G1937)),Assumptions!$D$5,IF(ISNUMBER(SEARCH(Assumptions!$C$6,G1937)),Assumptions!$D$6,IF(ISNUMBER(SEARCH(Assumptions!$C$7,G1937)),Assumptions!$D$7,"Other Services"))),"Other Services"))</f>
        <v/>
      </c>
    </row>
    <row r="1938" customFormat="false" ht="15" hidden="false" customHeight="false" outlineLevel="0" collapsed="false">
      <c r="E1938" s="41" t="str">
        <f aca="false">IF(D1938="","",IFERROR(VLOOKUP(D1938,Assumptions!$G$5:$H$16,2,0),"Other"))</f>
        <v/>
      </c>
      <c r="J1938" s="41" t="str">
        <f aca="false">IF(G1938="","",IFERROR(IF(ISNUMBER(SEARCH(Assumptions!$C$5,G1938)),Assumptions!$D$5,IF(ISNUMBER(SEARCH(Assumptions!$C$6,G1938)),Assumptions!$D$6,IF(ISNUMBER(SEARCH(Assumptions!$C$7,G1938)),Assumptions!$D$7,"Other Services"))),"Other Services"))</f>
        <v/>
      </c>
    </row>
    <row r="1939" customFormat="false" ht="15" hidden="false" customHeight="false" outlineLevel="0" collapsed="false">
      <c r="E1939" s="41" t="str">
        <f aca="false">IF(D1939="","",IFERROR(VLOOKUP(D1939,Assumptions!$G$5:$H$16,2,0),"Other"))</f>
        <v/>
      </c>
      <c r="J1939" s="41" t="str">
        <f aca="false">IF(G1939="","",IFERROR(IF(ISNUMBER(SEARCH(Assumptions!$C$5,G1939)),Assumptions!$D$5,IF(ISNUMBER(SEARCH(Assumptions!$C$6,G1939)),Assumptions!$D$6,IF(ISNUMBER(SEARCH(Assumptions!$C$7,G1939)),Assumptions!$D$7,"Other Services"))),"Other Services"))</f>
        <v/>
      </c>
    </row>
    <row r="1940" customFormat="false" ht="15" hidden="false" customHeight="false" outlineLevel="0" collapsed="false">
      <c r="E1940" s="41" t="str">
        <f aca="false">IF(D1940="","",IFERROR(VLOOKUP(D1940,Assumptions!$G$5:$H$16,2,0),"Other"))</f>
        <v/>
      </c>
      <c r="J1940" s="41" t="str">
        <f aca="false">IF(G1940="","",IFERROR(IF(ISNUMBER(SEARCH(Assumptions!$C$5,G1940)),Assumptions!$D$5,IF(ISNUMBER(SEARCH(Assumptions!$C$6,G1940)),Assumptions!$D$6,IF(ISNUMBER(SEARCH(Assumptions!$C$7,G1940)),Assumptions!$D$7,"Other Services"))),"Other Services"))</f>
        <v/>
      </c>
    </row>
    <row r="1941" customFormat="false" ht="15" hidden="false" customHeight="false" outlineLevel="0" collapsed="false">
      <c r="E1941" s="41" t="str">
        <f aca="false">IF(D1941="","",IFERROR(VLOOKUP(D1941,Assumptions!$G$5:$H$16,2,0),"Other"))</f>
        <v/>
      </c>
      <c r="J1941" s="41" t="str">
        <f aca="false">IF(G1941="","",IFERROR(IF(ISNUMBER(SEARCH(Assumptions!$C$5,G1941)),Assumptions!$D$5,IF(ISNUMBER(SEARCH(Assumptions!$C$6,G1941)),Assumptions!$D$6,IF(ISNUMBER(SEARCH(Assumptions!$C$7,G1941)),Assumptions!$D$7,"Other Services"))),"Other Services"))</f>
        <v/>
      </c>
    </row>
    <row r="1942" customFormat="false" ht="15" hidden="false" customHeight="false" outlineLevel="0" collapsed="false">
      <c r="E1942" s="41" t="str">
        <f aca="false">IF(D1942="","",IFERROR(VLOOKUP(D1942,Assumptions!$G$5:$H$16,2,0),"Other"))</f>
        <v/>
      </c>
      <c r="J1942" s="41" t="str">
        <f aca="false">IF(G1942="","",IFERROR(IF(ISNUMBER(SEARCH(Assumptions!$C$5,G1942)),Assumptions!$D$5,IF(ISNUMBER(SEARCH(Assumptions!$C$6,G1942)),Assumptions!$D$6,IF(ISNUMBER(SEARCH(Assumptions!$C$7,G1942)),Assumptions!$D$7,"Other Services"))),"Other Services"))</f>
        <v/>
      </c>
    </row>
    <row r="1943" customFormat="false" ht="15" hidden="false" customHeight="false" outlineLevel="0" collapsed="false">
      <c r="E1943" s="41" t="str">
        <f aca="false">IF(D1943="","",IFERROR(VLOOKUP(D1943,Assumptions!$G$5:$H$16,2,0),"Other"))</f>
        <v/>
      </c>
      <c r="J1943" s="41" t="str">
        <f aca="false">IF(G1943="","",IFERROR(IF(ISNUMBER(SEARCH(Assumptions!$C$5,G1943)),Assumptions!$D$5,IF(ISNUMBER(SEARCH(Assumptions!$C$6,G1943)),Assumptions!$D$6,IF(ISNUMBER(SEARCH(Assumptions!$C$7,G1943)),Assumptions!$D$7,"Other Services"))),"Other Services"))</f>
        <v/>
      </c>
    </row>
    <row r="1944" customFormat="false" ht="15" hidden="false" customHeight="false" outlineLevel="0" collapsed="false">
      <c r="E1944" s="41" t="str">
        <f aca="false">IF(D1944="","",IFERROR(VLOOKUP(D1944,Assumptions!$G$5:$H$16,2,0),"Other"))</f>
        <v/>
      </c>
      <c r="J1944" s="41" t="str">
        <f aca="false">IF(G1944="","",IFERROR(IF(ISNUMBER(SEARCH(Assumptions!$C$5,G1944)),Assumptions!$D$5,IF(ISNUMBER(SEARCH(Assumptions!$C$6,G1944)),Assumptions!$D$6,IF(ISNUMBER(SEARCH(Assumptions!$C$7,G1944)),Assumptions!$D$7,"Other Services"))),"Other Services"))</f>
        <v/>
      </c>
    </row>
    <row r="1945" customFormat="false" ht="15" hidden="false" customHeight="false" outlineLevel="0" collapsed="false">
      <c r="E1945" s="41" t="str">
        <f aca="false">IF(D1945="","",IFERROR(VLOOKUP(D1945,Assumptions!$G$5:$H$16,2,0),"Other"))</f>
        <v/>
      </c>
      <c r="J1945" s="41" t="str">
        <f aca="false">IF(G1945="","",IFERROR(IF(ISNUMBER(SEARCH(Assumptions!$C$5,G1945)),Assumptions!$D$5,IF(ISNUMBER(SEARCH(Assumptions!$C$6,G1945)),Assumptions!$D$6,IF(ISNUMBER(SEARCH(Assumptions!$C$7,G1945)),Assumptions!$D$7,"Other Services"))),"Other Services"))</f>
        <v/>
      </c>
    </row>
    <row r="1946" customFormat="false" ht="15" hidden="false" customHeight="false" outlineLevel="0" collapsed="false">
      <c r="E1946" s="41" t="str">
        <f aca="false">IF(D1946="","",IFERROR(VLOOKUP(D1946,Assumptions!$G$5:$H$16,2,0),"Other"))</f>
        <v/>
      </c>
      <c r="J1946" s="41" t="str">
        <f aca="false">IF(G1946="","",IFERROR(IF(ISNUMBER(SEARCH(Assumptions!$C$5,G1946)),Assumptions!$D$5,IF(ISNUMBER(SEARCH(Assumptions!$C$6,G1946)),Assumptions!$D$6,IF(ISNUMBER(SEARCH(Assumptions!$C$7,G1946)),Assumptions!$D$7,"Other Services"))),"Other Services"))</f>
        <v/>
      </c>
    </row>
    <row r="1947" customFormat="false" ht="15" hidden="false" customHeight="false" outlineLevel="0" collapsed="false">
      <c r="E1947" s="41" t="str">
        <f aca="false">IF(D1947="","",IFERROR(VLOOKUP(D1947,Assumptions!$G$5:$H$16,2,0),"Other"))</f>
        <v/>
      </c>
      <c r="J1947" s="41" t="str">
        <f aca="false">IF(G1947="","",IFERROR(IF(ISNUMBER(SEARCH(Assumptions!$C$5,G1947)),Assumptions!$D$5,IF(ISNUMBER(SEARCH(Assumptions!$C$6,G1947)),Assumptions!$D$6,IF(ISNUMBER(SEARCH(Assumptions!$C$7,G1947)),Assumptions!$D$7,"Other Services"))),"Other Services"))</f>
        <v/>
      </c>
    </row>
    <row r="1948" customFormat="false" ht="15" hidden="false" customHeight="false" outlineLevel="0" collapsed="false">
      <c r="E1948" s="41" t="str">
        <f aca="false">IF(D1948="","",IFERROR(VLOOKUP(D1948,Assumptions!$G$5:$H$16,2,0),"Other"))</f>
        <v/>
      </c>
      <c r="J1948" s="41" t="str">
        <f aca="false">IF(G1948="","",IFERROR(IF(ISNUMBER(SEARCH(Assumptions!$C$5,G1948)),Assumptions!$D$5,IF(ISNUMBER(SEARCH(Assumptions!$C$6,G1948)),Assumptions!$D$6,IF(ISNUMBER(SEARCH(Assumptions!$C$7,G1948)),Assumptions!$D$7,"Other Services"))),"Other Services"))</f>
        <v/>
      </c>
    </row>
    <row r="1949" customFormat="false" ht="15" hidden="false" customHeight="false" outlineLevel="0" collapsed="false">
      <c r="E1949" s="41" t="str">
        <f aca="false">IF(D1949="","",IFERROR(VLOOKUP(D1949,Assumptions!$G$5:$H$16,2,0),"Other"))</f>
        <v/>
      </c>
      <c r="J1949" s="41" t="str">
        <f aca="false">IF(G1949="","",IFERROR(IF(ISNUMBER(SEARCH(Assumptions!$C$5,G1949)),Assumptions!$D$5,IF(ISNUMBER(SEARCH(Assumptions!$C$6,G1949)),Assumptions!$D$6,IF(ISNUMBER(SEARCH(Assumptions!$C$7,G1949)),Assumptions!$D$7,"Other Services"))),"Other Services"))</f>
        <v/>
      </c>
    </row>
    <row r="1950" customFormat="false" ht="15" hidden="false" customHeight="false" outlineLevel="0" collapsed="false">
      <c r="E1950" s="41" t="str">
        <f aca="false">IF(D1950="","",IFERROR(VLOOKUP(D1950,Assumptions!$G$5:$H$16,2,0),"Other"))</f>
        <v/>
      </c>
      <c r="J1950" s="41" t="str">
        <f aca="false">IF(G1950="","",IFERROR(IF(ISNUMBER(SEARCH(Assumptions!$C$5,G1950)),Assumptions!$D$5,IF(ISNUMBER(SEARCH(Assumptions!$C$6,G1950)),Assumptions!$D$6,IF(ISNUMBER(SEARCH(Assumptions!$C$7,G1950)),Assumptions!$D$7,"Other Services"))),"Other Services"))</f>
        <v/>
      </c>
    </row>
    <row r="1951" customFormat="false" ht="15" hidden="false" customHeight="false" outlineLevel="0" collapsed="false">
      <c r="E1951" s="41" t="str">
        <f aca="false">IF(D1951="","",IFERROR(VLOOKUP(D1951,Assumptions!$G$5:$H$16,2,0),"Other"))</f>
        <v/>
      </c>
      <c r="J1951" s="41" t="str">
        <f aca="false">IF(G1951="","",IFERROR(IF(ISNUMBER(SEARCH(Assumptions!$C$5,G1951)),Assumptions!$D$5,IF(ISNUMBER(SEARCH(Assumptions!$C$6,G1951)),Assumptions!$D$6,IF(ISNUMBER(SEARCH(Assumptions!$C$7,G1951)),Assumptions!$D$7,"Other Services"))),"Other Services"))</f>
        <v/>
      </c>
    </row>
    <row r="1952" customFormat="false" ht="15" hidden="false" customHeight="false" outlineLevel="0" collapsed="false">
      <c r="E1952" s="41" t="str">
        <f aca="false">IF(D1952="","",IFERROR(VLOOKUP(D1952,Assumptions!$G$5:$H$16,2,0),"Other"))</f>
        <v/>
      </c>
      <c r="J1952" s="41" t="str">
        <f aca="false">IF(G1952="","",IFERROR(IF(ISNUMBER(SEARCH(Assumptions!$C$5,G1952)),Assumptions!$D$5,IF(ISNUMBER(SEARCH(Assumptions!$C$6,G1952)),Assumptions!$D$6,IF(ISNUMBER(SEARCH(Assumptions!$C$7,G1952)),Assumptions!$D$7,"Other Services"))),"Other Services"))</f>
        <v/>
      </c>
    </row>
    <row r="1953" customFormat="false" ht="15" hidden="false" customHeight="false" outlineLevel="0" collapsed="false">
      <c r="E1953" s="41" t="str">
        <f aca="false">IF(D1953="","",IFERROR(VLOOKUP(D1953,Assumptions!$G$5:$H$16,2,0),"Other"))</f>
        <v/>
      </c>
      <c r="J1953" s="41" t="str">
        <f aca="false">IF(G1953="","",IFERROR(IF(ISNUMBER(SEARCH(Assumptions!$C$5,G1953)),Assumptions!$D$5,IF(ISNUMBER(SEARCH(Assumptions!$C$6,G1953)),Assumptions!$D$6,IF(ISNUMBER(SEARCH(Assumptions!$C$7,G1953)),Assumptions!$D$7,"Other Services"))),"Other Services"))</f>
        <v/>
      </c>
    </row>
    <row r="1954" customFormat="false" ht="15" hidden="false" customHeight="false" outlineLevel="0" collapsed="false">
      <c r="E1954" s="41" t="str">
        <f aca="false">IF(D1954="","",IFERROR(VLOOKUP(D1954,Assumptions!$G$5:$H$16,2,0),"Other"))</f>
        <v/>
      </c>
      <c r="J1954" s="41" t="str">
        <f aca="false">IF(G1954="","",IFERROR(IF(ISNUMBER(SEARCH(Assumptions!$C$5,G1954)),Assumptions!$D$5,IF(ISNUMBER(SEARCH(Assumptions!$C$6,G1954)),Assumptions!$D$6,IF(ISNUMBER(SEARCH(Assumptions!$C$7,G1954)),Assumptions!$D$7,"Other Services"))),"Other Services"))</f>
        <v/>
      </c>
    </row>
    <row r="1955" customFormat="false" ht="15" hidden="false" customHeight="false" outlineLevel="0" collapsed="false">
      <c r="E1955" s="41" t="str">
        <f aca="false">IF(D1955="","",IFERROR(VLOOKUP(D1955,Assumptions!$G$5:$H$16,2,0),"Other"))</f>
        <v/>
      </c>
      <c r="J1955" s="41" t="str">
        <f aca="false">IF(G1955="","",IFERROR(IF(ISNUMBER(SEARCH(Assumptions!$C$5,G1955)),Assumptions!$D$5,IF(ISNUMBER(SEARCH(Assumptions!$C$6,G1955)),Assumptions!$D$6,IF(ISNUMBER(SEARCH(Assumptions!$C$7,G1955)),Assumptions!$D$7,"Other Services"))),"Other Services"))</f>
        <v/>
      </c>
    </row>
    <row r="1956" customFormat="false" ht="15" hidden="false" customHeight="false" outlineLevel="0" collapsed="false">
      <c r="E1956" s="41" t="str">
        <f aca="false">IF(D1956="","",IFERROR(VLOOKUP(D1956,Assumptions!$G$5:$H$16,2,0),"Other"))</f>
        <v/>
      </c>
      <c r="J1956" s="41" t="str">
        <f aca="false">IF(G1956="","",IFERROR(IF(ISNUMBER(SEARCH(Assumptions!$C$5,G1956)),Assumptions!$D$5,IF(ISNUMBER(SEARCH(Assumptions!$C$6,G1956)),Assumptions!$D$6,IF(ISNUMBER(SEARCH(Assumptions!$C$7,G1956)),Assumptions!$D$7,"Other Services"))),"Other Services"))</f>
        <v/>
      </c>
    </row>
    <row r="1957" customFormat="false" ht="15" hidden="false" customHeight="false" outlineLevel="0" collapsed="false">
      <c r="E1957" s="41" t="str">
        <f aca="false">IF(D1957="","",IFERROR(VLOOKUP(D1957,Assumptions!$G$5:$H$16,2,0),"Other"))</f>
        <v/>
      </c>
      <c r="J1957" s="41" t="str">
        <f aca="false">IF(G1957="","",IFERROR(IF(ISNUMBER(SEARCH(Assumptions!$C$5,G1957)),Assumptions!$D$5,IF(ISNUMBER(SEARCH(Assumptions!$C$6,G1957)),Assumptions!$D$6,IF(ISNUMBER(SEARCH(Assumptions!$C$7,G1957)),Assumptions!$D$7,"Other Services"))),"Other Services"))</f>
        <v/>
      </c>
    </row>
    <row r="1958" customFormat="false" ht="15" hidden="false" customHeight="false" outlineLevel="0" collapsed="false">
      <c r="E1958" s="41" t="str">
        <f aca="false">IF(D1958="","",IFERROR(VLOOKUP(D1958,Assumptions!$G$5:$H$16,2,0),"Other"))</f>
        <v/>
      </c>
      <c r="J1958" s="41" t="str">
        <f aca="false">IF(G1958="","",IFERROR(IF(ISNUMBER(SEARCH(Assumptions!$C$5,G1958)),Assumptions!$D$5,IF(ISNUMBER(SEARCH(Assumptions!$C$6,G1958)),Assumptions!$D$6,IF(ISNUMBER(SEARCH(Assumptions!$C$7,G1958)),Assumptions!$D$7,"Other Services"))),"Other Services"))</f>
        <v/>
      </c>
    </row>
    <row r="1959" customFormat="false" ht="15" hidden="false" customHeight="false" outlineLevel="0" collapsed="false">
      <c r="E1959" s="41" t="str">
        <f aca="false">IF(D1959="","",IFERROR(VLOOKUP(D1959,Assumptions!$G$5:$H$16,2,0),"Other"))</f>
        <v/>
      </c>
      <c r="J1959" s="41" t="str">
        <f aca="false">IF(G1959="","",IFERROR(IF(ISNUMBER(SEARCH(Assumptions!$C$5,G1959)),Assumptions!$D$5,IF(ISNUMBER(SEARCH(Assumptions!$C$6,G1959)),Assumptions!$D$6,IF(ISNUMBER(SEARCH(Assumptions!$C$7,G1959)),Assumptions!$D$7,"Other Services"))),"Other Services"))</f>
        <v/>
      </c>
    </row>
    <row r="1960" customFormat="false" ht="15" hidden="false" customHeight="false" outlineLevel="0" collapsed="false">
      <c r="E1960" s="41" t="str">
        <f aca="false">IF(D1960="","",IFERROR(VLOOKUP(D1960,Assumptions!$G$5:$H$16,2,0),"Other"))</f>
        <v/>
      </c>
      <c r="J1960" s="41" t="str">
        <f aca="false">IF(G1960="","",IFERROR(IF(ISNUMBER(SEARCH(Assumptions!$C$5,G1960)),Assumptions!$D$5,IF(ISNUMBER(SEARCH(Assumptions!$C$6,G1960)),Assumptions!$D$6,IF(ISNUMBER(SEARCH(Assumptions!$C$7,G1960)),Assumptions!$D$7,"Other Services"))),"Other Services"))</f>
        <v/>
      </c>
    </row>
    <row r="1961" customFormat="false" ht="15" hidden="false" customHeight="false" outlineLevel="0" collapsed="false">
      <c r="E1961" s="41" t="str">
        <f aca="false">IF(D1961="","",IFERROR(VLOOKUP(D1961,Assumptions!$G$5:$H$16,2,0),"Other"))</f>
        <v/>
      </c>
      <c r="J1961" s="41" t="str">
        <f aca="false">IF(G1961="","",IFERROR(IF(ISNUMBER(SEARCH(Assumptions!$C$5,G1961)),Assumptions!$D$5,IF(ISNUMBER(SEARCH(Assumptions!$C$6,G1961)),Assumptions!$D$6,IF(ISNUMBER(SEARCH(Assumptions!$C$7,G1961)),Assumptions!$D$7,"Other Services"))),"Other Services"))</f>
        <v/>
      </c>
    </row>
    <row r="1962" customFormat="false" ht="15" hidden="false" customHeight="false" outlineLevel="0" collapsed="false">
      <c r="E1962" s="41" t="str">
        <f aca="false">IF(D1962="","",IFERROR(VLOOKUP(D1962,Assumptions!$G$5:$H$16,2,0),"Other"))</f>
        <v/>
      </c>
      <c r="J1962" s="41" t="str">
        <f aca="false">IF(G1962="","",IFERROR(IF(ISNUMBER(SEARCH(Assumptions!$C$5,G1962)),Assumptions!$D$5,IF(ISNUMBER(SEARCH(Assumptions!$C$6,G1962)),Assumptions!$D$6,IF(ISNUMBER(SEARCH(Assumptions!$C$7,G1962)),Assumptions!$D$7,"Other Services"))),"Other Services"))</f>
        <v/>
      </c>
    </row>
    <row r="1963" customFormat="false" ht="15" hidden="false" customHeight="false" outlineLevel="0" collapsed="false">
      <c r="E1963" s="41" t="str">
        <f aca="false">IF(D1963="","",IFERROR(VLOOKUP(D1963,Assumptions!$G$5:$H$16,2,0),"Other"))</f>
        <v/>
      </c>
      <c r="J1963" s="41" t="str">
        <f aca="false">IF(G1963="","",IFERROR(IF(ISNUMBER(SEARCH(Assumptions!$C$5,G1963)),Assumptions!$D$5,IF(ISNUMBER(SEARCH(Assumptions!$C$6,G1963)),Assumptions!$D$6,IF(ISNUMBER(SEARCH(Assumptions!$C$7,G1963)),Assumptions!$D$7,"Other Services"))),"Other Services"))</f>
        <v/>
      </c>
    </row>
    <row r="1964" customFormat="false" ht="15" hidden="false" customHeight="false" outlineLevel="0" collapsed="false">
      <c r="E1964" s="41" t="str">
        <f aca="false">IF(D1964="","",IFERROR(VLOOKUP(D1964,Assumptions!$G$5:$H$16,2,0),"Other"))</f>
        <v/>
      </c>
      <c r="J1964" s="41" t="str">
        <f aca="false">IF(G1964="","",IFERROR(IF(ISNUMBER(SEARCH(Assumptions!$C$5,G1964)),Assumptions!$D$5,IF(ISNUMBER(SEARCH(Assumptions!$C$6,G1964)),Assumptions!$D$6,IF(ISNUMBER(SEARCH(Assumptions!$C$7,G1964)),Assumptions!$D$7,"Other Services"))),"Other Services"))</f>
        <v/>
      </c>
    </row>
    <row r="1965" customFormat="false" ht="15" hidden="false" customHeight="false" outlineLevel="0" collapsed="false">
      <c r="E1965" s="41" t="str">
        <f aca="false">IF(D1965="","",IFERROR(VLOOKUP(D1965,Assumptions!$G$5:$H$16,2,0),"Other"))</f>
        <v/>
      </c>
      <c r="J1965" s="41" t="str">
        <f aca="false">IF(G1965="","",IFERROR(IF(ISNUMBER(SEARCH(Assumptions!$C$5,G1965)),Assumptions!$D$5,IF(ISNUMBER(SEARCH(Assumptions!$C$6,G1965)),Assumptions!$D$6,IF(ISNUMBER(SEARCH(Assumptions!$C$7,G1965)),Assumptions!$D$7,"Other Services"))),"Other Services"))</f>
        <v/>
      </c>
    </row>
    <row r="1966" customFormat="false" ht="15" hidden="false" customHeight="false" outlineLevel="0" collapsed="false">
      <c r="E1966" s="41" t="str">
        <f aca="false">IF(D1966="","",IFERROR(VLOOKUP(D1966,Assumptions!$G$5:$H$16,2,0),"Other"))</f>
        <v/>
      </c>
      <c r="J1966" s="41" t="str">
        <f aca="false">IF(G1966="","",IFERROR(IF(ISNUMBER(SEARCH(Assumptions!$C$5,G1966)),Assumptions!$D$5,IF(ISNUMBER(SEARCH(Assumptions!$C$6,G1966)),Assumptions!$D$6,IF(ISNUMBER(SEARCH(Assumptions!$C$7,G1966)),Assumptions!$D$7,"Other Services"))),"Other Services"))</f>
        <v/>
      </c>
    </row>
    <row r="1967" customFormat="false" ht="15" hidden="false" customHeight="false" outlineLevel="0" collapsed="false">
      <c r="E1967" s="41" t="str">
        <f aca="false">IF(D1967="","",IFERROR(VLOOKUP(D1967,Assumptions!$G$5:$H$16,2,0),"Other"))</f>
        <v/>
      </c>
      <c r="J1967" s="41" t="str">
        <f aca="false">IF(G1967="","",IFERROR(IF(ISNUMBER(SEARCH(Assumptions!$C$5,G1967)),Assumptions!$D$5,IF(ISNUMBER(SEARCH(Assumptions!$C$6,G1967)),Assumptions!$D$6,IF(ISNUMBER(SEARCH(Assumptions!$C$7,G1967)),Assumptions!$D$7,"Other Services"))),"Other Services"))</f>
        <v/>
      </c>
    </row>
    <row r="1968" customFormat="false" ht="15" hidden="false" customHeight="false" outlineLevel="0" collapsed="false">
      <c r="E1968" s="41" t="str">
        <f aca="false">IF(D1968="","",IFERROR(VLOOKUP(D1968,Assumptions!$G$5:$H$16,2,0),"Other"))</f>
        <v/>
      </c>
      <c r="J1968" s="41" t="str">
        <f aca="false">IF(G1968="","",IFERROR(IF(ISNUMBER(SEARCH(Assumptions!$C$5,G1968)),Assumptions!$D$5,IF(ISNUMBER(SEARCH(Assumptions!$C$6,G1968)),Assumptions!$D$6,IF(ISNUMBER(SEARCH(Assumptions!$C$7,G1968)),Assumptions!$D$7,"Other Services"))),"Other Services"))</f>
        <v/>
      </c>
    </row>
    <row r="1969" customFormat="false" ht="15" hidden="false" customHeight="false" outlineLevel="0" collapsed="false">
      <c r="E1969" s="41" t="str">
        <f aca="false">IF(D1969="","",IFERROR(VLOOKUP(D1969,Assumptions!$G$5:$H$16,2,0),"Other"))</f>
        <v/>
      </c>
      <c r="J1969" s="41" t="str">
        <f aca="false">IF(G1969="","",IFERROR(IF(ISNUMBER(SEARCH(Assumptions!$C$5,G1969)),Assumptions!$D$5,IF(ISNUMBER(SEARCH(Assumptions!$C$6,G1969)),Assumptions!$D$6,IF(ISNUMBER(SEARCH(Assumptions!$C$7,G1969)),Assumptions!$D$7,"Other Services"))),"Other Services"))</f>
        <v/>
      </c>
    </row>
    <row r="1970" customFormat="false" ht="15" hidden="false" customHeight="false" outlineLevel="0" collapsed="false">
      <c r="E1970" s="41" t="str">
        <f aca="false">IF(D1970="","",IFERROR(VLOOKUP(D1970,Assumptions!$G$5:$H$16,2,0),"Other"))</f>
        <v/>
      </c>
      <c r="J1970" s="41" t="str">
        <f aca="false">IF(G1970="","",IFERROR(IF(ISNUMBER(SEARCH(Assumptions!$C$5,G1970)),Assumptions!$D$5,IF(ISNUMBER(SEARCH(Assumptions!$C$6,G1970)),Assumptions!$D$6,IF(ISNUMBER(SEARCH(Assumptions!$C$7,G1970)),Assumptions!$D$7,"Other Services"))),"Other Services"))</f>
        <v/>
      </c>
    </row>
    <row r="1971" customFormat="false" ht="15" hidden="false" customHeight="false" outlineLevel="0" collapsed="false">
      <c r="E1971" s="41" t="str">
        <f aca="false">IF(D1971="","",IFERROR(VLOOKUP(D1971,Assumptions!$G$5:$H$16,2,0),"Other"))</f>
        <v/>
      </c>
      <c r="J1971" s="41" t="str">
        <f aca="false">IF(G1971="","",IFERROR(IF(ISNUMBER(SEARCH(Assumptions!$C$5,G1971)),Assumptions!$D$5,IF(ISNUMBER(SEARCH(Assumptions!$C$6,G1971)),Assumptions!$D$6,IF(ISNUMBER(SEARCH(Assumptions!$C$7,G1971)),Assumptions!$D$7,"Other Services"))),"Other Services"))</f>
        <v/>
      </c>
    </row>
    <row r="1972" customFormat="false" ht="15" hidden="false" customHeight="false" outlineLevel="0" collapsed="false">
      <c r="E1972" s="41" t="str">
        <f aca="false">IF(D1972="","",IFERROR(VLOOKUP(D1972,Assumptions!$G$5:$H$16,2,0),"Other"))</f>
        <v/>
      </c>
      <c r="J1972" s="41" t="str">
        <f aca="false">IF(G1972="","",IFERROR(IF(ISNUMBER(SEARCH(Assumptions!$C$5,G1972)),Assumptions!$D$5,IF(ISNUMBER(SEARCH(Assumptions!$C$6,G1972)),Assumptions!$D$6,IF(ISNUMBER(SEARCH(Assumptions!$C$7,G1972)),Assumptions!$D$7,"Other Services"))),"Other Services"))</f>
        <v/>
      </c>
    </row>
    <row r="1973" customFormat="false" ht="15" hidden="false" customHeight="false" outlineLevel="0" collapsed="false">
      <c r="E1973" s="41" t="str">
        <f aca="false">IF(D1973="","",IFERROR(VLOOKUP(D1973,Assumptions!$G$5:$H$16,2,0),"Other"))</f>
        <v/>
      </c>
      <c r="J1973" s="41" t="str">
        <f aca="false">IF(G1973="","",IFERROR(IF(ISNUMBER(SEARCH(Assumptions!$C$5,G1973)),Assumptions!$D$5,IF(ISNUMBER(SEARCH(Assumptions!$C$6,G1973)),Assumptions!$D$6,IF(ISNUMBER(SEARCH(Assumptions!$C$7,G1973)),Assumptions!$D$7,"Other Services"))),"Other Services"))</f>
        <v/>
      </c>
    </row>
    <row r="1974" customFormat="false" ht="15" hidden="false" customHeight="false" outlineLevel="0" collapsed="false">
      <c r="E1974" s="41" t="str">
        <f aca="false">IF(D1974="","",IFERROR(VLOOKUP(D1974,Assumptions!$G$5:$H$16,2,0),"Other"))</f>
        <v/>
      </c>
      <c r="J1974" s="41" t="str">
        <f aca="false">IF(G1974="","",IFERROR(IF(ISNUMBER(SEARCH(Assumptions!$C$5,G1974)),Assumptions!$D$5,IF(ISNUMBER(SEARCH(Assumptions!$C$6,G1974)),Assumptions!$D$6,IF(ISNUMBER(SEARCH(Assumptions!$C$7,G1974)),Assumptions!$D$7,"Other Services"))),"Other Services"))</f>
        <v/>
      </c>
    </row>
    <row r="1975" customFormat="false" ht="15" hidden="false" customHeight="false" outlineLevel="0" collapsed="false">
      <c r="E1975" s="41" t="str">
        <f aca="false">IF(D1975="","",IFERROR(VLOOKUP(D1975,Assumptions!$G$5:$H$16,2,0),"Other"))</f>
        <v/>
      </c>
      <c r="J1975" s="41" t="str">
        <f aca="false">IF(G1975="","",IFERROR(IF(ISNUMBER(SEARCH(Assumptions!$C$5,G1975)),Assumptions!$D$5,IF(ISNUMBER(SEARCH(Assumptions!$C$6,G1975)),Assumptions!$D$6,IF(ISNUMBER(SEARCH(Assumptions!$C$7,G1975)),Assumptions!$D$7,"Other Services"))),"Other Services"))</f>
        <v/>
      </c>
    </row>
    <row r="1976" customFormat="false" ht="15" hidden="false" customHeight="false" outlineLevel="0" collapsed="false">
      <c r="E1976" s="41" t="str">
        <f aca="false">IF(D1976="","",IFERROR(VLOOKUP(D1976,Assumptions!$G$5:$H$16,2,0),"Other"))</f>
        <v/>
      </c>
      <c r="J1976" s="41" t="str">
        <f aca="false">IF(G1976="","",IFERROR(IF(ISNUMBER(SEARCH(Assumptions!$C$5,G1976)),Assumptions!$D$5,IF(ISNUMBER(SEARCH(Assumptions!$C$6,G1976)),Assumptions!$D$6,IF(ISNUMBER(SEARCH(Assumptions!$C$7,G1976)),Assumptions!$D$7,"Other Services"))),"Other Services"))</f>
        <v/>
      </c>
    </row>
    <row r="1977" customFormat="false" ht="15" hidden="false" customHeight="false" outlineLevel="0" collapsed="false">
      <c r="E1977" s="41" t="str">
        <f aca="false">IF(D1977="","",IFERROR(VLOOKUP(D1977,Assumptions!$G$5:$H$16,2,0),"Other"))</f>
        <v/>
      </c>
      <c r="J1977" s="41" t="str">
        <f aca="false">IF(G1977="","",IFERROR(IF(ISNUMBER(SEARCH(Assumptions!$C$5,G1977)),Assumptions!$D$5,IF(ISNUMBER(SEARCH(Assumptions!$C$6,G1977)),Assumptions!$D$6,IF(ISNUMBER(SEARCH(Assumptions!$C$7,G1977)),Assumptions!$D$7,"Other Services"))),"Other Services"))</f>
        <v/>
      </c>
    </row>
    <row r="1978" customFormat="false" ht="15" hidden="false" customHeight="false" outlineLevel="0" collapsed="false">
      <c r="E1978" s="41" t="str">
        <f aca="false">IF(D1978="","",IFERROR(VLOOKUP(D1978,Assumptions!$G$5:$H$16,2,0),"Other"))</f>
        <v/>
      </c>
      <c r="J1978" s="41" t="str">
        <f aca="false">IF(G1978="","",IFERROR(IF(ISNUMBER(SEARCH(Assumptions!$C$5,G1978)),Assumptions!$D$5,IF(ISNUMBER(SEARCH(Assumptions!$C$6,G1978)),Assumptions!$D$6,IF(ISNUMBER(SEARCH(Assumptions!$C$7,G1978)),Assumptions!$D$7,"Other Services"))),"Other Services"))</f>
        <v/>
      </c>
    </row>
    <row r="1979" customFormat="false" ht="15" hidden="false" customHeight="false" outlineLevel="0" collapsed="false">
      <c r="E1979" s="41" t="str">
        <f aca="false">IF(D1979="","",IFERROR(VLOOKUP(D1979,Assumptions!$G$5:$H$16,2,0),"Other"))</f>
        <v/>
      </c>
      <c r="J1979" s="41" t="str">
        <f aca="false">IF(G1979="","",IFERROR(IF(ISNUMBER(SEARCH(Assumptions!$C$5,G1979)),Assumptions!$D$5,IF(ISNUMBER(SEARCH(Assumptions!$C$6,G1979)),Assumptions!$D$6,IF(ISNUMBER(SEARCH(Assumptions!$C$7,G1979)),Assumptions!$D$7,"Other Services"))),"Other Services"))</f>
        <v/>
      </c>
    </row>
    <row r="1980" customFormat="false" ht="15" hidden="false" customHeight="false" outlineLevel="0" collapsed="false">
      <c r="E1980" s="41" t="str">
        <f aca="false">IF(D1980="","",IFERROR(VLOOKUP(D1980,Assumptions!$G$5:$H$16,2,0),"Other"))</f>
        <v/>
      </c>
      <c r="J1980" s="41" t="str">
        <f aca="false">IF(G1980="","",IFERROR(IF(ISNUMBER(SEARCH(Assumptions!$C$5,G1980)),Assumptions!$D$5,IF(ISNUMBER(SEARCH(Assumptions!$C$6,G1980)),Assumptions!$D$6,IF(ISNUMBER(SEARCH(Assumptions!$C$7,G1980)),Assumptions!$D$7,"Other Services"))),"Other Services"))</f>
        <v/>
      </c>
    </row>
    <row r="1981" customFormat="false" ht="15" hidden="false" customHeight="false" outlineLevel="0" collapsed="false">
      <c r="E1981" s="41" t="str">
        <f aca="false">IF(D1981="","",IFERROR(VLOOKUP(D1981,Assumptions!$G$5:$H$16,2,0),"Other"))</f>
        <v/>
      </c>
      <c r="J1981" s="41" t="str">
        <f aca="false">IF(G1981="","",IFERROR(IF(ISNUMBER(SEARCH(Assumptions!$C$5,G1981)),Assumptions!$D$5,IF(ISNUMBER(SEARCH(Assumptions!$C$6,G1981)),Assumptions!$D$6,IF(ISNUMBER(SEARCH(Assumptions!$C$7,G1981)),Assumptions!$D$7,"Other Services"))),"Other Services"))</f>
        <v/>
      </c>
    </row>
    <row r="1982" customFormat="false" ht="15" hidden="false" customHeight="false" outlineLevel="0" collapsed="false">
      <c r="E1982" s="41" t="str">
        <f aca="false">IF(D1982="","",IFERROR(VLOOKUP(D1982,Assumptions!$G$5:$H$16,2,0),"Other"))</f>
        <v/>
      </c>
      <c r="J1982" s="41" t="str">
        <f aca="false">IF(G1982="","",IFERROR(IF(ISNUMBER(SEARCH(Assumptions!$C$5,G1982)),Assumptions!$D$5,IF(ISNUMBER(SEARCH(Assumptions!$C$6,G1982)),Assumptions!$D$6,IF(ISNUMBER(SEARCH(Assumptions!$C$7,G1982)),Assumptions!$D$7,"Other Services"))),"Other Services"))</f>
        <v/>
      </c>
    </row>
    <row r="1983" customFormat="false" ht="15" hidden="false" customHeight="false" outlineLevel="0" collapsed="false">
      <c r="E1983" s="41" t="str">
        <f aca="false">IF(D1983="","",IFERROR(VLOOKUP(D1983,Assumptions!$G$5:$H$16,2,0),"Other"))</f>
        <v/>
      </c>
      <c r="J1983" s="41" t="str">
        <f aca="false">IF(G1983="","",IFERROR(IF(ISNUMBER(SEARCH(Assumptions!$C$5,G1983)),Assumptions!$D$5,IF(ISNUMBER(SEARCH(Assumptions!$C$6,G1983)),Assumptions!$D$6,IF(ISNUMBER(SEARCH(Assumptions!$C$7,G1983)),Assumptions!$D$7,"Other Services"))),"Other Services"))</f>
        <v/>
      </c>
    </row>
    <row r="1984" customFormat="false" ht="15" hidden="false" customHeight="false" outlineLevel="0" collapsed="false">
      <c r="E1984" s="41" t="str">
        <f aca="false">IF(D1984="","",IFERROR(VLOOKUP(D1984,Assumptions!$G$5:$H$16,2,0),"Other"))</f>
        <v/>
      </c>
      <c r="J1984" s="41" t="str">
        <f aca="false">IF(G1984="","",IFERROR(IF(ISNUMBER(SEARCH(Assumptions!$C$5,G1984)),Assumptions!$D$5,IF(ISNUMBER(SEARCH(Assumptions!$C$6,G1984)),Assumptions!$D$6,IF(ISNUMBER(SEARCH(Assumptions!$C$7,G1984)),Assumptions!$D$7,"Other Services"))),"Other Services"))</f>
        <v/>
      </c>
    </row>
    <row r="1985" customFormat="false" ht="15" hidden="false" customHeight="false" outlineLevel="0" collapsed="false">
      <c r="E1985" s="41" t="str">
        <f aca="false">IF(D1985="","",IFERROR(VLOOKUP(D1985,Assumptions!$G$5:$H$16,2,0),"Other"))</f>
        <v/>
      </c>
      <c r="J1985" s="41" t="str">
        <f aca="false">IF(G1985="","",IFERROR(IF(ISNUMBER(SEARCH(Assumptions!$C$5,G1985)),Assumptions!$D$5,IF(ISNUMBER(SEARCH(Assumptions!$C$6,G1985)),Assumptions!$D$6,IF(ISNUMBER(SEARCH(Assumptions!$C$7,G1985)),Assumptions!$D$7,"Other Services"))),"Other Services"))</f>
        <v/>
      </c>
    </row>
    <row r="1986" customFormat="false" ht="15" hidden="false" customHeight="false" outlineLevel="0" collapsed="false">
      <c r="E1986" s="41" t="str">
        <f aca="false">IF(D1986="","",IFERROR(VLOOKUP(D1986,Assumptions!$G$5:$H$16,2,0),"Other"))</f>
        <v/>
      </c>
      <c r="J1986" s="41" t="str">
        <f aca="false">IF(G1986="","",IFERROR(IF(ISNUMBER(SEARCH(Assumptions!$C$5,G1986)),Assumptions!$D$5,IF(ISNUMBER(SEARCH(Assumptions!$C$6,G1986)),Assumptions!$D$6,IF(ISNUMBER(SEARCH(Assumptions!$C$7,G1986)),Assumptions!$D$7,"Other Services"))),"Other Services"))</f>
        <v/>
      </c>
    </row>
    <row r="1987" customFormat="false" ht="15" hidden="false" customHeight="false" outlineLevel="0" collapsed="false">
      <c r="E1987" s="41" t="str">
        <f aca="false">IF(D1987="","",IFERROR(VLOOKUP(D1987,Assumptions!$G$5:$H$16,2,0),"Other"))</f>
        <v/>
      </c>
      <c r="J1987" s="41" t="str">
        <f aca="false">IF(G1987="","",IFERROR(IF(ISNUMBER(SEARCH(Assumptions!$C$5,G1987)),Assumptions!$D$5,IF(ISNUMBER(SEARCH(Assumptions!$C$6,G1987)),Assumptions!$D$6,IF(ISNUMBER(SEARCH(Assumptions!$C$7,G1987)),Assumptions!$D$7,"Other Services"))),"Other Services"))</f>
        <v/>
      </c>
    </row>
    <row r="1988" customFormat="false" ht="15" hidden="false" customHeight="false" outlineLevel="0" collapsed="false">
      <c r="E1988" s="41" t="str">
        <f aca="false">IF(D1988="","",IFERROR(VLOOKUP(D1988,Assumptions!$G$5:$H$16,2,0),"Other"))</f>
        <v/>
      </c>
      <c r="J1988" s="41" t="str">
        <f aca="false">IF(G1988="","",IFERROR(IF(ISNUMBER(SEARCH(Assumptions!$C$5,G1988)),Assumptions!$D$5,IF(ISNUMBER(SEARCH(Assumptions!$C$6,G1988)),Assumptions!$D$6,IF(ISNUMBER(SEARCH(Assumptions!$C$7,G1988)),Assumptions!$D$7,"Other Services"))),"Other Services"))</f>
        <v/>
      </c>
    </row>
    <row r="1989" customFormat="false" ht="15" hidden="false" customHeight="false" outlineLevel="0" collapsed="false">
      <c r="E1989" s="41" t="str">
        <f aca="false">IF(D1989="","",IFERROR(VLOOKUP(D1989,Assumptions!$G$5:$H$16,2,0),"Other"))</f>
        <v/>
      </c>
      <c r="J1989" s="41" t="str">
        <f aca="false">IF(G1989="","",IFERROR(IF(ISNUMBER(SEARCH(Assumptions!$C$5,G1989)),Assumptions!$D$5,IF(ISNUMBER(SEARCH(Assumptions!$C$6,G1989)),Assumptions!$D$6,IF(ISNUMBER(SEARCH(Assumptions!$C$7,G1989)),Assumptions!$D$7,"Other Services"))),"Other Services"))</f>
        <v/>
      </c>
    </row>
    <row r="1990" customFormat="false" ht="15" hidden="false" customHeight="false" outlineLevel="0" collapsed="false">
      <c r="E1990" s="41" t="str">
        <f aca="false">IF(D1990="","",IFERROR(VLOOKUP(D1990,Assumptions!$G$5:$H$16,2,0),"Other"))</f>
        <v/>
      </c>
      <c r="J1990" s="41" t="str">
        <f aca="false">IF(G1990="","",IFERROR(IF(ISNUMBER(SEARCH(Assumptions!$C$5,G1990)),Assumptions!$D$5,IF(ISNUMBER(SEARCH(Assumptions!$C$6,G1990)),Assumptions!$D$6,IF(ISNUMBER(SEARCH(Assumptions!$C$7,G1990)),Assumptions!$D$7,"Other Services"))),"Other Services"))</f>
        <v/>
      </c>
    </row>
    <row r="1991" customFormat="false" ht="15" hidden="false" customHeight="false" outlineLevel="0" collapsed="false">
      <c r="E1991" s="41" t="str">
        <f aca="false">IF(D1991="","",IFERROR(VLOOKUP(D1991,Assumptions!$G$5:$H$16,2,0),"Other"))</f>
        <v/>
      </c>
      <c r="J1991" s="41" t="str">
        <f aca="false">IF(G1991="","",IFERROR(IF(ISNUMBER(SEARCH(Assumptions!$C$5,G1991)),Assumptions!$D$5,IF(ISNUMBER(SEARCH(Assumptions!$C$6,G1991)),Assumptions!$D$6,IF(ISNUMBER(SEARCH(Assumptions!$C$7,G1991)),Assumptions!$D$7,"Other Services"))),"Other Services"))</f>
        <v/>
      </c>
    </row>
    <row r="1992" customFormat="false" ht="15" hidden="false" customHeight="false" outlineLevel="0" collapsed="false">
      <c r="E1992" s="41" t="str">
        <f aca="false">IF(D1992="","",IFERROR(VLOOKUP(D1992,Assumptions!$G$5:$H$16,2,0),"Other"))</f>
        <v/>
      </c>
      <c r="J1992" s="41" t="str">
        <f aca="false">IF(G1992="","",IFERROR(IF(ISNUMBER(SEARCH(Assumptions!$C$5,G1992)),Assumptions!$D$5,IF(ISNUMBER(SEARCH(Assumptions!$C$6,G1992)),Assumptions!$D$6,IF(ISNUMBER(SEARCH(Assumptions!$C$7,G1992)),Assumptions!$D$7,"Other Services"))),"Other Services"))</f>
        <v/>
      </c>
    </row>
    <row r="1993" customFormat="false" ht="15" hidden="false" customHeight="false" outlineLevel="0" collapsed="false">
      <c r="E1993" s="41" t="str">
        <f aca="false">IF(D1993="","",IFERROR(VLOOKUP(D1993,Assumptions!$G$5:$H$16,2,0),"Other"))</f>
        <v/>
      </c>
      <c r="J1993" s="41" t="str">
        <f aca="false">IF(G1993="","",IFERROR(IF(ISNUMBER(SEARCH(Assumptions!$C$5,G1993)),Assumptions!$D$5,IF(ISNUMBER(SEARCH(Assumptions!$C$6,G1993)),Assumptions!$D$6,IF(ISNUMBER(SEARCH(Assumptions!$C$7,G1993)),Assumptions!$D$7,"Other Services"))),"Other Services"))</f>
        <v/>
      </c>
    </row>
    <row r="1994" customFormat="false" ht="15" hidden="false" customHeight="false" outlineLevel="0" collapsed="false">
      <c r="E1994" s="41" t="str">
        <f aca="false">IF(D1994="","",IFERROR(VLOOKUP(D1994,Assumptions!$G$5:$H$16,2,0),"Other"))</f>
        <v/>
      </c>
      <c r="J1994" s="41" t="str">
        <f aca="false">IF(G1994="","",IFERROR(IF(ISNUMBER(SEARCH(Assumptions!$C$5,G1994)),Assumptions!$D$5,IF(ISNUMBER(SEARCH(Assumptions!$C$6,G1994)),Assumptions!$D$6,IF(ISNUMBER(SEARCH(Assumptions!$C$7,G1994)),Assumptions!$D$7,"Other Services"))),"Other Services"))</f>
        <v/>
      </c>
    </row>
    <row r="1995" customFormat="false" ht="15" hidden="false" customHeight="false" outlineLevel="0" collapsed="false">
      <c r="E1995" s="41" t="str">
        <f aca="false">IF(D1995="","",IFERROR(VLOOKUP(D1995,Assumptions!$G$5:$H$16,2,0),"Other"))</f>
        <v/>
      </c>
      <c r="J1995" s="41" t="str">
        <f aca="false">IF(G1995="","",IFERROR(IF(ISNUMBER(SEARCH(Assumptions!$C$5,G1995)),Assumptions!$D$5,IF(ISNUMBER(SEARCH(Assumptions!$C$6,G1995)),Assumptions!$D$6,IF(ISNUMBER(SEARCH(Assumptions!$C$7,G1995)),Assumptions!$D$7,"Other Services"))),"Other Services"))</f>
        <v/>
      </c>
    </row>
    <row r="1996" customFormat="false" ht="15" hidden="false" customHeight="false" outlineLevel="0" collapsed="false">
      <c r="E1996" s="41" t="str">
        <f aca="false">IF(D1996="","",IFERROR(VLOOKUP(D1996,Assumptions!$G$5:$H$16,2,0),"Other"))</f>
        <v/>
      </c>
      <c r="J1996" s="41" t="str">
        <f aca="false">IF(G1996="","",IFERROR(IF(ISNUMBER(SEARCH(Assumptions!$C$5,G1996)),Assumptions!$D$5,IF(ISNUMBER(SEARCH(Assumptions!$C$6,G1996)),Assumptions!$D$6,IF(ISNUMBER(SEARCH(Assumptions!$C$7,G1996)),Assumptions!$D$7,"Other Services"))),"Other Services"))</f>
        <v/>
      </c>
    </row>
    <row r="1997" customFormat="false" ht="15" hidden="false" customHeight="false" outlineLevel="0" collapsed="false">
      <c r="E1997" s="41" t="str">
        <f aca="false">IF(D1997="","",IFERROR(VLOOKUP(D1997,Assumptions!$G$5:$H$16,2,0),"Other"))</f>
        <v/>
      </c>
      <c r="J1997" s="41" t="str">
        <f aca="false">IF(G1997="","",IFERROR(IF(ISNUMBER(SEARCH(Assumptions!$C$5,G1997)),Assumptions!$D$5,IF(ISNUMBER(SEARCH(Assumptions!$C$6,G1997)),Assumptions!$D$6,IF(ISNUMBER(SEARCH(Assumptions!$C$7,G1997)),Assumptions!$D$7,"Other Services"))),"Other Services"))</f>
        <v/>
      </c>
    </row>
    <row r="1998" customFormat="false" ht="15" hidden="false" customHeight="false" outlineLevel="0" collapsed="false">
      <c r="E1998" s="41" t="str">
        <f aca="false">IF(D1998="","",IFERROR(VLOOKUP(D1998,Assumptions!$G$5:$H$16,2,0),"Other"))</f>
        <v/>
      </c>
      <c r="J1998" s="41" t="str">
        <f aca="false">IF(G1998="","",IFERROR(IF(ISNUMBER(SEARCH(Assumptions!$C$5,G1998)),Assumptions!$D$5,IF(ISNUMBER(SEARCH(Assumptions!$C$6,G1998)),Assumptions!$D$6,IF(ISNUMBER(SEARCH(Assumptions!$C$7,G1998)),Assumptions!$D$7,"Other Services"))),"Other Services"))</f>
        <v/>
      </c>
    </row>
    <row r="1999" customFormat="false" ht="15" hidden="false" customHeight="false" outlineLevel="0" collapsed="false">
      <c r="E1999" s="41" t="str">
        <f aca="false">IF(D1999="","",IFERROR(VLOOKUP(D1999,Assumptions!$G$5:$H$16,2,0),"Other"))</f>
        <v/>
      </c>
      <c r="J1999" s="41" t="str">
        <f aca="false">IF(G1999="","",IFERROR(IF(ISNUMBER(SEARCH(Assumptions!$C$5,G1999)),Assumptions!$D$5,IF(ISNUMBER(SEARCH(Assumptions!$C$6,G1999)),Assumptions!$D$6,IF(ISNUMBER(SEARCH(Assumptions!$C$7,G1999)),Assumptions!$D$7,"Other Services"))),"Other Services"))</f>
        <v/>
      </c>
    </row>
    <row r="2000" customFormat="false" ht="15" hidden="false" customHeight="false" outlineLevel="0" collapsed="false">
      <c r="E2000" s="41" t="str">
        <f aca="false">IF(D2000="","",IFERROR(VLOOKUP(D2000,Assumptions!$G$5:$H$16,2,0),"Other"))</f>
        <v/>
      </c>
      <c r="J2000" s="41" t="str">
        <f aca="false">IF(G2000="","",IFERROR(IF(ISNUMBER(SEARCH(Assumptions!$C$5,G2000)),Assumptions!$D$5,IF(ISNUMBER(SEARCH(Assumptions!$C$6,G2000)),Assumptions!$D$6,IF(ISNUMBER(SEARCH(Assumptions!$C$7,G2000)),Assumptions!$D$7,"Other Services"))),"Other Services"))</f>
        <v/>
      </c>
    </row>
    <row r="2001" customFormat="false" ht="15" hidden="false" customHeight="false" outlineLevel="0" collapsed="false">
      <c r="E2001" s="41" t="str">
        <f aca="false">IF(D2001="","",IFERROR(VLOOKUP(D2001,Assumptions!$G$5:$H$16,2,0),"Other"))</f>
        <v/>
      </c>
      <c r="J2001" s="41" t="str">
        <f aca="false">IF(G2001="","",IFERROR(IF(ISNUMBER(SEARCH(Assumptions!$C$5,G2001)),Assumptions!$D$5,IF(ISNUMBER(SEARCH(Assumptions!$C$6,G2001)),Assumptions!$D$6,IF(ISNUMBER(SEARCH(Assumptions!$C$7,G2001)),Assumptions!$D$7,"Other Services"))),"Other Services"))</f>
        <v/>
      </c>
    </row>
    <row r="2002" customFormat="false" ht="15" hidden="false" customHeight="false" outlineLevel="0" collapsed="false">
      <c r="E2002" s="41" t="str">
        <f aca="false">IF(D2002="","",IFERROR(VLOOKUP(D2002,Assumptions!$G$5:$H$16,2,0),"Other"))</f>
        <v/>
      </c>
      <c r="J2002" s="41" t="str">
        <f aca="false">IF(G2002="","",IFERROR(IF(ISNUMBER(SEARCH(Assumptions!$C$5,G2002)),Assumptions!$D$5,IF(ISNUMBER(SEARCH(Assumptions!$C$6,G2002)),Assumptions!$D$6,IF(ISNUMBER(SEARCH(Assumptions!$C$7,G2002)),Assumptions!$D$7,"Other Services"))),"Other Services"))</f>
        <v/>
      </c>
    </row>
    <row r="2003" customFormat="false" ht="15" hidden="false" customHeight="false" outlineLevel="0" collapsed="false">
      <c r="E2003" s="41" t="str">
        <f aca="false">IF(D2003="","",IFERROR(VLOOKUP(D2003,Assumptions!$G$5:$H$16,2,0),"Other"))</f>
        <v/>
      </c>
      <c r="J2003" s="41" t="str">
        <f aca="false">IF(G2003="","",IFERROR(IF(ISNUMBER(SEARCH(Assumptions!$C$5,G2003)),Assumptions!$D$5,IF(ISNUMBER(SEARCH(Assumptions!$C$6,G2003)),Assumptions!$D$6,IF(ISNUMBER(SEARCH(Assumptions!$C$7,G2003)),Assumptions!$D$7,"Other Services"))),"Other Services"))</f>
        <v/>
      </c>
    </row>
    <row r="2004" customFormat="false" ht="15" hidden="false" customHeight="false" outlineLevel="0" collapsed="false">
      <c r="E2004" s="41" t="str">
        <f aca="false">IF(D2004="","",IFERROR(VLOOKUP(D2004,Assumptions!$G$5:$H$16,2,0),"Other"))</f>
        <v/>
      </c>
      <c r="J2004" s="41" t="str">
        <f aca="false">IF(G2004="","",IFERROR(IF(ISNUMBER(SEARCH(Assumptions!$C$5,G2004)),Assumptions!$D$5,IF(ISNUMBER(SEARCH(Assumptions!$C$6,G2004)),Assumptions!$D$6,IF(ISNUMBER(SEARCH(Assumptions!$C$7,G2004)),Assumptions!$D$7,"Other Services"))),"Other Services"))</f>
        <v/>
      </c>
    </row>
    <row r="2005" customFormat="false" ht="15" hidden="false" customHeight="false" outlineLevel="0" collapsed="false">
      <c r="E2005" s="41" t="str">
        <f aca="false">IF(D2005="","",IFERROR(VLOOKUP(D2005,Assumptions!$G$5:$H$16,2,0),"Other"))</f>
        <v/>
      </c>
      <c r="J2005" s="41" t="str">
        <f aca="false">IF(G2005="","",IFERROR(IF(ISNUMBER(SEARCH(Assumptions!$C$5,G2005)),Assumptions!$D$5,IF(ISNUMBER(SEARCH(Assumptions!$C$6,G2005)),Assumptions!$D$6,IF(ISNUMBER(SEARCH(Assumptions!$C$7,G2005)),Assumptions!$D$7,"Other Services"))),"Other Services"))</f>
        <v/>
      </c>
    </row>
    <row r="2006" customFormat="false" ht="15" hidden="false" customHeight="false" outlineLevel="0" collapsed="false">
      <c r="E2006" s="41" t="str">
        <f aca="false">IF(D2006="","",IFERROR(VLOOKUP(D2006,Assumptions!$G$5:$H$16,2,0),"Other"))</f>
        <v/>
      </c>
      <c r="J2006" s="41" t="str">
        <f aca="false">IF(G2006="","",IFERROR(IF(ISNUMBER(SEARCH(Assumptions!$C$5,G2006)),Assumptions!$D$5,IF(ISNUMBER(SEARCH(Assumptions!$C$6,G2006)),Assumptions!$D$6,IF(ISNUMBER(SEARCH(Assumptions!$C$7,G2006)),Assumptions!$D$7,"Other Services"))),"Other Services"))</f>
        <v/>
      </c>
    </row>
    <row r="2007" customFormat="false" ht="15" hidden="false" customHeight="false" outlineLevel="0" collapsed="false">
      <c r="E2007" s="41" t="str">
        <f aca="false">IF(D2007="","",IFERROR(VLOOKUP(D2007,Assumptions!$G$5:$H$16,2,0),"Other"))</f>
        <v/>
      </c>
      <c r="J2007" s="41" t="str">
        <f aca="false">IF(G2007="","",IFERROR(IF(ISNUMBER(SEARCH(Assumptions!$C$5,G2007)),Assumptions!$D$5,IF(ISNUMBER(SEARCH(Assumptions!$C$6,G2007)),Assumptions!$D$6,IF(ISNUMBER(SEARCH(Assumptions!$C$7,G2007)),Assumptions!$D$7,"Other Services"))),"Other Services"))</f>
        <v/>
      </c>
    </row>
    <row r="2008" customFormat="false" ht="15" hidden="false" customHeight="false" outlineLevel="0" collapsed="false">
      <c r="E2008" s="41" t="str">
        <f aca="false">IF(D2008="","",IFERROR(VLOOKUP(D2008,Assumptions!$G$5:$H$16,2,0),"Other"))</f>
        <v/>
      </c>
      <c r="J2008" s="41" t="str">
        <f aca="false">IF(G2008="","",IFERROR(IF(ISNUMBER(SEARCH(Assumptions!$C$5,G2008)),Assumptions!$D$5,IF(ISNUMBER(SEARCH(Assumptions!$C$6,G2008)),Assumptions!$D$6,IF(ISNUMBER(SEARCH(Assumptions!$C$7,G2008)),Assumptions!$D$7,"Other Services"))),"Other Services"))</f>
        <v/>
      </c>
    </row>
    <row r="2009" customFormat="false" ht="15" hidden="false" customHeight="false" outlineLevel="0" collapsed="false">
      <c r="E2009" s="41" t="str">
        <f aca="false">IF(D2009="","",IFERROR(VLOOKUP(D2009,Assumptions!$G$5:$H$16,2,0),"Other"))</f>
        <v/>
      </c>
      <c r="J2009" s="41" t="str">
        <f aca="false">IF(G2009="","",IFERROR(IF(ISNUMBER(SEARCH(Assumptions!$C$5,G2009)),Assumptions!$D$5,IF(ISNUMBER(SEARCH(Assumptions!$C$6,G2009)),Assumptions!$D$6,IF(ISNUMBER(SEARCH(Assumptions!$C$7,G2009)),Assumptions!$D$7,"Other Services"))),"Other Services"))</f>
        <v/>
      </c>
    </row>
    <row r="2010" customFormat="false" ht="15" hidden="false" customHeight="false" outlineLevel="0" collapsed="false">
      <c r="E2010" s="41" t="str">
        <f aca="false">IF(D2010="","",IFERROR(VLOOKUP(D2010,Assumptions!$G$5:$H$16,2,0),"Other"))</f>
        <v/>
      </c>
      <c r="J2010" s="41" t="str">
        <f aca="false">IF(G2010="","",IFERROR(IF(ISNUMBER(SEARCH(Assumptions!$C$5,G2010)),Assumptions!$D$5,IF(ISNUMBER(SEARCH(Assumptions!$C$6,G2010)),Assumptions!$D$6,IF(ISNUMBER(SEARCH(Assumptions!$C$7,G2010)),Assumptions!$D$7,"Other Services"))),"Other Services"))</f>
        <v/>
      </c>
    </row>
    <row r="2011" customFormat="false" ht="15" hidden="false" customHeight="false" outlineLevel="0" collapsed="false">
      <c r="E2011" s="41" t="str">
        <f aca="false">IF(D2011="","",IFERROR(VLOOKUP(D2011,Assumptions!$G$5:$H$16,2,0),"Other"))</f>
        <v/>
      </c>
      <c r="J2011" s="41" t="str">
        <f aca="false">IF(G2011="","",IFERROR(IF(ISNUMBER(SEARCH(Assumptions!$C$5,G2011)),Assumptions!$D$5,IF(ISNUMBER(SEARCH(Assumptions!$C$6,G2011)),Assumptions!$D$6,IF(ISNUMBER(SEARCH(Assumptions!$C$7,G2011)),Assumptions!$D$7,"Other Services"))),"Other Services"))</f>
        <v/>
      </c>
    </row>
    <row r="2012" customFormat="false" ht="15" hidden="false" customHeight="false" outlineLevel="0" collapsed="false">
      <c r="E2012" s="41" t="str">
        <f aca="false">IF(D2012="","",IFERROR(VLOOKUP(D2012,Assumptions!$G$5:$H$16,2,0),"Other"))</f>
        <v/>
      </c>
      <c r="J2012" s="41" t="str">
        <f aca="false">IF(G2012="","",IFERROR(IF(ISNUMBER(SEARCH(Assumptions!$C$5,G2012)),Assumptions!$D$5,IF(ISNUMBER(SEARCH(Assumptions!$C$6,G2012)),Assumptions!$D$6,IF(ISNUMBER(SEARCH(Assumptions!$C$7,G2012)),Assumptions!$D$7,"Other Services"))),"Other Services"))</f>
        <v/>
      </c>
    </row>
    <row r="2013" customFormat="false" ht="15" hidden="false" customHeight="false" outlineLevel="0" collapsed="false">
      <c r="E2013" s="41" t="str">
        <f aca="false">IF(D2013="","",IFERROR(VLOOKUP(D2013,Assumptions!$G$5:$H$16,2,0),"Other"))</f>
        <v/>
      </c>
      <c r="J2013" s="41" t="str">
        <f aca="false">IF(G2013="","",IFERROR(IF(ISNUMBER(SEARCH(Assumptions!$C$5,G2013)),Assumptions!$D$5,IF(ISNUMBER(SEARCH(Assumptions!$C$6,G2013)),Assumptions!$D$6,IF(ISNUMBER(SEARCH(Assumptions!$C$7,G2013)),Assumptions!$D$7,"Other Services"))),"Other Services"))</f>
        <v/>
      </c>
    </row>
    <row r="2014" customFormat="false" ht="15" hidden="false" customHeight="false" outlineLevel="0" collapsed="false">
      <c r="E2014" s="41" t="str">
        <f aca="false">IF(D2014="","",IFERROR(VLOOKUP(D2014,Assumptions!$G$5:$H$16,2,0),"Other"))</f>
        <v/>
      </c>
      <c r="J2014" s="41" t="str">
        <f aca="false">IF(G2014="","",IFERROR(IF(ISNUMBER(SEARCH(Assumptions!$C$5,G2014)),Assumptions!$D$5,IF(ISNUMBER(SEARCH(Assumptions!$C$6,G2014)),Assumptions!$D$6,IF(ISNUMBER(SEARCH(Assumptions!$C$7,G2014)),Assumptions!$D$7,"Other Services"))),"Other Services"))</f>
        <v/>
      </c>
    </row>
    <row r="2015" customFormat="false" ht="15" hidden="false" customHeight="false" outlineLevel="0" collapsed="false">
      <c r="E2015" s="41" t="str">
        <f aca="false">IF(D2015="","",IFERROR(VLOOKUP(D2015,Assumptions!$G$5:$H$16,2,0),"Other"))</f>
        <v/>
      </c>
      <c r="J2015" s="41" t="str">
        <f aca="false">IF(G2015="","",IFERROR(IF(ISNUMBER(SEARCH(Assumptions!$C$5,G2015)),Assumptions!$D$5,IF(ISNUMBER(SEARCH(Assumptions!$C$6,G2015)),Assumptions!$D$6,IF(ISNUMBER(SEARCH(Assumptions!$C$7,G2015)),Assumptions!$D$7,"Other Services"))),"Other Services"))</f>
        <v/>
      </c>
    </row>
    <row r="2016" customFormat="false" ht="15" hidden="false" customHeight="false" outlineLevel="0" collapsed="false">
      <c r="E2016" s="41" t="str">
        <f aca="false">IF(D2016="","",IFERROR(VLOOKUP(D2016,Assumptions!$G$5:$H$16,2,0),"Other"))</f>
        <v/>
      </c>
      <c r="J2016" s="41" t="str">
        <f aca="false">IF(G2016="","",IFERROR(IF(ISNUMBER(SEARCH(Assumptions!$C$5,G2016)),Assumptions!$D$5,IF(ISNUMBER(SEARCH(Assumptions!$C$6,G2016)),Assumptions!$D$6,IF(ISNUMBER(SEARCH(Assumptions!$C$7,G2016)),Assumptions!$D$7,"Other Services"))),"Other Services"))</f>
        <v/>
      </c>
    </row>
    <row r="2017" customFormat="false" ht="15" hidden="false" customHeight="false" outlineLevel="0" collapsed="false">
      <c r="E2017" s="41" t="str">
        <f aca="false">IF(D2017="","",IFERROR(VLOOKUP(D2017,Assumptions!$G$5:$H$16,2,0),"Other"))</f>
        <v/>
      </c>
      <c r="J2017" s="41" t="str">
        <f aca="false">IF(G2017="","",IFERROR(IF(ISNUMBER(SEARCH(Assumptions!$C$5,G2017)),Assumptions!$D$5,IF(ISNUMBER(SEARCH(Assumptions!$C$6,G2017)),Assumptions!$D$6,IF(ISNUMBER(SEARCH(Assumptions!$C$7,G2017)),Assumptions!$D$7,"Other Services"))),"Other Services"))</f>
        <v/>
      </c>
    </row>
    <row r="2018" customFormat="false" ht="15" hidden="false" customHeight="false" outlineLevel="0" collapsed="false">
      <c r="E2018" s="41" t="str">
        <f aca="false">IF(D2018="","",IFERROR(VLOOKUP(D2018,Assumptions!$G$5:$H$16,2,0),"Other"))</f>
        <v/>
      </c>
      <c r="J2018" s="41" t="str">
        <f aca="false">IF(G2018="","",IFERROR(IF(ISNUMBER(SEARCH(Assumptions!$C$5,G2018)),Assumptions!$D$5,IF(ISNUMBER(SEARCH(Assumptions!$C$6,G2018)),Assumptions!$D$6,IF(ISNUMBER(SEARCH(Assumptions!$C$7,G2018)),Assumptions!$D$7,"Other Services"))),"Other Services"))</f>
        <v/>
      </c>
    </row>
    <row r="2019" customFormat="false" ht="15" hidden="false" customHeight="false" outlineLevel="0" collapsed="false">
      <c r="E2019" s="41" t="str">
        <f aca="false">IF(D2019="","",IFERROR(VLOOKUP(D2019,Assumptions!$G$5:$H$16,2,0),"Other"))</f>
        <v/>
      </c>
      <c r="J2019" s="41" t="str">
        <f aca="false">IF(G2019="","",IFERROR(IF(ISNUMBER(SEARCH(Assumptions!$C$5,G2019)),Assumptions!$D$5,IF(ISNUMBER(SEARCH(Assumptions!$C$6,G2019)),Assumptions!$D$6,IF(ISNUMBER(SEARCH(Assumptions!$C$7,G2019)),Assumptions!$D$7,"Other Services"))),"Other Services"))</f>
        <v/>
      </c>
    </row>
    <row r="2020" customFormat="false" ht="15" hidden="false" customHeight="false" outlineLevel="0" collapsed="false">
      <c r="E2020" s="41" t="str">
        <f aca="false">IF(D2020="","",IFERROR(VLOOKUP(D2020,Assumptions!$G$5:$H$16,2,0),"Other"))</f>
        <v/>
      </c>
      <c r="J2020" s="41" t="str">
        <f aca="false">IF(G2020="","",IFERROR(IF(ISNUMBER(SEARCH(Assumptions!$C$5,G2020)),Assumptions!$D$5,IF(ISNUMBER(SEARCH(Assumptions!$C$6,G2020)),Assumptions!$D$6,IF(ISNUMBER(SEARCH(Assumptions!$C$7,G2020)),Assumptions!$D$7,"Other Services"))),"Other Services"))</f>
        <v/>
      </c>
    </row>
    <row r="2021" customFormat="false" ht="15" hidden="false" customHeight="false" outlineLevel="0" collapsed="false">
      <c r="E2021" s="41" t="str">
        <f aca="false">IF(D2021="","",IFERROR(VLOOKUP(D2021,Assumptions!$G$5:$H$16,2,0),"Other"))</f>
        <v/>
      </c>
      <c r="J2021" s="41" t="str">
        <f aca="false">IF(G2021="","",IFERROR(IF(ISNUMBER(SEARCH(Assumptions!$C$5,G2021)),Assumptions!$D$5,IF(ISNUMBER(SEARCH(Assumptions!$C$6,G2021)),Assumptions!$D$6,IF(ISNUMBER(SEARCH(Assumptions!$C$7,G2021)),Assumptions!$D$7,"Other Services"))),"Other Services"))</f>
        <v/>
      </c>
    </row>
    <row r="2022" customFormat="false" ht="15" hidden="false" customHeight="false" outlineLevel="0" collapsed="false">
      <c r="E2022" s="41" t="str">
        <f aca="false">IF(D2022="","",IFERROR(VLOOKUP(D2022,Assumptions!$G$5:$H$16,2,0),"Other"))</f>
        <v/>
      </c>
      <c r="J2022" s="41" t="str">
        <f aca="false">IF(G2022="","",IFERROR(IF(ISNUMBER(SEARCH(Assumptions!$C$5,G2022)),Assumptions!$D$5,IF(ISNUMBER(SEARCH(Assumptions!$C$6,G2022)),Assumptions!$D$6,IF(ISNUMBER(SEARCH(Assumptions!$C$7,G2022)),Assumptions!$D$7,"Other Services"))),"Other Services"))</f>
        <v/>
      </c>
    </row>
    <row r="2023" customFormat="false" ht="15" hidden="false" customHeight="false" outlineLevel="0" collapsed="false">
      <c r="E2023" s="41" t="str">
        <f aca="false">IF(D2023="","",IFERROR(VLOOKUP(D2023,Assumptions!$G$5:$H$16,2,0),"Other"))</f>
        <v/>
      </c>
      <c r="J2023" s="41" t="str">
        <f aca="false">IF(G2023="","",IFERROR(IF(ISNUMBER(SEARCH(Assumptions!$C$5,G2023)),Assumptions!$D$5,IF(ISNUMBER(SEARCH(Assumptions!$C$6,G2023)),Assumptions!$D$6,IF(ISNUMBER(SEARCH(Assumptions!$C$7,G2023)),Assumptions!$D$7,"Other Services"))),"Other Services"))</f>
        <v/>
      </c>
    </row>
    <row r="2024" customFormat="false" ht="15" hidden="false" customHeight="false" outlineLevel="0" collapsed="false">
      <c r="E2024" s="41" t="str">
        <f aca="false">IF(D2024="","",IFERROR(VLOOKUP(D2024,Assumptions!$G$5:$H$16,2,0),"Other"))</f>
        <v/>
      </c>
      <c r="J2024" s="41" t="str">
        <f aca="false">IF(G2024="","",IFERROR(IF(ISNUMBER(SEARCH(Assumptions!$C$5,G2024)),Assumptions!$D$5,IF(ISNUMBER(SEARCH(Assumptions!$C$6,G2024)),Assumptions!$D$6,IF(ISNUMBER(SEARCH(Assumptions!$C$7,G2024)),Assumptions!$D$7,"Other Services"))),"Other Services"))</f>
        <v/>
      </c>
    </row>
    <row r="2025" customFormat="false" ht="15" hidden="false" customHeight="false" outlineLevel="0" collapsed="false">
      <c r="E2025" s="41" t="str">
        <f aca="false">IF(D2025="","",IFERROR(VLOOKUP(D2025,Assumptions!$G$5:$H$16,2,0),"Other"))</f>
        <v/>
      </c>
      <c r="J2025" s="41" t="str">
        <f aca="false">IF(G2025="","",IFERROR(IF(ISNUMBER(SEARCH(Assumptions!$C$5,G2025)),Assumptions!$D$5,IF(ISNUMBER(SEARCH(Assumptions!$C$6,G2025)),Assumptions!$D$6,IF(ISNUMBER(SEARCH(Assumptions!$C$7,G2025)),Assumptions!$D$7,"Other Services"))),"Other Services"))</f>
        <v/>
      </c>
    </row>
    <row r="2026" customFormat="false" ht="15" hidden="false" customHeight="false" outlineLevel="0" collapsed="false">
      <c r="E2026" s="41" t="str">
        <f aca="false">IF(D2026="","",IFERROR(VLOOKUP(D2026,Assumptions!$G$5:$H$16,2,0),"Other"))</f>
        <v/>
      </c>
      <c r="J2026" s="41" t="str">
        <f aca="false">IF(G2026="","",IFERROR(IF(ISNUMBER(SEARCH(Assumptions!$C$5,G2026)),Assumptions!$D$5,IF(ISNUMBER(SEARCH(Assumptions!$C$6,G2026)),Assumptions!$D$6,IF(ISNUMBER(SEARCH(Assumptions!$C$7,G2026)),Assumptions!$D$7,"Other Services"))),"Other Services"))</f>
        <v/>
      </c>
    </row>
    <row r="2027" customFormat="false" ht="15" hidden="false" customHeight="false" outlineLevel="0" collapsed="false">
      <c r="E2027" s="41" t="str">
        <f aca="false">IF(D2027="","",IFERROR(VLOOKUP(D2027,Assumptions!$G$5:$H$16,2,0),"Other"))</f>
        <v/>
      </c>
      <c r="J2027" s="41" t="str">
        <f aca="false">IF(G2027="","",IFERROR(IF(ISNUMBER(SEARCH(Assumptions!$C$5,G2027)),Assumptions!$D$5,IF(ISNUMBER(SEARCH(Assumptions!$C$6,G2027)),Assumptions!$D$6,IF(ISNUMBER(SEARCH(Assumptions!$C$7,G2027)),Assumptions!$D$7,"Other Services"))),"Other Services"))</f>
        <v/>
      </c>
    </row>
    <row r="2028" customFormat="false" ht="15" hidden="false" customHeight="false" outlineLevel="0" collapsed="false">
      <c r="E2028" s="41" t="str">
        <f aca="false">IF(D2028="","",IFERROR(VLOOKUP(D2028,Assumptions!$G$5:$H$16,2,0),"Other"))</f>
        <v/>
      </c>
      <c r="J2028" s="41" t="str">
        <f aca="false">IF(G2028="","",IFERROR(IF(ISNUMBER(SEARCH(Assumptions!$C$5,G2028)),Assumptions!$D$5,IF(ISNUMBER(SEARCH(Assumptions!$C$6,G2028)),Assumptions!$D$6,IF(ISNUMBER(SEARCH(Assumptions!$C$7,G2028)),Assumptions!$D$7,"Other Services"))),"Other Services"))</f>
        <v/>
      </c>
    </row>
    <row r="2029" customFormat="false" ht="15" hidden="false" customHeight="false" outlineLevel="0" collapsed="false">
      <c r="E2029" s="41" t="str">
        <f aca="false">IF(D2029="","",IFERROR(VLOOKUP(D2029,Assumptions!$G$5:$H$16,2,0),"Other"))</f>
        <v/>
      </c>
      <c r="J2029" s="41" t="str">
        <f aca="false">IF(G2029="","",IFERROR(IF(ISNUMBER(SEARCH(Assumptions!$C$5,G2029)),Assumptions!$D$5,IF(ISNUMBER(SEARCH(Assumptions!$C$6,G2029)),Assumptions!$D$6,IF(ISNUMBER(SEARCH(Assumptions!$C$7,G2029)),Assumptions!$D$7,"Other Services"))),"Other Services"))</f>
        <v/>
      </c>
    </row>
    <row r="2030" customFormat="false" ht="15" hidden="false" customHeight="false" outlineLevel="0" collapsed="false">
      <c r="E2030" s="41" t="str">
        <f aca="false">IF(D2030="","",IFERROR(VLOOKUP(D2030,Assumptions!$G$5:$H$16,2,0),"Other"))</f>
        <v/>
      </c>
      <c r="J2030" s="41" t="str">
        <f aca="false">IF(G2030="","",IFERROR(IF(ISNUMBER(SEARCH(Assumptions!$C$5,G2030)),Assumptions!$D$5,IF(ISNUMBER(SEARCH(Assumptions!$C$6,G2030)),Assumptions!$D$6,IF(ISNUMBER(SEARCH(Assumptions!$C$7,G2030)),Assumptions!$D$7,"Other Services"))),"Other Services"))</f>
        <v/>
      </c>
    </row>
    <row r="2031" customFormat="false" ht="15" hidden="false" customHeight="false" outlineLevel="0" collapsed="false">
      <c r="E2031" s="41" t="str">
        <f aca="false">IF(D2031="","",IFERROR(VLOOKUP(D2031,Assumptions!$G$5:$H$16,2,0),"Other"))</f>
        <v/>
      </c>
      <c r="J2031" s="41" t="str">
        <f aca="false">IF(G2031="","",IFERROR(IF(ISNUMBER(SEARCH(Assumptions!$C$5,G2031)),Assumptions!$D$5,IF(ISNUMBER(SEARCH(Assumptions!$C$6,G2031)),Assumptions!$D$6,IF(ISNUMBER(SEARCH(Assumptions!$C$7,G2031)),Assumptions!$D$7,"Other Services"))),"Other Services"))</f>
        <v/>
      </c>
    </row>
    <row r="2032" customFormat="false" ht="15" hidden="false" customHeight="false" outlineLevel="0" collapsed="false">
      <c r="E2032" s="41" t="str">
        <f aca="false">IF(D2032="","",IFERROR(VLOOKUP(D2032,Assumptions!$G$5:$H$16,2,0),"Other"))</f>
        <v/>
      </c>
      <c r="J2032" s="41" t="str">
        <f aca="false">IF(G2032="","",IFERROR(IF(ISNUMBER(SEARCH(Assumptions!$C$5,G2032)),Assumptions!$D$5,IF(ISNUMBER(SEARCH(Assumptions!$C$6,G2032)),Assumptions!$D$6,IF(ISNUMBER(SEARCH(Assumptions!$C$7,G2032)),Assumptions!$D$7,"Other Services"))),"Other Services"))</f>
        <v/>
      </c>
    </row>
    <row r="2033" customFormat="false" ht="15" hidden="false" customHeight="false" outlineLevel="0" collapsed="false">
      <c r="E2033" s="41" t="str">
        <f aca="false">IF(D2033="","",IFERROR(VLOOKUP(D2033,Assumptions!$G$5:$H$16,2,0),"Other"))</f>
        <v/>
      </c>
      <c r="J2033" s="41" t="str">
        <f aca="false">IF(G2033="","",IFERROR(IF(ISNUMBER(SEARCH(Assumptions!$C$5,G2033)),Assumptions!$D$5,IF(ISNUMBER(SEARCH(Assumptions!$C$6,G2033)),Assumptions!$D$6,IF(ISNUMBER(SEARCH(Assumptions!$C$7,G2033)),Assumptions!$D$7,"Other Services"))),"Other Services"))</f>
        <v/>
      </c>
    </row>
    <row r="2034" customFormat="false" ht="15" hidden="false" customHeight="false" outlineLevel="0" collapsed="false">
      <c r="E2034" s="41" t="str">
        <f aca="false">IF(D2034="","",IFERROR(VLOOKUP(D2034,Assumptions!$G$5:$H$16,2,0),"Other"))</f>
        <v/>
      </c>
      <c r="J2034" s="41" t="str">
        <f aca="false">IF(G2034="","",IFERROR(IF(ISNUMBER(SEARCH(Assumptions!$C$5,G2034)),Assumptions!$D$5,IF(ISNUMBER(SEARCH(Assumptions!$C$6,G2034)),Assumptions!$D$6,IF(ISNUMBER(SEARCH(Assumptions!$C$7,G2034)),Assumptions!$D$7,"Other Services"))),"Other Services"))</f>
        <v/>
      </c>
    </row>
    <row r="2035" customFormat="false" ht="15" hidden="false" customHeight="false" outlineLevel="0" collapsed="false">
      <c r="E2035" s="41" t="str">
        <f aca="false">IF(D2035="","",IFERROR(VLOOKUP(D2035,Assumptions!$G$5:$H$16,2,0),"Other"))</f>
        <v/>
      </c>
      <c r="J2035" s="41" t="str">
        <f aca="false">IF(G2035="","",IFERROR(IF(ISNUMBER(SEARCH(Assumptions!$C$5,G2035)),Assumptions!$D$5,IF(ISNUMBER(SEARCH(Assumptions!$C$6,G2035)),Assumptions!$D$6,IF(ISNUMBER(SEARCH(Assumptions!$C$7,G2035)),Assumptions!$D$7,"Other Services"))),"Other Services"))</f>
        <v/>
      </c>
    </row>
    <row r="2036" customFormat="false" ht="15" hidden="false" customHeight="false" outlineLevel="0" collapsed="false">
      <c r="E2036" s="41" t="str">
        <f aca="false">IF(D2036="","",IFERROR(VLOOKUP(D2036,Assumptions!$G$5:$H$16,2,0),"Other"))</f>
        <v/>
      </c>
      <c r="J2036" s="41" t="str">
        <f aca="false">IF(G2036="","",IFERROR(IF(ISNUMBER(SEARCH(Assumptions!$C$5,G2036)),Assumptions!$D$5,IF(ISNUMBER(SEARCH(Assumptions!$C$6,G2036)),Assumptions!$D$6,IF(ISNUMBER(SEARCH(Assumptions!$C$7,G2036)),Assumptions!$D$7,"Other Services"))),"Other Services"))</f>
        <v/>
      </c>
    </row>
    <row r="2037" customFormat="false" ht="15" hidden="false" customHeight="false" outlineLevel="0" collapsed="false">
      <c r="E2037" s="41" t="str">
        <f aca="false">IF(D2037="","",IFERROR(VLOOKUP(D2037,Assumptions!$G$5:$H$16,2,0),"Other"))</f>
        <v/>
      </c>
      <c r="J2037" s="41" t="str">
        <f aca="false">IF(G2037="","",IFERROR(IF(ISNUMBER(SEARCH(Assumptions!$C$5,G2037)),Assumptions!$D$5,IF(ISNUMBER(SEARCH(Assumptions!$C$6,G2037)),Assumptions!$D$6,IF(ISNUMBER(SEARCH(Assumptions!$C$7,G2037)),Assumptions!$D$7,"Other Services"))),"Other Services"))</f>
        <v/>
      </c>
    </row>
    <row r="2038" customFormat="false" ht="15" hidden="false" customHeight="false" outlineLevel="0" collapsed="false">
      <c r="E2038" s="41" t="str">
        <f aca="false">IF(D2038="","",IFERROR(VLOOKUP(D2038,Assumptions!$G$5:$H$16,2,0),"Other"))</f>
        <v/>
      </c>
      <c r="J2038" s="41" t="str">
        <f aca="false">IF(G2038="","",IFERROR(IF(ISNUMBER(SEARCH(Assumptions!$C$5,G2038)),Assumptions!$D$5,IF(ISNUMBER(SEARCH(Assumptions!$C$6,G2038)),Assumptions!$D$6,IF(ISNUMBER(SEARCH(Assumptions!$C$7,G2038)),Assumptions!$D$7,"Other Services"))),"Other Services"))</f>
        <v/>
      </c>
    </row>
    <row r="2039" customFormat="false" ht="15" hidden="false" customHeight="false" outlineLevel="0" collapsed="false">
      <c r="E2039" s="41" t="str">
        <f aca="false">IF(D2039="","",IFERROR(VLOOKUP(D2039,Assumptions!$G$5:$H$16,2,0),"Other"))</f>
        <v/>
      </c>
      <c r="J2039" s="41" t="str">
        <f aca="false">IF(G2039="","",IFERROR(IF(ISNUMBER(SEARCH(Assumptions!$C$5,G2039)),Assumptions!$D$5,IF(ISNUMBER(SEARCH(Assumptions!$C$6,G2039)),Assumptions!$D$6,IF(ISNUMBER(SEARCH(Assumptions!$C$7,G2039)),Assumptions!$D$7,"Other Services"))),"Other Services"))</f>
        <v/>
      </c>
    </row>
    <row r="2040" customFormat="false" ht="15" hidden="false" customHeight="false" outlineLevel="0" collapsed="false">
      <c r="E2040" s="41" t="str">
        <f aca="false">IF(D2040="","",IFERROR(VLOOKUP(D2040,Assumptions!$G$5:$H$16,2,0),"Other"))</f>
        <v/>
      </c>
      <c r="J2040" s="41" t="str">
        <f aca="false">IF(G2040="","",IFERROR(IF(ISNUMBER(SEARCH(Assumptions!$C$5,G2040)),Assumptions!$D$5,IF(ISNUMBER(SEARCH(Assumptions!$C$6,G2040)),Assumptions!$D$6,IF(ISNUMBER(SEARCH(Assumptions!$C$7,G2040)),Assumptions!$D$7,"Other Services"))),"Other Services"))</f>
        <v/>
      </c>
    </row>
    <row r="2041" customFormat="false" ht="15" hidden="false" customHeight="false" outlineLevel="0" collapsed="false">
      <c r="E2041" s="41" t="str">
        <f aca="false">IF(D2041="","",IFERROR(VLOOKUP(D2041,Assumptions!$G$5:$H$16,2,0),"Other"))</f>
        <v/>
      </c>
      <c r="J2041" s="41" t="str">
        <f aca="false">IF(G2041="","",IFERROR(IF(ISNUMBER(SEARCH(Assumptions!$C$5,G2041)),Assumptions!$D$5,IF(ISNUMBER(SEARCH(Assumptions!$C$6,G2041)),Assumptions!$D$6,IF(ISNUMBER(SEARCH(Assumptions!$C$7,G2041)),Assumptions!$D$7,"Other Services"))),"Other Services"))</f>
        <v/>
      </c>
    </row>
    <row r="2042" customFormat="false" ht="15" hidden="false" customHeight="false" outlineLevel="0" collapsed="false">
      <c r="E2042" s="41" t="str">
        <f aca="false">IF(D2042="","",IFERROR(VLOOKUP(D2042,Assumptions!$G$5:$H$16,2,0),"Other"))</f>
        <v/>
      </c>
      <c r="J2042" s="41" t="str">
        <f aca="false">IF(G2042="","",IFERROR(IF(ISNUMBER(SEARCH(Assumptions!$C$5,G2042)),Assumptions!$D$5,IF(ISNUMBER(SEARCH(Assumptions!$C$6,G2042)),Assumptions!$D$6,IF(ISNUMBER(SEARCH(Assumptions!$C$7,G2042)),Assumptions!$D$7,"Other Services"))),"Other Services"))</f>
        <v/>
      </c>
    </row>
    <row r="2043" customFormat="false" ht="15" hidden="false" customHeight="false" outlineLevel="0" collapsed="false">
      <c r="E2043" s="41" t="str">
        <f aca="false">IF(D2043="","",IFERROR(VLOOKUP(D2043,Assumptions!$G$5:$H$16,2,0),"Other"))</f>
        <v/>
      </c>
      <c r="J2043" s="41" t="str">
        <f aca="false">IF(G2043="","",IFERROR(IF(ISNUMBER(SEARCH(Assumptions!$C$5,G2043)),Assumptions!$D$5,IF(ISNUMBER(SEARCH(Assumptions!$C$6,G2043)),Assumptions!$D$6,IF(ISNUMBER(SEARCH(Assumptions!$C$7,G2043)),Assumptions!$D$7,"Other Services"))),"Other Services"))</f>
        <v/>
      </c>
    </row>
    <row r="2044" customFormat="false" ht="15" hidden="false" customHeight="false" outlineLevel="0" collapsed="false">
      <c r="E2044" s="41" t="str">
        <f aca="false">IF(D2044="","",IFERROR(VLOOKUP(D2044,Assumptions!$G$5:$H$16,2,0),"Other"))</f>
        <v/>
      </c>
      <c r="J2044" s="41" t="str">
        <f aca="false">IF(G2044="","",IFERROR(IF(ISNUMBER(SEARCH(Assumptions!$C$5,G2044)),Assumptions!$D$5,IF(ISNUMBER(SEARCH(Assumptions!$C$6,G2044)),Assumptions!$D$6,IF(ISNUMBER(SEARCH(Assumptions!$C$7,G2044)),Assumptions!$D$7,"Other Services"))),"Other Services"))</f>
        <v/>
      </c>
    </row>
    <row r="2045" customFormat="false" ht="15" hidden="false" customHeight="false" outlineLevel="0" collapsed="false">
      <c r="E2045" s="41" t="str">
        <f aca="false">IF(D2045="","",IFERROR(VLOOKUP(D2045,Assumptions!$G$5:$H$16,2,0),"Other"))</f>
        <v/>
      </c>
      <c r="J2045" s="41" t="str">
        <f aca="false">IF(G2045="","",IFERROR(IF(ISNUMBER(SEARCH(Assumptions!$C$5,G2045)),Assumptions!$D$5,IF(ISNUMBER(SEARCH(Assumptions!$C$6,G2045)),Assumptions!$D$6,IF(ISNUMBER(SEARCH(Assumptions!$C$7,G2045)),Assumptions!$D$7,"Other Services"))),"Other Services"))</f>
        <v/>
      </c>
    </row>
    <row r="2046" customFormat="false" ht="15" hidden="false" customHeight="false" outlineLevel="0" collapsed="false">
      <c r="E2046" s="41" t="str">
        <f aca="false">IF(D2046="","",IFERROR(VLOOKUP(D2046,Assumptions!$G$5:$H$16,2,0),"Other"))</f>
        <v/>
      </c>
      <c r="J2046" s="41" t="str">
        <f aca="false">IF(G2046="","",IFERROR(IF(ISNUMBER(SEARCH(Assumptions!$C$5,G2046)),Assumptions!$D$5,IF(ISNUMBER(SEARCH(Assumptions!$C$6,G2046)),Assumptions!$D$6,IF(ISNUMBER(SEARCH(Assumptions!$C$7,G2046)),Assumptions!$D$7,"Other Services"))),"Other Services"))</f>
        <v/>
      </c>
    </row>
    <row r="2047" customFormat="false" ht="15" hidden="false" customHeight="false" outlineLevel="0" collapsed="false">
      <c r="E2047" s="41" t="str">
        <f aca="false">IF(D2047="","",IFERROR(VLOOKUP(D2047,Assumptions!$G$5:$H$16,2,0),"Other"))</f>
        <v/>
      </c>
      <c r="J2047" s="41" t="str">
        <f aca="false">IF(G2047="","",IFERROR(IF(ISNUMBER(SEARCH(Assumptions!$C$5,G2047)),Assumptions!$D$5,IF(ISNUMBER(SEARCH(Assumptions!$C$6,G2047)),Assumptions!$D$6,IF(ISNUMBER(SEARCH(Assumptions!$C$7,G2047)),Assumptions!$D$7,"Other Services"))),"Other Services"))</f>
        <v/>
      </c>
    </row>
    <row r="2048" customFormat="false" ht="15" hidden="false" customHeight="false" outlineLevel="0" collapsed="false">
      <c r="E2048" s="41" t="str">
        <f aca="false">IF(D2048="","",IFERROR(VLOOKUP(D2048,Assumptions!$G$5:$H$16,2,0),"Other"))</f>
        <v/>
      </c>
      <c r="J2048" s="41" t="str">
        <f aca="false">IF(G2048="","",IFERROR(IF(ISNUMBER(SEARCH(Assumptions!$C$5,G2048)),Assumptions!$D$5,IF(ISNUMBER(SEARCH(Assumptions!$C$6,G2048)),Assumptions!$D$6,IF(ISNUMBER(SEARCH(Assumptions!$C$7,G2048)),Assumptions!$D$7,"Other Services"))),"Other Services"))</f>
        <v/>
      </c>
    </row>
    <row r="2049" customFormat="false" ht="15" hidden="false" customHeight="false" outlineLevel="0" collapsed="false">
      <c r="E2049" s="41" t="str">
        <f aca="false">IF(D2049="","",IFERROR(VLOOKUP(D2049,Assumptions!$G$5:$H$16,2,0),"Other"))</f>
        <v/>
      </c>
      <c r="J2049" s="41" t="str">
        <f aca="false">IF(G2049="","",IFERROR(IF(ISNUMBER(SEARCH(Assumptions!$C$5,G2049)),Assumptions!$D$5,IF(ISNUMBER(SEARCH(Assumptions!$C$6,G2049)),Assumptions!$D$6,IF(ISNUMBER(SEARCH(Assumptions!$C$7,G2049)),Assumptions!$D$7,"Other Services"))),"Other Services"))</f>
        <v/>
      </c>
    </row>
    <row r="2050" customFormat="false" ht="15" hidden="false" customHeight="false" outlineLevel="0" collapsed="false">
      <c r="E2050" s="41" t="str">
        <f aca="false">IF(D2050="","",IFERROR(VLOOKUP(D2050,Assumptions!$G$5:$H$16,2,0),"Other"))</f>
        <v/>
      </c>
      <c r="J2050" s="41" t="str">
        <f aca="false">IF(G2050="","",IFERROR(IF(ISNUMBER(SEARCH(Assumptions!$C$5,G2050)),Assumptions!$D$5,IF(ISNUMBER(SEARCH(Assumptions!$C$6,G2050)),Assumptions!$D$6,IF(ISNUMBER(SEARCH(Assumptions!$C$7,G2050)),Assumptions!$D$7,"Other Services"))),"Other Services"))</f>
        <v/>
      </c>
    </row>
    <row r="2051" customFormat="false" ht="15" hidden="false" customHeight="false" outlineLevel="0" collapsed="false">
      <c r="E2051" s="41" t="str">
        <f aca="false">IF(D2051="","",IFERROR(VLOOKUP(D2051,Assumptions!$G$5:$H$16,2,0),"Other"))</f>
        <v/>
      </c>
      <c r="J2051" s="41" t="str">
        <f aca="false">IF(G2051="","",IFERROR(IF(ISNUMBER(SEARCH(Assumptions!$C$5,G2051)),Assumptions!$D$5,IF(ISNUMBER(SEARCH(Assumptions!$C$6,G2051)),Assumptions!$D$6,IF(ISNUMBER(SEARCH(Assumptions!$C$7,G2051)),Assumptions!$D$7,"Other Services"))),"Other Services"))</f>
        <v/>
      </c>
    </row>
    <row r="2052" customFormat="false" ht="15" hidden="false" customHeight="false" outlineLevel="0" collapsed="false">
      <c r="E2052" s="41" t="str">
        <f aca="false">IF(D2052="","",IFERROR(VLOOKUP(D2052,Assumptions!$G$5:$H$16,2,0),"Other"))</f>
        <v/>
      </c>
      <c r="J2052" s="41" t="str">
        <f aca="false">IF(G2052="","",IFERROR(IF(ISNUMBER(SEARCH(Assumptions!$C$5,G2052)),Assumptions!$D$5,IF(ISNUMBER(SEARCH(Assumptions!$C$6,G2052)),Assumptions!$D$6,IF(ISNUMBER(SEARCH(Assumptions!$C$7,G2052)),Assumptions!$D$7,"Other Services"))),"Other Services"))</f>
        <v/>
      </c>
    </row>
    <row r="2053" customFormat="false" ht="15" hidden="false" customHeight="false" outlineLevel="0" collapsed="false">
      <c r="E2053" s="41" t="str">
        <f aca="false">IF(D2053="","",IFERROR(VLOOKUP(D2053,Assumptions!$G$5:$H$16,2,0),"Other"))</f>
        <v/>
      </c>
      <c r="J2053" s="41" t="str">
        <f aca="false">IF(G2053="","",IFERROR(IF(ISNUMBER(SEARCH(Assumptions!$C$5,G2053)),Assumptions!$D$5,IF(ISNUMBER(SEARCH(Assumptions!$C$6,G2053)),Assumptions!$D$6,IF(ISNUMBER(SEARCH(Assumptions!$C$7,G2053)),Assumptions!$D$7,"Other Services"))),"Other Services"))</f>
        <v/>
      </c>
    </row>
    <row r="2054" customFormat="false" ht="15" hidden="false" customHeight="false" outlineLevel="0" collapsed="false">
      <c r="E2054" s="41" t="str">
        <f aca="false">IF(D2054="","",IFERROR(VLOOKUP(D2054,Assumptions!$G$5:$H$16,2,0),"Other"))</f>
        <v/>
      </c>
      <c r="J2054" s="41" t="str">
        <f aca="false">IF(G2054="","",IFERROR(IF(ISNUMBER(SEARCH(Assumptions!$C$5,G2054)),Assumptions!$D$5,IF(ISNUMBER(SEARCH(Assumptions!$C$6,G2054)),Assumptions!$D$6,IF(ISNUMBER(SEARCH(Assumptions!$C$7,G2054)),Assumptions!$D$7,"Other Services"))),"Other Services"))</f>
        <v/>
      </c>
    </row>
    <row r="2055" customFormat="false" ht="15" hidden="false" customHeight="false" outlineLevel="0" collapsed="false">
      <c r="E2055" s="41" t="str">
        <f aca="false">IF(D2055="","",IFERROR(VLOOKUP(D2055,Assumptions!$G$5:$H$16,2,0),"Other"))</f>
        <v/>
      </c>
      <c r="J2055" s="41" t="str">
        <f aca="false">IF(G2055="","",IFERROR(IF(ISNUMBER(SEARCH(Assumptions!$C$5,G2055)),Assumptions!$D$5,IF(ISNUMBER(SEARCH(Assumptions!$C$6,G2055)),Assumptions!$D$6,IF(ISNUMBER(SEARCH(Assumptions!$C$7,G2055)),Assumptions!$D$7,"Other Services"))),"Other Services"))</f>
        <v/>
      </c>
    </row>
    <row r="2056" customFormat="false" ht="15" hidden="false" customHeight="false" outlineLevel="0" collapsed="false">
      <c r="E2056" s="41" t="str">
        <f aca="false">IF(D2056="","",IFERROR(VLOOKUP(D2056,Assumptions!$G$5:$H$16,2,0),"Other"))</f>
        <v/>
      </c>
      <c r="J2056" s="41" t="str">
        <f aca="false">IF(G2056="","",IFERROR(IF(ISNUMBER(SEARCH(Assumptions!$C$5,G2056)),Assumptions!$D$5,IF(ISNUMBER(SEARCH(Assumptions!$C$6,G2056)),Assumptions!$D$6,IF(ISNUMBER(SEARCH(Assumptions!$C$7,G2056)),Assumptions!$D$7,"Other Services"))),"Other Services"))</f>
        <v/>
      </c>
    </row>
    <row r="2057" customFormat="false" ht="15" hidden="false" customHeight="false" outlineLevel="0" collapsed="false">
      <c r="E2057" s="41" t="str">
        <f aca="false">IF(D2057="","",IFERROR(VLOOKUP(D2057,Assumptions!$G$5:$H$16,2,0),"Other"))</f>
        <v/>
      </c>
      <c r="J2057" s="41" t="str">
        <f aca="false">IF(G2057="","",IFERROR(IF(ISNUMBER(SEARCH(Assumptions!$C$5,G2057)),Assumptions!$D$5,IF(ISNUMBER(SEARCH(Assumptions!$C$6,G2057)),Assumptions!$D$6,IF(ISNUMBER(SEARCH(Assumptions!$C$7,G2057)),Assumptions!$D$7,"Other Services"))),"Other Services"))</f>
        <v/>
      </c>
    </row>
    <row r="2058" customFormat="false" ht="15" hidden="false" customHeight="false" outlineLevel="0" collapsed="false">
      <c r="E2058" s="41" t="str">
        <f aca="false">IF(D2058="","",IFERROR(VLOOKUP(D2058,Assumptions!$G$5:$H$16,2,0),"Other"))</f>
        <v/>
      </c>
      <c r="J2058" s="41" t="str">
        <f aca="false">IF(G2058="","",IFERROR(IF(ISNUMBER(SEARCH(Assumptions!$C$5,G2058)),Assumptions!$D$5,IF(ISNUMBER(SEARCH(Assumptions!$C$6,G2058)),Assumptions!$D$6,IF(ISNUMBER(SEARCH(Assumptions!$C$7,G2058)),Assumptions!$D$7,"Other Services"))),"Other Services"))</f>
        <v/>
      </c>
    </row>
    <row r="2059" customFormat="false" ht="15" hidden="false" customHeight="false" outlineLevel="0" collapsed="false">
      <c r="E2059" s="41" t="str">
        <f aca="false">IF(D2059="","",IFERROR(VLOOKUP(D2059,Assumptions!$G$5:$H$16,2,0),"Other"))</f>
        <v/>
      </c>
      <c r="J2059" s="41" t="str">
        <f aca="false">IF(G2059="","",IFERROR(IF(ISNUMBER(SEARCH(Assumptions!$C$5,G2059)),Assumptions!$D$5,IF(ISNUMBER(SEARCH(Assumptions!$C$6,G2059)),Assumptions!$D$6,IF(ISNUMBER(SEARCH(Assumptions!$C$7,G2059)),Assumptions!$D$7,"Other Services"))),"Other Services"))</f>
        <v/>
      </c>
    </row>
    <row r="2060" customFormat="false" ht="15" hidden="false" customHeight="false" outlineLevel="0" collapsed="false">
      <c r="E2060" s="41" t="str">
        <f aca="false">IF(D2060="","",IFERROR(VLOOKUP(D2060,Assumptions!$G$5:$H$16,2,0),"Other"))</f>
        <v/>
      </c>
      <c r="J2060" s="41" t="str">
        <f aca="false">IF(G2060="","",IFERROR(IF(ISNUMBER(SEARCH(Assumptions!$C$5,G2060)),Assumptions!$D$5,IF(ISNUMBER(SEARCH(Assumptions!$C$6,G2060)),Assumptions!$D$6,IF(ISNUMBER(SEARCH(Assumptions!$C$7,G2060)),Assumptions!$D$7,"Other Services"))),"Other Services"))</f>
        <v/>
      </c>
    </row>
    <row r="2061" customFormat="false" ht="15" hidden="false" customHeight="false" outlineLevel="0" collapsed="false">
      <c r="E2061" s="41" t="str">
        <f aca="false">IF(D2061="","",IFERROR(VLOOKUP(D2061,Assumptions!$G$5:$H$16,2,0),"Other"))</f>
        <v/>
      </c>
      <c r="J2061" s="41" t="str">
        <f aca="false">IF(G2061="","",IFERROR(IF(ISNUMBER(SEARCH(Assumptions!$C$5,G2061)),Assumptions!$D$5,IF(ISNUMBER(SEARCH(Assumptions!$C$6,G2061)),Assumptions!$D$6,IF(ISNUMBER(SEARCH(Assumptions!$C$7,G2061)),Assumptions!$D$7,"Other Services"))),"Other Services"))</f>
        <v/>
      </c>
    </row>
    <row r="2062" customFormat="false" ht="15" hidden="false" customHeight="false" outlineLevel="0" collapsed="false">
      <c r="E2062" s="41" t="str">
        <f aca="false">IF(D2062="","",IFERROR(VLOOKUP(D2062,Assumptions!$G$5:$H$16,2,0),"Other"))</f>
        <v/>
      </c>
      <c r="J2062" s="41" t="str">
        <f aca="false">IF(G2062="","",IFERROR(IF(ISNUMBER(SEARCH(Assumptions!$C$5,G2062)),Assumptions!$D$5,IF(ISNUMBER(SEARCH(Assumptions!$C$6,G2062)),Assumptions!$D$6,IF(ISNUMBER(SEARCH(Assumptions!$C$7,G2062)),Assumptions!$D$7,"Other Services"))),"Other Services"))</f>
        <v/>
      </c>
    </row>
    <row r="2063" customFormat="false" ht="15" hidden="false" customHeight="false" outlineLevel="0" collapsed="false">
      <c r="E2063" s="41" t="str">
        <f aca="false">IF(D2063="","",IFERROR(VLOOKUP(D2063,Assumptions!$G$5:$H$16,2,0),"Other"))</f>
        <v/>
      </c>
      <c r="J2063" s="41" t="str">
        <f aca="false">IF(G2063="","",IFERROR(IF(ISNUMBER(SEARCH(Assumptions!$C$5,G2063)),Assumptions!$D$5,IF(ISNUMBER(SEARCH(Assumptions!$C$6,G2063)),Assumptions!$D$6,IF(ISNUMBER(SEARCH(Assumptions!$C$7,G2063)),Assumptions!$D$7,"Other Services"))),"Other Services"))</f>
        <v/>
      </c>
    </row>
    <row r="2064" customFormat="false" ht="15" hidden="false" customHeight="false" outlineLevel="0" collapsed="false">
      <c r="E2064" s="41" t="str">
        <f aca="false">IF(D2064="","",IFERROR(VLOOKUP(D2064,Assumptions!$G$5:$H$16,2,0),"Other"))</f>
        <v/>
      </c>
      <c r="J2064" s="41" t="str">
        <f aca="false">IF(G2064="","",IFERROR(IF(ISNUMBER(SEARCH(Assumptions!$C$5,G2064)),Assumptions!$D$5,IF(ISNUMBER(SEARCH(Assumptions!$C$6,G2064)),Assumptions!$D$6,IF(ISNUMBER(SEARCH(Assumptions!$C$7,G2064)),Assumptions!$D$7,"Other Services"))),"Other Services"))</f>
        <v/>
      </c>
    </row>
    <row r="2065" customFormat="false" ht="15" hidden="false" customHeight="false" outlineLevel="0" collapsed="false">
      <c r="E2065" s="41" t="str">
        <f aca="false">IF(D2065="","",IFERROR(VLOOKUP(D2065,Assumptions!$G$5:$H$16,2,0),"Other"))</f>
        <v/>
      </c>
      <c r="J2065" s="41" t="str">
        <f aca="false">IF(G2065="","",IFERROR(IF(ISNUMBER(SEARCH(Assumptions!$C$5,G2065)),Assumptions!$D$5,IF(ISNUMBER(SEARCH(Assumptions!$C$6,G2065)),Assumptions!$D$6,IF(ISNUMBER(SEARCH(Assumptions!$C$7,G2065)),Assumptions!$D$7,"Other Services"))),"Other Services"))</f>
        <v/>
      </c>
    </row>
    <row r="2066" customFormat="false" ht="15" hidden="false" customHeight="false" outlineLevel="0" collapsed="false">
      <c r="E2066" s="41" t="str">
        <f aca="false">IF(D2066="","",IFERROR(VLOOKUP(D2066,Assumptions!$G$5:$H$16,2,0),"Other"))</f>
        <v/>
      </c>
      <c r="J2066" s="41" t="str">
        <f aca="false">IF(G2066="","",IFERROR(IF(ISNUMBER(SEARCH(Assumptions!$C$5,G2066)),Assumptions!$D$5,IF(ISNUMBER(SEARCH(Assumptions!$C$6,G2066)),Assumptions!$D$6,IF(ISNUMBER(SEARCH(Assumptions!$C$7,G2066)),Assumptions!$D$7,"Other Services"))),"Other Services"))</f>
        <v/>
      </c>
    </row>
    <row r="2067" customFormat="false" ht="15" hidden="false" customHeight="false" outlineLevel="0" collapsed="false">
      <c r="E2067" s="41" t="str">
        <f aca="false">IF(D2067="","",IFERROR(VLOOKUP(D2067,Assumptions!$G$5:$H$16,2,0),"Other"))</f>
        <v/>
      </c>
      <c r="J2067" s="41" t="str">
        <f aca="false">IF(G2067="","",IFERROR(IF(ISNUMBER(SEARCH(Assumptions!$C$5,G2067)),Assumptions!$D$5,IF(ISNUMBER(SEARCH(Assumptions!$C$6,G2067)),Assumptions!$D$6,IF(ISNUMBER(SEARCH(Assumptions!$C$7,G2067)),Assumptions!$D$7,"Other Services"))),"Other Services"))</f>
        <v/>
      </c>
    </row>
    <row r="2068" customFormat="false" ht="15" hidden="false" customHeight="false" outlineLevel="0" collapsed="false">
      <c r="E2068" s="41" t="str">
        <f aca="false">IF(D2068="","",IFERROR(VLOOKUP(D2068,Assumptions!$G$5:$H$16,2,0),"Other"))</f>
        <v/>
      </c>
      <c r="J2068" s="41" t="str">
        <f aca="false">IF(G2068="","",IFERROR(IF(ISNUMBER(SEARCH(Assumptions!$C$5,G2068)),Assumptions!$D$5,IF(ISNUMBER(SEARCH(Assumptions!$C$6,G2068)),Assumptions!$D$6,IF(ISNUMBER(SEARCH(Assumptions!$C$7,G2068)),Assumptions!$D$7,"Other Services"))),"Other Services"))</f>
        <v/>
      </c>
    </row>
    <row r="2069" customFormat="false" ht="15" hidden="false" customHeight="false" outlineLevel="0" collapsed="false">
      <c r="E2069" s="41" t="str">
        <f aca="false">IF(D2069="","",IFERROR(VLOOKUP(D2069,Assumptions!$G$5:$H$16,2,0),"Other"))</f>
        <v/>
      </c>
      <c r="J2069" s="41" t="str">
        <f aca="false">IF(G2069="","",IFERROR(IF(ISNUMBER(SEARCH(Assumptions!$C$5,G2069)),Assumptions!$D$5,IF(ISNUMBER(SEARCH(Assumptions!$C$6,G2069)),Assumptions!$D$6,IF(ISNUMBER(SEARCH(Assumptions!$C$7,G2069)),Assumptions!$D$7,"Other Services"))),"Other Services"))</f>
        <v/>
      </c>
    </row>
    <row r="2070" customFormat="false" ht="15" hidden="false" customHeight="false" outlineLevel="0" collapsed="false">
      <c r="E2070" s="41" t="str">
        <f aca="false">IF(D2070="","",IFERROR(VLOOKUP(D2070,Assumptions!$G$5:$H$16,2,0),"Other"))</f>
        <v/>
      </c>
      <c r="J2070" s="41" t="str">
        <f aca="false">IF(G2070="","",IFERROR(IF(ISNUMBER(SEARCH(Assumptions!$C$5,G2070)),Assumptions!$D$5,IF(ISNUMBER(SEARCH(Assumptions!$C$6,G2070)),Assumptions!$D$6,IF(ISNUMBER(SEARCH(Assumptions!$C$7,G2070)),Assumptions!$D$7,"Other Services"))),"Other Services"))</f>
        <v/>
      </c>
    </row>
    <row r="2071" customFormat="false" ht="15" hidden="false" customHeight="false" outlineLevel="0" collapsed="false">
      <c r="E2071" s="41" t="str">
        <f aca="false">IF(D2071="","",IFERROR(VLOOKUP(D2071,Assumptions!$G$5:$H$16,2,0),"Other"))</f>
        <v/>
      </c>
      <c r="J2071" s="41" t="str">
        <f aca="false">IF(G2071="","",IFERROR(IF(ISNUMBER(SEARCH(Assumptions!$C$5,G2071)),Assumptions!$D$5,IF(ISNUMBER(SEARCH(Assumptions!$C$6,G2071)),Assumptions!$D$6,IF(ISNUMBER(SEARCH(Assumptions!$C$7,G2071)),Assumptions!$D$7,"Other Services"))),"Other Services"))</f>
        <v/>
      </c>
    </row>
    <row r="2072" customFormat="false" ht="15" hidden="false" customHeight="false" outlineLevel="0" collapsed="false">
      <c r="E2072" s="41" t="str">
        <f aca="false">IF(D2072="","",IFERROR(VLOOKUP(D2072,Assumptions!$G$5:$H$16,2,0),"Other"))</f>
        <v/>
      </c>
      <c r="J2072" s="41" t="str">
        <f aca="false">IF(G2072="","",IFERROR(IF(ISNUMBER(SEARCH(Assumptions!$C$5,G2072)),Assumptions!$D$5,IF(ISNUMBER(SEARCH(Assumptions!$C$6,G2072)),Assumptions!$D$6,IF(ISNUMBER(SEARCH(Assumptions!$C$7,G2072)),Assumptions!$D$7,"Other Services"))),"Other Services"))</f>
        <v/>
      </c>
    </row>
    <row r="2073" customFormat="false" ht="15" hidden="false" customHeight="false" outlineLevel="0" collapsed="false">
      <c r="E2073" s="41" t="str">
        <f aca="false">IF(D2073="","",IFERROR(VLOOKUP(D2073,Assumptions!$G$5:$H$16,2,0),"Other"))</f>
        <v/>
      </c>
      <c r="J2073" s="41" t="str">
        <f aca="false">IF(G2073="","",IFERROR(IF(ISNUMBER(SEARCH(Assumptions!$C$5,G2073)),Assumptions!$D$5,IF(ISNUMBER(SEARCH(Assumptions!$C$6,G2073)),Assumptions!$D$6,IF(ISNUMBER(SEARCH(Assumptions!$C$7,G2073)),Assumptions!$D$7,"Other Services"))),"Other Services"))</f>
        <v/>
      </c>
    </row>
    <row r="2074" customFormat="false" ht="15" hidden="false" customHeight="false" outlineLevel="0" collapsed="false">
      <c r="E2074" s="41" t="str">
        <f aca="false">IF(D2074="","",IFERROR(VLOOKUP(D2074,Assumptions!$G$5:$H$16,2,0),"Other"))</f>
        <v/>
      </c>
      <c r="J2074" s="41" t="str">
        <f aca="false">IF(G2074="","",IFERROR(IF(ISNUMBER(SEARCH(Assumptions!$C$5,G2074)),Assumptions!$D$5,IF(ISNUMBER(SEARCH(Assumptions!$C$6,G2074)),Assumptions!$D$6,IF(ISNUMBER(SEARCH(Assumptions!$C$7,G2074)),Assumptions!$D$7,"Other Services"))),"Other Services"))</f>
        <v/>
      </c>
    </row>
    <row r="2075" customFormat="false" ht="15" hidden="false" customHeight="false" outlineLevel="0" collapsed="false">
      <c r="E2075" s="41" t="str">
        <f aca="false">IF(D2075="","",IFERROR(VLOOKUP(D2075,Assumptions!$G$5:$H$16,2,0),"Other"))</f>
        <v/>
      </c>
      <c r="J2075" s="41" t="str">
        <f aca="false">IF(G2075="","",IFERROR(IF(ISNUMBER(SEARCH(Assumptions!$C$5,G2075)),Assumptions!$D$5,IF(ISNUMBER(SEARCH(Assumptions!$C$6,G2075)),Assumptions!$D$6,IF(ISNUMBER(SEARCH(Assumptions!$C$7,G2075)),Assumptions!$D$7,"Other Services"))),"Other Services"))</f>
        <v/>
      </c>
    </row>
    <row r="2076" customFormat="false" ht="15" hidden="false" customHeight="false" outlineLevel="0" collapsed="false">
      <c r="E2076" s="41" t="str">
        <f aca="false">IF(D2076="","",IFERROR(VLOOKUP(D2076,Assumptions!$G$5:$H$16,2,0),"Other"))</f>
        <v/>
      </c>
      <c r="J2076" s="41" t="str">
        <f aca="false">IF(G2076="","",IFERROR(IF(ISNUMBER(SEARCH(Assumptions!$C$5,G2076)),Assumptions!$D$5,IF(ISNUMBER(SEARCH(Assumptions!$C$6,G2076)),Assumptions!$D$6,IF(ISNUMBER(SEARCH(Assumptions!$C$7,G2076)),Assumptions!$D$7,"Other Services"))),"Other Services"))</f>
        <v/>
      </c>
    </row>
    <row r="2077" customFormat="false" ht="15" hidden="false" customHeight="false" outlineLevel="0" collapsed="false">
      <c r="E2077" s="41" t="str">
        <f aca="false">IF(D2077="","",IFERROR(VLOOKUP(D2077,Assumptions!$G$5:$H$16,2,0),"Other"))</f>
        <v/>
      </c>
      <c r="J2077" s="41" t="str">
        <f aca="false">IF(G2077="","",IFERROR(IF(ISNUMBER(SEARCH(Assumptions!$C$5,G2077)),Assumptions!$D$5,IF(ISNUMBER(SEARCH(Assumptions!$C$6,G2077)),Assumptions!$D$6,IF(ISNUMBER(SEARCH(Assumptions!$C$7,G2077)),Assumptions!$D$7,"Other Services"))),"Other Services"))</f>
        <v/>
      </c>
    </row>
    <row r="2078" customFormat="false" ht="15" hidden="false" customHeight="false" outlineLevel="0" collapsed="false">
      <c r="E2078" s="41" t="str">
        <f aca="false">IF(D2078="","",IFERROR(VLOOKUP(D2078,Assumptions!$G$5:$H$16,2,0),"Other"))</f>
        <v/>
      </c>
      <c r="J2078" s="41" t="str">
        <f aca="false">IF(G2078="","",IFERROR(IF(ISNUMBER(SEARCH(Assumptions!$C$5,G2078)),Assumptions!$D$5,IF(ISNUMBER(SEARCH(Assumptions!$C$6,G2078)),Assumptions!$D$6,IF(ISNUMBER(SEARCH(Assumptions!$C$7,G2078)),Assumptions!$D$7,"Other Services"))),"Other Services"))</f>
        <v/>
      </c>
    </row>
    <row r="2079" customFormat="false" ht="15" hidden="false" customHeight="false" outlineLevel="0" collapsed="false">
      <c r="E2079" s="41" t="str">
        <f aca="false">IF(D2079="","",IFERROR(VLOOKUP(D2079,Assumptions!$G$5:$H$16,2,0),"Other"))</f>
        <v/>
      </c>
      <c r="J2079" s="41" t="str">
        <f aca="false">IF(G2079="","",IFERROR(IF(ISNUMBER(SEARCH(Assumptions!$C$5,G2079)),Assumptions!$D$5,IF(ISNUMBER(SEARCH(Assumptions!$C$6,G2079)),Assumptions!$D$6,IF(ISNUMBER(SEARCH(Assumptions!$C$7,G2079)),Assumptions!$D$7,"Other Services"))),"Other Services"))</f>
        <v/>
      </c>
    </row>
    <row r="2080" customFormat="false" ht="15" hidden="false" customHeight="false" outlineLevel="0" collapsed="false">
      <c r="E2080" s="41" t="str">
        <f aca="false">IF(D2080="","",IFERROR(VLOOKUP(D2080,Assumptions!$G$5:$H$16,2,0),"Other"))</f>
        <v/>
      </c>
      <c r="J2080" s="41" t="str">
        <f aca="false">IF(G2080="","",IFERROR(IF(ISNUMBER(SEARCH(Assumptions!$C$5,G2080)),Assumptions!$D$5,IF(ISNUMBER(SEARCH(Assumptions!$C$6,G2080)),Assumptions!$D$6,IF(ISNUMBER(SEARCH(Assumptions!$C$7,G2080)),Assumptions!$D$7,"Other Services"))),"Other Services"))</f>
        <v/>
      </c>
    </row>
    <row r="2081" customFormat="false" ht="15" hidden="false" customHeight="false" outlineLevel="0" collapsed="false">
      <c r="E2081" s="41" t="str">
        <f aca="false">IF(D2081="","",IFERROR(VLOOKUP(D2081,Assumptions!$G$5:$H$16,2,0),"Other"))</f>
        <v/>
      </c>
      <c r="J2081" s="41" t="str">
        <f aca="false">IF(G2081="","",IFERROR(IF(ISNUMBER(SEARCH(Assumptions!$C$5,G2081)),Assumptions!$D$5,IF(ISNUMBER(SEARCH(Assumptions!$C$6,G2081)),Assumptions!$D$6,IF(ISNUMBER(SEARCH(Assumptions!$C$7,G2081)),Assumptions!$D$7,"Other Services"))),"Other Services"))</f>
        <v/>
      </c>
    </row>
    <row r="2082" customFormat="false" ht="15" hidden="false" customHeight="false" outlineLevel="0" collapsed="false">
      <c r="E2082" s="41" t="str">
        <f aca="false">IF(D2082="","",IFERROR(VLOOKUP(D2082,Assumptions!$G$5:$H$16,2,0),"Other"))</f>
        <v/>
      </c>
      <c r="J2082" s="41" t="str">
        <f aca="false">IF(G2082="","",IFERROR(IF(ISNUMBER(SEARCH(Assumptions!$C$5,G2082)),Assumptions!$D$5,IF(ISNUMBER(SEARCH(Assumptions!$C$6,G2082)),Assumptions!$D$6,IF(ISNUMBER(SEARCH(Assumptions!$C$7,G2082)),Assumptions!$D$7,"Other Services"))),"Other Services"))</f>
        <v/>
      </c>
    </row>
    <row r="2083" customFormat="false" ht="15" hidden="false" customHeight="false" outlineLevel="0" collapsed="false">
      <c r="E2083" s="41" t="str">
        <f aca="false">IF(D2083="","",IFERROR(VLOOKUP(D2083,Assumptions!$G$5:$H$16,2,0),"Other"))</f>
        <v/>
      </c>
      <c r="J2083" s="41" t="str">
        <f aca="false">IF(G2083="","",IFERROR(IF(ISNUMBER(SEARCH(Assumptions!$C$5,G2083)),Assumptions!$D$5,IF(ISNUMBER(SEARCH(Assumptions!$C$6,G2083)),Assumptions!$D$6,IF(ISNUMBER(SEARCH(Assumptions!$C$7,G2083)),Assumptions!$D$7,"Other Services"))),"Other Services"))</f>
        <v/>
      </c>
    </row>
    <row r="2084" customFormat="false" ht="15" hidden="false" customHeight="false" outlineLevel="0" collapsed="false">
      <c r="E2084" s="41" t="str">
        <f aca="false">IF(D2084="","",IFERROR(VLOOKUP(D2084,Assumptions!$G$5:$H$16,2,0),"Other"))</f>
        <v/>
      </c>
      <c r="J2084" s="41" t="str">
        <f aca="false">IF(G2084="","",IFERROR(IF(ISNUMBER(SEARCH(Assumptions!$C$5,G2084)),Assumptions!$D$5,IF(ISNUMBER(SEARCH(Assumptions!$C$6,G2084)),Assumptions!$D$6,IF(ISNUMBER(SEARCH(Assumptions!$C$7,G2084)),Assumptions!$D$7,"Other Services"))),"Other Services"))</f>
        <v/>
      </c>
    </row>
    <row r="2085" customFormat="false" ht="15" hidden="false" customHeight="false" outlineLevel="0" collapsed="false">
      <c r="E2085" s="41" t="str">
        <f aca="false">IF(D2085="","",IFERROR(VLOOKUP(D2085,Assumptions!$G$5:$H$16,2,0),"Other"))</f>
        <v/>
      </c>
      <c r="J2085" s="41" t="str">
        <f aca="false">IF(G2085="","",IFERROR(IF(ISNUMBER(SEARCH(Assumptions!$C$5,G2085)),Assumptions!$D$5,IF(ISNUMBER(SEARCH(Assumptions!$C$6,G2085)),Assumptions!$D$6,IF(ISNUMBER(SEARCH(Assumptions!$C$7,G2085)),Assumptions!$D$7,"Other Services"))),"Other Services"))</f>
        <v/>
      </c>
    </row>
    <row r="2086" customFormat="false" ht="15" hidden="false" customHeight="false" outlineLevel="0" collapsed="false">
      <c r="E2086" s="41" t="str">
        <f aca="false">IF(D2086="","",IFERROR(VLOOKUP(D2086,Assumptions!$G$5:$H$16,2,0),"Other"))</f>
        <v/>
      </c>
      <c r="J2086" s="41" t="str">
        <f aca="false">IF(G2086="","",IFERROR(IF(ISNUMBER(SEARCH(Assumptions!$C$5,G2086)),Assumptions!$D$5,IF(ISNUMBER(SEARCH(Assumptions!$C$6,G2086)),Assumptions!$D$6,IF(ISNUMBER(SEARCH(Assumptions!$C$7,G2086)),Assumptions!$D$7,"Other Services"))),"Other Services"))</f>
        <v/>
      </c>
    </row>
    <row r="2087" customFormat="false" ht="15" hidden="false" customHeight="false" outlineLevel="0" collapsed="false">
      <c r="E2087" s="41" t="str">
        <f aca="false">IF(D2087="","",IFERROR(VLOOKUP(D2087,Assumptions!$G$5:$H$16,2,0),"Other"))</f>
        <v/>
      </c>
      <c r="J2087" s="41" t="str">
        <f aca="false">IF(G2087="","",IFERROR(IF(ISNUMBER(SEARCH(Assumptions!$C$5,G2087)),Assumptions!$D$5,IF(ISNUMBER(SEARCH(Assumptions!$C$6,G2087)),Assumptions!$D$6,IF(ISNUMBER(SEARCH(Assumptions!$C$7,G2087)),Assumptions!$D$7,"Other Services"))),"Other Services"))</f>
        <v/>
      </c>
    </row>
    <row r="2088" customFormat="false" ht="15" hidden="false" customHeight="false" outlineLevel="0" collapsed="false">
      <c r="E2088" s="41" t="str">
        <f aca="false">IF(D2088="","",IFERROR(VLOOKUP(D2088,Assumptions!$G$5:$H$16,2,0),"Other"))</f>
        <v/>
      </c>
      <c r="J2088" s="41" t="str">
        <f aca="false">IF(G2088="","",IFERROR(IF(ISNUMBER(SEARCH(Assumptions!$C$5,G2088)),Assumptions!$D$5,IF(ISNUMBER(SEARCH(Assumptions!$C$6,G2088)),Assumptions!$D$6,IF(ISNUMBER(SEARCH(Assumptions!$C$7,G2088)),Assumptions!$D$7,"Other Services"))),"Other Services"))</f>
        <v/>
      </c>
    </row>
    <row r="2089" customFormat="false" ht="15" hidden="false" customHeight="false" outlineLevel="0" collapsed="false">
      <c r="E2089" s="41" t="str">
        <f aca="false">IF(D2089="","",IFERROR(VLOOKUP(D2089,Assumptions!$G$5:$H$16,2,0),"Other"))</f>
        <v/>
      </c>
      <c r="J2089" s="41" t="str">
        <f aca="false">IF(G2089="","",IFERROR(IF(ISNUMBER(SEARCH(Assumptions!$C$5,G2089)),Assumptions!$D$5,IF(ISNUMBER(SEARCH(Assumptions!$C$6,G2089)),Assumptions!$D$6,IF(ISNUMBER(SEARCH(Assumptions!$C$7,G2089)),Assumptions!$D$7,"Other Services"))),"Other Services"))</f>
        <v/>
      </c>
    </row>
    <row r="2090" customFormat="false" ht="15" hidden="false" customHeight="false" outlineLevel="0" collapsed="false">
      <c r="E2090" s="41" t="str">
        <f aca="false">IF(D2090="","",IFERROR(VLOOKUP(D2090,Assumptions!$G$5:$H$16,2,0),"Other"))</f>
        <v/>
      </c>
      <c r="J2090" s="41" t="str">
        <f aca="false">IF(G2090="","",IFERROR(IF(ISNUMBER(SEARCH(Assumptions!$C$5,G2090)),Assumptions!$D$5,IF(ISNUMBER(SEARCH(Assumptions!$C$6,G2090)),Assumptions!$D$6,IF(ISNUMBER(SEARCH(Assumptions!$C$7,G2090)),Assumptions!$D$7,"Other Services"))),"Other Services"))</f>
        <v/>
      </c>
    </row>
    <row r="2091" customFormat="false" ht="15" hidden="false" customHeight="false" outlineLevel="0" collapsed="false">
      <c r="E2091" s="41" t="str">
        <f aca="false">IF(D2091="","",IFERROR(VLOOKUP(D2091,Assumptions!$G$5:$H$16,2,0),"Other"))</f>
        <v/>
      </c>
      <c r="J2091" s="41" t="str">
        <f aca="false">IF(G2091="","",IFERROR(IF(ISNUMBER(SEARCH(Assumptions!$C$5,G2091)),Assumptions!$D$5,IF(ISNUMBER(SEARCH(Assumptions!$C$6,G2091)),Assumptions!$D$6,IF(ISNUMBER(SEARCH(Assumptions!$C$7,G2091)),Assumptions!$D$7,"Other Services"))),"Other Services"))</f>
        <v/>
      </c>
    </row>
    <row r="2092" customFormat="false" ht="15" hidden="false" customHeight="false" outlineLevel="0" collapsed="false">
      <c r="E2092" s="41" t="str">
        <f aca="false">IF(D2092="","",IFERROR(VLOOKUP(D2092,Assumptions!$G$5:$H$16,2,0),"Other"))</f>
        <v/>
      </c>
      <c r="J2092" s="41" t="str">
        <f aca="false">IF(G2092="","",IFERROR(IF(ISNUMBER(SEARCH(Assumptions!$C$5,G2092)),Assumptions!$D$5,IF(ISNUMBER(SEARCH(Assumptions!$C$6,G2092)),Assumptions!$D$6,IF(ISNUMBER(SEARCH(Assumptions!$C$7,G2092)),Assumptions!$D$7,"Other Services"))),"Other Services"))</f>
        <v/>
      </c>
    </row>
    <row r="2093" customFormat="false" ht="15" hidden="false" customHeight="false" outlineLevel="0" collapsed="false">
      <c r="E2093" s="41" t="str">
        <f aca="false">IF(D2093="","",IFERROR(VLOOKUP(D2093,Assumptions!$G$5:$H$16,2,0),"Other"))</f>
        <v/>
      </c>
      <c r="J2093" s="41" t="str">
        <f aca="false">IF(G2093="","",IFERROR(IF(ISNUMBER(SEARCH(Assumptions!$C$5,G2093)),Assumptions!$D$5,IF(ISNUMBER(SEARCH(Assumptions!$C$6,G2093)),Assumptions!$D$6,IF(ISNUMBER(SEARCH(Assumptions!$C$7,G2093)),Assumptions!$D$7,"Other Services"))),"Other Services"))</f>
        <v/>
      </c>
    </row>
    <row r="2094" customFormat="false" ht="15" hidden="false" customHeight="false" outlineLevel="0" collapsed="false">
      <c r="E2094" s="41" t="str">
        <f aca="false">IF(D2094="","",IFERROR(VLOOKUP(D2094,Assumptions!$G$5:$H$16,2,0),"Other"))</f>
        <v/>
      </c>
      <c r="J2094" s="41" t="str">
        <f aca="false">IF(G2094="","",IFERROR(IF(ISNUMBER(SEARCH(Assumptions!$C$5,G2094)),Assumptions!$D$5,IF(ISNUMBER(SEARCH(Assumptions!$C$6,G2094)),Assumptions!$D$6,IF(ISNUMBER(SEARCH(Assumptions!$C$7,G2094)),Assumptions!$D$7,"Other Services"))),"Other Services"))</f>
        <v/>
      </c>
    </row>
    <row r="2095" customFormat="false" ht="15" hidden="false" customHeight="false" outlineLevel="0" collapsed="false">
      <c r="E2095" s="41" t="str">
        <f aca="false">IF(D2095="","",IFERROR(VLOOKUP(D2095,Assumptions!$G$5:$H$16,2,0),"Other"))</f>
        <v/>
      </c>
      <c r="J2095" s="41" t="str">
        <f aca="false">IF(G2095="","",IFERROR(IF(ISNUMBER(SEARCH(Assumptions!$C$5,G2095)),Assumptions!$D$5,IF(ISNUMBER(SEARCH(Assumptions!$C$6,G2095)),Assumptions!$D$6,IF(ISNUMBER(SEARCH(Assumptions!$C$7,G2095)),Assumptions!$D$7,"Other Services"))),"Other Services"))</f>
        <v/>
      </c>
    </row>
    <row r="2096" customFormat="false" ht="15" hidden="false" customHeight="false" outlineLevel="0" collapsed="false">
      <c r="E2096" s="41" t="str">
        <f aca="false">IF(D2096="","",IFERROR(VLOOKUP(D2096,Assumptions!$G$5:$H$16,2,0),"Other"))</f>
        <v/>
      </c>
      <c r="J2096" s="41" t="str">
        <f aca="false">IF(G2096="","",IFERROR(IF(ISNUMBER(SEARCH(Assumptions!$C$5,G2096)),Assumptions!$D$5,IF(ISNUMBER(SEARCH(Assumptions!$C$6,G2096)),Assumptions!$D$6,IF(ISNUMBER(SEARCH(Assumptions!$C$7,G2096)),Assumptions!$D$7,"Other Services"))),"Other Services"))</f>
        <v/>
      </c>
    </row>
    <row r="2097" customFormat="false" ht="15" hidden="false" customHeight="false" outlineLevel="0" collapsed="false">
      <c r="E2097" s="41" t="str">
        <f aca="false">IF(D2097="","",IFERROR(VLOOKUP(D2097,Assumptions!$G$5:$H$16,2,0),"Other"))</f>
        <v/>
      </c>
      <c r="J2097" s="41" t="str">
        <f aca="false">IF(G2097="","",IFERROR(IF(ISNUMBER(SEARCH(Assumptions!$C$5,G2097)),Assumptions!$D$5,IF(ISNUMBER(SEARCH(Assumptions!$C$6,G2097)),Assumptions!$D$6,IF(ISNUMBER(SEARCH(Assumptions!$C$7,G2097)),Assumptions!$D$7,"Other Services"))),"Other Services"))</f>
        <v/>
      </c>
    </row>
    <row r="2098" customFormat="false" ht="15" hidden="false" customHeight="false" outlineLevel="0" collapsed="false">
      <c r="E2098" s="41" t="str">
        <f aca="false">IF(D2098="","",IFERROR(VLOOKUP(D2098,Assumptions!$G$5:$H$16,2,0),"Other"))</f>
        <v/>
      </c>
      <c r="J2098" s="41" t="str">
        <f aca="false">IF(G2098="","",IFERROR(IF(ISNUMBER(SEARCH(Assumptions!$C$5,G2098)),Assumptions!$D$5,IF(ISNUMBER(SEARCH(Assumptions!$C$6,G2098)),Assumptions!$D$6,IF(ISNUMBER(SEARCH(Assumptions!$C$7,G2098)),Assumptions!$D$7,"Other Services"))),"Other Services"))</f>
        <v/>
      </c>
    </row>
    <row r="2099" customFormat="false" ht="15" hidden="false" customHeight="false" outlineLevel="0" collapsed="false">
      <c r="E2099" s="41" t="str">
        <f aca="false">IF(D2099="","",IFERROR(VLOOKUP(D2099,Assumptions!$G$5:$H$16,2,0),"Other"))</f>
        <v/>
      </c>
      <c r="J2099" s="41" t="str">
        <f aca="false">IF(G2099="","",IFERROR(IF(ISNUMBER(SEARCH(Assumptions!$C$5,G2099)),Assumptions!$D$5,IF(ISNUMBER(SEARCH(Assumptions!$C$6,G2099)),Assumptions!$D$6,IF(ISNUMBER(SEARCH(Assumptions!$C$7,G2099)),Assumptions!$D$7,"Other Services"))),"Other Services"))</f>
        <v/>
      </c>
    </row>
    <row r="2100" customFormat="false" ht="15" hidden="false" customHeight="false" outlineLevel="0" collapsed="false">
      <c r="E2100" s="41" t="str">
        <f aca="false">IF(D2100="","",IFERROR(VLOOKUP(D2100,Assumptions!$G$5:$H$16,2,0),"Other"))</f>
        <v/>
      </c>
      <c r="J2100" s="41" t="str">
        <f aca="false">IF(G2100="","",IFERROR(IF(ISNUMBER(SEARCH(Assumptions!$C$5,G2100)),Assumptions!$D$5,IF(ISNUMBER(SEARCH(Assumptions!$C$6,G2100)),Assumptions!$D$6,IF(ISNUMBER(SEARCH(Assumptions!$C$7,G2100)),Assumptions!$D$7,"Other Services"))),"Other Services"))</f>
        <v/>
      </c>
    </row>
    <row r="2101" customFormat="false" ht="15" hidden="false" customHeight="false" outlineLevel="0" collapsed="false">
      <c r="E2101" s="41" t="str">
        <f aca="false">IF(D2101="","",IFERROR(VLOOKUP(D2101,Assumptions!$G$5:$H$16,2,0),"Other"))</f>
        <v/>
      </c>
      <c r="J2101" s="41" t="str">
        <f aca="false">IF(G2101="","",IFERROR(IF(ISNUMBER(SEARCH(Assumptions!$C$5,G2101)),Assumptions!$D$5,IF(ISNUMBER(SEARCH(Assumptions!$C$6,G2101)),Assumptions!$D$6,IF(ISNUMBER(SEARCH(Assumptions!$C$7,G2101)),Assumptions!$D$7,"Other Services"))),"Other Services"))</f>
        <v/>
      </c>
    </row>
    <row r="2102" customFormat="false" ht="15" hidden="false" customHeight="false" outlineLevel="0" collapsed="false">
      <c r="E2102" s="41" t="str">
        <f aca="false">IF(D2102="","",IFERROR(VLOOKUP(D2102,Assumptions!$G$5:$H$16,2,0),"Other"))</f>
        <v/>
      </c>
      <c r="J2102" s="41" t="str">
        <f aca="false">IF(G2102="","",IFERROR(IF(ISNUMBER(SEARCH(Assumptions!$C$5,G2102)),Assumptions!$D$5,IF(ISNUMBER(SEARCH(Assumptions!$C$6,G2102)),Assumptions!$D$6,IF(ISNUMBER(SEARCH(Assumptions!$C$7,G2102)),Assumptions!$D$7,"Other Services"))),"Other Services"))</f>
        <v/>
      </c>
    </row>
    <row r="2103" customFormat="false" ht="15" hidden="false" customHeight="false" outlineLevel="0" collapsed="false">
      <c r="E2103" s="41" t="str">
        <f aca="false">IF(D2103="","",IFERROR(VLOOKUP(D2103,Assumptions!$G$5:$H$16,2,0),"Other"))</f>
        <v/>
      </c>
      <c r="J2103" s="41" t="str">
        <f aca="false">IF(G2103="","",IFERROR(IF(ISNUMBER(SEARCH(Assumptions!$C$5,G2103)),Assumptions!$D$5,IF(ISNUMBER(SEARCH(Assumptions!$C$6,G2103)),Assumptions!$D$6,IF(ISNUMBER(SEARCH(Assumptions!$C$7,G2103)),Assumptions!$D$7,"Other Services"))),"Other Services"))</f>
        <v/>
      </c>
    </row>
    <row r="2104" customFormat="false" ht="15" hidden="false" customHeight="false" outlineLevel="0" collapsed="false">
      <c r="E2104" s="41" t="str">
        <f aca="false">IF(D2104="","",IFERROR(VLOOKUP(D2104,Assumptions!$G$5:$H$16,2,0),"Other"))</f>
        <v/>
      </c>
      <c r="J2104" s="41" t="str">
        <f aca="false">IF(G2104="","",IFERROR(IF(ISNUMBER(SEARCH(Assumptions!$C$5,G2104)),Assumptions!$D$5,IF(ISNUMBER(SEARCH(Assumptions!$C$6,G2104)),Assumptions!$D$6,IF(ISNUMBER(SEARCH(Assumptions!$C$7,G2104)),Assumptions!$D$7,"Other Services"))),"Other Services"))</f>
        <v/>
      </c>
    </row>
    <row r="2105" customFormat="false" ht="15" hidden="false" customHeight="false" outlineLevel="0" collapsed="false">
      <c r="E2105" s="41" t="str">
        <f aca="false">IF(D2105="","",IFERROR(VLOOKUP(D2105,Assumptions!$G$5:$H$16,2,0),"Other"))</f>
        <v/>
      </c>
      <c r="J2105" s="41" t="str">
        <f aca="false">IF(G2105="","",IFERROR(IF(ISNUMBER(SEARCH(Assumptions!$C$5,G2105)),Assumptions!$D$5,IF(ISNUMBER(SEARCH(Assumptions!$C$6,G2105)),Assumptions!$D$6,IF(ISNUMBER(SEARCH(Assumptions!$C$7,G2105)),Assumptions!$D$7,"Other Services"))),"Other Services"))</f>
        <v/>
      </c>
    </row>
    <row r="2106" customFormat="false" ht="15" hidden="false" customHeight="false" outlineLevel="0" collapsed="false">
      <c r="E2106" s="41" t="str">
        <f aca="false">IF(D2106="","",IFERROR(VLOOKUP(D2106,Assumptions!$G$5:$H$16,2,0),"Other"))</f>
        <v/>
      </c>
      <c r="J2106" s="41" t="str">
        <f aca="false">IF(G2106="","",IFERROR(IF(ISNUMBER(SEARCH(Assumptions!$C$5,G2106)),Assumptions!$D$5,IF(ISNUMBER(SEARCH(Assumptions!$C$6,G2106)),Assumptions!$D$6,IF(ISNUMBER(SEARCH(Assumptions!$C$7,G2106)),Assumptions!$D$7,"Other Services"))),"Other Services"))</f>
        <v/>
      </c>
    </row>
    <row r="2107" customFormat="false" ht="15" hidden="false" customHeight="false" outlineLevel="0" collapsed="false">
      <c r="E2107" s="41" t="str">
        <f aca="false">IF(D2107="","",IFERROR(VLOOKUP(D2107,Assumptions!$G$5:$H$16,2,0),"Other"))</f>
        <v/>
      </c>
      <c r="J2107" s="41" t="str">
        <f aca="false">IF(G2107="","",IFERROR(IF(ISNUMBER(SEARCH(Assumptions!$C$5,G2107)),Assumptions!$D$5,IF(ISNUMBER(SEARCH(Assumptions!$C$6,G2107)),Assumptions!$D$6,IF(ISNUMBER(SEARCH(Assumptions!$C$7,G2107)),Assumptions!$D$7,"Other Services"))),"Other Services"))</f>
        <v/>
      </c>
    </row>
    <row r="2108" customFormat="false" ht="15" hidden="false" customHeight="false" outlineLevel="0" collapsed="false">
      <c r="E2108" s="41" t="str">
        <f aca="false">IF(D2108="","",IFERROR(VLOOKUP(D2108,Assumptions!$G$5:$H$16,2,0),"Other"))</f>
        <v/>
      </c>
      <c r="J2108" s="41" t="str">
        <f aca="false">IF(G2108="","",IFERROR(IF(ISNUMBER(SEARCH(Assumptions!$C$5,G2108)),Assumptions!$D$5,IF(ISNUMBER(SEARCH(Assumptions!$C$6,G2108)),Assumptions!$D$6,IF(ISNUMBER(SEARCH(Assumptions!$C$7,G2108)),Assumptions!$D$7,"Other Services"))),"Other Services"))</f>
        <v/>
      </c>
    </row>
    <row r="2109" customFormat="false" ht="15" hidden="false" customHeight="false" outlineLevel="0" collapsed="false">
      <c r="E2109" s="41" t="str">
        <f aca="false">IF(D2109="","",IFERROR(VLOOKUP(D2109,Assumptions!$G$5:$H$16,2,0),"Other"))</f>
        <v/>
      </c>
      <c r="J2109" s="41" t="str">
        <f aca="false">IF(G2109="","",IFERROR(IF(ISNUMBER(SEARCH(Assumptions!$C$5,G2109)),Assumptions!$D$5,IF(ISNUMBER(SEARCH(Assumptions!$C$6,G2109)),Assumptions!$D$6,IF(ISNUMBER(SEARCH(Assumptions!$C$7,G2109)),Assumptions!$D$7,"Other Services"))),"Other Services"))</f>
        <v/>
      </c>
    </row>
    <row r="2110" customFormat="false" ht="15" hidden="false" customHeight="false" outlineLevel="0" collapsed="false">
      <c r="E2110" s="41" t="str">
        <f aca="false">IF(D2110="","",IFERROR(VLOOKUP(D2110,Assumptions!$G$5:$H$16,2,0),"Other"))</f>
        <v/>
      </c>
      <c r="J2110" s="41" t="str">
        <f aca="false">IF(G2110="","",IFERROR(IF(ISNUMBER(SEARCH(Assumptions!$C$5,G2110)),Assumptions!$D$5,IF(ISNUMBER(SEARCH(Assumptions!$C$6,G2110)),Assumptions!$D$6,IF(ISNUMBER(SEARCH(Assumptions!$C$7,G2110)),Assumptions!$D$7,"Other Services"))),"Other Services"))</f>
        <v/>
      </c>
    </row>
    <row r="2111" customFormat="false" ht="15" hidden="false" customHeight="false" outlineLevel="0" collapsed="false">
      <c r="E2111" s="41" t="str">
        <f aca="false">IF(D2111="","",IFERROR(VLOOKUP(D2111,Assumptions!$G$5:$H$16,2,0),"Other"))</f>
        <v/>
      </c>
      <c r="J2111" s="41" t="str">
        <f aca="false">IF(G2111="","",IFERROR(IF(ISNUMBER(SEARCH(Assumptions!$C$5,G2111)),Assumptions!$D$5,IF(ISNUMBER(SEARCH(Assumptions!$C$6,G2111)),Assumptions!$D$6,IF(ISNUMBER(SEARCH(Assumptions!$C$7,G2111)),Assumptions!$D$7,"Other Services"))),"Other Services"))</f>
        <v/>
      </c>
    </row>
    <row r="2112" customFormat="false" ht="15" hidden="false" customHeight="false" outlineLevel="0" collapsed="false">
      <c r="E2112" s="41" t="str">
        <f aca="false">IF(D2112="","",IFERROR(VLOOKUP(D2112,Assumptions!$G$5:$H$16,2,0),"Other"))</f>
        <v/>
      </c>
      <c r="J2112" s="41" t="str">
        <f aca="false">IF(G2112="","",IFERROR(IF(ISNUMBER(SEARCH(Assumptions!$C$5,G2112)),Assumptions!$D$5,IF(ISNUMBER(SEARCH(Assumptions!$C$6,G2112)),Assumptions!$D$6,IF(ISNUMBER(SEARCH(Assumptions!$C$7,G2112)),Assumptions!$D$7,"Other Services"))),"Other Services"))</f>
        <v/>
      </c>
    </row>
    <row r="2113" customFormat="false" ht="15" hidden="false" customHeight="false" outlineLevel="0" collapsed="false">
      <c r="E2113" s="41" t="str">
        <f aca="false">IF(D2113="","",IFERROR(VLOOKUP(D2113,Assumptions!$G$5:$H$16,2,0),"Other"))</f>
        <v/>
      </c>
      <c r="J2113" s="41" t="str">
        <f aca="false">IF(G2113="","",IFERROR(IF(ISNUMBER(SEARCH(Assumptions!$C$5,G2113)),Assumptions!$D$5,IF(ISNUMBER(SEARCH(Assumptions!$C$6,G2113)),Assumptions!$D$6,IF(ISNUMBER(SEARCH(Assumptions!$C$7,G2113)),Assumptions!$D$7,"Other Services"))),"Other Services"))</f>
        <v/>
      </c>
    </row>
    <row r="2114" customFormat="false" ht="15" hidden="false" customHeight="false" outlineLevel="0" collapsed="false">
      <c r="E2114" s="41" t="str">
        <f aca="false">IF(D2114="","",IFERROR(VLOOKUP(D2114,Assumptions!$G$5:$H$16,2,0),"Other"))</f>
        <v/>
      </c>
      <c r="J2114" s="41" t="str">
        <f aca="false">IF(G2114="","",IFERROR(IF(ISNUMBER(SEARCH(Assumptions!$C$5,G2114)),Assumptions!$D$5,IF(ISNUMBER(SEARCH(Assumptions!$C$6,G2114)),Assumptions!$D$6,IF(ISNUMBER(SEARCH(Assumptions!$C$7,G2114)),Assumptions!$D$7,"Other Services"))),"Other Services"))</f>
        <v/>
      </c>
    </row>
    <row r="2115" customFormat="false" ht="15" hidden="false" customHeight="false" outlineLevel="0" collapsed="false">
      <c r="E2115" s="41" t="str">
        <f aca="false">IF(D2115="","",IFERROR(VLOOKUP(D2115,Assumptions!$G$5:$H$16,2,0),"Other"))</f>
        <v/>
      </c>
      <c r="J2115" s="41" t="str">
        <f aca="false">IF(G2115="","",IFERROR(IF(ISNUMBER(SEARCH(Assumptions!$C$5,G2115)),Assumptions!$D$5,IF(ISNUMBER(SEARCH(Assumptions!$C$6,G2115)),Assumptions!$D$6,IF(ISNUMBER(SEARCH(Assumptions!$C$7,G2115)),Assumptions!$D$7,"Other Services"))),"Other Services"))</f>
        <v/>
      </c>
    </row>
    <row r="2116" customFormat="false" ht="15" hidden="false" customHeight="false" outlineLevel="0" collapsed="false">
      <c r="E2116" s="41" t="str">
        <f aca="false">IF(D2116="","",IFERROR(VLOOKUP(D2116,Assumptions!$G$5:$H$16,2,0),"Other"))</f>
        <v/>
      </c>
      <c r="J2116" s="41" t="str">
        <f aca="false">IF(G2116="","",IFERROR(IF(ISNUMBER(SEARCH(Assumptions!$C$5,G2116)),Assumptions!$D$5,IF(ISNUMBER(SEARCH(Assumptions!$C$6,G2116)),Assumptions!$D$6,IF(ISNUMBER(SEARCH(Assumptions!$C$7,G2116)),Assumptions!$D$7,"Other Services"))),"Other Services"))</f>
        <v/>
      </c>
    </row>
    <row r="2117" customFormat="false" ht="15" hidden="false" customHeight="false" outlineLevel="0" collapsed="false">
      <c r="E2117" s="41" t="str">
        <f aca="false">IF(D2117="","",IFERROR(VLOOKUP(D2117,Assumptions!$G$5:$H$16,2,0),"Other"))</f>
        <v/>
      </c>
      <c r="J2117" s="41" t="str">
        <f aca="false">IF(G2117="","",IFERROR(IF(ISNUMBER(SEARCH(Assumptions!$C$5,G2117)),Assumptions!$D$5,IF(ISNUMBER(SEARCH(Assumptions!$C$6,G2117)),Assumptions!$D$6,IF(ISNUMBER(SEARCH(Assumptions!$C$7,G2117)),Assumptions!$D$7,"Other Services"))),"Other Services"))</f>
        <v/>
      </c>
    </row>
    <row r="2118" customFormat="false" ht="15" hidden="false" customHeight="false" outlineLevel="0" collapsed="false">
      <c r="E2118" s="41" t="str">
        <f aca="false">IF(D2118="","",IFERROR(VLOOKUP(D2118,Assumptions!$G$5:$H$16,2,0),"Other"))</f>
        <v/>
      </c>
      <c r="J2118" s="41" t="str">
        <f aca="false">IF(G2118="","",IFERROR(IF(ISNUMBER(SEARCH(Assumptions!$C$5,G2118)),Assumptions!$D$5,IF(ISNUMBER(SEARCH(Assumptions!$C$6,G2118)),Assumptions!$D$6,IF(ISNUMBER(SEARCH(Assumptions!$C$7,G2118)),Assumptions!$D$7,"Other Services"))),"Other Services"))</f>
        <v/>
      </c>
    </row>
    <row r="2119" customFormat="false" ht="15" hidden="false" customHeight="false" outlineLevel="0" collapsed="false">
      <c r="E2119" s="41" t="str">
        <f aca="false">IF(D2119="","",IFERROR(VLOOKUP(D2119,Assumptions!$G$5:$H$16,2,0),"Other"))</f>
        <v/>
      </c>
      <c r="J2119" s="41" t="str">
        <f aca="false">IF(G2119="","",IFERROR(IF(ISNUMBER(SEARCH(Assumptions!$C$5,G2119)),Assumptions!$D$5,IF(ISNUMBER(SEARCH(Assumptions!$C$6,G2119)),Assumptions!$D$6,IF(ISNUMBER(SEARCH(Assumptions!$C$7,G2119)),Assumptions!$D$7,"Other Services"))),"Other Services"))</f>
        <v/>
      </c>
    </row>
    <row r="2120" customFormat="false" ht="15" hidden="false" customHeight="false" outlineLevel="0" collapsed="false">
      <c r="E2120" s="41" t="str">
        <f aca="false">IF(D2120="","",IFERROR(VLOOKUP(D2120,Assumptions!$G$5:$H$16,2,0),"Other"))</f>
        <v/>
      </c>
      <c r="J2120" s="41" t="str">
        <f aca="false">IF(G2120="","",IFERROR(IF(ISNUMBER(SEARCH(Assumptions!$C$5,G2120)),Assumptions!$D$5,IF(ISNUMBER(SEARCH(Assumptions!$C$6,G2120)),Assumptions!$D$6,IF(ISNUMBER(SEARCH(Assumptions!$C$7,G2120)),Assumptions!$D$7,"Other Services"))),"Other Services"))</f>
        <v/>
      </c>
    </row>
    <row r="2121" customFormat="false" ht="15" hidden="false" customHeight="false" outlineLevel="0" collapsed="false">
      <c r="E2121" s="41" t="str">
        <f aca="false">IF(D2121="","",IFERROR(VLOOKUP(D2121,Assumptions!$G$5:$H$16,2,0),"Other"))</f>
        <v/>
      </c>
      <c r="J2121" s="41" t="str">
        <f aca="false">IF(G2121="","",IFERROR(IF(ISNUMBER(SEARCH(Assumptions!$C$5,G2121)),Assumptions!$D$5,IF(ISNUMBER(SEARCH(Assumptions!$C$6,G2121)),Assumptions!$D$6,IF(ISNUMBER(SEARCH(Assumptions!$C$7,G2121)),Assumptions!$D$7,"Other Services"))),"Other Services"))</f>
        <v/>
      </c>
    </row>
    <row r="2122" customFormat="false" ht="15" hidden="false" customHeight="false" outlineLevel="0" collapsed="false">
      <c r="E2122" s="41" t="str">
        <f aca="false">IF(D2122="","",IFERROR(VLOOKUP(D2122,Assumptions!$G$5:$H$16,2,0),"Other"))</f>
        <v/>
      </c>
      <c r="J2122" s="41" t="str">
        <f aca="false">IF(G2122="","",IFERROR(IF(ISNUMBER(SEARCH(Assumptions!$C$5,G2122)),Assumptions!$D$5,IF(ISNUMBER(SEARCH(Assumptions!$C$6,G2122)),Assumptions!$D$6,IF(ISNUMBER(SEARCH(Assumptions!$C$7,G2122)),Assumptions!$D$7,"Other Services"))),"Other Services"))</f>
        <v/>
      </c>
    </row>
    <row r="2123" customFormat="false" ht="15" hidden="false" customHeight="false" outlineLevel="0" collapsed="false">
      <c r="E2123" s="41" t="str">
        <f aca="false">IF(D2123="","",IFERROR(VLOOKUP(D2123,Assumptions!$G$5:$H$16,2,0),"Other"))</f>
        <v/>
      </c>
      <c r="J2123" s="41" t="str">
        <f aca="false">IF(G2123="","",IFERROR(IF(ISNUMBER(SEARCH(Assumptions!$C$5,G2123)),Assumptions!$D$5,IF(ISNUMBER(SEARCH(Assumptions!$C$6,G2123)),Assumptions!$D$6,IF(ISNUMBER(SEARCH(Assumptions!$C$7,G2123)),Assumptions!$D$7,"Other Services"))),"Other Services"))</f>
        <v/>
      </c>
    </row>
    <row r="2124" customFormat="false" ht="15" hidden="false" customHeight="false" outlineLevel="0" collapsed="false">
      <c r="E2124" s="41" t="str">
        <f aca="false">IF(D2124="","",IFERROR(VLOOKUP(D2124,Assumptions!$G$5:$H$16,2,0),"Other"))</f>
        <v/>
      </c>
      <c r="J2124" s="41" t="str">
        <f aca="false">IF(G2124="","",IFERROR(IF(ISNUMBER(SEARCH(Assumptions!$C$5,G2124)),Assumptions!$D$5,IF(ISNUMBER(SEARCH(Assumptions!$C$6,G2124)),Assumptions!$D$6,IF(ISNUMBER(SEARCH(Assumptions!$C$7,G2124)),Assumptions!$D$7,"Other Services"))),"Other Services"))</f>
        <v/>
      </c>
    </row>
    <row r="2125" customFormat="false" ht="15" hidden="false" customHeight="false" outlineLevel="0" collapsed="false">
      <c r="E2125" s="41" t="str">
        <f aca="false">IF(D2125="","",IFERROR(VLOOKUP(D2125,Assumptions!$G$5:$H$16,2,0),"Other"))</f>
        <v/>
      </c>
      <c r="J2125" s="41" t="str">
        <f aca="false">IF(G2125="","",IFERROR(IF(ISNUMBER(SEARCH(Assumptions!$C$5,G2125)),Assumptions!$D$5,IF(ISNUMBER(SEARCH(Assumptions!$C$6,G2125)),Assumptions!$D$6,IF(ISNUMBER(SEARCH(Assumptions!$C$7,G2125)),Assumptions!$D$7,"Other Services"))),"Other Services"))</f>
        <v/>
      </c>
    </row>
    <row r="2126" customFormat="false" ht="15" hidden="false" customHeight="false" outlineLevel="0" collapsed="false">
      <c r="E2126" s="41" t="str">
        <f aca="false">IF(D2126="","",IFERROR(VLOOKUP(D2126,Assumptions!$G$5:$H$16,2,0),"Other"))</f>
        <v/>
      </c>
      <c r="J2126" s="41" t="str">
        <f aca="false">IF(G2126="","",IFERROR(IF(ISNUMBER(SEARCH(Assumptions!$C$5,G2126)),Assumptions!$D$5,IF(ISNUMBER(SEARCH(Assumptions!$C$6,G2126)),Assumptions!$D$6,IF(ISNUMBER(SEARCH(Assumptions!$C$7,G2126)),Assumptions!$D$7,"Other Services"))),"Other Services"))</f>
        <v/>
      </c>
    </row>
    <row r="2127" customFormat="false" ht="15" hidden="false" customHeight="false" outlineLevel="0" collapsed="false">
      <c r="E2127" s="41" t="str">
        <f aca="false">IF(D2127="","",IFERROR(VLOOKUP(D2127,Assumptions!$G$5:$H$16,2,0),"Other"))</f>
        <v/>
      </c>
      <c r="J2127" s="41" t="str">
        <f aca="false">IF(G2127="","",IFERROR(IF(ISNUMBER(SEARCH(Assumptions!$C$5,G2127)),Assumptions!$D$5,IF(ISNUMBER(SEARCH(Assumptions!$C$6,G2127)),Assumptions!$D$6,IF(ISNUMBER(SEARCH(Assumptions!$C$7,G2127)),Assumptions!$D$7,"Other Services"))),"Other Services"))</f>
        <v/>
      </c>
    </row>
    <row r="2128" customFormat="false" ht="15" hidden="false" customHeight="false" outlineLevel="0" collapsed="false">
      <c r="E2128" s="41" t="str">
        <f aca="false">IF(D2128="","",IFERROR(VLOOKUP(D2128,Assumptions!$G$5:$H$16,2,0),"Other"))</f>
        <v/>
      </c>
      <c r="J2128" s="41" t="str">
        <f aca="false">IF(G2128="","",IFERROR(IF(ISNUMBER(SEARCH(Assumptions!$C$5,G2128)),Assumptions!$D$5,IF(ISNUMBER(SEARCH(Assumptions!$C$6,G2128)),Assumptions!$D$6,IF(ISNUMBER(SEARCH(Assumptions!$C$7,G2128)),Assumptions!$D$7,"Other Services"))),"Other Services"))</f>
        <v/>
      </c>
    </row>
    <row r="2129" customFormat="false" ht="15" hidden="false" customHeight="false" outlineLevel="0" collapsed="false">
      <c r="E2129" s="41" t="str">
        <f aca="false">IF(D2129="","",IFERROR(VLOOKUP(D2129,Assumptions!$G$5:$H$16,2,0),"Other"))</f>
        <v/>
      </c>
      <c r="J2129" s="41" t="str">
        <f aca="false">IF(G2129="","",IFERROR(IF(ISNUMBER(SEARCH(Assumptions!$C$5,G2129)),Assumptions!$D$5,IF(ISNUMBER(SEARCH(Assumptions!$C$6,G2129)),Assumptions!$D$6,IF(ISNUMBER(SEARCH(Assumptions!$C$7,G2129)),Assumptions!$D$7,"Other Services"))),"Other Services"))</f>
        <v/>
      </c>
    </row>
    <row r="2130" customFormat="false" ht="15" hidden="false" customHeight="false" outlineLevel="0" collapsed="false">
      <c r="E2130" s="41" t="str">
        <f aca="false">IF(D2130="","",IFERROR(VLOOKUP(D2130,Assumptions!$G$5:$H$16,2,0),"Other"))</f>
        <v/>
      </c>
      <c r="J2130" s="41" t="str">
        <f aca="false">IF(G2130="","",IFERROR(IF(ISNUMBER(SEARCH(Assumptions!$C$5,G2130)),Assumptions!$D$5,IF(ISNUMBER(SEARCH(Assumptions!$C$6,G2130)),Assumptions!$D$6,IF(ISNUMBER(SEARCH(Assumptions!$C$7,G2130)),Assumptions!$D$7,"Other Services"))),"Other Services"))</f>
        <v/>
      </c>
    </row>
    <row r="2131" customFormat="false" ht="15" hidden="false" customHeight="false" outlineLevel="0" collapsed="false">
      <c r="E2131" s="41" t="str">
        <f aca="false">IF(D2131="","",IFERROR(VLOOKUP(D2131,Assumptions!$G$5:$H$16,2,0),"Other"))</f>
        <v/>
      </c>
      <c r="J2131" s="41" t="str">
        <f aca="false">IF(G2131="","",IFERROR(IF(ISNUMBER(SEARCH(Assumptions!$C$5,G2131)),Assumptions!$D$5,IF(ISNUMBER(SEARCH(Assumptions!$C$6,G2131)),Assumptions!$D$6,IF(ISNUMBER(SEARCH(Assumptions!$C$7,G2131)),Assumptions!$D$7,"Other Services"))),"Other Services"))</f>
        <v/>
      </c>
    </row>
    <row r="2132" customFormat="false" ht="15" hidden="false" customHeight="false" outlineLevel="0" collapsed="false">
      <c r="E2132" s="41" t="str">
        <f aca="false">IF(D2132="","",IFERROR(VLOOKUP(D2132,Assumptions!$G$5:$H$16,2,0),"Other"))</f>
        <v/>
      </c>
      <c r="J2132" s="41" t="str">
        <f aca="false">IF(G2132="","",IFERROR(IF(ISNUMBER(SEARCH(Assumptions!$C$5,G2132)),Assumptions!$D$5,IF(ISNUMBER(SEARCH(Assumptions!$C$6,G2132)),Assumptions!$D$6,IF(ISNUMBER(SEARCH(Assumptions!$C$7,G2132)),Assumptions!$D$7,"Other Services"))),"Other Services"))</f>
        <v/>
      </c>
    </row>
    <row r="2133" customFormat="false" ht="15" hidden="false" customHeight="false" outlineLevel="0" collapsed="false">
      <c r="E2133" s="41" t="str">
        <f aca="false">IF(D2133="","",IFERROR(VLOOKUP(D2133,Assumptions!$G$5:$H$16,2,0),"Other"))</f>
        <v/>
      </c>
      <c r="J2133" s="41" t="str">
        <f aca="false">IF(G2133="","",IFERROR(IF(ISNUMBER(SEARCH(Assumptions!$C$5,G2133)),Assumptions!$D$5,IF(ISNUMBER(SEARCH(Assumptions!$C$6,G2133)),Assumptions!$D$6,IF(ISNUMBER(SEARCH(Assumptions!$C$7,G2133)),Assumptions!$D$7,"Other Services"))),"Other Services"))</f>
        <v/>
      </c>
    </row>
    <row r="2134" customFormat="false" ht="15" hidden="false" customHeight="false" outlineLevel="0" collapsed="false">
      <c r="E2134" s="41" t="str">
        <f aca="false">IF(D2134="","",IFERROR(VLOOKUP(D2134,Assumptions!$G$5:$H$16,2,0),"Other"))</f>
        <v/>
      </c>
      <c r="J2134" s="41" t="str">
        <f aca="false">IF(G2134="","",IFERROR(IF(ISNUMBER(SEARCH(Assumptions!$C$5,G2134)),Assumptions!$D$5,IF(ISNUMBER(SEARCH(Assumptions!$C$6,G2134)),Assumptions!$D$6,IF(ISNUMBER(SEARCH(Assumptions!$C$7,G2134)),Assumptions!$D$7,"Other Services"))),"Other Services"))</f>
        <v/>
      </c>
    </row>
    <row r="2135" customFormat="false" ht="15" hidden="false" customHeight="false" outlineLevel="0" collapsed="false">
      <c r="E2135" s="41" t="str">
        <f aca="false">IF(D2135="","",IFERROR(VLOOKUP(D2135,Assumptions!$G$5:$H$16,2,0),"Other"))</f>
        <v/>
      </c>
      <c r="J2135" s="41" t="str">
        <f aca="false">IF(G2135="","",IFERROR(IF(ISNUMBER(SEARCH(Assumptions!$C$5,G2135)),Assumptions!$D$5,IF(ISNUMBER(SEARCH(Assumptions!$C$6,G2135)),Assumptions!$D$6,IF(ISNUMBER(SEARCH(Assumptions!$C$7,G2135)),Assumptions!$D$7,"Other Services"))),"Other Services"))</f>
        <v/>
      </c>
    </row>
    <row r="2136" customFormat="false" ht="15" hidden="false" customHeight="false" outlineLevel="0" collapsed="false">
      <c r="E2136" s="41" t="str">
        <f aca="false">IF(D2136="","",IFERROR(VLOOKUP(D2136,Assumptions!$G$5:$H$16,2,0),"Other"))</f>
        <v/>
      </c>
      <c r="J2136" s="41" t="str">
        <f aca="false">IF(G2136="","",IFERROR(IF(ISNUMBER(SEARCH(Assumptions!$C$5,G2136)),Assumptions!$D$5,IF(ISNUMBER(SEARCH(Assumptions!$C$6,G2136)),Assumptions!$D$6,IF(ISNUMBER(SEARCH(Assumptions!$C$7,G2136)),Assumptions!$D$7,"Other Services"))),"Other Services"))</f>
        <v/>
      </c>
    </row>
    <row r="2137" customFormat="false" ht="15" hidden="false" customHeight="false" outlineLevel="0" collapsed="false">
      <c r="E2137" s="41" t="str">
        <f aca="false">IF(D2137="","",IFERROR(VLOOKUP(D2137,Assumptions!$G$5:$H$16,2,0),"Other"))</f>
        <v/>
      </c>
      <c r="J2137" s="41" t="str">
        <f aca="false">IF(G2137="","",IFERROR(IF(ISNUMBER(SEARCH(Assumptions!$C$5,G2137)),Assumptions!$D$5,IF(ISNUMBER(SEARCH(Assumptions!$C$6,G2137)),Assumptions!$D$6,IF(ISNUMBER(SEARCH(Assumptions!$C$7,G2137)),Assumptions!$D$7,"Other Services"))),"Other Services"))</f>
        <v/>
      </c>
    </row>
    <row r="2138" customFormat="false" ht="15" hidden="false" customHeight="false" outlineLevel="0" collapsed="false">
      <c r="E2138" s="41" t="str">
        <f aca="false">IF(D2138="","",IFERROR(VLOOKUP(D2138,Assumptions!$G$5:$H$16,2,0),"Other"))</f>
        <v/>
      </c>
      <c r="J2138" s="41" t="str">
        <f aca="false">IF(G2138="","",IFERROR(IF(ISNUMBER(SEARCH(Assumptions!$C$5,G2138)),Assumptions!$D$5,IF(ISNUMBER(SEARCH(Assumptions!$C$6,G2138)),Assumptions!$D$6,IF(ISNUMBER(SEARCH(Assumptions!$C$7,G2138)),Assumptions!$D$7,"Other Services"))),"Other Services"))</f>
        <v/>
      </c>
    </row>
    <row r="2139" customFormat="false" ht="15" hidden="false" customHeight="false" outlineLevel="0" collapsed="false">
      <c r="E2139" s="41" t="str">
        <f aca="false">IF(D2139="","",IFERROR(VLOOKUP(D2139,Assumptions!$G$5:$H$16,2,0),"Other"))</f>
        <v/>
      </c>
      <c r="J2139" s="41" t="str">
        <f aca="false">IF(G2139="","",IFERROR(IF(ISNUMBER(SEARCH(Assumptions!$C$5,G2139)),Assumptions!$D$5,IF(ISNUMBER(SEARCH(Assumptions!$C$6,G2139)),Assumptions!$D$6,IF(ISNUMBER(SEARCH(Assumptions!$C$7,G2139)),Assumptions!$D$7,"Other Services"))),"Other Services"))</f>
        <v/>
      </c>
    </row>
    <row r="2140" customFormat="false" ht="15" hidden="false" customHeight="false" outlineLevel="0" collapsed="false">
      <c r="E2140" s="41" t="str">
        <f aca="false">IF(D2140="","",IFERROR(VLOOKUP(D2140,Assumptions!$G$5:$H$16,2,0),"Other"))</f>
        <v/>
      </c>
      <c r="J2140" s="41" t="str">
        <f aca="false">IF(G2140="","",IFERROR(IF(ISNUMBER(SEARCH(Assumptions!$C$5,G2140)),Assumptions!$D$5,IF(ISNUMBER(SEARCH(Assumptions!$C$6,G2140)),Assumptions!$D$6,IF(ISNUMBER(SEARCH(Assumptions!$C$7,G2140)),Assumptions!$D$7,"Other Services"))),"Other Services"))</f>
        <v/>
      </c>
    </row>
    <row r="2141" customFormat="false" ht="15" hidden="false" customHeight="false" outlineLevel="0" collapsed="false">
      <c r="E2141" s="41" t="str">
        <f aca="false">IF(D2141="","",IFERROR(VLOOKUP(D2141,Assumptions!$G$5:$H$16,2,0),"Other"))</f>
        <v/>
      </c>
      <c r="J2141" s="41" t="str">
        <f aca="false">IF(G2141="","",IFERROR(IF(ISNUMBER(SEARCH(Assumptions!$C$5,G2141)),Assumptions!$D$5,IF(ISNUMBER(SEARCH(Assumptions!$C$6,G2141)),Assumptions!$D$6,IF(ISNUMBER(SEARCH(Assumptions!$C$7,G2141)),Assumptions!$D$7,"Other Services"))),"Other Services"))</f>
        <v/>
      </c>
    </row>
    <row r="2142" customFormat="false" ht="15" hidden="false" customHeight="false" outlineLevel="0" collapsed="false">
      <c r="E2142" s="41" t="str">
        <f aca="false">IF(D2142="","",IFERROR(VLOOKUP(D2142,Assumptions!$G$5:$H$16,2,0),"Other"))</f>
        <v/>
      </c>
      <c r="J2142" s="41" t="str">
        <f aca="false">IF(G2142="","",IFERROR(IF(ISNUMBER(SEARCH(Assumptions!$C$5,G2142)),Assumptions!$D$5,IF(ISNUMBER(SEARCH(Assumptions!$C$6,G2142)),Assumptions!$D$6,IF(ISNUMBER(SEARCH(Assumptions!$C$7,G2142)),Assumptions!$D$7,"Other Services"))),"Other Services"))</f>
        <v/>
      </c>
    </row>
    <row r="2143" customFormat="false" ht="15" hidden="false" customHeight="false" outlineLevel="0" collapsed="false">
      <c r="E2143" s="41" t="str">
        <f aca="false">IF(D2143="","",IFERROR(VLOOKUP(D2143,Assumptions!$G$5:$H$16,2,0),"Other"))</f>
        <v/>
      </c>
      <c r="J2143" s="41" t="str">
        <f aca="false">IF(G2143="","",IFERROR(IF(ISNUMBER(SEARCH(Assumptions!$C$5,G2143)),Assumptions!$D$5,IF(ISNUMBER(SEARCH(Assumptions!$C$6,G2143)),Assumptions!$D$6,IF(ISNUMBER(SEARCH(Assumptions!$C$7,G2143)),Assumptions!$D$7,"Other Services"))),"Other Services"))</f>
        <v/>
      </c>
    </row>
    <row r="2144" customFormat="false" ht="15" hidden="false" customHeight="false" outlineLevel="0" collapsed="false">
      <c r="E2144" s="41" t="str">
        <f aca="false">IF(D2144="","",IFERROR(VLOOKUP(D2144,Assumptions!$G$5:$H$16,2,0),"Other"))</f>
        <v/>
      </c>
      <c r="J2144" s="41" t="str">
        <f aca="false">IF(G2144="","",IFERROR(IF(ISNUMBER(SEARCH(Assumptions!$C$5,G2144)),Assumptions!$D$5,IF(ISNUMBER(SEARCH(Assumptions!$C$6,G2144)),Assumptions!$D$6,IF(ISNUMBER(SEARCH(Assumptions!$C$7,G2144)),Assumptions!$D$7,"Other Services"))),"Other Services"))</f>
        <v/>
      </c>
    </row>
    <row r="2145" customFormat="false" ht="15" hidden="false" customHeight="false" outlineLevel="0" collapsed="false">
      <c r="E2145" s="41" t="str">
        <f aca="false">IF(D2145="","",IFERROR(VLOOKUP(D2145,Assumptions!$G$5:$H$16,2,0),"Other"))</f>
        <v/>
      </c>
      <c r="J2145" s="41" t="str">
        <f aca="false">IF(G2145="","",IFERROR(IF(ISNUMBER(SEARCH(Assumptions!$C$5,G2145)),Assumptions!$D$5,IF(ISNUMBER(SEARCH(Assumptions!$C$6,G2145)),Assumptions!$D$6,IF(ISNUMBER(SEARCH(Assumptions!$C$7,G2145)),Assumptions!$D$7,"Other Services"))),"Other Services"))</f>
        <v/>
      </c>
    </row>
    <row r="2146" customFormat="false" ht="15" hidden="false" customHeight="false" outlineLevel="0" collapsed="false">
      <c r="E2146" s="41" t="str">
        <f aca="false">IF(D2146="","",IFERROR(VLOOKUP(D2146,Assumptions!$G$5:$H$16,2,0),"Other"))</f>
        <v/>
      </c>
      <c r="J2146" s="41" t="str">
        <f aca="false">IF(G2146="","",IFERROR(IF(ISNUMBER(SEARCH(Assumptions!$C$5,G2146)),Assumptions!$D$5,IF(ISNUMBER(SEARCH(Assumptions!$C$6,G2146)),Assumptions!$D$6,IF(ISNUMBER(SEARCH(Assumptions!$C$7,G2146)),Assumptions!$D$7,"Other Services"))),"Other Services"))</f>
        <v/>
      </c>
    </row>
    <row r="2147" customFormat="false" ht="15" hidden="false" customHeight="false" outlineLevel="0" collapsed="false">
      <c r="E2147" s="41" t="str">
        <f aca="false">IF(D2147="","",IFERROR(VLOOKUP(D2147,Assumptions!$G$5:$H$16,2,0),"Other"))</f>
        <v/>
      </c>
      <c r="J2147" s="41" t="str">
        <f aca="false">IF(G2147="","",IFERROR(IF(ISNUMBER(SEARCH(Assumptions!$C$5,G2147)),Assumptions!$D$5,IF(ISNUMBER(SEARCH(Assumptions!$C$6,G2147)),Assumptions!$D$6,IF(ISNUMBER(SEARCH(Assumptions!$C$7,G2147)),Assumptions!$D$7,"Other Services"))),"Other Services"))</f>
        <v/>
      </c>
    </row>
    <row r="2148" customFormat="false" ht="15" hidden="false" customHeight="false" outlineLevel="0" collapsed="false">
      <c r="E2148" s="41" t="str">
        <f aca="false">IF(D2148="","",IFERROR(VLOOKUP(D2148,Assumptions!$G$5:$H$16,2,0),"Other"))</f>
        <v/>
      </c>
      <c r="J2148" s="41" t="str">
        <f aca="false">IF(G2148="","",IFERROR(IF(ISNUMBER(SEARCH(Assumptions!$C$5,G2148)),Assumptions!$D$5,IF(ISNUMBER(SEARCH(Assumptions!$C$6,G2148)),Assumptions!$D$6,IF(ISNUMBER(SEARCH(Assumptions!$C$7,G2148)),Assumptions!$D$7,"Other Services"))),"Other Services"))</f>
        <v/>
      </c>
    </row>
    <row r="2149" customFormat="false" ht="15" hidden="false" customHeight="false" outlineLevel="0" collapsed="false">
      <c r="E2149" s="41" t="str">
        <f aca="false">IF(D2149="","",IFERROR(VLOOKUP(D2149,Assumptions!$G$5:$H$16,2,0),"Other"))</f>
        <v/>
      </c>
      <c r="J2149" s="41" t="str">
        <f aca="false">IF(G2149="","",IFERROR(IF(ISNUMBER(SEARCH(Assumptions!$C$5,G2149)),Assumptions!$D$5,IF(ISNUMBER(SEARCH(Assumptions!$C$6,G2149)),Assumptions!$D$6,IF(ISNUMBER(SEARCH(Assumptions!$C$7,G2149)),Assumptions!$D$7,"Other Services"))),"Other Services"))</f>
        <v/>
      </c>
    </row>
    <row r="2150" customFormat="false" ht="15" hidden="false" customHeight="false" outlineLevel="0" collapsed="false">
      <c r="E2150" s="41" t="str">
        <f aca="false">IF(D2150="","",IFERROR(VLOOKUP(D2150,Assumptions!$G$5:$H$16,2,0),"Other"))</f>
        <v/>
      </c>
      <c r="J2150" s="41" t="str">
        <f aca="false">IF(G2150="","",IFERROR(IF(ISNUMBER(SEARCH(Assumptions!$C$5,G2150)),Assumptions!$D$5,IF(ISNUMBER(SEARCH(Assumptions!$C$6,G2150)),Assumptions!$D$6,IF(ISNUMBER(SEARCH(Assumptions!$C$7,G2150)),Assumptions!$D$7,"Other Services"))),"Other Services"))</f>
        <v/>
      </c>
    </row>
    <row r="2151" customFormat="false" ht="15" hidden="false" customHeight="false" outlineLevel="0" collapsed="false">
      <c r="E2151" s="41" t="str">
        <f aca="false">IF(D2151="","",IFERROR(VLOOKUP(D2151,Assumptions!$G$5:$H$16,2,0),"Other"))</f>
        <v/>
      </c>
      <c r="J2151" s="41" t="str">
        <f aca="false">IF(G2151="","",IFERROR(IF(ISNUMBER(SEARCH(Assumptions!$C$5,G2151)),Assumptions!$D$5,IF(ISNUMBER(SEARCH(Assumptions!$C$6,G2151)),Assumptions!$D$6,IF(ISNUMBER(SEARCH(Assumptions!$C$7,G2151)),Assumptions!$D$7,"Other Services"))),"Other Services"))</f>
        <v/>
      </c>
    </row>
    <row r="2152" customFormat="false" ht="15" hidden="false" customHeight="false" outlineLevel="0" collapsed="false">
      <c r="E2152" s="41" t="str">
        <f aca="false">IF(D2152="","",IFERROR(VLOOKUP(D2152,Assumptions!$G$5:$H$16,2,0),"Other"))</f>
        <v/>
      </c>
      <c r="J2152" s="41" t="str">
        <f aca="false">IF(G2152="","",IFERROR(IF(ISNUMBER(SEARCH(Assumptions!$C$5,G2152)),Assumptions!$D$5,IF(ISNUMBER(SEARCH(Assumptions!$C$6,G2152)),Assumptions!$D$6,IF(ISNUMBER(SEARCH(Assumptions!$C$7,G2152)),Assumptions!$D$7,"Other Services"))),"Other Services"))</f>
        <v/>
      </c>
    </row>
    <row r="2153" customFormat="false" ht="15" hidden="false" customHeight="false" outlineLevel="0" collapsed="false">
      <c r="E2153" s="41" t="str">
        <f aca="false">IF(D2153="","",IFERROR(VLOOKUP(D2153,Assumptions!$G$5:$H$16,2,0),"Other"))</f>
        <v/>
      </c>
      <c r="J2153" s="41" t="str">
        <f aca="false">IF(G2153="","",IFERROR(IF(ISNUMBER(SEARCH(Assumptions!$C$5,G2153)),Assumptions!$D$5,IF(ISNUMBER(SEARCH(Assumptions!$C$6,G2153)),Assumptions!$D$6,IF(ISNUMBER(SEARCH(Assumptions!$C$7,G2153)),Assumptions!$D$7,"Other Services"))),"Other Services"))</f>
        <v/>
      </c>
    </row>
    <row r="2154" customFormat="false" ht="15" hidden="false" customHeight="false" outlineLevel="0" collapsed="false">
      <c r="E2154" s="41" t="str">
        <f aca="false">IF(D2154="","",IFERROR(VLOOKUP(D2154,Assumptions!$G$5:$H$16,2,0),"Other"))</f>
        <v/>
      </c>
      <c r="J2154" s="41" t="str">
        <f aca="false">IF(G2154="","",IFERROR(IF(ISNUMBER(SEARCH(Assumptions!$C$5,G2154)),Assumptions!$D$5,IF(ISNUMBER(SEARCH(Assumptions!$C$6,G2154)),Assumptions!$D$6,IF(ISNUMBER(SEARCH(Assumptions!$C$7,G2154)),Assumptions!$D$7,"Other Services"))),"Other Services"))</f>
        <v/>
      </c>
    </row>
    <row r="2155" customFormat="false" ht="15" hidden="false" customHeight="false" outlineLevel="0" collapsed="false">
      <c r="E2155" s="41" t="str">
        <f aca="false">IF(D2155="","",IFERROR(VLOOKUP(D2155,Assumptions!$G$5:$H$16,2,0),"Other"))</f>
        <v/>
      </c>
      <c r="J2155" s="41" t="str">
        <f aca="false">IF(G2155="","",IFERROR(IF(ISNUMBER(SEARCH(Assumptions!$C$5,G2155)),Assumptions!$D$5,IF(ISNUMBER(SEARCH(Assumptions!$C$6,G2155)),Assumptions!$D$6,IF(ISNUMBER(SEARCH(Assumptions!$C$7,G2155)),Assumptions!$D$7,"Other Services"))),"Other Services"))</f>
        <v/>
      </c>
    </row>
    <row r="2156" customFormat="false" ht="15" hidden="false" customHeight="false" outlineLevel="0" collapsed="false">
      <c r="E2156" s="41" t="str">
        <f aca="false">IF(D2156="","",IFERROR(VLOOKUP(D2156,Assumptions!$G$5:$H$16,2,0),"Other"))</f>
        <v/>
      </c>
      <c r="J2156" s="41" t="str">
        <f aca="false">IF(G2156="","",IFERROR(IF(ISNUMBER(SEARCH(Assumptions!$C$5,G2156)),Assumptions!$D$5,IF(ISNUMBER(SEARCH(Assumptions!$C$6,G2156)),Assumptions!$D$6,IF(ISNUMBER(SEARCH(Assumptions!$C$7,G2156)),Assumptions!$D$7,"Other Services"))),"Other Services"))</f>
        <v/>
      </c>
    </row>
    <row r="2157" customFormat="false" ht="15" hidden="false" customHeight="false" outlineLevel="0" collapsed="false">
      <c r="E2157" s="41" t="str">
        <f aca="false">IF(D2157="","",IFERROR(VLOOKUP(D2157,Assumptions!$G$5:$H$16,2,0),"Other"))</f>
        <v/>
      </c>
      <c r="J2157" s="41" t="str">
        <f aca="false">IF(G2157="","",IFERROR(IF(ISNUMBER(SEARCH(Assumptions!$C$5,G2157)),Assumptions!$D$5,IF(ISNUMBER(SEARCH(Assumptions!$C$6,G2157)),Assumptions!$D$6,IF(ISNUMBER(SEARCH(Assumptions!$C$7,G2157)),Assumptions!$D$7,"Other Services"))),"Other Services"))</f>
        <v/>
      </c>
    </row>
    <row r="2158" customFormat="false" ht="15" hidden="false" customHeight="false" outlineLevel="0" collapsed="false">
      <c r="E2158" s="41" t="str">
        <f aca="false">IF(D2158="","",IFERROR(VLOOKUP(D2158,Assumptions!$G$5:$H$16,2,0),"Other"))</f>
        <v/>
      </c>
      <c r="J2158" s="41" t="str">
        <f aca="false">IF(G2158="","",IFERROR(IF(ISNUMBER(SEARCH(Assumptions!$C$5,G2158)),Assumptions!$D$5,IF(ISNUMBER(SEARCH(Assumptions!$C$6,G2158)),Assumptions!$D$6,IF(ISNUMBER(SEARCH(Assumptions!$C$7,G2158)),Assumptions!$D$7,"Other Services"))),"Other Services"))</f>
        <v/>
      </c>
    </row>
    <row r="2159" customFormat="false" ht="15" hidden="false" customHeight="false" outlineLevel="0" collapsed="false">
      <c r="E2159" s="41" t="str">
        <f aca="false">IF(D2159="","",IFERROR(VLOOKUP(D2159,Assumptions!$G$5:$H$16,2,0),"Other"))</f>
        <v/>
      </c>
      <c r="J2159" s="41" t="str">
        <f aca="false">IF(G2159="","",IFERROR(IF(ISNUMBER(SEARCH(Assumptions!$C$5,G2159)),Assumptions!$D$5,IF(ISNUMBER(SEARCH(Assumptions!$C$6,G2159)),Assumptions!$D$6,IF(ISNUMBER(SEARCH(Assumptions!$C$7,G2159)),Assumptions!$D$7,"Other Services"))),"Other Services"))</f>
        <v/>
      </c>
    </row>
    <row r="2160" customFormat="false" ht="15" hidden="false" customHeight="false" outlineLevel="0" collapsed="false">
      <c r="E2160" s="41" t="str">
        <f aca="false">IF(D2160="","",IFERROR(VLOOKUP(D2160,Assumptions!$G$5:$H$16,2,0),"Other"))</f>
        <v/>
      </c>
      <c r="J2160" s="41" t="str">
        <f aca="false">IF(G2160="","",IFERROR(IF(ISNUMBER(SEARCH(Assumptions!$C$5,G2160)),Assumptions!$D$5,IF(ISNUMBER(SEARCH(Assumptions!$C$6,G2160)),Assumptions!$D$6,IF(ISNUMBER(SEARCH(Assumptions!$C$7,G2160)),Assumptions!$D$7,"Other Services"))),"Other Services"))</f>
        <v/>
      </c>
    </row>
    <row r="2161" customFormat="false" ht="15" hidden="false" customHeight="false" outlineLevel="0" collapsed="false">
      <c r="E2161" s="41" t="str">
        <f aca="false">IF(D2161="","",IFERROR(VLOOKUP(D2161,Assumptions!$G$5:$H$16,2,0),"Other"))</f>
        <v/>
      </c>
      <c r="J2161" s="41" t="str">
        <f aca="false">IF(G2161="","",IFERROR(IF(ISNUMBER(SEARCH(Assumptions!$C$5,G2161)),Assumptions!$D$5,IF(ISNUMBER(SEARCH(Assumptions!$C$6,G2161)),Assumptions!$D$6,IF(ISNUMBER(SEARCH(Assumptions!$C$7,G2161)),Assumptions!$D$7,"Other Services"))),"Other Services"))</f>
        <v/>
      </c>
    </row>
    <row r="2162" customFormat="false" ht="15" hidden="false" customHeight="false" outlineLevel="0" collapsed="false">
      <c r="E2162" s="41" t="str">
        <f aca="false">IF(D2162="","",IFERROR(VLOOKUP(D2162,Assumptions!$G$5:$H$16,2,0),"Other"))</f>
        <v/>
      </c>
      <c r="J2162" s="41" t="str">
        <f aca="false">IF(G2162="","",IFERROR(IF(ISNUMBER(SEARCH(Assumptions!$C$5,G2162)),Assumptions!$D$5,IF(ISNUMBER(SEARCH(Assumptions!$C$6,G2162)),Assumptions!$D$6,IF(ISNUMBER(SEARCH(Assumptions!$C$7,G2162)),Assumptions!$D$7,"Other Services"))),"Other Services"))</f>
        <v/>
      </c>
    </row>
    <row r="2163" customFormat="false" ht="15" hidden="false" customHeight="false" outlineLevel="0" collapsed="false">
      <c r="E2163" s="41" t="str">
        <f aca="false">IF(D2163="","",IFERROR(VLOOKUP(D2163,Assumptions!$G$5:$H$16,2,0),"Other"))</f>
        <v/>
      </c>
      <c r="J2163" s="41" t="str">
        <f aca="false">IF(G2163="","",IFERROR(IF(ISNUMBER(SEARCH(Assumptions!$C$5,G2163)),Assumptions!$D$5,IF(ISNUMBER(SEARCH(Assumptions!$C$6,G2163)),Assumptions!$D$6,IF(ISNUMBER(SEARCH(Assumptions!$C$7,G2163)),Assumptions!$D$7,"Other Services"))),"Other Services"))</f>
        <v/>
      </c>
    </row>
    <row r="2164" customFormat="false" ht="15" hidden="false" customHeight="false" outlineLevel="0" collapsed="false">
      <c r="E2164" s="41" t="str">
        <f aca="false">IF(D2164="","",IFERROR(VLOOKUP(D2164,Assumptions!$G$5:$H$16,2,0),"Other"))</f>
        <v/>
      </c>
      <c r="J2164" s="41" t="str">
        <f aca="false">IF(G2164="","",IFERROR(IF(ISNUMBER(SEARCH(Assumptions!$C$5,G2164)),Assumptions!$D$5,IF(ISNUMBER(SEARCH(Assumptions!$C$6,G2164)),Assumptions!$D$6,IF(ISNUMBER(SEARCH(Assumptions!$C$7,G2164)),Assumptions!$D$7,"Other Services"))),"Other Services"))</f>
        <v/>
      </c>
    </row>
    <row r="2165" customFormat="false" ht="15" hidden="false" customHeight="false" outlineLevel="0" collapsed="false">
      <c r="E2165" s="41" t="str">
        <f aca="false">IF(D2165="","",IFERROR(VLOOKUP(D2165,Assumptions!$G$5:$H$16,2,0),"Other"))</f>
        <v/>
      </c>
      <c r="J2165" s="41" t="str">
        <f aca="false">IF(G2165="","",IFERROR(IF(ISNUMBER(SEARCH(Assumptions!$C$5,G2165)),Assumptions!$D$5,IF(ISNUMBER(SEARCH(Assumptions!$C$6,G2165)),Assumptions!$D$6,IF(ISNUMBER(SEARCH(Assumptions!$C$7,G2165)),Assumptions!$D$7,"Other Services"))),"Other Services"))</f>
        <v/>
      </c>
    </row>
    <row r="2166" customFormat="false" ht="15" hidden="false" customHeight="false" outlineLevel="0" collapsed="false">
      <c r="E2166" s="41" t="str">
        <f aca="false">IF(D2166="","",IFERROR(VLOOKUP(D2166,Assumptions!$G$5:$H$16,2,0),"Other"))</f>
        <v/>
      </c>
      <c r="J2166" s="41" t="str">
        <f aca="false">IF(G2166="","",IFERROR(IF(ISNUMBER(SEARCH(Assumptions!$C$5,G2166)),Assumptions!$D$5,IF(ISNUMBER(SEARCH(Assumptions!$C$6,G2166)),Assumptions!$D$6,IF(ISNUMBER(SEARCH(Assumptions!$C$7,G2166)),Assumptions!$D$7,"Other Services"))),"Other Services"))</f>
        <v/>
      </c>
    </row>
    <row r="2167" customFormat="false" ht="15" hidden="false" customHeight="false" outlineLevel="0" collapsed="false">
      <c r="E2167" s="41" t="str">
        <f aca="false">IF(D2167="","",IFERROR(VLOOKUP(D2167,Assumptions!$G$5:$H$16,2,0),"Other"))</f>
        <v/>
      </c>
      <c r="J2167" s="41" t="str">
        <f aca="false">IF(G2167="","",IFERROR(IF(ISNUMBER(SEARCH(Assumptions!$C$5,G2167)),Assumptions!$D$5,IF(ISNUMBER(SEARCH(Assumptions!$C$6,G2167)),Assumptions!$D$6,IF(ISNUMBER(SEARCH(Assumptions!$C$7,G2167)),Assumptions!$D$7,"Other Services"))),"Other Services"))</f>
        <v/>
      </c>
    </row>
    <row r="2168" customFormat="false" ht="15" hidden="false" customHeight="false" outlineLevel="0" collapsed="false">
      <c r="E2168" s="41" t="str">
        <f aca="false">IF(D2168="","",IFERROR(VLOOKUP(D2168,Assumptions!$G$5:$H$16,2,0),"Other"))</f>
        <v/>
      </c>
      <c r="J2168" s="41" t="str">
        <f aca="false">IF(G2168="","",IFERROR(IF(ISNUMBER(SEARCH(Assumptions!$C$5,G2168)),Assumptions!$D$5,IF(ISNUMBER(SEARCH(Assumptions!$C$6,G2168)),Assumptions!$D$6,IF(ISNUMBER(SEARCH(Assumptions!$C$7,G2168)),Assumptions!$D$7,"Other Services"))),"Other Services"))</f>
        <v/>
      </c>
    </row>
    <row r="2169" customFormat="false" ht="15" hidden="false" customHeight="false" outlineLevel="0" collapsed="false">
      <c r="E2169" s="41" t="str">
        <f aca="false">IF(D2169="","",IFERROR(VLOOKUP(D2169,Assumptions!$G$5:$H$16,2,0),"Other"))</f>
        <v/>
      </c>
      <c r="J2169" s="41" t="str">
        <f aca="false">IF(G2169="","",IFERROR(IF(ISNUMBER(SEARCH(Assumptions!$C$5,G2169)),Assumptions!$D$5,IF(ISNUMBER(SEARCH(Assumptions!$C$6,G2169)),Assumptions!$D$6,IF(ISNUMBER(SEARCH(Assumptions!$C$7,G2169)),Assumptions!$D$7,"Other Services"))),"Other Services"))</f>
        <v/>
      </c>
    </row>
    <row r="2170" customFormat="false" ht="15" hidden="false" customHeight="false" outlineLevel="0" collapsed="false">
      <c r="E2170" s="41" t="str">
        <f aca="false">IF(D2170="","",IFERROR(VLOOKUP(D2170,Assumptions!$G$5:$H$16,2,0),"Other"))</f>
        <v/>
      </c>
      <c r="J2170" s="41" t="str">
        <f aca="false">IF(G2170="","",IFERROR(IF(ISNUMBER(SEARCH(Assumptions!$C$5,G2170)),Assumptions!$D$5,IF(ISNUMBER(SEARCH(Assumptions!$C$6,G2170)),Assumptions!$D$6,IF(ISNUMBER(SEARCH(Assumptions!$C$7,G2170)),Assumptions!$D$7,"Other Services"))),"Other Services"))</f>
        <v/>
      </c>
    </row>
    <row r="2171" customFormat="false" ht="15" hidden="false" customHeight="false" outlineLevel="0" collapsed="false">
      <c r="E2171" s="41" t="str">
        <f aca="false">IF(D2171="","",IFERROR(VLOOKUP(D2171,Assumptions!$G$5:$H$16,2,0),"Other"))</f>
        <v/>
      </c>
      <c r="J2171" s="41" t="str">
        <f aca="false">IF(G2171="","",IFERROR(IF(ISNUMBER(SEARCH(Assumptions!$C$5,G2171)),Assumptions!$D$5,IF(ISNUMBER(SEARCH(Assumptions!$C$6,G2171)),Assumptions!$D$6,IF(ISNUMBER(SEARCH(Assumptions!$C$7,G2171)),Assumptions!$D$7,"Other Services"))),"Other Services"))</f>
        <v/>
      </c>
    </row>
    <row r="2172" customFormat="false" ht="15" hidden="false" customHeight="false" outlineLevel="0" collapsed="false">
      <c r="E2172" s="41" t="str">
        <f aca="false">IF(D2172="","",IFERROR(VLOOKUP(D2172,Assumptions!$G$5:$H$16,2,0),"Other"))</f>
        <v/>
      </c>
      <c r="J2172" s="41" t="str">
        <f aca="false">IF(G2172="","",IFERROR(IF(ISNUMBER(SEARCH(Assumptions!$C$5,G2172)),Assumptions!$D$5,IF(ISNUMBER(SEARCH(Assumptions!$C$6,G2172)),Assumptions!$D$6,IF(ISNUMBER(SEARCH(Assumptions!$C$7,G2172)),Assumptions!$D$7,"Other Services"))),"Other Services"))</f>
        <v/>
      </c>
    </row>
    <row r="2173" customFormat="false" ht="15" hidden="false" customHeight="false" outlineLevel="0" collapsed="false">
      <c r="E2173" s="41" t="str">
        <f aca="false">IF(D2173="","",IFERROR(VLOOKUP(D2173,Assumptions!$G$5:$H$16,2,0),"Other"))</f>
        <v/>
      </c>
      <c r="J2173" s="41" t="str">
        <f aca="false">IF(G2173="","",IFERROR(IF(ISNUMBER(SEARCH(Assumptions!$C$5,G2173)),Assumptions!$D$5,IF(ISNUMBER(SEARCH(Assumptions!$C$6,G2173)),Assumptions!$D$6,IF(ISNUMBER(SEARCH(Assumptions!$C$7,G2173)),Assumptions!$D$7,"Other Services"))),"Other Services"))</f>
        <v/>
      </c>
    </row>
    <row r="2174" customFormat="false" ht="15" hidden="false" customHeight="false" outlineLevel="0" collapsed="false">
      <c r="E2174" s="41" t="str">
        <f aca="false">IF(D2174="","",IFERROR(VLOOKUP(D2174,Assumptions!$G$5:$H$16,2,0),"Other"))</f>
        <v/>
      </c>
      <c r="J2174" s="41" t="str">
        <f aca="false">IF(G2174="","",IFERROR(IF(ISNUMBER(SEARCH(Assumptions!$C$5,G2174)),Assumptions!$D$5,IF(ISNUMBER(SEARCH(Assumptions!$C$6,G2174)),Assumptions!$D$6,IF(ISNUMBER(SEARCH(Assumptions!$C$7,G2174)),Assumptions!$D$7,"Other Services"))),"Other Services"))</f>
        <v/>
      </c>
    </row>
    <row r="2175" customFormat="false" ht="15" hidden="false" customHeight="false" outlineLevel="0" collapsed="false">
      <c r="E2175" s="41" t="str">
        <f aca="false">IF(D2175="","",IFERROR(VLOOKUP(D2175,Assumptions!$G$5:$H$16,2,0),"Other"))</f>
        <v/>
      </c>
      <c r="J2175" s="41" t="str">
        <f aca="false">IF(G2175="","",IFERROR(IF(ISNUMBER(SEARCH(Assumptions!$C$5,G2175)),Assumptions!$D$5,IF(ISNUMBER(SEARCH(Assumptions!$C$6,G2175)),Assumptions!$D$6,IF(ISNUMBER(SEARCH(Assumptions!$C$7,G2175)),Assumptions!$D$7,"Other Services"))),"Other Services"))</f>
        <v/>
      </c>
    </row>
    <row r="2176" customFormat="false" ht="15" hidden="false" customHeight="false" outlineLevel="0" collapsed="false">
      <c r="E2176" s="41" t="str">
        <f aca="false">IF(D2176="","",IFERROR(VLOOKUP(D2176,Assumptions!$G$5:$H$16,2,0),"Other"))</f>
        <v/>
      </c>
      <c r="J2176" s="41" t="str">
        <f aca="false">IF(G2176="","",IFERROR(IF(ISNUMBER(SEARCH(Assumptions!$C$5,G2176)),Assumptions!$D$5,IF(ISNUMBER(SEARCH(Assumptions!$C$6,G2176)),Assumptions!$D$6,IF(ISNUMBER(SEARCH(Assumptions!$C$7,G2176)),Assumptions!$D$7,"Other Services"))),"Other Services"))</f>
        <v/>
      </c>
    </row>
    <row r="2177" customFormat="false" ht="15" hidden="false" customHeight="false" outlineLevel="0" collapsed="false">
      <c r="E2177" s="41" t="str">
        <f aca="false">IF(D2177="","",IFERROR(VLOOKUP(D2177,Assumptions!$G$5:$H$16,2,0),"Other"))</f>
        <v/>
      </c>
      <c r="J2177" s="41" t="str">
        <f aca="false">IF(G2177="","",IFERROR(IF(ISNUMBER(SEARCH(Assumptions!$C$5,G2177)),Assumptions!$D$5,IF(ISNUMBER(SEARCH(Assumptions!$C$6,G2177)),Assumptions!$D$6,IF(ISNUMBER(SEARCH(Assumptions!$C$7,G2177)),Assumptions!$D$7,"Other Services"))),"Other Services"))</f>
        <v/>
      </c>
    </row>
    <row r="2178" customFormat="false" ht="15" hidden="false" customHeight="false" outlineLevel="0" collapsed="false">
      <c r="E2178" s="41" t="str">
        <f aca="false">IF(D2178="","",IFERROR(VLOOKUP(D2178,Assumptions!$G$5:$H$16,2,0),"Other"))</f>
        <v/>
      </c>
      <c r="J2178" s="41" t="str">
        <f aca="false">IF(G2178="","",IFERROR(IF(ISNUMBER(SEARCH(Assumptions!$C$5,G2178)),Assumptions!$D$5,IF(ISNUMBER(SEARCH(Assumptions!$C$6,G2178)),Assumptions!$D$6,IF(ISNUMBER(SEARCH(Assumptions!$C$7,G2178)),Assumptions!$D$7,"Other Services"))),"Other Services"))</f>
        <v/>
      </c>
    </row>
    <row r="2179" customFormat="false" ht="15" hidden="false" customHeight="false" outlineLevel="0" collapsed="false">
      <c r="E2179" s="41" t="str">
        <f aca="false">IF(D2179="","",IFERROR(VLOOKUP(D2179,Assumptions!$G$5:$H$16,2,0),"Other"))</f>
        <v/>
      </c>
      <c r="J2179" s="41" t="str">
        <f aca="false">IF(G2179="","",IFERROR(IF(ISNUMBER(SEARCH(Assumptions!$C$5,G2179)),Assumptions!$D$5,IF(ISNUMBER(SEARCH(Assumptions!$C$6,G2179)),Assumptions!$D$6,IF(ISNUMBER(SEARCH(Assumptions!$C$7,G2179)),Assumptions!$D$7,"Other Services"))),"Other Services"))</f>
        <v/>
      </c>
    </row>
    <row r="2180" customFormat="false" ht="15" hidden="false" customHeight="false" outlineLevel="0" collapsed="false">
      <c r="E2180" s="41" t="str">
        <f aca="false">IF(D2180="","",IFERROR(VLOOKUP(D2180,Assumptions!$G$5:$H$16,2,0),"Other"))</f>
        <v/>
      </c>
      <c r="J2180" s="41" t="str">
        <f aca="false">IF(G2180="","",IFERROR(IF(ISNUMBER(SEARCH(Assumptions!$C$5,G2180)),Assumptions!$D$5,IF(ISNUMBER(SEARCH(Assumptions!$C$6,G2180)),Assumptions!$D$6,IF(ISNUMBER(SEARCH(Assumptions!$C$7,G2180)),Assumptions!$D$7,"Other Services"))),"Other Services"))</f>
        <v/>
      </c>
    </row>
    <row r="2181" customFormat="false" ht="15" hidden="false" customHeight="false" outlineLevel="0" collapsed="false">
      <c r="E2181" s="41" t="str">
        <f aca="false">IF(D2181="","",IFERROR(VLOOKUP(D2181,Assumptions!$G$5:$H$16,2,0),"Other"))</f>
        <v/>
      </c>
      <c r="J2181" s="41" t="str">
        <f aca="false">IF(G2181="","",IFERROR(IF(ISNUMBER(SEARCH(Assumptions!$C$5,G2181)),Assumptions!$D$5,IF(ISNUMBER(SEARCH(Assumptions!$C$6,G2181)),Assumptions!$D$6,IF(ISNUMBER(SEARCH(Assumptions!$C$7,G2181)),Assumptions!$D$7,"Other Services"))),"Other Services"))</f>
        <v/>
      </c>
    </row>
    <row r="2182" customFormat="false" ht="15" hidden="false" customHeight="false" outlineLevel="0" collapsed="false">
      <c r="E2182" s="41" t="str">
        <f aca="false">IF(D2182="","",IFERROR(VLOOKUP(D2182,Assumptions!$G$5:$H$16,2,0),"Other"))</f>
        <v/>
      </c>
      <c r="J2182" s="41" t="str">
        <f aca="false">IF(G2182="","",IFERROR(IF(ISNUMBER(SEARCH(Assumptions!$C$5,G2182)),Assumptions!$D$5,IF(ISNUMBER(SEARCH(Assumptions!$C$6,G2182)),Assumptions!$D$6,IF(ISNUMBER(SEARCH(Assumptions!$C$7,G2182)),Assumptions!$D$7,"Other Services"))),"Other Services"))</f>
        <v/>
      </c>
    </row>
    <row r="2183" customFormat="false" ht="15" hidden="false" customHeight="false" outlineLevel="0" collapsed="false">
      <c r="E2183" s="41" t="str">
        <f aca="false">IF(D2183="","",IFERROR(VLOOKUP(D2183,Assumptions!$G$5:$H$16,2,0),"Other"))</f>
        <v/>
      </c>
      <c r="J2183" s="41" t="str">
        <f aca="false">IF(G2183="","",IFERROR(IF(ISNUMBER(SEARCH(Assumptions!$C$5,G2183)),Assumptions!$D$5,IF(ISNUMBER(SEARCH(Assumptions!$C$6,G2183)),Assumptions!$D$6,IF(ISNUMBER(SEARCH(Assumptions!$C$7,G2183)),Assumptions!$D$7,"Other Services"))),"Other Services"))</f>
        <v/>
      </c>
    </row>
    <row r="2184" customFormat="false" ht="15" hidden="false" customHeight="false" outlineLevel="0" collapsed="false">
      <c r="E2184" s="41" t="str">
        <f aca="false">IF(D2184="","",IFERROR(VLOOKUP(D2184,Assumptions!$G$5:$H$16,2,0),"Other"))</f>
        <v/>
      </c>
      <c r="J2184" s="41" t="str">
        <f aca="false">IF(G2184="","",IFERROR(IF(ISNUMBER(SEARCH(Assumptions!$C$5,G2184)),Assumptions!$D$5,IF(ISNUMBER(SEARCH(Assumptions!$C$6,G2184)),Assumptions!$D$6,IF(ISNUMBER(SEARCH(Assumptions!$C$7,G2184)),Assumptions!$D$7,"Other Services"))),"Other Services"))</f>
        <v/>
      </c>
    </row>
    <row r="2185" customFormat="false" ht="15" hidden="false" customHeight="false" outlineLevel="0" collapsed="false">
      <c r="E2185" s="41" t="str">
        <f aca="false">IF(D2185="","",IFERROR(VLOOKUP(D2185,Assumptions!$G$5:$H$16,2,0),"Other"))</f>
        <v/>
      </c>
      <c r="J2185" s="41" t="str">
        <f aca="false">IF(G2185="","",IFERROR(IF(ISNUMBER(SEARCH(Assumptions!$C$5,G2185)),Assumptions!$D$5,IF(ISNUMBER(SEARCH(Assumptions!$C$6,G2185)),Assumptions!$D$6,IF(ISNUMBER(SEARCH(Assumptions!$C$7,G2185)),Assumptions!$D$7,"Other Services"))),"Other Services"))</f>
        <v/>
      </c>
    </row>
    <row r="2186" customFormat="false" ht="15" hidden="false" customHeight="false" outlineLevel="0" collapsed="false">
      <c r="E2186" s="41" t="str">
        <f aca="false">IF(D2186="","",IFERROR(VLOOKUP(D2186,Assumptions!$G$5:$H$16,2,0),"Other"))</f>
        <v/>
      </c>
      <c r="J2186" s="41" t="str">
        <f aca="false">IF(G2186="","",IFERROR(IF(ISNUMBER(SEARCH(Assumptions!$C$5,G2186)),Assumptions!$D$5,IF(ISNUMBER(SEARCH(Assumptions!$C$6,G2186)),Assumptions!$D$6,IF(ISNUMBER(SEARCH(Assumptions!$C$7,G2186)),Assumptions!$D$7,"Other Services"))),"Other Services"))</f>
        <v/>
      </c>
    </row>
    <row r="2187" customFormat="false" ht="15" hidden="false" customHeight="false" outlineLevel="0" collapsed="false">
      <c r="E2187" s="41" t="str">
        <f aca="false">IF(D2187="","",IFERROR(VLOOKUP(D2187,Assumptions!$G$5:$H$16,2,0),"Other"))</f>
        <v/>
      </c>
      <c r="J2187" s="41" t="str">
        <f aca="false">IF(G2187="","",IFERROR(IF(ISNUMBER(SEARCH(Assumptions!$C$5,G2187)),Assumptions!$D$5,IF(ISNUMBER(SEARCH(Assumptions!$C$6,G2187)),Assumptions!$D$6,IF(ISNUMBER(SEARCH(Assumptions!$C$7,G2187)),Assumptions!$D$7,"Other Services"))),"Other Services"))</f>
        <v/>
      </c>
    </row>
    <row r="2188" customFormat="false" ht="15" hidden="false" customHeight="false" outlineLevel="0" collapsed="false">
      <c r="E2188" s="41" t="str">
        <f aca="false">IF(D2188="","",IFERROR(VLOOKUP(D2188,Assumptions!$G$5:$H$16,2,0),"Other"))</f>
        <v/>
      </c>
      <c r="J2188" s="41" t="str">
        <f aca="false">IF(G2188="","",IFERROR(IF(ISNUMBER(SEARCH(Assumptions!$C$5,G2188)),Assumptions!$D$5,IF(ISNUMBER(SEARCH(Assumptions!$C$6,G2188)),Assumptions!$D$6,IF(ISNUMBER(SEARCH(Assumptions!$C$7,G2188)),Assumptions!$D$7,"Other Services"))),"Other Services"))</f>
        <v/>
      </c>
    </row>
    <row r="2189" customFormat="false" ht="15" hidden="false" customHeight="false" outlineLevel="0" collapsed="false">
      <c r="E2189" s="41" t="str">
        <f aca="false">IF(D2189="","",IFERROR(VLOOKUP(D2189,Assumptions!$G$5:$H$16,2,0),"Other"))</f>
        <v/>
      </c>
      <c r="J2189" s="41" t="str">
        <f aca="false">IF(G2189="","",IFERROR(IF(ISNUMBER(SEARCH(Assumptions!$C$5,G2189)),Assumptions!$D$5,IF(ISNUMBER(SEARCH(Assumptions!$C$6,G2189)),Assumptions!$D$6,IF(ISNUMBER(SEARCH(Assumptions!$C$7,G2189)),Assumptions!$D$7,"Other Services"))),"Other Services"))</f>
        <v/>
      </c>
    </row>
    <row r="2190" customFormat="false" ht="15" hidden="false" customHeight="false" outlineLevel="0" collapsed="false">
      <c r="E2190" s="41" t="str">
        <f aca="false">IF(D2190="","",IFERROR(VLOOKUP(D2190,Assumptions!$G$5:$H$16,2,0),"Other"))</f>
        <v/>
      </c>
      <c r="J2190" s="41" t="str">
        <f aca="false">IF(G2190="","",IFERROR(IF(ISNUMBER(SEARCH(Assumptions!$C$5,G2190)),Assumptions!$D$5,IF(ISNUMBER(SEARCH(Assumptions!$C$6,G2190)),Assumptions!$D$6,IF(ISNUMBER(SEARCH(Assumptions!$C$7,G2190)),Assumptions!$D$7,"Other Services"))),"Other Services"))</f>
        <v/>
      </c>
    </row>
    <row r="2191" customFormat="false" ht="15" hidden="false" customHeight="false" outlineLevel="0" collapsed="false">
      <c r="E2191" s="41" t="str">
        <f aca="false">IF(D2191="","",IFERROR(VLOOKUP(D2191,Assumptions!$G$5:$H$16,2,0),"Other"))</f>
        <v/>
      </c>
      <c r="J2191" s="41" t="str">
        <f aca="false">IF(G2191="","",IFERROR(IF(ISNUMBER(SEARCH(Assumptions!$C$5,G2191)),Assumptions!$D$5,IF(ISNUMBER(SEARCH(Assumptions!$C$6,G2191)),Assumptions!$D$6,IF(ISNUMBER(SEARCH(Assumptions!$C$7,G2191)),Assumptions!$D$7,"Other Services"))),"Other Services"))</f>
        <v/>
      </c>
    </row>
    <row r="2192" customFormat="false" ht="15" hidden="false" customHeight="false" outlineLevel="0" collapsed="false">
      <c r="E2192" s="41" t="str">
        <f aca="false">IF(D2192="","",IFERROR(VLOOKUP(D2192,Assumptions!$G$5:$H$16,2,0),"Other"))</f>
        <v/>
      </c>
      <c r="J2192" s="41" t="str">
        <f aca="false">IF(G2192="","",IFERROR(IF(ISNUMBER(SEARCH(Assumptions!$C$5,G2192)),Assumptions!$D$5,IF(ISNUMBER(SEARCH(Assumptions!$C$6,G2192)),Assumptions!$D$6,IF(ISNUMBER(SEARCH(Assumptions!$C$7,G2192)),Assumptions!$D$7,"Other Services"))),"Other Services"))</f>
        <v/>
      </c>
    </row>
    <row r="2193" customFormat="false" ht="15" hidden="false" customHeight="false" outlineLevel="0" collapsed="false">
      <c r="E2193" s="41" t="str">
        <f aca="false">IF(D2193="","",IFERROR(VLOOKUP(D2193,Assumptions!$G$5:$H$16,2,0),"Other"))</f>
        <v/>
      </c>
      <c r="J2193" s="41" t="str">
        <f aca="false">IF(G2193="","",IFERROR(IF(ISNUMBER(SEARCH(Assumptions!$C$5,G2193)),Assumptions!$D$5,IF(ISNUMBER(SEARCH(Assumptions!$C$6,G2193)),Assumptions!$D$6,IF(ISNUMBER(SEARCH(Assumptions!$C$7,G2193)),Assumptions!$D$7,"Other Services"))),"Other Services"))</f>
        <v/>
      </c>
    </row>
    <row r="2194" customFormat="false" ht="15" hidden="false" customHeight="false" outlineLevel="0" collapsed="false">
      <c r="E2194" s="41" t="str">
        <f aca="false">IF(D2194="","",IFERROR(VLOOKUP(D2194,Assumptions!$G$5:$H$16,2,0),"Other"))</f>
        <v/>
      </c>
      <c r="J2194" s="41" t="str">
        <f aca="false">IF(G2194="","",IFERROR(IF(ISNUMBER(SEARCH(Assumptions!$C$5,G2194)),Assumptions!$D$5,IF(ISNUMBER(SEARCH(Assumptions!$C$6,G2194)),Assumptions!$D$6,IF(ISNUMBER(SEARCH(Assumptions!$C$7,G2194)),Assumptions!$D$7,"Other Services"))),"Other Services"))</f>
        <v/>
      </c>
    </row>
    <row r="2195" customFormat="false" ht="15" hidden="false" customHeight="false" outlineLevel="0" collapsed="false">
      <c r="E2195" s="41" t="str">
        <f aca="false">IF(D2195="","",IFERROR(VLOOKUP(D2195,Assumptions!$G$5:$H$16,2,0),"Other"))</f>
        <v/>
      </c>
      <c r="J2195" s="41" t="str">
        <f aca="false">IF(G2195="","",IFERROR(IF(ISNUMBER(SEARCH(Assumptions!$C$5,G2195)),Assumptions!$D$5,IF(ISNUMBER(SEARCH(Assumptions!$C$6,G2195)),Assumptions!$D$6,IF(ISNUMBER(SEARCH(Assumptions!$C$7,G2195)),Assumptions!$D$7,"Other Services"))),"Other Services"))</f>
        <v/>
      </c>
    </row>
    <row r="2196" customFormat="false" ht="15" hidden="false" customHeight="false" outlineLevel="0" collapsed="false">
      <c r="E2196" s="41" t="str">
        <f aca="false">IF(D2196="","",IFERROR(VLOOKUP(D2196,Assumptions!$G$5:$H$16,2,0),"Other"))</f>
        <v/>
      </c>
      <c r="J2196" s="41" t="str">
        <f aca="false">IF(G2196="","",IFERROR(IF(ISNUMBER(SEARCH(Assumptions!$C$5,G2196)),Assumptions!$D$5,IF(ISNUMBER(SEARCH(Assumptions!$C$6,G2196)),Assumptions!$D$6,IF(ISNUMBER(SEARCH(Assumptions!$C$7,G2196)),Assumptions!$D$7,"Other Services"))),"Other Services"))</f>
        <v/>
      </c>
    </row>
    <row r="2197" customFormat="false" ht="15" hidden="false" customHeight="false" outlineLevel="0" collapsed="false">
      <c r="E2197" s="41" t="str">
        <f aca="false">IF(D2197="","",IFERROR(VLOOKUP(D2197,Assumptions!$G$5:$H$16,2,0),"Other"))</f>
        <v/>
      </c>
      <c r="J2197" s="41" t="str">
        <f aca="false">IF(G2197="","",IFERROR(IF(ISNUMBER(SEARCH(Assumptions!$C$5,G2197)),Assumptions!$D$5,IF(ISNUMBER(SEARCH(Assumptions!$C$6,G2197)),Assumptions!$D$6,IF(ISNUMBER(SEARCH(Assumptions!$C$7,G2197)),Assumptions!$D$7,"Other Services"))),"Other Services"))</f>
        <v/>
      </c>
    </row>
    <row r="2198" customFormat="false" ht="15" hidden="false" customHeight="false" outlineLevel="0" collapsed="false">
      <c r="E2198" s="41" t="str">
        <f aca="false">IF(D2198="","",IFERROR(VLOOKUP(D2198,Assumptions!$G$5:$H$16,2,0),"Other"))</f>
        <v/>
      </c>
      <c r="J2198" s="41" t="str">
        <f aca="false">IF(G2198="","",IFERROR(IF(ISNUMBER(SEARCH(Assumptions!$C$5,G2198)),Assumptions!$D$5,IF(ISNUMBER(SEARCH(Assumptions!$C$6,G2198)),Assumptions!$D$6,IF(ISNUMBER(SEARCH(Assumptions!$C$7,G2198)),Assumptions!$D$7,"Other Services"))),"Other Services"))</f>
        <v/>
      </c>
    </row>
    <row r="2199" customFormat="false" ht="15" hidden="false" customHeight="false" outlineLevel="0" collapsed="false">
      <c r="E2199" s="41" t="str">
        <f aca="false">IF(D2199="","",IFERROR(VLOOKUP(D2199,Assumptions!$G$5:$H$16,2,0),"Other"))</f>
        <v/>
      </c>
      <c r="J2199" s="41" t="str">
        <f aca="false">IF(G2199="","",IFERROR(IF(ISNUMBER(SEARCH(Assumptions!$C$5,G2199)),Assumptions!$D$5,IF(ISNUMBER(SEARCH(Assumptions!$C$6,G2199)),Assumptions!$D$6,IF(ISNUMBER(SEARCH(Assumptions!$C$7,G2199)),Assumptions!$D$7,"Other Services"))),"Other Services"))</f>
        <v/>
      </c>
    </row>
    <row r="2200" customFormat="false" ht="15" hidden="false" customHeight="false" outlineLevel="0" collapsed="false">
      <c r="E2200" s="41" t="str">
        <f aca="false">IF(D2200="","",IFERROR(VLOOKUP(D2200,Assumptions!$G$5:$H$16,2,0),"Other"))</f>
        <v/>
      </c>
      <c r="J2200" s="41" t="str">
        <f aca="false">IF(G2200="","",IFERROR(IF(ISNUMBER(SEARCH(Assumptions!$C$5,G2200)),Assumptions!$D$5,IF(ISNUMBER(SEARCH(Assumptions!$C$6,G2200)),Assumptions!$D$6,IF(ISNUMBER(SEARCH(Assumptions!$C$7,G2200)),Assumptions!$D$7,"Other Services"))),"Other Services"))</f>
        <v/>
      </c>
    </row>
    <row r="2201" customFormat="false" ht="15" hidden="false" customHeight="false" outlineLevel="0" collapsed="false">
      <c r="E2201" s="41" t="str">
        <f aca="false">IF(D2201="","",IFERROR(VLOOKUP(D2201,Assumptions!$G$5:$H$16,2,0),"Other"))</f>
        <v/>
      </c>
      <c r="J2201" s="41" t="str">
        <f aca="false">IF(G2201="","",IFERROR(IF(ISNUMBER(SEARCH(Assumptions!$C$5,G2201)),Assumptions!$D$5,IF(ISNUMBER(SEARCH(Assumptions!$C$6,G2201)),Assumptions!$D$6,IF(ISNUMBER(SEARCH(Assumptions!$C$7,G2201)),Assumptions!$D$7,"Other Services"))),"Other Services"))</f>
        <v/>
      </c>
    </row>
    <row r="2202" customFormat="false" ht="15" hidden="false" customHeight="false" outlineLevel="0" collapsed="false">
      <c r="E2202" s="41" t="str">
        <f aca="false">IF(D2202="","",IFERROR(VLOOKUP(D2202,Assumptions!$G$5:$H$16,2,0),"Other"))</f>
        <v/>
      </c>
      <c r="J2202" s="41" t="str">
        <f aca="false">IF(G2202="","",IFERROR(IF(ISNUMBER(SEARCH(Assumptions!$C$5,G2202)),Assumptions!$D$5,IF(ISNUMBER(SEARCH(Assumptions!$C$6,G2202)),Assumptions!$D$6,IF(ISNUMBER(SEARCH(Assumptions!$C$7,G2202)),Assumptions!$D$7,"Other Services"))),"Other Services"))</f>
        <v/>
      </c>
    </row>
    <row r="2203" customFormat="false" ht="15" hidden="false" customHeight="false" outlineLevel="0" collapsed="false">
      <c r="E2203" s="41" t="str">
        <f aca="false">IF(D2203="","",IFERROR(VLOOKUP(D2203,Assumptions!$G$5:$H$16,2,0),"Other"))</f>
        <v/>
      </c>
      <c r="J2203" s="41" t="str">
        <f aca="false">IF(G2203="","",IFERROR(IF(ISNUMBER(SEARCH(Assumptions!$C$5,G2203)),Assumptions!$D$5,IF(ISNUMBER(SEARCH(Assumptions!$C$6,G2203)),Assumptions!$D$6,IF(ISNUMBER(SEARCH(Assumptions!$C$7,G2203)),Assumptions!$D$7,"Other Services"))),"Other Services"))</f>
        <v/>
      </c>
    </row>
    <row r="2204" customFormat="false" ht="15" hidden="false" customHeight="false" outlineLevel="0" collapsed="false">
      <c r="E2204" s="41" t="str">
        <f aca="false">IF(D2204="","",IFERROR(VLOOKUP(D2204,Assumptions!$G$5:$H$16,2,0),"Other"))</f>
        <v/>
      </c>
      <c r="J2204" s="41" t="str">
        <f aca="false">IF(G2204="","",IFERROR(IF(ISNUMBER(SEARCH(Assumptions!$C$5,G2204)),Assumptions!$D$5,IF(ISNUMBER(SEARCH(Assumptions!$C$6,G2204)),Assumptions!$D$6,IF(ISNUMBER(SEARCH(Assumptions!$C$7,G2204)),Assumptions!$D$7,"Other Services"))),"Other Services"))</f>
        <v/>
      </c>
    </row>
    <row r="2205" customFormat="false" ht="15" hidden="false" customHeight="false" outlineLevel="0" collapsed="false">
      <c r="E2205" s="41" t="str">
        <f aca="false">IF(D2205="","",IFERROR(VLOOKUP(D2205,Assumptions!$G$5:$H$16,2,0),"Other"))</f>
        <v/>
      </c>
      <c r="J2205" s="41" t="str">
        <f aca="false">IF(G2205="","",IFERROR(IF(ISNUMBER(SEARCH(Assumptions!$C$5,G2205)),Assumptions!$D$5,IF(ISNUMBER(SEARCH(Assumptions!$C$6,G2205)),Assumptions!$D$6,IF(ISNUMBER(SEARCH(Assumptions!$C$7,G2205)),Assumptions!$D$7,"Other Services"))),"Other Services"))</f>
        <v/>
      </c>
    </row>
    <row r="2206" customFormat="false" ht="15" hidden="false" customHeight="false" outlineLevel="0" collapsed="false">
      <c r="E2206" s="41" t="str">
        <f aca="false">IF(D2206="","",IFERROR(VLOOKUP(D2206,Assumptions!$G$5:$H$16,2,0),"Other"))</f>
        <v/>
      </c>
      <c r="J2206" s="41" t="str">
        <f aca="false">IF(G2206="","",IFERROR(IF(ISNUMBER(SEARCH(Assumptions!$C$5,G2206)),Assumptions!$D$5,IF(ISNUMBER(SEARCH(Assumptions!$C$6,G2206)),Assumptions!$D$6,IF(ISNUMBER(SEARCH(Assumptions!$C$7,G2206)),Assumptions!$D$7,"Other Services"))),"Other Services"))</f>
        <v/>
      </c>
    </row>
    <row r="2207" customFormat="false" ht="15" hidden="false" customHeight="false" outlineLevel="0" collapsed="false">
      <c r="E2207" s="41" t="str">
        <f aca="false">IF(D2207="","",IFERROR(VLOOKUP(D2207,Assumptions!$G$5:$H$16,2,0),"Other"))</f>
        <v/>
      </c>
      <c r="J2207" s="41" t="str">
        <f aca="false">IF(G2207="","",IFERROR(IF(ISNUMBER(SEARCH(Assumptions!$C$5,G2207)),Assumptions!$D$5,IF(ISNUMBER(SEARCH(Assumptions!$C$6,G2207)),Assumptions!$D$6,IF(ISNUMBER(SEARCH(Assumptions!$C$7,G2207)),Assumptions!$D$7,"Other Services"))),"Other Services"))</f>
        <v/>
      </c>
    </row>
    <row r="2208" customFormat="false" ht="15" hidden="false" customHeight="false" outlineLevel="0" collapsed="false">
      <c r="E2208" s="41" t="str">
        <f aca="false">IF(D2208="","",IFERROR(VLOOKUP(D2208,Assumptions!$G$5:$H$16,2,0),"Other"))</f>
        <v/>
      </c>
      <c r="J2208" s="41" t="str">
        <f aca="false">IF(G2208="","",IFERROR(IF(ISNUMBER(SEARCH(Assumptions!$C$5,G2208)),Assumptions!$D$5,IF(ISNUMBER(SEARCH(Assumptions!$C$6,G2208)),Assumptions!$D$6,IF(ISNUMBER(SEARCH(Assumptions!$C$7,G2208)),Assumptions!$D$7,"Other Services"))),"Other Services"))</f>
        <v/>
      </c>
    </row>
    <row r="2209" customFormat="false" ht="15" hidden="false" customHeight="false" outlineLevel="0" collapsed="false">
      <c r="E2209" s="41" t="str">
        <f aca="false">IF(D2209="","",IFERROR(VLOOKUP(D2209,Assumptions!$G$5:$H$16,2,0),"Other"))</f>
        <v/>
      </c>
      <c r="J2209" s="41" t="str">
        <f aca="false">IF(G2209="","",IFERROR(IF(ISNUMBER(SEARCH(Assumptions!$C$5,G2209)),Assumptions!$D$5,IF(ISNUMBER(SEARCH(Assumptions!$C$6,G2209)),Assumptions!$D$6,IF(ISNUMBER(SEARCH(Assumptions!$C$7,G2209)),Assumptions!$D$7,"Other Services"))),"Other Services"))</f>
        <v/>
      </c>
    </row>
    <row r="2210" customFormat="false" ht="15" hidden="false" customHeight="false" outlineLevel="0" collapsed="false">
      <c r="E2210" s="41" t="str">
        <f aca="false">IF(D2210="","",IFERROR(VLOOKUP(D2210,Assumptions!$G$5:$H$16,2,0),"Other"))</f>
        <v/>
      </c>
      <c r="J2210" s="41" t="str">
        <f aca="false">IF(G2210="","",IFERROR(IF(ISNUMBER(SEARCH(Assumptions!$C$5,G2210)),Assumptions!$D$5,IF(ISNUMBER(SEARCH(Assumptions!$C$6,G2210)),Assumptions!$D$6,IF(ISNUMBER(SEARCH(Assumptions!$C$7,G2210)),Assumptions!$D$7,"Other Services"))),"Other Services"))</f>
        <v/>
      </c>
    </row>
    <row r="2211" customFormat="false" ht="15" hidden="false" customHeight="false" outlineLevel="0" collapsed="false">
      <c r="E2211" s="41" t="str">
        <f aca="false">IF(D2211="","",IFERROR(VLOOKUP(D2211,Assumptions!$G$5:$H$16,2,0),"Other"))</f>
        <v/>
      </c>
      <c r="J2211" s="41" t="str">
        <f aca="false">IF(G2211="","",IFERROR(IF(ISNUMBER(SEARCH(Assumptions!$C$5,G2211)),Assumptions!$D$5,IF(ISNUMBER(SEARCH(Assumptions!$C$6,G2211)),Assumptions!$D$6,IF(ISNUMBER(SEARCH(Assumptions!$C$7,G2211)),Assumptions!$D$7,"Other Services"))),"Other Services"))</f>
        <v/>
      </c>
    </row>
    <row r="2212" customFormat="false" ht="15" hidden="false" customHeight="false" outlineLevel="0" collapsed="false">
      <c r="E2212" s="41" t="str">
        <f aca="false">IF(D2212="","",IFERROR(VLOOKUP(D2212,Assumptions!$G$5:$H$16,2,0),"Other"))</f>
        <v/>
      </c>
      <c r="J2212" s="41" t="str">
        <f aca="false">IF(G2212="","",IFERROR(IF(ISNUMBER(SEARCH(Assumptions!$C$5,G2212)),Assumptions!$D$5,IF(ISNUMBER(SEARCH(Assumptions!$C$6,G2212)),Assumptions!$D$6,IF(ISNUMBER(SEARCH(Assumptions!$C$7,G2212)),Assumptions!$D$7,"Other Services"))),"Other Services"))</f>
        <v/>
      </c>
    </row>
    <row r="2213" customFormat="false" ht="15" hidden="false" customHeight="false" outlineLevel="0" collapsed="false">
      <c r="E2213" s="41" t="str">
        <f aca="false">IF(D2213="","",IFERROR(VLOOKUP(D2213,Assumptions!$G$5:$H$16,2,0),"Other"))</f>
        <v/>
      </c>
      <c r="J2213" s="41" t="str">
        <f aca="false">IF(G2213="","",IFERROR(IF(ISNUMBER(SEARCH(Assumptions!$C$5,G2213)),Assumptions!$D$5,IF(ISNUMBER(SEARCH(Assumptions!$C$6,G2213)),Assumptions!$D$6,IF(ISNUMBER(SEARCH(Assumptions!$C$7,G2213)),Assumptions!$D$7,"Other Services"))),"Other Services"))</f>
        <v/>
      </c>
    </row>
    <row r="2214" customFormat="false" ht="15" hidden="false" customHeight="false" outlineLevel="0" collapsed="false">
      <c r="E2214" s="41" t="str">
        <f aca="false">IF(D2214="","",IFERROR(VLOOKUP(D2214,Assumptions!$G$5:$H$16,2,0),"Other"))</f>
        <v/>
      </c>
      <c r="J2214" s="41" t="str">
        <f aca="false">IF(G2214="","",IFERROR(IF(ISNUMBER(SEARCH(Assumptions!$C$5,G2214)),Assumptions!$D$5,IF(ISNUMBER(SEARCH(Assumptions!$C$6,G2214)),Assumptions!$D$6,IF(ISNUMBER(SEARCH(Assumptions!$C$7,G2214)),Assumptions!$D$7,"Other Services"))),"Other Services"))</f>
        <v/>
      </c>
    </row>
    <row r="2215" customFormat="false" ht="15" hidden="false" customHeight="false" outlineLevel="0" collapsed="false">
      <c r="E2215" s="41" t="str">
        <f aca="false">IF(D2215="","",IFERROR(VLOOKUP(D2215,Assumptions!$G$5:$H$16,2,0),"Other"))</f>
        <v/>
      </c>
      <c r="J2215" s="41" t="str">
        <f aca="false">IF(G2215="","",IFERROR(IF(ISNUMBER(SEARCH(Assumptions!$C$5,G2215)),Assumptions!$D$5,IF(ISNUMBER(SEARCH(Assumptions!$C$6,G2215)),Assumptions!$D$6,IF(ISNUMBER(SEARCH(Assumptions!$C$7,G2215)),Assumptions!$D$7,"Other Services"))),"Other Services"))</f>
        <v/>
      </c>
    </row>
    <row r="2216" customFormat="false" ht="15" hidden="false" customHeight="false" outlineLevel="0" collapsed="false">
      <c r="E2216" s="41" t="str">
        <f aca="false">IF(D2216="","",IFERROR(VLOOKUP(D2216,Assumptions!$G$5:$H$16,2,0),"Other"))</f>
        <v/>
      </c>
      <c r="J2216" s="41" t="str">
        <f aca="false">IF(G2216="","",IFERROR(IF(ISNUMBER(SEARCH(Assumptions!$C$5,G2216)),Assumptions!$D$5,IF(ISNUMBER(SEARCH(Assumptions!$C$6,G2216)),Assumptions!$D$6,IF(ISNUMBER(SEARCH(Assumptions!$C$7,G2216)),Assumptions!$D$7,"Other Services"))),"Other Services"))</f>
        <v/>
      </c>
    </row>
    <row r="2217" customFormat="false" ht="15" hidden="false" customHeight="false" outlineLevel="0" collapsed="false">
      <c r="E2217" s="41" t="str">
        <f aca="false">IF(D2217="","",IFERROR(VLOOKUP(D2217,Assumptions!$G$5:$H$16,2,0),"Other"))</f>
        <v/>
      </c>
      <c r="J2217" s="41" t="str">
        <f aca="false">IF(G2217="","",IFERROR(IF(ISNUMBER(SEARCH(Assumptions!$C$5,G2217)),Assumptions!$D$5,IF(ISNUMBER(SEARCH(Assumptions!$C$6,G2217)),Assumptions!$D$6,IF(ISNUMBER(SEARCH(Assumptions!$C$7,G2217)),Assumptions!$D$7,"Other Services"))),"Other Services"))</f>
        <v/>
      </c>
    </row>
    <row r="2218" customFormat="false" ht="15" hidden="false" customHeight="false" outlineLevel="0" collapsed="false">
      <c r="E2218" s="41" t="str">
        <f aca="false">IF(D2218="","",IFERROR(VLOOKUP(D2218,Assumptions!$G$5:$H$16,2,0),"Other"))</f>
        <v/>
      </c>
      <c r="J2218" s="41" t="str">
        <f aca="false">IF(G2218="","",IFERROR(IF(ISNUMBER(SEARCH(Assumptions!$C$5,G2218)),Assumptions!$D$5,IF(ISNUMBER(SEARCH(Assumptions!$C$6,G2218)),Assumptions!$D$6,IF(ISNUMBER(SEARCH(Assumptions!$C$7,G2218)),Assumptions!$D$7,"Other Services"))),"Other Services"))</f>
        <v/>
      </c>
    </row>
    <row r="2219" customFormat="false" ht="15" hidden="false" customHeight="false" outlineLevel="0" collapsed="false">
      <c r="E2219" s="41" t="str">
        <f aca="false">IF(D2219="","",IFERROR(VLOOKUP(D2219,Assumptions!$G$5:$H$16,2,0),"Other"))</f>
        <v/>
      </c>
      <c r="J2219" s="41" t="str">
        <f aca="false">IF(G2219="","",IFERROR(IF(ISNUMBER(SEARCH(Assumptions!$C$5,G2219)),Assumptions!$D$5,IF(ISNUMBER(SEARCH(Assumptions!$C$6,G2219)),Assumptions!$D$6,IF(ISNUMBER(SEARCH(Assumptions!$C$7,G2219)),Assumptions!$D$7,"Other Services"))),"Other Services"))</f>
        <v/>
      </c>
    </row>
    <row r="2220" customFormat="false" ht="15" hidden="false" customHeight="false" outlineLevel="0" collapsed="false">
      <c r="E2220" s="41" t="str">
        <f aca="false">IF(D2220="","",IFERROR(VLOOKUP(D2220,Assumptions!$G$5:$H$16,2,0),"Other"))</f>
        <v/>
      </c>
      <c r="J2220" s="41" t="str">
        <f aca="false">IF(G2220="","",IFERROR(IF(ISNUMBER(SEARCH(Assumptions!$C$5,G2220)),Assumptions!$D$5,IF(ISNUMBER(SEARCH(Assumptions!$C$6,G2220)),Assumptions!$D$6,IF(ISNUMBER(SEARCH(Assumptions!$C$7,G2220)),Assumptions!$D$7,"Other Services"))),"Other Services"))</f>
        <v/>
      </c>
    </row>
    <row r="2221" customFormat="false" ht="15" hidden="false" customHeight="false" outlineLevel="0" collapsed="false">
      <c r="E2221" s="41" t="str">
        <f aca="false">IF(D2221="","",IFERROR(VLOOKUP(D2221,Assumptions!$G$5:$H$16,2,0),"Other"))</f>
        <v/>
      </c>
      <c r="J2221" s="41" t="str">
        <f aca="false">IF(G2221="","",IFERROR(IF(ISNUMBER(SEARCH(Assumptions!$C$5,G2221)),Assumptions!$D$5,IF(ISNUMBER(SEARCH(Assumptions!$C$6,G2221)),Assumptions!$D$6,IF(ISNUMBER(SEARCH(Assumptions!$C$7,G2221)),Assumptions!$D$7,"Other Services"))),"Other Services"))</f>
        <v/>
      </c>
    </row>
    <row r="2222" customFormat="false" ht="15" hidden="false" customHeight="false" outlineLevel="0" collapsed="false">
      <c r="E2222" s="41" t="str">
        <f aca="false">IF(D2222="","",IFERROR(VLOOKUP(D2222,Assumptions!$G$5:$H$16,2,0),"Other"))</f>
        <v/>
      </c>
      <c r="J2222" s="41" t="str">
        <f aca="false">IF(G2222="","",IFERROR(IF(ISNUMBER(SEARCH(Assumptions!$C$5,G2222)),Assumptions!$D$5,IF(ISNUMBER(SEARCH(Assumptions!$C$6,G2222)),Assumptions!$D$6,IF(ISNUMBER(SEARCH(Assumptions!$C$7,G2222)),Assumptions!$D$7,"Other Services"))),"Other Services"))</f>
        <v/>
      </c>
    </row>
    <row r="2223" customFormat="false" ht="15" hidden="false" customHeight="false" outlineLevel="0" collapsed="false">
      <c r="E2223" s="41" t="str">
        <f aca="false">IF(D2223="","",IFERROR(VLOOKUP(D2223,Assumptions!$G$5:$H$16,2,0),"Other"))</f>
        <v/>
      </c>
      <c r="J2223" s="41" t="str">
        <f aca="false">IF(G2223="","",IFERROR(IF(ISNUMBER(SEARCH(Assumptions!$C$5,G2223)),Assumptions!$D$5,IF(ISNUMBER(SEARCH(Assumptions!$C$6,G2223)),Assumptions!$D$6,IF(ISNUMBER(SEARCH(Assumptions!$C$7,G2223)),Assumptions!$D$7,"Other Services"))),"Other Services"))</f>
        <v/>
      </c>
    </row>
    <row r="2224" customFormat="false" ht="15" hidden="false" customHeight="false" outlineLevel="0" collapsed="false">
      <c r="E2224" s="41" t="str">
        <f aca="false">IF(D2224="","",IFERROR(VLOOKUP(D2224,Assumptions!$G$5:$H$16,2,0),"Other"))</f>
        <v/>
      </c>
      <c r="J2224" s="41" t="str">
        <f aca="false">IF(G2224="","",IFERROR(IF(ISNUMBER(SEARCH(Assumptions!$C$5,G2224)),Assumptions!$D$5,IF(ISNUMBER(SEARCH(Assumptions!$C$6,G2224)),Assumptions!$D$6,IF(ISNUMBER(SEARCH(Assumptions!$C$7,G2224)),Assumptions!$D$7,"Other Services"))),"Other Services"))</f>
        <v/>
      </c>
    </row>
    <row r="2225" customFormat="false" ht="15" hidden="false" customHeight="false" outlineLevel="0" collapsed="false">
      <c r="E2225" s="41" t="str">
        <f aca="false">IF(D2225="","",IFERROR(VLOOKUP(D2225,Assumptions!$G$5:$H$16,2,0),"Other"))</f>
        <v/>
      </c>
      <c r="J2225" s="41" t="str">
        <f aca="false">IF(G2225="","",IFERROR(IF(ISNUMBER(SEARCH(Assumptions!$C$5,G2225)),Assumptions!$D$5,IF(ISNUMBER(SEARCH(Assumptions!$C$6,G2225)),Assumptions!$D$6,IF(ISNUMBER(SEARCH(Assumptions!$C$7,G2225)),Assumptions!$D$7,"Other Services"))),"Other Services"))</f>
        <v/>
      </c>
    </row>
    <row r="2226" customFormat="false" ht="15" hidden="false" customHeight="false" outlineLevel="0" collapsed="false">
      <c r="E2226" s="41" t="str">
        <f aca="false">IF(D2226="","",IFERROR(VLOOKUP(D2226,Assumptions!$G$5:$H$16,2,0),"Other"))</f>
        <v/>
      </c>
      <c r="J2226" s="41" t="str">
        <f aca="false">IF(G2226="","",IFERROR(IF(ISNUMBER(SEARCH(Assumptions!$C$5,G2226)),Assumptions!$D$5,IF(ISNUMBER(SEARCH(Assumptions!$C$6,G2226)),Assumptions!$D$6,IF(ISNUMBER(SEARCH(Assumptions!$C$7,G2226)),Assumptions!$D$7,"Other Services"))),"Other Services"))</f>
        <v/>
      </c>
    </row>
    <row r="2227" customFormat="false" ht="15" hidden="false" customHeight="false" outlineLevel="0" collapsed="false">
      <c r="E2227" s="41" t="str">
        <f aca="false">IF(D2227="","",IFERROR(VLOOKUP(D2227,Assumptions!$G$5:$H$16,2,0),"Other"))</f>
        <v/>
      </c>
      <c r="J2227" s="41" t="str">
        <f aca="false">IF(G2227="","",IFERROR(IF(ISNUMBER(SEARCH(Assumptions!$C$5,G2227)),Assumptions!$D$5,IF(ISNUMBER(SEARCH(Assumptions!$C$6,G2227)),Assumptions!$D$6,IF(ISNUMBER(SEARCH(Assumptions!$C$7,G2227)),Assumptions!$D$7,"Other Services"))),"Other Services"))</f>
        <v/>
      </c>
    </row>
    <row r="2228" customFormat="false" ht="15" hidden="false" customHeight="false" outlineLevel="0" collapsed="false">
      <c r="E2228" s="41" t="str">
        <f aca="false">IF(D2228="","",IFERROR(VLOOKUP(D2228,Assumptions!$G$5:$H$16,2,0),"Other"))</f>
        <v/>
      </c>
      <c r="J2228" s="41" t="str">
        <f aca="false">IF(G2228="","",IFERROR(IF(ISNUMBER(SEARCH(Assumptions!$C$5,G2228)),Assumptions!$D$5,IF(ISNUMBER(SEARCH(Assumptions!$C$6,G2228)),Assumptions!$D$6,IF(ISNUMBER(SEARCH(Assumptions!$C$7,G2228)),Assumptions!$D$7,"Other Services"))),"Other Services"))</f>
        <v/>
      </c>
    </row>
    <row r="2229" customFormat="false" ht="15" hidden="false" customHeight="false" outlineLevel="0" collapsed="false">
      <c r="E2229" s="41" t="str">
        <f aca="false">IF(D2229="","",IFERROR(VLOOKUP(D2229,Assumptions!$G$5:$H$16,2,0),"Other"))</f>
        <v/>
      </c>
      <c r="J2229" s="41" t="str">
        <f aca="false">IF(G2229="","",IFERROR(IF(ISNUMBER(SEARCH(Assumptions!$C$5,G2229)),Assumptions!$D$5,IF(ISNUMBER(SEARCH(Assumptions!$C$6,G2229)),Assumptions!$D$6,IF(ISNUMBER(SEARCH(Assumptions!$C$7,G2229)),Assumptions!$D$7,"Other Services"))),"Other Services"))</f>
        <v/>
      </c>
    </row>
    <row r="2230" customFormat="false" ht="15" hidden="false" customHeight="false" outlineLevel="0" collapsed="false">
      <c r="E2230" s="41" t="str">
        <f aca="false">IF(D2230="","",IFERROR(VLOOKUP(D2230,Assumptions!$G$5:$H$16,2,0),"Other"))</f>
        <v/>
      </c>
      <c r="J2230" s="41" t="str">
        <f aca="false">IF(G2230="","",IFERROR(IF(ISNUMBER(SEARCH(Assumptions!$C$5,G2230)),Assumptions!$D$5,IF(ISNUMBER(SEARCH(Assumptions!$C$6,G2230)),Assumptions!$D$6,IF(ISNUMBER(SEARCH(Assumptions!$C$7,G2230)),Assumptions!$D$7,"Other Services"))),"Other Services"))</f>
        <v/>
      </c>
    </row>
    <row r="2231" customFormat="false" ht="15" hidden="false" customHeight="false" outlineLevel="0" collapsed="false">
      <c r="E2231" s="41" t="str">
        <f aca="false">IF(D2231="","",IFERROR(VLOOKUP(D2231,Assumptions!$G$5:$H$16,2,0),"Other"))</f>
        <v/>
      </c>
      <c r="J2231" s="41" t="str">
        <f aca="false">IF(G2231="","",IFERROR(IF(ISNUMBER(SEARCH(Assumptions!$C$5,G2231)),Assumptions!$D$5,IF(ISNUMBER(SEARCH(Assumptions!$C$6,G2231)),Assumptions!$D$6,IF(ISNUMBER(SEARCH(Assumptions!$C$7,G2231)),Assumptions!$D$7,"Other Services"))),"Other Services"))</f>
        <v/>
      </c>
    </row>
    <row r="2232" customFormat="false" ht="15" hidden="false" customHeight="false" outlineLevel="0" collapsed="false">
      <c r="E2232" s="41" t="str">
        <f aca="false">IF(D2232="","",IFERROR(VLOOKUP(D2232,Assumptions!$G$5:$H$16,2,0),"Other"))</f>
        <v/>
      </c>
      <c r="J2232" s="41" t="str">
        <f aca="false">IF(G2232="","",IFERROR(IF(ISNUMBER(SEARCH(Assumptions!$C$5,G2232)),Assumptions!$D$5,IF(ISNUMBER(SEARCH(Assumptions!$C$6,G2232)),Assumptions!$D$6,IF(ISNUMBER(SEARCH(Assumptions!$C$7,G2232)),Assumptions!$D$7,"Other Services"))),"Other Services"))</f>
        <v/>
      </c>
    </row>
    <row r="2233" customFormat="false" ht="15" hidden="false" customHeight="false" outlineLevel="0" collapsed="false">
      <c r="E2233" s="41" t="str">
        <f aca="false">IF(D2233="","",IFERROR(VLOOKUP(D2233,Assumptions!$G$5:$H$16,2,0),"Other"))</f>
        <v/>
      </c>
      <c r="J2233" s="41" t="str">
        <f aca="false">IF(G2233="","",IFERROR(IF(ISNUMBER(SEARCH(Assumptions!$C$5,G2233)),Assumptions!$D$5,IF(ISNUMBER(SEARCH(Assumptions!$C$6,G2233)),Assumptions!$D$6,IF(ISNUMBER(SEARCH(Assumptions!$C$7,G2233)),Assumptions!$D$7,"Other Services"))),"Other Services"))</f>
        <v/>
      </c>
    </row>
    <row r="2234" customFormat="false" ht="15" hidden="false" customHeight="false" outlineLevel="0" collapsed="false">
      <c r="E2234" s="41" t="str">
        <f aca="false">IF(D2234="","",IFERROR(VLOOKUP(D2234,Assumptions!$G$5:$H$16,2,0),"Other"))</f>
        <v/>
      </c>
      <c r="J2234" s="41" t="str">
        <f aca="false">IF(G2234="","",IFERROR(IF(ISNUMBER(SEARCH(Assumptions!$C$5,G2234)),Assumptions!$D$5,IF(ISNUMBER(SEARCH(Assumptions!$C$6,G2234)),Assumptions!$D$6,IF(ISNUMBER(SEARCH(Assumptions!$C$7,G2234)),Assumptions!$D$7,"Other Services"))),"Other Services"))</f>
        <v/>
      </c>
    </row>
    <row r="2235" customFormat="false" ht="15" hidden="false" customHeight="false" outlineLevel="0" collapsed="false">
      <c r="E2235" s="41" t="str">
        <f aca="false">IF(D2235="","",IFERROR(VLOOKUP(D2235,Assumptions!$G$5:$H$16,2,0),"Other"))</f>
        <v/>
      </c>
      <c r="J2235" s="41" t="str">
        <f aca="false">IF(G2235="","",IFERROR(IF(ISNUMBER(SEARCH(Assumptions!$C$5,G2235)),Assumptions!$D$5,IF(ISNUMBER(SEARCH(Assumptions!$C$6,G2235)),Assumptions!$D$6,IF(ISNUMBER(SEARCH(Assumptions!$C$7,G2235)),Assumptions!$D$7,"Other Services"))),"Other Services"))</f>
        <v/>
      </c>
    </row>
    <row r="2236" customFormat="false" ht="15" hidden="false" customHeight="false" outlineLevel="0" collapsed="false">
      <c r="E2236" s="41" t="str">
        <f aca="false">IF(D2236="","",IFERROR(VLOOKUP(D2236,Assumptions!$G$5:$H$16,2,0),"Other"))</f>
        <v/>
      </c>
      <c r="J2236" s="41" t="str">
        <f aca="false">IF(G2236="","",IFERROR(IF(ISNUMBER(SEARCH(Assumptions!$C$5,G2236)),Assumptions!$D$5,IF(ISNUMBER(SEARCH(Assumptions!$C$6,G2236)),Assumptions!$D$6,IF(ISNUMBER(SEARCH(Assumptions!$C$7,G2236)),Assumptions!$D$7,"Other Services"))),"Other Services"))</f>
        <v/>
      </c>
    </row>
    <row r="2237" customFormat="false" ht="15" hidden="false" customHeight="false" outlineLevel="0" collapsed="false">
      <c r="E2237" s="41" t="str">
        <f aca="false">IF(D2237="","",IFERROR(VLOOKUP(D2237,Assumptions!$G$5:$H$16,2,0),"Other"))</f>
        <v/>
      </c>
      <c r="J2237" s="41" t="str">
        <f aca="false">IF(G2237="","",IFERROR(IF(ISNUMBER(SEARCH(Assumptions!$C$5,G2237)),Assumptions!$D$5,IF(ISNUMBER(SEARCH(Assumptions!$C$6,G2237)),Assumptions!$D$6,IF(ISNUMBER(SEARCH(Assumptions!$C$7,G2237)),Assumptions!$D$7,"Other Services"))),"Other Services"))</f>
        <v/>
      </c>
    </row>
    <row r="2238" customFormat="false" ht="15" hidden="false" customHeight="false" outlineLevel="0" collapsed="false">
      <c r="E2238" s="41" t="str">
        <f aca="false">IF(D2238="","",IFERROR(VLOOKUP(D2238,Assumptions!$G$5:$H$16,2,0),"Other"))</f>
        <v/>
      </c>
      <c r="J2238" s="41" t="str">
        <f aca="false">IF(G2238="","",IFERROR(IF(ISNUMBER(SEARCH(Assumptions!$C$5,G2238)),Assumptions!$D$5,IF(ISNUMBER(SEARCH(Assumptions!$C$6,G2238)),Assumptions!$D$6,IF(ISNUMBER(SEARCH(Assumptions!$C$7,G2238)),Assumptions!$D$7,"Other Services"))),"Other Services"))</f>
        <v/>
      </c>
    </row>
    <row r="2239" customFormat="false" ht="15" hidden="false" customHeight="false" outlineLevel="0" collapsed="false">
      <c r="E2239" s="41" t="str">
        <f aca="false">IF(D2239="","",IFERROR(VLOOKUP(D2239,Assumptions!$G$5:$H$16,2,0),"Other"))</f>
        <v/>
      </c>
      <c r="J2239" s="41" t="str">
        <f aca="false">IF(G2239="","",IFERROR(IF(ISNUMBER(SEARCH(Assumptions!$C$5,G2239)),Assumptions!$D$5,IF(ISNUMBER(SEARCH(Assumptions!$C$6,G2239)),Assumptions!$D$6,IF(ISNUMBER(SEARCH(Assumptions!$C$7,G2239)),Assumptions!$D$7,"Other Services"))),"Other Services"))</f>
        <v/>
      </c>
    </row>
    <row r="2240" customFormat="false" ht="15" hidden="false" customHeight="false" outlineLevel="0" collapsed="false">
      <c r="E2240" s="41" t="str">
        <f aca="false">IF(D2240="","",IFERROR(VLOOKUP(D2240,Assumptions!$G$5:$H$16,2,0),"Other"))</f>
        <v/>
      </c>
      <c r="J2240" s="41" t="str">
        <f aca="false">IF(G2240="","",IFERROR(IF(ISNUMBER(SEARCH(Assumptions!$C$5,G2240)),Assumptions!$D$5,IF(ISNUMBER(SEARCH(Assumptions!$C$6,G2240)),Assumptions!$D$6,IF(ISNUMBER(SEARCH(Assumptions!$C$7,G2240)),Assumptions!$D$7,"Other Services"))),"Other Services"))</f>
        <v/>
      </c>
    </row>
    <row r="2241" customFormat="false" ht="15" hidden="false" customHeight="false" outlineLevel="0" collapsed="false">
      <c r="E2241" s="41" t="str">
        <f aca="false">IF(D2241="","",IFERROR(VLOOKUP(D2241,Assumptions!$G$5:$H$16,2,0),"Other"))</f>
        <v/>
      </c>
      <c r="J2241" s="41" t="str">
        <f aca="false">IF(G2241="","",IFERROR(IF(ISNUMBER(SEARCH(Assumptions!$C$5,G2241)),Assumptions!$D$5,IF(ISNUMBER(SEARCH(Assumptions!$C$6,G2241)),Assumptions!$D$6,IF(ISNUMBER(SEARCH(Assumptions!$C$7,G2241)),Assumptions!$D$7,"Other Services"))),"Other Services"))</f>
        <v/>
      </c>
    </row>
    <row r="2242" customFormat="false" ht="15" hidden="false" customHeight="false" outlineLevel="0" collapsed="false">
      <c r="E2242" s="41" t="str">
        <f aca="false">IF(D2242="","",IFERROR(VLOOKUP(D2242,Assumptions!$G$5:$H$16,2,0),"Other"))</f>
        <v/>
      </c>
      <c r="J2242" s="41" t="str">
        <f aca="false">IF(G2242="","",IFERROR(IF(ISNUMBER(SEARCH(Assumptions!$C$5,G2242)),Assumptions!$D$5,IF(ISNUMBER(SEARCH(Assumptions!$C$6,G2242)),Assumptions!$D$6,IF(ISNUMBER(SEARCH(Assumptions!$C$7,G2242)),Assumptions!$D$7,"Other Services"))),"Other Services"))</f>
        <v/>
      </c>
    </row>
    <row r="2243" customFormat="false" ht="15" hidden="false" customHeight="false" outlineLevel="0" collapsed="false">
      <c r="E2243" s="41" t="str">
        <f aca="false">IF(D2243="","",IFERROR(VLOOKUP(D2243,Assumptions!$G$5:$H$16,2,0),"Other"))</f>
        <v/>
      </c>
      <c r="J2243" s="41" t="str">
        <f aca="false">IF(G2243="","",IFERROR(IF(ISNUMBER(SEARCH(Assumptions!$C$5,G2243)),Assumptions!$D$5,IF(ISNUMBER(SEARCH(Assumptions!$C$6,G2243)),Assumptions!$D$6,IF(ISNUMBER(SEARCH(Assumptions!$C$7,G2243)),Assumptions!$D$7,"Other Services"))),"Other Services"))</f>
        <v/>
      </c>
    </row>
    <row r="2244" customFormat="false" ht="15" hidden="false" customHeight="false" outlineLevel="0" collapsed="false">
      <c r="E2244" s="41" t="str">
        <f aca="false">IF(D2244="","",IFERROR(VLOOKUP(D2244,Assumptions!$G$5:$H$16,2,0),"Other"))</f>
        <v/>
      </c>
      <c r="J2244" s="41" t="str">
        <f aca="false">IF(G2244="","",IFERROR(IF(ISNUMBER(SEARCH(Assumptions!$C$5,G2244)),Assumptions!$D$5,IF(ISNUMBER(SEARCH(Assumptions!$C$6,G2244)),Assumptions!$D$6,IF(ISNUMBER(SEARCH(Assumptions!$C$7,G2244)),Assumptions!$D$7,"Other Services"))),"Other Services"))</f>
        <v/>
      </c>
    </row>
    <row r="2245" customFormat="false" ht="15" hidden="false" customHeight="false" outlineLevel="0" collapsed="false">
      <c r="E2245" s="41" t="str">
        <f aca="false">IF(D2245="","",IFERROR(VLOOKUP(D2245,Assumptions!$G$5:$H$16,2,0),"Other"))</f>
        <v/>
      </c>
      <c r="J2245" s="41" t="str">
        <f aca="false">IF(G2245="","",IFERROR(IF(ISNUMBER(SEARCH(Assumptions!$C$5,G2245)),Assumptions!$D$5,IF(ISNUMBER(SEARCH(Assumptions!$C$6,G2245)),Assumptions!$D$6,IF(ISNUMBER(SEARCH(Assumptions!$C$7,G2245)),Assumptions!$D$7,"Other Services"))),"Other Services"))</f>
        <v/>
      </c>
    </row>
    <row r="2246" customFormat="false" ht="15" hidden="false" customHeight="false" outlineLevel="0" collapsed="false">
      <c r="E2246" s="41" t="str">
        <f aca="false">IF(D2246="","",IFERROR(VLOOKUP(D2246,Assumptions!$G$5:$H$16,2,0),"Other"))</f>
        <v/>
      </c>
      <c r="J2246" s="41" t="str">
        <f aca="false">IF(G2246="","",IFERROR(IF(ISNUMBER(SEARCH(Assumptions!$C$5,G2246)),Assumptions!$D$5,IF(ISNUMBER(SEARCH(Assumptions!$C$6,G2246)),Assumptions!$D$6,IF(ISNUMBER(SEARCH(Assumptions!$C$7,G2246)),Assumptions!$D$7,"Other Services"))),"Other Services"))</f>
        <v/>
      </c>
    </row>
    <row r="2247" customFormat="false" ht="15" hidden="false" customHeight="false" outlineLevel="0" collapsed="false">
      <c r="E2247" s="41" t="str">
        <f aca="false">IF(D2247="","",IFERROR(VLOOKUP(D2247,Assumptions!$G$5:$H$16,2,0),"Other"))</f>
        <v/>
      </c>
      <c r="J2247" s="41" t="str">
        <f aca="false">IF(G2247="","",IFERROR(IF(ISNUMBER(SEARCH(Assumptions!$C$5,G2247)),Assumptions!$D$5,IF(ISNUMBER(SEARCH(Assumptions!$C$6,G2247)),Assumptions!$D$6,IF(ISNUMBER(SEARCH(Assumptions!$C$7,G2247)),Assumptions!$D$7,"Other Services"))),"Other Services"))</f>
        <v/>
      </c>
    </row>
    <row r="2248" customFormat="false" ht="15" hidden="false" customHeight="false" outlineLevel="0" collapsed="false">
      <c r="E2248" s="41" t="str">
        <f aca="false">IF(D2248="","",IFERROR(VLOOKUP(D2248,Assumptions!$G$5:$H$16,2,0),"Other"))</f>
        <v/>
      </c>
      <c r="J2248" s="41" t="str">
        <f aca="false">IF(G2248="","",IFERROR(IF(ISNUMBER(SEARCH(Assumptions!$C$5,G2248)),Assumptions!$D$5,IF(ISNUMBER(SEARCH(Assumptions!$C$6,G2248)),Assumptions!$D$6,IF(ISNUMBER(SEARCH(Assumptions!$C$7,G2248)),Assumptions!$D$7,"Other Services"))),"Other Services"))</f>
        <v/>
      </c>
    </row>
    <row r="2249" customFormat="false" ht="15" hidden="false" customHeight="false" outlineLevel="0" collapsed="false">
      <c r="E2249" s="41" t="str">
        <f aca="false">IF(D2249="","",IFERROR(VLOOKUP(D2249,Assumptions!$G$5:$H$16,2,0),"Other"))</f>
        <v/>
      </c>
      <c r="J2249" s="41" t="str">
        <f aca="false">IF(G2249="","",IFERROR(IF(ISNUMBER(SEARCH(Assumptions!$C$5,G2249)),Assumptions!$D$5,IF(ISNUMBER(SEARCH(Assumptions!$C$6,G2249)),Assumptions!$D$6,IF(ISNUMBER(SEARCH(Assumptions!$C$7,G2249)),Assumptions!$D$7,"Other Services"))),"Other Services"))</f>
        <v/>
      </c>
    </row>
    <row r="2250" customFormat="false" ht="15" hidden="false" customHeight="false" outlineLevel="0" collapsed="false">
      <c r="E2250" s="41" t="str">
        <f aca="false">IF(D2250="","",IFERROR(VLOOKUP(D2250,Assumptions!$G$5:$H$16,2,0),"Other"))</f>
        <v/>
      </c>
      <c r="J2250" s="41" t="str">
        <f aca="false">IF(G2250="","",IFERROR(IF(ISNUMBER(SEARCH(Assumptions!$C$5,G2250)),Assumptions!$D$5,IF(ISNUMBER(SEARCH(Assumptions!$C$6,G2250)),Assumptions!$D$6,IF(ISNUMBER(SEARCH(Assumptions!$C$7,G2250)),Assumptions!$D$7,"Other Services"))),"Other Services"))</f>
        <v/>
      </c>
    </row>
    <row r="2251" customFormat="false" ht="15" hidden="false" customHeight="false" outlineLevel="0" collapsed="false">
      <c r="E2251" s="41" t="str">
        <f aca="false">IF(D2251="","",IFERROR(VLOOKUP(D2251,Assumptions!$G$5:$H$16,2,0),"Other"))</f>
        <v/>
      </c>
      <c r="J2251" s="41" t="str">
        <f aca="false">IF(G2251="","",IFERROR(IF(ISNUMBER(SEARCH(Assumptions!$C$5,G2251)),Assumptions!$D$5,IF(ISNUMBER(SEARCH(Assumptions!$C$6,G2251)),Assumptions!$D$6,IF(ISNUMBER(SEARCH(Assumptions!$C$7,G2251)),Assumptions!$D$7,"Other Services"))),"Other Services"))</f>
        <v/>
      </c>
    </row>
    <row r="2252" customFormat="false" ht="15" hidden="false" customHeight="false" outlineLevel="0" collapsed="false">
      <c r="E2252" s="41" t="str">
        <f aca="false">IF(D2252="","",IFERROR(VLOOKUP(D2252,Assumptions!$G$5:$H$16,2,0),"Other"))</f>
        <v/>
      </c>
      <c r="J2252" s="41" t="str">
        <f aca="false">IF(G2252="","",IFERROR(IF(ISNUMBER(SEARCH(Assumptions!$C$5,G2252)),Assumptions!$D$5,IF(ISNUMBER(SEARCH(Assumptions!$C$6,G2252)),Assumptions!$D$6,IF(ISNUMBER(SEARCH(Assumptions!$C$7,G2252)),Assumptions!$D$7,"Other Services"))),"Other Services"))</f>
        <v/>
      </c>
    </row>
    <row r="2253" customFormat="false" ht="15" hidden="false" customHeight="false" outlineLevel="0" collapsed="false">
      <c r="E2253" s="41" t="str">
        <f aca="false">IF(D2253="","",IFERROR(VLOOKUP(D2253,Assumptions!$G$5:$H$16,2,0),"Other"))</f>
        <v/>
      </c>
      <c r="J2253" s="41" t="str">
        <f aca="false">IF(G2253="","",IFERROR(IF(ISNUMBER(SEARCH(Assumptions!$C$5,G2253)),Assumptions!$D$5,IF(ISNUMBER(SEARCH(Assumptions!$C$6,G2253)),Assumptions!$D$6,IF(ISNUMBER(SEARCH(Assumptions!$C$7,G2253)),Assumptions!$D$7,"Other Services"))),"Other Services"))</f>
        <v/>
      </c>
    </row>
    <row r="2254" customFormat="false" ht="15" hidden="false" customHeight="false" outlineLevel="0" collapsed="false">
      <c r="E2254" s="41" t="str">
        <f aca="false">IF(D2254="","",IFERROR(VLOOKUP(D2254,Assumptions!$G$5:$H$16,2,0),"Other"))</f>
        <v/>
      </c>
      <c r="J2254" s="41" t="str">
        <f aca="false">IF(G2254="","",IFERROR(IF(ISNUMBER(SEARCH(Assumptions!$C$5,G2254)),Assumptions!$D$5,IF(ISNUMBER(SEARCH(Assumptions!$C$6,G2254)),Assumptions!$D$6,IF(ISNUMBER(SEARCH(Assumptions!$C$7,G2254)),Assumptions!$D$7,"Other Services"))),"Other Services"))</f>
        <v/>
      </c>
    </row>
    <row r="2255" customFormat="false" ht="15" hidden="false" customHeight="false" outlineLevel="0" collapsed="false">
      <c r="E2255" s="41" t="str">
        <f aca="false">IF(D2255="","",IFERROR(VLOOKUP(D2255,Assumptions!$G$5:$H$16,2,0),"Other"))</f>
        <v/>
      </c>
      <c r="J2255" s="41" t="str">
        <f aca="false">IF(G2255="","",IFERROR(IF(ISNUMBER(SEARCH(Assumptions!$C$5,G2255)),Assumptions!$D$5,IF(ISNUMBER(SEARCH(Assumptions!$C$6,G2255)),Assumptions!$D$6,IF(ISNUMBER(SEARCH(Assumptions!$C$7,G2255)),Assumptions!$D$7,"Other Services"))),"Other Services"))</f>
        <v/>
      </c>
    </row>
    <row r="2256" customFormat="false" ht="15" hidden="false" customHeight="false" outlineLevel="0" collapsed="false">
      <c r="E2256" s="41" t="str">
        <f aca="false">IF(D2256="","",IFERROR(VLOOKUP(D2256,Assumptions!$G$5:$H$16,2,0),"Other"))</f>
        <v/>
      </c>
      <c r="J2256" s="41" t="str">
        <f aca="false">IF(G2256="","",IFERROR(IF(ISNUMBER(SEARCH(Assumptions!$C$5,G2256)),Assumptions!$D$5,IF(ISNUMBER(SEARCH(Assumptions!$C$6,G2256)),Assumptions!$D$6,IF(ISNUMBER(SEARCH(Assumptions!$C$7,G2256)),Assumptions!$D$7,"Other Services"))),"Other Services"))</f>
        <v/>
      </c>
    </row>
    <row r="2257" customFormat="false" ht="15" hidden="false" customHeight="false" outlineLevel="0" collapsed="false">
      <c r="E2257" s="41" t="str">
        <f aca="false">IF(D2257="","",IFERROR(VLOOKUP(D2257,Assumptions!$G$5:$H$16,2,0),"Other"))</f>
        <v/>
      </c>
      <c r="J2257" s="41" t="str">
        <f aca="false">IF(G2257="","",IFERROR(IF(ISNUMBER(SEARCH(Assumptions!$C$5,G2257)),Assumptions!$D$5,IF(ISNUMBER(SEARCH(Assumptions!$C$6,G2257)),Assumptions!$D$6,IF(ISNUMBER(SEARCH(Assumptions!$C$7,G2257)),Assumptions!$D$7,"Other Services"))),"Other Services"))</f>
        <v/>
      </c>
    </row>
    <row r="2258" customFormat="false" ht="15" hidden="false" customHeight="false" outlineLevel="0" collapsed="false">
      <c r="E2258" s="41" t="str">
        <f aca="false">IF(D2258="","",IFERROR(VLOOKUP(D2258,Assumptions!$G$5:$H$16,2,0),"Other"))</f>
        <v/>
      </c>
      <c r="J2258" s="41" t="str">
        <f aca="false">IF(G2258="","",IFERROR(IF(ISNUMBER(SEARCH(Assumptions!$C$5,G2258)),Assumptions!$D$5,IF(ISNUMBER(SEARCH(Assumptions!$C$6,G2258)),Assumptions!$D$6,IF(ISNUMBER(SEARCH(Assumptions!$C$7,G2258)),Assumptions!$D$7,"Other Services"))),"Other Services"))</f>
        <v/>
      </c>
    </row>
    <row r="2259" customFormat="false" ht="15" hidden="false" customHeight="false" outlineLevel="0" collapsed="false">
      <c r="E2259" s="41" t="str">
        <f aca="false">IF(D2259="","",IFERROR(VLOOKUP(D2259,Assumptions!$G$5:$H$16,2,0),"Other"))</f>
        <v/>
      </c>
      <c r="J2259" s="41" t="str">
        <f aca="false">IF(G2259="","",IFERROR(IF(ISNUMBER(SEARCH(Assumptions!$C$5,G2259)),Assumptions!$D$5,IF(ISNUMBER(SEARCH(Assumptions!$C$6,G2259)),Assumptions!$D$6,IF(ISNUMBER(SEARCH(Assumptions!$C$7,G2259)),Assumptions!$D$7,"Other Services"))),"Other Services"))</f>
        <v/>
      </c>
    </row>
    <row r="2260" customFormat="false" ht="15" hidden="false" customHeight="false" outlineLevel="0" collapsed="false">
      <c r="E2260" s="41" t="str">
        <f aca="false">IF(D2260="","",IFERROR(VLOOKUP(D2260,Assumptions!$G$5:$H$16,2,0),"Other"))</f>
        <v/>
      </c>
      <c r="J2260" s="41" t="str">
        <f aca="false">IF(G2260="","",IFERROR(IF(ISNUMBER(SEARCH(Assumptions!$C$5,G2260)),Assumptions!$D$5,IF(ISNUMBER(SEARCH(Assumptions!$C$6,G2260)),Assumptions!$D$6,IF(ISNUMBER(SEARCH(Assumptions!$C$7,G2260)),Assumptions!$D$7,"Other Services"))),"Other Services"))</f>
        <v/>
      </c>
    </row>
    <row r="2261" customFormat="false" ht="15" hidden="false" customHeight="false" outlineLevel="0" collapsed="false">
      <c r="E2261" s="41" t="str">
        <f aca="false">IF(D2261="","",IFERROR(VLOOKUP(D2261,Assumptions!$G$5:$H$16,2,0),"Other"))</f>
        <v/>
      </c>
      <c r="J2261" s="41" t="str">
        <f aca="false">IF(G2261="","",IFERROR(IF(ISNUMBER(SEARCH(Assumptions!$C$5,G2261)),Assumptions!$D$5,IF(ISNUMBER(SEARCH(Assumptions!$C$6,G2261)),Assumptions!$D$6,IF(ISNUMBER(SEARCH(Assumptions!$C$7,G2261)),Assumptions!$D$7,"Other Services"))),"Other Services"))</f>
        <v/>
      </c>
    </row>
    <row r="2262" customFormat="false" ht="15" hidden="false" customHeight="false" outlineLevel="0" collapsed="false">
      <c r="E2262" s="41" t="str">
        <f aca="false">IF(D2262="","",IFERROR(VLOOKUP(D2262,Assumptions!$G$5:$H$16,2,0),"Other"))</f>
        <v/>
      </c>
      <c r="J2262" s="41" t="str">
        <f aca="false">IF(G2262="","",IFERROR(IF(ISNUMBER(SEARCH(Assumptions!$C$5,G2262)),Assumptions!$D$5,IF(ISNUMBER(SEARCH(Assumptions!$C$6,G2262)),Assumptions!$D$6,IF(ISNUMBER(SEARCH(Assumptions!$C$7,G2262)),Assumptions!$D$7,"Other Services"))),"Other Services"))</f>
        <v/>
      </c>
    </row>
    <row r="2263" customFormat="false" ht="15" hidden="false" customHeight="false" outlineLevel="0" collapsed="false">
      <c r="E2263" s="41" t="str">
        <f aca="false">IF(D2263="","",IFERROR(VLOOKUP(D2263,Assumptions!$G$5:$H$16,2,0),"Other"))</f>
        <v/>
      </c>
      <c r="J2263" s="41" t="str">
        <f aca="false">IF(G2263="","",IFERROR(IF(ISNUMBER(SEARCH(Assumptions!$C$5,G2263)),Assumptions!$D$5,IF(ISNUMBER(SEARCH(Assumptions!$C$6,G2263)),Assumptions!$D$6,IF(ISNUMBER(SEARCH(Assumptions!$C$7,G2263)),Assumptions!$D$7,"Other Services"))),"Other Services"))</f>
        <v/>
      </c>
    </row>
    <row r="2264" customFormat="false" ht="15" hidden="false" customHeight="false" outlineLevel="0" collapsed="false">
      <c r="E2264" s="41" t="str">
        <f aca="false">IF(D2264="","",IFERROR(VLOOKUP(D2264,Assumptions!$G$5:$H$16,2,0),"Other"))</f>
        <v/>
      </c>
      <c r="J2264" s="41" t="str">
        <f aca="false">IF(G2264="","",IFERROR(IF(ISNUMBER(SEARCH(Assumptions!$C$5,G2264)),Assumptions!$D$5,IF(ISNUMBER(SEARCH(Assumptions!$C$6,G2264)),Assumptions!$D$6,IF(ISNUMBER(SEARCH(Assumptions!$C$7,G2264)),Assumptions!$D$7,"Other Services"))),"Other Services"))</f>
        <v/>
      </c>
    </row>
    <row r="2265" customFormat="false" ht="15" hidden="false" customHeight="false" outlineLevel="0" collapsed="false">
      <c r="E2265" s="41" t="str">
        <f aca="false">IF(D2265="","",IFERROR(VLOOKUP(D2265,Assumptions!$G$5:$H$16,2,0),"Other"))</f>
        <v/>
      </c>
      <c r="J2265" s="41" t="str">
        <f aca="false">IF(G2265="","",IFERROR(IF(ISNUMBER(SEARCH(Assumptions!$C$5,G2265)),Assumptions!$D$5,IF(ISNUMBER(SEARCH(Assumptions!$C$6,G2265)),Assumptions!$D$6,IF(ISNUMBER(SEARCH(Assumptions!$C$7,G2265)),Assumptions!$D$7,"Other Services"))),"Other Services"))</f>
        <v/>
      </c>
    </row>
    <row r="2266" customFormat="false" ht="15" hidden="false" customHeight="false" outlineLevel="0" collapsed="false">
      <c r="E2266" s="41" t="str">
        <f aca="false">IF(D2266="","",IFERROR(VLOOKUP(D2266,Assumptions!$G$5:$H$16,2,0),"Other"))</f>
        <v/>
      </c>
      <c r="J2266" s="41" t="str">
        <f aca="false">IF(G2266="","",IFERROR(IF(ISNUMBER(SEARCH(Assumptions!$C$5,G2266)),Assumptions!$D$5,IF(ISNUMBER(SEARCH(Assumptions!$C$6,G2266)),Assumptions!$D$6,IF(ISNUMBER(SEARCH(Assumptions!$C$7,G2266)),Assumptions!$D$7,"Other Services"))),"Other Services"))</f>
        <v/>
      </c>
    </row>
    <row r="2267" customFormat="false" ht="15" hidden="false" customHeight="false" outlineLevel="0" collapsed="false">
      <c r="E2267" s="41" t="str">
        <f aca="false">IF(D2267="","",IFERROR(VLOOKUP(D2267,Assumptions!$G$5:$H$16,2,0),"Other"))</f>
        <v/>
      </c>
      <c r="J2267" s="41" t="str">
        <f aca="false">IF(G2267="","",IFERROR(IF(ISNUMBER(SEARCH(Assumptions!$C$5,G2267)),Assumptions!$D$5,IF(ISNUMBER(SEARCH(Assumptions!$C$6,G2267)),Assumptions!$D$6,IF(ISNUMBER(SEARCH(Assumptions!$C$7,G2267)),Assumptions!$D$7,"Other Services"))),"Other Services"))</f>
        <v/>
      </c>
    </row>
    <row r="2268" customFormat="false" ht="15" hidden="false" customHeight="false" outlineLevel="0" collapsed="false">
      <c r="E2268" s="41" t="str">
        <f aca="false">IF(D2268="","",IFERROR(VLOOKUP(D2268,Assumptions!$G$5:$H$16,2,0),"Other"))</f>
        <v/>
      </c>
      <c r="J2268" s="41" t="str">
        <f aca="false">IF(G2268="","",IFERROR(IF(ISNUMBER(SEARCH(Assumptions!$C$5,G2268)),Assumptions!$D$5,IF(ISNUMBER(SEARCH(Assumptions!$C$6,G2268)),Assumptions!$D$6,IF(ISNUMBER(SEARCH(Assumptions!$C$7,G2268)),Assumptions!$D$7,"Other Services"))),"Other Services"))</f>
        <v/>
      </c>
    </row>
    <row r="2269" customFormat="false" ht="15" hidden="false" customHeight="false" outlineLevel="0" collapsed="false">
      <c r="E2269" s="41" t="str">
        <f aca="false">IF(D2269="","",IFERROR(VLOOKUP(D2269,Assumptions!$G$5:$H$16,2,0),"Other"))</f>
        <v/>
      </c>
      <c r="J2269" s="41" t="str">
        <f aca="false">IF(G2269="","",IFERROR(IF(ISNUMBER(SEARCH(Assumptions!$C$5,G2269)),Assumptions!$D$5,IF(ISNUMBER(SEARCH(Assumptions!$C$6,G2269)),Assumptions!$D$6,IF(ISNUMBER(SEARCH(Assumptions!$C$7,G2269)),Assumptions!$D$7,"Other Services"))),"Other Services"))</f>
        <v/>
      </c>
    </row>
    <row r="2270" customFormat="false" ht="15" hidden="false" customHeight="false" outlineLevel="0" collapsed="false">
      <c r="E2270" s="41" t="str">
        <f aca="false">IF(D2270="","",IFERROR(VLOOKUP(D2270,Assumptions!$G$5:$H$16,2,0),"Other"))</f>
        <v/>
      </c>
      <c r="J2270" s="41" t="str">
        <f aca="false">IF(G2270="","",IFERROR(IF(ISNUMBER(SEARCH(Assumptions!$C$5,G2270)),Assumptions!$D$5,IF(ISNUMBER(SEARCH(Assumptions!$C$6,G2270)),Assumptions!$D$6,IF(ISNUMBER(SEARCH(Assumptions!$C$7,G2270)),Assumptions!$D$7,"Other Services"))),"Other Services"))</f>
        <v/>
      </c>
    </row>
    <row r="2271" customFormat="false" ht="15" hidden="false" customHeight="false" outlineLevel="0" collapsed="false">
      <c r="E2271" s="41" t="str">
        <f aca="false">IF(D2271="","",IFERROR(VLOOKUP(D2271,Assumptions!$G$5:$H$16,2,0),"Other"))</f>
        <v/>
      </c>
      <c r="J2271" s="41" t="str">
        <f aca="false">IF(G2271="","",IFERROR(IF(ISNUMBER(SEARCH(Assumptions!$C$5,G2271)),Assumptions!$D$5,IF(ISNUMBER(SEARCH(Assumptions!$C$6,G2271)),Assumptions!$D$6,IF(ISNUMBER(SEARCH(Assumptions!$C$7,G2271)),Assumptions!$D$7,"Other Services"))),"Other Services"))</f>
        <v/>
      </c>
    </row>
    <row r="2272" customFormat="false" ht="15" hidden="false" customHeight="false" outlineLevel="0" collapsed="false">
      <c r="E2272" s="41" t="str">
        <f aca="false">IF(D2272="","",IFERROR(VLOOKUP(D2272,Assumptions!$G$5:$H$16,2,0),"Other"))</f>
        <v/>
      </c>
      <c r="J2272" s="41" t="str">
        <f aca="false">IF(G2272="","",IFERROR(IF(ISNUMBER(SEARCH(Assumptions!$C$5,G2272)),Assumptions!$D$5,IF(ISNUMBER(SEARCH(Assumptions!$C$6,G2272)),Assumptions!$D$6,IF(ISNUMBER(SEARCH(Assumptions!$C$7,G2272)),Assumptions!$D$7,"Other Services"))),"Other Services"))</f>
        <v/>
      </c>
    </row>
    <row r="2273" customFormat="false" ht="15" hidden="false" customHeight="false" outlineLevel="0" collapsed="false">
      <c r="E2273" s="41" t="str">
        <f aca="false">IF(D2273="","",IFERROR(VLOOKUP(D2273,Assumptions!$G$5:$H$16,2,0),"Other"))</f>
        <v/>
      </c>
      <c r="J2273" s="41" t="str">
        <f aca="false">IF(G2273="","",IFERROR(IF(ISNUMBER(SEARCH(Assumptions!$C$5,G2273)),Assumptions!$D$5,IF(ISNUMBER(SEARCH(Assumptions!$C$6,G2273)),Assumptions!$D$6,IF(ISNUMBER(SEARCH(Assumptions!$C$7,G2273)),Assumptions!$D$7,"Other Services"))),"Other Services"))</f>
        <v/>
      </c>
    </row>
    <row r="2274" customFormat="false" ht="15" hidden="false" customHeight="false" outlineLevel="0" collapsed="false">
      <c r="E2274" s="41" t="str">
        <f aca="false">IF(D2274="","",IFERROR(VLOOKUP(D2274,Assumptions!$G$5:$H$16,2,0),"Other"))</f>
        <v/>
      </c>
      <c r="J2274" s="41" t="str">
        <f aca="false">IF(G2274="","",IFERROR(IF(ISNUMBER(SEARCH(Assumptions!$C$5,G2274)),Assumptions!$D$5,IF(ISNUMBER(SEARCH(Assumptions!$C$6,G2274)),Assumptions!$D$6,IF(ISNUMBER(SEARCH(Assumptions!$C$7,G2274)),Assumptions!$D$7,"Other Services"))),"Other Services"))</f>
        <v/>
      </c>
    </row>
    <row r="2275" customFormat="false" ht="15" hidden="false" customHeight="false" outlineLevel="0" collapsed="false">
      <c r="E2275" s="41" t="str">
        <f aca="false">IF(D2275="","",IFERROR(VLOOKUP(D2275,Assumptions!$G$5:$H$16,2,0),"Other"))</f>
        <v/>
      </c>
      <c r="J2275" s="41" t="str">
        <f aca="false">IF(G2275="","",IFERROR(IF(ISNUMBER(SEARCH(Assumptions!$C$5,G2275)),Assumptions!$D$5,IF(ISNUMBER(SEARCH(Assumptions!$C$6,G2275)),Assumptions!$D$6,IF(ISNUMBER(SEARCH(Assumptions!$C$7,G2275)),Assumptions!$D$7,"Other Services"))),"Other Services"))</f>
        <v/>
      </c>
    </row>
    <row r="2276" customFormat="false" ht="15" hidden="false" customHeight="false" outlineLevel="0" collapsed="false">
      <c r="E2276" s="41" t="str">
        <f aca="false">IF(D2276="","",IFERROR(VLOOKUP(D2276,Assumptions!$G$5:$H$16,2,0),"Other"))</f>
        <v/>
      </c>
      <c r="J2276" s="41" t="str">
        <f aca="false">IF(G2276="","",IFERROR(IF(ISNUMBER(SEARCH(Assumptions!$C$5,G2276)),Assumptions!$D$5,IF(ISNUMBER(SEARCH(Assumptions!$C$6,G2276)),Assumptions!$D$6,IF(ISNUMBER(SEARCH(Assumptions!$C$7,G2276)),Assumptions!$D$7,"Other Services"))),"Other Services"))</f>
        <v/>
      </c>
    </row>
    <row r="2277" customFormat="false" ht="15" hidden="false" customHeight="false" outlineLevel="0" collapsed="false">
      <c r="E2277" s="41" t="str">
        <f aca="false">IF(D2277="","",IFERROR(VLOOKUP(D2277,Assumptions!$G$5:$H$16,2,0),"Other"))</f>
        <v/>
      </c>
      <c r="J2277" s="41" t="str">
        <f aca="false">IF(G2277="","",IFERROR(IF(ISNUMBER(SEARCH(Assumptions!$C$5,G2277)),Assumptions!$D$5,IF(ISNUMBER(SEARCH(Assumptions!$C$6,G2277)),Assumptions!$D$6,IF(ISNUMBER(SEARCH(Assumptions!$C$7,G2277)),Assumptions!$D$7,"Other Services"))),"Other Services"))</f>
        <v/>
      </c>
    </row>
    <row r="2278" customFormat="false" ht="15" hidden="false" customHeight="false" outlineLevel="0" collapsed="false">
      <c r="E2278" s="41" t="str">
        <f aca="false">IF(D2278="","",IFERROR(VLOOKUP(D2278,Assumptions!$G$5:$H$16,2,0),"Other"))</f>
        <v/>
      </c>
      <c r="J2278" s="41" t="str">
        <f aca="false">IF(G2278="","",IFERROR(IF(ISNUMBER(SEARCH(Assumptions!$C$5,G2278)),Assumptions!$D$5,IF(ISNUMBER(SEARCH(Assumptions!$C$6,G2278)),Assumptions!$D$6,IF(ISNUMBER(SEARCH(Assumptions!$C$7,G2278)),Assumptions!$D$7,"Other Services"))),"Other Services"))</f>
        <v/>
      </c>
    </row>
    <row r="2279" customFormat="false" ht="15" hidden="false" customHeight="false" outlineLevel="0" collapsed="false">
      <c r="E2279" s="41" t="str">
        <f aca="false">IF(D2279="","",IFERROR(VLOOKUP(D2279,Assumptions!$G$5:$H$16,2,0),"Other"))</f>
        <v/>
      </c>
      <c r="J2279" s="41" t="str">
        <f aca="false">IF(G2279="","",IFERROR(IF(ISNUMBER(SEARCH(Assumptions!$C$5,G2279)),Assumptions!$D$5,IF(ISNUMBER(SEARCH(Assumptions!$C$6,G2279)),Assumptions!$D$6,IF(ISNUMBER(SEARCH(Assumptions!$C$7,G2279)),Assumptions!$D$7,"Other Services"))),"Other Services"))</f>
        <v/>
      </c>
    </row>
    <row r="2280" customFormat="false" ht="15" hidden="false" customHeight="false" outlineLevel="0" collapsed="false">
      <c r="E2280" s="41" t="str">
        <f aca="false">IF(D2280="","",IFERROR(VLOOKUP(D2280,Assumptions!$G$5:$H$16,2,0),"Other"))</f>
        <v/>
      </c>
      <c r="J2280" s="41" t="str">
        <f aca="false">IF(G2280="","",IFERROR(IF(ISNUMBER(SEARCH(Assumptions!$C$5,G2280)),Assumptions!$D$5,IF(ISNUMBER(SEARCH(Assumptions!$C$6,G2280)),Assumptions!$D$6,IF(ISNUMBER(SEARCH(Assumptions!$C$7,G2280)),Assumptions!$D$7,"Other Services"))),"Other Services"))</f>
        <v/>
      </c>
    </row>
    <row r="2281" customFormat="false" ht="15" hidden="false" customHeight="false" outlineLevel="0" collapsed="false">
      <c r="E2281" s="41" t="str">
        <f aca="false">IF(D2281="","",IFERROR(VLOOKUP(D2281,Assumptions!$G$5:$H$16,2,0),"Other"))</f>
        <v/>
      </c>
      <c r="J2281" s="41" t="str">
        <f aca="false">IF(G2281="","",IFERROR(IF(ISNUMBER(SEARCH(Assumptions!$C$5,G2281)),Assumptions!$D$5,IF(ISNUMBER(SEARCH(Assumptions!$C$6,G2281)),Assumptions!$D$6,IF(ISNUMBER(SEARCH(Assumptions!$C$7,G2281)),Assumptions!$D$7,"Other Services"))),"Other Services"))</f>
        <v/>
      </c>
    </row>
    <row r="2282" customFormat="false" ht="15" hidden="false" customHeight="false" outlineLevel="0" collapsed="false">
      <c r="E2282" s="41" t="str">
        <f aca="false">IF(D2282="","",IFERROR(VLOOKUP(D2282,Assumptions!$G$5:$H$16,2,0),"Other"))</f>
        <v/>
      </c>
      <c r="J2282" s="41" t="str">
        <f aca="false">IF(G2282="","",IFERROR(IF(ISNUMBER(SEARCH(Assumptions!$C$5,G2282)),Assumptions!$D$5,IF(ISNUMBER(SEARCH(Assumptions!$C$6,G2282)),Assumptions!$D$6,IF(ISNUMBER(SEARCH(Assumptions!$C$7,G2282)),Assumptions!$D$7,"Other Services"))),"Other Services"))</f>
        <v/>
      </c>
    </row>
    <row r="2283" customFormat="false" ht="15" hidden="false" customHeight="false" outlineLevel="0" collapsed="false">
      <c r="E2283" s="41" t="str">
        <f aca="false">IF(D2283="","",IFERROR(VLOOKUP(D2283,Assumptions!$G$5:$H$16,2,0),"Other"))</f>
        <v/>
      </c>
      <c r="J2283" s="41" t="str">
        <f aca="false">IF(G2283="","",IFERROR(IF(ISNUMBER(SEARCH(Assumptions!$C$5,G2283)),Assumptions!$D$5,IF(ISNUMBER(SEARCH(Assumptions!$C$6,G2283)),Assumptions!$D$6,IF(ISNUMBER(SEARCH(Assumptions!$C$7,G2283)),Assumptions!$D$7,"Other Services"))),"Other Services"))</f>
        <v/>
      </c>
    </row>
    <row r="2284" customFormat="false" ht="15" hidden="false" customHeight="false" outlineLevel="0" collapsed="false">
      <c r="E2284" s="41" t="str">
        <f aca="false">IF(D2284="","",IFERROR(VLOOKUP(D2284,Assumptions!$G$5:$H$16,2,0),"Other"))</f>
        <v/>
      </c>
      <c r="J2284" s="41" t="str">
        <f aca="false">IF(G2284="","",IFERROR(IF(ISNUMBER(SEARCH(Assumptions!$C$5,G2284)),Assumptions!$D$5,IF(ISNUMBER(SEARCH(Assumptions!$C$6,G2284)),Assumptions!$D$6,IF(ISNUMBER(SEARCH(Assumptions!$C$7,G2284)),Assumptions!$D$7,"Other Services"))),"Other Services"))</f>
        <v/>
      </c>
    </row>
    <row r="2285" customFormat="false" ht="15" hidden="false" customHeight="false" outlineLevel="0" collapsed="false">
      <c r="E2285" s="41" t="str">
        <f aca="false">IF(D2285="","",IFERROR(VLOOKUP(D2285,Assumptions!$G$5:$H$16,2,0),"Other"))</f>
        <v/>
      </c>
      <c r="J2285" s="41" t="str">
        <f aca="false">IF(G2285="","",IFERROR(IF(ISNUMBER(SEARCH(Assumptions!$C$5,G2285)),Assumptions!$D$5,IF(ISNUMBER(SEARCH(Assumptions!$C$6,G2285)),Assumptions!$D$6,IF(ISNUMBER(SEARCH(Assumptions!$C$7,G2285)),Assumptions!$D$7,"Other Services"))),"Other Services"))</f>
        <v/>
      </c>
    </row>
    <row r="2286" customFormat="false" ht="15" hidden="false" customHeight="false" outlineLevel="0" collapsed="false">
      <c r="E2286" s="41" t="str">
        <f aca="false">IF(D2286="","",IFERROR(VLOOKUP(D2286,Assumptions!$G$5:$H$16,2,0),"Other"))</f>
        <v/>
      </c>
      <c r="J2286" s="41" t="str">
        <f aca="false">IF(G2286="","",IFERROR(IF(ISNUMBER(SEARCH(Assumptions!$C$5,G2286)),Assumptions!$D$5,IF(ISNUMBER(SEARCH(Assumptions!$C$6,G2286)),Assumptions!$D$6,IF(ISNUMBER(SEARCH(Assumptions!$C$7,G2286)),Assumptions!$D$7,"Other Services"))),"Other Services"))</f>
        <v/>
      </c>
    </row>
    <row r="2287" customFormat="false" ht="15" hidden="false" customHeight="false" outlineLevel="0" collapsed="false">
      <c r="E2287" s="41" t="str">
        <f aca="false">IF(D2287="","",IFERROR(VLOOKUP(D2287,Assumptions!$G$5:$H$16,2,0),"Other"))</f>
        <v/>
      </c>
      <c r="J2287" s="41" t="str">
        <f aca="false">IF(G2287="","",IFERROR(IF(ISNUMBER(SEARCH(Assumptions!$C$5,G2287)),Assumptions!$D$5,IF(ISNUMBER(SEARCH(Assumptions!$C$6,G2287)),Assumptions!$D$6,IF(ISNUMBER(SEARCH(Assumptions!$C$7,G2287)),Assumptions!$D$7,"Other Services"))),"Other Services"))</f>
        <v/>
      </c>
    </row>
    <row r="2288" customFormat="false" ht="15" hidden="false" customHeight="false" outlineLevel="0" collapsed="false">
      <c r="E2288" s="41" t="str">
        <f aca="false">IF(D2288="","",IFERROR(VLOOKUP(D2288,Assumptions!$G$5:$H$16,2,0),"Other"))</f>
        <v/>
      </c>
      <c r="J2288" s="41" t="str">
        <f aca="false">IF(G2288="","",IFERROR(IF(ISNUMBER(SEARCH(Assumptions!$C$5,G2288)),Assumptions!$D$5,IF(ISNUMBER(SEARCH(Assumptions!$C$6,G2288)),Assumptions!$D$6,IF(ISNUMBER(SEARCH(Assumptions!$C$7,G2288)),Assumptions!$D$7,"Other Services"))),"Other Services"))</f>
        <v/>
      </c>
    </row>
    <row r="2289" customFormat="false" ht="15" hidden="false" customHeight="false" outlineLevel="0" collapsed="false">
      <c r="E2289" s="41" t="str">
        <f aca="false">IF(D2289="","",IFERROR(VLOOKUP(D2289,Assumptions!$G$5:$H$16,2,0),"Other"))</f>
        <v/>
      </c>
      <c r="J2289" s="41" t="str">
        <f aca="false">IF(G2289="","",IFERROR(IF(ISNUMBER(SEARCH(Assumptions!$C$5,G2289)),Assumptions!$D$5,IF(ISNUMBER(SEARCH(Assumptions!$C$6,G2289)),Assumptions!$D$6,IF(ISNUMBER(SEARCH(Assumptions!$C$7,G2289)),Assumptions!$D$7,"Other Services"))),"Other Services"))</f>
        <v/>
      </c>
    </row>
    <row r="2290" customFormat="false" ht="15" hidden="false" customHeight="false" outlineLevel="0" collapsed="false">
      <c r="E2290" s="41" t="str">
        <f aca="false">IF(D2290="","",IFERROR(VLOOKUP(D2290,Assumptions!$G$5:$H$16,2,0),"Other"))</f>
        <v/>
      </c>
      <c r="J2290" s="41" t="str">
        <f aca="false">IF(G2290="","",IFERROR(IF(ISNUMBER(SEARCH(Assumptions!$C$5,G2290)),Assumptions!$D$5,IF(ISNUMBER(SEARCH(Assumptions!$C$6,G2290)),Assumptions!$D$6,IF(ISNUMBER(SEARCH(Assumptions!$C$7,G2290)),Assumptions!$D$7,"Other Services"))),"Other Services"))</f>
        <v/>
      </c>
    </row>
    <row r="2291" customFormat="false" ht="15" hidden="false" customHeight="false" outlineLevel="0" collapsed="false">
      <c r="E2291" s="41" t="str">
        <f aca="false">IF(D2291="","",IFERROR(VLOOKUP(D2291,Assumptions!$G$5:$H$16,2,0),"Other"))</f>
        <v/>
      </c>
      <c r="J2291" s="41" t="str">
        <f aca="false">IF(G2291="","",IFERROR(IF(ISNUMBER(SEARCH(Assumptions!$C$5,G2291)),Assumptions!$D$5,IF(ISNUMBER(SEARCH(Assumptions!$C$6,G2291)),Assumptions!$D$6,IF(ISNUMBER(SEARCH(Assumptions!$C$7,G2291)),Assumptions!$D$7,"Other Services"))),"Other Services"))</f>
        <v/>
      </c>
    </row>
    <row r="2292" customFormat="false" ht="15" hidden="false" customHeight="false" outlineLevel="0" collapsed="false">
      <c r="E2292" s="41" t="str">
        <f aca="false">IF(D2292="","",IFERROR(VLOOKUP(D2292,Assumptions!$G$5:$H$16,2,0),"Other"))</f>
        <v/>
      </c>
      <c r="J2292" s="41" t="str">
        <f aca="false">IF(G2292="","",IFERROR(IF(ISNUMBER(SEARCH(Assumptions!$C$5,G2292)),Assumptions!$D$5,IF(ISNUMBER(SEARCH(Assumptions!$C$6,G2292)),Assumptions!$D$6,IF(ISNUMBER(SEARCH(Assumptions!$C$7,G2292)),Assumptions!$D$7,"Other Services"))),"Other Services"))</f>
        <v/>
      </c>
    </row>
    <row r="2293" customFormat="false" ht="15" hidden="false" customHeight="false" outlineLevel="0" collapsed="false">
      <c r="E2293" s="41" t="str">
        <f aca="false">IF(D2293="","",IFERROR(VLOOKUP(D2293,Assumptions!$G$5:$H$16,2,0),"Other"))</f>
        <v/>
      </c>
      <c r="J2293" s="41" t="str">
        <f aca="false">IF(G2293="","",IFERROR(IF(ISNUMBER(SEARCH(Assumptions!$C$5,G2293)),Assumptions!$D$5,IF(ISNUMBER(SEARCH(Assumptions!$C$6,G2293)),Assumptions!$D$6,IF(ISNUMBER(SEARCH(Assumptions!$C$7,G2293)),Assumptions!$D$7,"Other Services"))),"Other Services"))</f>
        <v/>
      </c>
    </row>
    <row r="2294" customFormat="false" ht="15" hidden="false" customHeight="false" outlineLevel="0" collapsed="false">
      <c r="E2294" s="41" t="str">
        <f aca="false">IF(D2294="","",IFERROR(VLOOKUP(D2294,Assumptions!$G$5:$H$16,2,0),"Other"))</f>
        <v/>
      </c>
      <c r="J2294" s="41" t="str">
        <f aca="false">IF(G2294="","",IFERROR(IF(ISNUMBER(SEARCH(Assumptions!$C$5,G2294)),Assumptions!$D$5,IF(ISNUMBER(SEARCH(Assumptions!$C$6,G2294)),Assumptions!$D$6,IF(ISNUMBER(SEARCH(Assumptions!$C$7,G2294)),Assumptions!$D$7,"Other Services"))),"Other Services"))</f>
        <v/>
      </c>
    </row>
    <row r="2295" customFormat="false" ht="15" hidden="false" customHeight="false" outlineLevel="0" collapsed="false">
      <c r="E2295" s="41" t="str">
        <f aca="false">IF(D2295="","",IFERROR(VLOOKUP(D2295,Assumptions!$G$5:$H$16,2,0),"Other"))</f>
        <v/>
      </c>
      <c r="J2295" s="41" t="str">
        <f aca="false">IF(G2295="","",IFERROR(IF(ISNUMBER(SEARCH(Assumptions!$C$5,G2295)),Assumptions!$D$5,IF(ISNUMBER(SEARCH(Assumptions!$C$6,G2295)),Assumptions!$D$6,IF(ISNUMBER(SEARCH(Assumptions!$C$7,G2295)),Assumptions!$D$7,"Other Services"))),"Other Services"))</f>
        <v/>
      </c>
    </row>
    <row r="2296" customFormat="false" ht="15" hidden="false" customHeight="false" outlineLevel="0" collapsed="false">
      <c r="E2296" s="41" t="str">
        <f aca="false">IF(D2296="","",IFERROR(VLOOKUP(D2296,Assumptions!$G$5:$H$16,2,0),"Other"))</f>
        <v/>
      </c>
      <c r="J2296" s="41" t="str">
        <f aca="false">IF(G2296="","",IFERROR(IF(ISNUMBER(SEARCH(Assumptions!$C$5,G2296)),Assumptions!$D$5,IF(ISNUMBER(SEARCH(Assumptions!$C$6,G2296)),Assumptions!$D$6,IF(ISNUMBER(SEARCH(Assumptions!$C$7,G2296)),Assumptions!$D$7,"Other Services"))),"Other Services"))</f>
        <v/>
      </c>
    </row>
    <row r="2297" customFormat="false" ht="15" hidden="false" customHeight="false" outlineLevel="0" collapsed="false">
      <c r="E2297" s="41" t="str">
        <f aca="false">IF(D2297="","",IFERROR(VLOOKUP(D2297,Assumptions!$G$5:$H$16,2,0),"Other"))</f>
        <v/>
      </c>
      <c r="J2297" s="41" t="str">
        <f aca="false">IF(G2297="","",IFERROR(IF(ISNUMBER(SEARCH(Assumptions!$C$5,G2297)),Assumptions!$D$5,IF(ISNUMBER(SEARCH(Assumptions!$C$6,G2297)),Assumptions!$D$6,IF(ISNUMBER(SEARCH(Assumptions!$C$7,G2297)),Assumptions!$D$7,"Other Services"))),"Other Services"))</f>
        <v/>
      </c>
    </row>
    <row r="2298" customFormat="false" ht="15" hidden="false" customHeight="false" outlineLevel="0" collapsed="false">
      <c r="E2298" s="41" t="str">
        <f aca="false">IF(D2298="","",IFERROR(VLOOKUP(D2298,Assumptions!$G$5:$H$16,2,0),"Other"))</f>
        <v/>
      </c>
      <c r="J2298" s="41" t="str">
        <f aca="false">IF(G2298="","",IFERROR(IF(ISNUMBER(SEARCH(Assumptions!$C$5,G2298)),Assumptions!$D$5,IF(ISNUMBER(SEARCH(Assumptions!$C$6,G2298)),Assumptions!$D$6,IF(ISNUMBER(SEARCH(Assumptions!$C$7,G2298)),Assumptions!$D$7,"Other Services"))),"Other Services"))</f>
        <v/>
      </c>
    </row>
    <row r="2299" customFormat="false" ht="15" hidden="false" customHeight="false" outlineLevel="0" collapsed="false">
      <c r="E2299" s="41" t="str">
        <f aca="false">IF(D2299="","",IFERROR(VLOOKUP(D2299,Assumptions!$G$5:$H$16,2,0),"Other"))</f>
        <v/>
      </c>
      <c r="J2299" s="41" t="str">
        <f aca="false">IF(G2299="","",IFERROR(IF(ISNUMBER(SEARCH(Assumptions!$C$5,G2299)),Assumptions!$D$5,IF(ISNUMBER(SEARCH(Assumptions!$C$6,G2299)),Assumptions!$D$6,IF(ISNUMBER(SEARCH(Assumptions!$C$7,G2299)),Assumptions!$D$7,"Other Services"))),"Other Services"))</f>
        <v/>
      </c>
    </row>
    <row r="2300" customFormat="false" ht="15" hidden="false" customHeight="false" outlineLevel="0" collapsed="false">
      <c r="E2300" s="41" t="str">
        <f aca="false">IF(D2300="","",IFERROR(VLOOKUP(D2300,Assumptions!$G$5:$H$16,2,0),"Other"))</f>
        <v/>
      </c>
      <c r="J2300" s="41" t="str">
        <f aca="false">IF(G2300="","",IFERROR(IF(ISNUMBER(SEARCH(Assumptions!$C$5,G2300)),Assumptions!$D$5,IF(ISNUMBER(SEARCH(Assumptions!$C$6,G2300)),Assumptions!$D$6,IF(ISNUMBER(SEARCH(Assumptions!$C$7,G2300)),Assumptions!$D$7,"Other Services"))),"Other Services"))</f>
        <v/>
      </c>
    </row>
    <row r="2301" customFormat="false" ht="15" hidden="false" customHeight="false" outlineLevel="0" collapsed="false">
      <c r="E2301" s="41" t="str">
        <f aca="false">IF(D2301="","",IFERROR(VLOOKUP(D2301,Assumptions!$G$5:$H$16,2,0),"Other"))</f>
        <v/>
      </c>
      <c r="J2301" s="41" t="str">
        <f aca="false">IF(G2301="","",IFERROR(IF(ISNUMBER(SEARCH(Assumptions!$C$5,G2301)),Assumptions!$D$5,IF(ISNUMBER(SEARCH(Assumptions!$C$6,G2301)),Assumptions!$D$6,IF(ISNUMBER(SEARCH(Assumptions!$C$7,G2301)),Assumptions!$D$7,"Other Services"))),"Other Services"))</f>
        <v/>
      </c>
    </row>
    <row r="2302" customFormat="false" ht="15" hidden="false" customHeight="false" outlineLevel="0" collapsed="false">
      <c r="E2302" s="41" t="str">
        <f aca="false">IF(D2302="","",IFERROR(VLOOKUP(D2302,Assumptions!$G$5:$H$16,2,0),"Other"))</f>
        <v/>
      </c>
      <c r="J2302" s="41" t="str">
        <f aca="false">IF(G2302="","",IFERROR(IF(ISNUMBER(SEARCH(Assumptions!$C$5,G2302)),Assumptions!$D$5,IF(ISNUMBER(SEARCH(Assumptions!$C$6,G2302)),Assumptions!$D$6,IF(ISNUMBER(SEARCH(Assumptions!$C$7,G2302)),Assumptions!$D$7,"Other Services"))),"Other Services"))</f>
        <v/>
      </c>
    </row>
    <row r="2303" customFormat="false" ht="15" hidden="false" customHeight="false" outlineLevel="0" collapsed="false">
      <c r="E2303" s="41" t="str">
        <f aca="false">IF(D2303="","",IFERROR(VLOOKUP(D2303,Assumptions!$G$5:$H$16,2,0),"Other"))</f>
        <v/>
      </c>
      <c r="J2303" s="41" t="str">
        <f aca="false">IF(G2303="","",IFERROR(IF(ISNUMBER(SEARCH(Assumptions!$C$5,G2303)),Assumptions!$D$5,IF(ISNUMBER(SEARCH(Assumptions!$C$6,G2303)),Assumptions!$D$6,IF(ISNUMBER(SEARCH(Assumptions!$C$7,G2303)),Assumptions!$D$7,"Other Services"))),"Other Services"))</f>
        <v/>
      </c>
    </row>
    <row r="2304" customFormat="false" ht="15" hidden="false" customHeight="false" outlineLevel="0" collapsed="false">
      <c r="E2304" s="41" t="str">
        <f aca="false">IF(D2304="","",IFERROR(VLOOKUP(D2304,Assumptions!$G$5:$H$16,2,0),"Other"))</f>
        <v/>
      </c>
      <c r="J2304" s="41" t="str">
        <f aca="false">IF(G2304="","",IFERROR(IF(ISNUMBER(SEARCH(Assumptions!$C$5,G2304)),Assumptions!$D$5,IF(ISNUMBER(SEARCH(Assumptions!$C$6,G2304)),Assumptions!$D$6,IF(ISNUMBER(SEARCH(Assumptions!$C$7,G2304)),Assumptions!$D$7,"Other Services"))),"Other Services"))</f>
        <v/>
      </c>
    </row>
    <row r="2305" customFormat="false" ht="15" hidden="false" customHeight="false" outlineLevel="0" collapsed="false">
      <c r="E2305" s="41" t="str">
        <f aca="false">IF(D2305="","",IFERROR(VLOOKUP(D2305,Assumptions!$G$5:$H$16,2,0),"Other"))</f>
        <v/>
      </c>
      <c r="J2305" s="41" t="str">
        <f aca="false">IF(G2305="","",IFERROR(IF(ISNUMBER(SEARCH(Assumptions!$C$5,G2305)),Assumptions!$D$5,IF(ISNUMBER(SEARCH(Assumptions!$C$6,G2305)),Assumptions!$D$6,IF(ISNUMBER(SEARCH(Assumptions!$C$7,G2305)),Assumptions!$D$7,"Other Services"))),"Other Services"))</f>
        <v/>
      </c>
    </row>
    <row r="2306" customFormat="false" ht="15" hidden="false" customHeight="false" outlineLevel="0" collapsed="false">
      <c r="E2306" s="41" t="str">
        <f aca="false">IF(D2306="","",IFERROR(VLOOKUP(D2306,Assumptions!$G$5:$H$16,2,0),"Other"))</f>
        <v/>
      </c>
      <c r="J2306" s="41" t="str">
        <f aca="false">IF(G2306="","",IFERROR(IF(ISNUMBER(SEARCH(Assumptions!$C$5,G2306)),Assumptions!$D$5,IF(ISNUMBER(SEARCH(Assumptions!$C$6,G2306)),Assumptions!$D$6,IF(ISNUMBER(SEARCH(Assumptions!$C$7,G2306)),Assumptions!$D$7,"Other Services"))),"Other Services"))</f>
        <v/>
      </c>
    </row>
    <row r="2307" customFormat="false" ht="15" hidden="false" customHeight="false" outlineLevel="0" collapsed="false">
      <c r="E2307" s="41" t="str">
        <f aca="false">IF(D2307="","",IFERROR(VLOOKUP(D2307,Assumptions!$G$5:$H$16,2,0),"Other"))</f>
        <v/>
      </c>
      <c r="J2307" s="41" t="str">
        <f aca="false">IF(G2307="","",IFERROR(IF(ISNUMBER(SEARCH(Assumptions!$C$5,G2307)),Assumptions!$D$5,IF(ISNUMBER(SEARCH(Assumptions!$C$6,G2307)),Assumptions!$D$6,IF(ISNUMBER(SEARCH(Assumptions!$C$7,G2307)),Assumptions!$D$7,"Other Services"))),"Other Services"))</f>
        <v/>
      </c>
    </row>
    <row r="2308" customFormat="false" ht="15" hidden="false" customHeight="false" outlineLevel="0" collapsed="false">
      <c r="E2308" s="41" t="str">
        <f aca="false">IF(D2308="","",IFERROR(VLOOKUP(D2308,Assumptions!$G$5:$H$16,2,0),"Other"))</f>
        <v/>
      </c>
      <c r="J2308" s="41" t="str">
        <f aca="false">IF(G2308="","",IFERROR(IF(ISNUMBER(SEARCH(Assumptions!$C$5,G2308)),Assumptions!$D$5,IF(ISNUMBER(SEARCH(Assumptions!$C$6,G2308)),Assumptions!$D$6,IF(ISNUMBER(SEARCH(Assumptions!$C$7,G2308)),Assumptions!$D$7,"Other Services"))),"Other Services"))</f>
        <v/>
      </c>
    </row>
    <row r="2309" customFormat="false" ht="15" hidden="false" customHeight="false" outlineLevel="0" collapsed="false">
      <c r="E2309" s="41" t="str">
        <f aca="false">IF(D2309="","",IFERROR(VLOOKUP(D2309,Assumptions!$G$5:$H$16,2,0),"Other"))</f>
        <v/>
      </c>
      <c r="J2309" s="41" t="str">
        <f aca="false">IF(G2309="","",IFERROR(IF(ISNUMBER(SEARCH(Assumptions!$C$5,G2309)),Assumptions!$D$5,IF(ISNUMBER(SEARCH(Assumptions!$C$6,G2309)),Assumptions!$D$6,IF(ISNUMBER(SEARCH(Assumptions!$C$7,G2309)),Assumptions!$D$7,"Other Services"))),"Other Services"))</f>
        <v/>
      </c>
    </row>
    <row r="2310" customFormat="false" ht="15" hidden="false" customHeight="false" outlineLevel="0" collapsed="false">
      <c r="E2310" s="41" t="str">
        <f aca="false">IF(D2310="","",IFERROR(VLOOKUP(D2310,Assumptions!$G$5:$H$16,2,0),"Other"))</f>
        <v/>
      </c>
      <c r="J2310" s="41" t="str">
        <f aca="false">IF(G2310="","",IFERROR(IF(ISNUMBER(SEARCH(Assumptions!$C$5,G2310)),Assumptions!$D$5,IF(ISNUMBER(SEARCH(Assumptions!$C$6,G2310)),Assumptions!$D$6,IF(ISNUMBER(SEARCH(Assumptions!$C$7,G2310)),Assumptions!$D$7,"Other Services"))),"Other Services"))</f>
        <v/>
      </c>
    </row>
    <row r="2311" customFormat="false" ht="15" hidden="false" customHeight="false" outlineLevel="0" collapsed="false">
      <c r="E2311" s="41" t="str">
        <f aca="false">IF(D2311="","",IFERROR(VLOOKUP(D2311,Assumptions!$G$5:$H$16,2,0),"Other"))</f>
        <v/>
      </c>
      <c r="J2311" s="41" t="str">
        <f aca="false">IF(G2311="","",IFERROR(IF(ISNUMBER(SEARCH(Assumptions!$C$5,G2311)),Assumptions!$D$5,IF(ISNUMBER(SEARCH(Assumptions!$C$6,G2311)),Assumptions!$D$6,IF(ISNUMBER(SEARCH(Assumptions!$C$7,G2311)),Assumptions!$D$7,"Other Services"))),"Other Services"))</f>
        <v/>
      </c>
    </row>
    <row r="2312" customFormat="false" ht="15" hidden="false" customHeight="false" outlineLevel="0" collapsed="false">
      <c r="E2312" s="41" t="str">
        <f aca="false">IF(D2312="","",IFERROR(VLOOKUP(D2312,Assumptions!$G$5:$H$16,2,0),"Other"))</f>
        <v/>
      </c>
      <c r="J2312" s="41" t="str">
        <f aca="false">IF(G2312="","",IFERROR(IF(ISNUMBER(SEARCH(Assumptions!$C$5,G2312)),Assumptions!$D$5,IF(ISNUMBER(SEARCH(Assumptions!$C$6,G2312)),Assumptions!$D$6,IF(ISNUMBER(SEARCH(Assumptions!$C$7,G2312)),Assumptions!$D$7,"Other Services"))),"Other Services"))</f>
        <v/>
      </c>
    </row>
    <row r="2313" customFormat="false" ht="15" hidden="false" customHeight="false" outlineLevel="0" collapsed="false">
      <c r="E2313" s="41" t="str">
        <f aca="false">IF(D2313="","",IFERROR(VLOOKUP(D2313,Assumptions!$G$5:$H$16,2,0),"Other"))</f>
        <v/>
      </c>
      <c r="J2313" s="41" t="str">
        <f aca="false">IF(G2313="","",IFERROR(IF(ISNUMBER(SEARCH(Assumptions!$C$5,G2313)),Assumptions!$D$5,IF(ISNUMBER(SEARCH(Assumptions!$C$6,G2313)),Assumptions!$D$6,IF(ISNUMBER(SEARCH(Assumptions!$C$7,G2313)),Assumptions!$D$7,"Other Services"))),"Other Services"))</f>
        <v/>
      </c>
    </row>
    <row r="2314" customFormat="false" ht="15" hidden="false" customHeight="false" outlineLevel="0" collapsed="false">
      <c r="E2314" s="41" t="str">
        <f aca="false">IF(D2314="","",IFERROR(VLOOKUP(D2314,Assumptions!$G$5:$H$16,2,0),"Other"))</f>
        <v/>
      </c>
      <c r="J2314" s="41" t="str">
        <f aca="false">IF(G2314="","",IFERROR(IF(ISNUMBER(SEARCH(Assumptions!$C$5,G2314)),Assumptions!$D$5,IF(ISNUMBER(SEARCH(Assumptions!$C$6,G2314)),Assumptions!$D$6,IF(ISNUMBER(SEARCH(Assumptions!$C$7,G2314)),Assumptions!$D$7,"Other Services"))),"Other Services"))</f>
        <v/>
      </c>
    </row>
    <row r="2315" customFormat="false" ht="15" hidden="false" customHeight="false" outlineLevel="0" collapsed="false">
      <c r="E2315" s="41" t="str">
        <f aca="false">IF(D2315="","",IFERROR(VLOOKUP(D2315,Assumptions!$G$5:$H$16,2,0),"Other"))</f>
        <v/>
      </c>
      <c r="J2315" s="41" t="str">
        <f aca="false">IF(G2315="","",IFERROR(IF(ISNUMBER(SEARCH(Assumptions!$C$5,G2315)),Assumptions!$D$5,IF(ISNUMBER(SEARCH(Assumptions!$C$6,G2315)),Assumptions!$D$6,IF(ISNUMBER(SEARCH(Assumptions!$C$7,G2315)),Assumptions!$D$7,"Other Services"))),"Other Services"))</f>
        <v/>
      </c>
    </row>
    <row r="2316" customFormat="false" ht="15" hidden="false" customHeight="false" outlineLevel="0" collapsed="false">
      <c r="E2316" s="41" t="str">
        <f aca="false">IF(D2316="","",IFERROR(VLOOKUP(D2316,Assumptions!$G$5:$H$16,2,0),"Other"))</f>
        <v/>
      </c>
      <c r="J2316" s="41" t="str">
        <f aca="false">IF(G2316="","",IFERROR(IF(ISNUMBER(SEARCH(Assumptions!$C$5,G2316)),Assumptions!$D$5,IF(ISNUMBER(SEARCH(Assumptions!$C$6,G2316)),Assumptions!$D$6,IF(ISNUMBER(SEARCH(Assumptions!$C$7,G2316)),Assumptions!$D$7,"Other Services"))),"Other Services"))</f>
        <v/>
      </c>
    </row>
    <row r="2317" customFormat="false" ht="15" hidden="false" customHeight="false" outlineLevel="0" collapsed="false">
      <c r="E2317" s="41" t="str">
        <f aca="false">IF(D2317="","",IFERROR(VLOOKUP(D2317,Assumptions!$G$5:$H$16,2,0),"Other"))</f>
        <v/>
      </c>
      <c r="J2317" s="41" t="str">
        <f aca="false">IF(G2317="","",IFERROR(IF(ISNUMBER(SEARCH(Assumptions!$C$5,G2317)),Assumptions!$D$5,IF(ISNUMBER(SEARCH(Assumptions!$C$6,G2317)),Assumptions!$D$6,IF(ISNUMBER(SEARCH(Assumptions!$C$7,G2317)),Assumptions!$D$7,"Other Services"))),"Other Services"))</f>
        <v/>
      </c>
    </row>
    <row r="2318" customFormat="false" ht="15" hidden="false" customHeight="false" outlineLevel="0" collapsed="false">
      <c r="E2318" s="41" t="str">
        <f aca="false">IF(D2318="","",IFERROR(VLOOKUP(D2318,Assumptions!$G$5:$H$16,2,0),"Other"))</f>
        <v/>
      </c>
      <c r="J2318" s="41" t="str">
        <f aca="false">IF(G2318="","",IFERROR(IF(ISNUMBER(SEARCH(Assumptions!$C$5,G2318)),Assumptions!$D$5,IF(ISNUMBER(SEARCH(Assumptions!$C$6,G2318)),Assumptions!$D$6,IF(ISNUMBER(SEARCH(Assumptions!$C$7,G2318)),Assumptions!$D$7,"Other Services"))),"Other Services"))</f>
        <v/>
      </c>
    </row>
    <row r="2319" customFormat="false" ht="15" hidden="false" customHeight="false" outlineLevel="0" collapsed="false">
      <c r="E2319" s="41" t="str">
        <f aca="false">IF(D2319="","",IFERROR(VLOOKUP(D2319,Assumptions!$G$5:$H$16,2,0),"Other"))</f>
        <v/>
      </c>
      <c r="J2319" s="41" t="str">
        <f aca="false">IF(G2319="","",IFERROR(IF(ISNUMBER(SEARCH(Assumptions!$C$5,G2319)),Assumptions!$D$5,IF(ISNUMBER(SEARCH(Assumptions!$C$6,G2319)),Assumptions!$D$6,IF(ISNUMBER(SEARCH(Assumptions!$C$7,G2319)),Assumptions!$D$7,"Other Services"))),"Other Services"))</f>
        <v/>
      </c>
    </row>
    <row r="2320" customFormat="false" ht="15" hidden="false" customHeight="false" outlineLevel="0" collapsed="false">
      <c r="E2320" s="41" t="str">
        <f aca="false">IF(D2320="","",IFERROR(VLOOKUP(D2320,Assumptions!$G$5:$H$16,2,0),"Other"))</f>
        <v/>
      </c>
      <c r="J2320" s="41" t="str">
        <f aca="false">IF(G2320="","",IFERROR(IF(ISNUMBER(SEARCH(Assumptions!$C$5,G2320)),Assumptions!$D$5,IF(ISNUMBER(SEARCH(Assumptions!$C$6,G2320)),Assumptions!$D$6,IF(ISNUMBER(SEARCH(Assumptions!$C$7,G2320)),Assumptions!$D$7,"Other Services"))),"Other Services"))</f>
        <v/>
      </c>
    </row>
    <row r="2321" customFormat="false" ht="15" hidden="false" customHeight="false" outlineLevel="0" collapsed="false">
      <c r="E2321" s="41" t="str">
        <f aca="false">IF(D2321="","",IFERROR(VLOOKUP(D2321,Assumptions!$G$5:$H$16,2,0),"Other"))</f>
        <v/>
      </c>
      <c r="J2321" s="41" t="str">
        <f aca="false">IF(G2321="","",IFERROR(IF(ISNUMBER(SEARCH(Assumptions!$C$5,G2321)),Assumptions!$D$5,IF(ISNUMBER(SEARCH(Assumptions!$C$6,G2321)),Assumptions!$D$6,IF(ISNUMBER(SEARCH(Assumptions!$C$7,G2321)),Assumptions!$D$7,"Other Services"))),"Other Services"))</f>
        <v/>
      </c>
    </row>
    <row r="2322" customFormat="false" ht="15" hidden="false" customHeight="false" outlineLevel="0" collapsed="false">
      <c r="E2322" s="41" t="str">
        <f aca="false">IF(D2322="","",IFERROR(VLOOKUP(D2322,Assumptions!$G$5:$H$16,2,0),"Other"))</f>
        <v/>
      </c>
      <c r="J2322" s="41" t="str">
        <f aca="false">IF(G2322="","",IFERROR(IF(ISNUMBER(SEARCH(Assumptions!$C$5,G2322)),Assumptions!$D$5,IF(ISNUMBER(SEARCH(Assumptions!$C$6,G2322)),Assumptions!$D$6,IF(ISNUMBER(SEARCH(Assumptions!$C$7,G2322)),Assumptions!$D$7,"Other Services"))),"Other Services"))</f>
        <v/>
      </c>
    </row>
    <row r="2323" customFormat="false" ht="15" hidden="false" customHeight="false" outlineLevel="0" collapsed="false">
      <c r="E2323" s="41" t="str">
        <f aca="false">IF(D2323="","",IFERROR(VLOOKUP(D2323,Assumptions!$G$5:$H$16,2,0),"Other"))</f>
        <v/>
      </c>
      <c r="J2323" s="41" t="str">
        <f aca="false">IF(G2323="","",IFERROR(IF(ISNUMBER(SEARCH(Assumptions!$C$5,G2323)),Assumptions!$D$5,IF(ISNUMBER(SEARCH(Assumptions!$C$6,G2323)),Assumptions!$D$6,IF(ISNUMBER(SEARCH(Assumptions!$C$7,G2323)),Assumptions!$D$7,"Other Services"))),"Other Services"))</f>
        <v/>
      </c>
    </row>
    <row r="2324" customFormat="false" ht="15" hidden="false" customHeight="false" outlineLevel="0" collapsed="false">
      <c r="E2324" s="41" t="str">
        <f aca="false">IF(D2324="","",IFERROR(VLOOKUP(D2324,Assumptions!$G$5:$H$16,2,0),"Other"))</f>
        <v/>
      </c>
      <c r="J2324" s="41" t="str">
        <f aca="false">IF(G2324="","",IFERROR(IF(ISNUMBER(SEARCH(Assumptions!$C$5,G2324)),Assumptions!$D$5,IF(ISNUMBER(SEARCH(Assumptions!$C$6,G2324)),Assumptions!$D$6,IF(ISNUMBER(SEARCH(Assumptions!$C$7,G2324)),Assumptions!$D$7,"Other Services"))),"Other Services"))</f>
        <v/>
      </c>
    </row>
    <row r="2325" customFormat="false" ht="15" hidden="false" customHeight="false" outlineLevel="0" collapsed="false">
      <c r="E2325" s="41" t="str">
        <f aca="false">IF(D2325="","",IFERROR(VLOOKUP(D2325,Assumptions!$G$5:$H$16,2,0),"Other"))</f>
        <v/>
      </c>
      <c r="J2325" s="41" t="str">
        <f aca="false">IF(G2325="","",IFERROR(IF(ISNUMBER(SEARCH(Assumptions!$C$5,G2325)),Assumptions!$D$5,IF(ISNUMBER(SEARCH(Assumptions!$C$6,G2325)),Assumptions!$D$6,IF(ISNUMBER(SEARCH(Assumptions!$C$7,G2325)),Assumptions!$D$7,"Other Services"))),"Other Services"))</f>
        <v/>
      </c>
    </row>
    <row r="2326" customFormat="false" ht="15" hidden="false" customHeight="false" outlineLevel="0" collapsed="false">
      <c r="E2326" s="41" t="str">
        <f aca="false">IF(D2326="","",IFERROR(VLOOKUP(D2326,Assumptions!$G$5:$H$16,2,0),"Other"))</f>
        <v/>
      </c>
      <c r="J2326" s="41" t="str">
        <f aca="false">IF(G2326="","",IFERROR(IF(ISNUMBER(SEARCH(Assumptions!$C$5,G2326)),Assumptions!$D$5,IF(ISNUMBER(SEARCH(Assumptions!$C$6,G2326)),Assumptions!$D$6,IF(ISNUMBER(SEARCH(Assumptions!$C$7,G2326)),Assumptions!$D$7,"Other Services"))),"Other Services"))</f>
        <v/>
      </c>
    </row>
    <row r="2327" customFormat="false" ht="15" hidden="false" customHeight="false" outlineLevel="0" collapsed="false">
      <c r="E2327" s="41" t="str">
        <f aca="false">IF(D2327="","",IFERROR(VLOOKUP(D2327,Assumptions!$G$5:$H$16,2,0),"Other"))</f>
        <v/>
      </c>
      <c r="J2327" s="41" t="str">
        <f aca="false">IF(G2327="","",IFERROR(IF(ISNUMBER(SEARCH(Assumptions!$C$5,G2327)),Assumptions!$D$5,IF(ISNUMBER(SEARCH(Assumptions!$C$6,G2327)),Assumptions!$D$6,IF(ISNUMBER(SEARCH(Assumptions!$C$7,G2327)),Assumptions!$D$7,"Other Services"))),"Other Services"))</f>
        <v/>
      </c>
    </row>
    <row r="2328" customFormat="false" ht="15" hidden="false" customHeight="false" outlineLevel="0" collapsed="false">
      <c r="E2328" s="41" t="str">
        <f aca="false">IF(D2328="","",IFERROR(VLOOKUP(D2328,Assumptions!$G$5:$H$16,2,0),"Other"))</f>
        <v/>
      </c>
      <c r="J2328" s="41" t="str">
        <f aca="false">IF(G2328="","",IFERROR(IF(ISNUMBER(SEARCH(Assumptions!$C$5,G2328)),Assumptions!$D$5,IF(ISNUMBER(SEARCH(Assumptions!$C$6,G2328)),Assumptions!$D$6,IF(ISNUMBER(SEARCH(Assumptions!$C$7,G2328)),Assumptions!$D$7,"Other Services"))),"Other Services"))</f>
        <v/>
      </c>
    </row>
    <row r="2329" customFormat="false" ht="15" hidden="false" customHeight="false" outlineLevel="0" collapsed="false">
      <c r="E2329" s="41" t="str">
        <f aca="false">IF(D2329="","",IFERROR(VLOOKUP(D2329,Assumptions!$G$5:$H$16,2,0),"Other"))</f>
        <v/>
      </c>
      <c r="J2329" s="41" t="str">
        <f aca="false">IF(G2329="","",IFERROR(IF(ISNUMBER(SEARCH(Assumptions!$C$5,G2329)),Assumptions!$D$5,IF(ISNUMBER(SEARCH(Assumptions!$C$6,G2329)),Assumptions!$D$6,IF(ISNUMBER(SEARCH(Assumptions!$C$7,G2329)),Assumptions!$D$7,"Other Services"))),"Other Services"))</f>
        <v/>
      </c>
    </row>
    <row r="2330" customFormat="false" ht="15" hidden="false" customHeight="false" outlineLevel="0" collapsed="false">
      <c r="E2330" s="41" t="str">
        <f aca="false">IF(D2330="","",IFERROR(VLOOKUP(D2330,Assumptions!$G$5:$H$16,2,0),"Other"))</f>
        <v/>
      </c>
      <c r="J2330" s="41" t="str">
        <f aca="false">IF(G2330="","",IFERROR(IF(ISNUMBER(SEARCH(Assumptions!$C$5,G2330)),Assumptions!$D$5,IF(ISNUMBER(SEARCH(Assumptions!$C$6,G2330)),Assumptions!$D$6,IF(ISNUMBER(SEARCH(Assumptions!$C$7,G2330)),Assumptions!$D$7,"Other Services"))),"Other Services"))</f>
        <v/>
      </c>
    </row>
    <row r="2331" customFormat="false" ht="15" hidden="false" customHeight="false" outlineLevel="0" collapsed="false">
      <c r="E2331" s="41" t="str">
        <f aca="false">IF(D2331="","",IFERROR(VLOOKUP(D2331,Assumptions!$G$5:$H$16,2,0),"Other"))</f>
        <v/>
      </c>
      <c r="J2331" s="41" t="str">
        <f aca="false">IF(G2331="","",IFERROR(IF(ISNUMBER(SEARCH(Assumptions!$C$5,G2331)),Assumptions!$D$5,IF(ISNUMBER(SEARCH(Assumptions!$C$6,G2331)),Assumptions!$D$6,IF(ISNUMBER(SEARCH(Assumptions!$C$7,G2331)),Assumptions!$D$7,"Other Services"))),"Other Services"))</f>
        <v/>
      </c>
    </row>
    <row r="2332" customFormat="false" ht="15" hidden="false" customHeight="false" outlineLevel="0" collapsed="false">
      <c r="E2332" s="41" t="str">
        <f aca="false">IF(D2332="","",IFERROR(VLOOKUP(D2332,Assumptions!$G$5:$H$16,2,0),"Other"))</f>
        <v/>
      </c>
      <c r="J2332" s="41" t="str">
        <f aca="false">IF(G2332="","",IFERROR(IF(ISNUMBER(SEARCH(Assumptions!$C$5,G2332)),Assumptions!$D$5,IF(ISNUMBER(SEARCH(Assumptions!$C$6,G2332)),Assumptions!$D$6,IF(ISNUMBER(SEARCH(Assumptions!$C$7,G2332)),Assumptions!$D$7,"Other Services"))),"Other Services"))</f>
        <v/>
      </c>
    </row>
    <row r="2333" customFormat="false" ht="15" hidden="false" customHeight="false" outlineLevel="0" collapsed="false">
      <c r="E2333" s="41" t="str">
        <f aca="false">IF(D2333="","",IFERROR(VLOOKUP(D2333,Assumptions!$G$5:$H$16,2,0),"Other"))</f>
        <v/>
      </c>
      <c r="J2333" s="41" t="str">
        <f aca="false">IF(G2333="","",IFERROR(IF(ISNUMBER(SEARCH(Assumptions!$C$5,G2333)),Assumptions!$D$5,IF(ISNUMBER(SEARCH(Assumptions!$C$6,G2333)),Assumptions!$D$6,IF(ISNUMBER(SEARCH(Assumptions!$C$7,G2333)),Assumptions!$D$7,"Other Services"))),"Other Services"))</f>
        <v/>
      </c>
    </row>
    <row r="2334" customFormat="false" ht="15" hidden="false" customHeight="false" outlineLevel="0" collapsed="false">
      <c r="E2334" s="41" t="str">
        <f aca="false">IF(D2334="","",IFERROR(VLOOKUP(D2334,Assumptions!$G$5:$H$16,2,0),"Other"))</f>
        <v/>
      </c>
      <c r="J2334" s="41" t="str">
        <f aca="false">IF(G2334="","",IFERROR(IF(ISNUMBER(SEARCH(Assumptions!$C$5,G2334)),Assumptions!$D$5,IF(ISNUMBER(SEARCH(Assumptions!$C$6,G2334)),Assumptions!$D$6,IF(ISNUMBER(SEARCH(Assumptions!$C$7,G2334)),Assumptions!$D$7,"Other Services"))),"Other Services"))</f>
        <v/>
      </c>
    </row>
    <row r="2335" customFormat="false" ht="15" hidden="false" customHeight="false" outlineLevel="0" collapsed="false">
      <c r="E2335" s="41" t="str">
        <f aca="false">IF(D2335="","",IFERROR(VLOOKUP(D2335,Assumptions!$G$5:$H$16,2,0),"Other"))</f>
        <v/>
      </c>
      <c r="J2335" s="41" t="str">
        <f aca="false">IF(G2335="","",IFERROR(IF(ISNUMBER(SEARCH(Assumptions!$C$5,G2335)),Assumptions!$D$5,IF(ISNUMBER(SEARCH(Assumptions!$C$6,G2335)),Assumptions!$D$6,IF(ISNUMBER(SEARCH(Assumptions!$C$7,G2335)),Assumptions!$D$7,"Other Services"))),"Other Services"))</f>
        <v/>
      </c>
    </row>
    <row r="2336" customFormat="false" ht="15" hidden="false" customHeight="false" outlineLevel="0" collapsed="false">
      <c r="E2336" s="41" t="str">
        <f aca="false">IF(D2336="","",IFERROR(VLOOKUP(D2336,Assumptions!$G$5:$H$16,2,0),"Other"))</f>
        <v/>
      </c>
      <c r="J2336" s="41" t="str">
        <f aca="false">IF(G2336="","",IFERROR(IF(ISNUMBER(SEARCH(Assumptions!$C$5,G2336)),Assumptions!$D$5,IF(ISNUMBER(SEARCH(Assumptions!$C$6,G2336)),Assumptions!$D$6,IF(ISNUMBER(SEARCH(Assumptions!$C$7,G2336)),Assumptions!$D$7,"Other Services"))),"Other Services"))</f>
        <v/>
      </c>
    </row>
    <row r="2337" customFormat="false" ht="15" hidden="false" customHeight="false" outlineLevel="0" collapsed="false">
      <c r="E2337" s="41" t="str">
        <f aca="false">IF(D2337="","",IFERROR(VLOOKUP(D2337,Assumptions!$G$5:$H$16,2,0),"Other"))</f>
        <v/>
      </c>
      <c r="J2337" s="41" t="str">
        <f aca="false">IF(G2337="","",IFERROR(IF(ISNUMBER(SEARCH(Assumptions!$C$5,G2337)),Assumptions!$D$5,IF(ISNUMBER(SEARCH(Assumptions!$C$6,G2337)),Assumptions!$D$6,IF(ISNUMBER(SEARCH(Assumptions!$C$7,G2337)),Assumptions!$D$7,"Other Services"))),"Other Services"))</f>
        <v/>
      </c>
    </row>
    <row r="2338" customFormat="false" ht="15" hidden="false" customHeight="false" outlineLevel="0" collapsed="false">
      <c r="E2338" s="41" t="str">
        <f aca="false">IF(D2338="","",IFERROR(VLOOKUP(D2338,Assumptions!$G$5:$H$16,2,0),"Other"))</f>
        <v/>
      </c>
      <c r="J2338" s="41" t="str">
        <f aca="false">IF(G2338="","",IFERROR(IF(ISNUMBER(SEARCH(Assumptions!$C$5,G2338)),Assumptions!$D$5,IF(ISNUMBER(SEARCH(Assumptions!$C$6,G2338)),Assumptions!$D$6,IF(ISNUMBER(SEARCH(Assumptions!$C$7,G2338)),Assumptions!$D$7,"Other Services"))),"Other Services"))</f>
        <v/>
      </c>
    </row>
    <row r="2339" customFormat="false" ht="15" hidden="false" customHeight="false" outlineLevel="0" collapsed="false">
      <c r="E2339" s="41" t="str">
        <f aca="false">IF(D2339="","",IFERROR(VLOOKUP(D2339,Assumptions!$G$5:$H$16,2,0),"Other"))</f>
        <v/>
      </c>
      <c r="J2339" s="41" t="str">
        <f aca="false">IF(G2339="","",IFERROR(IF(ISNUMBER(SEARCH(Assumptions!$C$5,G2339)),Assumptions!$D$5,IF(ISNUMBER(SEARCH(Assumptions!$C$6,G2339)),Assumptions!$D$6,IF(ISNUMBER(SEARCH(Assumptions!$C$7,G2339)),Assumptions!$D$7,"Other Services"))),"Other Services"))</f>
        <v/>
      </c>
    </row>
    <row r="2340" customFormat="false" ht="15" hidden="false" customHeight="false" outlineLevel="0" collapsed="false">
      <c r="E2340" s="41" t="str">
        <f aca="false">IF(D2340="","",IFERROR(VLOOKUP(D2340,Assumptions!$G$5:$H$16,2,0),"Other"))</f>
        <v/>
      </c>
      <c r="J2340" s="41" t="str">
        <f aca="false">IF(G2340="","",IFERROR(IF(ISNUMBER(SEARCH(Assumptions!$C$5,G2340)),Assumptions!$D$5,IF(ISNUMBER(SEARCH(Assumptions!$C$6,G2340)),Assumptions!$D$6,IF(ISNUMBER(SEARCH(Assumptions!$C$7,G2340)),Assumptions!$D$7,"Other Services"))),"Other Services"))</f>
        <v/>
      </c>
    </row>
    <row r="2341" customFormat="false" ht="15" hidden="false" customHeight="false" outlineLevel="0" collapsed="false">
      <c r="E2341" s="41" t="str">
        <f aca="false">IF(D2341="","",IFERROR(VLOOKUP(D2341,Assumptions!$G$5:$H$16,2,0),"Other"))</f>
        <v/>
      </c>
      <c r="J2341" s="41" t="str">
        <f aca="false">IF(G2341="","",IFERROR(IF(ISNUMBER(SEARCH(Assumptions!$C$5,G2341)),Assumptions!$D$5,IF(ISNUMBER(SEARCH(Assumptions!$C$6,G2341)),Assumptions!$D$6,IF(ISNUMBER(SEARCH(Assumptions!$C$7,G2341)),Assumptions!$D$7,"Other Services"))),"Other Services"))</f>
        <v/>
      </c>
    </row>
    <row r="2342" customFormat="false" ht="15" hidden="false" customHeight="false" outlineLevel="0" collapsed="false">
      <c r="E2342" s="41" t="str">
        <f aca="false">IF(D2342="","",IFERROR(VLOOKUP(D2342,Assumptions!$G$5:$H$16,2,0),"Other"))</f>
        <v/>
      </c>
      <c r="J2342" s="41" t="str">
        <f aca="false">IF(G2342="","",IFERROR(IF(ISNUMBER(SEARCH(Assumptions!$C$5,G2342)),Assumptions!$D$5,IF(ISNUMBER(SEARCH(Assumptions!$C$6,G2342)),Assumptions!$D$6,IF(ISNUMBER(SEARCH(Assumptions!$C$7,G2342)),Assumptions!$D$7,"Other Services"))),"Other Services"))</f>
        <v/>
      </c>
    </row>
    <row r="2343" customFormat="false" ht="15" hidden="false" customHeight="false" outlineLevel="0" collapsed="false">
      <c r="E2343" s="41" t="str">
        <f aca="false">IF(D2343="","",IFERROR(VLOOKUP(D2343,Assumptions!$G$5:$H$16,2,0),"Other"))</f>
        <v/>
      </c>
      <c r="J2343" s="41" t="str">
        <f aca="false">IF(G2343="","",IFERROR(IF(ISNUMBER(SEARCH(Assumptions!$C$5,G2343)),Assumptions!$D$5,IF(ISNUMBER(SEARCH(Assumptions!$C$6,G2343)),Assumptions!$D$6,IF(ISNUMBER(SEARCH(Assumptions!$C$7,G2343)),Assumptions!$D$7,"Other Services"))),"Other Services"))</f>
        <v/>
      </c>
    </row>
    <row r="2344" customFormat="false" ht="15" hidden="false" customHeight="false" outlineLevel="0" collapsed="false">
      <c r="E2344" s="41" t="str">
        <f aca="false">IF(D2344="","",IFERROR(VLOOKUP(D2344,Assumptions!$G$5:$H$16,2,0),"Other"))</f>
        <v/>
      </c>
      <c r="J2344" s="41" t="str">
        <f aca="false">IF(G2344="","",IFERROR(IF(ISNUMBER(SEARCH(Assumptions!$C$5,G2344)),Assumptions!$D$5,IF(ISNUMBER(SEARCH(Assumptions!$C$6,G2344)),Assumptions!$D$6,IF(ISNUMBER(SEARCH(Assumptions!$C$7,G2344)),Assumptions!$D$7,"Other Services"))),"Other Services"))</f>
        <v/>
      </c>
    </row>
    <row r="2345" customFormat="false" ht="15" hidden="false" customHeight="false" outlineLevel="0" collapsed="false">
      <c r="E2345" s="41" t="str">
        <f aca="false">IF(D2345="","",IFERROR(VLOOKUP(D2345,Assumptions!$G$5:$H$16,2,0),"Other"))</f>
        <v/>
      </c>
      <c r="J2345" s="41" t="str">
        <f aca="false">IF(G2345="","",IFERROR(IF(ISNUMBER(SEARCH(Assumptions!$C$5,G2345)),Assumptions!$D$5,IF(ISNUMBER(SEARCH(Assumptions!$C$6,G2345)),Assumptions!$D$6,IF(ISNUMBER(SEARCH(Assumptions!$C$7,G2345)),Assumptions!$D$7,"Other Services"))),"Other Services"))</f>
        <v/>
      </c>
    </row>
    <row r="2346" customFormat="false" ht="15" hidden="false" customHeight="false" outlineLevel="0" collapsed="false">
      <c r="E2346" s="41" t="str">
        <f aca="false">IF(D2346="","",IFERROR(VLOOKUP(D2346,Assumptions!$G$5:$H$16,2,0),"Other"))</f>
        <v/>
      </c>
      <c r="J2346" s="41" t="str">
        <f aca="false">IF(G2346="","",IFERROR(IF(ISNUMBER(SEARCH(Assumptions!$C$5,G2346)),Assumptions!$D$5,IF(ISNUMBER(SEARCH(Assumptions!$C$6,G2346)),Assumptions!$D$6,IF(ISNUMBER(SEARCH(Assumptions!$C$7,G2346)),Assumptions!$D$7,"Other Services"))),"Other Services"))</f>
        <v/>
      </c>
    </row>
    <row r="2347" customFormat="false" ht="15" hidden="false" customHeight="false" outlineLevel="0" collapsed="false">
      <c r="E2347" s="41" t="str">
        <f aca="false">IF(D2347="","",IFERROR(VLOOKUP(D2347,Assumptions!$G$5:$H$16,2,0),"Other"))</f>
        <v/>
      </c>
      <c r="J2347" s="41" t="str">
        <f aca="false">IF(G2347="","",IFERROR(IF(ISNUMBER(SEARCH(Assumptions!$C$5,G2347)),Assumptions!$D$5,IF(ISNUMBER(SEARCH(Assumptions!$C$6,G2347)),Assumptions!$D$6,IF(ISNUMBER(SEARCH(Assumptions!$C$7,G2347)),Assumptions!$D$7,"Other Services"))),"Other Services"))</f>
        <v/>
      </c>
    </row>
    <row r="2348" customFormat="false" ht="15" hidden="false" customHeight="false" outlineLevel="0" collapsed="false">
      <c r="E2348" s="41" t="str">
        <f aca="false">IF(D2348="","",IFERROR(VLOOKUP(D2348,Assumptions!$G$5:$H$16,2,0),"Other"))</f>
        <v/>
      </c>
      <c r="J2348" s="41" t="str">
        <f aca="false">IF(G2348="","",IFERROR(IF(ISNUMBER(SEARCH(Assumptions!$C$5,G2348)),Assumptions!$D$5,IF(ISNUMBER(SEARCH(Assumptions!$C$6,G2348)),Assumptions!$D$6,IF(ISNUMBER(SEARCH(Assumptions!$C$7,G2348)),Assumptions!$D$7,"Other Services"))),"Other Services"))</f>
        <v/>
      </c>
    </row>
    <row r="2349" customFormat="false" ht="15" hidden="false" customHeight="false" outlineLevel="0" collapsed="false">
      <c r="E2349" s="41" t="str">
        <f aca="false">IF(D2349="","",IFERROR(VLOOKUP(D2349,Assumptions!$G$5:$H$16,2,0),"Other"))</f>
        <v/>
      </c>
      <c r="J2349" s="41" t="str">
        <f aca="false">IF(G2349="","",IFERROR(IF(ISNUMBER(SEARCH(Assumptions!$C$5,G2349)),Assumptions!$D$5,IF(ISNUMBER(SEARCH(Assumptions!$C$6,G2349)),Assumptions!$D$6,IF(ISNUMBER(SEARCH(Assumptions!$C$7,G2349)),Assumptions!$D$7,"Other Services"))),"Other Services"))</f>
        <v/>
      </c>
    </row>
    <row r="2350" customFormat="false" ht="15" hidden="false" customHeight="false" outlineLevel="0" collapsed="false">
      <c r="E2350" s="41" t="str">
        <f aca="false">IF(D2350="","",IFERROR(VLOOKUP(D2350,Assumptions!$G$5:$H$16,2,0),"Other"))</f>
        <v/>
      </c>
      <c r="J2350" s="41" t="str">
        <f aca="false">IF(G2350="","",IFERROR(IF(ISNUMBER(SEARCH(Assumptions!$C$5,G2350)),Assumptions!$D$5,IF(ISNUMBER(SEARCH(Assumptions!$C$6,G2350)),Assumptions!$D$6,IF(ISNUMBER(SEARCH(Assumptions!$C$7,G2350)),Assumptions!$D$7,"Other Services"))),"Other Services"))</f>
        <v/>
      </c>
    </row>
    <row r="2351" customFormat="false" ht="15" hidden="false" customHeight="false" outlineLevel="0" collapsed="false">
      <c r="E2351" s="41" t="str">
        <f aca="false">IF(D2351="","",IFERROR(VLOOKUP(D2351,Assumptions!$G$5:$H$16,2,0),"Other"))</f>
        <v/>
      </c>
      <c r="J2351" s="41" t="str">
        <f aca="false">IF(G2351="","",IFERROR(IF(ISNUMBER(SEARCH(Assumptions!$C$5,G2351)),Assumptions!$D$5,IF(ISNUMBER(SEARCH(Assumptions!$C$6,G2351)),Assumptions!$D$6,IF(ISNUMBER(SEARCH(Assumptions!$C$7,G2351)),Assumptions!$D$7,"Other Services"))),"Other Services"))</f>
        <v/>
      </c>
    </row>
    <row r="2352" customFormat="false" ht="15" hidden="false" customHeight="false" outlineLevel="0" collapsed="false">
      <c r="E2352" s="41" t="str">
        <f aca="false">IF(D2352="","",IFERROR(VLOOKUP(D2352,Assumptions!$G$5:$H$16,2,0),"Other"))</f>
        <v/>
      </c>
      <c r="J2352" s="41" t="str">
        <f aca="false">IF(G2352="","",IFERROR(IF(ISNUMBER(SEARCH(Assumptions!$C$5,G2352)),Assumptions!$D$5,IF(ISNUMBER(SEARCH(Assumptions!$C$6,G2352)),Assumptions!$D$6,IF(ISNUMBER(SEARCH(Assumptions!$C$7,G2352)),Assumptions!$D$7,"Other Services"))),"Other Services"))</f>
        <v/>
      </c>
    </row>
    <row r="2353" customFormat="false" ht="15" hidden="false" customHeight="false" outlineLevel="0" collapsed="false">
      <c r="E2353" s="41" t="str">
        <f aca="false">IF(D2353="","",IFERROR(VLOOKUP(D2353,Assumptions!$G$5:$H$16,2,0),"Other"))</f>
        <v/>
      </c>
      <c r="J2353" s="41" t="str">
        <f aca="false">IF(G2353="","",IFERROR(IF(ISNUMBER(SEARCH(Assumptions!$C$5,G2353)),Assumptions!$D$5,IF(ISNUMBER(SEARCH(Assumptions!$C$6,G2353)),Assumptions!$D$6,IF(ISNUMBER(SEARCH(Assumptions!$C$7,G2353)),Assumptions!$D$7,"Other Services"))),"Other Services"))</f>
        <v/>
      </c>
    </row>
    <row r="2354" customFormat="false" ht="15" hidden="false" customHeight="false" outlineLevel="0" collapsed="false">
      <c r="E2354" s="41" t="str">
        <f aca="false">IF(D2354="","",IFERROR(VLOOKUP(D2354,Assumptions!$G$5:$H$16,2,0),"Other"))</f>
        <v/>
      </c>
      <c r="J2354" s="41" t="str">
        <f aca="false">IF(G2354="","",IFERROR(IF(ISNUMBER(SEARCH(Assumptions!$C$5,G2354)),Assumptions!$D$5,IF(ISNUMBER(SEARCH(Assumptions!$C$6,G2354)),Assumptions!$D$6,IF(ISNUMBER(SEARCH(Assumptions!$C$7,G2354)),Assumptions!$D$7,"Other Services"))),"Other Services"))</f>
        <v/>
      </c>
    </row>
    <row r="2355" customFormat="false" ht="15" hidden="false" customHeight="false" outlineLevel="0" collapsed="false">
      <c r="E2355" s="41" t="str">
        <f aca="false">IF(D2355="","",IFERROR(VLOOKUP(D2355,Assumptions!$G$5:$H$16,2,0),"Other"))</f>
        <v/>
      </c>
      <c r="J2355" s="41" t="str">
        <f aca="false">IF(G2355="","",IFERROR(IF(ISNUMBER(SEARCH(Assumptions!$C$5,G2355)),Assumptions!$D$5,IF(ISNUMBER(SEARCH(Assumptions!$C$6,G2355)),Assumptions!$D$6,IF(ISNUMBER(SEARCH(Assumptions!$C$7,G2355)),Assumptions!$D$7,"Other Services"))),"Other Services"))</f>
        <v/>
      </c>
    </row>
    <row r="2356" customFormat="false" ht="15" hidden="false" customHeight="false" outlineLevel="0" collapsed="false">
      <c r="E2356" s="41" t="str">
        <f aca="false">IF(D2356="","",IFERROR(VLOOKUP(D2356,Assumptions!$G$5:$H$16,2,0),"Other"))</f>
        <v/>
      </c>
      <c r="J2356" s="41" t="str">
        <f aca="false">IF(G2356="","",IFERROR(IF(ISNUMBER(SEARCH(Assumptions!$C$5,G2356)),Assumptions!$D$5,IF(ISNUMBER(SEARCH(Assumptions!$C$6,G2356)),Assumptions!$D$6,IF(ISNUMBER(SEARCH(Assumptions!$C$7,G2356)),Assumptions!$D$7,"Other Services"))),"Other Services"))</f>
        <v/>
      </c>
    </row>
    <row r="2357" customFormat="false" ht="15" hidden="false" customHeight="false" outlineLevel="0" collapsed="false">
      <c r="E2357" s="41" t="str">
        <f aca="false">IF(D2357="","",IFERROR(VLOOKUP(D2357,Assumptions!$G$5:$H$16,2,0),"Other"))</f>
        <v/>
      </c>
      <c r="J2357" s="41" t="str">
        <f aca="false">IF(G2357="","",IFERROR(IF(ISNUMBER(SEARCH(Assumptions!$C$5,G2357)),Assumptions!$D$5,IF(ISNUMBER(SEARCH(Assumptions!$C$6,G2357)),Assumptions!$D$6,IF(ISNUMBER(SEARCH(Assumptions!$C$7,G2357)),Assumptions!$D$7,"Other Services"))),"Other Services"))</f>
        <v/>
      </c>
    </row>
    <row r="2358" customFormat="false" ht="15" hidden="false" customHeight="false" outlineLevel="0" collapsed="false">
      <c r="E2358" s="41" t="str">
        <f aca="false">IF(D2358="","",IFERROR(VLOOKUP(D2358,Assumptions!$G$5:$H$16,2,0),"Other"))</f>
        <v/>
      </c>
      <c r="J2358" s="41" t="str">
        <f aca="false">IF(G2358="","",IFERROR(IF(ISNUMBER(SEARCH(Assumptions!$C$5,G2358)),Assumptions!$D$5,IF(ISNUMBER(SEARCH(Assumptions!$C$6,G2358)),Assumptions!$D$6,IF(ISNUMBER(SEARCH(Assumptions!$C$7,G2358)),Assumptions!$D$7,"Other Services"))),"Other Services"))</f>
        <v/>
      </c>
    </row>
    <row r="2359" customFormat="false" ht="15" hidden="false" customHeight="false" outlineLevel="0" collapsed="false">
      <c r="E2359" s="41" t="str">
        <f aca="false">IF(D2359="","",IFERROR(VLOOKUP(D2359,Assumptions!$G$5:$H$16,2,0),"Other"))</f>
        <v/>
      </c>
      <c r="J2359" s="41" t="str">
        <f aca="false">IF(G2359="","",IFERROR(IF(ISNUMBER(SEARCH(Assumptions!$C$5,G2359)),Assumptions!$D$5,IF(ISNUMBER(SEARCH(Assumptions!$C$6,G2359)),Assumptions!$D$6,IF(ISNUMBER(SEARCH(Assumptions!$C$7,G2359)),Assumptions!$D$7,"Other Services"))),"Other Services"))</f>
        <v/>
      </c>
    </row>
    <row r="2360" customFormat="false" ht="15" hidden="false" customHeight="false" outlineLevel="0" collapsed="false">
      <c r="E2360" s="41" t="str">
        <f aca="false">IF(D2360="","",IFERROR(VLOOKUP(D2360,Assumptions!$G$5:$H$16,2,0),"Other"))</f>
        <v/>
      </c>
      <c r="J2360" s="41" t="str">
        <f aca="false">IF(G2360="","",IFERROR(IF(ISNUMBER(SEARCH(Assumptions!$C$5,G2360)),Assumptions!$D$5,IF(ISNUMBER(SEARCH(Assumptions!$C$6,G2360)),Assumptions!$D$6,IF(ISNUMBER(SEARCH(Assumptions!$C$7,G2360)),Assumptions!$D$7,"Other Services"))),"Other Services"))</f>
        <v/>
      </c>
    </row>
    <row r="2361" customFormat="false" ht="15" hidden="false" customHeight="false" outlineLevel="0" collapsed="false">
      <c r="E2361" s="41" t="str">
        <f aca="false">IF(D2361="","",IFERROR(VLOOKUP(D2361,Assumptions!$G$5:$H$16,2,0),"Other"))</f>
        <v/>
      </c>
      <c r="J2361" s="41" t="str">
        <f aca="false">IF(G2361="","",IFERROR(IF(ISNUMBER(SEARCH(Assumptions!$C$5,G2361)),Assumptions!$D$5,IF(ISNUMBER(SEARCH(Assumptions!$C$6,G2361)),Assumptions!$D$6,IF(ISNUMBER(SEARCH(Assumptions!$C$7,G2361)),Assumptions!$D$7,"Other Services"))),"Other Services"))</f>
        <v/>
      </c>
    </row>
    <row r="2362" customFormat="false" ht="15" hidden="false" customHeight="false" outlineLevel="0" collapsed="false">
      <c r="E2362" s="41" t="str">
        <f aca="false">IF(D2362="","",IFERROR(VLOOKUP(D2362,Assumptions!$G$5:$H$16,2,0),"Other"))</f>
        <v/>
      </c>
      <c r="J2362" s="41" t="str">
        <f aca="false">IF(G2362="","",IFERROR(IF(ISNUMBER(SEARCH(Assumptions!$C$5,G2362)),Assumptions!$D$5,IF(ISNUMBER(SEARCH(Assumptions!$C$6,G2362)),Assumptions!$D$6,IF(ISNUMBER(SEARCH(Assumptions!$C$7,G2362)),Assumptions!$D$7,"Other Services"))),"Other Services"))</f>
        <v/>
      </c>
    </row>
    <row r="2363" customFormat="false" ht="15" hidden="false" customHeight="false" outlineLevel="0" collapsed="false">
      <c r="E2363" s="41" t="str">
        <f aca="false">IF(D2363="","",IFERROR(VLOOKUP(D2363,Assumptions!$G$5:$H$16,2,0),"Other"))</f>
        <v/>
      </c>
      <c r="J2363" s="41" t="str">
        <f aca="false">IF(G2363="","",IFERROR(IF(ISNUMBER(SEARCH(Assumptions!$C$5,G2363)),Assumptions!$D$5,IF(ISNUMBER(SEARCH(Assumptions!$C$6,G2363)),Assumptions!$D$6,IF(ISNUMBER(SEARCH(Assumptions!$C$7,G2363)),Assumptions!$D$7,"Other Services"))),"Other Services"))</f>
        <v/>
      </c>
    </row>
    <row r="2364" customFormat="false" ht="15" hidden="false" customHeight="false" outlineLevel="0" collapsed="false">
      <c r="E2364" s="41" t="str">
        <f aca="false">IF(D2364="","",IFERROR(VLOOKUP(D2364,Assumptions!$G$5:$H$16,2,0),"Other"))</f>
        <v/>
      </c>
      <c r="J2364" s="41" t="str">
        <f aca="false">IF(G2364="","",IFERROR(IF(ISNUMBER(SEARCH(Assumptions!$C$5,G2364)),Assumptions!$D$5,IF(ISNUMBER(SEARCH(Assumptions!$C$6,G2364)),Assumptions!$D$6,IF(ISNUMBER(SEARCH(Assumptions!$C$7,G2364)),Assumptions!$D$7,"Other Services"))),"Other Services"))</f>
        <v/>
      </c>
    </row>
    <row r="2365" customFormat="false" ht="15" hidden="false" customHeight="false" outlineLevel="0" collapsed="false">
      <c r="E2365" s="41" t="str">
        <f aca="false">IF(D2365="","",IFERROR(VLOOKUP(D2365,Assumptions!$G$5:$H$16,2,0),"Other"))</f>
        <v/>
      </c>
      <c r="J2365" s="41" t="str">
        <f aca="false">IF(G2365="","",IFERROR(IF(ISNUMBER(SEARCH(Assumptions!$C$5,G2365)),Assumptions!$D$5,IF(ISNUMBER(SEARCH(Assumptions!$C$6,G2365)),Assumptions!$D$6,IF(ISNUMBER(SEARCH(Assumptions!$C$7,G2365)),Assumptions!$D$7,"Other Services"))),"Other Services"))</f>
        <v/>
      </c>
    </row>
    <row r="2366" customFormat="false" ht="15" hidden="false" customHeight="false" outlineLevel="0" collapsed="false">
      <c r="E2366" s="41" t="str">
        <f aca="false">IF(D2366="","",IFERROR(VLOOKUP(D2366,Assumptions!$G$5:$H$16,2,0),"Other"))</f>
        <v/>
      </c>
      <c r="J2366" s="41" t="str">
        <f aca="false">IF(G2366="","",IFERROR(IF(ISNUMBER(SEARCH(Assumptions!$C$5,G2366)),Assumptions!$D$5,IF(ISNUMBER(SEARCH(Assumptions!$C$6,G2366)),Assumptions!$D$6,IF(ISNUMBER(SEARCH(Assumptions!$C$7,G2366)),Assumptions!$D$7,"Other Services"))),"Other Services"))</f>
        <v/>
      </c>
    </row>
    <row r="2367" customFormat="false" ht="15" hidden="false" customHeight="false" outlineLevel="0" collapsed="false">
      <c r="E2367" s="41" t="str">
        <f aca="false">IF(D2367="","",IFERROR(VLOOKUP(D2367,Assumptions!$G$5:$H$16,2,0),"Other"))</f>
        <v/>
      </c>
      <c r="J2367" s="41" t="str">
        <f aca="false">IF(G2367="","",IFERROR(IF(ISNUMBER(SEARCH(Assumptions!$C$5,G2367)),Assumptions!$D$5,IF(ISNUMBER(SEARCH(Assumptions!$C$6,G2367)),Assumptions!$D$6,IF(ISNUMBER(SEARCH(Assumptions!$C$7,G2367)),Assumptions!$D$7,"Other Services"))),"Other Services"))</f>
        <v/>
      </c>
    </row>
    <row r="2368" customFormat="false" ht="15" hidden="false" customHeight="false" outlineLevel="0" collapsed="false">
      <c r="E2368" s="41" t="str">
        <f aca="false">IF(D2368="","",IFERROR(VLOOKUP(D2368,Assumptions!$G$5:$H$16,2,0),"Other"))</f>
        <v/>
      </c>
      <c r="J2368" s="41" t="str">
        <f aca="false">IF(G2368="","",IFERROR(IF(ISNUMBER(SEARCH(Assumptions!$C$5,G2368)),Assumptions!$D$5,IF(ISNUMBER(SEARCH(Assumptions!$C$6,G2368)),Assumptions!$D$6,IF(ISNUMBER(SEARCH(Assumptions!$C$7,G2368)),Assumptions!$D$7,"Other Services"))),"Other Services"))</f>
        <v/>
      </c>
    </row>
    <row r="2369" customFormat="false" ht="15" hidden="false" customHeight="false" outlineLevel="0" collapsed="false">
      <c r="E2369" s="41" t="str">
        <f aca="false">IF(D2369="","",IFERROR(VLOOKUP(D2369,Assumptions!$G$5:$H$16,2,0),"Other"))</f>
        <v/>
      </c>
      <c r="J2369" s="41" t="str">
        <f aca="false">IF(G2369="","",IFERROR(IF(ISNUMBER(SEARCH(Assumptions!$C$5,G2369)),Assumptions!$D$5,IF(ISNUMBER(SEARCH(Assumptions!$C$6,G2369)),Assumptions!$D$6,IF(ISNUMBER(SEARCH(Assumptions!$C$7,G2369)),Assumptions!$D$7,"Other Services"))),"Other Services"))</f>
        <v/>
      </c>
    </row>
    <row r="2370" customFormat="false" ht="15" hidden="false" customHeight="false" outlineLevel="0" collapsed="false">
      <c r="E2370" s="41" t="str">
        <f aca="false">IF(D2370="","",IFERROR(VLOOKUP(D2370,Assumptions!$G$5:$H$16,2,0),"Other"))</f>
        <v/>
      </c>
      <c r="J2370" s="41" t="str">
        <f aca="false">IF(G2370="","",IFERROR(IF(ISNUMBER(SEARCH(Assumptions!$C$5,G2370)),Assumptions!$D$5,IF(ISNUMBER(SEARCH(Assumptions!$C$6,G2370)),Assumptions!$D$6,IF(ISNUMBER(SEARCH(Assumptions!$C$7,G2370)),Assumptions!$D$7,"Other Services"))),"Other Services"))</f>
        <v/>
      </c>
    </row>
    <row r="2371" customFormat="false" ht="15" hidden="false" customHeight="false" outlineLevel="0" collapsed="false">
      <c r="E2371" s="41" t="str">
        <f aca="false">IF(D2371="","",IFERROR(VLOOKUP(D2371,Assumptions!$G$5:$H$16,2,0),"Other"))</f>
        <v/>
      </c>
      <c r="J2371" s="41" t="str">
        <f aca="false">IF(G2371="","",IFERROR(IF(ISNUMBER(SEARCH(Assumptions!$C$5,G2371)),Assumptions!$D$5,IF(ISNUMBER(SEARCH(Assumptions!$C$6,G2371)),Assumptions!$D$6,IF(ISNUMBER(SEARCH(Assumptions!$C$7,G2371)),Assumptions!$D$7,"Other Services"))),"Other Services"))</f>
        <v/>
      </c>
    </row>
    <row r="2372" customFormat="false" ht="15" hidden="false" customHeight="false" outlineLevel="0" collapsed="false">
      <c r="E2372" s="41" t="str">
        <f aca="false">IF(D2372="","",IFERROR(VLOOKUP(D2372,Assumptions!$G$5:$H$16,2,0),"Other"))</f>
        <v/>
      </c>
      <c r="J2372" s="41" t="str">
        <f aca="false">IF(G2372="","",IFERROR(IF(ISNUMBER(SEARCH(Assumptions!$C$5,G2372)),Assumptions!$D$5,IF(ISNUMBER(SEARCH(Assumptions!$C$6,G2372)),Assumptions!$D$6,IF(ISNUMBER(SEARCH(Assumptions!$C$7,G2372)),Assumptions!$D$7,"Other Services"))),"Other Services"))</f>
        <v/>
      </c>
    </row>
    <row r="2373" customFormat="false" ht="15" hidden="false" customHeight="false" outlineLevel="0" collapsed="false">
      <c r="E2373" s="41" t="str">
        <f aca="false">IF(D2373="","",IFERROR(VLOOKUP(D2373,Assumptions!$G$5:$H$16,2,0),"Other"))</f>
        <v/>
      </c>
      <c r="J2373" s="41" t="str">
        <f aca="false">IF(G2373="","",IFERROR(IF(ISNUMBER(SEARCH(Assumptions!$C$5,G2373)),Assumptions!$D$5,IF(ISNUMBER(SEARCH(Assumptions!$C$6,G2373)),Assumptions!$D$6,IF(ISNUMBER(SEARCH(Assumptions!$C$7,G2373)),Assumptions!$D$7,"Other Services"))),"Other Services"))</f>
        <v/>
      </c>
    </row>
    <row r="2374" customFormat="false" ht="15" hidden="false" customHeight="false" outlineLevel="0" collapsed="false">
      <c r="E2374" s="41" t="str">
        <f aca="false">IF(D2374="","",IFERROR(VLOOKUP(D2374,Assumptions!$G$5:$H$16,2,0),"Other"))</f>
        <v/>
      </c>
      <c r="J2374" s="41" t="str">
        <f aca="false">IF(G2374="","",IFERROR(IF(ISNUMBER(SEARCH(Assumptions!$C$5,G2374)),Assumptions!$D$5,IF(ISNUMBER(SEARCH(Assumptions!$C$6,G2374)),Assumptions!$D$6,IF(ISNUMBER(SEARCH(Assumptions!$C$7,G2374)),Assumptions!$D$7,"Other Services"))),"Other Services"))</f>
        <v/>
      </c>
    </row>
    <row r="2375" customFormat="false" ht="15" hidden="false" customHeight="false" outlineLevel="0" collapsed="false">
      <c r="E2375" s="41" t="str">
        <f aca="false">IF(D2375="","",IFERROR(VLOOKUP(D2375,Assumptions!$G$5:$H$16,2,0),"Other"))</f>
        <v/>
      </c>
      <c r="J2375" s="41" t="str">
        <f aca="false">IF(G2375="","",IFERROR(IF(ISNUMBER(SEARCH(Assumptions!$C$5,G2375)),Assumptions!$D$5,IF(ISNUMBER(SEARCH(Assumptions!$C$6,G2375)),Assumptions!$D$6,IF(ISNUMBER(SEARCH(Assumptions!$C$7,G2375)),Assumptions!$D$7,"Other Services"))),"Other Services"))</f>
        <v/>
      </c>
    </row>
    <row r="2376" customFormat="false" ht="15" hidden="false" customHeight="false" outlineLevel="0" collapsed="false">
      <c r="E2376" s="41" t="str">
        <f aca="false">IF(D2376="","",IFERROR(VLOOKUP(D2376,Assumptions!$G$5:$H$16,2,0),"Other"))</f>
        <v/>
      </c>
      <c r="J2376" s="41" t="str">
        <f aca="false">IF(G2376="","",IFERROR(IF(ISNUMBER(SEARCH(Assumptions!$C$5,G2376)),Assumptions!$D$5,IF(ISNUMBER(SEARCH(Assumptions!$C$6,G2376)),Assumptions!$D$6,IF(ISNUMBER(SEARCH(Assumptions!$C$7,G2376)),Assumptions!$D$7,"Other Services"))),"Other Services"))</f>
        <v/>
      </c>
    </row>
    <row r="2377" customFormat="false" ht="15" hidden="false" customHeight="false" outlineLevel="0" collapsed="false">
      <c r="E2377" s="41" t="str">
        <f aca="false">IF(D2377="","",IFERROR(VLOOKUP(D2377,Assumptions!$G$5:$H$16,2,0),"Other"))</f>
        <v/>
      </c>
      <c r="J2377" s="41" t="str">
        <f aca="false">IF(G2377="","",IFERROR(IF(ISNUMBER(SEARCH(Assumptions!$C$5,G2377)),Assumptions!$D$5,IF(ISNUMBER(SEARCH(Assumptions!$C$6,G2377)),Assumptions!$D$6,IF(ISNUMBER(SEARCH(Assumptions!$C$7,G2377)),Assumptions!$D$7,"Other Services"))),"Other Services"))</f>
        <v/>
      </c>
    </row>
    <row r="2378" customFormat="false" ht="15" hidden="false" customHeight="false" outlineLevel="0" collapsed="false">
      <c r="E2378" s="41" t="str">
        <f aca="false">IF(D2378="","",IFERROR(VLOOKUP(D2378,Assumptions!$G$5:$H$16,2,0),"Other"))</f>
        <v/>
      </c>
      <c r="J2378" s="41" t="str">
        <f aca="false">IF(G2378="","",IFERROR(IF(ISNUMBER(SEARCH(Assumptions!$C$5,G2378)),Assumptions!$D$5,IF(ISNUMBER(SEARCH(Assumptions!$C$6,G2378)),Assumptions!$D$6,IF(ISNUMBER(SEARCH(Assumptions!$C$7,G2378)),Assumptions!$D$7,"Other Services"))),"Other Services"))</f>
        <v/>
      </c>
    </row>
    <row r="2379" customFormat="false" ht="15" hidden="false" customHeight="false" outlineLevel="0" collapsed="false">
      <c r="E2379" s="41" t="str">
        <f aca="false">IF(D2379="","",IFERROR(VLOOKUP(D2379,Assumptions!$G$5:$H$16,2,0),"Other"))</f>
        <v/>
      </c>
      <c r="J2379" s="41" t="str">
        <f aca="false">IF(G2379="","",IFERROR(IF(ISNUMBER(SEARCH(Assumptions!$C$5,G2379)),Assumptions!$D$5,IF(ISNUMBER(SEARCH(Assumptions!$C$6,G2379)),Assumptions!$D$6,IF(ISNUMBER(SEARCH(Assumptions!$C$7,G2379)),Assumptions!$D$7,"Other Services"))),"Other Services"))</f>
        <v/>
      </c>
    </row>
    <row r="2380" customFormat="false" ht="15" hidden="false" customHeight="false" outlineLevel="0" collapsed="false">
      <c r="E2380" s="41" t="str">
        <f aca="false">IF(D2380="","",IFERROR(VLOOKUP(D2380,Assumptions!$G$5:$H$16,2,0),"Other"))</f>
        <v/>
      </c>
      <c r="J2380" s="41" t="str">
        <f aca="false">IF(G2380="","",IFERROR(IF(ISNUMBER(SEARCH(Assumptions!$C$5,G2380)),Assumptions!$D$5,IF(ISNUMBER(SEARCH(Assumptions!$C$6,G2380)),Assumptions!$D$6,IF(ISNUMBER(SEARCH(Assumptions!$C$7,G2380)),Assumptions!$D$7,"Other Services"))),"Other Services"))</f>
        <v/>
      </c>
    </row>
    <row r="2381" customFormat="false" ht="15" hidden="false" customHeight="false" outlineLevel="0" collapsed="false">
      <c r="E2381" s="41" t="str">
        <f aca="false">IF(D2381="","",IFERROR(VLOOKUP(D2381,Assumptions!$G$5:$H$16,2,0),"Other"))</f>
        <v/>
      </c>
      <c r="J2381" s="41" t="str">
        <f aca="false">IF(G2381="","",IFERROR(IF(ISNUMBER(SEARCH(Assumptions!$C$5,G2381)),Assumptions!$D$5,IF(ISNUMBER(SEARCH(Assumptions!$C$6,G2381)),Assumptions!$D$6,IF(ISNUMBER(SEARCH(Assumptions!$C$7,G2381)),Assumptions!$D$7,"Other Services"))),"Other Services"))</f>
        <v/>
      </c>
    </row>
    <row r="2382" customFormat="false" ht="15" hidden="false" customHeight="false" outlineLevel="0" collapsed="false">
      <c r="E2382" s="41" t="str">
        <f aca="false">IF(D2382="","",IFERROR(VLOOKUP(D2382,Assumptions!$G$5:$H$16,2,0),"Other"))</f>
        <v/>
      </c>
      <c r="J2382" s="41" t="str">
        <f aca="false">IF(G2382="","",IFERROR(IF(ISNUMBER(SEARCH(Assumptions!$C$5,G2382)),Assumptions!$D$5,IF(ISNUMBER(SEARCH(Assumptions!$C$6,G2382)),Assumptions!$D$6,IF(ISNUMBER(SEARCH(Assumptions!$C$7,G2382)),Assumptions!$D$7,"Other Services"))),"Other Services"))</f>
        <v/>
      </c>
    </row>
    <row r="2383" customFormat="false" ht="15" hidden="false" customHeight="false" outlineLevel="0" collapsed="false">
      <c r="E2383" s="41" t="str">
        <f aca="false">IF(D2383="","",IFERROR(VLOOKUP(D2383,Assumptions!$G$5:$H$16,2,0),"Other"))</f>
        <v/>
      </c>
      <c r="J2383" s="41" t="str">
        <f aca="false">IF(G2383="","",IFERROR(IF(ISNUMBER(SEARCH(Assumptions!$C$5,G2383)),Assumptions!$D$5,IF(ISNUMBER(SEARCH(Assumptions!$C$6,G2383)),Assumptions!$D$6,IF(ISNUMBER(SEARCH(Assumptions!$C$7,G2383)),Assumptions!$D$7,"Other Services"))),"Other Services"))</f>
        <v/>
      </c>
    </row>
    <row r="2384" customFormat="false" ht="15" hidden="false" customHeight="false" outlineLevel="0" collapsed="false">
      <c r="E2384" s="41" t="str">
        <f aca="false">IF(D2384="","",IFERROR(VLOOKUP(D2384,Assumptions!$G$5:$H$16,2,0),"Other"))</f>
        <v/>
      </c>
      <c r="J2384" s="41" t="str">
        <f aca="false">IF(G2384="","",IFERROR(IF(ISNUMBER(SEARCH(Assumptions!$C$5,G2384)),Assumptions!$D$5,IF(ISNUMBER(SEARCH(Assumptions!$C$6,G2384)),Assumptions!$D$6,IF(ISNUMBER(SEARCH(Assumptions!$C$7,G2384)),Assumptions!$D$7,"Other Services"))),"Other Services"))</f>
        <v/>
      </c>
    </row>
    <row r="2385" customFormat="false" ht="15" hidden="false" customHeight="false" outlineLevel="0" collapsed="false">
      <c r="E2385" s="41" t="str">
        <f aca="false">IF(D2385="","",IFERROR(VLOOKUP(D2385,Assumptions!$G$5:$H$16,2,0),"Other"))</f>
        <v/>
      </c>
      <c r="J2385" s="41" t="str">
        <f aca="false">IF(G2385="","",IFERROR(IF(ISNUMBER(SEARCH(Assumptions!$C$5,G2385)),Assumptions!$D$5,IF(ISNUMBER(SEARCH(Assumptions!$C$6,G2385)),Assumptions!$D$6,IF(ISNUMBER(SEARCH(Assumptions!$C$7,G2385)),Assumptions!$D$7,"Other Services"))),"Other Services"))</f>
        <v/>
      </c>
    </row>
    <row r="2386" customFormat="false" ht="15" hidden="false" customHeight="false" outlineLevel="0" collapsed="false">
      <c r="E2386" s="41" t="str">
        <f aca="false">IF(D2386="","",IFERROR(VLOOKUP(D2386,Assumptions!$G$5:$H$16,2,0),"Other"))</f>
        <v/>
      </c>
      <c r="J2386" s="41" t="str">
        <f aca="false">IF(G2386="","",IFERROR(IF(ISNUMBER(SEARCH(Assumptions!$C$5,G2386)),Assumptions!$D$5,IF(ISNUMBER(SEARCH(Assumptions!$C$6,G2386)),Assumptions!$D$6,IF(ISNUMBER(SEARCH(Assumptions!$C$7,G2386)),Assumptions!$D$7,"Other Services"))),"Other Services"))</f>
        <v/>
      </c>
    </row>
    <row r="2387" customFormat="false" ht="15" hidden="false" customHeight="false" outlineLevel="0" collapsed="false">
      <c r="E2387" s="41" t="str">
        <f aca="false">IF(D2387="","",IFERROR(VLOOKUP(D2387,Assumptions!$G$5:$H$16,2,0),"Other"))</f>
        <v/>
      </c>
      <c r="J2387" s="41" t="str">
        <f aca="false">IF(G2387="","",IFERROR(IF(ISNUMBER(SEARCH(Assumptions!$C$5,G2387)),Assumptions!$D$5,IF(ISNUMBER(SEARCH(Assumptions!$C$6,G2387)),Assumptions!$D$6,IF(ISNUMBER(SEARCH(Assumptions!$C$7,G2387)),Assumptions!$D$7,"Other Services"))),"Other Services"))</f>
        <v/>
      </c>
    </row>
    <row r="2388" customFormat="false" ht="15" hidden="false" customHeight="false" outlineLevel="0" collapsed="false">
      <c r="E2388" s="41" t="str">
        <f aca="false">IF(D2388="","",IFERROR(VLOOKUP(D2388,Assumptions!$G$5:$H$16,2,0),"Other"))</f>
        <v/>
      </c>
      <c r="J2388" s="41" t="str">
        <f aca="false">IF(G2388="","",IFERROR(IF(ISNUMBER(SEARCH(Assumptions!$C$5,G2388)),Assumptions!$D$5,IF(ISNUMBER(SEARCH(Assumptions!$C$6,G2388)),Assumptions!$D$6,IF(ISNUMBER(SEARCH(Assumptions!$C$7,G2388)),Assumptions!$D$7,"Other Services"))),"Other Services"))</f>
        <v/>
      </c>
    </row>
    <row r="2389" customFormat="false" ht="15" hidden="false" customHeight="false" outlineLevel="0" collapsed="false">
      <c r="E2389" s="41" t="str">
        <f aca="false">IF(D2389="","",IFERROR(VLOOKUP(D2389,Assumptions!$G$5:$H$16,2,0),"Other"))</f>
        <v/>
      </c>
      <c r="J2389" s="41" t="str">
        <f aca="false">IF(G2389="","",IFERROR(IF(ISNUMBER(SEARCH(Assumptions!$C$5,G2389)),Assumptions!$D$5,IF(ISNUMBER(SEARCH(Assumptions!$C$6,G2389)),Assumptions!$D$6,IF(ISNUMBER(SEARCH(Assumptions!$C$7,G2389)),Assumptions!$D$7,"Other Services"))),"Other Services"))</f>
        <v/>
      </c>
    </row>
    <row r="2390" customFormat="false" ht="15" hidden="false" customHeight="false" outlineLevel="0" collapsed="false">
      <c r="E2390" s="41" t="str">
        <f aca="false">IF(D2390="","",IFERROR(VLOOKUP(D2390,Assumptions!$G$5:$H$16,2,0),"Other"))</f>
        <v/>
      </c>
      <c r="J2390" s="41" t="str">
        <f aca="false">IF(G2390="","",IFERROR(IF(ISNUMBER(SEARCH(Assumptions!$C$5,G2390)),Assumptions!$D$5,IF(ISNUMBER(SEARCH(Assumptions!$C$6,G2390)),Assumptions!$D$6,IF(ISNUMBER(SEARCH(Assumptions!$C$7,G2390)),Assumptions!$D$7,"Other Services"))),"Other Services"))</f>
        <v/>
      </c>
    </row>
    <row r="2391" customFormat="false" ht="15" hidden="false" customHeight="false" outlineLevel="0" collapsed="false">
      <c r="E2391" s="41" t="str">
        <f aca="false">IF(D2391="","",IFERROR(VLOOKUP(D2391,Assumptions!$G$5:$H$16,2,0),"Other"))</f>
        <v/>
      </c>
      <c r="J2391" s="41" t="str">
        <f aca="false">IF(G2391="","",IFERROR(IF(ISNUMBER(SEARCH(Assumptions!$C$5,G2391)),Assumptions!$D$5,IF(ISNUMBER(SEARCH(Assumptions!$C$6,G2391)),Assumptions!$D$6,IF(ISNUMBER(SEARCH(Assumptions!$C$7,G2391)),Assumptions!$D$7,"Other Services"))),"Other Services"))</f>
        <v/>
      </c>
    </row>
    <row r="2392" customFormat="false" ht="15" hidden="false" customHeight="false" outlineLevel="0" collapsed="false">
      <c r="E2392" s="41" t="str">
        <f aca="false">IF(D2392="","",IFERROR(VLOOKUP(D2392,Assumptions!$G$5:$H$16,2,0),"Other"))</f>
        <v/>
      </c>
      <c r="J2392" s="41" t="str">
        <f aca="false">IF(G2392="","",IFERROR(IF(ISNUMBER(SEARCH(Assumptions!$C$5,G2392)),Assumptions!$D$5,IF(ISNUMBER(SEARCH(Assumptions!$C$6,G2392)),Assumptions!$D$6,IF(ISNUMBER(SEARCH(Assumptions!$C$7,G2392)),Assumptions!$D$7,"Other Services"))),"Other Services"))</f>
        <v/>
      </c>
    </row>
    <row r="2393" customFormat="false" ht="15" hidden="false" customHeight="false" outlineLevel="0" collapsed="false">
      <c r="E2393" s="41" t="str">
        <f aca="false">IF(D2393="","",IFERROR(VLOOKUP(D2393,Assumptions!$G$5:$H$16,2,0),"Other"))</f>
        <v/>
      </c>
      <c r="J2393" s="41" t="str">
        <f aca="false">IF(G2393="","",IFERROR(IF(ISNUMBER(SEARCH(Assumptions!$C$5,G2393)),Assumptions!$D$5,IF(ISNUMBER(SEARCH(Assumptions!$C$6,G2393)),Assumptions!$D$6,IF(ISNUMBER(SEARCH(Assumptions!$C$7,G2393)),Assumptions!$D$7,"Other Services"))),"Other Services"))</f>
        <v/>
      </c>
    </row>
    <row r="2394" customFormat="false" ht="15" hidden="false" customHeight="false" outlineLevel="0" collapsed="false">
      <c r="E2394" s="41" t="str">
        <f aca="false">IF(D2394="","",IFERROR(VLOOKUP(D2394,Assumptions!$G$5:$H$16,2,0),"Other"))</f>
        <v/>
      </c>
      <c r="J2394" s="41" t="str">
        <f aca="false">IF(G2394="","",IFERROR(IF(ISNUMBER(SEARCH(Assumptions!$C$5,G2394)),Assumptions!$D$5,IF(ISNUMBER(SEARCH(Assumptions!$C$6,G2394)),Assumptions!$D$6,IF(ISNUMBER(SEARCH(Assumptions!$C$7,G2394)),Assumptions!$D$7,"Other Services"))),"Other Services"))</f>
        <v/>
      </c>
    </row>
    <row r="2395" customFormat="false" ht="15" hidden="false" customHeight="false" outlineLevel="0" collapsed="false">
      <c r="E2395" s="41" t="str">
        <f aca="false">IF(D2395="","",IFERROR(VLOOKUP(D2395,Assumptions!$G$5:$H$16,2,0),"Other"))</f>
        <v/>
      </c>
      <c r="J2395" s="41" t="str">
        <f aca="false">IF(G2395="","",IFERROR(IF(ISNUMBER(SEARCH(Assumptions!$C$5,G2395)),Assumptions!$D$5,IF(ISNUMBER(SEARCH(Assumptions!$C$6,G2395)),Assumptions!$D$6,IF(ISNUMBER(SEARCH(Assumptions!$C$7,G2395)),Assumptions!$D$7,"Other Services"))),"Other Services"))</f>
        <v/>
      </c>
    </row>
    <row r="2396" customFormat="false" ht="15" hidden="false" customHeight="false" outlineLevel="0" collapsed="false">
      <c r="E2396" s="41" t="str">
        <f aca="false">IF(D2396="","",IFERROR(VLOOKUP(D2396,Assumptions!$G$5:$H$16,2,0),"Other"))</f>
        <v/>
      </c>
      <c r="J2396" s="41" t="str">
        <f aca="false">IF(G2396="","",IFERROR(IF(ISNUMBER(SEARCH(Assumptions!$C$5,G2396)),Assumptions!$D$5,IF(ISNUMBER(SEARCH(Assumptions!$C$6,G2396)),Assumptions!$D$6,IF(ISNUMBER(SEARCH(Assumptions!$C$7,G2396)),Assumptions!$D$7,"Other Services"))),"Other Services"))</f>
        <v/>
      </c>
    </row>
    <row r="2397" customFormat="false" ht="15" hidden="false" customHeight="false" outlineLevel="0" collapsed="false">
      <c r="E2397" s="41" t="str">
        <f aca="false">IF(D2397="","",IFERROR(VLOOKUP(D2397,Assumptions!$G$5:$H$16,2,0),"Other"))</f>
        <v/>
      </c>
      <c r="J2397" s="41" t="str">
        <f aca="false">IF(G2397="","",IFERROR(IF(ISNUMBER(SEARCH(Assumptions!$C$5,G2397)),Assumptions!$D$5,IF(ISNUMBER(SEARCH(Assumptions!$C$6,G2397)),Assumptions!$D$6,IF(ISNUMBER(SEARCH(Assumptions!$C$7,G2397)),Assumptions!$D$7,"Other Services"))),"Other Services"))</f>
        <v/>
      </c>
    </row>
    <row r="2398" customFormat="false" ht="15" hidden="false" customHeight="false" outlineLevel="0" collapsed="false">
      <c r="E2398" s="41" t="str">
        <f aca="false">IF(D2398="","",IFERROR(VLOOKUP(D2398,Assumptions!$G$5:$H$16,2,0),"Other"))</f>
        <v/>
      </c>
      <c r="J2398" s="41" t="str">
        <f aca="false">IF(G2398="","",IFERROR(IF(ISNUMBER(SEARCH(Assumptions!$C$5,G2398)),Assumptions!$D$5,IF(ISNUMBER(SEARCH(Assumptions!$C$6,G2398)),Assumptions!$D$6,IF(ISNUMBER(SEARCH(Assumptions!$C$7,G2398)),Assumptions!$D$7,"Other Services"))),"Other Services"))</f>
        <v/>
      </c>
    </row>
    <row r="2399" customFormat="false" ht="15" hidden="false" customHeight="false" outlineLevel="0" collapsed="false">
      <c r="E2399" s="41" t="str">
        <f aca="false">IF(D2399="","",IFERROR(VLOOKUP(D2399,Assumptions!$G$5:$H$16,2,0),"Other"))</f>
        <v/>
      </c>
      <c r="J2399" s="41" t="str">
        <f aca="false">IF(G2399="","",IFERROR(IF(ISNUMBER(SEARCH(Assumptions!$C$5,G2399)),Assumptions!$D$5,IF(ISNUMBER(SEARCH(Assumptions!$C$6,G2399)),Assumptions!$D$6,IF(ISNUMBER(SEARCH(Assumptions!$C$7,G2399)),Assumptions!$D$7,"Other Services"))),"Other Services"))</f>
        <v/>
      </c>
    </row>
    <row r="2400" customFormat="false" ht="15" hidden="false" customHeight="false" outlineLevel="0" collapsed="false">
      <c r="E2400" s="41" t="str">
        <f aca="false">IF(D2400="","",IFERROR(VLOOKUP(D2400,Assumptions!$G$5:$H$16,2,0),"Other"))</f>
        <v/>
      </c>
      <c r="J2400" s="41" t="str">
        <f aca="false">IF(G2400="","",IFERROR(IF(ISNUMBER(SEARCH(Assumptions!$C$5,G2400)),Assumptions!$D$5,IF(ISNUMBER(SEARCH(Assumptions!$C$6,G2400)),Assumptions!$D$6,IF(ISNUMBER(SEARCH(Assumptions!$C$7,G2400)),Assumptions!$D$7,"Other Services"))),"Other Services"))</f>
        <v/>
      </c>
    </row>
    <row r="2401" customFormat="false" ht="15" hidden="false" customHeight="false" outlineLevel="0" collapsed="false">
      <c r="E2401" s="41" t="str">
        <f aca="false">IF(D2401="","",IFERROR(VLOOKUP(D2401,Assumptions!$G$5:$H$16,2,0),"Other"))</f>
        <v/>
      </c>
      <c r="J2401" s="41" t="str">
        <f aca="false">IF(G2401="","",IFERROR(IF(ISNUMBER(SEARCH(Assumptions!$C$5,G2401)),Assumptions!$D$5,IF(ISNUMBER(SEARCH(Assumptions!$C$6,G2401)),Assumptions!$D$6,IF(ISNUMBER(SEARCH(Assumptions!$C$7,G2401)),Assumptions!$D$7,"Other Services"))),"Other Services"))</f>
        <v/>
      </c>
    </row>
    <row r="2402" customFormat="false" ht="15" hidden="false" customHeight="false" outlineLevel="0" collapsed="false">
      <c r="E2402" s="41" t="str">
        <f aca="false">IF(D2402="","",IFERROR(VLOOKUP(D2402,Assumptions!$G$5:$H$16,2,0),"Other"))</f>
        <v/>
      </c>
      <c r="J2402" s="41" t="str">
        <f aca="false">IF(G2402="","",IFERROR(IF(ISNUMBER(SEARCH(Assumptions!$C$5,G2402)),Assumptions!$D$5,IF(ISNUMBER(SEARCH(Assumptions!$C$6,G2402)),Assumptions!$D$6,IF(ISNUMBER(SEARCH(Assumptions!$C$7,G2402)),Assumptions!$D$7,"Other Services"))),"Other Services"))</f>
        <v/>
      </c>
    </row>
    <row r="2403" customFormat="false" ht="15" hidden="false" customHeight="false" outlineLevel="0" collapsed="false">
      <c r="E2403" s="41" t="str">
        <f aca="false">IF(D2403="","",IFERROR(VLOOKUP(D2403,Assumptions!$G$5:$H$16,2,0),"Other"))</f>
        <v/>
      </c>
      <c r="J2403" s="41" t="str">
        <f aca="false">IF(G2403="","",IFERROR(IF(ISNUMBER(SEARCH(Assumptions!$C$5,G2403)),Assumptions!$D$5,IF(ISNUMBER(SEARCH(Assumptions!$C$6,G2403)),Assumptions!$D$6,IF(ISNUMBER(SEARCH(Assumptions!$C$7,G2403)),Assumptions!$D$7,"Other Services"))),"Other Services"))</f>
        <v/>
      </c>
    </row>
    <row r="2404" customFormat="false" ht="15" hidden="false" customHeight="false" outlineLevel="0" collapsed="false">
      <c r="E2404" s="41" t="str">
        <f aca="false">IF(D2404="","",IFERROR(VLOOKUP(D2404,Assumptions!$G$5:$H$16,2,0),"Other"))</f>
        <v/>
      </c>
      <c r="J2404" s="41" t="str">
        <f aca="false">IF(G2404="","",IFERROR(IF(ISNUMBER(SEARCH(Assumptions!$C$5,G2404)),Assumptions!$D$5,IF(ISNUMBER(SEARCH(Assumptions!$C$6,G2404)),Assumptions!$D$6,IF(ISNUMBER(SEARCH(Assumptions!$C$7,G2404)),Assumptions!$D$7,"Other Services"))),"Other Services"))</f>
        <v/>
      </c>
    </row>
    <row r="2405" customFormat="false" ht="15" hidden="false" customHeight="false" outlineLevel="0" collapsed="false">
      <c r="E2405" s="41" t="str">
        <f aca="false">IF(D2405="","",IFERROR(VLOOKUP(D2405,Assumptions!$G$5:$H$16,2,0),"Other"))</f>
        <v/>
      </c>
      <c r="J2405" s="41" t="str">
        <f aca="false">IF(G2405="","",IFERROR(IF(ISNUMBER(SEARCH(Assumptions!$C$5,G2405)),Assumptions!$D$5,IF(ISNUMBER(SEARCH(Assumptions!$C$6,G2405)),Assumptions!$D$6,IF(ISNUMBER(SEARCH(Assumptions!$C$7,G2405)),Assumptions!$D$7,"Other Services"))),"Other Services"))</f>
        <v/>
      </c>
    </row>
    <row r="2406" customFormat="false" ht="15" hidden="false" customHeight="false" outlineLevel="0" collapsed="false">
      <c r="E2406" s="41" t="str">
        <f aca="false">IF(D2406="","",IFERROR(VLOOKUP(D2406,Assumptions!$G$5:$H$16,2,0),"Other"))</f>
        <v/>
      </c>
      <c r="J2406" s="41" t="str">
        <f aca="false">IF(G2406="","",IFERROR(IF(ISNUMBER(SEARCH(Assumptions!$C$5,G2406)),Assumptions!$D$5,IF(ISNUMBER(SEARCH(Assumptions!$C$6,G2406)),Assumptions!$D$6,IF(ISNUMBER(SEARCH(Assumptions!$C$7,G2406)),Assumptions!$D$7,"Other Services"))),"Other Services"))</f>
        <v/>
      </c>
    </row>
    <row r="2407" customFormat="false" ht="15" hidden="false" customHeight="false" outlineLevel="0" collapsed="false">
      <c r="E2407" s="41" t="str">
        <f aca="false">IF(D2407="","",IFERROR(VLOOKUP(D2407,Assumptions!$G$5:$H$16,2,0),"Other"))</f>
        <v/>
      </c>
      <c r="J2407" s="41" t="str">
        <f aca="false">IF(G2407="","",IFERROR(IF(ISNUMBER(SEARCH(Assumptions!$C$5,G2407)),Assumptions!$D$5,IF(ISNUMBER(SEARCH(Assumptions!$C$6,G2407)),Assumptions!$D$6,IF(ISNUMBER(SEARCH(Assumptions!$C$7,G2407)),Assumptions!$D$7,"Other Services"))),"Other Services"))</f>
        <v/>
      </c>
    </row>
    <row r="2408" customFormat="false" ht="15" hidden="false" customHeight="false" outlineLevel="0" collapsed="false">
      <c r="E2408" s="41" t="str">
        <f aca="false">IF(D2408="","",IFERROR(VLOOKUP(D2408,Assumptions!$G$5:$H$16,2,0),"Other"))</f>
        <v/>
      </c>
      <c r="J2408" s="41" t="str">
        <f aca="false">IF(G2408="","",IFERROR(IF(ISNUMBER(SEARCH(Assumptions!$C$5,G2408)),Assumptions!$D$5,IF(ISNUMBER(SEARCH(Assumptions!$C$6,G2408)),Assumptions!$D$6,IF(ISNUMBER(SEARCH(Assumptions!$C$7,G2408)),Assumptions!$D$7,"Other Services"))),"Other Services"))</f>
        <v/>
      </c>
    </row>
    <row r="2409" customFormat="false" ht="15" hidden="false" customHeight="false" outlineLevel="0" collapsed="false">
      <c r="E2409" s="41" t="str">
        <f aca="false">IF(D2409="","",IFERROR(VLOOKUP(D2409,Assumptions!$G$5:$H$16,2,0),"Other"))</f>
        <v/>
      </c>
      <c r="J2409" s="41" t="str">
        <f aca="false">IF(G2409="","",IFERROR(IF(ISNUMBER(SEARCH(Assumptions!$C$5,G2409)),Assumptions!$D$5,IF(ISNUMBER(SEARCH(Assumptions!$C$6,G2409)),Assumptions!$D$6,IF(ISNUMBER(SEARCH(Assumptions!$C$7,G2409)),Assumptions!$D$7,"Other Services"))),"Other Services"))</f>
        <v/>
      </c>
    </row>
    <row r="2410" customFormat="false" ht="15" hidden="false" customHeight="false" outlineLevel="0" collapsed="false">
      <c r="E2410" s="41" t="str">
        <f aca="false">IF(D2410="","",IFERROR(VLOOKUP(D2410,Assumptions!$G$5:$H$16,2,0),"Other"))</f>
        <v/>
      </c>
      <c r="J2410" s="41" t="str">
        <f aca="false">IF(G2410="","",IFERROR(IF(ISNUMBER(SEARCH(Assumptions!$C$5,G2410)),Assumptions!$D$5,IF(ISNUMBER(SEARCH(Assumptions!$C$6,G2410)),Assumptions!$D$6,IF(ISNUMBER(SEARCH(Assumptions!$C$7,G2410)),Assumptions!$D$7,"Other Services"))),"Other Services"))</f>
        <v/>
      </c>
    </row>
    <row r="2411" customFormat="false" ht="15" hidden="false" customHeight="false" outlineLevel="0" collapsed="false">
      <c r="E2411" s="41" t="str">
        <f aca="false">IF(D2411="","",IFERROR(VLOOKUP(D2411,Assumptions!$G$5:$H$16,2,0),"Other"))</f>
        <v/>
      </c>
      <c r="J2411" s="41" t="str">
        <f aca="false">IF(G2411="","",IFERROR(IF(ISNUMBER(SEARCH(Assumptions!$C$5,G2411)),Assumptions!$D$5,IF(ISNUMBER(SEARCH(Assumptions!$C$6,G2411)),Assumptions!$D$6,IF(ISNUMBER(SEARCH(Assumptions!$C$7,G2411)),Assumptions!$D$7,"Other Services"))),"Other Services"))</f>
        <v/>
      </c>
    </row>
    <row r="2412" customFormat="false" ht="15" hidden="false" customHeight="false" outlineLevel="0" collapsed="false">
      <c r="E2412" s="41" t="str">
        <f aca="false">IF(D2412="","",IFERROR(VLOOKUP(D2412,Assumptions!$G$5:$H$16,2,0),"Other"))</f>
        <v/>
      </c>
      <c r="J2412" s="41" t="str">
        <f aca="false">IF(G2412="","",IFERROR(IF(ISNUMBER(SEARCH(Assumptions!$C$5,G2412)),Assumptions!$D$5,IF(ISNUMBER(SEARCH(Assumptions!$C$6,G2412)),Assumptions!$D$6,IF(ISNUMBER(SEARCH(Assumptions!$C$7,G2412)),Assumptions!$D$7,"Other Services"))),"Other Services"))</f>
        <v/>
      </c>
    </row>
    <row r="2413" customFormat="false" ht="15" hidden="false" customHeight="false" outlineLevel="0" collapsed="false">
      <c r="E2413" s="41" t="str">
        <f aca="false">IF(D2413="","",IFERROR(VLOOKUP(D2413,Assumptions!$G$5:$H$16,2,0),"Other"))</f>
        <v/>
      </c>
      <c r="J2413" s="41" t="str">
        <f aca="false">IF(G2413="","",IFERROR(IF(ISNUMBER(SEARCH(Assumptions!$C$5,G2413)),Assumptions!$D$5,IF(ISNUMBER(SEARCH(Assumptions!$C$6,G2413)),Assumptions!$D$6,IF(ISNUMBER(SEARCH(Assumptions!$C$7,G2413)),Assumptions!$D$7,"Other Services"))),"Other Services"))</f>
        <v/>
      </c>
    </row>
    <row r="2414" customFormat="false" ht="15" hidden="false" customHeight="false" outlineLevel="0" collapsed="false">
      <c r="E2414" s="41" t="str">
        <f aca="false">IF(D2414="","",IFERROR(VLOOKUP(D2414,Assumptions!$G$5:$H$16,2,0),"Other"))</f>
        <v/>
      </c>
      <c r="J2414" s="41" t="str">
        <f aca="false">IF(G2414="","",IFERROR(IF(ISNUMBER(SEARCH(Assumptions!$C$5,G2414)),Assumptions!$D$5,IF(ISNUMBER(SEARCH(Assumptions!$C$6,G2414)),Assumptions!$D$6,IF(ISNUMBER(SEARCH(Assumptions!$C$7,G2414)),Assumptions!$D$7,"Other Services"))),"Other Services"))</f>
        <v/>
      </c>
    </row>
    <row r="2415" customFormat="false" ht="15" hidden="false" customHeight="false" outlineLevel="0" collapsed="false">
      <c r="E2415" s="41" t="str">
        <f aca="false">IF(D2415="","",IFERROR(VLOOKUP(D2415,Assumptions!$G$5:$H$16,2,0),"Other"))</f>
        <v/>
      </c>
      <c r="J2415" s="41" t="str">
        <f aca="false">IF(G2415="","",IFERROR(IF(ISNUMBER(SEARCH(Assumptions!$C$5,G2415)),Assumptions!$D$5,IF(ISNUMBER(SEARCH(Assumptions!$C$6,G2415)),Assumptions!$D$6,IF(ISNUMBER(SEARCH(Assumptions!$C$7,G2415)),Assumptions!$D$7,"Other Services"))),"Other Services"))</f>
        <v/>
      </c>
    </row>
    <row r="2416" customFormat="false" ht="15" hidden="false" customHeight="false" outlineLevel="0" collapsed="false">
      <c r="E2416" s="41" t="str">
        <f aca="false">IF(D2416="","",IFERROR(VLOOKUP(D2416,Assumptions!$G$5:$H$16,2,0),"Other"))</f>
        <v/>
      </c>
      <c r="J2416" s="41" t="str">
        <f aca="false">IF(G2416="","",IFERROR(IF(ISNUMBER(SEARCH(Assumptions!$C$5,G2416)),Assumptions!$D$5,IF(ISNUMBER(SEARCH(Assumptions!$C$6,G2416)),Assumptions!$D$6,IF(ISNUMBER(SEARCH(Assumptions!$C$7,G2416)),Assumptions!$D$7,"Other Services"))),"Other Services"))</f>
        <v/>
      </c>
    </row>
    <row r="2417" customFormat="false" ht="15" hidden="false" customHeight="false" outlineLevel="0" collapsed="false">
      <c r="E2417" s="41" t="str">
        <f aca="false">IF(D2417="","",IFERROR(VLOOKUP(D2417,Assumptions!$G$5:$H$16,2,0),"Other"))</f>
        <v/>
      </c>
      <c r="J2417" s="41" t="str">
        <f aca="false">IF(G2417="","",IFERROR(IF(ISNUMBER(SEARCH(Assumptions!$C$5,G2417)),Assumptions!$D$5,IF(ISNUMBER(SEARCH(Assumptions!$C$6,G2417)),Assumptions!$D$6,IF(ISNUMBER(SEARCH(Assumptions!$C$7,G2417)),Assumptions!$D$7,"Other Services"))),"Other Services"))</f>
        <v/>
      </c>
    </row>
    <row r="2418" customFormat="false" ht="15" hidden="false" customHeight="false" outlineLevel="0" collapsed="false">
      <c r="E2418" s="41" t="str">
        <f aca="false">IF(D2418="","",IFERROR(VLOOKUP(D2418,Assumptions!$G$5:$H$16,2,0),"Other"))</f>
        <v/>
      </c>
      <c r="J2418" s="41" t="str">
        <f aca="false">IF(G2418="","",IFERROR(IF(ISNUMBER(SEARCH(Assumptions!$C$5,G2418)),Assumptions!$D$5,IF(ISNUMBER(SEARCH(Assumptions!$C$6,G2418)),Assumptions!$D$6,IF(ISNUMBER(SEARCH(Assumptions!$C$7,G2418)),Assumptions!$D$7,"Other Services"))),"Other Services"))</f>
        <v/>
      </c>
    </row>
    <row r="2419" customFormat="false" ht="15" hidden="false" customHeight="false" outlineLevel="0" collapsed="false">
      <c r="E2419" s="41" t="str">
        <f aca="false">IF(D2419="","",IFERROR(VLOOKUP(D2419,Assumptions!$G$5:$H$16,2,0),"Other"))</f>
        <v/>
      </c>
      <c r="J2419" s="41" t="str">
        <f aca="false">IF(G2419="","",IFERROR(IF(ISNUMBER(SEARCH(Assumptions!$C$5,G2419)),Assumptions!$D$5,IF(ISNUMBER(SEARCH(Assumptions!$C$6,G2419)),Assumptions!$D$6,IF(ISNUMBER(SEARCH(Assumptions!$C$7,G2419)),Assumptions!$D$7,"Other Services"))),"Other Services"))</f>
        <v/>
      </c>
    </row>
    <row r="2420" customFormat="false" ht="15" hidden="false" customHeight="false" outlineLevel="0" collapsed="false">
      <c r="E2420" s="41" t="str">
        <f aca="false">IF(D2420="","",IFERROR(VLOOKUP(D2420,Assumptions!$G$5:$H$16,2,0),"Other"))</f>
        <v/>
      </c>
      <c r="J2420" s="41" t="str">
        <f aca="false">IF(G2420="","",IFERROR(IF(ISNUMBER(SEARCH(Assumptions!$C$5,G2420)),Assumptions!$D$5,IF(ISNUMBER(SEARCH(Assumptions!$C$6,G2420)),Assumptions!$D$6,IF(ISNUMBER(SEARCH(Assumptions!$C$7,G2420)),Assumptions!$D$7,"Other Services"))),"Other Services"))</f>
        <v/>
      </c>
    </row>
    <row r="2421" customFormat="false" ht="15" hidden="false" customHeight="false" outlineLevel="0" collapsed="false">
      <c r="E2421" s="41" t="str">
        <f aca="false">IF(D2421="","",IFERROR(VLOOKUP(D2421,Assumptions!$G$5:$H$16,2,0),"Other"))</f>
        <v/>
      </c>
      <c r="J2421" s="41" t="str">
        <f aca="false">IF(G2421="","",IFERROR(IF(ISNUMBER(SEARCH(Assumptions!$C$5,G2421)),Assumptions!$D$5,IF(ISNUMBER(SEARCH(Assumptions!$C$6,G2421)),Assumptions!$D$6,IF(ISNUMBER(SEARCH(Assumptions!$C$7,G2421)),Assumptions!$D$7,"Other Services"))),"Other Services"))</f>
        <v/>
      </c>
    </row>
    <row r="2422" customFormat="false" ht="15" hidden="false" customHeight="false" outlineLevel="0" collapsed="false">
      <c r="E2422" s="41" t="str">
        <f aca="false">IF(D2422="","",IFERROR(VLOOKUP(D2422,Assumptions!$G$5:$H$16,2,0),"Other"))</f>
        <v/>
      </c>
      <c r="J2422" s="41" t="str">
        <f aca="false">IF(G2422="","",IFERROR(IF(ISNUMBER(SEARCH(Assumptions!$C$5,G2422)),Assumptions!$D$5,IF(ISNUMBER(SEARCH(Assumptions!$C$6,G2422)),Assumptions!$D$6,IF(ISNUMBER(SEARCH(Assumptions!$C$7,G2422)),Assumptions!$D$7,"Other Services"))),"Other Services"))</f>
        <v/>
      </c>
    </row>
    <row r="2423" customFormat="false" ht="15" hidden="false" customHeight="false" outlineLevel="0" collapsed="false">
      <c r="E2423" s="41" t="str">
        <f aca="false">IF(D2423="","",IFERROR(VLOOKUP(D2423,Assumptions!$G$5:$H$16,2,0),"Other"))</f>
        <v/>
      </c>
      <c r="J2423" s="41" t="str">
        <f aca="false">IF(G2423="","",IFERROR(IF(ISNUMBER(SEARCH(Assumptions!$C$5,G2423)),Assumptions!$D$5,IF(ISNUMBER(SEARCH(Assumptions!$C$6,G2423)),Assumptions!$D$6,IF(ISNUMBER(SEARCH(Assumptions!$C$7,G2423)),Assumptions!$D$7,"Other Services"))),"Other Services"))</f>
        <v/>
      </c>
    </row>
    <row r="2424" customFormat="false" ht="15" hidden="false" customHeight="false" outlineLevel="0" collapsed="false">
      <c r="E2424" s="41" t="str">
        <f aca="false">IF(D2424="","",IFERROR(VLOOKUP(D2424,Assumptions!$G$5:$H$16,2,0),"Other"))</f>
        <v/>
      </c>
      <c r="J2424" s="41" t="str">
        <f aca="false">IF(G2424="","",IFERROR(IF(ISNUMBER(SEARCH(Assumptions!$C$5,G2424)),Assumptions!$D$5,IF(ISNUMBER(SEARCH(Assumptions!$C$6,G2424)),Assumptions!$D$6,IF(ISNUMBER(SEARCH(Assumptions!$C$7,G2424)),Assumptions!$D$7,"Other Services"))),"Other Services"))</f>
        <v/>
      </c>
    </row>
    <row r="2425" customFormat="false" ht="15" hidden="false" customHeight="false" outlineLevel="0" collapsed="false">
      <c r="E2425" s="41" t="str">
        <f aca="false">IF(D2425="","",IFERROR(VLOOKUP(D2425,Assumptions!$G$5:$H$16,2,0),"Other"))</f>
        <v/>
      </c>
      <c r="J2425" s="41" t="str">
        <f aca="false">IF(G2425="","",IFERROR(IF(ISNUMBER(SEARCH(Assumptions!$C$5,G2425)),Assumptions!$D$5,IF(ISNUMBER(SEARCH(Assumptions!$C$6,G2425)),Assumptions!$D$6,IF(ISNUMBER(SEARCH(Assumptions!$C$7,G2425)),Assumptions!$D$7,"Other Services"))),"Other Services"))</f>
        <v/>
      </c>
    </row>
    <row r="2426" customFormat="false" ht="15" hidden="false" customHeight="false" outlineLevel="0" collapsed="false">
      <c r="E2426" s="41" t="str">
        <f aca="false">IF(D2426="","",IFERROR(VLOOKUP(D2426,Assumptions!$G$5:$H$16,2,0),"Other"))</f>
        <v/>
      </c>
      <c r="J2426" s="41" t="str">
        <f aca="false">IF(G2426="","",IFERROR(IF(ISNUMBER(SEARCH(Assumptions!$C$5,G2426)),Assumptions!$D$5,IF(ISNUMBER(SEARCH(Assumptions!$C$6,G2426)),Assumptions!$D$6,IF(ISNUMBER(SEARCH(Assumptions!$C$7,G2426)),Assumptions!$D$7,"Other Services"))),"Other Services"))</f>
        <v/>
      </c>
    </row>
    <row r="2427" customFormat="false" ht="15" hidden="false" customHeight="false" outlineLevel="0" collapsed="false">
      <c r="E2427" s="41" t="str">
        <f aca="false">IF(D2427="","",IFERROR(VLOOKUP(D2427,Assumptions!$G$5:$H$16,2,0),"Other"))</f>
        <v/>
      </c>
      <c r="J2427" s="41" t="str">
        <f aca="false">IF(G2427="","",IFERROR(IF(ISNUMBER(SEARCH(Assumptions!$C$5,G2427)),Assumptions!$D$5,IF(ISNUMBER(SEARCH(Assumptions!$C$6,G2427)),Assumptions!$D$6,IF(ISNUMBER(SEARCH(Assumptions!$C$7,G2427)),Assumptions!$D$7,"Other Services"))),"Other Services"))</f>
        <v/>
      </c>
    </row>
    <row r="2428" customFormat="false" ht="15" hidden="false" customHeight="false" outlineLevel="0" collapsed="false">
      <c r="E2428" s="41" t="str">
        <f aca="false">IF(D2428="","",IFERROR(VLOOKUP(D2428,Assumptions!$G$5:$H$16,2,0),"Other"))</f>
        <v/>
      </c>
      <c r="J2428" s="41" t="str">
        <f aca="false">IF(G2428="","",IFERROR(IF(ISNUMBER(SEARCH(Assumptions!$C$5,G2428)),Assumptions!$D$5,IF(ISNUMBER(SEARCH(Assumptions!$C$6,G2428)),Assumptions!$D$6,IF(ISNUMBER(SEARCH(Assumptions!$C$7,G2428)),Assumptions!$D$7,"Other Services"))),"Other Services"))</f>
        <v/>
      </c>
    </row>
    <row r="2429" customFormat="false" ht="15" hidden="false" customHeight="false" outlineLevel="0" collapsed="false">
      <c r="E2429" s="41" t="str">
        <f aca="false">IF(D2429="","",IFERROR(VLOOKUP(D2429,Assumptions!$G$5:$H$16,2,0),"Other"))</f>
        <v/>
      </c>
      <c r="J2429" s="41" t="str">
        <f aca="false">IF(G2429="","",IFERROR(IF(ISNUMBER(SEARCH(Assumptions!$C$5,G2429)),Assumptions!$D$5,IF(ISNUMBER(SEARCH(Assumptions!$C$6,G2429)),Assumptions!$D$6,IF(ISNUMBER(SEARCH(Assumptions!$C$7,G2429)),Assumptions!$D$7,"Other Services"))),"Other Services"))</f>
        <v/>
      </c>
    </row>
    <row r="2430" customFormat="false" ht="15" hidden="false" customHeight="false" outlineLevel="0" collapsed="false">
      <c r="E2430" s="41" t="str">
        <f aca="false">IF(D2430="","",IFERROR(VLOOKUP(D2430,Assumptions!$G$5:$H$16,2,0),"Other"))</f>
        <v/>
      </c>
      <c r="J2430" s="41" t="str">
        <f aca="false">IF(G2430="","",IFERROR(IF(ISNUMBER(SEARCH(Assumptions!$C$5,G2430)),Assumptions!$D$5,IF(ISNUMBER(SEARCH(Assumptions!$C$6,G2430)),Assumptions!$D$6,IF(ISNUMBER(SEARCH(Assumptions!$C$7,G2430)),Assumptions!$D$7,"Other Services"))),"Other Services"))</f>
        <v/>
      </c>
    </row>
    <row r="2431" customFormat="false" ht="15" hidden="false" customHeight="false" outlineLevel="0" collapsed="false">
      <c r="E2431" s="41" t="str">
        <f aca="false">IF(D2431="","",IFERROR(VLOOKUP(D2431,Assumptions!$G$5:$H$16,2,0),"Other"))</f>
        <v/>
      </c>
      <c r="J2431" s="41" t="str">
        <f aca="false">IF(G2431="","",IFERROR(IF(ISNUMBER(SEARCH(Assumptions!$C$5,G2431)),Assumptions!$D$5,IF(ISNUMBER(SEARCH(Assumptions!$C$6,G2431)),Assumptions!$D$6,IF(ISNUMBER(SEARCH(Assumptions!$C$7,G2431)),Assumptions!$D$7,"Other Services"))),"Other Services"))</f>
        <v/>
      </c>
    </row>
    <row r="2432" customFormat="false" ht="15" hidden="false" customHeight="false" outlineLevel="0" collapsed="false">
      <c r="E2432" s="41" t="str">
        <f aca="false">IF(D2432="","",IFERROR(VLOOKUP(D2432,Assumptions!$G$5:$H$16,2,0),"Other"))</f>
        <v/>
      </c>
      <c r="J2432" s="41" t="str">
        <f aca="false">IF(G2432="","",IFERROR(IF(ISNUMBER(SEARCH(Assumptions!$C$5,G2432)),Assumptions!$D$5,IF(ISNUMBER(SEARCH(Assumptions!$C$6,G2432)),Assumptions!$D$6,IF(ISNUMBER(SEARCH(Assumptions!$C$7,G2432)),Assumptions!$D$7,"Other Services"))),"Other Services"))</f>
        <v/>
      </c>
    </row>
    <row r="2433" customFormat="false" ht="15" hidden="false" customHeight="false" outlineLevel="0" collapsed="false">
      <c r="E2433" s="41" t="str">
        <f aca="false">IF(D2433="","",IFERROR(VLOOKUP(D2433,Assumptions!$G$5:$H$16,2,0),"Other"))</f>
        <v/>
      </c>
      <c r="J2433" s="41" t="str">
        <f aca="false">IF(G2433="","",IFERROR(IF(ISNUMBER(SEARCH(Assumptions!$C$5,G2433)),Assumptions!$D$5,IF(ISNUMBER(SEARCH(Assumptions!$C$6,G2433)),Assumptions!$D$6,IF(ISNUMBER(SEARCH(Assumptions!$C$7,G2433)),Assumptions!$D$7,"Other Services"))),"Other Services"))</f>
        <v/>
      </c>
    </row>
    <row r="2434" customFormat="false" ht="15" hidden="false" customHeight="false" outlineLevel="0" collapsed="false">
      <c r="E2434" s="41" t="str">
        <f aca="false">IF(D2434="","",IFERROR(VLOOKUP(D2434,Assumptions!$G$5:$H$16,2,0),"Other"))</f>
        <v/>
      </c>
      <c r="J2434" s="41" t="str">
        <f aca="false">IF(G2434="","",IFERROR(IF(ISNUMBER(SEARCH(Assumptions!$C$5,G2434)),Assumptions!$D$5,IF(ISNUMBER(SEARCH(Assumptions!$C$6,G2434)),Assumptions!$D$6,IF(ISNUMBER(SEARCH(Assumptions!$C$7,G2434)),Assumptions!$D$7,"Other Services"))),"Other Services"))</f>
        <v/>
      </c>
    </row>
    <row r="2435" customFormat="false" ht="15" hidden="false" customHeight="false" outlineLevel="0" collapsed="false">
      <c r="E2435" s="41" t="str">
        <f aca="false">IF(D2435="","",IFERROR(VLOOKUP(D2435,Assumptions!$G$5:$H$16,2,0),"Other"))</f>
        <v/>
      </c>
      <c r="J2435" s="41" t="str">
        <f aca="false">IF(G2435="","",IFERROR(IF(ISNUMBER(SEARCH(Assumptions!$C$5,G2435)),Assumptions!$D$5,IF(ISNUMBER(SEARCH(Assumptions!$C$6,G2435)),Assumptions!$D$6,IF(ISNUMBER(SEARCH(Assumptions!$C$7,G2435)),Assumptions!$D$7,"Other Services"))),"Other Services"))</f>
        <v/>
      </c>
    </row>
    <row r="2436" customFormat="false" ht="15" hidden="false" customHeight="false" outlineLevel="0" collapsed="false">
      <c r="E2436" s="41" t="str">
        <f aca="false">IF(D2436="","",IFERROR(VLOOKUP(D2436,Assumptions!$G$5:$H$16,2,0),"Other"))</f>
        <v/>
      </c>
      <c r="J2436" s="41" t="str">
        <f aca="false">IF(G2436="","",IFERROR(IF(ISNUMBER(SEARCH(Assumptions!$C$5,G2436)),Assumptions!$D$5,IF(ISNUMBER(SEARCH(Assumptions!$C$6,G2436)),Assumptions!$D$6,IF(ISNUMBER(SEARCH(Assumptions!$C$7,G2436)),Assumptions!$D$7,"Other Services"))),"Other Services"))</f>
        <v/>
      </c>
    </row>
    <row r="2437" customFormat="false" ht="15" hidden="false" customHeight="false" outlineLevel="0" collapsed="false">
      <c r="E2437" s="41" t="str">
        <f aca="false">IF(D2437="","",IFERROR(VLOOKUP(D2437,Assumptions!$G$5:$H$16,2,0),"Other"))</f>
        <v/>
      </c>
      <c r="J2437" s="41" t="str">
        <f aca="false">IF(G2437="","",IFERROR(IF(ISNUMBER(SEARCH(Assumptions!$C$5,G2437)),Assumptions!$D$5,IF(ISNUMBER(SEARCH(Assumptions!$C$6,G2437)),Assumptions!$D$6,IF(ISNUMBER(SEARCH(Assumptions!$C$7,G2437)),Assumptions!$D$7,"Other Services"))),"Other Services"))</f>
        <v/>
      </c>
    </row>
    <row r="2438" customFormat="false" ht="15" hidden="false" customHeight="false" outlineLevel="0" collapsed="false">
      <c r="E2438" s="41" t="str">
        <f aca="false">IF(D2438="","",IFERROR(VLOOKUP(D2438,Assumptions!$G$5:$H$16,2,0),"Other"))</f>
        <v/>
      </c>
      <c r="J2438" s="41" t="str">
        <f aca="false">IF(G2438="","",IFERROR(IF(ISNUMBER(SEARCH(Assumptions!$C$5,G2438)),Assumptions!$D$5,IF(ISNUMBER(SEARCH(Assumptions!$C$6,G2438)),Assumptions!$D$6,IF(ISNUMBER(SEARCH(Assumptions!$C$7,G2438)),Assumptions!$D$7,"Other Services"))),"Other Services"))</f>
        <v/>
      </c>
    </row>
    <row r="2439" customFormat="false" ht="15" hidden="false" customHeight="false" outlineLevel="0" collapsed="false">
      <c r="E2439" s="41" t="str">
        <f aca="false">IF(D2439="","",IFERROR(VLOOKUP(D2439,Assumptions!$G$5:$H$16,2,0),"Other"))</f>
        <v/>
      </c>
      <c r="J2439" s="41" t="str">
        <f aca="false">IF(G2439="","",IFERROR(IF(ISNUMBER(SEARCH(Assumptions!$C$5,G2439)),Assumptions!$D$5,IF(ISNUMBER(SEARCH(Assumptions!$C$6,G2439)),Assumptions!$D$6,IF(ISNUMBER(SEARCH(Assumptions!$C$7,G2439)),Assumptions!$D$7,"Other Services"))),"Other Services"))</f>
        <v/>
      </c>
    </row>
    <row r="2440" customFormat="false" ht="15" hidden="false" customHeight="false" outlineLevel="0" collapsed="false">
      <c r="E2440" s="41" t="str">
        <f aca="false">IF(D2440="","",IFERROR(VLOOKUP(D2440,Assumptions!$G$5:$H$16,2,0),"Other"))</f>
        <v/>
      </c>
      <c r="J2440" s="41" t="str">
        <f aca="false">IF(G2440="","",IFERROR(IF(ISNUMBER(SEARCH(Assumptions!$C$5,G2440)),Assumptions!$D$5,IF(ISNUMBER(SEARCH(Assumptions!$C$6,G2440)),Assumptions!$D$6,IF(ISNUMBER(SEARCH(Assumptions!$C$7,G2440)),Assumptions!$D$7,"Other Services"))),"Other Services"))</f>
        <v/>
      </c>
    </row>
    <row r="2441" customFormat="false" ht="15" hidden="false" customHeight="false" outlineLevel="0" collapsed="false">
      <c r="E2441" s="41" t="str">
        <f aca="false">IF(D2441="","",IFERROR(VLOOKUP(D2441,Assumptions!$G$5:$H$16,2,0),"Other"))</f>
        <v/>
      </c>
      <c r="J2441" s="41" t="str">
        <f aca="false">IF(G2441="","",IFERROR(IF(ISNUMBER(SEARCH(Assumptions!$C$5,G2441)),Assumptions!$D$5,IF(ISNUMBER(SEARCH(Assumptions!$C$6,G2441)),Assumptions!$D$6,IF(ISNUMBER(SEARCH(Assumptions!$C$7,G2441)),Assumptions!$D$7,"Other Services"))),"Other Services"))</f>
        <v/>
      </c>
    </row>
    <row r="2442" customFormat="false" ht="15" hidden="false" customHeight="false" outlineLevel="0" collapsed="false">
      <c r="E2442" s="41" t="str">
        <f aca="false">IF(D2442="","",IFERROR(VLOOKUP(D2442,Assumptions!$G$5:$H$16,2,0),"Other"))</f>
        <v/>
      </c>
      <c r="J2442" s="41" t="str">
        <f aca="false">IF(G2442="","",IFERROR(IF(ISNUMBER(SEARCH(Assumptions!$C$5,G2442)),Assumptions!$D$5,IF(ISNUMBER(SEARCH(Assumptions!$C$6,G2442)),Assumptions!$D$6,IF(ISNUMBER(SEARCH(Assumptions!$C$7,G2442)),Assumptions!$D$7,"Other Services"))),"Other Services"))</f>
        <v/>
      </c>
    </row>
    <row r="2443" customFormat="false" ht="15" hidden="false" customHeight="false" outlineLevel="0" collapsed="false">
      <c r="E2443" s="41" t="str">
        <f aca="false">IF(D2443="","",IFERROR(VLOOKUP(D2443,Assumptions!$G$5:$H$16,2,0),"Other"))</f>
        <v/>
      </c>
      <c r="J2443" s="41" t="str">
        <f aca="false">IF(G2443="","",IFERROR(IF(ISNUMBER(SEARCH(Assumptions!$C$5,G2443)),Assumptions!$D$5,IF(ISNUMBER(SEARCH(Assumptions!$C$6,G2443)),Assumptions!$D$6,IF(ISNUMBER(SEARCH(Assumptions!$C$7,G2443)),Assumptions!$D$7,"Other Services"))),"Other Services"))</f>
        <v/>
      </c>
    </row>
    <row r="2444" customFormat="false" ht="15" hidden="false" customHeight="false" outlineLevel="0" collapsed="false">
      <c r="E2444" s="41" t="str">
        <f aca="false">IF(D2444="","",IFERROR(VLOOKUP(D2444,Assumptions!$G$5:$H$16,2,0),"Other"))</f>
        <v/>
      </c>
      <c r="J2444" s="41" t="str">
        <f aca="false">IF(G2444="","",IFERROR(IF(ISNUMBER(SEARCH(Assumptions!$C$5,G2444)),Assumptions!$D$5,IF(ISNUMBER(SEARCH(Assumptions!$C$6,G2444)),Assumptions!$D$6,IF(ISNUMBER(SEARCH(Assumptions!$C$7,G2444)),Assumptions!$D$7,"Other Services"))),"Other Services"))</f>
        <v/>
      </c>
    </row>
    <row r="2445" customFormat="false" ht="15" hidden="false" customHeight="false" outlineLevel="0" collapsed="false">
      <c r="E2445" s="41" t="str">
        <f aca="false">IF(D2445="","",IFERROR(VLOOKUP(D2445,Assumptions!$G$5:$H$16,2,0),"Other"))</f>
        <v/>
      </c>
      <c r="J2445" s="41" t="str">
        <f aca="false">IF(G2445="","",IFERROR(IF(ISNUMBER(SEARCH(Assumptions!$C$5,G2445)),Assumptions!$D$5,IF(ISNUMBER(SEARCH(Assumptions!$C$6,G2445)),Assumptions!$D$6,IF(ISNUMBER(SEARCH(Assumptions!$C$7,G2445)),Assumptions!$D$7,"Other Services"))),"Other Services"))</f>
        <v/>
      </c>
    </row>
    <row r="2446" customFormat="false" ht="15" hidden="false" customHeight="false" outlineLevel="0" collapsed="false">
      <c r="E2446" s="41" t="str">
        <f aca="false">IF(D2446="","",IFERROR(VLOOKUP(D2446,Assumptions!$G$5:$H$16,2,0),"Other"))</f>
        <v/>
      </c>
      <c r="J2446" s="41" t="str">
        <f aca="false">IF(G2446="","",IFERROR(IF(ISNUMBER(SEARCH(Assumptions!$C$5,G2446)),Assumptions!$D$5,IF(ISNUMBER(SEARCH(Assumptions!$C$6,G2446)),Assumptions!$D$6,IF(ISNUMBER(SEARCH(Assumptions!$C$7,G2446)),Assumptions!$D$7,"Other Services"))),"Other Services"))</f>
        <v/>
      </c>
    </row>
    <row r="2447" customFormat="false" ht="15" hidden="false" customHeight="false" outlineLevel="0" collapsed="false">
      <c r="E2447" s="41" t="str">
        <f aca="false">IF(D2447="","",IFERROR(VLOOKUP(D2447,Assumptions!$G$5:$H$16,2,0),"Other"))</f>
        <v/>
      </c>
      <c r="J2447" s="41" t="str">
        <f aca="false">IF(G2447="","",IFERROR(IF(ISNUMBER(SEARCH(Assumptions!$C$5,G2447)),Assumptions!$D$5,IF(ISNUMBER(SEARCH(Assumptions!$C$6,G2447)),Assumptions!$D$6,IF(ISNUMBER(SEARCH(Assumptions!$C$7,G2447)),Assumptions!$D$7,"Other Services"))),"Other Services"))</f>
        <v/>
      </c>
    </row>
    <row r="2448" customFormat="false" ht="15" hidden="false" customHeight="false" outlineLevel="0" collapsed="false">
      <c r="E2448" s="41" t="str">
        <f aca="false">IF(D2448="","",IFERROR(VLOOKUP(D2448,Assumptions!$G$5:$H$16,2,0),"Other"))</f>
        <v/>
      </c>
      <c r="J2448" s="41" t="str">
        <f aca="false">IF(G2448="","",IFERROR(IF(ISNUMBER(SEARCH(Assumptions!$C$5,G2448)),Assumptions!$D$5,IF(ISNUMBER(SEARCH(Assumptions!$C$6,G2448)),Assumptions!$D$6,IF(ISNUMBER(SEARCH(Assumptions!$C$7,G2448)),Assumptions!$D$7,"Other Services"))),"Other Services"))</f>
        <v/>
      </c>
    </row>
    <row r="2449" customFormat="false" ht="15" hidden="false" customHeight="false" outlineLevel="0" collapsed="false">
      <c r="E2449" s="41" t="str">
        <f aca="false">IF(D2449="","",IFERROR(VLOOKUP(D2449,Assumptions!$G$5:$H$16,2,0),"Other"))</f>
        <v/>
      </c>
      <c r="J2449" s="41" t="str">
        <f aca="false">IF(G2449="","",IFERROR(IF(ISNUMBER(SEARCH(Assumptions!$C$5,G2449)),Assumptions!$D$5,IF(ISNUMBER(SEARCH(Assumptions!$C$6,G2449)),Assumptions!$D$6,IF(ISNUMBER(SEARCH(Assumptions!$C$7,G2449)),Assumptions!$D$7,"Other Services"))),"Other Services"))</f>
        <v/>
      </c>
    </row>
    <row r="2450" customFormat="false" ht="15" hidden="false" customHeight="false" outlineLevel="0" collapsed="false">
      <c r="E2450" s="41" t="str">
        <f aca="false">IF(D2450="","",IFERROR(VLOOKUP(D2450,Assumptions!$G$5:$H$16,2,0),"Other"))</f>
        <v/>
      </c>
      <c r="J2450" s="41" t="str">
        <f aca="false">IF(G2450="","",IFERROR(IF(ISNUMBER(SEARCH(Assumptions!$C$5,G2450)),Assumptions!$D$5,IF(ISNUMBER(SEARCH(Assumptions!$C$6,G2450)),Assumptions!$D$6,IF(ISNUMBER(SEARCH(Assumptions!$C$7,G2450)),Assumptions!$D$7,"Other Services"))),"Other Services"))</f>
        <v/>
      </c>
    </row>
    <row r="2451" customFormat="false" ht="15" hidden="false" customHeight="false" outlineLevel="0" collapsed="false">
      <c r="E2451" s="41" t="str">
        <f aca="false">IF(D2451="","",IFERROR(VLOOKUP(D2451,Assumptions!$G$5:$H$16,2,0),"Other"))</f>
        <v/>
      </c>
      <c r="J2451" s="41" t="str">
        <f aca="false">IF(G2451="","",IFERROR(IF(ISNUMBER(SEARCH(Assumptions!$C$5,G2451)),Assumptions!$D$5,IF(ISNUMBER(SEARCH(Assumptions!$C$6,G2451)),Assumptions!$D$6,IF(ISNUMBER(SEARCH(Assumptions!$C$7,G2451)),Assumptions!$D$7,"Other Services"))),"Other Services"))</f>
        <v/>
      </c>
    </row>
    <row r="2452" customFormat="false" ht="15" hidden="false" customHeight="false" outlineLevel="0" collapsed="false">
      <c r="E2452" s="41" t="str">
        <f aca="false">IF(D2452="","",IFERROR(VLOOKUP(D2452,Assumptions!$G$5:$H$16,2,0),"Other"))</f>
        <v/>
      </c>
      <c r="J2452" s="41" t="str">
        <f aca="false">IF(G2452="","",IFERROR(IF(ISNUMBER(SEARCH(Assumptions!$C$5,G2452)),Assumptions!$D$5,IF(ISNUMBER(SEARCH(Assumptions!$C$6,G2452)),Assumptions!$D$6,IF(ISNUMBER(SEARCH(Assumptions!$C$7,G2452)),Assumptions!$D$7,"Other Services"))),"Other Services"))</f>
        <v/>
      </c>
    </row>
    <row r="2453" customFormat="false" ht="15" hidden="false" customHeight="false" outlineLevel="0" collapsed="false">
      <c r="E2453" s="41" t="str">
        <f aca="false">IF(D2453="","",IFERROR(VLOOKUP(D2453,Assumptions!$G$5:$H$16,2,0),"Other"))</f>
        <v/>
      </c>
      <c r="J2453" s="41" t="str">
        <f aca="false">IF(G2453="","",IFERROR(IF(ISNUMBER(SEARCH(Assumptions!$C$5,G2453)),Assumptions!$D$5,IF(ISNUMBER(SEARCH(Assumptions!$C$6,G2453)),Assumptions!$D$6,IF(ISNUMBER(SEARCH(Assumptions!$C$7,G2453)),Assumptions!$D$7,"Other Services"))),"Other Services"))</f>
        <v/>
      </c>
    </row>
    <row r="2454" customFormat="false" ht="15" hidden="false" customHeight="false" outlineLevel="0" collapsed="false">
      <c r="E2454" s="41" t="str">
        <f aca="false">IF(D2454="","",IFERROR(VLOOKUP(D2454,Assumptions!$G$5:$H$16,2,0),"Other"))</f>
        <v/>
      </c>
      <c r="J2454" s="41" t="str">
        <f aca="false">IF(G2454="","",IFERROR(IF(ISNUMBER(SEARCH(Assumptions!$C$5,G2454)),Assumptions!$D$5,IF(ISNUMBER(SEARCH(Assumptions!$C$6,G2454)),Assumptions!$D$6,IF(ISNUMBER(SEARCH(Assumptions!$C$7,G2454)),Assumptions!$D$7,"Other Services"))),"Other Services"))</f>
        <v/>
      </c>
    </row>
    <row r="2455" customFormat="false" ht="15" hidden="false" customHeight="false" outlineLevel="0" collapsed="false">
      <c r="E2455" s="41" t="str">
        <f aca="false">IF(D2455="","",IFERROR(VLOOKUP(D2455,Assumptions!$G$5:$H$16,2,0),"Other"))</f>
        <v/>
      </c>
      <c r="J2455" s="41" t="str">
        <f aca="false">IF(G2455="","",IFERROR(IF(ISNUMBER(SEARCH(Assumptions!$C$5,G2455)),Assumptions!$D$5,IF(ISNUMBER(SEARCH(Assumptions!$C$6,G2455)),Assumptions!$D$6,IF(ISNUMBER(SEARCH(Assumptions!$C$7,G2455)),Assumptions!$D$7,"Other Services"))),"Other Services"))</f>
        <v/>
      </c>
    </row>
    <row r="2456" customFormat="false" ht="15" hidden="false" customHeight="false" outlineLevel="0" collapsed="false">
      <c r="E2456" s="41" t="str">
        <f aca="false">IF(D2456="","",IFERROR(VLOOKUP(D2456,Assumptions!$G$5:$H$16,2,0),"Other"))</f>
        <v/>
      </c>
      <c r="J2456" s="41" t="str">
        <f aca="false">IF(G2456="","",IFERROR(IF(ISNUMBER(SEARCH(Assumptions!$C$5,G2456)),Assumptions!$D$5,IF(ISNUMBER(SEARCH(Assumptions!$C$6,G2456)),Assumptions!$D$6,IF(ISNUMBER(SEARCH(Assumptions!$C$7,G2456)),Assumptions!$D$7,"Other Services"))),"Other Services"))</f>
        <v/>
      </c>
    </row>
    <row r="2457" customFormat="false" ht="15" hidden="false" customHeight="false" outlineLevel="0" collapsed="false">
      <c r="E2457" s="41" t="str">
        <f aca="false">IF(D2457="","",IFERROR(VLOOKUP(D2457,Assumptions!$G$5:$H$16,2,0),"Other"))</f>
        <v/>
      </c>
      <c r="J2457" s="41" t="str">
        <f aca="false">IF(G2457="","",IFERROR(IF(ISNUMBER(SEARCH(Assumptions!$C$5,G2457)),Assumptions!$D$5,IF(ISNUMBER(SEARCH(Assumptions!$C$6,G2457)),Assumptions!$D$6,IF(ISNUMBER(SEARCH(Assumptions!$C$7,G2457)),Assumptions!$D$7,"Other Services"))),"Other Services"))</f>
        <v/>
      </c>
    </row>
    <row r="2458" customFormat="false" ht="15" hidden="false" customHeight="false" outlineLevel="0" collapsed="false">
      <c r="E2458" s="41" t="str">
        <f aca="false">IF(D2458="","",IFERROR(VLOOKUP(D2458,Assumptions!$G$5:$H$16,2,0),"Other"))</f>
        <v/>
      </c>
      <c r="J2458" s="41" t="str">
        <f aca="false">IF(G2458="","",IFERROR(IF(ISNUMBER(SEARCH(Assumptions!$C$5,G2458)),Assumptions!$D$5,IF(ISNUMBER(SEARCH(Assumptions!$C$6,G2458)),Assumptions!$D$6,IF(ISNUMBER(SEARCH(Assumptions!$C$7,G2458)),Assumptions!$D$7,"Other Services"))),"Other Services"))</f>
        <v/>
      </c>
    </row>
    <row r="2459" customFormat="false" ht="15" hidden="false" customHeight="false" outlineLevel="0" collapsed="false">
      <c r="E2459" s="41" t="str">
        <f aca="false">IF(D2459="","",IFERROR(VLOOKUP(D2459,Assumptions!$G$5:$H$16,2,0),"Other"))</f>
        <v/>
      </c>
      <c r="J2459" s="41" t="str">
        <f aca="false">IF(G2459="","",IFERROR(IF(ISNUMBER(SEARCH(Assumptions!$C$5,G2459)),Assumptions!$D$5,IF(ISNUMBER(SEARCH(Assumptions!$C$6,G2459)),Assumptions!$D$6,IF(ISNUMBER(SEARCH(Assumptions!$C$7,G2459)),Assumptions!$D$7,"Other Services"))),"Other Services"))</f>
        <v/>
      </c>
    </row>
    <row r="2460" customFormat="false" ht="15" hidden="false" customHeight="false" outlineLevel="0" collapsed="false">
      <c r="E2460" s="41" t="str">
        <f aca="false">IF(D2460="","",IFERROR(VLOOKUP(D2460,Assumptions!$G$5:$H$16,2,0),"Other"))</f>
        <v/>
      </c>
      <c r="J2460" s="41" t="str">
        <f aca="false">IF(G2460="","",IFERROR(IF(ISNUMBER(SEARCH(Assumptions!$C$5,G2460)),Assumptions!$D$5,IF(ISNUMBER(SEARCH(Assumptions!$C$6,G2460)),Assumptions!$D$6,IF(ISNUMBER(SEARCH(Assumptions!$C$7,G2460)),Assumptions!$D$7,"Other Services"))),"Other Services"))</f>
        <v/>
      </c>
    </row>
    <row r="2461" customFormat="false" ht="15" hidden="false" customHeight="false" outlineLevel="0" collapsed="false">
      <c r="E2461" s="41" t="str">
        <f aca="false">IF(D2461="","",IFERROR(VLOOKUP(D2461,Assumptions!$G$5:$H$16,2,0),"Other"))</f>
        <v/>
      </c>
      <c r="J2461" s="41" t="str">
        <f aca="false">IF(G2461="","",IFERROR(IF(ISNUMBER(SEARCH(Assumptions!$C$5,G2461)),Assumptions!$D$5,IF(ISNUMBER(SEARCH(Assumptions!$C$6,G2461)),Assumptions!$D$6,IF(ISNUMBER(SEARCH(Assumptions!$C$7,G2461)),Assumptions!$D$7,"Other Services"))),"Other Services"))</f>
        <v/>
      </c>
    </row>
    <row r="2462" customFormat="false" ht="15" hidden="false" customHeight="false" outlineLevel="0" collapsed="false">
      <c r="E2462" s="41" t="str">
        <f aca="false">IF(D2462="","",IFERROR(VLOOKUP(D2462,Assumptions!$G$5:$H$16,2,0),"Other"))</f>
        <v/>
      </c>
      <c r="J2462" s="41" t="str">
        <f aca="false">IF(G2462="","",IFERROR(IF(ISNUMBER(SEARCH(Assumptions!$C$5,G2462)),Assumptions!$D$5,IF(ISNUMBER(SEARCH(Assumptions!$C$6,G2462)),Assumptions!$D$6,IF(ISNUMBER(SEARCH(Assumptions!$C$7,G2462)),Assumptions!$D$7,"Other Services"))),"Other Services"))</f>
        <v/>
      </c>
    </row>
    <row r="2463" customFormat="false" ht="15" hidden="false" customHeight="false" outlineLevel="0" collapsed="false">
      <c r="E2463" s="41" t="str">
        <f aca="false">IF(D2463="","",IFERROR(VLOOKUP(D2463,Assumptions!$G$5:$H$16,2,0),"Other"))</f>
        <v/>
      </c>
      <c r="J2463" s="41" t="str">
        <f aca="false">IF(G2463="","",IFERROR(IF(ISNUMBER(SEARCH(Assumptions!$C$5,G2463)),Assumptions!$D$5,IF(ISNUMBER(SEARCH(Assumptions!$C$6,G2463)),Assumptions!$D$6,IF(ISNUMBER(SEARCH(Assumptions!$C$7,G2463)),Assumptions!$D$7,"Other Services"))),"Other Services"))</f>
        <v/>
      </c>
    </row>
    <row r="2464" customFormat="false" ht="15" hidden="false" customHeight="false" outlineLevel="0" collapsed="false">
      <c r="E2464" s="41" t="str">
        <f aca="false">IF(D2464="","",IFERROR(VLOOKUP(D2464,Assumptions!$G$5:$H$16,2,0),"Other"))</f>
        <v/>
      </c>
      <c r="J2464" s="41" t="str">
        <f aca="false">IF(G2464="","",IFERROR(IF(ISNUMBER(SEARCH(Assumptions!$C$5,G2464)),Assumptions!$D$5,IF(ISNUMBER(SEARCH(Assumptions!$C$6,G2464)),Assumptions!$D$6,IF(ISNUMBER(SEARCH(Assumptions!$C$7,G2464)),Assumptions!$D$7,"Other Services"))),"Other Services"))</f>
        <v/>
      </c>
    </row>
    <row r="2465" customFormat="false" ht="15" hidden="false" customHeight="false" outlineLevel="0" collapsed="false">
      <c r="E2465" s="41" t="str">
        <f aca="false">IF(D2465="","",IFERROR(VLOOKUP(D2465,Assumptions!$G$5:$H$16,2,0),"Other"))</f>
        <v/>
      </c>
      <c r="J2465" s="41" t="str">
        <f aca="false">IF(G2465="","",IFERROR(IF(ISNUMBER(SEARCH(Assumptions!$C$5,G2465)),Assumptions!$D$5,IF(ISNUMBER(SEARCH(Assumptions!$C$6,G2465)),Assumptions!$D$6,IF(ISNUMBER(SEARCH(Assumptions!$C$7,G2465)),Assumptions!$D$7,"Other Services"))),"Other Services"))</f>
        <v/>
      </c>
    </row>
    <row r="2466" customFormat="false" ht="15" hidden="false" customHeight="false" outlineLevel="0" collapsed="false">
      <c r="E2466" s="41" t="str">
        <f aca="false">IF(D2466="","",IFERROR(VLOOKUP(D2466,Assumptions!$G$5:$H$16,2,0),"Other"))</f>
        <v/>
      </c>
      <c r="J2466" s="41" t="str">
        <f aca="false">IF(G2466="","",IFERROR(IF(ISNUMBER(SEARCH(Assumptions!$C$5,G2466)),Assumptions!$D$5,IF(ISNUMBER(SEARCH(Assumptions!$C$6,G2466)),Assumptions!$D$6,IF(ISNUMBER(SEARCH(Assumptions!$C$7,G2466)),Assumptions!$D$7,"Other Services"))),"Other Services"))</f>
        <v/>
      </c>
    </row>
    <row r="2467" customFormat="false" ht="15" hidden="false" customHeight="false" outlineLevel="0" collapsed="false">
      <c r="E2467" s="41" t="str">
        <f aca="false">IF(D2467="","",IFERROR(VLOOKUP(D2467,Assumptions!$G$5:$H$16,2,0),"Other"))</f>
        <v/>
      </c>
      <c r="J2467" s="41" t="str">
        <f aca="false">IF(G2467="","",IFERROR(IF(ISNUMBER(SEARCH(Assumptions!$C$5,G2467)),Assumptions!$D$5,IF(ISNUMBER(SEARCH(Assumptions!$C$6,G2467)),Assumptions!$D$6,IF(ISNUMBER(SEARCH(Assumptions!$C$7,G2467)),Assumptions!$D$7,"Other Services"))),"Other Services"))</f>
        <v/>
      </c>
    </row>
    <row r="2468" customFormat="false" ht="15" hidden="false" customHeight="false" outlineLevel="0" collapsed="false">
      <c r="E2468" s="41" t="str">
        <f aca="false">IF(D2468="","",IFERROR(VLOOKUP(D2468,Assumptions!$G$5:$H$16,2,0),"Other"))</f>
        <v/>
      </c>
      <c r="J2468" s="41" t="str">
        <f aca="false">IF(G2468="","",IFERROR(IF(ISNUMBER(SEARCH(Assumptions!$C$5,G2468)),Assumptions!$D$5,IF(ISNUMBER(SEARCH(Assumptions!$C$6,G2468)),Assumptions!$D$6,IF(ISNUMBER(SEARCH(Assumptions!$C$7,G2468)),Assumptions!$D$7,"Other Services"))),"Other Services"))</f>
        <v/>
      </c>
    </row>
    <row r="2469" customFormat="false" ht="15" hidden="false" customHeight="false" outlineLevel="0" collapsed="false">
      <c r="E2469" s="41" t="str">
        <f aca="false">IF(D2469="","",IFERROR(VLOOKUP(D2469,Assumptions!$G$5:$H$16,2,0),"Other"))</f>
        <v/>
      </c>
      <c r="J2469" s="41" t="str">
        <f aca="false">IF(G2469="","",IFERROR(IF(ISNUMBER(SEARCH(Assumptions!$C$5,G2469)),Assumptions!$D$5,IF(ISNUMBER(SEARCH(Assumptions!$C$6,G2469)),Assumptions!$D$6,IF(ISNUMBER(SEARCH(Assumptions!$C$7,G2469)),Assumptions!$D$7,"Other Services"))),"Other Services"))</f>
        <v/>
      </c>
    </row>
    <row r="2470" customFormat="false" ht="15" hidden="false" customHeight="false" outlineLevel="0" collapsed="false">
      <c r="E2470" s="41" t="str">
        <f aca="false">IF(D2470="","",IFERROR(VLOOKUP(D2470,Assumptions!$G$5:$H$16,2,0),"Other"))</f>
        <v/>
      </c>
      <c r="J2470" s="41" t="str">
        <f aca="false">IF(G2470="","",IFERROR(IF(ISNUMBER(SEARCH(Assumptions!$C$5,G2470)),Assumptions!$D$5,IF(ISNUMBER(SEARCH(Assumptions!$C$6,G2470)),Assumptions!$D$6,IF(ISNUMBER(SEARCH(Assumptions!$C$7,G2470)),Assumptions!$D$7,"Other Services"))),"Other Services"))</f>
        <v/>
      </c>
    </row>
    <row r="2471" customFormat="false" ht="15" hidden="false" customHeight="false" outlineLevel="0" collapsed="false">
      <c r="E2471" s="41" t="str">
        <f aca="false">IF(D2471="","",IFERROR(VLOOKUP(D2471,Assumptions!$G$5:$H$16,2,0),"Other"))</f>
        <v/>
      </c>
      <c r="J2471" s="41" t="str">
        <f aca="false">IF(G2471="","",IFERROR(IF(ISNUMBER(SEARCH(Assumptions!$C$5,G2471)),Assumptions!$D$5,IF(ISNUMBER(SEARCH(Assumptions!$C$6,G2471)),Assumptions!$D$6,IF(ISNUMBER(SEARCH(Assumptions!$C$7,G2471)),Assumptions!$D$7,"Other Services"))),"Other Services"))</f>
        <v/>
      </c>
    </row>
    <row r="2472" customFormat="false" ht="15" hidden="false" customHeight="false" outlineLevel="0" collapsed="false">
      <c r="E2472" s="41" t="str">
        <f aca="false">IF(D2472="","",IFERROR(VLOOKUP(D2472,Assumptions!$G$5:$H$16,2,0),"Other"))</f>
        <v/>
      </c>
      <c r="J2472" s="41" t="str">
        <f aca="false">IF(G2472="","",IFERROR(IF(ISNUMBER(SEARCH(Assumptions!$C$5,G2472)),Assumptions!$D$5,IF(ISNUMBER(SEARCH(Assumptions!$C$6,G2472)),Assumptions!$D$6,IF(ISNUMBER(SEARCH(Assumptions!$C$7,G2472)),Assumptions!$D$7,"Other Services"))),"Other Services"))</f>
        <v/>
      </c>
    </row>
    <row r="2473" customFormat="false" ht="15" hidden="false" customHeight="false" outlineLevel="0" collapsed="false">
      <c r="E2473" s="41" t="str">
        <f aca="false">IF(D2473="","",IFERROR(VLOOKUP(D2473,Assumptions!$G$5:$H$16,2,0),"Other"))</f>
        <v/>
      </c>
      <c r="J2473" s="41" t="str">
        <f aca="false">IF(G2473="","",IFERROR(IF(ISNUMBER(SEARCH(Assumptions!$C$5,G2473)),Assumptions!$D$5,IF(ISNUMBER(SEARCH(Assumptions!$C$6,G2473)),Assumptions!$D$6,IF(ISNUMBER(SEARCH(Assumptions!$C$7,G2473)),Assumptions!$D$7,"Other Services"))),"Other Services"))</f>
        <v/>
      </c>
    </row>
    <row r="2474" customFormat="false" ht="15" hidden="false" customHeight="false" outlineLevel="0" collapsed="false">
      <c r="E2474" s="41" t="str">
        <f aca="false">IF(D2474="","",IFERROR(VLOOKUP(D2474,Assumptions!$G$5:$H$16,2,0),"Other"))</f>
        <v/>
      </c>
      <c r="J2474" s="41" t="str">
        <f aca="false">IF(G2474="","",IFERROR(IF(ISNUMBER(SEARCH(Assumptions!$C$5,G2474)),Assumptions!$D$5,IF(ISNUMBER(SEARCH(Assumptions!$C$6,G2474)),Assumptions!$D$6,IF(ISNUMBER(SEARCH(Assumptions!$C$7,G2474)),Assumptions!$D$7,"Other Services"))),"Other Services"))</f>
        <v/>
      </c>
    </row>
    <row r="2475" customFormat="false" ht="15" hidden="false" customHeight="false" outlineLevel="0" collapsed="false">
      <c r="E2475" s="41" t="str">
        <f aca="false">IF(D2475="","",IFERROR(VLOOKUP(D2475,Assumptions!$G$5:$H$16,2,0),"Other"))</f>
        <v/>
      </c>
      <c r="J2475" s="41" t="str">
        <f aca="false">IF(G2475="","",IFERROR(IF(ISNUMBER(SEARCH(Assumptions!$C$5,G2475)),Assumptions!$D$5,IF(ISNUMBER(SEARCH(Assumptions!$C$6,G2475)),Assumptions!$D$6,IF(ISNUMBER(SEARCH(Assumptions!$C$7,G2475)),Assumptions!$D$7,"Other Services"))),"Other Services"))</f>
        <v/>
      </c>
    </row>
    <row r="2476" customFormat="false" ht="15" hidden="false" customHeight="false" outlineLevel="0" collapsed="false">
      <c r="E2476" s="41" t="str">
        <f aca="false">IF(D2476="","",IFERROR(VLOOKUP(D2476,Assumptions!$G$5:$H$16,2,0),"Other"))</f>
        <v/>
      </c>
      <c r="J2476" s="41" t="str">
        <f aca="false">IF(G2476="","",IFERROR(IF(ISNUMBER(SEARCH(Assumptions!$C$5,G2476)),Assumptions!$D$5,IF(ISNUMBER(SEARCH(Assumptions!$C$6,G2476)),Assumptions!$D$6,IF(ISNUMBER(SEARCH(Assumptions!$C$7,G2476)),Assumptions!$D$7,"Other Services"))),"Other Services"))</f>
        <v/>
      </c>
    </row>
    <row r="2477" customFormat="false" ht="15" hidden="false" customHeight="false" outlineLevel="0" collapsed="false">
      <c r="E2477" s="41" t="str">
        <f aca="false">IF(D2477="","",IFERROR(VLOOKUP(D2477,Assumptions!$G$5:$H$16,2,0),"Other"))</f>
        <v/>
      </c>
      <c r="J2477" s="41" t="str">
        <f aca="false">IF(G2477="","",IFERROR(IF(ISNUMBER(SEARCH(Assumptions!$C$5,G2477)),Assumptions!$D$5,IF(ISNUMBER(SEARCH(Assumptions!$C$6,G2477)),Assumptions!$D$6,IF(ISNUMBER(SEARCH(Assumptions!$C$7,G2477)),Assumptions!$D$7,"Other Services"))),"Other Services"))</f>
        <v/>
      </c>
    </row>
    <row r="2478" customFormat="false" ht="15" hidden="false" customHeight="false" outlineLevel="0" collapsed="false">
      <c r="E2478" s="41" t="str">
        <f aca="false">IF(D2478="","",IFERROR(VLOOKUP(D2478,Assumptions!$G$5:$H$16,2,0),"Other"))</f>
        <v/>
      </c>
      <c r="J2478" s="41" t="str">
        <f aca="false">IF(G2478="","",IFERROR(IF(ISNUMBER(SEARCH(Assumptions!$C$5,G2478)),Assumptions!$D$5,IF(ISNUMBER(SEARCH(Assumptions!$C$6,G2478)),Assumptions!$D$6,IF(ISNUMBER(SEARCH(Assumptions!$C$7,G2478)),Assumptions!$D$7,"Other Services"))),"Other Services"))</f>
        <v/>
      </c>
    </row>
    <row r="2479" customFormat="false" ht="15" hidden="false" customHeight="false" outlineLevel="0" collapsed="false">
      <c r="E2479" s="41" t="str">
        <f aca="false">IF(D2479="","",IFERROR(VLOOKUP(D2479,Assumptions!$G$5:$H$16,2,0),"Other"))</f>
        <v/>
      </c>
      <c r="J2479" s="41" t="str">
        <f aca="false">IF(G2479="","",IFERROR(IF(ISNUMBER(SEARCH(Assumptions!$C$5,G2479)),Assumptions!$D$5,IF(ISNUMBER(SEARCH(Assumptions!$C$6,G2479)),Assumptions!$D$6,IF(ISNUMBER(SEARCH(Assumptions!$C$7,G2479)),Assumptions!$D$7,"Other Services"))),"Other Services"))</f>
        <v/>
      </c>
    </row>
    <row r="2480" customFormat="false" ht="15" hidden="false" customHeight="false" outlineLevel="0" collapsed="false">
      <c r="E2480" s="41" t="str">
        <f aca="false">IF(D2480="","",IFERROR(VLOOKUP(D2480,Assumptions!$G$5:$H$16,2,0),"Other"))</f>
        <v/>
      </c>
      <c r="J2480" s="41" t="str">
        <f aca="false">IF(G2480="","",IFERROR(IF(ISNUMBER(SEARCH(Assumptions!$C$5,G2480)),Assumptions!$D$5,IF(ISNUMBER(SEARCH(Assumptions!$C$6,G2480)),Assumptions!$D$6,IF(ISNUMBER(SEARCH(Assumptions!$C$7,G2480)),Assumptions!$D$7,"Other Services"))),"Other Services"))</f>
        <v/>
      </c>
    </row>
    <row r="2481" customFormat="false" ht="15" hidden="false" customHeight="false" outlineLevel="0" collapsed="false">
      <c r="E2481" s="41" t="str">
        <f aca="false">IF(D2481="","",IFERROR(VLOOKUP(D2481,Assumptions!$G$5:$H$16,2,0),"Other"))</f>
        <v/>
      </c>
      <c r="J2481" s="41" t="str">
        <f aca="false">IF(G2481="","",IFERROR(IF(ISNUMBER(SEARCH(Assumptions!$C$5,G2481)),Assumptions!$D$5,IF(ISNUMBER(SEARCH(Assumptions!$C$6,G2481)),Assumptions!$D$6,IF(ISNUMBER(SEARCH(Assumptions!$C$7,G2481)),Assumptions!$D$7,"Other Services"))),"Other Services"))</f>
        <v/>
      </c>
    </row>
    <row r="2482" customFormat="false" ht="15" hidden="false" customHeight="false" outlineLevel="0" collapsed="false">
      <c r="E2482" s="41" t="str">
        <f aca="false">IF(D2482="","",IFERROR(VLOOKUP(D2482,Assumptions!$G$5:$H$16,2,0),"Other"))</f>
        <v/>
      </c>
      <c r="J2482" s="41" t="str">
        <f aca="false">IF(G2482="","",IFERROR(IF(ISNUMBER(SEARCH(Assumptions!$C$5,G2482)),Assumptions!$D$5,IF(ISNUMBER(SEARCH(Assumptions!$C$6,G2482)),Assumptions!$D$6,IF(ISNUMBER(SEARCH(Assumptions!$C$7,G2482)),Assumptions!$D$7,"Other Services"))),"Other Services"))</f>
        <v/>
      </c>
    </row>
    <row r="2483" customFormat="false" ht="15" hidden="false" customHeight="false" outlineLevel="0" collapsed="false">
      <c r="E2483" s="41" t="str">
        <f aca="false">IF(D2483="","",IFERROR(VLOOKUP(D2483,Assumptions!$G$5:$H$16,2,0),"Other"))</f>
        <v/>
      </c>
      <c r="J2483" s="41" t="str">
        <f aca="false">IF(G2483="","",IFERROR(IF(ISNUMBER(SEARCH(Assumptions!$C$5,G2483)),Assumptions!$D$5,IF(ISNUMBER(SEARCH(Assumptions!$C$6,G2483)),Assumptions!$D$6,IF(ISNUMBER(SEARCH(Assumptions!$C$7,G2483)),Assumptions!$D$7,"Other Services"))),"Other Services"))</f>
        <v/>
      </c>
    </row>
    <row r="2484" customFormat="false" ht="15" hidden="false" customHeight="false" outlineLevel="0" collapsed="false">
      <c r="E2484" s="41" t="str">
        <f aca="false">IF(D2484="","",IFERROR(VLOOKUP(D2484,Assumptions!$G$5:$H$16,2,0),"Other"))</f>
        <v/>
      </c>
      <c r="J2484" s="41" t="str">
        <f aca="false">IF(G2484="","",IFERROR(IF(ISNUMBER(SEARCH(Assumptions!$C$5,G2484)),Assumptions!$D$5,IF(ISNUMBER(SEARCH(Assumptions!$C$6,G2484)),Assumptions!$D$6,IF(ISNUMBER(SEARCH(Assumptions!$C$7,G2484)),Assumptions!$D$7,"Other Services"))),"Other Services"))</f>
        <v/>
      </c>
    </row>
    <row r="2485" customFormat="false" ht="15" hidden="false" customHeight="false" outlineLevel="0" collapsed="false">
      <c r="E2485" s="41" t="str">
        <f aca="false">IF(D2485="","",IFERROR(VLOOKUP(D2485,Assumptions!$G$5:$H$16,2,0),"Other"))</f>
        <v/>
      </c>
      <c r="J2485" s="41" t="str">
        <f aca="false">IF(G2485="","",IFERROR(IF(ISNUMBER(SEARCH(Assumptions!$C$5,G2485)),Assumptions!$D$5,IF(ISNUMBER(SEARCH(Assumptions!$C$6,G2485)),Assumptions!$D$6,IF(ISNUMBER(SEARCH(Assumptions!$C$7,G2485)),Assumptions!$D$7,"Other Services"))),"Other Services"))</f>
        <v/>
      </c>
    </row>
    <row r="2486" customFormat="false" ht="15" hidden="false" customHeight="false" outlineLevel="0" collapsed="false">
      <c r="E2486" s="41" t="str">
        <f aca="false">IF(D2486="","",IFERROR(VLOOKUP(D2486,Assumptions!$G$5:$H$16,2,0),"Other"))</f>
        <v/>
      </c>
      <c r="J2486" s="41" t="str">
        <f aca="false">IF(G2486="","",IFERROR(IF(ISNUMBER(SEARCH(Assumptions!$C$5,G2486)),Assumptions!$D$5,IF(ISNUMBER(SEARCH(Assumptions!$C$6,G2486)),Assumptions!$D$6,IF(ISNUMBER(SEARCH(Assumptions!$C$7,G2486)),Assumptions!$D$7,"Other Services"))),"Other Services"))</f>
        <v/>
      </c>
    </row>
    <row r="2487" customFormat="false" ht="15" hidden="false" customHeight="false" outlineLevel="0" collapsed="false">
      <c r="E2487" s="41" t="str">
        <f aca="false">IF(D2487="","",IFERROR(VLOOKUP(D2487,Assumptions!$G$5:$H$16,2,0),"Other"))</f>
        <v/>
      </c>
      <c r="J2487" s="41" t="str">
        <f aca="false">IF(G2487="","",IFERROR(IF(ISNUMBER(SEARCH(Assumptions!$C$5,G2487)),Assumptions!$D$5,IF(ISNUMBER(SEARCH(Assumptions!$C$6,G2487)),Assumptions!$D$6,IF(ISNUMBER(SEARCH(Assumptions!$C$7,G2487)),Assumptions!$D$7,"Other Services"))),"Other Services"))</f>
        <v/>
      </c>
    </row>
    <row r="2488" customFormat="false" ht="15" hidden="false" customHeight="false" outlineLevel="0" collapsed="false">
      <c r="E2488" s="41" t="str">
        <f aca="false">IF(D2488="","",IFERROR(VLOOKUP(D2488,Assumptions!$G$5:$H$16,2,0),"Other"))</f>
        <v/>
      </c>
      <c r="J2488" s="41" t="str">
        <f aca="false">IF(G2488="","",IFERROR(IF(ISNUMBER(SEARCH(Assumptions!$C$5,G2488)),Assumptions!$D$5,IF(ISNUMBER(SEARCH(Assumptions!$C$6,G2488)),Assumptions!$D$6,IF(ISNUMBER(SEARCH(Assumptions!$C$7,G2488)),Assumptions!$D$7,"Other Services"))),"Other Services"))</f>
        <v/>
      </c>
    </row>
    <row r="2489" customFormat="false" ht="15" hidden="false" customHeight="false" outlineLevel="0" collapsed="false">
      <c r="E2489" s="41" t="str">
        <f aca="false">IF(D2489="","",IFERROR(VLOOKUP(D2489,Assumptions!$G$5:$H$16,2,0),"Other"))</f>
        <v/>
      </c>
      <c r="J2489" s="41" t="str">
        <f aca="false">IF(G2489="","",IFERROR(IF(ISNUMBER(SEARCH(Assumptions!$C$5,G2489)),Assumptions!$D$5,IF(ISNUMBER(SEARCH(Assumptions!$C$6,G2489)),Assumptions!$D$6,IF(ISNUMBER(SEARCH(Assumptions!$C$7,G2489)),Assumptions!$D$7,"Other Services"))),"Other Services"))</f>
        <v/>
      </c>
    </row>
    <row r="2490" customFormat="false" ht="15" hidden="false" customHeight="false" outlineLevel="0" collapsed="false">
      <c r="E2490" s="41" t="str">
        <f aca="false">IF(D2490="","",IFERROR(VLOOKUP(D2490,Assumptions!$G$5:$H$16,2,0),"Other"))</f>
        <v/>
      </c>
      <c r="J2490" s="41" t="str">
        <f aca="false">IF(G2490="","",IFERROR(IF(ISNUMBER(SEARCH(Assumptions!$C$5,G2490)),Assumptions!$D$5,IF(ISNUMBER(SEARCH(Assumptions!$C$6,G2490)),Assumptions!$D$6,IF(ISNUMBER(SEARCH(Assumptions!$C$7,G2490)),Assumptions!$D$7,"Other Services"))),"Other Services"))</f>
        <v/>
      </c>
    </row>
    <row r="2491" customFormat="false" ht="15" hidden="false" customHeight="false" outlineLevel="0" collapsed="false">
      <c r="E2491" s="41" t="str">
        <f aca="false">IF(D2491="","",IFERROR(VLOOKUP(D2491,Assumptions!$G$5:$H$16,2,0),"Other"))</f>
        <v/>
      </c>
      <c r="J2491" s="41" t="str">
        <f aca="false">IF(G2491="","",IFERROR(IF(ISNUMBER(SEARCH(Assumptions!$C$5,G2491)),Assumptions!$D$5,IF(ISNUMBER(SEARCH(Assumptions!$C$6,G2491)),Assumptions!$D$6,IF(ISNUMBER(SEARCH(Assumptions!$C$7,G2491)),Assumptions!$D$7,"Other Services"))),"Other Services"))</f>
        <v/>
      </c>
    </row>
    <row r="2492" customFormat="false" ht="15" hidden="false" customHeight="false" outlineLevel="0" collapsed="false">
      <c r="E2492" s="41" t="str">
        <f aca="false">IF(D2492="","",IFERROR(VLOOKUP(D2492,Assumptions!$G$5:$H$16,2,0),"Other"))</f>
        <v/>
      </c>
      <c r="J2492" s="41" t="str">
        <f aca="false">IF(G2492="","",IFERROR(IF(ISNUMBER(SEARCH(Assumptions!$C$5,G2492)),Assumptions!$D$5,IF(ISNUMBER(SEARCH(Assumptions!$C$6,G2492)),Assumptions!$D$6,IF(ISNUMBER(SEARCH(Assumptions!$C$7,G2492)),Assumptions!$D$7,"Other Services"))),"Other Services"))</f>
        <v/>
      </c>
    </row>
    <row r="2493" customFormat="false" ht="15" hidden="false" customHeight="false" outlineLevel="0" collapsed="false">
      <c r="E2493" s="41" t="str">
        <f aca="false">IF(D2493="","",IFERROR(VLOOKUP(D2493,Assumptions!$G$5:$H$16,2,0),"Other"))</f>
        <v/>
      </c>
      <c r="J2493" s="41" t="str">
        <f aca="false">IF(G2493="","",IFERROR(IF(ISNUMBER(SEARCH(Assumptions!$C$5,G2493)),Assumptions!$D$5,IF(ISNUMBER(SEARCH(Assumptions!$C$6,G2493)),Assumptions!$D$6,IF(ISNUMBER(SEARCH(Assumptions!$C$7,G2493)),Assumptions!$D$7,"Other Services"))),"Other Services"))</f>
        <v/>
      </c>
    </row>
    <row r="2494" customFormat="false" ht="15" hidden="false" customHeight="false" outlineLevel="0" collapsed="false">
      <c r="E2494" s="41" t="str">
        <f aca="false">IF(D2494="","",IFERROR(VLOOKUP(D2494,Assumptions!$G$5:$H$16,2,0),"Other"))</f>
        <v/>
      </c>
      <c r="J2494" s="41" t="str">
        <f aca="false">IF(G2494="","",IFERROR(IF(ISNUMBER(SEARCH(Assumptions!$C$5,G2494)),Assumptions!$D$5,IF(ISNUMBER(SEARCH(Assumptions!$C$6,G2494)),Assumptions!$D$6,IF(ISNUMBER(SEARCH(Assumptions!$C$7,G2494)),Assumptions!$D$7,"Other Services"))),"Other Services"))</f>
        <v/>
      </c>
    </row>
    <row r="2495" customFormat="false" ht="15" hidden="false" customHeight="false" outlineLevel="0" collapsed="false">
      <c r="E2495" s="41" t="str">
        <f aca="false">IF(D2495="","",IFERROR(VLOOKUP(D2495,Assumptions!$G$5:$H$16,2,0),"Other"))</f>
        <v/>
      </c>
      <c r="J2495" s="41" t="str">
        <f aca="false">IF(G2495="","",IFERROR(IF(ISNUMBER(SEARCH(Assumptions!$C$5,G2495)),Assumptions!$D$5,IF(ISNUMBER(SEARCH(Assumptions!$C$6,G2495)),Assumptions!$D$6,IF(ISNUMBER(SEARCH(Assumptions!$C$7,G2495)),Assumptions!$D$7,"Other Services"))),"Other Services"))</f>
        <v/>
      </c>
    </row>
    <row r="2496" customFormat="false" ht="15" hidden="false" customHeight="false" outlineLevel="0" collapsed="false">
      <c r="E2496" s="41" t="str">
        <f aca="false">IF(D2496="","",IFERROR(VLOOKUP(D2496,Assumptions!$G$5:$H$16,2,0),"Other"))</f>
        <v/>
      </c>
      <c r="J2496" s="41" t="str">
        <f aca="false">IF(G2496="","",IFERROR(IF(ISNUMBER(SEARCH(Assumptions!$C$5,G2496)),Assumptions!$D$5,IF(ISNUMBER(SEARCH(Assumptions!$C$6,G2496)),Assumptions!$D$6,IF(ISNUMBER(SEARCH(Assumptions!$C$7,G2496)),Assumptions!$D$7,"Other Services"))),"Other Services"))</f>
        <v/>
      </c>
    </row>
    <row r="2497" customFormat="false" ht="15" hidden="false" customHeight="false" outlineLevel="0" collapsed="false">
      <c r="E2497" s="41" t="str">
        <f aca="false">IF(D2497="","",IFERROR(VLOOKUP(D2497,Assumptions!$G$5:$H$16,2,0),"Other"))</f>
        <v/>
      </c>
      <c r="J2497" s="41" t="str">
        <f aca="false">IF(G2497="","",IFERROR(IF(ISNUMBER(SEARCH(Assumptions!$C$5,G2497)),Assumptions!$D$5,IF(ISNUMBER(SEARCH(Assumptions!$C$6,G2497)),Assumptions!$D$6,IF(ISNUMBER(SEARCH(Assumptions!$C$7,G2497)),Assumptions!$D$7,"Other Services"))),"Other Services"))</f>
        <v/>
      </c>
    </row>
    <row r="2498" customFormat="false" ht="15" hidden="false" customHeight="false" outlineLevel="0" collapsed="false">
      <c r="E2498" s="41" t="str">
        <f aca="false">IF(D2498="","",IFERROR(VLOOKUP(D2498,Assumptions!$G$5:$H$16,2,0),"Other"))</f>
        <v/>
      </c>
      <c r="J2498" s="41" t="str">
        <f aca="false">IF(G2498="","",IFERROR(IF(ISNUMBER(SEARCH(Assumptions!$C$5,G2498)),Assumptions!$D$5,IF(ISNUMBER(SEARCH(Assumptions!$C$6,G2498)),Assumptions!$D$6,IF(ISNUMBER(SEARCH(Assumptions!$C$7,G2498)),Assumptions!$D$7,"Other Services"))),"Other Services"))</f>
        <v/>
      </c>
    </row>
    <row r="2499" customFormat="false" ht="15" hidden="false" customHeight="false" outlineLevel="0" collapsed="false">
      <c r="E2499" s="41" t="str">
        <f aca="false">IF(D2499="","",IFERROR(VLOOKUP(D2499,Assumptions!$G$5:$H$16,2,0),"Other"))</f>
        <v/>
      </c>
      <c r="J2499" s="41" t="str">
        <f aca="false">IF(G2499="","",IFERROR(IF(ISNUMBER(SEARCH(Assumptions!$C$5,G2499)),Assumptions!$D$5,IF(ISNUMBER(SEARCH(Assumptions!$C$6,G2499)),Assumptions!$D$6,IF(ISNUMBER(SEARCH(Assumptions!$C$7,G2499)),Assumptions!$D$7,"Other Services"))),"Other Services"))</f>
        <v/>
      </c>
    </row>
    <row r="2500" customFormat="false" ht="15" hidden="false" customHeight="false" outlineLevel="0" collapsed="false">
      <c r="E2500" s="41" t="str">
        <f aca="false">IF(D2500="","",IFERROR(VLOOKUP(D2500,Assumptions!$G$5:$H$16,2,0),"Other"))</f>
        <v/>
      </c>
      <c r="J2500" s="41" t="str">
        <f aca="false">IF(G2500="","",IFERROR(IF(ISNUMBER(SEARCH(Assumptions!$C$5,G2500)),Assumptions!$D$5,IF(ISNUMBER(SEARCH(Assumptions!$C$6,G2500)),Assumptions!$D$6,IF(ISNUMBER(SEARCH(Assumptions!$C$7,G2500)),Assumptions!$D$7,"Other Services"))),"Other Services"))</f>
        <v/>
      </c>
    </row>
    <row r="2501" customFormat="false" ht="15" hidden="false" customHeight="false" outlineLevel="0" collapsed="false">
      <c r="E2501" s="41" t="str">
        <f aca="false">IF(D2501="","",IFERROR(VLOOKUP(D2501,Assumptions!$G$5:$H$16,2,0),"Other"))</f>
        <v/>
      </c>
      <c r="J2501" s="41" t="str">
        <f aca="false">IF(G2501="","",IFERROR(IF(ISNUMBER(SEARCH(Assumptions!$C$5,G2501)),Assumptions!$D$5,IF(ISNUMBER(SEARCH(Assumptions!$C$6,G2501)),Assumptions!$D$6,IF(ISNUMBER(SEARCH(Assumptions!$C$7,G2501)),Assumptions!$D$7,"Other Services"))),"Other Services"))</f>
        <v/>
      </c>
    </row>
    <row r="2502" customFormat="false" ht="15" hidden="false" customHeight="false" outlineLevel="0" collapsed="false">
      <c r="E2502" s="41" t="str">
        <f aca="false">IF(D2502="","",IFERROR(VLOOKUP(D2502,Assumptions!$G$5:$H$16,2,0),"Other"))</f>
        <v/>
      </c>
      <c r="J2502" s="41" t="str">
        <f aca="false">IF(G2502="","",IFERROR(IF(ISNUMBER(SEARCH(Assumptions!$C$5,G2502)),Assumptions!$D$5,IF(ISNUMBER(SEARCH(Assumptions!$C$6,G2502)),Assumptions!$D$6,IF(ISNUMBER(SEARCH(Assumptions!$C$7,G2502)),Assumptions!$D$7,"Other Services"))),"Other Services"))</f>
        <v/>
      </c>
    </row>
    <row r="2503" customFormat="false" ht="15" hidden="false" customHeight="false" outlineLevel="0" collapsed="false">
      <c r="E2503" s="41" t="str">
        <f aca="false">IF(D2503="","",IFERROR(VLOOKUP(D2503,Assumptions!$G$5:$H$16,2,0),"Other"))</f>
        <v/>
      </c>
      <c r="J2503" s="41" t="str">
        <f aca="false">IF(G2503="","",IFERROR(IF(ISNUMBER(SEARCH(Assumptions!$C$5,G2503)),Assumptions!$D$5,IF(ISNUMBER(SEARCH(Assumptions!$C$6,G2503)),Assumptions!$D$6,IF(ISNUMBER(SEARCH(Assumptions!$C$7,G2503)),Assumptions!$D$7,"Other Services"))),"Other Services"))</f>
        <v/>
      </c>
    </row>
    <row r="2504" customFormat="false" ht="15" hidden="false" customHeight="false" outlineLevel="0" collapsed="false">
      <c r="E2504" s="41" t="str">
        <f aca="false">IF(D2504="","",IFERROR(VLOOKUP(D2504,Assumptions!$G$5:$H$16,2,0),"Other"))</f>
        <v/>
      </c>
      <c r="J2504" s="41" t="str">
        <f aca="false">IF(G2504="","",IFERROR(IF(ISNUMBER(SEARCH(Assumptions!$C$5,G2504)),Assumptions!$D$5,IF(ISNUMBER(SEARCH(Assumptions!$C$6,G2504)),Assumptions!$D$6,IF(ISNUMBER(SEARCH(Assumptions!$C$7,G2504)),Assumptions!$D$7,"Other Services"))),"Other Services"))</f>
        <v/>
      </c>
    </row>
    <row r="2505" customFormat="false" ht="15" hidden="false" customHeight="false" outlineLevel="0" collapsed="false">
      <c r="E2505" s="41" t="str">
        <f aca="false">IF(D2505="","",IFERROR(VLOOKUP(D2505,Assumptions!$G$5:$H$16,2,0),"Other"))</f>
        <v/>
      </c>
      <c r="J2505" s="41" t="str">
        <f aca="false">IF(G2505="","",IFERROR(IF(ISNUMBER(SEARCH(Assumptions!$C$5,G2505)),Assumptions!$D$5,IF(ISNUMBER(SEARCH(Assumptions!$C$6,G2505)),Assumptions!$D$6,IF(ISNUMBER(SEARCH(Assumptions!$C$7,G2505)),Assumptions!$D$7,"Other Services"))),"Other Services"))</f>
        <v/>
      </c>
    </row>
    <row r="2506" customFormat="false" ht="15" hidden="false" customHeight="false" outlineLevel="0" collapsed="false">
      <c r="E2506" s="41" t="str">
        <f aca="false">IF(D2506="","",IFERROR(VLOOKUP(D2506,Assumptions!$G$5:$H$16,2,0),"Other"))</f>
        <v/>
      </c>
      <c r="J2506" s="41" t="str">
        <f aca="false">IF(G2506="","",IFERROR(IF(ISNUMBER(SEARCH(Assumptions!$C$5,G2506)),Assumptions!$D$5,IF(ISNUMBER(SEARCH(Assumptions!$C$6,G2506)),Assumptions!$D$6,IF(ISNUMBER(SEARCH(Assumptions!$C$7,G2506)),Assumptions!$D$7,"Other Services"))),"Other Services"))</f>
        <v/>
      </c>
    </row>
    <row r="2507" customFormat="false" ht="15" hidden="false" customHeight="false" outlineLevel="0" collapsed="false">
      <c r="E2507" s="41" t="str">
        <f aca="false">IF(D2507="","",IFERROR(VLOOKUP(D2507,Assumptions!$G$5:$H$16,2,0),"Other"))</f>
        <v/>
      </c>
      <c r="J2507" s="41" t="str">
        <f aca="false">IF(G2507="","",IFERROR(IF(ISNUMBER(SEARCH(Assumptions!$C$5,G2507)),Assumptions!$D$5,IF(ISNUMBER(SEARCH(Assumptions!$C$6,G2507)),Assumptions!$D$6,IF(ISNUMBER(SEARCH(Assumptions!$C$7,G2507)),Assumptions!$D$7,"Other Services"))),"Other Services"))</f>
        <v/>
      </c>
    </row>
    <row r="2508" customFormat="false" ht="15" hidden="false" customHeight="false" outlineLevel="0" collapsed="false">
      <c r="E2508" s="41" t="str">
        <f aca="false">IF(D2508="","",IFERROR(VLOOKUP(D2508,Assumptions!$G$5:$H$16,2,0),"Other"))</f>
        <v/>
      </c>
      <c r="J2508" s="41" t="str">
        <f aca="false">IF(G2508="","",IFERROR(IF(ISNUMBER(SEARCH(Assumptions!$C$5,G2508)),Assumptions!$D$5,IF(ISNUMBER(SEARCH(Assumptions!$C$6,G2508)),Assumptions!$D$6,IF(ISNUMBER(SEARCH(Assumptions!$C$7,G2508)),Assumptions!$D$7,"Other Services"))),"Other Services"))</f>
        <v/>
      </c>
    </row>
    <row r="2509" customFormat="false" ht="15" hidden="false" customHeight="false" outlineLevel="0" collapsed="false">
      <c r="E2509" s="41" t="str">
        <f aca="false">IF(D2509="","",IFERROR(VLOOKUP(D2509,Assumptions!$G$5:$H$16,2,0),"Other"))</f>
        <v/>
      </c>
      <c r="J2509" s="41" t="str">
        <f aca="false">IF(G2509="","",IFERROR(IF(ISNUMBER(SEARCH(Assumptions!$C$5,G2509)),Assumptions!$D$5,IF(ISNUMBER(SEARCH(Assumptions!$C$6,G2509)),Assumptions!$D$6,IF(ISNUMBER(SEARCH(Assumptions!$C$7,G2509)),Assumptions!$D$7,"Other Services"))),"Other Services"))</f>
        <v/>
      </c>
    </row>
    <row r="2510" customFormat="false" ht="15" hidden="false" customHeight="false" outlineLevel="0" collapsed="false">
      <c r="E2510" s="41" t="str">
        <f aca="false">IF(D2510="","",IFERROR(VLOOKUP(D2510,Assumptions!$G$5:$H$16,2,0),"Other"))</f>
        <v/>
      </c>
      <c r="J2510" s="41" t="str">
        <f aca="false">IF(G2510="","",IFERROR(IF(ISNUMBER(SEARCH(Assumptions!$C$5,G2510)),Assumptions!$D$5,IF(ISNUMBER(SEARCH(Assumptions!$C$6,G2510)),Assumptions!$D$6,IF(ISNUMBER(SEARCH(Assumptions!$C$7,G2510)),Assumptions!$D$7,"Other Services"))),"Other Services"))</f>
        <v/>
      </c>
    </row>
    <row r="2511" customFormat="false" ht="15" hidden="false" customHeight="false" outlineLevel="0" collapsed="false">
      <c r="E2511" s="41" t="str">
        <f aca="false">IF(D2511="","",IFERROR(VLOOKUP(D2511,Assumptions!$G$5:$H$16,2,0),"Other"))</f>
        <v/>
      </c>
      <c r="J2511" s="41" t="str">
        <f aca="false">IF(G2511="","",IFERROR(IF(ISNUMBER(SEARCH(Assumptions!$C$5,G2511)),Assumptions!$D$5,IF(ISNUMBER(SEARCH(Assumptions!$C$6,G2511)),Assumptions!$D$6,IF(ISNUMBER(SEARCH(Assumptions!$C$7,G2511)),Assumptions!$D$7,"Other Services"))),"Other Services"))</f>
        <v/>
      </c>
    </row>
    <row r="2512" customFormat="false" ht="15" hidden="false" customHeight="false" outlineLevel="0" collapsed="false">
      <c r="E2512" s="41" t="str">
        <f aca="false">IF(D2512="","",IFERROR(VLOOKUP(D2512,Assumptions!$G$5:$H$16,2,0),"Other"))</f>
        <v/>
      </c>
      <c r="J2512" s="41" t="str">
        <f aca="false">IF(G2512="","",IFERROR(IF(ISNUMBER(SEARCH(Assumptions!$C$5,G2512)),Assumptions!$D$5,IF(ISNUMBER(SEARCH(Assumptions!$C$6,G2512)),Assumptions!$D$6,IF(ISNUMBER(SEARCH(Assumptions!$C$7,G2512)),Assumptions!$D$7,"Other Services"))),"Other Services"))</f>
        <v/>
      </c>
    </row>
    <row r="2513" customFormat="false" ht="15" hidden="false" customHeight="false" outlineLevel="0" collapsed="false">
      <c r="E2513" s="41" t="str">
        <f aca="false">IF(D2513="","",IFERROR(VLOOKUP(D2513,Assumptions!$G$5:$H$16,2,0),"Other"))</f>
        <v/>
      </c>
      <c r="J2513" s="41" t="str">
        <f aca="false">IF(G2513="","",IFERROR(IF(ISNUMBER(SEARCH(Assumptions!$C$5,G2513)),Assumptions!$D$5,IF(ISNUMBER(SEARCH(Assumptions!$C$6,G2513)),Assumptions!$D$6,IF(ISNUMBER(SEARCH(Assumptions!$C$7,G2513)),Assumptions!$D$7,"Other Services"))),"Other Services"))</f>
        <v/>
      </c>
    </row>
    <row r="2514" customFormat="false" ht="15" hidden="false" customHeight="false" outlineLevel="0" collapsed="false">
      <c r="E2514" s="41" t="str">
        <f aca="false">IF(D2514="","",IFERROR(VLOOKUP(D2514,Assumptions!$G$5:$H$16,2,0),"Other"))</f>
        <v/>
      </c>
      <c r="J2514" s="41" t="str">
        <f aca="false">IF(G2514="","",IFERROR(IF(ISNUMBER(SEARCH(Assumptions!$C$5,G2514)),Assumptions!$D$5,IF(ISNUMBER(SEARCH(Assumptions!$C$6,G2514)),Assumptions!$D$6,IF(ISNUMBER(SEARCH(Assumptions!$C$7,G2514)),Assumptions!$D$7,"Other Services"))),"Other Services"))</f>
        <v/>
      </c>
    </row>
    <row r="2515" customFormat="false" ht="15" hidden="false" customHeight="false" outlineLevel="0" collapsed="false">
      <c r="E2515" s="41" t="str">
        <f aca="false">IF(D2515="","",IFERROR(VLOOKUP(D2515,Assumptions!$G$5:$H$16,2,0),"Other"))</f>
        <v/>
      </c>
      <c r="J2515" s="41" t="str">
        <f aca="false">IF(G2515="","",IFERROR(IF(ISNUMBER(SEARCH(Assumptions!$C$5,G2515)),Assumptions!$D$5,IF(ISNUMBER(SEARCH(Assumptions!$C$6,G2515)),Assumptions!$D$6,IF(ISNUMBER(SEARCH(Assumptions!$C$7,G2515)),Assumptions!$D$7,"Other Services"))),"Other Services"))</f>
        <v/>
      </c>
    </row>
    <row r="2516" customFormat="false" ht="15" hidden="false" customHeight="false" outlineLevel="0" collapsed="false">
      <c r="E2516" s="41" t="str">
        <f aca="false">IF(D2516="","",IFERROR(VLOOKUP(D2516,Assumptions!$G$5:$H$16,2,0),"Other"))</f>
        <v/>
      </c>
      <c r="J2516" s="41" t="str">
        <f aca="false">IF(G2516="","",IFERROR(IF(ISNUMBER(SEARCH(Assumptions!$C$5,G2516)),Assumptions!$D$5,IF(ISNUMBER(SEARCH(Assumptions!$C$6,G2516)),Assumptions!$D$6,IF(ISNUMBER(SEARCH(Assumptions!$C$7,G2516)),Assumptions!$D$7,"Other Services"))),"Other Services"))</f>
        <v/>
      </c>
    </row>
    <row r="2517" customFormat="false" ht="15" hidden="false" customHeight="false" outlineLevel="0" collapsed="false">
      <c r="E2517" s="41" t="str">
        <f aca="false">IF(D2517="","",IFERROR(VLOOKUP(D2517,Assumptions!$G$5:$H$16,2,0),"Other"))</f>
        <v/>
      </c>
      <c r="J2517" s="41" t="str">
        <f aca="false">IF(G2517="","",IFERROR(IF(ISNUMBER(SEARCH(Assumptions!$C$5,G2517)),Assumptions!$D$5,IF(ISNUMBER(SEARCH(Assumptions!$C$6,G2517)),Assumptions!$D$6,IF(ISNUMBER(SEARCH(Assumptions!$C$7,G2517)),Assumptions!$D$7,"Other Services"))),"Other Services"))</f>
        <v/>
      </c>
    </row>
    <row r="2518" customFormat="false" ht="15" hidden="false" customHeight="false" outlineLevel="0" collapsed="false">
      <c r="E2518" s="41" t="str">
        <f aca="false">IF(D2518="","",IFERROR(VLOOKUP(D2518,Assumptions!$G$5:$H$16,2,0),"Other"))</f>
        <v/>
      </c>
      <c r="J2518" s="41" t="str">
        <f aca="false">IF(G2518="","",IFERROR(IF(ISNUMBER(SEARCH(Assumptions!$C$5,G2518)),Assumptions!$D$5,IF(ISNUMBER(SEARCH(Assumptions!$C$6,G2518)),Assumptions!$D$6,IF(ISNUMBER(SEARCH(Assumptions!$C$7,G2518)),Assumptions!$D$7,"Other Services"))),"Other Services"))</f>
        <v/>
      </c>
    </row>
    <row r="2519" customFormat="false" ht="15" hidden="false" customHeight="false" outlineLevel="0" collapsed="false">
      <c r="E2519" s="41" t="str">
        <f aca="false">IF(D2519="","",IFERROR(VLOOKUP(D2519,Assumptions!$G$5:$H$16,2,0),"Other"))</f>
        <v/>
      </c>
      <c r="J2519" s="41" t="str">
        <f aca="false">IF(G2519="","",IFERROR(IF(ISNUMBER(SEARCH(Assumptions!$C$5,G2519)),Assumptions!$D$5,IF(ISNUMBER(SEARCH(Assumptions!$C$6,G2519)),Assumptions!$D$6,IF(ISNUMBER(SEARCH(Assumptions!$C$7,G2519)),Assumptions!$D$7,"Other Services"))),"Other Services"))</f>
        <v/>
      </c>
    </row>
    <row r="2520" customFormat="false" ht="15" hidden="false" customHeight="false" outlineLevel="0" collapsed="false">
      <c r="E2520" s="41" t="str">
        <f aca="false">IF(D2520="","",IFERROR(VLOOKUP(D2520,Assumptions!$G$5:$H$16,2,0),"Other"))</f>
        <v/>
      </c>
      <c r="J2520" s="41" t="str">
        <f aca="false">IF(G2520="","",IFERROR(IF(ISNUMBER(SEARCH(Assumptions!$C$5,G2520)),Assumptions!$D$5,IF(ISNUMBER(SEARCH(Assumptions!$C$6,G2520)),Assumptions!$D$6,IF(ISNUMBER(SEARCH(Assumptions!$C$7,G2520)),Assumptions!$D$7,"Other Services"))),"Other Services"))</f>
        <v/>
      </c>
    </row>
    <row r="2521" customFormat="false" ht="15" hidden="false" customHeight="false" outlineLevel="0" collapsed="false">
      <c r="E2521" s="41" t="str">
        <f aca="false">IF(D2521="","",IFERROR(VLOOKUP(D2521,Assumptions!$G$5:$H$16,2,0),"Other"))</f>
        <v/>
      </c>
      <c r="J2521" s="41" t="str">
        <f aca="false">IF(G2521="","",IFERROR(IF(ISNUMBER(SEARCH(Assumptions!$C$5,G2521)),Assumptions!$D$5,IF(ISNUMBER(SEARCH(Assumptions!$C$6,G2521)),Assumptions!$D$6,IF(ISNUMBER(SEARCH(Assumptions!$C$7,G2521)),Assumptions!$D$7,"Other Services"))),"Other Services"))</f>
        <v/>
      </c>
    </row>
    <row r="2522" customFormat="false" ht="15" hidden="false" customHeight="false" outlineLevel="0" collapsed="false">
      <c r="E2522" s="41" t="str">
        <f aca="false">IF(D2522="","",IFERROR(VLOOKUP(D2522,Assumptions!$G$5:$H$16,2,0),"Other"))</f>
        <v/>
      </c>
      <c r="J2522" s="41" t="str">
        <f aca="false">IF(G2522="","",IFERROR(IF(ISNUMBER(SEARCH(Assumptions!$C$5,G2522)),Assumptions!$D$5,IF(ISNUMBER(SEARCH(Assumptions!$C$6,G2522)),Assumptions!$D$6,IF(ISNUMBER(SEARCH(Assumptions!$C$7,G2522)),Assumptions!$D$7,"Other Services"))),"Other Services"))</f>
        <v/>
      </c>
    </row>
    <row r="2523" customFormat="false" ht="15" hidden="false" customHeight="false" outlineLevel="0" collapsed="false">
      <c r="E2523" s="41" t="str">
        <f aca="false">IF(D2523="","",IFERROR(VLOOKUP(D2523,Assumptions!$G$5:$H$16,2,0),"Other"))</f>
        <v/>
      </c>
      <c r="J2523" s="41" t="str">
        <f aca="false">IF(G2523="","",IFERROR(IF(ISNUMBER(SEARCH(Assumptions!$C$5,G2523)),Assumptions!$D$5,IF(ISNUMBER(SEARCH(Assumptions!$C$6,G2523)),Assumptions!$D$6,IF(ISNUMBER(SEARCH(Assumptions!$C$7,G2523)),Assumptions!$D$7,"Other Services"))),"Other Services"))</f>
        <v/>
      </c>
    </row>
    <row r="2524" customFormat="false" ht="15" hidden="false" customHeight="false" outlineLevel="0" collapsed="false">
      <c r="E2524" s="41" t="str">
        <f aca="false">IF(D2524="","",IFERROR(VLOOKUP(D2524,Assumptions!$G$5:$H$16,2,0),"Other"))</f>
        <v/>
      </c>
      <c r="J2524" s="41" t="str">
        <f aca="false">IF(G2524="","",IFERROR(IF(ISNUMBER(SEARCH(Assumptions!$C$5,G2524)),Assumptions!$D$5,IF(ISNUMBER(SEARCH(Assumptions!$C$6,G2524)),Assumptions!$D$6,IF(ISNUMBER(SEARCH(Assumptions!$C$7,G2524)),Assumptions!$D$7,"Other Services"))),"Other Services"))</f>
        <v/>
      </c>
    </row>
    <row r="2525" customFormat="false" ht="15" hidden="false" customHeight="false" outlineLevel="0" collapsed="false">
      <c r="E2525" s="41" t="str">
        <f aca="false">IF(D2525="","",IFERROR(VLOOKUP(D2525,Assumptions!$G$5:$H$16,2,0),"Other"))</f>
        <v/>
      </c>
      <c r="J2525" s="41" t="str">
        <f aca="false">IF(G2525="","",IFERROR(IF(ISNUMBER(SEARCH(Assumptions!$C$5,G2525)),Assumptions!$D$5,IF(ISNUMBER(SEARCH(Assumptions!$C$6,G2525)),Assumptions!$D$6,IF(ISNUMBER(SEARCH(Assumptions!$C$7,G2525)),Assumptions!$D$7,"Other Services"))),"Other Services"))</f>
        <v/>
      </c>
    </row>
    <row r="2526" customFormat="false" ht="15" hidden="false" customHeight="false" outlineLevel="0" collapsed="false">
      <c r="E2526" s="41" t="str">
        <f aca="false">IF(D2526="","",IFERROR(VLOOKUP(D2526,Assumptions!$G$5:$H$16,2,0),"Other"))</f>
        <v/>
      </c>
      <c r="J2526" s="41" t="str">
        <f aca="false">IF(G2526="","",IFERROR(IF(ISNUMBER(SEARCH(Assumptions!$C$5,G2526)),Assumptions!$D$5,IF(ISNUMBER(SEARCH(Assumptions!$C$6,G2526)),Assumptions!$D$6,IF(ISNUMBER(SEARCH(Assumptions!$C$7,G2526)),Assumptions!$D$7,"Other Services"))),"Other Services"))</f>
        <v/>
      </c>
    </row>
    <row r="2527" customFormat="false" ht="15" hidden="false" customHeight="false" outlineLevel="0" collapsed="false">
      <c r="E2527" s="41" t="str">
        <f aca="false">IF(D2527="","",IFERROR(VLOOKUP(D2527,Assumptions!$G$5:$H$16,2,0),"Other"))</f>
        <v/>
      </c>
      <c r="J2527" s="41" t="str">
        <f aca="false">IF(G2527="","",IFERROR(IF(ISNUMBER(SEARCH(Assumptions!$C$5,G2527)),Assumptions!$D$5,IF(ISNUMBER(SEARCH(Assumptions!$C$6,G2527)),Assumptions!$D$6,IF(ISNUMBER(SEARCH(Assumptions!$C$7,G2527)),Assumptions!$D$7,"Other Services"))),"Other Services"))</f>
        <v/>
      </c>
    </row>
    <row r="2528" customFormat="false" ht="15" hidden="false" customHeight="false" outlineLevel="0" collapsed="false">
      <c r="E2528" s="41" t="str">
        <f aca="false">IF(D2528="","",IFERROR(VLOOKUP(D2528,Assumptions!$G$5:$H$16,2,0),"Other"))</f>
        <v/>
      </c>
      <c r="J2528" s="41" t="str">
        <f aca="false">IF(G2528="","",IFERROR(IF(ISNUMBER(SEARCH(Assumptions!$C$5,G2528)),Assumptions!$D$5,IF(ISNUMBER(SEARCH(Assumptions!$C$6,G2528)),Assumptions!$D$6,IF(ISNUMBER(SEARCH(Assumptions!$C$7,G2528)),Assumptions!$D$7,"Other Services"))),"Other Services"))</f>
        <v/>
      </c>
    </row>
    <row r="2529" customFormat="false" ht="15" hidden="false" customHeight="false" outlineLevel="0" collapsed="false">
      <c r="E2529" s="41" t="str">
        <f aca="false">IF(D2529="","",IFERROR(VLOOKUP(D2529,Assumptions!$G$5:$H$16,2,0),"Other"))</f>
        <v/>
      </c>
      <c r="J2529" s="41" t="str">
        <f aca="false">IF(G2529="","",IFERROR(IF(ISNUMBER(SEARCH(Assumptions!$C$5,G2529)),Assumptions!$D$5,IF(ISNUMBER(SEARCH(Assumptions!$C$6,G2529)),Assumptions!$D$6,IF(ISNUMBER(SEARCH(Assumptions!$C$7,G2529)),Assumptions!$D$7,"Other Services"))),"Other Services"))</f>
        <v/>
      </c>
    </row>
    <row r="2530" customFormat="false" ht="15" hidden="false" customHeight="false" outlineLevel="0" collapsed="false">
      <c r="E2530" s="41" t="str">
        <f aca="false">IF(D2530="","",IFERROR(VLOOKUP(D2530,Assumptions!$G$5:$H$16,2,0),"Other"))</f>
        <v/>
      </c>
      <c r="J2530" s="41" t="str">
        <f aca="false">IF(G2530="","",IFERROR(IF(ISNUMBER(SEARCH(Assumptions!$C$5,G2530)),Assumptions!$D$5,IF(ISNUMBER(SEARCH(Assumptions!$C$6,G2530)),Assumptions!$D$6,IF(ISNUMBER(SEARCH(Assumptions!$C$7,G2530)),Assumptions!$D$7,"Other Services"))),"Other Services"))</f>
        <v/>
      </c>
    </row>
    <row r="2531" customFormat="false" ht="15" hidden="false" customHeight="false" outlineLevel="0" collapsed="false">
      <c r="E2531" s="41" t="str">
        <f aca="false">IF(D2531="","",IFERROR(VLOOKUP(D2531,Assumptions!$G$5:$H$16,2,0),"Other"))</f>
        <v/>
      </c>
      <c r="J2531" s="41" t="str">
        <f aca="false">IF(G2531="","",IFERROR(IF(ISNUMBER(SEARCH(Assumptions!$C$5,G2531)),Assumptions!$D$5,IF(ISNUMBER(SEARCH(Assumptions!$C$6,G2531)),Assumptions!$D$6,IF(ISNUMBER(SEARCH(Assumptions!$C$7,G2531)),Assumptions!$D$7,"Other Services"))),"Other Services"))</f>
        <v/>
      </c>
    </row>
    <row r="2532" customFormat="false" ht="15" hidden="false" customHeight="false" outlineLevel="0" collapsed="false">
      <c r="E2532" s="41" t="str">
        <f aca="false">IF(D2532="","",IFERROR(VLOOKUP(D2532,Assumptions!$G$5:$H$16,2,0),"Other"))</f>
        <v/>
      </c>
      <c r="J2532" s="41" t="str">
        <f aca="false">IF(G2532="","",IFERROR(IF(ISNUMBER(SEARCH(Assumptions!$C$5,G2532)),Assumptions!$D$5,IF(ISNUMBER(SEARCH(Assumptions!$C$6,G2532)),Assumptions!$D$6,IF(ISNUMBER(SEARCH(Assumptions!$C$7,G2532)),Assumptions!$D$7,"Other Services"))),"Other Services"))</f>
        <v/>
      </c>
    </row>
    <row r="2533" customFormat="false" ht="15" hidden="false" customHeight="false" outlineLevel="0" collapsed="false">
      <c r="E2533" s="41" t="str">
        <f aca="false">IF(D2533="","",IFERROR(VLOOKUP(D2533,Assumptions!$G$5:$H$16,2,0),"Other"))</f>
        <v/>
      </c>
      <c r="J2533" s="41" t="str">
        <f aca="false">IF(G2533="","",IFERROR(IF(ISNUMBER(SEARCH(Assumptions!$C$5,G2533)),Assumptions!$D$5,IF(ISNUMBER(SEARCH(Assumptions!$C$6,G2533)),Assumptions!$D$6,IF(ISNUMBER(SEARCH(Assumptions!$C$7,G2533)),Assumptions!$D$7,"Other Services"))),"Other Services"))</f>
        <v/>
      </c>
    </row>
    <row r="2534" customFormat="false" ht="15" hidden="false" customHeight="false" outlineLevel="0" collapsed="false">
      <c r="E2534" s="41" t="str">
        <f aca="false">IF(D2534="","",IFERROR(VLOOKUP(D2534,Assumptions!$G$5:$H$16,2,0),"Other"))</f>
        <v/>
      </c>
      <c r="J2534" s="41" t="str">
        <f aca="false">IF(G2534="","",IFERROR(IF(ISNUMBER(SEARCH(Assumptions!$C$5,G2534)),Assumptions!$D$5,IF(ISNUMBER(SEARCH(Assumptions!$C$6,G2534)),Assumptions!$D$6,IF(ISNUMBER(SEARCH(Assumptions!$C$7,G2534)),Assumptions!$D$7,"Other Services"))),"Other Services"))</f>
        <v/>
      </c>
    </row>
    <row r="2535" customFormat="false" ht="15" hidden="false" customHeight="false" outlineLevel="0" collapsed="false">
      <c r="E2535" s="41" t="str">
        <f aca="false">IF(D2535="","",IFERROR(VLOOKUP(D2535,Assumptions!$G$5:$H$16,2,0),"Other"))</f>
        <v/>
      </c>
      <c r="J2535" s="41" t="str">
        <f aca="false">IF(G2535="","",IFERROR(IF(ISNUMBER(SEARCH(Assumptions!$C$5,G2535)),Assumptions!$D$5,IF(ISNUMBER(SEARCH(Assumptions!$C$6,G2535)),Assumptions!$D$6,IF(ISNUMBER(SEARCH(Assumptions!$C$7,G2535)),Assumptions!$D$7,"Other Services"))),"Other Services"))</f>
        <v/>
      </c>
    </row>
    <row r="2536" customFormat="false" ht="15" hidden="false" customHeight="false" outlineLevel="0" collapsed="false">
      <c r="E2536" s="41" t="str">
        <f aca="false">IF(D2536="","",IFERROR(VLOOKUP(D2536,Assumptions!$G$5:$H$16,2,0),"Other"))</f>
        <v/>
      </c>
      <c r="J2536" s="41" t="str">
        <f aca="false">IF(G2536="","",IFERROR(IF(ISNUMBER(SEARCH(Assumptions!$C$5,G2536)),Assumptions!$D$5,IF(ISNUMBER(SEARCH(Assumptions!$C$6,G2536)),Assumptions!$D$6,IF(ISNUMBER(SEARCH(Assumptions!$C$7,G2536)),Assumptions!$D$7,"Other Services"))),"Other Services"))</f>
        <v/>
      </c>
    </row>
    <row r="2537" customFormat="false" ht="15" hidden="false" customHeight="false" outlineLevel="0" collapsed="false">
      <c r="E2537" s="41" t="str">
        <f aca="false">IF(D2537="","",IFERROR(VLOOKUP(D2537,Assumptions!$G$5:$H$16,2,0),"Other"))</f>
        <v/>
      </c>
      <c r="J2537" s="41" t="str">
        <f aca="false">IF(G2537="","",IFERROR(IF(ISNUMBER(SEARCH(Assumptions!$C$5,G2537)),Assumptions!$D$5,IF(ISNUMBER(SEARCH(Assumptions!$C$6,G2537)),Assumptions!$D$6,IF(ISNUMBER(SEARCH(Assumptions!$C$7,G2537)),Assumptions!$D$7,"Other Services"))),"Other Services"))</f>
        <v/>
      </c>
    </row>
    <row r="2538" customFormat="false" ht="15" hidden="false" customHeight="false" outlineLevel="0" collapsed="false">
      <c r="E2538" s="41" t="str">
        <f aca="false">IF(D2538="","",IFERROR(VLOOKUP(D2538,Assumptions!$G$5:$H$16,2,0),"Other"))</f>
        <v/>
      </c>
      <c r="J2538" s="41" t="str">
        <f aca="false">IF(G2538="","",IFERROR(IF(ISNUMBER(SEARCH(Assumptions!$C$5,G2538)),Assumptions!$D$5,IF(ISNUMBER(SEARCH(Assumptions!$C$6,G2538)),Assumptions!$D$6,IF(ISNUMBER(SEARCH(Assumptions!$C$7,G2538)),Assumptions!$D$7,"Other Services"))),"Other Services"))</f>
        <v/>
      </c>
    </row>
    <row r="2539" customFormat="false" ht="15" hidden="false" customHeight="false" outlineLevel="0" collapsed="false">
      <c r="E2539" s="41" t="str">
        <f aca="false">IF(D2539="","",IFERROR(VLOOKUP(D2539,Assumptions!$G$5:$H$16,2,0),"Other"))</f>
        <v/>
      </c>
      <c r="J2539" s="41" t="str">
        <f aca="false">IF(G2539="","",IFERROR(IF(ISNUMBER(SEARCH(Assumptions!$C$5,G2539)),Assumptions!$D$5,IF(ISNUMBER(SEARCH(Assumptions!$C$6,G2539)),Assumptions!$D$6,IF(ISNUMBER(SEARCH(Assumptions!$C$7,G2539)),Assumptions!$D$7,"Other Services"))),"Other Services"))</f>
        <v/>
      </c>
    </row>
    <row r="2540" customFormat="false" ht="15" hidden="false" customHeight="false" outlineLevel="0" collapsed="false">
      <c r="E2540" s="41" t="str">
        <f aca="false">IF(D2540="","",IFERROR(VLOOKUP(D2540,Assumptions!$G$5:$H$16,2,0),"Other"))</f>
        <v/>
      </c>
      <c r="J2540" s="41" t="str">
        <f aca="false">IF(G2540="","",IFERROR(IF(ISNUMBER(SEARCH(Assumptions!$C$5,G2540)),Assumptions!$D$5,IF(ISNUMBER(SEARCH(Assumptions!$C$6,G2540)),Assumptions!$D$6,IF(ISNUMBER(SEARCH(Assumptions!$C$7,G2540)),Assumptions!$D$7,"Other Services"))),"Other Services"))</f>
        <v/>
      </c>
    </row>
    <row r="2541" customFormat="false" ht="15" hidden="false" customHeight="false" outlineLevel="0" collapsed="false">
      <c r="E2541" s="41" t="str">
        <f aca="false">IF(D2541="","",IFERROR(VLOOKUP(D2541,Assumptions!$G$5:$H$16,2,0),"Other"))</f>
        <v/>
      </c>
      <c r="J2541" s="41" t="str">
        <f aca="false">IF(G2541="","",IFERROR(IF(ISNUMBER(SEARCH(Assumptions!$C$5,G2541)),Assumptions!$D$5,IF(ISNUMBER(SEARCH(Assumptions!$C$6,G2541)),Assumptions!$D$6,IF(ISNUMBER(SEARCH(Assumptions!$C$7,G2541)),Assumptions!$D$7,"Other Services"))),"Other Services"))</f>
        <v/>
      </c>
    </row>
    <row r="2542" customFormat="false" ht="15" hidden="false" customHeight="false" outlineLevel="0" collapsed="false">
      <c r="E2542" s="41" t="str">
        <f aca="false">IF(D2542="","",IFERROR(VLOOKUP(D2542,Assumptions!$G$5:$H$16,2,0),"Other"))</f>
        <v/>
      </c>
      <c r="J2542" s="41" t="str">
        <f aca="false">IF(G2542="","",IFERROR(IF(ISNUMBER(SEARCH(Assumptions!$C$5,G2542)),Assumptions!$D$5,IF(ISNUMBER(SEARCH(Assumptions!$C$6,G2542)),Assumptions!$D$6,IF(ISNUMBER(SEARCH(Assumptions!$C$7,G2542)),Assumptions!$D$7,"Other Services"))),"Other Services"))</f>
        <v/>
      </c>
    </row>
    <row r="2543" customFormat="false" ht="15" hidden="false" customHeight="false" outlineLevel="0" collapsed="false">
      <c r="E2543" s="41" t="str">
        <f aca="false">IF(D2543="","",IFERROR(VLOOKUP(D2543,Assumptions!$G$5:$H$16,2,0),"Other"))</f>
        <v/>
      </c>
      <c r="J2543" s="41" t="str">
        <f aca="false">IF(G2543="","",IFERROR(IF(ISNUMBER(SEARCH(Assumptions!$C$5,G2543)),Assumptions!$D$5,IF(ISNUMBER(SEARCH(Assumptions!$C$6,G2543)),Assumptions!$D$6,IF(ISNUMBER(SEARCH(Assumptions!$C$7,G2543)),Assumptions!$D$7,"Other Services"))),"Other Services"))</f>
        <v/>
      </c>
    </row>
    <row r="2544" customFormat="false" ht="15" hidden="false" customHeight="false" outlineLevel="0" collapsed="false">
      <c r="E2544" s="41" t="str">
        <f aca="false">IF(D2544="","",IFERROR(VLOOKUP(D2544,Assumptions!$G$5:$H$16,2,0),"Other"))</f>
        <v/>
      </c>
      <c r="J2544" s="41" t="str">
        <f aca="false">IF(G2544="","",IFERROR(IF(ISNUMBER(SEARCH(Assumptions!$C$5,G2544)),Assumptions!$D$5,IF(ISNUMBER(SEARCH(Assumptions!$C$6,G2544)),Assumptions!$D$6,IF(ISNUMBER(SEARCH(Assumptions!$C$7,G2544)),Assumptions!$D$7,"Other Services"))),"Other Services"))</f>
        <v/>
      </c>
    </row>
    <row r="2545" customFormat="false" ht="15" hidden="false" customHeight="false" outlineLevel="0" collapsed="false">
      <c r="E2545" s="41" t="str">
        <f aca="false">IF(D2545="","",IFERROR(VLOOKUP(D2545,Assumptions!$G$5:$H$16,2,0),"Other"))</f>
        <v/>
      </c>
      <c r="J2545" s="41" t="str">
        <f aca="false">IF(G2545="","",IFERROR(IF(ISNUMBER(SEARCH(Assumptions!$C$5,G2545)),Assumptions!$D$5,IF(ISNUMBER(SEARCH(Assumptions!$C$6,G2545)),Assumptions!$D$6,IF(ISNUMBER(SEARCH(Assumptions!$C$7,G2545)),Assumptions!$D$7,"Other Services"))),"Other Services"))</f>
        <v/>
      </c>
    </row>
    <row r="2546" customFormat="false" ht="15" hidden="false" customHeight="false" outlineLevel="0" collapsed="false">
      <c r="E2546" s="41" t="str">
        <f aca="false">IF(D2546="","",IFERROR(VLOOKUP(D2546,Assumptions!$G$5:$H$16,2,0),"Other"))</f>
        <v/>
      </c>
      <c r="J2546" s="41" t="str">
        <f aca="false">IF(G2546="","",IFERROR(IF(ISNUMBER(SEARCH(Assumptions!$C$5,G2546)),Assumptions!$D$5,IF(ISNUMBER(SEARCH(Assumptions!$C$6,G2546)),Assumptions!$D$6,IF(ISNUMBER(SEARCH(Assumptions!$C$7,G2546)),Assumptions!$D$7,"Other Services"))),"Other Services"))</f>
        <v/>
      </c>
    </row>
    <row r="2547" customFormat="false" ht="15" hidden="false" customHeight="false" outlineLevel="0" collapsed="false">
      <c r="E2547" s="41" t="str">
        <f aca="false">IF(D2547="","",IFERROR(VLOOKUP(D2547,Assumptions!$G$5:$H$16,2,0),"Other"))</f>
        <v/>
      </c>
      <c r="J2547" s="41" t="str">
        <f aca="false">IF(G2547="","",IFERROR(IF(ISNUMBER(SEARCH(Assumptions!$C$5,G2547)),Assumptions!$D$5,IF(ISNUMBER(SEARCH(Assumptions!$C$6,G2547)),Assumptions!$D$6,IF(ISNUMBER(SEARCH(Assumptions!$C$7,G2547)),Assumptions!$D$7,"Other Services"))),"Other Services"))</f>
        <v/>
      </c>
    </row>
    <row r="2548" customFormat="false" ht="15" hidden="false" customHeight="false" outlineLevel="0" collapsed="false">
      <c r="E2548" s="41" t="str">
        <f aca="false">IF(D2548="","",IFERROR(VLOOKUP(D2548,Assumptions!$G$5:$H$16,2,0),"Other"))</f>
        <v/>
      </c>
      <c r="J2548" s="41" t="str">
        <f aca="false">IF(G2548="","",IFERROR(IF(ISNUMBER(SEARCH(Assumptions!$C$5,G2548)),Assumptions!$D$5,IF(ISNUMBER(SEARCH(Assumptions!$C$6,G2548)),Assumptions!$D$6,IF(ISNUMBER(SEARCH(Assumptions!$C$7,G2548)),Assumptions!$D$7,"Other Services"))),"Other Services"))</f>
        <v/>
      </c>
    </row>
    <row r="2549" customFormat="false" ht="15" hidden="false" customHeight="false" outlineLevel="0" collapsed="false">
      <c r="E2549" s="41" t="str">
        <f aca="false">IF(D2549="","",IFERROR(VLOOKUP(D2549,Assumptions!$G$5:$H$16,2,0),"Other"))</f>
        <v/>
      </c>
      <c r="J2549" s="41" t="str">
        <f aca="false">IF(G2549="","",IFERROR(IF(ISNUMBER(SEARCH(Assumptions!$C$5,G2549)),Assumptions!$D$5,IF(ISNUMBER(SEARCH(Assumptions!$C$6,G2549)),Assumptions!$D$6,IF(ISNUMBER(SEARCH(Assumptions!$C$7,G2549)),Assumptions!$D$7,"Other Services"))),"Other Services"))</f>
        <v/>
      </c>
    </row>
    <row r="2550" customFormat="false" ht="15" hidden="false" customHeight="false" outlineLevel="0" collapsed="false">
      <c r="E2550" s="41" t="str">
        <f aca="false">IF(D2550="","",IFERROR(VLOOKUP(D2550,Assumptions!$G$5:$H$16,2,0),"Other"))</f>
        <v/>
      </c>
      <c r="J2550" s="41" t="str">
        <f aca="false">IF(G2550="","",IFERROR(IF(ISNUMBER(SEARCH(Assumptions!$C$5,G2550)),Assumptions!$D$5,IF(ISNUMBER(SEARCH(Assumptions!$C$6,G2550)),Assumptions!$D$6,IF(ISNUMBER(SEARCH(Assumptions!$C$7,G2550)),Assumptions!$D$7,"Other Services"))),"Other Services"))</f>
        <v/>
      </c>
    </row>
    <row r="2551" customFormat="false" ht="15" hidden="false" customHeight="false" outlineLevel="0" collapsed="false">
      <c r="E2551" s="41" t="str">
        <f aca="false">IF(D2551="","",IFERROR(VLOOKUP(D2551,Assumptions!$G$5:$H$16,2,0),"Other"))</f>
        <v/>
      </c>
      <c r="J2551" s="41" t="str">
        <f aca="false">IF(G2551="","",IFERROR(IF(ISNUMBER(SEARCH(Assumptions!$C$5,G2551)),Assumptions!$D$5,IF(ISNUMBER(SEARCH(Assumptions!$C$6,G2551)),Assumptions!$D$6,IF(ISNUMBER(SEARCH(Assumptions!$C$7,G2551)),Assumptions!$D$7,"Other Services"))),"Other Services"))</f>
        <v/>
      </c>
    </row>
    <row r="2552" customFormat="false" ht="15" hidden="false" customHeight="false" outlineLevel="0" collapsed="false">
      <c r="E2552" s="41" t="str">
        <f aca="false">IF(D2552="","",IFERROR(VLOOKUP(D2552,Assumptions!$G$5:$H$16,2,0),"Other"))</f>
        <v/>
      </c>
      <c r="J2552" s="41" t="str">
        <f aca="false">IF(G2552="","",IFERROR(IF(ISNUMBER(SEARCH(Assumptions!$C$5,G2552)),Assumptions!$D$5,IF(ISNUMBER(SEARCH(Assumptions!$C$6,G2552)),Assumptions!$D$6,IF(ISNUMBER(SEARCH(Assumptions!$C$7,G2552)),Assumptions!$D$7,"Other Services"))),"Other Services"))</f>
        <v/>
      </c>
    </row>
    <row r="2553" customFormat="false" ht="15" hidden="false" customHeight="false" outlineLevel="0" collapsed="false">
      <c r="E2553" s="41" t="str">
        <f aca="false">IF(D2553="","",IFERROR(VLOOKUP(D2553,Assumptions!$G$5:$H$16,2,0),"Other"))</f>
        <v/>
      </c>
      <c r="J2553" s="41" t="str">
        <f aca="false">IF(G2553="","",IFERROR(IF(ISNUMBER(SEARCH(Assumptions!$C$5,G2553)),Assumptions!$D$5,IF(ISNUMBER(SEARCH(Assumptions!$C$6,G2553)),Assumptions!$D$6,IF(ISNUMBER(SEARCH(Assumptions!$C$7,G2553)),Assumptions!$D$7,"Other Services"))),"Other Services"))</f>
        <v/>
      </c>
    </row>
    <row r="2554" customFormat="false" ht="15" hidden="false" customHeight="false" outlineLevel="0" collapsed="false">
      <c r="E2554" s="41" t="str">
        <f aca="false">IF(D2554="","",IFERROR(VLOOKUP(D2554,Assumptions!$G$5:$H$16,2,0),"Other"))</f>
        <v/>
      </c>
      <c r="J2554" s="41" t="str">
        <f aca="false">IF(G2554="","",IFERROR(IF(ISNUMBER(SEARCH(Assumptions!$C$5,G2554)),Assumptions!$D$5,IF(ISNUMBER(SEARCH(Assumptions!$C$6,G2554)),Assumptions!$D$6,IF(ISNUMBER(SEARCH(Assumptions!$C$7,G2554)),Assumptions!$D$7,"Other Services"))),"Other Services"))</f>
        <v/>
      </c>
    </row>
    <row r="2555" customFormat="false" ht="15" hidden="false" customHeight="false" outlineLevel="0" collapsed="false">
      <c r="E2555" s="41" t="str">
        <f aca="false">IF(D2555="","",IFERROR(VLOOKUP(D2555,Assumptions!$G$5:$H$16,2,0),"Other"))</f>
        <v/>
      </c>
      <c r="J2555" s="41" t="str">
        <f aca="false">IF(G2555="","",IFERROR(IF(ISNUMBER(SEARCH(Assumptions!$C$5,G2555)),Assumptions!$D$5,IF(ISNUMBER(SEARCH(Assumptions!$C$6,G2555)),Assumptions!$D$6,IF(ISNUMBER(SEARCH(Assumptions!$C$7,G2555)),Assumptions!$D$7,"Other Services"))),"Other Services"))</f>
        <v/>
      </c>
    </row>
    <row r="2556" customFormat="false" ht="15" hidden="false" customHeight="false" outlineLevel="0" collapsed="false">
      <c r="E2556" s="41" t="str">
        <f aca="false">IF(D2556="","",IFERROR(VLOOKUP(D2556,Assumptions!$G$5:$H$16,2,0),"Other"))</f>
        <v/>
      </c>
      <c r="J2556" s="41" t="str">
        <f aca="false">IF(G2556="","",IFERROR(IF(ISNUMBER(SEARCH(Assumptions!$C$5,G2556)),Assumptions!$D$5,IF(ISNUMBER(SEARCH(Assumptions!$C$6,G2556)),Assumptions!$D$6,IF(ISNUMBER(SEARCH(Assumptions!$C$7,G2556)),Assumptions!$D$7,"Other Services"))),"Other Services"))</f>
        <v/>
      </c>
    </row>
    <row r="2557" customFormat="false" ht="15" hidden="false" customHeight="false" outlineLevel="0" collapsed="false">
      <c r="E2557" s="41" t="str">
        <f aca="false">IF(D2557="","",IFERROR(VLOOKUP(D2557,Assumptions!$G$5:$H$16,2,0),"Other"))</f>
        <v/>
      </c>
      <c r="J2557" s="41" t="str">
        <f aca="false">IF(G2557="","",IFERROR(IF(ISNUMBER(SEARCH(Assumptions!$C$5,G2557)),Assumptions!$D$5,IF(ISNUMBER(SEARCH(Assumptions!$C$6,G2557)),Assumptions!$D$6,IF(ISNUMBER(SEARCH(Assumptions!$C$7,G2557)),Assumptions!$D$7,"Other Services"))),"Other Services"))</f>
        <v/>
      </c>
    </row>
    <row r="2558" customFormat="false" ht="15" hidden="false" customHeight="false" outlineLevel="0" collapsed="false">
      <c r="E2558" s="41" t="str">
        <f aca="false">IF(D2558="","",IFERROR(VLOOKUP(D2558,Assumptions!$G$5:$H$16,2,0),"Other"))</f>
        <v/>
      </c>
      <c r="J2558" s="41" t="str">
        <f aca="false">IF(G2558="","",IFERROR(IF(ISNUMBER(SEARCH(Assumptions!$C$5,G2558)),Assumptions!$D$5,IF(ISNUMBER(SEARCH(Assumptions!$C$6,G2558)),Assumptions!$D$6,IF(ISNUMBER(SEARCH(Assumptions!$C$7,G2558)),Assumptions!$D$7,"Other Services"))),"Other Services"))</f>
        <v/>
      </c>
    </row>
    <row r="2559" customFormat="false" ht="15" hidden="false" customHeight="false" outlineLevel="0" collapsed="false">
      <c r="E2559" s="41" t="str">
        <f aca="false">IF(D2559="","",IFERROR(VLOOKUP(D2559,Assumptions!$G$5:$H$16,2,0),"Other"))</f>
        <v/>
      </c>
      <c r="J2559" s="41" t="str">
        <f aca="false">IF(G2559="","",IFERROR(IF(ISNUMBER(SEARCH(Assumptions!$C$5,G2559)),Assumptions!$D$5,IF(ISNUMBER(SEARCH(Assumptions!$C$6,G2559)),Assumptions!$D$6,IF(ISNUMBER(SEARCH(Assumptions!$C$7,G2559)),Assumptions!$D$7,"Other Services"))),"Other Services"))</f>
        <v/>
      </c>
    </row>
    <row r="2560" customFormat="false" ht="15" hidden="false" customHeight="false" outlineLevel="0" collapsed="false">
      <c r="E2560" s="41" t="str">
        <f aca="false">IF(D2560="","",IFERROR(VLOOKUP(D2560,Assumptions!$G$5:$H$16,2,0),"Other"))</f>
        <v/>
      </c>
      <c r="J2560" s="41" t="str">
        <f aca="false">IF(G2560="","",IFERROR(IF(ISNUMBER(SEARCH(Assumptions!$C$5,G2560)),Assumptions!$D$5,IF(ISNUMBER(SEARCH(Assumptions!$C$6,G2560)),Assumptions!$D$6,IF(ISNUMBER(SEARCH(Assumptions!$C$7,G2560)),Assumptions!$D$7,"Other Services"))),"Other Services"))</f>
        <v/>
      </c>
    </row>
    <row r="2561" customFormat="false" ht="15" hidden="false" customHeight="false" outlineLevel="0" collapsed="false">
      <c r="E2561" s="41" t="str">
        <f aca="false">IF(D2561="","",IFERROR(VLOOKUP(D2561,Assumptions!$G$5:$H$16,2,0),"Other"))</f>
        <v/>
      </c>
      <c r="J2561" s="41" t="str">
        <f aca="false">IF(G2561="","",IFERROR(IF(ISNUMBER(SEARCH(Assumptions!$C$5,G2561)),Assumptions!$D$5,IF(ISNUMBER(SEARCH(Assumptions!$C$6,G2561)),Assumptions!$D$6,IF(ISNUMBER(SEARCH(Assumptions!$C$7,G2561)),Assumptions!$D$7,"Other Services"))),"Other Services"))</f>
        <v/>
      </c>
    </row>
    <row r="2562" customFormat="false" ht="15" hidden="false" customHeight="false" outlineLevel="0" collapsed="false">
      <c r="E2562" s="41" t="str">
        <f aca="false">IF(D2562="","",IFERROR(VLOOKUP(D2562,Assumptions!$G$5:$H$16,2,0),"Other"))</f>
        <v/>
      </c>
      <c r="J2562" s="41" t="str">
        <f aca="false">IF(G2562="","",IFERROR(IF(ISNUMBER(SEARCH(Assumptions!$C$5,G2562)),Assumptions!$D$5,IF(ISNUMBER(SEARCH(Assumptions!$C$6,G2562)),Assumptions!$D$6,IF(ISNUMBER(SEARCH(Assumptions!$C$7,G2562)),Assumptions!$D$7,"Other Services"))),"Other Services"))</f>
        <v/>
      </c>
    </row>
    <row r="2563" customFormat="false" ht="15" hidden="false" customHeight="false" outlineLevel="0" collapsed="false">
      <c r="E2563" s="41" t="str">
        <f aca="false">IF(D2563="","",IFERROR(VLOOKUP(D2563,Assumptions!$G$5:$H$16,2,0),"Other"))</f>
        <v/>
      </c>
      <c r="J2563" s="41" t="str">
        <f aca="false">IF(G2563="","",IFERROR(IF(ISNUMBER(SEARCH(Assumptions!$C$5,G2563)),Assumptions!$D$5,IF(ISNUMBER(SEARCH(Assumptions!$C$6,G2563)),Assumptions!$D$6,IF(ISNUMBER(SEARCH(Assumptions!$C$7,G2563)),Assumptions!$D$7,"Other Services"))),"Other Services"))</f>
        <v/>
      </c>
    </row>
    <row r="2564" customFormat="false" ht="15" hidden="false" customHeight="false" outlineLevel="0" collapsed="false">
      <c r="E2564" s="41" t="str">
        <f aca="false">IF(D2564="","",IFERROR(VLOOKUP(D2564,Assumptions!$G$5:$H$16,2,0),"Other"))</f>
        <v/>
      </c>
      <c r="J2564" s="41" t="str">
        <f aca="false">IF(G2564="","",IFERROR(IF(ISNUMBER(SEARCH(Assumptions!$C$5,G2564)),Assumptions!$D$5,IF(ISNUMBER(SEARCH(Assumptions!$C$6,G2564)),Assumptions!$D$6,IF(ISNUMBER(SEARCH(Assumptions!$C$7,G2564)),Assumptions!$D$7,"Other Services"))),"Other Services"))</f>
        <v/>
      </c>
    </row>
    <row r="2565" customFormat="false" ht="15" hidden="false" customHeight="false" outlineLevel="0" collapsed="false">
      <c r="E2565" s="41" t="str">
        <f aca="false">IF(D2565="","",IFERROR(VLOOKUP(D2565,Assumptions!$G$5:$H$16,2,0),"Other"))</f>
        <v/>
      </c>
      <c r="J2565" s="41" t="str">
        <f aca="false">IF(G2565="","",IFERROR(IF(ISNUMBER(SEARCH(Assumptions!$C$5,G2565)),Assumptions!$D$5,IF(ISNUMBER(SEARCH(Assumptions!$C$6,G2565)),Assumptions!$D$6,IF(ISNUMBER(SEARCH(Assumptions!$C$7,G2565)),Assumptions!$D$7,"Other Services"))),"Other Services"))</f>
        <v/>
      </c>
    </row>
    <row r="2566" customFormat="false" ht="15" hidden="false" customHeight="false" outlineLevel="0" collapsed="false">
      <c r="E2566" s="41" t="str">
        <f aca="false">IF(D2566="","",IFERROR(VLOOKUP(D2566,Assumptions!$G$5:$H$16,2,0),"Other"))</f>
        <v/>
      </c>
      <c r="J2566" s="41" t="str">
        <f aca="false">IF(G2566="","",IFERROR(IF(ISNUMBER(SEARCH(Assumptions!$C$5,G2566)),Assumptions!$D$5,IF(ISNUMBER(SEARCH(Assumptions!$C$6,G2566)),Assumptions!$D$6,IF(ISNUMBER(SEARCH(Assumptions!$C$7,G2566)),Assumptions!$D$7,"Other Services"))),"Other Services"))</f>
        <v/>
      </c>
    </row>
    <row r="2567" customFormat="false" ht="15" hidden="false" customHeight="false" outlineLevel="0" collapsed="false">
      <c r="E2567" s="41" t="str">
        <f aca="false">IF(D2567="","",IFERROR(VLOOKUP(D2567,Assumptions!$G$5:$H$16,2,0),"Other"))</f>
        <v/>
      </c>
      <c r="J2567" s="41" t="str">
        <f aca="false">IF(G2567="","",IFERROR(IF(ISNUMBER(SEARCH(Assumptions!$C$5,G2567)),Assumptions!$D$5,IF(ISNUMBER(SEARCH(Assumptions!$C$6,G2567)),Assumptions!$D$6,IF(ISNUMBER(SEARCH(Assumptions!$C$7,G2567)),Assumptions!$D$7,"Other Services"))),"Other Services"))</f>
        <v/>
      </c>
    </row>
    <row r="2568" customFormat="false" ht="15" hidden="false" customHeight="false" outlineLevel="0" collapsed="false">
      <c r="E2568" s="41" t="str">
        <f aca="false">IF(D2568="","",IFERROR(VLOOKUP(D2568,Assumptions!$G$5:$H$16,2,0),"Other"))</f>
        <v/>
      </c>
      <c r="J2568" s="41" t="str">
        <f aca="false">IF(G2568="","",IFERROR(IF(ISNUMBER(SEARCH(Assumptions!$C$5,G2568)),Assumptions!$D$5,IF(ISNUMBER(SEARCH(Assumptions!$C$6,G2568)),Assumptions!$D$6,IF(ISNUMBER(SEARCH(Assumptions!$C$7,G2568)),Assumptions!$D$7,"Other Services"))),"Other Services"))</f>
        <v/>
      </c>
    </row>
    <row r="2569" customFormat="false" ht="15" hidden="false" customHeight="false" outlineLevel="0" collapsed="false">
      <c r="E2569" s="41" t="str">
        <f aca="false">IF(D2569="","",IFERROR(VLOOKUP(D2569,Assumptions!$G$5:$H$16,2,0),"Other"))</f>
        <v/>
      </c>
      <c r="J2569" s="41" t="str">
        <f aca="false">IF(G2569="","",IFERROR(IF(ISNUMBER(SEARCH(Assumptions!$C$5,G2569)),Assumptions!$D$5,IF(ISNUMBER(SEARCH(Assumptions!$C$6,G2569)),Assumptions!$D$6,IF(ISNUMBER(SEARCH(Assumptions!$C$7,G2569)),Assumptions!$D$7,"Other Services"))),"Other Services"))</f>
        <v/>
      </c>
    </row>
    <row r="2570" customFormat="false" ht="15" hidden="false" customHeight="false" outlineLevel="0" collapsed="false">
      <c r="E2570" s="41" t="str">
        <f aca="false">IF(D2570="","",IFERROR(VLOOKUP(D2570,Assumptions!$G$5:$H$16,2,0),"Other"))</f>
        <v/>
      </c>
      <c r="J2570" s="41" t="str">
        <f aca="false">IF(G2570="","",IFERROR(IF(ISNUMBER(SEARCH(Assumptions!$C$5,G2570)),Assumptions!$D$5,IF(ISNUMBER(SEARCH(Assumptions!$C$6,G2570)),Assumptions!$D$6,IF(ISNUMBER(SEARCH(Assumptions!$C$7,G2570)),Assumptions!$D$7,"Other Services"))),"Other Services"))</f>
        <v/>
      </c>
    </row>
    <row r="2571" customFormat="false" ht="15" hidden="false" customHeight="false" outlineLevel="0" collapsed="false">
      <c r="E2571" s="41" t="str">
        <f aca="false">IF(D2571="","",IFERROR(VLOOKUP(D2571,Assumptions!$G$5:$H$16,2,0),"Other"))</f>
        <v/>
      </c>
      <c r="J2571" s="41" t="str">
        <f aca="false">IF(G2571="","",IFERROR(IF(ISNUMBER(SEARCH(Assumptions!$C$5,G2571)),Assumptions!$D$5,IF(ISNUMBER(SEARCH(Assumptions!$C$6,G2571)),Assumptions!$D$6,IF(ISNUMBER(SEARCH(Assumptions!$C$7,G2571)),Assumptions!$D$7,"Other Services"))),"Other Services"))</f>
        <v/>
      </c>
    </row>
    <row r="2572" customFormat="false" ht="15" hidden="false" customHeight="false" outlineLevel="0" collapsed="false">
      <c r="E2572" s="41" t="str">
        <f aca="false">IF(D2572="","",IFERROR(VLOOKUP(D2572,Assumptions!$G$5:$H$16,2,0),"Other"))</f>
        <v/>
      </c>
      <c r="J2572" s="41" t="str">
        <f aca="false">IF(G2572="","",IFERROR(IF(ISNUMBER(SEARCH(Assumptions!$C$5,G2572)),Assumptions!$D$5,IF(ISNUMBER(SEARCH(Assumptions!$C$6,G2572)),Assumptions!$D$6,IF(ISNUMBER(SEARCH(Assumptions!$C$7,G2572)),Assumptions!$D$7,"Other Services"))),"Other Services"))</f>
        <v/>
      </c>
    </row>
    <row r="2573" customFormat="false" ht="15" hidden="false" customHeight="false" outlineLevel="0" collapsed="false">
      <c r="E2573" s="41" t="str">
        <f aca="false">IF(D2573="","",IFERROR(VLOOKUP(D2573,Assumptions!$G$5:$H$16,2,0),"Other"))</f>
        <v/>
      </c>
      <c r="J2573" s="41" t="str">
        <f aca="false">IF(G2573="","",IFERROR(IF(ISNUMBER(SEARCH(Assumptions!$C$5,G2573)),Assumptions!$D$5,IF(ISNUMBER(SEARCH(Assumptions!$C$6,G2573)),Assumptions!$D$6,IF(ISNUMBER(SEARCH(Assumptions!$C$7,G2573)),Assumptions!$D$7,"Other Services"))),"Other Services"))</f>
        <v/>
      </c>
    </row>
    <row r="2574" customFormat="false" ht="15" hidden="false" customHeight="false" outlineLevel="0" collapsed="false">
      <c r="E2574" s="41" t="str">
        <f aca="false">IF(D2574="","",IFERROR(VLOOKUP(D2574,Assumptions!$G$5:$H$16,2,0),"Other"))</f>
        <v/>
      </c>
      <c r="J2574" s="41" t="str">
        <f aca="false">IF(G2574="","",IFERROR(IF(ISNUMBER(SEARCH(Assumptions!$C$5,G2574)),Assumptions!$D$5,IF(ISNUMBER(SEARCH(Assumptions!$C$6,G2574)),Assumptions!$D$6,IF(ISNUMBER(SEARCH(Assumptions!$C$7,G2574)),Assumptions!$D$7,"Other Services"))),"Other Services"))</f>
        <v/>
      </c>
    </row>
    <row r="2575" customFormat="false" ht="15" hidden="false" customHeight="false" outlineLevel="0" collapsed="false">
      <c r="E2575" s="41" t="str">
        <f aca="false">IF(D2575="","",IFERROR(VLOOKUP(D2575,Assumptions!$G$5:$H$16,2,0),"Other"))</f>
        <v/>
      </c>
      <c r="J2575" s="41" t="str">
        <f aca="false">IF(G2575="","",IFERROR(IF(ISNUMBER(SEARCH(Assumptions!$C$5,G2575)),Assumptions!$D$5,IF(ISNUMBER(SEARCH(Assumptions!$C$6,G2575)),Assumptions!$D$6,IF(ISNUMBER(SEARCH(Assumptions!$C$7,G2575)),Assumptions!$D$7,"Other Services"))),"Other Services"))</f>
        <v/>
      </c>
    </row>
    <row r="2576" customFormat="false" ht="15" hidden="false" customHeight="false" outlineLevel="0" collapsed="false">
      <c r="E2576" s="41" t="str">
        <f aca="false">IF(D2576="","",IFERROR(VLOOKUP(D2576,Assumptions!$G$5:$H$16,2,0),"Other"))</f>
        <v/>
      </c>
      <c r="J2576" s="41" t="str">
        <f aca="false">IF(G2576="","",IFERROR(IF(ISNUMBER(SEARCH(Assumptions!$C$5,G2576)),Assumptions!$D$5,IF(ISNUMBER(SEARCH(Assumptions!$C$6,G2576)),Assumptions!$D$6,IF(ISNUMBER(SEARCH(Assumptions!$C$7,G2576)),Assumptions!$D$7,"Other Services"))),"Other Services"))</f>
        <v/>
      </c>
    </row>
    <row r="2577" customFormat="false" ht="15" hidden="false" customHeight="false" outlineLevel="0" collapsed="false">
      <c r="E2577" s="41" t="str">
        <f aca="false">IF(D2577="","",IFERROR(VLOOKUP(D2577,Assumptions!$G$5:$H$16,2,0),"Other"))</f>
        <v/>
      </c>
      <c r="J2577" s="41" t="str">
        <f aca="false">IF(G2577="","",IFERROR(IF(ISNUMBER(SEARCH(Assumptions!$C$5,G2577)),Assumptions!$D$5,IF(ISNUMBER(SEARCH(Assumptions!$C$6,G2577)),Assumptions!$D$6,IF(ISNUMBER(SEARCH(Assumptions!$C$7,G2577)),Assumptions!$D$7,"Other Services"))),"Other Services"))</f>
        <v/>
      </c>
    </row>
    <row r="2578" customFormat="false" ht="15" hidden="false" customHeight="false" outlineLevel="0" collapsed="false">
      <c r="E2578" s="41" t="str">
        <f aca="false">IF(D2578="","",IFERROR(VLOOKUP(D2578,Assumptions!$G$5:$H$16,2,0),"Other"))</f>
        <v/>
      </c>
      <c r="J2578" s="41" t="str">
        <f aca="false">IF(G2578="","",IFERROR(IF(ISNUMBER(SEARCH(Assumptions!$C$5,G2578)),Assumptions!$D$5,IF(ISNUMBER(SEARCH(Assumptions!$C$6,G2578)),Assumptions!$D$6,IF(ISNUMBER(SEARCH(Assumptions!$C$7,G2578)),Assumptions!$D$7,"Other Services"))),"Other Services"))</f>
        <v/>
      </c>
    </row>
    <row r="2579" customFormat="false" ht="15" hidden="false" customHeight="false" outlineLevel="0" collapsed="false">
      <c r="E2579" s="41" t="str">
        <f aca="false">IF(D2579="","",IFERROR(VLOOKUP(D2579,Assumptions!$G$5:$H$16,2,0),"Other"))</f>
        <v/>
      </c>
      <c r="J2579" s="41" t="str">
        <f aca="false">IF(G2579="","",IFERROR(IF(ISNUMBER(SEARCH(Assumptions!$C$5,G2579)),Assumptions!$D$5,IF(ISNUMBER(SEARCH(Assumptions!$C$6,G2579)),Assumptions!$D$6,IF(ISNUMBER(SEARCH(Assumptions!$C$7,G2579)),Assumptions!$D$7,"Other Services"))),"Other Services"))</f>
        <v/>
      </c>
    </row>
    <row r="2580" customFormat="false" ht="15" hidden="false" customHeight="false" outlineLevel="0" collapsed="false">
      <c r="E2580" s="41" t="str">
        <f aca="false">IF(D2580="","",IFERROR(VLOOKUP(D2580,Assumptions!$G$5:$H$16,2,0),"Other"))</f>
        <v/>
      </c>
      <c r="J2580" s="41" t="str">
        <f aca="false">IF(G2580="","",IFERROR(IF(ISNUMBER(SEARCH(Assumptions!$C$5,G2580)),Assumptions!$D$5,IF(ISNUMBER(SEARCH(Assumptions!$C$6,G2580)),Assumptions!$D$6,IF(ISNUMBER(SEARCH(Assumptions!$C$7,G2580)),Assumptions!$D$7,"Other Services"))),"Other Services"))</f>
        <v/>
      </c>
    </row>
    <row r="2581" customFormat="false" ht="15" hidden="false" customHeight="false" outlineLevel="0" collapsed="false">
      <c r="E2581" s="41" t="str">
        <f aca="false">IF(D2581="","",IFERROR(VLOOKUP(D2581,Assumptions!$G$5:$H$16,2,0),"Other"))</f>
        <v/>
      </c>
      <c r="J2581" s="41" t="str">
        <f aca="false">IF(G2581="","",IFERROR(IF(ISNUMBER(SEARCH(Assumptions!$C$5,G2581)),Assumptions!$D$5,IF(ISNUMBER(SEARCH(Assumptions!$C$6,G2581)),Assumptions!$D$6,IF(ISNUMBER(SEARCH(Assumptions!$C$7,G2581)),Assumptions!$D$7,"Other Services"))),"Other Services"))</f>
        <v/>
      </c>
    </row>
    <row r="2582" customFormat="false" ht="15" hidden="false" customHeight="false" outlineLevel="0" collapsed="false">
      <c r="E2582" s="41" t="str">
        <f aca="false">IF(D2582="","",IFERROR(VLOOKUP(D2582,Assumptions!$G$5:$H$16,2,0),"Other"))</f>
        <v/>
      </c>
      <c r="J2582" s="41" t="str">
        <f aca="false">IF(G2582="","",IFERROR(IF(ISNUMBER(SEARCH(Assumptions!$C$5,G2582)),Assumptions!$D$5,IF(ISNUMBER(SEARCH(Assumptions!$C$6,G2582)),Assumptions!$D$6,IF(ISNUMBER(SEARCH(Assumptions!$C$7,G2582)),Assumptions!$D$7,"Other Services"))),"Other Services"))</f>
        <v/>
      </c>
    </row>
    <row r="2583" customFormat="false" ht="15" hidden="false" customHeight="false" outlineLevel="0" collapsed="false">
      <c r="E2583" s="41" t="str">
        <f aca="false">IF(D2583="","",IFERROR(VLOOKUP(D2583,Assumptions!$G$5:$H$16,2,0),"Other"))</f>
        <v/>
      </c>
      <c r="J2583" s="41" t="str">
        <f aca="false">IF(G2583="","",IFERROR(IF(ISNUMBER(SEARCH(Assumptions!$C$5,G2583)),Assumptions!$D$5,IF(ISNUMBER(SEARCH(Assumptions!$C$6,G2583)),Assumptions!$D$6,IF(ISNUMBER(SEARCH(Assumptions!$C$7,G2583)),Assumptions!$D$7,"Other Services"))),"Other Services"))</f>
        <v/>
      </c>
    </row>
    <row r="2584" customFormat="false" ht="15" hidden="false" customHeight="false" outlineLevel="0" collapsed="false">
      <c r="E2584" s="41" t="str">
        <f aca="false">IF(D2584="","",IFERROR(VLOOKUP(D2584,Assumptions!$G$5:$H$16,2,0),"Other"))</f>
        <v/>
      </c>
      <c r="J2584" s="41" t="str">
        <f aca="false">IF(G2584="","",IFERROR(IF(ISNUMBER(SEARCH(Assumptions!$C$5,G2584)),Assumptions!$D$5,IF(ISNUMBER(SEARCH(Assumptions!$C$6,G2584)),Assumptions!$D$6,IF(ISNUMBER(SEARCH(Assumptions!$C$7,G2584)),Assumptions!$D$7,"Other Services"))),"Other Services"))</f>
        <v/>
      </c>
    </row>
    <row r="2585" customFormat="false" ht="15" hidden="false" customHeight="false" outlineLevel="0" collapsed="false">
      <c r="E2585" s="41" t="str">
        <f aca="false">IF(D2585="","",IFERROR(VLOOKUP(D2585,Assumptions!$G$5:$H$16,2,0),"Other"))</f>
        <v/>
      </c>
      <c r="J2585" s="41" t="str">
        <f aca="false">IF(G2585="","",IFERROR(IF(ISNUMBER(SEARCH(Assumptions!$C$5,G2585)),Assumptions!$D$5,IF(ISNUMBER(SEARCH(Assumptions!$C$6,G2585)),Assumptions!$D$6,IF(ISNUMBER(SEARCH(Assumptions!$C$7,G2585)),Assumptions!$D$7,"Other Services"))),"Other Services"))</f>
        <v/>
      </c>
    </row>
    <row r="2586" customFormat="false" ht="15" hidden="false" customHeight="false" outlineLevel="0" collapsed="false">
      <c r="E2586" s="41" t="str">
        <f aca="false">IF(D2586="","",IFERROR(VLOOKUP(D2586,Assumptions!$G$5:$H$16,2,0),"Other"))</f>
        <v/>
      </c>
      <c r="J2586" s="41" t="str">
        <f aca="false">IF(G2586="","",IFERROR(IF(ISNUMBER(SEARCH(Assumptions!$C$5,G2586)),Assumptions!$D$5,IF(ISNUMBER(SEARCH(Assumptions!$C$6,G2586)),Assumptions!$D$6,IF(ISNUMBER(SEARCH(Assumptions!$C$7,G2586)),Assumptions!$D$7,"Other Services"))),"Other Services"))</f>
        <v/>
      </c>
    </row>
    <row r="2587" customFormat="false" ht="15" hidden="false" customHeight="false" outlineLevel="0" collapsed="false">
      <c r="E2587" s="41" t="str">
        <f aca="false">IF(D2587="","",IFERROR(VLOOKUP(D2587,Assumptions!$G$5:$H$16,2,0),"Other"))</f>
        <v/>
      </c>
      <c r="J2587" s="41" t="str">
        <f aca="false">IF(G2587="","",IFERROR(IF(ISNUMBER(SEARCH(Assumptions!$C$5,G2587)),Assumptions!$D$5,IF(ISNUMBER(SEARCH(Assumptions!$C$6,G2587)),Assumptions!$D$6,IF(ISNUMBER(SEARCH(Assumptions!$C$7,G2587)),Assumptions!$D$7,"Other Services"))),"Other Services"))</f>
        <v/>
      </c>
    </row>
    <row r="2588" customFormat="false" ht="15" hidden="false" customHeight="false" outlineLevel="0" collapsed="false">
      <c r="E2588" s="41" t="str">
        <f aca="false">IF(D2588="","",IFERROR(VLOOKUP(D2588,Assumptions!$G$5:$H$16,2,0),"Other"))</f>
        <v/>
      </c>
      <c r="J2588" s="41" t="str">
        <f aca="false">IF(G2588="","",IFERROR(IF(ISNUMBER(SEARCH(Assumptions!$C$5,G2588)),Assumptions!$D$5,IF(ISNUMBER(SEARCH(Assumptions!$C$6,G2588)),Assumptions!$D$6,IF(ISNUMBER(SEARCH(Assumptions!$C$7,G2588)),Assumptions!$D$7,"Other Services"))),"Other Services"))</f>
        <v/>
      </c>
    </row>
    <row r="2589" customFormat="false" ht="15" hidden="false" customHeight="false" outlineLevel="0" collapsed="false">
      <c r="E2589" s="41" t="str">
        <f aca="false">IF(D2589="","",IFERROR(VLOOKUP(D2589,Assumptions!$G$5:$H$16,2,0),"Other"))</f>
        <v/>
      </c>
      <c r="J2589" s="41" t="str">
        <f aca="false">IF(G2589="","",IFERROR(IF(ISNUMBER(SEARCH(Assumptions!$C$5,G2589)),Assumptions!$D$5,IF(ISNUMBER(SEARCH(Assumptions!$C$6,G2589)),Assumptions!$D$6,IF(ISNUMBER(SEARCH(Assumptions!$C$7,G2589)),Assumptions!$D$7,"Other Services"))),"Other Services"))</f>
        <v/>
      </c>
    </row>
    <row r="2590" customFormat="false" ht="15" hidden="false" customHeight="false" outlineLevel="0" collapsed="false">
      <c r="E2590" s="41" t="str">
        <f aca="false">IF(D2590="","",IFERROR(VLOOKUP(D2590,Assumptions!$G$5:$H$16,2,0),"Other"))</f>
        <v/>
      </c>
      <c r="J2590" s="41" t="str">
        <f aca="false">IF(G2590="","",IFERROR(IF(ISNUMBER(SEARCH(Assumptions!$C$5,G2590)),Assumptions!$D$5,IF(ISNUMBER(SEARCH(Assumptions!$C$6,G2590)),Assumptions!$D$6,IF(ISNUMBER(SEARCH(Assumptions!$C$7,G2590)),Assumptions!$D$7,"Other Services"))),"Other Services"))</f>
        <v/>
      </c>
    </row>
    <row r="2591" customFormat="false" ht="15" hidden="false" customHeight="false" outlineLevel="0" collapsed="false">
      <c r="E2591" s="41" t="str">
        <f aca="false">IF(D2591="","",IFERROR(VLOOKUP(D2591,Assumptions!$G$5:$H$16,2,0),"Other"))</f>
        <v/>
      </c>
      <c r="J2591" s="41" t="str">
        <f aca="false">IF(G2591="","",IFERROR(IF(ISNUMBER(SEARCH(Assumptions!$C$5,G2591)),Assumptions!$D$5,IF(ISNUMBER(SEARCH(Assumptions!$C$6,G2591)),Assumptions!$D$6,IF(ISNUMBER(SEARCH(Assumptions!$C$7,G2591)),Assumptions!$D$7,"Other Services"))),"Other Services"))</f>
        <v/>
      </c>
    </row>
    <row r="2592" customFormat="false" ht="15" hidden="false" customHeight="false" outlineLevel="0" collapsed="false">
      <c r="E2592" s="41" t="str">
        <f aca="false">IF(D2592="","",IFERROR(VLOOKUP(D2592,Assumptions!$G$5:$H$16,2,0),"Other"))</f>
        <v/>
      </c>
      <c r="J2592" s="41" t="str">
        <f aca="false">IF(G2592="","",IFERROR(IF(ISNUMBER(SEARCH(Assumptions!$C$5,G2592)),Assumptions!$D$5,IF(ISNUMBER(SEARCH(Assumptions!$C$6,G2592)),Assumptions!$D$6,IF(ISNUMBER(SEARCH(Assumptions!$C$7,G2592)),Assumptions!$D$7,"Other Services"))),"Other Services"))</f>
        <v/>
      </c>
    </row>
    <row r="2593" customFormat="false" ht="15" hidden="false" customHeight="false" outlineLevel="0" collapsed="false">
      <c r="E2593" s="41" t="str">
        <f aca="false">IF(D2593="","",IFERROR(VLOOKUP(D2593,Assumptions!$G$5:$H$16,2,0),"Other"))</f>
        <v/>
      </c>
      <c r="J2593" s="41" t="str">
        <f aca="false">IF(G2593="","",IFERROR(IF(ISNUMBER(SEARCH(Assumptions!$C$5,G2593)),Assumptions!$D$5,IF(ISNUMBER(SEARCH(Assumptions!$C$6,G2593)),Assumptions!$D$6,IF(ISNUMBER(SEARCH(Assumptions!$C$7,G2593)),Assumptions!$D$7,"Other Services"))),"Other Services"))</f>
        <v/>
      </c>
    </row>
    <row r="2594" customFormat="false" ht="15" hidden="false" customHeight="false" outlineLevel="0" collapsed="false">
      <c r="E2594" s="41" t="str">
        <f aca="false">IF(D2594="","",IFERROR(VLOOKUP(D2594,Assumptions!$G$5:$H$16,2,0),"Other"))</f>
        <v/>
      </c>
      <c r="J2594" s="41" t="str">
        <f aca="false">IF(G2594="","",IFERROR(IF(ISNUMBER(SEARCH(Assumptions!$C$5,G2594)),Assumptions!$D$5,IF(ISNUMBER(SEARCH(Assumptions!$C$6,G2594)),Assumptions!$D$6,IF(ISNUMBER(SEARCH(Assumptions!$C$7,G2594)),Assumptions!$D$7,"Other Services"))),"Other Services"))</f>
        <v/>
      </c>
    </row>
    <row r="2595" customFormat="false" ht="15" hidden="false" customHeight="false" outlineLevel="0" collapsed="false">
      <c r="E2595" s="41" t="str">
        <f aca="false">IF(D2595="","",IFERROR(VLOOKUP(D2595,Assumptions!$G$5:$H$16,2,0),"Other"))</f>
        <v/>
      </c>
      <c r="J2595" s="41" t="str">
        <f aca="false">IF(G2595="","",IFERROR(IF(ISNUMBER(SEARCH(Assumptions!$C$5,G2595)),Assumptions!$D$5,IF(ISNUMBER(SEARCH(Assumptions!$C$6,G2595)),Assumptions!$D$6,IF(ISNUMBER(SEARCH(Assumptions!$C$7,G2595)),Assumptions!$D$7,"Other Services"))),"Other Services"))</f>
        <v/>
      </c>
    </row>
    <row r="2596" customFormat="false" ht="15" hidden="false" customHeight="false" outlineLevel="0" collapsed="false">
      <c r="E2596" s="41" t="str">
        <f aca="false">IF(D2596="","",IFERROR(VLOOKUP(D2596,Assumptions!$G$5:$H$16,2,0),"Other"))</f>
        <v/>
      </c>
      <c r="J2596" s="41" t="str">
        <f aca="false">IF(G2596="","",IFERROR(IF(ISNUMBER(SEARCH(Assumptions!$C$5,G2596)),Assumptions!$D$5,IF(ISNUMBER(SEARCH(Assumptions!$C$6,G2596)),Assumptions!$D$6,IF(ISNUMBER(SEARCH(Assumptions!$C$7,G2596)),Assumptions!$D$7,"Other Services"))),"Other Services"))</f>
        <v/>
      </c>
    </row>
    <row r="2597" customFormat="false" ht="15" hidden="false" customHeight="false" outlineLevel="0" collapsed="false">
      <c r="E2597" s="41" t="str">
        <f aca="false">IF(D2597="","",IFERROR(VLOOKUP(D2597,Assumptions!$G$5:$H$16,2,0),"Other"))</f>
        <v/>
      </c>
      <c r="J2597" s="41" t="str">
        <f aca="false">IF(G2597="","",IFERROR(IF(ISNUMBER(SEARCH(Assumptions!$C$5,G2597)),Assumptions!$D$5,IF(ISNUMBER(SEARCH(Assumptions!$C$6,G2597)),Assumptions!$D$6,IF(ISNUMBER(SEARCH(Assumptions!$C$7,G2597)),Assumptions!$D$7,"Other Services"))),"Other Services"))</f>
        <v/>
      </c>
    </row>
    <row r="2598" customFormat="false" ht="15" hidden="false" customHeight="false" outlineLevel="0" collapsed="false">
      <c r="E2598" s="41" t="str">
        <f aca="false">IF(D2598="","",IFERROR(VLOOKUP(D2598,Assumptions!$G$5:$H$16,2,0),"Other"))</f>
        <v/>
      </c>
      <c r="J2598" s="41" t="str">
        <f aca="false">IF(G2598="","",IFERROR(IF(ISNUMBER(SEARCH(Assumptions!$C$5,G2598)),Assumptions!$D$5,IF(ISNUMBER(SEARCH(Assumptions!$C$6,G2598)),Assumptions!$D$6,IF(ISNUMBER(SEARCH(Assumptions!$C$7,G2598)),Assumptions!$D$7,"Other Services"))),"Other Services"))</f>
        <v/>
      </c>
    </row>
    <row r="2599" customFormat="false" ht="15" hidden="false" customHeight="false" outlineLevel="0" collapsed="false">
      <c r="E2599" s="41" t="str">
        <f aca="false">IF(D2599="","",IFERROR(VLOOKUP(D2599,Assumptions!$G$5:$H$16,2,0),"Other"))</f>
        <v/>
      </c>
      <c r="J2599" s="41" t="str">
        <f aca="false">IF(G2599="","",IFERROR(IF(ISNUMBER(SEARCH(Assumptions!$C$5,G2599)),Assumptions!$D$5,IF(ISNUMBER(SEARCH(Assumptions!$C$6,G2599)),Assumptions!$D$6,IF(ISNUMBER(SEARCH(Assumptions!$C$7,G2599)),Assumptions!$D$7,"Other Services"))),"Other Services"))</f>
        <v/>
      </c>
    </row>
    <row r="2600" customFormat="false" ht="15" hidden="false" customHeight="false" outlineLevel="0" collapsed="false">
      <c r="E2600" s="41" t="str">
        <f aca="false">IF(D2600="","",IFERROR(VLOOKUP(D2600,Assumptions!$G$5:$H$16,2,0),"Other"))</f>
        <v/>
      </c>
      <c r="J2600" s="41" t="str">
        <f aca="false">IF(G2600="","",IFERROR(IF(ISNUMBER(SEARCH(Assumptions!$C$5,G2600)),Assumptions!$D$5,IF(ISNUMBER(SEARCH(Assumptions!$C$6,G2600)),Assumptions!$D$6,IF(ISNUMBER(SEARCH(Assumptions!$C$7,G2600)),Assumptions!$D$7,"Other Services"))),"Other Services"))</f>
        <v/>
      </c>
    </row>
    <row r="2601" customFormat="false" ht="15" hidden="false" customHeight="false" outlineLevel="0" collapsed="false">
      <c r="E2601" s="41" t="str">
        <f aca="false">IF(D2601="","",IFERROR(VLOOKUP(D2601,Assumptions!$G$5:$H$16,2,0),"Other"))</f>
        <v/>
      </c>
      <c r="J2601" s="41" t="str">
        <f aca="false">IF(G2601="","",IFERROR(IF(ISNUMBER(SEARCH(Assumptions!$C$5,G2601)),Assumptions!$D$5,IF(ISNUMBER(SEARCH(Assumptions!$C$6,G2601)),Assumptions!$D$6,IF(ISNUMBER(SEARCH(Assumptions!$C$7,G2601)),Assumptions!$D$7,"Other Services"))),"Other Services"))</f>
        <v/>
      </c>
    </row>
    <row r="2602" customFormat="false" ht="15" hidden="false" customHeight="false" outlineLevel="0" collapsed="false">
      <c r="E2602" s="41" t="str">
        <f aca="false">IF(D2602="","",IFERROR(VLOOKUP(D2602,Assumptions!$G$5:$H$16,2,0),"Other"))</f>
        <v/>
      </c>
      <c r="J2602" s="41" t="str">
        <f aca="false">IF(G2602="","",IFERROR(IF(ISNUMBER(SEARCH(Assumptions!$C$5,G2602)),Assumptions!$D$5,IF(ISNUMBER(SEARCH(Assumptions!$C$6,G2602)),Assumptions!$D$6,IF(ISNUMBER(SEARCH(Assumptions!$C$7,G2602)),Assumptions!$D$7,"Other Services"))),"Other Services"))</f>
        <v/>
      </c>
    </row>
    <row r="2603" customFormat="false" ht="15" hidden="false" customHeight="false" outlineLevel="0" collapsed="false">
      <c r="E2603" s="41" t="str">
        <f aca="false">IF(D2603="","",IFERROR(VLOOKUP(D2603,Assumptions!$G$5:$H$16,2,0),"Other"))</f>
        <v/>
      </c>
      <c r="J2603" s="41" t="str">
        <f aca="false">IF(G2603="","",IFERROR(IF(ISNUMBER(SEARCH(Assumptions!$C$5,G2603)),Assumptions!$D$5,IF(ISNUMBER(SEARCH(Assumptions!$C$6,G2603)),Assumptions!$D$6,IF(ISNUMBER(SEARCH(Assumptions!$C$7,G2603)),Assumptions!$D$7,"Other Services"))),"Other Services"))</f>
        <v/>
      </c>
    </row>
    <row r="2604" customFormat="false" ht="15" hidden="false" customHeight="false" outlineLevel="0" collapsed="false">
      <c r="E2604" s="41" t="str">
        <f aca="false">IF(D2604="","",IFERROR(VLOOKUP(D2604,Assumptions!$G$5:$H$16,2,0),"Other"))</f>
        <v/>
      </c>
      <c r="J2604" s="41" t="str">
        <f aca="false">IF(G2604="","",IFERROR(IF(ISNUMBER(SEARCH(Assumptions!$C$5,G2604)),Assumptions!$D$5,IF(ISNUMBER(SEARCH(Assumptions!$C$6,G2604)),Assumptions!$D$6,IF(ISNUMBER(SEARCH(Assumptions!$C$7,G2604)),Assumptions!$D$7,"Other Services"))),"Other Services"))</f>
        <v/>
      </c>
    </row>
    <row r="2605" customFormat="false" ht="15" hidden="false" customHeight="false" outlineLevel="0" collapsed="false">
      <c r="E2605" s="41" t="str">
        <f aca="false">IF(D2605="","",IFERROR(VLOOKUP(D2605,Assumptions!$G$5:$H$16,2,0),"Other"))</f>
        <v/>
      </c>
      <c r="J2605" s="41" t="str">
        <f aca="false">IF(G2605="","",IFERROR(IF(ISNUMBER(SEARCH(Assumptions!$C$5,G2605)),Assumptions!$D$5,IF(ISNUMBER(SEARCH(Assumptions!$C$6,G2605)),Assumptions!$D$6,IF(ISNUMBER(SEARCH(Assumptions!$C$7,G2605)),Assumptions!$D$7,"Other Services"))),"Other Services"))</f>
        <v/>
      </c>
    </row>
    <row r="2606" customFormat="false" ht="15" hidden="false" customHeight="false" outlineLevel="0" collapsed="false">
      <c r="E2606" s="41" t="str">
        <f aca="false">IF(D2606="","",IFERROR(VLOOKUP(D2606,Assumptions!$G$5:$H$16,2,0),"Other"))</f>
        <v/>
      </c>
      <c r="J2606" s="41" t="str">
        <f aca="false">IF(G2606="","",IFERROR(IF(ISNUMBER(SEARCH(Assumptions!$C$5,G2606)),Assumptions!$D$5,IF(ISNUMBER(SEARCH(Assumptions!$C$6,G2606)),Assumptions!$D$6,IF(ISNUMBER(SEARCH(Assumptions!$C$7,G2606)),Assumptions!$D$7,"Other Services"))),"Other Services"))</f>
        <v/>
      </c>
    </row>
    <row r="2607" customFormat="false" ht="15" hidden="false" customHeight="false" outlineLevel="0" collapsed="false">
      <c r="E2607" s="41" t="str">
        <f aca="false">IF(D2607="","",IFERROR(VLOOKUP(D2607,Assumptions!$G$5:$H$16,2,0),"Other"))</f>
        <v/>
      </c>
      <c r="J2607" s="41" t="str">
        <f aca="false">IF(G2607="","",IFERROR(IF(ISNUMBER(SEARCH(Assumptions!$C$5,G2607)),Assumptions!$D$5,IF(ISNUMBER(SEARCH(Assumptions!$C$6,G2607)),Assumptions!$D$6,IF(ISNUMBER(SEARCH(Assumptions!$C$7,G2607)),Assumptions!$D$7,"Other Services"))),"Other Services"))</f>
        <v/>
      </c>
    </row>
    <row r="2608" customFormat="false" ht="15" hidden="false" customHeight="false" outlineLevel="0" collapsed="false">
      <c r="E2608" s="41" t="str">
        <f aca="false">IF(D2608="","",IFERROR(VLOOKUP(D2608,Assumptions!$G$5:$H$16,2,0),"Other"))</f>
        <v/>
      </c>
      <c r="J2608" s="41" t="str">
        <f aca="false">IF(G2608="","",IFERROR(IF(ISNUMBER(SEARCH(Assumptions!$C$5,G2608)),Assumptions!$D$5,IF(ISNUMBER(SEARCH(Assumptions!$C$6,G2608)),Assumptions!$D$6,IF(ISNUMBER(SEARCH(Assumptions!$C$7,G2608)),Assumptions!$D$7,"Other Services"))),"Other Services"))</f>
        <v/>
      </c>
    </row>
    <row r="2609" customFormat="false" ht="15" hidden="false" customHeight="false" outlineLevel="0" collapsed="false">
      <c r="E2609" s="41" t="str">
        <f aca="false">IF(D2609="","",IFERROR(VLOOKUP(D2609,Assumptions!$G$5:$H$16,2,0),"Other"))</f>
        <v/>
      </c>
      <c r="J2609" s="41" t="str">
        <f aca="false">IF(G2609="","",IFERROR(IF(ISNUMBER(SEARCH(Assumptions!$C$5,G2609)),Assumptions!$D$5,IF(ISNUMBER(SEARCH(Assumptions!$C$6,G2609)),Assumptions!$D$6,IF(ISNUMBER(SEARCH(Assumptions!$C$7,G2609)),Assumptions!$D$7,"Other Services"))),"Other Services"))</f>
        <v/>
      </c>
    </row>
    <row r="2610" customFormat="false" ht="15" hidden="false" customHeight="false" outlineLevel="0" collapsed="false">
      <c r="E2610" s="41" t="str">
        <f aca="false">IF(D2610="","",IFERROR(VLOOKUP(D2610,Assumptions!$G$5:$H$16,2,0),"Other"))</f>
        <v/>
      </c>
      <c r="J2610" s="41" t="str">
        <f aca="false">IF(G2610="","",IFERROR(IF(ISNUMBER(SEARCH(Assumptions!$C$5,G2610)),Assumptions!$D$5,IF(ISNUMBER(SEARCH(Assumptions!$C$6,G2610)),Assumptions!$D$6,IF(ISNUMBER(SEARCH(Assumptions!$C$7,G2610)),Assumptions!$D$7,"Other Services"))),"Other Services"))</f>
        <v/>
      </c>
    </row>
    <row r="2611" customFormat="false" ht="15" hidden="false" customHeight="false" outlineLevel="0" collapsed="false">
      <c r="E2611" s="41" t="str">
        <f aca="false">IF(D2611="","",IFERROR(VLOOKUP(D2611,Assumptions!$G$5:$H$16,2,0),"Other"))</f>
        <v/>
      </c>
      <c r="J2611" s="41" t="str">
        <f aca="false">IF(G2611="","",IFERROR(IF(ISNUMBER(SEARCH(Assumptions!$C$5,G2611)),Assumptions!$D$5,IF(ISNUMBER(SEARCH(Assumptions!$C$6,G2611)),Assumptions!$D$6,IF(ISNUMBER(SEARCH(Assumptions!$C$7,G2611)),Assumptions!$D$7,"Other Services"))),"Other Services"))</f>
        <v/>
      </c>
    </row>
    <row r="2612" customFormat="false" ht="15" hidden="false" customHeight="false" outlineLevel="0" collapsed="false">
      <c r="E2612" s="41" t="str">
        <f aca="false">IF(D2612="","",IFERROR(VLOOKUP(D2612,Assumptions!$G$5:$H$16,2,0),"Other"))</f>
        <v/>
      </c>
      <c r="J2612" s="41" t="str">
        <f aca="false">IF(G2612="","",IFERROR(IF(ISNUMBER(SEARCH(Assumptions!$C$5,G2612)),Assumptions!$D$5,IF(ISNUMBER(SEARCH(Assumptions!$C$6,G2612)),Assumptions!$D$6,IF(ISNUMBER(SEARCH(Assumptions!$C$7,G2612)),Assumptions!$D$7,"Other Services"))),"Other Services"))</f>
        <v/>
      </c>
    </row>
    <row r="2613" customFormat="false" ht="15" hidden="false" customHeight="false" outlineLevel="0" collapsed="false">
      <c r="E2613" s="41" t="str">
        <f aca="false">IF(D2613="","",IFERROR(VLOOKUP(D2613,Assumptions!$G$5:$H$16,2,0),"Other"))</f>
        <v/>
      </c>
      <c r="J2613" s="41" t="str">
        <f aca="false">IF(G2613="","",IFERROR(IF(ISNUMBER(SEARCH(Assumptions!$C$5,G2613)),Assumptions!$D$5,IF(ISNUMBER(SEARCH(Assumptions!$C$6,G2613)),Assumptions!$D$6,IF(ISNUMBER(SEARCH(Assumptions!$C$7,G2613)),Assumptions!$D$7,"Other Services"))),"Other Services"))</f>
        <v/>
      </c>
    </row>
    <row r="2614" customFormat="false" ht="15" hidden="false" customHeight="false" outlineLevel="0" collapsed="false">
      <c r="E2614" s="41" t="str">
        <f aca="false">IF(D2614="","",IFERROR(VLOOKUP(D2614,Assumptions!$G$5:$H$16,2,0),"Other"))</f>
        <v/>
      </c>
      <c r="J2614" s="41" t="str">
        <f aca="false">IF(G2614="","",IFERROR(IF(ISNUMBER(SEARCH(Assumptions!$C$5,G2614)),Assumptions!$D$5,IF(ISNUMBER(SEARCH(Assumptions!$C$6,G2614)),Assumptions!$D$6,IF(ISNUMBER(SEARCH(Assumptions!$C$7,G2614)),Assumptions!$D$7,"Other Services"))),"Other Services"))</f>
        <v/>
      </c>
    </row>
    <row r="2615" customFormat="false" ht="15" hidden="false" customHeight="false" outlineLevel="0" collapsed="false">
      <c r="E2615" s="41" t="str">
        <f aca="false">IF(D2615="","",IFERROR(VLOOKUP(D2615,Assumptions!$G$5:$H$16,2,0),"Other"))</f>
        <v/>
      </c>
      <c r="J2615" s="41" t="str">
        <f aca="false">IF(G2615="","",IFERROR(IF(ISNUMBER(SEARCH(Assumptions!$C$5,G2615)),Assumptions!$D$5,IF(ISNUMBER(SEARCH(Assumptions!$C$6,G2615)),Assumptions!$D$6,IF(ISNUMBER(SEARCH(Assumptions!$C$7,G2615)),Assumptions!$D$7,"Other Services"))),"Other Services"))</f>
        <v/>
      </c>
    </row>
    <row r="2616" customFormat="false" ht="15" hidden="false" customHeight="false" outlineLevel="0" collapsed="false">
      <c r="E2616" s="41" t="str">
        <f aca="false">IF(D2616="","",IFERROR(VLOOKUP(D2616,Assumptions!$G$5:$H$16,2,0),"Other"))</f>
        <v/>
      </c>
      <c r="J2616" s="41" t="str">
        <f aca="false">IF(G2616="","",IFERROR(IF(ISNUMBER(SEARCH(Assumptions!$C$5,G2616)),Assumptions!$D$5,IF(ISNUMBER(SEARCH(Assumptions!$C$6,G2616)),Assumptions!$D$6,IF(ISNUMBER(SEARCH(Assumptions!$C$7,G2616)),Assumptions!$D$7,"Other Services"))),"Other Services"))</f>
        <v/>
      </c>
    </row>
    <row r="2617" customFormat="false" ht="15" hidden="false" customHeight="false" outlineLevel="0" collapsed="false">
      <c r="E2617" s="41" t="str">
        <f aca="false">IF(D2617="","",IFERROR(VLOOKUP(D2617,Assumptions!$G$5:$H$16,2,0),"Other"))</f>
        <v/>
      </c>
      <c r="J2617" s="41" t="str">
        <f aca="false">IF(G2617="","",IFERROR(IF(ISNUMBER(SEARCH(Assumptions!$C$5,G2617)),Assumptions!$D$5,IF(ISNUMBER(SEARCH(Assumptions!$C$6,G2617)),Assumptions!$D$6,IF(ISNUMBER(SEARCH(Assumptions!$C$7,G2617)),Assumptions!$D$7,"Other Services"))),"Other Services"))</f>
        <v/>
      </c>
    </row>
    <row r="2618" customFormat="false" ht="15" hidden="false" customHeight="false" outlineLevel="0" collapsed="false">
      <c r="E2618" s="41" t="str">
        <f aca="false">IF(D2618="","",IFERROR(VLOOKUP(D2618,Assumptions!$G$5:$H$16,2,0),"Other"))</f>
        <v/>
      </c>
      <c r="J2618" s="41" t="str">
        <f aca="false">IF(G2618="","",IFERROR(IF(ISNUMBER(SEARCH(Assumptions!$C$5,G2618)),Assumptions!$D$5,IF(ISNUMBER(SEARCH(Assumptions!$C$6,G2618)),Assumptions!$D$6,IF(ISNUMBER(SEARCH(Assumptions!$C$7,G2618)),Assumptions!$D$7,"Other Services"))),"Other Services"))</f>
        <v/>
      </c>
    </row>
    <row r="2619" customFormat="false" ht="15" hidden="false" customHeight="false" outlineLevel="0" collapsed="false">
      <c r="E2619" s="41" t="str">
        <f aca="false">IF(D2619="","",IFERROR(VLOOKUP(D2619,Assumptions!$G$5:$H$16,2,0),"Other"))</f>
        <v/>
      </c>
      <c r="J2619" s="41" t="str">
        <f aca="false">IF(G2619="","",IFERROR(IF(ISNUMBER(SEARCH(Assumptions!$C$5,G2619)),Assumptions!$D$5,IF(ISNUMBER(SEARCH(Assumptions!$C$6,G2619)),Assumptions!$D$6,IF(ISNUMBER(SEARCH(Assumptions!$C$7,G2619)),Assumptions!$D$7,"Other Services"))),"Other Services"))</f>
        <v/>
      </c>
    </row>
    <row r="2620" customFormat="false" ht="15" hidden="false" customHeight="false" outlineLevel="0" collapsed="false">
      <c r="E2620" s="41" t="str">
        <f aca="false">IF(D2620="","",IFERROR(VLOOKUP(D2620,Assumptions!$G$5:$H$16,2,0),"Other"))</f>
        <v/>
      </c>
      <c r="J2620" s="41" t="str">
        <f aca="false">IF(G2620="","",IFERROR(IF(ISNUMBER(SEARCH(Assumptions!$C$5,G2620)),Assumptions!$D$5,IF(ISNUMBER(SEARCH(Assumptions!$C$6,G2620)),Assumptions!$D$6,IF(ISNUMBER(SEARCH(Assumptions!$C$7,G2620)),Assumptions!$D$7,"Other Services"))),"Other Services"))</f>
        <v/>
      </c>
    </row>
    <row r="2621" customFormat="false" ht="15" hidden="false" customHeight="false" outlineLevel="0" collapsed="false">
      <c r="E2621" s="41" t="str">
        <f aca="false">IF(D2621="","",IFERROR(VLOOKUP(D2621,Assumptions!$G$5:$H$16,2,0),"Other"))</f>
        <v/>
      </c>
      <c r="J2621" s="41" t="str">
        <f aca="false">IF(G2621="","",IFERROR(IF(ISNUMBER(SEARCH(Assumptions!$C$5,G2621)),Assumptions!$D$5,IF(ISNUMBER(SEARCH(Assumptions!$C$6,G2621)),Assumptions!$D$6,IF(ISNUMBER(SEARCH(Assumptions!$C$7,G2621)),Assumptions!$D$7,"Other Services"))),"Other Services"))</f>
        <v/>
      </c>
    </row>
    <row r="2622" customFormat="false" ht="15" hidden="false" customHeight="false" outlineLevel="0" collapsed="false">
      <c r="E2622" s="41" t="str">
        <f aca="false">IF(D2622="","",IFERROR(VLOOKUP(D2622,Assumptions!$G$5:$H$16,2,0),"Other"))</f>
        <v/>
      </c>
      <c r="J2622" s="41" t="str">
        <f aca="false">IF(G2622="","",IFERROR(IF(ISNUMBER(SEARCH(Assumptions!$C$5,G2622)),Assumptions!$D$5,IF(ISNUMBER(SEARCH(Assumptions!$C$6,G2622)),Assumptions!$D$6,IF(ISNUMBER(SEARCH(Assumptions!$C$7,G2622)),Assumptions!$D$7,"Other Services"))),"Other Services"))</f>
        <v/>
      </c>
    </row>
    <row r="2623" customFormat="false" ht="15" hidden="false" customHeight="false" outlineLevel="0" collapsed="false">
      <c r="E2623" s="41" t="str">
        <f aca="false">IF(D2623="","",IFERROR(VLOOKUP(D2623,Assumptions!$G$5:$H$16,2,0),"Other"))</f>
        <v/>
      </c>
      <c r="J2623" s="41" t="str">
        <f aca="false">IF(G2623="","",IFERROR(IF(ISNUMBER(SEARCH(Assumptions!$C$5,G2623)),Assumptions!$D$5,IF(ISNUMBER(SEARCH(Assumptions!$C$6,G2623)),Assumptions!$D$6,IF(ISNUMBER(SEARCH(Assumptions!$C$7,G2623)),Assumptions!$D$7,"Other Services"))),"Other Services"))</f>
        <v/>
      </c>
    </row>
    <row r="2624" customFormat="false" ht="15" hidden="false" customHeight="false" outlineLevel="0" collapsed="false">
      <c r="E2624" s="41" t="str">
        <f aca="false">IF(D2624="","",IFERROR(VLOOKUP(D2624,Assumptions!$G$5:$H$16,2,0),"Other"))</f>
        <v/>
      </c>
      <c r="J2624" s="41" t="str">
        <f aca="false">IF(G2624="","",IFERROR(IF(ISNUMBER(SEARCH(Assumptions!$C$5,G2624)),Assumptions!$D$5,IF(ISNUMBER(SEARCH(Assumptions!$C$6,G2624)),Assumptions!$D$6,IF(ISNUMBER(SEARCH(Assumptions!$C$7,G2624)),Assumptions!$D$7,"Other Services"))),"Other Services"))</f>
        <v/>
      </c>
    </row>
    <row r="2625" customFormat="false" ht="15" hidden="false" customHeight="false" outlineLevel="0" collapsed="false">
      <c r="E2625" s="41" t="str">
        <f aca="false">IF(D2625="","",IFERROR(VLOOKUP(D2625,Assumptions!$G$5:$H$16,2,0),"Other"))</f>
        <v/>
      </c>
      <c r="J2625" s="41" t="str">
        <f aca="false">IF(G2625="","",IFERROR(IF(ISNUMBER(SEARCH(Assumptions!$C$5,G2625)),Assumptions!$D$5,IF(ISNUMBER(SEARCH(Assumptions!$C$6,G2625)),Assumptions!$D$6,IF(ISNUMBER(SEARCH(Assumptions!$C$7,G2625)),Assumptions!$D$7,"Other Services"))),"Other Services"))</f>
        <v/>
      </c>
    </row>
    <row r="2626" customFormat="false" ht="15" hidden="false" customHeight="false" outlineLevel="0" collapsed="false">
      <c r="E2626" s="41" t="str">
        <f aca="false">IF(D2626="","",IFERROR(VLOOKUP(D2626,Assumptions!$G$5:$H$16,2,0),"Other"))</f>
        <v/>
      </c>
      <c r="J2626" s="41" t="str">
        <f aca="false">IF(G2626="","",IFERROR(IF(ISNUMBER(SEARCH(Assumptions!$C$5,G2626)),Assumptions!$D$5,IF(ISNUMBER(SEARCH(Assumptions!$C$6,G2626)),Assumptions!$D$6,IF(ISNUMBER(SEARCH(Assumptions!$C$7,G2626)),Assumptions!$D$7,"Other Services"))),"Other Services"))</f>
        <v/>
      </c>
    </row>
    <row r="2627" customFormat="false" ht="15" hidden="false" customHeight="false" outlineLevel="0" collapsed="false">
      <c r="E2627" s="41" t="str">
        <f aca="false">IF(D2627="","",IFERROR(VLOOKUP(D2627,Assumptions!$G$5:$H$16,2,0),"Other"))</f>
        <v/>
      </c>
      <c r="J2627" s="41" t="str">
        <f aca="false">IF(G2627="","",IFERROR(IF(ISNUMBER(SEARCH(Assumptions!$C$5,G2627)),Assumptions!$D$5,IF(ISNUMBER(SEARCH(Assumptions!$C$6,G2627)),Assumptions!$D$6,IF(ISNUMBER(SEARCH(Assumptions!$C$7,G2627)),Assumptions!$D$7,"Other Services"))),"Other Services"))</f>
        <v/>
      </c>
    </row>
    <row r="2628" customFormat="false" ht="15" hidden="false" customHeight="false" outlineLevel="0" collapsed="false">
      <c r="E2628" s="41" t="str">
        <f aca="false">IF(D2628="","",IFERROR(VLOOKUP(D2628,Assumptions!$G$5:$H$16,2,0),"Other"))</f>
        <v/>
      </c>
      <c r="J2628" s="41" t="str">
        <f aca="false">IF(G2628="","",IFERROR(IF(ISNUMBER(SEARCH(Assumptions!$C$5,G2628)),Assumptions!$D$5,IF(ISNUMBER(SEARCH(Assumptions!$C$6,G2628)),Assumptions!$D$6,IF(ISNUMBER(SEARCH(Assumptions!$C$7,G2628)),Assumptions!$D$7,"Other Services"))),"Other Services"))</f>
        <v/>
      </c>
    </row>
    <row r="2629" customFormat="false" ht="15" hidden="false" customHeight="false" outlineLevel="0" collapsed="false">
      <c r="E2629" s="41" t="str">
        <f aca="false">IF(D2629="","",IFERROR(VLOOKUP(D2629,Assumptions!$G$5:$H$16,2,0),"Other"))</f>
        <v/>
      </c>
      <c r="J2629" s="41" t="str">
        <f aca="false">IF(G2629="","",IFERROR(IF(ISNUMBER(SEARCH(Assumptions!$C$5,G2629)),Assumptions!$D$5,IF(ISNUMBER(SEARCH(Assumptions!$C$6,G2629)),Assumptions!$D$6,IF(ISNUMBER(SEARCH(Assumptions!$C$7,G2629)),Assumptions!$D$7,"Other Services"))),"Other Services"))</f>
        <v/>
      </c>
    </row>
    <row r="2630" customFormat="false" ht="15" hidden="false" customHeight="false" outlineLevel="0" collapsed="false">
      <c r="E2630" s="41" t="str">
        <f aca="false">IF(D2630="","",IFERROR(VLOOKUP(D2630,Assumptions!$G$5:$H$16,2,0),"Other"))</f>
        <v/>
      </c>
      <c r="J2630" s="41" t="str">
        <f aca="false">IF(G2630="","",IFERROR(IF(ISNUMBER(SEARCH(Assumptions!$C$5,G2630)),Assumptions!$D$5,IF(ISNUMBER(SEARCH(Assumptions!$C$6,G2630)),Assumptions!$D$6,IF(ISNUMBER(SEARCH(Assumptions!$C$7,G2630)),Assumptions!$D$7,"Other Services"))),"Other Services"))</f>
        <v/>
      </c>
    </row>
    <row r="2631" customFormat="false" ht="15" hidden="false" customHeight="false" outlineLevel="0" collapsed="false">
      <c r="E2631" s="41" t="str">
        <f aca="false">IF(D2631="","",IFERROR(VLOOKUP(D2631,Assumptions!$G$5:$H$16,2,0),"Other"))</f>
        <v/>
      </c>
      <c r="J2631" s="41" t="str">
        <f aca="false">IF(G2631="","",IFERROR(IF(ISNUMBER(SEARCH(Assumptions!$C$5,G2631)),Assumptions!$D$5,IF(ISNUMBER(SEARCH(Assumptions!$C$6,G2631)),Assumptions!$D$6,IF(ISNUMBER(SEARCH(Assumptions!$C$7,G2631)),Assumptions!$D$7,"Other Services"))),"Other Services"))</f>
        <v/>
      </c>
    </row>
    <row r="2632" customFormat="false" ht="15" hidden="false" customHeight="false" outlineLevel="0" collapsed="false">
      <c r="E2632" s="41" t="str">
        <f aca="false">IF(D2632="","",IFERROR(VLOOKUP(D2632,Assumptions!$G$5:$H$16,2,0),"Other"))</f>
        <v/>
      </c>
      <c r="J2632" s="41" t="str">
        <f aca="false">IF(G2632="","",IFERROR(IF(ISNUMBER(SEARCH(Assumptions!$C$5,G2632)),Assumptions!$D$5,IF(ISNUMBER(SEARCH(Assumptions!$C$6,G2632)),Assumptions!$D$6,IF(ISNUMBER(SEARCH(Assumptions!$C$7,G2632)),Assumptions!$D$7,"Other Services"))),"Other Services"))</f>
        <v/>
      </c>
    </row>
    <row r="2633" customFormat="false" ht="15" hidden="false" customHeight="false" outlineLevel="0" collapsed="false">
      <c r="E2633" s="41" t="str">
        <f aca="false">IF(D2633="","",IFERROR(VLOOKUP(D2633,Assumptions!$G$5:$H$16,2,0),"Other"))</f>
        <v/>
      </c>
      <c r="J2633" s="41" t="str">
        <f aca="false">IF(G2633="","",IFERROR(IF(ISNUMBER(SEARCH(Assumptions!$C$5,G2633)),Assumptions!$D$5,IF(ISNUMBER(SEARCH(Assumptions!$C$6,G2633)),Assumptions!$D$6,IF(ISNUMBER(SEARCH(Assumptions!$C$7,G2633)),Assumptions!$D$7,"Other Services"))),"Other Services"))</f>
        <v/>
      </c>
    </row>
    <row r="2634" customFormat="false" ht="15" hidden="false" customHeight="false" outlineLevel="0" collapsed="false">
      <c r="E2634" s="41" t="str">
        <f aca="false">IF(D2634="","",IFERROR(VLOOKUP(D2634,Assumptions!$G$5:$H$16,2,0),"Other"))</f>
        <v/>
      </c>
      <c r="J2634" s="41" t="str">
        <f aca="false">IF(G2634="","",IFERROR(IF(ISNUMBER(SEARCH(Assumptions!$C$5,G2634)),Assumptions!$D$5,IF(ISNUMBER(SEARCH(Assumptions!$C$6,G2634)),Assumptions!$D$6,IF(ISNUMBER(SEARCH(Assumptions!$C$7,G2634)),Assumptions!$D$7,"Other Services"))),"Other Services"))</f>
        <v/>
      </c>
    </row>
    <row r="2635" customFormat="false" ht="15" hidden="false" customHeight="false" outlineLevel="0" collapsed="false">
      <c r="E2635" s="41" t="str">
        <f aca="false">IF(D2635="","",IFERROR(VLOOKUP(D2635,Assumptions!$G$5:$H$16,2,0),"Other"))</f>
        <v/>
      </c>
      <c r="J2635" s="41" t="str">
        <f aca="false">IF(G2635="","",IFERROR(IF(ISNUMBER(SEARCH(Assumptions!$C$5,G2635)),Assumptions!$D$5,IF(ISNUMBER(SEARCH(Assumptions!$C$6,G2635)),Assumptions!$D$6,IF(ISNUMBER(SEARCH(Assumptions!$C$7,G2635)),Assumptions!$D$7,"Other Services"))),"Other Services"))</f>
        <v/>
      </c>
    </row>
    <row r="2636" customFormat="false" ht="15" hidden="false" customHeight="false" outlineLevel="0" collapsed="false">
      <c r="E2636" s="41" t="str">
        <f aca="false">IF(D2636="","",IFERROR(VLOOKUP(D2636,Assumptions!$G$5:$H$16,2,0),"Other"))</f>
        <v/>
      </c>
      <c r="J2636" s="41" t="str">
        <f aca="false">IF(G2636="","",IFERROR(IF(ISNUMBER(SEARCH(Assumptions!$C$5,G2636)),Assumptions!$D$5,IF(ISNUMBER(SEARCH(Assumptions!$C$6,G2636)),Assumptions!$D$6,IF(ISNUMBER(SEARCH(Assumptions!$C$7,G2636)),Assumptions!$D$7,"Other Services"))),"Other Services"))</f>
        <v/>
      </c>
    </row>
    <row r="2637" customFormat="false" ht="15" hidden="false" customHeight="false" outlineLevel="0" collapsed="false">
      <c r="E2637" s="41" t="str">
        <f aca="false">IF(D2637="","",IFERROR(VLOOKUP(D2637,Assumptions!$G$5:$H$16,2,0),"Other"))</f>
        <v/>
      </c>
      <c r="J2637" s="41" t="str">
        <f aca="false">IF(G2637="","",IFERROR(IF(ISNUMBER(SEARCH(Assumptions!$C$5,G2637)),Assumptions!$D$5,IF(ISNUMBER(SEARCH(Assumptions!$C$6,G2637)),Assumptions!$D$6,IF(ISNUMBER(SEARCH(Assumptions!$C$7,G2637)),Assumptions!$D$7,"Other Services"))),"Other Services"))</f>
        <v/>
      </c>
    </row>
    <row r="2638" customFormat="false" ht="15" hidden="false" customHeight="false" outlineLevel="0" collapsed="false">
      <c r="E2638" s="41" t="str">
        <f aca="false">IF(D2638="","",IFERROR(VLOOKUP(D2638,Assumptions!$G$5:$H$16,2,0),"Other"))</f>
        <v/>
      </c>
      <c r="J2638" s="41" t="str">
        <f aca="false">IF(G2638="","",IFERROR(IF(ISNUMBER(SEARCH(Assumptions!$C$5,G2638)),Assumptions!$D$5,IF(ISNUMBER(SEARCH(Assumptions!$C$6,G2638)),Assumptions!$D$6,IF(ISNUMBER(SEARCH(Assumptions!$C$7,G2638)),Assumptions!$D$7,"Other Services"))),"Other Services"))</f>
        <v/>
      </c>
    </row>
    <row r="2639" customFormat="false" ht="15" hidden="false" customHeight="false" outlineLevel="0" collapsed="false">
      <c r="E2639" s="41" t="str">
        <f aca="false">IF(D2639="","",IFERROR(VLOOKUP(D2639,Assumptions!$G$5:$H$16,2,0),"Other"))</f>
        <v/>
      </c>
      <c r="J2639" s="41" t="str">
        <f aca="false">IF(G2639="","",IFERROR(IF(ISNUMBER(SEARCH(Assumptions!$C$5,G2639)),Assumptions!$D$5,IF(ISNUMBER(SEARCH(Assumptions!$C$6,G2639)),Assumptions!$D$6,IF(ISNUMBER(SEARCH(Assumptions!$C$7,G2639)),Assumptions!$D$7,"Other Services"))),"Other Services"))</f>
        <v/>
      </c>
    </row>
    <row r="2640" customFormat="false" ht="15" hidden="false" customHeight="false" outlineLevel="0" collapsed="false">
      <c r="E2640" s="41" t="str">
        <f aca="false">IF(D2640="","",IFERROR(VLOOKUP(D2640,Assumptions!$G$5:$H$16,2,0),"Other"))</f>
        <v/>
      </c>
      <c r="J2640" s="41" t="str">
        <f aca="false">IF(G2640="","",IFERROR(IF(ISNUMBER(SEARCH(Assumptions!$C$5,G2640)),Assumptions!$D$5,IF(ISNUMBER(SEARCH(Assumptions!$C$6,G2640)),Assumptions!$D$6,IF(ISNUMBER(SEARCH(Assumptions!$C$7,G2640)),Assumptions!$D$7,"Other Services"))),"Other Services"))</f>
        <v/>
      </c>
    </row>
    <row r="2641" customFormat="false" ht="15" hidden="false" customHeight="false" outlineLevel="0" collapsed="false">
      <c r="E2641" s="41" t="str">
        <f aca="false">IF(D2641="","",IFERROR(VLOOKUP(D2641,Assumptions!$G$5:$H$16,2,0),"Other"))</f>
        <v/>
      </c>
      <c r="J2641" s="41" t="str">
        <f aca="false">IF(G2641="","",IFERROR(IF(ISNUMBER(SEARCH(Assumptions!$C$5,G2641)),Assumptions!$D$5,IF(ISNUMBER(SEARCH(Assumptions!$C$6,G2641)),Assumptions!$D$6,IF(ISNUMBER(SEARCH(Assumptions!$C$7,G2641)),Assumptions!$D$7,"Other Services"))),"Other Services"))</f>
        <v/>
      </c>
    </row>
    <row r="2642" customFormat="false" ht="15" hidden="false" customHeight="false" outlineLevel="0" collapsed="false">
      <c r="E2642" s="41" t="str">
        <f aca="false">IF(D2642="","",IFERROR(VLOOKUP(D2642,Assumptions!$G$5:$H$16,2,0),"Other"))</f>
        <v/>
      </c>
      <c r="J2642" s="41" t="str">
        <f aca="false">IF(G2642="","",IFERROR(IF(ISNUMBER(SEARCH(Assumptions!$C$5,G2642)),Assumptions!$D$5,IF(ISNUMBER(SEARCH(Assumptions!$C$6,G2642)),Assumptions!$D$6,IF(ISNUMBER(SEARCH(Assumptions!$C$7,G2642)),Assumptions!$D$7,"Other Services"))),"Other Services"))</f>
        <v/>
      </c>
    </row>
    <row r="2643" customFormat="false" ht="15" hidden="false" customHeight="false" outlineLevel="0" collapsed="false">
      <c r="E2643" s="41" t="str">
        <f aca="false">IF(D2643="","",IFERROR(VLOOKUP(D2643,Assumptions!$G$5:$H$16,2,0),"Other"))</f>
        <v/>
      </c>
      <c r="J2643" s="41" t="str">
        <f aca="false">IF(G2643="","",IFERROR(IF(ISNUMBER(SEARCH(Assumptions!$C$5,G2643)),Assumptions!$D$5,IF(ISNUMBER(SEARCH(Assumptions!$C$6,G2643)),Assumptions!$D$6,IF(ISNUMBER(SEARCH(Assumptions!$C$7,G2643)),Assumptions!$D$7,"Other Services"))),"Other Services"))</f>
        <v/>
      </c>
    </row>
    <row r="2644" customFormat="false" ht="15" hidden="false" customHeight="false" outlineLevel="0" collapsed="false">
      <c r="E2644" s="41" t="str">
        <f aca="false">IF(D2644="","",IFERROR(VLOOKUP(D2644,Assumptions!$G$5:$H$16,2,0),"Other"))</f>
        <v/>
      </c>
      <c r="J2644" s="41" t="str">
        <f aca="false">IF(G2644="","",IFERROR(IF(ISNUMBER(SEARCH(Assumptions!$C$5,G2644)),Assumptions!$D$5,IF(ISNUMBER(SEARCH(Assumptions!$C$6,G2644)),Assumptions!$D$6,IF(ISNUMBER(SEARCH(Assumptions!$C$7,G2644)),Assumptions!$D$7,"Other Services"))),"Other Services"))</f>
        <v/>
      </c>
    </row>
    <row r="2645" customFormat="false" ht="15" hidden="false" customHeight="false" outlineLevel="0" collapsed="false">
      <c r="E2645" s="41" t="str">
        <f aca="false">IF(D2645="","",IFERROR(VLOOKUP(D2645,Assumptions!$G$5:$H$16,2,0),"Other"))</f>
        <v/>
      </c>
      <c r="J2645" s="41" t="str">
        <f aca="false">IF(G2645="","",IFERROR(IF(ISNUMBER(SEARCH(Assumptions!$C$5,G2645)),Assumptions!$D$5,IF(ISNUMBER(SEARCH(Assumptions!$C$6,G2645)),Assumptions!$D$6,IF(ISNUMBER(SEARCH(Assumptions!$C$7,G2645)),Assumptions!$D$7,"Other Services"))),"Other Services"))</f>
        <v/>
      </c>
    </row>
    <row r="2646" customFormat="false" ht="15" hidden="false" customHeight="false" outlineLevel="0" collapsed="false">
      <c r="E2646" s="41" t="str">
        <f aca="false">IF(D2646="","",IFERROR(VLOOKUP(D2646,Assumptions!$G$5:$H$16,2,0),"Other"))</f>
        <v/>
      </c>
      <c r="J2646" s="41" t="str">
        <f aca="false">IF(G2646="","",IFERROR(IF(ISNUMBER(SEARCH(Assumptions!$C$5,G2646)),Assumptions!$D$5,IF(ISNUMBER(SEARCH(Assumptions!$C$6,G2646)),Assumptions!$D$6,IF(ISNUMBER(SEARCH(Assumptions!$C$7,G2646)),Assumptions!$D$7,"Other Services"))),"Other Services"))</f>
        <v/>
      </c>
    </row>
    <row r="2647" customFormat="false" ht="15" hidden="false" customHeight="false" outlineLevel="0" collapsed="false">
      <c r="E2647" s="41" t="str">
        <f aca="false">IF(D2647="","",IFERROR(VLOOKUP(D2647,Assumptions!$G$5:$H$16,2,0),"Other"))</f>
        <v/>
      </c>
      <c r="J2647" s="41" t="str">
        <f aca="false">IF(G2647="","",IFERROR(IF(ISNUMBER(SEARCH(Assumptions!$C$5,G2647)),Assumptions!$D$5,IF(ISNUMBER(SEARCH(Assumptions!$C$6,G2647)),Assumptions!$D$6,IF(ISNUMBER(SEARCH(Assumptions!$C$7,G2647)),Assumptions!$D$7,"Other Services"))),"Other Services"))</f>
        <v/>
      </c>
    </row>
    <row r="2648" customFormat="false" ht="15" hidden="false" customHeight="false" outlineLevel="0" collapsed="false">
      <c r="E2648" s="41" t="str">
        <f aca="false">IF(D2648="","",IFERROR(VLOOKUP(D2648,Assumptions!$G$5:$H$16,2,0),"Other"))</f>
        <v/>
      </c>
      <c r="J2648" s="41" t="str">
        <f aca="false">IF(G2648="","",IFERROR(IF(ISNUMBER(SEARCH(Assumptions!$C$5,G2648)),Assumptions!$D$5,IF(ISNUMBER(SEARCH(Assumptions!$C$6,G2648)),Assumptions!$D$6,IF(ISNUMBER(SEARCH(Assumptions!$C$7,G2648)),Assumptions!$D$7,"Other Services"))),"Other Services"))</f>
        <v/>
      </c>
    </row>
    <row r="2649" customFormat="false" ht="15" hidden="false" customHeight="false" outlineLevel="0" collapsed="false">
      <c r="E2649" s="41" t="str">
        <f aca="false">IF(D2649="","",IFERROR(VLOOKUP(D2649,Assumptions!$G$5:$H$16,2,0),"Other"))</f>
        <v/>
      </c>
      <c r="J2649" s="41" t="str">
        <f aca="false">IF(G2649="","",IFERROR(IF(ISNUMBER(SEARCH(Assumptions!$C$5,G2649)),Assumptions!$D$5,IF(ISNUMBER(SEARCH(Assumptions!$C$6,G2649)),Assumptions!$D$6,IF(ISNUMBER(SEARCH(Assumptions!$C$7,G2649)),Assumptions!$D$7,"Other Services"))),"Other Services"))</f>
        <v/>
      </c>
    </row>
    <row r="2650" customFormat="false" ht="15" hidden="false" customHeight="false" outlineLevel="0" collapsed="false">
      <c r="E2650" s="41" t="str">
        <f aca="false">IF(D2650="","",IFERROR(VLOOKUP(D2650,Assumptions!$G$5:$H$16,2,0),"Other"))</f>
        <v/>
      </c>
      <c r="J2650" s="41" t="str">
        <f aca="false">IF(G2650="","",IFERROR(IF(ISNUMBER(SEARCH(Assumptions!$C$5,G2650)),Assumptions!$D$5,IF(ISNUMBER(SEARCH(Assumptions!$C$6,G2650)),Assumptions!$D$6,IF(ISNUMBER(SEARCH(Assumptions!$C$7,G2650)),Assumptions!$D$7,"Other Services"))),"Other Services"))</f>
        <v/>
      </c>
    </row>
    <row r="2651" customFormat="false" ht="15" hidden="false" customHeight="false" outlineLevel="0" collapsed="false">
      <c r="E2651" s="41" t="str">
        <f aca="false">IF(D2651="","",IFERROR(VLOOKUP(D2651,Assumptions!$G$5:$H$16,2,0),"Other"))</f>
        <v/>
      </c>
      <c r="J2651" s="41" t="str">
        <f aca="false">IF(G2651="","",IFERROR(IF(ISNUMBER(SEARCH(Assumptions!$C$5,G2651)),Assumptions!$D$5,IF(ISNUMBER(SEARCH(Assumptions!$C$6,G2651)),Assumptions!$D$6,IF(ISNUMBER(SEARCH(Assumptions!$C$7,G2651)),Assumptions!$D$7,"Other Services"))),"Other Services"))</f>
        <v/>
      </c>
    </row>
    <row r="2652" customFormat="false" ht="15" hidden="false" customHeight="false" outlineLevel="0" collapsed="false">
      <c r="E2652" s="41" t="str">
        <f aca="false">IF(D2652="","",IFERROR(VLOOKUP(D2652,Assumptions!$G$5:$H$16,2,0),"Other"))</f>
        <v/>
      </c>
      <c r="J2652" s="41" t="str">
        <f aca="false">IF(G2652="","",IFERROR(IF(ISNUMBER(SEARCH(Assumptions!$C$5,G2652)),Assumptions!$D$5,IF(ISNUMBER(SEARCH(Assumptions!$C$6,G2652)),Assumptions!$D$6,IF(ISNUMBER(SEARCH(Assumptions!$C$7,G2652)),Assumptions!$D$7,"Other Services"))),"Other Services"))</f>
        <v/>
      </c>
    </row>
    <row r="2653" customFormat="false" ht="15" hidden="false" customHeight="false" outlineLevel="0" collapsed="false">
      <c r="E2653" s="41" t="str">
        <f aca="false">IF(D2653="","",IFERROR(VLOOKUP(D2653,Assumptions!$G$5:$H$16,2,0),"Other"))</f>
        <v/>
      </c>
      <c r="J2653" s="41" t="str">
        <f aca="false">IF(G2653="","",IFERROR(IF(ISNUMBER(SEARCH(Assumptions!$C$5,G2653)),Assumptions!$D$5,IF(ISNUMBER(SEARCH(Assumptions!$C$6,G2653)),Assumptions!$D$6,IF(ISNUMBER(SEARCH(Assumptions!$C$7,G2653)),Assumptions!$D$7,"Other Services"))),"Other Services"))</f>
        <v/>
      </c>
    </row>
    <row r="2654" customFormat="false" ht="15" hidden="false" customHeight="false" outlineLevel="0" collapsed="false">
      <c r="E2654" s="41" t="str">
        <f aca="false">IF(D2654="","",IFERROR(VLOOKUP(D2654,Assumptions!$G$5:$H$16,2,0),"Other"))</f>
        <v/>
      </c>
      <c r="J2654" s="41" t="str">
        <f aca="false">IF(G2654="","",IFERROR(IF(ISNUMBER(SEARCH(Assumptions!$C$5,G2654)),Assumptions!$D$5,IF(ISNUMBER(SEARCH(Assumptions!$C$6,G2654)),Assumptions!$D$6,IF(ISNUMBER(SEARCH(Assumptions!$C$7,G2654)),Assumptions!$D$7,"Other Services"))),"Other Services"))</f>
        <v/>
      </c>
    </row>
    <row r="2655" customFormat="false" ht="15" hidden="false" customHeight="false" outlineLevel="0" collapsed="false">
      <c r="E2655" s="41" t="str">
        <f aca="false">IF(D2655="","",IFERROR(VLOOKUP(D2655,Assumptions!$G$5:$H$16,2,0),"Other"))</f>
        <v/>
      </c>
      <c r="J2655" s="41" t="str">
        <f aca="false">IF(G2655="","",IFERROR(IF(ISNUMBER(SEARCH(Assumptions!$C$5,G2655)),Assumptions!$D$5,IF(ISNUMBER(SEARCH(Assumptions!$C$6,G2655)),Assumptions!$D$6,IF(ISNUMBER(SEARCH(Assumptions!$C$7,G2655)),Assumptions!$D$7,"Other Services"))),"Other Services"))</f>
        <v/>
      </c>
    </row>
    <row r="2656" customFormat="false" ht="15" hidden="false" customHeight="false" outlineLevel="0" collapsed="false">
      <c r="E2656" s="41" t="str">
        <f aca="false">IF(D2656="","",IFERROR(VLOOKUP(D2656,Assumptions!$G$5:$H$16,2,0),"Other"))</f>
        <v/>
      </c>
      <c r="J2656" s="41" t="str">
        <f aca="false">IF(G2656="","",IFERROR(IF(ISNUMBER(SEARCH(Assumptions!$C$5,G2656)),Assumptions!$D$5,IF(ISNUMBER(SEARCH(Assumptions!$C$6,G2656)),Assumptions!$D$6,IF(ISNUMBER(SEARCH(Assumptions!$C$7,G2656)),Assumptions!$D$7,"Other Services"))),"Other Services"))</f>
        <v/>
      </c>
    </row>
    <row r="2657" customFormat="false" ht="15" hidden="false" customHeight="false" outlineLevel="0" collapsed="false">
      <c r="E2657" s="41" t="str">
        <f aca="false">IF(D2657="","",IFERROR(VLOOKUP(D2657,Assumptions!$G$5:$H$16,2,0),"Other"))</f>
        <v/>
      </c>
      <c r="J2657" s="41" t="str">
        <f aca="false">IF(G2657="","",IFERROR(IF(ISNUMBER(SEARCH(Assumptions!$C$5,G2657)),Assumptions!$D$5,IF(ISNUMBER(SEARCH(Assumptions!$C$6,G2657)),Assumptions!$D$6,IF(ISNUMBER(SEARCH(Assumptions!$C$7,G2657)),Assumptions!$D$7,"Other Services"))),"Other Services"))</f>
        <v/>
      </c>
    </row>
    <row r="2658" customFormat="false" ht="15" hidden="false" customHeight="false" outlineLevel="0" collapsed="false">
      <c r="E2658" s="41" t="str">
        <f aca="false">IF(D2658="","",IFERROR(VLOOKUP(D2658,Assumptions!$G$5:$H$16,2,0),"Other"))</f>
        <v/>
      </c>
      <c r="J2658" s="41" t="str">
        <f aca="false">IF(G2658="","",IFERROR(IF(ISNUMBER(SEARCH(Assumptions!$C$5,G2658)),Assumptions!$D$5,IF(ISNUMBER(SEARCH(Assumptions!$C$6,G2658)),Assumptions!$D$6,IF(ISNUMBER(SEARCH(Assumptions!$C$7,G2658)),Assumptions!$D$7,"Other Services"))),"Other Services"))</f>
        <v/>
      </c>
    </row>
    <row r="2659" customFormat="false" ht="15" hidden="false" customHeight="false" outlineLevel="0" collapsed="false">
      <c r="E2659" s="41" t="str">
        <f aca="false">IF(D2659="","",IFERROR(VLOOKUP(D2659,Assumptions!$G$5:$H$16,2,0),"Other"))</f>
        <v/>
      </c>
      <c r="J2659" s="41" t="str">
        <f aca="false">IF(G2659="","",IFERROR(IF(ISNUMBER(SEARCH(Assumptions!$C$5,G2659)),Assumptions!$D$5,IF(ISNUMBER(SEARCH(Assumptions!$C$6,G2659)),Assumptions!$D$6,IF(ISNUMBER(SEARCH(Assumptions!$C$7,G2659)),Assumptions!$D$7,"Other Services"))),"Other Services"))</f>
        <v/>
      </c>
    </row>
    <row r="2660" customFormat="false" ht="15" hidden="false" customHeight="false" outlineLevel="0" collapsed="false">
      <c r="E2660" s="41" t="str">
        <f aca="false">IF(D2660="","",IFERROR(VLOOKUP(D2660,Assumptions!$G$5:$H$16,2,0),"Other"))</f>
        <v/>
      </c>
      <c r="J2660" s="41" t="str">
        <f aca="false">IF(G2660="","",IFERROR(IF(ISNUMBER(SEARCH(Assumptions!$C$5,G2660)),Assumptions!$D$5,IF(ISNUMBER(SEARCH(Assumptions!$C$6,G2660)),Assumptions!$D$6,IF(ISNUMBER(SEARCH(Assumptions!$C$7,G2660)),Assumptions!$D$7,"Other Services"))),"Other Services"))</f>
        <v/>
      </c>
    </row>
    <row r="2661" customFormat="false" ht="15" hidden="false" customHeight="false" outlineLevel="0" collapsed="false">
      <c r="E2661" s="41" t="str">
        <f aca="false">IF(D2661="","",IFERROR(VLOOKUP(D2661,Assumptions!$G$5:$H$16,2,0),"Other"))</f>
        <v/>
      </c>
      <c r="J2661" s="41" t="str">
        <f aca="false">IF(G2661="","",IFERROR(IF(ISNUMBER(SEARCH(Assumptions!$C$5,G2661)),Assumptions!$D$5,IF(ISNUMBER(SEARCH(Assumptions!$C$6,G2661)),Assumptions!$D$6,IF(ISNUMBER(SEARCH(Assumptions!$C$7,G2661)),Assumptions!$D$7,"Other Services"))),"Other Services"))</f>
        <v/>
      </c>
    </row>
    <row r="2662" customFormat="false" ht="15" hidden="false" customHeight="false" outlineLevel="0" collapsed="false">
      <c r="E2662" s="41" t="str">
        <f aca="false">IF(D2662="","",IFERROR(VLOOKUP(D2662,Assumptions!$G$5:$H$16,2,0),"Other"))</f>
        <v/>
      </c>
      <c r="J2662" s="41" t="str">
        <f aca="false">IF(G2662="","",IFERROR(IF(ISNUMBER(SEARCH(Assumptions!$C$5,G2662)),Assumptions!$D$5,IF(ISNUMBER(SEARCH(Assumptions!$C$6,G2662)),Assumptions!$D$6,IF(ISNUMBER(SEARCH(Assumptions!$C$7,G2662)),Assumptions!$D$7,"Other Services"))),"Other Services"))</f>
        <v/>
      </c>
    </row>
    <row r="2663" customFormat="false" ht="15" hidden="false" customHeight="false" outlineLevel="0" collapsed="false">
      <c r="E2663" s="41" t="str">
        <f aca="false">IF(D2663="","",IFERROR(VLOOKUP(D2663,Assumptions!$G$5:$H$16,2,0),"Other"))</f>
        <v/>
      </c>
      <c r="J2663" s="41" t="str">
        <f aca="false">IF(G2663="","",IFERROR(IF(ISNUMBER(SEARCH(Assumptions!$C$5,G2663)),Assumptions!$D$5,IF(ISNUMBER(SEARCH(Assumptions!$C$6,G2663)),Assumptions!$D$6,IF(ISNUMBER(SEARCH(Assumptions!$C$7,G2663)),Assumptions!$D$7,"Other Services"))),"Other Services"))</f>
        <v/>
      </c>
    </row>
    <row r="2664" customFormat="false" ht="15" hidden="false" customHeight="false" outlineLevel="0" collapsed="false">
      <c r="E2664" s="41" t="str">
        <f aca="false">IF(D2664="","",IFERROR(VLOOKUP(D2664,Assumptions!$G$5:$H$16,2,0),"Other"))</f>
        <v/>
      </c>
      <c r="J2664" s="41" t="str">
        <f aca="false">IF(G2664="","",IFERROR(IF(ISNUMBER(SEARCH(Assumptions!$C$5,G2664)),Assumptions!$D$5,IF(ISNUMBER(SEARCH(Assumptions!$C$6,G2664)),Assumptions!$D$6,IF(ISNUMBER(SEARCH(Assumptions!$C$7,G2664)),Assumptions!$D$7,"Other Services"))),"Other Services"))</f>
        <v/>
      </c>
    </row>
    <row r="2665" customFormat="false" ht="15" hidden="false" customHeight="false" outlineLevel="0" collapsed="false">
      <c r="E2665" s="41" t="str">
        <f aca="false">IF(D2665="","",IFERROR(VLOOKUP(D2665,Assumptions!$G$5:$H$16,2,0),"Other"))</f>
        <v/>
      </c>
      <c r="J2665" s="41" t="str">
        <f aca="false">IF(G2665="","",IFERROR(IF(ISNUMBER(SEARCH(Assumptions!$C$5,G2665)),Assumptions!$D$5,IF(ISNUMBER(SEARCH(Assumptions!$C$6,G2665)),Assumptions!$D$6,IF(ISNUMBER(SEARCH(Assumptions!$C$7,G2665)),Assumptions!$D$7,"Other Services"))),"Other Services"))</f>
        <v/>
      </c>
    </row>
    <row r="2666" customFormat="false" ht="15" hidden="false" customHeight="false" outlineLevel="0" collapsed="false">
      <c r="E2666" s="41" t="str">
        <f aca="false">IF(D2666="","",IFERROR(VLOOKUP(D2666,Assumptions!$G$5:$H$16,2,0),"Other"))</f>
        <v/>
      </c>
      <c r="J2666" s="41" t="str">
        <f aca="false">IF(G2666="","",IFERROR(IF(ISNUMBER(SEARCH(Assumptions!$C$5,G2666)),Assumptions!$D$5,IF(ISNUMBER(SEARCH(Assumptions!$C$6,G2666)),Assumptions!$D$6,IF(ISNUMBER(SEARCH(Assumptions!$C$7,G2666)),Assumptions!$D$7,"Other Services"))),"Other Services"))</f>
        <v/>
      </c>
    </row>
    <row r="2667" customFormat="false" ht="15" hidden="false" customHeight="false" outlineLevel="0" collapsed="false">
      <c r="E2667" s="41" t="str">
        <f aca="false">IF(D2667="","",IFERROR(VLOOKUP(D2667,Assumptions!$G$5:$H$16,2,0),"Other"))</f>
        <v/>
      </c>
      <c r="J2667" s="41" t="str">
        <f aca="false">IF(G2667="","",IFERROR(IF(ISNUMBER(SEARCH(Assumptions!$C$5,G2667)),Assumptions!$D$5,IF(ISNUMBER(SEARCH(Assumptions!$C$6,G2667)),Assumptions!$D$6,IF(ISNUMBER(SEARCH(Assumptions!$C$7,G2667)),Assumptions!$D$7,"Other Services"))),"Other Services"))</f>
        <v/>
      </c>
    </row>
    <row r="2668" customFormat="false" ht="15" hidden="false" customHeight="false" outlineLevel="0" collapsed="false">
      <c r="E2668" s="41" t="str">
        <f aca="false">IF(D2668="","",IFERROR(VLOOKUP(D2668,Assumptions!$G$5:$H$16,2,0),"Other"))</f>
        <v/>
      </c>
      <c r="J2668" s="41" t="str">
        <f aca="false">IF(G2668="","",IFERROR(IF(ISNUMBER(SEARCH(Assumptions!$C$5,G2668)),Assumptions!$D$5,IF(ISNUMBER(SEARCH(Assumptions!$C$6,G2668)),Assumptions!$D$6,IF(ISNUMBER(SEARCH(Assumptions!$C$7,G2668)),Assumptions!$D$7,"Other Services"))),"Other Services"))</f>
        <v/>
      </c>
    </row>
    <row r="2669" customFormat="false" ht="15" hidden="false" customHeight="false" outlineLevel="0" collapsed="false">
      <c r="E2669" s="41" t="str">
        <f aca="false">IF(D2669="","",IFERROR(VLOOKUP(D2669,Assumptions!$G$5:$H$16,2,0),"Other"))</f>
        <v/>
      </c>
      <c r="J2669" s="41" t="str">
        <f aca="false">IF(G2669="","",IFERROR(IF(ISNUMBER(SEARCH(Assumptions!$C$5,G2669)),Assumptions!$D$5,IF(ISNUMBER(SEARCH(Assumptions!$C$6,G2669)),Assumptions!$D$6,IF(ISNUMBER(SEARCH(Assumptions!$C$7,G2669)),Assumptions!$D$7,"Other Services"))),"Other Services"))</f>
        <v/>
      </c>
    </row>
    <row r="2670" customFormat="false" ht="15" hidden="false" customHeight="false" outlineLevel="0" collapsed="false">
      <c r="E2670" s="41" t="str">
        <f aca="false">IF(D2670="","",IFERROR(VLOOKUP(D2670,Assumptions!$G$5:$H$16,2,0),"Other"))</f>
        <v/>
      </c>
      <c r="J2670" s="41" t="str">
        <f aca="false">IF(G2670="","",IFERROR(IF(ISNUMBER(SEARCH(Assumptions!$C$5,G2670)),Assumptions!$D$5,IF(ISNUMBER(SEARCH(Assumptions!$C$6,G2670)),Assumptions!$D$6,IF(ISNUMBER(SEARCH(Assumptions!$C$7,G2670)),Assumptions!$D$7,"Other Services"))),"Other Services"))</f>
        <v/>
      </c>
    </row>
    <row r="2671" customFormat="false" ht="15" hidden="false" customHeight="false" outlineLevel="0" collapsed="false">
      <c r="E2671" s="41" t="str">
        <f aca="false">IF(D2671="","",IFERROR(VLOOKUP(D2671,Assumptions!$G$5:$H$16,2,0),"Other"))</f>
        <v/>
      </c>
      <c r="J2671" s="41" t="str">
        <f aca="false">IF(G2671="","",IFERROR(IF(ISNUMBER(SEARCH(Assumptions!$C$5,G2671)),Assumptions!$D$5,IF(ISNUMBER(SEARCH(Assumptions!$C$6,G2671)),Assumptions!$D$6,IF(ISNUMBER(SEARCH(Assumptions!$C$7,G2671)),Assumptions!$D$7,"Other Services"))),"Other Services"))</f>
        <v/>
      </c>
    </row>
    <row r="2672" customFormat="false" ht="15" hidden="false" customHeight="false" outlineLevel="0" collapsed="false">
      <c r="E2672" s="41" t="str">
        <f aca="false">IF(D2672="","",IFERROR(VLOOKUP(D2672,Assumptions!$G$5:$H$16,2,0),"Other"))</f>
        <v/>
      </c>
      <c r="J2672" s="41" t="str">
        <f aca="false">IF(G2672="","",IFERROR(IF(ISNUMBER(SEARCH(Assumptions!$C$5,G2672)),Assumptions!$D$5,IF(ISNUMBER(SEARCH(Assumptions!$C$6,G2672)),Assumptions!$D$6,IF(ISNUMBER(SEARCH(Assumptions!$C$7,G2672)),Assumptions!$D$7,"Other Services"))),"Other Services"))</f>
        <v/>
      </c>
    </row>
    <row r="2673" customFormat="false" ht="15" hidden="false" customHeight="false" outlineLevel="0" collapsed="false">
      <c r="E2673" s="41" t="str">
        <f aca="false">IF(D2673="","",IFERROR(VLOOKUP(D2673,Assumptions!$G$5:$H$16,2,0),"Other"))</f>
        <v/>
      </c>
      <c r="J2673" s="41" t="str">
        <f aca="false">IF(G2673="","",IFERROR(IF(ISNUMBER(SEARCH(Assumptions!$C$5,G2673)),Assumptions!$D$5,IF(ISNUMBER(SEARCH(Assumptions!$C$6,G2673)),Assumptions!$D$6,IF(ISNUMBER(SEARCH(Assumptions!$C$7,G2673)),Assumptions!$D$7,"Other Services"))),"Other Services"))</f>
        <v/>
      </c>
    </row>
    <row r="2674" customFormat="false" ht="15" hidden="false" customHeight="false" outlineLevel="0" collapsed="false">
      <c r="E2674" s="41" t="str">
        <f aca="false">IF(D2674="","",IFERROR(VLOOKUP(D2674,Assumptions!$G$5:$H$16,2,0),"Other"))</f>
        <v/>
      </c>
      <c r="J2674" s="41" t="str">
        <f aca="false">IF(G2674="","",IFERROR(IF(ISNUMBER(SEARCH(Assumptions!$C$5,G2674)),Assumptions!$D$5,IF(ISNUMBER(SEARCH(Assumptions!$C$6,G2674)),Assumptions!$D$6,IF(ISNUMBER(SEARCH(Assumptions!$C$7,G2674)),Assumptions!$D$7,"Other Services"))),"Other Services"))</f>
        <v/>
      </c>
    </row>
    <row r="2675" customFormat="false" ht="15" hidden="false" customHeight="false" outlineLevel="0" collapsed="false">
      <c r="E2675" s="41" t="str">
        <f aca="false">IF(D2675="","",IFERROR(VLOOKUP(D2675,Assumptions!$G$5:$H$16,2,0),"Other"))</f>
        <v/>
      </c>
      <c r="J2675" s="41" t="str">
        <f aca="false">IF(G2675="","",IFERROR(IF(ISNUMBER(SEARCH(Assumptions!$C$5,G2675)),Assumptions!$D$5,IF(ISNUMBER(SEARCH(Assumptions!$C$6,G2675)),Assumptions!$D$6,IF(ISNUMBER(SEARCH(Assumptions!$C$7,G2675)),Assumptions!$D$7,"Other Services"))),"Other Services"))</f>
        <v/>
      </c>
    </row>
    <row r="2676" customFormat="false" ht="15" hidden="false" customHeight="false" outlineLevel="0" collapsed="false">
      <c r="E2676" s="41" t="str">
        <f aca="false">IF(D2676="","",IFERROR(VLOOKUP(D2676,Assumptions!$G$5:$H$16,2,0),"Other"))</f>
        <v/>
      </c>
      <c r="J2676" s="41" t="str">
        <f aca="false">IF(G2676="","",IFERROR(IF(ISNUMBER(SEARCH(Assumptions!$C$5,G2676)),Assumptions!$D$5,IF(ISNUMBER(SEARCH(Assumptions!$C$6,G2676)),Assumptions!$D$6,IF(ISNUMBER(SEARCH(Assumptions!$C$7,G2676)),Assumptions!$D$7,"Other Services"))),"Other Services"))</f>
        <v/>
      </c>
    </row>
    <row r="2677" customFormat="false" ht="15" hidden="false" customHeight="false" outlineLevel="0" collapsed="false">
      <c r="E2677" s="41" t="str">
        <f aca="false">IF(D2677="","",IFERROR(VLOOKUP(D2677,Assumptions!$G$5:$H$16,2,0),"Other"))</f>
        <v/>
      </c>
      <c r="J2677" s="41" t="str">
        <f aca="false">IF(G2677="","",IFERROR(IF(ISNUMBER(SEARCH(Assumptions!$C$5,G2677)),Assumptions!$D$5,IF(ISNUMBER(SEARCH(Assumptions!$C$6,G2677)),Assumptions!$D$6,IF(ISNUMBER(SEARCH(Assumptions!$C$7,G2677)),Assumptions!$D$7,"Other Services"))),"Other Services"))</f>
        <v/>
      </c>
    </row>
    <row r="2678" customFormat="false" ht="15" hidden="false" customHeight="false" outlineLevel="0" collapsed="false">
      <c r="E2678" s="41" t="str">
        <f aca="false">IF(D2678="","",IFERROR(VLOOKUP(D2678,Assumptions!$G$5:$H$16,2,0),"Other"))</f>
        <v/>
      </c>
      <c r="J2678" s="41" t="str">
        <f aca="false">IF(G2678="","",IFERROR(IF(ISNUMBER(SEARCH(Assumptions!$C$5,G2678)),Assumptions!$D$5,IF(ISNUMBER(SEARCH(Assumptions!$C$6,G2678)),Assumptions!$D$6,IF(ISNUMBER(SEARCH(Assumptions!$C$7,G2678)),Assumptions!$D$7,"Other Services"))),"Other Services"))</f>
        <v/>
      </c>
    </row>
    <row r="2679" customFormat="false" ht="15" hidden="false" customHeight="false" outlineLevel="0" collapsed="false">
      <c r="E2679" s="41" t="str">
        <f aca="false">IF(D2679="","",IFERROR(VLOOKUP(D2679,Assumptions!$G$5:$H$16,2,0),"Other"))</f>
        <v/>
      </c>
      <c r="J2679" s="41" t="str">
        <f aca="false">IF(G2679="","",IFERROR(IF(ISNUMBER(SEARCH(Assumptions!$C$5,G2679)),Assumptions!$D$5,IF(ISNUMBER(SEARCH(Assumptions!$C$6,G2679)),Assumptions!$D$6,IF(ISNUMBER(SEARCH(Assumptions!$C$7,G2679)),Assumptions!$D$7,"Other Services"))),"Other Services"))</f>
        <v/>
      </c>
    </row>
    <row r="2680" customFormat="false" ht="15" hidden="false" customHeight="false" outlineLevel="0" collapsed="false">
      <c r="E2680" s="41" t="str">
        <f aca="false">IF(D2680="","",IFERROR(VLOOKUP(D2680,Assumptions!$G$5:$H$16,2,0),"Other"))</f>
        <v/>
      </c>
      <c r="J2680" s="41" t="str">
        <f aca="false">IF(G2680="","",IFERROR(IF(ISNUMBER(SEARCH(Assumptions!$C$5,G2680)),Assumptions!$D$5,IF(ISNUMBER(SEARCH(Assumptions!$C$6,G2680)),Assumptions!$D$6,IF(ISNUMBER(SEARCH(Assumptions!$C$7,G2680)),Assumptions!$D$7,"Other Services"))),"Other Services"))</f>
        <v/>
      </c>
    </row>
    <row r="2681" customFormat="false" ht="15" hidden="false" customHeight="false" outlineLevel="0" collapsed="false">
      <c r="E2681" s="41" t="str">
        <f aca="false">IF(D2681="","",IFERROR(VLOOKUP(D2681,Assumptions!$G$5:$H$16,2,0),"Other"))</f>
        <v/>
      </c>
      <c r="J2681" s="41" t="str">
        <f aca="false">IF(G2681="","",IFERROR(IF(ISNUMBER(SEARCH(Assumptions!$C$5,G2681)),Assumptions!$D$5,IF(ISNUMBER(SEARCH(Assumptions!$C$6,G2681)),Assumptions!$D$6,IF(ISNUMBER(SEARCH(Assumptions!$C$7,G2681)),Assumptions!$D$7,"Other Services"))),"Other Services"))</f>
        <v/>
      </c>
    </row>
    <row r="2682" customFormat="false" ht="15" hidden="false" customHeight="false" outlineLevel="0" collapsed="false">
      <c r="E2682" s="41" t="str">
        <f aca="false">IF(D2682="","",IFERROR(VLOOKUP(D2682,Assumptions!$G$5:$H$16,2,0),"Other"))</f>
        <v/>
      </c>
      <c r="J2682" s="41" t="str">
        <f aca="false">IF(G2682="","",IFERROR(IF(ISNUMBER(SEARCH(Assumptions!$C$5,G2682)),Assumptions!$D$5,IF(ISNUMBER(SEARCH(Assumptions!$C$6,G2682)),Assumptions!$D$6,IF(ISNUMBER(SEARCH(Assumptions!$C$7,G2682)),Assumptions!$D$7,"Other Services"))),"Other Services"))</f>
        <v/>
      </c>
    </row>
    <row r="2683" customFormat="false" ht="15" hidden="false" customHeight="false" outlineLevel="0" collapsed="false">
      <c r="E2683" s="41" t="str">
        <f aca="false">IF(D2683="","",IFERROR(VLOOKUP(D2683,Assumptions!$G$5:$H$16,2,0),"Other"))</f>
        <v/>
      </c>
      <c r="J2683" s="41" t="str">
        <f aca="false">IF(G2683="","",IFERROR(IF(ISNUMBER(SEARCH(Assumptions!$C$5,G2683)),Assumptions!$D$5,IF(ISNUMBER(SEARCH(Assumptions!$C$6,G2683)),Assumptions!$D$6,IF(ISNUMBER(SEARCH(Assumptions!$C$7,G2683)),Assumptions!$D$7,"Other Services"))),"Other Services"))</f>
        <v/>
      </c>
    </row>
    <row r="2684" customFormat="false" ht="15" hidden="false" customHeight="false" outlineLevel="0" collapsed="false">
      <c r="E2684" s="41" t="str">
        <f aca="false">IF(D2684="","",IFERROR(VLOOKUP(D2684,Assumptions!$G$5:$H$16,2,0),"Other"))</f>
        <v/>
      </c>
      <c r="J2684" s="41" t="str">
        <f aca="false">IF(G2684="","",IFERROR(IF(ISNUMBER(SEARCH(Assumptions!$C$5,G2684)),Assumptions!$D$5,IF(ISNUMBER(SEARCH(Assumptions!$C$6,G2684)),Assumptions!$D$6,IF(ISNUMBER(SEARCH(Assumptions!$C$7,G2684)),Assumptions!$D$7,"Other Services"))),"Other Services"))</f>
        <v/>
      </c>
    </row>
    <row r="2685" customFormat="false" ht="15" hidden="false" customHeight="false" outlineLevel="0" collapsed="false">
      <c r="E2685" s="41" t="str">
        <f aca="false">IF(D2685="","",IFERROR(VLOOKUP(D2685,Assumptions!$G$5:$H$16,2,0),"Other"))</f>
        <v/>
      </c>
      <c r="J2685" s="41" t="str">
        <f aca="false">IF(G2685="","",IFERROR(IF(ISNUMBER(SEARCH(Assumptions!$C$5,G2685)),Assumptions!$D$5,IF(ISNUMBER(SEARCH(Assumptions!$C$6,G2685)),Assumptions!$D$6,IF(ISNUMBER(SEARCH(Assumptions!$C$7,G2685)),Assumptions!$D$7,"Other Services"))),"Other Services"))</f>
        <v/>
      </c>
    </row>
    <row r="2686" customFormat="false" ht="15" hidden="false" customHeight="false" outlineLevel="0" collapsed="false">
      <c r="E2686" s="41" t="str">
        <f aca="false">IF(D2686="","",IFERROR(VLOOKUP(D2686,Assumptions!$G$5:$H$16,2,0),"Other"))</f>
        <v/>
      </c>
      <c r="J2686" s="41" t="str">
        <f aca="false">IF(G2686="","",IFERROR(IF(ISNUMBER(SEARCH(Assumptions!$C$5,G2686)),Assumptions!$D$5,IF(ISNUMBER(SEARCH(Assumptions!$C$6,G2686)),Assumptions!$D$6,IF(ISNUMBER(SEARCH(Assumptions!$C$7,G2686)),Assumptions!$D$7,"Other Services"))),"Other Services"))</f>
        <v/>
      </c>
    </row>
    <row r="2687" customFormat="false" ht="15" hidden="false" customHeight="false" outlineLevel="0" collapsed="false">
      <c r="E2687" s="41" t="str">
        <f aca="false">IF(D2687="","",IFERROR(VLOOKUP(D2687,Assumptions!$G$5:$H$16,2,0),"Other"))</f>
        <v/>
      </c>
      <c r="J2687" s="41" t="str">
        <f aca="false">IF(G2687="","",IFERROR(IF(ISNUMBER(SEARCH(Assumptions!$C$5,G2687)),Assumptions!$D$5,IF(ISNUMBER(SEARCH(Assumptions!$C$6,G2687)),Assumptions!$D$6,IF(ISNUMBER(SEARCH(Assumptions!$C$7,G2687)),Assumptions!$D$7,"Other Services"))),"Other Services"))</f>
        <v/>
      </c>
    </row>
    <row r="2688" customFormat="false" ht="15" hidden="false" customHeight="false" outlineLevel="0" collapsed="false">
      <c r="E2688" s="41" t="str">
        <f aca="false">IF(D2688="","",IFERROR(VLOOKUP(D2688,Assumptions!$G$5:$H$16,2,0),"Other"))</f>
        <v/>
      </c>
      <c r="J2688" s="41" t="str">
        <f aca="false">IF(G2688="","",IFERROR(IF(ISNUMBER(SEARCH(Assumptions!$C$5,G2688)),Assumptions!$D$5,IF(ISNUMBER(SEARCH(Assumptions!$C$6,G2688)),Assumptions!$D$6,IF(ISNUMBER(SEARCH(Assumptions!$C$7,G2688)),Assumptions!$D$7,"Other Services"))),"Other Services"))</f>
        <v/>
      </c>
    </row>
    <row r="2689" customFormat="false" ht="15" hidden="false" customHeight="false" outlineLevel="0" collapsed="false">
      <c r="E2689" s="41" t="str">
        <f aca="false">IF(D2689="","",IFERROR(VLOOKUP(D2689,Assumptions!$G$5:$H$16,2,0),"Other"))</f>
        <v/>
      </c>
      <c r="J2689" s="41" t="str">
        <f aca="false">IF(G2689="","",IFERROR(IF(ISNUMBER(SEARCH(Assumptions!$C$5,G2689)),Assumptions!$D$5,IF(ISNUMBER(SEARCH(Assumptions!$C$6,G2689)),Assumptions!$D$6,IF(ISNUMBER(SEARCH(Assumptions!$C$7,G2689)),Assumptions!$D$7,"Other Services"))),"Other Services"))</f>
        <v/>
      </c>
    </row>
    <row r="2690" customFormat="false" ht="15" hidden="false" customHeight="false" outlineLevel="0" collapsed="false">
      <c r="E2690" s="41" t="str">
        <f aca="false">IF(D2690="","",IFERROR(VLOOKUP(D2690,Assumptions!$G$5:$H$16,2,0),"Other"))</f>
        <v/>
      </c>
      <c r="J2690" s="41" t="str">
        <f aca="false">IF(G2690="","",IFERROR(IF(ISNUMBER(SEARCH(Assumptions!$C$5,G2690)),Assumptions!$D$5,IF(ISNUMBER(SEARCH(Assumptions!$C$6,G2690)),Assumptions!$D$6,IF(ISNUMBER(SEARCH(Assumptions!$C$7,G2690)),Assumptions!$D$7,"Other Services"))),"Other Services"))</f>
        <v/>
      </c>
    </row>
    <row r="2691" customFormat="false" ht="15" hidden="false" customHeight="false" outlineLevel="0" collapsed="false">
      <c r="E2691" s="41" t="str">
        <f aca="false">IF(D2691="","",IFERROR(VLOOKUP(D2691,Assumptions!$G$5:$H$16,2,0),"Other"))</f>
        <v/>
      </c>
      <c r="J2691" s="41" t="str">
        <f aca="false">IF(G2691="","",IFERROR(IF(ISNUMBER(SEARCH(Assumptions!$C$5,G2691)),Assumptions!$D$5,IF(ISNUMBER(SEARCH(Assumptions!$C$6,G2691)),Assumptions!$D$6,IF(ISNUMBER(SEARCH(Assumptions!$C$7,G2691)),Assumptions!$D$7,"Other Services"))),"Other Services"))</f>
        <v/>
      </c>
    </row>
    <row r="2692" customFormat="false" ht="15" hidden="false" customHeight="false" outlineLevel="0" collapsed="false">
      <c r="E2692" s="41" t="str">
        <f aca="false">IF(D2692="","",IFERROR(VLOOKUP(D2692,Assumptions!$G$5:$H$16,2,0),"Other"))</f>
        <v/>
      </c>
      <c r="J2692" s="41" t="str">
        <f aca="false">IF(G2692="","",IFERROR(IF(ISNUMBER(SEARCH(Assumptions!$C$5,G2692)),Assumptions!$D$5,IF(ISNUMBER(SEARCH(Assumptions!$C$6,G2692)),Assumptions!$D$6,IF(ISNUMBER(SEARCH(Assumptions!$C$7,G2692)),Assumptions!$D$7,"Other Services"))),"Other Services"))</f>
        <v/>
      </c>
    </row>
    <row r="2693" customFormat="false" ht="15" hidden="false" customHeight="false" outlineLevel="0" collapsed="false">
      <c r="E2693" s="41" t="str">
        <f aca="false">IF(D2693="","",IFERROR(VLOOKUP(D2693,Assumptions!$G$5:$H$16,2,0),"Other"))</f>
        <v/>
      </c>
      <c r="J2693" s="41" t="str">
        <f aca="false">IF(G2693="","",IFERROR(IF(ISNUMBER(SEARCH(Assumptions!$C$5,G2693)),Assumptions!$D$5,IF(ISNUMBER(SEARCH(Assumptions!$C$6,G2693)),Assumptions!$D$6,IF(ISNUMBER(SEARCH(Assumptions!$C$7,G2693)),Assumptions!$D$7,"Other Services"))),"Other Services"))</f>
        <v/>
      </c>
    </row>
    <row r="2694" customFormat="false" ht="15" hidden="false" customHeight="false" outlineLevel="0" collapsed="false">
      <c r="E2694" s="41" t="str">
        <f aca="false">IF(D2694="","",IFERROR(VLOOKUP(D2694,Assumptions!$G$5:$H$16,2,0),"Other"))</f>
        <v/>
      </c>
      <c r="J2694" s="41" t="str">
        <f aca="false">IF(G2694="","",IFERROR(IF(ISNUMBER(SEARCH(Assumptions!$C$5,G2694)),Assumptions!$D$5,IF(ISNUMBER(SEARCH(Assumptions!$C$6,G2694)),Assumptions!$D$6,IF(ISNUMBER(SEARCH(Assumptions!$C$7,G2694)),Assumptions!$D$7,"Other Services"))),"Other Services"))</f>
        <v/>
      </c>
    </row>
    <row r="2695" customFormat="false" ht="15" hidden="false" customHeight="false" outlineLevel="0" collapsed="false">
      <c r="E2695" s="41" t="str">
        <f aca="false">IF(D2695="","",IFERROR(VLOOKUP(D2695,Assumptions!$G$5:$H$16,2,0),"Other"))</f>
        <v/>
      </c>
      <c r="J2695" s="41" t="str">
        <f aca="false">IF(G2695="","",IFERROR(IF(ISNUMBER(SEARCH(Assumptions!$C$5,G2695)),Assumptions!$D$5,IF(ISNUMBER(SEARCH(Assumptions!$C$6,G2695)),Assumptions!$D$6,IF(ISNUMBER(SEARCH(Assumptions!$C$7,G2695)),Assumptions!$D$7,"Other Services"))),"Other Services"))</f>
        <v/>
      </c>
    </row>
    <row r="2696" customFormat="false" ht="15" hidden="false" customHeight="false" outlineLevel="0" collapsed="false">
      <c r="E2696" s="41" t="str">
        <f aca="false">IF(D2696="","",IFERROR(VLOOKUP(D2696,Assumptions!$G$5:$H$16,2,0),"Other"))</f>
        <v/>
      </c>
      <c r="J2696" s="41" t="str">
        <f aca="false">IF(G2696="","",IFERROR(IF(ISNUMBER(SEARCH(Assumptions!$C$5,G2696)),Assumptions!$D$5,IF(ISNUMBER(SEARCH(Assumptions!$C$6,G2696)),Assumptions!$D$6,IF(ISNUMBER(SEARCH(Assumptions!$C$7,G2696)),Assumptions!$D$7,"Other Services"))),"Other Services"))</f>
        <v/>
      </c>
    </row>
    <row r="2697" customFormat="false" ht="15" hidden="false" customHeight="false" outlineLevel="0" collapsed="false">
      <c r="E2697" s="41" t="str">
        <f aca="false">IF(D2697="","",IFERROR(VLOOKUP(D2697,Assumptions!$G$5:$H$16,2,0),"Other"))</f>
        <v/>
      </c>
      <c r="J2697" s="41" t="str">
        <f aca="false">IF(G2697="","",IFERROR(IF(ISNUMBER(SEARCH(Assumptions!$C$5,G2697)),Assumptions!$D$5,IF(ISNUMBER(SEARCH(Assumptions!$C$6,G2697)),Assumptions!$D$6,IF(ISNUMBER(SEARCH(Assumptions!$C$7,G2697)),Assumptions!$D$7,"Other Services"))),"Other Services"))</f>
        <v/>
      </c>
    </row>
    <row r="2698" customFormat="false" ht="15" hidden="false" customHeight="false" outlineLevel="0" collapsed="false">
      <c r="E2698" s="41" t="str">
        <f aca="false">IF(D2698="","",IFERROR(VLOOKUP(D2698,Assumptions!$G$5:$H$16,2,0),"Other"))</f>
        <v/>
      </c>
      <c r="J2698" s="41" t="str">
        <f aca="false">IF(G2698="","",IFERROR(IF(ISNUMBER(SEARCH(Assumptions!$C$5,G2698)),Assumptions!$D$5,IF(ISNUMBER(SEARCH(Assumptions!$C$6,G2698)),Assumptions!$D$6,IF(ISNUMBER(SEARCH(Assumptions!$C$7,G2698)),Assumptions!$D$7,"Other Services"))),"Other Services"))</f>
        <v/>
      </c>
    </row>
    <row r="2699" customFormat="false" ht="15" hidden="false" customHeight="false" outlineLevel="0" collapsed="false">
      <c r="E2699" s="41" t="str">
        <f aca="false">IF(D2699="","",IFERROR(VLOOKUP(D2699,Assumptions!$G$5:$H$16,2,0),"Other"))</f>
        <v/>
      </c>
      <c r="J2699" s="41" t="str">
        <f aca="false">IF(G2699="","",IFERROR(IF(ISNUMBER(SEARCH(Assumptions!$C$5,G2699)),Assumptions!$D$5,IF(ISNUMBER(SEARCH(Assumptions!$C$6,G2699)),Assumptions!$D$6,IF(ISNUMBER(SEARCH(Assumptions!$C$7,G2699)),Assumptions!$D$7,"Other Services"))),"Other Services"))</f>
        <v/>
      </c>
    </row>
    <row r="2700" customFormat="false" ht="15" hidden="false" customHeight="false" outlineLevel="0" collapsed="false">
      <c r="E2700" s="41" t="str">
        <f aca="false">IF(D2700="","",IFERROR(VLOOKUP(D2700,Assumptions!$G$5:$H$16,2,0),"Other"))</f>
        <v/>
      </c>
      <c r="J2700" s="41" t="str">
        <f aca="false">IF(G2700="","",IFERROR(IF(ISNUMBER(SEARCH(Assumptions!$C$5,G2700)),Assumptions!$D$5,IF(ISNUMBER(SEARCH(Assumptions!$C$6,G2700)),Assumptions!$D$6,IF(ISNUMBER(SEARCH(Assumptions!$C$7,G2700)),Assumptions!$D$7,"Other Services"))),"Other Services"))</f>
        <v/>
      </c>
    </row>
    <row r="2701" customFormat="false" ht="15" hidden="false" customHeight="false" outlineLevel="0" collapsed="false">
      <c r="E2701" s="41" t="str">
        <f aca="false">IF(D2701="","",IFERROR(VLOOKUP(D2701,Assumptions!$G$5:$H$16,2,0),"Other"))</f>
        <v/>
      </c>
      <c r="J2701" s="41" t="str">
        <f aca="false">IF(G2701="","",IFERROR(IF(ISNUMBER(SEARCH(Assumptions!$C$5,G2701)),Assumptions!$D$5,IF(ISNUMBER(SEARCH(Assumptions!$C$6,G2701)),Assumptions!$D$6,IF(ISNUMBER(SEARCH(Assumptions!$C$7,G2701)),Assumptions!$D$7,"Other Services"))),"Other Services"))</f>
        <v/>
      </c>
    </row>
    <row r="2702" customFormat="false" ht="15" hidden="false" customHeight="false" outlineLevel="0" collapsed="false">
      <c r="E2702" s="41" t="str">
        <f aca="false">IF(D2702="","",IFERROR(VLOOKUP(D2702,Assumptions!$G$5:$H$16,2,0),"Other"))</f>
        <v/>
      </c>
      <c r="J2702" s="41" t="str">
        <f aca="false">IF(G2702="","",IFERROR(IF(ISNUMBER(SEARCH(Assumptions!$C$5,G2702)),Assumptions!$D$5,IF(ISNUMBER(SEARCH(Assumptions!$C$6,G2702)),Assumptions!$D$6,IF(ISNUMBER(SEARCH(Assumptions!$C$7,G2702)),Assumptions!$D$7,"Other Services"))),"Other Services"))</f>
        <v/>
      </c>
    </row>
    <row r="2703" customFormat="false" ht="15" hidden="false" customHeight="false" outlineLevel="0" collapsed="false">
      <c r="E2703" s="41" t="str">
        <f aca="false">IF(D2703="","",IFERROR(VLOOKUP(D2703,Assumptions!$G$5:$H$16,2,0),"Other"))</f>
        <v/>
      </c>
      <c r="J2703" s="41" t="str">
        <f aca="false">IF(G2703="","",IFERROR(IF(ISNUMBER(SEARCH(Assumptions!$C$5,G2703)),Assumptions!$D$5,IF(ISNUMBER(SEARCH(Assumptions!$C$6,G2703)),Assumptions!$D$6,IF(ISNUMBER(SEARCH(Assumptions!$C$7,G2703)),Assumptions!$D$7,"Other Services"))),"Other Services"))</f>
        <v/>
      </c>
    </row>
    <row r="2704" customFormat="false" ht="15" hidden="false" customHeight="false" outlineLevel="0" collapsed="false">
      <c r="E2704" s="41" t="str">
        <f aca="false">IF(D2704="","",IFERROR(VLOOKUP(D2704,Assumptions!$G$5:$H$16,2,0),"Other"))</f>
        <v/>
      </c>
      <c r="J2704" s="41" t="str">
        <f aca="false">IF(G2704="","",IFERROR(IF(ISNUMBER(SEARCH(Assumptions!$C$5,G2704)),Assumptions!$D$5,IF(ISNUMBER(SEARCH(Assumptions!$C$6,G2704)),Assumptions!$D$6,IF(ISNUMBER(SEARCH(Assumptions!$C$7,G2704)),Assumptions!$D$7,"Other Services"))),"Other Services"))</f>
        <v/>
      </c>
    </row>
    <row r="2705" customFormat="false" ht="15" hidden="false" customHeight="false" outlineLevel="0" collapsed="false">
      <c r="E2705" s="41" t="str">
        <f aca="false">IF(D2705="","",IFERROR(VLOOKUP(D2705,Assumptions!$G$5:$H$16,2,0),"Other"))</f>
        <v/>
      </c>
      <c r="J2705" s="41" t="str">
        <f aca="false">IF(G2705="","",IFERROR(IF(ISNUMBER(SEARCH(Assumptions!$C$5,G2705)),Assumptions!$D$5,IF(ISNUMBER(SEARCH(Assumptions!$C$6,G2705)),Assumptions!$D$6,IF(ISNUMBER(SEARCH(Assumptions!$C$7,G2705)),Assumptions!$D$7,"Other Services"))),"Other Services"))</f>
        <v/>
      </c>
    </row>
    <row r="2706" customFormat="false" ht="15" hidden="false" customHeight="false" outlineLevel="0" collapsed="false">
      <c r="E2706" s="41" t="str">
        <f aca="false">IF(D2706="","",IFERROR(VLOOKUP(D2706,Assumptions!$G$5:$H$16,2,0),"Other"))</f>
        <v/>
      </c>
      <c r="J2706" s="41" t="str">
        <f aca="false">IF(G2706="","",IFERROR(IF(ISNUMBER(SEARCH(Assumptions!$C$5,G2706)),Assumptions!$D$5,IF(ISNUMBER(SEARCH(Assumptions!$C$6,G2706)),Assumptions!$D$6,IF(ISNUMBER(SEARCH(Assumptions!$C$7,G2706)),Assumptions!$D$7,"Other Services"))),"Other Services"))</f>
        <v/>
      </c>
    </row>
    <row r="2707" customFormat="false" ht="15" hidden="false" customHeight="false" outlineLevel="0" collapsed="false">
      <c r="E2707" s="41" t="str">
        <f aca="false">IF(D2707="","",IFERROR(VLOOKUP(D2707,Assumptions!$G$5:$H$16,2,0),"Other"))</f>
        <v/>
      </c>
      <c r="J2707" s="41" t="str">
        <f aca="false">IF(G2707="","",IFERROR(IF(ISNUMBER(SEARCH(Assumptions!$C$5,G2707)),Assumptions!$D$5,IF(ISNUMBER(SEARCH(Assumptions!$C$6,G2707)),Assumptions!$D$6,IF(ISNUMBER(SEARCH(Assumptions!$C$7,G2707)),Assumptions!$D$7,"Other Services"))),"Other Services"))</f>
        <v/>
      </c>
    </row>
    <row r="2708" customFormat="false" ht="15" hidden="false" customHeight="false" outlineLevel="0" collapsed="false">
      <c r="E2708" s="41" t="str">
        <f aca="false">IF(D2708="","",IFERROR(VLOOKUP(D2708,Assumptions!$G$5:$H$16,2,0),"Other"))</f>
        <v/>
      </c>
      <c r="J2708" s="41" t="str">
        <f aca="false">IF(G2708="","",IFERROR(IF(ISNUMBER(SEARCH(Assumptions!$C$5,G2708)),Assumptions!$D$5,IF(ISNUMBER(SEARCH(Assumptions!$C$6,G2708)),Assumptions!$D$6,IF(ISNUMBER(SEARCH(Assumptions!$C$7,G2708)),Assumptions!$D$7,"Other Services"))),"Other Services"))</f>
        <v/>
      </c>
    </row>
    <row r="2709" customFormat="false" ht="15" hidden="false" customHeight="false" outlineLevel="0" collapsed="false">
      <c r="E2709" s="41" t="str">
        <f aca="false">IF(D2709="","",IFERROR(VLOOKUP(D2709,Assumptions!$G$5:$H$16,2,0),"Other"))</f>
        <v/>
      </c>
      <c r="J2709" s="41" t="str">
        <f aca="false">IF(G2709="","",IFERROR(IF(ISNUMBER(SEARCH(Assumptions!$C$5,G2709)),Assumptions!$D$5,IF(ISNUMBER(SEARCH(Assumptions!$C$6,G2709)),Assumptions!$D$6,IF(ISNUMBER(SEARCH(Assumptions!$C$7,G2709)),Assumptions!$D$7,"Other Services"))),"Other Services"))</f>
        <v/>
      </c>
    </row>
    <row r="2710" customFormat="false" ht="15" hidden="false" customHeight="false" outlineLevel="0" collapsed="false">
      <c r="E2710" s="41" t="str">
        <f aca="false">IF(D2710="","",IFERROR(VLOOKUP(D2710,Assumptions!$G$5:$H$16,2,0),"Other"))</f>
        <v/>
      </c>
      <c r="J2710" s="41" t="str">
        <f aca="false">IF(G2710="","",IFERROR(IF(ISNUMBER(SEARCH(Assumptions!$C$5,G2710)),Assumptions!$D$5,IF(ISNUMBER(SEARCH(Assumptions!$C$6,G2710)),Assumptions!$D$6,IF(ISNUMBER(SEARCH(Assumptions!$C$7,G2710)),Assumptions!$D$7,"Other Services"))),"Other Services"))</f>
        <v/>
      </c>
    </row>
    <row r="2711" customFormat="false" ht="15" hidden="false" customHeight="false" outlineLevel="0" collapsed="false">
      <c r="E2711" s="41" t="str">
        <f aca="false">IF(D2711="","",IFERROR(VLOOKUP(D2711,Assumptions!$G$5:$H$16,2,0),"Other"))</f>
        <v/>
      </c>
      <c r="J2711" s="41" t="str">
        <f aca="false">IF(G2711="","",IFERROR(IF(ISNUMBER(SEARCH(Assumptions!$C$5,G2711)),Assumptions!$D$5,IF(ISNUMBER(SEARCH(Assumptions!$C$6,G2711)),Assumptions!$D$6,IF(ISNUMBER(SEARCH(Assumptions!$C$7,G2711)),Assumptions!$D$7,"Other Services"))),"Other Services"))</f>
        <v/>
      </c>
    </row>
    <row r="2712" customFormat="false" ht="15" hidden="false" customHeight="false" outlineLevel="0" collapsed="false">
      <c r="E2712" s="41" t="str">
        <f aca="false">IF(D2712="","",IFERROR(VLOOKUP(D2712,Assumptions!$G$5:$H$16,2,0),"Other"))</f>
        <v/>
      </c>
      <c r="J2712" s="41" t="str">
        <f aca="false">IF(G2712="","",IFERROR(IF(ISNUMBER(SEARCH(Assumptions!$C$5,G2712)),Assumptions!$D$5,IF(ISNUMBER(SEARCH(Assumptions!$C$6,G2712)),Assumptions!$D$6,IF(ISNUMBER(SEARCH(Assumptions!$C$7,G2712)),Assumptions!$D$7,"Other Services"))),"Other Services"))</f>
        <v/>
      </c>
    </row>
    <row r="2713" customFormat="false" ht="15" hidden="false" customHeight="false" outlineLevel="0" collapsed="false">
      <c r="E2713" s="41" t="str">
        <f aca="false">IF(D2713="","",IFERROR(VLOOKUP(D2713,Assumptions!$G$5:$H$16,2,0),"Other"))</f>
        <v/>
      </c>
      <c r="J2713" s="41" t="str">
        <f aca="false">IF(G2713="","",IFERROR(IF(ISNUMBER(SEARCH(Assumptions!$C$5,G2713)),Assumptions!$D$5,IF(ISNUMBER(SEARCH(Assumptions!$C$6,G2713)),Assumptions!$D$6,IF(ISNUMBER(SEARCH(Assumptions!$C$7,G2713)),Assumptions!$D$7,"Other Services"))),"Other Services"))</f>
        <v/>
      </c>
    </row>
    <row r="2714" customFormat="false" ht="15" hidden="false" customHeight="false" outlineLevel="0" collapsed="false">
      <c r="E2714" s="41" t="str">
        <f aca="false">IF(D2714="","",IFERROR(VLOOKUP(D2714,Assumptions!$G$5:$H$16,2,0),"Other"))</f>
        <v/>
      </c>
      <c r="J2714" s="41" t="str">
        <f aca="false">IF(G2714="","",IFERROR(IF(ISNUMBER(SEARCH(Assumptions!$C$5,G2714)),Assumptions!$D$5,IF(ISNUMBER(SEARCH(Assumptions!$C$6,G2714)),Assumptions!$D$6,IF(ISNUMBER(SEARCH(Assumptions!$C$7,G2714)),Assumptions!$D$7,"Other Services"))),"Other Services"))</f>
        <v/>
      </c>
    </row>
    <row r="2715" customFormat="false" ht="15" hidden="false" customHeight="false" outlineLevel="0" collapsed="false">
      <c r="E2715" s="41" t="str">
        <f aca="false">IF(D2715="","",IFERROR(VLOOKUP(D2715,Assumptions!$G$5:$H$16,2,0),"Other"))</f>
        <v/>
      </c>
      <c r="J2715" s="41" t="str">
        <f aca="false">IF(G2715="","",IFERROR(IF(ISNUMBER(SEARCH(Assumptions!$C$5,G2715)),Assumptions!$D$5,IF(ISNUMBER(SEARCH(Assumptions!$C$6,G2715)),Assumptions!$D$6,IF(ISNUMBER(SEARCH(Assumptions!$C$7,G2715)),Assumptions!$D$7,"Other Services"))),"Other Services"))</f>
        <v/>
      </c>
    </row>
    <row r="2716" customFormat="false" ht="15" hidden="false" customHeight="false" outlineLevel="0" collapsed="false">
      <c r="E2716" s="41" t="str">
        <f aca="false">IF(D2716="","",IFERROR(VLOOKUP(D2716,Assumptions!$G$5:$H$16,2,0),"Other"))</f>
        <v/>
      </c>
      <c r="J2716" s="41" t="str">
        <f aca="false">IF(G2716="","",IFERROR(IF(ISNUMBER(SEARCH(Assumptions!$C$5,G2716)),Assumptions!$D$5,IF(ISNUMBER(SEARCH(Assumptions!$C$6,G2716)),Assumptions!$D$6,IF(ISNUMBER(SEARCH(Assumptions!$C$7,G2716)),Assumptions!$D$7,"Other Services"))),"Other Services"))</f>
        <v/>
      </c>
    </row>
    <row r="2717" customFormat="false" ht="15" hidden="false" customHeight="false" outlineLevel="0" collapsed="false">
      <c r="E2717" s="41" t="str">
        <f aca="false">IF(D2717="","",IFERROR(VLOOKUP(D2717,Assumptions!$G$5:$H$16,2,0),"Other"))</f>
        <v/>
      </c>
      <c r="J2717" s="41" t="str">
        <f aca="false">IF(G2717="","",IFERROR(IF(ISNUMBER(SEARCH(Assumptions!$C$5,G2717)),Assumptions!$D$5,IF(ISNUMBER(SEARCH(Assumptions!$C$6,G2717)),Assumptions!$D$6,IF(ISNUMBER(SEARCH(Assumptions!$C$7,G2717)),Assumptions!$D$7,"Other Services"))),"Other Services"))</f>
        <v/>
      </c>
    </row>
    <row r="2718" customFormat="false" ht="15" hidden="false" customHeight="false" outlineLevel="0" collapsed="false">
      <c r="E2718" s="41" t="str">
        <f aca="false">IF(D2718="","",IFERROR(VLOOKUP(D2718,Assumptions!$G$5:$H$16,2,0),"Other"))</f>
        <v/>
      </c>
      <c r="J2718" s="41" t="str">
        <f aca="false">IF(G2718="","",IFERROR(IF(ISNUMBER(SEARCH(Assumptions!$C$5,G2718)),Assumptions!$D$5,IF(ISNUMBER(SEARCH(Assumptions!$C$6,G2718)),Assumptions!$D$6,IF(ISNUMBER(SEARCH(Assumptions!$C$7,G2718)),Assumptions!$D$7,"Other Services"))),"Other Services"))</f>
        <v/>
      </c>
    </row>
    <row r="2719" customFormat="false" ht="15" hidden="false" customHeight="false" outlineLevel="0" collapsed="false">
      <c r="E2719" s="41" t="str">
        <f aca="false">IF(D2719="","",IFERROR(VLOOKUP(D2719,Assumptions!$G$5:$H$16,2,0),"Other"))</f>
        <v/>
      </c>
      <c r="J2719" s="41" t="str">
        <f aca="false">IF(G2719="","",IFERROR(IF(ISNUMBER(SEARCH(Assumptions!$C$5,G2719)),Assumptions!$D$5,IF(ISNUMBER(SEARCH(Assumptions!$C$6,G2719)),Assumptions!$D$6,IF(ISNUMBER(SEARCH(Assumptions!$C$7,G2719)),Assumptions!$D$7,"Other Services"))),"Other Services"))</f>
        <v/>
      </c>
    </row>
    <row r="2720" customFormat="false" ht="15" hidden="false" customHeight="false" outlineLevel="0" collapsed="false">
      <c r="E2720" s="41" t="str">
        <f aca="false">IF(D2720="","",IFERROR(VLOOKUP(D2720,Assumptions!$G$5:$H$16,2,0),"Other"))</f>
        <v/>
      </c>
      <c r="J2720" s="41" t="str">
        <f aca="false">IF(G2720="","",IFERROR(IF(ISNUMBER(SEARCH(Assumptions!$C$5,G2720)),Assumptions!$D$5,IF(ISNUMBER(SEARCH(Assumptions!$C$6,G2720)),Assumptions!$D$6,IF(ISNUMBER(SEARCH(Assumptions!$C$7,G2720)),Assumptions!$D$7,"Other Services"))),"Other Services"))</f>
        <v/>
      </c>
    </row>
    <row r="2721" customFormat="false" ht="15" hidden="false" customHeight="false" outlineLevel="0" collapsed="false">
      <c r="E2721" s="41" t="str">
        <f aca="false">IF(D2721="","",IFERROR(VLOOKUP(D2721,Assumptions!$G$5:$H$16,2,0),"Other"))</f>
        <v/>
      </c>
      <c r="J2721" s="41" t="str">
        <f aca="false">IF(G2721="","",IFERROR(IF(ISNUMBER(SEARCH(Assumptions!$C$5,G2721)),Assumptions!$D$5,IF(ISNUMBER(SEARCH(Assumptions!$C$6,G2721)),Assumptions!$D$6,IF(ISNUMBER(SEARCH(Assumptions!$C$7,G2721)),Assumptions!$D$7,"Other Services"))),"Other Services"))</f>
        <v/>
      </c>
    </row>
    <row r="2722" customFormat="false" ht="15" hidden="false" customHeight="false" outlineLevel="0" collapsed="false">
      <c r="E2722" s="41" t="str">
        <f aca="false">IF(D2722="","",IFERROR(VLOOKUP(D2722,Assumptions!$G$5:$H$16,2,0),"Other"))</f>
        <v/>
      </c>
      <c r="J2722" s="41" t="str">
        <f aca="false">IF(G2722="","",IFERROR(IF(ISNUMBER(SEARCH(Assumptions!$C$5,G2722)),Assumptions!$D$5,IF(ISNUMBER(SEARCH(Assumptions!$C$6,G2722)),Assumptions!$D$6,IF(ISNUMBER(SEARCH(Assumptions!$C$7,G2722)),Assumptions!$D$7,"Other Services"))),"Other Services"))</f>
        <v/>
      </c>
    </row>
    <row r="2723" customFormat="false" ht="15" hidden="false" customHeight="false" outlineLevel="0" collapsed="false">
      <c r="E2723" s="41" t="str">
        <f aca="false">IF(D2723="","",IFERROR(VLOOKUP(D2723,Assumptions!$G$5:$H$16,2,0),"Other"))</f>
        <v/>
      </c>
      <c r="J2723" s="41" t="str">
        <f aca="false">IF(G2723="","",IFERROR(IF(ISNUMBER(SEARCH(Assumptions!$C$5,G2723)),Assumptions!$D$5,IF(ISNUMBER(SEARCH(Assumptions!$C$6,G2723)),Assumptions!$D$6,IF(ISNUMBER(SEARCH(Assumptions!$C$7,G2723)),Assumptions!$D$7,"Other Services"))),"Other Services"))</f>
        <v/>
      </c>
    </row>
    <row r="2724" customFormat="false" ht="15" hidden="false" customHeight="false" outlineLevel="0" collapsed="false">
      <c r="E2724" s="41" t="str">
        <f aca="false">IF(D2724="","",IFERROR(VLOOKUP(D2724,Assumptions!$G$5:$H$16,2,0),"Other"))</f>
        <v/>
      </c>
      <c r="J2724" s="41" t="str">
        <f aca="false">IF(G2724="","",IFERROR(IF(ISNUMBER(SEARCH(Assumptions!$C$5,G2724)),Assumptions!$D$5,IF(ISNUMBER(SEARCH(Assumptions!$C$6,G2724)),Assumptions!$D$6,IF(ISNUMBER(SEARCH(Assumptions!$C$7,G2724)),Assumptions!$D$7,"Other Services"))),"Other Services"))</f>
        <v/>
      </c>
    </row>
    <row r="2725" customFormat="false" ht="15" hidden="false" customHeight="false" outlineLevel="0" collapsed="false">
      <c r="E2725" s="41" t="str">
        <f aca="false">IF(D2725="","",IFERROR(VLOOKUP(D2725,Assumptions!$G$5:$H$16,2,0),"Other"))</f>
        <v/>
      </c>
      <c r="J2725" s="41" t="str">
        <f aca="false">IF(G2725="","",IFERROR(IF(ISNUMBER(SEARCH(Assumptions!$C$5,G2725)),Assumptions!$D$5,IF(ISNUMBER(SEARCH(Assumptions!$C$6,G2725)),Assumptions!$D$6,IF(ISNUMBER(SEARCH(Assumptions!$C$7,G2725)),Assumptions!$D$7,"Other Services"))),"Other Services"))</f>
        <v/>
      </c>
    </row>
    <row r="2726" customFormat="false" ht="15" hidden="false" customHeight="false" outlineLevel="0" collapsed="false">
      <c r="E2726" s="41" t="str">
        <f aca="false">IF(D2726="","",IFERROR(VLOOKUP(D2726,Assumptions!$G$5:$H$16,2,0),"Other"))</f>
        <v/>
      </c>
      <c r="J2726" s="41" t="str">
        <f aca="false">IF(G2726="","",IFERROR(IF(ISNUMBER(SEARCH(Assumptions!$C$5,G2726)),Assumptions!$D$5,IF(ISNUMBER(SEARCH(Assumptions!$C$6,G2726)),Assumptions!$D$6,IF(ISNUMBER(SEARCH(Assumptions!$C$7,G2726)),Assumptions!$D$7,"Other Services"))),"Other Services"))</f>
        <v/>
      </c>
    </row>
    <row r="2727" customFormat="false" ht="15" hidden="false" customHeight="false" outlineLevel="0" collapsed="false">
      <c r="E2727" s="41" t="str">
        <f aca="false">IF(D2727="","",IFERROR(VLOOKUP(D2727,Assumptions!$G$5:$H$16,2,0),"Other"))</f>
        <v/>
      </c>
      <c r="J2727" s="41" t="str">
        <f aca="false">IF(G2727="","",IFERROR(IF(ISNUMBER(SEARCH(Assumptions!$C$5,G2727)),Assumptions!$D$5,IF(ISNUMBER(SEARCH(Assumptions!$C$6,G2727)),Assumptions!$D$6,IF(ISNUMBER(SEARCH(Assumptions!$C$7,G2727)),Assumptions!$D$7,"Other Services"))),"Other Services"))</f>
        <v/>
      </c>
    </row>
    <row r="2728" customFormat="false" ht="15" hidden="false" customHeight="false" outlineLevel="0" collapsed="false">
      <c r="E2728" s="41" t="str">
        <f aca="false">IF(D2728="","",IFERROR(VLOOKUP(D2728,Assumptions!$G$5:$H$16,2,0),"Other"))</f>
        <v/>
      </c>
      <c r="J2728" s="41" t="str">
        <f aca="false">IF(G2728="","",IFERROR(IF(ISNUMBER(SEARCH(Assumptions!$C$5,G2728)),Assumptions!$D$5,IF(ISNUMBER(SEARCH(Assumptions!$C$6,G2728)),Assumptions!$D$6,IF(ISNUMBER(SEARCH(Assumptions!$C$7,G2728)),Assumptions!$D$7,"Other Services"))),"Other Services"))</f>
        <v/>
      </c>
    </row>
    <row r="2729" customFormat="false" ht="15" hidden="false" customHeight="false" outlineLevel="0" collapsed="false">
      <c r="E2729" s="41" t="str">
        <f aca="false">IF(D2729="","",IFERROR(VLOOKUP(D2729,Assumptions!$G$5:$H$16,2,0),"Other"))</f>
        <v/>
      </c>
      <c r="J2729" s="41" t="str">
        <f aca="false">IF(G2729="","",IFERROR(IF(ISNUMBER(SEARCH(Assumptions!$C$5,G2729)),Assumptions!$D$5,IF(ISNUMBER(SEARCH(Assumptions!$C$6,G2729)),Assumptions!$D$6,IF(ISNUMBER(SEARCH(Assumptions!$C$7,G2729)),Assumptions!$D$7,"Other Services"))),"Other Services"))</f>
        <v/>
      </c>
    </row>
    <row r="2730" customFormat="false" ht="15" hidden="false" customHeight="false" outlineLevel="0" collapsed="false">
      <c r="E2730" s="41" t="str">
        <f aca="false">IF(D2730="","",IFERROR(VLOOKUP(D2730,Assumptions!$G$5:$H$16,2,0),"Other"))</f>
        <v/>
      </c>
      <c r="J2730" s="41" t="str">
        <f aca="false">IF(G2730="","",IFERROR(IF(ISNUMBER(SEARCH(Assumptions!$C$5,G2730)),Assumptions!$D$5,IF(ISNUMBER(SEARCH(Assumptions!$C$6,G2730)),Assumptions!$D$6,IF(ISNUMBER(SEARCH(Assumptions!$C$7,G2730)),Assumptions!$D$7,"Other Services"))),"Other Services"))</f>
        <v/>
      </c>
    </row>
    <row r="2731" customFormat="false" ht="15" hidden="false" customHeight="false" outlineLevel="0" collapsed="false">
      <c r="E2731" s="41" t="str">
        <f aca="false">IF(D2731="","",IFERROR(VLOOKUP(D2731,Assumptions!$G$5:$H$16,2,0),"Other"))</f>
        <v/>
      </c>
      <c r="J2731" s="41" t="str">
        <f aca="false">IF(G2731="","",IFERROR(IF(ISNUMBER(SEARCH(Assumptions!$C$5,G2731)),Assumptions!$D$5,IF(ISNUMBER(SEARCH(Assumptions!$C$6,G2731)),Assumptions!$D$6,IF(ISNUMBER(SEARCH(Assumptions!$C$7,G2731)),Assumptions!$D$7,"Other Services"))),"Other Services"))</f>
        <v/>
      </c>
    </row>
    <row r="2732" customFormat="false" ht="15" hidden="false" customHeight="false" outlineLevel="0" collapsed="false">
      <c r="E2732" s="41" t="str">
        <f aca="false">IF(D2732="","",IFERROR(VLOOKUP(D2732,Assumptions!$G$5:$H$16,2,0),"Other"))</f>
        <v/>
      </c>
      <c r="J2732" s="41" t="str">
        <f aca="false">IF(G2732="","",IFERROR(IF(ISNUMBER(SEARCH(Assumptions!$C$5,G2732)),Assumptions!$D$5,IF(ISNUMBER(SEARCH(Assumptions!$C$6,G2732)),Assumptions!$D$6,IF(ISNUMBER(SEARCH(Assumptions!$C$7,G2732)),Assumptions!$D$7,"Other Services"))),"Other Services"))</f>
        <v/>
      </c>
    </row>
    <row r="2733" customFormat="false" ht="15" hidden="false" customHeight="false" outlineLevel="0" collapsed="false">
      <c r="E2733" s="41" t="str">
        <f aca="false">IF(D2733="","",IFERROR(VLOOKUP(D2733,Assumptions!$G$5:$H$16,2,0),"Other"))</f>
        <v/>
      </c>
      <c r="J2733" s="41" t="str">
        <f aca="false">IF(G2733="","",IFERROR(IF(ISNUMBER(SEARCH(Assumptions!$C$5,G2733)),Assumptions!$D$5,IF(ISNUMBER(SEARCH(Assumptions!$C$6,G2733)),Assumptions!$D$6,IF(ISNUMBER(SEARCH(Assumptions!$C$7,G2733)),Assumptions!$D$7,"Other Services"))),"Other Services"))</f>
        <v/>
      </c>
    </row>
    <row r="2734" customFormat="false" ht="15" hidden="false" customHeight="false" outlineLevel="0" collapsed="false">
      <c r="E2734" s="41" t="str">
        <f aca="false">IF(D2734="","",IFERROR(VLOOKUP(D2734,Assumptions!$G$5:$H$16,2,0),"Other"))</f>
        <v/>
      </c>
      <c r="J2734" s="41" t="str">
        <f aca="false">IF(G2734="","",IFERROR(IF(ISNUMBER(SEARCH(Assumptions!$C$5,G2734)),Assumptions!$D$5,IF(ISNUMBER(SEARCH(Assumptions!$C$6,G2734)),Assumptions!$D$6,IF(ISNUMBER(SEARCH(Assumptions!$C$7,G2734)),Assumptions!$D$7,"Other Services"))),"Other Services"))</f>
        <v/>
      </c>
    </row>
    <row r="2735" customFormat="false" ht="15" hidden="false" customHeight="false" outlineLevel="0" collapsed="false">
      <c r="E2735" s="41" t="str">
        <f aca="false">IF(D2735="","",IFERROR(VLOOKUP(D2735,Assumptions!$G$5:$H$16,2,0),"Other"))</f>
        <v/>
      </c>
      <c r="J2735" s="41" t="str">
        <f aca="false">IF(G2735="","",IFERROR(IF(ISNUMBER(SEARCH(Assumptions!$C$5,G2735)),Assumptions!$D$5,IF(ISNUMBER(SEARCH(Assumptions!$C$6,G2735)),Assumptions!$D$6,IF(ISNUMBER(SEARCH(Assumptions!$C$7,G2735)),Assumptions!$D$7,"Other Services"))),"Other Services"))</f>
        <v/>
      </c>
    </row>
    <row r="2736" customFormat="false" ht="15" hidden="false" customHeight="false" outlineLevel="0" collapsed="false">
      <c r="E2736" s="41" t="str">
        <f aca="false">IF(D2736="","",IFERROR(VLOOKUP(D2736,Assumptions!$G$5:$H$16,2,0),"Other"))</f>
        <v/>
      </c>
      <c r="J2736" s="41" t="str">
        <f aca="false">IF(G2736="","",IFERROR(IF(ISNUMBER(SEARCH(Assumptions!$C$5,G2736)),Assumptions!$D$5,IF(ISNUMBER(SEARCH(Assumptions!$C$6,G2736)),Assumptions!$D$6,IF(ISNUMBER(SEARCH(Assumptions!$C$7,G2736)),Assumptions!$D$7,"Other Services"))),"Other Services"))</f>
        <v/>
      </c>
    </row>
    <row r="2737" customFormat="false" ht="15" hidden="false" customHeight="false" outlineLevel="0" collapsed="false">
      <c r="E2737" s="41" t="str">
        <f aca="false">IF(D2737="","",IFERROR(VLOOKUP(D2737,Assumptions!$G$5:$H$16,2,0),"Other"))</f>
        <v/>
      </c>
      <c r="J2737" s="41" t="str">
        <f aca="false">IF(G2737="","",IFERROR(IF(ISNUMBER(SEARCH(Assumptions!$C$5,G2737)),Assumptions!$D$5,IF(ISNUMBER(SEARCH(Assumptions!$C$6,G2737)),Assumptions!$D$6,IF(ISNUMBER(SEARCH(Assumptions!$C$7,G2737)),Assumptions!$D$7,"Other Services"))),"Other Services"))</f>
        <v/>
      </c>
    </row>
    <row r="2738" customFormat="false" ht="15" hidden="false" customHeight="false" outlineLevel="0" collapsed="false">
      <c r="E2738" s="41" t="str">
        <f aca="false">IF(D2738="","",IFERROR(VLOOKUP(D2738,Assumptions!$G$5:$H$16,2,0),"Other"))</f>
        <v/>
      </c>
      <c r="J2738" s="41" t="str">
        <f aca="false">IF(G2738="","",IFERROR(IF(ISNUMBER(SEARCH(Assumptions!$C$5,G2738)),Assumptions!$D$5,IF(ISNUMBER(SEARCH(Assumptions!$C$6,G2738)),Assumptions!$D$6,IF(ISNUMBER(SEARCH(Assumptions!$C$7,G2738)),Assumptions!$D$7,"Other Services"))),"Other Services"))</f>
        <v/>
      </c>
    </row>
    <row r="2739" customFormat="false" ht="15" hidden="false" customHeight="false" outlineLevel="0" collapsed="false">
      <c r="E2739" s="41" t="str">
        <f aca="false">IF(D2739="","",IFERROR(VLOOKUP(D2739,Assumptions!$G$5:$H$16,2,0),"Other"))</f>
        <v/>
      </c>
      <c r="J2739" s="41" t="str">
        <f aca="false">IF(G2739="","",IFERROR(IF(ISNUMBER(SEARCH(Assumptions!$C$5,G2739)),Assumptions!$D$5,IF(ISNUMBER(SEARCH(Assumptions!$C$6,G2739)),Assumptions!$D$6,IF(ISNUMBER(SEARCH(Assumptions!$C$7,G2739)),Assumptions!$D$7,"Other Services"))),"Other Services"))</f>
        <v/>
      </c>
    </row>
    <row r="2740" customFormat="false" ht="15" hidden="false" customHeight="false" outlineLevel="0" collapsed="false">
      <c r="E2740" s="41" t="str">
        <f aca="false">IF(D2740="","",IFERROR(VLOOKUP(D2740,Assumptions!$G$5:$H$16,2,0),"Other"))</f>
        <v/>
      </c>
      <c r="J2740" s="41" t="str">
        <f aca="false">IF(G2740="","",IFERROR(IF(ISNUMBER(SEARCH(Assumptions!$C$5,G2740)),Assumptions!$D$5,IF(ISNUMBER(SEARCH(Assumptions!$C$6,G2740)),Assumptions!$D$6,IF(ISNUMBER(SEARCH(Assumptions!$C$7,G2740)),Assumptions!$D$7,"Other Services"))),"Other Services"))</f>
        <v/>
      </c>
    </row>
    <row r="2741" customFormat="false" ht="15" hidden="false" customHeight="false" outlineLevel="0" collapsed="false">
      <c r="E2741" s="41" t="str">
        <f aca="false">IF(D2741="","",IFERROR(VLOOKUP(D2741,Assumptions!$G$5:$H$16,2,0),"Other"))</f>
        <v/>
      </c>
      <c r="J2741" s="41" t="str">
        <f aca="false">IF(G2741="","",IFERROR(IF(ISNUMBER(SEARCH(Assumptions!$C$5,G2741)),Assumptions!$D$5,IF(ISNUMBER(SEARCH(Assumptions!$C$6,G2741)),Assumptions!$D$6,IF(ISNUMBER(SEARCH(Assumptions!$C$7,G2741)),Assumptions!$D$7,"Other Services"))),"Other Services"))</f>
        <v/>
      </c>
    </row>
    <row r="2742" customFormat="false" ht="15" hidden="false" customHeight="false" outlineLevel="0" collapsed="false">
      <c r="E2742" s="41" t="str">
        <f aca="false">IF(D2742="","",IFERROR(VLOOKUP(D2742,Assumptions!$G$5:$H$16,2,0),"Other"))</f>
        <v/>
      </c>
      <c r="J2742" s="41" t="str">
        <f aca="false">IF(G2742="","",IFERROR(IF(ISNUMBER(SEARCH(Assumptions!$C$5,G2742)),Assumptions!$D$5,IF(ISNUMBER(SEARCH(Assumptions!$C$6,G2742)),Assumptions!$D$6,IF(ISNUMBER(SEARCH(Assumptions!$C$7,G2742)),Assumptions!$D$7,"Other Services"))),"Other Services"))</f>
        <v/>
      </c>
    </row>
    <row r="2743" customFormat="false" ht="15" hidden="false" customHeight="false" outlineLevel="0" collapsed="false">
      <c r="E2743" s="41" t="str">
        <f aca="false">IF(D2743="","",IFERROR(VLOOKUP(D2743,Assumptions!$G$5:$H$16,2,0),"Other"))</f>
        <v/>
      </c>
      <c r="J2743" s="41" t="str">
        <f aca="false">IF(G2743="","",IFERROR(IF(ISNUMBER(SEARCH(Assumptions!$C$5,G2743)),Assumptions!$D$5,IF(ISNUMBER(SEARCH(Assumptions!$C$6,G2743)),Assumptions!$D$6,IF(ISNUMBER(SEARCH(Assumptions!$C$7,G2743)),Assumptions!$D$7,"Other Services"))),"Other Services"))</f>
        <v/>
      </c>
    </row>
    <row r="2744" customFormat="false" ht="15" hidden="false" customHeight="false" outlineLevel="0" collapsed="false">
      <c r="E2744" s="41" t="str">
        <f aca="false">IF(D2744="","",IFERROR(VLOOKUP(D2744,Assumptions!$G$5:$H$16,2,0),"Other"))</f>
        <v/>
      </c>
      <c r="J2744" s="41" t="str">
        <f aca="false">IF(G2744="","",IFERROR(IF(ISNUMBER(SEARCH(Assumptions!$C$5,G2744)),Assumptions!$D$5,IF(ISNUMBER(SEARCH(Assumptions!$C$6,G2744)),Assumptions!$D$6,IF(ISNUMBER(SEARCH(Assumptions!$C$7,G2744)),Assumptions!$D$7,"Other Services"))),"Other Services"))</f>
        <v/>
      </c>
    </row>
    <row r="2745" customFormat="false" ht="15" hidden="false" customHeight="false" outlineLevel="0" collapsed="false">
      <c r="E2745" s="41" t="str">
        <f aca="false">IF(D2745="","",IFERROR(VLOOKUP(D2745,Assumptions!$G$5:$H$16,2,0),"Other"))</f>
        <v/>
      </c>
      <c r="J2745" s="41" t="str">
        <f aca="false">IF(G2745="","",IFERROR(IF(ISNUMBER(SEARCH(Assumptions!$C$5,G2745)),Assumptions!$D$5,IF(ISNUMBER(SEARCH(Assumptions!$C$6,G2745)),Assumptions!$D$6,IF(ISNUMBER(SEARCH(Assumptions!$C$7,G2745)),Assumptions!$D$7,"Other Services"))),"Other Services"))</f>
        <v/>
      </c>
    </row>
    <row r="2746" customFormat="false" ht="15" hidden="false" customHeight="false" outlineLevel="0" collapsed="false">
      <c r="E2746" s="41" t="str">
        <f aca="false">IF(D2746="","",IFERROR(VLOOKUP(D2746,Assumptions!$G$5:$H$16,2,0),"Other"))</f>
        <v/>
      </c>
      <c r="J2746" s="41" t="str">
        <f aca="false">IF(G2746="","",IFERROR(IF(ISNUMBER(SEARCH(Assumptions!$C$5,G2746)),Assumptions!$D$5,IF(ISNUMBER(SEARCH(Assumptions!$C$6,G2746)),Assumptions!$D$6,IF(ISNUMBER(SEARCH(Assumptions!$C$7,G2746)),Assumptions!$D$7,"Other Services"))),"Other Services"))</f>
        <v/>
      </c>
    </row>
    <row r="2747" customFormat="false" ht="15" hidden="false" customHeight="false" outlineLevel="0" collapsed="false">
      <c r="E2747" s="41" t="str">
        <f aca="false">IF(D2747="","",IFERROR(VLOOKUP(D2747,Assumptions!$G$5:$H$16,2,0),"Other"))</f>
        <v/>
      </c>
      <c r="J2747" s="41" t="str">
        <f aca="false">IF(G2747="","",IFERROR(IF(ISNUMBER(SEARCH(Assumptions!$C$5,G2747)),Assumptions!$D$5,IF(ISNUMBER(SEARCH(Assumptions!$C$6,G2747)),Assumptions!$D$6,IF(ISNUMBER(SEARCH(Assumptions!$C$7,G2747)),Assumptions!$D$7,"Other Services"))),"Other Services"))</f>
        <v/>
      </c>
    </row>
    <row r="2748" customFormat="false" ht="15" hidden="false" customHeight="false" outlineLevel="0" collapsed="false">
      <c r="E2748" s="41" t="str">
        <f aca="false">IF(D2748="","",IFERROR(VLOOKUP(D2748,Assumptions!$G$5:$H$16,2,0),"Other"))</f>
        <v/>
      </c>
      <c r="J2748" s="41" t="str">
        <f aca="false">IF(G2748="","",IFERROR(IF(ISNUMBER(SEARCH(Assumptions!$C$5,G2748)),Assumptions!$D$5,IF(ISNUMBER(SEARCH(Assumptions!$C$6,G2748)),Assumptions!$D$6,IF(ISNUMBER(SEARCH(Assumptions!$C$7,G2748)),Assumptions!$D$7,"Other Services"))),"Other Services"))</f>
        <v/>
      </c>
    </row>
    <row r="2749" customFormat="false" ht="15" hidden="false" customHeight="false" outlineLevel="0" collapsed="false">
      <c r="E2749" s="41" t="str">
        <f aca="false">IF(D2749="","",IFERROR(VLOOKUP(D2749,Assumptions!$G$5:$H$16,2,0),"Other"))</f>
        <v/>
      </c>
      <c r="J2749" s="41" t="str">
        <f aca="false">IF(G2749="","",IFERROR(IF(ISNUMBER(SEARCH(Assumptions!$C$5,G2749)),Assumptions!$D$5,IF(ISNUMBER(SEARCH(Assumptions!$C$6,G2749)),Assumptions!$D$6,IF(ISNUMBER(SEARCH(Assumptions!$C$7,G2749)),Assumptions!$D$7,"Other Services"))),"Other Services"))</f>
        <v/>
      </c>
    </row>
    <row r="2750" customFormat="false" ht="15" hidden="false" customHeight="false" outlineLevel="0" collapsed="false">
      <c r="E2750" s="41" t="str">
        <f aca="false">IF(D2750="","",IFERROR(VLOOKUP(D2750,Assumptions!$G$5:$H$16,2,0),"Other"))</f>
        <v/>
      </c>
      <c r="J2750" s="41" t="str">
        <f aca="false">IF(G2750="","",IFERROR(IF(ISNUMBER(SEARCH(Assumptions!$C$5,G2750)),Assumptions!$D$5,IF(ISNUMBER(SEARCH(Assumptions!$C$6,G2750)),Assumptions!$D$6,IF(ISNUMBER(SEARCH(Assumptions!$C$7,G2750)),Assumptions!$D$7,"Other Services"))),"Other Services"))</f>
        <v/>
      </c>
    </row>
    <row r="2751" customFormat="false" ht="15" hidden="false" customHeight="false" outlineLevel="0" collapsed="false">
      <c r="E2751" s="41" t="str">
        <f aca="false">IF(D2751="","",IFERROR(VLOOKUP(D2751,Assumptions!$G$5:$H$16,2,0),"Other"))</f>
        <v/>
      </c>
      <c r="J2751" s="41" t="str">
        <f aca="false">IF(G2751="","",IFERROR(IF(ISNUMBER(SEARCH(Assumptions!$C$5,G2751)),Assumptions!$D$5,IF(ISNUMBER(SEARCH(Assumptions!$C$6,G2751)),Assumptions!$D$6,IF(ISNUMBER(SEARCH(Assumptions!$C$7,G2751)),Assumptions!$D$7,"Other Services"))),"Other Services"))</f>
        <v/>
      </c>
    </row>
    <row r="2752" customFormat="false" ht="15" hidden="false" customHeight="false" outlineLevel="0" collapsed="false">
      <c r="E2752" s="41" t="str">
        <f aca="false">IF(D2752="","",IFERROR(VLOOKUP(D2752,Assumptions!$G$5:$H$16,2,0),"Other"))</f>
        <v/>
      </c>
      <c r="J2752" s="41" t="str">
        <f aca="false">IF(G2752="","",IFERROR(IF(ISNUMBER(SEARCH(Assumptions!$C$5,G2752)),Assumptions!$D$5,IF(ISNUMBER(SEARCH(Assumptions!$C$6,G2752)),Assumptions!$D$6,IF(ISNUMBER(SEARCH(Assumptions!$C$7,G2752)),Assumptions!$D$7,"Other Services"))),"Other Services"))</f>
        <v/>
      </c>
    </row>
    <row r="2753" customFormat="false" ht="15" hidden="false" customHeight="false" outlineLevel="0" collapsed="false">
      <c r="E2753" s="41" t="str">
        <f aca="false">IF(D2753="","",IFERROR(VLOOKUP(D2753,Assumptions!$G$5:$H$16,2,0),"Other"))</f>
        <v/>
      </c>
      <c r="J2753" s="41" t="str">
        <f aca="false">IF(G2753="","",IFERROR(IF(ISNUMBER(SEARCH(Assumptions!$C$5,G2753)),Assumptions!$D$5,IF(ISNUMBER(SEARCH(Assumptions!$C$6,G2753)),Assumptions!$D$6,IF(ISNUMBER(SEARCH(Assumptions!$C$7,G2753)),Assumptions!$D$7,"Other Services"))),"Other Services"))</f>
        <v/>
      </c>
    </row>
    <row r="2754" customFormat="false" ht="15" hidden="false" customHeight="false" outlineLevel="0" collapsed="false">
      <c r="E2754" s="41" t="str">
        <f aca="false">IF(D2754="","",IFERROR(VLOOKUP(D2754,Assumptions!$G$5:$H$16,2,0),"Other"))</f>
        <v/>
      </c>
      <c r="J2754" s="41" t="str">
        <f aca="false">IF(G2754="","",IFERROR(IF(ISNUMBER(SEARCH(Assumptions!$C$5,G2754)),Assumptions!$D$5,IF(ISNUMBER(SEARCH(Assumptions!$C$6,G2754)),Assumptions!$D$6,IF(ISNUMBER(SEARCH(Assumptions!$C$7,G2754)),Assumptions!$D$7,"Other Services"))),"Other Services"))</f>
        <v/>
      </c>
    </row>
    <row r="2755" customFormat="false" ht="15" hidden="false" customHeight="false" outlineLevel="0" collapsed="false">
      <c r="E2755" s="41" t="str">
        <f aca="false">IF(D2755="","",IFERROR(VLOOKUP(D2755,Assumptions!$G$5:$H$16,2,0),"Other"))</f>
        <v/>
      </c>
      <c r="J2755" s="41" t="str">
        <f aca="false">IF(G2755="","",IFERROR(IF(ISNUMBER(SEARCH(Assumptions!$C$5,G2755)),Assumptions!$D$5,IF(ISNUMBER(SEARCH(Assumptions!$C$6,G2755)),Assumptions!$D$6,IF(ISNUMBER(SEARCH(Assumptions!$C$7,G2755)),Assumptions!$D$7,"Other Services"))),"Other Services"))</f>
        <v/>
      </c>
    </row>
    <row r="2756" customFormat="false" ht="15" hidden="false" customHeight="false" outlineLevel="0" collapsed="false">
      <c r="E2756" s="41" t="str">
        <f aca="false">IF(D2756="","",IFERROR(VLOOKUP(D2756,Assumptions!$G$5:$H$16,2,0),"Other"))</f>
        <v/>
      </c>
      <c r="J2756" s="41" t="str">
        <f aca="false">IF(G2756="","",IFERROR(IF(ISNUMBER(SEARCH(Assumptions!$C$5,G2756)),Assumptions!$D$5,IF(ISNUMBER(SEARCH(Assumptions!$C$6,G2756)),Assumptions!$D$6,IF(ISNUMBER(SEARCH(Assumptions!$C$7,G2756)),Assumptions!$D$7,"Other Services"))),"Other Services"))</f>
        <v/>
      </c>
    </row>
    <row r="2757" customFormat="false" ht="15" hidden="false" customHeight="false" outlineLevel="0" collapsed="false">
      <c r="E2757" s="41" t="str">
        <f aca="false">IF(D2757="","",IFERROR(VLOOKUP(D2757,Assumptions!$G$5:$H$16,2,0),"Other"))</f>
        <v/>
      </c>
      <c r="J2757" s="41" t="str">
        <f aca="false">IF(G2757="","",IFERROR(IF(ISNUMBER(SEARCH(Assumptions!$C$5,G2757)),Assumptions!$D$5,IF(ISNUMBER(SEARCH(Assumptions!$C$6,G2757)),Assumptions!$D$6,IF(ISNUMBER(SEARCH(Assumptions!$C$7,G2757)),Assumptions!$D$7,"Other Services"))),"Other Services"))</f>
        <v/>
      </c>
    </row>
    <row r="2758" customFormat="false" ht="15" hidden="false" customHeight="false" outlineLevel="0" collapsed="false">
      <c r="E2758" s="41" t="str">
        <f aca="false">IF(D2758="","",IFERROR(VLOOKUP(D2758,Assumptions!$G$5:$H$16,2,0),"Other"))</f>
        <v/>
      </c>
      <c r="J2758" s="41" t="str">
        <f aca="false">IF(G2758="","",IFERROR(IF(ISNUMBER(SEARCH(Assumptions!$C$5,G2758)),Assumptions!$D$5,IF(ISNUMBER(SEARCH(Assumptions!$C$6,G2758)),Assumptions!$D$6,IF(ISNUMBER(SEARCH(Assumptions!$C$7,G2758)),Assumptions!$D$7,"Other Services"))),"Other Services"))</f>
        <v/>
      </c>
    </row>
    <row r="2759" customFormat="false" ht="15" hidden="false" customHeight="false" outlineLevel="0" collapsed="false">
      <c r="E2759" s="41" t="str">
        <f aca="false">IF(D2759="","",IFERROR(VLOOKUP(D2759,Assumptions!$G$5:$H$16,2,0),"Other"))</f>
        <v/>
      </c>
      <c r="J2759" s="41" t="str">
        <f aca="false">IF(G2759="","",IFERROR(IF(ISNUMBER(SEARCH(Assumptions!$C$5,G2759)),Assumptions!$D$5,IF(ISNUMBER(SEARCH(Assumptions!$C$6,G2759)),Assumptions!$D$6,IF(ISNUMBER(SEARCH(Assumptions!$C$7,G2759)),Assumptions!$D$7,"Other Services"))),"Other Services"))</f>
        <v/>
      </c>
    </row>
    <row r="2760" customFormat="false" ht="15" hidden="false" customHeight="false" outlineLevel="0" collapsed="false">
      <c r="E2760" s="41" t="str">
        <f aca="false">IF(D2760="","",IFERROR(VLOOKUP(D2760,Assumptions!$G$5:$H$16,2,0),"Other"))</f>
        <v/>
      </c>
      <c r="J2760" s="41" t="str">
        <f aca="false">IF(G2760="","",IFERROR(IF(ISNUMBER(SEARCH(Assumptions!$C$5,G2760)),Assumptions!$D$5,IF(ISNUMBER(SEARCH(Assumptions!$C$6,G2760)),Assumptions!$D$6,IF(ISNUMBER(SEARCH(Assumptions!$C$7,G2760)),Assumptions!$D$7,"Other Services"))),"Other Services"))</f>
        <v/>
      </c>
    </row>
    <row r="2761" customFormat="false" ht="15" hidden="false" customHeight="false" outlineLevel="0" collapsed="false">
      <c r="E2761" s="41" t="str">
        <f aca="false">IF(D2761="","",IFERROR(VLOOKUP(D2761,Assumptions!$G$5:$H$16,2,0),"Other"))</f>
        <v/>
      </c>
      <c r="J2761" s="41" t="str">
        <f aca="false">IF(G2761="","",IFERROR(IF(ISNUMBER(SEARCH(Assumptions!$C$5,G2761)),Assumptions!$D$5,IF(ISNUMBER(SEARCH(Assumptions!$C$6,G2761)),Assumptions!$D$6,IF(ISNUMBER(SEARCH(Assumptions!$C$7,G2761)),Assumptions!$D$7,"Other Services"))),"Other Services"))</f>
        <v/>
      </c>
    </row>
    <row r="2762" customFormat="false" ht="15" hidden="false" customHeight="false" outlineLevel="0" collapsed="false">
      <c r="E2762" s="41" t="str">
        <f aca="false">IF(D2762="","",IFERROR(VLOOKUP(D2762,Assumptions!$G$5:$H$16,2,0),"Other"))</f>
        <v/>
      </c>
      <c r="J2762" s="41" t="str">
        <f aca="false">IF(G2762="","",IFERROR(IF(ISNUMBER(SEARCH(Assumptions!$C$5,G2762)),Assumptions!$D$5,IF(ISNUMBER(SEARCH(Assumptions!$C$6,G2762)),Assumptions!$D$6,IF(ISNUMBER(SEARCH(Assumptions!$C$7,G2762)),Assumptions!$D$7,"Other Services"))),"Other Services"))</f>
        <v/>
      </c>
    </row>
    <row r="2763" customFormat="false" ht="15" hidden="false" customHeight="false" outlineLevel="0" collapsed="false">
      <c r="E2763" s="41" t="str">
        <f aca="false">IF(D2763="","",IFERROR(VLOOKUP(D2763,Assumptions!$G$5:$H$16,2,0),"Other"))</f>
        <v/>
      </c>
      <c r="J2763" s="41" t="str">
        <f aca="false">IF(G2763="","",IFERROR(IF(ISNUMBER(SEARCH(Assumptions!$C$5,G2763)),Assumptions!$D$5,IF(ISNUMBER(SEARCH(Assumptions!$C$6,G2763)),Assumptions!$D$6,IF(ISNUMBER(SEARCH(Assumptions!$C$7,G2763)),Assumptions!$D$7,"Other Services"))),"Other Services"))</f>
        <v/>
      </c>
    </row>
    <row r="2764" customFormat="false" ht="15" hidden="false" customHeight="false" outlineLevel="0" collapsed="false">
      <c r="E2764" s="41" t="str">
        <f aca="false">IF(D2764="","",IFERROR(VLOOKUP(D2764,Assumptions!$G$5:$H$16,2,0),"Other"))</f>
        <v/>
      </c>
      <c r="J2764" s="41" t="str">
        <f aca="false">IF(G2764="","",IFERROR(IF(ISNUMBER(SEARCH(Assumptions!$C$5,G2764)),Assumptions!$D$5,IF(ISNUMBER(SEARCH(Assumptions!$C$6,G2764)),Assumptions!$D$6,IF(ISNUMBER(SEARCH(Assumptions!$C$7,G2764)),Assumptions!$D$7,"Other Services"))),"Other Services"))</f>
        <v/>
      </c>
    </row>
    <row r="2765" customFormat="false" ht="15" hidden="false" customHeight="false" outlineLevel="0" collapsed="false">
      <c r="E2765" s="41" t="str">
        <f aca="false">IF(D2765="","",IFERROR(VLOOKUP(D2765,Assumptions!$G$5:$H$16,2,0),"Other"))</f>
        <v/>
      </c>
      <c r="J2765" s="41" t="str">
        <f aca="false">IF(G2765="","",IFERROR(IF(ISNUMBER(SEARCH(Assumptions!$C$5,G2765)),Assumptions!$D$5,IF(ISNUMBER(SEARCH(Assumptions!$C$6,G2765)),Assumptions!$D$6,IF(ISNUMBER(SEARCH(Assumptions!$C$7,G2765)),Assumptions!$D$7,"Other Services"))),"Other Services"))</f>
        <v/>
      </c>
    </row>
    <row r="2766" customFormat="false" ht="15" hidden="false" customHeight="false" outlineLevel="0" collapsed="false">
      <c r="E2766" s="41" t="str">
        <f aca="false">IF(D2766="","",IFERROR(VLOOKUP(D2766,Assumptions!$G$5:$H$16,2,0),"Other"))</f>
        <v/>
      </c>
      <c r="J2766" s="41" t="str">
        <f aca="false">IF(G2766="","",IFERROR(IF(ISNUMBER(SEARCH(Assumptions!$C$5,G2766)),Assumptions!$D$5,IF(ISNUMBER(SEARCH(Assumptions!$C$6,G2766)),Assumptions!$D$6,IF(ISNUMBER(SEARCH(Assumptions!$C$7,G2766)),Assumptions!$D$7,"Other Services"))),"Other Services"))</f>
        <v/>
      </c>
    </row>
    <row r="2767" customFormat="false" ht="15" hidden="false" customHeight="false" outlineLevel="0" collapsed="false">
      <c r="E2767" s="41" t="str">
        <f aca="false">IF(D2767="","",IFERROR(VLOOKUP(D2767,Assumptions!$G$5:$H$16,2,0),"Other"))</f>
        <v/>
      </c>
      <c r="J2767" s="41" t="str">
        <f aca="false">IF(G2767="","",IFERROR(IF(ISNUMBER(SEARCH(Assumptions!$C$5,G2767)),Assumptions!$D$5,IF(ISNUMBER(SEARCH(Assumptions!$C$6,G2767)),Assumptions!$D$6,IF(ISNUMBER(SEARCH(Assumptions!$C$7,G2767)),Assumptions!$D$7,"Other Services"))),"Other Services"))</f>
        <v/>
      </c>
    </row>
    <row r="2768" customFormat="false" ht="15" hidden="false" customHeight="false" outlineLevel="0" collapsed="false">
      <c r="E2768" s="41" t="str">
        <f aca="false">IF(D2768="","",IFERROR(VLOOKUP(D2768,Assumptions!$G$5:$H$16,2,0),"Other"))</f>
        <v/>
      </c>
      <c r="J2768" s="41" t="str">
        <f aca="false">IF(G2768="","",IFERROR(IF(ISNUMBER(SEARCH(Assumptions!$C$5,G2768)),Assumptions!$D$5,IF(ISNUMBER(SEARCH(Assumptions!$C$6,G2768)),Assumptions!$D$6,IF(ISNUMBER(SEARCH(Assumptions!$C$7,G2768)),Assumptions!$D$7,"Other Services"))),"Other Services"))</f>
        <v/>
      </c>
    </row>
    <row r="2769" customFormat="false" ht="15" hidden="false" customHeight="false" outlineLevel="0" collapsed="false">
      <c r="E2769" s="41" t="str">
        <f aca="false">IF(D2769="","",IFERROR(VLOOKUP(D2769,Assumptions!$G$5:$H$16,2,0),"Other"))</f>
        <v/>
      </c>
      <c r="J2769" s="41" t="str">
        <f aca="false">IF(G2769="","",IFERROR(IF(ISNUMBER(SEARCH(Assumptions!$C$5,G2769)),Assumptions!$D$5,IF(ISNUMBER(SEARCH(Assumptions!$C$6,G2769)),Assumptions!$D$6,IF(ISNUMBER(SEARCH(Assumptions!$C$7,G2769)),Assumptions!$D$7,"Other Services"))),"Other Services"))</f>
        <v/>
      </c>
    </row>
    <row r="2770" customFormat="false" ht="15" hidden="false" customHeight="false" outlineLevel="0" collapsed="false">
      <c r="E2770" s="41" t="str">
        <f aca="false">IF(D2770="","",IFERROR(VLOOKUP(D2770,Assumptions!$G$5:$H$16,2,0),"Other"))</f>
        <v/>
      </c>
      <c r="J2770" s="41" t="str">
        <f aca="false">IF(G2770="","",IFERROR(IF(ISNUMBER(SEARCH(Assumptions!$C$5,G2770)),Assumptions!$D$5,IF(ISNUMBER(SEARCH(Assumptions!$C$6,G2770)),Assumptions!$D$6,IF(ISNUMBER(SEARCH(Assumptions!$C$7,G2770)),Assumptions!$D$7,"Other Services"))),"Other Services"))</f>
        <v/>
      </c>
    </row>
    <row r="2771" customFormat="false" ht="15" hidden="false" customHeight="false" outlineLevel="0" collapsed="false">
      <c r="E2771" s="41" t="str">
        <f aca="false">IF(D2771="","",IFERROR(VLOOKUP(D2771,Assumptions!$G$5:$H$16,2,0),"Other"))</f>
        <v/>
      </c>
      <c r="J2771" s="41" t="str">
        <f aca="false">IF(G2771="","",IFERROR(IF(ISNUMBER(SEARCH(Assumptions!$C$5,G2771)),Assumptions!$D$5,IF(ISNUMBER(SEARCH(Assumptions!$C$6,G2771)),Assumptions!$D$6,IF(ISNUMBER(SEARCH(Assumptions!$C$7,G2771)),Assumptions!$D$7,"Other Services"))),"Other Services"))</f>
        <v/>
      </c>
    </row>
    <row r="2772" customFormat="false" ht="15" hidden="false" customHeight="false" outlineLevel="0" collapsed="false">
      <c r="E2772" s="41" t="str">
        <f aca="false">IF(D2772="","",IFERROR(VLOOKUP(D2772,Assumptions!$G$5:$H$16,2,0),"Other"))</f>
        <v/>
      </c>
      <c r="J2772" s="41" t="str">
        <f aca="false">IF(G2772="","",IFERROR(IF(ISNUMBER(SEARCH(Assumptions!$C$5,G2772)),Assumptions!$D$5,IF(ISNUMBER(SEARCH(Assumptions!$C$6,G2772)),Assumptions!$D$6,IF(ISNUMBER(SEARCH(Assumptions!$C$7,G2772)),Assumptions!$D$7,"Other Services"))),"Other Services"))</f>
        <v/>
      </c>
    </row>
    <row r="2773" customFormat="false" ht="15" hidden="false" customHeight="false" outlineLevel="0" collapsed="false">
      <c r="E2773" s="41" t="str">
        <f aca="false">IF(D2773="","",IFERROR(VLOOKUP(D2773,Assumptions!$G$5:$H$16,2,0),"Other"))</f>
        <v/>
      </c>
      <c r="J2773" s="41" t="str">
        <f aca="false">IF(G2773="","",IFERROR(IF(ISNUMBER(SEARCH(Assumptions!$C$5,G2773)),Assumptions!$D$5,IF(ISNUMBER(SEARCH(Assumptions!$C$6,G2773)),Assumptions!$D$6,IF(ISNUMBER(SEARCH(Assumptions!$C$7,G2773)),Assumptions!$D$7,"Other Services"))),"Other Services"))</f>
        <v/>
      </c>
    </row>
    <row r="2774" customFormat="false" ht="15" hidden="false" customHeight="false" outlineLevel="0" collapsed="false">
      <c r="E2774" s="41" t="str">
        <f aca="false">IF(D2774="","",IFERROR(VLOOKUP(D2774,Assumptions!$G$5:$H$16,2,0),"Other"))</f>
        <v/>
      </c>
      <c r="J2774" s="41" t="str">
        <f aca="false">IF(G2774="","",IFERROR(IF(ISNUMBER(SEARCH(Assumptions!$C$5,G2774)),Assumptions!$D$5,IF(ISNUMBER(SEARCH(Assumptions!$C$6,G2774)),Assumptions!$D$6,IF(ISNUMBER(SEARCH(Assumptions!$C$7,G2774)),Assumptions!$D$7,"Other Services"))),"Other Services"))</f>
        <v/>
      </c>
    </row>
    <row r="2775" customFormat="false" ht="15" hidden="false" customHeight="false" outlineLevel="0" collapsed="false">
      <c r="E2775" s="41" t="str">
        <f aca="false">IF(D2775="","",IFERROR(VLOOKUP(D2775,Assumptions!$G$5:$H$16,2,0),"Other"))</f>
        <v/>
      </c>
      <c r="J2775" s="41" t="str">
        <f aca="false">IF(G2775="","",IFERROR(IF(ISNUMBER(SEARCH(Assumptions!$C$5,G2775)),Assumptions!$D$5,IF(ISNUMBER(SEARCH(Assumptions!$C$6,G2775)),Assumptions!$D$6,IF(ISNUMBER(SEARCH(Assumptions!$C$7,G2775)),Assumptions!$D$7,"Other Services"))),"Other Services"))</f>
        <v/>
      </c>
    </row>
    <row r="2776" customFormat="false" ht="15" hidden="false" customHeight="false" outlineLevel="0" collapsed="false">
      <c r="E2776" s="41" t="str">
        <f aca="false">IF(D2776="","",IFERROR(VLOOKUP(D2776,Assumptions!$G$5:$H$16,2,0),"Other"))</f>
        <v/>
      </c>
      <c r="J2776" s="41" t="str">
        <f aca="false">IF(G2776="","",IFERROR(IF(ISNUMBER(SEARCH(Assumptions!$C$5,G2776)),Assumptions!$D$5,IF(ISNUMBER(SEARCH(Assumptions!$C$6,G2776)),Assumptions!$D$6,IF(ISNUMBER(SEARCH(Assumptions!$C$7,G2776)),Assumptions!$D$7,"Other Services"))),"Other Services"))</f>
        <v/>
      </c>
    </row>
    <row r="2777" customFormat="false" ht="15" hidden="false" customHeight="false" outlineLevel="0" collapsed="false">
      <c r="E2777" s="41" t="str">
        <f aca="false">IF(D2777="","",IFERROR(VLOOKUP(D2777,Assumptions!$G$5:$H$16,2,0),"Other"))</f>
        <v/>
      </c>
      <c r="J2777" s="41" t="str">
        <f aca="false">IF(G2777="","",IFERROR(IF(ISNUMBER(SEARCH(Assumptions!$C$5,G2777)),Assumptions!$D$5,IF(ISNUMBER(SEARCH(Assumptions!$C$6,G2777)),Assumptions!$D$6,IF(ISNUMBER(SEARCH(Assumptions!$C$7,G2777)),Assumptions!$D$7,"Other Services"))),"Other Services"))</f>
        <v/>
      </c>
    </row>
    <row r="2778" customFormat="false" ht="15" hidden="false" customHeight="false" outlineLevel="0" collapsed="false">
      <c r="E2778" s="41" t="str">
        <f aca="false">IF(D2778="","",IFERROR(VLOOKUP(D2778,Assumptions!$G$5:$H$16,2,0),"Other"))</f>
        <v/>
      </c>
      <c r="J2778" s="41" t="str">
        <f aca="false">IF(G2778="","",IFERROR(IF(ISNUMBER(SEARCH(Assumptions!$C$5,G2778)),Assumptions!$D$5,IF(ISNUMBER(SEARCH(Assumptions!$C$6,G2778)),Assumptions!$D$6,IF(ISNUMBER(SEARCH(Assumptions!$C$7,G2778)),Assumptions!$D$7,"Other Services"))),"Other Services"))</f>
        <v/>
      </c>
    </row>
    <row r="2779" customFormat="false" ht="15" hidden="false" customHeight="false" outlineLevel="0" collapsed="false">
      <c r="E2779" s="41" t="str">
        <f aca="false">IF(D2779="","",IFERROR(VLOOKUP(D2779,Assumptions!$G$5:$H$16,2,0),"Other"))</f>
        <v/>
      </c>
      <c r="J2779" s="41" t="str">
        <f aca="false">IF(G2779="","",IFERROR(IF(ISNUMBER(SEARCH(Assumptions!$C$5,G2779)),Assumptions!$D$5,IF(ISNUMBER(SEARCH(Assumptions!$C$6,G2779)),Assumptions!$D$6,IF(ISNUMBER(SEARCH(Assumptions!$C$7,G2779)),Assumptions!$D$7,"Other Services"))),"Other Services"))</f>
        <v/>
      </c>
    </row>
    <row r="2780" customFormat="false" ht="15" hidden="false" customHeight="false" outlineLevel="0" collapsed="false">
      <c r="E2780" s="41" t="str">
        <f aca="false">IF(D2780="","",IFERROR(VLOOKUP(D2780,Assumptions!$G$5:$H$16,2,0),"Other"))</f>
        <v/>
      </c>
      <c r="J2780" s="41" t="str">
        <f aca="false">IF(G2780="","",IFERROR(IF(ISNUMBER(SEARCH(Assumptions!$C$5,G2780)),Assumptions!$D$5,IF(ISNUMBER(SEARCH(Assumptions!$C$6,G2780)),Assumptions!$D$6,IF(ISNUMBER(SEARCH(Assumptions!$C$7,G2780)),Assumptions!$D$7,"Other Services"))),"Other Services"))</f>
        <v/>
      </c>
    </row>
    <row r="2781" customFormat="false" ht="15" hidden="false" customHeight="false" outlineLevel="0" collapsed="false">
      <c r="E2781" s="41" t="str">
        <f aca="false">IF(D2781="","",IFERROR(VLOOKUP(D2781,Assumptions!$G$5:$H$16,2,0),"Other"))</f>
        <v/>
      </c>
      <c r="J2781" s="41" t="str">
        <f aca="false">IF(G2781="","",IFERROR(IF(ISNUMBER(SEARCH(Assumptions!$C$5,G2781)),Assumptions!$D$5,IF(ISNUMBER(SEARCH(Assumptions!$C$6,G2781)),Assumptions!$D$6,IF(ISNUMBER(SEARCH(Assumptions!$C$7,G2781)),Assumptions!$D$7,"Other Services"))),"Other Services"))</f>
        <v/>
      </c>
    </row>
    <row r="2782" customFormat="false" ht="15" hidden="false" customHeight="false" outlineLevel="0" collapsed="false">
      <c r="E2782" s="41" t="str">
        <f aca="false">IF(D2782="","",IFERROR(VLOOKUP(D2782,Assumptions!$G$5:$H$16,2,0),"Other"))</f>
        <v/>
      </c>
      <c r="J2782" s="41" t="str">
        <f aca="false">IF(G2782="","",IFERROR(IF(ISNUMBER(SEARCH(Assumptions!$C$5,G2782)),Assumptions!$D$5,IF(ISNUMBER(SEARCH(Assumptions!$C$6,G2782)),Assumptions!$D$6,IF(ISNUMBER(SEARCH(Assumptions!$C$7,G2782)),Assumptions!$D$7,"Other Services"))),"Other Services"))</f>
        <v/>
      </c>
    </row>
    <row r="2783" customFormat="false" ht="15" hidden="false" customHeight="false" outlineLevel="0" collapsed="false">
      <c r="E2783" s="41" t="str">
        <f aca="false">IF(D2783="","",IFERROR(VLOOKUP(D2783,Assumptions!$G$5:$H$16,2,0),"Other"))</f>
        <v/>
      </c>
      <c r="J2783" s="41" t="str">
        <f aca="false">IF(G2783="","",IFERROR(IF(ISNUMBER(SEARCH(Assumptions!$C$5,G2783)),Assumptions!$D$5,IF(ISNUMBER(SEARCH(Assumptions!$C$6,G2783)),Assumptions!$D$6,IF(ISNUMBER(SEARCH(Assumptions!$C$7,G2783)),Assumptions!$D$7,"Other Services"))),"Other Services"))</f>
        <v/>
      </c>
    </row>
    <row r="2784" customFormat="false" ht="15" hidden="false" customHeight="false" outlineLevel="0" collapsed="false">
      <c r="E2784" s="41" t="str">
        <f aca="false">IF(D2784="","",IFERROR(VLOOKUP(D2784,Assumptions!$G$5:$H$16,2,0),"Other"))</f>
        <v/>
      </c>
      <c r="J2784" s="41" t="str">
        <f aca="false">IF(G2784="","",IFERROR(IF(ISNUMBER(SEARCH(Assumptions!$C$5,G2784)),Assumptions!$D$5,IF(ISNUMBER(SEARCH(Assumptions!$C$6,G2784)),Assumptions!$D$6,IF(ISNUMBER(SEARCH(Assumptions!$C$7,G2784)),Assumptions!$D$7,"Other Services"))),"Other Services"))</f>
        <v/>
      </c>
    </row>
    <row r="2785" customFormat="false" ht="15" hidden="false" customHeight="false" outlineLevel="0" collapsed="false">
      <c r="E2785" s="41" t="str">
        <f aca="false">IF(D2785="","",IFERROR(VLOOKUP(D2785,Assumptions!$G$5:$H$16,2,0),"Other"))</f>
        <v/>
      </c>
      <c r="J2785" s="41" t="str">
        <f aca="false">IF(G2785="","",IFERROR(IF(ISNUMBER(SEARCH(Assumptions!$C$5,G2785)),Assumptions!$D$5,IF(ISNUMBER(SEARCH(Assumptions!$C$6,G2785)),Assumptions!$D$6,IF(ISNUMBER(SEARCH(Assumptions!$C$7,G2785)),Assumptions!$D$7,"Other Services"))),"Other Services"))</f>
        <v/>
      </c>
    </row>
    <row r="2786" customFormat="false" ht="15" hidden="false" customHeight="false" outlineLevel="0" collapsed="false">
      <c r="E2786" s="41" t="str">
        <f aca="false">IF(D2786="","",IFERROR(VLOOKUP(D2786,Assumptions!$G$5:$H$16,2,0),"Other"))</f>
        <v/>
      </c>
      <c r="J2786" s="41" t="str">
        <f aca="false">IF(G2786="","",IFERROR(IF(ISNUMBER(SEARCH(Assumptions!$C$5,G2786)),Assumptions!$D$5,IF(ISNUMBER(SEARCH(Assumptions!$C$6,G2786)),Assumptions!$D$6,IF(ISNUMBER(SEARCH(Assumptions!$C$7,G2786)),Assumptions!$D$7,"Other Services"))),"Other Services"))</f>
        <v/>
      </c>
    </row>
    <row r="2787" customFormat="false" ht="15" hidden="false" customHeight="false" outlineLevel="0" collapsed="false">
      <c r="E2787" s="41" t="str">
        <f aca="false">IF(D2787="","",IFERROR(VLOOKUP(D2787,Assumptions!$G$5:$H$16,2,0),"Other"))</f>
        <v/>
      </c>
      <c r="J2787" s="41" t="str">
        <f aca="false">IF(G2787="","",IFERROR(IF(ISNUMBER(SEARCH(Assumptions!$C$5,G2787)),Assumptions!$D$5,IF(ISNUMBER(SEARCH(Assumptions!$C$6,G2787)),Assumptions!$D$6,IF(ISNUMBER(SEARCH(Assumptions!$C$7,G2787)),Assumptions!$D$7,"Other Services"))),"Other Services"))</f>
        <v/>
      </c>
    </row>
    <row r="2788" customFormat="false" ht="15" hidden="false" customHeight="false" outlineLevel="0" collapsed="false">
      <c r="E2788" s="41" t="str">
        <f aca="false">IF(D2788="","",IFERROR(VLOOKUP(D2788,Assumptions!$G$5:$H$16,2,0),"Other"))</f>
        <v/>
      </c>
      <c r="J2788" s="41" t="str">
        <f aca="false">IF(G2788="","",IFERROR(IF(ISNUMBER(SEARCH(Assumptions!$C$5,G2788)),Assumptions!$D$5,IF(ISNUMBER(SEARCH(Assumptions!$C$6,G2788)),Assumptions!$D$6,IF(ISNUMBER(SEARCH(Assumptions!$C$7,G2788)),Assumptions!$D$7,"Other Services"))),"Other Services"))</f>
        <v/>
      </c>
    </row>
    <row r="2789" customFormat="false" ht="15" hidden="false" customHeight="false" outlineLevel="0" collapsed="false">
      <c r="E2789" s="41" t="str">
        <f aca="false">IF(D2789="","",IFERROR(VLOOKUP(D2789,Assumptions!$G$5:$H$16,2,0),"Other"))</f>
        <v/>
      </c>
      <c r="J2789" s="41" t="str">
        <f aca="false">IF(G2789="","",IFERROR(IF(ISNUMBER(SEARCH(Assumptions!$C$5,G2789)),Assumptions!$D$5,IF(ISNUMBER(SEARCH(Assumptions!$C$6,G2789)),Assumptions!$D$6,IF(ISNUMBER(SEARCH(Assumptions!$C$7,G2789)),Assumptions!$D$7,"Other Services"))),"Other Services"))</f>
        <v/>
      </c>
    </row>
    <row r="2790" customFormat="false" ht="15" hidden="false" customHeight="false" outlineLevel="0" collapsed="false">
      <c r="E2790" s="41" t="str">
        <f aca="false">IF(D2790="","",IFERROR(VLOOKUP(D2790,Assumptions!$G$5:$H$16,2,0),"Other"))</f>
        <v/>
      </c>
      <c r="J2790" s="41" t="str">
        <f aca="false">IF(G2790="","",IFERROR(IF(ISNUMBER(SEARCH(Assumptions!$C$5,G2790)),Assumptions!$D$5,IF(ISNUMBER(SEARCH(Assumptions!$C$6,G2790)),Assumptions!$D$6,IF(ISNUMBER(SEARCH(Assumptions!$C$7,G2790)),Assumptions!$D$7,"Other Services"))),"Other Services"))</f>
        <v/>
      </c>
    </row>
    <row r="2791" customFormat="false" ht="15" hidden="false" customHeight="false" outlineLevel="0" collapsed="false">
      <c r="E2791" s="41" t="str">
        <f aca="false">IF(D2791="","",IFERROR(VLOOKUP(D2791,Assumptions!$G$5:$H$16,2,0),"Other"))</f>
        <v/>
      </c>
      <c r="J2791" s="41" t="str">
        <f aca="false">IF(G2791="","",IFERROR(IF(ISNUMBER(SEARCH(Assumptions!$C$5,G2791)),Assumptions!$D$5,IF(ISNUMBER(SEARCH(Assumptions!$C$6,G2791)),Assumptions!$D$6,IF(ISNUMBER(SEARCH(Assumptions!$C$7,G2791)),Assumptions!$D$7,"Other Services"))),"Other Services"))</f>
        <v/>
      </c>
    </row>
    <row r="2792" customFormat="false" ht="15" hidden="false" customHeight="false" outlineLevel="0" collapsed="false">
      <c r="E2792" s="41" t="str">
        <f aca="false">IF(D2792="","",IFERROR(VLOOKUP(D2792,Assumptions!$G$5:$H$16,2,0),"Other"))</f>
        <v/>
      </c>
      <c r="J2792" s="41" t="str">
        <f aca="false">IF(G2792="","",IFERROR(IF(ISNUMBER(SEARCH(Assumptions!$C$5,G2792)),Assumptions!$D$5,IF(ISNUMBER(SEARCH(Assumptions!$C$6,G2792)),Assumptions!$D$6,IF(ISNUMBER(SEARCH(Assumptions!$C$7,G2792)),Assumptions!$D$7,"Other Services"))),"Other Services"))</f>
        <v/>
      </c>
    </row>
    <row r="2793" customFormat="false" ht="15" hidden="false" customHeight="false" outlineLevel="0" collapsed="false">
      <c r="E2793" s="41" t="str">
        <f aca="false">IF(D2793="","",IFERROR(VLOOKUP(D2793,Assumptions!$G$5:$H$16,2,0),"Other"))</f>
        <v/>
      </c>
      <c r="J2793" s="41" t="str">
        <f aca="false">IF(G2793="","",IFERROR(IF(ISNUMBER(SEARCH(Assumptions!$C$5,G2793)),Assumptions!$D$5,IF(ISNUMBER(SEARCH(Assumptions!$C$6,G2793)),Assumptions!$D$6,IF(ISNUMBER(SEARCH(Assumptions!$C$7,G2793)),Assumptions!$D$7,"Other Services"))),"Other Services"))</f>
        <v/>
      </c>
    </row>
    <row r="2794" customFormat="false" ht="15" hidden="false" customHeight="false" outlineLevel="0" collapsed="false">
      <c r="E2794" s="41" t="str">
        <f aca="false">IF(D2794="","",IFERROR(VLOOKUP(D2794,Assumptions!$G$5:$H$16,2,0),"Other"))</f>
        <v/>
      </c>
      <c r="J2794" s="41" t="str">
        <f aca="false">IF(G2794="","",IFERROR(IF(ISNUMBER(SEARCH(Assumptions!$C$5,G2794)),Assumptions!$D$5,IF(ISNUMBER(SEARCH(Assumptions!$C$6,G2794)),Assumptions!$D$6,IF(ISNUMBER(SEARCH(Assumptions!$C$7,G2794)),Assumptions!$D$7,"Other Services"))),"Other Services"))</f>
        <v/>
      </c>
    </row>
    <row r="2795" customFormat="false" ht="15" hidden="false" customHeight="false" outlineLevel="0" collapsed="false">
      <c r="E2795" s="41" t="str">
        <f aca="false">IF(D2795="","",IFERROR(VLOOKUP(D2795,Assumptions!$G$5:$H$16,2,0),"Other"))</f>
        <v/>
      </c>
      <c r="J2795" s="41" t="str">
        <f aca="false">IF(G2795="","",IFERROR(IF(ISNUMBER(SEARCH(Assumptions!$C$5,G2795)),Assumptions!$D$5,IF(ISNUMBER(SEARCH(Assumptions!$C$6,G2795)),Assumptions!$D$6,IF(ISNUMBER(SEARCH(Assumptions!$C$7,G2795)),Assumptions!$D$7,"Other Services"))),"Other Services"))</f>
        <v/>
      </c>
    </row>
    <row r="2796" customFormat="false" ht="15" hidden="false" customHeight="false" outlineLevel="0" collapsed="false">
      <c r="E2796" s="41" t="str">
        <f aca="false">IF(D2796="","",IFERROR(VLOOKUP(D2796,Assumptions!$G$5:$H$16,2,0),"Other"))</f>
        <v/>
      </c>
      <c r="J2796" s="41" t="str">
        <f aca="false">IF(G2796="","",IFERROR(IF(ISNUMBER(SEARCH(Assumptions!$C$5,G2796)),Assumptions!$D$5,IF(ISNUMBER(SEARCH(Assumptions!$C$6,G2796)),Assumptions!$D$6,IF(ISNUMBER(SEARCH(Assumptions!$C$7,G2796)),Assumptions!$D$7,"Other Services"))),"Other Services"))</f>
        <v/>
      </c>
    </row>
    <row r="2797" customFormat="false" ht="15" hidden="false" customHeight="false" outlineLevel="0" collapsed="false">
      <c r="E2797" s="41" t="str">
        <f aca="false">IF(D2797="","",IFERROR(VLOOKUP(D2797,Assumptions!$G$5:$H$16,2,0),"Other"))</f>
        <v/>
      </c>
      <c r="J2797" s="41" t="str">
        <f aca="false">IF(G2797="","",IFERROR(IF(ISNUMBER(SEARCH(Assumptions!$C$5,G2797)),Assumptions!$D$5,IF(ISNUMBER(SEARCH(Assumptions!$C$6,G2797)),Assumptions!$D$6,IF(ISNUMBER(SEARCH(Assumptions!$C$7,G2797)),Assumptions!$D$7,"Other Services"))),"Other Services"))</f>
        <v/>
      </c>
    </row>
    <row r="2798" customFormat="false" ht="15" hidden="false" customHeight="false" outlineLevel="0" collapsed="false">
      <c r="E2798" s="41" t="str">
        <f aca="false">IF(D2798="","",IFERROR(VLOOKUP(D2798,Assumptions!$G$5:$H$16,2,0),"Other"))</f>
        <v/>
      </c>
      <c r="J2798" s="41" t="str">
        <f aca="false">IF(G2798="","",IFERROR(IF(ISNUMBER(SEARCH(Assumptions!$C$5,G2798)),Assumptions!$D$5,IF(ISNUMBER(SEARCH(Assumptions!$C$6,G2798)),Assumptions!$D$6,IF(ISNUMBER(SEARCH(Assumptions!$C$7,G2798)),Assumptions!$D$7,"Other Services"))),"Other Services"))</f>
        <v/>
      </c>
    </row>
    <row r="2799" customFormat="false" ht="15" hidden="false" customHeight="false" outlineLevel="0" collapsed="false">
      <c r="E2799" s="41" t="str">
        <f aca="false">IF(D2799="","",IFERROR(VLOOKUP(D2799,Assumptions!$G$5:$H$16,2,0),"Other"))</f>
        <v/>
      </c>
      <c r="J2799" s="41" t="str">
        <f aca="false">IF(G2799="","",IFERROR(IF(ISNUMBER(SEARCH(Assumptions!$C$5,G2799)),Assumptions!$D$5,IF(ISNUMBER(SEARCH(Assumptions!$C$6,G2799)),Assumptions!$D$6,IF(ISNUMBER(SEARCH(Assumptions!$C$7,G2799)),Assumptions!$D$7,"Other Services"))),"Other Services"))</f>
        <v/>
      </c>
    </row>
    <row r="2800" customFormat="false" ht="15" hidden="false" customHeight="false" outlineLevel="0" collapsed="false">
      <c r="E2800" s="41" t="str">
        <f aca="false">IF(D2800="","",IFERROR(VLOOKUP(D2800,Assumptions!$G$5:$H$16,2,0),"Other"))</f>
        <v/>
      </c>
      <c r="J2800" s="41" t="str">
        <f aca="false">IF(G2800="","",IFERROR(IF(ISNUMBER(SEARCH(Assumptions!$C$5,G2800)),Assumptions!$D$5,IF(ISNUMBER(SEARCH(Assumptions!$C$6,G2800)),Assumptions!$D$6,IF(ISNUMBER(SEARCH(Assumptions!$C$7,G2800)),Assumptions!$D$7,"Other Services"))),"Other Services"))</f>
        <v/>
      </c>
    </row>
    <row r="2801" customFormat="false" ht="15" hidden="false" customHeight="false" outlineLevel="0" collapsed="false">
      <c r="E2801" s="41" t="str">
        <f aca="false">IF(D2801="","",IFERROR(VLOOKUP(D2801,Assumptions!$G$5:$H$16,2,0),"Other"))</f>
        <v/>
      </c>
      <c r="J2801" s="41" t="str">
        <f aca="false">IF(G2801="","",IFERROR(IF(ISNUMBER(SEARCH(Assumptions!$C$5,G2801)),Assumptions!$D$5,IF(ISNUMBER(SEARCH(Assumptions!$C$6,G2801)),Assumptions!$D$6,IF(ISNUMBER(SEARCH(Assumptions!$C$7,G2801)),Assumptions!$D$7,"Other Services"))),"Other Services"))</f>
        <v/>
      </c>
    </row>
    <row r="2802" customFormat="false" ht="15" hidden="false" customHeight="false" outlineLevel="0" collapsed="false">
      <c r="E2802" s="41" t="str">
        <f aca="false">IF(D2802="","",IFERROR(VLOOKUP(D2802,Assumptions!$G$5:$H$16,2,0),"Other"))</f>
        <v/>
      </c>
      <c r="J2802" s="41" t="str">
        <f aca="false">IF(G2802="","",IFERROR(IF(ISNUMBER(SEARCH(Assumptions!$C$5,G2802)),Assumptions!$D$5,IF(ISNUMBER(SEARCH(Assumptions!$C$6,G2802)),Assumptions!$D$6,IF(ISNUMBER(SEARCH(Assumptions!$C$7,G2802)),Assumptions!$D$7,"Other Services"))),"Other Services"))</f>
        <v/>
      </c>
    </row>
    <row r="2803" customFormat="false" ht="15" hidden="false" customHeight="false" outlineLevel="0" collapsed="false">
      <c r="E2803" s="41" t="str">
        <f aca="false">IF(D2803="","",IFERROR(VLOOKUP(D2803,Assumptions!$G$5:$H$16,2,0),"Other"))</f>
        <v/>
      </c>
      <c r="J2803" s="41" t="str">
        <f aca="false">IF(G2803="","",IFERROR(IF(ISNUMBER(SEARCH(Assumptions!$C$5,G2803)),Assumptions!$D$5,IF(ISNUMBER(SEARCH(Assumptions!$C$6,G2803)),Assumptions!$D$6,IF(ISNUMBER(SEARCH(Assumptions!$C$7,G2803)),Assumptions!$D$7,"Other Services"))),"Other Services"))</f>
        <v/>
      </c>
    </row>
    <row r="2804" customFormat="false" ht="15" hidden="false" customHeight="false" outlineLevel="0" collapsed="false">
      <c r="E2804" s="41" t="str">
        <f aca="false">IF(D2804="","",IFERROR(VLOOKUP(D2804,Assumptions!$G$5:$H$16,2,0),"Other"))</f>
        <v/>
      </c>
      <c r="J2804" s="41" t="str">
        <f aca="false">IF(G2804="","",IFERROR(IF(ISNUMBER(SEARCH(Assumptions!$C$5,G2804)),Assumptions!$D$5,IF(ISNUMBER(SEARCH(Assumptions!$C$6,G2804)),Assumptions!$D$6,IF(ISNUMBER(SEARCH(Assumptions!$C$7,G2804)),Assumptions!$D$7,"Other Services"))),"Other Services"))</f>
        <v/>
      </c>
    </row>
    <row r="2805" customFormat="false" ht="15" hidden="false" customHeight="false" outlineLevel="0" collapsed="false">
      <c r="E2805" s="41" t="str">
        <f aca="false">IF(D2805="","",IFERROR(VLOOKUP(D2805,Assumptions!$G$5:$H$16,2,0),"Other"))</f>
        <v/>
      </c>
      <c r="J2805" s="41" t="str">
        <f aca="false">IF(G2805="","",IFERROR(IF(ISNUMBER(SEARCH(Assumptions!$C$5,G2805)),Assumptions!$D$5,IF(ISNUMBER(SEARCH(Assumptions!$C$6,G2805)),Assumptions!$D$6,IF(ISNUMBER(SEARCH(Assumptions!$C$7,G2805)),Assumptions!$D$7,"Other Services"))),"Other Services"))</f>
        <v/>
      </c>
    </row>
    <row r="2806" customFormat="false" ht="15" hidden="false" customHeight="false" outlineLevel="0" collapsed="false">
      <c r="E2806" s="41" t="str">
        <f aca="false">IF(D2806="","",IFERROR(VLOOKUP(D2806,Assumptions!$G$5:$H$16,2,0),"Other"))</f>
        <v/>
      </c>
      <c r="J2806" s="41" t="str">
        <f aca="false">IF(G2806="","",IFERROR(IF(ISNUMBER(SEARCH(Assumptions!$C$5,G2806)),Assumptions!$D$5,IF(ISNUMBER(SEARCH(Assumptions!$C$6,G2806)),Assumptions!$D$6,IF(ISNUMBER(SEARCH(Assumptions!$C$7,G2806)),Assumptions!$D$7,"Other Services"))),"Other Services"))</f>
        <v/>
      </c>
    </row>
    <row r="2807" customFormat="false" ht="15" hidden="false" customHeight="false" outlineLevel="0" collapsed="false">
      <c r="E2807" s="41" t="str">
        <f aca="false">IF(D2807="","",IFERROR(VLOOKUP(D2807,Assumptions!$G$5:$H$16,2,0),"Other"))</f>
        <v/>
      </c>
      <c r="J2807" s="41" t="str">
        <f aca="false">IF(G2807="","",IFERROR(IF(ISNUMBER(SEARCH(Assumptions!$C$5,G2807)),Assumptions!$D$5,IF(ISNUMBER(SEARCH(Assumptions!$C$6,G2807)),Assumptions!$D$6,IF(ISNUMBER(SEARCH(Assumptions!$C$7,G2807)),Assumptions!$D$7,"Other Services"))),"Other Services"))</f>
        <v/>
      </c>
    </row>
    <row r="2808" customFormat="false" ht="15" hidden="false" customHeight="false" outlineLevel="0" collapsed="false">
      <c r="E2808" s="41" t="str">
        <f aca="false">IF(D2808="","",IFERROR(VLOOKUP(D2808,Assumptions!$G$5:$H$16,2,0),"Other"))</f>
        <v/>
      </c>
      <c r="J2808" s="41" t="str">
        <f aca="false">IF(G2808="","",IFERROR(IF(ISNUMBER(SEARCH(Assumptions!$C$5,G2808)),Assumptions!$D$5,IF(ISNUMBER(SEARCH(Assumptions!$C$6,G2808)),Assumptions!$D$6,IF(ISNUMBER(SEARCH(Assumptions!$C$7,G2808)),Assumptions!$D$7,"Other Services"))),"Other Services"))</f>
        <v/>
      </c>
    </row>
    <row r="2809" customFormat="false" ht="15" hidden="false" customHeight="false" outlineLevel="0" collapsed="false">
      <c r="E2809" s="41" t="str">
        <f aca="false">IF(D2809="","",IFERROR(VLOOKUP(D2809,Assumptions!$G$5:$H$16,2,0),"Other"))</f>
        <v/>
      </c>
      <c r="J2809" s="41" t="str">
        <f aca="false">IF(G2809="","",IFERROR(IF(ISNUMBER(SEARCH(Assumptions!$C$5,G2809)),Assumptions!$D$5,IF(ISNUMBER(SEARCH(Assumptions!$C$6,G2809)),Assumptions!$D$6,IF(ISNUMBER(SEARCH(Assumptions!$C$7,G2809)),Assumptions!$D$7,"Other Services"))),"Other Services"))</f>
        <v/>
      </c>
    </row>
    <row r="2810" customFormat="false" ht="15" hidden="false" customHeight="false" outlineLevel="0" collapsed="false">
      <c r="E2810" s="41" t="str">
        <f aca="false">IF(D2810="","",IFERROR(VLOOKUP(D2810,Assumptions!$G$5:$H$16,2,0),"Other"))</f>
        <v/>
      </c>
      <c r="J2810" s="41" t="str">
        <f aca="false">IF(G2810="","",IFERROR(IF(ISNUMBER(SEARCH(Assumptions!$C$5,G2810)),Assumptions!$D$5,IF(ISNUMBER(SEARCH(Assumptions!$C$6,G2810)),Assumptions!$D$6,IF(ISNUMBER(SEARCH(Assumptions!$C$7,G2810)),Assumptions!$D$7,"Other Services"))),"Other Services"))</f>
        <v/>
      </c>
    </row>
    <row r="2811" customFormat="false" ht="15" hidden="false" customHeight="false" outlineLevel="0" collapsed="false">
      <c r="E2811" s="41" t="str">
        <f aca="false">IF(D2811="","",IFERROR(VLOOKUP(D2811,Assumptions!$G$5:$H$16,2,0),"Other"))</f>
        <v/>
      </c>
      <c r="J2811" s="41" t="str">
        <f aca="false">IF(G2811="","",IFERROR(IF(ISNUMBER(SEARCH(Assumptions!$C$5,G2811)),Assumptions!$D$5,IF(ISNUMBER(SEARCH(Assumptions!$C$6,G2811)),Assumptions!$D$6,IF(ISNUMBER(SEARCH(Assumptions!$C$7,G2811)),Assumptions!$D$7,"Other Services"))),"Other Services"))</f>
        <v/>
      </c>
    </row>
    <row r="2812" customFormat="false" ht="15" hidden="false" customHeight="false" outlineLevel="0" collapsed="false">
      <c r="E2812" s="41" t="str">
        <f aca="false">IF(D2812="","",IFERROR(VLOOKUP(D2812,Assumptions!$G$5:$H$16,2,0),"Other"))</f>
        <v/>
      </c>
      <c r="J2812" s="41" t="str">
        <f aca="false">IF(G2812="","",IFERROR(IF(ISNUMBER(SEARCH(Assumptions!$C$5,G2812)),Assumptions!$D$5,IF(ISNUMBER(SEARCH(Assumptions!$C$6,G2812)),Assumptions!$D$6,IF(ISNUMBER(SEARCH(Assumptions!$C$7,G2812)),Assumptions!$D$7,"Other Services"))),"Other Services"))</f>
        <v/>
      </c>
    </row>
    <row r="2813" customFormat="false" ht="15" hidden="false" customHeight="false" outlineLevel="0" collapsed="false">
      <c r="E2813" s="41" t="str">
        <f aca="false">IF(D2813="","",IFERROR(VLOOKUP(D2813,Assumptions!$G$5:$H$16,2,0),"Other"))</f>
        <v/>
      </c>
      <c r="J2813" s="41" t="str">
        <f aca="false">IF(G2813="","",IFERROR(IF(ISNUMBER(SEARCH(Assumptions!$C$5,G2813)),Assumptions!$D$5,IF(ISNUMBER(SEARCH(Assumptions!$C$6,G2813)),Assumptions!$D$6,IF(ISNUMBER(SEARCH(Assumptions!$C$7,G2813)),Assumptions!$D$7,"Other Services"))),"Other Services"))</f>
        <v/>
      </c>
    </row>
    <row r="2814" customFormat="false" ht="15" hidden="false" customHeight="false" outlineLevel="0" collapsed="false">
      <c r="E2814" s="41" t="str">
        <f aca="false">IF(D2814="","",IFERROR(VLOOKUP(D2814,Assumptions!$G$5:$H$16,2,0),"Other"))</f>
        <v/>
      </c>
      <c r="J2814" s="41" t="str">
        <f aca="false">IF(G2814="","",IFERROR(IF(ISNUMBER(SEARCH(Assumptions!$C$5,G2814)),Assumptions!$D$5,IF(ISNUMBER(SEARCH(Assumptions!$C$6,G2814)),Assumptions!$D$6,IF(ISNUMBER(SEARCH(Assumptions!$C$7,G2814)),Assumptions!$D$7,"Other Services"))),"Other Services"))</f>
        <v/>
      </c>
    </row>
    <row r="2815" customFormat="false" ht="15" hidden="false" customHeight="false" outlineLevel="0" collapsed="false">
      <c r="E2815" s="41" t="str">
        <f aca="false">IF(D2815="","",IFERROR(VLOOKUP(D2815,Assumptions!$G$5:$H$16,2,0),"Other"))</f>
        <v/>
      </c>
      <c r="J2815" s="41" t="str">
        <f aca="false">IF(G2815="","",IFERROR(IF(ISNUMBER(SEARCH(Assumptions!$C$5,G2815)),Assumptions!$D$5,IF(ISNUMBER(SEARCH(Assumptions!$C$6,G2815)),Assumptions!$D$6,IF(ISNUMBER(SEARCH(Assumptions!$C$7,G2815)),Assumptions!$D$7,"Other Services"))),"Other Services"))</f>
        <v/>
      </c>
    </row>
    <row r="2816" customFormat="false" ht="15" hidden="false" customHeight="false" outlineLevel="0" collapsed="false">
      <c r="E2816" s="41" t="str">
        <f aca="false">IF(D2816="","",IFERROR(VLOOKUP(D2816,Assumptions!$G$5:$H$16,2,0),"Other"))</f>
        <v/>
      </c>
      <c r="J2816" s="41" t="str">
        <f aca="false">IF(G2816="","",IFERROR(IF(ISNUMBER(SEARCH(Assumptions!$C$5,G2816)),Assumptions!$D$5,IF(ISNUMBER(SEARCH(Assumptions!$C$6,G2816)),Assumptions!$D$6,IF(ISNUMBER(SEARCH(Assumptions!$C$7,G2816)),Assumptions!$D$7,"Other Services"))),"Other Services"))</f>
        <v/>
      </c>
    </row>
    <row r="2817" customFormat="false" ht="15" hidden="false" customHeight="false" outlineLevel="0" collapsed="false">
      <c r="E2817" s="41" t="str">
        <f aca="false">IF(D2817="","",IFERROR(VLOOKUP(D2817,Assumptions!$G$5:$H$16,2,0),"Other"))</f>
        <v/>
      </c>
      <c r="J2817" s="41" t="str">
        <f aca="false">IF(G2817="","",IFERROR(IF(ISNUMBER(SEARCH(Assumptions!$C$5,G2817)),Assumptions!$D$5,IF(ISNUMBER(SEARCH(Assumptions!$C$6,G2817)),Assumptions!$D$6,IF(ISNUMBER(SEARCH(Assumptions!$C$7,G2817)),Assumptions!$D$7,"Other Services"))),"Other Services"))</f>
        <v/>
      </c>
    </row>
    <row r="2818" customFormat="false" ht="15" hidden="false" customHeight="false" outlineLevel="0" collapsed="false">
      <c r="E2818" s="41" t="str">
        <f aca="false">IF(D2818="","",IFERROR(VLOOKUP(D2818,Assumptions!$G$5:$H$16,2,0),"Other"))</f>
        <v/>
      </c>
      <c r="J2818" s="41" t="str">
        <f aca="false">IF(G2818="","",IFERROR(IF(ISNUMBER(SEARCH(Assumptions!$C$5,G2818)),Assumptions!$D$5,IF(ISNUMBER(SEARCH(Assumptions!$C$6,G2818)),Assumptions!$D$6,IF(ISNUMBER(SEARCH(Assumptions!$C$7,G2818)),Assumptions!$D$7,"Other Services"))),"Other Services"))</f>
        <v/>
      </c>
    </row>
    <row r="2819" customFormat="false" ht="15" hidden="false" customHeight="false" outlineLevel="0" collapsed="false">
      <c r="E2819" s="41" t="str">
        <f aca="false">IF(D2819="","",IFERROR(VLOOKUP(D2819,Assumptions!$G$5:$H$16,2,0),"Other"))</f>
        <v/>
      </c>
      <c r="J2819" s="41" t="str">
        <f aca="false">IF(G2819="","",IFERROR(IF(ISNUMBER(SEARCH(Assumptions!$C$5,G2819)),Assumptions!$D$5,IF(ISNUMBER(SEARCH(Assumptions!$C$6,G2819)),Assumptions!$D$6,IF(ISNUMBER(SEARCH(Assumptions!$C$7,G2819)),Assumptions!$D$7,"Other Services"))),"Other Services"))</f>
        <v/>
      </c>
    </row>
    <row r="2820" customFormat="false" ht="15" hidden="false" customHeight="false" outlineLevel="0" collapsed="false">
      <c r="E2820" s="41" t="str">
        <f aca="false">IF(D2820="","",IFERROR(VLOOKUP(D2820,Assumptions!$G$5:$H$16,2,0),"Other"))</f>
        <v/>
      </c>
      <c r="J2820" s="41" t="str">
        <f aca="false">IF(G2820="","",IFERROR(IF(ISNUMBER(SEARCH(Assumptions!$C$5,G2820)),Assumptions!$D$5,IF(ISNUMBER(SEARCH(Assumptions!$C$6,G2820)),Assumptions!$D$6,IF(ISNUMBER(SEARCH(Assumptions!$C$7,G2820)),Assumptions!$D$7,"Other Services"))),"Other Services"))</f>
        <v/>
      </c>
    </row>
    <row r="2821" customFormat="false" ht="15" hidden="false" customHeight="false" outlineLevel="0" collapsed="false">
      <c r="E2821" s="41" t="str">
        <f aca="false">IF(D2821="","",IFERROR(VLOOKUP(D2821,Assumptions!$G$5:$H$16,2,0),"Other"))</f>
        <v/>
      </c>
      <c r="J2821" s="41" t="str">
        <f aca="false">IF(G2821="","",IFERROR(IF(ISNUMBER(SEARCH(Assumptions!$C$5,G2821)),Assumptions!$D$5,IF(ISNUMBER(SEARCH(Assumptions!$C$6,G2821)),Assumptions!$D$6,IF(ISNUMBER(SEARCH(Assumptions!$C$7,G2821)),Assumptions!$D$7,"Other Services"))),"Other Services"))</f>
        <v/>
      </c>
    </row>
    <row r="2822" customFormat="false" ht="15" hidden="false" customHeight="false" outlineLevel="0" collapsed="false">
      <c r="E2822" s="41" t="str">
        <f aca="false">IF(D2822="","",IFERROR(VLOOKUP(D2822,Assumptions!$G$5:$H$16,2,0),"Other"))</f>
        <v/>
      </c>
      <c r="J2822" s="41" t="str">
        <f aca="false">IF(G2822="","",IFERROR(IF(ISNUMBER(SEARCH(Assumptions!$C$5,G2822)),Assumptions!$D$5,IF(ISNUMBER(SEARCH(Assumptions!$C$6,G2822)),Assumptions!$D$6,IF(ISNUMBER(SEARCH(Assumptions!$C$7,G2822)),Assumptions!$D$7,"Other Services"))),"Other Services"))</f>
        <v/>
      </c>
    </row>
    <row r="2823" customFormat="false" ht="15" hidden="false" customHeight="false" outlineLevel="0" collapsed="false">
      <c r="E2823" s="41" t="str">
        <f aca="false">IF(D2823="","",IFERROR(VLOOKUP(D2823,Assumptions!$G$5:$H$16,2,0),"Other"))</f>
        <v/>
      </c>
      <c r="J2823" s="41" t="str">
        <f aca="false">IF(G2823="","",IFERROR(IF(ISNUMBER(SEARCH(Assumptions!$C$5,G2823)),Assumptions!$D$5,IF(ISNUMBER(SEARCH(Assumptions!$C$6,G2823)),Assumptions!$D$6,IF(ISNUMBER(SEARCH(Assumptions!$C$7,G2823)),Assumptions!$D$7,"Other Services"))),"Other Services"))</f>
        <v/>
      </c>
    </row>
    <row r="2824" customFormat="false" ht="15" hidden="false" customHeight="false" outlineLevel="0" collapsed="false">
      <c r="E2824" s="41" t="str">
        <f aca="false">IF(D2824="","",IFERROR(VLOOKUP(D2824,Assumptions!$G$5:$H$16,2,0),"Other"))</f>
        <v/>
      </c>
      <c r="J2824" s="41" t="str">
        <f aca="false">IF(G2824="","",IFERROR(IF(ISNUMBER(SEARCH(Assumptions!$C$5,G2824)),Assumptions!$D$5,IF(ISNUMBER(SEARCH(Assumptions!$C$6,G2824)),Assumptions!$D$6,IF(ISNUMBER(SEARCH(Assumptions!$C$7,G2824)),Assumptions!$D$7,"Other Services"))),"Other Services"))</f>
        <v/>
      </c>
    </row>
    <row r="2825" customFormat="false" ht="15" hidden="false" customHeight="false" outlineLevel="0" collapsed="false">
      <c r="E2825" s="41" t="str">
        <f aca="false">IF(D2825="","",IFERROR(VLOOKUP(D2825,Assumptions!$G$5:$H$16,2,0),"Other"))</f>
        <v/>
      </c>
      <c r="J2825" s="41" t="str">
        <f aca="false">IF(G2825="","",IFERROR(IF(ISNUMBER(SEARCH(Assumptions!$C$5,G2825)),Assumptions!$D$5,IF(ISNUMBER(SEARCH(Assumptions!$C$6,G2825)),Assumptions!$D$6,IF(ISNUMBER(SEARCH(Assumptions!$C$7,G2825)),Assumptions!$D$7,"Other Services"))),"Other Services"))</f>
        <v/>
      </c>
    </row>
    <row r="2826" customFormat="false" ht="15" hidden="false" customHeight="false" outlineLevel="0" collapsed="false">
      <c r="E2826" s="41" t="str">
        <f aca="false">IF(D2826="","",IFERROR(VLOOKUP(D2826,Assumptions!$G$5:$H$16,2,0),"Other"))</f>
        <v/>
      </c>
      <c r="J2826" s="41" t="str">
        <f aca="false">IF(G2826="","",IFERROR(IF(ISNUMBER(SEARCH(Assumptions!$C$5,G2826)),Assumptions!$D$5,IF(ISNUMBER(SEARCH(Assumptions!$C$6,G2826)),Assumptions!$D$6,IF(ISNUMBER(SEARCH(Assumptions!$C$7,G2826)),Assumptions!$D$7,"Other Services"))),"Other Services"))</f>
        <v/>
      </c>
    </row>
    <row r="2827" customFormat="false" ht="15" hidden="false" customHeight="false" outlineLevel="0" collapsed="false">
      <c r="E2827" s="41" t="str">
        <f aca="false">IF(D2827="","",IFERROR(VLOOKUP(D2827,Assumptions!$G$5:$H$16,2,0),"Other"))</f>
        <v/>
      </c>
      <c r="J2827" s="41" t="str">
        <f aca="false">IF(G2827="","",IFERROR(IF(ISNUMBER(SEARCH(Assumptions!$C$5,G2827)),Assumptions!$D$5,IF(ISNUMBER(SEARCH(Assumptions!$C$6,G2827)),Assumptions!$D$6,IF(ISNUMBER(SEARCH(Assumptions!$C$7,G2827)),Assumptions!$D$7,"Other Services"))),"Other Services"))</f>
        <v/>
      </c>
    </row>
    <row r="2828" customFormat="false" ht="15" hidden="false" customHeight="false" outlineLevel="0" collapsed="false">
      <c r="E2828" s="41" t="str">
        <f aca="false">IF(D2828="","",IFERROR(VLOOKUP(D2828,Assumptions!$G$5:$H$16,2,0),"Other"))</f>
        <v/>
      </c>
      <c r="J2828" s="41" t="str">
        <f aca="false">IF(G2828="","",IFERROR(IF(ISNUMBER(SEARCH(Assumptions!$C$5,G2828)),Assumptions!$D$5,IF(ISNUMBER(SEARCH(Assumptions!$C$6,G2828)),Assumptions!$D$6,IF(ISNUMBER(SEARCH(Assumptions!$C$7,G2828)),Assumptions!$D$7,"Other Services"))),"Other Services"))</f>
        <v/>
      </c>
    </row>
    <row r="2829" customFormat="false" ht="15" hidden="false" customHeight="false" outlineLevel="0" collapsed="false">
      <c r="E2829" s="41" t="str">
        <f aca="false">IF(D2829="","",IFERROR(VLOOKUP(D2829,Assumptions!$G$5:$H$16,2,0),"Other"))</f>
        <v/>
      </c>
      <c r="J2829" s="41" t="str">
        <f aca="false">IF(G2829="","",IFERROR(IF(ISNUMBER(SEARCH(Assumptions!$C$5,G2829)),Assumptions!$D$5,IF(ISNUMBER(SEARCH(Assumptions!$C$6,G2829)),Assumptions!$D$6,IF(ISNUMBER(SEARCH(Assumptions!$C$7,G2829)),Assumptions!$D$7,"Other Services"))),"Other Services"))</f>
        <v/>
      </c>
    </row>
    <row r="2830" customFormat="false" ht="15" hidden="false" customHeight="false" outlineLevel="0" collapsed="false">
      <c r="E2830" s="41" t="str">
        <f aca="false">IF(D2830="","",IFERROR(VLOOKUP(D2830,Assumptions!$G$5:$H$16,2,0),"Other"))</f>
        <v/>
      </c>
      <c r="J2830" s="41" t="str">
        <f aca="false">IF(G2830="","",IFERROR(IF(ISNUMBER(SEARCH(Assumptions!$C$5,G2830)),Assumptions!$D$5,IF(ISNUMBER(SEARCH(Assumptions!$C$6,G2830)),Assumptions!$D$6,IF(ISNUMBER(SEARCH(Assumptions!$C$7,G2830)),Assumptions!$D$7,"Other Services"))),"Other Services"))</f>
        <v/>
      </c>
    </row>
    <row r="2831" customFormat="false" ht="15" hidden="false" customHeight="false" outlineLevel="0" collapsed="false">
      <c r="E2831" s="41" t="str">
        <f aca="false">IF(D2831="","",IFERROR(VLOOKUP(D2831,Assumptions!$G$5:$H$16,2,0),"Other"))</f>
        <v/>
      </c>
      <c r="J2831" s="41" t="str">
        <f aca="false">IF(G2831="","",IFERROR(IF(ISNUMBER(SEARCH(Assumptions!$C$5,G2831)),Assumptions!$D$5,IF(ISNUMBER(SEARCH(Assumptions!$C$6,G2831)),Assumptions!$D$6,IF(ISNUMBER(SEARCH(Assumptions!$C$7,G2831)),Assumptions!$D$7,"Other Services"))),"Other Services"))</f>
        <v/>
      </c>
    </row>
    <row r="2832" customFormat="false" ht="15" hidden="false" customHeight="false" outlineLevel="0" collapsed="false">
      <c r="E2832" s="41" t="str">
        <f aca="false">IF(D2832="","",IFERROR(VLOOKUP(D2832,Assumptions!$G$5:$H$16,2,0),"Other"))</f>
        <v/>
      </c>
      <c r="J2832" s="41" t="str">
        <f aca="false">IF(G2832="","",IFERROR(IF(ISNUMBER(SEARCH(Assumptions!$C$5,G2832)),Assumptions!$D$5,IF(ISNUMBER(SEARCH(Assumptions!$C$6,G2832)),Assumptions!$D$6,IF(ISNUMBER(SEARCH(Assumptions!$C$7,G2832)),Assumptions!$D$7,"Other Services"))),"Other Services"))</f>
        <v/>
      </c>
    </row>
    <row r="2833" customFormat="false" ht="15" hidden="false" customHeight="false" outlineLevel="0" collapsed="false">
      <c r="E2833" s="41" t="str">
        <f aca="false">IF(D2833="","",IFERROR(VLOOKUP(D2833,Assumptions!$G$5:$H$16,2,0),"Other"))</f>
        <v/>
      </c>
      <c r="J2833" s="41" t="str">
        <f aca="false">IF(G2833="","",IFERROR(IF(ISNUMBER(SEARCH(Assumptions!$C$5,G2833)),Assumptions!$D$5,IF(ISNUMBER(SEARCH(Assumptions!$C$6,G2833)),Assumptions!$D$6,IF(ISNUMBER(SEARCH(Assumptions!$C$7,G2833)),Assumptions!$D$7,"Other Services"))),"Other Services"))</f>
        <v/>
      </c>
    </row>
    <row r="2834" customFormat="false" ht="15" hidden="false" customHeight="false" outlineLevel="0" collapsed="false">
      <c r="E2834" s="41" t="str">
        <f aca="false">IF(D2834="","",IFERROR(VLOOKUP(D2834,Assumptions!$G$5:$H$16,2,0),"Other"))</f>
        <v/>
      </c>
      <c r="J2834" s="41" t="str">
        <f aca="false">IF(G2834="","",IFERROR(IF(ISNUMBER(SEARCH(Assumptions!$C$5,G2834)),Assumptions!$D$5,IF(ISNUMBER(SEARCH(Assumptions!$C$6,G2834)),Assumptions!$D$6,IF(ISNUMBER(SEARCH(Assumptions!$C$7,G2834)),Assumptions!$D$7,"Other Services"))),"Other Services"))</f>
        <v/>
      </c>
    </row>
    <row r="2835" customFormat="false" ht="15" hidden="false" customHeight="false" outlineLevel="0" collapsed="false">
      <c r="E2835" s="41" t="str">
        <f aca="false">IF(D2835="","",IFERROR(VLOOKUP(D2835,Assumptions!$G$5:$H$16,2,0),"Other"))</f>
        <v/>
      </c>
      <c r="J2835" s="41" t="str">
        <f aca="false">IF(G2835="","",IFERROR(IF(ISNUMBER(SEARCH(Assumptions!$C$5,G2835)),Assumptions!$D$5,IF(ISNUMBER(SEARCH(Assumptions!$C$6,G2835)),Assumptions!$D$6,IF(ISNUMBER(SEARCH(Assumptions!$C$7,G2835)),Assumptions!$D$7,"Other Services"))),"Other Services"))</f>
        <v/>
      </c>
    </row>
    <row r="2836" customFormat="false" ht="15" hidden="false" customHeight="false" outlineLevel="0" collapsed="false">
      <c r="E2836" s="41" t="str">
        <f aca="false">IF(D2836="","",IFERROR(VLOOKUP(D2836,Assumptions!$G$5:$H$16,2,0),"Other"))</f>
        <v/>
      </c>
      <c r="J2836" s="41" t="str">
        <f aca="false">IF(G2836="","",IFERROR(IF(ISNUMBER(SEARCH(Assumptions!$C$5,G2836)),Assumptions!$D$5,IF(ISNUMBER(SEARCH(Assumptions!$C$6,G2836)),Assumptions!$D$6,IF(ISNUMBER(SEARCH(Assumptions!$C$7,G2836)),Assumptions!$D$7,"Other Services"))),"Other Services"))</f>
        <v/>
      </c>
    </row>
    <row r="2837" customFormat="false" ht="15" hidden="false" customHeight="false" outlineLevel="0" collapsed="false">
      <c r="E2837" s="41" t="str">
        <f aca="false">IF(D2837="","",IFERROR(VLOOKUP(D2837,Assumptions!$G$5:$H$16,2,0),"Other"))</f>
        <v/>
      </c>
      <c r="J2837" s="41" t="str">
        <f aca="false">IF(G2837="","",IFERROR(IF(ISNUMBER(SEARCH(Assumptions!$C$5,G2837)),Assumptions!$D$5,IF(ISNUMBER(SEARCH(Assumptions!$C$6,G2837)),Assumptions!$D$6,IF(ISNUMBER(SEARCH(Assumptions!$C$7,G2837)),Assumptions!$D$7,"Other Services"))),"Other Services"))</f>
        <v/>
      </c>
    </row>
    <row r="2838" customFormat="false" ht="15" hidden="false" customHeight="false" outlineLevel="0" collapsed="false">
      <c r="E2838" s="41" t="str">
        <f aca="false">IF(D2838="","",IFERROR(VLOOKUP(D2838,Assumptions!$G$5:$H$16,2,0),"Other"))</f>
        <v/>
      </c>
      <c r="J2838" s="41" t="str">
        <f aca="false">IF(G2838="","",IFERROR(IF(ISNUMBER(SEARCH(Assumptions!$C$5,G2838)),Assumptions!$D$5,IF(ISNUMBER(SEARCH(Assumptions!$C$6,G2838)),Assumptions!$D$6,IF(ISNUMBER(SEARCH(Assumptions!$C$7,G2838)),Assumptions!$D$7,"Other Services"))),"Other Services"))</f>
        <v/>
      </c>
    </row>
    <row r="2839" customFormat="false" ht="15" hidden="false" customHeight="false" outlineLevel="0" collapsed="false">
      <c r="E2839" s="41" t="str">
        <f aca="false">IF(D2839="","",IFERROR(VLOOKUP(D2839,Assumptions!$G$5:$H$16,2,0),"Other"))</f>
        <v/>
      </c>
      <c r="J2839" s="41" t="str">
        <f aca="false">IF(G2839="","",IFERROR(IF(ISNUMBER(SEARCH(Assumptions!$C$5,G2839)),Assumptions!$D$5,IF(ISNUMBER(SEARCH(Assumptions!$C$6,G2839)),Assumptions!$D$6,IF(ISNUMBER(SEARCH(Assumptions!$C$7,G2839)),Assumptions!$D$7,"Other Services"))),"Other Services"))</f>
        <v/>
      </c>
    </row>
    <row r="2840" customFormat="false" ht="15" hidden="false" customHeight="false" outlineLevel="0" collapsed="false">
      <c r="E2840" s="41" t="str">
        <f aca="false">IF(D2840="","",IFERROR(VLOOKUP(D2840,Assumptions!$G$5:$H$16,2,0),"Other"))</f>
        <v/>
      </c>
      <c r="J2840" s="41" t="str">
        <f aca="false">IF(G2840="","",IFERROR(IF(ISNUMBER(SEARCH(Assumptions!$C$5,G2840)),Assumptions!$D$5,IF(ISNUMBER(SEARCH(Assumptions!$C$6,G2840)),Assumptions!$D$6,IF(ISNUMBER(SEARCH(Assumptions!$C$7,G2840)),Assumptions!$D$7,"Other Services"))),"Other Services"))</f>
        <v/>
      </c>
    </row>
    <row r="2841" customFormat="false" ht="15" hidden="false" customHeight="false" outlineLevel="0" collapsed="false">
      <c r="E2841" s="41" t="str">
        <f aca="false">IF(D2841="","",IFERROR(VLOOKUP(D2841,Assumptions!$G$5:$H$16,2,0),"Other"))</f>
        <v/>
      </c>
      <c r="J2841" s="41" t="str">
        <f aca="false">IF(G2841="","",IFERROR(IF(ISNUMBER(SEARCH(Assumptions!$C$5,G2841)),Assumptions!$D$5,IF(ISNUMBER(SEARCH(Assumptions!$C$6,G2841)),Assumptions!$D$6,IF(ISNUMBER(SEARCH(Assumptions!$C$7,G2841)),Assumptions!$D$7,"Other Services"))),"Other Services"))</f>
        <v/>
      </c>
    </row>
    <row r="2842" customFormat="false" ht="15" hidden="false" customHeight="false" outlineLevel="0" collapsed="false">
      <c r="E2842" s="41" t="str">
        <f aca="false">IF(D2842="","",IFERROR(VLOOKUP(D2842,Assumptions!$G$5:$H$16,2,0),"Other"))</f>
        <v/>
      </c>
      <c r="J2842" s="41" t="str">
        <f aca="false">IF(G2842="","",IFERROR(IF(ISNUMBER(SEARCH(Assumptions!$C$5,G2842)),Assumptions!$D$5,IF(ISNUMBER(SEARCH(Assumptions!$C$6,G2842)),Assumptions!$D$6,IF(ISNUMBER(SEARCH(Assumptions!$C$7,G2842)),Assumptions!$D$7,"Other Services"))),"Other Services"))</f>
        <v/>
      </c>
    </row>
    <row r="2843" customFormat="false" ht="15" hidden="false" customHeight="false" outlineLevel="0" collapsed="false">
      <c r="E2843" s="41" t="str">
        <f aca="false">IF(D2843="","",IFERROR(VLOOKUP(D2843,Assumptions!$G$5:$H$16,2,0),"Other"))</f>
        <v/>
      </c>
      <c r="J2843" s="41" t="str">
        <f aca="false">IF(G2843="","",IFERROR(IF(ISNUMBER(SEARCH(Assumptions!$C$5,G2843)),Assumptions!$D$5,IF(ISNUMBER(SEARCH(Assumptions!$C$6,G2843)),Assumptions!$D$6,IF(ISNUMBER(SEARCH(Assumptions!$C$7,G2843)),Assumptions!$D$7,"Other Services"))),"Other Services"))</f>
        <v/>
      </c>
    </row>
    <row r="2844" customFormat="false" ht="15" hidden="false" customHeight="false" outlineLevel="0" collapsed="false">
      <c r="E2844" s="41" t="str">
        <f aca="false">IF(D2844="","",IFERROR(VLOOKUP(D2844,Assumptions!$G$5:$H$16,2,0),"Other"))</f>
        <v/>
      </c>
      <c r="J2844" s="41" t="str">
        <f aca="false">IF(G2844="","",IFERROR(IF(ISNUMBER(SEARCH(Assumptions!$C$5,G2844)),Assumptions!$D$5,IF(ISNUMBER(SEARCH(Assumptions!$C$6,G2844)),Assumptions!$D$6,IF(ISNUMBER(SEARCH(Assumptions!$C$7,G2844)),Assumptions!$D$7,"Other Services"))),"Other Services"))</f>
        <v/>
      </c>
    </row>
    <row r="2845" customFormat="false" ht="15" hidden="false" customHeight="false" outlineLevel="0" collapsed="false">
      <c r="E2845" s="41" t="str">
        <f aca="false">IF(D2845="","",IFERROR(VLOOKUP(D2845,Assumptions!$G$5:$H$16,2,0),"Other"))</f>
        <v/>
      </c>
      <c r="J2845" s="41" t="str">
        <f aca="false">IF(G2845="","",IFERROR(IF(ISNUMBER(SEARCH(Assumptions!$C$5,G2845)),Assumptions!$D$5,IF(ISNUMBER(SEARCH(Assumptions!$C$6,G2845)),Assumptions!$D$6,IF(ISNUMBER(SEARCH(Assumptions!$C$7,G2845)),Assumptions!$D$7,"Other Services"))),"Other Services"))</f>
        <v/>
      </c>
    </row>
    <row r="2846" customFormat="false" ht="15" hidden="false" customHeight="false" outlineLevel="0" collapsed="false">
      <c r="E2846" s="41" t="str">
        <f aca="false">IF(D2846="","",IFERROR(VLOOKUP(D2846,Assumptions!$G$5:$H$16,2,0),"Other"))</f>
        <v/>
      </c>
      <c r="J2846" s="41" t="str">
        <f aca="false">IF(G2846="","",IFERROR(IF(ISNUMBER(SEARCH(Assumptions!$C$5,G2846)),Assumptions!$D$5,IF(ISNUMBER(SEARCH(Assumptions!$C$6,G2846)),Assumptions!$D$6,IF(ISNUMBER(SEARCH(Assumptions!$C$7,G2846)),Assumptions!$D$7,"Other Services"))),"Other Services"))</f>
        <v/>
      </c>
    </row>
    <row r="2847" customFormat="false" ht="15" hidden="false" customHeight="false" outlineLevel="0" collapsed="false">
      <c r="E2847" s="41" t="str">
        <f aca="false">IF(D2847="","",IFERROR(VLOOKUP(D2847,Assumptions!$G$5:$H$16,2,0),"Other"))</f>
        <v/>
      </c>
      <c r="J2847" s="41" t="str">
        <f aca="false">IF(G2847="","",IFERROR(IF(ISNUMBER(SEARCH(Assumptions!$C$5,G2847)),Assumptions!$D$5,IF(ISNUMBER(SEARCH(Assumptions!$C$6,G2847)),Assumptions!$D$6,IF(ISNUMBER(SEARCH(Assumptions!$C$7,G2847)),Assumptions!$D$7,"Other Services"))),"Other Services"))</f>
        <v/>
      </c>
    </row>
    <row r="2848" customFormat="false" ht="15" hidden="false" customHeight="false" outlineLevel="0" collapsed="false">
      <c r="E2848" s="41" t="str">
        <f aca="false">IF(D2848="","",IFERROR(VLOOKUP(D2848,Assumptions!$G$5:$H$16,2,0),"Other"))</f>
        <v/>
      </c>
      <c r="J2848" s="41" t="str">
        <f aca="false">IF(G2848="","",IFERROR(IF(ISNUMBER(SEARCH(Assumptions!$C$5,G2848)),Assumptions!$D$5,IF(ISNUMBER(SEARCH(Assumptions!$C$6,G2848)),Assumptions!$D$6,IF(ISNUMBER(SEARCH(Assumptions!$C$7,G2848)),Assumptions!$D$7,"Other Services"))),"Other Services"))</f>
        <v/>
      </c>
    </row>
    <row r="2849" customFormat="false" ht="15" hidden="false" customHeight="false" outlineLevel="0" collapsed="false">
      <c r="E2849" s="41" t="str">
        <f aca="false">IF(D2849="","",IFERROR(VLOOKUP(D2849,Assumptions!$G$5:$H$16,2,0),"Other"))</f>
        <v/>
      </c>
      <c r="J2849" s="41" t="str">
        <f aca="false">IF(G2849="","",IFERROR(IF(ISNUMBER(SEARCH(Assumptions!$C$5,G2849)),Assumptions!$D$5,IF(ISNUMBER(SEARCH(Assumptions!$C$6,G2849)),Assumptions!$D$6,IF(ISNUMBER(SEARCH(Assumptions!$C$7,G2849)),Assumptions!$D$7,"Other Services"))),"Other Services"))</f>
        <v/>
      </c>
    </row>
    <row r="2850" customFormat="false" ht="15" hidden="false" customHeight="false" outlineLevel="0" collapsed="false">
      <c r="E2850" s="41" t="str">
        <f aca="false">IF(D2850="","",IFERROR(VLOOKUP(D2850,Assumptions!$G$5:$H$16,2,0),"Other"))</f>
        <v/>
      </c>
      <c r="J2850" s="41" t="str">
        <f aca="false">IF(G2850="","",IFERROR(IF(ISNUMBER(SEARCH(Assumptions!$C$5,G2850)),Assumptions!$D$5,IF(ISNUMBER(SEARCH(Assumptions!$C$6,G2850)),Assumptions!$D$6,IF(ISNUMBER(SEARCH(Assumptions!$C$7,G2850)),Assumptions!$D$7,"Other Services"))),"Other Services"))</f>
        <v/>
      </c>
    </row>
    <row r="2851" customFormat="false" ht="15" hidden="false" customHeight="false" outlineLevel="0" collapsed="false">
      <c r="E2851" s="41" t="str">
        <f aca="false">IF(D2851="","",IFERROR(VLOOKUP(D2851,Assumptions!$G$5:$H$16,2,0),"Other"))</f>
        <v/>
      </c>
      <c r="J2851" s="41" t="str">
        <f aca="false">IF(G2851="","",IFERROR(IF(ISNUMBER(SEARCH(Assumptions!$C$5,G2851)),Assumptions!$D$5,IF(ISNUMBER(SEARCH(Assumptions!$C$6,G2851)),Assumptions!$D$6,IF(ISNUMBER(SEARCH(Assumptions!$C$7,G2851)),Assumptions!$D$7,"Other Services"))),"Other Services"))</f>
        <v/>
      </c>
    </row>
    <row r="2852" customFormat="false" ht="15" hidden="false" customHeight="false" outlineLevel="0" collapsed="false">
      <c r="E2852" s="41" t="str">
        <f aca="false">IF(D2852="","",IFERROR(VLOOKUP(D2852,Assumptions!$G$5:$H$16,2,0),"Other"))</f>
        <v/>
      </c>
      <c r="J2852" s="41" t="str">
        <f aca="false">IF(G2852="","",IFERROR(IF(ISNUMBER(SEARCH(Assumptions!$C$5,G2852)),Assumptions!$D$5,IF(ISNUMBER(SEARCH(Assumptions!$C$6,G2852)),Assumptions!$D$6,IF(ISNUMBER(SEARCH(Assumptions!$C$7,G2852)),Assumptions!$D$7,"Other Services"))),"Other Services"))</f>
        <v/>
      </c>
    </row>
    <row r="2853" customFormat="false" ht="15" hidden="false" customHeight="false" outlineLevel="0" collapsed="false">
      <c r="E2853" s="41" t="str">
        <f aca="false">IF(D2853="","",IFERROR(VLOOKUP(D2853,Assumptions!$G$5:$H$16,2,0),"Other"))</f>
        <v/>
      </c>
      <c r="J2853" s="41" t="str">
        <f aca="false">IF(G2853="","",IFERROR(IF(ISNUMBER(SEARCH(Assumptions!$C$5,G2853)),Assumptions!$D$5,IF(ISNUMBER(SEARCH(Assumptions!$C$6,G2853)),Assumptions!$D$6,IF(ISNUMBER(SEARCH(Assumptions!$C$7,G2853)),Assumptions!$D$7,"Other Services"))),"Other Services"))</f>
        <v/>
      </c>
    </row>
    <row r="2854" customFormat="false" ht="15" hidden="false" customHeight="false" outlineLevel="0" collapsed="false">
      <c r="E2854" s="41" t="str">
        <f aca="false">IF(D2854="","",IFERROR(VLOOKUP(D2854,Assumptions!$G$5:$H$16,2,0),"Other"))</f>
        <v/>
      </c>
      <c r="J2854" s="41" t="str">
        <f aca="false">IF(G2854="","",IFERROR(IF(ISNUMBER(SEARCH(Assumptions!$C$5,G2854)),Assumptions!$D$5,IF(ISNUMBER(SEARCH(Assumptions!$C$6,G2854)),Assumptions!$D$6,IF(ISNUMBER(SEARCH(Assumptions!$C$7,G2854)),Assumptions!$D$7,"Other Services"))),"Other Services"))</f>
        <v/>
      </c>
    </row>
    <row r="2855" customFormat="false" ht="15" hidden="false" customHeight="false" outlineLevel="0" collapsed="false">
      <c r="E2855" s="41" t="str">
        <f aca="false">IF(D2855="","",IFERROR(VLOOKUP(D2855,Assumptions!$G$5:$H$16,2,0),"Other"))</f>
        <v/>
      </c>
      <c r="J2855" s="41" t="str">
        <f aca="false">IF(G2855="","",IFERROR(IF(ISNUMBER(SEARCH(Assumptions!$C$5,G2855)),Assumptions!$D$5,IF(ISNUMBER(SEARCH(Assumptions!$C$6,G2855)),Assumptions!$D$6,IF(ISNUMBER(SEARCH(Assumptions!$C$7,G2855)),Assumptions!$D$7,"Other Services"))),"Other Services"))</f>
        <v/>
      </c>
    </row>
    <row r="2856" customFormat="false" ht="15" hidden="false" customHeight="false" outlineLevel="0" collapsed="false">
      <c r="E2856" s="41" t="str">
        <f aca="false">IF(D2856="","",IFERROR(VLOOKUP(D2856,Assumptions!$G$5:$H$16,2,0),"Other"))</f>
        <v/>
      </c>
      <c r="J2856" s="41" t="str">
        <f aca="false">IF(G2856="","",IFERROR(IF(ISNUMBER(SEARCH(Assumptions!$C$5,G2856)),Assumptions!$D$5,IF(ISNUMBER(SEARCH(Assumptions!$C$6,G2856)),Assumptions!$D$6,IF(ISNUMBER(SEARCH(Assumptions!$C$7,G2856)),Assumptions!$D$7,"Other Services"))),"Other Services"))</f>
        <v/>
      </c>
    </row>
    <row r="2857" customFormat="false" ht="15" hidden="false" customHeight="false" outlineLevel="0" collapsed="false">
      <c r="E2857" s="41" t="str">
        <f aca="false">IF(D2857="","",IFERROR(VLOOKUP(D2857,Assumptions!$G$5:$H$16,2,0),"Other"))</f>
        <v/>
      </c>
      <c r="J2857" s="41" t="str">
        <f aca="false">IF(G2857="","",IFERROR(IF(ISNUMBER(SEARCH(Assumptions!$C$5,G2857)),Assumptions!$D$5,IF(ISNUMBER(SEARCH(Assumptions!$C$6,G2857)),Assumptions!$D$6,IF(ISNUMBER(SEARCH(Assumptions!$C$7,G2857)),Assumptions!$D$7,"Other Services"))),"Other Services"))</f>
        <v/>
      </c>
    </row>
    <row r="2858" customFormat="false" ht="15" hidden="false" customHeight="false" outlineLevel="0" collapsed="false">
      <c r="E2858" s="41" t="str">
        <f aca="false">IF(D2858="","",IFERROR(VLOOKUP(D2858,Assumptions!$G$5:$H$16,2,0),"Other"))</f>
        <v/>
      </c>
      <c r="J2858" s="41" t="str">
        <f aca="false">IF(G2858="","",IFERROR(IF(ISNUMBER(SEARCH(Assumptions!$C$5,G2858)),Assumptions!$D$5,IF(ISNUMBER(SEARCH(Assumptions!$C$6,G2858)),Assumptions!$D$6,IF(ISNUMBER(SEARCH(Assumptions!$C$7,G2858)),Assumptions!$D$7,"Other Services"))),"Other Services"))</f>
        <v/>
      </c>
    </row>
    <row r="2859" customFormat="false" ht="15" hidden="false" customHeight="false" outlineLevel="0" collapsed="false">
      <c r="E2859" s="41" t="str">
        <f aca="false">IF(D2859="","",IFERROR(VLOOKUP(D2859,Assumptions!$G$5:$H$16,2,0),"Other"))</f>
        <v/>
      </c>
      <c r="J2859" s="41" t="str">
        <f aca="false">IF(G2859="","",IFERROR(IF(ISNUMBER(SEARCH(Assumptions!$C$5,G2859)),Assumptions!$D$5,IF(ISNUMBER(SEARCH(Assumptions!$C$6,G2859)),Assumptions!$D$6,IF(ISNUMBER(SEARCH(Assumptions!$C$7,G2859)),Assumptions!$D$7,"Other Services"))),"Other Services"))</f>
        <v/>
      </c>
    </row>
    <row r="2860" customFormat="false" ht="15" hidden="false" customHeight="false" outlineLevel="0" collapsed="false">
      <c r="E2860" s="41" t="str">
        <f aca="false">IF(D2860="","",IFERROR(VLOOKUP(D2860,Assumptions!$G$5:$H$16,2,0),"Other"))</f>
        <v/>
      </c>
      <c r="J2860" s="41" t="str">
        <f aca="false">IF(G2860="","",IFERROR(IF(ISNUMBER(SEARCH(Assumptions!$C$5,G2860)),Assumptions!$D$5,IF(ISNUMBER(SEARCH(Assumptions!$C$6,G2860)),Assumptions!$D$6,IF(ISNUMBER(SEARCH(Assumptions!$C$7,G2860)),Assumptions!$D$7,"Other Services"))),"Other Services"))</f>
        <v/>
      </c>
    </row>
    <row r="2861" customFormat="false" ht="15" hidden="false" customHeight="false" outlineLevel="0" collapsed="false">
      <c r="E2861" s="41" t="str">
        <f aca="false">IF(D2861="","",IFERROR(VLOOKUP(D2861,Assumptions!$G$5:$H$16,2,0),"Other"))</f>
        <v/>
      </c>
      <c r="J2861" s="41" t="str">
        <f aca="false">IF(G2861="","",IFERROR(IF(ISNUMBER(SEARCH(Assumptions!$C$5,G2861)),Assumptions!$D$5,IF(ISNUMBER(SEARCH(Assumptions!$C$6,G2861)),Assumptions!$D$6,IF(ISNUMBER(SEARCH(Assumptions!$C$7,G2861)),Assumptions!$D$7,"Other Services"))),"Other Services"))</f>
        <v/>
      </c>
    </row>
    <row r="2862" customFormat="false" ht="15" hidden="false" customHeight="false" outlineLevel="0" collapsed="false">
      <c r="E2862" s="41" t="str">
        <f aca="false">IF(D2862="","",IFERROR(VLOOKUP(D2862,Assumptions!$G$5:$H$16,2,0),"Other"))</f>
        <v/>
      </c>
      <c r="J2862" s="41" t="str">
        <f aca="false">IF(G2862="","",IFERROR(IF(ISNUMBER(SEARCH(Assumptions!$C$5,G2862)),Assumptions!$D$5,IF(ISNUMBER(SEARCH(Assumptions!$C$6,G2862)),Assumptions!$D$6,IF(ISNUMBER(SEARCH(Assumptions!$C$7,G2862)),Assumptions!$D$7,"Other Services"))),"Other Services"))</f>
        <v/>
      </c>
    </row>
    <row r="2863" customFormat="false" ht="15" hidden="false" customHeight="false" outlineLevel="0" collapsed="false">
      <c r="E2863" s="41" t="str">
        <f aca="false">IF(D2863="","",IFERROR(VLOOKUP(D2863,Assumptions!$G$5:$H$16,2,0),"Other"))</f>
        <v/>
      </c>
      <c r="J2863" s="41" t="str">
        <f aca="false">IF(G2863="","",IFERROR(IF(ISNUMBER(SEARCH(Assumptions!$C$5,G2863)),Assumptions!$D$5,IF(ISNUMBER(SEARCH(Assumptions!$C$6,G2863)),Assumptions!$D$6,IF(ISNUMBER(SEARCH(Assumptions!$C$7,G2863)),Assumptions!$D$7,"Other Services"))),"Other Services"))</f>
        <v/>
      </c>
    </row>
    <row r="2864" customFormat="false" ht="15" hidden="false" customHeight="false" outlineLevel="0" collapsed="false">
      <c r="E2864" s="41" t="str">
        <f aca="false">IF(D2864="","",IFERROR(VLOOKUP(D2864,Assumptions!$G$5:$H$16,2,0),"Other"))</f>
        <v/>
      </c>
      <c r="J2864" s="41" t="str">
        <f aca="false">IF(G2864="","",IFERROR(IF(ISNUMBER(SEARCH(Assumptions!$C$5,G2864)),Assumptions!$D$5,IF(ISNUMBER(SEARCH(Assumptions!$C$6,G2864)),Assumptions!$D$6,IF(ISNUMBER(SEARCH(Assumptions!$C$7,G2864)),Assumptions!$D$7,"Other Services"))),"Other Services"))</f>
        <v/>
      </c>
    </row>
    <row r="2865" customFormat="false" ht="15" hidden="false" customHeight="false" outlineLevel="0" collapsed="false">
      <c r="E2865" s="41" t="str">
        <f aca="false">IF(D2865="","",IFERROR(VLOOKUP(D2865,Assumptions!$G$5:$H$16,2,0),"Other"))</f>
        <v/>
      </c>
      <c r="J2865" s="41" t="str">
        <f aca="false">IF(G2865="","",IFERROR(IF(ISNUMBER(SEARCH(Assumptions!$C$5,G2865)),Assumptions!$D$5,IF(ISNUMBER(SEARCH(Assumptions!$C$6,G2865)),Assumptions!$D$6,IF(ISNUMBER(SEARCH(Assumptions!$C$7,G2865)),Assumptions!$D$7,"Other Services"))),"Other Services"))</f>
        <v/>
      </c>
    </row>
    <row r="2866" customFormat="false" ht="15" hidden="false" customHeight="false" outlineLevel="0" collapsed="false">
      <c r="E2866" s="41" t="str">
        <f aca="false">IF(D2866="","",IFERROR(VLOOKUP(D2866,Assumptions!$G$5:$H$16,2,0),"Other"))</f>
        <v/>
      </c>
      <c r="J2866" s="41" t="str">
        <f aca="false">IF(G2866="","",IFERROR(IF(ISNUMBER(SEARCH(Assumptions!$C$5,G2866)),Assumptions!$D$5,IF(ISNUMBER(SEARCH(Assumptions!$C$6,G2866)),Assumptions!$D$6,IF(ISNUMBER(SEARCH(Assumptions!$C$7,G2866)),Assumptions!$D$7,"Other Services"))),"Other Services"))</f>
        <v/>
      </c>
    </row>
    <row r="2867" customFormat="false" ht="15" hidden="false" customHeight="false" outlineLevel="0" collapsed="false">
      <c r="E2867" s="41" t="str">
        <f aca="false">IF(D2867="","",IFERROR(VLOOKUP(D2867,Assumptions!$G$5:$H$16,2,0),"Other"))</f>
        <v/>
      </c>
      <c r="J2867" s="41" t="str">
        <f aca="false">IF(G2867="","",IFERROR(IF(ISNUMBER(SEARCH(Assumptions!$C$5,G2867)),Assumptions!$D$5,IF(ISNUMBER(SEARCH(Assumptions!$C$6,G2867)),Assumptions!$D$6,IF(ISNUMBER(SEARCH(Assumptions!$C$7,G2867)),Assumptions!$D$7,"Other Services"))),"Other Services"))</f>
        <v/>
      </c>
    </row>
    <row r="2868" customFormat="false" ht="15" hidden="false" customHeight="false" outlineLevel="0" collapsed="false">
      <c r="E2868" s="41" t="str">
        <f aca="false">IF(D2868="","",IFERROR(VLOOKUP(D2868,Assumptions!$G$5:$H$16,2,0),"Other"))</f>
        <v/>
      </c>
      <c r="J2868" s="41" t="str">
        <f aca="false">IF(G2868="","",IFERROR(IF(ISNUMBER(SEARCH(Assumptions!$C$5,G2868)),Assumptions!$D$5,IF(ISNUMBER(SEARCH(Assumptions!$C$6,G2868)),Assumptions!$D$6,IF(ISNUMBER(SEARCH(Assumptions!$C$7,G2868)),Assumptions!$D$7,"Other Services"))),"Other Services"))</f>
        <v/>
      </c>
    </row>
    <row r="2869" customFormat="false" ht="15" hidden="false" customHeight="false" outlineLevel="0" collapsed="false">
      <c r="E2869" s="41" t="str">
        <f aca="false">IF(D2869="","",IFERROR(VLOOKUP(D2869,Assumptions!$G$5:$H$16,2,0),"Other"))</f>
        <v/>
      </c>
      <c r="J2869" s="41" t="str">
        <f aca="false">IF(G2869="","",IFERROR(IF(ISNUMBER(SEARCH(Assumptions!$C$5,G2869)),Assumptions!$D$5,IF(ISNUMBER(SEARCH(Assumptions!$C$6,G2869)),Assumptions!$D$6,IF(ISNUMBER(SEARCH(Assumptions!$C$7,G2869)),Assumptions!$D$7,"Other Services"))),"Other Services"))</f>
        <v/>
      </c>
    </row>
    <row r="2870" customFormat="false" ht="15" hidden="false" customHeight="false" outlineLevel="0" collapsed="false">
      <c r="E2870" s="41" t="str">
        <f aca="false">IF(D2870="","",IFERROR(VLOOKUP(D2870,Assumptions!$G$5:$H$16,2,0),"Other"))</f>
        <v/>
      </c>
      <c r="J2870" s="41" t="str">
        <f aca="false">IF(G2870="","",IFERROR(IF(ISNUMBER(SEARCH(Assumptions!$C$5,G2870)),Assumptions!$D$5,IF(ISNUMBER(SEARCH(Assumptions!$C$6,G2870)),Assumptions!$D$6,IF(ISNUMBER(SEARCH(Assumptions!$C$7,G2870)),Assumptions!$D$7,"Other Services"))),"Other Services"))</f>
        <v/>
      </c>
    </row>
    <row r="2871" customFormat="false" ht="15" hidden="false" customHeight="false" outlineLevel="0" collapsed="false">
      <c r="E2871" s="41" t="str">
        <f aca="false">IF(D2871="","",IFERROR(VLOOKUP(D2871,Assumptions!$G$5:$H$16,2,0),"Other"))</f>
        <v/>
      </c>
      <c r="J2871" s="41" t="str">
        <f aca="false">IF(G2871="","",IFERROR(IF(ISNUMBER(SEARCH(Assumptions!$C$5,G2871)),Assumptions!$D$5,IF(ISNUMBER(SEARCH(Assumptions!$C$6,G2871)),Assumptions!$D$6,IF(ISNUMBER(SEARCH(Assumptions!$C$7,G2871)),Assumptions!$D$7,"Other Services"))),"Other Services"))</f>
        <v/>
      </c>
    </row>
    <row r="2872" customFormat="false" ht="15" hidden="false" customHeight="false" outlineLevel="0" collapsed="false">
      <c r="E2872" s="41" t="str">
        <f aca="false">IF(D2872="","",IFERROR(VLOOKUP(D2872,Assumptions!$G$5:$H$16,2,0),"Other"))</f>
        <v/>
      </c>
      <c r="J2872" s="41" t="str">
        <f aca="false">IF(G2872="","",IFERROR(IF(ISNUMBER(SEARCH(Assumptions!$C$5,G2872)),Assumptions!$D$5,IF(ISNUMBER(SEARCH(Assumptions!$C$6,G2872)),Assumptions!$D$6,IF(ISNUMBER(SEARCH(Assumptions!$C$7,G2872)),Assumptions!$D$7,"Other Services"))),"Other Services"))</f>
        <v/>
      </c>
    </row>
    <row r="2873" customFormat="false" ht="15" hidden="false" customHeight="false" outlineLevel="0" collapsed="false">
      <c r="E2873" s="41" t="str">
        <f aca="false">IF(D2873="","",IFERROR(VLOOKUP(D2873,Assumptions!$G$5:$H$16,2,0),"Other"))</f>
        <v/>
      </c>
      <c r="J2873" s="41" t="str">
        <f aca="false">IF(G2873="","",IFERROR(IF(ISNUMBER(SEARCH(Assumptions!$C$5,G2873)),Assumptions!$D$5,IF(ISNUMBER(SEARCH(Assumptions!$C$6,G2873)),Assumptions!$D$6,IF(ISNUMBER(SEARCH(Assumptions!$C$7,G2873)),Assumptions!$D$7,"Other Services"))),"Other Services"))</f>
        <v/>
      </c>
    </row>
    <row r="2874" customFormat="false" ht="15" hidden="false" customHeight="false" outlineLevel="0" collapsed="false">
      <c r="E2874" s="41" t="str">
        <f aca="false">IF(D2874="","",IFERROR(VLOOKUP(D2874,Assumptions!$G$5:$H$16,2,0),"Other"))</f>
        <v/>
      </c>
      <c r="J2874" s="41" t="str">
        <f aca="false">IF(G2874="","",IFERROR(IF(ISNUMBER(SEARCH(Assumptions!$C$5,G2874)),Assumptions!$D$5,IF(ISNUMBER(SEARCH(Assumptions!$C$6,G2874)),Assumptions!$D$6,IF(ISNUMBER(SEARCH(Assumptions!$C$7,G2874)),Assumptions!$D$7,"Other Services"))),"Other Services"))</f>
        <v/>
      </c>
    </row>
    <row r="2875" customFormat="false" ht="15" hidden="false" customHeight="false" outlineLevel="0" collapsed="false">
      <c r="E2875" s="41" t="str">
        <f aca="false">IF(D2875="","",IFERROR(VLOOKUP(D2875,Assumptions!$G$5:$H$16,2,0),"Other"))</f>
        <v/>
      </c>
      <c r="J2875" s="41" t="str">
        <f aca="false">IF(G2875="","",IFERROR(IF(ISNUMBER(SEARCH(Assumptions!$C$5,G2875)),Assumptions!$D$5,IF(ISNUMBER(SEARCH(Assumptions!$C$6,G2875)),Assumptions!$D$6,IF(ISNUMBER(SEARCH(Assumptions!$C$7,G2875)),Assumptions!$D$7,"Other Services"))),"Other Services"))</f>
        <v/>
      </c>
    </row>
    <row r="2876" customFormat="false" ht="15" hidden="false" customHeight="false" outlineLevel="0" collapsed="false">
      <c r="E2876" s="41" t="str">
        <f aca="false">IF(D2876="","",IFERROR(VLOOKUP(D2876,Assumptions!$G$5:$H$16,2,0),"Other"))</f>
        <v/>
      </c>
      <c r="J2876" s="41" t="str">
        <f aca="false">IF(G2876="","",IFERROR(IF(ISNUMBER(SEARCH(Assumptions!$C$5,G2876)),Assumptions!$D$5,IF(ISNUMBER(SEARCH(Assumptions!$C$6,G2876)),Assumptions!$D$6,IF(ISNUMBER(SEARCH(Assumptions!$C$7,G2876)),Assumptions!$D$7,"Other Services"))),"Other Services"))</f>
        <v/>
      </c>
    </row>
    <row r="2877" customFormat="false" ht="15" hidden="false" customHeight="false" outlineLevel="0" collapsed="false">
      <c r="E2877" s="41" t="str">
        <f aca="false">IF(D2877="","",IFERROR(VLOOKUP(D2877,Assumptions!$G$5:$H$16,2,0),"Other"))</f>
        <v/>
      </c>
      <c r="J2877" s="41" t="str">
        <f aca="false">IF(G2877="","",IFERROR(IF(ISNUMBER(SEARCH(Assumptions!$C$5,G2877)),Assumptions!$D$5,IF(ISNUMBER(SEARCH(Assumptions!$C$6,G2877)),Assumptions!$D$6,IF(ISNUMBER(SEARCH(Assumptions!$C$7,G2877)),Assumptions!$D$7,"Other Services"))),"Other Services"))</f>
        <v/>
      </c>
    </row>
    <row r="2878" customFormat="false" ht="15" hidden="false" customHeight="false" outlineLevel="0" collapsed="false">
      <c r="E2878" s="41" t="str">
        <f aca="false">IF(D2878="","",IFERROR(VLOOKUP(D2878,Assumptions!$G$5:$H$16,2,0),"Other"))</f>
        <v/>
      </c>
      <c r="J2878" s="41" t="str">
        <f aca="false">IF(G2878="","",IFERROR(IF(ISNUMBER(SEARCH(Assumptions!$C$5,G2878)),Assumptions!$D$5,IF(ISNUMBER(SEARCH(Assumptions!$C$6,G2878)),Assumptions!$D$6,IF(ISNUMBER(SEARCH(Assumptions!$C$7,G2878)),Assumptions!$D$7,"Other Services"))),"Other Services"))</f>
        <v/>
      </c>
    </row>
    <row r="2879" customFormat="false" ht="15" hidden="false" customHeight="false" outlineLevel="0" collapsed="false">
      <c r="E2879" s="41" t="str">
        <f aca="false">IF(D2879="","",IFERROR(VLOOKUP(D2879,Assumptions!$G$5:$H$16,2,0),"Other"))</f>
        <v/>
      </c>
      <c r="J2879" s="41" t="str">
        <f aca="false">IF(G2879="","",IFERROR(IF(ISNUMBER(SEARCH(Assumptions!$C$5,G2879)),Assumptions!$D$5,IF(ISNUMBER(SEARCH(Assumptions!$C$6,G2879)),Assumptions!$D$6,IF(ISNUMBER(SEARCH(Assumptions!$C$7,G2879)),Assumptions!$D$7,"Other Services"))),"Other Services"))</f>
        <v/>
      </c>
    </row>
    <row r="2880" customFormat="false" ht="15" hidden="false" customHeight="false" outlineLevel="0" collapsed="false">
      <c r="E2880" s="41" t="str">
        <f aca="false">IF(D2880="","",IFERROR(VLOOKUP(D2880,Assumptions!$G$5:$H$16,2,0),"Other"))</f>
        <v/>
      </c>
      <c r="J2880" s="41" t="str">
        <f aca="false">IF(G2880="","",IFERROR(IF(ISNUMBER(SEARCH(Assumptions!$C$5,G2880)),Assumptions!$D$5,IF(ISNUMBER(SEARCH(Assumptions!$C$6,G2880)),Assumptions!$D$6,IF(ISNUMBER(SEARCH(Assumptions!$C$7,G2880)),Assumptions!$D$7,"Other Services"))),"Other Services"))</f>
        <v/>
      </c>
    </row>
    <row r="2881" customFormat="false" ht="15" hidden="false" customHeight="false" outlineLevel="0" collapsed="false">
      <c r="E2881" s="41" t="str">
        <f aca="false">IF(D2881="","",IFERROR(VLOOKUP(D2881,Assumptions!$G$5:$H$16,2,0),"Other"))</f>
        <v/>
      </c>
      <c r="J2881" s="41" t="str">
        <f aca="false">IF(G2881="","",IFERROR(IF(ISNUMBER(SEARCH(Assumptions!$C$5,G2881)),Assumptions!$D$5,IF(ISNUMBER(SEARCH(Assumptions!$C$6,G2881)),Assumptions!$D$6,IF(ISNUMBER(SEARCH(Assumptions!$C$7,G2881)),Assumptions!$D$7,"Other Services"))),"Other Services"))</f>
        <v/>
      </c>
    </row>
    <row r="2882" customFormat="false" ht="15" hidden="false" customHeight="false" outlineLevel="0" collapsed="false">
      <c r="E2882" s="41" t="str">
        <f aca="false">IF(D2882="","",IFERROR(VLOOKUP(D2882,Assumptions!$G$5:$H$16,2,0),"Other"))</f>
        <v/>
      </c>
      <c r="J2882" s="41" t="str">
        <f aca="false">IF(G2882="","",IFERROR(IF(ISNUMBER(SEARCH(Assumptions!$C$5,G2882)),Assumptions!$D$5,IF(ISNUMBER(SEARCH(Assumptions!$C$6,G2882)),Assumptions!$D$6,IF(ISNUMBER(SEARCH(Assumptions!$C$7,G2882)),Assumptions!$D$7,"Other Services"))),"Other Services"))</f>
        <v/>
      </c>
    </row>
    <row r="2883" customFormat="false" ht="15" hidden="false" customHeight="false" outlineLevel="0" collapsed="false">
      <c r="E2883" s="41" t="str">
        <f aca="false">IF(D2883="","",IFERROR(VLOOKUP(D2883,Assumptions!$G$5:$H$16,2,0),"Other"))</f>
        <v/>
      </c>
      <c r="J2883" s="41" t="str">
        <f aca="false">IF(G2883="","",IFERROR(IF(ISNUMBER(SEARCH(Assumptions!$C$5,G2883)),Assumptions!$D$5,IF(ISNUMBER(SEARCH(Assumptions!$C$6,G2883)),Assumptions!$D$6,IF(ISNUMBER(SEARCH(Assumptions!$C$7,G2883)),Assumptions!$D$7,"Other Services"))),"Other Services"))</f>
        <v/>
      </c>
    </row>
    <row r="2884" customFormat="false" ht="15" hidden="false" customHeight="false" outlineLevel="0" collapsed="false">
      <c r="E2884" s="41" t="str">
        <f aca="false">IF(D2884="","",IFERROR(VLOOKUP(D2884,Assumptions!$G$5:$H$16,2,0),"Other"))</f>
        <v/>
      </c>
      <c r="J2884" s="41" t="str">
        <f aca="false">IF(G2884="","",IFERROR(IF(ISNUMBER(SEARCH(Assumptions!$C$5,G2884)),Assumptions!$D$5,IF(ISNUMBER(SEARCH(Assumptions!$C$6,G2884)),Assumptions!$D$6,IF(ISNUMBER(SEARCH(Assumptions!$C$7,G2884)),Assumptions!$D$7,"Other Services"))),"Other Services"))</f>
        <v/>
      </c>
    </row>
    <row r="2885" customFormat="false" ht="15" hidden="false" customHeight="false" outlineLevel="0" collapsed="false">
      <c r="E2885" s="41" t="str">
        <f aca="false">IF(D2885="","",IFERROR(VLOOKUP(D2885,Assumptions!$G$5:$H$16,2,0),"Other"))</f>
        <v/>
      </c>
      <c r="J2885" s="41" t="str">
        <f aca="false">IF(G2885="","",IFERROR(IF(ISNUMBER(SEARCH(Assumptions!$C$5,G2885)),Assumptions!$D$5,IF(ISNUMBER(SEARCH(Assumptions!$C$6,G2885)),Assumptions!$D$6,IF(ISNUMBER(SEARCH(Assumptions!$C$7,G2885)),Assumptions!$D$7,"Other Services"))),"Other Services"))</f>
        <v/>
      </c>
    </row>
    <row r="2886" customFormat="false" ht="15" hidden="false" customHeight="false" outlineLevel="0" collapsed="false">
      <c r="E2886" s="41" t="str">
        <f aca="false">IF(D2886="","",IFERROR(VLOOKUP(D2886,Assumptions!$G$5:$H$16,2,0),"Other"))</f>
        <v/>
      </c>
      <c r="J2886" s="41" t="str">
        <f aca="false">IF(G2886="","",IFERROR(IF(ISNUMBER(SEARCH(Assumptions!$C$5,G2886)),Assumptions!$D$5,IF(ISNUMBER(SEARCH(Assumptions!$C$6,G2886)),Assumptions!$D$6,IF(ISNUMBER(SEARCH(Assumptions!$C$7,G2886)),Assumptions!$D$7,"Other Services"))),"Other Services"))</f>
        <v/>
      </c>
    </row>
    <row r="2887" customFormat="false" ht="15" hidden="false" customHeight="false" outlineLevel="0" collapsed="false">
      <c r="E2887" s="41" t="str">
        <f aca="false">IF(D2887="","",IFERROR(VLOOKUP(D2887,Assumptions!$G$5:$H$16,2,0),"Other"))</f>
        <v/>
      </c>
      <c r="J2887" s="41" t="str">
        <f aca="false">IF(G2887="","",IFERROR(IF(ISNUMBER(SEARCH(Assumptions!$C$5,G2887)),Assumptions!$D$5,IF(ISNUMBER(SEARCH(Assumptions!$C$6,G2887)),Assumptions!$D$6,IF(ISNUMBER(SEARCH(Assumptions!$C$7,G2887)),Assumptions!$D$7,"Other Services"))),"Other Services"))</f>
        <v/>
      </c>
    </row>
    <row r="2888" customFormat="false" ht="15" hidden="false" customHeight="false" outlineLevel="0" collapsed="false">
      <c r="E2888" s="41" t="str">
        <f aca="false">IF(D2888="","",IFERROR(VLOOKUP(D2888,Assumptions!$G$5:$H$16,2,0),"Other"))</f>
        <v/>
      </c>
      <c r="J2888" s="41" t="str">
        <f aca="false">IF(G2888="","",IFERROR(IF(ISNUMBER(SEARCH(Assumptions!$C$5,G2888)),Assumptions!$D$5,IF(ISNUMBER(SEARCH(Assumptions!$C$6,G2888)),Assumptions!$D$6,IF(ISNUMBER(SEARCH(Assumptions!$C$7,G2888)),Assumptions!$D$7,"Other Services"))),"Other Services"))</f>
        <v/>
      </c>
    </row>
    <row r="2889" customFormat="false" ht="15" hidden="false" customHeight="false" outlineLevel="0" collapsed="false">
      <c r="E2889" s="41" t="str">
        <f aca="false">IF(D2889="","",IFERROR(VLOOKUP(D2889,Assumptions!$G$5:$H$16,2,0),"Other"))</f>
        <v/>
      </c>
      <c r="J2889" s="41" t="str">
        <f aca="false">IF(G2889="","",IFERROR(IF(ISNUMBER(SEARCH(Assumptions!$C$5,G2889)),Assumptions!$D$5,IF(ISNUMBER(SEARCH(Assumptions!$C$6,G2889)),Assumptions!$D$6,IF(ISNUMBER(SEARCH(Assumptions!$C$7,G2889)),Assumptions!$D$7,"Other Services"))),"Other Services"))</f>
        <v/>
      </c>
    </row>
    <row r="2890" customFormat="false" ht="15" hidden="false" customHeight="false" outlineLevel="0" collapsed="false">
      <c r="E2890" s="41" t="str">
        <f aca="false">IF(D2890="","",IFERROR(VLOOKUP(D2890,Assumptions!$G$5:$H$16,2,0),"Other"))</f>
        <v/>
      </c>
      <c r="J2890" s="41" t="str">
        <f aca="false">IF(G2890="","",IFERROR(IF(ISNUMBER(SEARCH(Assumptions!$C$5,G2890)),Assumptions!$D$5,IF(ISNUMBER(SEARCH(Assumptions!$C$6,G2890)),Assumptions!$D$6,IF(ISNUMBER(SEARCH(Assumptions!$C$7,G2890)),Assumptions!$D$7,"Other Services"))),"Other Services"))</f>
        <v/>
      </c>
    </row>
    <row r="2891" customFormat="false" ht="15" hidden="false" customHeight="false" outlineLevel="0" collapsed="false">
      <c r="E2891" s="41" t="str">
        <f aca="false">IF(D2891="","",IFERROR(VLOOKUP(D2891,Assumptions!$G$5:$H$16,2,0),"Other"))</f>
        <v/>
      </c>
      <c r="J2891" s="41" t="str">
        <f aca="false">IF(G2891="","",IFERROR(IF(ISNUMBER(SEARCH(Assumptions!$C$5,G2891)),Assumptions!$D$5,IF(ISNUMBER(SEARCH(Assumptions!$C$6,G2891)),Assumptions!$D$6,IF(ISNUMBER(SEARCH(Assumptions!$C$7,G2891)),Assumptions!$D$7,"Other Services"))),"Other Services"))</f>
        <v/>
      </c>
    </row>
    <row r="2892" customFormat="false" ht="15" hidden="false" customHeight="false" outlineLevel="0" collapsed="false">
      <c r="E2892" s="41" t="str">
        <f aca="false">IF(D2892="","",IFERROR(VLOOKUP(D2892,Assumptions!$G$5:$H$16,2,0),"Other"))</f>
        <v/>
      </c>
      <c r="J2892" s="41" t="str">
        <f aca="false">IF(G2892="","",IFERROR(IF(ISNUMBER(SEARCH(Assumptions!$C$5,G2892)),Assumptions!$D$5,IF(ISNUMBER(SEARCH(Assumptions!$C$6,G2892)),Assumptions!$D$6,IF(ISNUMBER(SEARCH(Assumptions!$C$7,G2892)),Assumptions!$D$7,"Other Services"))),"Other Services"))</f>
        <v/>
      </c>
    </row>
    <row r="2893" customFormat="false" ht="15" hidden="false" customHeight="false" outlineLevel="0" collapsed="false">
      <c r="E2893" s="41" t="str">
        <f aca="false">IF(D2893="","",IFERROR(VLOOKUP(D2893,Assumptions!$G$5:$H$16,2,0),"Other"))</f>
        <v/>
      </c>
      <c r="J2893" s="41" t="str">
        <f aca="false">IF(G2893="","",IFERROR(IF(ISNUMBER(SEARCH(Assumptions!$C$5,G2893)),Assumptions!$D$5,IF(ISNUMBER(SEARCH(Assumptions!$C$6,G2893)),Assumptions!$D$6,IF(ISNUMBER(SEARCH(Assumptions!$C$7,G2893)),Assumptions!$D$7,"Other Services"))),"Other Services"))</f>
        <v/>
      </c>
    </row>
    <row r="2894" customFormat="false" ht="15" hidden="false" customHeight="false" outlineLevel="0" collapsed="false">
      <c r="E2894" s="41" t="str">
        <f aca="false">IF(D2894="","",IFERROR(VLOOKUP(D2894,Assumptions!$G$5:$H$16,2,0),"Other"))</f>
        <v/>
      </c>
      <c r="J2894" s="41" t="str">
        <f aca="false">IF(G2894="","",IFERROR(IF(ISNUMBER(SEARCH(Assumptions!$C$5,G2894)),Assumptions!$D$5,IF(ISNUMBER(SEARCH(Assumptions!$C$6,G2894)),Assumptions!$D$6,IF(ISNUMBER(SEARCH(Assumptions!$C$7,G2894)),Assumptions!$D$7,"Other Services"))),"Other Services"))</f>
        <v/>
      </c>
    </row>
    <row r="2895" customFormat="false" ht="15" hidden="false" customHeight="false" outlineLevel="0" collapsed="false">
      <c r="E2895" s="41" t="str">
        <f aca="false">IF(D2895="","",IFERROR(VLOOKUP(D2895,Assumptions!$G$5:$H$16,2,0),"Other"))</f>
        <v/>
      </c>
      <c r="J2895" s="41" t="str">
        <f aca="false">IF(G2895="","",IFERROR(IF(ISNUMBER(SEARCH(Assumptions!$C$5,G2895)),Assumptions!$D$5,IF(ISNUMBER(SEARCH(Assumptions!$C$6,G2895)),Assumptions!$D$6,IF(ISNUMBER(SEARCH(Assumptions!$C$7,G2895)),Assumptions!$D$7,"Other Services"))),"Other Services"))</f>
        <v/>
      </c>
    </row>
    <row r="2896" customFormat="false" ht="15" hidden="false" customHeight="false" outlineLevel="0" collapsed="false">
      <c r="E2896" s="41" t="str">
        <f aca="false">IF(D2896="","",IFERROR(VLOOKUP(D2896,Assumptions!$G$5:$H$16,2,0),"Other"))</f>
        <v/>
      </c>
      <c r="J2896" s="41" t="str">
        <f aca="false">IF(G2896="","",IFERROR(IF(ISNUMBER(SEARCH(Assumptions!$C$5,G2896)),Assumptions!$D$5,IF(ISNUMBER(SEARCH(Assumptions!$C$6,G2896)),Assumptions!$D$6,IF(ISNUMBER(SEARCH(Assumptions!$C$7,G2896)),Assumptions!$D$7,"Other Services"))),"Other Services"))</f>
        <v/>
      </c>
    </row>
    <row r="2897" customFormat="false" ht="15" hidden="false" customHeight="false" outlineLevel="0" collapsed="false">
      <c r="E2897" s="41" t="str">
        <f aca="false">IF(D2897="","",IFERROR(VLOOKUP(D2897,Assumptions!$G$5:$H$16,2,0),"Other"))</f>
        <v/>
      </c>
      <c r="J2897" s="41" t="str">
        <f aca="false">IF(G2897="","",IFERROR(IF(ISNUMBER(SEARCH(Assumptions!$C$5,G2897)),Assumptions!$D$5,IF(ISNUMBER(SEARCH(Assumptions!$C$6,G2897)),Assumptions!$D$6,IF(ISNUMBER(SEARCH(Assumptions!$C$7,G2897)),Assumptions!$D$7,"Other Services"))),"Other Services"))</f>
        <v/>
      </c>
    </row>
    <row r="2898" customFormat="false" ht="15" hidden="false" customHeight="false" outlineLevel="0" collapsed="false">
      <c r="E2898" s="41" t="str">
        <f aca="false">IF(D2898="","",IFERROR(VLOOKUP(D2898,Assumptions!$G$5:$H$16,2,0),"Other"))</f>
        <v/>
      </c>
      <c r="J2898" s="41" t="str">
        <f aca="false">IF(G2898="","",IFERROR(IF(ISNUMBER(SEARCH(Assumptions!$C$5,G2898)),Assumptions!$D$5,IF(ISNUMBER(SEARCH(Assumptions!$C$6,G2898)),Assumptions!$D$6,IF(ISNUMBER(SEARCH(Assumptions!$C$7,G2898)),Assumptions!$D$7,"Other Services"))),"Other Services"))</f>
        <v/>
      </c>
    </row>
    <row r="2899" customFormat="false" ht="15" hidden="false" customHeight="false" outlineLevel="0" collapsed="false">
      <c r="E2899" s="41" t="str">
        <f aca="false">IF(D2899="","",IFERROR(VLOOKUP(D2899,Assumptions!$G$5:$H$16,2,0),"Other"))</f>
        <v/>
      </c>
      <c r="J2899" s="41" t="str">
        <f aca="false">IF(G2899="","",IFERROR(IF(ISNUMBER(SEARCH(Assumptions!$C$5,G2899)),Assumptions!$D$5,IF(ISNUMBER(SEARCH(Assumptions!$C$6,G2899)),Assumptions!$D$6,IF(ISNUMBER(SEARCH(Assumptions!$C$7,G2899)),Assumptions!$D$7,"Other Services"))),"Other Services"))</f>
        <v/>
      </c>
    </row>
    <row r="2900" customFormat="false" ht="15" hidden="false" customHeight="false" outlineLevel="0" collapsed="false">
      <c r="E2900" s="41" t="str">
        <f aca="false">IF(D2900="","",IFERROR(VLOOKUP(D2900,Assumptions!$G$5:$H$16,2,0),"Other"))</f>
        <v/>
      </c>
      <c r="J2900" s="41" t="str">
        <f aca="false">IF(G2900="","",IFERROR(IF(ISNUMBER(SEARCH(Assumptions!$C$5,G2900)),Assumptions!$D$5,IF(ISNUMBER(SEARCH(Assumptions!$C$6,G2900)),Assumptions!$D$6,IF(ISNUMBER(SEARCH(Assumptions!$C$7,G2900)),Assumptions!$D$7,"Other Services"))),"Other Services"))</f>
        <v/>
      </c>
    </row>
    <row r="2901" customFormat="false" ht="15" hidden="false" customHeight="false" outlineLevel="0" collapsed="false">
      <c r="E2901" s="41" t="str">
        <f aca="false">IF(D2901="","",IFERROR(VLOOKUP(D2901,Assumptions!$G$5:$H$16,2,0),"Other"))</f>
        <v/>
      </c>
      <c r="J2901" s="41" t="str">
        <f aca="false">IF(G2901="","",IFERROR(IF(ISNUMBER(SEARCH(Assumptions!$C$5,G2901)),Assumptions!$D$5,IF(ISNUMBER(SEARCH(Assumptions!$C$6,G2901)),Assumptions!$D$6,IF(ISNUMBER(SEARCH(Assumptions!$C$7,G2901)),Assumptions!$D$7,"Other Services"))),"Other Services"))</f>
        <v/>
      </c>
    </row>
    <row r="2902" customFormat="false" ht="15" hidden="false" customHeight="false" outlineLevel="0" collapsed="false">
      <c r="E2902" s="41" t="str">
        <f aca="false">IF(D2902="","",IFERROR(VLOOKUP(D2902,Assumptions!$G$5:$H$16,2,0),"Other"))</f>
        <v/>
      </c>
      <c r="J2902" s="41" t="str">
        <f aca="false">IF(G2902="","",IFERROR(IF(ISNUMBER(SEARCH(Assumptions!$C$5,G2902)),Assumptions!$D$5,IF(ISNUMBER(SEARCH(Assumptions!$C$6,G2902)),Assumptions!$D$6,IF(ISNUMBER(SEARCH(Assumptions!$C$7,G2902)),Assumptions!$D$7,"Other Services"))),"Other Services"))</f>
        <v/>
      </c>
    </row>
    <row r="2903" customFormat="false" ht="15" hidden="false" customHeight="false" outlineLevel="0" collapsed="false">
      <c r="E2903" s="41" t="str">
        <f aca="false">IF(D2903="","",IFERROR(VLOOKUP(D2903,Assumptions!$G$5:$H$16,2,0),"Other"))</f>
        <v/>
      </c>
      <c r="J2903" s="41" t="str">
        <f aca="false">IF(G2903="","",IFERROR(IF(ISNUMBER(SEARCH(Assumptions!$C$5,G2903)),Assumptions!$D$5,IF(ISNUMBER(SEARCH(Assumptions!$C$6,G2903)),Assumptions!$D$6,IF(ISNUMBER(SEARCH(Assumptions!$C$7,G2903)),Assumptions!$D$7,"Other Services"))),"Other Services"))</f>
        <v/>
      </c>
    </row>
    <row r="2904" customFormat="false" ht="15" hidden="false" customHeight="false" outlineLevel="0" collapsed="false">
      <c r="E2904" s="41" t="str">
        <f aca="false">IF(D2904="","",IFERROR(VLOOKUP(D2904,Assumptions!$G$5:$H$16,2,0),"Other"))</f>
        <v/>
      </c>
      <c r="J2904" s="41" t="str">
        <f aca="false">IF(G2904="","",IFERROR(IF(ISNUMBER(SEARCH(Assumptions!$C$5,G2904)),Assumptions!$D$5,IF(ISNUMBER(SEARCH(Assumptions!$C$6,G2904)),Assumptions!$D$6,IF(ISNUMBER(SEARCH(Assumptions!$C$7,G2904)),Assumptions!$D$7,"Other Services"))),"Other Services"))</f>
        <v/>
      </c>
    </row>
    <row r="2905" customFormat="false" ht="15" hidden="false" customHeight="false" outlineLevel="0" collapsed="false">
      <c r="E2905" s="41" t="str">
        <f aca="false">IF(D2905="","",IFERROR(VLOOKUP(D2905,Assumptions!$G$5:$H$16,2,0),"Other"))</f>
        <v/>
      </c>
      <c r="J2905" s="41" t="str">
        <f aca="false">IF(G2905="","",IFERROR(IF(ISNUMBER(SEARCH(Assumptions!$C$5,G2905)),Assumptions!$D$5,IF(ISNUMBER(SEARCH(Assumptions!$C$6,G2905)),Assumptions!$D$6,IF(ISNUMBER(SEARCH(Assumptions!$C$7,G2905)),Assumptions!$D$7,"Other Services"))),"Other Services"))</f>
        <v/>
      </c>
    </row>
    <row r="2906" customFormat="false" ht="15" hidden="false" customHeight="false" outlineLevel="0" collapsed="false">
      <c r="E2906" s="41" t="str">
        <f aca="false">IF(D2906="","",IFERROR(VLOOKUP(D2906,Assumptions!$G$5:$H$16,2,0),"Other"))</f>
        <v/>
      </c>
      <c r="J2906" s="41" t="str">
        <f aca="false">IF(G2906="","",IFERROR(IF(ISNUMBER(SEARCH(Assumptions!$C$5,G2906)),Assumptions!$D$5,IF(ISNUMBER(SEARCH(Assumptions!$C$6,G2906)),Assumptions!$D$6,IF(ISNUMBER(SEARCH(Assumptions!$C$7,G2906)),Assumptions!$D$7,"Other Services"))),"Other Services"))</f>
        <v/>
      </c>
    </row>
    <row r="2907" customFormat="false" ht="15" hidden="false" customHeight="false" outlineLevel="0" collapsed="false">
      <c r="E2907" s="41" t="str">
        <f aca="false">IF(D2907="","",IFERROR(VLOOKUP(D2907,Assumptions!$G$5:$H$16,2,0),"Other"))</f>
        <v/>
      </c>
      <c r="J2907" s="41" t="str">
        <f aca="false">IF(G2907="","",IFERROR(IF(ISNUMBER(SEARCH(Assumptions!$C$5,G2907)),Assumptions!$D$5,IF(ISNUMBER(SEARCH(Assumptions!$C$6,G2907)),Assumptions!$D$6,IF(ISNUMBER(SEARCH(Assumptions!$C$7,G2907)),Assumptions!$D$7,"Other Services"))),"Other Services"))</f>
        <v/>
      </c>
    </row>
    <row r="2908" customFormat="false" ht="15" hidden="false" customHeight="false" outlineLevel="0" collapsed="false">
      <c r="E2908" s="41" t="str">
        <f aca="false">IF(D2908="","",IFERROR(VLOOKUP(D2908,Assumptions!$G$5:$H$16,2,0),"Other"))</f>
        <v/>
      </c>
      <c r="J2908" s="41" t="str">
        <f aca="false">IF(G2908="","",IFERROR(IF(ISNUMBER(SEARCH(Assumptions!$C$5,G2908)),Assumptions!$D$5,IF(ISNUMBER(SEARCH(Assumptions!$C$6,G2908)),Assumptions!$D$6,IF(ISNUMBER(SEARCH(Assumptions!$C$7,G2908)),Assumptions!$D$7,"Other Services"))),"Other Services"))</f>
        <v/>
      </c>
    </row>
    <row r="2909" customFormat="false" ht="15" hidden="false" customHeight="false" outlineLevel="0" collapsed="false">
      <c r="E2909" s="41" t="str">
        <f aca="false">IF(D2909="","",IFERROR(VLOOKUP(D2909,Assumptions!$G$5:$H$16,2,0),"Other"))</f>
        <v/>
      </c>
      <c r="J2909" s="41" t="str">
        <f aca="false">IF(G2909="","",IFERROR(IF(ISNUMBER(SEARCH(Assumptions!$C$5,G2909)),Assumptions!$D$5,IF(ISNUMBER(SEARCH(Assumptions!$C$6,G2909)),Assumptions!$D$6,IF(ISNUMBER(SEARCH(Assumptions!$C$7,G2909)),Assumptions!$D$7,"Other Services"))),"Other Services"))</f>
        <v/>
      </c>
    </row>
    <row r="2910" customFormat="false" ht="15" hidden="false" customHeight="false" outlineLevel="0" collapsed="false">
      <c r="E2910" s="41" t="str">
        <f aca="false">IF(D2910="","",IFERROR(VLOOKUP(D2910,Assumptions!$G$5:$H$16,2,0),"Other"))</f>
        <v/>
      </c>
      <c r="J2910" s="41" t="str">
        <f aca="false">IF(G2910="","",IFERROR(IF(ISNUMBER(SEARCH(Assumptions!$C$5,G2910)),Assumptions!$D$5,IF(ISNUMBER(SEARCH(Assumptions!$C$6,G2910)),Assumptions!$D$6,IF(ISNUMBER(SEARCH(Assumptions!$C$7,G2910)),Assumptions!$D$7,"Other Services"))),"Other Services"))</f>
        <v/>
      </c>
    </row>
    <row r="2911" customFormat="false" ht="15" hidden="false" customHeight="false" outlineLevel="0" collapsed="false">
      <c r="E2911" s="41" t="str">
        <f aca="false">IF(D2911="","",IFERROR(VLOOKUP(D2911,Assumptions!$G$5:$H$16,2,0),"Other"))</f>
        <v/>
      </c>
      <c r="J2911" s="41" t="str">
        <f aca="false">IF(G2911="","",IFERROR(IF(ISNUMBER(SEARCH(Assumptions!$C$5,G2911)),Assumptions!$D$5,IF(ISNUMBER(SEARCH(Assumptions!$C$6,G2911)),Assumptions!$D$6,IF(ISNUMBER(SEARCH(Assumptions!$C$7,G2911)),Assumptions!$D$7,"Other Services"))),"Other Services"))</f>
        <v/>
      </c>
    </row>
    <row r="2912" customFormat="false" ht="15" hidden="false" customHeight="false" outlineLevel="0" collapsed="false">
      <c r="E2912" s="41" t="str">
        <f aca="false">IF(D2912="","",IFERROR(VLOOKUP(D2912,Assumptions!$G$5:$H$16,2,0),"Other"))</f>
        <v/>
      </c>
      <c r="J2912" s="41" t="str">
        <f aca="false">IF(G2912="","",IFERROR(IF(ISNUMBER(SEARCH(Assumptions!$C$5,G2912)),Assumptions!$D$5,IF(ISNUMBER(SEARCH(Assumptions!$C$6,G2912)),Assumptions!$D$6,IF(ISNUMBER(SEARCH(Assumptions!$C$7,G2912)),Assumptions!$D$7,"Other Services"))),"Other Services"))</f>
        <v/>
      </c>
    </row>
    <row r="2913" customFormat="false" ht="15" hidden="false" customHeight="false" outlineLevel="0" collapsed="false">
      <c r="E2913" s="41" t="str">
        <f aca="false">IF(D2913="","",IFERROR(VLOOKUP(D2913,Assumptions!$G$5:$H$16,2,0),"Other"))</f>
        <v/>
      </c>
      <c r="J2913" s="41" t="str">
        <f aca="false">IF(G2913="","",IFERROR(IF(ISNUMBER(SEARCH(Assumptions!$C$5,G2913)),Assumptions!$D$5,IF(ISNUMBER(SEARCH(Assumptions!$C$6,G2913)),Assumptions!$D$6,IF(ISNUMBER(SEARCH(Assumptions!$C$7,G2913)),Assumptions!$D$7,"Other Services"))),"Other Services"))</f>
        <v/>
      </c>
    </row>
    <row r="2914" customFormat="false" ht="15" hidden="false" customHeight="false" outlineLevel="0" collapsed="false">
      <c r="E2914" s="41" t="str">
        <f aca="false">IF(D2914="","",IFERROR(VLOOKUP(D2914,Assumptions!$G$5:$H$16,2,0),"Other"))</f>
        <v/>
      </c>
      <c r="J2914" s="41" t="str">
        <f aca="false">IF(G2914="","",IFERROR(IF(ISNUMBER(SEARCH(Assumptions!$C$5,G2914)),Assumptions!$D$5,IF(ISNUMBER(SEARCH(Assumptions!$C$6,G2914)),Assumptions!$D$6,IF(ISNUMBER(SEARCH(Assumptions!$C$7,G2914)),Assumptions!$D$7,"Other Services"))),"Other Services"))</f>
        <v/>
      </c>
    </row>
    <row r="2915" customFormat="false" ht="15" hidden="false" customHeight="false" outlineLevel="0" collapsed="false">
      <c r="E2915" s="41" t="str">
        <f aca="false">IF(D2915="","",IFERROR(VLOOKUP(D2915,Assumptions!$G$5:$H$16,2,0),"Other"))</f>
        <v/>
      </c>
      <c r="J2915" s="41" t="str">
        <f aca="false">IF(G2915="","",IFERROR(IF(ISNUMBER(SEARCH(Assumptions!$C$5,G2915)),Assumptions!$D$5,IF(ISNUMBER(SEARCH(Assumptions!$C$6,G2915)),Assumptions!$D$6,IF(ISNUMBER(SEARCH(Assumptions!$C$7,G2915)),Assumptions!$D$7,"Other Services"))),"Other Services"))</f>
        <v/>
      </c>
    </row>
    <row r="2916" customFormat="false" ht="15" hidden="false" customHeight="false" outlineLevel="0" collapsed="false">
      <c r="E2916" s="41" t="str">
        <f aca="false">IF(D2916="","",IFERROR(VLOOKUP(D2916,Assumptions!$G$5:$H$16,2,0),"Other"))</f>
        <v/>
      </c>
      <c r="J2916" s="41" t="str">
        <f aca="false">IF(G2916="","",IFERROR(IF(ISNUMBER(SEARCH(Assumptions!$C$5,G2916)),Assumptions!$D$5,IF(ISNUMBER(SEARCH(Assumptions!$C$6,G2916)),Assumptions!$D$6,IF(ISNUMBER(SEARCH(Assumptions!$C$7,G2916)),Assumptions!$D$7,"Other Services"))),"Other Services"))</f>
        <v/>
      </c>
    </row>
    <row r="2917" customFormat="false" ht="15" hidden="false" customHeight="false" outlineLevel="0" collapsed="false">
      <c r="E2917" s="41" t="str">
        <f aca="false">IF(D2917="","",IFERROR(VLOOKUP(D2917,Assumptions!$G$5:$H$16,2,0),"Other"))</f>
        <v/>
      </c>
      <c r="J2917" s="41" t="str">
        <f aca="false">IF(G2917="","",IFERROR(IF(ISNUMBER(SEARCH(Assumptions!$C$5,G2917)),Assumptions!$D$5,IF(ISNUMBER(SEARCH(Assumptions!$C$6,G2917)),Assumptions!$D$6,IF(ISNUMBER(SEARCH(Assumptions!$C$7,G2917)),Assumptions!$D$7,"Other Services"))),"Other Services"))</f>
        <v/>
      </c>
    </row>
    <row r="2918" customFormat="false" ht="15" hidden="false" customHeight="false" outlineLevel="0" collapsed="false">
      <c r="E2918" s="41" t="str">
        <f aca="false">IF(D2918="","",IFERROR(VLOOKUP(D2918,Assumptions!$G$5:$H$16,2,0),"Other"))</f>
        <v/>
      </c>
      <c r="J2918" s="41" t="str">
        <f aca="false">IF(G2918="","",IFERROR(IF(ISNUMBER(SEARCH(Assumptions!$C$5,G2918)),Assumptions!$D$5,IF(ISNUMBER(SEARCH(Assumptions!$C$6,G2918)),Assumptions!$D$6,IF(ISNUMBER(SEARCH(Assumptions!$C$7,G2918)),Assumptions!$D$7,"Other Services"))),"Other Services"))</f>
        <v/>
      </c>
    </row>
    <row r="2919" customFormat="false" ht="15" hidden="false" customHeight="false" outlineLevel="0" collapsed="false">
      <c r="E2919" s="41" t="str">
        <f aca="false">IF(D2919="","",IFERROR(VLOOKUP(D2919,Assumptions!$G$5:$H$16,2,0),"Other"))</f>
        <v/>
      </c>
      <c r="J2919" s="41" t="str">
        <f aca="false">IF(G2919="","",IFERROR(IF(ISNUMBER(SEARCH(Assumptions!$C$5,G2919)),Assumptions!$D$5,IF(ISNUMBER(SEARCH(Assumptions!$C$6,G2919)),Assumptions!$D$6,IF(ISNUMBER(SEARCH(Assumptions!$C$7,G2919)),Assumptions!$D$7,"Other Services"))),"Other Services"))</f>
        <v/>
      </c>
    </row>
    <row r="2920" customFormat="false" ht="15" hidden="false" customHeight="false" outlineLevel="0" collapsed="false">
      <c r="E2920" s="41" t="str">
        <f aca="false">IF(D2920="","",IFERROR(VLOOKUP(D2920,Assumptions!$G$5:$H$16,2,0),"Other"))</f>
        <v/>
      </c>
      <c r="J2920" s="41" t="str">
        <f aca="false">IF(G2920="","",IFERROR(IF(ISNUMBER(SEARCH(Assumptions!$C$5,G2920)),Assumptions!$D$5,IF(ISNUMBER(SEARCH(Assumptions!$C$6,G2920)),Assumptions!$D$6,IF(ISNUMBER(SEARCH(Assumptions!$C$7,G2920)),Assumptions!$D$7,"Other Services"))),"Other Services"))</f>
        <v/>
      </c>
    </row>
    <row r="2921" customFormat="false" ht="15" hidden="false" customHeight="false" outlineLevel="0" collapsed="false">
      <c r="E2921" s="41" t="str">
        <f aca="false">IF(D2921="","",IFERROR(VLOOKUP(D2921,Assumptions!$G$5:$H$16,2,0),"Other"))</f>
        <v/>
      </c>
      <c r="J2921" s="41" t="str">
        <f aca="false">IF(G2921="","",IFERROR(IF(ISNUMBER(SEARCH(Assumptions!$C$5,G2921)),Assumptions!$D$5,IF(ISNUMBER(SEARCH(Assumptions!$C$6,G2921)),Assumptions!$D$6,IF(ISNUMBER(SEARCH(Assumptions!$C$7,G2921)),Assumptions!$D$7,"Other Services"))),"Other Services"))</f>
        <v/>
      </c>
    </row>
    <row r="2922" customFormat="false" ht="15" hidden="false" customHeight="false" outlineLevel="0" collapsed="false">
      <c r="E2922" s="41" t="str">
        <f aca="false">IF(D2922="","",IFERROR(VLOOKUP(D2922,Assumptions!$G$5:$H$16,2,0),"Other"))</f>
        <v/>
      </c>
      <c r="J2922" s="41" t="str">
        <f aca="false">IF(G2922="","",IFERROR(IF(ISNUMBER(SEARCH(Assumptions!$C$5,G2922)),Assumptions!$D$5,IF(ISNUMBER(SEARCH(Assumptions!$C$6,G2922)),Assumptions!$D$6,IF(ISNUMBER(SEARCH(Assumptions!$C$7,G2922)),Assumptions!$D$7,"Other Services"))),"Other Services"))</f>
        <v/>
      </c>
    </row>
    <row r="2923" customFormat="false" ht="15" hidden="false" customHeight="false" outlineLevel="0" collapsed="false">
      <c r="E2923" s="41" t="str">
        <f aca="false">IF(D2923="","",IFERROR(VLOOKUP(D2923,Assumptions!$G$5:$H$16,2,0),"Other"))</f>
        <v/>
      </c>
      <c r="J2923" s="41" t="str">
        <f aca="false">IF(G2923="","",IFERROR(IF(ISNUMBER(SEARCH(Assumptions!$C$5,G2923)),Assumptions!$D$5,IF(ISNUMBER(SEARCH(Assumptions!$C$6,G2923)),Assumptions!$D$6,IF(ISNUMBER(SEARCH(Assumptions!$C$7,G2923)),Assumptions!$D$7,"Other Services"))),"Other Services"))</f>
        <v/>
      </c>
    </row>
    <row r="2924" customFormat="false" ht="15" hidden="false" customHeight="false" outlineLevel="0" collapsed="false">
      <c r="E2924" s="41" t="str">
        <f aca="false">IF(D2924="","",IFERROR(VLOOKUP(D2924,Assumptions!$G$5:$H$16,2,0),"Other"))</f>
        <v/>
      </c>
      <c r="J2924" s="41" t="str">
        <f aca="false">IF(G2924="","",IFERROR(IF(ISNUMBER(SEARCH(Assumptions!$C$5,G2924)),Assumptions!$D$5,IF(ISNUMBER(SEARCH(Assumptions!$C$6,G2924)),Assumptions!$D$6,IF(ISNUMBER(SEARCH(Assumptions!$C$7,G2924)),Assumptions!$D$7,"Other Services"))),"Other Services"))</f>
        <v/>
      </c>
    </row>
    <row r="2925" customFormat="false" ht="15" hidden="false" customHeight="false" outlineLevel="0" collapsed="false">
      <c r="E2925" s="41" t="str">
        <f aca="false">IF(D2925="","",IFERROR(VLOOKUP(D2925,Assumptions!$G$5:$H$16,2,0),"Other"))</f>
        <v/>
      </c>
      <c r="J2925" s="41" t="str">
        <f aca="false">IF(G2925="","",IFERROR(IF(ISNUMBER(SEARCH(Assumptions!$C$5,G2925)),Assumptions!$D$5,IF(ISNUMBER(SEARCH(Assumptions!$C$6,G2925)),Assumptions!$D$6,IF(ISNUMBER(SEARCH(Assumptions!$C$7,G2925)),Assumptions!$D$7,"Other Services"))),"Other Services"))</f>
        <v/>
      </c>
    </row>
    <row r="2926" customFormat="false" ht="15" hidden="false" customHeight="false" outlineLevel="0" collapsed="false">
      <c r="E2926" s="41" t="str">
        <f aca="false">IF(D2926="","",IFERROR(VLOOKUP(D2926,Assumptions!$G$5:$H$16,2,0),"Other"))</f>
        <v/>
      </c>
      <c r="J2926" s="41" t="str">
        <f aca="false">IF(G2926="","",IFERROR(IF(ISNUMBER(SEARCH(Assumptions!$C$5,G2926)),Assumptions!$D$5,IF(ISNUMBER(SEARCH(Assumptions!$C$6,G2926)),Assumptions!$D$6,IF(ISNUMBER(SEARCH(Assumptions!$C$7,G2926)),Assumptions!$D$7,"Other Services"))),"Other Services"))</f>
        <v/>
      </c>
    </row>
    <row r="2927" customFormat="false" ht="15" hidden="false" customHeight="false" outlineLevel="0" collapsed="false">
      <c r="E2927" s="41" t="str">
        <f aca="false">IF(D2927="","",IFERROR(VLOOKUP(D2927,Assumptions!$G$5:$H$16,2,0),"Other"))</f>
        <v/>
      </c>
      <c r="J2927" s="41" t="str">
        <f aca="false">IF(G2927="","",IFERROR(IF(ISNUMBER(SEARCH(Assumptions!$C$5,G2927)),Assumptions!$D$5,IF(ISNUMBER(SEARCH(Assumptions!$C$6,G2927)),Assumptions!$D$6,IF(ISNUMBER(SEARCH(Assumptions!$C$7,G2927)),Assumptions!$D$7,"Other Services"))),"Other Services"))</f>
        <v/>
      </c>
    </row>
    <row r="2928" customFormat="false" ht="15" hidden="false" customHeight="false" outlineLevel="0" collapsed="false">
      <c r="E2928" s="41" t="str">
        <f aca="false">IF(D2928="","",IFERROR(VLOOKUP(D2928,Assumptions!$G$5:$H$16,2,0),"Other"))</f>
        <v/>
      </c>
      <c r="J2928" s="41" t="str">
        <f aca="false">IF(G2928="","",IFERROR(IF(ISNUMBER(SEARCH(Assumptions!$C$5,G2928)),Assumptions!$D$5,IF(ISNUMBER(SEARCH(Assumptions!$C$6,G2928)),Assumptions!$D$6,IF(ISNUMBER(SEARCH(Assumptions!$C$7,G2928)),Assumptions!$D$7,"Other Services"))),"Other Services"))</f>
        <v/>
      </c>
    </row>
    <row r="2929" customFormat="false" ht="15" hidden="false" customHeight="false" outlineLevel="0" collapsed="false">
      <c r="E2929" s="41" t="str">
        <f aca="false">IF(D2929="","",IFERROR(VLOOKUP(D2929,Assumptions!$G$5:$H$16,2,0),"Other"))</f>
        <v/>
      </c>
      <c r="J2929" s="41" t="str">
        <f aca="false">IF(G2929="","",IFERROR(IF(ISNUMBER(SEARCH(Assumptions!$C$5,G2929)),Assumptions!$D$5,IF(ISNUMBER(SEARCH(Assumptions!$C$6,G2929)),Assumptions!$D$6,IF(ISNUMBER(SEARCH(Assumptions!$C$7,G2929)),Assumptions!$D$7,"Other Services"))),"Other Services"))</f>
        <v/>
      </c>
    </row>
    <row r="2930" customFormat="false" ht="15" hidden="false" customHeight="false" outlineLevel="0" collapsed="false">
      <c r="E2930" s="41" t="str">
        <f aca="false">IF(D2930="","",IFERROR(VLOOKUP(D2930,Assumptions!$G$5:$H$16,2,0),"Other"))</f>
        <v/>
      </c>
      <c r="J2930" s="41" t="str">
        <f aca="false">IF(G2930="","",IFERROR(IF(ISNUMBER(SEARCH(Assumptions!$C$5,G2930)),Assumptions!$D$5,IF(ISNUMBER(SEARCH(Assumptions!$C$6,G2930)),Assumptions!$D$6,IF(ISNUMBER(SEARCH(Assumptions!$C$7,G2930)),Assumptions!$D$7,"Other Services"))),"Other Services"))</f>
        <v/>
      </c>
    </row>
    <row r="2931" customFormat="false" ht="15" hidden="false" customHeight="false" outlineLevel="0" collapsed="false">
      <c r="E2931" s="41" t="str">
        <f aca="false">IF(D2931="","",IFERROR(VLOOKUP(D2931,Assumptions!$G$5:$H$16,2,0),"Other"))</f>
        <v/>
      </c>
      <c r="J2931" s="41" t="str">
        <f aca="false">IF(G2931="","",IFERROR(IF(ISNUMBER(SEARCH(Assumptions!$C$5,G2931)),Assumptions!$D$5,IF(ISNUMBER(SEARCH(Assumptions!$C$6,G2931)),Assumptions!$D$6,IF(ISNUMBER(SEARCH(Assumptions!$C$7,G2931)),Assumptions!$D$7,"Other Services"))),"Other Services"))</f>
        <v/>
      </c>
    </row>
    <row r="2932" customFormat="false" ht="15" hidden="false" customHeight="false" outlineLevel="0" collapsed="false">
      <c r="E2932" s="41" t="str">
        <f aca="false">IF(D2932="","",IFERROR(VLOOKUP(D2932,Assumptions!$G$5:$H$16,2,0),"Other"))</f>
        <v/>
      </c>
      <c r="J2932" s="41" t="str">
        <f aca="false">IF(G2932="","",IFERROR(IF(ISNUMBER(SEARCH(Assumptions!$C$5,G2932)),Assumptions!$D$5,IF(ISNUMBER(SEARCH(Assumptions!$C$6,G2932)),Assumptions!$D$6,IF(ISNUMBER(SEARCH(Assumptions!$C$7,G2932)),Assumptions!$D$7,"Other Services"))),"Other Services"))</f>
        <v/>
      </c>
    </row>
    <row r="2933" customFormat="false" ht="15" hidden="false" customHeight="false" outlineLevel="0" collapsed="false">
      <c r="E2933" s="41" t="str">
        <f aca="false">IF(D2933="","",IFERROR(VLOOKUP(D2933,Assumptions!$G$5:$H$16,2,0),"Other"))</f>
        <v/>
      </c>
      <c r="J2933" s="41" t="str">
        <f aca="false">IF(G2933="","",IFERROR(IF(ISNUMBER(SEARCH(Assumptions!$C$5,G2933)),Assumptions!$D$5,IF(ISNUMBER(SEARCH(Assumptions!$C$6,G2933)),Assumptions!$D$6,IF(ISNUMBER(SEARCH(Assumptions!$C$7,G2933)),Assumptions!$D$7,"Other Services"))),"Other Services"))</f>
        <v/>
      </c>
    </row>
    <row r="2934" customFormat="false" ht="15" hidden="false" customHeight="false" outlineLevel="0" collapsed="false">
      <c r="E2934" s="41" t="str">
        <f aca="false">IF(D2934="","",IFERROR(VLOOKUP(D2934,Assumptions!$G$5:$H$16,2,0),"Other"))</f>
        <v/>
      </c>
      <c r="J2934" s="41" t="str">
        <f aca="false">IF(G2934="","",IFERROR(IF(ISNUMBER(SEARCH(Assumptions!$C$5,G2934)),Assumptions!$D$5,IF(ISNUMBER(SEARCH(Assumptions!$C$6,G2934)),Assumptions!$D$6,IF(ISNUMBER(SEARCH(Assumptions!$C$7,G2934)),Assumptions!$D$7,"Other Services"))),"Other Services"))</f>
        <v/>
      </c>
    </row>
    <row r="2935" customFormat="false" ht="15" hidden="false" customHeight="false" outlineLevel="0" collapsed="false">
      <c r="E2935" s="41" t="str">
        <f aca="false">IF(D2935="","",IFERROR(VLOOKUP(D2935,Assumptions!$G$5:$H$16,2,0),"Other"))</f>
        <v/>
      </c>
      <c r="J2935" s="41" t="str">
        <f aca="false">IF(G2935="","",IFERROR(IF(ISNUMBER(SEARCH(Assumptions!$C$5,G2935)),Assumptions!$D$5,IF(ISNUMBER(SEARCH(Assumptions!$C$6,G2935)),Assumptions!$D$6,IF(ISNUMBER(SEARCH(Assumptions!$C$7,G2935)),Assumptions!$D$7,"Other Services"))),"Other Services"))</f>
        <v/>
      </c>
    </row>
    <row r="2936" customFormat="false" ht="15" hidden="false" customHeight="false" outlineLevel="0" collapsed="false">
      <c r="E2936" s="41" t="str">
        <f aca="false">IF(D2936="","",IFERROR(VLOOKUP(D2936,Assumptions!$G$5:$H$16,2,0),"Other"))</f>
        <v/>
      </c>
      <c r="J2936" s="41" t="str">
        <f aca="false">IF(G2936="","",IFERROR(IF(ISNUMBER(SEARCH(Assumptions!$C$5,G2936)),Assumptions!$D$5,IF(ISNUMBER(SEARCH(Assumptions!$C$6,G2936)),Assumptions!$D$6,IF(ISNUMBER(SEARCH(Assumptions!$C$7,G2936)),Assumptions!$D$7,"Other Services"))),"Other Services"))</f>
        <v/>
      </c>
    </row>
    <row r="2937" customFormat="false" ht="15" hidden="false" customHeight="false" outlineLevel="0" collapsed="false">
      <c r="E2937" s="41" t="str">
        <f aca="false">IF(D2937="","",IFERROR(VLOOKUP(D2937,Assumptions!$G$5:$H$16,2,0),"Other"))</f>
        <v/>
      </c>
      <c r="J2937" s="41" t="str">
        <f aca="false">IF(G2937="","",IFERROR(IF(ISNUMBER(SEARCH(Assumptions!$C$5,G2937)),Assumptions!$D$5,IF(ISNUMBER(SEARCH(Assumptions!$C$6,G2937)),Assumptions!$D$6,IF(ISNUMBER(SEARCH(Assumptions!$C$7,G2937)),Assumptions!$D$7,"Other Services"))),"Other Services"))</f>
        <v/>
      </c>
    </row>
    <row r="2938" customFormat="false" ht="15" hidden="false" customHeight="false" outlineLevel="0" collapsed="false">
      <c r="E2938" s="41" t="str">
        <f aca="false">IF(D2938="","",IFERROR(VLOOKUP(D2938,Assumptions!$G$5:$H$16,2,0),"Other"))</f>
        <v/>
      </c>
      <c r="J2938" s="41" t="str">
        <f aca="false">IF(G2938="","",IFERROR(IF(ISNUMBER(SEARCH(Assumptions!$C$5,G2938)),Assumptions!$D$5,IF(ISNUMBER(SEARCH(Assumptions!$C$6,G2938)),Assumptions!$D$6,IF(ISNUMBER(SEARCH(Assumptions!$C$7,G2938)),Assumptions!$D$7,"Other Services"))),"Other Services"))</f>
        <v/>
      </c>
    </row>
    <row r="2939" customFormat="false" ht="15" hidden="false" customHeight="false" outlineLevel="0" collapsed="false">
      <c r="E2939" s="41" t="str">
        <f aca="false">IF(D2939="","",IFERROR(VLOOKUP(D2939,Assumptions!$G$5:$H$16,2,0),"Other"))</f>
        <v/>
      </c>
      <c r="J2939" s="41" t="str">
        <f aca="false">IF(G2939="","",IFERROR(IF(ISNUMBER(SEARCH(Assumptions!$C$5,G2939)),Assumptions!$D$5,IF(ISNUMBER(SEARCH(Assumptions!$C$6,G2939)),Assumptions!$D$6,IF(ISNUMBER(SEARCH(Assumptions!$C$7,G2939)),Assumptions!$D$7,"Other Services"))),"Other Services"))</f>
        <v/>
      </c>
    </row>
    <row r="2940" customFormat="false" ht="15" hidden="false" customHeight="false" outlineLevel="0" collapsed="false">
      <c r="E2940" s="41" t="str">
        <f aca="false">IF(D2940="","",IFERROR(VLOOKUP(D2940,Assumptions!$G$5:$H$16,2,0),"Other"))</f>
        <v/>
      </c>
      <c r="J2940" s="41" t="str">
        <f aca="false">IF(G2940="","",IFERROR(IF(ISNUMBER(SEARCH(Assumptions!$C$5,G2940)),Assumptions!$D$5,IF(ISNUMBER(SEARCH(Assumptions!$C$6,G2940)),Assumptions!$D$6,IF(ISNUMBER(SEARCH(Assumptions!$C$7,G2940)),Assumptions!$D$7,"Other Services"))),"Other Services"))</f>
        <v/>
      </c>
    </row>
    <row r="2941" customFormat="false" ht="15" hidden="false" customHeight="false" outlineLevel="0" collapsed="false">
      <c r="E2941" s="41" t="str">
        <f aca="false">IF(D2941="","",IFERROR(VLOOKUP(D2941,Assumptions!$G$5:$H$16,2,0),"Other"))</f>
        <v/>
      </c>
      <c r="J2941" s="41" t="str">
        <f aca="false">IF(G2941="","",IFERROR(IF(ISNUMBER(SEARCH(Assumptions!$C$5,G2941)),Assumptions!$D$5,IF(ISNUMBER(SEARCH(Assumptions!$C$6,G2941)),Assumptions!$D$6,IF(ISNUMBER(SEARCH(Assumptions!$C$7,G2941)),Assumptions!$D$7,"Other Services"))),"Other Services"))</f>
        <v/>
      </c>
    </row>
    <row r="2942" customFormat="false" ht="15" hidden="false" customHeight="false" outlineLevel="0" collapsed="false">
      <c r="E2942" s="41" t="str">
        <f aca="false">IF(D2942="","",IFERROR(VLOOKUP(D2942,Assumptions!$G$5:$H$16,2,0),"Other"))</f>
        <v/>
      </c>
      <c r="J2942" s="41" t="str">
        <f aca="false">IF(G2942="","",IFERROR(IF(ISNUMBER(SEARCH(Assumptions!$C$5,G2942)),Assumptions!$D$5,IF(ISNUMBER(SEARCH(Assumptions!$C$6,G2942)),Assumptions!$D$6,IF(ISNUMBER(SEARCH(Assumptions!$C$7,G2942)),Assumptions!$D$7,"Other Services"))),"Other Services"))</f>
        <v/>
      </c>
    </row>
    <row r="2943" customFormat="false" ht="15" hidden="false" customHeight="false" outlineLevel="0" collapsed="false">
      <c r="E2943" s="41" t="str">
        <f aca="false">IF(D2943="","",IFERROR(VLOOKUP(D2943,Assumptions!$G$5:$H$16,2,0),"Other"))</f>
        <v/>
      </c>
      <c r="J2943" s="41" t="str">
        <f aca="false">IF(G2943="","",IFERROR(IF(ISNUMBER(SEARCH(Assumptions!$C$5,G2943)),Assumptions!$D$5,IF(ISNUMBER(SEARCH(Assumptions!$C$6,G2943)),Assumptions!$D$6,IF(ISNUMBER(SEARCH(Assumptions!$C$7,G2943)),Assumptions!$D$7,"Other Services"))),"Other Services"))</f>
        <v/>
      </c>
    </row>
    <row r="2944" customFormat="false" ht="15" hidden="false" customHeight="false" outlineLevel="0" collapsed="false">
      <c r="E2944" s="41" t="str">
        <f aca="false">IF(D2944="","",IFERROR(VLOOKUP(D2944,Assumptions!$G$5:$H$16,2,0),"Other"))</f>
        <v/>
      </c>
      <c r="J2944" s="41" t="str">
        <f aca="false">IF(G2944="","",IFERROR(IF(ISNUMBER(SEARCH(Assumptions!$C$5,G2944)),Assumptions!$D$5,IF(ISNUMBER(SEARCH(Assumptions!$C$6,G2944)),Assumptions!$D$6,IF(ISNUMBER(SEARCH(Assumptions!$C$7,G2944)),Assumptions!$D$7,"Other Services"))),"Other Services"))</f>
        <v/>
      </c>
    </row>
    <row r="2945" customFormat="false" ht="15" hidden="false" customHeight="false" outlineLevel="0" collapsed="false">
      <c r="E2945" s="41" t="str">
        <f aca="false">IF(D2945="","",IFERROR(VLOOKUP(D2945,Assumptions!$G$5:$H$16,2,0),"Other"))</f>
        <v/>
      </c>
      <c r="J2945" s="41" t="str">
        <f aca="false">IF(G2945="","",IFERROR(IF(ISNUMBER(SEARCH(Assumptions!$C$5,G2945)),Assumptions!$D$5,IF(ISNUMBER(SEARCH(Assumptions!$C$6,G2945)),Assumptions!$D$6,IF(ISNUMBER(SEARCH(Assumptions!$C$7,G2945)),Assumptions!$D$7,"Other Services"))),"Other Services"))</f>
        <v/>
      </c>
    </row>
    <row r="2946" customFormat="false" ht="15" hidden="false" customHeight="false" outlineLevel="0" collapsed="false">
      <c r="E2946" s="41" t="str">
        <f aca="false">IF(D2946="","",IFERROR(VLOOKUP(D2946,Assumptions!$G$5:$H$16,2,0),"Other"))</f>
        <v/>
      </c>
      <c r="J2946" s="41" t="str">
        <f aca="false">IF(G2946="","",IFERROR(IF(ISNUMBER(SEARCH(Assumptions!$C$5,G2946)),Assumptions!$D$5,IF(ISNUMBER(SEARCH(Assumptions!$C$6,G2946)),Assumptions!$D$6,IF(ISNUMBER(SEARCH(Assumptions!$C$7,G2946)),Assumptions!$D$7,"Other Services"))),"Other Services"))</f>
        <v/>
      </c>
    </row>
    <row r="2947" customFormat="false" ht="15" hidden="false" customHeight="false" outlineLevel="0" collapsed="false">
      <c r="E2947" s="41" t="str">
        <f aca="false">IF(D2947="","",IFERROR(VLOOKUP(D2947,Assumptions!$G$5:$H$16,2,0),"Other"))</f>
        <v/>
      </c>
      <c r="J2947" s="41" t="str">
        <f aca="false">IF(G2947="","",IFERROR(IF(ISNUMBER(SEARCH(Assumptions!$C$5,G2947)),Assumptions!$D$5,IF(ISNUMBER(SEARCH(Assumptions!$C$6,G2947)),Assumptions!$D$6,IF(ISNUMBER(SEARCH(Assumptions!$C$7,G2947)),Assumptions!$D$7,"Other Services"))),"Other Services"))</f>
        <v/>
      </c>
    </row>
    <row r="2948" customFormat="false" ht="15" hidden="false" customHeight="false" outlineLevel="0" collapsed="false">
      <c r="E2948" s="41" t="str">
        <f aca="false">IF(D2948="","",IFERROR(VLOOKUP(D2948,Assumptions!$G$5:$H$16,2,0),"Other"))</f>
        <v/>
      </c>
      <c r="J2948" s="41" t="str">
        <f aca="false">IF(G2948="","",IFERROR(IF(ISNUMBER(SEARCH(Assumptions!$C$5,G2948)),Assumptions!$D$5,IF(ISNUMBER(SEARCH(Assumptions!$C$6,G2948)),Assumptions!$D$6,IF(ISNUMBER(SEARCH(Assumptions!$C$7,G2948)),Assumptions!$D$7,"Other Services"))),"Other Services"))</f>
        <v/>
      </c>
    </row>
    <row r="2949" customFormat="false" ht="15" hidden="false" customHeight="false" outlineLevel="0" collapsed="false">
      <c r="E2949" s="41" t="str">
        <f aca="false">IF(D2949="","",IFERROR(VLOOKUP(D2949,Assumptions!$G$5:$H$16,2,0),"Other"))</f>
        <v/>
      </c>
      <c r="J2949" s="41" t="str">
        <f aca="false">IF(G2949="","",IFERROR(IF(ISNUMBER(SEARCH(Assumptions!$C$5,G2949)),Assumptions!$D$5,IF(ISNUMBER(SEARCH(Assumptions!$C$6,G2949)),Assumptions!$D$6,IF(ISNUMBER(SEARCH(Assumptions!$C$7,G2949)),Assumptions!$D$7,"Other Services"))),"Other Services"))</f>
        <v/>
      </c>
    </row>
    <row r="2950" customFormat="false" ht="15" hidden="false" customHeight="false" outlineLevel="0" collapsed="false">
      <c r="E2950" s="41" t="str">
        <f aca="false">IF(D2950="","",IFERROR(VLOOKUP(D2950,Assumptions!$G$5:$H$16,2,0),"Other"))</f>
        <v/>
      </c>
      <c r="J2950" s="41" t="str">
        <f aca="false">IF(G2950="","",IFERROR(IF(ISNUMBER(SEARCH(Assumptions!$C$5,G2950)),Assumptions!$D$5,IF(ISNUMBER(SEARCH(Assumptions!$C$6,G2950)),Assumptions!$D$6,IF(ISNUMBER(SEARCH(Assumptions!$C$7,G2950)),Assumptions!$D$7,"Other Services"))),"Other Services"))</f>
        <v/>
      </c>
    </row>
    <row r="2951" customFormat="false" ht="15" hidden="false" customHeight="false" outlineLevel="0" collapsed="false">
      <c r="E2951" s="41" t="str">
        <f aca="false">IF(D2951="","",IFERROR(VLOOKUP(D2951,Assumptions!$G$5:$H$16,2,0),"Other"))</f>
        <v/>
      </c>
      <c r="J2951" s="41" t="str">
        <f aca="false">IF(G2951="","",IFERROR(IF(ISNUMBER(SEARCH(Assumptions!$C$5,G2951)),Assumptions!$D$5,IF(ISNUMBER(SEARCH(Assumptions!$C$6,G2951)),Assumptions!$D$6,IF(ISNUMBER(SEARCH(Assumptions!$C$7,G2951)),Assumptions!$D$7,"Other Services"))),"Other Services"))</f>
        <v/>
      </c>
    </row>
    <row r="2952" customFormat="false" ht="15" hidden="false" customHeight="false" outlineLevel="0" collapsed="false">
      <c r="E2952" s="41" t="str">
        <f aca="false">IF(D2952="","",IFERROR(VLOOKUP(D2952,Assumptions!$G$5:$H$16,2,0),"Other"))</f>
        <v/>
      </c>
      <c r="J2952" s="41" t="str">
        <f aca="false">IF(G2952="","",IFERROR(IF(ISNUMBER(SEARCH(Assumptions!$C$5,G2952)),Assumptions!$D$5,IF(ISNUMBER(SEARCH(Assumptions!$C$6,G2952)),Assumptions!$D$6,IF(ISNUMBER(SEARCH(Assumptions!$C$7,G2952)),Assumptions!$D$7,"Other Services"))),"Other Services"))</f>
        <v/>
      </c>
    </row>
    <row r="2953" customFormat="false" ht="15" hidden="false" customHeight="false" outlineLevel="0" collapsed="false">
      <c r="E2953" s="41" t="str">
        <f aca="false">IF(D2953="","",IFERROR(VLOOKUP(D2953,Assumptions!$G$5:$H$16,2,0),"Other"))</f>
        <v/>
      </c>
      <c r="J2953" s="41" t="str">
        <f aca="false">IF(G2953="","",IFERROR(IF(ISNUMBER(SEARCH(Assumptions!$C$5,G2953)),Assumptions!$D$5,IF(ISNUMBER(SEARCH(Assumptions!$C$6,G2953)),Assumptions!$D$6,IF(ISNUMBER(SEARCH(Assumptions!$C$7,G2953)),Assumptions!$D$7,"Other Services"))),"Other Services"))</f>
        <v/>
      </c>
    </row>
    <row r="2954" customFormat="false" ht="15" hidden="false" customHeight="false" outlineLevel="0" collapsed="false">
      <c r="E2954" s="41" t="str">
        <f aca="false">IF(D2954="","",IFERROR(VLOOKUP(D2954,Assumptions!$G$5:$H$16,2,0),"Other"))</f>
        <v/>
      </c>
      <c r="J2954" s="41" t="str">
        <f aca="false">IF(G2954="","",IFERROR(IF(ISNUMBER(SEARCH(Assumptions!$C$5,G2954)),Assumptions!$D$5,IF(ISNUMBER(SEARCH(Assumptions!$C$6,G2954)),Assumptions!$D$6,IF(ISNUMBER(SEARCH(Assumptions!$C$7,G2954)),Assumptions!$D$7,"Other Services"))),"Other Services"))</f>
        <v/>
      </c>
    </row>
    <row r="2955" customFormat="false" ht="15" hidden="false" customHeight="false" outlineLevel="0" collapsed="false">
      <c r="E2955" s="41" t="str">
        <f aca="false">IF(D2955="","",IFERROR(VLOOKUP(D2955,Assumptions!$G$5:$H$16,2,0),"Other"))</f>
        <v/>
      </c>
      <c r="J2955" s="41" t="str">
        <f aca="false">IF(G2955="","",IFERROR(IF(ISNUMBER(SEARCH(Assumptions!$C$5,G2955)),Assumptions!$D$5,IF(ISNUMBER(SEARCH(Assumptions!$C$6,G2955)),Assumptions!$D$6,IF(ISNUMBER(SEARCH(Assumptions!$C$7,G2955)),Assumptions!$D$7,"Other Services"))),"Other Services"))</f>
        <v/>
      </c>
    </row>
    <row r="2956" customFormat="false" ht="15" hidden="false" customHeight="false" outlineLevel="0" collapsed="false">
      <c r="E2956" s="41" t="str">
        <f aca="false">IF(D2956="","",IFERROR(VLOOKUP(D2956,Assumptions!$G$5:$H$16,2,0),"Other"))</f>
        <v/>
      </c>
      <c r="J2956" s="41" t="str">
        <f aca="false">IF(G2956="","",IFERROR(IF(ISNUMBER(SEARCH(Assumptions!$C$5,G2956)),Assumptions!$D$5,IF(ISNUMBER(SEARCH(Assumptions!$C$6,G2956)),Assumptions!$D$6,IF(ISNUMBER(SEARCH(Assumptions!$C$7,G2956)),Assumptions!$D$7,"Other Services"))),"Other Services"))</f>
        <v/>
      </c>
    </row>
    <row r="2957" customFormat="false" ht="15" hidden="false" customHeight="false" outlineLevel="0" collapsed="false">
      <c r="E2957" s="41" t="str">
        <f aca="false">IF(D2957="","",IFERROR(VLOOKUP(D2957,Assumptions!$G$5:$H$16,2,0),"Other"))</f>
        <v/>
      </c>
      <c r="J2957" s="41" t="str">
        <f aca="false">IF(G2957="","",IFERROR(IF(ISNUMBER(SEARCH(Assumptions!$C$5,G2957)),Assumptions!$D$5,IF(ISNUMBER(SEARCH(Assumptions!$C$6,G2957)),Assumptions!$D$6,IF(ISNUMBER(SEARCH(Assumptions!$C$7,G2957)),Assumptions!$D$7,"Other Services"))),"Other Services"))</f>
        <v/>
      </c>
    </row>
    <row r="2958" customFormat="false" ht="15" hidden="false" customHeight="false" outlineLevel="0" collapsed="false">
      <c r="E2958" s="41" t="str">
        <f aca="false">IF(D2958="","",IFERROR(VLOOKUP(D2958,Assumptions!$G$5:$H$16,2,0),"Other"))</f>
        <v/>
      </c>
      <c r="J2958" s="41" t="str">
        <f aca="false">IF(G2958="","",IFERROR(IF(ISNUMBER(SEARCH(Assumptions!$C$5,G2958)),Assumptions!$D$5,IF(ISNUMBER(SEARCH(Assumptions!$C$6,G2958)),Assumptions!$D$6,IF(ISNUMBER(SEARCH(Assumptions!$C$7,G2958)),Assumptions!$D$7,"Other Services"))),"Other Services"))</f>
        <v/>
      </c>
    </row>
    <row r="2959" customFormat="false" ht="15" hidden="false" customHeight="false" outlineLevel="0" collapsed="false">
      <c r="E2959" s="41" t="str">
        <f aca="false">IF(D2959="","",IFERROR(VLOOKUP(D2959,Assumptions!$G$5:$H$16,2,0),"Other"))</f>
        <v/>
      </c>
      <c r="J2959" s="41" t="str">
        <f aca="false">IF(G2959="","",IFERROR(IF(ISNUMBER(SEARCH(Assumptions!$C$5,G2959)),Assumptions!$D$5,IF(ISNUMBER(SEARCH(Assumptions!$C$6,G2959)),Assumptions!$D$6,IF(ISNUMBER(SEARCH(Assumptions!$C$7,G2959)),Assumptions!$D$7,"Other Services"))),"Other Services"))</f>
        <v/>
      </c>
    </row>
    <row r="2960" customFormat="false" ht="15" hidden="false" customHeight="false" outlineLevel="0" collapsed="false">
      <c r="E2960" s="41" t="str">
        <f aca="false">IF(D2960="","",IFERROR(VLOOKUP(D2960,Assumptions!$G$5:$H$16,2,0),"Other"))</f>
        <v/>
      </c>
      <c r="J2960" s="41" t="str">
        <f aca="false">IF(G2960="","",IFERROR(IF(ISNUMBER(SEARCH(Assumptions!$C$5,G2960)),Assumptions!$D$5,IF(ISNUMBER(SEARCH(Assumptions!$C$6,G2960)),Assumptions!$D$6,IF(ISNUMBER(SEARCH(Assumptions!$C$7,G2960)),Assumptions!$D$7,"Other Services"))),"Other Services"))</f>
        <v/>
      </c>
    </row>
    <row r="2961" customFormat="false" ht="15" hidden="false" customHeight="false" outlineLevel="0" collapsed="false">
      <c r="E2961" s="41" t="str">
        <f aca="false">IF(D2961="","",IFERROR(VLOOKUP(D2961,Assumptions!$G$5:$H$16,2,0),"Other"))</f>
        <v/>
      </c>
      <c r="J2961" s="41" t="str">
        <f aca="false">IF(G2961="","",IFERROR(IF(ISNUMBER(SEARCH(Assumptions!$C$5,G2961)),Assumptions!$D$5,IF(ISNUMBER(SEARCH(Assumptions!$C$6,G2961)),Assumptions!$D$6,IF(ISNUMBER(SEARCH(Assumptions!$C$7,G2961)),Assumptions!$D$7,"Other Services"))),"Other Services"))</f>
        <v/>
      </c>
    </row>
    <row r="2962" customFormat="false" ht="15" hidden="false" customHeight="false" outlineLevel="0" collapsed="false">
      <c r="E2962" s="41" t="str">
        <f aca="false">IF(D2962="","",IFERROR(VLOOKUP(D2962,Assumptions!$G$5:$H$16,2,0),"Other"))</f>
        <v/>
      </c>
      <c r="J2962" s="41" t="str">
        <f aca="false">IF(G2962="","",IFERROR(IF(ISNUMBER(SEARCH(Assumptions!$C$5,G2962)),Assumptions!$D$5,IF(ISNUMBER(SEARCH(Assumptions!$C$6,G2962)),Assumptions!$D$6,IF(ISNUMBER(SEARCH(Assumptions!$C$7,G2962)),Assumptions!$D$7,"Other Services"))),"Other Services"))</f>
        <v/>
      </c>
    </row>
    <row r="2963" customFormat="false" ht="15" hidden="false" customHeight="false" outlineLevel="0" collapsed="false">
      <c r="E2963" s="41" t="str">
        <f aca="false">IF(D2963="","",IFERROR(VLOOKUP(D2963,Assumptions!$G$5:$H$16,2,0),"Other"))</f>
        <v/>
      </c>
      <c r="J2963" s="41" t="str">
        <f aca="false">IF(G2963="","",IFERROR(IF(ISNUMBER(SEARCH(Assumptions!$C$5,G2963)),Assumptions!$D$5,IF(ISNUMBER(SEARCH(Assumptions!$C$6,G2963)),Assumptions!$D$6,IF(ISNUMBER(SEARCH(Assumptions!$C$7,G2963)),Assumptions!$D$7,"Other Services"))),"Other Services"))</f>
        <v/>
      </c>
    </row>
    <row r="2964" customFormat="false" ht="15" hidden="false" customHeight="false" outlineLevel="0" collapsed="false">
      <c r="E2964" s="41" t="str">
        <f aca="false">IF(D2964="","",IFERROR(VLOOKUP(D2964,Assumptions!$G$5:$H$16,2,0),"Other"))</f>
        <v/>
      </c>
      <c r="J2964" s="41" t="str">
        <f aca="false">IF(G2964="","",IFERROR(IF(ISNUMBER(SEARCH(Assumptions!$C$5,G2964)),Assumptions!$D$5,IF(ISNUMBER(SEARCH(Assumptions!$C$6,G2964)),Assumptions!$D$6,IF(ISNUMBER(SEARCH(Assumptions!$C$7,G2964)),Assumptions!$D$7,"Other Services"))),"Other Services"))</f>
        <v/>
      </c>
    </row>
    <row r="2965" customFormat="false" ht="15" hidden="false" customHeight="false" outlineLevel="0" collapsed="false">
      <c r="E2965" s="41" t="str">
        <f aca="false">IF(D2965="","",IFERROR(VLOOKUP(D2965,Assumptions!$G$5:$H$16,2,0),"Other"))</f>
        <v/>
      </c>
      <c r="J2965" s="41" t="str">
        <f aca="false">IF(G2965="","",IFERROR(IF(ISNUMBER(SEARCH(Assumptions!$C$5,G2965)),Assumptions!$D$5,IF(ISNUMBER(SEARCH(Assumptions!$C$6,G2965)),Assumptions!$D$6,IF(ISNUMBER(SEARCH(Assumptions!$C$7,G2965)),Assumptions!$D$7,"Other Services"))),"Other Services"))</f>
        <v/>
      </c>
    </row>
    <row r="2966" customFormat="false" ht="15" hidden="false" customHeight="false" outlineLevel="0" collapsed="false">
      <c r="E2966" s="41" t="str">
        <f aca="false">IF(D2966="","",IFERROR(VLOOKUP(D2966,Assumptions!$G$5:$H$16,2,0),"Other"))</f>
        <v/>
      </c>
      <c r="J2966" s="41" t="str">
        <f aca="false">IF(G2966="","",IFERROR(IF(ISNUMBER(SEARCH(Assumptions!$C$5,G2966)),Assumptions!$D$5,IF(ISNUMBER(SEARCH(Assumptions!$C$6,G2966)),Assumptions!$D$6,IF(ISNUMBER(SEARCH(Assumptions!$C$7,G2966)),Assumptions!$D$7,"Other Services"))),"Other Services"))</f>
        <v/>
      </c>
    </row>
    <row r="2967" customFormat="false" ht="15" hidden="false" customHeight="false" outlineLevel="0" collapsed="false">
      <c r="E2967" s="41" t="str">
        <f aca="false">IF(D2967="","",IFERROR(VLOOKUP(D2967,Assumptions!$G$5:$H$16,2,0),"Other"))</f>
        <v/>
      </c>
      <c r="J2967" s="41" t="str">
        <f aca="false">IF(G2967="","",IFERROR(IF(ISNUMBER(SEARCH(Assumptions!$C$5,G2967)),Assumptions!$D$5,IF(ISNUMBER(SEARCH(Assumptions!$C$6,G2967)),Assumptions!$D$6,IF(ISNUMBER(SEARCH(Assumptions!$C$7,G2967)),Assumptions!$D$7,"Other Services"))),"Other Services"))</f>
        <v/>
      </c>
    </row>
    <row r="2968" customFormat="false" ht="15" hidden="false" customHeight="false" outlineLevel="0" collapsed="false">
      <c r="E2968" s="41" t="str">
        <f aca="false">IF(D2968="","",IFERROR(VLOOKUP(D2968,Assumptions!$G$5:$H$16,2,0),"Other"))</f>
        <v/>
      </c>
      <c r="J2968" s="41" t="str">
        <f aca="false">IF(G2968="","",IFERROR(IF(ISNUMBER(SEARCH(Assumptions!$C$5,G2968)),Assumptions!$D$5,IF(ISNUMBER(SEARCH(Assumptions!$C$6,G2968)),Assumptions!$D$6,IF(ISNUMBER(SEARCH(Assumptions!$C$7,G2968)),Assumptions!$D$7,"Other Services"))),"Other Services"))</f>
        <v/>
      </c>
    </row>
    <row r="2969" customFormat="false" ht="15" hidden="false" customHeight="false" outlineLevel="0" collapsed="false">
      <c r="E2969" s="41" t="str">
        <f aca="false">IF(D2969="","",IFERROR(VLOOKUP(D2969,Assumptions!$G$5:$H$16,2,0),"Other"))</f>
        <v/>
      </c>
      <c r="J2969" s="41" t="str">
        <f aca="false">IF(G2969="","",IFERROR(IF(ISNUMBER(SEARCH(Assumptions!$C$5,G2969)),Assumptions!$D$5,IF(ISNUMBER(SEARCH(Assumptions!$C$6,G2969)),Assumptions!$D$6,IF(ISNUMBER(SEARCH(Assumptions!$C$7,G2969)),Assumptions!$D$7,"Other Services"))),"Other Services"))</f>
        <v/>
      </c>
    </row>
    <row r="2970" customFormat="false" ht="15" hidden="false" customHeight="false" outlineLevel="0" collapsed="false">
      <c r="E2970" s="41" t="str">
        <f aca="false">IF(D2970="","",IFERROR(VLOOKUP(D2970,Assumptions!$G$5:$H$16,2,0),"Other"))</f>
        <v/>
      </c>
      <c r="J2970" s="41" t="str">
        <f aca="false">IF(G2970="","",IFERROR(IF(ISNUMBER(SEARCH(Assumptions!$C$5,G2970)),Assumptions!$D$5,IF(ISNUMBER(SEARCH(Assumptions!$C$6,G2970)),Assumptions!$D$6,IF(ISNUMBER(SEARCH(Assumptions!$C$7,G2970)),Assumptions!$D$7,"Other Services"))),"Other Services"))</f>
        <v/>
      </c>
    </row>
    <row r="2971" customFormat="false" ht="15" hidden="false" customHeight="false" outlineLevel="0" collapsed="false">
      <c r="E2971" s="41" t="str">
        <f aca="false">IF(D2971="","",IFERROR(VLOOKUP(D2971,Assumptions!$G$5:$H$16,2,0),"Other"))</f>
        <v/>
      </c>
      <c r="J2971" s="41" t="str">
        <f aca="false">IF(G2971="","",IFERROR(IF(ISNUMBER(SEARCH(Assumptions!$C$5,G2971)),Assumptions!$D$5,IF(ISNUMBER(SEARCH(Assumptions!$C$6,G2971)),Assumptions!$D$6,IF(ISNUMBER(SEARCH(Assumptions!$C$7,G2971)),Assumptions!$D$7,"Other Services"))),"Other Services"))</f>
        <v/>
      </c>
    </row>
    <row r="2972" customFormat="false" ht="15" hidden="false" customHeight="false" outlineLevel="0" collapsed="false">
      <c r="E2972" s="41" t="str">
        <f aca="false">IF(D2972="","",IFERROR(VLOOKUP(D2972,Assumptions!$G$5:$H$16,2,0),"Other"))</f>
        <v/>
      </c>
      <c r="J2972" s="41" t="str">
        <f aca="false">IF(G2972="","",IFERROR(IF(ISNUMBER(SEARCH(Assumptions!$C$5,G2972)),Assumptions!$D$5,IF(ISNUMBER(SEARCH(Assumptions!$C$6,G2972)),Assumptions!$D$6,IF(ISNUMBER(SEARCH(Assumptions!$C$7,G2972)),Assumptions!$D$7,"Other Services"))),"Other Services"))</f>
        <v/>
      </c>
    </row>
    <row r="2973" customFormat="false" ht="15" hidden="false" customHeight="false" outlineLevel="0" collapsed="false">
      <c r="E2973" s="41" t="str">
        <f aca="false">IF(D2973="","",IFERROR(VLOOKUP(D2973,Assumptions!$G$5:$H$16,2,0),"Other"))</f>
        <v/>
      </c>
      <c r="J2973" s="41" t="str">
        <f aca="false">IF(G2973="","",IFERROR(IF(ISNUMBER(SEARCH(Assumptions!$C$5,G2973)),Assumptions!$D$5,IF(ISNUMBER(SEARCH(Assumptions!$C$6,G2973)),Assumptions!$D$6,IF(ISNUMBER(SEARCH(Assumptions!$C$7,G2973)),Assumptions!$D$7,"Other Services"))),"Other Services"))</f>
        <v/>
      </c>
    </row>
    <row r="2974" customFormat="false" ht="15" hidden="false" customHeight="false" outlineLevel="0" collapsed="false">
      <c r="E2974" s="41" t="str">
        <f aca="false">IF(D2974="","",IFERROR(VLOOKUP(D2974,Assumptions!$G$5:$H$16,2,0),"Other"))</f>
        <v/>
      </c>
      <c r="J2974" s="41" t="str">
        <f aca="false">IF(G2974="","",IFERROR(IF(ISNUMBER(SEARCH(Assumptions!$C$5,G2974)),Assumptions!$D$5,IF(ISNUMBER(SEARCH(Assumptions!$C$6,G2974)),Assumptions!$D$6,IF(ISNUMBER(SEARCH(Assumptions!$C$7,G2974)),Assumptions!$D$7,"Other Services"))),"Other Services"))</f>
        <v/>
      </c>
    </row>
    <row r="2975" customFormat="false" ht="15" hidden="false" customHeight="false" outlineLevel="0" collapsed="false">
      <c r="E2975" s="41" t="str">
        <f aca="false">IF(D2975="","",IFERROR(VLOOKUP(D2975,Assumptions!$G$5:$H$16,2,0),"Other"))</f>
        <v/>
      </c>
      <c r="J2975" s="41" t="str">
        <f aca="false">IF(G2975="","",IFERROR(IF(ISNUMBER(SEARCH(Assumptions!$C$5,G2975)),Assumptions!$D$5,IF(ISNUMBER(SEARCH(Assumptions!$C$6,G2975)),Assumptions!$D$6,IF(ISNUMBER(SEARCH(Assumptions!$C$7,G2975)),Assumptions!$D$7,"Other Services"))),"Other Services"))</f>
        <v/>
      </c>
    </row>
    <row r="2976" customFormat="false" ht="15" hidden="false" customHeight="false" outlineLevel="0" collapsed="false">
      <c r="E2976" s="41" t="str">
        <f aca="false">IF(D2976="","",IFERROR(VLOOKUP(D2976,Assumptions!$G$5:$H$16,2,0),"Other"))</f>
        <v/>
      </c>
      <c r="J2976" s="41" t="str">
        <f aca="false">IF(G2976="","",IFERROR(IF(ISNUMBER(SEARCH(Assumptions!$C$5,G2976)),Assumptions!$D$5,IF(ISNUMBER(SEARCH(Assumptions!$C$6,G2976)),Assumptions!$D$6,IF(ISNUMBER(SEARCH(Assumptions!$C$7,G2976)),Assumptions!$D$7,"Other Services"))),"Other Services"))</f>
        <v/>
      </c>
    </row>
    <row r="2977" customFormat="false" ht="15" hidden="false" customHeight="false" outlineLevel="0" collapsed="false">
      <c r="E2977" s="41" t="str">
        <f aca="false">IF(D2977="","",IFERROR(VLOOKUP(D2977,Assumptions!$G$5:$H$16,2,0),"Other"))</f>
        <v/>
      </c>
      <c r="J2977" s="41" t="str">
        <f aca="false">IF(G2977="","",IFERROR(IF(ISNUMBER(SEARCH(Assumptions!$C$5,G2977)),Assumptions!$D$5,IF(ISNUMBER(SEARCH(Assumptions!$C$6,G2977)),Assumptions!$D$6,IF(ISNUMBER(SEARCH(Assumptions!$C$7,G2977)),Assumptions!$D$7,"Other Services"))),"Other Services"))</f>
        <v/>
      </c>
    </row>
    <row r="2978" customFormat="false" ht="15" hidden="false" customHeight="false" outlineLevel="0" collapsed="false">
      <c r="E2978" s="41" t="str">
        <f aca="false">IF(D2978="","",IFERROR(VLOOKUP(D2978,Assumptions!$G$5:$H$16,2,0),"Other"))</f>
        <v/>
      </c>
      <c r="J2978" s="41" t="str">
        <f aca="false">IF(G2978="","",IFERROR(IF(ISNUMBER(SEARCH(Assumptions!$C$5,G2978)),Assumptions!$D$5,IF(ISNUMBER(SEARCH(Assumptions!$C$6,G2978)),Assumptions!$D$6,IF(ISNUMBER(SEARCH(Assumptions!$C$7,G2978)),Assumptions!$D$7,"Other Services"))),"Other Services"))</f>
        <v/>
      </c>
    </row>
    <row r="2979" customFormat="false" ht="15" hidden="false" customHeight="false" outlineLevel="0" collapsed="false">
      <c r="E2979" s="41" t="str">
        <f aca="false">IF(D2979="","",IFERROR(VLOOKUP(D2979,Assumptions!$G$5:$H$16,2,0),"Other"))</f>
        <v/>
      </c>
      <c r="J2979" s="41" t="str">
        <f aca="false">IF(G2979="","",IFERROR(IF(ISNUMBER(SEARCH(Assumptions!$C$5,G2979)),Assumptions!$D$5,IF(ISNUMBER(SEARCH(Assumptions!$C$6,G2979)),Assumptions!$D$6,IF(ISNUMBER(SEARCH(Assumptions!$C$7,G2979)),Assumptions!$D$7,"Other Services"))),"Other Services"))</f>
        <v/>
      </c>
    </row>
    <row r="2980" customFormat="false" ht="15" hidden="false" customHeight="false" outlineLevel="0" collapsed="false">
      <c r="E2980" s="41" t="str">
        <f aca="false">IF(D2980="","",IFERROR(VLOOKUP(D2980,Assumptions!$G$5:$H$16,2,0),"Other"))</f>
        <v/>
      </c>
      <c r="J2980" s="41" t="str">
        <f aca="false">IF(G2980="","",IFERROR(IF(ISNUMBER(SEARCH(Assumptions!$C$5,G2980)),Assumptions!$D$5,IF(ISNUMBER(SEARCH(Assumptions!$C$6,G2980)),Assumptions!$D$6,IF(ISNUMBER(SEARCH(Assumptions!$C$7,G2980)),Assumptions!$D$7,"Other Services"))),"Other Services"))</f>
        <v/>
      </c>
    </row>
    <row r="2981" customFormat="false" ht="15" hidden="false" customHeight="false" outlineLevel="0" collapsed="false">
      <c r="E2981" s="41" t="str">
        <f aca="false">IF(D2981="","",IFERROR(VLOOKUP(D2981,Assumptions!$G$5:$H$16,2,0),"Other"))</f>
        <v/>
      </c>
      <c r="J2981" s="41" t="str">
        <f aca="false">IF(G2981="","",IFERROR(IF(ISNUMBER(SEARCH(Assumptions!$C$5,G2981)),Assumptions!$D$5,IF(ISNUMBER(SEARCH(Assumptions!$C$6,G2981)),Assumptions!$D$6,IF(ISNUMBER(SEARCH(Assumptions!$C$7,G2981)),Assumptions!$D$7,"Other Services"))),"Other Services"))</f>
        <v/>
      </c>
    </row>
    <row r="2982" customFormat="false" ht="15" hidden="false" customHeight="false" outlineLevel="0" collapsed="false">
      <c r="E2982" s="41" t="str">
        <f aca="false">IF(D2982="","",IFERROR(VLOOKUP(D2982,Assumptions!$G$5:$H$16,2,0),"Other"))</f>
        <v/>
      </c>
      <c r="J2982" s="41" t="str">
        <f aca="false">IF(G2982="","",IFERROR(IF(ISNUMBER(SEARCH(Assumptions!$C$5,G2982)),Assumptions!$D$5,IF(ISNUMBER(SEARCH(Assumptions!$C$6,G2982)),Assumptions!$D$6,IF(ISNUMBER(SEARCH(Assumptions!$C$7,G2982)),Assumptions!$D$7,"Other Services"))),"Other Services"))</f>
        <v/>
      </c>
    </row>
    <row r="2983" customFormat="false" ht="15" hidden="false" customHeight="false" outlineLevel="0" collapsed="false">
      <c r="E2983" s="41" t="str">
        <f aca="false">IF(D2983="","",IFERROR(VLOOKUP(D2983,Assumptions!$G$5:$H$16,2,0),"Other"))</f>
        <v/>
      </c>
      <c r="J2983" s="41" t="str">
        <f aca="false">IF(G2983="","",IFERROR(IF(ISNUMBER(SEARCH(Assumptions!$C$5,G2983)),Assumptions!$D$5,IF(ISNUMBER(SEARCH(Assumptions!$C$6,G2983)),Assumptions!$D$6,IF(ISNUMBER(SEARCH(Assumptions!$C$7,G2983)),Assumptions!$D$7,"Other Services"))),"Other Services"))</f>
        <v/>
      </c>
    </row>
    <row r="2984" customFormat="false" ht="15" hidden="false" customHeight="false" outlineLevel="0" collapsed="false">
      <c r="E2984" s="41" t="str">
        <f aca="false">IF(D2984="","",IFERROR(VLOOKUP(D2984,Assumptions!$G$5:$H$16,2,0),"Other"))</f>
        <v/>
      </c>
      <c r="J2984" s="41" t="str">
        <f aca="false">IF(G2984="","",IFERROR(IF(ISNUMBER(SEARCH(Assumptions!$C$5,G2984)),Assumptions!$D$5,IF(ISNUMBER(SEARCH(Assumptions!$C$6,G2984)),Assumptions!$D$6,IF(ISNUMBER(SEARCH(Assumptions!$C$7,G2984)),Assumptions!$D$7,"Other Services"))),"Other Services"))</f>
        <v/>
      </c>
    </row>
    <row r="2985" customFormat="false" ht="15" hidden="false" customHeight="false" outlineLevel="0" collapsed="false">
      <c r="E2985" s="41" t="str">
        <f aca="false">IF(D2985="","",IFERROR(VLOOKUP(D2985,Assumptions!$G$5:$H$16,2,0),"Other"))</f>
        <v/>
      </c>
      <c r="J2985" s="41" t="str">
        <f aca="false">IF(G2985="","",IFERROR(IF(ISNUMBER(SEARCH(Assumptions!$C$5,G2985)),Assumptions!$D$5,IF(ISNUMBER(SEARCH(Assumptions!$C$6,G2985)),Assumptions!$D$6,IF(ISNUMBER(SEARCH(Assumptions!$C$7,G2985)),Assumptions!$D$7,"Other Services"))),"Other Services"))</f>
        <v/>
      </c>
    </row>
    <row r="2986" customFormat="false" ht="15" hidden="false" customHeight="false" outlineLevel="0" collapsed="false">
      <c r="E2986" s="41" t="str">
        <f aca="false">IF(D2986="","",IFERROR(VLOOKUP(D2986,Assumptions!$G$5:$H$16,2,0),"Other"))</f>
        <v/>
      </c>
      <c r="J2986" s="41" t="str">
        <f aca="false">IF(G2986="","",IFERROR(IF(ISNUMBER(SEARCH(Assumptions!$C$5,G2986)),Assumptions!$D$5,IF(ISNUMBER(SEARCH(Assumptions!$C$6,G2986)),Assumptions!$D$6,IF(ISNUMBER(SEARCH(Assumptions!$C$7,G2986)),Assumptions!$D$7,"Other Services"))),"Other Services"))</f>
        <v/>
      </c>
    </row>
    <row r="2987" customFormat="false" ht="15" hidden="false" customHeight="false" outlineLevel="0" collapsed="false">
      <c r="E2987" s="41" t="str">
        <f aca="false">IF(D2987="","",IFERROR(VLOOKUP(D2987,Assumptions!$G$5:$H$16,2,0),"Other"))</f>
        <v/>
      </c>
      <c r="J2987" s="41" t="str">
        <f aca="false">IF(G2987="","",IFERROR(IF(ISNUMBER(SEARCH(Assumptions!$C$5,G2987)),Assumptions!$D$5,IF(ISNUMBER(SEARCH(Assumptions!$C$6,G2987)),Assumptions!$D$6,IF(ISNUMBER(SEARCH(Assumptions!$C$7,G2987)),Assumptions!$D$7,"Other Services"))),"Other Services"))</f>
        <v/>
      </c>
    </row>
    <row r="2988" customFormat="false" ht="15" hidden="false" customHeight="false" outlineLevel="0" collapsed="false">
      <c r="E2988" s="41" t="str">
        <f aca="false">IF(D2988="","",IFERROR(VLOOKUP(D2988,Assumptions!$G$5:$H$16,2,0),"Other"))</f>
        <v/>
      </c>
      <c r="J2988" s="41" t="str">
        <f aca="false">IF(G2988="","",IFERROR(IF(ISNUMBER(SEARCH(Assumptions!$C$5,G2988)),Assumptions!$D$5,IF(ISNUMBER(SEARCH(Assumptions!$C$6,G2988)),Assumptions!$D$6,IF(ISNUMBER(SEARCH(Assumptions!$C$7,G2988)),Assumptions!$D$7,"Other Services"))),"Other Services"))</f>
        <v/>
      </c>
    </row>
    <row r="2989" customFormat="false" ht="15" hidden="false" customHeight="false" outlineLevel="0" collapsed="false">
      <c r="E2989" s="41" t="str">
        <f aca="false">IF(D2989="","",IFERROR(VLOOKUP(D2989,Assumptions!$G$5:$H$16,2,0),"Other"))</f>
        <v/>
      </c>
      <c r="J2989" s="41" t="str">
        <f aca="false">IF(G2989="","",IFERROR(IF(ISNUMBER(SEARCH(Assumptions!$C$5,G2989)),Assumptions!$D$5,IF(ISNUMBER(SEARCH(Assumptions!$C$6,G2989)),Assumptions!$D$6,IF(ISNUMBER(SEARCH(Assumptions!$C$7,G2989)),Assumptions!$D$7,"Other Services"))),"Other Services"))</f>
        <v/>
      </c>
    </row>
    <row r="2990" customFormat="false" ht="15" hidden="false" customHeight="false" outlineLevel="0" collapsed="false">
      <c r="E2990" s="41" t="str">
        <f aca="false">IF(D2990="","",IFERROR(VLOOKUP(D2990,Assumptions!$G$5:$H$16,2,0),"Other"))</f>
        <v/>
      </c>
      <c r="J2990" s="41" t="str">
        <f aca="false">IF(G2990="","",IFERROR(IF(ISNUMBER(SEARCH(Assumptions!$C$5,G2990)),Assumptions!$D$5,IF(ISNUMBER(SEARCH(Assumptions!$C$6,G2990)),Assumptions!$D$6,IF(ISNUMBER(SEARCH(Assumptions!$C$7,G2990)),Assumptions!$D$7,"Other Services"))),"Other Services"))</f>
        <v/>
      </c>
    </row>
    <row r="2991" customFormat="false" ht="15" hidden="false" customHeight="false" outlineLevel="0" collapsed="false">
      <c r="E2991" s="41" t="str">
        <f aca="false">IF(D2991="","",IFERROR(VLOOKUP(D2991,Assumptions!$G$5:$H$16,2,0),"Other"))</f>
        <v/>
      </c>
      <c r="J2991" s="41" t="str">
        <f aca="false">IF(G2991="","",IFERROR(IF(ISNUMBER(SEARCH(Assumptions!$C$5,G2991)),Assumptions!$D$5,IF(ISNUMBER(SEARCH(Assumptions!$C$6,G2991)),Assumptions!$D$6,IF(ISNUMBER(SEARCH(Assumptions!$C$7,G2991)),Assumptions!$D$7,"Other Services"))),"Other Services"))</f>
        <v/>
      </c>
    </row>
    <row r="2992" customFormat="false" ht="15" hidden="false" customHeight="false" outlineLevel="0" collapsed="false">
      <c r="E2992" s="41" t="str">
        <f aca="false">IF(D2992="","",IFERROR(VLOOKUP(D2992,Assumptions!$G$5:$H$16,2,0),"Other"))</f>
        <v/>
      </c>
      <c r="J2992" s="41" t="str">
        <f aca="false">IF(G2992="","",IFERROR(IF(ISNUMBER(SEARCH(Assumptions!$C$5,G2992)),Assumptions!$D$5,IF(ISNUMBER(SEARCH(Assumptions!$C$6,G2992)),Assumptions!$D$6,IF(ISNUMBER(SEARCH(Assumptions!$C$7,G2992)),Assumptions!$D$7,"Other Services"))),"Other Services"))</f>
        <v/>
      </c>
    </row>
    <row r="2993" customFormat="false" ht="15" hidden="false" customHeight="false" outlineLevel="0" collapsed="false">
      <c r="E2993" s="41" t="str">
        <f aca="false">IF(D2993="","",IFERROR(VLOOKUP(D2993,Assumptions!$G$5:$H$16,2,0),"Other"))</f>
        <v/>
      </c>
      <c r="J2993" s="41" t="str">
        <f aca="false">IF(G2993="","",IFERROR(IF(ISNUMBER(SEARCH(Assumptions!$C$5,G2993)),Assumptions!$D$5,IF(ISNUMBER(SEARCH(Assumptions!$C$6,G2993)),Assumptions!$D$6,IF(ISNUMBER(SEARCH(Assumptions!$C$7,G2993)),Assumptions!$D$7,"Other Services"))),"Other Services"))</f>
        <v/>
      </c>
    </row>
    <row r="2994" customFormat="false" ht="15" hidden="false" customHeight="false" outlineLevel="0" collapsed="false">
      <c r="E2994" s="41" t="str">
        <f aca="false">IF(D2994="","",IFERROR(VLOOKUP(D2994,Assumptions!$G$5:$H$16,2,0),"Other"))</f>
        <v/>
      </c>
      <c r="J2994" s="41" t="str">
        <f aca="false">IF(G2994="","",IFERROR(IF(ISNUMBER(SEARCH(Assumptions!$C$5,G2994)),Assumptions!$D$5,IF(ISNUMBER(SEARCH(Assumptions!$C$6,G2994)),Assumptions!$D$6,IF(ISNUMBER(SEARCH(Assumptions!$C$7,G2994)),Assumptions!$D$7,"Other Services"))),"Other Services"))</f>
        <v/>
      </c>
    </row>
    <row r="2995" customFormat="false" ht="15" hidden="false" customHeight="false" outlineLevel="0" collapsed="false">
      <c r="E2995" s="41" t="str">
        <f aca="false">IF(D2995="","",IFERROR(VLOOKUP(D2995,Assumptions!$G$5:$H$16,2,0),"Other"))</f>
        <v/>
      </c>
      <c r="J2995" s="41" t="str">
        <f aca="false">IF(G2995="","",IFERROR(IF(ISNUMBER(SEARCH(Assumptions!$C$5,G2995)),Assumptions!$D$5,IF(ISNUMBER(SEARCH(Assumptions!$C$6,G2995)),Assumptions!$D$6,IF(ISNUMBER(SEARCH(Assumptions!$C$7,G2995)),Assumptions!$D$7,"Other Services"))),"Other Services"))</f>
        <v/>
      </c>
    </row>
    <row r="2996" customFormat="false" ht="15" hidden="false" customHeight="false" outlineLevel="0" collapsed="false">
      <c r="E2996" s="41" t="str">
        <f aca="false">IF(D2996="","",IFERROR(VLOOKUP(D2996,Assumptions!$G$5:$H$16,2,0),"Other"))</f>
        <v/>
      </c>
      <c r="J2996" s="41" t="str">
        <f aca="false">IF(G2996="","",IFERROR(IF(ISNUMBER(SEARCH(Assumptions!$C$5,G2996)),Assumptions!$D$5,IF(ISNUMBER(SEARCH(Assumptions!$C$6,G2996)),Assumptions!$D$6,IF(ISNUMBER(SEARCH(Assumptions!$C$7,G2996)),Assumptions!$D$7,"Other Services"))),"Other Services"))</f>
        <v/>
      </c>
    </row>
    <row r="2997" customFormat="false" ht="15" hidden="false" customHeight="false" outlineLevel="0" collapsed="false">
      <c r="E2997" s="41" t="str">
        <f aca="false">IF(D2997="","",IFERROR(VLOOKUP(D2997,Assumptions!$G$5:$H$16,2,0),"Other"))</f>
        <v/>
      </c>
      <c r="J2997" s="41" t="str">
        <f aca="false">IF(G2997="","",IFERROR(IF(ISNUMBER(SEARCH(Assumptions!$C$5,G2997)),Assumptions!$D$5,IF(ISNUMBER(SEARCH(Assumptions!$C$6,G2997)),Assumptions!$D$6,IF(ISNUMBER(SEARCH(Assumptions!$C$7,G2997)),Assumptions!$D$7,"Other Services"))),"Other Services"))</f>
        <v/>
      </c>
    </row>
    <row r="2998" customFormat="false" ht="15" hidden="false" customHeight="false" outlineLevel="0" collapsed="false">
      <c r="E2998" s="41" t="str">
        <f aca="false">IF(D2998="","",IFERROR(VLOOKUP(D2998,Assumptions!$G$5:$H$16,2,0),"Other"))</f>
        <v/>
      </c>
      <c r="J2998" s="41" t="str">
        <f aca="false">IF(G2998="","",IFERROR(IF(ISNUMBER(SEARCH(Assumptions!$C$5,G2998)),Assumptions!$D$5,IF(ISNUMBER(SEARCH(Assumptions!$C$6,G2998)),Assumptions!$D$6,IF(ISNUMBER(SEARCH(Assumptions!$C$7,G2998)),Assumptions!$D$7,"Other Services"))),"Other Services"))</f>
        <v/>
      </c>
    </row>
    <row r="2999" customFormat="false" ht="15" hidden="false" customHeight="false" outlineLevel="0" collapsed="false">
      <c r="E2999" s="41" t="str">
        <f aca="false">IF(D2999="","",IFERROR(VLOOKUP(D2999,Assumptions!$G$5:$H$16,2,0),"Other"))</f>
        <v/>
      </c>
      <c r="J2999" s="41" t="str">
        <f aca="false">IF(G2999="","",IFERROR(IF(ISNUMBER(SEARCH(Assumptions!$C$5,G2999)),Assumptions!$D$5,IF(ISNUMBER(SEARCH(Assumptions!$C$6,G2999)),Assumptions!$D$6,IF(ISNUMBER(SEARCH(Assumptions!$C$7,G2999)),Assumptions!$D$7,"Other Services"))),"Other Services"))</f>
        <v/>
      </c>
    </row>
    <row r="3000" customFormat="false" ht="15" hidden="false" customHeight="false" outlineLevel="0" collapsed="false">
      <c r="E3000" s="41" t="str">
        <f aca="false">IF(D3000="","",IFERROR(VLOOKUP(D3000,Assumptions!$G$5:$H$16,2,0),"Other"))</f>
        <v/>
      </c>
      <c r="J3000" s="41" t="str">
        <f aca="false">IF(G3000="","",IFERROR(IF(ISNUMBER(SEARCH(Assumptions!$C$5,G3000)),Assumptions!$D$5,IF(ISNUMBER(SEARCH(Assumptions!$C$6,G3000)),Assumptions!$D$6,IF(ISNUMBER(SEARCH(Assumptions!$C$7,G3000)),Assumptions!$D$7,"Other Services"))),"Other Services"))</f>
        <v/>
      </c>
    </row>
    <row r="3001" customFormat="false" ht="15" hidden="false" customHeight="false" outlineLevel="0" collapsed="false">
      <c r="E3001" s="41" t="str">
        <f aca="false">IF(D3001="","",IFERROR(VLOOKUP(D3001,Assumptions!$G$5:$H$16,2,0),"Other"))</f>
        <v/>
      </c>
      <c r="J3001" s="41" t="str">
        <f aca="false">IF(G3001="","",IFERROR(IF(ISNUMBER(SEARCH(Assumptions!$C$5,G3001)),Assumptions!$D$5,IF(ISNUMBER(SEARCH(Assumptions!$C$6,G3001)),Assumptions!$D$6,IF(ISNUMBER(SEARCH(Assumptions!$C$7,G3001)),Assumptions!$D$7,"Other Services"))),"Other Services"))</f>
        <v/>
      </c>
    </row>
    <row r="3002" customFormat="false" ht="15" hidden="false" customHeight="false" outlineLevel="0" collapsed="false">
      <c r="E3002" s="41" t="str">
        <f aca="false">IF(D3002="","",IFERROR(VLOOKUP(D3002,Assumptions!$G$5:$H$16,2,0),"Other"))</f>
        <v/>
      </c>
      <c r="J3002" s="41" t="str">
        <f aca="false">IF(G3002="","",IFERROR(IF(ISNUMBER(SEARCH(Assumptions!$C$5,G3002)),Assumptions!$D$5,IF(ISNUMBER(SEARCH(Assumptions!$C$6,G3002)),Assumptions!$D$6,IF(ISNUMBER(SEARCH(Assumptions!$C$7,G3002)),Assumptions!$D$7,"Other Services"))),"Other Services"))</f>
        <v/>
      </c>
    </row>
    <row r="3003" customFormat="false" ht="15" hidden="false" customHeight="false" outlineLevel="0" collapsed="false">
      <c r="E3003" s="41" t="str">
        <f aca="false">IF(D3003="","",IFERROR(VLOOKUP(D3003,Assumptions!$G$5:$H$16,2,0),"Other"))</f>
        <v/>
      </c>
      <c r="J3003" s="41" t="str">
        <f aca="false">IF(G3003="","",IFERROR(IF(ISNUMBER(SEARCH(Assumptions!$C$5,G3003)),Assumptions!$D$5,IF(ISNUMBER(SEARCH(Assumptions!$C$6,G3003)),Assumptions!$D$6,IF(ISNUMBER(SEARCH(Assumptions!$C$7,G3003)),Assumptions!$D$7,"Other Services"))),"Other Services"))</f>
        <v/>
      </c>
    </row>
    <row r="3004" customFormat="false" ht="15" hidden="false" customHeight="false" outlineLevel="0" collapsed="false">
      <c r="E3004" s="41" t="str">
        <f aca="false">IF(D3004="","",IFERROR(VLOOKUP(D3004,Assumptions!$G$5:$H$16,2,0),"Other"))</f>
        <v/>
      </c>
      <c r="J3004" s="41" t="str">
        <f aca="false">IF(G3004="","",IFERROR(IF(ISNUMBER(SEARCH(Assumptions!$C$5,G3004)),Assumptions!$D$5,IF(ISNUMBER(SEARCH(Assumptions!$C$6,G3004)),Assumptions!$D$6,IF(ISNUMBER(SEARCH(Assumptions!$C$7,G3004)),Assumptions!$D$7,"Other Services"))),"Other Services"))</f>
        <v/>
      </c>
    </row>
    <row r="3005" customFormat="false" ht="15" hidden="false" customHeight="false" outlineLevel="0" collapsed="false">
      <c r="E3005" s="41" t="str">
        <f aca="false">IF(D3005="","",IFERROR(VLOOKUP(D3005,Assumptions!$G$5:$H$16,2,0),"Other"))</f>
        <v/>
      </c>
      <c r="J3005" s="41" t="str">
        <f aca="false">IF(G3005="","",IFERROR(IF(ISNUMBER(SEARCH(Assumptions!$C$5,G3005)),Assumptions!$D$5,IF(ISNUMBER(SEARCH(Assumptions!$C$6,G3005)),Assumptions!$D$6,IF(ISNUMBER(SEARCH(Assumptions!$C$7,G3005)),Assumptions!$D$7,"Other Services"))),"Other Services"))</f>
        <v/>
      </c>
    </row>
    <row r="3006" customFormat="false" ht="15" hidden="false" customHeight="false" outlineLevel="0" collapsed="false">
      <c r="E3006" s="41" t="str">
        <f aca="false">IF(D3006="","",IFERROR(VLOOKUP(D3006,Assumptions!$G$5:$H$16,2,0),"Other"))</f>
        <v/>
      </c>
      <c r="J3006" s="41" t="str">
        <f aca="false">IF(G3006="","",IFERROR(IF(ISNUMBER(SEARCH(Assumptions!$C$5,G3006)),Assumptions!$D$5,IF(ISNUMBER(SEARCH(Assumptions!$C$6,G3006)),Assumptions!$D$6,IF(ISNUMBER(SEARCH(Assumptions!$C$7,G3006)),Assumptions!$D$7,"Other Services"))),"Other Services"))</f>
        <v/>
      </c>
    </row>
    <row r="3007" customFormat="false" ht="15" hidden="false" customHeight="false" outlineLevel="0" collapsed="false">
      <c r="E3007" s="41" t="str">
        <f aca="false">IF(D3007="","",IFERROR(VLOOKUP(D3007,Assumptions!$G$5:$H$16,2,0),"Other"))</f>
        <v/>
      </c>
      <c r="J3007" s="41" t="str">
        <f aca="false">IF(G3007="","",IFERROR(IF(ISNUMBER(SEARCH(Assumptions!$C$5,G3007)),Assumptions!$D$5,IF(ISNUMBER(SEARCH(Assumptions!$C$6,G3007)),Assumptions!$D$6,IF(ISNUMBER(SEARCH(Assumptions!$C$7,G3007)),Assumptions!$D$7,"Other Services"))),"Other Services"))</f>
        <v/>
      </c>
    </row>
    <row r="3008" customFormat="false" ht="15" hidden="false" customHeight="false" outlineLevel="0" collapsed="false">
      <c r="E3008" s="41" t="str">
        <f aca="false">IF(D3008="","",IFERROR(VLOOKUP(D3008,Assumptions!$G$5:$H$16,2,0),"Other"))</f>
        <v/>
      </c>
      <c r="J3008" s="41" t="str">
        <f aca="false">IF(G3008="","",IFERROR(IF(ISNUMBER(SEARCH(Assumptions!$C$5,G3008)),Assumptions!$D$5,IF(ISNUMBER(SEARCH(Assumptions!$C$6,G3008)),Assumptions!$D$6,IF(ISNUMBER(SEARCH(Assumptions!$C$7,G3008)),Assumptions!$D$7,"Other Services"))),"Other Services"))</f>
        <v/>
      </c>
    </row>
    <row r="3009" customFormat="false" ht="15" hidden="false" customHeight="false" outlineLevel="0" collapsed="false">
      <c r="E3009" s="41" t="str">
        <f aca="false">IF(D3009="","",IFERROR(VLOOKUP(D3009,Assumptions!$G$5:$H$16,2,0),"Other"))</f>
        <v/>
      </c>
      <c r="J3009" s="41" t="str">
        <f aca="false">IF(G3009="","",IFERROR(IF(ISNUMBER(SEARCH(Assumptions!$C$5,G3009)),Assumptions!$D$5,IF(ISNUMBER(SEARCH(Assumptions!$C$6,G3009)),Assumptions!$D$6,IF(ISNUMBER(SEARCH(Assumptions!$C$7,G3009)),Assumptions!$D$7,"Other Services"))),"Other Services"))</f>
        <v/>
      </c>
    </row>
    <row r="3010" customFormat="false" ht="15" hidden="false" customHeight="false" outlineLevel="0" collapsed="false">
      <c r="E3010" s="41" t="str">
        <f aca="false">IF(D3010="","",IFERROR(VLOOKUP(D3010,Assumptions!$G$5:$H$16,2,0),"Other"))</f>
        <v/>
      </c>
      <c r="J3010" s="41" t="str">
        <f aca="false">IF(G3010="","",IFERROR(IF(ISNUMBER(SEARCH(Assumptions!$C$5,G3010)),Assumptions!$D$5,IF(ISNUMBER(SEARCH(Assumptions!$C$6,G3010)),Assumptions!$D$6,IF(ISNUMBER(SEARCH(Assumptions!$C$7,G3010)),Assumptions!$D$7,"Other Services"))),"Other Services"))</f>
        <v/>
      </c>
    </row>
    <row r="3011" customFormat="false" ht="15" hidden="false" customHeight="false" outlineLevel="0" collapsed="false">
      <c r="E3011" s="41" t="str">
        <f aca="false">IF(D3011="","",IFERROR(VLOOKUP(D3011,Assumptions!$G$5:$H$16,2,0),"Other"))</f>
        <v/>
      </c>
      <c r="J3011" s="41" t="str">
        <f aca="false">IF(G3011="","",IFERROR(IF(ISNUMBER(SEARCH(Assumptions!$C$5,G3011)),Assumptions!$D$5,IF(ISNUMBER(SEARCH(Assumptions!$C$6,G3011)),Assumptions!$D$6,IF(ISNUMBER(SEARCH(Assumptions!$C$7,G3011)),Assumptions!$D$7,"Other Services"))),"Other Services"))</f>
        <v/>
      </c>
    </row>
    <row r="3012" customFormat="false" ht="15" hidden="false" customHeight="false" outlineLevel="0" collapsed="false">
      <c r="E3012" s="41" t="str">
        <f aca="false">IF(D3012="","",IFERROR(VLOOKUP(D3012,Assumptions!$G$5:$H$16,2,0),"Other"))</f>
        <v/>
      </c>
      <c r="J3012" s="41" t="str">
        <f aca="false">IF(G3012="","",IFERROR(IF(ISNUMBER(SEARCH(Assumptions!$C$5,G3012)),Assumptions!$D$5,IF(ISNUMBER(SEARCH(Assumptions!$C$6,G3012)),Assumptions!$D$6,IF(ISNUMBER(SEARCH(Assumptions!$C$7,G3012)),Assumptions!$D$7,"Other Services"))),"Other Services"))</f>
        <v/>
      </c>
    </row>
    <row r="3013" customFormat="false" ht="15" hidden="false" customHeight="false" outlineLevel="0" collapsed="false">
      <c r="E3013" s="41" t="str">
        <f aca="false">IF(D3013="","",IFERROR(VLOOKUP(D3013,Assumptions!$G$5:$H$16,2,0),"Other"))</f>
        <v/>
      </c>
      <c r="J3013" s="41" t="str">
        <f aca="false">IF(G3013="","",IFERROR(IF(ISNUMBER(SEARCH(Assumptions!$C$5,G3013)),Assumptions!$D$5,IF(ISNUMBER(SEARCH(Assumptions!$C$6,G3013)),Assumptions!$D$6,IF(ISNUMBER(SEARCH(Assumptions!$C$7,G3013)),Assumptions!$D$7,"Other Services"))),"Other Services"))</f>
        <v/>
      </c>
    </row>
    <row r="3014" customFormat="false" ht="15" hidden="false" customHeight="false" outlineLevel="0" collapsed="false">
      <c r="E3014" s="41" t="str">
        <f aca="false">IF(D3014="","",IFERROR(VLOOKUP(D3014,Assumptions!$G$5:$H$16,2,0),"Other"))</f>
        <v/>
      </c>
      <c r="J3014" s="41" t="str">
        <f aca="false">IF(G3014="","",IFERROR(IF(ISNUMBER(SEARCH(Assumptions!$C$5,G3014)),Assumptions!$D$5,IF(ISNUMBER(SEARCH(Assumptions!$C$6,G3014)),Assumptions!$D$6,IF(ISNUMBER(SEARCH(Assumptions!$C$7,G3014)),Assumptions!$D$7,"Other Services"))),"Other Services"))</f>
        <v/>
      </c>
    </row>
    <row r="3015" customFormat="false" ht="15" hidden="false" customHeight="false" outlineLevel="0" collapsed="false">
      <c r="E3015" s="41" t="str">
        <f aca="false">IF(D3015="","",IFERROR(VLOOKUP(D3015,Assumptions!$G$5:$H$16,2,0),"Other"))</f>
        <v/>
      </c>
      <c r="J3015" s="41" t="str">
        <f aca="false">IF(G3015="","",IFERROR(IF(ISNUMBER(SEARCH(Assumptions!$C$5,G3015)),Assumptions!$D$5,IF(ISNUMBER(SEARCH(Assumptions!$C$6,G3015)),Assumptions!$D$6,IF(ISNUMBER(SEARCH(Assumptions!$C$7,G3015)),Assumptions!$D$7,"Other Services"))),"Other Services"))</f>
        <v/>
      </c>
    </row>
    <row r="3016" customFormat="false" ht="15" hidden="false" customHeight="false" outlineLevel="0" collapsed="false">
      <c r="E3016" s="41" t="str">
        <f aca="false">IF(D3016="","",IFERROR(VLOOKUP(D3016,Assumptions!$G$5:$H$16,2,0),"Other"))</f>
        <v/>
      </c>
      <c r="J3016" s="41" t="str">
        <f aca="false">IF(G3016="","",IFERROR(IF(ISNUMBER(SEARCH(Assumptions!$C$5,G3016)),Assumptions!$D$5,IF(ISNUMBER(SEARCH(Assumptions!$C$6,G3016)),Assumptions!$D$6,IF(ISNUMBER(SEARCH(Assumptions!$C$7,G3016)),Assumptions!$D$7,"Other Services"))),"Other Services"))</f>
        <v/>
      </c>
    </row>
    <row r="3017" customFormat="false" ht="15" hidden="false" customHeight="false" outlineLevel="0" collapsed="false">
      <c r="E3017" s="41" t="str">
        <f aca="false">IF(D3017="","",IFERROR(VLOOKUP(D3017,Assumptions!$G$5:$H$16,2,0),"Other"))</f>
        <v/>
      </c>
      <c r="J3017" s="41" t="str">
        <f aca="false">IF(G3017="","",IFERROR(IF(ISNUMBER(SEARCH(Assumptions!$C$5,G3017)),Assumptions!$D$5,IF(ISNUMBER(SEARCH(Assumptions!$C$6,G3017)),Assumptions!$D$6,IF(ISNUMBER(SEARCH(Assumptions!$C$7,G3017)),Assumptions!$D$7,"Other Services"))),"Other Services"))</f>
        <v/>
      </c>
    </row>
    <row r="3018" customFormat="false" ht="15" hidden="false" customHeight="false" outlineLevel="0" collapsed="false">
      <c r="E3018" s="41" t="str">
        <f aca="false">IF(D3018="","",IFERROR(VLOOKUP(D3018,Assumptions!$G$5:$H$16,2,0),"Other"))</f>
        <v/>
      </c>
      <c r="J3018" s="41" t="str">
        <f aca="false">IF(G3018="","",IFERROR(IF(ISNUMBER(SEARCH(Assumptions!$C$5,G3018)),Assumptions!$D$5,IF(ISNUMBER(SEARCH(Assumptions!$C$6,G3018)),Assumptions!$D$6,IF(ISNUMBER(SEARCH(Assumptions!$C$7,G3018)),Assumptions!$D$7,"Other Services"))),"Other Services"))</f>
        <v/>
      </c>
    </row>
    <row r="3019" customFormat="false" ht="15" hidden="false" customHeight="false" outlineLevel="0" collapsed="false">
      <c r="E3019" s="41" t="str">
        <f aca="false">IF(D3019="","",IFERROR(VLOOKUP(D3019,Assumptions!$G$5:$H$16,2,0),"Other"))</f>
        <v/>
      </c>
      <c r="J3019" s="41" t="str">
        <f aca="false">IF(G3019="","",IFERROR(IF(ISNUMBER(SEARCH(Assumptions!$C$5,G3019)),Assumptions!$D$5,IF(ISNUMBER(SEARCH(Assumptions!$C$6,G3019)),Assumptions!$D$6,IF(ISNUMBER(SEARCH(Assumptions!$C$7,G3019)),Assumptions!$D$7,"Other Services"))),"Other Services"))</f>
        <v/>
      </c>
    </row>
    <row r="3020" customFormat="false" ht="15" hidden="false" customHeight="false" outlineLevel="0" collapsed="false">
      <c r="E3020" s="41" t="str">
        <f aca="false">IF(D3020="","",IFERROR(VLOOKUP(D3020,Assumptions!$G$5:$H$16,2,0),"Other"))</f>
        <v/>
      </c>
      <c r="J3020" s="41" t="str">
        <f aca="false">IF(G3020="","",IFERROR(IF(ISNUMBER(SEARCH(Assumptions!$C$5,G3020)),Assumptions!$D$5,IF(ISNUMBER(SEARCH(Assumptions!$C$6,G3020)),Assumptions!$D$6,IF(ISNUMBER(SEARCH(Assumptions!$C$7,G3020)),Assumptions!$D$7,"Other Services"))),"Other Services"))</f>
        <v/>
      </c>
    </row>
    <row r="3021" customFormat="false" ht="15" hidden="false" customHeight="false" outlineLevel="0" collapsed="false">
      <c r="E3021" s="41" t="str">
        <f aca="false">IF(D3021="","",IFERROR(VLOOKUP(D3021,Assumptions!$G$5:$H$16,2,0),"Other"))</f>
        <v/>
      </c>
      <c r="J3021" s="41" t="str">
        <f aca="false">IF(G3021="","",IFERROR(IF(ISNUMBER(SEARCH(Assumptions!$C$5,G3021)),Assumptions!$D$5,IF(ISNUMBER(SEARCH(Assumptions!$C$6,G3021)),Assumptions!$D$6,IF(ISNUMBER(SEARCH(Assumptions!$C$7,G3021)),Assumptions!$D$7,"Other Services"))),"Other Services"))</f>
        <v/>
      </c>
    </row>
    <row r="3022" customFormat="false" ht="15" hidden="false" customHeight="false" outlineLevel="0" collapsed="false">
      <c r="E3022" s="41" t="str">
        <f aca="false">IF(D3022="","",IFERROR(VLOOKUP(D3022,Assumptions!$G$5:$H$16,2,0),"Other"))</f>
        <v/>
      </c>
      <c r="J3022" s="41" t="str">
        <f aca="false">IF(G3022="","",IFERROR(IF(ISNUMBER(SEARCH(Assumptions!$C$5,G3022)),Assumptions!$D$5,IF(ISNUMBER(SEARCH(Assumptions!$C$6,G3022)),Assumptions!$D$6,IF(ISNUMBER(SEARCH(Assumptions!$C$7,G3022)),Assumptions!$D$7,"Other Services"))),"Other Services"))</f>
        <v/>
      </c>
    </row>
    <row r="3023" customFormat="false" ht="15" hidden="false" customHeight="false" outlineLevel="0" collapsed="false">
      <c r="E3023" s="41" t="str">
        <f aca="false">IF(D3023="","",IFERROR(VLOOKUP(D3023,Assumptions!$G$5:$H$16,2,0),"Other"))</f>
        <v/>
      </c>
      <c r="J3023" s="41" t="str">
        <f aca="false">IF(G3023="","",IFERROR(IF(ISNUMBER(SEARCH(Assumptions!$C$5,G3023)),Assumptions!$D$5,IF(ISNUMBER(SEARCH(Assumptions!$C$6,G3023)),Assumptions!$D$6,IF(ISNUMBER(SEARCH(Assumptions!$C$7,G3023)),Assumptions!$D$7,"Other Services"))),"Other Services"))</f>
        <v/>
      </c>
    </row>
    <row r="3024" customFormat="false" ht="15" hidden="false" customHeight="false" outlineLevel="0" collapsed="false">
      <c r="E3024" s="41" t="str">
        <f aca="false">IF(D3024="","",IFERROR(VLOOKUP(D3024,Assumptions!$G$5:$H$16,2,0),"Other"))</f>
        <v/>
      </c>
      <c r="J3024" s="41" t="str">
        <f aca="false">IF(G3024="","",IFERROR(IF(ISNUMBER(SEARCH(Assumptions!$C$5,G3024)),Assumptions!$D$5,IF(ISNUMBER(SEARCH(Assumptions!$C$6,G3024)),Assumptions!$D$6,IF(ISNUMBER(SEARCH(Assumptions!$C$7,G3024)),Assumptions!$D$7,"Other Services"))),"Other Services"))</f>
        <v/>
      </c>
    </row>
    <row r="3025" customFormat="false" ht="15" hidden="false" customHeight="false" outlineLevel="0" collapsed="false">
      <c r="E3025" s="41" t="str">
        <f aca="false">IF(D3025="","",IFERROR(VLOOKUP(D3025,Assumptions!$G$5:$H$16,2,0),"Other"))</f>
        <v/>
      </c>
      <c r="J3025" s="41" t="str">
        <f aca="false">IF(G3025="","",IFERROR(IF(ISNUMBER(SEARCH(Assumptions!$C$5,G3025)),Assumptions!$D$5,IF(ISNUMBER(SEARCH(Assumptions!$C$6,G3025)),Assumptions!$D$6,IF(ISNUMBER(SEARCH(Assumptions!$C$7,G3025)),Assumptions!$D$7,"Other Services"))),"Other Services"))</f>
        <v/>
      </c>
    </row>
    <row r="3026" customFormat="false" ht="15" hidden="false" customHeight="false" outlineLevel="0" collapsed="false">
      <c r="E3026" s="41" t="str">
        <f aca="false">IF(D3026="","",IFERROR(VLOOKUP(D3026,Assumptions!$G$5:$H$16,2,0),"Other"))</f>
        <v/>
      </c>
      <c r="J3026" s="41" t="str">
        <f aca="false">IF(G3026="","",IFERROR(IF(ISNUMBER(SEARCH(Assumptions!$C$5,G3026)),Assumptions!$D$5,IF(ISNUMBER(SEARCH(Assumptions!$C$6,G3026)),Assumptions!$D$6,IF(ISNUMBER(SEARCH(Assumptions!$C$7,G3026)),Assumptions!$D$7,"Other Services"))),"Other Services"))</f>
        <v/>
      </c>
    </row>
    <row r="3027" customFormat="false" ht="15" hidden="false" customHeight="false" outlineLevel="0" collapsed="false">
      <c r="E3027" s="41" t="str">
        <f aca="false">IF(D3027="","",IFERROR(VLOOKUP(D3027,Assumptions!$G$5:$H$16,2,0),"Other"))</f>
        <v/>
      </c>
      <c r="J3027" s="41" t="str">
        <f aca="false">IF(G3027="","",IFERROR(IF(ISNUMBER(SEARCH(Assumptions!$C$5,G3027)),Assumptions!$D$5,IF(ISNUMBER(SEARCH(Assumptions!$C$6,G3027)),Assumptions!$D$6,IF(ISNUMBER(SEARCH(Assumptions!$C$7,G3027)),Assumptions!$D$7,"Other Services"))),"Other Services"))</f>
        <v/>
      </c>
    </row>
    <row r="3028" customFormat="false" ht="15" hidden="false" customHeight="false" outlineLevel="0" collapsed="false">
      <c r="E3028" s="41" t="str">
        <f aca="false">IF(D3028="","",IFERROR(VLOOKUP(D3028,Assumptions!$G$5:$H$16,2,0),"Other"))</f>
        <v/>
      </c>
      <c r="J3028" s="41" t="str">
        <f aca="false">IF(G3028="","",IFERROR(IF(ISNUMBER(SEARCH(Assumptions!$C$5,G3028)),Assumptions!$D$5,IF(ISNUMBER(SEARCH(Assumptions!$C$6,G3028)),Assumptions!$D$6,IF(ISNUMBER(SEARCH(Assumptions!$C$7,G3028)),Assumptions!$D$7,"Other Services"))),"Other Services"))</f>
        <v/>
      </c>
    </row>
    <row r="3029" customFormat="false" ht="15" hidden="false" customHeight="false" outlineLevel="0" collapsed="false">
      <c r="E3029" s="41" t="str">
        <f aca="false">IF(D3029="","",IFERROR(VLOOKUP(D3029,Assumptions!$G$5:$H$16,2,0),"Other"))</f>
        <v/>
      </c>
      <c r="J3029" s="41" t="str">
        <f aca="false">IF(G3029="","",IFERROR(IF(ISNUMBER(SEARCH(Assumptions!$C$5,G3029)),Assumptions!$D$5,IF(ISNUMBER(SEARCH(Assumptions!$C$6,G3029)),Assumptions!$D$6,IF(ISNUMBER(SEARCH(Assumptions!$C$7,G3029)),Assumptions!$D$7,"Other Services"))),"Other Services"))</f>
        <v/>
      </c>
    </row>
    <row r="3030" customFormat="false" ht="15" hidden="false" customHeight="false" outlineLevel="0" collapsed="false">
      <c r="E3030" s="41" t="str">
        <f aca="false">IF(D3030="","",IFERROR(VLOOKUP(D3030,Assumptions!$G$5:$H$16,2,0),"Other"))</f>
        <v/>
      </c>
      <c r="J3030" s="41" t="str">
        <f aca="false">IF(G3030="","",IFERROR(IF(ISNUMBER(SEARCH(Assumptions!$C$5,G3030)),Assumptions!$D$5,IF(ISNUMBER(SEARCH(Assumptions!$C$6,G3030)),Assumptions!$D$6,IF(ISNUMBER(SEARCH(Assumptions!$C$7,G3030)),Assumptions!$D$7,"Other Services"))),"Other Services"))</f>
        <v/>
      </c>
    </row>
    <row r="3031" customFormat="false" ht="15" hidden="false" customHeight="false" outlineLevel="0" collapsed="false">
      <c r="E3031" s="41" t="str">
        <f aca="false">IF(D3031="","",IFERROR(VLOOKUP(D3031,Assumptions!$G$5:$H$16,2,0),"Other"))</f>
        <v/>
      </c>
      <c r="J3031" s="41" t="str">
        <f aca="false">IF(G3031="","",IFERROR(IF(ISNUMBER(SEARCH(Assumptions!$C$5,G3031)),Assumptions!$D$5,IF(ISNUMBER(SEARCH(Assumptions!$C$6,G3031)),Assumptions!$D$6,IF(ISNUMBER(SEARCH(Assumptions!$C$7,G3031)),Assumptions!$D$7,"Other Services"))),"Other Services"))</f>
        <v/>
      </c>
    </row>
    <row r="3032" customFormat="false" ht="15" hidden="false" customHeight="false" outlineLevel="0" collapsed="false">
      <c r="E3032" s="41" t="str">
        <f aca="false">IF(D3032="","",IFERROR(VLOOKUP(D3032,Assumptions!$G$5:$H$16,2,0),"Other"))</f>
        <v/>
      </c>
      <c r="J3032" s="41" t="str">
        <f aca="false">IF(G3032="","",IFERROR(IF(ISNUMBER(SEARCH(Assumptions!$C$5,G3032)),Assumptions!$D$5,IF(ISNUMBER(SEARCH(Assumptions!$C$6,G3032)),Assumptions!$D$6,IF(ISNUMBER(SEARCH(Assumptions!$C$7,G3032)),Assumptions!$D$7,"Other Services"))),"Other Services"))</f>
        <v/>
      </c>
    </row>
    <row r="3033" customFormat="false" ht="15" hidden="false" customHeight="false" outlineLevel="0" collapsed="false">
      <c r="E3033" s="41" t="str">
        <f aca="false">IF(D3033="","",IFERROR(VLOOKUP(D3033,Assumptions!$G$5:$H$16,2,0),"Other"))</f>
        <v/>
      </c>
      <c r="J3033" s="41" t="str">
        <f aca="false">IF(G3033="","",IFERROR(IF(ISNUMBER(SEARCH(Assumptions!$C$5,G3033)),Assumptions!$D$5,IF(ISNUMBER(SEARCH(Assumptions!$C$6,G3033)),Assumptions!$D$6,IF(ISNUMBER(SEARCH(Assumptions!$C$7,G3033)),Assumptions!$D$7,"Other Services"))),"Other Services"))</f>
        <v/>
      </c>
    </row>
    <row r="3034" customFormat="false" ht="15" hidden="false" customHeight="false" outlineLevel="0" collapsed="false">
      <c r="E3034" s="41" t="str">
        <f aca="false">IF(D3034="","",IFERROR(VLOOKUP(D3034,Assumptions!$G$5:$H$16,2,0),"Other"))</f>
        <v/>
      </c>
      <c r="J3034" s="41" t="str">
        <f aca="false">IF(G3034="","",IFERROR(IF(ISNUMBER(SEARCH(Assumptions!$C$5,G3034)),Assumptions!$D$5,IF(ISNUMBER(SEARCH(Assumptions!$C$6,G3034)),Assumptions!$D$6,IF(ISNUMBER(SEARCH(Assumptions!$C$7,G3034)),Assumptions!$D$7,"Other Services"))),"Other Services"))</f>
        <v/>
      </c>
    </row>
    <row r="3035" customFormat="false" ht="15" hidden="false" customHeight="false" outlineLevel="0" collapsed="false">
      <c r="E3035" s="41" t="str">
        <f aca="false">IF(D3035="","",IFERROR(VLOOKUP(D3035,Assumptions!$G$5:$H$16,2,0),"Other"))</f>
        <v/>
      </c>
      <c r="J3035" s="41" t="str">
        <f aca="false">IF(G3035="","",IFERROR(IF(ISNUMBER(SEARCH(Assumptions!$C$5,G3035)),Assumptions!$D$5,IF(ISNUMBER(SEARCH(Assumptions!$C$6,G3035)),Assumptions!$D$6,IF(ISNUMBER(SEARCH(Assumptions!$C$7,G3035)),Assumptions!$D$7,"Other Services"))),"Other Services"))</f>
        <v/>
      </c>
    </row>
    <row r="3036" customFormat="false" ht="15" hidden="false" customHeight="false" outlineLevel="0" collapsed="false">
      <c r="E3036" s="41" t="str">
        <f aca="false">IF(D3036="","",IFERROR(VLOOKUP(D3036,Assumptions!$G$5:$H$16,2,0),"Other"))</f>
        <v/>
      </c>
      <c r="J3036" s="41" t="str">
        <f aca="false">IF(G3036="","",IFERROR(IF(ISNUMBER(SEARCH(Assumptions!$C$5,G3036)),Assumptions!$D$5,IF(ISNUMBER(SEARCH(Assumptions!$C$6,G3036)),Assumptions!$D$6,IF(ISNUMBER(SEARCH(Assumptions!$C$7,G3036)),Assumptions!$D$7,"Other Services"))),"Other Services"))</f>
        <v/>
      </c>
    </row>
    <row r="3037" customFormat="false" ht="15" hidden="false" customHeight="false" outlineLevel="0" collapsed="false">
      <c r="E3037" s="41" t="str">
        <f aca="false">IF(D3037="","",IFERROR(VLOOKUP(D3037,Assumptions!$G$5:$H$16,2,0),"Other"))</f>
        <v/>
      </c>
      <c r="J3037" s="41" t="str">
        <f aca="false">IF(G3037="","",IFERROR(IF(ISNUMBER(SEARCH(Assumptions!$C$5,G3037)),Assumptions!$D$5,IF(ISNUMBER(SEARCH(Assumptions!$C$6,G3037)),Assumptions!$D$6,IF(ISNUMBER(SEARCH(Assumptions!$C$7,G3037)),Assumptions!$D$7,"Other Services"))),"Other Services"))</f>
        <v/>
      </c>
    </row>
    <row r="3038" customFormat="false" ht="15" hidden="false" customHeight="false" outlineLevel="0" collapsed="false">
      <c r="E3038" s="41" t="str">
        <f aca="false">IF(D3038="","",IFERROR(VLOOKUP(D3038,Assumptions!$G$5:$H$16,2,0),"Other"))</f>
        <v/>
      </c>
      <c r="J3038" s="41" t="str">
        <f aca="false">IF(G3038="","",IFERROR(IF(ISNUMBER(SEARCH(Assumptions!$C$5,G3038)),Assumptions!$D$5,IF(ISNUMBER(SEARCH(Assumptions!$C$6,G3038)),Assumptions!$D$6,IF(ISNUMBER(SEARCH(Assumptions!$C$7,G3038)),Assumptions!$D$7,"Other Services"))),"Other Services"))</f>
        <v/>
      </c>
    </row>
    <row r="3039" customFormat="false" ht="15" hidden="false" customHeight="false" outlineLevel="0" collapsed="false">
      <c r="E3039" s="41" t="str">
        <f aca="false">IF(D3039="","",IFERROR(VLOOKUP(D3039,Assumptions!$G$5:$H$16,2,0),"Other"))</f>
        <v/>
      </c>
      <c r="J3039" s="41" t="str">
        <f aca="false">IF(G3039="","",IFERROR(IF(ISNUMBER(SEARCH(Assumptions!$C$5,G3039)),Assumptions!$D$5,IF(ISNUMBER(SEARCH(Assumptions!$C$6,G3039)),Assumptions!$D$6,IF(ISNUMBER(SEARCH(Assumptions!$C$7,G3039)),Assumptions!$D$7,"Other Services"))),"Other Services"))</f>
        <v/>
      </c>
    </row>
    <row r="3040" customFormat="false" ht="15" hidden="false" customHeight="false" outlineLevel="0" collapsed="false">
      <c r="E3040" s="41" t="str">
        <f aca="false">IF(D3040="","",IFERROR(VLOOKUP(D3040,Assumptions!$G$5:$H$16,2,0),"Other"))</f>
        <v/>
      </c>
      <c r="J3040" s="41" t="str">
        <f aca="false">IF(G3040="","",IFERROR(IF(ISNUMBER(SEARCH(Assumptions!$C$5,G3040)),Assumptions!$D$5,IF(ISNUMBER(SEARCH(Assumptions!$C$6,G3040)),Assumptions!$D$6,IF(ISNUMBER(SEARCH(Assumptions!$C$7,G3040)),Assumptions!$D$7,"Other Services"))),"Other Services"))</f>
        <v/>
      </c>
    </row>
    <row r="3041" customFormat="false" ht="15" hidden="false" customHeight="false" outlineLevel="0" collapsed="false">
      <c r="E3041" s="41" t="str">
        <f aca="false">IF(D3041="","",IFERROR(VLOOKUP(D3041,Assumptions!$G$5:$H$16,2,0),"Other"))</f>
        <v/>
      </c>
      <c r="J3041" s="41" t="str">
        <f aca="false">IF(G3041="","",IFERROR(IF(ISNUMBER(SEARCH(Assumptions!$C$5,G3041)),Assumptions!$D$5,IF(ISNUMBER(SEARCH(Assumptions!$C$6,G3041)),Assumptions!$D$6,IF(ISNUMBER(SEARCH(Assumptions!$C$7,G3041)),Assumptions!$D$7,"Other Services"))),"Other Services"))</f>
        <v/>
      </c>
    </row>
    <row r="3042" customFormat="false" ht="15" hidden="false" customHeight="false" outlineLevel="0" collapsed="false">
      <c r="E3042" s="41" t="str">
        <f aca="false">IF(D3042="","",IFERROR(VLOOKUP(D3042,Assumptions!$G$5:$H$16,2,0),"Other"))</f>
        <v/>
      </c>
      <c r="J3042" s="41" t="str">
        <f aca="false">IF(G3042="","",IFERROR(IF(ISNUMBER(SEARCH(Assumptions!$C$5,G3042)),Assumptions!$D$5,IF(ISNUMBER(SEARCH(Assumptions!$C$6,G3042)),Assumptions!$D$6,IF(ISNUMBER(SEARCH(Assumptions!$C$7,G3042)),Assumptions!$D$7,"Other Services"))),"Other Services"))</f>
        <v/>
      </c>
    </row>
    <row r="3043" customFormat="false" ht="15" hidden="false" customHeight="false" outlineLevel="0" collapsed="false">
      <c r="E3043" s="41" t="str">
        <f aca="false">IF(D3043="","",IFERROR(VLOOKUP(D3043,Assumptions!$G$5:$H$16,2,0),"Other"))</f>
        <v/>
      </c>
      <c r="J3043" s="41" t="str">
        <f aca="false">IF(G3043="","",IFERROR(IF(ISNUMBER(SEARCH(Assumptions!$C$5,G3043)),Assumptions!$D$5,IF(ISNUMBER(SEARCH(Assumptions!$C$6,G3043)),Assumptions!$D$6,IF(ISNUMBER(SEARCH(Assumptions!$C$7,G3043)),Assumptions!$D$7,"Other Services"))),"Other Services"))</f>
        <v/>
      </c>
    </row>
    <row r="3044" customFormat="false" ht="15" hidden="false" customHeight="false" outlineLevel="0" collapsed="false">
      <c r="E3044" s="41" t="str">
        <f aca="false">IF(D3044="","",IFERROR(VLOOKUP(D3044,Assumptions!$G$5:$H$16,2,0),"Other"))</f>
        <v/>
      </c>
      <c r="J3044" s="41" t="str">
        <f aca="false">IF(G3044="","",IFERROR(IF(ISNUMBER(SEARCH(Assumptions!$C$5,G3044)),Assumptions!$D$5,IF(ISNUMBER(SEARCH(Assumptions!$C$6,G3044)),Assumptions!$D$6,IF(ISNUMBER(SEARCH(Assumptions!$C$7,G3044)),Assumptions!$D$7,"Other Services"))),"Other Services"))</f>
        <v/>
      </c>
    </row>
    <row r="3045" customFormat="false" ht="15" hidden="false" customHeight="false" outlineLevel="0" collapsed="false">
      <c r="E3045" s="41" t="str">
        <f aca="false">IF(D3045="","",IFERROR(VLOOKUP(D3045,Assumptions!$G$5:$H$16,2,0),"Other"))</f>
        <v/>
      </c>
      <c r="J3045" s="41" t="str">
        <f aca="false">IF(G3045="","",IFERROR(IF(ISNUMBER(SEARCH(Assumptions!$C$5,G3045)),Assumptions!$D$5,IF(ISNUMBER(SEARCH(Assumptions!$C$6,G3045)),Assumptions!$D$6,IF(ISNUMBER(SEARCH(Assumptions!$C$7,G3045)),Assumptions!$D$7,"Other Services"))),"Other Services"))</f>
        <v/>
      </c>
    </row>
    <row r="3046" customFormat="false" ht="15" hidden="false" customHeight="false" outlineLevel="0" collapsed="false">
      <c r="E3046" s="41" t="str">
        <f aca="false">IF(D3046="","",IFERROR(VLOOKUP(D3046,Assumptions!$G$5:$H$16,2,0),"Other"))</f>
        <v/>
      </c>
      <c r="J3046" s="41" t="str">
        <f aca="false">IF(G3046="","",IFERROR(IF(ISNUMBER(SEARCH(Assumptions!$C$5,G3046)),Assumptions!$D$5,IF(ISNUMBER(SEARCH(Assumptions!$C$6,G3046)),Assumptions!$D$6,IF(ISNUMBER(SEARCH(Assumptions!$C$7,G3046)),Assumptions!$D$7,"Other Services"))),"Other Services"))</f>
        <v/>
      </c>
    </row>
    <row r="3047" customFormat="false" ht="15" hidden="false" customHeight="false" outlineLevel="0" collapsed="false">
      <c r="E3047" s="41" t="str">
        <f aca="false">IF(D3047="","",IFERROR(VLOOKUP(D3047,Assumptions!$G$5:$H$16,2,0),"Other"))</f>
        <v/>
      </c>
      <c r="J3047" s="41" t="str">
        <f aca="false">IF(G3047="","",IFERROR(IF(ISNUMBER(SEARCH(Assumptions!$C$5,G3047)),Assumptions!$D$5,IF(ISNUMBER(SEARCH(Assumptions!$C$6,G3047)),Assumptions!$D$6,IF(ISNUMBER(SEARCH(Assumptions!$C$7,G3047)),Assumptions!$D$7,"Other Services"))),"Other Services"))</f>
        <v/>
      </c>
    </row>
    <row r="3048" customFormat="false" ht="15" hidden="false" customHeight="false" outlineLevel="0" collapsed="false">
      <c r="E3048" s="41" t="str">
        <f aca="false">IF(D3048="","",IFERROR(VLOOKUP(D3048,Assumptions!$G$5:$H$16,2,0),"Other"))</f>
        <v/>
      </c>
      <c r="J3048" s="41" t="str">
        <f aca="false">IF(G3048="","",IFERROR(IF(ISNUMBER(SEARCH(Assumptions!$C$5,G3048)),Assumptions!$D$5,IF(ISNUMBER(SEARCH(Assumptions!$C$6,G3048)),Assumptions!$D$6,IF(ISNUMBER(SEARCH(Assumptions!$C$7,G3048)),Assumptions!$D$7,"Other Services"))),"Other Services"))</f>
        <v/>
      </c>
    </row>
    <row r="3049" customFormat="false" ht="15" hidden="false" customHeight="false" outlineLevel="0" collapsed="false">
      <c r="E3049" s="41" t="str">
        <f aca="false">IF(D3049="","",IFERROR(VLOOKUP(D3049,Assumptions!$G$5:$H$16,2,0),"Other"))</f>
        <v/>
      </c>
      <c r="J3049" s="41" t="str">
        <f aca="false">IF(G3049="","",IFERROR(IF(ISNUMBER(SEARCH(Assumptions!$C$5,G3049)),Assumptions!$D$5,IF(ISNUMBER(SEARCH(Assumptions!$C$6,G3049)),Assumptions!$D$6,IF(ISNUMBER(SEARCH(Assumptions!$C$7,G3049)),Assumptions!$D$7,"Other Services"))),"Other Services"))</f>
        <v/>
      </c>
    </row>
    <row r="3050" customFormat="false" ht="15" hidden="false" customHeight="false" outlineLevel="0" collapsed="false">
      <c r="E3050" s="41" t="str">
        <f aca="false">IF(D3050="","",IFERROR(VLOOKUP(D3050,Assumptions!$G$5:$H$16,2,0),"Other"))</f>
        <v/>
      </c>
      <c r="J3050" s="41" t="str">
        <f aca="false">IF(G3050="","",IFERROR(IF(ISNUMBER(SEARCH(Assumptions!$C$5,G3050)),Assumptions!$D$5,IF(ISNUMBER(SEARCH(Assumptions!$C$6,G3050)),Assumptions!$D$6,IF(ISNUMBER(SEARCH(Assumptions!$C$7,G3050)),Assumptions!$D$7,"Other Services"))),"Other Services"))</f>
        <v/>
      </c>
    </row>
    <row r="3051" customFormat="false" ht="15" hidden="false" customHeight="false" outlineLevel="0" collapsed="false">
      <c r="E3051" s="41" t="str">
        <f aca="false">IF(D3051="","",IFERROR(VLOOKUP(D3051,Assumptions!$G$5:$H$16,2,0),"Other"))</f>
        <v/>
      </c>
      <c r="J3051" s="41" t="str">
        <f aca="false">IF(G3051="","",IFERROR(IF(ISNUMBER(SEARCH(Assumptions!$C$5,G3051)),Assumptions!$D$5,IF(ISNUMBER(SEARCH(Assumptions!$C$6,G3051)),Assumptions!$D$6,IF(ISNUMBER(SEARCH(Assumptions!$C$7,G3051)),Assumptions!$D$7,"Other Services"))),"Other Services"))</f>
        <v/>
      </c>
    </row>
    <row r="3052" customFormat="false" ht="15" hidden="false" customHeight="false" outlineLevel="0" collapsed="false">
      <c r="E3052" s="41" t="str">
        <f aca="false">IF(D3052="","",IFERROR(VLOOKUP(D3052,Assumptions!$G$5:$H$16,2,0),"Other"))</f>
        <v/>
      </c>
      <c r="J3052" s="41" t="str">
        <f aca="false">IF(G3052="","",IFERROR(IF(ISNUMBER(SEARCH(Assumptions!$C$5,G3052)),Assumptions!$D$5,IF(ISNUMBER(SEARCH(Assumptions!$C$6,G3052)),Assumptions!$D$6,IF(ISNUMBER(SEARCH(Assumptions!$C$7,G3052)),Assumptions!$D$7,"Other Services"))),"Other Services"))</f>
        <v/>
      </c>
    </row>
    <row r="3053" customFormat="false" ht="15" hidden="false" customHeight="false" outlineLevel="0" collapsed="false">
      <c r="E3053" s="41" t="str">
        <f aca="false">IF(D3053="","",IFERROR(VLOOKUP(D3053,Assumptions!$G$5:$H$16,2,0),"Other"))</f>
        <v/>
      </c>
      <c r="J3053" s="41" t="str">
        <f aca="false">IF(G3053="","",IFERROR(IF(ISNUMBER(SEARCH(Assumptions!$C$5,G3053)),Assumptions!$D$5,IF(ISNUMBER(SEARCH(Assumptions!$C$6,G3053)),Assumptions!$D$6,IF(ISNUMBER(SEARCH(Assumptions!$C$7,G3053)),Assumptions!$D$7,"Other Services"))),"Other Services"))</f>
        <v/>
      </c>
    </row>
    <row r="3054" customFormat="false" ht="15" hidden="false" customHeight="false" outlineLevel="0" collapsed="false">
      <c r="E3054" s="41" t="str">
        <f aca="false">IF(D3054="","",IFERROR(VLOOKUP(D3054,Assumptions!$G$5:$H$16,2,0),"Other"))</f>
        <v/>
      </c>
      <c r="J3054" s="41" t="str">
        <f aca="false">IF(G3054="","",IFERROR(IF(ISNUMBER(SEARCH(Assumptions!$C$5,G3054)),Assumptions!$D$5,IF(ISNUMBER(SEARCH(Assumptions!$C$6,G3054)),Assumptions!$D$6,IF(ISNUMBER(SEARCH(Assumptions!$C$7,G3054)),Assumptions!$D$7,"Other Services"))),"Other Services"))</f>
        <v/>
      </c>
    </row>
    <row r="3055" customFormat="false" ht="15" hidden="false" customHeight="false" outlineLevel="0" collapsed="false">
      <c r="E3055" s="41" t="str">
        <f aca="false">IF(D3055="","",IFERROR(VLOOKUP(D3055,Assumptions!$G$5:$H$16,2,0),"Other"))</f>
        <v/>
      </c>
      <c r="J3055" s="41" t="str">
        <f aca="false">IF(G3055="","",IFERROR(IF(ISNUMBER(SEARCH(Assumptions!$C$5,G3055)),Assumptions!$D$5,IF(ISNUMBER(SEARCH(Assumptions!$C$6,G3055)),Assumptions!$D$6,IF(ISNUMBER(SEARCH(Assumptions!$C$7,G3055)),Assumptions!$D$7,"Other Services"))),"Other Services"))</f>
        <v/>
      </c>
    </row>
    <row r="3056" customFormat="false" ht="15" hidden="false" customHeight="false" outlineLevel="0" collapsed="false">
      <c r="E3056" s="41" t="str">
        <f aca="false">IF(D3056="","",IFERROR(VLOOKUP(D3056,Assumptions!$G$5:$H$16,2,0),"Other"))</f>
        <v/>
      </c>
      <c r="J3056" s="41" t="str">
        <f aca="false">IF(G3056="","",IFERROR(IF(ISNUMBER(SEARCH(Assumptions!$C$5,G3056)),Assumptions!$D$5,IF(ISNUMBER(SEARCH(Assumptions!$C$6,G3056)),Assumptions!$D$6,IF(ISNUMBER(SEARCH(Assumptions!$C$7,G3056)),Assumptions!$D$7,"Other Services"))),"Other Services"))</f>
        <v/>
      </c>
    </row>
    <row r="3057" customFormat="false" ht="15" hidden="false" customHeight="false" outlineLevel="0" collapsed="false">
      <c r="E3057" s="41" t="str">
        <f aca="false">IF(D3057="","",IFERROR(VLOOKUP(D3057,Assumptions!$G$5:$H$16,2,0),"Other"))</f>
        <v/>
      </c>
      <c r="J3057" s="41" t="str">
        <f aca="false">IF(G3057="","",IFERROR(IF(ISNUMBER(SEARCH(Assumptions!$C$5,G3057)),Assumptions!$D$5,IF(ISNUMBER(SEARCH(Assumptions!$C$6,G3057)),Assumptions!$D$6,IF(ISNUMBER(SEARCH(Assumptions!$C$7,G3057)),Assumptions!$D$7,"Other Services"))),"Other Services"))</f>
        <v/>
      </c>
    </row>
    <row r="3058" customFormat="false" ht="15" hidden="false" customHeight="false" outlineLevel="0" collapsed="false">
      <c r="E3058" s="41" t="str">
        <f aca="false">IF(D3058="","",IFERROR(VLOOKUP(D3058,Assumptions!$G$5:$H$16,2,0),"Other"))</f>
        <v/>
      </c>
      <c r="J3058" s="41" t="str">
        <f aca="false">IF(G3058="","",IFERROR(IF(ISNUMBER(SEARCH(Assumptions!$C$5,G3058)),Assumptions!$D$5,IF(ISNUMBER(SEARCH(Assumptions!$C$6,G3058)),Assumptions!$D$6,IF(ISNUMBER(SEARCH(Assumptions!$C$7,G3058)),Assumptions!$D$7,"Other Services"))),"Other Services"))</f>
        <v/>
      </c>
    </row>
    <row r="3059" customFormat="false" ht="15" hidden="false" customHeight="false" outlineLevel="0" collapsed="false">
      <c r="E3059" s="41" t="str">
        <f aca="false">IF(D3059="","",IFERROR(VLOOKUP(D3059,Assumptions!$G$5:$H$16,2,0),"Other"))</f>
        <v/>
      </c>
      <c r="J3059" s="41" t="str">
        <f aca="false">IF(G3059="","",IFERROR(IF(ISNUMBER(SEARCH(Assumptions!$C$5,G3059)),Assumptions!$D$5,IF(ISNUMBER(SEARCH(Assumptions!$C$6,G3059)),Assumptions!$D$6,IF(ISNUMBER(SEARCH(Assumptions!$C$7,G3059)),Assumptions!$D$7,"Other Services"))),"Other Services"))</f>
        <v/>
      </c>
    </row>
    <row r="3060" customFormat="false" ht="15" hidden="false" customHeight="false" outlineLevel="0" collapsed="false">
      <c r="E3060" s="41" t="str">
        <f aca="false">IF(D3060="","",IFERROR(VLOOKUP(D3060,Assumptions!$G$5:$H$16,2,0),"Other"))</f>
        <v/>
      </c>
      <c r="J3060" s="41" t="str">
        <f aca="false">IF(G3060="","",IFERROR(IF(ISNUMBER(SEARCH(Assumptions!$C$5,G3060)),Assumptions!$D$5,IF(ISNUMBER(SEARCH(Assumptions!$C$6,G3060)),Assumptions!$D$6,IF(ISNUMBER(SEARCH(Assumptions!$C$7,G3060)),Assumptions!$D$7,"Other Services"))),"Other Services"))</f>
        <v/>
      </c>
    </row>
    <row r="3061" customFormat="false" ht="15" hidden="false" customHeight="false" outlineLevel="0" collapsed="false">
      <c r="E3061" s="41" t="str">
        <f aca="false">IF(D3061="","",IFERROR(VLOOKUP(D3061,Assumptions!$G$5:$H$16,2,0),"Other"))</f>
        <v/>
      </c>
      <c r="J3061" s="41" t="str">
        <f aca="false">IF(G3061="","",IFERROR(IF(ISNUMBER(SEARCH(Assumptions!$C$5,G3061)),Assumptions!$D$5,IF(ISNUMBER(SEARCH(Assumptions!$C$6,G3061)),Assumptions!$D$6,IF(ISNUMBER(SEARCH(Assumptions!$C$7,G3061)),Assumptions!$D$7,"Other Services"))),"Other Services"))</f>
        <v/>
      </c>
    </row>
    <row r="3062" customFormat="false" ht="15" hidden="false" customHeight="false" outlineLevel="0" collapsed="false">
      <c r="E3062" s="41" t="str">
        <f aca="false">IF(D3062="","",IFERROR(VLOOKUP(D3062,Assumptions!$G$5:$H$16,2,0),"Other"))</f>
        <v/>
      </c>
      <c r="J3062" s="41" t="str">
        <f aca="false">IF(G3062="","",IFERROR(IF(ISNUMBER(SEARCH(Assumptions!$C$5,G3062)),Assumptions!$D$5,IF(ISNUMBER(SEARCH(Assumptions!$C$6,G3062)),Assumptions!$D$6,IF(ISNUMBER(SEARCH(Assumptions!$C$7,G3062)),Assumptions!$D$7,"Other Services"))),"Other Services"))</f>
        <v/>
      </c>
    </row>
    <row r="3063" customFormat="false" ht="15" hidden="false" customHeight="false" outlineLevel="0" collapsed="false">
      <c r="E3063" s="41" t="str">
        <f aca="false">IF(D3063="","",IFERROR(VLOOKUP(D3063,Assumptions!$G$5:$H$16,2,0),"Other"))</f>
        <v/>
      </c>
      <c r="J3063" s="41" t="str">
        <f aca="false">IF(G3063="","",IFERROR(IF(ISNUMBER(SEARCH(Assumptions!$C$5,G3063)),Assumptions!$D$5,IF(ISNUMBER(SEARCH(Assumptions!$C$6,G3063)),Assumptions!$D$6,IF(ISNUMBER(SEARCH(Assumptions!$C$7,G3063)),Assumptions!$D$7,"Other Services"))),"Other Services"))</f>
        <v/>
      </c>
    </row>
    <row r="3064" customFormat="false" ht="15" hidden="false" customHeight="false" outlineLevel="0" collapsed="false">
      <c r="E3064" s="41" t="str">
        <f aca="false">IF(D3064="","",IFERROR(VLOOKUP(D3064,Assumptions!$G$5:$H$16,2,0),"Other"))</f>
        <v/>
      </c>
      <c r="J3064" s="41" t="str">
        <f aca="false">IF(G3064="","",IFERROR(IF(ISNUMBER(SEARCH(Assumptions!$C$5,G3064)),Assumptions!$D$5,IF(ISNUMBER(SEARCH(Assumptions!$C$6,G3064)),Assumptions!$D$6,IF(ISNUMBER(SEARCH(Assumptions!$C$7,G3064)),Assumptions!$D$7,"Other Services"))),"Other Services"))</f>
        <v/>
      </c>
    </row>
    <row r="3065" customFormat="false" ht="15" hidden="false" customHeight="false" outlineLevel="0" collapsed="false">
      <c r="E3065" s="41" t="str">
        <f aca="false">IF(D3065="","",IFERROR(VLOOKUP(D3065,Assumptions!$G$5:$H$16,2,0),"Other"))</f>
        <v/>
      </c>
      <c r="J3065" s="41" t="str">
        <f aca="false">IF(G3065="","",IFERROR(IF(ISNUMBER(SEARCH(Assumptions!$C$5,G3065)),Assumptions!$D$5,IF(ISNUMBER(SEARCH(Assumptions!$C$6,G3065)),Assumptions!$D$6,IF(ISNUMBER(SEARCH(Assumptions!$C$7,G3065)),Assumptions!$D$7,"Other Services"))),"Other Services"))</f>
        <v/>
      </c>
    </row>
    <row r="3066" customFormat="false" ht="15" hidden="false" customHeight="false" outlineLevel="0" collapsed="false">
      <c r="E3066" s="41" t="str">
        <f aca="false">IF(D3066="","",IFERROR(VLOOKUP(D3066,Assumptions!$G$5:$H$16,2,0),"Other"))</f>
        <v/>
      </c>
      <c r="J3066" s="41" t="str">
        <f aca="false">IF(G3066="","",IFERROR(IF(ISNUMBER(SEARCH(Assumptions!$C$5,G3066)),Assumptions!$D$5,IF(ISNUMBER(SEARCH(Assumptions!$C$6,G3066)),Assumptions!$D$6,IF(ISNUMBER(SEARCH(Assumptions!$C$7,G3066)),Assumptions!$D$7,"Other Services"))),"Other Services"))</f>
        <v/>
      </c>
    </row>
    <row r="3067" customFormat="false" ht="15" hidden="false" customHeight="false" outlineLevel="0" collapsed="false">
      <c r="E3067" s="41" t="str">
        <f aca="false">IF(D3067="","",IFERROR(VLOOKUP(D3067,Assumptions!$G$5:$H$16,2,0),"Other"))</f>
        <v/>
      </c>
      <c r="J3067" s="41" t="str">
        <f aca="false">IF(G3067="","",IFERROR(IF(ISNUMBER(SEARCH(Assumptions!$C$5,G3067)),Assumptions!$D$5,IF(ISNUMBER(SEARCH(Assumptions!$C$6,G3067)),Assumptions!$D$6,IF(ISNUMBER(SEARCH(Assumptions!$C$7,G3067)),Assumptions!$D$7,"Other Services"))),"Other Services"))</f>
        <v/>
      </c>
    </row>
    <row r="3068" customFormat="false" ht="15" hidden="false" customHeight="false" outlineLevel="0" collapsed="false">
      <c r="E3068" s="41" t="str">
        <f aca="false">IF(D3068="","",IFERROR(VLOOKUP(D3068,Assumptions!$G$5:$H$16,2,0),"Other"))</f>
        <v/>
      </c>
      <c r="J3068" s="41" t="str">
        <f aca="false">IF(G3068="","",IFERROR(IF(ISNUMBER(SEARCH(Assumptions!$C$5,G3068)),Assumptions!$D$5,IF(ISNUMBER(SEARCH(Assumptions!$C$6,G3068)),Assumptions!$D$6,IF(ISNUMBER(SEARCH(Assumptions!$C$7,G3068)),Assumptions!$D$7,"Other Services"))),"Other Services"))</f>
        <v/>
      </c>
    </row>
    <row r="3069" customFormat="false" ht="15" hidden="false" customHeight="false" outlineLevel="0" collapsed="false">
      <c r="E3069" s="41" t="str">
        <f aca="false">IF(D3069="","",IFERROR(VLOOKUP(D3069,Assumptions!$G$5:$H$16,2,0),"Other"))</f>
        <v/>
      </c>
      <c r="J3069" s="41" t="str">
        <f aca="false">IF(G3069="","",IFERROR(IF(ISNUMBER(SEARCH(Assumptions!$C$5,G3069)),Assumptions!$D$5,IF(ISNUMBER(SEARCH(Assumptions!$C$6,G3069)),Assumptions!$D$6,IF(ISNUMBER(SEARCH(Assumptions!$C$7,G3069)),Assumptions!$D$7,"Other Services"))),"Other Services"))</f>
        <v/>
      </c>
    </row>
    <row r="3070" customFormat="false" ht="15" hidden="false" customHeight="false" outlineLevel="0" collapsed="false">
      <c r="E3070" s="41" t="str">
        <f aca="false">IF(D3070="","",IFERROR(VLOOKUP(D3070,Assumptions!$G$5:$H$16,2,0),"Other"))</f>
        <v/>
      </c>
      <c r="J3070" s="41" t="str">
        <f aca="false">IF(G3070="","",IFERROR(IF(ISNUMBER(SEARCH(Assumptions!$C$5,G3070)),Assumptions!$D$5,IF(ISNUMBER(SEARCH(Assumptions!$C$6,G3070)),Assumptions!$D$6,IF(ISNUMBER(SEARCH(Assumptions!$C$7,G3070)),Assumptions!$D$7,"Other Services"))),"Other Services"))</f>
        <v/>
      </c>
    </row>
    <row r="3071" customFormat="false" ht="15" hidden="false" customHeight="false" outlineLevel="0" collapsed="false">
      <c r="E3071" s="41" t="str">
        <f aca="false">IF(D3071="","",IFERROR(VLOOKUP(D3071,Assumptions!$G$5:$H$16,2,0),"Other"))</f>
        <v/>
      </c>
      <c r="J3071" s="41" t="str">
        <f aca="false">IF(G3071="","",IFERROR(IF(ISNUMBER(SEARCH(Assumptions!$C$5,G3071)),Assumptions!$D$5,IF(ISNUMBER(SEARCH(Assumptions!$C$6,G3071)),Assumptions!$D$6,IF(ISNUMBER(SEARCH(Assumptions!$C$7,G3071)),Assumptions!$D$7,"Other Services"))),"Other Services"))</f>
        <v/>
      </c>
    </row>
    <row r="3072" customFormat="false" ht="15" hidden="false" customHeight="false" outlineLevel="0" collapsed="false">
      <c r="E3072" s="41" t="str">
        <f aca="false">IF(D3072="","",IFERROR(VLOOKUP(D3072,Assumptions!$G$5:$H$16,2,0),"Other"))</f>
        <v/>
      </c>
      <c r="J3072" s="41" t="str">
        <f aca="false">IF(G3072="","",IFERROR(IF(ISNUMBER(SEARCH(Assumptions!$C$5,G3072)),Assumptions!$D$5,IF(ISNUMBER(SEARCH(Assumptions!$C$6,G3072)),Assumptions!$D$6,IF(ISNUMBER(SEARCH(Assumptions!$C$7,G3072)),Assumptions!$D$7,"Other Services"))),"Other Services"))</f>
        <v/>
      </c>
    </row>
    <row r="3073" customFormat="false" ht="15" hidden="false" customHeight="false" outlineLevel="0" collapsed="false">
      <c r="E3073" s="41" t="str">
        <f aca="false">IF(D3073="","",IFERROR(VLOOKUP(D3073,Assumptions!$G$5:$H$16,2,0),"Other"))</f>
        <v/>
      </c>
      <c r="J3073" s="41" t="str">
        <f aca="false">IF(G3073="","",IFERROR(IF(ISNUMBER(SEARCH(Assumptions!$C$5,G3073)),Assumptions!$D$5,IF(ISNUMBER(SEARCH(Assumptions!$C$6,G3073)),Assumptions!$D$6,IF(ISNUMBER(SEARCH(Assumptions!$C$7,G3073)),Assumptions!$D$7,"Other Services"))),"Other Services"))</f>
        <v/>
      </c>
    </row>
    <row r="3074" customFormat="false" ht="15" hidden="false" customHeight="false" outlineLevel="0" collapsed="false">
      <c r="E3074" s="41" t="str">
        <f aca="false">IF(D3074="","",IFERROR(VLOOKUP(D3074,Assumptions!$G$5:$H$16,2,0),"Other"))</f>
        <v/>
      </c>
      <c r="J3074" s="41" t="str">
        <f aca="false">IF(G3074="","",IFERROR(IF(ISNUMBER(SEARCH(Assumptions!$C$5,G3074)),Assumptions!$D$5,IF(ISNUMBER(SEARCH(Assumptions!$C$6,G3074)),Assumptions!$D$6,IF(ISNUMBER(SEARCH(Assumptions!$C$7,G3074)),Assumptions!$D$7,"Other Services"))),"Other Services"))</f>
        <v/>
      </c>
    </row>
    <row r="3075" customFormat="false" ht="15" hidden="false" customHeight="false" outlineLevel="0" collapsed="false">
      <c r="E3075" s="41" t="str">
        <f aca="false">IF(D3075="","",IFERROR(VLOOKUP(D3075,Assumptions!$G$5:$H$16,2,0),"Other"))</f>
        <v/>
      </c>
      <c r="J3075" s="41" t="str">
        <f aca="false">IF(G3075="","",IFERROR(IF(ISNUMBER(SEARCH(Assumptions!$C$5,G3075)),Assumptions!$D$5,IF(ISNUMBER(SEARCH(Assumptions!$C$6,G3075)),Assumptions!$D$6,IF(ISNUMBER(SEARCH(Assumptions!$C$7,G3075)),Assumptions!$D$7,"Other Services"))),"Other Services"))</f>
        <v/>
      </c>
    </row>
    <row r="3076" customFormat="false" ht="15" hidden="false" customHeight="false" outlineLevel="0" collapsed="false">
      <c r="E3076" s="41" t="str">
        <f aca="false">IF(D3076="","",IFERROR(VLOOKUP(D3076,Assumptions!$G$5:$H$16,2,0),"Other"))</f>
        <v/>
      </c>
      <c r="J3076" s="41" t="str">
        <f aca="false">IF(G3076="","",IFERROR(IF(ISNUMBER(SEARCH(Assumptions!$C$5,G3076)),Assumptions!$D$5,IF(ISNUMBER(SEARCH(Assumptions!$C$6,G3076)),Assumptions!$D$6,IF(ISNUMBER(SEARCH(Assumptions!$C$7,G3076)),Assumptions!$D$7,"Other Services"))),"Other Services"))</f>
        <v/>
      </c>
    </row>
    <row r="3077" customFormat="false" ht="15" hidden="false" customHeight="false" outlineLevel="0" collapsed="false">
      <c r="E3077" s="41" t="str">
        <f aca="false">IF(D3077="","",IFERROR(VLOOKUP(D3077,Assumptions!$G$5:$H$16,2,0),"Other"))</f>
        <v/>
      </c>
      <c r="J3077" s="41" t="str">
        <f aca="false">IF(G3077="","",IFERROR(IF(ISNUMBER(SEARCH(Assumptions!$C$5,G3077)),Assumptions!$D$5,IF(ISNUMBER(SEARCH(Assumptions!$C$6,G3077)),Assumptions!$D$6,IF(ISNUMBER(SEARCH(Assumptions!$C$7,G3077)),Assumptions!$D$7,"Other Services"))),"Other Services"))</f>
        <v/>
      </c>
    </row>
    <row r="3078" customFormat="false" ht="15" hidden="false" customHeight="false" outlineLevel="0" collapsed="false">
      <c r="E3078" s="41" t="str">
        <f aca="false">IF(D3078="","",IFERROR(VLOOKUP(D3078,Assumptions!$G$5:$H$16,2,0),"Other"))</f>
        <v/>
      </c>
      <c r="J3078" s="41" t="str">
        <f aca="false">IF(G3078="","",IFERROR(IF(ISNUMBER(SEARCH(Assumptions!$C$5,G3078)),Assumptions!$D$5,IF(ISNUMBER(SEARCH(Assumptions!$C$6,G3078)),Assumptions!$D$6,IF(ISNUMBER(SEARCH(Assumptions!$C$7,G3078)),Assumptions!$D$7,"Other Services"))),"Other Services"))</f>
        <v/>
      </c>
    </row>
    <row r="3079" customFormat="false" ht="15" hidden="false" customHeight="false" outlineLevel="0" collapsed="false">
      <c r="E3079" s="41" t="str">
        <f aca="false">IF(D3079="","",IFERROR(VLOOKUP(D3079,Assumptions!$G$5:$H$16,2,0),"Other"))</f>
        <v/>
      </c>
      <c r="J3079" s="41" t="str">
        <f aca="false">IF(G3079="","",IFERROR(IF(ISNUMBER(SEARCH(Assumptions!$C$5,G3079)),Assumptions!$D$5,IF(ISNUMBER(SEARCH(Assumptions!$C$6,G3079)),Assumptions!$D$6,IF(ISNUMBER(SEARCH(Assumptions!$C$7,G3079)),Assumptions!$D$7,"Other Services"))),"Other Services"))</f>
        <v/>
      </c>
    </row>
    <row r="3080" customFormat="false" ht="15" hidden="false" customHeight="false" outlineLevel="0" collapsed="false">
      <c r="E3080" s="41" t="str">
        <f aca="false">IF(D3080="","",IFERROR(VLOOKUP(D3080,Assumptions!$G$5:$H$16,2,0),"Other"))</f>
        <v/>
      </c>
      <c r="J3080" s="41" t="str">
        <f aca="false">IF(G3080="","",IFERROR(IF(ISNUMBER(SEARCH(Assumptions!$C$5,G3080)),Assumptions!$D$5,IF(ISNUMBER(SEARCH(Assumptions!$C$6,G3080)),Assumptions!$D$6,IF(ISNUMBER(SEARCH(Assumptions!$C$7,G3080)),Assumptions!$D$7,"Other Services"))),"Other Services"))</f>
        <v/>
      </c>
    </row>
    <row r="3081" customFormat="false" ht="15" hidden="false" customHeight="false" outlineLevel="0" collapsed="false">
      <c r="E3081" s="41" t="str">
        <f aca="false">IF(D3081="","",IFERROR(VLOOKUP(D3081,Assumptions!$G$5:$H$16,2,0),"Other"))</f>
        <v/>
      </c>
      <c r="J3081" s="41" t="str">
        <f aca="false">IF(G3081="","",IFERROR(IF(ISNUMBER(SEARCH(Assumptions!$C$5,G3081)),Assumptions!$D$5,IF(ISNUMBER(SEARCH(Assumptions!$C$6,G3081)),Assumptions!$D$6,IF(ISNUMBER(SEARCH(Assumptions!$C$7,G3081)),Assumptions!$D$7,"Other Services"))),"Other Services"))</f>
        <v/>
      </c>
    </row>
    <row r="3082" customFormat="false" ht="15" hidden="false" customHeight="false" outlineLevel="0" collapsed="false">
      <c r="E3082" s="41" t="str">
        <f aca="false">IF(D3082="","",IFERROR(VLOOKUP(D3082,Assumptions!$G$5:$H$16,2,0),"Other"))</f>
        <v/>
      </c>
      <c r="J3082" s="41" t="str">
        <f aca="false">IF(G3082="","",IFERROR(IF(ISNUMBER(SEARCH(Assumptions!$C$5,G3082)),Assumptions!$D$5,IF(ISNUMBER(SEARCH(Assumptions!$C$6,G3082)),Assumptions!$D$6,IF(ISNUMBER(SEARCH(Assumptions!$C$7,G3082)),Assumptions!$D$7,"Other Services"))),"Other Services"))</f>
        <v/>
      </c>
    </row>
    <row r="3083" customFormat="false" ht="15" hidden="false" customHeight="false" outlineLevel="0" collapsed="false">
      <c r="E3083" s="41" t="str">
        <f aca="false">IF(D3083="","",IFERROR(VLOOKUP(D3083,Assumptions!$G$5:$H$16,2,0),"Other"))</f>
        <v/>
      </c>
      <c r="J3083" s="41" t="str">
        <f aca="false">IF(G3083="","",IFERROR(IF(ISNUMBER(SEARCH(Assumptions!$C$5,G3083)),Assumptions!$D$5,IF(ISNUMBER(SEARCH(Assumptions!$C$6,G3083)),Assumptions!$D$6,IF(ISNUMBER(SEARCH(Assumptions!$C$7,G3083)),Assumptions!$D$7,"Other Services"))),"Other Services"))</f>
        <v/>
      </c>
    </row>
    <row r="3084" customFormat="false" ht="15" hidden="false" customHeight="false" outlineLevel="0" collapsed="false">
      <c r="E3084" s="41" t="str">
        <f aca="false">IF(D3084="","",IFERROR(VLOOKUP(D3084,Assumptions!$G$5:$H$16,2,0),"Other"))</f>
        <v/>
      </c>
      <c r="J3084" s="41" t="str">
        <f aca="false">IF(G3084="","",IFERROR(IF(ISNUMBER(SEARCH(Assumptions!$C$5,G3084)),Assumptions!$D$5,IF(ISNUMBER(SEARCH(Assumptions!$C$6,G3084)),Assumptions!$D$6,IF(ISNUMBER(SEARCH(Assumptions!$C$7,G3084)),Assumptions!$D$7,"Other Services"))),"Other Services"))</f>
        <v/>
      </c>
    </row>
    <row r="3085" customFormat="false" ht="15" hidden="false" customHeight="false" outlineLevel="0" collapsed="false">
      <c r="E3085" s="41" t="str">
        <f aca="false">IF(D3085="","",IFERROR(VLOOKUP(D3085,Assumptions!$G$5:$H$16,2,0),"Other"))</f>
        <v/>
      </c>
      <c r="J3085" s="41" t="str">
        <f aca="false">IF(G3085="","",IFERROR(IF(ISNUMBER(SEARCH(Assumptions!$C$5,G3085)),Assumptions!$D$5,IF(ISNUMBER(SEARCH(Assumptions!$C$6,G3085)),Assumptions!$D$6,IF(ISNUMBER(SEARCH(Assumptions!$C$7,G3085)),Assumptions!$D$7,"Other Services"))),"Other Services"))</f>
        <v/>
      </c>
    </row>
    <row r="3086" customFormat="false" ht="15" hidden="false" customHeight="false" outlineLevel="0" collapsed="false">
      <c r="E3086" s="41" t="str">
        <f aca="false">IF(D3086="","",IFERROR(VLOOKUP(D3086,Assumptions!$G$5:$H$16,2,0),"Other"))</f>
        <v/>
      </c>
      <c r="J3086" s="41" t="str">
        <f aca="false">IF(G3086="","",IFERROR(IF(ISNUMBER(SEARCH(Assumptions!$C$5,G3086)),Assumptions!$D$5,IF(ISNUMBER(SEARCH(Assumptions!$C$6,G3086)),Assumptions!$D$6,IF(ISNUMBER(SEARCH(Assumptions!$C$7,G3086)),Assumptions!$D$7,"Other Services"))),"Other Services"))</f>
        <v/>
      </c>
    </row>
    <row r="3087" customFormat="false" ht="15" hidden="false" customHeight="false" outlineLevel="0" collapsed="false">
      <c r="E3087" s="41" t="str">
        <f aca="false">IF(D3087="","",IFERROR(VLOOKUP(D3087,Assumptions!$G$5:$H$16,2,0),"Other"))</f>
        <v/>
      </c>
      <c r="J3087" s="41" t="str">
        <f aca="false">IF(G3087="","",IFERROR(IF(ISNUMBER(SEARCH(Assumptions!$C$5,G3087)),Assumptions!$D$5,IF(ISNUMBER(SEARCH(Assumptions!$C$6,G3087)),Assumptions!$D$6,IF(ISNUMBER(SEARCH(Assumptions!$C$7,G3087)),Assumptions!$D$7,"Other Services"))),"Other Services"))</f>
        <v/>
      </c>
    </row>
    <row r="3088" customFormat="false" ht="15" hidden="false" customHeight="false" outlineLevel="0" collapsed="false">
      <c r="E3088" s="41" t="str">
        <f aca="false">IF(D3088="","",IFERROR(VLOOKUP(D3088,Assumptions!$G$5:$H$16,2,0),"Other"))</f>
        <v/>
      </c>
      <c r="J3088" s="41" t="str">
        <f aca="false">IF(G3088="","",IFERROR(IF(ISNUMBER(SEARCH(Assumptions!$C$5,G3088)),Assumptions!$D$5,IF(ISNUMBER(SEARCH(Assumptions!$C$6,G3088)),Assumptions!$D$6,IF(ISNUMBER(SEARCH(Assumptions!$C$7,G3088)),Assumptions!$D$7,"Other Services"))),"Other Services"))</f>
        <v/>
      </c>
    </row>
    <row r="3089" customFormat="false" ht="15" hidden="false" customHeight="false" outlineLevel="0" collapsed="false">
      <c r="E3089" s="41" t="str">
        <f aca="false">IF(D3089="","",IFERROR(VLOOKUP(D3089,Assumptions!$G$5:$H$16,2,0),"Other"))</f>
        <v/>
      </c>
      <c r="J3089" s="41" t="str">
        <f aca="false">IF(G3089="","",IFERROR(IF(ISNUMBER(SEARCH(Assumptions!$C$5,G3089)),Assumptions!$D$5,IF(ISNUMBER(SEARCH(Assumptions!$C$6,G3089)),Assumptions!$D$6,IF(ISNUMBER(SEARCH(Assumptions!$C$7,G3089)),Assumptions!$D$7,"Other Services"))),"Other Services"))</f>
        <v/>
      </c>
    </row>
    <row r="3090" customFormat="false" ht="15" hidden="false" customHeight="false" outlineLevel="0" collapsed="false">
      <c r="E3090" s="41" t="str">
        <f aca="false">IF(D3090="","",IFERROR(VLOOKUP(D3090,Assumptions!$G$5:$H$16,2,0),"Other"))</f>
        <v/>
      </c>
      <c r="J3090" s="41" t="str">
        <f aca="false">IF(G3090="","",IFERROR(IF(ISNUMBER(SEARCH(Assumptions!$C$5,G3090)),Assumptions!$D$5,IF(ISNUMBER(SEARCH(Assumptions!$C$6,G3090)),Assumptions!$D$6,IF(ISNUMBER(SEARCH(Assumptions!$C$7,G3090)),Assumptions!$D$7,"Other Services"))),"Other Services"))</f>
        <v/>
      </c>
    </row>
    <row r="3091" customFormat="false" ht="15" hidden="false" customHeight="false" outlineLevel="0" collapsed="false">
      <c r="E3091" s="41" t="str">
        <f aca="false">IF(D3091="","",IFERROR(VLOOKUP(D3091,Assumptions!$G$5:$H$16,2,0),"Other"))</f>
        <v/>
      </c>
      <c r="J3091" s="41" t="str">
        <f aca="false">IF(G3091="","",IFERROR(IF(ISNUMBER(SEARCH(Assumptions!$C$5,G3091)),Assumptions!$D$5,IF(ISNUMBER(SEARCH(Assumptions!$C$6,G3091)),Assumptions!$D$6,IF(ISNUMBER(SEARCH(Assumptions!$C$7,G3091)),Assumptions!$D$7,"Other Services"))),"Other Services"))</f>
        <v/>
      </c>
    </row>
    <row r="3092" customFormat="false" ht="15" hidden="false" customHeight="false" outlineLevel="0" collapsed="false">
      <c r="E3092" s="41" t="str">
        <f aca="false">IF(D3092="","",IFERROR(VLOOKUP(D3092,Assumptions!$G$5:$H$16,2,0),"Other"))</f>
        <v/>
      </c>
      <c r="J3092" s="41" t="str">
        <f aca="false">IF(G3092="","",IFERROR(IF(ISNUMBER(SEARCH(Assumptions!$C$5,G3092)),Assumptions!$D$5,IF(ISNUMBER(SEARCH(Assumptions!$C$6,G3092)),Assumptions!$D$6,IF(ISNUMBER(SEARCH(Assumptions!$C$7,G3092)),Assumptions!$D$7,"Other Services"))),"Other Services"))</f>
        <v/>
      </c>
    </row>
    <row r="3093" customFormat="false" ht="15" hidden="false" customHeight="false" outlineLevel="0" collapsed="false">
      <c r="E3093" s="41" t="str">
        <f aca="false">IF(D3093="","",IFERROR(VLOOKUP(D3093,Assumptions!$G$5:$H$16,2,0),"Other"))</f>
        <v/>
      </c>
      <c r="J3093" s="41" t="str">
        <f aca="false">IF(G3093="","",IFERROR(IF(ISNUMBER(SEARCH(Assumptions!$C$5,G3093)),Assumptions!$D$5,IF(ISNUMBER(SEARCH(Assumptions!$C$6,G3093)),Assumptions!$D$6,IF(ISNUMBER(SEARCH(Assumptions!$C$7,G3093)),Assumptions!$D$7,"Other Services"))),"Other Services"))</f>
        <v/>
      </c>
    </row>
    <row r="3094" customFormat="false" ht="15" hidden="false" customHeight="false" outlineLevel="0" collapsed="false">
      <c r="E3094" s="41" t="str">
        <f aca="false">IF(D3094="","",IFERROR(VLOOKUP(D3094,Assumptions!$G$5:$H$16,2,0),"Other"))</f>
        <v/>
      </c>
      <c r="J3094" s="41" t="str">
        <f aca="false">IF(G3094="","",IFERROR(IF(ISNUMBER(SEARCH(Assumptions!$C$5,G3094)),Assumptions!$D$5,IF(ISNUMBER(SEARCH(Assumptions!$C$6,G3094)),Assumptions!$D$6,IF(ISNUMBER(SEARCH(Assumptions!$C$7,G3094)),Assumptions!$D$7,"Other Services"))),"Other Services"))</f>
        <v/>
      </c>
    </row>
    <row r="3095" customFormat="false" ht="15" hidden="false" customHeight="false" outlineLevel="0" collapsed="false">
      <c r="E3095" s="41" t="str">
        <f aca="false">IF(D3095="","",IFERROR(VLOOKUP(D3095,Assumptions!$G$5:$H$16,2,0),"Other"))</f>
        <v/>
      </c>
      <c r="J3095" s="41" t="str">
        <f aca="false">IF(G3095="","",IFERROR(IF(ISNUMBER(SEARCH(Assumptions!$C$5,G3095)),Assumptions!$D$5,IF(ISNUMBER(SEARCH(Assumptions!$C$6,G3095)),Assumptions!$D$6,IF(ISNUMBER(SEARCH(Assumptions!$C$7,G3095)),Assumptions!$D$7,"Other Services"))),"Other Services"))</f>
        <v/>
      </c>
    </row>
    <row r="3096" customFormat="false" ht="15" hidden="false" customHeight="false" outlineLevel="0" collapsed="false">
      <c r="E3096" s="41" t="str">
        <f aca="false">IF(D3096="","",IFERROR(VLOOKUP(D3096,Assumptions!$G$5:$H$16,2,0),"Other"))</f>
        <v/>
      </c>
      <c r="J3096" s="41" t="str">
        <f aca="false">IF(G3096="","",IFERROR(IF(ISNUMBER(SEARCH(Assumptions!$C$5,G3096)),Assumptions!$D$5,IF(ISNUMBER(SEARCH(Assumptions!$C$6,G3096)),Assumptions!$D$6,IF(ISNUMBER(SEARCH(Assumptions!$C$7,G3096)),Assumptions!$D$7,"Other Services"))),"Other Services"))</f>
        <v/>
      </c>
    </row>
    <row r="3097" customFormat="false" ht="15" hidden="false" customHeight="false" outlineLevel="0" collapsed="false">
      <c r="E3097" s="41" t="str">
        <f aca="false">IF(D3097="","",IFERROR(VLOOKUP(D3097,Assumptions!$G$5:$H$16,2,0),"Other"))</f>
        <v/>
      </c>
      <c r="J3097" s="41" t="str">
        <f aca="false">IF(G3097="","",IFERROR(IF(ISNUMBER(SEARCH(Assumptions!$C$5,G3097)),Assumptions!$D$5,IF(ISNUMBER(SEARCH(Assumptions!$C$6,G3097)),Assumptions!$D$6,IF(ISNUMBER(SEARCH(Assumptions!$C$7,G3097)),Assumptions!$D$7,"Other Services"))),"Other Services"))</f>
        <v/>
      </c>
    </row>
    <row r="3098" customFormat="false" ht="15" hidden="false" customHeight="false" outlineLevel="0" collapsed="false">
      <c r="E3098" s="41" t="str">
        <f aca="false">IF(D3098="","",IFERROR(VLOOKUP(D3098,Assumptions!$G$5:$H$16,2,0),"Other"))</f>
        <v/>
      </c>
      <c r="J3098" s="41" t="str">
        <f aca="false">IF(G3098="","",IFERROR(IF(ISNUMBER(SEARCH(Assumptions!$C$5,G3098)),Assumptions!$D$5,IF(ISNUMBER(SEARCH(Assumptions!$C$6,G3098)),Assumptions!$D$6,IF(ISNUMBER(SEARCH(Assumptions!$C$7,G3098)),Assumptions!$D$7,"Other Services"))),"Other Services"))</f>
        <v/>
      </c>
    </row>
    <row r="3099" customFormat="false" ht="15" hidden="false" customHeight="false" outlineLevel="0" collapsed="false">
      <c r="E3099" s="41" t="str">
        <f aca="false">IF(D3099="","",IFERROR(VLOOKUP(D3099,Assumptions!$G$5:$H$16,2,0),"Other"))</f>
        <v/>
      </c>
      <c r="J3099" s="41" t="str">
        <f aca="false">IF(G3099="","",IFERROR(IF(ISNUMBER(SEARCH(Assumptions!$C$5,G3099)),Assumptions!$D$5,IF(ISNUMBER(SEARCH(Assumptions!$C$6,G3099)),Assumptions!$D$6,IF(ISNUMBER(SEARCH(Assumptions!$C$7,G3099)),Assumptions!$D$7,"Other Services"))),"Other Services"))</f>
        <v/>
      </c>
    </row>
    <row r="3100" customFormat="false" ht="15" hidden="false" customHeight="false" outlineLevel="0" collapsed="false">
      <c r="E3100" s="41" t="str">
        <f aca="false">IF(D3100="","",IFERROR(VLOOKUP(D3100,Assumptions!$G$5:$H$16,2,0),"Other"))</f>
        <v/>
      </c>
      <c r="J3100" s="41" t="str">
        <f aca="false">IF(G3100="","",IFERROR(IF(ISNUMBER(SEARCH(Assumptions!$C$5,G3100)),Assumptions!$D$5,IF(ISNUMBER(SEARCH(Assumptions!$C$6,G3100)),Assumptions!$D$6,IF(ISNUMBER(SEARCH(Assumptions!$C$7,G3100)),Assumptions!$D$7,"Other Services"))),"Other Services"))</f>
        <v/>
      </c>
    </row>
    <row r="3101" customFormat="false" ht="15" hidden="false" customHeight="false" outlineLevel="0" collapsed="false">
      <c r="E3101" s="41" t="str">
        <f aca="false">IF(D3101="","",IFERROR(VLOOKUP(D3101,Assumptions!$G$5:$H$16,2,0),"Other"))</f>
        <v/>
      </c>
      <c r="J3101" s="41" t="str">
        <f aca="false">IF(G3101="","",IFERROR(IF(ISNUMBER(SEARCH(Assumptions!$C$5,G3101)),Assumptions!$D$5,IF(ISNUMBER(SEARCH(Assumptions!$C$6,G3101)),Assumptions!$D$6,IF(ISNUMBER(SEARCH(Assumptions!$C$7,G3101)),Assumptions!$D$7,"Other Services"))),"Other Services"))</f>
        <v/>
      </c>
    </row>
    <row r="3102" customFormat="false" ht="15" hidden="false" customHeight="false" outlineLevel="0" collapsed="false">
      <c r="E3102" s="41" t="str">
        <f aca="false">IF(D3102="","",IFERROR(VLOOKUP(D3102,Assumptions!$G$5:$H$16,2,0),"Other"))</f>
        <v/>
      </c>
      <c r="J3102" s="41" t="str">
        <f aca="false">IF(G3102="","",IFERROR(IF(ISNUMBER(SEARCH(Assumptions!$C$5,G3102)),Assumptions!$D$5,IF(ISNUMBER(SEARCH(Assumptions!$C$6,G3102)),Assumptions!$D$6,IF(ISNUMBER(SEARCH(Assumptions!$C$7,G3102)),Assumptions!$D$7,"Other Services"))),"Other Services"))</f>
        <v/>
      </c>
    </row>
    <row r="3103" customFormat="false" ht="15" hidden="false" customHeight="false" outlineLevel="0" collapsed="false">
      <c r="E3103" s="41" t="str">
        <f aca="false">IF(D3103="","",IFERROR(VLOOKUP(D3103,Assumptions!$G$5:$H$16,2,0),"Other"))</f>
        <v/>
      </c>
      <c r="J3103" s="41" t="str">
        <f aca="false">IF(G3103="","",IFERROR(IF(ISNUMBER(SEARCH(Assumptions!$C$5,G3103)),Assumptions!$D$5,IF(ISNUMBER(SEARCH(Assumptions!$C$6,G3103)),Assumptions!$D$6,IF(ISNUMBER(SEARCH(Assumptions!$C$7,G3103)),Assumptions!$D$7,"Other Services"))),"Other Services"))</f>
        <v/>
      </c>
    </row>
    <row r="3104" customFormat="false" ht="15" hidden="false" customHeight="false" outlineLevel="0" collapsed="false">
      <c r="E3104" s="41" t="str">
        <f aca="false">IF(D3104="","",IFERROR(VLOOKUP(D3104,Assumptions!$G$5:$H$16,2,0),"Other"))</f>
        <v/>
      </c>
      <c r="J3104" s="41" t="str">
        <f aca="false">IF(G3104="","",IFERROR(IF(ISNUMBER(SEARCH(Assumptions!$C$5,G3104)),Assumptions!$D$5,IF(ISNUMBER(SEARCH(Assumptions!$C$6,G3104)),Assumptions!$D$6,IF(ISNUMBER(SEARCH(Assumptions!$C$7,G3104)),Assumptions!$D$7,"Other Services"))),"Other Services"))</f>
        <v/>
      </c>
    </row>
    <row r="3105" customFormat="false" ht="15" hidden="false" customHeight="false" outlineLevel="0" collapsed="false">
      <c r="E3105" s="41" t="str">
        <f aca="false">IF(D3105="","",IFERROR(VLOOKUP(D3105,Assumptions!$G$5:$H$16,2,0),"Other"))</f>
        <v/>
      </c>
      <c r="J3105" s="41" t="str">
        <f aca="false">IF(G3105="","",IFERROR(IF(ISNUMBER(SEARCH(Assumptions!$C$5,G3105)),Assumptions!$D$5,IF(ISNUMBER(SEARCH(Assumptions!$C$6,G3105)),Assumptions!$D$6,IF(ISNUMBER(SEARCH(Assumptions!$C$7,G3105)),Assumptions!$D$7,"Other Services"))),"Other Services"))</f>
        <v/>
      </c>
    </row>
    <row r="3106" customFormat="false" ht="15" hidden="false" customHeight="false" outlineLevel="0" collapsed="false">
      <c r="E3106" s="41" t="str">
        <f aca="false">IF(D3106="","",IFERROR(VLOOKUP(D3106,Assumptions!$G$5:$H$16,2,0),"Other"))</f>
        <v/>
      </c>
      <c r="J3106" s="41" t="str">
        <f aca="false">IF(G3106="","",IFERROR(IF(ISNUMBER(SEARCH(Assumptions!$C$5,G3106)),Assumptions!$D$5,IF(ISNUMBER(SEARCH(Assumptions!$C$6,G3106)),Assumptions!$D$6,IF(ISNUMBER(SEARCH(Assumptions!$C$7,G3106)),Assumptions!$D$7,"Other Services"))),"Other Services"))</f>
        <v/>
      </c>
    </row>
    <row r="3107" customFormat="false" ht="15" hidden="false" customHeight="false" outlineLevel="0" collapsed="false">
      <c r="E3107" s="41" t="str">
        <f aca="false">IF(D3107="","",IFERROR(VLOOKUP(D3107,Assumptions!$G$5:$H$16,2,0),"Other"))</f>
        <v/>
      </c>
      <c r="J3107" s="41" t="str">
        <f aca="false">IF(G3107="","",IFERROR(IF(ISNUMBER(SEARCH(Assumptions!$C$5,G3107)),Assumptions!$D$5,IF(ISNUMBER(SEARCH(Assumptions!$C$6,G3107)),Assumptions!$D$6,IF(ISNUMBER(SEARCH(Assumptions!$C$7,G3107)),Assumptions!$D$7,"Other Services"))),"Other Services"))</f>
        <v/>
      </c>
    </row>
    <row r="3108" customFormat="false" ht="15" hidden="false" customHeight="false" outlineLevel="0" collapsed="false">
      <c r="E3108" s="41" t="str">
        <f aca="false">IF(D3108="","",IFERROR(VLOOKUP(D3108,Assumptions!$G$5:$H$16,2,0),"Other"))</f>
        <v/>
      </c>
      <c r="J3108" s="41" t="str">
        <f aca="false">IF(G3108="","",IFERROR(IF(ISNUMBER(SEARCH(Assumptions!$C$5,G3108)),Assumptions!$D$5,IF(ISNUMBER(SEARCH(Assumptions!$C$6,G3108)),Assumptions!$D$6,IF(ISNUMBER(SEARCH(Assumptions!$C$7,G3108)),Assumptions!$D$7,"Other Services"))),"Other Services"))</f>
        <v/>
      </c>
    </row>
    <row r="3109" customFormat="false" ht="15" hidden="false" customHeight="false" outlineLevel="0" collapsed="false">
      <c r="E3109" s="41" t="str">
        <f aca="false">IF(D3109="","",IFERROR(VLOOKUP(D3109,Assumptions!$G$5:$H$16,2,0),"Other"))</f>
        <v/>
      </c>
      <c r="J3109" s="41" t="str">
        <f aca="false">IF(G3109="","",IFERROR(IF(ISNUMBER(SEARCH(Assumptions!$C$5,G3109)),Assumptions!$D$5,IF(ISNUMBER(SEARCH(Assumptions!$C$6,G3109)),Assumptions!$D$6,IF(ISNUMBER(SEARCH(Assumptions!$C$7,G3109)),Assumptions!$D$7,"Other Services"))),"Other Services"))</f>
        <v/>
      </c>
    </row>
    <row r="3110" customFormat="false" ht="15" hidden="false" customHeight="false" outlineLevel="0" collapsed="false">
      <c r="E3110" s="41" t="str">
        <f aca="false">IF(D3110="","",IFERROR(VLOOKUP(D3110,Assumptions!$G$5:$H$16,2,0),"Other"))</f>
        <v/>
      </c>
      <c r="J3110" s="41" t="str">
        <f aca="false">IF(G3110="","",IFERROR(IF(ISNUMBER(SEARCH(Assumptions!$C$5,G3110)),Assumptions!$D$5,IF(ISNUMBER(SEARCH(Assumptions!$C$6,G3110)),Assumptions!$D$6,IF(ISNUMBER(SEARCH(Assumptions!$C$7,G3110)),Assumptions!$D$7,"Other Services"))),"Other Services"))</f>
        <v/>
      </c>
    </row>
    <row r="3111" customFormat="false" ht="15" hidden="false" customHeight="false" outlineLevel="0" collapsed="false">
      <c r="E3111" s="41" t="str">
        <f aca="false">IF(D3111="","",IFERROR(VLOOKUP(D3111,Assumptions!$G$5:$H$16,2,0),"Other"))</f>
        <v/>
      </c>
      <c r="J3111" s="41" t="str">
        <f aca="false">IF(G3111="","",IFERROR(IF(ISNUMBER(SEARCH(Assumptions!$C$5,G3111)),Assumptions!$D$5,IF(ISNUMBER(SEARCH(Assumptions!$C$6,G3111)),Assumptions!$D$6,IF(ISNUMBER(SEARCH(Assumptions!$C$7,G3111)),Assumptions!$D$7,"Other Services"))),"Other Services"))</f>
        <v/>
      </c>
    </row>
    <row r="3112" customFormat="false" ht="15" hidden="false" customHeight="false" outlineLevel="0" collapsed="false">
      <c r="E3112" s="41" t="str">
        <f aca="false">IF(D3112="","",IFERROR(VLOOKUP(D3112,Assumptions!$G$5:$H$16,2,0),"Other"))</f>
        <v/>
      </c>
      <c r="J3112" s="41" t="str">
        <f aca="false">IF(G3112="","",IFERROR(IF(ISNUMBER(SEARCH(Assumptions!$C$5,G3112)),Assumptions!$D$5,IF(ISNUMBER(SEARCH(Assumptions!$C$6,G3112)),Assumptions!$D$6,IF(ISNUMBER(SEARCH(Assumptions!$C$7,G3112)),Assumptions!$D$7,"Other Services"))),"Other Services"))</f>
        <v/>
      </c>
    </row>
    <row r="3113" customFormat="false" ht="15" hidden="false" customHeight="false" outlineLevel="0" collapsed="false">
      <c r="E3113" s="41" t="str">
        <f aca="false">IF(D3113="","",IFERROR(VLOOKUP(D3113,Assumptions!$G$5:$H$16,2,0),"Other"))</f>
        <v/>
      </c>
      <c r="J3113" s="41" t="str">
        <f aca="false">IF(G3113="","",IFERROR(IF(ISNUMBER(SEARCH(Assumptions!$C$5,G3113)),Assumptions!$D$5,IF(ISNUMBER(SEARCH(Assumptions!$C$6,G3113)),Assumptions!$D$6,IF(ISNUMBER(SEARCH(Assumptions!$C$7,G3113)),Assumptions!$D$7,"Other Services"))),"Other Services"))</f>
        <v/>
      </c>
    </row>
    <row r="3114" customFormat="false" ht="15" hidden="false" customHeight="false" outlineLevel="0" collapsed="false">
      <c r="E3114" s="41" t="str">
        <f aca="false">IF(D3114="","",IFERROR(VLOOKUP(D3114,Assumptions!$G$5:$H$16,2,0),"Other"))</f>
        <v/>
      </c>
      <c r="J3114" s="41" t="str">
        <f aca="false">IF(G3114="","",IFERROR(IF(ISNUMBER(SEARCH(Assumptions!$C$5,G3114)),Assumptions!$D$5,IF(ISNUMBER(SEARCH(Assumptions!$C$6,G3114)),Assumptions!$D$6,IF(ISNUMBER(SEARCH(Assumptions!$C$7,G3114)),Assumptions!$D$7,"Other Services"))),"Other Services"))</f>
        <v/>
      </c>
    </row>
    <row r="3115" customFormat="false" ht="15" hidden="false" customHeight="false" outlineLevel="0" collapsed="false">
      <c r="E3115" s="41" t="str">
        <f aca="false">IF(D3115="","",IFERROR(VLOOKUP(D3115,Assumptions!$G$5:$H$16,2,0),"Other"))</f>
        <v/>
      </c>
      <c r="J3115" s="41" t="str">
        <f aca="false">IF(G3115="","",IFERROR(IF(ISNUMBER(SEARCH(Assumptions!$C$5,G3115)),Assumptions!$D$5,IF(ISNUMBER(SEARCH(Assumptions!$C$6,G3115)),Assumptions!$D$6,IF(ISNUMBER(SEARCH(Assumptions!$C$7,G3115)),Assumptions!$D$7,"Other Services"))),"Other Services"))</f>
        <v/>
      </c>
    </row>
    <row r="3116" customFormat="false" ht="15" hidden="false" customHeight="false" outlineLevel="0" collapsed="false">
      <c r="E3116" s="41" t="str">
        <f aca="false">IF(D3116="","",IFERROR(VLOOKUP(D3116,Assumptions!$G$5:$H$16,2,0),"Other"))</f>
        <v/>
      </c>
      <c r="J3116" s="41" t="str">
        <f aca="false">IF(G3116="","",IFERROR(IF(ISNUMBER(SEARCH(Assumptions!$C$5,G3116)),Assumptions!$D$5,IF(ISNUMBER(SEARCH(Assumptions!$C$6,G3116)),Assumptions!$D$6,IF(ISNUMBER(SEARCH(Assumptions!$C$7,G3116)),Assumptions!$D$7,"Other Services"))),"Other Services"))</f>
        <v/>
      </c>
    </row>
    <row r="3117" customFormat="false" ht="15" hidden="false" customHeight="false" outlineLevel="0" collapsed="false">
      <c r="E3117" s="41" t="str">
        <f aca="false">IF(D3117="","",IFERROR(VLOOKUP(D3117,Assumptions!$G$5:$H$16,2,0),"Other"))</f>
        <v/>
      </c>
      <c r="J3117" s="41" t="str">
        <f aca="false">IF(G3117="","",IFERROR(IF(ISNUMBER(SEARCH(Assumptions!$C$5,G3117)),Assumptions!$D$5,IF(ISNUMBER(SEARCH(Assumptions!$C$6,G3117)),Assumptions!$D$6,IF(ISNUMBER(SEARCH(Assumptions!$C$7,G3117)),Assumptions!$D$7,"Other Services"))),"Other Services"))</f>
        <v/>
      </c>
    </row>
    <row r="3118" customFormat="false" ht="15" hidden="false" customHeight="false" outlineLevel="0" collapsed="false">
      <c r="E3118" s="41" t="str">
        <f aca="false">IF(D3118="","",IFERROR(VLOOKUP(D3118,Assumptions!$G$5:$H$16,2,0),"Other"))</f>
        <v/>
      </c>
      <c r="J3118" s="41" t="str">
        <f aca="false">IF(G3118="","",IFERROR(IF(ISNUMBER(SEARCH(Assumptions!$C$5,G3118)),Assumptions!$D$5,IF(ISNUMBER(SEARCH(Assumptions!$C$6,G3118)),Assumptions!$D$6,IF(ISNUMBER(SEARCH(Assumptions!$C$7,G3118)),Assumptions!$D$7,"Other Services"))),"Other Services"))</f>
        <v/>
      </c>
    </row>
    <row r="3119" customFormat="false" ht="15" hidden="false" customHeight="false" outlineLevel="0" collapsed="false">
      <c r="E3119" s="41" t="str">
        <f aca="false">IF(D3119="","",IFERROR(VLOOKUP(D3119,Assumptions!$G$5:$H$16,2,0),"Other"))</f>
        <v/>
      </c>
      <c r="J3119" s="41" t="str">
        <f aca="false">IF(G3119="","",IFERROR(IF(ISNUMBER(SEARCH(Assumptions!$C$5,G3119)),Assumptions!$D$5,IF(ISNUMBER(SEARCH(Assumptions!$C$6,G3119)),Assumptions!$D$6,IF(ISNUMBER(SEARCH(Assumptions!$C$7,G3119)),Assumptions!$D$7,"Other Services"))),"Other Services"))</f>
        <v/>
      </c>
    </row>
    <row r="3120" customFormat="false" ht="15" hidden="false" customHeight="false" outlineLevel="0" collapsed="false">
      <c r="E3120" s="41" t="str">
        <f aca="false">IF(D3120="","",IFERROR(VLOOKUP(D3120,Assumptions!$G$5:$H$16,2,0),"Other"))</f>
        <v/>
      </c>
      <c r="J3120" s="41" t="str">
        <f aca="false">IF(G3120="","",IFERROR(IF(ISNUMBER(SEARCH(Assumptions!$C$5,G3120)),Assumptions!$D$5,IF(ISNUMBER(SEARCH(Assumptions!$C$6,G3120)),Assumptions!$D$6,IF(ISNUMBER(SEARCH(Assumptions!$C$7,G3120)),Assumptions!$D$7,"Other Services"))),"Other Services"))</f>
        <v/>
      </c>
    </row>
    <row r="3121" customFormat="false" ht="15" hidden="false" customHeight="false" outlineLevel="0" collapsed="false">
      <c r="E3121" s="41" t="str">
        <f aca="false">IF(D3121="","",IFERROR(VLOOKUP(D3121,Assumptions!$G$5:$H$16,2,0),"Other"))</f>
        <v/>
      </c>
      <c r="J3121" s="41" t="str">
        <f aca="false">IF(G3121="","",IFERROR(IF(ISNUMBER(SEARCH(Assumptions!$C$5,G3121)),Assumptions!$D$5,IF(ISNUMBER(SEARCH(Assumptions!$C$6,G3121)),Assumptions!$D$6,IF(ISNUMBER(SEARCH(Assumptions!$C$7,G3121)),Assumptions!$D$7,"Other Services"))),"Other Services"))</f>
        <v/>
      </c>
    </row>
    <row r="3122" customFormat="false" ht="15" hidden="false" customHeight="false" outlineLevel="0" collapsed="false">
      <c r="E3122" s="41" t="str">
        <f aca="false">IF(D3122="","",IFERROR(VLOOKUP(D3122,Assumptions!$G$5:$H$16,2,0),"Other"))</f>
        <v/>
      </c>
      <c r="J3122" s="41" t="str">
        <f aca="false">IF(G3122="","",IFERROR(IF(ISNUMBER(SEARCH(Assumptions!$C$5,G3122)),Assumptions!$D$5,IF(ISNUMBER(SEARCH(Assumptions!$C$6,G3122)),Assumptions!$D$6,IF(ISNUMBER(SEARCH(Assumptions!$C$7,G3122)),Assumptions!$D$7,"Other Services"))),"Other Services"))</f>
        <v/>
      </c>
    </row>
    <row r="3123" customFormat="false" ht="15" hidden="false" customHeight="false" outlineLevel="0" collapsed="false">
      <c r="E3123" s="41" t="str">
        <f aca="false">IF(D3123="","",IFERROR(VLOOKUP(D3123,Assumptions!$G$5:$H$16,2,0),"Other"))</f>
        <v/>
      </c>
      <c r="J3123" s="41" t="str">
        <f aca="false">IF(G3123="","",IFERROR(IF(ISNUMBER(SEARCH(Assumptions!$C$5,G3123)),Assumptions!$D$5,IF(ISNUMBER(SEARCH(Assumptions!$C$6,G3123)),Assumptions!$D$6,IF(ISNUMBER(SEARCH(Assumptions!$C$7,G3123)),Assumptions!$D$7,"Other Services"))),"Other Services"))</f>
        <v/>
      </c>
    </row>
    <row r="3124" customFormat="false" ht="15" hidden="false" customHeight="false" outlineLevel="0" collapsed="false">
      <c r="E3124" s="41" t="str">
        <f aca="false">IF(D3124="","",IFERROR(VLOOKUP(D3124,Assumptions!$G$5:$H$16,2,0),"Other"))</f>
        <v/>
      </c>
      <c r="J3124" s="41" t="str">
        <f aca="false">IF(G3124="","",IFERROR(IF(ISNUMBER(SEARCH(Assumptions!$C$5,G3124)),Assumptions!$D$5,IF(ISNUMBER(SEARCH(Assumptions!$C$6,G3124)),Assumptions!$D$6,IF(ISNUMBER(SEARCH(Assumptions!$C$7,G3124)),Assumptions!$D$7,"Other Services"))),"Other Services"))</f>
        <v/>
      </c>
    </row>
    <row r="3125" customFormat="false" ht="15" hidden="false" customHeight="false" outlineLevel="0" collapsed="false">
      <c r="E3125" s="41" t="str">
        <f aca="false">IF(D3125="","",IFERROR(VLOOKUP(D3125,Assumptions!$G$5:$H$16,2,0),"Other"))</f>
        <v/>
      </c>
      <c r="J3125" s="41" t="str">
        <f aca="false">IF(G3125="","",IFERROR(IF(ISNUMBER(SEARCH(Assumptions!$C$5,G3125)),Assumptions!$D$5,IF(ISNUMBER(SEARCH(Assumptions!$C$6,G3125)),Assumptions!$D$6,IF(ISNUMBER(SEARCH(Assumptions!$C$7,G3125)),Assumptions!$D$7,"Other Services"))),"Other Services"))</f>
        <v/>
      </c>
    </row>
    <row r="3126" customFormat="false" ht="15" hidden="false" customHeight="false" outlineLevel="0" collapsed="false">
      <c r="E3126" s="41" t="str">
        <f aca="false">IF(D3126="","",IFERROR(VLOOKUP(D3126,Assumptions!$G$5:$H$16,2,0),"Other"))</f>
        <v/>
      </c>
      <c r="J3126" s="41" t="str">
        <f aca="false">IF(G3126="","",IFERROR(IF(ISNUMBER(SEARCH(Assumptions!$C$5,G3126)),Assumptions!$D$5,IF(ISNUMBER(SEARCH(Assumptions!$C$6,G3126)),Assumptions!$D$6,IF(ISNUMBER(SEARCH(Assumptions!$C$7,G3126)),Assumptions!$D$7,"Other Services"))),"Other Services"))</f>
        <v/>
      </c>
    </row>
    <row r="3127" customFormat="false" ht="15" hidden="false" customHeight="false" outlineLevel="0" collapsed="false">
      <c r="E3127" s="41" t="str">
        <f aca="false">IF(D3127="","",IFERROR(VLOOKUP(D3127,Assumptions!$G$5:$H$16,2,0),"Other"))</f>
        <v/>
      </c>
      <c r="J3127" s="41" t="str">
        <f aca="false">IF(G3127="","",IFERROR(IF(ISNUMBER(SEARCH(Assumptions!$C$5,G3127)),Assumptions!$D$5,IF(ISNUMBER(SEARCH(Assumptions!$C$6,G3127)),Assumptions!$D$6,IF(ISNUMBER(SEARCH(Assumptions!$C$7,G3127)),Assumptions!$D$7,"Other Services"))),"Other Services"))</f>
        <v/>
      </c>
    </row>
    <row r="3128" customFormat="false" ht="15" hidden="false" customHeight="false" outlineLevel="0" collapsed="false">
      <c r="E3128" s="41" t="str">
        <f aca="false">IF(D3128="","",IFERROR(VLOOKUP(D3128,Assumptions!$G$5:$H$16,2,0),"Other"))</f>
        <v/>
      </c>
      <c r="J3128" s="41" t="str">
        <f aca="false">IF(G3128="","",IFERROR(IF(ISNUMBER(SEARCH(Assumptions!$C$5,G3128)),Assumptions!$D$5,IF(ISNUMBER(SEARCH(Assumptions!$C$6,G3128)),Assumptions!$D$6,IF(ISNUMBER(SEARCH(Assumptions!$C$7,G3128)),Assumptions!$D$7,"Other Services"))),"Other Services"))</f>
        <v/>
      </c>
    </row>
    <row r="3129" customFormat="false" ht="15" hidden="false" customHeight="false" outlineLevel="0" collapsed="false">
      <c r="E3129" s="41" t="str">
        <f aca="false">IF(D3129="","",IFERROR(VLOOKUP(D3129,Assumptions!$G$5:$H$16,2,0),"Other"))</f>
        <v/>
      </c>
      <c r="J3129" s="41" t="str">
        <f aca="false">IF(G3129="","",IFERROR(IF(ISNUMBER(SEARCH(Assumptions!$C$5,G3129)),Assumptions!$D$5,IF(ISNUMBER(SEARCH(Assumptions!$C$6,G3129)),Assumptions!$D$6,IF(ISNUMBER(SEARCH(Assumptions!$C$7,G3129)),Assumptions!$D$7,"Other Services"))),"Other Services"))</f>
        <v/>
      </c>
    </row>
    <row r="3130" customFormat="false" ht="15" hidden="false" customHeight="false" outlineLevel="0" collapsed="false">
      <c r="E3130" s="41" t="str">
        <f aca="false">IF(D3130="","",IFERROR(VLOOKUP(D3130,Assumptions!$G$5:$H$16,2,0),"Other"))</f>
        <v/>
      </c>
      <c r="J3130" s="41" t="str">
        <f aca="false">IF(G3130="","",IFERROR(IF(ISNUMBER(SEARCH(Assumptions!$C$5,G3130)),Assumptions!$D$5,IF(ISNUMBER(SEARCH(Assumptions!$C$6,G3130)),Assumptions!$D$6,IF(ISNUMBER(SEARCH(Assumptions!$C$7,G3130)),Assumptions!$D$7,"Other Services"))),"Other Services"))</f>
        <v/>
      </c>
    </row>
    <row r="3131" customFormat="false" ht="15" hidden="false" customHeight="false" outlineLevel="0" collapsed="false">
      <c r="E3131" s="41" t="str">
        <f aca="false">IF(D3131="","",IFERROR(VLOOKUP(D3131,Assumptions!$G$5:$H$16,2,0),"Other"))</f>
        <v/>
      </c>
      <c r="J3131" s="41" t="str">
        <f aca="false">IF(G3131="","",IFERROR(IF(ISNUMBER(SEARCH(Assumptions!$C$5,G3131)),Assumptions!$D$5,IF(ISNUMBER(SEARCH(Assumptions!$C$6,G3131)),Assumptions!$D$6,IF(ISNUMBER(SEARCH(Assumptions!$C$7,G3131)),Assumptions!$D$7,"Other Services"))),"Other Services"))</f>
        <v/>
      </c>
    </row>
    <row r="3132" customFormat="false" ht="15" hidden="false" customHeight="false" outlineLevel="0" collapsed="false">
      <c r="E3132" s="41" t="str">
        <f aca="false">IF(D3132="","",IFERROR(VLOOKUP(D3132,Assumptions!$G$5:$H$16,2,0),"Other"))</f>
        <v/>
      </c>
      <c r="J3132" s="41" t="str">
        <f aca="false">IF(G3132="","",IFERROR(IF(ISNUMBER(SEARCH(Assumptions!$C$5,G3132)),Assumptions!$D$5,IF(ISNUMBER(SEARCH(Assumptions!$C$6,G3132)),Assumptions!$D$6,IF(ISNUMBER(SEARCH(Assumptions!$C$7,G3132)),Assumptions!$D$7,"Other Services"))),"Other Services"))</f>
        <v/>
      </c>
    </row>
    <row r="3133" customFormat="false" ht="15" hidden="false" customHeight="false" outlineLevel="0" collapsed="false">
      <c r="E3133" s="41" t="str">
        <f aca="false">IF(D3133="","",IFERROR(VLOOKUP(D3133,Assumptions!$G$5:$H$16,2,0),"Other"))</f>
        <v/>
      </c>
      <c r="J3133" s="41" t="str">
        <f aca="false">IF(G3133="","",IFERROR(IF(ISNUMBER(SEARCH(Assumptions!$C$5,G3133)),Assumptions!$D$5,IF(ISNUMBER(SEARCH(Assumptions!$C$6,G3133)),Assumptions!$D$6,IF(ISNUMBER(SEARCH(Assumptions!$C$7,G3133)),Assumptions!$D$7,"Other Services"))),"Other Services"))</f>
        <v/>
      </c>
    </row>
    <row r="3134" customFormat="false" ht="15" hidden="false" customHeight="false" outlineLevel="0" collapsed="false">
      <c r="E3134" s="41" t="str">
        <f aca="false">IF(D3134="","",IFERROR(VLOOKUP(D3134,Assumptions!$G$5:$H$16,2,0),"Other"))</f>
        <v/>
      </c>
      <c r="J3134" s="41" t="str">
        <f aca="false">IF(G3134="","",IFERROR(IF(ISNUMBER(SEARCH(Assumptions!$C$5,G3134)),Assumptions!$D$5,IF(ISNUMBER(SEARCH(Assumptions!$C$6,G3134)),Assumptions!$D$6,IF(ISNUMBER(SEARCH(Assumptions!$C$7,G3134)),Assumptions!$D$7,"Other Services"))),"Other Services"))</f>
        <v/>
      </c>
    </row>
    <row r="3135" customFormat="false" ht="15" hidden="false" customHeight="false" outlineLevel="0" collapsed="false">
      <c r="E3135" s="41" t="str">
        <f aca="false">IF(D3135="","",IFERROR(VLOOKUP(D3135,Assumptions!$G$5:$H$16,2,0),"Other"))</f>
        <v/>
      </c>
      <c r="J3135" s="41" t="str">
        <f aca="false">IF(G3135="","",IFERROR(IF(ISNUMBER(SEARCH(Assumptions!$C$5,G3135)),Assumptions!$D$5,IF(ISNUMBER(SEARCH(Assumptions!$C$6,G3135)),Assumptions!$D$6,IF(ISNUMBER(SEARCH(Assumptions!$C$7,G3135)),Assumptions!$D$7,"Other Services"))),"Other Services"))</f>
        <v/>
      </c>
    </row>
    <row r="3136" customFormat="false" ht="15" hidden="false" customHeight="false" outlineLevel="0" collapsed="false">
      <c r="E3136" s="41" t="str">
        <f aca="false">IF(D3136="","",IFERROR(VLOOKUP(D3136,Assumptions!$G$5:$H$16,2,0),"Other"))</f>
        <v/>
      </c>
      <c r="J3136" s="41" t="str">
        <f aca="false">IF(G3136="","",IFERROR(IF(ISNUMBER(SEARCH(Assumptions!$C$5,G3136)),Assumptions!$D$5,IF(ISNUMBER(SEARCH(Assumptions!$C$6,G3136)),Assumptions!$D$6,IF(ISNUMBER(SEARCH(Assumptions!$C$7,G3136)),Assumptions!$D$7,"Other Services"))),"Other Services"))</f>
        <v/>
      </c>
    </row>
    <row r="3137" customFormat="false" ht="15" hidden="false" customHeight="false" outlineLevel="0" collapsed="false">
      <c r="E3137" s="41" t="str">
        <f aca="false">IF(D3137="","",IFERROR(VLOOKUP(D3137,Assumptions!$G$5:$H$16,2,0),"Other"))</f>
        <v/>
      </c>
      <c r="J3137" s="41" t="str">
        <f aca="false">IF(G3137="","",IFERROR(IF(ISNUMBER(SEARCH(Assumptions!$C$5,G3137)),Assumptions!$D$5,IF(ISNUMBER(SEARCH(Assumptions!$C$6,G3137)),Assumptions!$D$6,IF(ISNUMBER(SEARCH(Assumptions!$C$7,G3137)),Assumptions!$D$7,"Other Services"))),"Other Services"))</f>
        <v/>
      </c>
    </row>
    <row r="3138" customFormat="false" ht="15" hidden="false" customHeight="false" outlineLevel="0" collapsed="false">
      <c r="E3138" s="41" t="str">
        <f aca="false">IF(D3138="","",IFERROR(VLOOKUP(D3138,Assumptions!$G$5:$H$16,2,0),"Other"))</f>
        <v/>
      </c>
      <c r="J3138" s="41" t="str">
        <f aca="false">IF(G3138="","",IFERROR(IF(ISNUMBER(SEARCH(Assumptions!$C$5,G3138)),Assumptions!$D$5,IF(ISNUMBER(SEARCH(Assumptions!$C$6,G3138)),Assumptions!$D$6,IF(ISNUMBER(SEARCH(Assumptions!$C$7,G3138)),Assumptions!$D$7,"Other Services"))),"Other Services"))</f>
        <v/>
      </c>
    </row>
    <row r="3139" customFormat="false" ht="15" hidden="false" customHeight="false" outlineLevel="0" collapsed="false">
      <c r="E3139" s="41" t="str">
        <f aca="false">IF(D3139="","",IFERROR(VLOOKUP(D3139,Assumptions!$G$5:$H$16,2,0),"Other"))</f>
        <v/>
      </c>
      <c r="J3139" s="41" t="str">
        <f aca="false">IF(G3139="","",IFERROR(IF(ISNUMBER(SEARCH(Assumptions!$C$5,G3139)),Assumptions!$D$5,IF(ISNUMBER(SEARCH(Assumptions!$C$6,G3139)),Assumptions!$D$6,IF(ISNUMBER(SEARCH(Assumptions!$C$7,G3139)),Assumptions!$D$7,"Other Services"))),"Other Services"))</f>
        <v/>
      </c>
    </row>
    <row r="3140" customFormat="false" ht="15" hidden="false" customHeight="false" outlineLevel="0" collapsed="false">
      <c r="E3140" s="41" t="str">
        <f aca="false">IF(D3140="","",IFERROR(VLOOKUP(D3140,Assumptions!$G$5:$H$16,2,0),"Other"))</f>
        <v/>
      </c>
      <c r="J3140" s="41" t="str">
        <f aca="false">IF(G3140="","",IFERROR(IF(ISNUMBER(SEARCH(Assumptions!$C$5,G3140)),Assumptions!$D$5,IF(ISNUMBER(SEARCH(Assumptions!$C$6,G3140)),Assumptions!$D$6,IF(ISNUMBER(SEARCH(Assumptions!$C$7,G3140)),Assumptions!$D$7,"Other Services"))),"Other Services"))</f>
        <v/>
      </c>
    </row>
    <row r="3141" customFormat="false" ht="15" hidden="false" customHeight="false" outlineLevel="0" collapsed="false">
      <c r="E3141" s="41" t="str">
        <f aca="false">IF(D3141="","",IFERROR(VLOOKUP(D3141,Assumptions!$G$5:$H$16,2,0),"Other"))</f>
        <v/>
      </c>
      <c r="J3141" s="41" t="str">
        <f aca="false">IF(G3141="","",IFERROR(IF(ISNUMBER(SEARCH(Assumptions!$C$5,G3141)),Assumptions!$D$5,IF(ISNUMBER(SEARCH(Assumptions!$C$6,G3141)),Assumptions!$D$6,IF(ISNUMBER(SEARCH(Assumptions!$C$7,G3141)),Assumptions!$D$7,"Other Services"))),"Other Services"))</f>
        <v/>
      </c>
    </row>
    <row r="3142" customFormat="false" ht="15" hidden="false" customHeight="false" outlineLevel="0" collapsed="false">
      <c r="E3142" s="41" t="str">
        <f aca="false">IF(D3142="","",IFERROR(VLOOKUP(D3142,Assumptions!$G$5:$H$16,2,0),"Other"))</f>
        <v/>
      </c>
      <c r="J3142" s="41" t="str">
        <f aca="false">IF(G3142="","",IFERROR(IF(ISNUMBER(SEARCH(Assumptions!$C$5,G3142)),Assumptions!$D$5,IF(ISNUMBER(SEARCH(Assumptions!$C$6,G3142)),Assumptions!$D$6,IF(ISNUMBER(SEARCH(Assumptions!$C$7,G3142)),Assumptions!$D$7,"Other Services"))),"Other Services"))</f>
        <v/>
      </c>
    </row>
    <row r="3143" customFormat="false" ht="15" hidden="false" customHeight="false" outlineLevel="0" collapsed="false">
      <c r="E3143" s="41" t="str">
        <f aca="false">IF(D3143="","",IFERROR(VLOOKUP(D3143,Assumptions!$G$5:$H$16,2,0),"Other"))</f>
        <v/>
      </c>
      <c r="J3143" s="41" t="str">
        <f aca="false">IF(G3143="","",IFERROR(IF(ISNUMBER(SEARCH(Assumptions!$C$5,G3143)),Assumptions!$D$5,IF(ISNUMBER(SEARCH(Assumptions!$C$6,G3143)),Assumptions!$D$6,IF(ISNUMBER(SEARCH(Assumptions!$C$7,G3143)),Assumptions!$D$7,"Other Services"))),"Other Services"))</f>
        <v/>
      </c>
    </row>
    <row r="3144" customFormat="false" ht="15" hidden="false" customHeight="false" outlineLevel="0" collapsed="false">
      <c r="E3144" s="41" t="str">
        <f aca="false">IF(D3144="","",IFERROR(VLOOKUP(D3144,Assumptions!$G$5:$H$16,2,0),"Other"))</f>
        <v/>
      </c>
      <c r="J3144" s="41" t="str">
        <f aca="false">IF(G3144="","",IFERROR(IF(ISNUMBER(SEARCH(Assumptions!$C$5,G3144)),Assumptions!$D$5,IF(ISNUMBER(SEARCH(Assumptions!$C$6,G3144)),Assumptions!$D$6,IF(ISNUMBER(SEARCH(Assumptions!$C$7,G3144)),Assumptions!$D$7,"Other Services"))),"Other Services"))</f>
        <v/>
      </c>
    </row>
    <row r="3145" customFormat="false" ht="15" hidden="false" customHeight="false" outlineLevel="0" collapsed="false">
      <c r="E3145" s="41" t="str">
        <f aca="false">IF(D3145="","",IFERROR(VLOOKUP(D3145,Assumptions!$G$5:$H$16,2,0),"Other"))</f>
        <v/>
      </c>
      <c r="J3145" s="41" t="str">
        <f aca="false">IF(G3145="","",IFERROR(IF(ISNUMBER(SEARCH(Assumptions!$C$5,G3145)),Assumptions!$D$5,IF(ISNUMBER(SEARCH(Assumptions!$C$6,G3145)),Assumptions!$D$6,IF(ISNUMBER(SEARCH(Assumptions!$C$7,G3145)),Assumptions!$D$7,"Other Services"))),"Other Services"))</f>
        <v/>
      </c>
    </row>
    <row r="3146" customFormat="false" ht="15" hidden="false" customHeight="false" outlineLevel="0" collapsed="false">
      <c r="E3146" s="41" t="str">
        <f aca="false">IF(D3146="","",IFERROR(VLOOKUP(D3146,Assumptions!$G$5:$H$16,2,0),"Other"))</f>
        <v/>
      </c>
      <c r="J3146" s="41" t="str">
        <f aca="false">IF(G3146="","",IFERROR(IF(ISNUMBER(SEARCH(Assumptions!$C$5,G3146)),Assumptions!$D$5,IF(ISNUMBER(SEARCH(Assumptions!$C$6,G3146)),Assumptions!$D$6,IF(ISNUMBER(SEARCH(Assumptions!$C$7,G3146)),Assumptions!$D$7,"Other Services"))),"Other Services"))</f>
        <v/>
      </c>
    </row>
    <row r="3147" customFormat="false" ht="15" hidden="false" customHeight="false" outlineLevel="0" collapsed="false">
      <c r="E3147" s="41" t="str">
        <f aca="false">IF(D3147="","",IFERROR(VLOOKUP(D3147,Assumptions!$G$5:$H$16,2,0),"Other"))</f>
        <v/>
      </c>
      <c r="J3147" s="41" t="str">
        <f aca="false">IF(G3147="","",IFERROR(IF(ISNUMBER(SEARCH(Assumptions!$C$5,G3147)),Assumptions!$D$5,IF(ISNUMBER(SEARCH(Assumptions!$C$6,G3147)),Assumptions!$D$6,IF(ISNUMBER(SEARCH(Assumptions!$C$7,G3147)),Assumptions!$D$7,"Other Services"))),"Other Services"))</f>
        <v/>
      </c>
    </row>
    <row r="3148" customFormat="false" ht="15" hidden="false" customHeight="false" outlineLevel="0" collapsed="false">
      <c r="E3148" s="41" t="str">
        <f aca="false">IF(D3148="","",IFERROR(VLOOKUP(D3148,Assumptions!$G$5:$H$16,2,0),"Other"))</f>
        <v/>
      </c>
      <c r="J3148" s="41" t="str">
        <f aca="false">IF(G3148="","",IFERROR(IF(ISNUMBER(SEARCH(Assumptions!$C$5,G3148)),Assumptions!$D$5,IF(ISNUMBER(SEARCH(Assumptions!$C$6,G3148)),Assumptions!$D$6,IF(ISNUMBER(SEARCH(Assumptions!$C$7,G3148)),Assumptions!$D$7,"Other Services"))),"Other Services"))</f>
        <v/>
      </c>
    </row>
    <row r="3149" customFormat="false" ht="15" hidden="false" customHeight="false" outlineLevel="0" collapsed="false">
      <c r="E3149" s="41" t="str">
        <f aca="false">IF(D3149="","",IFERROR(VLOOKUP(D3149,Assumptions!$G$5:$H$16,2,0),"Other"))</f>
        <v/>
      </c>
      <c r="J3149" s="41" t="str">
        <f aca="false">IF(G3149="","",IFERROR(IF(ISNUMBER(SEARCH(Assumptions!$C$5,G3149)),Assumptions!$D$5,IF(ISNUMBER(SEARCH(Assumptions!$C$6,G3149)),Assumptions!$D$6,IF(ISNUMBER(SEARCH(Assumptions!$C$7,G3149)),Assumptions!$D$7,"Other Services"))),"Other Services"))</f>
        <v/>
      </c>
    </row>
    <row r="3150" customFormat="false" ht="15" hidden="false" customHeight="false" outlineLevel="0" collapsed="false">
      <c r="E3150" s="41" t="str">
        <f aca="false">IF(D3150="","",IFERROR(VLOOKUP(D3150,Assumptions!$G$5:$H$16,2,0),"Other"))</f>
        <v/>
      </c>
      <c r="J3150" s="41" t="str">
        <f aca="false">IF(G3150="","",IFERROR(IF(ISNUMBER(SEARCH(Assumptions!$C$5,G3150)),Assumptions!$D$5,IF(ISNUMBER(SEARCH(Assumptions!$C$6,G3150)),Assumptions!$D$6,IF(ISNUMBER(SEARCH(Assumptions!$C$7,G3150)),Assumptions!$D$7,"Other Services"))),"Other Services"))</f>
        <v/>
      </c>
    </row>
    <row r="3151" customFormat="false" ht="15" hidden="false" customHeight="false" outlineLevel="0" collapsed="false">
      <c r="E3151" s="41" t="str">
        <f aca="false">IF(D3151="","",IFERROR(VLOOKUP(D3151,Assumptions!$G$5:$H$16,2,0),"Other"))</f>
        <v/>
      </c>
      <c r="J3151" s="41" t="str">
        <f aca="false">IF(G3151="","",IFERROR(IF(ISNUMBER(SEARCH(Assumptions!$C$5,G3151)),Assumptions!$D$5,IF(ISNUMBER(SEARCH(Assumptions!$C$6,G3151)),Assumptions!$D$6,IF(ISNUMBER(SEARCH(Assumptions!$C$7,G3151)),Assumptions!$D$7,"Other Services"))),"Other Services"))</f>
        <v/>
      </c>
    </row>
    <row r="3152" customFormat="false" ht="15" hidden="false" customHeight="false" outlineLevel="0" collapsed="false">
      <c r="E3152" s="41" t="str">
        <f aca="false">IF(D3152="","",IFERROR(VLOOKUP(D3152,Assumptions!$G$5:$H$16,2,0),"Other"))</f>
        <v/>
      </c>
      <c r="J3152" s="41" t="str">
        <f aca="false">IF(G3152="","",IFERROR(IF(ISNUMBER(SEARCH(Assumptions!$C$5,G3152)),Assumptions!$D$5,IF(ISNUMBER(SEARCH(Assumptions!$C$6,G3152)),Assumptions!$D$6,IF(ISNUMBER(SEARCH(Assumptions!$C$7,G3152)),Assumptions!$D$7,"Other Services"))),"Other Services"))</f>
        <v/>
      </c>
    </row>
    <row r="3153" customFormat="false" ht="15" hidden="false" customHeight="false" outlineLevel="0" collapsed="false">
      <c r="E3153" s="41" t="str">
        <f aca="false">IF(D3153="","",IFERROR(VLOOKUP(D3153,Assumptions!$G$5:$H$16,2,0),"Other"))</f>
        <v/>
      </c>
      <c r="J3153" s="41" t="str">
        <f aca="false">IF(G3153="","",IFERROR(IF(ISNUMBER(SEARCH(Assumptions!$C$5,G3153)),Assumptions!$D$5,IF(ISNUMBER(SEARCH(Assumptions!$C$6,G3153)),Assumptions!$D$6,IF(ISNUMBER(SEARCH(Assumptions!$C$7,G3153)),Assumptions!$D$7,"Other Services"))),"Other Services"))</f>
        <v/>
      </c>
    </row>
    <row r="3154" customFormat="false" ht="15" hidden="false" customHeight="false" outlineLevel="0" collapsed="false">
      <c r="E3154" s="41" t="str">
        <f aca="false">IF(D3154="","",IFERROR(VLOOKUP(D3154,Assumptions!$G$5:$H$16,2,0),"Other"))</f>
        <v/>
      </c>
      <c r="J3154" s="41" t="str">
        <f aca="false">IF(G3154="","",IFERROR(IF(ISNUMBER(SEARCH(Assumptions!$C$5,G3154)),Assumptions!$D$5,IF(ISNUMBER(SEARCH(Assumptions!$C$6,G3154)),Assumptions!$D$6,IF(ISNUMBER(SEARCH(Assumptions!$C$7,G3154)),Assumptions!$D$7,"Other Services"))),"Other Services"))</f>
        <v/>
      </c>
    </row>
    <row r="3155" customFormat="false" ht="15" hidden="false" customHeight="false" outlineLevel="0" collapsed="false">
      <c r="E3155" s="41" t="str">
        <f aca="false">IF(D3155="","",IFERROR(VLOOKUP(D3155,Assumptions!$G$5:$H$16,2,0),"Other"))</f>
        <v/>
      </c>
      <c r="J3155" s="41" t="str">
        <f aca="false">IF(G3155="","",IFERROR(IF(ISNUMBER(SEARCH(Assumptions!$C$5,G3155)),Assumptions!$D$5,IF(ISNUMBER(SEARCH(Assumptions!$C$6,G3155)),Assumptions!$D$6,IF(ISNUMBER(SEARCH(Assumptions!$C$7,G3155)),Assumptions!$D$7,"Other Services"))),"Other Services"))</f>
        <v/>
      </c>
    </row>
    <row r="3156" customFormat="false" ht="15" hidden="false" customHeight="false" outlineLevel="0" collapsed="false">
      <c r="E3156" s="41" t="str">
        <f aca="false">IF(D3156="","",IFERROR(VLOOKUP(D3156,Assumptions!$G$5:$H$16,2,0),"Other"))</f>
        <v/>
      </c>
      <c r="J3156" s="41" t="str">
        <f aca="false">IF(G3156="","",IFERROR(IF(ISNUMBER(SEARCH(Assumptions!$C$5,G3156)),Assumptions!$D$5,IF(ISNUMBER(SEARCH(Assumptions!$C$6,G3156)),Assumptions!$D$6,IF(ISNUMBER(SEARCH(Assumptions!$C$7,G3156)),Assumptions!$D$7,"Other Services"))),"Other Services"))</f>
        <v/>
      </c>
    </row>
    <row r="3157" customFormat="false" ht="15" hidden="false" customHeight="false" outlineLevel="0" collapsed="false">
      <c r="E3157" s="41" t="str">
        <f aca="false">IF(D3157="","",IFERROR(VLOOKUP(D3157,Assumptions!$G$5:$H$16,2,0),"Other"))</f>
        <v/>
      </c>
      <c r="J3157" s="41" t="str">
        <f aca="false">IF(G3157="","",IFERROR(IF(ISNUMBER(SEARCH(Assumptions!$C$5,G3157)),Assumptions!$D$5,IF(ISNUMBER(SEARCH(Assumptions!$C$6,G3157)),Assumptions!$D$6,IF(ISNUMBER(SEARCH(Assumptions!$C$7,G3157)),Assumptions!$D$7,"Other Services"))),"Other Services"))</f>
        <v/>
      </c>
    </row>
    <row r="3158" customFormat="false" ht="15" hidden="false" customHeight="false" outlineLevel="0" collapsed="false">
      <c r="E3158" s="41" t="str">
        <f aca="false">IF(D3158="","",IFERROR(VLOOKUP(D3158,Assumptions!$G$5:$H$16,2,0),"Other"))</f>
        <v/>
      </c>
      <c r="J3158" s="41" t="str">
        <f aca="false">IF(G3158="","",IFERROR(IF(ISNUMBER(SEARCH(Assumptions!$C$5,G3158)),Assumptions!$D$5,IF(ISNUMBER(SEARCH(Assumptions!$C$6,G3158)),Assumptions!$D$6,IF(ISNUMBER(SEARCH(Assumptions!$C$7,G3158)),Assumptions!$D$7,"Other Services"))),"Other Services"))</f>
        <v/>
      </c>
    </row>
    <row r="3159" customFormat="false" ht="15" hidden="false" customHeight="false" outlineLevel="0" collapsed="false">
      <c r="E3159" s="41" t="str">
        <f aca="false">IF(D3159="","",IFERROR(VLOOKUP(D3159,Assumptions!$G$5:$H$16,2,0),"Other"))</f>
        <v/>
      </c>
      <c r="J3159" s="41" t="str">
        <f aca="false">IF(G3159="","",IFERROR(IF(ISNUMBER(SEARCH(Assumptions!$C$5,G3159)),Assumptions!$D$5,IF(ISNUMBER(SEARCH(Assumptions!$C$6,G3159)),Assumptions!$D$6,IF(ISNUMBER(SEARCH(Assumptions!$C$7,G3159)),Assumptions!$D$7,"Other Services"))),"Other Services"))</f>
        <v/>
      </c>
    </row>
    <row r="3160" customFormat="false" ht="15" hidden="false" customHeight="false" outlineLevel="0" collapsed="false">
      <c r="E3160" s="41" t="str">
        <f aca="false">IF(D3160="","",IFERROR(VLOOKUP(D3160,Assumptions!$G$5:$H$16,2,0),"Other"))</f>
        <v/>
      </c>
      <c r="J3160" s="41" t="str">
        <f aca="false">IF(G3160="","",IFERROR(IF(ISNUMBER(SEARCH(Assumptions!$C$5,G3160)),Assumptions!$D$5,IF(ISNUMBER(SEARCH(Assumptions!$C$6,G3160)),Assumptions!$D$6,IF(ISNUMBER(SEARCH(Assumptions!$C$7,G3160)),Assumptions!$D$7,"Other Services"))),"Other Services"))</f>
        <v/>
      </c>
    </row>
    <row r="3161" customFormat="false" ht="15" hidden="false" customHeight="false" outlineLevel="0" collapsed="false">
      <c r="E3161" s="41" t="str">
        <f aca="false">IF(D3161="","",IFERROR(VLOOKUP(D3161,Assumptions!$G$5:$H$16,2,0),"Other"))</f>
        <v/>
      </c>
      <c r="J3161" s="41" t="str">
        <f aca="false">IF(G3161="","",IFERROR(IF(ISNUMBER(SEARCH(Assumptions!$C$5,G3161)),Assumptions!$D$5,IF(ISNUMBER(SEARCH(Assumptions!$C$6,G3161)),Assumptions!$D$6,IF(ISNUMBER(SEARCH(Assumptions!$C$7,G3161)),Assumptions!$D$7,"Other Services"))),"Other Services"))</f>
        <v/>
      </c>
    </row>
    <row r="3162" customFormat="false" ht="15" hidden="false" customHeight="false" outlineLevel="0" collapsed="false">
      <c r="E3162" s="41" t="str">
        <f aca="false">IF(D3162="","",IFERROR(VLOOKUP(D3162,Assumptions!$G$5:$H$16,2,0),"Other"))</f>
        <v/>
      </c>
      <c r="J3162" s="41" t="str">
        <f aca="false">IF(G3162="","",IFERROR(IF(ISNUMBER(SEARCH(Assumptions!$C$5,G3162)),Assumptions!$D$5,IF(ISNUMBER(SEARCH(Assumptions!$C$6,G3162)),Assumptions!$D$6,IF(ISNUMBER(SEARCH(Assumptions!$C$7,G3162)),Assumptions!$D$7,"Other Services"))),"Other Services"))</f>
        <v/>
      </c>
    </row>
    <row r="3163" customFormat="false" ht="15" hidden="false" customHeight="false" outlineLevel="0" collapsed="false">
      <c r="E3163" s="41" t="str">
        <f aca="false">IF(D3163="","",IFERROR(VLOOKUP(D3163,Assumptions!$G$5:$H$16,2,0),"Other"))</f>
        <v/>
      </c>
      <c r="J3163" s="41" t="str">
        <f aca="false">IF(G3163="","",IFERROR(IF(ISNUMBER(SEARCH(Assumptions!$C$5,G3163)),Assumptions!$D$5,IF(ISNUMBER(SEARCH(Assumptions!$C$6,G3163)),Assumptions!$D$6,IF(ISNUMBER(SEARCH(Assumptions!$C$7,G3163)),Assumptions!$D$7,"Other Services"))),"Other Services"))</f>
        <v/>
      </c>
    </row>
    <row r="3164" customFormat="false" ht="15" hidden="false" customHeight="false" outlineLevel="0" collapsed="false">
      <c r="E3164" s="41" t="str">
        <f aca="false">IF(D3164="","",IFERROR(VLOOKUP(D3164,Assumptions!$G$5:$H$16,2,0),"Other"))</f>
        <v/>
      </c>
      <c r="J3164" s="41" t="str">
        <f aca="false">IF(G3164="","",IFERROR(IF(ISNUMBER(SEARCH(Assumptions!$C$5,G3164)),Assumptions!$D$5,IF(ISNUMBER(SEARCH(Assumptions!$C$6,G3164)),Assumptions!$D$6,IF(ISNUMBER(SEARCH(Assumptions!$C$7,G3164)),Assumptions!$D$7,"Other Services"))),"Other Services"))</f>
        <v/>
      </c>
    </row>
    <row r="3165" customFormat="false" ht="15" hidden="false" customHeight="false" outlineLevel="0" collapsed="false">
      <c r="E3165" s="41" t="str">
        <f aca="false">IF(D3165="","",IFERROR(VLOOKUP(D3165,Assumptions!$G$5:$H$16,2,0),"Other"))</f>
        <v/>
      </c>
      <c r="J3165" s="41" t="str">
        <f aca="false">IF(G3165="","",IFERROR(IF(ISNUMBER(SEARCH(Assumptions!$C$5,G3165)),Assumptions!$D$5,IF(ISNUMBER(SEARCH(Assumptions!$C$6,G3165)),Assumptions!$D$6,IF(ISNUMBER(SEARCH(Assumptions!$C$7,G3165)),Assumptions!$D$7,"Other Services"))),"Other Services"))</f>
        <v/>
      </c>
    </row>
    <row r="3166" customFormat="false" ht="15" hidden="false" customHeight="false" outlineLevel="0" collapsed="false">
      <c r="E3166" s="41" t="str">
        <f aca="false">IF(D3166="","",IFERROR(VLOOKUP(D3166,Assumptions!$G$5:$H$16,2,0),"Other"))</f>
        <v/>
      </c>
      <c r="J3166" s="41" t="str">
        <f aca="false">IF(G3166="","",IFERROR(IF(ISNUMBER(SEARCH(Assumptions!$C$5,G3166)),Assumptions!$D$5,IF(ISNUMBER(SEARCH(Assumptions!$C$6,G3166)),Assumptions!$D$6,IF(ISNUMBER(SEARCH(Assumptions!$C$7,G3166)),Assumptions!$D$7,"Other Services"))),"Other Services"))</f>
        <v/>
      </c>
    </row>
    <row r="3167" customFormat="false" ht="15" hidden="false" customHeight="false" outlineLevel="0" collapsed="false">
      <c r="E3167" s="41" t="str">
        <f aca="false">IF(D3167="","",IFERROR(VLOOKUP(D3167,Assumptions!$G$5:$H$16,2,0),"Other"))</f>
        <v/>
      </c>
      <c r="J3167" s="41" t="str">
        <f aca="false">IF(G3167="","",IFERROR(IF(ISNUMBER(SEARCH(Assumptions!$C$5,G3167)),Assumptions!$D$5,IF(ISNUMBER(SEARCH(Assumptions!$C$6,G3167)),Assumptions!$D$6,IF(ISNUMBER(SEARCH(Assumptions!$C$7,G3167)),Assumptions!$D$7,"Other Services"))),"Other Services"))</f>
        <v/>
      </c>
    </row>
    <row r="3168" customFormat="false" ht="15" hidden="false" customHeight="false" outlineLevel="0" collapsed="false">
      <c r="E3168" s="41" t="str">
        <f aca="false">IF(D3168="","",IFERROR(VLOOKUP(D3168,Assumptions!$G$5:$H$16,2,0),"Other"))</f>
        <v/>
      </c>
      <c r="J3168" s="41" t="str">
        <f aca="false">IF(G3168="","",IFERROR(IF(ISNUMBER(SEARCH(Assumptions!$C$5,G3168)),Assumptions!$D$5,IF(ISNUMBER(SEARCH(Assumptions!$C$6,G3168)),Assumptions!$D$6,IF(ISNUMBER(SEARCH(Assumptions!$C$7,G3168)),Assumptions!$D$7,"Other Services"))),"Other Services"))</f>
        <v/>
      </c>
    </row>
    <row r="3169" customFormat="false" ht="15" hidden="false" customHeight="false" outlineLevel="0" collapsed="false">
      <c r="E3169" s="41" t="str">
        <f aca="false">IF(D3169="","",IFERROR(VLOOKUP(D3169,Assumptions!$G$5:$H$16,2,0),"Other"))</f>
        <v/>
      </c>
      <c r="J3169" s="41" t="str">
        <f aca="false">IF(G3169="","",IFERROR(IF(ISNUMBER(SEARCH(Assumptions!$C$5,G3169)),Assumptions!$D$5,IF(ISNUMBER(SEARCH(Assumptions!$C$6,G3169)),Assumptions!$D$6,IF(ISNUMBER(SEARCH(Assumptions!$C$7,G3169)),Assumptions!$D$7,"Other Services"))),"Other Services"))</f>
        <v/>
      </c>
    </row>
    <row r="3170" customFormat="false" ht="15" hidden="false" customHeight="false" outlineLevel="0" collapsed="false">
      <c r="E3170" s="41" t="str">
        <f aca="false">IF(D3170="","",IFERROR(VLOOKUP(D3170,Assumptions!$G$5:$H$16,2,0),"Other"))</f>
        <v/>
      </c>
      <c r="J3170" s="41" t="str">
        <f aca="false">IF(G3170="","",IFERROR(IF(ISNUMBER(SEARCH(Assumptions!$C$5,G3170)),Assumptions!$D$5,IF(ISNUMBER(SEARCH(Assumptions!$C$6,G3170)),Assumptions!$D$6,IF(ISNUMBER(SEARCH(Assumptions!$C$7,G3170)),Assumptions!$D$7,"Other Services"))),"Other Services"))</f>
        <v/>
      </c>
    </row>
    <row r="3171" customFormat="false" ht="15" hidden="false" customHeight="false" outlineLevel="0" collapsed="false">
      <c r="E3171" s="41" t="str">
        <f aca="false">IF(D3171="","",IFERROR(VLOOKUP(D3171,Assumptions!$G$5:$H$16,2,0),"Other"))</f>
        <v/>
      </c>
      <c r="J3171" s="41" t="str">
        <f aca="false">IF(G3171="","",IFERROR(IF(ISNUMBER(SEARCH(Assumptions!$C$5,G3171)),Assumptions!$D$5,IF(ISNUMBER(SEARCH(Assumptions!$C$6,G3171)),Assumptions!$D$6,IF(ISNUMBER(SEARCH(Assumptions!$C$7,G3171)),Assumptions!$D$7,"Other Services"))),"Other Services"))</f>
        <v/>
      </c>
    </row>
    <row r="3172" customFormat="false" ht="15" hidden="false" customHeight="false" outlineLevel="0" collapsed="false">
      <c r="E3172" s="41" t="str">
        <f aca="false">IF(D3172="","",IFERROR(VLOOKUP(D3172,Assumptions!$G$5:$H$16,2,0),"Other"))</f>
        <v/>
      </c>
      <c r="J3172" s="41" t="str">
        <f aca="false">IF(G3172="","",IFERROR(IF(ISNUMBER(SEARCH(Assumptions!$C$5,G3172)),Assumptions!$D$5,IF(ISNUMBER(SEARCH(Assumptions!$C$6,G3172)),Assumptions!$D$6,IF(ISNUMBER(SEARCH(Assumptions!$C$7,G3172)),Assumptions!$D$7,"Other Services"))),"Other Services"))</f>
        <v/>
      </c>
    </row>
    <row r="3173" customFormat="false" ht="15" hidden="false" customHeight="false" outlineLevel="0" collapsed="false">
      <c r="E3173" s="41" t="str">
        <f aca="false">IF(D3173="","",IFERROR(VLOOKUP(D3173,Assumptions!$G$5:$H$16,2,0),"Other"))</f>
        <v/>
      </c>
      <c r="J3173" s="41" t="str">
        <f aca="false">IF(G3173="","",IFERROR(IF(ISNUMBER(SEARCH(Assumptions!$C$5,G3173)),Assumptions!$D$5,IF(ISNUMBER(SEARCH(Assumptions!$C$6,G3173)),Assumptions!$D$6,IF(ISNUMBER(SEARCH(Assumptions!$C$7,G3173)),Assumptions!$D$7,"Other Services"))),"Other Services"))</f>
        <v/>
      </c>
    </row>
    <row r="3174" customFormat="false" ht="15" hidden="false" customHeight="false" outlineLevel="0" collapsed="false">
      <c r="E3174" s="41" t="str">
        <f aca="false">IF(D3174="","",IFERROR(VLOOKUP(D3174,Assumptions!$G$5:$H$16,2,0),"Other"))</f>
        <v/>
      </c>
      <c r="J3174" s="41" t="str">
        <f aca="false">IF(G3174="","",IFERROR(IF(ISNUMBER(SEARCH(Assumptions!$C$5,G3174)),Assumptions!$D$5,IF(ISNUMBER(SEARCH(Assumptions!$C$6,G3174)),Assumptions!$D$6,IF(ISNUMBER(SEARCH(Assumptions!$C$7,G3174)),Assumptions!$D$7,"Other Services"))),"Other Services"))</f>
        <v/>
      </c>
    </row>
    <row r="3175" customFormat="false" ht="15" hidden="false" customHeight="false" outlineLevel="0" collapsed="false">
      <c r="E3175" s="41" t="str">
        <f aca="false">IF(D3175="","",IFERROR(VLOOKUP(D3175,Assumptions!$G$5:$H$16,2,0),"Other"))</f>
        <v/>
      </c>
      <c r="J3175" s="41" t="str">
        <f aca="false">IF(G3175="","",IFERROR(IF(ISNUMBER(SEARCH(Assumptions!$C$5,G3175)),Assumptions!$D$5,IF(ISNUMBER(SEARCH(Assumptions!$C$6,G3175)),Assumptions!$D$6,IF(ISNUMBER(SEARCH(Assumptions!$C$7,G3175)),Assumptions!$D$7,"Other Services"))),"Other Services"))</f>
        <v/>
      </c>
    </row>
    <row r="3176" customFormat="false" ht="15" hidden="false" customHeight="false" outlineLevel="0" collapsed="false">
      <c r="E3176" s="41" t="str">
        <f aca="false">IF(D3176="","",IFERROR(VLOOKUP(D3176,Assumptions!$G$5:$H$16,2,0),"Other"))</f>
        <v/>
      </c>
      <c r="J3176" s="41" t="str">
        <f aca="false">IF(G3176="","",IFERROR(IF(ISNUMBER(SEARCH(Assumptions!$C$5,G3176)),Assumptions!$D$5,IF(ISNUMBER(SEARCH(Assumptions!$C$6,G3176)),Assumptions!$D$6,IF(ISNUMBER(SEARCH(Assumptions!$C$7,G3176)),Assumptions!$D$7,"Other Services"))),"Other Services"))</f>
        <v/>
      </c>
    </row>
    <row r="3177" customFormat="false" ht="15" hidden="false" customHeight="false" outlineLevel="0" collapsed="false">
      <c r="E3177" s="41" t="str">
        <f aca="false">IF(D3177="","",IFERROR(VLOOKUP(D3177,Assumptions!$G$5:$H$16,2,0),"Other"))</f>
        <v/>
      </c>
      <c r="J3177" s="41" t="str">
        <f aca="false">IF(G3177="","",IFERROR(IF(ISNUMBER(SEARCH(Assumptions!$C$5,G3177)),Assumptions!$D$5,IF(ISNUMBER(SEARCH(Assumptions!$C$6,G3177)),Assumptions!$D$6,IF(ISNUMBER(SEARCH(Assumptions!$C$7,G3177)),Assumptions!$D$7,"Other Services"))),"Other Services"))</f>
        <v/>
      </c>
    </row>
    <row r="3178" customFormat="false" ht="15" hidden="false" customHeight="false" outlineLevel="0" collapsed="false">
      <c r="E3178" s="41" t="str">
        <f aca="false">IF(D3178="","",IFERROR(VLOOKUP(D3178,Assumptions!$G$5:$H$16,2,0),"Other"))</f>
        <v/>
      </c>
      <c r="J3178" s="41" t="str">
        <f aca="false">IF(G3178="","",IFERROR(IF(ISNUMBER(SEARCH(Assumptions!$C$5,G3178)),Assumptions!$D$5,IF(ISNUMBER(SEARCH(Assumptions!$C$6,G3178)),Assumptions!$D$6,IF(ISNUMBER(SEARCH(Assumptions!$C$7,G3178)),Assumptions!$D$7,"Other Services"))),"Other Services"))</f>
        <v/>
      </c>
    </row>
    <row r="3179" customFormat="false" ht="15" hidden="false" customHeight="false" outlineLevel="0" collapsed="false">
      <c r="E3179" s="41" t="str">
        <f aca="false">IF(D3179="","",IFERROR(VLOOKUP(D3179,Assumptions!$G$5:$H$16,2,0),"Other"))</f>
        <v/>
      </c>
      <c r="J3179" s="41" t="str">
        <f aca="false">IF(G3179="","",IFERROR(IF(ISNUMBER(SEARCH(Assumptions!$C$5,G3179)),Assumptions!$D$5,IF(ISNUMBER(SEARCH(Assumptions!$C$6,G3179)),Assumptions!$D$6,IF(ISNUMBER(SEARCH(Assumptions!$C$7,G3179)),Assumptions!$D$7,"Other Services"))),"Other Services"))</f>
        <v/>
      </c>
    </row>
    <row r="3180" customFormat="false" ht="15" hidden="false" customHeight="false" outlineLevel="0" collapsed="false">
      <c r="E3180" s="41" t="str">
        <f aca="false">IF(D3180="","",IFERROR(VLOOKUP(D3180,Assumptions!$G$5:$H$16,2,0),"Other"))</f>
        <v/>
      </c>
      <c r="J3180" s="41" t="str">
        <f aca="false">IF(G3180="","",IFERROR(IF(ISNUMBER(SEARCH(Assumptions!$C$5,G3180)),Assumptions!$D$5,IF(ISNUMBER(SEARCH(Assumptions!$C$6,G3180)),Assumptions!$D$6,IF(ISNUMBER(SEARCH(Assumptions!$C$7,G3180)),Assumptions!$D$7,"Other Services"))),"Other Services"))</f>
        <v/>
      </c>
    </row>
    <row r="3181" customFormat="false" ht="15" hidden="false" customHeight="false" outlineLevel="0" collapsed="false">
      <c r="E3181" s="41" t="str">
        <f aca="false">IF(D3181="","",IFERROR(VLOOKUP(D3181,Assumptions!$G$5:$H$16,2,0),"Other"))</f>
        <v/>
      </c>
      <c r="J3181" s="41" t="str">
        <f aca="false">IF(G3181="","",IFERROR(IF(ISNUMBER(SEARCH(Assumptions!$C$5,G3181)),Assumptions!$D$5,IF(ISNUMBER(SEARCH(Assumptions!$C$6,G3181)),Assumptions!$D$6,IF(ISNUMBER(SEARCH(Assumptions!$C$7,G3181)),Assumptions!$D$7,"Other Services"))),"Other Services"))</f>
        <v/>
      </c>
    </row>
    <row r="3182" customFormat="false" ht="15" hidden="false" customHeight="false" outlineLevel="0" collapsed="false">
      <c r="E3182" s="41" t="str">
        <f aca="false">IF(D3182="","",IFERROR(VLOOKUP(D3182,Assumptions!$G$5:$H$16,2,0),"Other"))</f>
        <v/>
      </c>
      <c r="J3182" s="41" t="str">
        <f aca="false">IF(G3182="","",IFERROR(IF(ISNUMBER(SEARCH(Assumptions!$C$5,G3182)),Assumptions!$D$5,IF(ISNUMBER(SEARCH(Assumptions!$C$6,G3182)),Assumptions!$D$6,IF(ISNUMBER(SEARCH(Assumptions!$C$7,G3182)),Assumptions!$D$7,"Other Services"))),"Other Services"))</f>
        <v/>
      </c>
    </row>
    <row r="3183" customFormat="false" ht="15" hidden="false" customHeight="false" outlineLevel="0" collapsed="false">
      <c r="E3183" s="41" t="str">
        <f aca="false">IF(D3183="","",IFERROR(VLOOKUP(D3183,Assumptions!$G$5:$H$16,2,0),"Other"))</f>
        <v/>
      </c>
      <c r="J3183" s="41" t="str">
        <f aca="false">IF(G3183="","",IFERROR(IF(ISNUMBER(SEARCH(Assumptions!$C$5,G3183)),Assumptions!$D$5,IF(ISNUMBER(SEARCH(Assumptions!$C$6,G3183)),Assumptions!$D$6,IF(ISNUMBER(SEARCH(Assumptions!$C$7,G3183)),Assumptions!$D$7,"Other Services"))),"Other Services"))</f>
        <v/>
      </c>
    </row>
    <row r="3184" customFormat="false" ht="15" hidden="false" customHeight="false" outlineLevel="0" collapsed="false">
      <c r="E3184" s="41" t="str">
        <f aca="false">IF(D3184="","",IFERROR(VLOOKUP(D3184,Assumptions!$G$5:$H$16,2,0),"Other"))</f>
        <v/>
      </c>
      <c r="J3184" s="41" t="str">
        <f aca="false">IF(G3184="","",IFERROR(IF(ISNUMBER(SEARCH(Assumptions!$C$5,G3184)),Assumptions!$D$5,IF(ISNUMBER(SEARCH(Assumptions!$C$6,G3184)),Assumptions!$D$6,IF(ISNUMBER(SEARCH(Assumptions!$C$7,G3184)),Assumptions!$D$7,"Other Services"))),"Other Services"))</f>
        <v/>
      </c>
    </row>
    <row r="3185" customFormat="false" ht="15" hidden="false" customHeight="false" outlineLevel="0" collapsed="false">
      <c r="E3185" s="41" t="str">
        <f aca="false">IF(D3185="","",IFERROR(VLOOKUP(D3185,Assumptions!$G$5:$H$16,2,0),"Other"))</f>
        <v/>
      </c>
      <c r="J3185" s="41" t="str">
        <f aca="false">IF(G3185="","",IFERROR(IF(ISNUMBER(SEARCH(Assumptions!$C$5,G3185)),Assumptions!$D$5,IF(ISNUMBER(SEARCH(Assumptions!$C$6,G3185)),Assumptions!$D$6,IF(ISNUMBER(SEARCH(Assumptions!$C$7,G3185)),Assumptions!$D$7,"Other Services"))),"Other Services"))</f>
        <v/>
      </c>
    </row>
    <row r="3186" customFormat="false" ht="15" hidden="false" customHeight="false" outlineLevel="0" collapsed="false">
      <c r="E3186" s="41" t="str">
        <f aca="false">IF(D3186="","",IFERROR(VLOOKUP(D3186,Assumptions!$G$5:$H$16,2,0),"Other"))</f>
        <v/>
      </c>
      <c r="J3186" s="41" t="str">
        <f aca="false">IF(G3186="","",IFERROR(IF(ISNUMBER(SEARCH(Assumptions!$C$5,G3186)),Assumptions!$D$5,IF(ISNUMBER(SEARCH(Assumptions!$C$6,G3186)),Assumptions!$D$6,IF(ISNUMBER(SEARCH(Assumptions!$C$7,G3186)),Assumptions!$D$7,"Other Services"))),"Other Services"))</f>
        <v/>
      </c>
    </row>
    <row r="3187" customFormat="false" ht="15" hidden="false" customHeight="false" outlineLevel="0" collapsed="false">
      <c r="E3187" s="41" t="str">
        <f aca="false">IF(D3187="","",IFERROR(VLOOKUP(D3187,Assumptions!$G$5:$H$16,2,0),"Other"))</f>
        <v/>
      </c>
      <c r="J3187" s="41" t="str">
        <f aca="false">IF(G3187="","",IFERROR(IF(ISNUMBER(SEARCH(Assumptions!$C$5,G3187)),Assumptions!$D$5,IF(ISNUMBER(SEARCH(Assumptions!$C$6,G3187)),Assumptions!$D$6,IF(ISNUMBER(SEARCH(Assumptions!$C$7,G3187)),Assumptions!$D$7,"Other Services"))),"Other Services"))</f>
        <v/>
      </c>
    </row>
    <row r="3188" customFormat="false" ht="15" hidden="false" customHeight="false" outlineLevel="0" collapsed="false">
      <c r="E3188" s="41" t="str">
        <f aca="false">IF(D3188="","",IFERROR(VLOOKUP(D3188,Assumptions!$G$5:$H$16,2,0),"Other"))</f>
        <v/>
      </c>
      <c r="J3188" s="41" t="str">
        <f aca="false">IF(G3188="","",IFERROR(IF(ISNUMBER(SEARCH(Assumptions!$C$5,G3188)),Assumptions!$D$5,IF(ISNUMBER(SEARCH(Assumptions!$C$6,G3188)),Assumptions!$D$6,IF(ISNUMBER(SEARCH(Assumptions!$C$7,G3188)),Assumptions!$D$7,"Other Services"))),"Other Services"))</f>
        <v/>
      </c>
    </row>
    <row r="3189" customFormat="false" ht="15" hidden="false" customHeight="false" outlineLevel="0" collapsed="false">
      <c r="E3189" s="41" t="str">
        <f aca="false">IF(D3189="","",IFERROR(VLOOKUP(D3189,Assumptions!$G$5:$H$16,2,0),"Other"))</f>
        <v/>
      </c>
      <c r="J3189" s="41" t="str">
        <f aca="false">IF(G3189="","",IFERROR(IF(ISNUMBER(SEARCH(Assumptions!$C$5,G3189)),Assumptions!$D$5,IF(ISNUMBER(SEARCH(Assumptions!$C$6,G3189)),Assumptions!$D$6,IF(ISNUMBER(SEARCH(Assumptions!$C$7,G3189)),Assumptions!$D$7,"Other Services"))),"Other Services"))</f>
        <v/>
      </c>
    </row>
    <row r="3190" customFormat="false" ht="15" hidden="false" customHeight="false" outlineLevel="0" collapsed="false">
      <c r="E3190" s="41" t="str">
        <f aca="false">IF(D3190="","",IFERROR(VLOOKUP(D3190,Assumptions!$G$5:$H$16,2,0),"Other"))</f>
        <v/>
      </c>
      <c r="J3190" s="41" t="str">
        <f aca="false">IF(G3190="","",IFERROR(IF(ISNUMBER(SEARCH(Assumptions!$C$5,G3190)),Assumptions!$D$5,IF(ISNUMBER(SEARCH(Assumptions!$C$6,G3190)),Assumptions!$D$6,IF(ISNUMBER(SEARCH(Assumptions!$C$7,G3190)),Assumptions!$D$7,"Other Services"))),"Other Services"))</f>
        <v/>
      </c>
    </row>
    <row r="3191" customFormat="false" ht="15" hidden="false" customHeight="false" outlineLevel="0" collapsed="false">
      <c r="E3191" s="41" t="str">
        <f aca="false">IF(D3191="","",IFERROR(VLOOKUP(D3191,Assumptions!$G$5:$H$16,2,0),"Other"))</f>
        <v/>
      </c>
      <c r="J3191" s="41" t="str">
        <f aca="false">IF(G3191="","",IFERROR(IF(ISNUMBER(SEARCH(Assumptions!$C$5,G3191)),Assumptions!$D$5,IF(ISNUMBER(SEARCH(Assumptions!$C$6,G3191)),Assumptions!$D$6,IF(ISNUMBER(SEARCH(Assumptions!$C$7,G3191)),Assumptions!$D$7,"Other Services"))),"Other Services"))</f>
        <v/>
      </c>
    </row>
    <row r="3192" customFormat="false" ht="15" hidden="false" customHeight="false" outlineLevel="0" collapsed="false">
      <c r="E3192" s="41" t="str">
        <f aca="false">IF(D3192="","",IFERROR(VLOOKUP(D3192,Assumptions!$G$5:$H$16,2,0),"Other"))</f>
        <v/>
      </c>
      <c r="J3192" s="41" t="str">
        <f aca="false">IF(G3192="","",IFERROR(IF(ISNUMBER(SEARCH(Assumptions!$C$5,G3192)),Assumptions!$D$5,IF(ISNUMBER(SEARCH(Assumptions!$C$6,G3192)),Assumptions!$D$6,IF(ISNUMBER(SEARCH(Assumptions!$C$7,G3192)),Assumptions!$D$7,"Other Services"))),"Other Services"))</f>
        <v/>
      </c>
    </row>
    <row r="3193" customFormat="false" ht="15" hidden="false" customHeight="false" outlineLevel="0" collapsed="false">
      <c r="E3193" s="41" t="str">
        <f aca="false">IF(D3193="","",IFERROR(VLOOKUP(D3193,Assumptions!$G$5:$H$16,2,0),"Other"))</f>
        <v/>
      </c>
      <c r="J3193" s="41" t="str">
        <f aca="false">IF(G3193="","",IFERROR(IF(ISNUMBER(SEARCH(Assumptions!$C$5,G3193)),Assumptions!$D$5,IF(ISNUMBER(SEARCH(Assumptions!$C$6,G3193)),Assumptions!$D$6,IF(ISNUMBER(SEARCH(Assumptions!$C$7,G3193)),Assumptions!$D$7,"Other Services"))),"Other Services"))</f>
        <v/>
      </c>
    </row>
    <row r="3194" customFormat="false" ht="15" hidden="false" customHeight="false" outlineLevel="0" collapsed="false">
      <c r="E3194" s="41" t="str">
        <f aca="false">IF(D3194="","",IFERROR(VLOOKUP(D3194,Assumptions!$G$5:$H$16,2,0),"Other"))</f>
        <v/>
      </c>
      <c r="J3194" s="41" t="str">
        <f aca="false">IF(G3194="","",IFERROR(IF(ISNUMBER(SEARCH(Assumptions!$C$5,G3194)),Assumptions!$D$5,IF(ISNUMBER(SEARCH(Assumptions!$C$6,G3194)),Assumptions!$D$6,IF(ISNUMBER(SEARCH(Assumptions!$C$7,G3194)),Assumptions!$D$7,"Other Services"))),"Other Services"))</f>
        <v/>
      </c>
    </row>
    <row r="3195" customFormat="false" ht="15" hidden="false" customHeight="false" outlineLevel="0" collapsed="false">
      <c r="E3195" s="41" t="str">
        <f aca="false">IF(D3195="","",IFERROR(VLOOKUP(D3195,Assumptions!$G$5:$H$16,2,0),"Other"))</f>
        <v/>
      </c>
      <c r="J3195" s="41" t="str">
        <f aca="false">IF(G3195="","",IFERROR(IF(ISNUMBER(SEARCH(Assumptions!$C$5,G3195)),Assumptions!$D$5,IF(ISNUMBER(SEARCH(Assumptions!$C$6,G3195)),Assumptions!$D$6,IF(ISNUMBER(SEARCH(Assumptions!$C$7,G3195)),Assumptions!$D$7,"Other Services"))),"Other Services"))</f>
        <v/>
      </c>
    </row>
    <row r="3196" customFormat="false" ht="15" hidden="false" customHeight="false" outlineLevel="0" collapsed="false">
      <c r="E3196" s="41" t="str">
        <f aca="false">IF(D3196="","",IFERROR(VLOOKUP(D3196,Assumptions!$G$5:$H$16,2,0),"Other"))</f>
        <v/>
      </c>
      <c r="J3196" s="41" t="str">
        <f aca="false">IF(G3196="","",IFERROR(IF(ISNUMBER(SEARCH(Assumptions!$C$5,G3196)),Assumptions!$D$5,IF(ISNUMBER(SEARCH(Assumptions!$C$6,G3196)),Assumptions!$D$6,IF(ISNUMBER(SEARCH(Assumptions!$C$7,G3196)),Assumptions!$D$7,"Other Services"))),"Other Services"))</f>
        <v/>
      </c>
    </row>
    <row r="3197" customFormat="false" ht="15" hidden="false" customHeight="false" outlineLevel="0" collapsed="false">
      <c r="E3197" s="41" t="str">
        <f aca="false">IF(D3197="","",IFERROR(VLOOKUP(D3197,Assumptions!$G$5:$H$16,2,0),"Other"))</f>
        <v/>
      </c>
      <c r="J3197" s="41" t="str">
        <f aca="false">IF(G3197="","",IFERROR(IF(ISNUMBER(SEARCH(Assumptions!$C$5,G3197)),Assumptions!$D$5,IF(ISNUMBER(SEARCH(Assumptions!$C$6,G3197)),Assumptions!$D$6,IF(ISNUMBER(SEARCH(Assumptions!$C$7,G3197)),Assumptions!$D$7,"Other Services"))),"Other Services"))</f>
        <v/>
      </c>
    </row>
    <row r="3198" customFormat="false" ht="15" hidden="false" customHeight="false" outlineLevel="0" collapsed="false">
      <c r="E3198" s="41" t="str">
        <f aca="false">IF(D3198="","",IFERROR(VLOOKUP(D3198,Assumptions!$G$5:$H$16,2,0),"Other"))</f>
        <v/>
      </c>
      <c r="J3198" s="41" t="str">
        <f aca="false">IF(G3198="","",IFERROR(IF(ISNUMBER(SEARCH(Assumptions!$C$5,G3198)),Assumptions!$D$5,IF(ISNUMBER(SEARCH(Assumptions!$C$6,G3198)),Assumptions!$D$6,IF(ISNUMBER(SEARCH(Assumptions!$C$7,G3198)),Assumptions!$D$7,"Other Services"))),"Other Services"))</f>
        <v/>
      </c>
    </row>
    <row r="3199" customFormat="false" ht="15" hidden="false" customHeight="false" outlineLevel="0" collapsed="false">
      <c r="E3199" s="41" t="str">
        <f aca="false">IF(D3199="","",IFERROR(VLOOKUP(D3199,Assumptions!$G$5:$H$16,2,0),"Other"))</f>
        <v/>
      </c>
      <c r="J3199" s="41" t="str">
        <f aca="false">IF(G3199="","",IFERROR(IF(ISNUMBER(SEARCH(Assumptions!$C$5,G3199)),Assumptions!$D$5,IF(ISNUMBER(SEARCH(Assumptions!$C$6,G3199)),Assumptions!$D$6,IF(ISNUMBER(SEARCH(Assumptions!$C$7,G3199)),Assumptions!$D$7,"Other Services"))),"Other Services"))</f>
        <v/>
      </c>
    </row>
    <row r="3200" customFormat="false" ht="15" hidden="false" customHeight="false" outlineLevel="0" collapsed="false">
      <c r="E3200" s="41" t="str">
        <f aca="false">IF(D3200="","",IFERROR(VLOOKUP(D3200,Assumptions!$G$5:$H$16,2,0),"Other"))</f>
        <v/>
      </c>
      <c r="J3200" s="41" t="str">
        <f aca="false">IF(G3200="","",IFERROR(IF(ISNUMBER(SEARCH(Assumptions!$C$5,G3200)),Assumptions!$D$5,IF(ISNUMBER(SEARCH(Assumptions!$C$6,G3200)),Assumptions!$D$6,IF(ISNUMBER(SEARCH(Assumptions!$C$7,G3200)),Assumptions!$D$7,"Other Services"))),"Other Services"))</f>
        <v/>
      </c>
    </row>
    <row r="3201" customFormat="false" ht="15" hidden="false" customHeight="false" outlineLevel="0" collapsed="false">
      <c r="E3201" s="41" t="str">
        <f aca="false">IF(D3201="","",IFERROR(VLOOKUP(D3201,Assumptions!$G$5:$H$16,2,0),"Other"))</f>
        <v/>
      </c>
      <c r="J3201" s="41" t="str">
        <f aca="false">IF(G3201="","",IFERROR(IF(ISNUMBER(SEARCH(Assumptions!$C$5,G3201)),Assumptions!$D$5,IF(ISNUMBER(SEARCH(Assumptions!$C$6,G3201)),Assumptions!$D$6,IF(ISNUMBER(SEARCH(Assumptions!$C$7,G3201)),Assumptions!$D$7,"Other Services"))),"Other Services"))</f>
        <v/>
      </c>
    </row>
    <row r="3202" customFormat="false" ht="15" hidden="false" customHeight="false" outlineLevel="0" collapsed="false">
      <c r="E3202" s="41" t="str">
        <f aca="false">IF(D3202="","",IFERROR(VLOOKUP(D3202,Assumptions!$G$5:$H$16,2,0),"Other"))</f>
        <v/>
      </c>
      <c r="J3202" s="41" t="str">
        <f aca="false">IF(G3202="","",IFERROR(IF(ISNUMBER(SEARCH(Assumptions!$C$5,G3202)),Assumptions!$D$5,IF(ISNUMBER(SEARCH(Assumptions!$C$6,G3202)),Assumptions!$D$6,IF(ISNUMBER(SEARCH(Assumptions!$C$7,G3202)),Assumptions!$D$7,"Other Services"))),"Other Services"))</f>
        <v/>
      </c>
    </row>
    <row r="3203" customFormat="false" ht="15" hidden="false" customHeight="false" outlineLevel="0" collapsed="false">
      <c r="E3203" s="41" t="str">
        <f aca="false">IF(D3203="","",IFERROR(VLOOKUP(D3203,Assumptions!$G$5:$H$16,2,0),"Other"))</f>
        <v/>
      </c>
      <c r="J3203" s="41" t="str">
        <f aca="false">IF(G3203="","",IFERROR(IF(ISNUMBER(SEARCH(Assumptions!$C$5,G3203)),Assumptions!$D$5,IF(ISNUMBER(SEARCH(Assumptions!$C$6,G3203)),Assumptions!$D$6,IF(ISNUMBER(SEARCH(Assumptions!$C$7,G3203)),Assumptions!$D$7,"Other Services"))),"Other Services"))</f>
        <v/>
      </c>
    </row>
    <row r="3204" customFormat="false" ht="15" hidden="false" customHeight="false" outlineLevel="0" collapsed="false">
      <c r="E3204" s="41" t="str">
        <f aca="false">IF(D3204="","",IFERROR(VLOOKUP(D3204,Assumptions!$G$5:$H$16,2,0),"Other"))</f>
        <v/>
      </c>
      <c r="J3204" s="41" t="str">
        <f aca="false">IF(G3204="","",IFERROR(IF(ISNUMBER(SEARCH(Assumptions!$C$5,G3204)),Assumptions!$D$5,IF(ISNUMBER(SEARCH(Assumptions!$C$6,G3204)),Assumptions!$D$6,IF(ISNUMBER(SEARCH(Assumptions!$C$7,G3204)),Assumptions!$D$7,"Other Services"))),"Other Services"))</f>
        <v/>
      </c>
    </row>
    <row r="3205" customFormat="false" ht="15" hidden="false" customHeight="false" outlineLevel="0" collapsed="false">
      <c r="E3205" s="41" t="str">
        <f aca="false">IF(D3205="","",IFERROR(VLOOKUP(D3205,Assumptions!$G$5:$H$16,2,0),"Other"))</f>
        <v/>
      </c>
      <c r="J3205" s="41" t="str">
        <f aca="false">IF(G3205="","",IFERROR(IF(ISNUMBER(SEARCH(Assumptions!$C$5,G3205)),Assumptions!$D$5,IF(ISNUMBER(SEARCH(Assumptions!$C$6,G3205)),Assumptions!$D$6,IF(ISNUMBER(SEARCH(Assumptions!$C$7,G3205)),Assumptions!$D$7,"Other Services"))),"Other Services"))</f>
        <v/>
      </c>
    </row>
    <row r="3206" customFormat="false" ht="15" hidden="false" customHeight="false" outlineLevel="0" collapsed="false">
      <c r="E3206" s="41" t="str">
        <f aca="false">IF(D3206="","",IFERROR(VLOOKUP(D3206,Assumptions!$G$5:$H$16,2,0),"Other"))</f>
        <v/>
      </c>
      <c r="J3206" s="41" t="str">
        <f aca="false">IF(G3206="","",IFERROR(IF(ISNUMBER(SEARCH(Assumptions!$C$5,G3206)),Assumptions!$D$5,IF(ISNUMBER(SEARCH(Assumptions!$C$6,G3206)),Assumptions!$D$6,IF(ISNUMBER(SEARCH(Assumptions!$C$7,G3206)),Assumptions!$D$7,"Other Services"))),"Other Services"))</f>
        <v/>
      </c>
    </row>
    <row r="3207" customFormat="false" ht="15" hidden="false" customHeight="false" outlineLevel="0" collapsed="false">
      <c r="E3207" s="41" t="str">
        <f aca="false">IF(D3207="","",IFERROR(VLOOKUP(D3207,Assumptions!$G$5:$H$16,2,0),"Other"))</f>
        <v/>
      </c>
      <c r="J3207" s="41" t="str">
        <f aca="false">IF(G3207="","",IFERROR(IF(ISNUMBER(SEARCH(Assumptions!$C$5,G3207)),Assumptions!$D$5,IF(ISNUMBER(SEARCH(Assumptions!$C$6,G3207)),Assumptions!$D$6,IF(ISNUMBER(SEARCH(Assumptions!$C$7,G3207)),Assumptions!$D$7,"Other Services"))),"Other Services"))</f>
        <v/>
      </c>
    </row>
    <row r="3208" customFormat="false" ht="15" hidden="false" customHeight="false" outlineLevel="0" collapsed="false">
      <c r="E3208" s="41" t="str">
        <f aca="false">IF(D3208="","",IFERROR(VLOOKUP(D3208,Assumptions!$G$5:$H$16,2,0),"Other"))</f>
        <v/>
      </c>
      <c r="J3208" s="41" t="str">
        <f aca="false">IF(G3208="","",IFERROR(IF(ISNUMBER(SEARCH(Assumptions!$C$5,G3208)),Assumptions!$D$5,IF(ISNUMBER(SEARCH(Assumptions!$C$6,G3208)),Assumptions!$D$6,IF(ISNUMBER(SEARCH(Assumptions!$C$7,G3208)),Assumptions!$D$7,"Other Services"))),"Other Services"))</f>
        <v/>
      </c>
    </row>
    <row r="3209" customFormat="false" ht="15" hidden="false" customHeight="false" outlineLevel="0" collapsed="false">
      <c r="E3209" s="41" t="str">
        <f aca="false">IF(D3209="","",IFERROR(VLOOKUP(D3209,Assumptions!$G$5:$H$16,2,0),"Other"))</f>
        <v/>
      </c>
      <c r="J3209" s="41" t="str">
        <f aca="false">IF(G3209="","",IFERROR(IF(ISNUMBER(SEARCH(Assumptions!$C$5,G3209)),Assumptions!$D$5,IF(ISNUMBER(SEARCH(Assumptions!$C$6,G3209)),Assumptions!$D$6,IF(ISNUMBER(SEARCH(Assumptions!$C$7,G3209)),Assumptions!$D$7,"Other Services"))),"Other Services"))</f>
        <v/>
      </c>
    </row>
    <row r="3210" customFormat="false" ht="15" hidden="false" customHeight="false" outlineLevel="0" collapsed="false">
      <c r="E3210" s="41" t="str">
        <f aca="false">IF(D3210="","",IFERROR(VLOOKUP(D3210,Assumptions!$G$5:$H$16,2,0),"Other"))</f>
        <v/>
      </c>
      <c r="J3210" s="41" t="str">
        <f aca="false">IF(G3210="","",IFERROR(IF(ISNUMBER(SEARCH(Assumptions!$C$5,G3210)),Assumptions!$D$5,IF(ISNUMBER(SEARCH(Assumptions!$C$6,G3210)),Assumptions!$D$6,IF(ISNUMBER(SEARCH(Assumptions!$C$7,G3210)),Assumptions!$D$7,"Other Services"))),"Other Services"))</f>
        <v/>
      </c>
    </row>
    <row r="3211" customFormat="false" ht="15" hidden="false" customHeight="false" outlineLevel="0" collapsed="false">
      <c r="E3211" s="41" t="str">
        <f aca="false">IF(D3211="","",IFERROR(VLOOKUP(D3211,Assumptions!$G$5:$H$16,2,0),"Other"))</f>
        <v/>
      </c>
      <c r="J3211" s="41" t="str">
        <f aca="false">IF(G3211="","",IFERROR(IF(ISNUMBER(SEARCH(Assumptions!$C$5,G3211)),Assumptions!$D$5,IF(ISNUMBER(SEARCH(Assumptions!$C$6,G3211)),Assumptions!$D$6,IF(ISNUMBER(SEARCH(Assumptions!$C$7,G3211)),Assumptions!$D$7,"Other Services"))),"Other Services"))</f>
        <v/>
      </c>
    </row>
    <row r="3212" customFormat="false" ht="15" hidden="false" customHeight="false" outlineLevel="0" collapsed="false">
      <c r="E3212" s="41" t="str">
        <f aca="false">IF(D3212="","",IFERROR(VLOOKUP(D3212,Assumptions!$G$5:$H$16,2,0),"Other"))</f>
        <v/>
      </c>
      <c r="J3212" s="41" t="str">
        <f aca="false">IF(G3212="","",IFERROR(IF(ISNUMBER(SEARCH(Assumptions!$C$5,G3212)),Assumptions!$D$5,IF(ISNUMBER(SEARCH(Assumptions!$C$6,G3212)),Assumptions!$D$6,IF(ISNUMBER(SEARCH(Assumptions!$C$7,G3212)),Assumptions!$D$7,"Other Services"))),"Other Services"))</f>
        <v/>
      </c>
    </row>
    <row r="3213" customFormat="false" ht="15" hidden="false" customHeight="false" outlineLevel="0" collapsed="false">
      <c r="E3213" s="41" t="str">
        <f aca="false">IF(D3213="","",IFERROR(VLOOKUP(D3213,Assumptions!$G$5:$H$16,2,0),"Other"))</f>
        <v/>
      </c>
      <c r="J3213" s="41" t="str">
        <f aca="false">IF(G3213="","",IFERROR(IF(ISNUMBER(SEARCH(Assumptions!$C$5,G3213)),Assumptions!$D$5,IF(ISNUMBER(SEARCH(Assumptions!$C$6,G3213)),Assumptions!$D$6,IF(ISNUMBER(SEARCH(Assumptions!$C$7,G3213)),Assumptions!$D$7,"Other Services"))),"Other Services"))</f>
        <v/>
      </c>
    </row>
    <row r="3214" customFormat="false" ht="15" hidden="false" customHeight="false" outlineLevel="0" collapsed="false">
      <c r="E3214" s="41" t="str">
        <f aca="false">IF(D3214="","",IFERROR(VLOOKUP(D3214,Assumptions!$G$5:$H$16,2,0),"Other"))</f>
        <v/>
      </c>
      <c r="J3214" s="41" t="str">
        <f aca="false">IF(G3214="","",IFERROR(IF(ISNUMBER(SEARCH(Assumptions!$C$5,G3214)),Assumptions!$D$5,IF(ISNUMBER(SEARCH(Assumptions!$C$6,G3214)),Assumptions!$D$6,IF(ISNUMBER(SEARCH(Assumptions!$C$7,G3214)),Assumptions!$D$7,"Other Services"))),"Other Services"))</f>
        <v/>
      </c>
    </row>
    <row r="3215" customFormat="false" ht="15" hidden="false" customHeight="false" outlineLevel="0" collapsed="false">
      <c r="E3215" s="41" t="str">
        <f aca="false">IF(D3215="","",IFERROR(VLOOKUP(D3215,Assumptions!$G$5:$H$16,2,0),"Other"))</f>
        <v/>
      </c>
      <c r="J3215" s="41" t="str">
        <f aca="false">IF(G3215="","",IFERROR(IF(ISNUMBER(SEARCH(Assumptions!$C$5,G3215)),Assumptions!$D$5,IF(ISNUMBER(SEARCH(Assumptions!$C$6,G3215)),Assumptions!$D$6,IF(ISNUMBER(SEARCH(Assumptions!$C$7,G3215)),Assumptions!$D$7,"Other Services"))),"Other Services"))</f>
        <v/>
      </c>
    </row>
    <row r="3216" customFormat="false" ht="15" hidden="false" customHeight="false" outlineLevel="0" collapsed="false">
      <c r="E3216" s="41" t="str">
        <f aca="false">IF(D3216="","",IFERROR(VLOOKUP(D3216,Assumptions!$G$5:$H$16,2,0),"Other"))</f>
        <v/>
      </c>
      <c r="J3216" s="41" t="str">
        <f aca="false">IF(G3216="","",IFERROR(IF(ISNUMBER(SEARCH(Assumptions!$C$5,G3216)),Assumptions!$D$5,IF(ISNUMBER(SEARCH(Assumptions!$C$6,G3216)),Assumptions!$D$6,IF(ISNUMBER(SEARCH(Assumptions!$C$7,G3216)),Assumptions!$D$7,"Other Services"))),"Other Services"))</f>
        <v/>
      </c>
    </row>
    <row r="3217" customFormat="false" ht="15" hidden="false" customHeight="false" outlineLevel="0" collapsed="false">
      <c r="E3217" s="41" t="str">
        <f aca="false">IF(D3217="","",IFERROR(VLOOKUP(D3217,Assumptions!$G$5:$H$16,2,0),"Other"))</f>
        <v/>
      </c>
      <c r="J3217" s="41" t="str">
        <f aca="false">IF(G3217="","",IFERROR(IF(ISNUMBER(SEARCH(Assumptions!$C$5,G3217)),Assumptions!$D$5,IF(ISNUMBER(SEARCH(Assumptions!$C$6,G3217)),Assumptions!$D$6,IF(ISNUMBER(SEARCH(Assumptions!$C$7,G3217)),Assumptions!$D$7,"Other Services"))),"Other Services"))</f>
        <v/>
      </c>
    </row>
    <row r="3218" customFormat="false" ht="15" hidden="false" customHeight="false" outlineLevel="0" collapsed="false">
      <c r="E3218" s="41" t="str">
        <f aca="false">IF(D3218="","",IFERROR(VLOOKUP(D3218,Assumptions!$G$5:$H$16,2,0),"Other"))</f>
        <v/>
      </c>
      <c r="J3218" s="41" t="str">
        <f aca="false">IF(G3218="","",IFERROR(IF(ISNUMBER(SEARCH(Assumptions!$C$5,G3218)),Assumptions!$D$5,IF(ISNUMBER(SEARCH(Assumptions!$C$6,G3218)),Assumptions!$D$6,IF(ISNUMBER(SEARCH(Assumptions!$C$7,G3218)),Assumptions!$D$7,"Other Services"))),"Other Services"))</f>
        <v/>
      </c>
    </row>
    <row r="3219" customFormat="false" ht="15" hidden="false" customHeight="false" outlineLevel="0" collapsed="false">
      <c r="E3219" s="41" t="str">
        <f aca="false">IF(D3219="","",IFERROR(VLOOKUP(D3219,Assumptions!$G$5:$H$16,2,0),"Other"))</f>
        <v/>
      </c>
      <c r="J3219" s="41" t="str">
        <f aca="false">IF(G3219="","",IFERROR(IF(ISNUMBER(SEARCH(Assumptions!$C$5,G3219)),Assumptions!$D$5,IF(ISNUMBER(SEARCH(Assumptions!$C$6,G3219)),Assumptions!$D$6,IF(ISNUMBER(SEARCH(Assumptions!$C$7,G3219)),Assumptions!$D$7,"Other Services"))),"Other Services"))</f>
        <v/>
      </c>
    </row>
    <row r="3220" customFormat="false" ht="15" hidden="false" customHeight="false" outlineLevel="0" collapsed="false">
      <c r="E3220" s="41" t="str">
        <f aca="false">IF(D3220="","",IFERROR(VLOOKUP(D3220,Assumptions!$G$5:$H$16,2,0),"Other"))</f>
        <v/>
      </c>
      <c r="J3220" s="41" t="str">
        <f aca="false">IF(G3220="","",IFERROR(IF(ISNUMBER(SEARCH(Assumptions!$C$5,G3220)),Assumptions!$D$5,IF(ISNUMBER(SEARCH(Assumptions!$C$6,G3220)),Assumptions!$D$6,IF(ISNUMBER(SEARCH(Assumptions!$C$7,G3220)),Assumptions!$D$7,"Other Services"))),"Other Services"))</f>
        <v/>
      </c>
    </row>
    <row r="3221" customFormat="false" ht="15" hidden="false" customHeight="false" outlineLevel="0" collapsed="false">
      <c r="E3221" s="41" t="str">
        <f aca="false">IF(D3221="","",IFERROR(VLOOKUP(D3221,Assumptions!$G$5:$H$16,2,0),"Other"))</f>
        <v/>
      </c>
      <c r="J3221" s="41" t="str">
        <f aca="false">IF(G3221="","",IFERROR(IF(ISNUMBER(SEARCH(Assumptions!$C$5,G3221)),Assumptions!$D$5,IF(ISNUMBER(SEARCH(Assumptions!$C$6,G3221)),Assumptions!$D$6,IF(ISNUMBER(SEARCH(Assumptions!$C$7,G3221)),Assumptions!$D$7,"Other Services"))),"Other Services"))</f>
        <v/>
      </c>
    </row>
    <row r="3222" customFormat="false" ht="15" hidden="false" customHeight="false" outlineLevel="0" collapsed="false">
      <c r="E3222" s="41" t="str">
        <f aca="false">IF(D3222="","",IFERROR(VLOOKUP(D3222,Assumptions!$G$5:$H$16,2,0),"Other"))</f>
        <v/>
      </c>
      <c r="J3222" s="41" t="str">
        <f aca="false">IF(G3222="","",IFERROR(IF(ISNUMBER(SEARCH(Assumptions!$C$5,G3222)),Assumptions!$D$5,IF(ISNUMBER(SEARCH(Assumptions!$C$6,G3222)),Assumptions!$D$6,IF(ISNUMBER(SEARCH(Assumptions!$C$7,G3222)),Assumptions!$D$7,"Other Services"))),"Other Services"))</f>
        <v/>
      </c>
    </row>
    <row r="3223" customFormat="false" ht="15" hidden="false" customHeight="false" outlineLevel="0" collapsed="false">
      <c r="E3223" s="41" t="str">
        <f aca="false">IF(D3223="","",IFERROR(VLOOKUP(D3223,Assumptions!$G$5:$H$16,2,0),"Other"))</f>
        <v/>
      </c>
      <c r="J3223" s="41" t="str">
        <f aca="false">IF(G3223="","",IFERROR(IF(ISNUMBER(SEARCH(Assumptions!$C$5,G3223)),Assumptions!$D$5,IF(ISNUMBER(SEARCH(Assumptions!$C$6,G3223)),Assumptions!$D$6,IF(ISNUMBER(SEARCH(Assumptions!$C$7,G3223)),Assumptions!$D$7,"Other Services"))),"Other Services"))</f>
        <v/>
      </c>
    </row>
    <row r="3224" customFormat="false" ht="15" hidden="false" customHeight="false" outlineLevel="0" collapsed="false">
      <c r="E3224" s="41" t="str">
        <f aca="false">IF(D3224="","",IFERROR(VLOOKUP(D3224,Assumptions!$G$5:$H$16,2,0),"Other"))</f>
        <v/>
      </c>
      <c r="J3224" s="41" t="str">
        <f aca="false">IF(G3224="","",IFERROR(IF(ISNUMBER(SEARCH(Assumptions!$C$5,G3224)),Assumptions!$D$5,IF(ISNUMBER(SEARCH(Assumptions!$C$6,G3224)),Assumptions!$D$6,IF(ISNUMBER(SEARCH(Assumptions!$C$7,G3224)),Assumptions!$D$7,"Other Services"))),"Other Services"))</f>
        <v/>
      </c>
    </row>
    <row r="3225" customFormat="false" ht="15" hidden="false" customHeight="false" outlineLevel="0" collapsed="false">
      <c r="E3225" s="41" t="str">
        <f aca="false">IF(D3225="","",IFERROR(VLOOKUP(D3225,Assumptions!$G$5:$H$16,2,0),"Other"))</f>
        <v/>
      </c>
      <c r="J3225" s="41" t="str">
        <f aca="false">IF(G3225="","",IFERROR(IF(ISNUMBER(SEARCH(Assumptions!$C$5,G3225)),Assumptions!$D$5,IF(ISNUMBER(SEARCH(Assumptions!$C$6,G3225)),Assumptions!$D$6,IF(ISNUMBER(SEARCH(Assumptions!$C$7,G3225)),Assumptions!$D$7,"Other Services"))),"Other Services"))</f>
        <v/>
      </c>
    </row>
    <row r="3226" customFormat="false" ht="15" hidden="false" customHeight="false" outlineLevel="0" collapsed="false">
      <c r="E3226" s="41" t="str">
        <f aca="false">IF(D3226="","",IFERROR(VLOOKUP(D3226,Assumptions!$G$5:$H$16,2,0),"Other"))</f>
        <v/>
      </c>
      <c r="J3226" s="41" t="str">
        <f aca="false">IF(G3226="","",IFERROR(IF(ISNUMBER(SEARCH(Assumptions!$C$5,G3226)),Assumptions!$D$5,IF(ISNUMBER(SEARCH(Assumptions!$C$6,G3226)),Assumptions!$D$6,IF(ISNUMBER(SEARCH(Assumptions!$C$7,G3226)),Assumptions!$D$7,"Other Services"))),"Other Services"))</f>
        <v/>
      </c>
    </row>
    <row r="3227" customFormat="false" ht="15" hidden="false" customHeight="false" outlineLevel="0" collapsed="false">
      <c r="E3227" s="41" t="str">
        <f aca="false">IF(D3227="","",IFERROR(VLOOKUP(D3227,Assumptions!$G$5:$H$16,2,0),"Other"))</f>
        <v/>
      </c>
      <c r="J3227" s="41" t="str">
        <f aca="false">IF(G3227="","",IFERROR(IF(ISNUMBER(SEARCH(Assumptions!$C$5,G3227)),Assumptions!$D$5,IF(ISNUMBER(SEARCH(Assumptions!$C$6,G3227)),Assumptions!$D$6,IF(ISNUMBER(SEARCH(Assumptions!$C$7,G3227)),Assumptions!$D$7,"Other Services"))),"Other Services"))</f>
        <v/>
      </c>
    </row>
    <row r="3228" customFormat="false" ht="15" hidden="false" customHeight="false" outlineLevel="0" collapsed="false">
      <c r="E3228" s="41" t="str">
        <f aca="false">IF(D3228="","",IFERROR(VLOOKUP(D3228,Assumptions!$G$5:$H$16,2,0),"Other"))</f>
        <v/>
      </c>
      <c r="J3228" s="41" t="str">
        <f aca="false">IF(G3228="","",IFERROR(IF(ISNUMBER(SEARCH(Assumptions!$C$5,G3228)),Assumptions!$D$5,IF(ISNUMBER(SEARCH(Assumptions!$C$6,G3228)),Assumptions!$D$6,IF(ISNUMBER(SEARCH(Assumptions!$C$7,G3228)),Assumptions!$D$7,"Other Services"))),"Other Services"))</f>
        <v/>
      </c>
    </row>
    <row r="3229" customFormat="false" ht="15" hidden="false" customHeight="false" outlineLevel="0" collapsed="false">
      <c r="E3229" s="41" t="str">
        <f aca="false">IF(D3229="","",IFERROR(VLOOKUP(D3229,Assumptions!$G$5:$H$16,2,0),"Other"))</f>
        <v/>
      </c>
      <c r="J3229" s="41" t="str">
        <f aca="false">IF(G3229="","",IFERROR(IF(ISNUMBER(SEARCH(Assumptions!$C$5,G3229)),Assumptions!$D$5,IF(ISNUMBER(SEARCH(Assumptions!$C$6,G3229)),Assumptions!$D$6,IF(ISNUMBER(SEARCH(Assumptions!$C$7,G3229)),Assumptions!$D$7,"Other Services"))),"Other Services"))</f>
        <v/>
      </c>
    </row>
    <row r="3230" customFormat="false" ht="15" hidden="false" customHeight="false" outlineLevel="0" collapsed="false">
      <c r="E3230" s="41" t="str">
        <f aca="false">IF(D3230="","",IFERROR(VLOOKUP(D3230,Assumptions!$G$5:$H$16,2,0),"Other"))</f>
        <v/>
      </c>
      <c r="J3230" s="41" t="str">
        <f aca="false">IF(G3230="","",IFERROR(IF(ISNUMBER(SEARCH(Assumptions!$C$5,G3230)),Assumptions!$D$5,IF(ISNUMBER(SEARCH(Assumptions!$C$6,G3230)),Assumptions!$D$6,IF(ISNUMBER(SEARCH(Assumptions!$C$7,G3230)),Assumptions!$D$7,"Other Services"))),"Other Services"))</f>
        <v/>
      </c>
    </row>
    <row r="3231" customFormat="false" ht="15" hidden="false" customHeight="false" outlineLevel="0" collapsed="false">
      <c r="E3231" s="41" t="str">
        <f aca="false">IF(D3231="","",IFERROR(VLOOKUP(D3231,Assumptions!$G$5:$H$16,2,0),"Other"))</f>
        <v/>
      </c>
      <c r="J3231" s="41" t="str">
        <f aca="false">IF(G3231="","",IFERROR(IF(ISNUMBER(SEARCH(Assumptions!$C$5,G3231)),Assumptions!$D$5,IF(ISNUMBER(SEARCH(Assumptions!$C$6,G3231)),Assumptions!$D$6,IF(ISNUMBER(SEARCH(Assumptions!$C$7,G3231)),Assumptions!$D$7,"Other Services"))),"Other Services"))</f>
        <v/>
      </c>
    </row>
    <row r="3232" customFormat="false" ht="15" hidden="false" customHeight="false" outlineLevel="0" collapsed="false">
      <c r="E3232" s="41" t="str">
        <f aca="false">IF(D3232="","",IFERROR(VLOOKUP(D3232,Assumptions!$G$5:$H$16,2,0),"Other"))</f>
        <v/>
      </c>
      <c r="J3232" s="41" t="str">
        <f aca="false">IF(G3232="","",IFERROR(IF(ISNUMBER(SEARCH(Assumptions!$C$5,G3232)),Assumptions!$D$5,IF(ISNUMBER(SEARCH(Assumptions!$C$6,G3232)),Assumptions!$D$6,IF(ISNUMBER(SEARCH(Assumptions!$C$7,G3232)),Assumptions!$D$7,"Other Services"))),"Other Services"))</f>
        <v/>
      </c>
    </row>
    <row r="3233" customFormat="false" ht="15" hidden="false" customHeight="false" outlineLevel="0" collapsed="false">
      <c r="E3233" s="41" t="str">
        <f aca="false">IF(D3233="","",IFERROR(VLOOKUP(D3233,Assumptions!$G$5:$H$16,2,0),"Other"))</f>
        <v/>
      </c>
      <c r="J3233" s="41" t="str">
        <f aca="false">IF(G3233="","",IFERROR(IF(ISNUMBER(SEARCH(Assumptions!$C$5,G3233)),Assumptions!$D$5,IF(ISNUMBER(SEARCH(Assumptions!$C$6,G3233)),Assumptions!$D$6,IF(ISNUMBER(SEARCH(Assumptions!$C$7,G3233)),Assumptions!$D$7,"Other Services"))),"Other Services"))</f>
        <v/>
      </c>
    </row>
    <row r="3234" customFormat="false" ht="15" hidden="false" customHeight="false" outlineLevel="0" collapsed="false">
      <c r="E3234" s="41" t="str">
        <f aca="false">IF(D3234="","",IFERROR(VLOOKUP(D3234,Assumptions!$G$5:$H$16,2,0),"Other"))</f>
        <v/>
      </c>
      <c r="J3234" s="41" t="str">
        <f aca="false">IF(G3234="","",IFERROR(IF(ISNUMBER(SEARCH(Assumptions!$C$5,G3234)),Assumptions!$D$5,IF(ISNUMBER(SEARCH(Assumptions!$C$6,G3234)),Assumptions!$D$6,IF(ISNUMBER(SEARCH(Assumptions!$C$7,G3234)),Assumptions!$D$7,"Other Services"))),"Other Services"))</f>
        <v/>
      </c>
    </row>
    <row r="3235" customFormat="false" ht="15" hidden="false" customHeight="false" outlineLevel="0" collapsed="false">
      <c r="E3235" s="41" t="str">
        <f aca="false">IF(D3235="","",IFERROR(VLOOKUP(D3235,Assumptions!$G$5:$H$16,2,0),"Other"))</f>
        <v/>
      </c>
      <c r="J3235" s="41" t="str">
        <f aca="false">IF(G3235="","",IFERROR(IF(ISNUMBER(SEARCH(Assumptions!$C$5,G3235)),Assumptions!$D$5,IF(ISNUMBER(SEARCH(Assumptions!$C$6,G3235)),Assumptions!$D$6,IF(ISNUMBER(SEARCH(Assumptions!$C$7,G3235)),Assumptions!$D$7,"Other Services"))),"Other Services"))</f>
        <v/>
      </c>
    </row>
    <row r="3236" customFormat="false" ht="15" hidden="false" customHeight="false" outlineLevel="0" collapsed="false">
      <c r="E3236" s="41" t="str">
        <f aca="false">IF(D3236="","",IFERROR(VLOOKUP(D3236,Assumptions!$G$5:$H$16,2,0),"Other"))</f>
        <v/>
      </c>
      <c r="J3236" s="41" t="str">
        <f aca="false">IF(G3236="","",IFERROR(IF(ISNUMBER(SEARCH(Assumptions!$C$5,G3236)),Assumptions!$D$5,IF(ISNUMBER(SEARCH(Assumptions!$C$6,G3236)),Assumptions!$D$6,IF(ISNUMBER(SEARCH(Assumptions!$C$7,G3236)),Assumptions!$D$7,"Other Services"))),"Other Services"))</f>
        <v/>
      </c>
    </row>
    <row r="3237" customFormat="false" ht="15" hidden="false" customHeight="false" outlineLevel="0" collapsed="false">
      <c r="E3237" s="41" t="str">
        <f aca="false">IF(D3237="","",IFERROR(VLOOKUP(D3237,Assumptions!$G$5:$H$16,2,0),"Other"))</f>
        <v/>
      </c>
      <c r="J3237" s="41" t="str">
        <f aca="false">IF(G3237="","",IFERROR(IF(ISNUMBER(SEARCH(Assumptions!$C$5,G3237)),Assumptions!$D$5,IF(ISNUMBER(SEARCH(Assumptions!$C$6,G3237)),Assumptions!$D$6,IF(ISNUMBER(SEARCH(Assumptions!$C$7,G3237)),Assumptions!$D$7,"Other Services"))),"Other Services"))</f>
        <v/>
      </c>
    </row>
    <row r="3238" customFormat="false" ht="15" hidden="false" customHeight="false" outlineLevel="0" collapsed="false">
      <c r="E3238" s="41" t="str">
        <f aca="false">IF(D3238="","",IFERROR(VLOOKUP(D3238,Assumptions!$G$5:$H$16,2,0),"Other"))</f>
        <v/>
      </c>
      <c r="J3238" s="41" t="str">
        <f aca="false">IF(G3238="","",IFERROR(IF(ISNUMBER(SEARCH(Assumptions!$C$5,G3238)),Assumptions!$D$5,IF(ISNUMBER(SEARCH(Assumptions!$C$6,G3238)),Assumptions!$D$6,IF(ISNUMBER(SEARCH(Assumptions!$C$7,G3238)),Assumptions!$D$7,"Other Services"))),"Other Services"))</f>
        <v/>
      </c>
    </row>
    <row r="3239" customFormat="false" ht="15" hidden="false" customHeight="false" outlineLevel="0" collapsed="false">
      <c r="E3239" s="41" t="str">
        <f aca="false">IF(D3239="","",IFERROR(VLOOKUP(D3239,Assumptions!$G$5:$H$16,2,0),"Other"))</f>
        <v/>
      </c>
      <c r="J3239" s="41" t="str">
        <f aca="false">IF(G3239="","",IFERROR(IF(ISNUMBER(SEARCH(Assumptions!$C$5,G3239)),Assumptions!$D$5,IF(ISNUMBER(SEARCH(Assumptions!$C$6,G3239)),Assumptions!$D$6,IF(ISNUMBER(SEARCH(Assumptions!$C$7,G3239)),Assumptions!$D$7,"Other Services"))),"Other Services"))</f>
        <v/>
      </c>
    </row>
    <row r="3240" customFormat="false" ht="15" hidden="false" customHeight="false" outlineLevel="0" collapsed="false">
      <c r="E3240" s="41" t="str">
        <f aca="false">IF(D3240="","",IFERROR(VLOOKUP(D3240,Assumptions!$G$5:$H$16,2,0),"Other"))</f>
        <v/>
      </c>
      <c r="J3240" s="41" t="str">
        <f aca="false">IF(G3240="","",IFERROR(IF(ISNUMBER(SEARCH(Assumptions!$C$5,G3240)),Assumptions!$D$5,IF(ISNUMBER(SEARCH(Assumptions!$C$6,G3240)),Assumptions!$D$6,IF(ISNUMBER(SEARCH(Assumptions!$C$7,G3240)),Assumptions!$D$7,"Other Services"))),"Other Services"))</f>
        <v/>
      </c>
    </row>
    <row r="3241" customFormat="false" ht="15" hidden="false" customHeight="false" outlineLevel="0" collapsed="false">
      <c r="E3241" s="41" t="str">
        <f aca="false">IF(D3241="","",IFERROR(VLOOKUP(D3241,Assumptions!$G$5:$H$16,2,0),"Other"))</f>
        <v/>
      </c>
      <c r="J3241" s="41" t="str">
        <f aca="false">IF(G3241="","",IFERROR(IF(ISNUMBER(SEARCH(Assumptions!$C$5,G3241)),Assumptions!$D$5,IF(ISNUMBER(SEARCH(Assumptions!$C$6,G3241)),Assumptions!$D$6,IF(ISNUMBER(SEARCH(Assumptions!$C$7,G3241)),Assumptions!$D$7,"Other Services"))),"Other Services"))</f>
        <v/>
      </c>
    </row>
    <row r="3242" customFormat="false" ht="15" hidden="false" customHeight="false" outlineLevel="0" collapsed="false">
      <c r="E3242" s="41" t="str">
        <f aca="false">IF(D3242="","",IFERROR(VLOOKUP(D3242,Assumptions!$G$5:$H$16,2,0),"Other"))</f>
        <v/>
      </c>
      <c r="J3242" s="41" t="str">
        <f aca="false">IF(G3242="","",IFERROR(IF(ISNUMBER(SEARCH(Assumptions!$C$5,G3242)),Assumptions!$D$5,IF(ISNUMBER(SEARCH(Assumptions!$C$6,G3242)),Assumptions!$D$6,IF(ISNUMBER(SEARCH(Assumptions!$C$7,G3242)),Assumptions!$D$7,"Other Services"))),"Other Services"))</f>
        <v/>
      </c>
    </row>
    <row r="3243" customFormat="false" ht="15" hidden="false" customHeight="false" outlineLevel="0" collapsed="false">
      <c r="E3243" s="41" t="str">
        <f aca="false">IF(D3243="","",IFERROR(VLOOKUP(D3243,Assumptions!$G$5:$H$16,2,0),"Other"))</f>
        <v/>
      </c>
      <c r="J3243" s="41" t="str">
        <f aca="false">IF(G3243="","",IFERROR(IF(ISNUMBER(SEARCH(Assumptions!$C$5,G3243)),Assumptions!$D$5,IF(ISNUMBER(SEARCH(Assumptions!$C$6,G3243)),Assumptions!$D$6,IF(ISNUMBER(SEARCH(Assumptions!$C$7,G3243)),Assumptions!$D$7,"Other Services"))),"Other Services"))</f>
        <v/>
      </c>
    </row>
    <row r="3244" customFormat="false" ht="15" hidden="false" customHeight="false" outlineLevel="0" collapsed="false">
      <c r="E3244" s="41" t="str">
        <f aca="false">IF(D3244="","",IFERROR(VLOOKUP(D3244,Assumptions!$G$5:$H$16,2,0),"Other"))</f>
        <v/>
      </c>
      <c r="J3244" s="41" t="str">
        <f aca="false">IF(G3244="","",IFERROR(IF(ISNUMBER(SEARCH(Assumptions!$C$5,G3244)),Assumptions!$D$5,IF(ISNUMBER(SEARCH(Assumptions!$C$6,G3244)),Assumptions!$D$6,IF(ISNUMBER(SEARCH(Assumptions!$C$7,G3244)),Assumptions!$D$7,"Other Services"))),"Other Services"))</f>
        <v/>
      </c>
    </row>
    <row r="3245" customFormat="false" ht="15" hidden="false" customHeight="false" outlineLevel="0" collapsed="false">
      <c r="E3245" s="41" t="str">
        <f aca="false">IF(D3245="","",IFERROR(VLOOKUP(D3245,Assumptions!$G$5:$H$16,2,0),"Other"))</f>
        <v/>
      </c>
      <c r="J3245" s="41" t="str">
        <f aca="false">IF(G3245="","",IFERROR(IF(ISNUMBER(SEARCH(Assumptions!$C$5,G3245)),Assumptions!$D$5,IF(ISNUMBER(SEARCH(Assumptions!$C$6,G3245)),Assumptions!$D$6,IF(ISNUMBER(SEARCH(Assumptions!$C$7,G3245)),Assumptions!$D$7,"Other Services"))),"Other Services"))</f>
        <v/>
      </c>
    </row>
    <row r="3246" customFormat="false" ht="15" hidden="false" customHeight="false" outlineLevel="0" collapsed="false">
      <c r="E3246" s="41" t="str">
        <f aca="false">IF(D3246="","",IFERROR(VLOOKUP(D3246,Assumptions!$G$5:$H$16,2,0),"Other"))</f>
        <v/>
      </c>
      <c r="J3246" s="41" t="str">
        <f aca="false">IF(G3246="","",IFERROR(IF(ISNUMBER(SEARCH(Assumptions!$C$5,G3246)),Assumptions!$D$5,IF(ISNUMBER(SEARCH(Assumptions!$C$6,G3246)),Assumptions!$D$6,IF(ISNUMBER(SEARCH(Assumptions!$C$7,G3246)),Assumptions!$D$7,"Other Services"))),"Other Services"))</f>
        <v/>
      </c>
    </row>
    <row r="3247" customFormat="false" ht="15" hidden="false" customHeight="false" outlineLevel="0" collapsed="false">
      <c r="E3247" s="41" t="str">
        <f aca="false">IF(D3247="","",IFERROR(VLOOKUP(D3247,Assumptions!$G$5:$H$16,2,0),"Other"))</f>
        <v/>
      </c>
      <c r="J3247" s="41" t="str">
        <f aca="false">IF(G3247="","",IFERROR(IF(ISNUMBER(SEARCH(Assumptions!$C$5,G3247)),Assumptions!$D$5,IF(ISNUMBER(SEARCH(Assumptions!$C$6,G3247)),Assumptions!$D$6,IF(ISNUMBER(SEARCH(Assumptions!$C$7,G3247)),Assumptions!$D$7,"Other Services"))),"Other Services"))</f>
        <v/>
      </c>
    </row>
    <row r="3248" customFormat="false" ht="15" hidden="false" customHeight="false" outlineLevel="0" collapsed="false">
      <c r="E3248" s="41" t="str">
        <f aca="false">IF(D3248="","",IFERROR(VLOOKUP(D3248,Assumptions!$G$5:$H$16,2,0),"Other"))</f>
        <v/>
      </c>
      <c r="J3248" s="41" t="str">
        <f aca="false">IF(G3248="","",IFERROR(IF(ISNUMBER(SEARCH(Assumptions!$C$5,G3248)),Assumptions!$D$5,IF(ISNUMBER(SEARCH(Assumptions!$C$6,G3248)),Assumptions!$D$6,IF(ISNUMBER(SEARCH(Assumptions!$C$7,G3248)),Assumptions!$D$7,"Other Services"))),"Other Services"))</f>
        <v/>
      </c>
    </row>
    <row r="3249" customFormat="false" ht="15" hidden="false" customHeight="false" outlineLevel="0" collapsed="false">
      <c r="E3249" s="41" t="str">
        <f aca="false">IF(D3249="","",IFERROR(VLOOKUP(D3249,Assumptions!$G$5:$H$16,2,0),"Other"))</f>
        <v/>
      </c>
      <c r="J3249" s="41" t="str">
        <f aca="false">IF(G3249="","",IFERROR(IF(ISNUMBER(SEARCH(Assumptions!$C$5,G3249)),Assumptions!$D$5,IF(ISNUMBER(SEARCH(Assumptions!$C$6,G3249)),Assumptions!$D$6,IF(ISNUMBER(SEARCH(Assumptions!$C$7,G3249)),Assumptions!$D$7,"Other Services"))),"Other Services"))</f>
        <v/>
      </c>
    </row>
    <row r="3250" customFormat="false" ht="15" hidden="false" customHeight="false" outlineLevel="0" collapsed="false">
      <c r="E3250" s="41" t="str">
        <f aca="false">IF(D3250="","",IFERROR(VLOOKUP(D3250,Assumptions!$G$5:$H$16,2,0),"Other"))</f>
        <v/>
      </c>
      <c r="J3250" s="41" t="str">
        <f aca="false">IF(G3250="","",IFERROR(IF(ISNUMBER(SEARCH(Assumptions!$C$5,G3250)),Assumptions!$D$5,IF(ISNUMBER(SEARCH(Assumptions!$C$6,G3250)),Assumptions!$D$6,IF(ISNUMBER(SEARCH(Assumptions!$C$7,G3250)),Assumptions!$D$7,"Other Services"))),"Other Services"))</f>
        <v/>
      </c>
    </row>
    <row r="3251" customFormat="false" ht="15" hidden="false" customHeight="false" outlineLevel="0" collapsed="false">
      <c r="E3251" s="41" t="str">
        <f aca="false">IF(D3251="","",IFERROR(VLOOKUP(D3251,Assumptions!$G$5:$H$16,2,0),"Other"))</f>
        <v/>
      </c>
      <c r="J3251" s="41" t="str">
        <f aca="false">IF(G3251="","",IFERROR(IF(ISNUMBER(SEARCH(Assumptions!$C$5,G3251)),Assumptions!$D$5,IF(ISNUMBER(SEARCH(Assumptions!$C$6,G3251)),Assumptions!$D$6,IF(ISNUMBER(SEARCH(Assumptions!$C$7,G3251)),Assumptions!$D$7,"Other Services"))),"Other Services"))</f>
        <v/>
      </c>
    </row>
    <row r="3252" customFormat="false" ht="15" hidden="false" customHeight="false" outlineLevel="0" collapsed="false">
      <c r="E3252" s="41" t="str">
        <f aca="false">IF(D3252="","",IFERROR(VLOOKUP(D3252,Assumptions!$G$5:$H$16,2,0),"Other"))</f>
        <v/>
      </c>
      <c r="J3252" s="41" t="str">
        <f aca="false">IF(G3252="","",IFERROR(IF(ISNUMBER(SEARCH(Assumptions!$C$5,G3252)),Assumptions!$D$5,IF(ISNUMBER(SEARCH(Assumptions!$C$6,G3252)),Assumptions!$D$6,IF(ISNUMBER(SEARCH(Assumptions!$C$7,G3252)),Assumptions!$D$7,"Other Services"))),"Other Services"))</f>
        <v/>
      </c>
    </row>
    <row r="3253" customFormat="false" ht="15" hidden="false" customHeight="false" outlineLevel="0" collapsed="false">
      <c r="E3253" s="41" t="str">
        <f aca="false">IF(D3253="","",IFERROR(VLOOKUP(D3253,Assumptions!$G$5:$H$16,2,0),"Other"))</f>
        <v/>
      </c>
      <c r="J3253" s="41" t="str">
        <f aca="false">IF(G3253="","",IFERROR(IF(ISNUMBER(SEARCH(Assumptions!$C$5,G3253)),Assumptions!$D$5,IF(ISNUMBER(SEARCH(Assumptions!$C$6,G3253)),Assumptions!$D$6,IF(ISNUMBER(SEARCH(Assumptions!$C$7,G3253)),Assumptions!$D$7,"Other Services"))),"Other Services"))</f>
        <v/>
      </c>
    </row>
    <row r="3254" customFormat="false" ht="15" hidden="false" customHeight="false" outlineLevel="0" collapsed="false">
      <c r="E3254" s="41" t="str">
        <f aca="false">IF(D3254="","",IFERROR(VLOOKUP(D3254,Assumptions!$G$5:$H$16,2,0),"Other"))</f>
        <v/>
      </c>
      <c r="J3254" s="41" t="str">
        <f aca="false">IF(G3254="","",IFERROR(IF(ISNUMBER(SEARCH(Assumptions!$C$5,G3254)),Assumptions!$D$5,IF(ISNUMBER(SEARCH(Assumptions!$C$6,G3254)),Assumptions!$D$6,IF(ISNUMBER(SEARCH(Assumptions!$C$7,G3254)),Assumptions!$D$7,"Other Services"))),"Other Services"))</f>
        <v/>
      </c>
    </row>
    <row r="3255" customFormat="false" ht="15" hidden="false" customHeight="false" outlineLevel="0" collapsed="false">
      <c r="E3255" s="41" t="str">
        <f aca="false">IF(D3255="","",IFERROR(VLOOKUP(D3255,Assumptions!$G$5:$H$16,2,0),"Other"))</f>
        <v/>
      </c>
      <c r="J3255" s="41" t="str">
        <f aca="false">IF(G3255="","",IFERROR(IF(ISNUMBER(SEARCH(Assumptions!$C$5,G3255)),Assumptions!$D$5,IF(ISNUMBER(SEARCH(Assumptions!$C$6,G3255)),Assumptions!$D$6,IF(ISNUMBER(SEARCH(Assumptions!$C$7,G3255)),Assumptions!$D$7,"Other Services"))),"Other Services"))</f>
        <v/>
      </c>
    </row>
    <row r="3256" customFormat="false" ht="15" hidden="false" customHeight="false" outlineLevel="0" collapsed="false">
      <c r="E3256" s="41" t="str">
        <f aca="false">IF(D3256="","",IFERROR(VLOOKUP(D3256,Assumptions!$G$5:$H$16,2,0),"Other"))</f>
        <v/>
      </c>
      <c r="J3256" s="41" t="str">
        <f aca="false">IF(G3256="","",IFERROR(IF(ISNUMBER(SEARCH(Assumptions!$C$5,G3256)),Assumptions!$D$5,IF(ISNUMBER(SEARCH(Assumptions!$C$6,G3256)),Assumptions!$D$6,IF(ISNUMBER(SEARCH(Assumptions!$C$7,G3256)),Assumptions!$D$7,"Other Services"))),"Other Services"))</f>
        <v/>
      </c>
    </row>
    <row r="3257" customFormat="false" ht="15" hidden="false" customHeight="false" outlineLevel="0" collapsed="false">
      <c r="E3257" s="41" t="str">
        <f aca="false">IF(D3257="","",IFERROR(VLOOKUP(D3257,Assumptions!$G$5:$H$16,2,0),"Other"))</f>
        <v/>
      </c>
      <c r="J3257" s="41" t="str">
        <f aca="false">IF(G3257="","",IFERROR(IF(ISNUMBER(SEARCH(Assumptions!$C$5,G3257)),Assumptions!$D$5,IF(ISNUMBER(SEARCH(Assumptions!$C$6,G3257)),Assumptions!$D$6,IF(ISNUMBER(SEARCH(Assumptions!$C$7,G3257)),Assumptions!$D$7,"Other Services"))),"Other Services"))</f>
        <v/>
      </c>
    </row>
    <row r="3258" customFormat="false" ht="15" hidden="false" customHeight="false" outlineLevel="0" collapsed="false">
      <c r="E3258" s="41" t="str">
        <f aca="false">IF(D3258="","",IFERROR(VLOOKUP(D3258,Assumptions!$G$5:$H$16,2,0),"Other"))</f>
        <v/>
      </c>
      <c r="J3258" s="41" t="str">
        <f aca="false">IF(G3258="","",IFERROR(IF(ISNUMBER(SEARCH(Assumptions!$C$5,G3258)),Assumptions!$D$5,IF(ISNUMBER(SEARCH(Assumptions!$C$6,G3258)),Assumptions!$D$6,IF(ISNUMBER(SEARCH(Assumptions!$C$7,G3258)),Assumptions!$D$7,"Other Services"))),"Other Services"))</f>
        <v/>
      </c>
    </row>
    <row r="3259" customFormat="false" ht="15" hidden="false" customHeight="false" outlineLevel="0" collapsed="false">
      <c r="E3259" s="41" t="str">
        <f aca="false">IF(D3259="","",IFERROR(VLOOKUP(D3259,Assumptions!$G$5:$H$16,2,0),"Other"))</f>
        <v/>
      </c>
      <c r="J3259" s="41" t="str">
        <f aca="false">IF(G3259="","",IFERROR(IF(ISNUMBER(SEARCH(Assumptions!$C$5,G3259)),Assumptions!$D$5,IF(ISNUMBER(SEARCH(Assumptions!$C$6,G3259)),Assumptions!$D$6,IF(ISNUMBER(SEARCH(Assumptions!$C$7,G3259)),Assumptions!$D$7,"Other Services"))),"Other Services"))</f>
        <v/>
      </c>
    </row>
    <row r="3260" customFormat="false" ht="15" hidden="false" customHeight="false" outlineLevel="0" collapsed="false">
      <c r="E3260" s="41" t="str">
        <f aca="false">IF(D3260="","",IFERROR(VLOOKUP(D3260,Assumptions!$G$5:$H$16,2,0),"Other"))</f>
        <v/>
      </c>
      <c r="J3260" s="41" t="str">
        <f aca="false">IF(G3260="","",IFERROR(IF(ISNUMBER(SEARCH(Assumptions!$C$5,G3260)),Assumptions!$D$5,IF(ISNUMBER(SEARCH(Assumptions!$C$6,G3260)),Assumptions!$D$6,IF(ISNUMBER(SEARCH(Assumptions!$C$7,G3260)),Assumptions!$D$7,"Other Services"))),"Other Services"))</f>
        <v/>
      </c>
    </row>
    <row r="3261" customFormat="false" ht="15" hidden="false" customHeight="false" outlineLevel="0" collapsed="false">
      <c r="E3261" s="41" t="str">
        <f aca="false">IF(D3261="","",IFERROR(VLOOKUP(D3261,Assumptions!$G$5:$H$16,2,0),"Other"))</f>
        <v/>
      </c>
      <c r="J3261" s="41" t="str">
        <f aca="false">IF(G3261="","",IFERROR(IF(ISNUMBER(SEARCH(Assumptions!$C$5,G3261)),Assumptions!$D$5,IF(ISNUMBER(SEARCH(Assumptions!$C$6,G3261)),Assumptions!$D$6,IF(ISNUMBER(SEARCH(Assumptions!$C$7,G3261)),Assumptions!$D$7,"Other Services"))),"Other Services"))</f>
        <v/>
      </c>
    </row>
    <row r="3262" customFormat="false" ht="15" hidden="false" customHeight="false" outlineLevel="0" collapsed="false">
      <c r="E3262" s="41" t="str">
        <f aca="false">IF(D3262="","",IFERROR(VLOOKUP(D3262,Assumptions!$G$5:$H$16,2,0),"Other"))</f>
        <v/>
      </c>
      <c r="J3262" s="41" t="str">
        <f aca="false">IF(G3262="","",IFERROR(IF(ISNUMBER(SEARCH(Assumptions!$C$5,G3262)),Assumptions!$D$5,IF(ISNUMBER(SEARCH(Assumptions!$C$6,G3262)),Assumptions!$D$6,IF(ISNUMBER(SEARCH(Assumptions!$C$7,G3262)),Assumptions!$D$7,"Other Services"))),"Other Services"))</f>
        <v/>
      </c>
    </row>
    <row r="3263" customFormat="false" ht="15" hidden="false" customHeight="false" outlineLevel="0" collapsed="false">
      <c r="E3263" s="41" t="str">
        <f aca="false">IF(D3263="","",IFERROR(VLOOKUP(D3263,Assumptions!$G$5:$H$16,2,0),"Other"))</f>
        <v/>
      </c>
      <c r="J3263" s="41" t="str">
        <f aca="false">IF(G3263="","",IFERROR(IF(ISNUMBER(SEARCH(Assumptions!$C$5,G3263)),Assumptions!$D$5,IF(ISNUMBER(SEARCH(Assumptions!$C$6,G3263)),Assumptions!$D$6,IF(ISNUMBER(SEARCH(Assumptions!$C$7,G3263)),Assumptions!$D$7,"Other Services"))),"Other Services"))</f>
        <v/>
      </c>
    </row>
    <row r="3264" customFormat="false" ht="15" hidden="false" customHeight="false" outlineLevel="0" collapsed="false">
      <c r="E3264" s="41" t="str">
        <f aca="false">IF(D3264="","",IFERROR(VLOOKUP(D3264,Assumptions!$G$5:$H$16,2,0),"Other"))</f>
        <v/>
      </c>
      <c r="J3264" s="41" t="str">
        <f aca="false">IF(G3264="","",IFERROR(IF(ISNUMBER(SEARCH(Assumptions!$C$5,G3264)),Assumptions!$D$5,IF(ISNUMBER(SEARCH(Assumptions!$C$6,G3264)),Assumptions!$D$6,IF(ISNUMBER(SEARCH(Assumptions!$C$7,G3264)),Assumptions!$D$7,"Other Services"))),"Other Services"))</f>
        <v/>
      </c>
    </row>
    <row r="3265" customFormat="false" ht="15" hidden="false" customHeight="false" outlineLevel="0" collapsed="false">
      <c r="E3265" s="41" t="str">
        <f aca="false">IF(D3265="","",IFERROR(VLOOKUP(D3265,Assumptions!$G$5:$H$16,2,0),"Other"))</f>
        <v/>
      </c>
      <c r="J3265" s="41" t="str">
        <f aca="false">IF(G3265="","",IFERROR(IF(ISNUMBER(SEARCH(Assumptions!$C$5,G3265)),Assumptions!$D$5,IF(ISNUMBER(SEARCH(Assumptions!$C$6,G3265)),Assumptions!$D$6,IF(ISNUMBER(SEARCH(Assumptions!$C$7,G3265)),Assumptions!$D$7,"Other Services"))),"Other Services"))</f>
        <v/>
      </c>
    </row>
    <row r="3266" customFormat="false" ht="15" hidden="false" customHeight="false" outlineLevel="0" collapsed="false">
      <c r="E3266" s="41" t="str">
        <f aca="false">IF(D3266="","",IFERROR(VLOOKUP(D3266,Assumptions!$G$5:$H$16,2,0),"Other"))</f>
        <v/>
      </c>
      <c r="J3266" s="41" t="str">
        <f aca="false">IF(G3266="","",IFERROR(IF(ISNUMBER(SEARCH(Assumptions!$C$5,G3266)),Assumptions!$D$5,IF(ISNUMBER(SEARCH(Assumptions!$C$6,G3266)),Assumptions!$D$6,IF(ISNUMBER(SEARCH(Assumptions!$C$7,G3266)),Assumptions!$D$7,"Other Services"))),"Other Services"))</f>
        <v/>
      </c>
    </row>
    <row r="3267" customFormat="false" ht="15" hidden="false" customHeight="false" outlineLevel="0" collapsed="false">
      <c r="E3267" s="41" t="str">
        <f aca="false">IF(D3267="","",IFERROR(VLOOKUP(D3267,Assumptions!$G$5:$H$16,2,0),"Other"))</f>
        <v/>
      </c>
      <c r="J3267" s="41" t="str">
        <f aca="false">IF(G3267="","",IFERROR(IF(ISNUMBER(SEARCH(Assumptions!$C$5,G3267)),Assumptions!$D$5,IF(ISNUMBER(SEARCH(Assumptions!$C$6,G3267)),Assumptions!$D$6,IF(ISNUMBER(SEARCH(Assumptions!$C$7,G3267)),Assumptions!$D$7,"Other Services"))),"Other Services"))</f>
        <v/>
      </c>
    </row>
    <row r="3268" customFormat="false" ht="15" hidden="false" customHeight="false" outlineLevel="0" collapsed="false">
      <c r="E3268" s="41" t="str">
        <f aca="false">IF(D3268="","",IFERROR(VLOOKUP(D3268,Assumptions!$G$5:$H$16,2,0),"Other"))</f>
        <v/>
      </c>
      <c r="J3268" s="41" t="str">
        <f aca="false">IF(G3268="","",IFERROR(IF(ISNUMBER(SEARCH(Assumptions!$C$5,G3268)),Assumptions!$D$5,IF(ISNUMBER(SEARCH(Assumptions!$C$6,G3268)),Assumptions!$D$6,IF(ISNUMBER(SEARCH(Assumptions!$C$7,G3268)),Assumptions!$D$7,"Other Services"))),"Other Services"))</f>
        <v/>
      </c>
    </row>
    <row r="3269" customFormat="false" ht="15" hidden="false" customHeight="false" outlineLevel="0" collapsed="false">
      <c r="E3269" s="41" t="str">
        <f aca="false">IF(D3269="","",IFERROR(VLOOKUP(D3269,Assumptions!$G$5:$H$16,2,0),"Other"))</f>
        <v/>
      </c>
      <c r="J3269" s="41" t="str">
        <f aca="false">IF(G3269="","",IFERROR(IF(ISNUMBER(SEARCH(Assumptions!$C$5,G3269)),Assumptions!$D$5,IF(ISNUMBER(SEARCH(Assumptions!$C$6,G3269)),Assumptions!$D$6,IF(ISNUMBER(SEARCH(Assumptions!$C$7,G3269)),Assumptions!$D$7,"Other Services"))),"Other Services"))</f>
        <v/>
      </c>
    </row>
    <row r="3270" customFormat="false" ht="15" hidden="false" customHeight="false" outlineLevel="0" collapsed="false">
      <c r="E3270" s="41" t="str">
        <f aca="false">IF(D3270="","",IFERROR(VLOOKUP(D3270,Assumptions!$G$5:$H$16,2,0),"Other"))</f>
        <v/>
      </c>
      <c r="J3270" s="41" t="str">
        <f aca="false">IF(G3270="","",IFERROR(IF(ISNUMBER(SEARCH(Assumptions!$C$5,G3270)),Assumptions!$D$5,IF(ISNUMBER(SEARCH(Assumptions!$C$6,G3270)),Assumptions!$D$6,IF(ISNUMBER(SEARCH(Assumptions!$C$7,G3270)),Assumptions!$D$7,"Other Services"))),"Other Services"))</f>
        <v/>
      </c>
    </row>
    <row r="3271" customFormat="false" ht="15" hidden="false" customHeight="false" outlineLevel="0" collapsed="false">
      <c r="E3271" s="41" t="str">
        <f aca="false">IF(D3271="","",IFERROR(VLOOKUP(D3271,Assumptions!$G$5:$H$16,2,0),"Other"))</f>
        <v/>
      </c>
      <c r="J3271" s="41" t="str">
        <f aca="false">IF(G3271="","",IFERROR(IF(ISNUMBER(SEARCH(Assumptions!$C$5,G3271)),Assumptions!$D$5,IF(ISNUMBER(SEARCH(Assumptions!$C$6,G3271)),Assumptions!$D$6,IF(ISNUMBER(SEARCH(Assumptions!$C$7,G3271)),Assumptions!$D$7,"Other Services"))),"Other Services"))</f>
        <v/>
      </c>
    </row>
    <row r="3272" customFormat="false" ht="15" hidden="false" customHeight="false" outlineLevel="0" collapsed="false">
      <c r="E3272" s="41" t="str">
        <f aca="false">IF(D3272="","",IFERROR(VLOOKUP(D3272,Assumptions!$G$5:$H$16,2,0),"Other"))</f>
        <v/>
      </c>
      <c r="J3272" s="41" t="str">
        <f aca="false">IF(G3272="","",IFERROR(IF(ISNUMBER(SEARCH(Assumptions!$C$5,G3272)),Assumptions!$D$5,IF(ISNUMBER(SEARCH(Assumptions!$C$6,G3272)),Assumptions!$D$6,IF(ISNUMBER(SEARCH(Assumptions!$C$7,G3272)),Assumptions!$D$7,"Other Services"))),"Other Services"))</f>
        <v/>
      </c>
    </row>
    <row r="3273" customFormat="false" ht="15" hidden="false" customHeight="false" outlineLevel="0" collapsed="false">
      <c r="E3273" s="41" t="str">
        <f aca="false">IF(D3273="","",IFERROR(VLOOKUP(D3273,Assumptions!$G$5:$H$16,2,0),"Other"))</f>
        <v/>
      </c>
      <c r="J3273" s="41" t="str">
        <f aca="false">IF(G3273="","",IFERROR(IF(ISNUMBER(SEARCH(Assumptions!$C$5,G3273)),Assumptions!$D$5,IF(ISNUMBER(SEARCH(Assumptions!$C$6,G3273)),Assumptions!$D$6,IF(ISNUMBER(SEARCH(Assumptions!$C$7,G3273)),Assumptions!$D$7,"Other Services"))),"Other Services"))</f>
        <v/>
      </c>
    </row>
    <row r="3274" customFormat="false" ht="15" hidden="false" customHeight="false" outlineLevel="0" collapsed="false">
      <c r="E3274" s="41" t="str">
        <f aca="false">IF(D3274="","",IFERROR(VLOOKUP(D3274,Assumptions!$G$5:$H$16,2,0),"Other"))</f>
        <v/>
      </c>
      <c r="J3274" s="41" t="str">
        <f aca="false">IF(G3274="","",IFERROR(IF(ISNUMBER(SEARCH(Assumptions!$C$5,G3274)),Assumptions!$D$5,IF(ISNUMBER(SEARCH(Assumptions!$C$6,G3274)),Assumptions!$D$6,IF(ISNUMBER(SEARCH(Assumptions!$C$7,G3274)),Assumptions!$D$7,"Other Services"))),"Other Services"))</f>
        <v/>
      </c>
    </row>
    <row r="3275" customFormat="false" ht="15" hidden="false" customHeight="false" outlineLevel="0" collapsed="false">
      <c r="E3275" s="41" t="str">
        <f aca="false">IF(D3275="","",IFERROR(VLOOKUP(D3275,Assumptions!$G$5:$H$16,2,0),"Other"))</f>
        <v/>
      </c>
      <c r="J3275" s="41" t="str">
        <f aca="false">IF(G3275="","",IFERROR(IF(ISNUMBER(SEARCH(Assumptions!$C$5,G3275)),Assumptions!$D$5,IF(ISNUMBER(SEARCH(Assumptions!$C$6,G3275)),Assumptions!$D$6,IF(ISNUMBER(SEARCH(Assumptions!$C$7,G3275)),Assumptions!$D$7,"Other Services"))),"Other Services"))</f>
        <v/>
      </c>
    </row>
    <row r="3276" customFormat="false" ht="15" hidden="false" customHeight="false" outlineLevel="0" collapsed="false">
      <c r="E3276" s="41" t="str">
        <f aca="false">IF(D3276="","",IFERROR(VLOOKUP(D3276,Assumptions!$G$5:$H$16,2,0),"Other"))</f>
        <v/>
      </c>
      <c r="J3276" s="41" t="str">
        <f aca="false">IF(G3276="","",IFERROR(IF(ISNUMBER(SEARCH(Assumptions!$C$5,G3276)),Assumptions!$D$5,IF(ISNUMBER(SEARCH(Assumptions!$C$6,G3276)),Assumptions!$D$6,IF(ISNUMBER(SEARCH(Assumptions!$C$7,G3276)),Assumptions!$D$7,"Other Services"))),"Other Services"))</f>
        <v/>
      </c>
    </row>
    <row r="3277" customFormat="false" ht="15" hidden="false" customHeight="false" outlineLevel="0" collapsed="false">
      <c r="E3277" s="41" t="str">
        <f aca="false">IF(D3277="","",IFERROR(VLOOKUP(D3277,Assumptions!$G$5:$H$16,2,0),"Other"))</f>
        <v/>
      </c>
      <c r="J3277" s="41" t="str">
        <f aca="false">IF(G3277="","",IFERROR(IF(ISNUMBER(SEARCH(Assumptions!$C$5,G3277)),Assumptions!$D$5,IF(ISNUMBER(SEARCH(Assumptions!$C$6,G3277)),Assumptions!$D$6,IF(ISNUMBER(SEARCH(Assumptions!$C$7,G3277)),Assumptions!$D$7,"Other Services"))),"Other Services"))</f>
        <v/>
      </c>
    </row>
    <row r="3278" customFormat="false" ht="15" hidden="false" customHeight="false" outlineLevel="0" collapsed="false">
      <c r="E3278" s="41" t="str">
        <f aca="false">IF(D3278="","",IFERROR(VLOOKUP(D3278,Assumptions!$G$5:$H$16,2,0),"Other"))</f>
        <v/>
      </c>
      <c r="J3278" s="41" t="str">
        <f aca="false">IF(G3278="","",IFERROR(IF(ISNUMBER(SEARCH(Assumptions!$C$5,G3278)),Assumptions!$D$5,IF(ISNUMBER(SEARCH(Assumptions!$C$6,G3278)),Assumptions!$D$6,IF(ISNUMBER(SEARCH(Assumptions!$C$7,G3278)),Assumptions!$D$7,"Other Services"))),"Other Services"))</f>
        <v/>
      </c>
    </row>
    <row r="3279" customFormat="false" ht="15" hidden="false" customHeight="false" outlineLevel="0" collapsed="false">
      <c r="E3279" s="41" t="str">
        <f aca="false">IF(D3279="","",IFERROR(VLOOKUP(D3279,Assumptions!$G$5:$H$16,2,0),"Other"))</f>
        <v/>
      </c>
      <c r="J3279" s="41" t="str">
        <f aca="false">IF(G3279="","",IFERROR(IF(ISNUMBER(SEARCH(Assumptions!$C$5,G3279)),Assumptions!$D$5,IF(ISNUMBER(SEARCH(Assumptions!$C$6,G3279)),Assumptions!$D$6,IF(ISNUMBER(SEARCH(Assumptions!$C$7,G3279)),Assumptions!$D$7,"Other Services"))),"Other Services"))</f>
        <v/>
      </c>
    </row>
    <row r="3280" customFormat="false" ht="15" hidden="false" customHeight="false" outlineLevel="0" collapsed="false">
      <c r="E3280" s="41" t="str">
        <f aca="false">IF(D3280="","",IFERROR(VLOOKUP(D3280,Assumptions!$G$5:$H$16,2,0),"Other"))</f>
        <v/>
      </c>
      <c r="J3280" s="41" t="str">
        <f aca="false">IF(G3280="","",IFERROR(IF(ISNUMBER(SEARCH(Assumptions!$C$5,G3280)),Assumptions!$D$5,IF(ISNUMBER(SEARCH(Assumptions!$C$6,G3280)),Assumptions!$D$6,IF(ISNUMBER(SEARCH(Assumptions!$C$7,G3280)),Assumptions!$D$7,"Other Services"))),"Other Services"))</f>
        <v/>
      </c>
    </row>
    <row r="3281" customFormat="false" ht="15" hidden="false" customHeight="false" outlineLevel="0" collapsed="false">
      <c r="E3281" s="41" t="str">
        <f aca="false">IF(D3281="","",IFERROR(VLOOKUP(D3281,Assumptions!$G$5:$H$16,2,0),"Other"))</f>
        <v/>
      </c>
      <c r="J3281" s="41" t="str">
        <f aca="false">IF(G3281="","",IFERROR(IF(ISNUMBER(SEARCH(Assumptions!$C$5,G3281)),Assumptions!$D$5,IF(ISNUMBER(SEARCH(Assumptions!$C$6,G3281)),Assumptions!$D$6,IF(ISNUMBER(SEARCH(Assumptions!$C$7,G3281)),Assumptions!$D$7,"Other Services"))),"Other Services"))</f>
        <v/>
      </c>
    </row>
    <row r="3282" customFormat="false" ht="15" hidden="false" customHeight="false" outlineLevel="0" collapsed="false">
      <c r="E3282" s="41" t="str">
        <f aca="false">IF(D3282="","",IFERROR(VLOOKUP(D3282,Assumptions!$G$5:$H$16,2,0),"Other"))</f>
        <v/>
      </c>
      <c r="J3282" s="41" t="str">
        <f aca="false">IF(G3282="","",IFERROR(IF(ISNUMBER(SEARCH(Assumptions!$C$5,G3282)),Assumptions!$D$5,IF(ISNUMBER(SEARCH(Assumptions!$C$6,G3282)),Assumptions!$D$6,IF(ISNUMBER(SEARCH(Assumptions!$C$7,G3282)),Assumptions!$D$7,"Other Services"))),"Other Services"))</f>
        <v/>
      </c>
    </row>
    <row r="3283" customFormat="false" ht="15" hidden="false" customHeight="false" outlineLevel="0" collapsed="false">
      <c r="E3283" s="41" t="str">
        <f aca="false">IF(D3283="","",IFERROR(VLOOKUP(D3283,Assumptions!$G$5:$H$16,2,0),"Other"))</f>
        <v/>
      </c>
      <c r="J3283" s="41" t="str">
        <f aca="false">IF(G3283="","",IFERROR(IF(ISNUMBER(SEARCH(Assumptions!$C$5,G3283)),Assumptions!$D$5,IF(ISNUMBER(SEARCH(Assumptions!$C$6,G3283)),Assumptions!$D$6,IF(ISNUMBER(SEARCH(Assumptions!$C$7,G3283)),Assumptions!$D$7,"Other Services"))),"Other Services"))</f>
        <v/>
      </c>
    </row>
    <row r="3284" customFormat="false" ht="15" hidden="false" customHeight="false" outlineLevel="0" collapsed="false">
      <c r="E3284" s="41" t="str">
        <f aca="false">IF(D3284="","",IFERROR(VLOOKUP(D3284,Assumptions!$G$5:$H$16,2,0),"Other"))</f>
        <v/>
      </c>
      <c r="J3284" s="41" t="str">
        <f aca="false">IF(G3284="","",IFERROR(IF(ISNUMBER(SEARCH(Assumptions!$C$5,G3284)),Assumptions!$D$5,IF(ISNUMBER(SEARCH(Assumptions!$C$6,G3284)),Assumptions!$D$6,IF(ISNUMBER(SEARCH(Assumptions!$C$7,G3284)),Assumptions!$D$7,"Other Services"))),"Other Services"))</f>
        <v/>
      </c>
    </row>
    <row r="3285" customFormat="false" ht="15" hidden="false" customHeight="false" outlineLevel="0" collapsed="false">
      <c r="E3285" s="41" t="str">
        <f aca="false">IF(D3285="","",IFERROR(VLOOKUP(D3285,Assumptions!$G$5:$H$16,2,0),"Other"))</f>
        <v/>
      </c>
      <c r="J3285" s="41" t="str">
        <f aca="false">IF(G3285="","",IFERROR(IF(ISNUMBER(SEARCH(Assumptions!$C$5,G3285)),Assumptions!$D$5,IF(ISNUMBER(SEARCH(Assumptions!$C$6,G3285)),Assumptions!$D$6,IF(ISNUMBER(SEARCH(Assumptions!$C$7,G3285)),Assumptions!$D$7,"Other Services"))),"Other Services"))</f>
        <v/>
      </c>
    </row>
    <row r="3286" customFormat="false" ht="15" hidden="false" customHeight="false" outlineLevel="0" collapsed="false">
      <c r="E3286" s="41" t="str">
        <f aca="false">IF(D3286="","",IFERROR(VLOOKUP(D3286,Assumptions!$G$5:$H$16,2,0),"Other"))</f>
        <v/>
      </c>
      <c r="J3286" s="41" t="str">
        <f aca="false">IF(G3286="","",IFERROR(IF(ISNUMBER(SEARCH(Assumptions!$C$5,G3286)),Assumptions!$D$5,IF(ISNUMBER(SEARCH(Assumptions!$C$6,G3286)),Assumptions!$D$6,IF(ISNUMBER(SEARCH(Assumptions!$C$7,G3286)),Assumptions!$D$7,"Other Services"))),"Other Services"))</f>
        <v/>
      </c>
    </row>
    <row r="3287" customFormat="false" ht="15" hidden="false" customHeight="false" outlineLevel="0" collapsed="false">
      <c r="E3287" s="41" t="str">
        <f aca="false">IF(D3287="","",IFERROR(VLOOKUP(D3287,Assumptions!$G$5:$H$16,2,0),"Other"))</f>
        <v/>
      </c>
      <c r="J3287" s="41" t="str">
        <f aca="false">IF(G3287="","",IFERROR(IF(ISNUMBER(SEARCH(Assumptions!$C$5,G3287)),Assumptions!$D$5,IF(ISNUMBER(SEARCH(Assumptions!$C$6,G3287)),Assumptions!$D$6,IF(ISNUMBER(SEARCH(Assumptions!$C$7,G3287)),Assumptions!$D$7,"Other Services"))),"Other Services"))</f>
        <v/>
      </c>
    </row>
    <row r="3288" customFormat="false" ht="15" hidden="false" customHeight="false" outlineLevel="0" collapsed="false">
      <c r="E3288" s="41" t="str">
        <f aca="false">IF(D3288="","",IFERROR(VLOOKUP(D3288,Assumptions!$G$5:$H$16,2,0),"Other"))</f>
        <v/>
      </c>
      <c r="J3288" s="41" t="str">
        <f aca="false">IF(G3288="","",IFERROR(IF(ISNUMBER(SEARCH(Assumptions!$C$5,G3288)),Assumptions!$D$5,IF(ISNUMBER(SEARCH(Assumptions!$C$6,G3288)),Assumptions!$D$6,IF(ISNUMBER(SEARCH(Assumptions!$C$7,G3288)),Assumptions!$D$7,"Other Services"))),"Other Services"))</f>
        <v/>
      </c>
    </row>
    <row r="3289" customFormat="false" ht="15" hidden="false" customHeight="false" outlineLevel="0" collapsed="false">
      <c r="E3289" s="41" t="str">
        <f aca="false">IF(D3289="","",IFERROR(VLOOKUP(D3289,Assumptions!$G$5:$H$16,2,0),"Other"))</f>
        <v/>
      </c>
      <c r="J3289" s="41" t="str">
        <f aca="false">IF(G3289="","",IFERROR(IF(ISNUMBER(SEARCH(Assumptions!$C$5,G3289)),Assumptions!$D$5,IF(ISNUMBER(SEARCH(Assumptions!$C$6,G3289)),Assumptions!$D$6,IF(ISNUMBER(SEARCH(Assumptions!$C$7,G3289)),Assumptions!$D$7,"Other Services"))),"Other Services"))</f>
        <v/>
      </c>
    </row>
    <row r="3290" customFormat="false" ht="15" hidden="false" customHeight="false" outlineLevel="0" collapsed="false">
      <c r="E3290" s="41" t="str">
        <f aca="false">IF(D3290="","",IFERROR(VLOOKUP(D3290,Assumptions!$G$5:$H$16,2,0),"Other"))</f>
        <v/>
      </c>
      <c r="J3290" s="41" t="str">
        <f aca="false">IF(G3290="","",IFERROR(IF(ISNUMBER(SEARCH(Assumptions!$C$5,G3290)),Assumptions!$D$5,IF(ISNUMBER(SEARCH(Assumptions!$C$6,G3290)),Assumptions!$D$6,IF(ISNUMBER(SEARCH(Assumptions!$C$7,G3290)),Assumptions!$D$7,"Other Services"))),"Other Services"))</f>
        <v/>
      </c>
    </row>
    <row r="3291" customFormat="false" ht="15" hidden="false" customHeight="false" outlineLevel="0" collapsed="false">
      <c r="E3291" s="41" t="str">
        <f aca="false">IF(D3291="","",IFERROR(VLOOKUP(D3291,Assumptions!$G$5:$H$16,2,0),"Other"))</f>
        <v/>
      </c>
      <c r="J3291" s="41" t="str">
        <f aca="false">IF(G3291="","",IFERROR(IF(ISNUMBER(SEARCH(Assumptions!$C$5,G3291)),Assumptions!$D$5,IF(ISNUMBER(SEARCH(Assumptions!$C$6,G3291)),Assumptions!$D$6,IF(ISNUMBER(SEARCH(Assumptions!$C$7,G3291)),Assumptions!$D$7,"Other Services"))),"Other Services"))</f>
        <v/>
      </c>
    </row>
    <row r="3292" customFormat="false" ht="15" hidden="false" customHeight="false" outlineLevel="0" collapsed="false">
      <c r="E3292" s="41" t="str">
        <f aca="false">IF(D3292="","",IFERROR(VLOOKUP(D3292,Assumptions!$G$5:$H$16,2,0),"Other"))</f>
        <v/>
      </c>
      <c r="J3292" s="41" t="str">
        <f aca="false">IF(G3292="","",IFERROR(IF(ISNUMBER(SEARCH(Assumptions!$C$5,G3292)),Assumptions!$D$5,IF(ISNUMBER(SEARCH(Assumptions!$C$6,G3292)),Assumptions!$D$6,IF(ISNUMBER(SEARCH(Assumptions!$C$7,G3292)),Assumptions!$D$7,"Other Services"))),"Other Services"))</f>
        <v/>
      </c>
    </row>
    <row r="3293" customFormat="false" ht="15" hidden="false" customHeight="false" outlineLevel="0" collapsed="false">
      <c r="E3293" s="41" t="str">
        <f aca="false">IF(D3293="","",IFERROR(VLOOKUP(D3293,Assumptions!$G$5:$H$16,2,0),"Other"))</f>
        <v/>
      </c>
      <c r="J3293" s="41" t="str">
        <f aca="false">IF(G3293="","",IFERROR(IF(ISNUMBER(SEARCH(Assumptions!$C$5,G3293)),Assumptions!$D$5,IF(ISNUMBER(SEARCH(Assumptions!$C$6,G3293)),Assumptions!$D$6,IF(ISNUMBER(SEARCH(Assumptions!$C$7,G3293)),Assumptions!$D$7,"Other Services"))),"Other Services"))</f>
        <v/>
      </c>
    </row>
    <row r="3294" customFormat="false" ht="15" hidden="false" customHeight="false" outlineLevel="0" collapsed="false">
      <c r="E3294" s="41" t="str">
        <f aca="false">IF(D3294="","",IFERROR(VLOOKUP(D3294,Assumptions!$G$5:$H$16,2,0),"Other"))</f>
        <v/>
      </c>
      <c r="J3294" s="41" t="str">
        <f aca="false">IF(G3294="","",IFERROR(IF(ISNUMBER(SEARCH(Assumptions!$C$5,G3294)),Assumptions!$D$5,IF(ISNUMBER(SEARCH(Assumptions!$C$6,G3294)),Assumptions!$D$6,IF(ISNUMBER(SEARCH(Assumptions!$C$7,G3294)),Assumptions!$D$7,"Other Services"))),"Other Services"))</f>
        <v/>
      </c>
    </row>
    <row r="3295" customFormat="false" ht="15" hidden="false" customHeight="false" outlineLevel="0" collapsed="false">
      <c r="E3295" s="41" t="str">
        <f aca="false">IF(D3295="","",IFERROR(VLOOKUP(D3295,Assumptions!$G$5:$H$16,2,0),"Other"))</f>
        <v/>
      </c>
      <c r="J3295" s="41" t="str">
        <f aca="false">IF(G3295="","",IFERROR(IF(ISNUMBER(SEARCH(Assumptions!$C$5,G3295)),Assumptions!$D$5,IF(ISNUMBER(SEARCH(Assumptions!$C$6,G3295)),Assumptions!$D$6,IF(ISNUMBER(SEARCH(Assumptions!$C$7,G3295)),Assumptions!$D$7,"Other Services"))),"Other Services"))</f>
        <v/>
      </c>
    </row>
    <row r="3296" customFormat="false" ht="15" hidden="false" customHeight="false" outlineLevel="0" collapsed="false">
      <c r="E3296" s="41" t="str">
        <f aca="false">IF(D3296="","",IFERROR(VLOOKUP(D3296,Assumptions!$G$5:$H$16,2,0),"Other"))</f>
        <v/>
      </c>
      <c r="J3296" s="41" t="str">
        <f aca="false">IF(G3296="","",IFERROR(IF(ISNUMBER(SEARCH(Assumptions!$C$5,G3296)),Assumptions!$D$5,IF(ISNUMBER(SEARCH(Assumptions!$C$6,G3296)),Assumptions!$D$6,IF(ISNUMBER(SEARCH(Assumptions!$C$7,G3296)),Assumptions!$D$7,"Other Services"))),"Other Services"))</f>
        <v/>
      </c>
    </row>
    <row r="3297" customFormat="false" ht="15" hidden="false" customHeight="false" outlineLevel="0" collapsed="false">
      <c r="E3297" s="41" t="str">
        <f aca="false">IF(D3297="","",IFERROR(VLOOKUP(D3297,Assumptions!$G$5:$H$16,2,0),"Other"))</f>
        <v/>
      </c>
      <c r="J3297" s="41" t="str">
        <f aca="false">IF(G3297="","",IFERROR(IF(ISNUMBER(SEARCH(Assumptions!$C$5,G3297)),Assumptions!$D$5,IF(ISNUMBER(SEARCH(Assumptions!$C$6,G3297)),Assumptions!$D$6,IF(ISNUMBER(SEARCH(Assumptions!$C$7,G3297)),Assumptions!$D$7,"Other Services"))),"Other Services"))</f>
        <v/>
      </c>
    </row>
    <row r="3298" customFormat="false" ht="15" hidden="false" customHeight="false" outlineLevel="0" collapsed="false">
      <c r="E3298" s="41" t="str">
        <f aca="false">IF(D3298="","",IFERROR(VLOOKUP(D3298,Assumptions!$G$5:$H$16,2,0),"Other"))</f>
        <v/>
      </c>
      <c r="J3298" s="41" t="str">
        <f aca="false">IF(G3298="","",IFERROR(IF(ISNUMBER(SEARCH(Assumptions!$C$5,G3298)),Assumptions!$D$5,IF(ISNUMBER(SEARCH(Assumptions!$C$6,G3298)),Assumptions!$D$6,IF(ISNUMBER(SEARCH(Assumptions!$C$7,G3298)),Assumptions!$D$7,"Other Services"))),"Other Services"))</f>
        <v/>
      </c>
    </row>
    <row r="3299" customFormat="false" ht="15" hidden="false" customHeight="false" outlineLevel="0" collapsed="false">
      <c r="E3299" s="41" t="str">
        <f aca="false">IF(D3299="","",IFERROR(VLOOKUP(D3299,Assumptions!$G$5:$H$16,2,0),"Other"))</f>
        <v/>
      </c>
      <c r="J3299" s="41" t="str">
        <f aca="false">IF(G3299="","",IFERROR(IF(ISNUMBER(SEARCH(Assumptions!$C$5,G3299)),Assumptions!$D$5,IF(ISNUMBER(SEARCH(Assumptions!$C$6,G3299)),Assumptions!$D$6,IF(ISNUMBER(SEARCH(Assumptions!$C$7,G3299)),Assumptions!$D$7,"Other Services"))),"Other Services"))</f>
        <v/>
      </c>
    </row>
    <row r="3300" customFormat="false" ht="15" hidden="false" customHeight="false" outlineLevel="0" collapsed="false">
      <c r="E3300" s="41" t="str">
        <f aca="false">IF(D3300="","",IFERROR(VLOOKUP(D3300,Assumptions!$G$5:$H$16,2,0),"Other"))</f>
        <v/>
      </c>
      <c r="J3300" s="41" t="str">
        <f aca="false">IF(G3300="","",IFERROR(IF(ISNUMBER(SEARCH(Assumptions!$C$5,G3300)),Assumptions!$D$5,IF(ISNUMBER(SEARCH(Assumptions!$C$6,G3300)),Assumptions!$D$6,IF(ISNUMBER(SEARCH(Assumptions!$C$7,G3300)),Assumptions!$D$7,"Other Services"))),"Other Services"))</f>
        <v/>
      </c>
    </row>
    <row r="3301" customFormat="false" ht="15" hidden="false" customHeight="false" outlineLevel="0" collapsed="false">
      <c r="E3301" s="41" t="str">
        <f aca="false">IF(D3301="","",IFERROR(VLOOKUP(D3301,Assumptions!$G$5:$H$16,2,0),"Other"))</f>
        <v/>
      </c>
      <c r="J3301" s="41" t="str">
        <f aca="false">IF(G3301="","",IFERROR(IF(ISNUMBER(SEARCH(Assumptions!$C$5,G3301)),Assumptions!$D$5,IF(ISNUMBER(SEARCH(Assumptions!$C$6,G3301)),Assumptions!$D$6,IF(ISNUMBER(SEARCH(Assumptions!$C$7,G3301)),Assumptions!$D$7,"Other Services"))),"Other Services"))</f>
        <v/>
      </c>
    </row>
    <row r="3302" customFormat="false" ht="15" hidden="false" customHeight="false" outlineLevel="0" collapsed="false">
      <c r="E3302" s="41" t="str">
        <f aca="false">IF(D3302="","",IFERROR(VLOOKUP(D3302,Assumptions!$G$5:$H$16,2,0),"Other"))</f>
        <v/>
      </c>
      <c r="J3302" s="41" t="str">
        <f aca="false">IF(G3302="","",IFERROR(IF(ISNUMBER(SEARCH(Assumptions!$C$5,G3302)),Assumptions!$D$5,IF(ISNUMBER(SEARCH(Assumptions!$C$6,G3302)),Assumptions!$D$6,IF(ISNUMBER(SEARCH(Assumptions!$C$7,G3302)),Assumptions!$D$7,"Other Services"))),"Other Services"))</f>
        <v/>
      </c>
    </row>
    <row r="3303" customFormat="false" ht="15" hidden="false" customHeight="false" outlineLevel="0" collapsed="false">
      <c r="E3303" s="41" t="str">
        <f aca="false">IF(D3303="","",IFERROR(VLOOKUP(D3303,Assumptions!$G$5:$H$16,2,0),"Other"))</f>
        <v/>
      </c>
      <c r="J3303" s="41" t="str">
        <f aca="false">IF(G3303="","",IFERROR(IF(ISNUMBER(SEARCH(Assumptions!$C$5,G3303)),Assumptions!$D$5,IF(ISNUMBER(SEARCH(Assumptions!$C$6,G3303)),Assumptions!$D$6,IF(ISNUMBER(SEARCH(Assumptions!$C$7,G3303)),Assumptions!$D$7,"Other Services"))),"Other Services"))</f>
        <v/>
      </c>
    </row>
    <row r="3304" customFormat="false" ht="15" hidden="false" customHeight="false" outlineLevel="0" collapsed="false">
      <c r="E3304" s="41" t="str">
        <f aca="false">IF(D3304="","",IFERROR(VLOOKUP(D3304,Assumptions!$G$5:$H$16,2,0),"Other"))</f>
        <v/>
      </c>
      <c r="J3304" s="41" t="str">
        <f aca="false">IF(G3304="","",IFERROR(IF(ISNUMBER(SEARCH(Assumptions!$C$5,G3304)),Assumptions!$D$5,IF(ISNUMBER(SEARCH(Assumptions!$C$6,G3304)),Assumptions!$D$6,IF(ISNUMBER(SEARCH(Assumptions!$C$7,G3304)),Assumptions!$D$7,"Other Services"))),"Other Services"))</f>
        <v/>
      </c>
    </row>
    <row r="3305" customFormat="false" ht="15" hidden="false" customHeight="false" outlineLevel="0" collapsed="false">
      <c r="E3305" s="41" t="str">
        <f aca="false">IF(D3305="","",IFERROR(VLOOKUP(D3305,Assumptions!$G$5:$H$16,2,0),"Other"))</f>
        <v/>
      </c>
      <c r="J3305" s="41" t="str">
        <f aca="false">IF(G3305="","",IFERROR(IF(ISNUMBER(SEARCH(Assumptions!$C$5,G3305)),Assumptions!$D$5,IF(ISNUMBER(SEARCH(Assumptions!$C$6,G3305)),Assumptions!$D$6,IF(ISNUMBER(SEARCH(Assumptions!$C$7,G3305)),Assumptions!$D$7,"Other Services"))),"Other Services"))</f>
        <v/>
      </c>
    </row>
    <row r="3306" customFormat="false" ht="15" hidden="false" customHeight="false" outlineLevel="0" collapsed="false">
      <c r="E3306" s="41" t="str">
        <f aca="false">IF(D3306="","",IFERROR(VLOOKUP(D3306,Assumptions!$G$5:$H$16,2,0),"Other"))</f>
        <v/>
      </c>
      <c r="J3306" s="41" t="str">
        <f aca="false">IF(G3306="","",IFERROR(IF(ISNUMBER(SEARCH(Assumptions!$C$5,G3306)),Assumptions!$D$5,IF(ISNUMBER(SEARCH(Assumptions!$C$6,G3306)),Assumptions!$D$6,IF(ISNUMBER(SEARCH(Assumptions!$C$7,G3306)),Assumptions!$D$7,"Other Services"))),"Other Services"))</f>
        <v/>
      </c>
    </row>
    <row r="3307" customFormat="false" ht="15" hidden="false" customHeight="false" outlineLevel="0" collapsed="false">
      <c r="E3307" s="41" t="str">
        <f aca="false">IF(D3307="","",IFERROR(VLOOKUP(D3307,Assumptions!$G$5:$H$16,2,0),"Other"))</f>
        <v/>
      </c>
      <c r="J3307" s="41" t="str">
        <f aca="false">IF(G3307="","",IFERROR(IF(ISNUMBER(SEARCH(Assumptions!$C$5,G3307)),Assumptions!$D$5,IF(ISNUMBER(SEARCH(Assumptions!$C$6,G3307)),Assumptions!$D$6,IF(ISNUMBER(SEARCH(Assumptions!$C$7,G3307)),Assumptions!$D$7,"Other Services"))),"Other Services"))</f>
        <v/>
      </c>
    </row>
    <row r="3308" customFormat="false" ht="15" hidden="false" customHeight="false" outlineLevel="0" collapsed="false">
      <c r="E3308" s="41" t="str">
        <f aca="false">IF(D3308="","",IFERROR(VLOOKUP(D3308,Assumptions!$G$5:$H$16,2,0),"Other"))</f>
        <v/>
      </c>
      <c r="J3308" s="41" t="str">
        <f aca="false">IF(G3308="","",IFERROR(IF(ISNUMBER(SEARCH(Assumptions!$C$5,G3308)),Assumptions!$D$5,IF(ISNUMBER(SEARCH(Assumptions!$C$6,G3308)),Assumptions!$D$6,IF(ISNUMBER(SEARCH(Assumptions!$C$7,G3308)),Assumptions!$D$7,"Other Services"))),"Other Services"))</f>
        <v/>
      </c>
    </row>
    <row r="3309" customFormat="false" ht="15" hidden="false" customHeight="false" outlineLevel="0" collapsed="false">
      <c r="E3309" s="41" t="str">
        <f aca="false">IF(D3309="","",IFERROR(VLOOKUP(D3309,Assumptions!$G$5:$H$16,2,0),"Other"))</f>
        <v/>
      </c>
      <c r="J3309" s="41" t="str">
        <f aca="false">IF(G3309="","",IFERROR(IF(ISNUMBER(SEARCH(Assumptions!$C$5,G3309)),Assumptions!$D$5,IF(ISNUMBER(SEARCH(Assumptions!$C$6,G3309)),Assumptions!$D$6,IF(ISNUMBER(SEARCH(Assumptions!$C$7,G3309)),Assumptions!$D$7,"Other Services"))),"Other Services"))</f>
        <v/>
      </c>
    </row>
    <row r="3310" customFormat="false" ht="15" hidden="false" customHeight="false" outlineLevel="0" collapsed="false">
      <c r="E3310" s="41" t="str">
        <f aca="false">IF(D3310="","",IFERROR(VLOOKUP(D3310,Assumptions!$G$5:$H$16,2,0),"Other"))</f>
        <v/>
      </c>
      <c r="J3310" s="41" t="str">
        <f aca="false">IF(G3310="","",IFERROR(IF(ISNUMBER(SEARCH(Assumptions!$C$5,G3310)),Assumptions!$D$5,IF(ISNUMBER(SEARCH(Assumptions!$C$6,G3310)),Assumptions!$D$6,IF(ISNUMBER(SEARCH(Assumptions!$C$7,G3310)),Assumptions!$D$7,"Other Services"))),"Other Services"))</f>
        <v/>
      </c>
    </row>
    <row r="3311" customFormat="false" ht="15" hidden="false" customHeight="false" outlineLevel="0" collapsed="false">
      <c r="E3311" s="41" t="str">
        <f aca="false">IF(D3311="","",IFERROR(VLOOKUP(D3311,Assumptions!$G$5:$H$16,2,0),"Other"))</f>
        <v/>
      </c>
      <c r="J3311" s="41" t="str">
        <f aca="false">IF(G3311="","",IFERROR(IF(ISNUMBER(SEARCH(Assumptions!$C$5,G3311)),Assumptions!$D$5,IF(ISNUMBER(SEARCH(Assumptions!$C$6,G3311)),Assumptions!$D$6,IF(ISNUMBER(SEARCH(Assumptions!$C$7,G3311)),Assumptions!$D$7,"Other Services"))),"Other Services"))</f>
        <v/>
      </c>
    </row>
    <row r="3312" customFormat="false" ht="15" hidden="false" customHeight="false" outlineLevel="0" collapsed="false">
      <c r="E3312" s="41" t="str">
        <f aca="false">IF(D3312="","",IFERROR(VLOOKUP(D3312,Assumptions!$G$5:$H$16,2,0),"Other"))</f>
        <v/>
      </c>
      <c r="J3312" s="41" t="str">
        <f aca="false">IF(G3312="","",IFERROR(IF(ISNUMBER(SEARCH(Assumptions!$C$5,G3312)),Assumptions!$D$5,IF(ISNUMBER(SEARCH(Assumptions!$C$6,G3312)),Assumptions!$D$6,IF(ISNUMBER(SEARCH(Assumptions!$C$7,G3312)),Assumptions!$D$7,"Other Services"))),"Other Services"))</f>
        <v/>
      </c>
    </row>
    <row r="3313" customFormat="false" ht="15" hidden="false" customHeight="false" outlineLevel="0" collapsed="false">
      <c r="E3313" s="41" t="str">
        <f aca="false">IF(D3313="","",IFERROR(VLOOKUP(D3313,Assumptions!$G$5:$H$16,2,0),"Other"))</f>
        <v/>
      </c>
      <c r="J3313" s="41" t="str">
        <f aca="false">IF(G3313="","",IFERROR(IF(ISNUMBER(SEARCH(Assumptions!$C$5,G3313)),Assumptions!$D$5,IF(ISNUMBER(SEARCH(Assumptions!$C$6,G3313)),Assumptions!$D$6,IF(ISNUMBER(SEARCH(Assumptions!$C$7,G3313)),Assumptions!$D$7,"Other Services"))),"Other Services"))</f>
        <v/>
      </c>
    </row>
    <row r="3314" customFormat="false" ht="15" hidden="false" customHeight="false" outlineLevel="0" collapsed="false">
      <c r="E3314" s="41" t="str">
        <f aca="false">IF(D3314="","",IFERROR(VLOOKUP(D3314,Assumptions!$G$5:$H$16,2,0),"Other"))</f>
        <v/>
      </c>
      <c r="J3314" s="41" t="str">
        <f aca="false">IF(G3314="","",IFERROR(IF(ISNUMBER(SEARCH(Assumptions!$C$5,G3314)),Assumptions!$D$5,IF(ISNUMBER(SEARCH(Assumptions!$C$6,G3314)),Assumptions!$D$6,IF(ISNUMBER(SEARCH(Assumptions!$C$7,G3314)),Assumptions!$D$7,"Other Services"))),"Other Services"))</f>
        <v/>
      </c>
    </row>
    <row r="3315" customFormat="false" ht="15" hidden="false" customHeight="false" outlineLevel="0" collapsed="false">
      <c r="E3315" s="41" t="str">
        <f aca="false">IF(D3315="","",IFERROR(VLOOKUP(D3315,Assumptions!$G$5:$H$16,2,0),"Other"))</f>
        <v/>
      </c>
      <c r="J3315" s="41" t="str">
        <f aca="false">IF(G3315="","",IFERROR(IF(ISNUMBER(SEARCH(Assumptions!$C$5,G3315)),Assumptions!$D$5,IF(ISNUMBER(SEARCH(Assumptions!$C$6,G3315)),Assumptions!$D$6,IF(ISNUMBER(SEARCH(Assumptions!$C$7,G3315)),Assumptions!$D$7,"Other Services"))),"Other Services"))</f>
        <v/>
      </c>
    </row>
    <row r="3316" customFormat="false" ht="15" hidden="false" customHeight="false" outlineLevel="0" collapsed="false">
      <c r="E3316" s="41" t="str">
        <f aca="false">IF(D3316="","",IFERROR(VLOOKUP(D3316,Assumptions!$G$5:$H$16,2,0),"Other"))</f>
        <v/>
      </c>
      <c r="J3316" s="41" t="str">
        <f aca="false">IF(G3316="","",IFERROR(IF(ISNUMBER(SEARCH(Assumptions!$C$5,G3316)),Assumptions!$D$5,IF(ISNUMBER(SEARCH(Assumptions!$C$6,G3316)),Assumptions!$D$6,IF(ISNUMBER(SEARCH(Assumptions!$C$7,G3316)),Assumptions!$D$7,"Other Services"))),"Other Services"))</f>
        <v/>
      </c>
    </row>
    <row r="3317" customFormat="false" ht="15" hidden="false" customHeight="false" outlineLevel="0" collapsed="false">
      <c r="E3317" s="41" t="str">
        <f aca="false">IF(D3317="","",IFERROR(VLOOKUP(D3317,Assumptions!$G$5:$H$16,2,0),"Other"))</f>
        <v/>
      </c>
      <c r="J3317" s="41" t="str">
        <f aca="false">IF(G3317="","",IFERROR(IF(ISNUMBER(SEARCH(Assumptions!$C$5,G3317)),Assumptions!$D$5,IF(ISNUMBER(SEARCH(Assumptions!$C$6,G3317)),Assumptions!$D$6,IF(ISNUMBER(SEARCH(Assumptions!$C$7,G3317)),Assumptions!$D$7,"Other Services"))),"Other Services"))</f>
        <v/>
      </c>
    </row>
    <row r="3318" customFormat="false" ht="15" hidden="false" customHeight="false" outlineLevel="0" collapsed="false">
      <c r="E3318" s="41" t="str">
        <f aca="false">IF(D3318="","",IFERROR(VLOOKUP(D3318,Assumptions!$G$5:$H$16,2,0),"Other"))</f>
        <v/>
      </c>
      <c r="J3318" s="41" t="str">
        <f aca="false">IF(G3318="","",IFERROR(IF(ISNUMBER(SEARCH(Assumptions!$C$5,G3318)),Assumptions!$D$5,IF(ISNUMBER(SEARCH(Assumptions!$C$6,G3318)),Assumptions!$D$6,IF(ISNUMBER(SEARCH(Assumptions!$C$7,G3318)),Assumptions!$D$7,"Other Services"))),"Other Services"))</f>
        <v/>
      </c>
    </row>
    <row r="3319" customFormat="false" ht="15" hidden="false" customHeight="false" outlineLevel="0" collapsed="false">
      <c r="E3319" s="41" t="str">
        <f aca="false">IF(D3319="","",IFERROR(VLOOKUP(D3319,Assumptions!$G$5:$H$16,2,0),"Other"))</f>
        <v/>
      </c>
      <c r="J3319" s="41" t="str">
        <f aca="false">IF(G3319="","",IFERROR(IF(ISNUMBER(SEARCH(Assumptions!$C$5,G3319)),Assumptions!$D$5,IF(ISNUMBER(SEARCH(Assumptions!$C$6,G3319)),Assumptions!$D$6,IF(ISNUMBER(SEARCH(Assumptions!$C$7,G3319)),Assumptions!$D$7,"Other Services"))),"Other Services"))</f>
        <v/>
      </c>
    </row>
    <row r="3320" customFormat="false" ht="15" hidden="false" customHeight="false" outlineLevel="0" collapsed="false">
      <c r="E3320" s="41" t="str">
        <f aca="false">IF(D3320="","",IFERROR(VLOOKUP(D3320,Assumptions!$G$5:$H$16,2,0),"Other"))</f>
        <v/>
      </c>
      <c r="J3320" s="41" t="str">
        <f aca="false">IF(G3320="","",IFERROR(IF(ISNUMBER(SEARCH(Assumptions!$C$5,G3320)),Assumptions!$D$5,IF(ISNUMBER(SEARCH(Assumptions!$C$6,G3320)),Assumptions!$D$6,IF(ISNUMBER(SEARCH(Assumptions!$C$7,G3320)),Assumptions!$D$7,"Other Services"))),"Other Services"))</f>
        <v/>
      </c>
    </row>
    <row r="3321" customFormat="false" ht="15" hidden="false" customHeight="false" outlineLevel="0" collapsed="false">
      <c r="E3321" s="41" t="str">
        <f aca="false">IF(D3321="","",IFERROR(VLOOKUP(D3321,Assumptions!$G$5:$H$16,2,0),"Other"))</f>
        <v/>
      </c>
      <c r="J3321" s="41" t="str">
        <f aca="false">IF(G3321="","",IFERROR(IF(ISNUMBER(SEARCH(Assumptions!$C$5,G3321)),Assumptions!$D$5,IF(ISNUMBER(SEARCH(Assumptions!$C$6,G3321)),Assumptions!$D$6,IF(ISNUMBER(SEARCH(Assumptions!$C$7,G3321)),Assumptions!$D$7,"Other Services"))),"Other Services"))</f>
        <v/>
      </c>
    </row>
    <row r="3322" customFormat="false" ht="15" hidden="false" customHeight="false" outlineLevel="0" collapsed="false">
      <c r="E3322" s="41" t="str">
        <f aca="false">IF(D3322="","",IFERROR(VLOOKUP(D3322,Assumptions!$G$5:$H$16,2,0),"Other"))</f>
        <v/>
      </c>
      <c r="J3322" s="41" t="str">
        <f aca="false">IF(G3322="","",IFERROR(IF(ISNUMBER(SEARCH(Assumptions!$C$5,G3322)),Assumptions!$D$5,IF(ISNUMBER(SEARCH(Assumptions!$C$6,G3322)),Assumptions!$D$6,IF(ISNUMBER(SEARCH(Assumptions!$C$7,G3322)),Assumptions!$D$7,"Other Services"))),"Other Services"))</f>
        <v/>
      </c>
    </row>
    <row r="3323" customFormat="false" ht="15" hidden="false" customHeight="false" outlineLevel="0" collapsed="false">
      <c r="E3323" s="41" t="str">
        <f aca="false">IF(D3323="","",IFERROR(VLOOKUP(D3323,Assumptions!$G$5:$H$16,2,0),"Other"))</f>
        <v/>
      </c>
      <c r="J3323" s="41" t="str">
        <f aca="false">IF(G3323="","",IFERROR(IF(ISNUMBER(SEARCH(Assumptions!$C$5,G3323)),Assumptions!$D$5,IF(ISNUMBER(SEARCH(Assumptions!$C$6,G3323)),Assumptions!$D$6,IF(ISNUMBER(SEARCH(Assumptions!$C$7,G3323)),Assumptions!$D$7,"Other Services"))),"Other Services"))</f>
        <v/>
      </c>
    </row>
    <row r="3324" customFormat="false" ht="15" hidden="false" customHeight="false" outlineLevel="0" collapsed="false">
      <c r="E3324" s="41" t="str">
        <f aca="false">IF(D3324="","",IFERROR(VLOOKUP(D3324,Assumptions!$G$5:$H$16,2,0),"Other"))</f>
        <v/>
      </c>
      <c r="J3324" s="41" t="str">
        <f aca="false">IF(G3324="","",IFERROR(IF(ISNUMBER(SEARCH(Assumptions!$C$5,G3324)),Assumptions!$D$5,IF(ISNUMBER(SEARCH(Assumptions!$C$6,G3324)),Assumptions!$D$6,IF(ISNUMBER(SEARCH(Assumptions!$C$7,G3324)),Assumptions!$D$7,"Other Services"))),"Other Services"))</f>
        <v/>
      </c>
    </row>
    <row r="3325" customFormat="false" ht="15" hidden="false" customHeight="false" outlineLevel="0" collapsed="false">
      <c r="E3325" s="41" t="str">
        <f aca="false">IF(D3325="","",IFERROR(VLOOKUP(D3325,Assumptions!$G$5:$H$16,2,0),"Other"))</f>
        <v/>
      </c>
      <c r="J3325" s="41" t="str">
        <f aca="false">IF(G3325="","",IFERROR(IF(ISNUMBER(SEARCH(Assumptions!$C$5,G3325)),Assumptions!$D$5,IF(ISNUMBER(SEARCH(Assumptions!$C$6,G3325)),Assumptions!$D$6,IF(ISNUMBER(SEARCH(Assumptions!$C$7,G3325)),Assumptions!$D$7,"Other Services"))),"Other Services"))</f>
        <v/>
      </c>
    </row>
    <row r="3326" customFormat="false" ht="15" hidden="false" customHeight="false" outlineLevel="0" collapsed="false">
      <c r="E3326" s="41" t="str">
        <f aca="false">IF(D3326="","",IFERROR(VLOOKUP(D3326,Assumptions!$G$5:$H$16,2,0),"Other"))</f>
        <v/>
      </c>
      <c r="J3326" s="41" t="str">
        <f aca="false">IF(G3326="","",IFERROR(IF(ISNUMBER(SEARCH(Assumptions!$C$5,G3326)),Assumptions!$D$5,IF(ISNUMBER(SEARCH(Assumptions!$C$6,G3326)),Assumptions!$D$6,IF(ISNUMBER(SEARCH(Assumptions!$C$7,G3326)),Assumptions!$D$7,"Other Services"))),"Other Services"))</f>
        <v/>
      </c>
    </row>
    <row r="3327" customFormat="false" ht="15" hidden="false" customHeight="false" outlineLevel="0" collapsed="false">
      <c r="E3327" s="41" t="str">
        <f aca="false">IF(D3327="","",IFERROR(VLOOKUP(D3327,Assumptions!$G$5:$H$16,2,0),"Other"))</f>
        <v/>
      </c>
      <c r="J3327" s="41" t="str">
        <f aca="false">IF(G3327="","",IFERROR(IF(ISNUMBER(SEARCH(Assumptions!$C$5,G3327)),Assumptions!$D$5,IF(ISNUMBER(SEARCH(Assumptions!$C$6,G3327)),Assumptions!$D$6,IF(ISNUMBER(SEARCH(Assumptions!$C$7,G3327)),Assumptions!$D$7,"Other Services"))),"Other Services"))</f>
        <v/>
      </c>
    </row>
    <row r="3328" customFormat="false" ht="15" hidden="false" customHeight="false" outlineLevel="0" collapsed="false">
      <c r="E3328" s="41" t="str">
        <f aca="false">IF(D3328="","",IFERROR(VLOOKUP(D3328,Assumptions!$G$5:$H$16,2,0),"Other"))</f>
        <v/>
      </c>
      <c r="J3328" s="41" t="str">
        <f aca="false">IF(G3328="","",IFERROR(IF(ISNUMBER(SEARCH(Assumptions!$C$5,G3328)),Assumptions!$D$5,IF(ISNUMBER(SEARCH(Assumptions!$C$6,G3328)),Assumptions!$D$6,IF(ISNUMBER(SEARCH(Assumptions!$C$7,G3328)),Assumptions!$D$7,"Other Services"))),"Other Services"))</f>
        <v/>
      </c>
    </row>
    <row r="3329" customFormat="false" ht="15" hidden="false" customHeight="false" outlineLevel="0" collapsed="false">
      <c r="E3329" s="41" t="str">
        <f aca="false">IF(D3329="","",IFERROR(VLOOKUP(D3329,Assumptions!$G$5:$H$16,2,0),"Other"))</f>
        <v/>
      </c>
      <c r="J3329" s="41" t="str">
        <f aca="false">IF(G3329="","",IFERROR(IF(ISNUMBER(SEARCH(Assumptions!$C$5,G3329)),Assumptions!$D$5,IF(ISNUMBER(SEARCH(Assumptions!$C$6,G3329)),Assumptions!$D$6,IF(ISNUMBER(SEARCH(Assumptions!$C$7,G3329)),Assumptions!$D$7,"Other Services"))),"Other Services"))</f>
        <v/>
      </c>
    </row>
    <row r="3330" customFormat="false" ht="15" hidden="false" customHeight="false" outlineLevel="0" collapsed="false">
      <c r="E3330" s="41" t="str">
        <f aca="false">IF(D3330="","",IFERROR(VLOOKUP(D3330,Assumptions!$G$5:$H$16,2,0),"Other"))</f>
        <v/>
      </c>
      <c r="J3330" s="41" t="str">
        <f aca="false">IF(G3330="","",IFERROR(IF(ISNUMBER(SEARCH(Assumptions!$C$5,G3330)),Assumptions!$D$5,IF(ISNUMBER(SEARCH(Assumptions!$C$6,G3330)),Assumptions!$D$6,IF(ISNUMBER(SEARCH(Assumptions!$C$7,G3330)),Assumptions!$D$7,"Other Services"))),"Other Services"))</f>
        <v/>
      </c>
    </row>
    <row r="3331" customFormat="false" ht="15" hidden="false" customHeight="false" outlineLevel="0" collapsed="false">
      <c r="E3331" s="41" t="str">
        <f aca="false">IF(D3331="","",IFERROR(VLOOKUP(D3331,Assumptions!$G$5:$H$16,2,0),"Other"))</f>
        <v/>
      </c>
      <c r="J3331" s="41" t="str">
        <f aca="false">IF(G3331="","",IFERROR(IF(ISNUMBER(SEARCH(Assumptions!$C$5,G3331)),Assumptions!$D$5,IF(ISNUMBER(SEARCH(Assumptions!$C$6,G3331)),Assumptions!$D$6,IF(ISNUMBER(SEARCH(Assumptions!$C$7,G3331)),Assumptions!$D$7,"Other Services"))),"Other Services"))</f>
        <v/>
      </c>
    </row>
    <row r="3332" customFormat="false" ht="15" hidden="false" customHeight="false" outlineLevel="0" collapsed="false">
      <c r="E3332" s="41" t="str">
        <f aca="false">IF(D3332="","",IFERROR(VLOOKUP(D3332,Assumptions!$G$5:$H$16,2,0),"Other"))</f>
        <v/>
      </c>
      <c r="J3332" s="41" t="str">
        <f aca="false">IF(G3332="","",IFERROR(IF(ISNUMBER(SEARCH(Assumptions!$C$5,G3332)),Assumptions!$D$5,IF(ISNUMBER(SEARCH(Assumptions!$C$6,G3332)),Assumptions!$D$6,IF(ISNUMBER(SEARCH(Assumptions!$C$7,G3332)),Assumptions!$D$7,"Other Services"))),"Other Services"))</f>
        <v/>
      </c>
    </row>
    <row r="3333" customFormat="false" ht="15" hidden="false" customHeight="false" outlineLevel="0" collapsed="false">
      <c r="E3333" s="41" t="str">
        <f aca="false">IF(D3333="","",IFERROR(VLOOKUP(D3333,Assumptions!$G$5:$H$16,2,0),"Other"))</f>
        <v/>
      </c>
      <c r="J3333" s="41" t="str">
        <f aca="false">IF(G3333="","",IFERROR(IF(ISNUMBER(SEARCH(Assumptions!$C$5,G3333)),Assumptions!$D$5,IF(ISNUMBER(SEARCH(Assumptions!$C$6,G3333)),Assumptions!$D$6,IF(ISNUMBER(SEARCH(Assumptions!$C$7,G3333)),Assumptions!$D$7,"Other Services"))),"Other Services"))</f>
        <v/>
      </c>
    </row>
    <row r="3334" customFormat="false" ht="15" hidden="false" customHeight="false" outlineLevel="0" collapsed="false">
      <c r="E3334" s="41" t="str">
        <f aca="false">IF(D3334="","",IFERROR(VLOOKUP(D3334,Assumptions!$G$5:$H$16,2,0),"Other"))</f>
        <v/>
      </c>
      <c r="J3334" s="41" t="str">
        <f aca="false">IF(G3334="","",IFERROR(IF(ISNUMBER(SEARCH(Assumptions!$C$5,G3334)),Assumptions!$D$5,IF(ISNUMBER(SEARCH(Assumptions!$C$6,G3334)),Assumptions!$D$6,IF(ISNUMBER(SEARCH(Assumptions!$C$7,G3334)),Assumptions!$D$7,"Other Services"))),"Other Services"))</f>
        <v/>
      </c>
    </row>
    <row r="3335" customFormat="false" ht="15" hidden="false" customHeight="false" outlineLevel="0" collapsed="false">
      <c r="E3335" s="41" t="str">
        <f aca="false">IF(D3335="","",IFERROR(VLOOKUP(D3335,Assumptions!$G$5:$H$16,2,0),"Other"))</f>
        <v/>
      </c>
      <c r="J3335" s="41" t="str">
        <f aca="false">IF(G3335="","",IFERROR(IF(ISNUMBER(SEARCH(Assumptions!$C$5,G3335)),Assumptions!$D$5,IF(ISNUMBER(SEARCH(Assumptions!$C$6,G3335)),Assumptions!$D$6,IF(ISNUMBER(SEARCH(Assumptions!$C$7,G3335)),Assumptions!$D$7,"Other Services"))),"Other Services"))</f>
        <v/>
      </c>
    </row>
    <row r="3336" customFormat="false" ht="15" hidden="false" customHeight="false" outlineLevel="0" collapsed="false">
      <c r="E3336" s="41" t="str">
        <f aca="false">IF(D3336="","",IFERROR(VLOOKUP(D3336,Assumptions!$G$5:$H$16,2,0),"Other"))</f>
        <v/>
      </c>
      <c r="J3336" s="41" t="str">
        <f aca="false">IF(G3336="","",IFERROR(IF(ISNUMBER(SEARCH(Assumptions!$C$5,G3336)),Assumptions!$D$5,IF(ISNUMBER(SEARCH(Assumptions!$C$6,G3336)),Assumptions!$D$6,IF(ISNUMBER(SEARCH(Assumptions!$C$7,G3336)),Assumptions!$D$7,"Other Services"))),"Other Services"))</f>
        <v/>
      </c>
    </row>
    <row r="3337" customFormat="false" ht="15" hidden="false" customHeight="false" outlineLevel="0" collapsed="false">
      <c r="E3337" s="41" t="str">
        <f aca="false">IF(D3337="","",IFERROR(VLOOKUP(D3337,Assumptions!$G$5:$H$16,2,0),"Other"))</f>
        <v/>
      </c>
      <c r="J3337" s="41" t="str">
        <f aca="false">IF(G3337="","",IFERROR(IF(ISNUMBER(SEARCH(Assumptions!$C$5,G3337)),Assumptions!$D$5,IF(ISNUMBER(SEARCH(Assumptions!$C$6,G3337)),Assumptions!$D$6,IF(ISNUMBER(SEARCH(Assumptions!$C$7,G3337)),Assumptions!$D$7,"Other Services"))),"Other Services"))</f>
        <v/>
      </c>
    </row>
    <row r="3338" customFormat="false" ht="15" hidden="false" customHeight="false" outlineLevel="0" collapsed="false">
      <c r="E3338" s="41" t="str">
        <f aca="false">IF(D3338="","",IFERROR(VLOOKUP(D3338,Assumptions!$G$5:$H$16,2,0),"Other"))</f>
        <v/>
      </c>
      <c r="J3338" s="41" t="str">
        <f aca="false">IF(G3338="","",IFERROR(IF(ISNUMBER(SEARCH(Assumptions!$C$5,G3338)),Assumptions!$D$5,IF(ISNUMBER(SEARCH(Assumptions!$C$6,G3338)),Assumptions!$D$6,IF(ISNUMBER(SEARCH(Assumptions!$C$7,G3338)),Assumptions!$D$7,"Other Services"))),"Other Services"))</f>
        <v/>
      </c>
    </row>
    <row r="3339" customFormat="false" ht="15" hidden="false" customHeight="false" outlineLevel="0" collapsed="false">
      <c r="E3339" s="41" t="str">
        <f aca="false">IF(D3339="","",IFERROR(VLOOKUP(D3339,Assumptions!$G$5:$H$16,2,0),"Other"))</f>
        <v/>
      </c>
      <c r="J3339" s="41" t="str">
        <f aca="false">IF(G3339="","",IFERROR(IF(ISNUMBER(SEARCH(Assumptions!$C$5,G3339)),Assumptions!$D$5,IF(ISNUMBER(SEARCH(Assumptions!$C$6,G3339)),Assumptions!$D$6,IF(ISNUMBER(SEARCH(Assumptions!$C$7,G3339)),Assumptions!$D$7,"Other Services"))),"Other Services"))</f>
        <v/>
      </c>
    </row>
    <row r="3340" customFormat="false" ht="15" hidden="false" customHeight="false" outlineLevel="0" collapsed="false">
      <c r="E3340" s="41" t="str">
        <f aca="false">IF(D3340="","",IFERROR(VLOOKUP(D3340,Assumptions!$G$5:$H$16,2,0),"Other"))</f>
        <v/>
      </c>
      <c r="J3340" s="41" t="str">
        <f aca="false">IF(G3340="","",IFERROR(IF(ISNUMBER(SEARCH(Assumptions!$C$5,G3340)),Assumptions!$D$5,IF(ISNUMBER(SEARCH(Assumptions!$C$6,G3340)),Assumptions!$D$6,IF(ISNUMBER(SEARCH(Assumptions!$C$7,G3340)),Assumptions!$D$7,"Other Services"))),"Other Services"))</f>
        <v/>
      </c>
    </row>
    <row r="3341" customFormat="false" ht="15" hidden="false" customHeight="false" outlineLevel="0" collapsed="false">
      <c r="E3341" s="41" t="str">
        <f aca="false">IF(D3341="","",IFERROR(VLOOKUP(D3341,Assumptions!$G$5:$H$16,2,0),"Other"))</f>
        <v/>
      </c>
      <c r="J3341" s="41" t="str">
        <f aca="false">IF(G3341="","",IFERROR(IF(ISNUMBER(SEARCH(Assumptions!$C$5,G3341)),Assumptions!$D$5,IF(ISNUMBER(SEARCH(Assumptions!$C$6,G3341)),Assumptions!$D$6,IF(ISNUMBER(SEARCH(Assumptions!$C$7,G3341)),Assumptions!$D$7,"Other Services"))),"Other Services"))</f>
        <v/>
      </c>
    </row>
    <row r="3342" customFormat="false" ht="15" hidden="false" customHeight="false" outlineLevel="0" collapsed="false">
      <c r="E3342" s="41" t="str">
        <f aca="false">IF(D3342="","",IFERROR(VLOOKUP(D3342,Assumptions!$G$5:$H$16,2,0),"Other"))</f>
        <v/>
      </c>
      <c r="J3342" s="41" t="str">
        <f aca="false">IF(G3342="","",IFERROR(IF(ISNUMBER(SEARCH(Assumptions!$C$5,G3342)),Assumptions!$D$5,IF(ISNUMBER(SEARCH(Assumptions!$C$6,G3342)),Assumptions!$D$6,IF(ISNUMBER(SEARCH(Assumptions!$C$7,G3342)),Assumptions!$D$7,"Other Services"))),"Other Services"))</f>
        <v/>
      </c>
    </row>
    <row r="3343" customFormat="false" ht="15" hidden="false" customHeight="false" outlineLevel="0" collapsed="false">
      <c r="E3343" s="41" t="str">
        <f aca="false">IF(D3343="","",IFERROR(VLOOKUP(D3343,Assumptions!$G$5:$H$16,2,0),"Other"))</f>
        <v/>
      </c>
      <c r="J3343" s="41" t="str">
        <f aca="false">IF(G3343="","",IFERROR(IF(ISNUMBER(SEARCH(Assumptions!$C$5,G3343)),Assumptions!$D$5,IF(ISNUMBER(SEARCH(Assumptions!$C$6,G3343)),Assumptions!$D$6,IF(ISNUMBER(SEARCH(Assumptions!$C$7,G3343)),Assumptions!$D$7,"Other Services"))),"Other Services"))</f>
        <v/>
      </c>
    </row>
    <row r="3344" customFormat="false" ht="15" hidden="false" customHeight="false" outlineLevel="0" collapsed="false">
      <c r="E3344" s="41" t="str">
        <f aca="false">IF(D3344="","",IFERROR(VLOOKUP(D3344,Assumptions!$G$5:$H$16,2,0),"Other"))</f>
        <v/>
      </c>
      <c r="J3344" s="41" t="str">
        <f aca="false">IF(G3344="","",IFERROR(IF(ISNUMBER(SEARCH(Assumptions!$C$5,G3344)),Assumptions!$D$5,IF(ISNUMBER(SEARCH(Assumptions!$C$6,G3344)),Assumptions!$D$6,IF(ISNUMBER(SEARCH(Assumptions!$C$7,G3344)),Assumptions!$D$7,"Other Services"))),"Other Services"))</f>
        <v/>
      </c>
    </row>
    <row r="3345" customFormat="false" ht="15" hidden="false" customHeight="false" outlineLevel="0" collapsed="false">
      <c r="E3345" s="41" t="str">
        <f aca="false">IF(D3345="","",IFERROR(VLOOKUP(D3345,Assumptions!$G$5:$H$16,2,0),"Other"))</f>
        <v/>
      </c>
      <c r="J3345" s="41" t="str">
        <f aca="false">IF(G3345="","",IFERROR(IF(ISNUMBER(SEARCH(Assumptions!$C$5,G3345)),Assumptions!$D$5,IF(ISNUMBER(SEARCH(Assumptions!$C$6,G3345)),Assumptions!$D$6,IF(ISNUMBER(SEARCH(Assumptions!$C$7,G3345)),Assumptions!$D$7,"Other Services"))),"Other Services"))</f>
        <v/>
      </c>
    </row>
    <row r="3346" customFormat="false" ht="15" hidden="false" customHeight="false" outlineLevel="0" collapsed="false">
      <c r="E3346" s="41" t="str">
        <f aca="false">IF(D3346="","",IFERROR(VLOOKUP(D3346,Assumptions!$G$5:$H$16,2,0),"Other"))</f>
        <v/>
      </c>
      <c r="J3346" s="41" t="str">
        <f aca="false">IF(G3346="","",IFERROR(IF(ISNUMBER(SEARCH(Assumptions!$C$5,G3346)),Assumptions!$D$5,IF(ISNUMBER(SEARCH(Assumptions!$C$6,G3346)),Assumptions!$D$6,IF(ISNUMBER(SEARCH(Assumptions!$C$7,G3346)),Assumptions!$D$7,"Other Services"))),"Other Services"))</f>
        <v/>
      </c>
    </row>
    <row r="3347" customFormat="false" ht="15" hidden="false" customHeight="false" outlineLevel="0" collapsed="false">
      <c r="E3347" s="41" t="str">
        <f aca="false">IF(D3347="","",IFERROR(VLOOKUP(D3347,Assumptions!$G$5:$H$16,2,0),"Other"))</f>
        <v/>
      </c>
      <c r="J3347" s="41" t="str">
        <f aca="false">IF(G3347="","",IFERROR(IF(ISNUMBER(SEARCH(Assumptions!$C$5,G3347)),Assumptions!$D$5,IF(ISNUMBER(SEARCH(Assumptions!$C$6,G3347)),Assumptions!$D$6,IF(ISNUMBER(SEARCH(Assumptions!$C$7,G3347)),Assumptions!$D$7,"Other Services"))),"Other Services"))</f>
        <v/>
      </c>
    </row>
    <row r="3348" customFormat="false" ht="15" hidden="false" customHeight="false" outlineLevel="0" collapsed="false">
      <c r="E3348" s="41" t="str">
        <f aca="false">IF(D3348="","",IFERROR(VLOOKUP(D3348,Assumptions!$G$5:$H$16,2,0),"Other"))</f>
        <v/>
      </c>
      <c r="J3348" s="41" t="str">
        <f aca="false">IF(G3348="","",IFERROR(IF(ISNUMBER(SEARCH(Assumptions!$C$5,G3348)),Assumptions!$D$5,IF(ISNUMBER(SEARCH(Assumptions!$C$6,G3348)),Assumptions!$D$6,IF(ISNUMBER(SEARCH(Assumptions!$C$7,G3348)),Assumptions!$D$7,"Other Services"))),"Other Services"))</f>
        <v/>
      </c>
    </row>
    <row r="3349" customFormat="false" ht="15" hidden="false" customHeight="false" outlineLevel="0" collapsed="false">
      <c r="E3349" s="41" t="str">
        <f aca="false">IF(D3349="","",IFERROR(VLOOKUP(D3349,Assumptions!$G$5:$H$16,2,0),"Other"))</f>
        <v/>
      </c>
      <c r="J3349" s="41" t="str">
        <f aca="false">IF(G3349="","",IFERROR(IF(ISNUMBER(SEARCH(Assumptions!$C$5,G3349)),Assumptions!$D$5,IF(ISNUMBER(SEARCH(Assumptions!$C$6,G3349)),Assumptions!$D$6,IF(ISNUMBER(SEARCH(Assumptions!$C$7,G3349)),Assumptions!$D$7,"Other Services"))),"Other Services"))</f>
        <v/>
      </c>
    </row>
    <row r="3350" customFormat="false" ht="15" hidden="false" customHeight="false" outlineLevel="0" collapsed="false">
      <c r="E3350" s="41" t="str">
        <f aca="false">IF(D3350="","",IFERROR(VLOOKUP(D3350,Assumptions!$G$5:$H$16,2,0),"Other"))</f>
        <v/>
      </c>
      <c r="J3350" s="41" t="str">
        <f aca="false">IF(G3350="","",IFERROR(IF(ISNUMBER(SEARCH(Assumptions!$C$5,G3350)),Assumptions!$D$5,IF(ISNUMBER(SEARCH(Assumptions!$C$6,G3350)),Assumptions!$D$6,IF(ISNUMBER(SEARCH(Assumptions!$C$7,G3350)),Assumptions!$D$7,"Other Services"))),"Other Services"))</f>
        <v/>
      </c>
    </row>
    <row r="3351" customFormat="false" ht="15" hidden="false" customHeight="false" outlineLevel="0" collapsed="false">
      <c r="E3351" s="41" t="str">
        <f aca="false">IF(D3351="","",IFERROR(VLOOKUP(D3351,Assumptions!$G$5:$H$16,2,0),"Other"))</f>
        <v/>
      </c>
      <c r="J3351" s="41" t="str">
        <f aca="false">IF(G3351="","",IFERROR(IF(ISNUMBER(SEARCH(Assumptions!$C$5,G3351)),Assumptions!$D$5,IF(ISNUMBER(SEARCH(Assumptions!$C$6,G3351)),Assumptions!$D$6,IF(ISNUMBER(SEARCH(Assumptions!$C$7,G3351)),Assumptions!$D$7,"Other Services"))),"Other Services"))</f>
        <v/>
      </c>
    </row>
    <row r="3352" customFormat="false" ht="15" hidden="false" customHeight="false" outlineLevel="0" collapsed="false">
      <c r="E3352" s="41" t="str">
        <f aca="false">IF(D3352="","",IFERROR(VLOOKUP(D3352,Assumptions!$G$5:$H$16,2,0),"Other"))</f>
        <v/>
      </c>
      <c r="J3352" s="41" t="str">
        <f aca="false">IF(G3352="","",IFERROR(IF(ISNUMBER(SEARCH(Assumptions!$C$5,G3352)),Assumptions!$D$5,IF(ISNUMBER(SEARCH(Assumptions!$C$6,G3352)),Assumptions!$D$6,IF(ISNUMBER(SEARCH(Assumptions!$C$7,G3352)),Assumptions!$D$7,"Other Services"))),"Other Services"))</f>
        <v/>
      </c>
    </row>
    <row r="3353" customFormat="false" ht="15" hidden="false" customHeight="false" outlineLevel="0" collapsed="false">
      <c r="E3353" s="41" t="str">
        <f aca="false">IF(D3353="","",IFERROR(VLOOKUP(D3353,Assumptions!$G$5:$H$16,2,0),"Other"))</f>
        <v/>
      </c>
      <c r="J3353" s="41" t="str">
        <f aca="false">IF(G3353="","",IFERROR(IF(ISNUMBER(SEARCH(Assumptions!$C$5,G3353)),Assumptions!$D$5,IF(ISNUMBER(SEARCH(Assumptions!$C$6,G3353)),Assumptions!$D$6,IF(ISNUMBER(SEARCH(Assumptions!$C$7,G3353)),Assumptions!$D$7,"Other Services"))),"Other Services"))</f>
        <v/>
      </c>
    </row>
    <row r="3354" customFormat="false" ht="15" hidden="false" customHeight="false" outlineLevel="0" collapsed="false">
      <c r="E3354" s="41" t="str">
        <f aca="false">IF(D3354="","",IFERROR(VLOOKUP(D3354,Assumptions!$G$5:$H$16,2,0),"Other"))</f>
        <v/>
      </c>
      <c r="J3354" s="41" t="str">
        <f aca="false">IF(G3354="","",IFERROR(IF(ISNUMBER(SEARCH(Assumptions!$C$5,G3354)),Assumptions!$D$5,IF(ISNUMBER(SEARCH(Assumptions!$C$6,G3354)),Assumptions!$D$6,IF(ISNUMBER(SEARCH(Assumptions!$C$7,G3354)),Assumptions!$D$7,"Other Services"))),"Other Services"))</f>
        <v/>
      </c>
    </row>
    <row r="3355" customFormat="false" ht="15" hidden="false" customHeight="false" outlineLevel="0" collapsed="false">
      <c r="E3355" s="41" t="str">
        <f aca="false">IF(D3355="","",IFERROR(VLOOKUP(D3355,Assumptions!$G$5:$H$16,2,0),"Other"))</f>
        <v/>
      </c>
      <c r="J3355" s="41" t="str">
        <f aca="false">IF(G3355="","",IFERROR(IF(ISNUMBER(SEARCH(Assumptions!$C$5,G3355)),Assumptions!$D$5,IF(ISNUMBER(SEARCH(Assumptions!$C$6,G3355)),Assumptions!$D$6,IF(ISNUMBER(SEARCH(Assumptions!$C$7,G3355)),Assumptions!$D$7,"Other Services"))),"Other Services"))</f>
        <v/>
      </c>
    </row>
    <row r="3356" customFormat="false" ht="15" hidden="false" customHeight="false" outlineLevel="0" collapsed="false">
      <c r="E3356" s="41" t="str">
        <f aca="false">IF(D3356="","",IFERROR(VLOOKUP(D3356,Assumptions!$G$5:$H$16,2,0),"Other"))</f>
        <v/>
      </c>
      <c r="J3356" s="41" t="str">
        <f aca="false">IF(G3356="","",IFERROR(IF(ISNUMBER(SEARCH(Assumptions!$C$5,G3356)),Assumptions!$D$5,IF(ISNUMBER(SEARCH(Assumptions!$C$6,G3356)),Assumptions!$D$6,IF(ISNUMBER(SEARCH(Assumptions!$C$7,G3356)),Assumptions!$D$7,"Other Services"))),"Other Services"))</f>
        <v/>
      </c>
    </row>
    <row r="3357" customFormat="false" ht="15" hidden="false" customHeight="false" outlineLevel="0" collapsed="false">
      <c r="E3357" s="41" t="str">
        <f aca="false">IF(D3357="","",IFERROR(VLOOKUP(D3357,Assumptions!$G$5:$H$16,2,0),"Other"))</f>
        <v/>
      </c>
      <c r="J3357" s="41" t="str">
        <f aca="false">IF(G3357="","",IFERROR(IF(ISNUMBER(SEARCH(Assumptions!$C$5,G3357)),Assumptions!$D$5,IF(ISNUMBER(SEARCH(Assumptions!$C$6,G3357)),Assumptions!$D$6,IF(ISNUMBER(SEARCH(Assumptions!$C$7,G3357)),Assumptions!$D$7,"Other Services"))),"Other Services"))</f>
        <v/>
      </c>
    </row>
    <row r="3358" customFormat="false" ht="15" hidden="false" customHeight="false" outlineLevel="0" collapsed="false">
      <c r="E3358" s="41" t="str">
        <f aca="false">IF(D3358="","",IFERROR(VLOOKUP(D3358,Assumptions!$G$5:$H$16,2,0),"Other"))</f>
        <v/>
      </c>
      <c r="J3358" s="41" t="str">
        <f aca="false">IF(G3358="","",IFERROR(IF(ISNUMBER(SEARCH(Assumptions!$C$5,G3358)),Assumptions!$D$5,IF(ISNUMBER(SEARCH(Assumptions!$C$6,G3358)),Assumptions!$D$6,IF(ISNUMBER(SEARCH(Assumptions!$C$7,G3358)),Assumptions!$D$7,"Other Services"))),"Other Services"))</f>
        <v/>
      </c>
    </row>
    <row r="3359" customFormat="false" ht="15" hidden="false" customHeight="false" outlineLevel="0" collapsed="false">
      <c r="E3359" s="41" t="str">
        <f aca="false">IF(D3359="","",IFERROR(VLOOKUP(D3359,Assumptions!$G$5:$H$16,2,0),"Other"))</f>
        <v/>
      </c>
      <c r="J3359" s="41" t="str">
        <f aca="false">IF(G3359="","",IFERROR(IF(ISNUMBER(SEARCH(Assumptions!$C$5,G3359)),Assumptions!$D$5,IF(ISNUMBER(SEARCH(Assumptions!$C$6,G3359)),Assumptions!$D$6,IF(ISNUMBER(SEARCH(Assumptions!$C$7,G3359)),Assumptions!$D$7,"Other Services"))),"Other Services"))</f>
        <v/>
      </c>
    </row>
    <row r="3360" customFormat="false" ht="15" hidden="false" customHeight="false" outlineLevel="0" collapsed="false">
      <c r="E3360" s="41" t="str">
        <f aca="false">IF(D3360="","",IFERROR(VLOOKUP(D3360,Assumptions!$G$5:$H$16,2,0),"Other"))</f>
        <v/>
      </c>
      <c r="J3360" s="41" t="str">
        <f aca="false">IF(G3360="","",IFERROR(IF(ISNUMBER(SEARCH(Assumptions!$C$5,G3360)),Assumptions!$D$5,IF(ISNUMBER(SEARCH(Assumptions!$C$6,G3360)),Assumptions!$D$6,IF(ISNUMBER(SEARCH(Assumptions!$C$7,G3360)),Assumptions!$D$7,"Other Services"))),"Other Services"))</f>
        <v/>
      </c>
    </row>
    <row r="3361" customFormat="false" ht="15" hidden="false" customHeight="false" outlineLevel="0" collapsed="false">
      <c r="E3361" s="41" t="str">
        <f aca="false">IF(D3361="","",IFERROR(VLOOKUP(D3361,Assumptions!$G$5:$H$16,2,0),"Other"))</f>
        <v/>
      </c>
      <c r="J3361" s="41" t="str">
        <f aca="false">IF(G3361="","",IFERROR(IF(ISNUMBER(SEARCH(Assumptions!$C$5,G3361)),Assumptions!$D$5,IF(ISNUMBER(SEARCH(Assumptions!$C$6,G3361)),Assumptions!$D$6,IF(ISNUMBER(SEARCH(Assumptions!$C$7,G3361)),Assumptions!$D$7,"Other Services"))),"Other Services"))</f>
        <v/>
      </c>
    </row>
    <row r="3362" customFormat="false" ht="15" hidden="false" customHeight="false" outlineLevel="0" collapsed="false">
      <c r="E3362" s="41" t="str">
        <f aca="false">IF(D3362="","",IFERROR(VLOOKUP(D3362,Assumptions!$G$5:$H$16,2,0),"Other"))</f>
        <v/>
      </c>
      <c r="J3362" s="41" t="str">
        <f aca="false">IF(G3362="","",IFERROR(IF(ISNUMBER(SEARCH(Assumptions!$C$5,G3362)),Assumptions!$D$5,IF(ISNUMBER(SEARCH(Assumptions!$C$6,G3362)),Assumptions!$D$6,IF(ISNUMBER(SEARCH(Assumptions!$C$7,G3362)),Assumptions!$D$7,"Other Services"))),"Other Services"))</f>
        <v/>
      </c>
    </row>
    <row r="3363" customFormat="false" ht="15" hidden="false" customHeight="false" outlineLevel="0" collapsed="false">
      <c r="E3363" s="41" t="str">
        <f aca="false">IF(D3363="","",IFERROR(VLOOKUP(D3363,Assumptions!$G$5:$H$16,2,0),"Other"))</f>
        <v/>
      </c>
      <c r="J3363" s="41" t="str">
        <f aca="false">IF(G3363="","",IFERROR(IF(ISNUMBER(SEARCH(Assumptions!$C$5,G3363)),Assumptions!$D$5,IF(ISNUMBER(SEARCH(Assumptions!$C$6,G3363)),Assumptions!$D$6,IF(ISNUMBER(SEARCH(Assumptions!$C$7,G3363)),Assumptions!$D$7,"Other Services"))),"Other Services"))</f>
        <v/>
      </c>
    </row>
    <row r="3364" customFormat="false" ht="15" hidden="false" customHeight="false" outlineLevel="0" collapsed="false">
      <c r="E3364" s="41" t="str">
        <f aca="false">IF(D3364="","",IFERROR(VLOOKUP(D3364,Assumptions!$G$5:$H$16,2,0),"Other"))</f>
        <v/>
      </c>
      <c r="J3364" s="41" t="str">
        <f aca="false">IF(G3364="","",IFERROR(IF(ISNUMBER(SEARCH(Assumptions!$C$5,G3364)),Assumptions!$D$5,IF(ISNUMBER(SEARCH(Assumptions!$C$6,G3364)),Assumptions!$D$6,IF(ISNUMBER(SEARCH(Assumptions!$C$7,G3364)),Assumptions!$D$7,"Other Services"))),"Other Services"))</f>
        <v/>
      </c>
    </row>
    <row r="3365" customFormat="false" ht="15" hidden="false" customHeight="false" outlineLevel="0" collapsed="false">
      <c r="E3365" s="41" t="str">
        <f aca="false">IF(D3365="","",IFERROR(VLOOKUP(D3365,Assumptions!$G$5:$H$16,2,0),"Other"))</f>
        <v/>
      </c>
      <c r="J3365" s="41" t="str">
        <f aca="false">IF(G3365="","",IFERROR(IF(ISNUMBER(SEARCH(Assumptions!$C$5,G3365)),Assumptions!$D$5,IF(ISNUMBER(SEARCH(Assumptions!$C$6,G3365)),Assumptions!$D$6,IF(ISNUMBER(SEARCH(Assumptions!$C$7,G3365)),Assumptions!$D$7,"Other Services"))),"Other Services"))</f>
        <v/>
      </c>
    </row>
    <row r="3366" customFormat="false" ht="15" hidden="false" customHeight="false" outlineLevel="0" collapsed="false">
      <c r="E3366" s="41" t="str">
        <f aca="false">IF(D3366="","",IFERROR(VLOOKUP(D3366,Assumptions!$G$5:$H$16,2,0),"Other"))</f>
        <v/>
      </c>
      <c r="J3366" s="41" t="str">
        <f aca="false">IF(G3366="","",IFERROR(IF(ISNUMBER(SEARCH(Assumptions!$C$5,G3366)),Assumptions!$D$5,IF(ISNUMBER(SEARCH(Assumptions!$C$6,G3366)),Assumptions!$D$6,IF(ISNUMBER(SEARCH(Assumptions!$C$7,G3366)),Assumptions!$D$7,"Other Services"))),"Other Services"))</f>
        <v/>
      </c>
    </row>
    <row r="3367" customFormat="false" ht="15" hidden="false" customHeight="false" outlineLevel="0" collapsed="false">
      <c r="E3367" s="41" t="str">
        <f aca="false">IF(D3367="","",IFERROR(VLOOKUP(D3367,Assumptions!$G$5:$H$16,2,0),"Other"))</f>
        <v/>
      </c>
      <c r="J3367" s="41" t="str">
        <f aca="false">IF(G3367="","",IFERROR(IF(ISNUMBER(SEARCH(Assumptions!$C$5,G3367)),Assumptions!$D$5,IF(ISNUMBER(SEARCH(Assumptions!$C$6,G3367)),Assumptions!$D$6,IF(ISNUMBER(SEARCH(Assumptions!$C$7,G3367)),Assumptions!$D$7,"Other Services"))),"Other Services"))</f>
        <v/>
      </c>
    </row>
    <row r="3368" customFormat="false" ht="15" hidden="false" customHeight="false" outlineLevel="0" collapsed="false">
      <c r="E3368" s="41" t="str">
        <f aca="false">IF(D3368="","",IFERROR(VLOOKUP(D3368,Assumptions!$G$5:$H$16,2,0),"Other"))</f>
        <v/>
      </c>
      <c r="J3368" s="41" t="str">
        <f aca="false">IF(G3368="","",IFERROR(IF(ISNUMBER(SEARCH(Assumptions!$C$5,G3368)),Assumptions!$D$5,IF(ISNUMBER(SEARCH(Assumptions!$C$6,G3368)),Assumptions!$D$6,IF(ISNUMBER(SEARCH(Assumptions!$C$7,G3368)),Assumptions!$D$7,"Other Services"))),"Other Services"))</f>
        <v/>
      </c>
    </row>
    <row r="3369" customFormat="false" ht="15" hidden="false" customHeight="false" outlineLevel="0" collapsed="false">
      <c r="E3369" s="41" t="str">
        <f aca="false">IF(D3369="","",IFERROR(VLOOKUP(D3369,Assumptions!$G$5:$H$16,2,0),"Other"))</f>
        <v/>
      </c>
      <c r="J3369" s="41" t="str">
        <f aca="false">IF(G3369="","",IFERROR(IF(ISNUMBER(SEARCH(Assumptions!$C$5,G3369)),Assumptions!$D$5,IF(ISNUMBER(SEARCH(Assumptions!$C$6,G3369)),Assumptions!$D$6,IF(ISNUMBER(SEARCH(Assumptions!$C$7,G3369)),Assumptions!$D$7,"Other Services"))),"Other Services"))</f>
        <v/>
      </c>
    </row>
    <row r="3370" customFormat="false" ht="15" hidden="false" customHeight="false" outlineLevel="0" collapsed="false">
      <c r="E3370" s="41" t="str">
        <f aca="false">IF(D3370="","",IFERROR(VLOOKUP(D3370,Assumptions!$G$5:$H$16,2,0),"Other"))</f>
        <v/>
      </c>
      <c r="J3370" s="41" t="str">
        <f aca="false">IF(G3370="","",IFERROR(IF(ISNUMBER(SEARCH(Assumptions!$C$5,G3370)),Assumptions!$D$5,IF(ISNUMBER(SEARCH(Assumptions!$C$6,G3370)),Assumptions!$D$6,IF(ISNUMBER(SEARCH(Assumptions!$C$7,G3370)),Assumptions!$D$7,"Other Services"))),"Other Services"))</f>
        <v/>
      </c>
    </row>
    <row r="3371" customFormat="false" ht="15" hidden="false" customHeight="false" outlineLevel="0" collapsed="false">
      <c r="E3371" s="41" t="str">
        <f aca="false">IF(D3371="","",IFERROR(VLOOKUP(D3371,Assumptions!$G$5:$H$16,2,0),"Other"))</f>
        <v/>
      </c>
      <c r="J3371" s="41" t="str">
        <f aca="false">IF(G3371="","",IFERROR(IF(ISNUMBER(SEARCH(Assumptions!$C$5,G3371)),Assumptions!$D$5,IF(ISNUMBER(SEARCH(Assumptions!$C$6,G3371)),Assumptions!$D$6,IF(ISNUMBER(SEARCH(Assumptions!$C$7,G3371)),Assumptions!$D$7,"Other Services"))),"Other Services"))</f>
        <v/>
      </c>
    </row>
    <row r="3372" customFormat="false" ht="15" hidden="false" customHeight="false" outlineLevel="0" collapsed="false">
      <c r="E3372" s="41" t="str">
        <f aca="false">IF(D3372="","",IFERROR(VLOOKUP(D3372,Assumptions!$G$5:$H$16,2,0),"Other"))</f>
        <v/>
      </c>
      <c r="J3372" s="41" t="str">
        <f aca="false">IF(G3372="","",IFERROR(IF(ISNUMBER(SEARCH(Assumptions!$C$5,G3372)),Assumptions!$D$5,IF(ISNUMBER(SEARCH(Assumptions!$C$6,G3372)),Assumptions!$D$6,IF(ISNUMBER(SEARCH(Assumptions!$C$7,G3372)),Assumptions!$D$7,"Other Services"))),"Other Services"))</f>
        <v/>
      </c>
    </row>
    <row r="3373" customFormat="false" ht="15" hidden="false" customHeight="false" outlineLevel="0" collapsed="false">
      <c r="E3373" s="41" t="str">
        <f aca="false">IF(D3373="","",IFERROR(VLOOKUP(D3373,Assumptions!$G$5:$H$16,2,0),"Other"))</f>
        <v/>
      </c>
      <c r="J3373" s="41" t="str">
        <f aca="false">IF(G3373="","",IFERROR(IF(ISNUMBER(SEARCH(Assumptions!$C$5,G3373)),Assumptions!$D$5,IF(ISNUMBER(SEARCH(Assumptions!$C$6,G3373)),Assumptions!$D$6,IF(ISNUMBER(SEARCH(Assumptions!$C$7,G3373)),Assumptions!$D$7,"Other Services"))),"Other Services"))</f>
        <v/>
      </c>
    </row>
    <row r="3374" customFormat="false" ht="15" hidden="false" customHeight="false" outlineLevel="0" collapsed="false">
      <c r="E3374" s="41" t="str">
        <f aca="false">IF(D3374="","",IFERROR(VLOOKUP(D3374,Assumptions!$G$5:$H$16,2,0),"Other"))</f>
        <v/>
      </c>
      <c r="J3374" s="41" t="str">
        <f aca="false">IF(G3374="","",IFERROR(IF(ISNUMBER(SEARCH(Assumptions!$C$5,G3374)),Assumptions!$D$5,IF(ISNUMBER(SEARCH(Assumptions!$C$6,G3374)),Assumptions!$D$6,IF(ISNUMBER(SEARCH(Assumptions!$C$7,G3374)),Assumptions!$D$7,"Other Services"))),"Other Services"))</f>
        <v/>
      </c>
    </row>
    <row r="3375" customFormat="false" ht="15" hidden="false" customHeight="false" outlineLevel="0" collapsed="false">
      <c r="E3375" s="41" t="str">
        <f aca="false">IF(D3375="","",IFERROR(VLOOKUP(D3375,Assumptions!$G$5:$H$16,2,0),"Other"))</f>
        <v/>
      </c>
      <c r="J3375" s="41" t="str">
        <f aca="false">IF(G3375="","",IFERROR(IF(ISNUMBER(SEARCH(Assumptions!$C$5,G3375)),Assumptions!$D$5,IF(ISNUMBER(SEARCH(Assumptions!$C$6,G3375)),Assumptions!$D$6,IF(ISNUMBER(SEARCH(Assumptions!$C$7,G3375)),Assumptions!$D$7,"Other Services"))),"Other Services"))</f>
        <v/>
      </c>
    </row>
    <row r="3376" customFormat="false" ht="15" hidden="false" customHeight="false" outlineLevel="0" collapsed="false">
      <c r="E3376" s="41" t="str">
        <f aca="false">IF(D3376="","",IFERROR(VLOOKUP(D3376,Assumptions!$G$5:$H$16,2,0),"Other"))</f>
        <v/>
      </c>
      <c r="J3376" s="41" t="str">
        <f aca="false">IF(G3376="","",IFERROR(IF(ISNUMBER(SEARCH(Assumptions!$C$5,G3376)),Assumptions!$D$5,IF(ISNUMBER(SEARCH(Assumptions!$C$6,G3376)),Assumptions!$D$6,IF(ISNUMBER(SEARCH(Assumptions!$C$7,G3376)),Assumptions!$D$7,"Other Services"))),"Other Services"))</f>
        <v/>
      </c>
    </row>
    <row r="3377" customFormat="false" ht="15" hidden="false" customHeight="false" outlineLevel="0" collapsed="false">
      <c r="E3377" s="41" t="str">
        <f aca="false">IF(D3377="","",IFERROR(VLOOKUP(D3377,Assumptions!$G$5:$H$16,2,0),"Other"))</f>
        <v/>
      </c>
      <c r="J3377" s="41" t="str">
        <f aca="false">IF(G3377="","",IFERROR(IF(ISNUMBER(SEARCH(Assumptions!$C$5,G3377)),Assumptions!$D$5,IF(ISNUMBER(SEARCH(Assumptions!$C$6,G3377)),Assumptions!$D$6,IF(ISNUMBER(SEARCH(Assumptions!$C$7,G3377)),Assumptions!$D$7,"Other Services"))),"Other Services"))</f>
        <v/>
      </c>
    </row>
    <row r="3378" customFormat="false" ht="15" hidden="false" customHeight="false" outlineLevel="0" collapsed="false">
      <c r="E3378" s="41" t="str">
        <f aca="false">IF(D3378="","",IFERROR(VLOOKUP(D3378,Assumptions!$G$5:$H$16,2,0),"Other"))</f>
        <v/>
      </c>
      <c r="J3378" s="41" t="str">
        <f aca="false">IF(G3378="","",IFERROR(IF(ISNUMBER(SEARCH(Assumptions!$C$5,G3378)),Assumptions!$D$5,IF(ISNUMBER(SEARCH(Assumptions!$C$6,G3378)),Assumptions!$D$6,IF(ISNUMBER(SEARCH(Assumptions!$C$7,G3378)),Assumptions!$D$7,"Other Services"))),"Other Services"))</f>
        <v/>
      </c>
    </row>
    <row r="3379" customFormat="false" ht="15" hidden="false" customHeight="false" outlineLevel="0" collapsed="false">
      <c r="E3379" s="41" t="str">
        <f aca="false">IF(D3379="","",IFERROR(VLOOKUP(D3379,Assumptions!$G$5:$H$16,2,0),"Other"))</f>
        <v/>
      </c>
      <c r="J3379" s="41" t="str">
        <f aca="false">IF(G3379="","",IFERROR(IF(ISNUMBER(SEARCH(Assumptions!$C$5,G3379)),Assumptions!$D$5,IF(ISNUMBER(SEARCH(Assumptions!$C$6,G3379)),Assumptions!$D$6,IF(ISNUMBER(SEARCH(Assumptions!$C$7,G3379)),Assumptions!$D$7,"Other Services"))),"Other Services"))</f>
        <v/>
      </c>
    </row>
    <row r="3380" customFormat="false" ht="15" hidden="false" customHeight="false" outlineLevel="0" collapsed="false">
      <c r="E3380" s="41" t="str">
        <f aca="false">IF(D3380="","",IFERROR(VLOOKUP(D3380,Assumptions!$G$5:$H$16,2,0),"Other"))</f>
        <v/>
      </c>
      <c r="J3380" s="41" t="str">
        <f aca="false">IF(G3380="","",IFERROR(IF(ISNUMBER(SEARCH(Assumptions!$C$5,G3380)),Assumptions!$D$5,IF(ISNUMBER(SEARCH(Assumptions!$C$6,G3380)),Assumptions!$D$6,IF(ISNUMBER(SEARCH(Assumptions!$C$7,G3380)),Assumptions!$D$7,"Other Services"))),"Other Services"))</f>
        <v/>
      </c>
    </row>
    <row r="3381" customFormat="false" ht="15" hidden="false" customHeight="false" outlineLevel="0" collapsed="false">
      <c r="E3381" s="41" t="str">
        <f aca="false">IF(D3381="","",IFERROR(VLOOKUP(D3381,Assumptions!$G$5:$H$16,2,0),"Other"))</f>
        <v/>
      </c>
      <c r="J3381" s="41" t="str">
        <f aca="false">IF(G3381="","",IFERROR(IF(ISNUMBER(SEARCH(Assumptions!$C$5,G3381)),Assumptions!$D$5,IF(ISNUMBER(SEARCH(Assumptions!$C$6,G3381)),Assumptions!$D$6,IF(ISNUMBER(SEARCH(Assumptions!$C$7,G3381)),Assumptions!$D$7,"Other Services"))),"Other Services"))</f>
        <v/>
      </c>
    </row>
    <row r="3382" customFormat="false" ht="15" hidden="false" customHeight="false" outlineLevel="0" collapsed="false">
      <c r="E3382" s="41" t="str">
        <f aca="false">IF(D3382="","",IFERROR(VLOOKUP(D3382,Assumptions!$G$5:$H$16,2,0),"Other"))</f>
        <v/>
      </c>
      <c r="J3382" s="41" t="str">
        <f aca="false">IF(G3382="","",IFERROR(IF(ISNUMBER(SEARCH(Assumptions!$C$5,G3382)),Assumptions!$D$5,IF(ISNUMBER(SEARCH(Assumptions!$C$6,G3382)),Assumptions!$D$6,IF(ISNUMBER(SEARCH(Assumptions!$C$7,G3382)),Assumptions!$D$7,"Other Services"))),"Other Services"))</f>
        <v/>
      </c>
    </row>
    <row r="3383" customFormat="false" ht="15" hidden="false" customHeight="false" outlineLevel="0" collapsed="false">
      <c r="E3383" s="41" t="str">
        <f aca="false">IF(D3383="","",IFERROR(VLOOKUP(D3383,Assumptions!$G$5:$H$16,2,0),"Other"))</f>
        <v/>
      </c>
      <c r="J3383" s="41" t="str">
        <f aca="false">IF(G3383="","",IFERROR(IF(ISNUMBER(SEARCH(Assumptions!$C$5,G3383)),Assumptions!$D$5,IF(ISNUMBER(SEARCH(Assumptions!$C$6,G3383)),Assumptions!$D$6,IF(ISNUMBER(SEARCH(Assumptions!$C$7,G3383)),Assumptions!$D$7,"Other Services"))),"Other Services"))</f>
        <v/>
      </c>
    </row>
    <row r="3384" customFormat="false" ht="15" hidden="false" customHeight="false" outlineLevel="0" collapsed="false">
      <c r="E3384" s="41" t="str">
        <f aca="false">IF(D3384="","",IFERROR(VLOOKUP(D3384,Assumptions!$G$5:$H$16,2,0),"Other"))</f>
        <v/>
      </c>
      <c r="J3384" s="41" t="str">
        <f aca="false">IF(G3384="","",IFERROR(IF(ISNUMBER(SEARCH(Assumptions!$C$5,G3384)),Assumptions!$D$5,IF(ISNUMBER(SEARCH(Assumptions!$C$6,G3384)),Assumptions!$D$6,IF(ISNUMBER(SEARCH(Assumptions!$C$7,G3384)),Assumptions!$D$7,"Other Services"))),"Other Services"))</f>
        <v/>
      </c>
    </row>
    <row r="3385" customFormat="false" ht="15" hidden="false" customHeight="false" outlineLevel="0" collapsed="false">
      <c r="E3385" s="41" t="str">
        <f aca="false">IF(D3385="","",IFERROR(VLOOKUP(D3385,Assumptions!$G$5:$H$16,2,0),"Other"))</f>
        <v/>
      </c>
      <c r="J3385" s="41" t="str">
        <f aca="false">IF(G3385="","",IFERROR(IF(ISNUMBER(SEARCH(Assumptions!$C$5,G3385)),Assumptions!$D$5,IF(ISNUMBER(SEARCH(Assumptions!$C$6,G3385)),Assumptions!$D$6,IF(ISNUMBER(SEARCH(Assumptions!$C$7,G3385)),Assumptions!$D$7,"Other Services"))),"Other Services"))</f>
        <v/>
      </c>
    </row>
    <row r="3386" customFormat="false" ht="15" hidden="false" customHeight="false" outlineLevel="0" collapsed="false">
      <c r="E3386" s="41" t="str">
        <f aca="false">IF(D3386="","",IFERROR(VLOOKUP(D3386,Assumptions!$G$5:$H$16,2,0),"Other"))</f>
        <v/>
      </c>
      <c r="J3386" s="41" t="str">
        <f aca="false">IF(G3386="","",IFERROR(IF(ISNUMBER(SEARCH(Assumptions!$C$5,G3386)),Assumptions!$D$5,IF(ISNUMBER(SEARCH(Assumptions!$C$6,G3386)),Assumptions!$D$6,IF(ISNUMBER(SEARCH(Assumptions!$C$7,G3386)),Assumptions!$D$7,"Other Services"))),"Other Services"))</f>
        <v/>
      </c>
    </row>
    <row r="3387" customFormat="false" ht="15" hidden="false" customHeight="false" outlineLevel="0" collapsed="false">
      <c r="E3387" s="41" t="str">
        <f aca="false">IF(D3387="","",IFERROR(VLOOKUP(D3387,Assumptions!$G$5:$H$16,2,0),"Other"))</f>
        <v/>
      </c>
      <c r="J3387" s="41" t="str">
        <f aca="false">IF(G3387="","",IFERROR(IF(ISNUMBER(SEARCH(Assumptions!$C$5,G3387)),Assumptions!$D$5,IF(ISNUMBER(SEARCH(Assumptions!$C$6,G3387)),Assumptions!$D$6,IF(ISNUMBER(SEARCH(Assumptions!$C$7,G3387)),Assumptions!$D$7,"Other Services"))),"Other Services"))</f>
        <v/>
      </c>
    </row>
    <row r="3388" customFormat="false" ht="15" hidden="false" customHeight="false" outlineLevel="0" collapsed="false">
      <c r="E3388" s="41" t="str">
        <f aca="false">IF(D3388="","",IFERROR(VLOOKUP(D3388,Assumptions!$G$5:$H$16,2,0),"Other"))</f>
        <v/>
      </c>
      <c r="J3388" s="41" t="str">
        <f aca="false">IF(G3388="","",IFERROR(IF(ISNUMBER(SEARCH(Assumptions!$C$5,G3388)),Assumptions!$D$5,IF(ISNUMBER(SEARCH(Assumptions!$C$6,G3388)),Assumptions!$D$6,IF(ISNUMBER(SEARCH(Assumptions!$C$7,G3388)),Assumptions!$D$7,"Other Services"))),"Other Services"))</f>
        <v/>
      </c>
    </row>
    <row r="3389" customFormat="false" ht="15" hidden="false" customHeight="false" outlineLevel="0" collapsed="false">
      <c r="E3389" s="41" t="str">
        <f aca="false">IF(D3389="","",IFERROR(VLOOKUP(D3389,Assumptions!$G$5:$H$16,2,0),"Other"))</f>
        <v/>
      </c>
      <c r="J3389" s="41" t="str">
        <f aca="false">IF(G3389="","",IFERROR(IF(ISNUMBER(SEARCH(Assumptions!$C$5,G3389)),Assumptions!$D$5,IF(ISNUMBER(SEARCH(Assumptions!$C$6,G3389)),Assumptions!$D$6,IF(ISNUMBER(SEARCH(Assumptions!$C$7,G3389)),Assumptions!$D$7,"Other Services"))),"Other Services"))</f>
        <v/>
      </c>
    </row>
    <row r="3390" customFormat="false" ht="15" hidden="false" customHeight="false" outlineLevel="0" collapsed="false">
      <c r="E3390" s="41" t="str">
        <f aca="false">IF(D3390="","",IFERROR(VLOOKUP(D3390,Assumptions!$G$5:$H$16,2,0),"Other"))</f>
        <v/>
      </c>
      <c r="J3390" s="41" t="str">
        <f aca="false">IF(G3390="","",IFERROR(IF(ISNUMBER(SEARCH(Assumptions!$C$5,G3390)),Assumptions!$D$5,IF(ISNUMBER(SEARCH(Assumptions!$C$6,G3390)),Assumptions!$D$6,IF(ISNUMBER(SEARCH(Assumptions!$C$7,G3390)),Assumptions!$D$7,"Other Services"))),"Other Services"))</f>
        <v/>
      </c>
    </row>
    <row r="3391" customFormat="false" ht="15" hidden="false" customHeight="false" outlineLevel="0" collapsed="false">
      <c r="E3391" s="41" t="str">
        <f aca="false">IF(D3391="","",IFERROR(VLOOKUP(D3391,Assumptions!$G$5:$H$16,2,0),"Other"))</f>
        <v/>
      </c>
      <c r="J3391" s="41" t="str">
        <f aca="false">IF(G3391="","",IFERROR(IF(ISNUMBER(SEARCH(Assumptions!$C$5,G3391)),Assumptions!$D$5,IF(ISNUMBER(SEARCH(Assumptions!$C$6,G3391)),Assumptions!$D$6,IF(ISNUMBER(SEARCH(Assumptions!$C$7,G3391)),Assumptions!$D$7,"Other Services"))),"Other Services"))</f>
        <v/>
      </c>
    </row>
    <row r="3392" customFormat="false" ht="15" hidden="false" customHeight="false" outlineLevel="0" collapsed="false">
      <c r="E3392" s="41" t="str">
        <f aca="false">IF(D3392="","",IFERROR(VLOOKUP(D3392,Assumptions!$G$5:$H$16,2,0),"Other"))</f>
        <v/>
      </c>
      <c r="J3392" s="41" t="str">
        <f aca="false">IF(G3392="","",IFERROR(IF(ISNUMBER(SEARCH(Assumptions!$C$5,G3392)),Assumptions!$D$5,IF(ISNUMBER(SEARCH(Assumptions!$C$6,G3392)),Assumptions!$D$6,IF(ISNUMBER(SEARCH(Assumptions!$C$7,G3392)),Assumptions!$D$7,"Other Services"))),"Other Services"))</f>
        <v/>
      </c>
    </row>
    <row r="3393" customFormat="false" ht="15" hidden="false" customHeight="false" outlineLevel="0" collapsed="false">
      <c r="E3393" s="41" t="str">
        <f aca="false">IF(D3393="","",IFERROR(VLOOKUP(D3393,Assumptions!$G$5:$H$16,2,0),"Other"))</f>
        <v/>
      </c>
      <c r="J3393" s="41" t="str">
        <f aca="false">IF(G3393="","",IFERROR(IF(ISNUMBER(SEARCH(Assumptions!$C$5,G3393)),Assumptions!$D$5,IF(ISNUMBER(SEARCH(Assumptions!$C$6,G3393)),Assumptions!$D$6,IF(ISNUMBER(SEARCH(Assumptions!$C$7,G3393)),Assumptions!$D$7,"Other Services"))),"Other Services"))</f>
        <v/>
      </c>
    </row>
    <row r="3394" customFormat="false" ht="15" hidden="false" customHeight="false" outlineLevel="0" collapsed="false">
      <c r="E3394" s="41" t="str">
        <f aca="false">IF(D3394="","",IFERROR(VLOOKUP(D3394,Assumptions!$G$5:$H$16,2,0),"Other"))</f>
        <v/>
      </c>
      <c r="J3394" s="41" t="str">
        <f aca="false">IF(G3394="","",IFERROR(IF(ISNUMBER(SEARCH(Assumptions!$C$5,G3394)),Assumptions!$D$5,IF(ISNUMBER(SEARCH(Assumptions!$C$6,G3394)),Assumptions!$D$6,IF(ISNUMBER(SEARCH(Assumptions!$C$7,G3394)),Assumptions!$D$7,"Other Services"))),"Other Services"))</f>
        <v/>
      </c>
    </row>
    <row r="3395" customFormat="false" ht="15" hidden="false" customHeight="false" outlineLevel="0" collapsed="false">
      <c r="E3395" s="41" t="str">
        <f aca="false">IF(D3395="","",IFERROR(VLOOKUP(D3395,Assumptions!$G$5:$H$16,2,0),"Other"))</f>
        <v/>
      </c>
      <c r="J3395" s="41" t="str">
        <f aca="false">IF(G3395="","",IFERROR(IF(ISNUMBER(SEARCH(Assumptions!$C$5,G3395)),Assumptions!$D$5,IF(ISNUMBER(SEARCH(Assumptions!$C$6,G3395)),Assumptions!$D$6,IF(ISNUMBER(SEARCH(Assumptions!$C$7,G3395)),Assumptions!$D$7,"Other Services"))),"Other Services"))</f>
        <v/>
      </c>
    </row>
    <row r="3396" customFormat="false" ht="15" hidden="false" customHeight="false" outlineLevel="0" collapsed="false">
      <c r="E3396" s="41" t="str">
        <f aca="false">IF(D3396="","",IFERROR(VLOOKUP(D3396,Assumptions!$G$5:$H$16,2,0),"Other"))</f>
        <v/>
      </c>
      <c r="J3396" s="41" t="str">
        <f aca="false">IF(G3396="","",IFERROR(IF(ISNUMBER(SEARCH(Assumptions!$C$5,G3396)),Assumptions!$D$5,IF(ISNUMBER(SEARCH(Assumptions!$C$6,G3396)),Assumptions!$D$6,IF(ISNUMBER(SEARCH(Assumptions!$C$7,G3396)),Assumptions!$D$7,"Other Services"))),"Other Services"))</f>
        <v/>
      </c>
    </row>
    <row r="3397" customFormat="false" ht="15" hidden="false" customHeight="false" outlineLevel="0" collapsed="false">
      <c r="E3397" s="41" t="str">
        <f aca="false">IF(D3397="","",IFERROR(VLOOKUP(D3397,Assumptions!$G$5:$H$16,2,0),"Other"))</f>
        <v/>
      </c>
      <c r="J3397" s="41" t="str">
        <f aca="false">IF(G3397="","",IFERROR(IF(ISNUMBER(SEARCH(Assumptions!$C$5,G3397)),Assumptions!$D$5,IF(ISNUMBER(SEARCH(Assumptions!$C$6,G3397)),Assumptions!$D$6,IF(ISNUMBER(SEARCH(Assumptions!$C$7,G3397)),Assumptions!$D$7,"Other Services"))),"Other Services"))</f>
        <v/>
      </c>
    </row>
    <row r="3398" customFormat="false" ht="15" hidden="false" customHeight="false" outlineLevel="0" collapsed="false">
      <c r="E3398" s="41" t="str">
        <f aca="false">IF(D3398="","",IFERROR(VLOOKUP(D3398,Assumptions!$G$5:$H$16,2,0),"Other"))</f>
        <v/>
      </c>
      <c r="J3398" s="41" t="str">
        <f aca="false">IF(G3398="","",IFERROR(IF(ISNUMBER(SEARCH(Assumptions!$C$5,G3398)),Assumptions!$D$5,IF(ISNUMBER(SEARCH(Assumptions!$C$6,G3398)),Assumptions!$D$6,IF(ISNUMBER(SEARCH(Assumptions!$C$7,G3398)),Assumptions!$D$7,"Other Services"))),"Other Services"))</f>
        <v/>
      </c>
    </row>
    <row r="3399" customFormat="false" ht="15" hidden="false" customHeight="false" outlineLevel="0" collapsed="false">
      <c r="E3399" s="41" t="str">
        <f aca="false">IF(D3399="","",IFERROR(VLOOKUP(D3399,Assumptions!$G$5:$H$16,2,0),"Other"))</f>
        <v/>
      </c>
      <c r="J3399" s="41" t="str">
        <f aca="false">IF(G3399="","",IFERROR(IF(ISNUMBER(SEARCH(Assumptions!$C$5,G3399)),Assumptions!$D$5,IF(ISNUMBER(SEARCH(Assumptions!$C$6,G3399)),Assumptions!$D$6,IF(ISNUMBER(SEARCH(Assumptions!$C$7,G3399)),Assumptions!$D$7,"Other Services"))),"Other Services"))</f>
        <v/>
      </c>
    </row>
    <row r="3400" customFormat="false" ht="15" hidden="false" customHeight="false" outlineLevel="0" collapsed="false">
      <c r="E3400" s="41" t="str">
        <f aca="false">IF(D3400="","",IFERROR(VLOOKUP(D3400,Assumptions!$G$5:$H$16,2,0),"Other"))</f>
        <v/>
      </c>
      <c r="J3400" s="41" t="str">
        <f aca="false">IF(G3400="","",IFERROR(IF(ISNUMBER(SEARCH(Assumptions!$C$5,G3400)),Assumptions!$D$5,IF(ISNUMBER(SEARCH(Assumptions!$C$6,G3400)),Assumptions!$D$6,IF(ISNUMBER(SEARCH(Assumptions!$C$7,G3400)),Assumptions!$D$7,"Other Services"))),"Other Services"))</f>
        <v/>
      </c>
    </row>
    <row r="3401" customFormat="false" ht="15" hidden="false" customHeight="false" outlineLevel="0" collapsed="false">
      <c r="E3401" s="41" t="str">
        <f aca="false">IF(D3401="","",IFERROR(VLOOKUP(D3401,Assumptions!$G$5:$H$16,2,0),"Other"))</f>
        <v/>
      </c>
      <c r="J3401" s="41" t="str">
        <f aca="false">IF(G3401="","",IFERROR(IF(ISNUMBER(SEARCH(Assumptions!$C$5,G3401)),Assumptions!$D$5,IF(ISNUMBER(SEARCH(Assumptions!$C$6,G3401)),Assumptions!$D$6,IF(ISNUMBER(SEARCH(Assumptions!$C$7,G3401)),Assumptions!$D$7,"Other Services"))),"Other Services"))</f>
        <v/>
      </c>
    </row>
    <row r="3402" customFormat="false" ht="15" hidden="false" customHeight="false" outlineLevel="0" collapsed="false">
      <c r="E3402" s="41" t="str">
        <f aca="false">IF(D3402="","",IFERROR(VLOOKUP(D3402,Assumptions!$G$5:$H$16,2,0),"Other"))</f>
        <v/>
      </c>
      <c r="J3402" s="41" t="str">
        <f aca="false">IF(G3402="","",IFERROR(IF(ISNUMBER(SEARCH(Assumptions!$C$5,G3402)),Assumptions!$D$5,IF(ISNUMBER(SEARCH(Assumptions!$C$6,G3402)),Assumptions!$D$6,IF(ISNUMBER(SEARCH(Assumptions!$C$7,G3402)),Assumptions!$D$7,"Other Services"))),"Other Services"))</f>
        <v/>
      </c>
    </row>
    <row r="3403" customFormat="false" ht="15" hidden="false" customHeight="false" outlineLevel="0" collapsed="false">
      <c r="E3403" s="41" t="str">
        <f aca="false">IF(D3403="","",IFERROR(VLOOKUP(D3403,Assumptions!$G$5:$H$16,2,0),"Other"))</f>
        <v/>
      </c>
      <c r="J3403" s="41" t="str">
        <f aca="false">IF(G3403="","",IFERROR(IF(ISNUMBER(SEARCH(Assumptions!$C$5,G3403)),Assumptions!$D$5,IF(ISNUMBER(SEARCH(Assumptions!$C$6,G3403)),Assumptions!$D$6,IF(ISNUMBER(SEARCH(Assumptions!$C$7,G3403)),Assumptions!$D$7,"Other Services"))),"Other Services"))</f>
        <v/>
      </c>
    </row>
    <row r="3404" customFormat="false" ht="15" hidden="false" customHeight="false" outlineLevel="0" collapsed="false">
      <c r="E3404" s="41" t="str">
        <f aca="false">IF(D3404="","",IFERROR(VLOOKUP(D3404,Assumptions!$G$5:$H$16,2,0),"Other"))</f>
        <v/>
      </c>
      <c r="J3404" s="41" t="str">
        <f aca="false">IF(G3404="","",IFERROR(IF(ISNUMBER(SEARCH(Assumptions!$C$5,G3404)),Assumptions!$D$5,IF(ISNUMBER(SEARCH(Assumptions!$C$6,G3404)),Assumptions!$D$6,IF(ISNUMBER(SEARCH(Assumptions!$C$7,G3404)),Assumptions!$D$7,"Other Services"))),"Other Services"))</f>
        <v/>
      </c>
    </row>
    <row r="3405" customFormat="false" ht="15" hidden="false" customHeight="false" outlineLevel="0" collapsed="false">
      <c r="E3405" s="41" t="str">
        <f aca="false">IF(D3405="","",IFERROR(VLOOKUP(D3405,Assumptions!$G$5:$H$16,2,0),"Other"))</f>
        <v/>
      </c>
      <c r="J3405" s="41" t="str">
        <f aca="false">IF(G3405="","",IFERROR(IF(ISNUMBER(SEARCH(Assumptions!$C$5,G3405)),Assumptions!$D$5,IF(ISNUMBER(SEARCH(Assumptions!$C$6,G3405)),Assumptions!$D$6,IF(ISNUMBER(SEARCH(Assumptions!$C$7,G3405)),Assumptions!$D$7,"Other Services"))),"Other Services"))</f>
        <v/>
      </c>
    </row>
    <row r="3406" customFormat="false" ht="15" hidden="false" customHeight="false" outlineLevel="0" collapsed="false">
      <c r="E3406" s="41" t="str">
        <f aca="false">IF(D3406="","",IFERROR(VLOOKUP(D3406,Assumptions!$G$5:$H$16,2,0),"Other"))</f>
        <v/>
      </c>
      <c r="J3406" s="41" t="str">
        <f aca="false">IF(G3406="","",IFERROR(IF(ISNUMBER(SEARCH(Assumptions!$C$5,G3406)),Assumptions!$D$5,IF(ISNUMBER(SEARCH(Assumptions!$C$6,G3406)),Assumptions!$D$6,IF(ISNUMBER(SEARCH(Assumptions!$C$7,G3406)),Assumptions!$D$7,"Other Services"))),"Other Services"))</f>
        <v/>
      </c>
    </row>
    <row r="3407" customFormat="false" ht="15" hidden="false" customHeight="false" outlineLevel="0" collapsed="false">
      <c r="E3407" s="41" t="str">
        <f aca="false">IF(D3407="","",IFERROR(VLOOKUP(D3407,Assumptions!$G$5:$H$16,2,0),"Other"))</f>
        <v/>
      </c>
      <c r="J3407" s="41" t="str">
        <f aca="false">IF(G3407="","",IFERROR(IF(ISNUMBER(SEARCH(Assumptions!$C$5,G3407)),Assumptions!$D$5,IF(ISNUMBER(SEARCH(Assumptions!$C$6,G3407)),Assumptions!$D$6,IF(ISNUMBER(SEARCH(Assumptions!$C$7,G3407)),Assumptions!$D$7,"Other Services"))),"Other Services"))</f>
        <v/>
      </c>
    </row>
    <row r="3408" customFormat="false" ht="15" hidden="false" customHeight="false" outlineLevel="0" collapsed="false">
      <c r="E3408" s="41" t="str">
        <f aca="false">IF(D3408="","",IFERROR(VLOOKUP(D3408,Assumptions!$G$5:$H$16,2,0),"Other"))</f>
        <v/>
      </c>
      <c r="J3408" s="41" t="str">
        <f aca="false">IF(G3408="","",IFERROR(IF(ISNUMBER(SEARCH(Assumptions!$C$5,G3408)),Assumptions!$D$5,IF(ISNUMBER(SEARCH(Assumptions!$C$6,G3408)),Assumptions!$D$6,IF(ISNUMBER(SEARCH(Assumptions!$C$7,G3408)),Assumptions!$D$7,"Other Services"))),"Other Services"))</f>
        <v/>
      </c>
    </row>
    <row r="3409" customFormat="false" ht="15" hidden="false" customHeight="false" outlineLevel="0" collapsed="false">
      <c r="E3409" s="41" t="str">
        <f aca="false">IF(D3409="","",IFERROR(VLOOKUP(D3409,Assumptions!$G$5:$H$16,2,0),"Other"))</f>
        <v/>
      </c>
      <c r="J3409" s="41" t="str">
        <f aca="false">IF(G3409="","",IFERROR(IF(ISNUMBER(SEARCH(Assumptions!$C$5,G3409)),Assumptions!$D$5,IF(ISNUMBER(SEARCH(Assumptions!$C$6,G3409)),Assumptions!$D$6,IF(ISNUMBER(SEARCH(Assumptions!$C$7,G3409)),Assumptions!$D$7,"Other Services"))),"Other Services"))</f>
        <v/>
      </c>
    </row>
    <row r="3410" customFormat="false" ht="15" hidden="false" customHeight="false" outlineLevel="0" collapsed="false">
      <c r="E3410" s="41" t="str">
        <f aca="false">IF(D3410="","",IFERROR(VLOOKUP(D3410,Assumptions!$G$5:$H$16,2,0),"Other"))</f>
        <v/>
      </c>
      <c r="J3410" s="41" t="str">
        <f aca="false">IF(G3410="","",IFERROR(IF(ISNUMBER(SEARCH(Assumptions!$C$5,G3410)),Assumptions!$D$5,IF(ISNUMBER(SEARCH(Assumptions!$C$6,G3410)),Assumptions!$D$6,IF(ISNUMBER(SEARCH(Assumptions!$C$7,G3410)),Assumptions!$D$7,"Other Services"))),"Other Services"))</f>
        <v/>
      </c>
    </row>
    <row r="3411" customFormat="false" ht="15" hidden="false" customHeight="false" outlineLevel="0" collapsed="false">
      <c r="E3411" s="41" t="str">
        <f aca="false">IF(D3411="","",IFERROR(VLOOKUP(D3411,Assumptions!$G$5:$H$16,2,0),"Other"))</f>
        <v/>
      </c>
      <c r="J3411" s="41" t="str">
        <f aca="false">IF(G3411="","",IFERROR(IF(ISNUMBER(SEARCH(Assumptions!$C$5,G3411)),Assumptions!$D$5,IF(ISNUMBER(SEARCH(Assumptions!$C$6,G3411)),Assumptions!$D$6,IF(ISNUMBER(SEARCH(Assumptions!$C$7,G3411)),Assumptions!$D$7,"Other Services"))),"Other Services"))</f>
        <v/>
      </c>
    </row>
    <row r="3412" customFormat="false" ht="15" hidden="false" customHeight="false" outlineLevel="0" collapsed="false">
      <c r="E3412" s="41" t="str">
        <f aca="false">IF(D3412="","",IFERROR(VLOOKUP(D3412,Assumptions!$G$5:$H$16,2,0),"Other"))</f>
        <v/>
      </c>
      <c r="J3412" s="41" t="str">
        <f aca="false">IF(G3412="","",IFERROR(IF(ISNUMBER(SEARCH(Assumptions!$C$5,G3412)),Assumptions!$D$5,IF(ISNUMBER(SEARCH(Assumptions!$C$6,G3412)),Assumptions!$D$6,IF(ISNUMBER(SEARCH(Assumptions!$C$7,G3412)),Assumptions!$D$7,"Other Services"))),"Other Services"))</f>
        <v/>
      </c>
    </row>
    <row r="3413" customFormat="false" ht="15" hidden="false" customHeight="false" outlineLevel="0" collapsed="false">
      <c r="E3413" s="41" t="str">
        <f aca="false">IF(D3413="","",IFERROR(VLOOKUP(D3413,Assumptions!$G$5:$H$16,2,0),"Other"))</f>
        <v/>
      </c>
      <c r="J3413" s="41" t="str">
        <f aca="false">IF(G3413="","",IFERROR(IF(ISNUMBER(SEARCH(Assumptions!$C$5,G3413)),Assumptions!$D$5,IF(ISNUMBER(SEARCH(Assumptions!$C$6,G3413)),Assumptions!$D$6,IF(ISNUMBER(SEARCH(Assumptions!$C$7,G3413)),Assumptions!$D$7,"Other Services"))),"Other Services"))</f>
        <v/>
      </c>
    </row>
    <row r="3414" customFormat="false" ht="15" hidden="false" customHeight="false" outlineLevel="0" collapsed="false">
      <c r="E3414" s="41" t="str">
        <f aca="false">IF(D3414="","",IFERROR(VLOOKUP(D3414,Assumptions!$G$5:$H$16,2,0),"Other"))</f>
        <v/>
      </c>
      <c r="J3414" s="41" t="str">
        <f aca="false">IF(G3414="","",IFERROR(IF(ISNUMBER(SEARCH(Assumptions!$C$5,G3414)),Assumptions!$D$5,IF(ISNUMBER(SEARCH(Assumptions!$C$6,G3414)),Assumptions!$D$6,IF(ISNUMBER(SEARCH(Assumptions!$C$7,G3414)),Assumptions!$D$7,"Other Services"))),"Other Services"))</f>
        <v/>
      </c>
    </row>
    <row r="3415" customFormat="false" ht="15" hidden="false" customHeight="false" outlineLevel="0" collapsed="false">
      <c r="E3415" s="41" t="str">
        <f aca="false">IF(D3415="","",IFERROR(VLOOKUP(D3415,Assumptions!$G$5:$H$16,2,0),"Other"))</f>
        <v/>
      </c>
      <c r="J3415" s="41" t="str">
        <f aca="false">IF(G3415="","",IFERROR(IF(ISNUMBER(SEARCH(Assumptions!$C$5,G3415)),Assumptions!$D$5,IF(ISNUMBER(SEARCH(Assumptions!$C$6,G3415)),Assumptions!$D$6,IF(ISNUMBER(SEARCH(Assumptions!$C$7,G3415)),Assumptions!$D$7,"Other Services"))),"Other Services"))</f>
        <v/>
      </c>
    </row>
    <row r="3416" customFormat="false" ht="15" hidden="false" customHeight="false" outlineLevel="0" collapsed="false">
      <c r="E3416" s="41" t="str">
        <f aca="false">IF(D3416="","",IFERROR(VLOOKUP(D3416,Assumptions!$G$5:$H$16,2,0),"Other"))</f>
        <v/>
      </c>
      <c r="J3416" s="41" t="str">
        <f aca="false">IF(G3416="","",IFERROR(IF(ISNUMBER(SEARCH(Assumptions!$C$5,G3416)),Assumptions!$D$5,IF(ISNUMBER(SEARCH(Assumptions!$C$6,G3416)),Assumptions!$D$6,IF(ISNUMBER(SEARCH(Assumptions!$C$7,G3416)),Assumptions!$D$7,"Other Services"))),"Other Services"))</f>
        <v/>
      </c>
    </row>
    <row r="3417" customFormat="false" ht="15" hidden="false" customHeight="false" outlineLevel="0" collapsed="false">
      <c r="E3417" s="41" t="str">
        <f aca="false">IF(D3417="","",IFERROR(VLOOKUP(D3417,Assumptions!$G$5:$H$16,2,0),"Other"))</f>
        <v/>
      </c>
      <c r="J3417" s="41" t="str">
        <f aca="false">IF(G3417="","",IFERROR(IF(ISNUMBER(SEARCH(Assumptions!$C$5,G3417)),Assumptions!$D$5,IF(ISNUMBER(SEARCH(Assumptions!$C$6,G3417)),Assumptions!$D$6,IF(ISNUMBER(SEARCH(Assumptions!$C$7,G3417)),Assumptions!$D$7,"Other Services"))),"Other Services"))</f>
        <v/>
      </c>
    </row>
    <row r="3418" customFormat="false" ht="15" hidden="false" customHeight="false" outlineLevel="0" collapsed="false">
      <c r="E3418" s="41" t="str">
        <f aca="false">IF(D3418="","",IFERROR(VLOOKUP(D3418,Assumptions!$G$5:$H$16,2,0),"Other"))</f>
        <v/>
      </c>
      <c r="J3418" s="41" t="str">
        <f aca="false">IF(G3418="","",IFERROR(IF(ISNUMBER(SEARCH(Assumptions!$C$5,G3418)),Assumptions!$D$5,IF(ISNUMBER(SEARCH(Assumptions!$C$6,G3418)),Assumptions!$D$6,IF(ISNUMBER(SEARCH(Assumptions!$C$7,G3418)),Assumptions!$D$7,"Other Services"))),"Other Services"))</f>
        <v/>
      </c>
    </row>
    <row r="3419" customFormat="false" ht="15" hidden="false" customHeight="false" outlineLevel="0" collapsed="false">
      <c r="E3419" s="41" t="str">
        <f aca="false">IF(D3419="","",IFERROR(VLOOKUP(D3419,Assumptions!$G$5:$H$16,2,0),"Other"))</f>
        <v/>
      </c>
      <c r="J3419" s="41" t="str">
        <f aca="false">IF(G3419="","",IFERROR(IF(ISNUMBER(SEARCH(Assumptions!$C$5,G3419)),Assumptions!$D$5,IF(ISNUMBER(SEARCH(Assumptions!$C$6,G3419)),Assumptions!$D$6,IF(ISNUMBER(SEARCH(Assumptions!$C$7,G3419)),Assumptions!$D$7,"Other Services"))),"Other Services"))</f>
        <v/>
      </c>
    </row>
    <row r="3420" customFormat="false" ht="15" hidden="false" customHeight="false" outlineLevel="0" collapsed="false">
      <c r="E3420" s="41" t="str">
        <f aca="false">IF(D3420="","",IFERROR(VLOOKUP(D3420,Assumptions!$G$5:$H$16,2,0),"Other"))</f>
        <v/>
      </c>
      <c r="J3420" s="41" t="str">
        <f aca="false">IF(G3420="","",IFERROR(IF(ISNUMBER(SEARCH(Assumptions!$C$5,G3420)),Assumptions!$D$5,IF(ISNUMBER(SEARCH(Assumptions!$C$6,G3420)),Assumptions!$D$6,IF(ISNUMBER(SEARCH(Assumptions!$C$7,G3420)),Assumptions!$D$7,"Other Services"))),"Other Services"))</f>
        <v/>
      </c>
    </row>
    <row r="3421" customFormat="false" ht="15" hidden="false" customHeight="false" outlineLevel="0" collapsed="false">
      <c r="E3421" s="41" t="str">
        <f aca="false">IF(D3421="","",IFERROR(VLOOKUP(D3421,Assumptions!$G$5:$H$16,2,0),"Other"))</f>
        <v/>
      </c>
      <c r="J3421" s="41" t="str">
        <f aca="false">IF(G3421="","",IFERROR(IF(ISNUMBER(SEARCH(Assumptions!$C$5,G3421)),Assumptions!$D$5,IF(ISNUMBER(SEARCH(Assumptions!$C$6,G3421)),Assumptions!$D$6,IF(ISNUMBER(SEARCH(Assumptions!$C$7,G3421)),Assumptions!$D$7,"Other Services"))),"Other Services"))</f>
        <v/>
      </c>
    </row>
    <row r="3422" customFormat="false" ht="15" hidden="false" customHeight="false" outlineLevel="0" collapsed="false">
      <c r="E3422" s="41" t="str">
        <f aca="false">IF(D3422="","",IFERROR(VLOOKUP(D3422,Assumptions!$G$5:$H$16,2,0),"Other"))</f>
        <v/>
      </c>
      <c r="J3422" s="41" t="str">
        <f aca="false">IF(G3422="","",IFERROR(IF(ISNUMBER(SEARCH(Assumptions!$C$5,G3422)),Assumptions!$D$5,IF(ISNUMBER(SEARCH(Assumptions!$C$6,G3422)),Assumptions!$D$6,IF(ISNUMBER(SEARCH(Assumptions!$C$7,G3422)),Assumptions!$D$7,"Other Services"))),"Other Services"))</f>
        <v/>
      </c>
    </row>
    <row r="3423" customFormat="false" ht="15" hidden="false" customHeight="false" outlineLevel="0" collapsed="false">
      <c r="E3423" s="41" t="str">
        <f aca="false">IF(D3423="","",IFERROR(VLOOKUP(D3423,Assumptions!$G$5:$H$16,2,0),"Other"))</f>
        <v/>
      </c>
      <c r="J3423" s="41" t="str">
        <f aca="false">IF(G3423="","",IFERROR(IF(ISNUMBER(SEARCH(Assumptions!$C$5,G3423)),Assumptions!$D$5,IF(ISNUMBER(SEARCH(Assumptions!$C$6,G3423)),Assumptions!$D$6,IF(ISNUMBER(SEARCH(Assumptions!$C$7,G3423)),Assumptions!$D$7,"Other Services"))),"Other Services"))</f>
        <v/>
      </c>
    </row>
    <row r="3424" customFormat="false" ht="15" hidden="false" customHeight="false" outlineLevel="0" collapsed="false">
      <c r="E3424" s="41" t="str">
        <f aca="false">IF(D3424="","",IFERROR(VLOOKUP(D3424,Assumptions!$G$5:$H$16,2,0),"Other"))</f>
        <v/>
      </c>
      <c r="J3424" s="41" t="str">
        <f aca="false">IF(G3424="","",IFERROR(IF(ISNUMBER(SEARCH(Assumptions!$C$5,G3424)),Assumptions!$D$5,IF(ISNUMBER(SEARCH(Assumptions!$C$6,G3424)),Assumptions!$D$6,IF(ISNUMBER(SEARCH(Assumptions!$C$7,G3424)),Assumptions!$D$7,"Other Services"))),"Other Services"))</f>
        <v/>
      </c>
    </row>
    <row r="3425" customFormat="false" ht="15" hidden="false" customHeight="false" outlineLevel="0" collapsed="false">
      <c r="E3425" s="41" t="str">
        <f aca="false">IF(D3425="","",IFERROR(VLOOKUP(D3425,Assumptions!$G$5:$H$16,2,0),"Other"))</f>
        <v/>
      </c>
      <c r="J3425" s="41" t="str">
        <f aca="false">IF(G3425="","",IFERROR(IF(ISNUMBER(SEARCH(Assumptions!$C$5,G3425)),Assumptions!$D$5,IF(ISNUMBER(SEARCH(Assumptions!$C$6,G3425)),Assumptions!$D$6,IF(ISNUMBER(SEARCH(Assumptions!$C$7,G3425)),Assumptions!$D$7,"Other Services"))),"Other Services"))</f>
        <v/>
      </c>
    </row>
    <row r="3426" customFormat="false" ht="15" hidden="false" customHeight="false" outlineLevel="0" collapsed="false">
      <c r="E3426" s="41" t="str">
        <f aca="false">IF(D3426="","",IFERROR(VLOOKUP(D3426,Assumptions!$G$5:$H$16,2,0),"Other"))</f>
        <v/>
      </c>
      <c r="J3426" s="41" t="str">
        <f aca="false">IF(G3426="","",IFERROR(IF(ISNUMBER(SEARCH(Assumptions!$C$5,G3426)),Assumptions!$D$5,IF(ISNUMBER(SEARCH(Assumptions!$C$6,G3426)),Assumptions!$D$6,IF(ISNUMBER(SEARCH(Assumptions!$C$7,G3426)),Assumptions!$D$7,"Other Services"))),"Other Services"))</f>
        <v/>
      </c>
    </row>
    <row r="3427" customFormat="false" ht="15" hidden="false" customHeight="false" outlineLevel="0" collapsed="false">
      <c r="E3427" s="41" t="str">
        <f aca="false">IF(D3427="","",IFERROR(VLOOKUP(D3427,Assumptions!$G$5:$H$16,2,0),"Other"))</f>
        <v/>
      </c>
      <c r="J3427" s="41" t="str">
        <f aca="false">IF(G3427="","",IFERROR(IF(ISNUMBER(SEARCH(Assumptions!$C$5,G3427)),Assumptions!$D$5,IF(ISNUMBER(SEARCH(Assumptions!$C$6,G3427)),Assumptions!$D$6,IF(ISNUMBER(SEARCH(Assumptions!$C$7,G3427)),Assumptions!$D$7,"Other Services"))),"Other Services"))</f>
        <v/>
      </c>
    </row>
    <row r="3428" customFormat="false" ht="15" hidden="false" customHeight="false" outlineLevel="0" collapsed="false">
      <c r="E3428" s="41" t="str">
        <f aca="false">IF(D3428="","",IFERROR(VLOOKUP(D3428,Assumptions!$G$5:$H$16,2,0),"Other"))</f>
        <v/>
      </c>
      <c r="J3428" s="41" t="str">
        <f aca="false">IF(G3428="","",IFERROR(IF(ISNUMBER(SEARCH(Assumptions!$C$5,G3428)),Assumptions!$D$5,IF(ISNUMBER(SEARCH(Assumptions!$C$6,G3428)),Assumptions!$D$6,IF(ISNUMBER(SEARCH(Assumptions!$C$7,G3428)),Assumptions!$D$7,"Other Services"))),"Other Services"))</f>
        <v/>
      </c>
    </row>
    <row r="3429" customFormat="false" ht="15" hidden="false" customHeight="false" outlineLevel="0" collapsed="false">
      <c r="E3429" s="41" t="str">
        <f aca="false">IF(D3429="","",IFERROR(VLOOKUP(D3429,Assumptions!$G$5:$H$16,2,0),"Other"))</f>
        <v/>
      </c>
      <c r="J3429" s="41" t="str">
        <f aca="false">IF(G3429="","",IFERROR(IF(ISNUMBER(SEARCH(Assumptions!$C$5,G3429)),Assumptions!$D$5,IF(ISNUMBER(SEARCH(Assumptions!$C$6,G3429)),Assumptions!$D$6,IF(ISNUMBER(SEARCH(Assumptions!$C$7,G3429)),Assumptions!$D$7,"Other Services"))),"Other Services"))</f>
        <v/>
      </c>
    </row>
    <row r="3430" customFormat="false" ht="15" hidden="false" customHeight="false" outlineLevel="0" collapsed="false">
      <c r="E3430" s="41" t="str">
        <f aca="false">IF(D3430="","",IFERROR(VLOOKUP(D3430,Assumptions!$G$5:$H$16,2,0),"Other"))</f>
        <v/>
      </c>
      <c r="J3430" s="41" t="str">
        <f aca="false">IF(G3430="","",IFERROR(IF(ISNUMBER(SEARCH(Assumptions!$C$5,G3430)),Assumptions!$D$5,IF(ISNUMBER(SEARCH(Assumptions!$C$6,G3430)),Assumptions!$D$6,IF(ISNUMBER(SEARCH(Assumptions!$C$7,G3430)),Assumptions!$D$7,"Other Services"))),"Other Services"))</f>
        <v/>
      </c>
    </row>
    <row r="3431" customFormat="false" ht="15" hidden="false" customHeight="false" outlineLevel="0" collapsed="false">
      <c r="E3431" s="41" t="str">
        <f aca="false">IF(D3431="","",IFERROR(VLOOKUP(D3431,Assumptions!$G$5:$H$16,2,0),"Other"))</f>
        <v/>
      </c>
      <c r="J3431" s="41" t="str">
        <f aca="false">IF(G3431="","",IFERROR(IF(ISNUMBER(SEARCH(Assumptions!$C$5,G3431)),Assumptions!$D$5,IF(ISNUMBER(SEARCH(Assumptions!$C$6,G3431)),Assumptions!$D$6,IF(ISNUMBER(SEARCH(Assumptions!$C$7,G3431)),Assumptions!$D$7,"Other Services"))),"Other Services"))</f>
        <v/>
      </c>
    </row>
    <row r="3432" customFormat="false" ht="15" hidden="false" customHeight="false" outlineLevel="0" collapsed="false">
      <c r="E3432" s="41" t="str">
        <f aca="false">IF(D3432="","",IFERROR(VLOOKUP(D3432,Assumptions!$G$5:$H$16,2,0),"Other"))</f>
        <v/>
      </c>
      <c r="J3432" s="41" t="str">
        <f aca="false">IF(G3432="","",IFERROR(IF(ISNUMBER(SEARCH(Assumptions!$C$5,G3432)),Assumptions!$D$5,IF(ISNUMBER(SEARCH(Assumptions!$C$6,G3432)),Assumptions!$D$6,IF(ISNUMBER(SEARCH(Assumptions!$C$7,G3432)),Assumptions!$D$7,"Other Services"))),"Other Services"))</f>
        <v/>
      </c>
    </row>
    <row r="3433" customFormat="false" ht="15" hidden="false" customHeight="false" outlineLevel="0" collapsed="false">
      <c r="E3433" s="41" t="str">
        <f aca="false">IF(D3433="","",IFERROR(VLOOKUP(D3433,Assumptions!$G$5:$H$16,2,0),"Other"))</f>
        <v/>
      </c>
      <c r="J3433" s="41" t="str">
        <f aca="false">IF(G3433="","",IFERROR(IF(ISNUMBER(SEARCH(Assumptions!$C$5,G3433)),Assumptions!$D$5,IF(ISNUMBER(SEARCH(Assumptions!$C$6,G3433)),Assumptions!$D$6,IF(ISNUMBER(SEARCH(Assumptions!$C$7,G3433)),Assumptions!$D$7,"Other Services"))),"Other Services"))</f>
        <v/>
      </c>
    </row>
    <row r="3434" customFormat="false" ht="15" hidden="false" customHeight="false" outlineLevel="0" collapsed="false">
      <c r="E3434" s="41" t="str">
        <f aca="false">IF(D3434="","",IFERROR(VLOOKUP(D3434,Assumptions!$G$5:$H$16,2,0),"Other"))</f>
        <v/>
      </c>
      <c r="J3434" s="41" t="str">
        <f aca="false">IF(G3434="","",IFERROR(IF(ISNUMBER(SEARCH(Assumptions!$C$5,G3434)),Assumptions!$D$5,IF(ISNUMBER(SEARCH(Assumptions!$C$6,G3434)),Assumptions!$D$6,IF(ISNUMBER(SEARCH(Assumptions!$C$7,G3434)),Assumptions!$D$7,"Other Services"))),"Other Services"))</f>
        <v/>
      </c>
    </row>
    <row r="3435" customFormat="false" ht="15" hidden="false" customHeight="false" outlineLevel="0" collapsed="false">
      <c r="E3435" s="41" t="str">
        <f aca="false">IF(D3435="","",IFERROR(VLOOKUP(D3435,Assumptions!$G$5:$H$16,2,0),"Other"))</f>
        <v/>
      </c>
      <c r="J3435" s="41" t="str">
        <f aca="false">IF(G3435="","",IFERROR(IF(ISNUMBER(SEARCH(Assumptions!$C$5,G3435)),Assumptions!$D$5,IF(ISNUMBER(SEARCH(Assumptions!$C$6,G3435)),Assumptions!$D$6,IF(ISNUMBER(SEARCH(Assumptions!$C$7,G3435)),Assumptions!$D$7,"Other Services"))),"Other Services"))</f>
        <v/>
      </c>
    </row>
    <row r="3436" customFormat="false" ht="15" hidden="false" customHeight="false" outlineLevel="0" collapsed="false">
      <c r="E3436" s="41" t="str">
        <f aca="false">IF(D3436="","",IFERROR(VLOOKUP(D3436,Assumptions!$G$5:$H$16,2,0),"Other"))</f>
        <v/>
      </c>
      <c r="J3436" s="41" t="str">
        <f aca="false">IF(G3436="","",IFERROR(IF(ISNUMBER(SEARCH(Assumptions!$C$5,G3436)),Assumptions!$D$5,IF(ISNUMBER(SEARCH(Assumptions!$C$6,G3436)),Assumptions!$D$6,IF(ISNUMBER(SEARCH(Assumptions!$C$7,G3436)),Assumptions!$D$7,"Other Services"))),"Other Services"))</f>
        <v/>
      </c>
    </row>
    <row r="3437" customFormat="false" ht="15" hidden="false" customHeight="false" outlineLevel="0" collapsed="false">
      <c r="E3437" s="41" t="str">
        <f aca="false">IF(D3437="","",IFERROR(VLOOKUP(D3437,Assumptions!$G$5:$H$16,2,0),"Other"))</f>
        <v/>
      </c>
      <c r="J3437" s="41" t="str">
        <f aca="false">IF(G3437="","",IFERROR(IF(ISNUMBER(SEARCH(Assumptions!$C$5,G3437)),Assumptions!$D$5,IF(ISNUMBER(SEARCH(Assumptions!$C$6,G3437)),Assumptions!$D$6,IF(ISNUMBER(SEARCH(Assumptions!$C$7,G3437)),Assumptions!$D$7,"Other Services"))),"Other Services"))</f>
        <v/>
      </c>
    </row>
    <row r="3438" customFormat="false" ht="15" hidden="false" customHeight="false" outlineLevel="0" collapsed="false">
      <c r="E3438" s="41" t="str">
        <f aca="false">IF(D3438="","",IFERROR(VLOOKUP(D3438,Assumptions!$G$5:$H$16,2,0),"Other"))</f>
        <v/>
      </c>
      <c r="J3438" s="41" t="str">
        <f aca="false">IF(G3438="","",IFERROR(IF(ISNUMBER(SEARCH(Assumptions!$C$5,G3438)),Assumptions!$D$5,IF(ISNUMBER(SEARCH(Assumptions!$C$6,G3438)),Assumptions!$D$6,IF(ISNUMBER(SEARCH(Assumptions!$C$7,G3438)),Assumptions!$D$7,"Other Services"))),"Other Services"))</f>
        <v/>
      </c>
    </row>
    <row r="3439" customFormat="false" ht="15" hidden="false" customHeight="false" outlineLevel="0" collapsed="false">
      <c r="E3439" s="41" t="str">
        <f aca="false">IF(D3439="","",IFERROR(VLOOKUP(D3439,Assumptions!$G$5:$H$16,2,0),"Other"))</f>
        <v/>
      </c>
      <c r="J3439" s="41" t="str">
        <f aca="false">IF(G3439="","",IFERROR(IF(ISNUMBER(SEARCH(Assumptions!$C$5,G3439)),Assumptions!$D$5,IF(ISNUMBER(SEARCH(Assumptions!$C$6,G3439)),Assumptions!$D$6,IF(ISNUMBER(SEARCH(Assumptions!$C$7,G3439)),Assumptions!$D$7,"Other Services"))),"Other Services"))</f>
        <v/>
      </c>
    </row>
    <row r="3440" customFormat="false" ht="15" hidden="false" customHeight="false" outlineLevel="0" collapsed="false">
      <c r="E3440" s="41" t="str">
        <f aca="false">IF(D3440="","",IFERROR(VLOOKUP(D3440,Assumptions!$G$5:$H$16,2,0),"Other"))</f>
        <v/>
      </c>
      <c r="J3440" s="41" t="str">
        <f aca="false">IF(G3440="","",IFERROR(IF(ISNUMBER(SEARCH(Assumptions!$C$5,G3440)),Assumptions!$D$5,IF(ISNUMBER(SEARCH(Assumptions!$C$6,G3440)),Assumptions!$D$6,IF(ISNUMBER(SEARCH(Assumptions!$C$7,G3440)),Assumptions!$D$7,"Other Services"))),"Other Services"))</f>
        <v/>
      </c>
    </row>
    <row r="3441" customFormat="false" ht="15" hidden="false" customHeight="false" outlineLevel="0" collapsed="false">
      <c r="E3441" s="41" t="str">
        <f aca="false">IF(D3441="","",IFERROR(VLOOKUP(D3441,Assumptions!$G$5:$H$16,2,0),"Other"))</f>
        <v/>
      </c>
      <c r="J3441" s="41" t="str">
        <f aca="false">IF(G3441="","",IFERROR(IF(ISNUMBER(SEARCH(Assumptions!$C$5,G3441)),Assumptions!$D$5,IF(ISNUMBER(SEARCH(Assumptions!$C$6,G3441)),Assumptions!$D$6,IF(ISNUMBER(SEARCH(Assumptions!$C$7,G3441)),Assumptions!$D$7,"Other Services"))),"Other Services"))</f>
        <v/>
      </c>
    </row>
    <row r="3442" customFormat="false" ht="15" hidden="false" customHeight="false" outlineLevel="0" collapsed="false">
      <c r="E3442" s="41" t="str">
        <f aca="false">IF(D3442="","",IFERROR(VLOOKUP(D3442,Assumptions!$G$5:$H$16,2,0),"Other"))</f>
        <v/>
      </c>
      <c r="J3442" s="41" t="str">
        <f aca="false">IF(G3442="","",IFERROR(IF(ISNUMBER(SEARCH(Assumptions!$C$5,G3442)),Assumptions!$D$5,IF(ISNUMBER(SEARCH(Assumptions!$C$6,G3442)),Assumptions!$D$6,IF(ISNUMBER(SEARCH(Assumptions!$C$7,G3442)),Assumptions!$D$7,"Other Services"))),"Other Services"))</f>
        <v/>
      </c>
    </row>
    <row r="3443" customFormat="false" ht="15" hidden="false" customHeight="false" outlineLevel="0" collapsed="false">
      <c r="E3443" s="41" t="str">
        <f aca="false">IF(D3443="","",IFERROR(VLOOKUP(D3443,Assumptions!$G$5:$H$16,2,0),"Other"))</f>
        <v/>
      </c>
      <c r="J3443" s="41" t="str">
        <f aca="false">IF(G3443="","",IFERROR(IF(ISNUMBER(SEARCH(Assumptions!$C$5,G3443)),Assumptions!$D$5,IF(ISNUMBER(SEARCH(Assumptions!$C$6,G3443)),Assumptions!$D$6,IF(ISNUMBER(SEARCH(Assumptions!$C$7,G3443)),Assumptions!$D$7,"Other Services"))),"Other Services"))</f>
        <v/>
      </c>
    </row>
    <row r="3444" customFormat="false" ht="15" hidden="false" customHeight="false" outlineLevel="0" collapsed="false">
      <c r="E3444" s="41" t="str">
        <f aca="false">IF(D3444="","",IFERROR(VLOOKUP(D3444,Assumptions!$G$5:$H$16,2,0),"Other"))</f>
        <v/>
      </c>
      <c r="J3444" s="41" t="str">
        <f aca="false">IF(G3444="","",IFERROR(IF(ISNUMBER(SEARCH(Assumptions!$C$5,G3444)),Assumptions!$D$5,IF(ISNUMBER(SEARCH(Assumptions!$C$6,G3444)),Assumptions!$D$6,IF(ISNUMBER(SEARCH(Assumptions!$C$7,G3444)),Assumptions!$D$7,"Other Services"))),"Other Services"))</f>
        <v/>
      </c>
    </row>
    <row r="3445" customFormat="false" ht="15" hidden="false" customHeight="false" outlineLevel="0" collapsed="false">
      <c r="E3445" s="41" t="str">
        <f aca="false">IF(D3445="","",IFERROR(VLOOKUP(D3445,Assumptions!$G$5:$H$16,2,0),"Other"))</f>
        <v/>
      </c>
      <c r="J3445" s="41" t="str">
        <f aca="false">IF(G3445="","",IFERROR(IF(ISNUMBER(SEARCH(Assumptions!$C$5,G3445)),Assumptions!$D$5,IF(ISNUMBER(SEARCH(Assumptions!$C$6,G3445)),Assumptions!$D$6,IF(ISNUMBER(SEARCH(Assumptions!$C$7,G3445)),Assumptions!$D$7,"Other Services"))),"Other Services"))</f>
        <v/>
      </c>
    </row>
    <row r="3446" customFormat="false" ht="15" hidden="false" customHeight="false" outlineLevel="0" collapsed="false">
      <c r="E3446" s="41" t="str">
        <f aca="false">IF(D3446="","",IFERROR(VLOOKUP(D3446,Assumptions!$G$5:$H$16,2,0),"Other"))</f>
        <v/>
      </c>
      <c r="J3446" s="41" t="str">
        <f aca="false">IF(G3446="","",IFERROR(IF(ISNUMBER(SEARCH(Assumptions!$C$5,G3446)),Assumptions!$D$5,IF(ISNUMBER(SEARCH(Assumptions!$C$6,G3446)),Assumptions!$D$6,IF(ISNUMBER(SEARCH(Assumptions!$C$7,G3446)),Assumptions!$D$7,"Other Services"))),"Other Services"))</f>
        <v/>
      </c>
    </row>
    <row r="3447" customFormat="false" ht="15" hidden="false" customHeight="false" outlineLevel="0" collapsed="false">
      <c r="E3447" s="41" t="str">
        <f aca="false">IF(D3447="","",IFERROR(VLOOKUP(D3447,Assumptions!$G$5:$H$16,2,0),"Other"))</f>
        <v/>
      </c>
      <c r="J3447" s="41" t="str">
        <f aca="false">IF(G3447="","",IFERROR(IF(ISNUMBER(SEARCH(Assumptions!$C$5,G3447)),Assumptions!$D$5,IF(ISNUMBER(SEARCH(Assumptions!$C$6,G3447)),Assumptions!$D$6,IF(ISNUMBER(SEARCH(Assumptions!$C$7,G3447)),Assumptions!$D$7,"Other Services"))),"Other Services"))</f>
        <v/>
      </c>
    </row>
    <row r="3448" customFormat="false" ht="15" hidden="false" customHeight="false" outlineLevel="0" collapsed="false">
      <c r="E3448" s="41" t="str">
        <f aca="false">IF(D3448="","",IFERROR(VLOOKUP(D3448,Assumptions!$G$5:$H$16,2,0),"Other"))</f>
        <v/>
      </c>
      <c r="J3448" s="41" t="str">
        <f aca="false">IF(G3448="","",IFERROR(IF(ISNUMBER(SEARCH(Assumptions!$C$5,G3448)),Assumptions!$D$5,IF(ISNUMBER(SEARCH(Assumptions!$C$6,G3448)),Assumptions!$D$6,IF(ISNUMBER(SEARCH(Assumptions!$C$7,G3448)),Assumptions!$D$7,"Other Services"))),"Other Services"))</f>
        <v/>
      </c>
    </row>
    <row r="3449" customFormat="false" ht="15" hidden="false" customHeight="false" outlineLevel="0" collapsed="false">
      <c r="E3449" s="41" t="str">
        <f aca="false">IF(D3449="","",IFERROR(VLOOKUP(D3449,Assumptions!$G$5:$H$16,2,0),"Other"))</f>
        <v/>
      </c>
      <c r="J3449" s="41" t="str">
        <f aca="false">IF(G3449="","",IFERROR(IF(ISNUMBER(SEARCH(Assumptions!$C$5,G3449)),Assumptions!$D$5,IF(ISNUMBER(SEARCH(Assumptions!$C$6,G3449)),Assumptions!$D$6,IF(ISNUMBER(SEARCH(Assumptions!$C$7,G3449)),Assumptions!$D$7,"Other Services"))),"Other Services"))</f>
        <v/>
      </c>
    </row>
    <row r="3450" customFormat="false" ht="15" hidden="false" customHeight="false" outlineLevel="0" collapsed="false">
      <c r="E3450" s="41" t="str">
        <f aca="false">IF(D3450="","",IFERROR(VLOOKUP(D3450,Assumptions!$G$5:$H$16,2,0),"Other"))</f>
        <v/>
      </c>
      <c r="J3450" s="41" t="str">
        <f aca="false">IF(G3450="","",IFERROR(IF(ISNUMBER(SEARCH(Assumptions!$C$5,G3450)),Assumptions!$D$5,IF(ISNUMBER(SEARCH(Assumptions!$C$6,G3450)),Assumptions!$D$6,IF(ISNUMBER(SEARCH(Assumptions!$C$7,G3450)),Assumptions!$D$7,"Other Services"))),"Other Services"))</f>
        <v/>
      </c>
    </row>
    <row r="3451" customFormat="false" ht="15" hidden="false" customHeight="false" outlineLevel="0" collapsed="false">
      <c r="E3451" s="41" t="str">
        <f aca="false">IF(D3451="","",IFERROR(VLOOKUP(D3451,Assumptions!$G$5:$H$16,2,0),"Other"))</f>
        <v/>
      </c>
      <c r="J3451" s="41" t="str">
        <f aca="false">IF(G3451="","",IFERROR(IF(ISNUMBER(SEARCH(Assumptions!$C$5,G3451)),Assumptions!$D$5,IF(ISNUMBER(SEARCH(Assumptions!$C$6,G3451)),Assumptions!$D$6,IF(ISNUMBER(SEARCH(Assumptions!$C$7,G3451)),Assumptions!$D$7,"Other Services"))),"Other Services"))</f>
        <v/>
      </c>
    </row>
    <row r="3452" customFormat="false" ht="15" hidden="false" customHeight="false" outlineLevel="0" collapsed="false">
      <c r="E3452" s="41" t="str">
        <f aca="false">IF(D3452="","",IFERROR(VLOOKUP(D3452,Assumptions!$G$5:$H$16,2,0),"Other"))</f>
        <v/>
      </c>
      <c r="J3452" s="41" t="str">
        <f aca="false">IF(G3452="","",IFERROR(IF(ISNUMBER(SEARCH(Assumptions!$C$5,G3452)),Assumptions!$D$5,IF(ISNUMBER(SEARCH(Assumptions!$C$6,G3452)),Assumptions!$D$6,IF(ISNUMBER(SEARCH(Assumptions!$C$7,G3452)),Assumptions!$D$7,"Other Services"))),"Other Services"))</f>
        <v/>
      </c>
    </row>
    <row r="3453" customFormat="false" ht="15" hidden="false" customHeight="false" outlineLevel="0" collapsed="false">
      <c r="E3453" s="41" t="str">
        <f aca="false">IF(D3453="","",IFERROR(VLOOKUP(D3453,Assumptions!$G$5:$H$16,2,0),"Other"))</f>
        <v/>
      </c>
      <c r="J3453" s="41" t="str">
        <f aca="false">IF(G3453="","",IFERROR(IF(ISNUMBER(SEARCH(Assumptions!$C$5,G3453)),Assumptions!$D$5,IF(ISNUMBER(SEARCH(Assumptions!$C$6,G3453)),Assumptions!$D$6,IF(ISNUMBER(SEARCH(Assumptions!$C$7,G3453)),Assumptions!$D$7,"Other Services"))),"Other Services"))</f>
        <v/>
      </c>
    </row>
    <row r="3454" customFormat="false" ht="15" hidden="false" customHeight="false" outlineLevel="0" collapsed="false">
      <c r="E3454" s="41" t="str">
        <f aca="false">IF(D3454="","",IFERROR(VLOOKUP(D3454,Assumptions!$G$5:$H$16,2,0),"Other"))</f>
        <v/>
      </c>
      <c r="J3454" s="41" t="str">
        <f aca="false">IF(G3454="","",IFERROR(IF(ISNUMBER(SEARCH(Assumptions!$C$5,G3454)),Assumptions!$D$5,IF(ISNUMBER(SEARCH(Assumptions!$C$6,G3454)),Assumptions!$D$6,IF(ISNUMBER(SEARCH(Assumptions!$C$7,G3454)),Assumptions!$D$7,"Other Services"))),"Other Services"))</f>
        <v/>
      </c>
    </row>
    <row r="3455" customFormat="false" ht="15" hidden="false" customHeight="false" outlineLevel="0" collapsed="false">
      <c r="E3455" s="41" t="str">
        <f aca="false">IF(D3455="","",IFERROR(VLOOKUP(D3455,Assumptions!$G$5:$H$16,2,0),"Other"))</f>
        <v/>
      </c>
      <c r="J3455" s="41" t="str">
        <f aca="false">IF(G3455="","",IFERROR(IF(ISNUMBER(SEARCH(Assumptions!$C$5,G3455)),Assumptions!$D$5,IF(ISNUMBER(SEARCH(Assumptions!$C$6,G3455)),Assumptions!$D$6,IF(ISNUMBER(SEARCH(Assumptions!$C$7,G3455)),Assumptions!$D$7,"Other Services"))),"Other Services"))</f>
        <v/>
      </c>
    </row>
    <row r="3456" customFormat="false" ht="15" hidden="false" customHeight="false" outlineLevel="0" collapsed="false">
      <c r="E3456" s="41" t="str">
        <f aca="false">IF(D3456="","",IFERROR(VLOOKUP(D3456,Assumptions!$G$5:$H$16,2,0),"Other"))</f>
        <v/>
      </c>
      <c r="J3456" s="41" t="str">
        <f aca="false">IF(G3456="","",IFERROR(IF(ISNUMBER(SEARCH(Assumptions!$C$5,G3456)),Assumptions!$D$5,IF(ISNUMBER(SEARCH(Assumptions!$C$6,G3456)),Assumptions!$D$6,IF(ISNUMBER(SEARCH(Assumptions!$C$7,G3456)),Assumptions!$D$7,"Other Services"))),"Other Services"))</f>
        <v/>
      </c>
    </row>
    <row r="3457" customFormat="false" ht="15" hidden="false" customHeight="false" outlineLevel="0" collapsed="false">
      <c r="E3457" s="41" t="str">
        <f aca="false">IF(D3457="","",IFERROR(VLOOKUP(D3457,Assumptions!$G$5:$H$16,2,0),"Other"))</f>
        <v/>
      </c>
      <c r="J3457" s="41" t="str">
        <f aca="false">IF(G3457="","",IFERROR(IF(ISNUMBER(SEARCH(Assumptions!$C$5,G3457)),Assumptions!$D$5,IF(ISNUMBER(SEARCH(Assumptions!$C$6,G3457)),Assumptions!$D$6,IF(ISNUMBER(SEARCH(Assumptions!$C$7,G3457)),Assumptions!$D$7,"Other Services"))),"Other Services"))</f>
        <v/>
      </c>
    </row>
    <row r="3458" customFormat="false" ht="15" hidden="false" customHeight="false" outlineLevel="0" collapsed="false">
      <c r="E3458" s="41" t="str">
        <f aca="false">IF(D3458="","",IFERROR(VLOOKUP(D3458,Assumptions!$G$5:$H$16,2,0),"Other"))</f>
        <v/>
      </c>
      <c r="J3458" s="41" t="str">
        <f aca="false">IF(G3458="","",IFERROR(IF(ISNUMBER(SEARCH(Assumptions!$C$5,G3458)),Assumptions!$D$5,IF(ISNUMBER(SEARCH(Assumptions!$C$6,G3458)),Assumptions!$D$6,IF(ISNUMBER(SEARCH(Assumptions!$C$7,G3458)),Assumptions!$D$7,"Other Services"))),"Other Services"))</f>
        <v/>
      </c>
    </row>
    <row r="3459" customFormat="false" ht="15" hidden="false" customHeight="false" outlineLevel="0" collapsed="false">
      <c r="E3459" s="41" t="str">
        <f aca="false">IF(D3459="","",IFERROR(VLOOKUP(D3459,Assumptions!$G$5:$H$16,2,0),"Other"))</f>
        <v/>
      </c>
      <c r="J3459" s="41" t="str">
        <f aca="false">IF(G3459="","",IFERROR(IF(ISNUMBER(SEARCH(Assumptions!$C$5,G3459)),Assumptions!$D$5,IF(ISNUMBER(SEARCH(Assumptions!$C$6,G3459)),Assumptions!$D$6,IF(ISNUMBER(SEARCH(Assumptions!$C$7,G3459)),Assumptions!$D$7,"Other Services"))),"Other Services"))</f>
        <v/>
      </c>
    </row>
    <row r="3460" customFormat="false" ht="15" hidden="false" customHeight="false" outlineLevel="0" collapsed="false">
      <c r="E3460" s="41" t="str">
        <f aca="false">IF(D3460="","",IFERROR(VLOOKUP(D3460,Assumptions!$G$5:$H$16,2,0),"Other"))</f>
        <v/>
      </c>
      <c r="J3460" s="41" t="str">
        <f aca="false">IF(G3460="","",IFERROR(IF(ISNUMBER(SEARCH(Assumptions!$C$5,G3460)),Assumptions!$D$5,IF(ISNUMBER(SEARCH(Assumptions!$C$6,G3460)),Assumptions!$D$6,IF(ISNUMBER(SEARCH(Assumptions!$C$7,G3460)),Assumptions!$D$7,"Other Services"))),"Other Services"))</f>
        <v/>
      </c>
    </row>
    <row r="3461" customFormat="false" ht="15" hidden="false" customHeight="false" outlineLevel="0" collapsed="false">
      <c r="E3461" s="41" t="str">
        <f aca="false">IF(D3461="","",IFERROR(VLOOKUP(D3461,Assumptions!$G$5:$H$16,2,0),"Other"))</f>
        <v/>
      </c>
      <c r="J3461" s="41" t="str">
        <f aca="false">IF(G3461="","",IFERROR(IF(ISNUMBER(SEARCH(Assumptions!$C$5,G3461)),Assumptions!$D$5,IF(ISNUMBER(SEARCH(Assumptions!$C$6,G3461)),Assumptions!$D$6,IF(ISNUMBER(SEARCH(Assumptions!$C$7,G3461)),Assumptions!$D$7,"Other Services"))),"Other Services"))</f>
        <v/>
      </c>
    </row>
    <row r="3462" customFormat="false" ht="15" hidden="false" customHeight="false" outlineLevel="0" collapsed="false">
      <c r="E3462" s="41" t="str">
        <f aca="false">IF(D3462="","",IFERROR(VLOOKUP(D3462,Assumptions!$G$5:$H$16,2,0),"Other"))</f>
        <v/>
      </c>
      <c r="J3462" s="41" t="str">
        <f aca="false">IF(G3462="","",IFERROR(IF(ISNUMBER(SEARCH(Assumptions!$C$5,G3462)),Assumptions!$D$5,IF(ISNUMBER(SEARCH(Assumptions!$C$6,G3462)),Assumptions!$D$6,IF(ISNUMBER(SEARCH(Assumptions!$C$7,G3462)),Assumptions!$D$7,"Other Services"))),"Other Services"))</f>
        <v/>
      </c>
    </row>
    <row r="3463" customFormat="false" ht="15" hidden="false" customHeight="false" outlineLevel="0" collapsed="false">
      <c r="E3463" s="41" t="str">
        <f aca="false">IF(D3463="","",IFERROR(VLOOKUP(D3463,Assumptions!$G$5:$H$16,2,0),"Other"))</f>
        <v/>
      </c>
      <c r="J3463" s="41" t="str">
        <f aca="false">IF(G3463="","",IFERROR(IF(ISNUMBER(SEARCH(Assumptions!$C$5,G3463)),Assumptions!$D$5,IF(ISNUMBER(SEARCH(Assumptions!$C$6,G3463)),Assumptions!$D$6,IF(ISNUMBER(SEARCH(Assumptions!$C$7,G3463)),Assumptions!$D$7,"Other Services"))),"Other Services"))</f>
        <v/>
      </c>
    </row>
    <row r="3464" customFormat="false" ht="15" hidden="false" customHeight="false" outlineLevel="0" collapsed="false">
      <c r="E3464" s="41" t="str">
        <f aca="false">IF(D3464="","",IFERROR(VLOOKUP(D3464,Assumptions!$G$5:$H$16,2,0),"Other"))</f>
        <v/>
      </c>
      <c r="J3464" s="41" t="str">
        <f aca="false">IF(G3464="","",IFERROR(IF(ISNUMBER(SEARCH(Assumptions!$C$5,G3464)),Assumptions!$D$5,IF(ISNUMBER(SEARCH(Assumptions!$C$6,G3464)),Assumptions!$D$6,IF(ISNUMBER(SEARCH(Assumptions!$C$7,G3464)),Assumptions!$D$7,"Other Services"))),"Other Services"))</f>
        <v/>
      </c>
    </row>
    <row r="3465" customFormat="false" ht="15" hidden="false" customHeight="false" outlineLevel="0" collapsed="false">
      <c r="E3465" s="41" t="str">
        <f aca="false">IF(D3465="","",IFERROR(VLOOKUP(D3465,Assumptions!$G$5:$H$16,2,0),"Other"))</f>
        <v/>
      </c>
      <c r="J3465" s="41" t="str">
        <f aca="false">IF(G3465="","",IFERROR(IF(ISNUMBER(SEARCH(Assumptions!$C$5,G3465)),Assumptions!$D$5,IF(ISNUMBER(SEARCH(Assumptions!$C$6,G3465)),Assumptions!$D$6,IF(ISNUMBER(SEARCH(Assumptions!$C$7,G3465)),Assumptions!$D$7,"Other Services"))),"Other Services"))</f>
        <v/>
      </c>
    </row>
    <row r="3466" customFormat="false" ht="15" hidden="false" customHeight="false" outlineLevel="0" collapsed="false">
      <c r="E3466" s="41" t="str">
        <f aca="false">IF(D3466="","",IFERROR(VLOOKUP(D3466,Assumptions!$G$5:$H$16,2,0),"Other"))</f>
        <v/>
      </c>
      <c r="J3466" s="41" t="str">
        <f aca="false">IF(G3466="","",IFERROR(IF(ISNUMBER(SEARCH(Assumptions!$C$5,G3466)),Assumptions!$D$5,IF(ISNUMBER(SEARCH(Assumptions!$C$6,G3466)),Assumptions!$D$6,IF(ISNUMBER(SEARCH(Assumptions!$C$7,G3466)),Assumptions!$D$7,"Other Services"))),"Other Services"))</f>
        <v/>
      </c>
    </row>
    <row r="3467" customFormat="false" ht="15" hidden="false" customHeight="false" outlineLevel="0" collapsed="false">
      <c r="E3467" s="41" t="str">
        <f aca="false">IF(D3467="","",IFERROR(VLOOKUP(D3467,Assumptions!$G$5:$H$16,2,0),"Other"))</f>
        <v/>
      </c>
      <c r="J3467" s="41" t="str">
        <f aca="false">IF(G3467="","",IFERROR(IF(ISNUMBER(SEARCH(Assumptions!$C$5,G3467)),Assumptions!$D$5,IF(ISNUMBER(SEARCH(Assumptions!$C$6,G3467)),Assumptions!$D$6,IF(ISNUMBER(SEARCH(Assumptions!$C$7,G3467)),Assumptions!$D$7,"Other Services"))),"Other Services"))</f>
        <v/>
      </c>
    </row>
    <row r="3468" customFormat="false" ht="15" hidden="false" customHeight="false" outlineLevel="0" collapsed="false">
      <c r="E3468" s="41" t="str">
        <f aca="false">IF(D3468="","",IFERROR(VLOOKUP(D3468,Assumptions!$G$5:$H$16,2,0),"Other"))</f>
        <v/>
      </c>
      <c r="J3468" s="41" t="str">
        <f aca="false">IF(G3468="","",IFERROR(IF(ISNUMBER(SEARCH(Assumptions!$C$5,G3468)),Assumptions!$D$5,IF(ISNUMBER(SEARCH(Assumptions!$C$6,G3468)),Assumptions!$D$6,IF(ISNUMBER(SEARCH(Assumptions!$C$7,G3468)),Assumptions!$D$7,"Other Services"))),"Other Services"))</f>
        <v/>
      </c>
    </row>
    <row r="3469" customFormat="false" ht="15" hidden="false" customHeight="false" outlineLevel="0" collapsed="false">
      <c r="E3469" s="41" t="str">
        <f aca="false">IF(D3469="","",IFERROR(VLOOKUP(D3469,Assumptions!$G$5:$H$16,2,0),"Other"))</f>
        <v/>
      </c>
      <c r="J3469" s="41" t="str">
        <f aca="false">IF(G3469="","",IFERROR(IF(ISNUMBER(SEARCH(Assumptions!$C$5,G3469)),Assumptions!$D$5,IF(ISNUMBER(SEARCH(Assumptions!$C$6,G3469)),Assumptions!$D$6,IF(ISNUMBER(SEARCH(Assumptions!$C$7,G3469)),Assumptions!$D$7,"Other Services"))),"Other Services"))</f>
        <v/>
      </c>
    </row>
    <row r="3470" customFormat="false" ht="15" hidden="false" customHeight="false" outlineLevel="0" collapsed="false">
      <c r="E3470" s="41" t="str">
        <f aca="false">IF(D3470="","",IFERROR(VLOOKUP(D3470,Assumptions!$G$5:$H$16,2,0),"Other"))</f>
        <v/>
      </c>
      <c r="J3470" s="41" t="str">
        <f aca="false">IF(G3470="","",IFERROR(IF(ISNUMBER(SEARCH(Assumptions!$C$5,G3470)),Assumptions!$D$5,IF(ISNUMBER(SEARCH(Assumptions!$C$6,G3470)),Assumptions!$D$6,IF(ISNUMBER(SEARCH(Assumptions!$C$7,G3470)),Assumptions!$D$7,"Other Services"))),"Other Services"))</f>
        <v/>
      </c>
    </row>
    <row r="3471" customFormat="false" ht="15" hidden="false" customHeight="false" outlineLevel="0" collapsed="false">
      <c r="E3471" s="41" t="str">
        <f aca="false">IF(D3471="","",IFERROR(VLOOKUP(D3471,Assumptions!$G$5:$H$16,2,0),"Other"))</f>
        <v/>
      </c>
      <c r="J3471" s="41" t="str">
        <f aca="false">IF(G3471="","",IFERROR(IF(ISNUMBER(SEARCH(Assumptions!$C$5,G3471)),Assumptions!$D$5,IF(ISNUMBER(SEARCH(Assumptions!$C$6,G3471)),Assumptions!$D$6,IF(ISNUMBER(SEARCH(Assumptions!$C$7,G3471)),Assumptions!$D$7,"Other Services"))),"Other Services"))</f>
        <v/>
      </c>
    </row>
    <row r="3472" customFormat="false" ht="15" hidden="false" customHeight="false" outlineLevel="0" collapsed="false">
      <c r="E3472" s="41" t="str">
        <f aca="false">IF(D3472="","",IFERROR(VLOOKUP(D3472,Assumptions!$G$5:$H$16,2,0),"Other"))</f>
        <v/>
      </c>
      <c r="J3472" s="41" t="str">
        <f aca="false">IF(G3472="","",IFERROR(IF(ISNUMBER(SEARCH(Assumptions!$C$5,G3472)),Assumptions!$D$5,IF(ISNUMBER(SEARCH(Assumptions!$C$6,G3472)),Assumptions!$D$6,IF(ISNUMBER(SEARCH(Assumptions!$C$7,G3472)),Assumptions!$D$7,"Other Services"))),"Other Services"))</f>
        <v/>
      </c>
    </row>
    <row r="3473" customFormat="false" ht="15" hidden="false" customHeight="false" outlineLevel="0" collapsed="false">
      <c r="E3473" s="41" t="str">
        <f aca="false">IF(D3473="","",IFERROR(VLOOKUP(D3473,Assumptions!$G$5:$H$16,2,0),"Other"))</f>
        <v/>
      </c>
      <c r="J3473" s="41" t="str">
        <f aca="false">IF(G3473="","",IFERROR(IF(ISNUMBER(SEARCH(Assumptions!$C$5,G3473)),Assumptions!$D$5,IF(ISNUMBER(SEARCH(Assumptions!$C$6,G3473)),Assumptions!$D$6,IF(ISNUMBER(SEARCH(Assumptions!$C$7,G3473)),Assumptions!$D$7,"Other Services"))),"Other Services"))</f>
        <v/>
      </c>
    </row>
    <row r="3474" customFormat="false" ht="15" hidden="false" customHeight="false" outlineLevel="0" collapsed="false">
      <c r="E3474" s="41" t="str">
        <f aca="false">IF(D3474="","",IFERROR(VLOOKUP(D3474,Assumptions!$G$5:$H$16,2,0),"Other"))</f>
        <v/>
      </c>
      <c r="J3474" s="41" t="str">
        <f aca="false">IF(G3474="","",IFERROR(IF(ISNUMBER(SEARCH(Assumptions!$C$5,G3474)),Assumptions!$D$5,IF(ISNUMBER(SEARCH(Assumptions!$C$6,G3474)),Assumptions!$D$6,IF(ISNUMBER(SEARCH(Assumptions!$C$7,G3474)),Assumptions!$D$7,"Other Services"))),"Other Services"))</f>
        <v/>
      </c>
    </row>
    <row r="3475" customFormat="false" ht="15" hidden="false" customHeight="false" outlineLevel="0" collapsed="false">
      <c r="E3475" s="41" t="str">
        <f aca="false">IF(D3475="","",IFERROR(VLOOKUP(D3475,Assumptions!$G$5:$H$16,2,0),"Other"))</f>
        <v/>
      </c>
      <c r="J3475" s="41" t="str">
        <f aca="false">IF(G3475="","",IFERROR(IF(ISNUMBER(SEARCH(Assumptions!$C$5,G3475)),Assumptions!$D$5,IF(ISNUMBER(SEARCH(Assumptions!$C$6,G3475)),Assumptions!$D$6,IF(ISNUMBER(SEARCH(Assumptions!$C$7,G3475)),Assumptions!$D$7,"Other Services"))),"Other Services"))</f>
        <v/>
      </c>
    </row>
    <row r="3476" customFormat="false" ht="15" hidden="false" customHeight="false" outlineLevel="0" collapsed="false">
      <c r="E3476" s="41" t="str">
        <f aca="false">IF(D3476="","",IFERROR(VLOOKUP(D3476,Assumptions!$G$5:$H$16,2,0),"Other"))</f>
        <v/>
      </c>
      <c r="J3476" s="41" t="str">
        <f aca="false">IF(G3476="","",IFERROR(IF(ISNUMBER(SEARCH(Assumptions!$C$5,G3476)),Assumptions!$D$5,IF(ISNUMBER(SEARCH(Assumptions!$C$6,G3476)),Assumptions!$D$6,IF(ISNUMBER(SEARCH(Assumptions!$C$7,G3476)),Assumptions!$D$7,"Other Services"))),"Other Services"))</f>
        <v/>
      </c>
    </row>
    <row r="3477" customFormat="false" ht="15" hidden="false" customHeight="false" outlineLevel="0" collapsed="false">
      <c r="E3477" s="41" t="str">
        <f aca="false">IF(D3477="","",IFERROR(VLOOKUP(D3477,Assumptions!$G$5:$H$16,2,0),"Other"))</f>
        <v/>
      </c>
      <c r="J3477" s="41" t="str">
        <f aca="false">IF(G3477="","",IFERROR(IF(ISNUMBER(SEARCH(Assumptions!$C$5,G3477)),Assumptions!$D$5,IF(ISNUMBER(SEARCH(Assumptions!$C$6,G3477)),Assumptions!$D$6,IF(ISNUMBER(SEARCH(Assumptions!$C$7,G3477)),Assumptions!$D$7,"Other Services"))),"Other Services"))</f>
        <v/>
      </c>
    </row>
    <row r="3478" customFormat="false" ht="15" hidden="false" customHeight="false" outlineLevel="0" collapsed="false">
      <c r="E3478" s="41" t="str">
        <f aca="false">IF(D3478="","",IFERROR(VLOOKUP(D3478,Assumptions!$G$5:$H$16,2,0),"Other"))</f>
        <v/>
      </c>
      <c r="J3478" s="41" t="str">
        <f aca="false">IF(G3478="","",IFERROR(IF(ISNUMBER(SEARCH(Assumptions!$C$5,G3478)),Assumptions!$D$5,IF(ISNUMBER(SEARCH(Assumptions!$C$6,G3478)),Assumptions!$D$6,IF(ISNUMBER(SEARCH(Assumptions!$C$7,G3478)),Assumptions!$D$7,"Other Services"))),"Other Services"))</f>
        <v/>
      </c>
    </row>
    <row r="3479" customFormat="false" ht="15" hidden="false" customHeight="false" outlineLevel="0" collapsed="false">
      <c r="E3479" s="41" t="str">
        <f aca="false">IF(D3479="","",IFERROR(VLOOKUP(D3479,Assumptions!$G$5:$H$16,2,0),"Other"))</f>
        <v/>
      </c>
      <c r="J3479" s="41" t="str">
        <f aca="false">IF(G3479="","",IFERROR(IF(ISNUMBER(SEARCH(Assumptions!$C$5,G3479)),Assumptions!$D$5,IF(ISNUMBER(SEARCH(Assumptions!$C$6,G3479)),Assumptions!$D$6,IF(ISNUMBER(SEARCH(Assumptions!$C$7,G3479)),Assumptions!$D$7,"Other Services"))),"Other Services"))</f>
        <v/>
      </c>
    </row>
    <row r="3480" customFormat="false" ht="15" hidden="false" customHeight="false" outlineLevel="0" collapsed="false">
      <c r="E3480" s="41" t="str">
        <f aca="false">IF(D3480="","",IFERROR(VLOOKUP(D3480,Assumptions!$G$5:$H$16,2,0),"Other"))</f>
        <v/>
      </c>
      <c r="J3480" s="41" t="str">
        <f aca="false">IF(G3480="","",IFERROR(IF(ISNUMBER(SEARCH(Assumptions!$C$5,G3480)),Assumptions!$D$5,IF(ISNUMBER(SEARCH(Assumptions!$C$6,G3480)),Assumptions!$D$6,IF(ISNUMBER(SEARCH(Assumptions!$C$7,G3480)),Assumptions!$D$7,"Other Services"))),"Other Services"))</f>
        <v/>
      </c>
    </row>
    <row r="3481" customFormat="false" ht="15" hidden="false" customHeight="false" outlineLevel="0" collapsed="false">
      <c r="E3481" s="41" t="str">
        <f aca="false">IF(D3481="","",IFERROR(VLOOKUP(D3481,Assumptions!$G$5:$H$16,2,0),"Other"))</f>
        <v/>
      </c>
      <c r="J3481" s="41" t="str">
        <f aca="false">IF(G3481="","",IFERROR(IF(ISNUMBER(SEARCH(Assumptions!$C$5,G3481)),Assumptions!$D$5,IF(ISNUMBER(SEARCH(Assumptions!$C$6,G3481)),Assumptions!$D$6,IF(ISNUMBER(SEARCH(Assumptions!$C$7,G3481)),Assumptions!$D$7,"Other Services"))),"Other Services"))</f>
        <v/>
      </c>
    </row>
    <row r="3482" customFormat="false" ht="15" hidden="false" customHeight="false" outlineLevel="0" collapsed="false">
      <c r="E3482" s="41" t="str">
        <f aca="false">IF(D3482="","",IFERROR(VLOOKUP(D3482,Assumptions!$G$5:$H$16,2,0),"Other"))</f>
        <v/>
      </c>
      <c r="J3482" s="41" t="str">
        <f aca="false">IF(G3482="","",IFERROR(IF(ISNUMBER(SEARCH(Assumptions!$C$5,G3482)),Assumptions!$D$5,IF(ISNUMBER(SEARCH(Assumptions!$C$6,G3482)),Assumptions!$D$6,IF(ISNUMBER(SEARCH(Assumptions!$C$7,G3482)),Assumptions!$D$7,"Other Services"))),"Other Services"))</f>
        <v/>
      </c>
    </row>
    <row r="3483" customFormat="false" ht="15" hidden="false" customHeight="false" outlineLevel="0" collapsed="false">
      <c r="E3483" s="41" t="str">
        <f aca="false">IF(D3483="","",IFERROR(VLOOKUP(D3483,Assumptions!$G$5:$H$16,2,0),"Other"))</f>
        <v/>
      </c>
      <c r="J3483" s="41" t="str">
        <f aca="false">IF(G3483="","",IFERROR(IF(ISNUMBER(SEARCH(Assumptions!$C$5,G3483)),Assumptions!$D$5,IF(ISNUMBER(SEARCH(Assumptions!$C$6,G3483)),Assumptions!$D$6,IF(ISNUMBER(SEARCH(Assumptions!$C$7,G3483)),Assumptions!$D$7,"Other Services"))),"Other Services"))</f>
        <v/>
      </c>
    </row>
    <row r="3484" customFormat="false" ht="15" hidden="false" customHeight="false" outlineLevel="0" collapsed="false">
      <c r="E3484" s="41" t="str">
        <f aca="false">IF(D3484="","",IFERROR(VLOOKUP(D3484,Assumptions!$G$5:$H$16,2,0),"Other"))</f>
        <v/>
      </c>
      <c r="J3484" s="41" t="str">
        <f aca="false">IF(G3484="","",IFERROR(IF(ISNUMBER(SEARCH(Assumptions!$C$5,G3484)),Assumptions!$D$5,IF(ISNUMBER(SEARCH(Assumptions!$C$6,G3484)),Assumptions!$D$6,IF(ISNUMBER(SEARCH(Assumptions!$C$7,G3484)),Assumptions!$D$7,"Other Services"))),"Other Services"))</f>
        <v/>
      </c>
    </row>
    <row r="3485" customFormat="false" ht="15" hidden="false" customHeight="false" outlineLevel="0" collapsed="false">
      <c r="E3485" s="41" t="str">
        <f aca="false">IF(D3485="","",IFERROR(VLOOKUP(D3485,Assumptions!$G$5:$H$16,2,0),"Other"))</f>
        <v/>
      </c>
      <c r="J3485" s="41" t="str">
        <f aca="false">IF(G3485="","",IFERROR(IF(ISNUMBER(SEARCH(Assumptions!$C$5,G3485)),Assumptions!$D$5,IF(ISNUMBER(SEARCH(Assumptions!$C$6,G3485)),Assumptions!$D$6,IF(ISNUMBER(SEARCH(Assumptions!$C$7,G3485)),Assumptions!$D$7,"Other Services"))),"Other Services"))</f>
        <v/>
      </c>
    </row>
    <row r="3486" customFormat="false" ht="15" hidden="false" customHeight="false" outlineLevel="0" collapsed="false">
      <c r="E3486" s="41" t="str">
        <f aca="false">IF(D3486="","",IFERROR(VLOOKUP(D3486,Assumptions!$G$5:$H$16,2,0),"Other"))</f>
        <v/>
      </c>
      <c r="J3486" s="41" t="str">
        <f aca="false">IF(G3486="","",IFERROR(IF(ISNUMBER(SEARCH(Assumptions!$C$5,G3486)),Assumptions!$D$5,IF(ISNUMBER(SEARCH(Assumptions!$C$6,G3486)),Assumptions!$D$6,IF(ISNUMBER(SEARCH(Assumptions!$C$7,G3486)),Assumptions!$D$7,"Other Services"))),"Other Services"))</f>
        <v/>
      </c>
    </row>
    <row r="3487" customFormat="false" ht="15" hidden="false" customHeight="false" outlineLevel="0" collapsed="false">
      <c r="E3487" s="41" t="str">
        <f aca="false">IF(D3487="","",IFERROR(VLOOKUP(D3487,Assumptions!$G$5:$H$16,2,0),"Other"))</f>
        <v/>
      </c>
      <c r="J3487" s="41" t="str">
        <f aca="false">IF(G3487="","",IFERROR(IF(ISNUMBER(SEARCH(Assumptions!$C$5,G3487)),Assumptions!$D$5,IF(ISNUMBER(SEARCH(Assumptions!$C$6,G3487)),Assumptions!$D$6,IF(ISNUMBER(SEARCH(Assumptions!$C$7,G3487)),Assumptions!$D$7,"Other Services"))),"Other Services"))</f>
        <v/>
      </c>
    </row>
    <row r="3488" customFormat="false" ht="15" hidden="false" customHeight="false" outlineLevel="0" collapsed="false">
      <c r="E3488" s="41" t="str">
        <f aca="false">IF(D3488="","",IFERROR(VLOOKUP(D3488,Assumptions!$G$5:$H$16,2,0),"Other"))</f>
        <v/>
      </c>
      <c r="J3488" s="41" t="str">
        <f aca="false">IF(G3488="","",IFERROR(IF(ISNUMBER(SEARCH(Assumptions!$C$5,G3488)),Assumptions!$D$5,IF(ISNUMBER(SEARCH(Assumptions!$C$6,G3488)),Assumptions!$D$6,IF(ISNUMBER(SEARCH(Assumptions!$C$7,G3488)),Assumptions!$D$7,"Other Services"))),"Other Services"))</f>
        <v/>
      </c>
    </row>
    <row r="3489" customFormat="false" ht="15" hidden="false" customHeight="false" outlineLevel="0" collapsed="false">
      <c r="E3489" s="41" t="str">
        <f aca="false">IF(D3489="","",IFERROR(VLOOKUP(D3489,Assumptions!$G$5:$H$16,2,0),"Other"))</f>
        <v/>
      </c>
      <c r="J3489" s="41" t="str">
        <f aca="false">IF(G3489="","",IFERROR(IF(ISNUMBER(SEARCH(Assumptions!$C$5,G3489)),Assumptions!$D$5,IF(ISNUMBER(SEARCH(Assumptions!$C$6,G3489)),Assumptions!$D$6,IF(ISNUMBER(SEARCH(Assumptions!$C$7,G3489)),Assumptions!$D$7,"Other Services"))),"Other Services"))</f>
        <v/>
      </c>
    </row>
    <row r="3490" customFormat="false" ht="15" hidden="false" customHeight="false" outlineLevel="0" collapsed="false">
      <c r="E3490" s="41" t="str">
        <f aca="false">IF(D3490="","",IFERROR(VLOOKUP(D3490,Assumptions!$G$5:$H$16,2,0),"Other"))</f>
        <v/>
      </c>
      <c r="J3490" s="41" t="str">
        <f aca="false">IF(G3490="","",IFERROR(IF(ISNUMBER(SEARCH(Assumptions!$C$5,G3490)),Assumptions!$D$5,IF(ISNUMBER(SEARCH(Assumptions!$C$6,G3490)),Assumptions!$D$6,IF(ISNUMBER(SEARCH(Assumptions!$C$7,G3490)),Assumptions!$D$7,"Other Services"))),"Other Services"))</f>
        <v/>
      </c>
    </row>
    <row r="3491" customFormat="false" ht="15" hidden="false" customHeight="false" outlineLevel="0" collapsed="false">
      <c r="E3491" s="41" t="str">
        <f aca="false">IF(D3491="","",IFERROR(VLOOKUP(D3491,Assumptions!$G$5:$H$16,2,0),"Other"))</f>
        <v/>
      </c>
      <c r="J3491" s="41" t="str">
        <f aca="false">IF(G3491="","",IFERROR(IF(ISNUMBER(SEARCH(Assumptions!$C$5,G3491)),Assumptions!$D$5,IF(ISNUMBER(SEARCH(Assumptions!$C$6,G3491)),Assumptions!$D$6,IF(ISNUMBER(SEARCH(Assumptions!$C$7,G3491)),Assumptions!$D$7,"Other Services"))),"Other Services"))</f>
        <v/>
      </c>
    </row>
    <row r="3492" customFormat="false" ht="15" hidden="false" customHeight="false" outlineLevel="0" collapsed="false">
      <c r="E3492" s="41" t="str">
        <f aca="false">IF(D3492="","",IFERROR(VLOOKUP(D3492,Assumptions!$G$5:$H$16,2,0),"Other"))</f>
        <v/>
      </c>
      <c r="J3492" s="41" t="str">
        <f aca="false">IF(G3492="","",IFERROR(IF(ISNUMBER(SEARCH(Assumptions!$C$5,G3492)),Assumptions!$D$5,IF(ISNUMBER(SEARCH(Assumptions!$C$6,G3492)),Assumptions!$D$6,IF(ISNUMBER(SEARCH(Assumptions!$C$7,G3492)),Assumptions!$D$7,"Other Services"))),"Other Services"))</f>
        <v/>
      </c>
    </row>
    <row r="3493" customFormat="false" ht="15" hidden="false" customHeight="false" outlineLevel="0" collapsed="false">
      <c r="E3493" s="41" t="str">
        <f aca="false">IF(D3493="","",IFERROR(VLOOKUP(D3493,Assumptions!$G$5:$H$16,2,0),"Other"))</f>
        <v/>
      </c>
      <c r="J3493" s="41" t="str">
        <f aca="false">IF(G3493="","",IFERROR(IF(ISNUMBER(SEARCH(Assumptions!$C$5,G3493)),Assumptions!$D$5,IF(ISNUMBER(SEARCH(Assumptions!$C$6,G3493)),Assumptions!$D$6,IF(ISNUMBER(SEARCH(Assumptions!$C$7,G3493)),Assumptions!$D$7,"Other Services"))),"Other Services"))</f>
        <v/>
      </c>
    </row>
    <row r="3494" customFormat="false" ht="15" hidden="false" customHeight="false" outlineLevel="0" collapsed="false">
      <c r="E3494" s="41" t="str">
        <f aca="false">IF(D3494="","",IFERROR(VLOOKUP(D3494,Assumptions!$G$5:$H$16,2,0),"Other"))</f>
        <v/>
      </c>
      <c r="J3494" s="41" t="str">
        <f aca="false">IF(G3494="","",IFERROR(IF(ISNUMBER(SEARCH(Assumptions!$C$5,G3494)),Assumptions!$D$5,IF(ISNUMBER(SEARCH(Assumptions!$C$6,G3494)),Assumptions!$D$6,IF(ISNUMBER(SEARCH(Assumptions!$C$7,G3494)),Assumptions!$D$7,"Other Services"))),"Other Services"))</f>
        <v/>
      </c>
    </row>
    <row r="3495" customFormat="false" ht="15" hidden="false" customHeight="false" outlineLevel="0" collapsed="false">
      <c r="E3495" s="41" t="str">
        <f aca="false">IF(D3495="","",IFERROR(VLOOKUP(D3495,Assumptions!$G$5:$H$16,2,0),"Other"))</f>
        <v/>
      </c>
      <c r="J3495" s="41" t="str">
        <f aca="false">IF(G3495="","",IFERROR(IF(ISNUMBER(SEARCH(Assumptions!$C$5,G3495)),Assumptions!$D$5,IF(ISNUMBER(SEARCH(Assumptions!$C$6,G3495)),Assumptions!$D$6,IF(ISNUMBER(SEARCH(Assumptions!$C$7,G3495)),Assumptions!$D$7,"Other Services"))),"Other Services"))</f>
        <v/>
      </c>
    </row>
    <row r="3496" customFormat="false" ht="15" hidden="false" customHeight="false" outlineLevel="0" collapsed="false">
      <c r="E3496" s="41" t="str">
        <f aca="false">IF(D3496="","",IFERROR(VLOOKUP(D3496,Assumptions!$G$5:$H$16,2,0),"Other"))</f>
        <v/>
      </c>
      <c r="J3496" s="41" t="str">
        <f aca="false">IF(G3496="","",IFERROR(IF(ISNUMBER(SEARCH(Assumptions!$C$5,G3496)),Assumptions!$D$5,IF(ISNUMBER(SEARCH(Assumptions!$C$6,G3496)),Assumptions!$D$6,IF(ISNUMBER(SEARCH(Assumptions!$C$7,G3496)),Assumptions!$D$7,"Other Services"))),"Other Services"))</f>
        <v/>
      </c>
    </row>
    <row r="3497" customFormat="false" ht="15" hidden="false" customHeight="false" outlineLevel="0" collapsed="false">
      <c r="E3497" s="41" t="str">
        <f aca="false">IF(D3497="","",IFERROR(VLOOKUP(D3497,Assumptions!$G$5:$H$16,2,0),"Other"))</f>
        <v/>
      </c>
      <c r="J3497" s="41" t="str">
        <f aca="false">IF(G3497="","",IFERROR(IF(ISNUMBER(SEARCH(Assumptions!$C$5,G3497)),Assumptions!$D$5,IF(ISNUMBER(SEARCH(Assumptions!$C$6,G3497)),Assumptions!$D$6,IF(ISNUMBER(SEARCH(Assumptions!$C$7,G3497)),Assumptions!$D$7,"Other Services"))),"Other Services"))</f>
        <v/>
      </c>
    </row>
    <row r="3498" customFormat="false" ht="15" hidden="false" customHeight="false" outlineLevel="0" collapsed="false">
      <c r="E3498" s="41" t="str">
        <f aca="false">IF(D3498="","",IFERROR(VLOOKUP(D3498,Assumptions!$G$5:$H$16,2,0),"Other"))</f>
        <v/>
      </c>
      <c r="J3498" s="41" t="str">
        <f aca="false">IF(G3498="","",IFERROR(IF(ISNUMBER(SEARCH(Assumptions!$C$5,G3498)),Assumptions!$D$5,IF(ISNUMBER(SEARCH(Assumptions!$C$6,G3498)),Assumptions!$D$6,IF(ISNUMBER(SEARCH(Assumptions!$C$7,G3498)),Assumptions!$D$7,"Other Services"))),"Other Services"))</f>
        <v/>
      </c>
    </row>
    <row r="3499" customFormat="false" ht="15" hidden="false" customHeight="false" outlineLevel="0" collapsed="false">
      <c r="E3499" s="41" t="str">
        <f aca="false">IF(D3499="","",IFERROR(VLOOKUP(D3499,Assumptions!$G$5:$H$16,2,0),"Other"))</f>
        <v/>
      </c>
      <c r="J3499" s="41" t="str">
        <f aca="false">IF(G3499="","",IFERROR(IF(ISNUMBER(SEARCH(Assumptions!$C$5,G3499)),Assumptions!$D$5,IF(ISNUMBER(SEARCH(Assumptions!$C$6,G3499)),Assumptions!$D$6,IF(ISNUMBER(SEARCH(Assumptions!$C$7,G3499)),Assumptions!$D$7,"Other Services"))),"Other Services"))</f>
        <v/>
      </c>
    </row>
    <row r="3500" customFormat="false" ht="15" hidden="false" customHeight="false" outlineLevel="0" collapsed="false">
      <c r="E3500" s="41" t="str">
        <f aca="false">IF(D3500="","",IFERROR(VLOOKUP(D3500,Assumptions!$G$5:$H$16,2,0),"Other"))</f>
        <v/>
      </c>
      <c r="J3500" s="41" t="str">
        <f aca="false">IF(G3500="","",IFERROR(IF(ISNUMBER(SEARCH(Assumptions!$C$5,G3500)),Assumptions!$D$5,IF(ISNUMBER(SEARCH(Assumptions!$C$6,G3500)),Assumptions!$D$6,IF(ISNUMBER(SEARCH(Assumptions!$C$7,G3500)),Assumptions!$D$7,"Other Services"))),"Other Services"))</f>
        <v/>
      </c>
    </row>
    <row r="3501" customFormat="false" ht="15" hidden="false" customHeight="false" outlineLevel="0" collapsed="false">
      <c r="E3501" s="41" t="str">
        <f aca="false">IF(D3501="","",IFERROR(VLOOKUP(D3501,Assumptions!$G$5:$H$16,2,0),"Other"))</f>
        <v/>
      </c>
      <c r="J3501" s="41" t="str">
        <f aca="false">IF(G3501="","",IFERROR(IF(ISNUMBER(SEARCH(Assumptions!$C$5,G3501)),Assumptions!$D$5,IF(ISNUMBER(SEARCH(Assumptions!$C$6,G3501)),Assumptions!$D$6,IF(ISNUMBER(SEARCH(Assumptions!$C$7,G3501)),Assumptions!$D$7,"Other Services"))),"Other Services"))</f>
        <v/>
      </c>
    </row>
    <row r="3502" customFormat="false" ht="15" hidden="false" customHeight="false" outlineLevel="0" collapsed="false">
      <c r="E3502" s="41" t="str">
        <f aca="false">IF(D3502="","",IFERROR(VLOOKUP(D3502,Assumptions!$G$5:$H$16,2,0),"Other"))</f>
        <v/>
      </c>
      <c r="J3502" s="41" t="str">
        <f aca="false">IF(G3502="","",IFERROR(IF(ISNUMBER(SEARCH(Assumptions!$C$5,G3502)),Assumptions!$D$5,IF(ISNUMBER(SEARCH(Assumptions!$C$6,G3502)),Assumptions!$D$6,IF(ISNUMBER(SEARCH(Assumptions!$C$7,G3502)),Assumptions!$D$7,"Other Services"))),"Other Services"))</f>
        <v/>
      </c>
    </row>
    <row r="3503" customFormat="false" ht="15" hidden="false" customHeight="false" outlineLevel="0" collapsed="false">
      <c r="E3503" s="41" t="str">
        <f aca="false">IF(D3503="","",IFERROR(VLOOKUP(D3503,Assumptions!$G$5:$H$16,2,0),"Other"))</f>
        <v/>
      </c>
      <c r="J3503" s="41" t="str">
        <f aca="false">IF(G3503="","",IFERROR(IF(ISNUMBER(SEARCH(Assumptions!$C$5,G3503)),Assumptions!$D$5,IF(ISNUMBER(SEARCH(Assumptions!$C$6,G3503)),Assumptions!$D$6,IF(ISNUMBER(SEARCH(Assumptions!$C$7,G3503)),Assumptions!$D$7,"Other Services"))),"Other Services"))</f>
        <v/>
      </c>
    </row>
    <row r="3504" customFormat="false" ht="15" hidden="false" customHeight="false" outlineLevel="0" collapsed="false">
      <c r="E3504" s="41" t="str">
        <f aca="false">IF(D3504="","",IFERROR(VLOOKUP(D3504,Assumptions!$G$5:$H$16,2,0),"Other"))</f>
        <v/>
      </c>
      <c r="J3504" s="41" t="str">
        <f aca="false">IF(G3504="","",IFERROR(IF(ISNUMBER(SEARCH(Assumptions!$C$5,G3504)),Assumptions!$D$5,IF(ISNUMBER(SEARCH(Assumptions!$C$6,G3504)),Assumptions!$D$6,IF(ISNUMBER(SEARCH(Assumptions!$C$7,G3504)),Assumptions!$D$7,"Other Services"))),"Other Services"))</f>
        <v/>
      </c>
    </row>
    <row r="3505" customFormat="false" ht="15" hidden="false" customHeight="false" outlineLevel="0" collapsed="false">
      <c r="E3505" s="41" t="str">
        <f aca="false">IF(D3505="","",IFERROR(VLOOKUP(D3505,Assumptions!$G$5:$H$16,2,0),"Other"))</f>
        <v/>
      </c>
      <c r="J3505" s="41" t="str">
        <f aca="false">IF(G3505="","",IFERROR(IF(ISNUMBER(SEARCH(Assumptions!$C$5,G3505)),Assumptions!$D$5,IF(ISNUMBER(SEARCH(Assumptions!$C$6,G3505)),Assumptions!$D$6,IF(ISNUMBER(SEARCH(Assumptions!$C$7,G3505)),Assumptions!$D$7,"Other Services"))),"Other Services"))</f>
        <v/>
      </c>
    </row>
    <row r="3506" customFormat="false" ht="15" hidden="false" customHeight="false" outlineLevel="0" collapsed="false">
      <c r="E3506" s="41" t="str">
        <f aca="false">IF(D3506="","",IFERROR(VLOOKUP(D3506,Assumptions!$G$5:$H$16,2,0),"Other"))</f>
        <v/>
      </c>
      <c r="J3506" s="41" t="str">
        <f aca="false">IF(G3506="","",IFERROR(IF(ISNUMBER(SEARCH(Assumptions!$C$5,G3506)),Assumptions!$D$5,IF(ISNUMBER(SEARCH(Assumptions!$C$6,G3506)),Assumptions!$D$6,IF(ISNUMBER(SEARCH(Assumptions!$C$7,G3506)),Assumptions!$D$7,"Other Services"))),"Other Services"))</f>
        <v/>
      </c>
    </row>
    <row r="3507" customFormat="false" ht="15" hidden="false" customHeight="false" outlineLevel="0" collapsed="false">
      <c r="E3507" s="41" t="str">
        <f aca="false">IF(D3507="","",IFERROR(VLOOKUP(D3507,Assumptions!$G$5:$H$16,2,0),"Other"))</f>
        <v/>
      </c>
      <c r="J3507" s="41" t="str">
        <f aca="false">IF(G3507="","",IFERROR(IF(ISNUMBER(SEARCH(Assumptions!$C$5,G3507)),Assumptions!$D$5,IF(ISNUMBER(SEARCH(Assumptions!$C$6,G3507)),Assumptions!$D$6,IF(ISNUMBER(SEARCH(Assumptions!$C$7,G3507)),Assumptions!$D$7,"Other Services"))),"Other Services"))</f>
        <v/>
      </c>
    </row>
    <row r="3508" customFormat="false" ht="15" hidden="false" customHeight="false" outlineLevel="0" collapsed="false">
      <c r="E3508" s="41" t="str">
        <f aca="false">IF(D3508="","",IFERROR(VLOOKUP(D3508,Assumptions!$G$5:$H$16,2,0),"Other"))</f>
        <v/>
      </c>
      <c r="J3508" s="41" t="str">
        <f aca="false">IF(G3508="","",IFERROR(IF(ISNUMBER(SEARCH(Assumptions!$C$5,G3508)),Assumptions!$D$5,IF(ISNUMBER(SEARCH(Assumptions!$C$6,G3508)),Assumptions!$D$6,IF(ISNUMBER(SEARCH(Assumptions!$C$7,G3508)),Assumptions!$D$7,"Other Services"))),"Other Services"))</f>
        <v/>
      </c>
    </row>
    <row r="3509" customFormat="false" ht="15" hidden="false" customHeight="false" outlineLevel="0" collapsed="false">
      <c r="E3509" s="41" t="str">
        <f aca="false">IF(D3509="","",IFERROR(VLOOKUP(D3509,Assumptions!$G$5:$H$16,2,0),"Other"))</f>
        <v/>
      </c>
      <c r="J3509" s="41" t="str">
        <f aca="false">IF(G3509="","",IFERROR(IF(ISNUMBER(SEARCH(Assumptions!$C$5,G3509)),Assumptions!$D$5,IF(ISNUMBER(SEARCH(Assumptions!$C$6,G3509)),Assumptions!$D$6,IF(ISNUMBER(SEARCH(Assumptions!$C$7,G3509)),Assumptions!$D$7,"Other Services"))),"Other Services"))</f>
        <v/>
      </c>
    </row>
    <row r="3510" customFormat="false" ht="15" hidden="false" customHeight="false" outlineLevel="0" collapsed="false">
      <c r="E3510" s="41" t="str">
        <f aca="false">IF(D3510="","",IFERROR(VLOOKUP(D3510,Assumptions!$G$5:$H$16,2,0),"Other"))</f>
        <v/>
      </c>
      <c r="J3510" s="41" t="str">
        <f aca="false">IF(G3510="","",IFERROR(IF(ISNUMBER(SEARCH(Assumptions!$C$5,G3510)),Assumptions!$D$5,IF(ISNUMBER(SEARCH(Assumptions!$C$6,G3510)),Assumptions!$D$6,IF(ISNUMBER(SEARCH(Assumptions!$C$7,G3510)),Assumptions!$D$7,"Other Services"))),"Other Services"))</f>
        <v/>
      </c>
    </row>
    <row r="3511" customFormat="false" ht="15" hidden="false" customHeight="false" outlineLevel="0" collapsed="false">
      <c r="E3511" s="41" t="str">
        <f aca="false">IF(D3511="","",IFERROR(VLOOKUP(D3511,Assumptions!$G$5:$H$16,2,0),"Other"))</f>
        <v/>
      </c>
      <c r="J3511" s="41" t="str">
        <f aca="false">IF(G3511="","",IFERROR(IF(ISNUMBER(SEARCH(Assumptions!$C$5,G3511)),Assumptions!$D$5,IF(ISNUMBER(SEARCH(Assumptions!$C$6,G3511)),Assumptions!$D$6,IF(ISNUMBER(SEARCH(Assumptions!$C$7,G3511)),Assumptions!$D$7,"Other Services"))),"Other Services"))</f>
        <v/>
      </c>
    </row>
    <row r="3512" customFormat="false" ht="15" hidden="false" customHeight="false" outlineLevel="0" collapsed="false">
      <c r="E3512" s="41" t="str">
        <f aca="false">IF(D3512="","",IFERROR(VLOOKUP(D3512,Assumptions!$G$5:$H$16,2,0),"Other"))</f>
        <v/>
      </c>
      <c r="J3512" s="41" t="str">
        <f aca="false">IF(G3512="","",IFERROR(IF(ISNUMBER(SEARCH(Assumptions!$C$5,G3512)),Assumptions!$D$5,IF(ISNUMBER(SEARCH(Assumptions!$C$6,G3512)),Assumptions!$D$6,IF(ISNUMBER(SEARCH(Assumptions!$C$7,G3512)),Assumptions!$D$7,"Other Services"))),"Other Services"))</f>
        <v/>
      </c>
    </row>
    <row r="3513" customFormat="false" ht="15" hidden="false" customHeight="false" outlineLevel="0" collapsed="false">
      <c r="E3513" s="41" t="str">
        <f aca="false">IF(D3513="","",IFERROR(VLOOKUP(D3513,Assumptions!$G$5:$H$16,2,0),"Other"))</f>
        <v/>
      </c>
      <c r="J3513" s="41" t="str">
        <f aca="false">IF(G3513="","",IFERROR(IF(ISNUMBER(SEARCH(Assumptions!$C$5,G3513)),Assumptions!$D$5,IF(ISNUMBER(SEARCH(Assumptions!$C$6,G3513)),Assumptions!$D$6,IF(ISNUMBER(SEARCH(Assumptions!$C$7,G3513)),Assumptions!$D$7,"Other Services"))),"Other Services"))</f>
        <v/>
      </c>
    </row>
    <row r="3514" customFormat="false" ht="15" hidden="false" customHeight="false" outlineLevel="0" collapsed="false">
      <c r="E3514" s="41" t="str">
        <f aca="false">IF(D3514="","",IFERROR(VLOOKUP(D3514,Assumptions!$G$5:$H$16,2,0),"Other"))</f>
        <v/>
      </c>
      <c r="J3514" s="41" t="str">
        <f aca="false">IF(G3514="","",IFERROR(IF(ISNUMBER(SEARCH(Assumptions!$C$5,G3514)),Assumptions!$D$5,IF(ISNUMBER(SEARCH(Assumptions!$C$6,G3514)),Assumptions!$D$6,IF(ISNUMBER(SEARCH(Assumptions!$C$7,G3514)),Assumptions!$D$7,"Other Services"))),"Other Services"))</f>
        <v/>
      </c>
    </row>
    <row r="3515" customFormat="false" ht="15" hidden="false" customHeight="false" outlineLevel="0" collapsed="false">
      <c r="E3515" s="41" t="str">
        <f aca="false">IF(D3515="","",IFERROR(VLOOKUP(D3515,Assumptions!$G$5:$H$16,2,0),"Other"))</f>
        <v/>
      </c>
      <c r="J3515" s="41" t="str">
        <f aca="false">IF(G3515="","",IFERROR(IF(ISNUMBER(SEARCH(Assumptions!$C$5,G3515)),Assumptions!$D$5,IF(ISNUMBER(SEARCH(Assumptions!$C$6,G3515)),Assumptions!$D$6,IF(ISNUMBER(SEARCH(Assumptions!$C$7,G3515)),Assumptions!$D$7,"Other Services"))),"Other Services"))</f>
        <v/>
      </c>
    </row>
    <row r="3516" customFormat="false" ht="15" hidden="false" customHeight="false" outlineLevel="0" collapsed="false">
      <c r="E3516" s="41" t="str">
        <f aca="false">IF(D3516="","",IFERROR(VLOOKUP(D3516,Assumptions!$G$5:$H$16,2,0),"Other"))</f>
        <v/>
      </c>
      <c r="J3516" s="41" t="str">
        <f aca="false">IF(G3516="","",IFERROR(IF(ISNUMBER(SEARCH(Assumptions!$C$5,G3516)),Assumptions!$D$5,IF(ISNUMBER(SEARCH(Assumptions!$C$6,G3516)),Assumptions!$D$6,IF(ISNUMBER(SEARCH(Assumptions!$C$7,G3516)),Assumptions!$D$7,"Other Services"))),"Other Services"))</f>
        <v/>
      </c>
    </row>
    <row r="3517" customFormat="false" ht="15" hidden="false" customHeight="false" outlineLevel="0" collapsed="false">
      <c r="E3517" s="41" t="str">
        <f aca="false">IF(D3517="","",IFERROR(VLOOKUP(D3517,Assumptions!$G$5:$H$16,2,0),"Other"))</f>
        <v/>
      </c>
      <c r="J3517" s="41" t="str">
        <f aca="false">IF(G3517="","",IFERROR(IF(ISNUMBER(SEARCH(Assumptions!$C$5,G3517)),Assumptions!$D$5,IF(ISNUMBER(SEARCH(Assumptions!$C$6,G3517)),Assumptions!$D$6,IF(ISNUMBER(SEARCH(Assumptions!$C$7,G3517)),Assumptions!$D$7,"Other Services"))),"Other Services"))</f>
        <v/>
      </c>
    </row>
    <row r="3518" customFormat="false" ht="15" hidden="false" customHeight="false" outlineLevel="0" collapsed="false">
      <c r="E3518" s="41" t="str">
        <f aca="false">IF(D3518="","",IFERROR(VLOOKUP(D3518,Assumptions!$G$5:$H$16,2,0),"Other"))</f>
        <v/>
      </c>
      <c r="J3518" s="41" t="str">
        <f aca="false">IF(G3518="","",IFERROR(IF(ISNUMBER(SEARCH(Assumptions!$C$5,G3518)),Assumptions!$D$5,IF(ISNUMBER(SEARCH(Assumptions!$C$6,G3518)),Assumptions!$D$6,IF(ISNUMBER(SEARCH(Assumptions!$C$7,G3518)),Assumptions!$D$7,"Other Services"))),"Other Services"))</f>
        <v/>
      </c>
    </row>
    <row r="3519" customFormat="false" ht="15" hidden="false" customHeight="false" outlineLevel="0" collapsed="false">
      <c r="E3519" s="41" t="str">
        <f aca="false">IF(D3519="","",IFERROR(VLOOKUP(D3519,Assumptions!$G$5:$H$16,2,0),"Other"))</f>
        <v/>
      </c>
      <c r="J3519" s="41" t="str">
        <f aca="false">IF(G3519="","",IFERROR(IF(ISNUMBER(SEARCH(Assumptions!$C$5,G3519)),Assumptions!$D$5,IF(ISNUMBER(SEARCH(Assumptions!$C$6,G3519)),Assumptions!$D$6,IF(ISNUMBER(SEARCH(Assumptions!$C$7,G3519)),Assumptions!$D$7,"Other Services"))),"Other Services"))</f>
        <v/>
      </c>
    </row>
    <row r="3520" customFormat="false" ht="15" hidden="false" customHeight="false" outlineLevel="0" collapsed="false">
      <c r="E3520" s="41" t="str">
        <f aca="false">IF(D3520="","",IFERROR(VLOOKUP(D3520,Assumptions!$G$5:$H$16,2,0),"Other"))</f>
        <v/>
      </c>
      <c r="J3520" s="41" t="str">
        <f aca="false">IF(G3520="","",IFERROR(IF(ISNUMBER(SEARCH(Assumptions!$C$5,G3520)),Assumptions!$D$5,IF(ISNUMBER(SEARCH(Assumptions!$C$6,G3520)),Assumptions!$D$6,IF(ISNUMBER(SEARCH(Assumptions!$C$7,G3520)),Assumptions!$D$7,"Other Services"))),"Other Services"))</f>
        <v/>
      </c>
    </row>
    <row r="3521" customFormat="false" ht="15" hidden="false" customHeight="false" outlineLevel="0" collapsed="false">
      <c r="E3521" s="41" t="str">
        <f aca="false">IF(D3521="","",IFERROR(VLOOKUP(D3521,Assumptions!$G$5:$H$16,2,0),"Other"))</f>
        <v/>
      </c>
      <c r="J3521" s="41" t="str">
        <f aca="false">IF(G3521="","",IFERROR(IF(ISNUMBER(SEARCH(Assumptions!$C$5,G3521)),Assumptions!$D$5,IF(ISNUMBER(SEARCH(Assumptions!$C$6,G3521)),Assumptions!$D$6,IF(ISNUMBER(SEARCH(Assumptions!$C$7,G3521)),Assumptions!$D$7,"Other Services"))),"Other Services"))</f>
        <v/>
      </c>
    </row>
    <row r="3522" customFormat="false" ht="15" hidden="false" customHeight="false" outlineLevel="0" collapsed="false">
      <c r="E3522" s="41" t="str">
        <f aca="false">IF(D3522="","",IFERROR(VLOOKUP(D3522,Assumptions!$G$5:$H$16,2,0),"Other"))</f>
        <v/>
      </c>
      <c r="J3522" s="41" t="str">
        <f aca="false">IF(G3522="","",IFERROR(IF(ISNUMBER(SEARCH(Assumptions!$C$5,G3522)),Assumptions!$D$5,IF(ISNUMBER(SEARCH(Assumptions!$C$6,G3522)),Assumptions!$D$6,IF(ISNUMBER(SEARCH(Assumptions!$C$7,G3522)),Assumptions!$D$7,"Other Services"))),"Other Services"))</f>
        <v/>
      </c>
    </row>
    <row r="3523" customFormat="false" ht="15" hidden="false" customHeight="false" outlineLevel="0" collapsed="false">
      <c r="E3523" s="41" t="str">
        <f aca="false">IF(D3523="","",IFERROR(VLOOKUP(D3523,Assumptions!$G$5:$H$16,2,0),"Other"))</f>
        <v/>
      </c>
      <c r="J3523" s="41" t="str">
        <f aca="false">IF(G3523="","",IFERROR(IF(ISNUMBER(SEARCH(Assumptions!$C$5,G3523)),Assumptions!$D$5,IF(ISNUMBER(SEARCH(Assumptions!$C$6,G3523)),Assumptions!$D$6,IF(ISNUMBER(SEARCH(Assumptions!$C$7,G3523)),Assumptions!$D$7,"Other Services"))),"Other Services"))</f>
        <v/>
      </c>
    </row>
    <row r="3524" customFormat="false" ht="15" hidden="false" customHeight="false" outlineLevel="0" collapsed="false">
      <c r="E3524" s="41" t="str">
        <f aca="false">IF(D3524="","",IFERROR(VLOOKUP(D3524,Assumptions!$G$5:$H$16,2,0),"Other"))</f>
        <v/>
      </c>
      <c r="J3524" s="41" t="str">
        <f aca="false">IF(G3524="","",IFERROR(IF(ISNUMBER(SEARCH(Assumptions!$C$5,G3524)),Assumptions!$D$5,IF(ISNUMBER(SEARCH(Assumptions!$C$6,G3524)),Assumptions!$D$6,IF(ISNUMBER(SEARCH(Assumptions!$C$7,G3524)),Assumptions!$D$7,"Other Services"))),"Other Services"))</f>
        <v/>
      </c>
    </row>
    <row r="3525" customFormat="false" ht="15" hidden="false" customHeight="false" outlineLevel="0" collapsed="false">
      <c r="E3525" s="41" t="str">
        <f aca="false">IF(D3525="","",IFERROR(VLOOKUP(D3525,Assumptions!$G$5:$H$16,2,0),"Other"))</f>
        <v/>
      </c>
      <c r="J3525" s="41" t="str">
        <f aca="false">IF(G3525="","",IFERROR(IF(ISNUMBER(SEARCH(Assumptions!$C$5,G3525)),Assumptions!$D$5,IF(ISNUMBER(SEARCH(Assumptions!$C$6,G3525)),Assumptions!$D$6,IF(ISNUMBER(SEARCH(Assumptions!$C$7,G3525)),Assumptions!$D$7,"Other Services"))),"Other Services"))</f>
        <v/>
      </c>
    </row>
    <row r="3526" customFormat="false" ht="15" hidden="false" customHeight="false" outlineLevel="0" collapsed="false">
      <c r="E3526" s="41" t="str">
        <f aca="false">IF(D3526="","",IFERROR(VLOOKUP(D3526,Assumptions!$G$5:$H$16,2,0),"Other"))</f>
        <v/>
      </c>
      <c r="J3526" s="41" t="str">
        <f aca="false">IF(G3526="","",IFERROR(IF(ISNUMBER(SEARCH(Assumptions!$C$5,G3526)),Assumptions!$D$5,IF(ISNUMBER(SEARCH(Assumptions!$C$6,G3526)),Assumptions!$D$6,IF(ISNUMBER(SEARCH(Assumptions!$C$7,G3526)),Assumptions!$D$7,"Other Services"))),"Other Services"))</f>
        <v/>
      </c>
    </row>
    <row r="3527" customFormat="false" ht="15" hidden="false" customHeight="false" outlineLevel="0" collapsed="false">
      <c r="E3527" s="41" t="str">
        <f aca="false">IF(D3527="","",IFERROR(VLOOKUP(D3527,Assumptions!$G$5:$H$16,2,0),"Other"))</f>
        <v/>
      </c>
      <c r="J3527" s="41" t="str">
        <f aca="false">IF(G3527="","",IFERROR(IF(ISNUMBER(SEARCH(Assumptions!$C$5,G3527)),Assumptions!$D$5,IF(ISNUMBER(SEARCH(Assumptions!$C$6,G3527)),Assumptions!$D$6,IF(ISNUMBER(SEARCH(Assumptions!$C$7,G3527)),Assumptions!$D$7,"Other Services"))),"Other Services"))</f>
        <v/>
      </c>
    </row>
    <row r="3528" customFormat="false" ht="15" hidden="false" customHeight="false" outlineLevel="0" collapsed="false">
      <c r="E3528" s="41" t="str">
        <f aca="false">IF(D3528="","",IFERROR(VLOOKUP(D3528,Assumptions!$G$5:$H$16,2,0),"Other"))</f>
        <v/>
      </c>
      <c r="J3528" s="41" t="str">
        <f aca="false">IF(G3528="","",IFERROR(IF(ISNUMBER(SEARCH(Assumptions!$C$5,G3528)),Assumptions!$D$5,IF(ISNUMBER(SEARCH(Assumptions!$C$6,G3528)),Assumptions!$D$6,IF(ISNUMBER(SEARCH(Assumptions!$C$7,G3528)),Assumptions!$D$7,"Other Services"))),"Other Services"))</f>
        <v/>
      </c>
    </row>
    <row r="3529" customFormat="false" ht="15" hidden="false" customHeight="false" outlineLevel="0" collapsed="false">
      <c r="E3529" s="41" t="str">
        <f aca="false">IF(D3529="","",IFERROR(VLOOKUP(D3529,Assumptions!$G$5:$H$16,2,0),"Other"))</f>
        <v/>
      </c>
      <c r="J3529" s="41" t="str">
        <f aca="false">IF(G3529="","",IFERROR(IF(ISNUMBER(SEARCH(Assumptions!$C$5,G3529)),Assumptions!$D$5,IF(ISNUMBER(SEARCH(Assumptions!$C$6,G3529)),Assumptions!$D$6,IF(ISNUMBER(SEARCH(Assumptions!$C$7,G3529)),Assumptions!$D$7,"Other Services"))),"Other Services"))</f>
        <v/>
      </c>
    </row>
    <row r="3530" customFormat="false" ht="15" hidden="false" customHeight="false" outlineLevel="0" collapsed="false">
      <c r="E3530" s="41" t="str">
        <f aca="false">IF(D3530="","",IFERROR(VLOOKUP(D3530,Assumptions!$G$5:$H$16,2,0),"Other"))</f>
        <v/>
      </c>
      <c r="J3530" s="41" t="str">
        <f aca="false">IF(G3530="","",IFERROR(IF(ISNUMBER(SEARCH(Assumptions!$C$5,G3530)),Assumptions!$D$5,IF(ISNUMBER(SEARCH(Assumptions!$C$6,G3530)),Assumptions!$D$6,IF(ISNUMBER(SEARCH(Assumptions!$C$7,G3530)),Assumptions!$D$7,"Other Services"))),"Other Services"))</f>
        <v/>
      </c>
    </row>
    <row r="3531" customFormat="false" ht="15" hidden="false" customHeight="false" outlineLevel="0" collapsed="false">
      <c r="E3531" s="41" t="str">
        <f aca="false">IF(D3531="","",IFERROR(VLOOKUP(D3531,Assumptions!$G$5:$H$16,2,0),"Other"))</f>
        <v/>
      </c>
      <c r="J3531" s="41" t="str">
        <f aca="false">IF(G3531="","",IFERROR(IF(ISNUMBER(SEARCH(Assumptions!$C$5,G3531)),Assumptions!$D$5,IF(ISNUMBER(SEARCH(Assumptions!$C$6,G3531)),Assumptions!$D$6,IF(ISNUMBER(SEARCH(Assumptions!$C$7,G3531)),Assumptions!$D$7,"Other Services"))),"Other Services"))</f>
        <v/>
      </c>
    </row>
    <row r="3532" customFormat="false" ht="15" hidden="false" customHeight="false" outlineLevel="0" collapsed="false">
      <c r="E3532" s="41" t="str">
        <f aca="false">IF(D3532="","",IFERROR(VLOOKUP(D3532,Assumptions!$G$5:$H$16,2,0),"Other"))</f>
        <v/>
      </c>
      <c r="J3532" s="41" t="str">
        <f aca="false">IF(G3532="","",IFERROR(IF(ISNUMBER(SEARCH(Assumptions!$C$5,G3532)),Assumptions!$D$5,IF(ISNUMBER(SEARCH(Assumptions!$C$6,G3532)),Assumptions!$D$6,IF(ISNUMBER(SEARCH(Assumptions!$C$7,G3532)),Assumptions!$D$7,"Other Services"))),"Other Services"))</f>
        <v/>
      </c>
    </row>
    <row r="3533" customFormat="false" ht="15" hidden="false" customHeight="false" outlineLevel="0" collapsed="false">
      <c r="E3533" s="41" t="str">
        <f aca="false">IF(D3533="","",IFERROR(VLOOKUP(D3533,Assumptions!$G$5:$H$16,2,0),"Other"))</f>
        <v/>
      </c>
      <c r="J3533" s="41" t="str">
        <f aca="false">IF(G3533="","",IFERROR(IF(ISNUMBER(SEARCH(Assumptions!$C$5,G3533)),Assumptions!$D$5,IF(ISNUMBER(SEARCH(Assumptions!$C$6,G3533)),Assumptions!$D$6,IF(ISNUMBER(SEARCH(Assumptions!$C$7,G3533)),Assumptions!$D$7,"Other Services"))),"Other Services"))</f>
        <v/>
      </c>
    </row>
    <row r="3534" customFormat="false" ht="15" hidden="false" customHeight="false" outlineLevel="0" collapsed="false">
      <c r="E3534" s="41" t="str">
        <f aca="false">IF(D3534="","",IFERROR(VLOOKUP(D3534,Assumptions!$G$5:$H$16,2,0),"Other"))</f>
        <v/>
      </c>
      <c r="J3534" s="41" t="str">
        <f aca="false">IF(G3534="","",IFERROR(IF(ISNUMBER(SEARCH(Assumptions!$C$5,G3534)),Assumptions!$D$5,IF(ISNUMBER(SEARCH(Assumptions!$C$6,G3534)),Assumptions!$D$6,IF(ISNUMBER(SEARCH(Assumptions!$C$7,G3534)),Assumptions!$D$7,"Other Services"))),"Other Services"))</f>
        <v/>
      </c>
    </row>
    <row r="3535" customFormat="false" ht="15" hidden="false" customHeight="false" outlineLevel="0" collapsed="false">
      <c r="E3535" s="41" t="str">
        <f aca="false">IF(D3535="","",IFERROR(VLOOKUP(D3535,Assumptions!$G$5:$H$16,2,0),"Other"))</f>
        <v/>
      </c>
      <c r="J3535" s="41" t="str">
        <f aca="false">IF(G3535="","",IFERROR(IF(ISNUMBER(SEARCH(Assumptions!$C$5,G3535)),Assumptions!$D$5,IF(ISNUMBER(SEARCH(Assumptions!$C$6,G3535)),Assumptions!$D$6,IF(ISNUMBER(SEARCH(Assumptions!$C$7,G3535)),Assumptions!$D$7,"Other Services"))),"Other Services"))</f>
        <v/>
      </c>
    </row>
    <row r="3536" customFormat="false" ht="15" hidden="false" customHeight="false" outlineLevel="0" collapsed="false">
      <c r="E3536" s="41" t="str">
        <f aca="false">IF(D3536="","",IFERROR(VLOOKUP(D3536,Assumptions!$G$5:$H$16,2,0),"Other"))</f>
        <v/>
      </c>
      <c r="J3536" s="41" t="str">
        <f aca="false">IF(G3536="","",IFERROR(IF(ISNUMBER(SEARCH(Assumptions!$C$5,G3536)),Assumptions!$D$5,IF(ISNUMBER(SEARCH(Assumptions!$C$6,G3536)),Assumptions!$D$6,IF(ISNUMBER(SEARCH(Assumptions!$C$7,G3536)),Assumptions!$D$7,"Other Services"))),"Other Services"))</f>
        <v/>
      </c>
    </row>
    <row r="3537" customFormat="false" ht="15" hidden="false" customHeight="false" outlineLevel="0" collapsed="false">
      <c r="E3537" s="41" t="str">
        <f aca="false">IF(D3537="","",IFERROR(VLOOKUP(D3537,Assumptions!$G$5:$H$16,2,0),"Other"))</f>
        <v/>
      </c>
      <c r="J3537" s="41" t="str">
        <f aca="false">IF(G3537="","",IFERROR(IF(ISNUMBER(SEARCH(Assumptions!$C$5,G3537)),Assumptions!$D$5,IF(ISNUMBER(SEARCH(Assumptions!$C$6,G3537)),Assumptions!$D$6,IF(ISNUMBER(SEARCH(Assumptions!$C$7,G3537)),Assumptions!$D$7,"Other Services"))),"Other Services"))</f>
        <v/>
      </c>
    </row>
    <row r="3538" customFormat="false" ht="15" hidden="false" customHeight="false" outlineLevel="0" collapsed="false">
      <c r="E3538" s="41" t="str">
        <f aca="false">IF(D3538="","",IFERROR(VLOOKUP(D3538,Assumptions!$G$5:$H$16,2,0),"Other"))</f>
        <v/>
      </c>
      <c r="J3538" s="41" t="str">
        <f aca="false">IF(G3538="","",IFERROR(IF(ISNUMBER(SEARCH(Assumptions!$C$5,G3538)),Assumptions!$D$5,IF(ISNUMBER(SEARCH(Assumptions!$C$6,G3538)),Assumptions!$D$6,IF(ISNUMBER(SEARCH(Assumptions!$C$7,G3538)),Assumptions!$D$7,"Other Services"))),"Other Services"))</f>
        <v/>
      </c>
    </row>
    <row r="3539" customFormat="false" ht="15" hidden="false" customHeight="false" outlineLevel="0" collapsed="false">
      <c r="E3539" s="41" t="str">
        <f aca="false">IF(D3539="","",IFERROR(VLOOKUP(D3539,Assumptions!$G$5:$H$16,2,0),"Other"))</f>
        <v/>
      </c>
      <c r="J3539" s="41" t="str">
        <f aca="false">IF(G3539="","",IFERROR(IF(ISNUMBER(SEARCH(Assumptions!$C$5,G3539)),Assumptions!$D$5,IF(ISNUMBER(SEARCH(Assumptions!$C$6,G3539)),Assumptions!$D$6,IF(ISNUMBER(SEARCH(Assumptions!$C$7,G3539)),Assumptions!$D$7,"Other Services"))),"Other Services"))</f>
        <v/>
      </c>
    </row>
    <row r="3540" customFormat="false" ht="15" hidden="false" customHeight="false" outlineLevel="0" collapsed="false">
      <c r="E3540" s="41" t="str">
        <f aca="false">IF(D3540="","",IFERROR(VLOOKUP(D3540,Assumptions!$G$5:$H$16,2,0),"Other"))</f>
        <v/>
      </c>
      <c r="J3540" s="41" t="str">
        <f aca="false">IF(G3540="","",IFERROR(IF(ISNUMBER(SEARCH(Assumptions!$C$5,G3540)),Assumptions!$D$5,IF(ISNUMBER(SEARCH(Assumptions!$C$6,G3540)),Assumptions!$D$6,IF(ISNUMBER(SEARCH(Assumptions!$C$7,G3540)),Assumptions!$D$7,"Other Services"))),"Other Services"))</f>
        <v/>
      </c>
    </row>
    <row r="3541" customFormat="false" ht="15" hidden="false" customHeight="false" outlineLevel="0" collapsed="false">
      <c r="E3541" s="41" t="str">
        <f aca="false">IF(D3541="","",IFERROR(VLOOKUP(D3541,Assumptions!$G$5:$H$16,2,0),"Other"))</f>
        <v/>
      </c>
      <c r="J3541" s="41" t="str">
        <f aca="false">IF(G3541="","",IFERROR(IF(ISNUMBER(SEARCH(Assumptions!$C$5,G3541)),Assumptions!$D$5,IF(ISNUMBER(SEARCH(Assumptions!$C$6,G3541)),Assumptions!$D$6,IF(ISNUMBER(SEARCH(Assumptions!$C$7,G3541)),Assumptions!$D$7,"Other Services"))),"Other Services"))</f>
        <v/>
      </c>
    </row>
    <row r="3542" customFormat="false" ht="15" hidden="false" customHeight="false" outlineLevel="0" collapsed="false">
      <c r="E3542" s="41" t="str">
        <f aca="false">IF(D3542="","",IFERROR(VLOOKUP(D3542,Assumptions!$G$5:$H$16,2,0),"Other"))</f>
        <v/>
      </c>
      <c r="J3542" s="41" t="str">
        <f aca="false">IF(G3542="","",IFERROR(IF(ISNUMBER(SEARCH(Assumptions!$C$5,G3542)),Assumptions!$D$5,IF(ISNUMBER(SEARCH(Assumptions!$C$6,G3542)),Assumptions!$D$6,IF(ISNUMBER(SEARCH(Assumptions!$C$7,G3542)),Assumptions!$D$7,"Other Services"))),"Other Services"))</f>
        <v/>
      </c>
    </row>
    <row r="3543" customFormat="false" ht="15" hidden="false" customHeight="false" outlineLevel="0" collapsed="false">
      <c r="E3543" s="41" t="str">
        <f aca="false">IF(D3543="","",IFERROR(VLOOKUP(D3543,Assumptions!$G$5:$H$16,2,0),"Other"))</f>
        <v/>
      </c>
      <c r="J3543" s="41" t="str">
        <f aca="false">IF(G3543="","",IFERROR(IF(ISNUMBER(SEARCH(Assumptions!$C$5,G3543)),Assumptions!$D$5,IF(ISNUMBER(SEARCH(Assumptions!$C$6,G3543)),Assumptions!$D$6,IF(ISNUMBER(SEARCH(Assumptions!$C$7,G3543)),Assumptions!$D$7,"Other Services"))),"Other Services"))</f>
        <v/>
      </c>
    </row>
    <row r="3544" customFormat="false" ht="15" hidden="false" customHeight="false" outlineLevel="0" collapsed="false">
      <c r="E3544" s="41" t="str">
        <f aca="false">IF(D3544="","",IFERROR(VLOOKUP(D3544,Assumptions!$G$5:$H$16,2,0),"Other"))</f>
        <v/>
      </c>
      <c r="J3544" s="41" t="str">
        <f aca="false">IF(G3544="","",IFERROR(IF(ISNUMBER(SEARCH(Assumptions!$C$5,G3544)),Assumptions!$D$5,IF(ISNUMBER(SEARCH(Assumptions!$C$6,G3544)),Assumptions!$D$6,IF(ISNUMBER(SEARCH(Assumptions!$C$7,G3544)),Assumptions!$D$7,"Other Services"))),"Other Services"))</f>
        <v/>
      </c>
    </row>
    <row r="3545" customFormat="false" ht="15" hidden="false" customHeight="false" outlineLevel="0" collapsed="false">
      <c r="E3545" s="41" t="str">
        <f aca="false">IF(D3545="","",IFERROR(VLOOKUP(D3545,Assumptions!$G$5:$H$16,2,0),"Other"))</f>
        <v/>
      </c>
      <c r="J3545" s="41" t="str">
        <f aca="false">IF(G3545="","",IFERROR(IF(ISNUMBER(SEARCH(Assumptions!$C$5,G3545)),Assumptions!$D$5,IF(ISNUMBER(SEARCH(Assumptions!$C$6,G3545)),Assumptions!$D$6,IF(ISNUMBER(SEARCH(Assumptions!$C$7,G3545)),Assumptions!$D$7,"Other Services"))),"Other Services"))</f>
        <v/>
      </c>
    </row>
    <row r="3546" customFormat="false" ht="15" hidden="false" customHeight="false" outlineLevel="0" collapsed="false">
      <c r="E3546" s="41" t="str">
        <f aca="false">IF(D3546="","",IFERROR(VLOOKUP(D3546,Assumptions!$G$5:$H$16,2,0),"Other"))</f>
        <v/>
      </c>
      <c r="J3546" s="41" t="str">
        <f aca="false">IF(G3546="","",IFERROR(IF(ISNUMBER(SEARCH(Assumptions!$C$5,G3546)),Assumptions!$D$5,IF(ISNUMBER(SEARCH(Assumptions!$C$6,G3546)),Assumptions!$D$6,IF(ISNUMBER(SEARCH(Assumptions!$C$7,G3546)),Assumptions!$D$7,"Other Services"))),"Other Services"))</f>
        <v/>
      </c>
    </row>
    <row r="3547" customFormat="false" ht="15" hidden="false" customHeight="false" outlineLevel="0" collapsed="false">
      <c r="E3547" s="41" t="str">
        <f aca="false">IF(D3547="","",IFERROR(VLOOKUP(D3547,Assumptions!$G$5:$H$16,2,0),"Other"))</f>
        <v/>
      </c>
      <c r="J3547" s="41" t="str">
        <f aca="false">IF(G3547="","",IFERROR(IF(ISNUMBER(SEARCH(Assumptions!$C$5,G3547)),Assumptions!$D$5,IF(ISNUMBER(SEARCH(Assumptions!$C$6,G3547)),Assumptions!$D$6,IF(ISNUMBER(SEARCH(Assumptions!$C$7,G3547)),Assumptions!$D$7,"Other Services"))),"Other Services"))</f>
        <v/>
      </c>
    </row>
    <row r="3548" customFormat="false" ht="15" hidden="false" customHeight="false" outlineLevel="0" collapsed="false">
      <c r="E3548" s="41" t="str">
        <f aca="false">IF(D3548="","",IFERROR(VLOOKUP(D3548,Assumptions!$G$5:$H$16,2,0),"Other"))</f>
        <v/>
      </c>
      <c r="J3548" s="41" t="str">
        <f aca="false">IF(G3548="","",IFERROR(IF(ISNUMBER(SEARCH(Assumptions!$C$5,G3548)),Assumptions!$D$5,IF(ISNUMBER(SEARCH(Assumptions!$C$6,G3548)),Assumptions!$D$6,IF(ISNUMBER(SEARCH(Assumptions!$C$7,G3548)),Assumptions!$D$7,"Other Services"))),"Other Services"))</f>
        <v/>
      </c>
    </row>
    <row r="3549" customFormat="false" ht="15" hidden="false" customHeight="false" outlineLevel="0" collapsed="false">
      <c r="E3549" s="41" t="str">
        <f aca="false">IF(D3549="","",IFERROR(VLOOKUP(D3549,Assumptions!$G$5:$H$16,2,0),"Other"))</f>
        <v/>
      </c>
      <c r="J3549" s="41" t="str">
        <f aca="false">IF(G3549="","",IFERROR(IF(ISNUMBER(SEARCH(Assumptions!$C$5,G3549)),Assumptions!$D$5,IF(ISNUMBER(SEARCH(Assumptions!$C$6,G3549)),Assumptions!$D$6,IF(ISNUMBER(SEARCH(Assumptions!$C$7,G3549)),Assumptions!$D$7,"Other Services"))),"Other Services"))</f>
        <v/>
      </c>
    </row>
    <row r="3550" customFormat="false" ht="15" hidden="false" customHeight="false" outlineLevel="0" collapsed="false">
      <c r="E3550" s="41" t="str">
        <f aca="false">IF(D3550="","",IFERROR(VLOOKUP(D3550,Assumptions!$G$5:$H$16,2,0),"Other"))</f>
        <v/>
      </c>
      <c r="J3550" s="41" t="str">
        <f aca="false">IF(G3550="","",IFERROR(IF(ISNUMBER(SEARCH(Assumptions!$C$5,G3550)),Assumptions!$D$5,IF(ISNUMBER(SEARCH(Assumptions!$C$6,G3550)),Assumptions!$D$6,IF(ISNUMBER(SEARCH(Assumptions!$C$7,G3550)),Assumptions!$D$7,"Other Services"))),"Other Services"))</f>
        <v/>
      </c>
    </row>
    <row r="3551" customFormat="false" ht="15" hidden="false" customHeight="false" outlineLevel="0" collapsed="false">
      <c r="E3551" s="41" t="str">
        <f aca="false">IF(D3551="","",IFERROR(VLOOKUP(D3551,Assumptions!$G$5:$H$16,2,0),"Other"))</f>
        <v/>
      </c>
      <c r="J3551" s="41" t="str">
        <f aca="false">IF(G3551="","",IFERROR(IF(ISNUMBER(SEARCH(Assumptions!$C$5,G3551)),Assumptions!$D$5,IF(ISNUMBER(SEARCH(Assumptions!$C$6,G3551)),Assumptions!$D$6,IF(ISNUMBER(SEARCH(Assumptions!$C$7,G3551)),Assumptions!$D$7,"Other Services"))),"Other Services"))</f>
        <v/>
      </c>
    </row>
    <row r="3552" customFormat="false" ht="15" hidden="false" customHeight="false" outlineLevel="0" collapsed="false">
      <c r="E3552" s="41" t="str">
        <f aca="false">IF(D3552="","",IFERROR(VLOOKUP(D3552,Assumptions!$G$5:$H$16,2,0),"Other"))</f>
        <v/>
      </c>
      <c r="J3552" s="41" t="str">
        <f aca="false">IF(G3552="","",IFERROR(IF(ISNUMBER(SEARCH(Assumptions!$C$5,G3552)),Assumptions!$D$5,IF(ISNUMBER(SEARCH(Assumptions!$C$6,G3552)),Assumptions!$D$6,IF(ISNUMBER(SEARCH(Assumptions!$C$7,G3552)),Assumptions!$D$7,"Other Services"))),"Other Services"))</f>
        <v/>
      </c>
    </row>
    <row r="3553" customFormat="false" ht="15" hidden="false" customHeight="false" outlineLevel="0" collapsed="false">
      <c r="E3553" s="41" t="str">
        <f aca="false">IF(D3553="","",IFERROR(VLOOKUP(D3553,Assumptions!$G$5:$H$16,2,0),"Other"))</f>
        <v/>
      </c>
      <c r="J3553" s="41" t="str">
        <f aca="false">IF(G3553="","",IFERROR(IF(ISNUMBER(SEARCH(Assumptions!$C$5,G3553)),Assumptions!$D$5,IF(ISNUMBER(SEARCH(Assumptions!$C$6,G3553)),Assumptions!$D$6,IF(ISNUMBER(SEARCH(Assumptions!$C$7,G3553)),Assumptions!$D$7,"Other Services"))),"Other Services"))</f>
        <v/>
      </c>
    </row>
    <row r="3554" customFormat="false" ht="15" hidden="false" customHeight="false" outlineLevel="0" collapsed="false">
      <c r="E3554" s="41" t="str">
        <f aca="false">IF(D3554="","",IFERROR(VLOOKUP(D3554,Assumptions!$G$5:$H$16,2,0),"Other"))</f>
        <v/>
      </c>
      <c r="J3554" s="41" t="str">
        <f aca="false">IF(G3554="","",IFERROR(IF(ISNUMBER(SEARCH(Assumptions!$C$5,G3554)),Assumptions!$D$5,IF(ISNUMBER(SEARCH(Assumptions!$C$6,G3554)),Assumptions!$D$6,IF(ISNUMBER(SEARCH(Assumptions!$C$7,G3554)),Assumptions!$D$7,"Other Services"))),"Other Services"))</f>
        <v/>
      </c>
    </row>
    <row r="3555" customFormat="false" ht="15" hidden="false" customHeight="false" outlineLevel="0" collapsed="false">
      <c r="E3555" s="41" t="str">
        <f aca="false">IF(D3555="","",IFERROR(VLOOKUP(D3555,Assumptions!$G$5:$H$16,2,0),"Other"))</f>
        <v/>
      </c>
      <c r="J3555" s="41" t="str">
        <f aca="false">IF(G3555="","",IFERROR(IF(ISNUMBER(SEARCH(Assumptions!$C$5,G3555)),Assumptions!$D$5,IF(ISNUMBER(SEARCH(Assumptions!$C$6,G3555)),Assumptions!$D$6,IF(ISNUMBER(SEARCH(Assumptions!$C$7,G3555)),Assumptions!$D$7,"Other Services"))),"Other Services"))</f>
        <v/>
      </c>
    </row>
    <row r="3556" customFormat="false" ht="15" hidden="false" customHeight="false" outlineLevel="0" collapsed="false">
      <c r="E3556" s="41" t="str">
        <f aca="false">IF(D3556="","",IFERROR(VLOOKUP(D3556,Assumptions!$G$5:$H$16,2,0),"Other"))</f>
        <v/>
      </c>
      <c r="J3556" s="41" t="str">
        <f aca="false">IF(G3556="","",IFERROR(IF(ISNUMBER(SEARCH(Assumptions!$C$5,G3556)),Assumptions!$D$5,IF(ISNUMBER(SEARCH(Assumptions!$C$6,G3556)),Assumptions!$D$6,IF(ISNUMBER(SEARCH(Assumptions!$C$7,G3556)),Assumptions!$D$7,"Other Services"))),"Other Services"))</f>
        <v/>
      </c>
    </row>
    <row r="3557" customFormat="false" ht="15" hidden="false" customHeight="false" outlineLevel="0" collapsed="false">
      <c r="E3557" s="41" t="str">
        <f aca="false">IF(D3557="","",IFERROR(VLOOKUP(D3557,Assumptions!$G$5:$H$16,2,0),"Other"))</f>
        <v/>
      </c>
      <c r="J3557" s="41" t="str">
        <f aca="false">IF(G3557="","",IFERROR(IF(ISNUMBER(SEARCH(Assumptions!$C$5,G3557)),Assumptions!$D$5,IF(ISNUMBER(SEARCH(Assumptions!$C$6,G3557)),Assumptions!$D$6,IF(ISNUMBER(SEARCH(Assumptions!$C$7,G3557)),Assumptions!$D$7,"Other Services"))),"Other Services"))</f>
        <v/>
      </c>
    </row>
    <row r="3558" customFormat="false" ht="15" hidden="false" customHeight="false" outlineLevel="0" collapsed="false">
      <c r="E3558" s="41" t="str">
        <f aca="false">IF(D3558="","",IFERROR(VLOOKUP(D3558,Assumptions!$G$5:$H$16,2,0),"Other"))</f>
        <v/>
      </c>
      <c r="J3558" s="41" t="str">
        <f aca="false">IF(G3558="","",IFERROR(IF(ISNUMBER(SEARCH(Assumptions!$C$5,G3558)),Assumptions!$D$5,IF(ISNUMBER(SEARCH(Assumptions!$C$6,G3558)),Assumptions!$D$6,IF(ISNUMBER(SEARCH(Assumptions!$C$7,G3558)),Assumptions!$D$7,"Other Services"))),"Other Services"))</f>
        <v/>
      </c>
    </row>
    <row r="3559" customFormat="false" ht="15" hidden="false" customHeight="false" outlineLevel="0" collapsed="false">
      <c r="E3559" s="41" t="str">
        <f aca="false">IF(D3559="","",IFERROR(VLOOKUP(D3559,Assumptions!$G$5:$H$16,2,0),"Other"))</f>
        <v/>
      </c>
      <c r="J3559" s="41" t="str">
        <f aca="false">IF(G3559="","",IFERROR(IF(ISNUMBER(SEARCH(Assumptions!$C$5,G3559)),Assumptions!$D$5,IF(ISNUMBER(SEARCH(Assumptions!$C$6,G3559)),Assumptions!$D$6,IF(ISNUMBER(SEARCH(Assumptions!$C$7,G3559)),Assumptions!$D$7,"Other Services"))),"Other Services"))</f>
        <v/>
      </c>
    </row>
    <row r="3560" customFormat="false" ht="15" hidden="false" customHeight="false" outlineLevel="0" collapsed="false">
      <c r="E3560" s="41" t="str">
        <f aca="false">IF(D3560="","",IFERROR(VLOOKUP(D3560,Assumptions!$G$5:$H$16,2,0),"Other"))</f>
        <v/>
      </c>
      <c r="J3560" s="41" t="str">
        <f aca="false">IF(G3560="","",IFERROR(IF(ISNUMBER(SEARCH(Assumptions!$C$5,G3560)),Assumptions!$D$5,IF(ISNUMBER(SEARCH(Assumptions!$C$6,G3560)),Assumptions!$D$6,IF(ISNUMBER(SEARCH(Assumptions!$C$7,G3560)),Assumptions!$D$7,"Other Services"))),"Other Services"))</f>
        <v/>
      </c>
    </row>
    <row r="3561" customFormat="false" ht="15" hidden="false" customHeight="false" outlineLevel="0" collapsed="false">
      <c r="E3561" s="41" t="str">
        <f aca="false">IF(D3561="","",IFERROR(VLOOKUP(D3561,Assumptions!$G$5:$H$16,2,0),"Other"))</f>
        <v/>
      </c>
      <c r="J3561" s="41" t="str">
        <f aca="false">IF(G3561="","",IFERROR(IF(ISNUMBER(SEARCH(Assumptions!$C$5,G3561)),Assumptions!$D$5,IF(ISNUMBER(SEARCH(Assumptions!$C$6,G3561)),Assumptions!$D$6,IF(ISNUMBER(SEARCH(Assumptions!$C$7,G3561)),Assumptions!$D$7,"Other Services"))),"Other Services"))</f>
        <v/>
      </c>
    </row>
    <row r="3562" customFormat="false" ht="15" hidden="false" customHeight="false" outlineLevel="0" collapsed="false">
      <c r="E3562" s="41" t="str">
        <f aca="false">IF(D3562="","",IFERROR(VLOOKUP(D3562,Assumptions!$G$5:$H$16,2,0),"Other"))</f>
        <v/>
      </c>
      <c r="J3562" s="41" t="str">
        <f aca="false">IF(G3562="","",IFERROR(IF(ISNUMBER(SEARCH(Assumptions!$C$5,G3562)),Assumptions!$D$5,IF(ISNUMBER(SEARCH(Assumptions!$C$6,G3562)),Assumptions!$D$6,IF(ISNUMBER(SEARCH(Assumptions!$C$7,G3562)),Assumptions!$D$7,"Other Services"))),"Other Services"))</f>
        <v/>
      </c>
    </row>
    <row r="3563" customFormat="false" ht="15" hidden="false" customHeight="false" outlineLevel="0" collapsed="false">
      <c r="E3563" s="41" t="str">
        <f aca="false">IF(D3563="","",IFERROR(VLOOKUP(D3563,Assumptions!$G$5:$H$16,2,0),"Other"))</f>
        <v/>
      </c>
      <c r="J3563" s="41" t="str">
        <f aca="false">IF(G3563="","",IFERROR(IF(ISNUMBER(SEARCH(Assumptions!$C$5,G3563)),Assumptions!$D$5,IF(ISNUMBER(SEARCH(Assumptions!$C$6,G3563)),Assumptions!$D$6,IF(ISNUMBER(SEARCH(Assumptions!$C$7,G3563)),Assumptions!$D$7,"Other Services"))),"Other Services"))</f>
        <v/>
      </c>
    </row>
    <row r="3564" customFormat="false" ht="15" hidden="false" customHeight="false" outlineLevel="0" collapsed="false">
      <c r="E3564" s="41" t="str">
        <f aca="false">IF(D3564="","",IFERROR(VLOOKUP(D3564,Assumptions!$G$5:$H$16,2,0),"Other"))</f>
        <v/>
      </c>
      <c r="J3564" s="41" t="str">
        <f aca="false">IF(G3564="","",IFERROR(IF(ISNUMBER(SEARCH(Assumptions!$C$5,G3564)),Assumptions!$D$5,IF(ISNUMBER(SEARCH(Assumptions!$C$6,G3564)),Assumptions!$D$6,IF(ISNUMBER(SEARCH(Assumptions!$C$7,G3564)),Assumptions!$D$7,"Other Services"))),"Other Services"))</f>
        <v/>
      </c>
    </row>
    <row r="3565" customFormat="false" ht="15" hidden="false" customHeight="false" outlineLevel="0" collapsed="false">
      <c r="E3565" s="41" t="str">
        <f aca="false">IF(D3565="","",IFERROR(VLOOKUP(D3565,Assumptions!$G$5:$H$16,2,0),"Other"))</f>
        <v/>
      </c>
      <c r="J3565" s="41" t="str">
        <f aca="false">IF(G3565="","",IFERROR(IF(ISNUMBER(SEARCH(Assumptions!$C$5,G3565)),Assumptions!$D$5,IF(ISNUMBER(SEARCH(Assumptions!$C$6,G3565)),Assumptions!$D$6,IF(ISNUMBER(SEARCH(Assumptions!$C$7,G3565)),Assumptions!$D$7,"Other Services"))),"Other Services"))</f>
        <v/>
      </c>
    </row>
    <row r="3566" customFormat="false" ht="15" hidden="false" customHeight="false" outlineLevel="0" collapsed="false">
      <c r="E3566" s="41" t="str">
        <f aca="false">IF(D3566="","",IFERROR(VLOOKUP(D3566,Assumptions!$G$5:$H$16,2,0),"Other"))</f>
        <v/>
      </c>
      <c r="J3566" s="41" t="str">
        <f aca="false">IF(G3566="","",IFERROR(IF(ISNUMBER(SEARCH(Assumptions!$C$5,G3566)),Assumptions!$D$5,IF(ISNUMBER(SEARCH(Assumptions!$C$6,G3566)),Assumptions!$D$6,IF(ISNUMBER(SEARCH(Assumptions!$C$7,G3566)),Assumptions!$D$7,"Other Services"))),"Other Services"))</f>
        <v/>
      </c>
    </row>
    <row r="3567" customFormat="false" ht="15" hidden="false" customHeight="false" outlineLevel="0" collapsed="false">
      <c r="E3567" s="41" t="str">
        <f aca="false">IF(D3567="","",IFERROR(VLOOKUP(D3567,Assumptions!$G$5:$H$16,2,0),"Other"))</f>
        <v/>
      </c>
      <c r="J3567" s="41" t="str">
        <f aca="false">IF(G3567="","",IFERROR(IF(ISNUMBER(SEARCH(Assumptions!$C$5,G3567)),Assumptions!$D$5,IF(ISNUMBER(SEARCH(Assumptions!$C$6,G3567)),Assumptions!$D$6,IF(ISNUMBER(SEARCH(Assumptions!$C$7,G3567)),Assumptions!$D$7,"Other Services"))),"Other Services"))</f>
        <v/>
      </c>
    </row>
    <row r="3568" customFormat="false" ht="15" hidden="false" customHeight="false" outlineLevel="0" collapsed="false">
      <c r="E3568" s="41" t="str">
        <f aca="false">IF(D3568="","",IFERROR(VLOOKUP(D3568,Assumptions!$G$5:$H$16,2,0),"Other"))</f>
        <v/>
      </c>
      <c r="J3568" s="41" t="str">
        <f aca="false">IF(G3568="","",IFERROR(IF(ISNUMBER(SEARCH(Assumptions!$C$5,G3568)),Assumptions!$D$5,IF(ISNUMBER(SEARCH(Assumptions!$C$6,G3568)),Assumptions!$D$6,IF(ISNUMBER(SEARCH(Assumptions!$C$7,G3568)),Assumptions!$D$7,"Other Services"))),"Other Services"))</f>
        <v/>
      </c>
    </row>
    <row r="3569" customFormat="false" ht="15" hidden="false" customHeight="false" outlineLevel="0" collapsed="false">
      <c r="E3569" s="41" t="str">
        <f aca="false">IF(D3569="","",IFERROR(VLOOKUP(D3569,Assumptions!$G$5:$H$16,2,0),"Other"))</f>
        <v/>
      </c>
      <c r="J3569" s="41" t="str">
        <f aca="false">IF(G3569="","",IFERROR(IF(ISNUMBER(SEARCH(Assumptions!$C$5,G3569)),Assumptions!$D$5,IF(ISNUMBER(SEARCH(Assumptions!$C$6,G3569)),Assumptions!$D$6,IF(ISNUMBER(SEARCH(Assumptions!$C$7,G3569)),Assumptions!$D$7,"Other Services"))),"Other Services"))</f>
        <v/>
      </c>
    </row>
    <row r="3570" customFormat="false" ht="15" hidden="false" customHeight="false" outlineLevel="0" collapsed="false">
      <c r="E3570" s="41" t="str">
        <f aca="false">IF(D3570="","",IFERROR(VLOOKUP(D3570,Assumptions!$G$5:$H$16,2,0),"Other"))</f>
        <v/>
      </c>
      <c r="J3570" s="41" t="str">
        <f aca="false">IF(G3570="","",IFERROR(IF(ISNUMBER(SEARCH(Assumptions!$C$5,G3570)),Assumptions!$D$5,IF(ISNUMBER(SEARCH(Assumptions!$C$6,G3570)),Assumptions!$D$6,IF(ISNUMBER(SEARCH(Assumptions!$C$7,G3570)),Assumptions!$D$7,"Other Services"))),"Other Services"))</f>
        <v/>
      </c>
    </row>
    <row r="3571" customFormat="false" ht="15" hidden="false" customHeight="false" outlineLevel="0" collapsed="false">
      <c r="E3571" s="41" t="str">
        <f aca="false">IF(D3571="","",IFERROR(VLOOKUP(D3571,Assumptions!$G$5:$H$16,2,0),"Other"))</f>
        <v/>
      </c>
      <c r="J3571" s="41" t="str">
        <f aca="false">IF(G3571="","",IFERROR(IF(ISNUMBER(SEARCH(Assumptions!$C$5,G3571)),Assumptions!$D$5,IF(ISNUMBER(SEARCH(Assumptions!$C$6,G3571)),Assumptions!$D$6,IF(ISNUMBER(SEARCH(Assumptions!$C$7,G3571)),Assumptions!$D$7,"Other Services"))),"Other Services"))</f>
        <v/>
      </c>
    </row>
    <row r="3572" customFormat="false" ht="15" hidden="false" customHeight="false" outlineLevel="0" collapsed="false">
      <c r="E3572" s="41" t="str">
        <f aca="false">IF(D3572="","",IFERROR(VLOOKUP(D3572,Assumptions!$G$5:$H$16,2,0),"Other"))</f>
        <v/>
      </c>
      <c r="J3572" s="41" t="str">
        <f aca="false">IF(G3572="","",IFERROR(IF(ISNUMBER(SEARCH(Assumptions!$C$5,G3572)),Assumptions!$D$5,IF(ISNUMBER(SEARCH(Assumptions!$C$6,G3572)),Assumptions!$D$6,IF(ISNUMBER(SEARCH(Assumptions!$C$7,G3572)),Assumptions!$D$7,"Other Services"))),"Other Services"))</f>
        <v/>
      </c>
    </row>
    <row r="3573" customFormat="false" ht="15" hidden="false" customHeight="false" outlineLevel="0" collapsed="false">
      <c r="E3573" s="41" t="str">
        <f aca="false">IF(D3573="","",IFERROR(VLOOKUP(D3573,Assumptions!$G$5:$H$16,2,0),"Other"))</f>
        <v/>
      </c>
      <c r="J3573" s="41" t="str">
        <f aca="false">IF(G3573="","",IFERROR(IF(ISNUMBER(SEARCH(Assumptions!$C$5,G3573)),Assumptions!$D$5,IF(ISNUMBER(SEARCH(Assumptions!$C$6,G3573)),Assumptions!$D$6,IF(ISNUMBER(SEARCH(Assumptions!$C$7,G3573)),Assumptions!$D$7,"Other Services"))),"Other Services"))</f>
        <v/>
      </c>
    </row>
    <row r="3574" customFormat="false" ht="15" hidden="false" customHeight="false" outlineLevel="0" collapsed="false">
      <c r="E3574" s="41" t="str">
        <f aca="false">IF(D3574="","",IFERROR(VLOOKUP(D3574,Assumptions!$G$5:$H$16,2,0),"Other"))</f>
        <v/>
      </c>
      <c r="J3574" s="41" t="str">
        <f aca="false">IF(G3574="","",IFERROR(IF(ISNUMBER(SEARCH(Assumptions!$C$5,G3574)),Assumptions!$D$5,IF(ISNUMBER(SEARCH(Assumptions!$C$6,G3574)),Assumptions!$D$6,IF(ISNUMBER(SEARCH(Assumptions!$C$7,G3574)),Assumptions!$D$7,"Other Services"))),"Other Services"))</f>
        <v/>
      </c>
    </row>
    <row r="3575" customFormat="false" ht="15" hidden="false" customHeight="false" outlineLevel="0" collapsed="false">
      <c r="E3575" s="41" t="str">
        <f aca="false">IF(D3575="","",IFERROR(VLOOKUP(D3575,Assumptions!$G$5:$H$16,2,0),"Other"))</f>
        <v/>
      </c>
      <c r="J3575" s="41" t="str">
        <f aca="false">IF(G3575="","",IFERROR(IF(ISNUMBER(SEARCH(Assumptions!$C$5,G3575)),Assumptions!$D$5,IF(ISNUMBER(SEARCH(Assumptions!$C$6,G3575)),Assumptions!$D$6,IF(ISNUMBER(SEARCH(Assumptions!$C$7,G3575)),Assumptions!$D$7,"Other Services"))),"Other Services"))</f>
        <v/>
      </c>
    </row>
    <row r="3576" customFormat="false" ht="15" hidden="false" customHeight="false" outlineLevel="0" collapsed="false">
      <c r="E3576" s="41" t="str">
        <f aca="false">IF(D3576="","",IFERROR(VLOOKUP(D3576,Assumptions!$G$5:$H$16,2,0),"Other"))</f>
        <v/>
      </c>
      <c r="J3576" s="41" t="str">
        <f aca="false">IF(G3576="","",IFERROR(IF(ISNUMBER(SEARCH(Assumptions!$C$5,G3576)),Assumptions!$D$5,IF(ISNUMBER(SEARCH(Assumptions!$C$6,G3576)),Assumptions!$D$6,IF(ISNUMBER(SEARCH(Assumptions!$C$7,G3576)),Assumptions!$D$7,"Other Services"))),"Other Services"))</f>
        <v/>
      </c>
    </row>
    <row r="3577" customFormat="false" ht="15" hidden="false" customHeight="false" outlineLevel="0" collapsed="false">
      <c r="E3577" s="41" t="str">
        <f aca="false">IF(D3577="","",IFERROR(VLOOKUP(D3577,Assumptions!$G$5:$H$16,2,0),"Other"))</f>
        <v/>
      </c>
      <c r="J3577" s="41" t="str">
        <f aca="false">IF(G3577="","",IFERROR(IF(ISNUMBER(SEARCH(Assumptions!$C$5,G3577)),Assumptions!$D$5,IF(ISNUMBER(SEARCH(Assumptions!$C$6,G3577)),Assumptions!$D$6,IF(ISNUMBER(SEARCH(Assumptions!$C$7,G3577)),Assumptions!$D$7,"Other Services"))),"Other Services"))</f>
        <v/>
      </c>
    </row>
    <row r="3578" customFormat="false" ht="15" hidden="false" customHeight="false" outlineLevel="0" collapsed="false">
      <c r="E3578" s="41" t="str">
        <f aca="false">IF(D3578="","",IFERROR(VLOOKUP(D3578,Assumptions!$G$5:$H$16,2,0),"Other"))</f>
        <v/>
      </c>
      <c r="J3578" s="41" t="str">
        <f aca="false">IF(G3578="","",IFERROR(IF(ISNUMBER(SEARCH(Assumptions!$C$5,G3578)),Assumptions!$D$5,IF(ISNUMBER(SEARCH(Assumptions!$C$6,G3578)),Assumptions!$D$6,IF(ISNUMBER(SEARCH(Assumptions!$C$7,G3578)),Assumptions!$D$7,"Other Services"))),"Other Services"))</f>
        <v/>
      </c>
    </row>
    <row r="3579" customFormat="false" ht="15" hidden="false" customHeight="false" outlineLevel="0" collapsed="false">
      <c r="E3579" s="41" t="str">
        <f aca="false">IF(D3579="","",IFERROR(VLOOKUP(D3579,Assumptions!$G$5:$H$16,2,0),"Other"))</f>
        <v/>
      </c>
      <c r="J3579" s="41" t="str">
        <f aca="false">IF(G3579="","",IFERROR(IF(ISNUMBER(SEARCH(Assumptions!$C$5,G3579)),Assumptions!$D$5,IF(ISNUMBER(SEARCH(Assumptions!$C$6,G3579)),Assumptions!$D$6,IF(ISNUMBER(SEARCH(Assumptions!$C$7,G3579)),Assumptions!$D$7,"Other Services"))),"Other Services"))</f>
        <v/>
      </c>
    </row>
    <row r="3580" customFormat="false" ht="15" hidden="false" customHeight="false" outlineLevel="0" collapsed="false">
      <c r="E3580" s="41" t="str">
        <f aca="false">IF(D3580="","",IFERROR(VLOOKUP(D3580,Assumptions!$G$5:$H$16,2,0),"Other"))</f>
        <v/>
      </c>
      <c r="J3580" s="41" t="str">
        <f aca="false">IF(G3580="","",IFERROR(IF(ISNUMBER(SEARCH(Assumptions!$C$5,G3580)),Assumptions!$D$5,IF(ISNUMBER(SEARCH(Assumptions!$C$6,G3580)),Assumptions!$D$6,IF(ISNUMBER(SEARCH(Assumptions!$C$7,G3580)),Assumptions!$D$7,"Other Services"))),"Other Services"))</f>
        <v/>
      </c>
    </row>
    <row r="3581" customFormat="false" ht="15" hidden="false" customHeight="false" outlineLevel="0" collapsed="false">
      <c r="E3581" s="41" t="str">
        <f aca="false">IF(D3581="","",IFERROR(VLOOKUP(D3581,Assumptions!$G$5:$H$16,2,0),"Other"))</f>
        <v/>
      </c>
      <c r="J3581" s="41" t="str">
        <f aca="false">IF(G3581="","",IFERROR(IF(ISNUMBER(SEARCH(Assumptions!$C$5,G3581)),Assumptions!$D$5,IF(ISNUMBER(SEARCH(Assumptions!$C$6,G3581)),Assumptions!$D$6,IF(ISNUMBER(SEARCH(Assumptions!$C$7,G3581)),Assumptions!$D$7,"Other Services"))),"Other Services"))</f>
        <v/>
      </c>
    </row>
    <row r="3582" customFormat="false" ht="15" hidden="false" customHeight="false" outlineLevel="0" collapsed="false">
      <c r="E3582" s="41" t="str">
        <f aca="false">IF(D3582="","",IFERROR(VLOOKUP(D3582,Assumptions!$G$5:$H$16,2,0),"Other"))</f>
        <v/>
      </c>
      <c r="J3582" s="41" t="str">
        <f aca="false">IF(G3582="","",IFERROR(IF(ISNUMBER(SEARCH(Assumptions!$C$5,G3582)),Assumptions!$D$5,IF(ISNUMBER(SEARCH(Assumptions!$C$6,G3582)),Assumptions!$D$6,IF(ISNUMBER(SEARCH(Assumptions!$C$7,G3582)),Assumptions!$D$7,"Other Services"))),"Other Services"))</f>
        <v/>
      </c>
    </row>
    <row r="3583" customFormat="false" ht="15" hidden="false" customHeight="false" outlineLevel="0" collapsed="false">
      <c r="E3583" s="41" t="str">
        <f aca="false">IF(D3583="","",IFERROR(VLOOKUP(D3583,Assumptions!$G$5:$H$16,2,0),"Other"))</f>
        <v/>
      </c>
      <c r="J3583" s="41" t="str">
        <f aca="false">IF(G3583="","",IFERROR(IF(ISNUMBER(SEARCH(Assumptions!$C$5,G3583)),Assumptions!$D$5,IF(ISNUMBER(SEARCH(Assumptions!$C$6,G3583)),Assumptions!$D$6,IF(ISNUMBER(SEARCH(Assumptions!$C$7,G3583)),Assumptions!$D$7,"Other Services"))),"Other Services"))</f>
        <v/>
      </c>
    </row>
    <row r="3584" customFormat="false" ht="15" hidden="false" customHeight="false" outlineLevel="0" collapsed="false">
      <c r="E3584" s="41" t="str">
        <f aca="false">IF(D3584="","",IFERROR(VLOOKUP(D3584,Assumptions!$G$5:$H$16,2,0),"Other"))</f>
        <v/>
      </c>
      <c r="J3584" s="41" t="str">
        <f aca="false">IF(G3584="","",IFERROR(IF(ISNUMBER(SEARCH(Assumptions!$C$5,G3584)),Assumptions!$D$5,IF(ISNUMBER(SEARCH(Assumptions!$C$6,G3584)),Assumptions!$D$6,IF(ISNUMBER(SEARCH(Assumptions!$C$7,G3584)),Assumptions!$D$7,"Other Services"))),"Other Services"))</f>
        <v/>
      </c>
    </row>
    <row r="3585" customFormat="false" ht="15" hidden="false" customHeight="false" outlineLevel="0" collapsed="false">
      <c r="E3585" s="41" t="str">
        <f aca="false">IF(D3585="","",IFERROR(VLOOKUP(D3585,Assumptions!$G$5:$H$16,2,0),"Other"))</f>
        <v/>
      </c>
      <c r="J3585" s="41" t="str">
        <f aca="false">IF(G3585="","",IFERROR(IF(ISNUMBER(SEARCH(Assumptions!$C$5,G3585)),Assumptions!$D$5,IF(ISNUMBER(SEARCH(Assumptions!$C$6,G3585)),Assumptions!$D$6,IF(ISNUMBER(SEARCH(Assumptions!$C$7,G3585)),Assumptions!$D$7,"Other Services"))),"Other Services"))</f>
        <v/>
      </c>
    </row>
    <row r="3586" customFormat="false" ht="15" hidden="false" customHeight="false" outlineLevel="0" collapsed="false">
      <c r="E3586" s="41" t="str">
        <f aca="false">IF(D3586="","",IFERROR(VLOOKUP(D3586,Assumptions!$G$5:$H$16,2,0),"Other"))</f>
        <v/>
      </c>
      <c r="J3586" s="41" t="str">
        <f aca="false">IF(G3586="","",IFERROR(IF(ISNUMBER(SEARCH(Assumptions!$C$5,G3586)),Assumptions!$D$5,IF(ISNUMBER(SEARCH(Assumptions!$C$6,G3586)),Assumptions!$D$6,IF(ISNUMBER(SEARCH(Assumptions!$C$7,G3586)),Assumptions!$D$7,"Other Services"))),"Other Services"))</f>
        <v/>
      </c>
    </row>
    <row r="3587" customFormat="false" ht="15" hidden="false" customHeight="false" outlineLevel="0" collapsed="false">
      <c r="E3587" s="41" t="str">
        <f aca="false">IF(D3587="","",IFERROR(VLOOKUP(D3587,Assumptions!$G$5:$H$16,2,0),"Other"))</f>
        <v/>
      </c>
      <c r="J3587" s="41" t="str">
        <f aca="false">IF(G3587="","",IFERROR(IF(ISNUMBER(SEARCH(Assumptions!$C$5,G3587)),Assumptions!$D$5,IF(ISNUMBER(SEARCH(Assumptions!$C$6,G3587)),Assumptions!$D$6,IF(ISNUMBER(SEARCH(Assumptions!$C$7,G3587)),Assumptions!$D$7,"Other Services"))),"Other Services"))</f>
        <v/>
      </c>
    </row>
    <row r="3588" customFormat="false" ht="15" hidden="false" customHeight="false" outlineLevel="0" collapsed="false">
      <c r="E3588" s="41" t="str">
        <f aca="false">IF(D3588="","",IFERROR(VLOOKUP(D3588,Assumptions!$G$5:$H$16,2,0),"Other"))</f>
        <v/>
      </c>
      <c r="J3588" s="41" t="str">
        <f aca="false">IF(G3588="","",IFERROR(IF(ISNUMBER(SEARCH(Assumptions!$C$5,G3588)),Assumptions!$D$5,IF(ISNUMBER(SEARCH(Assumptions!$C$6,G3588)),Assumptions!$D$6,IF(ISNUMBER(SEARCH(Assumptions!$C$7,G3588)),Assumptions!$D$7,"Other Services"))),"Other Services"))</f>
        <v/>
      </c>
    </row>
    <row r="3589" customFormat="false" ht="15" hidden="false" customHeight="false" outlineLevel="0" collapsed="false">
      <c r="E3589" s="41" t="str">
        <f aca="false">IF(D3589="","",IFERROR(VLOOKUP(D3589,Assumptions!$G$5:$H$16,2,0),"Other"))</f>
        <v/>
      </c>
      <c r="J3589" s="41" t="str">
        <f aca="false">IF(G3589="","",IFERROR(IF(ISNUMBER(SEARCH(Assumptions!$C$5,G3589)),Assumptions!$D$5,IF(ISNUMBER(SEARCH(Assumptions!$C$6,G3589)),Assumptions!$D$6,IF(ISNUMBER(SEARCH(Assumptions!$C$7,G3589)),Assumptions!$D$7,"Other Services"))),"Other Services"))</f>
        <v/>
      </c>
    </row>
    <row r="3590" customFormat="false" ht="15" hidden="false" customHeight="false" outlineLevel="0" collapsed="false">
      <c r="E3590" s="41" t="str">
        <f aca="false">IF(D3590="","",IFERROR(VLOOKUP(D3590,Assumptions!$G$5:$H$16,2,0),"Other"))</f>
        <v/>
      </c>
      <c r="J3590" s="41" t="str">
        <f aca="false">IF(G3590="","",IFERROR(IF(ISNUMBER(SEARCH(Assumptions!$C$5,G3590)),Assumptions!$D$5,IF(ISNUMBER(SEARCH(Assumptions!$C$6,G3590)),Assumptions!$D$6,IF(ISNUMBER(SEARCH(Assumptions!$C$7,G3590)),Assumptions!$D$7,"Other Services"))),"Other Services"))</f>
        <v/>
      </c>
    </row>
    <row r="3591" customFormat="false" ht="15" hidden="false" customHeight="false" outlineLevel="0" collapsed="false">
      <c r="E3591" s="41" t="str">
        <f aca="false">IF(D3591="","",IFERROR(VLOOKUP(D3591,Assumptions!$G$5:$H$16,2,0),"Other"))</f>
        <v/>
      </c>
      <c r="J3591" s="41" t="str">
        <f aca="false">IF(G3591="","",IFERROR(IF(ISNUMBER(SEARCH(Assumptions!$C$5,G3591)),Assumptions!$D$5,IF(ISNUMBER(SEARCH(Assumptions!$C$6,G3591)),Assumptions!$D$6,IF(ISNUMBER(SEARCH(Assumptions!$C$7,G3591)),Assumptions!$D$7,"Other Services"))),"Other Services"))</f>
        <v/>
      </c>
    </row>
    <row r="3592" customFormat="false" ht="15" hidden="false" customHeight="false" outlineLevel="0" collapsed="false">
      <c r="E3592" s="41" t="str">
        <f aca="false">IF(D3592="","",IFERROR(VLOOKUP(D3592,Assumptions!$G$5:$H$16,2,0),"Other"))</f>
        <v/>
      </c>
      <c r="J3592" s="41" t="str">
        <f aca="false">IF(G3592="","",IFERROR(IF(ISNUMBER(SEARCH(Assumptions!$C$5,G3592)),Assumptions!$D$5,IF(ISNUMBER(SEARCH(Assumptions!$C$6,G3592)),Assumptions!$D$6,IF(ISNUMBER(SEARCH(Assumptions!$C$7,G3592)),Assumptions!$D$7,"Other Services"))),"Other Services"))</f>
        <v/>
      </c>
    </row>
    <row r="3593" customFormat="false" ht="15" hidden="false" customHeight="false" outlineLevel="0" collapsed="false">
      <c r="E3593" s="41" t="str">
        <f aca="false">IF(D3593="","",IFERROR(VLOOKUP(D3593,Assumptions!$G$5:$H$16,2,0),"Other"))</f>
        <v/>
      </c>
      <c r="J3593" s="41" t="str">
        <f aca="false">IF(G3593="","",IFERROR(IF(ISNUMBER(SEARCH(Assumptions!$C$5,G3593)),Assumptions!$D$5,IF(ISNUMBER(SEARCH(Assumptions!$C$6,G3593)),Assumptions!$D$6,IF(ISNUMBER(SEARCH(Assumptions!$C$7,G3593)),Assumptions!$D$7,"Other Services"))),"Other Services"))</f>
        <v/>
      </c>
    </row>
    <row r="3594" customFormat="false" ht="15" hidden="false" customHeight="false" outlineLevel="0" collapsed="false">
      <c r="E3594" s="41" t="str">
        <f aca="false">IF(D3594="","",IFERROR(VLOOKUP(D3594,Assumptions!$G$5:$H$16,2,0),"Other"))</f>
        <v/>
      </c>
      <c r="J3594" s="41" t="str">
        <f aca="false">IF(G3594="","",IFERROR(IF(ISNUMBER(SEARCH(Assumptions!$C$5,G3594)),Assumptions!$D$5,IF(ISNUMBER(SEARCH(Assumptions!$C$6,G3594)),Assumptions!$D$6,IF(ISNUMBER(SEARCH(Assumptions!$C$7,G3594)),Assumptions!$D$7,"Other Services"))),"Other Services"))</f>
        <v/>
      </c>
    </row>
    <row r="3595" customFormat="false" ht="15" hidden="false" customHeight="false" outlineLevel="0" collapsed="false">
      <c r="E3595" s="41" t="str">
        <f aca="false">IF(D3595="","",IFERROR(VLOOKUP(D3595,Assumptions!$G$5:$H$16,2,0),"Other"))</f>
        <v/>
      </c>
      <c r="J3595" s="41" t="str">
        <f aca="false">IF(G3595="","",IFERROR(IF(ISNUMBER(SEARCH(Assumptions!$C$5,G3595)),Assumptions!$D$5,IF(ISNUMBER(SEARCH(Assumptions!$C$6,G3595)),Assumptions!$D$6,IF(ISNUMBER(SEARCH(Assumptions!$C$7,G3595)),Assumptions!$D$7,"Other Services"))),"Other Services"))</f>
        <v/>
      </c>
    </row>
    <row r="3596" customFormat="false" ht="15" hidden="false" customHeight="false" outlineLevel="0" collapsed="false">
      <c r="E3596" s="41" t="str">
        <f aca="false">IF(D3596="","",IFERROR(VLOOKUP(D3596,Assumptions!$G$5:$H$16,2,0),"Other"))</f>
        <v/>
      </c>
      <c r="J3596" s="41" t="str">
        <f aca="false">IF(G3596="","",IFERROR(IF(ISNUMBER(SEARCH(Assumptions!$C$5,G3596)),Assumptions!$D$5,IF(ISNUMBER(SEARCH(Assumptions!$C$6,G3596)),Assumptions!$D$6,IF(ISNUMBER(SEARCH(Assumptions!$C$7,G3596)),Assumptions!$D$7,"Other Services"))),"Other Services"))</f>
        <v/>
      </c>
    </row>
    <row r="3597" customFormat="false" ht="15" hidden="false" customHeight="false" outlineLevel="0" collapsed="false">
      <c r="E3597" s="41" t="str">
        <f aca="false">IF(D3597="","",IFERROR(VLOOKUP(D3597,Assumptions!$G$5:$H$16,2,0),"Other"))</f>
        <v/>
      </c>
      <c r="J3597" s="41" t="str">
        <f aca="false">IF(G3597="","",IFERROR(IF(ISNUMBER(SEARCH(Assumptions!$C$5,G3597)),Assumptions!$D$5,IF(ISNUMBER(SEARCH(Assumptions!$C$6,G3597)),Assumptions!$D$6,IF(ISNUMBER(SEARCH(Assumptions!$C$7,G3597)),Assumptions!$D$7,"Other Services"))),"Other Services"))</f>
        <v/>
      </c>
    </row>
    <row r="3598" customFormat="false" ht="15" hidden="false" customHeight="false" outlineLevel="0" collapsed="false">
      <c r="E3598" s="41" t="str">
        <f aca="false">IF(D3598="","",IFERROR(VLOOKUP(D3598,Assumptions!$G$5:$H$16,2,0),"Other"))</f>
        <v/>
      </c>
      <c r="J3598" s="41" t="str">
        <f aca="false">IF(G3598="","",IFERROR(IF(ISNUMBER(SEARCH(Assumptions!$C$5,G3598)),Assumptions!$D$5,IF(ISNUMBER(SEARCH(Assumptions!$C$6,G3598)),Assumptions!$D$6,IF(ISNUMBER(SEARCH(Assumptions!$C$7,G3598)),Assumptions!$D$7,"Other Services"))),"Other Services"))</f>
        <v/>
      </c>
    </row>
    <row r="3599" customFormat="false" ht="15" hidden="false" customHeight="false" outlineLevel="0" collapsed="false">
      <c r="E3599" s="41" t="str">
        <f aca="false">IF(D3599="","",IFERROR(VLOOKUP(D3599,Assumptions!$G$5:$H$16,2,0),"Other"))</f>
        <v/>
      </c>
      <c r="J3599" s="41" t="str">
        <f aca="false">IF(G3599="","",IFERROR(IF(ISNUMBER(SEARCH(Assumptions!$C$5,G3599)),Assumptions!$D$5,IF(ISNUMBER(SEARCH(Assumptions!$C$6,G3599)),Assumptions!$D$6,IF(ISNUMBER(SEARCH(Assumptions!$C$7,G3599)),Assumptions!$D$7,"Other Services"))),"Other Services"))</f>
        <v/>
      </c>
    </row>
    <row r="3600" customFormat="false" ht="15" hidden="false" customHeight="false" outlineLevel="0" collapsed="false">
      <c r="E3600" s="41" t="str">
        <f aca="false">IF(D3600="","",IFERROR(VLOOKUP(D3600,Assumptions!$G$5:$H$16,2,0),"Other"))</f>
        <v/>
      </c>
      <c r="J3600" s="41" t="str">
        <f aca="false">IF(G3600="","",IFERROR(IF(ISNUMBER(SEARCH(Assumptions!$C$5,G3600)),Assumptions!$D$5,IF(ISNUMBER(SEARCH(Assumptions!$C$6,G3600)),Assumptions!$D$6,IF(ISNUMBER(SEARCH(Assumptions!$C$7,G3600)),Assumptions!$D$7,"Other Services"))),"Other Services"))</f>
        <v/>
      </c>
    </row>
    <row r="3601" customFormat="false" ht="15" hidden="false" customHeight="false" outlineLevel="0" collapsed="false">
      <c r="E3601" s="41" t="str">
        <f aca="false">IF(D3601="","",IFERROR(VLOOKUP(D3601,Assumptions!$G$5:$H$16,2,0),"Other"))</f>
        <v/>
      </c>
      <c r="J3601" s="41" t="str">
        <f aca="false">IF(G3601="","",IFERROR(IF(ISNUMBER(SEARCH(Assumptions!$C$5,G3601)),Assumptions!$D$5,IF(ISNUMBER(SEARCH(Assumptions!$C$6,G3601)),Assumptions!$D$6,IF(ISNUMBER(SEARCH(Assumptions!$C$7,G3601)),Assumptions!$D$7,"Other Services"))),"Other Services"))</f>
        <v/>
      </c>
    </row>
    <row r="3602" customFormat="false" ht="15" hidden="false" customHeight="false" outlineLevel="0" collapsed="false">
      <c r="E3602" s="41" t="str">
        <f aca="false">IF(D3602="","",IFERROR(VLOOKUP(D3602,Assumptions!$G$5:$H$16,2,0),"Other"))</f>
        <v/>
      </c>
      <c r="J3602" s="41" t="str">
        <f aca="false">IF(G3602="","",IFERROR(IF(ISNUMBER(SEARCH(Assumptions!$C$5,G3602)),Assumptions!$D$5,IF(ISNUMBER(SEARCH(Assumptions!$C$6,G3602)),Assumptions!$D$6,IF(ISNUMBER(SEARCH(Assumptions!$C$7,G3602)),Assumptions!$D$7,"Other Services"))),"Other Services"))</f>
        <v/>
      </c>
    </row>
    <row r="3603" customFormat="false" ht="15" hidden="false" customHeight="false" outlineLevel="0" collapsed="false">
      <c r="E3603" s="41" t="str">
        <f aca="false">IF(D3603="","",IFERROR(VLOOKUP(D3603,Assumptions!$G$5:$H$16,2,0),"Other"))</f>
        <v/>
      </c>
      <c r="J3603" s="41" t="str">
        <f aca="false">IF(G3603="","",IFERROR(IF(ISNUMBER(SEARCH(Assumptions!$C$5,G3603)),Assumptions!$D$5,IF(ISNUMBER(SEARCH(Assumptions!$C$6,G3603)),Assumptions!$D$6,IF(ISNUMBER(SEARCH(Assumptions!$C$7,G3603)),Assumptions!$D$7,"Other Services"))),"Other Services"))</f>
        <v/>
      </c>
    </row>
    <row r="3604" customFormat="false" ht="15" hidden="false" customHeight="false" outlineLevel="0" collapsed="false">
      <c r="E3604" s="41" t="str">
        <f aca="false">IF(D3604="","",IFERROR(VLOOKUP(D3604,Assumptions!$G$5:$H$16,2,0),"Other"))</f>
        <v/>
      </c>
      <c r="J3604" s="41" t="str">
        <f aca="false">IF(G3604="","",IFERROR(IF(ISNUMBER(SEARCH(Assumptions!$C$5,G3604)),Assumptions!$D$5,IF(ISNUMBER(SEARCH(Assumptions!$C$6,G3604)),Assumptions!$D$6,IF(ISNUMBER(SEARCH(Assumptions!$C$7,G3604)),Assumptions!$D$7,"Other Services"))),"Other Services"))</f>
        <v/>
      </c>
    </row>
    <row r="3605" customFormat="false" ht="15" hidden="false" customHeight="false" outlineLevel="0" collapsed="false">
      <c r="E3605" s="41" t="str">
        <f aca="false">IF(D3605="","",IFERROR(VLOOKUP(D3605,Assumptions!$G$5:$H$16,2,0),"Other"))</f>
        <v/>
      </c>
      <c r="J3605" s="41" t="str">
        <f aca="false">IF(G3605="","",IFERROR(IF(ISNUMBER(SEARCH(Assumptions!$C$5,G3605)),Assumptions!$D$5,IF(ISNUMBER(SEARCH(Assumptions!$C$6,G3605)),Assumptions!$D$6,IF(ISNUMBER(SEARCH(Assumptions!$C$7,G3605)),Assumptions!$D$7,"Other Services"))),"Other Services"))</f>
        <v/>
      </c>
    </row>
    <row r="3606" customFormat="false" ht="15" hidden="false" customHeight="false" outlineLevel="0" collapsed="false">
      <c r="E3606" s="41" t="str">
        <f aca="false">IF(D3606="","",IFERROR(VLOOKUP(D3606,Assumptions!$G$5:$H$16,2,0),"Other"))</f>
        <v/>
      </c>
      <c r="J3606" s="41" t="str">
        <f aca="false">IF(G3606="","",IFERROR(IF(ISNUMBER(SEARCH(Assumptions!$C$5,G3606)),Assumptions!$D$5,IF(ISNUMBER(SEARCH(Assumptions!$C$6,G3606)),Assumptions!$D$6,IF(ISNUMBER(SEARCH(Assumptions!$C$7,G3606)),Assumptions!$D$7,"Other Services"))),"Other Services"))</f>
        <v/>
      </c>
    </row>
    <row r="3607" customFormat="false" ht="15" hidden="false" customHeight="false" outlineLevel="0" collapsed="false">
      <c r="E3607" s="41" t="str">
        <f aca="false">IF(D3607="","",IFERROR(VLOOKUP(D3607,Assumptions!$G$5:$H$16,2,0),"Other"))</f>
        <v/>
      </c>
      <c r="J3607" s="41" t="str">
        <f aca="false">IF(G3607="","",IFERROR(IF(ISNUMBER(SEARCH(Assumptions!$C$5,G3607)),Assumptions!$D$5,IF(ISNUMBER(SEARCH(Assumptions!$C$6,G3607)),Assumptions!$D$6,IF(ISNUMBER(SEARCH(Assumptions!$C$7,G3607)),Assumptions!$D$7,"Other Services"))),"Other Services"))</f>
        <v/>
      </c>
    </row>
    <row r="3608" customFormat="false" ht="15" hidden="false" customHeight="false" outlineLevel="0" collapsed="false">
      <c r="E3608" s="41" t="str">
        <f aca="false">IF(D3608="","",IFERROR(VLOOKUP(D3608,Assumptions!$G$5:$H$16,2,0),"Other"))</f>
        <v/>
      </c>
      <c r="J3608" s="41" t="str">
        <f aca="false">IF(G3608="","",IFERROR(IF(ISNUMBER(SEARCH(Assumptions!$C$5,G3608)),Assumptions!$D$5,IF(ISNUMBER(SEARCH(Assumptions!$C$6,G3608)),Assumptions!$D$6,IF(ISNUMBER(SEARCH(Assumptions!$C$7,G3608)),Assumptions!$D$7,"Other Services"))),"Other Services"))</f>
        <v/>
      </c>
    </row>
    <row r="3609" customFormat="false" ht="15" hidden="false" customHeight="false" outlineLevel="0" collapsed="false">
      <c r="E3609" s="41" t="str">
        <f aca="false">IF(D3609="","",IFERROR(VLOOKUP(D3609,Assumptions!$G$5:$H$16,2,0),"Other"))</f>
        <v/>
      </c>
      <c r="J3609" s="41" t="str">
        <f aca="false">IF(G3609="","",IFERROR(IF(ISNUMBER(SEARCH(Assumptions!$C$5,G3609)),Assumptions!$D$5,IF(ISNUMBER(SEARCH(Assumptions!$C$6,G3609)),Assumptions!$D$6,IF(ISNUMBER(SEARCH(Assumptions!$C$7,G3609)),Assumptions!$D$7,"Other Services"))),"Other Services"))</f>
        <v/>
      </c>
    </row>
    <row r="3610" customFormat="false" ht="15" hidden="false" customHeight="false" outlineLevel="0" collapsed="false">
      <c r="E3610" s="41" t="str">
        <f aca="false">IF(D3610="","",IFERROR(VLOOKUP(D3610,Assumptions!$G$5:$H$16,2,0),"Other"))</f>
        <v/>
      </c>
      <c r="J3610" s="41" t="str">
        <f aca="false">IF(G3610="","",IFERROR(IF(ISNUMBER(SEARCH(Assumptions!$C$5,G3610)),Assumptions!$D$5,IF(ISNUMBER(SEARCH(Assumptions!$C$6,G3610)),Assumptions!$D$6,IF(ISNUMBER(SEARCH(Assumptions!$C$7,G3610)),Assumptions!$D$7,"Other Services"))),"Other Services"))</f>
        <v/>
      </c>
    </row>
    <row r="3611" customFormat="false" ht="15" hidden="false" customHeight="false" outlineLevel="0" collapsed="false">
      <c r="E3611" s="41" t="str">
        <f aca="false">IF(D3611="","",IFERROR(VLOOKUP(D3611,Assumptions!$G$5:$H$16,2,0),"Other"))</f>
        <v/>
      </c>
      <c r="J3611" s="41" t="str">
        <f aca="false">IF(G3611="","",IFERROR(IF(ISNUMBER(SEARCH(Assumptions!$C$5,G3611)),Assumptions!$D$5,IF(ISNUMBER(SEARCH(Assumptions!$C$6,G3611)),Assumptions!$D$6,IF(ISNUMBER(SEARCH(Assumptions!$C$7,G3611)),Assumptions!$D$7,"Other Services"))),"Other Services"))</f>
        <v/>
      </c>
    </row>
    <row r="3612" customFormat="false" ht="15" hidden="false" customHeight="false" outlineLevel="0" collapsed="false">
      <c r="E3612" s="41" t="str">
        <f aca="false">IF(D3612="","",IFERROR(VLOOKUP(D3612,Assumptions!$G$5:$H$16,2,0),"Other"))</f>
        <v/>
      </c>
      <c r="J3612" s="41" t="str">
        <f aca="false">IF(G3612="","",IFERROR(IF(ISNUMBER(SEARCH(Assumptions!$C$5,G3612)),Assumptions!$D$5,IF(ISNUMBER(SEARCH(Assumptions!$C$6,G3612)),Assumptions!$D$6,IF(ISNUMBER(SEARCH(Assumptions!$C$7,G3612)),Assumptions!$D$7,"Other Services"))),"Other Services"))</f>
        <v/>
      </c>
    </row>
    <row r="3613" customFormat="false" ht="15" hidden="false" customHeight="false" outlineLevel="0" collapsed="false">
      <c r="E3613" s="41" t="str">
        <f aca="false">IF(D3613="","",IFERROR(VLOOKUP(D3613,Assumptions!$G$5:$H$16,2,0),"Other"))</f>
        <v/>
      </c>
      <c r="J3613" s="41" t="str">
        <f aca="false">IF(G3613="","",IFERROR(IF(ISNUMBER(SEARCH(Assumptions!$C$5,G3613)),Assumptions!$D$5,IF(ISNUMBER(SEARCH(Assumptions!$C$6,G3613)),Assumptions!$D$6,IF(ISNUMBER(SEARCH(Assumptions!$C$7,G3613)),Assumptions!$D$7,"Other Services"))),"Other Services"))</f>
        <v/>
      </c>
    </row>
    <row r="3614" customFormat="false" ht="15" hidden="false" customHeight="false" outlineLevel="0" collapsed="false">
      <c r="E3614" s="41" t="str">
        <f aca="false">IF(D3614="","",IFERROR(VLOOKUP(D3614,Assumptions!$G$5:$H$16,2,0),"Other"))</f>
        <v/>
      </c>
      <c r="J3614" s="41" t="str">
        <f aca="false">IF(G3614="","",IFERROR(IF(ISNUMBER(SEARCH(Assumptions!$C$5,G3614)),Assumptions!$D$5,IF(ISNUMBER(SEARCH(Assumptions!$C$6,G3614)),Assumptions!$D$6,IF(ISNUMBER(SEARCH(Assumptions!$C$7,G3614)),Assumptions!$D$7,"Other Services"))),"Other Services"))</f>
        <v/>
      </c>
    </row>
    <row r="3615" customFormat="false" ht="15" hidden="false" customHeight="false" outlineLevel="0" collapsed="false">
      <c r="E3615" s="41" t="str">
        <f aca="false">IF(D3615="","",IFERROR(VLOOKUP(D3615,Assumptions!$G$5:$H$16,2,0),"Other"))</f>
        <v/>
      </c>
      <c r="J3615" s="41" t="str">
        <f aca="false">IF(G3615="","",IFERROR(IF(ISNUMBER(SEARCH(Assumptions!$C$5,G3615)),Assumptions!$D$5,IF(ISNUMBER(SEARCH(Assumptions!$C$6,G3615)),Assumptions!$D$6,IF(ISNUMBER(SEARCH(Assumptions!$C$7,G3615)),Assumptions!$D$7,"Other Services"))),"Other Services"))</f>
        <v/>
      </c>
    </row>
    <row r="3616" customFormat="false" ht="15" hidden="false" customHeight="false" outlineLevel="0" collapsed="false">
      <c r="E3616" s="41" t="str">
        <f aca="false">IF(D3616="","",IFERROR(VLOOKUP(D3616,Assumptions!$G$5:$H$16,2,0),"Other"))</f>
        <v/>
      </c>
      <c r="J3616" s="41" t="str">
        <f aca="false">IF(G3616="","",IFERROR(IF(ISNUMBER(SEARCH(Assumptions!$C$5,G3616)),Assumptions!$D$5,IF(ISNUMBER(SEARCH(Assumptions!$C$6,G3616)),Assumptions!$D$6,IF(ISNUMBER(SEARCH(Assumptions!$C$7,G3616)),Assumptions!$D$7,"Other Services"))),"Other Services"))</f>
        <v/>
      </c>
    </row>
    <row r="3617" customFormat="false" ht="15" hidden="false" customHeight="false" outlineLevel="0" collapsed="false">
      <c r="E3617" s="41" t="str">
        <f aca="false">IF(D3617="","",IFERROR(VLOOKUP(D3617,Assumptions!$G$5:$H$16,2,0),"Other"))</f>
        <v/>
      </c>
      <c r="J3617" s="41" t="str">
        <f aca="false">IF(G3617="","",IFERROR(IF(ISNUMBER(SEARCH(Assumptions!$C$5,G3617)),Assumptions!$D$5,IF(ISNUMBER(SEARCH(Assumptions!$C$6,G3617)),Assumptions!$D$6,IF(ISNUMBER(SEARCH(Assumptions!$C$7,G3617)),Assumptions!$D$7,"Other Services"))),"Other Services"))</f>
        <v/>
      </c>
    </row>
    <row r="3618" customFormat="false" ht="15" hidden="false" customHeight="false" outlineLevel="0" collapsed="false">
      <c r="E3618" s="41" t="str">
        <f aca="false">IF(D3618="","",IFERROR(VLOOKUP(D3618,Assumptions!$G$5:$H$16,2,0),"Other"))</f>
        <v/>
      </c>
      <c r="J3618" s="41" t="str">
        <f aca="false">IF(G3618="","",IFERROR(IF(ISNUMBER(SEARCH(Assumptions!$C$5,G3618)),Assumptions!$D$5,IF(ISNUMBER(SEARCH(Assumptions!$C$6,G3618)),Assumptions!$D$6,IF(ISNUMBER(SEARCH(Assumptions!$C$7,G3618)),Assumptions!$D$7,"Other Services"))),"Other Services"))</f>
        <v/>
      </c>
    </row>
    <row r="3619" customFormat="false" ht="15" hidden="false" customHeight="false" outlineLevel="0" collapsed="false">
      <c r="E3619" s="41" t="str">
        <f aca="false">IF(D3619="","",IFERROR(VLOOKUP(D3619,Assumptions!$G$5:$H$16,2,0),"Other"))</f>
        <v/>
      </c>
      <c r="J3619" s="41" t="str">
        <f aca="false">IF(G3619="","",IFERROR(IF(ISNUMBER(SEARCH(Assumptions!$C$5,G3619)),Assumptions!$D$5,IF(ISNUMBER(SEARCH(Assumptions!$C$6,G3619)),Assumptions!$D$6,IF(ISNUMBER(SEARCH(Assumptions!$C$7,G3619)),Assumptions!$D$7,"Other Services"))),"Other Services"))</f>
        <v/>
      </c>
    </row>
    <row r="3620" customFormat="false" ht="15" hidden="false" customHeight="false" outlineLevel="0" collapsed="false">
      <c r="E3620" s="41" t="str">
        <f aca="false">IF(D3620="","",IFERROR(VLOOKUP(D3620,Assumptions!$G$5:$H$16,2,0),"Other"))</f>
        <v/>
      </c>
      <c r="J3620" s="41" t="str">
        <f aca="false">IF(G3620="","",IFERROR(IF(ISNUMBER(SEARCH(Assumptions!$C$5,G3620)),Assumptions!$D$5,IF(ISNUMBER(SEARCH(Assumptions!$C$6,G3620)),Assumptions!$D$6,IF(ISNUMBER(SEARCH(Assumptions!$C$7,G3620)),Assumptions!$D$7,"Other Services"))),"Other Services"))</f>
        <v/>
      </c>
    </row>
    <row r="3621" customFormat="false" ht="15" hidden="false" customHeight="false" outlineLevel="0" collapsed="false">
      <c r="E3621" s="41" t="str">
        <f aca="false">IF(D3621="","",IFERROR(VLOOKUP(D3621,Assumptions!$G$5:$H$16,2,0),"Other"))</f>
        <v/>
      </c>
      <c r="J3621" s="41" t="str">
        <f aca="false">IF(G3621="","",IFERROR(IF(ISNUMBER(SEARCH(Assumptions!$C$5,G3621)),Assumptions!$D$5,IF(ISNUMBER(SEARCH(Assumptions!$C$6,G3621)),Assumptions!$D$6,IF(ISNUMBER(SEARCH(Assumptions!$C$7,G3621)),Assumptions!$D$7,"Other Services"))),"Other Services"))</f>
        <v/>
      </c>
    </row>
    <row r="3622" customFormat="false" ht="15" hidden="false" customHeight="false" outlineLevel="0" collapsed="false">
      <c r="E3622" s="41" t="str">
        <f aca="false">IF(D3622="","",IFERROR(VLOOKUP(D3622,Assumptions!$G$5:$H$16,2,0),"Other"))</f>
        <v/>
      </c>
      <c r="J3622" s="41" t="str">
        <f aca="false">IF(G3622="","",IFERROR(IF(ISNUMBER(SEARCH(Assumptions!$C$5,G3622)),Assumptions!$D$5,IF(ISNUMBER(SEARCH(Assumptions!$C$6,G3622)),Assumptions!$D$6,IF(ISNUMBER(SEARCH(Assumptions!$C$7,G3622)),Assumptions!$D$7,"Other Services"))),"Other Services"))</f>
        <v/>
      </c>
    </row>
    <row r="3623" customFormat="false" ht="15" hidden="false" customHeight="false" outlineLevel="0" collapsed="false">
      <c r="E3623" s="41" t="str">
        <f aca="false">IF(D3623="","",IFERROR(VLOOKUP(D3623,Assumptions!$G$5:$H$16,2,0),"Other"))</f>
        <v/>
      </c>
      <c r="J3623" s="41" t="str">
        <f aca="false">IF(G3623="","",IFERROR(IF(ISNUMBER(SEARCH(Assumptions!$C$5,G3623)),Assumptions!$D$5,IF(ISNUMBER(SEARCH(Assumptions!$C$6,G3623)),Assumptions!$D$6,IF(ISNUMBER(SEARCH(Assumptions!$C$7,G3623)),Assumptions!$D$7,"Other Services"))),"Other Services"))</f>
        <v/>
      </c>
    </row>
    <row r="3624" customFormat="false" ht="15" hidden="false" customHeight="false" outlineLevel="0" collapsed="false">
      <c r="E3624" s="41" t="str">
        <f aca="false">IF(D3624="","",IFERROR(VLOOKUP(D3624,Assumptions!$G$5:$H$16,2,0),"Other"))</f>
        <v/>
      </c>
      <c r="J3624" s="41" t="str">
        <f aca="false">IF(G3624="","",IFERROR(IF(ISNUMBER(SEARCH(Assumptions!$C$5,G3624)),Assumptions!$D$5,IF(ISNUMBER(SEARCH(Assumptions!$C$6,G3624)),Assumptions!$D$6,IF(ISNUMBER(SEARCH(Assumptions!$C$7,G3624)),Assumptions!$D$7,"Other Services"))),"Other Services"))</f>
        <v/>
      </c>
    </row>
    <row r="3625" customFormat="false" ht="15" hidden="false" customHeight="false" outlineLevel="0" collapsed="false">
      <c r="E3625" s="41" t="str">
        <f aca="false">IF(D3625="","",IFERROR(VLOOKUP(D3625,Assumptions!$G$5:$H$16,2,0),"Other"))</f>
        <v/>
      </c>
      <c r="J3625" s="41" t="str">
        <f aca="false">IF(G3625="","",IFERROR(IF(ISNUMBER(SEARCH(Assumptions!$C$5,G3625)),Assumptions!$D$5,IF(ISNUMBER(SEARCH(Assumptions!$C$6,G3625)),Assumptions!$D$6,IF(ISNUMBER(SEARCH(Assumptions!$C$7,G3625)),Assumptions!$D$7,"Other Services"))),"Other Services"))</f>
        <v/>
      </c>
    </row>
    <row r="3626" customFormat="false" ht="15" hidden="false" customHeight="false" outlineLevel="0" collapsed="false">
      <c r="E3626" s="41" t="str">
        <f aca="false">IF(D3626="","",IFERROR(VLOOKUP(D3626,Assumptions!$G$5:$H$16,2,0),"Other"))</f>
        <v/>
      </c>
      <c r="J3626" s="41" t="str">
        <f aca="false">IF(G3626="","",IFERROR(IF(ISNUMBER(SEARCH(Assumptions!$C$5,G3626)),Assumptions!$D$5,IF(ISNUMBER(SEARCH(Assumptions!$C$6,G3626)),Assumptions!$D$6,IF(ISNUMBER(SEARCH(Assumptions!$C$7,G3626)),Assumptions!$D$7,"Other Services"))),"Other Services"))</f>
        <v/>
      </c>
    </row>
    <row r="3627" customFormat="false" ht="15" hidden="false" customHeight="false" outlineLevel="0" collapsed="false">
      <c r="E3627" s="41" t="str">
        <f aca="false">IF(D3627="","",IFERROR(VLOOKUP(D3627,Assumptions!$G$5:$H$16,2,0),"Other"))</f>
        <v/>
      </c>
      <c r="J3627" s="41" t="str">
        <f aca="false">IF(G3627="","",IFERROR(IF(ISNUMBER(SEARCH(Assumptions!$C$5,G3627)),Assumptions!$D$5,IF(ISNUMBER(SEARCH(Assumptions!$C$6,G3627)),Assumptions!$D$6,IF(ISNUMBER(SEARCH(Assumptions!$C$7,G3627)),Assumptions!$D$7,"Other Services"))),"Other Services"))</f>
        <v/>
      </c>
    </row>
    <row r="3628" customFormat="false" ht="15" hidden="false" customHeight="false" outlineLevel="0" collapsed="false">
      <c r="E3628" s="41" t="str">
        <f aca="false">IF(D3628="","",IFERROR(VLOOKUP(D3628,Assumptions!$G$5:$H$16,2,0),"Other"))</f>
        <v/>
      </c>
      <c r="J3628" s="41" t="str">
        <f aca="false">IF(G3628="","",IFERROR(IF(ISNUMBER(SEARCH(Assumptions!$C$5,G3628)),Assumptions!$D$5,IF(ISNUMBER(SEARCH(Assumptions!$C$6,G3628)),Assumptions!$D$6,IF(ISNUMBER(SEARCH(Assumptions!$C$7,G3628)),Assumptions!$D$7,"Other Services"))),"Other Services"))</f>
        <v/>
      </c>
    </row>
    <row r="3629" customFormat="false" ht="15" hidden="false" customHeight="false" outlineLevel="0" collapsed="false">
      <c r="E3629" s="41" t="str">
        <f aca="false">IF(D3629="","",IFERROR(VLOOKUP(D3629,Assumptions!$G$5:$H$16,2,0),"Other"))</f>
        <v/>
      </c>
      <c r="J3629" s="41" t="str">
        <f aca="false">IF(G3629="","",IFERROR(IF(ISNUMBER(SEARCH(Assumptions!$C$5,G3629)),Assumptions!$D$5,IF(ISNUMBER(SEARCH(Assumptions!$C$6,G3629)),Assumptions!$D$6,IF(ISNUMBER(SEARCH(Assumptions!$C$7,G3629)),Assumptions!$D$7,"Other Services"))),"Other Services"))</f>
        <v/>
      </c>
    </row>
    <row r="3630" customFormat="false" ht="15" hidden="false" customHeight="false" outlineLevel="0" collapsed="false">
      <c r="E3630" s="41" t="str">
        <f aca="false">IF(D3630="","",IFERROR(VLOOKUP(D3630,Assumptions!$G$5:$H$16,2,0),"Other"))</f>
        <v/>
      </c>
      <c r="J3630" s="41" t="str">
        <f aca="false">IF(G3630="","",IFERROR(IF(ISNUMBER(SEARCH(Assumptions!$C$5,G3630)),Assumptions!$D$5,IF(ISNUMBER(SEARCH(Assumptions!$C$6,G3630)),Assumptions!$D$6,IF(ISNUMBER(SEARCH(Assumptions!$C$7,G3630)),Assumptions!$D$7,"Other Services"))),"Other Services"))</f>
        <v/>
      </c>
    </row>
    <row r="3631" customFormat="false" ht="15" hidden="false" customHeight="false" outlineLevel="0" collapsed="false">
      <c r="E3631" s="41" t="str">
        <f aca="false">IF(D3631="","",IFERROR(VLOOKUP(D3631,Assumptions!$G$5:$H$16,2,0),"Other"))</f>
        <v/>
      </c>
      <c r="J3631" s="41" t="str">
        <f aca="false">IF(G3631="","",IFERROR(IF(ISNUMBER(SEARCH(Assumptions!$C$5,G3631)),Assumptions!$D$5,IF(ISNUMBER(SEARCH(Assumptions!$C$6,G3631)),Assumptions!$D$6,IF(ISNUMBER(SEARCH(Assumptions!$C$7,G3631)),Assumptions!$D$7,"Other Services"))),"Other Services"))</f>
        <v/>
      </c>
    </row>
    <row r="3632" customFormat="false" ht="15" hidden="false" customHeight="false" outlineLevel="0" collapsed="false">
      <c r="E3632" s="41" t="str">
        <f aca="false">IF(D3632="","",IFERROR(VLOOKUP(D3632,Assumptions!$G$5:$H$16,2,0),"Other"))</f>
        <v/>
      </c>
      <c r="J3632" s="41" t="str">
        <f aca="false">IF(G3632="","",IFERROR(IF(ISNUMBER(SEARCH(Assumptions!$C$5,G3632)),Assumptions!$D$5,IF(ISNUMBER(SEARCH(Assumptions!$C$6,G3632)),Assumptions!$D$6,IF(ISNUMBER(SEARCH(Assumptions!$C$7,G3632)),Assumptions!$D$7,"Other Services"))),"Other Services"))</f>
        <v/>
      </c>
    </row>
    <row r="3633" customFormat="false" ht="15" hidden="false" customHeight="false" outlineLevel="0" collapsed="false">
      <c r="E3633" s="41" t="str">
        <f aca="false">IF(D3633="","",IFERROR(VLOOKUP(D3633,Assumptions!$G$5:$H$16,2,0),"Other"))</f>
        <v/>
      </c>
      <c r="J3633" s="41" t="str">
        <f aca="false">IF(G3633="","",IFERROR(IF(ISNUMBER(SEARCH(Assumptions!$C$5,G3633)),Assumptions!$D$5,IF(ISNUMBER(SEARCH(Assumptions!$C$6,G3633)),Assumptions!$D$6,IF(ISNUMBER(SEARCH(Assumptions!$C$7,G3633)),Assumptions!$D$7,"Other Services"))),"Other Services"))</f>
        <v/>
      </c>
    </row>
    <row r="3634" customFormat="false" ht="15" hidden="false" customHeight="false" outlineLevel="0" collapsed="false">
      <c r="E3634" s="41" t="str">
        <f aca="false">IF(D3634="","",IFERROR(VLOOKUP(D3634,Assumptions!$G$5:$H$16,2,0),"Other"))</f>
        <v/>
      </c>
      <c r="J3634" s="41" t="str">
        <f aca="false">IF(G3634="","",IFERROR(IF(ISNUMBER(SEARCH(Assumptions!$C$5,G3634)),Assumptions!$D$5,IF(ISNUMBER(SEARCH(Assumptions!$C$6,G3634)),Assumptions!$D$6,IF(ISNUMBER(SEARCH(Assumptions!$C$7,G3634)),Assumptions!$D$7,"Other Services"))),"Other Services"))</f>
        <v/>
      </c>
    </row>
    <row r="3635" customFormat="false" ht="15" hidden="false" customHeight="false" outlineLevel="0" collapsed="false">
      <c r="E3635" s="41" t="str">
        <f aca="false">IF(D3635="","",IFERROR(VLOOKUP(D3635,Assumptions!$G$5:$H$16,2,0),"Other"))</f>
        <v/>
      </c>
      <c r="J3635" s="41" t="str">
        <f aca="false">IF(G3635="","",IFERROR(IF(ISNUMBER(SEARCH(Assumptions!$C$5,G3635)),Assumptions!$D$5,IF(ISNUMBER(SEARCH(Assumptions!$C$6,G3635)),Assumptions!$D$6,IF(ISNUMBER(SEARCH(Assumptions!$C$7,G3635)),Assumptions!$D$7,"Other Services"))),"Other Services"))</f>
        <v/>
      </c>
    </row>
    <row r="3636" customFormat="false" ht="15" hidden="false" customHeight="false" outlineLevel="0" collapsed="false">
      <c r="E3636" s="41" t="str">
        <f aca="false">IF(D3636="","",IFERROR(VLOOKUP(D3636,Assumptions!$G$5:$H$16,2,0),"Other"))</f>
        <v/>
      </c>
      <c r="J3636" s="41" t="str">
        <f aca="false">IF(G3636="","",IFERROR(IF(ISNUMBER(SEARCH(Assumptions!$C$5,G3636)),Assumptions!$D$5,IF(ISNUMBER(SEARCH(Assumptions!$C$6,G3636)),Assumptions!$D$6,IF(ISNUMBER(SEARCH(Assumptions!$C$7,G3636)),Assumptions!$D$7,"Other Services"))),"Other Services"))</f>
        <v/>
      </c>
    </row>
    <row r="3637" customFormat="false" ht="15" hidden="false" customHeight="false" outlineLevel="0" collapsed="false">
      <c r="E3637" s="41" t="str">
        <f aca="false">IF(D3637="","",IFERROR(VLOOKUP(D3637,Assumptions!$G$5:$H$16,2,0),"Other"))</f>
        <v/>
      </c>
      <c r="J3637" s="41" t="str">
        <f aca="false">IF(G3637="","",IFERROR(IF(ISNUMBER(SEARCH(Assumptions!$C$5,G3637)),Assumptions!$D$5,IF(ISNUMBER(SEARCH(Assumptions!$C$6,G3637)),Assumptions!$D$6,IF(ISNUMBER(SEARCH(Assumptions!$C$7,G3637)),Assumptions!$D$7,"Other Services"))),"Other Services"))</f>
        <v/>
      </c>
    </row>
    <row r="3638" customFormat="false" ht="15" hidden="false" customHeight="false" outlineLevel="0" collapsed="false">
      <c r="E3638" s="41" t="str">
        <f aca="false">IF(D3638="","",IFERROR(VLOOKUP(D3638,Assumptions!$G$5:$H$16,2,0),"Other"))</f>
        <v/>
      </c>
      <c r="J3638" s="41" t="str">
        <f aca="false">IF(G3638="","",IFERROR(IF(ISNUMBER(SEARCH(Assumptions!$C$5,G3638)),Assumptions!$D$5,IF(ISNUMBER(SEARCH(Assumptions!$C$6,G3638)),Assumptions!$D$6,IF(ISNUMBER(SEARCH(Assumptions!$C$7,G3638)),Assumptions!$D$7,"Other Services"))),"Other Services"))</f>
        <v/>
      </c>
    </row>
    <row r="3639" customFormat="false" ht="15" hidden="false" customHeight="false" outlineLevel="0" collapsed="false">
      <c r="E3639" s="41" t="str">
        <f aca="false">IF(D3639="","",IFERROR(VLOOKUP(D3639,Assumptions!$G$5:$H$16,2,0),"Other"))</f>
        <v/>
      </c>
      <c r="J3639" s="41" t="str">
        <f aca="false">IF(G3639="","",IFERROR(IF(ISNUMBER(SEARCH(Assumptions!$C$5,G3639)),Assumptions!$D$5,IF(ISNUMBER(SEARCH(Assumptions!$C$6,G3639)),Assumptions!$D$6,IF(ISNUMBER(SEARCH(Assumptions!$C$7,G3639)),Assumptions!$D$7,"Other Services"))),"Other Services"))</f>
        <v/>
      </c>
    </row>
    <row r="3640" customFormat="false" ht="15" hidden="false" customHeight="false" outlineLevel="0" collapsed="false">
      <c r="E3640" s="41" t="str">
        <f aca="false">IF(D3640="","",IFERROR(VLOOKUP(D3640,Assumptions!$G$5:$H$16,2,0),"Other"))</f>
        <v/>
      </c>
      <c r="J3640" s="41" t="str">
        <f aca="false">IF(G3640="","",IFERROR(IF(ISNUMBER(SEARCH(Assumptions!$C$5,G3640)),Assumptions!$D$5,IF(ISNUMBER(SEARCH(Assumptions!$C$6,G3640)),Assumptions!$D$6,IF(ISNUMBER(SEARCH(Assumptions!$C$7,G3640)),Assumptions!$D$7,"Other Services"))),"Other Services"))</f>
        <v/>
      </c>
    </row>
    <row r="3641" customFormat="false" ht="15" hidden="false" customHeight="false" outlineLevel="0" collapsed="false">
      <c r="E3641" s="41" t="str">
        <f aca="false">IF(D3641="","",IFERROR(VLOOKUP(D3641,Assumptions!$G$5:$H$16,2,0),"Other"))</f>
        <v/>
      </c>
      <c r="J3641" s="41" t="str">
        <f aca="false">IF(G3641="","",IFERROR(IF(ISNUMBER(SEARCH(Assumptions!$C$5,G3641)),Assumptions!$D$5,IF(ISNUMBER(SEARCH(Assumptions!$C$6,G3641)),Assumptions!$D$6,IF(ISNUMBER(SEARCH(Assumptions!$C$7,G3641)),Assumptions!$D$7,"Other Services"))),"Other Services"))</f>
        <v/>
      </c>
    </row>
    <row r="3642" customFormat="false" ht="15" hidden="false" customHeight="false" outlineLevel="0" collapsed="false">
      <c r="E3642" s="41" t="str">
        <f aca="false">IF(D3642="","",IFERROR(VLOOKUP(D3642,Assumptions!$G$5:$H$16,2,0),"Other"))</f>
        <v/>
      </c>
      <c r="J3642" s="41" t="str">
        <f aca="false">IF(G3642="","",IFERROR(IF(ISNUMBER(SEARCH(Assumptions!$C$5,G3642)),Assumptions!$D$5,IF(ISNUMBER(SEARCH(Assumptions!$C$6,G3642)),Assumptions!$D$6,IF(ISNUMBER(SEARCH(Assumptions!$C$7,G3642)),Assumptions!$D$7,"Other Services"))),"Other Services"))</f>
        <v/>
      </c>
    </row>
    <row r="3643" customFormat="false" ht="15" hidden="false" customHeight="false" outlineLevel="0" collapsed="false">
      <c r="E3643" s="41" t="str">
        <f aca="false">IF(D3643="","",IFERROR(VLOOKUP(D3643,Assumptions!$G$5:$H$16,2,0),"Other"))</f>
        <v/>
      </c>
      <c r="J3643" s="41" t="str">
        <f aca="false">IF(G3643="","",IFERROR(IF(ISNUMBER(SEARCH(Assumptions!$C$5,G3643)),Assumptions!$D$5,IF(ISNUMBER(SEARCH(Assumptions!$C$6,G3643)),Assumptions!$D$6,IF(ISNUMBER(SEARCH(Assumptions!$C$7,G3643)),Assumptions!$D$7,"Other Services"))),"Other Services"))</f>
        <v/>
      </c>
    </row>
    <row r="3644" customFormat="false" ht="15" hidden="false" customHeight="false" outlineLevel="0" collapsed="false">
      <c r="E3644" s="41" t="str">
        <f aca="false">IF(D3644="","",IFERROR(VLOOKUP(D3644,Assumptions!$G$5:$H$16,2,0),"Other"))</f>
        <v/>
      </c>
      <c r="J3644" s="41" t="str">
        <f aca="false">IF(G3644="","",IFERROR(IF(ISNUMBER(SEARCH(Assumptions!$C$5,G3644)),Assumptions!$D$5,IF(ISNUMBER(SEARCH(Assumptions!$C$6,G3644)),Assumptions!$D$6,IF(ISNUMBER(SEARCH(Assumptions!$C$7,G3644)),Assumptions!$D$7,"Other Services"))),"Other Services"))</f>
        <v/>
      </c>
    </row>
    <row r="3645" customFormat="false" ht="15" hidden="false" customHeight="false" outlineLevel="0" collapsed="false">
      <c r="E3645" s="41" t="str">
        <f aca="false">IF(D3645="","",IFERROR(VLOOKUP(D3645,Assumptions!$G$5:$H$16,2,0),"Other"))</f>
        <v/>
      </c>
      <c r="J3645" s="41" t="str">
        <f aca="false">IF(G3645="","",IFERROR(IF(ISNUMBER(SEARCH(Assumptions!$C$5,G3645)),Assumptions!$D$5,IF(ISNUMBER(SEARCH(Assumptions!$C$6,G3645)),Assumptions!$D$6,IF(ISNUMBER(SEARCH(Assumptions!$C$7,G3645)),Assumptions!$D$7,"Other Services"))),"Other Services"))</f>
        <v/>
      </c>
    </row>
    <row r="3646" customFormat="false" ht="15" hidden="false" customHeight="false" outlineLevel="0" collapsed="false">
      <c r="E3646" s="41" t="str">
        <f aca="false">IF(D3646="","",IFERROR(VLOOKUP(D3646,Assumptions!$G$5:$H$16,2,0),"Other"))</f>
        <v/>
      </c>
      <c r="J3646" s="41" t="str">
        <f aca="false">IF(G3646="","",IFERROR(IF(ISNUMBER(SEARCH(Assumptions!$C$5,G3646)),Assumptions!$D$5,IF(ISNUMBER(SEARCH(Assumptions!$C$6,G3646)),Assumptions!$D$6,IF(ISNUMBER(SEARCH(Assumptions!$C$7,G3646)),Assumptions!$D$7,"Other Services"))),"Other Services"))</f>
        <v/>
      </c>
    </row>
    <row r="3647" customFormat="false" ht="15" hidden="false" customHeight="false" outlineLevel="0" collapsed="false">
      <c r="E3647" s="41" t="str">
        <f aca="false">IF(D3647="","",IFERROR(VLOOKUP(D3647,Assumptions!$G$5:$H$16,2,0),"Other"))</f>
        <v/>
      </c>
      <c r="J3647" s="41" t="str">
        <f aca="false">IF(G3647="","",IFERROR(IF(ISNUMBER(SEARCH(Assumptions!$C$5,G3647)),Assumptions!$D$5,IF(ISNUMBER(SEARCH(Assumptions!$C$6,G3647)),Assumptions!$D$6,IF(ISNUMBER(SEARCH(Assumptions!$C$7,G3647)),Assumptions!$D$7,"Other Services"))),"Other Services"))</f>
        <v/>
      </c>
    </row>
    <row r="3648" customFormat="false" ht="15" hidden="false" customHeight="false" outlineLevel="0" collapsed="false">
      <c r="E3648" s="41" t="str">
        <f aca="false">IF(D3648="","",IFERROR(VLOOKUP(D3648,Assumptions!$G$5:$H$16,2,0),"Other"))</f>
        <v/>
      </c>
      <c r="J3648" s="41" t="str">
        <f aca="false">IF(G3648="","",IFERROR(IF(ISNUMBER(SEARCH(Assumptions!$C$5,G3648)),Assumptions!$D$5,IF(ISNUMBER(SEARCH(Assumptions!$C$6,G3648)),Assumptions!$D$6,IF(ISNUMBER(SEARCH(Assumptions!$C$7,G3648)),Assumptions!$D$7,"Other Services"))),"Other Services"))</f>
        <v/>
      </c>
    </row>
    <row r="3649" customFormat="false" ht="15" hidden="false" customHeight="false" outlineLevel="0" collapsed="false">
      <c r="E3649" s="41" t="str">
        <f aca="false">IF(D3649="","",IFERROR(VLOOKUP(D3649,Assumptions!$G$5:$H$16,2,0),"Other"))</f>
        <v/>
      </c>
      <c r="J3649" s="41" t="str">
        <f aca="false">IF(G3649="","",IFERROR(IF(ISNUMBER(SEARCH(Assumptions!$C$5,G3649)),Assumptions!$D$5,IF(ISNUMBER(SEARCH(Assumptions!$C$6,G3649)),Assumptions!$D$6,IF(ISNUMBER(SEARCH(Assumptions!$C$7,G3649)),Assumptions!$D$7,"Other Services"))),"Other Services"))</f>
        <v/>
      </c>
    </row>
    <row r="3650" customFormat="false" ht="15" hidden="false" customHeight="false" outlineLevel="0" collapsed="false">
      <c r="E3650" s="41" t="str">
        <f aca="false">IF(D3650="","",IFERROR(VLOOKUP(D3650,Assumptions!$G$5:$H$16,2,0),"Other"))</f>
        <v/>
      </c>
      <c r="J3650" s="41" t="str">
        <f aca="false">IF(G3650="","",IFERROR(IF(ISNUMBER(SEARCH(Assumptions!$C$5,G3650)),Assumptions!$D$5,IF(ISNUMBER(SEARCH(Assumptions!$C$6,G3650)),Assumptions!$D$6,IF(ISNUMBER(SEARCH(Assumptions!$C$7,G3650)),Assumptions!$D$7,"Other Services"))),"Other Services"))</f>
        <v/>
      </c>
    </row>
    <row r="3651" customFormat="false" ht="15" hidden="false" customHeight="false" outlineLevel="0" collapsed="false">
      <c r="E3651" s="41" t="str">
        <f aca="false">IF(D3651="","",IFERROR(VLOOKUP(D3651,Assumptions!$G$5:$H$16,2,0),"Other"))</f>
        <v/>
      </c>
      <c r="J3651" s="41" t="str">
        <f aca="false">IF(G3651="","",IFERROR(IF(ISNUMBER(SEARCH(Assumptions!$C$5,G3651)),Assumptions!$D$5,IF(ISNUMBER(SEARCH(Assumptions!$C$6,G3651)),Assumptions!$D$6,IF(ISNUMBER(SEARCH(Assumptions!$C$7,G3651)),Assumptions!$D$7,"Other Services"))),"Other Services"))</f>
        <v/>
      </c>
    </row>
    <row r="3652" customFormat="false" ht="15" hidden="false" customHeight="false" outlineLevel="0" collapsed="false">
      <c r="E3652" s="41" t="str">
        <f aca="false">IF(D3652="","",IFERROR(VLOOKUP(D3652,Assumptions!$G$5:$H$16,2,0),"Other"))</f>
        <v/>
      </c>
      <c r="J3652" s="41" t="str">
        <f aca="false">IF(G3652="","",IFERROR(IF(ISNUMBER(SEARCH(Assumptions!$C$5,G3652)),Assumptions!$D$5,IF(ISNUMBER(SEARCH(Assumptions!$C$6,G3652)),Assumptions!$D$6,IF(ISNUMBER(SEARCH(Assumptions!$C$7,G3652)),Assumptions!$D$7,"Other Services"))),"Other Services"))</f>
        <v/>
      </c>
    </row>
    <row r="3653" customFormat="false" ht="15" hidden="false" customHeight="false" outlineLevel="0" collapsed="false">
      <c r="E3653" s="41" t="str">
        <f aca="false">IF(D3653="","",IFERROR(VLOOKUP(D3653,Assumptions!$G$5:$H$16,2,0),"Other"))</f>
        <v/>
      </c>
      <c r="J3653" s="41" t="str">
        <f aca="false">IF(G3653="","",IFERROR(IF(ISNUMBER(SEARCH(Assumptions!$C$5,G3653)),Assumptions!$D$5,IF(ISNUMBER(SEARCH(Assumptions!$C$6,G3653)),Assumptions!$D$6,IF(ISNUMBER(SEARCH(Assumptions!$C$7,G3653)),Assumptions!$D$7,"Other Services"))),"Other Services"))</f>
        <v/>
      </c>
    </row>
    <row r="3654" customFormat="false" ht="15" hidden="false" customHeight="false" outlineLevel="0" collapsed="false">
      <c r="E3654" s="41" t="str">
        <f aca="false">IF(D3654="","",IFERROR(VLOOKUP(D3654,Assumptions!$G$5:$H$16,2,0),"Other"))</f>
        <v/>
      </c>
      <c r="J3654" s="41" t="str">
        <f aca="false">IF(G3654="","",IFERROR(IF(ISNUMBER(SEARCH(Assumptions!$C$5,G3654)),Assumptions!$D$5,IF(ISNUMBER(SEARCH(Assumptions!$C$6,G3654)),Assumptions!$D$6,IF(ISNUMBER(SEARCH(Assumptions!$C$7,G3654)),Assumptions!$D$7,"Other Services"))),"Other Services"))</f>
        <v/>
      </c>
    </row>
    <row r="3655" customFormat="false" ht="15" hidden="false" customHeight="false" outlineLevel="0" collapsed="false">
      <c r="E3655" s="41" t="str">
        <f aca="false">IF(D3655="","",IFERROR(VLOOKUP(D3655,Assumptions!$G$5:$H$16,2,0),"Other"))</f>
        <v/>
      </c>
      <c r="J3655" s="41" t="str">
        <f aca="false">IF(G3655="","",IFERROR(IF(ISNUMBER(SEARCH(Assumptions!$C$5,G3655)),Assumptions!$D$5,IF(ISNUMBER(SEARCH(Assumptions!$C$6,G3655)),Assumptions!$D$6,IF(ISNUMBER(SEARCH(Assumptions!$C$7,G3655)),Assumptions!$D$7,"Other Services"))),"Other Services"))</f>
        <v/>
      </c>
    </row>
    <row r="3656" customFormat="false" ht="15" hidden="false" customHeight="false" outlineLevel="0" collapsed="false">
      <c r="E3656" s="41" t="str">
        <f aca="false">IF(D3656="","",IFERROR(VLOOKUP(D3656,Assumptions!$G$5:$H$16,2,0),"Other"))</f>
        <v/>
      </c>
      <c r="J3656" s="41" t="str">
        <f aca="false">IF(G3656="","",IFERROR(IF(ISNUMBER(SEARCH(Assumptions!$C$5,G3656)),Assumptions!$D$5,IF(ISNUMBER(SEARCH(Assumptions!$C$6,G3656)),Assumptions!$D$6,IF(ISNUMBER(SEARCH(Assumptions!$C$7,G3656)),Assumptions!$D$7,"Other Services"))),"Other Services"))</f>
        <v/>
      </c>
    </row>
    <row r="3657" customFormat="false" ht="15" hidden="false" customHeight="false" outlineLevel="0" collapsed="false">
      <c r="E3657" s="41" t="str">
        <f aca="false">IF(D3657="","",IFERROR(VLOOKUP(D3657,Assumptions!$G$5:$H$16,2,0),"Other"))</f>
        <v/>
      </c>
      <c r="J3657" s="41" t="str">
        <f aca="false">IF(G3657="","",IFERROR(IF(ISNUMBER(SEARCH(Assumptions!$C$5,G3657)),Assumptions!$D$5,IF(ISNUMBER(SEARCH(Assumptions!$C$6,G3657)),Assumptions!$D$6,IF(ISNUMBER(SEARCH(Assumptions!$C$7,G3657)),Assumptions!$D$7,"Other Services"))),"Other Services"))</f>
        <v/>
      </c>
    </row>
    <row r="3658" customFormat="false" ht="15" hidden="false" customHeight="false" outlineLevel="0" collapsed="false">
      <c r="E3658" s="41" t="str">
        <f aca="false">IF(D3658="","",IFERROR(VLOOKUP(D3658,Assumptions!$G$5:$H$16,2,0),"Other"))</f>
        <v/>
      </c>
      <c r="J3658" s="41" t="str">
        <f aca="false">IF(G3658="","",IFERROR(IF(ISNUMBER(SEARCH(Assumptions!$C$5,G3658)),Assumptions!$D$5,IF(ISNUMBER(SEARCH(Assumptions!$C$6,G3658)),Assumptions!$D$6,IF(ISNUMBER(SEARCH(Assumptions!$C$7,G3658)),Assumptions!$D$7,"Other Services"))),"Other Services"))</f>
        <v/>
      </c>
    </row>
    <row r="3659" customFormat="false" ht="15" hidden="false" customHeight="false" outlineLevel="0" collapsed="false">
      <c r="E3659" s="41" t="str">
        <f aca="false">IF(D3659="","",IFERROR(VLOOKUP(D3659,Assumptions!$G$5:$H$16,2,0),"Other"))</f>
        <v/>
      </c>
      <c r="J3659" s="41" t="str">
        <f aca="false">IF(G3659="","",IFERROR(IF(ISNUMBER(SEARCH(Assumptions!$C$5,G3659)),Assumptions!$D$5,IF(ISNUMBER(SEARCH(Assumptions!$C$6,G3659)),Assumptions!$D$6,IF(ISNUMBER(SEARCH(Assumptions!$C$7,G3659)),Assumptions!$D$7,"Other Services"))),"Other Services"))</f>
        <v/>
      </c>
    </row>
    <row r="3660" customFormat="false" ht="15" hidden="false" customHeight="false" outlineLevel="0" collapsed="false">
      <c r="E3660" s="41" t="str">
        <f aca="false">IF(D3660="","",IFERROR(VLOOKUP(D3660,Assumptions!$G$5:$H$16,2,0),"Other"))</f>
        <v/>
      </c>
      <c r="J3660" s="41" t="str">
        <f aca="false">IF(G3660="","",IFERROR(IF(ISNUMBER(SEARCH(Assumptions!$C$5,G3660)),Assumptions!$D$5,IF(ISNUMBER(SEARCH(Assumptions!$C$6,G3660)),Assumptions!$D$6,IF(ISNUMBER(SEARCH(Assumptions!$C$7,G3660)),Assumptions!$D$7,"Other Services"))),"Other Services"))</f>
        <v/>
      </c>
    </row>
    <row r="3661" customFormat="false" ht="15" hidden="false" customHeight="false" outlineLevel="0" collapsed="false">
      <c r="E3661" s="41" t="str">
        <f aca="false">IF(D3661="","",IFERROR(VLOOKUP(D3661,Assumptions!$G$5:$H$16,2,0),"Other"))</f>
        <v/>
      </c>
      <c r="J3661" s="41" t="str">
        <f aca="false">IF(G3661="","",IFERROR(IF(ISNUMBER(SEARCH(Assumptions!$C$5,G3661)),Assumptions!$D$5,IF(ISNUMBER(SEARCH(Assumptions!$C$6,G3661)),Assumptions!$D$6,IF(ISNUMBER(SEARCH(Assumptions!$C$7,G3661)),Assumptions!$D$7,"Other Services"))),"Other Services"))</f>
        <v/>
      </c>
    </row>
    <row r="3662" customFormat="false" ht="15" hidden="false" customHeight="false" outlineLevel="0" collapsed="false">
      <c r="E3662" s="41" t="str">
        <f aca="false">IF(D3662="","",IFERROR(VLOOKUP(D3662,Assumptions!$G$5:$H$16,2,0),"Other"))</f>
        <v/>
      </c>
      <c r="J3662" s="41" t="str">
        <f aca="false">IF(G3662="","",IFERROR(IF(ISNUMBER(SEARCH(Assumptions!$C$5,G3662)),Assumptions!$D$5,IF(ISNUMBER(SEARCH(Assumptions!$C$6,G3662)),Assumptions!$D$6,IF(ISNUMBER(SEARCH(Assumptions!$C$7,G3662)),Assumptions!$D$7,"Other Services"))),"Other Services"))</f>
        <v/>
      </c>
    </row>
    <row r="3663" customFormat="false" ht="15" hidden="false" customHeight="false" outlineLevel="0" collapsed="false">
      <c r="E3663" s="41" t="str">
        <f aca="false">IF(D3663="","",IFERROR(VLOOKUP(D3663,Assumptions!$G$5:$H$16,2,0),"Other"))</f>
        <v/>
      </c>
      <c r="J3663" s="41" t="str">
        <f aca="false">IF(G3663="","",IFERROR(IF(ISNUMBER(SEARCH(Assumptions!$C$5,G3663)),Assumptions!$D$5,IF(ISNUMBER(SEARCH(Assumptions!$C$6,G3663)),Assumptions!$D$6,IF(ISNUMBER(SEARCH(Assumptions!$C$7,G3663)),Assumptions!$D$7,"Other Services"))),"Other Services"))</f>
        <v/>
      </c>
    </row>
    <row r="3664" customFormat="false" ht="15" hidden="false" customHeight="false" outlineLevel="0" collapsed="false">
      <c r="E3664" s="41" t="str">
        <f aca="false">IF(D3664="","",IFERROR(VLOOKUP(D3664,Assumptions!$G$5:$H$16,2,0),"Other"))</f>
        <v/>
      </c>
      <c r="J3664" s="41" t="str">
        <f aca="false">IF(G3664="","",IFERROR(IF(ISNUMBER(SEARCH(Assumptions!$C$5,G3664)),Assumptions!$D$5,IF(ISNUMBER(SEARCH(Assumptions!$C$6,G3664)),Assumptions!$D$6,IF(ISNUMBER(SEARCH(Assumptions!$C$7,G3664)),Assumptions!$D$7,"Other Services"))),"Other Services"))</f>
        <v/>
      </c>
    </row>
    <row r="3665" customFormat="false" ht="15" hidden="false" customHeight="false" outlineLevel="0" collapsed="false">
      <c r="E3665" s="41" t="str">
        <f aca="false">IF(D3665="","",IFERROR(VLOOKUP(D3665,Assumptions!$G$5:$H$16,2,0),"Other"))</f>
        <v/>
      </c>
      <c r="J3665" s="41" t="str">
        <f aca="false">IF(G3665="","",IFERROR(IF(ISNUMBER(SEARCH(Assumptions!$C$5,G3665)),Assumptions!$D$5,IF(ISNUMBER(SEARCH(Assumptions!$C$6,G3665)),Assumptions!$D$6,IF(ISNUMBER(SEARCH(Assumptions!$C$7,G3665)),Assumptions!$D$7,"Other Services"))),"Other Services"))</f>
        <v/>
      </c>
    </row>
    <row r="3666" customFormat="false" ht="15" hidden="false" customHeight="false" outlineLevel="0" collapsed="false">
      <c r="E3666" s="41" t="str">
        <f aca="false">IF(D3666="","",IFERROR(VLOOKUP(D3666,Assumptions!$G$5:$H$16,2,0),"Other"))</f>
        <v/>
      </c>
      <c r="J3666" s="41" t="str">
        <f aca="false">IF(G3666="","",IFERROR(IF(ISNUMBER(SEARCH(Assumptions!$C$5,G3666)),Assumptions!$D$5,IF(ISNUMBER(SEARCH(Assumptions!$C$6,G3666)),Assumptions!$D$6,IF(ISNUMBER(SEARCH(Assumptions!$C$7,G3666)),Assumptions!$D$7,"Other Services"))),"Other Services"))</f>
        <v/>
      </c>
    </row>
    <row r="3667" customFormat="false" ht="15" hidden="false" customHeight="false" outlineLevel="0" collapsed="false">
      <c r="E3667" s="41" t="str">
        <f aca="false">IF(D3667="","",IFERROR(VLOOKUP(D3667,Assumptions!$G$5:$H$16,2,0),"Other"))</f>
        <v/>
      </c>
      <c r="J3667" s="41" t="str">
        <f aca="false">IF(G3667="","",IFERROR(IF(ISNUMBER(SEARCH(Assumptions!$C$5,G3667)),Assumptions!$D$5,IF(ISNUMBER(SEARCH(Assumptions!$C$6,G3667)),Assumptions!$D$6,IF(ISNUMBER(SEARCH(Assumptions!$C$7,G3667)),Assumptions!$D$7,"Other Services"))),"Other Services"))</f>
        <v/>
      </c>
    </row>
    <row r="3668" customFormat="false" ht="15" hidden="false" customHeight="false" outlineLevel="0" collapsed="false">
      <c r="E3668" s="41" t="str">
        <f aca="false">IF(D3668="","",IFERROR(VLOOKUP(D3668,Assumptions!$G$5:$H$16,2,0),"Other"))</f>
        <v/>
      </c>
      <c r="J3668" s="41" t="str">
        <f aca="false">IF(G3668="","",IFERROR(IF(ISNUMBER(SEARCH(Assumptions!$C$5,G3668)),Assumptions!$D$5,IF(ISNUMBER(SEARCH(Assumptions!$C$6,G3668)),Assumptions!$D$6,IF(ISNUMBER(SEARCH(Assumptions!$C$7,G3668)),Assumptions!$D$7,"Other Services"))),"Other Services"))</f>
        <v/>
      </c>
    </row>
    <row r="3669" customFormat="false" ht="15" hidden="false" customHeight="false" outlineLevel="0" collapsed="false">
      <c r="E3669" s="41" t="str">
        <f aca="false">IF(D3669="","",IFERROR(VLOOKUP(D3669,Assumptions!$G$5:$H$16,2,0),"Other"))</f>
        <v/>
      </c>
      <c r="J3669" s="41" t="str">
        <f aca="false">IF(G3669="","",IFERROR(IF(ISNUMBER(SEARCH(Assumptions!$C$5,G3669)),Assumptions!$D$5,IF(ISNUMBER(SEARCH(Assumptions!$C$6,G3669)),Assumptions!$D$6,IF(ISNUMBER(SEARCH(Assumptions!$C$7,G3669)),Assumptions!$D$7,"Other Services"))),"Other Services"))</f>
        <v/>
      </c>
    </row>
    <row r="3670" customFormat="false" ht="15" hidden="false" customHeight="false" outlineLevel="0" collapsed="false">
      <c r="E3670" s="41" t="str">
        <f aca="false">IF(D3670="","",IFERROR(VLOOKUP(D3670,Assumptions!$G$5:$H$16,2,0),"Other"))</f>
        <v/>
      </c>
      <c r="J3670" s="41" t="str">
        <f aca="false">IF(G3670="","",IFERROR(IF(ISNUMBER(SEARCH(Assumptions!$C$5,G3670)),Assumptions!$D$5,IF(ISNUMBER(SEARCH(Assumptions!$C$6,G3670)),Assumptions!$D$6,IF(ISNUMBER(SEARCH(Assumptions!$C$7,G3670)),Assumptions!$D$7,"Other Services"))),"Other Services"))</f>
        <v/>
      </c>
    </row>
    <row r="3671" customFormat="false" ht="15" hidden="false" customHeight="false" outlineLevel="0" collapsed="false">
      <c r="E3671" s="41" t="str">
        <f aca="false">IF(D3671="","",IFERROR(VLOOKUP(D3671,Assumptions!$G$5:$H$16,2,0),"Other"))</f>
        <v/>
      </c>
      <c r="J3671" s="41" t="str">
        <f aca="false">IF(G3671="","",IFERROR(IF(ISNUMBER(SEARCH(Assumptions!$C$5,G3671)),Assumptions!$D$5,IF(ISNUMBER(SEARCH(Assumptions!$C$6,G3671)),Assumptions!$D$6,IF(ISNUMBER(SEARCH(Assumptions!$C$7,G3671)),Assumptions!$D$7,"Other Services"))),"Other Services"))</f>
        <v/>
      </c>
    </row>
    <row r="3672" customFormat="false" ht="15" hidden="false" customHeight="false" outlineLevel="0" collapsed="false">
      <c r="E3672" s="41" t="str">
        <f aca="false">IF(D3672="","",IFERROR(VLOOKUP(D3672,Assumptions!$G$5:$H$16,2,0),"Other"))</f>
        <v/>
      </c>
      <c r="J3672" s="41" t="str">
        <f aca="false">IF(G3672="","",IFERROR(IF(ISNUMBER(SEARCH(Assumptions!$C$5,G3672)),Assumptions!$D$5,IF(ISNUMBER(SEARCH(Assumptions!$C$6,G3672)),Assumptions!$D$6,IF(ISNUMBER(SEARCH(Assumptions!$C$7,G3672)),Assumptions!$D$7,"Other Services"))),"Other Services"))</f>
        <v/>
      </c>
    </row>
    <row r="3673" customFormat="false" ht="15" hidden="false" customHeight="false" outlineLevel="0" collapsed="false">
      <c r="E3673" s="41" t="str">
        <f aca="false">IF(D3673="","",IFERROR(VLOOKUP(D3673,Assumptions!$G$5:$H$16,2,0),"Other"))</f>
        <v/>
      </c>
      <c r="J3673" s="41" t="str">
        <f aca="false">IF(G3673="","",IFERROR(IF(ISNUMBER(SEARCH(Assumptions!$C$5,G3673)),Assumptions!$D$5,IF(ISNUMBER(SEARCH(Assumptions!$C$6,G3673)),Assumptions!$D$6,IF(ISNUMBER(SEARCH(Assumptions!$C$7,G3673)),Assumptions!$D$7,"Other Services"))),"Other Services"))</f>
        <v/>
      </c>
    </row>
    <row r="3674" customFormat="false" ht="15" hidden="false" customHeight="false" outlineLevel="0" collapsed="false">
      <c r="E3674" s="41" t="str">
        <f aca="false">IF(D3674="","",IFERROR(VLOOKUP(D3674,Assumptions!$G$5:$H$16,2,0),"Other"))</f>
        <v/>
      </c>
      <c r="J3674" s="41" t="str">
        <f aca="false">IF(G3674="","",IFERROR(IF(ISNUMBER(SEARCH(Assumptions!$C$5,G3674)),Assumptions!$D$5,IF(ISNUMBER(SEARCH(Assumptions!$C$6,G3674)),Assumptions!$D$6,IF(ISNUMBER(SEARCH(Assumptions!$C$7,G3674)),Assumptions!$D$7,"Other Services"))),"Other Services"))</f>
        <v/>
      </c>
    </row>
    <row r="3675" customFormat="false" ht="15" hidden="false" customHeight="false" outlineLevel="0" collapsed="false">
      <c r="E3675" s="41" t="str">
        <f aca="false">IF(D3675="","",IFERROR(VLOOKUP(D3675,Assumptions!$G$5:$H$16,2,0),"Other"))</f>
        <v/>
      </c>
      <c r="J3675" s="41" t="str">
        <f aca="false">IF(G3675="","",IFERROR(IF(ISNUMBER(SEARCH(Assumptions!$C$5,G3675)),Assumptions!$D$5,IF(ISNUMBER(SEARCH(Assumptions!$C$6,G3675)),Assumptions!$D$6,IF(ISNUMBER(SEARCH(Assumptions!$C$7,G3675)),Assumptions!$D$7,"Other Services"))),"Other Services"))</f>
        <v/>
      </c>
    </row>
    <row r="3676" customFormat="false" ht="15" hidden="false" customHeight="false" outlineLevel="0" collapsed="false">
      <c r="E3676" s="41" t="str">
        <f aca="false">IF(D3676="","",IFERROR(VLOOKUP(D3676,Assumptions!$G$5:$H$16,2,0),"Other"))</f>
        <v/>
      </c>
      <c r="J3676" s="41" t="str">
        <f aca="false">IF(G3676="","",IFERROR(IF(ISNUMBER(SEARCH(Assumptions!$C$5,G3676)),Assumptions!$D$5,IF(ISNUMBER(SEARCH(Assumptions!$C$6,G3676)),Assumptions!$D$6,IF(ISNUMBER(SEARCH(Assumptions!$C$7,G3676)),Assumptions!$D$7,"Other Services"))),"Other Services"))</f>
        <v/>
      </c>
    </row>
    <row r="3677" customFormat="false" ht="15" hidden="false" customHeight="false" outlineLevel="0" collapsed="false">
      <c r="E3677" s="41" t="str">
        <f aca="false">IF(D3677="","",IFERROR(VLOOKUP(D3677,Assumptions!$G$5:$H$16,2,0),"Other"))</f>
        <v/>
      </c>
      <c r="J3677" s="41" t="str">
        <f aca="false">IF(G3677="","",IFERROR(IF(ISNUMBER(SEARCH(Assumptions!$C$5,G3677)),Assumptions!$D$5,IF(ISNUMBER(SEARCH(Assumptions!$C$6,G3677)),Assumptions!$D$6,IF(ISNUMBER(SEARCH(Assumptions!$C$7,G3677)),Assumptions!$D$7,"Other Services"))),"Other Services"))</f>
        <v/>
      </c>
    </row>
    <row r="3678" customFormat="false" ht="15" hidden="false" customHeight="false" outlineLevel="0" collapsed="false">
      <c r="E3678" s="41" t="str">
        <f aca="false">IF(D3678="","",IFERROR(VLOOKUP(D3678,Assumptions!$G$5:$H$16,2,0),"Other"))</f>
        <v/>
      </c>
      <c r="J3678" s="41" t="str">
        <f aca="false">IF(G3678="","",IFERROR(IF(ISNUMBER(SEARCH(Assumptions!$C$5,G3678)),Assumptions!$D$5,IF(ISNUMBER(SEARCH(Assumptions!$C$6,G3678)),Assumptions!$D$6,IF(ISNUMBER(SEARCH(Assumptions!$C$7,G3678)),Assumptions!$D$7,"Other Services"))),"Other Services"))</f>
        <v/>
      </c>
    </row>
    <row r="3679" customFormat="false" ht="15" hidden="false" customHeight="false" outlineLevel="0" collapsed="false">
      <c r="E3679" s="41" t="str">
        <f aca="false">IF(D3679="","",IFERROR(VLOOKUP(D3679,Assumptions!$G$5:$H$16,2,0),"Other"))</f>
        <v/>
      </c>
      <c r="J3679" s="41" t="str">
        <f aca="false">IF(G3679="","",IFERROR(IF(ISNUMBER(SEARCH(Assumptions!$C$5,G3679)),Assumptions!$D$5,IF(ISNUMBER(SEARCH(Assumptions!$C$6,G3679)),Assumptions!$D$6,IF(ISNUMBER(SEARCH(Assumptions!$C$7,G3679)),Assumptions!$D$7,"Other Services"))),"Other Services"))</f>
        <v/>
      </c>
    </row>
    <row r="3680" customFormat="false" ht="15" hidden="false" customHeight="false" outlineLevel="0" collapsed="false">
      <c r="E3680" s="41" t="str">
        <f aca="false">IF(D3680="","",IFERROR(VLOOKUP(D3680,Assumptions!$G$5:$H$16,2,0),"Other"))</f>
        <v/>
      </c>
      <c r="J3680" s="41" t="str">
        <f aca="false">IF(G3680="","",IFERROR(IF(ISNUMBER(SEARCH(Assumptions!$C$5,G3680)),Assumptions!$D$5,IF(ISNUMBER(SEARCH(Assumptions!$C$6,G3680)),Assumptions!$D$6,IF(ISNUMBER(SEARCH(Assumptions!$C$7,G3680)),Assumptions!$D$7,"Other Services"))),"Other Services"))</f>
        <v/>
      </c>
    </row>
    <row r="3681" customFormat="false" ht="15" hidden="false" customHeight="false" outlineLevel="0" collapsed="false">
      <c r="E3681" s="41" t="str">
        <f aca="false">IF(D3681="","",IFERROR(VLOOKUP(D3681,Assumptions!$G$5:$H$16,2,0),"Other"))</f>
        <v/>
      </c>
      <c r="J3681" s="41" t="str">
        <f aca="false">IF(G3681="","",IFERROR(IF(ISNUMBER(SEARCH(Assumptions!$C$5,G3681)),Assumptions!$D$5,IF(ISNUMBER(SEARCH(Assumptions!$C$6,G3681)),Assumptions!$D$6,IF(ISNUMBER(SEARCH(Assumptions!$C$7,G3681)),Assumptions!$D$7,"Other Services"))),"Other Services"))</f>
        <v/>
      </c>
    </row>
    <row r="3682" customFormat="false" ht="15" hidden="false" customHeight="false" outlineLevel="0" collapsed="false">
      <c r="E3682" s="41" t="str">
        <f aca="false">IF(D3682="","",IFERROR(VLOOKUP(D3682,Assumptions!$G$5:$H$16,2,0),"Other"))</f>
        <v/>
      </c>
      <c r="J3682" s="41" t="str">
        <f aca="false">IF(G3682="","",IFERROR(IF(ISNUMBER(SEARCH(Assumptions!$C$5,G3682)),Assumptions!$D$5,IF(ISNUMBER(SEARCH(Assumptions!$C$6,G3682)),Assumptions!$D$6,IF(ISNUMBER(SEARCH(Assumptions!$C$7,G3682)),Assumptions!$D$7,"Other Services"))),"Other Services"))</f>
        <v/>
      </c>
    </row>
    <row r="3683" customFormat="false" ht="15" hidden="false" customHeight="false" outlineLevel="0" collapsed="false">
      <c r="E3683" s="41" t="str">
        <f aca="false">IF(D3683="","",IFERROR(VLOOKUP(D3683,Assumptions!$G$5:$H$16,2,0),"Other"))</f>
        <v/>
      </c>
      <c r="J3683" s="41" t="str">
        <f aca="false">IF(G3683="","",IFERROR(IF(ISNUMBER(SEARCH(Assumptions!$C$5,G3683)),Assumptions!$D$5,IF(ISNUMBER(SEARCH(Assumptions!$C$6,G3683)),Assumptions!$D$6,IF(ISNUMBER(SEARCH(Assumptions!$C$7,G3683)),Assumptions!$D$7,"Other Services"))),"Other Services"))</f>
        <v/>
      </c>
    </row>
    <row r="3684" customFormat="false" ht="15" hidden="false" customHeight="false" outlineLevel="0" collapsed="false">
      <c r="E3684" s="41" t="str">
        <f aca="false">IF(D3684="","",IFERROR(VLOOKUP(D3684,Assumptions!$G$5:$H$16,2,0),"Other"))</f>
        <v/>
      </c>
      <c r="J3684" s="41" t="str">
        <f aca="false">IF(G3684="","",IFERROR(IF(ISNUMBER(SEARCH(Assumptions!$C$5,G3684)),Assumptions!$D$5,IF(ISNUMBER(SEARCH(Assumptions!$C$6,G3684)),Assumptions!$D$6,IF(ISNUMBER(SEARCH(Assumptions!$C$7,G3684)),Assumptions!$D$7,"Other Services"))),"Other Services"))</f>
        <v/>
      </c>
    </row>
    <row r="3685" customFormat="false" ht="15" hidden="false" customHeight="false" outlineLevel="0" collapsed="false">
      <c r="E3685" s="41" t="str">
        <f aca="false">IF(D3685="","",IFERROR(VLOOKUP(D3685,Assumptions!$G$5:$H$16,2,0),"Other"))</f>
        <v/>
      </c>
      <c r="J3685" s="41" t="str">
        <f aca="false">IF(G3685="","",IFERROR(IF(ISNUMBER(SEARCH(Assumptions!$C$5,G3685)),Assumptions!$D$5,IF(ISNUMBER(SEARCH(Assumptions!$C$6,G3685)),Assumptions!$D$6,IF(ISNUMBER(SEARCH(Assumptions!$C$7,G3685)),Assumptions!$D$7,"Other Services"))),"Other Services"))</f>
        <v/>
      </c>
    </row>
    <row r="3686" customFormat="false" ht="15" hidden="false" customHeight="false" outlineLevel="0" collapsed="false">
      <c r="E3686" s="41" t="str">
        <f aca="false">IF(D3686="","",IFERROR(VLOOKUP(D3686,Assumptions!$G$5:$H$16,2,0),"Other"))</f>
        <v/>
      </c>
      <c r="J3686" s="41" t="str">
        <f aca="false">IF(G3686="","",IFERROR(IF(ISNUMBER(SEARCH(Assumptions!$C$5,G3686)),Assumptions!$D$5,IF(ISNUMBER(SEARCH(Assumptions!$C$6,G3686)),Assumptions!$D$6,IF(ISNUMBER(SEARCH(Assumptions!$C$7,G3686)),Assumptions!$D$7,"Other Services"))),"Other Services"))</f>
        <v/>
      </c>
    </row>
    <row r="3687" customFormat="false" ht="15" hidden="false" customHeight="false" outlineLevel="0" collapsed="false">
      <c r="E3687" s="41" t="str">
        <f aca="false">IF(D3687="","",IFERROR(VLOOKUP(D3687,Assumptions!$G$5:$H$16,2,0),"Other"))</f>
        <v/>
      </c>
      <c r="J3687" s="41" t="str">
        <f aca="false">IF(G3687="","",IFERROR(IF(ISNUMBER(SEARCH(Assumptions!$C$5,G3687)),Assumptions!$D$5,IF(ISNUMBER(SEARCH(Assumptions!$C$6,G3687)),Assumptions!$D$6,IF(ISNUMBER(SEARCH(Assumptions!$C$7,G3687)),Assumptions!$D$7,"Other Services"))),"Other Services"))</f>
        <v/>
      </c>
    </row>
    <row r="3688" customFormat="false" ht="15" hidden="false" customHeight="false" outlineLevel="0" collapsed="false">
      <c r="E3688" s="41" t="str">
        <f aca="false">IF(D3688="","",IFERROR(VLOOKUP(D3688,Assumptions!$G$5:$H$16,2,0),"Other"))</f>
        <v/>
      </c>
      <c r="J3688" s="41" t="str">
        <f aca="false">IF(G3688="","",IFERROR(IF(ISNUMBER(SEARCH(Assumptions!$C$5,G3688)),Assumptions!$D$5,IF(ISNUMBER(SEARCH(Assumptions!$C$6,G3688)),Assumptions!$D$6,IF(ISNUMBER(SEARCH(Assumptions!$C$7,G3688)),Assumptions!$D$7,"Other Services"))),"Other Services"))</f>
        <v/>
      </c>
    </row>
    <row r="3689" customFormat="false" ht="15" hidden="false" customHeight="false" outlineLevel="0" collapsed="false">
      <c r="E3689" s="41" t="str">
        <f aca="false">IF(D3689="","",IFERROR(VLOOKUP(D3689,Assumptions!$G$5:$H$16,2,0),"Other"))</f>
        <v/>
      </c>
      <c r="J3689" s="41" t="str">
        <f aca="false">IF(G3689="","",IFERROR(IF(ISNUMBER(SEARCH(Assumptions!$C$5,G3689)),Assumptions!$D$5,IF(ISNUMBER(SEARCH(Assumptions!$C$6,G3689)),Assumptions!$D$6,IF(ISNUMBER(SEARCH(Assumptions!$C$7,G3689)),Assumptions!$D$7,"Other Services"))),"Other Services"))</f>
        <v/>
      </c>
    </row>
    <row r="3690" customFormat="false" ht="15" hidden="false" customHeight="false" outlineLevel="0" collapsed="false">
      <c r="E3690" s="41" t="str">
        <f aca="false">IF(D3690="","",IFERROR(VLOOKUP(D3690,Assumptions!$G$5:$H$16,2,0),"Other"))</f>
        <v/>
      </c>
      <c r="J3690" s="41" t="str">
        <f aca="false">IF(G3690="","",IFERROR(IF(ISNUMBER(SEARCH(Assumptions!$C$5,G3690)),Assumptions!$D$5,IF(ISNUMBER(SEARCH(Assumptions!$C$6,G3690)),Assumptions!$D$6,IF(ISNUMBER(SEARCH(Assumptions!$C$7,G3690)),Assumptions!$D$7,"Other Services"))),"Other Services"))</f>
        <v/>
      </c>
    </row>
    <row r="3691" customFormat="false" ht="15" hidden="false" customHeight="false" outlineLevel="0" collapsed="false">
      <c r="E3691" s="41" t="str">
        <f aca="false">IF(D3691="","",IFERROR(VLOOKUP(D3691,Assumptions!$G$5:$H$16,2,0),"Other"))</f>
        <v/>
      </c>
      <c r="J3691" s="41" t="str">
        <f aca="false">IF(G3691="","",IFERROR(IF(ISNUMBER(SEARCH(Assumptions!$C$5,G3691)),Assumptions!$D$5,IF(ISNUMBER(SEARCH(Assumptions!$C$6,G3691)),Assumptions!$D$6,IF(ISNUMBER(SEARCH(Assumptions!$C$7,G3691)),Assumptions!$D$7,"Other Services"))),"Other Services"))</f>
        <v/>
      </c>
    </row>
    <row r="3692" customFormat="false" ht="15" hidden="false" customHeight="false" outlineLevel="0" collapsed="false">
      <c r="E3692" s="41" t="str">
        <f aca="false">IF(D3692="","",IFERROR(VLOOKUP(D3692,Assumptions!$G$5:$H$16,2,0),"Other"))</f>
        <v/>
      </c>
      <c r="J3692" s="41" t="str">
        <f aca="false">IF(G3692="","",IFERROR(IF(ISNUMBER(SEARCH(Assumptions!$C$5,G3692)),Assumptions!$D$5,IF(ISNUMBER(SEARCH(Assumptions!$C$6,G3692)),Assumptions!$D$6,IF(ISNUMBER(SEARCH(Assumptions!$C$7,G3692)),Assumptions!$D$7,"Other Services"))),"Other Services"))</f>
        <v/>
      </c>
    </row>
    <row r="3693" customFormat="false" ht="15" hidden="false" customHeight="false" outlineLevel="0" collapsed="false">
      <c r="E3693" s="41" t="str">
        <f aca="false">IF(D3693="","",IFERROR(VLOOKUP(D3693,Assumptions!$G$5:$H$16,2,0),"Other"))</f>
        <v/>
      </c>
      <c r="J3693" s="41" t="str">
        <f aca="false">IF(G3693="","",IFERROR(IF(ISNUMBER(SEARCH(Assumptions!$C$5,G3693)),Assumptions!$D$5,IF(ISNUMBER(SEARCH(Assumptions!$C$6,G3693)),Assumptions!$D$6,IF(ISNUMBER(SEARCH(Assumptions!$C$7,G3693)),Assumptions!$D$7,"Other Services"))),"Other Services"))</f>
        <v/>
      </c>
    </row>
    <row r="3694" customFormat="false" ht="15" hidden="false" customHeight="false" outlineLevel="0" collapsed="false">
      <c r="E3694" s="41" t="str">
        <f aca="false">IF(D3694="","",IFERROR(VLOOKUP(D3694,Assumptions!$G$5:$H$16,2,0),"Other"))</f>
        <v/>
      </c>
      <c r="J3694" s="41" t="str">
        <f aca="false">IF(G3694="","",IFERROR(IF(ISNUMBER(SEARCH(Assumptions!$C$5,G3694)),Assumptions!$D$5,IF(ISNUMBER(SEARCH(Assumptions!$C$6,G3694)),Assumptions!$D$6,IF(ISNUMBER(SEARCH(Assumptions!$C$7,G3694)),Assumptions!$D$7,"Other Services"))),"Other Services"))</f>
        <v/>
      </c>
    </row>
    <row r="3695" customFormat="false" ht="15" hidden="false" customHeight="false" outlineLevel="0" collapsed="false">
      <c r="E3695" s="41" t="str">
        <f aca="false">IF(D3695="","",IFERROR(VLOOKUP(D3695,Assumptions!$G$5:$H$16,2,0),"Other"))</f>
        <v/>
      </c>
      <c r="J3695" s="41" t="str">
        <f aca="false">IF(G3695="","",IFERROR(IF(ISNUMBER(SEARCH(Assumptions!$C$5,G3695)),Assumptions!$D$5,IF(ISNUMBER(SEARCH(Assumptions!$C$6,G3695)),Assumptions!$D$6,IF(ISNUMBER(SEARCH(Assumptions!$C$7,G3695)),Assumptions!$D$7,"Other Services"))),"Other Services"))</f>
        <v/>
      </c>
    </row>
    <row r="3696" customFormat="false" ht="15" hidden="false" customHeight="false" outlineLevel="0" collapsed="false">
      <c r="E3696" s="41" t="str">
        <f aca="false">IF(D3696="","",IFERROR(VLOOKUP(D3696,Assumptions!$G$5:$H$16,2,0),"Other"))</f>
        <v/>
      </c>
      <c r="J3696" s="41" t="str">
        <f aca="false">IF(G3696="","",IFERROR(IF(ISNUMBER(SEARCH(Assumptions!$C$5,G3696)),Assumptions!$D$5,IF(ISNUMBER(SEARCH(Assumptions!$C$6,G3696)),Assumptions!$D$6,IF(ISNUMBER(SEARCH(Assumptions!$C$7,G3696)),Assumptions!$D$7,"Other Services"))),"Other Services"))</f>
        <v/>
      </c>
    </row>
    <row r="3697" customFormat="false" ht="15" hidden="false" customHeight="false" outlineLevel="0" collapsed="false">
      <c r="E3697" s="41" t="str">
        <f aca="false">IF(D3697="","",IFERROR(VLOOKUP(D3697,Assumptions!$G$5:$H$16,2,0),"Other"))</f>
        <v/>
      </c>
      <c r="J3697" s="41" t="str">
        <f aca="false">IF(G3697="","",IFERROR(IF(ISNUMBER(SEARCH(Assumptions!$C$5,G3697)),Assumptions!$D$5,IF(ISNUMBER(SEARCH(Assumptions!$C$6,G3697)),Assumptions!$D$6,IF(ISNUMBER(SEARCH(Assumptions!$C$7,G3697)),Assumptions!$D$7,"Other Services"))),"Other Services"))</f>
        <v/>
      </c>
    </row>
    <row r="3698" customFormat="false" ht="15" hidden="false" customHeight="false" outlineLevel="0" collapsed="false">
      <c r="E3698" s="41" t="str">
        <f aca="false">IF(D3698="","",IFERROR(VLOOKUP(D3698,Assumptions!$G$5:$H$16,2,0),"Other"))</f>
        <v/>
      </c>
      <c r="J3698" s="41" t="str">
        <f aca="false">IF(G3698="","",IFERROR(IF(ISNUMBER(SEARCH(Assumptions!$C$5,G3698)),Assumptions!$D$5,IF(ISNUMBER(SEARCH(Assumptions!$C$6,G3698)),Assumptions!$D$6,IF(ISNUMBER(SEARCH(Assumptions!$C$7,G3698)),Assumptions!$D$7,"Other Services"))),"Other Services"))</f>
        <v/>
      </c>
    </row>
    <row r="3699" customFormat="false" ht="15" hidden="false" customHeight="false" outlineLevel="0" collapsed="false">
      <c r="E3699" s="41" t="str">
        <f aca="false">IF(D3699="","",IFERROR(VLOOKUP(D3699,Assumptions!$G$5:$H$16,2,0),"Other"))</f>
        <v/>
      </c>
      <c r="J3699" s="41" t="str">
        <f aca="false">IF(G3699="","",IFERROR(IF(ISNUMBER(SEARCH(Assumptions!$C$5,G3699)),Assumptions!$D$5,IF(ISNUMBER(SEARCH(Assumptions!$C$6,G3699)),Assumptions!$D$6,IF(ISNUMBER(SEARCH(Assumptions!$C$7,G3699)),Assumptions!$D$7,"Other Services"))),"Other Services"))</f>
        <v/>
      </c>
    </row>
    <row r="3700" customFormat="false" ht="15" hidden="false" customHeight="false" outlineLevel="0" collapsed="false">
      <c r="E3700" s="41" t="str">
        <f aca="false">IF(D3700="","",IFERROR(VLOOKUP(D3700,Assumptions!$G$5:$H$16,2,0),"Other"))</f>
        <v/>
      </c>
      <c r="J3700" s="41" t="str">
        <f aca="false">IF(G3700="","",IFERROR(IF(ISNUMBER(SEARCH(Assumptions!$C$5,G3700)),Assumptions!$D$5,IF(ISNUMBER(SEARCH(Assumptions!$C$6,G3700)),Assumptions!$D$6,IF(ISNUMBER(SEARCH(Assumptions!$C$7,G3700)),Assumptions!$D$7,"Other Services"))),"Other Services"))</f>
        <v/>
      </c>
    </row>
    <row r="3701" customFormat="false" ht="15" hidden="false" customHeight="false" outlineLevel="0" collapsed="false">
      <c r="E3701" s="41" t="str">
        <f aca="false">IF(D3701="","",IFERROR(VLOOKUP(D3701,Assumptions!$G$5:$H$16,2,0),"Other"))</f>
        <v/>
      </c>
      <c r="J3701" s="41" t="str">
        <f aca="false">IF(G3701="","",IFERROR(IF(ISNUMBER(SEARCH(Assumptions!$C$5,G3701)),Assumptions!$D$5,IF(ISNUMBER(SEARCH(Assumptions!$C$6,G3701)),Assumptions!$D$6,IF(ISNUMBER(SEARCH(Assumptions!$C$7,G3701)),Assumptions!$D$7,"Other Services"))),"Other Services"))</f>
        <v/>
      </c>
    </row>
    <row r="3702" customFormat="false" ht="15" hidden="false" customHeight="false" outlineLevel="0" collapsed="false">
      <c r="E3702" s="41" t="str">
        <f aca="false">IF(D3702="","",IFERROR(VLOOKUP(D3702,Assumptions!$G$5:$H$16,2,0),"Other"))</f>
        <v/>
      </c>
      <c r="J3702" s="41" t="str">
        <f aca="false">IF(G3702="","",IFERROR(IF(ISNUMBER(SEARCH(Assumptions!$C$5,G3702)),Assumptions!$D$5,IF(ISNUMBER(SEARCH(Assumptions!$C$6,G3702)),Assumptions!$D$6,IF(ISNUMBER(SEARCH(Assumptions!$C$7,G3702)),Assumptions!$D$7,"Other Services"))),"Other Services"))</f>
        <v/>
      </c>
    </row>
    <row r="3703" customFormat="false" ht="15" hidden="false" customHeight="false" outlineLevel="0" collapsed="false">
      <c r="E3703" s="41" t="str">
        <f aca="false">IF(D3703="","",IFERROR(VLOOKUP(D3703,Assumptions!$G$5:$H$16,2,0),"Other"))</f>
        <v/>
      </c>
      <c r="J3703" s="41" t="str">
        <f aca="false">IF(G3703="","",IFERROR(IF(ISNUMBER(SEARCH(Assumptions!$C$5,G3703)),Assumptions!$D$5,IF(ISNUMBER(SEARCH(Assumptions!$C$6,G3703)),Assumptions!$D$6,IF(ISNUMBER(SEARCH(Assumptions!$C$7,G3703)),Assumptions!$D$7,"Other Services"))),"Other Services"))</f>
        <v/>
      </c>
    </row>
    <row r="3704" customFormat="false" ht="15" hidden="false" customHeight="false" outlineLevel="0" collapsed="false">
      <c r="E3704" s="41" t="str">
        <f aca="false">IF(D3704="","",IFERROR(VLOOKUP(D3704,Assumptions!$G$5:$H$16,2,0),"Other"))</f>
        <v/>
      </c>
      <c r="J3704" s="41" t="str">
        <f aca="false">IF(G3704="","",IFERROR(IF(ISNUMBER(SEARCH(Assumptions!$C$5,G3704)),Assumptions!$D$5,IF(ISNUMBER(SEARCH(Assumptions!$C$6,G3704)),Assumptions!$D$6,IF(ISNUMBER(SEARCH(Assumptions!$C$7,G3704)),Assumptions!$D$7,"Other Services"))),"Other Services"))</f>
        <v/>
      </c>
    </row>
    <row r="3705" customFormat="false" ht="15" hidden="false" customHeight="false" outlineLevel="0" collapsed="false">
      <c r="E3705" s="41" t="str">
        <f aca="false">IF(D3705="","",IFERROR(VLOOKUP(D3705,Assumptions!$G$5:$H$16,2,0),"Other"))</f>
        <v/>
      </c>
      <c r="J3705" s="41" t="str">
        <f aca="false">IF(G3705="","",IFERROR(IF(ISNUMBER(SEARCH(Assumptions!$C$5,G3705)),Assumptions!$D$5,IF(ISNUMBER(SEARCH(Assumptions!$C$6,G3705)),Assumptions!$D$6,IF(ISNUMBER(SEARCH(Assumptions!$C$7,G3705)),Assumptions!$D$7,"Other Services"))),"Other Services"))</f>
        <v/>
      </c>
    </row>
    <row r="3706" customFormat="false" ht="15" hidden="false" customHeight="false" outlineLevel="0" collapsed="false">
      <c r="E3706" s="41" t="str">
        <f aca="false">IF(D3706="","",IFERROR(VLOOKUP(D3706,Assumptions!$G$5:$H$16,2,0),"Other"))</f>
        <v/>
      </c>
      <c r="J3706" s="41" t="str">
        <f aca="false">IF(G3706="","",IFERROR(IF(ISNUMBER(SEARCH(Assumptions!$C$5,G3706)),Assumptions!$D$5,IF(ISNUMBER(SEARCH(Assumptions!$C$6,G3706)),Assumptions!$D$6,IF(ISNUMBER(SEARCH(Assumptions!$C$7,G3706)),Assumptions!$D$7,"Other Services"))),"Other Services"))</f>
        <v/>
      </c>
    </row>
    <row r="3707" customFormat="false" ht="15" hidden="false" customHeight="false" outlineLevel="0" collapsed="false">
      <c r="E3707" s="41" t="str">
        <f aca="false">IF(D3707="","",IFERROR(VLOOKUP(D3707,Assumptions!$G$5:$H$16,2,0),"Other"))</f>
        <v/>
      </c>
      <c r="J3707" s="41" t="str">
        <f aca="false">IF(G3707="","",IFERROR(IF(ISNUMBER(SEARCH(Assumptions!$C$5,G3707)),Assumptions!$D$5,IF(ISNUMBER(SEARCH(Assumptions!$C$6,G3707)),Assumptions!$D$6,IF(ISNUMBER(SEARCH(Assumptions!$C$7,G3707)),Assumptions!$D$7,"Other Services"))),"Other Services"))</f>
        <v/>
      </c>
    </row>
    <row r="3708" customFormat="false" ht="15" hidden="false" customHeight="false" outlineLevel="0" collapsed="false">
      <c r="E3708" s="41" t="str">
        <f aca="false">IF(D3708="","",IFERROR(VLOOKUP(D3708,Assumptions!$G$5:$H$16,2,0),"Other"))</f>
        <v/>
      </c>
      <c r="J3708" s="41" t="str">
        <f aca="false">IF(G3708="","",IFERROR(IF(ISNUMBER(SEARCH(Assumptions!$C$5,G3708)),Assumptions!$D$5,IF(ISNUMBER(SEARCH(Assumptions!$C$6,G3708)),Assumptions!$D$6,IF(ISNUMBER(SEARCH(Assumptions!$C$7,G3708)),Assumptions!$D$7,"Other Services"))),"Other Services"))</f>
        <v/>
      </c>
    </row>
    <row r="3709" customFormat="false" ht="15" hidden="false" customHeight="false" outlineLevel="0" collapsed="false">
      <c r="E3709" s="41" t="str">
        <f aca="false">IF(D3709="","",IFERROR(VLOOKUP(D3709,Assumptions!$G$5:$H$16,2,0),"Other"))</f>
        <v/>
      </c>
      <c r="J3709" s="41" t="str">
        <f aca="false">IF(G3709="","",IFERROR(IF(ISNUMBER(SEARCH(Assumptions!$C$5,G3709)),Assumptions!$D$5,IF(ISNUMBER(SEARCH(Assumptions!$C$6,G3709)),Assumptions!$D$6,IF(ISNUMBER(SEARCH(Assumptions!$C$7,G3709)),Assumptions!$D$7,"Other Services"))),"Other Services"))</f>
        <v/>
      </c>
    </row>
    <row r="3710" customFormat="false" ht="15" hidden="false" customHeight="false" outlineLevel="0" collapsed="false">
      <c r="E3710" s="41" t="str">
        <f aca="false">IF(D3710="","",IFERROR(VLOOKUP(D3710,Assumptions!$G$5:$H$16,2,0),"Other"))</f>
        <v/>
      </c>
      <c r="J3710" s="41" t="str">
        <f aca="false">IF(G3710="","",IFERROR(IF(ISNUMBER(SEARCH(Assumptions!$C$5,G3710)),Assumptions!$D$5,IF(ISNUMBER(SEARCH(Assumptions!$C$6,G3710)),Assumptions!$D$6,IF(ISNUMBER(SEARCH(Assumptions!$C$7,G3710)),Assumptions!$D$7,"Other Services"))),"Other Services"))</f>
        <v/>
      </c>
    </row>
    <row r="3711" customFormat="false" ht="15" hidden="false" customHeight="false" outlineLevel="0" collapsed="false">
      <c r="E3711" s="41" t="str">
        <f aca="false">IF(D3711="","",IFERROR(VLOOKUP(D3711,Assumptions!$G$5:$H$16,2,0),"Other"))</f>
        <v/>
      </c>
      <c r="J3711" s="41" t="str">
        <f aca="false">IF(G3711="","",IFERROR(IF(ISNUMBER(SEARCH(Assumptions!$C$5,G3711)),Assumptions!$D$5,IF(ISNUMBER(SEARCH(Assumptions!$C$6,G3711)),Assumptions!$D$6,IF(ISNUMBER(SEARCH(Assumptions!$C$7,G3711)),Assumptions!$D$7,"Other Services"))),"Other Services"))</f>
        <v/>
      </c>
    </row>
    <row r="3712" customFormat="false" ht="15" hidden="false" customHeight="false" outlineLevel="0" collapsed="false">
      <c r="E3712" s="41" t="str">
        <f aca="false">IF(D3712="","",IFERROR(VLOOKUP(D3712,Assumptions!$G$5:$H$16,2,0),"Other"))</f>
        <v/>
      </c>
      <c r="J3712" s="41" t="str">
        <f aca="false">IF(G3712="","",IFERROR(IF(ISNUMBER(SEARCH(Assumptions!$C$5,G3712)),Assumptions!$D$5,IF(ISNUMBER(SEARCH(Assumptions!$C$6,G3712)),Assumptions!$D$6,IF(ISNUMBER(SEARCH(Assumptions!$C$7,G3712)),Assumptions!$D$7,"Other Services"))),"Other Services"))</f>
        <v/>
      </c>
    </row>
    <row r="3713" customFormat="false" ht="15" hidden="false" customHeight="false" outlineLevel="0" collapsed="false">
      <c r="E3713" s="41" t="str">
        <f aca="false">IF(D3713="","",IFERROR(VLOOKUP(D3713,Assumptions!$G$5:$H$16,2,0),"Other"))</f>
        <v/>
      </c>
      <c r="J3713" s="41" t="str">
        <f aca="false">IF(G3713="","",IFERROR(IF(ISNUMBER(SEARCH(Assumptions!$C$5,G3713)),Assumptions!$D$5,IF(ISNUMBER(SEARCH(Assumptions!$C$6,G3713)),Assumptions!$D$6,IF(ISNUMBER(SEARCH(Assumptions!$C$7,G3713)),Assumptions!$D$7,"Other Services"))),"Other Services"))</f>
        <v/>
      </c>
    </row>
    <row r="3714" customFormat="false" ht="15" hidden="false" customHeight="false" outlineLevel="0" collapsed="false">
      <c r="E3714" s="41" t="str">
        <f aca="false">IF(D3714="","",IFERROR(VLOOKUP(D3714,Assumptions!$G$5:$H$16,2,0),"Other"))</f>
        <v/>
      </c>
      <c r="J3714" s="41" t="str">
        <f aca="false">IF(G3714="","",IFERROR(IF(ISNUMBER(SEARCH(Assumptions!$C$5,G3714)),Assumptions!$D$5,IF(ISNUMBER(SEARCH(Assumptions!$C$6,G3714)),Assumptions!$D$6,IF(ISNUMBER(SEARCH(Assumptions!$C$7,G3714)),Assumptions!$D$7,"Other Services"))),"Other Services"))</f>
        <v/>
      </c>
    </row>
    <row r="3715" customFormat="false" ht="15" hidden="false" customHeight="false" outlineLevel="0" collapsed="false">
      <c r="E3715" s="41" t="str">
        <f aca="false">IF(D3715="","",IFERROR(VLOOKUP(D3715,Assumptions!$G$5:$H$16,2,0),"Other"))</f>
        <v/>
      </c>
      <c r="J3715" s="41" t="str">
        <f aca="false">IF(G3715="","",IFERROR(IF(ISNUMBER(SEARCH(Assumptions!$C$5,G3715)),Assumptions!$D$5,IF(ISNUMBER(SEARCH(Assumptions!$C$6,G3715)),Assumptions!$D$6,IF(ISNUMBER(SEARCH(Assumptions!$C$7,G3715)),Assumptions!$D$7,"Other Services"))),"Other Services"))</f>
        <v/>
      </c>
    </row>
    <row r="3716" customFormat="false" ht="15" hidden="false" customHeight="false" outlineLevel="0" collapsed="false">
      <c r="E3716" s="41" t="str">
        <f aca="false">IF(D3716="","",IFERROR(VLOOKUP(D3716,Assumptions!$G$5:$H$16,2,0),"Other"))</f>
        <v/>
      </c>
      <c r="J3716" s="41" t="str">
        <f aca="false">IF(G3716="","",IFERROR(IF(ISNUMBER(SEARCH(Assumptions!$C$5,G3716)),Assumptions!$D$5,IF(ISNUMBER(SEARCH(Assumptions!$C$6,G3716)),Assumptions!$D$6,IF(ISNUMBER(SEARCH(Assumptions!$C$7,G3716)),Assumptions!$D$7,"Other Services"))),"Other Services"))</f>
        <v/>
      </c>
    </row>
    <row r="3717" customFormat="false" ht="15" hidden="false" customHeight="false" outlineLevel="0" collapsed="false">
      <c r="E3717" s="41" t="str">
        <f aca="false">IF(D3717="","",IFERROR(VLOOKUP(D3717,Assumptions!$G$5:$H$16,2,0),"Other"))</f>
        <v/>
      </c>
      <c r="J3717" s="41" t="str">
        <f aca="false">IF(G3717="","",IFERROR(IF(ISNUMBER(SEARCH(Assumptions!$C$5,G3717)),Assumptions!$D$5,IF(ISNUMBER(SEARCH(Assumptions!$C$6,G3717)),Assumptions!$D$6,IF(ISNUMBER(SEARCH(Assumptions!$C$7,G3717)),Assumptions!$D$7,"Other Services"))),"Other Services"))</f>
        <v/>
      </c>
    </row>
    <row r="3718" customFormat="false" ht="15" hidden="false" customHeight="false" outlineLevel="0" collapsed="false">
      <c r="E3718" s="41" t="str">
        <f aca="false">IF(D3718="","",IFERROR(VLOOKUP(D3718,Assumptions!$G$5:$H$16,2,0),"Other"))</f>
        <v/>
      </c>
      <c r="J3718" s="41" t="str">
        <f aca="false">IF(G3718="","",IFERROR(IF(ISNUMBER(SEARCH(Assumptions!$C$5,G3718)),Assumptions!$D$5,IF(ISNUMBER(SEARCH(Assumptions!$C$6,G3718)),Assumptions!$D$6,IF(ISNUMBER(SEARCH(Assumptions!$C$7,G3718)),Assumptions!$D$7,"Other Services"))),"Other Services"))</f>
        <v/>
      </c>
    </row>
    <row r="3719" customFormat="false" ht="15" hidden="false" customHeight="false" outlineLevel="0" collapsed="false">
      <c r="E3719" s="41" t="str">
        <f aca="false">IF(D3719="","",IFERROR(VLOOKUP(D3719,Assumptions!$G$5:$H$16,2,0),"Other"))</f>
        <v/>
      </c>
      <c r="J3719" s="41" t="str">
        <f aca="false">IF(G3719="","",IFERROR(IF(ISNUMBER(SEARCH(Assumptions!$C$5,G3719)),Assumptions!$D$5,IF(ISNUMBER(SEARCH(Assumptions!$C$6,G3719)),Assumptions!$D$6,IF(ISNUMBER(SEARCH(Assumptions!$C$7,G3719)),Assumptions!$D$7,"Other Services"))),"Other Services"))</f>
        <v/>
      </c>
    </row>
    <row r="3720" customFormat="false" ht="15" hidden="false" customHeight="false" outlineLevel="0" collapsed="false">
      <c r="E3720" s="41" t="str">
        <f aca="false">IF(D3720="","",IFERROR(VLOOKUP(D3720,Assumptions!$G$5:$H$16,2,0),"Other"))</f>
        <v/>
      </c>
      <c r="J3720" s="41" t="str">
        <f aca="false">IF(G3720="","",IFERROR(IF(ISNUMBER(SEARCH(Assumptions!$C$5,G3720)),Assumptions!$D$5,IF(ISNUMBER(SEARCH(Assumptions!$C$6,G3720)),Assumptions!$D$6,IF(ISNUMBER(SEARCH(Assumptions!$C$7,G3720)),Assumptions!$D$7,"Other Services"))),"Other Services"))</f>
        <v/>
      </c>
    </row>
    <row r="3721" customFormat="false" ht="15" hidden="false" customHeight="false" outlineLevel="0" collapsed="false">
      <c r="E3721" s="41" t="str">
        <f aca="false">IF(D3721="","",IFERROR(VLOOKUP(D3721,Assumptions!$G$5:$H$16,2,0),"Other"))</f>
        <v/>
      </c>
      <c r="J3721" s="41" t="str">
        <f aca="false">IF(G3721="","",IFERROR(IF(ISNUMBER(SEARCH(Assumptions!$C$5,G3721)),Assumptions!$D$5,IF(ISNUMBER(SEARCH(Assumptions!$C$6,G3721)),Assumptions!$D$6,IF(ISNUMBER(SEARCH(Assumptions!$C$7,G3721)),Assumptions!$D$7,"Other Services"))),"Other Services"))</f>
        <v/>
      </c>
    </row>
    <row r="3722" customFormat="false" ht="15" hidden="false" customHeight="false" outlineLevel="0" collapsed="false">
      <c r="E3722" s="41" t="str">
        <f aca="false">IF(D3722="","",IFERROR(VLOOKUP(D3722,Assumptions!$G$5:$H$16,2,0),"Other"))</f>
        <v/>
      </c>
      <c r="J3722" s="41" t="str">
        <f aca="false">IF(G3722="","",IFERROR(IF(ISNUMBER(SEARCH(Assumptions!$C$5,G3722)),Assumptions!$D$5,IF(ISNUMBER(SEARCH(Assumptions!$C$6,G3722)),Assumptions!$D$6,IF(ISNUMBER(SEARCH(Assumptions!$C$7,G3722)),Assumptions!$D$7,"Other Services"))),"Other Services"))</f>
        <v/>
      </c>
    </row>
    <row r="3723" customFormat="false" ht="15" hidden="false" customHeight="false" outlineLevel="0" collapsed="false">
      <c r="E3723" s="41" t="str">
        <f aca="false">IF(D3723="","",IFERROR(VLOOKUP(D3723,Assumptions!$G$5:$H$16,2,0),"Other"))</f>
        <v/>
      </c>
      <c r="J3723" s="41" t="str">
        <f aca="false">IF(G3723="","",IFERROR(IF(ISNUMBER(SEARCH(Assumptions!$C$5,G3723)),Assumptions!$D$5,IF(ISNUMBER(SEARCH(Assumptions!$C$6,G3723)),Assumptions!$D$6,IF(ISNUMBER(SEARCH(Assumptions!$C$7,G3723)),Assumptions!$D$7,"Other Services"))),"Other Services"))</f>
        <v/>
      </c>
    </row>
    <row r="3724" customFormat="false" ht="15" hidden="false" customHeight="false" outlineLevel="0" collapsed="false">
      <c r="E3724" s="41" t="str">
        <f aca="false">IF(D3724="","",IFERROR(VLOOKUP(D3724,Assumptions!$G$5:$H$16,2,0),"Other"))</f>
        <v/>
      </c>
      <c r="J3724" s="41" t="str">
        <f aca="false">IF(G3724="","",IFERROR(IF(ISNUMBER(SEARCH(Assumptions!$C$5,G3724)),Assumptions!$D$5,IF(ISNUMBER(SEARCH(Assumptions!$C$6,G3724)),Assumptions!$D$6,IF(ISNUMBER(SEARCH(Assumptions!$C$7,G3724)),Assumptions!$D$7,"Other Services"))),"Other Services"))</f>
        <v/>
      </c>
    </row>
    <row r="3725" customFormat="false" ht="15" hidden="false" customHeight="false" outlineLevel="0" collapsed="false">
      <c r="E3725" s="41" t="str">
        <f aca="false">IF(D3725="","",IFERROR(VLOOKUP(D3725,Assumptions!$G$5:$H$16,2,0),"Other"))</f>
        <v/>
      </c>
      <c r="J3725" s="41" t="str">
        <f aca="false">IF(G3725="","",IFERROR(IF(ISNUMBER(SEARCH(Assumptions!$C$5,G3725)),Assumptions!$D$5,IF(ISNUMBER(SEARCH(Assumptions!$C$6,G3725)),Assumptions!$D$6,IF(ISNUMBER(SEARCH(Assumptions!$C$7,G3725)),Assumptions!$D$7,"Other Services"))),"Other Services"))</f>
        <v/>
      </c>
    </row>
    <row r="3726" customFormat="false" ht="15" hidden="false" customHeight="false" outlineLevel="0" collapsed="false">
      <c r="E3726" s="41" t="str">
        <f aca="false">IF(D3726="","",IFERROR(VLOOKUP(D3726,Assumptions!$G$5:$H$16,2,0),"Other"))</f>
        <v/>
      </c>
      <c r="J3726" s="41" t="str">
        <f aca="false">IF(G3726="","",IFERROR(IF(ISNUMBER(SEARCH(Assumptions!$C$5,G3726)),Assumptions!$D$5,IF(ISNUMBER(SEARCH(Assumptions!$C$6,G3726)),Assumptions!$D$6,IF(ISNUMBER(SEARCH(Assumptions!$C$7,G3726)),Assumptions!$D$7,"Other Services"))),"Other Services"))</f>
        <v/>
      </c>
    </row>
    <row r="3727" customFormat="false" ht="15" hidden="false" customHeight="false" outlineLevel="0" collapsed="false">
      <c r="E3727" s="41" t="str">
        <f aca="false">IF(D3727="","",IFERROR(VLOOKUP(D3727,Assumptions!$G$5:$H$16,2,0),"Other"))</f>
        <v/>
      </c>
      <c r="J3727" s="41" t="str">
        <f aca="false">IF(G3727="","",IFERROR(IF(ISNUMBER(SEARCH(Assumptions!$C$5,G3727)),Assumptions!$D$5,IF(ISNUMBER(SEARCH(Assumptions!$C$6,G3727)),Assumptions!$D$6,IF(ISNUMBER(SEARCH(Assumptions!$C$7,G3727)),Assumptions!$D$7,"Other Services"))),"Other Services"))</f>
        <v/>
      </c>
    </row>
    <row r="3728" customFormat="false" ht="15" hidden="false" customHeight="false" outlineLevel="0" collapsed="false">
      <c r="E3728" s="41" t="str">
        <f aca="false">IF(D3728="","",IFERROR(VLOOKUP(D3728,Assumptions!$G$5:$H$16,2,0),"Other"))</f>
        <v/>
      </c>
      <c r="J3728" s="41" t="str">
        <f aca="false">IF(G3728="","",IFERROR(IF(ISNUMBER(SEARCH(Assumptions!$C$5,G3728)),Assumptions!$D$5,IF(ISNUMBER(SEARCH(Assumptions!$C$6,G3728)),Assumptions!$D$6,IF(ISNUMBER(SEARCH(Assumptions!$C$7,G3728)),Assumptions!$D$7,"Other Services"))),"Other Services"))</f>
        <v/>
      </c>
    </row>
    <row r="3729" customFormat="false" ht="15" hidden="false" customHeight="false" outlineLevel="0" collapsed="false">
      <c r="E3729" s="41" t="str">
        <f aca="false">IF(D3729="","",IFERROR(VLOOKUP(D3729,Assumptions!$G$5:$H$16,2,0),"Other"))</f>
        <v/>
      </c>
      <c r="J3729" s="41" t="str">
        <f aca="false">IF(G3729="","",IFERROR(IF(ISNUMBER(SEARCH(Assumptions!$C$5,G3729)),Assumptions!$D$5,IF(ISNUMBER(SEARCH(Assumptions!$C$6,G3729)),Assumptions!$D$6,IF(ISNUMBER(SEARCH(Assumptions!$C$7,G3729)),Assumptions!$D$7,"Other Services"))),"Other Services"))</f>
        <v/>
      </c>
    </row>
    <row r="3730" customFormat="false" ht="15" hidden="false" customHeight="false" outlineLevel="0" collapsed="false">
      <c r="E3730" s="41" t="str">
        <f aca="false">IF(D3730="","",IFERROR(VLOOKUP(D3730,Assumptions!$G$5:$H$16,2,0),"Other"))</f>
        <v/>
      </c>
      <c r="J3730" s="41" t="str">
        <f aca="false">IF(G3730="","",IFERROR(IF(ISNUMBER(SEARCH(Assumptions!$C$5,G3730)),Assumptions!$D$5,IF(ISNUMBER(SEARCH(Assumptions!$C$6,G3730)),Assumptions!$D$6,IF(ISNUMBER(SEARCH(Assumptions!$C$7,G3730)),Assumptions!$D$7,"Other Services"))),"Other Services"))</f>
        <v/>
      </c>
    </row>
    <row r="3731" customFormat="false" ht="15" hidden="false" customHeight="false" outlineLevel="0" collapsed="false">
      <c r="E3731" s="41" t="str">
        <f aca="false">IF(D3731="","",IFERROR(VLOOKUP(D3731,Assumptions!$G$5:$H$16,2,0),"Other"))</f>
        <v/>
      </c>
      <c r="J3731" s="41" t="str">
        <f aca="false">IF(G3731="","",IFERROR(IF(ISNUMBER(SEARCH(Assumptions!$C$5,G3731)),Assumptions!$D$5,IF(ISNUMBER(SEARCH(Assumptions!$C$6,G3731)),Assumptions!$D$6,IF(ISNUMBER(SEARCH(Assumptions!$C$7,G3731)),Assumptions!$D$7,"Other Services"))),"Other Services"))</f>
        <v/>
      </c>
    </row>
    <row r="3732" customFormat="false" ht="15" hidden="false" customHeight="false" outlineLevel="0" collapsed="false">
      <c r="E3732" s="41" t="str">
        <f aca="false">IF(D3732="","",IFERROR(VLOOKUP(D3732,Assumptions!$G$5:$H$16,2,0),"Other"))</f>
        <v/>
      </c>
      <c r="J3732" s="41" t="str">
        <f aca="false">IF(G3732="","",IFERROR(IF(ISNUMBER(SEARCH(Assumptions!$C$5,G3732)),Assumptions!$D$5,IF(ISNUMBER(SEARCH(Assumptions!$C$6,G3732)),Assumptions!$D$6,IF(ISNUMBER(SEARCH(Assumptions!$C$7,G3732)),Assumptions!$D$7,"Other Services"))),"Other Services"))</f>
        <v/>
      </c>
    </row>
    <row r="3733" customFormat="false" ht="15" hidden="false" customHeight="false" outlineLevel="0" collapsed="false">
      <c r="E3733" s="41" t="str">
        <f aca="false">IF(D3733="","",IFERROR(VLOOKUP(D3733,Assumptions!$G$5:$H$16,2,0),"Other"))</f>
        <v/>
      </c>
      <c r="J3733" s="41" t="str">
        <f aca="false">IF(G3733="","",IFERROR(IF(ISNUMBER(SEARCH(Assumptions!$C$5,G3733)),Assumptions!$D$5,IF(ISNUMBER(SEARCH(Assumptions!$C$6,G3733)),Assumptions!$D$6,IF(ISNUMBER(SEARCH(Assumptions!$C$7,G3733)),Assumptions!$D$7,"Other Services"))),"Other Services"))</f>
        <v/>
      </c>
    </row>
    <row r="3734" customFormat="false" ht="15" hidden="false" customHeight="false" outlineLevel="0" collapsed="false">
      <c r="E3734" s="41" t="str">
        <f aca="false">IF(D3734="","",IFERROR(VLOOKUP(D3734,Assumptions!$G$5:$H$16,2,0),"Other"))</f>
        <v/>
      </c>
      <c r="J3734" s="41" t="str">
        <f aca="false">IF(G3734="","",IFERROR(IF(ISNUMBER(SEARCH(Assumptions!$C$5,G3734)),Assumptions!$D$5,IF(ISNUMBER(SEARCH(Assumptions!$C$6,G3734)),Assumptions!$D$6,IF(ISNUMBER(SEARCH(Assumptions!$C$7,G3734)),Assumptions!$D$7,"Other Services"))),"Other Services"))</f>
        <v/>
      </c>
    </row>
    <row r="3735" customFormat="false" ht="15" hidden="false" customHeight="false" outlineLevel="0" collapsed="false">
      <c r="E3735" s="41" t="str">
        <f aca="false">IF(D3735="","",IFERROR(VLOOKUP(D3735,Assumptions!$G$5:$H$16,2,0),"Other"))</f>
        <v/>
      </c>
      <c r="J3735" s="41" t="str">
        <f aca="false">IF(G3735="","",IFERROR(IF(ISNUMBER(SEARCH(Assumptions!$C$5,G3735)),Assumptions!$D$5,IF(ISNUMBER(SEARCH(Assumptions!$C$6,G3735)),Assumptions!$D$6,IF(ISNUMBER(SEARCH(Assumptions!$C$7,G3735)),Assumptions!$D$7,"Other Services"))),"Other Services"))</f>
        <v/>
      </c>
    </row>
    <row r="3736" customFormat="false" ht="15" hidden="false" customHeight="false" outlineLevel="0" collapsed="false">
      <c r="E3736" s="41" t="str">
        <f aca="false">IF(D3736="","",IFERROR(VLOOKUP(D3736,Assumptions!$G$5:$H$16,2,0),"Other"))</f>
        <v/>
      </c>
      <c r="J3736" s="41" t="str">
        <f aca="false">IF(G3736="","",IFERROR(IF(ISNUMBER(SEARCH(Assumptions!$C$5,G3736)),Assumptions!$D$5,IF(ISNUMBER(SEARCH(Assumptions!$C$6,G3736)),Assumptions!$D$6,IF(ISNUMBER(SEARCH(Assumptions!$C$7,G3736)),Assumptions!$D$7,"Other Services"))),"Other Services"))</f>
        <v/>
      </c>
    </row>
    <row r="3737" customFormat="false" ht="15" hidden="false" customHeight="false" outlineLevel="0" collapsed="false">
      <c r="E3737" s="41" t="str">
        <f aca="false">IF(D3737="","",IFERROR(VLOOKUP(D3737,Assumptions!$G$5:$H$16,2,0),"Other"))</f>
        <v/>
      </c>
      <c r="J3737" s="41" t="str">
        <f aca="false">IF(G3737="","",IFERROR(IF(ISNUMBER(SEARCH(Assumptions!$C$5,G3737)),Assumptions!$D$5,IF(ISNUMBER(SEARCH(Assumptions!$C$6,G3737)),Assumptions!$D$6,IF(ISNUMBER(SEARCH(Assumptions!$C$7,G3737)),Assumptions!$D$7,"Other Services"))),"Other Services"))</f>
        <v/>
      </c>
    </row>
    <row r="3738" customFormat="false" ht="15" hidden="false" customHeight="false" outlineLevel="0" collapsed="false">
      <c r="E3738" s="41" t="str">
        <f aca="false">IF(D3738="","",IFERROR(VLOOKUP(D3738,Assumptions!$G$5:$H$16,2,0),"Other"))</f>
        <v/>
      </c>
      <c r="J3738" s="41" t="str">
        <f aca="false">IF(G3738="","",IFERROR(IF(ISNUMBER(SEARCH(Assumptions!$C$5,G3738)),Assumptions!$D$5,IF(ISNUMBER(SEARCH(Assumptions!$C$6,G3738)),Assumptions!$D$6,IF(ISNUMBER(SEARCH(Assumptions!$C$7,G3738)),Assumptions!$D$7,"Other Services"))),"Other Services"))</f>
        <v/>
      </c>
    </row>
    <row r="3739" customFormat="false" ht="15" hidden="false" customHeight="false" outlineLevel="0" collapsed="false">
      <c r="E3739" s="41" t="str">
        <f aca="false">IF(D3739="","",IFERROR(VLOOKUP(D3739,Assumptions!$G$5:$H$16,2,0),"Other"))</f>
        <v/>
      </c>
      <c r="J3739" s="41" t="str">
        <f aca="false">IF(G3739="","",IFERROR(IF(ISNUMBER(SEARCH(Assumptions!$C$5,G3739)),Assumptions!$D$5,IF(ISNUMBER(SEARCH(Assumptions!$C$6,G3739)),Assumptions!$D$6,IF(ISNUMBER(SEARCH(Assumptions!$C$7,G3739)),Assumptions!$D$7,"Other Services"))),"Other Services"))</f>
        <v/>
      </c>
    </row>
    <row r="3740" customFormat="false" ht="15" hidden="false" customHeight="false" outlineLevel="0" collapsed="false">
      <c r="E3740" s="41" t="str">
        <f aca="false">IF(D3740="","",IFERROR(VLOOKUP(D3740,Assumptions!$G$5:$H$16,2,0),"Other"))</f>
        <v/>
      </c>
      <c r="J3740" s="41" t="str">
        <f aca="false">IF(G3740="","",IFERROR(IF(ISNUMBER(SEARCH(Assumptions!$C$5,G3740)),Assumptions!$D$5,IF(ISNUMBER(SEARCH(Assumptions!$C$6,G3740)),Assumptions!$D$6,IF(ISNUMBER(SEARCH(Assumptions!$C$7,G3740)),Assumptions!$D$7,"Other Services"))),"Other Services"))</f>
        <v/>
      </c>
    </row>
    <row r="3741" customFormat="false" ht="15" hidden="false" customHeight="false" outlineLevel="0" collapsed="false">
      <c r="E3741" s="41" t="str">
        <f aca="false">IF(D3741="","",IFERROR(VLOOKUP(D3741,Assumptions!$G$5:$H$16,2,0),"Other"))</f>
        <v/>
      </c>
      <c r="J3741" s="41" t="str">
        <f aca="false">IF(G3741="","",IFERROR(IF(ISNUMBER(SEARCH(Assumptions!$C$5,G3741)),Assumptions!$D$5,IF(ISNUMBER(SEARCH(Assumptions!$C$6,G3741)),Assumptions!$D$6,IF(ISNUMBER(SEARCH(Assumptions!$C$7,G3741)),Assumptions!$D$7,"Other Services"))),"Other Services"))</f>
        <v/>
      </c>
    </row>
    <row r="3742" customFormat="false" ht="15" hidden="false" customHeight="false" outlineLevel="0" collapsed="false">
      <c r="E3742" s="41" t="str">
        <f aca="false">IF(D3742="","",IFERROR(VLOOKUP(D3742,Assumptions!$G$5:$H$16,2,0),"Other"))</f>
        <v/>
      </c>
      <c r="J3742" s="41" t="str">
        <f aca="false">IF(G3742="","",IFERROR(IF(ISNUMBER(SEARCH(Assumptions!$C$5,G3742)),Assumptions!$D$5,IF(ISNUMBER(SEARCH(Assumptions!$C$6,G3742)),Assumptions!$D$6,IF(ISNUMBER(SEARCH(Assumptions!$C$7,G3742)),Assumptions!$D$7,"Other Services"))),"Other Services"))</f>
        <v/>
      </c>
    </row>
    <row r="3743" customFormat="false" ht="15" hidden="false" customHeight="false" outlineLevel="0" collapsed="false">
      <c r="E3743" s="41" t="str">
        <f aca="false">IF(D3743="","",IFERROR(VLOOKUP(D3743,Assumptions!$G$5:$H$16,2,0),"Other"))</f>
        <v/>
      </c>
      <c r="J3743" s="41" t="str">
        <f aca="false">IF(G3743="","",IFERROR(IF(ISNUMBER(SEARCH(Assumptions!$C$5,G3743)),Assumptions!$D$5,IF(ISNUMBER(SEARCH(Assumptions!$C$6,G3743)),Assumptions!$D$6,IF(ISNUMBER(SEARCH(Assumptions!$C$7,G3743)),Assumptions!$D$7,"Other Services"))),"Other Services"))</f>
        <v/>
      </c>
    </row>
    <row r="3744" customFormat="false" ht="15" hidden="false" customHeight="false" outlineLevel="0" collapsed="false">
      <c r="E3744" s="41" t="str">
        <f aca="false">IF(D3744="","",IFERROR(VLOOKUP(D3744,Assumptions!$G$5:$H$16,2,0),"Other"))</f>
        <v/>
      </c>
      <c r="J3744" s="41" t="str">
        <f aca="false">IF(G3744="","",IFERROR(IF(ISNUMBER(SEARCH(Assumptions!$C$5,G3744)),Assumptions!$D$5,IF(ISNUMBER(SEARCH(Assumptions!$C$6,G3744)),Assumptions!$D$6,IF(ISNUMBER(SEARCH(Assumptions!$C$7,G3744)),Assumptions!$D$7,"Other Services"))),"Other Services"))</f>
        <v/>
      </c>
    </row>
    <row r="3745" customFormat="false" ht="15" hidden="false" customHeight="false" outlineLevel="0" collapsed="false">
      <c r="E3745" s="41" t="str">
        <f aca="false">IF(D3745="","",IFERROR(VLOOKUP(D3745,Assumptions!$G$5:$H$16,2,0),"Other"))</f>
        <v/>
      </c>
      <c r="J3745" s="41" t="str">
        <f aca="false">IF(G3745="","",IFERROR(IF(ISNUMBER(SEARCH(Assumptions!$C$5,G3745)),Assumptions!$D$5,IF(ISNUMBER(SEARCH(Assumptions!$C$6,G3745)),Assumptions!$D$6,IF(ISNUMBER(SEARCH(Assumptions!$C$7,G3745)),Assumptions!$D$7,"Other Services"))),"Other Services"))</f>
        <v/>
      </c>
    </row>
    <row r="3746" customFormat="false" ht="15" hidden="false" customHeight="false" outlineLevel="0" collapsed="false">
      <c r="E3746" s="41" t="str">
        <f aca="false">IF(D3746="","",IFERROR(VLOOKUP(D3746,Assumptions!$G$5:$H$16,2,0),"Other"))</f>
        <v/>
      </c>
      <c r="J3746" s="41" t="str">
        <f aca="false">IF(G3746="","",IFERROR(IF(ISNUMBER(SEARCH(Assumptions!$C$5,G3746)),Assumptions!$D$5,IF(ISNUMBER(SEARCH(Assumptions!$C$6,G3746)),Assumptions!$D$6,IF(ISNUMBER(SEARCH(Assumptions!$C$7,G3746)),Assumptions!$D$7,"Other Services"))),"Other Services"))</f>
        <v/>
      </c>
    </row>
    <row r="3747" customFormat="false" ht="15" hidden="false" customHeight="false" outlineLevel="0" collapsed="false">
      <c r="E3747" s="41" t="str">
        <f aca="false">IF(D3747="","",IFERROR(VLOOKUP(D3747,Assumptions!$G$5:$H$16,2,0),"Other"))</f>
        <v/>
      </c>
      <c r="J3747" s="41" t="str">
        <f aca="false">IF(G3747="","",IFERROR(IF(ISNUMBER(SEARCH(Assumptions!$C$5,G3747)),Assumptions!$D$5,IF(ISNUMBER(SEARCH(Assumptions!$C$6,G3747)),Assumptions!$D$6,IF(ISNUMBER(SEARCH(Assumptions!$C$7,G3747)),Assumptions!$D$7,"Other Services"))),"Other Services"))</f>
        <v/>
      </c>
    </row>
    <row r="3748" customFormat="false" ht="15" hidden="false" customHeight="false" outlineLevel="0" collapsed="false">
      <c r="E3748" s="41" t="str">
        <f aca="false">IF(D3748="","",IFERROR(VLOOKUP(D3748,Assumptions!$G$5:$H$16,2,0),"Other"))</f>
        <v/>
      </c>
      <c r="J3748" s="41" t="str">
        <f aca="false">IF(G3748="","",IFERROR(IF(ISNUMBER(SEARCH(Assumptions!$C$5,G3748)),Assumptions!$D$5,IF(ISNUMBER(SEARCH(Assumptions!$C$6,G3748)),Assumptions!$D$6,IF(ISNUMBER(SEARCH(Assumptions!$C$7,G3748)),Assumptions!$D$7,"Other Services"))),"Other Services"))</f>
        <v/>
      </c>
    </row>
    <row r="3749" customFormat="false" ht="15" hidden="false" customHeight="false" outlineLevel="0" collapsed="false">
      <c r="E3749" s="41" t="str">
        <f aca="false">IF(D3749="","",IFERROR(VLOOKUP(D3749,Assumptions!$G$5:$H$16,2,0),"Other"))</f>
        <v/>
      </c>
      <c r="J3749" s="41" t="str">
        <f aca="false">IF(G3749="","",IFERROR(IF(ISNUMBER(SEARCH(Assumptions!$C$5,G3749)),Assumptions!$D$5,IF(ISNUMBER(SEARCH(Assumptions!$C$6,G3749)),Assumptions!$D$6,IF(ISNUMBER(SEARCH(Assumptions!$C$7,G3749)),Assumptions!$D$7,"Other Services"))),"Other Services"))</f>
        <v/>
      </c>
    </row>
    <row r="3750" customFormat="false" ht="15" hidden="false" customHeight="false" outlineLevel="0" collapsed="false">
      <c r="E3750" s="41" t="str">
        <f aca="false">IF(D3750="","",IFERROR(VLOOKUP(D3750,Assumptions!$G$5:$H$16,2,0),"Other"))</f>
        <v/>
      </c>
      <c r="J3750" s="41" t="str">
        <f aca="false">IF(G3750="","",IFERROR(IF(ISNUMBER(SEARCH(Assumptions!$C$5,G3750)),Assumptions!$D$5,IF(ISNUMBER(SEARCH(Assumptions!$C$6,G3750)),Assumptions!$D$6,IF(ISNUMBER(SEARCH(Assumptions!$C$7,G3750)),Assumptions!$D$7,"Other Services"))),"Other Services"))</f>
        <v/>
      </c>
    </row>
    <row r="3751" customFormat="false" ht="15" hidden="false" customHeight="false" outlineLevel="0" collapsed="false">
      <c r="E3751" s="41" t="str">
        <f aca="false">IF(D3751="","",IFERROR(VLOOKUP(D3751,Assumptions!$G$5:$H$16,2,0),"Other"))</f>
        <v/>
      </c>
      <c r="J3751" s="41" t="str">
        <f aca="false">IF(G3751="","",IFERROR(IF(ISNUMBER(SEARCH(Assumptions!$C$5,G3751)),Assumptions!$D$5,IF(ISNUMBER(SEARCH(Assumptions!$C$6,G3751)),Assumptions!$D$6,IF(ISNUMBER(SEARCH(Assumptions!$C$7,G3751)),Assumptions!$D$7,"Other Services"))),"Other Services"))</f>
        <v/>
      </c>
    </row>
    <row r="3752" customFormat="false" ht="15" hidden="false" customHeight="false" outlineLevel="0" collapsed="false">
      <c r="E3752" s="41" t="str">
        <f aca="false">IF(D3752="","",IFERROR(VLOOKUP(D3752,Assumptions!$G$5:$H$16,2,0),"Other"))</f>
        <v/>
      </c>
      <c r="J3752" s="41" t="str">
        <f aca="false">IF(G3752="","",IFERROR(IF(ISNUMBER(SEARCH(Assumptions!$C$5,G3752)),Assumptions!$D$5,IF(ISNUMBER(SEARCH(Assumptions!$C$6,G3752)),Assumptions!$D$6,IF(ISNUMBER(SEARCH(Assumptions!$C$7,G3752)),Assumptions!$D$7,"Other Services"))),"Other Services"))</f>
        <v/>
      </c>
    </row>
    <row r="3753" customFormat="false" ht="15" hidden="false" customHeight="false" outlineLevel="0" collapsed="false">
      <c r="E3753" s="41" t="str">
        <f aca="false">IF(D3753="","",IFERROR(VLOOKUP(D3753,Assumptions!$G$5:$H$16,2,0),"Other"))</f>
        <v/>
      </c>
      <c r="J3753" s="41" t="str">
        <f aca="false">IF(G3753="","",IFERROR(IF(ISNUMBER(SEARCH(Assumptions!$C$5,G3753)),Assumptions!$D$5,IF(ISNUMBER(SEARCH(Assumptions!$C$6,G3753)),Assumptions!$D$6,IF(ISNUMBER(SEARCH(Assumptions!$C$7,G3753)),Assumptions!$D$7,"Other Services"))),"Other Services"))</f>
        <v/>
      </c>
    </row>
    <row r="3754" customFormat="false" ht="15" hidden="false" customHeight="false" outlineLevel="0" collapsed="false">
      <c r="E3754" s="41" t="str">
        <f aca="false">IF(D3754="","",IFERROR(VLOOKUP(D3754,Assumptions!$G$5:$H$16,2,0),"Other"))</f>
        <v/>
      </c>
      <c r="J3754" s="41" t="str">
        <f aca="false">IF(G3754="","",IFERROR(IF(ISNUMBER(SEARCH(Assumptions!$C$5,G3754)),Assumptions!$D$5,IF(ISNUMBER(SEARCH(Assumptions!$C$6,G3754)),Assumptions!$D$6,IF(ISNUMBER(SEARCH(Assumptions!$C$7,G3754)),Assumptions!$D$7,"Other Services"))),"Other Services"))</f>
        <v/>
      </c>
    </row>
    <row r="3755" customFormat="false" ht="15" hidden="false" customHeight="false" outlineLevel="0" collapsed="false">
      <c r="E3755" s="41" t="str">
        <f aca="false">IF(D3755="","",IFERROR(VLOOKUP(D3755,Assumptions!$G$5:$H$16,2,0),"Other"))</f>
        <v/>
      </c>
      <c r="J3755" s="41" t="str">
        <f aca="false">IF(G3755="","",IFERROR(IF(ISNUMBER(SEARCH(Assumptions!$C$5,G3755)),Assumptions!$D$5,IF(ISNUMBER(SEARCH(Assumptions!$C$6,G3755)),Assumptions!$D$6,IF(ISNUMBER(SEARCH(Assumptions!$C$7,G3755)),Assumptions!$D$7,"Other Services"))),"Other Services"))</f>
        <v/>
      </c>
    </row>
    <row r="3756" customFormat="false" ht="15" hidden="false" customHeight="false" outlineLevel="0" collapsed="false">
      <c r="E3756" s="41" t="str">
        <f aca="false">IF(D3756="","",IFERROR(VLOOKUP(D3756,Assumptions!$G$5:$H$16,2,0),"Other"))</f>
        <v/>
      </c>
      <c r="J3756" s="41" t="str">
        <f aca="false">IF(G3756="","",IFERROR(IF(ISNUMBER(SEARCH(Assumptions!$C$5,G3756)),Assumptions!$D$5,IF(ISNUMBER(SEARCH(Assumptions!$C$6,G3756)),Assumptions!$D$6,IF(ISNUMBER(SEARCH(Assumptions!$C$7,G3756)),Assumptions!$D$7,"Other Services"))),"Other Services"))</f>
        <v/>
      </c>
    </row>
    <row r="3757" customFormat="false" ht="15" hidden="false" customHeight="false" outlineLevel="0" collapsed="false">
      <c r="E3757" s="41" t="str">
        <f aca="false">IF(D3757="","",IFERROR(VLOOKUP(D3757,Assumptions!$G$5:$H$16,2,0),"Other"))</f>
        <v/>
      </c>
      <c r="J3757" s="41" t="str">
        <f aca="false">IF(G3757="","",IFERROR(IF(ISNUMBER(SEARCH(Assumptions!$C$5,G3757)),Assumptions!$D$5,IF(ISNUMBER(SEARCH(Assumptions!$C$6,G3757)),Assumptions!$D$6,IF(ISNUMBER(SEARCH(Assumptions!$C$7,G3757)),Assumptions!$D$7,"Other Services"))),"Other Services"))</f>
        <v/>
      </c>
    </row>
    <row r="3758" customFormat="false" ht="15" hidden="false" customHeight="false" outlineLevel="0" collapsed="false">
      <c r="E3758" s="41" t="str">
        <f aca="false">IF(D3758="","",IFERROR(VLOOKUP(D3758,Assumptions!$G$5:$H$16,2,0),"Other"))</f>
        <v/>
      </c>
      <c r="J3758" s="41" t="str">
        <f aca="false">IF(G3758="","",IFERROR(IF(ISNUMBER(SEARCH(Assumptions!$C$5,G3758)),Assumptions!$D$5,IF(ISNUMBER(SEARCH(Assumptions!$C$6,G3758)),Assumptions!$D$6,IF(ISNUMBER(SEARCH(Assumptions!$C$7,G3758)),Assumptions!$D$7,"Other Services"))),"Other Services"))</f>
        <v/>
      </c>
    </row>
    <row r="3759" customFormat="false" ht="15" hidden="false" customHeight="false" outlineLevel="0" collapsed="false">
      <c r="E3759" s="41" t="str">
        <f aca="false">IF(D3759="","",IFERROR(VLOOKUP(D3759,Assumptions!$G$5:$H$16,2,0),"Other"))</f>
        <v/>
      </c>
      <c r="J3759" s="41" t="str">
        <f aca="false">IF(G3759="","",IFERROR(IF(ISNUMBER(SEARCH(Assumptions!$C$5,G3759)),Assumptions!$D$5,IF(ISNUMBER(SEARCH(Assumptions!$C$6,G3759)),Assumptions!$D$6,IF(ISNUMBER(SEARCH(Assumptions!$C$7,G3759)),Assumptions!$D$7,"Other Services"))),"Other Services"))</f>
        <v/>
      </c>
    </row>
    <row r="3760" customFormat="false" ht="15" hidden="false" customHeight="false" outlineLevel="0" collapsed="false">
      <c r="E3760" s="41" t="str">
        <f aca="false">IF(D3760="","",IFERROR(VLOOKUP(D3760,Assumptions!$G$5:$H$16,2,0),"Other"))</f>
        <v/>
      </c>
      <c r="J3760" s="41" t="str">
        <f aca="false">IF(G3760="","",IFERROR(IF(ISNUMBER(SEARCH(Assumptions!$C$5,G3760)),Assumptions!$D$5,IF(ISNUMBER(SEARCH(Assumptions!$C$6,G3760)),Assumptions!$D$6,IF(ISNUMBER(SEARCH(Assumptions!$C$7,G3760)),Assumptions!$D$7,"Other Services"))),"Other Services"))</f>
        <v/>
      </c>
    </row>
    <row r="3761" customFormat="false" ht="15" hidden="false" customHeight="false" outlineLevel="0" collapsed="false">
      <c r="E3761" s="41" t="str">
        <f aca="false">IF(D3761="","",IFERROR(VLOOKUP(D3761,Assumptions!$G$5:$H$16,2,0),"Other"))</f>
        <v/>
      </c>
      <c r="J3761" s="41" t="str">
        <f aca="false">IF(G3761="","",IFERROR(IF(ISNUMBER(SEARCH(Assumptions!$C$5,G3761)),Assumptions!$D$5,IF(ISNUMBER(SEARCH(Assumptions!$C$6,G3761)),Assumptions!$D$6,IF(ISNUMBER(SEARCH(Assumptions!$C$7,G3761)),Assumptions!$D$7,"Other Services"))),"Other Services"))</f>
        <v/>
      </c>
    </row>
    <row r="3762" customFormat="false" ht="15" hidden="false" customHeight="false" outlineLevel="0" collapsed="false">
      <c r="E3762" s="41" t="str">
        <f aca="false">IF(D3762="","",IFERROR(VLOOKUP(D3762,Assumptions!$G$5:$H$16,2,0),"Other"))</f>
        <v/>
      </c>
      <c r="J3762" s="41" t="str">
        <f aca="false">IF(G3762="","",IFERROR(IF(ISNUMBER(SEARCH(Assumptions!$C$5,G3762)),Assumptions!$D$5,IF(ISNUMBER(SEARCH(Assumptions!$C$6,G3762)),Assumptions!$D$6,IF(ISNUMBER(SEARCH(Assumptions!$C$7,G3762)),Assumptions!$D$7,"Other Services"))),"Other Services"))</f>
        <v/>
      </c>
    </row>
    <row r="3763" customFormat="false" ht="15" hidden="false" customHeight="false" outlineLevel="0" collapsed="false">
      <c r="E3763" s="41" t="str">
        <f aca="false">IF(D3763="","",IFERROR(VLOOKUP(D3763,Assumptions!$G$5:$H$16,2,0),"Other"))</f>
        <v/>
      </c>
      <c r="J3763" s="41" t="str">
        <f aca="false">IF(G3763="","",IFERROR(IF(ISNUMBER(SEARCH(Assumptions!$C$5,G3763)),Assumptions!$D$5,IF(ISNUMBER(SEARCH(Assumptions!$C$6,G3763)),Assumptions!$D$6,IF(ISNUMBER(SEARCH(Assumptions!$C$7,G3763)),Assumptions!$D$7,"Other Services"))),"Other Services"))</f>
        <v/>
      </c>
    </row>
    <row r="3764" customFormat="false" ht="15" hidden="false" customHeight="false" outlineLevel="0" collapsed="false">
      <c r="E3764" s="41" t="str">
        <f aca="false">IF(D3764="","",IFERROR(VLOOKUP(D3764,Assumptions!$G$5:$H$16,2,0),"Other"))</f>
        <v/>
      </c>
      <c r="J3764" s="41" t="str">
        <f aca="false">IF(G3764="","",IFERROR(IF(ISNUMBER(SEARCH(Assumptions!$C$5,G3764)),Assumptions!$D$5,IF(ISNUMBER(SEARCH(Assumptions!$C$6,G3764)),Assumptions!$D$6,IF(ISNUMBER(SEARCH(Assumptions!$C$7,G3764)),Assumptions!$D$7,"Other Services"))),"Other Services"))</f>
        <v/>
      </c>
    </row>
    <row r="3765" customFormat="false" ht="15" hidden="false" customHeight="false" outlineLevel="0" collapsed="false">
      <c r="E3765" s="41" t="str">
        <f aca="false">IF(D3765="","",IFERROR(VLOOKUP(D3765,Assumptions!$G$5:$H$16,2,0),"Other"))</f>
        <v/>
      </c>
      <c r="J3765" s="41" t="str">
        <f aca="false">IF(G3765="","",IFERROR(IF(ISNUMBER(SEARCH(Assumptions!$C$5,G3765)),Assumptions!$D$5,IF(ISNUMBER(SEARCH(Assumptions!$C$6,G3765)),Assumptions!$D$6,IF(ISNUMBER(SEARCH(Assumptions!$C$7,G3765)),Assumptions!$D$7,"Other Services"))),"Other Services"))</f>
        <v/>
      </c>
    </row>
    <row r="3766" customFormat="false" ht="15" hidden="false" customHeight="false" outlineLevel="0" collapsed="false">
      <c r="E3766" s="41" t="str">
        <f aca="false">IF(D3766="","",IFERROR(VLOOKUP(D3766,Assumptions!$G$5:$H$16,2,0),"Other"))</f>
        <v/>
      </c>
      <c r="J3766" s="41" t="str">
        <f aca="false">IF(G3766="","",IFERROR(IF(ISNUMBER(SEARCH(Assumptions!$C$5,G3766)),Assumptions!$D$5,IF(ISNUMBER(SEARCH(Assumptions!$C$6,G3766)),Assumptions!$D$6,IF(ISNUMBER(SEARCH(Assumptions!$C$7,G3766)),Assumptions!$D$7,"Other Services"))),"Other Services"))</f>
        <v/>
      </c>
    </row>
    <row r="3767" customFormat="false" ht="15" hidden="false" customHeight="false" outlineLevel="0" collapsed="false">
      <c r="E3767" s="41" t="str">
        <f aca="false">IF(D3767="","",IFERROR(VLOOKUP(D3767,Assumptions!$G$5:$H$16,2,0),"Other"))</f>
        <v/>
      </c>
      <c r="J3767" s="41" t="str">
        <f aca="false">IF(G3767="","",IFERROR(IF(ISNUMBER(SEARCH(Assumptions!$C$5,G3767)),Assumptions!$D$5,IF(ISNUMBER(SEARCH(Assumptions!$C$6,G3767)),Assumptions!$D$6,IF(ISNUMBER(SEARCH(Assumptions!$C$7,G3767)),Assumptions!$D$7,"Other Services"))),"Other Services"))</f>
        <v/>
      </c>
    </row>
    <row r="3768" customFormat="false" ht="15" hidden="false" customHeight="false" outlineLevel="0" collapsed="false">
      <c r="E3768" s="41" t="str">
        <f aca="false">IF(D3768="","",IFERROR(VLOOKUP(D3768,Assumptions!$G$5:$H$16,2,0),"Other"))</f>
        <v/>
      </c>
      <c r="J3768" s="41" t="str">
        <f aca="false">IF(G3768="","",IFERROR(IF(ISNUMBER(SEARCH(Assumptions!$C$5,G3768)),Assumptions!$D$5,IF(ISNUMBER(SEARCH(Assumptions!$C$6,G3768)),Assumptions!$D$6,IF(ISNUMBER(SEARCH(Assumptions!$C$7,G3768)),Assumptions!$D$7,"Other Services"))),"Other Services"))</f>
        <v/>
      </c>
    </row>
    <row r="3769" customFormat="false" ht="15" hidden="false" customHeight="false" outlineLevel="0" collapsed="false">
      <c r="E3769" s="41" t="str">
        <f aca="false">IF(D3769="","",IFERROR(VLOOKUP(D3769,Assumptions!$G$5:$H$16,2,0),"Other"))</f>
        <v/>
      </c>
      <c r="J3769" s="41" t="str">
        <f aca="false">IF(G3769="","",IFERROR(IF(ISNUMBER(SEARCH(Assumptions!$C$5,G3769)),Assumptions!$D$5,IF(ISNUMBER(SEARCH(Assumptions!$C$6,G3769)),Assumptions!$D$6,IF(ISNUMBER(SEARCH(Assumptions!$C$7,G3769)),Assumptions!$D$7,"Other Services"))),"Other Services"))</f>
        <v/>
      </c>
    </row>
    <row r="3770" customFormat="false" ht="15" hidden="false" customHeight="false" outlineLevel="0" collapsed="false">
      <c r="E3770" s="41" t="str">
        <f aca="false">IF(D3770="","",IFERROR(VLOOKUP(D3770,Assumptions!$G$5:$H$16,2,0),"Other"))</f>
        <v/>
      </c>
      <c r="J3770" s="41" t="str">
        <f aca="false">IF(G3770="","",IFERROR(IF(ISNUMBER(SEARCH(Assumptions!$C$5,G3770)),Assumptions!$D$5,IF(ISNUMBER(SEARCH(Assumptions!$C$6,G3770)),Assumptions!$D$6,IF(ISNUMBER(SEARCH(Assumptions!$C$7,G3770)),Assumptions!$D$7,"Other Services"))),"Other Services"))</f>
        <v/>
      </c>
    </row>
    <row r="3771" customFormat="false" ht="15" hidden="false" customHeight="false" outlineLevel="0" collapsed="false">
      <c r="E3771" s="41" t="str">
        <f aca="false">IF(D3771="","",IFERROR(VLOOKUP(D3771,Assumptions!$G$5:$H$16,2,0),"Other"))</f>
        <v/>
      </c>
      <c r="J3771" s="41" t="str">
        <f aca="false">IF(G3771="","",IFERROR(IF(ISNUMBER(SEARCH(Assumptions!$C$5,G3771)),Assumptions!$D$5,IF(ISNUMBER(SEARCH(Assumptions!$C$6,G3771)),Assumptions!$D$6,IF(ISNUMBER(SEARCH(Assumptions!$C$7,G3771)),Assumptions!$D$7,"Other Services"))),"Other Services"))</f>
        <v/>
      </c>
    </row>
    <row r="3772" customFormat="false" ht="15" hidden="false" customHeight="false" outlineLevel="0" collapsed="false">
      <c r="E3772" s="41" t="str">
        <f aca="false">IF(D3772="","",IFERROR(VLOOKUP(D3772,Assumptions!$G$5:$H$16,2,0),"Other"))</f>
        <v/>
      </c>
      <c r="J3772" s="41" t="str">
        <f aca="false">IF(G3772="","",IFERROR(IF(ISNUMBER(SEARCH(Assumptions!$C$5,G3772)),Assumptions!$D$5,IF(ISNUMBER(SEARCH(Assumptions!$C$6,G3772)),Assumptions!$D$6,IF(ISNUMBER(SEARCH(Assumptions!$C$7,G3772)),Assumptions!$D$7,"Other Services"))),"Other Services"))</f>
        <v/>
      </c>
    </row>
    <row r="3773" customFormat="false" ht="15" hidden="false" customHeight="false" outlineLevel="0" collapsed="false">
      <c r="E3773" s="41" t="str">
        <f aca="false">IF(D3773="","",IFERROR(VLOOKUP(D3773,Assumptions!$G$5:$H$16,2,0),"Other"))</f>
        <v/>
      </c>
      <c r="J3773" s="41" t="str">
        <f aca="false">IF(G3773="","",IFERROR(IF(ISNUMBER(SEARCH(Assumptions!$C$5,G3773)),Assumptions!$D$5,IF(ISNUMBER(SEARCH(Assumptions!$C$6,G3773)),Assumptions!$D$6,IF(ISNUMBER(SEARCH(Assumptions!$C$7,G3773)),Assumptions!$D$7,"Other Services"))),"Other Services"))</f>
        <v/>
      </c>
    </row>
    <row r="3774" customFormat="false" ht="15" hidden="false" customHeight="false" outlineLevel="0" collapsed="false">
      <c r="E3774" s="41" t="str">
        <f aca="false">IF(D3774="","",IFERROR(VLOOKUP(D3774,Assumptions!$G$5:$H$16,2,0),"Other"))</f>
        <v/>
      </c>
      <c r="J3774" s="41" t="str">
        <f aca="false">IF(G3774="","",IFERROR(IF(ISNUMBER(SEARCH(Assumptions!$C$5,G3774)),Assumptions!$D$5,IF(ISNUMBER(SEARCH(Assumptions!$C$6,G3774)),Assumptions!$D$6,IF(ISNUMBER(SEARCH(Assumptions!$C$7,G3774)),Assumptions!$D$7,"Other Services"))),"Other Services"))</f>
        <v/>
      </c>
    </row>
    <row r="3775" customFormat="false" ht="15" hidden="false" customHeight="false" outlineLevel="0" collapsed="false">
      <c r="E3775" s="41" t="str">
        <f aca="false">IF(D3775="","",IFERROR(VLOOKUP(D3775,Assumptions!$G$5:$H$16,2,0),"Other"))</f>
        <v/>
      </c>
      <c r="J3775" s="41" t="str">
        <f aca="false">IF(G3775="","",IFERROR(IF(ISNUMBER(SEARCH(Assumptions!$C$5,G3775)),Assumptions!$D$5,IF(ISNUMBER(SEARCH(Assumptions!$C$6,G3775)),Assumptions!$D$6,IF(ISNUMBER(SEARCH(Assumptions!$C$7,G3775)),Assumptions!$D$7,"Other Services"))),"Other Services"))</f>
        <v/>
      </c>
    </row>
    <row r="3776" customFormat="false" ht="15" hidden="false" customHeight="false" outlineLevel="0" collapsed="false">
      <c r="E3776" s="41" t="str">
        <f aca="false">IF(D3776="","",IFERROR(VLOOKUP(D3776,Assumptions!$G$5:$H$16,2,0),"Other"))</f>
        <v/>
      </c>
      <c r="J3776" s="41" t="str">
        <f aca="false">IF(G3776="","",IFERROR(IF(ISNUMBER(SEARCH(Assumptions!$C$5,G3776)),Assumptions!$D$5,IF(ISNUMBER(SEARCH(Assumptions!$C$6,G3776)),Assumptions!$D$6,IF(ISNUMBER(SEARCH(Assumptions!$C$7,G3776)),Assumptions!$D$7,"Other Services"))),"Other Services"))</f>
        <v/>
      </c>
    </row>
    <row r="3777" customFormat="false" ht="15" hidden="false" customHeight="false" outlineLevel="0" collapsed="false">
      <c r="E3777" s="41" t="str">
        <f aca="false">IF(D3777="","",IFERROR(VLOOKUP(D3777,Assumptions!$G$5:$H$16,2,0),"Other"))</f>
        <v/>
      </c>
      <c r="J3777" s="41" t="str">
        <f aca="false">IF(G3777="","",IFERROR(IF(ISNUMBER(SEARCH(Assumptions!$C$5,G3777)),Assumptions!$D$5,IF(ISNUMBER(SEARCH(Assumptions!$C$6,G3777)),Assumptions!$D$6,IF(ISNUMBER(SEARCH(Assumptions!$C$7,G3777)),Assumptions!$D$7,"Other Services"))),"Other Services"))</f>
        <v/>
      </c>
    </row>
    <row r="3778" customFormat="false" ht="15" hidden="false" customHeight="false" outlineLevel="0" collapsed="false">
      <c r="E3778" s="41" t="str">
        <f aca="false">IF(D3778="","",IFERROR(VLOOKUP(D3778,Assumptions!$G$5:$H$16,2,0),"Other"))</f>
        <v/>
      </c>
      <c r="J3778" s="41" t="str">
        <f aca="false">IF(G3778="","",IFERROR(IF(ISNUMBER(SEARCH(Assumptions!$C$5,G3778)),Assumptions!$D$5,IF(ISNUMBER(SEARCH(Assumptions!$C$6,G3778)),Assumptions!$D$6,IF(ISNUMBER(SEARCH(Assumptions!$C$7,G3778)),Assumptions!$D$7,"Other Services"))),"Other Services"))</f>
        <v/>
      </c>
    </row>
    <row r="3779" customFormat="false" ht="15" hidden="false" customHeight="false" outlineLevel="0" collapsed="false">
      <c r="E3779" s="41" t="str">
        <f aca="false">IF(D3779="","",IFERROR(VLOOKUP(D3779,Assumptions!$G$5:$H$16,2,0),"Other"))</f>
        <v/>
      </c>
      <c r="J3779" s="41" t="str">
        <f aca="false">IF(G3779="","",IFERROR(IF(ISNUMBER(SEARCH(Assumptions!$C$5,G3779)),Assumptions!$D$5,IF(ISNUMBER(SEARCH(Assumptions!$C$6,G3779)),Assumptions!$D$6,IF(ISNUMBER(SEARCH(Assumptions!$C$7,G3779)),Assumptions!$D$7,"Other Services"))),"Other Services"))</f>
        <v/>
      </c>
    </row>
    <row r="3780" customFormat="false" ht="15" hidden="false" customHeight="false" outlineLevel="0" collapsed="false">
      <c r="E3780" s="41" t="str">
        <f aca="false">IF(D3780="","",IFERROR(VLOOKUP(D3780,Assumptions!$G$5:$H$16,2,0),"Other"))</f>
        <v/>
      </c>
      <c r="J3780" s="41" t="str">
        <f aca="false">IF(G3780="","",IFERROR(IF(ISNUMBER(SEARCH(Assumptions!$C$5,G3780)),Assumptions!$D$5,IF(ISNUMBER(SEARCH(Assumptions!$C$6,G3780)),Assumptions!$D$6,IF(ISNUMBER(SEARCH(Assumptions!$C$7,G3780)),Assumptions!$D$7,"Other Services"))),"Other Services"))</f>
        <v/>
      </c>
    </row>
    <row r="3781" customFormat="false" ht="15" hidden="false" customHeight="false" outlineLevel="0" collapsed="false">
      <c r="E3781" s="41" t="str">
        <f aca="false">IF(D3781="","",IFERROR(VLOOKUP(D3781,Assumptions!$G$5:$H$16,2,0),"Other"))</f>
        <v/>
      </c>
      <c r="J3781" s="41" t="str">
        <f aca="false">IF(G3781="","",IFERROR(IF(ISNUMBER(SEARCH(Assumptions!$C$5,G3781)),Assumptions!$D$5,IF(ISNUMBER(SEARCH(Assumptions!$C$6,G3781)),Assumptions!$D$6,IF(ISNUMBER(SEARCH(Assumptions!$C$7,G3781)),Assumptions!$D$7,"Other Services"))),"Other Services"))</f>
        <v/>
      </c>
    </row>
    <row r="3782" customFormat="false" ht="15" hidden="false" customHeight="false" outlineLevel="0" collapsed="false">
      <c r="E3782" s="41" t="str">
        <f aca="false">IF(D3782="","",IFERROR(VLOOKUP(D3782,Assumptions!$G$5:$H$16,2,0),"Other"))</f>
        <v/>
      </c>
      <c r="J3782" s="41" t="str">
        <f aca="false">IF(G3782="","",IFERROR(IF(ISNUMBER(SEARCH(Assumptions!$C$5,G3782)),Assumptions!$D$5,IF(ISNUMBER(SEARCH(Assumptions!$C$6,G3782)),Assumptions!$D$6,IF(ISNUMBER(SEARCH(Assumptions!$C$7,G3782)),Assumptions!$D$7,"Other Services"))),"Other Services"))</f>
        <v/>
      </c>
    </row>
    <row r="3783" customFormat="false" ht="15" hidden="false" customHeight="false" outlineLevel="0" collapsed="false">
      <c r="E3783" s="41" t="str">
        <f aca="false">IF(D3783="","",IFERROR(VLOOKUP(D3783,Assumptions!$G$5:$H$16,2,0),"Other"))</f>
        <v/>
      </c>
      <c r="J3783" s="41" t="str">
        <f aca="false">IF(G3783="","",IFERROR(IF(ISNUMBER(SEARCH(Assumptions!$C$5,G3783)),Assumptions!$D$5,IF(ISNUMBER(SEARCH(Assumptions!$C$6,G3783)),Assumptions!$D$6,IF(ISNUMBER(SEARCH(Assumptions!$C$7,G3783)),Assumptions!$D$7,"Other Services"))),"Other Services"))</f>
        <v/>
      </c>
    </row>
    <row r="3784" customFormat="false" ht="15" hidden="false" customHeight="false" outlineLevel="0" collapsed="false">
      <c r="E3784" s="41" t="str">
        <f aca="false">IF(D3784="","",IFERROR(VLOOKUP(D3784,Assumptions!$G$5:$H$16,2,0),"Other"))</f>
        <v/>
      </c>
      <c r="J3784" s="41" t="str">
        <f aca="false">IF(G3784="","",IFERROR(IF(ISNUMBER(SEARCH(Assumptions!$C$5,G3784)),Assumptions!$D$5,IF(ISNUMBER(SEARCH(Assumptions!$C$6,G3784)),Assumptions!$D$6,IF(ISNUMBER(SEARCH(Assumptions!$C$7,G3784)),Assumptions!$D$7,"Other Services"))),"Other Services"))</f>
        <v/>
      </c>
    </row>
    <row r="3785" customFormat="false" ht="15" hidden="false" customHeight="false" outlineLevel="0" collapsed="false">
      <c r="E3785" s="41" t="str">
        <f aca="false">IF(D3785="","",IFERROR(VLOOKUP(D3785,Assumptions!$G$5:$H$16,2,0),"Other"))</f>
        <v/>
      </c>
      <c r="J3785" s="41" t="str">
        <f aca="false">IF(G3785="","",IFERROR(IF(ISNUMBER(SEARCH(Assumptions!$C$5,G3785)),Assumptions!$D$5,IF(ISNUMBER(SEARCH(Assumptions!$C$6,G3785)),Assumptions!$D$6,IF(ISNUMBER(SEARCH(Assumptions!$C$7,G3785)),Assumptions!$D$7,"Other Services"))),"Other Services"))</f>
        <v/>
      </c>
    </row>
    <row r="3786" customFormat="false" ht="15" hidden="false" customHeight="false" outlineLevel="0" collapsed="false">
      <c r="E3786" s="41" t="str">
        <f aca="false">IF(D3786="","",IFERROR(VLOOKUP(D3786,Assumptions!$G$5:$H$16,2,0),"Other"))</f>
        <v/>
      </c>
      <c r="J3786" s="41" t="str">
        <f aca="false">IF(G3786="","",IFERROR(IF(ISNUMBER(SEARCH(Assumptions!$C$5,G3786)),Assumptions!$D$5,IF(ISNUMBER(SEARCH(Assumptions!$C$6,G3786)),Assumptions!$D$6,IF(ISNUMBER(SEARCH(Assumptions!$C$7,G3786)),Assumptions!$D$7,"Other Services"))),"Other Services"))</f>
        <v/>
      </c>
    </row>
    <row r="3787" customFormat="false" ht="15" hidden="false" customHeight="false" outlineLevel="0" collapsed="false">
      <c r="E3787" s="41" t="str">
        <f aca="false">IF(D3787="","",IFERROR(VLOOKUP(D3787,Assumptions!$G$5:$H$16,2,0),"Other"))</f>
        <v/>
      </c>
      <c r="J3787" s="41" t="str">
        <f aca="false">IF(G3787="","",IFERROR(IF(ISNUMBER(SEARCH(Assumptions!$C$5,G3787)),Assumptions!$D$5,IF(ISNUMBER(SEARCH(Assumptions!$C$6,G3787)),Assumptions!$D$6,IF(ISNUMBER(SEARCH(Assumptions!$C$7,G3787)),Assumptions!$D$7,"Other Services"))),"Other Services"))</f>
        <v/>
      </c>
    </row>
    <row r="3788" customFormat="false" ht="15" hidden="false" customHeight="false" outlineLevel="0" collapsed="false">
      <c r="E3788" s="41" t="str">
        <f aca="false">IF(D3788="","",IFERROR(VLOOKUP(D3788,Assumptions!$G$5:$H$16,2,0),"Other"))</f>
        <v/>
      </c>
      <c r="J3788" s="41" t="str">
        <f aca="false">IF(G3788="","",IFERROR(IF(ISNUMBER(SEARCH(Assumptions!$C$5,G3788)),Assumptions!$D$5,IF(ISNUMBER(SEARCH(Assumptions!$C$6,G3788)),Assumptions!$D$6,IF(ISNUMBER(SEARCH(Assumptions!$C$7,G3788)),Assumptions!$D$7,"Other Services"))),"Other Services"))</f>
        <v/>
      </c>
    </row>
    <row r="3789" customFormat="false" ht="15" hidden="false" customHeight="false" outlineLevel="0" collapsed="false">
      <c r="E3789" s="41" t="str">
        <f aca="false">IF(D3789="","",IFERROR(VLOOKUP(D3789,Assumptions!$G$5:$H$16,2,0),"Other"))</f>
        <v/>
      </c>
      <c r="J3789" s="41" t="str">
        <f aca="false">IF(G3789="","",IFERROR(IF(ISNUMBER(SEARCH(Assumptions!$C$5,G3789)),Assumptions!$D$5,IF(ISNUMBER(SEARCH(Assumptions!$C$6,G3789)),Assumptions!$D$6,IF(ISNUMBER(SEARCH(Assumptions!$C$7,G3789)),Assumptions!$D$7,"Other Services"))),"Other Services"))</f>
        <v/>
      </c>
    </row>
    <row r="3790" customFormat="false" ht="15" hidden="false" customHeight="false" outlineLevel="0" collapsed="false">
      <c r="E3790" s="41" t="str">
        <f aca="false">IF(D3790="","",IFERROR(VLOOKUP(D3790,Assumptions!$G$5:$H$16,2,0),"Other"))</f>
        <v/>
      </c>
      <c r="J3790" s="41" t="str">
        <f aca="false">IF(G3790="","",IFERROR(IF(ISNUMBER(SEARCH(Assumptions!$C$5,G3790)),Assumptions!$D$5,IF(ISNUMBER(SEARCH(Assumptions!$C$6,G3790)),Assumptions!$D$6,IF(ISNUMBER(SEARCH(Assumptions!$C$7,G3790)),Assumptions!$D$7,"Other Services"))),"Other Services"))</f>
        <v/>
      </c>
    </row>
    <row r="3791" customFormat="false" ht="15" hidden="false" customHeight="false" outlineLevel="0" collapsed="false">
      <c r="E3791" s="41" t="str">
        <f aca="false">IF(D3791="","",IFERROR(VLOOKUP(D3791,Assumptions!$G$5:$H$16,2,0),"Other"))</f>
        <v/>
      </c>
      <c r="J3791" s="41" t="str">
        <f aca="false">IF(G3791="","",IFERROR(IF(ISNUMBER(SEARCH(Assumptions!$C$5,G3791)),Assumptions!$D$5,IF(ISNUMBER(SEARCH(Assumptions!$C$6,G3791)),Assumptions!$D$6,IF(ISNUMBER(SEARCH(Assumptions!$C$7,G3791)),Assumptions!$D$7,"Other Services"))),"Other Services"))</f>
        <v/>
      </c>
    </row>
    <row r="3792" customFormat="false" ht="15" hidden="false" customHeight="false" outlineLevel="0" collapsed="false">
      <c r="E3792" s="41" t="str">
        <f aca="false">IF(D3792="","",IFERROR(VLOOKUP(D3792,Assumptions!$G$5:$H$16,2,0),"Other"))</f>
        <v/>
      </c>
      <c r="J3792" s="41" t="str">
        <f aca="false">IF(G3792="","",IFERROR(IF(ISNUMBER(SEARCH(Assumptions!$C$5,G3792)),Assumptions!$D$5,IF(ISNUMBER(SEARCH(Assumptions!$C$6,G3792)),Assumptions!$D$6,IF(ISNUMBER(SEARCH(Assumptions!$C$7,G3792)),Assumptions!$D$7,"Other Services"))),"Other Services"))</f>
        <v/>
      </c>
    </row>
    <row r="3793" customFormat="false" ht="15" hidden="false" customHeight="false" outlineLevel="0" collapsed="false">
      <c r="E3793" s="41" t="str">
        <f aca="false">IF(D3793="","",IFERROR(VLOOKUP(D3793,Assumptions!$G$5:$H$16,2,0),"Other"))</f>
        <v/>
      </c>
      <c r="J3793" s="41" t="str">
        <f aca="false">IF(G3793="","",IFERROR(IF(ISNUMBER(SEARCH(Assumptions!$C$5,G3793)),Assumptions!$D$5,IF(ISNUMBER(SEARCH(Assumptions!$C$6,G3793)),Assumptions!$D$6,IF(ISNUMBER(SEARCH(Assumptions!$C$7,G3793)),Assumptions!$D$7,"Other Services"))),"Other Services"))</f>
        <v/>
      </c>
    </row>
    <row r="3794" customFormat="false" ht="15" hidden="false" customHeight="false" outlineLevel="0" collapsed="false">
      <c r="E3794" s="41" t="str">
        <f aca="false">IF(D3794="","",IFERROR(VLOOKUP(D3794,Assumptions!$G$5:$H$16,2,0),"Other"))</f>
        <v/>
      </c>
      <c r="J3794" s="41" t="str">
        <f aca="false">IF(G3794="","",IFERROR(IF(ISNUMBER(SEARCH(Assumptions!$C$5,G3794)),Assumptions!$D$5,IF(ISNUMBER(SEARCH(Assumptions!$C$6,G3794)),Assumptions!$D$6,IF(ISNUMBER(SEARCH(Assumptions!$C$7,G3794)),Assumptions!$D$7,"Other Services"))),"Other Services"))</f>
        <v/>
      </c>
    </row>
    <row r="3795" customFormat="false" ht="15" hidden="false" customHeight="false" outlineLevel="0" collapsed="false">
      <c r="E3795" s="41" t="str">
        <f aca="false">IF(D3795="","",IFERROR(VLOOKUP(D3795,Assumptions!$G$5:$H$16,2,0),"Other"))</f>
        <v/>
      </c>
      <c r="J3795" s="41" t="str">
        <f aca="false">IF(G3795="","",IFERROR(IF(ISNUMBER(SEARCH(Assumptions!$C$5,G3795)),Assumptions!$D$5,IF(ISNUMBER(SEARCH(Assumptions!$C$6,G3795)),Assumptions!$D$6,IF(ISNUMBER(SEARCH(Assumptions!$C$7,G3795)),Assumptions!$D$7,"Other Services"))),"Other Services"))</f>
        <v/>
      </c>
    </row>
    <row r="3796" customFormat="false" ht="15" hidden="false" customHeight="false" outlineLevel="0" collapsed="false">
      <c r="E3796" s="41" t="str">
        <f aca="false">IF(D3796="","",IFERROR(VLOOKUP(D3796,Assumptions!$G$5:$H$16,2,0),"Other"))</f>
        <v/>
      </c>
      <c r="J3796" s="41" t="str">
        <f aca="false">IF(G3796="","",IFERROR(IF(ISNUMBER(SEARCH(Assumptions!$C$5,G3796)),Assumptions!$D$5,IF(ISNUMBER(SEARCH(Assumptions!$C$6,G3796)),Assumptions!$D$6,IF(ISNUMBER(SEARCH(Assumptions!$C$7,G3796)),Assumptions!$D$7,"Other Services"))),"Other Services"))</f>
        <v/>
      </c>
    </row>
    <row r="3797" customFormat="false" ht="15" hidden="false" customHeight="false" outlineLevel="0" collapsed="false">
      <c r="E3797" s="41" t="str">
        <f aca="false">IF(D3797="","",IFERROR(VLOOKUP(D3797,Assumptions!$G$5:$H$16,2,0),"Other"))</f>
        <v/>
      </c>
      <c r="J3797" s="41" t="str">
        <f aca="false">IF(G3797="","",IFERROR(IF(ISNUMBER(SEARCH(Assumptions!$C$5,G3797)),Assumptions!$D$5,IF(ISNUMBER(SEARCH(Assumptions!$C$6,G3797)),Assumptions!$D$6,IF(ISNUMBER(SEARCH(Assumptions!$C$7,G3797)),Assumptions!$D$7,"Other Services"))),"Other Services"))</f>
        <v/>
      </c>
    </row>
    <row r="3798" customFormat="false" ht="15" hidden="false" customHeight="false" outlineLevel="0" collapsed="false">
      <c r="E3798" s="41" t="str">
        <f aca="false">IF(D3798="","",IFERROR(VLOOKUP(D3798,Assumptions!$G$5:$H$16,2,0),"Other"))</f>
        <v/>
      </c>
      <c r="J3798" s="41" t="str">
        <f aca="false">IF(G3798="","",IFERROR(IF(ISNUMBER(SEARCH(Assumptions!$C$5,G3798)),Assumptions!$D$5,IF(ISNUMBER(SEARCH(Assumptions!$C$6,G3798)),Assumptions!$D$6,IF(ISNUMBER(SEARCH(Assumptions!$C$7,G3798)),Assumptions!$D$7,"Other Services"))),"Other Services"))</f>
        <v/>
      </c>
    </row>
    <row r="3799" customFormat="false" ht="15" hidden="false" customHeight="false" outlineLevel="0" collapsed="false">
      <c r="E3799" s="41" t="str">
        <f aca="false">IF(D3799="","",IFERROR(VLOOKUP(D3799,Assumptions!$G$5:$H$16,2,0),"Other"))</f>
        <v/>
      </c>
      <c r="J3799" s="41" t="str">
        <f aca="false">IF(G3799="","",IFERROR(IF(ISNUMBER(SEARCH(Assumptions!$C$5,G3799)),Assumptions!$D$5,IF(ISNUMBER(SEARCH(Assumptions!$C$6,G3799)),Assumptions!$D$6,IF(ISNUMBER(SEARCH(Assumptions!$C$7,G3799)),Assumptions!$D$7,"Other Services"))),"Other Services"))</f>
        <v/>
      </c>
    </row>
    <row r="3800" customFormat="false" ht="15" hidden="false" customHeight="false" outlineLevel="0" collapsed="false">
      <c r="E3800" s="41" t="str">
        <f aca="false">IF(D3800="","",IFERROR(VLOOKUP(D3800,Assumptions!$G$5:$H$16,2,0),"Other"))</f>
        <v/>
      </c>
      <c r="J3800" s="41" t="str">
        <f aca="false">IF(G3800="","",IFERROR(IF(ISNUMBER(SEARCH(Assumptions!$C$5,G3800)),Assumptions!$D$5,IF(ISNUMBER(SEARCH(Assumptions!$C$6,G3800)),Assumptions!$D$6,IF(ISNUMBER(SEARCH(Assumptions!$C$7,G3800)),Assumptions!$D$7,"Other Services"))),"Other Services"))</f>
        <v/>
      </c>
    </row>
    <row r="3801" customFormat="false" ht="15" hidden="false" customHeight="false" outlineLevel="0" collapsed="false">
      <c r="E3801" s="41" t="str">
        <f aca="false">IF(D3801="","",IFERROR(VLOOKUP(D3801,Assumptions!$G$5:$H$16,2,0),"Other"))</f>
        <v/>
      </c>
      <c r="J3801" s="41" t="str">
        <f aca="false">IF(G3801="","",IFERROR(IF(ISNUMBER(SEARCH(Assumptions!$C$5,G3801)),Assumptions!$D$5,IF(ISNUMBER(SEARCH(Assumptions!$C$6,G3801)),Assumptions!$D$6,IF(ISNUMBER(SEARCH(Assumptions!$C$7,G3801)),Assumptions!$D$7,"Other Services"))),"Other Services"))</f>
        <v/>
      </c>
    </row>
    <row r="3802" customFormat="false" ht="15" hidden="false" customHeight="false" outlineLevel="0" collapsed="false">
      <c r="E3802" s="41" t="str">
        <f aca="false">IF(D3802="","",IFERROR(VLOOKUP(D3802,Assumptions!$G$5:$H$16,2,0),"Other"))</f>
        <v/>
      </c>
      <c r="J3802" s="41" t="str">
        <f aca="false">IF(G3802="","",IFERROR(IF(ISNUMBER(SEARCH(Assumptions!$C$5,G3802)),Assumptions!$D$5,IF(ISNUMBER(SEARCH(Assumptions!$C$6,G3802)),Assumptions!$D$6,IF(ISNUMBER(SEARCH(Assumptions!$C$7,G3802)),Assumptions!$D$7,"Other Services"))),"Other Services"))</f>
        <v/>
      </c>
    </row>
    <row r="3803" customFormat="false" ht="15" hidden="false" customHeight="false" outlineLevel="0" collapsed="false">
      <c r="E3803" s="41" t="str">
        <f aca="false">IF(D3803="","",IFERROR(VLOOKUP(D3803,Assumptions!$G$5:$H$16,2,0),"Other"))</f>
        <v/>
      </c>
      <c r="J3803" s="41" t="str">
        <f aca="false">IF(G3803="","",IFERROR(IF(ISNUMBER(SEARCH(Assumptions!$C$5,G3803)),Assumptions!$D$5,IF(ISNUMBER(SEARCH(Assumptions!$C$6,G3803)),Assumptions!$D$6,IF(ISNUMBER(SEARCH(Assumptions!$C$7,G3803)),Assumptions!$D$7,"Other Services"))),"Other Services"))</f>
        <v/>
      </c>
    </row>
    <row r="3804" customFormat="false" ht="15" hidden="false" customHeight="false" outlineLevel="0" collapsed="false">
      <c r="E3804" s="41" t="str">
        <f aca="false">IF(D3804="","",IFERROR(VLOOKUP(D3804,Assumptions!$G$5:$H$16,2,0),"Other"))</f>
        <v/>
      </c>
      <c r="J3804" s="41" t="str">
        <f aca="false">IF(G3804="","",IFERROR(IF(ISNUMBER(SEARCH(Assumptions!$C$5,G3804)),Assumptions!$D$5,IF(ISNUMBER(SEARCH(Assumptions!$C$6,G3804)),Assumptions!$D$6,IF(ISNUMBER(SEARCH(Assumptions!$C$7,G3804)),Assumptions!$D$7,"Other Services"))),"Other Services"))</f>
        <v/>
      </c>
    </row>
    <row r="3805" customFormat="false" ht="15" hidden="false" customHeight="false" outlineLevel="0" collapsed="false">
      <c r="E3805" s="41" t="str">
        <f aca="false">IF(D3805="","",IFERROR(VLOOKUP(D3805,Assumptions!$G$5:$H$16,2,0),"Other"))</f>
        <v/>
      </c>
      <c r="J3805" s="41" t="str">
        <f aca="false">IF(G3805="","",IFERROR(IF(ISNUMBER(SEARCH(Assumptions!$C$5,G3805)),Assumptions!$D$5,IF(ISNUMBER(SEARCH(Assumptions!$C$6,G3805)),Assumptions!$D$6,IF(ISNUMBER(SEARCH(Assumptions!$C$7,G3805)),Assumptions!$D$7,"Other Services"))),"Other Services"))</f>
        <v/>
      </c>
    </row>
    <row r="3806" customFormat="false" ht="15" hidden="false" customHeight="false" outlineLevel="0" collapsed="false">
      <c r="E3806" s="41" t="str">
        <f aca="false">IF(D3806="","",IFERROR(VLOOKUP(D3806,Assumptions!$G$5:$H$16,2,0),"Other"))</f>
        <v/>
      </c>
      <c r="J3806" s="41" t="str">
        <f aca="false">IF(G3806="","",IFERROR(IF(ISNUMBER(SEARCH(Assumptions!$C$5,G3806)),Assumptions!$D$5,IF(ISNUMBER(SEARCH(Assumptions!$C$6,G3806)),Assumptions!$D$6,IF(ISNUMBER(SEARCH(Assumptions!$C$7,G3806)),Assumptions!$D$7,"Other Services"))),"Other Services"))</f>
        <v/>
      </c>
    </row>
    <row r="3807" customFormat="false" ht="15" hidden="false" customHeight="false" outlineLevel="0" collapsed="false">
      <c r="E3807" s="41" t="str">
        <f aca="false">IF(D3807="","",IFERROR(VLOOKUP(D3807,Assumptions!$G$5:$H$16,2,0),"Other"))</f>
        <v/>
      </c>
      <c r="J3807" s="41" t="str">
        <f aca="false">IF(G3807="","",IFERROR(IF(ISNUMBER(SEARCH(Assumptions!$C$5,G3807)),Assumptions!$D$5,IF(ISNUMBER(SEARCH(Assumptions!$C$6,G3807)),Assumptions!$D$6,IF(ISNUMBER(SEARCH(Assumptions!$C$7,G3807)),Assumptions!$D$7,"Other Services"))),"Other Services"))</f>
        <v/>
      </c>
    </row>
    <row r="3808" customFormat="false" ht="15" hidden="false" customHeight="false" outlineLevel="0" collapsed="false">
      <c r="E3808" s="41" t="str">
        <f aca="false">IF(D3808="","",IFERROR(VLOOKUP(D3808,Assumptions!$G$5:$H$16,2,0),"Other"))</f>
        <v/>
      </c>
      <c r="J3808" s="41" t="str">
        <f aca="false">IF(G3808="","",IFERROR(IF(ISNUMBER(SEARCH(Assumptions!$C$5,G3808)),Assumptions!$D$5,IF(ISNUMBER(SEARCH(Assumptions!$C$6,G3808)),Assumptions!$D$6,IF(ISNUMBER(SEARCH(Assumptions!$C$7,G3808)),Assumptions!$D$7,"Other Services"))),"Other Services"))</f>
        <v/>
      </c>
    </row>
    <row r="3809" customFormat="false" ht="15" hidden="false" customHeight="false" outlineLevel="0" collapsed="false">
      <c r="E3809" s="41" t="str">
        <f aca="false">IF(D3809="","",IFERROR(VLOOKUP(D3809,Assumptions!$G$5:$H$16,2,0),"Other"))</f>
        <v/>
      </c>
      <c r="J3809" s="41" t="str">
        <f aca="false">IF(G3809="","",IFERROR(IF(ISNUMBER(SEARCH(Assumptions!$C$5,G3809)),Assumptions!$D$5,IF(ISNUMBER(SEARCH(Assumptions!$C$6,G3809)),Assumptions!$D$6,IF(ISNUMBER(SEARCH(Assumptions!$C$7,G3809)),Assumptions!$D$7,"Other Services"))),"Other Services"))</f>
        <v/>
      </c>
    </row>
    <row r="3810" customFormat="false" ht="15" hidden="false" customHeight="false" outlineLevel="0" collapsed="false">
      <c r="E3810" s="41" t="str">
        <f aca="false">IF(D3810="","",IFERROR(VLOOKUP(D3810,Assumptions!$G$5:$H$16,2,0),"Other"))</f>
        <v/>
      </c>
      <c r="J3810" s="41" t="str">
        <f aca="false">IF(G3810="","",IFERROR(IF(ISNUMBER(SEARCH(Assumptions!$C$5,G3810)),Assumptions!$D$5,IF(ISNUMBER(SEARCH(Assumptions!$C$6,G3810)),Assumptions!$D$6,IF(ISNUMBER(SEARCH(Assumptions!$C$7,G3810)),Assumptions!$D$7,"Other Services"))),"Other Services"))</f>
        <v/>
      </c>
    </row>
    <row r="3811" customFormat="false" ht="15" hidden="false" customHeight="false" outlineLevel="0" collapsed="false">
      <c r="E3811" s="41" t="str">
        <f aca="false">IF(D3811="","",IFERROR(VLOOKUP(D3811,Assumptions!$G$5:$H$16,2,0),"Other"))</f>
        <v/>
      </c>
      <c r="J3811" s="41" t="str">
        <f aca="false">IF(G3811="","",IFERROR(IF(ISNUMBER(SEARCH(Assumptions!$C$5,G3811)),Assumptions!$D$5,IF(ISNUMBER(SEARCH(Assumptions!$C$6,G3811)),Assumptions!$D$6,IF(ISNUMBER(SEARCH(Assumptions!$C$7,G3811)),Assumptions!$D$7,"Other Services"))),"Other Services"))</f>
        <v/>
      </c>
    </row>
    <row r="3812" customFormat="false" ht="15" hidden="false" customHeight="false" outlineLevel="0" collapsed="false">
      <c r="E3812" s="41" t="str">
        <f aca="false">IF(D3812="","",IFERROR(VLOOKUP(D3812,Assumptions!$G$5:$H$16,2,0),"Other"))</f>
        <v/>
      </c>
      <c r="J3812" s="41" t="str">
        <f aca="false">IF(G3812="","",IFERROR(IF(ISNUMBER(SEARCH(Assumptions!$C$5,G3812)),Assumptions!$D$5,IF(ISNUMBER(SEARCH(Assumptions!$C$6,G3812)),Assumptions!$D$6,IF(ISNUMBER(SEARCH(Assumptions!$C$7,G3812)),Assumptions!$D$7,"Other Services"))),"Other Services"))</f>
        <v/>
      </c>
    </row>
    <row r="3813" customFormat="false" ht="15" hidden="false" customHeight="false" outlineLevel="0" collapsed="false">
      <c r="E3813" s="41" t="str">
        <f aca="false">IF(D3813="","",IFERROR(VLOOKUP(D3813,Assumptions!$G$5:$H$16,2,0),"Other"))</f>
        <v/>
      </c>
      <c r="J3813" s="41" t="str">
        <f aca="false">IF(G3813="","",IFERROR(IF(ISNUMBER(SEARCH(Assumptions!$C$5,G3813)),Assumptions!$D$5,IF(ISNUMBER(SEARCH(Assumptions!$C$6,G3813)),Assumptions!$D$6,IF(ISNUMBER(SEARCH(Assumptions!$C$7,G3813)),Assumptions!$D$7,"Other Services"))),"Other Services"))</f>
        <v/>
      </c>
    </row>
    <row r="3814" customFormat="false" ht="15" hidden="false" customHeight="false" outlineLevel="0" collapsed="false">
      <c r="E3814" s="41" t="str">
        <f aca="false">IF(D3814="","",IFERROR(VLOOKUP(D3814,Assumptions!$G$5:$H$16,2,0),"Other"))</f>
        <v/>
      </c>
      <c r="J3814" s="41" t="str">
        <f aca="false">IF(G3814="","",IFERROR(IF(ISNUMBER(SEARCH(Assumptions!$C$5,G3814)),Assumptions!$D$5,IF(ISNUMBER(SEARCH(Assumptions!$C$6,G3814)),Assumptions!$D$6,IF(ISNUMBER(SEARCH(Assumptions!$C$7,G3814)),Assumptions!$D$7,"Other Services"))),"Other Services"))</f>
        <v/>
      </c>
    </row>
    <row r="3815" customFormat="false" ht="15" hidden="false" customHeight="false" outlineLevel="0" collapsed="false">
      <c r="E3815" s="41" t="str">
        <f aca="false">IF(D3815="","",IFERROR(VLOOKUP(D3815,Assumptions!$G$5:$H$16,2,0),"Other"))</f>
        <v/>
      </c>
      <c r="J3815" s="41" t="str">
        <f aca="false">IF(G3815="","",IFERROR(IF(ISNUMBER(SEARCH(Assumptions!$C$5,G3815)),Assumptions!$D$5,IF(ISNUMBER(SEARCH(Assumptions!$C$6,G3815)),Assumptions!$D$6,IF(ISNUMBER(SEARCH(Assumptions!$C$7,G3815)),Assumptions!$D$7,"Other Services"))),"Other Services"))</f>
        <v/>
      </c>
    </row>
    <row r="3816" customFormat="false" ht="15" hidden="false" customHeight="false" outlineLevel="0" collapsed="false">
      <c r="E3816" s="41" t="str">
        <f aca="false">IF(D3816="","",IFERROR(VLOOKUP(D3816,Assumptions!$G$5:$H$16,2,0),"Other"))</f>
        <v/>
      </c>
      <c r="J3816" s="41" t="str">
        <f aca="false">IF(G3816="","",IFERROR(IF(ISNUMBER(SEARCH(Assumptions!$C$5,G3816)),Assumptions!$D$5,IF(ISNUMBER(SEARCH(Assumptions!$C$6,G3816)),Assumptions!$D$6,IF(ISNUMBER(SEARCH(Assumptions!$C$7,G3816)),Assumptions!$D$7,"Other Services"))),"Other Services"))</f>
        <v/>
      </c>
    </row>
    <row r="3817" customFormat="false" ht="15" hidden="false" customHeight="false" outlineLevel="0" collapsed="false">
      <c r="E3817" s="41" t="str">
        <f aca="false">IF(D3817="","",IFERROR(VLOOKUP(D3817,Assumptions!$G$5:$H$16,2,0),"Other"))</f>
        <v/>
      </c>
      <c r="J3817" s="41" t="str">
        <f aca="false">IF(G3817="","",IFERROR(IF(ISNUMBER(SEARCH(Assumptions!$C$5,G3817)),Assumptions!$D$5,IF(ISNUMBER(SEARCH(Assumptions!$C$6,G3817)),Assumptions!$D$6,IF(ISNUMBER(SEARCH(Assumptions!$C$7,G3817)),Assumptions!$D$7,"Other Services"))),"Other Services"))</f>
        <v/>
      </c>
    </row>
    <row r="3818" customFormat="false" ht="15" hidden="false" customHeight="false" outlineLevel="0" collapsed="false">
      <c r="E3818" s="41" t="str">
        <f aca="false">IF(D3818="","",IFERROR(VLOOKUP(D3818,Assumptions!$G$5:$H$16,2,0),"Other"))</f>
        <v/>
      </c>
      <c r="J3818" s="41" t="str">
        <f aca="false">IF(G3818="","",IFERROR(IF(ISNUMBER(SEARCH(Assumptions!$C$5,G3818)),Assumptions!$D$5,IF(ISNUMBER(SEARCH(Assumptions!$C$6,G3818)),Assumptions!$D$6,IF(ISNUMBER(SEARCH(Assumptions!$C$7,G3818)),Assumptions!$D$7,"Other Services"))),"Other Services"))</f>
        <v/>
      </c>
    </row>
    <row r="3819" customFormat="false" ht="15" hidden="false" customHeight="false" outlineLevel="0" collapsed="false">
      <c r="E3819" s="41" t="str">
        <f aca="false">IF(D3819="","",IFERROR(VLOOKUP(D3819,Assumptions!$G$5:$H$16,2,0),"Other"))</f>
        <v/>
      </c>
      <c r="J3819" s="41" t="str">
        <f aca="false">IF(G3819="","",IFERROR(IF(ISNUMBER(SEARCH(Assumptions!$C$5,G3819)),Assumptions!$D$5,IF(ISNUMBER(SEARCH(Assumptions!$C$6,G3819)),Assumptions!$D$6,IF(ISNUMBER(SEARCH(Assumptions!$C$7,G3819)),Assumptions!$D$7,"Other Services"))),"Other Services"))</f>
        <v/>
      </c>
    </row>
    <row r="3820" customFormat="false" ht="15" hidden="false" customHeight="false" outlineLevel="0" collapsed="false">
      <c r="E3820" s="41" t="str">
        <f aca="false">IF(D3820="","",IFERROR(VLOOKUP(D3820,Assumptions!$G$5:$H$16,2,0),"Other"))</f>
        <v/>
      </c>
      <c r="J3820" s="41" t="str">
        <f aca="false">IF(G3820="","",IFERROR(IF(ISNUMBER(SEARCH(Assumptions!$C$5,G3820)),Assumptions!$D$5,IF(ISNUMBER(SEARCH(Assumptions!$C$6,G3820)),Assumptions!$D$6,IF(ISNUMBER(SEARCH(Assumptions!$C$7,G3820)),Assumptions!$D$7,"Other Services"))),"Other Services"))</f>
        <v/>
      </c>
    </row>
    <row r="3821" customFormat="false" ht="15" hidden="false" customHeight="false" outlineLevel="0" collapsed="false">
      <c r="E3821" s="41" t="str">
        <f aca="false">IF(D3821="","",IFERROR(VLOOKUP(D3821,Assumptions!$G$5:$H$16,2,0),"Other"))</f>
        <v/>
      </c>
      <c r="J3821" s="41" t="str">
        <f aca="false">IF(G3821="","",IFERROR(IF(ISNUMBER(SEARCH(Assumptions!$C$5,G3821)),Assumptions!$D$5,IF(ISNUMBER(SEARCH(Assumptions!$C$6,G3821)),Assumptions!$D$6,IF(ISNUMBER(SEARCH(Assumptions!$C$7,G3821)),Assumptions!$D$7,"Other Services"))),"Other Services"))</f>
        <v/>
      </c>
    </row>
    <row r="3822" customFormat="false" ht="15" hidden="false" customHeight="false" outlineLevel="0" collapsed="false">
      <c r="E3822" s="41" t="str">
        <f aca="false">IF(D3822="","",IFERROR(VLOOKUP(D3822,Assumptions!$G$5:$H$16,2,0),"Other"))</f>
        <v/>
      </c>
      <c r="J3822" s="41" t="str">
        <f aca="false">IF(G3822="","",IFERROR(IF(ISNUMBER(SEARCH(Assumptions!$C$5,G3822)),Assumptions!$D$5,IF(ISNUMBER(SEARCH(Assumptions!$C$6,G3822)),Assumptions!$D$6,IF(ISNUMBER(SEARCH(Assumptions!$C$7,G3822)),Assumptions!$D$7,"Other Services"))),"Other Services"))</f>
        <v/>
      </c>
    </row>
    <row r="3823" customFormat="false" ht="15" hidden="false" customHeight="false" outlineLevel="0" collapsed="false">
      <c r="E3823" s="41" t="str">
        <f aca="false">IF(D3823="","",IFERROR(VLOOKUP(D3823,Assumptions!$G$5:$H$16,2,0),"Other"))</f>
        <v/>
      </c>
      <c r="J3823" s="41" t="str">
        <f aca="false">IF(G3823="","",IFERROR(IF(ISNUMBER(SEARCH(Assumptions!$C$5,G3823)),Assumptions!$D$5,IF(ISNUMBER(SEARCH(Assumptions!$C$6,G3823)),Assumptions!$D$6,IF(ISNUMBER(SEARCH(Assumptions!$C$7,G3823)),Assumptions!$D$7,"Other Services"))),"Other Services"))</f>
        <v/>
      </c>
    </row>
    <row r="3824" customFormat="false" ht="15" hidden="false" customHeight="false" outlineLevel="0" collapsed="false">
      <c r="E3824" s="41" t="str">
        <f aca="false">IF(D3824="","",IFERROR(VLOOKUP(D3824,Assumptions!$G$5:$H$16,2,0),"Other"))</f>
        <v/>
      </c>
      <c r="J3824" s="41" t="str">
        <f aca="false">IF(G3824="","",IFERROR(IF(ISNUMBER(SEARCH(Assumptions!$C$5,G3824)),Assumptions!$D$5,IF(ISNUMBER(SEARCH(Assumptions!$C$6,G3824)),Assumptions!$D$6,IF(ISNUMBER(SEARCH(Assumptions!$C$7,G3824)),Assumptions!$D$7,"Other Services"))),"Other Services"))</f>
        <v/>
      </c>
    </row>
    <row r="3825" customFormat="false" ht="15" hidden="false" customHeight="false" outlineLevel="0" collapsed="false">
      <c r="E3825" s="41" t="str">
        <f aca="false">IF(D3825="","",IFERROR(VLOOKUP(D3825,Assumptions!$G$5:$H$16,2,0),"Other"))</f>
        <v/>
      </c>
      <c r="J3825" s="41" t="str">
        <f aca="false">IF(G3825="","",IFERROR(IF(ISNUMBER(SEARCH(Assumptions!$C$5,G3825)),Assumptions!$D$5,IF(ISNUMBER(SEARCH(Assumptions!$C$6,G3825)),Assumptions!$D$6,IF(ISNUMBER(SEARCH(Assumptions!$C$7,G3825)),Assumptions!$D$7,"Other Services"))),"Other Services"))</f>
        <v/>
      </c>
    </row>
    <row r="3826" customFormat="false" ht="15" hidden="false" customHeight="false" outlineLevel="0" collapsed="false">
      <c r="E3826" s="41" t="str">
        <f aca="false">IF(D3826="","",IFERROR(VLOOKUP(D3826,Assumptions!$G$5:$H$16,2,0),"Other"))</f>
        <v/>
      </c>
      <c r="J3826" s="41" t="str">
        <f aca="false">IF(G3826="","",IFERROR(IF(ISNUMBER(SEARCH(Assumptions!$C$5,G3826)),Assumptions!$D$5,IF(ISNUMBER(SEARCH(Assumptions!$C$6,G3826)),Assumptions!$D$6,IF(ISNUMBER(SEARCH(Assumptions!$C$7,G3826)),Assumptions!$D$7,"Other Services"))),"Other Services"))</f>
        <v/>
      </c>
    </row>
    <row r="3827" customFormat="false" ht="15" hidden="false" customHeight="false" outlineLevel="0" collapsed="false">
      <c r="E3827" s="41" t="str">
        <f aca="false">IF(D3827="","",IFERROR(VLOOKUP(D3827,Assumptions!$G$5:$H$16,2,0),"Other"))</f>
        <v/>
      </c>
      <c r="J3827" s="41" t="str">
        <f aca="false">IF(G3827="","",IFERROR(IF(ISNUMBER(SEARCH(Assumptions!$C$5,G3827)),Assumptions!$D$5,IF(ISNUMBER(SEARCH(Assumptions!$C$6,G3827)),Assumptions!$D$6,IF(ISNUMBER(SEARCH(Assumptions!$C$7,G3827)),Assumptions!$D$7,"Other Services"))),"Other Services"))</f>
        <v/>
      </c>
    </row>
    <row r="3828" customFormat="false" ht="15" hidden="false" customHeight="false" outlineLevel="0" collapsed="false">
      <c r="E3828" s="41" t="str">
        <f aca="false">IF(D3828="","",IFERROR(VLOOKUP(D3828,Assumptions!$G$5:$H$16,2,0),"Other"))</f>
        <v/>
      </c>
      <c r="J3828" s="41" t="str">
        <f aca="false">IF(G3828="","",IFERROR(IF(ISNUMBER(SEARCH(Assumptions!$C$5,G3828)),Assumptions!$D$5,IF(ISNUMBER(SEARCH(Assumptions!$C$6,G3828)),Assumptions!$D$6,IF(ISNUMBER(SEARCH(Assumptions!$C$7,G3828)),Assumptions!$D$7,"Other Services"))),"Other Services"))</f>
        <v/>
      </c>
    </row>
    <row r="3829" customFormat="false" ht="15" hidden="false" customHeight="false" outlineLevel="0" collapsed="false">
      <c r="E3829" s="41" t="str">
        <f aca="false">IF(D3829="","",IFERROR(VLOOKUP(D3829,Assumptions!$G$5:$H$16,2,0),"Other"))</f>
        <v/>
      </c>
      <c r="J3829" s="41" t="str">
        <f aca="false">IF(G3829="","",IFERROR(IF(ISNUMBER(SEARCH(Assumptions!$C$5,G3829)),Assumptions!$D$5,IF(ISNUMBER(SEARCH(Assumptions!$C$6,G3829)),Assumptions!$D$6,IF(ISNUMBER(SEARCH(Assumptions!$C$7,G3829)),Assumptions!$D$7,"Other Services"))),"Other Services"))</f>
        <v/>
      </c>
    </row>
    <row r="3830" customFormat="false" ht="15" hidden="false" customHeight="false" outlineLevel="0" collapsed="false">
      <c r="E3830" s="41" t="str">
        <f aca="false">IF(D3830="","",IFERROR(VLOOKUP(D3830,Assumptions!$G$5:$H$16,2,0),"Other"))</f>
        <v/>
      </c>
      <c r="J3830" s="41" t="str">
        <f aca="false">IF(G3830="","",IFERROR(IF(ISNUMBER(SEARCH(Assumptions!$C$5,G3830)),Assumptions!$D$5,IF(ISNUMBER(SEARCH(Assumptions!$C$6,G3830)),Assumptions!$D$6,IF(ISNUMBER(SEARCH(Assumptions!$C$7,G3830)),Assumptions!$D$7,"Other Services"))),"Other Services"))</f>
        <v/>
      </c>
    </row>
    <row r="3831" customFormat="false" ht="15" hidden="false" customHeight="false" outlineLevel="0" collapsed="false">
      <c r="E3831" s="41" t="str">
        <f aca="false">IF(D3831="","",IFERROR(VLOOKUP(D3831,Assumptions!$G$5:$H$16,2,0),"Other"))</f>
        <v/>
      </c>
      <c r="J3831" s="41" t="str">
        <f aca="false">IF(G3831="","",IFERROR(IF(ISNUMBER(SEARCH(Assumptions!$C$5,G3831)),Assumptions!$D$5,IF(ISNUMBER(SEARCH(Assumptions!$C$6,G3831)),Assumptions!$D$6,IF(ISNUMBER(SEARCH(Assumptions!$C$7,G3831)),Assumptions!$D$7,"Other Services"))),"Other Services"))</f>
        <v/>
      </c>
    </row>
    <row r="3832" customFormat="false" ht="15" hidden="false" customHeight="false" outlineLevel="0" collapsed="false">
      <c r="E3832" s="41" t="str">
        <f aca="false">IF(D3832="","",IFERROR(VLOOKUP(D3832,Assumptions!$G$5:$H$16,2,0),"Other"))</f>
        <v/>
      </c>
      <c r="J3832" s="41" t="str">
        <f aca="false">IF(G3832="","",IFERROR(IF(ISNUMBER(SEARCH(Assumptions!$C$5,G3832)),Assumptions!$D$5,IF(ISNUMBER(SEARCH(Assumptions!$C$6,G3832)),Assumptions!$D$6,IF(ISNUMBER(SEARCH(Assumptions!$C$7,G3832)),Assumptions!$D$7,"Other Services"))),"Other Services"))</f>
        <v/>
      </c>
    </row>
    <row r="3833" customFormat="false" ht="15" hidden="false" customHeight="false" outlineLevel="0" collapsed="false">
      <c r="E3833" s="41" t="str">
        <f aca="false">IF(D3833="","",IFERROR(VLOOKUP(D3833,Assumptions!$G$5:$H$16,2,0),"Other"))</f>
        <v/>
      </c>
      <c r="J3833" s="41" t="str">
        <f aca="false">IF(G3833="","",IFERROR(IF(ISNUMBER(SEARCH(Assumptions!$C$5,G3833)),Assumptions!$D$5,IF(ISNUMBER(SEARCH(Assumptions!$C$6,G3833)),Assumptions!$D$6,IF(ISNUMBER(SEARCH(Assumptions!$C$7,G3833)),Assumptions!$D$7,"Other Services"))),"Other Services"))</f>
        <v/>
      </c>
    </row>
    <row r="3834" customFormat="false" ht="15" hidden="false" customHeight="false" outlineLevel="0" collapsed="false">
      <c r="E3834" s="41" t="str">
        <f aca="false">IF(D3834="","",IFERROR(VLOOKUP(D3834,Assumptions!$G$5:$H$16,2,0),"Other"))</f>
        <v/>
      </c>
      <c r="J3834" s="41" t="str">
        <f aca="false">IF(G3834="","",IFERROR(IF(ISNUMBER(SEARCH(Assumptions!$C$5,G3834)),Assumptions!$D$5,IF(ISNUMBER(SEARCH(Assumptions!$C$6,G3834)),Assumptions!$D$6,IF(ISNUMBER(SEARCH(Assumptions!$C$7,G3834)),Assumptions!$D$7,"Other Services"))),"Other Services"))</f>
        <v/>
      </c>
    </row>
    <row r="3835" customFormat="false" ht="15" hidden="false" customHeight="false" outlineLevel="0" collapsed="false">
      <c r="E3835" s="41" t="str">
        <f aca="false">IF(D3835="","",IFERROR(VLOOKUP(D3835,Assumptions!$G$5:$H$16,2,0),"Other"))</f>
        <v/>
      </c>
      <c r="J3835" s="41" t="str">
        <f aca="false">IF(G3835="","",IFERROR(IF(ISNUMBER(SEARCH(Assumptions!$C$5,G3835)),Assumptions!$D$5,IF(ISNUMBER(SEARCH(Assumptions!$C$6,G3835)),Assumptions!$D$6,IF(ISNUMBER(SEARCH(Assumptions!$C$7,G3835)),Assumptions!$D$7,"Other Services"))),"Other Services"))</f>
        <v/>
      </c>
    </row>
    <row r="3836" customFormat="false" ht="15" hidden="false" customHeight="false" outlineLevel="0" collapsed="false">
      <c r="E3836" s="41" t="str">
        <f aca="false">IF(D3836="","",IFERROR(VLOOKUP(D3836,Assumptions!$G$5:$H$16,2,0),"Other"))</f>
        <v/>
      </c>
      <c r="J3836" s="41" t="str">
        <f aca="false">IF(G3836="","",IFERROR(IF(ISNUMBER(SEARCH(Assumptions!$C$5,G3836)),Assumptions!$D$5,IF(ISNUMBER(SEARCH(Assumptions!$C$6,G3836)),Assumptions!$D$6,IF(ISNUMBER(SEARCH(Assumptions!$C$7,G3836)),Assumptions!$D$7,"Other Services"))),"Other Services"))</f>
        <v/>
      </c>
    </row>
    <row r="3837" customFormat="false" ht="15" hidden="false" customHeight="false" outlineLevel="0" collapsed="false">
      <c r="E3837" s="41" t="str">
        <f aca="false">IF(D3837="","",IFERROR(VLOOKUP(D3837,Assumptions!$G$5:$H$16,2,0),"Other"))</f>
        <v/>
      </c>
      <c r="J3837" s="41" t="str">
        <f aca="false">IF(G3837="","",IFERROR(IF(ISNUMBER(SEARCH(Assumptions!$C$5,G3837)),Assumptions!$D$5,IF(ISNUMBER(SEARCH(Assumptions!$C$6,G3837)),Assumptions!$D$6,IF(ISNUMBER(SEARCH(Assumptions!$C$7,G3837)),Assumptions!$D$7,"Other Services"))),"Other Services"))</f>
        <v/>
      </c>
    </row>
    <row r="3838" customFormat="false" ht="15" hidden="false" customHeight="false" outlineLevel="0" collapsed="false">
      <c r="E3838" s="41" t="str">
        <f aca="false">IF(D3838="","",IFERROR(VLOOKUP(D3838,Assumptions!$G$5:$H$16,2,0),"Other"))</f>
        <v/>
      </c>
      <c r="J3838" s="41" t="str">
        <f aca="false">IF(G3838="","",IFERROR(IF(ISNUMBER(SEARCH(Assumptions!$C$5,G3838)),Assumptions!$D$5,IF(ISNUMBER(SEARCH(Assumptions!$C$6,G3838)),Assumptions!$D$6,IF(ISNUMBER(SEARCH(Assumptions!$C$7,G3838)),Assumptions!$D$7,"Other Services"))),"Other Services"))</f>
        <v/>
      </c>
    </row>
    <row r="3839" customFormat="false" ht="15" hidden="false" customHeight="false" outlineLevel="0" collapsed="false">
      <c r="E3839" s="41" t="str">
        <f aca="false">IF(D3839="","",IFERROR(VLOOKUP(D3839,Assumptions!$G$5:$H$16,2,0),"Other"))</f>
        <v/>
      </c>
      <c r="J3839" s="41" t="str">
        <f aca="false">IF(G3839="","",IFERROR(IF(ISNUMBER(SEARCH(Assumptions!$C$5,G3839)),Assumptions!$D$5,IF(ISNUMBER(SEARCH(Assumptions!$C$6,G3839)),Assumptions!$D$6,IF(ISNUMBER(SEARCH(Assumptions!$C$7,G3839)),Assumptions!$D$7,"Other Services"))),"Other Services"))</f>
        <v/>
      </c>
    </row>
    <row r="3840" customFormat="false" ht="15" hidden="false" customHeight="false" outlineLevel="0" collapsed="false">
      <c r="E3840" s="41" t="str">
        <f aca="false">IF(D3840="","",IFERROR(VLOOKUP(D3840,Assumptions!$G$5:$H$16,2,0),"Other"))</f>
        <v/>
      </c>
      <c r="J3840" s="41" t="str">
        <f aca="false">IF(G3840="","",IFERROR(IF(ISNUMBER(SEARCH(Assumptions!$C$5,G3840)),Assumptions!$D$5,IF(ISNUMBER(SEARCH(Assumptions!$C$6,G3840)),Assumptions!$D$6,IF(ISNUMBER(SEARCH(Assumptions!$C$7,G3840)),Assumptions!$D$7,"Other Services"))),"Other Services"))</f>
        <v/>
      </c>
    </row>
    <row r="3841" customFormat="false" ht="15" hidden="false" customHeight="false" outlineLevel="0" collapsed="false">
      <c r="E3841" s="41" t="str">
        <f aca="false">IF(D3841="","",IFERROR(VLOOKUP(D3841,Assumptions!$G$5:$H$16,2,0),"Other"))</f>
        <v/>
      </c>
      <c r="J3841" s="41" t="str">
        <f aca="false">IF(G3841="","",IFERROR(IF(ISNUMBER(SEARCH(Assumptions!$C$5,G3841)),Assumptions!$D$5,IF(ISNUMBER(SEARCH(Assumptions!$C$6,G3841)),Assumptions!$D$6,IF(ISNUMBER(SEARCH(Assumptions!$C$7,G3841)),Assumptions!$D$7,"Other Services"))),"Other Services"))</f>
        <v/>
      </c>
    </row>
    <row r="3842" customFormat="false" ht="15" hidden="false" customHeight="false" outlineLevel="0" collapsed="false">
      <c r="E3842" s="41" t="str">
        <f aca="false">IF(D3842="","",IFERROR(VLOOKUP(D3842,Assumptions!$G$5:$H$16,2,0),"Other"))</f>
        <v/>
      </c>
      <c r="J3842" s="41" t="str">
        <f aca="false">IF(G3842="","",IFERROR(IF(ISNUMBER(SEARCH(Assumptions!$C$5,G3842)),Assumptions!$D$5,IF(ISNUMBER(SEARCH(Assumptions!$C$6,G3842)),Assumptions!$D$6,IF(ISNUMBER(SEARCH(Assumptions!$C$7,G3842)),Assumptions!$D$7,"Other Services"))),"Other Services"))</f>
        <v/>
      </c>
    </row>
    <row r="3843" customFormat="false" ht="15" hidden="false" customHeight="false" outlineLevel="0" collapsed="false">
      <c r="E3843" s="41" t="str">
        <f aca="false">IF(D3843="","",IFERROR(VLOOKUP(D3843,Assumptions!$G$5:$H$16,2,0),"Other"))</f>
        <v/>
      </c>
      <c r="J3843" s="41" t="str">
        <f aca="false">IF(G3843="","",IFERROR(IF(ISNUMBER(SEARCH(Assumptions!$C$5,G3843)),Assumptions!$D$5,IF(ISNUMBER(SEARCH(Assumptions!$C$6,G3843)),Assumptions!$D$6,IF(ISNUMBER(SEARCH(Assumptions!$C$7,G3843)),Assumptions!$D$7,"Other Services"))),"Other Services"))</f>
        <v/>
      </c>
    </row>
    <row r="3844" customFormat="false" ht="15" hidden="false" customHeight="false" outlineLevel="0" collapsed="false">
      <c r="E3844" s="41" t="str">
        <f aca="false">IF(D3844="","",IFERROR(VLOOKUP(D3844,Assumptions!$G$5:$H$16,2,0),"Other"))</f>
        <v/>
      </c>
      <c r="J3844" s="41" t="str">
        <f aca="false">IF(G3844="","",IFERROR(IF(ISNUMBER(SEARCH(Assumptions!$C$5,G3844)),Assumptions!$D$5,IF(ISNUMBER(SEARCH(Assumptions!$C$6,G3844)),Assumptions!$D$6,IF(ISNUMBER(SEARCH(Assumptions!$C$7,G3844)),Assumptions!$D$7,"Other Services"))),"Other Services"))</f>
        <v/>
      </c>
    </row>
    <row r="3845" customFormat="false" ht="15" hidden="false" customHeight="false" outlineLevel="0" collapsed="false">
      <c r="E3845" s="41" t="str">
        <f aca="false">IF(D3845="","",IFERROR(VLOOKUP(D3845,Assumptions!$G$5:$H$16,2,0),"Other"))</f>
        <v/>
      </c>
      <c r="J3845" s="41" t="str">
        <f aca="false">IF(G3845="","",IFERROR(IF(ISNUMBER(SEARCH(Assumptions!$C$5,G3845)),Assumptions!$D$5,IF(ISNUMBER(SEARCH(Assumptions!$C$6,G3845)),Assumptions!$D$6,IF(ISNUMBER(SEARCH(Assumptions!$C$7,G3845)),Assumptions!$D$7,"Other Services"))),"Other Services"))</f>
        <v/>
      </c>
    </row>
    <row r="3846" customFormat="false" ht="15" hidden="false" customHeight="false" outlineLevel="0" collapsed="false">
      <c r="E3846" s="41" t="str">
        <f aca="false">IF(D3846="","",IFERROR(VLOOKUP(D3846,Assumptions!$G$5:$H$16,2,0),"Other"))</f>
        <v/>
      </c>
      <c r="J3846" s="41" t="str">
        <f aca="false">IF(G3846="","",IFERROR(IF(ISNUMBER(SEARCH(Assumptions!$C$5,G3846)),Assumptions!$D$5,IF(ISNUMBER(SEARCH(Assumptions!$C$6,G3846)),Assumptions!$D$6,IF(ISNUMBER(SEARCH(Assumptions!$C$7,G3846)),Assumptions!$D$7,"Other Services"))),"Other Services"))</f>
        <v/>
      </c>
    </row>
    <row r="3847" customFormat="false" ht="15" hidden="false" customHeight="false" outlineLevel="0" collapsed="false">
      <c r="E3847" s="41" t="str">
        <f aca="false">IF(D3847="","",IFERROR(VLOOKUP(D3847,Assumptions!$G$5:$H$16,2,0),"Other"))</f>
        <v/>
      </c>
      <c r="J3847" s="41" t="str">
        <f aca="false">IF(G3847="","",IFERROR(IF(ISNUMBER(SEARCH(Assumptions!$C$5,G3847)),Assumptions!$D$5,IF(ISNUMBER(SEARCH(Assumptions!$C$6,G3847)),Assumptions!$D$6,IF(ISNUMBER(SEARCH(Assumptions!$C$7,G3847)),Assumptions!$D$7,"Other Services"))),"Other Services"))</f>
        <v/>
      </c>
    </row>
    <row r="3848" customFormat="false" ht="15" hidden="false" customHeight="false" outlineLevel="0" collapsed="false">
      <c r="E3848" s="41" t="str">
        <f aca="false">IF(D3848="","",IFERROR(VLOOKUP(D3848,Assumptions!$G$5:$H$16,2,0),"Other"))</f>
        <v/>
      </c>
      <c r="J3848" s="41" t="str">
        <f aca="false">IF(G3848="","",IFERROR(IF(ISNUMBER(SEARCH(Assumptions!$C$5,G3848)),Assumptions!$D$5,IF(ISNUMBER(SEARCH(Assumptions!$C$6,G3848)),Assumptions!$D$6,IF(ISNUMBER(SEARCH(Assumptions!$C$7,G3848)),Assumptions!$D$7,"Other Services"))),"Other Services"))</f>
        <v/>
      </c>
    </row>
    <row r="3849" customFormat="false" ht="15" hidden="false" customHeight="false" outlineLevel="0" collapsed="false">
      <c r="E3849" s="41" t="str">
        <f aca="false">IF(D3849="","",IFERROR(VLOOKUP(D3849,Assumptions!$G$5:$H$16,2,0),"Other"))</f>
        <v/>
      </c>
      <c r="J3849" s="41" t="str">
        <f aca="false">IF(G3849="","",IFERROR(IF(ISNUMBER(SEARCH(Assumptions!$C$5,G3849)),Assumptions!$D$5,IF(ISNUMBER(SEARCH(Assumptions!$C$6,G3849)),Assumptions!$D$6,IF(ISNUMBER(SEARCH(Assumptions!$C$7,G3849)),Assumptions!$D$7,"Other Services"))),"Other Services"))</f>
        <v/>
      </c>
    </row>
    <row r="3850" customFormat="false" ht="15" hidden="false" customHeight="false" outlineLevel="0" collapsed="false">
      <c r="E3850" s="41" t="str">
        <f aca="false">IF(D3850="","",IFERROR(VLOOKUP(D3850,Assumptions!$G$5:$H$16,2,0),"Other"))</f>
        <v/>
      </c>
      <c r="J3850" s="41" t="str">
        <f aca="false">IF(G3850="","",IFERROR(IF(ISNUMBER(SEARCH(Assumptions!$C$5,G3850)),Assumptions!$D$5,IF(ISNUMBER(SEARCH(Assumptions!$C$6,G3850)),Assumptions!$D$6,IF(ISNUMBER(SEARCH(Assumptions!$C$7,G3850)),Assumptions!$D$7,"Other Services"))),"Other Services"))</f>
        <v/>
      </c>
    </row>
    <row r="3851" customFormat="false" ht="15" hidden="false" customHeight="false" outlineLevel="0" collapsed="false">
      <c r="E3851" s="41" t="str">
        <f aca="false">IF(D3851="","",IFERROR(VLOOKUP(D3851,Assumptions!$G$5:$H$16,2,0),"Other"))</f>
        <v/>
      </c>
      <c r="J3851" s="41" t="str">
        <f aca="false">IF(G3851="","",IFERROR(IF(ISNUMBER(SEARCH(Assumptions!$C$5,G3851)),Assumptions!$D$5,IF(ISNUMBER(SEARCH(Assumptions!$C$6,G3851)),Assumptions!$D$6,IF(ISNUMBER(SEARCH(Assumptions!$C$7,G3851)),Assumptions!$D$7,"Other Services"))),"Other Services"))</f>
        <v/>
      </c>
    </row>
    <row r="3852" customFormat="false" ht="15" hidden="false" customHeight="false" outlineLevel="0" collapsed="false">
      <c r="E3852" s="41" t="str">
        <f aca="false">IF(D3852="","",IFERROR(VLOOKUP(D3852,Assumptions!$G$5:$H$16,2,0),"Other"))</f>
        <v/>
      </c>
      <c r="J3852" s="41" t="str">
        <f aca="false">IF(G3852="","",IFERROR(IF(ISNUMBER(SEARCH(Assumptions!$C$5,G3852)),Assumptions!$D$5,IF(ISNUMBER(SEARCH(Assumptions!$C$6,G3852)),Assumptions!$D$6,IF(ISNUMBER(SEARCH(Assumptions!$C$7,G3852)),Assumptions!$D$7,"Other Services"))),"Other Services"))</f>
        <v/>
      </c>
    </row>
    <row r="3853" customFormat="false" ht="15" hidden="false" customHeight="false" outlineLevel="0" collapsed="false">
      <c r="E3853" s="41" t="str">
        <f aca="false">IF(D3853="","",IFERROR(VLOOKUP(D3853,Assumptions!$G$5:$H$16,2,0),"Other"))</f>
        <v/>
      </c>
      <c r="J3853" s="41" t="str">
        <f aca="false">IF(G3853="","",IFERROR(IF(ISNUMBER(SEARCH(Assumptions!$C$5,G3853)),Assumptions!$D$5,IF(ISNUMBER(SEARCH(Assumptions!$C$6,G3853)),Assumptions!$D$6,IF(ISNUMBER(SEARCH(Assumptions!$C$7,G3853)),Assumptions!$D$7,"Other Services"))),"Other Services"))</f>
        <v/>
      </c>
    </row>
    <row r="3854" customFormat="false" ht="15" hidden="false" customHeight="false" outlineLevel="0" collapsed="false">
      <c r="E3854" s="41" t="str">
        <f aca="false">IF(D3854="","",IFERROR(VLOOKUP(D3854,Assumptions!$G$5:$H$16,2,0),"Other"))</f>
        <v/>
      </c>
      <c r="J3854" s="41" t="str">
        <f aca="false">IF(G3854="","",IFERROR(IF(ISNUMBER(SEARCH(Assumptions!$C$5,G3854)),Assumptions!$D$5,IF(ISNUMBER(SEARCH(Assumptions!$C$6,G3854)),Assumptions!$D$6,IF(ISNUMBER(SEARCH(Assumptions!$C$7,G3854)),Assumptions!$D$7,"Other Services"))),"Other Services"))</f>
        <v/>
      </c>
    </row>
    <row r="3855" customFormat="false" ht="15" hidden="false" customHeight="false" outlineLevel="0" collapsed="false">
      <c r="E3855" s="41" t="str">
        <f aca="false">IF(D3855="","",IFERROR(VLOOKUP(D3855,Assumptions!$G$5:$H$16,2,0),"Other"))</f>
        <v/>
      </c>
      <c r="J3855" s="41" t="str">
        <f aca="false">IF(G3855="","",IFERROR(IF(ISNUMBER(SEARCH(Assumptions!$C$5,G3855)),Assumptions!$D$5,IF(ISNUMBER(SEARCH(Assumptions!$C$6,G3855)),Assumptions!$D$6,IF(ISNUMBER(SEARCH(Assumptions!$C$7,G3855)),Assumptions!$D$7,"Other Services"))),"Other Services"))</f>
        <v/>
      </c>
    </row>
    <row r="3856" customFormat="false" ht="15" hidden="false" customHeight="false" outlineLevel="0" collapsed="false">
      <c r="E3856" s="41" t="str">
        <f aca="false">IF(D3856="","",IFERROR(VLOOKUP(D3856,Assumptions!$G$5:$H$16,2,0),"Other"))</f>
        <v/>
      </c>
      <c r="J3856" s="41" t="str">
        <f aca="false">IF(G3856="","",IFERROR(IF(ISNUMBER(SEARCH(Assumptions!$C$5,G3856)),Assumptions!$D$5,IF(ISNUMBER(SEARCH(Assumptions!$C$6,G3856)),Assumptions!$D$6,IF(ISNUMBER(SEARCH(Assumptions!$C$7,G3856)),Assumptions!$D$7,"Other Services"))),"Other Services"))</f>
        <v/>
      </c>
    </row>
    <row r="3857" customFormat="false" ht="15" hidden="false" customHeight="false" outlineLevel="0" collapsed="false">
      <c r="E3857" s="41" t="str">
        <f aca="false">IF(D3857="","",IFERROR(VLOOKUP(D3857,Assumptions!$G$5:$H$16,2,0),"Other"))</f>
        <v/>
      </c>
      <c r="J3857" s="41" t="str">
        <f aca="false">IF(G3857="","",IFERROR(IF(ISNUMBER(SEARCH(Assumptions!$C$5,G3857)),Assumptions!$D$5,IF(ISNUMBER(SEARCH(Assumptions!$C$6,G3857)),Assumptions!$D$6,IF(ISNUMBER(SEARCH(Assumptions!$C$7,G3857)),Assumptions!$D$7,"Other Services"))),"Other Services"))</f>
        <v/>
      </c>
    </row>
    <row r="3858" customFormat="false" ht="15" hidden="false" customHeight="false" outlineLevel="0" collapsed="false">
      <c r="E3858" s="41" t="str">
        <f aca="false">IF(D3858="","",IFERROR(VLOOKUP(D3858,Assumptions!$G$5:$H$16,2,0),"Other"))</f>
        <v/>
      </c>
      <c r="J3858" s="41" t="str">
        <f aca="false">IF(G3858="","",IFERROR(IF(ISNUMBER(SEARCH(Assumptions!$C$5,G3858)),Assumptions!$D$5,IF(ISNUMBER(SEARCH(Assumptions!$C$6,G3858)),Assumptions!$D$6,IF(ISNUMBER(SEARCH(Assumptions!$C$7,G3858)),Assumptions!$D$7,"Other Services"))),"Other Services"))</f>
        <v/>
      </c>
    </row>
    <row r="3859" customFormat="false" ht="15" hidden="false" customHeight="false" outlineLevel="0" collapsed="false">
      <c r="E3859" s="41" t="str">
        <f aca="false">IF(D3859="","",IFERROR(VLOOKUP(D3859,Assumptions!$G$5:$H$16,2,0),"Other"))</f>
        <v/>
      </c>
      <c r="J3859" s="41" t="str">
        <f aca="false">IF(G3859="","",IFERROR(IF(ISNUMBER(SEARCH(Assumptions!$C$5,G3859)),Assumptions!$D$5,IF(ISNUMBER(SEARCH(Assumptions!$C$6,G3859)),Assumptions!$D$6,IF(ISNUMBER(SEARCH(Assumptions!$C$7,G3859)),Assumptions!$D$7,"Other Services"))),"Other Services"))</f>
        <v/>
      </c>
    </row>
    <row r="3860" customFormat="false" ht="15" hidden="false" customHeight="false" outlineLevel="0" collapsed="false">
      <c r="E3860" s="41" t="str">
        <f aca="false">IF(D3860="","",IFERROR(VLOOKUP(D3860,Assumptions!$G$5:$H$16,2,0),"Other"))</f>
        <v/>
      </c>
      <c r="J3860" s="41" t="str">
        <f aca="false">IF(G3860="","",IFERROR(IF(ISNUMBER(SEARCH(Assumptions!$C$5,G3860)),Assumptions!$D$5,IF(ISNUMBER(SEARCH(Assumptions!$C$6,G3860)),Assumptions!$D$6,IF(ISNUMBER(SEARCH(Assumptions!$C$7,G3860)),Assumptions!$D$7,"Other Services"))),"Other Services"))</f>
        <v/>
      </c>
    </row>
    <row r="3861" customFormat="false" ht="15" hidden="false" customHeight="false" outlineLevel="0" collapsed="false">
      <c r="E3861" s="41" t="str">
        <f aca="false">IF(D3861="","",IFERROR(VLOOKUP(D3861,Assumptions!$G$5:$H$16,2,0),"Other"))</f>
        <v/>
      </c>
      <c r="J3861" s="41" t="str">
        <f aca="false">IF(G3861="","",IFERROR(IF(ISNUMBER(SEARCH(Assumptions!$C$5,G3861)),Assumptions!$D$5,IF(ISNUMBER(SEARCH(Assumptions!$C$6,G3861)),Assumptions!$D$6,IF(ISNUMBER(SEARCH(Assumptions!$C$7,G3861)),Assumptions!$D$7,"Other Services"))),"Other Services"))</f>
        <v/>
      </c>
    </row>
    <row r="3862" customFormat="false" ht="15" hidden="false" customHeight="false" outlineLevel="0" collapsed="false">
      <c r="E3862" s="41" t="str">
        <f aca="false">IF(D3862="","",IFERROR(VLOOKUP(D3862,Assumptions!$G$5:$H$16,2,0),"Other"))</f>
        <v/>
      </c>
      <c r="J3862" s="41" t="str">
        <f aca="false">IF(G3862="","",IFERROR(IF(ISNUMBER(SEARCH(Assumptions!$C$5,G3862)),Assumptions!$D$5,IF(ISNUMBER(SEARCH(Assumptions!$C$6,G3862)),Assumptions!$D$6,IF(ISNUMBER(SEARCH(Assumptions!$C$7,G3862)),Assumptions!$D$7,"Other Services"))),"Other Services"))</f>
        <v/>
      </c>
    </row>
    <row r="3863" customFormat="false" ht="15" hidden="false" customHeight="false" outlineLevel="0" collapsed="false">
      <c r="E3863" s="41" t="str">
        <f aca="false">IF(D3863="","",IFERROR(VLOOKUP(D3863,Assumptions!$G$5:$H$16,2,0),"Other"))</f>
        <v/>
      </c>
      <c r="J3863" s="41" t="str">
        <f aca="false">IF(G3863="","",IFERROR(IF(ISNUMBER(SEARCH(Assumptions!$C$5,G3863)),Assumptions!$D$5,IF(ISNUMBER(SEARCH(Assumptions!$C$6,G3863)),Assumptions!$D$6,IF(ISNUMBER(SEARCH(Assumptions!$C$7,G3863)),Assumptions!$D$7,"Other Services"))),"Other Services"))</f>
        <v/>
      </c>
    </row>
    <row r="3864" customFormat="false" ht="15" hidden="false" customHeight="false" outlineLevel="0" collapsed="false">
      <c r="E3864" s="41" t="str">
        <f aca="false">IF(D3864="","",IFERROR(VLOOKUP(D3864,Assumptions!$G$5:$H$16,2,0),"Other"))</f>
        <v/>
      </c>
      <c r="J3864" s="41" t="str">
        <f aca="false">IF(G3864="","",IFERROR(IF(ISNUMBER(SEARCH(Assumptions!$C$5,G3864)),Assumptions!$D$5,IF(ISNUMBER(SEARCH(Assumptions!$C$6,G3864)),Assumptions!$D$6,IF(ISNUMBER(SEARCH(Assumptions!$C$7,G3864)),Assumptions!$D$7,"Other Services"))),"Other Services"))</f>
        <v/>
      </c>
    </row>
    <row r="3865" customFormat="false" ht="15" hidden="false" customHeight="false" outlineLevel="0" collapsed="false">
      <c r="E3865" s="41" t="str">
        <f aca="false">IF(D3865="","",IFERROR(VLOOKUP(D3865,Assumptions!$G$5:$H$16,2,0),"Other"))</f>
        <v/>
      </c>
      <c r="J3865" s="41" t="str">
        <f aca="false">IF(G3865="","",IFERROR(IF(ISNUMBER(SEARCH(Assumptions!$C$5,G3865)),Assumptions!$D$5,IF(ISNUMBER(SEARCH(Assumptions!$C$6,G3865)),Assumptions!$D$6,IF(ISNUMBER(SEARCH(Assumptions!$C$7,G3865)),Assumptions!$D$7,"Other Services"))),"Other Services"))</f>
        <v/>
      </c>
    </row>
    <row r="3866" customFormat="false" ht="15" hidden="false" customHeight="false" outlineLevel="0" collapsed="false">
      <c r="E3866" s="41" t="str">
        <f aca="false">IF(D3866="","",IFERROR(VLOOKUP(D3866,Assumptions!$G$5:$H$16,2,0),"Other"))</f>
        <v/>
      </c>
      <c r="J3866" s="41" t="str">
        <f aca="false">IF(G3866="","",IFERROR(IF(ISNUMBER(SEARCH(Assumptions!$C$5,G3866)),Assumptions!$D$5,IF(ISNUMBER(SEARCH(Assumptions!$C$6,G3866)),Assumptions!$D$6,IF(ISNUMBER(SEARCH(Assumptions!$C$7,G3866)),Assumptions!$D$7,"Other Services"))),"Other Services"))</f>
        <v/>
      </c>
    </row>
    <row r="3867" customFormat="false" ht="15" hidden="false" customHeight="false" outlineLevel="0" collapsed="false">
      <c r="E3867" s="41" t="str">
        <f aca="false">IF(D3867="","",IFERROR(VLOOKUP(D3867,Assumptions!$G$5:$H$16,2,0),"Other"))</f>
        <v/>
      </c>
      <c r="J3867" s="41" t="str">
        <f aca="false">IF(G3867="","",IFERROR(IF(ISNUMBER(SEARCH(Assumptions!$C$5,G3867)),Assumptions!$D$5,IF(ISNUMBER(SEARCH(Assumptions!$C$6,G3867)),Assumptions!$D$6,IF(ISNUMBER(SEARCH(Assumptions!$C$7,G3867)),Assumptions!$D$7,"Other Services"))),"Other Services"))</f>
        <v/>
      </c>
    </row>
    <row r="3868" customFormat="false" ht="15" hidden="false" customHeight="false" outlineLevel="0" collapsed="false">
      <c r="E3868" s="41" t="str">
        <f aca="false">IF(D3868="","",IFERROR(VLOOKUP(D3868,Assumptions!$G$5:$H$16,2,0),"Other"))</f>
        <v/>
      </c>
      <c r="J3868" s="41" t="str">
        <f aca="false">IF(G3868="","",IFERROR(IF(ISNUMBER(SEARCH(Assumptions!$C$5,G3868)),Assumptions!$D$5,IF(ISNUMBER(SEARCH(Assumptions!$C$6,G3868)),Assumptions!$D$6,IF(ISNUMBER(SEARCH(Assumptions!$C$7,G3868)),Assumptions!$D$7,"Other Services"))),"Other Services"))</f>
        <v/>
      </c>
    </row>
    <row r="3869" customFormat="false" ht="15" hidden="false" customHeight="false" outlineLevel="0" collapsed="false">
      <c r="E3869" s="41" t="str">
        <f aca="false">IF(D3869="","",IFERROR(VLOOKUP(D3869,Assumptions!$G$5:$H$16,2,0),"Other"))</f>
        <v/>
      </c>
      <c r="J3869" s="41" t="str">
        <f aca="false">IF(G3869="","",IFERROR(IF(ISNUMBER(SEARCH(Assumptions!$C$5,G3869)),Assumptions!$D$5,IF(ISNUMBER(SEARCH(Assumptions!$C$6,G3869)),Assumptions!$D$6,IF(ISNUMBER(SEARCH(Assumptions!$C$7,G3869)),Assumptions!$D$7,"Other Services"))),"Other Services"))</f>
        <v/>
      </c>
    </row>
    <row r="3870" customFormat="false" ht="15" hidden="false" customHeight="false" outlineLevel="0" collapsed="false">
      <c r="E3870" s="41" t="str">
        <f aca="false">IF(D3870="","",IFERROR(VLOOKUP(D3870,Assumptions!$G$5:$H$16,2,0),"Other"))</f>
        <v/>
      </c>
      <c r="J3870" s="41" t="str">
        <f aca="false">IF(G3870="","",IFERROR(IF(ISNUMBER(SEARCH(Assumptions!$C$5,G3870)),Assumptions!$D$5,IF(ISNUMBER(SEARCH(Assumptions!$C$6,G3870)),Assumptions!$D$6,IF(ISNUMBER(SEARCH(Assumptions!$C$7,G3870)),Assumptions!$D$7,"Other Services"))),"Other Services"))</f>
        <v/>
      </c>
    </row>
    <row r="3871" customFormat="false" ht="15" hidden="false" customHeight="false" outlineLevel="0" collapsed="false">
      <c r="E3871" s="41" t="str">
        <f aca="false">IF(D3871="","",IFERROR(VLOOKUP(D3871,Assumptions!$G$5:$H$16,2,0),"Other"))</f>
        <v/>
      </c>
      <c r="J3871" s="41" t="str">
        <f aca="false">IF(G3871="","",IFERROR(IF(ISNUMBER(SEARCH(Assumptions!$C$5,G3871)),Assumptions!$D$5,IF(ISNUMBER(SEARCH(Assumptions!$C$6,G3871)),Assumptions!$D$6,IF(ISNUMBER(SEARCH(Assumptions!$C$7,G3871)),Assumptions!$D$7,"Other Services"))),"Other Services"))</f>
        <v/>
      </c>
    </row>
    <row r="3872" customFormat="false" ht="15" hidden="false" customHeight="false" outlineLevel="0" collapsed="false">
      <c r="E3872" s="41" t="str">
        <f aca="false">IF(D3872="","",IFERROR(VLOOKUP(D3872,Assumptions!$G$5:$H$16,2,0),"Other"))</f>
        <v/>
      </c>
      <c r="J3872" s="41" t="str">
        <f aca="false">IF(G3872="","",IFERROR(IF(ISNUMBER(SEARCH(Assumptions!$C$5,G3872)),Assumptions!$D$5,IF(ISNUMBER(SEARCH(Assumptions!$C$6,G3872)),Assumptions!$D$6,IF(ISNUMBER(SEARCH(Assumptions!$C$7,G3872)),Assumptions!$D$7,"Other Services"))),"Other Services"))</f>
        <v/>
      </c>
    </row>
    <row r="3873" customFormat="false" ht="15" hidden="false" customHeight="false" outlineLevel="0" collapsed="false">
      <c r="E3873" s="41" t="str">
        <f aca="false">IF(D3873="","",IFERROR(VLOOKUP(D3873,Assumptions!$G$5:$H$16,2,0),"Other"))</f>
        <v/>
      </c>
      <c r="J3873" s="41" t="str">
        <f aca="false">IF(G3873="","",IFERROR(IF(ISNUMBER(SEARCH(Assumptions!$C$5,G3873)),Assumptions!$D$5,IF(ISNUMBER(SEARCH(Assumptions!$C$6,G3873)),Assumptions!$D$6,IF(ISNUMBER(SEARCH(Assumptions!$C$7,G3873)),Assumptions!$D$7,"Other Services"))),"Other Services"))</f>
        <v/>
      </c>
    </row>
    <row r="3874" customFormat="false" ht="15" hidden="false" customHeight="false" outlineLevel="0" collapsed="false">
      <c r="E3874" s="41" t="str">
        <f aca="false">IF(D3874="","",IFERROR(VLOOKUP(D3874,Assumptions!$G$5:$H$16,2,0),"Other"))</f>
        <v/>
      </c>
      <c r="J3874" s="41" t="str">
        <f aca="false">IF(G3874="","",IFERROR(IF(ISNUMBER(SEARCH(Assumptions!$C$5,G3874)),Assumptions!$D$5,IF(ISNUMBER(SEARCH(Assumptions!$C$6,G3874)),Assumptions!$D$6,IF(ISNUMBER(SEARCH(Assumptions!$C$7,G3874)),Assumptions!$D$7,"Other Services"))),"Other Services"))</f>
        <v/>
      </c>
    </row>
    <row r="3875" customFormat="false" ht="15" hidden="false" customHeight="false" outlineLevel="0" collapsed="false">
      <c r="E3875" s="41" t="str">
        <f aca="false">IF(D3875="","",IFERROR(VLOOKUP(D3875,Assumptions!$G$5:$H$16,2,0),"Other"))</f>
        <v/>
      </c>
      <c r="J3875" s="41" t="str">
        <f aca="false">IF(G3875="","",IFERROR(IF(ISNUMBER(SEARCH(Assumptions!$C$5,G3875)),Assumptions!$D$5,IF(ISNUMBER(SEARCH(Assumptions!$C$6,G3875)),Assumptions!$D$6,IF(ISNUMBER(SEARCH(Assumptions!$C$7,G3875)),Assumptions!$D$7,"Other Services"))),"Other Services"))</f>
        <v/>
      </c>
    </row>
    <row r="3876" customFormat="false" ht="15" hidden="false" customHeight="false" outlineLevel="0" collapsed="false">
      <c r="E3876" s="41" t="str">
        <f aca="false">IF(D3876="","",IFERROR(VLOOKUP(D3876,Assumptions!$G$5:$H$16,2,0),"Other"))</f>
        <v/>
      </c>
      <c r="J3876" s="41" t="str">
        <f aca="false">IF(G3876="","",IFERROR(IF(ISNUMBER(SEARCH(Assumptions!$C$5,G3876)),Assumptions!$D$5,IF(ISNUMBER(SEARCH(Assumptions!$C$6,G3876)),Assumptions!$D$6,IF(ISNUMBER(SEARCH(Assumptions!$C$7,G3876)),Assumptions!$D$7,"Other Services"))),"Other Services"))</f>
        <v/>
      </c>
    </row>
    <row r="3877" customFormat="false" ht="15" hidden="false" customHeight="false" outlineLevel="0" collapsed="false">
      <c r="E3877" s="41" t="str">
        <f aca="false">IF(D3877="","",IFERROR(VLOOKUP(D3877,Assumptions!$G$5:$H$16,2,0),"Other"))</f>
        <v/>
      </c>
      <c r="J3877" s="41" t="str">
        <f aca="false">IF(G3877="","",IFERROR(IF(ISNUMBER(SEARCH(Assumptions!$C$5,G3877)),Assumptions!$D$5,IF(ISNUMBER(SEARCH(Assumptions!$C$6,G3877)),Assumptions!$D$6,IF(ISNUMBER(SEARCH(Assumptions!$C$7,G3877)),Assumptions!$D$7,"Other Services"))),"Other Services"))</f>
        <v/>
      </c>
    </row>
    <row r="3878" customFormat="false" ht="15" hidden="false" customHeight="false" outlineLevel="0" collapsed="false">
      <c r="E3878" s="41" t="str">
        <f aca="false">IF(D3878="","",IFERROR(VLOOKUP(D3878,Assumptions!$G$5:$H$16,2,0),"Other"))</f>
        <v/>
      </c>
      <c r="J3878" s="41" t="str">
        <f aca="false">IF(G3878="","",IFERROR(IF(ISNUMBER(SEARCH(Assumptions!$C$5,G3878)),Assumptions!$D$5,IF(ISNUMBER(SEARCH(Assumptions!$C$6,G3878)),Assumptions!$D$6,IF(ISNUMBER(SEARCH(Assumptions!$C$7,G3878)),Assumptions!$D$7,"Other Services"))),"Other Services"))</f>
        <v/>
      </c>
    </row>
    <row r="3879" customFormat="false" ht="15" hidden="false" customHeight="false" outlineLevel="0" collapsed="false">
      <c r="E3879" s="41" t="str">
        <f aca="false">IF(D3879="","",IFERROR(VLOOKUP(D3879,Assumptions!$G$5:$H$16,2,0),"Other"))</f>
        <v/>
      </c>
      <c r="J3879" s="41" t="str">
        <f aca="false">IF(G3879="","",IFERROR(IF(ISNUMBER(SEARCH(Assumptions!$C$5,G3879)),Assumptions!$D$5,IF(ISNUMBER(SEARCH(Assumptions!$C$6,G3879)),Assumptions!$D$6,IF(ISNUMBER(SEARCH(Assumptions!$C$7,G3879)),Assumptions!$D$7,"Other Services"))),"Other Services"))</f>
        <v/>
      </c>
    </row>
    <row r="3880" customFormat="false" ht="15" hidden="false" customHeight="false" outlineLevel="0" collapsed="false">
      <c r="E3880" s="41" t="str">
        <f aca="false">IF(D3880="","",IFERROR(VLOOKUP(D3880,Assumptions!$G$5:$H$16,2,0),"Other"))</f>
        <v/>
      </c>
      <c r="J3880" s="41" t="str">
        <f aca="false">IF(G3880="","",IFERROR(IF(ISNUMBER(SEARCH(Assumptions!$C$5,G3880)),Assumptions!$D$5,IF(ISNUMBER(SEARCH(Assumptions!$C$6,G3880)),Assumptions!$D$6,IF(ISNUMBER(SEARCH(Assumptions!$C$7,G3880)),Assumptions!$D$7,"Other Services"))),"Other Services"))</f>
        <v/>
      </c>
    </row>
    <row r="3881" customFormat="false" ht="15" hidden="false" customHeight="false" outlineLevel="0" collapsed="false">
      <c r="E3881" s="41" t="str">
        <f aca="false">IF(D3881="","",IFERROR(VLOOKUP(D3881,Assumptions!$G$5:$H$16,2,0),"Other"))</f>
        <v/>
      </c>
      <c r="J3881" s="41" t="str">
        <f aca="false">IF(G3881="","",IFERROR(IF(ISNUMBER(SEARCH(Assumptions!$C$5,G3881)),Assumptions!$D$5,IF(ISNUMBER(SEARCH(Assumptions!$C$6,G3881)),Assumptions!$D$6,IF(ISNUMBER(SEARCH(Assumptions!$C$7,G3881)),Assumptions!$D$7,"Other Services"))),"Other Services"))</f>
        <v/>
      </c>
    </row>
    <row r="3882" customFormat="false" ht="15" hidden="false" customHeight="false" outlineLevel="0" collapsed="false">
      <c r="E3882" s="41" t="str">
        <f aca="false">IF(D3882="","",IFERROR(VLOOKUP(D3882,Assumptions!$G$5:$H$16,2,0),"Other"))</f>
        <v/>
      </c>
      <c r="J3882" s="41" t="str">
        <f aca="false">IF(G3882="","",IFERROR(IF(ISNUMBER(SEARCH(Assumptions!$C$5,G3882)),Assumptions!$D$5,IF(ISNUMBER(SEARCH(Assumptions!$C$6,G3882)),Assumptions!$D$6,IF(ISNUMBER(SEARCH(Assumptions!$C$7,G3882)),Assumptions!$D$7,"Other Services"))),"Other Services"))</f>
        <v/>
      </c>
    </row>
    <row r="3883" customFormat="false" ht="15" hidden="false" customHeight="false" outlineLevel="0" collapsed="false">
      <c r="E3883" s="41" t="str">
        <f aca="false">IF(D3883="","",IFERROR(VLOOKUP(D3883,Assumptions!$G$5:$H$16,2,0),"Other"))</f>
        <v/>
      </c>
      <c r="J3883" s="41" t="str">
        <f aca="false">IF(G3883="","",IFERROR(IF(ISNUMBER(SEARCH(Assumptions!$C$5,G3883)),Assumptions!$D$5,IF(ISNUMBER(SEARCH(Assumptions!$C$6,G3883)),Assumptions!$D$6,IF(ISNUMBER(SEARCH(Assumptions!$C$7,G3883)),Assumptions!$D$7,"Other Services"))),"Other Services"))</f>
        <v/>
      </c>
    </row>
    <row r="3884" customFormat="false" ht="15" hidden="false" customHeight="false" outlineLevel="0" collapsed="false">
      <c r="E3884" s="41" t="str">
        <f aca="false">IF(D3884="","",IFERROR(VLOOKUP(D3884,Assumptions!$G$5:$H$16,2,0),"Other"))</f>
        <v/>
      </c>
      <c r="J3884" s="41" t="str">
        <f aca="false">IF(G3884="","",IFERROR(IF(ISNUMBER(SEARCH(Assumptions!$C$5,G3884)),Assumptions!$D$5,IF(ISNUMBER(SEARCH(Assumptions!$C$6,G3884)),Assumptions!$D$6,IF(ISNUMBER(SEARCH(Assumptions!$C$7,G3884)),Assumptions!$D$7,"Other Services"))),"Other Services"))</f>
        <v/>
      </c>
    </row>
    <row r="3885" customFormat="false" ht="15" hidden="false" customHeight="false" outlineLevel="0" collapsed="false">
      <c r="E3885" s="41" t="str">
        <f aca="false">IF(D3885="","",IFERROR(VLOOKUP(D3885,Assumptions!$G$5:$H$16,2,0),"Other"))</f>
        <v/>
      </c>
      <c r="J3885" s="41" t="str">
        <f aca="false">IF(G3885="","",IFERROR(IF(ISNUMBER(SEARCH(Assumptions!$C$5,G3885)),Assumptions!$D$5,IF(ISNUMBER(SEARCH(Assumptions!$C$6,G3885)),Assumptions!$D$6,IF(ISNUMBER(SEARCH(Assumptions!$C$7,G3885)),Assumptions!$D$7,"Other Services"))),"Other Services"))</f>
        <v/>
      </c>
    </row>
    <row r="3886" customFormat="false" ht="15" hidden="false" customHeight="false" outlineLevel="0" collapsed="false">
      <c r="E3886" s="41" t="str">
        <f aca="false">IF(D3886="","",IFERROR(VLOOKUP(D3886,Assumptions!$G$5:$H$16,2,0),"Other"))</f>
        <v/>
      </c>
      <c r="J3886" s="41" t="str">
        <f aca="false">IF(G3886="","",IFERROR(IF(ISNUMBER(SEARCH(Assumptions!$C$5,G3886)),Assumptions!$D$5,IF(ISNUMBER(SEARCH(Assumptions!$C$6,G3886)),Assumptions!$D$6,IF(ISNUMBER(SEARCH(Assumptions!$C$7,G3886)),Assumptions!$D$7,"Other Services"))),"Other Services"))</f>
        <v/>
      </c>
    </row>
    <row r="3887" customFormat="false" ht="15" hidden="false" customHeight="false" outlineLevel="0" collapsed="false">
      <c r="E3887" s="41" t="str">
        <f aca="false">IF(D3887="","",IFERROR(VLOOKUP(D3887,Assumptions!$G$5:$H$16,2,0),"Other"))</f>
        <v/>
      </c>
      <c r="J3887" s="41" t="str">
        <f aca="false">IF(G3887="","",IFERROR(IF(ISNUMBER(SEARCH(Assumptions!$C$5,G3887)),Assumptions!$D$5,IF(ISNUMBER(SEARCH(Assumptions!$C$6,G3887)),Assumptions!$D$6,IF(ISNUMBER(SEARCH(Assumptions!$C$7,G3887)),Assumptions!$D$7,"Other Services"))),"Other Services"))</f>
        <v/>
      </c>
    </row>
    <row r="3888" customFormat="false" ht="15" hidden="false" customHeight="false" outlineLevel="0" collapsed="false">
      <c r="E3888" s="41" t="str">
        <f aca="false">IF(D3888="","",IFERROR(VLOOKUP(D3888,Assumptions!$G$5:$H$16,2,0),"Other"))</f>
        <v/>
      </c>
      <c r="J3888" s="41" t="str">
        <f aca="false">IF(G3888="","",IFERROR(IF(ISNUMBER(SEARCH(Assumptions!$C$5,G3888)),Assumptions!$D$5,IF(ISNUMBER(SEARCH(Assumptions!$C$6,G3888)),Assumptions!$D$6,IF(ISNUMBER(SEARCH(Assumptions!$C$7,G3888)),Assumptions!$D$7,"Other Services"))),"Other Services"))</f>
        <v/>
      </c>
    </row>
    <row r="3889" customFormat="false" ht="15" hidden="false" customHeight="false" outlineLevel="0" collapsed="false">
      <c r="E3889" s="41" t="str">
        <f aca="false">IF(D3889="","",IFERROR(VLOOKUP(D3889,Assumptions!$G$5:$H$16,2,0),"Other"))</f>
        <v/>
      </c>
      <c r="J3889" s="41" t="str">
        <f aca="false">IF(G3889="","",IFERROR(IF(ISNUMBER(SEARCH(Assumptions!$C$5,G3889)),Assumptions!$D$5,IF(ISNUMBER(SEARCH(Assumptions!$C$6,G3889)),Assumptions!$D$6,IF(ISNUMBER(SEARCH(Assumptions!$C$7,G3889)),Assumptions!$D$7,"Other Services"))),"Other Services"))</f>
        <v/>
      </c>
    </row>
    <row r="3890" customFormat="false" ht="15" hidden="false" customHeight="false" outlineLevel="0" collapsed="false">
      <c r="E3890" s="41" t="str">
        <f aca="false">IF(D3890="","",IFERROR(VLOOKUP(D3890,Assumptions!$G$5:$H$16,2,0),"Other"))</f>
        <v/>
      </c>
      <c r="J3890" s="41" t="str">
        <f aca="false">IF(G3890="","",IFERROR(IF(ISNUMBER(SEARCH(Assumptions!$C$5,G3890)),Assumptions!$D$5,IF(ISNUMBER(SEARCH(Assumptions!$C$6,G3890)),Assumptions!$D$6,IF(ISNUMBER(SEARCH(Assumptions!$C$7,G3890)),Assumptions!$D$7,"Other Services"))),"Other Services"))</f>
        <v/>
      </c>
    </row>
    <row r="3891" customFormat="false" ht="15" hidden="false" customHeight="false" outlineLevel="0" collapsed="false">
      <c r="E3891" s="41" t="str">
        <f aca="false">IF(D3891="","",IFERROR(VLOOKUP(D3891,Assumptions!$G$5:$H$16,2,0),"Other"))</f>
        <v/>
      </c>
      <c r="J3891" s="41" t="str">
        <f aca="false">IF(G3891="","",IFERROR(IF(ISNUMBER(SEARCH(Assumptions!$C$5,G3891)),Assumptions!$D$5,IF(ISNUMBER(SEARCH(Assumptions!$C$6,G3891)),Assumptions!$D$6,IF(ISNUMBER(SEARCH(Assumptions!$C$7,G3891)),Assumptions!$D$7,"Other Services"))),"Other Services"))</f>
        <v/>
      </c>
    </row>
    <row r="3892" customFormat="false" ht="15" hidden="false" customHeight="false" outlineLevel="0" collapsed="false">
      <c r="E3892" s="41" t="str">
        <f aca="false">IF(D3892="","",IFERROR(VLOOKUP(D3892,Assumptions!$G$5:$H$16,2,0),"Other"))</f>
        <v/>
      </c>
      <c r="J3892" s="41" t="str">
        <f aca="false">IF(G3892="","",IFERROR(IF(ISNUMBER(SEARCH(Assumptions!$C$5,G3892)),Assumptions!$D$5,IF(ISNUMBER(SEARCH(Assumptions!$C$6,G3892)),Assumptions!$D$6,IF(ISNUMBER(SEARCH(Assumptions!$C$7,G3892)),Assumptions!$D$7,"Other Services"))),"Other Services"))</f>
        <v/>
      </c>
    </row>
    <row r="3893" customFormat="false" ht="15" hidden="false" customHeight="false" outlineLevel="0" collapsed="false">
      <c r="E3893" s="41" t="str">
        <f aca="false">IF(D3893="","",IFERROR(VLOOKUP(D3893,Assumptions!$G$5:$H$16,2,0),"Other"))</f>
        <v/>
      </c>
      <c r="J3893" s="41" t="str">
        <f aca="false">IF(G3893="","",IFERROR(IF(ISNUMBER(SEARCH(Assumptions!$C$5,G3893)),Assumptions!$D$5,IF(ISNUMBER(SEARCH(Assumptions!$C$6,G3893)),Assumptions!$D$6,IF(ISNUMBER(SEARCH(Assumptions!$C$7,G3893)),Assumptions!$D$7,"Other Services"))),"Other Services"))</f>
        <v/>
      </c>
    </row>
    <row r="3894" customFormat="false" ht="15" hidden="false" customHeight="false" outlineLevel="0" collapsed="false">
      <c r="E3894" s="41" t="str">
        <f aca="false">IF(D3894="","",IFERROR(VLOOKUP(D3894,Assumptions!$G$5:$H$16,2,0),"Other"))</f>
        <v/>
      </c>
      <c r="J3894" s="41" t="str">
        <f aca="false">IF(G3894="","",IFERROR(IF(ISNUMBER(SEARCH(Assumptions!$C$5,G3894)),Assumptions!$D$5,IF(ISNUMBER(SEARCH(Assumptions!$C$6,G3894)),Assumptions!$D$6,IF(ISNUMBER(SEARCH(Assumptions!$C$7,G3894)),Assumptions!$D$7,"Other Services"))),"Other Services"))</f>
        <v/>
      </c>
    </row>
    <row r="3895" customFormat="false" ht="15" hidden="false" customHeight="false" outlineLevel="0" collapsed="false">
      <c r="E3895" s="41" t="str">
        <f aca="false">IF(D3895="","",IFERROR(VLOOKUP(D3895,Assumptions!$G$5:$H$16,2,0),"Other"))</f>
        <v/>
      </c>
      <c r="J3895" s="41" t="str">
        <f aca="false">IF(G3895="","",IFERROR(IF(ISNUMBER(SEARCH(Assumptions!$C$5,G3895)),Assumptions!$D$5,IF(ISNUMBER(SEARCH(Assumptions!$C$6,G3895)),Assumptions!$D$6,IF(ISNUMBER(SEARCH(Assumptions!$C$7,G3895)),Assumptions!$D$7,"Other Services"))),"Other Services"))</f>
        <v/>
      </c>
    </row>
    <row r="3896" customFormat="false" ht="15" hidden="false" customHeight="false" outlineLevel="0" collapsed="false">
      <c r="E3896" s="41" t="str">
        <f aca="false">IF(D3896="","",IFERROR(VLOOKUP(D3896,Assumptions!$G$5:$H$16,2,0),"Other"))</f>
        <v/>
      </c>
      <c r="J3896" s="41" t="str">
        <f aca="false">IF(G3896="","",IFERROR(IF(ISNUMBER(SEARCH(Assumptions!$C$5,G3896)),Assumptions!$D$5,IF(ISNUMBER(SEARCH(Assumptions!$C$6,G3896)),Assumptions!$D$6,IF(ISNUMBER(SEARCH(Assumptions!$C$7,G3896)),Assumptions!$D$7,"Other Services"))),"Other Services"))</f>
        <v/>
      </c>
    </row>
    <row r="3897" customFormat="false" ht="15" hidden="false" customHeight="false" outlineLevel="0" collapsed="false">
      <c r="E3897" s="41" t="str">
        <f aca="false">IF(D3897="","",IFERROR(VLOOKUP(D3897,Assumptions!$G$5:$H$16,2,0),"Other"))</f>
        <v/>
      </c>
      <c r="J3897" s="41" t="str">
        <f aca="false">IF(G3897="","",IFERROR(IF(ISNUMBER(SEARCH(Assumptions!$C$5,G3897)),Assumptions!$D$5,IF(ISNUMBER(SEARCH(Assumptions!$C$6,G3897)),Assumptions!$D$6,IF(ISNUMBER(SEARCH(Assumptions!$C$7,G3897)),Assumptions!$D$7,"Other Services"))),"Other Services"))</f>
        <v/>
      </c>
    </row>
    <row r="3898" customFormat="false" ht="15" hidden="false" customHeight="false" outlineLevel="0" collapsed="false">
      <c r="E3898" s="41" t="str">
        <f aca="false">IF(D3898="","",IFERROR(VLOOKUP(D3898,Assumptions!$G$5:$H$16,2,0),"Other"))</f>
        <v/>
      </c>
      <c r="J3898" s="41" t="str">
        <f aca="false">IF(G3898="","",IFERROR(IF(ISNUMBER(SEARCH(Assumptions!$C$5,G3898)),Assumptions!$D$5,IF(ISNUMBER(SEARCH(Assumptions!$C$6,G3898)),Assumptions!$D$6,IF(ISNUMBER(SEARCH(Assumptions!$C$7,G3898)),Assumptions!$D$7,"Other Services"))),"Other Services"))</f>
        <v/>
      </c>
    </row>
    <row r="3899" customFormat="false" ht="15" hidden="false" customHeight="false" outlineLevel="0" collapsed="false">
      <c r="E3899" s="41" t="str">
        <f aca="false">IF(D3899="","",IFERROR(VLOOKUP(D3899,Assumptions!$G$5:$H$16,2,0),"Other"))</f>
        <v/>
      </c>
      <c r="J3899" s="41" t="str">
        <f aca="false">IF(G3899="","",IFERROR(IF(ISNUMBER(SEARCH(Assumptions!$C$5,G3899)),Assumptions!$D$5,IF(ISNUMBER(SEARCH(Assumptions!$C$6,G3899)),Assumptions!$D$6,IF(ISNUMBER(SEARCH(Assumptions!$C$7,G3899)),Assumptions!$D$7,"Other Services"))),"Other Services"))</f>
        <v/>
      </c>
    </row>
    <row r="3900" customFormat="false" ht="15" hidden="false" customHeight="false" outlineLevel="0" collapsed="false">
      <c r="E3900" s="41" t="str">
        <f aca="false">IF(D3900="","",IFERROR(VLOOKUP(D3900,Assumptions!$G$5:$H$16,2,0),"Other"))</f>
        <v/>
      </c>
      <c r="J3900" s="41" t="str">
        <f aca="false">IF(G3900="","",IFERROR(IF(ISNUMBER(SEARCH(Assumptions!$C$5,G3900)),Assumptions!$D$5,IF(ISNUMBER(SEARCH(Assumptions!$C$6,G3900)),Assumptions!$D$6,IF(ISNUMBER(SEARCH(Assumptions!$C$7,G3900)),Assumptions!$D$7,"Other Services"))),"Other Services"))</f>
        <v/>
      </c>
    </row>
    <row r="3901" customFormat="false" ht="15" hidden="false" customHeight="false" outlineLevel="0" collapsed="false">
      <c r="E3901" s="41" t="str">
        <f aca="false">IF(D3901="","",IFERROR(VLOOKUP(D3901,Assumptions!$G$5:$H$16,2,0),"Other"))</f>
        <v/>
      </c>
      <c r="J3901" s="41" t="str">
        <f aca="false">IF(G3901="","",IFERROR(IF(ISNUMBER(SEARCH(Assumptions!$C$5,G3901)),Assumptions!$D$5,IF(ISNUMBER(SEARCH(Assumptions!$C$6,G3901)),Assumptions!$D$6,IF(ISNUMBER(SEARCH(Assumptions!$C$7,G3901)),Assumptions!$D$7,"Other Services"))),"Other Services"))</f>
        <v/>
      </c>
    </row>
    <row r="3902" customFormat="false" ht="15" hidden="false" customHeight="false" outlineLevel="0" collapsed="false">
      <c r="E3902" s="41" t="str">
        <f aca="false">IF(D3902="","",IFERROR(VLOOKUP(D3902,Assumptions!$G$5:$H$16,2,0),"Other"))</f>
        <v/>
      </c>
      <c r="J3902" s="41" t="str">
        <f aca="false">IF(G3902="","",IFERROR(IF(ISNUMBER(SEARCH(Assumptions!$C$5,G3902)),Assumptions!$D$5,IF(ISNUMBER(SEARCH(Assumptions!$C$6,G3902)),Assumptions!$D$6,IF(ISNUMBER(SEARCH(Assumptions!$C$7,G3902)),Assumptions!$D$7,"Other Services"))),"Other Services"))</f>
        <v/>
      </c>
    </row>
    <row r="3903" customFormat="false" ht="15" hidden="false" customHeight="false" outlineLevel="0" collapsed="false">
      <c r="E3903" s="41" t="str">
        <f aca="false">IF(D3903="","",IFERROR(VLOOKUP(D3903,Assumptions!$G$5:$H$16,2,0),"Other"))</f>
        <v/>
      </c>
      <c r="J3903" s="41" t="str">
        <f aca="false">IF(G3903="","",IFERROR(IF(ISNUMBER(SEARCH(Assumptions!$C$5,G3903)),Assumptions!$D$5,IF(ISNUMBER(SEARCH(Assumptions!$C$6,G3903)),Assumptions!$D$6,IF(ISNUMBER(SEARCH(Assumptions!$C$7,G3903)),Assumptions!$D$7,"Other Services"))),"Other Services"))</f>
        <v/>
      </c>
    </row>
    <row r="3904" customFormat="false" ht="15" hidden="false" customHeight="false" outlineLevel="0" collapsed="false">
      <c r="E3904" s="41" t="str">
        <f aca="false">IF(D3904="","",IFERROR(VLOOKUP(D3904,Assumptions!$G$5:$H$16,2,0),"Other"))</f>
        <v/>
      </c>
      <c r="J3904" s="41" t="str">
        <f aca="false">IF(G3904="","",IFERROR(IF(ISNUMBER(SEARCH(Assumptions!$C$5,G3904)),Assumptions!$D$5,IF(ISNUMBER(SEARCH(Assumptions!$C$6,G3904)),Assumptions!$D$6,IF(ISNUMBER(SEARCH(Assumptions!$C$7,G3904)),Assumptions!$D$7,"Other Services"))),"Other Services"))</f>
        <v/>
      </c>
    </row>
    <row r="3905" customFormat="false" ht="15" hidden="false" customHeight="false" outlineLevel="0" collapsed="false">
      <c r="E3905" s="41" t="str">
        <f aca="false">IF(D3905="","",IFERROR(VLOOKUP(D3905,Assumptions!$G$5:$H$16,2,0),"Other"))</f>
        <v/>
      </c>
      <c r="J3905" s="41" t="str">
        <f aca="false">IF(G3905="","",IFERROR(IF(ISNUMBER(SEARCH(Assumptions!$C$5,G3905)),Assumptions!$D$5,IF(ISNUMBER(SEARCH(Assumptions!$C$6,G3905)),Assumptions!$D$6,IF(ISNUMBER(SEARCH(Assumptions!$C$7,G3905)),Assumptions!$D$7,"Other Services"))),"Other Services"))</f>
        <v/>
      </c>
    </row>
    <row r="3906" customFormat="false" ht="15" hidden="false" customHeight="false" outlineLevel="0" collapsed="false">
      <c r="E3906" s="41" t="str">
        <f aca="false">IF(D3906="","",IFERROR(VLOOKUP(D3906,Assumptions!$G$5:$H$16,2,0),"Other"))</f>
        <v/>
      </c>
      <c r="J3906" s="41" t="str">
        <f aca="false">IF(G3906="","",IFERROR(IF(ISNUMBER(SEARCH(Assumptions!$C$5,G3906)),Assumptions!$D$5,IF(ISNUMBER(SEARCH(Assumptions!$C$6,G3906)),Assumptions!$D$6,IF(ISNUMBER(SEARCH(Assumptions!$C$7,G3906)),Assumptions!$D$7,"Other Services"))),"Other Services"))</f>
        <v/>
      </c>
    </row>
    <row r="3907" customFormat="false" ht="15" hidden="false" customHeight="false" outlineLevel="0" collapsed="false">
      <c r="E3907" s="41" t="str">
        <f aca="false">IF(D3907="","",IFERROR(VLOOKUP(D3907,Assumptions!$G$5:$H$16,2,0),"Other"))</f>
        <v/>
      </c>
      <c r="J3907" s="41" t="str">
        <f aca="false">IF(G3907="","",IFERROR(IF(ISNUMBER(SEARCH(Assumptions!$C$5,G3907)),Assumptions!$D$5,IF(ISNUMBER(SEARCH(Assumptions!$C$6,G3907)),Assumptions!$D$6,IF(ISNUMBER(SEARCH(Assumptions!$C$7,G3907)),Assumptions!$D$7,"Other Services"))),"Other Services"))</f>
        <v/>
      </c>
    </row>
    <row r="3908" customFormat="false" ht="15" hidden="false" customHeight="false" outlineLevel="0" collapsed="false">
      <c r="E3908" s="41" t="str">
        <f aca="false">IF(D3908="","",IFERROR(VLOOKUP(D3908,Assumptions!$G$5:$H$16,2,0),"Other"))</f>
        <v/>
      </c>
      <c r="J3908" s="41" t="str">
        <f aca="false">IF(G3908="","",IFERROR(IF(ISNUMBER(SEARCH(Assumptions!$C$5,G3908)),Assumptions!$D$5,IF(ISNUMBER(SEARCH(Assumptions!$C$6,G3908)),Assumptions!$D$6,IF(ISNUMBER(SEARCH(Assumptions!$C$7,G3908)),Assumptions!$D$7,"Other Services"))),"Other Services"))</f>
        <v/>
      </c>
    </row>
    <row r="3909" customFormat="false" ht="15" hidden="false" customHeight="false" outlineLevel="0" collapsed="false">
      <c r="E3909" s="41" t="str">
        <f aca="false">IF(D3909="","",IFERROR(VLOOKUP(D3909,Assumptions!$G$5:$H$16,2,0),"Other"))</f>
        <v/>
      </c>
      <c r="J3909" s="41" t="str">
        <f aca="false">IF(G3909="","",IFERROR(IF(ISNUMBER(SEARCH(Assumptions!$C$5,G3909)),Assumptions!$D$5,IF(ISNUMBER(SEARCH(Assumptions!$C$6,G3909)),Assumptions!$D$6,IF(ISNUMBER(SEARCH(Assumptions!$C$7,G3909)),Assumptions!$D$7,"Other Services"))),"Other Services"))</f>
        <v/>
      </c>
    </row>
    <row r="3910" customFormat="false" ht="15" hidden="false" customHeight="false" outlineLevel="0" collapsed="false">
      <c r="E3910" s="41" t="str">
        <f aca="false">IF(D3910="","",IFERROR(VLOOKUP(D3910,Assumptions!$G$5:$H$16,2,0),"Other"))</f>
        <v/>
      </c>
      <c r="J3910" s="41" t="str">
        <f aca="false">IF(G3910="","",IFERROR(IF(ISNUMBER(SEARCH(Assumptions!$C$5,G3910)),Assumptions!$D$5,IF(ISNUMBER(SEARCH(Assumptions!$C$6,G3910)),Assumptions!$D$6,IF(ISNUMBER(SEARCH(Assumptions!$C$7,G3910)),Assumptions!$D$7,"Other Services"))),"Other Services"))</f>
        <v/>
      </c>
    </row>
    <row r="3911" customFormat="false" ht="15" hidden="false" customHeight="false" outlineLevel="0" collapsed="false">
      <c r="E3911" s="41" t="str">
        <f aca="false">IF(D3911="","",IFERROR(VLOOKUP(D3911,Assumptions!$G$5:$H$16,2,0),"Other"))</f>
        <v/>
      </c>
      <c r="J3911" s="41" t="str">
        <f aca="false">IF(G3911="","",IFERROR(IF(ISNUMBER(SEARCH(Assumptions!$C$5,G3911)),Assumptions!$D$5,IF(ISNUMBER(SEARCH(Assumptions!$C$6,G3911)),Assumptions!$D$6,IF(ISNUMBER(SEARCH(Assumptions!$C$7,G3911)),Assumptions!$D$7,"Other Services"))),"Other Services"))</f>
        <v/>
      </c>
    </row>
    <row r="3912" customFormat="false" ht="15" hidden="false" customHeight="false" outlineLevel="0" collapsed="false">
      <c r="E3912" s="41" t="str">
        <f aca="false">IF(D3912="","",IFERROR(VLOOKUP(D3912,Assumptions!$G$5:$H$16,2,0),"Other"))</f>
        <v/>
      </c>
      <c r="J3912" s="41" t="str">
        <f aca="false">IF(G3912="","",IFERROR(IF(ISNUMBER(SEARCH(Assumptions!$C$5,G3912)),Assumptions!$D$5,IF(ISNUMBER(SEARCH(Assumptions!$C$6,G3912)),Assumptions!$D$6,IF(ISNUMBER(SEARCH(Assumptions!$C$7,G3912)),Assumptions!$D$7,"Other Services"))),"Other Services"))</f>
        <v/>
      </c>
    </row>
    <row r="3913" customFormat="false" ht="15" hidden="false" customHeight="false" outlineLevel="0" collapsed="false">
      <c r="E3913" s="41" t="str">
        <f aca="false">IF(D3913="","",IFERROR(VLOOKUP(D3913,Assumptions!$G$5:$H$16,2,0),"Other"))</f>
        <v/>
      </c>
      <c r="J3913" s="41" t="str">
        <f aca="false">IF(G3913="","",IFERROR(IF(ISNUMBER(SEARCH(Assumptions!$C$5,G3913)),Assumptions!$D$5,IF(ISNUMBER(SEARCH(Assumptions!$C$6,G3913)),Assumptions!$D$6,IF(ISNUMBER(SEARCH(Assumptions!$C$7,G3913)),Assumptions!$D$7,"Other Services"))),"Other Services"))</f>
        <v/>
      </c>
    </row>
    <row r="3914" customFormat="false" ht="15" hidden="false" customHeight="false" outlineLevel="0" collapsed="false">
      <c r="E3914" s="41" t="str">
        <f aca="false">IF(D3914="","",IFERROR(VLOOKUP(D3914,Assumptions!$G$5:$H$16,2,0),"Other"))</f>
        <v/>
      </c>
      <c r="J3914" s="41" t="str">
        <f aca="false">IF(G3914="","",IFERROR(IF(ISNUMBER(SEARCH(Assumptions!$C$5,G3914)),Assumptions!$D$5,IF(ISNUMBER(SEARCH(Assumptions!$C$6,G3914)),Assumptions!$D$6,IF(ISNUMBER(SEARCH(Assumptions!$C$7,G3914)),Assumptions!$D$7,"Other Services"))),"Other Services"))</f>
        <v/>
      </c>
    </row>
    <row r="3915" customFormat="false" ht="15" hidden="false" customHeight="false" outlineLevel="0" collapsed="false">
      <c r="E3915" s="41" t="str">
        <f aca="false">IF(D3915="","",IFERROR(VLOOKUP(D3915,Assumptions!$G$5:$H$16,2,0),"Other"))</f>
        <v/>
      </c>
      <c r="J3915" s="41" t="str">
        <f aca="false">IF(G3915="","",IFERROR(IF(ISNUMBER(SEARCH(Assumptions!$C$5,G3915)),Assumptions!$D$5,IF(ISNUMBER(SEARCH(Assumptions!$C$6,G3915)),Assumptions!$D$6,IF(ISNUMBER(SEARCH(Assumptions!$C$7,G3915)),Assumptions!$D$7,"Other Services"))),"Other Services"))</f>
        <v/>
      </c>
    </row>
    <row r="3916" customFormat="false" ht="15" hidden="false" customHeight="false" outlineLevel="0" collapsed="false">
      <c r="E3916" s="41" t="str">
        <f aca="false">IF(D3916="","",IFERROR(VLOOKUP(D3916,Assumptions!$G$5:$H$16,2,0),"Other"))</f>
        <v/>
      </c>
      <c r="J3916" s="41" t="str">
        <f aca="false">IF(G3916="","",IFERROR(IF(ISNUMBER(SEARCH(Assumptions!$C$5,G3916)),Assumptions!$D$5,IF(ISNUMBER(SEARCH(Assumptions!$C$6,G3916)),Assumptions!$D$6,IF(ISNUMBER(SEARCH(Assumptions!$C$7,G3916)),Assumptions!$D$7,"Other Services"))),"Other Services"))</f>
        <v/>
      </c>
    </row>
    <row r="3917" customFormat="false" ht="15" hidden="false" customHeight="false" outlineLevel="0" collapsed="false">
      <c r="E3917" s="41" t="str">
        <f aca="false">IF(D3917="","",IFERROR(VLOOKUP(D3917,Assumptions!$G$5:$H$16,2,0),"Other"))</f>
        <v/>
      </c>
      <c r="J3917" s="41" t="str">
        <f aca="false">IF(G3917="","",IFERROR(IF(ISNUMBER(SEARCH(Assumptions!$C$5,G3917)),Assumptions!$D$5,IF(ISNUMBER(SEARCH(Assumptions!$C$6,G3917)),Assumptions!$D$6,IF(ISNUMBER(SEARCH(Assumptions!$C$7,G3917)),Assumptions!$D$7,"Other Services"))),"Other Services"))</f>
        <v/>
      </c>
    </row>
    <row r="3918" customFormat="false" ht="15" hidden="false" customHeight="false" outlineLevel="0" collapsed="false">
      <c r="E3918" s="41" t="str">
        <f aca="false">IF(D3918="","",IFERROR(VLOOKUP(D3918,Assumptions!$G$5:$H$16,2,0),"Other"))</f>
        <v/>
      </c>
      <c r="J3918" s="41" t="str">
        <f aca="false">IF(G3918="","",IFERROR(IF(ISNUMBER(SEARCH(Assumptions!$C$5,G3918)),Assumptions!$D$5,IF(ISNUMBER(SEARCH(Assumptions!$C$6,G3918)),Assumptions!$D$6,IF(ISNUMBER(SEARCH(Assumptions!$C$7,G3918)),Assumptions!$D$7,"Other Services"))),"Other Services"))</f>
        <v/>
      </c>
    </row>
    <row r="3919" customFormat="false" ht="15" hidden="false" customHeight="false" outlineLevel="0" collapsed="false">
      <c r="E3919" s="41" t="str">
        <f aca="false">IF(D3919="","",IFERROR(VLOOKUP(D3919,Assumptions!$G$5:$H$16,2,0),"Other"))</f>
        <v/>
      </c>
      <c r="J3919" s="41" t="str">
        <f aca="false">IF(G3919="","",IFERROR(IF(ISNUMBER(SEARCH(Assumptions!$C$5,G3919)),Assumptions!$D$5,IF(ISNUMBER(SEARCH(Assumptions!$C$6,G3919)),Assumptions!$D$6,IF(ISNUMBER(SEARCH(Assumptions!$C$7,G3919)),Assumptions!$D$7,"Other Services"))),"Other Services"))</f>
        <v/>
      </c>
    </row>
    <row r="3920" customFormat="false" ht="15" hidden="false" customHeight="false" outlineLevel="0" collapsed="false">
      <c r="E3920" s="41" t="str">
        <f aca="false">IF(D3920="","",IFERROR(VLOOKUP(D3920,Assumptions!$G$5:$H$16,2,0),"Other"))</f>
        <v/>
      </c>
      <c r="J3920" s="41" t="str">
        <f aca="false">IF(G3920="","",IFERROR(IF(ISNUMBER(SEARCH(Assumptions!$C$5,G3920)),Assumptions!$D$5,IF(ISNUMBER(SEARCH(Assumptions!$C$6,G3920)),Assumptions!$D$6,IF(ISNUMBER(SEARCH(Assumptions!$C$7,G3920)),Assumptions!$D$7,"Other Services"))),"Other Services"))</f>
        <v/>
      </c>
    </row>
    <row r="3921" customFormat="false" ht="15" hidden="false" customHeight="false" outlineLevel="0" collapsed="false">
      <c r="E3921" s="41" t="str">
        <f aca="false">IF(D3921="","",IFERROR(VLOOKUP(D3921,Assumptions!$G$5:$H$16,2,0),"Other"))</f>
        <v/>
      </c>
      <c r="J3921" s="41" t="str">
        <f aca="false">IF(G3921="","",IFERROR(IF(ISNUMBER(SEARCH(Assumptions!$C$5,G3921)),Assumptions!$D$5,IF(ISNUMBER(SEARCH(Assumptions!$C$6,G3921)),Assumptions!$D$6,IF(ISNUMBER(SEARCH(Assumptions!$C$7,G3921)),Assumptions!$D$7,"Other Services"))),"Other Services"))</f>
        <v/>
      </c>
    </row>
    <row r="3922" customFormat="false" ht="15" hidden="false" customHeight="false" outlineLevel="0" collapsed="false">
      <c r="E3922" s="41" t="str">
        <f aca="false">IF(D3922="","",IFERROR(VLOOKUP(D3922,Assumptions!$G$5:$H$16,2,0),"Other"))</f>
        <v/>
      </c>
      <c r="J3922" s="41" t="str">
        <f aca="false">IF(G3922="","",IFERROR(IF(ISNUMBER(SEARCH(Assumptions!$C$5,G3922)),Assumptions!$D$5,IF(ISNUMBER(SEARCH(Assumptions!$C$6,G3922)),Assumptions!$D$6,IF(ISNUMBER(SEARCH(Assumptions!$C$7,G3922)),Assumptions!$D$7,"Other Services"))),"Other Services"))</f>
        <v/>
      </c>
    </row>
    <row r="3923" customFormat="false" ht="15" hidden="false" customHeight="false" outlineLevel="0" collapsed="false">
      <c r="E3923" s="41" t="str">
        <f aca="false">IF(D3923="","",IFERROR(VLOOKUP(D3923,Assumptions!$G$5:$H$16,2,0),"Other"))</f>
        <v/>
      </c>
      <c r="J3923" s="41" t="str">
        <f aca="false">IF(G3923="","",IFERROR(IF(ISNUMBER(SEARCH(Assumptions!$C$5,G3923)),Assumptions!$D$5,IF(ISNUMBER(SEARCH(Assumptions!$C$6,G3923)),Assumptions!$D$6,IF(ISNUMBER(SEARCH(Assumptions!$C$7,G3923)),Assumptions!$D$7,"Other Services"))),"Other Services"))</f>
        <v/>
      </c>
    </row>
    <row r="3924" customFormat="false" ht="15" hidden="false" customHeight="false" outlineLevel="0" collapsed="false">
      <c r="E3924" s="41" t="str">
        <f aca="false">IF(D3924="","",IFERROR(VLOOKUP(D3924,Assumptions!$G$5:$H$16,2,0),"Other"))</f>
        <v/>
      </c>
      <c r="J3924" s="41" t="str">
        <f aca="false">IF(G3924="","",IFERROR(IF(ISNUMBER(SEARCH(Assumptions!$C$5,G3924)),Assumptions!$D$5,IF(ISNUMBER(SEARCH(Assumptions!$C$6,G3924)),Assumptions!$D$6,IF(ISNUMBER(SEARCH(Assumptions!$C$7,G3924)),Assumptions!$D$7,"Other Services"))),"Other Services"))</f>
        <v/>
      </c>
    </row>
    <row r="3925" customFormat="false" ht="15" hidden="false" customHeight="false" outlineLevel="0" collapsed="false">
      <c r="E3925" s="41" t="str">
        <f aca="false">IF(D3925="","",IFERROR(VLOOKUP(D3925,Assumptions!$G$5:$H$16,2,0),"Other"))</f>
        <v/>
      </c>
      <c r="J3925" s="41" t="str">
        <f aca="false">IF(G3925="","",IFERROR(IF(ISNUMBER(SEARCH(Assumptions!$C$5,G3925)),Assumptions!$D$5,IF(ISNUMBER(SEARCH(Assumptions!$C$6,G3925)),Assumptions!$D$6,IF(ISNUMBER(SEARCH(Assumptions!$C$7,G3925)),Assumptions!$D$7,"Other Services"))),"Other Services"))</f>
        <v/>
      </c>
    </row>
    <row r="3926" customFormat="false" ht="15" hidden="false" customHeight="false" outlineLevel="0" collapsed="false">
      <c r="E3926" s="41" t="str">
        <f aca="false">IF(D3926="","",IFERROR(VLOOKUP(D3926,Assumptions!$G$5:$H$16,2,0),"Other"))</f>
        <v/>
      </c>
      <c r="J3926" s="41" t="str">
        <f aca="false">IF(G3926="","",IFERROR(IF(ISNUMBER(SEARCH(Assumptions!$C$5,G3926)),Assumptions!$D$5,IF(ISNUMBER(SEARCH(Assumptions!$C$6,G3926)),Assumptions!$D$6,IF(ISNUMBER(SEARCH(Assumptions!$C$7,G3926)),Assumptions!$D$7,"Other Services"))),"Other Services"))</f>
        <v/>
      </c>
    </row>
    <row r="3927" customFormat="false" ht="15" hidden="false" customHeight="false" outlineLevel="0" collapsed="false">
      <c r="E3927" s="41" t="str">
        <f aca="false">IF(D3927="","",IFERROR(VLOOKUP(D3927,Assumptions!$G$5:$H$16,2,0),"Other"))</f>
        <v/>
      </c>
      <c r="J3927" s="41" t="str">
        <f aca="false">IF(G3927="","",IFERROR(IF(ISNUMBER(SEARCH(Assumptions!$C$5,G3927)),Assumptions!$D$5,IF(ISNUMBER(SEARCH(Assumptions!$C$6,G3927)),Assumptions!$D$6,IF(ISNUMBER(SEARCH(Assumptions!$C$7,G3927)),Assumptions!$D$7,"Other Services"))),"Other Services"))</f>
        <v/>
      </c>
    </row>
    <row r="3928" customFormat="false" ht="15" hidden="false" customHeight="false" outlineLevel="0" collapsed="false">
      <c r="E3928" s="41" t="str">
        <f aca="false">IF(D3928="","",IFERROR(VLOOKUP(D3928,Assumptions!$G$5:$H$16,2,0),"Other"))</f>
        <v/>
      </c>
      <c r="J3928" s="41" t="str">
        <f aca="false">IF(G3928="","",IFERROR(IF(ISNUMBER(SEARCH(Assumptions!$C$5,G3928)),Assumptions!$D$5,IF(ISNUMBER(SEARCH(Assumptions!$C$6,G3928)),Assumptions!$D$6,IF(ISNUMBER(SEARCH(Assumptions!$C$7,G3928)),Assumptions!$D$7,"Other Services"))),"Other Services"))</f>
        <v/>
      </c>
    </row>
    <row r="3929" customFormat="false" ht="15" hidden="false" customHeight="false" outlineLevel="0" collapsed="false">
      <c r="E3929" s="41" t="str">
        <f aca="false">IF(D3929="","",IFERROR(VLOOKUP(D3929,Assumptions!$G$5:$H$16,2,0),"Other"))</f>
        <v/>
      </c>
      <c r="J3929" s="41" t="str">
        <f aca="false">IF(G3929="","",IFERROR(IF(ISNUMBER(SEARCH(Assumptions!$C$5,G3929)),Assumptions!$D$5,IF(ISNUMBER(SEARCH(Assumptions!$C$6,G3929)),Assumptions!$D$6,IF(ISNUMBER(SEARCH(Assumptions!$C$7,G3929)),Assumptions!$D$7,"Other Services"))),"Other Services"))</f>
        <v/>
      </c>
    </row>
    <row r="3930" customFormat="false" ht="15" hidden="false" customHeight="false" outlineLevel="0" collapsed="false">
      <c r="E3930" s="41" t="str">
        <f aca="false">IF(D3930="","",IFERROR(VLOOKUP(D3930,Assumptions!$G$5:$H$16,2,0),"Other"))</f>
        <v/>
      </c>
      <c r="J3930" s="41" t="str">
        <f aca="false">IF(G3930="","",IFERROR(IF(ISNUMBER(SEARCH(Assumptions!$C$5,G3930)),Assumptions!$D$5,IF(ISNUMBER(SEARCH(Assumptions!$C$6,G3930)),Assumptions!$D$6,IF(ISNUMBER(SEARCH(Assumptions!$C$7,G3930)),Assumptions!$D$7,"Other Services"))),"Other Services"))</f>
        <v/>
      </c>
    </row>
    <row r="3931" customFormat="false" ht="15" hidden="false" customHeight="false" outlineLevel="0" collapsed="false">
      <c r="E3931" s="41" t="str">
        <f aca="false">IF(D3931="","",IFERROR(VLOOKUP(D3931,Assumptions!$G$5:$H$16,2,0),"Other"))</f>
        <v/>
      </c>
      <c r="J3931" s="41" t="str">
        <f aca="false">IF(G3931="","",IFERROR(IF(ISNUMBER(SEARCH(Assumptions!$C$5,G3931)),Assumptions!$D$5,IF(ISNUMBER(SEARCH(Assumptions!$C$6,G3931)),Assumptions!$D$6,IF(ISNUMBER(SEARCH(Assumptions!$C$7,G3931)),Assumptions!$D$7,"Other Services"))),"Other Services"))</f>
        <v/>
      </c>
    </row>
    <row r="3932" customFormat="false" ht="15" hidden="false" customHeight="false" outlineLevel="0" collapsed="false">
      <c r="E3932" s="41" t="str">
        <f aca="false">IF(D3932="","",IFERROR(VLOOKUP(D3932,Assumptions!$G$5:$H$16,2,0),"Other"))</f>
        <v/>
      </c>
      <c r="J3932" s="41" t="str">
        <f aca="false">IF(G3932="","",IFERROR(IF(ISNUMBER(SEARCH(Assumptions!$C$5,G3932)),Assumptions!$D$5,IF(ISNUMBER(SEARCH(Assumptions!$C$6,G3932)),Assumptions!$D$6,IF(ISNUMBER(SEARCH(Assumptions!$C$7,G3932)),Assumptions!$D$7,"Other Services"))),"Other Services"))</f>
        <v/>
      </c>
    </row>
    <row r="3933" customFormat="false" ht="15" hidden="false" customHeight="false" outlineLevel="0" collapsed="false">
      <c r="E3933" s="41" t="str">
        <f aca="false">IF(D3933="","",IFERROR(VLOOKUP(D3933,Assumptions!$G$5:$H$16,2,0),"Other"))</f>
        <v/>
      </c>
      <c r="J3933" s="41" t="str">
        <f aca="false">IF(G3933="","",IFERROR(IF(ISNUMBER(SEARCH(Assumptions!$C$5,G3933)),Assumptions!$D$5,IF(ISNUMBER(SEARCH(Assumptions!$C$6,G3933)),Assumptions!$D$6,IF(ISNUMBER(SEARCH(Assumptions!$C$7,G3933)),Assumptions!$D$7,"Other Services"))),"Other Services"))</f>
        <v/>
      </c>
    </row>
    <row r="3934" customFormat="false" ht="15" hidden="false" customHeight="false" outlineLevel="0" collapsed="false">
      <c r="E3934" s="41" t="str">
        <f aca="false">IF(D3934="","",IFERROR(VLOOKUP(D3934,Assumptions!$G$5:$H$16,2,0),"Other"))</f>
        <v/>
      </c>
      <c r="J3934" s="41" t="str">
        <f aca="false">IF(G3934="","",IFERROR(IF(ISNUMBER(SEARCH(Assumptions!$C$5,G3934)),Assumptions!$D$5,IF(ISNUMBER(SEARCH(Assumptions!$C$6,G3934)),Assumptions!$D$6,IF(ISNUMBER(SEARCH(Assumptions!$C$7,G3934)),Assumptions!$D$7,"Other Services"))),"Other Services"))</f>
        <v/>
      </c>
    </row>
    <row r="3935" customFormat="false" ht="15" hidden="false" customHeight="false" outlineLevel="0" collapsed="false">
      <c r="E3935" s="41" t="str">
        <f aca="false">IF(D3935="","",IFERROR(VLOOKUP(D3935,Assumptions!$G$5:$H$16,2,0),"Other"))</f>
        <v/>
      </c>
      <c r="J3935" s="41" t="str">
        <f aca="false">IF(G3935="","",IFERROR(IF(ISNUMBER(SEARCH(Assumptions!$C$5,G3935)),Assumptions!$D$5,IF(ISNUMBER(SEARCH(Assumptions!$C$6,G3935)),Assumptions!$D$6,IF(ISNUMBER(SEARCH(Assumptions!$C$7,G3935)),Assumptions!$D$7,"Other Services"))),"Other Services"))</f>
        <v/>
      </c>
    </row>
    <row r="3936" customFormat="false" ht="15" hidden="false" customHeight="false" outlineLevel="0" collapsed="false">
      <c r="E3936" s="41" t="str">
        <f aca="false">IF(D3936="","",IFERROR(VLOOKUP(D3936,Assumptions!$G$5:$H$16,2,0),"Other"))</f>
        <v/>
      </c>
      <c r="J3936" s="41" t="str">
        <f aca="false">IF(G3936="","",IFERROR(IF(ISNUMBER(SEARCH(Assumptions!$C$5,G3936)),Assumptions!$D$5,IF(ISNUMBER(SEARCH(Assumptions!$C$6,G3936)),Assumptions!$D$6,IF(ISNUMBER(SEARCH(Assumptions!$C$7,G3936)),Assumptions!$D$7,"Other Services"))),"Other Services"))</f>
        <v/>
      </c>
    </row>
    <row r="3937" customFormat="false" ht="15" hidden="false" customHeight="false" outlineLevel="0" collapsed="false">
      <c r="E3937" s="41" t="str">
        <f aca="false">IF(D3937="","",IFERROR(VLOOKUP(D3937,Assumptions!$G$5:$H$16,2,0),"Other"))</f>
        <v/>
      </c>
      <c r="J3937" s="41" t="str">
        <f aca="false">IF(G3937="","",IFERROR(IF(ISNUMBER(SEARCH(Assumptions!$C$5,G3937)),Assumptions!$D$5,IF(ISNUMBER(SEARCH(Assumptions!$C$6,G3937)),Assumptions!$D$6,IF(ISNUMBER(SEARCH(Assumptions!$C$7,G3937)),Assumptions!$D$7,"Other Services"))),"Other Services"))</f>
        <v/>
      </c>
    </row>
    <row r="3938" customFormat="false" ht="15" hidden="false" customHeight="false" outlineLevel="0" collapsed="false">
      <c r="E3938" s="41" t="str">
        <f aca="false">IF(D3938="","",IFERROR(VLOOKUP(D3938,Assumptions!$G$5:$H$16,2,0),"Other"))</f>
        <v/>
      </c>
      <c r="J3938" s="41" t="str">
        <f aca="false">IF(G3938="","",IFERROR(IF(ISNUMBER(SEARCH(Assumptions!$C$5,G3938)),Assumptions!$D$5,IF(ISNUMBER(SEARCH(Assumptions!$C$6,G3938)),Assumptions!$D$6,IF(ISNUMBER(SEARCH(Assumptions!$C$7,G3938)),Assumptions!$D$7,"Other Services"))),"Other Services"))</f>
        <v/>
      </c>
    </row>
    <row r="3939" customFormat="false" ht="15" hidden="false" customHeight="false" outlineLevel="0" collapsed="false">
      <c r="E3939" s="41" t="str">
        <f aca="false">IF(D3939="","",IFERROR(VLOOKUP(D3939,Assumptions!$G$5:$H$16,2,0),"Other"))</f>
        <v/>
      </c>
      <c r="J3939" s="41" t="str">
        <f aca="false">IF(G3939="","",IFERROR(IF(ISNUMBER(SEARCH(Assumptions!$C$5,G3939)),Assumptions!$D$5,IF(ISNUMBER(SEARCH(Assumptions!$C$6,G3939)),Assumptions!$D$6,IF(ISNUMBER(SEARCH(Assumptions!$C$7,G3939)),Assumptions!$D$7,"Other Services"))),"Other Services"))</f>
        <v/>
      </c>
    </row>
    <row r="3940" customFormat="false" ht="15" hidden="false" customHeight="false" outlineLevel="0" collapsed="false">
      <c r="E3940" s="41" t="str">
        <f aca="false">IF(D3940="","",IFERROR(VLOOKUP(D3940,Assumptions!$G$5:$H$16,2,0),"Other"))</f>
        <v/>
      </c>
      <c r="J3940" s="41" t="str">
        <f aca="false">IF(G3940="","",IFERROR(IF(ISNUMBER(SEARCH(Assumptions!$C$5,G3940)),Assumptions!$D$5,IF(ISNUMBER(SEARCH(Assumptions!$C$6,G3940)),Assumptions!$D$6,IF(ISNUMBER(SEARCH(Assumptions!$C$7,G3940)),Assumptions!$D$7,"Other Services"))),"Other Services"))</f>
        <v/>
      </c>
    </row>
    <row r="3941" customFormat="false" ht="15" hidden="false" customHeight="false" outlineLevel="0" collapsed="false">
      <c r="E3941" s="41" t="str">
        <f aca="false">IF(D3941="","",IFERROR(VLOOKUP(D3941,Assumptions!$G$5:$H$16,2,0),"Other"))</f>
        <v/>
      </c>
      <c r="J3941" s="41" t="str">
        <f aca="false">IF(G3941="","",IFERROR(IF(ISNUMBER(SEARCH(Assumptions!$C$5,G3941)),Assumptions!$D$5,IF(ISNUMBER(SEARCH(Assumptions!$C$6,G3941)),Assumptions!$D$6,IF(ISNUMBER(SEARCH(Assumptions!$C$7,G3941)),Assumptions!$D$7,"Other Services"))),"Other Services"))</f>
        <v/>
      </c>
    </row>
    <row r="3942" customFormat="false" ht="15" hidden="false" customHeight="false" outlineLevel="0" collapsed="false">
      <c r="E3942" s="41" t="str">
        <f aca="false">IF(D3942="","",IFERROR(VLOOKUP(D3942,Assumptions!$G$5:$H$16,2,0),"Other"))</f>
        <v/>
      </c>
      <c r="J3942" s="41" t="str">
        <f aca="false">IF(G3942="","",IFERROR(IF(ISNUMBER(SEARCH(Assumptions!$C$5,G3942)),Assumptions!$D$5,IF(ISNUMBER(SEARCH(Assumptions!$C$6,G3942)),Assumptions!$D$6,IF(ISNUMBER(SEARCH(Assumptions!$C$7,G3942)),Assumptions!$D$7,"Other Services"))),"Other Services"))</f>
        <v/>
      </c>
    </row>
    <row r="3943" customFormat="false" ht="15" hidden="false" customHeight="false" outlineLevel="0" collapsed="false">
      <c r="E3943" s="41" t="str">
        <f aca="false">IF(D3943="","",IFERROR(VLOOKUP(D3943,Assumptions!$G$5:$H$16,2,0),"Other"))</f>
        <v/>
      </c>
      <c r="J3943" s="41" t="str">
        <f aca="false">IF(G3943="","",IFERROR(IF(ISNUMBER(SEARCH(Assumptions!$C$5,G3943)),Assumptions!$D$5,IF(ISNUMBER(SEARCH(Assumptions!$C$6,G3943)),Assumptions!$D$6,IF(ISNUMBER(SEARCH(Assumptions!$C$7,G3943)),Assumptions!$D$7,"Other Services"))),"Other Services"))</f>
        <v/>
      </c>
    </row>
    <row r="3944" customFormat="false" ht="15" hidden="false" customHeight="false" outlineLevel="0" collapsed="false">
      <c r="E3944" s="41" t="str">
        <f aca="false">IF(D3944="","",IFERROR(VLOOKUP(D3944,Assumptions!$G$5:$H$16,2,0),"Other"))</f>
        <v/>
      </c>
      <c r="J3944" s="41" t="str">
        <f aca="false">IF(G3944="","",IFERROR(IF(ISNUMBER(SEARCH(Assumptions!$C$5,G3944)),Assumptions!$D$5,IF(ISNUMBER(SEARCH(Assumptions!$C$6,G3944)),Assumptions!$D$6,IF(ISNUMBER(SEARCH(Assumptions!$C$7,G3944)),Assumptions!$D$7,"Other Services"))),"Other Services"))</f>
        <v/>
      </c>
    </row>
    <row r="3945" customFormat="false" ht="15" hidden="false" customHeight="false" outlineLevel="0" collapsed="false">
      <c r="E3945" s="41" t="str">
        <f aca="false">IF(D3945="","",IFERROR(VLOOKUP(D3945,Assumptions!$G$5:$H$16,2,0),"Other"))</f>
        <v/>
      </c>
      <c r="J3945" s="41" t="str">
        <f aca="false">IF(G3945="","",IFERROR(IF(ISNUMBER(SEARCH(Assumptions!$C$5,G3945)),Assumptions!$D$5,IF(ISNUMBER(SEARCH(Assumptions!$C$6,G3945)),Assumptions!$D$6,IF(ISNUMBER(SEARCH(Assumptions!$C$7,G3945)),Assumptions!$D$7,"Other Services"))),"Other Services"))</f>
        <v/>
      </c>
    </row>
    <row r="3946" customFormat="false" ht="15" hidden="false" customHeight="false" outlineLevel="0" collapsed="false">
      <c r="E3946" s="41" t="str">
        <f aca="false">IF(D3946="","",IFERROR(VLOOKUP(D3946,Assumptions!$G$5:$H$16,2,0),"Other"))</f>
        <v/>
      </c>
      <c r="J3946" s="41" t="str">
        <f aca="false">IF(G3946="","",IFERROR(IF(ISNUMBER(SEARCH(Assumptions!$C$5,G3946)),Assumptions!$D$5,IF(ISNUMBER(SEARCH(Assumptions!$C$6,G3946)),Assumptions!$D$6,IF(ISNUMBER(SEARCH(Assumptions!$C$7,G3946)),Assumptions!$D$7,"Other Services"))),"Other Services"))</f>
        <v/>
      </c>
    </row>
    <row r="3947" customFormat="false" ht="15" hidden="false" customHeight="false" outlineLevel="0" collapsed="false">
      <c r="E3947" s="41" t="str">
        <f aca="false">IF(D3947="","",IFERROR(VLOOKUP(D3947,Assumptions!$G$5:$H$16,2,0),"Other"))</f>
        <v/>
      </c>
      <c r="J3947" s="41" t="str">
        <f aca="false">IF(G3947="","",IFERROR(IF(ISNUMBER(SEARCH(Assumptions!$C$5,G3947)),Assumptions!$D$5,IF(ISNUMBER(SEARCH(Assumptions!$C$6,G3947)),Assumptions!$D$6,IF(ISNUMBER(SEARCH(Assumptions!$C$7,G3947)),Assumptions!$D$7,"Other Services"))),"Other Services"))</f>
        <v/>
      </c>
    </row>
    <row r="3948" customFormat="false" ht="15" hidden="false" customHeight="false" outlineLevel="0" collapsed="false">
      <c r="E3948" s="41" t="str">
        <f aca="false">IF(D3948="","",IFERROR(VLOOKUP(D3948,Assumptions!$G$5:$H$16,2,0),"Other"))</f>
        <v/>
      </c>
      <c r="J3948" s="41" t="str">
        <f aca="false">IF(G3948="","",IFERROR(IF(ISNUMBER(SEARCH(Assumptions!$C$5,G3948)),Assumptions!$D$5,IF(ISNUMBER(SEARCH(Assumptions!$C$6,G3948)),Assumptions!$D$6,IF(ISNUMBER(SEARCH(Assumptions!$C$7,G3948)),Assumptions!$D$7,"Other Services"))),"Other Services"))</f>
        <v/>
      </c>
    </row>
    <row r="3949" customFormat="false" ht="15" hidden="false" customHeight="false" outlineLevel="0" collapsed="false">
      <c r="E3949" s="41" t="str">
        <f aca="false">IF(D3949="","",IFERROR(VLOOKUP(D3949,Assumptions!$G$5:$H$16,2,0),"Other"))</f>
        <v/>
      </c>
      <c r="J3949" s="41" t="str">
        <f aca="false">IF(G3949="","",IFERROR(IF(ISNUMBER(SEARCH(Assumptions!$C$5,G3949)),Assumptions!$D$5,IF(ISNUMBER(SEARCH(Assumptions!$C$6,G3949)),Assumptions!$D$6,IF(ISNUMBER(SEARCH(Assumptions!$C$7,G3949)),Assumptions!$D$7,"Other Services"))),"Other Services"))</f>
        <v/>
      </c>
    </row>
    <row r="3950" customFormat="false" ht="15" hidden="false" customHeight="false" outlineLevel="0" collapsed="false">
      <c r="E3950" s="41" t="str">
        <f aca="false">IF(D3950="","",IFERROR(VLOOKUP(D3950,Assumptions!$G$5:$H$16,2,0),"Other"))</f>
        <v/>
      </c>
      <c r="J3950" s="41" t="str">
        <f aca="false">IF(G3950="","",IFERROR(IF(ISNUMBER(SEARCH(Assumptions!$C$5,G3950)),Assumptions!$D$5,IF(ISNUMBER(SEARCH(Assumptions!$C$6,G3950)),Assumptions!$D$6,IF(ISNUMBER(SEARCH(Assumptions!$C$7,G3950)),Assumptions!$D$7,"Other Services"))),"Other Services"))</f>
        <v/>
      </c>
    </row>
    <row r="3951" customFormat="false" ht="15" hidden="false" customHeight="false" outlineLevel="0" collapsed="false">
      <c r="E3951" s="41" t="str">
        <f aca="false">IF(D3951="","",IFERROR(VLOOKUP(D3951,Assumptions!$G$5:$H$16,2,0),"Other"))</f>
        <v/>
      </c>
      <c r="J3951" s="41" t="str">
        <f aca="false">IF(G3951="","",IFERROR(IF(ISNUMBER(SEARCH(Assumptions!$C$5,G3951)),Assumptions!$D$5,IF(ISNUMBER(SEARCH(Assumptions!$C$6,G3951)),Assumptions!$D$6,IF(ISNUMBER(SEARCH(Assumptions!$C$7,G3951)),Assumptions!$D$7,"Other Services"))),"Other Services"))</f>
        <v/>
      </c>
    </row>
    <row r="3952" customFormat="false" ht="15" hidden="false" customHeight="false" outlineLevel="0" collapsed="false">
      <c r="E3952" s="41" t="str">
        <f aca="false">IF(D3952="","",IFERROR(VLOOKUP(D3952,Assumptions!$G$5:$H$16,2,0),"Other"))</f>
        <v/>
      </c>
      <c r="J3952" s="41" t="str">
        <f aca="false">IF(G3952="","",IFERROR(IF(ISNUMBER(SEARCH(Assumptions!$C$5,G3952)),Assumptions!$D$5,IF(ISNUMBER(SEARCH(Assumptions!$C$6,G3952)),Assumptions!$D$6,IF(ISNUMBER(SEARCH(Assumptions!$C$7,G3952)),Assumptions!$D$7,"Other Services"))),"Other Services"))</f>
        <v/>
      </c>
    </row>
    <row r="3953" customFormat="false" ht="15" hidden="false" customHeight="false" outlineLevel="0" collapsed="false">
      <c r="E3953" s="41" t="str">
        <f aca="false">IF(D3953="","",IFERROR(VLOOKUP(D3953,Assumptions!$G$5:$H$16,2,0),"Other"))</f>
        <v/>
      </c>
      <c r="J3953" s="41" t="str">
        <f aca="false">IF(G3953="","",IFERROR(IF(ISNUMBER(SEARCH(Assumptions!$C$5,G3953)),Assumptions!$D$5,IF(ISNUMBER(SEARCH(Assumptions!$C$6,G3953)),Assumptions!$D$6,IF(ISNUMBER(SEARCH(Assumptions!$C$7,G3953)),Assumptions!$D$7,"Other Services"))),"Other Services"))</f>
        <v/>
      </c>
    </row>
    <row r="3954" customFormat="false" ht="15" hidden="false" customHeight="false" outlineLevel="0" collapsed="false">
      <c r="E3954" s="41" t="str">
        <f aca="false">IF(D3954="","",IFERROR(VLOOKUP(D3954,Assumptions!$G$5:$H$16,2,0),"Other"))</f>
        <v/>
      </c>
      <c r="J3954" s="41" t="str">
        <f aca="false">IF(G3954="","",IFERROR(IF(ISNUMBER(SEARCH(Assumptions!$C$5,G3954)),Assumptions!$D$5,IF(ISNUMBER(SEARCH(Assumptions!$C$6,G3954)),Assumptions!$D$6,IF(ISNUMBER(SEARCH(Assumptions!$C$7,G3954)),Assumptions!$D$7,"Other Services"))),"Other Services"))</f>
        <v/>
      </c>
    </row>
    <row r="3955" customFormat="false" ht="15" hidden="false" customHeight="false" outlineLevel="0" collapsed="false">
      <c r="E3955" s="41" t="str">
        <f aca="false">IF(D3955="","",IFERROR(VLOOKUP(D3955,Assumptions!$G$5:$H$16,2,0),"Other"))</f>
        <v/>
      </c>
      <c r="J3955" s="41" t="str">
        <f aca="false">IF(G3955="","",IFERROR(IF(ISNUMBER(SEARCH(Assumptions!$C$5,G3955)),Assumptions!$D$5,IF(ISNUMBER(SEARCH(Assumptions!$C$6,G3955)),Assumptions!$D$6,IF(ISNUMBER(SEARCH(Assumptions!$C$7,G3955)),Assumptions!$D$7,"Other Services"))),"Other Services"))</f>
        <v/>
      </c>
    </row>
    <row r="3956" customFormat="false" ht="15" hidden="false" customHeight="false" outlineLevel="0" collapsed="false">
      <c r="E3956" s="41" t="str">
        <f aca="false">IF(D3956="","",IFERROR(VLOOKUP(D3956,Assumptions!$G$5:$H$16,2,0),"Other"))</f>
        <v/>
      </c>
      <c r="J3956" s="41" t="str">
        <f aca="false">IF(G3956="","",IFERROR(IF(ISNUMBER(SEARCH(Assumptions!$C$5,G3956)),Assumptions!$D$5,IF(ISNUMBER(SEARCH(Assumptions!$C$6,G3956)),Assumptions!$D$6,IF(ISNUMBER(SEARCH(Assumptions!$C$7,G3956)),Assumptions!$D$7,"Other Services"))),"Other Services"))</f>
        <v/>
      </c>
    </row>
    <row r="3957" customFormat="false" ht="15" hidden="false" customHeight="false" outlineLevel="0" collapsed="false">
      <c r="E3957" s="41" t="str">
        <f aca="false">IF(D3957="","",IFERROR(VLOOKUP(D3957,Assumptions!$G$5:$H$16,2,0),"Other"))</f>
        <v/>
      </c>
      <c r="J3957" s="41" t="str">
        <f aca="false">IF(G3957="","",IFERROR(IF(ISNUMBER(SEARCH(Assumptions!$C$5,G3957)),Assumptions!$D$5,IF(ISNUMBER(SEARCH(Assumptions!$C$6,G3957)),Assumptions!$D$6,IF(ISNUMBER(SEARCH(Assumptions!$C$7,G3957)),Assumptions!$D$7,"Other Services"))),"Other Services"))</f>
        <v/>
      </c>
    </row>
    <row r="3958" customFormat="false" ht="15" hidden="false" customHeight="false" outlineLevel="0" collapsed="false">
      <c r="E3958" s="41" t="str">
        <f aca="false">IF(D3958="","",IFERROR(VLOOKUP(D3958,Assumptions!$G$5:$H$16,2,0),"Other"))</f>
        <v/>
      </c>
      <c r="J3958" s="41" t="str">
        <f aca="false">IF(G3958="","",IFERROR(IF(ISNUMBER(SEARCH(Assumptions!$C$5,G3958)),Assumptions!$D$5,IF(ISNUMBER(SEARCH(Assumptions!$C$6,G3958)),Assumptions!$D$6,IF(ISNUMBER(SEARCH(Assumptions!$C$7,G3958)),Assumptions!$D$7,"Other Services"))),"Other Services"))</f>
        <v/>
      </c>
    </row>
    <row r="3959" customFormat="false" ht="15" hidden="false" customHeight="false" outlineLevel="0" collapsed="false">
      <c r="E3959" s="41" t="str">
        <f aca="false">IF(D3959="","",IFERROR(VLOOKUP(D3959,Assumptions!$G$5:$H$16,2,0),"Other"))</f>
        <v/>
      </c>
      <c r="J3959" s="41" t="str">
        <f aca="false">IF(G3959="","",IFERROR(IF(ISNUMBER(SEARCH(Assumptions!$C$5,G3959)),Assumptions!$D$5,IF(ISNUMBER(SEARCH(Assumptions!$C$6,G3959)),Assumptions!$D$6,IF(ISNUMBER(SEARCH(Assumptions!$C$7,G3959)),Assumptions!$D$7,"Other Services"))),"Other Services"))</f>
        <v/>
      </c>
    </row>
    <row r="3960" customFormat="false" ht="15" hidden="false" customHeight="false" outlineLevel="0" collapsed="false">
      <c r="E3960" s="41" t="str">
        <f aca="false">IF(D3960="","",IFERROR(VLOOKUP(D3960,Assumptions!$G$5:$H$16,2,0),"Other"))</f>
        <v/>
      </c>
      <c r="J3960" s="41" t="str">
        <f aca="false">IF(G3960="","",IFERROR(IF(ISNUMBER(SEARCH(Assumptions!$C$5,G3960)),Assumptions!$D$5,IF(ISNUMBER(SEARCH(Assumptions!$C$6,G3960)),Assumptions!$D$6,IF(ISNUMBER(SEARCH(Assumptions!$C$7,G3960)),Assumptions!$D$7,"Other Services"))),"Other Services"))</f>
        <v/>
      </c>
    </row>
    <row r="3961" customFormat="false" ht="15" hidden="false" customHeight="false" outlineLevel="0" collapsed="false">
      <c r="E3961" s="41" t="str">
        <f aca="false">IF(D3961="","",IFERROR(VLOOKUP(D3961,Assumptions!$G$5:$H$16,2,0),"Other"))</f>
        <v/>
      </c>
      <c r="J3961" s="41" t="str">
        <f aca="false">IF(G3961="","",IFERROR(IF(ISNUMBER(SEARCH(Assumptions!$C$5,G3961)),Assumptions!$D$5,IF(ISNUMBER(SEARCH(Assumptions!$C$6,G3961)),Assumptions!$D$6,IF(ISNUMBER(SEARCH(Assumptions!$C$7,G3961)),Assumptions!$D$7,"Other Services"))),"Other Services"))</f>
        <v/>
      </c>
    </row>
    <row r="3962" customFormat="false" ht="15" hidden="false" customHeight="false" outlineLevel="0" collapsed="false">
      <c r="E3962" s="41" t="str">
        <f aca="false">IF(D3962="","",IFERROR(VLOOKUP(D3962,Assumptions!$G$5:$H$16,2,0),"Other"))</f>
        <v/>
      </c>
      <c r="J3962" s="41" t="str">
        <f aca="false">IF(G3962="","",IFERROR(IF(ISNUMBER(SEARCH(Assumptions!$C$5,G3962)),Assumptions!$D$5,IF(ISNUMBER(SEARCH(Assumptions!$C$6,G3962)),Assumptions!$D$6,IF(ISNUMBER(SEARCH(Assumptions!$C$7,G3962)),Assumptions!$D$7,"Other Services"))),"Other Services"))</f>
        <v/>
      </c>
    </row>
    <row r="3963" customFormat="false" ht="15" hidden="false" customHeight="false" outlineLevel="0" collapsed="false">
      <c r="E3963" s="41" t="str">
        <f aca="false">IF(D3963="","",IFERROR(VLOOKUP(D3963,Assumptions!$G$5:$H$16,2,0),"Other"))</f>
        <v/>
      </c>
      <c r="J3963" s="41" t="str">
        <f aca="false">IF(G3963="","",IFERROR(IF(ISNUMBER(SEARCH(Assumptions!$C$5,G3963)),Assumptions!$D$5,IF(ISNUMBER(SEARCH(Assumptions!$C$6,G3963)),Assumptions!$D$6,IF(ISNUMBER(SEARCH(Assumptions!$C$7,G3963)),Assumptions!$D$7,"Other Services"))),"Other Services"))</f>
        <v/>
      </c>
    </row>
    <row r="3964" customFormat="false" ht="15" hidden="false" customHeight="false" outlineLevel="0" collapsed="false">
      <c r="E3964" s="41" t="str">
        <f aca="false">IF(D3964="","",IFERROR(VLOOKUP(D3964,Assumptions!$G$5:$H$16,2,0),"Other"))</f>
        <v/>
      </c>
      <c r="J3964" s="41" t="str">
        <f aca="false">IF(G3964="","",IFERROR(IF(ISNUMBER(SEARCH(Assumptions!$C$5,G3964)),Assumptions!$D$5,IF(ISNUMBER(SEARCH(Assumptions!$C$6,G3964)),Assumptions!$D$6,IF(ISNUMBER(SEARCH(Assumptions!$C$7,G3964)),Assumptions!$D$7,"Other Services"))),"Other Services"))</f>
        <v/>
      </c>
    </row>
    <row r="3965" customFormat="false" ht="15" hidden="false" customHeight="false" outlineLevel="0" collapsed="false">
      <c r="E3965" s="41" t="str">
        <f aca="false">IF(D3965="","",IFERROR(VLOOKUP(D3965,Assumptions!$G$5:$H$16,2,0),"Other"))</f>
        <v/>
      </c>
      <c r="J3965" s="41" t="str">
        <f aca="false">IF(G3965="","",IFERROR(IF(ISNUMBER(SEARCH(Assumptions!$C$5,G3965)),Assumptions!$D$5,IF(ISNUMBER(SEARCH(Assumptions!$C$6,G3965)),Assumptions!$D$6,IF(ISNUMBER(SEARCH(Assumptions!$C$7,G3965)),Assumptions!$D$7,"Other Services"))),"Other Services"))</f>
        <v/>
      </c>
    </row>
    <row r="3966" customFormat="false" ht="15" hidden="false" customHeight="false" outlineLevel="0" collapsed="false">
      <c r="E3966" s="41" t="str">
        <f aca="false">IF(D3966="","",IFERROR(VLOOKUP(D3966,Assumptions!$G$5:$H$16,2,0),"Other"))</f>
        <v/>
      </c>
      <c r="J3966" s="41" t="str">
        <f aca="false">IF(G3966="","",IFERROR(IF(ISNUMBER(SEARCH(Assumptions!$C$5,G3966)),Assumptions!$D$5,IF(ISNUMBER(SEARCH(Assumptions!$C$6,G3966)),Assumptions!$D$6,IF(ISNUMBER(SEARCH(Assumptions!$C$7,G3966)),Assumptions!$D$7,"Other Services"))),"Other Services"))</f>
        <v/>
      </c>
    </row>
    <row r="3967" customFormat="false" ht="15" hidden="false" customHeight="false" outlineLevel="0" collapsed="false">
      <c r="E3967" s="41" t="str">
        <f aca="false">IF(D3967="","",IFERROR(VLOOKUP(D3967,Assumptions!$G$5:$H$16,2,0),"Other"))</f>
        <v/>
      </c>
      <c r="J3967" s="41" t="str">
        <f aca="false">IF(G3967="","",IFERROR(IF(ISNUMBER(SEARCH(Assumptions!$C$5,G3967)),Assumptions!$D$5,IF(ISNUMBER(SEARCH(Assumptions!$C$6,G3967)),Assumptions!$D$6,IF(ISNUMBER(SEARCH(Assumptions!$C$7,G3967)),Assumptions!$D$7,"Other Services"))),"Other Services"))</f>
        <v/>
      </c>
    </row>
    <row r="3968" customFormat="false" ht="15" hidden="false" customHeight="false" outlineLevel="0" collapsed="false">
      <c r="E3968" s="41" t="str">
        <f aca="false">IF(D3968="","",IFERROR(VLOOKUP(D3968,Assumptions!$G$5:$H$16,2,0),"Other"))</f>
        <v/>
      </c>
      <c r="J3968" s="41" t="str">
        <f aca="false">IF(G3968="","",IFERROR(IF(ISNUMBER(SEARCH(Assumptions!$C$5,G3968)),Assumptions!$D$5,IF(ISNUMBER(SEARCH(Assumptions!$C$6,G3968)),Assumptions!$D$6,IF(ISNUMBER(SEARCH(Assumptions!$C$7,G3968)),Assumptions!$D$7,"Other Services"))),"Other Services"))</f>
        <v/>
      </c>
    </row>
    <row r="3969" customFormat="false" ht="15" hidden="false" customHeight="false" outlineLevel="0" collapsed="false">
      <c r="E3969" s="41" t="str">
        <f aca="false">IF(D3969="","",IFERROR(VLOOKUP(D3969,Assumptions!$G$5:$H$16,2,0),"Other"))</f>
        <v/>
      </c>
      <c r="J3969" s="41" t="str">
        <f aca="false">IF(G3969="","",IFERROR(IF(ISNUMBER(SEARCH(Assumptions!$C$5,G3969)),Assumptions!$D$5,IF(ISNUMBER(SEARCH(Assumptions!$C$6,G3969)),Assumptions!$D$6,IF(ISNUMBER(SEARCH(Assumptions!$C$7,G3969)),Assumptions!$D$7,"Other Services"))),"Other Services"))</f>
        <v/>
      </c>
    </row>
    <row r="3970" customFormat="false" ht="15" hidden="false" customHeight="false" outlineLevel="0" collapsed="false">
      <c r="E3970" s="41" t="str">
        <f aca="false">IF(D3970="","",IFERROR(VLOOKUP(D3970,Assumptions!$G$5:$H$16,2,0),"Other"))</f>
        <v/>
      </c>
      <c r="J3970" s="41" t="str">
        <f aca="false">IF(G3970="","",IFERROR(IF(ISNUMBER(SEARCH(Assumptions!$C$5,G3970)),Assumptions!$D$5,IF(ISNUMBER(SEARCH(Assumptions!$C$6,G3970)),Assumptions!$D$6,IF(ISNUMBER(SEARCH(Assumptions!$C$7,G3970)),Assumptions!$D$7,"Other Services"))),"Other Services"))</f>
        <v/>
      </c>
    </row>
    <row r="3971" customFormat="false" ht="15" hidden="false" customHeight="false" outlineLevel="0" collapsed="false">
      <c r="E3971" s="41" t="str">
        <f aca="false">IF(D3971="","",IFERROR(VLOOKUP(D3971,Assumptions!$G$5:$H$16,2,0),"Other"))</f>
        <v/>
      </c>
      <c r="J3971" s="41" t="str">
        <f aca="false">IF(G3971="","",IFERROR(IF(ISNUMBER(SEARCH(Assumptions!$C$5,G3971)),Assumptions!$D$5,IF(ISNUMBER(SEARCH(Assumptions!$C$6,G3971)),Assumptions!$D$6,IF(ISNUMBER(SEARCH(Assumptions!$C$7,G3971)),Assumptions!$D$7,"Other Services"))),"Other Services"))</f>
        <v/>
      </c>
    </row>
    <row r="3972" customFormat="false" ht="15" hidden="false" customHeight="false" outlineLevel="0" collapsed="false">
      <c r="E3972" s="41" t="str">
        <f aca="false">IF(D3972="","",IFERROR(VLOOKUP(D3972,Assumptions!$G$5:$H$16,2,0),"Other"))</f>
        <v/>
      </c>
      <c r="J3972" s="41" t="str">
        <f aca="false">IF(G3972="","",IFERROR(IF(ISNUMBER(SEARCH(Assumptions!$C$5,G3972)),Assumptions!$D$5,IF(ISNUMBER(SEARCH(Assumptions!$C$6,G3972)),Assumptions!$D$6,IF(ISNUMBER(SEARCH(Assumptions!$C$7,G3972)),Assumptions!$D$7,"Other Services"))),"Other Services"))</f>
        <v/>
      </c>
    </row>
    <row r="3973" customFormat="false" ht="15" hidden="false" customHeight="false" outlineLevel="0" collapsed="false">
      <c r="E3973" s="41" t="str">
        <f aca="false">IF(D3973="","",IFERROR(VLOOKUP(D3973,Assumptions!$G$5:$H$16,2,0),"Other"))</f>
        <v/>
      </c>
      <c r="J3973" s="41" t="str">
        <f aca="false">IF(G3973="","",IFERROR(IF(ISNUMBER(SEARCH(Assumptions!$C$5,G3973)),Assumptions!$D$5,IF(ISNUMBER(SEARCH(Assumptions!$C$6,G3973)),Assumptions!$D$6,IF(ISNUMBER(SEARCH(Assumptions!$C$7,G3973)),Assumptions!$D$7,"Other Services"))),"Other Services"))</f>
        <v/>
      </c>
    </row>
    <row r="3974" customFormat="false" ht="15" hidden="false" customHeight="false" outlineLevel="0" collapsed="false">
      <c r="E3974" s="41" t="str">
        <f aca="false">IF(D3974="","",IFERROR(VLOOKUP(D3974,Assumptions!$G$5:$H$16,2,0),"Other"))</f>
        <v/>
      </c>
      <c r="J3974" s="41" t="str">
        <f aca="false">IF(G3974="","",IFERROR(IF(ISNUMBER(SEARCH(Assumptions!$C$5,G3974)),Assumptions!$D$5,IF(ISNUMBER(SEARCH(Assumptions!$C$6,G3974)),Assumptions!$D$6,IF(ISNUMBER(SEARCH(Assumptions!$C$7,G3974)),Assumptions!$D$7,"Other Services"))),"Other Services"))</f>
        <v/>
      </c>
    </row>
    <row r="3975" customFormat="false" ht="15" hidden="false" customHeight="false" outlineLevel="0" collapsed="false">
      <c r="E3975" s="41" t="str">
        <f aca="false">IF(D3975="","",IFERROR(VLOOKUP(D3975,Assumptions!$G$5:$H$16,2,0),"Other"))</f>
        <v/>
      </c>
      <c r="J3975" s="41" t="str">
        <f aca="false">IF(G3975="","",IFERROR(IF(ISNUMBER(SEARCH(Assumptions!$C$5,G3975)),Assumptions!$D$5,IF(ISNUMBER(SEARCH(Assumptions!$C$6,G3975)),Assumptions!$D$6,IF(ISNUMBER(SEARCH(Assumptions!$C$7,G3975)),Assumptions!$D$7,"Other Services"))),"Other Services"))</f>
        <v/>
      </c>
    </row>
    <row r="3976" customFormat="false" ht="15" hidden="false" customHeight="false" outlineLevel="0" collapsed="false">
      <c r="E3976" s="41" t="str">
        <f aca="false">IF(D3976="","",IFERROR(VLOOKUP(D3976,Assumptions!$G$5:$H$16,2,0),"Other"))</f>
        <v/>
      </c>
      <c r="J3976" s="41" t="str">
        <f aca="false">IF(G3976="","",IFERROR(IF(ISNUMBER(SEARCH(Assumptions!$C$5,G3976)),Assumptions!$D$5,IF(ISNUMBER(SEARCH(Assumptions!$C$6,G3976)),Assumptions!$D$6,IF(ISNUMBER(SEARCH(Assumptions!$C$7,G3976)),Assumptions!$D$7,"Other Services"))),"Other Services"))</f>
        <v/>
      </c>
    </row>
    <row r="3977" customFormat="false" ht="15" hidden="false" customHeight="false" outlineLevel="0" collapsed="false">
      <c r="E3977" s="41" t="str">
        <f aca="false">IF(D3977="","",IFERROR(VLOOKUP(D3977,Assumptions!$G$5:$H$16,2,0),"Other"))</f>
        <v/>
      </c>
      <c r="J3977" s="41" t="str">
        <f aca="false">IF(G3977="","",IFERROR(IF(ISNUMBER(SEARCH(Assumptions!$C$5,G3977)),Assumptions!$D$5,IF(ISNUMBER(SEARCH(Assumptions!$C$6,G3977)),Assumptions!$D$6,IF(ISNUMBER(SEARCH(Assumptions!$C$7,G3977)),Assumptions!$D$7,"Other Services"))),"Other Services"))</f>
        <v/>
      </c>
    </row>
    <row r="3978" customFormat="false" ht="15" hidden="false" customHeight="false" outlineLevel="0" collapsed="false">
      <c r="E3978" s="41" t="str">
        <f aca="false">IF(D3978="","",IFERROR(VLOOKUP(D3978,Assumptions!$G$5:$H$16,2,0),"Other"))</f>
        <v/>
      </c>
      <c r="J3978" s="41" t="str">
        <f aca="false">IF(G3978="","",IFERROR(IF(ISNUMBER(SEARCH(Assumptions!$C$5,G3978)),Assumptions!$D$5,IF(ISNUMBER(SEARCH(Assumptions!$C$6,G3978)),Assumptions!$D$6,IF(ISNUMBER(SEARCH(Assumptions!$C$7,G3978)),Assumptions!$D$7,"Other Services"))),"Other Services"))</f>
        <v/>
      </c>
    </row>
    <row r="3979" customFormat="false" ht="15" hidden="false" customHeight="false" outlineLevel="0" collapsed="false">
      <c r="E3979" s="41" t="str">
        <f aca="false">IF(D3979="","",IFERROR(VLOOKUP(D3979,Assumptions!$G$5:$H$16,2,0),"Other"))</f>
        <v/>
      </c>
      <c r="J3979" s="41" t="str">
        <f aca="false">IF(G3979="","",IFERROR(IF(ISNUMBER(SEARCH(Assumptions!$C$5,G3979)),Assumptions!$D$5,IF(ISNUMBER(SEARCH(Assumptions!$C$6,G3979)),Assumptions!$D$6,IF(ISNUMBER(SEARCH(Assumptions!$C$7,G3979)),Assumptions!$D$7,"Other Services"))),"Other Services"))</f>
        <v/>
      </c>
    </row>
    <row r="3980" customFormat="false" ht="15" hidden="false" customHeight="false" outlineLevel="0" collapsed="false">
      <c r="E3980" s="41" t="str">
        <f aca="false">IF(D3980="","",IFERROR(VLOOKUP(D3980,Assumptions!$G$5:$H$16,2,0),"Other"))</f>
        <v/>
      </c>
      <c r="J3980" s="41" t="str">
        <f aca="false">IF(G3980="","",IFERROR(IF(ISNUMBER(SEARCH(Assumptions!$C$5,G3980)),Assumptions!$D$5,IF(ISNUMBER(SEARCH(Assumptions!$C$6,G3980)),Assumptions!$D$6,IF(ISNUMBER(SEARCH(Assumptions!$C$7,G3980)),Assumptions!$D$7,"Other Services"))),"Other Services"))</f>
        <v/>
      </c>
    </row>
    <row r="3981" customFormat="false" ht="15" hidden="false" customHeight="false" outlineLevel="0" collapsed="false">
      <c r="E3981" s="41" t="str">
        <f aca="false">IF(D3981="","",IFERROR(VLOOKUP(D3981,Assumptions!$G$5:$H$16,2,0),"Other"))</f>
        <v/>
      </c>
      <c r="J3981" s="41" t="str">
        <f aca="false">IF(G3981="","",IFERROR(IF(ISNUMBER(SEARCH(Assumptions!$C$5,G3981)),Assumptions!$D$5,IF(ISNUMBER(SEARCH(Assumptions!$C$6,G3981)),Assumptions!$D$6,IF(ISNUMBER(SEARCH(Assumptions!$C$7,G3981)),Assumptions!$D$7,"Other Services"))),"Other Services"))</f>
        <v/>
      </c>
    </row>
    <row r="3982" customFormat="false" ht="15" hidden="false" customHeight="false" outlineLevel="0" collapsed="false">
      <c r="E3982" s="41" t="str">
        <f aca="false">IF(D3982="","",IFERROR(VLOOKUP(D3982,Assumptions!$G$5:$H$16,2,0),"Other"))</f>
        <v/>
      </c>
      <c r="J3982" s="41" t="str">
        <f aca="false">IF(G3982="","",IFERROR(IF(ISNUMBER(SEARCH(Assumptions!$C$5,G3982)),Assumptions!$D$5,IF(ISNUMBER(SEARCH(Assumptions!$C$6,G3982)),Assumptions!$D$6,IF(ISNUMBER(SEARCH(Assumptions!$C$7,G3982)),Assumptions!$D$7,"Other Services"))),"Other Services"))</f>
        <v/>
      </c>
    </row>
    <row r="3983" customFormat="false" ht="15" hidden="false" customHeight="false" outlineLevel="0" collapsed="false">
      <c r="E3983" s="41" t="str">
        <f aca="false">IF(D3983="","",IFERROR(VLOOKUP(D3983,Assumptions!$G$5:$H$16,2,0),"Other"))</f>
        <v/>
      </c>
      <c r="J3983" s="41" t="str">
        <f aca="false">IF(G3983="","",IFERROR(IF(ISNUMBER(SEARCH(Assumptions!$C$5,G3983)),Assumptions!$D$5,IF(ISNUMBER(SEARCH(Assumptions!$C$6,G3983)),Assumptions!$D$6,IF(ISNUMBER(SEARCH(Assumptions!$C$7,G3983)),Assumptions!$D$7,"Other Services"))),"Other Services"))</f>
        <v/>
      </c>
    </row>
    <row r="3984" customFormat="false" ht="15" hidden="false" customHeight="false" outlineLevel="0" collapsed="false">
      <c r="E3984" s="41" t="str">
        <f aca="false">IF(D3984="","",IFERROR(VLOOKUP(D3984,Assumptions!$G$5:$H$16,2,0),"Other"))</f>
        <v/>
      </c>
      <c r="J3984" s="41" t="str">
        <f aca="false">IF(G3984="","",IFERROR(IF(ISNUMBER(SEARCH(Assumptions!$C$5,G3984)),Assumptions!$D$5,IF(ISNUMBER(SEARCH(Assumptions!$C$6,G3984)),Assumptions!$D$6,IF(ISNUMBER(SEARCH(Assumptions!$C$7,G3984)),Assumptions!$D$7,"Other Services"))),"Other Services"))</f>
        <v/>
      </c>
    </row>
    <row r="3985" customFormat="false" ht="15" hidden="false" customHeight="false" outlineLevel="0" collapsed="false">
      <c r="E3985" s="41" t="str">
        <f aca="false">IF(D3985="","",IFERROR(VLOOKUP(D3985,Assumptions!$G$5:$H$16,2,0),"Other"))</f>
        <v/>
      </c>
      <c r="J3985" s="41" t="str">
        <f aca="false">IF(G3985="","",IFERROR(IF(ISNUMBER(SEARCH(Assumptions!$C$5,G3985)),Assumptions!$D$5,IF(ISNUMBER(SEARCH(Assumptions!$C$6,G3985)),Assumptions!$D$6,IF(ISNUMBER(SEARCH(Assumptions!$C$7,G3985)),Assumptions!$D$7,"Other Services"))),"Other Services"))</f>
        <v/>
      </c>
    </row>
    <row r="3986" customFormat="false" ht="15" hidden="false" customHeight="false" outlineLevel="0" collapsed="false">
      <c r="E3986" s="41" t="str">
        <f aca="false">IF(D3986="","",IFERROR(VLOOKUP(D3986,Assumptions!$G$5:$H$16,2,0),"Other"))</f>
        <v/>
      </c>
      <c r="J3986" s="41" t="str">
        <f aca="false">IF(G3986="","",IFERROR(IF(ISNUMBER(SEARCH(Assumptions!$C$5,G3986)),Assumptions!$D$5,IF(ISNUMBER(SEARCH(Assumptions!$C$6,G3986)),Assumptions!$D$6,IF(ISNUMBER(SEARCH(Assumptions!$C$7,G3986)),Assumptions!$D$7,"Other Services"))),"Other Services"))</f>
        <v/>
      </c>
    </row>
    <row r="3987" customFormat="false" ht="15" hidden="false" customHeight="false" outlineLevel="0" collapsed="false">
      <c r="E3987" s="41" t="str">
        <f aca="false">IF(D3987="","",IFERROR(VLOOKUP(D3987,Assumptions!$G$5:$H$16,2,0),"Other"))</f>
        <v/>
      </c>
      <c r="J3987" s="41" t="str">
        <f aca="false">IF(G3987="","",IFERROR(IF(ISNUMBER(SEARCH(Assumptions!$C$5,G3987)),Assumptions!$D$5,IF(ISNUMBER(SEARCH(Assumptions!$C$6,G3987)),Assumptions!$D$6,IF(ISNUMBER(SEARCH(Assumptions!$C$7,G3987)),Assumptions!$D$7,"Other Services"))),"Other Services"))</f>
        <v/>
      </c>
    </row>
    <row r="3988" customFormat="false" ht="15" hidden="false" customHeight="false" outlineLevel="0" collapsed="false">
      <c r="E3988" s="41" t="str">
        <f aca="false">IF(D3988="","",IFERROR(VLOOKUP(D3988,Assumptions!$G$5:$H$16,2,0),"Other"))</f>
        <v/>
      </c>
      <c r="J3988" s="41" t="str">
        <f aca="false">IF(G3988="","",IFERROR(IF(ISNUMBER(SEARCH(Assumptions!$C$5,G3988)),Assumptions!$D$5,IF(ISNUMBER(SEARCH(Assumptions!$C$6,G3988)),Assumptions!$D$6,IF(ISNUMBER(SEARCH(Assumptions!$C$7,G3988)),Assumptions!$D$7,"Other Services"))),"Other Services"))</f>
        <v/>
      </c>
    </row>
    <row r="3989" customFormat="false" ht="15" hidden="false" customHeight="false" outlineLevel="0" collapsed="false">
      <c r="E3989" s="41" t="str">
        <f aca="false">IF(D3989="","",IFERROR(VLOOKUP(D3989,Assumptions!$G$5:$H$16,2,0),"Other"))</f>
        <v/>
      </c>
      <c r="J3989" s="41" t="str">
        <f aca="false">IF(G3989="","",IFERROR(IF(ISNUMBER(SEARCH(Assumptions!$C$5,G3989)),Assumptions!$D$5,IF(ISNUMBER(SEARCH(Assumptions!$C$6,G3989)),Assumptions!$D$6,IF(ISNUMBER(SEARCH(Assumptions!$C$7,G3989)),Assumptions!$D$7,"Other Services"))),"Other Services"))</f>
        <v/>
      </c>
    </row>
    <row r="3990" customFormat="false" ht="15" hidden="false" customHeight="false" outlineLevel="0" collapsed="false">
      <c r="E3990" s="41" t="str">
        <f aca="false">IF(D3990="","",IFERROR(VLOOKUP(D3990,Assumptions!$G$5:$H$16,2,0),"Other"))</f>
        <v/>
      </c>
      <c r="J3990" s="41" t="str">
        <f aca="false">IF(G3990="","",IFERROR(IF(ISNUMBER(SEARCH(Assumptions!$C$5,G3990)),Assumptions!$D$5,IF(ISNUMBER(SEARCH(Assumptions!$C$6,G3990)),Assumptions!$D$6,IF(ISNUMBER(SEARCH(Assumptions!$C$7,G3990)),Assumptions!$D$7,"Other Services"))),"Other Services"))</f>
        <v/>
      </c>
    </row>
    <row r="3991" customFormat="false" ht="15" hidden="false" customHeight="false" outlineLevel="0" collapsed="false">
      <c r="E3991" s="41" t="str">
        <f aca="false">IF(D3991="","",IFERROR(VLOOKUP(D3991,Assumptions!$G$5:$H$16,2,0),"Other"))</f>
        <v/>
      </c>
      <c r="J3991" s="41" t="str">
        <f aca="false">IF(G3991="","",IFERROR(IF(ISNUMBER(SEARCH(Assumptions!$C$5,G3991)),Assumptions!$D$5,IF(ISNUMBER(SEARCH(Assumptions!$C$6,G3991)),Assumptions!$D$6,IF(ISNUMBER(SEARCH(Assumptions!$C$7,G3991)),Assumptions!$D$7,"Other Services"))),"Other Services"))</f>
        <v/>
      </c>
    </row>
    <row r="3992" customFormat="false" ht="15" hidden="false" customHeight="false" outlineLevel="0" collapsed="false">
      <c r="E3992" s="41" t="str">
        <f aca="false">IF(D3992="","",IFERROR(VLOOKUP(D3992,Assumptions!$G$5:$H$16,2,0),"Other"))</f>
        <v/>
      </c>
      <c r="J3992" s="41" t="str">
        <f aca="false">IF(G3992="","",IFERROR(IF(ISNUMBER(SEARCH(Assumptions!$C$5,G3992)),Assumptions!$D$5,IF(ISNUMBER(SEARCH(Assumptions!$C$6,G3992)),Assumptions!$D$6,IF(ISNUMBER(SEARCH(Assumptions!$C$7,G3992)),Assumptions!$D$7,"Other Services"))),"Other Services"))</f>
        <v/>
      </c>
    </row>
    <row r="3993" customFormat="false" ht="15" hidden="false" customHeight="false" outlineLevel="0" collapsed="false">
      <c r="E3993" s="41" t="str">
        <f aca="false">IF(D3993="","",IFERROR(VLOOKUP(D3993,Assumptions!$G$5:$H$16,2,0),"Other"))</f>
        <v/>
      </c>
      <c r="J3993" s="41" t="str">
        <f aca="false">IF(G3993="","",IFERROR(IF(ISNUMBER(SEARCH(Assumptions!$C$5,G3993)),Assumptions!$D$5,IF(ISNUMBER(SEARCH(Assumptions!$C$6,G3993)),Assumptions!$D$6,IF(ISNUMBER(SEARCH(Assumptions!$C$7,G3993)),Assumptions!$D$7,"Other Services"))),"Other Services"))</f>
        <v/>
      </c>
    </row>
    <row r="3994" customFormat="false" ht="15" hidden="false" customHeight="false" outlineLevel="0" collapsed="false">
      <c r="E3994" s="41" t="str">
        <f aca="false">IF(D3994="","",IFERROR(VLOOKUP(D3994,Assumptions!$G$5:$H$16,2,0),"Other"))</f>
        <v/>
      </c>
      <c r="J3994" s="41" t="str">
        <f aca="false">IF(G3994="","",IFERROR(IF(ISNUMBER(SEARCH(Assumptions!$C$5,G3994)),Assumptions!$D$5,IF(ISNUMBER(SEARCH(Assumptions!$C$6,G3994)),Assumptions!$D$6,IF(ISNUMBER(SEARCH(Assumptions!$C$7,G3994)),Assumptions!$D$7,"Other Services"))),"Other Services"))</f>
        <v/>
      </c>
    </row>
    <row r="3995" customFormat="false" ht="15" hidden="false" customHeight="false" outlineLevel="0" collapsed="false">
      <c r="E3995" s="41" t="str">
        <f aca="false">IF(D3995="","",IFERROR(VLOOKUP(D3995,Assumptions!$G$5:$H$16,2,0),"Other"))</f>
        <v/>
      </c>
      <c r="J3995" s="41" t="str">
        <f aca="false">IF(G3995="","",IFERROR(IF(ISNUMBER(SEARCH(Assumptions!$C$5,G3995)),Assumptions!$D$5,IF(ISNUMBER(SEARCH(Assumptions!$C$6,G3995)),Assumptions!$D$6,IF(ISNUMBER(SEARCH(Assumptions!$C$7,G3995)),Assumptions!$D$7,"Other Services"))),"Other Services"))</f>
        <v/>
      </c>
    </row>
    <row r="3996" customFormat="false" ht="15" hidden="false" customHeight="false" outlineLevel="0" collapsed="false">
      <c r="E3996" s="41" t="str">
        <f aca="false">IF(D3996="","",IFERROR(VLOOKUP(D3996,Assumptions!$G$5:$H$16,2,0),"Other"))</f>
        <v/>
      </c>
      <c r="J3996" s="41" t="str">
        <f aca="false">IF(G3996="","",IFERROR(IF(ISNUMBER(SEARCH(Assumptions!$C$5,G3996)),Assumptions!$D$5,IF(ISNUMBER(SEARCH(Assumptions!$C$6,G3996)),Assumptions!$D$6,IF(ISNUMBER(SEARCH(Assumptions!$C$7,G3996)),Assumptions!$D$7,"Other Services"))),"Other Services"))</f>
        <v/>
      </c>
    </row>
    <row r="3997" customFormat="false" ht="15" hidden="false" customHeight="false" outlineLevel="0" collapsed="false">
      <c r="E3997" s="41" t="str">
        <f aca="false">IF(D3997="","",IFERROR(VLOOKUP(D3997,Assumptions!$G$5:$H$16,2,0),"Other"))</f>
        <v/>
      </c>
      <c r="J3997" s="41" t="str">
        <f aca="false">IF(G3997="","",IFERROR(IF(ISNUMBER(SEARCH(Assumptions!$C$5,G3997)),Assumptions!$D$5,IF(ISNUMBER(SEARCH(Assumptions!$C$6,G3997)),Assumptions!$D$6,IF(ISNUMBER(SEARCH(Assumptions!$C$7,G3997)),Assumptions!$D$7,"Other Services"))),"Other Services"))</f>
        <v/>
      </c>
    </row>
    <row r="3998" customFormat="false" ht="15" hidden="false" customHeight="false" outlineLevel="0" collapsed="false">
      <c r="E3998" s="41" t="str">
        <f aca="false">IF(D3998="","",IFERROR(VLOOKUP(D3998,Assumptions!$G$5:$H$16,2,0),"Other"))</f>
        <v/>
      </c>
      <c r="J3998" s="41" t="str">
        <f aca="false">IF(G3998="","",IFERROR(IF(ISNUMBER(SEARCH(Assumptions!$C$5,G3998)),Assumptions!$D$5,IF(ISNUMBER(SEARCH(Assumptions!$C$6,G3998)),Assumptions!$D$6,IF(ISNUMBER(SEARCH(Assumptions!$C$7,G3998)),Assumptions!$D$7,"Other Services"))),"Other Services"))</f>
        <v/>
      </c>
    </row>
    <row r="3999" customFormat="false" ht="15" hidden="false" customHeight="false" outlineLevel="0" collapsed="false">
      <c r="E3999" s="41" t="str">
        <f aca="false">IF(D3999="","",IFERROR(VLOOKUP(D3999,Assumptions!$G$5:$H$16,2,0),"Other"))</f>
        <v/>
      </c>
      <c r="J3999" s="41" t="str">
        <f aca="false">IF(G3999="","",IFERROR(IF(ISNUMBER(SEARCH(Assumptions!$C$5,G3999)),Assumptions!$D$5,IF(ISNUMBER(SEARCH(Assumptions!$C$6,G3999)),Assumptions!$D$6,IF(ISNUMBER(SEARCH(Assumptions!$C$7,G3999)),Assumptions!$D$7,"Other Services"))),"Other Services"))</f>
        <v/>
      </c>
    </row>
    <row r="4000" customFormat="false" ht="15" hidden="false" customHeight="false" outlineLevel="0" collapsed="false">
      <c r="E4000" s="41" t="str">
        <f aca="false">IF(D4000="","",IFERROR(VLOOKUP(D4000,Assumptions!$G$5:$H$16,2,0),"Other"))</f>
        <v/>
      </c>
      <c r="J4000" s="41" t="str">
        <f aca="false">IF(G4000="","",IFERROR(IF(ISNUMBER(SEARCH(Assumptions!$C$5,G4000)),Assumptions!$D$5,IF(ISNUMBER(SEARCH(Assumptions!$C$6,G4000)),Assumptions!$D$6,IF(ISNUMBER(SEARCH(Assumptions!$C$7,G4000)),Assumptions!$D$7,"Other Services"))),"Other Services"))</f>
        <v/>
      </c>
    </row>
    <row r="4001" customFormat="false" ht="15" hidden="false" customHeight="false" outlineLevel="0" collapsed="false">
      <c r="E4001" s="41" t="str">
        <f aca="false">IF(D4001="","",IFERROR(VLOOKUP(D4001,Assumptions!$G$5:$H$16,2,0),"Other"))</f>
        <v/>
      </c>
      <c r="J4001" s="41" t="str">
        <f aca="false">IF(G4001="","",IFERROR(IF(ISNUMBER(SEARCH(Assumptions!$C$5,G4001)),Assumptions!$D$5,IF(ISNUMBER(SEARCH(Assumptions!$C$6,G4001)),Assumptions!$D$6,IF(ISNUMBER(SEARCH(Assumptions!$C$7,G4001)),Assumptions!$D$7,"Other Services"))),"Other Services"))</f>
        <v/>
      </c>
    </row>
    <row r="4002" customFormat="false" ht="15" hidden="false" customHeight="false" outlineLevel="0" collapsed="false">
      <c r="E4002" s="41" t="str">
        <f aca="false">IF(D4002="","",IFERROR(VLOOKUP(D4002,Assumptions!$G$5:$H$16,2,0),"Other"))</f>
        <v/>
      </c>
      <c r="J4002" s="41" t="str">
        <f aca="false">IF(G4002="","",IFERROR(IF(ISNUMBER(SEARCH(Assumptions!$C$5,G4002)),Assumptions!$D$5,IF(ISNUMBER(SEARCH(Assumptions!$C$6,G4002)),Assumptions!$D$6,IF(ISNUMBER(SEARCH(Assumptions!$C$7,G4002)),Assumptions!$D$7,"Other Services"))),"Other Services"))</f>
        <v/>
      </c>
    </row>
    <row r="4003" customFormat="false" ht="15" hidden="false" customHeight="false" outlineLevel="0" collapsed="false">
      <c r="E4003" s="41" t="str">
        <f aca="false">IF(D4003="","",IFERROR(VLOOKUP(D4003,Assumptions!$G$5:$H$16,2,0),"Other"))</f>
        <v/>
      </c>
      <c r="J4003" s="41" t="str">
        <f aca="false">IF(G4003="","",IFERROR(IF(ISNUMBER(SEARCH(Assumptions!$C$5,G4003)),Assumptions!$D$5,IF(ISNUMBER(SEARCH(Assumptions!$C$6,G4003)),Assumptions!$D$6,IF(ISNUMBER(SEARCH(Assumptions!$C$7,G4003)),Assumptions!$D$7,"Other Services"))),"Other Services"))</f>
        <v/>
      </c>
    </row>
    <row r="4004" customFormat="false" ht="15" hidden="false" customHeight="false" outlineLevel="0" collapsed="false">
      <c r="E4004" s="41" t="str">
        <f aca="false">IF(D4004="","",IFERROR(VLOOKUP(D4004,Assumptions!$G$5:$H$16,2,0),"Other"))</f>
        <v/>
      </c>
      <c r="J4004" s="41" t="str">
        <f aca="false">IF(G4004="","",IFERROR(IF(ISNUMBER(SEARCH(Assumptions!$C$5,G4004)),Assumptions!$D$5,IF(ISNUMBER(SEARCH(Assumptions!$C$6,G4004)),Assumptions!$D$6,IF(ISNUMBER(SEARCH(Assumptions!$C$7,G4004)),Assumptions!$D$7,"Other Services"))),"Other Services"))</f>
        <v/>
      </c>
    </row>
    <row r="4005" customFormat="false" ht="15" hidden="false" customHeight="false" outlineLevel="0" collapsed="false">
      <c r="E4005" s="41" t="str">
        <f aca="false">IF(D4005="","",IFERROR(VLOOKUP(D4005,Assumptions!$G$5:$H$16,2,0),"Other"))</f>
        <v/>
      </c>
      <c r="J4005" s="41" t="str">
        <f aca="false">IF(G4005="","",IFERROR(IF(ISNUMBER(SEARCH(Assumptions!$C$5,G4005)),Assumptions!$D$5,IF(ISNUMBER(SEARCH(Assumptions!$C$6,G4005)),Assumptions!$D$6,IF(ISNUMBER(SEARCH(Assumptions!$C$7,G4005)),Assumptions!$D$7,"Other Services"))),"Other Services"))</f>
        <v/>
      </c>
    </row>
    <row r="4006" customFormat="false" ht="15" hidden="false" customHeight="false" outlineLevel="0" collapsed="false">
      <c r="E4006" s="41" t="str">
        <f aca="false">IF(D4006="","",IFERROR(VLOOKUP(D4006,Assumptions!$G$5:$H$16,2,0),"Other"))</f>
        <v/>
      </c>
      <c r="J4006" s="41" t="str">
        <f aca="false">IF(G4006="","",IFERROR(IF(ISNUMBER(SEARCH(Assumptions!$C$5,G4006)),Assumptions!$D$5,IF(ISNUMBER(SEARCH(Assumptions!$C$6,G4006)),Assumptions!$D$6,IF(ISNUMBER(SEARCH(Assumptions!$C$7,G4006)),Assumptions!$D$7,"Other Services"))),"Other Services"))</f>
        <v/>
      </c>
    </row>
    <row r="4007" customFormat="false" ht="15" hidden="false" customHeight="false" outlineLevel="0" collapsed="false">
      <c r="E4007" s="41" t="str">
        <f aca="false">IF(D4007="","",IFERROR(VLOOKUP(D4007,Assumptions!$G$5:$H$16,2,0),"Other"))</f>
        <v/>
      </c>
      <c r="J4007" s="41" t="str">
        <f aca="false">IF(G4007="","",IFERROR(IF(ISNUMBER(SEARCH(Assumptions!$C$5,G4007)),Assumptions!$D$5,IF(ISNUMBER(SEARCH(Assumptions!$C$6,G4007)),Assumptions!$D$6,IF(ISNUMBER(SEARCH(Assumptions!$C$7,G4007)),Assumptions!$D$7,"Other Services"))),"Other Services"))</f>
        <v/>
      </c>
    </row>
    <row r="4008" customFormat="false" ht="15" hidden="false" customHeight="false" outlineLevel="0" collapsed="false">
      <c r="E4008" s="41" t="str">
        <f aca="false">IF(D4008="","",IFERROR(VLOOKUP(D4008,Assumptions!$G$5:$H$16,2,0),"Other"))</f>
        <v/>
      </c>
      <c r="J4008" s="41" t="str">
        <f aca="false">IF(G4008="","",IFERROR(IF(ISNUMBER(SEARCH(Assumptions!$C$5,G4008)),Assumptions!$D$5,IF(ISNUMBER(SEARCH(Assumptions!$C$6,G4008)),Assumptions!$D$6,IF(ISNUMBER(SEARCH(Assumptions!$C$7,G4008)),Assumptions!$D$7,"Other Services"))),"Other Services"))</f>
        <v/>
      </c>
    </row>
    <row r="4009" customFormat="false" ht="15" hidden="false" customHeight="false" outlineLevel="0" collapsed="false">
      <c r="E4009" s="41" t="str">
        <f aca="false">IF(D4009="","",IFERROR(VLOOKUP(D4009,Assumptions!$G$5:$H$16,2,0),"Other"))</f>
        <v/>
      </c>
      <c r="J4009" s="41" t="str">
        <f aca="false">IF(G4009="","",IFERROR(IF(ISNUMBER(SEARCH(Assumptions!$C$5,G4009)),Assumptions!$D$5,IF(ISNUMBER(SEARCH(Assumptions!$C$6,G4009)),Assumptions!$D$6,IF(ISNUMBER(SEARCH(Assumptions!$C$7,G4009)),Assumptions!$D$7,"Other Services"))),"Other Services"))</f>
        <v/>
      </c>
    </row>
    <row r="4010" customFormat="false" ht="15" hidden="false" customHeight="false" outlineLevel="0" collapsed="false">
      <c r="E4010" s="41" t="str">
        <f aca="false">IF(D4010="","",IFERROR(VLOOKUP(D4010,Assumptions!$G$5:$H$16,2,0),"Other"))</f>
        <v/>
      </c>
      <c r="J4010" s="41" t="str">
        <f aca="false">IF(G4010="","",IFERROR(IF(ISNUMBER(SEARCH(Assumptions!$C$5,G4010)),Assumptions!$D$5,IF(ISNUMBER(SEARCH(Assumptions!$C$6,G4010)),Assumptions!$D$6,IF(ISNUMBER(SEARCH(Assumptions!$C$7,G4010)),Assumptions!$D$7,"Other Services"))),"Other Services"))</f>
        <v/>
      </c>
    </row>
    <row r="4011" customFormat="false" ht="15" hidden="false" customHeight="false" outlineLevel="0" collapsed="false">
      <c r="E4011" s="41" t="str">
        <f aca="false">IF(D4011="","",IFERROR(VLOOKUP(D4011,Assumptions!$G$5:$H$16,2,0),"Other"))</f>
        <v/>
      </c>
      <c r="J4011" s="41" t="str">
        <f aca="false">IF(G4011="","",IFERROR(IF(ISNUMBER(SEARCH(Assumptions!$C$5,G4011)),Assumptions!$D$5,IF(ISNUMBER(SEARCH(Assumptions!$C$6,G4011)),Assumptions!$D$6,IF(ISNUMBER(SEARCH(Assumptions!$C$7,G4011)),Assumptions!$D$7,"Other Services"))),"Other Services"))</f>
        <v/>
      </c>
    </row>
    <row r="4012" customFormat="false" ht="15" hidden="false" customHeight="false" outlineLevel="0" collapsed="false">
      <c r="E4012" s="41" t="str">
        <f aca="false">IF(D4012="","",IFERROR(VLOOKUP(D4012,Assumptions!$G$5:$H$16,2,0),"Other"))</f>
        <v/>
      </c>
      <c r="J4012" s="41" t="str">
        <f aca="false">IF(G4012="","",IFERROR(IF(ISNUMBER(SEARCH(Assumptions!$C$5,G4012)),Assumptions!$D$5,IF(ISNUMBER(SEARCH(Assumptions!$C$6,G4012)),Assumptions!$D$6,IF(ISNUMBER(SEARCH(Assumptions!$C$7,G4012)),Assumptions!$D$7,"Other Services"))),"Other Services"))</f>
        <v/>
      </c>
    </row>
    <row r="4013" customFormat="false" ht="15" hidden="false" customHeight="false" outlineLevel="0" collapsed="false">
      <c r="E4013" s="41" t="str">
        <f aca="false">IF(D4013="","",IFERROR(VLOOKUP(D4013,Assumptions!$G$5:$H$16,2,0),"Other"))</f>
        <v/>
      </c>
      <c r="J4013" s="41" t="str">
        <f aca="false">IF(G4013="","",IFERROR(IF(ISNUMBER(SEARCH(Assumptions!$C$5,G4013)),Assumptions!$D$5,IF(ISNUMBER(SEARCH(Assumptions!$C$6,G4013)),Assumptions!$D$6,IF(ISNUMBER(SEARCH(Assumptions!$C$7,G4013)),Assumptions!$D$7,"Other Services"))),"Other Services"))</f>
        <v/>
      </c>
    </row>
    <row r="4014" customFormat="false" ht="15" hidden="false" customHeight="false" outlineLevel="0" collapsed="false">
      <c r="E4014" s="41" t="str">
        <f aca="false">IF(D4014="","",IFERROR(VLOOKUP(D4014,Assumptions!$G$5:$H$16,2,0),"Other"))</f>
        <v/>
      </c>
      <c r="J4014" s="41" t="str">
        <f aca="false">IF(G4014="","",IFERROR(IF(ISNUMBER(SEARCH(Assumptions!$C$5,G4014)),Assumptions!$D$5,IF(ISNUMBER(SEARCH(Assumptions!$C$6,G4014)),Assumptions!$D$6,IF(ISNUMBER(SEARCH(Assumptions!$C$7,G4014)),Assumptions!$D$7,"Other Services"))),"Other Services"))</f>
        <v/>
      </c>
    </row>
    <row r="4015" customFormat="false" ht="15" hidden="false" customHeight="false" outlineLevel="0" collapsed="false">
      <c r="E4015" s="41" t="str">
        <f aca="false">IF(D4015="","",IFERROR(VLOOKUP(D4015,Assumptions!$G$5:$H$16,2,0),"Other"))</f>
        <v/>
      </c>
      <c r="J4015" s="41" t="str">
        <f aca="false">IF(G4015="","",IFERROR(IF(ISNUMBER(SEARCH(Assumptions!$C$5,G4015)),Assumptions!$D$5,IF(ISNUMBER(SEARCH(Assumptions!$C$6,G4015)),Assumptions!$D$6,IF(ISNUMBER(SEARCH(Assumptions!$C$7,G4015)),Assumptions!$D$7,"Other Services"))),"Other Services"))</f>
        <v/>
      </c>
    </row>
    <row r="4016" customFormat="false" ht="15" hidden="false" customHeight="false" outlineLevel="0" collapsed="false">
      <c r="E4016" s="41" t="str">
        <f aca="false">IF(D4016="","",IFERROR(VLOOKUP(D4016,Assumptions!$G$5:$H$16,2,0),"Other"))</f>
        <v/>
      </c>
      <c r="J4016" s="41" t="str">
        <f aca="false">IF(G4016="","",IFERROR(IF(ISNUMBER(SEARCH(Assumptions!$C$5,G4016)),Assumptions!$D$5,IF(ISNUMBER(SEARCH(Assumptions!$C$6,G4016)),Assumptions!$D$6,IF(ISNUMBER(SEARCH(Assumptions!$C$7,G4016)),Assumptions!$D$7,"Other Services"))),"Other Services"))</f>
        <v/>
      </c>
    </row>
    <row r="4017" customFormat="false" ht="15" hidden="false" customHeight="false" outlineLevel="0" collapsed="false">
      <c r="E4017" s="41" t="str">
        <f aca="false">IF(D4017="","",IFERROR(VLOOKUP(D4017,Assumptions!$G$5:$H$16,2,0),"Other"))</f>
        <v/>
      </c>
      <c r="J4017" s="41" t="str">
        <f aca="false">IF(G4017="","",IFERROR(IF(ISNUMBER(SEARCH(Assumptions!$C$5,G4017)),Assumptions!$D$5,IF(ISNUMBER(SEARCH(Assumptions!$C$6,G4017)),Assumptions!$D$6,IF(ISNUMBER(SEARCH(Assumptions!$C$7,G4017)),Assumptions!$D$7,"Other Services"))),"Other Services"))</f>
        <v/>
      </c>
    </row>
    <row r="4018" customFormat="false" ht="15" hidden="false" customHeight="false" outlineLevel="0" collapsed="false">
      <c r="E4018" s="41" t="str">
        <f aca="false">IF(D4018="","",IFERROR(VLOOKUP(D4018,Assumptions!$G$5:$H$16,2,0),"Other"))</f>
        <v/>
      </c>
      <c r="J4018" s="41" t="str">
        <f aca="false">IF(G4018="","",IFERROR(IF(ISNUMBER(SEARCH(Assumptions!$C$5,G4018)),Assumptions!$D$5,IF(ISNUMBER(SEARCH(Assumptions!$C$6,G4018)),Assumptions!$D$6,IF(ISNUMBER(SEARCH(Assumptions!$C$7,G4018)),Assumptions!$D$7,"Other Services"))),"Other Services"))</f>
        <v/>
      </c>
    </row>
    <row r="4019" customFormat="false" ht="15" hidden="false" customHeight="false" outlineLevel="0" collapsed="false">
      <c r="E4019" s="41" t="str">
        <f aca="false">IF(D4019="","",IFERROR(VLOOKUP(D4019,Assumptions!$G$5:$H$16,2,0),"Other"))</f>
        <v/>
      </c>
      <c r="J4019" s="41" t="str">
        <f aca="false">IF(G4019="","",IFERROR(IF(ISNUMBER(SEARCH(Assumptions!$C$5,G4019)),Assumptions!$D$5,IF(ISNUMBER(SEARCH(Assumptions!$C$6,G4019)),Assumptions!$D$6,IF(ISNUMBER(SEARCH(Assumptions!$C$7,G4019)),Assumptions!$D$7,"Other Services"))),"Other Services"))</f>
        <v/>
      </c>
    </row>
    <row r="4020" customFormat="false" ht="15" hidden="false" customHeight="false" outlineLevel="0" collapsed="false">
      <c r="E4020" s="41" t="str">
        <f aca="false">IF(D4020="","",IFERROR(VLOOKUP(D4020,Assumptions!$G$5:$H$16,2,0),"Other"))</f>
        <v/>
      </c>
      <c r="J4020" s="41" t="str">
        <f aca="false">IF(G4020="","",IFERROR(IF(ISNUMBER(SEARCH(Assumptions!$C$5,G4020)),Assumptions!$D$5,IF(ISNUMBER(SEARCH(Assumptions!$C$6,G4020)),Assumptions!$D$6,IF(ISNUMBER(SEARCH(Assumptions!$C$7,G4020)),Assumptions!$D$7,"Other Services"))),"Other Services"))</f>
        <v/>
      </c>
    </row>
    <row r="4021" customFormat="false" ht="15" hidden="false" customHeight="false" outlineLevel="0" collapsed="false">
      <c r="E4021" s="41" t="str">
        <f aca="false">IF(D4021="","",IFERROR(VLOOKUP(D4021,Assumptions!$G$5:$H$16,2,0),"Other"))</f>
        <v/>
      </c>
      <c r="J4021" s="41" t="str">
        <f aca="false">IF(G4021="","",IFERROR(IF(ISNUMBER(SEARCH(Assumptions!$C$5,G4021)),Assumptions!$D$5,IF(ISNUMBER(SEARCH(Assumptions!$C$6,G4021)),Assumptions!$D$6,IF(ISNUMBER(SEARCH(Assumptions!$C$7,G4021)),Assumptions!$D$7,"Other Services"))),"Other Services"))</f>
        <v/>
      </c>
    </row>
    <row r="4022" customFormat="false" ht="15" hidden="false" customHeight="false" outlineLevel="0" collapsed="false">
      <c r="E4022" s="41" t="str">
        <f aca="false">IF(D4022="","",IFERROR(VLOOKUP(D4022,Assumptions!$G$5:$H$16,2,0),"Other"))</f>
        <v/>
      </c>
      <c r="J4022" s="41" t="str">
        <f aca="false">IF(G4022="","",IFERROR(IF(ISNUMBER(SEARCH(Assumptions!$C$5,G4022)),Assumptions!$D$5,IF(ISNUMBER(SEARCH(Assumptions!$C$6,G4022)),Assumptions!$D$6,IF(ISNUMBER(SEARCH(Assumptions!$C$7,G4022)),Assumptions!$D$7,"Other Services"))),"Other Services"))</f>
        <v/>
      </c>
    </row>
    <row r="4023" customFormat="false" ht="15" hidden="false" customHeight="false" outlineLevel="0" collapsed="false">
      <c r="E4023" s="41" t="str">
        <f aca="false">IF(D4023="","",IFERROR(VLOOKUP(D4023,Assumptions!$G$5:$H$16,2,0),"Other"))</f>
        <v/>
      </c>
      <c r="J4023" s="41" t="str">
        <f aca="false">IF(G4023="","",IFERROR(IF(ISNUMBER(SEARCH(Assumptions!$C$5,G4023)),Assumptions!$D$5,IF(ISNUMBER(SEARCH(Assumptions!$C$6,G4023)),Assumptions!$D$6,IF(ISNUMBER(SEARCH(Assumptions!$C$7,G4023)),Assumptions!$D$7,"Other Services"))),"Other Services"))</f>
        <v/>
      </c>
    </row>
    <row r="4024" customFormat="false" ht="15" hidden="false" customHeight="false" outlineLevel="0" collapsed="false">
      <c r="E4024" s="41" t="str">
        <f aca="false">IF(D4024="","",IFERROR(VLOOKUP(D4024,Assumptions!$G$5:$H$16,2,0),"Other"))</f>
        <v/>
      </c>
      <c r="J4024" s="41" t="str">
        <f aca="false">IF(G4024="","",IFERROR(IF(ISNUMBER(SEARCH(Assumptions!$C$5,G4024)),Assumptions!$D$5,IF(ISNUMBER(SEARCH(Assumptions!$C$6,G4024)),Assumptions!$D$6,IF(ISNUMBER(SEARCH(Assumptions!$C$7,G4024)),Assumptions!$D$7,"Other Services"))),"Other Services"))</f>
        <v/>
      </c>
    </row>
    <row r="4025" customFormat="false" ht="15" hidden="false" customHeight="false" outlineLevel="0" collapsed="false">
      <c r="E4025" s="41" t="str">
        <f aca="false">IF(D4025="","",IFERROR(VLOOKUP(D4025,Assumptions!$G$5:$H$16,2,0),"Other"))</f>
        <v/>
      </c>
      <c r="J4025" s="41" t="str">
        <f aca="false">IF(G4025="","",IFERROR(IF(ISNUMBER(SEARCH(Assumptions!$C$5,G4025)),Assumptions!$D$5,IF(ISNUMBER(SEARCH(Assumptions!$C$6,G4025)),Assumptions!$D$6,IF(ISNUMBER(SEARCH(Assumptions!$C$7,G4025)),Assumptions!$D$7,"Other Services"))),"Other Services"))</f>
        <v/>
      </c>
    </row>
    <row r="4026" customFormat="false" ht="15" hidden="false" customHeight="false" outlineLevel="0" collapsed="false">
      <c r="E4026" s="41" t="str">
        <f aca="false">IF(D4026="","",IFERROR(VLOOKUP(D4026,Assumptions!$G$5:$H$16,2,0),"Other"))</f>
        <v/>
      </c>
      <c r="J4026" s="41" t="str">
        <f aca="false">IF(G4026="","",IFERROR(IF(ISNUMBER(SEARCH(Assumptions!$C$5,G4026)),Assumptions!$D$5,IF(ISNUMBER(SEARCH(Assumptions!$C$6,G4026)),Assumptions!$D$6,IF(ISNUMBER(SEARCH(Assumptions!$C$7,G4026)),Assumptions!$D$7,"Other Services"))),"Other Services"))</f>
        <v/>
      </c>
    </row>
    <row r="4027" customFormat="false" ht="15" hidden="false" customHeight="false" outlineLevel="0" collapsed="false">
      <c r="E4027" s="41" t="str">
        <f aca="false">IF(D4027="","",IFERROR(VLOOKUP(D4027,Assumptions!$G$5:$H$16,2,0),"Other"))</f>
        <v/>
      </c>
      <c r="J4027" s="41" t="str">
        <f aca="false">IF(G4027="","",IFERROR(IF(ISNUMBER(SEARCH(Assumptions!$C$5,G4027)),Assumptions!$D$5,IF(ISNUMBER(SEARCH(Assumptions!$C$6,G4027)),Assumptions!$D$6,IF(ISNUMBER(SEARCH(Assumptions!$C$7,G4027)),Assumptions!$D$7,"Other Services"))),"Other Services"))</f>
        <v/>
      </c>
    </row>
    <row r="4028" customFormat="false" ht="15" hidden="false" customHeight="false" outlineLevel="0" collapsed="false">
      <c r="E4028" s="41" t="str">
        <f aca="false">IF(D4028="","",IFERROR(VLOOKUP(D4028,Assumptions!$G$5:$H$16,2,0),"Other"))</f>
        <v/>
      </c>
      <c r="J4028" s="41" t="str">
        <f aca="false">IF(G4028="","",IFERROR(IF(ISNUMBER(SEARCH(Assumptions!$C$5,G4028)),Assumptions!$D$5,IF(ISNUMBER(SEARCH(Assumptions!$C$6,G4028)),Assumptions!$D$6,IF(ISNUMBER(SEARCH(Assumptions!$C$7,G4028)),Assumptions!$D$7,"Other Services"))),"Other Services"))</f>
        <v/>
      </c>
    </row>
    <row r="4029" customFormat="false" ht="15" hidden="false" customHeight="false" outlineLevel="0" collapsed="false">
      <c r="E4029" s="41" t="str">
        <f aca="false">IF(D4029="","",IFERROR(VLOOKUP(D4029,Assumptions!$G$5:$H$16,2,0),"Other"))</f>
        <v/>
      </c>
      <c r="J4029" s="41" t="str">
        <f aca="false">IF(G4029="","",IFERROR(IF(ISNUMBER(SEARCH(Assumptions!$C$5,G4029)),Assumptions!$D$5,IF(ISNUMBER(SEARCH(Assumptions!$C$6,G4029)),Assumptions!$D$6,IF(ISNUMBER(SEARCH(Assumptions!$C$7,G4029)),Assumptions!$D$7,"Other Services"))),"Other Services"))</f>
        <v/>
      </c>
    </row>
    <row r="4030" customFormat="false" ht="15" hidden="false" customHeight="false" outlineLevel="0" collapsed="false">
      <c r="E4030" s="41" t="str">
        <f aca="false">IF(D4030="","",IFERROR(VLOOKUP(D4030,Assumptions!$G$5:$H$16,2,0),"Other"))</f>
        <v/>
      </c>
      <c r="J4030" s="41" t="str">
        <f aca="false">IF(G4030="","",IFERROR(IF(ISNUMBER(SEARCH(Assumptions!$C$5,G4030)),Assumptions!$D$5,IF(ISNUMBER(SEARCH(Assumptions!$C$6,G4030)),Assumptions!$D$6,IF(ISNUMBER(SEARCH(Assumptions!$C$7,G4030)),Assumptions!$D$7,"Other Services"))),"Other Services"))</f>
        <v/>
      </c>
    </row>
    <row r="4031" customFormat="false" ht="15" hidden="false" customHeight="false" outlineLevel="0" collapsed="false">
      <c r="E4031" s="41" t="str">
        <f aca="false">IF(D4031="","",IFERROR(VLOOKUP(D4031,Assumptions!$G$5:$H$16,2,0),"Other"))</f>
        <v/>
      </c>
      <c r="J4031" s="41" t="str">
        <f aca="false">IF(G4031="","",IFERROR(IF(ISNUMBER(SEARCH(Assumptions!$C$5,G4031)),Assumptions!$D$5,IF(ISNUMBER(SEARCH(Assumptions!$C$6,G4031)),Assumptions!$D$6,IF(ISNUMBER(SEARCH(Assumptions!$C$7,G4031)),Assumptions!$D$7,"Other Services"))),"Other Services"))</f>
        <v/>
      </c>
    </row>
    <row r="4032" customFormat="false" ht="15" hidden="false" customHeight="false" outlineLevel="0" collapsed="false">
      <c r="E4032" s="41" t="str">
        <f aca="false">IF(D4032="","",IFERROR(VLOOKUP(D4032,Assumptions!$G$5:$H$16,2,0),"Other"))</f>
        <v/>
      </c>
      <c r="J4032" s="41" t="str">
        <f aca="false">IF(G4032="","",IFERROR(IF(ISNUMBER(SEARCH(Assumptions!$C$5,G4032)),Assumptions!$D$5,IF(ISNUMBER(SEARCH(Assumptions!$C$6,G4032)),Assumptions!$D$6,IF(ISNUMBER(SEARCH(Assumptions!$C$7,G4032)),Assumptions!$D$7,"Other Services"))),"Other Services"))</f>
        <v/>
      </c>
    </row>
    <row r="4033" customFormat="false" ht="15" hidden="false" customHeight="false" outlineLevel="0" collapsed="false">
      <c r="E4033" s="41" t="str">
        <f aca="false">IF(D4033="","",IFERROR(VLOOKUP(D4033,Assumptions!$G$5:$H$16,2,0),"Other"))</f>
        <v/>
      </c>
      <c r="J4033" s="41" t="str">
        <f aca="false">IF(G4033="","",IFERROR(IF(ISNUMBER(SEARCH(Assumptions!$C$5,G4033)),Assumptions!$D$5,IF(ISNUMBER(SEARCH(Assumptions!$C$6,G4033)),Assumptions!$D$6,IF(ISNUMBER(SEARCH(Assumptions!$C$7,G4033)),Assumptions!$D$7,"Other Services"))),"Other Services"))</f>
        <v/>
      </c>
    </row>
    <row r="4034" customFormat="false" ht="15" hidden="false" customHeight="false" outlineLevel="0" collapsed="false">
      <c r="E4034" s="41" t="str">
        <f aca="false">IF(D4034="","",IFERROR(VLOOKUP(D4034,Assumptions!$G$5:$H$16,2,0),"Other"))</f>
        <v/>
      </c>
      <c r="J4034" s="41" t="str">
        <f aca="false">IF(G4034="","",IFERROR(IF(ISNUMBER(SEARCH(Assumptions!$C$5,G4034)),Assumptions!$D$5,IF(ISNUMBER(SEARCH(Assumptions!$C$6,G4034)),Assumptions!$D$6,IF(ISNUMBER(SEARCH(Assumptions!$C$7,G4034)),Assumptions!$D$7,"Other Services"))),"Other Services"))</f>
        <v/>
      </c>
    </row>
    <row r="4035" customFormat="false" ht="15" hidden="false" customHeight="false" outlineLevel="0" collapsed="false">
      <c r="E4035" s="41" t="str">
        <f aca="false">IF(D4035="","",IFERROR(VLOOKUP(D4035,Assumptions!$G$5:$H$16,2,0),"Other"))</f>
        <v/>
      </c>
      <c r="J4035" s="41" t="str">
        <f aca="false">IF(G4035="","",IFERROR(IF(ISNUMBER(SEARCH(Assumptions!$C$5,G4035)),Assumptions!$D$5,IF(ISNUMBER(SEARCH(Assumptions!$C$6,G4035)),Assumptions!$D$6,IF(ISNUMBER(SEARCH(Assumptions!$C$7,G4035)),Assumptions!$D$7,"Other Services"))),"Other Services"))</f>
        <v/>
      </c>
    </row>
    <row r="4036" customFormat="false" ht="15" hidden="false" customHeight="false" outlineLevel="0" collapsed="false">
      <c r="E4036" s="41" t="str">
        <f aca="false">IF(D4036="","",IFERROR(VLOOKUP(D4036,Assumptions!$G$5:$H$16,2,0),"Other"))</f>
        <v/>
      </c>
      <c r="J4036" s="41" t="str">
        <f aca="false">IF(G4036="","",IFERROR(IF(ISNUMBER(SEARCH(Assumptions!$C$5,G4036)),Assumptions!$D$5,IF(ISNUMBER(SEARCH(Assumptions!$C$6,G4036)),Assumptions!$D$6,IF(ISNUMBER(SEARCH(Assumptions!$C$7,G4036)),Assumptions!$D$7,"Other Services"))),"Other Services"))</f>
        <v/>
      </c>
    </row>
    <row r="4037" customFormat="false" ht="15" hidden="false" customHeight="false" outlineLevel="0" collapsed="false">
      <c r="E4037" s="41" t="str">
        <f aca="false">IF(D4037="","",IFERROR(VLOOKUP(D4037,Assumptions!$G$5:$H$16,2,0),"Other"))</f>
        <v/>
      </c>
      <c r="J4037" s="41" t="str">
        <f aca="false">IF(G4037="","",IFERROR(IF(ISNUMBER(SEARCH(Assumptions!$C$5,G4037)),Assumptions!$D$5,IF(ISNUMBER(SEARCH(Assumptions!$C$6,G4037)),Assumptions!$D$6,IF(ISNUMBER(SEARCH(Assumptions!$C$7,G4037)),Assumptions!$D$7,"Other Services"))),"Other Services"))</f>
        <v/>
      </c>
    </row>
    <row r="4038" customFormat="false" ht="15" hidden="false" customHeight="false" outlineLevel="0" collapsed="false">
      <c r="E4038" s="41" t="str">
        <f aca="false">IF(D4038="","",IFERROR(VLOOKUP(D4038,Assumptions!$G$5:$H$16,2,0),"Other"))</f>
        <v/>
      </c>
      <c r="J4038" s="41" t="str">
        <f aca="false">IF(G4038="","",IFERROR(IF(ISNUMBER(SEARCH(Assumptions!$C$5,G4038)),Assumptions!$D$5,IF(ISNUMBER(SEARCH(Assumptions!$C$6,G4038)),Assumptions!$D$6,IF(ISNUMBER(SEARCH(Assumptions!$C$7,G4038)),Assumptions!$D$7,"Other Services"))),"Other Services"))</f>
        <v/>
      </c>
    </row>
    <row r="4039" customFormat="false" ht="15" hidden="false" customHeight="false" outlineLevel="0" collapsed="false">
      <c r="E4039" s="41" t="str">
        <f aca="false">IF(D4039="","",IFERROR(VLOOKUP(D4039,Assumptions!$G$5:$H$16,2,0),"Other"))</f>
        <v/>
      </c>
      <c r="J4039" s="41" t="str">
        <f aca="false">IF(G4039="","",IFERROR(IF(ISNUMBER(SEARCH(Assumptions!$C$5,G4039)),Assumptions!$D$5,IF(ISNUMBER(SEARCH(Assumptions!$C$6,G4039)),Assumptions!$D$6,IF(ISNUMBER(SEARCH(Assumptions!$C$7,G4039)),Assumptions!$D$7,"Other Services"))),"Other Services"))</f>
        <v/>
      </c>
    </row>
    <row r="4040" customFormat="false" ht="15" hidden="false" customHeight="false" outlineLevel="0" collapsed="false">
      <c r="E4040" s="41" t="str">
        <f aca="false">IF(D4040="","",IFERROR(VLOOKUP(D4040,Assumptions!$G$5:$H$16,2,0),"Other"))</f>
        <v/>
      </c>
      <c r="J4040" s="41" t="str">
        <f aca="false">IF(G4040="","",IFERROR(IF(ISNUMBER(SEARCH(Assumptions!$C$5,G4040)),Assumptions!$D$5,IF(ISNUMBER(SEARCH(Assumptions!$C$6,G4040)),Assumptions!$D$6,IF(ISNUMBER(SEARCH(Assumptions!$C$7,G4040)),Assumptions!$D$7,"Other Services"))),"Other Services"))</f>
        <v/>
      </c>
    </row>
    <row r="4041" customFormat="false" ht="15" hidden="false" customHeight="false" outlineLevel="0" collapsed="false">
      <c r="E4041" s="41" t="str">
        <f aca="false">IF(D4041="","",IFERROR(VLOOKUP(D4041,Assumptions!$G$5:$H$16,2,0),"Other"))</f>
        <v/>
      </c>
      <c r="J4041" s="41" t="str">
        <f aca="false">IF(G4041="","",IFERROR(IF(ISNUMBER(SEARCH(Assumptions!$C$5,G4041)),Assumptions!$D$5,IF(ISNUMBER(SEARCH(Assumptions!$C$6,G4041)),Assumptions!$D$6,IF(ISNUMBER(SEARCH(Assumptions!$C$7,G4041)),Assumptions!$D$7,"Other Services"))),"Other Services"))</f>
        <v/>
      </c>
    </row>
    <row r="4042" customFormat="false" ht="15" hidden="false" customHeight="false" outlineLevel="0" collapsed="false">
      <c r="E4042" s="41" t="str">
        <f aca="false">IF(D4042="","",IFERROR(VLOOKUP(D4042,Assumptions!$G$5:$H$16,2,0),"Other"))</f>
        <v/>
      </c>
      <c r="J4042" s="41" t="str">
        <f aca="false">IF(G4042="","",IFERROR(IF(ISNUMBER(SEARCH(Assumptions!$C$5,G4042)),Assumptions!$D$5,IF(ISNUMBER(SEARCH(Assumptions!$C$6,G4042)),Assumptions!$D$6,IF(ISNUMBER(SEARCH(Assumptions!$C$7,G4042)),Assumptions!$D$7,"Other Services"))),"Other Services"))</f>
        <v/>
      </c>
    </row>
    <row r="4043" customFormat="false" ht="15" hidden="false" customHeight="false" outlineLevel="0" collapsed="false">
      <c r="E4043" s="41" t="str">
        <f aca="false">IF(D4043="","",IFERROR(VLOOKUP(D4043,Assumptions!$G$5:$H$16,2,0),"Other"))</f>
        <v/>
      </c>
      <c r="J4043" s="41" t="str">
        <f aca="false">IF(G4043="","",IFERROR(IF(ISNUMBER(SEARCH(Assumptions!$C$5,G4043)),Assumptions!$D$5,IF(ISNUMBER(SEARCH(Assumptions!$C$6,G4043)),Assumptions!$D$6,IF(ISNUMBER(SEARCH(Assumptions!$C$7,G4043)),Assumptions!$D$7,"Other Services"))),"Other Services"))</f>
        <v/>
      </c>
    </row>
    <row r="4044" customFormat="false" ht="15" hidden="false" customHeight="false" outlineLevel="0" collapsed="false">
      <c r="E4044" s="41" t="str">
        <f aca="false">IF(D4044="","",IFERROR(VLOOKUP(D4044,Assumptions!$G$5:$H$16,2,0),"Other"))</f>
        <v/>
      </c>
      <c r="J4044" s="41" t="str">
        <f aca="false">IF(G4044="","",IFERROR(IF(ISNUMBER(SEARCH(Assumptions!$C$5,G4044)),Assumptions!$D$5,IF(ISNUMBER(SEARCH(Assumptions!$C$6,G4044)),Assumptions!$D$6,IF(ISNUMBER(SEARCH(Assumptions!$C$7,G4044)),Assumptions!$D$7,"Other Services"))),"Other Services"))</f>
        <v/>
      </c>
    </row>
    <row r="4045" customFormat="false" ht="15" hidden="false" customHeight="false" outlineLevel="0" collapsed="false">
      <c r="E4045" s="41" t="str">
        <f aca="false">IF(D4045="","",IFERROR(VLOOKUP(D4045,Assumptions!$G$5:$H$16,2,0),"Other"))</f>
        <v/>
      </c>
      <c r="J4045" s="41" t="str">
        <f aca="false">IF(G4045="","",IFERROR(IF(ISNUMBER(SEARCH(Assumptions!$C$5,G4045)),Assumptions!$D$5,IF(ISNUMBER(SEARCH(Assumptions!$C$6,G4045)),Assumptions!$D$6,IF(ISNUMBER(SEARCH(Assumptions!$C$7,G4045)),Assumptions!$D$7,"Other Services"))),"Other Services"))</f>
        <v/>
      </c>
    </row>
    <row r="4046" customFormat="false" ht="15" hidden="false" customHeight="false" outlineLevel="0" collapsed="false">
      <c r="E4046" s="41" t="str">
        <f aca="false">IF(D4046="","",IFERROR(VLOOKUP(D4046,Assumptions!$G$5:$H$16,2,0),"Other"))</f>
        <v/>
      </c>
      <c r="J4046" s="41" t="str">
        <f aca="false">IF(G4046="","",IFERROR(IF(ISNUMBER(SEARCH(Assumptions!$C$5,G4046)),Assumptions!$D$5,IF(ISNUMBER(SEARCH(Assumptions!$C$6,G4046)),Assumptions!$D$6,IF(ISNUMBER(SEARCH(Assumptions!$C$7,G4046)),Assumptions!$D$7,"Other Services"))),"Other Services"))</f>
        <v/>
      </c>
    </row>
    <row r="4047" customFormat="false" ht="15" hidden="false" customHeight="false" outlineLevel="0" collapsed="false">
      <c r="E4047" s="41" t="str">
        <f aca="false">IF(D4047="","",IFERROR(VLOOKUP(D4047,Assumptions!$G$5:$H$16,2,0),"Other"))</f>
        <v/>
      </c>
      <c r="J4047" s="41" t="str">
        <f aca="false">IF(G4047="","",IFERROR(IF(ISNUMBER(SEARCH(Assumptions!$C$5,G4047)),Assumptions!$D$5,IF(ISNUMBER(SEARCH(Assumptions!$C$6,G4047)),Assumptions!$D$6,IF(ISNUMBER(SEARCH(Assumptions!$C$7,G4047)),Assumptions!$D$7,"Other Services"))),"Other Services"))</f>
        <v/>
      </c>
    </row>
    <row r="4048" customFormat="false" ht="15" hidden="false" customHeight="false" outlineLevel="0" collapsed="false">
      <c r="E4048" s="41" t="str">
        <f aca="false">IF(D4048="","",IFERROR(VLOOKUP(D4048,Assumptions!$G$5:$H$16,2,0),"Other"))</f>
        <v/>
      </c>
      <c r="J4048" s="41" t="str">
        <f aca="false">IF(G4048="","",IFERROR(IF(ISNUMBER(SEARCH(Assumptions!$C$5,G4048)),Assumptions!$D$5,IF(ISNUMBER(SEARCH(Assumptions!$C$6,G4048)),Assumptions!$D$6,IF(ISNUMBER(SEARCH(Assumptions!$C$7,G4048)),Assumptions!$D$7,"Other Services"))),"Other Services"))</f>
        <v/>
      </c>
    </row>
    <row r="4049" customFormat="false" ht="15" hidden="false" customHeight="false" outlineLevel="0" collapsed="false">
      <c r="E4049" s="41" t="str">
        <f aca="false">IF(D4049="","",IFERROR(VLOOKUP(D4049,Assumptions!$G$5:$H$16,2,0),"Other"))</f>
        <v/>
      </c>
      <c r="J4049" s="41" t="str">
        <f aca="false">IF(G4049="","",IFERROR(IF(ISNUMBER(SEARCH(Assumptions!$C$5,G4049)),Assumptions!$D$5,IF(ISNUMBER(SEARCH(Assumptions!$C$6,G4049)),Assumptions!$D$6,IF(ISNUMBER(SEARCH(Assumptions!$C$7,G4049)),Assumptions!$D$7,"Other Services"))),"Other Services"))</f>
        <v/>
      </c>
    </row>
    <row r="4050" customFormat="false" ht="15" hidden="false" customHeight="false" outlineLevel="0" collapsed="false">
      <c r="E4050" s="41" t="str">
        <f aca="false">IF(D4050="","",IFERROR(VLOOKUP(D4050,Assumptions!$G$5:$H$16,2,0),"Other"))</f>
        <v/>
      </c>
      <c r="J4050" s="41" t="str">
        <f aca="false">IF(G4050="","",IFERROR(IF(ISNUMBER(SEARCH(Assumptions!$C$5,G4050)),Assumptions!$D$5,IF(ISNUMBER(SEARCH(Assumptions!$C$6,G4050)),Assumptions!$D$6,IF(ISNUMBER(SEARCH(Assumptions!$C$7,G4050)),Assumptions!$D$7,"Other Services"))),"Other Services"))</f>
        <v/>
      </c>
    </row>
    <row r="4051" customFormat="false" ht="15" hidden="false" customHeight="false" outlineLevel="0" collapsed="false">
      <c r="E4051" s="41" t="str">
        <f aca="false">IF(D4051="","",IFERROR(VLOOKUP(D4051,Assumptions!$G$5:$H$16,2,0),"Other"))</f>
        <v/>
      </c>
      <c r="J4051" s="41" t="str">
        <f aca="false">IF(G4051="","",IFERROR(IF(ISNUMBER(SEARCH(Assumptions!$C$5,G4051)),Assumptions!$D$5,IF(ISNUMBER(SEARCH(Assumptions!$C$6,G4051)),Assumptions!$D$6,IF(ISNUMBER(SEARCH(Assumptions!$C$7,G4051)),Assumptions!$D$7,"Other Services"))),"Other Services"))</f>
        <v/>
      </c>
    </row>
    <row r="4052" customFormat="false" ht="15" hidden="false" customHeight="false" outlineLevel="0" collapsed="false">
      <c r="E4052" s="41" t="str">
        <f aca="false">IF(D4052="","",IFERROR(VLOOKUP(D4052,Assumptions!$G$5:$H$16,2,0),"Other"))</f>
        <v/>
      </c>
      <c r="J4052" s="41" t="str">
        <f aca="false">IF(G4052="","",IFERROR(IF(ISNUMBER(SEARCH(Assumptions!$C$5,G4052)),Assumptions!$D$5,IF(ISNUMBER(SEARCH(Assumptions!$C$6,G4052)),Assumptions!$D$6,IF(ISNUMBER(SEARCH(Assumptions!$C$7,G4052)),Assumptions!$D$7,"Other Services"))),"Other Services"))</f>
        <v/>
      </c>
    </row>
    <row r="4053" customFormat="false" ht="15" hidden="false" customHeight="false" outlineLevel="0" collapsed="false">
      <c r="E4053" s="41" t="str">
        <f aca="false">IF(D4053="","",IFERROR(VLOOKUP(D4053,Assumptions!$G$5:$H$16,2,0),"Other"))</f>
        <v/>
      </c>
      <c r="J4053" s="41" t="str">
        <f aca="false">IF(G4053="","",IFERROR(IF(ISNUMBER(SEARCH(Assumptions!$C$5,G4053)),Assumptions!$D$5,IF(ISNUMBER(SEARCH(Assumptions!$C$6,G4053)),Assumptions!$D$6,IF(ISNUMBER(SEARCH(Assumptions!$C$7,G4053)),Assumptions!$D$7,"Other Services"))),"Other Services"))</f>
        <v/>
      </c>
    </row>
    <row r="4054" customFormat="false" ht="15" hidden="false" customHeight="false" outlineLevel="0" collapsed="false">
      <c r="E4054" s="41" t="str">
        <f aca="false">IF(D4054="","",IFERROR(VLOOKUP(D4054,Assumptions!$G$5:$H$16,2,0),"Other"))</f>
        <v/>
      </c>
      <c r="J4054" s="41" t="str">
        <f aca="false">IF(G4054="","",IFERROR(IF(ISNUMBER(SEARCH(Assumptions!$C$5,G4054)),Assumptions!$D$5,IF(ISNUMBER(SEARCH(Assumptions!$C$6,G4054)),Assumptions!$D$6,IF(ISNUMBER(SEARCH(Assumptions!$C$7,G4054)),Assumptions!$D$7,"Other Services"))),"Other Services"))</f>
        <v/>
      </c>
    </row>
    <row r="4055" customFormat="false" ht="15" hidden="false" customHeight="false" outlineLevel="0" collapsed="false">
      <c r="E4055" s="41" t="str">
        <f aca="false">IF(D4055="","",IFERROR(VLOOKUP(D4055,Assumptions!$G$5:$H$16,2,0),"Other"))</f>
        <v/>
      </c>
      <c r="J4055" s="41" t="str">
        <f aca="false">IF(G4055="","",IFERROR(IF(ISNUMBER(SEARCH(Assumptions!$C$5,G4055)),Assumptions!$D$5,IF(ISNUMBER(SEARCH(Assumptions!$C$6,G4055)),Assumptions!$D$6,IF(ISNUMBER(SEARCH(Assumptions!$C$7,G4055)),Assumptions!$D$7,"Other Services"))),"Other Services"))</f>
        <v/>
      </c>
    </row>
    <row r="4056" customFormat="false" ht="15" hidden="false" customHeight="false" outlineLevel="0" collapsed="false">
      <c r="E4056" s="41" t="str">
        <f aca="false">IF(D4056="","",IFERROR(VLOOKUP(D4056,Assumptions!$G$5:$H$16,2,0),"Other"))</f>
        <v/>
      </c>
      <c r="J4056" s="41" t="str">
        <f aca="false">IF(G4056="","",IFERROR(IF(ISNUMBER(SEARCH(Assumptions!$C$5,G4056)),Assumptions!$D$5,IF(ISNUMBER(SEARCH(Assumptions!$C$6,G4056)),Assumptions!$D$6,IF(ISNUMBER(SEARCH(Assumptions!$C$7,G4056)),Assumptions!$D$7,"Other Services"))),"Other Services"))</f>
        <v/>
      </c>
    </row>
    <row r="4057" customFormat="false" ht="15" hidden="false" customHeight="false" outlineLevel="0" collapsed="false">
      <c r="E4057" s="41" t="str">
        <f aca="false">IF(D4057="","",IFERROR(VLOOKUP(D4057,Assumptions!$G$5:$H$16,2,0),"Other"))</f>
        <v/>
      </c>
      <c r="J4057" s="41" t="str">
        <f aca="false">IF(G4057="","",IFERROR(IF(ISNUMBER(SEARCH(Assumptions!$C$5,G4057)),Assumptions!$D$5,IF(ISNUMBER(SEARCH(Assumptions!$C$6,G4057)),Assumptions!$D$6,IF(ISNUMBER(SEARCH(Assumptions!$C$7,G4057)),Assumptions!$D$7,"Other Services"))),"Other Services"))</f>
        <v/>
      </c>
    </row>
    <row r="4058" customFormat="false" ht="15" hidden="false" customHeight="false" outlineLevel="0" collapsed="false">
      <c r="E4058" s="41" t="str">
        <f aca="false">IF(D4058="","",IFERROR(VLOOKUP(D4058,Assumptions!$G$5:$H$16,2,0),"Other"))</f>
        <v/>
      </c>
      <c r="J4058" s="41" t="str">
        <f aca="false">IF(G4058="","",IFERROR(IF(ISNUMBER(SEARCH(Assumptions!$C$5,G4058)),Assumptions!$D$5,IF(ISNUMBER(SEARCH(Assumptions!$C$6,G4058)),Assumptions!$D$6,IF(ISNUMBER(SEARCH(Assumptions!$C$7,G4058)),Assumptions!$D$7,"Other Services"))),"Other Services"))</f>
        <v/>
      </c>
    </row>
    <row r="4059" customFormat="false" ht="15" hidden="false" customHeight="false" outlineLevel="0" collapsed="false">
      <c r="E4059" s="41" t="str">
        <f aca="false">IF(D4059="","",IFERROR(VLOOKUP(D4059,Assumptions!$G$5:$H$16,2,0),"Other"))</f>
        <v/>
      </c>
      <c r="J4059" s="41" t="str">
        <f aca="false">IF(G4059="","",IFERROR(IF(ISNUMBER(SEARCH(Assumptions!$C$5,G4059)),Assumptions!$D$5,IF(ISNUMBER(SEARCH(Assumptions!$C$6,G4059)),Assumptions!$D$6,IF(ISNUMBER(SEARCH(Assumptions!$C$7,G4059)),Assumptions!$D$7,"Other Services"))),"Other Services"))</f>
        <v/>
      </c>
    </row>
    <row r="4060" customFormat="false" ht="15" hidden="false" customHeight="false" outlineLevel="0" collapsed="false">
      <c r="E4060" s="41" t="str">
        <f aca="false">IF(D4060="","",IFERROR(VLOOKUP(D4060,Assumptions!$G$5:$H$16,2,0),"Other"))</f>
        <v/>
      </c>
      <c r="J4060" s="41" t="str">
        <f aca="false">IF(G4060="","",IFERROR(IF(ISNUMBER(SEARCH(Assumptions!$C$5,G4060)),Assumptions!$D$5,IF(ISNUMBER(SEARCH(Assumptions!$C$6,G4060)),Assumptions!$D$6,IF(ISNUMBER(SEARCH(Assumptions!$C$7,G4060)),Assumptions!$D$7,"Other Services"))),"Other Services"))</f>
        <v/>
      </c>
    </row>
    <row r="4061" customFormat="false" ht="15" hidden="false" customHeight="false" outlineLevel="0" collapsed="false">
      <c r="E4061" s="41" t="str">
        <f aca="false">IF(D4061="","",IFERROR(VLOOKUP(D4061,Assumptions!$G$5:$H$16,2,0),"Other"))</f>
        <v/>
      </c>
      <c r="J4061" s="41" t="str">
        <f aca="false">IF(G4061="","",IFERROR(IF(ISNUMBER(SEARCH(Assumptions!$C$5,G4061)),Assumptions!$D$5,IF(ISNUMBER(SEARCH(Assumptions!$C$6,G4061)),Assumptions!$D$6,IF(ISNUMBER(SEARCH(Assumptions!$C$7,G4061)),Assumptions!$D$7,"Other Services"))),"Other Services"))</f>
        <v/>
      </c>
    </row>
    <row r="4062" customFormat="false" ht="15" hidden="false" customHeight="false" outlineLevel="0" collapsed="false">
      <c r="E4062" s="41" t="str">
        <f aca="false">IF(D4062="","",IFERROR(VLOOKUP(D4062,Assumptions!$G$5:$H$16,2,0),"Other"))</f>
        <v/>
      </c>
      <c r="J4062" s="41" t="str">
        <f aca="false">IF(G4062="","",IFERROR(IF(ISNUMBER(SEARCH(Assumptions!$C$5,G4062)),Assumptions!$D$5,IF(ISNUMBER(SEARCH(Assumptions!$C$6,G4062)),Assumptions!$D$6,IF(ISNUMBER(SEARCH(Assumptions!$C$7,G4062)),Assumptions!$D$7,"Other Services"))),"Other Services"))</f>
        <v/>
      </c>
    </row>
    <row r="4063" customFormat="false" ht="15" hidden="false" customHeight="false" outlineLevel="0" collapsed="false">
      <c r="E4063" s="41" t="str">
        <f aca="false">IF(D4063="","",IFERROR(VLOOKUP(D4063,Assumptions!$G$5:$H$16,2,0),"Other"))</f>
        <v/>
      </c>
      <c r="J4063" s="41" t="str">
        <f aca="false">IF(G4063="","",IFERROR(IF(ISNUMBER(SEARCH(Assumptions!$C$5,G4063)),Assumptions!$D$5,IF(ISNUMBER(SEARCH(Assumptions!$C$6,G4063)),Assumptions!$D$6,IF(ISNUMBER(SEARCH(Assumptions!$C$7,G4063)),Assumptions!$D$7,"Other Services"))),"Other Services"))</f>
        <v/>
      </c>
    </row>
    <row r="4064" customFormat="false" ht="15" hidden="false" customHeight="false" outlineLevel="0" collapsed="false">
      <c r="E4064" s="41" t="str">
        <f aca="false">IF(D4064="","",IFERROR(VLOOKUP(D4064,Assumptions!$G$5:$H$16,2,0),"Other"))</f>
        <v/>
      </c>
      <c r="J4064" s="41" t="str">
        <f aca="false">IF(G4064="","",IFERROR(IF(ISNUMBER(SEARCH(Assumptions!$C$5,G4064)),Assumptions!$D$5,IF(ISNUMBER(SEARCH(Assumptions!$C$6,G4064)),Assumptions!$D$6,IF(ISNUMBER(SEARCH(Assumptions!$C$7,G4064)),Assumptions!$D$7,"Other Services"))),"Other Services"))</f>
        <v/>
      </c>
    </row>
    <row r="4065" customFormat="false" ht="15" hidden="false" customHeight="false" outlineLevel="0" collapsed="false">
      <c r="E4065" s="41" t="str">
        <f aca="false">IF(D4065="","",IFERROR(VLOOKUP(D4065,Assumptions!$G$5:$H$16,2,0),"Other"))</f>
        <v/>
      </c>
      <c r="J4065" s="41" t="str">
        <f aca="false">IF(G4065="","",IFERROR(IF(ISNUMBER(SEARCH(Assumptions!$C$5,G4065)),Assumptions!$D$5,IF(ISNUMBER(SEARCH(Assumptions!$C$6,G4065)),Assumptions!$D$6,IF(ISNUMBER(SEARCH(Assumptions!$C$7,G4065)),Assumptions!$D$7,"Other Services"))),"Other Services"))</f>
        <v/>
      </c>
    </row>
    <row r="4066" customFormat="false" ht="15" hidden="false" customHeight="false" outlineLevel="0" collapsed="false">
      <c r="E4066" s="41" t="str">
        <f aca="false">IF(D4066="","",IFERROR(VLOOKUP(D4066,Assumptions!$G$5:$H$16,2,0),"Other"))</f>
        <v/>
      </c>
      <c r="J4066" s="41" t="str">
        <f aca="false">IF(G4066="","",IFERROR(IF(ISNUMBER(SEARCH(Assumptions!$C$5,G4066)),Assumptions!$D$5,IF(ISNUMBER(SEARCH(Assumptions!$C$6,G4066)),Assumptions!$D$6,IF(ISNUMBER(SEARCH(Assumptions!$C$7,G4066)),Assumptions!$D$7,"Other Services"))),"Other Services"))</f>
        <v/>
      </c>
    </row>
    <row r="4067" customFormat="false" ht="15" hidden="false" customHeight="false" outlineLevel="0" collapsed="false">
      <c r="E4067" s="41" t="str">
        <f aca="false">IF(D4067="","",IFERROR(VLOOKUP(D4067,Assumptions!$G$5:$H$16,2,0),"Other"))</f>
        <v/>
      </c>
      <c r="J4067" s="41" t="str">
        <f aca="false">IF(G4067="","",IFERROR(IF(ISNUMBER(SEARCH(Assumptions!$C$5,G4067)),Assumptions!$D$5,IF(ISNUMBER(SEARCH(Assumptions!$C$6,G4067)),Assumptions!$D$6,IF(ISNUMBER(SEARCH(Assumptions!$C$7,G4067)),Assumptions!$D$7,"Other Services"))),"Other Services"))</f>
        <v/>
      </c>
    </row>
    <row r="4068" customFormat="false" ht="15" hidden="false" customHeight="false" outlineLevel="0" collapsed="false">
      <c r="E4068" s="41" t="str">
        <f aca="false">IF(D4068="","",IFERROR(VLOOKUP(D4068,Assumptions!$G$5:$H$16,2,0),"Other"))</f>
        <v/>
      </c>
      <c r="J4068" s="41" t="str">
        <f aca="false">IF(G4068="","",IFERROR(IF(ISNUMBER(SEARCH(Assumptions!$C$5,G4068)),Assumptions!$D$5,IF(ISNUMBER(SEARCH(Assumptions!$C$6,G4068)),Assumptions!$D$6,IF(ISNUMBER(SEARCH(Assumptions!$C$7,G4068)),Assumptions!$D$7,"Other Services"))),"Other Services"))</f>
        <v/>
      </c>
    </row>
    <row r="4069" customFormat="false" ht="15" hidden="false" customHeight="false" outlineLevel="0" collapsed="false">
      <c r="E4069" s="41" t="str">
        <f aca="false">IF(D4069="","",IFERROR(VLOOKUP(D4069,Assumptions!$G$5:$H$16,2,0),"Other"))</f>
        <v/>
      </c>
      <c r="J4069" s="41" t="str">
        <f aca="false">IF(G4069="","",IFERROR(IF(ISNUMBER(SEARCH(Assumptions!$C$5,G4069)),Assumptions!$D$5,IF(ISNUMBER(SEARCH(Assumptions!$C$6,G4069)),Assumptions!$D$6,IF(ISNUMBER(SEARCH(Assumptions!$C$7,G4069)),Assumptions!$D$7,"Other Services"))),"Other Services"))</f>
        <v/>
      </c>
    </row>
    <row r="4070" customFormat="false" ht="15" hidden="false" customHeight="false" outlineLevel="0" collapsed="false">
      <c r="E4070" s="41" t="str">
        <f aca="false">IF(D4070="","",IFERROR(VLOOKUP(D4070,Assumptions!$G$5:$H$16,2,0),"Other"))</f>
        <v/>
      </c>
      <c r="J4070" s="41" t="str">
        <f aca="false">IF(G4070="","",IFERROR(IF(ISNUMBER(SEARCH(Assumptions!$C$5,G4070)),Assumptions!$D$5,IF(ISNUMBER(SEARCH(Assumptions!$C$6,G4070)),Assumptions!$D$6,IF(ISNUMBER(SEARCH(Assumptions!$C$7,G4070)),Assumptions!$D$7,"Other Services"))),"Other Services"))</f>
        <v/>
      </c>
    </row>
    <row r="4071" customFormat="false" ht="15" hidden="false" customHeight="false" outlineLevel="0" collapsed="false">
      <c r="E4071" s="41" t="str">
        <f aca="false">IF(D4071="","",IFERROR(VLOOKUP(D4071,Assumptions!$G$5:$H$16,2,0),"Other"))</f>
        <v/>
      </c>
      <c r="J4071" s="41" t="str">
        <f aca="false">IF(G4071="","",IFERROR(IF(ISNUMBER(SEARCH(Assumptions!$C$5,G4071)),Assumptions!$D$5,IF(ISNUMBER(SEARCH(Assumptions!$C$6,G4071)),Assumptions!$D$6,IF(ISNUMBER(SEARCH(Assumptions!$C$7,G4071)),Assumptions!$D$7,"Other Services"))),"Other Services"))</f>
        <v/>
      </c>
    </row>
    <row r="4072" customFormat="false" ht="15" hidden="false" customHeight="false" outlineLevel="0" collapsed="false">
      <c r="E4072" s="41" t="str">
        <f aca="false">IF(D4072="","",IFERROR(VLOOKUP(D4072,Assumptions!$G$5:$H$16,2,0),"Other"))</f>
        <v/>
      </c>
      <c r="J4072" s="41" t="str">
        <f aca="false">IF(G4072="","",IFERROR(IF(ISNUMBER(SEARCH(Assumptions!$C$5,G4072)),Assumptions!$D$5,IF(ISNUMBER(SEARCH(Assumptions!$C$6,G4072)),Assumptions!$D$6,IF(ISNUMBER(SEARCH(Assumptions!$C$7,G4072)),Assumptions!$D$7,"Other Services"))),"Other Services"))</f>
        <v/>
      </c>
    </row>
    <row r="4073" customFormat="false" ht="15" hidden="false" customHeight="false" outlineLevel="0" collapsed="false">
      <c r="E4073" s="41" t="str">
        <f aca="false">IF(D4073="","",IFERROR(VLOOKUP(D4073,Assumptions!$G$5:$H$16,2,0),"Other"))</f>
        <v/>
      </c>
      <c r="J4073" s="41" t="str">
        <f aca="false">IF(G4073="","",IFERROR(IF(ISNUMBER(SEARCH(Assumptions!$C$5,G4073)),Assumptions!$D$5,IF(ISNUMBER(SEARCH(Assumptions!$C$6,G4073)),Assumptions!$D$6,IF(ISNUMBER(SEARCH(Assumptions!$C$7,G4073)),Assumptions!$D$7,"Other Services"))),"Other Services"))</f>
        <v/>
      </c>
    </row>
    <row r="4074" customFormat="false" ht="15" hidden="false" customHeight="false" outlineLevel="0" collapsed="false">
      <c r="E4074" s="41" t="str">
        <f aca="false">IF(D4074="","",IFERROR(VLOOKUP(D4074,Assumptions!$G$5:$H$16,2,0),"Other"))</f>
        <v/>
      </c>
      <c r="J4074" s="41" t="str">
        <f aca="false">IF(G4074="","",IFERROR(IF(ISNUMBER(SEARCH(Assumptions!$C$5,G4074)),Assumptions!$D$5,IF(ISNUMBER(SEARCH(Assumptions!$C$6,G4074)),Assumptions!$D$6,IF(ISNUMBER(SEARCH(Assumptions!$C$7,G4074)),Assumptions!$D$7,"Other Services"))),"Other Services"))</f>
        <v/>
      </c>
    </row>
    <row r="4075" customFormat="false" ht="15" hidden="false" customHeight="false" outlineLevel="0" collapsed="false">
      <c r="E4075" s="41" t="str">
        <f aca="false">IF(D4075="","",IFERROR(VLOOKUP(D4075,Assumptions!$G$5:$H$16,2,0),"Other"))</f>
        <v/>
      </c>
      <c r="J4075" s="41" t="str">
        <f aca="false">IF(G4075="","",IFERROR(IF(ISNUMBER(SEARCH(Assumptions!$C$5,G4075)),Assumptions!$D$5,IF(ISNUMBER(SEARCH(Assumptions!$C$6,G4075)),Assumptions!$D$6,IF(ISNUMBER(SEARCH(Assumptions!$C$7,G4075)),Assumptions!$D$7,"Other Services"))),"Other Services"))</f>
        <v/>
      </c>
    </row>
    <row r="4076" customFormat="false" ht="15" hidden="false" customHeight="false" outlineLevel="0" collapsed="false">
      <c r="E4076" s="41" t="str">
        <f aca="false">IF(D4076="","",IFERROR(VLOOKUP(D4076,Assumptions!$G$5:$H$16,2,0),"Other"))</f>
        <v/>
      </c>
      <c r="J4076" s="41" t="str">
        <f aca="false">IF(G4076="","",IFERROR(IF(ISNUMBER(SEARCH(Assumptions!$C$5,G4076)),Assumptions!$D$5,IF(ISNUMBER(SEARCH(Assumptions!$C$6,G4076)),Assumptions!$D$6,IF(ISNUMBER(SEARCH(Assumptions!$C$7,G4076)),Assumptions!$D$7,"Other Services"))),"Other Services"))</f>
        <v/>
      </c>
    </row>
    <row r="4077" customFormat="false" ht="15" hidden="false" customHeight="false" outlineLevel="0" collapsed="false">
      <c r="E4077" s="41" t="str">
        <f aca="false">IF(D4077="","",IFERROR(VLOOKUP(D4077,Assumptions!$G$5:$H$16,2,0),"Other"))</f>
        <v/>
      </c>
      <c r="J4077" s="41" t="str">
        <f aca="false">IF(G4077="","",IFERROR(IF(ISNUMBER(SEARCH(Assumptions!$C$5,G4077)),Assumptions!$D$5,IF(ISNUMBER(SEARCH(Assumptions!$C$6,G4077)),Assumptions!$D$6,IF(ISNUMBER(SEARCH(Assumptions!$C$7,G4077)),Assumptions!$D$7,"Other Services"))),"Other Services"))</f>
        <v/>
      </c>
    </row>
    <row r="4078" customFormat="false" ht="15" hidden="false" customHeight="false" outlineLevel="0" collapsed="false">
      <c r="E4078" s="41" t="str">
        <f aca="false">IF(D4078="","",IFERROR(VLOOKUP(D4078,Assumptions!$G$5:$H$16,2,0),"Other"))</f>
        <v/>
      </c>
      <c r="J4078" s="41" t="str">
        <f aca="false">IF(G4078="","",IFERROR(IF(ISNUMBER(SEARCH(Assumptions!$C$5,G4078)),Assumptions!$D$5,IF(ISNUMBER(SEARCH(Assumptions!$C$6,G4078)),Assumptions!$D$6,IF(ISNUMBER(SEARCH(Assumptions!$C$7,G4078)),Assumptions!$D$7,"Other Services"))),"Other Services"))</f>
        <v/>
      </c>
    </row>
    <row r="4079" customFormat="false" ht="15" hidden="false" customHeight="false" outlineLevel="0" collapsed="false">
      <c r="E4079" s="41" t="str">
        <f aca="false">IF(D4079="","",IFERROR(VLOOKUP(D4079,Assumptions!$G$5:$H$16,2,0),"Other"))</f>
        <v/>
      </c>
      <c r="J4079" s="41" t="str">
        <f aca="false">IF(G4079="","",IFERROR(IF(ISNUMBER(SEARCH(Assumptions!$C$5,G4079)),Assumptions!$D$5,IF(ISNUMBER(SEARCH(Assumptions!$C$6,G4079)),Assumptions!$D$6,IF(ISNUMBER(SEARCH(Assumptions!$C$7,G4079)),Assumptions!$D$7,"Other Services"))),"Other Services"))</f>
        <v/>
      </c>
    </row>
    <row r="4080" customFormat="false" ht="15" hidden="false" customHeight="false" outlineLevel="0" collapsed="false">
      <c r="E4080" s="41" t="str">
        <f aca="false">IF(D4080="","",IFERROR(VLOOKUP(D4080,Assumptions!$G$5:$H$16,2,0),"Other"))</f>
        <v/>
      </c>
      <c r="J4080" s="41" t="str">
        <f aca="false">IF(G4080="","",IFERROR(IF(ISNUMBER(SEARCH(Assumptions!$C$5,G4080)),Assumptions!$D$5,IF(ISNUMBER(SEARCH(Assumptions!$C$6,G4080)),Assumptions!$D$6,IF(ISNUMBER(SEARCH(Assumptions!$C$7,G4080)),Assumptions!$D$7,"Other Services"))),"Other Services"))</f>
        <v/>
      </c>
    </row>
    <row r="4081" customFormat="false" ht="15" hidden="false" customHeight="false" outlineLevel="0" collapsed="false">
      <c r="E4081" s="41" t="str">
        <f aca="false">IF(D4081="","",IFERROR(VLOOKUP(D4081,Assumptions!$G$5:$H$16,2,0),"Other"))</f>
        <v/>
      </c>
      <c r="J4081" s="41" t="str">
        <f aca="false">IF(G4081="","",IFERROR(IF(ISNUMBER(SEARCH(Assumptions!$C$5,G4081)),Assumptions!$D$5,IF(ISNUMBER(SEARCH(Assumptions!$C$6,G4081)),Assumptions!$D$6,IF(ISNUMBER(SEARCH(Assumptions!$C$7,G4081)),Assumptions!$D$7,"Other Services"))),"Other Services"))</f>
        <v/>
      </c>
    </row>
    <row r="4082" customFormat="false" ht="15" hidden="false" customHeight="false" outlineLevel="0" collapsed="false">
      <c r="E4082" s="41" t="str">
        <f aca="false">IF(D4082="","",IFERROR(VLOOKUP(D4082,Assumptions!$G$5:$H$16,2,0),"Other"))</f>
        <v/>
      </c>
      <c r="J4082" s="41" t="str">
        <f aca="false">IF(G4082="","",IFERROR(IF(ISNUMBER(SEARCH(Assumptions!$C$5,G4082)),Assumptions!$D$5,IF(ISNUMBER(SEARCH(Assumptions!$C$6,G4082)),Assumptions!$D$6,IF(ISNUMBER(SEARCH(Assumptions!$C$7,G4082)),Assumptions!$D$7,"Other Services"))),"Other Services"))</f>
        <v/>
      </c>
    </row>
    <row r="4083" customFormat="false" ht="15" hidden="false" customHeight="false" outlineLevel="0" collapsed="false">
      <c r="E4083" s="41" t="str">
        <f aca="false">IF(D4083="","",IFERROR(VLOOKUP(D4083,Assumptions!$G$5:$H$16,2,0),"Other"))</f>
        <v/>
      </c>
      <c r="J4083" s="41" t="str">
        <f aca="false">IF(G4083="","",IFERROR(IF(ISNUMBER(SEARCH(Assumptions!$C$5,G4083)),Assumptions!$D$5,IF(ISNUMBER(SEARCH(Assumptions!$C$6,G4083)),Assumptions!$D$6,IF(ISNUMBER(SEARCH(Assumptions!$C$7,G4083)),Assumptions!$D$7,"Other Services"))),"Other Services"))</f>
        <v/>
      </c>
    </row>
    <row r="4084" customFormat="false" ht="15" hidden="false" customHeight="false" outlineLevel="0" collapsed="false">
      <c r="E4084" s="41" t="str">
        <f aca="false">IF(D4084="","",IFERROR(VLOOKUP(D4084,Assumptions!$G$5:$H$16,2,0),"Other"))</f>
        <v/>
      </c>
      <c r="J4084" s="41" t="str">
        <f aca="false">IF(G4084="","",IFERROR(IF(ISNUMBER(SEARCH(Assumptions!$C$5,G4084)),Assumptions!$D$5,IF(ISNUMBER(SEARCH(Assumptions!$C$6,G4084)),Assumptions!$D$6,IF(ISNUMBER(SEARCH(Assumptions!$C$7,G4084)),Assumptions!$D$7,"Other Services"))),"Other Services"))</f>
        <v/>
      </c>
    </row>
    <row r="4085" customFormat="false" ht="15" hidden="false" customHeight="false" outlineLevel="0" collapsed="false">
      <c r="E4085" s="41" t="str">
        <f aca="false">IF(D4085="","",IFERROR(VLOOKUP(D4085,Assumptions!$G$5:$H$16,2,0),"Other"))</f>
        <v/>
      </c>
      <c r="J4085" s="41" t="str">
        <f aca="false">IF(G4085="","",IFERROR(IF(ISNUMBER(SEARCH(Assumptions!$C$5,G4085)),Assumptions!$D$5,IF(ISNUMBER(SEARCH(Assumptions!$C$6,G4085)),Assumptions!$D$6,IF(ISNUMBER(SEARCH(Assumptions!$C$7,G4085)),Assumptions!$D$7,"Other Services"))),"Other Services"))</f>
        <v/>
      </c>
    </row>
    <row r="4086" customFormat="false" ht="15" hidden="false" customHeight="false" outlineLevel="0" collapsed="false">
      <c r="E4086" s="41" t="str">
        <f aca="false">IF(D4086="","",IFERROR(VLOOKUP(D4086,Assumptions!$G$5:$H$16,2,0),"Other"))</f>
        <v/>
      </c>
      <c r="J4086" s="41" t="str">
        <f aca="false">IF(G4086="","",IFERROR(IF(ISNUMBER(SEARCH(Assumptions!$C$5,G4086)),Assumptions!$D$5,IF(ISNUMBER(SEARCH(Assumptions!$C$6,G4086)),Assumptions!$D$6,IF(ISNUMBER(SEARCH(Assumptions!$C$7,G4086)),Assumptions!$D$7,"Other Services"))),"Other Services"))</f>
        <v/>
      </c>
    </row>
    <row r="4087" customFormat="false" ht="15" hidden="false" customHeight="false" outlineLevel="0" collapsed="false">
      <c r="E4087" s="41" t="str">
        <f aca="false">IF(D4087="","",IFERROR(VLOOKUP(D4087,Assumptions!$G$5:$H$16,2,0),"Other"))</f>
        <v/>
      </c>
      <c r="J4087" s="41" t="str">
        <f aca="false">IF(G4087="","",IFERROR(IF(ISNUMBER(SEARCH(Assumptions!$C$5,G4087)),Assumptions!$D$5,IF(ISNUMBER(SEARCH(Assumptions!$C$6,G4087)),Assumptions!$D$6,IF(ISNUMBER(SEARCH(Assumptions!$C$7,G4087)),Assumptions!$D$7,"Other Services"))),"Other Services"))</f>
        <v/>
      </c>
    </row>
    <row r="4088" customFormat="false" ht="15" hidden="false" customHeight="false" outlineLevel="0" collapsed="false">
      <c r="E4088" s="41" t="str">
        <f aca="false">IF(D4088="","",IFERROR(VLOOKUP(D4088,Assumptions!$G$5:$H$16,2,0),"Other"))</f>
        <v/>
      </c>
      <c r="J4088" s="41" t="str">
        <f aca="false">IF(G4088="","",IFERROR(IF(ISNUMBER(SEARCH(Assumptions!$C$5,G4088)),Assumptions!$D$5,IF(ISNUMBER(SEARCH(Assumptions!$C$6,G4088)),Assumptions!$D$6,IF(ISNUMBER(SEARCH(Assumptions!$C$7,G4088)),Assumptions!$D$7,"Other Services"))),"Other Services"))</f>
        <v/>
      </c>
    </row>
    <row r="4089" customFormat="false" ht="15" hidden="false" customHeight="false" outlineLevel="0" collapsed="false">
      <c r="E4089" s="41" t="str">
        <f aca="false">IF(D4089="","",IFERROR(VLOOKUP(D4089,Assumptions!$G$5:$H$16,2,0),"Other"))</f>
        <v/>
      </c>
      <c r="J4089" s="41" t="str">
        <f aca="false">IF(G4089="","",IFERROR(IF(ISNUMBER(SEARCH(Assumptions!$C$5,G4089)),Assumptions!$D$5,IF(ISNUMBER(SEARCH(Assumptions!$C$6,G4089)),Assumptions!$D$6,IF(ISNUMBER(SEARCH(Assumptions!$C$7,G4089)),Assumptions!$D$7,"Other Services"))),"Other Services"))</f>
        <v/>
      </c>
    </row>
    <row r="4090" customFormat="false" ht="15" hidden="false" customHeight="false" outlineLevel="0" collapsed="false">
      <c r="E4090" s="41" t="str">
        <f aca="false">IF(D4090="","",IFERROR(VLOOKUP(D4090,Assumptions!$G$5:$H$16,2,0),"Other"))</f>
        <v/>
      </c>
      <c r="J4090" s="41" t="str">
        <f aca="false">IF(G4090="","",IFERROR(IF(ISNUMBER(SEARCH(Assumptions!$C$5,G4090)),Assumptions!$D$5,IF(ISNUMBER(SEARCH(Assumptions!$C$6,G4090)),Assumptions!$D$6,IF(ISNUMBER(SEARCH(Assumptions!$C$7,G4090)),Assumptions!$D$7,"Other Services"))),"Other Services"))</f>
        <v/>
      </c>
    </row>
    <row r="4091" customFormat="false" ht="15" hidden="false" customHeight="false" outlineLevel="0" collapsed="false">
      <c r="E4091" s="41" t="str">
        <f aca="false">IF(D4091="","",IFERROR(VLOOKUP(D4091,Assumptions!$G$5:$H$16,2,0),"Other"))</f>
        <v/>
      </c>
      <c r="J4091" s="41" t="str">
        <f aca="false">IF(G4091="","",IFERROR(IF(ISNUMBER(SEARCH(Assumptions!$C$5,G4091)),Assumptions!$D$5,IF(ISNUMBER(SEARCH(Assumptions!$C$6,G4091)),Assumptions!$D$6,IF(ISNUMBER(SEARCH(Assumptions!$C$7,G4091)),Assumptions!$D$7,"Other Services"))),"Other Services"))</f>
        <v/>
      </c>
    </row>
    <row r="4092" customFormat="false" ht="15" hidden="false" customHeight="false" outlineLevel="0" collapsed="false">
      <c r="E4092" s="41" t="str">
        <f aca="false">IF(D4092="","",IFERROR(VLOOKUP(D4092,Assumptions!$G$5:$H$16,2,0),"Other"))</f>
        <v/>
      </c>
      <c r="J4092" s="41" t="str">
        <f aca="false">IF(G4092="","",IFERROR(IF(ISNUMBER(SEARCH(Assumptions!$C$5,G4092)),Assumptions!$D$5,IF(ISNUMBER(SEARCH(Assumptions!$C$6,G4092)),Assumptions!$D$6,IF(ISNUMBER(SEARCH(Assumptions!$C$7,G4092)),Assumptions!$D$7,"Other Services"))),"Other Services"))</f>
        <v/>
      </c>
    </row>
    <row r="4093" customFormat="false" ht="15" hidden="false" customHeight="false" outlineLevel="0" collapsed="false">
      <c r="E4093" s="41" t="str">
        <f aca="false">IF(D4093="","",IFERROR(VLOOKUP(D4093,Assumptions!$G$5:$H$16,2,0),"Other"))</f>
        <v/>
      </c>
      <c r="J4093" s="41" t="str">
        <f aca="false">IF(G4093="","",IFERROR(IF(ISNUMBER(SEARCH(Assumptions!$C$5,G4093)),Assumptions!$D$5,IF(ISNUMBER(SEARCH(Assumptions!$C$6,G4093)),Assumptions!$D$6,IF(ISNUMBER(SEARCH(Assumptions!$C$7,G4093)),Assumptions!$D$7,"Other Services"))),"Other Services"))</f>
        <v/>
      </c>
    </row>
    <row r="4094" customFormat="false" ht="15" hidden="false" customHeight="false" outlineLevel="0" collapsed="false">
      <c r="E4094" s="41" t="str">
        <f aca="false">IF(D4094="","",IFERROR(VLOOKUP(D4094,Assumptions!$G$5:$H$16,2,0),"Other"))</f>
        <v/>
      </c>
      <c r="J4094" s="41" t="str">
        <f aca="false">IF(G4094="","",IFERROR(IF(ISNUMBER(SEARCH(Assumptions!$C$5,G4094)),Assumptions!$D$5,IF(ISNUMBER(SEARCH(Assumptions!$C$6,G4094)),Assumptions!$D$6,IF(ISNUMBER(SEARCH(Assumptions!$C$7,G4094)),Assumptions!$D$7,"Other Services"))),"Other Services"))</f>
        <v/>
      </c>
    </row>
    <row r="4095" customFormat="false" ht="15" hidden="false" customHeight="false" outlineLevel="0" collapsed="false">
      <c r="E4095" s="41" t="str">
        <f aca="false">IF(D4095="","",IFERROR(VLOOKUP(D4095,Assumptions!$G$5:$H$16,2,0),"Other"))</f>
        <v/>
      </c>
      <c r="J4095" s="41" t="str">
        <f aca="false">IF(G4095="","",IFERROR(IF(ISNUMBER(SEARCH(Assumptions!$C$5,G4095)),Assumptions!$D$5,IF(ISNUMBER(SEARCH(Assumptions!$C$6,G4095)),Assumptions!$D$6,IF(ISNUMBER(SEARCH(Assumptions!$C$7,G4095)),Assumptions!$D$7,"Other Services"))),"Other Services"))</f>
        <v/>
      </c>
    </row>
    <row r="4096" customFormat="false" ht="15" hidden="false" customHeight="false" outlineLevel="0" collapsed="false">
      <c r="E4096" s="41" t="str">
        <f aca="false">IF(D4096="","",IFERROR(VLOOKUP(D4096,Assumptions!$G$5:$H$16,2,0),"Other"))</f>
        <v/>
      </c>
      <c r="J4096" s="41" t="str">
        <f aca="false">IF(G4096="","",IFERROR(IF(ISNUMBER(SEARCH(Assumptions!$C$5,G4096)),Assumptions!$D$5,IF(ISNUMBER(SEARCH(Assumptions!$C$6,G4096)),Assumptions!$D$6,IF(ISNUMBER(SEARCH(Assumptions!$C$7,G4096)),Assumptions!$D$7,"Other Services"))),"Other Services"))</f>
        <v/>
      </c>
    </row>
    <row r="4097" customFormat="false" ht="15" hidden="false" customHeight="false" outlineLevel="0" collapsed="false">
      <c r="E4097" s="41" t="str">
        <f aca="false">IF(D4097="","",IFERROR(VLOOKUP(D4097,Assumptions!$G$5:$H$16,2,0),"Other"))</f>
        <v/>
      </c>
      <c r="J4097" s="41" t="str">
        <f aca="false">IF(G4097="","",IFERROR(IF(ISNUMBER(SEARCH(Assumptions!$C$5,G4097)),Assumptions!$D$5,IF(ISNUMBER(SEARCH(Assumptions!$C$6,G4097)),Assumptions!$D$6,IF(ISNUMBER(SEARCH(Assumptions!$C$7,G4097)),Assumptions!$D$7,"Other Services"))),"Other Services"))</f>
        <v/>
      </c>
    </row>
    <row r="4098" customFormat="false" ht="15" hidden="false" customHeight="false" outlineLevel="0" collapsed="false">
      <c r="E4098" s="41" t="str">
        <f aca="false">IF(D4098="","",IFERROR(VLOOKUP(D4098,Assumptions!$G$5:$H$16,2,0),"Other"))</f>
        <v/>
      </c>
      <c r="J4098" s="41" t="str">
        <f aca="false">IF(G4098="","",IFERROR(IF(ISNUMBER(SEARCH(Assumptions!$C$5,G4098)),Assumptions!$D$5,IF(ISNUMBER(SEARCH(Assumptions!$C$6,G4098)),Assumptions!$D$6,IF(ISNUMBER(SEARCH(Assumptions!$C$7,G4098)),Assumptions!$D$7,"Other Services"))),"Other Services"))</f>
        <v/>
      </c>
    </row>
    <row r="4099" customFormat="false" ht="15" hidden="false" customHeight="false" outlineLevel="0" collapsed="false">
      <c r="E4099" s="41" t="str">
        <f aca="false">IF(D4099="","",IFERROR(VLOOKUP(D4099,Assumptions!$G$5:$H$16,2,0),"Other"))</f>
        <v/>
      </c>
      <c r="J4099" s="41" t="str">
        <f aca="false">IF(G4099="","",IFERROR(IF(ISNUMBER(SEARCH(Assumptions!$C$5,G4099)),Assumptions!$D$5,IF(ISNUMBER(SEARCH(Assumptions!$C$6,G4099)),Assumptions!$D$6,IF(ISNUMBER(SEARCH(Assumptions!$C$7,G4099)),Assumptions!$D$7,"Other Services"))),"Other Services"))</f>
        <v/>
      </c>
    </row>
    <row r="4100" customFormat="false" ht="15" hidden="false" customHeight="false" outlineLevel="0" collapsed="false">
      <c r="E4100" s="41" t="str">
        <f aca="false">IF(D4100="","",IFERROR(VLOOKUP(D4100,Assumptions!$G$5:$H$16,2,0),"Other"))</f>
        <v/>
      </c>
      <c r="J4100" s="41" t="str">
        <f aca="false">IF(G4100="","",IFERROR(IF(ISNUMBER(SEARCH(Assumptions!$C$5,G4100)),Assumptions!$D$5,IF(ISNUMBER(SEARCH(Assumptions!$C$6,G4100)),Assumptions!$D$6,IF(ISNUMBER(SEARCH(Assumptions!$C$7,G4100)),Assumptions!$D$7,"Other Services"))),"Other Services"))</f>
        <v/>
      </c>
    </row>
    <row r="4101" customFormat="false" ht="15" hidden="false" customHeight="false" outlineLevel="0" collapsed="false">
      <c r="E4101" s="41" t="str">
        <f aca="false">IF(D4101="","",IFERROR(VLOOKUP(D4101,Assumptions!$G$5:$H$16,2,0),"Other"))</f>
        <v/>
      </c>
      <c r="J4101" s="41" t="str">
        <f aca="false">IF(G4101="","",IFERROR(IF(ISNUMBER(SEARCH(Assumptions!$C$5,G4101)),Assumptions!$D$5,IF(ISNUMBER(SEARCH(Assumptions!$C$6,G4101)),Assumptions!$D$6,IF(ISNUMBER(SEARCH(Assumptions!$C$7,G4101)),Assumptions!$D$7,"Other Services"))),"Other Services"))</f>
        <v/>
      </c>
    </row>
    <row r="4102" customFormat="false" ht="15" hidden="false" customHeight="false" outlineLevel="0" collapsed="false">
      <c r="E4102" s="41" t="str">
        <f aca="false">IF(D4102="","",IFERROR(VLOOKUP(D4102,Assumptions!$G$5:$H$16,2,0),"Other"))</f>
        <v/>
      </c>
      <c r="J4102" s="41" t="str">
        <f aca="false">IF(G4102="","",IFERROR(IF(ISNUMBER(SEARCH(Assumptions!$C$5,G4102)),Assumptions!$D$5,IF(ISNUMBER(SEARCH(Assumptions!$C$6,G4102)),Assumptions!$D$6,IF(ISNUMBER(SEARCH(Assumptions!$C$7,G4102)),Assumptions!$D$7,"Other Services"))),"Other Services"))</f>
        <v/>
      </c>
    </row>
    <row r="4103" customFormat="false" ht="15" hidden="false" customHeight="false" outlineLevel="0" collapsed="false">
      <c r="E4103" s="41" t="str">
        <f aca="false">IF(D4103="","",IFERROR(VLOOKUP(D4103,Assumptions!$G$5:$H$16,2,0),"Other"))</f>
        <v/>
      </c>
      <c r="J4103" s="41" t="str">
        <f aca="false">IF(G4103="","",IFERROR(IF(ISNUMBER(SEARCH(Assumptions!$C$5,G4103)),Assumptions!$D$5,IF(ISNUMBER(SEARCH(Assumptions!$C$6,G4103)),Assumptions!$D$6,IF(ISNUMBER(SEARCH(Assumptions!$C$7,G4103)),Assumptions!$D$7,"Other Services"))),"Other Services"))</f>
        <v/>
      </c>
    </row>
    <row r="4104" customFormat="false" ht="15" hidden="false" customHeight="false" outlineLevel="0" collapsed="false">
      <c r="E4104" s="41" t="str">
        <f aca="false">IF(D4104="","",IFERROR(VLOOKUP(D4104,Assumptions!$G$5:$H$16,2,0),"Other"))</f>
        <v/>
      </c>
      <c r="J4104" s="41" t="str">
        <f aca="false">IF(G4104="","",IFERROR(IF(ISNUMBER(SEARCH(Assumptions!$C$5,G4104)),Assumptions!$D$5,IF(ISNUMBER(SEARCH(Assumptions!$C$6,G4104)),Assumptions!$D$6,IF(ISNUMBER(SEARCH(Assumptions!$C$7,G4104)),Assumptions!$D$7,"Other Services"))),"Other Services"))</f>
        <v/>
      </c>
    </row>
    <row r="4105" customFormat="false" ht="15" hidden="false" customHeight="false" outlineLevel="0" collapsed="false">
      <c r="E4105" s="41" t="str">
        <f aca="false">IF(D4105="","",IFERROR(VLOOKUP(D4105,Assumptions!$G$5:$H$16,2,0),"Other"))</f>
        <v/>
      </c>
      <c r="J4105" s="41" t="str">
        <f aca="false">IF(G4105="","",IFERROR(IF(ISNUMBER(SEARCH(Assumptions!$C$5,G4105)),Assumptions!$D$5,IF(ISNUMBER(SEARCH(Assumptions!$C$6,G4105)),Assumptions!$D$6,IF(ISNUMBER(SEARCH(Assumptions!$C$7,G4105)),Assumptions!$D$7,"Other Services"))),"Other Services"))</f>
        <v/>
      </c>
    </row>
    <row r="4106" customFormat="false" ht="15" hidden="false" customHeight="false" outlineLevel="0" collapsed="false">
      <c r="E4106" s="41" t="str">
        <f aca="false">IF(D4106="","",IFERROR(VLOOKUP(D4106,Assumptions!$G$5:$H$16,2,0),"Other"))</f>
        <v/>
      </c>
      <c r="J4106" s="41" t="str">
        <f aca="false">IF(G4106="","",IFERROR(IF(ISNUMBER(SEARCH(Assumptions!$C$5,G4106)),Assumptions!$D$5,IF(ISNUMBER(SEARCH(Assumptions!$C$6,G4106)),Assumptions!$D$6,IF(ISNUMBER(SEARCH(Assumptions!$C$7,G4106)),Assumptions!$D$7,"Other Services"))),"Other Services"))</f>
        <v/>
      </c>
    </row>
    <row r="4107" customFormat="false" ht="15" hidden="false" customHeight="false" outlineLevel="0" collapsed="false">
      <c r="E4107" s="41" t="str">
        <f aca="false">IF(D4107="","",IFERROR(VLOOKUP(D4107,Assumptions!$G$5:$H$16,2,0),"Other"))</f>
        <v/>
      </c>
      <c r="J4107" s="41" t="str">
        <f aca="false">IF(G4107="","",IFERROR(IF(ISNUMBER(SEARCH(Assumptions!$C$5,G4107)),Assumptions!$D$5,IF(ISNUMBER(SEARCH(Assumptions!$C$6,G4107)),Assumptions!$D$6,IF(ISNUMBER(SEARCH(Assumptions!$C$7,G4107)),Assumptions!$D$7,"Other Services"))),"Other Services"))</f>
        <v/>
      </c>
    </row>
    <row r="4108" customFormat="false" ht="15" hidden="false" customHeight="false" outlineLevel="0" collapsed="false">
      <c r="E4108" s="41" t="str">
        <f aca="false">IF(D4108="","",IFERROR(VLOOKUP(D4108,Assumptions!$G$5:$H$16,2,0),"Other"))</f>
        <v/>
      </c>
      <c r="J4108" s="41" t="str">
        <f aca="false">IF(G4108="","",IFERROR(IF(ISNUMBER(SEARCH(Assumptions!$C$5,G4108)),Assumptions!$D$5,IF(ISNUMBER(SEARCH(Assumptions!$C$6,G4108)),Assumptions!$D$6,IF(ISNUMBER(SEARCH(Assumptions!$C$7,G4108)),Assumptions!$D$7,"Other Services"))),"Other Services"))</f>
        <v/>
      </c>
    </row>
    <row r="4109" customFormat="false" ht="15" hidden="false" customHeight="false" outlineLevel="0" collapsed="false">
      <c r="E4109" s="41" t="str">
        <f aca="false">IF(D4109="","",IFERROR(VLOOKUP(D4109,Assumptions!$G$5:$H$16,2,0),"Other"))</f>
        <v/>
      </c>
      <c r="J4109" s="41" t="str">
        <f aca="false">IF(G4109="","",IFERROR(IF(ISNUMBER(SEARCH(Assumptions!$C$5,G4109)),Assumptions!$D$5,IF(ISNUMBER(SEARCH(Assumptions!$C$6,G4109)),Assumptions!$D$6,IF(ISNUMBER(SEARCH(Assumptions!$C$7,G4109)),Assumptions!$D$7,"Other Services"))),"Other Services"))</f>
        <v/>
      </c>
    </row>
    <row r="4110" customFormat="false" ht="15" hidden="false" customHeight="false" outlineLevel="0" collapsed="false">
      <c r="E4110" s="41" t="str">
        <f aca="false">IF(D4110="","",IFERROR(VLOOKUP(D4110,Assumptions!$G$5:$H$16,2,0),"Other"))</f>
        <v/>
      </c>
      <c r="J4110" s="41" t="str">
        <f aca="false">IF(G4110="","",IFERROR(IF(ISNUMBER(SEARCH(Assumptions!$C$5,G4110)),Assumptions!$D$5,IF(ISNUMBER(SEARCH(Assumptions!$C$6,G4110)),Assumptions!$D$6,IF(ISNUMBER(SEARCH(Assumptions!$C$7,G4110)),Assumptions!$D$7,"Other Services"))),"Other Services"))</f>
        <v/>
      </c>
    </row>
    <row r="4111" customFormat="false" ht="15" hidden="false" customHeight="false" outlineLevel="0" collapsed="false">
      <c r="E4111" s="41" t="str">
        <f aca="false">IF(D4111="","",IFERROR(VLOOKUP(D4111,Assumptions!$G$5:$H$16,2,0),"Other"))</f>
        <v/>
      </c>
      <c r="J4111" s="41" t="str">
        <f aca="false">IF(G4111="","",IFERROR(IF(ISNUMBER(SEARCH(Assumptions!$C$5,G4111)),Assumptions!$D$5,IF(ISNUMBER(SEARCH(Assumptions!$C$6,G4111)),Assumptions!$D$6,IF(ISNUMBER(SEARCH(Assumptions!$C$7,G4111)),Assumptions!$D$7,"Other Services"))),"Other Services"))</f>
        <v/>
      </c>
    </row>
    <row r="4112" customFormat="false" ht="15" hidden="false" customHeight="false" outlineLevel="0" collapsed="false">
      <c r="E4112" s="41" t="str">
        <f aca="false">IF(D4112="","",IFERROR(VLOOKUP(D4112,Assumptions!$G$5:$H$16,2,0),"Other"))</f>
        <v/>
      </c>
      <c r="J4112" s="41" t="str">
        <f aca="false">IF(G4112="","",IFERROR(IF(ISNUMBER(SEARCH(Assumptions!$C$5,G4112)),Assumptions!$D$5,IF(ISNUMBER(SEARCH(Assumptions!$C$6,G4112)),Assumptions!$D$6,IF(ISNUMBER(SEARCH(Assumptions!$C$7,G4112)),Assumptions!$D$7,"Other Services"))),"Other Services"))</f>
        <v/>
      </c>
    </row>
    <row r="4113" customFormat="false" ht="15" hidden="false" customHeight="false" outlineLevel="0" collapsed="false">
      <c r="E4113" s="41" t="str">
        <f aca="false">IF(D4113="","",IFERROR(VLOOKUP(D4113,Assumptions!$G$5:$H$16,2,0),"Other"))</f>
        <v/>
      </c>
      <c r="J4113" s="41" t="str">
        <f aca="false">IF(G4113="","",IFERROR(IF(ISNUMBER(SEARCH(Assumptions!$C$5,G4113)),Assumptions!$D$5,IF(ISNUMBER(SEARCH(Assumptions!$C$6,G4113)),Assumptions!$D$6,IF(ISNUMBER(SEARCH(Assumptions!$C$7,G4113)),Assumptions!$D$7,"Other Services"))),"Other Services"))</f>
        <v/>
      </c>
    </row>
    <row r="4114" customFormat="false" ht="15" hidden="false" customHeight="false" outlineLevel="0" collapsed="false">
      <c r="E4114" s="41" t="str">
        <f aca="false">IF(D4114="","",IFERROR(VLOOKUP(D4114,Assumptions!$G$5:$H$16,2,0),"Other"))</f>
        <v/>
      </c>
      <c r="J4114" s="41" t="str">
        <f aca="false">IF(G4114="","",IFERROR(IF(ISNUMBER(SEARCH(Assumptions!$C$5,G4114)),Assumptions!$D$5,IF(ISNUMBER(SEARCH(Assumptions!$C$6,G4114)),Assumptions!$D$6,IF(ISNUMBER(SEARCH(Assumptions!$C$7,G4114)),Assumptions!$D$7,"Other Services"))),"Other Services"))</f>
        <v/>
      </c>
    </row>
    <row r="4115" customFormat="false" ht="15" hidden="false" customHeight="false" outlineLevel="0" collapsed="false">
      <c r="E4115" s="41" t="str">
        <f aca="false">IF(D4115="","",IFERROR(VLOOKUP(D4115,Assumptions!$G$5:$H$16,2,0),"Other"))</f>
        <v/>
      </c>
      <c r="J4115" s="41" t="str">
        <f aca="false">IF(G4115="","",IFERROR(IF(ISNUMBER(SEARCH(Assumptions!$C$5,G4115)),Assumptions!$D$5,IF(ISNUMBER(SEARCH(Assumptions!$C$6,G4115)),Assumptions!$D$6,IF(ISNUMBER(SEARCH(Assumptions!$C$7,G4115)),Assumptions!$D$7,"Other Services"))),"Other Services"))</f>
        <v/>
      </c>
    </row>
    <row r="4116" customFormat="false" ht="15" hidden="false" customHeight="false" outlineLevel="0" collapsed="false">
      <c r="E4116" s="41" t="str">
        <f aca="false">IF(D4116="","",IFERROR(VLOOKUP(D4116,Assumptions!$G$5:$H$16,2,0),"Other"))</f>
        <v/>
      </c>
      <c r="J4116" s="41" t="str">
        <f aca="false">IF(G4116="","",IFERROR(IF(ISNUMBER(SEARCH(Assumptions!$C$5,G4116)),Assumptions!$D$5,IF(ISNUMBER(SEARCH(Assumptions!$C$6,G4116)),Assumptions!$D$6,IF(ISNUMBER(SEARCH(Assumptions!$C$7,G4116)),Assumptions!$D$7,"Other Services"))),"Other Services"))</f>
        <v/>
      </c>
    </row>
    <row r="4117" customFormat="false" ht="15" hidden="false" customHeight="false" outlineLevel="0" collapsed="false">
      <c r="E4117" s="41" t="str">
        <f aca="false">IF(D4117="","",IFERROR(VLOOKUP(D4117,Assumptions!$G$5:$H$16,2,0),"Other"))</f>
        <v/>
      </c>
      <c r="J4117" s="41" t="str">
        <f aca="false">IF(G4117="","",IFERROR(IF(ISNUMBER(SEARCH(Assumptions!$C$5,G4117)),Assumptions!$D$5,IF(ISNUMBER(SEARCH(Assumptions!$C$6,G4117)),Assumptions!$D$6,IF(ISNUMBER(SEARCH(Assumptions!$C$7,G4117)),Assumptions!$D$7,"Other Services"))),"Other Services"))</f>
        <v/>
      </c>
    </row>
    <row r="4118" customFormat="false" ht="15" hidden="false" customHeight="false" outlineLevel="0" collapsed="false">
      <c r="E4118" s="41" t="str">
        <f aca="false">IF(D4118="","",IFERROR(VLOOKUP(D4118,Assumptions!$G$5:$H$16,2,0),"Other"))</f>
        <v/>
      </c>
      <c r="J4118" s="41" t="str">
        <f aca="false">IF(G4118="","",IFERROR(IF(ISNUMBER(SEARCH(Assumptions!$C$5,G4118)),Assumptions!$D$5,IF(ISNUMBER(SEARCH(Assumptions!$C$6,G4118)),Assumptions!$D$6,IF(ISNUMBER(SEARCH(Assumptions!$C$7,G4118)),Assumptions!$D$7,"Other Services"))),"Other Services"))</f>
        <v/>
      </c>
    </row>
    <row r="4119" customFormat="false" ht="15" hidden="false" customHeight="false" outlineLevel="0" collapsed="false">
      <c r="E4119" s="41" t="str">
        <f aca="false">IF(D4119="","",IFERROR(VLOOKUP(D4119,Assumptions!$G$5:$H$16,2,0),"Other"))</f>
        <v/>
      </c>
      <c r="J4119" s="41" t="str">
        <f aca="false">IF(G4119="","",IFERROR(IF(ISNUMBER(SEARCH(Assumptions!$C$5,G4119)),Assumptions!$D$5,IF(ISNUMBER(SEARCH(Assumptions!$C$6,G4119)),Assumptions!$D$6,IF(ISNUMBER(SEARCH(Assumptions!$C$7,G4119)),Assumptions!$D$7,"Other Services"))),"Other Services"))</f>
        <v/>
      </c>
    </row>
    <row r="4120" customFormat="false" ht="15" hidden="false" customHeight="false" outlineLevel="0" collapsed="false">
      <c r="E4120" s="41" t="str">
        <f aca="false">IF(D4120="","",IFERROR(VLOOKUP(D4120,Assumptions!$G$5:$H$16,2,0),"Other"))</f>
        <v/>
      </c>
      <c r="J4120" s="41" t="str">
        <f aca="false">IF(G4120="","",IFERROR(IF(ISNUMBER(SEARCH(Assumptions!$C$5,G4120)),Assumptions!$D$5,IF(ISNUMBER(SEARCH(Assumptions!$C$6,G4120)),Assumptions!$D$6,IF(ISNUMBER(SEARCH(Assumptions!$C$7,G4120)),Assumptions!$D$7,"Other Services"))),"Other Services"))</f>
        <v/>
      </c>
    </row>
    <row r="4121" customFormat="false" ht="15" hidden="false" customHeight="false" outlineLevel="0" collapsed="false">
      <c r="E4121" s="41" t="str">
        <f aca="false">IF(D4121="","",IFERROR(VLOOKUP(D4121,Assumptions!$G$5:$H$16,2,0),"Other"))</f>
        <v/>
      </c>
      <c r="J4121" s="41" t="str">
        <f aca="false">IF(G4121="","",IFERROR(IF(ISNUMBER(SEARCH(Assumptions!$C$5,G4121)),Assumptions!$D$5,IF(ISNUMBER(SEARCH(Assumptions!$C$6,G4121)),Assumptions!$D$6,IF(ISNUMBER(SEARCH(Assumptions!$C$7,G4121)),Assumptions!$D$7,"Other Services"))),"Other Services"))</f>
        <v/>
      </c>
    </row>
    <row r="4122" customFormat="false" ht="15" hidden="false" customHeight="false" outlineLevel="0" collapsed="false">
      <c r="E4122" s="41" t="str">
        <f aca="false">IF(D4122="","",IFERROR(VLOOKUP(D4122,Assumptions!$G$5:$H$16,2,0),"Other"))</f>
        <v/>
      </c>
      <c r="J4122" s="41" t="str">
        <f aca="false">IF(G4122="","",IFERROR(IF(ISNUMBER(SEARCH(Assumptions!$C$5,G4122)),Assumptions!$D$5,IF(ISNUMBER(SEARCH(Assumptions!$C$6,G4122)),Assumptions!$D$6,IF(ISNUMBER(SEARCH(Assumptions!$C$7,G4122)),Assumptions!$D$7,"Other Services"))),"Other Services"))</f>
        <v/>
      </c>
    </row>
    <row r="4123" customFormat="false" ht="15" hidden="false" customHeight="false" outlineLevel="0" collapsed="false">
      <c r="E4123" s="41" t="str">
        <f aca="false">IF(D4123="","",IFERROR(VLOOKUP(D4123,Assumptions!$G$5:$H$16,2,0),"Other"))</f>
        <v/>
      </c>
      <c r="J4123" s="41" t="str">
        <f aca="false">IF(G4123="","",IFERROR(IF(ISNUMBER(SEARCH(Assumptions!$C$5,G4123)),Assumptions!$D$5,IF(ISNUMBER(SEARCH(Assumptions!$C$6,G4123)),Assumptions!$D$6,IF(ISNUMBER(SEARCH(Assumptions!$C$7,G4123)),Assumptions!$D$7,"Other Services"))),"Other Services"))</f>
        <v/>
      </c>
    </row>
    <row r="4124" customFormat="false" ht="15" hidden="false" customHeight="false" outlineLevel="0" collapsed="false">
      <c r="E4124" s="41" t="str">
        <f aca="false">IF(D4124="","",IFERROR(VLOOKUP(D4124,Assumptions!$G$5:$H$16,2,0),"Other"))</f>
        <v/>
      </c>
      <c r="J4124" s="41" t="str">
        <f aca="false">IF(G4124="","",IFERROR(IF(ISNUMBER(SEARCH(Assumptions!$C$5,G4124)),Assumptions!$D$5,IF(ISNUMBER(SEARCH(Assumptions!$C$6,G4124)),Assumptions!$D$6,IF(ISNUMBER(SEARCH(Assumptions!$C$7,G4124)),Assumptions!$D$7,"Other Services"))),"Other Services"))</f>
        <v/>
      </c>
    </row>
    <row r="4125" customFormat="false" ht="15" hidden="false" customHeight="false" outlineLevel="0" collapsed="false">
      <c r="E4125" s="41" t="str">
        <f aca="false">IF(D4125="","",IFERROR(VLOOKUP(D4125,Assumptions!$G$5:$H$16,2,0),"Other"))</f>
        <v/>
      </c>
      <c r="J4125" s="41" t="str">
        <f aca="false">IF(G4125="","",IFERROR(IF(ISNUMBER(SEARCH(Assumptions!$C$5,G4125)),Assumptions!$D$5,IF(ISNUMBER(SEARCH(Assumptions!$C$6,G4125)),Assumptions!$D$6,IF(ISNUMBER(SEARCH(Assumptions!$C$7,G4125)),Assumptions!$D$7,"Other Services"))),"Other Services"))</f>
        <v/>
      </c>
    </row>
    <row r="4126" customFormat="false" ht="15" hidden="false" customHeight="false" outlineLevel="0" collapsed="false">
      <c r="E4126" s="41" t="str">
        <f aca="false">IF(D4126="","",IFERROR(VLOOKUP(D4126,Assumptions!$G$5:$H$16,2,0),"Other"))</f>
        <v/>
      </c>
      <c r="J4126" s="41" t="str">
        <f aca="false">IF(G4126="","",IFERROR(IF(ISNUMBER(SEARCH(Assumptions!$C$5,G4126)),Assumptions!$D$5,IF(ISNUMBER(SEARCH(Assumptions!$C$6,G4126)),Assumptions!$D$6,IF(ISNUMBER(SEARCH(Assumptions!$C$7,G4126)),Assumptions!$D$7,"Other Services"))),"Other Services"))</f>
        <v/>
      </c>
    </row>
    <row r="4127" customFormat="false" ht="15" hidden="false" customHeight="false" outlineLevel="0" collapsed="false">
      <c r="E4127" s="41" t="str">
        <f aca="false">IF(D4127="","",IFERROR(VLOOKUP(D4127,Assumptions!$G$5:$H$16,2,0),"Other"))</f>
        <v/>
      </c>
      <c r="J4127" s="41" t="str">
        <f aca="false">IF(G4127="","",IFERROR(IF(ISNUMBER(SEARCH(Assumptions!$C$5,G4127)),Assumptions!$D$5,IF(ISNUMBER(SEARCH(Assumptions!$C$6,G4127)),Assumptions!$D$6,IF(ISNUMBER(SEARCH(Assumptions!$C$7,G4127)),Assumptions!$D$7,"Other Services"))),"Other Services"))</f>
        <v/>
      </c>
    </row>
    <row r="4128" customFormat="false" ht="15" hidden="false" customHeight="false" outlineLevel="0" collapsed="false">
      <c r="E4128" s="41" t="str">
        <f aca="false">IF(D4128="","",IFERROR(VLOOKUP(D4128,Assumptions!$G$5:$H$16,2,0),"Other"))</f>
        <v/>
      </c>
      <c r="J4128" s="41" t="str">
        <f aca="false">IF(G4128="","",IFERROR(IF(ISNUMBER(SEARCH(Assumptions!$C$5,G4128)),Assumptions!$D$5,IF(ISNUMBER(SEARCH(Assumptions!$C$6,G4128)),Assumptions!$D$6,IF(ISNUMBER(SEARCH(Assumptions!$C$7,G4128)),Assumptions!$D$7,"Other Services"))),"Other Services"))</f>
        <v/>
      </c>
    </row>
    <row r="4129" customFormat="false" ht="15" hidden="false" customHeight="false" outlineLevel="0" collapsed="false">
      <c r="E4129" s="41" t="str">
        <f aca="false">IF(D4129="","",IFERROR(VLOOKUP(D4129,Assumptions!$G$5:$H$16,2,0),"Other"))</f>
        <v/>
      </c>
      <c r="J4129" s="41" t="str">
        <f aca="false">IF(G4129="","",IFERROR(IF(ISNUMBER(SEARCH(Assumptions!$C$5,G4129)),Assumptions!$D$5,IF(ISNUMBER(SEARCH(Assumptions!$C$6,G4129)),Assumptions!$D$6,IF(ISNUMBER(SEARCH(Assumptions!$C$7,G4129)),Assumptions!$D$7,"Other Services"))),"Other Services"))</f>
        <v/>
      </c>
    </row>
    <row r="4130" customFormat="false" ht="15" hidden="false" customHeight="false" outlineLevel="0" collapsed="false">
      <c r="E4130" s="41" t="str">
        <f aca="false">IF(D4130="","",IFERROR(VLOOKUP(D4130,Assumptions!$G$5:$H$16,2,0),"Other"))</f>
        <v/>
      </c>
      <c r="J4130" s="41" t="str">
        <f aca="false">IF(G4130="","",IFERROR(IF(ISNUMBER(SEARCH(Assumptions!$C$5,G4130)),Assumptions!$D$5,IF(ISNUMBER(SEARCH(Assumptions!$C$6,G4130)),Assumptions!$D$6,IF(ISNUMBER(SEARCH(Assumptions!$C$7,G4130)),Assumptions!$D$7,"Other Services"))),"Other Services"))</f>
        <v/>
      </c>
    </row>
    <row r="4131" customFormat="false" ht="15" hidden="false" customHeight="false" outlineLevel="0" collapsed="false">
      <c r="E4131" s="41" t="str">
        <f aca="false">IF(D4131="","",IFERROR(VLOOKUP(D4131,Assumptions!$G$5:$H$16,2,0),"Other"))</f>
        <v/>
      </c>
      <c r="J4131" s="41" t="str">
        <f aca="false">IF(G4131="","",IFERROR(IF(ISNUMBER(SEARCH(Assumptions!$C$5,G4131)),Assumptions!$D$5,IF(ISNUMBER(SEARCH(Assumptions!$C$6,G4131)),Assumptions!$D$6,IF(ISNUMBER(SEARCH(Assumptions!$C$7,G4131)),Assumptions!$D$7,"Other Services"))),"Other Services"))</f>
        <v/>
      </c>
    </row>
    <row r="4132" customFormat="false" ht="15" hidden="false" customHeight="false" outlineLevel="0" collapsed="false">
      <c r="E4132" s="41" t="str">
        <f aca="false">IF(D4132="","",IFERROR(VLOOKUP(D4132,Assumptions!$G$5:$H$16,2,0),"Other"))</f>
        <v/>
      </c>
      <c r="J4132" s="41" t="str">
        <f aca="false">IF(G4132="","",IFERROR(IF(ISNUMBER(SEARCH(Assumptions!$C$5,G4132)),Assumptions!$D$5,IF(ISNUMBER(SEARCH(Assumptions!$C$6,G4132)),Assumptions!$D$6,IF(ISNUMBER(SEARCH(Assumptions!$C$7,G4132)),Assumptions!$D$7,"Other Services"))),"Other Services"))</f>
        <v/>
      </c>
    </row>
    <row r="4133" customFormat="false" ht="15" hidden="false" customHeight="false" outlineLevel="0" collapsed="false">
      <c r="E4133" s="41" t="str">
        <f aca="false">IF(D4133="","",IFERROR(VLOOKUP(D4133,Assumptions!$G$5:$H$16,2,0),"Other"))</f>
        <v/>
      </c>
      <c r="J4133" s="41" t="str">
        <f aca="false">IF(G4133="","",IFERROR(IF(ISNUMBER(SEARCH(Assumptions!$C$5,G4133)),Assumptions!$D$5,IF(ISNUMBER(SEARCH(Assumptions!$C$6,G4133)),Assumptions!$D$6,IF(ISNUMBER(SEARCH(Assumptions!$C$7,G4133)),Assumptions!$D$7,"Other Services"))),"Other Services"))</f>
        <v/>
      </c>
    </row>
    <row r="4134" customFormat="false" ht="15" hidden="false" customHeight="false" outlineLevel="0" collapsed="false">
      <c r="E4134" s="41" t="str">
        <f aca="false">IF(D4134="","",IFERROR(VLOOKUP(D4134,Assumptions!$G$5:$H$16,2,0),"Other"))</f>
        <v/>
      </c>
      <c r="J4134" s="41" t="str">
        <f aca="false">IF(G4134="","",IFERROR(IF(ISNUMBER(SEARCH(Assumptions!$C$5,G4134)),Assumptions!$D$5,IF(ISNUMBER(SEARCH(Assumptions!$C$6,G4134)),Assumptions!$D$6,IF(ISNUMBER(SEARCH(Assumptions!$C$7,G4134)),Assumptions!$D$7,"Other Services"))),"Other Services"))</f>
        <v/>
      </c>
    </row>
    <row r="4135" customFormat="false" ht="15" hidden="false" customHeight="false" outlineLevel="0" collapsed="false">
      <c r="E4135" s="41" t="str">
        <f aca="false">IF(D4135="","",IFERROR(VLOOKUP(D4135,Assumptions!$G$5:$H$16,2,0),"Other"))</f>
        <v/>
      </c>
      <c r="J4135" s="41" t="str">
        <f aca="false">IF(G4135="","",IFERROR(IF(ISNUMBER(SEARCH(Assumptions!$C$5,G4135)),Assumptions!$D$5,IF(ISNUMBER(SEARCH(Assumptions!$C$6,G4135)),Assumptions!$D$6,IF(ISNUMBER(SEARCH(Assumptions!$C$7,G4135)),Assumptions!$D$7,"Other Services"))),"Other Services"))</f>
        <v/>
      </c>
    </row>
    <row r="4136" customFormat="false" ht="15" hidden="false" customHeight="false" outlineLevel="0" collapsed="false">
      <c r="E4136" s="41" t="str">
        <f aca="false">IF(D4136="","",IFERROR(VLOOKUP(D4136,Assumptions!$G$5:$H$16,2,0),"Other"))</f>
        <v/>
      </c>
      <c r="J4136" s="41" t="str">
        <f aca="false">IF(G4136="","",IFERROR(IF(ISNUMBER(SEARCH(Assumptions!$C$5,G4136)),Assumptions!$D$5,IF(ISNUMBER(SEARCH(Assumptions!$C$6,G4136)),Assumptions!$D$6,IF(ISNUMBER(SEARCH(Assumptions!$C$7,G4136)),Assumptions!$D$7,"Other Services"))),"Other Services"))</f>
        <v/>
      </c>
    </row>
    <row r="4137" customFormat="false" ht="15" hidden="false" customHeight="false" outlineLevel="0" collapsed="false">
      <c r="E4137" s="41" t="str">
        <f aca="false">IF(D4137="","",IFERROR(VLOOKUP(D4137,Assumptions!$G$5:$H$16,2,0),"Other"))</f>
        <v/>
      </c>
      <c r="J4137" s="41" t="str">
        <f aca="false">IF(G4137="","",IFERROR(IF(ISNUMBER(SEARCH(Assumptions!$C$5,G4137)),Assumptions!$D$5,IF(ISNUMBER(SEARCH(Assumptions!$C$6,G4137)),Assumptions!$D$6,IF(ISNUMBER(SEARCH(Assumptions!$C$7,G4137)),Assumptions!$D$7,"Other Services"))),"Other Services"))</f>
        <v/>
      </c>
    </row>
    <row r="4138" customFormat="false" ht="15" hidden="false" customHeight="false" outlineLevel="0" collapsed="false">
      <c r="E4138" s="41" t="str">
        <f aca="false">IF(D4138="","",IFERROR(VLOOKUP(D4138,Assumptions!$G$5:$H$16,2,0),"Other"))</f>
        <v/>
      </c>
      <c r="J4138" s="41" t="str">
        <f aca="false">IF(G4138="","",IFERROR(IF(ISNUMBER(SEARCH(Assumptions!$C$5,G4138)),Assumptions!$D$5,IF(ISNUMBER(SEARCH(Assumptions!$C$6,G4138)),Assumptions!$D$6,IF(ISNUMBER(SEARCH(Assumptions!$C$7,G4138)),Assumptions!$D$7,"Other Services"))),"Other Services"))</f>
        <v/>
      </c>
    </row>
    <row r="4139" customFormat="false" ht="15" hidden="false" customHeight="false" outlineLevel="0" collapsed="false">
      <c r="E4139" s="41" t="str">
        <f aca="false">IF(D4139="","",IFERROR(VLOOKUP(D4139,Assumptions!$G$5:$H$16,2,0),"Other"))</f>
        <v/>
      </c>
      <c r="J4139" s="41" t="str">
        <f aca="false">IF(G4139="","",IFERROR(IF(ISNUMBER(SEARCH(Assumptions!$C$5,G4139)),Assumptions!$D$5,IF(ISNUMBER(SEARCH(Assumptions!$C$6,G4139)),Assumptions!$D$6,IF(ISNUMBER(SEARCH(Assumptions!$C$7,G4139)),Assumptions!$D$7,"Other Services"))),"Other Services"))</f>
        <v/>
      </c>
    </row>
    <row r="4140" customFormat="false" ht="15" hidden="false" customHeight="false" outlineLevel="0" collapsed="false">
      <c r="E4140" s="41" t="str">
        <f aca="false">IF(D4140="","",IFERROR(VLOOKUP(D4140,Assumptions!$G$5:$H$16,2,0),"Other"))</f>
        <v/>
      </c>
      <c r="J4140" s="41" t="str">
        <f aca="false">IF(G4140="","",IFERROR(IF(ISNUMBER(SEARCH(Assumptions!$C$5,G4140)),Assumptions!$D$5,IF(ISNUMBER(SEARCH(Assumptions!$C$6,G4140)),Assumptions!$D$6,IF(ISNUMBER(SEARCH(Assumptions!$C$7,G4140)),Assumptions!$D$7,"Other Services"))),"Other Services"))</f>
        <v/>
      </c>
    </row>
    <row r="4141" customFormat="false" ht="15" hidden="false" customHeight="false" outlineLevel="0" collapsed="false">
      <c r="E4141" s="41" t="str">
        <f aca="false">IF(D4141="","",IFERROR(VLOOKUP(D4141,Assumptions!$G$5:$H$16,2,0),"Other"))</f>
        <v/>
      </c>
      <c r="J4141" s="41" t="str">
        <f aca="false">IF(G4141="","",IFERROR(IF(ISNUMBER(SEARCH(Assumptions!$C$5,G4141)),Assumptions!$D$5,IF(ISNUMBER(SEARCH(Assumptions!$C$6,G4141)),Assumptions!$D$6,IF(ISNUMBER(SEARCH(Assumptions!$C$7,G4141)),Assumptions!$D$7,"Other Services"))),"Other Services"))</f>
        <v/>
      </c>
    </row>
    <row r="4142" customFormat="false" ht="15" hidden="false" customHeight="false" outlineLevel="0" collapsed="false">
      <c r="E4142" s="41" t="str">
        <f aca="false">IF(D4142="","",IFERROR(VLOOKUP(D4142,Assumptions!$G$5:$H$16,2,0),"Other"))</f>
        <v/>
      </c>
      <c r="J4142" s="41" t="str">
        <f aca="false">IF(G4142="","",IFERROR(IF(ISNUMBER(SEARCH(Assumptions!$C$5,G4142)),Assumptions!$D$5,IF(ISNUMBER(SEARCH(Assumptions!$C$6,G4142)),Assumptions!$D$6,IF(ISNUMBER(SEARCH(Assumptions!$C$7,G4142)),Assumptions!$D$7,"Other Services"))),"Other Services"))</f>
        <v/>
      </c>
    </row>
    <row r="4143" customFormat="false" ht="15" hidden="false" customHeight="false" outlineLevel="0" collapsed="false">
      <c r="E4143" s="41" t="str">
        <f aca="false">IF(D4143="","",IFERROR(VLOOKUP(D4143,Assumptions!$G$5:$H$16,2,0),"Other"))</f>
        <v/>
      </c>
      <c r="J4143" s="41" t="str">
        <f aca="false">IF(G4143="","",IFERROR(IF(ISNUMBER(SEARCH(Assumptions!$C$5,G4143)),Assumptions!$D$5,IF(ISNUMBER(SEARCH(Assumptions!$C$6,G4143)),Assumptions!$D$6,IF(ISNUMBER(SEARCH(Assumptions!$C$7,G4143)),Assumptions!$D$7,"Other Services"))),"Other Services"))</f>
        <v/>
      </c>
    </row>
    <row r="4144" customFormat="false" ht="15" hidden="false" customHeight="false" outlineLevel="0" collapsed="false">
      <c r="E4144" s="41" t="str">
        <f aca="false">IF(D4144="","",IFERROR(VLOOKUP(D4144,Assumptions!$G$5:$H$16,2,0),"Other"))</f>
        <v/>
      </c>
      <c r="J4144" s="41" t="str">
        <f aca="false">IF(G4144="","",IFERROR(IF(ISNUMBER(SEARCH(Assumptions!$C$5,G4144)),Assumptions!$D$5,IF(ISNUMBER(SEARCH(Assumptions!$C$6,G4144)),Assumptions!$D$6,IF(ISNUMBER(SEARCH(Assumptions!$C$7,G4144)),Assumptions!$D$7,"Other Services"))),"Other Services"))</f>
        <v/>
      </c>
    </row>
    <row r="4145" customFormat="false" ht="15" hidden="false" customHeight="false" outlineLevel="0" collapsed="false">
      <c r="E4145" s="41" t="str">
        <f aca="false">IF(D4145="","",IFERROR(VLOOKUP(D4145,Assumptions!$G$5:$H$16,2,0),"Other"))</f>
        <v/>
      </c>
      <c r="J4145" s="41" t="str">
        <f aca="false">IF(G4145="","",IFERROR(IF(ISNUMBER(SEARCH(Assumptions!$C$5,G4145)),Assumptions!$D$5,IF(ISNUMBER(SEARCH(Assumptions!$C$6,G4145)),Assumptions!$D$6,IF(ISNUMBER(SEARCH(Assumptions!$C$7,G4145)),Assumptions!$D$7,"Other Services"))),"Other Services"))</f>
        <v/>
      </c>
    </row>
    <row r="4146" customFormat="false" ht="15" hidden="false" customHeight="false" outlineLevel="0" collapsed="false">
      <c r="E4146" s="41" t="str">
        <f aca="false">IF(D4146="","",IFERROR(VLOOKUP(D4146,Assumptions!$G$5:$H$16,2,0),"Other"))</f>
        <v/>
      </c>
      <c r="J4146" s="41" t="str">
        <f aca="false">IF(G4146="","",IFERROR(IF(ISNUMBER(SEARCH(Assumptions!$C$5,G4146)),Assumptions!$D$5,IF(ISNUMBER(SEARCH(Assumptions!$C$6,G4146)),Assumptions!$D$6,IF(ISNUMBER(SEARCH(Assumptions!$C$7,G4146)),Assumptions!$D$7,"Other Services"))),"Other Services"))</f>
        <v/>
      </c>
    </row>
    <row r="4147" customFormat="false" ht="15" hidden="false" customHeight="false" outlineLevel="0" collapsed="false">
      <c r="E4147" s="41" t="str">
        <f aca="false">IF(D4147="","",IFERROR(VLOOKUP(D4147,Assumptions!$G$5:$H$16,2,0),"Other"))</f>
        <v/>
      </c>
      <c r="J4147" s="41" t="str">
        <f aca="false">IF(G4147="","",IFERROR(IF(ISNUMBER(SEARCH(Assumptions!$C$5,G4147)),Assumptions!$D$5,IF(ISNUMBER(SEARCH(Assumptions!$C$6,G4147)),Assumptions!$D$6,IF(ISNUMBER(SEARCH(Assumptions!$C$7,G4147)),Assumptions!$D$7,"Other Services"))),"Other Services"))</f>
        <v/>
      </c>
    </row>
    <row r="4148" customFormat="false" ht="15" hidden="false" customHeight="false" outlineLevel="0" collapsed="false">
      <c r="E4148" s="41" t="str">
        <f aca="false">IF(D4148="","",IFERROR(VLOOKUP(D4148,Assumptions!$G$5:$H$16,2,0),"Other"))</f>
        <v/>
      </c>
      <c r="J4148" s="41" t="str">
        <f aca="false">IF(G4148="","",IFERROR(IF(ISNUMBER(SEARCH(Assumptions!$C$5,G4148)),Assumptions!$D$5,IF(ISNUMBER(SEARCH(Assumptions!$C$6,G4148)),Assumptions!$D$6,IF(ISNUMBER(SEARCH(Assumptions!$C$7,G4148)),Assumptions!$D$7,"Other Services"))),"Other Services"))</f>
        <v/>
      </c>
    </row>
    <row r="4149" customFormat="false" ht="15" hidden="false" customHeight="false" outlineLevel="0" collapsed="false">
      <c r="E4149" s="41" t="str">
        <f aca="false">IF(D4149="","",IFERROR(VLOOKUP(D4149,Assumptions!$G$5:$H$16,2,0),"Other"))</f>
        <v/>
      </c>
      <c r="J4149" s="41" t="str">
        <f aca="false">IF(G4149="","",IFERROR(IF(ISNUMBER(SEARCH(Assumptions!$C$5,G4149)),Assumptions!$D$5,IF(ISNUMBER(SEARCH(Assumptions!$C$6,G4149)),Assumptions!$D$6,IF(ISNUMBER(SEARCH(Assumptions!$C$7,G4149)),Assumptions!$D$7,"Other Services"))),"Other Services"))</f>
        <v/>
      </c>
    </row>
    <row r="4150" customFormat="false" ht="15" hidden="false" customHeight="false" outlineLevel="0" collapsed="false">
      <c r="E4150" s="41" t="str">
        <f aca="false">IF(D4150="","",IFERROR(VLOOKUP(D4150,Assumptions!$G$5:$H$16,2,0),"Other"))</f>
        <v/>
      </c>
      <c r="J4150" s="41" t="str">
        <f aca="false">IF(G4150="","",IFERROR(IF(ISNUMBER(SEARCH(Assumptions!$C$5,G4150)),Assumptions!$D$5,IF(ISNUMBER(SEARCH(Assumptions!$C$6,G4150)),Assumptions!$D$6,IF(ISNUMBER(SEARCH(Assumptions!$C$7,G4150)),Assumptions!$D$7,"Other Services"))),"Other Services"))</f>
        <v/>
      </c>
    </row>
    <row r="4151" customFormat="false" ht="15" hidden="false" customHeight="false" outlineLevel="0" collapsed="false">
      <c r="E4151" s="41" t="str">
        <f aca="false">IF(D4151="","",IFERROR(VLOOKUP(D4151,Assumptions!$G$5:$H$16,2,0),"Other"))</f>
        <v/>
      </c>
      <c r="J4151" s="41" t="str">
        <f aca="false">IF(G4151="","",IFERROR(IF(ISNUMBER(SEARCH(Assumptions!$C$5,G4151)),Assumptions!$D$5,IF(ISNUMBER(SEARCH(Assumptions!$C$6,G4151)),Assumptions!$D$6,IF(ISNUMBER(SEARCH(Assumptions!$C$7,G4151)),Assumptions!$D$7,"Other Services"))),"Other Services"))</f>
        <v/>
      </c>
    </row>
    <row r="4152" customFormat="false" ht="15" hidden="false" customHeight="false" outlineLevel="0" collapsed="false">
      <c r="E4152" s="41" t="str">
        <f aca="false">IF(D4152="","",IFERROR(VLOOKUP(D4152,Assumptions!$G$5:$H$16,2,0),"Other"))</f>
        <v/>
      </c>
      <c r="J4152" s="41" t="str">
        <f aca="false">IF(G4152="","",IFERROR(IF(ISNUMBER(SEARCH(Assumptions!$C$5,G4152)),Assumptions!$D$5,IF(ISNUMBER(SEARCH(Assumptions!$C$6,G4152)),Assumptions!$D$6,IF(ISNUMBER(SEARCH(Assumptions!$C$7,G4152)),Assumptions!$D$7,"Other Services"))),"Other Services"))</f>
        <v/>
      </c>
    </row>
    <row r="4153" customFormat="false" ht="15" hidden="false" customHeight="false" outlineLevel="0" collapsed="false">
      <c r="E4153" s="41" t="str">
        <f aca="false">IF(D4153="","",IFERROR(VLOOKUP(D4153,Assumptions!$G$5:$H$16,2,0),"Other"))</f>
        <v/>
      </c>
      <c r="J4153" s="41" t="str">
        <f aca="false">IF(G4153="","",IFERROR(IF(ISNUMBER(SEARCH(Assumptions!$C$5,G4153)),Assumptions!$D$5,IF(ISNUMBER(SEARCH(Assumptions!$C$6,G4153)),Assumptions!$D$6,IF(ISNUMBER(SEARCH(Assumptions!$C$7,G4153)),Assumptions!$D$7,"Other Services"))),"Other Services"))</f>
        <v/>
      </c>
    </row>
    <row r="4154" customFormat="false" ht="15" hidden="false" customHeight="false" outlineLevel="0" collapsed="false">
      <c r="E4154" s="41" t="str">
        <f aca="false">IF(D4154="","",IFERROR(VLOOKUP(D4154,Assumptions!$G$5:$H$16,2,0),"Other"))</f>
        <v/>
      </c>
      <c r="J4154" s="41" t="str">
        <f aca="false">IF(G4154="","",IFERROR(IF(ISNUMBER(SEARCH(Assumptions!$C$5,G4154)),Assumptions!$D$5,IF(ISNUMBER(SEARCH(Assumptions!$C$6,G4154)),Assumptions!$D$6,IF(ISNUMBER(SEARCH(Assumptions!$C$7,G4154)),Assumptions!$D$7,"Other Services"))),"Other Services"))</f>
        <v/>
      </c>
    </row>
    <row r="4155" customFormat="false" ht="15" hidden="false" customHeight="false" outlineLevel="0" collapsed="false">
      <c r="E4155" s="41" t="str">
        <f aca="false">IF(D4155="","",IFERROR(VLOOKUP(D4155,Assumptions!$G$5:$H$16,2,0),"Other"))</f>
        <v/>
      </c>
      <c r="J4155" s="41" t="str">
        <f aca="false">IF(G4155="","",IFERROR(IF(ISNUMBER(SEARCH(Assumptions!$C$5,G4155)),Assumptions!$D$5,IF(ISNUMBER(SEARCH(Assumptions!$C$6,G4155)),Assumptions!$D$6,IF(ISNUMBER(SEARCH(Assumptions!$C$7,G4155)),Assumptions!$D$7,"Other Services"))),"Other Services"))</f>
        <v/>
      </c>
    </row>
    <row r="4156" customFormat="false" ht="15" hidden="false" customHeight="false" outlineLevel="0" collapsed="false">
      <c r="E4156" s="41" t="str">
        <f aca="false">IF(D4156="","",IFERROR(VLOOKUP(D4156,Assumptions!$G$5:$H$16,2,0),"Other"))</f>
        <v/>
      </c>
      <c r="J4156" s="41" t="str">
        <f aca="false">IF(G4156="","",IFERROR(IF(ISNUMBER(SEARCH(Assumptions!$C$5,G4156)),Assumptions!$D$5,IF(ISNUMBER(SEARCH(Assumptions!$C$6,G4156)),Assumptions!$D$6,IF(ISNUMBER(SEARCH(Assumptions!$C$7,G4156)),Assumptions!$D$7,"Other Services"))),"Other Services"))</f>
        <v/>
      </c>
    </row>
    <row r="4157" customFormat="false" ht="15" hidden="false" customHeight="false" outlineLevel="0" collapsed="false">
      <c r="E4157" s="41" t="str">
        <f aca="false">IF(D4157="","",IFERROR(VLOOKUP(D4157,Assumptions!$G$5:$H$16,2,0),"Other"))</f>
        <v/>
      </c>
      <c r="J4157" s="41" t="str">
        <f aca="false">IF(G4157="","",IFERROR(IF(ISNUMBER(SEARCH(Assumptions!$C$5,G4157)),Assumptions!$D$5,IF(ISNUMBER(SEARCH(Assumptions!$C$6,G4157)),Assumptions!$D$6,IF(ISNUMBER(SEARCH(Assumptions!$C$7,G4157)),Assumptions!$D$7,"Other Services"))),"Other Services"))</f>
        <v/>
      </c>
    </row>
    <row r="4158" customFormat="false" ht="15" hidden="false" customHeight="false" outlineLevel="0" collapsed="false">
      <c r="E4158" s="41" t="str">
        <f aca="false">IF(D4158="","",IFERROR(VLOOKUP(D4158,Assumptions!$G$5:$H$16,2,0),"Other"))</f>
        <v/>
      </c>
      <c r="J4158" s="41" t="str">
        <f aca="false">IF(G4158="","",IFERROR(IF(ISNUMBER(SEARCH(Assumptions!$C$5,G4158)),Assumptions!$D$5,IF(ISNUMBER(SEARCH(Assumptions!$C$6,G4158)),Assumptions!$D$6,IF(ISNUMBER(SEARCH(Assumptions!$C$7,G4158)),Assumptions!$D$7,"Other Services"))),"Other Services"))</f>
        <v/>
      </c>
    </row>
    <row r="4159" customFormat="false" ht="15" hidden="false" customHeight="false" outlineLevel="0" collapsed="false">
      <c r="E4159" s="41" t="str">
        <f aca="false">IF(D4159="","",IFERROR(VLOOKUP(D4159,Assumptions!$G$5:$H$16,2,0),"Other"))</f>
        <v/>
      </c>
      <c r="J4159" s="41" t="str">
        <f aca="false">IF(G4159="","",IFERROR(IF(ISNUMBER(SEARCH(Assumptions!$C$5,G4159)),Assumptions!$D$5,IF(ISNUMBER(SEARCH(Assumptions!$C$6,G4159)),Assumptions!$D$6,IF(ISNUMBER(SEARCH(Assumptions!$C$7,G4159)),Assumptions!$D$7,"Other Services"))),"Other Services"))</f>
        <v/>
      </c>
    </row>
    <row r="4160" customFormat="false" ht="15" hidden="false" customHeight="false" outlineLevel="0" collapsed="false">
      <c r="E4160" s="41" t="str">
        <f aca="false">IF(D4160="","",IFERROR(VLOOKUP(D4160,Assumptions!$G$5:$H$16,2,0),"Other"))</f>
        <v/>
      </c>
      <c r="J4160" s="41" t="str">
        <f aca="false">IF(G4160="","",IFERROR(IF(ISNUMBER(SEARCH(Assumptions!$C$5,G4160)),Assumptions!$D$5,IF(ISNUMBER(SEARCH(Assumptions!$C$6,G4160)),Assumptions!$D$6,IF(ISNUMBER(SEARCH(Assumptions!$C$7,G4160)),Assumptions!$D$7,"Other Services"))),"Other Services"))</f>
        <v/>
      </c>
    </row>
    <row r="4161" customFormat="false" ht="15" hidden="false" customHeight="false" outlineLevel="0" collapsed="false">
      <c r="E4161" s="41" t="str">
        <f aca="false">IF(D4161="","",IFERROR(VLOOKUP(D4161,Assumptions!$G$5:$H$16,2,0),"Other"))</f>
        <v/>
      </c>
      <c r="J4161" s="41" t="str">
        <f aca="false">IF(G4161="","",IFERROR(IF(ISNUMBER(SEARCH(Assumptions!$C$5,G4161)),Assumptions!$D$5,IF(ISNUMBER(SEARCH(Assumptions!$C$6,G4161)),Assumptions!$D$6,IF(ISNUMBER(SEARCH(Assumptions!$C$7,G4161)),Assumptions!$D$7,"Other Services"))),"Other Services"))</f>
        <v/>
      </c>
    </row>
    <row r="4162" customFormat="false" ht="15" hidden="false" customHeight="false" outlineLevel="0" collapsed="false">
      <c r="E4162" s="41" t="str">
        <f aca="false">IF(D4162="","",IFERROR(VLOOKUP(D4162,Assumptions!$G$5:$H$16,2,0),"Other"))</f>
        <v/>
      </c>
      <c r="J4162" s="41" t="str">
        <f aca="false">IF(G4162="","",IFERROR(IF(ISNUMBER(SEARCH(Assumptions!$C$5,G4162)),Assumptions!$D$5,IF(ISNUMBER(SEARCH(Assumptions!$C$6,G4162)),Assumptions!$D$6,IF(ISNUMBER(SEARCH(Assumptions!$C$7,G4162)),Assumptions!$D$7,"Other Services"))),"Other Services"))</f>
        <v/>
      </c>
    </row>
    <row r="4163" customFormat="false" ht="15" hidden="false" customHeight="false" outlineLevel="0" collapsed="false">
      <c r="E4163" s="41" t="str">
        <f aca="false">IF(D4163="","",IFERROR(VLOOKUP(D4163,Assumptions!$G$5:$H$16,2,0),"Other"))</f>
        <v/>
      </c>
      <c r="J4163" s="41" t="str">
        <f aca="false">IF(G4163="","",IFERROR(IF(ISNUMBER(SEARCH(Assumptions!$C$5,G4163)),Assumptions!$D$5,IF(ISNUMBER(SEARCH(Assumptions!$C$6,G4163)),Assumptions!$D$6,IF(ISNUMBER(SEARCH(Assumptions!$C$7,G4163)),Assumptions!$D$7,"Other Services"))),"Other Services"))</f>
        <v/>
      </c>
    </row>
    <row r="4164" customFormat="false" ht="15" hidden="false" customHeight="false" outlineLevel="0" collapsed="false">
      <c r="E4164" s="41" t="str">
        <f aca="false">IF(D4164="","",IFERROR(VLOOKUP(D4164,Assumptions!$G$5:$H$16,2,0),"Other"))</f>
        <v/>
      </c>
      <c r="J4164" s="41" t="str">
        <f aca="false">IF(G4164="","",IFERROR(IF(ISNUMBER(SEARCH(Assumptions!$C$5,G4164)),Assumptions!$D$5,IF(ISNUMBER(SEARCH(Assumptions!$C$6,G4164)),Assumptions!$D$6,IF(ISNUMBER(SEARCH(Assumptions!$C$7,G4164)),Assumptions!$D$7,"Other Services"))),"Other Services"))</f>
        <v/>
      </c>
    </row>
    <row r="4165" customFormat="false" ht="15" hidden="false" customHeight="false" outlineLevel="0" collapsed="false">
      <c r="E4165" s="41" t="str">
        <f aca="false">IF(D4165="","",IFERROR(VLOOKUP(D4165,Assumptions!$G$5:$H$16,2,0),"Other"))</f>
        <v/>
      </c>
      <c r="J4165" s="41" t="str">
        <f aca="false">IF(G4165="","",IFERROR(IF(ISNUMBER(SEARCH(Assumptions!$C$5,G4165)),Assumptions!$D$5,IF(ISNUMBER(SEARCH(Assumptions!$C$6,G4165)),Assumptions!$D$6,IF(ISNUMBER(SEARCH(Assumptions!$C$7,G4165)),Assumptions!$D$7,"Other Services"))),"Other Services"))</f>
        <v/>
      </c>
    </row>
    <row r="4166" customFormat="false" ht="15" hidden="false" customHeight="false" outlineLevel="0" collapsed="false">
      <c r="E4166" s="41" t="str">
        <f aca="false">IF(D4166="","",IFERROR(VLOOKUP(D4166,Assumptions!$G$5:$H$16,2,0),"Other"))</f>
        <v/>
      </c>
      <c r="J4166" s="41" t="str">
        <f aca="false">IF(G4166="","",IFERROR(IF(ISNUMBER(SEARCH(Assumptions!$C$5,G4166)),Assumptions!$D$5,IF(ISNUMBER(SEARCH(Assumptions!$C$6,G4166)),Assumptions!$D$6,IF(ISNUMBER(SEARCH(Assumptions!$C$7,G4166)),Assumptions!$D$7,"Other Services"))),"Other Services"))</f>
        <v/>
      </c>
    </row>
    <row r="4167" customFormat="false" ht="15" hidden="false" customHeight="false" outlineLevel="0" collapsed="false">
      <c r="E4167" s="41" t="str">
        <f aca="false">IF(D4167="","",IFERROR(VLOOKUP(D4167,Assumptions!$G$5:$H$16,2,0),"Other"))</f>
        <v/>
      </c>
      <c r="J4167" s="41" t="str">
        <f aca="false">IF(G4167="","",IFERROR(IF(ISNUMBER(SEARCH(Assumptions!$C$5,G4167)),Assumptions!$D$5,IF(ISNUMBER(SEARCH(Assumptions!$C$6,G4167)),Assumptions!$D$6,IF(ISNUMBER(SEARCH(Assumptions!$C$7,G4167)),Assumptions!$D$7,"Other Services"))),"Other Services"))</f>
        <v/>
      </c>
    </row>
    <row r="4168" customFormat="false" ht="15" hidden="false" customHeight="false" outlineLevel="0" collapsed="false">
      <c r="E4168" s="41" t="str">
        <f aca="false">IF(D4168="","",IFERROR(VLOOKUP(D4168,Assumptions!$G$5:$H$16,2,0),"Other"))</f>
        <v/>
      </c>
      <c r="J4168" s="41" t="str">
        <f aca="false">IF(G4168="","",IFERROR(IF(ISNUMBER(SEARCH(Assumptions!$C$5,G4168)),Assumptions!$D$5,IF(ISNUMBER(SEARCH(Assumptions!$C$6,G4168)),Assumptions!$D$6,IF(ISNUMBER(SEARCH(Assumptions!$C$7,G4168)),Assumptions!$D$7,"Other Services"))),"Other Services"))</f>
        <v/>
      </c>
    </row>
    <row r="4169" customFormat="false" ht="15" hidden="false" customHeight="false" outlineLevel="0" collapsed="false">
      <c r="E4169" s="41" t="str">
        <f aca="false">IF(D4169="","",IFERROR(VLOOKUP(D4169,Assumptions!$G$5:$H$16,2,0),"Other"))</f>
        <v/>
      </c>
      <c r="J4169" s="41" t="str">
        <f aca="false">IF(G4169="","",IFERROR(IF(ISNUMBER(SEARCH(Assumptions!$C$5,G4169)),Assumptions!$D$5,IF(ISNUMBER(SEARCH(Assumptions!$C$6,G4169)),Assumptions!$D$6,IF(ISNUMBER(SEARCH(Assumptions!$C$7,G4169)),Assumptions!$D$7,"Other Services"))),"Other Services"))</f>
        <v/>
      </c>
    </row>
    <row r="4170" customFormat="false" ht="15" hidden="false" customHeight="false" outlineLevel="0" collapsed="false">
      <c r="E4170" s="41" t="str">
        <f aca="false">IF(D4170="","",IFERROR(VLOOKUP(D4170,Assumptions!$G$5:$H$16,2,0),"Other"))</f>
        <v/>
      </c>
      <c r="J4170" s="41" t="str">
        <f aca="false">IF(G4170="","",IFERROR(IF(ISNUMBER(SEARCH(Assumptions!$C$5,G4170)),Assumptions!$D$5,IF(ISNUMBER(SEARCH(Assumptions!$C$6,G4170)),Assumptions!$D$6,IF(ISNUMBER(SEARCH(Assumptions!$C$7,G4170)),Assumptions!$D$7,"Other Services"))),"Other Services"))</f>
        <v/>
      </c>
    </row>
    <row r="4171" customFormat="false" ht="15" hidden="false" customHeight="false" outlineLevel="0" collapsed="false">
      <c r="E4171" s="41" t="str">
        <f aca="false">IF(D4171="","",IFERROR(VLOOKUP(D4171,Assumptions!$G$5:$H$16,2,0),"Other"))</f>
        <v/>
      </c>
      <c r="J4171" s="41" t="str">
        <f aca="false">IF(G4171="","",IFERROR(IF(ISNUMBER(SEARCH(Assumptions!$C$5,G4171)),Assumptions!$D$5,IF(ISNUMBER(SEARCH(Assumptions!$C$6,G4171)),Assumptions!$D$6,IF(ISNUMBER(SEARCH(Assumptions!$C$7,G4171)),Assumptions!$D$7,"Other Services"))),"Other Services"))</f>
        <v/>
      </c>
    </row>
    <row r="4172" customFormat="false" ht="15" hidden="false" customHeight="false" outlineLevel="0" collapsed="false">
      <c r="E4172" s="41" t="str">
        <f aca="false">IF(D4172="","",IFERROR(VLOOKUP(D4172,Assumptions!$G$5:$H$16,2,0),"Other"))</f>
        <v/>
      </c>
      <c r="J4172" s="41" t="str">
        <f aca="false">IF(G4172="","",IFERROR(IF(ISNUMBER(SEARCH(Assumptions!$C$5,G4172)),Assumptions!$D$5,IF(ISNUMBER(SEARCH(Assumptions!$C$6,G4172)),Assumptions!$D$6,IF(ISNUMBER(SEARCH(Assumptions!$C$7,G4172)),Assumptions!$D$7,"Other Services"))),"Other Services"))</f>
        <v/>
      </c>
    </row>
    <row r="4173" customFormat="false" ht="15" hidden="false" customHeight="false" outlineLevel="0" collapsed="false">
      <c r="E4173" s="41" t="str">
        <f aca="false">IF(D4173="","",IFERROR(VLOOKUP(D4173,Assumptions!$G$5:$H$16,2,0),"Other"))</f>
        <v/>
      </c>
      <c r="J4173" s="41" t="str">
        <f aca="false">IF(G4173="","",IFERROR(IF(ISNUMBER(SEARCH(Assumptions!$C$5,G4173)),Assumptions!$D$5,IF(ISNUMBER(SEARCH(Assumptions!$C$6,G4173)),Assumptions!$D$6,IF(ISNUMBER(SEARCH(Assumptions!$C$7,G4173)),Assumptions!$D$7,"Other Services"))),"Other Services"))</f>
        <v/>
      </c>
    </row>
    <row r="4174" customFormat="false" ht="15" hidden="false" customHeight="false" outlineLevel="0" collapsed="false">
      <c r="E4174" s="41" t="str">
        <f aca="false">IF(D4174="","",IFERROR(VLOOKUP(D4174,Assumptions!$G$5:$H$16,2,0),"Other"))</f>
        <v/>
      </c>
      <c r="J4174" s="41" t="str">
        <f aca="false">IF(G4174="","",IFERROR(IF(ISNUMBER(SEARCH(Assumptions!$C$5,G4174)),Assumptions!$D$5,IF(ISNUMBER(SEARCH(Assumptions!$C$6,G4174)),Assumptions!$D$6,IF(ISNUMBER(SEARCH(Assumptions!$C$7,G4174)),Assumptions!$D$7,"Other Services"))),"Other Services"))</f>
        <v/>
      </c>
    </row>
    <row r="4175" customFormat="false" ht="15" hidden="false" customHeight="false" outlineLevel="0" collapsed="false">
      <c r="E4175" s="41" t="str">
        <f aca="false">IF(D4175="","",IFERROR(VLOOKUP(D4175,Assumptions!$G$5:$H$16,2,0),"Other"))</f>
        <v/>
      </c>
      <c r="J4175" s="41" t="str">
        <f aca="false">IF(G4175="","",IFERROR(IF(ISNUMBER(SEARCH(Assumptions!$C$5,G4175)),Assumptions!$D$5,IF(ISNUMBER(SEARCH(Assumptions!$C$6,G4175)),Assumptions!$D$6,IF(ISNUMBER(SEARCH(Assumptions!$C$7,G4175)),Assumptions!$D$7,"Other Services"))),"Other Services"))</f>
        <v/>
      </c>
    </row>
    <row r="4176" customFormat="false" ht="15" hidden="false" customHeight="false" outlineLevel="0" collapsed="false">
      <c r="E4176" s="41" t="str">
        <f aca="false">IF(D4176="","",IFERROR(VLOOKUP(D4176,Assumptions!$G$5:$H$16,2,0),"Other"))</f>
        <v/>
      </c>
      <c r="J4176" s="41" t="str">
        <f aca="false">IF(G4176="","",IFERROR(IF(ISNUMBER(SEARCH(Assumptions!$C$5,G4176)),Assumptions!$D$5,IF(ISNUMBER(SEARCH(Assumptions!$C$6,G4176)),Assumptions!$D$6,IF(ISNUMBER(SEARCH(Assumptions!$C$7,G4176)),Assumptions!$D$7,"Other Services"))),"Other Services"))</f>
        <v/>
      </c>
    </row>
    <row r="4177" customFormat="false" ht="15" hidden="false" customHeight="false" outlineLevel="0" collapsed="false">
      <c r="E4177" s="41" t="str">
        <f aca="false">IF(D4177="","",IFERROR(VLOOKUP(D4177,Assumptions!$G$5:$H$16,2,0),"Other"))</f>
        <v/>
      </c>
      <c r="J4177" s="41" t="str">
        <f aca="false">IF(G4177="","",IFERROR(IF(ISNUMBER(SEARCH(Assumptions!$C$5,G4177)),Assumptions!$D$5,IF(ISNUMBER(SEARCH(Assumptions!$C$6,G4177)),Assumptions!$D$6,IF(ISNUMBER(SEARCH(Assumptions!$C$7,G4177)),Assumptions!$D$7,"Other Services"))),"Other Services"))</f>
        <v/>
      </c>
    </row>
    <row r="4178" customFormat="false" ht="15" hidden="false" customHeight="false" outlineLevel="0" collapsed="false">
      <c r="E4178" s="41" t="str">
        <f aca="false">IF(D4178="","",IFERROR(VLOOKUP(D4178,Assumptions!$G$5:$H$16,2,0),"Other"))</f>
        <v/>
      </c>
      <c r="J4178" s="41" t="str">
        <f aca="false">IF(G4178="","",IFERROR(IF(ISNUMBER(SEARCH(Assumptions!$C$5,G4178)),Assumptions!$D$5,IF(ISNUMBER(SEARCH(Assumptions!$C$6,G4178)),Assumptions!$D$6,IF(ISNUMBER(SEARCH(Assumptions!$C$7,G4178)),Assumptions!$D$7,"Other Services"))),"Other Services"))</f>
        <v/>
      </c>
    </row>
    <row r="4179" customFormat="false" ht="15" hidden="false" customHeight="false" outlineLevel="0" collapsed="false">
      <c r="E4179" s="41" t="str">
        <f aca="false">IF(D4179="","",IFERROR(VLOOKUP(D4179,Assumptions!$G$5:$H$16,2,0),"Other"))</f>
        <v/>
      </c>
      <c r="J4179" s="41" t="str">
        <f aca="false">IF(G4179="","",IFERROR(IF(ISNUMBER(SEARCH(Assumptions!$C$5,G4179)),Assumptions!$D$5,IF(ISNUMBER(SEARCH(Assumptions!$C$6,G4179)),Assumptions!$D$6,IF(ISNUMBER(SEARCH(Assumptions!$C$7,G4179)),Assumptions!$D$7,"Other Services"))),"Other Services"))</f>
        <v/>
      </c>
    </row>
    <row r="4180" customFormat="false" ht="15" hidden="false" customHeight="false" outlineLevel="0" collapsed="false">
      <c r="E4180" s="41" t="str">
        <f aca="false">IF(D4180="","",IFERROR(VLOOKUP(D4180,Assumptions!$G$5:$H$16,2,0),"Other"))</f>
        <v/>
      </c>
      <c r="J4180" s="41" t="str">
        <f aca="false">IF(G4180="","",IFERROR(IF(ISNUMBER(SEARCH(Assumptions!$C$5,G4180)),Assumptions!$D$5,IF(ISNUMBER(SEARCH(Assumptions!$C$6,G4180)),Assumptions!$D$6,IF(ISNUMBER(SEARCH(Assumptions!$C$7,G4180)),Assumptions!$D$7,"Other Services"))),"Other Services"))</f>
        <v/>
      </c>
    </row>
    <row r="4181" customFormat="false" ht="15" hidden="false" customHeight="false" outlineLevel="0" collapsed="false">
      <c r="E4181" s="41" t="str">
        <f aca="false">IF(D4181="","",IFERROR(VLOOKUP(D4181,Assumptions!$G$5:$H$16,2,0),"Other"))</f>
        <v/>
      </c>
      <c r="J4181" s="41" t="str">
        <f aca="false">IF(G4181="","",IFERROR(IF(ISNUMBER(SEARCH(Assumptions!$C$5,G4181)),Assumptions!$D$5,IF(ISNUMBER(SEARCH(Assumptions!$C$6,G4181)),Assumptions!$D$6,IF(ISNUMBER(SEARCH(Assumptions!$C$7,G4181)),Assumptions!$D$7,"Other Services"))),"Other Services"))</f>
        <v/>
      </c>
    </row>
    <row r="4182" customFormat="false" ht="15" hidden="false" customHeight="false" outlineLevel="0" collapsed="false">
      <c r="E4182" s="41" t="str">
        <f aca="false">IF(D4182="","",IFERROR(VLOOKUP(D4182,Assumptions!$G$5:$H$16,2,0),"Other"))</f>
        <v/>
      </c>
      <c r="J4182" s="41" t="str">
        <f aca="false">IF(G4182="","",IFERROR(IF(ISNUMBER(SEARCH(Assumptions!$C$5,G4182)),Assumptions!$D$5,IF(ISNUMBER(SEARCH(Assumptions!$C$6,G4182)),Assumptions!$D$6,IF(ISNUMBER(SEARCH(Assumptions!$C$7,G4182)),Assumptions!$D$7,"Other Services"))),"Other Services"))</f>
        <v/>
      </c>
    </row>
    <row r="4183" customFormat="false" ht="15" hidden="false" customHeight="false" outlineLevel="0" collapsed="false">
      <c r="E4183" s="41" t="str">
        <f aca="false">IF(D4183="","",IFERROR(VLOOKUP(D4183,Assumptions!$G$5:$H$16,2,0),"Other"))</f>
        <v/>
      </c>
      <c r="J4183" s="41" t="str">
        <f aca="false">IF(G4183="","",IFERROR(IF(ISNUMBER(SEARCH(Assumptions!$C$5,G4183)),Assumptions!$D$5,IF(ISNUMBER(SEARCH(Assumptions!$C$6,G4183)),Assumptions!$D$6,IF(ISNUMBER(SEARCH(Assumptions!$C$7,G4183)),Assumptions!$D$7,"Other Services"))),"Other Services"))</f>
        <v/>
      </c>
    </row>
    <row r="4184" customFormat="false" ht="15" hidden="false" customHeight="false" outlineLevel="0" collapsed="false">
      <c r="E4184" s="41" t="str">
        <f aca="false">IF(D4184="","",IFERROR(VLOOKUP(D4184,Assumptions!$G$5:$H$16,2,0),"Other"))</f>
        <v/>
      </c>
      <c r="J4184" s="41" t="str">
        <f aca="false">IF(G4184="","",IFERROR(IF(ISNUMBER(SEARCH(Assumptions!$C$5,G4184)),Assumptions!$D$5,IF(ISNUMBER(SEARCH(Assumptions!$C$6,G4184)),Assumptions!$D$6,IF(ISNUMBER(SEARCH(Assumptions!$C$7,G4184)),Assumptions!$D$7,"Other Services"))),"Other Services"))</f>
        <v/>
      </c>
    </row>
    <row r="4185" customFormat="false" ht="15" hidden="false" customHeight="false" outlineLevel="0" collapsed="false">
      <c r="E4185" s="41" t="str">
        <f aca="false">IF(D4185="","",IFERROR(VLOOKUP(D4185,Assumptions!$G$5:$H$16,2,0),"Other"))</f>
        <v/>
      </c>
      <c r="J4185" s="41" t="str">
        <f aca="false">IF(G4185="","",IFERROR(IF(ISNUMBER(SEARCH(Assumptions!$C$5,G4185)),Assumptions!$D$5,IF(ISNUMBER(SEARCH(Assumptions!$C$6,G4185)),Assumptions!$D$6,IF(ISNUMBER(SEARCH(Assumptions!$C$7,G4185)),Assumptions!$D$7,"Other Services"))),"Other Services"))</f>
        <v/>
      </c>
    </row>
    <row r="4186" customFormat="false" ht="15" hidden="false" customHeight="false" outlineLevel="0" collapsed="false">
      <c r="E4186" s="41" t="str">
        <f aca="false">IF(D4186="","",IFERROR(VLOOKUP(D4186,Assumptions!$G$5:$H$16,2,0),"Other"))</f>
        <v/>
      </c>
      <c r="J4186" s="41" t="str">
        <f aca="false">IF(G4186="","",IFERROR(IF(ISNUMBER(SEARCH(Assumptions!$C$5,G4186)),Assumptions!$D$5,IF(ISNUMBER(SEARCH(Assumptions!$C$6,G4186)),Assumptions!$D$6,IF(ISNUMBER(SEARCH(Assumptions!$C$7,G4186)),Assumptions!$D$7,"Other Services"))),"Other Services"))</f>
        <v/>
      </c>
    </row>
    <row r="4187" customFormat="false" ht="15" hidden="false" customHeight="false" outlineLevel="0" collapsed="false">
      <c r="E4187" s="41" t="str">
        <f aca="false">IF(D4187="","",IFERROR(VLOOKUP(D4187,Assumptions!$G$5:$H$16,2,0),"Other"))</f>
        <v/>
      </c>
      <c r="J4187" s="41" t="str">
        <f aca="false">IF(G4187="","",IFERROR(IF(ISNUMBER(SEARCH(Assumptions!$C$5,G4187)),Assumptions!$D$5,IF(ISNUMBER(SEARCH(Assumptions!$C$6,G4187)),Assumptions!$D$6,IF(ISNUMBER(SEARCH(Assumptions!$C$7,G4187)),Assumptions!$D$7,"Other Services"))),"Other Services"))</f>
        <v/>
      </c>
    </row>
    <row r="4188" customFormat="false" ht="15" hidden="false" customHeight="false" outlineLevel="0" collapsed="false">
      <c r="E4188" s="41" t="str">
        <f aca="false">IF(D4188="","",IFERROR(VLOOKUP(D4188,Assumptions!$G$5:$H$16,2,0),"Other"))</f>
        <v/>
      </c>
      <c r="J4188" s="41" t="str">
        <f aca="false">IF(G4188="","",IFERROR(IF(ISNUMBER(SEARCH(Assumptions!$C$5,G4188)),Assumptions!$D$5,IF(ISNUMBER(SEARCH(Assumptions!$C$6,G4188)),Assumptions!$D$6,IF(ISNUMBER(SEARCH(Assumptions!$C$7,G4188)),Assumptions!$D$7,"Other Services"))),"Other Services"))</f>
        <v/>
      </c>
    </row>
    <row r="4189" customFormat="false" ht="15" hidden="false" customHeight="false" outlineLevel="0" collapsed="false">
      <c r="E4189" s="41" t="str">
        <f aca="false">IF(D4189="","",IFERROR(VLOOKUP(D4189,Assumptions!$G$5:$H$16,2,0),"Other"))</f>
        <v/>
      </c>
      <c r="J4189" s="41" t="str">
        <f aca="false">IF(G4189="","",IFERROR(IF(ISNUMBER(SEARCH(Assumptions!$C$5,G4189)),Assumptions!$D$5,IF(ISNUMBER(SEARCH(Assumptions!$C$6,G4189)),Assumptions!$D$6,IF(ISNUMBER(SEARCH(Assumptions!$C$7,G4189)),Assumptions!$D$7,"Other Services"))),"Other Services"))</f>
        <v/>
      </c>
    </row>
    <row r="4190" customFormat="false" ht="15" hidden="false" customHeight="false" outlineLevel="0" collapsed="false">
      <c r="E4190" s="41" t="str">
        <f aca="false">IF(D4190="","",IFERROR(VLOOKUP(D4190,Assumptions!$G$5:$H$16,2,0),"Other"))</f>
        <v/>
      </c>
      <c r="J4190" s="41" t="str">
        <f aca="false">IF(G4190="","",IFERROR(IF(ISNUMBER(SEARCH(Assumptions!$C$5,G4190)),Assumptions!$D$5,IF(ISNUMBER(SEARCH(Assumptions!$C$6,G4190)),Assumptions!$D$6,IF(ISNUMBER(SEARCH(Assumptions!$C$7,G4190)),Assumptions!$D$7,"Other Services"))),"Other Services"))</f>
        <v/>
      </c>
    </row>
    <row r="4191" customFormat="false" ht="15" hidden="false" customHeight="false" outlineLevel="0" collapsed="false">
      <c r="E4191" s="41" t="str">
        <f aca="false">IF(D4191="","",IFERROR(VLOOKUP(D4191,Assumptions!$G$5:$H$16,2,0),"Other"))</f>
        <v/>
      </c>
      <c r="J4191" s="41" t="str">
        <f aca="false">IF(G4191="","",IFERROR(IF(ISNUMBER(SEARCH(Assumptions!$C$5,G4191)),Assumptions!$D$5,IF(ISNUMBER(SEARCH(Assumptions!$C$6,G4191)),Assumptions!$D$6,IF(ISNUMBER(SEARCH(Assumptions!$C$7,G4191)),Assumptions!$D$7,"Other Services"))),"Other Services"))</f>
        <v/>
      </c>
    </row>
    <row r="4192" customFormat="false" ht="15" hidden="false" customHeight="false" outlineLevel="0" collapsed="false">
      <c r="E4192" s="41" t="str">
        <f aca="false">IF(D4192="","",IFERROR(VLOOKUP(D4192,Assumptions!$G$5:$H$16,2,0),"Other"))</f>
        <v/>
      </c>
      <c r="J4192" s="41" t="str">
        <f aca="false">IF(G4192="","",IFERROR(IF(ISNUMBER(SEARCH(Assumptions!$C$5,G4192)),Assumptions!$D$5,IF(ISNUMBER(SEARCH(Assumptions!$C$6,G4192)),Assumptions!$D$6,IF(ISNUMBER(SEARCH(Assumptions!$C$7,G4192)),Assumptions!$D$7,"Other Services"))),"Other Services"))</f>
        <v/>
      </c>
    </row>
    <row r="4193" customFormat="false" ht="15" hidden="false" customHeight="false" outlineLevel="0" collapsed="false">
      <c r="E4193" s="41" t="str">
        <f aca="false">IF(D4193="","",IFERROR(VLOOKUP(D4193,Assumptions!$G$5:$H$16,2,0),"Other"))</f>
        <v/>
      </c>
      <c r="J4193" s="41" t="str">
        <f aca="false">IF(G4193="","",IFERROR(IF(ISNUMBER(SEARCH(Assumptions!$C$5,G4193)),Assumptions!$D$5,IF(ISNUMBER(SEARCH(Assumptions!$C$6,G4193)),Assumptions!$D$6,IF(ISNUMBER(SEARCH(Assumptions!$C$7,G4193)),Assumptions!$D$7,"Other Services"))),"Other Services"))</f>
        <v/>
      </c>
    </row>
    <row r="4194" customFormat="false" ht="15" hidden="false" customHeight="false" outlineLevel="0" collapsed="false">
      <c r="E4194" s="41" t="str">
        <f aca="false">IF(D4194="","",IFERROR(VLOOKUP(D4194,Assumptions!$G$5:$H$16,2,0),"Other"))</f>
        <v/>
      </c>
      <c r="J4194" s="41" t="str">
        <f aca="false">IF(G4194="","",IFERROR(IF(ISNUMBER(SEARCH(Assumptions!$C$5,G4194)),Assumptions!$D$5,IF(ISNUMBER(SEARCH(Assumptions!$C$6,G4194)),Assumptions!$D$6,IF(ISNUMBER(SEARCH(Assumptions!$C$7,G4194)),Assumptions!$D$7,"Other Services"))),"Other Services"))</f>
        <v/>
      </c>
    </row>
    <row r="4195" customFormat="false" ht="15" hidden="false" customHeight="false" outlineLevel="0" collapsed="false">
      <c r="E4195" s="41" t="str">
        <f aca="false">IF(D4195="","",IFERROR(VLOOKUP(D4195,Assumptions!$G$5:$H$16,2,0),"Other"))</f>
        <v/>
      </c>
      <c r="J4195" s="41" t="str">
        <f aca="false">IF(G4195="","",IFERROR(IF(ISNUMBER(SEARCH(Assumptions!$C$5,G4195)),Assumptions!$D$5,IF(ISNUMBER(SEARCH(Assumptions!$C$6,G4195)),Assumptions!$D$6,IF(ISNUMBER(SEARCH(Assumptions!$C$7,G4195)),Assumptions!$D$7,"Other Services"))),"Other Services"))</f>
        <v/>
      </c>
    </row>
    <row r="4196" customFormat="false" ht="15" hidden="false" customHeight="false" outlineLevel="0" collapsed="false">
      <c r="E4196" s="41" t="str">
        <f aca="false">IF(D4196="","",IFERROR(VLOOKUP(D4196,Assumptions!$G$5:$H$16,2,0),"Other"))</f>
        <v/>
      </c>
      <c r="J4196" s="41" t="str">
        <f aca="false">IF(G4196="","",IFERROR(IF(ISNUMBER(SEARCH(Assumptions!$C$5,G4196)),Assumptions!$D$5,IF(ISNUMBER(SEARCH(Assumptions!$C$6,G4196)),Assumptions!$D$6,IF(ISNUMBER(SEARCH(Assumptions!$C$7,G4196)),Assumptions!$D$7,"Other Services"))),"Other Services"))</f>
        <v/>
      </c>
    </row>
    <row r="4197" customFormat="false" ht="15" hidden="false" customHeight="false" outlineLevel="0" collapsed="false">
      <c r="E4197" s="41" t="str">
        <f aca="false">IF(D4197="","",IFERROR(VLOOKUP(D4197,Assumptions!$G$5:$H$16,2,0),"Other"))</f>
        <v/>
      </c>
      <c r="J4197" s="41" t="str">
        <f aca="false">IF(G4197="","",IFERROR(IF(ISNUMBER(SEARCH(Assumptions!$C$5,G4197)),Assumptions!$D$5,IF(ISNUMBER(SEARCH(Assumptions!$C$6,G4197)),Assumptions!$D$6,IF(ISNUMBER(SEARCH(Assumptions!$C$7,G4197)),Assumptions!$D$7,"Other Services"))),"Other Services"))</f>
        <v/>
      </c>
    </row>
    <row r="4198" customFormat="false" ht="15" hidden="false" customHeight="false" outlineLevel="0" collapsed="false">
      <c r="E4198" s="41" t="str">
        <f aca="false">IF(D4198="","",IFERROR(VLOOKUP(D4198,Assumptions!$G$5:$H$16,2,0),"Other"))</f>
        <v/>
      </c>
      <c r="J4198" s="41" t="str">
        <f aca="false">IF(G4198="","",IFERROR(IF(ISNUMBER(SEARCH(Assumptions!$C$5,G4198)),Assumptions!$D$5,IF(ISNUMBER(SEARCH(Assumptions!$C$6,G4198)),Assumptions!$D$6,IF(ISNUMBER(SEARCH(Assumptions!$C$7,G4198)),Assumptions!$D$7,"Other Services"))),"Other Services"))</f>
        <v/>
      </c>
    </row>
    <row r="4199" customFormat="false" ht="15" hidden="false" customHeight="false" outlineLevel="0" collapsed="false">
      <c r="E4199" s="41" t="str">
        <f aca="false">IF(D4199="","",IFERROR(VLOOKUP(D4199,Assumptions!$G$5:$H$16,2,0),"Other"))</f>
        <v/>
      </c>
      <c r="J4199" s="41" t="str">
        <f aca="false">IF(G4199="","",IFERROR(IF(ISNUMBER(SEARCH(Assumptions!$C$5,G4199)),Assumptions!$D$5,IF(ISNUMBER(SEARCH(Assumptions!$C$6,G4199)),Assumptions!$D$6,IF(ISNUMBER(SEARCH(Assumptions!$C$7,G4199)),Assumptions!$D$7,"Other Services"))),"Other Services"))</f>
        <v/>
      </c>
    </row>
    <row r="4200" customFormat="false" ht="15" hidden="false" customHeight="false" outlineLevel="0" collapsed="false">
      <c r="E4200" s="41" t="str">
        <f aca="false">IF(D4200="","",IFERROR(VLOOKUP(D4200,Assumptions!$G$5:$H$16,2,0),"Other"))</f>
        <v/>
      </c>
      <c r="J4200" s="41" t="str">
        <f aca="false">IF(G4200="","",IFERROR(IF(ISNUMBER(SEARCH(Assumptions!$C$5,G4200)),Assumptions!$D$5,IF(ISNUMBER(SEARCH(Assumptions!$C$6,G4200)),Assumptions!$D$6,IF(ISNUMBER(SEARCH(Assumptions!$C$7,G4200)),Assumptions!$D$7,"Other Services"))),"Other Services"))</f>
        <v/>
      </c>
    </row>
    <row r="4201" customFormat="false" ht="15" hidden="false" customHeight="false" outlineLevel="0" collapsed="false">
      <c r="E4201" s="41" t="str">
        <f aca="false">IF(D4201="","",IFERROR(VLOOKUP(D4201,Assumptions!$G$5:$H$16,2,0),"Other"))</f>
        <v/>
      </c>
      <c r="J4201" s="41" t="str">
        <f aca="false">IF(G4201="","",IFERROR(IF(ISNUMBER(SEARCH(Assumptions!$C$5,G4201)),Assumptions!$D$5,IF(ISNUMBER(SEARCH(Assumptions!$C$6,G4201)),Assumptions!$D$6,IF(ISNUMBER(SEARCH(Assumptions!$C$7,G4201)),Assumptions!$D$7,"Other Services"))),"Other Services"))</f>
        <v/>
      </c>
    </row>
    <row r="4202" customFormat="false" ht="15" hidden="false" customHeight="false" outlineLevel="0" collapsed="false">
      <c r="E4202" s="41" t="str">
        <f aca="false">IF(D4202="","",IFERROR(VLOOKUP(D4202,Assumptions!$G$5:$H$16,2,0),"Other"))</f>
        <v/>
      </c>
      <c r="J4202" s="41" t="str">
        <f aca="false">IF(G4202="","",IFERROR(IF(ISNUMBER(SEARCH(Assumptions!$C$5,G4202)),Assumptions!$D$5,IF(ISNUMBER(SEARCH(Assumptions!$C$6,G4202)),Assumptions!$D$6,IF(ISNUMBER(SEARCH(Assumptions!$C$7,G4202)),Assumptions!$D$7,"Other Services"))),"Other Services"))</f>
        <v/>
      </c>
    </row>
    <row r="4203" customFormat="false" ht="15" hidden="false" customHeight="false" outlineLevel="0" collapsed="false">
      <c r="E4203" s="41" t="str">
        <f aca="false">IF(D4203="","",IFERROR(VLOOKUP(D4203,Assumptions!$G$5:$H$16,2,0),"Other"))</f>
        <v/>
      </c>
      <c r="J4203" s="41" t="str">
        <f aca="false">IF(G4203="","",IFERROR(IF(ISNUMBER(SEARCH(Assumptions!$C$5,G4203)),Assumptions!$D$5,IF(ISNUMBER(SEARCH(Assumptions!$C$6,G4203)),Assumptions!$D$6,IF(ISNUMBER(SEARCH(Assumptions!$C$7,G4203)),Assumptions!$D$7,"Other Services"))),"Other Services"))</f>
        <v/>
      </c>
    </row>
    <row r="4204" customFormat="false" ht="15" hidden="false" customHeight="false" outlineLevel="0" collapsed="false">
      <c r="E4204" s="41" t="str">
        <f aca="false">IF(D4204="","",IFERROR(VLOOKUP(D4204,Assumptions!$G$5:$H$16,2,0),"Other"))</f>
        <v/>
      </c>
      <c r="J4204" s="41" t="str">
        <f aca="false">IF(G4204="","",IFERROR(IF(ISNUMBER(SEARCH(Assumptions!$C$5,G4204)),Assumptions!$D$5,IF(ISNUMBER(SEARCH(Assumptions!$C$6,G4204)),Assumptions!$D$6,IF(ISNUMBER(SEARCH(Assumptions!$C$7,G4204)),Assumptions!$D$7,"Other Services"))),"Other Services"))</f>
        <v/>
      </c>
    </row>
    <row r="4205" customFormat="false" ht="15" hidden="false" customHeight="false" outlineLevel="0" collapsed="false">
      <c r="E4205" s="41" t="str">
        <f aca="false">IF(D4205="","",IFERROR(VLOOKUP(D4205,Assumptions!$G$5:$H$16,2,0),"Other"))</f>
        <v/>
      </c>
      <c r="J4205" s="41" t="str">
        <f aca="false">IF(G4205="","",IFERROR(IF(ISNUMBER(SEARCH(Assumptions!$C$5,G4205)),Assumptions!$D$5,IF(ISNUMBER(SEARCH(Assumptions!$C$6,G4205)),Assumptions!$D$6,IF(ISNUMBER(SEARCH(Assumptions!$C$7,G4205)),Assumptions!$D$7,"Other Services"))),"Other Services"))</f>
        <v/>
      </c>
    </row>
    <row r="4206" customFormat="false" ht="15" hidden="false" customHeight="false" outlineLevel="0" collapsed="false">
      <c r="E4206" s="41" t="str">
        <f aca="false">IF(D4206="","",IFERROR(VLOOKUP(D4206,Assumptions!$G$5:$H$16,2,0),"Other"))</f>
        <v/>
      </c>
      <c r="J4206" s="41" t="str">
        <f aca="false">IF(G4206="","",IFERROR(IF(ISNUMBER(SEARCH(Assumptions!$C$5,G4206)),Assumptions!$D$5,IF(ISNUMBER(SEARCH(Assumptions!$C$6,G4206)),Assumptions!$D$6,IF(ISNUMBER(SEARCH(Assumptions!$C$7,G4206)),Assumptions!$D$7,"Other Services"))),"Other Services"))</f>
        <v/>
      </c>
    </row>
    <row r="4207" customFormat="false" ht="15" hidden="false" customHeight="false" outlineLevel="0" collapsed="false">
      <c r="E4207" s="41" t="str">
        <f aca="false">IF(D4207="","",IFERROR(VLOOKUP(D4207,Assumptions!$G$5:$H$16,2,0),"Other"))</f>
        <v/>
      </c>
      <c r="J4207" s="41" t="str">
        <f aca="false">IF(G4207="","",IFERROR(IF(ISNUMBER(SEARCH(Assumptions!$C$5,G4207)),Assumptions!$D$5,IF(ISNUMBER(SEARCH(Assumptions!$C$6,G4207)),Assumptions!$D$6,IF(ISNUMBER(SEARCH(Assumptions!$C$7,G4207)),Assumptions!$D$7,"Other Services"))),"Other Services"))</f>
        <v/>
      </c>
    </row>
    <row r="4208" customFormat="false" ht="15" hidden="false" customHeight="false" outlineLevel="0" collapsed="false">
      <c r="E4208" s="41" t="str">
        <f aca="false">IF(D4208="","",IFERROR(VLOOKUP(D4208,Assumptions!$G$5:$H$16,2,0),"Other"))</f>
        <v/>
      </c>
      <c r="J4208" s="41" t="str">
        <f aca="false">IF(G4208="","",IFERROR(IF(ISNUMBER(SEARCH(Assumptions!$C$5,G4208)),Assumptions!$D$5,IF(ISNUMBER(SEARCH(Assumptions!$C$6,G4208)),Assumptions!$D$6,IF(ISNUMBER(SEARCH(Assumptions!$C$7,G4208)),Assumptions!$D$7,"Other Services"))),"Other Services"))</f>
        <v/>
      </c>
    </row>
    <row r="4209" customFormat="false" ht="15" hidden="false" customHeight="false" outlineLevel="0" collapsed="false">
      <c r="E4209" s="41" t="str">
        <f aca="false">IF(D4209="","",IFERROR(VLOOKUP(D4209,Assumptions!$G$5:$H$16,2,0),"Other"))</f>
        <v/>
      </c>
      <c r="J4209" s="41" t="str">
        <f aca="false">IF(G4209="","",IFERROR(IF(ISNUMBER(SEARCH(Assumptions!$C$5,G4209)),Assumptions!$D$5,IF(ISNUMBER(SEARCH(Assumptions!$C$6,G4209)),Assumptions!$D$6,IF(ISNUMBER(SEARCH(Assumptions!$C$7,G4209)),Assumptions!$D$7,"Other Services"))),"Other Services"))</f>
        <v/>
      </c>
    </row>
    <row r="4210" customFormat="false" ht="15" hidden="false" customHeight="false" outlineLevel="0" collapsed="false">
      <c r="E4210" s="41" t="str">
        <f aca="false">IF(D4210="","",IFERROR(VLOOKUP(D4210,Assumptions!$G$5:$H$16,2,0),"Other"))</f>
        <v/>
      </c>
      <c r="J4210" s="41" t="str">
        <f aca="false">IF(G4210="","",IFERROR(IF(ISNUMBER(SEARCH(Assumptions!$C$5,G4210)),Assumptions!$D$5,IF(ISNUMBER(SEARCH(Assumptions!$C$6,G4210)),Assumptions!$D$6,IF(ISNUMBER(SEARCH(Assumptions!$C$7,G4210)),Assumptions!$D$7,"Other Services"))),"Other Services"))</f>
        <v/>
      </c>
    </row>
    <row r="4211" customFormat="false" ht="15" hidden="false" customHeight="false" outlineLevel="0" collapsed="false">
      <c r="E4211" s="41" t="str">
        <f aca="false">IF(D4211="","",IFERROR(VLOOKUP(D4211,Assumptions!$G$5:$H$16,2,0),"Other"))</f>
        <v/>
      </c>
      <c r="J4211" s="41" t="str">
        <f aca="false">IF(G4211="","",IFERROR(IF(ISNUMBER(SEARCH(Assumptions!$C$5,G4211)),Assumptions!$D$5,IF(ISNUMBER(SEARCH(Assumptions!$C$6,G4211)),Assumptions!$D$6,IF(ISNUMBER(SEARCH(Assumptions!$C$7,G4211)),Assumptions!$D$7,"Other Services"))),"Other Services"))</f>
        <v/>
      </c>
    </row>
    <row r="4212" customFormat="false" ht="15" hidden="false" customHeight="false" outlineLevel="0" collapsed="false">
      <c r="E4212" s="41" t="str">
        <f aca="false">IF(D4212="","",IFERROR(VLOOKUP(D4212,Assumptions!$G$5:$H$16,2,0),"Other"))</f>
        <v/>
      </c>
      <c r="J4212" s="41" t="str">
        <f aca="false">IF(G4212="","",IFERROR(IF(ISNUMBER(SEARCH(Assumptions!$C$5,G4212)),Assumptions!$D$5,IF(ISNUMBER(SEARCH(Assumptions!$C$6,G4212)),Assumptions!$D$6,IF(ISNUMBER(SEARCH(Assumptions!$C$7,G4212)),Assumptions!$D$7,"Other Services"))),"Other Services"))</f>
        <v/>
      </c>
    </row>
    <row r="4213" customFormat="false" ht="15" hidden="false" customHeight="false" outlineLevel="0" collapsed="false">
      <c r="E4213" s="41" t="str">
        <f aca="false">IF(D4213="","",IFERROR(VLOOKUP(D4213,Assumptions!$G$5:$H$16,2,0),"Other"))</f>
        <v/>
      </c>
      <c r="J4213" s="41" t="str">
        <f aca="false">IF(G4213="","",IFERROR(IF(ISNUMBER(SEARCH(Assumptions!$C$5,G4213)),Assumptions!$D$5,IF(ISNUMBER(SEARCH(Assumptions!$C$6,G4213)),Assumptions!$D$6,IF(ISNUMBER(SEARCH(Assumptions!$C$7,G4213)),Assumptions!$D$7,"Other Services"))),"Other Services"))</f>
        <v/>
      </c>
    </row>
    <row r="4214" customFormat="false" ht="15" hidden="false" customHeight="false" outlineLevel="0" collapsed="false">
      <c r="E4214" s="41" t="str">
        <f aca="false">IF(D4214="","",IFERROR(VLOOKUP(D4214,Assumptions!$G$5:$H$16,2,0),"Other"))</f>
        <v/>
      </c>
      <c r="J4214" s="41" t="str">
        <f aca="false">IF(G4214="","",IFERROR(IF(ISNUMBER(SEARCH(Assumptions!$C$5,G4214)),Assumptions!$D$5,IF(ISNUMBER(SEARCH(Assumptions!$C$6,G4214)),Assumptions!$D$6,IF(ISNUMBER(SEARCH(Assumptions!$C$7,G4214)),Assumptions!$D$7,"Other Services"))),"Other Services"))</f>
        <v/>
      </c>
    </row>
    <row r="4215" customFormat="false" ht="15" hidden="false" customHeight="false" outlineLevel="0" collapsed="false">
      <c r="E4215" s="41" t="str">
        <f aca="false">IF(D4215="","",IFERROR(VLOOKUP(D4215,Assumptions!$G$5:$H$16,2,0),"Other"))</f>
        <v/>
      </c>
      <c r="J4215" s="41" t="str">
        <f aca="false">IF(G4215="","",IFERROR(IF(ISNUMBER(SEARCH(Assumptions!$C$5,G4215)),Assumptions!$D$5,IF(ISNUMBER(SEARCH(Assumptions!$C$6,G4215)),Assumptions!$D$6,IF(ISNUMBER(SEARCH(Assumptions!$C$7,G4215)),Assumptions!$D$7,"Other Services"))),"Other Services"))</f>
        <v/>
      </c>
    </row>
    <row r="4216" customFormat="false" ht="15" hidden="false" customHeight="false" outlineLevel="0" collapsed="false">
      <c r="E4216" s="41" t="str">
        <f aca="false">IF(D4216="","",IFERROR(VLOOKUP(D4216,Assumptions!$G$5:$H$16,2,0),"Other"))</f>
        <v/>
      </c>
      <c r="J4216" s="41" t="str">
        <f aca="false">IF(G4216="","",IFERROR(IF(ISNUMBER(SEARCH(Assumptions!$C$5,G4216)),Assumptions!$D$5,IF(ISNUMBER(SEARCH(Assumptions!$C$6,G4216)),Assumptions!$D$6,IF(ISNUMBER(SEARCH(Assumptions!$C$7,G4216)),Assumptions!$D$7,"Other Services"))),"Other Services"))</f>
        <v/>
      </c>
    </row>
    <row r="4217" customFormat="false" ht="15" hidden="false" customHeight="false" outlineLevel="0" collapsed="false">
      <c r="E4217" s="41" t="str">
        <f aca="false">IF(D4217="","",IFERROR(VLOOKUP(D4217,Assumptions!$G$5:$H$16,2,0),"Other"))</f>
        <v/>
      </c>
      <c r="J4217" s="41" t="str">
        <f aca="false">IF(G4217="","",IFERROR(IF(ISNUMBER(SEARCH(Assumptions!$C$5,G4217)),Assumptions!$D$5,IF(ISNUMBER(SEARCH(Assumptions!$C$6,G4217)),Assumptions!$D$6,IF(ISNUMBER(SEARCH(Assumptions!$C$7,G4217)),Assumptions!$D$7,"Other Services"))),"Other Services"))</f>
        <v/>
      </c>
    </row>
    <row r="4218" customFormat="false" ht="15" hidden="false" customHeight="false" outlineLevel="0" collapsed="false">
      <c r="E4218" s="41" t="str">
        <f aca="false">IF(D4218="","",IFERROR(VLOOKUP(D4218,Assumptions!$G$5:$H$16,2,0),"Other"))</f>
        <v/>
      </c>
      <c r="J4218" s="41" t="str">
        <f aca="false">IF(G4218="","",IFERROR(IF(ISNUMBER(SEARCH(Assumptions!$C$5,G4218)),Assumptions!$D$5,IF(ISNUMBER(SEARCH(Assumptions!$C$6,G4218)),Assumptions!$D$6,IF(ISNUMBER(SEARCH(Assumptions!$C$7,G4218)),Assumptions!$D$7,"Other Services"))),"Other Services"))</f>
        <v/>
      </c>
    </row>
    <row r="4219" customFormat="false" ht="15" hidden="false" customHeight="false" outlineLevel="0" collapsed="false">
      <c r="E4219" s="41" t="str">
        <f aca="false">IF(D4219="","",IFERROR(VLOOKUP(D4219,Assumptions!$G$5:$H$16,2,0),"Other"))</f>
        <v/>
      </c>
      <c r="J4219" s="41" t="str">
        <f aca="false">IF(G4219="","",IFERROR(IF(ISNUMBER(SEARCH(Assumptions!$C$5,G4219)),Assumptions!$D$5,IF(ISNUMBER(SEARCH(Assumptions!$C$6,G4219)),Assumptions!$D$6,IF(ISNUMBER(SEARCH(Assumptions!$C$7,G4219)),Assumptions!$D$7,"Other Services"))),"Other Services"))</f>
        <v/>
      </c>
    </row>
    <row r="4220" customFormat="false" ht="15" hidden="false" customHeight="false" outlineLevel="0" collapsed="false">
      <c r="E4220" s="41" t="str">
        <f aca="false">IF(D4220="","",IFERROR(VLOOKUP(D4220,Assumptions!$G$5:$H$16,2,0),"Other"))</f>
        <v/>
      </c>
      <c r="J4220" s="41" t="str">
        <f aca="false">IF(G4220="","",IFERROR(IF(ISNUMBER(SEARCH(Assumptions!$C$5,G4220)),Assumptions!$D$5,IF(ISNUMBER(SEARCH(Assumptions!$C$6,G4220)),Assumptions!$D$6,IF(ISNUMBER(SEARCH(Assumptions!$C$7,G4220)),Assumptions!$D$7,"Other Services"))),"Other Services"))</f>
        <v/>
      </c>
    </row>
    <row r="4221" customFormat="false" ht="15" hidden="false" customHeight="false" outlineLevel="0" collapsed="false">
      <c r="E4221" s="41" t="str">
        <f aca="false">IF(D4221="","",IFERROR(VLOOKUP(D4221,Assumptions!$G$5:$H$16,2,0),"Other"))</f>
        <v/>
      </c>
      <c r="J4221" s="41" t="str">
        <f aca="false">IF(G4221="","",IFERROR(IF(ISNUMBER(SEARCH(Assumptions!$C$5,G4221)),Assumptions!$D$5,IF(ISNUMBER(SEARCH(Assumptions!$C$6,G4221)),Assumptions!$D$6,IF(ISNUMBER(SEARCH(Assumptions!$C$7,G4221)),Assumptions!$D$7,"Other Services"))),"Other Services"))</f>
        <v/>
      </c>
    </row>
    <row r="4222" customFormat="false" ht="15" hidden="false" customHeight="false" outlineLevel="0" collapsed="false">
      <c r="E4222" s="41" t="str">
        <f aca="false">IF(D4222="","",IFERROR(VLOOKUP(D4222,Assumptions!$G$5:$H$16,2,0),"Other"))</f>
        <v/>
      </c>
      <c r="J4222" s="41" t="str">
        <f aca="false">IF(G4222="","",IFERROR(IF(ISNUMBER(SEARCH(Assumptions!$C$5,G4222)),Assumptions!$D$5,IF(ISNUMBER(SEARCH(Assumptions!$C$6,G4222)),Assumptions!$D$6,IF(ISNUMBER(SEARCH(Assumptions!$C$7,G4222)),Assumptions!$D$7,"Other Services"))),"Other Services"))</f>
        <v/>
      </c>
    </row>
    <row r="4223" customFormat="false" ht="15" hidden="false" customHeight="false" outlineLevel="0" collapsed="false">
      <c r="E4223" s="41" t="str">
        <f aca="false">IF(D4223="","",IFERROR(VLOOKUP(D4223,Assumptions!$G$5:$H$16,2,0),"Other"))</f>
        <v/>
      </c>
      <c r="J4223" s="41" t="str">
        <f aca="false">IF(G4223="","",IFERROR(IF(ISNUMBER(SEARCH(Assumptions!$C$5,G4223)),Assumptions!$D$5,IF(ISNUMBER(SEARCH(Assumptions!$C$6,G4223)),Assumptions!$D$6,IF(ISNUMBER(SEARCH(Assumptions!$C$7,G4223)),Assumptions!$D$7,"Other Services"))),"Other Services"))</f>
        <v/>
      </c>
    </row>
    <row r="4224" customFormat="false" ht="15" hidden="false" customHeight="false" outlineLevel="0" collapsed="false">
      <c r="E4224" s="41" t="str">
        <f aca="false">IF(D4224="","",IFERROR(VLOOKUP(D4224,Assumptions!$G$5:$H$16,2,0),"Other"))</f>
        <v/>
      </c>
      <c r="J4224" s="41" t="str">
        <f aca="false">IF(G4224="","",IFERROR(IF(ISNUMBER(SEARCH(Assumptions!$C$5,G4224)),Assumptions!$D$5,IF(ISNUMBER(SEARCH(Assumptions!$C$6,G4224)),Assumptions!$D$6,IF(ISNUMBER(SEARCH(Assumptions!$C$7,G4224)),Assumptions!$D$7,"Other Services"))),"Other Services"))</f>
        <v/>
      </c>
    </row>
    <row r="4225" customFormat="false" ht="15" hidden="false" customHeight="false" outlineLevel="0" collapsed="false">
      <c r="E4225" s="41" t="str">
        <f aca="false">IF(D4225="","",IFERROR(VLOOKUP(D4225,Assumptions!$G$5:$H$16,2,0),"Other"))</f>
        <v/>
      </c>
      <c r="J4225" s="41" t="str">
        <f aca="false">IF(G4225="","",IFERROR(IF(ISNUMBER(SEARCH(Assumptions!$C$5,G4225)),Assumptions!$D$5,IF(ISNUMBER(SEARCH(Assumptions!$C$6,G4225)),Assumptions!$D$6,IF(ISNUMBER(SEARCH(Assumptions!$C$7,G4225)),Assumptions!$D$7,"Other Services"))),"Other Services"))</f>
        <v/>
      </c>
    </row>
    <row r="4226" customFormat="false" ht="15" hidden="false" customHeight="false" outlineLevel="0" collapsed="false">
      <c r="E4226" s="41" t="str">
        <f aca="false">IF(D4226="","",IFERROR(VLOOKUP(D4226,Assumptions!$G$5:$H$16,2,0),"Other"))</f>
        <v/>
      </c>
      <c r="J4226" s="41" t="str">
        <f aca="false">IF(G4226="","",IFERROR(IF(ISNUMBER(SEARCH(Assumptions!$C$5,G4226)),Assumptions!$D$5,IF(ISNUMBER(SEARCH(Assumptions!$C$6,G4226)),Assumptions!$D$6,IF(ISNUMBER(SEARCH(Assumptions!$C$7,G4226)),Assumptions!$D$7,"Other Services"))),"Other Services"))</f>
        <v/>
      </c>
    </row>
    <row r="4227" customFormat="false" ht="15" hidden="false" customHeight="false" outlineLevel="0" collapsed="false">
      <c r="E4227" s="41" t="str">
        <f aca="false">IF(D4227="","",IFERROR(VLOOKUP(D4227,Assumptions!$G$5:$H$16,2,0),"Other"))</f>
        <v/>
      </c>
      <c r="J4227" s="41" t="str">
        <f aca="false">IF(G4227="","",IFERROR(IF(ISNUMBER(SEARCH(Assumptions!$C$5,G4227)),Assumptions!$D$5,IF(ISNUMBER(SEARCH(Assumptions!$C$6,G4227)),Assumptions!$D$6,IF(ISNUMBER(SEARCH(Assumptions!$C$7,G4227)),Assumptions!$D$7,"Other Services"))),"Other Services"))</f>
        <v/>
      </c>
    </row>
    <row r="4228" customFormat="false" ht="15" hidden="false" customHeight="false" outlineLevel="0" collapsed="false">
      <c r="E4228" s="41" t="str">
        <f aca="false">IF(D4228="","",IFERROR(VLOOKUP(D4228,Assumptions!$G$5:$H$16,2,0),"Other"))</f>
        <v/>
      </c>
      <c r="J4228" s="41" t="str">
        <f aca="false">IF(G4228="","",IFERROR(IF(ISNUMBER(SEARCH(Assumptions!$C$5,G4228)),Assumptions!$D$5,IF(ISNUMBER(SEARCH(Assumptions!$C$6,G4228)),Assumptions!$D$6,IF(ISNUMBER(SEARCH(Assumptions!$C$7,G4228)),Assumptions!$D$7,"Other Services"))),"Other Services"))</f>
        <v/>
      </c>
    </row>
    <row r="4229" customFormat="false" ht="15" hidden="false" customHeight="false" outlineLevel="0" collapsed="false">
      <c r="E4229" s="41" t="str">
        <f aca="false">IF(D4229="","",IFERROR(VLOOKUP(D4229,Assumptions!$G$5:$H$16,2,0),"Other"))</f>
        <v/>
      </c>
      <c r="J4229" s="41" t="str">
        <f aca="false">IF(G4229="","",IFERROR(IF(ISNUMBER(SEARCH(Assumptions!$C$5,G4229)),Assumptions!$D$5,IF(ISNUMBER(SEARCH(Assumptions!$C$6,G4229)),Assumptions!$D$6,IF(ISNUMBER(SEARCH(Assumptions!$C$7,G4229)),Assumptions!$D$7,"Other Services"))),"Other Services"))</f>
        <v/>
      </c>
    </row>
    <row r="4230" customFormat="false" ht="15" hidden="false" customHeight="false" outlineLevel="0" collapsed="false">
      <c r="E4230" s="41" t="str">
        <f aca="false">IF(D4230="","",IFERROR(VLOOKUP(D4230,Assumptions!$G$5:$H$16,2,0),"Other"))</f>
        <v/>
      </c>
      <c r="J4230" s="41" t="str">
        <f aca="false">IF(G4230="","",IFERROR(IF(ISNUMBER(SEARCH(Assumptions!$C$5,G4230)),Assumptions!$D$5,IF(ISNUMBER(SEARCH(Assumptions!$C$6,G4230)),Assumptions!$D$6,IF(ISNUMBER(SEARCH(Assumptions!$C$7,G4230)),Assumptions!$D$7,"Other Services"))),"Other Services"))</f>
        <v/>
      </c>
    </row>
    <row r="4231" customFormat="false" ht="15" hidden="false" customHeight="false" outlineLevel="0" collapsed="false">
      <c r="E4231" s="41" t="str">
        <f aca="false">IF(D4231="","",IFERROR(VLOOKUP(D4231,Assumptions!$G$5:$H$16,2,0),"Other"))</f>
        <v/>
      </c>
      <c r="J4231" s="41" t="str">
        <f aca="false">IF(G4231="","",IFERROR(IF(ISNUMBER(SEARCH(Assumptions!$C$5,G4231)),Assumptions!$D$5,IF(ISNUMBER(SEARCH(Assumptions!$C$6,G4231)),Assumptions!$D$6,IF(ISNUMBER(SEARCH(Assumptions!$C$7,G4231)),Assumptions!$D$7,"Other Services"))),"Other Services"))</f>
        <v/>
      </c>
    </row>
    <row r="4232" customFormat="false" ht="15" hidden="false" customHeight="false" outlineLevel="0" collapsed="false">
      <c r="E4232" s="41" t="str">
        <f aca="false">IF(D4232="","",IFERROR(VLOOKUP(D4232,Assumptions!$G$5:$H$16,2,0),"Other"))</f>
        <v/>
      </c>
      <c r="J4232" s="41" t="str">
        <f aca="false">IF(G4232="","",IFERROR(IF(ISNUMBER(SEARCH(Assumptions!$C$5,G4232)),Assumptions!$D$5,IF(ISNUMBER(SEARCH(Assumptions!$C$6,G4232)),Assumptions!$D$6,IF(ISNUMBER(SEARCH(Assumptions!$C$7,G4232)),Assumptions!$D$7,"Other Services"))),"Other Services"))</f>
        <v/>
      </c>
    </row>
    <row r="4233" customFormat="false" ht="15" hidden="false" customHeight="false" outlineLevel="0" collapsed="false">
      <c r="E4233" s="41" t="str">
        <f aca="false">IF(D4233="","",IFERROR(VLOOKUP(D4233,Assumptions!$G$5:$H$16,2,0),"Other"))</f>
        <v/>
      </c>
      <c r="J4233" s="41" t="str">
        <f aca="false">IF(G4233="","",IFERROR(IF(ISNUMBER(SEARCH(Assumptions!$C$5,G4233)),Assumptions!$D$5,IF(ISNUMBER(SEARCH(Assumptions!$C$6,G4233)),Assumptions!$D$6,IF(ISNUMBER(SEARCH(Assumptions!$C$7,G4233)),Assumptions!$D$7,"Other Services"))),"Other Services"))</f>
        <v/>
      </c>
    </row>
    <row r="4234" customFormat="false" ht="15" hidden="false" customHeight="false" outlineLevel="0" collapsed="false">
      <c r="E4234" s="41" t="str">
        <f aca="false">IF(D4234="","",IFERROR(VLOOKUP(D4234,Assumptions!$G$5:$H$16,2,0),"Other"))</f>
        <v/>
      </c>
      <c r="J4234" s="41" t="str">
        <f aca="false">IF(G4234="","",IFERROR(IF(ISNUMBER(SEARCH(Assumptions!$C$5,G4234)),Assumptions!$D$5,IF(ISNUMBER(SEARCH(Assumptions!$C$6,G4234)),Assumptions!$D$6,IF(ISNUMBER(SEARCH(Assumptions!$C$7,G4234)),Assumptions!$D$7,"Other Services"))),"Other Services"))</f>
        <v/>
      </c>
    </row>
    <row r="4235" customFormat="false" ht="15" hidden="false" customHeight="false" outlineLevel="0" collapsed="false">
      <c r="E4235" s="41" t="str">
        <f aca="false">IF(D4235="","",IFERROR(VLOOKUP(D4235,Assumptions!$G$5:$H$16,2,0),"Other"))</f>
        <v/>
      </c>
      <c r="J4235" s="41" t="str">
        <f aca="false">IF(G4235="","",IFERROR(IF(ISNUMBER(SEARCH(Assumptions!$C$5,G4235)),Assumptions!$D$5,IF(ISNUMBER(SEARCH(Assumptions!$C$6,G4235)),Assumptions!$D$6,IF(ISNUMBER(SEARCH(Assumptions!$C$7,G4235)),Assumptions!$D$7,"Other Services"))),"Other Services"))</f>
        <v/>
      </c>
    </row>
    <row r="4236" customFormat="false" ht="15" hidden="false" customHeight="false" outlineLevel="0" collapsed="false">
      <c r="E4236" s="41" t="str">
        <f aca="false">IF(D4236="","",IFERROR(VLOOKUP(D4236,Assumptions!$G$5:$H$16,2,0),"Other"))</f>
        <v/>
      </c>
      <c r="J4236" s="41" t="str">
        <f aca="false">IF(G4236="","",IFERROR(IF(ISNUMBER(SEARCH(Assumptions!$C$5,G4236)),Assumptions!$D$5,IF(ISNUMBER(SEARCH(Assumptions!$C$6,G4236)),Assumptions!$D$6,IF(ISNUMBER(SEARCH(Assumptions!$C$7,G4236)),Assumptions!$D$7,"Other Services"))),"Other Services"))</f>
        <v/>
      </c>
    </row>
    <row r="4237" customFormat="false" ht="15" hidden="false" customHeight="false" outlineLevel="0" collapsed="false">
      <c r="E4237" s="41" t="str">
        <f aca="false">IF(D4237="","",IFERROR(VLOOKUP(D4237,Assumptions!$G$5:$H$16,2,0),"Other"))</f>
        <v/>
      </c>
      <c r="J4237" s="41" t="str">
        <f aca="false">IF(G4237="","",IFERROR(IF(ISNUMBER(SEARCH(Assumptions!$C$5,G4237)),Assumptions!$D$5,IF(ISNUMBER(SEARCH(Assumptions!$C$6,G4237)),Assumptions!$D$6,IF(ISNUMBER(SEARCH(Assumptions!$C$7,G4237)),Assumptions!$D$7,"Other Services"))),"Other Services"))</f>
        <v/>
      </c>
    </row>
    <row r="4238" customFormat="false" ht="15" hidden="false" customHeight="false" outlineLevel="0" collapsed="false">
      <c r="E4238" s="41" t="str">
        <f aca="false">IF(D4238="","",IFERROR(VLOOKUP(D4238,Assumptions!$G$5:$H$16,2,0),"Other"))</f>
        <v/>
      </c>
      <c r="J4238" s="41" t="str">
        <f aca="false">IF(G4238="","",IFERROR(IF(ISNUMBER(SEARCH(Assumptions!$C$5,G4238)),Assumptions!$D$5,IF(ISNUMBER(SEARCH(Assumptions!$C$6,G4238)),Assumptions!$D$6,IF(ISNUMBER(SEARCH(Assumptions!$C$7,G4238)),Assumptions!$D$7,"Other Services"))),"Other Services"))</f>
        <v/>
      </c>
    </row>
    <row r="4239" customFormat="false" ht="15" hidden="false" customHeight="false" outlineLevel="0" collapsed="false">
      <c r="E4239" s="41" t="str">
        <f aca="false">IF(D4239="","",IFERROR(VLOOKUP(D4239,Assumptions!$G$5:$H$16,2,0),"Other"))</f>
        <v/>
      </c>
      <c r="J4239" s="41" t="str">
        <f aca="false">IF(G4239="","",IFERROR(IF(ISNUMBER(SEARCH(Assumptions!$C$5,G4239)),Assumptions!$D$5,IF(ISNUMBER(SEARCH(Assumptions!$C$6,G4239)),Assumptions!$D$6,IF(ISNUMBER(SEARCH(Assumptions!$C$7,G4239)),Assumptions!$D$7,"Other Services"))),"Other Services"))</f>
        <v/>
      </c>
    </row>
    <row r="4240" customFormat="false" ht="15" hidden="false" customHeight="false" outlineLevel="0" collapsed="false">
      <c r="E4240" s="41" t="str">
        <f aca="false">IF(D4240="","",IFERROR(VLOOKUP(D4240,Assumptions!$G$5:$H$16,2,0),"Other"))</f>
        <v/>
      </c>
      <c r="J4240" s="41" t="str">
        <f aca="false">IF(G4240="","",IFERROR(IF(ISNUMBER(SEARCH(Assumptions!$C$5,G4240)),Assumptions!$D$5,IF(ISNUMBER(SEARCH(Assumptions!$C$6,G4240)),Assumptions!$D$6,IF(ISNUMBER(SEARCH(Assumptions!$C$7,G4240)),Assumptions!$D$7,"Other Services"))),"Other Services"))</f>
        <v/>
      </c>
    </row>
    <row r="4241" customFormat="false" ht="15" hidden="false" customHeight="false" outlineLevel="0" collapsed="false">
      <c r="E4241" s="41" t="str">
        <f aca="false">IF(D4241="","",IFERROR(VLOOKUP(D4241,Assumptions!$G$5:$H$16,2,0),"Other"))</f>
        <v/>
      </c>
      <c r="J4241" s="41" t="str">
        <f aca="false">IF(G4241="","",IFERROR(IF(ISNUMBER(SEARCH(Assumptions!$C$5,G4241)),Assumptions!$D$5,IF(ISNUMBER(SEARCH(Assumptions!$C$6,G4241)),Assumptions!$D$6,IF(ISNUMBER(SEARCH(Assumptions!$C$7,G4241)),Assumptions!$D$7,"Other Services"))),"Other Services"))</f>
        <v/>
      </c>
    </row>
    <row r="4242" customFormat="false" ht="15" hidden="false" customHeight="false" outlineLevel="0" collapsed="false">
      <c r="E4242" s="41" t="str">
        <f aca="false">IF(D4242="","",IFERROR(VLOOKUP(D4242,Assumptions!$G$5:$H$16,2,0),"Other"))</f>
        <v/>
      </c>
      <c r="J4242" s="41" t="str">
        <f aca="false">IF(G4242="","",IFERROR(IF(ISNUMBER(SEARCH(Assumptions!$C$5,G4242)),Assumptions!$D$5,IF(ISNUMBER(SEARCH(Assumptions!$C$6,G4242)),Assumptions!$D$6,IF(ISNUMBER(SEARCH(Assumptions!$C$7,G4242)),Assumptions!$D$7,"Other Services"))),"Other Services"))</f>
        <v/>
      </c>
    </row>
    <row r="4243" customFormat="false" ht="15" hidden="false" customHeight="false" outlineLevel="0" collapsed="false">
      <c r="E4243" s="41" t="str">
        <f aca="false">IF(D4243="","",IFERROR(VLOOKUP(D4243,Assumptions!$G$5:$H$16,2,0),"Other"))</f>
        <v/>
      </c>
      <c r="J4243" s="41" t="str">
        <f aca="false">IF(G4243="","",IFERROR(IF(ISNUMBER(SEARCH(Assumptions!$C$5,G4243)),Assumptions!$D$5,IF(ISNUMBER(SEARCH(Assumptions!$C$6,G4243)),Assumptions!$D$6,IF(ISNUMBER(SEARCH(Assumptions!$C$7,G4243)),Assumptions!$D$7,"Other Services"))),"Other Services"))</f>
        <v/>
      </c>
    </row>
    <row r="4244" customFormat="false" ht="15" hidden="false" customHeight="false" outlineLevel="0" collapsed="false">
      <c r="E4244" s="41" t="str">
        <f aca="false">IF(D4244="","",IFERROR(VLOOKUP(D4244,Assumptions!$G$5:$H$16,2,0),"Other"))</f>
        <v/>
      </c>
      <c r="J4244" s="41" t="str">
        <f aca="false">IF(G4244="","",IFERROR(IF(ISNUMBER(SEARCH(Assumptions!$C$5,G4244)),Assumptions!$D$5,IF(ISNUMBER(SEARCH(Assumptions!$C$6,G4244)),Assumptions!$D$6,IF(ISNUMBER(SEARCH(Assumptions!$C$7,G4244)),Assumptions!$D$7,"Other Services"))),"Other Services"))</f>
        <v/>
      </c>
    </row>
    <row r="4245" customFormat="false" ht="15" hidden="false" customHeight="false" outlineLevel="0" collapsed="false">
      <c r="E4245" s="41" t="str">
        <f aca="false">IF(D4245="","",IFERROR(VLOOKUP(D4245,Assumptions!$G$5:$H$16,2,0),"Other"))</f>
        <v/>
      </c>
      <c r="J4245" s="41" t="str">
        <f aca="false">IF(G4245="","",IFERROR(IF(ISNUMBER(SEARCH(Assumptions!$C$5,G4245)),Assumptions!$D$5,IF(ISNUMBER(SEARCH(Assumptions!$C$6,G4245)),Assumptions!$D$6,IF(ISNUMBER(SEARCH(Assumptions!$C$7,G4245)),Assumptions!$D$7,"Other Services"))),"Other Services"))</f>
        <v/>
      </c>
    </row>
    <row r="4246" customFormat="false" ht="15" hidden="false" customHeight="false" outlineLevel="0" collapsed="false">
      <c r="E4246" s="41" t="str">
        <f aca="false">IF(D4246="","",IFERROR(VLOOKUP(D4246,Assumptions!$G$5:$H$16,2,0),"Other"))</f>
        <v/>
      </c>
      <c r="J4246" s="41" t="str">
        <f aca="false">IF(G4246="","",IFERROR(IF(ISNUMBER(SEARCH(Assumptions!$C$5,G4246)),Assumptions!$D$5,IF(ISNUMBER(SEARCH(Assumptions!$C$6,G4246)),Assumptions!$D$6,IF(ISNUMBER(SEARCH(Assumptions!$C$7,G4246)),Assumptions!$D$7,"Other Services"))),"Other Services"))</f>
        <v/>
      </c>
    </row>
    <row r="4247" customFormat="false" ht="15" hidden="false" customHeight="false" outlineLevel="0" collapsed="false">
      <c r="E4247" s="41" t="str">
        <f aca="false">IF(D4247="","",IFERROR(VLOOKUP(D4247,Assumptions!$G$5:$H$16,2,0),"Other"))</f>
        <v/>
      </c>
      <c r="J4247" s="41" t="str">
        <f aca="false">IF(G4247="","",IFERROR(IF(ISNUMBER(SEARCH(Assumptions!$C$5,G4247)),Assumptions!$D$5,IF(ISNUMBER(SEARCH(Assumptions!$C$6,G4247)),Assumptions!$D$6,IF(ISNUMBER(SEARCH(Assumptions!$C$7,G4247)),Assumptions!$D$7,"Other Services"))),"Other Services"))</f>
        <v/>
      </c>
    </row>
    <row r="4248" customFormat="false" ht="15" hidden="false" customHeight="false" outlineLevel="0" collapsed="false">
      <c r="E4248" s="41" t="str">
        <f aca="false">IF(D4248="","",IFERROR(VLOOKUP(D4248,Assumptions!$G$5:$H$16,2,0),"Other"))</f>
        <v/>
      </c>
      <c r="J4248" s="41" t="str">
        <f aca="false">IF(G4248="","",IFERROR(IF(ISNUMBER(SEARCH(Assumptions!$C$5,G4248)),Assumptions!$D$5,IF(ISNUMBER(SEARCH(Assumptions!$C$6,G4248)),Assumptions!$D$6,IF(ISNUMBER(SEARCH(Assumptions!$C$7,G4248)),Assumptions!$D$7,"Other Services"))),"Other Services"))</f>
        <v/>
      </c>
    </row>
    <row r="4249" customFormat="false" ht="15" hidden="false" customHeight="false" outlineLevel="0" collapsed="false">
      <c r="E4249" s="41" t="str">
        <f aca="false">IF(D4249="","",IFERROR(VLOOKUP(D4249,Assumptions!$G$5:$H$16,2,0),"Other"))</f>
        <v/>
      </c>
      <c r="J4249" s="41" t="str">
        <f aca="false">IF(G4249="","",IFERROR(IF(ISNUMBER(SEARCH(Assumptions!$C$5,G4249)),Assumptions!$D$5,IF(ISNUMBER(SEARCH(Assumptions!$C$6,G4249)),Assumptions!$D$6,IF(ISNUMBER(SEARCH(Assumptions!$C$7,G4249)),Assumptions!$D$7,"Other Services"))),"Other Services"))</f>
        <v/>
      </c>
    </row>
    <row r="4250" customFormat="false" ht="15" hidden="false" customHeight="false" outlineLevel="0" collapsed="false">
      <c r="E4250" s="41" t="str">
        <f aca="false">IF(D4250="","",IFERROR(VLOOKUP(D4250,Assumptions!$G$5:$H$16,2,0),"Other"))</f>
        <v/>
      </c>
      <c r="J4250" s="41" t="str">
        <f aca="false">IF(G4250="","",IFERROR(IF(ISNUMBER(SEARCH(Assumptions!$C$5,G4250)),Assumptions!$D$5,IF(ISNUMBER(SEARCH(Assumptions!$C$6,G4250)),Assumptions!$D$6,IF(ISNUMBER(SEARCH(Assumptions!$C$7,G4250)),Assumptions!$D$7,"Other Services"))),"Other Services"))</f>
        <v/>
      </c>
    </row>
    <row r="4251" customFormat="false" ht="15" hidden="false" customHeight="false" outlineLevel="0" collapsed="false">
      <c r="E4251" s="41" t="str">
        <f aca="false">IF(D4251="","",IFERROR(VLOOKUP(D4251,Assumptions!$G$5:$H$16,2,0),"Other"))</f>
        <v/>
      </c>
      <c r="J4251" s="41" t="str">
        <f aca="false">IF(G4251="","",IFERROR(IF(ISNUMBER(SEARCH(Assumptions!$C$5,G4251)),Assumptions!$D$5,IF(ISNUMBER(SEARCH(Assumptions!$C$6,G4251)),Assumptions!$D$6,IF(ISNUMBER(SEARCH(Assumptions!$C$7,G4251)),Assumptions!$D$7,"Other Services"))),"Other Services"))</f>
        <v/>
      </c>
    </row>
    <row r="4252" customFormat="false" ht="15" hidden="false" customHeight="false" outlineLevel="0" collapsed="false">
      <c r="E4252" s="41" t="str">
        <f aca="false">IF(D4252="","",IFERROR(VLOOKUP(D4252,Assumptions!$G$5:$H$16,2,0),"Other"))</f>
        <v/>
      </c>
      <c r="J4252" s="41" t="str">
        <f aca="false">IF(G4252="","",IFERROR(IF(ISNUMBER(SEARCH(Assumptions!$C$5,G4252)),Assumptions!$D$5,IF(ISNUMBER(SEARCH(Assumptions!$C$6,G4252)),Assumptions!$D$6,IF(ISNUMBER(SEARCH(Assumptions!$C$7,G4252)),Assumptions!$D$7,"Other Services"))),"Other Services"))</f>
        <v/>
      </c>
    </row>
    <row r="4253" customFormat="false" ht="15" hidden="false" customHeight="false" outlineLevel="0" collapsed="false">
      <c r="E4253" s="41" t="str">
        <f aca="false">IF(D4253="","",IFERROR(VLOOKUP(D4253,Assumptions!$G$5:$H$16,2,0),"Other"))</f>
        <v/>
      </c>
      <c r="J4253" s="41" t="str">
        <f aca="false">IF(G4253="","",IFERROR(IF(ISNUMBER(SEARCH(Assumptions!$C$5,G4253)),Assumptions!$D$5,IF(ISNUMBER(SEARCH(Assumptions!$C$6,G4253)),Assumptions!$D$6,IF(ISNUMBER(SEARCH(Assumptions!$C$7,G4253)),Assumptions!$D$7,"Other Services"))),"Other Services"))</f>
        <v/>
      </c>
    </row>
    <row r="4254" customFormat="false" ht="15" hidden="false" customHeight="false" outlineLevel="0" collapsed="false">
      <c r="E4254" s="41" t="str">
        <f aca="false">IF(D4254="","",IFERROR(VLOOKUP(D4254,Assumptions!$G$5:$H$16,2,0),"Other"))</f>
        <v/>
      </c>
      <c r="J4254" s="41" t="str">
        <f aca="false">IF(G4254="","",IFERROR(IF(ISNUMBER(SEARCH(Assumptions!$C$5,G4254)),Assumptions!$D$5,IF(ISNUMBER(SEARCH(Assumptions!$C$6,G4254)),Assumptions!$D$6,IF(ISNUMBER(SEARCH(Assumptions!$C$7,G4254)),Assumptions!$D$7,"Other Services"))),"Other Services"))</f>
        <v/>
      </c>
    </row>
    <row r="4255" customFormat="false" ht="15" hidden="false" customHeight="false" outlineLevel="0" collapsed="false">
      <c r="E4255" s="41" t="str">
        <f aca="false">IF(D4255="","",IFERROR(VLOOKUP(D4255,Assumptions!$G$5:$H$16,2,0),"Other"))</f>
        <v/>
      </c>
      <c r="J4255" s="41" t="str">
        <f aca="false">IF(G4255="","",IFERROR(IF(ISNUMBER(SEARCH(Assumptions!$C$5,G4255)),Assumptions!$D$5,IF(ISNUMBER(SEARCH(Assumptions!$C$6,G4255)),Assumptions!$D$6,IF(ISNUMBER(SEARCH(Assumptions!$C$7,G4255)),Assumptions!$D$7,"Other Services"))),"Other Services"))</f>
        <v/>
      </c>
    </row>
    <row r="4256" customFormat="false" ht="15" hidden="false" customHeight="false" outlineLevel="0" collapsed="false">
      <c r="E4256" s="41" t="str">
        <f aca="false">IF(D4256="","",IFERROR(VLOOKUP(D4256,Assumptions!$G$5:$H$16,2,0),"Other"))</f>
        <v/>
      </c>
      <c r="J4256" s="41" t="str">
        <f aca="false">IF(G4256="","",IFERROR(IF(ISNUMBER(SEARCH(Assumptions!$C$5,G4256)),Assumptions!$D$5,IF(ISNUMBER(SEARCH(Assumptions!$C$6,G4256)),Assumptions!$D$6,IF(ISNUMBER(SEARCH(Assumptions!$C$7,G4256)),Assumptions!$D$7,"Other Services"))),"Other Services"))</f>
        <v/>
      </c>
    </row>
    <row r="4257" customFormat="false" ht="15" hidden="false" customHeight="false" outlineLevel="0" collapsed="false">
      <c r="E4257" s="41" t="str">
        <f aca="false">IF(D4257="","",IFERROR(VLOOKUP(D4257,Assumptions!$G$5:$H$16,2,0),"Other"))</f>
        <v/>
      </c>
      <c r="J4257" s="41" t="str">
        <f aca="false">IF(G4257="","",IFERROR(IF(ISNUMBER(SEARCH(Assumptions!$C$5,G4257)),Assumptions!$D$5,IF(ISNUMBER(SEARCH(Assumptions!$C$6,G4257)),Assumptions!$D$6,IF(ISNUMBER(SEARCH(Assumptions!$C$7,G4257)),Assumptions!$D$7,"Other Services"))),"Other Services"))</f>
        <v/>
      </c>
    </row>
    <row r="4258" customFormat="false" ht="15" hidden="false" customHeight="false" outlineLevel="0" collapsed="false">
      <c r="E4258" s="41" t="str">
        <f aca="false">IF(D4258="","",IFERROR(VLOOKUP(D4258,Assumptions!$G$5:$H$16,2,0),"Other"))</f>
        <v/>
      </c>
      <c r="J4258" s="41" t="str">
        <f aca="false">IF(G4258="","",IFERROR(IF(ISNUMBER(SEARCH(Assumptions!$C$5,G4258)),Assumptions!$D$5,IF(ISNUMBER(SEARCH(Assumptions!$C$6,G4258)),Assumptions!$D$6,IF(ISNUMBER(SEARCH(Assumptions!$C$7,G4258)),Assumptions!$D$7,"Other Services"))),"Other Services"))</f>
        <v/>
      </c>
    </row>
    <row r="4259" customFormat="false" ht="15" hidden="false" customHeight="false" outlineLevel="0" collapsed="false">
      <c r="E4259" s="41" t="str">
        <f aca="false">IF(D4259="","",IFERROR(VLOOKUP(D4259,Assumptions!$G$5:$H$16,2,0),"Other"))</f>
        <v/>
      </c>
      <c r="J4259" s="41" t="str">
        <f aca="false">IF(G4259="","",IFERROR(IF(ISNUMBER(SEARCH(Assumptions!$C$5,G4259)),Assumptions!$D$5,IF(ISNUMBER(SEARCH(Assumptions!$C$6,G4259)),Assumptions!$D$6,IF(ISNUMBER(SEARCH(Assumptions!$C$7,G4259)),Assumptions!$D$7,"Other Services"))),"Other Services"))</f>
        <v/>
      </c>
    </row>
    <row r="4260" customFormat="false" ht="15" hidden="false" customHeight="false" outlineLevel="0" collapsed="false">
      <c r="E4260" s="41" t="str">
        <f aca="false">IF(D4260="","",IFERROR(VLOOKUP(D4260,Assumptions!$G$5:$H$16,2,0),"Other"))</f>
        <v/>
      </c>
      <c r="J4260" s="41" t="str">
        <f aca="false">IF(G4260="","",IFERROR(IF(ISNUMBER(SEARCH(Assumptions!$C$5,G4260)),Assumptions!$D$5,IF(ISNUMBER(SEARCH(Assumptions!$C$6,G4260)),Assumptions!$D$6,IF(ISNUMBER(SEARCH(Assumptions!$C$7,G4260)),Assumptions!$D$7,"Other Services"))),"Other Services"))</f>
        <v/>
      </c>
    </row>
    <row r="4261" customFormat="false" ht="15" hidden="false" customHeight="false" outlineLevel="0" collapsed="false">
      <c r="E4261" s="41" t="str">
        <f aca="false">IF(D4261="","",IFERROR(VLOOKUP(D4261,Assumptions!$G$5:$H$16,2,0),"Other"))</f>
        <v/>
      </c>
      <c r="J4261" s="41" t="str">
        <f aca="false">IF(G4261="","",IFERROR(IF(ISNUMBER(SEARCH(Assumptions!$C$5,G4261)),Assumptions!$D$5,IF(ISNUMBER(SEARCH(Assumptions!$C$6,G4261)),Assumptions!$D$6,IF(ISNUMBER(SEARCH(Assumptions!$C$7,G4261)),Assumptions!$D$7,"Other Services"))),"Other Services"))</f>
        <v/>
      </c>
    </row>
    <row r="4262" customFormat="false" ht="15" hidden="false" customHeight="false" outlineLevel="0" collapsed="false">
      <c r="E4262" s="41" t="str">
        <f aca="false">IF(D4262="","",IFERROR(VLOOKUP(D4262,Assumptions!$G$5:$H$16,2,0),"Other"))</f>
        <v/>
      </c>
      <c r="J4262" s="41" t="str">
        <f aca="false">IF(G4262="","",IFERROR(IF(ISNUMBER(SEARCH(Assumptions!$C$5,G4262)),Assumptions!$D$5,IF(ISNUMBER(SEARCH(Assumptions!$C$6,G4262)),Assumptions!$D$6,IF(ISNUMBER(SEARCH(Assumptions!$C$7,G4262)),Assumptions!$D$7,"Other Services"))),"Other Services"))</f>
        <v/>
      </c>
    </row>
    <row r="4263" customFormat="false" ht="15" hidden="false" customHeight="false" outlineLevel="0" collapsed="false">
      <c r="E4263" s="41" t="str">
        <f aca="false">IF(D4263="","",IFERROR(VLOOKUP(D4263,Assumptions!$G$5:$H$16,2,0),"Other"))</f>
        <v/>
      </c>
      <c r="J4263" s="41" t="str">
        <f aca="false">IF(G4263="","",IFERROR(IF(ISNUMBER(SEARCH(Assumptions!$C$5,G4263)),Assumptions!$D$5,IF(ISNUMBER(SEARCH(Assumptions!$C$6,G4263)),Assumptions!$D$6,IF(ISNUMBER(SEARCH(Assumptions!$C$7,G4263)),Assumptions!$D$7,"Other Services"))),"Other Services"))</f>
        <v/>
      </c>
    </row>
    <row r="4264" customFormat="false" ht="15" hidden="false" customHeight="false" outlineLevel="0" collapsed="false">
      <c r="E4264" s="41" t="str">
        <f aca="false">IF(D4264="","",IFERROR(VLOOKUP(D4264,Assumptions!$G$5:$H$16,2,0),"Other"))</f>
        <v/>
      </c>
      <c r="J4264" s="41" t="str">
        <f aca="false">IF(G4264="","",IFERROR(IF(ISNUMBER(SEARCH(Assumptions!$C$5,G4264)),Assumptions!$D$5,IF(ISNUMBER(SEARCH(Assumptions!$C$6,G4264)),Assumptions!$D$6,IF(ISNUMBER(SEARCH(Assumptions!$C$7,G4264)),Assumptions!$D$7,"Other Services"))),"Other Services"))</f>
        <v/>
      </c>
    </row>
    <row r="4265" customFormat="false" ht="15" hidden="false" customHeight="false" outlineLevel="0" collapsed="false">
      <c r="E4265" s="41" t="str">
        <f aca="false">IF(D4265="","",IFERROR(VLOOKUP(D4265,Assumptions!$G$5:$H$16,2,0),"Other"))</f>
        <v/>
      </c>
      <c r="J4265" s="41" t="str">
        <f aca="false">IF(G4265="","",IFERROR(IF(ISNUMBER(SEARCH(Assumptions!$C$5,G4265)),Assumptions!$D$5,IF(ISNUMBER(SEARCH(Assumptions!$C$6,G4265)),Assumptions!$D$6,IF(ISNUMBER(SEARCH(Assumptions!$C$7,G4265)),Assumptions!$D$7,"Other Services"))),"Other Services"))</f>
        <v/>
      </c>
    </row>
    <row r="4266" customFormat="false" ht="15" hidden="false" customHeight="false" outlineLevel="0" collapsed="false">
      <c r="E4266" s="41" t="str">
        <f aca="false">IF(D4266="","",IFERROR(VLOOKUP(D4266,Assumptions!$G$5:$H$16,2,0),"Other"))</f>
        <v/>
      </c>
      <c r="J4266" s="41" t="str">
        <f aca="false">IF(G4266="","",IFERROR(IF(ISNUMBER(SEARCH(Assumptions!$C$5,G4266)),Assumptions!$D$5,IF(ISNUMBER(SEARCH(Assumptions!$C$6,G4266)),Assumptions!$D$6,IF(ISNUMBER(SEARCH(Assumptions!$C$7,G4266)),Assumptions!$D$7,"Other Services"))),"Other Services"))</f>
        <v/>
      </c>
    </row>
    <row r="4267" customFormat="false" ht="15" hidden="false" customHeight="false" outlineLevel="0" collapsed="false">
      <c r="E4267" s="41" t="str">
        <f aca="false">IF(D4267="","",IFERROR(VLOOKUP(D4267,Assumptions!$G$5:$H$16,2,0),"Other"))</f>
        <v/>
      </c>
      <c r="J4267" s="41" t="str">
        <f aca="false">IF(G4267="","",IFERROR(IF(ISNUMBER(SEARCH(Assumptions!$C$5,G4267)),Assumptions!$D$5,IF(ISNUMBER(SEARCH(Assumptions!$C$6,G4267)),Assumptions!$D$6,IF(ISNUMBER(SEARCH(Assumptions!$C$7,G4267)),Assumptions!$D$7,"Other Services"))),"Other Services"))</f>
        <v/>
      </c>
    </row>
    <row r="4268" customFormat="false" ht="15" hidden="false" customHeight="false" outlineLevel="0" collapsed="false">
      <c r="E4268" s="41" t="str">
        <f aca="false">IF(D4268="","",IFERROR(VLOOKUP(D4268,Assumptions!$G$5:$H$16,2,0),"Other"))</f>
        <v/>
      </c>
      <c r="J4268" s="41" t="str">
        <f aca="false">IF(G4268="","",IFERROR(IF(ISNUMBER(SEARCH(Assumptions!$C$5,G4268)),Assumptions!$D$5,IF(ISNUMBER(SEARCH(Assumptions!$C$6,G4268)),Assumptions!$D$6,IF(ISNUMBER(SEARCH(Assumptions!$C$7,G4268)),Assumptions!$D$7,"Other Services"))),"Other Services"))</f>
        <v/>
      </c>
    </row>
    <row r="4269" customFormat="false" ht="15" hidden="false" customHeight="false" outlineLevel="0" collapsed="false">
      <c r="E4269" s="41" t="str">
        <f aca="false">IF(D4269="","",IFERROR(VLOOKUP(D4269,Assumptions!$G$5:$H$16,2,0),"Other"))</f>
        <v/>
      </c>
      <c r="J4269" s="41" t="str">
        <f aca="false">IF(G4269="","",IFERROR(IF(ISNUMBER(SEARCH(Assumptions!$C$5,G4269)),Assumptions!$D$5,IF(ISNUMBER(SEARCH(Assumptions!$C$6,G4269)),Assumptions!$D$6,IF(ISNUMBER(SEARCH(Assumptions!$C$7,G4269)),Assumptions!$D$7,"Other Services"))),"Other Services"))</f>
        <v/>
      </c>
    </row>
    <row r="4270" customFormat="false" ht="15" hidden="false" customHeight="false" outlineLevel="0" collapsed="false">
      <c r="E4270" s="41" t="str">
        <f aca="false">IF(D4270="","",IFERROR(VLOOKUP(D4270,Assumptions!$G$5:$H$16,2,0),"Other"))</f>
        <v/>
      </c>
      <c r="J4270" s="41" t="str">
        <f aca="false">IF(G4270="","",IFERROR(IF(ISNUMBER(SEARCH(Assumptions!$C$5,G4270)),Assumptions!$D$5,IF(ISNUMBER(SEARCH(Assumptions!$C$6,G4270)),Assumptions!$D$6,IF(ISNUMBER(SEARCH(Assumptions!$C$7,G4270)),Assumptions!$D$7,"Other Services"))),"Other Services"))</f>
        <v/>
      </c>
    </row>
    <row r="4271" customFormat="false" ht="15" hidden="false" customHeight="false" outlineLevel="0" collapsed="false">
      <c r="E4271" s="41" t="str">
        <f aca="false">IF(D4271="","",IFERROR(VLOOKUP(D4271,Assumptions!$G$5:$H$16,2,0),"Other"))</f>
        <v/>
      </c>
      <c r="J4271" s="41" t="str">
        <f aca="false">IF(G4271="","",IFERROR(IF(ISNUMBER(SEARCH(Assumptions!$C$5,G4271)),Assumptions!$D$5,IF(ISNUMBER(SEARCH(Assumptions!$C$6,G4271)),Assumptions!$D$6,IF(ISNUMBER(SEARCH(Assumptions!$C$7,G4271)),Assumptions!$D$7,"Other Services"))),"Other Services"))</f>
        <v/>
      </c>
    </row>
    <row r="4272" customFormat="false" ht="15" hidden="false" customHeight="false" outlineLevel="0" collapsed="false">
      <c r="E4272" s="41" t="str">
        <f aca="false">IF(D4272="","",IFERROR(VLOOKUP(D4272,Assumptions!$G$5:$H$16,2,0),"Other"))</f>
        <v/>
      </c>
      <c r="J4272" s="41" t="str">
        <f aca="false">IF(G4272="","",IFERROR(IF(ISNUMBER(SEARCH(Assumptions!$C$5,G4272)),Assumptions!$D$5,IF(ISNUMBER(SEARCH(Assumptions!$C$6,G4272)),Assumptions!$D$6,IF(ISNUMBER(SEARCH(Assumptions!$C$7,G4272)),Assumptions!$D$7,"Other Services"))),"Other Services"))</f>
        <v/>
      </c>
    </row>
    <row r="4273" customFormat="false" ht="15" hidden="false" customHeight="false" outlineLevel="0" collapsed="false">
      <c r="E4273" s="41" t="str">
        <f aca="false">IF(D4273="","",IFERROR(VLOOKUP(D4273,Assumptions!$G$5:$H$16,2,0),"Other"))</f>
        <v/>
      </c>
      <c r="J4273" s="41" t="str">
        <f aca="false">IF(G4273="","",IFERROR(IF(ISNUMBER(SEARCH(Assumptions!$C$5,G4273)),Assumptions!$D$5,IF(ISNUMBER(SEARCH(Assumptions!$C$6,G4273)),Assumptions!$D$6,IF(ISNUMBER(SEARCH(Assumptions!$C$7,G4273)),Assumptions!$D$7,"Other Services"))),"Other Services"))</f>
        <v/>
      </c>
    </row>
    <row r="4274" customFormat="false" ht="15" hidden="false" customHeight="false" outlineLevel="0" collapsed="false">
      <c r="E4274" s="41" t="str">
        <f aca="false">IF(D4274="","",IFERROR(VLOOKUP(D4274,Assumptions!$G$5:$H$16,2,0),"Other"))</f>
        <v/>
      </c>
      <c r="J4274" s="41" t="str">
        <f aca="false">IF(G4274="","",IFERROR(IF(ISNUMBER(SEARCH(Assumptions!$C$5,G4274)),Assumptions!$D$5,IF(ISNUMBER(SEARCH(Assumptions!$C$6,G4274)),Assumptions!$D$6,IF(ISNUMBER(SEARCH(Assumptions!$C$7,G4274)),Assumptions!$D$7,"Other Services"))),"Other Services"))</f>
        <v/>
      </c>
    </row>
    <row r="4275" customFormat="false" ht="15" hidden="false" customHeight="false" outlineLevel="0" collapsed="false">
      <c r="E4275" s="41" t="str">
        <f aca="false">IF(D4275="","",IFERROR(VLOOKUP(D4275,Assumptions!$G$5:$H$16,2,0),"Other"))</f>
        <v/>
      </c>
      <c r="J4275" s="41" t="str">
        <f aca="false">IF(G4275="","",IFERROR(IF(ISNUMBER(SEARCH(Assumptions!$C$5,G4275)),Assumptions!$D$5,IF(ISNUMBER(SEARCH(Assumptions!$C$6,G4275)),Assumptions!$D$6,IF(ISNUMBER(SEARCH(Assumptions!$C$7,G4275)),Assumptions!$D$7,"Other Services"))),"Other Services"))</f>
        <v/>
      </c>
    </row>
    <row r="4276" customFormat="false" ht="15" hidden="false" customHeight="false" outlineLevel="0" collapsed="false">
      <c r="E4276" s="41" t="str">
        <f aca="false">IF(D4276="","",IFERROR(VLOOKUP(D4276,Assumptions!$G$5:$H$16,2,0),"Other"))</f>
        <v/>
      </c>
      <c r="J4276" s="41" t="str">
        <f aca="false">IF(G4276="","",IFERROR(IF(ISNUMBER(SEARCH(Assumptions!$C$5,G4276)),Assumptions!$D$5,IF(ISNUMBER(SEARCH(Assumptions!$C$6,G4276)),Assumptions!$D$6,IF(ISNUMBER(SEARCH(Assumptions!$C$7,G4276)),Assumptions!$D$7,"Other Services"))),"Other Services"))</f>
        <v/>
      </c>
    </row>
    <row r="4277" customFormat="false" ht="15" hidden="false" customHeight="false" outlineLevel="0" collapsed="false">
      <c r="E4277" s="41" t="str">
        <f aca="false">IF(D4277="","",IFERROR(VLOOKUP(D4277,Assumptions!$G$5:$H$16,2,0),"Other"))</f>
        <v/>
      </c>
      <c r="J4277" s="41" t="str">
        <f aca="false">IF(G4277="","",IFERROR(IF(ISNUMBER(SEARCH(Assumptions!$C$5,G4277)),Assumptions!$D$5,IF(ISNUMBER(SEARCH(Assumptions!$C$6,G4277)),Assumptions!$D$6,IF(ISNUMBER(SEARCH(Assumptions!$C$7,G4277)),Assumptions!$D$7,"Other Services"))),"Other Services"))</f>
        <v/>
      </c>
    </row>
    <row r="4278" customFormat="false" ht="15" hidden="false" customHeight="false" outlineLevel="0" collapsed="false">
      <c r="E4278" s="41" t="str">
        <f aca="false">IF(D4278="","",IFERROR(VLOOKUP(D4278,Assumptions!$G$5:$H$16,2,0),"Other"))</f>
        <v/>
      </c>
      <c r="J4278" s="41" t="str">
        <f aca="false">IF(G4278="","",IFERROR(IF(ISNUMBER(SEARCH(Assumptions!$C$5,G4278)),Assumptions!$D$5,IF(ISNUMBER(SEARCH(Assumptions!$C$6,G4278)),Assumptions!$D$6,IF(ISNUMBER(SEARCH(Assumptions!$C$7,G4278)),Assumptions!$D$7,"Other Services"))),"Other Services"))</f>
        <v/>
      </c>
    </row>
    <row r="4279" customFormat="false" ht="15" hidden="false" customHeight="false" outlineLevel="0" collapsed="false">
      <c r="E4279" s="41" t="str">
        <f aca="false">IF(D4279="","",IFERROR(VLOOKUP(D4279,Assumptions!$G$5:$H$16,2,0),"Other"))</f>
        <v/>
      </c>
      <c r="J4279" s="41" t="str">
        <f aca="false">IF(G4279="","",IFERROR(IF(ISNUMBER(SEARCH(Assumptions!$C$5,G4279)),Assumptions!$D$5,IF(ISNUMBER(SEARCH(Assumptions!$C$6,G4279)),Assumptions!$D$6,IF(ISNUMBER(SEARCH(Assumptions!$C$7,G4279)),Assumptions!$D$7,"Other Services"))),"Other Services"))</f>
        <v/>
      </c>
    </row>
    <row r="4280" customFormat="false" ht="15" hidden="false" customHeight="false" outlineLevel="0" collapsed="false">
      <c r="E4280" s="41" t="str">
        <f aca="false">IF(D4280="","",IFERROR(VLOOKUP(D4280,Assumptions!$G$5:$H$16,2,0),"Other"))</f>
        <v/>
      </c>
      <c r="J4280" s="41" t="str">
        <f aca="false">IF(G4280="","",IFERROR(IF(ISNUMBER(SEARCH(Assumptions!$C$5,G4280)),Assumptions!$D$5,IF(ISNUMBER(SEARCH(Assumptions!$C$6,G4280)),Assumptions!$D$6,IF(ISNUMBER(SEARCH(Assumptions!$C$7,G4280)),Assumptions!$D$7,"Other Services"))),"Other Services"))</f>
        <v/>
      </c>
    </row>
    <row r="4281" customFormat="false" ht="15" hidden="false" customHeight="false" outlineLevel="0" collapsed="false">
      <c r="E4281" s="41" t="str">
        <f aca="false">IF(D4281="","",IFERROR(VLOOKUP(D4281,Assumptions!$G$5:$H$16,2,0),"Other"))</f>
        <v/>
      </c>
      <c r="J4281" s="41" t="str">
        <f aca="false">IF(G4281="","",IFERROR(IF(ISNUMBER(SEARCH(Assumptions!$C$5,G4281)),Assumptions!$D$5,IF(ISNUMBER(SEARCH(Assumptions!$C$6,G4281)),Assumptions!$D$6,IF(ISNUMBER(SEARCH(Assumptions!$C$7,G4281)),Assumptions!$D$7,"Other Services"))),"Other Services"))</f>
        <v/>
      </c>
    </row>
    <row r="4282" customFormat="false" ht="15" hidden="false" customHeight="false" outlineLevel="0" collapsed="false">
      <c r="E4282" s="41" t="str">
        <f aca="false">IF(D4282="","",IFERROR(VLOOKUP(D4282,Assumptions!$G$5:$H$16,2,0),"Other"))</f>
        <v/>
      </c>
      <c r="J4282" s="41" t="str">
        <f aca="false">IF(G4282="","",IFERROR(IF(ISNUMBER(SEARCH(Assumptions!$C$5,G4282)),Assumptions!$D$5,IF(ISNUMBER(SEARCH(Assumptions!$C$6,G4282)),Assumptions!$D$6,IF(ISNUMBER(SEARCH(Assumptions!$C$7,G4282)),Assumptions!$D$7,"Other Services"))),"Other Services"))</f>
        <v/>
      </c>
    </row>
    <row r="4283" customFormat="false" ht="15" hidden="false" customHeight="false" outlineLevel="0" collapsed="false">
      <c r="E4283" s="41" t="str">
        <f aca="false">IF(D4283="","",IFERROR(VLOOKUP(D4283,Assumptions!$G$5:$H$16,2,0),"Other"))</f>
        <v/>
      </c>
      <c r="J4283" s="41" t="str">
        <f aca="false">IF(G4283="","",IFERROR(IF(ISNUMBER(SEARCH(Assumptions!$C$5,G4283)),Assumptions!$D$5,IF(ISNUMBER(SEARCH(Assumptions!$C$6,G4283)),Assumptions!$D$6,IF(ISNUMBER(SEARCH(Assumptions!$C$7,G4283)),Assumptions!$D$7,"Other Services"))),"Other Services"))</f>
        <v/>
      </c>
    </row>
    <row r="4284" customFormat="false" ht="15" hidden="false" customHeight="false" outlineLevel="0" collapsed="false">
      <c r="E4284" s="41" t="str">
        <f aca="false">IF(D4284="","",IFERROR(VLOOKUP(D4284,Assumptions!$G$5:$H$16,2,0),"Other"))</f>
        <v/>
      </c>
      <c r="J4284" s="41" t="str">
        <f aca="false">IF(G4284="","",IFERROR(IF(ISNUMBER(SEARCH(Assumptions!$C$5,G4284)),Assumptions!$D$5,IF(ISNUMBER(SEARCH(Assumptions!$C$6,G4284)),Assumptions!$D$6,IF(ISNUMBER(SEARCH(Assumptions!$C$7,G4284)),Assumptions!$D$7,"Other Services"))),"Other Services"))</f>
        <v/>
      </c>
    </row>
    <row r="4285" customFormat="false" ht="15" hidden="false" customHeight="false" outlineLevel="0" collapsed="false">
      <c r="E4285" s="41" t="str">
        <f aca="false">IF(D4285="","",IFERROR(VLOOKUP(D4285,Assumptions!$G$5:$H$16,2,0),"Other"))</f>
        <v/>
      </c>
      <c r="J4285" s="41" t="str">
        <f aca="false">IF(G4285="","",IFERROR(IF(ISNUMBER(SEARCH(Assumptions!$C$5,G4285)),Assumptions!$D$5,IF(ISNUMBER(SEARCH(Assumptions!$C$6,G4285)),Assumptions!$D$6,IF(ISNUMBER(SEARCH(Assumptions!$C$7,G4285)),Assumptions!$D$7,"Other Services"))),"Other Services"))</f>
        <v/>
      </c>
    </row>
    <row r="4286" customFormat="false" ht="15" hidden="false" customHeight="false" outlineLevel="0" collapsed="false">
      <c r="E4286" s="41" t="str">
        <f aca="false">IF(D4286="","",IFERROR(VLOOKUP(D4286,Assumptions!$G$5:$H$16,2,0),"Other"))</f>
        <v/>
      </c>
      <c r="J4286" s="41" t="str">
        <f aca="false">IF(G4286="","",IFERROR(IF(ISNUMBER(SEARCH(Assumptions!$C$5,G4286)),Assumptions!$D$5,IF(ISNUMBER(SEARCH(Assumptions!$C$6,G4286)),Assumptions!$D$6,IF(ISNUMBER(SEARCH(Assumptions!$C$7,G4286)),Assumptions!$D$7,"Other Services"))),"Other Services"))</f>
        <v/>
      </c>
    </row>
    <row r="4287" customFormat="false" ht="15" hidden="false" customHeight="false" outlineLevel="0" collapsed="false">
      <c r="E4287" s="41" t="str">
        <f aca="false">IF(D4287="","",IFERROR(VLOOKUP(D4287,Assumptions!$G$5:$H$16,2,0),"Other"))</f>
        <v/>
      </c>
      <c r="J4287" s="41" t="str">
        <f aca="false">IF(G4287="","",IFERROR(IF(ISNUMBER(SEARCH(Assumptions!$C$5,G4287)),Assumptions!$D$5,IF(ISNUMBER(SEARCH(Assumptions!$C$6,G4287)),Assumptions!$D$6,IF(ISNUMBER(SEARCH(Assumptions!$C$7,G4287)),Assumptions!$D$7,"Other Services"))),"Other Services"))</f>
        <v/>
      </c>
    </row>
    <row r="4288" customFormat="false" ht="15" hidden="false" customHeight="false" outlineLevel="0" collapsed="false">
      <c r="E4288" s="41" t="str">
        <f aca="false">IF(D4288="","",IFERROR(VLOOKUP(D4288,Assumptions!$G$5:$H$16,2,0),"Other"))</f>
        <v/>
      </c>
      <c r="J4288" s="41" t="str">
        <f aca="false">IF(G4288="","",IFERROR(IF(ISNUMBER(SEARCH(Assumptions!$C$5,G4288)),Assumptions!$D$5,IF(ISNUMBER(SEARCH(Assumptions!$C$6,G4288)),Assumptions!$D$6,IF(ISNUMBER(SEARCH(Assumptions!$C$7,G4288)),Assumptions!$D$7,"Other Services"))),"Other Services"))</f>
        <v/>
      </c>
    </row>
    <row r="4289" customFormat="false" ht="15" hidden="false" customHeight="false" outlineLevel="0" collapsed="false">
      <c r="E4289" s="41" t="str">
        <f aca="false">IF(D4289="","",IFERROR(VLOOKUP(D4289,Assumptions!$G$5:$H$16,2,0),"Other"))</f>
        <v/>
      </c>
      <c r="J4289" s="41" t="str">
        <f aca="false">IF(G4289="","",IFERROR(IF(ISNUMBER(SEARCH(Assumptions!$C$5,G4289)),Assumptions!$D$5,IF(ISNUMBER(SEARCH(Assumptions!$C$6,G4289)),Assumptions!$D$6,IF(ISNUMBER(SEARCH(Assumptions!$C$7,G4289)),Assumptions!$D$7,"Other Services"))),"Other Services"))</f>
        <v/>
      </c>
    </row>
    <row r="4290" customFormat="false" ht="15" hidden="false" customHeight="false" outlineLevel="0" collapsed="false">
      <c r="E4290" s="41" t="str">
        <f aca="false">IF(D4290="","",IFERROR(VLOOKUP(D4290,Assumptions!$G$5:$H$16,2,0),"Other"))</f>
        <v/>
      </c>
      <c r="J4290" s="41" t="str">
        <f aca="false">IF(G4290="","",IFERROR(IF(ISNUMBER(SEARCH(Assumptions!$C$5,G4290)),Assumptions!$D$5,IF(ISNUMBER(SEARCH(Assumptions!$C$6,G4290)),Assumptions!$D$6,IF(ISNUMBER(SEARCH(Assumptions!$C$7,G4290)),Assumptions!$D$7,"Other Services"))),"Other Services"))</f>
        <v/>
      </c>
    </row>
    <row r="4291" customFormat="false" ht="15" hidden="false" customHeight="false" outlineLevel="0" collapsed="false">
      <c r="E4291" s="41" t="str">
        <f aca="false">IF(D4291="","",IFERROR(VLOOKUP(D4291,Assumptions!$G$5:$H$16,2,0),"Other"))</f>
        <v/>
      </c>
      <c r="J4291" s="41" t="str">
        <f aca="false">IF(G4291="","",IFERROR(IF(ISNUMBER(SEARCH(Assumptions!$C$5,G4291)),Assumptions!$D$5,IF(ISNUMBER(SEARCH(Assumptions!$C$6,G4291)),Assumptions!$D$6,IF(ISNUMBER(SEARCH(Assumptions!$C$7,G4291)),Assumptions!$D$7,"Other Services"))),"Other Services"))</f>
        <v/>
      </c>
    </row>
    <row r="4292" customFormat="false" ht="15" hidden="false" customHeight="false" outlineLevel="0" collapsed="false">
      <c r="E4292" s="41" t="str">
        <f aca="false">IF(D4292="","",IFERROR(VLOOKUP(D4292,Assumptions!$G$5:$H$16,2,0),"Other"))</f>
        <v/>
      </c>
      <c r="J4292" s="41" t="str">
        <f aca="false">IF(G4292="","",IFERROR(IF(ISNUMBER(SEARCH(Assumptions!$C$5,G4292)),Assumptions!$D$5,IF(ISNUMBER(SEARCH(Assumptions!$C$6,G4292)),Assumptions!$D$6,IF(ISNUMBER(SEARCH(Assumptions!$C$7,G4292)),Assumptions!$D$7,"Other Services"))),"Other Services"))</f>
        <v/>
      </c>
    </row>
    <row r="4293" customFormat="false" ht="15" hidden="false" customHeight="false" outlineLevel="0" collapsed="false">
      <c r="E4293" s="41" t="str">
        <f aca="false">IF(D4293="","",IFERROR(VLOOKUP(D4293,Assumptions!$G$5:$H$16,2,0),"Other"))</f>
        <v/>
      </c>
      <c r="J4293" s="41" t="str">
        <f aca="false">IF(G4293="","",IFERROR(IF(ISNUMBER(SEARCH(Assumptions!$C$5,G4293)),Assumptions!$D$5,IF(ISNUMBER(SEARCH(Assumptions!$C$6,G4293)),Assumptions!$D$6,IF(ISNUMBER(SEARCH(Assumptions!$C$7,G4293)),Assumptions!$D$7,"Other Services"))),"Other Services"))</f>
        <v/>
      </c>
    </row>
    <row r="4294" customFormat="false" ht="15" hidden="false" customHeight="false" outlineLevel="0" collapsed="false">
      <c r="E4294" s="41" t="str">
        <f aca="false">IF(D4294="","",IFERROR(VLOOKUP(D4294,Assumptions!$G$5:$H$16,2,0),"Other"))</f>
        <v/>
      </c>
      <c r="J4294" s="41" t="str">
        <f aca="false">IF(G4294="","",IFERROR(IF(ISNUMBER(SEARCH(Assumptions!$C$5,G4294)),Assumptions!$D$5,IF(ISNUMBER(SEARCH(Assumptions!$C$6,G4294)),Assumptions!$D$6,IF(ISNUMBER(SEARCH(Assumptions!$C$7,G4294)),Assumptions!$D$7,"Other Services"))),"Other Services"))</f>
        <v/>
      </c>
    </row>
    <row r="4295" customFormat="false" ht="15" hidden="false" customHeight="false" outlineLevel="0" collapsed="false">
      <c r="E4295" s="41" t="str">
        <f aca="false">IF(D4295="","",IFERROR(VLOOKUP(D4295,Assumptions!$G$5:$H$16,2,0),"Other"))</f>
        <v/>
      </c>
      <c r="J4295" s="41" t="str">
        <f aca="false">IF(G4295="","",IFERROR(IF(ISNUMBER(SEARCH(Assumptions!$C$5,G4295)),Assumptions!$D$5,IF(ISNUMBER(SEARCH(Assumptions!$C$6,G4295)),Assumptions!$D$6,IF(ISNUMBER(SEARCH(Assumptions!$C$7,G4295)),Assumptions!$D$7,"Other Services"))),"Other Services"))</f>
        <v/>
      </c>
    </row>
    <row r="4296" customFormat="false" ht="15" hidden="false" customHeight="false" outlineLevel="0" collapsed="false">
      <c r="E4296" s="41" t="str">
        <f aca="false">IF(D4296="","",IFERROR(VLOOKUP(D4296,Assumptions!$G$5:$H$16,2,0),"Other"))</f>
        <v/>
      </c>
      <c r="J4296" s="41" t="str">
        <f aca="false">IF(G4296="","",IFERROR(IF(ISNUMBER(SEARCH(Assumptions!$C$5,G4296)),Assumptions!$D$5,IF(ISNUMBER(SEARCH(Assumptions!$C$6,G4296)),Assumptions!$D$6,IF(ISNUMBER(SEARCH(Assumptions!$C$7,G4296)),Assumptions!$D$7,"Other Services"))),"Other Services"))</f>
        <v/>
      </c>
    </row>
    <row r="4297" customFormat="false" ht="15" hidden="false" customHeight="false" outlineLevel="0" collapsed="false">
      <c r="E4297" s="41" t="str">
        <f aca="false">IF(D4297="","",IFERROR(VLOOKUP(D4297,Assumptions!$G$5:$H$16,2,0),"Other"))</f>
        <v/>
      </c>
      <c r="J4297" s="41" t="str">
        <f aca="false">IF(G4297="","",IFERROR(IF(ISNUMBER(SEARCH(Assumptions!$C$5,G4297)),Assumptions!$D$5,IF(ISNUMBER(SEARCH(Assumptions!$C$6,G4297)),Assumptions!$D$6,IF(ISNUMBER(SEARCH(Assumptions!$C$7,G4297)),Assumptions!$D$7,"Other Services"))),"Other Services"))</f>
        <v/>
      </c>
    </row>
    <row r="4298" customFormat="false" ht="15" hidden="false" customHeight="false" outlineLevel="0" collapsed="false">
      <c r="E4298" s="41" t="str">
        <f aca="false">IF(D4298="","",IFERROR(VLOOKUP(D4298,Assumptions!$G$5:$H$16,2,0),"Other"))</f>
        <v/>
      </c>
      <c r="J4298" s="41" t="str">
        <f aca="false">IF(G4298="","",IFERROR(IF(ISNUMBER(SEARCH(Assumptions!$C$5,G4298)),Assumptions!$D$5,IF(ISNUMBER(SEARCH(Assumptions!$C$6,G4298)),Assumptions!$D$6,IF(ISNUMBER(SEARCH(Assumptions!$C$7,G4298)),Assumptions!$D$7,"Other Services"))),"Other Services"))</f>
        <v/>
      </c>
    </row>
    <row r="4299" customFormat="false" ht="15" hidden="false" customHeight="false" outlineLevel="0" collapsed="false">
      <c r="E4299" s="41" t="str">
        <f aca="false">IF(D4299="","",IFERROR(VLOOKUP(D4299,Assumptions!$G$5:$H$16,2,0),"Other"))</f>
        <v/>
      </c>
      <c r="J4299" s="41" t="str">
        <f aca="false">IF(G4299="","",IFERROR(IF(ISNUMBER(SEARCH(Assumptions!$C$5,G4299)),Assumptions!$D$5,IF(ISNUMBER(SEARCH(Assumptions!$C$6,G4299)),Assumptions!$D$6,IF(ISNUMBER(SEARCH(Assumptions!$C$7,G4299)),Assumptions!$D$7,"Other Services"))),"Other Services"))</f>
        <v/>
      </c>
    </row>
    <row r="4300" customFormat="false" ht="15" hidden="false" customHeight="false" outlineLevel="0" collapsed="false">
      <c r="E4300" s="41" t="str">
        <f aca="false">IF(D4300="","",IFERROR(VLOOKUP(D4300,Assumptions!$G$5:$H$16,2,0),"Other"))</f>
        <v/>
      </c>
      <c r="J4300" s="41" t="str">
        <f aca="false">IF(G4300="","",IFERROR(IF(ISNUMBER(SEARCH(Assumptions!$C$5,G4300)),Assumptions!$D$5,IF(ISNUMBER(SEARCH(Assumptions!$C$6,G4300)),Assumptions!$D$6,IF(ISNUMBER(SEARCH(Assumptions!$C$7,G4300)),Assumptions!$D$7,"Other Services"))),"Other Services"))</f>
        <v/>
      </c>
    </row>
    <row r="4301" customFormat="false" ht="15" hidden="false" customHeight="false" outlineLevel="0" collapsed="false">
      <c r="E4301" s="41" t="str">
        <f aca="false">IF(D4301="","",IFERROR(VLOOKUP(D4301,Assumptions!$G$5:$H$16,2,0),"Other"))</f>
        <v/>
      </c>
      <c r="J4301" s="41" t="str">
        <f aca="false">IF(G4301="","",IFERROR(IF(ISNUMBER(SEARCH(Assumptions!$C$5,G4301)),Assumptions!$D$5,IF(ISNUMBER(SEARCH(Assumptions!$C$6,G4301)),Assumptions!$D$6,IF(ISNUMBER(SEARCH(Assumptions!$C$7,G4301)),Assumptions!$D$7,"Other Services"))),"Other Services"))</f>
        <v/>
      </c>
    </row>
    <row r="4302" customFormat="false" ht="15" hidden="false" customHeight="false" outlineLevel="0" collapsed="false">
      <c r="E4302" s="41" t="str">
        <f aca="false">IF(D4302="","",IFERROR(VLOOKUP(D4302,Assumptions!$G$5:$H$16,2,0),"Other"))</f>
        <v/>
      </c>
      <c r="J4302" s="41" t="str">
        <f aca="false">IF(G4302="","",IFERROR(IF(ISNUMBER(SEARCH(Assumptions!$C$5,G4302)),Assumptions!$D$5,IF(ISNUMBER(SEARCH(Assumptions!$C$6,G4302)),Assumptions!$D$6,IF(ISNUMBER(SEARCH(Assumptions!$C$7,G4302)),Assumptions!$D$7,"Other Services"))),"Other Services"))</f>
        <v/>
      </c>
    </row>
    <row r="4303" customFormat="false" ht="15" hidden="false" customHeight="false" outlineLevel="0" collapsed="false">
      <c r="E4303" s="41" t="str">
        <f aca="false">IF(D4303="","",IFERROR(VLOOKUP(D4303,Assumptions!$G$5:$H$16,2,0),"Other"))</f>
        <v/>
      </c>
      <c r="J4303" s="41" t="str">
        <f aca="false">IF(G4303="","",IFERROR(IF(ISNUMBER(SEARCH(Assumptions!$C$5,G4303)),Assumptions!$D$5,IF(ISNUMBER(SEARCH(Assumptions!$C$6,G4303)),Assumptions!$D$6,IF(ISNUMBER(SEARCH(Assumptions!$C$7,G4303)),Assumptions!$D$7,"Other Services"))),"Other Services"))</f>
        <v/>
      </c>
    </row>
    <row r="4304" customFormat="false" ht="15" hidden="false" customHeight="false" outlineLevel="0" collapsed="false">
      <c r="E4304" s="41" t="str">
        <f aca="false">IF(D4304="","",IFERROR(VLOOKUP(D4304,Assumptions!$G$5:$H$16,2,0),"Other"))</f>
        <v/>
      </c>
      <c r="J4304" s="41" t="str">
        <f aca="false">IF(G4304="","",IFERROR(IF(ISNUMBER(SEARCH(Assumptions!$C$5,G4304)),Assumptions!$D$5,IF(ISNUMBER(SEARCH(Assumptions!$C$6,G4304)),Assumptions!$D$6,IF(ISNUMBER(SEARCH(Assumptions!$C$7,G4304)),Assumptions!$D$7,"Other Services"))),"Other Services"))</f>
        <v/>
      </c>
    </row>
    <row r="4305" customFormat="false" ht="15" hidden="false" customHeight="false" outlineLevel="0" collapsed="false">
      <c r="E4305" s="41" t="str">
        <f aca="false">IF(D4305="","",IFERROR(VLOOKUP(D4305,Assumptions!$G$5:$H$16,2,0),"Other"))</f>
        <v/>
      </c>
      <c r="J4305" s="41" t="str">
        <f aca="false">IF(G4305="","",IFERROR(IF(ISNUMBER(SEARCH(Assumptions!$C$5,G4305)),Assumptions!$D$5,IF(ISNUMBER(SEARCH(Assumptions!$C$6,G4305)),Assumptions!$D$6,IF(ISNUMBER(SEARCH(Assumptions!$C$7,G4305)),Assumptions!$D$7,"Other Services"))),"Other Services"))</f>
        <v/>
      </c>
    </row>
    <row r="4306" customFormat="false" ht="15" hidden="false" customHeight="false" outlineLevel="0" collapsed="false">
      <c r="E4306" s="41" t="str">
        <f aca="false">IF(D4306="","",IFERROR(VLOOKUP(D4306,Assumptions!$G$5:$H$16,2,0),"Other"))</f>
        <v/>
      </c>
      <c r="J4306" s="41" t="str">
        <f aca="false">IF(G4306="","",IFERROR(IF(ISNUMBER(SEARCH(Assumptions!$C$5,G4306)),Assumptions!$D$5,IF(ISNUMBER(SEARCH(Assumptions!$C$6,G4306)),Assumptions!$D$6,IF(ISNUMBER(SEARCH(Assumptions!$C$7,G4306)),Assumptions!$D$7,"Other Services"))),"Other Services"))</f>
        <v/>
      </c>
    </row>
    <row r="4307" customFormat="false" ht="15" hidden="false" customHeight="false" outlineLevel="0" collapsed="false">
      <c r="E4307" s="41" t="str">
        <f aca="false">IF(D4307="","",IFERROR(VLOOKUP(D4307,Assumptions!$G$5:$H$16,2,0),"Other"))</f>
        <v/>
      </c>
      <c r="J4307" s="41" t="str">
        <f aca="false">IF(G4307="","",IFERROR(IF(ISNUMBER(SEARCH(Assumptions!$C$5,G4307)),Assumptions!$D$5,IF(ISNUMBER(SEARCH(Assumptions!$C$6,G4307)),Assumptions!$D$6,IF(ISNUMBER(SEARCH(Assumptions!$C$7,G4307)),Assumptions!$D$7,"Other Services"))),"Other Services"))</f>
        <v/>
      </c>
    </row>
    <row r="4308" customFormat="false" ht="15" hidden="false" customHeight="false" outlineLevel="0" collapsed="false">
      <c r="E4308" s="41" t="str">
        <f aca="false">IF(D4308="","",IFERROR(VLOOKUP(D4308,Assumptions!$G$5:$H$16,2,0),"Other"))</f>
        <v/>
      </c>
      <c r="J4308" s="41" t="str">
        <f aca="false">IF(G4308="","",IFERROR(IF(ISNUMBER(SEARCH(Assumptions!$C$5,G4308)),Assumptions!$D$5,IF(ISNUMBER(SEARCH(Assumptions!$C$6,G4308)),Assumptions!$D$6,IF(ISNUMBER(SEARCH(Assumptions!$C$7,G4308)),Assumptions!$D$7,"Other Services"))),"Other Services"))</f>
        <v/>
      </c>
    </row>
    <row r="4309" customFormat="false" ht="15" hidden="false" customHeight="false" outlineLevel="0" collapsed="false">
      <c r="E4309" s="41" t="str">
        <f aca="false">IF(D4309="","",IFERROR(VLOOKUP(D4309,Assumptions!$G$5:$H$16,2,0),"Other"))</f>
        <v/>
      </c>
      <c r="J4309" s="41" t="str">
        <f aca="false">IF(G4309="","",IFERROR(IF(ISNUMBER(SEARCH(Assumptions!$C$5,G4309)),Assumptions!$D$5,IF(ISNUMBER(SEARCH(Assumptions!$C$6,G4309)),Assumptions!$D$6,IF(ISNUMBER(SEARCH(Assumptions!$C$7,G4309)),Assumptions!$D$7,"Other Services"))),"Other Services"))</f>
        <v/>
      </c>
    </row>
    <row r="4310" customFormat="false" ht="15" hidden="false" customHeight="false" outlineLevel="0" collapsed="false">
      <c r="E4310" s="41" t="str">
        <f aca="false">IF(D4310="","",IFERROR(VLOOKUP(D4310,Assumptions!$G$5:$H$16,2,0),"Other"))</f>
        <v/>
      </c>
      <c r="J4310" s="41" t="str">
        <f aca="false">IF(G4310="","",IFERROR(IF(ISNUMBER(SEARCH(Assumptions!$C$5,G4310)),Assumptions!$D$5,IF(ISNUMBER(SEARCH(Assumptions!$C$6,G4310)),Assumptions!$D$6,IF(ISNUMBER(SEARCH(Assumptions!$C$7,G4310)),Assumptions!$D$7,"Other Services"))),"Other Services"))</f>
        <v/>
      </c>
    </row>
    <row r="4311" customFormat="false" ht="15" hidden="false" customHeight="false" outlineLevel="0" collapsed="false">
      <c r="E4311" s="41" t="str">
        <f aca="false">IF(D4311="","",IFERROR(VLOOKUP(D4311,Assumptions!$G$5:$H$16,2,0),"Other"))</f>
        <v/>
      </c>
      <c r="J4311" s="41" t="str">
        <f aca="false">IF(G4311="","",IFERROR(IF(ISNUMBER(SEARCH(Assumptions!$C$5,G4311)),Assumptions!$D$5,IF(ISNUMBER(SEARCH(Assumptions!$C$6,G4311)),Assumptions!$D$6,IF(ISNUMBER(SEARCH(Assumptions!$C$7,G4311)),Assumptions!$D$7,"Other Services"))),"Other Services"))</f>
        <v/>
      </c>
    </row>
    <row r="4312" customFormat="false" ht="15" hidden="false" customHeight="false" outlineLevel="0" collapsed="false">
      <c r="E4312" s="41" t="str">
        <f aca="false">IF(D4312="","",IFERROR(VLOOKUP(D4312,Assumptions!$G$5:$H$16,2,0),"Other"))</f>
        <v/>
      </c>
      <c r="J4312" s="41" t="str">
        <f aca="false">IF(G4312="","",IFERROR(IF(ISNUMBER(SEARCH(Assumptions!$C$5,G4312)),Assumptions!$D$5,IF(ISNUMBER(SEARCH(Assumptions!$C$6,G4312)),Assumptions!$D$6,IF(ISNUMBER(SEARCH(Assumptions!$C$7,G4312)),Assumptions!$D$7,"Other Services"))),"Other Services"))</f>
        <v/>
      </c>
    </row>
    <row r="4313" customFormat="false" ht="15" hidden="false" customHeight="false" outlineLevel="0" collapsed="false">
      <c r="E4313" s="41" t="str">
        <f aca="false">IF(D4313="","",IFERROR(VLOOKUP(D4313,Assumptions!$G$5:$H$16,2,0),"Other"))</f>
        <v/>
      </c>
      <c r="J4313" s="41" t="str">
        <f aca="false">IF(G4313="","",IFERROR(IF(ISNUMBER(SEARCH(Assumptions!$C$5,G4313)),Assumptions!$D$5,IF(ISNUMBER(SEARCH(Assumptions!$C$6,G4313)),Assumptions!$D$6,IF(ISNUMBER(SEARCH(Assumptions!$C$7,G4313)),Assumptions!$D$7,"Other Services"))),"Other Services"))</f>
        <v/>
      </c>
    </row>
    <row r="4314" customFormat="false" ht="15" hidden="false" customHeight="false" outlineLevel="0" collapsed="false">
      <c r="E4314" s="41" t="str">
        <f aca="false">IF(D4314="","",IFERROR(VLOOKUP(D4314,Assumptions!$G$5:$H$16,2,0),"Other"))</f>
        <v/>
      </c>
      <c r="J4314" s="41" t="str">
        <f aca="false">IF(G4314="","",IFERROR(IF(ISNUMBER(SEARCH(Assumptions!$C$5,G4314)),Assumptions!$D$5,IF(ISNUMBER(SEARCH(Assumptions!$C$6,G4314)),Assumptions!$D$6,IF(ISNUMBER(SEARCH(Assumptions!$C$7,G4314)),Assumptions!$D$7,"Other Services"))),"Other Services"))</f>
        <v/>
      </c>
    </row>
    <row r="4315" customFormat="false" ht="15" hidden="false" customHeight="false" outlineLevel="0" collapsed="false">
      <c r="E4315" s="41" t="str">
        <f aca="false">IF(D4315="","",IFERROR(VLOOKUP(D4315,Assumptions!$G$5:$H$16,2,0),"Other"))</f>
        <v/>
      </c>
      <c r="J4315" s="41" t="str">
        <f aca="false">IF(G4315="","",IFERROR(IF(ISNUMBER(SEARCH(Assumptions!$C$5,G4315)),Assumptions!$D$5,IF(ISNUMBER(SEARCH(Assumptions!$C$6,G4315)),Assumptions!$D$6,IF(ISNUMBER(SEARCH(Assumptions!$C$7,G4315)),Assumptions!$D$7,"Other Services"))),"Other Services"))</f>
        <v/>
      </c>
    </row>
    <row r="4316" customFormat="false" ht="15" hidden="false" customHeight="false" outlineLevel="0" collapsed="false">
      <c r="E4316" s="41" t="str">
        <f aca="false">IF(D4316="","",IFERROR(VLOOKUP(D4316,Assumptions!$G$5:$H$16,2,0),"Other"))</f>
        <v/>
      </c>
      <c r="J4316" s="41" t="str">
        <f aca="false">IF(G4316="","",IFERROR(IF(ISNUMBER(SEARCH(Assumptions!$C$5,G4316)),Assumptions!$D$5,IF(ISNUMBER(SEARCH(Assumptions!$C$6,G4316)),Assumptions!$D$6,IF(ISNUMBER(SEARCH(Assumptions!$C$7,G4316)),Assumptions!$D$7,"Other Services"))),"Other Services"))</f>
        <v/>
      </c>
    </row>
    <row r="4317" customFormat="false" ht="15" hidden="false" customHeight="false" outlineLevel="0" collapsed="false">
      <c r="E4317" s="41" t="str">
        <f aca="false">IF(D4317="","",IFERROR(VLOOKUP(D4317,Assumptions!$G$5:$H$16,2,0),"Other"))</f>
        <v/>
      </c>
      <c r="J4317" s="41" t="str">
        <f aca="false">IF(G4317="","",IFERROR(IF(ISNUMBER(SEARCH(Assumptions!$C$5,G4317)),Assumptions!$D$5,IF(ISNUMBER(SEARCH(Assumptions!$C$6,G4317)),Assumptions!$D$6,IF(ISNUMBER(SEARCH(Assumptions!$C$7,G4317)),Assumptions!$D$7,"Other Services"))),"Other Services"))</f>
        <v/>
      </c>
    </row>
    <row r="4318" customFormat="false" ht="15" hidden="false" customHeight="false" outlineLevel="0" collapsed="false">
      <c r="E4318" s="41" t="str">
        <f aca="false">IF(D4318="","",IFERROR(VLOOKUP(D4318,Assumptions!$G$5:$H$16,2,0),"Other"))</f>
        <v/>
      </c>
      <c r="J4318" s="41" t="str">
        <f aca="false">IF(G4318="","",IFERROR(IF(ISNUMBER(SEARCH(Assumptions!$C$5,G4318)),Assumptions!$D$5,IF(ISNUMBER(SEARCH(Assumptions!$C$6,G4318)),Assumptions!$D$6,IF(ISNUMBER(SEARCH(Assumptions!$C$7,G4318)),Assumptions!$D$7,"Other Services"))),"Other Services"))</f>
        <v/>
      </c>
    </row>
    <row r="4319" customFormat="false" ht="15" hidden="false" customHeight="false" outlineLevel="0" collapsed="false">
      <c r="E4319" s="41" t="str">
        <f aca="false">IF(D4319="","",IFERROR(VLOOKUP(D4319,Assumptions!$G$5:$H$16,2,0),"Other"))</f>
        <v/>
      </c>
      <c r="J4319" s="41" t="str">
        <f aca="false">IF(G4319="","",IFERROR(IF(ISNUMBER(SEARCH(Assumptions!$C$5,G4319)),Assumptions!$D$5,IF(ISNUMBER(SEARCH(Assumptions!$C$6,G4319)),Assumptions!$D$6,IF(ISNUMBER(SEARCH(Assumptions!$C$7,G4319)),Assumptions!$D$7,"Other Services"))),"Other Services"))</f>
        <v/>
      </c>
    </row>
    <row r="4320" customFormat="false" ht="15" hidden="false" customHeight="false" outlineLevel="0" collapsed="false">
      <c r="E4320" s="41" t="str">
        <f aca="false">IF(D4320="","",IFERROR(VLOOKUP(D4320,Assumptions!$G$5:$H$16,2,0),"Other"))</f>
        <v/>
      </c>
      <c r="J4320" s="41" t="str">
        <f aca="false">IF(G4320="","",IFERROR(IF(ISNUMBER(SEARCH(Assumptions!$C$5,G4320)),Assumptions!$D$5,IF(ISNUMBER(SEARCH(Assumptions!$C$6,G4320)),Assumptions!$D$6,IF(ISNUMBER(SEARCH(Assumptions!$C$7,G4320)),Assumptions!$D$7,"Other Services"))),"Other Services"))</f>
        <v/>
      </c>
    </row>
    <row r="4321" customFormat="false" ht="15" hidden="false" customHeight="false" outlineLevel="0" collapsed="false">
      <c r="E4321" s="41" t="str">
        <f aca="false">IF(D4321="","",IFERROR(VLOOKUP(D4321,Assumptions!$G$5:$H$16,2,0),"Other"))</f>
        <v/>
      </c>
      <c r="J4321" s="41" t="str">
        <f aca="false">IF(G4321="","",IFERROR(IF(ISNUMBER(SEARCH(Assumptions!$C$5,G4321)),Assumptions!$D$5,IF(ISNUMBER(SEARCH(Assumptions!$C$6,G4321)),Assumptions!$D$6,IF(ISNUMBER(SEARCH(Assumptions!$C$7,G4321)),Assumptions!$D$7,"Other Services"))),"Other Services"))</f>
        <v/>
      </c>
    </row>
    <row r="4322" customFormat="false" ht="15" hidden="false" customHeight="false" outlineLevel="0" collapsed="false">
      <c r="E4322" s="41" t="str">
        <f aca="false">IF(D4322="","",IFERROR(VLOOKUP(D4322,Assumptions!$G$5:$H$16,2,0),"Other"))</f>
        <v/>
      </c>
      <c r="J4322" s="41" t="str">
        <f aca="false">IF(G4322="","",IFERROR(IF(ISNUMBER(SEARCH(Assumptions!$C$5,G4322)),Assumptions!$D$5,IF(ISNUMBER(SEARCH(Assumptions!$C$6,G4322)),Assumptions!$D$6,IF(ISNUMBER(SEARCH(Assumptions!$C$7,G4322)),Assumptions!$D$7,"Other Services"))),"Other Services"))</f>
        <v/>
      </c>
    </row>
    <row r="4323" customFormat="false" ht="15" hidden="false" customHeight="false" outlineLevel="0" collapsed="false">
      <c r="E4323" s="41" t="str">
        <f aca="false">IF(D4323="","",IFERROR(VLOOKUP(D4323,Assumptions!$G$5:$H$16,2,0),"Other"))</f>
        <v/>
      </c>
      <c r="J4323" s="41" t="str">
        <f aca="false">IF(G4323="","",IFERROR(IF(ISNUMBER(SEARCH(Assumptions!$C$5,G4323)),Assumptions!$D$5,IF(ISNUMBER(SEARCH(Assumptions!$C$6,G4323)),Assumptions!$D$6,IF(ISNUMBER(SEARCH(Assumptions!$C$7,G4323)),Assumptions!$D$7,"Other Services"))),"Other Services"))</f>
        <v/>
      </c>
    </row>
    <row r="4324" customFormat="false" ht="15" hidden="false" customHeight="false" outlineLevel="0" collapsed="false">
      <c r="E4324" s="41" t="str">
        <f aca="false">IF(D4324="","",IFERROR(VLOOKUP(D4324,Assumptions!$G$5:$H$16,2,0),"Other"))</f>
        <v/>
      </c>
      <c r="J4324" s="41" t="str">
        <f aca="false">IF(G4324="","",IFERROR(IF(ISNUMBER(SEARCH(Assumptions!$C$5,G4324)),Assumptions!$D$5,IF(ISNUMBER(SEARCH(Assumptions!$C$6,G4324)),Assumptions!$D$6,IF(ISNUMBER(SEARCH(Assumptions!$C$7,G4324)),Assumptions!$D$7,"Other Services"))),"Other Services"))</f>
        <v/>
      </c>
    </row>
    <row r="4325" customFormat="false" ht="15" hidden="false" customHeight="false" outlineLevel="0" collapsed="false">
      <c r="E4325" s="41" t="str">
        <f aca="false">IF(D4325="","",IFERROR(VLOOKUP(D4325,Assumptions!$G$5:$H$16,2,0),"Other"))</f>
        <v/>
      </c>
      <c r="J4325" s="41" t="str">
        <f aca="false">IF(G4325="","",IFERROR(IF(ISNUMBER(SEARCH(Assumptions!$C$5,G4325)),Assumptions!$D$5,IF(ISNUMBER(SEARCH(Assumptions!$C$6,G4325)),Assumptions!$D$6,IF(ISNUMBER(SEARCH(Assumptions!$C$7,G4325)),Assumptions!$D$7,"Other Services"))),"Other Services"))</f>
        <v/>
      </c>
    </row>
    <row r="4326" customFormat="false" ht="15" hidden="false" customHeight="false" outlineLevel="0" collapsed="false">
      <c r="E4326" s="41" t="str">
        <f aca="false">IF(D4326="","",IFERROR(VLOOKUP(D4326,Assumptions!$G$5:$H$16,2,0),"Other"))</f>
        <v/>
      </c>
      <c r="J4326" s="41" t="str">
        <f aca="false">IF(G4326="","",IFERROR(IF(ISNUMBER(SEARCH(Assumptions!$C$5,G4326)),Assumptions!$D$5,IF(ISNUMBER(SEARCH(Assumptions!$C$6,G4326)),Assumptions!$D$6,IF(ISNUMBER(SEARCH(Assumptions!$C$7,G4326)),Assumptions!$D$7,"Other Services"))),"Other Services"))</f>
        <v/>
      </c>
    </row>
    <row r="4327" customFormat="false" ht="15" hidden="false" customHeight="false" outlineLevel="0" collapsed="false">
      <c r="E4327" s="41" t="str">
        <f aca="false">IF(D4327="","",IFERROR(VLOOKUP(D4327,Assumptions!$G$5:$H$16,2,0),"Other"))</f>
        <v/>
      </c>
      <c r="J4327" s="41" t="str">
        <f aca="false">IF(G4327="","",IFERROR(IF(ISNUMBER(SEARCH(Assumptions!$C$5,G4327)),Assumptions!$D$5,IF(ISNUMBER(SEARCH(Assumptions!$C$6,G4327)),Assumptions!$D$6,IF(ISNUMBER(SEARCH(Assumptions!$C$7,G4327)),Assumptions!$D$7,"Other Services"))),"Other Services"))</f>
        <v/>
      </c>
    </row>
    <row r="4328" customFormat="false" ht="15" hidden="false" customHeight="false" outlineLevel="0" collapsed="false">
      <c r="E4328" s="41" t="str">
        <f aca="false">IF(D4328="","",IFERROR(VLOOKUP(D4328,Assumptions!$G$5:$H$16,2,0),"Other"))</f>
        <v/>
      </c>
      <c r="J4328" s="41" t="str">
        <f aca="false">IF(G4328="","",IFERROR(IF(ISNUMBER(SEARCH(Assumptions!$C$5,G4328)),Assumptions!$D$5,IF(ISNUMBER(SEARCH(Assumptions!$C$6,G4328)),Assumptions!$D$6,IF(ISNUMBER(SEARCH(Assumptions!$C$7,G4328)),Assumptions!$D$7,"Other Services"))),"Other Services"))</f>
        <v/>
      </c>
    </row>
    <row r="4329" customFormat="false" ht="15" hidden="false" customHeight="false" outlineLevel="0" collapsed="false">
      <c r="E4329" s="41" t="str">
        <f aca="false">IF(D4329="","",IFERROR(VLOOKUP(D4329,Assumptions!$G$5:$H$16,2,0),"Other"))</f>
        <v/>
      </c>
      <c r="J4329" s="41" t="str">
        <f aca="false">IF(G4329="","",IFERROR(IF(ISNUMBER(SEARCH(Assumptions!$C$5,G4329)),Assumptions!$D$5,IF(ISNUMBER(SEARCH(Assumptions!$C$6,G4329)),Assumptions!$D$6,IF(ISNUMBER(SEARCH(Assumptions!$C$7,G4329)),Assumptions!$D$7,"Other Services"))),"Other Services"))</f>
        <v/>
      </c>
    </row>
    <row r="4330" customFormat="false" ht="15" hidden="false" customHeight="false" outlineLevel="0" collapsed="false">
      <c r="E4330" s="41" t="str">
        <f aca="false">IF(D4330="","",IFERROR(VLOOKUP(D4330,Assumptions!$G$5:$H$16,2,0),"Other"))</f>
        <v/>
      </c>
      <c r="J4330" s="41" t="str">
        <f aca="false">IF(G4330="","",IFERROR(IF(ISNUMBER(SEARCH(Assumptions!$C$5,G4330)),Assumptions!$D$5,IF(ISNUMBER(SEARCH(Assumptions!$C$6,G4330)),Assumptions!$D$6,IF(ISNUMBER(SEARCH(Assumptions!$C$7,G4330)),Assumptions!$D$7,"Other Services"))),"Other Services"))</f>
        <v/>
      </c>
    </row>
    <row r="4331" customFormat="false" ht="15" hidden="false" customHeight="false" outlineLevel="0" collapsed="false">
      <c r="E4331" s="41" t="str">
        <f aca="false">IF(D4331="","",IFERROR(VLOOKUP(D4331,Assumptions!$G$5:$H$16,2,0),"Other"))</f>
        <v/>
      </c>
      <c r="J4331" s="41" t="str">
        <f aca="false">IF(G4331="","",IFERROR(IF(ISNUMBER(SEARCH(Assumptions!$C$5,G4331)),Assumptions!$D$5,IF(ISNUMBER(SEARCH(Assumptions!$C$6,G4331)),Assumptions!$D$6,IF(ISNUMBER(SEARCH(Assumptions!$C$7,G4331)),Assumptions!$D$7,"Other Services"))),"Other Services"))</f>
        <v/>
      </c>
    </row>
    <row r="4332" customFormat="false" ht="15" hidden="false" customHeight="false" outlineLevel="0" collapsed="false">
      <c r="E4332" s="41" t="str">
        <f aca="false">IF(D4332="","",IFERROR(VLOOKUP(D4332,Assumptions!$G$5:$H$16,2,0),"Other"))</f>
        <v/>
      </c>
      <c r="J4332" s="41" t="str">
        <f aca="false">IF(G4332="","",IFERROR(IF(ISNUMBER(SEARCH(Assumptions!$C$5,G4332)),Assumptions!$D$5,IF(ISNUMBER(SEARCH(Assumptions!$C$6,G4332)),Assumptions!$D$6,IF(ISNUMBER(SEARCH(Assumptions!$C$7,G4332)),Assumptions!$D$7,"Other Services"))),"Other Services"))</f>
        <v/>
      </c>
    </row>
    <row r="4333" customFormat="false" ht="15" hidden="false" customHeight="false" outlineLevel="0" collapsed="false">
      <c r="E4333" s="41" t="str">
        <f aca="false">IF(D4333="","",IFERROR(VLOOKUP(D4333,Assumptions!$G$5:$H$16,2,0),"Other"))</f>
        <v/>
      </c>
      <c r="J4333" s="41" t="str">
        <f aca="false">IF(G4333="","",IFERROR(IF(ISNUMBER(SEARCH(Assumptions!$C$5,G4333)),Assumptions!$D$5,IF(ISNUMBER(SEARCH(Assumptions!$C$6,G4333)),Assumptions!$D$6,IF(ISNUMBER(SEARCH(Assumptions!$C$7,G4333)),Assumptions!$D$7,"Other Services"))),"Other Services"))</f>
        <v/>
      </c>
    </row>
    <row r="4334" customFormat="false" ht="15" hidden="false" customHeight="false" outlineLevel="0" collapsed="false">
      <c r="E4334" s="41" t="str">
        <f aca="false">IF(D4334="","",IFERROR(VLOOKUP(D4334,Assumptions!$G$5:$H$16,2,0),"Other"))</f>
        <v/>
      </c>
      <c r="J4334" s="41" t="str">
        <f aca="false">IF(G4334="","",IFERROR(IF(ISNUMBER(SEARCH(Assumptions!$C$5,G4334)),Assumptions!$D$5,IF(ISNUMBER(SEARCH(Assumptions!$C$6,G4334)),Assumptions!$D$6,IF(ISNUMBER(SEARCH(Assumptions!$C$7,G4334)),Assumptions!$D$7,"Other Services"))),"Other Services"))</f>
        <v/>
      </c>
    </row>
    <row r="4335" customFormat="false" ht="15" hidden="false" customHeight="false" outlineLevel="0" collapsed="false">
      <c r="E4335" s="41" t="str">
        <f aca="false">IF(D4335="","",IFERROR(VLOOKUP(D4335,Assumptions!$G$5:$H$16,2,0),"Other"))</f>
        <v/>
      </c>
      <c r="J4335" s="41" t="str">
        <f aca="false">IF(G4335="","",IFERROR(IF(ISNUMBER(SEARCH(Assumptions!$C$5,G4335)),Assumptions!$D$5,IF(ISNUMBER(SEARCH(Assumptions!$C$6,G4335)),Assumptions!$D$6,IF(ISNUMBER(SEARCH(Assumptions!$C$7,G4335)),Assumptions!$D$7,"Other Services"))),"Other Services"))</f>
        <v/>
      </c>
    </row>
    <row r="4336" customFormat="false" ht="15" hidden="false" customHeight="false" outlineLevel="0" collapsed="false">
      <c r="E4336" s="41" t="str">
        <f aca="false">IF(D4336="","",IFERROR(VLOOKUP(D4336,Assumptions!$G$5:$H$16,2,0),"Other"))</f>
        <v/>
      </c>
      <c r="J4336" s="41" t="str">
        <f aca="false">IF(G4336="","",IFERROR(IF(ISNUMBER(SEARCH(Assumptions!$C$5,G4336)),Assumptions!$D$5,IF(ISNUMBER(SEARCH(Assumptions!$C$6,G4336)),Assumptions!$D$6,IF(ISNUMBER(SEARCH(Assumptions!$C$7,G4336)),Assumptions!$D$7,"Other Services"))),"Other Services"))</f>
        <v/>
      </c>
    </row>
    <row r="4337" customFormat="false" ht="15" hidden="false" customHeight="false" outlineLevel="0" collapsed="false">
      <c r="E4337" s="41" t="str">
        <f aca="false">IF(D4337="","",IFERROR(VLOOKUP(D4337,Assumptions!$G$5:$H$16,2,0),"Other"))</f>
        <v/>
      </c>
      <c r="J4337" s="41" t="str">
        <f aca="false">IF(G4337="","",IFERROR(IF(ISNUMBER(SEARCH(Assumptions!$C$5,G4337)),Assumptions!$D$5,IF(ISNUMBER(SEARCH(Assumptions!$C$6,G4337)),Assumptions!$D$6,IF(ISNUMBER(SEARCH(Assumptions!$C$7,G4337)),Assumptions!$D$7,"Other Services"))),"Other Services"))</f>
        <v/>
      </c>
    </row>
    <row r="4338" customFormat="false" ht="15" hidden="false" customHeight="false" outlineLevel="0" collapsed="false">
      <c r="E4338" s="41" t="str">
        <f aca="false">IF(D4338="","",IFERROR(VLOOKUP(D4338,Assumptions!$G$5:$H$16,2,0),"Other"))</f>
        <v/>
      </c>
      <c r="J4338" s="41" t="str">
        <f aca="false">IF(G4338="","",IFERROR(IF(ISNUMBER(SEARCH(Assumptions!$C$5,G4338)),Assumptions!$D$5,IF(ISNUMBER(SEARCH(Assumptions!$C$6,G4338)),Assumptions!$D$6,IF(ISNUMBER(SEARCH(Assumptions!$C$7,G4338)),Assumptions!$D$7,"Other Services"))),"Other Services"))</f>
        <v/>
      </c>
    </row>
    <row r="4339" customFormat="false" ht="15" hidden="false" customHeight="false" outlineLevel="0" collapsed="false">
      <c r="E4339" s="41" t="str">
        <f aca="false">IF(D4339="","",IFERROR(VLOOKUP(D4339,Assumptions!$G$5:$H$16,2,0),"Other"))</f>
        <v/>
      </c>
      <c r="J4339" s="41" t="str">
        <f aca="false">IF(G4339="","",IFERROR(IF(ISNUMBER(SEARCH(Assumptions!$C$5,G4339)),Assumptions!$D$5,IF(ISNUMBER(SEARCH(Assumptions!$C$6,G4339)),Assumptions!$D$6,IF(ISNUMBER(SEARCH(Assumptions!$C$7,G4339)),Assumptions!$D$7,"Other Services"))),"Other Services"))</f>
        <v/>
      </c>
    </row>
    <row r="4340" customFormat="false" ht="15" hidden="false" customHeight="false" outlineLevel="0" collapsed="false">
      <c r="E4340" s="41" t="str">
        <f aca="false">IF(D4340="","",IFERROR(VLOOKUP(D4340,Assumptions!$G$5:$H$16,2,0),"Other"))</f>
        <v/>
      </c>
      <c r="J4340" s="41" t="str">
        <f aca="false">IF(G4340="","",IFERROR(IF(ISNUMBER(SEARCH(Assumptions!$C$5,G4340)),Assumptions!$D$5,IF(ISNUMBER(SEARCH(Assumptions!$C$6,G4340)),Assumptions!$D$6,IF(ISNUMBER(SEARCH(Assumptions!$C$7,G4340)),Assumptions!$D$7,"Other Services"))),"Other Services"))</f>
        <v/>
      </c>
    </row>
    <row r="4341" customFormat="false" ht="15" hidden="false" customHeight="false" outlineLevel="0" collapsed="false">
      <c r="E4341" s="41" t="str">
        <f aca="false">IF(D4341="","",IFERROR(VLOOKUP(D4341,Assumptions!$G$5:$H$16,2,0),"Other"))</f>
        <v/>
      </c>
      <c r="J4341" s="41" t="str">
        <f aca="false">IF(G4341="","",IFERROR(IF(ISNUMBER(SEARCH(Assumptions!$C$5,G4341)),Assumptions!$D$5,IF(ISNUMBER(SEARCH(Assumptions!$C$6,G4341)),Assumptions!$D$6,IF(ISNUMBER(SEARCH(Assumptions!$C$7,G4341)),Assumptions!$D$7,"Other Services"))),"Other Services"))</f>
        <v/>
      </c>
    </row>
    <row r="4342" customFormat="false" ht="15" hidden="false" customHeight="false" outlineLevel="0" collapsed="false">
      <c r="E4342" s="41" t="str">
        <f aca="false">IF(D4342="","",IFERROR(VLOOKUP(D4342,Assumptions!$G$5:$H$16,2,0),"Other"))</f>
        <v/>
      </c>
      <c r="J4342" s="41" t="str">
        <f aca="false">IF(G4342="","",IFERROR(IF(ISNUMBER(SEARCH(Assumptions!$C$5,G4342)),Assumptions!$D$5,IF(ISNUMBER(SEARCH(Assumptions!$C$6,G4342)),Assumptions!$D$6,IF(ISNUMBER(SEARCH(Assumptions!$C$7,G4342)),Assumptions!$D$7,"Other Services"))),"Other Services"))</f>
        <v/>
      </c>
    </row>
    <row r="4343" customFormat="false" ht="15" hidden="false" customHeight="false" outlineLevel="0" collapsed="false">
      <c r="E4343" s="41" t="str">
        <f aca="false">IF(D4343="","",IFERROR(VLOOKUP(D4343,Assumptions!$G$5:$H$16,2,0),"Other"))</f>
        <v/>
      </c>
      <c r="J4343" s="41" t="str">
        <f aca="false">IF(G4343="","",IFERROR(IF(ISNUMBER(SEARCH(Assumptions!$C$5,G4343)),Assumptions!$D$5,IF(ISNUMBER(SEARCH(Assumptions!$C$6,G4343)),Assumptions!$D$6,IF(ISNUMBER(SEARCH(Assumptions!$C$7,G4343)),Assumptions!$D$7,"Other Services"))),"Other Services"))</f>
        <v/>
      </c>
    </row>
    <row r="4344" customFormat="false" ht="15" hidden="false" customHeight="false" outlineLevel="0" collapsed="false">
      <c r="E4344" s="41" t="str">
        <f aca="false">IF(D4344="","",IFERROR(VLOOKUP(D4344,Assumptions!$G$5:$H$16,2,0),"Other"))</f>
        <v/>
      </c>
      <c r="J4344" s="41" t="str">
        <f aca="false">IF(G4344="","",IFERROR(IF(ISNUMBER(SEARCH(Assumptions!$C$5,G4344)),Assumptions!$D$5,IF(ISNUMBER(SEARCH(Assumptions!$C$6,G4344)),Assumptions!$D$6,IF(ISNUMBER(SEARCH(Assumptions!$C$7,G4344)),Assumptions!$D$7,"Other Services"))),"Other Services"))</f>
        <v/>
      </c>
    </row>
    <row r="4345" customFormat="false" ht="15" hidden="false" customHeight="false" outlineLevel="0" collapsed="false">
      <c r="E4345" s="41" t="str">
        <f aca="false">IF(D4345="","",IFERROR(VLOOKUP(D4345,Assumptions!$G$5:$H$16,2,0),"Other"))</f>
        <v/>
      </c>
      <c r="J4345" s="41" t="str">
        <f aca="false">IF(G4345="","",IFERROR(IF(ISNUMBER(SEARCH(Assumptions!$C$5,G4345)),Assumptions!$D$5,IF(ISNUMBER(SEARCH(Assumptions!$C$6,G4345)),Assumptions!$D$6,IF(ISNUMBER(SEARCH(Assumptions!$C$7,G4345)),Assumptions!$D$7,"Other Services"))),"Other Services"))</f>
        <v/>
      </c>
    </row>
    <row r="4346" customFormat="false" ht="15" hidden="false" customHeight="false" outlineLevel="0" collapsed="false">
      <c r="E4346" s="41" t="str">
        <f aca="false">IF(D4346="","",IFERROR(VLOOKUP(D4346,Assumptions!$G$5:$H$16,2,0),"Other"))</f>
        <v/>
      </c>
      <c r="J4346" s="41" t="str">
        <f aca="false">IF(G4346="","",IFERROR(IF(ISNUMBER(SEARCH(Assumptions!$C$5,G4346)),Assumptions!$D$5,IF(ISNUMBER(SEARCH(Assumptions!$C$6,G4346)),Assumptions!$D$6,IF(ISNUMBER(SEARCH(Assumptions!$C$7,G4346)),Assumptions!$D$7,"Other Services"))),"Other Services"))</f>
        <v/>
      </c>
    </row>
    <row r="4347" customFormat="false" ht="15" hidden="false" customHeight="false" outlineLevel="0" collapsed="false">
      <c r="E4347" s="41" t="str">
        <f aca="false">IF(D4347="","",IFERROR(VLOOKUP(D4347,Assumptions!$G$5:$H$16,2,0),"Other"))</f>
        <v/>
      </c>
      <c r="J4347" s="41" t="str">
        <f aca="false">IF(G4347="","",IFERROR(IF(ISNUMBER(SEARCH(Assumptions!$C$5,G4347)),Assumptions!$D$5,IF(ISNUMBER(SEARCH(Assumptions!$C$6,G4347)),Assumptions!$D$6,IF(ISNUMBER(SEARCH(Assumptions!$C$7,G4347)),Assumptions!$D$7,"Other Services"))),"Other Services"))</f>
        <v/>
      </c>
    </row>
    <row r="4348" customFormat="false" ht="15" hidden="false" customHeight="false" outlineLevel="0" collapsed="false">
      <c r="E4348" s="41" t="str">
        <f aca="false">IF(D4348="","",IFERROR(VLOOKUP(D4348,Assumptions!$G$5:$H$16,2,0),"Other"))</f>
        <v/>
      </c>
      <c r="J4348" s="41" t="str">
        <f aca="false">IF(G4348="","",IFERROR(IF(ISNUMBER(SEARCH(Assumptions!$C$5,G4348)),Assumptions!$D$5,IF(ISNUMBER(SEARCH(Assumptions!$C$6,G4348)),Assumptions!$D$6,IF(ISNUMBER(SEARCH(Assumptions!$C$7,G4348)),Assumptions!$D$7,"Other Services"))),"Other Services"))</f>
        <v/>
      </c>
    </row>
    <row r="4349" customFormat="false" ht="15" hidden="false" customHeight="false" outlineLevel="0" collapsed="false">
      <c r="E4349" s="41" t="str">
        <f aca="false">IF(D4349="","",IFERROR(VLOOKUP(D4349,Assumptions!$G$5:$H$16,2,0),"Other"))</f>
        <v/>
      </c>
      <c r="J4349" s="41" t="str">
        <f aca="false">IF(G4349="","",IFERROR(IF(ISNUMBER(SEARCH(Assumptions!$C$5,G4349)),Assumptions!$D$5,IF(ISNUMBER(SEARCH(Assumptions!$C$6,G4349)),Assumptions!$D$6,IF(ISNUMBER(SEARCH(Assumptions!$C$7,G4349)),Assumptions!$D$7,"Other Services"))),"Other Services"))</f>
        <v/>
      </c>
    </row>
    <row r="4350" customFormat="false" ht="15" hidden="false" customHeight="false" outlineLevel="0" collapsed="false">
      <c r="E4350" s="41" t="str">
        <f aca="false">IF(D4350="","",IFERROR(VLOOKUP(D4350,Assumptions!$G$5:$H$16,2,0),"Other"))</f>
        <v/>
      </c>
      <c r="J4350" s="41" t="str">
        <f aca="false">IF(G4350="","",IFERROR(IF(ISNUMBER(SEARCH(Assumptions!$C$5,G4350)),Assumptions!$D$5,IF(ISNUMBER(SEARCH(Assumptions!$C$6,G4350)),Assumptions!$D$6,IF(ISNUMBER(SEARCH(Assumptions!$C$7,G4350)),Assumptions!$D$7,"Other Services"))),"Other Services"))</f>
        <v/>
      </c>
    </row>
    <row r="4351" customFormat="false" ht="15" hidden="false" customHeight="false" outlineLevel="0" collapsed="false">
      <c r="E4351" s="41" t="str">
        <f aca="false">IF(D4351="","",IFERROR(VLOOKUP(D4351,Assumptions!$G$5:$H$16,2,0),"Other"))</f>
        <v/>
      </c>
      <c r="J4351" s="41" t="str">
        <f aca="false">IF(G4351="","",IFERROR(IF(ISNUMBER(SEARCH(Assumptions!$C$5,G4351)),Assumptions!$D$5,IF(ISNUMBER(SEARCH(Assumptions!$C$6,G4351)),Assumptions!$D$6,IF(ISNUMBER(SEARCH(Assumptions!$C$7,G4351)),Assumptions!$D$7,"Other Services"))),"Other Services"))</f>
        <v/>
      </c>
    </row>
    <row r="4352" customFormat="false" ht="15" hidden="false" customHeight="false" outlineLevel="0" collapsed="false">
      <c r="E4352" s="41" t="str">
        <f aca="false">IF(D4352="","",IFERROR(VLOOKUP(D4352,Assumptions!$G$5:$H$16,2,0),"Other"))</f>
        <v/>
      </c>
      <c r="J4352" s="41" t="str">
        <f aca="false">IF(G4352="","",IFERROR(IF(ISNUMBER(SEARCH(Assumptions!$C$5,G4352)),Assumptions!$D$5,IF(ISNUMBER(SEARCH(Assumptions!$C$6,G4352)),Assumptions!$D$6,IF(ISNUMBER(SEARCH(Assumptions!$C$7,G4352)),Assumptions!$D$7,"Other Services"))),"Other Services"))</f>
        <v/>
      </c>
    </row>
    <row r="4353" customFormat="false" ht="15" hidden="false" customHeight="false" outlineLevel="0" collapsed="false">
      <c r="E4353" s="41" t="str">
        <f aca="false">IF(D4353="","",IFERROR(VLOOKUP(D4353,Assumptions!$G$5:$H$16,2,0),"Other"))</f>
        <v/>
      </c>
      <c r="J4353" s="41" t="str">
        <f aca="false">IF(G4353="","",IFERROR(IF(ISNUMBER(SEARCH(Assumptions!$C$5,G4353)),Assumptions!$D$5,IF(ISNUMBER(SEARCH(Assumptions!$C$6,G4353)),Assumptions!$D$6,IF(ISNUMBER(SEARCH(Assumptions!$C$7,G4353)),Assumptions!$D$7,"Other Services"))),"Other Services"))</f>
        <v/>
      </c>
    </row>
    <row r="4354" customFormat="false" ht="15" hidden="false" customHeight="false" outlineLevel="0" collapsed="false">
      <c r="E4354" s="41" t="str">
        <f aca="false">IF(D4354="","",IFERROR(VLOOKUP(D4354,Assumptions!$G$5:$H$16,2,0),"Other"))</f>
        <v/>
      </c>
      <c r="J4354" s="41" t="str">
        <f aca="false">IF(G4354="","",IFERROR(IF(ISNUMBER(SEARCH(Assumptions!$C$5,G4354)),Assumptions!$D$5,IF(ISNUMBER(SEARCH(Assumptions!$C$6,G4354)),Assumptions!$D$6,IF(ISNUMBER(SEARCH(Assumptions!$C$7,G4354)),Assumptions!$D$7,"Other Services"))),"Other Services"))</f>
        <v/>
      </c>
    </row>
    <row r="4355" customFormat="false" ht="15" hidden="false" customHeight="false" outlineLevel="0" collapsed="false">
      <c r="E4355" s="41" t="str">
        <f aca="false">IF(D4355="","",IFERROR(VLOOKUP(D4355,Assumptions!$G$5:$H$16,2,0),"Other"))</f>
        <v/>
      </c>
      <c r="J4355" s="41" t="str">
        <f aca="false">IF(G4355="","",IFERROR(IF(ISNUMBER(SEARCH(Assumptions!$C$5,G4355)),Assumptions!$D$5,IF(ISNUMBER(SEARCH(Assumptions!$C$6,G4355)),Assumptions!$D$6,IF(ISNUMBER(SEARCH(Assumptions!$C$7,G4355)),Assumptions!$D$7,"Other Services"))),"Other Services"))</f>
        <v/>
      </c>
    </row>
    <row r="4356" customFormat="false" ht="15" hidden="false" customHeight="false" outlineLevel="0" collapsed="false">
      <c r="E4356" s="41" t="str">
        <f aca="false">IF(D4356="","",IFERROR(VLOOKUP(D4356,Assumptions!$G$5:$H$16,2,0),"Other"))</f>
        <v/>
      </c>
      <c r="J4356" s="41" t="str">
        <f aca="false">IF(G4356="","",IFERROR(IF(ISNUMBER(SEARCH(Assumptions!$C$5,G4356)),Assumptions!$D$5,IF(ISNUMBER(SEARCH(Assumptions!$C$6,G4356)),Assumptions!$D$6,IF(ISNUMBER(SEARCH(Assumptions!$C$7,G4356)),Assumptions!$D$7,"Other Services"))),"Other Services"))</f>
        <v/>
      </c>
    </row>
    <row r="4357" customFormat="false" ht="15" hidden="false" customHeight="false" outlineLevel="0" collapsed="false">
      <c r="E4357" s="41" t="str">
        <f aca="false">IF(D4357="","",IFERROR(VLOOKUP(D4357,Assumptions!$G$5:$H$16,2,0),"Other"))</f>
        <v/>
      </c>
      <c r="J4357" s="41" t="str">
        <f aca="false">IF(G4357="","",IFERROR(IF(ISNUMBER(SEARCH(Assumptions!$C$5,G4357)),Assumptions!$D$5,IF(ISNUMBER(SEARCH(Assumptions!$C$6,G4357)),Assumptions!$D$6,IF(ISNUMBER(SEARCH(Assumptions!$C$7,G4357)),Assumptions!$D$7,"Other Services"))),"Other Services"))</f>
        <v/>
      </c>
    </row>
    <row r="4358" customFormat="false" ht="15" hidden="false" customHeight="false" outlineLevel="0" collapsed="false">
      <c r="E4358" s="41" t="str">
        <f aca="false">IF(D4358="","",IFERROR(VLOOKUP(D4358,Assumptions!$G$5:$H$16,2,0),"Other"))</f>
        <v/>
      </c>
      <c r="J4358" s="41" t="str">
        <f aca="false">IF(G4358="","",IFERROR(IF(ISNUMBER(SEARCH(Assumptions!$C$5,G4358)),Assumptions!$D$5,IF(ISNUMBER(SEARCH(Assumptions!$C$6,G4358)),Assumptions!$D$6,IF(ISNUMBER(SEARCH(Assumptions!$C$7,G4358)),Assumptions!$D$7,"Other Services"))),"Other Services"))</f>
        <v/>
      </c>
    </row>
    <row r="4359" customFormat="false" ht="15" hidden="false" customHeight="false" outlineLevel="0" collapsed="false">
      <c r="E4359" s="41" t="str">
        <f aca="false">IF(D4359="","",IFERROR(VLOOKUP(D4359,Assumptions!$G$5:$H$16,2,0),"Other"))</f>
        <v/>
      </c>
      <c r="J4359" s="41" t="str">
        <f aca="false">IF(G4359="","",IFERROR(IF(ISNUMBER(SEARCH(Assumptions!$C$5,G4359)),Assumptions!$D$5,IF(ISNUMBER(SEARCH(Assumptions!$C$6,G4359)),Assumptions!$D$6,IF(ISNUMBER(SEARCH(Assumptions!$C$7,G4359)),Assumptions!$D$7,"Other Services"))),"Other Services"))</f>
        <v/>
      </c>
    </row>
    <row r="4360" customFormat="false" ht="15" hidden="false" customHeight="false" outlineLevel="0" collapsed="false">
      <c r="E4360" s="41" t="str">
        <f aca="false">IF(D4360="","",IFERROR(VLOOKUP(D4360,Assumptions!$G$5:$H$16,2,0),"Other"))</f>
        <v/>
      </c>
      <c r="J4360" s="41" t="str">
        <f aca="false">IF(G4360="","",IFERROR(IF(ISNUMBER(SEARCH(Assumptions!$C$5,G4360)),Assumptions!$D$5,IF(ISNUMBER(SEARCH(Assumptions!$C$6,G4360)),Assumptions!$D$6,IF(ISNUMBER(SEARCH(Assumptions!$C$7,G4360)),Assumptions!$D$7,"Other Services"))),"Other Services"))</f>
        <v/>
      </c>
    </row>
    <row r="4361" customFormat="false" ht="15" hidden="false" customHeight="false" outlineLevel="0" collapsed="false">
      <c r="E4361" s="41" t="str">
        <f aca="false">IF(D4361="","",IFERROR(VLOOKUP(D4361,Assumptions!$G$5:$H$16,2,0),"Other"))</f>
        <v/>
      </c>
      <c r="J4361" s="41" t="str">
        <f aca="false">IF(G4361="","",IFERROR(IF(ISNUMBER(SEARCH(Assumptions!$C$5,G4361)),Assumptions!$D$5,IF(ISNUMBER(SEARCH(Assumptions!$C$6,G4361)),Assumptions!$D$6,IF(ISNUMBER(SEARCH(Assumptions!$C$7,G4361)),Assumptions!$D$7,"Other Services"))),"Other Services"))</f>
        <v/>
      </c>
    </row>
    <row r="4362" customFormat="false" ht="15" hidden="false" customHeight="false" outlineLevel="0" collapsed="false">
      <c r="E4362" s="41" t="str">
        <f aca="false">IF(D4362="","",IFERROR(VLOOKUP(D4362,Assumptions!$G$5:$H$16,2,0),"Other"))</f>
        <v/>
      </c>
      <c r="J4362" s="41" t="str">
        <f aca="false">IF(G4362="","",IFERROR(IF(ISNUMBER(SEARCH(Assumptions!$C$5,G4362)),Assumptions!$D$5,IF(ISNUMBER(SEARCH(Assumptions!$C$6,G4362)),Assumptions!$D$6,IF(ISNUMBER(SEARCH(Assumptions!$C$7,G4362)),Assumptions!$D$7,"Other Services"))),"Other Services"))</f>
        <v/>
      </c>
    </row>
    <row r="4363" customFormat="false" ht="15" hidden="false" customHeight="false" outlineLevel="0" collapsed="false">
      <c r="E4363" s="41" t="str">
        <f aca="false">IF(D4363="","",IFERROR(VLOOKUP(D4363,Assumptions!$G$5:$H$16,2,0),"Other"))</f>
        <v/>
      </c>
      <c r="J4363" s="41" t="str">
        <f aca="false">IF(G4363="","",IFERROR(IF(ISNUMBER(SEARCH(Assumptions!$C$5,G4363)),Assumptions!$D$5,IF(ISNUMBER(SEARCH(Assumptions!$C$6,G4363)),Assumptions!$D$6,IF(ISNUMBER(SEARCH(Assumptions!$C$7,G4363)),Assumptions!$D$7,"Other Services"))),"Other Services"))</f>
        <v/>
      </c>
    </row>
    <row r="4364" customFormat="false" ht="15" hidden="false" customHeight="false" outlineLevel="0" collapsed="false">
      <c r="E4364" s="41" t="str">
        <f aca="false">IF(D4364="","",IFERROR(VLOOKUP(D4364,Assumptions!$G$5:$H$16,2,0),"Other"))</f>
        <v/>
      </c>
      <c r="J4364" s="41" t="str">
        <f aca="false">IF(G4364="","",IFERROR(IF(ISNUMBER(SEARCH(Assumptions!$C$5,G4364)),Assumptions!$D$5,IF(ISNUMBER(SEARCH(Assumptions!$C$6,G4364)),Assumptions!$D$6,IF(ISNUMBER(SEARCH(Assumptions!$C$7,G4364)),Assumptions!$D$7,"Other Services"))),"Other Services"))</f>
        <v/>
      </c>
    </row>
    <row r="4365" customFormat="false" ht="15" hidden="false" customHeight="false" outlineLevel="0" collapsed="false">
      <c r="E4365" s="41" t="str">
        <f aca="false">IF(D4365="","",IFERROR(VLOOKUP(D4365,Assumptions!$G$5:$H$16,2,0),"Other"))</f>
        <v/>
      </c>
      <c r="J4365" s="41" t="str">
        <f aca="false">IF(G4365="","",IFERROR(IF(ISNUMBER(SEARCH(Assumptions!$C$5,G4365)),Assumptions!$D$5,IF(ISNUMBER(SEARCH(Assumptions!$C$6,G4365)),Assumptions!$D$6,IF(ISNUMBER(SEARCH(Assumptions!$C$7,G4365)),Assumptions!$D$7,"Other Services"))),"Other Services"))</f>
        <v/>
      </c>
    </row>
    <row r="4366" customFormat="false" ht="15" hidden="false" customHeight="false" outlineLevel="0" collapsed="false">
      <c r="E4366" s="41" t="str">
        <f aca="false">IF(D4366="","",IFERROR(VLOOKUP(D4366,Assumptions!$G$5:$H$16,2,0),"Other"))</f>
        <v/>
      </c>
      <c r="J4366" s="41" t="str">
        <f aca="false">IF(G4366="","",IFERROR(IF(ISNUMBER(SEARCH(Assumptions!$C$5,G4366)),Assumptions!$D$5,IF(ISNUMBER(SEARCH(Assumptions!$C$6,G4366)),Assumptions!$D$6,IF(ISNUMBER(SEARCH(Assumptions!$C$7,G4366)),Assumptions!$D$7,"Other Services"))),"Other Services"))</f>
        <v/>
      </c>
    </row>
    <row r="4367" customFormat="false" ht="15" hidden="false" customHeight="false" outlineLevel="0" collapsed="false">
      <c r="E4367" s="41" t="str">
        <f aca="false">IF(D4367="","",IFERROR(VLOOKUP(D4367,Assumptions!$G$5:$H$16,2,0),"Other"))</f>
        <v/>
      </c>
      <c r="J4367" s="41" t="str">
        <f aca="false">IF(G4367="","",IFERROR(IF(ISNUMBER(SEARCH(Assumptions!$C$5,G4367)),Assumptions!$D$5,IF(ISNUMBER(SEARCH(Assumptions!$C$6,G4367)),Assumptions!$D$6,IF(ISNUMBER(SEARCH(Assumptions!$C$7,G4367)),Assumptions!$D$7,"Other Services"))),"Other Services"))</f>
        <v/>
      </c>
    </row>
    <row r="4368" customFormat="false" ht="15" hidden="false" customHeight="false" outlineLevel="0" collapsed="false">
      <c r="E4368" s="41" t="str">
        <f aca="false">IF(D4368="","",IFERROR(VLOOKUP(D4368,Assumptions!$G$5:$H$16,2,0),"Other"))</f>
        <v/>
      </c>
      <c r="J4368" s="41" t="str">
        <f aca="false">IF(G4368="","",IFERROR(IF(ISNUMBER(SEARCH(Assumptions!$C$5,G4368)),Assumptions!$D$5,IF(ISNUMBER(SEARCH(Assumptions!$C$6,G4368)),Assumptions!$D$6,IF(ISNUMBER(SEARCH(Assumptions!$C$7,G4368)),Assumptions!$D$7,"Other Services"))),"Other Services"))</f>
        <v/>
      </c>
    </row>
    <row r="4369" customFormat="false" ht="15" hidden="false" customHeight="false" outlineLevel="0" collapsed="false">
      <c r="E4369" s="41" t="str">
        <f aca="false">IF(D4369="","",IFERROR(VLOOKUP(D4369,Assumptions!$G$5:$H$16,2,0),"Other"))</f>
        <v/>
      </c>
      <c r="J4369" s="41" t="str">
        <f aca="false">IF(G4369="","",IFERROR(IF(ISNUMBER(SEARCH(Assumptions!$C$5,G4369)),Assumptions!$D$5,IF(ISNUMBER(SEARCH(Assumptions!$C$6,G4369)),Assumptions!$D$6,IF(ISNUMBER(SEARCH(Assumptions!$C$7,G4369)),Assumptions!$D$7,"Other Services"))),"Other Services"))</f>
        <v/>
      </c>
    </row>
    <row r="4370" customFormat="false" ht="15" hidden="false" customHeight="false" outlineLevel="0" collapsed="false">
      <c r="E4370" s="41" t="str">
        <f aca="false">IF(D4370="","",IFERROR(VLOOKUP(D4370,Assumptions!$G$5:$H$16,2,0),"Other"))</f>
        <v/>
      </c>
      <c r="J4370" s="41" t="str">
        <f aca="false">IF(G4370="","",IFERROR(IF(ISNUMBER(SEARCH(Assumptions!$C$5,G4370)),Assumptions!$D$5,IF(ISNUMBER(SEARCH(Assumptions!$C$6,G4370)),Assumptions!$D$6,IF(ISNUMBER(SEARCH(Assumptions!$C$7,G4370)),Assumptions!$D$7,"Other Services"))),"Other Services"))</f>
        <v/>
      </c>
    </row>
    <row r="4371" customFormat="false" ht="15" hidden="false" customHeight="false" outlineLevel="0" collapsed="false">
      <c r="E4371" s="41" t="str">
        <f aca="false">IF(D4371="","",IFERROR(VLOOKUP(D4371,Assumptions!$G$5:$H$16,2,0),"Other"))</f>
        <v/>
      </c>
      <c r="J4371" s="41" t="str">
        <f aca="false">IF(G4371="","",IFERROR(IF(ISNUMBER(SEARCH(Assumptions!$C$5,G4371)),Assumptions!$D$5,IF(ISNUMBER(SEARCH(Assumptions!$C$6,G4371)),Assumptions!$D$6,IF(ISNUMBER(SEARCH(Assumptions!$C$7,G4371)),Assumptions!$D$7,"Other Services"))),"Other Services"))</f>
        <v/>
      </c>
    </row>
    <row r="4372" customFormat="false" ht="15" hidden="false" customHeight="false" outlineLevel="0" collapsed="false">
      <c r="E4372" s="41" t="str">
        <f aca="false">IF(D4372="","",IFERROR(VLOOKUP(D4372,Assumptions!$G$5:$H$16,2,0),"Other"))</f>
        <v/>
      </c>
      <c r="J4372" s="41" t="str">
        <f aca="false">IF(G4372="","",IFERROR(IF(ISNUMBER(SEARCH(Assumptions!$C$5,G4372)),Assumptions!$D$5,IF(ISNUMBER(SEARCH(Assumptions!$C$6,G4372)),Assumptions!$D$6,IF(ISNUMBER(SEARCH(Assumptions!$C$7,G4372)),Assumptions!$D$7,"Other Services"))),"Other Services"))</f>
        <v/>
      </c>
    </row>
    <row r="4373" customFormat="false" ht="15" hidden="false" customHeight="false" outlineLevel="0" collapsed="false">
      <c r="E4373" s="41" t="str">
        <f aca="false">IF(D4373="","",IFERROR(VLOOKUP(D4373,Assumptions!$G$5:$H$16,2,0),"Other"))</f>
        <v/>
      </c>
      <c r="J4373" s="41" t="str">
        <f aca="false">IF(G4373="","",IFERROR(IF(ISNUMBER(SEARCH(Assumptions!$C$5,G4373)),Assumptions!$D$5,IF(ISNUMBER(SEARCH(Assumptions!$C$6,G4373)),Assumptions!$D$6,IF(ISNUMBER(SEARCH(Assumptions!$C$7,G4373)),Assumptions!$D$7,"Other Services"))),"Other Services"))</f>
        <v/>
      </c>
    </row>
    <row r="4374" customFormat="false" ht="15" hidden="false" customHeight="false" outlineLevel="0" collapsed="false">
      <c r="E4374" s="41" t="str">
        <f aca="false">IF(D4374="","",IFERROR(VLOOKUP(D4374,Assumptions!$G$5:$H$16,2,0),"Other"))</f>
        <v/>
      </c>
      <c r="J4374" s="41" t="str">
        <f aca="false">IF(G4374="","",IFERROR(IF(ISNUMBER(SEARCH(Assumptions!$C$5,G4374)),Assumptions!$D$5,IF(ISNUMBER(SEARCH(Assumptions!$C$6,G4374)),Assumptions!$D$6,IF(ISNUMBER(SEARCH(Assumptions!$C$7,G4374)),Assumptions!$D$7,"Other Services"))),"Other Services"))</f>
        <v/>
      </c>
    </row>
    <row r="4375" customFormat="false" ht="15" hidden="false" customHeight="false" outlineLevel="0" collapsed="false">
      <c r="E4375" s="41" t="str">
        <f aca="false">IF(D4375="","",IFERROR(VLOOKUP(D4375,Assumptions!$G$5:$H$16,2,0),"Other"))</f>
        <v/>
      </c>
      <c r="J4375" s="41" t="str">
        <f aca="false">IF(G4375="","",IFERROR(IF(ISNUMBER(SEARCH(Assumptions!$C$5,G4375)),Assumptions!$D$5,IF(ISNUMBER(SEARCH(Assumptions!$C$6,G4375)),Assumptions!$D$6,IF(ISNUMBER(SEARCH(Assumptions!$C$7,G4375)),Assumptions!$D$7,"Other Services"))),"Other Services"))</f>
        <v/>
      </c>
    </row>
    <row r="4376" customFormat="false" ht="15" hidden="false" customHeight="false" outlineLevel="0" collapsed="false">
      <c r="E4376" s="41" t="str">
        <f aca="false">IF(D4376="","",IFERROR(VLOOKUP(D4376,Assumptions!$G$5:$H$16,2,0),"Other"))</f>
        <v/>
      </c>
      <c r="J4376" s="41" t="str">
        <f aca="false">IF(G4376="","",IFERROR(IF(ISNUMBER(SEARCH(Assumptions!$C$5,G4376)),Assumptions!$D$5,IF(ISNUMBER(SEARCH(Assumptions!$C$6,G4376)),Assumptions!$D$6,IF(ISNUMBER(SEARCH(Assumptions!$C$7,G4376)),Assumptions!$D$7,"Other Services"))),"Other Services"))</f>
        <v/>
      </c>
    </row>
    <row r="4377" customFormat="false" ht="15" hidden="false" customHeight="false" outlineLevel="0" collapsed="false">
      <c r="E4377" s="41" t="str">
        <f aca="false">IF(D4377="","",IFERROR(VLOOKUP(D4377,Assumptions!$G$5:$H$16,2,0),"Other"))</f>
        <v/>
      </c>
      <c r="J4377" s="41" t="str">
        <f aca="false">IF(G4377="","",IFERROR(IF(ISNUMBER(SEARCH(Assumptions!$C$5,G4377)),Assumptions!$D$5,IF(ISNUMBER(SEARCH(Assumptions!$C$6,G4377)),Assumptions!$D$6,IF(ISNUMBER(SEARCH(Assumptions!$C$7,G4377)),Assumptions!$D$7,"Other Services"))),"Other Services"))</f>
        <v/>
      </c>
    </row>
    <row r="4378" customFormat="false" ht="15" hidden="false" customHeight="false" outlineLevel="0" collapsed="false">
      <c r="E4378" s="41" t="str">
        <f aca="false">IF(D4378="","",IFERROR(VLOOKUP(D4378,Assumptions!$G$5:$H$16,2,0),"Other"))</f>
        <v/>
      </c>
      <c r="J4378" s="41" t="str">
        <f aca="false">IF(G4378="","",IFERROR(IF(ISNUMBER(SEARCH(Assumptions!$C$5,G4378)),Assumptions!$D$5,IF(ISNUMBER(SEARCH(Assumptions!$C$6,G4378)),Assumptions!$D$6,IF(ISNUMBER(SEARCH(Assumptions!$C$7,G4378)),Assumptions!$D$7,"Other Services"))),"Other Services"))</f>
        <v/>
      </c>
    </row>
    <row r="4379" customFormat="false" ht="15" hidden="false" customHeight="false" outlineLevel="0" collapsed="false">
      <c r="E4379" s="41" t="str">
        <f aca="false">IF(D4379="","",IFERROR(VLOOKUP(D4379,Assumptions!$G$5:$H$16,2,0),"Other"))</f>
        <v/>
      </c>
      <c r="J4379" s="41" t="str">
        <f aca="false">IF(G4379="","",IFERROR(IF(ISNUMBER(SEARCH(Assumptions!$C$5,G4379)),Assumptions!$D$5,IF(ISNUMBER(SEARCH(Assumptions!$C$6,G4379)),Assumptions!$D$6,IF(ISNUMBER(SEARCH(Assumptions!$C$7,G4379)),Assumptions!$D$7,"Other Services"))),"Other Services"))</f>
        <v/>
      </c>
    </row>
    <row r="4380" customFormat="false" ht="15" hidden="false" customHeight="false" outlineLevel="0" collapsed="false">
      <c r="E4380" s="41" t="str">
        <f aca="false">IF(D4380="","",IFERROR(VLOOKUP(D4380,Assumptions!$G$5:$H$16,2,0),"Other"))</f>
        <v/>
      </c>
      <c r="J4380" s="41" t="str">
        <f aca="false">IF(G4380="","",IFERROR(IF(ISNUMBER(SEARCH(Assumptions!$C$5,G4380)),Assumptions!$D$5,IF(ISNUMBER(SEARCH(Assumptions!$C$6,G4380)),Assumptions!$D$6,IF(ISNUMBER(SEARCH(Assumptions!$C$7,G4380)),Assumptions!$D$7,"Other Services"))),"Other Services"))</f>
        <v/>
      </c>
    </row>
    <row r="4381" customFormat="false" ht="15" hidden="false" customHeight="false" outlineLevel="0" collapsed="false">
      <c r="E4381" s="41" t="str">
        <f aca="false">IF(D4381="","",IFERROR(VLOOKUP(D4381,Assumptions!$G$5:$H$16,2,0),"Other"))</f>
        <v/>
      </c>
      <c r="J4381" s="41" t="str">
        <f aca="false">IF(G4381="","",IFERROR(IF(ISNUMBER(SEARCH(Assumptions!$C$5,G4381)),Assumptions!$D$5,IF(ISNUMBER(SEARCH(Assumptions!$C$6,G4381)),Assumptions!$D$6,IF(ISNUMBER(SEARCH(Assumptions!$C$7,G4381)),Assumptions!$D$7,"Other Services"))),"Other Services"))</f>
        <v/>
      </c>
    </row>
    <row r="4382" customFormat="false" ht="15" hidden="false" customHeight="false" outlineLevel="0" collapsed="false">
      <c r="E4382" s="41" t="str">
        <f aca="false">IF(D4382="","",IFERROR(VLOOKUP(D4382,Assumptions!$G$5:$H$16,2,0),"Other"))</f>
        <v/>
      </c>
      <c r="J4382" s="41" t="str">
        <f aca="false">IF(G4382="","",IFERROR(IF(ISNUMBER(SEARCH(Assumptions!$C$5,G4382)),Assumptions!$D$5,IF(ISNUMBER(SEARCH(Assumptions!$C$6,G4382)),Assumptions!$D$6,IF(ISNUMBER(SEARCH(Assumptions!$C$7,G4382)),Assumptions!$D$7,"Other Services"))),"Other Services"))</f>
        <v/>
      </c>
    </row>
    <row r="4383" customFormat="false" ht="15" hidden="false" customHeight="false" outlineLevel="0" collapsed="false">
      <c r="E4383" s="41" t="str">
        <f aca="false">IF(D4383="","",IFERROR(VLOOKUP(D4383,Assumptions!$G$5:$H$16,2,0),"Other"))</f>
        <v/>
      </c>
      <c r="J4383" s="41" t="str">
        <f aca="false">IF(G4383="","",IFERROR(IF(ISNUMBER(SEARCH(Assumptions!$C$5,G4383)),Assumptions!$D$5,IF(ISNUMBER(SEARCH(Assumptions!$C$6,G4383)),Assumptions!$D$6,IF(ISNUMBER(SEARCH(Assumptions!$C$7,G4383)),Assumptions!$D$7,"Other Services"))),"Other Services"))</f>
        <v/>
      </c>
    </row>
    <row r="4384" customFormat="false" ht="15" hidden="false" customHeight="false" outlineLevel="0" collapsed="false">
      <c r="E4384" s="41" t="str">
        <f aca="false">IF(D4384="","",IFERROR(VLOOKUP(D4384,Assumptions!$G$5:$H$16,2,0),"Other"))</f>
        <v/>
      </c>
      <c r="J4384" s="41" t="str">
        <f aca="false">IF(G4384="","",IFERROR(IF(ISNUMBER(SEARCH(Assumptions!$C$5,G4384)),Assumptions!$D$5,IF(ISNUMBER(SEARCH(Assumptions!$C$6,G4384)),Assumptions!$D$6,IF(ISNUMBER(SEARCH(Assumptions!$C$7,G4384)),Assumptions!$D$7,"Other Services"))),"Other Services"))</f>
        <v/>
      </c>
    </row>
    <row r="4385" customFormat="false" ht="15" hidden="false" customHeight="false" outlineLevel="0" collapsed="false">
      <c r="E4385" s="41" t="str">
        <f aca="false">IF(D4385="","",IFERROR(VLOOKUP(D4385,Assumptions!$G$5:$H$16,2,0),"Other"))</f>
        <v/>
      </c>
      <c r="J4385" s="41" t="str">
        <f aca="false">IF(G4385="","",IFERROR(IF(ISNUMBER(SEARCH(Assumptions!$C$5,G4385)),Assumptions!$D$5,IF(ISNUMBER(SEARCH(Assumptions!$C$6,G4385)),Assumptions!$D$6,IF(ISNUMBER(SEARCH(Assumptions!$C$7,G4385)),Assumptions!$D$7,"Other Services"))),"Other Services"))</f>
        <v/>
      </c>
    </row>
    <row r="4386" customFormat="false" ht="15" hidden="false" customHeight="false" outlineLevel="0" collapsed="false">
      <c r="E4386" s="41" t="str">
        <f aca="false">IF(D4386="","",IFERROR(VLOOKUP(D4386,Assumptions!$G$5:$H$16,2,0),"Other"))</f>
        <v/>
      </c>
      <c r="J4386" s="41" t="str">
        <f aca="false">IF(G4386="","",IFERROR(IF(ISNUMBER(SEARCH(Assumptions!$C$5,G4386)),Assumptions!$D$5,IF(ISNUMBER(SEARCH(Assumptions!$C$6,G4386)),Assumptions!$D$6,IF(ISNUMBER(SEARCH(Assumptions!$C$7,G4386)),Assumptions!$D$7,"Other Services"))),"Other Services"))</f>
        <v/>
      </c>
    </row>
    <row r="4387" customFormat="false" ht="15" hidden="false" customHeight="false" outlineLevel="0" collapsed="false">
      <c r="E4387" s="41" t="str">
        <f aca="false">IF(D4387="","",IFERROR(VLOOKUP(D4387,Assumptions!$G$5:$H$16,2,0),"Other"))</f>
        <v/>
      </c>
      <c r="J4387" s="41" t="str">
        <f aca="false">IF(G4387="","",IFERROR(IF(ISNUMBER(SEARCH(Assumptions!$C$5,G4387)),Assumptions!$D$5,IF(ISNUMBER(SEARCH(Assumptions!$C$6,G4387)),Assumptions!$D$6,IF(ISNUMBER(SEARCH(Assumptions!$C$7,G4387)),Assumptions!$D$7,"Other Services"))),"Other Services"))</f>
        <v/>
      </c>
    </row>
    <row r="4388" customFormat="false" ht="15" hidden="false" customHeight="false" outlineLevel="0" collapsed="false">
      <c r="E4388" s="41" t="str">
        <f aca="false">IF(D4388="","",IFERROR(VLOOKUP(D4388,Assumptions!$G$5:$H$16,2,0),"Other"))</f>
        <v/>
      </c>
      <c r="J4388" s="41" t="str">
        <f aca="false">IF(G4388="","",IFERROR(IF(ISNUMBER(SEARCH(Assumptions!$C$5,G4388)),Assumptions!$D$5,IF(ISNUMBER(SEARCH(Assumptions!$C$6,G4388)),Assumptions!$D$6,IF(ISNUMBER(SEARCH(Assumptions!$C$7,G4388)),Assumptions!$D$7,"Other Services"))),"Other Services"))</f>
        <v/>
      </c>
    </row>
    <row r="4389" customFormat="false" ht="15" hidden="false" customHeight="false" outlineLevel="0" collapsed="false">
      <c r="E4389" s="41" t="str">
        <f aca="false">IF(D4389="","",IFERROR(VLOOKUP(D4389,Assumptions!$G$5:$H$16,2,0),"Other"))</f>
        <v/>
      </c>
      <c r="J4389" s="41" t="str">
        <f aca="false">IF(G4389="","",IFERROR(IF(ISNUMBER(SEARCH(Assumptions!$C$5,G4389)),Assumptions!$D$5,IF(ISNUMBER(SEARCH(Assumptions!$C$6,G4389)),Assumptions!$D$6,IF(ISNUMBER(SEARCH(Assumptions!$C$7,G4389)),Assumptions!$D$7,"Other Services"))),"Other Services"))</f>
        <v/>
      </c>
    </row>
    <row r="4390" customFormat="false" ht="15" hidden="false" customHeight="false" outlineLevel="0" collapsed="false">
      <c r="E4390" s="41" t="str">
        <f aca="false">IF(D4390="","",IFERROR(VLOOKUP(D4390,Assumptions!$G$5:$H$16,2,0),"Other"))</f>
        <v/>
      </c>
      <c r="J4390" s="41" t="str">
        <f aca="false">IF(G4390="","",IFERROR(IF(ISNUMBER(SEARCH(Assumptions!$C$5,G4390)),Assumptions!$D$5,IF(ISNUMBER(SEARCH(Assumptions!$C$6,G4390)),Assumptions!$D$6,IF(ISNUMBER(SEARCH(Assumptions!$C$7,G4390)),Assumptions!$D$7,"Other Services"))),"Other Services"))</f>
        <v/>
      </c>
    </row>
    <row r="4391" customFormat="false" ht="15" hidden="false" customHeight="false" outlineLevel="0" collapsed="false">
      <c r="E4391" s="41" t="str">
        <f aca="false">IF(D4391="","",IFERROR(VLOOKUP(D4391,Assumptions!$G$5:$H$16,2,0),"Other"))</f>
        <v/>
      </c>
      <c r="J4391" s="41" t="str">
        <f aca="false">IF(G4391="","",IFERROR(IF(ISNUMBER(SEARCH(Assumptions!$C$5,G4391)),Assumptions!$D$5,IF(ISNUMBER(SEARCH(Assumptions!$C$6,G4391)),Assumptions!$D$6,IF(ISNUMBER(SEARCH(Assumptions!$C$7,G4391)),Assumptions!$D$7,"Other Services"))),"Other Services"))</f>
        <v/>
      </c>
    </row>
    <row r="4392" customFormat="false" ht="15" hidden="false" customHeight="false" outlineLevel="0" collapsed="false">
      <c r="E4392" s="41" t="str">
        <f aca="false">IF(D4392="","",IFERROR(VLOOKUP(D4392,Assumptions!$G$5:$H$16,2,0),"Other"))</f>
        <v/>
      </c>
      <c r="J4392" s="41" t="str">
        <f aca="false">IF(G4392="","",IFERROR(IF(ISNUMBER(SEARCH(Assumptions!$C$5,G4392)),Assumptions!$D$5,IF(ISNUMBER(SEARCH(Assumptions!$C$6,G4392)),Assumptions!$D$6,IF(ISNUMBER(SEARCH(Assumptions!$C$7,G4392)),Assumptions!$D$7,"Other Services"))),"Other Services"))</f>
        <v/>
      </c>
    </row>
    <row r="4393" customFormat="false" ht="15" hidden="false" customHeight="false" outlineLevel="0" collapsed="false">
      <c r="E4393" s="41" t="str">
        <f aca="false">IF(D4393="","",IFERROR(VLOOKUP(D4393,Assumptions!$G$5:$H$16,2,0),"Other"))</f>
        <v/>
      </c>
      <c r="J4393" s="41" t="str">
        <f aca="false">IF(G4393="","",IFERROR(IF(ISNUMBER(SEARCH(Assumptions!$C$5,G4393)),Assumptions!$D$5,IF(ISNUMBER(SEARCH(Assumptions!$C$6,G4393)),Assumptions!$D$6,IF(ISNUMBER(SEARCH(Assumptions!$C$7,G4393)),Assumptions!$D$7,"Other Services"))),"Other Services"))</f>
        <v/>
      </c>
    </row>
    <row r="4394" customFormat="false" ht="15" hidden="false" customHeight="false" outlineLevel="0" collapsed="false">
      <c r="E4394" s="41" t="str">
        <f aca="false">IF(D4394="","",IFERROR(VLOOKUP(D4394,Assumptions!$G$5:$H$16,2,0),"Other"))</f>
        <v/>
      </c>
      <c r="J4394" s="41" t="str">
        <f aca="false">IF(G4394="","",IFERROR(IF(ISNUMBER(SEARCH(Assumptions!$C$5,G4394)),Assumptions!$D$5,IF(ISNUMBER(SEARCH(Assumptions!$C$6,G4394)),Assumptions!$D$6,IF(ISNUMBER(SEARCH(Assumptions!$C$7,G4394)),Assumptions!$D$7,"Other Services"))),"Other Services"))</f>
        <v/>
      </c>
    </row>
    <row r="4395" customFormat="false" ht="15" hidden="false" customHeight="false" outlineLevel="0" collapsed="false">
      <c r="E4395" s="41" t="str">
        <f aca="false">IF(D4395="","",IFERROR(VLOOKUP(D4395,Assumptions!$G$5:$H$16,2,0),"Other"))</f>
        <v/>
      </c>
      <c r="J4395" s="41" t="str">
        <f aca="false">IF(G4395="","",IFERROR(IF(ISNUMBER(SEARCH(Assumptions!$C$5,G4395)),Assumptions!$D$5,IF(ISNUMBER(SEARCH(Assumptions!$C$6,G4395)),Assumptions!$D$6,IF(ISNUMBER(SEARCH(Assumptions!$C$7,G4395)),Assumptions!$D$7,"Other Services"))),"Other Services"))</f>
        <v/>
      </c>
    </row>
    <row r="4396" customFormat="false" ht="15" hidden="false" customHeight="false" outlineLevel="0" collapsed="false">
      <c r="E4396" s="41" t="str">
        <f aca="false">IF(D4396="","",IFERROR(VLOOKUP(D4396,Assumptions!$G$5:$H$16,2,0),"Other"))</f>
        <v/>
      </c>
      <c r="J4396" s="41" t="str">
        <f aca="false">IF(G4396="","",IFERROR(IF(ISNUMBER(SEARCH(Assumptions!$C$5,G4396)),Assumptions!$D$5,IF(ISNUMBER(SEARCH(Assumptions!$C$6,G4396)),Assumptions!$D$6,IF(ISNUMBER(SEARCH(Assumptions!$C$7,G4396)),Assumptions!$D$7,"Other Services"))),"Other Services"))</f>
        <v/>
      </c>
    </row>
    <row r="4397" customFormat="false" ht="15" hidden="false" customHeight="false" outlineLevel="0" collapsed="false">
      <c r="E4397" s="41" t="str">
        <f aca="false">IF(D4397="","",IFERROR(VLOOKUP(D4397,Assumptions!$G$5:$H$16,2,0),"Other"))</f>
        <v/>
      </c>
      <c r="J4397" s="41" t="str">
        <f aca="false">IF(G4397="","",IFERROR(IF(ISNUMBER(SEARCH(Assumptions!$C$5,G4397)),Assumptions!$D$5,IF(ISNUMBER(SEARCH(Assumptions!$C$6,G4397)),Assumptions!$D$6,IF(ISNUMBER(SEARCH(Assumptions!$C$7,G4397)),Assumptions!$D$7,"Other Services"))),"Other Services"))</f>
        <v/>
      </c>
    </row>
    <row r="4398" customFormat="false" ht="15" hidden="false" customHeight="false" outlineLevel="0" collapsed="false">
      <c r="E4398" s="41" t="str">
        <f aca="false">IF(D4398="","",IFERROR(VLOOKUP(D4398,Assumptions!$G$5:$H$16,2,0),"Other"))</f>
        <v/>
      </c>
      <c r="J4398" s="41" t="str">
        <f aca="false">IF(G4398="","",IFERROR(IF(ISNUMBER(SEARCH(Assumptions!$C$5,G4398)),Assumptions!$D$5,IF(ISNUMBER(SEARCH(Assumptions!$C$6,G4398)),Assumptions!$D$6,IF(ISNUMBER(SEARCH(Assumptions!$C$7,G4398)),Assumptions!$D$7,"Other Services"))),"Other Services"))</f>
        <v/>
      </c>
    </row>
    <row r="4399" customFormat="false" ht="15" hidden="false" customHeight="false" outlineLevel="0" collapsed="false">
      <c r="E4399" s="41" t="str">
        <f aca="false">IF(D4399="","",IFERROR(VLOOKUP(D4399,Assumptions!$G$5:$H$16,2,0),"Other"))</f>
        <v/>
      </c>
      <c r="J4399" s="41" t="str">
        <f aca="false">IF(G4399="","",IFERROR(IF(ISNUMBER(SEARCH(Assumptions!$C$5,G4399)),Assumptions!$D$5,IF(ISNUMBER(SEARCH(Assumptions!$C$6,G4399)),Assumptions!$D$6,IF(ISNUMBER(SEARCH(Assumptions!$C$7,G4399)),Assumptions!$D$7,"Other Services"))),"Other Services"))</f>
        <v/>
      </c>
    </row>
    <row r="4400" customFormat="false" ht="15" hidden="false" customHeight="false" outlineLevel="0" collapsed="false">
      <c r="E4400" s="41" t="str">
        <f aca="false">IF(D4400="","",IFERROR(VLOOKUP(D4400,Assumptions!$G$5:$H$16,2,0),"Other"))</f>
        <v/>
      </c>
      <c r="J4400" s="41" t="str">
        <f aca="false">IF(G4400="","",IFERROR(IF(ISNUMBER(SEARCH(Assumptions!$C$5,G4400)),Assumptions!$D$5,IF(ISNUMBER(SEARCH(Assumptions!$C$6,G4400)),Assumptions!$D$6,IF(ISNUMBER(SEARCH(Assumptions!$C$7,G4400)),Assumptions!$D$7,"Other Services"))),"Other Services"))</f>
        <v/>
      </c>
    </row>
    <row r="4401" customFormat="false" ht="15" hidden="false" customHeight="false" outlineLevel="0" collapsed="false">
      <c r="E4401" s="41" t="str">
        <f aca="false">IF(D4401="","",IFERROR(VLOOKUP(D4401,Assumptions!$G$5:$H$16,2,0),"Other"))</f>
        <v/>
      </c>
      <c r="J4401" s="41" t="str">
        <f aca="false">IF(G4401="","",IFERROR(IF(ISNUMBER(SEARCH(Assumptions!$C$5,G4401)),Assumptions!$D$5,IF(ISNUMBER(SEARCH(Assumptions!$C$6,G4401)),Assumptions!$D$6,IF(ISNUMBER(SEARCH(Assumptions!$C$7,G4401)),Assumptions!$D$7,"Other Services"))),"Other Services"))</f>
        <v/>
      </c>
    </row>
    <row r="4402" customFormat="false" ht="15" hidden="false" customHeight="false" outlineLevel="0" collapsed="false">
      <c r="E4402" s="41" t="str">
        <f aca="false">IF(D4402="","",IFERROR(VLOOKUP(D4402,Assumptions!$G$5:$H$16,2,0),"Other"))</f>
        <v/>
      </c>
      <c r="J4402" s="41" t="str">
        <f aca="false">IF(G4402="","",IFERROR(IF(ISNUMBER(SEARCH(Assumptions!$C$5,G4402)),Assumptions!$D$5,IF(ISNUMBER(SEARCH(Assumptions!$C$6,G4402)),Assumptions!$D$6,IF(ISNUMBER(SEARCH(Assumptions!$C$7,G4402)),Assumptions!$D$7,"Other Services"))),"Other Services"))</f>
        <v/>
      </c>
    </row>
    <row r="4403" customFormat="false" ht="15" hidden="false" customHeight="false" outlineLevel="0" collapsed="false">
      <c r="E4403" s="41" t="str">
        <f aca="false">IF(D4403="","",IFERROR(VLOOKUP(D4403,Assumptions!$G$5:$H$16,2,0),"Other"))</f>
        <v/>
      </c>
      <c r="J4403" s="41" t="str">
        <f aca="false">IF(G4403="","",IFERROR(IF(ISNUMBER(SEARCH(Assumptions!$C$5,G4403)),Assumptions!$D$5,IF(ISNUMBER(SEARCH(Assumptions!$C$6,G4403)),Assumptions!$D$6,IF(ISNUMBER(SEARCH(Assumptions!$C$7,G4403)),Assumptions!$D$7,"Other Services"))),"Other Services"))</f>
        <v/>
      </c>
    </row>
    <row r="4404" customFormat="false" ht="15" hidden="false" customHeight="false" outlineLevel="0" collapsed="false">
      <c r="E4404" s="41" t="str">
        <f aca="false">IF(D4404="","",IFERROR(VLOOKUP(D4404,Assumptions!$G$5:$H$16,2,0),"Other"))</f>
        <v/>
      </c>
      <c r="J4404" s="41" t="str">
        <f aca="false">IF(G4404="","",IFERROR(IF(ISNUMBER(SEARCH(Assumptions!$C$5,G4404)),Assumptions!$D$5,IF(ISNUMBER(SEARCH(Assumptions!$C$6,G4404)),Assumptions!$D$6,IF(ISNUMBER(SEARCH(Assumptions!$C$7,G4404)),Assumptions!$D$7,"Other Services"))),"Other Services"))</f>
        <v/>
      </c>
    </row>
    <row r="4405" customFormat="false" ht="15" hidden="false" customHeight="false" outlineLevel="0" collapsed="false">
      <c r="E4405" s="41" t="str">
        <f aca="false">IF(D4405="","",IFERROR(VLOOKUP(D4405,Assumptions!$G$5:$H$16,2,0),"Other"))</f>
        <v/>
      </c>
      <c r="J4405" s="41" t="str">
        <f aca="false">IF(G4405="","",IFERROR(IF(ISNUMBER(SEARCH(Assumptions!$C$5,G4405)),Assumptions!$D$5,IF(ISNUMBER(SEARCH(Assumptions!$C$6,G4405)),Assumptions!$D$6,IF(ISNUMBER(SEARCH(Assumptions!$C$7,G4405)),Assumptions!$D$7,"Other Services"))),"Other Services"))</f>
        <v/>
      </c>
    </row>
    <row r="4406" customFormat="false" ht="15" hidden="false" customHeight="false" outlineLevel="0" collapsed="false">
      <c r="E4406" s="41" t="str">
        <f aca="false">IF(D4406="","",IFERROR(VLOOKUP(D4406,Assumptions!$G$5:$H$16,2,0),"Other"))</f>
        <v/>
      </c>
      <c r="J4406" s="41" t="str">
        <f aca="false">IF(G4406="","",IFERROR(IF(ISNUMBER(SEARCH(Assumptions!$C$5,G4406)),Assumptions!$D$5,IF(ISNUMBER(SEARCH(Assumptions!$C$6,G4406)),Assumptions!$D$6,IF(ISNUMBER(SEARCH(Assumptions!$C$7,G4406)),Assumptions!$D$7,"Other Services"))),"Other Services"))</f>
        <v/>
      </c>
    </row>
    <row r="4407" customFormat="false" ht="15" hidden="false" customHeight="false" outlineLevel="0" collapsed="false">
      <c r="E4407" s="41" t="str">
        <f aca="false">IF(D4407="","",IFERROR(VLOOKUP(D4407,Assumptions!$G$5:$H$16,2,0),"Other"))</f>
        <v/>
      </c>
      <c r="J4407" s="41" t="str">
        <f aca="false">IF(G4407="","",IFERROR(IF(ISNUMBER(SEARCH(Assumptions!$C$5,G4407)),Assumptions!$D$5,IF(ISNUMBER(SEARCH(Assumptions!$C$6,G4407)),Assumptions!$D$6,IF(ISNUMBER(SEARCH(Assumptions!$C$7,G4407)),Assumptions!$D$7,"Other Services"))),"Other Services"))</f>
        <v/>
      </c>
    </row>
    <row r="4408" customFormat="false" ht="15" hidden="false" customHeight="false" outlineLevel="0" collapsed="false">
      <c r="E4408" s="41" t="str">
        <f aca="false">IF(D4408="","",IFERROR(VLOOKUP(D4408,Assumptions!$G$5:$H$16,2,0),"Other"))</f>
        <v/>
      </c>
      <c r="J4408" s="41" t="str">
        <f aca="false">IF(G4408="","",IFERROR(IF(ISNUMBER(SEARCH(Assumptions!$C$5,G4408)),Assumptions!$D$5,IF(ISNUMBER(SEARCH(Assumptions!$C$6,G4408)),Assumptions!$D$6,IF(ISNUMBER(SEARCH(Assumptions!$C$7,G4408)),Assumptions!$D$7,"Other Services"))),"Other Services"))</f>
        <v/>
      </c>
    </row>
    <row r="4409" customFormat="false" ht="15" hidden="false" customHeight="false" outlineLevel="0" collapsed="false">
      <c r="E4409" s="41" t="str">
        <f aca="false">IF(D4409="","",IFERROR(VLOOKUP(D4409,Assumptions!$G$5:$H$16,2,0),"Other"))</f>
        <v/>
      </c>
      <c r="J4409" s="41" t="str">
        <f aca="false">IF(G4409="","",IFERROR(IF(ISNUMBER(SEARCH(Assumptions!$C$5,G4409)),Assumptions!$D$5,IF(ISNUMBER(SEARCH(Assumptions!$C$6,G4409)),Assumptions!$D$6,IF(ISNUMBER(SEARCH(Assumptions!$C$7,G4409)),Assumptions!$D$7,"Other Services"))),"Other Services"))</f>
        <v/>
      </c>
    </row>
    <row r="4410" customFormat="false" ht="15" hidden="false" customHeight="false" outlineLevel="0" collapsed="false">
      <c r="E4410" s="41" t="str">
        <f aca="false">IF(D4410="","",IFERROR(VLOOKUP(D4410,Assumptions!$G$5:$H$16,2,0),"Other"))</f>
        <v/>
      </c>
      <c r="J4410" s="41" t="str">
        <f aca="false">IF(G4410="","",IFERROR(IF(ISNUMBER(SEARCH(Assumptions!$C$5,G4410)),Assumptions!$D$5,IF(ISNUMBER(SEARCH(Assumptions!$C$6,G4410)),Assumptions!$D$6,IF(ISNUMBER(SEARCH(Assumptions!$C$7,G4410)),Assumptions!$D$7,"Other Services"))),"Other Services"))</f>
        <v/>
      </c>
    </row>
    <row r="4411" customFormat="false" ht="15" hidden="false" customHeight="false" outlineLevel="0" collapsed="false">
      <c r="E4411" s="41" t="str">
        <f aca="false">IF(D4411="","",IFERROR(VLOOKUP(D4411,Assumptions!$G$5:$H$16,2,0),"Other"))</f>
        <v/>
      </c>
      <c r="J4411" s="41" t="str">
        <f aca="false">IF(G4411="","",IFERROR(IF(ISNUMBER(SEARCH(Assumptions!$C$5,G4411)),Assumptions!$D$5,IF(ISNUMBER(SEARCH(Assumptions!$C$6,G4411)),Assumptions!$D$6,IF(ISNUMBER(SEARCH(Assumptions!$C$7,G4411)),Assumptions!$D$7,"Other Services"))),"Other Services"))</f>
        <v/>
      </c>
    </row>
    <row r="4412" customFormat="false" ht="15" hidden="false" customHeight="false" outlineLevel="0" collapsed="false">
      <c r="E4412" s="41" t="str">
        <f aca="false">IF(D4412="","",IFERROR(VLOOKUP(D4412,Assumptions!$G$5:$H$16,2,0),"Other"))</f>
        <v/>
      </c>
      <c r="J4412" s="41" t="str">
        <f aca="false">IF(G4412="","",IFERROR(IF(ISNUMBER(SEARCH(Assumptions!$C$5,G4412)),Assumptions!$D$5,IF(ISNUMBER(SEARCH(Assumptions!$C$6,G4412)),Assumptions!$D$6,IF(ISNUMBER(SEARCH(Assumptions!$C$7,G4412)),Assumptions!$D$7,"Other Services"))),"Other Services"))</f>
        <v/>
      </c>
    </row>
    <row r="4413" customFormat="false" ht="15" hidden="false" customHeight="false" outlineLevel="0" collapsed="false">
      <c r="E4413" s="41" t="str">
        <f aca="false">IF(D4413="","",IFERROR(VLOOKUP(D4413,Assumptions!$G$5:$H$16,2,0),"Other"))</f>
        <v/>
      </c>
      <c r="J4413" s="41" t="str">
        <f aca="false">IF(G4413="","",IFERROR(IF(ISNUMBER(SEARCH(Assumptions!$C$5,G4413)),Assumptions!$D$5,IF(ISNUMBER(SEARCH(Assumptions!$C$6,G4413)),Assumptions!$D$6,IF(ISNUMBER(SEARCH(Assumptions!$C$7,G4413)),Assumptions!$D$7,"Other Services"))),"Other Services"))</f>
        <v/>
      </c>
    </row>
    <row r="4414" customFormat="false" ht="15" hidden="false" customHeight="false" outlineLevel="0" collapsed="false">
      <c r="E4414" s="41" t="str">
        <f aca="false">IF(D4414="","",IFERROR(VLOOKUP(D4414,Assumptions!$G$5:$H$16,2,0),"Other"))</f>
        <v/>
      </c>
      <c r="J4414" s="41" t="str">
        <f aca="false">IF(G4414="","",IFERROR(IF(ISNUMBER(SEARCH(Assumptions!$C$5,G4414)),Assumptions!$D$5,IF(ISNUMBER(SEARCH(Assumptions!$C$6,G4414)),Assumptions!$D$6,IF(ISNUMBER(SEARCH(Assumptions!$C$7,G4414)),Assumptions!$D$7,"Other Services"))),"Other Services"))</f>
        <v/>
      </c>
    </row>
    <row r="4415" customFormat="false" ht="15" hidden="false" customHeight="false" outlineLevel="0" collapsed="false">
      <c r="E4415" s="41" t="str">
        <f aca="false">IF(D4415="","",IFERROR(VLOOKUP(D4415,Assumptions!$G$5:$H$16,2,0),"Other"))</f>
        <v/>
      </c>
      <c r="J4415" s="41" t="str">
        <f aca="false">IF(G4415="","",IFERROR(IF(ISNUMBER(SEARCH(Assumptions!$C$5,G4415)),Assumptions!$D$5,IF(ISNUMBER(SEARCH(Assumptions!$C$6,G4415)),Assumptions!$D$6,IF(ISNUMBER(SEARCH(Assumptions!$C$7,G4415)),Assumptions!$D$7,"Other Services"))),"Other Services"))</f>
        <v/>
      </c>
    </row>
    <row r="4416" customFormat="false" ht="15" hidden="false" customHeight="false" outlineLevel="0" collapsed="false">
      <c r="E4416" s="41" t="str">
        <f aca="false">IF(D4416="","",IFERROR(VLOOKUP(D4416,Assumptions!$G$5:$H$16,2,0),"Other"))</f>
        <v/>
      </c>
      <c r="J4416" s="41" t="str">
        <f aca="false">IF(G4416="","",IFERROR(IF(ISNUMBER(SEARCH(Assumptions!$C$5,G4416)),Assumptions!$D$5,IF(ISNUMBER(SEARCH(Assumptions!$C$6,G4416)),Assumptions!$D$6,IF(ISNUMBER(SEARCH(Assumptions!$C$7,G4416)),Assumptions!$D$7,"Other Services"))),"Other Services"))</f>
        <v/>
      </c>
    </row>
    <row r="4417" customFormat="false" ht="15" hidden="false" customHeight="false" outlineLevel="0" collapsed="false">
      <c r="E4417" s="41" t="str">
        <f aca="false">IF(D4417="","",IFERROR(VLOOKUP(D4417,Assumptions!$G$5:$H$16,2,0),"Other"))</f>
        <v/>
      </c>
      <c r="J4417" s="41" t="str">
        <f aca="false">IF(G4417="","",IFERROR(IF(ISNUMBER(SEARCH(Assumptions!$C$5,G4417)),Assumptions!$D$5,IF(ISNUMBER(SEARCH(Assumptions!$C$6,G4417)),Assumptions!$D$6,IF(ISNUMBER(SEARCH(Assumptions!$C$7,G4417)),Assumptions!$D$7,"Other Services"))),"Other Services"))</f>
        <v/>
      </c>
    </row>
    <row r="4418" customFormat="false" ht="15" hidden="false" customHeight="false" outlineLevel="0" collapsed="false">
      <c r="E4418" s="41" t="str">
        <f aca="false">IF(D4418="","",IFERROR(VLOOKUP(D4418,Assumptions!$G$5:$H$16,2,0),"Other"))</f>
        <v/>
      </c>
      <c r="J4418" s="41" t="str">
        <f aca="false">IF(G4418="","",IFERROR(IF(ISNUMBER(SEARCH(Assumptions!$C$5,G4418)),Assumptions!$D$5,IF(ISNUMBER(SEARCH(Assumptions!$C$6,G4418)),Assumptions!$D$6,IF(ISNUMBER(SEARCH(Assumptions!$C$7,G4418)),Assumptions!$D$7,"Other Services"))),"Other Services"))</f>
        <v/>
      </c>
    </row>
    <row r="4419" customFormat="false" ht="15" hidden="false" customHeight="false" outlineLevel="0" collapsed="false">
      <c r="E4419" s="41" t="str">
        <f aca="false">IF(D4419="","",IFERROR(VLOOKUP(D4419,Assumptions!$G$5:$H$16,2,0),"Other"))</f>
        <v/>
      </c>
      <c r="J4419" s="41" t="str">
        <f aca="false">IF(G4419="","",IFERROR(IF(ISNUMBER(SEARCH(Assumptions!$C$5,G4419)),Assumptions!$D$5,IF(ISNUMBER(SEARCH(Assumptions!$C$6,G4419)),Assumptions!$D$6,IF(ISNUMBER(SEARCH(Assumptions!$C$7,G4419)),Assumptions!$D$7,"Other Services"))),"Other Services"))</f>
        <v/>
      </c>
    </row>
    <row r="4420" customFormat="false" ht="15" hidden="false" customHeight="false" outlineLevel="0" collapsed="false">
      <c r="E4420" s="41" t="str">
        <f aca="false">IF(D4420="","",IFERROR(VLOOKUP(D4420,Assumptions!$G$5:$H$16,2,0),"Other"))</f>
        <v/>
      </c>
      <c r="J4420" s="41" t="str">
        <f aca="false">IF(G4420="","",IFERROR(IF(ISNUMBER(SEARCH(Assumptions!$C$5,G4420)),Assumptions!$D$5,IF(ISNUMBER(SEARCH(Assumptions!$C$6,G4420)),Assumptions!$D$6,IF(ISNUMBER(SEARCH(Assumptions!$C$7,G4420)),Assumptions!$D$7,"Other Services"))),"Other Services"))</f>
        <v/>
      </c>
    </row>
    <row r="4421" customFormat="false" ht="15" hidden="false" customHeight="false" outlineLevel="0" collapsed="false">
      <c r="E4421" s="41" t="str">
        <f aca="false">IF(D4421="","",IFERROR(VLOOKUP(D4421,Assumptions!$G$5:$H$16,2,0),"Other"))</f>
        <v/>
      </c>
      <c r="J4421" s="41" t="str">
        <f aca="false">IF(G4421="","",IFERROR(IF(ISNUMBER(SEARCH(Assumptions!$C$5,G4421)),Assumptions!$D$5,IF(ISNUMBER(SEARCH(Assumptions!$C$6,G4421)),Assumptions!$D$6,IF(ISNUMBER(SEARCH(Assumptions!$C$7,G4421)),Assumptions!$D$7,"Other Services"))),"Other Services"))</f>
        <v/>
      </c>
    </row>
    <row r="4422" customFormat="false" ht="15" hidden="false" customHeight="false" outlineLevel="0" collapsed="false">
      <c r="E4422" s="41" t="str">
        <f aca="false">IF(D4422="","",IFERROR(VLOOKUP(D4422,Assumptions!$G$5:$H$16,2,0),"Other"))</f>
        <v/>
      </c>
      <c r="J4422" s="41" t="str">
        <f aca="false">IF(G4422="","",IFERROR(IF(ISNUMBER(SEARCH(Assumptions!$C$5,G4422)),Assumptions!$D$5,IF(ISNUMBER(SEARCH(Assumptions!$C$6,G4422)),Assumptions!$D$6,IF(ISNUMBER(SEARCH(Assumptions!$C$7,G4422)),Assumptions!$D$7,"Other Services"))),"Other Services"))</f>
        <v/>
      </c>
    </row>
    <row r="4423" customFormat="false" ht="15" hidden="false" customHeight="false" outlineLevel="0" collapsed="false">
      <c r="E4423" s="41" t="str">
        <f aca="false">IF(D4423="","",IFERROR(VLOOKUP(D4423,Assumptions!$G$5:$H$16,2,0),"Other"))</f>
        <v/>
      </c>
      <c r="J4423" s="41" t="str">
        <f aca="false">IF(G4423="","",IFERROR(IF(ISNUMBER(SEARCH(Assumptions!$C$5,G4423)),Assumptions!$D$5,IF(ISNUMBER(SEARCH(Assumptions!$C$6,G4423)),Assumptions!$D$6,IF(ISNUMBER(SEARCH(Assumptions!$C$7,G4423)),Assumptions!$D$7,"Other Services"))),"Other Services"))</f>
        <v/>
      </c>
    </row>
    <row r="4424" customFormat="false" ht="15" hidden="false" customHeight="false" outlineLevel="0" collapsed="false">
      <c r="E4424" s="41" t="str">
        <f aca="false">IF(D4424="","",IFERROR(VLOOKUP(D4424,Assumptions!$G$5:$H$16,2,0),"Other"))</f>
        <v/>
      </c>
      <c r="J4424" s="41" t="str">
        <f aca="false">IF(G4424="","",IFERROR(IF(ISNUMBER(SEARCH(Assumptions!$C$5,G4424)),Assumptions!$D$5,IF(ISNUMBER(SEARCH(Assumptions!$C$6,G4424)),Assumptions!$D$6,IF(ISNUMBER(SEARCH(Assumptions!$C$7,G4424)),Assumptions!$D$7,"Other Services"))),"Other Services"))</f>
        <v/>
      </c>
    </row>
    <row r="4425" customFormat="false" ht="15" hidden="false" customHeight="false" outlineLevel="0" collapsed="false">
      <c r="E4425" s="41" t="str">
        <f aca="false">IF(D4425="","",IFERROR(VLOOKUP(D4425,Assumptions!$G$5:$H$16,2,0),"Other"))</f>
        <v/>
      </c>
      <c r="J4425" s="41" t="str">
        <f aca="false">IF(G4425="","",IFERROR(IF(ISNUMBER(SEARCH(Assumptions!$C$5,G4425)),Assumptions!$D$5,IF(ISNUMBER(SEARCH(Assumptions!$C$6,G4425)),Assumptions!$D$6,IF(ISNUMBER(SEARCH(Assumptions!$C$7,G4425)),Assumptions!$D$7,"Other Services"))),"Other Services"))</f>
        <v/>
      </c>
    </row>
    <row r="4426" customFormat="false" ht="15" hidden="false" customHeight="false" outlineLevel="0" collapsed="false">
      <c r="E4426" s="41" t="str">
        <f aca="false">IF(D4426="","",IFERROR(VLOOKUP(D4426,Assumptions!$G$5:$H$16,2,0),"Other"))</f>
        <v/>
      </c>
      <c r="J4426" s="41" t="str">
        <f aca="false">IF(G4426="","",IFERROR(IF(ISNUMBER(SEARCH(Assumptions!$C$5,G4426)),Assumptions!$D$5,IF(ISNUMBER(SEARCH(Assumptions!$C$6,G4426)),Assumptions!$D$6,IF(ISNUMBER(SEARCH(Assumptions!$C$7,G4426)),Assumptions!$D$7,"Other Services"))),"Other Services"))</f>
        <v/>
      </c>
    </row>
    <row r="4427" customFormat="false" ht="15" hidden="false" customHeight="false" outlineLevel="0" collapsed="false">
      <c r="E4427" s="41" t="str">
        <f aca="false">IF(D4427="","",IFERROR(VLOOKUP(D4427,Assumptions!$G$5:$H$16,2,0),"Other"))</f>
        <v/>
      </c>
      <c r="J4427" s="41" t="str">
        <f aca="false">IF(G4427="","",IFERROR(IF(ISNUMBER(SEARCH(Assumptions!$C$5,G4427)),Assumptions!$D$5,IF(ISNUMBER(SEARCH(Assumptions!$C$6,G4427)),Assumptions!$D$6,IF(ISNUMBER(SEARCH(Assumptions!$C$7,G4427)),Assumptions!$D$7,"Other Services"))),"Other Services"))</f>
        <v/>
      </c>
    </row>
    <row r="4428" customFormat="false" ht="15" hidden="false" customHeight="false" outlineLevel="0" collapsed="false">
      <c r="E4428" s="41" t="str">
        <f aca="false">IF(D4428="","",IFERROR(VLOOKUP(D4428,Assumptions!$G$5:$H$16,2,0),"Other"))</f>
        <v/>
      </c>
      <c r="J4428" s="41" t="str">
        <f aca="false">IF(G4428="","",IFERROR(IF(ISNUMBER(SEARCH(Assumptions!$C$5,G4428)),Assumptions!$D$5,IF(ISNUMBER(SEARCH(Assumptions!$C$6,G4428)),Assumptions!$D$6,IF(ISNUMBER(SEARCH(Assumptions!$C$7,G4428)),Assumptions!$D$7,"Other Services"))),"Other Services"))</f>
        <v/>
      </c>
    </row>
    <row r="4429" customFormat="false" ht="15" hidden="false" customHeight="false" outlineLevel="0" collapsed="false">
      <c r="E4429" s="41" t="str">
        <f aca="false">IF(D4429="","",IFERROR(VLOOKUP(D4429,Assumptions!$G$5:$H$16,2,0),"Other"))</f>
        <v/>
      </c>
      <c r="J4429" s="41" t="str">
        <f aca="false">IF(G4429="","",IFERROR(IF(ISNUMBER(SEARCH(Assumptions!$C$5,G4429)),Assumptions!$D$5,IF(ISNUMBER(SEARCH(Assumptions!$C$6,G4429)),Assumptions!$D$6,IF(ISNUMBER(SEARCH(Assumptions!$C$7,G4429)),Assumptions!$D$7,"Other Services"))),"Other Services"))</f>
        <v/>
      </c>
    </row>
    <row r="4430" customFormat="false" ht="15" hidden="false" customHeight="false" outlineLevel="0" collapsed="false">
      <c r="E4430" s="41" t="str">
        <f aca="false">IF(D4430="","",IFERROR(VLOOKUP(D4430,Assumptions!$G$5:$H$16,2,0),"Other"))</f>
        <v/>
      </c>
      <c r="J4430" s="41" t="str">
        <f aca="false">IF(G4430="","",IFERROR(IF(ISNUMBER(SEARCH(Assumptions!$C$5,G4430)),Assumptions!$D$5,IF(ISNUMBER(SEARCH(Assumptions!$C$6,G4430)),Assumptions!$D$6,IF(ISNUMBER(SEARCH(Assumptions!$C$7,G4430)),Assumptions!$D$7,"Other Services"))),"Other Services"))</f>
        <v/>
      </c>
    </row>
    <row r="4431" customFormat="false" ht="15" hidden="false" customHeight="false" outlineLevel="0" collapsed="false">
      <c r="E4431" s="41" t="str">
        <f aca="false">IF(D4431="","",IFERROR(VLOOKUP(D4431,Assumptions!$G$5:$H$16,2,0),"Other"))</f>
        <v/>
      </c>
      <c r="J4431" s="41" t="str">
        <f aca="false">IF(G4431="","",IFERROR(IF(ISNUMBER(SEARCH(Assumptions!$C$5,G4431)),Assumptions!$D$5,IF(ISNUMBER(SEARCH(Assumptions!$C$6,G4431)),Assumptions!$D$6,IF(ISNUMBER(SEARCH(Assumptions!$C$7,G4431)),Assumptions!$D$7,"Other Services"))),"Other Services"))</f>
        <v/>
      </c>
    </row>
    <row r="4432" customFormat="false" ht="15" hidden="false" customHeight="false" outlineLevel="0" collapsed="false">
      <c r="E4432" s="41" t="str">
        <f aca="false">IF(D4432="","",IFERROR(VLOOKUP(D4432,Assumptions!$G$5:$H$16,2,0),"Other"))</f>
        <v/>
      </c>
      <c r="J4432" s="41" t="str">
        <f aca="false">IF(G4432="","",IFERROR(IF(ISNUMBER(SEARCH(Assumptions!$C$5,G4432)),Assumptions!$D$5,IF(ISNUMBER(SEARCH(Assumptions!$C$6,G4432)),Assumptions!$D$6,IF(ISNUMBER(SEARCH(Assumptions!$C$7,G4432)),Assumptions!$D$7,"Other Services"))),"Other Services"))</f>
        <v/>
      </c>
    </row>
    <row r="4433" customFormat="false" ht="15" hidden="false" customHeight="false" outlineLevel="0" collapsed="false">
      <c r="E4433" s="41" t="str">
        <f aca="false">IF(D4433="","",IFERROR(VLOOKUP(D4433,Assumptions!$G$5:$H$16,2,0),"Other"))</f>
        <v/>
      </c>
      <c r="J4433" s="41" t="str">
        <f aca="false">IF(G4433="","",IFERROR(IF(ISNUMBER(SEARCH(Assumptions!$C$5,G4433)),Assumptions!$D$5,IF(ISNUMBER(SEARCH(Assumptions!$C$6,G4433)),Assumptions!$D$6,IF(ISNUMBER(SEARCH(Assumptions!$C$7,G4433)),Assumptions!$D$7,"Other Services"))),"Other Services"))</f>
        <v/>
      </c>
    </row>
    <row r="4434" customFormat="false" ht="15" hidden="false" customHeight="false" outlineLevel="0" collapsed="false">
      <c r="E4434" s="41" t="str">
        <f aca="false">IF(D4434="","",IFERROR(VLOOKUP(D4434,Assumptions!$G$5:$H$16,2,0),"Other"))</f>
        <v/>
      </c>
      <c r="J4434" s="41" t="str">
        <f aca="false">IF(G4434="","",IFERROR(IF(ISNUMBER(SEARCH(Assumptions!$C$5,G4434)),Assumptions!$D$5,IF(ISNUMBER(SEARCH(Assumptions!$C$6,G4434)),Assumptions!$D$6,IF(ISNUMBER(SEARCH(Assumptions!$C$7,G4434)),Assumptions!$D$7,"Other Services"))),"Other Services"))</f>
        <v/>
      </c>
    </row>
    <row r="4435" customFormat="false" ht="15" hidden="false" customHeight="false" outlineLevel="0" collapsed="false">
      <c r="E4435" s="41" t="str">
        <f aca="false">IF(D4435="","",IFERROR(VLOOKUP(D4435,Assumptions!$G$5:$H$16,2,0),"Other"))</f>
        <v/>
      </c>
      <c r="J4435" s="41" t="str">
        <f aca="false">IF(G4435="","",IFERROR(IF(ISNUMBER(SEARCH(Assumptions!$C$5,G4435)),Assumptions!$D$5,IF(ISNUMBER(SEARCH(Assumptions!$C$6,G4435)),Assumptions!$D$6,IF(ISNUMBER(SEARCH(Assumptions!$C$7,G4435)),Assumptions!$D$7,"Other Services"))),"Other Services"))</f>
        <v/>
      </c>
    </row>
    <row r="4436" customFormat="false" ht="15" hidden="false" customHeight="false" outlineLevel="0" collapsed="false">
      <c r="E4436" s="41" t="str">
        <f aca="false">IF(D4436="","",IFERROR(VLOOKUP(D4436,Assumptions!$G$5:$H$16,2,0),"Other"))</f>
        <v/>
      </c>
      <c r="J4436" s="41" t="str">
        <f aca="false">IF(G4436="","",IFERROR(IF(ISNUMBER(SEARCH(Assumptions!$C$5,G4436)),Assumptions!$D$5,IF(ISNUMBER(SEARCH(Assumptions!$C$6,G4436)),Assumptions!$D$6,IF(ISNUMBER(SEARCH(Assumptions!$C$7,G4436)),Assumptions!$D$7,"Other Services"))),"Other Services"))</f>
        <v/>
      </c>
    </row>
    <row r="4437" customFormat="false" ht="15" hidden="false" customHeight="false" outlineLevel="0" collapsed="false">
      <c r="E4437" s="41" t="str">
        <f aca="false">IF(D4437="","",IFERROR(VLOOKUP(D4437,Assumptions!$G$5:$H$16,2,0),"Other"))</f>
        <v/>
      </c>
      <c r="J4437" s="41" t="str">
        <f aca="false">IF(G4437="","",IFERROR(IF(ISNUMBER(SEARCH(Assumptions!$C$5,G4437)),Assumptions!$D$5,IF(ISNUMBER(SEARCH(Assumptions!$C$6,G4437)),Assumptions!$D$6,IF(ISNUMBER(SEARCH(Assumptions!$C$7,G4437)),Assumptions!$D$7,"Other Services"))),"Other Services"))</f>
        <v/>
      </c>
    </row>
    <row r="4438" customFormat="false" ht="15" hidden="false" customHeight="false" outlineLevel="0" collapsed="false">
      <c r="E4438" s="41" t="str">
        <f aca="false">IF(D4438="","",IFERROR(VLOOKUP(D4438,Assumptions!$G$5:$H$16,2,0),"Other"))</f>
        <v/>
      </c>
      <c r="J4438" s="41" t="str">
        <f aca="false">IF(G4438="","",IFERROR(IF(ISNUMBER(SEARCH(Assumptions!$C$5,G4438)),Assumptions!$D$5,IF(ISNUMBER(SEARCH(Assumptions!$C$6,G4438)),Assumptions!$D$6,IF(ISNUMBER(SEARCH(Assumptions!$C$7,G4438)),Assumptions!$D$7,"Other Services"))),"Other Services"))</f>
        <v/>
      </c>
    </row>
    <row r="4439" customFormat="false" ht="15" hidden="false" customHeight="false" outlineLevel="0" collapsed="false">
      <c r="E4439" s="41" t="str">
        <f aca="false">IF(D4439="","",IFERROR(VLOOKUP(D4439,Assumptions!$G$5:$H$16,2,0),"Other"))</f>
        <v/>
      </c>
      <c r="J4439" s="41" t="str">
        <f aca="false">IF(G4439="","",IFERROR(IF(ISNUMBER(SEARCH(Assumptions!$C$5,G4439)),Assumptions!$D$5,IF(ISNUMBER(SEARCH(Assumptions!$C$6,G4439)),Assumptions!$D$6,IF(ISNUMBER(SEARCH(Assumptions!$C$7,G4439)),Assumptions!$D$7,"Other Services"))),"Other Services"))</f>
        <v/>
      </c>
    </row>
    <row r="4440" customFormat="false" ht="15" hidden="false" customHeight="false" outlineLevel="0" collapsed="false">
      <c r="E4440" s="41" t="str">
        <f aca="false">IF(D4440="","",IFERROR(VLOOKUP(D4440,Assumptions!$G$5:$H$16,2,0),"Other"))</f>
        <v/>
      </c>
      <c r="J4440" s="41" t="str">
        <f aca="false">IF(G4440="","",IFERROR(IF(ISNUMBER(SEARCH(Assumptions!$C$5,G4440)),Assumptions!$D$5,IF(ISNUMBER(SEARCH(Assumptions!$C$6,G4440)),Assumptions!$D$6,IF(ISNUMBER(SEARCH(Assumptions!$C$7,G4440)),Assumptions!$D$7,"Other Services"))),"Other Services"))</f>
        <v/>
      </c>
    </row>
    <row r="4441" customFormat="false" ht="15" hidden="false" customHeight="false" outlineLevel="0" collapsed="false">
      <c r="E4441" s="41" t="str">
        <f aca="false">IF(D4441="","",IFERROR(VLOOKUP(D4441,Assumptions!$G$5:$H$16,2,0),"Other"))</f>
        <v/>
      </c>
      <c r="J4441" s="41" t="str">
        <f aca="false">IF(G4441="","",IFERROR(IF(ISNUMBER(SEARCH(Assumptions!$C$5,G4441)),Assumptions!$D$5,IF(ISNUMBER(SEARCH(Assumptions!$C$6,G4441)),Assumptions!$D$6,IF(ISNUMBER(SEARCH(Assumptions!$C$7,G4441)),Assumptions!$D$7,"Other Services"))),"Other Services"))</f>
        <v/>
      </c>
    </row>
    <row r="4442" customFormat="false" ht="15" hidden="false" customHeight="false" outlineLevel="0" collapsed="false">
      <c r="E4442" s="41" t="str">
        <f aca="false">IF(D4442="","",IFERROR(VLOOKUP(D4442,Assumptions!$G$5:$H$16,2,0),"Other"))</f>
        <v/>
      </c>
      <c r="J4442" s="41" t="str">
        <f aca="false">IF(G4442="","",IFERROR(IF(ISNUMBER(SEARCH(Assumptions!$C$5,G4442)),Assumptions!$D$5,IF(ISNUMBER(SEARCH(Assumptions!$C$6,G4442)),Assumptions!$D$6,IF(ISNUMBER(SEARCH(Assumptions!$C$7,G4442)),Assumptions!$D$7,"Other Services"))),"Other Services"))</f>
        <v/>
      </c>
    </row>
    <row r="4443" customFormat="false" ht="15" hidden="false" customHeight="false" outlineLevel="0" collapsed="false">
      <c r="E4443" s="41" t="str">
        <f aca="false">IF(D4443="","",IFERROR(VLOOKUP(D4443,Assumptions!$G$5:$H$16,2,0),"Other"))</f>
        <v/>
      </c>
      <c r="J4443" s="41" t="str">
        <f aca="false">IF(G4443="","",IFERROR(IF(ISNUMBER(SEARCH(Assumptions!$C$5,G4443)),Assumptions!$D$5,IF(ISNUMBER(SEARCH(Assumptions!$C$6,G4443)),Assumptions!$D$6,IF(ISNUMBER(SEARCH(Assumptions!$C$7,G4443)),Assumptions!$D$7,"Other Services"))),"Other Services"))</f>
        <v/>
      </c>
    </row>
    <row r="4444" customFormat="false" ht="15" hidden="false" customHeight="false" outlineLevel="0" collapsed="false">
      <c r="E4444" s="41" t="str">
        <f aca="false">IF(D4444="","",IFERROR(VLOOKUP(D4444,Assumptions!$G$5:$H$16,2,0),"Other"))</f>
        <v/>
      </c>
      <c r="J4444" s="41" t="str">
        <f aca="false">IF(G4444="","",IFERROR(IF(ISNUMBER(SEARCH(Assumptions!$C$5,G4444)),Assumptions!$D$5,IF(ISNUMBER(SEARCH(Assumptions!$C$6,G4444)),Assumptions!$D$6,IF(ISNUMBER(SEARCH(Assumptions!$C$7,G4444)),Assumptions!$D$7,"Other Services"))),"Other Services"))</f>
        <v/>
      </c>
    </row>
    <row r="4445" customFormat="false" ht="15" hidden="false" customHeight="false" outlineLevel="0" collapsed="false">
      <c r="E4445" s="41" t="str">
        <f aca="false">IF(D4445="","",IFERROR(VLOOKUP(D4445,Assumptions!$G$5:$H$16,2,0),"Other"))</f>
        <v/>
      </c>
      <c r="J4445" s="41" t="str">
        <f aca="false">IF(G4445="","",IFERROR(IF(ISNUMBER(SEARCH(Assumptions!$C$5,G4445)),Assumptions!$D$5,IF(ISNUMBER(SEARCH(Assumptions!$C$6,G4445)),Assumptions!$D$6,IF(ISNUMBER(SEARCH(Assumptions!$C$7,G4445)),Assumptions!$D$7,"Other Services"))),"Other Services"))</f>
        <v/>
      </c>
    </row>
    <row r="4446" customFormat="false" ht="15" hidden="false" customHeight="false" outlineLevel="0" collapsed="false">
      <c r="E4446" s="41" t="str">
        <f aca="false">IF(D4446="","",IFERROR(VLOOKUP(D4446,Assumptions!$G$5:$H$16,2,0),"Other"))</f>
        <v/>
      </c>
      <c r="J4446" s="41" t="str">
        <f aca="false">IF(G4446="","",IFERROR(IF(ISNUMBER(SEARCH(Assumptions!$C$5,G4446)),Assumptions!$D$5,IF(ISNUMBER(SEARCH(Assumptions!$C$6,G4446)),Assumptions!$D$6,IF(ISNUMBER(SEARCH(Assumptions!$C$7,G4446)),Assumptions!$D$7,"Other Services"))),"Other Services"))</f>
        <v/>
      </c>
    </row>
    <row r="4447" customFormat="false" ht="15" hidden="false" customHeight="false" outlineLevel="0" collapsed="false">
      <c r="E4447" s="41" t="str">
        <f aca="false">IF(D4447="","",IFERROR(VLOOKUP(D4447,Assumptions!$G$5:$H$16,2,0),"Other"))</f>
        <v/>
      </c>
      <c r="J4447" s="41" t="str">
        <f aca="false">IF(G4447="","",IFERROR(IF(ISNUMBER(SEARCH(Assumptions!$C$5,G4447)),Assumptions!$D$5,IF(ISNUMBER(SEARCH(Assumptions!$C$6,G4447)),Assumptions!$D$6,IF(ISNUMBER(SEARCH(Assumptions!$C$7,G4447)),Assumptions!$D$7,"Other Services"))),"Other Services"))</f>
        <v/>
      </c>
    </row>
    <row r="4448" customFormat="false" ht="15" hidden="false" customHeight="false" outlineLevel="0" collapsed="false">
      <c r="E4448" s="41" t="str">
        <f aca="false">IF(D4448="","",IFERROR(VLOOKUP(D4448,Assumptions!$G$5:$H$16,2,0),"Other"))</f>
        <v/>
      </c>
      <c r="J4448" s="41" t="str">
        <f aca="false">IF(G4448="","",IFERROR(IF(ISNUMBER(SEARCH(Assumptions!$C$5,G4448)),Assumptions!$D$5,IF(ISNUMBER(SEARCH(Assumptions!$C$6,G4448)),Assumptions!$D$6,IF(ISNUMBER(SEARCH(Assumptions!$C$7,G4448)),Assumptions!$D$7,"Other Services"))),"Other Services"))</f>
        <v/>
      </c>
    </row>
    <row r="4449" customFormat="false" ht="15" hidden="false" customHeight="false" outlineLevel="0" collapsed="false">
      <c r="E4449" s="41" t="str">
        <f aca="false">IF(D4449="","",IFERROR(VLOOKUP(D4449,Assumptions!$G$5:$H$16,2,0),"Other"))</f>
        <v/>
      </c>
      <c r="J4449" s="41" t="str">
        <f aca="false">IF(G4449="","",IFERROR(IF(ISNUMBER(SEARCH(Assumptions!$C$5,G4449)),Assumptions!$D$5,IF(ISNUMBER(SEARCH(Assumptions!$C$6,G4449)),Assumptions!$D$6,IF(ISNUMBER(SEARCH(Assumptions!$C$7,G4449)),Assumptions!$D$7,"Other Services"))),"Other Services"))</f>
        <v/>
      </c>
    </row>
    <row r="4450" customFormat="false" ht="15" hidden="false" customHeight="false" outlineLevel="0" collapsed="false">
      <c r="E4450" s="41" t="str">
        <f aca="false">IF(D4450="","",IFERROR(VLOOKUP(D4450,Assumptions!$G$5:$H$16,2,0),"Other"))</f>
        <v/>
      </c>
      <c r="J4450" s="41" t="str">
        <f aca="false">IF(G4450="","",IFERROR(IF(ISNUMBER(SEARCH(Assumptions!$C$5,G4450)),Assumptions!$D$5,IF(ISNUMBER(SEARCH(Assumptions!$C$6,G4450)),Assumptions!$D$6,IF(ISNUMBER(SEARCH(Assumptions!$C$7,G4450)),Assumptions!$D$7,"Other Services"))),"Other Services"))</f>
        <v/>
      </c>
    </row>
    <row r="4451" customFormat="false" ht="15" hidden="false" customHeight="false" outlineLevel="0" collapsed="false">
      <c r="E4451" s="41" t="str">
        <f aca="false">IF(D4451="","",IFERROR(VLOOKUP(D4451,Assumptions!$G$5:$H$16,2,0),"Other"))</f>
        <v/>
      </c>
      <c r="J4451" s="41" t="str">
        <f aca="false">IF(G4451="","",IFERROR(IF(ISNUMBER(SEARCH(Assumptions!$C$5,G4451)),Assumptions!$D$5,IF(ISNUMBER(SEARCH(Assumptions!$C$6,G4451)),Assumptions!$D$6,IF(ISNUMBER(SEARCH(Assumptions!$C$7,G4451)),Assumptions!$D$7,"Other Services"))),"Other Services"))</f>
        <v/>
      </c>
    </row>
    <row r="4452" customFormat="false" ht="15" hidden="false" customHeight="false" outlineLevel="0" collapsed="false">
      <c r="E4452" s="41" t="str">
        <f aca="false">IF(D4452="","",IFERROR(VLOOKUP(D4452,Assumptions!$G$5:$H$16,2,0),"Other"))</f>
        <v/>
      </c>
      <c r="J4452" s="41" t="str">
        <f aca="false">IF(G4452="","",IFERROR(IF(ISNUMBER(SEARCH(Assumptions!$C$5,G4452)),Assumptions!$D$5,IF(ISNUMBER(SEARCH(Assumptions!$C$6,G4452)),Assumptions!$D$6,IF(ISNUMBER(SEARCH(Assumptions!$C$7,G4452)),Assumptions!$D$7,"Other Services"))),"Other Services"))</f>
        <v/>
      </c>
    </row>
    <row r="4453" customFormat="false" ht="15" hidden="false" customHeight="false" outlineLevel="0" collapsed="false">
      <c r="E4453" s="41" t="str">
        <f aca="false">IF(D4453="","",IFERROR(VLOOKUP(D4453,Assumptions!$G$5:$H$16,2,0),"Other"))</f>
        <v/>
      </c>
      <c r="J4453" s="41" t="str">
        <f aca="false">IF(G4453="","",IFERROR(IF(ISNUMBER(SEARCH(Assumptions!$C$5,G4453)),Assumptions!$D$5,IF(ISNUMBER(SEARCH(Assumptions!$C$6,G4453)),Assumptions!$D$6,IF(ISNUMBER(SEARCH(Assumptions!$C$7,G4453)),Assumptions!$D$7,"Other Services"))),"Other Services"))</f>
        <v/>
      </c>
    </row>
    <row r="4454" customFormat="false" ht="15" hidden="false" customHeight="false" outlineLevel="0" collapsed="false">
      <c r="E4454" s="41" t="str">
        <f aca="false">IF(D4454="","",IFERROR(VLOOKUP(D4454,Assumptions!$G$5:$H$16,2,0),"Other"))</f>
        <v/>
      </c>
      <c r="J4454" s="41" t="str">
        <f aca="false">IF(G4454="","",IFERROR(IF(ISNUMBER(SEARCH(Assumptions!$C$5,G4454)),Assumptions!$D$5,IF(ISNUMBER(SEARCH(Assumptions!$C$6,G4454)),Assumptions!$D$6,IF(ISNUMBER(SEARCH(Assumptions!$C$7,G4454)),Assumptions!$D$7,"Other Services"))),"Other Services"))</f>
        <v/>
      </c>
    </row>
    <row r="4455" customFormat="false" ht="15" hidden="false" customHeight="false" outlineLevel="0" collapsed="false">
      <c r="E4455" s="41" t="str">
        <f aca="false">IF(D4455="","",IFERROR(VLOOKUP(D4455,Assumptions!$G$5:$H$16,2,0),"Other"))</f>
        <v/>
      </c>
      <c r="J4455" s="41" t="str">
        <f aca="false">IF(G4455="","",IFERROR(IF(ISNUMBER(SEARCH(Assumptions!$C$5,G4455)),Assumptions!$D$5,IF(ISNUMBER(SEARCH(Assumptions!$C$6,G4455)),Assumptions!$D$6,IF(ISNUMBER(SEARCH(Assumptions!$C$7,G4455)),Assumptions!$D$7,"Other Services"))),"Other Services"))</f>
        <v/>
      </c>
    </row>
    <row r="4456" customFormat="false" ht="15" hidden="false" customHeight="false" outlineLevel="0" collapsed="false">
      <c r="E4456" s="41" t="str">
        <f aca="false">IF(D4456="","",IFERROR(VLOOKUP(D4456,Assumptions!$G$5:$H$16,2,0),"Other"))</f>
        <v/>
      </c>
      <c r="J4456" s="41" t="str">
        <f aca="false">IF(G4456="","",IFERROR(IF(ISNUMBER(SEARCH(Assumptions!$C$5,G4456)),Assumptions!$D$5,IF(ISNUMBER(SEARCH(Assumptions!$C$6,G4456)),Assumptions!$D$6,IF(ISNUMBER(SEARCH(Assumptions!$C$7,G4456)),Assumptions!$D$7,"Other Services"))),"Other Services"))</f>
        <v/>
      </c>
    </row>
    <row r="4457" customFormat="false" ht="15" hidden="false" customHeight="false" outlineLevel="0" collapsed="false">
      <c r="E4457" s="41" t="str">
        <f aca="false">IF(D4457="","",IFERROR(VLOOKUP(D4457,Assumptions!$G$5:$H$16,2,0),"Other"))</f>
        <v/>
      </c>
      <c r="J4457" s="41" t="str">
        <f aca="false">IF(G4457="","",IFERROR(IF(ISNUMBER(SEARCH(Assumptions!$C$5,G4457)),Assumptions!$D$5,IF(ISNUMBER(SEARCH(Assumptions!$C$6,G4457)),Assumptions!$D$6,IF(ISNUMBER(SEARCH(Assumptions!$C$7,G4457)),Assumptions!$D$7,"Other Services"))),"Other Services"))</f>
        <v/>
      </c>
    </row>
    <row r="4458" customFormat="false" ht="15" hidden="false" customHeight="false" outlineLevel="0" collapsed="false">
      <c r="E4458" s="41" t="str">
        <f aca="false">IF(D4458="","",IFERROR(VLOOKUP(D4458,Assumptions!$G$5:$H$16,2,0),"Other"))</f>
        <v/>
      </c>
      <c r="J4458" s="41" t="str">
        <f aca="false">IF(G4458="","",IFERROR(IF(ISNUMBER(SEARCH(Assumptions!$C$5,G4458)),Assumptions!$D$5,IF(ISNUMBER(SEARCH(Assumptions!$C$6,G4458)),Assumptions!$D$6,IF(ISNUMBER(SEARCH(Assumptions!$C$7,G4458)),Assumptions!$D$7,"Other Services"))),"Other Services"))</f>
        <v/>
      </c>
    </row>
    <row r="4459" customFormat="false" ht="15" hidden="false" customHeight="false" outlineLevel="0" collapsed="false">
      <c r="E4459" s="41" t="str">
        <f aca="false">IF(D4459="","",IFERROR(VLOOKUP(D4459,Assumptions!$G$5:$H$16,2,0),"Other"))</f>
        <v/>
      </c>
      <c r="J4459" s="41" t="str">
        <f aca="false">IF(G4459="","",IFERROR(IF(ISNUMBER(SEARCH(Assumptions!$C$5,G4459)),Assumptions!$D$5,IF(ISNUMBER(SEARCH(Assumptions!$C$6,G4459)),Assumptions!$D$6,IF(ISNUMBER(SEARCH(Assumptions!$C$7,G4459)),Assumptions!$D$7,"Other Services"))),"Other Services"))</f>
        <v/>
      </c>
    </row>
    <row r="4460" customFormat="false" ht="15" hidden="false" customHeight="false" outlineLevel="0" collapsed="false">
      <c r="E4460" s="41" t="str">
        <f aca="false">IF(D4460="","",IFERROR(VLOOKUP(D4460,Assumptions!$G$5:$H$16,2,0),"Other"))</f>
        <v/>
      </c>
      <c r="J4460" s="41" t="str">
        <f aca="false">IF(G4460="","",IFERROR(IF(ISNUMBER(SEARCH(Assumptions!$C$5,G4460)),Assumptions!$D$5,IF(ISNUMBER(SEARCH(Assumptions!$C$6,G4460)),Assumptions!$D$6,IF(ISNUMBER(SEARCH(Assumptions!$C$7,G4460)),Assumptions!$D$7,"Other Services"))),"Other Services"))</f>
        <v/>
      </c>
    </row>
    <row r="4461" customFormat="false" ht="15" hidden="false" customHeight="false" outlineLevel="0" collapsed="false">
      <c r="E4461" s="41" t="str">
        <f aca="false">IF(D4461="","",IFERROR(VLOOKUP(D4461,Assumptions!$G$5:$H$16,2,0),"Other"))</f>
        <v/>
      </c>
      <c r="J4461" s="41" t="str">
        <f aca="false">IF(G4461="","",IFERROR(IF(ISNUMBER(SEARCH(Assumptions!$C$5,G4461)),Assumptions!$D$5,IF(ISNUMBER(SEARCH(Assumptions!$C$6,G4461)),Assumptions!$D$6,IF(ISNUMBER(SEARCH(Assumptions!$C$7,G4461)),Assumptions!$D$7,"Other Services"))),"Other Services"))</f>
        <v/>
      </c>
    </row>
    <row r="4462" customFormat="false" ht="15" hidden="false" customHeight="false" outlineLevel="0" collapsed="false">
      <c r="E4462" s="41" t="str">
        <f aca="false">IF(D4462="","",IFERROR(VLOOKUP(D4462,Assumptions!$G$5:$H$16,2,0),"Other"))</f>
        <v/>
      </c>
      <c r="J4462" s="41" t="str">
        <f aca="false">IF(G4462="","",IFERROR(IF(ISNUMBER(SEARCH(Assumptions!$C$5,G4462)),Assumptions!$D$5,IF(ISNUMBER(SEARCH(Assumptions!$C$6,G4462)),Assumptions!$D$6,IF(ISNUMBER(SEARCH(Assumptions!$C$7,G4462)),Assumptions!$D$7,"Other Services"))),"Other Services"))</f>
        <v/>
      </c>
    </row>
    <row r="4463" customFormat="false" ht="15" hidden="false" customHeight="false" outlineLevel="0" collapsed="false">
      <c r="E4463" s="41" t="str">
        <f aca="false">IF(D4463="","",IFERROR(VLOOKUP(D4463,Assumptions!$G$5:$H$16,2,0),"Other"))</f>
        <v/>
      </c>
      <c r="J4463" s="41" t="str">
        <f aca="false">IF(G4463="","",IFERROR(IF(ISNUMBER(SEARCH(Assumptions!$C$5,G4463)),Assumptions!$D$5,IF(ISNUMBER(SEARCH(Assumptions!$C$6,G4463)),Assumptions!$D$6,IF(ISNUMBER(SEARCH(Assumptions!$C$7,G4463)),Assumptions!$D$7,"Other Services"))),"Other Services"))</f>
        <v/>
      </c>
    </row>
    <row r="4464" customFormat="false" ht="15" hidden="false" customHeight="false" outlineLevel="0" collapsed="false">
      <c r="E4464" s="41" t="str">
        <f aca="false">IF(D4464="","",IFERROR(VLOOKUP(D4464,Assumptions!$G$5:$H$16,2,0),"Other"))</f>
        <v/>
      </c>
      <c r="J4464" s="41" t="str">
        <f aca="false">IF(G4464="","",IFERROR(IF(ISNUMBER(SEARCH(Assumptions!$C$5,G4464)),Assumptions!$D$5,IF(ISNUMBER(SEARCH(Assumptions!$C$6,G4464)),Assumptions!$D$6,IF(ISNUMBER(SEARCH(Assumptions!$C$7,G4464)),Assumptions!$D$7,"Other Services"))),"Other Services"))</f>
        <v/>
      </c>
    </row>
    <row r="4465" customFormat="false" ht="15" hidden="false" customHeight="false" outlineLevel="0" collapsed="false">
      <c r="E4465" s="41" t="str">
        <f aca="false">IF(D4465="","",IFERROR(VLOOKUP(D4465,Assumptions!$G$5:$H$16,2,0),"Other"))</f>
        <v/>
      </c>
      <c r="J4465" s="41" t="str">
        <f aca="false">IF(G4465="","",IFERROR(IF(ISNUMBER(SEARCH(Assumptions!$C$5,G4465)),Assumptions!$D$5,IF(ISNUMBER(SEARCH(Assumptions!$C$6,G4465)),Assumptions!$D$6,IF(ISNUMBER(SEARCH(Assumptions!$C$7,G4465)),Assumptions!$D$7,"Other Services"))),"Other Services"))</f>
        <v/>
      </c>
    </row>
    <row r="4466" customFormat="false" ht="15" hidden="false" customHeight="false" outlineLevel="0" collapsed="false">
      <c r="E4466" s="41" t="str">
        <f aca="false">IF(D4466="","",IFERROR(VLOOKUP(D4466,Assumptions!$G$5:$H$16,2,0),"Other"))</f>
        <v/>
      </c>
      <c r="J4466" s="41" t="str">
        <f aca="false">IF(G4466="","",IFERROR(IF(ISNUMBER(SEARCH(Assumptions!$C$5,G4466)),Assumptions!$D$5,IF(ISNUMBER(SEARCH(Assumptions!$C$6,G4466)),Assumptions!$D$6,IF(ISNUMBER(SEARCH(Assumptions!$C$7,G4466)),Assumptions!$D$7,"Other Services"))),"Other Services"))</f>
        <v/>
      </c>
    </row>
    <row r="4467" customFormat="false" ht="15" hidden="false" customHeight="false" outlineLevel="0" collapsed="false">
      <c r="E4467" s="41" t="str">
        <f aca="false">IF(D4467="","",IFERROR(VLOOKUP(D4467,Assumptions!$G$5:$H$16,2,0),"Other"))</f>
        <v/>
      </c>
      <c r="J4467" s="41" t="str">
        <f aca="false">IF(G4467="","",IFERROR(IF(ISNUMBER(SEARCH(Assumptions!$C$5,G4467)),Assumptions!$D$5,IF(ISNUMBER(SEARCH(Assumptions!$C$6,G4467)),Assumptions!$D$6,IF(ISNUMBER(SEARCH(Assumptions!$C$7,G4467)),Assumptions!$D$7,"Other Services"))),"Other Services"))</f>
        <v/>
      </c>
    </row>
    <row r="4468" customFormat="false" ht="15" hidden="false" customHeight="false" outlineLevel="0" collapsed="false">
      <c r="E4468" s="41" t="str">
        <f aca="false">IF(D4468="","",IFERROR(VLOOKUP(D4468,Assumptions!$G$5:$H$16,2,0),"Other"))</f>
        <v/>
      </c>
      <c r="J4468" s="41" t="str">
        <f aca="false">IF(G4468="","",IFERROR(IF(ISNUMBER(SEARCH(Assumptions!$C$5,G4468)),Assumptions!$D$5,IF(ISNUMBER(SEARCH(Assumptions!$C$6,G4468)),Assumptions!$D$6,IF(ISNUMBER(SEARCH(Assumptions!$C$7,G4468)),Assumptions!$D$7,"Other Services"))),"Other Services"))</f>
        <v/>
      </c>
    </row>
    <row r="4469" customFormat="false" ht="15" hidden="false" customHeight="false" outlineLevel="0" collapsed="false">
      <c r="E4469" s="41" t="str">
        <f aca="false">IF(D4469="","",IFERROR(VLOOKUP(D4469,Assumptions!$G$5:$H$16,2,0),"Other"))</f>
        <v/>
      </c>
      <c r="J4469" s="41" t="str">
        <f aca="false">IF(G4469="","",IFERROR(IF(ISNUMBER(SEARCH(Assumptions!$C$5,G4469)),Assumptions!$D$5,IF(ISNUMBER(SEARCH(Assumptions!$C$6,G4469)),Assumptions!$D$6,IF(ISNUMBER(SEARCH(Assumptions!$C$7,G4469)),Assumptions!$D$7,"Other Services"))),"Other Services"))</f>
        <v/>
      </c>
    </row>
    <row r="4470" customFormat="false" ht="15" hidden="false" customHeight="false" outlineLevel="0" collapsed="false">
      <c r="E4470" s="41" t="str">
        <f aca="false">IF(D4470="","",IFERROR(VLOOKUP(D4470,Assumptions!$G$5:$H$16,2,0),"Other"))</f>
        <v/>
      </c>
      <c r="J4470" s="41" t="str">
        <f aca="false">IF(G4470="","",IFERROR(IF(ISNUMBER(SEARCH(Assumptions!$C$5,G4470)),Assumptions!$D$5,IF(ISNUMBER(SEARCH(Assumptions!$C$6,G4470)),Assumptions!$D$6,IF(ISNUMBER(SEARCH(Assumptions!$C$7,G4470)),Assumptions!$D$7,"Other Services"))),"Other Services"))</f>
        <v/>
      </c>
    </row>
    <row r="4471" customFormat="false" ht="15" hidden="false" customHeight="false" outlineLevel="0" collapsed="false">
      <c r="E4471" s="41" t="str">
        <f aca="false">IF(D4471="","",IFERROR(VLOOKUP(D4471,Assumptions!$G$5:$H$16,2,0),"Other"))</f>
        <v/>
      </c>
      <c r="J4471" s="41" t="str">
        <f aca="false">IF(G4471="","",IFERROR(IF(ISNUMBER(SEARCH(Assumptions!$C$5,G4471)),Assumptions!$D$5,IF(ISNUMBER(SEARCH(Assumptions!$C$6,G4471)),Assumptions!$D$6,IF(ISNUMBER(SEARCH(Assumptions!$C$7,G4471)),Assumptions!$D$7,"Other Services"))),"Other Services"))</f>
        <v/>
      </c>
    </row>
    <row r="4472" customFormat="false" ht="15" hidden="false" customHeight="false" outlineLevel="0" collapsed="false">
      <c r="E4472" s="41" t="str">
        <f aca="false">IF(D4472="","",IFERROR(VLOOKUP(D4472,Assumptions!$G$5:$H$16,2,0),"Other"))</f>
        <v/>
      </c>
      <c r="J4472" s="41" t="str">
        <f aca="false">IF(G4472="","",IFERROR(IF(ISNUMBER(SEARCH(Assumptions!$C$5,G4472)),Assumptions!$D$5,IF(ISNUMBER(SEARCH(Assumptions!$C$6,G4472)),Assumptions!$D$6,IF(ISNUMBER(SEARCH(Assumptions!$C$7,G4472)),Assumptions!$D$7,"Other Services"))),"Other Services"))</f>
        <v/>
      </c>
    </row>
    <row r="4473" customFormat="false" ht="15" hidden="false" customHeight="false" outlineLevel="0" collapsed="false">
      <c r="E4473" s="41" t="str">
        <f aca="false">IF(D4473="","",IFERROR(VLOOKUP(D4473,Assumptions!$G$5:$H$16,2,0),"Other"))</f>
        <v/>
      </c>
      <c r="J4473" s="41" t="str">
        <f aca="false">IF(G4473="","",IFERROR(IF(ISNUMBER(SEARCH(Assumptions!$C$5,G4473)),Assumptions!$D$5,IF(ISNUMBER(SEARCH(Assumptions!$C$6,G4473)),Assumptions!$D$6,IF(ISNUMBER(SEARCH(Assumptions!$C$7,G4473)),Assumptions!$D$7,"Other Services"))),"Other Services"))</f>
        <v/>
      </c>
    </row>
    <row r="4474" customFormat="false" ht="15" hidden="false" customHeight="false" outlineLevel="0" collapsed="false">
      <c r="E4474" s="41" t="str">
        <f aca="false">IF(D4474="","",IFERROR(VLOOKUP(D4474,Assumptions!$G$5:$H$16,2,0),"Other"))</f>
        <v/>
      </c>
      <c r="J4474" s="41" t="str">
        <f aca="false">IF(G4474="","",IFERROR(IF(ISNUMBER(SEARCH(Assumptions!$C$5,G4474)),Assumptions!$D$5,IF(ISNUMBER(SEARCH(Assumptions!$C$6,G4474)),Assumptions!$D$6,IF(ISNUMBER(SEARCH(Assumptions!$C$7,G4474)),Assumptions!$D$7,"Other Services"))),"Other Services"))</f>
        <v/>
      </c>
    </row>
    <row r="4475" customFormat="false" ht="15" hidden="false" customHeight="false" outlineLevel="0" collapsed="false">
      <c r="E4475" s="41" t="str">
        <f aca="false">IF(D4475="","",IFERROR(VLOOKUP(D4475,Assumptions!$G$5:$H$16,2,0),"Other"))</f>
        <v/>
      </c>
      <c r="J4475" s="41" t="str">
        <f aca="false">IF(G4475="","",IFERROR(IF(ISNUMBER(SEARCH(Assumptions!$C$5,G4475)),Assumptions!$D$5,IF(ISNUMBER(SEARCH(Assumptions!$C$6,G4475)),Assumptions!$D$6,IF(ISNUMBER(SEARCH(Assumptions!$C$7,G4475)),Assumptions!$D$7,"Other Services"))),"Other Services"))</f>
        <v/>
      </c>
    </row>
    <row r="4476" customFormat="false" ht="15" hidden="false" customHeight="false" outlineLevel="0" collapsed="false">
      <c r="E4476" s="41" t="str">
        <f aca="false">IF(D4476="","",IFERROR(VLOOKUP(D4476,Assumptions!$G$5:$H$16,2,0),"Other"))</f>
        <v/>
      </c>
      <c r="J4476" s="41" t="str">
        <f aca="false">IF(G4476="","",IFERROR(IF(ISNUMBER(SEARCH(Assumptions!$C$5,G4476)),Assumptions!$D$5,IF(ISNUMBER(SEARCH(Assumptions!$C$6,G4476)),Assumptions!$D$6,IF(ISNUMBER(SEARCH(Assumptions!$C$7,G4476)),Assumptions!$D$7,"Other Services"))),"Other Services"))</f>
        <v/>
      </c>
    </row>
    <row r="4477" customFormat="false" ht="15" hidden="false" customHeight="false" outlineLevel="0" collapsed="false">
      <c r="E4477" s="41" t="str">
        <f aca="false">IF(D4477="","",IFERROR(VLOOKUP(D4477,Assumptions!$G$5:$H$16,2,0),"Other"))</f>
        <v/>
      </c>
      <c r="J4477" s="41" t="str">
        <f aca="false">IF(G4477="","",IFERROR(IF(ISNUMBER(SEARCH(Assumptions!$C$5,G4477)),Assumptions!$D$5,IF(ISNUMBER(SEARCH(Assumptions!$C$6,G4477)),Assumptions!$D$6,IF(ISNUMBER(SEARCH(Assumptions!$C$7,G4477)),Assumptions!$D$7,"Other Services"))),"Other Services"))</f>
        <v/>
      </c>
    </row>
    <row r="4478" customFormat="false" ht="15" hidden="false" customHeight="false" outlineLevel="0" collapsed="false">
      <c r="E4478" s="41" t="str">
        <f aca="false">IF(D4478="","",IFERROR(VLOOKUP(D4478,Assumptions!$G$5:$H$16,2,0),"Other"))</f>
        <v/>
      </c>
      <c r="J4478" s="41" t="str">
        <f aca="false">IF(G4478="","",IFERROR(IF(ISNUMBER(SEARCH(Assumptions!$C$5,G4478)),Assumptions!$D$5,IF(ISNUMBER(SEARCH(Assumptions!$C$6,G4478)),Assumptions!$D$6,IF(ISNUMBER(SEARCH(Assumptions!$C$7,G4478)),Assumptions!$D$7,"Other Services"))),"Other Services"))</f>
        <v/>
      </c>
    </row>
    <row r="4479" customFormat="false" ht="15" hidden="false" customHeight="false" outlineLevel="0" collapsed="false">
      <c r="E4479" s="41" t="str">
        <f aca="false">IF(D4479="","",IFERROR(VLOOKUP(D4479,Assumptions!$G$5:$H$16,2,0),"Other"))</f>
        <v/>
      </c>
      <c r="J4479" s="41" t="str">
        <f aca="false">IF(G4479="","",IFERROR(IF(ISNUMBER(SEARCH(Assumptions!$C$5,G4479)),Assumptions!$D$5,IF(ISNUMBER(SEARCH(Assumptions!$C$6,G4479)),Assumptions!$D$6,IF(ISNUMBER(SEARCH(Assumptions!$C$7,G4479)),Assumptions!$D$7,"Other Services"))),"Other Services"))</f>
        <v/>
      </c>
    </row>
    <row r="4480" customFormat="false" ht="15" hidden="false" customHeight="false" outlineLevel="0" collapsed="false">
      <c r="E4480" s="41" t="str">
        <f aca="false">IF(D4480="","",IFERROR(VLOOKUP(D4480,Assumptions!$G$5:$H$16,2,0),"Other"))</f>
        <v/>
      </c>
      <c r="J4480" s="41" t="str">
        <f aca="false">IF(G4480="","",IFERROR(IF(ISNUMBER(SEARCH(Assumptions!$C$5,G4480)),Assumptions!$D$5,IF(ISNUMBER(SEARCH(Assumptions!$C$6,G4480)),Assumptions!$D$6,IF(ISNUMBER(SEARCH(Assumptions!$C$7,G4480)),Assumptions!$D$7,"Other Services"))),"Other Services"))</f>
        <v/>
      </c>
    </row>
    <row r="4481" customFormat="false" ht="15" hidden="false" customHeight="false" outlineLevel="0" collapsed="false">
      <c r="E4481" s="41" t="str">
        <f aca="false">IF(D4481="","",IFERROR(VLOOKUP(D4481,Assumptions!$G$5:$H$16,2,0),"Other"))</f>
        <v/>
      </c>
      <c r="J4481" s="41" t="str">
        <f aca="false">IF(G4481="","",IFERROR(IF(ISNUMBER(SEARCH(Assumptions!$C$5,G4481)),Assumptions!$D$5,IF(ISNUMBER(SEARCH(Assumptions!$C$6,G4481)),Assumptions!$D$6,IF(ISNUMBER(SEARCH(Assumptions!$C$7,G4481)),Assumptions!$D$7,"Other Services"))),"Other Services"))</f>
        <v/>
      </c>
    </row>
    <row r="4482" customFormat="false" ht="15" hidden="false" customHeight="false" outlineLevel="0" collapsed="false">
      <c r="E4482" s="41" t="str">
        <f aca="false">IF(D4482="","",IFERROR(VLOOKUP(D4482,Assumptions!$G$5:$H$16,2,0),"Other"))</f>
        <v/>
      </c>
      <c r="J4482" s="41" t="str">
        <f aca="false">IF(G4482="","",IFERROR(IF(ISNUMBER(SEARCH(Assumptions!$C$5,G4482)),Assumptions!$D$5,IF(ISNUMBER(SEARCH(Assumptions!$C$6,G4482)),Assumptions!$D$6,IF(ISNUMBER(SEARCH(Assumptions!$C$7,G4482)),Assumptions!$D$7,"Other Services"))),"Other Services"))</f>
        <v/>
      </c>
    </row>
    <row r="4483" customFormat="false" ht="15" hidden="false" customHeight="false" outlineLevel="0" collapsed="false">
      <c r="E4483" s="41" t="str">
        <f aca="false">IF(D4483="","",IFERROR(VLOOKUP(D4483,Assumptions!$G$5:$H$16,2,0),"Other"))</f>
        <v/>
      </c>
      <c r="J4483" s="41" t="str">
        <f aca="false">IF(G4483="","",IFERROR(IF(ISNUMBER(SEARCH(Assumptions!$C$5,G4483)),Assumptions!$D$5,IF(ISNUMBER(SEARCH(Assumptions!$C$6,G4483)),Assumptions!$D$6,IF(ISNUMBER(SEARCH(Assumptions!$C$7,G4483)),Assumptions!$D$7,"Other Services"))),"Other Services"))</f>
        <v/>
      </c>
    </row>
    <row r="4484" customFormat="false" ht="15" hidden="false" customHeight="false" outlineLevel="0" collapsed="false">
      <c r="E4484" s="41" t="str">
        <f aca="false">IF(D4484="","",IFERROR(VLOOKUP(D4484,Assumptions!$G$5:$H$16,2,0),"Other"))</f>
        <v/>
      </c>
      <c r="J4484" s="41" t="str">
        <f aca="false">IF(G4484="","",IFERROR(IF(ISNUMBER(SEARCH(Assumptions!$C$5,G4484)),Assumptions!$D$5,IF(ISNUMBER(SEARCH(Assumptions!$C$6,G4484)),Assumptions!$D$6,IF(ISNUMBER(SEARCH(Assumptions!$C$7,G4484)),Assumptions!$D$7,"Other Services"))),"Other Services"))</f>
        <v/>
      </c>
    </row>
    <row r="4485" customFormat="false" ht="15" hidden="false" customHeight="false" outlineLevel="0" collapsed="false">
      <c r="E4485" s="41" t="str">
        <f aca="false">IF(D4485="","",IFERROR(VLOOKUP(D4485,Assumptions!$G$5:$H$16,2,0),"Other"))</f>
        <v/>
      </c>
      <c r="J4485" s="41" t="str">
        <f aca="false">IF(G4485="","",IFERROR(IF(ISNUMBER(SEARCH(Assumptions!$C$5,G4485)),Assumptions!$D$5,IF(ISNUMBER(SEARCH(Assumptions!$C$6,G4485)),Assumptions!$D$6,IF(ISNUMBER(SEARCH(Assumptions!$C$7,G4485)),Assumptions!$D$7,"Other Services"))),"Other Services"))</f>
        <v/>
      </c>
    </row>
    <row r="4486" customFormat="false" ht="15" hidden="false" customHeight="false" outlineLevel="0" collapsed="false">
      <c r="E4486" s="41" t="str">
        <f aca="false">IF(D4486="","",IFERROR(VLOOKUP(D4486,Assumptions!$G$5:$H$16,2,0),"Other"))</f>
        <v/>
      </c>
      <c r="J4486" s="41" t="str">
        <f aca="false">IF(G4486="","",IFERROR(IF(ISNUMBER(SEARCH(Assumptions!$C$5,G4486)),Assumptions!$D$5,IF(ISNUMBER(SEARCH(Assumptions!$C$6,G4486)),Assumptions!$D$6,IF(ISNUMBER(SEARCH(Assumptions!$C$7,G4486)),Assumptions!$D$7,"Other Services"))),"Other Services"))</f>
        <v/>
      </c>
    </row>
    <row r="4487" customFormat="false" ht="15" hidden="false" customHeight="false" outlineLevel="0" collapsed="false">
      <c r="E4487" s="41" t="str">
        <f aca="false">IF(D4487="","",IFERROR(VLOOKUP(D4487,Assumptions!$G$5:$H$16,2,0),"Other"))</f>
        <v/>
      </c>
      <c r="J4487" s="41" t="str">
        <f aca="false">IF(G4487="","",IFERROR(IF(ISNUMBER(SEARCH(Assumptions!$C$5,G4487)),Assumptions!$D$5,IF(ISNUMBER(SEARCH(Assumptions!$C$6,G4487)),Assumptions!$D$6,IF(ISNUMBER(SEARCH(Assumptions!$C$7,G4487)),Assumptions!$D$7,"Other Services"))),"Other Services"))</f>
        <v/>
      </c>
    </row>
    <row r="4488" customFormat="false" ht="15" hidden="false" customHeight="false" outlineLevel="0" collapsed="false">
      <c r="E4488" s="41" t="str">
        <f aca="false">IF(D4488="","",IFERROR(VLOOKUP(D4488,Assumptions!$G$5:$H$16,2,0),"Other"))</f>
        <v/>
      </c>
      <c r="J4488" s="41" t="str">
        <f aca="false">IF(G4488="","",IFERROR(IF(ISNUMBER(SEARCH(Assumptions!$C$5,G4488)),Assumptions!$D$5,IF(ISNUMBER(SEARCH(Assumptions!$C$6,G4488)),Assumptions!$D$6,IF(ISNUMBER(SEARCH(Assumptions!$C$7,G4488)),Assumptions!$D$7,"Other Services"))),"Other Services"))</f>
        <v/>
      </c>
    </row>
    <row r="4489" customFormat="false" ht="15" hidden="false" customHeight="false" outlineLevel="0" collapsed="false">
      <c r="E4489" s="41" t="str">
        <f aca="false">IF(D4489="","",IFERROR(VLOOKUP(D4489,Assumptions!$G$5:$H$16,2,0),"Other"))</f>
        <v/>
      </c>
      <c r="J4489" s="41" t="str">
        <f aca="false">IF(G4489="","",IFERROR(IF(ISNUMBER(SEARCH(Assumptions!$C$5,G4489)),Assumptions!$D$5,IF(ISNUMBER(SEARCH(Assumptions!$C$6,G4489)),Assumptions!$D$6,IF(ISNUMBER(SEARCH(Assumptions!$C$7,G4489)),Assumptions!$D$7,"Other Services"))),"Other Services"))</f>
        <v/>
      </c>
    </row>
    <row r="4490" customFormat="false" ht="15" hidden="false" customHeight="false" outlineLevel="0" collapsed="false">
      <c r="E4490" s="41" t="str">
        <f aca="false">IF(D4490="","",IFERROR(VLOOKUP(D4490,Assumptions!$G$5:$H$16,2,0),"Other"))</f>
        <v/>
      </c>
      <c r="J4490" s="41" t="str">
        <f aca="false">IF(G4490="","",IFERROR(IF(ISNUMBER(SEARCH(Assumptions!$C$5,G4490)),Assumptions!$D$5,IF(ISNUMBER(SEARCH(Assumptions!$C$6,G4490)),Assumptions!$D$6,IF(ISNUMBER(SEARCH(Assumptions!$C$7,G4490)),Assumptions!$D$7,"Other Services"))),"Other Services"))</f>
        <v/>
      </c>
    </row>
    <row r="4491" customFormat="false" ht="15" hidden="false" customHeight="false" outlineLevel="0" collapsed="false">
      <c r="E4491" s="41" t="str">
        <f aca="false">IF(D4491="","",IFERROR(VLOOKUP(D4491,Assumptions!$G$5:$H$16,2,0),"Other"))</f>
        <v/>
      </c>
      <c r="J4491" s="41" t="str">
        <f aca="false">IF(G4491="","",IFERROR(IF(ISNUMBER(SEARCH(Assumptions!$C$5,G4491)),Assumptions!$D$5,IF(ISNUMBER(SEARCH(Assumptions!$C$6,G4491)),Assumptions!$D$6,IF(ISNUMBER(SEARCH(Assumptions!$C$7,G4491)),Assumptions!$D$7,"Other Services"))),"Other Services"))</f>
        <v/>
      </c>
    </row>
    <row r="4492" customFormat="false" ht="15" hidden="false" customHeight="false" outlineLevel="0" collapsed="false">
      <c r="E4492" s="41" t="str">
        <f aca="false">IF(D4492="","",IFERROR(VLOOKUP(D4492,Assumptions!$G$5:$H$16,2,0),"Other"))</f>
        <v/>
      </c>
      <c r="J4492" s="41" t="str">
        <f aca="false">IF(G4492="","",IFERROR(IF(ISNUMBER(SEARCH(Assumptions!$C$5,G4492)),Assumptions!$D$5,IF(ISNUMBER(SEARCH(Assumptions!$C$6,G4492)),Assumptions!$D$6,IF(ISNUMBER(SEARCH(Assumptions!$C$7,G4492)),Assumptions!$D$7,"Other Services"))),"Other Services"))</f>
        <v/>
      </c>
    </row>
    <row r="4493" customFormat="false" ht="15" hidden="false" customHeight="false" outlineLevel="0" collapsed="false">
      <c r="E4493" s="41" t="str">
        <f aca="false">IF(D4493="","",IFERROR(VLOOKUP(D4493,Assumptions!$G$5:$H$16,2,0),"Other"))</f>
        <v/>
      </c>
      <c r="J4493" s="41" t="str">
        <f aca="false">IF(G4493="","",IFERROR(IF(ISNUMBER(SEARCH(Assumptions!$C$5,G4493)),Assumptions!$D$5,IF(ISNUMBER(SEARCH(Assumptions!$C$6,G4493)),Assumptions!$D$6,IF(ISNUMBER(SEARCH(Assumptions!$C$7,G4493)),Assumptions!$D$7,"Other Services"))),"Other Services"))</f>
        <v/>
      </c>
    </row>
    <row r="4494" customFormat="false" ht="15" hidden="false" customHeight="false" outlineLevel="0" collapsed="false">
      <c r="E4494" s="41" t="str">
        <f aca="false">IF(D4494="","",IFERROR(VLOOKUP(D4494,Assumptions!$G$5:$H$16,2,0),"Other"))</f>
        <v/>
      </c>
      <c r="J4494" s="41" t="str">
        <f aca="false">IF(G4494="","",IFERROR(IF(ISNUMBER(SEARCH(Assumptions!$C$5,G4494)),Assumptions!$D$5,IF(ISNUMBER(SEARCH(Assumptions!$C$6,G4494)),Assumptions!$D$6,IF(ISNUMBER(SEARCH(Assumptions!$C$7,G4494)),Assumptions!$D$7,"Other Services"))),"Other Services"))</f>
        <v/>
      </c>
    </row>
    <row r="4495" customFormat="false" ht="15" hidden="false" customHeight="false" outlineLevel="0" collapsed="false">
      <c r="E4495" s="41" t="str">
        <f aca="false">IF(D4495="","",IFERROR(VLOOKUP(D4495,Assumptions!$G$5:$H$16,2,0),"Other"))</f>
        <v/>
      </c>
      <c r="J4495" s="41" t="str">
        <f aca="false">IF(G4495="","",IFERROR(IF(ISNUMBER(SEARCH(Assumptions!$C$5,G4495)),Assumptions!$D$5,IF(ISNUMBER(SEARCH(Assumptions!$C$6,G4495)),Assumptions!$D$6,IF(ISNUMBER(SEARCH(Assumptions!$C$7,G4495)),Assumptions!$D$7,"Other Services"))),"Other Services"))</f>
        <v/>
      </c>
    </row>
    <row r="4496" customFormat="false" ht="15" hidden="false" customHeight="false" outlineLevel="0" collapsed="false">
      <c r="E4496" s="41" t="str">
        <f aca="false">IF(D4496="","",IFERROR(VLOOKUP(D4496,Assumptions!$G$5:$H$16,2,0),"Other"))</f>
        <v/>
      </c>
      <c r="J4496" s="41" t="str">
        <f aca="false">IF(G4496="","",IFERROR(IF(ISNUMBER(SEARCH(Assumptions!$C$5,G4496)),Assumptions!$D$5,IF(ISNUMBER(SEARCH(Assumptions!$C$6,G4496)),Assumptions!$D$6,IF(ISNUMBER(SEARCH(Assumptions!$C$7,G4496)),Assumptions!$D$7,"Other Services"))),"Other Services"))</f>
        <v/>
      </c>
    </row>
    <row r="4497" customFormat="false" ht="15" hidden="false" customHeight="false" outlineLevel="0" collapsed="false">
      <c r="E4497" s="41" t="str">
        <f aca="false">IF(D4497="","",IFERROR(VLOOKUP(D4497,Assumptions!$G$5:$H$16,2,0),"Other"))</f>
        <v/>
      </c>
      <c r="J4497" s="41" t="str">
        <f aca="false">IF(G4497="","",IFERROR(IF(ISNUMBER(SEARCH(Assumptions!$C$5,G4497)),Assumptions!$D$5,IF(ISNUMBER(SEARCH(Assumptions!$C$6,G4497)),Assumptions!$D$6,IF(ISNUMBER(SEARCH(Assumptions!$C$7,G4497)),Assumptions!$D$7,"Other Services"))),"Other Services"))</f>
        <v/>
      </c>
    </row>
    <row r="4498" customFormat="false" ht="15" hidden="false" customHeight="false" outlineLevel="0" collapsed="false">
      <c r="E4498" s="41" t="str">
        <f aca="false">IF(D4498="","",IFERROR(VLOOKUP(D4498,Assumptions!$G$5:$H$16,2,0),"Other"))</f>
        <v/>
      </c>
      <c r="J4498" s="41" t="str">
        <f aca="false">IF(G4498="","",IFERROR(IF(ISNUMBER(SEARCH(Assumptions!$C$5,G4498)),Assumptions!$D$5,IF(ISNUMBER(SEARCH(Assumptions!$C$6,G4498)),Assumptions!$D$6,IF(ISNUMBER(SEARCH(Assumptions!$C$7,G4498)),Assumptions!$D$7,"Other Services"))),"Other Services"))</f>
        <v/>
      </c>
    </row>
    <row r="4499" customFormat="false" ht="15" hidden="false" customHeight="false" outlineLevel="0" collapsed="false">
      <c r="E4499" s="41" t="str">
        <f aca="false">IF(D4499="","",IFERROR(VLOOKUP(D4499,Assumptions!$G$5:$H$16,2,0),"Other"))</f>
        <v/>
      </c>
      <c r="J4499" s="41" t="str">
        <f aca="false">IF(G4499="","",IFERROR(IF(ISNUMBER(SEARCH(Assumptions!$C$5,G4499)),Assumptions!$D$5,IF(ISNUMBER(SEARCH(Assumptions!$C$6,G4499)),Assumptions!$D$6,IF(ISNUMBER(SEARCH(Assumptions!$C$7,G4499)),Assumptions!$D$7,"Other Services"))),"Other Services"))</f>
        <v/>
      </c>
    </row>
    <row r="4500" customFormat="false" ht="15" hidden="false" customHeight="false" outlineLevel="0" collapsed="false">
      <c r="E4500" s="41" t="str">
        <f aca="false">IF(D4500="","",IFERROR(VLOOKUP(D4500,Assumptions!$G$5:$H$16,2,0),"Other"))</f>
        <v/>
      </c>
      <c r="J4500" s="41" t="str">
        <f aca="false">IF(G4500="","",IFERROR(IF(ISNUMBER(SEARCH(Assumptions!$C$5,G4500)),Assumptions!$D$5,IF(ISNUMBER(SEARCH(Assumptions!$C$6,G4500)),Assumptions!$D$6,IF(ISNUMBER(SEARCH(Assumptions!$C$7,G4500)),Assumptions!$D$7,"Other Services"))),"Other Services"))</f>
        <v/>
      </c>
    </row>
    <row r="4501" customFormat="false" ht="15" hidden="false" customHeight="false" outlineLevel="0" collapsed="false">
      <c r="E4501" s="41" t="str">
        <f aca="false">IF(D4501="","",IFERROR(VLOOKUP(D4501,Assumptions!$G$5:$H$16,2,0),"Other"))</f>
        <v/>
      </c>
      <c r="J4501" s="41" t="str">
        <f aca="false">IF(G4501="","",IFERROR(IF(ISNUMBER(SEARCH(Assumptions!$C$5,G4501)),Assumptions!$D$5,IF(ISNUMBER(SEARCH(Assumptions!$C$6,G4501)),Assumptions!$D$6,IF(ISNUMBER(SEARCH(Assumptions!$C$7,G4501)),Assumptions!$D$7,"Other Services"))),"Other Services"))</f>
        <v/>
      </c>
    </row>
    <row r="4502" customFormat="false" ht="15" hidden="false" customHeight="false" outlineLevel="0" collapsed="false">
      <c r="E4502" s="41" t="str">
        <f aca="false">IF(D4502="","",IFERROR(VLOOKUP(D4502,Assumptions!$G$5:$H$16,2,0),"Other"))</f>
        <v/>
      </c>
      <c r="J4502" s="41" t="str">
        <f aca="false">IF(G4502="","",IFERROR(IF(ISNUMBER(SEARCH(Assumptions!$C$5,G4502)),Assumptions!$D$5,IF(ISNUMBER(SEARCH(Assumptions!$C$6,G4502)),Assumptions!$D$6,IF(ISNUMBER(SEARCH(Assumptions!$C$7,G4502)),Assumptions!$D$7,"Other Services"))),"Other Services"))</f>
        <v/>
      </c>
    </row>
    <row r="4503" customFormat="false" ht="15" hidden="false" customHeight="false" outlineLevel="0" collapsed="false">
      <c r="E4503" s="41" t="str">
        <f aca="false">IF(D4503="","",IFERROR(VLOOKUP(D4503,Assumptions!$G$5:$H$16,2,0),"Other"))</f>
        <v/>
      </c>
      <c r="J4503" s="41" t="str">
        <f aca="false">IF(G4503="","",IFERROR(IF(ISNUMBER(SEARCH(Assumptions!$C$5,G4503)),Assumptions!$D$5,IF(ISNUMBER(SEARCH(Assumptions!$C$6,G4503)),Assumptions!$D$6,IF(ISNUMBER(SEARCH(Assumptions!$C$7,G4503)),Assumptions!$D$7,"Other Services"))),"Other Services"))</f>
        <v/>
      </c>
    </row>
    <row r="4504" customFormat="false" ht="15" hidden="false" customHeight="false" outlineLevel="0" collapsed="false">
      <c r="E4504" s="41" t="str">
        <f aca="false">IF(D4504="","",IFERROR(VLOOKUP(D4504,Assumptions!$G$5:$H$16,2,0),"Other"))</f>
        <v/>
      </c>
      <c r="J4504" s="41" t="str">
        <f aca="false">IF(G4504="","",IFERROR(IF(ISNUMBER(SEARCH(Assumptions!$C$5,G4504)),Assumptions!$D$5,IF(ISNUMBER(SEARCH(Assumptions!$C$6,G4504)),Assumptions!$D$6,IF(ISNUMBER(SEARCH(Assumptions!$C$7,G4504)),Assumptions!$D$7,"Other Services"))),"Other Services"))</f>
        <v/>
      </c>
    </row>
    <row r="4505" customFormat="false" ht="15" hidden="false" customHeight="false" outlineLevel="0" collapsed="false">
      <c r="E4505" s="41" t="str">
        <f aca="false">IF(D4505="","",IFERROR(VLOOKUP(D4505,Assumptions!$G$5:$H$16,2,0),"Other"))</f>
        <v/>
      </c>
      <c r="J4505" s="41" t="str">
        <f aca="false">IF(G4505="","",IFERROR(IF(ISNUMBER(SEARCH(Assumptions!$C$5,G4505)),Assumptions!$D$5,IF(ISNUMBER(SEARCH(Assumptions!$C$6,G4505)),Assumptions!$D$6,IF(ISNUMBER(SEARCH(Assumptions!$C$7,G4505)),Assumptions!$D$7,"Other Services"))),"Other Services"))</f>
        <v/>
      </c>
    </row>
    <row r="4506" customFormat="false" ht="15" hidden="false" customHeight="false" outlineLevel="0" collapsed="false">
      <c r="E4506" s="41" t="str">
        <f aca="false">IF(D4506="","",IFERROR(VLOOKUP(D4506,Assumptions!$G$5:$H$16,2,0),"Other"))</f>
        <v/>
      </c>
      <c r="J4506" s="41" t="str">
        <f aca="false">IF(G4506="","",IFERROR(IF(ISNUMBER(SEARCH(Assumptions!$C$5,G4506)),Assumptions!$D$5,IF(ISNUMBER(SEARCH(Assumptions!$C$6,G4506)),Assumptions!$D$6,IF(ISNUMBER(SEARCH(Assumptions!$C$7,G4506)),Assumptions!$D$7,"Other Services"))),"Other Services"))</f>
        <v/>
      </c>
    </row>
    <row r="4507" customFormat="false" ht="15" hidden="false" customHeight="false" outlineLevel="0" collapsed="false">
      <c r="E4507" s="41" t="str">
        <f aca="false">IF(D4507="","",IFERROR(VLOOKUP(D4507,Assumptions!$G$5:$H$16,2,0),"Other"))</f>
        <v/>
      </c>
      <c r="J4507" s="41" t="str">
        <f aca="false">IF(G4507="","",IFERROR(IF(ISNUMBER(SEARCH(Assumptions!$C$5,G4507)),Assumptions!$D$5,IF(ISNUMBER(SEARCH(Assumptions!$C$6,G4507)),Assumptions!$D$6,IF(ISNUMBER(SEARCH(Assumptions!$C$7,G4507)),Assumptions!$D$7,"Other Services"))),"Other Services"))</f>
        <v/>
      </c>
    </row>
    <row r="4508" customFormat="false" ht="15" hidden="false" customHeight="false" outlineLevel="0" collapsed="false">
      <c r="E4508" s="41" t="str">
        <f aca="false">IF(D4508="","",IFERROR(VLOOKUP(D4508,Assumptions!$G$5:$H$16,2,0),"Other"))</f>
        <v/>
      </c>
      <c r="J4508" s="41" t="str">
        <f aca="false">IF(G4508="","",IFERROR(IF(ISNUMBER(SEARCH(Assumptions!$C$5,G4508)),Assumptions!$D$5,IF(ISNUMBER(SEARCH(Assumptions!$C$6,G4508)),Assumptions!$D$6,IF(ISNUMBER(SEARCH(Assumptions!$C$7,G4508)),Assumptions!$D$7,"Other Services"))),"Other Services"))</f>
        <v/>
      </c>
    </row>
    <row r="4509" customFormat="false" ht="15" hidden="false" customHeight="false" outlineLevel="0" collapsed="false">
      <c r="E4509" s="41" t="str">
        <f aca="false">IF(D4509="","",IFERROR(VLOOKUP(D4509,Assumptions!$G$5:$H$16,2,0),"Other"))</f>
        <v/>
      </c>
      <c r="J4509" s="41" t="str">
        <f aca="false">IF(G4509="","",IFERROR(IF(ISNUMBER(SEARCH(Assumptions!$C$5,G4509)),Assumptions!$D$5,IF(ISNUMBER(SEARCH(Assumptions!$C$6,G4509)),Assumptions!$D$6,IF(ISNUMBER(SEARCH(Assumptions!$C$7,G4509)),Assumptions!$D$7,"Other Services"))),"Other Services"))</f>
        <v/>
      </c>
    </row>
    <row r="4510" customFormat="false" ht="15" hidden="false" customHeight="false" outlineLevel="0" collapsed="false">
      <c r="E4510" s="41" t="str">
        <f aca="false">IF(D4510="","",IFERROR(VLOOKUP(D4510,Assumptions!$G$5:$H$16,2,0),"Other"))</f>
        <v/>
      </c>
      <c r="J4510" s="41" t="str">
        <f aca="false">IF(G4510="","",IFERROR(IF(ISNUMBER(SEARCH(Assumptions!$C$5,G4510)),Assumptions!$D$5,IF(ISNUMBER(SEARCH(Assumptions!$C$6,G4510)),Assumptions!$D$6,IF(ISNUMBER(SEARCH(Assumptions!$C$7,G4510)),Assumptions!$D$7,"Other Services"))),"Other Services"))</f>
        <v/>
      </c>
    </row>
    <row r="4511" customFormat="false" ht="15" hidden="false" customHeight="false" outlineLevel="0" collapsed="false">
      <c r="E4511" s="41" t="str">
        <f aca="false">IF(D4511="","",IFERROR(VLOOKUP(D4511,Assumptions!$G$5:$H$16,2,0),"Other"))</f>
        <v/>
      </c>
      <c r="J4511" s="41" t="str">
        <f aca="false">IF(G4511="","",IFERROR(IF(ISNUMBER(SEARCH(Assumptions!$C$5,G4511)),Assumptions!$D$5,IF(ISNUMBER(SEARCH(Assumptions!$C$6,G4511)),Assumptions!$D$6,IF(ISNUMBER(SEARCH(Assumptions!$C$7,G4511)),Assumptions!$D$7,"Other Services"))),"Other Services"))</f>
        <v/>
      </c>
    </row>
    <row r="4512" customFormat="false" ht="15" hidden="false" customHeight="false" outlineLevel="0" collapsed="false">
      <c r="E4512" s="41" t="str">
        <f aca="false">IF(D4512="","",IFERROR(VLOOKUP(D4512,Assumptions!$G$5:$H$16,2,0),"Other"))</f>
        <v/>
      </c>
      <c r="J4512" s="41" t="str">
        <f aca="false">IF(G4512="","",IFERROR(IF(ISNUMBER(SEARCH(Assumptions!$C$5,G4512)),Assumptions!$D$5,IF(ISNUMBER(SEARCH(Assumptions!$C$6,G4512)),Assumptions!$D$6,IF(ISNUMBER(SEARCH(Assumptions!$C$7,G4512)),Assumptions!$D$7,"Other Services"))),"Other Services"))</f>
        <v/>
      </c>
    </row>
    <row r="4513" customFormat="false" ht="15" hidden="false" customHeight="false" outlineLevel="0" collapsed="false">
      <c r="E4513" s="41" t="str">
        <f aca="false">IF(D4513="","",IFERROR(VLOOKUP(D4513,Assumptions!$G$5:$H$16,2,0),"Other"))</f>
        <v/>
      </c>
      <c r="J4513" s="41" t="str">
        <f aca="false">IF(G4513="","",IFERROR(IF(ISNUMBER(SEARCH(Assumptions!$C$5,G4513)),Assumptions!$D$5,IF(ISNUMBER(SEARCH(Assumptions!$C$6,G4513)),Assumptions!$D$6,IF(ISNUMBER(SEARCH(Assumptions!$C$7,G4513)),Assumptions!$D$7,"Other Services"))),"Other Services"))</f>
        <v/>
      </c>
    </row>
    <row r="4514" customFormat="false" ht="15" hidden="false" customHeight="false" outlineLevel="0" collapsed="false">
      <c r="E4514" s="41" t="str">
        <f aca="false">IF(D4514="","",IFERROR(VLOOKUP(D4514,Assumptions!$G$5:$H$16,2,0),"Other"))</f>
        <v/>
      </c>
      <c r="J4514" s="41" t="str">
        <f aca="false">IF(G4514="","",IFERROR(IF(ISNUMBER(SEARCH(Assumptions!$C$5,G4514)),Assumptions!$D$5,IF(ISNUMBER(SEARCH(Assumptions!$C$6,G4514)),Assumptions!$D$6,IF(ISNUMBER(SEARCH(Assumptions!$C$7,G4514)),Assumptions!$D$7,"Other Services"))),"Other Services"))</f>
        <v/>
      </c>
    </row>
    <row r="4515" customFormat="false" ht="15" hidden="false" customHeight="false" outlineLevel="0" collapsed="false">
      <c r="E4515" s="41" t="str">
        <f aca="false">IF(D4515="","",IFERROR(VLOOKUP(D4515,Assumptions!$G$5:$H$16,2,0),"Other"))</f>
        <v/>
      </c>
      <c r="J4515" s="41" t="str">
        <f aca="false">IF(G4515="","",IFERROR(IF(ISNUMBER(SEARCH(Assumptions!$C$5,G4515)),Assumptions!$D$5,IF(ISNUMBER(SEARCH(Assumptions!$C$6,G4515)),Assumptions!$D$6,IF(ISNUMBER(SEARCH(Assumptions!$C$7,G4515)),Assumptions!$D$7,"Other Services"))),"Other Services"))</f>
        <v/>
      </c>
    </row>
    <row r="4516" customFormat="false" ht="15" hidden="false" customHeight="false" outlineLevel="0" collapsed="false">
      <c r="E4516" s="41" t="str">
        <f aca="false">IF(D4516="","",IFERROR(VLOOKUP(D4516,Assumptions!$G$5:$H$16,2,0),"Other"))</f>
        <v/>
      </c>
      <c r="J4516" s="41" t="str">
        <f aca="false">IF(G4516="","",IFERROR(IF(ISNUMBER(SEARCH(Assumptions!$C$5,G4516)),Assumptions!$D$5,IF(ISNUMBER(SEARCH(Assumptions!$C$6,G4516)),Assumptions!$D$6,IF(ISNUMBER(SEARCH(Assumptions!$C$7,G4516)),Assumptions!$D$7,"Other Services"))),"Other Services"))</f>
        <v/>
      </c>
    </row>
    <row r="4517" customFormat="false" ht="15" hidden="false" customHeight="false" outlineLevel="0" collapsed="false">
      <c r="E4517" s="41" t="str">
        <f aca="false">IF(D4517="","",IFERROR(VLOOKUP(D4517,Assumptions!$G$5:$H$16,2,0),"Other"))</f>
        <v/>
      </c>
      <c r="J4517" s="41" t="str">
        <f aca="false">IF(G4517="","",IFERROR(IF(ISNUMBER(SEARCH(Assumptions!$C$5,G4517)),Assumptions!$D$5,IF(ISNUMBER(SEARCH(Assumptions!$C$6,G4517)),Assumptions!$D$6,IF(ISNUMBER(SEARCH(Assumptions!$C$7,G4517)),Assumptions!$D$7,"Other Services"))),"Other Services"))</f>
        <v/>
      </c>
    </row>
    <row r="4518" customFormat="false" ht="15" hidden="false" customHeight="false" outlineLevel="0" collapsed="false">
      <c r="E4518" s="41" t="str">
        <f aca="false">IF(D4518="","",IFERROR(VLOOKUP(D4518,Assumptions!$G$5:$H$16,2,0),"Other"))</f>
        <v/>
      </c>
      <c r="J4518" s="41" t="str">
        <f aca="false">IF(G4518="","",IFERROR(IF(ISNUMBER(SEARCH(Assumptions!$C$5,G4518)),Assumptions!$D$5,IF(ISNUMBER(SEARCH(Assumptions!$C$6,G4518)),Assumptions!$D$6,IF(ISNUMBER(SEARCH(Assumptions!$C$7,G4518)),Assumptions!$D$7,"Other Services"))),"Other Services"))</f>
        <v/>
      </c>
    </row>
    <row r="4519" customFormat="false" ht="15" hidden="false" customHeight="false" outlineLevel="0" collapsed="false">
      <c r="E4519" s="41" t="str">
        <f aca="false">IF(D4519="","",IFERROR(VLOOKUP(D4519,Assumptions!$G$5:$H$16,2,0),"Other"))</f>
        <v/>
      </c>
      <c r="J4519" s="41" t="str">
        <f aca="false">IF(G4519="","",IFERROR(IF(ISNUMBER(SEARCH(Assumptions!$C$5,G4519)),Assumptions!$D$5,IF(ISNUMBER(SEARCH(Assumptions!$C$6,G4519)),Assumptions!$D$6,IF(ISNUMBER(SEARCH(Assumptions!$C$7,G4519)),Assumptions!$D$7,"Other Services"))),"Other Services"))</f>
        <v/>
      </c>
    </row>
    <row r="4520" customFormat="false" ht="15" hidden="false" customHeight="false" outlineLevel="0" collapsed="false">
      <c r="E4520" s="41" t="str">
        <f aca="false">IF(D4520="","",IFERROR(VLOOKUP(D4520,Assumptions!$G$5:$H$16,2,0),"Other"))</f>
        <v/>
      </c>
      <c r="J4520" s="41" t="str">
        <f aca="false">IF(G4520="","",IFERROR(IF(ISNUMBER(SEARCH(Assumptions!$C$5,G4520)),Assumptions!$D$5,IF(ISNUMBER(SEARCH(Assumptions!$C$6,G4520)),Assumptions!$D$6,IF(ISNUMBER(SEARCH(Assumptions!$C$7,G4520)),Assumptions!$D$7,"Other Services"))),"Other Services"))</f>
        <v/>
      </c>
    </row>
    <row r="4521" customFormat="false" ht="15" hidden="false" customHeight="false" outlineLevel="0" collapsed="false">
      <c r="E4521" s="41" t="str">
        <f aca="false">IF(D4521="","",IFERROR(VLOOKUP(D4521,Assumptions!$G$5:$H$16,2,0),"Other"))</f>
        <v/>
      </c>
      <c r="J4521" s="41" t="str">
        <f aca="false">IF(G4521="","",IFERROR(IF(ISNUMBER(SEARCH(Assumptions!$C$5,G4521)),Assumptions!$D$5,IF(ISNUMBER(SEARCH(Assumptions!$C$6,G4521)),Assumptions!$D$6,IF(ISNUMBER(SEARCH(Assumptions!$C$7,G4521)),Assumptions!$D$7,"Other Services"))),"Other Services"))</f>
        <v/>
      </c>
    </row>
    <row r="4522" customFormat="false" ht="15" hidden="false" customHeight="false" outlineLevel="0" collapsed="false">
      <c r="E4522" s="41" t="str">
        <f aca="false">IF(D4522="","",IFERROR(VLOOKUP(D4522,Assumptions!$G$5:$H$16,2,0),"Other"))</f>
        <v/>
      </c>
      <c r="J4522" s="41" t="str">
        <f aca="false">IF(G4522="","",IFERROR(IF(ISNUMBER(SEARCH(Assumptions!$C$5,G4522)),Assumptions!$D$5,IF(ISNUMBER(SEARCH(Assumptions!$C$6,G4522)),Assumptions!$D$6,IF(ISNUMBER(SEARCH(Assumptions!$C$7,G4522)),Assumptions!$D$7,"Other Services"))),"Other Services"))</f>
        <v/>
      </c>
    </row>
    <row r="4523" customFormat="false" ht="15" hidden="false" customHeight="false" outlineLevel="0" collapsed="false">
      <c r="E4523" s="41" t="str">
        <f aca="false">IF(D4523="","",IFERROR(VLOOKUP(D4523,Assumptions!$G$5:$H$16,2,0),"Other"))</f>
        <v/>
      </c>
      <c r="J4523" s="41" t="str">
        <f aca="false">IF(G4523="","",IFERROR(IF(ISNUMBER(SEARCH(Assumptions!$C$5,G4523)),Assumptions!$D$5,IF(ISNUMBER(SEARCH(Assumptions!$C$6,G4523)),Assumptions!$D$6,IF(ISNUMBER(SEARCH(Assumptions!$C$7,G4523)),Assumptions!$D$7,"Other Services"))),"Other Services"))</f>
        <v/>
      </c>
    </row>
    <row r="4524" customFormat="false" ht="15" hidden="false" customHeight="false" outlineLevel="0" collapsed="false">
      <c r="E4524" s="41" t="str">
        <f aca="false">IF(D4524="","",IFERROR(VLOOKUP(D4524,Assumptions!$G$5:$H$16,2,0),"Other"))</f>
        <v/>
      </c>
      <c r="J4524" s="41" t="str">
        <f aca="false">IF(G4524="","",IFERROR(IF(ISNUMBER(SEARCH(Assumptions!$C$5,G4524)),Assumptions!$D$5,IF(ISNUMBER(SEARCH(Assumptions!$C$6,G4524)),Assumptions!$D$6,IF(ISNUMBER(SEARCH(Assumptions!$C$7,G4524)),Assumptions!$D$7,"Other Services"))),"Other Services"))</f>
        <v/>
      </c>
    </row>
    <row r="4525" customFormat="false" ht="15" hidden="false" customHeight="false" outlineLevel="0" collapsed="false">
      <c r="E4525" s="41" t="str">
        <f aca="false">IF(D4525="","",IFERROR(VLOOKUP(D4525,Assumptions!$G$5:$H$16,2,0),"Other"))</f>
        <v/>
      </c>
      <c r="J4525" s="41" t="str">
        <f aca="false">IF(G4525="","",IFERROR(IF(ISNUMBER(SEARCH(Assumptions!$C$5,G4525)),Assumptions!$D$5,IF(ISNUMBER(SEARCH(Assumptions!$C$6,G4525)),Assumptions!$D$6,IF(ISNUMBER(SEARCH(Assumptions!$C$7,G4525)),Assumptions!$D$7,"Other Services"))),"Other Services"))</f>
        <v/>
      </c>
    </row>
    <row r="4526" customFormat="false" ht="15" hidden="false" customHeight="false" outlineLevel="0" collapsed="false">
      <c r="E4526" s="41" t="str">
        <f aca="false">IF(D4526="","",IFERROR(VLOOKUP(D4526,Assumptions!$G$5:$H$16,2,0),"Other"))</f>
        <v/>
      </c>
      <c r="J4526" s="41" t="str">
        <f aca="false">IF(G4526="","",IFERROR(IF(ISNUMBER(SEARCH(Assumptions!$C$5,G4526)),Assumptions!$D$5,IF(ISNUMBER(SEARCH(Assumptions!$C$6,G4526)),Assumptions!$D$6,IF(ISNUMBER(SEARCH(Assumptions!$C$7,G4526)),Assumptions!$D$7,"Other Services"))),"Other Services"))</f>
        <v/>
      </c>
    </row>
    <row r="4527" customFormat="false" ht="15" hidden="false" customHeight="false" outlineLevel="0" collapsed="false">
      <c r="E4527" s="41" t="str">
        <f aca="false">IF(D4527="","",IFERROR(VLOOKUP(D4527,Assumptions!$G$5:$H$16,2,0),"Other"))</f>
        <v/>
      </c>
      <c r="J4527" s="41" t="str">
        <f aca="false">IF(G4527="","",IFERROR(IF(ISNUMBER(SEARCH(Assumptions!$C$5,G4527)),Assumptions!$D$5,IF(ISNUMBER(SEARCH(Assumptions!$C$6,G4527)),Assumptions!$D$6,IF(ISNUMBER(SEARCH(Assumptions!$C$7,G4527)),Assumptions!$D$7,"Other Services"))),"Other Services"))</f>
        <v/>
      </c>
    </row>
    <row r="4528" customFormat="false" ht="15" hidden="false" customHeight="false" outlineLevel="0" collapsed="false">
      <c r="E4528" s="41" t="str">
        <f aca="false">IF(D4528="","",IFERROR(VLOOKUP(D4528,Assumptions!$G$5:$H$16,2,0),"Other"))</f>
        <v/>
      </c>
      <c r="J4528" s="41" t="str">
        <f aca="false">IF(G4528="","",IFERROR(IF(ISNUMBER(SEARCH(Assumptions!$C$5,G4528)),Assumptions!$D$5,IF(ISNUMBER(SEARCH(Assumptions!$C$6,G4528)),Assumptions!$D$6,IF(ISNUMBER(SEARCH(Assumptions!$C$7,G4528)),Assumptions!$D$7,"Other Services"))),"Other Services"))</f>
        <v/>
      </c>
    </row>
    <row r="4529" customFormat="false" ht="15" hidden="false" customHeight="false" outlineLevel="0" collapsed="false">
      <c r="E4529" s="41" t="str">
        <f aca="false">IF(D4529="","",IFERROR(VLOOKUP(D4529,Assumptions!$G$5:$H$16,2,0),"Other"))</f>
        <v/>
      </c>
      <c r="J4529" s="41" t="str">
        <f aca="false">IF(G4529="","",IFERROR(IF(ISNUMBER(SEARCH(Assumptions!$C$5,G4529)),Assumptions!$D$5,IF(ISNUMBER(SEARCH(Assumptions!$C$6,G4529)),Assumptions!$D$6,IF(ISNUMBER(SEARCH(Assumptions!$C$7,G4529)),Assumptions!$D$7,"Other Services"))),"Other Services"))</f>
        <v/>
      </c>
    </row>
    <row r="4530" customFormat="false" ht="15" hidden="false" customHeight="false" outlineLevel="0" collapsed="false">
      <c r="E4530" s="41" t="str">
        <f aca="false">IF(D4530="","",IFERROR(VLOOKUP(D4530,Assumptions!$G$5:$H$16,2,0),"Other"))</f>
        <v/>
      </c>
      <c r="J4530" s="41" t="str">
        <f aca="false">IF(G4530="","",IFERROR(IF(ISNUMBER(SEARCH(Assumptions!$C$5,G4530)),Assumptions!$D$5,IF(ISNUMBER(SEARCH(Assumptions!$C$6,G4530)),Assumptions!$D$6,IF(ISNUMBER(SEARCH(Assumptions!$C$7,G4530)),Assumptions!$D$7,"Other Services"))),"Other Services"))</f>
        <v/>
      </c>
    </row>
    <row r="4531" customFormat="false" ht="15" hidden="false" customHeight="false" outlineLevel="0" collapsed="false">
      <c r="E4531" s="41" t="str">
        <f aca="false">IF(D4531="","",IFERROR(VLOOKUP(D4531,Assumptions!$G$5:$H$16,2,0),"Other"))</f>
        <v/>
      </c>
      <c r="J4531" s="41" t="str">
        <f aca="false">IF(G4531="","",IFERROR(IF(ISNUMBER(SEARCH(Assumptions!$C$5,G4531)),Assumptions!$D$5,IF(ISNUMBER(SEARCH(Assumptions!$C$6,G4531)),Assumptions!$D$6,IF(ISNUMBER(SEARCH(Assumptions!$C$7,G4531)),Assumptions!$D$7,"Other Services"))),"Other Services"))</f>
        <v/>
      </c>
    </row>
    <row r="4532" customFormat="false" ht="15" hidden="false" customHeight="false" outlineLevel="0" collapsed="false">
      <c r="E4532" s="41" t="str">
        <f aca="false">IF(D4532="","",IFERROR(VLOOKUP(D4532,Assumptions!$G$5:$H$16,2,0),"Other"))</f>
        <v/>
      </c>
      <c r="J4532" s="41" t="str">
        <f aca="false">IF(G4532="","",IFERROR(IF(ISNUMBER(SEARCH(Assumptions!$C$5,G4532)),Assumptions!$D$5,IF(ISNUMBER(SEARCH(Assumptions!$C$6,G4532)),Assumptions!$D$6,IF(ISNUMBER(SEARCH(Assumptions!$C$7,G4532)),Assumptions!$D$7,"Other Services"))),"Other Services"))</f>
        <v/>
      </c>
    </row>
    <row r="4533" customFormat="false" ht="15" hidden="false" customHeight="false" outlineLevel="0" collapsed="false">
      <c r="E4533" s="41" t="str">
        <f aca="false">IF(D4533="","",IFERROR(VLOOKUP(D4533,Assumptions!$G$5:$H$16,2,0),"Other"))</f>
        <v/>
      </c>
      <c r="J4533" s="41" t="str">
        <f aca="false">IF(G4533="","",IFERROR(IF(ISNUMBER(SEARCH(Assumptions!$C$5,G4533)),Assumptions!$D$5,IF(ISNUMBER(SEARCH(Assumptions!$C$6,G4533)),Assumptions!$D$6,IF(ISNUMBER(SEARCH(Assumptions!$C$7,G4533)),Assumptions!$D$7,"Other Services"))),"Other Services"))</f>
        <v/>
      </c>
    </row>
    <row r="4534" customFormat="false" ht="15" hidden="false" customHeight="false" outlineLevel="0" collapsed="false">
      <c r="E4534" s="41" t="str">
        <f aca="false">IF(D4534="","",IFERROR(VLOOKUP(D4534,Assumptions!$G$5:$H$16,2,0),"Other"))</f>
        <v/>
      </c>
      <c r="J4534" s="41" t="str">
        <f aca="false">IF(G4534="","",IFERROR(IF(ISNUMBER(SEARCH(Assumptions!$C$5,G4534)),Assumptions!$D$5,IF(ISNUMBER(SEARCH(Assumptions!$C$6,G4534)),Assumptions!$D$6,IF(ISNUMBER(SEARCH(Assumptions!$C$7,G4534)),Assumptions!$D$7,"Other Services"))),"Other Services"))</f>
        <v/>
      </c>
    </row>
    <row r="4535" customFormat="false" ht="15" hidden="false" customHeight="false" outlineLevel="0" collapsed="false">
      <c r="E4535" s="41" t="str">
        <f aca="false">IF(D4535="","",IFERROR(VLOOKUP(D4535,Assumptions!$G$5:$H$16,2,0),"Other"))</f>
        <v/>
      </c>
      <c r="J4535" s="41" t="str">
        <f aca="false">IF(G4535="","",IFERROR(IF(ISNUMBER(SEARCH(Assumptions!$C$5,G4535)),Assumptions!$D$5,IF(ISNUMBER(SEARCH(Assumptions!$C$6,G4535)),Assumptions!$D$6,IF(ISNUMBER(SEARCH(Assumptions!$C$7,G4535)),Assumptions!$D$7,"Other Services"))),"Other Services"))</f>
        <v/>
      </c>
    </row>
    <row r="4536" customFormat="false" ht="15" hidden="false" customHeight="false" outlineLevel="0" collapsed="false">
      <c r="E4536" s="41" t="str">
        <f aca="false">IF(D4536="","",IFERROR(VLOOKUP(D4536,Assumptions!$G$5:$H$16,2,0),"Other"))</f>
        <v/>
      </c>
      <c r="J4536" s="41" t="str">
        <f aca="false">IF(G4536="","",IFERROR(IF(ISNUMBER(SEARCH(Assumptions!$C$5,G4536)),Assumptions!$D$5,IF(ISNUMBER(SEARCH(Assumptions!$C$6,G4536)),Assumptions!$D$6,IF(ISNUMBER(SEARCH(Assumptions!$C$7,G4536)),Assumptions!$D$7,"Other Services"))),"Other Services"))</f>
        <v/>
      </c>
    </row>
    <row r="4537" customFormat="false" ht="15" hidden="false" customHeight="false" outlineLevel="0" collapsed="false">
      <c r="E4537" s="41" t="str">
        <f aca="false">IF(D4537="","",IFERROR(VLOOKUP(D4537,Assumptions!$G$5:$H$16,2,0),"Other"))</f>
        <v/>
      </c>
      <c r="J4537" s="41" t="str">
        <f aca="false">IF(G4537="","",IFERROR(IF(ISNUMBER(SEARCH(Assumptions!$C$5,G4537)),Assumptions!$D$5,IF(ISNUMBER(SEARCH(Assumptions!$C$6,G4537)),Assumptions!$D$6,IF(ISNUMBER(SEARCH(Assumptions!$C$7,G4537)),Assumptions!$D$7,"Other Services"))),"Other Services"))</f>
        <v/>
      </c>
    </row>
    <row r="4538" customFormat="false" ht="15" hidden="false" customHeight="false" outlineLevel="0" collapsed="false">
      <c r="E4538" s="41" t="str">
        <f aca="false">IF(D4538="","",IFERROR(VLOOKUP(D4538,Assumptions!$G$5:$H$16,2,0),"Other"))</f>
        <v/>
      </c>
      <c r="J4538" s="41" t="str">
        <f aca="false">IF(G4538="","",IFERROR(IF(ISNUMBER(SEARCH(Assumptions!$C$5,G4538)),Assumptions!$D$5,IF(ISNUMBER(SEARCH(Assumptions!$C$6,G4538)),Assumptions!$D$6,IF(ISNUMBER(SEARCH(Assumptions!$C$7,G4538)),Assumptions!$D$7,"Other Services"))),"Other Services"))</f>
        <v/>
      </c>
    </row>
    <row r="4539" customFormat="false" ht="15" hidden="false" customHeight="false" outlineLevel="0" collapsed="false">
      <c r="E4539" s="41" t="str">
        <f aca="false">IF(D4539="","",IFERROR(VLOOKUP(D4539,Assumptions!$G$5:$H$16,2,0),"Other"))</f>
        <v/>
      </c>
      <c r="J4539" s="41" t="str">
        <f aca="false">IF(G4539="","",IFERROR(IF(ISNUMBER(SEARCH(Assumptions!$C$5,G4539)),Assumptions!$D$5,IF(ISNUMBER(SEARCH(Assumptions!$C$6,G4539)),Assumptions!$D$6,IF(ISNUMBER(SEARCH(Assumptions!$C$7,G4539)),Assumptions!$D$7,"Other Services"))),"Other Services"))</f>
        <v/>
      </c>
    </row>
    <row r="4540" customFormat="false" ht="15" hidden="false" customHeight="false" outlineLevel="0" collapsed="false">
      <c r="E4540" s="41" t="str">
        <f aca="false">IF(D4540="","",IFERROR(VLOOKUP(D4540,Assumptions!$G$5:$H$16,2,0),"Other"))</f>
        <v/>
      </c>
      <c r="J4540" s="41" t="str">
        <f aca="false">IF(G4540="","",IFERROR(IF(ISNUMBER(SEARCH(Assumptions!$C$5,G4540)),Assumptions!$D$5,IF(ISNUMBER(SEARCH(Assumptions!$C$6,G4540)),Assumptions!$D$6,IF(ISNUMBER(SEARCH(Assumptions!$C$7,G4540)),Assumptions!$D$7,"Other Services"))),"Other Services"))</f>
        <v/>
      </c>
    </row>
    <row r="4541" customFormat="false" ht="15" hidden="false" customHeight="false" outlineLevel="0" collapsed="false">
      <c r="E4541" s="41" t="str">
        <f aca="false">IF(D4541="","",IFERROR(VLOOKUP(D4541,Assumptions!$G$5:$H$16,2,0),"Other"))</f>
        <v/>
      </c>
      <c r="J4541" s="41" t="str">
        <f aca="false">IF(G4541="","",IFERROR(IF(ISNUMBER(SEARCH(Assumptions!$C$5,G4541)),Assumptions!$D$5,IF(ISNUMBER(SEARCH(Assumptions!$C$6,G4541)),Assumptions!$D$6,IF(ISNUMBER(SEARCH(Assumptions!$C$7,G4541)),Assumptions!$D$7,"Other Services"))),"Other Services"))</f>
        <v/>
      </c>
    </row>
    <row r="4542" customFormat="false" ht="15" hidden="false" customHeight="false" outlineLevel="0" collapsed="false">
      <c r="E4542" s="41" t="str">
        <f aca="false">IF(D4542="","",IFERROR(VLOOKUP(D4542,Assumptions!$G$5:$H$16,2,0),"Other"))</f>
        <v/>
      </c>
      <c r="J4542" s="41" t="str">
        <f aca="false">IF(G4542="","",IFERROR(IF(ISNUMBER(SEARCH(Assumptions!$C$5,G4542)),Assumptions!$D$5,IF(ISNUMBER(SEARCH(Assumptions!$C$6,G4542)),Assumptions!$D$6,IF(ISNUMBER(SEARCH(Assumptions!$C$7,G4542)),Assumptions!$D$7,"Other Services"))),"Other Services"))</f>
        <v/>
      </c>
    </row>
    <row r="4543" customFormat="false" ht="15" hidden="false" customHeight="false" outlineLevel="0" collapsed="false">
      <c r="E4543" s="41" t="str">
        <f aca="false">IF(D4543="","",IFERROR(VLOOKUP(D4543,Assumptions!$G$5:$H$16,2,0),"Other"))</f>
        <v/>
      </c>
      <c r="J4543" s="41" t="str">
        <f aca="false">IF(G4543="","",IFERROR(IF(ISNUMBER(SEARCH(Assumptions!$C$5,G4543)),Assumptions!$D$5,IF(ISNUMBER(SEARCH(Assumptions!$C$6,G4543)),Assumptions!$D$6,IF(ISNUMBER(SEARCH(Assumptions!$C$7,G4543)),Assumptions!$D$7,"Other Services"))),"Other Services"))</f>
        <v/>
      </c>
    </row>
    <row r="4544" customFormat="false" ht="15" hidden="false" customHeight="false" outlineLevel="0" collapsed="false">
      <c r="E4544" s="41" t="str">
        <f aca="false">IF(D4544="","",IFERROR(VLOOKUP(D4544,Assumptions!$G$5:$H$16,2,0),"Other"))</f>
        <v/>
      </c>
      <c r="J4544" s="41" t="str">
        <f aca="false">IF(G4544="","",IFERROR(IF(ISNUMBER(SEARCH(Assumptions!$C$5,G4544)),Assumptions!$D$5,IF(ISNUMBER(SEARCH(Assumptions!$C$6,G4544)),Assumptions!$D$6,IF(ISNUMBER(SEARCH(Assumptions!$C$7,G4544)),Assumptions!$D$7,"Other Services"))),"Other Services"))</f>
        <v/>
      </c>
    </row>
    <row r="4545" customFormat="false" ht="15" hidden="false" customHeight="false" outlineLevel="0" collapsed="false">
      <c r="E4545" s="41" t="str">
        <f aca="false">IF(D4545="","",IFERROR(VLOOKUP(D4545,Assumptions!$G$5:$H$16,2,0),"Other"))</f>
        <v/>
      </c>
      <c r="J4545" s="41" t="str">
        <f aca="false">IF(G4545="","",IFERROR(IF(ISNUMBER(SEARCH(Assumptions!$C$5,G4545)),Assumptions!$D$5,IF(ISNUMBER(SEARCH(Assumptions!$C$6,G4545)),Assumptions!$D$6,IF(ISNUMBER(SEARCH(Assumptions!$C$7,G4545)),Assumptions!$D$7,"Other Services"))),"Other Services"))</f>
        <v/>
      </c>
    </row>
    <row r="4546" customFormat="false" ht="15" hidden="false" customHeight="false" outlineLevel="0" collapsed="false">
      <c r="E4546" s="41" t="str">
        <f aca="false">IF(D4546="","",IFERROR(VLOOKUP(D4546,Assumptions!$G$5:$H$16,2,0),"Other"))</f>
        <v/>
      </c>
      <c r="J4546" s="41" t="str">
        <f aca="false">IF(G4546="","",IFERROR(IF(ISNUMBER(SEARCH(Assumptions!$C$5,G4546)),Assumptions!$D$5,IF(ISNUMBER(SEARCH(Assumptions!$C$6,G4546)),Assumptions!$D$6,IF(ISNUMBER(SEARCH(Assumptions!$C$7,G4546)),Assumptions!$D$7,"Other Services"))),"Other Services"))</f>
        <v/>
      </c>
    </row>
    <row r="4547" customFormat="false" ht="15" hidden="false" customHeight="false" outlineLevel="0" collapsed="false">
      <c r="E4547" s="41" t="str">
        <f aca="false">IF(D4547="","",IFERROR(VLOOKUP(D4547,Assumptions!$G$5:$H$16,2,0),"Other"))</f>
        <v/>
      </c>
      <c r="J4547" s="41" t="str">
        <f aca="false">IF(G4547="","",IFERROR(IF(ISNUMBER(SEARCH(Assumptions!$C$5,G4547)),Assumptions!$D$5,IF(ISNUMBER(SEARCH(Assumptions!$C$6,G4547)),Assumptions!$D$6,IF(ISNUMBER(SEARCH(Assumptions!$C$7,G4547)),Assumptions!$D$7,"Other Services"))),"Other Services"))</f>
        <v/>
      </c>
    </row>
    <row r="4548" customFormat="false" ht="15" hidden="false" customHeight="false" outlineLevel="0" collapsed="false">
      <c r="E4548" s="41" t="str">
        <f aca="false">IF(D4548="","",IFERROR(VLOOKUP(D4548,Assumptions!$G$5:$H$16,2,0),"Other"))</f>
        <v/>
      </c>
      <c r="J4548" s="41" t="str">
        <f aca="false">IF(G4548="","",IFERROR(IF(ISNUMBER(SEARCH(Assumptions!$C$5,G4548)),Assumptions!$D$5,IF(ISNUMBER(SEARCH(Assumptions!$C$6,G4548)),Assumptions!$D$6,IF(ISNUMBER(SEARCH(Assumptions!$C$7,G4548)),Assumptions!$D$7,"Other Services"))),"Other Services"))</f>
        <v/>
      </c>
    </row>
    <row r="4549" customFormat="false" ht="15" hidden="false" customHeight="false" outlineLevel="0" collapsed="false">
      <c r="E4549" s="41" t="str">
        <f aca="false">IF(D4549="","",IFERROR(VLOOKUP(D4549,Assumptions!$G$5:$H$16,2,0),"Other"))</f>
        <v/>
      </c>
      <c r="J4549" s="41" t="str">
        <f aca="false">IF(G4549="","",IFERROR(IF(ISNUMBER(SEARCH(Assumptions!$C$5,G4549)),Assumptions!$D$5,IF(ISNUMBER(SEARCH(Assumptions!$C$6,G4549)),Assumptions!$D$6,IF(ISNUMBER(SEARCH(Assumptions!$C$7,G4549)),Assumptions!$D$7,"Other Services"))),"Other Services"))</f>
        <v/>
      </c>
    </row>
    <row r="4550" customFormat="false" ht="15" hidden="false" customHeight="false" outlineLevel="0" collapsed="false">
      <c r="E4550" s="41" t="str">
        <f aca="false">IF(D4550="","",IFERROR(VLOOKUP(D4550,Assumptions!$G$5:$H$16,2,0),"Other"))</f>
        <v/>
      </c>
      <c r="J4550" s="41" t="str">
        <f aca="false">IF(G4550="","",IFERROR(IF(ISNUMBER(SEARCH(Assumptions!$C$5,G4550)),Assumptions!$D$5,IF(ISNUMBER(SEARCH(Assumptions!$C$6,G4550)),Assumptions!$D$6,IF(ISNUMBER(SEARCH(Assumptions!$C$7,G4550)),Assumptions!$D$7,"Other Services"))),"Other Services"))</f>
        <v/>
      </c>
    </row>
    <row r="4551" customFormat="false" ht="15" hidden="false" customHeight="false" outlineLevel="0" collapsed="false">
      <c r="E4551" s="41" t="str">
        <f aca="false">IF(D4551="","",IFERROR(VLOOKUP(D4551,Assumptions!$G$5:$H$16,2,0),"Other"))</f>
        <v/>
      </c>
      <c r="J4551" s="41" t="str">
        <f aca="false">IF(G4551="","",IFERROR(IF(ISNUMBER(SEARCH(Assumptions!$C$5,G4551)),Assumptions!$D$5,IF(ISNUMBER(SEARCH(Assumptions!$C$6,G4551)),Assumptions!$D$6,IF(ISNUMBER(SEARCH(Assumptions!$C$7,G4551)),Assumptions!$D$7,"Other Services"))),"Other Services"))</f>
        <v/>
      </c>
    </row>
    <row r="4552" customFormat="false" ht="15" hidden="false" customHeight="false" outlineLevel="0" collapsed="false">
      <c r="E4552" s="41" t="str">
        <f aca="false">IF(D4552="","",IFERROR(VLOOKUP(D4552,Assumptions!$G$5:$H$16,2,0),"Other"))</f>
        <v/>
      </c>
      <c r="J4552" s="41" t="str">
        <f aca="false">IF(G4552="","",IFERROR(IF(ISNUMBER(SEARCH(Assumptions!$C$5,G4552)),Assumptions!$D$5,IF(ISNUMBER(SEARCH(Assumptions!$C$6,G4552)),Assumptions!$D$6,IF(ISNUMBER(SEARCH(Assumptions!$C$7,G4552)),Assumptions!$D$7,"Other Services"))),"Other Services"))</f>
        <v/>
      </c>
    </row>
    <row r="4553" customFormat="false" ht="15" hidden="false" customHeight="false" outlineLevel="0" collapsed="false">
      <c r="E4553" s="41" t="str">
        <f aca="false">IF(D4553="","",IFERROR(VLOOKUP(D4553,Assumptions!$G$5:$H$16,2,0),"Other"))</f>
        <v/>
      </c>
      <c r="J4553" s="41" t="str">
        <f aca="false">IF(G4553="","",IFERROR(IF(ISNUMBER(SEARCH(Assumptions!$C$5,G4553)),Assumptions!$D$5,IF(ISNUMBER(SEARCH(Assumptions!$C$6,G4553)),Assumptions!$D$6,IF(ISNUMBER(SEARCH(Assumptions!$C$7,G4553)),Assumptions!$D$7,"Other Services"))),"Other Services"))</f>
        <v/>
      </c>
    </row>
    <row r="4554" customFormat="false" ht="15" hidden="false" customHeight="false" outlineLevel="0" collapsed="false">
      <c r="E4554" s="41" t="str">
        <f aca="false">IF(D4554="","",IFERROR(VLOOKUP(D4554,Assumptions!$G$5:$H$16,2,0),"Other"))</f>
        <v/>
      </c>
      <c r="J4554" s="41" t="str">
        <f aca="false">IF(G4554="","",IFERROR(IF(ISNUMBER(SEARCH(Assumptions!$C$5,G4554)),Assumptions!$D$5,IF(ISNUMBER(SEARCH(Assumptions!$C$6,G4554)),Assumptions!$D$6,IF(ISNUMBER(SEARCH(Assumptions!$C$7,G4554)),Assumptions!$D$7,"Other Services"))),"Other Services"))</f>
        <v/>
      </c>
    </row>
    <row r="4555" customFormat="false" ht="15" hidden="false" customHeight="false" outlineLevel="0" collapsed="false">
      <c r="E4555" s="41" t="str">
        <f aca="false">IF(D4555="","",IFERROR(VLOOKUP(D4555,Assumptions!$G$5:$H$16,2,0),"Other"))</f>
        <v/>
      </c>
      <c r="J4555" s="41" t="str">
        <f aca="false">IF(G4555="","",IFERROR(IF(ISNUMBER(SEARCH(Assumptions!$C$5,G4555)),Assumptions!$D$5,IF(ISNUMBER(SEARCH(Assumptions!$C$6,G4555)),Assumptions!$D$6,IF(ISNUMBER(SEARCH(Assumptions!$C$7,G4555)),Assumptions!$D$7,"Other Services"))),"Other Services"))</f>
        <v/>
      </c>
    </row>
    <row r="4556" customFormat="false" ht="15" hidden="false" customHeight="false" outlineLevel="0" collapsed="false">
      <c r="E4556" s="41" t="str">
        <f aca="false">IF(D4556="","",IFERROR(VLOOKUP(D4556,Assumptions!$G$5:$H$16,2,0),"Other"))</f>
        <v/>
      </c>
      <c r="J4556" s="41" t="str">
        <f aca="false">IF(G4556="","",IFERROR(IF(ISNUMBER(SEARCH(Assumptions!$C$5,G4556)),Assumptions!$D$5,IF(ISNUMBER(SEARCH(Assumptions!$C$6,G4556)),Assumptions!$D$6,IF(ISNUMBER(SEARCH(Assumptions!$C$7,G4556)),Assumptions!$D$7,"Other Services"))),"Other Services"))</f>
        <v/>
      </c>
    </row>
    <row r="4557" customFormat="false" ht="15" hidden="false" customHeight="false" outlineLevel="0" collapsed="false">
      <c r="E4557" s="41" t="str">
        <f aca="false">IF(D4557="","",IFERROR(VLOOKUP(D4557,Assumptions!$G$5:$H$16,2,0),"Other"))</f>
        <v/>
      </c>
      <c r="J4557" s="41" t="str">
        <f aca="false">IF(G4557="","",IFERROR(IF(ISNUMBER(SEARCH(Assumptions!$C$5,G4557)),Assumptions!$D$5,IF(ISNUMBER(SEARCH(Assumptions!$C$6,G4557)),Assumptions!$D$6,IF(ISNUMBER(SEARCH(Assumptions!$C$7,G4557)),Assumptions!$D$7,"Other Services"))),"Other Services"))</f>
        <v/>
      </c>
    </row>
    <row r="4558" customFormat="false" ht="15" hidden="false" customHeight="false" outlineLevel="0" collapsed="false">
      <c r="E4558" s="41" t="str">
        <f aca="false">IF(D4558="","",IFERROR(VLOOKUP(D4558,Assumptions!$G$5:$H$16,2,0),"Other"))</f>
        <v/>
      </c>
      <c r="J4558" s="41" t="str">
        <f aca="false">IF(G4558="","",IFERROR(IF(ISNUMBER(SEARCH(Assumptions!$C$5,G4558)),Assumptions!$D$5,IF(ISNUMBER(SEARCH(Assumptions!$C$6,G4558)),Assumptions!$D$6,IF(ISNUMBER(SEARCH(Assumptions!$C$7,G4558)),Assumptions!$D$7,"Other Services"))),"Other Services"))</f>
        <v/>
      </c>
    </row>
    <row r="4559" customFormat="false" ht="15" hidden="false" customHeight="false" outlineLevel="0" collapsed="false">
      <c r="E4559" s="41" t="str">
        <f aca="false">IF(D4559="","",IFERROR(VLOOKUP(D4559,Assumptions!$G$5:$H$16,2,0),"Other"))</f>
        <v/>
      </c>
      <c r="J4559" s="41" t="str">
        <f aca="false">IF(G4559="","",IFERROR(IF(ISNUMBER(SEARCH(Assumptions!$C$5,G4559)),Assumptions!$D$5,IF(ISNUMBER(SEARCH(Assumptions!$C$6,G4559)),Assumptions!$D$6,IF(ISNUMBER(SEARCH(Assumptions!$C$7,G4559)),Assumptions!$D$7,"Other Services"))),"Other Services"))</f>
        <v/>
      </c>
    </row>
    <row r="4560" customFormat="false" ht="15" hidden="false" customHeight="false" outlineLevel="0" collapsed="false">
      <c r="E4560" s="41" t="str">
        <f aca="false">IF(D4560="","",IFERROR(VLOOKUP(D4560,Assumptions!$G$5:$H$16,2,0),"Other"))</f>
        <v/>
      </c>
      <c r="J4560" s="41" t="str">
        <f aca="false">IF(G4560="","",IFERROR(IF(ISNUMBER(SEARCH(Assumptions!$C$5,G4560)),Assumptions!$D$5,IF(ISNUMBER(SEARCH(Assumptions!$C$6,G4560)),Assumptions!$D$6,IF(ISNUMBER(SEARCH(Assumptions!$C$7,G4560)),Assumptions!$D$7,"Other Services"))),"Other Services"))</f>
        <v/>
      </c>
    </row>
    <row r="4561" customFormat="false" ht="15" hidden="false" customHeight="false" outlineLevel="0" collapsed="false">
      <c r="E4561" s="41" t="str">
        <f aca="false">IF(D4561="","",IFERROR(VLOOKUP(D4561,Assumptions!$G$5:$H$16,2,0),"Other"))</f>
        <v/>
      </c>
      <c r="J4561" s="41" t="str">
        <f aca="false">IF(G4561="","",IFERROR(IF(ISNUMBER(SEARCH(Assumptions!$C$5,G4561)),Assumptions!$D$5,IF(ISNUMBER(SEARCH(Assumptions!$C$6,G4561)),Assumptions!$D$6,IF(ISNUMBER(SEARCH(Assumptions!$C$7,G4561)),Assumptions!$D$7,"Other Services"))),"Other Services"))</f>
        <v/>
      </c>
    </row>
    <row r="4562" customFormat="false" ht="15" hidden="false" customHeight="false" outlineLevel="0" collapsed="false">
      <c r="E4562" s="41" t="str">
        <f aca="false">IF(D4562="","",IFERROR(VLOOKUP(D4562,Assumptions!$G$5:$H$16,2,0),"Other"))</f>
        <v/>
      </c>
      <c r="J4562" s="41" t="str">
        <f aca="false">IF(G4562="","",IFERROR(IF(ISNUMBER(SEARCH(Assumptions!$C$5,G4562)),Assumptions!$D$5,IF(ISNUMBER(SEARCH(Assumptions!$C$6,G4562)),Assumptions!$D$6,IF(ISNUMBER(SEARCH(Assumptions!$C$7,G4562)),Assumptions!$D$7,"Other Services"))),"Other Services"))</f>
        <v/>
      </c>
    </row>
    <row r="4563" customFormat="false" ht="15" hidden="false" customHeight="false" outlineLevel="0" collapsed="false">
      <c r="E4563" s="41" t="str">
        <f aca="false">IF(D4563="","",IFERROR(VLOOKUP(D4563,Assumptions!$G$5:$H$16,2,0),"Other"))</f>
        <v/>
      </c>
      <c r="J4563" s="41" t="str">
        <f aca="false">IF(G4563="","",IFERROR(IF(ISNUMBER(SEARCH(Assumptions!$C$5,G4563)),Assumptions!$D$5,IF(ISNUMBER(SEARCH(Assumptions!$C$6,G4563)),Assumptions!$D$6,IF(ISNUMBER(SEARCH(Assumptions!$C$7,G4563)),Assumptions!$D$7,"Other Services"))),"Other Services"))</f>
        <v/>
      </c>
    </row>
    <row r="4564" customFormat="false" ht="15" hidden="false" customHeight="false" outlineLevel="0" collapsed="false">
      <c r="E4564" s="41" t="str">
        <f aca="false">IF(D4564="","",IFERROR(VLOOKUP(D4564,Assumptions!$G$5:$H$16,2,0),"Other"))</f>
        <v/>
      </c>
      <c r="J4564" s="41" t="str">
        <f aca="false">IF(G4564="","",IFERROR(IF(ISNUMBER(SEARCH(Assumptions!$C$5,G4564)),Assumptions!$D$5,IF(ISNUMBER(SEARCH(Assumptions!$C$6,G4564)),Assumptions!$D$6,IF(ISNUMBER(SEARCH(Assumptions!$C$7,G4564)),Assumptions!$D$7,"Other Services"))),"Other Services"))</f>
        <v/>
      </c>
    </row>
    <row r="4565" customFormat="false" ht="15" hidden="false" customHeight="false" outlineLevel="0" collapsed="false">
      <c r="E4565" s="41" t="str">
        <f aca="false">IF(D4565="","",IFERROR(VLOOKUP(D4565,Assumptions!$G$5:$H$16,2,0),"Other"))</f>
        <v/>
      </c>
      <c r="J4565" s="41" t="str">
        <f aca="false">IF(G4565="","",IFERROR(IF(ISNUMBER(SEARCH(Assumptions!$C$5,G4565)),Assumptions!$D$5,IF(ISNUMBER(SEARCH(Assumptions!$C$6,G4565)),Assumptions!$D$6,IF(ISNUMBER(SEARCH(Assumptions!$C$7,G4565)),Assumptions!$D$7,"Other Services"))),"Other Services"))</f>
        <v/>
      </c>
    </row>
    <row r="4566" customFormat="false" ht="15" hidden="false" customHeight="false" outlineLevel="0" collapsed="false">
      <c r="E4566" s="41" t="str">
        <f aca="false">IF(D4566="","",IFERROR(VLOOKUP(D4566,Assumptions!$G$5:$H$16,2,0),"Other"))</f>
        <v/>
      </c>
      <c r="J4566" s="41" t="str">
        <f aca="false">IF(G4566="","",IFERROR(IF(ISNUMBER(SEARCH(Assumptions!$C$5,G4566)),Assumptions!$D$5,IF(ISNUMBER(SEARCH(Assumptions!$C$6,G4566)),Assumptions!$D$6,IF(ISNUMBER(SEARCH(Assumptions!$C$7,G4566)),Assumptions!$D$7,"Other Services"))),"Other Services"))</f>
        <v/>
      </c>
    </row>
    <row r="4567" customFormat="false" ht="15" hidden="false" customHeight="false" outlineLevel="0" collapsed="false">
      <c r="E4567" s="41" t="str">
        <f aca="false">IF(D4567="","",IFERROR(VLOOKUP(D4567,Assumptions!$G$5:$H$16,2,0),"Other"))</f>
        <v/>
      </c>
      <c r="J4567" s="41" t="str">
        <f aca="false">IF(G4567="","",IFERROR(IF(ISNUMBER(SEARCH(Assumptions!$C$5,G4567)),Assumptions!$D$5,IF(ISNUMBER(SEARCH(Assumptions!$C$6,G4567)),Assumptions!$D$6,IF(ISNUMBER(SEARCH(Assumptions!$C$7,G4567)),Assumptions!$D$7,"Other Services"))),"Other Services"))</f>
        <v/>
      </c>
    </row>
    <row r="4568" customFormat="false" ht="15" hidden="false" customHeight="false" outlineLevel="0" collapsed="false">
      <c r="E4568" s="41" t="str">
        <f aca="false">IF(D4568="","",IFERROR(VLOOKUP(D4568,Assumptions!$G$5:$H$16,2,0),"Other"))</f>
        <v/>
      </c>
      <c r="J4568" s="41" t="str">
        <f aca="false">IF(G4568="","",IFERROR(IF(ISNUMBER(SEARCH(Assumptions!$C$5,G4568)),Assumptions!$D$5,IF(ISNUMBER(SEARCH(Assumptions!$C$6,G4568)),Assumptions!$D$6,IF(ISNUMBER(SEARCH(Assumptions!$C$7,G4568)),Assumptions!$D$7,"Other Services"))),"Other Services"))</f>
        <v/>
      </c>
    </row>
    <row r="4569" customFormat="false" ht="15" hidden="false" customHeight="false" outlineLevel="0" collapsed="false">
      <c r="E4569" s="41" t="str">
        <f aca="false">IF(D4569="","",IFERROR(VLOOKUP(D4569,Assumptions!$G$5:$H$16,2,0),"Other"))</f>
        <v/>
      </c>
      <c r="J4569" s="41" t="str">
        <f aca="false">IF(G4569="","",IFERROR(IF(ISNUMBER(SEARCH(Assumptions!$C$5,G4569)),Assumptions!$D$5,IF(ISNUMBER(SEARCH(Assumptions!$C$6,G4569)),Assumptions!$D$6,IF(ISNUMBER(SEARCH(Assumptions!$C$7,G4569)),Assumptions!$D$7,"Other Services"))),"Other Services"))</f>
        <v/>
      </c>
    </row>
    <row r="4570" customFormat="false" ht="15" hidden="false" customHeight="false" outlineLevel="0" collapsed="false">
      <c r="E4570" s="41" t="str">
        <f aca="false">IF(D4570="","",IFERROR(VLOOKUP(D4570,Assumptions!$G$5:$H$16,2,0),"Other"))</f>
        <v/>
      </c>
      <c r="J4570" s="41" t="str">
        <f aca="false">IF(G4570="","",IFERROR(IF(ISNUMBER(SEARCH(Assumptions!$C$5,G4570)),Assumptions!$D$5,IF(ISNUMBER(SEARCH(Assumptions!$C$6,G4570)),Assumptions!$D$6,IF(ISNUMBER(SEARCH(Assumptions!$C$7,G4570)),Assumptions!$D$7,"Other Services"))),"Other Services"))</f>
        <v/>
      </c>
    </row>
    <row r="4571" customFormat="false" ht="15" hidden="false" customHeight="false" outlineLevel="0" collapsed="false">
      <c r="E4571" s="41" t="str">
        <f aca="false">IF(D4571="","",IFERROR(VLOOKUP(D4571,Assumptions!$G$5:$H$16,2,0),"Other"))</f>
        <v/>
      </c>
      <c r="J4571" s="41" t="str">
        <f aca="false">IF(G4571="","",IFERROR(IF(ISNUMBER(SEARCH(Assumptions!$C$5,G4571)),Assumptions!$D$5,IF(ISNUMBER(SEARCH(Assumptions!$C$6,G4571)),Assumptions!$D$6,IF(ISNUMBER(SEARCH(Assumptions!$C$7,G4571)),Assumptions!$D$7,"Other Services"))),"Other Services"))</f>
        <v/>
      </c>
    </row>
    <row r="4572" customFormat="false" ht="15" hidden="false" customHeight="false" outlineLevel="0" collapsed="false">
      <c r="E4572" s="41" t="str">
        <f aca="false">IF(D4572="","",IFERROR(VLOOKUP(D4572,Assumptions!$G$5:$H$16,2,0),"Other"))</f>
        <v/>
      </c>
      <c r="J4572" s="41" t="str">
        <f aca="false">IF(G4572="","",IFERROR(IF(ISNUMBER(SEARCH(Assumptions!$C$5,G4572)),Assumptions!$D$5,IF(ISNUMBER(SEARCH(Assumptions!$C$6,G4572)),Assumptions!$D$6,IF(ISNUMBER(SEARCH(Assumptions!$C$7,G4572)),Assumptions!$D$7,"Other Services"))),"Other Services"))</f>
        <v/>
      </c>
    </row>
    <row r="4573" customFormat="false" ht="15" hidden="false" customHeight="false" outlineLevel="0" collapsed="false">
      <c r="E4573" s="41" t="str">
        <f aca="false">IF(D4573="","",IFERROR(VLOOKUP(D4573,Assumptions!$G$5:$H$16,2,0),"Other"))</f>
        <v/>
      </c>
      <c r="J4573" s="41" t="str">
        <f aca="false">IF(G4573="","",IFERROR(IF(ISNUMBER(SEARCH(Assumptions!$C$5,G4573)),Assumptions!$D$5,IF(ISNUMBER(SEARCH(Assumptions!$C$6,G4573)),Assumptions!$D$6,IF(ISNUMBER(SEARCH(Assumptions!$C$7,G4573)),Assumptions!$D$7,"Other Services"))),"Other Services"))</f>
        <v/>
      </c>
    </row>
    <row r="4574" customFormat="false" ht="15" hidden="false" customHeight="false" outlineLevel="0" collapsed="false">
      <c r="E4574" s="41" t="str">
        <f aca="false">IF(D4574="","",IFERROR(VLOOKUP(D4574,Assumptions!$G$5:$H$16,2,0),"Other"))</f>
        <v/>
      </c>
      <c r="J4574" s="41" t="str">
        <f aca="false">IF(G4574="","",IFERROR(IF(ISNUMBER(SEARCH(Assumptions!$C$5,G4574)),Assumptions!$D$5,IF(ISNUMBER(SEARCH(Assumptions!$C$6,G4574)),Assumptions!$D$6,IF(ISNUMBER(SEARCH(Assumptions!$C$7,G4574)),Assumptions!$D$7,"Other Services"))),"Other Services"))</f>
        <v/>
      </c>
    </row>
    <row r="4575" customFormat="false" ht="15" hidden="false" customHeight="false" outlineLevel="0" collapsed="false">
      <c r="E4575" s="41" t="str">
        <f aca="false">IF(D4575="","",IFERROR(VLOOKUP(D4575,Assumptions!$G$5:$H$16,2,0),"Other"))</f>
        <v/>
      </c>
      <c r="J4575" s="41" t="str">
        <f aca="false">IF(G4575="","",IFERROR(IF(ISNUMBER(SEARCH(Assumptions!$C$5,G4575)),Assumptions!$D$5,IF(ISNUMBER(SEARCH(Assumptions!$C$6,G4575)),Assumptions!$D$6,IF(ISNUMBER(SEARCH(Assumptions!$C$7,G4575)),Assumptions!$D$7,"Other Services"))),"Other Services"))</f>
        <v/>
      </c>
    </row>
    <row r="4576" customFormat="false" ht="15" hidden="false" customHeight="false" outlineLevel="0" collapsed="false">
      <c r="E4576" s="41" t="str">
        <f aca="false">IF(D4576="","",IFERROR(VLOOKUP(D4576,Assumptions!$G$5:$H$16,2,0),"Other"))</f>
        <v/>
      </c>
      <c r="J4576" s="41" t="str">
        <f aca="false">IF(G4576="","",IFERROR(IF(ISNUMBER(SEARCH(Assumptions!$C$5,G4576)),Assumptions!$D$5,IF(ISNUMBER(SEARCH(Assumptions!$C$6,G4576)),Assumptions!$D$6,IF(ISNUMBER(SEARCH(Assumptions!$C$7,G4576)),Assumptions!$D$7,"Other Services"))),"Other Services"))</f>
        <v/>
      </c>
    </row>
    <row r="4577" customFormat="false" ht="15" hidden="false" customHeight="false" outlineLevel="0" collapsed="false">
      <c r="E4577" s="41" t="str">
        <f aca="false">IF(D4577="","",IFERROR(VLOOKUP(D4577,Assumptions!$G$5:$H$16,2,0),"Other"))</f>
        <v/>
      </c>
      <c r="J4577" s="41" t="str">
        <f aca="false">IF(G4577="","",IFERROR(IF(ISNUMBER(SEARCH(Assumptions!$C$5,G4577)),Assumptions!$D$5,IF(ISNUMBER(SEARCH(Assumptions!$C$6,G4577)),Assumptions!$D$6,IF(ISNUMBER(SEARCH(Assumptions!$C$7,G4577)),Assumptions!$D$7,"Other Services"))),"Other Services"))</f>
        <v/>
      </c>
    </row>
    <row r="4578" customFormat="false" ht="15" hidden="false" customHeight="false" outlineLevel="0" collapsed="false">
      <c r="E4578" s="41" t="str">
        <f aca="false">IF(D4578="","",IFERROR(VLOOKUP(D4578,Assumptions!$G$5:$H$16,2,0),"Other"))</f>
        <v/>
      </c>
      <c r="J4578" s="41" t="str">
        <f aca="false">IF(G4578="","",IFERROR(IF(ISNUMBER(SEARCH(Assumptions!$C$5,G4578)),Assumptions!$D$5,IF(ISNUMBER(SEARCH(Assumptions!$C$6,G4578)),Assumptions!$D$6,IF(ISNUMBER(SEARCH(Assumptions!$C$7,G4578)),Assumptions!$D$7,"Other Services"))),"Other Services"))</f>
        <v/>
      </c>
    </row>
    <row r="4579" customFormat="false" ht="15" hidden="false" customHeight="false" outlineLevel="0" collapsed="false">
      <c r="E4579" s="41" t="str">
        <f aca="false">IF(D4579="","",IFERROR(VLOOKUP(D4579,Assumptions!$G$5:$H$16,2,0),"Other"))</f>
        <v/>
      </c>
      <c r="J4579" s="41" t="str">
        <f aca="false">IF(G4579="","",IFERROR(IF(ISNUMBER(SEARCH(Assumptions!$C$5,G4579)),Assumptions!$D$5,IF(ISNUMBER(SEARCH(Assumptions!$C$6,G4579)),Assumptions!$D$6,IF(ISNUMBER(SEARCH(Assumptions!$C$7,G4579)),Assumptions!$D$7,"Other Services"))),"Other Services"))</f>
        <v/>
      </c>
    </row>
    <row r="4580" customFormat="false" ht="15" hidden="false" customHeight="false" outlineLevel="0" collapsed="false">
      <c r="E4580" s="41" t="str">
        <f aca="false">IF(D4580="","",IFERROR(VLOOKUP(D4580,Assumptions!$G$5:$H$16,2,0),"Other"))</f>
        <v/>
      </c>
      <c r="J4580" s="41" t="str">
        <f aca="false">IF(G4580="","",IFERROR(IF(ISNUMBER(SEARCH(Assumptions!$C$5,G4580)),Assumptions!$D$5,IF(ISNUMBER(SEARCH(Assumptions!$C$6,G4580)),Assumptions!$D$6,IF(ISNUMBER(SEARCH(Assumptions!$C$7,G4580)),Assumptions!$D$7,"Other Services"))),"Other Services"))</f>
        <v/>
      </c>
    </row>
    <row r="4581" customFormat="false" ht="15" hidden="false" customHeight="false" outlineLevel="0" collapsed="false">
      <c r="E4581" s="41" t="str">
        <f aca="false">IF(D4581="","",IFERROR(VLOOKUP(D4581,Assumptions!$G$5:$H$16,2,0),"Other"))</f>
        <v/>
      </c>
      <c r="J4581" s="41" t="str">
        <f aca="false">IF(G4581="","",IFERROR(IF(ISNUMBER(SEARCH(Assumptions!$C$5,G4581)),Assumptions!$D$5,IF(ISNUMBER(SEARCH(Assumptions!$C$6,G4581)),Assumptions!$D$6,IF(ISNUMBER(SEARCH(Assumptions!$C$7,G4581)),Assumptions!$D$7,"Other Services"))),"Other Services"))</f>
        <v/>
      </c>
    </row>
    <row r="4582" customFormat="false" ht="15" hidden="false" customHeight="false" outlineLevel="0" collapsed="false">
      <c r="E4582" s="41" t="str">
        <f aca="false">IF(D4582="","",IFERROR(VLOOKUP(D4582,Assumptions!$G$5:$H$16,2,0),"Other"))</f>
        <v/>
      </c>
      <c r="J4582" s="41" t="str">
        <f aca="false">IF(G4582="","",IFERROR(IF(ISNUMBER(SEARCH(Assumptions!$C$5,G4582)),Assumptions!$D$5,IF(ISNUMBER(SEARCH(Assumptions!$C$6,G4582)),Assumptions!$D$6,IF(ISNUMBER(SEARCH(Assumptions!$C$7,G4582)),Assumptions!$D$7,"Other Services"))),"Other Services"))</f>
        <v/>
      </c>
    </row>
    <row r="4583" customFormat="false" ht="15" hidden="false" customHeight="false" outlineLevel="0" collapsed="false">
      <c r="E4583" s="41" t="str">
        <f aca="false">IF(D4583="","",IFERROR(VLOOKUP(D4583,Assumptions!$G$5:$H$16,2,0),"Other"))</f>
        <v/>
      </c>
      <c r="J4583" s="41" t="str">
        <f aca="false">IF(G4583="","",IFERROR(IF(ISNUMBER(SEARCH(Assumptions!$C$5,G4583)),Assumptions!$D$5,IF(ISNUMBER(SEARCH(Assumptions!$C$6,G4583)),Assumptions!$D$6,IF(ISNUMBER(SEARCH(Assumptions!$C$7,G4583)),Assumptions!$D$7,"Other Services"))),"Other Services"))</f>
        <v/>
      </c>
    </row>
    <row r="4584" customFormat="false" ht="15" hidden="false" customHeight="false" outlineLevel="0" collapsed="false">
      <c r="E4584" s="41" t="str">
        <f aca="false">IF(D4584="","",IFERROR(VLOOKUP(D4584,Assumptions!$G$5:$H$16,2,0),"Other"))</f>
        <v/>
      </c>
      <c r="J4584" s="41" t="str">
        <f aca="false">IF(G4584="","",IFERROR(IF(ISNUMBER(SEARCH(Assumptions!$C$5,G4584)),Assumptions!$D$5,IF(ISNUMBER(SEARCH(Assumptions!$C$6,G4584)),Assumptions!$D$6,IF(ISNUMBER(SEARCH(Assumptions!$C$7,G4584)),Assumptions!$D$7,"Other Services"))),"Other Services"))</f>
        <v/>
      </c>
    </row>
    <row r="4585" customFormat="false" ht="15" hidden="false" customHeight="false" outlineLevel="0" collapsed="false">
      <c r="E4585" s="41" t="str">
        <f aca="false">IF(D4585="","",IFERROR(VLOOKUP(D4585,Assumptions!$G$5:$H$16,2,0),"Other"))</f>
        <v/>
      </c>
      <c r="J4585" s="41" t="str">
        <f aca="false">IF(G4585="","",IFERROR(IF(ISNUMBER(SEARCH(Assumptions!$C$5,G4585)),Assumptions!$D$5,IF(ISNUMBER(SEARCH(Assumptions!$C$6,G4585)),Assumptions!$D$6,IF(ISNUMBER(SEARCH(Assumptions!$C$7,G4585)),Assumptions!$D$7,"Other Services"))),"Other Services"))</f>
        <v/>
      </c>
    </row>
    <row r="4586" customFormat="false" ht="15" hidden="false" customHeight="false" outlineLevel="0" collapsed="false">
      <c r="E4586" s="41" t="str">
        <f aca="false">IF(D4586="","",IFERROR(VLOOKUP(D4586,Assumptions!$G$5:$H$16,2,0),"Other"))</f>
        <v/>
      </c>
      <c r="J4586" s="41" t="str">
        <f aca="false">IF(G4586="","",IFERROR(IF(ISNUMBER(SEARCH(Assumptions!$C$5,G4586)),Assumptions!$D$5,IF(ISNUMBER(SEARCH(Assumptions!$C$6,G4586)),Assumptions!$D$6,IF(ISNUMBER(SEARCH(Assumptions!$C$7,G4586)),Assumptions!$D$7,"Other Services"))),"Other Services"))</f>
        <v/>
      </c>
    </row>
    <row r="4587" customFormat="false" ht="15" hidden="false" customHeight="false" outlineLevel="0" collapsed="false">
      <c r="E4587" s="41" t="str">
        <f aca="false">IF(D4587="","",IFERROR(VLOOKUP(D4587,Assumptions!$G$5:$H$16,2,0),"Other"))</f>
        <v/>
      </c>
      <c r="J4587" s="41" t="str">
        <f aca="false">IF(G4587="","",IFERROR(IF(ISNUMBER(SEARCH(Assumptions!$C$5,G4587)),Assumptions!$D$5,IF(ISNUMBER(SEARCH(Assumptions!$C$6,G4587)),Assumptions!$D$6,IF(ISNUMBER(SEARCH(Assumptions!$C$7,G4587)),Assumptions!$D$7,"Other Services"))),"Other Services"))</f>
        <v/>
      </c>
    </row>
    <row r="4588" customFormat="false" ht="15" hidden="false" customHeight="false" outlineLevel="0" collapsed="false">
      <c r="E4588" s="41" t="str">
        <f aca="false">IF(D4588="","",IFERROR(VLOOKUP(D4588,Assumptions!$G$5:$H$16,2,0),"Other"))</f>
        <v/>
      </c>
      <c r="J4588" s="41" t="str">
        <f aca="false">IF(G4588="","",IFERROR(IF(ISNUMBER(SEARCH(Assumptions!$C$5,G4588)),Assumptions!$D$5,IF(ISNUMBER(SEARCH(Assumptions!$C$6,G4588)),Assumptions!$D$6,IF(ISNUMBER(SEARCH(Assumptions!$C$7,G4588)),Assumptions!$D$7,"Other Services"))),"Other Services"))</f>
        <v/>
      </c>
    </row>
    <row r="4589" customFormat="false" ht="15" hidden="false" customHeight="false" outlineLevel="0" collapsed="false">
      <c r="E4589" s="41" t="str">
        <f aca="false">IF(D4589="","",IFERROR(VLOOKUP(D4589,Assumptions!$G$5:$H$16,2,0),"Other"))</f>
        <v/>
      </c>
      <c r="J4589" s="41" t="str">
        <f aca="false">IF(G4589="","",IFERROR(IF(ISNUMBER(SEARCH(Assumptions!$C$5,G4589)),Assumptions!$D$5,IF(ISNUMBER(SEARCH(Assumptions!$C$6,G4589)),Assumptions!$D$6,IF(ISNUMBER(SEARCH(Assumptions!$C$7,G4589)),Assumptions!$D$7,"Other Services"))),"Other Services"))</f>
        <v/>
      </c>
    </row>
    <row r="4590" customFormat="false" ht="15" hidden="false" customHeight="false" outlineLevel="0" collapsed="false">
      <c r="E4590" s="41" t="str">
        <f aca="false">IF(D4590="","",IFERROR(VLOOKUP(D4590,Assumptions!$G$5:$H$16,2,0),"Other"))</f>
        <v/>
      </c>
      <c r="J4590" s="41" t="str">
        <f aca="false">IF(G4590="","",IFERROR(IF(ISNUMBER(SEARCH(Assumptions!$C$5,G4590)),Assumptions!$D$5,IF(ISNUMBER(SEARCH(Assumptions!$C$6,G4590)),Assumptions!$D$6,IF(ISNUMBER(SEARCH(Assumptions!$C$7,G4590)),Assumptions!$D$7,"Other Services"))),"Other Services"))</f>
        <v/>
      </c>
    </row>
    <row r="4591" customFormat="false" ht="15" hidden="false" customHeight="false" outlineLevel="0" collapsed="false">
      <c r="E4591" s="41" t="str">
        <f aca="false">IF(D4591="","",IFERROR(VLOOKUP(D4591,Assumptions!$G$5:$H$16,2,0),"Other"))</f>
        <v/>
      </c>
      <c r="J4591" s="41" t="str">
        <f aca="false">IF(G4591="","",IFERROR(IF(ISNUMBER(SEARCH(Assumptions!$C$5,G4591)),Assumptions!$D$5,IF(ISNUMBER(SEARCH(Assumptions!$C$6,G4591)),Assumptions!$D$6,IF(ISNUMBER(SEARCH(Assumptions!$C$7,G4591)),Assumptions!$D$7,"Other Services"))),"Other Services"))</f>
        <v/>
      </c>
    </row>
    <row r="4592" customFormat="false" ht="15" hidden="false" customHeight="false" outlineLevel="0" collapsed="false">
      <c r="E4592" s="41" t="str">
        <f aca="false">IF(D4592="","",IFERROR(VLOOKUP(D4592,Assumptions!$G$5:$H$16,2,0),"Other"))</f>
        <v/>
      </c>
      <c r="J4592" s="41" t="str">
        <f aca="false">IF(G4592="","",IFERROR(IF(ISNUMBER(SEARCH(Assumptions!$C$5,G4592)),Assumptions!$D$5,IF(ISNUMBER(SEARCH(Assumptions!$C$6,G4592)),Assumptions!$D$6,IF(ISNUMBER(SEARCH(Assumptions!$C$7,G4592)),Assumptions!$D$7,"Other Services"))),"Other Services"))</f>
        <v/>
      </c>
    </row>
    <row r="4593" customFormat="false" ht="15" hidden="false" customHeight="false" outlineLevel="0" collapsed="false">
      <c r="E4593" s="41" t="str">
        <f aca="false">IF(D4593="","",IFERROR(VLOOKUP(D4593,Assumptions!$G$5:$H$16,2,0),"Other"))</f>
        <v/>
      </c>
      <c r="J4593" s="41" t="str">
        <f aca="false">IF(G4593="","",IFERROR(IF(ISNUMBER(SEARCH(Assumptions!$C$5,G4593)),Assumptions!$D$5,IF(ISNUMBER(SEARCH(Assumptions!$C$6,G4593)),Assumptions!$D$6,IF(ISNUMBER(SEARCH(Assumptions!$C$7,G4593)),Assumptions!$D$7,"Other Services"))),"Other Services"))</f>
        <v/>
      </c>
    </row>
    <row r="4594" customFormat="false" ht="15" hidden="false" customHeight="false" outlineLevel="0" collapsed="false">
      <c r="E4594" s="41" t="str">
        <f aca="false">IF(D4594="","",IFERROR(VLOOKUP(D4594,Assumptions!$G$5:$H$16,2,0),"Other"))</f>
        <v/>
      </c>
      <c r="J4594" s="41" t="str">
        <f aca="false">IF(G4594="","",IFERROR(IF(ISNUMBER(SEARCH(Assumptions!$C$5,G4594)),Assumptions!$D$5,IF(ISNUMBER(SEARCH(Assumptions!$C$6,G4594)),Assumptions!$D$6,IF(ISNUMBER(SEARCH(Assumptions!$C$7,G4594)),Assumptions!$D$7,"Other Services"))),"Other Services"))</f>
        <v/>
      </c>
    </row>
    <row r="4595" customFormat="false" ht="15" hidden="false" customHeight="false" outlineLevel="0" collapsed="false">
      <c r="E4595" s="41" t="str">
        <f aca="false">IF(D4595="","",IFERROR(VLOOKUP(D4595,Assumptions!$G$5:$H$16,2,0),"Other"))</f>
        <v/>
      </c>
      <c r="J4595" s="41" t="str">
        <f aca="false">IF(G4595="","",IFERROR(IF(ISNUMBER(SEARCH(Assumptions!$C$5,G4595)),Assumptions!$D$5,IF(ISNUMBER(SEARCH(Assumptions!$C$6,G4595)),Assumptions!$D$6,IF(ISNUMBER(SEARCH(Assumptions!$C$7,G4595)),Assumptions!$D$7,"Other Services"))),"Other Services"))</f>
        <v/>
      </c>
    </row>
    <row r="4596" customFormat="false" ht="15" hidden="false" customHeight="false" outlineLevel="0" collapsed="false">
      <c r="E4596" s="41" t="str">
        <f aca="false">IF(D4596="","",IFERROR(VLOOKUP(D4596,Assumptions!$G$5:$H$16,2,0),"Other"))</f>
        <v/>
      </c>
      <c r="J4596" s="41" t="str">
        <f aca="false">IF(G4596="","",IFERROR(IF(ISNUMBER(SEARCH(Assumptions!$C$5,G4596)),Assumptions!$D$5,IF(ISNUMBER(SEARCH(Assumptions!$C$6,G4596)),Assumptions!$D$6,IF(ISNUMBER(SEARCH(Assumptions!$C$7,G4596)),Assumptions!$D$7,"Other Services"))),"Other Services"))</f>
        <v/>
      </c>
    </row>
    <row r="4597" customFormat="false" ht="15" hidden="false" customHeight="false" outlineLevel="0" collapsed="false">
      <c r="E4597" s="41" t="str">
        <f aca="false">IF(D4597="","",IFERROR(VLOOKUP(D4597,Assumptions!$G$5:$H$16,2,0),"Other"))</f>
        <v/>
      </c>
      <c r="J4597" s="41" t="str">
        <f aca="false">IF(G4597="","",IFERROR(IF(ISNUMBER(SEARCH(Assumptions!$C$5,G4597)),Assumptions!$D$5,IF(ISNUMBER(SEARCH(Assumptions!$C$6,G4597)),Assumptions!$D$6,IF(ISNUMBER(SEARCH(Assumptions!$C$7,G4597)),Assumptions!$D$7,"Other Services"))),"Other Services"))</f>
        <v/>
      </c>
    </row>
    <row r="4598" customFormat="false" ht="15" hidden="false" customHeight="false" outlineLevel="0" collapsed="false">
      <c r="E4598" s="41" t="str">
        <f aca="false">IF(D4598="","",IFERROR(VLOOKUP(D4598,Assumptions!$G$5:$H$16,2,0),"Other"))</f>
        <v/>
      </c>
      <c r="J4598" s="41" t="str">
        <f aca="false">IF(G4598="","",IFERROR(IF(ISNUMBER(SEARCH(Assumptions!$C$5,G4598)),Assumptions!$D$5,IF(ISNUMBER(SEARCH(Assumptions!$C$6,G4598)),Assumptions!$D$6,IF(ISNUMBER(SEARCH(Assumptions!$C$7,G4598)),Assumptions!$D$7,"Other Services"))),"Other Services"))</f>
        <v/>
      </c>
    </row>
    <row r="4599" customFormat="false" ht="15" hidden="false" customHeight="false" outlineLevel="0" collapsed="false">
      <c r="E4599" s="41" t="str">
        <f aca="false">IF(D4599="","",IFERROR(VLOOKUP(D4599,Assumptions!$G$5:$H$16,2,0),"Other"))</f>
        <v/>
      </c>
      <c r="J4599" s="41" t="str">
        <f aca="false">IF(G4599="","",IFERROR(IF(ISNUMBER(SEARCH(Assumptions!$C$5,G4599)),Assumptions!$D$5,IF(ISNUMBER(SEARCH(Assumptions!$C$6,G4599)),Assumptions!$D$6,IF(ISNUMBER(SEARCH(Assumptions!$C$7,G4599)),Assumptions!$D$7,"Other Services"))),"Other Services"))</f>
        <v/>
      </c>
    </row>
    <row r="4600" customFormat="false" ht="15" hidden="false" customHeight="false" outlineLevel="0" collapsed="false">
      <c r="E4600" s="41" t="str">
        <f aca="false">IF(D4600="","",IFERROR(VLOOKUP(D4600,Assumptions!$G$5:$H$16,2,0),"Other"))</f>
        <v/>
      </c>
      <c r="J4600" s="41" t="str">
        <f aca="false">IF(G4600="","",IFERROR(IF(ISNUMBER(SEARCH(Assumptions!$C$5,G4600)),Assumptions!$D$5,IF(ISNUMBER(SEARCH(Assumptions!$C$6,G4600)),Assumptions!$D$6,IF(ISNUMBER(SEARCH(Assumptions!$C$7,G4600)),Assumptions!$D$7,"Other Services"))),"Other Services"))</f>
        <v/>
      </c>
    </row>
    <row r="4601" customFormat="false" ht="15" hidden="false" customHeight="false" outlineLevel="0" collapsed="false">
      <c r="E4601" s="41" t="str">
        <f aca="false">IF(D4601="","",IFERROR(VLOOKUP(D4601,Assumptions!$G$5:$H$16,2,0),"Other"))</f>
        <v/>
      </c>
      <c r="J4601" s="41" t="str">
        <f aca="false">IF(G4601="","",IFERROR(IF(ISNUMBER(SEARCH(Assumptions!$C$5,G4601)),Assumptions!$D$5,IF(ISNUMBER(SEARCH(Assumptions!$C$6,G4601)),Assumptions!$D$6,IF(ISNUMBER(SEARCH(Assumptions!$C$7,G4601)),Assumptions!$D$7,"Other Services"))),"Other Services"))</f>
        <v/>
      </c>
    </row>
    <row r="4602" customFormat="false" ht="15" hidden="false" customHeight="false" outlineLevel="0" collapsed="false">
      <c r="E4602" s="41" t="str">
        <f aca="false">IF(D4602="","",IFERROR(VLOOKUP(D4602,Assumptions!$G$5:$H$16,2,0),"Other"))</f>
        <v/>
      </c>
      <c r="J4602" s="41" t="str">
        <f aca="false">IF(G4602="","",IFERROR(IF(ISNUMBER(SEARCH(Assumptions!$C$5,G4602)),Assumptions!$D$5,IF(ISNUMBER(SEARCH(Assumptions!$C$6,G4602)),Assumptions!$D$6,IF(ISNUMBER(SEARCH(Assumptions!$C$7,G4602)),Assumptions!$D$7,"Other Services"))),"Other Services"))</f>
        <v/>
      </c>
    </row>
    <row r="4603" customFormat="false" ht="15" hidden="false" customHeight="false" outlineLevel="0" collapsed="false">
      <c r="E4603" s="41" t="str">
        <f aca="false">IF(D4603="","",IFERROR(VLOOKUP(D4603,Assumptions!$G$5:$H$16,2,0),"Other"))</f>
        <v/>
      </c>
      <c r="J4603" s="41" t="str">
        <f aca="false">IF(G4603="","",IFERROR(IF(ISNUMBER(SEARCH(Assumptions!$C$5,G4603)),Assumptions!$D$5,IF(ISNUMBER(SEARCH(Assumptions!$C$6,G4603)),Assumptions!$D$6,IF(ISNUMBER(SEARCH(Assumptions!$C$7,G4603)),Assumptions!$D$7,"Other Services"))),"Other Services"))</f>
        <v/>
      </c>
    </row>
    <row r="4604" customFormat="false" ht="15" hidden="false" customHeight="false" outlineLevel="0" collapsed="false">
      <c r="E4604" s="41" t="str">
        <f aca="false">IF(D4604="","",IFERROR(VLOOKUP(D4604,Assumptions!$G$5:$H$16,2,0),"Other"))</f>
        <v/>
      </c>
      <c r="J4604" s="41" t="str">
        <f aca="false">IF(G4604="","",IFERROR(IF(ISNUMBER(SEARCH(Assumptions!$C$5,G4604)),Assumptions!$D$5,IF(ISNUMBER(SEARCH(Assumptions!$C$6,G4604)),Assumptions!$D$6,IF(ISNUMBER(SEARCH(Assumptions!$C$7,G4604)),Assumptions!$D$7,"Other Services"))),"Other Services"))</f>
        <v/>
      </c>
    </row>
    <row r="4605" customFormat="false" ht="15" hidden="false" customHeight="false" outlineLevel="0" collapsed="false">
      <c r="E4605" s="41" t="str">
        <f aca="false">IF(D4605="","",IFERROR(VLOOKUP(D4605,Assumptions!$G$5:$H$16,2,0),"Other"))</f>
        <v/>
      </c>
      <c r="J4605" s="41" t="str">
        <f aca="false">IF(G4605="","",IFERROR(IF(ISNUMBER(SEARCH(Assumptions!$C$5,G4605)),Assumptions!$D$5,IF(ISNUMBER(SEARCH(Assumptions!$C$6,G4605)),Assumptions!$D$6,IF(ISNUMBER(SEARCH(Assumptions!$C$7,G4605)),Assumptions!$D$7,"Other Services"))),"Other Services"))</f>
        <v/>
      </c>
    </row>
    <row r="4606" customFormat="false" ht="15" hidden="false" customHeight="false" outlineLevel="0" collapsed="false">
      <c r="E4606" s="41" t="str">
        <f aca="false">IF(D4606="","",IFERROR(VLOOKUP(D4606,Assumptions!$G$5:$H$16,2,0),"Other"))</f>
        <v/>
      </c>
      <c r="J4606" s="41" t="str">
        <f aca="false">IF(G4606="","",IFERROR(IF(ISNUMBER(SEARCH(Assumptions!$C$5,G4606)),Assumptions!$D$5,IF(ISNUMBER(SEARCH(Assumptions!$C$6,G4606)),Assumptions!$D$6,IF(ISNUMBER(SEARCH(Assumptions!$C$7,G4606)),Assumptions!$D$7,"Other Services"))),"Other Services"))</f>
        <v/>
      </c>
    </row>
    <row r="4607" customFormat="false" ht="15" hidden="false" customHeight="false" outlineLevel="0" collapsed="false">
      <c r="E4607" s="41" t="str">
        <f aca="false">IF(D4607="","",IFERROR(VLOOKUP(D4607,Assumptions!$G$5:$H$16,2,0),"Other"))</f>
        <v/>
      </c>
      <c r="J4607" s="41" t="str">
        <f aca="false">IF(G4607="","",IFERROR(IF(ISNUMBER(SEARCH(Assumptions!$C$5,G4607)),Assumptions!$D$5,IF(ISNUMBER(SEARCH(Assumptions!$C$6,G4607)),Assumptions!$D$6,IF(ISNUMBER(SEARCH(Assumptions!$C$7,G4607)),Assumptions!$D$7,"Other Services"))),"Other Services"))</f>
        <v/>
      </c>
    </row>
    <row r="4608" customFormat="false" ht="15" hidden="false" customHeight="false" outlineLevel="0" collapsed="false">
      <c r="E4608" s="41" t="str">
        <f aca="false">IF(D4608="","",IFERROR(VLOOKUP(D4608,Assumptions!$G$5:$H$16,2,0),"Other"))</f>
        <v/>
      </c>
      <c r="J4608" s="41" t="str">
        <f aca="false">IF(G4608="","",IFERROR(IF(ISNUMBER(SEARCH(Assumptions!$C$5,G4608)),Assumptions!$D$5,IF(ISNUMBER(SEARCH(Assumptions!$C$6,G4608)),Assumptions!$D$6,IF(ISNUMBER(SEARCH(Assumptions!$C$7,G4608)),Assumptions!$D$7,"Other Services"))),"Other Services"))</f>
        <v/>
      </c>
    </row>
    <row r="4609" customFormat="false" ht="15" hidden="false" customHeight="false" outlineLevel="0" collapsed="false">
      <c r="E4609" s="41" t="str">
        <f aca="false">IF(D4609="","",IFERROR(VLOOKUP(D4609,Assumptions!$G$5:$H$16,2,0),"Other"))</f>
        <v/>
      </c>
      <c r="J4609" s="41" t="str">
        <f aca="false">IF(G4609="","",IFERROR(IF(ISNUMBER(SEARCH(Assumptions!$C$5,G4609)),Assumptions!$D$5,IF(ISNUMBER(SEARCH(Assumptions!$C$6,G4609)),Assumptions!$D$6,IF(ISNUMBER(SEARCH(Assumptions!$C$7,G4609)),Assumptions!$D$7,"Other Services"))),"Other Services"))</f>
        <v/>
      </c>
    </row>
    <row r="4610" customFormat="false" ht="15" hidden="false" customHeight="false" outlineLevel="0" collapsed="false">
      <c r="E4610" s="41" t="str">
        <f aca="false">IF(D4610="","",IFERROR(VLOOKUP(D4610,Assumptions!$G$5:$H$16,2,0),"Other"))</f>
        <v/>
      </c>
      <c r="J4610" s="41" t="str">
        <f aca="false">IF(G4610="","",IFERROR(IF(ISNUMBER(SEARCH(Assumptions!$C$5,G4610)),Assumptions!$D$5,IF(ISNUMBER(SEARCH(Assumptions!$C$6,G4610)),Assumptions!$D$6,IF(ISNUMBER(SEARCH(Assumptions!$C$7,G4610)),Assumptions!$D$7,"Other Services"))),"Other Services"))</f>
        <v/>
      </c>
    </row>
    <row r="4611" customFormat="false" ht="15" hidden="false" customHeight="false" outlineLevel="0" collapsed="false">
      <c r="E4611" s="41" t="str">
        <f aca="false">IF(D4611="","",IFERROR(VLOOKUP(D4611,Assumptions!$G$5:$H$16,2,0),"Other"))</f>
        <v/>
      </c>
      <c r="J4611" s="41" t="str">
        <f aca="false">IF(G4611="","",IFERROR(IF(ISNUMBER(SEARCH(Assumptions!$C$5,G4611)),Assumptions!$D$5,IF(ISNUMBER(SEARCH(Assumptions!$C$6,G4611)),Assumptions!$D$6,IF(ISNUMBER(SEARCH(Assumptions!$C$7,G4611)),Assumptions!$D$7,"Other Services"))),"Other Services"))</f>
        <v/>
      </c>
    </row>
    <row r="4612" customFormat="false" ht="15" hidden="false" customHeight="false" outlineLevel="0" collapsed="false">
      <c r="E4612" s="41" t="str">
        <f aca="false">IF(D4612="","",IFERROR(VLOOKUP(D4612,Assumptions!$G$5:$H$16,2,0),"Other"))</f>
        <v/>
      </c>
      <c r="J4612" s="41" t="str">
        <f aca="false">IF(G4612="","",IFERROR(IF(ISNUMBER(SEARCH(Assumptions!$C$5,G4612)),Assumptions!$D$5,IF(ISNUMBER(SEARCH(Assumptions!$C$6,G4612)),Assumptions!$D$6,IF(ISNUMBER(SEARCH(Assumptions!$C$7,G4612)),Assumptions!$D$7,"Other Services"))),"Other Services"))</f>
        <v/>
      </c>
    </row>
    <row r="4613" customFormat="false" ht="15" hidden="false" customHeight="false" outlineLevel="0" collapsed="false">
      <c r="E4613" s="41" t="str">
        <f aca="false">IF(D4613="","",IFERROR(VLOOKUP(D4613,Assumptions!$G$5:$H$16,2,0),"Other"))</f>
        <v/>
      </c>
      <c r="J4613" s="41" t="str">
        <f aca="false">IF(G4613="","",IFERROR(IF(ISNUMBER(SEARCH(Assumptions!$C$5,G4613)),Assumptions!$D$5,IF(ISNUMBER(SEARCH(Assumptions!$C$6,G4613)),Assumptions!$D$6,IF(ISNUMBER(SEARCH(Assumptions!$C$7,G4613)),Assumptions!$D$7,"Other Services"))),"Other Services"))</f>
        <v/>
      </c>
    </row>
    <row r="4614" customFormat="false" ht="15" hidden="false" customHeight="false" outlineLevel="0" collapsed="false">
      <c r="E4614" s="41" t="str">
        <f aca="false">IF(D4614="","",IFERROR(VLOOKUP(D4614,Assumptions!$G$5:$H$16,2,0),"Other"))</f>
        <v/>
      </c>
      <c r="J4614" s="41" t="str">
        <f aca="false">IF(G4614="","",IFERROR(IF(ISNUMBER(SEARCH(Assumptions!$C$5,G4614)),Assumptions!$D$5,IF(ISNUMBER(SEARCH(Assumptions!$C$6,G4614)),Assumptions!$D$6,IF(ISNUMBER(SEARCH(Assumptions!$C$7,G4614)),Assumptions!$D$7,"Other Services"))),"Other Services"))</f>
        <v/>
      </c>
    </row>
    <row r="4615" customFormat="false" ht="15" hidden="false" customHeight="false" outlineLevel="0" collapsed="false">
      <c r="E4615" s="41" t="str">
        <f aca="false">IF(D4615="","",IFERROR(VLOOKUP(D4615,Assumptions!$G$5:$H$16,2,0),"Other"))</f>
        <v/>
      </c>
      <c r="J4615" s="41" t="str">
        <f aca="false">IF(G4615="","",IFERROR(IF(ISNUMBER(SEARCH(Assumptions!$C$5,G4615)),Assumptions!$D$5,IF(ISNUMBER(SEARCH(Assumptions!$C$6,G4615)),Assumptions!$D$6,IF(ISNUMBER(SEARCH(Assumptions!$C$7,G4615)),Assumptions!$D$7,"Other Services"))),"Other Services"))</f>
        <v/>
      </c>
    </row>
    <row r="4616" customFormat="false" ht="15" hidden="false" customHeight="false" outlineLevel="0" collapsed="false">
      <c r="E4616" s="41" t="str">
        <f aca="false">IF(D4616="","",IFERROR(VLOOKUP(D4616,Assumptions!$G$5:$H$16,2,0),"Other"))</f>
        <v/>
      </c>
      <c r="J4616" s="41" t="str">
        <f aca="false">IF(G4616="","",IFERROR(IF(ISNUMBER(SEARCH(Assumptions!$C$5,G4616)),Assumptions!$D$5,IF(ISNUMBER(SEARCH(Assumptions!$C$6,G4616)),Assumptions!$D$6,IF(ISNUMBER(SEARCH(Assumptions!$C$7,G4616)),Assumptions!$D$7,"Other Services"))),"Other Services"))</f>
        <v/>
      </c>
    </row>
    <row r="4617" customFormat="false" ht="15" hidden="false" customHeight="false" outlineLevel="0" collapsed="false">
      <c r="E4617" s="41" t="str">
        <f aca="false">IF(D4617="","",IFERROR(VLOOKUP(D4617,Assumptions!$G$5:$H$16,2,0),"Other"))</f>
        <v/>
      </c>
      <c r="J4617" s="41" t="str">
        <f aca="false">IF(G4617="","",IFERROR(IF(ISNUMBER(SEARCH(Assumptions!$C$5,G4617)),Assumptions!$D$5,IF(ISNUMBER(SEARCH(Assumptions!$C$6,G4617)),Assumptions!$D$6,IF(ISNUMBER(SEARCH(Assumptions!$C$7,G4617)),Assumptions!$D$7,"Other Services"))),"Other Services"))</f>
        <v/>
      </c>
    </row>
    <row r="4618" customFormat="false" ht="15" hidden="false" customHeight="false" outlineLevel="0" collapsed="false">
      <c r="E4618" s="41" t="str">
        <f aca="false">IF(D4618="","",IFERROR(VLOOKUP(D4618,Assumptions!$G$5:$H$16,2,0),"Other"))</f>
        <v/>
      </c>
      <c r="J4618" s="41" t="str">
        <f aca="false">IF(G4618="","",IFERROR(IF(ISNUMBER(SEARCH(Assumptions!$C$5,G4618)),Assumptions!$D$5,IF(ISNUMBER(SEARCH(Assumptions!$C$6,G4618)),Assumptions!$D$6,IF(ISNUMBER(SEARCH(Assumptions!$C$7,G4618)),Assumptions!$D$7,"Other Services"))),"Other Services"))</f>
        <v/>
      </c>
    </row>
    <row r="4619" customFormat="false" ht="15" hidden="false" customHeight="false" outlineLevel="0" collapsed="false">
      <c r="E4619" s="41" t="str">
        <f aca="false">IF(D4619="","",IFERROR(VLOOKUP(D4619,Assumptions!$G$5:$H$16,2,0),"Other"))</f>
        <v/>
      </c>
      <c r="J4619" s="41" t="str">
        <f aca="false">IF(G4619="","",IFERROR(IF(ISNUMBER(SEARCH(Assumptions!$C$5,G4619)),Assumptions!$D$5,IF(ISNUMBER(SEARCH(Assumptions!$C$6,G4619)),Assumptions!$D$6,IF(ISNUMBER(SEARCH(Assumptions!$C$7,G4619)),Assumptions!$D$7,"Other Services"))),"Other Services"))</f>
        <v/>
      </c>
    </row>
    <row r="4620" customFormat="false" ht="15" hidden="false" customHeight="false" outlineLevel="0" collapsed="false">
      <c r="E4620" s="41" t="str">
        <f aca="false">IF(D4620="","",IFERROR(VLOOKUP(D4620,Assumptions!$G$5:$H$16,2,0),"Other"))</f>
        <v/>
      </c>
      <c r="J4620" s="41" t="str">
        <f aca="false">IF(G4620="","",IFERROR(IF(ISNUMBER(SEARCH(Assumptions!$C$5,G4620)),Assumptions!$D$5,IF(ISNUMBER(SEARCH(Assumptions!$C$6,G4620)),Assumptions!$D$6,IF(ISNUMBER(SEARCH(Assumptions!$C$7,G4620)),Assumptions!$D$7,"Other Services"))),"Other Services"))</f>
        <v/>
      </c>
    </row>
    <row r="4621" customFormat="false" ht="15" hidden="false" customHeight="false" outlineLevel="0" collapsed="false">
      <c r="E4621" s="41" t="str">
        <f aca="false">IF(D4621="","",IFERROR(VLOOKUP(D4621,Assumptions!$G$5:$H$16,2,0),"Other"))</f>
        <v/>
      </c>
      <c r="J4621" s="41" t="str">
        <f aca="false">IF(G4621="","",IFERROR(IF(ISNUMBER(SEARCH(Assumptions!$C$5,G4621)),Assumptions!$D$5,IF(ISNUMBER(SEARCH(Assumptions!$C$6,G4621)),Assumptions!$D$6,IF(ISNUMBER(SEARCH(Assumptions!$C$7,G4621)),Assumptions!$D$7,"Other Services"))),"Other Services"))</f>
        <v/>
      </c>
    </row>
    <row r="4622" customFormat="false" ht="15" hidden="false" customHeight="false" outlineLevel="0" collapsed="false">
      <c r="E4622" s="41" t="str">
        <f aca="false">IF(D4622="","",IFERROR(VLOOKUP(D4622,Assumptions!$G$5:$H$16,2,0),"Other"))</f>
        <v/>
      </c>
      <c r="J4622" s="41" t="str">
        <f aca="false">IF(G4622="","",IFERROR(IF(ISNUMBER(SEARCH(Assumptions!$C$5,G4622)),Assumptions!$D$5,IF(ISNUMBER(SEARCH(Assumptions!$C$6,G4622)),Assumptions!$D$6,IF(ISNUMBER(SEARCH(Assumptions!$C$7,G4622)),Assumptions!$D$7,"Other Services"))),"Other Services"))</f>
        <v/>
      </c>
    </row>
    <row r="4623" customFormat="false" ht="15" hidden="false" customHeight="false" outlineLevel="0" collapsed="false">
      <c r="E4623" s="41" t="str">
        <f aca="false">IF(D4623="","",IFERROR(VLOOKUP(D4623,Assumptions!$G$5:$H$16,2,0),"Other"))</f>
        <v/>
      </c>
      <c r="J4623" s="41" t="str">
        <f aca="false">IF(G4623="","",IFERROR(IF(ISNUMBER(SEARCH(Assumptions!$C$5,G4623)),Assumptions!$D$5,IF(ISNUMBER(SEARCH(Assumptions!$C$6,G4623)),Assumptions!$D$6,IF(ISNUMBER(SEARCH(Assumptions!$C$7,G4623)),Assumptions!$D$7,"Other Services"))),"Other Services"))</f>
        <v/>
      </c>
    </row>
    <row r="4624" customFormat="false" ht="15" hidden="false" customHeight="false" outlineLevel="0" collapsed="false">
      <c r="E4624" s="41" t="str">
        <f aca="false">IF(D4624="","",IFERROR(VLOOKUP(D4624,Assumptions!$G$5:$H$16,2,0),"Other"))</f>
        <v/>
      </c>
      <c r="J4624" s="41" t="str">
        <f aca="false">IF(G4624="","",IFERROR(IF(ISNUMBER(SEARCH(Assumptions!$C$5,G4624)),Assumptions!$D$5,IF(ISNUMBER(SEARCH(Assumptions!$C$6,G4624)),Assumptions!$D$6,IF(ISNUMBER(SEARCH(Assumptions!$C$7,G4624)),Assumptions!$D$7,"Other Services"))),"Other Services"))</f>
        <v/>
      </c>
    </row>
    <row r="4625" customFormat="false" ht="15" hidden="false" customHeight="false" outlineLevel="0" collapsed="false">
      <c r="E4625" s="41" t="str">
        <f aca="false">IF(D4625="","",IFERROR(VLOOKUP(D4625,Assumptions!$G$5:$H$16,2,0),"Other"))</f>
        <v/>
      </c>
      <c r="J4625" s="41" t="str">
        <f aca="false">IF(G4625="","",IFERROR(IF(ISNUMBER(SEARCH(Assumptions!$C$5,G4625)),Assumptions!$D$5,IF(ISNUMBER(SEARCH(Assumptions!$C$6,G4625)),Assumptions!$D$6,IF(ISNUMBER(SEARCH(Assumptions!$C$7,G4625)),Assumptions!$D$7,"Other Services"))),"Other Services"))</f>
        <v/>
      </c>
    </row>
    <row r="4626" customFormat="false" ht="15" hidden="false" customHeight="false" outlineLevel="0" collapsed="false">
      <c r="E4626" s="41" t="str">
        <f aca="false">IF(D4626="","",IFERROR(VLOOKUP(D4626,Assumptions!$G$5:$H$16,2,0),"Other"))</f>
        <v/>
      </c>
      <c r="J4626" s="41" t="str">
        <f aca="false">IF(G4626="","",IFERROR(IF(ISNUMBER(SEARCH(Assumptions!$C$5,G4626)),Assumptions!$D$5,IF(ISNUMBER(SEARCH(Assumptions!$C$6,G4626)),Assumptions!$D$6,IF(ISNUMBER(SEARCH(Assumptions!$C$7,G4626)),Assumptions!$D$7,"Other Services"))),"Other Services"))</f>
        <v/>
      </c>
    </row>
    <row r="4627" customFormat="false" ht="15" hidden="false" customHeight="false" outlineLevel="0" collapsed="false">
      <c r="E4627" s="41" t="str">
        <f aca="false">IF(D4627="","",IFERROR(VLOOKUP(D4627,Assumptions!$G$5:$H$16,2,0),"Other"))</f>
        <v/>
      </c>
      <c r="J4627" s="41" t="str">
        <f aca="false">IF(G4627="","",IFERROR(IF(ISNUMBER(SEARCH(Assumptions!$C$5,G4627)),Assumptions!$D$5,IF(ISNUMBER(SEARCH(Assumptions!$C$6,G4627)),Assumptions!$D$6,IF(ISNUMBER(SEARCH(Assumptions!$C$7,G4627)),Assumptions!$D$7,"Other Services"))),"Other Services"))</f>
        <v/>
      </c>
    </row>
    <row r="4628" customFormat="false" ht="15" hidden="false" customHeight="false" outlineLevel="0" collapsed="false">
      <c r="E4628" s="41" t="str">
        <f aca="false">IF(D4628="","",IFERROR(VLOOKUP(D4628,Assumptions!$G$5:$H$16,2,0),"Other"))</f>
        <v/>
      </c>
      <c r="J4628" s="41" t="str">
        <f aca="false">IF(G4628="","",IFERROR(IF(ISNUMBER(SEARCH(Assumptions!$C$5,G4628)),Assumptions!$D$5,IF(ISNUMBER(SEARCH(Assumptions!$C$6,G4628)),Assumptions!$D$6,IF(ISNUMBER(SEARCH(Assumptions!$C$7,G4628)),Assumptions!$D$7,"Other Services"))),"Other Services"))</f>
        <v/>
      </c>
    </row>
    <row r="4629" customFormat="false" ht="15" hidden="false" customHeight="false" outlineLevel="0" collapsed="false">
      <c r="E4629" s="41" t="str">
        <f aca="false">IF(D4629="","",IFERROR(VLOOKUP(D4629,Assumptions!$G$5:$H$16,2,0),"Other"))</f>
        <v/>
      </c>
      <c r="J4629" s="41" t="str">
        <f aca="false">IF(G4629="","",IFERROR(IF(ISNUMBER(SEARCH(Assumptions!$C$5,G4629)),Assumptions!$D$5,IF(ISNUMBER(SEARCH(Assumptions!$C$6,G4629)),Assumptions!$D$6,IF(ISNUMBER(SEARCH(Assumptions!$C$7,G4629)),Assumptions!$D$7,"Other Services"))),"Other Services"))</f>
        <v/>
      </c>
    </row>
    <row r="4630" customFormat="false" ht="15" hidden="false" customHeight="false" outlineLevel="0" collapsed="false">
      <c r="E4630" s="41" t="str">
        <f aca="false">IF(D4630="","",IFERROR(VLOOKUP(D4630,Assumptions!$G$5:$H$16,2,0),"Other"))</f>
        <v/>
      </c>
      <c r="J4630" s="41" t="str">
        <f aca="false">IF(G4630="","",IFERROR(IF(ISNUMBER(SEARCH(Assumptions!$C$5,G4630)),Assumptions!$D$5,IF(ISNUMBER(SEARCH(Assumptions!$C$6,G4630)),Assumptions!$D$6,IF(ISNUMBER(SEARCH(Assumptions!$C$7,G4630)),Assumptions!$D$7,"Other Services"))),"Other Services"))</f>
        <v/>
      </c>
    </row>
    <row r="4631" customFormat="false" ht="15" hidden="false" customHeight="false" outlineLevel="0" collapsed="false">
      <c r="E4631" s="41" t="str">
        <f aca="false">IF(D4631="","",IFERROR(VLOOKUP(D4631,Assumptions!$G$5:$H$16,2,0),"Other"))</f>
        <v/>
      </c>
      <c r="J4631" s="41" t="str">
        <f aca="false">IF(G4631="","",IFERROR(IF(ISNUMBER(SEARCH(Assumptions!$C$5,G4631)),Assumptions!$D$5,IF(ISNUMBER(SEARCH(Assumptions!$C$6,G4631)),Assumptions!$D$6,IF(ISNUMBER(SEARCH(Assumptions!$C$7,G4631)),Assumptions!$D$7,"Other Services"))),"Other Services"))</f>
        <v/>
      </c>
    </row>
    <row r="4632" customFormat="false" ht="15" hidden="false" customHeight="false" outlineLevel="0" collapsed="false">
      <c r="E4632" s="41" t="str">
        <f aca="false">IF(D4632="","",IFERROR(VLOOKUP(D4632,Assumptions!$G$5:$H$16,2,0),"Other"))</f>
        <v/>
      </c>
      <c r="J4632" s="41" t="str">
        <f aca="false">IF(G4632="","",IFERROR(IF(ISNUMBER(SEARCH(Assumptions!$C$5,G4632)),Assumptions!$D$5,IF(ISNUMBER(SEARCH(Assumptions!$C$6,G4632)),Assumptions!$D$6,IF(ISNUMBER(SEARCH(Assumptions!$C$7,G4632)),Assumptions!$D$7,"Other Services"))),"Other Services"))</f>
        <v/>
      </c>
    </row>
    <row r="4633" customFormat="false" ht="15" hidden="false" customHeight="false" outlineLevel="0" collapsed="false">
      <c r="E4633" s="41" t="str">
        <f aca="false">IF(D4633="","",IFERROR(VLOOKUP(D4633,Assumptions!$G$5:$H$16,2,0),"Other"))</f>
        <v/>
      </c>
      <c r="J4633" s="41" t="str">
        <f aca="false">IF(G4633="","",IFERROR(IF(ISNUMBER(SEARCH(Assumptions!$C$5,G4633)),Assumptions!$D$5,IF(ISNUMBER(SEARCH(Assumptions!$C$6,G4633)),Assumptions!$D$6,IF(ISNUMBER(SEARCH(Assumptions!$C$7,G4633)),Assumptions!$D$7,"Other Services"))),"Other Services"))</f>
        <v/>
      </c>
    </row>
    <row r="4634" customFormat="false" ht="15" hidden="false" customHeight="false" outlineLevel="0" collapsed="false">
      <c r="E4634" s="41" t="str">
        <f aca="false">IF(D4634="","",IFERROR(VLOOKUP(D4634,Assumptions!$G$5:$H$16,2,0),"Other"))</f>
        <v/>
      </c>
      <c r="J4634" s="41" t="str">
        <f aca="false">IF(G4634="","",IFERROR(IF(ISNUMBER(SEARCH(Assumptions!$C$5,G4634)),Assumptions!$D$5,IF(ISNUMBER(SEARCH(Assumptions!$C$6,G4634)),Assumptions!$D$6,IF(ISNUMBER(SEARCH(Assumptions!$C$7,G4634)),Assumptions!$D$7,"Other Services"))),"Other Services"))</f>
        <v/>
      </c>
    </row>
    <row r="4635" customFormat="false" ht="15" hidden="false" customHeight="false" outlineLevel="0" collapsed="false">
      <c r="E4635" s="41" t="str">
        <f aca="false">IF(D4635="","",IFERROR(VLOOKUP(D4635,Assumptions!$G$5:$H$16,2,0),"Other"))</f>
        <v/>
      </c>
      <c r="J4635" s="41" t="str">
        <f aca="false">IF(G4635="","",IFERROR(IF(ISNUMBER(SEARCH(Assumptions!$C$5,G4635)),Assumptions!$D$5,IF(ISNUMBER(SEARCH(Assumptions!$C$6,G4635)),Assumptions!$D$6,IF(ISNUMBER(SEARCH(Assumptions!$C$7,G4635)),Assumptions!$D$7,"Other Services"))),"Other Services"))</f>
        <v/>
      </c>
    </row>
    <row r="4636" customFormat="false" ht="15" hidden="false" customHeight="false" outlineLevel="0" collapsed="false">
      <c r="E4636" s="41" t="str">
        <f aca="false">IF(D4636="","",IFERROR(VLOOKUP(D4636,Assumptions!$G$5:$H$16,2,0),"Other"))</f>
        <v/>
      </c>
      <c r="J4636" s="41" t="str">
        <f aca="false">IF(G4636="","",IFERROR(IF(ISNUMBER(SEARCH(Assumptions!$C$5,G4636)),Assumptions!$D$5,IF(ISNUMBER(SEARCH(Assumptions!$C$6,G4636)),Assumptions!$D$6,IF(ISNUMBER(SEARCH(Assumptions!$C$7,G4636)),Assumptions!$D$7,"Other Services"))),"Other Services"))</f>
        <v/>
      </c>
    </row>
    <row r="4637" customFormat="false" ht="15" hidden="false" customHeight="false" outlineLevel="0" collapsed="false">
      <c r="E4637" s="41" t="str">
        <f aca="false">IF(D4637="","",IFERROR(VLOOKUP(D4637,Assumptions!$G$5:$H$16,2,0),"Other"))</f>
        <v/>
      </c>
      <c r="J4637" s="41" t="str">
        <f aca="false">IF(G4637="","",IFERROR(IF(ISNUMBER(SEARCH(Assumptions!$C$5,G4637)),Assumptions!$D$5,IF(ISNUMBER(SEARCH(Assumptions!$C$6,G4637)),Assumptions!$D$6,IF(ISNUMBER(SEARCH(Assumptions!$C$7,G4637)),Assumptions!$D$7,"Other Services"))),"Other Services"))</f>
        <v/>
      </c>
    </row>
    <row r="4638" customFormat="false" ht="15" hidden="false" customHeight="false" outlineLevel="0" collapsed="false">
      <c r="E4638" s="41" t="str">
        <f aca="false">IF(D4638="","",IFERROR(VLOOKUP(D4638,Assumptions!$G$5:$H$16,2,0),"Other"))</f>
        <v/>
      </c>
      <c r="J4638" s="41" t="str">
        <f aca="false">IF(G4638="","",IFERROR(IF(ISNUMBER(SEARCH(Assumptions!$C$5,G4638)),Assumptions!$D$5,IF(ISNUMBER(SEARCH(Assumptions!$C$6,G4638)),Assumptions!$D$6,IF(ISNUMBER(SEARCH(Assumptions!$C$7,G4638)),Assumptions!$D$7,"Other Services"))),"Other Services"))</f>
        <v/>
      </c>
    </row>
    <row r="4639" customFormat="false" ht="15" hidden="false" customHeight="false" outlineLevel="0" collapsed="false">
      <c r="E4639" s="41" t="str">
        <f aca="false">IF(D4639="","",IFERROR(VLOOKUP(D4639,Assumptions!$G$5:$H$16,2,0),"Other"))</f>
        <v/>
      </c>
      <c r="J4639" s="41" t="str">
        <f aca="false">IF(G4639="","",IFERROR(IF(ISNUMBER(SEARCH(Assumptions!$C$5,G4639)),Assumptions!$D$5,IF(ISNUMBER(SEARCH(Assumptions!$C$6,G4639)),Assumptions!$D$6,IF(ISNUMBER(SEARCH(Assumptions!$C$7,G4639)),Assumptions!$D$7,"Other Services"))),"Other Services"))</f>
        <v/>
      </c>
    </row>
    <row r="4640" customFormat="false" ht="15" hidden="false" customHeight="false" outlineLevel="0" collapsed="false">
      <c r="E4640" s="41" t="str">
        <f aca="false">IF(D4640="","",IFERROR(VLOOKUP(D4640,Assumptions!$G$5:$H$16,2,0),"Other"))</f>
        <v/>
      </c>
      <c r="J4640" s="41" t="str">
        <f aca="false">IF(G4640="","",IFERROR(IF(ISNUMBER(SEARCH(Assumptions!$C$5,G4640)),Assumptions!$D$5,IF(ISNUMBER(SEARCH(Assumptions!$C$6,G4640)),Assumptions!$D$6,IF(ISNUMBER(SEARCH(Assumptions!$C$7,G4640)),Assumptions!$D$7,"Other Services"))),"Other Services"))</f>
        <v/>
      </c>
    </row>
    <row r="4641" customFormat="false" ht="15" hidden="false" customHeight="false" outlineLevel="0" collapsed="false">
      <c r="E4641" s="41" t="str">
        <f aca="false">IF(D4641="","",IFERROR(VLOOKUP(D4641,Assumptions!$G$5:$H$16,2,0),"Other"))</f>
        <v/>
      </c>
      <c r="J4641" s="41" t="str">
        <f aca="false">IF(G4641="","",IFERROR(IF(ISNUMBER(SEARCH(Assumptions!$C$5,G4641)),Assumptions!$D$5,IF(ISNUMBER(SEARCH(Assumptions!$C$6,G4641)),Assumptions!$D$6,IF(ISNUMBER(SEARCH(Assumptions!$C$7,G4641)),Assumptions!$D$7,"Other Services"))),"Other Services"))</f>
        <v/>
      </c>
    </row>
    <row r="4642" customFormat="false" ht="15" hidden="false" customHeight="false" outlineLevel="0" collapsed="false">
      <c r="E4642" s="41" t="str">
        <f aca="false">IF(D4642="","",IFERROR(VLOOKUP(D4642,Assumptions!$G$5:$H$16,2,0),"Other"))</f>
        <v/>
      </c>
      <c r="J4642" s="41" t="str">
        <f aca="false">IF(G4642="","",IFERROR(IF(ISNUMBER(SEARCH(Assumptions!$C$5,G4642)),Assumptions!$D$5,IF(ISNUMBER(SEARCH(Assumptions!$C$6,G4642)),Assumptions!$D$6,IF(ISNUMBER(SEARCH(Assumptions!$C$7,G4642)),Assumptions!$D$7,"Other Services"))),"Other Services"))</f>
        <v/>
      </c>
    </row>
    <row r="4643" customFormat="false" ht="15" hidden="false" customHeight="false" outlineLevel="0" collapsed="false">
      <c r="E4643" s="41" t="str">
        <f aca="false">IF(D4643="","",IFERROR(VLOOKUP(D4643,Assumptions!$G$5:$H$16,2,0),"Other"))</f>
        <v/>
      </c>
      <c r="J4643" s="41" t="str">
        <f aca="false">IF(G4643="","",IFERROR(IF(ISNUMBER(SEARCH(Assumptions!$C$5,G4643)),Assumptions!$D$5,IF(ISNUMBER(SEARCH(Assumptions!$C$6,G4643)),Assumptions!$D$6,IF(ISNUMBER(SEARCH(Assumptions!$C$7,G4643)),Assumptions!$D$7,"Other Services"))),"Other Services"))</f>
        <v/>
      </c>
    </row>
    <row r="4644" customFormat="false" ht="15" hidden="false" customHeight="false" outlineLevel="0" collapsed="false">
      <c r="E4644" s="41" t="str">
        <f aca="false">IF(D4644="","",IFERROR(VLOOKUP(D4644,Assumptions!$G$5:$H$16,2,0),"Other"))</f>
        <v/>
      </c>
      <c r="J4644" s="41" t="str">
        <f aca="false">IF(G4644="","",IFERROR(IF(ISNUMBER(SEARCH(Assumptions!$C$5,G4644)),Assumptions!$D$5,IF(ISNUMBER(SEARCH(Assumptions!$C$6,G4644)),Assumptions!$D$6,IF(ISNUMBER(SEARCH(Assumptions!$C$7,G4644)),Assumptions!$D$7,"Other Services"))),"Other Services"))</f>
        <v/>
      </c>
    </row>
    <row r="4645" customFormat="false" ht="15" hidden="false" customHeight="false" outlineLevel="0" collapsed="false">
      <c r="E4645" s="41" t="str">
        <f aca="false">IF(D4645="","",IFERROR(VLOOKUP(D4645,Assumptions!$G$5:$H$16,2,0),"Other"))</f>
        <v/>
      </c>
      <c r="J4645" s="41" t="str">
        <f aca="false">IF(G4645="","",IFERROR(IF(ISNUMBER(SEARCH(Assumptions!$C$5,G4645)),Assumptions!$D$5,IF(ISNUMBER(SEARCH(Assumptions!$C$6,G4645)),Assumptions!$D$6,IF(ISNUMBER(SEARCH(Assumptions!$C$7,G4645)),Assumptions!$D$7,"Other Services"))),"Other Services"))</f>
        <v/>
      </c>
    </row>
    <row r="4646" customFormat="false" ht="15" hidden="false" customHeight="false" outlineLevel="0" collapsed="false">
      <c r="E4646" s="41" t="str">
        <f aca="false">IF(D4646="","",IFERROR(VLOOKUP(D4646,Assumptions!$G$5:$H$16,2,0),"Other"))</f>
        <v/>
      </c>
      <c r="J4646" s="41" t="str">
        <f aca="false">IF(G4646="","",IFERROR(IF(ISNUMBER(SEARCH(Assumptions!$C$5,G4646)),Assumptions!$D$5,IF(ISNUMBER(SEARCH(Assumptions!$C$6,G4646)),Assumptions!$D$6,IF(ISNUMBER(SEARCH(Assumptions!$C$7,G4646)),Assumptions!$D$7,"Other Services"))),"Other Services"))</f>
        <v/>
      </c>
    </row>
    <row r="4647" customFormat="false" ht="15" hidden="false" customHeight="false" outlineLevel="0" collapsed="false">
      <c r="E4647" s="41" t="str">
        <f aca="false">IF(D4647="","",IFERROR(VLOOKUP(D4647,Assumptions!$G$5:$H$16,2,0),"Other"))</f>
        <v/>
      </c>
      <c r="J4647" s="41" t="str">
        <f aca="false">IF(G4647="","",IFERROR(IF(ISNUMBER(SEARCH(Assumptions!$C$5,G4647)),Assumptions!$D$5,IF(ISNUMBER(SEARCH(Assumptions!$C$6,G4647)),Assumptions!$D$6,IF(ISNUMBER(SEARCH(Assumptions!$C$7,G4647)),Assumptions!$D$7,"Other Services"))),"Other Services"))</f>
        <v/>
      </c>
    </row>
    <row r="4648" customFormat="false" ht="15" hidden="false" customHeight="false" outlineLevel="0" collapsed="false">
      <c r="E4648" s="41" t="str">
        <f aca="false">IF(D4648="","",IFERROR(VLOOKUP(D4648,Assumptions!$G$5:$H$16,2,0),"Other"))</f>
        <v/>
      </c>
      <c r="J4648" s="41" t="str">
        <f aca="false">IF(G4648="","",IFERROR(IF(ISNUMBER(SEARCH(Assumptions!$C$5,G4648)),Assumptions!$D$5,IF(ISNUMBER(SEARCH(Assumptions!$C$6,G4648)),Assumptions!$D$6,IF(ISNUMBER(SEARCH(Assumptions!$C$7,G4648)),Assumptions!$D$7,"Other Services"))),"Other Services"))</f>
        <v/>
      </c>
    </row>
    <row r="4649" customFormat="false" ht="15" hidden="false" customHeight="false" outlineLevel="0" collapsed="false">
      <c r="E4649" s="41" t="str">
        <f aca="false">IF(D4649="","",IFERROR(VLOOKUP(D4649,Assumptions!$G$5:$H$16,2,0),"Other"))</f>
        <v/>
      </c>
      <c r="J4649" s="41" t="str">
        <f aca="false">IF(G4649="","",IFERROR(IF(ISNUMBER(SEARCH(Assumptions!$C$5,G4649)),Assumptions!$D$5,IF(ISNUMBER(SEARCH(Assumptions!$C$6,G4649)),Assumptions!$D$6,IF(ISNUMBER(SEARCH(Assumptions!$C$7,G4649)),Assumptions!$D$7,"Other Services"))),"Other Services"))</f>
        <v/>
      </c>
    </row>
    <row r="4650" customFormat="false" ht="15" hidden="false" customHeight="false" outlineLevel="0" collapsed="false">
      <c r="E4650" s="41" t="str">
        <f aca="false">IF(D4650="","",IFERROR(VLOOKUP(D4650,Assumptions!$G$5:$H$16,2,0),"Other"))</f>
        <v/>
      </c>
      <c r="J4650" s="41" t="str">
        <f aca="false">IF(G4650="","",IFERROR(IF(ISNUMBER(SEARCH(Assumptions!$C$5,G4650)),Assumptions!$D$5,IF(ISNUMBER(SEARCH(Assumptions!$C$6,G4650)),Assumptions!$D$6,IF(ISNUMBER(SEARCH(Assumptions!$C$7,G4650)),Assumptions!$D$7,"Other Services"))),"Other Services"))</f>
        <v/>
      </c>
    </row>
    <row r="4651" customFormat="false" ht="15" hidden="false" customHeight="false" outlineLevel="0" collapsed="false">
      <c r="E4651" s="41" t="str">
        <f aca="false">IF(D4651="","",IFERROR(VLOOKUP(D4651,Assumptions!$G$5:$H$16,2,0),"Other"))</f>
        <v/>
      </c>
      <c r="J4651" s="41" t="str">
        <f aca="false">IF(G4651="","",IFERROR(IF(ISNUMBER(SEARCH(Assumptions!$C$5,G4651)),Assumptions!$D$5,IF(ISNUMBER(SEARCH(Assumptions!$C$6,G4651)),Assumptions!$D$6,IF(ISNUMBER(SEARCH(Assumptions!$C$7,G4651)),Assumptions!$D$7,"Other Services"))),"Other Services"))</f>
        <v/>
      </c>
    </row>
    <row r="4652" customFormat="false" ht="15" hidden="false" customHeight="false" outlineLevel="0" collapsed="false">
      <c r="E4652" s="41" t="str">
        <f aca="false">IF(D4652="","",IFERROR(VLOOKUP(D4652,Assumptions!$G$5:$H$16,2,0),"Other"))</f>
        <v/>
      </c>
      <c r="J4652" s="41" t="str">
        <f aca="false">IF(G4652="","",IFERROR(IF(ISNUMBER(SEARCH(Assumptions!$C$5,G4652)),Assumptions!$D$5,IF(ISNUMBER(SEARCH(Assumptions!$C$6,G4652)),Assumptions!$D$6,IF(ISNUMBER(SEARCH(Assumptions!$C$7,G4652)),Assumptions!$D$7,"Other Services"))),"Other Services"))</f>
        <v/>
      </c>
    </row>
    <row r="4653" customFormat="false" ht="15" hidden="false" customHeight="false" outlineLevel="0" collapsed="false">
      <c r="E4653" s="41" t="str">
        <f aca="false">IF(D4653="","",IFERROR(VLOOKUP(D4653,Assumptions!$G$5:$H$16,2,0),"Other"))</f>
        <v/>
      </c>
      <c r="J4653" s="41" t="str">
        <f aca="false">IF(G4653="","",IFERROR(IF(ISNUMBER(SEARCH(Assumptions!$C$5,G4653)),Assumptions!$D$5,IF(ISNUMBER(SEARCH(Assumptions!$C$6,G4653)),Assumptions!$D$6,IF(ISNUMBER(SEARCH(Assumptions!$C$7,G4653)),Assumptions!$D$7,"Other Services"))),"Other Services"))</f>
        <v/>
      </c>
    </row>
    <row r="4654" customFormat="false" ht="15" hidden="false" customHeight="false" outlineLevel="0" collapsed="false">
      <c r="E4654" s="41" t="str">
        <f aca="false">IF(D4654="","",IFERROR(VLOOKUP(D4654,Assumptions!$G$5:$H$16,2,0),"Other"))</f>
        <v/>
      </c>
      <c r="J4654" s="41" t="str">
        <f aca="false">IF(G4654="","",IFERROR(IF(ISNUMBER(SEARCH(Assumptions!$C$5,G4654)),Assumptions!$D$5,IF(ISNUMBER(SEARCH(Assumptions!$C$6,G4654)),Assumptions!$D$6,IF(ISNUMBER(SEARCH(Assumptions!$C$7,G4654)),Assumptions!$D$7,"Other Services"))),"Other Services"))</f>
        <v/>
      </c>
    </row>
    <row r="4655" customFormat="false" ht="15" hidden="false" customHeight="false" outlineLevel="0" collapsed="false">
      <c r="E4655" s="41" t="str">
        <f aca="false">IF(D4655="","",IFERROR(VLOOKUP(D4655,Assumptions!$G$5:$H$16,2,0),"Other"))</f>
        <v/>
      </c>
      <c r="J4655" s="41" t="str">
        <f aca="false">IF(G4655="","",IFERROR(IF(ISNUMBER(SEARCH(Assumptions!$C$5,G4655)),Assumptions!$D$5,IF(ISNUMBER(SEARCH(Assumptions!$C$6,G4655)),Assumptions!$D$6,IF(ISNUMBER(SEARCH(Assumptions!$C$7,G4655)),Assumptions!$D$7,"Other Services"))),"Other Services"))</f>
        <v/>
      </c>
    </row>
    <row r="4656" customFormat="false" ht="15" hidden="false" customHeight="false" outlineLevel="0" collapsed="false">
      <c r="E4656" s="41" t="str">
        <f aca="false">IF(D4656="","",IFERROR(VLOOKUP(D4656,Assumptions!$G$5:$H$16,2,0),"Other"))</f>
        <v/>
      </c>
      <c r="J4656" s="41" t="str">
        <f aca="false">IF(G4656="","",IFERROR(IF(ISNUMBER(SEARCH(Assumptions!$C$5,G4656)),Assumptions!$D$5,IF(ISNUMBER(SEARCH(Assumptions!$C$6,G4656)),Assumptions!$D$6,IF(ISNUMBER(SEARCH(Assumptions!$C$7,G4656)),Assumptions!$D$7,"Other Services"))),"Other Services"))</f>
        <v/>
      </c>
    </row>
    <row r="4657" customFormat="false" ht="15" hidden="false" customHeight="false" outlineLevel="0" collapsed="false">
      <c r="E4657" s="41" t="str">
        <f aca="false">IF(D4657="","",IFERROR(VLOOKUP(D4657,Assumptions!$G$5:$H$16,2,0),"Other"))</f>
        <v/>
      </c>
      <c r="J4657" s="41" t="str">
        <f aca="false">IF(G4657="","",IFERROR(IF(ISNUMBER(SEARCH(Assumptions!$C$5,G4657)),Assumptions!$D$5,IF(ISNUMBER(SEARCH(Assumptions!$C$6,G4657)),Assumptions!$D$6,IF(ISNUMBER(SEARCH(Assumptions!$C$7,G4657)),Assumptions!$D$7,"Other Services"))),"Other Services"))</f>
        <v/>
      </c>
    </row>
    <row r="4658" customFormat="false" ht="15" hidden="false" customHeight="false" outlineLevel="0" collapsed="false">
      <c r="E4658" s="41" t="str">
        <f aca="false">IF(D4658="","",IFERROR(VLOOKUP(D4658,Assumptions!$G$5:$H$16,2,0),"Other"))</f>
        <v/>
      </c>
      <c r="J4658" s="41" t="str">
        <f aca="false">IF(G4658="","",IFERROR(IF(ISNUMBER(SEARCH(Assumptions!$C$5,G4658)),Assumptions!$D$5,IF(ISNUMBER(SEARCH(Assumptions!$C$6,G4658)),Assumptions!$D$6,IF(ISNUMBER(SEARCH(Assumptions!$C$7,G4658)),Assumptions!$D$7,"Other Services"))),"Other Services"))</f>
        <v/>
      </c>
    </row>
    <row r="4659" customFormat="false" ht="15" hidden="false" customHeight="false" outlineLevel="0" collapsed="false">
      <c r="E4659" s="41" t="str">
        <f aca="false">IF(D4659="","",IFERROR(VLOOKUP(D4659,Assumptions!$G$5:$H$16,2,0),"Other"))</f>
        <v/>
      </c>
      <c r="J4659" s="41" t="str">
        <f aca="false">IF(G4659="","",IFERROR(IF(ISNUMBER(SEARCH(Assumptions!$C$5,G4659)),Assumptions!$D$5,IF(ISNUMBER(SEARCH(Assumptions!$C$6,G4659)),Assumptions!$D$6,IF(ISNUMBER(SEARCH(Assumptions!$C$7,G4659)),Assumptions!$D$7,"Other Services"))),"Other Services"))</f>
        <v/>
      </c>
    </row>
    <row r="4660" customFormat="false" ht="15" hidden="false" customHeight="false" outlineLevel="0" collapsed="false">
      <c r="E4660" s="41" t="str">
        <f aca="false">IF(D4660="","",IFERROR(VLOOKUP(D4660,Assumptions!$G$5:$H$16,2,0),"Other"))</f>
        <v/>
      </c>
      <c r="J4660" s="41" t="str">
        <f aca="false">IF(G4660="","",IFERROR(IF(ISNUMBER(SEARCH(Assumptions!$C$5,G4660)),Assumptions!$D$5,IF(ISNUMBER(SEARCH(Assumptions!$C$6,G4660)),Assumptions!$D$6,IF(ISNUMBER(SEARCH(Assumptions!$C$7,G4660)),Assumptions!$D$7,"Other Services"))),"Other Services"))</f>
        <v/>
      </c>
    </row>
    <row r="4661" customFormat="false" ht="15" hidden="false" customHeight="false" outlineLevel="0" collapsed="false">
      <c r="E4661" s="41" t="str">
        <f aca="false">IF(D4661="","",IFERROR(VLOOKUP(D4661,Assumptions!$G$5:$H$16,2,0),"Other"))</f>
        <v/>
      </c>
      <c r="J4661" s="41" t="str">
        <f aca="false">IF(G4661="","",IFERROR(IF(ISNUMBER(SEARCH(Assumptions!$C$5,G4661)),Assumptions!$D$5,IF(ISNUMBER(SEARCH(Assumptions!$C$6,G4661)),Assumptions!$D$6,IF(ISNUMBER(SEARCH(Assumptions!$C$7,G4661)),Assumptions!$D$7,"Other Services"))),"Other Services"))</f>
        <v/>
      </c>
    </row>
    <row r="4662" customFormat="false" ht="15" hidden="false" customHeight="false" outlineLevel="0" collapsed="false">
      <c r="E4662" s="41" t="str">
        <f aca="false">IF(D4662="","",IFERROR(VLOOKUP(D4662,Assumptions!$G$5:$H$16,2,0),"Other"))</f>
        <v/>
      </c>
      <c r="J4662" s="41" t="str">
        <f aca="false">IF(G4662="","",IFERROR(IF(ISNUMBER(SEARCH(Assumptions!$C$5,G4662)),Assumptions!$D$5,IF(ISNUMBER(SEARCH(Assumptions!$C$6,G4662)),Assumptions!$D$6,IF(ISNUMBER(SEARCH(Assumptions!$C$7,G4662)),Assumptions!$D$7,"Other Services"))),"Other Services"))</f>
        <v/>
      </c>
    </row>
    <row r="4663" customFormat="false" ht="15" hidden="false" customHeight="false" outlineLevel="0" collapsed="false">
      <c r="E4663" s="41" t="str">
        <f aca="false">IF(D4663="","",IFERROR(VLOOKUP(D4663,Assumptions!$G$5:$H$16,2,0),"Other"))</f>
        <v/>
      </c>
      <c r="J4663" s="41" t="str">
        <f aca="false">IF(G4663="","",IFERROR(IF(ISNUMBER(SEARCH(Assumptions!$C$5,G4663)),Assumptions!$D$5,IF(ISNUMBER(SEARCH(Assumptions!$C$6,G4663)),Assumptions!$D$6,IF(ISNUMBER(SEARCH(Assumptions!$C$7,G4663)),Assumptions!$D$7,"Other Services"))),"Other Services"))</f>
        <v/>
      </c>
    </row>
    <row r="4664" customFormat="false" ht="15" hidden="false" customHeight="false" outlineLevel="0" collapsed="false">
      <c r="E4664" s="41" t="str">
        <f aca="false">IF(D4664="","",IFERROR(VLOOKUP(D4664,Assumptions!$G$5:$H$16,2,0),"Other"))</f>
        <v/>
      </c>
      <c r="J4664" s="41" t="str">
        <f aca="false">IF(G4664="","",IFERROR(IF(ISNUMBER(SEARCH(Assumptions!$C$5,G4664)),Assumptions!$D$5,IF(ISNUMBER(SEARCH(Assumptions!$C$6,G4664)),Assumptions!$D$6,IF(ISNUMBER(SEARCH(Assumptions!$C$7,G4664)),Assumptions!$D$7,"Other Services"))),"Other Services"))</f>
        <v/>
      </c>
    </row>
    <row r="4665" customFormat="false" ht="15" hidden="false" customHeight="false" outlineLevel="0" collapsed="false">
      <c r="E4665" s="41" t="str">
        <f aca="false">IF(D4665="","",IFERROR(VLOOKUP(D4665,Assumptions!$G$5:$H$16,2,0),"Other"))</f>
        <v/>
      </c>
      <c r="J4665" s="41" t="str">
        <f aca="false">IF(G4665="","",IFERROR(IF(ISNUMBER(SEARCH(Assumptions!$C$5,G4665)),Assumptions!$D$5,IF(ISNUMBER(SEARCH(Assumptions!$C$6,G4665)),Assumptions!$D$6,IF(ISNUMBER(SEARCH(Assumptions!$C$7,G4665)),Assumptions!$D$7,"Other Services"))),"Other Services"))</f>
        <v/>
      </c>
    </row>
    <row r="4666" customFormat="false" ht="15" hidden="false" customHeight="false" outlineLevel="0" collapsed="false">
      <c r="E4666" s="41" t="str">
        <f aca="false">IF(D4666="","",IFERROR(VLOOKUP(D4666,Assumptions!$G$5:$H$16,2,0),"Other"))</f>
        <v/>
      </c>
      <c r="J4666" s="41" t="str">
        <f aca="false">IF(G4666="","",IFERROR(IF(ISNUMBER(SEARCH(Assumptions!$C$5,G4666)),Assumptions!$D$5,IF(ISNUMBER(SEARCH(Assumptions!$C$6,G4666)),Assumptions!$D$6,IF(ISNUMBER(SEARCH(Assumptions!$C$7,G4666)),Assumptions!$D$7,"Other Services"))),"Other Services"))</f>
        <v/>
      </c>
    </row>
    <row r="4667" customFormat="false" ht="15" hidden="false" customHeight="false" outlineLevel="0" collapsed="false">
      <c r="E4667" s="41" t="str">
        <f aca="false">IF(D4667="","",IFERROR(VLOOKUP(D4667,Assumptions!$G$5:$H$16,2,0),"Other"))</f>
        <v/>
      </c>
      <c r="J4667" s="41" t="str">
        <f aca="false">IF(G4667="","",IFERROR(IF(ISNUMBER(SEARCH(Assumptions!$C$5,G4667)),Assumptions!$D$5,IF(ISNUMBER(SEARCH(Assumptions!$C$6,G4667)),Assumptions!$D$6,IF(ISNUMBER(SEARCH(Assumptions!$C$7,G4667)),Assumptions!$D$7,"Other Services"))),"Other Services"))</f>
        <v/>
      </c>
    </row>
    <row r="4668" customFormat="false" ht="15" hidden="false" customHeight="false" outlineLevel="0" collapsed="false">
      <c r="E4668" s="41" t="str">
        <f aca="false">IF(D4668="","",IFERROR(VLOOKUP(D4668,Assumptions!$G$5:$H$16,2,0),"Other"))</f>
        <v/>
      </c>
      <c r="J4668" s="41" t="str">
        <f aca="false">IF(G4668="","",IFERROR(IF(ISNUMBER(SEARCH(Assumptions!$C$5,G4668)),Assumptions!$D$5,IF(ISNUMBER(SEARCH(Assumptions!$C$6,G4668)),Assumptions!$D$6,IF(ISNUMBER(SEARCH(Assumptions!$C$7,G4668)),Assumptions!$D$7,"Other Services"))),"Other Services"))</f>
        <v/>
      </c>
    </row>
    <row r="4669" customFormat="false" ht="15" hidden="false" customHeight="false" outlineLevel="0" collapsed="false">
      <c r="E4669" s="41" t="str">
        <f aca="false">IF(D4669="","",IFERROR(VLOOKUP(D4669,Assumptions!$G$5:$H$16,2,0),"Other"))</f>
        <v/>
      </c>
      <c r="J4669" s="41" t="str">
        <f aca="false">IF(G4669="","",IFERROR(IF(ISNUMBER(SEARCH(Assumptions!$C$5,G4669)),Assumptions!$D$5,IF(ISNUMBER(SEARCH(Assumptions!$C$6,G4669)),Assumptions!$D$6,IF(ISNUMBER(SEARCH(Assumptions!$C$7,G4669)),Assumptions!$D$7,"Other Services"))),"Other Services"))</f>
        <v/>
      </c>
    </row>
    <row r="4670" customFormat="false" ht="15" hidden="false" customHeight="false" outlineLevel="0" collapsed="false">
      <c r="E4670" s="41" t="str">
        <f aca="false">IF(D4670="","",IFERROR(VLOOKUP(D4670,Assumptions!$G$5:$H$16,2,0),"Other"))</f>
        <v/>
      </c>
      <c r="J4670" s="41" t="str">
        <f aca="false">IF(G4670="","",IFERROR(IF(ISNUMBER(SEARCH(Assumptions!$C$5,G4670)),Assumptions!$D$5,IF(ISNUMBER(SEARCH(Assumptions!$C$6,G4670)),Assumptions!$D$6,IF(ISNUMBER(SEARCH(Assumptions!$C$7,G4670)),Assumptions!$D$7,"Other Services"))),"Other Services"))</f>
        <v/>
      </c>
    </row>
    <row r="4671" customFormat="false" ht="15" hidden="false" customHeight="false" outlineLevel="0" collapsed="false">
      <c r="E4671" s="41" t="str">
        <f aca="false">IF(D4671="","",IFERROR(VLOOKUP(D4671,Assumptions!$G$5:$H$16,2,0),"Other"))</f>
        <v/>
      </c>
      <c r="J4671" s="41" t="str">
        <f aca="false">IF(G4671="","",IFERROR(IF(ISNUMBER(SEARCH(Assumptions!$C$5,G4671)),Assumptions!$D$5,IF(ISNUMBER(SEARCH(Assumptions!$C$6,G4671)),Assumptions!$D$6,IF(ISNUMBER(SEARCH(Assumptions!$C$7,G4671)),Assumptions!$D$7,"Other Services"))),"Other Services"))</f>
        <v/>
      </c>
    </row>
    <row r="4672" customFormat="false" ht="15" hidden="false" customHeight="false" outlineLevel="0" collapsed="false">
      <c r="E4672" s="41" t="str">
        <f aca="false">IF(D4672="","",IFERROR(VLOOKUP(D4672,Assumptions!$G$5:$H$16,2,0),"Other"))</f>
        <v/>
      </c>
      <c r="J4672" s="41" t="str">
        <f aca="false">IF(G4672="","",IFERROR(IF(ISNUMBER(SEARCH(Assumptions!$C$5,G4672)),Assumptions!$D$5,IF(ISNUMBER(SEARCH(Assumptions!$C$6,G4672)),Assumptions!$D$6,IF(ISNUMBER(SEARCH(Assumptions!$C$7,G4672)),Assumptions!$D$7,"Other Services"))),"Other Services"))</f>
        <v/>
      </c>
    </row>
    <row r="4673" customFormat="false" ht="15" hidden="false" customHeight="false" outlineLevel="0" collapsed="false">
      <c r="E4673" s="41" t="str">
        <f aca="false">IF(D4673="","",IFERROR(VLOOKUP(D4673,Assumptions!$G$5:$H$16,2,0),"Other"))</f>
        <v/>
      </c>
      <c r="J4673" s="41" t="str">
        <f aca="false">IF(G4673="","",IFERROR(IF(ISNUMBER(SEARCH(Assumptions!$C$5,G4673)),Assumptions!$D$5,IF(ISNUMBER(SEARCH(Assumptions!$C$6,G4673)),Assumptions!$D$6,IF(ISNUMBER(SEARCH(Assumptions!$C$7,G4673)),Assumptions!$D$7,"Other Services"))),"Other Services"))</f>
        <v/>
      </c>
    </row>
    <row r="4674" customFormat="false" ht="15" hidden="false" customHeight="false" outlineLevel="0" collapsed="false">
      <c r="E4674" s="41" t="str">
        <f aca="false">IF(D4674="","",IFERROR(VLOOKUP(D4674,Assumptions!$G$5:$H$16,2,0),"Other"))</f>
        <v/>
      </c>
      <c r="J4674" s="41" t="str">
        <f aca="false">IF(G4674="","",IFERROR(IF(ISNUMBER(SEARCH(Assumptions!$C$5,G4674)),Assumptions!$D$5,IF(ISNUMBER(SEARCH(Assumptions!$C$6,G4674)),Assumptions!$D$6,IF(ISNUMBER(SEARCH(Assumptions!$C$7,G4674)),Assumptions!$D$7,"Other Services"))),"Other Services"))</f>
        <v/>
      </c>
    </row>
    <row r="4675" customFormat="false" ht="15" hidden="false" customHeight="false" outlineLevel="0" collapsed="false">
      <c r="E4675" s="41" t="str">
        <f aca="false">IF(D4675="","",IFERROR(VLOOKUP(D4675,Assumptions!$G$5:$H$16,2,0),"Other"))</f>
        <v/>
      </c>
      <c r="J4675" s="41" t="str">
        <f aca="false">IF(G4675="","",IFERROR(IF(ISNUMBER(SEARCH(Assumptions!$C$5,G4675)),Assumptions!$D$5,IF(ISNUMBER(SEARCH(Assumptions!$C$6,G4675)),Assumptions!$D$6,IF(ISNUMBER(SEARCH(Assumptions!$C$7,G4675)),Assumptions!$D$7,"Other Services"))),"Other Services"))</f>
        <v/>
      </c>
    </row>
    <row r="4676" customFormat="false" ht="15" hidden="false" customHeight="false" outlineLevel="0" collapsed="false">
      <c r="E4676" s="41" t="str">
        <f aca="false">IF(D4676="","",IFERROR(VLOOKUP(D4676,Assumptions!$G$5:$H$16,2,0),"Other"))</f>
        <v/>
      </c>
      <c r="J4676" s="41" t="str">
        <f aca="false">IF(G4676="","",IFERROR(IF(ISNUMBER(SEARCH(Assumptions!$C$5,G4676)),Assumptions!$D$5,IF(ISNUMBER(SEARCH(Assumptions!$C$6,G4676)),Assumptions!$D$6,IF(ISNUMBER(SEARCH(Assumptions!$C$7,G4676)),Assumptions!$D$7,"Other Services"))),"Other Services"))</f>
        <v/>
      </c>
    </row>
    <row r="4677" customFormat="false" ht="15" hidden="false" customHeight="false" outlineLevel="0" collapsed="false">
      <c r="E4677" s="41" t="str">
        <f aca="false">IF(D4677="","",IFERROR(VLOOKUP(D4677,Assumptions!$G$5:$H$16,2,0),"Other"))</f>
        <v/>
      </c>
      <c r="J4677" s="41" t="str">
        <f aca="false">IF(G4677="","",IFERROR(IF(ISNUMBER(SEARCH(Assumptions!$C$5,G4677)),Assumptions!$D$5,IF(ISNUMBER(SEARCH(Assumptions!$C$6,G4677)),Assumptions!$D$6,IF(ISNUMBER(SEARCH(Assumptions!$C$7,G4677)),Assumptions!$D$7,"Other Services"))),"Other Services"))</f>
        <v/>
      </c>
    </row>
    <row r="4678" customFormat="false" ht="15" hidden="false" customHeight="false" outlineLevel="0" collapsed="false">
      <c r="E4678" s="41" t="str">
        <f aca="false">IF(D4678="","",IFERROR(VLOOKUP(D4678,Assumptions!$G$5:$H$16,2,0),"Other"))</f>
        <v/>
      </c>
      <c r="J4678" s="41" t="str">
        <f aca="false">IF(G4678="","",IFERROR(IF(ISNUMBER(SEARCH(Assumptions!$C$5,G4678)),Assumptions!$D$5,IF(ISNUMBER(SEARCH(Assumptions!$C$6,G4678)),Assumptions!$D$6,IF(ISNUMBER(SEARCH(Assumptions!$C$7,G4678)),Assumptions!$D$7,"Other Services"))),"Other Services"))</f>
        <v/>
      </c>
    </row>
    <row r="4679" customFormat="false" ht="15" hidden="false" customHeight="false" outlineLevel="0" collapsed="false">
      <c r="E4679" s="41" t="str">
        <f aca="false">IF(D4679="","",IFERROR(VLOOKUP(D4679,Assumptions!$G$5:$H$16,2,0),"Other"))</f>
        <v/>
      </c>
      <c r="J4679" s="41" t="str">
        <f aca="false">IF(G4679="","",IFERROR(IF(ISNUMBER(SEARCH(Assumptions!$C$5,G4679)),Assumptions!$D$5,IF(ISNUMBER(SEARCH(Assumptions!$C$6,G4679)),Assumptions!$D$6,IF(ISNUMBER(SEARCH(Assumptions!$C$7,G4679)),Assumptions!$D$7,"Other Services"))),"Other Services"))</f>
        <v/>
      </c>
    </row>
    <row r="4680" customFormat="false" ht="15" hidden="false" customHeight="false" outlineLevel="0" collapsed="false">
      <c r="E4680" s="41" t="str">
        <f aca="false">IF(D4680="","",IFERROR(VLOOKUP(D4680,Assumptions!$G$5:$H$16,2,0),"Other"))</f>
        <v/>
      </c>
      <c r="J4680" s="41" t="str">
        <f aca="false">IF(G4680="","",IFERROR(IF(ISNUMBER(SEARCH(Assumptions!$C$5,G4680)),Assumptions!$D$5,IF(ISNUMBER(SEARCH(Assumptions!$C$6,G4680)),Assumptions!$D$6,IF(ISNUMBER(SEARCH(Assumptions!$C$7,G4680)),Assumptions!$D$7,"Other Services"))),"Other Services"))</f>
        <v/>
      </c>
    </row>
    <row r="4681" customFormat="false" ht="15" hidden="false" customHeight="false" outlineLevel="0" collapsed="false">
      <c r="E4681" s="41" t="str">
        <f aca="false">IF(D4681="","",IFERROR(VLOOKUP(D4681,Assumptions!$G$5:$H$16,2,0),"Other"))</f>
        <v/>
      </c>
      <c r="J4681" s="41" t="str">
        <f aca="false">IF(G4681="","",IFERROR(IF(ISNUMBER(SEARCH(Assumptions!$C$5,G4681)),Assumptions!$D$5,IF(ISNUMBER(SEARCH(Assumptions!$C$6,G4681)),Assumptions!$D$6,IF(ISNUMBER(SEARCH(Assumptions!$C$7,G4681)),Assumptions!$D$7,"Other Services"))),"Other Services"))</f>
        <v/>
      </c>
    </row>
    <row r="4682" customFormat="false" ht="15" hidden="false" customHeight="false" outlineLevel="0" collapsed="false">
      <c r="E4682" s="41" t="str">
        <f aca="false">IF(D4682="","",IFERROR(VLOOKUP(D4682,Assumptions!$G$5:$H$16,2,0),"Other"))</f>
        <v/>
      </c>
      <c r="J4682" s="41" t="str">
        <f aca="false">IF(G4682="","",IFERROR(IF(ISNUMBER(SEARCH(Assumptions!$C$5,G4682)),Assumptions!$D$5,IF(ISNUMBER(SEARCH(Assumptions!$C$6,G4682)),Assumptions!$D$6,IF(ISNUMBER(SEARCH(Assumptions!$C$7,G4682)),Assumptions!$D$7,"Other Services"))),"Other Services"))</f>
        <v/>
      </c>
    </row>
    <row r="4683" customFormat="false" ht="15" hidden="false" customHeight="false" outlineLevel="0" collapsed="false">
      <c r="E4683" s="41" t="str">
        <f aca="false">IF(D4683="","",IFERROR(VLOOKUP(D4683,Assumptions!$G$5:$H$16,2,0),"Other"))</f>
        <v/>
      </c>
      <c r="J4683" s="41" t="str">
        <f aca="false">IF(G4683="","",IFERROR(IF(ISNUMBER(SEARCH(Assumptions!$C$5,G4683)),Assumptions!$D$5,IF(ISNUMBER(SEARCH(Assumptions!$C$6,G4683)),Assumptions!$D$6,IF(ISNUMBER(SEARCH(Assumptions!$C$7,G4683)),Assumptions!$D$7,"Other Services"))),"Other Services"))</f>
        <v/>
      </c>
    </row>
    <row r="4684" customFormat="false" ht="15" hidden="false" customHeight="false" outlineLevel="0" collapsed="false">
      <c r="E4684" s="41" t="str">
        <f aca="false">IF(D4684="","",IFERROR(VLOOKUP(D4684,Assumptions!$G$5:$H$16,2,0),"Other"))</f>
        <v/>
      </c>
      <c r="J4684" s="41" t="str">
        <f aca="false">IF(G4684="","",IFERROR(IF(ISNUMBER(SEARCH(Assumptions!$C$5,G4684)),Assumptions!$D$5,IF(ISNUMBER(SEARCH(Assumptions!$C$6,G4684)),Assumptions!$D$6,IF(ISNUMBER(SEARCH(Assumptions!$C$7,G4684)),Assumptions!$D$7,"Other Services"))),"Other Services"))</f>
        <v/>
      </c>
    </row>
    <row r="4685" customFormat="false" ht="15" hidden="false" customHeight="false" outlineLevel="0" collapsed="false">
      <c r="E4685" s="41" t="str">
        <f aca="false">IF(D4685="","",IFERROR(VLOOKUP(D4685,Assumptions!$G$5:$H$16,2,0),"Other"))</f>
        <v/>
      </c>
      <c r="J4685" s="41" t="str">
        <f aca="false">IF(G4685="","",IFERROR(IF(ISNUMBER(SEARCH(Assumptions!$C$5,G4685)),Assumptions!$D$5,IF(ISNUMBER(SEARCH(Assumptions!$C$6,G4685)),Assumptions!$D$6,IF(ISNUMBER(SEARCH(Assumptions!$C$7,G4685)),Assumptions!$D$7,"Other Services"))),"Other Services"))</f>
        <v/>
      </c>
    </row>
    <row r="4686" customFormat="false" ht="15" hidden="false" customHeight="false" outlineLevel="0" collapsed="false">
      <c r="E4686" s="41" t="str">
        <f aca="false">IF(D4686="","",IFERROR(VLOOKUP(D4686,Assumptions!$G$5:$H$16,2,0),"Other"))</f>
        <v/>
      </c>
      <c r="J4686" s="41" t="str">
        <f aca="false">IF(G4686="","",IFERROR(IF(ISNUMBER(SEARCH(Assumptions!$C$5,G4686)),Assumptions!$D$5,IF(ISNUMBER(SEARCH(Assumptions!$C$6,G4686)),Assumptions!$D$6,IF(ISNUMBER(SEARCH(Assumptions!$C$7,G4686)),Assumptions!$D$7,"Other Services"))),"Other Services"))</f>
        <v/>
      </c>
    </row>
    <row r="4687" customFormat="false" ht="15" hidden="false" customHeight="false" outlineLevel="0" collapsed="false">
      <c r="E4687" s="41" t="str">
        <f aca="false">IF(D4687="","",IFERROR(VLOOKUP(D4687,Assumptions!$G$5:$H$16,2,0),"Other"))</f>
        <v/>
      </c>
      <c r="J4687" s="41" t="str">
        <f aca="false">IF(G4687="","",IFERROR(IF(ISNUMBER(SEARCH(Assumptions!$C$5,G4687)),Assumptions!$D$5,IF(ISNUMBER(SEARCH(Assumptions!$C$6,G4687)),Assumptions!$D$6,IF(ISNUMBER(SEARCH(Assumptions!$C$7,G4687)),Assumptions!$D$7,"Other Services"))),"Other Services"))</f>
        <v/>
      </c>
    </row>
    <row r="4688" customFormat="false" ht="15" hidden="false" customHeight="false" outlineLevel="0" collapsed="false">
      <c r="E4688" s="41" t="str">
        <f aca="false">IF(D4688="","",IFERROR(VLOOKUP(D4688,Assumptions!$G$5:$H$16,2,0),"Other"))</f>
        <v/>
      </c>
      <c r="J4688" s="41" t="str">
        <f aca="false">IF(G4688="","",IFERROR(IF(ISNUMBER(SEARCH(Assumptions!$C$5,G4688)),Assumptions!$D$5,IF(ISNUMBER(SEARCH(Assumptions!$C$6,G4688)),Assumptions!$D$6,IF(ISNUMBER(SEARCH(Assumptions!$C$7,G4688)),Assumptions!$D$7,"Other Services"))),"Other Services"))</f>
        <v/>
      </c>
    </row>
    <row r="4689" customFormat="false" ht="15" hidden="false" customHeight="false" outlineLevel="0" collapsed="false">
      <c r="E4689" s="41" t="str">
        <f aca="false">IF(D4689="","",IFERROR(VLOOKUP(D4689,Assumptions!$G$5:$H$16,2,0),"Other"))</f>
        <v/>
      </c>
      <c r="J4689" s="41" t="str">
        <f aca="false">IF(G4689="","",IFERROR(IF(ISNUMBER(SEARCH(Assumptions!$C$5,G4689)),Assumptions!$D$5,IF(ISNUMBER(SEARCH(Assumptions!$C$6,G4689)),Assumptions!$D$6,IF(ISNUMBER(SEARCH(Assumptions!$C$7,G4689)),Assumptions!$D$7,"Other Services"))),"Other Services"))</f>
        <v/>
      </c>
    </row>
    <row r="4690" customFormat="false" ht="15" hidden="false" customHeight="false" outlineLevel="0" collapsed="false">
      <c r="E4690" s="41" t="str">
        <f aca="false">IF(D4690="","",IFERROR(VLOOKUP(D4690,Assumptions!$G$5:$H$16,2,0),"Other"))</f>
        <v/>
      </c>
      <c r="J4690" s="41" t="str">
        <f aca="false">IF(G4690="","",IFERROR(IF(ISNUMBER(SEARCH(Assumptions!$C$5,G4690)),Assumptions!$D$5,IF(ISNUMBER(SEARCH(Assumptions!$C$6,G4690)),Assumptions!$D$6,IF(ISNUMBER(SEARCH(Assumptions!$C$7,G4690)),Assumptions!$D$7,"Other Services"))),"Other Services"))</f>
        <v/>
      </c>
    </row>
    <row r="4691" customFormat="false" ht="15" hidden="false" customHeight="false" outlineLevel="0" collapsed="false">
      <c r="E4691" s="41" t="str">
        <f aca="false">IF(D4691="","",IFERROR(VLOOKUP(D4691,Assumptions!$G$5:$H$16,2,0),"Other"))</f>
        <v/>
      </c>
      <c r="J4691" s="41" t="str">
        <f aca="false">IF(G4691="","",IFERROR(IF(ISNUMBER(SEARCH(Assumptions!$C$5,G4691)),Assumptions!$D$5,IF(ISNUMBER(SEARCH(Assumptions!$C$6,G4691)),Assumptions!$D$6,IF(ISNUMBER(SEARCH(Assumptions!$C$7,G4691)),Assumptions!$D$7,"Other Services"))),"Other Services"))</f>
        <v/>
      </c>
    </row>
    <row r="4692" customFormat="false" ht="15" hidden="false" customHeight="false" outlineLevel="0" collapsed="false">
      <c r="E4692" s="41" t="str">
        <f aca="false">IF(D4692="","",IFERROR(VLOOKUP(D4692,Assumptions!$G$5:$H$16,2,0),"Other"))</f>
        <v/>
      </c>
      <c r="J4692" s="41" t="str">
        <f aca="false">IF(G4692="","",IFERROR(IF(ISNUMBER(SEARCH(Assumptions!$C$5,G4692)),Assumptions!$D$5,IF(ISNUMBER(SEARCH(Assumptions!$C$6,G4692)),Assumptions!$D$6,IF(ISNUMBER(SEARCH(Assumptions!$C$7,G4692)),Assumptions!$D$7,"Other Services"))),"Other Services"))</f>
        <v/>
      </c>
    </row>
    <row r="4693" customFormat="false" ht="15" hidden="false" customHeight="false" outlineLevel="0" collapsed="false">
      <c r="E4693" s="41" t="str">
        <f aca="false">IF(D4693="","",IFERROR(VLOOKUP(D4693,Assumptions!$G$5:$H$16,2,0),"Other"))</f>
        <v/>
      </c>
      <c r="J4693" s="41" t="str">
        <f aca="false">IF(G4693="","",IFERROR(IF(ISNUMBER(SEARCH(Assumptions!$C$5,G4693)),Assumptions!$D$5,IF(ISNUMBER(SEARCH(Assumptions!$C$6,G4693)),Assumptions!$D$6,IF(ISNUMBER(SEARCH(Assumptions!$C$7,G4693)),Assumptions!$D$7,"Other Services"))),"Other Services"))</f>
        <v/>
      </c>
    </row>
    <row r="4694" customFormat="false" ht="15" hidden="false" customHeight="false" outlineLevel="0" collapsed="false">
      <c r="E4694" s="41" t="str">
        <f aca="false">IF(D4694="","",IFERROR(VLOOKUP(D4694,Assumptions!$G$5:$H$16,2,0),"Other"))</f>
        <v/>
      </c>
      <c r="J4694" s="41" t="str">
        <f aca="false">IF(G4694="","",IFERROR(IF(ISNUMBER(SEARCH(Assumptions!$C$5,G4694)),Assumptions!$D$5,IF(ISNUMBER(SEARCH(Assumptions!$C$6,G4694)),Assumptions!$D$6,IF(ISNUMBER(SEARCH(Assumptions!$C$7,G4694)),Assumptions!$D$7,"Other Services"))),"Other Services"))</f>
        <v/>
      </c>
    </row>
    <row r="4695" customFormat="false" ht="15" hidden="false" customHeight="false" outlineLevel="0" collapsed="false">
      <c r="E4695" s="41" t="str">
        <f aca="false">IF(D4695="","",IFERROR(VLOOKUP(D4695,Assumptions!$G$5:$H$16,2,0),"Other"))</f>
        <v/>
      </c>
      <c r="J4695" s="41" t="str">
        <f aca="false">IF(G4695="","",IFERROR(IF(ISNUMBER(SEARCH(Assumptions!$C$5,G4695)),Assumptions!$D$5,IF(ISNUMBER(SEARCH(Assumptions!$C$6,G4695)),Assumptions!$D$6,IF(ISNUMBER(SEARCH(Assumptions!$C$7,G4695)),Assumptions!$D$7,"Other Services"))),"Other Services"))</f>
        <v/>
      </c>
    </row>
    <row r="4696" customFormat="false" ht="15" hidden="false" customHeight="false" outlineLevel="0" collapsed="false">
      <c r="E4696" s="41" t="str">
        <f aca="false">IF(D4696="","",IFERROR(VLOOKUP(D4696,Assumptions!$G$5:$H$16,2,0),"Other"))</f>
        <v/>
      </c>
      <c r="J4696" s="41" t="str">
        <f aca="false">IF(G4696="","",IFERROR(IF(ISNUMBER(SEARCH(Assumptions!$C$5,G4696)),Assumptions!$D$5,IF(ISNUMBER(SEARCH(Assumptions!$C$6,G4696)),Assumptions!$D$6,IF(ISNUMBER(SEARCH(Assumptions!$C$7,G4696)),Assumptions!$D$7,"Other Services"))),"Other Services"))</f>
        <v/>
      </c>
    </row>
    <row r="4697" customFormat="false" ht="15" hidden="false" customHeight="false" outlineLevel="0" collapsed="false">
      <c r="E4697" s="41" t="str">
        <f aca="false">IF(D4697="","",IFERROR(VLOOKUP(D4697,Assumptions!$G$5:$H$16,2,0),"Other"))</f>
        <v/>
      </c>
      <c r="J4697" s="41" t="str">
        <f aca="false">IF(G4697="","",IFERROR(IF(ISNUMBER(SEARCH(Assumptions!$C$5,G4697)),Assumptions!$D$5,IF(ISNUMBER(SEARCH(Assumptions!$C$6,G4697)),Assumptions!$D$6,IF(ISNUMBER(SEARCH(Assumptions!$C$7,G4697)),Assumptions!$D$7,"Other Services"))),"Other Services"))</f>
        <v/>
      </c>
    </row>
    <row r="4698" customFormat="false" ht="15" hidden="false" customHeight="false" outlineLevel="0" collapsed="false">
      <c r="E4698" s="41" t="str">
        <f aca="false">IF(D4698="","",IFERROR(VLOOKUP(D4698,Assumptions!$G$5:$H$16,2,0),"Other"))</f>
        <v/>
      </c>
      <c r="J4698" s="41" t="str">
        <f aca="false">IF(G4698="","",IFERROR(IF(ISNUMBER(SEARCH(Assumptions!$C$5,G4698)),Assumptions!$D$5,IF(ISNUMBER(SEARCH(Assumptions!$C$6,G4698)),Assumptions!$D$6,IF(ISNUMBER(SEARCH(Assumptions!$C$7,G4698)),Assumptions!$D$7,"Other Services"))),"Other Services"))</f>
        <v/>
      </c>
    </row>
    <row r="4699" customFormat="false" ht="15" hidden="false" customHeight="false" outlineLevel="0" collapsed="false">
      <c r="E4699" s="41" t="str">
        <f aca="false">IF(D4699="","",IFERROR(VLOOKUP(D4699,Assumptions!$G$5:$H$16,2,0),"Other"))</f>
        <v/>
      </c>
      <c r="J4699" s="41" t="str">
        <f aca="false">IF(G4699="","",IFERROR(IF(ISNUMBER(SEARCH(Assumptions!$C$5,G4699)),Assumptions!$D$5,IF(ISNUMBER(SEARCH(Assumptions!$C$6,G4699)),Assumptions!$D$6,IF(ISNUMBER(SEARCH(Assumptions!$C$7,G4699)),Assumptions!$D$7,"Other Services"))),"Other Services"))</f>
        <v/>
      </c>
    </row>
    <row r="4700" customFormat="false" ht="15" hidden="false" customHeight="false" outlineLevel="0" collapsed="false">
      <c r="E4700" s="41" t="str">
        <f aca="false">IF(D4700="","",IFERROR(VLOOKUP(D4700,Assumptions!$G$5:$H$16,2,0),"Other"))</f>
        <v/>
      </c>
      <c r="J4700" s="41" t="str">
        <f aca="false">IF(G4700="","",IFERROR(IF(ISNUMBER(SEARCH(Assumptions!$C$5,G4700)),Assumptions!$D$5,IF(ISNUMBER(SEARCH(Assumptions!$C$6,G4700)),Assumptions!$D$6,IF(ISNUMBER(SEARCH(Assumptions!$C$7,G4700)),Assumptions!$D$7,"Other Services"))),"Other Services"))</f>
        <v/>
      </c>
    </row>
    <row r="4701" customFormat="false" ht="15" hidden="false" customHeight="false" outlineLevel="0" collapsed="false">
      <c r="E4701" s="41" t="str">
        <f aca="false">IF(D4701="","",IFERROR(VLOOKUP(D4701,Assumptions!$G$5:$H$16,2,0),"Other"))</f>
        <v/>
      </c>
      <c r="J4701" s="41" t="str">
        <f aca="false">IF(G4701="","",IFERROR(IF(ISNUMBER(SEARCH(Assumptions!$C$5,G4701)),Assumptions!$D$5,IF(ISNUMBER(SEARCH(Assumptions!$C$6,G4701)),Assumptions!$D$6,IF(ISNUMBER(SEARCH(Assumptions!$C$7,G4701)),Assumptions!$D$7,"Other Services"))),"Other Services"))</f>
        <v/>
      </c>
    </row>
    <row r="4702" customFormat="false" ht="15" hidden="false" customHeight="false" outlineLevel="0" collapsed="false">
      <c r="E4702" s="41" t="str">
        <f aca="false">IF(D4702="","",IFERROR(VLOOKUP(D4702,Assumptions!$G$5:$H$16,2,0),"Other"))</f>
        <v/>
      </c>
      <c r="J4702" s="41" t="str">
        <f aca="false">IF(G4702="","",IFERROR(IF(ISNUMBER(SEARCH(Assumptions!$C$5,G4702)),Assumptions!$D$5,IF(ISNUMBER(SEARCH(Assumptions!$C$6,G4702)),Assumptions!$D$6,IF(ISNUMBER(SEARCH(Assumptions!$C$7,G4702)),Assumptions!$D$7,"Other Services"))),"Other Services"))</f>
        <v/>
      </c>
    </row>
    <row r="4703" customFormat="false" ht="15" hidden="false" customHeight="false" outlineLevel="0" collapsed="false">
      <c r="E4703" s="41" t="str">
        <f aca="false">IF(D4703="","",IFERROR(VLOOKUP(D4703,Assumptions!$G$5:$H$16,2,0),"Other"))</f>
        <v/>
      </c>
      <c r="J4703" s="41" t="str">
        <f aca="false">IF(G4703="","",IFERROR(IF(ISNUMBER(SEARCH(Assumptions!$C$5,G4703)),Assumptions!$D$5,IF(ISNUMBER(SEARCH(Assumptions!$C$6,G4703)),Assumptions!$D$6,IF(ISNUMBER(SEARCH(Assumptions!$C$7,G4703)),Assumptions!$D$7,"Other Services"))),"Other Services"))</f>
        <v/>
      </c>
    </row>
    <row r="4704" customFormat="false" ht="15" hidden="false" customHeight="false" outlineLevel="0" collapsed="false">
      <c r="E4704" s="41" t="str">
        <f aca="false">IF(D4704="","",IFERROR(VLOOKUP(D4704,Assumptions!$G$5:$H$16,2,0),"Other"))</f>
        <v/>
      </c>
      <c r="J4704" s="41" t="str">
        <f aca="false">IF(G4704="","",IFERROR(IF(ISNUMBER(SEARCH(Assumptions!$C$5,G4704)),Assumptions!$D$5,IF(ISNUMBER(SEARCH(Assumptions!$C$6,G4704)),Assumptions!$D$6,IF(ISNUMBER(SEARCH(Assumptions!$C$7,G4704)),Assumptions!$D$7,"Other Services"))),"Other Services"))</f>
        <v/>
      </c>
    </row>
    <row r="4705" customFormat="false" ht="15" hidden="false" customHeight="false" outlineLevel="0" collapsed="false">
      <c r="E4705" s="41" t="str">
        <f aca="false">IF(D4705="","",IFERROR(VLOOKUP(D4705,Assumptions!$G$5:$H$16,2,0),"Other"))</f>
        <v/>
      </c>
      <c r="J4705" s="41" t="str">
        <f aca="false">IF(G4705="","",IFERROR(IF(ISNUMBER(SEARCH(Assumptions!$C$5,G4705)),Assumptions!$D$5,IF(ISNUMBER(SEARCH(Assumptions!$C$6,G4705)),Assumptions!$D$6,IF(ISNUMBER(SEARCH(Assumptions!$C$7,G4705)),Assumptions!$D$7,"Other Services"))),"Other Services"))</f>
        <v/>
      </c>
    </row>
    <row r="4706" customFormat="false" ht="15" hidden="false" customHeight="false" outlineLevel="0" collapsed="false">
      <c r="E4706" s="41" t="str">
        <f aca="false">IF(D4706="","",IFERROR(VLOOKUP(D4706,Assumptions!$G$5:$H$16,2,0),"Other"))</f>
        <v/>
      </c>
      <c r="J4706" s="41" t="str">
        <f aca="false">IF(G4706="","",IFERROR(IF(ISNUMBER(SEARCH(Assumptions!$C$5,G4706)),Assumptions!$D$5,IF(ISNUMBER(SEARCH(Assumptions!$C$6,G4706)),Assumptions!$D$6,IF(ISNUMBER(SEARCH(Assumptions!$C$7,G4706)),Assumptions!$D$7,"Other Services"))),"Other Services"))</f>
        <v/>
      </c>
    </row>
    <row r="4707" customFormat="false" ht="15" hidden="false" customHeight="false" outlineLevel="0" collapsed="false">
      <c r="E4707" s="41" t="str">
        <f aca="false">IF(D4707="","",IFERROR(VLOOKUP(D4707,Assumptions!$G$5:$H$16,2,0),"Other"))</f>
        <v/>
      </c>
      <c r="J4707" s="41" t="str">
        <f aca="false">IF(G4707="","",IFERROR(IF(ISNUMBER(SEARCH(Assumptions!$C$5,G4707)),Assumptions!$D$5,IF(ISNUMBER(SEARCH(Assumptions!$C$6,G4707)),Assumptions!$D$6,IF(ISNUMBER(SEARCH(Assumptions!$C$7,G4707)),Assumptions!$D$7,"Other Services"))),"Other Services"))</f>
        <v/>
      </c>
    </row>
    <row r="4708" customFormat="false" ht="15" hidden="false" customHeight="false" outlineLevel="0" collapsed="false">
      <c r="E4708" s="41" t="str">
        <f aca="false">IF(D4708="","",IFERROR(VLOOKUP(D4708,Assumptions!$G$5:$H$16,2,0),"Other"))</f>
        <v/>
      </c>
      <c r="J4708" s="41" t="str">
        <f aca="false">IF(G4708="","",IFERROR(IF(ISNUMBER(SEARCH(Assumptions!$C$5,G4708)),Assumptions!$D$5,IF(ISNUMBER(SEARCH(Assumptions!$C$6,G4708)),Assumptions!$D$6,IF(ISNUMBER(SEARCH(Assumptions!$C$7,G4708)),Assumptions!$D$7,"Other Services"))),"Other Services"))</f>
        <v/>
      </c>
    </row>
    <row r="4709" customFormat="false" ht="15" hidden="false" customHeight="false" outlineLevel="0" collapsed="false">
      <c r="E4709" s="41" t="str">
        <f aca="false">IF(D4709="","",IFERROR(VLOOKUP(D4709,Assumptions!$G$5:$H$16,2,0),"Other"))</f>
        <v/>
      </c>
      <c r="J4709" s="41" t="str">
        <f aca="false">IF(G4709="","",IFERROR(IF(ISNUMBER(SEARCH(Assumptions!$C$5,G4709)),Assumptions!$D$5,IF(ISNUMBER(SEARCH(Assumptions!$C$6,G4709)),Assumptions!$D$6,IF(ISNUMBER(SEARCH(Assumptions!$C$7,G4709)),Assumptions!$D$7,"Other Services"))),"Other Services"))</f>
        <v/>
      </c>
    </row>
    <row r="4710" customFormat="false" ht="15" hidden="false" customHeight="false" outlineLevel="0" collapsed="false">
      <c r="E4710" s="41" t="str">
        <f aca="false">IF(D4710="","",IFERROR(VLOOKUP(D4710,Assumptions!$G$5:$H$16,2,0),"Other"))</f>
        <v/>
      </c>
      <c r="J4710" s="41" t="str">
        <f aca="false">IF(G4710="","",IFERROR(IF(ISNUMBER(SEARCH(Assumptions!$C$5,G4710)),Assumptions!$D$5,IF(ISNUMBER(SEARCH(Assumptions!$C$6,G4710)),Assumptions!$D$6,IF(ISNUMBER(SEARCH(Assumptions!$C$7,G4710)),Assumptions!$D$7,"Other Services"))),"Other Services"))</f>
        <v/>
      </c>
    </row>
    <row r="4711" customFormat="false" ht="15" hidden="false" customHeight="false" outlineLevel="0" collapsed="false">
      <c r="E4711" s="41" t="str">
        <f aca="false">IF(D4711="","",IFERROR(VLOOKUP(D4711,Assumptions!$G$5:$H$16,2,0),"Other"))</f>
        <v/>
      </c>
      <c r="J4711" s="41" t="str">
        <f aca="false">IF(G4711="","",IFERROR(IF(ISNUMBER(SEARCH(Assumptions!$C$5,G4711)),Assumptions!$D$5,IF(ISNUMBER(SEARCH(Assumptions!$C$6,G4711)),Assumptions!$D$6,IF(ISNUMBER(SEARCH(Assumptions!$C$7,G4711)),Assumptions!$D$7,"Other Services"))),"Other Services"))</f>
        <v/>
      </c>
    </row>
    <row r="4712" customFormat="false" ht="15" hidden="false" customHeight="false" outlineLevel="0" collapsed="false">
      <c r="E4712" s="41" t="str">
        <f aca="false">IF(D4712="","",IFERROR(VLOOKUP(D4712,Assumptions!$G$5:$H$16,2,0),"Other"))</f>
        <v/>
      </c>
      <c r="J4712" s="41" t="str">
        <f aca="false">IF(G4712="","",IFERROR(IF(ISNUMBER(SEARCH(Assumptions!$C$5,G4712)),Assumptions!$D$5,IF(ISNUMBER(SEARCH(Assumptions!$C$6,G4712)),Assumptions!$D$6,IF(ISNUMBER(SEARCH(Assumptions!$C$7,G4712)),Assumptions!$D$7,"Other Services"))),"Other Services"))</f>
        <v/>
      </c>
    </row>
    <row r="4713" customFormat="false" ht="15" hidden="false" customHeight="false" outlineLevel="0" collapsed="false">
      <c r="E4713" s="41" t="str">
        <f aca="false">IF(D4713="","",IFERROR(VLOOKUP(D4713,Assumptions!$G$5:$H$16,2,0),"Other"))</f>
        <v/>
      </c>
      <c r="J4713" s="41" t="str">
        <f aca="false">IF(G4713="","",IFERROR(IF(ISNUMBER(SEARCH(Assumptions!$C$5,G4713)),Assumptions!$D$5,IF(ISNUMBER(SEARCH(Assumptions!$C$6,G4713)),Assumptions!$D$6,IF(ISNUMBER(SEARCH(Assumptions!$C$7,G4713)),Assumptions!$D$7,"Other Services"))),"Other Services"))</f>
        <v/>
      </c>
    </row>
    <row r="4714" customFormat="false" ht="15" hidden="false" customHeight="false" outlineLevel="0" collapsed="false">
      <c r="E4714" s="41" t="str">
        <f aca="false">IF(D4714="","",IFERROR(VLOOKUP(D4714,Assumptions!$G$5:$H$16,2,0),"Other"))</f>
        <v/>
      </c>
      <c r="J4714" s="41" t="str">
        <f aca="false">IF(G4714="","",IFERROR(IF(ISNUMBER(SEARCH(Assumptions!$C$5,G4714)),Assumptions!$D$5,IF(ISNUMBER(SEARCH(Assumptions!$C$6,G4714)),Assumptions!$D$6,IF(ISNUMBER(SEARCH(Assumptions!$C$7,G4714)),Assumptions!$D$7,"Other Services"))),"Other Services"))</f>
        <v/>
      </c>
    </row>
    <row r="4715" customFormat="false" ht="15" hidden="false" customHeight="false" outlineLevel="0" collapsed="false">
      <c r="E4715" s="41" t="str">
        <f aca="false">IF(D4715="","",IFERROR(VLOOKUP(D4715,Assumptions!$G$5:$H$16,2,0),"Other"))</f>
        <v/>
      </c>
      <c r="J4715" s="41" t="str">
        <f aca="false">IF(G4715="","",IFERROR(IF(ISNUMBER(SEARCH(Assumptions!$C$5,G4715)),Assumptions!$D$5,IF(ISNUMBER(SEARCH(Assumptions!$C$6,G4715)),Assumptions!$D$6,IF(ISNUMBER(SEARCH(Assumptions!$C$7,G4715)),Assumptions!$D$7,"Other Services"))),"Other Services"))</f>
        <v/>
      </c>
    </row>
    <row r="4716" customFormat="false" ht="15" hidden="false" customHeight="false" outlineLevel="0" collapsed="false">
      <c r="E4716" s="41" t="str">
        <f aca="false">IF(D4716="","",IFERROR(VLOOKUP(D4716,Assumptions!$G$5:$H$16,2,0),"Other"))</f>
        <v/>
      </c>
      <c r="J4716" s="41" t="str">
        <f aca="false">IF(G4716="","",IFERROR(IF(ISNUMBER(SEARCH(Assumptions!$C$5,G4716)),Assumptions!$D$5,IF(ISNUMBER(SEARCH(Assumptions!$C$6,G4716)),Assumptions!$D$6,IF(ISNUMBER(SEARCH(Assumptions!$C$7,G4716)),Assumptions!$D$7,"Other Services"))),"Other Services"))</f>
        <v/>
      </c>
    </row>
    <row r="4717" customFormat="false" ht="15" hidden="false" customHeight="false" outlineLevel="0" collapsed="false">
      <c r="E4717" s="41" t="str">
        <f aca="false">IF(D4717="","",IFERROR(VLOOKUP(D4717,Assumptions!$G$5:$H$16,2,0),"Other"))</f>
        <v/>
      </c>
      <c r="J4717" s="41" t="str">
        <f aca="false">IF(G4717="","",IFERROR(IF(ISNUMBER(SEARCH(Assumptions!$C$5,G4717)),Assumptions!$D$5,IF(ISNUMBER(SEARCH(Assumptions!$C$6,G4717)),Assumptions!$D$6,IF(ISNUMBER(SEARCH(Assumptions!$C$7,G4717)),Assumptions!$D$7,"Other Services"))),"Other Services"))</f>
        <v/>
      </c>
    </row>
    <row r="4718" customFormat="false" ht="15" hidden="false" customHeight="false" outlineLevel="0" collapsed="false">
      <c r="E4718" s="41" t="str">
        <f aca="false">IF(D4718="","",IFERROR(VLOOKUP(D4718,Assumptions!$G$5:$H$16,2,0),"Other"))</f>
        <v/>
      </c>
      <c r="J4718" s="41" t="str">
        <f aca="false">IF(G4718="","",IFERROR(IF(ISNUMBER(SEARCH(Assumptions!$C$5,G4718)),Assumptions!$D$5,IF(ISNUMBER(SEARCH(Assumptions!$C$6,G4718)),Assumptions!$D$6,IF(ISNUMBER(SEARCH(Assumptions!$C$7,G4718)),Assumptions!$D$7,"Other Services"))),"Other Services"))</f>
        <v/>
      </c>
    </row>
    <row r="4719" customFormat="false" ht="15" hidden="false" customHeight="false" outlineLevel="0" collapsed="false">
      <c r="E4719" s="41" t="str">
        <f aca="false">IF(D4719="","",IFERROR(VLOOKUP(D4719,Assumptions!$G$5:$H$16,2,0),"Other"))</f>
        <v/>
      </c>
      <c r="J4719" s="41" t="str">
        <f aca="false">IF(G4719="","",IFERROR(IF(ISNUMBER(SEARCH(Assumptions!$C$5,G4719)),Assumptions!$D$5,IF(ISNUMBER(SEARCH(Assumptions!$C$6,G4719)),Assumptions!$D$6,IF(ISNUMBER(SEARCH(Assumptions!$C$7,G4719)),Assumptions!$D$7,"Other Services"))),"Other Services"))</f>
        <v/>
      </c>
    </row>
    <row r="4720" customFormat="false" ht="15" hidden="false" customHeight="false" outlineLevel="0" collapsed="false">
      <c r="E4720" s="41" t="str">
        <f aca="false">IF(D4720="","",IFERROR(VLOOKUP(D4720,Assumptions!$G$5:$H$16,2,0),"Other"))</f>
        <v/>
      </c>
      <c r="J4720" s="41" t="str">
        <f aca="false">IF(G4720="","",IFERROR(IF(ISNUMBER(SEARCH(Assumptions!$C$5,G4720)),Assumptions!$D$5,IF(ISNUMBER(SEARCH(Assumptions!$C$6,G4720)),Assumptions!$D$6,IF(ISNUMBER(SEARCH(Assumptions!$C$7,G4720)),Assumptions!$D$7,"Other Services"))),"Other Services"))</f>
        <v/>
      </c>
    </row>
    <row r="4721" customFormat="false" ht="15" hidden="false" customHeight="false" outlineLevel="0" collapsed="false">
      <c r="E4721" s="41" t="str">
        <f aca="false">IF(D4721="","",IFERROR(VLOOKUP(D4721,Assumptions!$G$5:$H$16,2,0),"Other"))</f>
        <v/>
      </c>
      <c r="J4721" s="41" t="str">
        <f aca="false">IF(G4721="","",IFERROR(IF(ISNUMBER(SEARCH(Assumptions!$C$5,G4721)),Assumptions!$D$5,IF(ISNUMBER(SEARCH(Assumptions!$C$6,G4721)),Assumptions!$D$6,IF(ISNUMBER(SEARCH(Assumptions!$C$7,G4721)),Assumptions!$D$7,"Other Services"))),"Other Services"))</f>
        <v/>
      </c>
    </row>
    <row r="4722" customFormat="false" ht="15" hidden="false" customHeight="false" outlineLevel="0" collapsed="false">
      <c r="E4722" s="41" t="str">
        <f aca="false">IF(D4722="","",IFERROR(VLOOKUP(D4722,Assumptions!$G$5:$H$16,2,0),"Other"))</f>
        <v/>
      </c>
      <c r="J4722" s="41" t="str">
        <f aca="false">IF(G4722="","",IFERROR(IF(ISNUMBER(SEARCH(Assumptions!$C$5,G4722)),Assumptions!$D$5,IF(ISNUMBER(SEARCH(Assumptions!$C$6,G4722)),Assumptions!$D$6,IF(ISNUMBER(SEARCH(Assumptions!$C$7,G4722)),Assumptions!$D$7,"Other Services"))),"Other Services"))</f>
        <v/>
      </c>
    </row>
    <row r="4723" customFormat="false" ht="15" hidden="false" customHeight="false" outlineLevel="0" collapsed="false">
      <c r="E4723" s="41" t="str">
        <f aca="false">IF(D4723="","",IFERROR(VLOOKUP(D4723,Assumptions!$G$5:$H$16,2,0),"Other"))</f>
        <v/>
      </c>
      <c r="J4723" s="41" t="str">
        <f aca="false">IF(G4723="","",IFERROR(IF(ISNUMBER(SEARCH(Assumptions!$C$5,G4723)),Assumptions!$D$5,IF(ISNUMBER(SEARCH(Assumptions!$C$6,G4723)),Assumptions!$D$6,IF(ISNUMBER(SEARCH(Assumptions!$C$7,G4723)),Assumptions!$D$7,"Other Services"))),"Other Services"))</f>
        <v/>
      </c>
    </row>
    <row r="4724" customFormat="false" ht="15" hidden="false" customHeight="false" outlineLevel="0" collapsed="false">
      <c r="E4724" s="41" t="str">
        <f aca="false">IF(D4724="","",IFERROR(VLOOKUP(D4724,Assumptions!$G$5:$H$16,2,0),"Other"))</f>
        <v/>
      </c>
      <c r="J4724" s="41" t="str">
        <f aca="false">IF(G4724="","",IFERROR(IF(ISNUMBER(SEARCH(Assumptions!$C$5,G4724)),Assumptions!$D$5,IF(ISNUMBER(SEARCH(Assumptions!$C$6,G4724)),Assumptions!$D$6,IF(ISNUMBER(SEARCH(Assumptions!$C$7,G4724)),Assumptions!$D$7,"Other Services"))),"Other Services"))</f>
        <v/>
      </c>
    </row>
    <row r="4725" customFormat="false" ht="15" hidden="false" customHeight="false" outlineLevel="0" collapsed="false">
      <c r="E4725" s="41" t="str">
        <f aca="false">IF(D4725="","",IFERROR(VLOOKUP(D4725,Assumptions!$G$5:$H$16,2,0),"Other"))</f>
        <v/>
      </c>
      <c r="J4725" s="41" t="str">
        <f aca="false">IF(G4725="","",IFERROR(IF(ISNUMBER(SEARCH(Assumptions!$C$5,G4725)),Assumptions!$D$5,IF(ISNUMBER(SEARCH(Assumptions!$C$6,G4725)),Assumptions!$D$6,IF(ISNUMBER(SEARCH(Assumptions!$C$7,G4725)),Assumptions!$D$7,"Other Services"))),"Other Services"))</f>
        <v/>
      </c>
    </row>
    <row r="4726" customFormat="false" ht="15" hidden="false" customHeight="false" outlineLevel="0" collapsed="false">
      <c r="E4726" s="41" t="str">
        <f aca="false">IF(D4726="","",IFERROR(VLOOKUP(D4726,Assumptions!$G$5:$H$16,2,0),"Other"))</f>
        <v/>
      </c>
      <c r="J4726" s="41" t="str">
        <f aca="false">IF(G4726="","",IFERROR(IF(ISNUMBER(SEARCH(Assumptions!$C$5,G4726)),Assumptions!$D$5,IF(ISNUMBER(SEARCH(Assumptions!$C$6,G4726)),Assumptions!$D$6,IF(ISNUMBER(SEARCH(Assumptions!$C$7,G4726)),Assumptions!$D$7,"Other Services"))),"Other Services"))</f>
        <v/>
      </c>
    </row>
    <row r="4727" customFormat="false" ht="15" hidden="false" customHeight="false" outlineLevel="0" collapsed="false">
      <c r="E4727" s="41" t="str">
        <f aca="false">IF(D4727="","",IFERROR(VLOOKUP(D4727,Assumptions!$G$5:$H$16,2,0),"Other"))</f>
        <v/>
      </c>
      <c r="J4727" s="41" t="str">
        <f aca="false">IF(G4727="","",IFERROR(IF(ISNUMBER(SEARCH(Assumptions!$C$5,G4727)),Assumptions!$D$5,IF(ISNUMBER(SEARCH(Assumptions!$C$6,G4727)),Assumptions!$D$6,IF(ISNUMBER(SEARCH(Assumptions!$C$7,G4727)),Assumptions!$D$7,"Other Services"))),"Other Services"))</f>
        <v/>
      </c>
    </row>
    <row r="4728" customFormat="false" ht="15" hidden="false" customHeight="false" outlineLevel="0" collapsed="false">
      <c r="E4728" s="41" t="str">
        <f aca="false">IF(D4728="","",IFERROR(VLOOKUP(D4728,Assumptions!$G$5:$H$16,2,0),"Other"))</f>
        <v/>
      </c>
      <c r="J4728" s="41" t="str">
        <f aca="false">IF(G4728="","",IFERROR(IF(ISNUMBER(SEARCH(Assumptions!$C$5,G4728)),Assumptions!$D$5,IF(ISNUMBER(SEARCH(Assumptions!$C$6,G4728)),Assumptions!$D$6,IF(ISNUMBER(SEARCH(Assumptions!$C$7,G4728)),Assumptions!$D$7,"Other Services"))),"Other Services"))</f>
        <v/>
      </c>
    </row>
    <row r="4729" customFormat="false" ht="15" hidden="false" customHeight="false" outlineLevel="0" collapsed="false">
      <c r="E4729" s="41" t="str">
        <f aca="false">IF(D4729="","",IFERROR(VLOOKUP(D4729,Assumptions!$G$5:$H$16,2,0),"Other"))</f>
        <v/>
      </c>
      <c r="J4729" s="41" t="str">
        <f aca="false">IF(G4729="","",IFERROR(IF(ISNUMBER(SEARCH(Assumptions!$C$5,G4729)),Assumptions!$D$5,IF(ISNUMBER(SEARCH(Assumptions!$C$6,G4729)),Assumptions!$D$6,IF(ISNUMBER(SEARCH(Assumptions!$C$7,G4729)),Assumptions!$D$7,"Other Services"))),"Other Services"))</f>
        <v/>
      </c>
    </row>
    <row r="4730" customFormat="false" ht="15" hidden="false" customHeight="false" outlineLevel="0" collapsed="false">
      <c r="E4730" s="41" t="str">
        <f aca="false">IF(D4730="","",IFERROR(VLOOKUP(D4730,Assumptions!$G$5:$H$16,2,0),"Other"))</f>
        <v/>
      </c>
      <c r="J4730" s="41" t="str">
        <f aca="false">IF(G4730="","",IFERROR(IF(ISNUMBER(SEARCH(Assumptions!$C$5,G4730)),Assumptions!$D$5,IF(ISNUMBER(SEARCH(Assumptions!$C$6,G4730)),Assumptions!$D$6,IF(ISNUMBER(SEARCH(Assumptions!$C$7,G4730)),Assumptions!$D$7,"Other Services"))),"Other Services"))</f>
        <v/>
      </c>
    </row>
    <row r="4731" customFormat="false" ht="15" hidden="false" customHeight="false" outlineLevel="0" collapsed="false">
      <c r="E4731" s="41" t="str">
        <f aca="false">IF(D4731="","",IFERROR(VLOOKUP(D4731,Assumptions!$G$5:$H$16,2,0),"Other"))</f>
        <v/>
      </c>
      <c r="J4731" s="41" t="str">
        <f aca="false">IF(G4731="","",IFERROR(IF(ISNUMBER(SEARCH(Assumptions!$C$5,G4731)),Assumptions!$D$5,IF(ISNUMBER(SEARCH(Assumptions!$C$6,G4731)),Assumptions!$D$6,IF(ISNUMBER(SEARCH(Assumptions!$C$7,G4731)),Assumptions!$D$7,"Other Services"))),"Other Services"))</f>
        <v/>
      </c>
    </row>
    <row r="4732" customFormat="false" ht="15" hidden="false" customHeight="false" outlineLevel="0" collapsed="false">
      <c r="E4732" s="41" t="str">
        <f aca="false">IF(D4732="","",IFERROR(VLOOKUP(D4732,Assumptions!$G$5:$H$16,2,0),"Other"))</f>
        <v/>
      </c>
      <c r="J4732" s="41" t="str">
        <f aca="false">IF(G4732="","",IFERROR(IF(ISNUMBER(SEARCH(Assumptions!$C$5,G4732)),Assumptions!$D$5,IF(ISNUMBER(SEARCH(Assumptions!$C$6,G4732)),Assumptions!$D$6,IF(ISNUMBER(SEARCH(Assumptions!$C$7,G4732)),Assumptions!$D$7,"Other Services"))),"Other Services"))</f>
        <v/>
      </c>
    </row>
    <row r="4733" customFormat="false" ht="15" hidden="false" customHeight="false" outlineLevel="0" collapsed="false">
      <c r="E4733" s="41" t="str">
        <f aca="false">IF(D4733="","",IFERROR(VLOOKUP(D4733,Assumptions!$G$5:$H$16,2,0),"Other"))</f>
        <v/>
      </c>
      <c r="J4733" s="41" t="str">
        <f aca="false">IF(G4733="","",IFERROR(IF(ISNUMBER(SEARCH(Assumptions!$C$5,G4733)),Assumptions!$D$5,IF(ISNUMBER(SEARCH(Assumptions!$C$6,G4733)),Assumptions!$D$6,IF(ISNUMBER(SEARCH(Assumptions!$C$7,G4733)),Assumptions!$D$7,"Other Services"))),"Other Services"))</f>
        <v/>
      </c>
    </row>
    <row r="4734" customFormat="false" ht="15" hidden="false" customHeight="false" outlineLevel="0" collapsed="false">
      <c r="E4734" s="41" t="str">
        <f aca="false">IF(D4734="","",IFERROR(VLOOKUP(D4734,Assumptions!$G$5:$H$16,2,0),"Other"))</f>
        <v/>
      </c>
      <c r="J4734" s="41" t="str">
        <f aca="false">IF(G4734="","",IFERROR(IF(ISNUMBER(SEARCH(Assumptions!$C$5,G4734)),Assumptions!$D$5,IF(ISNUMBER(SEARCH(Assumptions!$C$6,G4734)),Assumptions!$D$6,IF(ISNUMBER(SEARCH(Assumptions!$C$7,G4734)),Assumptions!$D$7,"Other Services"))),"Other Services"))</f>
        <v/>
      </c>
    </row>
    <row r="4735" customFormat="false" ht="15" hidden="false" customHeight="false" outlineLevel="0" collapsed="false">
      <c r="E4735" s="41" t="str">
        <f aca="false">IF(D4735="","",IFERROR(VLOOKUP(D4735,Assumptions!$G$5:$H$16,2,0),"Other"))</f>
        <v/>
      </c>
      <c r="J4735" s="41" t="str">
        <f aca="false">IF(G4735="","",IFERROR(IF(ISNUMBER(SEARCH(Assumptions!$C$5,G4735)),Assumptions!$D$5,IF(ISNUMBER(SEARCH(Assumptions!$C$6,G4735)),Assumptions!$D$6,IF(ISNUMBER(SEARCH(Assumptions!$C$7,G4735)),Assumptions!$D$7,"Other Services"))),"Other Services"))</f>
        <v/>
      </c>
    </row>
    <row r="4736" customFormat="false" ht="15" hidden="false" customHeight="false" outlineLevel="0" collapsed="false">
      <c r="E4736" s="41" t="str">
        <f aca="false">IF(D4736="","",IFERROR(VLOOKUP(D4736,Assumptions!$G$5:$H$16,2,0),"Other"))</f>
        <v/>
      </c>
      <c r="J4736" s="41" t="str">
        <f aca="false">IF(G4736="","",IFERROR(IF(ISNUMBER(SEARCH(Assumptions!$C$5,G4736)),Assumptions!$D$5,IF(ISNUMBER(SEARCH(Assumptions!$C$6,G4736)),Assumptions!$D$6,IF(ISNUMBER(SEARCH(Assumptions!$C$7,G4736)),Assumptions!$D$7,"Other Services"))),"Other Services"))</f>
        <v/>
      </c>
    </row>
    <row r="4737" customFormat="false" ht="15" hidden="false" customHeight="false" outlineLevel="0" collapsed="false">
      <c r="E4737" s="41" t="str">
        <f aca="false">IF(D4737="","",IFERROR(VLOOKUP(D4737,Assumptions!$G$5:$H$16,2,0),"Other"))</f>
        <v/>
      </c>
      <c r="J4737" s="41" t="str">
        <f aca="false">IF(G4737="","",IFERROR(IF(ISNUMBER(SEARCH(Assumptions!$C$5,G4737)),Assumptions!$D$5,IF(ISNUMBER(SEARCH(Assumptions!$C$6,G4737)),Assumptions!$D$6,IF(ISNUMBER(SEARCH(Assumptions!$C$7,G4737)),Assumptions!$D$7,"Other Services"))),"Other Services"))</f>
        <v/>
      </c>
    </row>
    <row r="4738" customFormat="false" ht="15" hidden="false" customHeight="false" outlineLevel="0" collapsed="false">
      <c r="E4738" s="41" t="str">
        <f aca="false">IF(D4738="","",IFERROR(VLOOKUP(D4738,Assumptions!$G$5:$H$16,2,0),"Other"))</f>
        <v/>
      </c>
      <c r="J4738" s="41" t="str">
        <f aca="false">IF(G4738="","",IFERROR(IF(ISNUMBER(SEARCH(Assumptions!$C$5,G4738)),Assumptions!$D$5,IF(ISNUMBER(SEARCH(Assumptions!$C$6,G4738)),Assumptions!$D$6,IF(ISNUMBER(SEARCH(Assumptions!$C$7,G4738)),Assumptions!$D$7,"Other Services"))),"Other Services"))</f>
        <v/>
      </c>
    </row>
    <row r="4739" customFormat="false" ht="15" hidden="false" customHeight="false" outlineLevel="0" collapsed="false">
      <c r="E4739" s="41" t="str">
        <f aca="false">IF(D4739="","",IFERROR(VLOOKUP(D4739,Assumptions!$G$5:$H$16,2,0),"Other"))</f>
        <v/>
      </c>
      <c r="J4739" s="41" t="str">
        <f aca="false">IF(G4739="","",IFERROR(IF(ISNUMBER(SEARCH(Assumptions!$C$5,G4739)),Assumptions!$D$5,IF(ISNUMBER(SEARCH(Assumptions!$C$6,G4739)),Assumptions!$D$6,IF(ISNUMBER(SEARCH(Assumptions!$C$7,G4739)),Assumptions!$D$7,"Other Services"))),"Other Services"))</f>
        <v/>
      </c>
    </row>
    <row r="4740" customFormat="false" ht="15" hidden="false" customHeight="false" outlineLevel="0" collapsed="false">
      <c r="E4740" s="41" t="str">
        <f aca="false">IF(D4740="","",IFERROR(VLOOKUP(D4740,Assumptions!$G$5:$H$16,2,0),"Other"))</f>
        <v/>
      </c>
      <c r="J4740" s="41" t="str">
        <f aca="false">IF(G4740="","",IFERROR(IF(ISNUMBER(SEARCH(Assumptions!$C$5,G4740)),Assumptions!$D$5,IF(ISNUMBER(SEARCH(Assumptions!$C$6,G4740)),Assumptions!$D$6,IF(ISNUMBER(SEARCH(Assumptions!$C$7,G4740)),Assumptions!$D$7,"Other Services"))),"Other Services"))</f>
        <v/>
      </c>
    </row>
    <row r="4741" customFormat="false" ht="15" hidden="false" customHeight="false" outlineLevel="0" collapsed="false">
      <c r="E4741" s="41" t="str">
        <f aca="false">IF(D4741="","",IFERROR(VLOOKUP(D4741,Assumptions!$G$5:$H$16,2,0),"Other"))</f>
        <v/>
      </c>
      <c r="J4741" s="41" t="str">
        <f aca="false">IF(G4741="","",IFERROR(IF(ISNUMBER(SEARCH(Assumptions!$C$5,G4741)),Assumptions!$D$5,IF(ISNUMBER(SEARCH(Assumptions!$C$6,G4741)),Assumptions!$D$6,IF(ISNUMBER(SEARCH(Assumptions!$C$7,G4741)),Assumptions!$D$7,"Other Services"))),"Other Services"))</f>
        <v/>
      </c>
    </row>
    <row r="4742" customFormat="false" ht="15" hidden="false" customHeight="false" outlineLevel="0" collapsed="false">
      <c r="E4742" s="41" t="str">
        <f aca="false">IF(D4742="","",IFERROR(VLOOKUP(D4742,Assumptions!$G$5:$H$16,2,0),"Other"))</f>
        <v/>
      </c>
      <c r="J4742" s="41" t="str">
        <f aca="false">IF(G4742="","",IFERROR(IF(ISNUMBER(SEARCH(Assumptions!$C$5,G4742)),Assumptions!$D$5,IF(ISNUMBER(SEARCH(Assumptions!$C$6,G4742)),Assumptions!$D$6,IF(ISNUMBER(SEARCH(Assumptions!$C$7,G4742)),Assumptions!$D$7,"Other Services"))),"Other Services"))</f>
        <v/>
      </c>
    </row>
    <row r="4743" customFormat="false" ht="15" hidden="false" customHeight="false" outlineLevel="0" collapsed="false">
      <c r="E4743" s="41" t="str">
        <f aca="false">IF(D4743="","",IFERROR(VLOOKUP(D4743,Assumptions!$G$5:$H$16,2,0),"Other"))</f>
        <v/>
      </c>
      <c r="J4743" s="41" t="str">
        <f aca="false">IF(G4743="","",IFERROR(IF(ISNUMBER(SEARCH(Assumptions!$C$5,G4743)),Assumptions!$D$5,IF(ISNUMBER(SEARCH(Assumptions!$C$6,G4743)),Assumptions!$D$6,IF(ISNUMBER(SEARCH(Assumptions!$C$7,G4743)),Assumptions!$D$7,"Other Services"))),"Other Services"))</f>
        <v/>
      </c>
    </row>
    <row r="4744" customFormat="false" ht="15" hidden="false" customHeight="false" outlineLevel="0" collapsed="false">
      <c r="E4744" s="41" t="str">
        <f aca="false">IF(D4744="","",IFERROR(VLOOKUP(D4744,Assumptions!$G$5:$H$16,2,0),"Other"))</f>
        <v/>
      </c>
      <c r="J4744" s="41" t="str">
        <f aca="false">IF(G4744="","",IFERROR(IF(ISNUMBER(SEARCH(Assumptions!$C$5,G4744)),Assumptions!$D$5,IF(ISNUMBER(SEARCH(Assumptions!$C$6,G4744)),Assumptions!$D$6,IF(ISNUMBER(SEARCH(Assumptions!$C$7,G4744)),Assumptions!$D$7,"Other Services"))),"Other Services"))</f>
        <v/>
      </c>
    </row>
    <row r="4745" customFormat="false" ht="15" hidden="false" customHeight="false" outlineLevel="0" collapsed="false">
      <c r="E4745" s="41" t="str">
        <f aca="false">IF(D4745="","",IFERROR(VLOOKUP(D4745,Assumptions!$G$5:$H$16,2,0),"Other"))</f>
        <v/>
      </c>
      <c r="J4745" s="41" t="str">
        <f aca="false">IF(G4745="","",IFERROR(IF(ISNUMBER(SEARCH(Assumptions!$C$5,G4745)),Assumptions!$D$5,IF(ISNUMBER(SEARCH(Assumptions!$C$6,G4745)),Assumptions!$D$6,IF(ISNUMBER(SEARCH(Assumptions!$C$7,G4745)),Assumptions!$D$7,"Other Services"))),"Other Services"))</f>
        <v/>
      </c>
    </row>
    <row r="4746" customFormat="false" ht="15" hidden="false" customHeight="false" outlineLevel="0" collapsed="false">
      <c r="E4746" s="41" t="str">
        <f aca="false">IF(D4746="","",IFERROR(VLOOKUP(D4746,Assumptions!$G$5:$H$16,2,0),"Other"))</f>
        <v/>
      </c>
      <c r="J4746" s="41" t="str">
        <f aca="false">IF(G4746="","",IFERROR(IF(ISNUMBER(SEARCH(Assumptions!$C$5,G4746)),Assumptions!$D$5,IF(ISNUMBER(SEARCH(Assumptions!$C$6,G4746)),Assumptions!$D$6,IF(ISNUMBER(SEARCH(Assumptions!$C$7,G4746)),Assumptions!$D$7,"Other Services"))),"Other Services"))</f>
        <v/>
      </c>
    </row>
    <row r="4747" customFormat="false" ht="15" hidden="false" customHeight="false" outlineLevel="0" collapsed="false">
      <c r="E4747" s="41" t="str">
        <f aca="false">IF(D4747="","",IFERROR(VLOOKUP(D4747,Assumptions!$G$5:$H$16,2,0),"Other"))</f>
        <v/>
      </c>
      <c r="J4747" s="41" t="str">
        <f aca="false">IF(G4747="","",IFERROR(IF(ISNUMBER(SEARCH(Assumptions!$C$5,G4747)),Assumptions!$D$5,IF(ISNUMBER(SEARCH(Assumptions!$C$6,G4747)),Assumptions!$D$6,IF(ISNUMBER(SEARCH(Assumptions!$C$7,G4747)),Assumptions!$D$7,"Other Services"))),"Other Services"))</f>
        <v/>
      </c>
    </row>
    <row r="4748" customFormat="false" ht="15" hidden="false" customHeight="false" outlineLevel="0" collapsed="false">
      <c r="E4748" s="41" t="str">
        <f aca="false">IF(D4748="","",IFERROR(VLOOKUP(D4748,Assumptions!$G$5:$H$16,2,0),"Other"))</f>
        <v/>
      </c>
      <c r="J4748" s="41" t="str">
        <f aca="false">IF(G4748="","",IFERROR(IF(ISNUMBER(SEARCH(Assumptions!$C$5,G4748)),Assumptions!$D$5,IF(ISNUMBER(SEARCH(Assumptions!$C$6,G4748)),Assumptions!$D$6,IF(ISNUMBER(SEARCH(Assumptions!$C$7,G4748)),Assumptions!$D$7,"Other Services"))),"Other Services"))</f>
        <v/>
      </c>
    </row>
    <row r="4749" customFormat="false" ht="15" hidden="false" customHeight="false" outlineLevel="0" collapsed="false">
      <c r="E4749" s="41" t="str">
        <f aca="false">IF(D4749="","",IFERROR(VLOOKUP(D4749,Assumptions!$G$5:$H$16,2,0),"Other"))</f>
        <v/>
      </c>
      <c r="J4749" s="41" t="str">
        <f aca="false">IF(G4749="","",IFERROR(IF(ISNUMBER(SEARCH(Assumptions!$C$5,G4749)),Assumptions!$D$5,IF(ISNUMBER(SEARCH(Assumptions!$C$6,G4749)),Assumptions!$D$6,IF(ISNUMBER(SEARCH(Assumptions!$C$7,G4749)),Assumptions!$D$7,"Other Services"))),"Other Services"))</f>
        <v/>
      </c>
    </row>
    <row r="4750" customFormat="false" ht="15" hidden="false" customHeight="false" outlineLevel="0" collapsed="false">
      <c r="E4750" s="41" t="str">
        <f aca="false">IF(D4750="","",IFERROR(VLOOKUP(D4750,Assumptions!$G$5:$H$16,2,0),"Other"))</f>
        <v/>
      </c>
      <c r="J4750" s="41" t="str">
        <f aca="false">IF(G4750="","",IFERROR(IF(ISNUMBER(SEARCH(Assumptions!$C$5,G4750)),Assumptions!$D$5,IF(ISNUMBER(SEARCH(Assumptions!$C$6,G4750)),Assumptions!$D$6,IF(ISNUMBER(SEARCH(Assumptions!$C$7,G4750)),Assumptions!$D$7,"Other Services"))),"Other Services"))</f>
        <v/>
      </c>
    </row>
    <row r="4751" customFormat="false" ht="15" hidden="false" customHeight="false" outlineLevel="0" collapsed="false">
      <c r="E4751" s="41" t="str">
        <f aca="false">IF(D4751="","",IFERROR(VLOOKUP(D4751,Assumptions!$G$5:$H$16,2,0),"Other"))</f>
        <v/>
      </c>
      <c r="J4751" s="41" t="str">
        <f aca="false">IF(G4751="","",IFERROR(IF(ISNUMBER(SEARCH(Assumptions!$C$5,G4751)),Assumptions!$D$5,IF(ISNUMBER(SEARCH(Assumptions!$C$6,G4751)),Assumptions!$D$6,IF(ISNUMBER(SEARCH(Assumptions!$C$7,G4751)),Assumptions!$D$7,"Other Services"))),"Other Services"))</f>
        <v/>
      </c>
    </row>
    <row r="4752" customFormat="false" ht="15" hidden="false" customHeight="false" outlineLevel="0" collapsed="false">
      <c r="E4752" s="41" t="str">
        <f aca="false">IF(D4752="","",IFERROR(VLOOKUP(D4752,Assumptions!$G$5:$H$16,2,0),"Other"))</f>
        <v/>
      </c>
      <c r="J4752" s="41" t="str">
        <f aca="false">IF(G4752="","",IFERROR(IF(ISNUMBER(SEARCH(Assumptions!$C$5,G4752)),Assumptions!$D$5,IF(ISNUMBER(SEARCH(Assumptions!$C$6,G4752)),Assumptions!$D$6,IF(ISNUMBER(SEARCH(Assumptions!$C$7,G4752)),Assumptions!$D$7,"Other Services"))),"Other Services"))</f>
        <v/>
      </c>
    </row>
    <row r="4753" customFormat="false" ht="15" hidden="false" customHeight="false" outlineLevel="0" collapsed="false">
      <c r="E4753" s="41" t="str">
        <f aca="false">IF(D4753="","",IFERROR(VLOOKUP(D4753,Assumptions!$G$5:$H$16,2,0),"Other"))</f>
        <v/>
      </c>
      <c r="J4753" s="41" t="str">
        <f aca="false">IF(G4753="","",IFERROR(IF(ISNUMBER(SEARCH(Assumptions!$C$5,G4753)),Assumptions!$D$5,IF(ISNUMBER(SEARCH(Assumptions!$C$6,G4753)),Assumptions!$D$6,IF(ISNUMBER(SEARCH(Assumptions!$C$7,G4753)),Assumptions!$D$7,"Other Services"))),"Other Services"))</f>
        <v/>
      </c>
    </row>
    <row r="4754" customFormat="false" ht="15" hidden="false" customHeight="false" outlineLevel="0" collapsed="false">
      <c r="E4754" s="41" t="str">
        <f aca="false">IF(D4754="","",IFERROR(VLOOKUP(D4754,Assumptions!$G$5:$H$16,2,0),"Other"))</f>
        <v/>
      </c>
      <c r="J4754" s="41" t="str">
        <f aca="false">IF(G4754="","",IFERROR(IF(ISNUMBER(SEARCH(Assumptions!$C$5,G4754)),Assumptions!$D$5,IF(ISNUMBER(SEARCH(Assumptions!$C$6,G4754)),Assumptions!$D$6,IF(ISNUMBER(SEARCH(Assumptions!$C$7,G4754)),Assumptions!$D$7,"Other Services"))),"Other Services"))</f>
        <v/>
      </c>
    </row>
    <row r="4755" customFormat="false" ht="15" hidden="false" customHeight="false" outlineLevel="0" collapsed="false">
      <c r="E4755" s="41" t="str">
        <f aca="false">IF(D4755="","",IFERROR(VLOOKUP(D4755,Assumptions!$G$5:$H$16,2,0),"Other"))</f>
        <v/>
      </c>
      <c r="J4755" s="41" t="str">
        <f aca="false">IF(G4755="","",IFERROR(IF(ISNUMBER(SEARCH(Assumptions!$C$5,G4755)),Assumptions!$D$5,IF(ISNUMBER(SEARCH(Assumptions!$C$6,G4755)),Assumptions!$D$6,IF(ISNUMBER(SEARCH(Assumptions!$C$7,G4755)),Assumptions!$D$7,"Other Services"))),"Other Services"))</f>
        <v/>
      </c>
    </row>
    <row r="4756" customFormat="false" ht="15" hidden="false" customHeight="false" outlineLevel="0" collapsed="false">
      <c r="E4756" s="41" t="str">
        <f aca="false">IF(D4756="","",IFERROR(VLOOKUP(D4756,Assumptions!$G$5:$H$16,2,0),"Other"))</f>
        <v/>
      </c>
      <c r="J4756" s="41" t="str">
        <f aca="false">IF(G4756="","",IFERROR(IF(ISNUMBER(SEARCH(Assumptions!$C$5,G4756)),Assumptions!$D$5,IF(ISNUMBER(SEARCH(Assumptions!$C$6,G4756)),Assumptions!$D$6,IF(ISNUMBER(SEARCH(Assumptions!$C$7,G4756)),Assumptions!$D$7,"Other Services"))),"Other Services"))</f>
        <v/>
      </c>
    </row>
    <row r="4757" customFormat="false" ht="15" hidden="false" customHeight="false" outlineLevel="0" collapsed="false">
      <c r="E4757" s="41" t="str">
        <f aca="false">IF(D4757="","",IFERROR(VLOOKUP(D4757,Assumptions!$G$5:$H$16,2,0),"Other"))</f>
        <v/>
      </c>
      <c r="J4757" s="41" t="str">
        <f aca="false">IF(G4757="","",IFERROR(IF(ISNUMBER(SEARCH(Assumptions!$C$5,G4757)),Assumptions!$D$5,IF(ISNUMBER(SEARCH(Assumptions!$C$6,G4757)),Assumptions!$D$6,IF(ISNUMBER(SEARCH(Assumptions!$C$7,G4757)),Assumptions!$D$7,"Other Services"))),"Other Services"))</f>
        <v/>
      </c>
    </row>
    <row r="4758" customFormat="false" ht="15" hidden="false" customHeight="false" outlineLevel="0" collapsed="false">
      <c r="E4758" s="41" t="str">
        <f aca="false">IF(D4758="","",IFERROR(VLOOKUP(D4758,Assumptions!$G$5:$H$16,2,0),"Other"))</f>
        <v/>
      </c>
      <c r="J4758" s="41" t="str">
        <f aca="false">IF(G4758="","",IFERROR(IF(ISNUMBER(SEARCH(Assumptions!$C$5,G4758)),Assumptions!$D$5,IF(ISNUMBER(SEARCH(Assumptions!$C$6,G4758)),Assumptions!$D$6,IF(ISNUMBER(SEARCH(Assumptions!$C$7,G4758)),Assumptions!$D$7,"Other Services"))),"Other Services"))</f>
        <v/>
      </c>
    </row>
    <row r="4759" customFormat="false" ht="15" hidden="false" customHeight="false" outlineLevel="0" collapsed="false">
      <c r="E4759" s="41" t="str">
        <f aca="false">IF(D4759="","",IFERROR(VLOOKUP(D4759,Assumptions!$G$5:$H$16,2,0),"Other"))</f>
        <v/>
      </c>
      <c r="J4759" s="41" t="str">
        <f aca="false">IF(G4759="","",IFERROR(IF(ISNUMBER(SEARCH(Assumptions!$C$5,G4759)),Assumptions!$D$5,IF(ISNUMBER(SEARCH(Assumptions!$C$6,G4759)),Assumptions!$D$6,IF(ISNUMBER(SEARCH(Assumptions!$C$7,G4759)),Assumptions!$D$7,"Other Services"))),"Other Services"))</f>
        <v/>
      </c>
    </row>
    <row r="4760" customFormat="false" ht="15" hidden="false" customHeight="false" outlineLevel="0" collapsed="false">
      <c r="E4760" s="41" t="str">
        <f aca="false">IF(D4760="","",IFERROR(VLOOKUP(D4760,Assumptions!$G$5:$H$16,2,0),"Other"))</f>
        <v/>
      </c>
      <c r="J4760" s="41" t="str">
        <f aca="false">IF(G4760="","",IFERROR(IF(ISNUMBER(SEARCH(Assumptions!$C$5,G4760)),Assumptions!$D$5,IF(ISNUMBER(SEARCH(Assumptions!$C$6,G4760)),Assumptions!$D$6,IF(ISNUMBER(SEARCH(Assumptions!$C$7,G4760)),Assumptions!$D$7,"Other Services"))),"Other Services"))</f>
        <v/>
      </c>
    </row>
    <row r="4761" customFormat="false" ht="15" hidden="false" customHeight="false" outlineLevel="0" collapsed="false">
      <c r="E4761" s="41" t="str">
        <f aca="false">IF(D4761="","",IFERROR(VLOOKUP(D4761,Assumptions!$G$5:$H$16,2,0),"Other"))</f>
        <v/>
      </c>
      <c r="J4761" s="41" t="str">
        <f aca="false">IF(G4761="","",IFERROR(IF(ISNUMBER(SEARCH(Assumptions!$C$5,G4761)),Assumptions!$D$5,IF(ISNUMBER(SEARCH(Assumptions!$C$6,G4761)),Assumptions!$D$6,IF(ISNUMBER(SEARCH(Assumptions!$C$7,G4761)),Assumptions!$D$7,"Other Services"))),"Other Services"))</f>
        <v/>
      </c>
    </row>
    <row r="4762" customFormat="false" ht="15" hidden="false" customHeight="false" outlineLevel="0" collapsed="false">
      <c r="E4762" s="41" t="str">
        <f aca="false">IF(D4762="","",IFERROR(VLOOKUP(D4762,Assumptions!$G$5:$H$16,2,0),"Other"))</f>
        <v/>
      </c>
      <c r="J4762" s="41" t="str">
        <f aca="false">IF(G4762="","",IFERROR(IF(ISNUMBER(SEARCH(Assumptions!$C$5,G4762)),Assumptions!$D$5,IF(ISNUMBER(SEARCH(Assumptions!$C$6,G4762)),Assumptions!$D$6,IF(ISNUMBER(SEARCH(Assumptions!$C$7,G4762)),Assumptions!$D$7,"Other Services"))),"Other Services"))</f>
        <v/>
      </c>
    </row>
    <row r="4763" customFormat="false" ht="15" hidden="false" customHeight="false" outlineLevel="0" collapsed="false">
      <c r="E4763" s="41" t="str">
        <f aca="false">IF(D4763="","",IFERROR(VLOOKUP(D4763,Assumptions!$G$5:$H$16,2,0),"Other"))</f>
        <v/>
      </c>
      <c r="J4763" s="41" t="str">
        <f aca="false">IF(G4763="","",IFERROR(IF(ISNUMBER(SEARCH(Assumptions!$C$5,G4763)),Assumptions!$D$5,IF(ISNUMBER(SEARCH(Assumptions!$C$6,G4763)),Assumptions!$D$6,IF(ISNUMBER(SEARCH(Assumptions!$C$7,G4763)),Assumptions!$D$7,"Other Services"))),"Other Services"))</f>
        <v/>
      </c>
    </row>
    <row r="4764" customFormat="false" ht="15" hidden="false" customHeight="false" outlineLevel="0" collapsed="false">
      <c r="E4764" s="41" t="str">
        <f aca="false">IF(D4764="","",IFERROR(VLOOKUP(D4764,Assumptions!$G$5:$H$16,2,0),"Other"))</f>
        <v/>
      </c>
      <c r="J4764" s="41" t="str">
        <f aca="false">IF(G4764="","",IFERROR(IF(ISNUMBER(SEARCH(Assumptions!$C$5,G4764)),Assumptions!$D$5,IF(ISNUMBER(SEARCH(Assumptions!$C$6,G4764)),Assumptions!$D$6,IF(ISNUMBER(SEARCH(Assumptions!$C$7,G4764)),Assumptions!$D$7,"Other Services"))),"Other Services"))</f>
        <v/>
      </c>
    </row>
    <row r="4765" customFormat="false" ht="15" hidden="false" customHeight="false" outlineLevel="0" collapsed="false">
      <c r="E4765" s="41" t="str">
        <f aca="false">IF(D4765="","",IFERROR(VLOOKUP(D4765,Assumptions!$G$5:$H$16,2,0),"Other"))</f>
        <v/>
      </c>
      <c r="J4765" s="41" t="str">
        <f aca="false">IF(G4765="","",IFERROR(IF(ISNUMBER(SEARCH(Assumptions!$C$5,G4765)),Assumptions!$D$5,IF(ISNUMBER(SEARCH(Assumptions!$C$6,G4765)),Assumptions!$D$6,IF(ISNUMBER(SEARCH(Assumptions!$C$7,G4765)),Assumptions!$D$7,"Other Services"))),"Other Services"))</f>
        <v/>
      </c>
    </row>
    <row r="4766" customFormat="false" ht="15" hidden="false" customHeight="false" outlineLevel="0" collapsed="false">
      <c r="E4766" s="41" t="str">
        <f aca="false">IF(D4766="","",IFERROR(VLOOKUP(D4766,Assumptions!$G$5:$H$16,2,0),"Other"))</f>
        <v/>
      </c>
      <c r="J4766" s="41" t="str">
        <f aca="false">IF(G4766="","",IFERROR(IF(ISNUMBER(SEARCH(Assumptions!$C$5,G4766)),Assumptions!$D$5,IF(ISNUMBER(SEARCH(Assumptions!$C$6,G4766)),Assumptions!$D$6,IF(ISNUMBER(SEARCH(Assumptions!$C$7,G4766)),Assumptions!$D$7,"Other Services"))),"Other Services"))</f>
        <v/>
      </c>
    </row>
    <row r="4767" customFormat="false" ht="15" hidden="false" customHeight="false" outlineLevel="0" collapsed="false">
      <c r="E4767" s="41" t="str">
        <f aca="false">IF(D4767="","",IFERROR(VLOOKUP(D4767,Assumptions!$G$5:$H$16,2,0),"Other"))</f>
        <v/>
      </c>
      <c r="J4767" s="41" t="str">
        <f aca="false">IF(G4767="","",IFERROR(IF(ISNUMBER(SEARCH(Assumptions!$C$5,G4767)),Assumptions!$D$5,IF(ISNUMBER(SEARCH(Assumptions!$C$6,G4767)),Assumptions!$D$6,IF(ISNUMBER(SEARCH(Assumptions!$C$7,G4767)),Assumptions!$D$7,"Other Services"))),"Other Services"))</f>
        <v/>
      </c>
    </row>
    <row r="4768" customFormat="false" ht="15" hidden="false" customHeight="false" outlineLevel="0" collapsed="false">
      <c r="E4768" s="41" t="str">
        <f aca="false">IF(D4768="","",IFERROR(VLOOKUP(D4768,Assumptions!$G$5:$H$16,2,0),"Other"))</f>
        <v/>
      </c>
      <c r="J4768" s="41" t="str">
        <f aca="false">IF(G4768="","",IFERROR(IF(ISNUMBER(SEARCH(Assumptions!$C$5,G4768)),Assumptions!$D$5,IF(ISNUMBER(SEARCH(Assumptions!$C$6,G4768)),Assumptions!$D$6,IF(ISNUMBER(SEARCH(Assumptions!$C$7,G4768)),Assumptions!$D$7,"Other Services"))),"Other Services"))</f>
        <v/>
      </c>
    </row>
    <row r="4769" customFormat="false" ht="15" hidden="false" customHeight="false" outlineLevel="0" collapsed="false">
      <c r="E4769" s="41" t="str">
        <f aca="false">IF(D4769="","",IFERROR(VLOOKUP(D4769,Assumptions!$G$5:$H$16,2,0),"Other"))</f>
        <v/>
      </c>
      <c r="J4769" s="41" t="str">
        <f aca="false">IF(G4769="","",IFERROR(IF(ISNUMBER(SEARCH(Assumptions!$C$5,G4769)),Assumptions!$D$5,IF(ISNUMBER(SEARCH(Assumptions!$C$6,G4769)),Assumptions!$D$6,IF(ISNUMBER(SEARCH(Assumptions!$C$7,G4769)),Assumptions!$D$7,"Other Services"))),"Other Services"))</f>
        <v/>
      </c>
    </row>
    <row r="4770" customFormat="false" ht="15" hidden="false" customHeight="false" outlineLevel="0" collapsed="false">
      <c r="E4770" s="41" t="str">
        <f aca="false">IF(D4770="","",IFERROR(VLOOKUP(D4770,Assumptions!$G$5:$H$16,2,0),"Other"))</f>
        <v/>
      </c>
      <c r="J4770" s="41" t="str">
        <f aca="false">IF(G4770="","",IFERROR(IF(ISNUMBER(SEARCH(Assumptions!$C$5,G4770)),Assumptions!$D$5,IF(ISNUMBER(SEARCH(Assumptions!$C$6,G4770)),Assumptions!$D$6,IF(ISNUMBER(SEARCH(Assumptions!$C$7,G4770)),Assumptions!$D$7,"Other Services"))),"Other Services"))</f>
        <v/>
      </c>
    </row>
    <row r="4771" customFormat="false" ht="15" hidden="false" customHeight="false" outlineLevel="0" collapsed="false">
      <c r="E4771" s="41" t="str">
        <f aca="false">IF(D4771="","",IFERROR(VLOOKUP(D4771,Assumptions!$G$5:$H$16,2,0),"Other"))</f>
        <v/>
      </c>
      <c r="J4771" s="41" t="str">
        <f aca="false">IF(G4771="","",IFERROR(IF(ISNUMBER(SEARCH(Assumptions!$C$5,G4771)),Assumptions!$D$5,IF(ISNUMBER(SEARCH(Assumptions!$C$6,G4771)),Assumptions!$D$6,IF(ISNUMBER(SEARCH(Assumptions!$C$7,G4771)),Assumptions!$D$7,"Other Services"))),"Other Services"))</f>
        <v/>
      </c>
    </row>
    <row r="4772" customFormat="false" ht="15" hidden="false" customHeight="false" outlineLevel="0" collapsed="false">
      <c r="E4772" s="41" t="str">
        <f aca="false">IF(D4772="","",IFERROR(VLOOKUP(D4772,Assumptions!$G$5:$H$16,2,0),"Other"))</f>
        <v/>
      </c>
      <c r="J4772" s="41" t="str">
        <f aca="false">IF(G4772="","",IFERROR(IF(ISNUMBER(SEARCH(Assumptions!$C$5,G4772)),Assumptions!$D$5,IF(ISNUMBER(SEARCH(Assumptions!$C$6,G4772)),Assumptions!$D$6,IF(ISNUMBER(SEARCH(Assumptions!$C$7,G4772)),Assumptions!$D$7,"Other Services"))),"Other Services"))</f>
        <v/>
      </c>
    </row>
    <row r="4773" customFormat="false" ht="15" hidden="false" customHeight="false" outlineLevel="0" collapsed="false">
      <c r="E4773" s="41" t="str">
        <f aca="false">IF(D4773="","",IFERROR(VLOOKUP(D4773,Assumptions!$G$5:$H$16,2,0),"Other"))</f>
        <v/>
      </c>
      <c r="J4773" s="41" t="str">
        <f aca="false">IF(G4773="","",IFERROR(IF(ISNUMBER(SEARCH(Assumptions!$C$5,G4773)),Assumptions!$D$5,IF(ISNUMBER(SEARCH(Assumptions!$C$6,G4773)),Assumptions!$D$6,IF(ISNUMBER(SEARCH(Assumptions!$C$7,G4773)),Assumptions!$D$7,"Other Services"))),"Other Services"))</f>
        <v/>
      </c>
    </row>
    <row r="4774" customFormat="false" ht="15" hidden="false" customHeight="false" outlineLevel="0" collapsed="false">
      <c r="E4774" s="41" t="str">
        <f aca="false">IF(D4774="","",IFERROR(VLOOKUP(D4774,Assumptions!$G$5:$H$16,2,0),"Other"))</f>
        <v/>
      </c>
      <c r="J4774" s="41" t="str">
        <f aca="false">IF(G4774="","",IFERROR(IF(ISNUMBER(SEARCH(Assumptions!$C$5,G4774)),Assumptions!$D$5,IF(ISNUMBER(SEARCH(Assumptions!$C$6,G4774)),Assumptions!$D$6,IF(ISNUMBER(SEARCH(Assumptions!$C$7,G4774)),Assumptions!$D$7,"Other Services"))),"Other Services"))</f>
        <v/>
      </c>
    </row>
    <row r="4775" customFormat="false" ht="15" hidden="false" customHeight="false" outlineLevel="0" collapsed="false">
      <c r="E4775" s="41" t="str">
        <f aca="false">IF(D4775="","",IFERROR(VLOOKUP(D4775,Assumptions!$G$5:$H$16,2,0),"Other"))</f>
        <v/>
      </c>
      <c r="J4775" s="41" t="str">
        <f aca="false">IF(G4775="","",IFERROR(IF(ISNUMBER(SEARCH(Assumptions!$C$5,G4775)),Assumptions!$D$5,IF(ISNUMBER(SEARCH(Assumptions!$C$6,G4775)),Assumptions!$D$6,IF(ISNUMBER(SEARCH(Assumptions!$C$7,G4775)),Assumptions!$D$7,"Other Services"))),"Other Services"))</f>
        <v/>
      </c>
    </row>
    <row r="4776" customFormat="false" ht="15" hidden="false" customHeight="false" outlineLevel="0" collapsed="false">
      <c r="E4776" s="41" t="str">
        <f aca="false">IF(D4776="","",IFERROR(VLOOKUP(D4776,Assumptions!$G$5:$H$16,2,0),"Other"))</f>
        <v/>
      </c>
      <c r="J4776" s="41" t="str">
        <f aca="false">IF(G4776="","",IFERROR(IF(ISNUMBER(SEARCH(Assumptions!$C$5,G4776)),Assumptions!$D$5,IF(ISNUMBER(SEARCH(Assumptions!$C$6,G4776)),Assumptions!$D$6,IF(ISNUMBER(SEARCH(Assumptions!$C$7,G4776)),Assumptions!$D$7,"Other Services"))),"Other Services"))</f>
        <v/>
      </c>
    </row>
    <row r="4777" customFormat="false" ht="15" hidden="false" customHeight="false" outlineLevel="0" collapsed="false">
      <c r="E4777" s="41" t="str">
        <f aca="false">IF(D4777="","",IFERROR(VLOOKUP(D4777,Assumptions!$G$5:$H$16,2,0),"Other"))</f>
        <v/>
      </c>
      <c r="J4777" s="41" t="str">
        <f aca="false">IF(G4777="","",IFERROR(IF(ISNUMBER(SEARCH(Assumptions!$C$5,G4777)),Assumptions!$D$5,IF(ISNUMBER(SEARCH(Assumptions!$C$6,G4777)),Assumptions!$D$6,IF(ISNUMBER(SEARCH(Assumptions!$C$7,G4777)),Assumptions!$D$7,"Other Services"))),"Other Services"))</f>
        <v/>
      </c>
    </row>
    <row r="4778" customFormat="false" ht="15" hidden="false" customHeight="false" outlineLevel="0" collapsed="false">
      <c r="E4778" s="41" t="str">
        <f aca="false">IF(D4778="","",IFERROR(VLOOKUP(D4778,Assumptions!$G$5:$H$16,2,0),"Other"))</f>
        <v/>
      </c>
      <c r="J4778" s="41" t="str">
        <f aca="false">IF(G4778="","",IFERROR(IF(ISNUMBER(SEARCH(Assumptions!$C$5,G4778)),Assumptions!$D$5,IF(ISNUMBER(SEARCH(Assumptions!$C$6,G4778)),Assumptions!$D$6,IF(ISNUMBER(SEARCH(Assumptions!$C$7,G4778)),Assumptions!$D$7,"Other Services"))),"Other Services"))</f>
        <v/>
      </c>
    </row>
    <row r="4779" customFormat="false" ht="15" hidden="false" customHeight="false" outlineLevel="0" collapsed="false">
      <c r="E4779" s="41" t="str">
        <f aca="false">IF(D4779="","",IFERROR(VLOOKUP(D4779,Assumptions!$G$5:$H$16,2,0),"Other"))</f>
        <v/>
      </c>
      <c r="J4779" s="41" t="str">
        <f aca="false">IF(G4779="","",IFERROR(IF(ISNUMBER(SEARCH(Assumptions!$C$5,G4779)),Assumptions!$D$5,IF(ISNUMBER(SEARCH(Assumptions!$C$6,G4779)),Assumptions!$D$6,IF(ISNUMBER(SEARCH(Assumptions!$C$7,G4779)),Assumptions!$D$7,"Other Services"))),"Other Services"))</f>
        <v/>
      </c>
    </row>
    <row r="4780" customFormat="false" ht="15" hidden="false" customHeight="false" outlineLevel="0" collapsed="false">
      <c r="E4780" s="41" t="str">
        <f aca="false">IF(D4780="","",IFERROR(VLOOKUP(D4780,Assumptions!$G$5:$H$16,2,0),"Other"))</f>
        <v/>
      </c>
      <c r="J4780" s="41" t="str">
        <f aca="false">IF(G4780="","",IFERROR(IF(ISNUMBER(SEARCH(Assumptions!$C$5,G4780)),Assumptions!$D$5,IF(ISNUMBER(SEARCH(Assumptions!$C$6,G4780)),Assumptions!$D$6,IF(ISNUMBER(SEARCH(Assumptions!$C$7,G4780)),Assumptions!$D$7,"Other Services"))),"Other Services"))</f>
        <v/>
      </c>
    </row>
    <row r="4781" customFormat="false" ht="15" hidden="false" customHeight="false" outlineLevel="0" collapsed="false">
      <c r="E4781" s="41" t="str">
        <f aca="false">IF(D4781="","",IFERROR(VLOOKUP(D4781,Assumptions!$G$5:$H$16,2,0),"Other"))</f>
        <v/>
      </c>
      <c r="J4781" s="41" t="str">
        <f aca="false">IF(G4781="","",IFERROR(IF(ISNUMBER(SEARCH(Assumptions!$C$5,G4781)),Assumptions!$D$5,IF(ISNUMBER(SEARCH(Assumptions!$C$6,G4781)),Assumptions!$D$6,IF(ISNUMBER(SEARCH(Assumptions!$C$7,G4781)),Assumptions!$D$7,"Other Services"))),"Other Services"))</f>
        <v/>
      </c>
    </row>
    <row r="4782" customFormat="false" ht="15" hidden="false" customHeight="false" outlineLevel="0" collapsed="false">
      <c r="E4782" s="41" t="str">
        <f aca="false">IF(D4782="","",IFERROR(VLOOKUP(D4782,Assumptions!$G$5:$H$16,2,0),"Other"))</f>
        <v/>
      </c>
      <c r="J4782" s="41" t="str">
        <f aca="false">IF(G4782="","",IFERROR(IF(ISNUMBER(SEARCH(Assumptions!$C$5,G4782)),Assumptions!$D$5,IF(ISNUMBER(SEARCH(Assumptions!$C$6,G4782)),Assumptions!$D$6,IF(ISNUMBER(SEARCH(Assumptions!$C$7,G4782)),Assumptions!$D$7,"Other Services"))),"Other Services"))</f>
        <v/>
      </c>
    </row>
    <row r="4783" customFormat="false" ht="15" hidden="false" customHeight="false" outlineLevel="0" collapsed="false">
      <c r="E4783" s="41" t="str">
        <f aca="false">IF(D4783="","",IFERROR(VLOOKUP(D4783,Assumptions!$G$5:$H$16,2,0),"Other"))</f>
        <v/>
      </c>
      <c r="J4783" s="41" t="str">
        <f aca="false">IF(G4783="","",IFERROR(IF(ISNUMBER(SEARCH(Assumptions!$C$5,G4783)),Assumptions!$D$5,IF(ISNUMBER(SEARCH(Assumptions!$C$6,G4783)),Assumptions!$D$6,IF(ISNUMBER(SEARCH(Assumptions!$C$7,G4783)),Assumptions!$D$7,"Other Services"))),"Other Services"))</f>
        <v/>
      </c>
    </row>
    <row r="4784" customFormat="false" ht="15" hidden="false" customHeight="false" outlineLevel="0" collapsed="false">
      <c r="E4784" s="41" t="str">
        <f aca="false">IF(D4784="","",IFERROR(VLOOKUP(D4784,Assumptions!$G$5:$H$16,2,0),"Other"))</f>
        <v/>
      </c>
      <c r="J4784" s="41" t="str">
        <f aca="false">IF(G4784="","",IFERROR(IF(ISNUMBER(SEARCH(Assumptions!$C$5,G4784)),Assumptions!$D$5,IF(ISNUMBER(SEARCH(Assumptions!$C$6,G4784)),Assumptions!$D$6,IF(ISNUMBER(SEARCH(Assumptions!$C$7,G4784)),Assumptions!$D$7,"Other Services"))),"Other Services"))</f>
        <v/>
      </c>
    </row>
    <row r="4785" customFormat="false" ht="15" hidden="false" customHeight="false" outlineLevel="0" collapsed="false">
      <c r="E4785" s="41" t="str">
        <f aca="false">IF(D4785="","",IFERROR(VLOOKUP(D4785,Assumptions!$G$5:$H$16,2,0),"Other"))</f>
        <v/>
      </c>
      <c r="J4785" s="41" t="str">
        <f aca="false">IF(G4785="","",IFERROR(IF(ISNUMBER(SEARCH(Assumptions!$C$5,G4785)),Assumptions!$D$5,IF(ISNUMBER(SEARCH(Assumptions!$C$6,G4785)),Assumptions!$D$6,IF(ISNUMBER(SEARCH(Assumptions!$C$7,G4785)),Assumptions!$D$7,"Other Services"))),"Other Services"))</f>
        <v/>
      </c>
    </row>
    <row r="4786" customFormat="false" ht="15" hidden="false" customHeight="false" outlineLevel="0" collapsed="false">
      <c r="E4786" s="41" t="str">
        <f aca="false">IF(D4786="","",IFERROR(VLOOKUP(D4786,Assumptions!$G$5:$H$16,2,0),"Other"))</f>
        <v/>
      </c>
      <c r="J4786" s="41" t="str">
        <f aca="false">IF(G4786="","",IFERROR(IF(ISNUMBER(SEARCH(Assumptions!$C$5,G4786)),Assumptions!$D$5,IF(ISNUMBER(SEARCH(Assumptions!$C$6,G4786)),Assumptions!$D$6,IF(ISNUMBER(SEARCH(Assumptions!$C$7,G4786)),Assumptions!$D$7,"Other Services"))),"Other Services"))</f>
        <v/>
      </c>
    </row>
    <row r="4787" customFormat="false" ht="15" hidden="false" customHeight="false" outlineLevel="0" collapsed="false">
      <c r="E4787" s="41" t="str">
        <f aca="false">IF(D4787="","",IFERROR(VLOOKUP(D4787,Assumptions!$G$5:$H$16,2,0),"Other"))</f>
        <v/>
      </c>
      <c r="J4787" s="41" t="str">
        <f aca="false">IF(G4787="","",IFERROR(IF(ISNUMBER(SEARCH(Assumptions!$C$5,G4787)),Assumptions!$D$5,IF(ISNUMBER(SEARCH(Assumptions!$C$6,G4787)),Assumptions!$D$6,IF(ISNUMBER(SEARCH(Assumptions!$C$7,G4787)),Assumptions!$D$7,"Other Services"))),"Other Services"))</f>
        <v/>
      </c>
    </row>
    <row r="4788" customFormat="false" ht="15" hidden="false" customHeight="false" outlineLevel="0" collapsed="false">
      <c r="E4788" s="41" t="str">
        <f aca="false">IF(D4788="","",IFERROR(VLOOKUP(D4788,Assumptions!$G$5:$H$16,2,0),"Other"))</f>
        <v/>
      </c>
      <c r="J4788" s="41" t="str">
        <f aca="false">IF(G4788="","",IFERROR(IF(ISNUMBER(SEARCH(Assumptions!$C$5,G4788)),Assumptions!$D$5,IF(ISNUMBER(SEARCH(Assumptions!$C$6,G4788)),Assumptions!$D$6,IF(ISNUMBER(SEARCH(Assumptions!$C$7,G4788)),Assumptions!$D$7,"Other Services"))),"Other Services"))</f>
        <v/>
      </c>
    </row>
    <row r="4789" customFormat="false" ht="15" hidden="false" customHeight="false" outlineLevel="0" collapsed="false">
      <c r="E4789" s="41" t="str">
        <f aca="false">IF(D4789="","",IFERROR(VLOOKUP(D4789,Assumptions!$G$5:$H$16,2,0),"Other"))</f>
        <v/>
      </c>
      <c r="J4789" s="41" t="str">
        <f aca="false">IF(G4789="","",IFERROR(IF(ISNUMBER(SEARCH(Assumptions!$C$5,G4789)),Assumptions!$D$5,IF(ISNUMBER(SEARCH(Assumptions!$C$6,G4789)),Assumptions!$D$6,IF(ISNUMBER(SEARCH(Assumptions!$C$7,G4789)),Assumptions!$D$7,"Other Services"))),"Other Services"))</f>
        <v/>
      </c>
    </row>
    <row r="4790" customFormat="false" ht="15" hidden="false" customHeight="false" outlineLevel="0" collapsed="false">
      <c r="E4790" s="41" t="str">
        <f aca="false">IF(D4790="","",IFERROR(VLOOKUP(D4790,Assumptions!$G$5:$H$16,2,0),"Other"))</f>
        <v/>
      </c>
      <c r="J4790" s="41" t="str">
        <f aca="false">IF(G4790="","",IFERROR(IF(ISNUMBER(SEARCH(Assumptions!$C$5,G4790)),Assumptions!$D$5,IF(ISNUMBER(SEARCH(Assumptions!$C$6,G4790)),Assumptions!$D$6,IF(ISNUMBER(SEARCH(Assumptions!$C$7,G4790)),Assumptions!$D$7,"Other Services"))),"Other Services"))</f>
        <v/>
      </c>
    </row>
    <row r="4791" customFormat="false" ht="15" hidden="false" customHeight="false" outlineLevel="0" collapsed="false">
      <c r="E4791" s="41" t="str">
        <f aca="false">IF(D4791="","",IFERROR(VLOOKUP(D4791,Assumptions!$G$5:$H$16,2,0),"Other"))</f>
        <v/>
      </c>
      <c r="J4791" s="41" t="str">
        <f aca="false">IF(G4791="","",IFERROR(IF(ISNUMBER(SEARCH(Assumptions!$C$5,G4791)),Assumptions!$D$5,IF(ISNUMBER(SEARCH(Assumptions!$C$6,G4791)),Assumptions!$D$6,IF(ISNUMBER(SEARCH(Assumptions!$C$7,G4791)),Assumptions!$D$7,"Other Services"))),"Other Services"))</f>
        <v/>
      </c>
    </row>
    <row r="4792" customFormat="false" ht="15" hidden="false" customHeight="false" outlineLevel="0" collapsed="false">
      <c r="E4792" s="41" t="str">
        <f aca="false">IF(D4792="","",IFERROR(VLOOKUP(D4792,Assumptions!$G$5:$H$16,2,0),"Other"))</f>
        <v/>
      </c>
      <c r="J4792" s="41" t="str">
        <f aca="false">IF(G4792="","",IFERROR(IF(ISNUMBER(SEARCH(Assumptions!$C$5,G4792)),Assumptions!$D$5,IF(ISNUMBER(SEARCH(Assumptions!$C$6,G4792)),Assumptions!$D$6,IF(ISNUMBER(SEARCH(Assumptions!$C$7,G4792)),Assumptions!$D$7,"Other Services"))),"Other Services"))</f>
        <v/>
      </c>
    </row>
    <row r="4793" customFormat="false" ht="15" hidden="false" customHeight="false" outlineLevel="0" collapsed="false">
      <c r="E4793" s="41" t="str">
        <f aca="false">IF(D4793="","",IFERROR(VLOOKUP(D4793,Assumptions!$G$5:$H$16,2,0),"Other"))</f>
        <v/>
      </c>
      <c r="J4793" s="41" t="str">
        <f aca="false">IF(G4793="","",IFERROR(IF(ISNUMBER(SEARCH(Assumptions!$C$5,G4793)),Assumptions!$D$5,IF(ISNUMBER(SEARCH(Assumptions!$C$6,G4793)),Assumptions!$D$6,IF(ISNUMBER(SEARCH(Assumptions!$C$7,G4793)),Assumptions!$D$7,"Other Services"))),"Other Services"))</f>
        <v/>
      </c>
    </row>
    <row r="4794" customFormat="false" ht="15" hidden="false" customHeight="false" outlineLevel="0" collapsed="false">
      <c r="E4794" s="41" t="str">
        <f aca="false">IF(D4794="","",IFERROR(VLOOKUP(D4794,Assumptions!$G$5:$H$16,2,0),"Other"))</f>
        <v/>
      </c>
      <c r="J4794" s="41" t="str">
        <f aca="false">IF(G4794="","",IFERROR(IF(ISNUMBER(SEARCH(Assumptions!$C$5,G4794)),Assumptions!$D$5,IF(ISNUMBER(SEARCH(Assumptions!$C$6,G4794)),Assumptions!$D$6,IF(ISNUMBER(SEARCH(Assumptions!$C$7,G4794)),Assumptions!$D$7,"Other Services"))),"Other Services"))</f>
        <v/>
      </c>
    </row>
    <row r="4795" customFormat="false" ht="15" hidden="false" customHeight="false" outlineLevel="0" collapsed="false">
      <c r="E4795" s="41" t="str">
        <f aca="false">IF(D4795="","",IFERROR(VLOOKUP(D4795,Assumptions!$G$5:$H$16,2,0),"Other"))</f>
        <v/>
      </c>
      <c r="J4795" s="41" t="str">
        <f aca="false">IF(G4795="","",IFERROR(IF(ISNUMBER(SEARCH(Assumptions!$C$5,G4795)),Assumptions!$D$5,IF(ISNUMBER(SEARCH(Assumptions!$C$6,G4795)),Assumptions!$D$6,IF(ISNUMBER(SEARCH(Assumptions!$C$7,G4795)),Assumptions!$D$7,"Other Services"))),"Other Services"))</f>
        <v/>
      </c>
    </row>
    <row r="4796" customFormat="false" ht="15" hidden="false" customHeight="false" outlineLevel="0" collapsed="false">
      <c r="E4796" s="41" t="str">
        <f aca="false">IF(D4796="","",IFERROR(VLOOKUP(D4796,Assumptions!$G$5:$H$16,2,0),"Other"))</f>
        <v/>
      </c>
      <c r="J4796" s="41" t="str">
        <f aca="false">IF(G4796="","",IFERROR(IF(ISNUMBER(SEARCH(Assumptions!$C$5,G4796)),Assumptions!$D$5,IF(ISNUMBER(SEARCH(Assumptions!$C$6,G4796)),Assumptions!$D$6,IF(ISNUMBER(SEARCH(Assumptions!$C$7,G4796)),Assumptions!$D$7,"Other Services"))),"Other Services"))</f>
        <v/>
      </c>
    </row>
    <row r="4797" customFormat="false" ht="15" hidden="false" customHeight="false" outlineLevel="0" collapsed="false">
      <c r="E4797" s="41" t="str">
        <f aca="false">IF(D4797="","",IFERROR(VLOOKUP(D4797,Assumptions!$G$5:$H$16,2,0),"Other"))</f>
        <v/>
      </c>
      <c r="J4797" s="41" t="str">
        <f aca="false">IF(G4797="","",IFERROR(IF(ISNUMBER(SEARCH(Assumptions!$C$5,G4797)),Assumptions!$D$5,IF(ISNUMBER(SEARCH(Assumptions!$C$6,G4797)),Assumptions!$D$6,IF(ISNUMBER(SEARCH(Assumptions!$C$7,G4797)),Assumptions!$D$7,"Other Services"))),"Other Services"))</f>
        <v/>
      </c>
    </row>
    <row r="4798" customFormat="false" ht="15" hidden="false" customHeight="false" outlineLevel="0" collapsed="false">
      <c r="E4798" s="41" t="str">
        <f aca="false">IF(D4798="","",IFERROR(VLOOKUP(D4798,Assumptions!$G$5:$H$16,2,0),"Other"))</f>
        <v/>
      </c>
      <c r="J4798" s="41" t="str">
        <f aca="false">IF(G4798="","",IFERROR(IF(ISNUMBER(SEARCH(Assumptions!$C$5,G4798)),Assumptions!$D$5,IF(ISNUMBER(SEARCH(Assumptions!$C$6,G4798)),Assumptions!$D$6,IF(ISNUMBER(SEARCH(Assumptions!$C$7,G4798)),Assumptions!$D$7,"Other Services"))),"Other Services"))</f>
        <v/>
      </c>
    </row>
    <row r="4799" customFormat="false" ht="15" hidden="false" customHeight="false" outlineLevel="0" collapsed="false">
      <c r="E4799" s="41" t="str">
        <f aca="false">IF(D4799="","",IFERROR(VLOOKUP(D4799,Assumptions!$G$5:$H$16,2,0),"Other"))</f>
        <v/>
      </c>
      <c r="J4799" s="41" t="str">
        <f aca="false">IF(G4799="","",IFERROR(IF(ISNUMBER(SEARCH(Assumptions!$C$5,G4799)),Assumptions!$D$5,IF(ISNUMBER(SEARCH(Assumptions!$C$6,G4799)),Assumptions!$D$6,IF(ISNUMBER(SEARCH(Assumptions!$C$7,G4799)),Assumptions!$D$7,"Other Services"))),"Other Services"))</f>
        <v/>
      </c>
    </row>
    <row r="4800" customFormat="false" ht="15" hidden="false" customHeight="false" outlineLevel="0" collapsed="false">
      <c r="E4800" s="41" t="str">
        <f aca="false">IF(D4800="","",IFERROR(VLOOKUP(D4800,Assumptions!$G$5:$H$16,2,0),"Other"))</f>
        <v/>
      </c>
      <c r="J4800" s="41" t="str">
        <f aca="false">IF(G4800="","",IFERROR(IF(ISNUMBER(SEARCH(Assumptions!$C$5,G4800)),Assumptions!$D$5,IF(ISNUMBER(SEARCH(Assumptions!$C$6,G4800)),Assumptions!$D$6,IF(ISNUMBER(SEARCH(Assumptions!$C$7,G4800)),Assumptions!$D$7,"Other Services"))),"Other Services"))</f>
        <v/>
      </c>
    </row>
    <row r="4801" customFormat="false" ht="15" hidden="false" customHeight="false" outlineLevel="0" collapsed="false">
      <c r="E4801" s="41" t="str">
        <f aca="false">IF(D4801="","",IFERROR(VLOOKUP(D4801,Assumptions!$G$5:$H$16,2,0),"Other"))</f>
        <v/>
      </c>
      <c r="J4801" s="41" t="str">
        <f aca="false">IF(G4801="","",IFERROR(IF(ISNUMBER(SEARCH(Assumptions!$C$5,G4801)),Assumptions!$D$5,IF(ISNUMBER(SEARCH(Assumptions!$C$6,G4801)),Assumptions!$D$6,IF(ISNUMBER(SEARCH(Assumptions!$C$7,G4801)),Assumptions!$D$7,"Other Services"))),"Other Services"))</f>
        <v/>
      </c>
    </row>
    <row r="4802" customFormat="false" ht="15" hidden="false" customHeight="false" outlineLevel="0" collapsed="false">
      <c r="E4802" s="41" t="str">
        <f aca="false">IF(D4802="","",IFERROR(VLOOKUP(D4802,Assumptions!$G$5:$H$16,2,0),"Other"))</f>
        <v/>
      </c>
      <c r="J4802" s="41" t="str">
        <f aca="false">IF(G4802="","",IFERROR(IF(ISNUMBER(SEARCH(Assumptions!$C$5,G4802)),Assumptions!$D$5,IF(ISNUMBER(SEARCH(Assumptions!$C$6,G4802)),Assumptions!$D$6,IF(ISNUMBER(SEARCH(Assumptions!$C$7,G4802)),Assumptions!$D$7,"Other Services"))),"Other Services"))</f>
        <v/>
      </c>
    </row>
    <row r="4803" customFormat="false" ht="15" hidden="false" customHeight="false" outlineLevel="0" collapsed="false">
      <c r="E4803" s="41" t="str">
        <f aca="false">IF(D4803="","",IFERROR(VLOOKUP(D4803,Assumptions!$G$5:$H$16,2,0),"Other"))</f>
        <v/>
      </c>
      <c r="J4803" s="41" t="str">
        <f aca="false">IF(G4803="","",IFERROR(IF(ISNUMBER(SEARCH(Assumptions!$C$5,G4803)),Assumptions!$D$5,IF(ISNUMBER(SEARCH(Assumptions!$C$6,G4803)),Assumptions!$D$6,IF(ISNUMBER(SEARCH(Assumptions!$C$7,G4803)),Assumptions!$D$7,"Other Services"))),"Other Services"))</f>
        <v/>
      </c>
    </row>
    <row r="4804" customFormat="false" ht="15" hidden="false" customHeight="false" outlineLevel="0" collapsed="false">
      <c r="E4804" s="41" t="str">
        <f aca="false">IF(D4804="","",IFERROR(VLOOKUP(D4804,Assumptions!$G$5:$H$16,2,0),"Other"))</f>
        <v/>
      </c>
      <c r="J4804" s="41" t="str">
        <f aca="false">IF(G4804="","",IFERROR(IF(ISNUMBER(SEARCH(Assumptions!$C$5,G4804)),Assumptions!$D$5,IF(ISNUMBER(SEARCH(Assumptions!$C$6,G4804)),Assumptions!$D$6,IF(ISNUMBER(SEARCH(Assumptions!$C$7,G4804)),Assumptions!$D$7,"Other Services"))),"Other Services"))</f>
        <v/>
      </c>
    </row>
    <row r="4805" customFormat="false" ht="15" hidden="false" customHeight="false" outlineLevel="0" collapsed="false">
      <c r="E4805" s="41" t="str">
        <f aca="false">IF(D4805="","",IFERROR(VLOOKUP(D4805,Assumptions!$G$5:$H$16,2,0),"Other"))</f>
        <v/>
      </c>
      <c r="J4805" s="41" t="str">
        <f aca="false">IF(G4805="","",IFERROR(IF(ISNUMBER(SEARCH(Assumptions!$C$5,G4805)),Assumptions!$D$5,IF(ISNUMBER(SEARCH(Assumptions!$C$6,G4805)),Assumptions!$D$6,IF(ISNUMBER(SEARCH(Assumptions!$C$7,G4805)),Assumptions!$D$7,"Other Services"))),"Other Services"))</f>
        <v/>
      </c>
    </row>
    <row r="4806" customFormat="false" ht="15" hidden="false" customHeight="false" outlineLevel="0" collapsed="false">
      <c r="E4806" s="41" t="str">
        <f aca="false">IF(D4806="","",IFERROR(VLOOKUP(D4806,Assumptions!$G$5:$H$16,2,0),"Other"))</f>
        <v/>
      </c>
      <c r="J4806" s="41" t="str">
        <f aca="false">IF(G4806="","",IFERROR(IF(ISNUMBER(SEARCH(Assumptions!$C$5,G4806)),Assumptions!$D$5,IF(ISNUMBER(SEARCH(Assumptions!$C$6,G4806)),Assumptions!$D$6,IF(ISNUMBER(SEARCH(Assumptions!$C$7,G4806)),Assumptions!$D$7,"Other Services"))),"Other Services"))</f>
        <v/>
      </c>
    </row>
    <row r="4807" customFormat="false" ht="15" hidden="false" customHeight="false" outlineLevel="0" collapsed="false">
      <c r="E4807" s="41" t="str">
        <f aca="false">IF(D4807="","",IFERROR(VLOOKUP(D4807,Assumptions!$G$5:$H$16,2,0),"Other"))</f>
        <v/>
      </c>
      <c r="J4807" s="41" t="str">
        <f aca="false">IF(G4807="","",IFERROR(IF(ISNUMBER(SEARCH(Assumptions!$C$5,G4807)),Assumptions!$D$5,IF(ISNUMBER(SEARCH(Assumptions!$C$6,G4807)),Assumptions!$D$6,IF(ISNUMBER(SEARCH(Assumptions!$C$7,G4807)),Assumptions!$D$7,"Other Services"))),"Other Services"))</f>
        <v/>
      </c>
    </row>
    <row r="4808" customFormat="false" ht="15" hidden="false" customHeight="false" outlineLevel="0" collapsed="false">
      <c r="E4808" s="41" t="str">
        <f aca="false">IF(D4808="","",IFERROR(VLOOKUP(D4808,Assumptions!$G$5:$H$16,2,0),"Other"))</f>
        <v/>
      </c>
      <c r="J4808" s="41" t="str">
        <f aca="false">IF(G4808="","",IFERROR(IF(ISNUMBER(SEARCH(Assumptions!$C$5,G4808)),Assumptions!$D$5,IF(ISNUMBER(SEARCH(Assumptions!$C$6,G4808)),Assumptions!$D$6,IF(ISNUMBER(SEARCH(Assumptions!$C$7,G4808)),Assumptions!$D$7,"Other Services"))),"Other Services"))</f>
        <v/>
      </c>
    </row>
    <row r="4809" customFormat="false" ht="15" hidden="false" customHeight="false" outlineLevel="0" collapsed="false">
      <c r="E4809" s="41" t="str">
        <f aca="false">IF(D4809="","",IFERROR(VLOOKUP(D4809,Assumptions!$G$5:$H$16,2,0),"Other"))</f>
        <v/>
      </c>
      <c r="J4809" s="41" t="str">
        <f aca="false">IF(G4809="","",IFERROR(IF(ISNUMBER(SEARCH(Assumptions!$C$5,G4809)),Assumptions!$D$5,IF(ISNUMBER(SEARCH(Assumptions!$C$6,G4809)),Assumptions!$D$6,IF(ISNUMBER(SEARCH(Assumptions!$C$7,G4809)),Assumptions!$D$7,"Other Services"))),"Other Services"))</f>
        <v/>
      </c>
    </row>
    <row r="4810" customFormat="false" ht="15" hidden="false" customHeight="false" outlineLevel="0" collapsed="false">
      <c r="E4810" s="41" t="str">
        <f aca="false">IF(D4810="","",IFERROR(VLOOKUP(D4810,Assumptions!$G$5:$H$16,2,0),"Other"))</f>
        <v/>
      </c>
      <c r="J4810" s="41" t="str">
        <f aca="false">IF(G4810="","",IFERROR(IF(ISNUMBER(SEARCH(Assumptions!$C$5,G4810)),Assumptions!$D$5,IF(ISNUMBER(SEARCH(Assumptions!$C$6,G4810)),Assumptions!$D$6,IF(ISNUMBER(SEARCH(Assumptions!$C$7,G4810)),Assumptions!$D$7,"Other Services"))),"Other Services"))</f>
        <v/>
      </c>
    </row>
    <row r="4811" customFormat="false" ht="15" hidden="false" customHeight="false" outlineLevel="0" collapsed="false">
      <c r="E4811" s="41" t="str">
        <f aca="false">IF(D4811="","",IFERROR(VLOOKUP(D4811,Assumptions!$G$5:$H$16,2,0),"Other"))</f>
        <v/>
      </c>
      <c r="J4811" s="41" t="str">
        <f aca="false">IF(G4811="","",IFERROR(IF(ISNUMBER(SEARCH(Assumptions!$C$5,G4811)),Assumptions!$D$5,IF(ISNUMBER(SEARCH(Assumptions!$C$6,G4811)),Assumptions!$D$6,IF(ISNUMBER(SEARCH(Assumptions!$C$7,G4811)),Assumptions!$D$7,"Other Services"))),"Other Services"))</f>
        <v/>
      </c>
    </row>
    <row r="4812" customFormat="false" ht="15" hidden="false" customHeight="false" outlineLevel="0" collapsed="false">
      <c r="E4812" s="41" t="str">
        <f aca="false">IF(D4812="","",IFERROR(VLOOKUP(D4812,Assumptions!$G$5:$H$16,2,0),"Other"))</f>
        <v/>
      </c>
      <c r="J4812" s="41" t="str">
        <f aca="false">IF(G4812="","",IFERROR(IF(ISNUMBER(SEARCH(Assumptions!$C$5,G4812)),Assumptions!$D$5,IF(ISNUMBER(SEARCH(Assumptions!$C$6,G4812)),Assumptions!$D$6,IF(ISNUMBER(SEARCH(Assumptions!$C$7,G4812)),Assumptions!$D$7,"Other Services"))),"Other Services"))</f>
        <v/>
      </c>
    </row>
    <row r="4813" customFormat="false" ht="15" hidden="false" customHeight="false" outlineLevel="0" collapsed="false">
      <c r="E4813" s="41" t="str">
        <f aca="false">IF(D4813="","",IFERROR(VLOOKUP(D4813,Assumptions!$G$5:$H$16,2,0),"Other"))</f>
        <v/>
      </c>
      <c r="J4813" s="41" t="str">
        <f aca="false">IF(G4813="","",IFERROR(IF(ISNUMBER(SEARCH(Assumptions!$C$5,G4813)),Assumptions!$D$5,IF(ISNUMBER(SEARCH(Assumptions!$C$6,G4813)),Assumptions!$D$6,IF(ISNUMBER(SEARCH(Assumptions!$C$7,G4813)),Assumptions!$D$7,"Other Services"))),"Other Services"))</f>
        <v/>
      </c>
    </row>
    <row r="4814" customFormat="false" ht="15" hidden="false" customHeight="false" outlineLevel="0" collapsed="false">
      <c r="E4814" s="41" t="str">
        <f aca="false">IF(D4814="","",IFERROR(VLOOKUP(D4814,Assumptions!$G$5:$H$16,2,0),"Other"))</f>
        <v/>
      </c>
      <c r="J4814" s="41" t="str">
        <f aca="false">IF(G4814="","",IFERROR(IF(ISNUMBER(SEARCH(Assumptions!$C$5,G4814)),Assumptions!$D$5,IF(ISNUMBER(SEARCH(Assumptions!$C$6,G4814)),Assumptions!$D$6,IF(ISNUMBER(SEARCH(Assumptions!$C$7,G4814)),Assumptions!$D$7,"Other Services"))),"Other Services"))</f>
        <v/>
      </c>
    </row>
    <row r="4815" customFormat="false" ht="15" hidden="false" customHeight="false" outlineLevel="0" collapsed="false">
      <c r="E4815" s="41" t="str">
        <f aca="false">IF(D4815="","",IFERROR(VLOOKUP(D4815,Assumptions!$G$5:$H$16,2,0),"Other"))</f>
        <v/>
      </c>
      <c r="J4815" s="41" t="str">
        <f aca="false">IF(G4815="","",IFERROR(IF(ISNUMBER(SEARCH(Assumptions!$C$5,G4815)),Assumptions!$D$5,IF(ISNUMBER(SEARCH(Assumptions!$C$6,G4815)),Assumptions!$D$6,IF(ISNUMBER(SEARCH(Assumptions!$C$7,G4815)),Assumptions!$D$7,"Other Services"))),"Other Services"))</f>
        <v/>
      </c>
    </row>
    <row r="4816" customFormat="false" ht="15" hidden="false" customHeight="false" outlineLevel="0" collapsed="false">
      <c r="E4816" s="41" t="str">
        <f aca="false">IF(D4816="","",IFERROR(VLOOKUP(D4816,Assumptions!$G$5:$H$16,2,0),"Other"))</f>
        <v/>
      </c>
      <c r="J4816" s="41" t="str">
        <f aca="false">IF(G4816="","",IFERROR(IF(ISNUMBER(SEARCH(Assumptions!$C$5,G4816)),Assumptions!$D$5,IF(ISNUMBER(SEARCH(Assumptions!$C$6,G4816)),Assumptions!$D$6,IF(ISNUMBER(SEARCH(Assumptions!$C$7,G4816)),Assumptions!$D$7,"Other Services"))),"Other Services"))</f>
        <v/>
      </c>
    </row>
    <row r="4817" customFormat="false" ht="15" hidden="false" customHeight="false" outlineLevel="0" collapsed="false">
      <c r="E4817" s="41" t="str">
        <f aca="false">IF(D4817="","",IFERROR(VLOOKUP(D4817,Assumptions!$G$5:$H$16,2,0),"Other"))</f>
        <v/>
      </c>
      <c r="J4817" s="41" t="str">
        <f aca="false">IF(G4817="","",IFERROR(IF(ISNUMBER(SEARCH(Assumptions!$C$5,G4817)),Assumptions!$D$5,IF(ISNUMBER(SEARCH(Assumptions!$C$6,G4817)),Assumptions!$D$6,IF(ISNUMBER(SEARCH(Assumptions!$C$7,G4817)),Assumptions!$D$7,"Other Services"))),"Other Services"))</f>
        <v/>
      </c>
    </row>
    <row r="4818" customFormat="false" ht="15" hidden="false" customHeight="false" outlineLevel="0" collapsed="false">
      <c r="E4818" s="41" t="str">
        <f aca="false">IF(D4818="","",IFERROR(VLOOKUP(D4818,Assumptions!$G$5:$H$16,2,0),"Other"))</f>
        <v/>
      </c>
      <c r="J4818" s="41" t="str">
        <f aca="false">IF(G4818="","",IFERROR(IF(ISNUMBER(SEARCH(Assumptions!$C$5,G4818)),Assumptions!$D$5,IF(ISNUMBER(SEARCH(Assumptions!$C$6,G4818)),Assumptions!$D$6,IF(ISNUMBER(SEARCH(Assumptions!$C$7,G4818)),Assumptions!$D$7,"Other Services"))),"Other Services"))</f>
        <v/>
      </c>
    </row>
    <row r="4819" customFormat="false" ht="15" hidden="false" customHeight="false" outlineLevel="0" collapsed="false">
      <c r="E4819" s="41" t="str">
        <f aca="false">IF(D4819="","",IFERROR(VLOOKUP(D4819,Assumptions!$G$5:$H$16,2,0),"Other"))</f>
        <v/>
      </c>
      <c r="J4819" s="41" t="str">
        <f aca="false">IF(G4819="","",IFERROR(IF(ISNUMBER(SEARCH(Assumptions!$C$5,G4819)),Assumptions!$D$5,IF(ISNUMBER(SEARCH(Assumptions!$C$6,G4819)),Assumptions!$D$6,IF(ISNUMBER(SEARCH(Assumptions!$C$7,G4819)),Assumptions!$D$7,"Other Services"))),"Other Services"))</f>
        <v/>
      </c>
    </row>
    <row r="4820" customFormat="false" ht="15" hidden="false" customHeight="false" outlineLevel="0" collapsed="false">
      <c r="E4820" s="41" t="str">
        <f aca="false">IF(D4820="","",IFERROR(VLOOKUP(D4820,Assumptions!$G$5:$H$16,2,0),"Other"))</f>
        <v/>
      </c>
      <c r="J4820" s="41" t="str">
        <f aca="false">IF(G4820="","",IFERROR(IF(ISNUMBER(SEARCH(Assumptions!$C$5,G4820)),Assumptions!$D$5,IF(ISNUMBER(SEARCH(Assumptions!$C$6,G4820)),Assumptions!$D$6,IF(ISNUMBER(SEARCH(Assumptions!$C$7,G4820)),Assumptions!$D$7,"Other Services"))),"Other Services"))</f>
        <v/>
      </c>
    </row>
    <row r="4821" customFormat="false" ht="15" hidden="false" customHeight="false" outlineLevel="0" collapsed="false">
      <c r="E4821" s="41" t="str">
        <f aca="false">IF(D4821="","",IFERROR(VLOOKUP(D4821,Assumptions!$G$5:$H$16,2,0),"Other"))</f>
        <v/>
      </c>
      <c r="J4821" s="41" t="str">
        <f aca="false">IF(G4821="","",IFERROR(IF(ISNUMBER(SEARCH(Assumptions!$C$5,G4821)),Assumptions!$D$5,IF(ISNUMBER(SEARCH(Assumptions!$C$6,G4821)),Assumptions!$D$6,IF(ISNUMBER(SEARCH(Assumptions!$C$7,G4821)),Assumptions!$D$7,"Other Services"))),"Other Services"))</f>
        <v/>
      </c>
    </row>
    <row r="4822" customFormat="false" ht="15" hidden="false" customHeight="false" outlineLevel="0" collapsed="false">
      <c r="E4822" s="41" t="str">
        <f aca="false">IF(D4822="","",IFERROR(VLOOKUP(D4822,Assumptions!$G$5:$H$16,2,0),"Other"))</f>
        <v/>
      </c>
      <c r="J4822" s="41" t="str">
        <f aca="false">IF(G4822="","",IFERROR(IF(ISNUMBER(SEARCH(Assumptions!$C$5,G4822)),Assumptions!$D$5,IF(ISNUMBER(SEARCH(Assumptions!$C$6,G4822)),Assumptions!$D$6,IF(ISNUMBER(SEARCH(Assumptions!$C$7,G4822)),Assumptions!$D$7,"Other Services"))),"Other Services"))</f>
        <v/>
      </c>
    </row>
    <row r="4823" customFormat="false" ht="15" hidden="false" customHeight="false" outlineLevel="0" collapsed="false">
      <c r="E4823" s="41" t="str">
        <f aca="false">IF(D4823="","",IFERROR(VLOOKUP(D4823,Assumptions!$G$5:$H$16,2,0),"Other"))</f>
        <v/>
      </c>
      <c r="J4823" s="41" t="str">
        <f aca="false">IF(G4823="","",IFERROR(IF(ISNUMBER(SEARCH(Assumptions!$C$5,G4823)),Assumptions!$D$5,IF(ISNUMBER(SEARCH(Assumptions!$C$6,G4823)),Assumptions!$D$6,IF(ISNUMBER(SEARCH(Assumptions!$C$7,G4823)),Assumptions!$D$7,"Other Services"))),"Other Services"))</f>
        <v/>
      </c>
    </row>
    <row r="4824" customFormat="false" ht="15" hidden="false" customHeight="false" outlineLevel="0" collapsed="false">
      <c r="E4824" s="41" t="str">
        <f aca="false">IF(D4824="","",IFERROR(VLOOKUP(D4824,Assumptions!$G$5:$H$16,2,0),"Other"))</f>
        <v/>
      </c>
      <c r="J4824" s="41" t="str">
        <f aca="false">IF(G4824="","",IFERROR(IF(ISNUMBER(SEARCH(Assumptions!$C$5,G4824)),Assumptions!$D$5,IF(ISNUMBER(SEARCH(Assumptions!$C$6,G4824)),Assumptions!$D$6,IF(ISNUMBER(SEARCH(Assumptions!$C$7,G4824)),Assumptions!$D$7,"Other Services"))),"Other Services"))</f>
        <v/>
      </c>
    </row>
    <row r="4825" customFormat="false" ht="15" hidden="false" customHeight="false" outlineLevel="0" collapsed="false">
      <c r="E4825" s="41" t="str">
        <f aca="false">IF(D4825="","",IFERROR(VLOOKUP(D4825,Assumptions!$G$5:$H$16,2,0),"Other"))</f>
        <v/>
      </c>
      <c r="J4825" s="41" t="str">
        <f aca="false">IF(G4825="","",IFERROR(IF(ISNUMBER(SEARCH(Assumptions!$C$5,G4825)),Assumptions!$D$5,IF(ISNUMBER(SEARCH(Assumptions!$C$6,G4825)),Assumptions!$D$6,IF(ISNUMBER(SEARCH(Assumptions!$C$7,G4825)),Assumptions!$D$7,"Other Services"))),"Other Services"))</f>
        <v/>
      </c>
    </row>
    <row r="4826" customFormat="false" ht="15" hidden="false" customHeight="false" outlineLevel="0" collapsed="false">
      <c r="E4826" s="41" t="str">
        <f aca="false">IF(D4826="","",IFERROR(VLOOKUP(D4826,Assumptions!$G$5:$H$16,2,0),"Other"))</f>
        <v/>
      </c>
      <c r="J4826" s="41" t="str">
        <f aca="false">IF(G4826="","",IFERROR(IF(ISNUMBER(SEARCH(Assumptions!$C$5,G4826)),Assumptions!$D$5,IF(ISNUMBER(SEARCH(Assumptions!$C$6,G4826)),Assumptions!$D$6,IF(ISNUMBER(SEARCH(Assumptions!$C$7,G4826)),Assumptions!$D$7,"Other Services"))),"Other Services"))</f>
        <v/>
      </c>
    </row>
    <row r="4827" customFormat="false" ht="15" hidden="false" customHeight="false" outlineLevel="0" collapsed="false">
      <c r="E4827" s="41" t="str">
        <f aca="false">IF(D4827="","",IFERROR(VLOOKUP(D4827,Assumptions!$G$5:$H$16,2,0),"Other"))</f>
        <v/>
      </c>
      <c r="J4827" s="41" t="str">
        <f aca="false">IF(G4827="","",IFERROR(IF(ISNUMBER(SEARCH(Assumptions!$C$5,G4827)),Assumptions!$D$5,IF(ISNUMBER(SEARCH(Assumptions!$C$6,G4827)),Assumptions!$D$6,IF(ISNUMBER(SEARCH(Assumptions!$C$7,G4827)),Assumptions!$D$7,"Other Services"))),"Other Services"))</f>
        <v/>
      </c>
    </row>
    <row r="4828" customFormat="false" ht="15" hidden="false" customHeight="false" outlineLevel="0" collapsed="false">
      <c r="E4828" s="41" t="str">
        <f aca="false">IF(D4828="","",IFERROR(VLOOKUP(D4828,Assumptions!$G$5:$H$16,2,0),"Other"))</f>
        <v/>
      </c>
      <c r="J4828" s="41" t="str">
        <f aca="false">IF(G4828="","",IFERROR(IF(ISNUMBER(SEARCH(Assumptions!$C$5,G4828)),Assumptions!$D$5,IF(ISNUMBER(SEARCH(Assumptions!$C$6,G4828)),Assumptions!$D$6,IF(ISNUMBER(SEARCH(Assumptions!$C$7,G4828)),Assumptions!$D$7,"Other Services"))),"Other Services"))</f>
        <v/>
      </c>
    </row>
    <row r="4829" customFormat="false" ht="15" hidden="false" customHeight="false" outlineLevel="0" collapsed="false">
      <c r="E4829" s="41" t="str">
        <f aca="false">IF(D4829="","",IFERROR(VLOOKUP(D4829,Assumptions!$G$5:$H$16,2,0),"Other"))</f>
        <v/>
      </c>
      <c r="J4829" s="41" t="str">
        <f aca="false">IF(G4829="","",IFERROR(IF(ISNUMBER(SEARCH(Assumptions!$C$5,G4829)),Assumptions!$D$5,IF(ISNUMBER(SEARCH(Assumptions!$C$6,G4829)),Assumptions!$D$6,IF(ISNUMBER(SEARCH(Assumptions!$C$7,G4829)),Assumptions!$D$7,"Other Services"))),"Other Services"))</f>
        <v/>
      </c>
    </row>
    <row r="4830" customFormat="false" ht="15" hidden="false" customHeight="false" outlineLevel="0" collapsed="false">
      <c r="E4830" s="41" t="str">
        <f aca="false">IF(D4830="","",IFERROR(VLOOKUP(D4830,Assumptions!$G$5:$H$16,2,0),"Other"))</f>
        <v/>
      </c>
      <c r="J4830" s="41" t="str">
        <f aca="false">IF(G4830="","",IFERROR(IF(ISNUMBER(SEARCH(Assumptions!$C$5,G4830)),Assumptions!$D$5,IF(ISNUMBER(SEARCH(Assumptions!$C$6,G4830)),Assumptions!$D$6,IF(ISNUMBER(SEARCH(Assumptions!$C$7,G4830)),Assumptions!$D$7,"Other Services"))),"Other Services"))</f>
        <v/>
      </c>
    </row>
    <row r="4831" customFormat="false" ht="15" hidden="false" customHeight="false" outlineLevel="0" collapsed="false">
      <c r="E4831" s="41" t="str">
        <f aca="false">IF(D4831="","",IFERROR(VLOOKUP(D4831,Assumptions!$G$5:$H$16,2,0),"Other"))</f>
        <v/>
      </c>
      <c r="J4831" s="41" t="str">
        <f aca="false">IF(G4831="","",IFERROR(IF(ISNUMBER(SEARCH(Assumptions!$C$5,G4831)),Assumptions!$D$5,IF(ISNUMBER(SEARCH(Assumptions!$C$6,G4831)),Assumptions!$D$6,IF(ISNUMBER(SEARCH(Assumptions!$C$7,G4831)),Assumptions!$D$7,"Other Services"))),"Other Services"))</f>
        <v/>
      </c>
    </row>
    <row r="4832" customFormat="false" ht="15" hidden="false" customHeight="false" outlineLevel="0" collapsed="false">
      <c r="E4832" s="41" t="str">
        <f aca="false">IF(D4832="","",IFERROR(VLOOKUP(D4832,Assumptions!$G$5:$H$16,2,0),"Other"))</f>
        <v/>
      </c>
      <c r="J4832" s="41" t="str">
        <f aca="false">IF(G4832="","",IFERROR(IF(ISNUMBER(SEARCH(Assumptions!$C$5,G4832)),Assumptions!$D$5,IF(ISNUMBER(SEARCH(Assumptions!$C$6,G4832)),Assumptions!$D$6,IF(ISNUMBER(SEARCH(Assumptions!$C$7,G4832)),Assumptions!$D$7,"Other Services"))),"Other Services"))</f>
        <v/>
      </c>
    </row>
    <row r="4833" customFormat="false" ht="15" hidden="false" customHeight="false" outlineLevel="0" collapsed="false">
      <c r="E4833" s="41" t="str">
        <f aca="false">IF(D4833="","",IFERROR(VLOOKUP(D4833,Assumptions!$G$5:$H$16,2,0),"Other"))</f>
        <v/>
      </c>
      <c r="J4833" s="41" t="str">
        <f aca="false">IF(G4833="","",IFERROR(IF(ISNUMBER(SEARCH(Assumptions!$C$5,G4833)),Assumptions!$D$5,IF(ISNUMBER(SEARCH(Assumptions!$C$6,G4833)),Assumptions!$D$6,IF(ISNUMBER(SEARCH(Assumptions!$C$7,G4833)),Assumptions!$D$7,"Other Services"))),"Other Services"))</f>
        <v/>
      </c>
    </row>
    <row r="4834" customFormat="false" ht="15" hidden="false" customHeight="false" outlineLevel="0" collapsed="false">
      <c r="E4834" s="41" t="str">
        <f aca="false">IF(D4834="","",IFERROR(VLOOKUP(D4834,Assumptions!$G$5:$H$16,2,0),"Other"))</f>
        <v/>
      </c>
      <c r="J4834" s="41" t="str">
        <f aca="false">IF(G4834="","",IFERROR(IF(ISNUMBER(SEARCH(Assumptions!$C$5,G4834)),Assumptions!$D$5,IF(ISNUMBER(SEARCH(Assumptions!$C$6,G4834)),Assumptions!$D$6,IF(ISNUMBER(SEARCH(Assumptions!$C$7,G4834)),Assumptions!$D$7,"Other Services"))),"Other Services"))</f>
        <v/>
      </c>
    </row>
    <row r="4835" customFormat="false" ht="15" hidden="false" customHeight="false" outlineLevel="0" collapsed="false">
      <c r="E4835" s="41" t="str">
        <f aca="false">IF(D4835="","",IFERROR(VLOOKUP(D4835,Assumptions!$G$5:$H$16,2,0),"Other"))</f>
        <v/>
      </c>
      <c r="J4835" s="41" t="str">
        <f aca="false">IF(G4835="","",IFERROR(IF(ISNUMBER(SEARCH(Assumptions!$C$5,G4835)),Assumptions!$D$5,IF(ISNUMBER(SEARCH(Assumptions!$C$6,G4835)),Assumptions!$D$6,IF(ISNUMBER(SEARCH(Assumptions!$C$7,G4835)),Assumptions!$D$7,"Other Services"))),"Other Services"))</f>
        <v/>
      </c>
    </row>
    <row r="4836" customFormat="false" ht="15" hidden="false" customHeight="false" outlineLevel="0" collapsed="false">
      <c r="E4836" s="41" t="str">
        <f aca="false">IF(D4836="","",IFERROR(VLOOKUP(D4836,Assumptions!$G$5:$H$16,2,0),"Other"))</f>
        <v/>
      </c>
      <c r="J4836" s="41" t="str">
        <f aca="false">IF(G4836="","",IFERROR(IF(ISNUMBER(SEARCH(Assumptions!$C$5,G4836)),Assumptions!$D$5,IF(ISNUMBER(SEARCH(Assumptions!$C$6,G4836)),Assumptions!$D$6,IF(ISNUMBER(SEARCH(Assumptions!$C$7,G4836)),Assumptions!$D$7,"Other Services"))),"Other Services"))</f>
        <v/>
      </c>
    </row>
    <row r="4837" customFormat="false" ht="15" hidden="false" customHeight="false" outlineLevel="0" collapsed="false">
      <c r="E4837" s="41" t="str">
        <f aca="false">IF(D4837="","",IFERROR(VLOOKUP(D4837,Assumptions!$G$5:$H$16,2,0),"Other"))</f>
        <v/>
      </c>
      <c r="J4837" s="41" t="str">
        <f aca="false">IF(G4837="","",IFERROR(IF(ISNUMBER(SEARCH(Assumptions!$C$5,G4837)),Assumptions!$D$5,IF(ISNUMBER(SEARCH(Assumptions!$C$6,G4837)),Assumptions!$D$6,IF(ISNUMBER(SEARCH(Assumptions!$C$7,G4837)),Assumptions!$D$7,"Other Services"))),"Other Services"))</f>
        <v/>
      </c>
    </row>
    <row r="4838" customFormat="false" ht="15" hidden="false" customHeight="false" outlineLevel="0" collapsed="false">
      <c r="E4838" s="41" t="str">
        <f aca="false">IF(D4838="","",IFERROR(VLOOKUP(D4838,Assumptions!$G$5:$H$16,2,0),"Other"))</f>
        <v/>
      </c>
      <c r="J4838" s="41" t="str">
        <f aca="false">IF(G4838="","",IFERROR(IF(ISNUMBER(SEARCH(Assumptions!$C$5,G4838)),Assumptions!$D$5,IF(ISNUMBER(SEARCH(Assumptions!$C$6,G4838)),Assumptions!$D$6,IF(ISNUMBER(SEARCH(Assumptions!$C$7,G4838)),Assumptions!$D$7,"Other Services"))),"Other Services"))</f>
        <v/>
      </c>
    </row>
    <row r="4839" customFormat="false" ht="15" hidden="false" customHeight="false" outlineLevel="0" collapsed="false">
      <c r="E4839" s="41" t="str">
        <f aca="false">IF(D4839="","",IFERROR(VLOOKUP(D4839,Assumptions!$G$5:$H$16,2,0),"Other"))</f>
        <v/>
      </c>
      <c r="J4839" s="41" t="str">
        <f aca="false">IF(G4839="","",IFERROR(IF(ISNUMBER(SEARCH(Assumptions!$C$5,G4839)),Assumptions!$D$5,IF(ISNUMBER(SEARCH(Assumptions!$C$6,G4839)),Assumptions!$D$6,IF(ISNUMBER(SEARCH(Assumptions!$C$7,G4839)),Assumptions!$D$7,"Other Services"))),"Other Services"))</f>
        <v/>
      </c>
    </row>
    <row r="4840" customFormat="false" ht="15" hidden="false" customHeight="false" outlineLevel="0" collapsed="false">
      <c r="E4840" s="41" t="str">
        <f aca="false">IF(D4840="","",IFERROR(VLOOKUP(D4840,Assumptions!$G$5:$H$16,2,0),"Other"))</f>
        <v/>
      </c>
      <c r="J4840" s="41" t="str">
        <f aca="false">IF(G4840="","",IFERROR(IF(ISNUMBER(SEARCH(Assumptions!$C$5,G4840)),Assumptions!$D$5,IF(ISNUMBER(SEARCH(Assumptions!$C$6,G4840)),Assumptions!$D$6,IF(ISNUMBER(SEARCH(Assumptions!$C$7,G4840)),Assumptions!$D$7,"Other Services"))),"Other Services"))</f>
        <v/>
      </c>
    </row>
    <row r="4841" customFormat="false" ht="15" hidden="false" customHeight="false" outlineLevel="0" collapsed="false">
      <c r="E4841" s="41" t="str">
        <f aca="false">IF(D4841="","",IFERROR(VLOOKUP(D4841,Assumptions!$G$5:$H$16,2,0),"Other"))</f>
        <v/>
      </c>
      <c r="J4841" s="41" t="str">
        <f aca="false">IF(G4841="","",IFERROR(IF(ISNUMBER(SEARCH(Assumptions!$C$5,G4841)),Assumptions!$D$5,IF(ISNUMBER(SEARCH(Assumptions!$C$6,G4841)),Assumptions!$D$6,IF(ISNUMBER(SEARCH(Assumptions!$C$7,G4841)),Assumptions!$D$7,"Other Services"))),"Other Services"))</f>
        <v/>
      </c>
    </row>
    <row r="4842" customFormat="false" ht="15" hidden="false" customHeight="false" outlineLevel="0" collapsed="false">
      <c r="E4842" s="41" t="str">
        <f aca="false">IF(D4842="","",IFERROR(VLOOKUP(D4842,Assumptions!$G$5:$H$16,2,0),"Other"))</f>
        <v/>
      </c>
      <c r="J4842" s="41" t="str">
        <f aca="false">IF(G4842="","",IFERROR(IF(ISNUMBER(SEARCH(Assumptions!$C$5,G4842)),Assumptions!$D$5,IF(ISNUMBER(SEARCH(Assumptions!$C$6,G4842)),Assumptions!$D$6,IF(ISNUMBER(SEARCH(Assumptions!$C$7,G4842)),Assumptions!$D$7,"Other Services"))),"Other Services"))</f>
        <v/>
      </c>
    </row>
    <row r="4843" customFormat="false" ht="15" hidden="false" customHeight="false" outlineLevel="0" collapsed="false">
      <c r="E4843" s="41" t="str">
        <f aca="false">IF(D4843="","",IFERROR(VLOOKUP(D4843,Assumptions!$G$5:$H$16,2,0),"Other"))</f>
        <v/>
      </c>
      <c r="J4843" s="41" t="str">
        <f aca="false">IF(G4843="","",IFERROR(IF(ISNUMBER(SEARCH(Assumptions!$C$5,G4843)),Assumptions!$D$5,IF(ISNUMBER(SEARCH(Assumptions!$C$6,G4843)),Assumptions!$D$6,IF(ISNUMBER(SEARCH(Assumptions!$C$7,G4843)),Assumptions!$D$7,"Other Services"))),"Other Services"))</f>
        <v/>
      </c>
    </row>
    <row r="4844" customFormat="false" ht="15" hidden="false" customHeight="false" outlineLevel="0" collapsed="false">
      <c r="E4844" s="41" t="str">
        <f aca="false">IF(D4844="","",IFERROR(VLOOKUP(D4844,Assumptions!$G$5:$H$16,2,0),"Other"))</f>
        <v/>
      </c>
      <c r="J4844" s="41" t="str">
        <f aca="false">IF(G4844="","",IFERROR(IF(ISNUMBER(SEARCH(Assumptions!$C$5,G4844)),Assumptions!$D$5,IF(ISNUMBER(SEARCH(Assumptions!$C$6,G4844)),Assumptions!$D$6,IF(ISNUMBER(SEARCH(Assumptions!$C$7,G4844)),Assumptions!$D$7,"Other Services"))),"Other Services"))</f>
        <v/>
      </c>
    </row>
    <row r="4845" customFormat="false" ht="15" hidden="false" customHeight="false" outlineLevel="0" collapsed="false">
      <c r="E4845" s="41" t="str">
        <f aca="false">IF(D4845="","",IFERROR(VLOOKUP(D4845,Assumptions!$G$5:$H$16,2,0),"Other"))</f>
        <v/>
      </c>
      <c r="J4845" s="41" t="str">
        <f aca="false">IF(G4845="","",IFERROR(IF(ISNUMBER(SEARCH(Assumptions!$C$5,G4845)),Assumptions!$D$5,IF(ISNUMBER(SEARCH(Assumptions!$C$6,G4845)),Assumptions!$D$6,IF(ISNUMBER(SEARCH(Assumptions!$C$7,G4845)),Assumptions!$D$7,"Other Services"))),"Other Services"))</f>
        <v/>
      </c>
    </row>
    <row r="4846" customFormat="false" ht="15" hidden="false" customHeight="false" outlineLevel="0" collapsed="false">
      <c r="E4846" s="41" t="str">
        <f aca="false">IF(D4846="","",IFERROR(VLOOKUP(D4846,Assumptions!$G$5:$H$16,2,0),"Other"))</f>
        <v/>
      </c>
      <c r="J4846" s="41" t="str">
        <f aca="false">IF(G4846="","",IFERROR(IF(ISNUMBER(SEARCH(Assumptions!$C$5,G4846)),Assumptions!$D$5,IF(ISNUMBER(SEARCH(Assumptions!$C$6,G4846)),Assumptions!$D$6,IF(ISNUMBER(SEARCH(Assumptions!$C$7,G4846)),Assumptions!$D$7,"Other Services"))),"Other Services"))</f>
        <v/>
      </c>
    </row>
    <row r="4847" customFormat="false" ht="15" hidden="false" customHeight="false" outlineLevel="0" collapsed="false">
      <c r="E4847" s="41" t="str">
        <f aca="false">IF(D4847="","",IFERROR(VLOOKUP(D4847,Assumptions!$G$5:$H$16,2,0),"Other"))</f>
        <v/>
      </c>
      <c r="J4847" s="41" t="str">
        <f aca="false">IF(G4847="","",IFERROR(IF(ISNUMBER(SEARCH(Assumptions!$C$5,G4847)),Assumptions!$D$5,IF(ISNUMBER(SEARCH(Assumptions!$C$6,G4847)),Assumptions!$D$6,IF(ISNUMBER(SEARCH(Assumptions!$C$7,G4847)),Assumptions!$D$7,"Other Services"))),"Other Services"))</f>
        <v/>
      </c>
    </row>
    <row r="4848" customFormat="false" ht="15" hidden="false" customHeight="false" outlineLevel="0" collapsed="false">
      <c r="E4848" s="41" t="str">
        <f aca="false">IF(D4848="","",IFERROR(VLOOKUP(D4848,Assumptions!$G$5:$H$16,2,0),"Other"))</f>
        <v/>
      </c>
      <c r="J4848" s="41" t="str">
        <f aca="false">IF(G4848="","",IFERROR(IF(ISNUMBER(SEARCH(Assumptions!$C$5,G4848)),Assumptions!$D$5,IF(ISNUMBER(SEARCH(Assumptions!$C$6,G4848)),Assumptions!$D$6,IF(ISNUMBER(SEARCH(Assumptions!$C$7,G4848)),Assumptions!$D$7,"Other Services"))),"Other Services"))</f>
        <v/>
      </c>
    </row>
    <row r="4849" customFormat="false" ht="15" hidden="false" customHeight="false" outlineLevel="0" collapsed="false">
      <c r="E4849" s="41" t="str">
        <f aca="false">IF(D4849="","",IFERROR(VLOOKUP(D4849,Assumptions!$G$5:$H$16,2,0),"Other"))</f>
        <v/>
      </c>
      <c r="J4849" s="41" t="str">
        <f aca="false">IF(G4849="","",IFERROR(IF(ISNUMBER(SEARCH(Assumptions!$C$5,G4849)),Assumptions!$D$5,IF(ISNUMBER(SEARCH(Assumptions!$C$6,G4849)),Assumptions!$D$6,IF(ISNUMBER(SEARCH(Assumptions!$C$7,G4849)),Assumptions!$D$7,"Other Services"))),"Other Services"))</f>
        <v/>
      </c>
    </row>
    <row r="4850" customFormat="false" ht="15" hidden="false" customHeight="false" outlineLevel="0" collapsed="false">
      <c r="E4850" s="41" t="str">
        <f aca="false">IF(D4850="","",IFERROR(VLOOKUP(D4850,Assumptions!$G$5:$H$16,2,0),"Other"))</f>
        <v/>
      </c>
      <c r="J4850" s="41" t="str">
        <f aca="false">IF(G4850="","",IFERROR(IF(ISNUMBER(SEARCH(Assumptions!$C$5,G4850)),Assumptions!$D$5,IF(ISNUMBER(SEARCH(Assumptions!$C$6,G4850)),Assumptions!$D$6,IF(ISNUMBER(SEARCH(Assumptions!$C$7,G4850)),Assumptions!$D$7,"Other Services"))),"Other Services"))</f>
        <v/>
      </c>
    </row>
    <row r="4851" customFormat="false" ht="15" hidden="false" customHeight="false" outlineLevel="0" collapsed="false">
      <c r="E4851" s="41" t="str">
        <f aca="false">IF(D4851="","",IFERROR(VLOOKUP(D4851,Assumptions!$G$5:$H$16,2,0),"Other"))</f>
        <v/>
      </c>
      <c r="J4851" s="41" t="str">
        <f aca="false">IF(G4851="","",IFERROR(IF(ISNUMBER(SEARCH(Assumptions!$C$5,G4851)),Assumptions!$D$5,IF(ISNUMBER(SEARCH(Assumptions!$C$6,G4851)),Assumptions!$D$6,IF(ISNUMBER(SEARCH(Assumptions!$C$7,G4851)),Assumptions!$D$7,"Other Services"))),"Other Services"))</f>
        <v/>
      </c>
    </row>
    <row r="4852" customFormat="false" ht="15" hidden="false" customHeight="false" outlineLevel="0" collapsed="false">
      <c r="E4852" s="41" t="str">
        <f aca="false">IF(D4852="","",IFERROR(VLOOKUP(D4852,Assumptions!$G$5:$H$16,2,0),"Other"))</f>
        <v/>
      </c>
      <c r="J4852" s="41" t="str">
        <f aca="false">IF(G4852="","",IFERROR(IF(ISNUMBER(SEARCH(Assumptions!$C$5,G4852)),Assumptions!$D$5,IF(ISNUMBER(SEARCH(Assumptions!$C$6,G4852)),Assumptions!$D$6,IF(ISNUMBER(SEARCH(Assumptions!$C$7,G4852)),Assumptions!$D$7,"Other Services"))),"Other Services"))</f>
        <v/>
      </c>
    </row>
    <row r="4853" customFormat="false" ht="15" hidden="false" customHeight="false" outlineLevel="0" collapsed="false">
      <c r="E4853" s="41" t="str">
        <f aca="false">IF(D4853="","",IFERROR(VLOOKUP(D4853,Assumptions!$G$5:$H$16,2,0),"Other"))</f>
        <v/>
      </c>
      <c r="J4853" s="41" t="str">
        <f aca="false">IF(G4853="","",IFERROR(IF(ISNUMBER(SEARCH(Assumptions!$C$5,G4853)),Assumptions!$D$5,IF(ISNUMBER(SEARCH(Assumptions!$C$6,G4853)),Assumptions!$D$6,IF(ISNUMBER(SEARCH(Assumptions!$C$7,G4853)),Assumptions!$D$7,"Other Services"))),"Other Services"))</f>
        <v/>
      </c>
    </row>
    <row r="4854" customFormat="false" ht="15" hidden="false" customHeight="false" outlineLevel="0" collapsed="false">
      <c r="E4854" s="41" t="str">
        <f aca="false">IF(D4854="","",IFERROR(VLOOKUP(D4854,Assumptions!$G$5:$H$16,2,0),"Other"))</f>
        <v/>
      </c>
      <c r="J4854" s="41" t="str">
        <f aca="false">IF(G4854="","",IFERROR(IF(ISNUMBER(SEARCH(Assumptions!$C$5,G4854)),Assumptions!$D$5,IF(ISNUMBER(SEARCH(Assumptions!$C$6,G4854)),Assumptions!$D$6,IF(ISNUMBER(SEARCH(Assumptions!$C$7,G4854)),Assumptions!$D$7,"Other Services"))),"Other Services"))</f>
        <v/>
      </c>
    </row>
    <row r="4855" customFormat="false" ht="15" hidden="false" customHeight="false" outlineLevel="0" collapsed="false">
      <c r="E4855" s="41" t="str">
        <f aca="false">IF(D4855="","",IFERROR(VLOOKUP(D4855,Assumptions!$G$5:$H$16,2,0),"Other"))</f>
        <v/>
      </c>
      <c r="J4855" s="41" t="str">
        <f aca="false">IF(G4855="","",IFERROR(IF(ISNUMBER(SEARCH(Assumptions!$C$5,G4855)),Assumptions!$D$5,IF(ISNUMBER(SEARCH(Assumptions!$C$6,G4855)),Assumptions!$D$6,IF(ISNUMBER(SEARCH(Assumptions!$C$7,G4855)),Assumptions!$D$7,"Other Services"))),"Other Services"))</f>
        <v/>
      </c>
    </row>
    <row r="4856" customFormat="false" ht="15" hidden="false" customHeight="false" outlineLevel="0" collapsed="false">
      <c r="E4856" s="41" t="str">
        <f aca="false">IF(D4856="","",IFERROR(VLOOKUP(D4856,Assumptions!$G$5:$H$16,2,0),"Other"))</f>
        <v/>
      </c>
      <c r="J4856" s="41" t="str">
        <f aca="false">IF(G4856="","",IFERROR(IF(ISNUMBER(SEARCH(Assumptions!$C$5,G4856)),Assumptions!$D$5,IF(ISNUMBER(SEARCH(Assumptions!$C$6,G4856)),Assumptions!$D$6,IF(ISNUMBER(SEARCH(Assumptions!$C$7,G4856)),Assumptions!$D$7,"Other Services"))),"Other Services"))</f>
        <v/>
      </c>
    </row>
    <row r="4857" customFormat="false" ht="15" hidden="false" customHeight="false" outlineLevel="0" collapsed="false">
      <c r="E4857" s="41" t="str">
        <f aca="false">IF(D4857="","",IFERROR(VLOOKUP(D4857,Assumptions!$G$5:$H$16,2,0),"Other"))</f>
        <v/>
      </c>
      <c r="J4857" s="41" t="str">
        <f aca="false">IF(G4857="","",IFERROR(IF(ISNUMBER(SEARCH(Assumptions!$C$5,G4857)),Assumptions!$D$5,IF(ISNUMBER(SEARCH(Assumptions!$C$6,G4857)),Assumptions!$D$6,IF(ISNUMBER(SEARCH(Assumptions!$C$7,G4857)),Assumptions!$D$7,"Other Services"))),"Other Services"))</f>
        <v/>
      </c>
    </row>
    <row r="4858" customFormat="false" ht="15" hidden="false" customHeight="false" outlineLevel="0" collapsed="false">
      <c r="E4858" s="41" t="str">
        <f aca="false">IF(D4858="","",IFERROR(VLOOKUP(D4858,Assumptions!$G$5:$H$16,2,0),"Other"))</f>
        <v/>
      </c>
      <c r="J4858" s="41" t="str">
        <f aca="false">IF(G4858="","",IFERROR(IF(ISNUMBER(SEARCH(Assumptions!$C$5,G4858)),Assumptions!$D$5,IF(ISNUMBER(SEARCH(Assumptions!$C$6,G4858)),Assumptions!$D$6,IF(ISNUMBER(SEARCH(Assumptions!$C$7,G4858)),Assumptions!$D$7,"Other Services"))),"Other Services"))</f>
        <v/>
      </c>
    </row>
    <row r="4859" customFormat="false" ht="15" hidden="false" customHeight="false" outlineLevel="0" collapsed="false">
      <c r="E4859" s="41" t="str">
        <f aca="false">IF(D4859="","",IFERROR(VLOOKUP(D4859,Assumptions!$G$5:$H$16,2,0),"Other"))</f>
        <v/>
      </c>
      <c r="J4859" s="41" t="str">
        <f aca="false">IF(G4859="","",IFERROR(IF(ISNUMBER(SEARCH(Assumptions!$C$5,G4859)),Assumptions!$D$5,IF(ISNUMBER(SEARCH(Assumptions!$C$6,G4859)),Assumptions!$D$6,IF(ISNUMBER(SEARCH(Assumptions!$C$7,G4859)),Assumptions!$D$7,"Other Services"))),"Other Services"))</f>
        <v/>
      </c>
    </row>
    <row r="4860" customFormat="false" ht="15" hidden="false" customHeight="false" outlineLevel="0" collapsed="false">
      <c r="E4860" s="41" t="str">
        <f aca="false">IF(D4860="","",IFERROR(VLOOKUP(D4860,Assumptions!$G$5:$H$16,2,0),"Other"))</f>
        <v/>
      </c>
      <c r="J4860" s="41" t="str">
        <f aca="false">IF(G4860="","",IFERROR(IF(ISNUMBER(SEARCH(Assumptions!$C$5,G4860)),Assumptions!$D$5,IF(ISNUMBER(SEARCH(Assumptions!$C$6,G4860)),Assumptions!$D$6,IF(ISNUMBER(SEARCH(Assumptions!$C$7,G4860)),Assumptions!$D$7,"Other Services"))),"Other Services"))</f>
        <v/>
      </c>
    </row>
    <row r="4861" customFormat="false" ht="15" hidden="false" customHeight="false" outlineLevel="0" collapsed="false">
      <c r="E4861" s="41" t="str">
        <f aca="false">IF(D4861="","",IFERROR(VLOOKUP(D4861,Assumptions!$G$5:$H$16,2,0),"Other"))</f>
        <v/>
      </c>
      <c r="J4861" s="41" t="str">
        <f aca="false">IF(G4861="","",IFERROR(IF(ISNUMBER(SEARCH(Assumptions!$C$5,G4861)),Assumptions!$D$5,IF(ISNUMBER(SEARCH(Assumptions!$C$6,G4861)),Assumptions!$D$6,IF(ISNUMBER(SEARCH(Assumptions!$C$7,G4861)),Assumptions!$D$7,"Other Services"))),"Other Services"))</f>
        <v/>
      </c>
    </row>
    <row r="4862" customFormat="false" ht="15" hidden="false" customHeight="false" outlineLevel="0" collapsed="false">
      <c r="E4862" s="41" t="str">
        <f aca="false">IF(D4862="","",IFERROR(VLOOKUP(D4862,Assumptions!$G$5:$H$16,2,0),"Other"))</f>
        <v/>
      </c>
      <c r="J4862" s="41" t="str">
        <f aca="false">IF(G4862="","",IFERROR(IF(ISNUMBER(SEARCH(Assumptions!$C$5,G4862)),Assumptions!$D$5,IF(ISNUMBER(SEARCH(Assumptions!$C$6,G4862)),Assumptions!$D$6,IF(ISNUMBER(SEARCH(Assumptions!$C$7,G4862)),Assumptions!$D$7,"Other Services"))),"Other Services"))</f>
        <v/>
      </c>
    </row>
    <row r="4863" customFormat="false" ht="15" hidden="false" customHeight="false" outlineLevel="0" collapsed="false">
      <c r="E4863" s="41" t="str">
        <f aca="false">IF(D4863="","",IFERROR(VLOOKUP(D4863,Assumptions!$G$5:$H$16,2,0),"Other"))</f>
        <v/>
      </c>
      <c r="J4863" s="41" t="str">
        <f aca="false">IF(G4863="","",IFERROR(IF(ISNUMBER(SEARCH(Assumptions!$C$5,G4863)),Assumptions!$D$5,IF(ISNUMBER(SEARCH(Assumptions!$C$6,G4863)),Assumptions!$D$6,IF(ISNUMBER(SEARCH(Assumptions!$C$7,G4863)),Assumptions!$D$7,"Other Services"))),"Other Services"))</f>
        <v/>
      </c>
    </row>
    <row r="4864" customFormat="false" ht="15" hidden="false" customHeight="false" outlineLevel="0" collapsed="false">
      <c r="E4864" s="41" t="str">
        <f aca="false">IF(D4864="","",IFERROR(VLOOKUP(D4864,Assumptions!$G$5:$H$16,2,0),"Other"))</f>
        <v/>
      </c>
      <c r="J4864" s="41" t="str">
        <f aca="false">IF(G4864="","",IFERROR(IF(ISNUMBER(SEARCH(Assumptions!$C$5,G4864)),Assumptions!$D$5,IF(ISNUMBER(SEARCH(Assumptions!$C$6,G4864)),Assumptions!$D$6,IF(ISNUMBER(SEARCH(Assumptions!$C$7,G4864)),Assumptions!$D$7,"Other Services"))),"Other Services"))</f>
        <v/>
      </c>
    </row>
    <row r="4865" customFormat="false" ht="15" hidden="false" customHeight="false" outlineLevel="0" collapsed="false">
      <c r="E4865" s="41" t="str">
        <f aca="false">IF(D4865="","",IFERROR(VLOOKUP(D4865,Assumptions!$G$5:$H$16,2,0),"Other"))</f>
        <v/>
      </c>
      <c r="J4865" s="41" t="str">
        <f aca="false">IF(G4865="","",IFERROR(IF(ISNUMBER(SEARCH(Assumptions!$C$5,G4865)),Assumptions!$D$5,IF(ISNUMBER(SEARCH(Assumptions!$C$6,G4865)),Assumptions!$D$6,IF(ISNUMBER(SEARCH(Assumptions!$C$7,G4865)),Assumptions!$D$7,"Other Services"))),"Other Services"))</f>
        <v/>
      </c>
    </row>
    <row r="4866" customFormat="false" ht="15" hidden="false" customHeight="false" outlineLevel="0" collapsed="false">
      <c r="E4866" s="41" t="str">
        <f aca="false">IF(D4866="","",IFERROR(VLOOKUP(D4866,Assumptions!$G$5:$H$16,2,0),"Other"))</f>
        <v/>
      </c>
      <c r="J4866" s="41" t="str">
        <f aca="false">IF(G4866="","",IFERROR(IF(ISNUMBER(SEARCH(Assumptions!$C$5,G4866)),Assumptions!$D$5,IF(ISNUMBER(SEARCH(Assumptions!$C$6,G4866)),Assumptions!$D$6,IF(ISNUMBER(SEARCH(Assumptions!$C$7,G4866)),Assumptions!$D$7,"Other Services"))),"Other Services"))</f>
        <v/>
      </c>
    </row>
    <row r="4867" customFormat="false" ht="15" hidden="false" customHeight="false" outlineLevel="0" collapsed="false">
      <c r="E4867" s="41" t="str">
        <f aca="false">IF(D4867="","",IFERROR(VLOOKUP(D4867,Assumptions!$G$5:$H$16,2,0),"Other"))</f>
        <v/>
      </c>
      <c r="J4867" s="41" t="str">
        <f aca="false">IF(G4867="","",IFERROR(IF(ISNUMBER(SEARCH(Assumptions!$C$5,G4867)),Assumptions!$D$5,IF(ISNUMBER(SEARCH(Assumptions!$C$6,G4867)),Assumptions!$D$6,IF(ISNUMBER(SEARCH(Assumptions!$C$7,G4867)),Assumptions!$D$7,"Other Services"))),"Other Services"))</f>
        <v/>
      </c>
    </row>
    <row r="4868" customFormat="false" ht="15" hidden="false" customHeight="false" outlineLevel="0" collapsed="false">
      <c r="E4868" s="41" t="str">
        <f aca="false">IF(D4868="","",IFERROR(VLOOKUP(D4868,Assumptions!$G$5:$H$16,2,0),"Other"))</f>
        <v/>
      </c>
      <c r="J4868" s="41" t="str">
        <f aca="false">IF(G4868="","",IFERROR(IF(ISNUMBER(SEARCH(Assumptions!$C$5,G4868)),Assumptions!$D$5,IF(ISNUMBER(SEARCH(Assumptions!$C$6,G4868)),Assumptions!$D$6,IF(ISNUMBER(SEARCH(Assumptions!$C$7,G4868)),Assumptions!$D$7,"Other Services"))),"Other Services"))</f>
        <v/>
      </c>
    </row>
    <row r="4869" customFormat="false" ht="15" hidden="false" customHeight="false" outlineLevel="0" collapsed="false">
      <c r="E4869" s="41" t="str">
        <f aca="false">IF(D4869="","",IFERROR(VLOOKUP(D4869,Assumptions!$G$5:$H$16,2,0),"Other"))</f>
        <v/>
      </c>
      <c r="J4869" s="41" t="str">
        <f aca="false">IF(G4869="","",IFERROR(IF(ISNUMBER(SEARCH(Assumptions!$C$5,G4869)),Assumptions!$D$5,IF(ISNUMBER(SEARCH(Assumptions!$C$6,G4869)),Assumptions!$D$6,IF(ISNUMBER(SEARCH(Assumptions!$C$7,G4869)),Assumptions!$D$7,"Other Services"))),"Other Services"))</f>
        <v/>
      </c>
    </row>
    <row r="4870" customFormat="false" ht="15" hidden="false" customHeight="false" outlineLevel="0" collapsed="false">
      <c r="E4870" s="41" t="str">
        <f aca="false">IF(D4870="","",IFERROR(VLOOKUP(D4870,Assumptions!$G$5:$H$16,2,0),"Other"))</f>
        <v/>
      </c>
      <c r="J4870" s="41" t="str">
        <f aca="false">IF(G4870="","",IFERROR(IF(ISNUMBER(SEARCH(Assumptions!$C$5,G4870)),Assumptions!$D$5,IF(ISNUMBER(SEARCH(Assumptions!$C$6,G4870)),Assumptions!$D$6,IF(ISNUMBER(SEARCH(Assumptions!$C$7,G4870)),Assumptions!$D$7,"Other Services"))),"Other Services"))</f>
        <v/>
      </c>
    </row>
    <row r="4871" customFormat="false" ht="15" hidden="false" customHeight="false" outlineLevel="0" collapsed="false">
      <c r="E4871" s="41" t="str">
        <f aca="false">IF(D4871="","",IFERROR(VLOOKUP(D4871,Assumptions!$G$5:$H$16,2,0),"Other"))</f>
        <v/>
      </c>
      <c r="J4871" s="41" t="str">
        <f aca="false">IF(G4871="","",IFERROR(IF(ISNUMBER(SEARCH(Assumptions!$C$5,G4871)),Assumptions!$D$5,IF(ISNUMBER(SEARCH(Assumptions!$C$6,G4871)),Assumptions!$D$6,IF(ISNUMBER(SEARCH(Assumptions!$C$7,G4871)),Assumptions!$D$7,"Other Services"))),"Other Services"))</f>
        <v/>
      </c>
    </row>
    <row r="4872" customFormat="false" ht="15" hidden="false" customHeight="false" outlineLevel="0" collapsed="false">
      <c r="E4872" s="41" t="str">
        <f aca="false">IF(D4872="","",IFERROR(VLOOKUP(D4872,Assumptions!$G$5:$H$16,2,0),"Other"))</f>
        <v/>
      </c>
      <c r="J4872" s="41" t="str">
        <f aca="false">IF(G4872="","",IFERROR(IF(ISNUMBER(SEARCH(Assumptions!$C$5,G4872)),Assumptions!$D$5,IF(ISNUMBER(SEARCH(Assumptions!$C$6,G4872)),Assumptions!$D$6,IF(ISNUMBER(SEARCH(Assumptions!$C$7,G4872)),Assumptions!$D$7,"Other Services"))),"Other Services"))</f>
        <v/>
      </c>
    </row>
    <row r="4873" customFormat="false" ht="15" hidden="false" customHeight="false" outlineLevel="0" collapsed="false">
      <c r="E4873" s="41" t="str">
        <f aca="false">IF(D4873="","",IFERROR(VLOOKUP(D4873,Assumptions!$G$5:$H$16,2,0),"Other"))</f>
        <v/>
      </c>
      <c r="J4873" s="41" t="str">
        <f aca="false">IF(G4873="","",IFERROR(IF(ISNUMBER(SEARCH(Assumptions!$C$5,G4873)),Assumptions!$D$5,IF(ISNUMBER(SEARCH(Assumptions!$C$6,G4873)),Assumptions!$D$6,IF(ISNUMBER(SEARCH(Assumptions!$C$7,G4873)),Assumptions!$D$7,"Other Services"))),"Other Services"))</f>
        <v/>
      </c>
    </row>
    <row r="4874" customFormat="false" ht="15" hidden="false" customHeight="false" outlineLevel="0" collapsed="false">
      <c r="E4874" s="41" t="str">
        <f aca="false">IF(D4874="","",IFERROR(VLOOKUP(D4874,Assumptions!$G$5:$H$16,2,0),"Other"))</f>
        <v/>
      </c>
      <c r="J4874" s="41" t="str">
        <f aca="false">IF(G4874="","",IFERROR(IF(ISNUMBER(SEARCH(Assumptions!$C$5,G4874)),Assumptions!$D$5,IF(ISNUMBER(SEARCH(Assumptions!$C$6,G4874)),Assumptions!$D$6,IF(ISNUMBER(SEARCH(Assumptions!$C$7,G4874)),Assumptions!$D$7,"Other Services"))),"Other Services"))</f>
        <v/>
      </c>
    </row>
    <row r="4875" customFormat="false" ht="15" hidden="false" customHeight="false" outlineLevel="0" collapsed="false">
      <c r="E4875" s="41" t="str">
        <f aca="false">IF(D4875="","",IFERROR(VLOOKUP(D4875,Assumptions!$G$5:$H$16,2,0),"Other"))</f>
        <v/>
      </c>
      <c r="J4875" s="41" t="str">
        <f aca="false">IF(G4875="","",IFERROR(IF(ISNUMBER(SEARCH(Assumptions!$C$5,G4875)),Assumptions!$D$5,IF(ISNUMBER(SEARCH(Assumptions!$C$6,G4875)),Assumptions!$D$6,IF(ISNUMBER(SEARCH(Assumptions!$C$7,G4875)),Assumptions!$D$7,"Other Services"))),"Other Services"))</f>
        <v/>
      </c>
    </row>
    <row r="4876" customFormat="false" ht="15" hidden="false" customHeight="false" outlineLevel="0" collapsed="false">
      <c r="E4876" s="41" t="str">
        <f aca="false">IF(D4876="","",IFERROR(VLOOKUP(D4876,Assumptions!$G$5:$H$16,2,0),"Other"))</f>
        <v/>
      </c>
      <c r="J4876" s="41" t="str">
        <f aca="false">IF(G4876="","",IFERROR(IF(ISNUMBER(SEARCH(Assumptions!$C$5,G4876)),Assumptions!$D$5,IF(ISNUMBER(SEARCH(Assumptions!$C$6,G4876)),Assumptions!$D$6,IF(ISNUMBER(SEARCH(Assumptions!$C$7,G4876)),Assumptions!$D$7,"Other Services"))),"Other Services"))</f>
        <v/>
      </c>
    </row>
    <row r="4877" customFormat="false" ht="15" hidden="false" customHeight="false" outlineLevel="0" collapsed="false">
      <c r="E4877" s="41" t="str">
        <f aca="false">IF(D4877="","",IFERROR(VLOOKUP(D4877,Assumptions!$G$5:$H$16,2,0),"Other"))</f>
        <v/>
      </c>
      <c r="J4877" s="41" t="str">
        <f aca="false">IF(G4877="","",IFERROR(IF(ISNUMBER(SEARCH(Assumptions!$C$5,G4877)),Assumptions!$D$5,IF(ISNUMBER(SEARCH(Assumptions!$C$6,G4877)),Assumptions!$D$6,IF(ISNUMBER(SEARCH(Assumptions!$C$7,G4877)),Assumptions!$D$7,"Other Services"))),"Other Services"))</f>
        <v/>
      </c>
    </row>
    <row r="4878" customFormat="false" ht="15" hidden="false" customHeight="false" outlineLevel="0" collapsed="false">
      <c r="E4878" s="41" t="str">
        <f aca="false">IF(D4878="","",IFERROR(VLOOKUP(D4878,Assumptions!$G$5:$H$16,2,0),"Other"))</f>
        <v/>
      </c>
      <c r="J4878" s="41" t="str">
        <f aca="false">IF(G4878="","",IFERROR(IF(ISNUMBER(SEARCH(Assumptions!$C$5,G4878)),Assumptions!$D$5,IF(ISNUMBER(SEARCH(Assumptions!$C$6,G4878)),Assumptions!$D$6,IF(ISNUMBER(SEARCH(Assumptions!$C$7,G4878)),Assumptions!$D$7,"Other Services"))),"Other Services"))</f>
        <v/>
      </c>
    </row>
    <row r="4879" customFormat="false" ht="15" hidden="false" customHeight="false" outlineLevel="0" collapsed="false">
      <c r="E4879" s="41" t="str">
        <f aca="false">IF(D4879="","",IFERROR(VLOOKUP(D4879,Assumptions!$G$5:$H$16,2,0),"Other"))</f>
        <v/>
      </c>
      <c r="J4879" s="41" t="str">
        <f aca="false">IF(G4879="","",IFERROR(IF(ISNUMBER(SEARCH(Assumptions!$C$5,G4879)),Assumptions!$D$5,IF(ISNUMBER(SEARCH(Assumptions!$C$6,G4879)),Assumptions!$D$6,IF(ISNUMBER(SEARCH(Assumptions!$C$7,G4879)),Assumptions!$D$7,"Other Services"))),"Other Services"))</f>
        <v/>
      </c>
    </row>
    <row r="4880" customFormat="false" ht="15" hidden="false" customHeight="false" outlineLevel="0" collapsed="false">
      <c r="E4880" s="41" t="str">
        <f aca="false">IF(D4880="","",IFERROR(VLOOKUP(D4880,Assumptions!$G$5:$H$16,2,0),"Other"))</f>
        <v/>
      </c>
      <c r="J4880" s="41" t="str">
        <f aca="false">IF(G4880="","",IFERROR(IF(ISNUMBER(SEARCH(Assumptions!$C$5,G4880)),Assumptions!$D$5,IF(ISNUMBER(SEARCH(Assumptions!$C$6,G4880)),Assumptions!$D$6,IF(ISNUMBER(SEARCH(Assumptions!$C$7,G4880)),Assumptions!$D$7,"Other Services"))),"Other Services"))</f>
        <v/>
      </c>
    </row>
    <row r="4881" customFormat="false" ht="15" hidden="false" customHeight="false" outlineLevel="0" collapsed="false">
      <c r="E4881" s="41" t="str">
        <f aca="false">IF(D4881="","",IFERROR(VLOOKUP(D4881,Assumptions!$G$5:$H$16,2,0),"Other"))</f>
        <v/>
      </c>
      <c r="J4881" s="41" t="str">
        <f aca="false">IF(G4881="","",IFERROR(IF(ISNUMBER(SEARCH(Assumptions!$C$5,G4881)),Assumptions!$D$5,IF(ISNUMBER(SEARCH(Assumptions!$C$6,G4881)),Assumptions!$D$6,IF(ISNUMBER(SEARCH(Assumptions!$C$7,G4881)),Assumptions!$D$7,"Other Services"))),"Other Services"))</f>
        <v/>
      </c>
    </row>
    <row r="4882" customFormat="false" ht="15" hidden="false" customHeight="false" outlineLevel="0" collapsed="false">
      <c r="E4882" s="41" t="str">
        <f aca="false">IF(D4882="","",IFERROR(VLOOKUP(D4882,Assumptions!$G$5:$H$16,2,0),"Other"))</f>
        <v/>
      </c>
      <c r="J4882" s="41" t="str">
        <f aca="false">IF(G4882="","",IFERROR(IF(ISNUMBER(SEARCH(Assumptions!$C$5,G4882)),Assumptions!$D$5,IF(ISNUMBER(SEARCH(Assumptions!$C$6,G4882)),Assumptions!$D$6,IF(ISNUMBER(SEARCH(Assumptions!$C$7,G4882)),Assumptions!$D$7,"Other Services"))),"Other Services"))</f>
        <v/>
      </c>
    </row>
    <row r="4883" customFormat="false" ht="15" hidden="false" customHeight="false" outlineLevel="0" collapsed="false">
      <c r="E4883" s="41" t="str">
        <f aca="false">IF(D4883="","",IFERROR(VLOOKUP(D4883,Assumptions!$G$5:$H$16,2,0),"Other"))</f>
        <v/>
      </c>
      <c r="J4883" s="41" t="str">
        <f aca="false">IF(G4883="","",IFERROR(IF(ISNUMBER(SEARCH(Assumptions!$C$5,G4883)),Assumptions!$D$5,IF(ISNUMBER(SEARCH(Assumptions!$C$6,G4883)),Assumptions!$D$6,IF(ISNUMBER(SEARCH(Assumptions!$C$7,G4883)),Assumptions!$D$7,"Other Services"))),"Other Services"))</f>
        <v/>
      </c>
    </row>
    <row r="4884" customFormat="false" ht="15" hidden="false" customHeight="false" outlineLevel="0" collapsed="false">
      <c r="E4884" s="41" t="str">
        <f aca="false">IF(D4884="","",IFERROR(VLOOKUP(D4884,Assumptions!$G$5:$H$16,2,0),"Other"))</f>
        <v/>
      </c>
      <c r="J4884" s="41" t="str">
        <f aca="false">IF(G4884="","",IFERROR(IF(ISNUMBER(SEARCH(Assumptions!$C$5,G4884)),Assumptions!$D$5,IF(ISNUMBER(SEARCH(Assumptions!$C$6,G4884)),Assumptions!$D$6,IF(ISNUMBER(SEARCH(Assumptions!$C$7,G4884)),Assumptions!$D$7,"Other Services"))),"Other Services"))</f>
        <v/>
      </c>
    </row>
    <row r="4885" customFormat="false" ht="15" hidden="false" customHeight="false" outlineLevel="0" collapsed="false">
      <c r="E4885" s="41" t="str">
        <f aca="false">IF(D4885="","",IFERROR(VLOOKUP(D4885,Assumptions!$G$5:$H$16,2,0),"Other"))</f>
        <v/>
      </c>
      <c r="J4885" s="41" t="str">
        <f aca="false">IF(G4885="","",IFERROR(IF(ISNUMBER(SEARCH(Assumptions!$C$5,G4885)),Assumptions!$D$5,IF(ISNUMBER(SEARCH(Assumptions!$C$6,G4885)),Assumptions!$D$6,IF(ISNUMBER(SEARCH(Assumptions!$C$7,G4885)),Assumptions!$D$7,"Other Services"))),"Other Services"))</f>
        <v/>
      </c>
    </row>
    <row r="4886" customFormat="false" ht="15" hidden="false" customHeight="false" outlineLevel="0" collapsed="false">
      <c r="E4886" s="41" t="str">
        <f aca="false">IF(D4886="","",IFERROR(VLOOKUP(D4886,Assumptions!$G$5:$H$16,2,0),"Other"))</f>
        <v/>
      </c>
      <c r="J4886" s="41" t="str">
        <f aca="false">IF(G4886="","",IFERROR(IF(ISNUMBER(SEARCH(Assumptions!$C$5,G4886)),Assumptions!$D$5,IF(ISNUMBER(SEARCH(Assumptions!$C$6,G4886)),Assumptions!$D$6,IF(ISNUMBER(SEARCH(Assumptions!$C$7,G4886)),Assumptions!$D$7,"Other Services"))),"Other Services"))</f>
        <v/>
      </c>
    </row>
    <row r="4887" customFormat="false" ht="15" hidden="false" customHeight="false" outlineLevel="0" collapsed="false">
      <c r="E4887" s="41" t="str">
        <f aca="false">IF(D4887="","",IFERROR(VLOOKUP(D4887,Assumptions!$G$5:$H$16,2,0),"Other"))</f>
        <v/>
      </c>
      <c r="J4887" s="41" t="str">
        <f aca="false">IF(G4887="","",IFERROR(IF(ISNUMBER(SEARCH(Assumptions!$C$5,G4887)),Assumptions!$D$5,IF(ISNUMBER(SEARCH(Assumptions!$C$6,G4887)),Assumptions!$D$6,IF(ISNUMBER(SEARCH(Assumptions!$C$7,G4887)),Assumptions!$D$7,"Other Services"))),"Other Services"))</f>
        <v/>
      </c>
    </row>
    <row r="4888" customFormat="false" ht="15" hidden="false" customHeight="false" outlineLevel="0" collapsed="false">
      <c r="E4888" s="41" t="str">
        <f aca="false">IF(D4888="","",IFERROR(VLOOKUP(D4888,Assumptions!$G$5:$H$16,2,0),"Other"))</f>
        <v/>
      </c>
      <c r="J4888" s="41" t="str">
        <f aca="false">IF(G4888="","",IFERROR(IF(ISNUMBER(SEARCH(Assumptions!$C$5,G4888)),Assumptions!$D$5,IF(ISNUMBER(SEARCH(Assumptions!$C$6,G4888)),Assumptions!$D$6,IF(ISNUMBER(SEARCH(Assumptions!$C$7,G4888)),Assumptions!$D$7,"Other Services"))),"Other Services"))</f>
        <v/>
      </c>
    </row>
    <row r="4889" customFormat="false" ht="15" hidden="false" customHeight="false" outlineLevel="0" collapsed="false">
      <c r="E4889" s="41" t="str">
        <f aca="false">IF(D4889="","",IFERROR(VLOOKUP(D4889,Assumptions!$G$5:$H$16,2,0),"Other"))</f>
        <v/>
      </c>
      <c r="J4889" s="41" t="str">
        <f aca="false">IF(G4889="","",IFERROR(IF(ISNUMBER(SEARCH(Assumptions!$C$5,G4889)),Assumptions!$D$5,IF(ISNUMBER(SEARCH(Assumptions!$C$6,G4889)),Assumptions!$D$6,IF(ISNUMBER(SEARCH(Assumptions!$C$7,G4889)),Assumptions!$D$7,"Other Services"))),"Other Services"))</f>
        <v/>
      </c>
    </row>
    <row r="4890" customFormat="false" ht="15" hidden="false" customHeight="false" outlineLevel="0" collapsed="false">
      <c r="E4890" s="41" t="str">
        <f aca="false">IF(D4890="","",IFERROR(VLOOKUP(D4890,Assumptions!$G$5:$H$16,2,0),"Other"))</f>
        <v/>
      </c>
      <c r="J4890" s="41" t="str">
        <f aca="false">IF(G4890="","",IFERROR(IF(ISNUMBER(SEARCH(Assumptions!$C$5,G4890)),Assumptions!$D$5,IF(ISNUMBER(SEARCH(Assumptions!$C$6,G4890)),Assumptions!$D$6,IF(ISNUMBER(SEARCH(Assumptions!$C$7,G4890)),Assumptions!$D$7,"Other Services"))),"Other Services"))</f>
        <v/>
      </c>
    </row>
    <row r="4891" customFormat="false" ht="15" hidden="false" customHeight="false" outlineLevel="0" collapsed="false">
      <c r="E4891" s="41" t="str">
        <f aca="false">IF(D4891="","",IFERROR(VLOOKUP(D4891,Assumptions!$G$5:$H$16,2,0),"Other"))</f>
        <v/>
      </c>
      <c r="J4891" s="41" t="str">
        <f aca="false">IF(G4891="","",IFERROR(IF(ISNUMBER(SEARCH(Assumptions!$C$5,G4891)),Assumptions!$D$5,IF(ISNUMBER(SEARCH(Assumptions!$C$6,G4891)),Assumptions!$D$6,IF(ISNUMBER(SEARCH(Assumptions!$C$7,G4891)),Assumptions!$D$7,"Other Services"))),"Other Services"))</f>
        <v/>
      </c>
    </row>
    <row r="4892" customFormat="false" ht="15" hidden="false" customHeight="false" outlineLevel="0" collapsed="false">
      <c r="E4892" s="41" t="str">
        <f aca="false">IF(D4892="","",IFERROR(VLOOKUP(D4892,Assumptions!$G$5:$H$16,2,0),"Other"))</f>
        <v/>
      </c>
      <c r="J4892" s="41" t="str">
        <f aca="false">IF(G4892="","",IFERROR(IF(ISNUMBER(SEARCH(Assumptions!$C$5,G4892)),Assumptions!$D$5,IF(ISNUMBER(SEARCH(Assumptions!$C$6,G4892)),Assumptions!$D$6,IF(ISNUMBER(SEARCH(Assumptions!$C$7,G4892)),Assumptions!$D$7,"Other Services"))),"Other Services"))</f>
        <v/>
      </c>
    </row>
    <row r="4893" customFormat="false" ht="15" hidden="false" customHeight="false" outlineLevel="0" collapsed="false">
      <c r="E4893" s="41" t="str">
        <f aca="false">IF(D4893="","",IFERROR(VLOOKUP(D4893,Assumptions!$G$5:$H$16,2,0),"Other"))</f>
        <v/>
      </c>
      <c r="J4893" s="41" t="str">
        <f aca="false">IF(G4893="","",IFERROR(IF(ISNUMBER(SEARCH(Assumptions!$C$5,G4893)),Assumptions!$D$5,IF(ISNUMBER(SEARCH(Assumptions!$C$6,G4893)),Assumptions!$D$6,IF(ISNUMBER(SEARCH(Assumptions!$C$7,G4893)),Assumptions!$D$7,"Other Services"))),"Other Services"))</f>
        <v/>
      </c>
    </row>
    <row r="4894" customFormat="false" ht="15" hidden="false" customHeight="false" outlineLevel="0" collapsed="false">
      <c r="E4894" s="41" t="str">
        <f aca="false">IF(D4894="","",IFERROR(VLOOKUP(D4894,Assumptions!$G$5:$H$16,2,0),"Other"))</f>
        <v/>
      </c>
      <c r="J4894" s="41" t="str">
        <f aca="false">IF(G4894="","",IFERROR(IF(ISNUMBER(SEARCH(Assumptions!$C$5,G4894)),Assumptions!$D$5,IF(ISNUMBER(SEARCH(Assumptions!$C$6,G4894)),Assumptions!$D$6,IF(ISNUMBER(SEARCH(Assumptions!$C$7,G4894)),Assumptions!$D$7,"Other Services"))),"Other Services"))</f>
        <v/>
      </c>
    </row>
    <row r="4895" customFormat="false" ht="15" hidden="false" customHeight="false" outlineLevel="0" collapsed="false">
      <c r="E4895" s="41" t="str">
        <f aca="false">IF(D4895="","",IFERROR(VLOOKUP(D4895,Assumptions!$G$5:$H$16,2,0),"Other"))</f>
        <v/>
      </c>
      <c r="J4895" s="41" t="str">
        <f aca="false">IF(G4895="","",IFERROR(IF(ISNUMBER(SEARCH(Assumptions!$C$5,G4895)),Assumptions!$D$5,IF(ISNUMBER(SEARCH(Assumptions!$C$6,G4895)),Assumptions!$D$6,IF(ISNUMBER(SEARCH(Assumptions!$C$7,G4895)),Assumptions!$D$7,"Other Services"))),"Other Services"))</f>
        <v/>
      </c>
    </row>
    <row r="4896" customFormat="false" ht="15" hidden="false" customHeight="false" outlineLevel="0" collapsed="false">
      <c r="E4896" s="41" t="str">
        <f aca="false">IF(D4896="","",IFERROR(VLOOKUP(D4896,Assumptions!$G$5:$H$16,2,0),"Other"))</f>
        <v/>
      </c>
      <c r="J4896" s="41" t="str">
        <f aca="false">IF(G4896="","",IFERROR(IF(ISNUMBER(SEARCH(Assumptions!$C$5,G4896)),Assumptions!$D$5,IF(ISNUMBER(SEARCH(Assumptions!$C$6,G4896)),Assumptions!$D$6,IF(ISNUMBER(SEARCH(Assumptions!$C$7,G4896)),Assumptions!$D$7,"Other Services"))),"Other Services"))</f>
        <v/>
      </c>
    </row>
    <row r="4897" customFormat="false" ht="15" hidden="false" customHeight="false" outlineLevel="0" collapsed="false">
      <c r="E4897" s="41" t="str">
        <f aca="false">IF(D4897="","",IFERROR(VLOOKUP(D4897,Assumptions!$G$5:$H$16,2,0),"Other"))</f>
        <v/>
      </c>
      <c r="J4897" s="41" t="str">
        <f aca="false">IF(G4897="","",IFERROR(IF(ISNUMBER(SEARCH(Assumptions!$C$5,G4897)),Assumptions!$D$5,IF(ISNUMBER(SEARCH(Assumptions!$C$6,G4897)),Assumptions!$D$6,IF(ISNUMBER(SEARCH(Assumptions!$C$7,G4897)),Assumptions!$D$7,"Other Services"))),"Other Services"))</f>
        <v/>
      </c>
    </row>
    <row r="4898" customFormat="false" ht="15" hidden="false" customHeight="false" outlineLevel="0" collapsed="false">
      <c r="E4898" s="41" t="str">
        <f aca="false">IF(D4898="","",IFERROR(VLOOKUP(D4898,Assumptions!$G$5:$H$16,2,0),"Other"))</f>
        <v/>
      </c>
      <c r="J4898" s="41" t="str">
        <f aca="false">IF(G4898="","",IFERROR(IF(ISNUMBER(SEARCH(Assumptions!$C$5,G4898)),Assumptions!$D$5,IF(ISNUMBER(SEARCH(Assumptions!$C$6,G4898)),Assumptions!$D$6,IF(ISNUMBER(SEARCH(Assumptions!$C$7,G4898)),Assumptions!$D$7,"Other Services"))),"Other Services"))</f>
        <v/>
      </c>
    </row>
    <row r="4899" customFormat="false" ht="15" hidden="false" customHeight="false" outlineLevel="0" collapsed="false">
      <c r="E4899" s="41" t="str">
        <f aca="false">IF(D4899="","",IFERROR(VLOOKUP(D4899,Assumptions!$G$5:$H$16,2,0),"Other"))</f>
        <v/>
      </c>
      <c r="J4899" s="41" t="str">
        <f aca="false">IF(G4899="","",IFERROR(IF(ISNUMBER(SEARCH(Assumptions!$C$5,G4899)),Assumptions!$D$5,IF(ISNUMBER(SEARCH(Assumptions!$C$6,G4899)),Assumptions!$D$6,IF(ISNUMBER(SEARCH(Assumptions!$C$7,G4899)),Assumptions!$D$7,"Other Services"))),"Other Services"))</f>
        <v/>
      </c>
    </row>
    <row r="4900" customFormat="false" ht="15" hidden="false" customHeight="false" outlineLevel="0" collapsed="false">
      <c r="E4900" s="41" t="str">
        <f aca="false">IF(D4900="","",IFERROR(VLOOKUP(D4900,Assumptions!$G$5:$H$16,2,0),"Other"))</f>
        <v/>
      </c>
      <c r="J4900" s="41" t="str">
        <f aca="false">IF(G4900="","",IFERROR(IF(ISNUMBER(SEARCH(Assumptions!$C$5,G4900)),Assumptions!$D$5,IF(ISNUMBER(SEARCH(Assumptions!$C$6,G4900)),Assumptions!$D$6,IF(ISNUMBER(SEARCH(Assumptions!$C$7,G4900)),Assumptions!$D$7,"Other Services"))),"Other Services"))</f>
        <v/>
      </c>
    </row>
    <row r="4901" customFormat="false" ht="15" hidden="false" customHeight="false" outlineLevel="0" collapsed="false">
      <c r="E4901" s="41" t="str">
        <f aca="false">IF(D4901="","",IFERROR(VLOOKUP(D4901,Assumptions!$G$5:$H$16,2,0),"Other"))</f>
        <v/>
      </c>
      <c r="J4901" s="41" t="str">
        <f aca="false">IF(G4901="","",IFERROR(IF(ISNUMBER(SEARCH(Assumptions!$C$5,G4901)),Assumptions!$D$5,IF(ISNUMBER(SEARCH(Assumptions!$C$6,G4901)),Assumptions!$D$6,IF(ISNUMBER(SEARCH(Assumptions!$C$7,G4901)),Assumptions!$D$7,"Other Services"))),"Other Services"))</f>
        <v/>
      </c>
    </row>
    <row r="4902" customFormat="false" ht="15" hidden="false" customHeight="false" outlineLevel="0" collapsed="false">
      <c r="E4902" s="41" t="str">
        <f aca="false">IF(D4902="","",IFERROR(VLOOKUP(D4902,Assumptions!$G$5:$H$16,2,0),"Other"))</f>
        <v/>
      </c>
      <c r="J4902" s="41" t="str">
        <f aca="false">IF(G4902="","",IFERROR(IF(ISNUMBER(SEARCH(Assumptions!$C$5,G4902)),Assumptions!$D$5,IF(ISNUMBER(SEARCH(Assumptions!$C$6,G4902)),Assumptions!$D$6,IF(ISNUMBER(SEARCH(Assumptions!$C$7,G4902)),Assumptions!$D$7,"Other Services"))),"Other Services"))</f>
        <v/>
      </c>
    </row>
    <row r="4903" customFormat="false" ht="15" hidden="false" customHeight="false" outlineLevel="0" collapsed="false">
      <c r="E4903" s="41" t="str">
        <f aca="false">IF(D4903="","",IFERROR(VLOOKUP(D4903,Assumptions!$G$5:$H$16,2,0),"Other"))</f>
        <v/>
      </c>
      <c r="J4903" s="41" t="str">
        <f aca="false">IF(G4903="","",IFERROR(IF(ISNUMBER(SEARCH(Assumptions!$C$5,G4903)),Assumptions!$D$5,IF(ISNUMBER(SEARCH(Assumptions!$C$6,G4903)),Assumptions!$D$6,IF(ISNUMBER(SEARCH(Assumptions!$C$7,G4903)),Assumptions!$D$7,"Other Services"))),"Other Services"))</f>
        <v/>
      </c>
    </row>
    <row r="4904" customFormat="false" ht="15" hidden="false" customHeight="false" outlineLevel="0" collapsed="false">
      <c r="E4904" s="41" t="str">
        <f aca="false">IF(D4904="","",IFERROR(VLOOKUP(D4904,Assumptions!$G$5:$H$16,2,0),"Other"))</f>
        <v/>
      </c>
      <c r="J4904" s="41" t="str">
        <f aca="false">IF(G4904="","",IFERROR(IF(ISNUMBER(SEARCH(Assumptions!$C$5,G4904)),Assumptions!$D$5,IF(ISNUMBER(SEARCH(Assumptions!$C$6,G4904)),Assumptions!$D$6,IF(ISNUMBER(SEARCH(Assumptions!$C$7,G4904)),Assumptions!$D$7,"Other Services"))),"Other Services"))</f>
        <v/>
      </c>
    </row>
    <row r="4905" customFormat="false" ht="15" hidden="false" customHeight="false" outlineLevel="0" collapsed="false">
      <c r="E4905" s="41" t="str">
        <f aca="false">IF(D4905="","",IFERROR(VLOOKUP(D4905,Assumptions!$G$5:$H$16,2,0),"Other"))</f>
        <v/>
      </c>
      <c r="J4905" s="41" t="str">
        <f aca="false">IF(G4905="","",IFERROR(IF(ISNUMBER(SEARCH(Assumptions!$C$5,G4905)),Assumptions!$D$5,IF(ISNUMBER(SEARCH(Assumptions!$C$6,G4905)),Assumptions!$D$6,IF(ISNUMBER(SEARCH(Assumptions!$C$7,G4905)),Assumptions!$D$7,"Other Services"))),"Other Services"))</f>
        <v/>
      </c>
    </row>
    <row r="4906" customFormat="false" ht="15" hidden="false" customHeight="false" outlineLevel="0" collapsed="false">
      <c r="E4906" s="41" t="str">
        <f aca="false">IF(D4906="","",IFERROR(VLOOKUP(D4906,Assumptions!$G$5:$H$16,2,0),"Other"))</f>
        <v/>
      </c>
      <c r="J4906" s="41" t="str">
        <f aca="false">IF(G4906="","",IFERROR(IF(ISNUMBER(SEARCH(Assumptions!$C$5,G4906)),Assumptions!$D$5,IF(ISNUMBER(SEARCH(Assumptions!$C$6,G4906)),Assumptions!$D$6,IF(ISNUMBER(SEARCH(Assumptions!$C$7,G4906)),Assumptions!$D$7,"Other Services"))),"Other Services"))</f>
        <v/>
      </c>
    </row>
    <row r="4907" customFormat="false" ht="15" hidden="false" customHeight="false" outlineLevel="0" collapsed="false">
      <c r="E4907" s="41" t="str">
        <f aca="false">IF(D4907="","",IFERROR(VLOOKUP(D4907,Assumptions!$G$5:$H$16,2,0),"Other"))</f>
        <v/>
      </c>
      <c r="J4907" s="41" t="str">
        <f aca="false">IF(G4907="","",IFERROR(IF(ISNUMBER(SEARCH(Assumptions!$C$5,G4907)),Assumptions!$D$5,IF(ISNUMBER(SEARCH(Assumptions!$C$6,G4907)),Assumptions!$D$6,IF(ISNUMBER(SEARCH(Assumptions!$C$7,G4907)),Assumptions!$D$7,"Other Services"))),"Other Services"))</f>
        <v/>
      </c>
    </row>
    <row r="4908" customFormat="false" ht="15" hidden="false" customHeight="false" outlineLevel="0" collapsed="false">
      <c r="E4908" s="41" t="str">
        <f aca="false">IF(D4908="","",IFERROR(VLOOKUP(D4908,Assumptions!$G$5:$H$16,2,0),"Other"))</f>
        <v/>
      </c>
      <c r="J4908" s="41" t="str">
        <f aca="false">IF(G4908="","",IFERROR(IF(ISNUMBER(SEARCH(Assumptions!$C$5,G4908)),Assumptions!$D$5,IF(ISNUMBER(SEARCH(Assumptions!$C$6,G4908)),Assumptions!$D$6,IF(ISNUMBER(SEARCH(Assumptions!$C$7,G4908)),Assumptions!$D$7,"Other Services"))),"Other Services"))</f>
        <v/>
      </c>
    </row>
    <row r="4909" customFormat="false" ht="15" hidden="false" customHeight="false" outlineLevel="0" collapsed="false">
      <c r="E4909" s="41" t="str">
        <f aca="false">IF(D4909="","",IFERROR(VLOOKUP(D4909,Assumptions!$G$5:$H$16,2,0),"Other"))</f>
        <v/>
      </c>
      <c r="J4909" s="41" t="str">
        <f aca="false">IF(G4909="","",IFERROR(IF(ISNUMBER(SEARCH(Assumptions!$C$5,G4909)),Assumptions!$D$5,IF(ISNUMBER(SEARCH(Assumptions!$C$6,G4909)),Assumptions!$D$6,IF(ISNUMBER(SEARCH(Assumptions!$C$7,G4909)),Assumptions!$D$7,"Other Services"))),"Other Services"))</f>
        <v/>
      </c>
    </row>
    <row r="4910" customFormat="false" ht="15" hidden="false" customHeight="false" outlineLevel="0" collapsed="false">
      <c r="E4910" s="41" t="str">
        <f aca="false">IF(D4910="","",IFERROR(VLOOKUP(D4910,Assumptions!$G$5:$H$16,2,0),"Other"))</f>
        <v/>
      </c>
      <c r="J4910" s="41" t="str">
        <f aca="false">IF(G4910="","",IFERROR(IF(ISNUMBER(SEARCH(Assumptions!$C$5,G4910)),Assumptions!$D$5,IF(ISNUMBER(SEARCH(Assumptions!$C$6,G4910)),Assumptions!$D$6,IF(ISNUMBER(SEARCH(Assumptions!$C$7,G4910)),Assumptions!$D$7,"Other Services"))),"Other Services"))</f>
        <v/>
      </c>
    </row>
    <row r="4911" customFormat="false" ht="15" hidden="false" customHeight="false" outlineLevel="0" collapsed="false">
      <c r="E4911" s="41" t="str">
        <f aca="false">IF(D4911="","",IFERROR(VLOOKUP(D4911,Assumptions!$G$5:$H$16,2,0),"Other"))</f>
        <v/>
      </c>
      <c r="J4911" s="41" t="str">
        <f aca="false">IF(G4911="","",IFERROR(IF(ISNUMBER(SEARCH(Assumptions!$C$5,G4911)),Assumptions!$D$5,IF(ISNUMBER(SEARCH(Assumptions!$C$6,G4911)),Assumptions!$D$6,IF(ISNUMBER(SEARCH(Assumptions!$C$7,G4911)),Assumptions!$D$7,"Other Services"))),"Other Services"))</f>
        <v/>
      </c>
    </row>
    <row r="4912" customFormat="false" ht="15" hidden="false" customHeight="false" outlineLevel="0" collapsed="false">
      <c r="E4912" s="41" t="str">
        <f aca="false">IF(D4912="","",IFERROR(VLOOKUP(D4912,Assumptions!$G$5:$H$16,2,0),"Other"))</f>
        <v/>
      </c>
      <c r="J4912" s="41" t="str">
        <f aca="false">IF(G4912="","",IFERROR(IF(ISNUMBER(SEARCH(Assumptions!$C$5,G4912)),Assumptions!$D$5,IF(ISNUMBER(SEARCH(Assumptions!$C$6,G4912)),Assumptions!$D$6,IF(ISNUMBER(SEARCH(Assumptions!$C$7,G4912)),Assumptions!$D$7,"Other Services"))),"Other Services"))</f>
        <v/>
      </c>
    </row>
    <row r="4913" customFormat="false" ht="15" hidden="false" customHeight="false" outlineLevel="0" collapsed="false">
      <c r="E4913" s="41" t="str">
        <f aca="false">IF(D4913="","",IFERROR(VLOOKUP(D4913,Assumptions!$G$5:$H$16,2,0),"Other"))</f>
        <v/>
      </c>
      <c r="J4913" s="41" t="str">
        <f aca="false">IF(G4913="","",IFERROR(IF(ISNUMBER(SEARCH(Assumptions!$C$5,G4913)),Assumptions!$D$5,IF(ISNUMBER(SEARCH(Assumptions!$C$6,G4913)),Assumptions!$D$6,IF(ISNUMBER(SEARCH(Assumptions!$C$7,G4913)),Assumptions!$D$7,"Other Services"))),"Other Services"))</f>
        <v/>
      </c>
    </row>
    <row r="4914" customFormat="false" ht="15" hidden="false" customHeight="false" outlineLevel="0" collapsed="false">
      <c r="E4914" s="41" t="str">
        <f aca="false">IF(D4914="","",IFERROR(VLOOKUP(D4914,Assumptions!$G$5:$H$16,2,0),"Other"))</f>
        <v/>
      </c>
      <c r="J4914" s="41" t="str">
        <f aca="false">IF(G4914="","",IFERROR(IF(ISNUMBER(SEARCH(Assumptions!$C$5,G4914)),Assumptions!$D$5,IF(ISNUMBER(SEARCH(Assumptions!$C$6,G4914)),Assumptions!$D$6,IF(ISNUMBER(SEARCH(Assumptions!$C$7,G4914)),Assumptions!$D$7,"Other Services"))),"Other Services"))</f>
        <v/>
      </c>
    </row>
    <row r="4915" customFormat="false" ht="15" hidden="false" customHeight="false" outlineLevel="0" collapsed="false">
      <c r="E4915" s="41" t="str">
        <f aca="false">IF(D4915="","",IFERROR(VLOOKUP(D4915,Assumptions!$G$5:$H$16,2,0),"Other"))</f>
        <v/>
      </c>
      <c r="J4915" s="41" t="str">
        <f aca="false">IF(G4915="","",IFERROR(IF(ISNUMBER(SEARCH(Assumptions!$C$5,G4915)),Assumptions!$D$5,IF(ISNUMBER(SEARCH(Assumptions!$C$6,G4915)),Assumptions!$D$6,IF(ISNUMBER(SEARCH(Assumptions!$C$7,G4915)),Assumptions!$D$7,"Other Services"))),"Other Services"))</f>
        <v/>
      </c>
    </row>
    <row r="4916" customFormat="false" ht="15" hidden="false" customHeight="false" outlineLevel="0" collapsed="false">
      <c r="E4916" s="41" t="str">
        <f aca="false">IF(D4916="","",IFERROR(VLOOKUP(D4916,Assumptions!$G$5:$H$16,2,0),"Other"))</f>
        <v/>
      </c>
      <c r="J4916" s="41" t="str">
        <f aca="false">IF(G4916="","",IFERROR(IF(ISNUMBER(SEARCH(Assumptions!$C$5,G4916)),Assumptions!$D$5,IF(ISNUMBER(SEARCH(Assumptions!$C$6,G4916)),Assumptions!$D$6,IF(ISNUMBER(SEARCH(Assumptions!$C$7,G4916)),Assumptions!$D$7,"Other Services"))),"Other Services"))</f>
        <v/>
      </c>
    </row>
    <row r="4917" customFormat="false" ht="15" hidden="false" customHeight="false" outlineLevel="0" collapsed="false">
      <c r="E4917" s="41" t="str">
        <f aca="false">IF(D4917="","",IFERROR(VLOOKUP(D4917,Assumptions!$G$5:$H$16,2,0),"Other"))</f>
        <v/>
      </c>
      <c r="J4917" s="41" t="str">
        <f aca="false">IF(G4917="","",IFERROR(IF(ISNUMBER(SEARCH(Assumptions!$C$5,G4917)),Assumptions!$D$5,IF(ISNUMBER(SEARCH(Assumptions!$C$6,G4917)),Assumptions!$D$6,IF(ISNUMBER(SEARCH(Assumptions!$C$7,G4917)),Assumptions!$D$7,"Other Services"))),"Other Services"))</f>
        <v/>
      </c>
    </row>
    <row r="4918" customFormat="false" ht="15" hidden="false" customHeight="false" outlineLevel="0" collapsed="false">
      <c r="E4918" s="41" t="str">
        <f aca="false">IF(D4918="","",IFERROR(VLOOKUP(D4918,Assumptions!$G$5:$H$16,2,0),"Other"))</f>
        <v/>
      </c>
      <c r="J4918" s="41" t="str">
        <f aca="false">IF(G4918="","",IFERROR(IF(ISNUMBER(SEARCH(Assumptions!$C$5,G4918)),Assumptions!$D$5,IF(ISNUMBER(SEARCH(Assumptions!$C$6,G4918)),Assumptions!$D$6,IF(ISNUMBER(SEARCH(Assumptions!$C$7,G4918)),Assumptions!$D$7,"Other Services"))),"Other Services"))</f>
        <v/>
      </c>
    </row>
    <row r="4919" customFormat="false" ht="15" hidden="false" customHeight="false" outlineLevel="0" collapsed="false">
      <c r="E4919" s="41" t="str">
        <f aca="false">IF(D4919="","",IFERROR(VLOOKUP(D4919,Assumptions!$G$5:$H$16,2,0),"Other"))</f>
        <v/>
      </c>
      <c r="J4919" s="41" t="str">
        <f aca="false">IF(G4919="","",IFERROR(IF(ISNUMBER(SEARCH(Assumptions!$C$5,G4919)),Assumptions!$D$5,IF(ISNUMBER(SEARCH(Assumptions!$C$6,G4919)),Assumptions!$D$6,IF(ISNUMBER(SEARCH(Assumptions!$C$7,G4919)),Assumptions!$D$7,"Other Services"))),"Other Services"))</f>
        <v/>
      </c>
    </row>
    <row r="4920" customFormat="false" ht="15" hidden="false" customHeight="false" outlineLevel="0" collapsed="false">
      <c r="E4920" s="41" t="str">
        <f aca="false">IF(D4920="","",IFERROR(VLOOKUP(D4920,Assumptions!$G$5:$H$16,2,0),"Other"))</f>
        <v/>
      </c>
      <c r="J4920" s="41" t="str">
        <f aca="false">IF(G4920="","",IFERROR(IF(ISNUMBER(SEARCH(Assumptions!$C$5,G4920)),Assumptions!$D$5,IF(ISNUMBER(SEARCH(Assumptions!$C$6,G4920)),Assumptions!$D$6,IF(ISNUMBER(SEARCH(Assumptions!$C$7,G4920)),Assumptions!$D$7,"Other Services"))),"Other Services"))</f>
        <v/>
      </c>
    </row>
    <row r="4921" customFormat="false" ht="15" hidden="false" customHeight="false" outlineLevel="0" collapsed="false">
      <c r="E4921" s="41" t="str">
        <f aca="false">IF(D4921="","",IFERROR(VLOOKUP(D4921,Assumptions!$G$5:$H$16,2,0),"Other"))</f>
        <v/>
      </c>
      <c r="J4921" s="41" t="str">
        <f aca="false">IF(G4921="","",IFERROR(IF(ISNUMBER(SEARCH(Assumptions!$C$5,G4921)),Assumptions!$D$5,IF(ISNUMBER(SEARCH(Assumptions!$C$6,G4921)),Assumptions!$D$6,IF(ISNUMBER(SEARCH(Assumptions!$C$7,G4921)),Assumptions!$D$7,"Other Services"))),"Other Services"))</f>
        <v/>
      </c>
    </row>
    <row r="4922" customFormat="false" ht="15" hidden="false" customHeight="false" outlineLevel="0" collapsed="false">
      <c r="E4922" s="41" t="str">
        <f aca="false">IF(D4922="","",IFERROR(VLOOKUP(D4922,Assumptions!$G$5:$H$16,2,0),"Other"))</f>
        <v/>
      </c>
      <c r="J4922" s="41" t="str">
        <f aca="false">IF(G4922="","",IFERROR(IF(ISNUMBER(SEARCH(Assumptions!$C$5,G4922)),Assumptions!$D$5,IF(ISNUMBER(SEARCH(Assumptions!$C$6,G4922)),Assumptions!$D$6,IF(ISNUMBER(SEARCH(Assumptions!$C$7,G4922)),Assumptions!$D$7,"Other Services"))),"Other Services"))</f>
        <v/>
      </c>
    </row>
    <row r="4923" customFormat="false" ht="15" hidden="false" customHeight="false" outlineLevel="0" collapsed="false">
      <c r="E4923" s="41" t="str">
        <f aca="false">IF(D4923="","",IFERROR(VLOOKUP(D4923,Assumptions!$G$5:$H$16,2,0),"Other"))</f>
        <v/>
      </c>
      <c r="J4923" s="41" t="str">
        <f aca="false">IF(G4923="","",IFERROR(IF(ISNUMBER(SEARCH(Assumptions!$C$5,G4923)),Assumptions!$D$5,IF(ISNUMBER(SEARCH(Assumptions!$C$6,G4923)),Assumptions!$D$6,IF(ISNUMBER(SEARCH(Assumptions!$C$7,G4923)),Assumptions!$D$7,"Other Services"))),"Other Services"))</f>
        <v/>
      </c>
    </row>
    <row r="4924" customFormat="false" ht="15" hidden="false" customHeight="false" outlineLevel="0" collapsed="false">
      <c r="E4924" s="41" t="str">
        <f aca="false">IF(D4924="","",IFERROR(VLOOKUP(D4924,Assumptions!$G$5:$H$16,2,0),"Other"))</f>
        <v/>
      </c>
      <c r="J4924" s="41" t="str">
        <f aca="false">IF(G4924="","",IFERROR(IF(ISNUMBER(SEARCH(Assumptions!$C$5,G4924)),Assumptions!$D$5,IF(ISNUMBER(SEARCH(Assumptions!$C$6,G4924)),Assumptions!$D$6,IF(ISNUMBER(SEARCH(Assumptions!$C$7,G4924)),Assumptions!$D$7,"Other Services"))),"Other Services"))</f>
        <v/>
      </c>
    </row>
    <row r="4925" customFormat="false" ht="15" hidden="false" customHeight="false" outlineLevel="0" collapsed="false">
      <c r="E4925" s="41" t="str">
        <f aca="false">IF(D4925="","",IFERROR(VLOOKUP(D4925,Assumptions!$G$5:$H$16,2,0),"Other"))</f>
        <v/>
      </c>
      <c r="J4925" s="41" t="str">
        <f aca="false">IF(G4925="","",IFERROR(IF(ISNUMBER(SEARCH(Assumptions!$C$5,G4925)),Assumptions!$D$5,IF(ISNUMBER(SEARCH(Assumptions!$C$6,G4925)),Assumptions!$D$6,IF(ISNUMBER(SEARCH(Assumptions!$C$7,G4925)),Assumptions!$D$7,"Other Services"))),"Other Services"))</f>
        <v/>
      </c>
    </row>
    <row r="4926" customFormat="false" ht="15" hidden="false" customHeight="false" outlineLevel="0" collapsed="false">
      <c r="E4926" s="41" t="str">
        <f aca="false">IF(D4926="","",IFERROR(VLOOKUP(D4926,Assumptions!$G$5:$H$16,2,0),"Other"))</f>
        <v/>
      </c>
      <c r="J4926" s="41" t="str">
        <f aca="false">IF(G4926="","",IFERROR(IF(ISNUMBER(SEARCH(Assumptions!$C$5,G4926)),Assumptions!$D$5,IF(ISNUMBER(SEARCH(Assumptions!$C$6,G4926)),Assumptions!$D$6,IF(ISNUMBER(SEARCH(Assumptions!$C$7,G4926)),Assumptions!$D$7,"Other Services"))),"Other Services"))</f>
        <v/>
      </c>
    </row>
    <row r="4927" customFormat="false" ht="15" hidden="false" customHeight="false" outlineLevel="0" collapsed="false">
      <c r="E4927" s="41" t="str">
        <f aca="false">IF(D4927="","",IFERROR(VLOOKUP(D4927,Assumptions!$G$5:$H$16,2,0),"Other"))</f>
        <v/>
      </c>
      <c r="J4927" s="41" t="str">
        <f aca="false">IF(G4927="","",IFERROR(IF(ISNUMBER(SEARCH(Assumptions!$C$5,G4927)),Assumptions!$D$5,IF(ISNUMBER(SEARCH(Assumptions!$C$6,G4927)),Assumptions!$D$6,IF(ISNUMBER(SEARCH(Assumptions!$C$7,G4927)),Assumptions!$D$7,"Other Services"))),"Other Services"))</f>
        <v/>
      </c>
    </row>
    <row r="4928" customFormat="false" ht="15" hidden="false" customHeight="false" outlineLevel="0" collapsed="false">
      <c r="E4928" s="41" t="str">
        <f aca="false">IF(D4928="","",IFERROR(VLOOKUP(D4928,Assumptions!$G$5:$H$16,2,0),"Other"))</f>
        <v/>
      </c>
      <c r="J4928" s="41" t="str">
        <f aca="false">IF(G4928="","",IFERROR(IF(ISNUMBER(SEARCH(Assumptions!$C$5,G4928)),Assumptions!$D$5,IF(ISNUMBER(SEARCH(Assumptions!$C$6,G4928)),Assumptions!$D$6,IF(ISNUMBER(SEARCH(Assumptions!$C$7,G4928)),Assumptions!$D$7,"Other Services"))),"Other Services"))</f>
        <v/>
      </c>
    </row>
    <row r="4929" customFormat="false" ht="15" hidden="false" customHeight="false" outlineLevel="0" collapsed="false">
      <c r="E4929" s="41" t="str">
        <f aca="false">IF(D4929="","",IFERROR(VLOOKUP(D4929,Assumptions!$G$5:$H$16,2,0),"Other"))</f>
        <v/>
      </c>
      <c r="J4929" s="41" t="str">
        <f aca="false">IF(G4929="","",IFERROR(IF(ISNUMBER(SEARCH(Assumptions!$C$5,G4929)),Assumptions!$D$5,IF(ISNUMBER(SEARCH(Assumptions!$C$6,G4929)),Assumptions!$D$6,IF(ISNUMBER(SEARCH(Assumptions!$C$7,G4929)),Assumptions!$D$7,"Other Services"))),"Other Services"))</f>
        <v/>
      </c>
    </row>
    <row r="4930" customFormat="false" ht="15" hidden="false" customHeight="false" outlineLevel="0" collapsed="false">
      <c r="E4930" s="41" t="str">
        <f aca="false">IF(D4930="","",IFERROR(VLOOKUP(D4930,Assumptions!$G$5:$H$16,2,0),"Other"))</f>
        <v/>
      </c>
      <c r="J4930" s="41" t="str">
        <f aca="false">IF(G4930="","",IFERROR(IF(ISNUMBER(SEARCH(Assumptions!$C$5,G4930)),Assumptions!$D$5,IF(ISNUMBER(SEARCH(Assumptions!$C$6,G4930)),Assumptions!$D$6,IF(ISNUMBER(SEARCH(Assumptions!$C$7,G4930)),Assumptions!$D$7,"Other Services"))),"Other Services"))</f>
        <v/>
      </c>
    </row>
    <row r="4931" customFormat="false" ht="15" hidden="false" customHeight="false" outlineLevel="0" collapsed="false">
      <c r="E4931" s="41" t="str">
        <f aca="false">IF(D4931="","",IFERROR(VLOOKUP(D4931,Assumptions!$G$5:$H$16,2,0),"Other"))</f>
        <v/>
      </c>
      <c r="J4931" s="41" t="str">
        <f aca="false">IF(G4931="","",IFERROR(IF(ISNUMBER(SEARCH(Assumptions!$C$5,G4931)),Assumptions!$D$5,IF(ISNUMBER(SEARCH(Assumptions!$C$6,G4931)),Assumptions!$D$6,IF(ISNUMBER(SEARCH(Assumptions!$C$7,G4931)),Assumptions!$D$7,"Other Services"))),"Other Services"))</f>
        <v/>
      </c>
    </row>
    <row r="4932" customFormat="false" ht="15" hidden="false" customHeight="false" outlineLevel="0" collapsed="false">
      <c r="E4932" s="41" t="str">
        <f aca="false">IF(D4932="","",IFERROR(VLOOKUP(D4932,Assumptions!$G$5:$H$16,2,0),"Other"))</f>
        <v/>
      </c>
      <c r="J4932" s="41" t="str">
        <f aca="false">IF(G4932="","",IFERROR(IF(ISNUMBER(SEARCH(Assumptions!$C$5,G4932)),Assumptions!$D$5,IF(ISNUMBER(SEARCH(Assumptions!$C$6,G4932)),Assumptions!$D$6,IF(ISNUMBER(SEARCH(Assumptions!$C$7,G4932)),Assumptions!$D$7,"Other Services"))),"Other Services"))</f>
        <v/>
      </c>
    </row>
    <row r="4933" customFormat="false" ht="15" hidden="false" customHeight="false" outlineLevel="0" collapsed="false">
      <c r="E4933" s="41" t="str">
        <f aca="false">IF(D4933="","",IFERROR(VLOOKUP(D4933,Assumptions!$G$5:$H$16,2,0),"Other"))</f>
        <v/>
      </c>
      <c r="J4933" s="41" t="str">
        <f aca="false">IF(G4933="","",IFERROR(IF(ISNUMBER(SEARCH(Assumptions!$C$5,G4933)),Assumptions!$D$5,IF(ISNUMBER(SEARCH(Assumptions!$C$6,G4933)),Assumptions!$D$6,IF(ISNUMBER(SEARCH(Assumptions!$C$7,G4933)),Assumptions!$D$7,"Other Services"))),"Other Services"))</f>
        <v/>
      </c>
    </row>
    <row r="4934" customFormat="false" ht="15" hidden="false" customHeight="false" outlineLevel="0" collapsed="false">
      <c r="E4934" s="41" t="str">
        <f aca="false">IF(D4934="","",IFERROR(VLOOKUP(D4934,Assumptions!$G$5:$H$16,2,0),"Other"))</f>
        <v/>
      </c>
      <c r="J4934" s="41" t="str">
        <f aca="false">IF(G4934="","",IFERROR(IF(ISNUMBER(SEARCH(Assumptions!$C$5,G4934)),Assumptions!$D$5,IF(ISNUMBER(SEARCH(Assumptions!$C$6,G4934)),Assumptions!$D$6,IF(ISNUMBER(SEARCH(Assumptions!$C$7,G4934)),Assumptions!$D$7,"Other Services"))),"Other Services"))</f>
        <v/>
      </c>
    </row>
    <row r="4935" customFormat="false" ht="15" hidden="false" customHeight="false" outlineLevel="0" collapsed="false">
      <c r="E4935" s="41" t="str">
        <f aca="false">IF(D4935="","",IFERROR(VLOOKUP(D4935,Assumptions!$G$5:$H$16,2,0),"Other"))</f>
        <v/>
      </c>
      <c r="J4935" s="41" t="str">
        <f aca="false">IF(G4935="","",IFERROR(IF(ISNUMBER(SEARCH(Assumptions!$C$5,G4935)),Assumptions!$D$5,IF(ISNUMBER(SEARCH(Assumptions!$C$6,G4935)),Assumptions!$D$6,IF(ISNUMBER(SEARCH(Assumptions!$C$7,G4935)),Assumptions!$D$7,"Other Services"))),"Other Services"))</f>
        <v/>
      </c>
    </row>
    <row r="4936" customFormat="false" ht="15" hidden="false" customHeight="false" outlineLevel="0" collapsed="false">
      <c r="E4936" s="41" t="str">
        <f aca="false">IF(D4936="","",IFERROR(VLOOKUP(D4936,Assumptions!$G$5:$H$16,2,0),"Other"))</f>
        <v/>
      </c>
      <c r="J4936" s="41" t="str">
        <f aca="false">IF(G4936="","",IFERROR(IF(ISNUMBER(SEARCH(Assumptions!$C$5,G4936)),Assumptions!$D$5,IF(ISNUMBER(SEARCH(Assumptions!$C$6,G4936)),Assumptions!$D$6,IF(ISNUMBER(SEARCH(Assumptions!$C$7,G4936)),Assumptions!$D$7,"Other Services"))),"Other Services"))</f>
        <v/>
      </c>
    </row>
    <row r="4937" customFormat="false" ht="15" hidden="false" customHeight="false" outlineLevel="0" collapsed="false">
      <c r="E4937" s="41" t="str">
        <f aca="false">IF(D4937="","",IFERROR(VLOOKUP(D4937,Assumptions!$G$5:$H$16,2,0),"Other"))</f>
        <v/>
      </c>
      <c r="J4937" s="41" t="str">
        <f aca="false">IF(G4937="","",IFERROR(IF(ISNUMBER(SEARCH(Assumptions!$C$5,G4937)),Assumptions!$D$5,IF(ISNUMBER(SEARCH(Assumptions!$C$6,G4937)),Assumptions!$D$6,IF(ISNUMBER(SEARCH(Assumptions!$C$7,G4937)),Assumptions!$D$7,"Other Services"))),"Other Services"))</f>
        <v/>
      </c>
    </row>
    <row r="4938" customFormat="false" ht="15" hidden="false" customHeight="false" outlineLevel="0" collapsed="false">
      <c r="E4938" s="41" t="str">
        <f aca="false">IF(D4938="","",IFERROR(VLOOKUP(D4938,Assumptions!$G$5:$H$16,2,0),"Other"))</f>
        <v/>
      </c>
      <c r="J4938" s="41" t="str">
        <f aca="false">IF(G4938="","",IFERROR(IF(ISNUMBER(SEARCH(Assumptions!$C$5,G4938)),Assumptions!$D$5,IF(ISNUMBER(SEARCH(Assumptions!$C$6,G4938)),Assumptions!$D$6,IF(ISNUMBER(SEARCH(Assumptions!$C$7,G4938)),Assumptions!$D$7,"Other Services"))),"Other Services"))</f>
        <v/>
      </c>
    </row>
    <row r="4939" customFormat="false" ht="15" hidden="false" customHeight="false" outlineLevel="0" collapsed="false">
      <c r="E4939" s="41" t="str">
        <f aca="false">IF(D4939="","",IFERROR(VLOOKUP(D4939,Assumptions!$G$5:$H$16,2,0),"Other"))</f>
        <v/>
      </c>
      <c r="J4939" s="41" t="str">
        <f aca="false">IF(G4939="","",IFERROR(IF(ISNUMBER(SEARCH(Assumptions!$C$5,G4939)),Assumptions!$D$5,IF(ISNUMBER(SEARCH(Assumptions!$C$6,G4939)),Assumptions!$D$6,IF(ISNUMBER(SEARCH(Assumptions!$C$7,G4939)),Assumptions!$D$7,"Other Services"))),"Other Services"))</f>
        <v/>
      </c>
    </row>
    <row r="4940" customFormat="false" ht="15" hidden="false" customHeight="false" outlineLevel="0" collapsed="false">
      <c r="E4940" s="41" t="str">
        <f aca="false">IF(D4940="","",IFERROR(VLOOKUP(D4940,Assumptions!$G$5:$H$16,2,0),"Other"))</f>
        <v/>
      </c>
      <c r="J4940" s="41" t="str">
        <f aca="false">IF(G4940="","",IFERROR(IF(ISNUMBER(SEARCH(Assumptions!$C$5,G4940)),Assumptions!$D$5,IF(ISNUMBER(SEARCH(Assumptions!$C$6,G4940)),Assumptions!$D$6,IF(ISNUMBER(SEARCH(Assumptions!$C$7,G4940)),Assumptions!$D$7,"Other Services"))),"Other Services"))</f>
        <v/>
      </c>
    </row>
    <row r="4941" customFormat="false" ht="15" hidden="false" customHeight="false" outlineLevel="0" collapsed="false">
      <c r="E4941" s="41" t="str">
        <f aca="false">IF(D4941="","",IFERROR(VLOOKUP(D4941,Assumptions!$G$5:$H$16,2,0),"Other"))</f>
        <v/>
      </c>
      <c r="J4941" s="41" t="str">
        <f aca="false">IF(G4941="","",IFERROR(IF(ISNUMBER(SEARCH(Assumptions!$C$5,G4941)),Assumptions!$D$5,IF(ISNUMBER(SEARCH(Assumptions!$C$6,G4941)),Assumptions!$D$6,IF(ISNUMBER(SEARCH(Assumptions!$C$7,G4941)),Assumptions!$D$7,"Other Services"))),"Other Services"))</f>
        <v/>
      </c>
    </row>
    <row r="4942" customFormat="false" ht="15" hidden="false" customHeight="false" outlineLevel="0" collapsed="false">
      <c r="E4942" s="41" t="str">
        <f aca="false">IF(D4942="","",IFERROR(VLOOKUP(D4942,Assumptions!$G$5:$H$16,2,0),"Other"))</f>
        <v/>
      </c>
      <c r="J4942" s="41" t="str">
        <f aca="false">IF(G4942="","",IFERROR(IF(ISNUMBER(SEARCH(Assumptions!$C$5,G4942)),Assumptions!$D$5,IF(ISNUMBER(SEARCH(Assumptions!$C$6,G4942)),Assumptions!$D$6,IF(ISNUMBER(SEARCH(Assumptions!$C$7,G4942)),Assumptions!$D$7,"Other Services"))),"Other Services"))</f>
        <v/>
      </c>
    </row>
    <row r="4943" customFormat="false" ht="15" hidden="false" customHeight="false" outlineLevel="0" collapsed="false">
      <c r="E4943" s="41" t="str">
        <f aca="false">IF(D4943="","",IFERROR(VLOOKUP(D4943,Assumptions!$G$5:$H$16,2,0),"Other"))</f>
        <v/>
      </c>
      <c r="J4943" s="41" t="str">
        <f aca="false">IF(G4943="","",IFERROR(IF(ISNUMBER(SEARCH(Assumptions!$C$5,G4943)),Assumptions!$D$5,IF(ISNUMBER(SEARCH(Assumptions!$C$6,G4943)),Assumptions!$D$6,IF(ISNUMBER(SEARCH(Assumptions!$C$7,G4943)),Assumptions!$D$7,"Other Services"))),"Other Services"))</f>
        <v/>
      </c>
    </row>
    <row r="4944" customFormat="false" ht="15" hidden="false" customHeight="false" outlineLevel="0" collapsed="false">
      <c r="E4944" s="41" t="str">
        <f aca="false">IF(D4944="","",IFERROR(VLOOKUP(D4944,Assumptions!$G$5:$H$16,2,0),"Other"))</f>
        <v/>
      </c>
      <c r="J4944" s="41" t="str">
        <f aca="false">IF(G4944="","",IFERROR(IF(ISNUMBER(SEARCH(Assumptions!$C$5,G4944)),Assumptions!$D$5,IF(ISNUMBER(SEARCH(Assumptions!$C$6,G4944)),Assumptions!$D$6,IF(ISNUMBER(SEARCH(Assumptions!$C$7,G4944)),Assumptions!$D$7,"Other Services"))),"Other Services"))</f>
        <v/>
      </c>
    </row>
    <row r="4945" customFormat="false" ht="15" hidden="false" customHeight="false" outlineLevel="0" collapsed="false">
      <c r="E4945" s="41" t="str">
        <f aca="false">IF(D4945="","",IFERROR(VLOOKUP(D4945,Assumptions!$G$5:$H$16,2,0),"Other"))</f>
        <v/>
      </c>
      <c r="J4945" s="41" t="str">
        <f aca="false">IF(G4945="","",IFERROR(IF(ISNUMBER(SEARCH(Assumptions!$C$5,G4945)),Assumptions!$D$5,IF(ISNUMBER(SEARCH(Assumptions!$C$6,G4945)),Assumptions!$D$6,IF(ISNUMBER(SEARCH(Assumptions!$C$7,G4945)),Assumptions!$D$7,"Other Services"))),"Other Services"))</f>
        <v/>
      </c>
    </row>
    <row r="4946" customFormat="false" ht="15" hidden="false" customHeight="false" outlineLevel="0" collapsed="false">
      <c r="E4946" s="41" t="str">
        <f aca="false">IF(D4946="","",IFERROR(VLOOKUP(D4946,Assumptions!$G$5:$H$16,2,0),"Other"))</f>
        <v/>
      </c>
      <c r="J4946" s="41" t="str">
        <f aca="false">IF(G4946="","",IFERROR(IF(ISNUMBER(SEARCH(Assumptions!$C$5,G4946)),Assumptions!$D$5,IF(ISNUMBER(SEARCH(Assumptions!$C$6,G4946)),Assumptions!$D$6,IF(ISNUMBER(SEARCH(Assumptions!$C$7,G4946)),Assumptions!$D$7,"Other Services"))),"Other Services"))</f>
        <v/>
      </c>
    </row>
    <row r="4947" customFormat="false" ht="15" hidden="false" customHeight="false" outlineLevel="0" collapsed="false">
      <c r="E4947" s="41" t="str">
        <f aca="false">IF(D4947="","",IFERROR(VLOOKUP(D4947,Assumptions!$G$5:$H$16,2,0),"Other"))</f>
        <v/>
      </c>
      <c r="J4947" s="41" t="str">
        <f aca="false">IF(G4947="","",IFERROR(IF(ISNUMBER(SEARCH(Assumptions!$C$5,G4947)),Assumptions!$D$5,IF(ISNUMBER(SEARCH(Assumptions!$C$6,G4947)),Assumptions!$D$6,IF(ISNUMBER(SEARCH(Assumptions!$C$7,G4947)),Assumptions!$D$7,"Other Services"))),"Other Services"))</f>
        <v/>
      </c>
    </row>
    <row r="4948" customFormat="false" ht="15" hidden="false" customHeight="false" outlineLevel="0" collapsed="false">
      <c r="E4948" s="41" t="str">
        <f aca="false">IF(D4948="","",IFERROR(VLOOKUP(D4948,Assumptions!$G$5:$H$16,2,0),"Other"))</f>
        <v/>
      </c>
      <c r="J4948" s="41" t="str">
        <f aca="false">IF(G4948="","",IFERROR(IF(ISNUMBER(SEARCH(Assumptions!$C$5,G4948)),Assumptions!$D$5,IF(ISNUMBER(SEARCH(Assumptions!$C$6,G4948)),Assumptions!$D$6,IF(ISNUMBER(SEARCH(Assumptions!$C$7,G4948)),Assumptions!$D$7,"Other Services"))),"Other Services"))</f>
        <v/>
      </c>
    </row>
    <row r="4949" customFormat="false" ht="15" hidden="false" customHeight="false" outlineLevel="0" collapsed="false">
      <c r="E4949" s="41" t="str">
        <f aca="false">IF(D4949="","",IFERROR(VLOOKUP(D4949,Assumptions!$G$5:$H$16,2,0),"Other"))</f>
        <v/>
      </c>
      <c r="J4949" s="41" t="str">
        <f aca="false">IF(G4949="","",IFERROR(IF(ISNUMBER(SEARCH(Assumptions!$C$5,G4949)),Assumptions!$D$5,IF(ISNUMBER(SEARCH(Assumptions!$C$6,G4949)),Assumptions!$D$6,IF(ISNUMBER(SEARCH(Assumptions!$C$7,G4949)),Assumptions!$D$7,"Other Services"))),"Other Services"))</f>
        <v/>
      </c>
    </row>
    <row r="4950" customFormat="false" ht="15" hidden="false" customHeight="false" outlineLevel="0" collapsed="false">
      <c r="E4950" s="41" t="str">
        <f aca="false">IF(D4950="","",IFERROR(VLOOKUP(D4950,Assumptions!$G$5:$H$16,2,0),"Other"))</f>
        <v/>
      </c>
      <c r="J4950" s="41" t="str">
        <f aca="false">IF(G4950="","",IFERROR(IF(ISNUMBER(SEARCH(Assumptions!$C$5,G4950)),Assumptions!$D$5,IF(ISNUMBER(SEARCH(Assumptions!$C$6,G4950)),Assumptions!$D$6,IF(ISNUMBER(SEARCH(Assumptions!$C$7,G4950)),Assumptions!$D$7,"Other Services"))),"Other Services"))</f>
        <v/>
      </c>
    </row>
    <row r="4951" customFormat="false" ht="15" hidden="false" customHeight="false" outlineLevel="0" collapsed="false">
      <c r="E4951" s="41" t="str">
        <f aca="false">IF(D4951="","",IFERROR(VLOOKUP(D4951,Assumptions!$G$5:$H$16,2,0),"Other"))</f>
        <v/>
      </c>
      <c r="J4951" s="41" t="str">
        <f aca="false">IF(G4951="","",IFERROR(IF(ISNUMBER(SEARCH(Assumptions!$C$5,G4951)),Assumptions!$D$5,IF(ISNUMBER(SEARCH(Assumptions!$C$6,G4951)),Assumptions!$D$6,IF(ISNUMBER(SEARCH(Assumptions!$C$7,G4951)),Assumptions!$D$7,"Other Services"))),"Other Services"))</f>
        <v/>
      </c>
    </row>
    <row r="4952" customFormat="false" ht="15" hidden="false" customHeight="false" outlineLevel="0" collapsed="false">
      <c r="E4952" s="41" t="str">
        <f aca="false">IF(D4952="","",IFERROR(VLOOKUP(D4952,Assumptions!$G$5:$H$16,2,0),"Other"))</f>
        <v/>
      </c>
      <c r="J4952" s="41" t="str">
        <f aca="false">IF(G4952="","",IFERROR(IF(ISNUMBER(SEARCH(Assumptions!$C$5,G4952)),Assumptions!$D$5,IF(ISNUMBER(SEARCH(Assumptions!$C$6,G4952)),Assumptions!$D$6,IF(ISNUMBER(SEARCH(Assumptions!$C$7,G4952)),Assumptions!$D$7,"Other Services"))),"Other Services"))</f>
        <v/>
      </c>
    </row>
    <row r="4953" customFormat="false" ht="15" hidden="false" customHeight="false" outlineLevel="0" collapsed="false">
      <c r="E4953" s="41" t="str">
        <f aca="false">IF(D4953="","",IFERROR(VLOOKUP(D4953,Assumptions!$G$5:$H$16,2,0),"Other"))</f>
        <v/>
      </c>
      <c r="J4953" s="41" t="str">
        <f aca="false">IF(G4953="","",IFERROR(IF(ISNUMBER(SEARCH(Assumptions!$C$5,G4953)),Assumptions!$D$5,IF(ISNUMBER(SEARCH(Assumptions!$C$6,G4953)),Assumptions!$D$6,IF(ISNUMBER(SEARCH(Assumptions!$C$7,G4953)),Assumptions!$D$7,"Other Services"))),"Other Services"))</f>
        <v/>
      </c>
    </row>
    <row r="4954" customFormat="false" ht="15" hidden="false" customHeight="false" outlineLevel="0" collapsed="false">
      <c r="E4954" s="41" t="str">
        <f aca="false">IF(D4954="","",IFERROR(VLOOKUP(D4954,Assumptions!$G$5:$H$16,2,0),"Other"))</f>
        <v/>
      </c>
      <c r="J4954" s="41" t="str">
        <f aca="false">IF(G4954="","",IFERROR(IF(ISNUMBER(SEARCH(Assumptions!$C$5,G4954)),Assumptions!$D$5,IF(ISNUMBER(SEARCH(Assumptions!$C$6,G4954)),Assumptions!$D$6,IF(ISNUMBER(SEARCH(Assumptions!$C$7,G4954)),Assumptions!$D$7,"Other Services"))),"Other Services"))</f>
        <v/>
      </c>
    </row>
    <row r="4955" customFormat="false" ht="15" hidden="false" customHeight="false" outlineLevel="0" collapsed="false">
      <c r="E4955" s="41" t="str">
        <f aca="false">IF(D4955="","",IFERROR(VLOOKUP(D4955,Assumptions!$G$5:$H$16,2,0),"Other"))</f>
        <v/>
      </c>
      <c r="J4955" s="41" t="str">
        <f aca="false">IF(G4955="","",IFERROR(IF(ISNUMBER(SEARCH(Assumptions!$C$5,G4955)),Assumptions!$D$5,IF(ISNUMBER(SEARCH(Assumptions!$C$6,G4955)),Assumptions!$D$6,IF(ISNUMBER(SEARCH(Assumptions!$C$7,G4955)),Assumptions!$D$7,"Other Services"))),"Other Services"))</f>
        <v/>
      </c>
    </row>
    <row r="4956" customFormat="false" ht="15" hidden="false" customHeight="false" outlineLevel="0" collapsed="false">
      <c r="E4956" s="41" t="str">
        <f aca="false">IF(D4956="","",IFERROR(VLOOKUP(D4956,Assumptions!$G$5:$H$16,2,0),"Other"))</f>
        <v/>
      </c>
      <c r="J4956" s="41" t="str">
        <f aca="false">IF(G4956="","",IFERROR(IF(ISNUMBER(SEARCH(Assumptions!$C$5,G4956)),Assumptions!$D$5,IF(ISNUMBER(SEARCH(Assumptions!$C$6,G4956)),Assumptions!$D$6,IF(ISNUMBER(SEARCH(Assumptions!$C$7,G4956)),Assumptions!$D$7,"Other Services"))),"Other Services"))</f>
        <v/>
      </c>
    </row>
    <row r="4957" customFormat="false" ht="15" hidden="false" customHeight="false" outlineLevel="0" collapsed="false">
      <c r="E4957" s="41" t="str">
        <f aca="false">IF(D4957="","",IFERROR(VLOOKUP(D4957,Assumptions!$G$5:$H$16,2,0),"Other"))</f>
        <v/>
      </c>
      <c r="J4957" s="41" t="str">
        <f aca="false">IF(G4957="","",IFERROR(IF(ISNUMBER(SEARCH(Assumptions!$C$5,G4957)),Assumptions!$D$5,IF(ISNUMBER(SEARCH(Assumptions!$C$6,G4957)),Assumptions!$D$6,IF(ISNUMBER(SEARCH(Assumptions!$C$7,G4957)),Assumptions!$D$7,"Other Services"))),"Other Services"))</f>
        <v/>
      </c>
    </row>
    <row r="4958" customFormat="false" ht="15" hidden="false" customHeight="false" outlineLevel="0" collapsed="false">
      <c r="E4958" s="41" t="str">
        <f aca="false">IF(D4958="","",IFERROR(VLOOKUP(D4958,Assumptions!$G$5:$H$16,2,0),"Other"))</f>
        <v/>
      </c>
      <c r="J4958" s="41" t="str">
        <f aca="false">IF(G4958="","",IFERROR(IF(ISNUMBER(SEARCH(Assumptions!$C$5,G4958)),Assumptions!$D$5,IF(ISNUMBER(SEARCH(Assumptions!$C$6,G4958)),Assumptions!$D$6,IF(ISNUMBER(SEARCH(Assumptions!$C$7,G4958)),Assumptions!$D$7,"Other Services"))),"Other Services"))</f>
        <v/>
      </c>
    </row>
    <row r="4959" customFormat="false" ht="15" hidden="false" customHeight="false" outlineLevel="0" collapsed="false">
      <c r="E4959" s="41" t="str">
        <f aca="false">IF(D4959="","",IFERROR(VLOOKUP(D4959,Assumptions!$G$5:$H$16,2,0),"Other"))</f>
        <v/>
      </c>
      <c r="J4959" s="41" t="str">
        <f aca="false">IF(G4959="","",IFERROR(IF(ISNUMBER(SEARCH(Assumptions!$C$5,G4959)),Assumptions!$D$5,IF(ISNUMBER(SEARCH(Assumptions!$C$6,G4959)),Assumptions!$D$6,IF(ISNUMBER(SEARCH(Assumptions!$C$7,G4959)),Assumptions!$D$7,"Other Services"))),"Other Services"))</f>
        <v/>
      </c>
    </row>
    <row r="4960" customFormat="false" ht="15" hidden="false" customHeight="false" outlineLevel="0" collapsed="false">
      <c r="E4960" s="41" t="str">
        <f aca="false">IF(D4960="","",IFERROR(VLOOKUP(D4960,Assumptions!$G$5:$H$16,2,0),"Other"))</f>
        <v/>
      </c>
      <c r="J4960" s="41" t="str">
        <f aca="false">IF(G4960="","",IFERROR(IF(ISNUMBER(SEARCH(Assumptions!$C$5,G4960)),Assumptions!$D$5,IF(ISNUMBER(SEARCH(Assumptions!$C$6,G4960)),Assumptions!$D$6,IF(ISNUMBER(SEARCH(Assumptions!$C$7,G4960)),Assumptions!$D$7,"Other Services"))),"Other Services"))</f>
        <v/>
      </c>
    </row>
    <row r="4961" customFormat="false" ht="15" hidden="false" customHeight="false" outlineLevel="0" collapsed="false">
      <c r="E4961" s="41" t="str">
        <f aca="false">IF(D4961="","",IFERROR(VLOOKUP(D4961,Assumptions!$G$5:$H$16,2,0),"Other"))</f>
        <v/>
      </c>
      <c r="J4961" s="41" t="str">
        <f aca="false">IF(G4961="","",IFERROR(IF(ISNUMBER(SEARCH(Assumptions!$C$5,G4961)),Assumptions!$D$5,IF(ISNUMBER(SEARCH(Assumptions!$C$6,G4961)),Assumptions!$D$6,IF(ISNUMBER(SEARCH(Assumptions!$C$7,G4961)),Assumptions!$D$7,"Other Services"))),"Other Services"))</f>
        <v/>
      </c>
    </row>
    <row r="4962" customFormat="false" ht="15" hidden="false" customHeight="false" outlineLevel="0" collapsed="false">
      <c r="E4962" s="41" t="str">
        <f aca="false">IF(D4962="","",IFERROR(VLOOKUP(D4962,Assumptions!$G$5:$H$16,2,0),"Other"))</f>
        <v/>
      </c>
      <c r="J4962" s="41" t="str">
        <f aca="false">IF(G4962="","",IFERROR(IF(ISNUMBER(SEARCH(Assumptions!$C$5,G4962)),Assumptions!$D$5,IF(ISNUMBER(SEARCH(Assumptions!$C$6,G4962)),Assumptions!$D$6,IF(ISNUMBER(SEARCH(Assumptions!$C$7,G4962)),Assumptions!$D$7,"Other Services"))),"Other Services"))</f>
        <v/>
      </c>
    </row>
    <row r="4963" customFormat="false" ht="15" hidden="false" customHeight="false" outlineLevel="0" collapsed="false">
      <c r="E4963" s="41" t="str">
        <f aca="false">IF(D4963="","",IFERROR(VLOOKUP(D4963,Assumptions!$G$5:$H$16,2,0),"Other"))</f>
        <v/>
      </c>
      <c r="J4963" s="41" t="str">
        <f aca="false">IF(G4963="","",IFERROR(IF(ISNUMBER(SEARCH(Assumptions!$C$5,G4963)),Assumptions!$D$5,IF(ISNUMBER(SEARCH(Assumptions!$C$6,G4963)),Assumptions!$D$6,IF(ISNUMBER(SEARCH(Assumptions!$C$7,G4963)),Assumptions!$D$7,"Other Services"))),"Other Services"))</f>
        <v/>
      </c>
    </row>
    <row r="4964" customFormat="false" ht="15" hidden="false" customHeight="false" outlineLevel="0" collapsed="false">
      <c r="E4964" s="41" t="str">
        <f aca="false">IF(D4964="","",IFERROR(VLOOKUP(D4964,Assumptions!$G$5:$H$16,2,0),"Other"))</f>
        <v/>
      </c>
      <c r="J4964" s="41" t="str">
        <f aca="false">IF(G4964="","",IFERROR(IF(ISNUMBER(SEARCH(Assumptions!$C$5,G4964)),Assumptions!$D$5,IF(ISNUMBER(SEARCH(Assumptions!$C$6,G4964)),Assumptions!$D$6,IF(ISNUMBER(SEARCH(Assumptions!$C$7,G4964)),Assumptions!$D$7,"Other Services"))),"Other Services"))</f>
        <v/>
      </c>
    </row>
    <row r="4965" customFormat="false" ht="15" hidden="false" customHeight="false" outlineLevel="0" collapsed="false">
      <c r="E4965" s="41" t="str">
        <f aca="false">IF(D4965="","",IFERROR(VLOOKUP(D4965,Assumptions!$G$5:$H$16,2,0),"Other"))</f>
        <v/>
      </c>
      <c r="J4965" s="41" t="str">
        <f aca="false">IF(G4965="","",IFERROR(IF(ISNUMBER(SEARCH(Assumptions!$C$5,G4965)),Assumptions!$D$5,IF(ISNUMBER(SEARCH(Assumptions!$C$6,G4965)),Assumptions!$D$6,IF(ISNUMBER(SEARCH(Assumptions!$C$7,G4965)),Assumptions!$D$7,"Other Services"))),"Other Services"))</f>
        <v/>
      </c>
    </row>
    <row r="4966" customFormat="false" ht="15" hidden="false" customHeight="false" outlineLevel="0" collapsed="false">
      <c r="E4966" s="41" t="str">
        <f aca="false">IF(D4966="","",IFERROR(VLOOKUP(D4966,Assumptions!$G$5:$H$16,2,0),"Other"))</f>
        <v/>
      </c>
      <c r="J4966" s="41" t="str">
        <f aca="false">IF(G4966="","",IFERROR(IF(ISNUMBER(SEARCH(Assumptions!$C$5,G4966)),Assumptions!$D$5,IF(ISNUMBER(SEARCH(Assumptions!$C$6,G4966)),Assumptions!$D$6,IF(ISNUMBER(SEARCH(Assumptions!$C$7,G4966)),Assumptions!$D$7,"Other Services"))),"Other Services"))</f>
        <v/>
      </c>
    </row>
    <row r="4967" customFormat="false" ht="15" hidden="false" customHeight="false" outlineLevel="0" collapsed="false">
      <c r="E4967" s="41" t="str">
        <f aca="false">IF(D4967="","",IFERROR(VLOOKUP(D4967,Assumptions!$G$5:$H$16,2,0),"Other"))</f>
        <v/>
      </c>
      <c r="J4967" s="41" t="str">
        <f aca="false">IF(G4967="","",IFERROR(IF(ISNUMBER(SEARCH(Assumptions!$C$5,G4967)),Assumptions!$D$5,IF(ISNUMBER(SEARCH(Assumptions!$C$6,G4967)),Assumptions!$D$6,IF(ISNUMBER(SEARCH(Assumptions!$C$7,G4967)),Assumptions!$D$7,"Other Services"))),"Other Services"))</f>
        <v/>
      </c>
    </row>
    <row r="4968" customFormat="false" ht="15" hidden="false" customHeight="false" outlineLevel="0" collapsed="false">
      <c r="E4968" s="41" t="str">
        <f aca="false">IF(D4968="","",IFERROR(VLOOKUP(D4968,Assumptions!$G$5:$H$16,2,0),"Other"))</f>
        <v/>
      </c>
      <c r="J4968" s="41" t="str">
        <f aca="false">IF(G4968="","",IFERROR(IF(ISNUMBER(SEARCH(Assumptions!$C$5,G4968)),Assumptions!$D$5,IF(ISNUMBER(SEARCH(Assumptions!$C$6,G4968)),Assumptions!$D$6,IF(ISNUMBER(SEARCH(Assumptions!$C$7,G4968)),Assumptions!$D$7,"Other Services"))),"Other Services"))</f>
        <v/>
      </c>
    </row>
    <row r="4969" customFormat="false" ht="15" hidden="false" customHeight="false" outlineLevel="0" collapsed="false">
      <c r="E4969" s="41" t="str">
        <f aca="false">IF(D4969="","",IFERROR(VLOOKUP(D4969,Assumptions!$G$5:$H$16,2,0),"Other"))</f>
        <v/>
      </c>
      <c r="J4969" s="41" t="str">
        <f aca="false">IF(G4969="","",IFERROR(IF(ISNUMBER(SEARCH(Assumptions!$C$5,G4969)),Assumptions!$D$5,IF(ISNUMBER(SEARCH(Assumptions!$C$6,G4969)),Assumptions!$D$6,IF(ISNUMBER(SEARCH(Assumptions!$C$7,G4969)),Assumptions!$D$7,"Other Services"))),"Other Services"))</f>
        <v/>
      </c>
    </row>
    <row r="4970" customFormat="false" ht="15" hidden="false" customHeight="false" outlineLevel="0" collapsed="false">
      <c r="E4970" s="41" t="str">
        <f aca="false">IF(D4970="","",IFERROR(VLOOKUP(D4970,Assumptions!$G$5:$H$16,2,0),"Other"))</f>
        <v/>
      </c>
      <c r="J4970" s="41" t="str">
        <f aca="false">IF(G4970="","",IFERROR(IF(ISNUMBER(SEARCH(Assumptions!$C$5,G4970)),Assumptions!$D$5,IF(ISNUMBER(SEARCH(Assumptions!$C$6,G4970)),Assumptions!$D$6,IF(ISNUMBER(SEARCH(Assumptions!$C$7,G4970)),Assumptions!$D$7,"Other Services"))),"Other Services"))</f>
        <v/>
      </c>
    </row>
    <row r="4971" customFormat="false" ht="15" hidden="false" customHeight="false" outlineLevel="0" collapsed="false">
      <c r="E4971" s="41" t="str">
        <f aca="false">IF(D4971="","",IFERROR(VLOOKUP(D4971,Assumptions!$G$5:$H$16,2,0),"Other"))</f>
        <v/>
      </c>
      <c r="J4971" s="41" t="str">
        <f aca="false">IF(G4971="","",IFERROR(IF(ISNUMBER(SEARCH(Assumptions!$C$5,G4971)),Assumptions!$D$5,IF(ISNUMBER(SEARCH(Assumptions!$C$6,G4971)),Assumptions!$D$6,IF(ISNUMBER(SEARCH(Assumptions!$C$7,G4971)),Assumptions!$D$7,"Other Services"))),"Other Services"))</f>
        <v/>
      </c>
    </row>
    <row r="4972" customFormat="false" ht="15" hidden="false" customHeight="false" outlineLevel="0" collapsed="false">
      <c r="E4972" s="41" t="str">
        <f aca="false">IF(D4972="","",IFERROR(VLOOKUP(D4972,Assumptions!$G$5:$H$16,2,0),"Other"))</f>
        <v/>
      </c>
      <c r="J4972" s="41" t="str">
        <f aca="false">IF(G4972="","",IFERROR(IF(ISNUMBER(SEARCH(Assumptions!$C$5,G4972)),Assumptions!$D$5,IF(ISNUMBER(SEARCH(Assumptions!$C$6,G4972)),Assumptions!$D$6,IF(ISNUMBER(SEARCH(Assumptions!$C$7,G4972)),Assumptions!$D$7,"Other Services"))),"Other Services"))</f>
        <v/>
      </c>
    </row>
    <row r="4973" customFormat="false" ht="15" hidden="false" customHeight="false" outlineLevel="0" collapsed="false">
      <c r="E4973" s="41" t="str">
        <f aca="false">IF(D4973="","",IFERROR(VLOOKUP(D4973,Assumptions!$G$5:$H$16,2,0),"Other"))</f>
        <v/>
      </c>
      <c r="J4973" s="41" t="str">
        <f aca="false">IF(G4973="","",IFERROR(IF(ISNUMBER(SEARCH(Assumptions!$C$5,G4973)),Assumptions!$D$5,IF(ISNUMBER(SEARCH(Assumptions!$C$6,G4973)),Assumptions!$D$6,IF(ISNUMBER(SEARCH(Assumptions!$C$7,G4973)),Assumptions!$D$7,"Other Services"))),"Other Services"))</f>
        <v/>
      </c>
    </row>
    <row r="4974" customFormat="false" ht="15" hidden="false" customHeight="false" outlineLevel="0" collapsed="false">
      <c r="E4974" s="41" t="str">
        <f aca="false">IF(D4974="","",IFERROR(VLOOKUP(D4974,Assumptions!$G$5:$H$16,2,0),"Other"))</f>
        <v/>
      </c>
      <c r="J4974" s="41" t="str">
        <f aca="false">IF(G4974="","",IFERROR(IF(ISNUMBER(SEARCH(Assumptions!$C$5,G4974)),Assumptions!$D$5,IF(ISNUMBER(SEARCH(Assumptions!$C$6,G4974)),Assumptions!$D$6,IF(ISNUMBER(SEARCH(Assumptions!$C$7,G4974)),Assumptions!$D$7,"Other Services"))),"Other Services"))</f>
        <v/>
      </c>
    </row>
    <row r="4975" customFormat="false" ht="15" hidden="false" customHeight="false" outlineLevel="0" collapsed="false">
      <c r="E4975" s="41" t="str">
        <f aca="false">IF(D4975="","",IFERROR(VLOOKUP(D4975,Assumptions!$G$5:$H$16,2,0),"Other"))</f>
        <v/>
      </c>
      <c r="J4975" s="41" t="str">
        <f aca="false">IF(G4975="","",IFERROR(IF(ISNUMBER(SEARCH(Assumptions!$C$5,G4975)),Assumptions!$D$5,IF(ISNUMBER(SEARCH(Assumptions!$C$6,G4975)),Assumptions!$D$6,IF(ISNUMBER(SEARCH(Assumptions!$C$7,G4975)),Assumptions!$D$7,"Other Services"))),"Other Services"))</f>
        <v/>
      </c>
    </row>
    <row r="4976" customFormat="false" ht="15" hidden="false" customHeight="false" outlineLevel="0" collapsed="false">
      <c r="E4976" s="41" t="str">
        <f aca="false">IF(D4976="","",IFERROR(VLOOKUP(D4976,Assumptions!$G$5:$H$16,2,0),"Other"))</f>
        <v/>
      </c>
      <c r="J4976" s="41" t="str">
        <f aca="false">IF(G4976="","",IFERROR(IF(ISNUMBER(SEARCH(Assumptions!$C$5,G4976)),Assumptions!$D$5,IF(ISNUMBER(SEARCH(Assumptions!$C$6,G4976)),Assumptions!$D$6,IF(ISNUMBER(SEARCH(Assumptions!$C$7,G4976)),Assumptions!$D$7,"Other Services"))),"Other Services"))</f>
        <v/>
      </c>
    </row>
    <row r="4977" customFormat="false" ht="15" hidden="false" customHeight="false" outlineLevel="0" collapsed="false">
      <c r="E4977" s="41" t="str">
        <f aca="false">IF(D4977="","",IFERROR(VLOOKUP(D4977,Assumptions!$G$5:$H$16,2,0),"Other"))</f>
        <v/>
      </c>
      <c r="J4977" s="41" t="str">
        <f aca="false">IF(G4977="","",IFERROR(IF(ISNUMBER(SEARCH(Assumptions!$C$5,G4977)),Assumptions!$D$5,IF(ISNUMBER(SEARCH(Assumptions!$C$6,G4977)),Assumptions!$D$6,IF(ISNUMBER(SEARCH(Assumptions!$C$7,G4977)),Assumptions!$D$7,"Other Services"))),"Other Services"))</f>
        <v/>
      </c>
    </row>
    <row r="4978" customFormat="false" ht="15" hidden="false" customHeight="false" outlineLevel="0" collapsed="false">
      <c r="E4978" s="41" t="str">
        <f aca="false">IF(D4978="","",IFERROR(VLOOKUP(D4978,Assumptions!$G$5:$H$16,2,0),"Other"))</f>
        <v/>
      </c>
      <c r="J4978" s="41" t="str">
        <f aca="false">IF(G4978="","",IFERROR(IF(ISNUMBER(SEARCH(Assumptions!$C$5,G4978)),Assumptions!$D$5,IF(ISNUMBER(SEARCH(Assumptions!$C$6,G4978)),Assumptions!$D$6,IF(ISNUMBER(SEARCH(Assumptions!$C$7,G4978)),Assumptions!$D$7,"Other Services"))),"Other Services"))</f>
        <v/>
      </c>
    </row>
    <row r="4979" customFormat="false" ht="15" hidden="false" customHeight="false" outlineLevel="0" collapsed="false">
      <c r="E4979" s="41" t="str">
        <f aca="false">IF(D4979="","",IFERROR(VLOOKUP(D4979,Assumptions!$G$5:$H$16,2,0),"Other"))</f>
        <v/>
      </c>
      <c r="J4979" s="41" t="str">
        <f aca="false">IF(G4979="","",IFERROR(IF(ISNUMBER(SEARCH(Assumptions!$C$5,G4979)),Assumptions!$D$5,IF(ISNUMBER(SEARCH(Assumptions!$C$6,G4979)),Assumptions!$D$6,IF(ISNUMBER(SEARCH(Assumptions!$C$7,G4979)),Assumptions!$D$7,"Other Services"))),"Other Services"))</f>
        <v/>
      </c>
    </row>
    <row r="4980" customFormat="false" ht="15" hidden="false" customHeight="false" outlineLevel="0" collapsed="false">
      <c r="E4980" s="41" t="str">
        <f aca="false">IF(D4980="","",IFERROR(VLOOKUP(D4980,Assumptions!$G$5:$H$16,2,0),"Other"))</f>
        <v/>
      </c>
      <c r="J4980" s="41" t="str">
        <f aca="false">IF(G4980="","",IFERROR(IF(ISNUMBER(SEARCH(Assumptions!$C$5,G4980)),Assumptions!$D$5,IF(ISNUMBER(SEARCH(Assumptions!$C$6,G4980)),Assumptions!$D$6,IF(ISNUMBER(SEARCH(Assumptions!$C$7,G4980)),Assumptions!$D$7,"Other Services"))),"Other Services"))</f>
        <v/>
      </c>
    </row>
    <row r="4981" customFormat="false" ht="15" hidden="false" customHeight="false" outlineLevel="0" collapsed="false">
      <c r="E4981" s="41" t="str">
        <f aca="false">IF(D4981="","",IFERROR(VLOOKUP(D4981,Assumptions!$G$5:$H$16,2,0),"Other"))</f>
        <v/>
      </c>
      <c r="J4981" s="41" t="str">
        <f aca="false">IF(G4981="","",IFERROR(IF(ISNUMBER(SEARCH(Assumptions!$C$5,G4981)),Assumptions!$D$5,IF(ISNUMBER(SEARCH(Assumptions!$C$6,G4981)),Assumptions!$D$6,IF(ISNUMBER(SEARCH(Assumptions!$C$7,G4981)),Assumptions!$D$7,"Other Services"))),"Other Services"))</f>
        <v/>
      </c>
    </row>
    <row r="4982" customFormat="false" ht="15" hidden="false" customHeight="false" outlineLevel="0" collapsed="false">
      <c r="E4982" s="41" t="str">
        <f aca="false">IF(D4982="","",IFERROR(VLOOKUP(D4982,Assumptions!$G$5:$H$16,2,0),"Other"))</f>
        <v/>
      </c>
      <c r="J4982" s="41" t="str">
        <f aca="false">IF(G4982="","",IFERROR(IF(ISNUMBER(SEARCH(Assumptions!$C$5,G4982)),Assumptions!$D$5,IF(ISNUMBER(SEARCH(Assumptions!$C$6,G4982)),Assumptions!$D$6,IF(ISNUMBER(SEARCH(Assumptions!$C$7,G4982)),Assumptions!$D$7,"Other Services"))),"Other Services"))</f>
        <v/>
      </c>
    </row>
    <row r="4983" customFormat="false" ht="15" hidden="false" customHeight="false" outlineLevel="0" collapsed="false">
      <c r="E4983" s="41" t="str">
        <f aca="false">IF(D4983="","",IFERROR(VLOOKUP(D4983,Assumptions!$G$5:$H$16,2,0),"Other"))</f>
        <v/>
      </c>
      <c r="J4983" s="41" t="str">
        <f aca="false">IF(G4983="","",IFERROR(IF(ISNUMBER(SEARCH(Assumptions!$C$5,G4983)),Assumptions!$D$5,IF(ISNUMBER(SEARCH(Assumptions!$C$6,G4983)),Assumptions!$D$6,IF(ISNUMBER(SEARCH(Assumptions!$C$7,G4983)),Assumptions!$D$7,"Other Services"))),"Other Services"))</f>
        <v/>
      </c>
    </row>
    <row r="4984" customFormat="false" ht="15" hidden="false" customHeight="false" outlineLevel="0" collapsed="false">
      <c r="E4984" s="41" t="str">
        <f aca="false">IF(D4984="","",IFERROR(VLOOKUP(D4984,Assumptions!$G$5:$H$16,2,0),"Other"))</f>
        <v/>
      </c>
      <c r="J4984" s="41" t="str">
        <f aca="false">IF(G4984="","",IFERROR(IF(ISNUMBER(SEARCH(Assumptions!$C$5,G4984)),Assumptions!$D$5,IF(ISNUMBER(SEARCH(Assumptions!$C$6,G4984)),Assumptions!$D$6,IF(ISNUMBER(SEARCH(Assumptions!$C$7,G4984)),Assumptions!$D$7,"Other Services"))),"Other Services"))</f>
        <v/>
      </c>
    </row>
    <row r="4985" customFormat="false" ht="15" hidden="false" customHeight="false" outlineLevel="0" collapsed="false">
      <c r="E4985" s="41" t="str">
        <f aca="false">IF(D4985="","",IFERROR(VLOOKUP(D4985,Assumptions!$G$5:$H$16,2,0),"Other"))</f>
        <v/>
      </c>
      <c r="J4985" s="41" t="str">
        <f aca="false">IF(G4985="","",IFERROR(IF(ISNUMBER(SEARCH(Assumptions!$C$5,G4985)),Assumptions!$D$5,IF(ISNUMBER(SEARCH(Assumptions!$C$6,G4985)),Assumptions!$D$6,IF(ISNUMBER(SEARCH(Assumptions!$C$7,G4985)),Assumptions!$D$7,"Other Services"))),"Other Services"))</f>
        <v/>
      </c>
    </row>
    <row r="4986" customFormat="false" ht="15" hidden="false" customHeight="false" outlineLevel="0" collapsed="false">
      <c r="E4986" s="41" t="str">
        <f aca="false">IF(D4986="","",IFERROR(VLOOKUP(D4986,Assumptions!$G$5:$H$16,2,0),"Other"))</f>
        <v/>
      </c>
      <c r="J4986" s="41" t="str">
        <f aca="false">IF(G4986="","",IFERROR(IF(ISNUMBER(SEARCH(Assumptions!$C$5,G4986)),Assumptions!$D$5,IF(ISNUMBER(SEARCH(Assumptions!$C$6,G4986)),Assumptions!$D$6,IF(ISNUMBER(SEARCH(Assumptions!$C$7,G4986)),Assumptions!$D$7,"Other Services"))),"Other Services"))</f>
        <v/>
      </c>
    </row>
    <row r="4987" customFormat="false" ht="15" hidden="false" customHeight="false" outlineLevel="0" collapsed="false">
      <c r="E4987" s="41" t="str">
        <f aca="false">IF(D4987="","",IFERROR(VLOOKUP(D4987,Assumptions!$G$5:$H$16,2,0),"Other"))</f>
        <v/>
      </c>
      <c r="J4987" s="41" t="str">
        <f aca="false">IF(G4987="","",IFERROR(IF(ISNUMBER(SEARCH(Assumptions!$C$5,G4987)),Assumptions!$D$5,IF(ISNUMBER(SEARCH(Assumptions!$C$6,G4987)),Assumptions!$D$6,IF(ISNUMBER(SEARCH(Assumptions!$C$7,G4987)),Assumptions!$D$7,"Other Services"))),"Other Services"))</f>
        <v/>
      </c>
    </row>
    <row r="4988" customFormat="false" ht="15" hidden="false" customHeight="false" outlineLevel="0" collapsed="false">
      <c r="E4988" s="41" t="str">
        <f aca="false">IF(D4988="","",IFERROR(VLOOKUP(D4988,Assumptions!$G$5:$H$16,2,0),"Other"))</f>
        <v/>
      </c>
      <c r="J4988" s="41" t="str">
        <f aca="false">IF(G4988="","",IFERROR(IF(ISNUMBER(SEARCH(Assumptions!$C$5,G4988)),Assumptions!$D$5,IF(ISNUMBER(SEARCH(Assumptions!$C$6,G4988)),Assumptions!$D$6,IF(ISNUMBER(SEARCH(Assumptions!$C$7,G4988)),Assumptions!$D$7,"Other Services"))),"Other Services"))</f>
        <v/>
      </c>
    </row>
    <row r="4989" customFormat="false" ht="15" hidden="false" customHeight="false" outlineLevel="0" collapsed="false">
      <c r="E4989" s="41" t="str">
        <f aca="false">IF(D4989="","",IFERROR(VLOOKUP(D4989,Assumptions!$G$5:$H$16,2,0),"Other"))</f>
        <v/>
      </c>
      <c r="J4989" s="41" t="str">
        <f aca="false">IF(G4989="","",IFERROR(IF(ISNUMBER(SEARCH(Assumptions!$C$5,G4989)),Assumptions!$D$5,IF(ISNUMBER(SEARCH(Assumptions!$C$6,G4989)),Assumptions!$D$6,IF(ISNUMBER(SEARCH(Assumptions!$C$7,G4989)),Assumptions!$D$7,"Other Services"))),"Other Services"))</f>
        <v/>
      </c>
    </row>
    <row r="4990" customFormat="false" ht="15" hidden="false" customHeight="false" outlineLevel="0" collapsed="false">
      <c r="E4990" s="41" t="str">
        <f aca="false">IF(D4990="","",IFERROR(VLOOKUP(D4990,Assumptions!$G$5:$H$16,2,0),"Other"))</f>
        <v/>
      </c>
      <c r="J4990" s="41" t="str">
        <f aca="false">IF(G4990="","",IFERROR(IF(ISNUMBER(SEARCH(Assumptions!$C$5,G4990)),Assumptions!$D$5,IF(ISNUMBER(SEARCH(Assumptions!$C$6,G4990)),Assumptions!$D$6,IF(ISNUMBER(SEARCH(Assumptions!$C$7,G4990)),Assumptions!$D$7,"Other Services"))),"Other Services"))</f>
        <v/>
      </c>
    </row>
    <row r="4991" customFormat="false" ht="15" hidden="false" customHeight="false" outlineLevel="0" collapsed="false">
      <c r="E4991" s="41" t="str">
        <f aca="false">IF(D4991="","",IFERROR(VLOOKUP(D4991,Assumptions!$G$5:$H$16,2,0),"Other"))</f>
        <v/>
      </c>
      <c r="J4991" s="41" t="str">
        <f aca="false">IF(G4991="","",IFERROR(IF(ISNUMBER(SEARCH(Assumptions!$C$5,G4991)),Assumptions!$D$5,IF(ISNUMBER(SEARCH(Assumptions!$C$6,G4991)),Assumptions!$D$6,IF(ISNUMBER(SEARCH(Assumptions!$C$7,G4991)),Assumptions!$D$7,"Other Services"))),"Other Services"))</f>
        <v/>
      </c>
    </row>
    <row r="4992" customFormat="false" ht="15" hidden="false" customHeight="false" outlineLevel="0" collapsed="false">
      <c r="E4992" s="41" t="str">
        <f aca="false">IF(D4992="","",IFERROR(VLOOKUP(D4992,Assumptions!$G$5:$H$16,2,0),"Other"))</f>
        <v/>
      </c>
      <c r="J4992" s="41" t="str">
        <f aca="false">IF(G4992="","",IFERROR(IF(ISNUMBER(SEARCH(Assumptions!$C$5,G4992)),Assumptions!$D$5,IF(ISNUMBER(SEARCH(Assumptions!$C$6,G4992)),Assumptions!$D$6,IF(ISNUMBER(SEARCH(Assumptions!$C$7,G4992)),Assumptions!$D$7,"Other Services"))),"Other Services"))</f>
        <v/>
      </c>
    </row>
    <row r="4993" customFormat="false" ht="15" hidden="false" customHeight="false" outlineLevel="0" collapsed="false">
      <c r="E4993" s="41" t="str">
        <f aca="false">IF(D4993="","",IFERROR(VLOOKUP(D4993,Assumptions!$G$5:$H$16,2,0),"Other"))</f>
        <v/>
      </c>
      <c r="J4993" s="41" t="str">
        <f aca="false">IF(G4993="","",IFERROR(IF(ISNUMBER(SEARCH(Assumptions!$C$5,G4993)),Assumptions!$D$5,IF(ISNUMBER(SEARCH(Assumptions!$C$6,G4993)),Assumptions!$D$6,IF(ISNUMBER(SEARCH(Assumptions!$C$7,G4993)),Assumptions!$D$7,"Other Services"))),"Other Services"))</f>
        <v/>
      </c>
    </row>
    <row r="4994" customFormat="false" ht="15" hidden="false" customHeight="false" outlineLevel="0" collapsed="false">
      <c r="E4994" s="41" t="str">
        <f aca="false">IF(D4994="","",IFERROR(VLOOKUP(D4994,Assumptions!$G$5:$H$16,2,0),"Other"))</f>
        <v/>
      </c>
      <c r="J4994" s="41" t="str">
        <f aca="false">IF(G4994="","",IFERROR(IF(ISNUMBER(SEARCH(Assumptions!$C$5,G4994)),Assumptions!$D$5,IF(ISNUMBER(SEARCH(Assumptions!$C$6,G4994)),Assumptions!$D$6,IF(ISNUMBER(SEARCH(Assumptions!$C$7,G4994)),Assumptions!$D$7,"Other Services"))),"Other Services"))</f>
        <v/>
      </c>
    </row>
    <row r="4995" customFormat="false" ht="15" hidden="false" customHeight="false" outlineLevel="0" collapsed="false">
      <c r="E4995" s="41" t="str">
        <f aca="false">IF(D4995="","",IFERROR(VLOOKUP(D4995,Assumptions!$G$5:$H$16,2,0),"Other"))</f>
        <v/>
      </c>
      <c r="J4995" s="41" t="str">
        <f aca="false">IF(G4995="","",IFERROR(IF(ISNUMBER(SEARCH(Assumptions!$C$5,G4995)),Assumptions!$D$5,IF(ISNUMBER(SEARCH(Assumptions!$C$6,G4995)),Assumptions!$D$6,IF(ISNUMBER(SEARCH(Assumptions!$C$7,G4995)),Assumptions!$D$7,"Other Services"))),"Other Services"))</f>
        <v/>
      </c>
    </row>
    <row r="4996" customFormat="false" ht="15" hidden="false" customHeight="false" outlineLevel="0" collapsed="false">
      <c r="E4996" s="41" t="str">
        <f aca="false">IF(D4996="","",IFERROR(VLOOKUP(D4996,Assumptions!$G$5:$H$16,2,0),"Other"))</f>
        <v/>
      </c>
      <c r="J4996" s="41" t="str">
        <f aca="false">IF(G4996="","",IFERROR(IF(ISNUMBER(SEARCH(Assumptions!$C$5,G4996)),Assumptions!$D$5,IF(ISNUMBER(SEARCH(Assumptions!$C$6,G4996)),Assumptions!$D$6,IF(ISNUMBER(SEARCH(Assumptions!$C$7,G4996)),Assumptions!$D$7,"Other Services"))),"Other Services"))</f>
        <v/>
      </c>
    </row>
    <row r="4997" customFormat="false" ht="15" hidden="false" customHeight="false" outlineLevel="0" collapsed="false">
      <c r="E4997" s="41" t="str">
        <f aca="false">IF(D4997="","",IFERROR(VLOOKUP(D4997,Assumptions!$G$5:$H$16,2,0),"Other"))</f>
        <v/>
      </c>
      <c r="J4997" s="41" t="str">
        <f aca="false">IF(G4997="","",IFERROR(IF(ISNUMBER(SEARCH(Assumptions!$C$5,G4997)),Assumptions!$D$5,IF(ISNUMBER(SEARCH(Assumptions!$C$6,G4997)),Assumptions!$D$6,IF(ISNUMBER(SEARCH(Assumptions!$C$7,G4997)),Assumptions!$D$7,"Other Services"))),"Other Services"))</f>
        <v/>
      </c>
    </row>
    <row r="4998" customFormat="false" ht="15" hidden="false" customHeight="false" outlineLevel="0" collapsed="false">
      <c r="E4998" s="41" t="str">
        <f aca="false">IF(D4998="","",IFERROR(VLOOKUP(D4998,Assumptions!$G$5:$H$16,2,0),"Other"))</f>
        <v/>
      </c>
      <c r="J4998" s="41" t="str">
        <f aca="false">IF(G4998="","",IFERROR(IF(ISNUMBER(SEARCH(Assumptions!$C$5,G4998)),Assumptions!$D$5,IF(ISNUMBER(SEARCH(Assumptions!$C$6,G4998)),Assumptions!$D$6,IF(ISNUMBER(SEARCH(Assumptions!$C$7,G4998)),Assumptions!$D$7,"Other Services"))),"Other Services"))</f>
        <v/>
      </c>
    </row>
    <row r="4999" customFormat="false" ht="15" hidden="false" customHeight="false" outlineLevel="0" collapsed="false">
      <c r="E4999" s="41" t="str">
        <f aca="false">IF(D4999="","",IFERROR(VLOOKUP(D4999,Assumptions!$G$5:$H$16,2,0),"Other"))</f>
        <v/>
      </c>
      <c r="J4999" s="41" t="str">
        <f aca="false">IF(G4999="","",IFERROR(IF(ISNUMBER(SEARCH(Assumptions!$C$5,G4999)),Assumptions!$D$5,IF(ISNUMBER(SEARCH(Assumptions!$C$6,G4999)),Assumptions!$D$6,IF(ISNUMBER(SEARCH(Assumptions!$C$7,G4999)),Assumptions!$D$7,"Other Services"))),"Other Services"))</f>
        <v/>
      </c>
    </row>
    <row r="5000" customFormat="false" ht="15" hidden="false" customHeight="false" outlineLevel="0" collapsed="false">
      <c r="E5000" s="41" t="str">
        <f aca="false">IF(D5000="","",IFERROR(VLOOKUP(D5000,Assumptions!$G$5:$H$16,2,0),"Other"))</f>
        <v/>
      </c>
      <c r="J5000" s="41" t="str">
        <f aca="false">IF(G5000="","",IFERROR(IF(ISNUMBER(SEARCH(Assumptions!$C$5,G5000)),Assumptions!$D$5,IF(ISNUMBER(SEARCH(Assumptions!$C$6,G5000)),Assumptions!$D$6,IF(ISNUMBER(SEARCH(Assumptions!$C$7,G5000)),Assumptions!$D$7,"Other Services"))),"Other Services"))</f>
        <v/>
      </c>
    </row>
    <row r="5001" customFormat="false" ht="15" hidden="false" customHeight="false" outlineLevel="0" collapsed="false">
      <c r="E5001" s="41" t="str">
        <f aca="false">IF(D5001="","",IFERROR(VLOOKUP(D5001,Assumptions!$G$5:$H$16,2,0),"Other"))</f>
        <v/>
      </c>
      <c r="J5001" s="41" t="str">
        <f aca="false">IF(G5001="","",IFERROR(IF(ISNUMBER(SEARCH(Assumptions!$C$5,G5001)),Assumptions!$D$5,IF(ISNUMBER(SEARCH(Assumptions!$C$6,G5001)),Assumptions!$D$6,IF(ISNUMBER(SEARCH(Assumptions!$C$7,G5001)),Assumptions!$D$7,"Other Services"))),"Other Services"))</f>
        <v/>
      </c>
    </row>
    <row r="5002" customFormat="false" ht="15" hidden="false" customHeight="false" outlineLevel="0" collapsed="false">
      <c r="E5002" s="41" t="str">
        <f aca="false">IF(D5002="","",IFERROR(VLOOKUP(D5002,Assumptions!$G$5:$H$16,2,0),"Other"))</f>
        <v/>
      </c>
      <c r="J5002" s="41" t="str">
        <f aca="false">IF(G5002="","",IFERROR(IF(ISNUMBER(SEARCH(Assumptions!$C$5,G5002)),Assumptions!$D$5,IF(ISNUMBER(SEARCH(Assumptions!$C$6,G5002)),Assumptions!$D$6,IF(ISNUMBER(SEARCH(Assumptions!$C$7,G5002)),Assumptions!$D$7,"Other Services"))),"Other Services"))</f>
        <v/>
      </c>
    </row>
    <row r="5003" customFormat="false" ht="15" hidden="false" customHeight="false" outlineLevel="0" collapsed="false">
      <c r="E5003" s="41" t="str">
        <f aca="false">IF(D5003="","",IFERROR(VLOOKUP(D5003,Assumptions!$G$5:$H$16,2,0),"Other"))</f>
        <v/>
      </c>
      <c r="J5003" s="41" t="str">
        <f aca="false">IF(G5003="","",IFERROR(IF(ISNUMBER(SEARCH(Assumptions!$C$5,G5003)),Assumptions!$D$5,IF(ISNUMBER(SEARCH(Assumptions!$C$6,G5003)),Assumptions!$D$6,IF(ISNUMBER(SEARCH(Assumptions!$C$7,G5003)),Assumptions!$D$7,"Other Services"))),"Other Services"))</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12"/>
    <col collapsed="false" customWidth="true" hidden="false" outlineLevel="0" max="3" min="2" style="25" width="26"/>
    <col collapsed="false" customWidth="true" hidden="false" outlineLevel="0" max="6" min="4" style="25" width="15"/>
    <col collapsed="false" customWidth="true" hidden="false" outlineLevel="0" max="7" min="7" style="0" width="34"/>
  </cols>
  <sheetData>
    <row r="1" customFormat="false" ht="15" hidden="false" customHeight="true" outlineLevel="0" collapsed="false">
      <c r="A1" s="31" t="s">
        <v>239</v>
      </c>
    </row>
    <row r="2" customFormat="false" ht="15" hidden="false" customHeight="true" outlineLevel="0" collapsed="false">
      <c r="A2" s="32" t="s">
        <v>240</v>
      </c>
    </row>
    <row r="3" customFormat="false" ht="21.75" hidden="false" customHeight="true" outlineLevel="0" collapsed="false">
      <c r="A3" s="33" t="s">
        <v>126</v>
      </c>
      <c r="B3" s="33" t="s">
        <v>241</v>
      </c>
      <c r="C3" s="33" t="s">
        <v>128</v>
      </c>
      <c r="D3" s="33" t="s">
        <v>242</v>
      </c>
      <c r="E3" s="33" t="s">
        <v>243</v>
      </c>
      <c r="F3" s="33" t="s">
        <v>244</v>
      </c>
      <c r="G3" s="42" t="s">
        <v>245</v>
      </c>
    </row>
    <row r="4" customFormat="false" ht="15" hidden="false" customHeight="true" outlineLevel="0" collapsed="false">
      <c r="A4" s="43" t="n">
        <v>46116</v>
      </c>
      <c r="B4" s="35" t="s">
        <v>246</v>
      </c>
      <c r="C4" s="35" t="s">
        <v>247</v>
      </c>
      <c r="D4" s="36" t="n">
        <v>0</v>
      </c>
      <c r="E4" s="36" t="n">
        <v>2681.54</v>
      </c>
      <c r="F4" s="36" t="n">
        <v>247318.46</v>
      </c>
    </row>
    <row r="5" customFormat="false" ht="15" hidden="false" customHeight="true" outlineLevel="0" collapsed="false">
      <c r="A5" s="43" t="n">
        <v>46119</v>
      </c>
      <c r="B5" s="35" t="s">
        <v>248</v>
      </c>
      <c r="C5" s="35" t="s">
        <v>247</v>
      </c>
      <c r="D5" s="36" t="n">
        <v>0</v>
      </c>
      <c r="E5" s="36" t="n">
        <v>11858.94</v>
      </c>
      <c r="F5" s="36" t="n">
        <v>235459.52</v>
      </c>
    </row>
    <row r="6" customFormat="false" ht="15" hidden="false" customHeight="true" outlineLevel="0" collapsed="false">
      <c r="A6" s="43" t="n">
        <v>46121</v>
      </c>
      <c r="B6" s="35" t="s">
        <v>248</v>
      </c>
      <c r="C6" s="35" t="s">
        <v>249</v>
      </c>
      <c r="D6" s="36" t="n">
        <v>15221.41</v>
      </c>
      <c r="E6" s="36" t="n">
        <v>0</v>
      </c>
      <c r="F6" s="36" t="n">
        <v>250680.93</v>
      </c>
      <c r="G6" s="39" t="s">
        <v>150</v>
      </c>
    </row>
    <row r="7" customFormat="false" ht="15" hidden="false" customHeight="true" outlineLevel="0" collapsed="false">
      <c r="A7" s="43" t="n">
        <v>46122</v>
      </c>
      <c r="B7" s="35" t="s">
        <v>246</v>
      </c>
      <c r="C7" s="35" t="s">
        <v>249</v>
      </c>
      <c r="D7" s="36" t="n">
        <v>10731.66</v>
      </c>
      <c r="E7" s="36" t="n">
        <v>0</v>
      </c>
      <c r="F7" s="36" t="n">
        <v>261412.59</v>
      </c>
      <c r="G7" s="39" t="s">
        <v>144</v>
      </c>
    </row>
    <row r="8" customFormat="false" ht="15" hidden="false" customHeight="true" outlineLevel="0" collapsed="false">
      <c r="A8" s="43" t="n">
        <v>46123</v>
      </c>
      <c r="B8" s="35" t="s">
        <v>246</v>
      </c>
      <c r="C8" s="35" t="s">
        <v>250</v>
      </c>
      <c r="D8" s="36" t="n">
        <v>0</v>
      </c>
      <c r="E8" s="36" t="n">
        <v>17740.63</v>
      </c>
      <c r="F8" s="36" t="n">
        <v>243671.96</v>
      </c>
    </row>
    <row r="9" customFormat="false" ht="15" hidden="false" customHeight="true" outlineLevel="0" collapsed="false">
      <c r="A9" s="43" t="n">
        <v>46126</v>
      </c>
      <c r="B9" s="35" t="s">
        <v>248</v>
      </c>
      <c r="C9" s="35" t="s">
        <v>247</v>
      </c>
      <c r="D9" s="36" t="n">
        <v>0</v>
      </c>
      <c r="E9" s="36" t="n">
        <v>5116.38</v>
      </c>
      <c r="F9" s="36" t="n">
        <v>238555.58</v>
      </c>
    </row>
    <row r="10" customFormat="false" ht="15" hidden="false" customHeight="true" outlineLevel="0" collapsed="false">
      <c r="A10" s="43" t="n">
        <v>46127</v>
      </c>
      <c r="B10" s="35" t="s">
        <v>246</v>
      </c>
      <c r="C10" s="35" t="s">
        <v>249</v>
      </c>
      <c r="D10" s="36" t="n">
        <v>29726.01</v>
      </c>
      <c r="E10" s="36" t="n">
        <v>0</v>
      </c>
      <c r="F10" s="36" t="n">
        <v>268281.59</v>
      </c>
      <c r="G10" s="39" t="s">
        <v>150</v>
      </c>
    </row>
    <row r="11" customFormat="false" ht="15" hidden="false" customHeight="true" outlineLevel="0" collapsed="false">
      <c r="A11" s="43" t="n">
        <v>46129</v>
      </c>
      <c r="B11" s="35" t="s">
        <v>246</v>
      </c>
      <c r="C11" s="35" t="s">
        <v>247</v>
      </c>
      <c r="D11" s="36" t="n">
        <v>0</v>
      </c>
      <c r="E11" s="36" t="n">
        <v>17349.25</v>
      </c>
      <c r="F11" s="36" t="n">
        <v>250932.34</v>
      </c>
    </row>
    <row r="12" customFormat="false" ht="15" hidden="false" customHeight="true" outlineLevel="0" collapsed="false">
      <c r="A12" s="43" t="n">
        <v>46131</v>
      </c>
      <c r="B12" s="35" t="s">
        <v>248</v>
      </c>
      <c r="C12" s="35" t="s">
        <v>251</v>
      </c>
      <c r="D12" s="36" t="n">
        <v>0</v>
      </c>
      <c r="E12" s="36" t="n">
        <v>2607.86</v>
      </c>
      <c r="F12" s="36" t="n">
        <v>248324.48</v>
      </c>
    </row>
    <row r="13" customFormat="false" ht="15" hidden="false" customHeight="true" outlineLevel="0" collapsed="false">
      <c r="A13" s="43" t="n">
        <v>46133</v>
      </c>
      <c r="B13" s="35" t="s">
        <v>248</v>
      </c>
      <c r="C13" s="35" t="s">
        <v>252</v>
      </c>
      <c r="D13" s="36" t="n">
        <v>36819.62</v>
      </c>
      <c r="E13" s="36" t="n">
        <v>0</v>
      </c>
      <c r="F13" s="36" t="n">
        <v>285144.1</v>
      </c>
    </row>
    <row r="14" customFormat="false" ht="15" hidden="false" customHeight="true" outlineLevel="0" collapsed="false">
      <c r="A14" s="43" t="n">
        <v>46135</v>
      </c>
      <c r="B14" s="35" t="s">
        <v>246</v>
      </c>
      <c r="C14" s="35" t="s">
        <v>247</v>
      </c>
      <c r="D14" s="36" t="n">
        <v>0</v>
      </c>
      <c r="E14" s="36" t="n">
        <v>17490.8</v>
      </c>
      <c r="F14" s="36" t="n">
        <v>267653.3</v>
      </c>
    </row>
    <row r="15" customFormat="false" ht="15" hidden="false" customHeight="true" outlineLevel="0" collapsed="false">
      <c r="A15" s="43" t="n">
        <v>46136</v>
      </c>
      <c r="B15" s="35" t="s">
        <v>248</v>
      </c>
      <c r="C15" s="35" t="s">
        <v>252</v>
      </c>
      <c r="D15" s="36" t="n">
        <v>11865.52</v>
      </c>
      <c r="E15" s="36" t="n">
        <v>0</v>
      </c>
      <c r="F15" s="36" t="n">
        <v>279518.82</v>
      </c>
    </row>
    <row r="16" customFormat="false" ht="15" hidden="false" customHeight="true" outlineLevel="0" collapsed="false">
      <c r="A16" s="43" t="n">
        <v>46137</v>
      </c>
      <c r="B16" s="35" t="s">
        <v>246</v>
      </c>
      <c r="C16" s="35" t="s">
        <v>252</v>
      </c>
      <c r="D16" s="36" t="n">
        <v>20866.82</v>
      </c>
      <c r="E16" s="36" t="n">
        <v>0</v>
      </c>
      <c r="F16" s="36" t="n">
        <v>300385.64</v>
      </c>
    </row>
    <row r="17" customFormat="false" ht="15" hidden="false" customHeight="true" outlineLevel="0" collapsed="false">
      <c r="A17" s="43" t="n">
        <v>46140</v>
      </c>
      <c r="B17" s="35" t="s">
        <v>246</v>
      </c>
      <c r="C17" s="35" t="s">
        <v>253</v>
      </c>
      <c r="D17" s="36" t="n">
        <v>0</v>
      </c>
      <c r="E17" s="36" t="n">
        <v>2749.16</v>
      </c>
      <c r="F17" s="36" t="n">
        <v>297636.48</v>
      </c>
    </row>
    <row r="18" customFormat="false" ht="15" hidden="false" customHeight="true" outlineLevel="0" collapsed="false">
      <c r="A18" s="43" t="n">
        <v>46141</v>
      </c>
      <c r="B18" s="35" t="s">
        <v>246</v>
      </c>
      <c r="C18" s="35" t="s">
        <v>252</v>
      </c>
      <c r="D18" s="36" t="n">
        <v>24266.28</v>
      </c>
      <c r="E18" s="36" t="n">
        <v>0</v>
      </c>
      <c r="F18" s="36" t="n">
        <v>321902.76</v>
      </c>
    </row>
    <row r="19" customFormat="false" ht="15" hidden="false" customHeight="true" outlineLevel="0" collapsed="false">
      <c r="A19" s="43" t="n">
        <v>46143</v>
      </c>
      <c r="B19" s="35" t="s">
        <v>246</v>
      </c>
      <c r="C19" s="35" t="s">
        <v>252</v>
      </c>
      <c r="D19" s="36" t="n">
        <v>39385.2</v>
      </c>
      <c r="E19" s="36" t="n">
        <v>0</v>
      </c>
      <c r="F19" s="36" t="n">
        <v>361287.96</v>
      </c>
    </row>
    <row r="20" customFormat="false" ht="15" hidden="false" customHeight="true" outlineLevel="0" collapsed="false">
      <c r="A20" s="43" t="n">
        <v>46144</v>
      </c>
      <c r="B20" s="35" t="s">
        <v>246</v>
      </c>
      <c r="C20" s="35" t="s">
        <v>251</v>
      </c>
      <c r="D20" s="36" t="n">
        <v>0</v>
      </c>
      <c r="E20" s="36" t="n">
        <v>4206.54</v>
      </c>
      <c r="F20" s="36" t="n">
        <v>357081.42</v>
      </c>
    </row>
    <row r="21" customFormat="false" ht="15" hidden="false" customHeight="true" outlineLevel="0" collapsed="false">
      <c r="A21" s="43" t="n">
        <v>46147</v>
      </c>
      <c r="B21" s="35" t="s">
        <v>246</v>
      </c>
      <c r="C21" s="35" t="s">
        <v>252</v>
      </c>
      <c r="D21" s="36" t="n">
        <v>37097.43</v>
      </c>
      <c r="E21" s="36" t="n">
        <v>0</v>
      </c>
      <c r="F21" s="36" t="n">
        <v>394178.85</v>
      </c>
    </row>
    <row r="22" customFormat="false" ht="15" hidden="false" customHeight="true" outlineLevel="0" collapsed="false">
      <c r="A22" s="43" t="n">
        <v>46150</v>
      </c>
      <c r="B22" s="35" t="s">
        <v>248</v>
      </c>
      <c r="C22" s="35" t="s">
        <v>252</v>
      </c>
      <c r="D22" s="36" t="n">
        <v>3728.98</v>
      </c>
      <c r="E22" s="36" t="n">
        <v>0</v>
      </c>
      <c r="F22" s="36" t="n">
        <v>397907.83</v>
      </c>
    </row>
    <row r="23" customFormat="false" ht="15" hidden="false" customHeight="true" outlineLevel="0" collapsed="false">
      <c r="A23" s="43" t="n">
        <v>46153</v>
      </c>
      <c r="B23" s="35" t="s">
        <v>246</v>
      </c>
      <c r="C23" s="35" t="s">
        <v>251</v>
      </c>
      <c r="D23" s="36" t="n">
        <v>0</v>
      </c>
      <c r="E23" s="36" t="n">
        <v>13436.06</v>
      </c>
      <c r="F23" s="36" t="n">
        <v>384471.77</v>
      </c>
    </row>
    <row r="24" customFormat="false" ht="15" hidden="false" customHeight="true" outlineLevel="0" collapsed="false">
      <c r="A24" s="43" t="n">
        <v>46156</v>
      </c>
      <c r="B24" s="35" t="s">
        <v>246</v>
      </c>
      <c r="C24" s="35" t="s">
        <v>253</v>
      </c>
      <c r="D24" s="36" t="n">
        <v>0</v>
      </c>
      <c r="E24" s="36" t="n">
        <v>13504.41</v>
      </c>
      <c r="F24" s="36" t="n">
        <v>370967.36</v>
      </c>
    </row>
    <row r="25" customFormat="false" ht="15" hidden="false" customHeight="true" outlineLevel="0" collapsed="false">
      <c r="A25" s="43" t="n">
        <v>46158</v>
      </c>
      <c r="B25" s="35" t="s">
        <v>246</v>
      </c>
      <c r="C25" s="35" t="s">
        <v>250</v>
      </c>
      <c r="D25" s="36" t="n">
        <v>0</v>
      </c>
      <c r="E25" s="36" t="n">
        <v>4240.88</v>
      </c>
      <c r="F25" s="36" t="n">
        <v>366726.48</v>
      </c>
    </row>
    <row r="26" customFormat="false" ht="15" hidden="false" customHeight="true" outlineLevel="0" collapsed="false">
      <c r="A26" s="43" t="n">
        <v>46161</v>
      </c>
      <c r="B26" s="35" t="s">
        <v>248</v>
      </c>
      <c r="C26" s="35" t="s">
        <v>254</v>
      </c>
      <c r="D26" s="36" t="n">
        <v>0</v>
      </c>
      <c r="E26" s="36" t="n">
        <v>6368.52</v>
      </c>
      <c r="F26" s="36" t="n">
        <v>360357.96</v>
      </c>
    </row>
    <row r="27" customFormat="false" ht="15" hidden="false" customHeight="true" outlineLevel="0" collapsed="false">
      <c r="A27" s="43" t="n">
        <v>46162</v>
      </c>
      <c r="B27" s="35" t="s">
        <v>246</v>
      </c>
      <c r="C27" s="35" t="s">
        <v>252</v>
      </c>
      <c r="D27" s="36" t="n">
        <v>17765.64</v>
      </c>
      <c r="E27" s="36" t="n">
        <v>0</v>
      </c>
      <c r="F27" s="36" t="n">
        <v>378123.6</v>
      </c>
    </row>
    <row r="28" customFormat="false" ht="15" hidden="false" customHeight="true" outlineLevel="0" collapsed="false">
      <c r="A28" s="43" t="n">
        <v>46165</v>
      </c>
      <c r="B28" s="35" t="s">
        <v>246</v>
      </c>
      <c r="C28" s="35" t="s">
        <v>247</v>
      </c>
      <c r="D28" s="36" t="n">
        <v>0</v>
      </c>
      <c r="E28" s="36" t="n">
        <v>9122.12</v>
      </c>
      <c r="F28" s="36" t="n">
        <v>369001.48</v>
      </c>
    </row>
    <row r="29" customFormat="false" ht="15" hidden="false" customHeight="true" outlineLevel="0" collapsed="false">
      <c r="A29" s="43" t="n">
        <v>46168</v>
      </c>
      <c r="B29" s="35" t="s">
        <v>246</v>
      </c>
      <c r="C29" s="35" t="s">
        <v>247</v>
      </c>
      <c r="D29" s="36" t="n">
        <v>0</v>
      </c>
      <c r="E29" s="36" t="n">
        <v>19216.72</v>
      </c>
      <c r="F29" s="36" t="n">
        <v>349784.76</v>
      </c>
    </row>
    <row r="30" customFormat="false" ht="15" hidden="false" customHeight="true" outlineLevel="0" collapsed="false">
      <c r="A30" s="43" t="n">
        <v>46171</v>
      </c>
      <c r="B30" s="35" t="s">
        <v>248</v>
      </c>
      <c r="C30" s="35" t="s">
        <v>252</v>
      </c>
      <c r="D30" s="36" t="n">
        <v>26890.3</v>
      </c>
      <c r="E30" s="36" t="n">
        <v>0</v>
      </c>
      <c r="F30" s="36" t="n">
        <v>376675.06</v>
      </c>
    </row>
    <row r="31" customFormat="false" ht="15" hidden="false" customHeight="true" outlineLevel="0" collapsed="false">
      <c r="A31" s="43" t="n">
        <v>46174</v>
      </c>
      <c r="B31" s="35" t="s">
        <v>246</v>
      </c>
      <c r="C31" s="35" t="s">
        <v>252</v>
      </c>
      <c r="D31" s="36" t="n">
        <v>38127.99</v>
      </c>
      <c r="E31" s="36" t="n">
        <v>0</v>
      </c>
      <c r="F31" s="36" t="n">
        <v>414803.05</v>
      </c>
    </row>
    <row r="32" customFormat="false" ht="15" hidden="false" customHeight="true" outlineLevel="0" collapsed="false">
      <c r="A32" s="43" t="n">
        <v>46175</v>
      </c>
      <c r="B32" s="35" t="s">
        <v>246</v>
      </c>
      <c r="C32" s="35" t="s">
        <v>252</v>
      </c>
      <c r="D32" s="36" t="n">
        <v>8766.07</v>
      </c>
      <c r="E32" s="36" t="n">
        <v>0</v>
      </c>
      <c r="F32" s="36" t="n">
        <v>423569.12</v>
      </c>
    </row>
    <row r="33" customFormat="false" ht="15" hidden="false" customHeight="true" outlineLevel="0" collapsed="false">
      <c r="A33" s="43" t="n">
        <v>46176</v>
      </c>
      <c r="B33" s="35" t="s">
        <v>248</v>
      </c>
      <c r="C33" s="35" t="s">
        <v>252</v>
      </c>
      <c r="D33" s="36" t="n">
        <v>19530.32</v>
      </c>
      <c r="E33" s="36" t="n">
        <v>0</v>
      </c>
      <c r="F33" s="36" t="n">
        <v>443099.44</v>
      </c>
    </row>
    <row r="34" customFormat="false" ht="15" hidden="false" customHeight="true" outlineLevel="0" collapsed="false">
      <c r="A34" s="43" t="n">
        <v>46177</v>
      </c>
      <c r="B34" s="35" t="s">
        <v>246</v>
      </c>
      <c r="C34" s="35" t="s">
        <v>252</v>
      </c>
      <c r="D34" s="36" t="n">
        <v>25560.85</v>
      </c>
      <c r="E34" s="36" t="n">
        <v>0</v>
      </c>
      <c r="F34" s="36" t="n">
        <v>468660.29</v>
      </c>
    </row>
    <row r="35" customFormat="false" ht="15" hidden="false" customHeight="true" outlineLevel="0" collapsed="false">
      <c r="A35" s="43" t="n">
        <v>46178</v>
      </c>
      <c r="B35" s="35" t="s">
        <v>246</v>
      </c>
      <c r="C35" s="35" t="s">
        <v>251</v>
      </c>
      <c r="D35" s="36" t="n">
        <v>0</v>
      </c>
      <c r="E35" s="36" t="n">
        <v>5257.7</v>
      </c>
      <c r="F35" s="36" t="n">
        <v>463402.59</v>
      </c>
    </row>
    <row r="36" customFormat="false" ht="15" hidden="false" customHeight="true" outlineLevel="0" collapsed="false">
      <c r="A36" s="43" t="n">
        <v>46179</v>
      </c>
      <c r="B36" s="35" t="s">
        <v>246</v>
      </c>
      <c r="C36" s="35" t="s">
        <v>252</v>
      </c>
      <c r="D36" s="36" t="n">
        <v>32360.28</v>
      </c>
      <c r="E36" s="36" t="n">
        <v>0</v>
      </c>
      <c r="F36" s="36" t="n">
        <v>495762.87</v>
      </c>
    </row>
    <row r="37" customFormat="false" ht="15" hidden="false" customHeight="true" outlineLevel="0" collapsed="false">
      <c r="A37" s="43" t="n">
        <v>46182</v>
      </c>
      <c r="B37" s="35" t="s">
        <v>246</v>
      </c>
      <c r="C37" s="35" t="s">
        <v>252</v>
      </c>
      <c r="D37" s="36" t="n">
        <v>10718.73</v>
      </c>
      <c r="E37" s="36" t="n">
        <v>0</v>
      </c>
      <c r="F37" s="36" t="n">
        <v>506481.6</v>
      </c>
    </row>
    <row r="38" customFormat="false" ht="15" hidden="false" customHeight="true" outlineLevel="0" collapsed="false">
      <c r="A38" s="43" t="n">
        <v>46183</v>
      </c>
      <c r="B38" s="35" t="s">
        <v>246</v>
      </c>
      <c r="C38" s="35" t="s">
        <v>252</v>
      </c>
      <c r="D38" s="36" t="n">
        <v>19121.09</v>
      </c>
      <c r="E38" s="36" t="n">
        <v>0</v>
      </c>
      <c r="F38" s="36" t="n">
        <v>525602.69</v>
      </c>
    </row>
    <row r="39" customFormat="false" ht="15" hidden="false" customHeight="true" outlineLevel="0" collapsed="false">
      <c r="A39" s="43" t="n">
        <v>46186</v>
      </c>
      <c r="B39" s="35" t="s">
        <v>246</v>
      </c>
      <c r="C39" s="35" t="s">
        <v>254</v>
      </c>
      <c r="D39" s="36" t="n">
        <v>0</v>
      </c>
      <c r="E39" s="36" t="n">
        <v>17882.81</v>
      </c>
      <c r="F39" s="36" t="n">
        <v>507719.88</v>
      </c>
    </row>
    <row r="40" customFormat="false" ht="15" hidden="false" customHeight="true" outlineLevel="0" collapsed="false">
      <c r="A40" s="43" t="n">
        <v>46189</v>
      </c>
      <c r="B40" s="35" t="s">
        <v>246</v>
      </c>
      <c r="C40" s="35" t="s">
        <v>247</v>
      </c>
      <c r="D40" s="36" t="n">
        <v>0</v>
      </c>
      <c r="E40" s="36" t="n">
        <v>11183.5</v>
      </c>
      <c r="F40" s="36" t="n">
        <v>496536.38</v>
      </c>
    </row>
    <row r="41" customFormat="false" ht="15" hidden="false" customHeight="true" outlineLevel="0" collapsed="false">
      <c r="A41" s="43" t="n">
        <v>46192</v>
      </c>
      <c r="B41" s="35" t="s">
        <v>246</v>
      </c>
      <c r="C41" s="35" t="s">
        <v>253</v>
      </c>
      <c r="D41" s="36" t="n">
        <v>0</v>
      </c>
      <c r="E41" s="36" t="n">
        <v>15159.65</v>
      </c>
      <c r="F41" s="36" t="n">
        <v>481376.73</v>
      </c>
    </row>
    <row r="42" customFormat="false" ht="15" hidden="false" customHeight="true" outlineLevel="0" collapsed="false">
      <c r="A42" s="43" t="n">
        <v>46195</v>
      </c>
      <c r="B42" s="35" t="s">
        <v>246</v>
      </c>
      <c r="C42" s="35" t="s">
        <v>251</v>
      </c>
      <c r="D42" s="36" t="n">
        <v>0</v>
      </c>
      <c r="E42" s="36" t="n">
        <v>5854.65</v>
      </c>
      <c r="F42" s="36" t="n">
        <v>475522.08</v>
      </c>
    </row>
    <row r="43" customFormat="false" ht="15" hidden="false" customHeight="true" outlineLevel="0" collapsed="false">
      <c r="A43" s="43" t="n">
        <v>46198</v>
      </c>
      <c r="B43" s="35" t="s">
        <v>246</v>
      </c>
      <c r="C43" s="35" t="s">
        <v>252</v>
      </c>
      <c r="D43" s="36" t="n">
        <v>14098.05</v>
      </c>
      <c r="E43" s="36" t="n">
        <v>0</v>
      </c>
      <c r="F43" s="36" t="n">
        <v>489620.13</v>
      </c>
    </row>
    <row r="44" customFormat="false" ht="15" hidden="false" customHeight="true" outlineLevel="0" collapsed="false">
      <c r="A44" s="43" t="n">
        <v>46201</v>
      </c>
      <c r="B44" s="35" t="s">
        <v>248</v>
      </c>
      <c r="C44" s="35" t="s">
        <v>252</v>
      </c>
      <c r="D44" s="36" t="n">
        <v>10019.2</v>
      </c>
      <c r="E44" s="36" t="n">
        <v>0</v>
      </c>
      <c r="F44" s="36" t="n">
        <v>499639.33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77F2"/>
    <pageSetUpPr fitToPage="false"/>
  </sheetPr>
  <dimension ref="A1:K50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25" width="13"/>
    <col collapsed="false" customWidth="true" hidden="false" outlineLevel="0" max="3" min="3" style="25" width="11"/>
    <col collapsed="false" customWidth="true" hidden="false" outlineLevel="0" max="4" min="4" style="25" width="34"/>
    <col collapsed="false" customWidth="true" hidden="false" outlineLevel="0" max="5" min="5" style="25" width="13"/>
    <col collapsed="false" customWidth="true" hidden="false" outlineLevel="0" max="6" min="6" style="25" width="24"/>
    <col collapsed="false" customWidth="true" hidden="false" outlineLevel="0" max="8" min="7" style="25" width="20"/>
    <col collapsed="false" customWidth="true" hidden="false" outlineLevel="0" max="9" min="9" style="25" width="22"/>
    <col collapsed="false" customWidth="true" hidden="false" outlineLevel="0" max="10" min="10" style="25" width="10"/>
    <col collapsed="false" customWidth="true" hidden="false" outlineLevel="0" max="11" min="11" style="25" width="16"/>
  </cols>
  <sheetData>
    <row r="1" customFormat="false" ht="15" hidden="false" customHeight="true" outlineLevel="0" collapsed="false">
      <c r="A1" s="31" t="s">
        <v>255</v>
      </c>
    </row>
    <row r="2" customFormat="false" ht="15" hidden="false" customHeight="true" outlineLevel="0" collapsed="false">
      <c r="A2" s="44" t="s">
        <v>256</v>
      </c>
      <c r="B2" s="44"/>
      <c r="C2" s="44"/>
      <c r="D2" s="44"/>
      <c r="E2" s="44"/>
      <c r="F2" s="44"/>
      <c r="G2" s="44"/>
      <c r="H2" s="44"/>
      <c r="I2" s="44"/>
      <c r="J2" s="44"/>
      <c r="K2" s="44"/>
    </row>
    <row r="3" customFormat="false" ht="21.75" hidden="false" customHeight="true" outlineLevel="0" collapsed="false">
      <c r="A3" s="33" t="s">
        <v>257</v>
      </c>
      <c r="B3" s="33" t="s">
        <v>258</v>
      </c>
      <c r="C3" s="33" t="s">
        <v>259</v>
      </c>
      <c r="D3" s="33" t="s">
        <v>127</v>
      </c>
      <c r="E3" s="33" t="s">
        <v>260</v>
      </c>
      <c r="F3" s="33" t="s">
        <v>261</v>
      </c>
      <c r="G3" s="33" t="s">
        <v>262</v>
      </c>
      <c r="H3" s="33" t="s">
        <v>263</v>
      </c>
      <c r="I3" s="33" t="s">
        <v>264</v>
      </c>
      <c r="J3" s="33" t="s">
        <v>133</v>
      </c>
      <c r="K3" s="33" t="s">
        <v>265</v>
      </c>
    </row>
    <row r="4" customFormat="false" ht="15" hidden="false" customHeight="true" outlineLevel="0" collapsed="false">
      <c r="A4" s="34" t="n">
        <v>46115</v>
      </c>
      <c r="B4" s="35" t="s">
        <v>266</v>
      </c>
      <c r="C4" s="37" t="str">
        <f aca="false">TEXT(A4,"mmm-yyyy")</f>
        <v>Apr-2026</v>
      </c>
      <c r="D4" s="35" t="s">
        <v>168</v>
      </c>
      <c r="E4" s="35" t="s">
        <v>267</v>
      </c>
      <c r="F4" s="35" t="s">
        <v>268</v>
      </c>
      <c r="G4" s="36" t="n">
        <v>3996.67</v>
      </c>
      <c r="H4" s="36" t="n">
        <v>228.78</v>
      </c>
      <c r="I4" s="45" t="n">
        <f aca="false">G4+H4</f>
        <v>4225.45</v>
      </c>
      <c r="J4" s="35" t="s">
        <v>139</v>
      </c>
      <c r="K4" s="35" t="s">
        <v>269</v>
      </c>
    </row>
    <row r="5" customFormat="false" ht="15" hidden="false" customHeight="true" outlineLevel="0" collapsed="false">
      <c r="A5" s="34" t="n">
        <v>46115</v>
      </c>
      <c r="B5" s="35" t="s">
        <v>266</v>
      </c>
      <c r="C5" s="37" t="str">
        <f aca="false">IF(A5="","",TEXT(A5,"mmm-yyyy"))</f>
        <v>Apr-2026</v>
      </c>
      <c r="D5" s="35" t="s">
        <v>168</v>
      </c>
      <c r="E5" s="35" t="s">
        <v>270</v>
      </c>
      <c r="F5" s="35" t="s">
        <v>268</v>
      </c>
      <c r="G5" s="36" t="n">
        <v>1726.19</v>
      </c>
      <c r="H5" s="36" t="n">
        <v>217.7</v>
      </c>
      <c r="I5" s="46" t="n">
        <f aca="false">IF(G5="","",G5+H5)</f>
        <v>1943.89</v>
      </c>
      <c r="J5" s="35" t="s">
        <v>139</v>
      </c>
      <c r="K5" s="35" t="s">
        <v>269</v>
      </c>
    </row>
    <row r="6" customFormat="false" ht="15" hidden="false" customHeight="true" outlineLevel="0" collapsed="false">
      <c r="A6" s="34" t="n">
        <v>46115</v>
      </c>
      <c r="B6" s="35" t="s">
        <v>266</v>
      </c>
      <c r="C6" s="37" t="str">
        <f aca="false">IF(A6="","",TEXT(A6,"mmm-yyyy"))</f>
        <v>Apr-2026</v>
      </c>
      <c r="D6" s="35" t="s">
        <v>144</v>
      </c>
      <c r="E6" s="35" t="s">
        <v>271</v>
      </c>
      <c r="F6" s="35" t="s">
        <v>268</v>
      </c>
      <c r="G6" s="36" t="n">
        <v>1930.87</v>
      </c>
      <c r="H6" s="36" t="n">
        <v>256.14</v>
      </c>
      <c r="I6" s="46" t="n">
        <f aca="false">IF(G6="","",G6+H6)</f>
        <v>2187.01</v>
      </c>
      <c r="J6" s="35" t="s">
        <v>139</v>
      </c>
      <c r="K6" s="35" t="s">
        <v>269</v>
      </c>
    </row>
    <row r="7" customFormat="false" ht="15" hidden="false" customHeight="true" outlineLevel="0" collapsed="false">
      <c r="A7" s="34" t="n">
        <v>46115</v>
      </c>
      <c r="B7" s="35" t="s">
        <v>266</v>
      </c>
      <c r="C7" s="37" t="str">
        <f aca="false">IF(A7="","",TEXT(A7,"mmm-yyyy"))</f>
        <v>Apr-2026</v>
      </c>
      <c r="D7" s="35" t="s">
        <v>144</v>
      </c>
      <c r="E7" s="35" t="s">
        <v>272</v>
      </c>
      <c r="F7" s="35" t="s">
        <v>268</v>
      </c>
      <c r="G7" s="36" t="n">
        <v>3995.05</v>
      </c>
      <c r="H7" s="36" t="n">
        <v>0</v>
      </c>
      <c r="I7" s="46" t="n">
        <f aca="false">IF(G7="","",G7+H7)</f>
        <v>3995.05</v>
      </c>
      <c r="J7" s="35" t="s">
        <v>139</v>
      </c>
      <c r="K7" s="35"/>
    </row>
    <row r="8" customFormat="false" ht="15" hidden="false" customHeight="true" outlineLevel="0" collapsed="false">
      <c r="A8" s="34" t="n">
        <v>46115</v>
      </c>
      <c r="B8" s="35" t="s">
        <v>266</v>
      </c>
      <c r="C8" s="37" t="str">
        <f aca="false">IF(A8="","",TEXT(A8,"mmm-yyyy"))</f>
        <v>Apr-2026</v>
      </c>
      <c r="D8" s="35" t="s">
        <v>150</v>
      </c>
      <c r="E8" s="35" t="s">
        <v>273</v>
      </c>
      <c r="F8" s="35" t="s">
        <v>274</v>
      </c>
      <c r="G8" s="36" t="n">
        <v>493.4</v>
      </c>
      <c r="H8" s="36" t="n">
        <v>65.87</v>
      </c>
      <c r="I8" s="46" t="n">
        <f aca="false">IF(G8="","",G8+H8)</f>
        <v>559.27</v>
      </c>
      <c r="J8" s="35" t="s">
        <v>139</v>
      </c>
      <c r="K8" s="35" t="s">
        <v>269</v>
      </c>
    </row>
    <row r="9" customFormat="false" ht="15" hidden="false" customHeight="true" outlineLevel="0" collapsed="false">
      <c r="A9" s="34" t="n">
        <v>46115</v>
      </c>
      <c r="B9" s="35" t="s">
        <v>266</v>
      </c>
      <c r="C9" s="37" t="str">
        <f aca="false">IF(A9="","",TEXT(A9,"mmm-yyyy"))</f>
        <v>Apr-2026</v>
      </c>
      <c r="D9" s="35" t="s">
        <v>150</v>
      </c>
      <c r="E9" s="35" t="s">
        <v>275</v>
      </c>
      <c r="F9" s="35" t="s">
        <v>276</v>
      </c>
      <c r="G9" s="36" t="n">
        <v>1934.64</v>
      </c>
      <c r="H9" s="36" t="n">
        <v>262.41</v>
      </c>
      <c r="I9" s="46" t="n">
        <f aca="false">IF(G9="","",G9+H9)</f>
        <v>2197.05</v>
      </c>
      <c r="J9" s="35" t="s">
        <v>139</v>
      </c>
      <c r="K9" s="35" t="s">
        <v>269</v>
      </c>
    </row>
    <row r="10" customFormat="false" ht="15" hidden="false" customHeight="true" outlineLevel="0" collapsed="false">
      <c r="A10" s="34" t="n">
        <v>46115</v>
      </c>
      <c r="B10" s="35" t="s">
        <v>266</v>
      </c>
      <c r="C10" s="37" t="str">
        <f aca="false">IF(A10="","",TEXT(A10,"mmm-yyyy"))</f>
        <v>Apr-2026</v>
      </c>
      <c r="D10" s="35" t="s">
        <v>152</v>
      </c>
      <c r="E10" s="35" t="s">
        <v>277</v>
      </c>
      <c r="F10" s="35" t="s">
        <v>268</v>
      </c>
      <c r="G10" s="36" t="n">
        <v>2568.24</v>
      </c>
      <c r="H10" s="36" t="n">
        <v>0</v>
      </c>
      <c r="I10" s="46" t="n">
        <f aca="false">IF(G10="","",G10+H10)</f>
        <v>2568.24</v>
      </c>
      <c r="J10" s="35" t="s">
        <v>139</v>
      </c>
      <c r="K10" s="35"/>
    </row>
    <row r="11" customFormat="false" ht="15" hidden="false" customHeight="true" outlineLevel="0" collapsed="false">
      <c r="A11" s="34" t="n">
        <v>46115</v>
      </c>
      <c r="B11" s="35" t="s">
        <v>266</v>
      </c>
      <c r="C11" s="37" t="str">
        <f aca="false">IF(A11="","",TEXT(A11,"mmm-yyyy"))</f>
        <v>Apr-2026</v>
      </c>
      <c r="D11" s="35" t="s">
        <v>178</v>
      </c>
      <c r="E11" s="35" t="s">
        <v>278</v>
      </c>
      <c r="F11" s="35" t="s">
        <v>279</v>
      </c>
      <c r="G11" s="36" t="n">
        <v>2501.04</v>
      </c>
      <c r="H11" s="36" t="n">
        <v>0</v>
      </c>
      <c r="I11" s="46" t="n">
        <f aca="false">IF(G11="","",G11+H11)</f>
        <v>2501.04</v>
      </c>
      <c r="J11" s="35" t="s">
        <v>139</v>
      </c>
      <c r="K11" s="35"/>
    </row>
    <row r="12" customFormat="false" ht="15" hidden="false" customHeight="true" outlineLevel="0" collapsed="false">
      <c r="A12" s="34" t="n">
        <v>46115</v>
      </c>
      <c r="B12" s="35" t="s">
        <v>266</v>
      </c>
      <c r="C12" s="37" t="str">
        <f aca="false">IF(A12="","",TEXT(A12,"mmm-yyyy"))</f>
        <v>Apr-2026</v>
      </c>
      <c r="D12" s="35" t="s">
        <v>156</v>
      </c>
      <c r="E12" s="35" t="s">
        <v>280</v>
      </c>
      <c r="F12" s="35" t="s">
        <v>274</v>
      </c>
      <c r="G12" s="36" t="n">
        <v>2115.85</v>
      </c>
      <c r="H12" s="36" t="n">
        <v>0</v>
      </c>
      <c r="I12" s="46" t="n">
        <f aca="false">IF(G12="","",G12+H12)</f>
        <v>2115.85</v>
      </c>
      <c r="J12" s="35" t="s">
        <v>139</v>
      </c>
      <c r="K12" s="35"/>
    </row>
    <row r="13" customFormat="false" ht="15" hidden="false" customHeight="true" outlineLevel="0" collapsed="false">
      <c r="A13" s="34" t="n">
        <v>46115</v>
      </c>
      <c r="B13" s="35" t="s">
        <v>266</v>
      </c>
      <c r="C13" s="37" t="str">
        <f aca="false">IF(A13="","",TEXT(A13,"mmm-yyyy"))</f>
        <v>Apr-2026</v>
      </c>
      <c r="D13" s="35" t="s">
        <v>156</v>
      </c>
      <c r="E13" s="35" t="s">
        <v>281</v>
      </c>
      <c r="F13" s="35" t="s">
        <v>274</v>
      </c>
      <c r="G13" s="36" t="n">
        <v>1268.86</v>
      </c>
      <c r="H13" s="36" t="n">
        <v>211.87</v>
      </c>
      <c r="I13" s="46" t="n">
        <f aca="false">IF(G13="","",G13+H13)</f>
        <v>1480.73</v>
      </c>
      <c r="J13" s="35" t="s">
        <v>139</v>
      </c>
      <c r="K13" s="35" t="s">
        <v>269</v>
      </c>
    </row>
    <row r="14" customFormat="false" ht="15" hidden="false" customHeight="true" outlineLevel="0" collapsed="false">
      <c r="A14" s="34" t="n">
        <v>46145</v>
      </c>
      <c r="B14" s="35" t="s">
        <v>282</v>
      </c>
      <c r="C14" s="37" t="str">
        <f aca="false">IF(A14="","",TEXT(A14,"mmm-yyyy"))</f>
        <v>May-2026</v>
      </c>
      <c r="D14" s="35" t="s">
        <v>168</v>
      </c>
      <c r="E14" s="35" t="s">
        <v>283</v>
      </c>
      <c r="F14" s="35" t="s">
        <v>268</v>
      </c>
      <c r="G14" s="36" t="n">
        <v>3713.04</v>
      </c>
      <c r="H14" s="36" t="n">
        <v>0</v>
      </c>
      <c r="I14" s="46" t="n">
        <f aca="false">IF(G14="","",G14+H14)</f>
        <v>3713.04</v>
      </c>
      <c r="J14" s="35" t="s">
        <v>139</v>
      </c>
      <c r="K14" s="35"/>
    </row>
    <row r="15" customFormat="false" ht="15" hidden="false" customHeight="true" outlineLevel="0" collapsed="false">
      <c r="A15" s="34" t="n">
        <v>46145</v>
      </c>
      <c r="B15" s="35" t="s">
        <v>282</v>
      </c>
      <c r="C15" s="37" t="str">
        <f aca="false">IF(A15="","",TEXT(A15,"mmm-yyyy"))</f>
        <v>May-2026</v>
      </c>
      <c r="D15" s="35" t="s">
        <v>168</v>
      </c>
      <c r="E15" s="35" t="s">
        <v>284</v>
      </c>
      <c r="F15" s="35" t="s">
        <v>279</v>
      </c>
      <c r="G15" s="36" t="n">
        <v>760.46</v>
      </c>
      <c r="H15" s="36" t="n">
        <v>124.39</v>
      </c>
      <c r="I15" s="46" t="n">
        <f aca="false">IF(G15="","",G15+H15)</f>
        <v>884.85</v>
      </c>
      <c r="J15" s="35" t="s">
        <v>139</v>
      </c>
      <c r="K15" s="35" t="s">
        <v>269</v>
      </c>
    </row>
    <row r="16" customFormat="false" ht="15" hidden="false" customHeight="true" outlineLevel="0" collapsed="false">
      <c r="A16" s="34" t="n">
        <v>46145</v>
      </c>
      <c r="B16" s="35" t="s">
        <v>282</v>
      </c>
      <c r="C16" s="37" t="str">
        <f aca="false">IF(A16="","",TEXT(A16,"mmm-yyyy"))</f>
        <v>May-2026</v>
      </c>
      <c r="D16" s="35" t="s">
        <v>144</v>
      </c>
      <c r="E16" s="35" t="s">
        <v>285</v>
      </c>
      <c r="F16" s="35" t="s">
        <v>274</v>
      </c>
      <c r="G16" s="36" t="n">
        <v>452.91</v>
      </c>
      <c r="H16" s="36" t="n">
        <v>0</v>
      </c>
      <c r="I16" s="46" t="n">
        <f aca="false">IF(G16="","",G16+H16)</f>
        <v>452.91</v>
      </c>
      <c r="J16" s="35" t="s">
        <v>139</v>
      </c>
      <c r="K16" s="35"/>
    </row>
    <row r="17" customFormat="false" ht="15" hidden="false" customHeight="true" outlineLevel="0" collapsed="false">
      <c r="A17" s="34" t="n">
        <v>46145</v>
      </c>
      <c r="B17" s="35" t="s">
        <v>282</v>
      </c>
      <c r="C17" s="37" t="str">
        <f aca="false">IF(A17="","",TEXT(A17,"mmm-yyyy"))</f>
        <v>May-2026</v>
      </c>
      <c r="D17" s="35" t="s">
        <v>144</v>
      </c>
      <c r="E17" s="35" t="s">
        <v>286</v>
      </c>
      <c r="F17" s="35" t="s">
        <v>279</v>
      </c>
      <c r="G17" s="36" t="n">
        <v>1626.48</v>
      </c>
      <c r="H17" s="36" t="n">
        <v>202.5</v>
      </c>
      <c r="I17" s="46" t="n">
        <f aca="false">IF(G17="","",G17+H17)</f>
        <v>1828.98</v>
      </c>
      <c r="J17" s="35" t="s">
        <v>139</v>
      </c>
      <c r="K17" s="35" t="s">
        <v>269</v>
      </c>
    </row>
    <row r="18" customFormat="false" ht="15" hidden="false" customHeight="true" outlineLevel="0" collapsed="false">
      <c r="A18" s="34" t="n">
        <v>46145</v>
      </c>
      <c r="B18" s="35" t="s">
        <v>282</v>
      </c>
      <c r="C18" s="37" t="str">
        <f aca="false">IF(A18="","",TEXT(A18,"mmm-yyyy"))</f>
        <v>May-2026</v>
      </c>
      <c r="D18" s="35" t="s">
        <v>150</v>
      </c>
      <c r="E18" s="35" t="s">
        <v>287</v>
      </c>
      <c r="F18" s="35" t="s">
        <v>268</v>
      </c>
      <c r="G18" s="36" t="n">
        <v>3575.87</v>
      </c>
      <c r="H18" s="36" t="n">
        <v>0</v>
      </c>
      <c r="I18" s="46" t="n">
        <f aca="false">IF(G18="","",G18+H18)</f>
        <v>3575.87</v>
      </c>
      <c r="J18" s="35" t="s">
        <v>139</v>
      </c>
      <c r="K18" s="35"/>
    </row>
    <row r="19" customFormat="false" ht="15" hidden="false" customHeight="true" outlineLevel="0" collapsed="false">
      <c r="A19" s="34" t="n">
        <v>46145</v>
      </c>
      <c r="B19" s="35" t="s">
        <v>282</v>
      </c>
      <c r="C19" s="37" t="str">
        <f aca="false">IF(A19="","",TEXT(A19,"mmm-yyyy"))</f>
        <v>May-2026</v>
      </c>
      <c r="D19" s="35" t="s">
        <v>152</v>
      </c>
      <c r="E19" s="35" t="s">
        <v>288</v>
      </c>
      <c r="F19" s="35" t="s">
        <v>279</v>
      </c>
      <c r="G19" s="36" t="n">
        <v>3151.52</v>
      </c>
      <c r="H19" s="36" t="n">
        <v>430.79</v>
      </c>
      <c r="I19" s="46" t="n">
        <f aca="false">IF(G19="","",G19+H19)</f>
        <v>3582.31</v>
      </c>
      <c r="J19" s="35" t="s">
        <v>139</v>
      </c>
      <c r="K19" s="35" t="s">
        <v>269</v>
      </c>
    </row>
    <row r="20" customFormat="false" ht="15" hidden="false" customHeight="true" outlineLevel="0" collapsed="false">
      <c r="A20" s="34" t="n">
        <v>46145</v>
      </c>
      <c r="B20" s="35" t="s">
        <v>282</v>
      </c>
      <c r="C20" s="37" t="str">
        <f aca="false">IF(A20="","",TEXT(A20,"mmm-yyyy"))</f>
        <v>May-2026</v>
      </c>
      <c r="D20" s="35" t="s">
        <v>178</v>
      </c>
      <c r="E20" s="35" t="s">
        <v>289</v>
      </c>
      <c r="F20" s="35" t="s">
        <v>268</v>
      </c>
      <c r="G20" s="36" t="n">
        <v>3094.85</v>
      </c>
      <c r="H20" s="36" t="n">
        <v>0</v>
      </c>
      <c r="I20" s="46" t="n">
        <f aca="false">IF(G20="","",G20+H20)</f>
        <v>3094.85</v>
      </c>
      <c r="J20" s="35" t="s">
        <v>139</v>
      </c>
      <c r="K20" s="35"/>
    </row>
    <row r="21" customFormat="false" ht="15" hidden="false" customHeight="true" outlineLevel="0" collapsed="false">
      <c r="A21" s="34" t="n">
        <v>46145</v>
      </c>
      <c r="B21" s="35" t="s">
        <v>282</v>
      </c>
      <c r="C21" s="37" t="str">
        <f aca="false">IF(A21="","",TEXT(A21,"mmm-yyyy"))</f>
        <v>May-2026</v>
      </c>
      <c r="D21" s="35" t="s">
        <v>178</v>
      </c>
      <c r="E21" s="35" t="s">
        <v>290</v>
      </c>
      <c r="F21" s="35" t="s">
        <v>268</v>
      </c>
      <c r="G21" s="36" t="n">
        <v>3968.53</v>
      </c>
      <c r="H21" s="36" t="n">
        <v>562.09</v>
      </c>
      <c r="I21" s="46" t="n">
        <f aca="false">IF(G21="","",G21+H21)</f>
        <v>4530.62</v>
      </c>
      <c r="J21" s="35" t="s">
        <v>139</v>
      </c>
      <c r="K21" s="35" t="s">
        <v>269</v>
      </c>
    </row>
    <row r="22" customFormat="false" ht="15" hidden="false" customHeight="true" outlineLevel="0" collapsed="false">
      <c r="A22" s="34" t="n">
        <v>46145</v>
      </c>
      <c r="B22" s="35" t="s">
        <v>282</v>
      </c>
      <c r="C22" s="37" t="str">
        <f aca="false">IF(A22="","",TEXT(A22,"mmm-yyyy"))</f>
        <v>May-2026</v>
      </c>
      <c r="D22" s="35" t="s">
        <v>156</v>
      </c>
      <c r="E22" s="35" t="s">
        <v>291</v>
      </c>
      <c r="F22" s="35" t="s">
        <v>279</v>
      </c>
      <c r="G22" s="36" t="n">
        <v>3296.11</v>
      </c>
      <c r="H22" s="36" t="n">
        <v>287.23</v>
      </c>
      <c r="I22" s="46" t="n">
        <f aca="false">IF(G22="","",G22+H22)</f>
        <v>3583.34</v>
      </c>
      <c r="J22" s="35" t="s">
        <v>139</v>
      </c>
      <c r="K22" s="35" t="s">
        <v>269</v>
      </c>
    </row>
    <row r="23" customFormat="false" ht="15" hidden="false" customHeight="true" outlineLevel="0" collapsed="false">
      <c r="A23" s="34" t="n">
        <v>46176</v>
      </c>
      <c r="B23" s="35" t="s">
        <v>292</v>
      </c>
      <c r="C23" s="37" t="str">
        <f aca="false">IF(A23="","",TEXT(A23,"mmm-yyyy"))</f>
        <v>Jun-2026</v>
      </c>
      <c r="D23" s="35" t="s">
        <v>168</v>
      </c>
      <c r="E23" s="35" t="s">
        <v>293</v>
      </c>
      <c r="F23" s="35" t="s">
        <v>279</v>
      </c>
      <c r="G23" s="36" t="n">
        <v>948.83</v>
      </c>
      <c r="H23" s="36" t="n">
        <v>86.98</v>
      </c>
      <c r="I23" s="46" t="n">
        <f aca="false">IF(G23="","",G23+H23)</f>
        <v>1035.81</v>
      </c>
      <c r="J23" s="35" t="s">
        <v>139</v>
      </c>
      <c r="K23" s="35" t="s">
        <v>269</v>
      </c>
    </row>
    <row r="24" customFormat="false" ht="15" hidden="false" customHeight="true" outlineLevel="0" collapsed="false">
      <c r="A24" s="34" t="n">
        <v>46176</v>
      </c>
      <c r="B24" s="35" t="s">
        <v>292</v>
      </c>
      <c r="C24" s="37" t="str">
        <f aca="false">IF(A24="","",TEXT(A24,"mmm-yyyy"))</f>
        <v>Jun-2026</v>
      </c>
      <c r="D24" s="35" t="s">
        <v>144</v>
      </c>
      <c r="E24" s="35" t="s">
        <v>294</v>
      </c>
      <c r="F24" s="35" t="s">
        <v>279</v>
      </c>
      <c r="G24" s="36" t="n">
        <v>3054.95</v>
      </c>
      <c r="H24" s="36" t="n">
        <v>0</v>
      </c>
      <c r="I24" s="46" t="n">
        <f aca="false">IF(G24="","",G24+H24)</f>
        <v>3054.95</v>
      </c>
      <c r="J24" s="35" t="s">
        <v>139</v>
      </c>
      <c r="K24" s="35"/>
    </row>
    <row r="25" customFormat="false" ht="15" hidden="false" customHeight="true" outlineLevel="0" collapsed="false">
      <c r="A25" s="34" t="n">
        <v>46176</v>
      </c>
      <c r="B25" s="35" t="s">
        <v>292</v>
      </c>
      <c r="C25" s="37" t="str">
        <f aca="false">IF(A25="","",TEXT(A25,"mmm-yyyy"))</f>
        <v>Jun-2026</v>
      </c>
      <c r="D25" s="35" t="s">
        <v>144</v>
      </c>
      <c r="E25" s="35" t="s">
        <v>295</v>
      </c>
      <c r="F25" s="35" t="s">
        <v>276</v>
      </c>
      <c r="G25" s="36" t="n">
        <v>4035.15</v>
      </c>
      <c r="H25" s="36" t="n">
        <v>308.42</v>
      </c>
      <c r="I25" s="46" t="n">
        <f aca="false">IF(G25="","",G25+H25)</f>
        <v>4343.57</v>
      </c>
      <c r="J25" s="35" t="s">
        <v>139</v>
      </c>
      <c r="K25" s="35" t="s">
        <v>269</v>
      </c>
    </row>
    <row r="26" customFormat="false" ht="15" hidden="false" customHeight="true" outlineLevel="0" collapsed="false">
      <c r="A26" s="34" t="n">
        <v>46176</v>
      </c>
      <c r="B26" s="35" t="s">
        <v>292</v>
      </c>
      <c r="C26" s="37" t="str">
        <f aca="false">IF(A26="","",TEXT(A26,"mmm-yyyy"))</f>
        <v>Jun-2026</v>
      </c>
      <c r="D26" s="35" t="s">
        <v>150</v>
      </c>
      <c r="E26" s="35" t="s">
        <v>296</v>
      </c>
      <c r="F26" s="35" t="s">
        <v>274</v>
      </c>
      <c r="G26" s="36" t="n">
        <v>2191.35</v>
      </c>
      <c r="H26" s="36" t="n">
        <v>0</v>
      </c>
      <c r="I26" s="46" t="n">
        <f aca="false">IF(G26="","",G26+H26)</f>
        <v>2191.35</v>
      </c>
      <c r="J26" s="35" t="s">
        <v>139</v>
      </c>
      <c r="K26" s="35"/>
    </row>
    <row r="27" customFormat="false" ht="15" hidden="false" customHeight="true" outlineLevel="0" collapsed="false">
      <c r="A27" s="34" t="n">
        <v>46176</v>
      </c>
      <c r="B27" s="35" t="s">
        <v>292</v>
      </c>
      <c r="C27" s="37" t="str">
        <f aca="false">IF(A27="","",TEXT(A27,"mmm-yyyy"))</f>
        <v>Jun-2026</v>
      </c>
      <c r="D27" s="35" t="s">
        <v>152</v>
      </c>
      <c r="E27" s="35" t="s">
        <v>297</v>
      </c>
      <c r="F27" s="35" t="s">
        <v>276</v>
      </c>
      <c r="G27" s="36" t="n">
        <v>868.14</v>
      </c>
      <c r="H27" s="36" t="n">
        <v>122.82</v>
      </c>
      <c r="I27" s="46" t="n">
        <f aca="false">IF(G27="","",G27+H27)</f>
        <v>990.96</v>
      </c>
      <c r="J27" s="35" t="s">
        <v>139</v>
      </c>
      <c r="K27" s="35" t="s">
        <v>269</v>
      </c>
    </row>
    <row r="28" customFormat="false" ht="15" hidden="false" customHeight="true" outlineLevel="0" collapsed="false">
      <c r="A28" s="34" t="n">
        <v>46176</v>
      </c>
      <c r="B28" s="35" t="s">
        <v>292</v>
      </c>
      <c r="C28" s="37" t="str">
        <f aca="false">IF(A28="","",TEXT(A28,"mmm-yyyy"))</f>
        <v>Jun-2026</v>
      </c>
      <c r="D28" s="35" t="s">
        <v>178</v>
      </c>
      <c r="E28" s="35" t="s">
        <v>298</v>
      </c>
      <c r="F28" s="35" t="s">
        <v>279</v>
      </c>
      <c r="G28" s="36" t="n">
        <v>2080.91</v>
      </c>
      <c r="H28" s="36" t="n">
        <v>0</v>
      </c>
      <c r="I28" s="46" t="n">
        <f aca="false">IF(G28="","",G28+H28)</f>
        <v>2080.91</v>
      </c>
      <c r="J28" s="35" t="s">
        <v>139</v>
      </c>
      <c r="K28" s="35"/>
    </row>
    <row r="29" customFormat="false" ht="15" hidden="false" customHeight="true" outlineLevel="0" collapsed="false">
      <c r="A29" s="34" t="n">
        <v>46176</v>
      </c>
      <c r="B29" s="35" t="s">
        <v>292</v>
      </c>
      <c r="C29" s="37" t="str">
        <f aca="false">IF(A29="","",TEXT(A29,"mmm-yyyy"))</f>
        <v>Jun-2026</v>
      </c>
      <c r="D29" s="35" t="s">
        <v>156</v>
      </c>
      <c r="E29" s="35" t="s">
        <v>299</v>
      </c>
      <c r="F29" s="35" t="s">
        <v>276</v>
      </c>
      <c r="G29" s="36" t="n">
        <v>1856.02</v>
      </c>
      <c r="H29" s="36" t="n">
        <v>269.39</v>
      </c>
      <c r="I29" s="46" t="n">
        <f aca="false">IF(G29="","",G29+H29)</f>
        <v>2125.41</v>
      </c>
      <c r="J29" s="35" t="s">
        <v>139</v>
      </c>
      <c r="K29" s="35" t="s">
        <v>269</v>
      </c>
    </row>
    <row r="30" customFormat="false" ht="15" hidden="false" customHeight="true" outlineLevel="0" collapsed="false">
      <c r="A30" s="34" t="n">
        <v>46176</v>
      </c>
      <c r="B30" s="35" t="s">
        <v>292</v>
      </c>
      <c r="C30" s="37" t="str">
        <f aca="false">IF(A30="","",TEXT(A30,"mmm-yyyy"))</f>
        <v>Jun-2026</v>
      </c>
      <c r="D30" s="35" t="s">
        <v>156</v>
      </c>
      <c r="E30" s="35" t="s">
        <v>300</v>
      </c>
      <c r="F30" s="35" t="s">
        <v>268</v>
      </c>
      <c r="G30" s="36" t="n">
        <v>562.66</v>
      </c>
      <c r="H30" s="36" t="n">
        <v>41.83</v>
      </c>
      <c r="I30" s="46" t="n">
        <f aca="false">IF(G30="","",G30+H30)</f>
        <v>604.49</v>
      </c>
      <c r="J30" s="35" t="s">
        <v>139</v>
      </c>
      <c r="K30" s="35" t="s">
        <v>269</v>
      </c>
    </row>
    <row r="31" customFormat="false" ht="15" hidden="false" customHeight="false" outlineLevel="0" collapsed="false">
      <c r="C31" s="41" t="str">
        <f aca="false">IF(A31="","",TEXT(A31,"mmm-yyyy"))</f>
        <v/>
      </c>
      <c r="I31" s="47" t="str">
        <f aca="false">IF(G31="","",G31+H31)</f>
        <v/>
      </c>
    </row>
    <row r="32" customFormat="false" ht="15" hidden="false" customHeight="false" outlineLevel="0" collapsed="false">
      <c r="C32" s="41" t="str">
        <f aca="false">IF(A32="","",TEXT(A32,"mmm-yyyy"))</f>
        <v/>
      </c>
      <c r="I32" s="47" t="str">
        <f aca="false">IF(G32="","",G32+H32)</f>
        <v/>
      </c>
    </row>
    <row r="33" customFormat="false" ht="15" hidden="false" customHeight="true" outlineLevel="0" collapsed="false">
      <c r="A33" s="48"/>
      <c r="C33" s="41" t="str">
        <f aca="false">IF(A33="","",TEXT(A33,"mmm-yyyy"))</f>
        <v/>
      </c>
      <c r="I33" s="47" t="str">
        <f aca="false">IF(G33="","",G33+H33)</f>
        <v/>
      </c>
    </row>
    <row r="34" customFormat="false" ht="21.75" hidden="false" customHeight="true" outlineLevel="0" collapsed="false">
      <c r="A34" s="49"/>
      <c r="B34" s="49"/>
      <c r="C34" s="50" t="str">
        <f aca="false">IF(A34="","",TEXT(A34,"mmm-yyyy"))</f>
        <v/>
      </c>
      <c r="D34" s="49"/>
      <c r="E34" s="49"/>
      <c r="I34" s="47" t="str">
        <f aca="false">IF(G34="","",G34+H34)</f>
        <v/>
      </c>
    </row>
    <row r="35" customFormat="false" ht="15" hidden="false" customHeight="true" outlineLevel="0" collapsed="false">
      <c r="A35" s="37"/>
      <c r="B35" s="37"/>
      <c r="C35" s="51" t="str">
        <f aca="false">IF(A35="","",TEXT(A35,"mmm-yyyy"))</f>
        <v/>
      </c>
      <c r="D35" s="51"/>
      <c r="E35" s="52"/>
      <c r="I35" s="47" t="str">
        <f aca="false">IF(G35="","",G35+H35)</f>
        <v/>
      </c>
    </row>
    <row r="36" customFormat="false" ht="15" hidden="false" customHeight="true" outlineLevel="0" collapsed="false">
      <c r="A36" s="37"/>
      <c r="B36" s="37"/>
      <c r="C36" s="51" t="str">
        <f aca="false">IF(A36="","",TEXT(A36,"mmm-yyyy"))</f>
        <v/>
      </c>
      <c r="D36" s="51"/>
      <c r="E36" s="52"/>
      <c r="I36" s="47" t="str">
        <f aca="false">IF(G36="","",G36+H36)</f>
        <v/>
      </c>
    </row>
    <row r="37" customFormat="false" ht="15" hidden="false" customHeight="true" outlineLevel="0" collapsed="false">
      <c r="A37" s="37"/>
      <c r="B37" s="37"/>
      <c r="C37" s="51" t="str">
        <f aca="false">IF(A37="","",TEXT(A37,"mmm-yyyy"))</f>
        <v/>
      </c>
      <c r="D37" s="51"/>
      <c r="E37" s="52"/>
      <c r="I37" s="47" t="str">
        <f aca="false">IF(G37="","",G37+H37)</f>
        <v/>
      </c>
    </row>
    <row r="38" customFormat="false" ht="15" hidden="false" customHeight="true" outlineLevel="0" collapsed="false">
      <c r="A38" s="37"/>
      <c r="B38" s="37"/>
      <c r="C38" s="51" t="str">
        <f aca="false">IF(A38="","",TEXT(A38,"mmm-yyyy"))</f>
        <v/>
      </c>
      <c r="D38" s="51"/>
      <c r="E38" s="52"/>
      <c r="I38" s="47" t="str">
        <f aca="false">IF(G38="","",G38+H38)</f>
        <v/>
      </c>
    </row>
    <row r="39" customFormat="false" ht="15" hidden="false" customHeight="true" outlineLevel="0" collapsed="false">
      <c r="A39" s="37"/>
      <c r="B39" s="37"/>
      <c r="C39" s="51" t="str">
        <f aca="false">IF(A39="","",TEXT(A39,"mmm-yyyy"))</f>
        <v/>
      </c>
      <c r="D39" s="51"/>
      <c r="E39" s="52"/>
      <c r="I39" s="47" t="str">
        <f aca="false">IF(G39="","",G39+H39)</f>
        <v/>
      </c>
    </row>
    <row r="40" customFormat="false" ht="15" hidden="false" customHeight="true" outlineLevel="0" collapsed="false">
      <c r="A40" s="37"/>
      <c r="B40" s="37"/>
      <c r="C40" s="51" t="str">
        <f aca="false">IF(A40="","",TEXT(A40,"mmm-yyyy"))</f>
        <v/>
      </c>
      <c r="D40" s="51"/>
      <c r="E40" s="52"/>
      <c r="I40" s="47" t="str">
        <f aca="false">IF(G40="","",G40+H40)</f>
        <v/>
      </c>
    </row>
    <row r="41" customFormat="false" ht="15" hidden="false" customHeight="true" outlineLevel="0" collapsed="false">
      <c r="A41" s="37"/>
      <c r="B41" s="37"/>
      <c r="C41" s="51" t="str">
        <f aca="false">IF(A41="","",TEXT(A41,"mmm-yyyy"))</f>
        <v/>
      </c>
      <c r="D41" s="51"/>
      <c r="E41" s="52"/>
      <c r="I41" s="47" t="str">
        <f aca="false">IF(G41="","",G41+H41)</f>
        <v/>
      </c>
    </row>
    <row r="42" customFormat="false" ht="15" hidden="false" customHeight="true" outlineLevel="0" collapsed="false">
      <c r="A42" s="37"/>
      <c r="B42" s="37"/>
      <c r="C42" s="51" t="str">
        <f aca="false">IF(A42="","",TEXT(A42,"mmm-yyyy"))</f>
        <v/>
      </c>
      <c r="D42" s="51"/>
      <c r="E42" s="52"/>
      <c r="I42" s="47" t="str">
        <f aca="false">IF(G42="","",G42+H42)</f>
        <v/>
      </c>
    </row>
    <row r="43" customFormat="false" ht="15" hidden="false" customHeight="true" outlineLevel="0" collapsed="false">
      <c r="A43" s="37"/>
      <c r="B43" s="37"/>
      <c r="C43" s="51" t="str">
        <f aca="false">IF(A43="","",TEXT(A43,"mmm-yyyy"))</f>
        <v/>
      </c>
      <c r="D43" s="51"/>
      <c r="E43" s="52"/>
      <c r="I43" s="47" t="str">
        <f aca="false">IF(G43="","",G43+H43)</f>
        <v/>
      </c>
    </row>
    <row r="44" customFormat="false" ht="15" hidden="false" customHeight="true" outlineLevel="0" collapsed="false">
      <c r="A44" s="37"/>
      <c r="B44" s="37"/>
      <c r="C44" s="51" t="str">
        <f aca="false">IF(A44="","",TEXT(A44,"mmm-yyyy"))</f>
        <v/>
      </c>
      <c r="D44" s="51"/>
      <c r="E44" s="52"/>
      <c r="I44" s="47" t="str">
        <f aca="false">IF(G44="","",G44+H44)</f>
        <v/>
      </c>
    </row>
    <row r="45" customFormat="false" ht="15" hidden="false" customHeight="true" outlineLevel="0" collapsed="false">
      <c r="A45" s="37"/>
      <c r="B45" s="37"/>
      <c r="C45" s="51" t="str">
        <f aca="false">IF(A45="","",TEXT(A45,"mmm-yyyy"))</f>
        <v/>
      </c>
      <c r="D45" s="51"/>
      <c r="E45" s="52"/>
      <c r="I45" s="47" t="str">
        <f aca="false">IF(G45="","",G45+H45)</f>
        <v/>
      </c>
    </row>
    <row r="46" customFormat="false" ht="15" hidden="false" customHeight="true" outlineLevel="0" collapsed="false">
      <c r="A46" s="37"/>
      <c r="B46" s="37"/>
      <c r="C46" s="51" t="str">
        <f aca="false">IF(A46="","",TEXT(A46,"mmm-yyyy"))</f>
        <v/>
      </c>
      <c r="D46" s="51"/>
      <c r="E46" s="52"/>
      <c r="I46" s="47" t="str">
        <f aca="false">IF(G46="","",G46+H46)</f>
        <v/>
      </c>
    </row>
    <row r="47" customFormat="false" ht="15" hidden="false" customHeight="true" outlineLevel="0" collapsed="false">
      <c r="A47" s="37"/>
      <c r="B47" s="37"/>
      <c r="C47" s="51" t="str">
        <f aca="false">IF(A47="","",TEXT(A47,"mmm-yyyy"))</f>
        <v/>
      </c>
      <c r="D47" s="51"/>
      <c r="E47" s="52"/>
      <c r="I47" s="47" t="str">
        <f aca="false">IF(G47="","",G47+H47)</f>
        <v/>
      </c>
    </row>
    <row r="48" customFormat="false" ht="15" hidden="false" customHeight="true" outlineLevel="0" collapsed="false">
      <c r="A48" s="37"/>
      <c r="B48" s="37"/>
      <c r="C48" s="51" t="str">
        <f aca="false">IF(A48="","",TEXT(A48,"mmm-yyyy"))</f>
        <v/>
      </c>
      <c r="D48" s="51"/>
      <c r="E48" s="52"/>
      <c r="I48" s="47" t="str">
        <f aca="false">IF(G48="","",G48+H48)</f>
        <v/>
      </c>
    </row>
    <row r="49" customFormat="false" ht="15" hidden="false" customHeight="true" outlineLevel="0" collapsed="false">
      <c r="A49" s="37"/>
      <c r="B49" s="37"/>
      <c r="C49" s="51" t="str">
        <f aca="false">IF(A49="","",TEXT(A49,"mmm-yyyy"))</f>
        <v/>
      </c>
      <c r="D49" s="51"/>
      <c r="E49" s="52"/>
      <c r="I49" s="47" t="str">
        <f aca="false">IF(G49="","",G49+H49)</f>
        <v/>
      </c>
    </row>
    <row r="50" customFormat="false" ht="15" hidden="false" customHeight="true" outlineLevel="0" collapsed="false">
      <c r="A50" s="37"/>
      <c r="B50" s="37"/>
      <c r="C50" s="51" t="str">
        <f aca="false">IF(A50="","",TEXT(A50,"mmm-yyyy"))</f>
        <v/>
      </c>
      <c r="D50" s="51"/>
      <c r="E50" s="52"/>
      <c r="I50" s="47" t="str">
        <f aca="false">IF(G50="","",G50+H50)</f>
        <v/>
      </c>
    </row>
    <row r="51" customFormat="false" ht="15" hidden="false" customHeight="true" outlineLevel="0" collapsed="false">
      <c r="A51" s="37"/>
      <c r="B51" s="37"/>
      <c r="C51" s="51" t="str">
        <f aca="false">IF(A51="","",TEXT(A51,"mmm-yyyy"))</f>
        <v/>
      </c>
      <c r="D51" s="51"/>
      <c r="E51" s="52"/>
      <c r="I51" s="47" t="str">
        <f aca="false">IF(G51="","",G51+H51)</f>
        <v/>
      </c>
    </row>
    <row r="52" customFormat="false" ht="15" hidden="false" customHeight="true" outlineLevel="0" collapsed="false">
      <c r="A52" s="37"/>
      <c r="B52" s="37"/>
      <c r="C52" s="51" t="str">
        <f aca="false">IF(A52="","",TEXT(A52,"mmm-yyyy"))</f>
        <v/>
      </c>
      <c r="D52" s="51"/>
      <c r="E52" s="52"/>
      <c r="I52" s="47" t="str">
        <f aca="false">IF(G52="","",G52+H52)</f>
        <v/>
      </c>
    </row>
    <row r="53" customFormat="false" ht="15" hidden="false" customHeight="false" outlineLevel="0" collapsed="false">
      <c r="C53" s="41" t="str">
        <f aca="false">IF(A53="","",TEXT(A53,"mmm-yyyy"))</f>
        <v/>
      </c>
      <c r="I53" s="47" t="str">
        <f aca="false">IF(G53="","",G53+H53)</f>
        <v/>
      </c>
    </row>
    <row r="54" customFormat="false" ht="15" hidden="false" customHeight="false" outlineLevel="0" collapsed="false">
      <c r="C54" s="41" t="str">
        <f aca="false">IF(A54="","",TEXT(A54,"mmm-yyyy"))</f>
        <v/>
      </c>
      <c r="I54" s="47" t="str">
        <f aca="false">IF(G54="","",G54+H54)</f>
        <v/>
      </c>
    </row>
    <row r="55" customFormat="false" ht="15" hidden="false" customHeight="false" outlineLevel="0" collapsed="false">
      <c r="C55" s="41" t="str">
        <f aca="false">IF(A55="","",TEXT(A55,"mmm-yyyy"))</f>
        <v/>
      </c>
      <c r="I55" s="47" t="str">
        <f aca="false">IF(G55="","",G55+H55)</f>
        <v/>
      </c>
    </row>
    <row r="56" customFormat="false" ht="15" hidden="false" customHeight="false" outlineLevel="0" collapsed="false">
      <c r="C56" s="41" t="str">
        <f aca="false">IF(A56="","",TEXT(A56,"mmm-yyyy"))</f>
        <v/>
      </c>
      <c r="I56" s="47" t="str">
        <f aca="false">IF(G56="","",G56+H56)</f>
        <v/>
      </c>
    </row>
    <row r="57" customFormat="false" ht="15" hidden="false" customHeight="false" outlineLevel="0" collapsed="false">
      <c r="C57" s="41" t="str">
        <f aca="false">IF(A57="","",TEXT(A57,"mmm-yyyy"))</f>
        <v/>
      </c>
      <c r="I57" s="47" t="str">
        <f aca="false">IF(G57="","",G57+H57)</f>
        <v/>
      </c>
    </row>
    <row r="58" customFormat="false" ht="15" hidden="false" customHeight="false" outlineLevel="0" collapsed="false">
      <c r="C58" s="41" t="str">
        <f aca="false">IF(A58="","",TEXT(A58,"mmm-yyyy"))</f>
        <v/>
      </c>
      <c r="I58" s="47" t="str">
        <f aca="false">IF(G58="","",G58+H58)</f>
        <v/>
      </c>
    </row>
    <row r="59" customFormat="false" ht="15" hidden="false" customHeight="false" outlineLevel="0" collapsed="false">
      <c r="C59" s="41" t="str">
        <f aca="false">IF(A59="","",TEXT(A59,"mmm-yyyy"))</f>
        <v/>
      </c>
      <c r="I59" s="47" t="str">
        <f aca="false">IF(G59="","",G59+H59)</f>
        <v/>
      </c>
    </row>
    <row r="60" customFormat="false" ht="15" hidden="false" customHeight="false" outlineLevel="0" collapsed="false">
      <c r="C60" s="41" t="str">
        <f aca="false">IF(A60="","",TEXT(A60,"mmm-yyyy"))</f>
        <v/>
      </c>
      <c r="I60" s="47" t="str">
        <f aca="false">IF(G60="","",G60+H60)</f>
        <v/>
      </c>
    </row>
    <row r="61" customFormat="false" ht="15" hidden="false" customHeight="false" outlineLevel="0" collapsed="false">
      <c r="C61" s="41" t="str">
        <f aca="false">IF(A61="","",TEXT(A61,"mmm-yyyy"))</f>
        <v/>
      </c>
      <c r="I61" s="47" t="str">
        <f aca="false">IF(G61="","",G61+H61)</f>
        <v/>
      </c>
    </row>
    <row r="62" customFormat="false" ht="15" hidden="false" customHeight="false" outlineLevel="0" collapsed="false">
      <c r="C62" s="41" t="str">
        <f aca="false">IF(A62="","",TEXT(A62,"mmm-yyyy"))</f>
        <v/>
      </c>
      <c r="I62" s="47" t="str">
        <f aca="false">IF(G62="","",G62+H62)</f>
        <v/>
      </c>
    </row>
    <row r="63" customFormat="false" ht="15" hidden="false" customHeight="false" outlineLevel="0" collapsed="false">
      <c r="C63" s="41" t="str">
        <f aca="false">IF(A63="","",TEXT(A63,"mmm-yyyy"))</f>
        <v/>
      </c>
      <c r="I63" s="47" t="str">
        <f aca="false">IF(G63="","",G63+H63)</f>
        <v/>
      </c>
    </row>
    <row r="64" customFormat="false" ht="15" hidden="false" customHeight="false" outlineLevel="0" collapsed="false">
      <c r="C64" s="41" t="str">
        <f aca="false">IF(A64="","",TEXT(A64,"mmm-yyyy"))</f>
        <v/>
      </c>
      <c r="I64" s="47" t="str">
        <f aca="false">IF(G64="","",G64+H64)</f>
        <v/>
      </c>
    </row>
    <row r="65" customFormat="false" ht="15" hidden="false" customHeight="false" outlineLevel="0" collapsed="false">
      <c r="C65" s="41" t="str">
        <f aca="false">IF(A65="","",TEXT(A65,"mmm-yyyy"))</f>
        <v/>
      </c>
      <c r="I65" s="47" t="str">
        <f aca="false">IF(G65="","",G65+H65)</f>
        <v/>
      </c>
    </row>
    <row r="66" customFormat="false" ht="15" hidden="false" customHeight="false" outlineLevel="0" collapsed="false">
      <c r="C66" s="41" t="str">
        <f aca="false">IF(A66="","",TEXT(A66,"mmm-yyyy"))</f>
        <v/>
      </c>
      <c r="I66" s="47" t="str">
        <f aca="false">IF(G66="","",G66+H66)</f>
        <v/>
      </c>
    </row>
    <row r="67" customFormat="false" ht="15" hidden="false" customHeight="false" outlineLevel="0" collapsed="false">
      <c r="C67" s="41" t="str">
        <f aca="false">IF(A67="","",TEXT(A67,"mmm-yyyy"))</f>
        <v/>
      </c>
      <c r="I67" s="47" t="str">
        <f aca="false">IF(G67="","",G67+H67)</f>
        <v/>
      </c>
    </row>
    <row r="68" customFormat="false" ht="15" hidden="false" customHeight="false" outlineLevel="0" collapsed="false">
      <c r="C68" s="41" t="str">
        <f aca="false">IF(A68="","",TEXT(A68,"mmm-yyyy"))</f>
        <v/>
      </c>
      <c r="I68" s="47" t="str">
        <f aca="false">IF(G68="","",G68+H68)</f>
        <v/>
      </c>
    </row>
    <row r="69" customFormat="false" ht="15" hidden="false" customHeight="false" outlineLevel="0" collapsed="false">
      <c r="C69" s="41" t="str">
        <f aca="false">IF(A69="","",TEXT(A69,"mmm-yyyy"))</f>
        <v/>
      </c>
      <c r="I69" s="47" t="str">
        <f aca="false">IF(G69="","",G69+H69)</f>
        <v/>
      </c>
    </row>
    <row r="70" customFormat="false" ht="15" hidden="false" customHeight="false" outlineLevel="0" collapsed="false">
      <c r="C70" s="41" t="str">
        <f aca="false">IF(A70="","",TEXT(A70,"mmm-yyyy"))</f>
        <v/>
      </c>
      <c r="I70" s="47" t="str">
        <f aca="false">IF(G70="","",G70+H70)</f>
        <v/>
      </c>
    </row>
    <row r="71" customFormat="false" ht="15" hidden="false" customHeight="false" outlineLevel="0" collapsed="false">
      <c r="C71" s="41" t="str">
        <f aca="false">IF(A71="","",TEXT(A71,"mmm-yyyy"))</f>
        <v/>
      </c>
      <c r="I71" s="47" t="str">
        <f aca="false">IF(G71="","",G71+H71)</f>
        <v/>
      </c>
    </row>
    <row r="72" customFormat="false" ht="15" hidden="false" customHeight="false" outlineLevel="0" collapsed="false">
      <c r="C72" s="41" t="str">
        <f aca="false">IF(A72="","",TEXT(A72,"mmm-yyyy"))</f>
        <v/>
      </c>
      <c r="I72" s="47" t="str">
        <f aca="false">IF(G72="","",G72+H72)</f>
        <v/>
      </c>
    </row>
    <row r="73" customFormat="false" ht="15" hidden="false" customHeight="false" outlineLevel="0" collapsed="false">
      <c r="C73" s="41" t="str">
        <f aca="false">IF(A73="","",TEXT(A73,"mmm-yyyy"))</f>
        <v/>
      </c>
      <c r="I73" s="47" t="str">
        <f aca="false">IF(G73="","",G73+H73)</f>
        <v/>
      </c>
    </row>
    <row r="74" customFormat="false" ht="15" hidden="false" customHeight="false" outlineLevel="0" collapsed="false">
      <c r="C74" s="41" t="str">
        <f aca="false">IF(A74="","",TEXT(A74,"mmm-yyyy"))</f>
        <v/>
      </c>
      <c r="I74" s="47" t="str">
        <f aca="false">IF(G74="","",G74+H74)</f>
        <v/>
      </c>
    </row>
    <row r="75" customFormat="false" ht="15" hidden="false" customHeight="false" outlineLevel="0" collapsed="false">
      <c r="C75" s="41" t="str">
        <f aca="false">IF(A75="","",TEXT(A75,"mmm-yyyy"))</f>
        <v/>
      </c>
      <c r="I75" s="47" t="str">
        <f aca="false">IF(G75="","",G75+H75)</f>
        <v/>
      </c>
    </row>
    <row r="76" customFormat="false" ht="15" hidden="false" customHeight="false" outlineLevel="0" collapsed="false">
      <c r="C76" s="41" t="str">
        <f aca="false">IF(A76="","",TEXT(A76,"mmm-yyyy"))</f>
        <v/>
      </c>
      <c r="I76" s="47" t="str">
        <f aca="false">IF(G76="","",G76+H76)</f>
        <v/>
      </c>
    </row>
    <row r="77" customFormat="false" ht="15" hidden="false" customHeight="false" outlineLevel="0" collapsed="false">
      <c r="C77" s="41" t="str">
        <f aca="false">IF(A77="","",TEXT(A77,"mmm-yyyy"))</f>
        <v/>
      </c>
      <c r="I77" s="47" t="str">
        <f aca="false">IF(G77="","",G77+H77)</f>
        <v/>
      </c>
    </row>
    <row r="78" customFormat="false" ht="15" hidden="false" customHeight="false" outlineLevel="0" collapsed="false">
      <c r="C78" s="41" t="str">
        <f aca="false">IF(A78="","",TEXT(A78,"mmm-yyyy"))</f>
        <v/>
      </c>
      <c r="I78" s="47" t="str">
        <f aca="false">IF(G78="","",G78+H78)</f>
        <v/>
      </c>
    </row>
    <row r="79" customFormat="false" ht="15" hidden="false" customHeight="false" outlineLevel="0" collapsed="false">
      <c r="C79" s="41" t="str">
        <f aca="false">IF(A79="","",TEXT(A79,"mmm-yyyy"))</f>
        <v/>
      </c>
      <c r="I79" s="47" t="str">
        <f aca="false">IF(G79="","",G79+H79)</f>
        <v/>
      </c>
    </row>
    <row r="80" customFormat="false" ht="15" hidden="false" customHeight="false" outlineLevel="0" collapsed="false">
      <c r="C80" s="41" t="str">
        <f aca="false">IF(A80="","",TEXT(A80,"mmm-yyyy"))</f>
        <v/>
      </c>
      <c r="I80" s="47" t="str">
        <f aca="false">IF(G80="","",G80+H80)</f>
        <v/>
      </c>
    </row>
    <row r="81" customFormat="false" ht="15" hidden="false" customHeight="false" outlineLevel="0" collapsed="false">
      <c r="C81" s="41" t="str">
        <f aca="false">IF(A81="","",TEXT(A81,"mmm-yyyy"))</f>
        <v/>
      </c>
      <c r="I81" s="47" t="str">
        <f aca="false">IF(G81="","",G81+H81)</f>
        <v/>
      </c>
    </row>
    <row r="82" customFormat="false" ht="15" hidden="false" customHeight="false" outlineLevel="0" collapsed="false">
      <c r="C82" s="41" t="str">
        <f aca="false">IF(A82="","",TEXT(A82,"mmm-yyyy"))</f>
        <v/>
      </c>
      <c r="I82" s="47" t="str">
        <f aca="false">IF(G82="","",G82+H82)</f>
        <v/>
      </c>
    </row>
    <row r="83" customFormat="false" ht="15" hidden="false" customHeight="false" outlineLevel="0" collapsed="false">
      <c r="C83" s="41" t="str">
        <f aca="false">IF(A83="","",TEXT(A83,"mmm-yyyy"))</f>
        <v/>
      </c>
      <c r="I83" s="47" t="str">
        <f aca="false">IF(G83="","",G83+H83)</f>
        <v/>
      </c>
    </row>
    <row r="84" customFormat="false" ht="15" hidden="false" customHeight="false" outlineLevel="0" collapsed="false">
      <c r="C84" s="41" t="str">
        <f aca="false">IF(A84="","",TEXT(A84,"mmm-yyyy"))</f>
        <v/>
      </c>
      <c r="I84" s="47" t="str">
        <f aca="false">IF(G84="","",G84+H84)</f>
        <v/>
      </c>
    </row>
    <row r="85" customFormat="false" ht="15" hidden="false" customHeight="false" outlineLevel="0" collapsed="false">
      <c r="C85" s="41" t="str">
        <f aca="false">IF(A85="","",TEXT(A85,"mmm-yyyy"))</f>
        <v/>
      </c>
      <c r="I85" s="47" t="str">
        <f aca="false">IF(G85="","",G85+H85)</f>
        <v/>
      </c>
    </row>
    <row r="86" customFormat="false" ht="15" hidden="false" customHeight="false" outlineLevel="0" collapsed="false">
      <c r="C86" s="41" t="str">
        <f aca="false">IF(A86="","",TEXT(A86,"mmm-yyyy"))</f>
        <v/>
      </c>
      <c r="I86" s="47" t="str">
        <f aca="false">IF(G86="","",G86+H86)</f>
        <v/>
      </c>
    </row>
    <row r="87" customFormat="false" ht="15" hidden="false" customHeight="false" outlineLevel="0" collapsed="false">
      <c r="C87" s="41" t="str">
        <f aca="false">IF(A87="","",TEXT(A87,"mmm-yyyy"))</f>
        <v/>
      </c>
      <c r="I87" s="47" t="str">
        <f aca="false">IF(G87="","",G87+H87)</f>
        <v/>
      </c>
    </row>
    <row r="88" customFormat="false" ht="15" hidden="false" customHeight="false" outlineLevel="0" collapsed="false">
      <c r="C88" s="41" t="str">
        <f aca="false">IF(A88="","",TEXT(A88,"mmm-yyyy"))</f>
        <v/>
      </c>
      <c r="I88" s="47" t="str">
        <f aca="false">IF(G88="","",G88+H88)</f>
        <v/>
      </c>
    </row>
    <row r="89" customFormat="false" ht="15" hidden="false" customHeight="false" outlineLevel="0" collapsed="false">
      <c r="C89" s="41" t="str">
        <f aca="false">IF(A89="","",TEXT(A89,"mmm-yyyy"))</f>
        <v/>
      </c>
      <c r="I89" s="47" t="str">
        <f aca="false">IF(G89="","",G89+H89)</f>
        <v/>
      </c>
    </row>
    <row r="90" customFormat="false" ht="15" hidden="false" customHeight="false" outlineLevel="0" collapsed="false">
      <c r="C90" s="41" t="str">
        <f aca="false">IF(A90="","",TEXT(A90,"mmm-yyyy"))</f>
        <v/>
      </c>
      <c r="I90" s="47" t="str">
        <f aca="false">IF(G90="","",G90+H90)</f>
        <v/>
      </c>
    </row>
    <row r="91" customFormat="false" ht="15" hidden="false" customHeight="false" outlineLevel="0" collapsed="false">
      <c r="C91" s="41" t="str">
        <f aca="false">IF(A91="","",TEXT(A91,"mmm-yyyy"))</f>
        <v/>
      </c>
      <c r="I91" s="47" t="str">
        <f aca="false">IF(G91="","",G91+H91)</f>
        <v/>
      </c>
    </row>
    <row r="92" customFormat="false" ht="15" hidden="false" customHeight="false" outlineLevel="0" collapsed="false">
      <c r="C92" s="41" t="str">
        <f aca="false">IF(A92="","",TEXT(A92,"mmm-yyyy"))</f>
        <v/>
      </c>
      <c r="I92" s="47" t="str">
        <f aca="false">IF(G92="","",G92+H92)</f>
        <v/>
      </c>
    </row>
    <row r="93" customFormat="false" ht="15" hidden="false" customHeight="false" outlineLevel="0" collapsed="false">
      <c r="C93" s="41" t="str">
        <f aca="false">IF(A93="","",TEXT(A93,"mmm-yyyy"))</f>
        <v/>
      </c>
      <c r="I93" s="47" t="str">
        <f aca="false">IF(G93="","",G93+H93)</f>
        <v/>
      </c>
    </row>
    <row r="94" customFormat="false" ht="15" hidden="false" customHeight="false" outlineLevel="0" collapsed="false">
      <c r="C94" s="41" t="str">
        <f aca="false">IF(A94="","",TEXT(A94,"mmm-yyyy"))</f>
        <v/>
      </c>
      <c r="I94" s="47" t="str">
        <f aca="false">IF(G94="","",G94+H94)</f>
        <v/>
      </c>
    </row>
    <row r="95" customFormat="false" ht="15" hidden="false" customHeight="false" outlineLevel="0" collapsed="false">
      <c r="C95" s="41" t="str">
        <f aca="false">IF(A95="","",TEXT(A95,"mmm-yyyy"))</f>
        <v/>
      </c>
      <c r="I95" s="47" t="str">
        <f aca="false">IF(G95="","",G95+H95)</f>
        <v/>
      </c>
    </row>
    <row r="96" customFormat="false" ht="15" hidden="false" customHeight="false" outlineLevel="0" collapsed="false">
      <c r="C96" s="41" t="str">
        <f aca="false">IF(A96="","",TEXT(A96,"mmm-yyyy"))</f>
        <v/>
      </c>
      <c r="I96" s="47" t="str">
        <f aca="false">IF(G96="","",G96+H96)</f>
        <v/>
      </c>
    </row>
    <row r="97" customFormat="false" ht="15" hidden="false" customHeight="false" outlineLevel="0" collapsed="false">
      <c r="C97" s="41" t="str">
        <f aca="false">IF(A97="","",TEXT(A97,"mmm-yyyy"))</f>
        <v/>
      </c>
      <c r="I97" s="47" t="str">
        <f aca="false">IF(G97="","",G97+H97)</f>
        <v/>
      </c>
    </row>
    <row r="98" customFormat="false" ht="15" hidden="false" customHeight="false" outlineLevel="0" collapsed="false">
      <c r="C98" s="41" t="str">
        <f aca="false">IF(A98="","",TEXT(A98,"mmm-yyyy"))</f>
        <v/>
      </c>
      <c r="I98" s="47" t="str">
        <f aca="false">IF(G98="","",G98+H98)</f>
        <v/>
      </c>
    </row>
    <row r="99" customFormat="false" ht="15" hidden="false" customHeight="false" outlineLevel="0" collapsed="false">
      <c r="C99" s="41" t="str">
        <f aca="false">IF(A99="","",TEXT(A99,"mmm-yyyy"))</f>
        <v/>
      </c>
      <c r="I99" s="47" t="str">
        <f aca="false">IF(G99="","",G99+H99)</f>
        <v/>
      </c>
    </row>
    <row r="100" customFormat="false" ht="15" hidden="false" customHeight="false" outlineLevel="0" collapsed="false">
      <c r="C100" s="41" t="str">
        <f aca="false">IF(A100="","",TEXT(A100,"mmm-yyyy"))</f>
        <v/>
      </c>
      <c r="I100" s="47" t="str">
        <f aca="false">IF(G100="","",G100+H100)</f>
        <v/>
      </c>
    </row>
    <row r="101" customFormat="false" ht="15" hidden="false" customHeight="false" outlineLevel="0" collapsed="false">
      <c r="C101" s="41" t="str">
        <f aca="false">IF(A101="","",TEXT(A101,"mmm-yyyy"))</f>
        <v/>
      </c>
      <c r="I101" s="47" t="str">
        <f aca="false">IF(G101="","",G101+H101)</f>
        <v/>
      </c>
    </row>
    <row r="102" customFormat="false" ht="15" hidden="false" customHeight="false" outlineLevel="0" collapsed="false">
      <c r="C102" s="41" t="str">
        <f aca="false">IF(A102="","",TEXT(A102,"mmm-yyyy"))</f>
        <v/>
      </c>
      <c r="I102" s="47" t="str">
        <f aca="false">IF(G102="","",G102+H102)</f>
        <v/>
      </c>
    </row>
    <row r="103" customFormat="false" ht="15" hidden="false" customHeight="false" outlineLevel="0" collapsed="false">
      <c r="C103" s="41" t="str">
        <f aca="false">IF(A103="","",TEXT(A103,"mmm-yyyy"))</f>
        <v/>
      </c>
      <c r="I103" s="47" t="str">
        <f aca="false">IF(G103="","",G103+H103)</f>
        <v/>
      </c>
    </row>
    <row r="104" customFormat="false" ht="15" hidden="false" customHeight="false" outlineLevel="0" collapsed="false">
      <c r="C104" s="41" t="str">
        <f aca="false">IF(A104="","",TEXT(A104,"mmm-yyyy"))</f>
        <v/>
      </c>
      <c r="I104" s="47" t="str">
        <f aca="false">IF(G104="","",G104+H104)</f>
        <v/>
      </c>
    </row>
    <row r="105" customFormat="false" ht="15" hidden="false" customHeight="false" outlineLevel="0" collapsed="false">
      <c r="C105" s="41" t="str">
        <f aca="false">IF(A105="","",TEXT(A105,"mmm-yyyy"))</f>
        <v/>
      </c>
      <c r="I105" s="47" t="str">
        <f aca="false">IF(G105="","",G105+H105)</f>
        <v/>
      </c>
    </row>
    <row r="106" customFormat="false" ht="15" hidden="false" customHeight="false" outlineLevel="0" collapsed="false">
      <c r="C106" s="41" t="str">
        <f aca="false">IF(A106="","",TEXT(A106,"mmm-yyyy"))</f>
        <v/>
      </c>
      <c r="I106" s="47" t="str">
        <f aca="false">IF(G106="","",G106+H106)</f>
        <v/>
      </c>
    </row>
    <row r="107" customFormat="false" ht="15" hidden="false" customHeight="false" outlineLevel="0" collapsed="false">
      <c r="C107" s="41" t="str">
        <f aca="false">IF(A107="","",TEXT(A107,"mmm-yyyy"))</f>
        <v/>
      </c>
      <c r="I107" s="47" t="str">
        <f aca="false">IF(G107="","",G107+H107)</f>
        <v/>
      </c>
    </row>
    <row r="108" customFormat="false" ht="15" hidden="false" customHeight="false" outlineLevel="0" collapsed="false">
      <c r="C108" s="41" t="str">
        <f aca="false">IF(A108="","",TEXT(A108,"mmm-yyyy"))</f>
        <v/>
      </c>
      <c r="I108" s="47" t="str">
        <f aca="false">IF(G108="","",G108+H108)</f>
        <v/>
      </c>
    </row>
    <row r="109" customFormat="false" ht="15" hidden="false" customHeight="false" outlineLevel="0" collapsed="false">
      <c r="C109" s="41" t="str">
        <f aca="false">IF(A109="","",TEXT(A109,"mmm-yyyy"))</f>
        <v/>
      </c>
      <c r="I109" s="47" t="str">
        <f aca="false">IF(G109="","",G109+H109)</f>
        <v/>
      </c>
    </row>
    <row r="110" customFormat="false" ht="15" hidden="false" customHeight="false" outlineLevel="0" collapsed="false">
      <c r="C110" s="41" t="str">
        <f aca="false">IF(A110="","",TEXT(A110,"mmm-yyyy"))</f>
        <v/>
      </c>
      <c r="I110" s="47" t="str">
        <f aca="false">IF(G110="","",G110+H110)</f>
        <v/>
      </c>
    </row>
    <row r="111" customFormat="false" ht="15" hidden="false" customHeight="false" outlineLevel="0" collapsed="false">
      <c r="C111" s="41" t="str">
        <f aca="false">IF(A111="","",TEXT(A111,"mmm-yyyy"))</f>
        <v/>
      </c>
      <c r="I111" s="47" t="str">
        <f aca="false">IF(G111="","",G111+H111)</f>
        <v/>
      </c>
    </row>
    <row r="112" customFormat="false" ht="15" hidden="false" customHeight="false" outlineLevel="0" collapsed="false">
      <c r="C112" s="41" t="str">
        <f aca="false">IF(A112="","",TEXT(A112,"mmm-yyyy"))</f>
        <v/>
      </c>
      <c r="I112" s="47" t="str">
        <f aca="false">IF(G112="","",G112+H112)</f>
        <v/>
      </c>
    </row>
    <row r="113" customFormat="false" ht="15" hidden="false" customHeight="false" outlineLevel="0" collapsed="false">
      <c r="C113" s="41" t="str">
        <f aca="false">IF(A113="","",TEXT(A113,"mmm-yyyy"))</f>
        <v/>
      </c>
      <c r="I113" s="47" t="str">
        <f aca="false">IF(G113="","",G113+H113)</f>
        <v/>
      </c>
    </row>
    <row r="114" customFormat="false" ht="15" hidden="false" customHeight="false" outlineLevel="0" collapsed="false">
      <c r="C114" s="41" t="str">
        <f aca="false">IF(A114="","",TEXT(A114,"mmm-yyyy"))</f>
        <v/>
      </c>
      <c r="I114" s="47" t="str">
        <f aca="false">IF(G114="","",G114+H114)</f>
        <v/>
      </c>
    </row>
    <row r="115" customFormat="false" ht="15" hidden="false" customHeight="false" outlineLevel="0" collapsed="false">
      <c r="C115" s="41" t="str">
        <f aca="false">IF(A115="","",TEXT(A115,"mmm-yyyy"))</f>
        <v/>
      </c>
      <c r="I115" s="47" t="str">
        <f aca="false">IF(G115="","",G115+H115)</f>
        <v/>
      </c>
    </row>
    <row r="116" customFormat="false" ht="15" hidden="false" customHeight="false" outlineLevel="0" collapsed="false">
      <c r="C116" s="41" t="str">
        <f aca="false">IF(A116="","",TEXT(A116,"mmm-yyyy"))</f>
        <v/>
      </c>
      <c r="I116" s="47" t="str">
        <f aca="false">IF(G116="","",G116+H116)</f>
        <v/>
      </c>
    </row>
    <row r="117" customFormat="false" ht="15" hidden="false" customHeight="false" outlineLevel="0" collapsed="false">
      <c r="C117" s="41" t="str">
        <f aca="false">IF(A117="","",TEXT(A117,"mmm-yyyy"))</f>
        <v/>
      </c>
      <c r="I117" s="47" t="str">
        <f aca="false">IF(G117="","",G117+H117)</f>
        <v/>
      </c>
    </row>
    <row r="118" customFormat="false" ht="15" hidden="false" customHeight="false" outlineLevel="0" collapsed="false">
      <c r="C118" s="41" t="str">
        <f aca="false">IF(A118="","",TEXT(A118,"mmm-yyyy"))</f>
        <v/>
      </c>
      <c r="I118" s="47" t="str">
        <f aca="false">IF(G118="","",G118+H118)</f>
        <v/>
      </c>
    </row>
    <row r="119" customFormat="false" ht="15" hidden="false" customHeight="false" outlineLevel="0" collapsed="false">
      <c r="C119" s="41" t="str">
        <f aca="false">IF(A119="","",TEXT(A119,"mmm-yyyy"))</f>
        <v/>
      </c>
      <c r="I119" s="47" t="str">
        <f aca="false">IF(G119="","",G119+H119)</f>
        <v/>
      </c>
    </row>
    <row r="120" customFormat="false" ht="15" hidden="false" customHeight="false" outlineLevel="0" collapsed="false">
      <c r="C120" s="41" t="str">
        <f aca="false">IF(A120="","",TEXT(A120,"mmm-yyyy"))</f>
        <v/>
      </c>
      <c r="I120" s="47" t="str">
        <f aca="false">IF(G120="","",G120+H120)</f>
        <v/>
      </c>
    </row>
    <row r="121" customFormat="false" ht="15" hidden="false" customHeight="false" outlineLevel="0" collapsed="false">
      <c r="C121" s="41" t="str">
        <f aca="false">IF(A121="","",TEXT(A121,"mmm-yyyy"))</f>
        <v/>
      </c>
      <c r="I121" s="47" t="str">
        <f aca="false">IF(G121="","",G121+H121)</f>
        <v/>
      </c>
    </row>
    <row r="122" customFormat="false" ht="15" hidden="false" customHeight="false" outlineLevel="0" collapsed="false">
      <c r="C122" s="41" t="str">
        <f aca="false">IF(A122="","",TEXT(A122,"mmm-yyyy"))</f>
        <v/>
      </c>
      <c r="I122" s="47" t="str">
        <f aca="false">IF(G122="","",G122+H122)</f>
        <v/>
      </c>
    </row>
    <row r="123" customFormat="false" ht="15" hidden="false" customHeight="false" outlineLevel="0" collapsed="false">
      <c r="C123" s="41" t="str">
        <f aca="false">IF(A123="","",TEXT(A123,"mmm-yyyy"))</f>
        <v/>
      </c>
      <c r="I123" s="47" t="str">
        <f aca="false">IF(G123="","",G123+H123)</f>
        <v/>
      </c>
    </row>
    <row r="124" customFormat="false" ht="15" hidden="false" customHeight="false" outlineLevel="0" collapsed="false">
      <c r="C124" s="41" t="str">
        <f aca="false">IF(A124="","",TEXT(A124,"mmm-yyyy"))</f>
        <v/>
      </c>
      <c r="I124" s="47" t="str">
        <f aca="false">IF(G124="","",G124+H124)</f>
        <v/>
      </c>
    </row>
    <row r="125" customFormat="false" ht="15" hidden="false" customHeight="false" outlineLevel="0" collapsed="false">
      <c r="C125" s="41" t="str">
        <f aca="false">IF(A125="","",TEXT(A125,"mmm-yyyy"))</f>
        <v/>
      </c>
      <c r="I125" s="47" t="str">
        <f aca="false">IF(G125="","",G125+H125)</f>
        <v/>
      </c>
    </row>
    <row r="126" customFormat="false" ht="15" hidden="false" customHeight="false" outlineLevel="0" collapsed="false">
      <c r="C126" s="41" t="str">
        <f aca="false">IF(A126="","",TEXT(A126,"mmm-yyyy"))</f>
        <v/>
      </c>
      <c r="I126" s="47" t="str">
        <f aca="false">IF(G126="","",G126+H126)</f>
        <v/>
      </c>
    </row>
    <row r="127" customFormat="false" ht="15" hidden="false" customHeight="false" outlineLevel="0" collapsed="false">
      <c r="C127" s="41" t="str">
        <f aca="false">IF(A127="","",TEXT(A127,"mmm-yyyy"))</f>
        <v/>
      </c>
      <c r="I127" s="47" t="str">
        <f aca="false">IF(G127="","",G127+H127)</f>
        <v/>
      </c>
    </row>
    <row r="128" customFormat="false" ht="15" hidden="false" customHeight="false" outlineLevel="0" collapsed="false">
      <c r="C128" s="41" t="str">
        <f aca="false">IF(A128="","",TEXT(A128,"mmm-yyyy"))</f>
        <v/>
      </c>
      <c r="I128" s="47" t="str">
        <f aca="false">IF(G128="","",G128+H128)</f>
        <v/>
      </c>
    </row>
    <row r="129" customFormat="false" ht="15" hidden="false" customHeight="false" outlineLevel="0" collapsed="false">
      <c r="C129" s="41" t="str">
        <f aca="false">IF(A129="","",TEXT(A129,"mmm-yyyy"))</f>
        <v/>
      </c>
      <c r="I129" s="47" t="str">
        <f aca="false">IF(G129="","",G129+H129)</f>
        <v/>
      </c>
    </row>
    <row r="130" customFormat="false" ht="15" hidden="false" customHeight="false" outlineLevel="0" collapsed="false">
      <c r="C130" s="41" t="str">
        <f aca="false">IF(A130="","",TEXT(A130,"mmm-yyyy"))</f>
        <v/>
      </c>
      <c r="I130" s="47" t="str">
        <f aca="false">IF(G130="","",G130+H130)</f>
        <v/>
      </c>
    </row>
    <row r="131" customFormat="false" ht="15" hidden="false" customHeight="false" outlineLevel="0" collapsed="false">
      <c r="C131" s="41" t="str">
        <f aca="false">IF(A131="","",TEXT(A131,"mmm-yyyy"))</f>
        <v/>
      </c>
      <c r="I131" s="47" t="str">
        <f aca="false">IF(G131="","",G131+H131)</f>
        <v/>
      </c>
    </row>
    <row r="132" customFormat="false" ht="15" hidden="false" customHeight="false" outlineLevel="0" collapsed="false">
      <c r="C132" s="41" t="str">
        <f aca="false">IF(A132="","",TEXT(A132,"mmm-yyyy"))</f>
        <v/>
      </c>
      <c r="I132" s="47" t="str">
        <f aca="false">IF(G132="","",G132+H132)</f>
        <v/>
      </c>
    </row>
    <row r="133" customFormat="false" ht="15" hidden="false" customHeight="false" outlineLevel="0" collapsed="false">
      <c r="C133" s="41" t="str">
        <f aca="false">IF(A133="","",TEXT(A133,"mmm-yyyy"))</f>
        <v/>
      </c>
      <c r="I133" s="47" t="str">
        <f aca="false">IF(G133="","",G133+H133)</f>
        <v/>
      </c>
    </row>
    <row r="134" customFormat="false" ht="15" hidden="false" customHeight="false" outlineLevel="0" collapsed="false">
      <c r="C134" s="41" t="str">
        <f aca="false">IF(A134="","",TEXT(A134,"mmm-yyyy"))</f>
        <v/>
      </c>
      <c r="I134" s="47" t="str">
        <f aca="false">IF(G134="","",G134+H134)</f>
        <v/>
      </c>
    </row>
    <row r="135" customFormat="false" ht="15" hidden="false" customHeight="false" outlineLevel="0" collapsed="false">
      <c r="C135" s="41" t="str">
        <f aca="false">IF(A135="","",TEXT(A135,"mmm-yyyy"))</f>
        <v/>
      </c>
      <c r="I135" s="47" t="str">
        <f aca="false">IF(G135="","",G135+H135)</f>
        <v/>
      </c>
    </row>
    <row r="136" customFormat="false" ht="15" hidden="false" customHeight="false" outlineLevel="0" collapsed="false">
      <c r="C136" s="41" t="str">
        <f aca="false">IF(A136="","",TEXT(A136,"mmm-yyyy"))</f>
        <v/>
      </c>
      <c r="I136" s="47" t="str">
        <f aca="false">IF(G136="","",G136+H136)</f>
        <v/>
      </c>
    </row>
    <row r="137" customFormat="false" ht="15" hidden="false" customHeight="false" outlineLevel="0" collapsed="false">
      <c r="C137" s="41" t="str">
        <f aca="false">IF(A137="","",TEXT(A137,"mmm-yyyy"))</f>
        <v/>
      </c>
      <c r="I137" s="47" t="str">
        <f aca="false">IF(G137="","",G137+H137)</f>
        <v/>
      </c>
    </row>
    <row r="138" customFormat="false" ht="15" hidden="false" customHeight="false" outlineLevel="0" collapsed="false">
      <c r="C138" s="41" t="str">
        <f aca="false">IF(A138="","",TEXT(A138,"mmm-yyyy"))</f>
        <v/>
      </c>
      <c r="I138" s="47" t="str">
        <f aca="false">IF(G138="","",G138+H138)</f>
        <v/>
      </c>
    </row>
    <row r="139" customFormat="false" ht="15" hidden="false" customHeight="false" outlineLevel="0" collapsed="false">
      <c r="C139" s="41" t="str">
        <f aca="false">IF(A139="","",TEXT(A139,"mmm-yyyy"))</f>
        <v/>
      </c>
      <c r="I139" s="47" t="str">
        <f aca="false">IF(G139="","",G139+H139)</f>
        <v/>
      </c>
    </row>
    <row r="140" customFormat="false" ht="15" hidden="false" customHeight="false" outlineLevel="0" collapsed="false">
      <c r="C140" s="41" t="str">
        <f aca="false">IF(A140="","",TEXT(A140,"mmm-yyyy"))</f>
        <v/>
      </c>
      <c r="I140" s="47" t="str">
        <f aca="false">IF(G140="","",G140+H140)</f>
        <v/>
      </c>
    </row>
    <row r="141" customFormat="false" ht="15" hidden="false" customHeight="false" outlineLevel="0" collapsed="false">
      <c r="C141" s="41" t="str">
        <f aca="false">IF(A141="","",TEXT(A141,"mmm-yyyy"))</f>
        <v/>
      </c>
      <c r="I141" s="47" t="str">
        <f aca="false">IF(G141="","",G141+H141)</f>
        <v/>
      </c>
    </row>
    <row r="142" customFormat="false" ht="15" hidden="false" customHeight="false" outlineLevel="0" collapsed="false">
      <c r="C142" s="41" t="str">
        <f aca="false">IF(A142="","",TEXT(A142,"mmm-yyyy"))</f>
        <v/>
      </c>
      <c r="I142" s="47" t="str">
        <f aca="false">IF(G142="","",G142+H142)</f>
        <v/>
      </c>
    </row>
    <row r="143" customFormat="false" ht="15" hidden="false" customHeight="false" outlineLevel="0" collapsed="false">
      <c r="C143" s="41" t="str">
        <f aca="false">IF(A143="","",TEXT(A143,"mmm-yyyy"))</f>
        <v/>
      </c>
      <c r="I143" s="47" t="str">
        <f aca="false">IF(G143="","",G143+H143)</f>
        <v/>
      </c>
    </row>
    <row r="144" customFormat="false" ht="15" hidden="false" customHeight="false" outlineLevel="0" collapsed="false">
      <c r="C144" s="41" t="str">
        <f aca="false">IF(A144="","",TEXT(A144,"mmm-yyyy"))</f>
        <v/>
      </c>
      <c r="I144" s="47" t="str">
        <f aca="false">IF(G144="","",G144+H144)</f>
        <v/>
      </c>
    </row>
    <row r="145" customFormat="false" ht="15" hidden="false" customHeight="false" outlineLevel="0" collapsed="false">
      <c r="C145" s="41" t="str">
        <f aca="false">IF(A145="","",TEXT(A145,"mmm-yyyy"))</f>
        <v/>
      </c>
      <c r="I145" s="47" t="str">
        <f aca="false">IF(G145="","",G145+H145)</f>
        <v/>
      </c>
    </row>
    <row r="146" customFormat="false" ht="15" hidden="false" customHeight="false" outlineLevel="0" collapsed="false">
      <c r="C146" s="41" t="str">
        <f aca="false">IF(A146="","",TEXT(A146,"mmm-yyyy"))</f>
        <v/>
      </c>
      <c r="I146" s="47" t="str">
        <f aca="false">IF(G146="","",G146+H146)</f>
        <v/>
      </c>
    </row>
    <row r="147" customFormat="false" ht="15" hidden="false" customHeight="false" outlineLevel="0" collapsed="false">
      <c r="C147" s="41" t="str">
        <f aca="false">IF(A147="","",TEXT(A147,"mmm-yyyy"))</f>
        <v/>
      </c>
      <c r="I147" s="47" t="str">
        <f aca="false">IF(G147="","",G147+H147)</f>
        <v/>
      </c>
    </row>
    <row r="148" customFormat="false" ht="15" hidden="false" customHeight="false" outlineLevel="0" collapsed="false">
      <c r="C148" s="41" t="str">
        <f aca="false">IF(A148="","",TEXT(A148,"mmm-yyyy"))</f>
        <v/>
      </c>
      <c r="I148" s="47" t="str">
        <f aca="false">IF(G148="","",G148+H148)</f>
        <v/>
      </c>
    </row>
    <row r="149" customFormat="false" ht="15" hidden="false" customHeight="false" outlineLevel="0" collapsed="false">
      <c r="C149" s="41" t="str">
        <f aca="false">IF(A149="","",TEXT(A149,"mmm-yyyy"))</f>
        <v/>
      </c>
      <c r="I149" s="47" t="str">
        <f aca="false">IF(G149="","",G149+H149)</f>
        <v/>
      </c>
    </row>
    <row r="150" customFormat="false" ht="15" hidden="false" customHeight="false" outlineLevel="0" collapsed="false">
      <c r="C150" s="41" t="str">
        <f aca="false">IF(A150="","",TEXT(A150,"mmm-yyyy"))</f>
        <v/>
      </c>
      <c r="I150" s="47" t="str">
        <f aca="false">IF(G150="","",G150+H150)</f>
        <v/>
      </c>
    </row>
    <row r="151" customFormat="false" ht="15" hidden="false" customHeight="false" outlineLevel="0" collapsed="false">
      <c r="C151" s="41" t="str">
        <f aca="false">IF(A151="","",TEXT(A151,"mmm-yyyy"))</f>
        <v/>
      </c>
      <c r="I151" s="47" t="str">
        <f aca="false">IF(G151="","",G151+H151)</f>
        <v/>
      </c>
    </row>
    <row r="152" customFormat="false" ht="15" hidden="false" customHeight="false" outlineLevel="0" collapsed="false">
      <c r="C152" s="41" t="str">
        <f aca="false">IF(A152="","",TEXT(A152,"mmm-yyyy"))</f>
        <v/>
      </c>
      <c r="I152" s="47" t="str">
        <f aca="false">IF(G152="","",G152+H152)</f>
        <v/>
      </c>
    </row>
    <row r="153" customFormat="false" ht="15" hidden="false" customHeight="false" outlineLevel="0" collapsed="false">
      <c r="C153" s="41" t="str">
        <f aca="false">IF(A153="","",TEXT(A153,"mmm-yyyy"))</f>
        <v/>
      </c>
      <c r="I153" s="47" t="str">
        <f aca="false">IF(G153="","",G153+H153)</f>
        <v/>
      </c>
    </row>
    <row r="154" customFormat="false" ht="15" hidden="false" customHeight="false" outlineLevel="0" collapsed="false">
      <c r="C154" s="41" t="str">
        <f aca="false">IF(A154="","",TEXT(A154,"mmm-yyyy"))</f>
        <v/>
      </c>
      <c r="I154" s="47" t="str">
        <f aca="false">IF(G154="","",G154+H154)</f>
        <v/>
      </c>
    </row>
    <row r="155" customFormat="false" ht="15" hidden="false" customHeight="false" outlineLevel="0" collapsed="false">
      <c r="C155" s="41" t="str">
        <f aca="false">IF(A155="","",TEXT(A155,"mmm-yyyy"))</f>
        <v/>
      </c>
      <c r="I155" s="47" t="str">
        <f aca="false">IF(G155="","",G155+H155)</f>
        <v/>
      </c>
    </row>
    <row r="156" customFormat="false" ht="15" hidden="false" customHeight="false" outlineLevel="0" collapsed="false">
      <c r="C156" s="41" t="str">
        <f aca="false">IF(A156="","",TEXT(A156,"mmm-yyyy"))</f>
        <v/>
      </c>
      <c r="I156" s="47" t="str">
        <f aca="false">IF(G156="","",G156+H156)</f>
        <v/>
      </c>
    </row>
    <row r="157" customFormat="false" ht="15" hidden="false" customHeight="false" outlineLevel="0" collapsed="false">
      <c r="C157" s="41" t="str">
        <f aca="false">IF(A157="","",TEXT(A157,"mmm-yyyy"))</f>
        <v/>
      </c>
      <c r="I157" s="47" t="str">
        <f aca="false">IF(G157="","",G157+H157)</f>
        <v/>
      </c>
    </row>
    <row r="158" customFormat="false" ht="15" hidden="false" customHeight="false" outlineLevel="0" collapsed="false">
      <c r="C158" s="41" t="str">
        <f aca="false">IF(A158="","",TEXT(A158,"mmm-yyyy"))</f>
        <v/>
      </c>
      <c r="I158" s="47" t="str">
        <f aca="false">IF(G158="","",G158+H158)</f>
        <v/>
      </c>
    </row>
    <row r="159" customFormat="false" ht="15" hidden="false" customHeight="false" outlineLevel="0" collapsed="false">
      <c r="C159" s="41" t="str">
        <f aca="false">IF(A159="","",TEXT(A159,"mmm-yyyy"))</f>
        <v/>
      </c>
      <c r="I159" s="47" t="str">
        <f aca="false">IF(G159="","",G159+H159)</f>
        <v/>
      </c>
    </row>
    <row r="160" customFormat="false" ht="15" hidden="false" customHeight="false" outlineLevel="0" collapsed="false">
      <c r="C160" s="41" t="str">
        <f aca="false">IF(A160="","",TEXT(A160,"mmm-yyyy"))</f>
        <v/>
      </c>
      <c r="I160" s="47" t="str">
        <f aca="false">IF(G160="","",G160+H160)</f>
        <v/>
      </c>
    </row>
    <row r="161" customFormat="false" ht="15" hidden="false" customHeight="false" outlineLevel="0" collapsed="false">
      <c r="C161" s="41" t="str">
        <f aca="false">IF(A161="","",TEXT(A161,"mmm-yyyy"))</f>
        <v/>
      </c>
      <c r="I161" s="47" t="str">
        <f aca="false">IF(G161="","",G161+H161)</f>
        <v/>
      </c>
    </row>
    <row r="162" customFormat="false" ht="15" hidden="false" customHeight="false" outlineLevel="0" collapsed="false">
      <c r="C162" s="41" t="str">
        <f aca="false">IF(A162="","",TEXT(A162,"mmm-yyyy"))</f>
        <v/>
      </c>
      <c r="I162" s="47" t="str">
        <f aca="false">IF(G162="","",G162+H162)</f>
        <v/>
      </c>
    </row>
    <row r="163" customFormat="false" ht="15" hidden="false" customHeight="false" outlineLevel="0" collapsed="false">
      <c r="C163" s="41" t="str">
        <f aca="false">IF(A163="","",TEXT(A163,"mmm-yyyy"))</f>
        <v/>
      </c>
      <c r="I163" s="47" t="str">
        <f aca="false">IF(G163="","",G163+H163)</f>
        <v/>
      </c>
    </row>
    <row r="164" customFormat="false" ht="15" hidden="false" customHeight="false" outlineLevel="0" collapsed="false">
      <c r="C164" s="41" t="str">
        <f aca="false">IF(A164="","",TEXT(A164,"mmm-yyyy"))</f>
        <v/>
      </c>
      <c r="I164" s="47" t="str">
        <f aca="false">IF(G164="","",G164+H164)</f>
        <v/>
      </c>
    </row>
    <row r="165" customFormat="false" ht="15" hidden="false" customHeight="false" outlineLevel="0" collapsed="false">
      <c r="C165" s="41" t="str">
        <f aca="false">IF(A165="","",TEXT(A165,"mmm-yyyy"))</f>
        <v/>
      </c>
      <c r="I165" s="47" t="str">
        <f aca="false">IF(G165="","",G165+H165)</f>
        <v/>
      </c>
    </row>
    <row r="166" customFormat="false" ht="15" hidden="false" customHeight="false" outlineLevel="0" collapsed="false">
      <c r="C166" s="41" t="str">
        <f aca="false">IF(A166="","",TEXT(A166,"mmm-yyyy"))</f>
        <v/>
      </c>
      <c r="I166" s="47" t="str">
        <f aca="false">IF(G166="","",G166+H166)</f>
        <v/>
      </c>
    </row>
    <row r="167" customFormat="false" ht="15" hidden="false" customHeight="false" outlineLevel="0" collapsed="false">
      <c r="C167" s="41" t="str">
        <f aca="false">IF(A167="","",TEXT(A167,"mmm-yyyy"))</f>
        <v/>
      </c>
      <c r="I167" s="47" t="str">
        <f aca="false">IF(G167="","",G167+H167)</f>
        <v/>
      </c>
    </row>
    <row r="168" customFormat="false" ht="15" hidden="false" customHeight="false" outlineLevel="0" collapsed="false">
      <c r="C168" s="41" t="str">
        <f aca="false">IF(A168="","",TEXT(A168,"mmm-yyyy"))</f>
        <v/>
      </c>
      <c r="I168" s="47" t="str">
        <f aca="false">IF(G168="","",G168+H168)</f>
        <v/>
      </c>
    </row>
    <row r="169" customFormat="false" ht="15" hidden="false" customHeight="false" outlineLevel="0" collapsed="false">
      <c r="C169" s="41" t="str">
        <f aca="false">IF(A169="","",TEXT(A169,"mmm-yyyy"))</f>
        <v/>
      </c>
      <c r="I169" s="47" t="str">
        <f aca="false">IF(G169="","",G169+H169)</f>
        <v/>
      </c>
    </row>
    <row r="170" customFormat="false" ht="15" hidden="false" customHeight="false" outlineLevel="0" collapsed="false">
      <c r="C170" s="41" t="str">
        <f aca="false">IF(A170="","",TEXT(A170,"mmm-yyyy"))</f>
        <v/>
      </c>
      <c r="I170" s="47" t="str">
        <f aca="false">IF(G170="","",G170+H170)</f>
        <v/>
      </c>
    </row>
    <row r="171" customFormat="false" ht="15" hidden="false" customHeight="false" outlineLevel="0" collapsed="false">
      <c r="C171" s="41" t="str">
        <f aca="false">IF(A171="","",TEXT(A171,"mmm-yyyy"))</f>
        <v/>
      </c>
      <c r="I171" s="47" t="str">
        <f aca="false">IF(G171="","",G171+H171)</f>
        <v/>
      </c>
    </row>
    <row r="172" customFormat="false" ht="15" hidden="false" customHeight="false" outlineLevel="0" collapsed="false">
      <c r="C172" s="41" t="str">
        <f aca="false">IF(A172="","",TEXT(A172,"mmm-yyyy"))</f>
        <v/>
      </c>
      <c r="I172" s="47" t="str">
        <f aca="false">IF(G172="","",G172+H172)</f>
        <v/>
      </c>
    </row>
    <row r="173" customFormat="false" ht="15" hidden="false" customHeight="false" outlineLevel="0" collapsed="false">
      <c r="C173" s="41" t="str">
        <f aca="false">IF(A173="","",TEXT(A173,"mmm-yyyy"))</f>
        <v/>
      </c>
      <c r="I173" s="47" t="str">
        <f aca="false">IF(G173="","",G173+H173)</f>
        <v/>
      </c>
    </row>
    <row r="174" customFormat="false" ht="15" hidden="false" customHeight="false" outlineLevel="0" collapsed="false">
      <c r="C174" s="41" t="str">
        <f aca="false">IF(A174="","",TEXT(A174,"mmm-yyyy"))</f>
        <v/>
      </c>
      <c r="I174" s="47" t="str">
        <f aca="false">IF(G174="","",G174+H174)</f>
        <v/>
      </c>
    </row>
    <row r="175" customFormat="false" ht="15" hidden="false" customHeight="false" outlineLevel="0" collapsed="false">
      <c r="C175" s="41" t="str">
        <f aca="false">IF(A175="","",TEXT(A175,"mmm-yyyy"))</f>
        <v/>
      </c>
      <c r="I175" s="47" t="str">
        <f aca="false">IF(G175="","",G175+H175)</f>
        <v/>
      </c>
    </row>
    <row r="176" customFormat="false" ht="15" hidden="false" customHeight="false" outlineLevel="0" collapsed="false">
      <c r="C176" s="41" t="str">
        <f aca="false">IF(A176="","",TEXT(A176,"mmm-yyyy"))</f>
        <v/>
      </c>
      <c r="I176" s="47" t="str">
        <f aca="false">IF(G176="","",G176+H176)</f>
        <v/>
      </c>
    </row>
    <row r="177" customFormat="false" ht="15" hidden="false" customHeight="false" outlineLevel="0" collapsed="false">
      <c r="C177" s="41" t="str">
        <f aca="false">IF(A177="","",TEXT(A177,"mmm-yyyy"))</f>
        <v/>
      </c>
      <c r="I177" s="47" t="str">
        <f aca="false">IF(G177="","",G177+H177)</f>
        <v/>
      </c>
    </row>
    <row r="178" customFormat="false" ht="15" hidden="false" customHeight="false" outlineLevel="0" collapsed="false">
      <c r="C178" s="41" t="str">
        <f aca="false">IF(A178="","",TEXT(A178,"mmm-yyyy"))</f>
        <v/>
      </c>
      <c r="I178" s="47" t="str">
        <f aca="false">IF(G178="","",G178+H178)</f>
        <v/>
      </c>
    </row>
    <row r="179" customFormat="false" ht="15" hidden="false" customHeight="false" outlineLevel="0" collapsed="false">
      <c r="C179" s="41" t="str">
        <f aca="false">IF(A179="","",TEXT(A179,"mmm-yyyy"))</f>
        <v/>
      </c>
      <c r="I179" s="47" t="str">
        <f aca="false">IF(G179="","",G179+H179)</f>
        <v/>
      </c>
    </row>
    <row r="180" customFormat="false" ht="15" hidden="false" customHeight="false" outlineLevel="0" collapsed="false">
      <c r="C180" s="41" t="str">
        <f aca="false">IF(A180="","",TEXT(A180,"mmm-yyyy"))</f>
        <v/>
      </c>
      <c r="I180" s="47" t="str">
        <f aca="false">IF(G180="","",G180+H180)</f>
        <v/>
      </c>
    </row>
    <row r="181" customFormat="false" ht="15" hidden="false" customHeight="false" outlineLevel="0" collapsed="false">
      <c r="C181" s="41" t="str">
        <f aca="false">IF(A181="","",TEXT(A181,"mmm-yyyy"))</f>
        <v/>
      </c>
      <c r="I181" s="47" t="str">
        <f aca="false">IF(G181="","",G181+H181)</f>
        <v/>
      </c>
    </row>
    <row r="182" customFormat="false" ht="15" hidden="false" customHeight="false" outlineLevel="0" collapsed="false">
      <c r="C182" s="41" t="str">
        <f aca="false">IF(A182="","",TEXT(A182,"mmm-yyyy"))</f>
        <v/>
      </c>
      <c r="I182" s="47" t="str">
        <f aca="false">IF(G182="","",G182+H182)</f>
        <v/>
      </c>
    </row>
    <row r="183" customFormat="false" ht="15" hidden="false" customHeight="false" outlineLevel="0" collapsed="false">
      <c r="C183" s="41" t="str">
        <f aca="false">IF(A183="","",TEXT(A183,"mmm-yyyy"))</f>
        <v/>
      </c>
      <c r="I183" s="47" t="str">
        <f aca="false">IF(G183="","",G183+H183)</f>
        <v/>
      </c>
    </row>
    <row r="184" customFormat="false" ht="15" hidden="false" customHeight="false" outlineLevel="0" collapsed="false">
      <c r="C184" s="41" t="str">
        <f aca="false">IF(A184="","",TEXT(A184,"mmm-yyyy"))</f>
        <v/>
      </c>
      <c r="I184" s="47" t="str">
        <f aca="false">IF(G184="","",G184+H184)</f>
        <v/>
      </c>
    </row>
    <row r="185" customFormat="false" ht="15" hidden="false" customHeight="false" outlineLevel="0" collapsed="false">
      <c r="C185" s="41" t="str">
        <f aca="false">IF(A185="","",TEXT(A185,"mmm-yyyy"))</f>
        <v/>
      </c>
      <c r="I185" s="47" t="str">
        <f aca="false">IF(G185="","",G185+H185)</f>
        <v/>
      </c>
    </row>
    <row r="186" customFormat="false" ht="15" hidden="false" customHeight="false" outlineLevel="0" collapsed="false">
      <c r="C186" s="41" t="str">
        <f aca="false">IF(A186="","",TEXT(A186,"mmm-yyyy"))</f>
        <v/>
      </c>
      <c r="I186" s="47" t="str">
        <f aca="false">IF(G186="","",G186+H186)</f>
        <v/>
      </c>
    </row>
    <row r="187" customFormat="false" ht="15" hidden="false" customHeight="false" outlineLevel="0" collapsed="false">
      <c r="C187" s="41" t="str">
        <f aca="false">IF(A187="","",TEXT(A187,"mmm-yyyy"))</f>
        <v/>
      </c>
      <c r="I187" s="47" t="str">
        <f aca="false">IF(G187="","",G187+H187)</f>
        <v/>
      </c>
    </row>
    <row r="188" customFormat="false" ht="15" hidden="false" customHeight="false" outlineLevel="0" collapsed="false">
      <c r="C188" s="41" t="str">
        <f aca="false">IF(A188="","",TEXT(A188,"mmm-yyyy"))</f>
        <v/>
      </c>
      <c r="I188" s="47" t="str">
        <f aca="false">IF(G188="","",G188+H188)</f>
        <v/>
      </c>
    </row>
    <row r="189" customFormat="false" ht="15" hidden="false" customHeight="false" outlineLevel="0" collapsed="false">
      <c r="C189" s="41" t="str">
        <f aca="false">IF(A189="","",TEXT(A189,"mmm-yyyy"))</f>
        <v/>
      </c>
      <c r="I189" s="47" t="str">
        <f aca="false">IF(G189="","",G189+H189)</f>
        <v/>
      </c>
    </row>
    <row r="190" customFormat="false" ht="15" hidden="false" customHeight="false" outlineLevel="0" collapsed="false">
      <c r="C190" s="41" t="str">
        <f aca="false">IF(A190="","",TEXT(A190,"mmm-yyyy"))</f>
        <v/>
      </c>
      <c r="I190" s="47" t="str">
        <f aca="false">IF(G190="","",G190+H190)</f>
        <v/>
      </c>
    </row>
    <row r="191" customFormat="false" ht="15" hidden="false" customHeight="false" outlineLevel="0" collapsed="false">
      <c r="C191" s="41" t="str">
        <f aca="false">IF(A191="","",TEXT(A191,"mmm-yyyy"))</f>
        <v/>
      </c>
      <c r="I191" s="47" t="str">
        <f aca="false">IF(G191="","",G191+H191)</f>
        <v/>
      </c>
    </row>
    <row r="192" customFormat="false" ht="15" hidden="false" customHeight="false" outlineLevel="0" collapsed="false">
      <c r="C192" s="41" t="str">
        <f aca="false">IF(A192="","",TEXT(A192,"mmm-yyyy"))</f>
        <v/>
      </c>
      <c r="I192" s="47" t="str">
        <f aca="false">IF(G192="","",G192+H192)</f>
        <v/>
      </c>
    </row>
    <row r="193" customFormat="false" ht="15" hidden="false" customHeight="false" outlineLevel="0" collapsed="false">
      <c r="C193" s="41" t="str">
        <f aca="false">IF(A193="","",TEXT(A193,"mmm-yyyy"))</f>
        <v/>
      </c>
      <c r="I193" s="47" t="str">
        <f aca="false">IF(G193="","",G193+H193)</f>
        <v/>
      </c>
    </row>
    <row r="194" customFormat="false" ht="15" hidden="false" customHeight="false" outlineLevel="0" collapsed="false">
      <c r="C194" s="41" t="str">
        <f aca="false">IF(A194="","",TEXT(A194,"mmm-yyyy"))</f>
        <v/>
      </c>
      <c r="I194" s="47" t="str">
        <f aca="false">IF(G194="","",G194+H194)</f>
        <v/>
      </c>
    </row>
    <row r="195" customFormat="false" ht="15" hidden="false" customHeight="false" outlineLevel="0" collapsed="false">
      <c r="C195" s="41" t="str">
        <f aca="false">IF(A195="","",TEXT(A195,"mmm-yyyy"))</f>
        <v/>
      </c>
      <c r="I195" s="47" t="str">
        <f aca="false">IF(G195="","",G195+H195)</f>
        <v/>
      </c>
    </row>
    <row r="196" customFormat="false" ht="15" hidden="false" customHeight="false" outlineLevel="0" collapsed="false">
      <c r="C196" s="41" t="str">
        <f aca="false">IF(A196="","",TEXT(A196,"mmm-yyyy"))</f>
        <v/>
      </c>
      <c r="I196" s="47" t="str">
        <f aca="false">IF(G196="","",G196+H196)</f>
        <v/>
      </c>
    </row>
    <row r="197" customFormat="false" ht="15" hidden="false" customHeight="false" outlineLevel="0" collapsed="false">
      <c r="C197" s="41" t="str">
        <f aca="false">IF(A197="","",TEXT(A197,"mmm-yyyy"))</f>
        <v/>
      </c>
      <c r="I197" s="47" t="str">
        <f aca="false">IF(G197="","",G197+H197)</f>
        <v/>
      </c>
    </row>
    <row r="198" customFormat="false" ht="15" hidden="false" customHeight="false" outlineLevel="0" collapsed="false">
      <c r="C198" s="41" t="str">
        <f aca="false">IF(A198="","",TEXT(A198,"mmm-yyyy"))</f>
        <v/>
      </c>
      <c r="I198" s="47" t="str">
        <f aca="false">IF(G198="","",G198+H198)</f>
        <v/>
      </c>
    </row>
    <row r="199" customFormat="false" ht="15" hidden="false" customHeight="false" outlineLevel="0" collapsed="false">
      <c r="C199" s="41" t="str">
        <f aca="false">IF(A199="","",TEXT(A199,"mmm-yyyy"))</f>
        <v/>
      </c>
      <c r="I199" s="47" t="str">
        <f aca="false">IF(G199="","",G199+H199)</f>
        <v/>
      </c>
    </row>
    <row r="200" customFormat="false" ht="15" hidden="false" customHeight="false" outlineLevel="0" collapsed="false">
      <c r="C200" s="41" t="str">
        <f aca="false">IF(A200="","",TEXT(A200,"mmm-yyyy"))</f>
        <v/>
      </c>
      <c r="I200" s="47" t="str">
        <f aca="false">IF(G200="","",G200+H200)</f>
        <v/>
      </c>
    </row>
    <row r="201" customFormat="false" ht="15" hidden="false" customHeight="false" outlineLevel="0" collapsed="false">
      <c r="C201" s="41" t="str">
        <f aca="false">IF(A201="","",TEXT(A201,"mmm-yyyy"))</f>
        <v/>
      </c>
      <c r="I201" s="47" t="str">
        <f aca="false">IF(G201="","",G201+H201)</f>
        <v/>
      </c>
    </row>
    <row r="202" customFormat="false" ht="15" hidden="false" customHeight="false" outlineLevel="0" collapsed="false">
      <c r="C202" s="41" t="str">
        <f aca="false">IF(A202="","",TEXT(A202,"mmm-yyyy"))</f>
        <v/>
      </c>
      <c r="I202" s="47" t="str">
        <f aca="false">IF(G202="","",G202+H202)</f>
        <v/>
      </c>
    </row>
    <row r="203" customFormat="false" ht="15" hidden="false" customHeight="false" outlineLevel="0" collapsed="false">
      <c r="C203" s="41" t="str">
        <f aca="false">IF(A203="","",TEXT(A203,"mmm-yyyy"))</f>
        <v/>
      </c>
      <c r="I203" s="47" t="str">
        <f aca="false">IF(G203="","",G203+H203)</f>
        <v/>
      </c>
    </row>
    <row r="204" customFormat="false" ht="15" hidden="false" customHeight="false" outlineLevel="0" collapsed="false">
      <c r="C204" s="41" t="str">
        <f aca="false">IF(A204="","",TEXT(A204,"mmm-yyyy"))</f>
        <v/>
      </c>
      <c r="I204" s="47" t="str">
        <f aca="false">IF(G204="","",G204+H204)</f>
        <v/>
      </c>
    </row>
    <row r="205" customFormat="false" ht="15" hidden="false" customHeight="false" outlineLevel="0" collapsed="false">
      <c r="C205" s="41" t="str">
        <f aca="false">IF(A205="","",TEXT(A205,"mmm-yyyy"))</f>
        <v/>
      </c>
      <c r="I205" s="47" t="str">
        <f aca="false">IF(G205="","",G205+H205)</f>
        <v/>
      </c>
    </row>
    <row r="206" customFormat="false" ht="15" hidden="false" customHeight="false" outlineLevel="0" collapsed="false">
      <c r="C206" s="41" t="str">
        <f aca="false">IF(A206="","",TEXT(A206,"mmm-yyyy"))</f>
        <v/>
      </c>
      <c r="I206" s="47" t="str">
        <f aca="false">IF(G206="","",G206+H206)</f>
        <v/>
      </c>
    </row>
    <row r="207" customFormat="false" ht="15" hidden="false" customHeight="false" outlineLevel="0" collapsed="false">
      <c r="C207" s="41" t="str">
        <f aca="false">IF(A207="","",TEXT(A207,"mmm-yyyy"))</f>
        <v/>
      </c>
      <c r="I207" s="47" t="str">
        <f aca="false">IF(G207="","",G207+H207)</f>
        <v/>
      </c>
    </row>
    <row r="208" customFormat="false" ht="15" hidden="false" customHeight="false" outlineLevel="0" collapsed="false">
      <c r="C208" s="41" t="str">
        <f aca="false">IF(A208="","",TEXT(A208,"mmm-yyyy"))</f>
        <v/>
      </c>
      <c r="I208" s="47" t="str">
        <f aca="false">IF(G208="","",G208+H208)</f>
        <v/>
      </c>
    </row>
    <row r="209" customFormat="false" ht="15" hidden="false" customHeight="false" outlineLevel="0" collapsed="false">
      <c r="C209" s="41" t="str">
        <f aca="false">IF(A209="","",TEXT(A209,"mmm-yyyy"))</f>
        <v/>
      </c>
      <c r="I209" s="47" t="str">
        <f aca="false">IF(G209="","",G209+H209)</f>
        <v/>
      </c>
    </row>
    <row r="210" customFormat="false" ht="15" hidden="false" customHeight="false" outlineLevel="0" collapsed="false">
      <c r="C210" s="41" t="str">
        <f aca="false">IF(A210="","",TEXT(A210,"mmm-yyyy"))</f>
        <v/>
      </c>
      <c r="I210" s="47" t="str">
        <f aca="false">IF(G210="","",G210+H210)</f>
        <v/>
      </c>
    </row>
    <row r="211" customFormat="false" ht="15" hidden="false" customHeight="false" outlineLevel="0" collapsed="false">
      <c r="C211" s="41" t="str">
        <f aca="false">IF(A211="","",TEXT(A211,"mmm-yyyy"))</f>
        <v/>
      </c>
      <c r="I211" s="47" t="str">
        <f aca="false">IF(G211="","",G211+H211)</f>
        <v/>
      </c>
    </row>
    <row r="212" customFormat="false" ht="15" hidden="false" customHeight="false" outlineLevel="0" collapsed="false">
      <c r="C212" s="41" t="str">
        <f aca="false">IF(A212="","",TEXT(A212,"mmm-yyyy"))</f>
        <v/>
      </c>
      <c r="I212" s="47" t="str">
        <f aca="false">IF(G212="","",G212+H212)</f>
        <v/>
      </c>
    </row>
    <row r="213" customFormat="false" ht="15" hidden="false" customHeight="false" outlineLevel="0" collapsed="false">
      <c r="C213" s="41" t="str">
        <f aca="false">IF(A213="","",TEXT(A213,"mmm-yyyy"))</f>
        <v/>
      </c>
      <c r="I213" s="47" t="str">
        <f aca="false">IF(G213="","",G213+H213)</f>
        <v/>
      </c>
    </row>
    <row r="214" customFormat="false" ht="15" hidden="false" customHeight="false" outlineLevel="0" collapsed="false">
      <c r="C214" s="41" t="str">
        <f aca="false">IF(A214="","",TEXT(A214,"mmm-yyyy"))</f>
        <v/>
      </c>
      <c r="I214" s="47" t="str">
        <f aca="false">IF(G214="","",G214+H214)</f>
        <v/>
      </c>
    </row>
    <row r="215" customFormat="false" ht="15" hidden="false" customHeight="false" outlineLevel="0" collapsed="false">
      <c r="C215" s="41" t="str">
        <f aca="false">IF(A215="","",TEXT(A215,"mmm-yyyy"))</f>
        <v/>
      </c>
      <c r="I215" s="47" t="str">
        <f aca="false">IF(G215="","",G215+H215)</f>
        <v/>
      </c>
    </row>
    <row r="216" customFormat="false" ht="15" hidden="false" customHeight="false" outlineLevel="0" collapsed="false">
      <c r="C216" s="41" t="str">
        <f aca="false">IF(A216="","",TEXT(A216,"mmm-yyyy"))</f>
        <v/>
      </c>
      <c r="I216" s="47" t="str">
        <f aca="false">IF(G216="","",G216+H216)</f>
        <v/>
      </c>
    </row>
    <row r="217" customFormat="false" ht="15" hidden="false" customHeight="false" outlineLevel="0" collapsed="false">
      <c r="C217" s="41" t="str">
        <f aca="false">IF(A217="","",TEXT(A217,"mmm-yyyy"))</f>
        <v/>
      </c>
      <c r="I217" s="47" t="str">
        <f aca="false">IF(G217="","",G217+H217)</f>
        <v/>
      </c>
    </row>
    <row r="218" customFormat="false" ht="15" hidden="false" customHeight="false" outlineLevel="0" collapsed="false">
      <c r="C218" s="41" t="str">
        <f aca="false">IF(A218="","",TEXT(A218,"mmm-yyyy"))</f>
        <v/>
      </c>
      <c r="I218" s="47" t="str">
        <f aca="false">IF(G218="","",G218+H218)</f>
        <v/>
      </c>
    </row>
    <row r="219" customFormat="false" ht="15" hidden="false" customHeight="false" outlineLevel="0" collapsed="false">
      <c r="C219" s="41" t="str">
        <f aca="false">IF(A219="","",TEXT(A219,"mmm-yyyy"))</f>
        <v/>
      </c>
      <c r="I219" s="47" t="str">
        <f aca="false">IF(G219="","",G219+H219)</f>
        <v/>
      </c>
    </row>
    <row r="220" customFormat="false" ht="15" hidden="false" customHeight="false" outlineLevel="0" collapsed="false">
      <c r="C220" s="41" t="str">
        <f aca="false">IF(A220="","",TEXT(A220,"mmm-yyyy"))</f>
        <v/>
      </c>
      <c r="I220" s="47" t="str">
        <f aca="false">IF(G220="","",G220+H220)</f>
        <v/>
      </c>
    </row>
    <row r="221" customFormat="false" ht="15" hidden="false" customHeight="false" outlineLevel="0" collapsed="false">
      <c r="C221" s="41" t="str">
        <f aca="false">IF(A221="","",TEXT(A221,"mmm-yyyy"))</f>
        <v/>
      </c>
      <c r="I221" s="47" t="str">
        <f aca="false">IF(G221="","",G221+H221)</f>
        <v/>
      </c>
    </row>
    <row r="222" customFormat="false" ht="15" hidden="false" customHeight="false" outlineLevel="0" collapsed="false">
      <c r="C222" s="41" t="str">
        <f aca="false">IF(A222="","",TEXT(A222,"mmm-yyyy"))</f>
        <v/>
      </c>
      <c r="I222" s="47" t="str">
        <f aca="false">IF(G222="","",G222+H222)</f>
        <v/>
      </c>
    </row>
    <row r="223" customFormat="false" ht="15" hidden="false" customHeight="false" outlineLevel="0" collapsed="false">
      <c r="C223" s="41" t="str">
        <f aca="false">IF(A223="","",TEXT(A223,"mmm-yyyy"))</f>
        <v/>
      </c>
      <c r="I223" s="47" t="str">
        <f aca="false">IF(G223="","",G223+H223)</f>
        <v/>
      </c>
    </row>
    <row r="224" customFormat="false" ht="15" hidden="false" customHeight="false" outlineLevel="0" collapsed="false">
      <c r="C224" s="41" t="str">
        <f aca="false">IF(A224="","",TEXT(A224,"mmm-yyyy"))</f>
        <v/>
      </c>
      <c r="I224" s="47" t="str">
        <f aca="false">IF(G224="","",G224+H224)</f>
        <v/>
      </c>
    </row>
    <row r="225" customFormat="false" ht="15" hidden="false" customHeight="false" outlineLevel="0" collapsed="false">
      <c r="C225" s="41" t="str">
        <f aca="false">IF(A225="","",TEXT(A225,"mmm-yyyy"))</f>
        <v/>
      </c>
      <c r="I225" s="47" t="str">
        <f aca="false">IF(G225="","",G225+H225)</f>
        <v/>
      </c>
    </row>
    <row r="226" customFormat="false" ht="15" hidden="false" customHeight="false" outlineLevel="0" collapsed="false">
      <c r="C226" s="41" t="str">
        <f aca="false">IF(A226="","",TEXT(A226,"mmm-yyyy"))</f>
        <v/>
      </c>
      <c r="I226" s="47" t="str">
        <f aca="false">IF(G226="","",G226+H226)</f>
        <v/>
      </c>
    </row>
    <row r="227" customFormat="false" ht="15" hidden="false" customHeight="false" outlineLevel="0" collapsed="false">
      <c r="C227" s="41" t="str">
        <f aca="false">IF(A227="","",TEXT(A227,"mmm-yyyy"))</f>
        <v/>
      </c>
      <c r="I227" s="47" t="str">
        <f aca="false">IF(G227="","",G227+H227)</f>
        <v/>
      </c>
    </row>
    <row r="228" customFormat="false" ht="15" hidden="false" customHeight="false" outlineLevel="0" collapsed="false">
      <c r="C228" s="41" t="str">
        <f aca="false">IF(A228="","",TEXT(A228,"mmm-yyyy"))</f>
        <v/>
      </c>
      <c r="I228" s="47" t="str">
        <f aca="false">IF(G228="","",G228+H228)</f>
        <v/>
      </c>
    </row>
    <row r="229" customFormat="false" ht="15" hidden="false" customHeight="false" outlineLevel="0" collapsed="false">
      <c r="C229" s="41" t="str">
        <f aca="false">IF(A229="","",TEXT(A229,"mmm-yyyy"))</f>
        <v/>
      </c>
      <c r="I229" s="47" t="str">
        <f aca="false">IF(G229="","",G229+H229)</f>
        <v/>
      </c>
    </row>
    <row r="230" customFormat="false" ht="15" hidden="false" customHeight="false" outlineLevel="0" collapsed="false">
      <c r="C230" s="41" t="str">
        <f aca="false">IF(A230="","",TEXT(A230,"mmm-yyyy"))</f>
        <v/>
      </c>
      <c r="I230" s="47" t="str">
        <f aca="false">IF(G230="","",G230+H230)</f>
        <v/>
      </c>
    </row>
    <row r="231" customFormat="false" ht="15" hidden="false" customHeight="false" outlineLevel="0" collapsed="false">
      <c r="C231" s="41" t="str">
        <f aca="false">IF(A231="","",TEXT(A231,"mmm-yyyy"))</f>
        <v/>
      </c>
      <c r="I231" s="47" t="str">
        <f aca="false">IF(G231="","",G231+H231)</f>
        <v/>
      </c>
    </row>
    <row r="232" customFormat="false" ht="15" hidden="false" customHeight="false" outlineLevel="0" collapsed="false">
      <c r="C232" s="41" t="str">
        <f aca="false">IF(A232="","",TEXT(A232,"mmm-yyyy"))</f>
        <v/>
      </c>
      <c r="I232" s="47" t="str">
        <f aca="false">IF(G232="","",G232+H232)</f>
        <v/>
      </c>
    </row>
    <row r="233" customFormat="false" ht="15" hidden="false" customHeight="false" outlineLevel="0" collapsed="false">
      <c r="C233" s="41" t="str">
        <f aca="false">IF(A233="","",TEXT(A233,"mmm-yyyy"))</f>
        <v/>
      </c>
      <c r="I233" s="47" t="str">
        <f aca="false">IF(G233="","",G233+H233)</f>
        <v/>
      </c>
    </row>
    <row r="234" customFormat="false" ht="15" hidden="false" customHeight="false" outlineLevel="0" collapsed="false">
      <c r="C234" s="41" t="str">
        <f aca="false">IF(A234="","",TEXT(A234,"mmm-yyyy"))</f>
        <v/>
      </c>
      <c r="I234" s="47" t="str">
        <f aca="false">IF(G234="","",G234+H234)</f>
        <v/>
      </c>
    </row>
    <row r="235" customFormat="false" ht="15" hidden="false" customHeight="false" outlineLevel="0" collapsed="false">
      <c r="C235" s="41" t="str">
        <f aca="false">IF(A235="","",TEXT(A235,"mmm-yyyy"))</f>
        <v/>
      </c>
      <c r="I235" s="47" t="str">
        <f aca="false">IF(G235="","",G235+H235)</f>
        <v/>
      </c>
    </row>
    <row r="236" customFormat="false" ht="15" hidden="false" customHeight="false" outlineLevel="0" collapsed="false">
      <c r="C236" s="41" t="str">
        <f aca="false">IF(A236="","",TEXT(A236,"mmm-yyyy"))</f>
        <v/>
      </c>
      <c r="I236" s="47" t="str">
        <f aca="false">IF(G236="","",G236+H236)</f>
        <v/>
      </c>
    </row>
    <row r="237" customFormat="false" ht="15" hidden="false" customHeight="false" outlineLevel="0" collapsed="false">
      <c r="C237" s="41" t="str">
        <f aca="false">IF(A237="","",TEXT(A237,"mmm-yyyy"))</f>
        <v/>
      </c>
      <c r="I237" s="47" t="str">
        <f aca="false">IF(G237="","",G237+H237)</f>
        <v/>
      </c>
    </row>
    <row r="238" customFormat="false" ht="15" hidden="false" customHeight="false" outlineLevel="0" collapsed="false">
      <c r="C238" s="41" t="str">
        <f aca="false">IF(A238="","",TEXT(A238,"mmm-yyyy"))</f>
        <v/>
      </c>
      <c r="I238" s="47" t="str">
        <f aca="false">IF(G238="","",G238+H238)</f>
        <v/>
      </c>
    </row>
    <row r="239" customFormat="false" ht="15" hidden="false" customHeight="false" outlineLevel="0" collapsed="false">
      <c r="C239" s="41" t="str">
        <f aca="false">IF(A239="","",TEXT(A239,"mmm-yyyy"))</f>
        <v/>
      </c>
      <c r="I239" s="47" t="str">
        <f aca="false">IF(G239="","",G239+H239)</f>
        <v/>
      </c>
    </row>
    <row r="240" customFormat="false" ht="15" hidden="false" customHeight="false" outlineLevel="0" collapsed="false">
      <c r="C240" s="41" t="str">
        <f aca="false">IF(A240="","",TEXT(A240,"mmm-yyyy"))</f>
        <v/>
      </c>
      <c r="I240" s="47" t="str">
        <f aca="false">IF(G240="","",G240+H240)</f>
        <v/>
      </c>
    </row>
    <row r="241" customFormat="false" ht="15" hidden="false" customHeight="false" outlineLevel="0" collapsed="false">
      <c r="C241" s="41" t="str">
        <f aca="false">IF(A241="","",TEXT(A241,"mmm-yyyy"))</f>
        <v/>
      </c>
      <c r="I241" s="47" t="str">
        <f aca="false">IF(G241="","",G241+H241)</f>
        <v/>
      </c>
    </row>
    <row r="242" customFormat="false" ht="15" hidden="false" customHeight="false" outlineLevel="0" collapsed="false">
      <c r="C242" s="41" t="str">
        <f aca="false">IF(A242="","",TEXT(A242,"mmm-yyyy"))</f>
        <v/>
      </c>
      <c r="I242" s="47" t="str">
        <f aca="false">IF(G242="","",G242+H242)</f>
        <v/>
      </c>
    </row>
    <row r="243" customFormat="false" ht="15" hidden="false" customHeight="false" outlineLevel="0" collapsed="false">
      <c r="C243" s="41" t="str">
        <f aca="false">IF(A243="","",TEXT(A243,"mmm-yyyy"))</f>
        <v/>
      </c>
      <c r="I243" s="47" t="str">
        <f aca="false">IF(G243="","",G243+H243)</f>
        <v/>
      </c>
    </row>
    <row r="244" customFormat="false" ht="15" hidden="false" customHeight="false" outlineLevel="0" collapsed="false">
      <c r="C244" s="41" t="str">
        <f aca="false">IF(A244="","",TEXT(A244,"mmm-yyyy"))</f>
        <v/>
      </c>
      <c r="I244" s="47" t="str">
        <f aca="false">IF(G244="","",G244+H244)</f>
        <v/>
      </c>
    </row>
    <row r="245" customFormat="false" ht="15" hidden="false" customHeight="false" outlineLevel="0" collapsed="false">
      <c r="C245" s="41" t="str">
        <f aca="false">IF(A245="","",TEXT(A245,"mmm-yyyy"))</f>
        <v/>
      </c>
      <c r="I245" s="47" t="str">
        <f aca="false">IF(G245="","",G245+H245)</f>
        <v/>
      </c>
    </row>
    <row r="246" customFormat="false" ht="15" hidden="false" customHeight="false" outlineLevel="0" collapsed="false">
      <c r="C246" s="41" t="str">
        <f aca="false">IF(A246="","",TEXT(A246,"mmm-yyyy"))</f>
        <v/>
      </c>
      <c r="I246" s="47" t="str">
        <f aca="false">IF(G246="","",G246+H246)</f>
        <v/>
      </c>
    </row>
    <row r="247" customFormat="false" ht="15" hidden="false" customHeight="false" outlineLevel="0" collapsed="false">
      <c r="C247" s="41" t="str">
        <f aca="false">IF(A247="","",TEXT(A247,"mmm-yyyy"))</f>
        <v/>
      </c>
      <c r="I247" s="47" t="str">
        <f aca="false">IF(G247="","",G247+H247)</f>
        <v/>
      </c>
    </row>
    <row r="248" customFormat="false" ht="15" hidden="false" customHeight="false" outlineLevel="0" collapsed="false">
      <c r="C248" s="41" t="str">
        <f aca="false">IF(A248="","",TEXT(A248,"mmm-yyyy"))</f>
        <v/>
      </c>
      <c r="I248" s="47" t="str">
        <f aca="false">IF(G248="","",G248+H248)</f>
        <v/>
      </c>
    </row>
    <row r="249" customFormat="false" ht="15" hidden="false" customHeight="false" outlineLevel="0" collapsed="false">
      <c r="C249" s="41" t="str">
        <f aca="false">IF(A249="","",TEXT(A249,"mmm-yyyy"))</f>
        <v/>
      </c>
      <c r="I249" s="47" t="str">
        <f aca="false">IF(G249="","",G249+H249)</f>
        <v/>
      </c>
    </row>
    <row r="250" customFormat="false" ht="15" hidden="false" customHeight="false" outlineLevel="0" collapsed="false">
      <c r="C250" s="41" t="str">
        <f aca="false">IF(A250="","",TEXT(A250,"mmm-yyyy"))</f>
        <v/>
      </c>
      <c r="I250" s="47" t="str">
        <f aca="false">IF(G250="","",G250+H250)</f>
        <v/>
      </c>
    </row>
    <row r="251" customFormat="false" ht="15" hidden="false" customHeight="false" outlineLevel="0" collapsed="false">
      <c r="C251" s="41" t="str">
        <f aca="false">IF(A251="","",TEXT(A251,"mmm-yyyy"))</f>
        <v/>
      </c>
      <c r="I251" s="47" t="str">
        <f aca="false">IF(G251="","",G251+H251)</f>
        <v/>
      </c>
    </row>
    <row r="252" customFormat="false" ht="15" hidden="false" customHeight="false" outlineLevel="0" collapsed="false">
      <c r="C252" s="41" t="str">
        <f aca="false">IF(A252="","",TEXT(A252,"mmm-yyyy"))</f>
        <v/>
      </c>
      <c r="I252" s="47" t="str">
        <f aca="false">IF(G252="","",G252+H252)</f>
        <v/>
      </c>
    </row>
    <row r="253" customFormat="false" ht="15" hidden="false" customHeight="false" outlineLevel="0" collapsed="false">
      <c r="C253" s="41" t="str">
        <f aca="false">IF(A253="","",TEXT(A253,"mmm-yyyy"))</f>
        <v/>
      </c>
      <c r="I253" s="47" t="str">
        <f aca="false">IF(G253="","",G253+H253)</f>
        <v/>
      </c>
    </row>
    <row r="254" customFormat="false" ht="15" hidden="false" customHeight="false" outlineLevel="0" collapsed="false">
      <c r="C254" s="41" t="str">
        <f aca="false">IF(A254="","",TEXT(A254,"mmm-yyyy"))</f>
        <v/>
      </c>
      <c r="I254" s="47" t="str">
        <f aca="false">IF(G254="","",G254+H254)</f>
        <v/>
      </c>
    </row>
    <row r="255" customFormat="false" ht="15" hidden="false" customHeight="false" outlineLevel="0" collapsed="false">
      <c r="C255" s="41" t="str">
        <f aca="false">IF(A255="","",TEXT(A255,"mmm-yyyy"))</f>
        <v/>
      </c>
      <c r="I255" s="47" t="str">
        <f aca="false">IF(G255="","",G255+H255)</f>
        <v/>
      </c>
    </row>
    <row r="256" customFormat="false" ht="15" hidden="false" customHeight="false" outlineLevel="0" collapsed="false">
      <c r="C256" s="41" t="str">
        <f aca="false">IF(A256="","",TEXT(A256,"mmm-yyyy"))</f>
        <v/>
      </c>
      <c r="I256" s="47" t="str">
        <f aca="false">IF(G256="","",G256+H256)</f>
        <v/>
      </c>
    </row>
    <row r="257" customFormat="false" ht="15" hidden="false" customHeight="false" outlineLevel="0" collapsed="false">
      <c r="C257" s="41" t="str">
        <f aca="false">IF(A257="","",TEXT(A257,"mmm-yyyy"))</f>
        <v/>
      </c>
      <c r="I257" s="47" t="str">
        <f aca="false">IF(G257="","",G257+H257)</f>
        <v/>
      </c>
    </row>
    <row r="258" customFormat="false" ht="15" hidden="false" customHeight="false" outlineLevel="0" collapsed="false">
      <c r="C258" s="41" t="str">
        <f aca="false">IF(A258="","",TEXT(A258,"mmm-yyyy"))</f>
        <v/>
      </c>
      <c r="I258" s="47" t="str">
        <f aca="false">IF(G258="","",G258+H258)</f>
        <v/>
      </c>
    </row>
    <row r="259" customFormat="false" ht="15" hidden="false" customHeight="false" outlineLevel="0" collapsed="false">
      <c r="C259" s="41" t="str">
        <f aca="false">IF(A259="","",TEXT(A259,"mmm-yyyy"))</f>
        <v/>
      </c>
      <c r="I259" s="47" t="str">
        <f aca="false">IF(G259="","",G259+H259)</f>
        <v/>
      </c>
    </row>
    <row r="260" customFormat="false" ht="15" hidden="false" customHeight="false" outlineLevel="0" collapsed="false">
      <c r="C260" s="41" t="str">
        <f aca="false">IF(A260="","",TEXT(A260,"mmm-yyyy"))</f>
        <v/>
      </c>
      <c r="I260" s="47" t="str">
        <f aca="false">IF(G260="","",G260+H260)</f>
        <v/>
      </c>
    </row>
    <row r="261" customFormat="false" ht="15" hidden="false" customHeight="false" outlineLevel="0" collapsed="false">
      <c r="C261" s="41" t="str">
        <f aca="false">IF(A261="","",TEXT(A261,"mmm-yyyy"))</f>
        <v/>
      </c>
      <c r="I261" s="47" t="str">
        <f aca="false">IF(G261="","",G261+H261)</f>
        <v/>
      </c>
    </row>
    <row r="262" customFormat="false" ht="15" hidden="false" customHeight="false" outlineLevel="0" collapsed="false">
      <c r="C262" s="41" t="str">
        <f aca="false">IF(A262="","",TEXT(A262,"mmm-yyyy"))</f>
        <v/>
      </c>
      <c r="I262" s="47" t="str">
        <f aca="false">IF(G262="","",G262+H262)</f>
        <v/>
      </c>
    </row>
    <row r="263" customFormat="false" ht="15" hidden="false" customHeight="false" outlineLevel="0" collapsed="false">
      <c r="C263" s="41" t="str">
        <f aca="false">IF(A263="","",TEXT(A263,"mmm-yyyy"))</f>
        <v/>
      </c>
      <c r="I263" s="47" t="str">
        <f aca="false">IF(G263="","",G263+H263)</f>
        <v/>
      </c>
    </row>
    <row r="264" customFormat="false" ht="15" hidden="false" customHeight="false" outlineLevel="0" collapsed="false">
      <c r="C264" s="41" t="str">
        <f aca="false">IF(A264="","",TEXT(A264,"mmm-yyyy"))</f>
        <v/>
      </c>
      <c r="I264" s="47" t="str">
        <f aca="false">IF(G264="","",G264+H264)</f>
        <v/>
      </c>
    </row>
    <row r="265" customFormat="false" ht="15" hidden="false" customHeight="false" outlineLevel="0" collapsed="false">
      <c r="C265" s="41" t="str">
        <f aca="false">IF(A265="","",TEXT(A265,"mmm-yyyy"))</f>
        <v/>
      </c>
      <c r="I265" s="47" t="str">
        <f aca="false">IF(G265="","",G265+H265)</f>
        <v/>
      </c>
    </row>
    <row r="266" customFormat="false" ht="15" hidden="false" customHeight="false" outlineLevel="0" collapsed="false">
      <c r="C266" s="41" t="str">
        <f aca="false">IF(A266="","",TEXT(A266,"mmm-yyyy"))</f>
        <v/>
      </c>
      <c r="I266" s="47" t="str">
        <f aca="false">IF(G266="","",G266+H266)</f>
        <v/>
      </c>
    </row>
    <row r="267" customFormat="false" ht="15" hidden="false" customHeight="false" outlineLevel="0" collapsed="false">
      <c r="C267" s="41" t="str">
        <f aca="false">IF(A267="","",TEXT(A267,"mmm-yyyy"))</f>
        <v/>
      </c>
      <c r="I267" s="47" t="str">
        <f aca="false">IF(G267="","",G267+H267)</f>
        <v/>
      </c>
    </row>
    <row r="268" customFormat="false" ht="15" hidden="false" customHeight="false" outlineLevel="0" collapsed="false">
      <c r="C268" s="41" t="str">
        <f aca="false">IF(A268="","",TEXT(A268,"mmm-yyyy"))</f>
        <v/>
      </c>
      <c r="I268" s="47" t="str">
        <f aca="false">IF(G268="","",G268+H268)</f>
        <v/>
      </c>
    </row>
    <row r="269" customFormat="false" ht="15" hidden="false" customHeight="false" outlineLevel="0" collapsed="false">
      <c r="C269" s="41" t="str">
        <f aca="false">IF(A269="","",TEXT(A269,"mmm-yyyy"))</f>
        <v/>
      </c>
      <c r="I269" s="47" t="str">
        <f aca="false">IF(G269="","",G269+H269)</f>
        <v/>
      </c>
    </row>
    <row r="270" customFormat="false" ht="15" hidden="false" customHeight="false" outlineLevel="0" collapsed="false">
      <c r="C270" s="41" t="str">
        <f aca="false">IF(A270="","",TEXT(A270,"mmm-yyyy"))</f>
        <v/>
      </c>
      <c r="I270" s="47" t="str">
        <f aca="false">IF(G270="","",G270+H270)</f>
        <v/>
      </c>
    </row>
    <row r="271" customFormat="false" ht="15" hidden="false" customHeight="false" outlineLevel="0" collapsed="false">
      <c r="C271" s="41" t="str">
        <f aca="false">IF(A271="","",TEXT(A271,"mmm-yyyy"))</f>
        <v/>
      </c>
      <c r="I271" s="47" t="str">
        <f aca="false">IF(G271="","",G271+H271)</f>
        <v/>
      </c>
    </row>
    <row r="272" customFormat="false" ht="15" hidden="false" customHeight="false" outlineLevel="0" collapsed="false">
      <c r="C272" s="41" t="str">
        <f aca="false">IF(A272="","",TEXT(A272,"mmm-yyyy"))</f>
        <v/>
      </c>
      <c r="I272" s="47" t="str">
        <f aca="false">IF(G272="","",G272+H272)</f>
        <v/>
      </c>
    </row>
    <row r="273" customFormat="false" ht="15" hidden="false" customHeight="false" outlineLevel="0" collapsed="false">
      <c r="C273" s="41" t="str">
        <f aca="false">IF(A273="","",TEXT(A273,"mmm-yyyy"))</f>
        <v/>
      </c>
      <c r="I273" s="47" t="str">
        <f aca="false">IF(G273="","",G273+H273)</f>
        <v/>
      </c>
    </row>
    <row r="274" customFormat="false" ht="15" hidden="false" customHeight="false" outlineLevel="0" collapsed="false">
      <c r="C274" s="41" t="str">
        <f aca="false">IF(A274="","",TEXT(A274,"mmm-yyyy"))</f>
        <v/>
      </c>
      <c r="I274" s="47" t="str">
        <f aca="false">IF(G274="","",G274+H274)</f>
        <v/>
      </c>
    </row>
    <row r="275" customFormat="false" ht="15" hidden="false" customHeight="false" outlineLevel="0" collapsed="false">
      <c r="C275" s="41" t="str">
        <f aca="false">IF(A275="","",TEXT(A275,"mmm-yyyy"))</f>
        <v/>
      </c>
      <c r="I275" s="47" t="str">
        <f aca="false">IF(G275="","",G275+H275)</f>
        <v/>
      </c>
    </row>
    <row r="276" customFormat="false" ht="15" hidden="false" customHeight="false" outlineLevel="0" collapsed="false">
      <c r="C276" s="41" t="str">
        <f aca="false">IF(A276="","",TEXT(A276,"mmm-yyyy"))</f>
        <v/>
      </c>
      <c r="I276" s="47" t="str">
        <f aca="false">IF(G276="","",G276+H276)</f>
        <v/>
      </c>
    </row>
    <row r="277" customFormat="false" ht="15" hidden="false" customHeight="false" outlineLevel="0" collapsed="false">
      <c r="C277" s="41" t="str">
        <f aca="false">IF(A277="","",TEXT(A277,"mmm-yyyy"))</f>
        <v/>
      </c>
      <c r="I277" s="47" t="str">
        <f aca="false">IF(G277="","",G277+H277)</f>
        <v/>
      </c>
    </row>
    <row r="278" customFormat="false" ht="15" hidden="false" customHeight="false" outlineLevel="0" collapsed="false">
      <c r="C278" s="41" t="str">
        <f aca="false">IF(A278="","",TEXT(A278,"mmm-yyyy"))</f>
        <v/>
      </c>
      <c r="I278" s="47" t="str">
        <f aca="false">IF(G278="","",G278+H278)</f>
        <v/>
      </c>
    </row>
    <row r="279" customFormat="false" ht="15" hidden="false" customHeight="false" outlineLevel="0" collapsed="false">
      <c r="C279" s="41" t="str">
        <f aca="false">IF(A279="","",TEXT(A279,"mmm-yyyy"))</f>
        <v/>
      </c>
      <c r="I279" s="47" t="str">
        <f aca="false">IF(G279="","",G279+H279)</f>
        <v/>
      </c>
    </row>
    <row r="280" customFormat="false" ht="15" hidden="false" customHeight="false" outlineLevel="0" collapsed="false">
      <c r="C280" s="41" t="str">
        <f aca="false">IF(A280="","",TEXT(A280,"mmm-yyyy"))</f>
        <v/>
      </c>
      <c r="I280" s="47" t="str">
        <f aca="false">IF(G280="","",G280+H280)</f>
        <v/>
      </c>
    </row>
    <row r="281" customFormat="false" ht="15" hidden="false" customHeight="false" outlineLevel="0" collapsed="false">
      <c r="C281" s="41" t="str">
        <f aca="false">IF(A281="","",TEXT(A281,"mmm-yyyy"))</f>
        <v/>
      </c>
      <c r="I281" s="47" t="str">
        <f aca="false">IF(G281="","",G281+H281)</f>
        <v/>
      </c>
    </row>
    <row r="282" customFormat="false" ht="15" hidden="false" customHeight="false" outlineLevel="0" collapsed="false">
      <c r="C282" s="41" t="str">
        <f aca="false">IF(A282="","",TEXT(A282,"mmm-yyyy"))</f>
        <v/>
      </c>
      <c r="I282" s="47" t="str">
        <f aca="false">IF(G282="","",G282+H282)</f>
        <v/>
      </c>
    </row>
    <row r="283" customFormat="false" ht="15" hidden="false" customHeight="false" outlineLevel="0" collapsed="false">
      <c r="C283" s="41" t="str">
        <f aca="false">IF(A283="","",TEXT(A283,"mmm-yyyy"))</f>
        <v/>
      </c>
      <c r="I283" s="47" t="str">
        <f aca="false">IF(G283="","",G283+H283)</f>
        <v/>
      </c>
    </row>
    <row r="284" customFormat="false" ht="15" hidden="false" customHeight="false" outlineLevel="0" collapsed="false">
      <c r="C284" s="41" t="str">
        <f aca="false">IF(A284="","",TEXT(A284,"mmm-yyyy"))</f>
        <v/>
      </c>
      <c r="I284" s="47" t="str">
        <f aca="false">IF(G284="","",G284+H284)</f>
        <v/>
      </c>
    </row>
    <row r="285" customFormat="false" ht="15" hidden="false" customHeight="false" outlineLevel="0" collapsed="false">
      <c r="C285" s="41" t="str">
        <f aca="false">IF(A285="","",TEXT(A285,"mmm-yyyy"))</f>
        <v/>
      </c>
      <c r="I285" s="47" t="str">
        <f aca="false">IF(G285="","",G285+H285)</f>
        <v/>
      </c>
    </row>
    <row r="286" customFormat="false" ht="15" hidden="false" customHeight="false" outlineLevel="0" collapsed="false">
      <c r="C286" s="41" t="str">
        <f aca="false">IF(A286="","",TEXT(A286,"mmm-yyyy"))</f>
        <v/>
      </c>
      <c r="I286" s="47" t="str">
        <f aca="false">IF(G286="","",G286+H286)</f>
        <v/>
      </c>
    </row>
    <row r="287" customFormat="false" ht="15" hidden="false" customHeight="false" outlineLevel="0" collapsed="false">
      <c r="C287" s="41" t="str">
        <f aca="false">IF(A287="","",TEXT(A287,"mmm-yyyy"))</f>
        <v/>
      </c>
      <c r="I287" s="47" t="str">
        <f aca="false">IF(G287="","",G287+H287)</f>
        <v/>
      </c>
    </row>
    <row r="288" customFormat="false" ht="15" hidden="false" customHeight="false" outlineLevel="0" collapsed="false">
      <c r="C288" s="41" t="str">
        <f aca="false">IF(A288="","",TEXT(A288,"mmm-yyyy"))</f>
        <v/>
      </c>
      <c r="I288" s="47" t="str">
        <f aca="false">IF(G288="","",G288+H288)</f>
        <v/>
      </c>
    </row>
    <row r="289" customFormat="false" ht="15" hidden="false" customHeight="false" outlineLevel="0" collapsed="false">
      <c r="C289" s="41" t="str">
        <f aca="false">IF(A289="","",TEXT(A289,"mmm-yyyy"))</f>
        <v/>
      </c>
      <c r="I289" s="47" t="str">
        <f aca="false">IF(G289="","",G289+H289)</f>
        <v/>
      </c>
    </row>
    <row r="290" customFormat="false" ht="15" hidden="false" customHeight="false" outlineLevel="0" collapsed="false">
      <c r="C290" s="41" t="str">
        <f aca="false">IF(A290="","",TEXT(A290,"mmm-yyyy"))</f>
        <v/>
      </c>
      <c r="I290" s="47" t="str">
        <f aca="false">IF(G290="","",G290+H290)</f>
        <v/>
      </c>
    </row>
    <row r="291" customFormat="false" ht="15" hidden="false" customHeight="false" outlineLevel="0" collapsed="false">
      <c r="C291" s="41" t="str">
        <f aca="false">IF(A291="","",TEXT(A291,"mmm-yyyy"))</f>
        <v/>
      </c>
      <c r="I291" s="47" t="str">
        <f aca="false">IF(G291="","",G291+H291)</f>
        <v/>
      </c>
    </row>
    <row r="292" customFormat="false" ht="15" hidden="false" customHeight="false" outlineLevel="0" collapsed="false">
      <c r="C292" s="41" t="str">
        <f aca="false">IF(A292="","",TEXT(A292,"mmm-yyyy"))</f>
        <v/>
      </c>
      <c r="I292" s="47" t="str">
        <f aca="false">IF(G292="","",G292+H292)</f>
        <v/>
      </c>
    </row>
    <row r="293" customFormat="false" ht="15" hidden="false" customHeight="false" outlineLevel="0" collapsed="false">
      <c r="C293" s="41" t="str">
        <f aca="false">IF(A293="","",TEXT(A293,"mmm-yyyy"))</f>
        <v/>
      </c>
      <c r="I293" s="47" t="str">
        <f aca="false">IF(G293="","",G293+H293)</f>
        <v/>
      </c>
    </row>
    <row r="294" customFormat="false" ht="15" hidden="false" customHeight="false" outlineLevel="0" collapsed="false">
      <c r="C294" s="41" t="str">
        <f aca="false">IF(A294="","",TEXT(A294,"mmm-yyyy"))</f>
        <v/>
      </c>
      <c r="I294" s="47" t="str">
        <f aca="false">IF(G294="","",G294+H294)</f>
        <v/>
      </c>
    </row>
    <row r="295" customFormat="false" ht="15" hidden="false" customHeight="false" outlineLevel="0" collapsed="false">
      <c r="C295" s="41" t="str">
        <f aca="false">IF(A295="","",TEXT(A295,"mmm-yyyy"))</f>
        <v/>
      </c>
      <c r="I295" s="47" t="str">
        <f aca="false">IF(G295="","",G295+H295)</f>
        <v/>
      </c>
    </row>
    <row r="296" customFormat="false" ht="15" hidden="false" customHeight="false" outlineLevel="0" collapsed="false">
      <c r="C296" s="41" t="str">
        <f aca="false">IF(A296="","",TEXT(A296,"mmm-yyyy"))</f>
        <v/>
      </c>
      <c r="I296" s="47" t="str">
        <f aca="false">IF(G296="","",G296+H296)</f>
        <v/>
      </c>
    </row>
    <row r="297" customFormat="false" ht="15" hidden="false" customHeight="false" outlineLevel="0" collapsed="false">
      <c r="C297" s="41" t="str">
        <f aca="false">IF(A297="","",TEXT(A297,"mmm-yyyy"))</f>
        <v/>
      </c>
      <c r="I297" s="47" t="str">
        <f aca="false">IF(G297="","",G297+H297)</f>
        <v/>
      </c>
    </row>
    <row r="298" customFormat="false" ht="15" hidden="false" customHeight="false" outlineLevel="0" collapsed="false">
      <c r="C298" s="41" t="str">
        <f aca="false">IF(A298="","",TEXT(A298,"mmm-yyyy"))</f>
        <v/>
      </c>
      <c r="I298" s="47" t="str">
        <f aca="false">IF(G298="","",G298+H298)</f>
        <v/>
      </c>
    </row>
    <row r="299" customFormat="false" ht="15" hidden="false" customHeight="false" outlineLevel="0" collapsed="false">
      <c r="C299" s="41" t="str">
        <f aca="false">IF(A299="","",TEXT(A299,"mmm-yyyy"))</f>
        <v/>
      </c>
      <c r="I299" s="47" t="str">
        <f aca="false">IF(G299="","",G299+H299)</f>
        <v/>
      </c>
    </row>
    <row r="300" customFormat="false" ht="15" hidden="false" customHeight="false" outlineLevel="0" collapsed="false">
      <c r="C300" s="41" t="str">
        <f aca="false">IF(A300="","",TEXT(A300,"mmm-yyyy"))</f>
        <v/>
      </c>
      <c r="I300" s="47" t="str">
        <f aca="false">IF(G300="","",G300+H300)</f>
        <v/>
      </c>
    </row>
    <row r="301" customFormat="false" ht="15" hidden="false" customHeight="false" outlineLevel="0" collapsed="false">
      <c r="C301" s="41" t="str">
        <f aca="false">IF(A301="","",TEXT(A301,"mmm-yyyy"))</f>
        <v/>
      </c>
      <c r="I301" s="47" t="str">
        <f aca="false">IF(G301="","",G301+H301)</f>
        <v/>
      </c>
    </row>
    <row r="302" customFormat="false" ht="15" hidden="false" customHeight="false" outlineLevel="0" collapsed="false">
      <c r="C302" s="41" t="str">
        <f aca="false">IF(A302="","",TEXT(A302,"mmm-yyyy"))</f>
        <v/>
      </c>
      <c r="I302" s="47" t="str">
        <f aca="false">IF(G302="","",G302+H302)</f>
        <v/>
      </c>
    </row>
    <row r="303" customFormat="false" ht="15" hidden="false" customHeight="false" outlineLevel="0" collapsed="false">
      <c r="C303" s="41" t="str">
        <f aca="false">IF(A303="","",TEXT(A303,"mmm-yyyy"))</f>
        <v/>
      </c>
      <c r="I303" s="47" t="str">
        <f aca="false">IF(G303="","",G303+H303)</f>
        <v/>
      </c>
    </row>
    <row r="304" customFormat="false" ht="15" hidden="false" customHeight="false" outlineLevel="0" collapsed="false">
      <c r="C304" s="41" t="str">
        <f aca="false">IF(A304="","",TEXT(A304,"mmm-yyyy"))</f>
        <v/>
      </c>
      <c r="I304" s="47" t="str">
        <f aca="false">IF(G304="","",G304+H304)</f>
        <v/>
      </c>
    </row>
    <row r="305" customFormat="false" ht="15" hidden="false" customHeight="false" outlineLevel="0" collapsed="false">
      <c r="C305" s="41" t="str">
        <f aca="false">IF(A305="","",TEXT(A305,"mmm-yyyy"))</f>
        <v/>
      </c>
      <c r="I305" s="47" t="str">
        <f aca="false">IF(G305="","",G305+H305)</f>
        <v/>
      </c>
    </row>
    <row r="306" customFormat="false" ht="15" hidden="false" customHeight="false" outlineLevel="0" collapsed="false">
      <c r="C306" s="41" t="str">
        <f aca="false">IF(A306="","",TEXT(A306,"mmm-yyyy"))</f>
        <v/>
      </c>
      <c r="I306" s="47" t="str">
        <f aca="false">IF(G306="","",G306+H306)</f>
        <v/>
      </c>
    </row>
    <row r="307" customFormat="false" ht="15" hidden="false" customHeight="false" outlineLevel="0" collapsed="false">
      <c r="C307" s="41" t="str">
        <f aca="false">IF(A307="","",TEXT(A307,"mmm-yyyy"))</f>
        <v/>
      </c>
      <c r="I307" s="47" t="str">
        <f aca="false">IF(G307="","",G307+H307)</f>
        <v/>
      </c>
    </row>
    <row r="308" customFormat="false" ht="15" hidden="false" customHeight="false" outlineLevel="0" collapsed="false">
      <c r="C308" s="41" t="str">
        <f aca="false">IF(A308="","",TEXT(A308,"mmm-yyyy"))</f>
        <v/>
      </c>
      <c r="I308" s="47" t="str">
        <f aca="false">IF(G308="","",G308+H308)</f>
        <v/>
      </c>
    </row>
    <row r="309" customFormat="false" ht="15" hidden="false" customHeight="false" outlineLevel="0" collapsed="false">
      <c r="C309" s="41" t="str">
        <f aca="false">IF(A309="","",TEXT(A309,"mmm-yyyy"))</f>
        <v/>
      </c>
      <c r="I309" s="47" t="str">
        <f aca="false">IF(G309="","",G309+H309)</f>
        <v/>
      </c>
    </row>
    <row r="310" customFormat="false" ht="15" hidden="false" customHeight="false" outlineLevel="0" collapsed="false">
      <c r="C310" s="41" t="str">
        <f aca="false">IF(A310="","",TEXT(A310,"mmm-yyyy"))</f>
        <v/>
      </c>
      <c r="I310" s="47" t="str">
        <f aca="false">IF(G310="","",G310+H310)</f>
        <v/>
      </c>
    </row>
    <row r="311" customFormat="false" ht="15" hidden="false" customHeight="false" outlineLevel="0" collapsed="false">
      <c r="C311" s="41" t="str">
        <f aca="false">IF(A311="","",TEXT(A311,"mmm-yyyy"))</f>
        <v/>
      </c>
      <c r="I311" s="47" t="str">
        <f aca="false">IF(G311="","",G311+H311)</f>
        <v/>
      </c>
    </row>
    <row r="312" customFormat="false" ht="15" hidden="false" customHeight="false" outlineLevel="0" collapsed="false">
      <c r="C312" s="41" t="str">
        <f aca="false">IF(A312="","",TEXT(A312,"mmm-yyyy"))</f>
        <v/>
      </c>
      <c r="I312" s="47" t="str">
        <f aca="false">IF(G312="","",G312+H312)</f>
        <v/>
      </c>
    </row>
    <row r="313" customFormat="false" ht="15" hidden="false" customHeight="false" outlineLevel="0" collapsed="false">
      <c r="C313" s="41" t="str">
        <f aca="false">IF(A313="","",TEXT(A313,"mmm-yyyy"))</f>
        <v/>
      </c>
      <c r="I313" s="47" t="str">
        <f aca="false">IF(G313="","",G313+H313)</f>
        <v/>
      </c>
    </row>
    <row r="314" customFormat="false" ht="15" hidden="false" customHeight="false" outlineLevel="0" collapsed="false">
      <c r="C314" s="41" t="str">
        <f aca="false">IF(A314="","",TEXT(A314,"mmm-yyyy"))</f>
        <v/>
      </c>
      <c r="I314" s="47" t="str">
        <f aca="false">IF(G314="","",G314+H314)</f>
        <v/>
      </c>
    </row>
    <row r="315" customFormat="false" ht="15" hidden="false" customHeight="false" outlineLevel="0" collapsed="false">
      <c r="C315" s="41" t="str">
        <f aca="false">IF(A315="","",TEXT(A315,"mmm-yyyy"))</f>
        <v/>
      </c>
      <c r="I315" s="47" t="str">
        <f aca="false">IF(G315="","",G315+H315)</f>
        <v/>
      </c>
    </row>
    <row r="316" customFormat="false" ht="15" hidden="false" customHeight="false" outlineLevel="0" collapsed="false">
      <c r="C316" s="41" t="str">
        <f aca="false">IF(A316="","",TEXT(A316,"mmm-yyyy"))</f>
        <v/>
      </c>
      <c r="I316" s="47" t="str">
        <f aca="false">IF(G316="","",G316+H316)</f>
        <v/>
      </c>
    </row>
    <row r="317" customFormat="false" ht="15" hidden="false" customHeight="false" outlineLevel="0" collapsed="false">
      <c r="C317" s="41" t="str">
        <f aca="false">IF(A317="","",TEXT(A317,"mmm-yyyy"))</f>
        <v/>
      </c>
      <c r="I317" s="47" t="str">
        <f aca="false">IF(G317="","",G317+H317)</f>
        <v/>
      </c>
    </row>
    <row r="318" customFormat="false" ht="15" hidden="false" customHeight="false" outlineLevel="0" collapsed="false">
      <c r="C318" s="41" t="str">
        <f aca="false">IF(A318="","",TEXT(A318,"mmm-yyyy"))</f>
        <v/>
      </c>
      <c r="I318" s="47" t="str">
        <f aca="false">IF(G318="","",G318+H318)</f>
        <v/>
      </c>
    </row>
    <row r="319" customFormat="false" ht="15" hidden="false" customHeight="false" outlineLevel="0" collapsed="false">
      <c r="C319" s="41" t="str">
        <f aca="false">IF(A319="","",TEXT(A319,"mmm-yyyy"))</f>
        <v/>
      </c>
      <c r="I319" s="47" t="str">
        <f aca="false">IF(G319="","",G319+H319)</f>
        <v/>
      </c>
    </row>
    <row r="320" customFormat="false" ht="15" hidden="false" customHeight="false" outlineLevel="0" collapsed="false">
      <c r="C320" s="41" t="str">
        <f aca="false">IF(A320="","",TEXT(A320,"mmm-yyyy"))</f>
        <v/>
      </c>
      <c r="I320" s="47" t="str">
        <f aca="false">IF(G320="","",G320+H320)</f>
        <v/>
      </c>
    </row>
    <row r="321" customFormat="false" ht="15" hidden="false" customHeight="false" outlineLevel="0" collapsed="false">
      <c r="C321" s="41" t="str">
        <f aca="false">IF(A321="","",TEXT(A321,"mmm-yyyy"))</f>
        <v/>
      </c>
      <c r="I321" s="47" t="str">
        <f aca="false">IF(G321="","",G321+H321)</f>
        <v/>
      </c>
    </row>
    <row r="322" customFormat="false" ht="15" hidden="false" customHeight="false" outlineLevel="0" collapsed="false">
      <c r="C322" s="41" t="str">
        <f aca="false">IF(A322="","",TEXT(A322,"mmm-yyyy"))</f>
        <v/>
      </c>
      <c r="I322" s="47" t="str">
        <f aca="false">IF(G322="","",G322+H322)</f>
        <v/>
      </c>
    </row>
    <row r="323" customFormat="false" ht="15" hidden="false" customHeight="false" outlineLevel="0" collapsed="false">
      <c r="C323" s="41" t="str">
        <f aca="false">IF(A323="","",TEXT(A323,"mmm-yyyy"))</f>
        <v/>
      </c>
      <c r="I323" s="47" t="str">
        <f aca="false">IF(G323="","",G323+H323)</f>
        <v/>
      </c>
    </row>
    <row r="324" customFormat="false" ht="15" hidden="false" customHeight="false" outlineLevel="0" collapsed="false">
      <c r="C324" s="41" t="str">
        <f aca="false">IF(A324="","",TEXT(A324,"mmm-yyyy"))</f>
        <v/>
      </c>
      <c r="I324" s="47" t="str">
        <f aca="false">IF(G324="","",G324+H324)</f>
        <v/>
      </c>
    </row>
    <row r="325" customFormat="false" ht="15" hidden="false" customHeight="false" outlineLevel="0" collapsed="false">
      <c r="C325" s="41" t="str">
        <f aca="false">IF(A325="","",TEXT(A325,"mmm-yyyy"))</f>
        <v/>
      </c>
      <c r="I325" s="47" t="str">
        <f aca="false">IF(G325="","",G325+H325)</f>
        <v/>
      </c>
    </row>
    <row r="326" customFormat="false" ht="15" hidden="false" customHeight="false" outlineLevel="0" collapsed="false">
      <c r="C326" s="41" t="str">
        <f aca="false">IF(A326="","",TEXT(A326,"mmm-yyyy"))</f>
        <v/>
      </c>
      <c r="I326" s="47" t="str">
        <f aca="false">IF(G326="","",G326+H326)</f>
        <v/>
      </c>
    </row>
    <row r="327" customFormat="false" ht="15" hidden="false" customHeight="false" outlineLevel="0" collapsed="false">
      <c r="C327" s="41" t="str">
        <f aca="false">IF(A327="","",TEXT(A327,"mmm-yyyy"))</f>
        <v/>
      </c>
      <c r="I327" s="47" t="str">
        <f aca="false">IF(G327="","",G327+H327)</f>
        <v/>
      </c>
    </row>
    <row r="328" customFormat="false" ht="15" hidden="false" customHeight="false" outlineLevel="0" collapsed="false">
      <c r="C328" s="41" t="str">
        <f aca="false">IF(A328="","",TEXT(A328,"mmm-yyyy"))</f>
        <v/>
      </c>
      <c r="I328" s="47" t="str">
        <f aca="false">IF(G328="","",G328+H328)</f>
        <v/>
      </c>
    </row>
    <row r="329" customFormat="false" ht="15" hidden="false" customHeight="false" outlineLevel="0" collapsed="false">
      <c r="C329" s="41" t="str">
        <f aca="false">IF(A329="","",TEXT(A329,"mmm-yyyy"))</f>
        <v/>
      </c>
      <c r="I329" s="47" t="str">
        <f aca="false">IF(G329="","",G329+H329)</f>
        <v/>
      </c>
    </row>
    <row r="330" customFormat="false" ht="15" hidden="false" customHeight="false" outlineLevel="0" collapsed="false">
      <c r="C330" s="41" t="str">
        <f aca="false">IF(A330="","",TEXT(A330,"mmm-yyyy"))</f>
        <v/>
      </c>
      <c r="I330" s="47" t="str">
        <f aca="false">IF(G330="","",G330+H330)</f>
        <v/>
      </c>
    </row>
    <row r="331" customFormat="false" ht="15" hidden="false" customHeight="false" outlineLevel="0" collapsed="false">
      <c r="C331" s="41" t="str">
        <f aca="false">IF(A331="","",TEXT(A331,"mmm-yyyy"))</f>
        <v/>
      </c>
      <c r="I331" s="47" t="str">
        <f aca="false">IF(G331="","",G331+H331)</f>
        <v/>
      </c>
    </row>
    <row r="332" customFormat="false" ht="15" hidden="false" customHeight="false" outlineLevel="0" collapsed="false">
      <c r="C332" s="41" t="str">
        <f aca="false">IF(A332="","",TEXT(A332,"mmm-yyyy"))</f>
        <v/>
      </c>
      <c r="I332" s="47" t="str">
        <f aca="false">IF(G332="","",G332+H332)</f>
        <v/>
      </c>
    </row>
    <row r="333" customFormat="false" ht="15" hidden="false" customHeight="false" outlineLevel="0" collapsed="false">
      <c r="C333" s="41" t="str">
        <f aca="false">IF(A333="","",TEXT(A333,"mmm-yyyy"))</f>
        <v/>
      </c>
      <c r="I333" s="47" t="str">
        <f aca="false">IF(G333="","",G333+H333)</f>
        <v/>
      </c>
    </row>
    <row r="334" customFormat="false" ht="15" hidden="false" customHeight="false" outlineLevel="0" collapsed="false">
      <c r="C334" s="41" t="str">
        <f aca="false">IF(A334="","",TEXT(A334,"mmm-yyyy"))</f>
        <v/>
      </c>
      <c r="I334" s="47" t="str">
        <f aca="false">IF(G334="","",G334+H334)</f>
        <v/>
      </c>
    </row>
    <row r="335" customFormat="false" ht="15" hidden="false" customHeight="false" outlineLevel="0" collapsed="false">
      <c r="C335" s="41" t="str">
        <f aca="false">IF(A335="","",TEXT(A335,"mmm-yyyy"))</f>
        <v/>
      </c>
      <c r="I335" s="47" t="str">
        <f aca="false">IF(G335="","",G335+H335)</f>
        <v/>
      </c>
    </row>
    <row r="336" customFormat="false" ht="15" hidden="false" customHeight="false" outlineLevel="0" collapsed="false">
      <c r="C336" s="41" t="str">
        <f aca="false">IF(A336="","",TEXT(A336,"mmm-yyyy"))</f>
        <v/>
      </c>
      <c r="I336" s="47" t="str">
        <f aca="false">IF(G336="","",G336+H336)</f>
        <v/>
      </c>
    </row>
    <row r="337" customFormat="false" ht="15" hidden="false" customHeight="false" outlineLevel="0" collapsed="false">
      <c r="C337" s="41" t="str">
        <f aca="false">IF(A337="","",TEXT(A337,"mmm-yyyy"))</f>
        <v/>
      </c>
      <c r="I337" s="47" t="str">
        <f aca="false">IF(G337="","",G337+H337)</f>
        <v/>
      </c>
    </row>
    <row r="338" customFormat="false" ht="15" hidden="false" customHeight="false" outlineLevel="0" collapsed="false">
      <c r="C338" s="41" t="str">
        <f aca="false">IF(A338="","",TEXT(A338,"mmm-yyyy"))</f>
        <v/>
      </c>
      <c r="I338" s="47" t="str">
        <f aca="false">IF(G338="","",G338+H338)</f>
        <v/>
      </c>
    </row>
    <row r="339" customFormat="false" ht="15" hidden="false" customHeight="false" outlineLevel="0" collapsed="false">
      <c r="C339" s="41" t="str">
        <f aca="false">IF(A339="","",TEXT(A339,"mmm-yyyy"))</f>
        <v/>
      </c>
      <c r="I339" s="47" t="str">
        <f aca="false">IF(G339="","",G339+H339)</f>
        <v/>
      </c>
    </row>
    <row r="340" customFormat="false" ht="15" hidden="false" customHeight="false" outlineLevel="0" collapsed="false">
      <c r="C340" s="41" t="str">
        <f aca="false">IF(A340="","",TEXT(A340,"mmm-yyyy"))</f>
        <v/>
      </c>
      <c r="I340" s="47" t="str">
        <f aca="false">IF(G340="","",G340+H340)</f>
        <v/>
      </c>
    </row>
    <row r="341" customFormat="false" ht="15" hidden="false" customHeight="false" outlineLevel="0" collapsed="false">
      <c r="C341" s="41" t="str">
        <f aca="false">IF(A341="","",TEXT(A341,"mmm-yyyy"))</f>
        <v/>
      </c>
      <c r="I341" s="47" t="str">
        <f aca="false">IF(G341="","",G341+H341)</f>
        <v/>
      </c>
    </row>
    <row r="342" customFormat="false" ht="15" hidden="false" customHeight="false" outlineLevel="0" collapsed="false">
      <c r="C342" s="41" t="str">
        <f aca="false">IF(A342="","",TEXT(A342,"mmm-yyyy"))</f>
        <v/>
      </c>
      <c r="I342" s="47" t="str">
        <f aca="false">IF(G342="","",G342+H342)</f>
        <v/>
      </c>
    </row>
    <row r="343" customFormat="false" ht="15" hidden="false" customHeight="false" outlineLevel="0" collapsed="false">
      <c r="C343" s="41" t="str">
        <f aca="false">IF(A343="","",TEXT(A343,"mmm-yyyy"))</f>
        <v/>
      </c>
      <c r="I343" s="47" t="str">
        <f aca="false">IF(G343="","",G343+H343)</f>
        <v/>
      </c>
    </row>
    <row r="344" customFormat="false" ht="15" hidden="false" customHeight="false" outlineLevel="0" collapsed="false">
      <c r="C344" s="41" t="str">
        <f aca="false">IF(A344="","",TEXT(A344,"mmm-yyyy"))</f>
        <v/>
      </c>
      <c r="I344" s="47" t="str">
        <f aca="false">IF(G344="","",G344+H344)</f>
        <v/>
      </c>
    </row>
    <row r="345" customFormat="false" ht="15" hidden="false" customHeight="false" outlineLevel="0" collapsed="false">
      <c r="C345" s="41" t="str">
        <f aca="false">IF(A345="","",TEXT(A345,"mmm-yyyy"))</f>
        <v/>
      </c>
      <c r="I345" s="47" t="str">
        <f aca="false">IF(G345="","",G345+H345)</f>
        <v/>
      </c>
    </row>
    <row r="346" customFormat="false" ht="15" hidden="false" customHeight="false" outlineLevel="0" collapsed="false">
      <c r="C346" s="41" t="str">
        <f aca="false">IF(A346="","",TEXT(A346,"mmm-yyyy"))</f>
        <v/>
      </c>
      <c r="I346" s="47" t="str">
        <f aca="false">IF(G346="","",G346+H346)</f>
        <v/>
      </c>
    </row>
    <row r="347" customFormat="false" ht="15" hidden="false" customHeight="false" outlineLevel="0" collapsed="false">
      <c r="C347" s="41" t="str">
        <f aca="false">IF(A347="","",TEXT(A347,"mmm-yyyy"))</f>
        <v/>
      </c>
      <c r="I347" s="47" t="str">
        <f aca="false">IF(G347="","",G347+H347)</f>
        <v/>
      </c>
    </row>
    <row r="348" customFormat="false" ht="15" hidden="false" customHeight="false" outlineLevel="0" collapsed="false">
      <c r="C348" s="41" t="str">
        <f aca="false">IF(A348="","",TEXT(A348,"mmm-yyyy"))</f>
        <v/>
      </c>
      <c r="I348" s="47" t="str">
        <f aca="false">IF(G348="","",G348+H348)</f>
        <v/>
      </c>
    </row>
    <row r="349" customFormat="false" ht="15" hidden="false" customHeight="false" outlineLevel="0" collapsed="false">
      <c r="C349" s="41" t="str">
        <f aca="false">IF(A349="","",TEXT(A349,"mmm-yyyy"))</f>
        <v/>
      </c>
      <c r="I349" s="47" t="str">
        <f aca="false">IF(G349="","",G349+H349)</f>
        <v/>
      </c>
    </row>
    <row r="350" customFormat="false" ht="15" hidden="false" customHeight="false" outlineLevel="0" collapsed="false">
      <c r="C350" s="41" t="str">
        <f aca="false">IF(A350="","",TEXT(A350,"mmm-yyyy"))</f>
        <v/>
      </c>
      <c r="I350" s="47" t="str">
        <f aca="false">IF(G350="","",G350+H350)</f>
        <v/>
      </c>
    </row>
    <row r="351" customFormat="false" ht="15" hidden="false" customHeight="false" outlineLevel="0" collapsed="false">
      <c r="C351" s="41" t="str">
        <f aca="false">IF(A351="","",TEXT(A351,"mmm-yyyy"))</f>
        <v/>
      </c>
      <c r="I351" s="47" t="str">
        <f aca="false">IF(G351="","",G351+H351)</f>
        <v/>
      </c>
    </row>
    <row r="352" customFormat="false" ht="15" hidden="false" customHeight="false" outlineLevel="0" collapsed="false">
      <c r="C352" s="41" t="str">
        <f aca="false">IF(A352="","",TEXT(A352,"mmm-yyyy"))</f>
        <v/>
      </c>
      <c r="I352" s="47" t="str">
        <f aca="false">IF(G352="","",G352+H352)</f>
        <v/>
      </c>
    </row>
    <row r="353" customFormat="false" ht="15" hidden="false" customHeight="false" outlineLevel="0" collapsed="false">
      <c r="C353" s="41" t="str">
        <f aca="false">IF(A353="","",TEXT(A353,"mmm-yyyy"))</f>
        <v/>
      </c>
      <c r="I353" s="47" t="str">
        <f aca="false">IF(G353="","",G353+H353)</f>
        <v/>
      </c>
    </row>
    <row r="354" customFormat="false" ht="15" hidden="false" customHeight="false" outlineLevel="0" collapsed="false">
      <c r="C354" s="41" t="str">
        <f aca="false">IF(A354="","",TEXT(A354,"mmm-yyyy"))</f>
        <v/>
      </c>
      <c r="I354" s="47" t="str">
        <f aca="false">IF(G354="","",G354+H354)</f>
        <v/>
      </c>
    </row>
    <row r="355" customFormat="false" ht="15" hidden="false" customHeight="false" outlineLevel="0" collapsed="false">
      <c r="C355" s="41" t="str">
        <f aca="false">IF(A355="","",TEXT(A355,"mmm-yyyy"))</f>
        <v/>
      </c>
      <c r="I355" s="47" t="str">
        <f aca="false">IF(G355="","",G355+H355)</f>
        <v/>
      </c>
    </row>
    <row r="356" customFormat="false" ht="15" hidden="false" customHeight="false" outlineLevel="0" collapsed="false">
      <c r="C356" s="41" t="str">
        <f aca="false">IF(A356="","",TEXT(A356,"mmm-yyyy"))</f>
        <v/>
      </c>
      <c r="I356" s="47" t="str">
        <f aca="false">IF(G356="","",G356+H356)</f>
        <v/>
      </c>
    </row>
    <row r="357" customFormat="false" ht="15" hidden="false" customHeight="false" outlineLevel="0" collapsed="false">
      <c r="C357" s="41" t="str">
        <f aca="false">IF(A357="","",TEXT(A357,"mmm-yyyy"))</f>
        <v/>
      </c>
      <c r="I357" s="47" t="str">
        <f aca="false">IF(G357="","",G357+H357)</f>
        <v/>
      </c>
    </row>
    <row r="358" customFormat="false" ht="15" hidden="false" customHeight="false" outlineLevel="0" collapsed="false">
      <c r="C358" s="41" t="str">
        <f aca="false">IF(A358="","",TEXT(A358,"mmm-yyyy"))</f>
        <v/>
      </c>
      <c r="I358" s="47" t="str">
        <f aca="false">IF(G358="","",G358+H358)</f>
        <v/>
      </c>
    </row>
    <row r="359" customFormat="false" ht="15" hidden="false" customHeight="false" outlineLevel="0" collapsed="false">
      <c r="C359" s="41" t="str">
        <f aca="false">IF(A359="","",TEXT(A359,"mmm-yyyy"))</f>
        <v/>
      </c>
      <c r="I359" s="47" t="str">
        <f aca="false">IF(G359="","",G359+H359)</f>
        <v/>
      </c>
    </row>
    <row r="360" customFormat="false" ht="15" hidden="false" customHeight="false" outlineLevel="0" collapsed="false">
      <c r="C360" s="41" t="str">
        <f aca="false">IF(A360="","",TEXT(A360,"mmm-yyyy"))</f>
        <v/>
      </c>
      <c r="I360" s="47" t="str">
        <f aca="false">IF(G360="","",G360+H360)</f>
        <v/>
      </c>
    </row>
    <row r="361" customFormat="false" ht="15" hidden="false" customHeight="false" outlineLevel="0" collapsed="false">
      <c r="C361" s="41" t="str">
        <f aca="false">IF(A361="","",TEXT(A361,"mmm-yyyy"))</f>
        <v/>
      </c>
      <c r="I361" s="47" t="str">
        <f aca="false">IF(G361="","",G361+H361)</f>
        <v/>
      </c>
    </row>
    <row r="362" customFormat="false" ht="15" hidden="false" customHeight="false" outlineLevel="0" collapsed="false">
      <c r="C362" s="41" t="str">
        <f aca="false">IF(A362="","",TEXT(A362,"mmm-yyyy"))</f>
        <v/>
      </c>
      <c r="I362" s="47" t="str">
        <f aca="false">IF(G362="","",G362+H362)</f>
        <v/>
      </c>
    </row>
    <row r="363" customFormat="false" ht="15" hidden="false" customHeight="false" outlineLevel="0" collapsed="false">
      <c r="C363" s="41" t="str">
        <f aca="false">IF(A363="","",TEXT(A363,"mmm-yyyy"))</f>
        <v/>
      </c>
      <c r="I363" s="47" t="str">
        <f aca="false">IF(G363="","",G363+H363)</f>
        <v/>
      </c>
    </row>
    <row r="364" customFormat="false" ht="15" hidden="false" customHeight="false" outlineLevel="0" collapsed="false">
      <c r="C364" s="41" t="str">
        <f aca="false">IF(A364="","",TEXT(A364,"mmm-yyyy"))</f>
        <v/>
      </c>
      <c r="I364" s="47" t="str">
        <f aca="false">IF(G364="","",G364+H364)</f>
        <v/>
      </c>
    </row>
    <row r="365" customFormat="false" ht="15" hidden="false" customHeight="false" outlineLevel="0" collapsed="false">
      <c r="C365" s="41" t="str">
        <f aca="false">IF(A365="","",TEXT(A365,"mmm-yyyy"))</f>
        <v/>
      </c>
      <c r="I365" s="47" t="str">
        <f aca="false">IF(G365="","",G365+H365)</f>
        <v/>
      </c>
    </row>
    <row r="366" customFormat="false" ht="15" hidden="false" customHeight="false" outlineLevel="0" collapsed="false">
      <c r="C366" s="41" t="str">
        <f aca="false">IF(A366="","",TEXT(A366,"mmm-yyyy"))</f>
        <v/>
      </c>
      <c r="I366" s="47" t="str">
        <f aca="false">IF(G366="","",G366+H366)</f>
        <v/>
      </c>
    </row>
    <row r="367" customFormat="false" ht="15" hidden="false" customHeight="false" outlineLevel="0" collapsed="false">
      <c r="C367" s="41" t="str">
        <f aca="false">IF(A367="","",TEXT(A367,"mmm-yyyy"))</f>
        <v/>
      </c>
      <c r="I367" s="47" t="str">
        <f aca="false">IF(G367="","",G367+H367)</f>
        <v/>
      </c>
    </row>
    <row r="368" customFormat="false" ht="15" hidden="false" customHeight="false" outlineLevel="0" collapsed="false">
      <c r="C368" s="41" t="str">
        <f aca="false">IF(A368="","",TEXT(A368,"mmm-yyyy"))</f>
        <v/>
      </c>
      <c r="I368" s="47" t="str">
        <f aca="false">IF(G368="","",G368+H368)</f>
        <v/>
      </c>
    </row>
    <row r="369" customFormat="false" ht="15" hidden="false" customHeight="false" outlineLevel="0" collapsed="false">
      <c r="C369" s="41" t="str">
        <f aca="false">IF(A369="","",TEXT(A369,"mmm-yyyy"))</f>
        <v/>
      </c>
      <c r="I369" s="47" t="str">
        <f aca="false">IF(G369="","",G369+H369)</f>
        <v/>
      </c>
    </row>
    <row r="370" customFormat="false" ht="15" hidden="false" customHeight="false" outlineLevel="0" collapsed="false">
      <c r="C370" s="41" t="str">
        <f aca="false">IF(A370="","",TEXT(A370,"mmm-yyyy"))</f>
        <v/>
      </c>
      <c r="I370" s="47" t="str">
        <f aca="false">IF(G370="","",G370+H370)</f>
        <v/>
      </c>
    </row>
    <row r="371" customFormat="false" ht="15" hidden="false" customHeight="false" outlineLevel="0" collapsed="false">
      <c r="C371" s="41" t="str">
        <f aca="false">IF(A371="","",TEXT(A371,"mmm-yyyy"))</f>
        <v/>
      </c>
      <c r="I371" s="47" t="str">
        <f aca="false">IF(G371="","",G371+H371)</f>
        <v/>
      </c>
    </row>
    <row r="372" customFormat="false" ht="15" hidden="false" customHeight="false" outlineLevel="0" collapsed="false">
      <c r="C372" s="41" t="str">
        <f aca="false">IF(A372="","",TEXT(A372,"mmm-yyyy"))</f>
        <v/>
      </c>
      <c r="I372" s="47" t="str">
        <f aca="false">IF(G372="","",G372+H372)</f>
        <v/>
      </c>
    </row>
    <row r="373" customFormat="false" ht="15" hidden="false" customHeight="false" outlineLevel="0" collapsed="false">
      <c r="C373" s="41" t="str">
        <f aca="false">IF(A373="","",TEXT(A373,"mmm-yyyy"))</f>
        <v/>
      </c>
      <c r="I373" s="47" t="str">
        <f aca="false">IF(G373="","",G373+H373)</f>
        <v/>
      </c>
    </row>
    <row r="374" customFormat="false" ht="15" hidden="false" customHeight="false" outlineLevel="0" collapsed="false">
      <c r="C374" s="41" t="str">
        <f aca="false">IF(A374="","",TEXT(A374,"mmm-yyyy"))</f>
        <v/>
      </c>
      <c r="I374" s="47" t="str">
        <f aca="false">IF(G374="","",G374+H374)</f>
        <v/>
      </c>
    </row>
    <row r="375" customFormat="false" ht="15" hidden="false" customHeight="false" outlineLevel="0" collapsed="false">
      <c r="C375" s="41" t="str">
        <f aca="false">IF(A375="","",TEXT(A375,"mmm-yyyy"))</f>
        <v/>
      </c>
      <c r="I375" s="47" t="str">
        <f aca="false">IF(G375="","",G375+H375)</f>
        <v/>
      </c>
    </row>
    <row r="376" customFormat="false" ht="15" hidden="false" customHeight="false" outlineLevel="0" collapsed="false">
      <c r="C376" s="41" t="str">
        <f aca="false">IF(A376="","",TEXT(A376,"mmm-yyyy"))</f>
        <v/>
      </c>
      <c r="I376" s="47" t="str">
        <f aca="false">IF(G376="","",G376+H376)</f>
        <v/>
      </c>
    </row>
    <row r="377" customFormat="false" ht="15" hidden="false" customHeight="false" outlineLevel="0" collapsed="false">
      <c r="C377" s="41" t="str">
        <f aca="false">IF(A377="","",TEXT(A377,"mmm-yyyy"))</f>
        <v/>
      </c>
      <c r="I377" s="47" t="str">
        <f aca="false">IF(G377="","",G377+H377)</f>
        <v/>
      </c>
    </row>
    <row r="378" customFormat="false" ht="15" hidden="false" customHeight="false" outlineLevel="0" collapsed="false">
      <c r="C378" s="41" t="str">
        <f aca="false">IF(A378="","",TEXT(A378,"mmm-yyyy"))</f>
        <v/>
      </c>
      <c r="I378" s="47" t="str">
        <f aca="false">IF(G378="","",G378+H378)</f>
        <v/>
      </c>
    </row>
    <row r="379" customFormat="false" ht="15" hidden="false" customHeight="false" outlineLevel="0" collapsed="false">
      <c r="C379" s="41" t="str">
        <f aca="false">IF(A379="","",TEXT(A379,"mmm-yyyy"))</f>
        <v/>
      </c>
      <c r="I379" s="47" t="str">
        <f aca="false">IF(G379="","",G379+H379)</f>
        <v/>
      </c>
    </row>
    <row r="380" customFormat="false" ht="15" hidden="false" customHeight="false" outlineLevel="0" collapsed="false">
      <c r="C380" s="41" t="str">
        <f aca="false">IF(A380="","",TEXT(A380,"mmm-yyyy"))</f>
        <v/>
      </c>
      <c r="I380" s="47" t="str">
        <f aca="false">IF(G380="","",G380+H380)</f>
        <v/>
      </c>
    </row>
    <row r="381" customFormat="false" ht="15" hidden="false" customHeight="false" outlineLevel="0" collapsed="false">
      <c r="C381" s="41" t="str">
        <f aca="false">IF(A381="","",TEXT(A381,"mmm-yyyy"))</f>
        <v/>
      </c>
      <c r="I381" s="47" t="str">
        <f aca="false">IF(G381="","",G381+H381)</f>
        <v/>
      </c>
    </row>
    <row r="382" customFormat="false" ht="15" hidden="false" customHeight="false" outlineLevel="0" collapsed="false">
      <c r="C382" s="41" t="str">
        <f aca="false">IF(A382="","",TEXT(A382,"mmm-yyyy"))</f>
        <v/>
      </c>
      <c r="I382" s="47" t="str">
        <f aca="false">IF(G382="","",G382+H382)</f>
        <v/>
      </c>
    </row>
    <row r="383" customFormat="false" ht="15" hidden="false" customHeight="false" outlineLevel="0" collapsed="false">
      <c r="C383" s="41" t="str">
        <f aca="false">IF(A383="","",TEXT(A383,"mmm-yyyy"))</f>
        <v/>
      </c>
      <c r="I383" s="47" t="str">
        <f aca="false">IF(G383="","",G383+H383)</f>
        <v/>
      </c>
    </row>
    <row r="384" customFormat="false" ht="15" hidden="false" customHeight="false" outlineLevel="0" collapsed="false">
      <c r="C384" s="41" t="str">
        <f aca="false">IF(A384="","",TEXT(A384,"mmm-yyyy"))</f>
        <v/>
      </c>
      <c r="I384" s="47" t="str">
        <f aca="false">IF(G384="","",G384+H384)</f>
        <v/>
      </c>
    </row>
    <row r="385" customFormat="false" ht="15" hidden="false" customHeight="false" outlineLevel="0" collapsed="false">
      <c r="C385" s="41" t="str">
        <f aca="false">IF(A385="","",TEXT(A385,"mmm-yyyy"))</f>
        <v/>
      </c>
      <c r="I385" s="47" t="str">
        <f aca="false">IF(G385="","",G385+H385)</f>
        <v/>
      </c>
    </row>
    <row r="386" customFormat="false" ht="15" hidden="false" customHeight="false" outlineLevel="0" collapsed="false">
      <c r="C386" s="41" t="str">
        <f aca="false">IF(A386="","",TEXT(A386,"mmm-yyyy"))</f>
        <v/>
      </c>
      <c r="I386" s="47" t="str">
        <f aca="false">IF(G386="","",G386+H386)</f>
        <v/>
      </c>
    </row>
    <row r="387" customFormat="false" ht="15" hidden="false" customHeight="false" outlineLevel="0" collapsed="false">
      <c r="C387" s="41" t="str">
        <f aca="false">IF(A387="","",TEXT(A387,"mmm-yyyy"))</f>
        <v/>
      </c>
      <c r="I387" s="47" t="str">
        <f aca="false">IF(G387="","",G387+H387)</f>
        <v/>
      </c>
    </row>
    <row r="388" customFormat="false" ht="15" hidden="false" customHeight="false" outlineLevel="0" collapsed="false">
      <c r="C388" s="41" t="str">
        <f aca="false">IF(A388="","",TEXT(A388,"mmm-yyyy"))</f>
        <v/>
      </c>
      <c r="I388" s="47" t="str">
        <f aca="false">IF(G388="","",G388+H388)</f>
        <v/>
      </c>
    </row>
    <row r="389" customFormat="false" ht="15" hidden="false" customHeight="false" outlineLevel="0" collapsed="false">
      <c r="C389" s="41" t="str">
        <f aca="false">IF(A389="","",TEXT(A389,"mmm-yyyy"))</f>
        <v/>
      </c>
      <c r="I389" s="47" t="str">
        <f aca="false">IF(G389="","",G389+H389)</f>
        <v/>
      </c>
    </row>
    <row r="390" customFormat="false" ht="15" hidden="false" customHeight="false" outlineLevel="0" collapsed="false">
      <c r="C390" s="41" t="str">
        <f aca="false">IF(A390="","",TEXT(A390,"mmm-yyyy"))</f>
        <v/>
      </c>
      <c r="I390" s="47" t="str">
        <f aca="false">IF(G390="","",G390+H390)</f>
        <v/>
      </c>
    </row>
    <row r="391" customFormat="false" ht="15" hidden="false" customHeight="false" outlineLevel="0" collapsed="false">
      <c r="C391" s="41" t="str">
        <f aca="false">IF(A391="","",TEXT(A391,"mmm-yyyy"))</f>
        <v/>
      </c>
      <c r="I391" s="47" t="str">
        <f aca="false">IF(G391="","",G391+H391)</f>
        <v/>
      </c>
    </row>
    <row r="392" customFormat="false" ht="15" hidden="false" customHeight="false" outlineLevel="0" collapsed="false">
      <c r="C392" s="41" t="str">
        <f aca="false">IF(A392="","",TEXT(A392,"mmm-yyyy"))</f>
        <v/>
      </c>
      <c r="I392" s="47" t="str">
        <f aca="false">IF(G392="","",G392+H392)</f>
        <v/>
      </c>
    </row>
    <row r="393" customFormat="false" ht="15" hidden="false" customHeight="false" outlineLevel="0" collapsed="false">
      <c r="C393" s="41" t="str">
        <f aca="false">IF(A393="","",TEXT(A393,"mmm-yyyy"))</f>
        <v/>
      </c>
      <c r="I393" s="47" t="str">
        <f aca="false">IF(G393="","",G393+H393)</f>
        <v/>
      </c>
    </row>
    <row r="394" customFormat="false" ht="15" hidden="false" customHeight="false" outlineLevel="0" collapsed="false">
      <c r="C394" s="41" t="str">
        <f aca="false">IF(A394="","",TEXT(A394,"mmm-yyyy"))</f>
        <v/>
      </c>
      <c r="I394" s="47" t="str">
        <f aca="false">IF(G394="","",G394+H394)</f>
        <v/>
      </c>
    </row>
    <row r="395" customFormat="false" ht="15" hidden="false" customHeight="false" outlineLevel="0" collapsed="false">
      <c r="C395" s="41" t="str">
        <f aca="false">IF(A395="","",TEXT(A395,"mmm-yyyy"))</f>
        <v/>
      </c>
      <c r="I395" s="47" t="str">
        <f aca="false">IF(G395="","",G395+H395)</f>
        <v/>
      </c>
    </row>
    <row r="396" customFormat="false" ht="15" hidden="false" customHeight="false" outlineLevel="0" collapsed="false">
      <c r="C396" s="41" t="str">
        <f aca="false">IF(A396="","",TEXT(A396,"mmm-yyyy"))</f>
        <v/>
      </c>
      <c r="I396" s="47" t="str">
        <f aca="false">IF(G396="","",G396+H396)</f>
        <v/>
      </c>
    </row>
    <row r="397" customFormat="false" ht="15" hidden="false" customHeight="false" outlineLevel="0" collapsed="false">
      <c r="C397" s="41" t="str">
        <f aca="false">IF(A397="","",TEXT(A397,"mmm-yyyy"))</f>
        <v/>
      </c>
      <c r="I397" s="47" t="str">
        <f aca="false">IF(G397="","",G397+H397)</f>
        <v/>
      </c>
    </row>
    <row r="398" customFormat="false" ht="15" hidden="false" customHeight="false" outlineLevel="0" collapsed="false">
      <c r="C398" s="41" t="str">
        <f aca="false">IF(A398="","",TEXT(A398,"mmm-yyyy"))</f>
        <v/>
      </c>
      <c r="I398" s="47" t="str">
        <f aca="false">IF(G398="","",G398+H398)</f>
        <v/>
      </c>
    </row>
    <row r="399" customFormat="false" ht="15" hidden="false" customHeight="false" outlineLevel="0" collapsed="false">
      <c r="C399" s="41" t="str">
        <f aca="false">IF(A399="","",TEXT(A399,"mmm-yyyy"))</f>
        <v/>
      </c>
      <c r="I399" s="47" t="str">
        <f aca="false">IF(G399="","",G399+H399)</f>
        <v/>
      </c>
    </row>
    <row r="400" customFormat="false" ht="15" hidden="false" customHeight="false" outlineLevel="0" collapsed="false">
      <c r="C400" s="41" t="str">
        <f aca="false">IF(A400="","",TEXT(A400,"mmm-yyyy"))</f>
        <v/>
      </c>
      <c r="I400" s="47" t="str">
        <f aca="false">IF(G400="","",G400+H400)</f>
        <v/>
      </c>
    </row>
    <row r="401" customFormat="false" ht="15" hidden="false" customHeight="false" outlineLevel="0" collapsed="false">
      <c r="C401" s="41" t="str">
        <f aca="false">IF(A401="","",TEXT(A401,"mmm-yyyy"))</f>
        <v/>
      </c>
      <c r="I401" s="47" t="str">
        <f aca="false">IF(G401="","",G401+H401)</f>
        <v/>
      </c>
    </row>
    <row r="402" customFormat="false" ht="15" hidden="false" customHeight="false" outlineLevel="0" collapsed="false">
      <c r="C402" s="41" t="str">
        <f aca="false">IF(A402="","",TEXT(A402,"mmm-yyyy"))</f>
        <v/>
      </c>
      <c r="I402" s="47" t="str">
        <f aca="false">IF(G402="","",G402+H402)</f>
        <v/>
      </c>
    </row>
    <row r="403" customFormat="false" ht="15" hidden="false" customHeight="false" outlineLevel="0" collapsed="false">
      <c r="C403" s="41" t="str">
        <f aca="false">IF(A403="","",TEXT(A403,"mmm-yyyy"))</f>
        <v/>
      </c>
      <c r="I403" s="47" t="str">
        <f aca="false">IF(G403="","",G403+H403)</f>
        <v/>
      </c>
    </row>
    <row r="404" customFormat="false" ht="15" hidden="false" customHeight="false" outlineLevel="0" collapsed="false">
      <c r="C404" s="41" t="str">
        <f aca="false">IF(A404="","",TEXT(A404,"mmm-yyyy"))</f>
        <v/>
      </c>
      <c r="I404" s="47" t="str">
        <f aca="false">IF(G404="","",G404+H404)</f>
        <v/>
      </c>
    </row>
    <row r="405" customFormat="false" ht="15" hidden="false" customHeight="false" outlineLevel="0" collapsed="false">
      <c r="C405" s="41" t="str">
        <f aca="false">IF(A405="","",TEXT(A405,"mmm-yyyy"))</f>
        <v/>
      </c>
      <c r="I405" s="47" t="str">
        <f aca="false">IF(G405="","",G405+H405)</f>
        <v/>
      </c>
    </row>
    <row r="406" customFormat="false" ht="15" hidden="false" customHeight="false" outlineLevel="0" collapsed="false">
      <c r="C406" s="41" t="str">
        <f aca="false">IF(A406="","",TEXT(A406,"mmm-yyyy"))</f>
        <v/>
      </c>
      <c r="I406" s="47" t="str">
        <f aca="false">IF(G406="","",G406+H406)</f>
        <v/>
      </c>
    </row>
    <row r="407" customFormat="false" ht="15" hidden="false" customHeight="false" outlineLevel="0" collapsed="false">
      <c r="C407" s="41" t="str">
        <f aca="false">IF(A407="","",TEXT(A407,"mmm-yyyy"))</f>
        <v/>
      </c>
      <c r="I407" s="47" t="str">
        <f aca="false">IF(G407="","",G407+H407)</f>
        <v/>
      </c>
    </row>
    <row r="408" customFormat="false" ht="15" hidden="false" customHeight="false" outlineLevel="0" collapsed="false">
      <c r="C408" s="41" t="str">
        <f aca="false">IF(A408="","",TEXT(A408,"mmm-yyyy"))</f>
        <v/>
      </c>
      <c r="I408" s="47" t="str">
        <f aca="false">IF(G408="","",G408+H408)</f>
        <v/>
      </c>
    </row>
    <row r="409" customFormat="false" ht="15" hidden="false" customHeight="false" outlineLevel="0" collapsed="false">
      <c r="C409" s="41" t="str">
        <f aca="false">IF(A409="","",TEXT(A409,"mmm-yyyy"))</f>
        <v/>
      </c>
      <c r="I409" s="47" t="str">
        <f aca="false">IF(G409="","",G409+H409)</f>
        <v/>
      </c>
    </row>
    <row r="410" customFormat="false" ht="15" hidden="false" customHeight="false" outlineLevel="0" collapsed="false">
      <c r="C410" s="41" t="str">
        <f aca="false">IF(A410="","",TEXT(A410,"mmm-yyyy"))</f>
        <v/>
      </c>
      <c r="I410" s="47" t="str">
        <f aca="false">IF(G410="","",G410+H410)</f>
        <v/>
      </c>
    </row>
    <row r="411" customFormat="false" ht="15" hidden="false" customHeight="false" outlineLevel="0" collapsed="false">
      <c r="C411" s="41" t="str">
        <f aca="false">IF(A411="","",TEXT(A411,"mmm-yyyy"))</f>
        <v/>
      </c>
      <c r="I411" s="47" t="str">
        <f aca="false">IF(G411="","",G411+H411)</f>
        <v/>
      </c>
    </row>
    <row r="412" customFormat="false" ht="15" hidden="false" customHeight="false" outlineLevel="0" collapsed="false">
      <c r="C412" s="41" t="str">
        <f aca="false">IF(A412="","",TEXT(A412,"mmm-yyyy"))</f>
        <v/>
      </c>
      <c r="I412" s="47" t="str">
        <f aca="false">IF(G412="","",G412+H412)</f>
        <v/>
      </c>
    </row>
    <row r="413" customFormat="false" ht="15" hidden="false" customHeight="false" outlineLevel="0" collapsed="false">
      <c r="C413" s="41" t="str">
        <f aca="false">IF(A413="","",TEXT(A413,"mmm-yyyy"))</f>
        <v/>
      </c>
      <c r="I413" s="47" t="str">
        <f aca="false">IF(G413="","",G413+H413)</f>
        <v/>
      </c>
    </row>
    <row r="414" customFormat="false" ht="15" hidden="false" customHeight="false" outlineLevel="0" collapsed="false">
      <c r="C414" s="41" t="str">
        <f aca="false">IF(A414="","",TEXT(A414,"mmm-yyyy"))</f>
        <v/>
      </c>
      <c r="I414" s="47" t="str">
        <f aca="false">IF(G414="","",G414+H414)</f>
        <v/>
      </c>
    </row>
    <row r="415" customFormat="false" ht="15" hidden="false" customHeight="false" outlineLevel="0" collapsed="false">
      <c r="C415" s="41" t="str">
        <f aca="false">IF(A415="","",TEXT(A415,"mmm-yyyy"))</f>
        <v/>
      </c>
      <c r="I415" s="47" t="str">
        <f aca="false">IF(G415="","",G415+H415)</f>
        <v/>
      </c>
    </row>
    <row r="416" customFormat="false" ht="15" hidden="false" customHeight="false" outlineLevel="0" collapsed="false">
      <c r="C416" s="41" t="str">
        <f aca="false">IF(A416="","",TEXT(A416,"mmm-yyyy"))</f>
        <v/>
      </c>
      <c r="I416" s="47" t="str">
        <f aca="false">IF(G416="","",G416+H416)</f>
        <v/>
      </c>
    </row>
    <row r="417" customFormat="false" ht="15" hidden="false" customHeight="false" outlineLevel="0" collapsed="false">
      <c r="C417" s="41" t="str">
        <f aca="false">IF(A417="","",TEXT(A417,"mmm-yyyy"))</f>
        <v/>
      </c>
      <c r="I417" s="47" t="str">
        <f aca="false">IF(G417="","",G417+H417)</f>
        <v/>
      </c>
    </row>
    <row r="418" customFormat="false" ht="15" hidden="false" customHeight="false" outlineLevel="0" collapsed="false">
      <c r="C418" s="41" t="str">
        <f aca="false">IF(A418="","",TEXT(A418,"mmm-yyyy"))</f>
        <v/>
      </c>
      <c r="I418" s="47" t="str">
        <f aca="false">IF(G418="","",G418+H418)</f>
        <v/>
      </c>
    </row>
    <row r="419" customFormat="false" ht="15" hidden="false" customHeight="false" outlineLevel="0" collapsed="false">
      <c r="C419" s="41" t="str">
        <f aca="false">IF(A419="","",TEXT(A419,"mmm-yyyy"))</f>
        <v/>
      </c>
      <c r="I419" s="47" t="str">
        <f aca="false">IF(G419="","",G419+H419)</f>
        <v/>
      </c>
    </row>
    <row r="420" customFormat="false" ht="15" hidden="false" customHeight="false" outlineLevel="0" collapsed="false">
      <c r="C420" s="41" t="str">
        <f aca="false">IF(A420="","",TEXT(A420,"mmm-yyyy"))</f>
        <v/>
      </c>
      <c r="I420" s="47" t="str">
        <f aca="false">IF(G420="","",G420+H420)</f>
        <v/>
      </c>
    </row>
    <row r="421" customFormat="false" ht="15" hidden="false" customHeight="false" outlineLevel="0" collapsed="false">
      <c r="C421" s="41" t="str">
        <f aca="false">IF(A421="","",TEXT(A421,"mmm-yyyy"))</f>
        <v/>
      </c>
      <c r="I421" s="47" t="str">
        <f aca="false">IF(G421="","",G421+H421)</f>
        <v/>
      </c>
    </row>
    <row r="422" customFormat="false" ht="15" hidden="false" customHeight="false" outlineLevel="0" collapsed="false">
      <c r="C422" s="41" t="str">
        <f aca="false">IF(A422="","",TEXT(A422,"mmm-yyyy"))</f>
        <v/>
      </c>
      <c r="I422" s="47" t="str">
        <f aca="false">IF(G422="","",G422+H422)</f>
        <v/>
      </c>
    </row>
    <row r="423" customFormat="false" ht="15" hidden="false" customHeight="false" outlineLevel="0" collapsed="false">
      <c r="C423" s="41" t="str">
        <f aca="false">IF(A423="","",TEXT(A423,"mmm-yyyy"))</f>
        <v/>
      </c>
      <c r="I423" s="47" t="str">
        <f aca="false">IF(G423="","",G423+H423)</f>
        <v/>
      </c>
    </row>
    <row r="424" customFormat="false" ht="15" hidden="false" customHeight="false" outlineLevel="0" collapsed="false">
      <c r="C424" s="41" t="str">
        <f aca="false">IF(A424="","",TEXT(A424,"mmm-yyyy"))</f>
        <v/>
      </c>
      <c r="I424" s="47" t="str">
        <f aca="false">IF(G424="","",G424+H424)</f>
        <v/>
      </c>
    </row>
    <row r="425" customFormat="false" ht="15" hidden="false" customHeight="false" outlineLevel="0" collapsed="false">
      <c r="C425" s="41" t="str">
        <f aca="false">IF(A425="","",TEXT(A425,"mmm-yyyy"))</f>
        <v/>
      </c>
      <c r="I425" s="47" t="str">
        <f aca="false">IF(G425="","",G425+H425)</f>
        <v/>
      </c>
    </row>
    <row r="426" customFormat="false" ht="15" hidden="false" customHeight="false" outlineLevel="0" collapsed="false">
      <c r="C426" s="41" t="str">
        <f aca="false">IF(A426="","",TEXT(A426,"mmm-yyyy"))</f>
        <v/>
      </c>
      <c r="I426" s="47" t="str">
        <f aca="false">IF(G426="","",G426+H426)</f>
        <v/>
      </c>
    </row>
    <row r="427" customFormat="false" ht="15" hidden="false" customHeight="false" outlineLevel="0" collapsed="false">
      <c r="C427" s="41" t="str">
        <f aca="false">IF(A427="","",TEXT(A427,"mmm-yyyy"))</f>
        <v/>
      </c>
      <c r="I427" s="47" t="str">
        <f aca="false">IF(G427="","",G427+H427)</f>
        <v/>
      </c>
    </row>
    <row r="428" customFormat="false" ht="15" hidden="false" customHeight="false" outlineLevel="0" collapsed="false">
      <c r="C428" s="41" t="str">
        <f aca="false">IF(A428="","",TEXT(A428,"mmm-yyyy"))</f>
        <v/>
      </c>
      <c r="I428" s="47" t="str">
        <f aca="false">IF(G428="","",G428+H428)</f>
        <v/>
      </c>
    </row>
    <row r="429" customFormat="false" ht="15" hidden="false" customHeight="false" outlineLevel="0" collapsed="false">
      <c r="C429" s="41" t="str">
        <f aca="false">IF(A429="","",TEXT(A429,"mmm-yyyy"))</f>
        <v/>
      </c>
      <c r="I429" s="47" t="str">
        <f aca="false">IF(G429="","",G429+H429)</f>
        <v/>
      </c>
    </row>
    <row r="430" customFormat="false" ht="15" hidden="false" customHeight="false" outlineLevel="0" collapsed="false">
      <c r="C430" s="41" t="str">
        <f aca="false">IF(A430="","",TEXT(A430,"mmm-yyyy"))</f>
        <v/>
      </c>
      <c r="I430" s="47" t="str">
        <f aca="false">IF(G430="","",G430+H430)</f>
        <v/>
      </c>
    </row>
    <row r="431" customFormat="false" ht="15" hidden="false" customHeight="false" outlineLevel="0" collapsed="false">
      <c r="C431" s="41" t="str">
        <f aca="false">IF(A431="","",TEXT(A431,"mmm-yyyy"))</f>
        <v/>
      </c>
      <c r="I431" s="47" t="str">
        <f aca="false">IF(G431="","",G431+H431)</f>
        <v/>
      </c>
    </row>
    <row r="432" customFormat="false" ht="15" hidden="false" customHeight="false" outlineLevel="0" collapsed="false">
      <c r="C432" s="41" t="str">
        <f aca="false">IF(A432="","",TEXT(A432,"mmm-yyyy"))</f>
        <v/>
      </c>
      <c r="I432" s="47" t="str">
        <f aca="false">IF(G432="","",G432+H432)</f>
        <v/>
      </c>
    </row>
    <row r="433" customFormat="false" ht="15" hidden="false" customHeight="false" outlineLevel="0" collapsed="false">
      <c r="C433" s="41" t="str">
        <f aca="false">IF(A433="","",TEXT(A433,"mmm-yyyy"))</f>
        <v/>
      </c>
      <c r="I433" s="47" t="str">
        <f aca="false">IF(G433="","",G433+H433)</f>
        <v/>
      </c>
    </row>
    <row r="434" customFormat="false" ht="15" hidden="false" customHeight="false" outlineLevel="0" collapsed="false">
      <c r="C434" s="41" t="str">
        <f aca="false">IF(A434="","",TEXT(A434,"mmm-yyyy"))</f>
        <v/>
      </c>
      <c r="I434" s="47" t="str">
        <f aca="false">IF(G434="","",G434+H434)</f>
        <v/>
      </c>
    </row>
    <row r="435" customFormat="false" ht="15" hidden="false" customHeight="false" outlineLevel="0" collapsed="false">
      <c r="C435" s="41" t="str">
        <f aca="false">IF(A435="","",TEXT(A435,"mmm-yyyy"))</f>
        <v/>
      </c>
      <c r="I435" s="47" t="str">
        <f aca="false">IF(G435="","",G435+H435)</f>
        <v/>
      </c>
    </row>
    <row r="436" customFormat="false" ht="15" hidden="false" customHeight="false" outlineLevel="0" collapsed="false">
      <c r="C436" s="41" t="str">
        <f aca="false">IF(A436="","",TEXT(A436,"mmm-yyyy"))</f>
        <v/>
      </c>
      <c r="I436" s="47" t="str">
        <f aca="false">IF(G436="","",G436+H436)</f>
        <v/>
      </c>
    </row>
    <row r="437" customFormat="false" ht="15" hidden="false" customHeight="false" outlineLevel="0" collapsed="false">
      <c r="C437" s="41" t="str">
        <f aca="false">IF(A437="","",TEXT(A437,"mmm-yyyy"))</f>
        <v/>
      </c>
      <c r="I437" s="47" t="str">
        <f aca="false">IF(G437="","",G437+H437)</f>
        <v/>
      </c>
    </row>
    <row r="438" customFormat="false" ht="15" hidden="false" customHeight="false" outlineLevel="0" collapsed="false">
      <c r="C438" s="41" t="str">
        <f aca="false">IF(A438="","",TEXT(A438,"mmm-yyyy"))</f>
        <v/>
      </c>
      <c r="I438" s="47" t="str">
        <f aca="false">IF(G438="","",G438+H438)</f>
        <v/>
      </c>
    </row>
    <row r="439" customFormat="false" ht="15" hidden="false" customHeight="false" outlineLevel="0" collapsed="false">
      <c r="C439" s="41" t="str">
        <f aca="false">IF(A439="","",TEXT(A439,"mmm-yyyy"))</f>
        <v/>
      </c>
      <c r="I439" s="47" t="str">
        <f aca="false">IF(G439="","",G439+H439)</f>
        <v/>
      </c>
    </row>
    <row r="440" customFormat="false" ht="15" hidden="false" customHeight="false" outlineLevel="0" collapsed="false">
      <c r="C440" s="41" t="str">
        <f aca="false">IF(A440="","",TEXT(A440,"mmm-yyyy"))</f>
        <v/>
      </c>
      <c r="I440" s="47" t="str">
        <f aca="false">IF(G440="","",G440+H440)</f>
        <v/>
      </c>
    </row>
    <row r="441" customFormat="false" ht="15" hidden="false" customHeight="false" outlineLevel="0" collapsed="false">
      <c r="C441" s="41" t="str">
        <f aca="false">IF(A441="","",TEXT(A441,"mmm-yyyy"))</f>
        <v/>
      </c>
      <c r="I441" s="47" t="str">
        <f aca="false">IF(G441="","",G441+H441)</f>
        <v/>
      </c>
    </row>
    <row r="442" customFormat="false" ht="15" hidden="false" customHeight="false" outlineLevel="0" collapsed="false">
      <c r="C442" s="41" t="str">
        <f aca="false">IF(A442="","",TEXT(A442,"mmm-yyyy"))</f>
        <v/>
      </c>
      <c r="I442" s="47" t="str">
        <f aca="false">IF(G442="","",G442+H442)</f>
        <v/>
      </c>
    </row>
    <row r="443" customFormat="false" ht="15" hidden="false" customHeight="false" outlineLevel="0" collapsed="false">
      <c r="C443" s="41" t="str">
        <f aca="false">IF(A443="","",TEXT(A443,"mmm-yyyy"))</f>
        <v/>
      </c>
      <c r="I443" s="47" t="str">
        <f aca="false">IF(G443="","",G443+H443)</f>
        <v/>
      </c>
    </row>
    <row r="444" customFormat="false" ht="15" hidden="false" customHeight="false" outlineLevel="0" collapsed="false">
      <c r="C444" s="41" t="str">
        <f aca="false">IF(A444="","",TEXT(A444,"mmm-yyyy"))</f>
        <v/>
      </c>
      <c r="I444" s="47" t="str">
        <f aca="false">IF(G444="","",G444+H444)</f>
        <v/>
      </c>
    </row>
    <row r="445" customFormat="false" ht="15" hidden="false" customHeight="false" outlineLevel="0" collapsed="false">
      <c r="C445" s="41" t="str">
        <f aca="false">IF(A445="","",TEXT(A445,"mmm-yyyy"))</f>
        <v/>
      </c>
      <c r="I445" s="47" t="str">
        <f aca="false">IF(G445="","",G445+H445)</f>
        <v/>
      </c>
    </row>
    <row r="446" customFormat="false" ht="15" hidden="false" customHeight="false" outlineLevel="0" collapsed="false">
      <c r="C446" s="41" t="str">
        <f aca="false">IF(A446="","",TEXT(A446,"mmm-yyyy"))</f>
        <v/>
      </c>
      <c r="I446" s="47" t="str">
        <f aca="false">IF(G446="","",G446+H446)</f>
        <v/>
      </c>
    </row>
    <row r="447" customFormat="false" ht="15" hidden="false" customHeight="false" outlineLevel="0" collapsed="false">
      <c r="C447" s="41" t="str">
        <f aca="false">IF(A447="","",TEXT(A447,"mmm-yyyy"))</f>
        <v/>
      </c>
      <c r="I447" s="47" t="str">
        <f aca="false">IF(G447="","",G447+H447)</f>
        <v/>
      </c>
    </row>
    <row r="448" customFormat="false" ht="15" hidden="false" customHeight="false" outlineLevel="0" collapsed="false">
      <c r="C448" s="41" t="str">
        <f aca="false">IF(A448="","",TEXT(A448,"mmm-yyyy"))</f>
        <v/>
      </c>
      <c r="I448" s="47" t="str">
        <f aca="false">IF(G448="","",G448+H448)</f>
        <v/>
      </c>
    </row>
    <row r="449" customFormat="false" ht="15" hidden="false" customHeight="false" outlineLevel="0" collapsed="false">
      <c r="C449" s="41" t="str">
        <f aca="false">IF(A449="","",TEXT(A449,"mmm-yyyy"))</f>
        <v/>
      </c>
      <c r="I449" s="47" t="str">
        <f aca="false">IF(G449="","",G449+H449)</f>
        <v/>
      </c>
    </row>
    <row r="450" customFormat="false" ht="15" hidden="false" customHeight="false" outlineLevel="0" collapsed="false">
      <c r="C450" s="41" t="str">
        <f aca="false">IF(A450="","",TEXT(A450,"mmm-yyyy"))</f>
        <v/>
      </c>
      <c r="I450" s="47" t="str">
        <f aca="false">IF(G450="","",G450+H450)</f>
        <v/>
      </c>
    </row>
    <row r="451" customFormat="false" ht="15" hidden="false" customHeight="false" outlineLevel="0" collapsed="false">
      <c r="C451" s="41" t="str">
        <f aca="false">IF(A451="","",TEXT(A451,"mmm-yyyy"))</f>
        <v/>
      </c>
      <c r="I451" s="47" t="str">
        <f aca="false">IF(G451="","",G451+H451)</f>
        <v/>
      </c>
    </row>
    <row r="452" customFormat="false" ht="15" hidden="false" customHeight="false" outlineLevel="0" collapsed="false">
      <c r="C452" s="41" t="str">
        <f aca="false">IF(A452="","",TEXT(A452,"mmm-yyyy"))</f>
        <v/>
      </c>
      <c r="I452" s="47" t="str">
        <f aca="false">IF(G452="","",G452+H452)</f>
        <v/>
      </c>
    </row>
    <row r="453" customFormat="false" ht="15" hidden="false" customHeight="false" outlineLevel="0" collapsed="false">
      <c r="C453" s="41" t="str">
        <f aca="false">IF(A453="","",TEXT(A453,"mmm-yyyy"))</f>
        <v/>
      </c>
      <c r="I453" s="47" t="str">
        <f aca="false">IF(G453="","",G453+H453)</f>
        <v/>
      </c>
    </row>
    <row r="454" customFormat="false" ht="15" hidden="false" customHeight="false" outlineLevel="0" collapsed="false">
      <c r="C454" s="41" t="str">
        <f aca="false">IF(A454="","",TEXT(A454,"mmm-yyyy"))</f>
        <v/>
      </c>
      <c r="I454" s="47" t="str">
        <f aca="false">IF(G454="","",G454+H454)</f>
        <v/>
      </c>
    </row>
    <row r="455" customFormat="false" ht="15" hidden="false" customHeight="false" outlineLevel="0" collapsed="false">
      <c r="C455" s="41" t="str">
        <f aca="false">IF(A455="","",TEXT(A455,"mmm-yyyy"))</f>
        <v/>
      </c>
      <c r="I455" s="47" t="str">
        <f aca="false">IF(G455="","",G455+H455)</f>
        <v/>
      </c>
    </row>
    <row r="456" customFormat="false" ht="15" hidden="false" customHeight="false" outlineLevel="0" collapsed="false">
      <c r="C456" s="41" t="str">
        <f aca="false">IF(A456="","",TEXT(A456,"mmm-yyyy"))</f>
        <v/>
      </c>
      <c r="I456" s="47" t="str">
        <f aca="false">IF(G456="","",G456+H456)</f>
        <v/>
      </c>
    </row>
    <row r="457" customFormat="false" ht="15" hidden="false" customHeight="false" outlineLevel="0" collapsed="false">
      <c r="C457" s="41" t="str">
        <f aca="false">IF(A457="","",TEXT(A457,"mmm-yyyy"))</f>
        <v/>
      </c>
      <c r="I457" s="47" t="str">
        <f aca="false">IF(G457="","",G457+H457)</f>
        <v/>
      </c>
    </row>
    <row r="458" customFormat="false" ht="15" hidden="false" customHeight="false" outlineLevel="0" collapsed="false">
      <c r="C458" s="41" t="str">
        <f aca="false">IF(A458="","",TEXT(A458,"mmm-yyyy"))</f>
        <v/>
      </c>
      <c r="I458" s="47" t="str">
        <f aca="false">IF(G458="","",G458+H458)</f>
        <v/>
      </c>
    </row>
    <row r="459" customFormat="false" ht="15" hidden="false" customHeight="false" outlineLevel="0" collapsed="false">
      <c r="C459" s="41" t="str">
        <f aca="false">IF(A459="","",TEXT(A459,"mmm-yyyy"))</f>
        <v/>
      </c>
      <c r="I459" s="47" t="str">
        <f aca="false">IF(G459="","",G459+H459)</f>
        <v/>
      </c>
    </row>
    <row r="460" customFormat="false" ht="15" hidden="false" customHeight="false" outlineLevel="0" collapsed="false">
      <c r="C460" s="41" t="str">
        <f aca="false">IF(A460="","",TEXT(A460,"mmm-yyyy"))</f>
        <v/>
      </c>
      <c r="I460" s="47" t="str">
        <f aca="false">IF(G460="","",G460+H460)</f>
        <v/>
      </c>
    </row>
    <row r="461" customFormat="false" ht="15" hidden="false" customHeight="false" outlineLevel="0" collapsed="false">
      <c r="C461" s="41" t="str">
        <f aca="false">IF(A461="","",TEXT(A461,"mmm-yyyy"))</f>
        <v/>
      </c>
      <c r="I461" s="47" t="str">
        <f aca="false">IF(G461="","",G461+H461)</f>
        <v/>
      </c>
    </row>
    <row r="462" customFormat="false" ht="15" hidden="false" customHeight="false" outlineLevel="0" collapsed="false">
      <c r="C462" s="41" t="str">
        <f aca="false">IF(A462="","",TEXT(A462,"mmm-yyyy"))</f>
        <v/>
      </c>
      <c r="I462" s="47" t="str">
        <f aca="false">IF(G462="","",G462+H462)</f>
        <v/>
      </c>
    </row>
    <row r="463" customFormat="false" ht="15" hidden="false" customHeight="false" outlineLevel="0" collapsed="false">
      <c r="C463" s="41" t="str">
        <f aca="false">IF(A463="","",TEXT(A463,"mmm-yyyy"))</f>
        <v/>
      </c>
      <c r="I463" s="47" t="str">
        <f aca="false">IF(G463="","",G463+H463)</f>
        <v/>
      </c>
    </row>
    <row r="464" customFormat="false" ht="15" hidden="false" customHeight="false" outlineLevel="0" collapsed="false">
      <c r="C464" s="41" t="str">
        <f aca="false">IF(A464="","",TEXT(A464,"mmm-yyyy"))</f>
        <v/>
      </c>
      <c r="I464" s="47" t="str">
        <f aca="false">IF(G464="","",G464+H464)</f>
        <v/>
      </c>
    </row>
    <row r="465" customFormat="false" ht="15" hidden="false" customHeight="false" outlineLevel="0" collapsed="false">
      <c r="C465" s="41" t="str">
        <f aca="false">IF(A465="","",TEXT(A465,"mmm-yyyy"))</f>
        <v/>
      </c>
      <c r="I465" s="47" t="str">
        <f aca="false">IF(G465="","",G465+H465)</f>
        <v/>
      </c>
    </row>
    <row r="466" customFormat="false" ht="15" hidden="false" customHeight="false" outlineLevel="0" collapsed="false">
      <c r="C466" s="41" t="str">
        <f aca="false">IF(A466="","",TEXT(A466,"mmm-yyyy"))</f>
        <v/>
      </c>
      <c r="I466" s="47" t="str">
        <f aca="false">IF(G466="","",G466+H466)</f>
        <v/>
      </c>
    </row>
    <row r="467" customFormat="false" ht="15" hidden="false" customHeight="false" outlineLevel="0" collapsed="false">
      <c r="C467" s="41" t="str">
        <f aca="false">IF(A467="","",TEXT(A467,"mmm-yyyy"))</f>
        <v/>
      </c>
      <c r="I467" s="47" t="str">
        <f aca="false">IF(G467="","",G467+H467)</f>
        <v/>
      </c>
    </row>
    <row r="468" customFormat="false" ht="15" hidden="false" customHeight="false" outlineLevel="0" collapsed="false">
      <c r="C468" s="41" t="str">
        <f aca="false">IF(A468="","",TEXT(A468,"mmm-yyyy"))</f>
        <v/>
      </c>
      <c r="I468" s="47" t="str">
        <f aca="false">IF(G468="","",G468+H468)</f>
        <v/>
      </c>
    </row>
    <row r="469" customFormat="false" ht="15" hidden="false" customHeight="false" outlineLevel="0" collapsed="false">
      <c r="C469" s="41" t="str">
        <f aca="false">IF(A469="","",TEXT(A469,"mmm-yyyy"))</f>
        <v/>
      </c>
      <c r="I469" s="47" t="str">
        <f aca="false">IF(G469="","",G469+H469)</f>
        <v/>
      </c>
    </row>
    <row r="470" customFormat="false" ht="15" hidden="false" customHeight="false" outlineLevel="0" collapsed="false">
      <c r="C470" s="41" t="str">
        <f aca="false">IF(A470="","",TEXT(A470,"mmm-yyyy"))</f>
        <v/>
      </c>
      <c r="I470" s="47" t="str">
        <f aca="false">IF(G470="","",G470+H470)</f>
        <v/>
      </c>
    </row>
    <row r="471" customFormat="false" ht="15" hidden="false" customHeight="false" outlineLevel="0" collapsed="false">
      <c r="C471" s="41" t="str">
        <f aca="false">IF(A471="","",TEXT(A471,"mmm-yyyy"))</f>
        <v/>
      </c>
      <c r="I471" s="47" t="str">
        <f aca="false">IF(G471="","",G471+H471)</f>
        <v/>
      </c>
    </row>
    <row r="472" customFormat="false" ht="15" hidden="false" customHeight="false" outlineLevel="0" collapsed="false">
      <c r="C472" s="41" t="str">
        <f aca="false">IF(A472="","",TEXT(A472,"mmm-yyyy"))</f>
        <v/>
      </c>
      <c r="I472" s="47" t="str">
        <f aca="false">IF(G472="","",G472+H472)</f>
        <v/>
      </c>
    </row>
    <row r="473" customFormat="false" ht="15" hidden="false" customHeight="false" outlineLevel="0" collapsed="false">
      <c r="C473" s="41" t="str">
        <f aca="false">IF(A473="","",TEXT(A473,"mmm-yyyy"))</f>
        <v/>
      </c>
      <c r="I473" s="47" t="str">
        <f aca="false">IF(G473="","",G473+H473)</f>
        <v/>
      </c>
    </row>
    <row r="474" customFormat="false" ht="15" hidden="false" customHeight="false" outlineLevel="0" collapsed="false">
      <c r="C474" s="41" t="str">
        <f aca="false">IF(A474="","",TEXT(A474,"mmm-yyyy"))</f>
        <v/>
      </c>
      <c r="I474" s="47" t="str">
        <f aca="false">IF(G474="","",G474+H474)</f>
        <v/>
      </c>
    </row>
    <row r="475" customFormat="false" ht="15" hidden="false" customHeight="false" outlineLevel="0" collapsed="false">
      <c r="C475" s="41" t="str">
        <f aca="false">IF(A475="","",TEXT(A475,"mmm-yyyy"))</f>
        <v/>
      </c>
      <c r="I475" s="47" t="str">
        <f aca="false">IF(G475="","",G475+H475)</f>
        <v/>
      </c>
    </row>
    <row r="476" customFormat="false" ht="15" hidden="false" customHeight="false" outlineLevel="0" collapsed="false">
      <c r="C476" s="41" t="str">
        <f aca="false">IF(A476="","",TEXT(A476,"mmm-yyyy"))</f>
        <v/>
      </c>
      <c r="I476" s="47" t="str">
        <f aca="false">IF(G476="","",G476+H476)</f>
        <v/>
      </c>
    </row>
    <row r="477" customFormat="false" ht="15" hidden="false" customHeight="false" outlineLevel="0" collapsed="false">
      <c r="C477" s="41" t="str">
        <f aca="false">IF(A477="","",TEXT(A477,"mmm-yyyy"))</f>
        <v/>
      </c>
      <c r="I477" s="47" t="str">
        <f aca="false">IF(G477="","",G477+H477)</f>
        <v/>
      </c>
    </row>
    <row r="478" customFormat="false" ht="15" hidden="false" customHeight="false" outlineLevel="0" collapsed="false">
      <c r="C478" s="41" t="str">
        <f aca="false">IF(A478="","",TEXT(A478,"mmm-yyyy"))</f>
        <v/>
      </c>
      <c r="I478" s="47" t="str">
        <f aca="false">IF(G478="","",G478+H478)</f>
        <v/>
      </c>
    </row>
    <row r="479" customFormat="false" ht="15" hidden="false" customHeight="false" outlineLevel="0" collapsed="false">
      <c r="C479" s="41" t="str">
        <f aca="false">IF(A479="","",TEXT(A479,"mmm-yyyy"))</f>
        <v/>
      </c>
      <c r="I479" s="47" t="str">
        <f aca="false">IF(G479="","",G479+H479)</f>
        <v/>
      </c>
    </row>
    <row r="480" customFormat="false" ht="15" hidden="false" customHeight="false" outlineLevel="0" collapsed="false">
      <c r="C480" s="41" t="str">
        <f aca="false">IF(A480="","",TEXT(A480,"mmm-yyyy"))</f>
        <v/>
      </c>
      <c r="I480" s="47" t="str">
        <f aca="false">IF(G480="","",G480+H480)</f>
        <v/>
      </c>
    </row>
    <row r="481" customFormat="false" ht="15" hidden="false" customHeight="false" outlineLevel="0" collapsed="false">
      <c r="C481" s="41" t="str">
        <f aca="false">IF(A481="","",TEXT(A481,"mmm-yyyy"))</f>
        <v/>
      </c>
      <c r="I481" s="47" t="str">
        <f aca="false">IF(G481="","",G481+H481)</f>
        <v/>
      </c>
    </row>
    <row r="482" customFormat="false" ht="15" hidden="false" customHeight="false" outlineLevel="0" collapsed="false">
      <c r="C482" s="41" t="str">
        <f aca="false">IF(A482="","",TEXT(A482,"mmm-yyyy"))</f>
        <v/>
      </c>
      <c r="I482" s="47" t="str">
        <f aca="false">IF(G482="","",G482+H482)</f>
        <v/>
      </c>
    </row>
    <row r="483" customFormat="false" ht="15" hidden="false" customHeight="false" outlineLevel="0" collapsed="false">
      <c r="C483" s="41" t="str">
        <f aca="false">IF(A483="","",TEXT(A483,"mmm-yyyy"))</f>
        <v/>
      </c>
      <c r="I483" s="47" t="str">
        <f aca="false">IF(G483="","",G483+H483)</f>
        <v/>
      </c>
    </row>
    <row r="484" customFormat="false" ht="15" hidden="false" customHeight="false" outlineLevel="0" collapsed="false">
      <c r="C484" s="41" t="str">
        <f aca="false">IF(A484="","",TEXT(A484,"mmm-yyyy"))</f>
        <v/>
      </c>
      <c r="I484" s="47" t="str">
        <f aca="false">IF(G484="","",G484+H484)</f>
        <v/>
      </c>
    </row>
    <row r="485" customFormat="false" ht="15" hidden="false" customHeight="false" outlineLevel="0" collapsed="false">
      <c r="C485" s="41" t="str">
        <f aca="false">IF(A485="","",TEXT(A485,"mmm-yyyy"))</f>
        <v/>
      </c>
      <c r="I485" s="47" t="str">
        <f aca="false">IF(G485="","",G485+H485)</f>
        <v/>
      </c>
    </row>
    <row r="486" customFormat="false" ht="15" hidden="false" customHeight="false" outlineLevel="0" collapsed="false">
      <c r="C486" s="41" t="str">
        <f aca="false">IF(A486="","",TEXT(A486,"mmm-yyyy"))</f>
        <v/>
      </c>
      <c r="I486" s="47" t="str">
        <f aca="false">IF(G486="","",G486+H486)</f>
        <v/>
      </c>
    </row>
    <row r="487" customFormat="false" ht="15" hidden="false" customHeight="false" outlineLevel="0" collapsed="false">
      <c r="C487" s="41" t="str">
        <f aca="false">IF(A487="","",TEXT(A487,"mmm-yyyy"))</f>
        <v/>
      </c>
      <c r="I487" s="47" t="str">
        <f aca="false">IF(G487="","",G487+H487)</f>
        <v/>
      </c>
    </row>
    <row r="488" customFormat="false" ht="15" hidden="false" customHeight="false" outlineLevel="0" collapsed="false">
      <c r="C488" s="41" t="str">
        <f aca="false">IF(A488="","",TEXT(A488,"mmm-yyyy"))</f>
        <v/>
      </c>
      <c r="I488" s="47" t="str">
        <f aca="false">IF(G488="","",G488+H488)</f>
        <v/>
      </c>
    </row>
    <row r="489" customFormat="false" ht="15" hidden="false" customHeight="false" outlineLevel="0" collapsed="false">
      <c r="C489" s="41" t="str">
        <f aca="false">IF(A489="","",TEXT(A489,"mmm-yyyy"))</f>
        <v/>
      </c>
      <c r="I489" s="47" t="str">
        <f aca="false">IF(G489="","",G489+H489)</f>
        <v/>
      </c>
    </row>
    <row r="490" customFormat="false" ht="15" hidden="false" customHeight="false" outlineLevel="0" collapsed="false">
      <c r="C490" s="41" t="str">
        <f aca="false">IF(A490="","",TEXT(A490,"mmm-yyyy"))</f>
        <v/>
      </c>
      <c r="I490" s="47" t="str">
        <f aca="false">IF(G490="","",G490+H490)</f>
        <v/>
      </c>
    </row>
    <row r="491" customFormat="false" ht="15" hidden="false" customHeight="false" outlineLevel="0" collapsed="false">
      <c r="C491" s="41" t="str">
        <f aca="false">IF(A491="","",TEXT(A491,"mmm-yyyy"))</f>
        <v/>
      </c>
      <c r="I491" s="47" t="str">
        <f aca="false">IF(G491="","",G491+H491)</f>
        <v/>
      </c>
    </row>
    <row r="492" customFormat="false" ht="15" hidden="false" customHeight="false" outlineLevel="0" collapsed="false">
      <c r="C492" s="41" t="str">
        <f aca="false">IF(A492="","",TEXT(A492,"mmm-yyyy"))</f>
        <v/>
      </c>
      <c r="I492" s="47" t="str">
        <f aca="false">IF(G492="","",G492+H492)</f>
        <v/>
      </c>
    </row>
    <row r="493" customFormat="false" ht="15" hidden="false" customHeight="false" outlineLevel="0" collapsed="false">
      <c r="C493" s="41" t="str">
        <f aca="false">IF(A493="","",TEXT(A493,"mmm-yyyy"))</f>
        <v/>
      </c>
      <c r="I493" s="47" t="str">
        <f aca="false">IF(G493="","",G493+H493)</f>
        <v/>
      </c>
    </row>
    <row r="494" customFormat="false" ht="15" hidden="false" customHeight="false" outlineLevel="0" collapsed="false">
      <c r="C494" s="41" t="str">
        <f aca="false">IF(A494="","",TEXT(A494,"mmm-yyyy"))</f>
        <v/>
      </c>
      <c r="I494" s="47" t="str">
        <f aca="false">IF(G494="","",G494+H494)</f>
        <v/>
      </c>
    </row>
    <row r="495" customFormat="false" ht="15" hidden="false" customHeight="false" outlineLevel="0" collapsed="false">
      <c r="C495" s="41" t="str">
        <f aca="false">IF(A495="","",TEXT(A495,"mmm-yyyy"))</f>
        <v/>
      </c>
      <c r="I495" s="47" t="str">
        <f aca="false">IF(G495="","",G495+H495)</f>
        <v/>
      </c>
    </row>
    <row r="496" customFormat="false" ht="15" hidden="false" customHeight="false" outlineLevel="0" collapsed="false">
      <c r="C496" s="41" t="str">
        <f aca="false">IF(A496="","",TEXT(A496,"mmm-yyyy"))</f>
        <v/>
      </c>
      <c r="I496" s="47" t="str">
        <f aca="false">IF(G496="","",G496+H496)</f>
        <v/>
      </c>
    </row>
    <row r="497" customFormat="false" ht="15" hidden="false" customHeight="false" outlineLevel="0" collapsed="false">
      <c r="C497" s="41" t="str">
        <f aca="false">IF(A497="","",TEXT(A497,"mmm-yyyy"))</f>
        <v/>
      </c>
      <c r="I497" s="47" t="str">
        <f aca="false">IF(G497="","",G497+H497)</f>
        <v/>
      </c>
    </row>
    <row r="498" customFormat="false" ht="15" hidden="false" customHeight="false" outlineLevel="0" collapsed="false">
      <c r="C498" s="41" t="str">
        <f aca="false">IF(A498="","",TEXT(A498,"mmm-yyyy"))</f>
        <v/>
      </c>
      <c r="I498" s="47" t="str">
        <f aca="false">IF(G498="","",G498+H498)</f>
        <v/>
      </c>
    </row>
    <row r="499" customFormat="false" ht="15" hidden="false" customHeight="false" outlineLevel="0" collapsed="false">
      <c r="C499" s="41" t="str">
        <f aca="false">IF(A499="","",TEXT(A499,"mmm-yyyy"))</f>
        <v/>
      </c>
      <c r="I499" s="47" t="str">
        <f aca="false">IF(G499="","",G499+H499)</f>
        <v/>
      </c>
    </row>
    <row r="500" customFormat="false" ht="15" hidden="false" customHeight="false" outlineLevel="0" collapsed="false">
      <c r="C500" s="41" t="str">
        <f aca="false">IF(A500="","",TEXT(A500,"mmm-yyyy"))</f>
        <v/>
      </c>
      <c r="I500" s="47" t="str">
        <f aca="false">IF(G500="","",G500+H500)</f>
        <v/>
      </c>
    </row>
    <row r="501" customFormat="false" ht="15" hidden="false" customHeight="false" outlineLevel="0" collapsed="false">
      <c r="C501" s="41" t="str">
        <f aca="false">IF(A501="","",TEXT(A501,"mmm-yyyy"))</f>
        <v/>
      </c>
      <c r="I501" s="47" t="str">
        <f aca="false">IF(G501="","",G501+H501)</f>
        <v/>
      </c>
    </row>
    <row r="502" customFormat="false" ht="15" hidden="false" customHeight="false" outlineLevel="0" collapsed="false">
      <c r="C502" s="41" t="str">
        <f aca="false">IF(A502="","",TEXT(A502,"mmm-yyyy"))</f>
        <v/>
      </c>
      <c r="I502" s="47" t="str">
        <f aca="false">IF(G502="","",G502+H502)</f>
        <v/>
      </c>
    </row>
    <row r="503" customFormat="false" ht="15" hidden="false" customHeight="false" outlineLevel="0" collapsed="false">
      <c r="C503" s="41" t="str">
        <f aca="false">IF(A503="","",TEXT(A503,"mmm-yyyy"))</f>
        <v/>
      </c>
      <c r="I503" s="47" t="str">
        <f aca="false">IF(G503="","",G503+H503)</f>
        <v/>
      </c>
    </row>
    <row r="504" customFormat="false" ht="15" hidden="false" customHeight="false" outlineLevel="0" collapsed="false">
      <c r="C504" s="41" t="str">
        <f aca="false">IF(A504="","",TEXT(A504,"mmm-yyyy"))</f>
        <v/>
      </c>
      <c r="I504" s="47" t="str">
        <f aca="false">IF(G504="","",G504+H504)</f>
        <v/>
      </c>
    </row>
    <row r="505" customFormat="false" ht="15" hidden="false" customHeight="false" outlineLevel="0" collapsed="false">
      <c r="C505" s="41" t="str">
        <f aca="false">IF(A505="","",TEXT(A505,"mmm-yyyy"))</f>
        <v/>
      </c>
      <c r="I505" s="47" t="str">
        <f aca="false">IF(G505="","",G505+H505)</f>
        <v/>
      </c>
    </row>
    <row r="506" customFormat="false" ht="15" hidden="false" customHeight="false" outlineLevel="0" collapsed="false">
      <c r="C506" s="41" t="str">
        <f aca="false">IF(A506="","",TEXT(A506,"mmm-yyyy"))</f>
        <v/>
      </c>
      <c r="I506" s="47" t="str">
        <f aca="false">IF(G506="","",G506+H506)</f>
        <v/>
      </c>
    </row>
    <row r="507" customFormat="false" ht="15" hidden="false" customHeight="false" outlineLevel="0" collapsed="false">
      <c r="C507" s="41" t="str">
        <f aca="false">IF(A507="","",TEXT(A507,"mmm-yyyy"))</f>
        <v/>
      </c>
      <c r="I507" s="47" t="str">
        <f aca="false">IF(G507="","",G507+H507)</f>
        <v/>
      </c>
    </row>
    <row r="508" customFormat="false" ht="15" hidden="false" customHeight="false" outlineLevel="0" collapsed="false">
      <c r="C508" s="41" t="str">
        <f aca="false">IF(A508="","",TEXT(A508,"mmm-yyyy"))</f>
        <v/>
      </c>
      <c r="I508" s="47" t="str">
        <f aca="false">IF(G508="","",G508+H508)</f>
        <v/>
      </c>
    </row>
    <row r="509" customFormat="false" ht="15" hidden="false" customHeight="false" outlineLevel="0" collapsed="false">
      <c r="C509" s="41" t="str">
        <f aca="false">IF(A509="","",TEXT(A509,"mmm-yyyy"))</f>
        <v/>
      </c>
      <c r="I509" s="47" t="str">
        <f aca="false">IF(G509="","",G509+H509)</f>
        <v/>
      </c>
    </row>
    <row r="510" customFormat="false" ht="15" hidden="false" customHeight="false" outlineLevel="0" collapsed="false">
      <c r="C510" s="41" t="str">
        <f aca="false">IF(A510="","",TEXT(A510,"mmm-yyyy"))</f>
        <v/>
      </c>
      <c r="I510" s="47" t="str">
        <f aca="false">IF(G510="","",G510+H510)</f>
        <v/>
      </c>
    </row>
    <row r="511" customFormat="false" ht="15" hidden="false" customHeight="false" outlineLevel="0" collapsed="false">
      <c r="C511" s="41" t="str">
        <f aca="false">IF(A511="","",TEXT(A511,"mmm-yyyy"))</f>
        <v/>
      </c>
      <c r="I511" s="47" t="str">
        <f aca="false">IF(G511="","",G511+H511)</f>
        <v/>
      </c>
    </row>
    <row r="512" customFormat="false" ht="15" hidden="false" customHeight="false" outlineLevel="0" collapsed="false">
      <c r="C512" s="41" t="str">
        <f aca="false">IF(A512="","",TEXT(A512,"mmm-yyyy"))</f>
        <v/>
      </c>
      <c r="I512" s="47" t="str">
        <f aca="false">IF(G512="","",G512+H512)</f>
        <v/>
      </c>
    </row>
    <row r="513" customFormat="false" ht="15" hidden="false" customHeight="false" outlineLevel="0" collapsed="false">
      <c r="C513" s="41" t="str">
        <f aca="false">IF(A513="","",TEXT(A513,"mmm-yyyy"))</f>
        <v/>
      </c>
      <c r="I513" s="47" t="str">
        <f aca="false">IF(G513="","",G513+H513)</f>
        <v/>
      </c>
    </row>
    <row r="514" customFormat="false" ht="15" hidden="false" customHeight="false" outlineLevel="0" collapsed="false">
      <c r="C514" s="41" t="str">
        <f aca="false">IF(A514="","",TEXT(A514,"mmm-yyyy"))</f>
        <v/>
      </c>
      <c r="I514" s="47" t="str">
        <f aca="false">IF(G514="","",G514+H514)</f>
        <v/>
      </c>
    </row>
    <row r="515" customFormat="false" ht="15" hidden="false" customHeight="false" outlineLevel="0" collapsed="false">
      <c r="C515" s="41" t="str">
        <f aca="false">IF(A515="","",TEXT(A515,"mmm-yyyy"))</f>
        <v/>
      </c>
      <c r="I515" s="47" t="str">
        <f aca="false">IF(G515="","",G515+H515)</f>
        <v/>
      </c>
    </row>
    <row r="516" customFormat="false" ht="15" hidden="false" customHeight="false" outlineLevel="0" collapsed="false">
      <c r="C516" s="41" t="str">
        <f aca="false">IF(A516="","",TEXT(A516,"mmm-yyyy"))</f>
        <v/>
      </c>
      <c r="I516" s="47" t="str">
        <f aca="false">IF(G516="","",G516+H516)</f>
        <v/>
      </c>
    </row>
    <row r="517" customFormat="false" ht="15" hidden="false" customHeight="false" outlineLevel="0" collapsed="false">
      <c r="C517" s="41" t="str">
        <f aca="false">IF(A517="","",TEXT(A517,"mmm-yyyy"))</f>
        <v/>
      </c>
      <c r="I517" s="47" t="str">
        <f aca="false">IF(G517="","",G517+H517)</f>
        <v/>
      </c>
    </row>
    <row r="518" customFormat="false" ht="15" hidden="false" customHeight="false" outlineLevel="0" collapsed="false">
      <c r="C518" s="41" t="str">
        <f aca="false">IF(A518="","",TEXT(A518,"mmm-yyyy"))</f>
        <v/>
      </c>
      <c r="I518" s="47" t="str">
        <f aca="false">IF(G518="","",G518+H518)</f>
        <v/>
      </c>
    </row>
    <row r="519" customFormat="false" ht="15" hidden="false" customHeight="false" outlineLevel="0" collapsed="false">
      <c r="C519" s="41" t="str">
        <f aca="false">IF(A519="","",TEXT(A519,"mmm-yyyy"))</f>
        <v/>
      </c>
      <c r="I519" s="47" t="str">
        <f aca="false">IF(G519="","",G519+H519)</f>
        <v/>
      </c>
    </row>
    <row r="520" customFormat="false" ht="15" hidden="false" customHeight="false" outlineLevel="0" collapsed="false">
      <c r="C520" s="41" t="str">
        <f aca="false">IF(A520="","",TEXT(A520,"mmm-yyyy"))</f>
        <v/>
      </c>
      <c r="I520" s="47" t="str">
        <f aca="false">IF(G520="","",G520+H520)</f>
        <v/>
      </c>
    </row>
    <row r="521" customFormat="false" ht="15" hidden="false" customHeight="false" outlineLevel="0" collapsed="false">
      <c r="C521" s="41" t="str">
        <f aca="false">IF(A521="","",TEXT(A521,"mmm-yyyy"))</f>
        <v/>
      </c>
      <c r="I521" s="47" t="str">
        <f aca="false">IF(G521="","",G521+H521)</f>
        <v/>
      </c>
    </row>
    <row r="522" customFormat="false" ht="15" hidden="false" customHeight="false" outlineLevel="0" collapsed="false">
      <c r="C522" s="41" t="str">
        <f aca="false">IF(A522="","",TEXT(A522,"mmm-yyyy"))</f>
        <v/>
      </c>
      <c r="I522" s="47" t="str">
        <f aca="false">IF(G522="","",G522+H522)</f>
        <v/>
      </c>
    </row>
    <row r="523" customFormat="false" ht="15" hidden="false" customHeight="false" outlineLevel="0" collapsed="false">
      <c r="C523" s="41" t="str">
        <f aca="false">IF(A523="","",TEXT(A523,"mmm-yyyy"))</f>
        <v/>
      </c>
      <c r="I523" s="47" t="str">
        <f aca="false">IF(G523="","",G523+H523)</f>
        <v/>
      </c>
    </row>
    <row r="524" customFormat="false" ht="15" hidden="false" customHeight="false" outlineLevel="0" collapsed="false">
      <c r="C524" s="41" t="str">
        <f aca="false">IF(A524="","",TEXT(A524,"mmm-yyyy"))</f>
        <v/>
      </c>
      <c r="I524" s="47" t="str">
        <f aca="false">IF(G524="","",G524+H524)</f>
        <v/>
      </c>
    </row>
    <row r="525" customFormat="false" ht="15" hidden="false" customHeight="false" outlineLevel="0" collapsed="false">
      <c r="C525" s="41" t="str">
        <f aca="false">IF(A525="","",TEXT(A525,"mmm-yyyy"))</f>
        <v/>
      </c>
      <c r="I525" s="47" t="str">
        <f aca="false">IF(G525="","",G525+H525)</f>
        <v/>
      </c>
    </row>
    <row r="526" customFormat="false" ht="15" hidden="false" customHeight="false" outlineLevel="0" collapsed="false">
      <c r="C526" s="41" t="str">
        <f aca="false">IF(A526="","",TEXT(A526,"mmm-yyyy"))</f>
        <v/>
      </c>
      <c r="I526" s="47" t="str">
        <f aca="false">IF(G526="","",G526+H526)</f>
        <v/>
      </c>
    </row>
    <row r="527" customFormat="false" ht="15" hidden="false" customHeight="false" outlineLevel="0" collapsed="false">
      <c r="C527" s="41" t="str">
        <f aca="false">IF(A527="","",TEXT(A527,"mmm-yyyy"))</f>
        <v/>
      </c>
      <c r="I527" s="47" t="str">
        <f aca="false">IF(G527="","",G527+H527)</f>
        <v/>
      </c>
    </row>
    <row r="528" customFormat="false" ht="15" hidden="false" customHeight="false" outlineLevel="0" collapsed="false">
      <c r="C528" s="41" t="str">
        <f aca="false">IF(A528="","",TEXT(A528,"mmm-yyyy"))</f>
        <v/>
      </c>
      <c r="I528" s="47" t="str">
        <f aca="false">IF(G528="","",G528+H528)</f>
        <v/>
      </c>
    </row>
    <row r="529" customFormat="false" ht="15" hidden="false" customHeight="false" outlineLevel="0" collapsed="false">
      <c r="C529" s="41" t="str">
        <f aca="false">IF(A529="","",TEXT(A529,"mmm-yyyy"))</f>
        <v/>
      </c>
      <c r="I529" s="47" t="str">
        <f aca="false">IF(G529="","",G529+H529)</f>
        <v/>
      </c>
    </row>
    <row r="530" customFormat="false" ht="15" hidden="false" customHeight="false" outlineLevel="0" collapsed="false">
      <c r="C530" s="41" t="str">
        <f aca="false">IF(A530="","",TEXT(A530,"mmm-yyyy"))</f>
        <v/>
      </c>
      <c r="I530" s="47" t="str">
        <f aca="false">IF(G530="","",G530+H530)</f>
        <v/>
      </c>
    </row>
    <row r="531" customFormat="false" ht="15" hidden="false" customHeight="false" outlineLevel="0" collapsed="false">
      <c r="C531" s="41" t="str">
        <f aca="false">IF(A531="","",TEXT(A531,"mmm-yyyy"))</f>
        <v/>
      </c>
      <c r="I531" s="47" t="str">
        <f aca="false">IF(G531="","",G531+H531)</f>
        <v/>
      </c>
    </row>
    <row r="532" customFormat="false" ht="15" hidden="false" customHeight="false" outlineLevel="0" collapsed="false">
      <c r="C532" s="41" t="str">
        <f aca="false">IF(A532="","",TEXT(A532,"mmm-yyyy"))</f>
        <v/>
      </c>
      <c r="I532" s="47" t="str">
        <f aca="false">IF(G532="","",G532+H532)</f>
        <v/>
      </c>
    </row>
    <row r="533" customFormat="false" ht="15" hidden="false" customHeight="false" outlineLevel="0" collapsed="false">
      <c r="C533" s="41" t="str">
        <f aca="false">IF(A533="","",TEXT(A533,"mmm-yyyy"))</f>
        <v/>
      </c>
      <c r="I533" s="47" t="str">
        <f aca="false">IF(G533="","",G533+H533)</f>
        <v/>
      </c>
    </row>
    <row r="534" customFormat="false" ht="15" hidden="false" customHeight="false" outlineLevel="0" collapsed="false">
      <c r="C534" s="41" t="str">
        <f aca="false">IF(A534="","",TEXT(A534,"mmm-yyyy"))</f>
        <v/>
      </c>
      <c r="I534" s="47" t="str">
        <f aca="false">IF(G534="","",G534+H534)</f>
        <v/>
      </c>
    </row>
    <row r="535" customFormat="false" ht="15" hidden="false" customHeight="false" outlineLevel="0" collapsed="false">
      <c r="C535" s="41" t="str">
        <f aca="false">IF(A535="","",TEXT(A535,"mmm-yyyy"))</f>
        <v/>
      </c>
      <c r="I535" s="47" t="str">
        <f aca="false">IF(G535="","",G535+H535)</f>
        <v/>
      </c>
    </row>
    <row r="536" customFormat="false" ht="15" hidden="false" customHeight="false" outlineLevel="0" collapsed="false">
      <c r="C536" s="41" t="str">
        <f aca="false">IF(A536="","",TEXT(A536,"mmm-yyyy"))</f>
        <v/>
      </c>
      <c r="I536" s="47" t="str">
        <f aca="false">IF(G536="","",G536+H536)</f>
        <v/>
      </c>
    </row>
    <row r="537" customFormat="false" ht="15" hidden="false" customHeight="false" outlineLevel="0" collapsed="false">
      <c r="C537" s="41" t="str">
        <f aca="false">IF(A537="","",TEXT(A537,"mmm-yyyy"))</f>
        <v/>
      </c>
      <c r="I537" s="47" t="str">
        <f aca="false">IF(G537="","",G537+H537)</f>
        <v/>
      </c>
    </row>
    <row r="538" customFormat="false" ht="15" hidden="false" customHeight="false" outlineLevel="0" collapsed="false">
      <c r="C538" s="41" t="str">
        <f aca="false">IF(A538="","",TEXT(A538,"mmm-yyyy"))</f>
        <v/>
      </c>
      <c r="I538" s="47" t="str">
        <f aca="false">IF(G538="","",G538+H538)</f>
        <v/>
      </c>
    </row>
    <row r="539" customFormat="false" ht="15" hidden="false" customHeight="false" outlineLevel="0" collapsed="false">
      <c r="C539" s="41" t="str">
        <f aca="false">IF(A539="","",TEXT(A539,"mmm-yyyy"))</f>
        <v/>
      </c>
      <c r="I539" s="47" t="str">
        <f aca="false">IF(G539="","",G539+H539)</f>
        <v/>
      </c>
    </row>
    <row r="540" customFormat="false" ht="15" hidden="false" customHeight="false" outlineLevel="0" collapsed="false">
      <c r="C540" s="41" t="str">
        <f aca="false">IF(A540="","",TEXT(A540,"mmm-yyyy"))</f>
        <v/>
      </c>
      <c r="I540" s="47" t="str">
        <f aca="false">IF(G540="","",G540+H540)</f>
        <v/>
      </c>
    </row>
    <row r="541" customFormat="false" ht="15" hidden="false" customHeight="false" outlineLevel="0" collapsed="false">
      <c r="C541" s="41" t="str">
        <f aca="false">IF(A541="","",TEXT(A541,"mmm-yyyy"))</f>
        <v/>
      </c>
      <c r="I541" s="47" t="str">
        <f aca="false">IF(G541="","",G541+H541)</f>
        <v/>
      </c>
    </row>
    <row r="542" customFormat="false" ht="15" hidden="false" customHeight="false" outlineLevel="0" collapsed="false">
      <c r="C542" s="41" t="str">
        <f aca="false">IF(A542="","",TEXT(A542,"mmm-yyyy"))</f>
        <v/>
      </c>
      <c r="I542" s="47" t="str">
        <f aca="false">IF(G542="","",G542+H542)</f>
        <v/>
      </c>
    </row>
    <row r="543" customFormat="false" ht="15" hidden="false" customHeight="false" outlineLevel="0" collapsed="false">
      <c r="C543" s="41" t="str">
        <f aca="false">IF(A543="","",TEXT(A543,"mmm-yyyy"))</f>
        <v/>
      </c>
      <c r="I543" s="47" t="str">
        <f aca="false">IF(G543="","",G543+H543)</f>
        <v/>
      </c>
    </row>
    <row r="544" customFormat="false" ht="15" hidden="false" customHeight="false" outlineLevel="0" collapsed="false">
      <c r="C544" s="41" t="str">
        <f aca="false">IF(A544="","",TEXT(A544,"mmm-yyyy"))</f>
        <v/>
      </c>
      <c r="I544" s="47" t="str">
        <f aca="false">IF(G544="","",G544+H544)</f>
        <v/>
      </c>
    </row>
    <row r="545" customFormat="false" ht="15" hidden="false" customHeight="false" outlineLevel="0" collapsed="false">
      <c r="C545" s="41" t="str">
        <f aca="false">IF(A545="","",TEXT(A545,"mmm-yyyy"))</f>
        <v/>
      </c>
      <c r="I545" s="47" t="str">
        <f aca="false">IF(G545="","",G545+H545)</f>
        <v/>
      </c>
    </row>
    <row r="546" customFormat="false" ht="15" hidden="false" customHeight="false" outlineLevel="0" collapsed="false">
      <c r="C546" s="41" t="str">
        <f aca="false">IF(A546="","",TEXT(A546,"mmm-yyyy"))</f>
        <v/>
      </c>
      <c r="I546" s="47" t="str">
        <f aca="false">IF(G546="","",G546+H546)</f>
        <v/>
      </c>
    </row>
    <row r="547" customFormat="false" ht="15" hidden="false" customHeight="false" outlineLevel="0" collapsed="false">
      <c r="C547" s="41" t="str">
        <f aca="false">IF(A547="","",TEXT(A547,"mmm-yyyy"))</f>
        <v/>
      </c>
      <c r="I547" s="47" t="str">
        <f aca="false">IF(G547="","",G547+H547)</f>
        <v/>
      </c>
    </row>
    <row r="548" customFormat="false" ht="15" hidden="false" customHeight="false" outlineLevel="0" collapsed="false">
      <c r="C548" s="41" t="str">
        <f aca="false">IF(A548="","",TEXT(A548,"mmm-yyyy"))</f>
        <v/>
      </c>
      <c r="I548" s="47" t="str">
        <f aca="false">IF(G548="","",G548+H548)</f>
        <v/>
      </c>
    </row>
    <row r="549" customFormat="false" ht="15" hidden="false" customHeight="false" outlineLevel="0" collapsed="false">
      <c r="C549" s="41" t="str">
        <f aca="false">IF(A549="","",TEXT(A549,"mmm-yyyy"))</f>
        <v/>
      </c>
      <c r="I549" s="47" t="str">
        <f aca="false">IF(G549="","",G549+H549)</f>
        <v/>
      </c>
    </row>
    <row r="550" customFormat="false" ht="15" hidden="false" customHeight="false" outlineLevel="0" collapsed="false">
      <c r="C550" s="41" t="str">
        <f aca="false">IF(A550="","",TEXT(A550,"mmm-yyyy"))</f>
        <v/>
      </c>
      <c r="I550" s="47" t="str">
        <f aca="false">IF(G550="","",G550+H550)</f>
        <v/>
      </c>
    </row>
    <row r="551" customFormat="false" ht="15" hidden="false" customHeight="false" outlineLevel="0" collapsed="false">
      <c r="C551" s="41" t="str">
        <f aca="false">IF(A551="","",TEXT(A551,"mmm-yyyy"))</f>
        <v/>
      </c>
      <c r="I551" s="47" t="str">
        <f aca="false">IF(G551="","",G551+H551)</f>
        <v/>
      </c>
    </row>
    <row r="552" customFormat="false" ht="15" hidden="false" customHeight="false" outlineLevel="0" collapsed="false">
      <c r="C552" s="41" t="str">
        <f aca="false">IF(A552="","",TEXT(A552,"mmm-yyyy"))</f>
        <v/>
      </c>
      <c r="I552" s="47" t="str">
        <f aca="false">IF(G552="","",G552+H552)</f>
        <v/>
      </c>
    </row>
    <row r="553" customFormat="false" ht="15" hidden="false" customHeight="false" outlineLevel="0" collapsed="false">
      <c r="C553" s="41" t="str">
        <f aca="false">IF(A553="","",TEXT(A553,"mmm-yyyy"))</f>
        <v/>
      </c>
      <c r="I553" s="47" t="str">
        <f aca="false">IF(G553="","",G553+H553)</f>
        <v/>
      </c>
    </row>
    <row r="554" customFormat="false" ht="15" hidden="false" customHeight="false" outlineLevel="0" collapsed="false">
      <c r="C554" s="41" t="str">
        <f aca="false">IF(A554="","",TEXT(A554,"mmm-yyyy"))</f>
        <v/>
      </c>
      <c r="I554" s="47" t="str">
        <f aca="false">IF(G554="","",G554+H554)</f>
        <v/>
      </c>
    </row>
    <row r="555" customFormat="false" ht="15" hidden="false" customHeight="false" outlineLevel="0" collapsed="false">
      <c r="C555" s="41" t="str">
        <f aca="false">IF(A555="","",TEXT(A555,"mmm-yyyy"))</f>
        <v/>
      </c>
      <c r="I555" s="47" t="str">
        <f aca="false">IF(G555="","",G555+H555)</f>
        <v/>
      </c>
    </row>
    <row r="556" customFormat="false" ht="15" hidden="false" customHeight="false" outlineLevel="0" collapsed="false">
      <c r="C556" s="41" t="str">
        <f aca="false">IF(A556="","",TEXT(A556,"mmm-yyyy"))</f>
        <v/>
      </c>
      <c r="I556" s="47" t="str">
        <f aca="false">IF(G556="","",G556+H556)</f>
        <v/>
      </c>
    </row>
    <row r="557" customFormat="false" ht="15" hidden="false" customHeight="false" outlineLevel="0" collapsed="false">
      <c r="C557" s="41" t="str">
        <f aca="false">IF(A557="","",TEXT(A557,"mmm-yyyy"))</f>
        <v/>
      </c>
      <c r="I557" s="47" t="str">
        <f aca="false">IF(G557="","",G557+H557)</f>
        <v/>
      </c>
    </row>
    <row r="558" customFormat="false" ht="15" hidden="false" customHeight="false" outlineLevel="0" collapsed="false">
      <c r="C558" s="41" t="str">
        <f aca="false">IF(A558="","",TEXT(A558,"mmm-yyyy"))</f>
        <v/>
      </c>
      <c r="I558" s="47" t="str">
        <f aca="false">IF(G558="","",G558+H558)</f>
        <v/>
      </c>
    </row>
    <row r="559" customFormat="false" ht="15" hidden="false" customHeight="false" outlineLevel="0" collapsed="false">
      <c r="C559" s="41" t="str">
        <f aca="false">IF(A559="","",TEXT(A559,"mmm-yyyy"))</f>
        <v/>
      </c>
      <c r="I559" s="47" t="str">
        <f aca="false">IF(G559="","",G559+H559)</f>
        <v/>
      </c>
    </row>
    <row r="560" customFormat="false" ht="15" hidden="false" customHeight="false" outlineLevel="0" collapsed="false">
      <c r="C560" s="41" t="str">
        <f aca="false">IF(A560="","",TEXT(A560,"mmm-yyyy"))</f>
        <v/>
      </c>
      <c r="I560" s="47" t="str">
        <f aca="false">IF(G560="","",G560+H560)</f>
        <v/>
      </c>
    </row>
    <row r="561" customFormat="false" ht="15" hidden="false" customHeight="false" outlineLevel="0" collapsed="false">
      <c r="C561" s="41" t="str">
        <f aca="false">IF(A561="","",TEXT(A561,"mmm-yyyy"))</f>
        <v/>
      </c>
      <c r="I561" s="47" t="str">
        <f aca="false">IF(G561="","",G561+H561)</f>
        <v/>
      </c>
    </row>
    <row r="562" customFormat="false" ht="15" hidden="false" customHeight="false" outlineLevel="0" collapsed="false">
      <c r="C562" s="41" t="str">
        <f aca="false">IF(A562="","",TEXT(A562,"mmm-yyyy"))</f>
        <v/>
      </c>
      <c r="I562" s="47" t="str">
        <f aca="false">IF(G562="","",G562+H562)</f>
        <v/>
      </c>
    </row>
    <row r="563" customFormat="false" ht="15" hidden="false" customHeight="false" outlineLevel="0" collapsed="false">
      <c r="C563" s="41" t="str">
        <f aca="false">IF(A563="","",TEXT(A563,"mmm-yyyy"))</f>
        <v/>
      </c>
      <c r="I563" s="47" t="str">
        <f aca="false">IF(G563="","",G563+H563)</f>
        <v/>
      </c>
    </row>
    <row r="564" customFormat="false" ht="15" hidden="false" customHeight="false" outlineLevel="0" collapsed="false">
      <c r="C564" s="41" t="str">
        <f aca="false">IF(A564="","",TEXT(A564,"mmm-yyyy"))</f>
        <v/>
      </c>
      <c r="I564" s="47" t="str">
        <f aca="false">IF(G564="","",G564+H564)</f>
        <v/>
      </c>
    </row>
    <row r="565" customFormat="false" ht="15" hidden="false" customHeight="false" outlineLevel="0" collapsed="false">
      <c r="C565" s="41" t="str">
        <f aca="false">IF(A565="","",TEXT(A565,"mmm-yyyy"))</f>
        <v/>
      </c>
      <c r="I565" s="47" t="str">
        <f aca="false">IF(G565="","",G565+H565)</f>
        <v/>
      </c>
    </row>
    <row r="566" customFormat="false" ht="15" hidden="false" customHeight="false" outlineLevel="0" collapsed="false">
      <c r="C566" s="41" t="str">
        <f aca="false">IF(A566="","",TEXT(A566,"mmm-yyyy"))</f>
        <v/>
      </c>
      <c r="I566" s="47" t="str">
        <f aca="false">IF(G566="","",G566+H566)</f>
        <v/>
      </c>
    </row>
    <row r="567" customFormat="false" ht="15" hidden="false" customHeight="false" outlineLevel="0" collapsed="false">
      <c r="C567" s="41" t="str">
        <f aca="false">IF(A567="","",TEXT(A567,"mmm-yyyy"))</f>
        <v/>
      </c>
      <c r="I567" s="47" t="str">
        <f aca="false">IF(G567="","",G567+H567)</f>
        <v/>
      </c>
    </row>
    <row r="568" customFormat="false" ht="15" hidden="false" customHeight="false" outlineLevel="0" collapsed="false">
      <c r="C568" s="41" t="str">
        <f aca="false">IF(A568="","",TEXT(A568,"mmm-yyyy"))</f>
        <v/>
      </c>
      <c r="I568" s="47" t="str">
        <f aca="false">IF(G568="","",G568+H568)</f>
        <v/>
      </c>
    </row>
    <row r="569" customFormat="false" ht="15" hidden="false" customHeight="false" outlineLevel="0" collapsed="false">
      <c r="C569" s="41" t="str">
        <f aca="false">IF(A569="","",TEXT(A569,"mmm-yyyy"))</f>
        <v/>
      </c>
      <c r="I569" s="47" t="str">
        <f aca="false">IF(G569="","",G569+H569)</f>
        <v/>
      </c>
    </row>
    <row r="570" customFormat="false" ht="15" hidden="false" customHeight="false" outlineLevel="0" collapsed="false">
      <c r="C570" s="41" t="str">
        <f aca="false">IF(A570="","",TEXT(A570,"mmm-yyyy"))</f>
        <v/>
      </c>
      <c r="I570" s="47" t="str">
        <f aca="false">IF(G570="","",G570+H570)</f>
        <v/>
      </c>
    </row>
    <row r="571" customFormat="false" ht="15" hidden="false" customHeight="false" outlineLevel="0" collapsed="false">
      <c r="C571" s="41" t="str">
        <f aca="false">IF(A571="","",TEXT(A571,"mmm-yyyy"))</f>
        <v/>
      </c>
      <c r="I571" s="47" t="str">
        <f aca="false">IF(G571="","",G571+H571)</f>
        <v/>
      </c>
    </row>
    <row r="572" customFormat="false" ht="15" hidden="false" customHeight="false" outlineLevel="0" collapsed="false">
      <c r="C572" s="41" t="str">
        <f aca="false">IF(A572="","",TEXT(A572,"mmm-yyyy"))</f>
        <v/>
      </c>
      <c r="I572" s="47" t="str">
        <f aca="false">IF(G572="","",G572+H572)</f>
        <v/>
      </c>
    </row>
    <row r="573" customFormat="false" ht="15" hidden="false" customHeight="false" outlineLevel="0" collapsed="false">
      <c r="C573" s="41" t="str">
        <f aca="false">IF(A573="","",TEXT(A573,"mmm-yyyy"))</f>
        <v/>
      </c>
      <c r="I573" s="47" t="str">
        <f aca="false">IF(G573="","",G573+H573)</f>
        <v/>
      </c>
    </row>
    <row r="574" customFormat="false" ht="15" hidden="false" customHeight="false" outlineLevel="0" collapsed="false">
      <c r="C574" s="41" t="str">
        <f aca="false">IF(A574="","",TEXT(A574,"mmm-yyyy"))</f>
        <v/>
      </c>
      <c r="I574" s="47" t="str">
        <f aca="false">IF(G574="","",G574+H574)</f>
        <v/>
      </c>
    </row>
    <row r="575" customFormat="false" ht="15" hidden="false" customHeight="false" outlineLevel="0" collapsed="false">
      <c r="C575" s="41" t="str">
        <f aca="false">IF(A575="","",TEXT(A575,"mmm-yyyy"))</f>
        <v/>
      </c>
      <c r="I575" s="47" t="str">
        <f aca="false">IF(G575="","",G575+H575)</f>
        <v/>
      </c>
    </row>
    <row r="576" customFormat="false" ht="15" hidden="false" customHeight="false" outlineLevel="0" collapsed="false">
      <c r="C576" s="41" t="str">
        <f aca="false">IF(A576="","",TEXT(A576,"mmm-yyyy"))</f>
        <v/>
      </c>
      <c r="I576" s="47" t="str">
        <f aca="false">IF(G576="","",G576+H576)</f>
        <v/>
      </c>
    </row>
    <row r="577" customFormat="false" ht="15" hidden="false" customHeight="false" outlineLevel="0" collapsed="false">
      <c r="C577" s="41" t="str">
        <f aca="false">IF(A577="","",TEXT(A577,"mmm-yyyy"))</f>
        <v/>
      </c>
      <c r="I577" s="47" t="str">
        <f aca="false">IF(G577="","",G577+H577)</f>
        <v/>
      </c>
    </row>
    <row r="578" customFormat="false" ht="15" hidden="false" customHeight="false" outlineLevel="0" collapsed="false">
      <c r="C578" s="41" t="str">
        <f aca="false">IF(A578="","",TEXT(A578,"mmm-yyyy"))</f>
        <v/>
      </c>
      <c r="I578" s="47" t="str">
        <f aca="false">IF(G578="","",G578+H578)</f>
        <v/>
      </c>
    </row>
    <row r="579" customFormat="false" ht="15" hidden="false" customHeight="false" outlineLevel="0" collapsed="false">
      <c r="C579" s="41" t="str">
        <f aca="false">IF(A579="","",TEXT(A579,"mmm-yyyy"))</f>
        <v/>
      </c>
      <c r="I579" s="47" t="str">
        <f aca="false">IF(G579="","",G579+H579)</f>
        <v/>
      </c>
    </row>
    <row r="580" customFormat="false" ht="15" hidden="false" customHeight="false" outlineLevel="0" collapsed="false">
      <c r="C580" s="41" t="str">
        <f aca="false">IF(A580="","",TEXT(A580,"mmm-yyyy"))</f>
        <v/>
      </c>
      <c r="I580" s="47" t="str">
        <f aca="false">IF(G580="","",G580+H580)</f>
        <v/>
      </c>
    </row>
    <row r="581" customFormat="false" ht="15" hidden="false" customHeight="false" outlineLevel="0" collapsed="false">
      <c r="C581" s="41" t="str">
        <f aca="false">IF(A581="","",TEXT(A581,"mmm-yyyy"))</f>
        <v/>
      </c>
      <c r="I581" s="47" t="str">
        <f aca="false">IF(G581="","",G581+H581)</f>
        <v/>
      </c>
    </row>
    <row r="582" customFormat="false" ht="15" hidden="false" customHeight="false" outlineLevel="0" collapsed="false">
      <c r="C582" s="41" t="str">
        <f aca="false">IF(A582="","",TEXT(A582,"mmm-yyyy"))</f>
        <v/>
      </c>
      <c r="I582" s="47" t="str">
        <f aca="false">IF(G582="","",G582+H582)</f>
        <v/>
      </c>
    </row>
    <row r="583" customFormat="false" ht="15" hidden="false" customHeight="false" outlineLevel="0" collapsed="false">
      <c r="C583" s="41" t="str">
        <f aca="false">IF(A583="","",TEXT(A583,"mmm-yyyy"))</f>
        <v/>
      </c>
      <c r="I583" s="47" t="str">
        <f aca="false">IF(G583="","",G583+H583)</f>
        <v/>
      </c>
    </row>
    <row r="584" customFormat="false" ht="15" hidden="false" customHeight="false" outlineLevel="0" collapsed="false">
      <c r="C584" s="41" t="str">
        <f aca="false">IF(A584="","",TEXT(A584,"mmm-yyyy"))</f>
        <v/>
      </c>
      <c r="I584" s="47" t="str">
        <f aca="false">IF(G584="","",G584+H584)</f>
        <v/>
      </c>
    </row>
    <row r="585" customFormat="false" ht="15" hidden="false" customHeight="false" outlineLevel="0" collapsed="false">
      <c r="C585" s="41" t="str">
        <f aca="false">IF(A585="","",TEXT(A585,"mmm-yyyy"))</f>
        <v/>
      </c>
      <c r="I585" s="47" t="str">
        <f aca="false">IF(G585="","",G585+H585)</f>
        <v/>
      </c>
    </row>
    <row r="586" customFormat="false" ht="15" hidden="false" customHeight="false" outlineLevel="0" collapsed="false">
      <c r="C586" s="41" t="str">
        <f aca="false">IF(A586="","",TEXT(A586,"mmm-yyyy"))</f>
        <v/>
      </c>
      <c r="I586" s="47" t="str">
        <f aca="false">IF(G586="","",G586+H586)</f>
        <v/>
      </c>
    </row>
    <row r="587" customFormat="false" ht="15" hidden="false" customHeight="false" outlineLevel="0" collapsed="false">
      <c r="C587" s="41" t="str">
        <f aca="false">IF(A587="","",TEXT(A587,"mmm-yyyy"))</f>
        <v/>
      </c>
      <c r="I587" s="47" t="str">
        <f aca="false">IF(G587="","",G587+H587)</f>
        <v/>
      </c>
    </row>
    <row r="588" customFormat="false" ht="15" hidden="false" customHeight="false" outlineLevel="0" collapsed="false">
      <c r="C588" s="41" t="str">
        <f aca="false">IF(A588="","",TEXT(A588,"mmm-yyyy"))</f>
        <v/>
      </c>
      <c r="I588" s="47" t="str">
        <f aca="false">IF(G588="","",G588+H588)</f>
        <v/>
      </c>
    </row>
    <row r="589" customFormat="false" ht="15" hidden="false" customHeight="false" outlineLevel="0" collapsed="false">
      <c r="C589" s="41" t="str">
        <f aca="false">IF(A589="","",TEXT(A589,"mmm-yyyy"))</f>
        <v/>
      </c>
      <c r="I589" s="47" t="str">
        <f aca="false">IF(G589="","",G589+H589)</f>
        <v/>
      </c>
    </row>
    <row r="590" customFormat="false" ht="15" hidden="false" customHeight="false" outlineLevel="0" collapsed="false">
      <c r="C590" s="41" t="str">
        <f aca="false">IF(A590="","",TEXT(A590,"mmm-yyyy"))</f>
        <v/>
      </c>
      <c r="I590" s="47" t="str">
        <f aca="false">IF(G590="","",G590+H590)</f>
        <v/>
      </c>
    </row>
    <row r="591" customFormat="false" ht="15" hidden="false" customHeight="false" outlineLevel="0" collapsed="false">
      <c r="C591" s="41" t="str">
        <f aca="false">IF(A591="","",TEXT(A591,"mmm-yyyy"))</f>
        <v/>
      </c>
      <c r="I591" s="47" t="str">
        <f aca="false">IF(G591="","",G591+H591)</f>
        <v/>
      </c>
    </row>
    <row r="592" customFormat="false" ht="15" hidden="false" customHeight="false" outlineLevel="0" collapsed="false">
      <c r="C592" s="41" t="str">
        <f aca="false">IF(A592="","",TEXT(A592,"mmm-yyyy"))</f>
        <v/>
      </c>
      <c r="I592" s="47" t="str">
        <f aca="false">IF(G592="","",G592+H592)</f>
        <v/>
      </c>
    </row>
    <row r="593" customFormat="false" ht="15" hidden="false" customHeight="false" outlineLevel="0" collapsed="false">
      <c r="C593" s="41" t="str">
        <f aca="false">IF(A593="","",TEXT(A593,"mmm-yyyy"))</f>
        <v/>
      </c>
      <c r="I593" s="47" t="str">
        <f aca="false">IF(G593="","",G593+H593)</f>
        <v/>
      </c>
    </row>
    <row r="594" customFormat="false" ht="15" hidden="false" customHeight="false" outlineLevel="0" collapsed="false">
      <c r="C594" s="41" t="str">
        <f aca="false">IF(A594="","",TEXT(A594,"mmm-yyyy"))</f>
        <v/>
      </c>
      <c r="I594" s="47" t="str">
        <f aca="false">IF(G594="","",G594+H594)</f>
        <v/>
      </c>
    </row>
    <row r="595" customFormat="false" ht="15" hidden="false" customHeight="false" outlineLevel="0" collapsed="false">
      <c r="C595" s="41" t="str">
        <f aca="false">IF(A595="","",TEXT(A595,"mmm-yyyy"))</f>
        <v/>
      </c>
      <c r="I595" s="47" t="str">
        <f aca="false">IF(G595="","",G595+H595)</f>
        <v/>
      </c>
    </row>
    <row r="596" customFormat="false" ht="15" hidden="false" customHeight="false" outlineLevel="0" collapsed="false">
      <c r="C596" s="41" t="str">
        <f aca="false">IF(A596="","",TEXT(A596,"mmm-yyyy"))</f>
        <v/>
      </c>
      <c r="I596" s="47" t="str">
        <f aca="false">IF(G596="","",G596+H596)</f>
        <v/>
      </c>
    </row>
    <row r="597" customFormat="false" ht="15" hidden="false" customHeight="false" outlineLevel="0" collapsed="false">
      <c r="C597" s="41" t="str">
        <f aca="false">IF(A597="","",TEXT(A597,"mmm-yyyy"))</f>
        <v/>
      </c>
      <c r="I597" s="47" t="str">
        <f aca="false">IF(G597="","",G597+H597)</f>
        <v/>
      </c>
    </row>
    <row r="598" customFormat="false" ht="15" hidden="false" customHeight="false" outlineLevel="0" collapsed="false">
      <c r="C598" s="41" t="str">
        <f aca="false">IF(A598="","",TEXT(A598,"mmm-yyyy"))</f>
        <v/>
      </c>
      <c r="I598" s="47" t="str">
        <f aca="false">IF(G598="","",G598+H598)</f>
        <v/>
      </c>
    </row>
    <row r="599" customFormat="false" ht="15" hidden="false" customHeight="false" outlineLevel="0" collapsed="false">
      <c r="C599" s="41" t="str">
        <f aca="false">IF(A599="","",TEXT(A599,"mmm-yyyy"))</f>
        <v/>
      </c>
      <c r="I599" s="47" t="str">
        <f aca="false">IF(G599="","",G599+H599)</f>
        <v/>
      </c>
    </row>
    <row r="600" customFormat="false" ht="15" hidden="false" customHeight="false" outlineLevel="0" collapsed="false">
      <c r="C600" s="41" t="str">
        <f aca="false">IF(A600="","",TEXT(A600,"mmm-yyyy"))</f>
        <v/>
      </c>
      <c r="I600" s="47" t="str">
        <f aca="false">IF(G600="","",G600+H600)</f>
        <v/>
      </c>
    </row>
    <row r="601" customFormat="false" ht="15" hidden="false" customHeight="false" outlineLevel="0" collapsed="false">
      <c r="C601" s="41" t="str">
        <f aca="false">IF(A601="","",TEXT(A601,"mmm-yyyy"))</f>
        <v/>
      </c>
      <c r="I601" s="47" t="str">
        <f aca="false">IF(G601="","",G601+H601)</f>
        <v/>
      </c>
    </row>
    <row r="602" customFormat="false" ht="15" hidden="false" customHeight="false" outlineLevel="0" collapsed="false">
      <c r="C602" s="41" t="str">
        <f aca="false">IF(A602="","",TEXT(A602,"mmm-yyyy"))</f>
        <v/>
      </c>
      <c r="I602" s="47" t="str">
        <f aca="false">IF(G602="","",G602+H602)</f>
        <v/>
      </c>
    </row>
    <row r="603" customFormat="false" ht="15" hidden="false" customHeight="false" outlineLevel="0" collapsed="false">
      <c r="C603" s="41" t="str">
        <f aca="false">IF(A603="","",TEXT(A603,"mmm-yyyy"))</f>
        <v/>
      </c>
      <c r="I603" s="47" t="str">
        <f aca="false">IF(G603="","",G603+H603)</f>
        <v/>
      </c>
    </row>
    <row r="604" customFormat="false" ht="15" hidden="false" customHeight="false" outlineLevel="0" collapsed="false">
      <c r="C604" s="41" t="str">
        <f aca="false">IF(A604="","",TEXT(A604,"mmm-yyyy"))</f>
        <v/>
      </c>
      <c r="I604" s="47" t="str">
        <f aca="false">IF(G604="","",G604+H604)</f>
        <v/>
      </c>
    </row>
    <row r="605" customFormat="false" ht="15" hidden="false" customHeight="false" outlineLevel="0" collapsed="false">
      <c r="C605" s="41" t="str">
        <f aca="false">IF(A605="","",TEXT(A605,"mmm-yyyy"))</f>
        <v/>
      </c>
      <c r="I605" s="47" t="str">
        <f aca="false">IF(G605="","",G605+H605)</f>
        <v/>
      </c>
    </row>
    <row r="606" customFormat="false" ht="15" hidden="false" customHeight="false" outlineLevel="0" collapsed="false">
      <c r="C606" s="41" t="str">
        <f aca="false">IF(A606="","",TEXT(A606,"mmm-yyyy"))</f>
        <v/>
      </c>
      <c r="I606" s="47" t="str">
        <f aca="false">IF(G606="","",G606+H606)</f>
        <v/>
      </c>
    </row>
    <row r="607" customFormat="false" ht="15" hidden="false" customHeight="false" outlineLevel="0" collapsed="false">
      <c r="C607" s="41" t="str">
        <f aca="false">IF(A607="","",TEXT(A607,"mmm-yyyy"))</f>
        <v/>
      </c>
      <c r="I607" s="47" t="str">
        <f aca="false">IF(G607="","",G607+H607)</f>
        <v/>
      </c>
    </row>
    <row r="608" customFormat="false" ht="15" hidden="false" customHeight="false" outlineLevel="0" collapsed="false">
      <c r="C608" s="41" t="str">
        <f aca="false">IF(A608="","",TEXT(A608,"mmm-yyyy"))</f>
        <v/>
      </c>
      <c r="I608" s="47" t="str">
        <f aca="false">IF(G608="","",G608+H608)</f>
        <v/>
      </c>
    </row>
    <row r="609" customFormat="false" ht="15" hidden="false" customHeight="false" outlineLevel="0" collapsed="false">
      <c r="C609" s="41" t="str">
        <f aca="false">IF(A609="","",TEXT(A609,"mmm-yyyy"))</f>
        <v/>
      </c>
      <c r="I609" s="47" t="str">
        <f aca="false">IF(G609="","",G609+H609)</f>
        <v/>
      </c>
    </row>
    <row r="610" customFormat="false" ht="15" hidden="false" customHeight="false" outlineLevel="0" collapsed="false">
      <c r="C610" s="41" t="str">
        <f aca="false">IF(A610="","",TEXT(A610,"mmm-yyyy"))</f>
        <v/>
      </c>
      <c r="I610" s="47" t="str">
        <f aca="false">IF(G610="","",G610+H610)</f>
        <v/>
      </c>
    </row>
    <row r="611" customFormat="false" ht="15" hidden="false" customHeight="false" outlineLevel="0" collapsed="false">
      <c r="C611" s="41" t="str">
        <f aca="false">IF(A611="","",TEXT(A611,"mmm-yyyy"))</f>
        <v/>
      </c>
      <c r="I611" s="47" t="str">
        <f aca="false">IF(G611="","",G611+H611)</f>
        <v/>
      </c>
    </row>
    <row r="612" customFormat="false" ht="15" hidden="false" customHeight="false" outlineLevel="0" collapsed="false">
      <c r="C612" s="41" t="str">
        <f aca="false">IF(A612="","",TEXT(A612,"mmm-yyyy"))</f>
        <v/>
      </c>
      <c r="I612" s="47" t="str">
        <f aca="false">IF(G612="","",G612+H612)</f>
        <v/>
      </c>
    </row>
    <row r="613" customFormat="false" ht="15" hidden="false" customHeight="false" outlineLevel="0" collapsed="false">
      <c r="C613" s="41" t="str">
        <f aca="false">IF(A613="","",TEXT(A613,"mmm-yyyy"))</f>
        <v/>
      </c>
      <c r="I613" s="47" t="str">
        <f aca="false">IF(G613="","",G613+H613)</f>
        <v/>
      </c>
    </row>
    <row r="614" customFormat="false" ht="15" hidden="false" customHeight="false" outlineLevel="0" collapsed="false">
      <c r="C614" s="41" t="str">
        <f aca="false">IF(A614="","",TEXT(A614,"mmm-yyyy"))</f>
        <v/>
      </c>
      <c r="I614" s="47" t="str">
        <f aca="false">IF(G614="","",G614+H614)</f>
        <v/>
      </c>
    </row>
    <row r="615" customFormat="false" ht="15" hidden="false" customHeight="false" outlineLevel="0" collapsed="false">
      <c r="C615" s="41" t="str">
        <f aca="false">IF(A615="","",TEXT(A615,"mmm-yyyy"))</f>
        <v/>
      </c>
      <c r="I615" s="47" t="str">
        <f aca="false">IF(G615="","",G615+H615)</f>
        <v/>
      </c>
    </row>
    <row r="616" customFormat="false" ht="15" hidden="false" customHeight="false" outlineLevel="0" collapsed="false">
      <c r="C616" s="41" t="str">
        <f aca="false">IF(A616="","",TEXT(A616,"mmm-yyyy"))</f>
        <v/>
      </c>
      <c r="I616" s="47" t="str">
        <f aca="false">IF(G616="","",G616+H616)</f>
        <v/>
      </c>
    </row>
    <row r="617" customFormat="false" ht="15" hidden="false" customHeight="false" outlineLevel="0" collapsed="false">
      <c r="C617" s="41" t="str">
        <f aca="false">IF(A617="","",TEXT(A617,"mmm-yyyy"))</f>
        <v/>
      </c>
      <c r="I617" s="47" t="str">
        <f aca="false">IF(G617="","",G617+H617)</f>
        <v/>
      </c>
    </row>
    <row r="618" customFormat="false" ht="15" hidden="false" customHeight="false" outlineLevel="0" collapsed="false">
      <c r="C618" s="41" t="str">
        <f aca="false">IF(A618="","",TEXT(A618,"mmm-yyyy"))</f>
        <v/>
      </c>
      <c r="I618" s="47" t="str">
        <f aca="false">IF(G618="","",G618+H618)</f>
        <v/>
      </c>
    </row>
    <row r="619" customFormat="false" ht="15" hidden="false" customHeight="false" outlineLevel="0" collapsed="false">
      <c r="C619" s="41" t="str">
        <f aca="false">IF(A619="","",TEXT(A619,"mmm-yyyy"))</f>
        <v/>
      </c>
      <c r="I619" s="47" t="str">
        <f aca="false">IF(G619="","",G619+H619)</f>
        <v/>
      </c>
    </row>
    <row r="620" customFormat="false" ht="15" hidden="false" customHeight="false" outlineLevel="0" collapsed="false">
      <c r="C620" s="41" t="str">
        <f aca="false">IF(A620="","",TEXT(A620,"mmm-yyyy"))</f>
        <v/>
      </c>
      <c r="I620" s="47" t="str">
        <f aca="false">IF(G620="","",G620+H620)</f>
        <v/>
      </c>
    </row>
    <row r="621" customFormat="false" ht="15" hidden="false" customHeight="false" outlineLevel="0" collapsed="false">
      <c r="C621" s="41" t="str">
        <f aca="false">IF(A621="","",TEXT(A621,"mmm-yyyy"))</f>
        <v/>
      </c>
      <c r="I621" s="47" t="str">
        <f aca="false">IF(G621="","",G621+H621)</f>
        <v/>
      </c>
    </row>
    <row r="622" customFormat="false" ht="15" hidden="false" customHeight="false" outlineLevel="0" collapsed="false">
      <c r="C622" s="41" t="str">
        <f aca="false">IF(A622="","",TEXT(A622,"mmm-yyyy"))</f>
        <v/>
      </c>
      <c r="I622" s="47" t="str">
        <f aca="false">IF(G622="","",G622+H622)</f>
        <v/>
      </c>
    </row>
    <row r="623" customFormat="false" ht="15" hidden="false" customHeight="false" outlineLevel="0" collapsed="false">
      <c r="C623" s="41" t="str">
        <f aca="false">IF(A623="","",TEXT(A623,"mmm-yyyy"))</f>
        <v/>
      </c>
      <c r="I623" s="47" t="str">
        <f aca="false">IF(G623="","",G623+H623)</f>
        <v/>
      </c>
    </row>
    <row r="624" customFormat="false" ht="15" hidden="false" customHeight="false" outlineLevel="0" collapsed="false">
      <c r="C624" s="41" t="str">
        <f aca="false">IF(A624="","",TEXT(A624,"mmm-yyyy"))</f>
        <v/>
      </c>
      <c r="I624" s="47" t="str">
        <f aca="false">IF(G624="","",G624+H624)</f>
        <v/>
      </c>
    </row>
    <row r="625" customFormat="false" ht="15" hidden="false" customHeight="false" outlineLevel="0" collapsed="false">
      <c r="C625" s="41" t="str">
        <f aca="false">IF(A625="","",TEXT(A625,"mmm-yyyy"))</f>
        <v/>
      </c>
      <c r="I625" s="47" t="str">
        <f aca="false">IF(G625="","",G625+H625)</f>
        <v/>
      </c>
    </row>
    <row r="626" customFormat="false" ht="15" hidden="false" customHeight="false" outlineLevel="0" collapsed="false">
      <c r="C626" s="41" t="str">
        <f aca="false">IF(A626="","",TEXT(A626,"mmm-yyyy"))</f>
        <v/>
      </c>
      <c r="I626" s="47" t="str">
        <f aca="false">IF(G626="","",G626+H626)</f>
        <v/>
      </c>
    </row>
    <row r="627" customFormat="false" ht="15" hidden="false" customHeight="false" outlineLevel="0" collapsed="false">
      <c r="C627" s="41" t="str">
        <f aca="false">IF(A627="","",TEXT(A627,"mmm-yyyy"))</f>
        <v/>
      </c>
      <c r="I627" s="47" t="str">
        <f aca="false">IF(G627="","",G627+H627)</f>
        <v/>
      </c>
    </row>
    <row r="628" customFormat="false" ht="15" hidden="false" customHeight="false" outlineLevel="0" collapsed="false">
      <c r="C628" s="41" t="str">
        <f aca="false">IF(A628="","",TEXT(A628,"mmm-yyyy"))</f>
        <v/>
      </c>
      <c r="I628" s="47" t="str">
        <f aca="false">IF(G628="","",G628+H628)</f>
        <v/>
      </c>
    </row>
    <row r="629" customFormat="false" ht="15" hidden="false" customHeight="false" outlineLevel="0" collapsed="false">
      <c r="C629" s="41" t="str">
        <f aca="false">IF(A629="","",TEXT(A629,"mmm-yyyy"))</f>
        <v/>
      </c>
      <c r="I629" s="47" t="str">
        <f aca="false">IF(G629="","",G629+H629)</f>
        <v/>
      </c>
    </row>
    <row r="630" customFormat="false" ht="15" hidden="false" customHeight="false" outlineLevel="0" collapsed="false">
      <c r="C630" s="41" t="str">
        <f aca="false">IF(A630="","",TEXT(A630,"mmm-yyyy"))</f>
        <v/>
      </c>
      <c r="I630" s="47" t="str">
        <f aca="false">IF(G630="","",G630+H630)</f>
        <v/>
      </c>
    </row>
    <row r="631" customFormat="false" ht="15" hidden="false" customHeight="false" outlineLevel="0" collapsed="false">
      <c r="C631" s="41" t="str">
        <f aca="false">IF(A631="","",TEXT(A631,"mmm-yyyy"))</f>
        <v/>
      </c>
      <c r="I631" s="47" t="str">
        <f aca="false">IF(G631="","",G631+H631)</f>
        <v/>
      </c>
    </row>
    <row r="632" customFormat="false" ht="15" hidden="false" customHeight="false" outlineLevel="0" collapsed="false">
      <c r="C632" s="41" t="str">
        <f aca="false">IF(A632="","",TEXT(A632,"mmm-yyyy"))</f>
        <v/>
      </c>
      <c r="I632" s="47" t="str">
        <f aca="false">IF(G632="","",G632+H632)</f>
        <v/>
      </c>
    </row>
    <row r="633" customFormat="false" ht="15" hidden="false" customHeight="false" outlineLevel="0" collapsed="false">
      <c r="C633" s="41" t="str">
        <f aca="false">IF(A633="","",TEXT(A633,"mmm-yyyy"))</f>
        <v/>
      </c>
      <c r="I633" s="47" t="str">
        <f aca="false">IF(G633="","",G633+H633)</f>
        <v/>
      </c>
    </row>
    <row r="634" customFormat="false" ht="15" hidden="false" customHeight="false" outlineLevel="0" collapsed="false">
      <c r="C634" s="41" t="str">
        <f aca="false">IF(A634="","",TEXT(A634,"mmm-yyyy"))</f>
        <v/>
      </c>
      <c r="I634" s="47" t="str">
        <f aca="false">IF(G634="","",G634+H634)</f>
        <v/>
      </c>
    </row>
    <row r="635" customFormat="false" ht="15" hidden="false" customHeight="false" outlineLevel="0" collapsed="false">
      <c r="C635" s="41" t="str">
        <f aca="false">IF(A635="","",TEXT(A635,"mmm-yyyy"))</f>
        <v/>
      </c>
      <c r="I635" s="47" t="str">
        <f aca="false">IF(G635="","",G635+H635)</f>
        <v/>
      </c>
    </row>
    <row r="636" customFormat="false" ht="15" hidden="false" customHeight="false" outlineLevel="0" collapsed="false">
      <c r="C636" s="41" t="str">
        <f aca="false">IF(A636="","",TEXT(A636,"mmm-yyyy"))</f>
        <v/>
      </c>
      <c r="I636" s="47" t="str">
        <f aca="false">IF(G636="","",G636+H636)</f>
        <v/>
      </c>
    </row>
    <row r="637" customFormat="false" ht="15" hidden="false" customHeight="false" outlineLevel="0" collapsed="false">
      <c r="C637" s="41" t="str">
        <f aca="false">IF(A637="","",TEXT(A637,"mmm-yyyy"))</f>
        <v/>
      </c>
      <c r="I637" s="47" t="str">
        <f aca="false">IF(G637="","",G637+H637)</f>
        <v/>
      </c>
    </row>
    <row r="638" customFormat="false" ht="15" hidden="false" customHeight="false" outlineLevel="0" collapsed="false">
      <c r="C638" s="41" t="str">
        <f aca="false">IF(A638="","",TEXT(A638,"mmm-yyyy"))</f>
        <v/>
      </c>
      <c r="I638" s="47" t="str">
        <f aca="false">IF(G638="","",G638+H638)</f>
        <v/>
      </c>
    </row>
    <row r="639" customFormat="false" ht="15" hidden="false" customHeight="false" outlineLevel="0" collapsed="false">
      <c r="C639" s="41" t="str">
        <f aca="false">IF(A639="","",TEXT(A639,"mmm-yyyy"))</f>
        <v/>
      </c>
      <c r="I639" s="47" t="str">
        <f aca="false">IF(G639="","",G639+H639)</f>
        <v/>
      </c>
    </row>
    <row r="640" customFormat="false" ht="15" hidden="false" customHeight="false" outlineLevel="0" collapsed="false">
      <c r="C640" s="41" t="str">
        <f aca="false">IF(A640="","",TEXT(A640,"mmm-yyyy"))</f>
        <v/>
      </c>
      <c r="I640" s="47" t="str">
        <f aca="false">IF(G640="","",G640+H640)</f>
        <v/>
      </c>
    </row>
    <row r="641" customFormat="false" ht="15" hidden="false" customHeight="false" outlineLevel="0" collapsed="false">
      <c r="C641" s="41" t="str">
        <f aca="false">IF(A641="","",TEXT(A641,"mmm-yyyy"))</f>
        <v/>
      </c>
      <c r="I641" s="47" t="str">
        <f aca="false">IF(G641="","",G641+H641)</f>
        <v/>
      </c>
    </row>
    <row r="642" customFormat="false" ht="15" hidden="false" customHeight="false" outlineLevel="0" collapsed="false">
      <c r="C642" s="41" t="str">
        <f aca="false">IF(A642="","",TEXT(A642,"mmm-yyyy"))</f>
        <v/>
      </c>
      <c r="I642" s="47" t="str">
        <f aca="false">IF(G642="","",G642+H642)</f>
        <v/>
      </c>
    </row>
    <row r="643" customFormat="false" ht="15" hidden="false" customHeight="false" outlineLevel="0" collapsed="false">
      <c r="C643" s="41" t="str">
        <f aca="false">IF(A643="","",TEXT(A643,"mmm-yyyy"))</f>
        <v/>
      </c>
      <c r="I643" s="47" t="str">
        <f aca="false">IF(G643="","",G643+H643)</f>
        <v/>
      </c>
    </row>
    <row r="644" customFormat="false" ht="15" hidden="false" customHeight="false" outlineLevel="0" collapsed="false">
      <c r="C644" s="41" t="str">
        <f aca="false">IF(A644="","",TEXT(A644,"mmm-yyyy"))</f>
        <v/>
      </c>
      <c r="I644" s="47" t="str">
        <f aca="false">IF(G644="","",G644+H644)</f>
        <v/>
      </c>
    </row>
    <row r="645" customFormat="false" ht="15" hidden="false" customHeight="false" outlineLevel="0" collapsed="false">
      <c r="C645" s="41" t="str">
        <f aca="false">IF(A645="","",TEXT(A645,"mmm-yyyy"))</f>
        <v/>
      </c>
      <c r="I645" s="47" t="str">
        <f aca="false">IF(G645="","",G645+H645)</f>
        <v/>
      </c>
    </row>
    <row r="646" customFormat="false" ht="15" hidden="false" customHeight="false" outlineLevel="0" collapsed="false">
      <c r="C646" s="41" t="str">
        <f aca="false">IF(A646="","",TEXT(A646,"mmm-yyyy"))</f>
        <v/>
      </c>
      <c r="I646" s="47" t="str">
        <f aca="false">IF(G646="","",G646+H646)</f>
        <v/>
      </c>
    </row>
    <row r="647" customFormat="false" ht="15" hidden="false" customHeight="false" outlineLevel="0" collapsed="false">
      <c r="C647" s="41" t="str">
        <f aca="false">IF(A647="","",TEXT(A647,"mmm-yyyy"))</f>
        <v/>
      </c>
      <c r="I647" s="47" t="str">
        <f aca="false">IF(G647="","",G647+H647)</f>
        <v/>
      </c>
    </row>
    <row r="648" customFormat="false" ht="15" hidden="false" customHeight="false" outlineLevel="0" collapsed="false">
      <c r="C648" s="41" t="str">
        <f aca="false">IF(A648="","",TEXT(A648,"mmm-yyyy"))</f>
        <v/>
      </c>
      <c r="I648" s="47" t="str">
        <f aca="false">IF(G648="","",G648+H648)</f>
        <v/>
      </c>
    </row>
    <row r="649" customFormat="false" ht="15" hidden="false" customHeight="false" outlineLevel="0" collapsed="false">
      <c r="C649" s="41" t="str">
        <f aca="false">IF(A649="","",TEXT(A649,"mmm-yyyy"))</f>
        <v/>
      </c>
      <c r="I649" s="47" t="str">
        <f aca="false">IF(G649="","",G649+H649)</f>
        <v/>
      </c>
    </row>
    <row r="650" customFormat="false" ht="15" hidden="false" customHeight="false" outlineLevel="0" collapsed="false">
      <c r="C650" s="41" t="str">
        <f aca="false">IF(A650="","",TEXT(A650,"mmm-yyyy"))</f>
        <v/>
      </c>
      <c r="I650" s="47" t="str">
        <f aca="false">IF(G650="","",G650+H650)</f>
        <v/>
      </c>
    </row>
    <row r="651" customFormat="false" ht="15" hidden="false" customHeight="false" outlineLevel="0" collapsed="false">
      <c r="C651" s="41" t="str">
        <f aca="false">IF(A651="","",TEXT(A651,"mmm-yyyy"))</f>
        <v/>
      </c>
      <c r="I651" s="47" t="str">
        <f aca="false">IF(G651="","",G651+H651)</f>
        <v/>
      </c>
    </row>
    <row r="652" customFormat="false" ht="15" hidden="false" customHeight="false" outlineLevel="0" collapsed="false">
      <c r="C652" s="41" t="str">
        <f aca="false">IF(A652="","",TEXT(A652,"mmm-yyyy"))</f>
        <v/>
      </c>
      <c r="I652" s="47" t="str">
        <f aca="false">IF(G652="","",G652+H652)</f>
        <v/>
      </c>
    </row>
    <row r="653" customFormat="false" ht="15" hidden="false" customHeight="false" outlineLevel="0" collapsed="false">
      <c r="C653" s="41" t="str">
        <f aca="false">IF(A653="","",TEXT(A653,"mmm-yyyy"))</f>
        <v/>
      </c>
      <c r="I653" s="47" t="str">
        <f aca="false">IF(G653="","",G653+H653)</f>
        <v/>
      </c>
    </row>
    <row r="654" customFormat="false" ht="15" hidden="false" customHeight="false" outlineLevel="0" collapsed="false">
      <c r="C654" s="41" t="str">
        <f aca="false">IF(A654="","",TEXT(A654,"mmm-yyyy"))</f>
        <v/>
      </c>
      <c r="I654" s="47" t="str">
        <f aca="false">IF(G654="","",G654+H654)</f>
        <v/>
      </c>
    </row>
    <row r="655" customFormat="false" ht="15" hidden="false" customHeight="false" outlineLevel="0" collapsed="false">
      <c r="C655" s="41" t="str">
        <f aca="false">IF(A655="","",TEXT(A655,"mmm-yyyy"))</f>
        <v/>
      </c>
      <c r="I655" s="47" t="str">
        <f aca="false">IF(G655="","",G655+H655)</f>
        <v/>
      </c>
    </row>
    <row r="656" customFormat="false" ht="15" hidden="false" customHeight="false" outlineLevel="0" collapsed="false">
      <c r="C656" s="41" t="str">
        <f aca="false">IF(A656="","",TEXT(A656,"mmm-yyyy"))</f>
        <v/>
      </c>
      <c r="I656" s="47" t="str">
        <f aca="false">IF(G656="","",G656+H656)</f>
        <v/>
      </c>
    </row>
    <row r="657" customFormat="false" ht="15" hidden="false" customHeight="false" outlineLevel="0" collapsed="false">
      <c r="C657" s="41" t="str">
        <f aca="false">IF(A657="","",TEXT(A657,"mmm-yyyy"))</f>
        <v/>
      </c>
      <c r="I657" s="47" t="str">
        <f aca="false">IF(G657="","",G657+H657)</f>
        <v/>
      </c>
    </row>
    <row r="658" customFormat="false" ht="15" hidden="false" customHeight="false" outlineLevel="0" collapsed="false">
      <c r="C658" s="41" t="str">
        <f aca="false">IF(A658="","",TEXT(A658,"mmm-yyyy"))</f>
        <v/>
      </c>
      <c r="I658" s="47" t="str">
        <f aca="false">IF(G658="","",G658+H658)</f>
        <v/>
      </c>
    </row>
    <row r="659" customFormat="false" ht="15" hidden="false" customHeight="false" outlineLevel="0" collapsed="false">
      <c r="C659" s="41" t="str">
        <f aca="false">IF(A659="","",TEXT(A659,"mmm-yyyy"))</f>
        <v/>
      </c>
      <c r="I659" s="47" t="str">
        <f aca="false">IF(G659="","",G659+H659)</f>
        <v/>
      </c>
    </row>
    <row r="660" customFormat="false" ht="15" hidden="false" customHeight="false" outlineLevel="0" collapsed="false">
      <c r="C660" s="41" t="str">
        <f aca="false">IF(A660="","",TEXT(A660,"mmm-yyyy"))</f>
        <v/>
      </c>
      <c r="I660" s="47" t="str">
        <f aca="false">IF(G660="","",G660+H660)</f>
        <v/>
      </c>
    </row>
    <row r="661" customFormat="false" ht="15" hidden="false" customHeight="false" outlineLevel="0" collapsed="false">
      <c r="C661" s="41" t="str">
        <f aca="false">IF(A661="","",TEXT(A661,"mmm-yyyy"))</f>
        <v/>
      </c>
      <c r="I661" s="47" t="str">
        <f aca="false">IF(G661="","",G661+H661)</f>
        <v/>
      </c>
    </row>
    <row r="662" customFormat="false" ht="15" hidden="false" customHeight="false" outlineLevel="0" collapsed="false">
      <c r="C662" s="41" t="str">
        <f aca="false">IF(A662="","",TEXT(A662,"mmm-yyyy"))</f>
        <v/>
      </c>
      <c r="I662" s="47" t="str">
        <f aca="false">IF(G662="","",G662+H662)</f>
        <v/>
      </c>
    </row>
    <row r="663" customFormat="false" ht="15" hidden="false" customHeight="false" outlineLevel="0" collapsed="false">
      <c r="C663" s="41" t="str">
        <f aca="false">IF(A663="","",TEXT(A663,"mmm-yyyy"))</f>
        <v/>
      </c>
      <c r="I663" s="47" t="str">
        <f aca="false">IF(G663="","",G663+H663)</f>
        <v/>
      </c>
    </row>
    <row r="664" customFormat="false" ht="15" hidden="false" customHeight="false" outlineLevel="0" collapsed="false">
      <c r="C664" s="41" t="str">
        <f aca="false">IF(A664="","",TEXT(A664,"mmm-yyyy"))</f>
        <v/>
      </c>
      <c r="I664" s="47" t="str">
        <f aca="false">IF(G664="","",G664+H664)</f>
        <v/>
      </c>
    </row>
    <row r="665" customFormat="false" ht="15" hidden="false" customHeight="false" outlineLevel="0" collapsed="false">
      <c r="C665" s="41" t="str">
        <f aca="false">IF(A665="","",TEXT(A665,"mmm-yyyy"))</f>
        <v/>
      </c>
      <c r="I665" s="47" t="str">
        <f aca="false">IF(G665="","",G665+H665)</f>
        <v/>
      </c>
    </row>
    <row r="666" customFormat="false" ht="15" hidden="false" customHeight="false" outlineLevel="0" collapsed="false">
      <c r="C666" s="41" t="str">
        <f aca="false">IF(A666="","",TEXT(A666,"mmm-yyyy"))</f>
        <v/>
      </c>
      <c r="I666" s="47" t="str">
        <f aca="false">IF(G666="","",G666+H666)</f>
        <v/>
      </c>
    </row>
    <row r="667" customFormat="false" ht="15" hidden="false" customHeight="false" outlineLevel="0" collapsed="false">
      <c r="C667" s="41" t="str">
        <f aca="false">IF(A667="","",TEXT(A667,"mmm-yyyy"))</f>
        <v/>
      </c>
      <c r="I667" s="47" t="str">
        <f aca="false">IF(G667="","",G667+H667)</f>
        <v/>
      </c>
    </row>
    <row r="668" customFormat="false" ht="15" hidden="false" customHeight="false" outlineLevel="0" collapsed="false">
      <c r="C668" s="41" t="str">
        <f aca="false">IF(A668="","",TEXT(A668,"mmm-yyyy"))</f>
        <v/>
      </c>
      <c r="I668" s="47" t="str">
        <f aca="false">IF(G668="","",G668+H668)</f>
        <v/>
      </c>
    </row>
    <row r="669" customFormat="false" ht="15" hidden="false" customHeight="false" outlineLevel="0" collapsed="false">
      <c r="C669" s="41" t="str">
        <f aca="false">IF(A669="","",TEXT(A669,"mmm-yyyy"))</f>
        <v/>
      </c>
      <c r="I669" s="47" t="str">
        <f aca="false">IF(G669="","",G669+H669)</f>
        <v/>
      </c>
    </row>
    <row r="670" customFormat="false" ht="15" hidden="false" customHeight="false" outlineLevel="0" collapsed="false">
      <c r="C670" s="41" t="str">
        <f aca="false">IF(A670="","",TEXT(A670,"mmm-yyyy"))</f>
        <v/>
      </c>
      <c r="I670" s="47" t="str">
        <f aca="false">IF(G670="","",G670+H670)</f>
        <v/>
      </c>
    </row>
    <row r="671" customFormat="false" ht="15" hidden="false" customHeight="false" outlineLevel="0" collapsed="false">
      <c r="C671" s="41" t="str">
        <f aca="false">IF(A671="","",TEXT(A671,"mmm-yyyy"))</f>
        <v/>
      </c>
      <c r="I671" s="47" t="str">
        <f aca="false">IF(G671="","",G671+H671)</f>
        <v/>
      </c>
    </row>
    <row r="672" customFormat="false" ht="15" hidden="false" customHeight="false" outlineLevel="0" collapsed="false">
      <c r="C672" s="41" t="str">
        <f aca="false">IF(A672="","",TEXT(A672,"mmm-yyyy"))</f>
        <v/>
      </c>
      <c r="I672" s="47" t="str">
        <f aca="false">IF(G672="","",G672+H672)</f>
        <v/>
      </c>
    </row>
    <row r="673" customFormat="false" ht="15" hidden="false" customHeight="false" outlineLevel="0" collapsed="false">
      <c r="C673" s="41" t="str">
        <f aca="false">IF(A673="","",TEXT(A673,"mmm-yyyy"))</f>
        <v/>
      </c>
      <c r="I673" s="47" t="str">
        <f aca="false">IF(G673="","",G673+H673)</f>
        <v/>
      </c>
    </row>
    <row r="674" customFormat="false" ht="15" hidden="false" customHeight="false" outlineLevel="0" collapsed="false">
      <c r="C674" s="41" t="str">
        <f aca="false">IF(A674="","",TEXT(A674,"mmm-yyyy"))</f>
        <v/>
      </c>
      <c r="I674" s="47" t="str">
        <f aca="false">IF(G674="","",G674+H674)</f>
        <v/>
      </c>
    </row>
    <row r="675" customFormat="false" ht="15" hidden="false" customHeight="false" outlineLevel="0" collapsed="false">
      <c r="C675" s="41" t="str">
        <f aca="false">IF(A675="","",TEXT(A675,"mmm-yyyy"))</f>
        <v/>
      </c>
      <c r="I675" s="47" t="str">
        <f aca="false">IF(G675="","",G675+H675)</f>
        <v/>
      </c>
    </row>
    <row r="676" customFormat="false" ht="15" hidden="false" customHeight="false" outlineLevel="0" collapsed="false">
      <c r="C676" s="41" t="str">
        <f aca="false">IF(A676="","",TEXT(A676,"mmm-yyyy"))</f>
        <v/>
      </c>
      <c r="I676" s="47" t="str">
        <f aca="false">IF(G676="","",G676+H676)</f>
        <v/>
      </c>
    </row>
    <row r="677" customFormat="false" ht="15" hidden="false" customHeight="false" outlineLevel="0" collapsed="false">
      <c r="C677" s="41" t="str">
        <f aca="false">IF(A677="","",TEXT(A677,"mmm-yyyy"))</f>
        <v/>
      </c>
      <c r="I677" s="47" t="str">
        <f aca="false">IF(G677="","",G677+H677)</f>
        <v/>
      </c>
    </row>
    <row r="678" customFormat="false" ht="15" hidden="false" customHeight="false" outlineLevel="0" collapsed="false">
      <c r="C678" s="41" t="str">
        <f aca="false">IF(A678="","",TEXT(A678,"mmm-yyyy"))</f>
        <v/>
      </c>
      <c r="I678" s="47" t="str">
        <f aca="false">IF(G678="","",G678+H678)</f>
        <v/>
      </c>
    </row>
    <row r="679" customFormat="false" ht="15" hidden="false" customHeight="false" outlineLevel="0" collapsed="false">
      <c r="C679" s="41" t="str">
        <f aca="false">IF(A679="","",TEXT(A679,"mmm-yyyy"))</f>
        <v/>
      </c>
      <c r="I679" s="47" t="str">
        <f aca="false">IF(G679="","",G679+H679)</f>
        <v/>
      </c>
    </row>
    <row r="680" customFormat="false" ht="15" hidden="false" customHeight="false" outlineLevel="0" collapsed="false">
      <c r="C680" s="41" t="str">
        <f aca="false">IF(A680="","",TEXT(A680,"mmm-yyyy"))</f>
        <v/>
      </c>
      <c r="I680" s="47" t="str">
        <f aca="false">IF(G680="","",G680+H680)</f>
        <v/>
      </c>
    </row>
    <row r="681" customFormat="false" ht="15" hidden="false" customHeight="false" outlineLevel="0" collapsed="false">
      <c r="C681" s="41" t="str">
        <f aca="false">IF(A681="","",TEXT(A681,"mmm-yyyy"))</f>
        <v/>
      </c>
      <c r="I681" s="47" t="str">
        <f aca="false">IF(G681="","",G681+H681)</f>
        <v/>
      </c>
    </row>
    <row r="682" customFormat="false" ht="15" hidden="false" customHeight="false" outlineLevel="0" collapsed="false">
      <c r="C682" s="41" t="str">
        <f aca="false">IF(A682="","",TEXT(A682,"mmm-yyyy"))</f>
        <v/>
      </c>
      <c r="I682" s="47" t="str">
        <f aca="false">IF(G682="","",G682+H682)</f>
        <v/>
      </c>
    </row>
    <row r="683" customFormat="false" ht="15" hidden="false" customHeight="false" outlineLevel="0" collapsed="false">
      <c r="C683" s="41" t="str">
        <f aca="false">IF(A683="","",TEXT(A683,"mmm-yyyy"))</f>
        <v/>
      </c>
      <c r="I683" s="47" t="str">
        <f aca="false">IF(G683="","",G683+H683)</f>
        <v/>
      </c>
    </row>
    <row r="684" customFormat="false" ht="15" hidden="false" customHeight="false" outlineLevel="0" collapsed="false">
      <c r="C684" s="41" t="str">
        <f aca="false">IF(A684="","",TEXT(A684,"mmm-yyyy"))</f>
        <v/>
      </c>
      <c r="I684" s="47" t="str">
        <f aca="false">IF(G684="","",G684+H684)</f>
        <v/>
      </c>
    </row>
    <row r="685" customFormat="false" ht="15" hidden="false" customHeight="false" outlineLevel="0" collapsed="false">
      <c r="C685" s="41" t="str">
        <f aca="false">IF(A685="","",TEXT(A685,"mmm-yyyy"))</f>
        <v/>
      </c>
      <c r="I685" s="47" t="str">
        <f aca="false">IF(G685="","",G685+H685)</f>
        <v/>
      </c>
    </row>
    <row r="686" customFormat="false" ht="15" hidden="false" customHeight="false" outlineLevel="0" collapsed="false">
      <c r="C686" s="41" t="str">
        <f aca="false">IF(A686="","",TEXT(A686,"mmm-yyyy"))</f>
        <v/>
      </c>
      <c r="I686" s="47" t="str">
        <f aca="false">IF(G686="","",G686+H686)</f>
        <v/>
      </c>
    </row>
    <row r="687" customFormat="false" ht="15" hidden="false" customHeight="false" outlineLevel="0" collapsed="false">
      <c r="C687" s="41" t="str">
        <f aca="false">IF(A687="","",TEXT(A687,"mmm-yyyy"))</f>
        <v/>
      </c>
      <c r="I687" s="47" t="str">
        <f aca="false">IF(G687="","",G687+H687)</f>
        <v/>
      </c>
    </row>
    <row r="688" customFormat="false" ht="15" hidden="false" customHeight="false" outlineLevel="0" collapsed="false">
      <c r="C688" s="41" t="str">
        <f aca="false">IF(A688="","",TEXT(A688,"mmm-yyyy"))</f>
        <v/>
      </c>
      <c r="I688" s="47" t="str">
        <f aca="false">IF(G688="","",G688+H688)</f>
        <v/>
      </c>
    </row>
    <row r="689" customFormat="false" ht="15" hidden="false" customHeight="false" outlineLevel="0" collapsed="false">
      <c r="C689" s="41" t="str">
        <f aca="false">IF(A689="","",TEXT(A689,"mmm-yyyy"))</f>
        <v/>
      </c>
      <c r="I689" s="47" t="str">
        <f aca="false">IF(G689="","",G689+H689)</f>
        <v/>
      </c>
    </row>
    <row r="690" customFormat="false" ht="15" hidden="false" customHeight="false" outlineLevel="0" collapsed="false">
      <c r="C690" s="41" t="str">
        <f aca="false">IF(A690="","",TEXT(A690,"mmm-yyyy"))</f>
        <v/>
      </c>
      <c r="I690" s="47" t="str">
        <f aca="false">IF(G690="","",G690+H690)</f>
        <v/>
      </c>
    </row>
    <row r="691" customFormat="false" ht="15" hidden="false" customHeight="false" outlineLevel="0" collapsed="false">
      <c r="C691" s="41" t="str">
        <f aca="false">IF(A691="","",TEXT(A691,"mmm-yyyy"))</f>
        <v/>
      </c>
      <c r="I691" s="47" t="str">
        <f aca="false">IF(G691="","",G691+H691)</f>
        <v/>
      </c>
    </row>
    <row r="692" customFormat="false" ht="15" hidden="false" customHeight="false" outlineLevel="0" collapsed="false">
      <c r="C692" s="41" t="str">
        <f aca="false">IF(A692="","",TEXT(A692,"mmm-yyyy"))</f>
        <v/>
      </c>
      <c r="I692" s="47" t="str">
        <f aca="false">IF(G692="","",G692+H692)</f>
        <v/>
      </c>
    </row>
    <row r="693" customFormat="false" ht="15" hidden="false" customHeight="false" outlineLevel="0" collapsed="false">
      <c r="C693" s="41" t="str">
        <f aca="false">IF(A693="","",TEXT(A693,"mmm-yyyy"))</f>
        <v/>
      </c>
      <c r="I693" s="47" t="str">
        <f aca="false">IF(G693="","",G693+H693)</f>
        <v/>
      </c>
    </row>
    <row r="694" customFormat="false" ht="15" hidden="false" customHeight="false" outlineLevel="0" collapsed="false">
      <c r="C694" s="41" t="str">
        <f aca="false">IF(A694="","",TEXT(A694,"mmm-yyyy"))</f>
        <v/>
      </c>
      <c r="I694" s="47" t="str">
        <f aca="false">IF(G694="","",G694+H694)</f>
        <v/>
      </c>
    </row>
    <row r="695" customFormat="false" ht="15" hidden="false" customHeight="false" outlineLevel="0" collapsed="false">
      <c r="C695" s="41" t="str">
        <f aca="false">IF(A695="","",TEXT(A695,"mmm-yyyy"))</f>
        <v/>
      </c>
      <c r="I695" s="47" t="str">
        <f aca="false">IF(G695="","",G695+H695)</f>
        <v/>
      </c>
    </row>
    <row r="696" customFormat="false" ht="15" hidden="false" customHeight="false" outlineLevel="0" collapsed="false">
      <c r="C696" s="41" t="str">
        <f aca="false">IF(A696="","",TEXT(A696,"mmm-yyyy"))</f>
        <v/>
      </c>
      <c r="I696" s="47" t="str">
        <f aca="false">IF(G696="","",G696+H696)</f>
        <v/>
      </c>
    </row>
    <row r="697" customFormat="false" ht="15" hidden="false" customHeight="false" outlineLevel="0" collapsed="false">
      <c r="C697" s="41" t="str">
        <f aca="false">IF(A697="","",TEXT(A697,"mmm-yyyy"))</f>
        <v/>
      </c>
      <c r="I697" s="47" t="str">
        <f aca="false">IF(G697="","",G697+H697)</f>
        <v/>
      </c>
    </row>
    <row r="698" customFormat="false" ht="15" hidden="false" customHeight="false" outlineLevel="0" collapsed="false">
      <c r="C698" s="41" t="str">
        <f aca="false">IF(A698="","",TEXT(A698,"mmm-yyyy"))</f>
        <v/>
      </c>
      <c r="I698" s="47" t="str">
        <f aca="false">IF(G698="","",G698+H698)</f>
        <v/>
      </c>
    </row>
    <row r="699" customFormat="false" ht="15" hidden="false" customHeight="false" outlineLevel="0" collapsed="false">
      <c r="C699" s="41" t="str">
        <f aca="false">IF(A699="","",TEXT(A699,"mmm-yyyy"))</f>
        <v/>
      </c>
      <c r="I699" s="47" t="str">
        <f aca="false">IF(G699="","",G699+H699)</f>
        <v/>
      </c>
    </row>
    <row r="700" customFormat="false" ht="15" hidden="false" customHeight="false" outlineLevel="0" collapsed="false">
      <c r="C700" s="41" t="str">
        <f aca="false">IF(A700="","",TEXT(A700,"mmm-yyyy"))</f>
        <v/>
      </c>
      <c r="I700" s="47" t="str">
        <f aca="false">IF(G700="","",G700+H700)</f>
        <v/>
      </c>
    </row>
    <row r="701" customFormat="false" ht="15" hidden="false" customHeight="false" outlineLevel="0" collapsed="false">
      <c r="C701" s="41" t="str">
        <f aca="false">IF(A701="","",TEXT(A701,"mmm-yyyy"))</f>
        <v/>
      </c>
      <c r="I701" s="47" t="str">
        <f aca="false">IF(G701="","",G701+H701)</f>
        <v/>
      </c>
    </row>
    <row r="702" customFormat="false" ht="15" hidden="false" customHeight="false" outlineLevel="0" collapsed="false">
      <c r="C702" s="41" t="str">
        <f aca="false">IF(A702="","",TEXT(A702,"mmm-yyyy"))</f>
        <v/>
      </c>
      <c r="I702" s="47" t="str">
        <f aca="false">IF(G702="","",G702+H702)</f>
        <v/>
      </c>
    </row>
    <row r="703" customFormat="false" ht="15" hidden="false" customHeight="false" outlineLevel="0" collapsed="false">
      <c r="C703" s="41" t="str">
        <f aca="false">IF(A703="","",TEXT(A703,"mmm-yyyy"))</f>
        <v/>
      </c>
      <c r="I703" s="47" t="str">
        <f aca="false">IF(G703="","",G703+H703)</f>
        <v/>
      </c>
    </row>
    <row r="704" customFormat="false" ht="15" hidden="false" customHeight="false" outlineLevel="0" collapsed="false">
      <c r="C704" s="41" t="str">
        <f aca="false">IF(A704="","",TEXT(A704,"mmm-yyyy"))</f>
        <v/>
      </c>
      <c r="I704" s="47" t="str">
        <f aca="false">IF(G704="","",G704+H704)</f>
        <v/>
      </c>
    </row>
    <row r="705" customFormat="false" ht="15" hidden="false" customHeight="false" outlineLevel="0" collapsed="false">
      <c r="C705" s="41" t="str">
        <f aca="false">IF(A705="","",TEXT(A705,"mmm-yyyy"))</f>
        <v/>
      </c>
      <c r="I705" s="47" t="str">
        <f aca="false">IF(G705="","",G705+H705)</f>
        <v/>
      </c>
    </row>
    <row r="706" customFormat="false" ht="15" hidden="false" customHeight="false" outlineLevel="0" collapsed="false">
      <c r="C706" s="41" t="str">
        <f aca="false">IF(A706="","",TEXT(A706,"mmm-yyyy"))</f>
        <v/>
      </c>
      <c r="I706" s="47" t="str">
        <f aca="false">IF(G706="","",G706+H706)</f>
        <v/>
      </c>
    </row>
    <row r="707" customFormat="false" ht="15" hidden="false" customHeight="false" outlineLevel="0" collapsed="false">
      <c r="C707" s="41" t="str">
        <f aca="false">IF(A707="","",TEXT(A707,"mmm-yyyy"))</f>
        <v/>
      </c>
      <c r="I707" s="47" t="str">
        <f aca="false">IF(G707="","",G707+H707)</f>
        <v/>
      </c>
    </row>
    <row r="708" customFormat="false" ht="15" hidden="false" customHeight="false" outlineLevel="0" collapsed="false">
      <c r="C708" s="41" t="str">
        <f aca="false">IF(A708="","",TEXT(A708,"mmm-yyyy"))</f>
        <v/>
      </c>
      <c r="I708" s="47" t="str">
        <f aca="false">IF(G708="","",G708+H708)</f>
        <v/>
      </c>
    </row>
    <row r="709" customFormat="false" ht="15" hidden="false" customHeight="false" outlineLevel="0" collapsed="false">
      <c r="C709" s="41" t="str">
        <f aca="false">IF(A709="","",TEXT(A709,"mmm-yyyy"))</f>
        <v/>
      </c>
      <c r="I709" s="47" t="str">
        <f aca="false">IF(G709="","",G709+H709)</f>
        <v/>
      </c>
    </row>
    <row r="710" customFormat="false" ht="15" hidden="false" customHeight="false" outlineLevel="0" collapsed="false">
      <c r="C710" s="41" t="str">
        <f aca="false">IF(A710="","",TEXT(A710,"mmm-yyyy"))</f>
        <v/>
      </c>
      <c r="I710" s="47" t="str">
        <f aca="false">IF(G710="","",G710+H710)</f>
        <v/>
      </c>
    </row>
    <row r="711" customFormat="false" ht="15" hidden="false" customHeight="false" outlineLevel="0" collapsed="false">
      <c r="C711" s="41" t="str">
        <f aca="false">IF(A711="","",TEXT(A711,"mmm-yyyy"))</f>
        <v/>
      </c>
      <c r="I711" s="47" t="str">
        <f aca="false">IF(G711="","",G711+H711)</f>
        <v/>
      </c>
    </row>
    <row r="712" customFormat="false" ht="15" hidden="false" customHeight="false" outlineLevel="0" collapsed="false">
      <c r="C712" s="41" t="str">
        <f aca="false">IF(A712="","",TEXT(A712,"mmm-yyyy"))</f>
        <v/>
      </c>
      <c r="I712" s="47" t="str">
        <f aca="false">IF(G712="","",G712+H712)</f>
        <v/>
      </c>
    </row>
    <row r="713" customFormat="false" ht="15" hidden="false" customHeight="false" outlineLevel="0" collapsed="false">
      <c r="C713" s="41" t="str">
        <f aca="false">IF(A713="","",TEXT(A713,"mmm-yyyy"))</f>
        <v/>
      </c>
      <c r="I713" s="47" t="str">
        <f aca="false">IF(G713="","",G713+H713)</f>
        <v/>
      </c>
    </row>
    <row r="714" customFormat="false" ht="15" hidden="false" customHeight="false" outlineLevel="0" collapsed="false">
      <c r="C714" s="41" t="str">
        <f aca="false">IF(A714="","",TEXT(A714,"mmm-yyyy"))</f>
        <v/>
      </c>
      <c r="I714" s="47" t="str">
        <f aca="false">IF(G714="","",G714+H714)</f>
        <v/>
      </c>
    </row>
    <row r="715" customFormat="false" ht="15" hidden="false" customHeight="false" outlineLevel="0" collapsed="false">
      <c r="C715" s="41" t="str">
        <f aca="false">IF(A715="","",TEXT(A715,"mmm-yyyy"))</f>
        <v/>
      </c>
      <c r="I715" s="47" t="str">
        <f aca="false">IF(G715="","",G715+H715)</f>
        <v/>
      </c>
    </row>
    <row r="716" customFormat="false" ht="15" hidden="false" customHeight="false" outlineLevel="0" collapsed="false">
      <c r="C716" s="41" t="str">
        <f aca="false">IF(A716="","",TEXT(A716,"mmm-yyyy"))</f>
        <v/>
      </c>
      <c r="I716" s="47" t="str">
        <f aca="false">IF(G716="","",G716+H716)</f>
        <v/>
      </c>
    </row>
    <row r="717" customFormat="false" ht="15" hidden="false" customHeight="false" outlineLevel="0" collapsed="false">
      <c r="C717" s="41" t="str">
        <f aca="false">IF(A717="","",TEXT(A717,"mmm-yyyy"))</f>
        <v/>
      </c>
      <c r="I717" s="47" t="str">
        <f aca="false">IF(G717="","",G717+H717)</f>
        <v/>
      </c>
    </row>
    <row r="718" customFormat="false" ht="15" hidden="false" customHeight="false" outlineLevel="0" collapsed="false">
      <c r="C718" s="41" t="str">
        <f aca="false">IF(A718="","",TEXT(A718,"mmm-yyyy"))</f>
        <v/>
      </c>
      <c r="I718" s="47" t="str">
        <f aca="false">IF(G718="","",G718+H718)</f>
        <v/>
      </c>
    </row>
    <row r="719" customFormat="false" ht="15" hidden="false" customHeight="false" outlineLevel="0" collapsed="false">
      <c r="C719" s="41" t="str">
        <f aca="false">IF(A719="","",TEXT(A719,"mmm-yyyy"))</f>
        <v/>
      </c>
      <c r="I719" s="47" t="str">
        <f aca="false">IF(G719="","",G719+H719)</f>
        <v/>
      </c>
    </row>
    <row r="720" customFormat="false" ht="15" hidden="false" customHeight="false" outlineLevel="0" collapsed="false">
      <c r="C720" s="41" t="str">
        <f aca="false">IF(A720="","",TEXT(A720,"mmm-yyyy"))</f>
        <v/>
      </c>
      <c r="I720" s="47" t="str">
        <f aca="false">IF(G720="","",G720+H720)</f>
        <v/>
      </c>
    </row>
    <row r="721" customFormat="false" ht="15" hidden="false" customHeight="false" outlineLevel="0" collapsed="false">
      <c r="C721" s="41" t="str">
        <f aca="false">IF(A721="","",TEXT(A721,"mmm-yyyy"))</f>
        <v/>
      </c>
      <c r="I721" s="47" t="str">
        <f aca="false">IF(G721="","",G721+H721)</f>
        <v/>
      </c>
    </row>
    <row r="722" customFormat="false" ht="15" hidden="false" customHeight="false" outlineLevel="0" collapsed="false">
      <c r="C722" s="41" t="str">
        <f aca="false">IF(A722="","",TEXT(A722,"mmm-yyyy"))</f>
        <v/>
      </c>
      <c r="I722" s="47" t="str">
        <f aca="false">IF(G722="","",G722+H722)</f>
        <v/>
      </c>
    </row>
    <row r="723" customFormat="false" ht="15" hidden="false" customHeight="false" outlineLevel="0" collapsed="false">
      <c r="C723" s="41" t="str">
        <f aca="false">IF(A723="","",TEXT(A723,"mmm-yyyy"))</f>
        <v/>
      </c>
      <c r="I723" s="47" t="str">
        <f aca="false">IF(G723="","",G723+H723)</f>
        <v/>
      </c>
    </row>
    <row r="724" customFormat="false" ht="15" hidden="false" customHeight="false" outlineLevel="0" collapsed="false">
      <c r="C724" s="41" t="str">
        <f aca="false">IF(A724="","",TEXT(A724,"mmm-yyyy"))</f>
        <v/>
      </c>
      <c r="I724" s="47" t="str">
        <f aca="false">IF(G724="","",G724+H724)</f>
        <v/>
      </c>
    </row>
    <row r="725" customFormat="false" ht="15" hidden="false" customHeight="false" outlineLevel="0" collapsed="false">
      <c r="C725" s="41" t="str">
        <f aca="false">IF(A725="","",TEXT(A725,"mmm-yyyy"))</f>
        <v/>
      </c>
      <c r="I725" s="47" t="str">
        <f aca="false">IF(G725="","",G725+H725)</f>
        <v/>
      </c>
    </row>
    <row r="726" customFormat="false" ht="15" hidden="false" customHeight="false" outlineLevel="0" collapsed="false">
      <c r="C726" s="41" t="str">
        <f aca="false">IF(A726="","",TEXT(A726,"mmm-yyyy"))</f>
        <v/>
      </c>
      <c r="I726" s="47" t="str">
        <f aca="false">IF(G726="","",G726+H726)</f>
        <v/>
      </c>
    </row>
    <row r="727" customFormat="false" ht="15" hidden="false" customHeight="false" outlineLevel="0" collapsed="false">
      <c r="C727" s="41" t="str">
        <f aca="false">IF(A727="","",TEXT(A727,"mmm-yyyy"))</f>
        <v/>
      </c>
      <c r="I727" s="47" t="str">
        <f aca="false">IF(G727="","",G727+H727)</f>
        <v/>
      </c>
    </row>
    <row r="728" customFormat="false" ht="15" hidden="false" customHeight="false" outlineLevel="0" collapsed="false">
      <c r="C728" s="41" t="str">
        <f aca="false">IF(A728="","",TEXT(A728,"mmm-yyyy"))</f>
        <v/>
      </c>
      <c r="I728" s="47" t="str">
        <f aca="false">IF(G728="","",G728+H728)</f>
        <v/>
      </c>
    </row>
    <row r="729" customFormat="false" ht="15" hidden="false" customHeight="false" outlineLevel="0" collapsed="false">
      <c r="C729" s="41" t="str">
        <f aca="false">IF(A729="","",TEXT(A729,"mmm-yyyy"))</f>
        <v/>
      </c>
      <c r="I729" s="47" t="str">
        <f aca="false">IF(G729="","",G729+H729)</f>
        <v/>
      </c>
    </row>
    <row r="730" customFormat="false" ht="15" hidden="false" customHeight="false" outlineLevel="0" collapsed="false">
      <c r="C730" s="41" t="str">
        <f aca="false">IF(A730="","",TEXT(A730,"mmm-yyyy"))</f>
        <v/>
      </c>
      <c r="I730" s="47" t="str">
        <f aca="false">IF(G730="","",G730+H730)</f>
        <v/>
      </c>
    </row>
    <row r="731" customFormat="false" ht="15" hidden="false" customHeight="false" outlineLevel="0" collapsed="false">
      <c r="C731" s="41" t="str">
        <f aca="false">IF(A731="","",TEXT(A731,"mmm-yyyy"))</f>
        <v/>
      </c>
      <c r="I731" s="47" t="str">
        <f aca="false">IF(G731="","",G731+H731)</f>
        <v/>
      </c>
    </row>
    <row r="732" customFormat="false" ht="15" hidden="false" customHeight="false" outlineLevel="0" collapsed="false">
      <c r="C732" s="41" t="str">
        <f aca="false">IF(A732="","",TEXT(A732,"mmm-yyyy"))</f>
        <v/>
      </c>
      <c r="I732" s="47" t="str">
        <f aca="false">IF(G732="","",G732+H732)</f>
        <v/>
      </c>
    </row>
    <row r="733" customFormat="false" ht="15" hidden="false" customHeight="false" outlineLevel="0" collapsed="false">
      <c r="C733" s="41" t="str">
        <f aca="false">IF(A733="","",TEXT(A733,"mmm-yyyy"))</f>
        <v/>
      </c>
      <c r="I733" s="47" t="str">
        <f aca="false">IF(G733="","",G733+H733)</f>
        <v/>
      </c>
    </row>
    <row r="734" customFormat="false" ht="15" hidden="false" customHeight="false" outlineLevel="0" collapsed="false">
      <c r="C734" s="41" t="str">
        <f aca="false">IF(A734="","",TEXT(A734,"mmm-yyyy"))</f>
        <v/>
      </c>
      <c r="I734" s="47" t="str">
        <f aca="false">IF(G734="","",G734+H734)</f>
        <v/>
      </c>
    </row>
    <row r="735" customFormat="false" ht="15" hidden="false" customHeight="false" outlineLevel="0" collapsed="false">
      <c r="C735" s="41" t="str">
        <f aca="false">IF(A735="","",TEXT(A735,"mmm-yyyy"))</f>
        <v/>
      </c>
      <c r="I735" s="47" t="str">
        <f aca="false">IF(G735="","",G735+H735)</f>
        <v/>
      </c>
    </row>
    <row r="736" customFormat="false" ht="15" hidden="false" customHeight="false" outlineLevel="0" collapsed="false">
      <c r="C736" s="41" t="str">
        <f aca="false">IF(A736="","",TEXT(A736,"mmm-yyyy"))</f>
        <v/>
      </c>
      <c r="I736" s="47" t="str">
        <f aca="false">IF(G736="","",G736+H736)</f>
        <v/>
      </c>
    </row>
    <row r="737" customFormat="false" ht="15" hidden="false" customHeight="false" outlineLevel="0" collapsed="false">
      <c r="C737" s="41" t="str">
        <f aca="false">IF(A737="","",TEXT(A737,"mmm-yyyy"))</f>
        <v/>
      </c>
      <c r="I737" s="47" t="str">
        <f aca="false">IF(G737="","",G737+H737)</f>
        <v/>
      </c>
    </row>
    <row r="738" customFormat="false" ht="15" hidden="false" customHeight="false" outlineLevel="0" collapsed="false">
      <c r="C738" s="41" t="str">
        <f aca="false">IF(A738="","",TEXT(A738,"mmm-yyyy"))</f>
        <v/>
      </c>
      <c r="I738" s="47" t="str">
        <f aca="false">IF(G738="","",G738+H738)</f>
        <v/>
      </c>
    </row>
    <row r="739" customFormat="false" ht="15" hidden="false" customHeight="false" outlineLevel="0" collapsed="false">
      <c r="C739" s="41" t="str">
        <f aca="false">IF(A739="","",TEXT(A739,"mmm-yyyy"))</f>
        <v/>
      </c>
      <c r="I739" s="47" t="str">
        <f aca="false">IF(G739="","",G739+H739)</f>
        <v/>
      </c>
    </row>
    <row r="740" customFormat="false" ht="15" hidden="false" customHeight="false" outlineLevel="0" collapsed="false">
      <c r="C740" s="41" t="str">
        <f aca="false">IF(A740="","",TEXT(A740,"mmm-yyyy"))</f>
        <v/>
      </c>
      <c r="I740" s="47" t="str">
        <f aca="false">IF(G740="","",G740+H740)</f>
        <v/>
      </c>
    </row>
    <row r="741" customFormat="false" ht="15" hidden="false" customHeight="false" outlineLevel="0" collapsed="false">
      <c r="C741" s="41" t="str">
        <f aca="false">IF(A741="","",TEXT(A741,"mmm-yyyy"))</f>
        <v/>
      </c>
      <c r="I741" s="47" t="str">
        <f aca="false">IF(G741="","",G741+H741)</f>
        <v/>
      </c>
    </row>
    <row r="742" customFormat="false" ht="15" hidden="false" customHeight="false" outlineLevel="0" collapsed="false">
      <c r="C742" s="41" t="str">
        <f aca="false">IF(A742="","",TEXT(A742,"mmm-yyyy"))</f>
        <v/>
      </c>
      <c r="I742" s="47" t="str">
        <f aca="false">IF(G742="","",G742+H742)</f>
        <v/>
      </c>
    </row>
    <row r="743" customFormat="false" ht="15" hidden="false" customHeight="false" outlineLevel="0" collapsed="false">
      <c r="C743" s="41" t="str">
        <f aca="false">IF(A743="","",TEXT(A743,"mmm-yyyy"))</f>
        <v/>
      </c>
      <c r="I743" s="47" t="str">
        <f aca="false">IF(G743="","",G743+H743)</f>
        <v/>
      </c>
    </row>
    <row r="744" customFormat="false" ht="15" hidden="false" customHeight="false" outlineLevel="0" collapsed="false">
      <c r="C744" s="41" t="str">
        <f aca="false">IF(A744="","",TEXT(A744,"mmm-yyyy"))</f>
        <v/>
      </c>
      <c r="I744" s="47" t="str">
        <f aca="false">IF(G744="","",G744+H744)</f>
        <v/>
      </c>
    </row>
    <row r="745" customFormat="false" ht="15" hidden="false" customHeight="false" outlineLevel="0" collapsed="false">
      <c r="C745" s="41" t="str">
        <f aca="false">IF(A745="","",TEXT(A745,"mmm-yyyy"))</f>
        <v/>
      </c>
      <c r="I745" s="47" t="str">
        <f aca="false">IF(G745="","",G745+H745)</f>
        <v/>
      </c>
    </row>
    <row r="746" customFormat="false" ht="15" hidden="false" customHeight="false" outlineLevel="0" collapsed="false">
      <c r="C746" s="41" t="str">
        <f aca="false">IF(A746="","",TEXT(A746,"mmm-yyyy"))</f>
        <v/>
      </c>
      <c r="I746" s="47" t="str">
        <f aca="false">IF(G746="","",G746+H746)</f>
        <v/>
      </c>
    </row>
    <row r="747" customFormat="false" ht="15" hidden="false" customHeight="false" outlineLevel="0" collapsed="false">
      <c r="C747" s="41" t="str">
        <f aca="false">IF(A747="","",TEXT(A747,"mmm-yyyy"))</f>
        <v/>
      </c>
      <c r="I747" s="47" t="str">
        <f aca="false">IF(G747="","",G747+H747)</f>
        <v/>
      </c>
    </row>
    <row r="748" customFormat="false" ht="15" hidden="false" customHeight="false" outlineLevel="0" collapsed="false">
      <c r="C748" s="41" t="str">
        <f aca="false">IF(A748="","",TEXT(A748,"mmm-yyyy"))</f>
        <v/>
      </c>
      <c r="I748" s="47" t="str">
        <f aca="false">IF(G748="","",G748+H748)</f>
        <v/>
      </c>
    </row>
    <row r="749" customFormat="false" ht="15" hidden="false" customHeight="false" outlineLevel="0" collapsed="false">
      <c r="C749" s="41" t="str">
        <f aca="false">IF(A749="","",TEXT(A749,"mmm-yyyy"))</f>
        <v/>
      </c>
      <c r="I749" s="47" t="str">
        <f aca="false">IF(G749="","",G749+H749)</f>
        <v/>
      </c>
    </row>
    <row r="750" customFormat="false" ht="15" hidden="false" customHeight="false" outlineLevel="0" collapsed="false">
      <c r="C750" s="41" t="str">
        <f aca="false">IF(A750="","",TEXT(A750,"mmm-yyyy"))</f>
        <v/>
      </c>
      <c r="I750" s="47" t="str">
        <f aca="false">IF(G750="","",G750+H750)</f>
        <v/>
      </c>
    </row>
    <row r="751" customFormat="false" ht="15" hidden="false" customHeight="false" outlineLevel="0" collapsed="false">
      <c r="C751" s="41" t="str">
        <f aca="false">IF(A751="","",TEXT(A751,"mmm-yyyy"))</f>
        <v/>
      </c>
      <c r="I751" s="47" t="str">
        <f aca="false">IF(G751="","",G751+H751)</f>
        <v/>
      </c>
    </row>
    <row r="752" customFormat="false" ht="15" hidden="false" customHeight="false" outlineLevel="0" collapsed="false">
      <c r="C752" s="41" t="str">
        <f aca="false">IF(A752="","",TEXT(A752,"mmm-yyyy"))</f>
        <v/>
      </c>
      <c r="I752" s="47" t="str">
        <f aca="false">IF(G752="","",G752+H752)</f>
        <v/>
      </c>
    </row>
    <row r="753" customFormat="false" ht="15" hidden="false" customHeight="false" outlineLevel="0" collapsed="false">
      <c r="C753" s="41" t="str">
        <f aca="false">IF(A753="","",TEXT(A753,"mmm-yyyy"))</f>
        <v/>
      </c>
      <c r="I753" s="47" t="str">
        <f aca="false">IF(G753="","",G753+H753)</f>
        <v/>
      </c>
    </row>
    <row r="754" customFormat="false" ht="15" hidden="false" customHeight="false" outlineLevel="0" collapsed="false">
      <c r="C754" s="41" t="str">
        <f aca="false">IF(A754="","",TEXT(A754,"mmm-yyyy"))</f>
        <v/>
      </c>
      <c r="I754" s="47" t="str">
        <f aca="false">IF(G754="","",G754+H754)</f>
        <v/>
      </c>
    </row>
    <row r="755" customFormat="false" ht="15" hidden="false" customHeight="false" outlineLevel="0" collapsed="false">
      <c r="C755" s="41" t="str">
        <f aca="false">IF(A755="","",TEXT(A755,"mmm-yyyy"))</f>
        <v/>
      </c>
      <c r="I755" s="47" t="str">
        <f aca="false">IF(G755="","",G755+H755)</f>
        <v/>
      </c>
    </row>
    <row r="756" customFormat="false" ht="15" hidden="false" customHeight="false" outlineLevel="0" collapsed="false">
      <c r="C756" s="41" t="str">
        <f aca="false">IF(A756="","",TEXT(A756,"mmm-yyyy"))</f>
        <v/>
      </c>
      <c r="I756" s="47" t="str">
        <f aca="false">IF(G756="","",G756+H756)</f>
        <v/>
      </c>
    </row>
    <row r="757" customFormat="false" ht="15" hidden="false" customHeight="false" outlineLevel="0" collapsed="false">
      <c r="C757" s="41" t="str">
        <f aca="false">IF(A757="","",TEXT(A757,"mmm-yyyy"))</f>
        <v/>
      </c>
      <c r="I757" s="47" t="str">
        <f aca="false">IF(G757="","",G757+H757)</f>
        <v/>
      </c>
    </row>
    <row r="758" customFormat="false" ht="15" hidden="false" customHeight="false" outlineLevel="0" collapsed="false">
      <c r="C758" s="41" t="str">
        <f aca="false">IF(A758="","",TEXT(A758,"mmm-yyyy"))</f>
        <v/>
      </c>
      <c r="I758" s="47" t="str">
        <f aca="false">IF(G758="","",G758+H758)</f>
        <v/>
      </c>
    </row>
    <row r="759" customFormat="false" ht="15" hidden="false" customHeight="false" outlineLevel="0" collapsed="false">
      <c r="C759" s="41" t="str">
        <f aca="false">IF(A759="","",TEXT(A759,"mmm-yyyy"))</f>
        <v/>
      </c>
      <c r="I759" s="47" t="str">
        <f aca="false">IF(G759="","",G759+H759)</f>
        <v/>
      </c>
    </row>
    <row r="760" customFormat="false" ht="15" hidden="false" customHeight="false" outlineLevel="0" collapsed="false">
      <c r="C760" s="41" t="str">
        <f aca="false">IF(A760="","",TEXT(A760,"mmm-yyyy"))</f>
        <v/>
      </c>
      <c r="I760" s="47" t="str">
        <f aca="false">IF(G760="","",G760+H760)</f>
        <v/>
      </c>
    </row>
    <row r="761" customFormat="false" ht="15" hidden="false" customHeight="false" outlineLevel="0" collapsed="false">
      <c r="C761" s="41" t="str">
        <f aca="false">IF(A761="","",TEXT(A761,"mmm-yyyy"))</f>
        <v/>
      </c>
      <c r="I761" s="47" t="str">
        <f aca="false">IF(G761="","",G761+H761)</f>
        <v/>
      </c>
    </row>
    <row r="762" customFormat="false" ht="15" hidden="false" customHeight="false" outlineLevel="0" collapsed="false">
      <c r="C762" s="41" t="str">
        <f aca="false">IF(A762="","",TEXT(A762,"mmm-yyyy"))</f>
        <v/>
      </c>
      <c r="I762" s="47" t="str">
        <f aca="false">IF(G762="","",G762+H762)</f>
        <v/>
      </c>
    </row>
    <row r="763" customFormat="false" ht="15" hidden="false" customHeight="false" outlineLevel="0" collapsed="false">
      <c r="C763" s="41" t="str">
        <f aca="false">IF(A763="","",TEXT(A763,"mmm-yyyy"))</f>
        <v/>
      </c>
      <c r="I763" s="47" t="str">
        <f aca="false">IF(G763="","",G763+H763)</f>
        <v/>
      </c>
    </row>
    <row r="764" customFormat="false" ht="15" hidden="false" customHeight="false" outlineLevel="0" collapsed="false">
      <c r="C764" s="41" t="str">
        <f aca="false">IF(A764="","",TEXT(A764,"mmm-yyyy"))</f>
        <v/>
      </c>
      <c r="I764" s="47" t="str">
        <f aca="false">IF(G764="","",G764+H764)</f>
        <v/>
      </c>
    </row>
    <row r="765" customFormat="false" ht="15" hidden="false" customHeight="false" outlineLevel="0" collapsed="false">
      <c r="C765" s="41" t="str">
        <f aca="false">IF(A765="","",TEXT(A765,"mmm-yyyy"))</f>
        <v/>
      </c>
      <c r="I765" s="47" t="str">
        <f aca="false">IF(G765="","",G765+H765)</f>
        <v/>
      </c>
    </row>
    <row r="766" customFormat="false" ht="15" hidden="false" customHeight="false" outlineLevel="0" collapsed="false">
      <c r="C766" s="41" t="str">
        <f aca="false">IF(A766="","",TEXT(A766,"mmm-yyyy"))</f>
        <v/>
      </c>
      <c r="I766" s="47" t="str">
        <f aca="false">IF(G766="","",G766+H766)</f>
        <v/>
      </c>
    </row>
    <row r="767" customFormat="false" ht="15" hidden="false" customHeight="false" outlineLevel="0" collapsed="false">
      <c r="C767" s="41" t="str">
        <f aca="false">IF(A767="","",TEXT(A767,"mmm-yyyy"))</f>
        <v/>
      </c>
      <c r="I767" s="47" t="str">
        <f aca="false">IF(G767="","",G767+H767)</f>
        <v/>
      </c>
    </row>
    <row r="768" customFormat="false" ht="15" hidden="false" customHeight="false" outlineLevel="0" collapsed="false">
      <c r="C768" s="41" t="str">
        <f aca="false">IF(A768="","",TEXT(A768,"mmm-yyyy"))</f>
        <v/>
      </c>
      <c r="I768" s="47" t="str">
        <f aca="false">IF(G768="","",G768+H768)</f>
        <v/>
      </c>
    </row>
    <row r="769" customFormat="false" ht="15" hidden="false" customHeight="false" outlineLevel="0" collapsed="false">
      <c r="C769" s="41" t="str">
        <f aca="false">IF(A769="","",TEXT(A769,"mmm-yyyy"))</f>
        <v/>
      </c>
      <c r="I769" s="47" t="str">
        <f aca="false">IF(G769="","",G769+H769)</f>
        <v/>
      </c>
    </row>
    <row r="770" customFormat="false" ht="15" hidden="false" customHeight="false" outlineLevel="0" collapsed="false">
      <c r="C770" s="41" t="str">
        <f aca="false">IF(A770="","",TEXT(A770,"mmm-yyyy"))</f>
        <v/>
      </c>
      <c r="I770" s="47" t="str">
        <f aca="false">IF(G770="","",G770+H770)</f>
        <v/>
      </c>
    </row>
    <row r="771" customFormat="false" ht="15" hidden="false" customHeight="false" outlineLevel="0" collapsed="false">
      <c r="C771" s="41" t="str">
        <f aca="false">IF(A771="","",TEXT(A771,"mmm-yyyy"))</f>
        <v/>
      </c>
      <c r="I771" s="47" t="str">
        <f aca="false">IF(G771="","",G771+H771)</f>
        <v/>
      </c>
    </row>
    <row r="772" customFormat="false" ht="15" hidden="false" customHeight="false" outlineLevel="0" collapsed="false">
      <c r="C772" s="41" t="str">
        <f aca="false">IF(A772="","",TEXT(A772,"mmm-yyyy"))</f>
        <v/>
      </c>
      <c r="I772" s="47" t="str">
        <f aca="false">IF(G772="","",G772+H772)</f>
        <v/>
      </c>
    </row>
    <row r="773" customFormat="false" ht="15" hidden="false" customHeight="false" outlineLevel="0" collapsed="false">
      <c r="C773" s="41" t="str">
        <f aca="false">IF(A773="","",TEXT(A773,"mmm-yyyy"))</f>
        <v/>
      </c>
      <c r="I773" s="47" t="str">
        <f aca="false">IF(G773="","",G773+H773)</f>
        <v/>
      </c>
    </row>
    <row r="774" customFormat="false" ht="15" hidden="false" customHeight="false" outlineLevel="0" collapsed="false">
      <c r="C774" s="41" t="str">
        <f aca="false">IF(A774="","",TEXT(A774,"mmm-yyyy"))</f>
        <v/>
      </c>
      <c r="I774" s="47" t="str">
        <f aca="false">IF(G774="","",G774+H774)</f>
        <v/>
      </c>
    </row>
    <row r="775" customFormat="false" ht="15" hidden="false" customHeight="false" outlineLevel="0" collapsed="false">
      <c r="C775" s="41" t="str">
        <f aca="false">IF(A775="","",TEXT(A775,"mmm-yyyy"))</f>
        <v/>
      </c>
      <c r="I775" s="47" t="str">
        <f aca="false">IF(G775="","",G775+H775)</f>
        <v/>
      </c>
    </row>
    <row r="776" customFormat="false" ht="15" hidden="false" customHeight="false" outlineLevel="0" collapsed="false">
      <c r="C776" s="41" t="str">
        <f aca="false">IF(A776="","",TEXT(A776,"mmm-yyyy"))</f>
        <v/>
      </c>
      <c r="I776" s="47" t="str">
        <f aca="false">IF(G776="","",G776+H776)</f>
        <v/>
      </c>
    </row>
    <row r="777" customFormat="false" ht="15" hidden="false" customHeight="false" outlineLevel="0" collapsed="false">
      <c r="C777" s="41" t="str">
        <f aca="false">IF(A777="","",TEXT(A777,"mmm-yyyy"))</f>
        <v/>
      </c>
      <c r="I777" s="47" t="str">
        <f aca="false">IF(G777="","",G777+H777)</f>
        <v/>
      </c>
    </row>
    <row r="778" customFormat="false" ht="15" hidden="false" customHeight="false" outlineLevel="0" collapsed="false">
      <c r="C778" s="41" t="str">
        <f aca="false">IF(A778="","",TEXT(A778,"mmm-yyyy"))</f>
        <v/>
      </c>
      <c r="I778" s="47" t="str">
        <f aca="false">IF(G778="","",G778+H778)</f>
        <v/>
      </c>
    </row>
    <row r="779" customFormat="false" ht="15" hidden="false" customHeight="false" outlineLevel="0" collapsed="false">
      <c r="C779" s="41" t="str">
        <f aca="false">IF(A779="","",TEXT(A779,"mmm-yyyy"))</f>
        <v/>
      </c>
      <c r="I779" s="47" t="str">
        <f aca="false">IF(G779="","",G779+H779)</f>
        <v/>
      </c>
    </row>
    <row r="780" customFormat="false" ht="15" hidden="false" customHeight="false" outlineLevel="0" collapsed="false">
      <c r="C780" s="41" t="str">
        <f aca="false">IF(A780="","",TEXT(A780,"mmm-yyyy"))</f>
        <v/>
      </c>
      <c r="I780" s="47" t="str">
        <f aca="false">IF(G780="","",G780+H780)</f>
        <v/>
      </c>
    </row>
    <row r="781" customFormat="false" ht="15" hidden="false" customHeight="false" outlineLevel="0" collapsed="false">
      <c r="C781" s="41" t="str">
        <f aca="false">IF(A781="","",TEXT(A781,"mmm-yyyy"))</f>
        <v/>
      </c>
      <c r="I781" s="47" t="str">
        <f aca="false">IF(G781="","",G781+H781)</f>
        <v/>
      </c>
    </row>
    <row r="782" customFormat="false" ht="15" hidden="false" customHeight="false" outlineLevel="0" collapsed="false">
      <c r="C782" s="41" t="str">
        <f aca="false">IF(A782="","",TEXT(A782,"mmm-yyyy"))</f>
        <v/>
      </c>
      <c r="I782" s="47" t="str">
        <f aca="false">IF(G782="","",G782+H782)</f>
        <v/>
      </c>
    </row>
    <row r="783" customFormat="false" ht="15" hidden="false" customHeight="false" outlineLevel="0" collapsed="false">
      <c r="C783" s="41" t="str">
        <f aca="false">IF(A783="","",TEXT(A783,"mmm-yyyy"))</f>
        <v/>
      </c>
      <c r="I783" s="47" t="str">
        <f aca="false">IF(G783="","",G783+H783)</f>
        <v/>
      </c>
    </row>
    <row r="784" customFormat="false" ht="15" hidden="false" customHeight="false" outlineLevel="0" collapsed="false">
      <c r="C784" s="41" t="str">
        <f aca="false">IF(A784="","",TEXT(A784,"mmm-yyyy"))</f>
        <v/>
      </c>
      <c r="I784" s="47" t="str">
        <f aca="false">IF(G784="","",G784+H784)</f>
        <v/>
      </c>
    </row>
    <row r="785" customFormat="false" ht="15" hidden="false" customHeight="false" outlineLevel="0" collapsed="false">
      <c r="C785" s="41" t="str">
        <f aca="false">IF(A785="","",TEXT(A785,"mmm-yyyy"))</f>
        <v/>
      </c>
      <c r="I785" s="47" t="str">
        <f aca="false">IF(G785="","",G785+H785)</f>
        <v/>
      </c>
    </row>
    <row r="786" customFormat="false" ht="15" hidden="false" customHeight="false" outlineLevel="0" collapsed="false">
      <c r="C786" s="41" t="str">
        <f aca="false">IF(A786="","",TEXT(A786,"mmm-yyyy"))</f>
        <v/>
      </c>
      <c r="I786" s="47" t="str">
        <f aca="false">IF(G786="","",G786+H786)</f>
        <v/>
      </c>
    </row>
    <row r="787" customFormat="false" ht="15" hidden="false" customHeight="false" outlineLevel="0" collapsed="false">
      <c r="C787" s="41" t="str">
        <f aca="false">IF(A787="","",TEXT(A787,"mmm-yyyy"))</f>
        <v/>
      </c>
      <c r="I787" s="47" t="str">
        <f aca="false">IF(G787="","",G787+H787)</f>
        <v/>
      </c>
    </row>
    <row r="788" customFormat="false" ht="15" hidden="false" customHeight="false" outlineLevel="0" collapsed="false">
      <c r="C788" s="41" t="str">
        <f aca="false">IF(A788="","",TEXT(A788,"mmm-yyyy"))</f>
        <v/>
      </c>
      <c r="I788" s="47" t="str">
        <f aca="false">IF(G788="","",G788+H788)</f>
        <v/>
      </c>
    </row>
    <row r="789" customFormat="false" ht="15" hidden="false" customHeight="false" outlineLevel="0" collapsed="false">
      <c r="C789" s="41" t="str">
        <f aca="false">IF(A789="","",TEXT(A789,"mmm-yyyy"))</f>
        <v/>
      </c>
      <c r="I789" s="47" t="str">
        <f aca="false">IF(G789="","",G789+H789)</f>
        <v/>
      </c>
    </row>
    <row r="790" customFormat="false" ht="15" hidden="false" customHeight="false" outlineLevel="0" collapsed="false">
      <c r="C790" s="41" t="str">
        <f aca="false">IF(A790="","",TEXT(A790,"mmm-yyyy"))</f>
        <v/>
      </c>
      <c r="I790" s="47" t="str">
        <f aca="false">IF(G790="","",G790+H790)</f>
        <v/>
      </c>
    </row>
    <row r="791" customFormat="false" ht="15" hidden="false" customHeight="false" outlineLevel="0" collapsed="false">
      <c r="C791" s="41" t="str">
        <f aca="false">IF(A791="","",TEXT(A791,"mmm-yyyy"))</f>
        <v/>
      </c>
      <c r="I791" s="47" t="str">
        <f aca="false">IF(G791="","",G791+H791)</f>
        <v/>
      </c>
    </row>
    <row r="792" customFormat="false" ht="15" hidden="false" customHeight="false" outlineLevel="0" collapsed="false">
      <c r="C792" s="41" t="str">
        <f aca="false">IF(A792="","",TEXT(A792,"mmm-yyyy"))</f>
        <v/>
      </c>
      <c r="I792" s="47" t="str">
        <f aca="false">IF(G792="","",G792+H792)</f>
        <v/>
      </c>
    </row>
    <row r="793" customFormat="false" ht="15" hidden="false" customHeight="false" outlineLevel="0" collapsed="false">
      <c r="C793" s="41" t="str">
        <f aca="false">IF(A793="","",TEXT(A793,"mmm-yyyy"))</f>
        <v/>
      </c>
      <c r="I793" s="47" t="str">
        <f aca="false">IF(G793="","",G793+H793)</f>
        <v/>
      </c>
    </row>
    <row r="794" customFormat="false" ht="15" hidden="false" customHeight="false" outlineLevel="0" collapsed="false">
      <c r="C794" s="41" t="str">
        <f aca="false">IF(A794="","",TEXT(A794,"mmm-yyyy"))</f>
        <v/>
      </c>
      <c r="I794" s="47" t="str">
        <f aca="false">IF(G794="","",G794+H794)</f>
        <v/>
      </c>
    </row>
    <row r="795" customFormat="false" ht="15" hidden="false" customHeight="false" outlineLevel="0" collapsed="false">
      <c r="C795" s="41" t="str">
        <f aca="false">IF(A795="","",TEXT(A795,"mmm-yyyy"))</f>
        <v/>
      </c>
      <c r="I795" s="47" t="str">
        <f aca="false">IF(G795="","",G795+H795)</f>
        <v/>
      </c>
    </row>
    <row r="796" customFormat="false" ht="15" hidden="false" customHeight="false" outlineLevel="0" collapsed="false">
      <c r="C796" s="41" t="str">
        <f aca="false">IF(A796="","",TEXT(A796,"mmm-yyyy"))</f>
        <v/>
      </c>
      <c r="I796" s="47" t="str">
        <f aca="false">IF(G796="","",G796+H796)</f>
        <v/>
      </c>
    </row>
    <row r="797" customFormat="false" ht="15" hidden="false" customHeight="false" outlineLevel="0" collapsed="false">
      <c r="C797" s="41" t="str">
        <f aca="false">IF(A797="","",TEXT(A797,"mmm-yyyy"))</f>
        <v/>
      </c>
      <c r="I797" s="47" t="str">
        <f aca="false">IF(G797="","",G797+H797)</f>
        <v/>
      </c>
    </row>
    <row r="798" customFormat="false" ht="15" hidden="false" customHeight="false" outlineLevel="0" collapsed="false">
      <c r="C798" s="41" t="str">
        <f aca="false">IF(A798="","",TEXT(A798,"mmm-yyyy"))</f>
        <v/>
      </c>
      <c r="I798" s="47" t="str">
        <f aca="false">IF(G798="","",G798+H798)</f>
        <v/>
      </c>
    </row>
    <row r="799" customFormat="false" ht="15" hidden="false" customHeight="false" outlineLevel="0" collapsed="false">
      <c r="C799" s="41" t="str">
        <f aca="false">IF(A799="","",TEXT(A799,"mmm-yyyy"))</f>
        <v/>
      </c>
      <c r="I799" s="47" t="str">
        <f aca="false">IF(G799="","",G799+H799)</f>
        <v/>
      </c>
    </row>
    <row r="800" customFormat="false" ht="15" hidden="false" customHeight="false" outlineLevel="0" collapsed="false">
      <c r="C800" s="41" t="str">
        <f aca="false">IF(A800="","",TEXT(A800,"mmm-yyyy"))</f>
        <v/>
      </c>
      <c r="I800" s="47" t="str">
        <f aca="false">IF(G800="","",G800+H800)</f>
        <v/>
      </c>
    </row>
    <row r="801" customFormat="false" ht="15" hidden="false" customHeight="false" outlineLevel="0" collapsed="false">
      <c r="C801" s="41" t="str">
        <f aca="false">IF(A801="","",TEXT(A801,"mmm-yyyy"))</f>
        <v/>
      </c>
      <c r="I801" s="47" t="str">
        <f aca="false">IF(G801="","",G801+H801)</f>
        <v/>
      </c>
    </row>
    <row r="802" customFormat="false" ht="15" hidden="false" customHeight="false" outlineLevel="0" collapsed="false">
      <c r="C802" s="41" t="str">
        <f aca="false">IF(A802="","",TEXT(A802,"mmm-yyyy"))</f>
        <v/>
      </c>
      <c r="I802" s="47" t="str">
        <f aca="false">IF(G802="","",G802+H802)</f>
        <v/>
      </c>
    </row>
    <row r="803" customFormat="false" ht="15" hidden="false" customHeight="false" outlineLevel="0" collapsed="false">
      <c r="C803" s="41" t="str">
        <f aca="false">IF(A803="","",TEXT(A803,"mmm-yyyy"))</f>
        <v/>
      </c>
      <c r="I803" s="47" t="str">
        <f aca="false">IF(G803="","",G803+H803)</f>
        <v/>
      </c>
    </row>
    <row r="804" customFormat="false" ht="15" hidden="false" customHeight="false" outlineLevel="0" collapsed="false">
      <c r="C804" s="41" t="str">
        <f aca="false">IF(A804="","",TEXT(A804,"mmm-yyyy"))</f>
        <v/>
      </c>
      <c r="I804" s="47" t="str">
        <f aca="false">IF(G804="","",G804+H804)</f>
        <v/>
      </c>
    </row>
    <row r="805" customFormat="false" ht="15" hidden="false" customHeight="false" outlineLevel="0" collapsed="false">
      <c r="C805" s="41" t="str">
        <f aca="false">IF(A805="","",TEXT(A805,"mmm-yyyy"))</f>
        <v/>
      </c>
      <c r="I805" s="47" t="str">
        <f aca="false">IF(G805="","",G805+H805)</f>
        <v/>
      </c>
    </row>
    <row r="806" customFormat="false" ht="15" hidden="false" customHeight="false" outlineLevel="0" collapsed="false">
      <c r="C806" s="41" t="str">
        <f aca="false">IF(A806="","",TEXT(A806,"mmm-yyyy"))</f>
        <v/>
      </c>
      <c r="I806" s="47" t="str">
        <f aca="false">IF(G806="","",G806+H806)</f>
        <v/>
      </c>
    </row>
    <row r="807" customFormat="false" ht="15" hidden="false" customHeight="false" outlineLevel="0" collapsed="false">
      <c r="C807" s="41" t="str">
        <f aca="false">IF(A807="","",TEXT(A807,"mmm-yyyy"))</f>
        <v/>
      </c>
      <c r="I807" s="47" t="str">
        <f aca="false">IF(G807="","",G807+H807)</f>
        <v/>
      </c>
    </row>
    <row r="808" customFormat="false" ht="15" hidden="false" customHeight="false" outlineLevel="0" collapsed="false">
      <c r="C808" s="41" t="str">
        <f aca="false">IF(A808="","",TEXT(A808,"mmm-yyyy"))</f>
        <v/>
      </c>
      <c r="I808" s="47" t="str">
        <f aca="false">IF(G808="","",G808+H808)</f>
        <v/>
      </c>
    </row>
    <row r="809" customFormat="false" ht="15" hidden="false" customHeight="false" outlineLevel="0" collapsed="false">
      <c r="C809" s="41" t="str">
        <f aca="false">IF(A809="","",TEXT(A809,"mmm-yyyy"))</f>
        <v/>
      </c>
      <c r="I809" s="47" t="str">
        <f aca="false">IF(G809="","",G809+H809)</f>
        <v/>
      </c>
    </row>
    <row r="810" customFormat="false" ht="15" hidden="false" customHeight="false" outlineLevel="0" collapsed="false">
      <c r="C810" s="41" t="str">
        <f aca="false">IF(A810="","",TEXT(A810,"mmm-yyyy"))</f>
        <v/>
      </c>
      <c r="I810" s="47" t="str">
        <f aca="false">IF(G810="","",G810+H810)</f>
        <v/>
      </c>
    </row>
    <row r="811" customFormat="false" ht="15" hidden="false" customHeight="false" outlineLevel="0" collapsed="false">
      <c r="C811" s="41" t="str">
        <f aca="false">IF(A811="","",TEXT(A811,"mmm-yyyy"))</f>
        <v/>
      </c>
      <c r="I811" s="47" t="str">
        <f aca="false">IF(G811="","",G811+H811)</f>
        <v/>
      </c>
    </row>
    <row r="812" customFormat="false" ht="15" hidden="false" customHeight="false" outlineLevel="0" collapsed="false">
      <c r="C812" s="41" t="str">
        <f aca="false">IF(A812="","",TEXT(A812,"mmm-yyyy"))</f>
        <v/>
      </c>
      <c r="I812" s="47" t="str">
        <f aca="false">IF(G812="","",G812+H812)</f>
        <v/>
      </c>
    </row>
    <row r="813" customFormat="false" ht="15" hidden="false" customHeight="false" outlineLevel="0" collapsed="false">
      <c r="C813" s="41" t="str">
        <f aca="false">IF(A813="","",TEXT(A813,"mmm-yyyy"))</f>
        <v/>
      </c>
      <c r="I813" s="47" t="str">
        <f aca="false">IF(G813="","",G813+H813)</f>
        <v/>
      </c>
    </row>
    <row r="814" customFormat="false" ht="15" hidden="false" customHeight="false" outlineLevel="0" collapsed="false">
      <c r="C814" s="41" t="str">
        <f aca="false">IF(A814="","",TEXT(A814,"mmm-yyyy"))</f>
        <v/>
      </c>
      <c r="I814" s="47" t="str">
        <f aca="false">IF(G814="","",G814+H814)</f>
        <v/>
      </c>
    </row>
    <row r="815" customFormat="false" ht="15" hidden="false" customHeight="false" outlineLevel="0" collapsed="false">
      <c r="C815" s="41" t="str">
        <f aca="false">IF(A815="","",TEXT(A815,"mmm-yyyy"))</f>
        <v/>
      </c>
      <c r="I815" s="47" t="str">
        <f aca="false">IF(G815="","",G815+H815)</f>
        <v/>
      </c>
    </row>
    <row r="816" customFormat="false" ht="15" hidden="false" customHeight="false" outlineLevel="0" collapsed="false">
      <c r="C816" s="41" t="str">
        <f aca="false">IF(A816="","",TEXT(A816,"mmm-yyyy"))</f>
        <v/>
      </c>
      <c r="I816" s="47" t="str">
        <f aca="false">IF(G816="","",G816+H816)</f>
        <v/>
      </c>
    </row>
    <row r="817" customFormat="false" ht="15" hidden="false" customHeight="false" outlineLevel="0" collapsed="false">
      <c r="C817" s="41" t="str">
        <f aca="false">IF(A817="","",TEXT(A817,"mmm-yyyy"))</f>
        <v/>
      </c>
      <c r="I817" s="47" t="str">
        <f aca="false">IF(G817="","",G817+H817)</f>
        <v/>
      </c>
    </row>
    <row r="818" customFormat="false" ht="15" hidden="false" customHeight="false" outlineLevel="0" collapsed="false">
      <c r="C818" s="41" t="str">
        <f aca="false">IF(A818="","",TEXT(A818,"mmm-yyyy"))</f>
        <v/>
      </c>
      <c r="I818" s="47" t="str">
        <f aca="false">IF(G818="","",G818+H818)</f>
        <v/>
      </c>
    </row>
    <row r="819" customFormat="false" ht="15" hidden="false" customHeight="false" outlineLevel="0" collapsed="false">
      <c r="C819" s="41" t="str">
        <f aca="false">IF(A819="","",TEXT(A819,"mmm-yyyy"))</f>
        <v/>
      </c>
      <c r="I819" s="47" t="str">
        <f aca="false">IF(G819="","",G819+H819)</f>
        <v/>
      </c>
    </row>
    <row r="820" customFormat="false" ht="15" hidden="false" customHeight="false" outlineLevel="0" collapsed="false">
      <c r="C820" s="41" t="str">
        <f aca="false">IF(A820="","",TEXT(A820,"mmm-yyyy"))</f>
        <v/>
      </c>
      <c r="I820" s="47" t="str">
        <f aca="false">IF(G820="","",G820+H820)</f>
        <v/>
      </c>
    </row>
    <row r="821" customFormat="false" ht="15" hidden="false" customHeight="false" outlineLevel="0" collapsed="false">
      <c r="C821" s="41" t="str">
        <f aca="false">IF(A821="","",TEXT(A821,"mmm-yyyy"))</f>
        <v/>
      </c>
      <c r="I821" s="47" t="str">
        <f aca="false">IF(G821="","",G821+H821)</f>
        <v/>
      </c>
    </row>
    <row r="822" customFormat="false" ht="15" hidden="false" customHeight="false" outlineLevel="0" collapsed="false">
      <c r="C822" s="41" t="str">
        <f aca="false">IF(A822="","",TEXT(A822,"mmm-yyyy"))</f>
        <v/>
      </c>
      <c r="I822" s="47" t="str">
        <f aca="false">IF(G822="","",G822+H822)</f>
        <v/>
      </c>
    </row>
    <row r="823" customFormat="false" ht="15" hidden="false" customHeight="false" outlineLevel="0" collapsed="false">
      <c r="C823" s="41" t="str">
        <f aca="false">IF(A823="","",TEXT(A823,"mmm-yyyy"))</f>
        <v/>
      </c>
      <c r="I823" s="47" t="str">
        <f aca="false">IF(G823="","",G823+H823)</f>
        <v/>
      </c>
    </row>
    <row r="824" customFormat="false" ht="15" hidden="false" customHeight="false" outlineLevel="0" collapsed="false">
      <c r="C824" s="41" t="str">
        <f aca="false">IF(A824="","",TEXT(A824,"mmm-yyyy"))</f>
        <v/>
      </c>
      <c r="I824" s="47" t="str">
        <f aca="false">IF(G824="","",G824+H824)</f>
        <v/>
      </c>
    </row>
    <row r="825" customFormat="false" ht="15" hidden="false" customHeight="false" outlineLevel="0" collapsed="false">
      <c r="C825" s="41" t="str">
        <f aca="false">IF(A825="","",TEXT(A825,"mmm-yyyy"))</f>
        <v/>
      </c>
      <c r="I825" s="47" t="str">
        <f aca="false">IF(G825="","",G825+H825)</f>
        <v/>
      </c>
    </row>
    <row r="826" customFormat="false" ht="15" hidden="false" customHeight="false" outlineLevel="0" collapsed="false">
      <c r="C826" s="41" t="str">
        <f aca="false">IF(A826="","",TEXT(A826,"mmm-yyyy"))</f>
        <v/>
      </c>
      <c r="I826" s="47" t="str">
        <f aca="false">IF(G826="","",G826+H826)</f>
        <v/>
      </c>
    </row>
    <row r="827" customFormat="false" ht="15" hidden="false" customHeight="false" outlineLevel="0" collapsed="false">
      <c r="C827" s="41" t="str">
        <f aca="false">IF(A827="","",TEXT(A827,"mmm-yyyy"))</f>
        <v/>
      </c>
      <c r="I827" s="47" t="str">
        <f aca="false">IF(G827="","",G827+H827)</f>
        <v/>
      </c>
    </row>
    <row r="828" customFormat="false" ht="15" hidden="false" customHeight="false" outlineLevel="0" collapsed="false">
      <c r="C828" s="41" t="str">
        <f aca="false">IF(A828="","",TEXT(A828,"mmm-yyyy"))</f>
        <v/>
      </c>
      <c r="I828" s="47" t="str">
        <f aca="false">IF(G828="","",G828+H828)</f>
        <v/>
      </c>
    </row>
    <row r="829" customFormat="false" ht="15" hidden="false" customHeight="false" outlineLevel="0" collapsed="false">
      <c r="C829" s="41" t="str">
        <f aca="false">IF(A829="","",TEXT(A829,"mmm-yyyy"))</f>
        <v/>
      </c>
      <c r="I829" s="47" t="str">
        <f aca="false">IF(G829="","",G829+H829)</f>
        <v/>
      </c>
    </row>
    <row r="830" customFormat="false" ht="15" hidden="false" customHeight="false" outlineLevel="0" collapsed="false">
      <c r="C830" s="41" t="str">
        <f aca="false">IF(A830="","",TEXT(A830,"mmm-yyyy"))</f>
        <v/>
      </c>
      <c r="I830" s="47" t="str">
        <f aca="false">IF(G830="","",G830+H830)</f>
        <v/>
      </c>
    </row>
    <row r="831" customFormat="false" ht="15" hidden="false" customHeight="false" outlineLevel="0" collapsed="false">
      <c r="C831" s="41" t="str">
        <f aca="false">IF(A831="","",TEXT(A831,"mmm-yyyy"))</f>
        <v/>
      </c>
      <c r="I831" s="47" t="str">
        <f aca="false">IF(G831="","",G831+H831)</f>
        <v/>
      </c>
    </row>
    <row r="832" customFormat="false" ht="15" hidden="false" customHeight="false" outlineLevel="0" collapsed="false">
      <c r="C832" s="41" t="str">
        <f aca="false">IF(A832="","",TEXT(A832,"mmm-yyyy"))</f>
        <v/>
      </c>
      <c r="I832" s="47" t="str">
        <f aca="false">IF(G832="","",G832+H832)</f>
        <v/>
      </c>
    </row>
    <row r="833" customFormat="false" ht="15" hidden="false" customHeight="false" outlineLevel="0" collapsed="false">
      <c r="C833" s="41" t="str">
        <f aca="false">IF(A833="","",TEXT(A833,"mmm-yyyy"))</f>
        <v/>
      </c>
      <c r="I833" s="47" t="str">
        <f aca="false">IF(G833="","",G833+H833)</f>
        <v/>
      </c>
    </row>
    <row r="834" customFormat="false" ht="15" hidden="false" customHeight="false" outlineLevel="0" collapsed="false">
      <c r="C834" s="41" t="str">
        <f aca="false">IF(A834="","",TEXT(A834,"mmm-yyyy"))</f>
        <v/>
      </c>
      <c r="I834" s="47" t="str">
        <f aca="false">IF(G834="","",G834+H834)</f>
        <v/>
      </c>
    </row>
    <row r="835" customFormat="false" ht="15" hidden="false" customHeight="false" outlineLevel="0" collapsed="false">
      <c r="C835" s="41" t="str">
        <f aca="false">IF(A835="","",TEXT(A835,"mmm-yyyy"))</f>
        <v/>
      </c>
      <c r="I835" s="47" t="str">
        <f aca="false">IF(G835="","",G835+H835)</f>
        <v/>
      </c>
    </row>
    <row r="836" customFormat="false" ht="15" hidden="false" customHeight="false" outlineLevel="0" collapsed="false">
      <c r="C836" s="41" t="str">
        <f aca="false">IF(A836="","",TEXT(A836,"mmm-yyyy"))</f>
        <v/>
      </c>
      <c r="I836" s="47" t="str">
        <f aca="false">IF(G836="","",G836+H836)</f>
        <v/>
      </c>
    </row>
    <row r="837" customFormat="false" ht="15" hidden="false" customHeight="false" outlineLevel="0" collapsed="false">
      <c r="C837" s="41" t="str">
        <f aca="false">IF(A837="","",TEXT(A837,"mmm-yyyy"))</f>
        <v/>
      </c>
      <c r="I837" s="47" t="str">
        <f aca="false">IF(G837="","",G837+H837)</f>
        <v/>
      </c>
    </row>
    <row r="838" customFormat="false" ht="15" hidden="false" customHeight="false" outlineLevel="0" collapsed="false">
      <c r="C838" s="41" t="str">
        <f aca="false">IF(A838="","",TEXT(A838,"mmm-yyyy"))</f>
        <v/>
      </c>
      <c r="I838" s="47" t="str">
        <f aca="false">IF(G838="","",G838+H838)</f>
        <v/>
      </c>
    </row>
    <row r="839" customFormat="false" ht="15" hidden="false" customHeight="false" outlineLevel="0" collapsed="false">
      <c r="C839" s="41" t="str">
        <f aca="false">IF(A839="","",TEXT(A839,"mmm-yyyy"))</f>
        <v/>
      </c>
      <c r="I839" s="47" t="str">
        <f aca="false">IF(G839="","",G839+H839)</f>
        <v/>
      </c>
    </row>
    <row r="840" customFormat="false" ht="15" hidden="false" customHeight="false" outlineLevel="0" collapsed="false">
      <c r="C840" s="41" t="str">
        <f aca="false">IF(A840="","",TEXT(A840,"mmm-yyyy"))</f>
        <v/>
      </c>
      <c r="I840" s="47" t="str">
        <f aca="false">IF(G840="","",G840+H840)</f>
        <v/>
      </c>
    </row>
    <row r="841" customFormat="false" ht="15" hidden="false" customHeight="false" outlineLevel="0" collapsed="false">
      <c r="C841" s="41" t="str">
        <f aca="false">IF(A841="","",TEXT(A841,"mmm-yyyy"))</f>
        <v/>
      </c>
      <c r="I841" s="47" t="str">
        <f aca="false">IF(G841="","",G841+H841)</f>
        <v/>
      </c>
    </row>
    <row r="842" customFormat="false" ht="15" hidden="false" customHeight="false" outlineLevel="0" collapsed="false">
      <c r="C842" s="41" t="str">
        <f aca="false">IF(A842="","",TEXT(A842,"mmm-yyyy"))</f>
        <v/>
      </c>
      <c r="I842" s="47" t="str">
        <f aca="false">IF(G842="","",G842+H842)</f>
        <v/>
      </c>
    </row>
    <row r="843" customFormat="false" ht="15" hidden="false" customHeight="false" outlineLevel="0" collapsed="false">
      <c r="C843" s="41" t="str">
        <f aca="false">IF(A843="","",TEXT(A843,"mmm-yyyy"))</f>
        <v/>
      </c>
      <c r="I843" s="47" t="str">
        <f aca="false">IF(G843="","",G843+H843)</f>
        <v/>
      </c>
    </row>
    <row r="844" customFormat="false" ht="15" hidden="false" customHeight="false" outlineLevel="0" collapsed="false">
      <c r="C844" s="41" t="str">
        <f aca="false">IF(A844="","",TEXT(A844,"mmm-yyyy"))</f>
        <v/>
      </c>
      <c r="I844" s="47" t="str">
        <f aca="false">IF(G844="","",G844+H844)</f>
        <v/>
      </c>
    </row>
    <row r="845" customFormat="false" ht="15" hidden="false" customHeight="false" outlineLevel="0" collapsed="false">
      <c r="C845" s="41" t="str">
        <f aca="false">IF(A845="","",TEXT(A845,"mmm-yyyy"))</f>
        <v/>
      </c>
      <c r="I845" s="47" t="str">
        <f aca="false">IF(G845="","",G845+H845)</f>
        <v/>
      </c>
    </row>
    <row r="846" customFormat="false" ht="15" hidden="false" customHeight="false" outlineLevel="0" collapsed="false">
      <c r="C846" s="41" t="str">
        <f aca="false">IF(A846="","",TEXT(A846,"mmm-yyyy"))</f>
        <v/>
      </c>
      <c r="I846" s="47" t="str">
        <f aca="false">IF(G846="","",G846+H846)</f>
        <v/>
      </c>
    </row>
    <row r="847" customFormat="false" ht="15" hidden="false" customHeight="false" outlineLevel="0" collapsed="false">
      <c r="C847" s="41" t="str">
        <f aca="false">IF(A847="","",TEXT(A847,"mmm-yyyy"))</f>
        <v/>
      </c>
      <c r="I847" s="47" t="str">
        <f aca="false">IF(G847="","",G847+H847)</f>
        <v/>
      </c>
    </row>
    <row r="848" customFormat="false" ht="15" hidden="false" customHeight="false" outlineLevel="0" collapsed="false">
      <c r="C848" s="41" t="str">
        <f aca="false">IF(A848="","",TEXT(A848,"mmm-yyyy"))</f>
        <v/>
      </c>
      <c r="I848" s="47" t="str">
        <f aca="false">IF(G848="","",G848+H848)</f>
        <v/>
      </c>
    </row>
    <row r="849" customFormat="false" ht="15" hidden="false" customHeight="false" outlineLevel="0" collapsed="false">
      <c r="C849" s="41" t="str">
        <f aca="false">IF(A849="","",TEXT(A849,"mmm-yyyy"))</f>
        <v/>
      </c>
      <c r="I849" s="47" t="str">
        <f aca="false">IF(G849="","",G849+H849)</f>
        <v/>
      </c>
    </row>
    <row r="850" customFormat="false" ht="15" hidden="false" customHeight="false" outlineLevel="0" collapsed="false">
      <c r="C850" s="41" t="str">
        <f aca="false">IF(A850="","",TEXT(A850,"mmm-yyyy"))</f>
        <v/>
      </c>
      <c r="I850" s="47" t="str">
        <f aca="false">IF(G850="","",G850+H850)</f>
        <v/>
      </c>
    </row>
    <row r="851" customFormat="false" ht="15" hidden="false" customHeight="false" outlineLevel="0" collapsed="false">
      <c r="C851" s="41" t="str">
        <f aca="false">IF(A851="","",TEXT(A851,"mmm-yyyy"))</f>
        <v/>
      </c>
      <c r="I851" s="47" t="str">
        <f aca="false">IF(G851="","",G851+H851)</f>
        <v/>
      </c>
    </row>
    <row r="852" customFormat="false" ht="15" hidden="false" customHeight="false" outlineLevel="0" collapsed="false">
      <c r="C852" s="41" t="str">
        <f aca="false">IF(A852="","",TEXT(A852,"mmm-yyyy"))</f>
        <v/>
      </c>
      <c r="I852" s="47" t="str">
        <f aca="false">IF(G852="","",G852+H852)</f>
        <v/>
      </c>
    </row>
    <row r="853" customFormat="false" ht="15" hidden="false" customHeight="false" outlineLevel="0" collapsed="false">
      <c r="C853" s="41" t="str">
        <f aca="false">IF(A853="","",TEXT(A853,"mmm-yyyy"))</f>
        <v/>
      </c>
      <c r="I853" s="47" t="str">
        <f aca="false">IF(G853="","",G853+H853)</f>
        <v/>
      </c>
    </row>
    <row r="854" customFormat="false" ht="15" hidden="false" customHeight="false" outlineLevel="0" collapsed="false">
      <c r="C854" s="41" t="str">
        <f aca="false">IF(A854="","",TEXT(A854,"mmm-yyyy"))</f>
        <v/>
      </c>
      <c r="I854" s="47" t="str">
        <f aca="false">IF(G854="","",G854+H854)</f>
        <v/>
      </c>
    </row>
    <row r="855" customFormat="false" ht="15" hidden="false" customHeight="false" outlineLevel="0" collapsed="false">
      <c r="C855" s="41" t="str">
        <f aca="false">IF(A855="","",TEXT(A855,"mmm-yyyy"))</f>
        <v/>
      </c>
      <c r="I855" s="47" t="str">
        <f aca="false">IF(G855="","",G855+H855)</f>
        <v/>
      </c>
    </row>
    <row r="856" customFormat="false" ht="15" hidden="false" customHeight="false" outlineLevel="0" collapsed="false">
      <c r="C856" s="41" t="str">
        <f aca="false">IF(A856="","",TEXT(A856,"mmm-yyyy"))</f>
        <v/>
      </c>
      <c r="I856" s="47" t="str">
        <f aca="false">IF(G856="","",G856+H856)</f>
        <v/>
      </c>
    </row>
    <row r="857" customFormat="false" ht="15" hidden="false" customHeight="false" outlineLevel="0" collapsed="false">
      <c r="C857" s="41" t="str">
        <f aca="false">IF(A857="","",TEXT(A857,"mmm-yyyy"))</f>
        <v/>
      </c>
      <c r="I857" s="47" t="str">
        <f aca="false">IF(G857="","",G857+H857)</f>
        <v/>
      </c>
    </row>
    <row r="858" customFormat="false" ht="15" hidden="false" customHeight="false" outlineLevel="0" collapsed="false">
      <c r="C858" s="41" t="str">
        <f aca="false">IF(A858="","",TEXT(A858,"mmm-yyyy"))</f>
        <v/>
      </c>
      <c r="I858" s="47" t="str">
        <f aca="false">IF(G858="","",G858+H858)</f>
        <v/>
      </c>
    </row>
    <row r="859" customFormat="false" ht="15" hidden="false" customHeight="false" outlineLevel="0" collapsed="false">
      <c r="C859" s="41" t="str">
        <f aca="false">IF(A859="","",TEXT(A859,"mmm-yyyy"))</f>
        <v/>
      </c>
      <c r="I859" s="47" t="str">
        <f aca="false">IF(G859="","",G859+H859)</f>
        <v/>
      </c>
    </row>
    <row r="860" customFormat="false" ht="15" hidden="false" customHeight="false" outlineLevel="0" collapsed="false">
      <c r="C860" s="41" t="str">
        <f aca="false">IF(A860="","",TEXT(A860,"mmm-yyyy"))</f>
        <v/>
      </c>
      <c r="I860" s="47" t="str">
        <f aca="false">IF(G860="","",G860+H860)</f>
        <v/>
      </c>
    </row>
    <row r="861" customFormat="false" ht="15" hidden="false" customHeight="false" outlineLevel="0" collapsed="false">
      <c r="C861" s="41" t="str">
        <f aca="false">IF(A861="","",TEXT(A861,"mmm-yyyy"))</f>
        <v/>
      </c>
      <c r="I861" s="47" t="str">
        <f aca="false">IF(G861="","",G861+H861)</f>
        <v/>
      </c>
    </row>
    <row r="862" customFormat="false" ht="15" hidden="false" customHeight="false" outlineLevel="0" collapsed="false">
      <c r="C862" s="41" t="str">
        <f aca="false">IF(A862="","",TEXT(A862,"mmm-yyyy"))</f>
        <v/>
      </c>
      <c r="I862" s="47" t="str">
        <f aca="false">IF(G862="","",G862+H862)</f>
        <v/>
      </c>
    </row>
    <row r="863" customFormat="false" ht="15" hidden="false" customHeight="false" outlineLevel="0" collapsed="false">
      <c r="C863" s="41" t="str">
        <f aca="false">IF(A863="","",TEXT(A863,"mmm-yyyy"))</f>
        <v/>
      </c>
      <c r="I863" s="47" t="str">
        <f aca="false">IF(G863="","",G863+H863)</f>
        <v/>
      </c>
    </row>
    <row r="864" customFormat="false" ht="15" hidden="false" customHeight="false" outlineLevel="0" collapsed="false">
      <c r="C864" s="41" t="str">
        <f aca="false">IF(A864="","",TEXT(A864,"mmm-yyyy"))</f>
        <v/>
      </c>
      <c r="I864" s="47" t="str">
        <f aca="false">IF(G864="","",G864+H864)</f>
        <v/>
      </c>
    </row>
    <row r="865" customFormat="false" ht="15" hidden="false" customHeight="false" outlineLevel="0" collapsed="false">
      <c r="C865" s="41" t="str">
        <f aca="false">IF(A865="","",TEXT(A865,"mmm-yyyy"))</f>
        <v/>
      </c>
      <c r="I865" s="47" t="str">
        <f aca="false">IF(G865="","",G865+H865)</f>
        <v/>
      </c>
    </row>
    <row r="866" customFormat="false" ht="15" hidden="false" customHeight="false" outlineLevel="0" collapsed="false">
      <c r="C866" s="41" t="str">
        <f aca="false">IF(A866="","",TEXT(A866,"mmm-yyyy"))</f>
        <v/>
      </c>
      <c r="I866" s="47" t="str">
        <f aca="false">IF(G866="","",G866+H866)</f>
        <v/>
      </c>
    </row>
    <row r="867" customFormat="false" ht="15" hidden="false" customHeight="false" outlineLevel="0" collapsed="false">
      <c r="C867" s="41" t="str">
        <f aca="false">IF(A867="","",TEXT(A867,"mmm-yyyy"))</f>
        <v/>
      </c>
      <c r="I867" s="47" t="str">
        <f aca="false">IF(G867="","",G867+H867)</f>
        <v/>
      </c>
    </row>
    <row r="868" customFormat="false" ht="15" hidden="false" customHeight="false" outlineLevel="0" collapsed="false">
      <c r="C868" s="41" t="str">
        <f aca="false">IF(A868="","",TEXT(A868,"mmm-yyyy"))</f>
        <v/>
      </c>
      <c r="I868" s="47" t="str">
        <f aca="false">IF(G868="","",G868+H868)</f>
        <v/>
      </c>
    </row>
    <row r="869" customFormat="false" ht="15" hidden="false" customHeight="false" outlineLevel="0" collapsed="false">
      <c r="C869" s="41" t="str">
        <f aca="false">IF(A869="","",TEXT(A869,"mmm-yyyy"))</f>
        <v/>
      </c>
      <c r="I869" s="47" t="str">
        <f aca="false">IF(G869="","",G869+H869)</f>
        <v/>
      </c>
    </row>
    <row r="870" customFormat="false" ht="15" hidden="false" customHeight="false" outlineLevel="0" collapsed="false">
      <c r="C870" s="41" t="str">
        <f aca="false">IF(A870="","",TEXT(A870,"mmm-yyyy"))</f>
        <v/>
      </c>
      <c r="I870" s="47" t="str">
        <f aca="false">IF(G870="","",G870+H870)</f>
        <v/>
      </c>
    </row>
    <row r="871" customFormat="false" ht="15" hidden="false" customHeight="false" outlineLevel="0" collapsed="false">
      <c r="C871" s="41" t="str">
        <f aca="false">IF(A871="","",TEXT(A871,"mmm-yyyy"))</f>
        <v/>
      </c>
      <c r="I871" s="47" t="str">
        <f aca="false">IF(G871="","",G871+H871)</f>
        <v/>
      </c>
    </row>
    <row r="872" customFormat="false" ht="15" hidden="false" customHeight="false" outlineLevel="0" collapsed="false">
      <c r="C872" s="41" t="str">
        <f aca="false">IF(A872="","",TEXT(A872,"mmm-yyyy"))</f>
        <v/>
      </c>
      <c r="I872" s="47" t="str">
        <f aca="false">IF(G872="","",G872+H872)</f>
        <v/>
      </c>
    </row>
    <row r="873" customFormat="false" ht="15" hidden="false" customHeight="false" outlineLevel="0" collapsed="false">
      <c r="C873" s="41" t="str">
        <f aca="false">IF(A873="","",TEXT(A873,"mmm-yyyy"))</f>
        <v/>
      </c>
      <c r="I873" s="47" t="str">
        <f aca="false">IF(G873="","",G873+H873)</f>
        <v/>
      </c>
    </row>
    <row r="874" customFormat="false" ht="15" hidden="false" customHeight="false" outlineLevel="0" collapsed="false">
      <c r="C874" s="41" t="str">
        <f aca="false">IF(A874="","",TEXT(A874,"mmm-yyyy"))</f>
        <v/>
      </c>
      <c r="I874" s="47" t="str">
        <f aca="false">IF(G874="","",G874+H874)</f>
        <v/>
      </c>
    </row>
    <row r="875" customFormat="false" ht="15" hidden="false" customHeight="false" outlineLevel="0" collapsed="false">
      <c r="C875" s="41" t="str">
        <f aca="false">IF(A875="","",TEXT(A875,"mmm-yyyy"))</f>
        <v/>
      </c>
      <c r="I875" s="47" t="str">
        <f aca="false">IF(G875="","",G875+H875)</f>
        <v/>
      </c>
    </row>
    <row r="876" customFormat="false" ht="15" hidden="false" customHeight="false" outlineLevel="0" collapsed="false">
      <c r="C876" s="41" t="str">
        <f aca="false">IF(A876="","",TEXT(A876,"mmm-yyyy"))</f>
        <v/>
      </c>
      <c r="I876" s="47" t="str">
        <f aca="false">IF(G876="","",G876+H876)</f>
        <v/>
      </c>
    </row>
    <row r="877" customFormat="false" ht="15" hidden="false" customHeight="false" outlineLevel="0" collapsed="false">
      <c r="C877" s="41" t="str">
        <f aca="false">IF(A877="","",TEXT(A877,"mmm-yyyy"))</f>
        <v/>
      </c>
      <c r="I877" s="47" t="str">
        <f aca="false">IF(G877="","",G877+H877)</f>
        <v/>
      </c>
    </row>
    <row r="878" customFormat="false" ht="15" hidden="false" customHeight="false" outlineLevel="0" collapsed="false">
      <c r="C878" s="41" t="str">
        <f aca="false">IF(A878="","",TEXT(A878,"mmm-yyyy"))</f>
        <v/>
      </c>
      <c r="I878" s="47" t="str">
        <f aca="false">IF(G878="","",G878+H878)</f>
        <v/>
      </c>
    </row>
    <row r="879" customFormat="false" ht="15" hidden="false" customHeight="false" outlineLevel="0" collapsed="false">
      <c r="C879" s="41" t="str">
        <f aca="false">IF(A879="","",TEXT(A879,"mmm-yyyy"))</f>
        <v/>
      </c>
      <c r="I879" s="47" t="str">
        <f aca="false">IF(G879="","",G879+H879)</f>
        <v/>
      </c>
    </row>
    <row r="880" customFormat="false" ht="15" hidden="false" customHeight="false" outlineLevel="0" collapsed="false">
      <c r="C880" s="41" t="str">
        <f aca="false">IF(A880="","",TEXT(A880,"mmm-yyyy"))</f>
        <v/>
      </c>
      <c r="I880" s="47" t="str">
        <f aca="false">IF(G880="","",G880+H880)</f>
        <v/>
      </c>
    </row>
    <row r="881" customFormat="false" ht="15" hidden="false" customHeight="false" outlineLevel="0" collapsed="false">
      <c r="C881" s="41" t="str">
        <f aca="false">IF(A881="","",TEXT(A881,"mmm-yyyy"))</f>
        <v/>
      </c>
      <c r="I881" s="47" t="str">
        <f aca="false">IF(G881="","",G881+H881)</f>
        <v/>
      </c>
    </row>
    <row r="882" customFormat="false" ht="15" hidden="false" customHeight="false" outlineLevel="0" collapsed="false">
      <c r="C882" s="41" t="str">
        <f aca="false">IF(A882="","",TEXT(A882,"mmm-yyyy"))</f>
        <v/>
      </c>
      <c r="I882" s="47" t="str">
        <f aca="false">IF(G882="","",G882+H882)</f>
        <v/>
      </c>
    </row>
    <row r="883" customFormat="false" ht="15" hidden="false" customHeight="false" outlineLevel="0" collapsed="false">
      <c r="C883" s="41" t="str">
        <f aca="false">IF(A883="","",TEXT(A883,"mmm-yyyy"))</f>
        <v/>
      </c>
      <c r="I883" s="47" t="str">
        <f aca="false">IF(G883="","",G883+H883)</f>
        <v/>
      </c>
    </row>
    <row r="884" customFormat="false" ht="15" hidden="false" customHeight="false" outlineLevel="0" collapsed="false">
      <c r="C884" s="41" t="str">
        <f aca="false">IF(A884="","",TEXT(A884,"mmm-yyyy"))</f>
        <v/>
      </c>
      <c r="I884" s="47" t="str">
        <f aca="false">IF(G884="","",G884+H884)</f>
        <v/>
      </c>
    </row>
    <row r="885" customFormat="false" ht="15" hidden="false" customHeight="false" outlineLevel="0" collapsed="false">
      <c r="C885" s="41" t="str">
        <f aca="false">IF(A885="","",TEXT(A885,"mmm-yyyy"))</f>
        <v/>
      </c>
      <c r="I885" s="47" t="str">
        <f aca="false">IF(G885="","",G885+H885)</f>
        <v/>
      </c>
    </row>
    <row r="886" customFormat="false" ht="15" hidden="false" customHeight="false" outlineLevel="0" collapsed="false">
      <c r="C886" s="41" t="str">
        <f aca="false">IF(A886="","",TEXT(A886,"mmm-yyyy"))</f>
        <v/>
      </c>
      <c r="I886" s="47" t="str">
        <f aca="false">IF(G886="","",G886+H886)</f>
        <v/>
      </c>
    </row>
    <row r="887" customFormat="false" ht="15" hidden="false" customHeight="false" outlineLevel="0" collapsed="false">
      <c r="C887" s="41" t="str">
        <f aca="false">IF(A887="","",TEXT(A887,"mmm-yyyy"))</f>
        <v/>
      </c>
      <c r="I887" s="47" t="str">
        <f aca="false">IF(G887="","",G887+H887)</f>
        <v/>
      </c>
    </row>
    <row r="888" customFormat="false" ht="15" hidden="false" customHeight="false" outlineLevel="0" collapsed="false">
      <c r="C888" s="41" t="str">
        <f aca="false">IF(A888="","",TEXT(A888,"mmm-yyyy"))</f>
        <v/>
      </c>
      <c r="I888" s="47" t="str">
        <f aca="false">IF(G888="","",G888+H888)</f>
        <v/>
      </c>
    </row>
    <row r="889" customFormat="false" ht="15" hidden="false" customHeight="false" outlineLevel="0" collapsed="false">
      <c r="C889" s="41" t="str">
        <f aca="false">IF(A889="","",TEXT(A889,"mmm-yyyy"))</f>
        <v/>
      </c>
      <c r="I889" s="47" t="str">
        <f aca="false">IF(G889="","",G889+H889)</f>
        <v/>
      </c>
    </row>
    <row r="890" customFormat="false" ht="15" hidden="false" customHeight="false" outlineLevel="0" collapsed="false">
      <c r="C890" s="41" t="str">
        <f aca="false">IF(A890="","",TEXT(A890,"mmm-yyyy"))</f>
        <v/>
      </c>
      <c r="I890" s="47" t="str">
        <f aca="false">IF(G890="","",G890+H890)</f>
        <v/>
      </c>
    </row>
    <row r="891" customFormat="false" ht="15" hidden="false" customHeight="false" outlineLevel="0" collapsed="false">
      <c r="C891" s="41" t="str">
        <f aca="false">IF(A891="","",TEXT(A891,"mmm-yyyy"))</f>
        <v/>
      </c>
      <c r="I891" s="47" t="str">
        <f aca="false">IF(G891="","",G891+H891)</f>
        <v/>
      </c>
    </row>
    <row r="892" customFormat="false" ht="15" hidden="false" customHeight="false" outlineLevel="0" collapsed="false">
      <c r="C892" s="41" t="str">
        <f aca="false">IF(A892="","",TEXT(A892,"mmm-yyyy"))</f>
        <v/>
      </c>
      <c r="I892" s="47" t="str">
        <f aca="false">IF(G892="","",G892+H892)</f>
        <v/>
      </c>
    </row>
    <row r="893" customFormat="false" ht="15" hidden="false" customHeight="false" outlineLevel="0" collapsed="false">
      <c r="C893" s="41" t="str">
        <f aca="false">IF(A893="","",TEXT(A893,"mmm-yyyy"))</f>
        <v/>
      </c>
      <c r="I893" s="47" t="str">
        <f aca="false">IF(G893="","",G893+H893)</f>
        <v/>
      </c>
    </row>
    <row r="894" customFormat="false" ht="15" hidden="false" customHeight="false" outlineLevel="0" collapsed="false">
      <c r="C894" s="41" t="str">
        <f aca="false">IF(A894="","",TEXT(A894,"mmm-yyyy"))</f>
        <v/>
      </c>
      <c r="I894" s="47" t="str">
        <f aca="false">IF(G894="","",G894+H894)</f>
        <v/>
      </c>
    </row>
    <row r="895" customFormat="false" ht="15" hidden="false" customHeight="false" outlineLevel="0" collapsed="false">
      <c r="C895" s="41" t="str">
        <f aca="false">IF(A895="","",TEXT(A895,"mmm-yyyy"))</f>
        <v/>
      </c>
      <c r="I895" s="47" t="str">
        <f aca="false">IF(G895="","",G895+H895)</f>
        <v/>
      </c>
    </row>
    <row r="896" customFormat="false" ht="15" hidden="false" customHeight="false" outlineLevel="0" collapsed="false">
      <c r="C896" s="41" t="str">
        <f aca="false">IF(A896="","",TEXT(A896,"mmm-yyyy"))</f>
        <v/>
      </c>
      <c r="I896" s="47" t="str">
        <f aca="false">IF(G896="","",G896+H896)</f>
        <v/>
      </c>
    </row>
    <row r="897" customFormat="false" ht="15" hidden="false" customHeight="false" outlineLevel="0" collapsed="false">
      <c r="C897" s="41" t="str">
        <f aca="false">IF(A897="","",TEXT(A897,"mmm-yyyy"))</f>
        <v/>
      </c>
      <c r="I897" s="47" t="str">
        <f aca="false">IF(G897="","",G897+H897)</f>
        <v/>
      </c>
    </row>
    <row r="898" customFormat="false" ht="15" hidden="false" customHeight="false" outlineLevel="0" collapsed="false">
      <c r="C898" s="41" t="str">
        <f aca="false">IF(A898="","",TEXT(A898,"mmm-yyyy"))</f>
        <v/>
      </c>
      <c r="I898" s="47" t="str">
        <f aca="false">IF(G898="","",G898+H898)</f>
        <v/>
      </c>
    </row>
    <row r="899" customFormat="false" ht="15" hidden="false" customHeight="false" outlineLevel="0" collapsed="false">
      <c r="C899" s="41" t="str">
        <f aca="false">IF(A899="","",TEXT(A899,"mmm-yyyy"))</f>
        <v/>
      </c>
      <c r="I899" s="47" t="str">
        <f aca="false">IF(G899="","",G899+H899)</f>
        <v/>
      </c>
    </row>
    <row r="900" customFormat="false" ht="15" hidden="false" customHeight="false" outlineLevel="0" collapsed="false">
      <c r="C900" s="41" t="str">
        <f aca="false">IF(A900="","",TEXT(A900,"mmm-yyyy"))</f>
        <v/>
      </c>
      <c r="I900" s="47" t="str">
        <f aca="false">IF(G900="","",G900+H900)</f>
        <v/>
      </c>
    </row>
    <row r="901" customFormat="false" ht="15" hidden="false" customHeight="false" outlineLevel="0" collapsed="false">
      <c r="C901" s="41" t="str">
        <f aca="false">IF(A901="","",TEXT(A901,"mmm-yyyy"))</f>
        <v/>
      </c>
      <c r="I901" s="47" t="str">
        <f aca="false">IF(G901="","",G901+H901)</f>
        <v/>
      </c>
    </row>
    <row r="902" customFormat="false" ht="15" hidden="false" customHeight="false" outlineLevel="0" collapsed="false">
      <c r="C902" s="41" t="str">
        <f aca="false">IF(A902="","",TEXT(A902,"mmm-yyyy"))</f>
        <v/>
      </c>
      <c r="I902" s="47" t="str">
        <f aca="false">IF(G902="","",G902+H902)</f>
        <v/>
      </c>
    </row>
    <row r="903" customFormat="false" ht="15" hidden="false" customHeight="false" outlineLevel="0" collapsed="false">
      <c r="C903" s="41" t="str">
        <f aca="false">IF(A903="","",TEXT(A903,"mmm-yyyy"))</f>
        <v/>
      </c>
      <c r="I903" s="47" t="str">
        <f aca="false">IF(G903="","",G903+H903)</f>
        <v/>
      </c>
    </row>
    <row r="904" customFormat="false" ht="15" hidden="false" customHeight="false" outlineLevel="0" collapsed="false">
      <c r="C904" s="41" t="str">
        <f aca="false">IF(A904="","",TEXT(A904,"mmm-yyyy"))</f>
        <v/>
      </c>
      <c r="I904" s="47" t="str">
        <f aca="false">IF(G904="","",G904+H904)</f>
        <v/>
      </c>
    </row>
    <row r="905" customFormat="false" ht="15" hidden="false" customHeight="false" outlineLevel="0" collapsed="false">
      <c r="C905" s="41" t="str">
        <f aca="false">IF(A905="","",TEXT(A905,"mmm-yyyy"))</f>
        <v/>
      </c>
      <c r="I905" s="47" t="str">
        <f aca="false">IF(G905="","",G905+H905)</f>
        <v/>
      </c>
    </row>
    <row r="906" customFormat="false" ht="15" hidden="false" customHeight="false" outlineLevel="0" collapsed="false">
      <c r="C906" s="41" t="str">
        <f aca="false">IF(A906="","",TEXT(A906,"mmm-yyyy"))</f>
        <v/>
      </c>
      <c r="I906" s="47" t="str">
        <f aca="false">IF(G906="","",G906+H906)</f>
        <v/>
      </c>
    </row>
    <row r="907" customFormat="false" ht="15" hidden="false" customHeight="false" outlineLevel="0" collapsed="false">
      <c r="C907" s="41" t="str">
        <f aca="false">IF(A907="","",TEXT(A907,"mmm-yyyy"))</f>
        <v/>
      </c>
      <c r="I907" s="47" t="str">
        <f aca="false">IF(G907="","",G907+H907)</f>
        <v/>
      </c>
    </row>
    <row r="908" customFormat="false" ht="15" hidden="false" customHeight="false" outlineLevel="0" collapsed="false">
      <c r="C908" s="41" t="str">
        <f aca="false">IF(A908="","",TEXT(A908,"mmm-yyyy"))</f>
        <v/>
      </c>
      <c r="I908" s="47" t="str">
        <f aca="false">IF(G908="","",G908+H908)</f>
        <v/>
      </c>
    </row>
    <row r="909" customFormat="false" ht="15" hidden="false" customHeight="false" outlineLevel="0" collapsed="false">
      <c r="C909" s="41" t="str">
        <f aca="false">IF(A909="","",TEXT(A909,"mmm-yyyy"))</f>
        <v/>
      </c>
      <c r="I909" s="47" t="str">
        <f aca="false">IF(G909="","",G909+H909)</f>
        <v/>
      </c>
    </row>
    <row r="910" customFormat="false" ht="15" hidden="false" customHeight="false" outlineLevel="0" collapsed="false">
      <c r="C910" s="41" t="str">
        <f aca="false">IF(A910="","",TEXT(A910,"mmm-yyyy"))</f>
        <v/>
      </c>
      <c r="I910" s="47" t="str">
        <f aca="false">IF(G910="","",G910+H910)</f>
        <v/>
      </c>
    </row>
    <row r="911" customFormat="false" ht="15" hidden="false" customHeight="false" outlineLevel="0" collapsed="false">
      <c r="C911" s="41" t="str">
        <f aca="false">IF(A911="","",TEXT(A911,"mmm-yyyy"))</f>
        <v/>
      </c>
      <c r="I911" s="47" t="str">
        <f aca="false">IF(G911="","",G911+H911)</f>
        <v/>
      </c>
    </row>
    <row r="912" customFormat="false" ht="15" hidden="false" customHeight="false" outlineLevel="0" collapsed="false">
      <c r="C912" s="41" t="str">
        <f aca="false">IF(A912="","",TEXT(A912,"mmm-yyyy"))</f>
        <v/>
      </c>
      <c r="I912" s="47" t="str">
        <f aca="false">IF(G912="","",G912+H912)</f>
        <v/>
      </c>
    </row>
    <row r="913" customFormat="false" ht="15" hidden="false" customHeight="false" outlineLevel="0" collapsed="false">
      <c r="C913" s="41" t="str">
        <f aca="false">IF(A913="","",TEXT(A913,"mmm-yyyy"))</f>
        <v/>
      </c>
      <c r="I913" s="47" t="str">
        <f aca="false">IF(G913="","",G913+H913)</f>
        <v/>
      </c>
    </row>
    <row r="914" customFormat="false" ht="15" hidden="false" customHeight="false" outlineLevel="0" collapsed="false">
      <c r="C914" s="41" t="str">
        <f aca="false">IF(A914="","",TEXT(A914,"mmm-yyyy"))</f>
        <v/>
      </c>
      <c r="I914" s="47" t="str">
        <f aca="false">IF(G914="","",G914+H914)</f>
        <v/>
      </c>
    </row>
    <row r="915" customFormat="false" ht="15" hidden="false" customHeight="false" outlineLevel="0" collapsed="false">
      <c r="C915" s="41" t="str">
        <f aca="false">IF(A915="","",TEXT(A915,"mmm-yyyy"))</f>
        <v/>
      </c>
      <c r="I915" s="47" t="str">
        <f aca="false">IF(G915="","",G915+H915)</f>
        <v/>
      </c>
    </row>
    <row r="916" customFormat="false" ht="15" hidden="false" customHeight="false" outlineLevel="0" collapsed="false">
      <c r="C916" s="41" t="str">
        <f aca="false">IF(A916="","",TEXT(A916,"mmm-yyyy"))</f>
        <v/>
      </c>
      <c r="I916" s="47" t="str">
        <f aca="false">IF(G916="","",G916+H916)</f>
        <v/>
      </c>
    </row>
    <row r="917" customFormat="false" ht="15" hidden="false" customHeight="false" outlineLevel="0" collapsed="false">
      <c r="C917" s="41" t="str">
        <f aca="false">IF(A917="","",TEXT(A917,"mmm-yyyy"))</f>
        <v/>
      </c>
      <c r="I917" s="47" t="str">
        <f aca="false">IF(G917="","",G917+H917)</f>
        <v/>
      </c>
    </row>
    <row r="918" customFormat="false" ht="15" hidden="false" customHeight="false" outlineLevel="0" collapsed="false">
      <c r="C918" s="41" t="str">
        <f aca="false">IF(A918="","",TEXT(A918,"mmm-yyyy"))</f>
        <v/>
      </c>
      <c r="I918" s="47" t="str">
        <f aca="false">IF(G918="","",G918+H918)</f>
        <v/>
      </c>
    </row>
    <row r="919" customFormat="false" ht="15" hidden="false" customHeight="false" outlineLevel="0" collapsed="false">
      <c r="C919" s="41" t="str">
        <f aca="false">IF(A919="","",TEXT(A919,"mmm-yyyy"))</f>
        <v/>
      </c>
      <c r="I919" s="47" t="str">
        <f aca="false">IF(G919="","",G919+H919)</f>
        <v/>
      </c>
    </row>
    <row r="920" customFormat="false" ht="15" hidden="false" customHeight="false" outlineLevel="0" collapsed="false">
      <c r="C920" s="41" t="str">
        <f aca="false">IF(A920="","",TEXT(A920,"mmm-yyyy"))</f>
        <v/>
      </c>
      <c r="I920" s="47" t="str">
        <f aca="false">IF(G920="","",G920+H920)</f>
        <v/>
      </c>
    </row>
    <row r="921" customFormat="false" ht="15" hidden="false" customHeight="false" outlineLevel="0" collapsed="false">
      <c r="C921" s="41" t="str">
        <f aca="false">IF(A921="","",TEXT(A921,"mmm-yyyy"))</f>
        <v/>
      </c>
      <c r="I921" s="47" t="str">
        <f aca="false">IF(G921="","",G921+H921)</f>
        <v/>
      </c>
    </row>
    <row r="922" customFormat="false" ht="15" hidden="false" customHeight="false" outlineLevel="0" collapsed="false">
      <c r="C922" s="41" t="str">
        <f aca="false">IF(A922="","",TEXT(A922,"mmm-yyyy"))</f>
        <v/>
      </c>
      <c r="I922" s="47" t="str">
        <f aca="false">IF(G922="","",G922+H922)</f>
        <v/>
      </c>
    </row>
    <row r="923" customFormat="false" ht="15" hidden="false" customHeight="false" outlineLevel="0" collapsed="false">
      <c r="C923" s="41" t="str">
        <f aca="false">IF(A923="","",TEXT(A923,"mmm-yyyy"))</f>
        <v/>
      </c>
      <c r="I923" s="47" t="str">
        <f aca="false">IF(G923="","",G923+H923)</f>
        <v/>
      </c>
    </row>
    <row r="924" customFormat="false" ht="15" hidden="false" customHeight="false" outlineLevel="0" collapsed="false">
      <c r="C924" s="41" t="str">
        <f aca="false">IF(A924="","",TEXT(A924,"mmm-yyyy"))</f>
        <v/>
      </c>
      <c r="I924" s="47" t="str">
        <f aca="false">IF(G924="","",G924+H924)</f>
        <v/>
      </c>
    </row>
    <row r="925" customFormat="false" ht="15" hidden="false" customHeight="false" outlineLevel="0" collapsed="false">
      <c r="C925" s="41" t="str">
        <f aca="false">IF(A925="","",TEXT(A925,"mmm-yyyy"))</f>
        <v/>
      </c>
      <c r="I925" s="47" t="str">
        <f aca="false">IF(G925="","",G925+H925)</f>
        <v/>
      </c>
    </row>
    <row r="926" customFormat="false" ht="15" hidden="false" customHeight="false" outlineLevel="0" collapsed="false">
      <c r="C926" s="41" t="str">
        <f aca="false">IF(A926="","",TEXT(A926,"mmm-yyyy"))</f>
        <v/>
      </c>
      <c r="I926" s="47" t="str">
        <f aca="false">IF(G926="","",G926+H926)</f>
        <v/>
      </c>
    </row>
    <row r="927" customFormat="false" ht="15" hidden="false" customHeight="false" outlineLevel="0" collapsed="false">
      <c r="C927" s="41" t="str">
        <f aca="false">IF(A927="","",TEXT(A927,"mmm-yyyy"))</f>
        <v/>
      </c>
      <c r="I927" s="47" t="str">
        <f aca="false">IF(G927="","",G927+H927)</f>
        <v/>
      </c>
    </row>
    <row r="928" customFormat="false" ht="15" hidden="false" customHeight="false" outlineLevel="0" collapsed="false">
      <c r="C928" s="41" t="str">
        <f aca="false">IF(A928="","",TEXT(A928,"mmm-yyyy"))</f>
        <v/>
      </c>
      <c r="I928" s="47" t="str">
        <f aca="false">IF(G928="","",G928+H928)</f>
        <v/>
      </c>
    </row>
    <row r="929" customFormat="false" ht="15" hidden="false" customHeight="false" outlineLevel="0" collapsed="false">
      <c r="C929" s="41" t="str">
        <f aca="false">IF(A929="","",TEXT(A929,"mmm-yyyy"))</f>
        <v/>
      </c>
      <c r="I929" s="47" t="str">
        <f aca="false">IF(G929="","",G929+H929)</f>
        <v/>
      </c>
    </row>
    <row r="930" customFormat="false" ht="15" hidden="false" customHeight="false" outlineLevel="0" collapsed="false">
      <c r="C930" s="41" t="str">
        <f aca="false">IF(A930="","",TEXT(A930,"mmm-yyyy"))</f>
        <v/>
      </c>
      <c r="I930" s="47" t="str">
        <f aca="false">IF(G930="","",G930+H930)</f>
        <v/>
      </c>
    </row>
    <row r="931" customFormat="false" ht="15" hidden="false" customHeight="false" outlineLevel="0" collapsed="false">
      <c r="C931" s="41" t="str">
        <f aca="false">IF(A931="","",TEXT(A931,"mmm-yyyy"))</f>
        <v/>
      </c>
      <c r="I931" s="47" t="str">
        <f aca="false">IF(G931="","",G931+H931)</f>
        <v/>
      </c>
    </row>
    <row r="932" customFormat="false" ht="15" hidden="false" customHeight="false" outlineLevel="0" collapsed="false">
      <c r="C932" s="41" t="str">
        <f aca="false">IF(A932="","",TEXT(A932,"mmm-yyyy"))</f>
        <v/>
      </c>
      <c r="I932" s="47" t="str">
        <f aca="false">IF(G932="","",G932+H932)</f>
        <v/>
      </c>
    </row>
    <row r="933" customFormat="false" ht="15" hidden="false" customHeight="false" outlineLevel="0" collapsed="false">
      <c r="C933" s="41" t="str">
        <f aca="false">IF(A933="","",TEXT(A933,"mmm-yyyy"))</f>
        <v/>
      </c>
      <c r="I933" s="47" t="str">
        <f aca="false">IF(G933="","",G933+H933)</f>
        <v/>
      </c>
    </row>
    <row r="934" customFormat="false" ht="15" hidden="false" customHeight="false" outlineLevel="0" collapsed="false">
      <c r="C934" s="41" t="str">
        <f aca="false">IF(A934="","",TEXT(A934,"mmm-yyyy"))</f>
        <v/>
      </c>
      <c r="I934" s="47" t="str">
        <f aca="false">IF(G934="","",G934+H934)</f>
        <v/>
      </c>
    </row>
    <row r="935" customFormat="false" ht="15" hidden="false" customHeight="false" outlineLevel="0" collapsed="false">
      <c r="C935" s="41" t="str">
        <f aca="false">IF(A935="","",TEXT(A935,"mmm-yyyy"))</f>
        <v/>
      </c>
      <c r="I935" s="47" t="str">
        <f aca="false">IF(G935="","",G935+H935)</f>
        <v/>
      </c>
    </row>
    <row r="936" customFormat="false" ht="15" hidden="false" customHeight="false" outlineLevel="0" collapsed="false">
      <c r="C936" s="41" t="str">
        <f aca="false">IF(A936="","",TEXT(A936,"mmm-yyyy"))</f>
        <v/>
      </c>
      <c r="I936" s="47" t="str">
        <f aca="false">IF(G936="","",G936+H936)</f>
        <v/>
      </c>
    </row>
    <row r="937" customFormat="false" ht="15" hidden="false" customHeight="false" outlineLevel="0" collapsed="false">
      <c r="C937" s="41" t="str">
        <f aca="false">IF(A937="","",TEXT(A937,"mmm-yyyy"))</f>
        <v/>
      </c>
      <c r="I937" s="47" t="str">
        <f aca="false">IF(G937="","",G937+H937)</f>
        <v/>
      </c>
    </row>
    <row r="938" customFormat="false" ht="15" hidden="false" customHeight="false" outlineLevel="0" collapsed="false">
      <c r="C938" s="41" t="str">
        <f aca="false">IF(A938="","",TEXT(A938,"mmm-yyyy"))</f>
        <v/>
      </c>
      <c r="I938" s="47" t="str">
        <f aca="false">IF(G938="","",G938+H938)</f>
        <v/>
      </c>
    </row>
    <row r="939" customFormat="false" ht="15" hidden="false" customHeight="false" outlineLevel="0" collapsed="false">
      <c r="C939" s="41" t="str">
        <f aca="false">IF(A939="","",TEXT(A939,"mmm-yyyy"))</f>
        <v/>
      </c>
      <c r="I939" s="47" t="str">
        <f aca="false">IF(G939="","",G939+H939)</f>
        <v/>
      </c>
    </row>
    <row r="940" customFormat="false" ht="15" hidden="false" customHeight="false" outlineLevel="0" collapsed="false">
      <c r="C940" s="41" t="str">
        <f aca="false">IF(A940="","",TEXT(A940,"mmm-yyyy"))</f>
        <v/>
      </c>
      <c r="I940" s="47" t="str">
        <f aca="false">IF(G940="","",G940+H940)</f>
        <v/>
      </c>
    </row>
    <row r="941" customFormat="false" ht="15" hidden="false" customHeight="false" outlineLevel="0" collapsed="false">
      <c r="C941" s="41" t="str">
        <f aca="false">IF(A941="","",TEXT(A941,"mmm-yyyy"))</f>
        <v/>
      </c>
      <c r="I941" s="47" t="str">
        <f aca="false">IF(G941="","",G941+H941)</f>
        <v/>
      </c>
    </row>
    <row r="942" customFormat="false" ht="15" hidden="false" customHeight="false" outlineLevel="0" collapsed="false">
      <c r="C942" s="41" t="str">
        <f aca="false">IF(A942="","",TEXT(A942,"mmm-yyyy"))</f>
        <v/>
      </c>
      <c r="I942" s="47" t="str">
        <f aca="false">IF(G942="","",G942+H942)</f>
        <v/>
      </c>
    </row>
    <row r="943" customFormat="false" ht="15" hidden="false" customHeight="false" outlineLevel="0" collapsed="false">
      <c r="C943" s="41" t="str">
        <f aca="false">IF(A943="","",TEXT(A943,"mmm-yyyy"))</f>
        <v/>
      </c>
      <c r="I943" s="47" t="str">
        <f aca="false">IF(G943="","",G943+H943)</f>
        <v/>
      </c>
    </row>
    <row r="944" customFormat="false" ht="15" hidden="false" customHeight="false" outlineLevel="0" collapsed="false">
      <c r="C944" s="41" t="str">
        <f aca="false">IF(A944="","",TEXT(A944,"mmm-yyyy"))</f>
        <v/>
      </c>
      <c r="I944" s="47" t="str">
        <f aca="false">IF(G944="","",G944+H944)</f>
        <v/>
      </c>
    </row>
    <row r="945" customFormat="false" ht="15" hidden="false" customHeight="false" outlineLevel="0" collapsed="false">
      <c r="C945" s="41" t="str">
        <f aca="false">IF(A945="","",TEXT(A945,"mmm-yyyy"))</f>
        <v/>
      </c>
      <c r="I945" s="47" t="str">
        <f aca="false">IF(G945="","",G945+H945)</f>
        <v/>
      </c>
    </row>
    <row r="946" customFormat="false" ht="15" hidden="false" customHeight="false" outlineLevel="0" collapsed="false">
      <c r="C946" s="41" t="str">
        <f aca="false">IF(A946="","",TEXT(A946,"mmm-yyyy"))</f>
        <v/>
      </c>
      <c r="I946" s="47" t="str">
        <f aca="false">IF(G946="","",G946+H946)</f>
        <v/>
      </c>
    </row>
    <row r="947" customFormat="false" ht="15" hidden="false" customHeight="false" outlineLevel="0" collapsed="false">
      <c r="C947" s="41" t="str">
        <f aca="false">IF(A947="","",TEXT(A947,"mmm-yyyy"))</f>
        <v/>
      </c>
      <c r="I947" s="47" t="str">
        <f aca="false">IF(G947="","",G947+H947)</f>
        <v/>
      </c>
    </row>
    <row r="948" customFormat="false" ht="15" hidden="false" customHeight="false" outlineLevel="0" collapsed="false">
      <c r="C948" s="41" t="str">
        <f aca="false">IF(A948="","",TEXT(A948,"mmm-yyyy"))</f>
        <v/>
      </c>
      <c r="I948" s="47" t="str">
        <f aca="false">IF(G948="","",G948+H948)</f>
        <v/>
      </c>
    </row>
    <row r="949" customFormat="false" ht="15" hidden="false" customHeight="false" outlineLevel="0" collapsed="false">
      <c r="C949" s="41" t="str">
        <f aca="false">IF(A949="","",TEXT(A949,"mmm-yyyy"))</f>
        <v/>
      </c>
      <c r="I949" s="47" t="str">
        <f aca="false">IF(G949="","",G949+H949)</f>
        <v/>
      </c>
    </row>
    <row r="950" customFormat="false" ht="15" hidden="false" customHeight="false" outlineLevel="0" collapsed="false">
      <c r="C950" s="41" t="str">
        <f aca="false">IF(A950="","",TEXT(A950,"mmm-yyyy"))</f>
        <v/>
      </c>
      <c r="I950" s="47" t="str">
        <f aca="false">IF(G950="","",G950+H950)</f>
        <v/>
      </c>
    </row>
    <row r="951" customFormat="false" ht="15" hidden="false" customHeight="false" outlineLevel="0" collapsed="false">
      <c r="C951" s="41" t="str">
        <f aca="false">IF(A951="","",TEXT(A951,"mmm-yyyy"))</f>
        <v/>
      </c>
      <c r="I951" s="47" t="str">
        <f aca="false">IF(G951="","",G951+H951)</f>
        <v/>
      </c>
    </row>
    <row r="952" customFormat="false" ht="15" hidden="false" customHeight="false" outlineLevel="0" collapsed="false">
      <c r="C952" s="41" t="str">
        <f aca="false">IF(A952="","",TEXT(A952,"mmm-yyyy"))</f>
        <v/>
      </c>
      <c r="I952" s="47" t="str">
        <f aca="false">IF(G952="","",G952+H952)</f>
        <v/>
      </c>
    </row>
    <row r="953" customFormat="false" ht="15" hidden="false" customHeight="false" outlineLevel="0" collapsed="false">
      <c r="C953" s="41" t="str">
        <f aca="false">IF(A953="","",TEXT(A953,"mmm-yyyy"))</f>
        <v/>
      </c>
      <c r="I953" s="47" t="str">
        <f aca="false">IF(G953="","",G953+H953)</f>
        <v/>
      </c>
    </row>
    <row r="954" customFormat="false" ht="15" hidden="false" customHeight="false" outlineLevel="0" collapsed="false">
      <c r="C954" s="41" t="str">
        <f aca="false">IF(A954="","",TEXT(A954,"mmm-yyyy"))</f>
        <v/>
      </c>
      <c r="I954" s="47" t="str">
        <f aca="false">IF(G954="","",G954+H954)</f>
        <v/>
      </c>
    </row>
    <row r="955" customFormat="false" ht="15" hidden="false" customHeight="false" outlineLevel="0" collapsed="false">
      <c r="C955" s="41" t="str">
        <f aca="false">IF(A955="","",TEXT(A955,"mmm-yyyy"))</f>
        <v/>
      </c>
      <c r="I955" s="47" t="str">
        <f aca="false">IF(G955="","",G955+H955)</f>
        <v/>
      </c>
    </row>
    <row r="956" customFormat="false" ht="15" hidden="false" customHeight="false" outlineLevel="0" collapsed="false">
      <c r="C956" s="41" t="str">
        <f aca="false">IF(A956="","",TEXT(A956,"mmm-yyyy"))</f>
        <v/>
      </c>
      <c r="I956" s="47" t="str">
        <f aca="false">IF(G956="","",G956+H956)</f>
        <v/>
      </c>
    </row>
    <row r="957" customFormat="false" ht="15" hidden="false" customHeight="false" outlineLevel="0" collapsed="false">
      <c r="C957" s="41" t="str">
        <f aca="false">IF(A957="","",TEXT(A957,"mmm-yyyy"))</f>
        <v/>
      </c>
      <c r="I957" s="47" t="str">
        <f aca="false">IF(G957="","",G957+H957)</f>
        <v/>
      </c>
    </row>
    <row r="958" customFormat="false" ht="15" hidden="false" customHeight="false" outlineLevel="0" collapsed="false">
      <c r="C958" s="41" t="str">
        <f aca="false">IF(A958="","",TEXT(A958,"mmm-yyyy"))</f>
        <v/>
      </c>
      <c r="I958" s="47" t="str">
        <f aca="false">IF(G958="","",G958+H958)</f>
        <v/>
      </c>
    </row>
    <row r="959" customFormat="false" ht="15" hidden="false" customHeight="false" outlineLevel="0" collapsed="false">
      <c r="C959" s="41" t="str">
        <f aca="false">IF(A959="","",TEXT(A959,"mmm-yyyy"))</f>
        <v/>
      </c>
      <c r="I959" s="47" t="str">
        <f aca="false">IF(G959="","",G959+H959)</f>
        <v/>
      </c>
    </row>
    <row r="960" customFormat="false" ht="15" hidden="false" customHeight="false" outlineLevel="0" collapsed="false">
      <c r="C960" s="41" t="str">
        <f aca="false">IF(A960="","",TEXT(A960,"mmm-yyyy"))</f>
        <v/>
      </c>
      <c r="I960" s="47" t="str">
        <f aca="false">IF(G960="","",G960+H960)</f>
        <v/>
      </c>
    </row>
    <row r="961" customFormat="false" ht="15" hidden="false" customHeight="false" outlineLevel="0" collapsed="false">
      <c r="C961" s="41" t="str">
        <f aca="false">IF(A961="","",TEXT(A961,"mmm-yyyy"))</f>
        <v/>
      </c>
      <c r="I961" s="47" t="str">
        <f aca="false">IF(G961="","",G961+H961)</f>
        <v/>
      </c>
    </row>
    <row r="962" customFormat="false" ht="15" hidden="false" customHeight="false" outlineLevel="0" collapsed="false">
      <c r="C962" s="41" t="str">
        <f aca="false">IF(A962="","",TEXT(A962,"mmm-yyyy"))</f>
        <v/>
      </c>
      <c r="I962" s="47" t="str">
        <f aca="false">IF(G962="","",G962+H962)</f>
        <v/>
      </c>
    </row>
    <row r="963" customFormat="false" ht="15" hidden="false" customHeight="false" outlineLevel="0" collapsed="false">
      <c r="C963" s="41" t="str">
        <f aca="false">IF(A963="","",TEXT(A963,"mmm-yyyy"))</f>
        <v/>
      </c>
      <c r="I963" s="47" t="str">
        <f aca="false">IF(G963="","",G963+H963)</f>
        <v/>
      </c>
    </row>
    <row r="964" customFormat="false" ht="15" hidden="false" customHeight="false" outlineLevel="0" collapsed="false">
      <c r="C964" s="41" t="str">
        <f aca="false">IF(A964="","",TEXT(A964,"mmm-yyyy"))</f>
        <v/>
      </c>
      <c r="I964" s="47" t="str">
        <f aca="false">IF(G964="","",G964+H964)</f>
        <v/>
      </c>
    </row>
    <row r="965" customFormat="false" ht="15" hidden="false" customHeight="false" outlineLevel="0" collapsed="false">
      <c r="C965" s="41" t="str">
        <f aca="false">IF(A965="","",TEXT(A965,"mmm-yyyy"))</f>
        <v/>
      </c>
      <c r="I965" s="47" t="str">
        <f aca="false">IF(G965="","",G965+H965)</f>
        <v/>
      </c>
    </row>
    <row r="966" customFormat="false" ht="15" hidden="false" customHeight="false" outlineLevel="0" collapsed="false">
      <c r="C966" s="41" t="str">
        <f aca="false">IF(A966="","",TEXT(A966,"mmm-yyyy"))</f>
        <v/>
      </c>
      <c r="I966" s="47" t="str">
        <f aca="false">IF(G966="","",G966+H966)</f>
        <v/>
      </c>
    </row>
    <row r="967" customFormat="false" ht="15" hidden="false" customHeight="false" outlineLevel="0" collapsed="false">
      <c r="C967" s="41" t="str">
        <f aca="false">IF(A967="","",TEXT(A967,"mmm-yyyy"))</f>
        <v/>
      </c>
      <c r="I967" s="47" t="str">
        <f aca="false">IF(G967="","",G967+H967)</f>
        <v/>
      </c>
    </row>
    <row r="968" customFormat="false" ht="15" hidden="false" customHeight="false" outlineLevel="0" collapsed="false">
      <c r="C968" s="41" t="str">
        <f aca="false">IF(A968="","",TEXT(A968,"mmm-yyyy"))</f>
        <v/>
      </c>
      <c r="I968" s="47" t="str">
        <f aca="false">IF(G968="","",G968+H968)</f>
        <v/>
      </c>
    </row>
    <row r="969" customFormat="false" ht="15" hidden="false" customHeight="false" outlineLevel="0" collapsed="false">
      <c r="C969" s="41" t="str">
        <f aca="false">IF(A969="","",TEXT(A969,"mmm-yyyy"))</f>
        <v/>
      </c>
      <c r="I969" s="47" t="str">
        <f aca="false">IF(G969="","",G969+H969)</f>
        <v/>
      </c>
    </row>
    <row r="970" customFormat="false" ht="15" hidden="false" customHeight="false" outlineLevel="0" collapsed="false">
      <c r="C970" s="41" t="str">
        <f aca="false">IF(A970="","",TEXT(A970,"mmm-yyyy"))</f>
        <v/>
      </c>
      <c r="I970" s="47" t="str">
        <f aca="false">IF(G970="","",G970+H970)</f>
        <v/>
      </c>
    </row>
    <row r="971" customFormat="false" ht="15" hidden="false" customHeight="false" outlineLevel="0" collapsed="false">
      <c r="C971" s="41" t="str">
        <f aca="false">IF(A971="","",TEXT(A971,"mmm-yyyy"))</f>
        <v/>
      </c>
      <c r="I971" s="47" t="str">
        <f aca="false">IF(G971="","",G971+H971)</f>
        <v/>
      </c>
    </row>
    <row r="972" customFormat="false" ht="15" hidden="false" customHeight="false" outlineLevel="0" collapsed="false">
      <c r="C972" s="41" t="str">
        <f aca="false">IF(A972="","",TEXT(A972,"mmm-yyyy"))</f>
        <v/>
      </c>
      <c r="I972" s="47" t="str">
        <f aca="false">IF(G972="","",G972+H972)</f>
        <v/>
      </c>
    </row>
    <row r="973" customFormat="false" ht="15" hidden="false" customHeight="false" outlineLevel="0" collapsed="false">
      <c r="C973" s="41" t="str">
        <f aca="false">IF(A973="","",TEXT(A973,"mmm-yyyy"))</f>
        <v/>
      </c>
      <c r="I973" s="47" t="str">
        <f aca="false">IF(G973="","",G973+H973)</f>
        <v/>
      </c>
    </row>
    <row r="974" customFormat="false" ht="15" hidden="false" customHeight="false" outlineLevel="0" collapsed="false">
      <c r="C974" s="41" t="str">
        <f aca="false">IF(A974="","",TEXT(A974,"mmm-yyyy"))</f>
        <v/>
      </c>
      <c r="I974" s="47" t="str">
        <f aca="false">IF(G974="","",G974+H974)</f>
        <v/>
      </c>
    </row>
    <row r="975" customFormat="false" ht="15" hidden="false" customHeight="false" outlineLevel="0" collapsed="false">
      <c r="C975" s="41" t="str">
        <f aca="false">IF(A975="","",TEXT(A975,"mmm-yyyy"))</f>
        <v/>
      </c>
      <c r="I975" s="47" t="str">
        <f aca="false">IF(G975="","",G975+H975)</f>
        <v/>
      </c>
    </row>
    <row r="976" customFormat="false" ht="15" hidden="false" customHeight="false" outlineLevel="0" collapsed="false">
      <c r="C976" s="41" t="str">
        <f aca="false">IF(A976="","",TEXT(A976,"mmm-yyyy"))</f>
        <v/>
      </c>
      <c r="I976" s="47" t="str">
        <f aca="false">IF(G976="","",G976+H976)</f>
        <v/>
      </c>
    </row>
    <row r="977" customFormat="false" ht="15" hidden="false" customHeight="false" outlineLevel="0" collapsed="false">
      <c r="C977" s="41" t="str">
        <f aca="false">IF(A977="","",TEXT(A977,"mmm-yyyy"))</f>
        <v/>
      </c>
      <c r="I977" s="47" t="str">
        <f aca="false">IF(G977="","",G977+H977)</f>
        <v/>
      </c>
    </row>
    <row r="978" customFormat="false" ht="15" hidden="false" customHeight="false" outlineLevel="0" collapsed="false">
      <c r="C978" s="41" t="str">
        <f aca="false">IF(A978="","",TEXT(A978,"mmm-yyyy"))</f>
        <v/>
      </c>
      <c r="I978" s="47" t="str">
        <f aca="false">IF(G978="","",G978+H978)</f>
        <v/>
      </c>
    </row>
    <row r="979" customFormat="false" ht="15" hidden="false" customHeight="false" outlineLevel="0" collapsed="false">
      <c r="C979" s="41" t="str">
        <f aca="false">IF(A979="","",TEXT(A979,"mmm-yyyy"))</f>
        <v/>
      </c>
      <c r="I979" s="47" t="str">
        <f aca="false">IF(G979="","",G979+H979)</f>
        <v/>
      </c>
    </row>
    <row r="980" customFormat="false" ht="15" hidden="false" customHeight="false" outlineLevel="0" collapsed="false">
      <c r="C980" s="41" t="str">
        <f aca="false">IF(A980="","",TEXT(A980,"mmm-yyyy"))</f>
        <v/>
      </c>
      <c r="I980" s="47" t="str">
        <f aca="false">IF(G980="","",G980+H980)</f>
        <v/>
      </c>
    </row>
    <row r="981" customFormat="false" ht="15" hidden="false" customHeight="false" outlineLevel="0" collapsed="false">
      <c r="C981" s="41" t="str">
        <f aca="false">IF(A981="","",TEXT(A981,"mmm-yyyy"))</f>
        <v/>
      </c>
      <c r="I981" s="47" t="str">
        <f aca="false">IF(G981="","",G981+H981)</f>
        <v/>
      </c>
    </row>
    <row r="982" customFormat="false" ht="15" hidden="false" customHeight="false" outlineLevel="0" collapsed="false">
      <c r="C982" s="41" t="str">
        <f aca="false">IF(A982="","",TEXT(A982,"mmm-yyyy"))</f>
        <v/>
      </c>
      <c r="I982" s="47" t="str">
        <f aca="false">IF(G982="","",G982+H982)</f>
        <v/>
      </c>
    </row>
    <row r="983" customFormat="false" ht="15" hidden="false" customHeight="false" outlineLevel="0" collapsed="false">
      <c r="C983" s="41" t="str">
        <f aca="false">IF(A983="","",TEXT(A983,"mmm-yyyy"))</f>
        <v/>
      </c>
      <c r="I983" s="47" t="str">
        <f aca="false">IF(G983="","",G983+H983)</f>
        <v/>
      </c>
    </row>
    <row r="984" customFormat="false" ht="15" hidden="false" customHeight="false" outlineLevel="0" collapsed="false">
      <c r="C984" s="41" t="str">
        <f aca="false">IF(A984="","",TEXT(A984,"mmm-yyyy"))</f>
        <v/>
      </c>
      <c r="I984" s="47" t="str">
        <f aca="false">IF(G984="","",G984+H984)</f>
        <v/>
      </c>
    </row>
    <row r="985" customFormat="false" ht="15" hidden="false" customHeight="false" outlineLevel="0" collapsed="false">
      <c r="C985" s="41" t="str">
        <f aca="false">IF(A985="","",TEXT(A985,"mmm-yyyy"))</f>
        <v/>
      </c>
      <c r="I985" s="47" t="str">
        <f aca="false">IF(G985="","",G985+H985)</f>
        <v/>
      </c>
    </row>
    <row r="986" customFormat="false" ht="15" hidden="false" customHeight="false" outlineLevel="0" collapsed="false">
      <c r="C986" s="41" t="str">
        <f aca="false">IF(A986="","",TEXT(A986,"mmm-yyyy"))</f>
        <v/>
      </c>
      <c r="I986" s="47" t="str">
        <f aca="false">IF(G986="","",G986+H986)</f>
        <v/>
      </c>
    </row>
    <row r="987" customFormat="false" ht="15" hidden="false" customHeight="false" outlineLevel="0" collapsed="false">
      <c r="C987" s="41" t="str">
        <f aca="false">IF(A987="","",TEXT(A987,"mmm-yyyy"))</f>
        <v/>
      </c>
      <c r="I987" s="47" t="str">
        <f aca="false">IF(G987="","",G987+H987)</f>
        <v/>
      </c>
    </row>
    <row r="988" customFormat="false" ht="15" hidden="false" customHeight="false" outlineLevel="0" collapsed="false">
      <c r="C988" s="41" t="str">
        <f aca="false">IF(A988="","",TEXT(A988,"mmm-yyyy"))</f>
        <v/>
      </c>
      <c r="I988" s="47" t="str">
        <f aca="false">IF(G988="","",G988+H988)</f>
        <v/>
      </c>
    </row>
    <row r="989" customFormat="false" ht="15" hidden="false" customHeight="false" outlineLevel="0" collapsed="false">
      <c r="C989" s="41" t="str">
        <f aca="false">IF(A989="","",TEXT(A989,"mmm-yyyy"))</f>
        <v/>
      </c>
      <c r="I989" s="47" t="str">
        <f aca="false">IF(G989="","",G989+H989)</f>
        <v/>
      </c>
    </row>
    <row r="990" customFormat="false" ht="15" hidden="false" customHeight="false" outlineLevel="0" collapsed="false">
      <c r="C990" s="41" t="str">
        <f aca="false">IF(A990="","",TEXT(A990,"mmm-yyyy"))</f>
        <v/>
      </c>
      <c r="I990" s="47" t="str">
        <f aca="false">IF(G990="","",G990+H990)</f>
        <v/>
      </c>
    </row>
    <row r="991" customFormat="false" ht="15" hidden="false" customHeight="false" outlineLevel="0" collapsed="false">
      <c r="C991" s="41" t="str">
        <f aca="false">IF(A991="","",TEXT(A991,"mmm-yyyy"))</f>
        <v/>
      </c>
      <c r="I991" s="47" t="str">
        <f aca="false">IF(G991="","",G991+H991)</f>
        <v/>
      </c>
    </row>
    <row r="992" customFormat="false" ht="15" hidden="false" customHeight="false" outlineLevel="0" collapsed="false">
      <c r="C992" s="41" t="str">
        <f aca="false">IF(A992="","",TEXT(A992,"mmm-yyyy"))</f>
        <v/>
      </c>
      <c r="I992" s="47" t="str">
        <f aca="false">IF(G992="","",G992+H992)</f>
        <v/>
      </c>
    </row>
    <row r="993" customFormat="false" ht="15" hidden="false" customHeight="false" outlineLevel="0" collapsed="false">
      <c r="C993" s="41" t="str">
        <f aca="false">IF(A993="","",TEXT(A993,"mmm-yyyy"))</f>
        <v/>
      </c>
      <c r="I993" s="47" t="str">
        <f aca="false">IF(G993="","",G993+H993)</f>
        <v/>
      </c>
    </row>
    <row r="994" customFormat="false" ht="15" hidden="false" customHeight="false" outlineLevel="0" collapsed="false">
      <c r="C994" s="41" t="str">
        <f aca="false">IF(A994="","",TEXT(A994,"mmm-yyyy"))</f>
        <v/>
      </c>
      <c r="I994" s="47" t="str">
        <f aca="false">IF(G994="","",G994+H994)</f>
        <v/>
      </c>
    </row>
    <row r="995" customFormat="false" ht="15" hidden="false" customHeight="false" outlineLevel="0" collapsed="false">
      <c r="C995" s="41" t="str">
        <f aca="false">IF(A995="","",TEXT(A995,"mmm-yyyy"))</f>
        <v/>
      </c>
      <c r="I995" s="47" t="str">
        <f aca="false">IF(G995="","",G995+H995)</f>
        <v/>
      </c>
    </row>
    <row r="996" customFormat="false" ht="15" hidden="false" customHeight="false" outlineLevel="0" collapsed="false">
      <c r="C996" s="41" t="str">
        <f aca="false">IF(A996="","",TEXT(A996,"mmm-yyyy"))</f>
        <v/>
      </c>
      <c r="I996" s="47" t="str">
        <f aca="false">IF(G996="","",G996+H996)</f>
        <v/>
      </c>
    </row>
    <row r="997" customFormat="false" ht="15" hidden="false" customHeight="false" outlineLevel="0" collapsed="false">
      <c r="C997" s="41" t="str">
        <f aca="false">IF(A997="","",TEXT(A997,"mmm-yyyy"))</f>
        <v/>
      </c>
      <c r="I997" s="47" t="str">
        <f aca="false">IF(G997="","",G997+H997)</f>
        <v/>
      </c>
    </row>
    <row r="998" customFormat="false" ht="15" hidden="false" customHeight="false" outlineLevel="0" collapsed="false">
      <c r="C998" s="41" t="str">
        <f aca="false">IF(A998="","",TEXT(A998,"mmm-yyyy"))</f>
        <v/>
      </c>
      <c r="I998" s="47" t="str">
        <f aca="false">IF(G998="","",G998+H998)</f>
        <v/>
      </c>
    </row>
    <row r="999" customFormat="false" ht="15" hidden="false" customHeight="false" outlineLevel="0" collapsed="false">
      <c r="C999" s="41" t="str">
        <f aca="false">IF(A999="","",TEXT(A999,"mmm-yyyy"))</f>
        <v/>
      </c>
      <c r="I999" s="47" t="str">
        <f aca="false">IF(G999="","",G999+H999)</f>
        <v/>
      </c>
    </row>
    <row r="1000" customFormat="false" ht="15" hidden="false" customHeight="false" outlineLevel="0" collapsed="false">
      <c r="C1000" s="41" t="str">
        <f aca="false">IF(A1000="","",TEXT(A1000,"mmm-yyyy"))</f>
        <v/>
      </c>
      <c r="I1000" s="47" t="str">
        <f aca="false">IF(G1000="","",G1000+H1000)</f>
        <v/>
      </c>
    </row>
    <row r="1001" customFormat="false" ht="15" hidden="false" customHeight="false" outlineLevel="0" collapsed="false">
      <c r="C1001" s="41" t="str">
        <f aca="false">IF(A1001="","",TEXT(A1001,"mmm-yyyy"))</f>
        <v/>
      </c>
      <c r="I1001" s="47" t="str">
        <f aca="false">IF(G1001="","",G1001+H1001)</f>
        <v/>
      </c>
    </row>
    <row r="1002" customFormat="false" ht="15" hidden="false" customHeight="false" outlineLevel="0" collapsed="false">
      <c r="C1002" s="41" t="str">
        <f aca="false">IF(A1002="","",TEXT(A1002,"mmm-yyyy"))</f>
        <v/>
      </c>
      <c r="I1002" s="47" t="str">
        <f aca="false">IF(G1002="","",G1002+H1002)</f>
        <v/>
      </c>
    </row>
    <row r="1003" customFormat="false" ht="15" hidden="false" customHeight="false" outlineLevel="0" collapsed="false">
      <c r="C1003" s="41" t="str">
        <f aca="false">IF(A1003="","",TEXT(A1003,"mmm-yyyy"))</f>
        <v/>
      </c>
      <c r="I1003" s="47" t="str">
        <f aca="false">IF(G1003="","",G1003+H1003)</f>
        <v/>
      </c>
    </row>
    <row r="1004" customFormat="false" ht="15" hidden="false" customHeight="false" outlineLevel="0" collapsed="false">
      <c r="C1004" s="41" t="str">
        <f aca="false">IF(A1004="","",TEXT(A1004,"mmm-yyyy"))</f>
        <v/>
      </c>
      <c r="I1004" s="47" t="str">
        <f aca="false">IF(G1004="","",G1004+H1004)</f>
        <v/>
      </c>
    </row>
    <row r="1005" customFormat="false" ht="15" hidden="false" customHeight="false" outlineLevel="0" collapsed="false">
      <c r="C1005" s="41" t="str">
        <f aca="false">IF(A1005="","",TEXT(A1005,"mmm-yyyy"))</f>
        <v/>
      </c>
      <c r="I1005" s="47" t="str">
        <f aca="false">IF(G1005="","",G1005+H1005)</f>
        <v/>
      </c>
    </row>
    <row r="1006" customFormat="false" ht="15" hidden="false" customHeight="false" outlineLevel="0" collapsed="false">
      <c r="C1006" s="41" t="str">
        <f aca="false">IF(A1006="","",TEXT(A1006,"mmm-yyyy"))</f>
        <v/>
      </c>
      <c r="I1006" s="47" t="str">
        <f aca="false">IF(G1006="","",G1006+H1006)</f>
        <v/>
      </c>
    </row>
    <row r="1007" customFormat="false" ht="15" hidden="false" customHeight="false" outlineLevel="0" collapsed="false">
      <c r="C1007" s="41" t="str">
        <f aca="false">IF(A1007="","",TEXT(A1007,"mmm-yyyy"))</f>
        <v/>
      </c>
      <c r="I1007" s="47" t="str">
        <f aca="false">IF(G1007="","",G1007+H1007)</f>
        <v/>
      </c>
    </row>
    <row r="1008" customFormat="false" ht="15" hidden="false" customHeight="false" outlineLevel="0" collapsed="false">
      <c r="C1008" s="41" t="str">
        <f aca="false">IF(A1008="","",TEXT(A1008,"mmm-yyyy"))</f>
        <v/>
      </c>
      <c r="I1008" s="47" t="str">
        <f aca="false">IF(G1008="","",G1008+H1008)</f>
        <v/>
      </c>
    </row>
    <row r="1009" customFormat="false" ht="15" hidden="false" customHeight="false" outlineLevel="0" collapsed="false">
      <c r="C1009" s="41" t="str">
        <f aca="false">IF(A1009="","",TEXT(A1009,"mmm-yyyy"))</f>
        <v/>
      </c>
      <c r="I1009" s="47" t="str">
        <f aca="false">IF(G1009="","",G1009+H1009)</f>
        <v/>
      </c>
    </row>
    <row r="1010" customFormat="false" ht="15" hidden="false" customHeight="false" outlineLevel="0" collapsed="false">
      <c r="C1010" s="41" t="str">
        <f aca="false">IF(A1010="","",TEXT(A1010,"mmm-yyyy"))</f>
        <v/>
      </c>
      <c r="I1010" s="47" t="str">
        <f aca="false">IF(G1010="","",G1010+H1010)</f>
        <v/>
      </c>
    </row>
    <row r="1011" customFormat="false" ht="15" hidden="false" customHeight="false" outlineLevel="0" collapsed="false">
      <c r="C1011" s="41" t="str">
        <f aca="false">IF(A1011="","",TEXT(A1011,"mmm-yyyy"))</f>
        <v/>
      </c>
      <c r="I1011" s="47" t="str">
        <f aca="false">IF(G1011="","",G1011+H1011)</f>
        <v/>
      </c>
    </row>
    <row r="1012" customFormat="false" ht="15" hidden="false" customHeight="false" outlineLevel="0" collapsed="false">
      <c r="C1012" s="41" t="str">
        <f aca="false">IF(A1012="","",TEXT(A1012,"mmm-yyyy"))</f>
        <v/>
      </c>
      <c r="I1012" s="47" t="str">
        <f aca="false">IF(G1012="","",G1012+H1012)</f>
        <v/>
      </c>
    </row>
    <row r="1013" customFormat="false" ht="15" hidden="false" customHeight="false" outlineLevel="0" collapsed="false">
      <c r="C1013" s="41" t="str">
        <f aca="false">IF(A1013="","",TEXT(A1013,"mmm-yyyy"))</f>
        <v/>
      </c>
      <c r="I1013" s="47" t="str">
        <f aca="false">IF(G1013="","",G1013+H1013)</f>
        <v/>
      </c>
    </row>
    <row r="1014" customFormat="false" ht="15" hidden="false" customHeight="false" outlineLevel="0" collapsed="false">
      <c r="C1014" s="41" t="str">
        <f aca="false">IF(A1014="","",TEXT(A1014,"mmm-yyyy"))</f>
        <v/>
      </c>
      <c r="I1014" s="47" t="str">
        <f aca="false">IF(G1014="","",G1014+H1014)</f>
        <v/>
      </c>
    </row>
    <row r="1015" customFormat="false" ht="15" hidden="false" customHeight="false" outlineLevel="0" collapsed="false">
      <c r="C1015" s="41" t="str">
        <f aca="false">IF(A1015="","",TEXT(A1015,"mmm-yyyy"))</f>
        <v/>
      </c>
      <c r="I1015" s="47" t="str">
        <f aca="false">IF(G1015="","",G1015+H1015)</f>
        <v/>
      </c>
    </row>
    <row r="1016" customFormat="false" ht="15" hidden="false" customHeight="false" outlineLevel="0" collapsed="false">
      <c r="C1016" s="41" t="str">
        <f aca="false">IF(A1016="","",TEXT(A1016,"mmm-yyyy"))</f>
        <v/>
      </c>
      <c r="I1016" s="47" t="str">
        <f aca="false">IF(G1016="","",G1016+H1016)</f>
        <v/>
      </c>
    </row>
    <row r="1017" customFormat="false" ht="15" hidden="false" customHeight="false" outlineLevel="0" collapsed="false">
      <c r="C1017" s="41" t="str">
        <f aca="false">IF(A1017="","",TEXT(A1017,"mmm-yyyy"))</f>
        <v/>
      </c>
      <c r="I1017" s="47" t="str">
        <f aca="false">IF(G1017="","",G1017+H1017)</f>
        <v/>
      </c>
    </row>
    <row r="1018" customFormat="false" ht="15" hidden="false" customHeight="false" outlineLevel="0" collapsed="false">
      <c r="C1018" s="41" t="str">
        <f aca="false">IF(A1018="","",TEXT(A1018,"mmm-yyyy"))</f>
        <v/>
      </c>
      <c r="I1018" s="47" t="str">
        <f aca="false">IF(G1018="","",G1018+H1018)</f>
        <v/>
      </c>
    </row>
    <row r="1019" customFormat="false" ht="15" hidden="false" customHeight="false" outlineLevel="0" collapsed="false">
      <c r="C1019" s="41" t="str">
        <f aca="false">IF(A1019="","",TEXT(A1019,"mmm-yyyy"))</f>
        <v/>
      </c>
      <c r="I1019" s="47" t="str">
        <f aca="false">IF(G1019="","",G1019+H1019)</f>
        <v/>
      </c>
    </row>
    <row r="1020" customFormat="false" ht="15" hidden="false" customHeight="false" outlineLevel="0" collapsed="false">
      <c r="C1020" s="41" t="str">
        <f aca="false">IF(A1020="","",TEXT(A1020,"mmm-yyyy"))</f>
        <v/>
      </c>
      <c r="I1020" s="47" t="str">
        <f aca="false">IF(G1020="","",G1020+H1020)</f>
        <v/>
      </c>
    </row>
    <row r="1021" customFormat="false" ht="15" hidden="false" customHeight="false" outlineLevel="0" collapsed="false">
      <c r="C1021" s="41" t="str">
        <f aca="false">IF(A1021="","",TEXT(A1021,"mmm-yyyy"))</f>
        <v/>
      </c>
      <c r="I1021" s="47" t="str">
        <f aca="false">IF(G1021="","",G1021+H1021)</f>
        <v/>
      </c>
    </row>
    <row r="1022" customFormat="false" ht="15" hidden="false" customHeight="false" outlineLevel="0" collapsed="false">
      <c r="C1022" s="41" t="str">
        <f aca="false">IF(A1022="","",TEXT(A1022,"mmm-yyyy"))</f>
        <v/>
      </c>
      <c r="I1022" s="47" t="str">
        <f aca="false">IF(G1022="","",G1022+H1022)</f>
        <v/>
      </c>
    </row>
    <row r="1023" customFormat="false" ht="15" hidden="false" customHeight="false" outlineLevel="0" collapsed="false">
      <c r="C1023" s="41" t="str">
        <f aca="false">IF(A1023="","",TEXT(A1023,"mmm-yyyy"))</f>
        <v/>
      </c>
      <c r="I1023" s="47" t="str">
        <f aca="false">IF(G1023="","",G1023+H1023)</f>
        <v/>
      </c>
    </row>
    <row r="1024" customFormat="false" ht="15" hidden="false" customHeight="false" outlineLevel="0" collapsed="false">
      <c r="C1024" s="41" t="str">
        <f aca="false">IF(A1024="","",TEXT(A1024,"mmm-yyyy"))</f>
        <v/>
      </c>
      <c r="I1024" s="47" t="str">
        <f aca="false">IF(G1024="","",G1024+H1024)</f>
        <v/>
      </c>
    </row>
    <row r="1025" customFormat="false" ht="15" hidden="false" customHeight="false" outlineLevel="0" collapsed="false">
      <c r="C1025" s="41" t="str">
        <f aca="false">IF(A1025="","",TEXT(A1025,"mmm-yyyy"))</f>
        <v/>
      </c>
      <c r="I1025" s="47" t="str">
        <f aca="false">IF(G1025="","",G1025+H1025)</f>
        <v/>
      </c>
    </row>
    <row r="1026" customFormat="false" ht="15" hidden="false" customHeight="false" outlineLevel="0" collapsed="false">
      <c r="C1026" s="41" t="str">
        <f aca="false">IF(A1026="","",TEXT(A1026,"mmm-yyyy"))</f>
        <v/>
      </c>
      <c r="I1026" s="47" t="str">
        <f aca="false">IF(G1026="","",G1026+H1026)</f>
        <v/>
      </c>
    </row>
    <row r="1027" customFormat="false" ht="15" hidden="false" customHeight="false" outlineLevel="0" collapsed="false">
      <c r="C1027" s="41" t="str">
        <f aca="false">IF(A1027="","",TEXT(A1027,"mmm-yyyy"))</f>
        <v/>
      </c>
      <c r="I1027" s="47" t="str">
        <f aca="false">IF(G1027="","",G1027+H1027)</f>
        <v/>
      </c>
    </row>
    <row r="1028" customFormat="false" ht="15" hidden="false" customHeight="false" outlineLevel="0" collapsed="false">
      <c r="C1028" s="41" t="str">
        <f aca="false">IF(A1028="","",TEXT(A1028,"mmm-yyyy"))</f>
        <v/>
      </c>
      <c r="I1028" s="47" t="str">
        <f aca="false">IF(G1028="","",G1028+H1028)</f>
        <v/>
      </c>
    </row>
    <row r="1029" customFormat="false" ht="15" hidden="false" customHeight="false" outlineLevel="0" collapsed="false">
      <c r="C1029" s="41" t="str">
        <f aca="false">IF(A1029="","",TEXT(A1029,"mmm-yyyy"))</f>
        <v/>
      </c>
      <c r="I1029" s="47" t="str">
        <f aca="false">IF(G1029="","",G1029+H1029)</f>
        <v/>
      </c>
    </row>
    <row r="1030" customFormat="false" ht="15" hidden="false" customHeight="false" outlineLevel="0" collapsed="false">
      <c r="C1030" s="41" t="str">
        <f aca="false">IF(A1030="","",TEXT(A1030,"mmm-yyyy"))</f>
        <v/>
      </c>
      <c r="I1030" s="47" t="str">
        <f aca="false">IF(G1030="","",G1030+H1030)</f>
        <v/>
      </c>
    </row>
    <row r="1031" customFormat="false" ht="15" hidden="false" customHeight="false" outlineLevel="0" collapsed="false">
      <c r="C1031" s="41" t="str">
        <f aca="false">IF(A1031="","",TEXT(A1031,"mmm-yyyy"))</f>
        <v/>
      </c>
      <c r="I1031" s="47" t="str">
        <f aca="false">IF(G1031="","",G1031+H1031)</f>
        <v/>
      </c>
    </row>
    <row r="1032" customFormat="false" ht="15" hidden="false" customHeight="false" outlineLevel="0" collapsed="false">
      <c r="C1032" s="41" t="str">
        <f aca="false">IF(A1032="","",TEXT(A1032,"mmm-yyyy"))</f>
        <v/>
      </c>
      <c r="I1032" s="47" t="str">
        <f aca="false">IF(G1032="","",G1032+H1032)</f>
        <v/>
      </c>
    </row>
    <row r="1033" customFormat="false" ht="15" hidden="false" customHeight="false" outlineLevel="0" collapsed="false">
      <c r="C1033" s="41" t="str">
        <f aca="false">IF(A1033="","",TEXT(A1033,"mmm-yyyy"))</f>
        <v/>
      </c>
      <c r="I1033" s="47" t="str">
        <f aca="false">IF(G1033="","",G1033+H1033)</f>
        <v/>
      </c>
    </row>
    <row r="1034" customFormat="false" ht="15" hidden="false" customHeight="false" outlineLevel="0" collapsed="false">
      <c r="C1034" s="41" t="str">
        <f aca="false">IF(A1034="","",TEXT(A1034,"mmm-yyyy"))</f>
        <v/>
      </c>
      <c r="I1034" s="47" t="str">
        <f aca="false">IF(G1034="","",G1034+H1034)</f>
        <v/>
      </c>
    </row>
    <row r="1035" customFormat="false" ht="15" hidden="false" customHeight="false" outlineLevel="0" collapsed="false">
      <c r="C1035" s="41" t="str">
        <f aca="false">IF(A1035="","",TEXT(A1035,"mmm-yyyy"))</f>
        <v/>
      </c>
      <c r="I1035" s="47" t="str">
        <f aca="false">IF(G1035="","",G1035+H1035)</f>
        <v/>
      </c>
    </row>
    <row r="1036" customFormat="false" ht="15" hidden="false" customHeight="false" outlineLevel="0" collapsed="false">
      <c r="C1036" s="41" t="str">
        <f aca="false">IF(A1036="","",TEXT(A1036,"mmm-yyyy"))</f>
        <v/>
      </c>
      <c r="I1036" s="47" t="str">
        <f aca="false">IF(G1036="","",G1036+H1036)</f>
        <v/>
      </c>
    </row>
    <row r="1037" customFormat="false" ht="15" hidden="false" customHeight="false" outlineLevel="0" collapsed="false">
      <c r="C1037" s="41" t="str">
        <f aca="false">IF(A1037="","",TEXT(A1037,"mmm-yyyy"))</f>
        <v/>
      </c>
      <c r="I1037" s="47" t="str">
        <f aca="false">IF(G1037="","",G1037+H1037)</f>
        <v/>
      </c>
    </row>
    <row r="1038" customFormat="false" ht="15" hidden="false" customHeight="false" outlineLevel="0" collapsed="false">
      <c r="C1038" s="41" t="str">
        <f aca="false">IF(A1038="","",TEXT(A1038,"mmm-yyyy"))</f>
        <v/>
      </c>
      <c r="I1038" s="47" t="str">
        <f aca="false">IF(G1038="","",G1038+H1038)</f>
        <v/>
      </c>
    </row>
    <row r="1039" customFormat="false" ht="15" hidden="false" customHeight="false" outlineLevel="0" collapsed="false">
      <c r="C1039" s="41" t="str">
        <f aca="false">IF(A1039="","",TEXT(A1039,"mmm-yyyy"))</f>
        <v/>
      </c>
      <c r="I1039" s="47" t="str">
        <f aca="false">IF(G1039="","",G1039+H1039)</f>
        <v/>
      </c>
    </row>
    <row r="1040" customFormat="false" ht="15" hidden="false" customHeight="false" outlineLevel="0" collapsed="false">
      <c r="C1040" s="41" t="str">
        <f aca="false">IF(A1040="","",TEXT(A1040,"mmm-yyyy"))</f>
        <v/>
      </c>
      <c r="I1040" s="47" t="str">
        <f aca="false">IF(G1040="","",G1040+H1040)</f>
        <v/>
      </c>
    </row>
    <row r="1041" customFormat="false" ht="15" hidden="false" customHeight="false" outlineLevel="0" collapsed="false">
      <c r="C1041" s="41" t="str">
        <f aca="false">IF(A1041="","",TEXT(A1041,"mmm-yyyy"))</f>
        <v/>
      </c>
      <c r="I1041" s="47" t="str">
        <f aca="false">IF(G1041="","",G1041+H1041)</f>
        <v/>
      </c>
    </row>
    <row r="1042" customFormat="false" ht="15" hidden="false" customHeight="false" outlineLevel="0" collapsed="false">
      <c r="C1042" s="41" t="str">
        <f aca="false">IF(A1042="","",TEXT(A1042,"mmm-yyyy"))</f>
        <v/>
      </c>
      <c r="I1042" s="47" t="str">
        <f aca="false">IF(G1042="","",G1042+H1042)</f>
        <v/>
      </c>
    </row>
    <row r="1043" customFormat="false" ht="15" hidden="false" customHeight="false" outlineLevel="0" collapsed="false">
      <c r="C1043" s="41" t="str">
        <f aca="false">IF(A1043="","",TEXT(A1043,"mmm-yyyy"))</f>
        <v/>
      </c>
      <c r="I1043" s="47" t="str">
        <f aca="false">IF(G1043="","",G1043+H1043)</f>
        <v/>
      </c>
    </row>
    <row r="1044" customFormat="false" ht="15" hidden="false" customHeight="false" outlineLevel="0" collapsed="false">
      <c r="C1044" s="41" t="str">
        <f aca="false">IF(A1044="","",TEXT(A1044,"mmm-yyyy"))</f>
        <v/>
      </c>
      <c r="I1044" s="47" t="str">
        <f aca="false">IF(G1044="","",G1044+H1044)</f>
        <v/>
      </c>
    </row>
    <row r="1045" customFormat="false" ht="15" hidden="false" customHeight="false" outlineLevel="0" collapsed="false">
      <c r="C1045" s="41" t="str">
        <f aca="false">IF(A1045="","",TEXT(A1045,"mmm-yyyy"))</f>
        <v/>
      </c>
      <c r="I1045" s="47" t="str">
        <f aca="false">IF(G1045="","",G1045+H1045)</f>
        <v/>
      </c>
    </row>
    <row r="1046" customFormat="false" ht="15" hidden="false" customHeight="false" outlineLevel="0" collapsed="false">
      <c r="C1046" s="41" t="str">
        <f aca="false">IF(A1046="","",TEXT(A1046,"mmm-yyyy"))</f>
        <v/>
      </c>
      <c r="I1046" s="47" t="str">
        <f aca="false">IF(G1046="","",G1046+H1046)</f>
        <v/>
      </c>
    </row>
    <row r="1047" customFormat="false" ht="15" hidden="false" customHeight="false" outlineLevel="0" collapsed="false">
      <c r="C1047" s="41" t="str">
        <f aca="false">IF(A1047="","",TEXT(A1047,"mmm-yyyy"))</f>
        <v/>
      </c>
      <c r="I1047" s="47" t="str">
        <f aca="false">IF(G1047="","",G1047+H1047)</f>
        <v/>
      </c>
    </row>
    <row r="1048" customFormat="false" ht="15" hidden="false" customHeight="false" outlineLevel="0" collapsed="false">
      <c r="C1048" s="41" t="str">
        <f aca="false">IF(A1048="","",TEXT(A1048,"mmm-yyyy"))</f>
        <v/>
      </c>
      <c r="I1048" s="47" t="str">
        <f aca="false">IF(G1048="","",G1048+H1048)</f>
        <v/>
      </c>
    </row>
    <row r="1049" customFormat="false" ht="15" hidden="false" customHeight="false" outlineLevel="0" collapsed="false">
      <c r="C1049" s="41" t="str">
        <f aca="false">IF(A1049="","",TEXT(A1049,"mmm-yyyy"))</f>
        <v/>
      </c>
      <c r="I1049" s="47" t="str">
        <f aca="false">IF(G1049="","",G1049+H1049)</f>
        <v/>
      </c>
    </row>
    <row r="1050" customFormat="false" ht="15" hidden="false" customHeight="false" outlineLevel="0" collapsed="false">
      <c r="C1050" s="41" t="str">
        <f aca="false">IF(A1050="","",TEXT(A1050,"mmm-yyyy"))</f>
        <v/>
      </c>
      <c r="I1050" s="47" t="str">
        <f aca="false">IF(G1050="","",G1050+H1050)</f>
        <v/>
      </c>
    </row>
    <row r="1051" customFormat="false" ht="15" hidden="false" customHeight="false" outlineLevel="0" collapsed="false">
      <c r="C1051" s="41" t="str">
        <f aca="false">IF(A1051="","",TEXT(A1051,"mmm-yyyy"))</f>
        <v/>
      </c>
      <c r="I1051" s="47" t="str">
        <f aca="false">IF(G1051="","",G1051+H1051)</f>
        <v/>
      </c>
    </row>
    <row r="1052" customFormat="false" ht="15" hidden="false" customHeight="false" outlineLevel="0" collapsed="false">
      <c r="C1052" s="41" t="str">
        <f aca="false">IF(A1052="","",TEXT(A1052,"mmm-yyyy"))</f>
        <v/>
      </c>
      <c r="I1052" s="47" t="str">
        <f aca="false">IF(G1052="","",G1052+H1052)</f>
        <v/>
      </c>
    </row>
    <row r="1053" customFormat="false" ht="15" hidden="false" customHeight="false" outlineLevel="0" collapsed="false">
      <c r="C1053" s="41" t="str">
        <f aca="false">IF(A1053="","",TEXT(A1053,"mmm-yyyy"))</f>
        <v/>
      </c>
      <c r="I1053" s="47" t="str">
        <f aca="false">IF(G1053="","",G1053+H1053)</f>
        <v/>
      </c>
    </row>
    <row r="1054" customFormat="false" ht="15" hidden="false" customHeight="false" outlineLevel="0" collapsed="false">
      <c r="C1054" s="41" t="str">
        <f aca="false">IF(A1054="","",TEXT(A1054,"mmm-yyyy"))</f>
        <v/>
      </c>
      <c r="I1054" s="47" t="str">
        <f aca="false">IF(G1054="","",G1054+H1054)</f>
        <v/>
      </c>
    </row>
    <row r="1055" customFormat="false" ht="15" hidden="false" customHeight="false" outlineLevel="0" collapsed="false">
      <c r="C1055" s="41" t="str">
        <f aca="false">IF(A1055="","",TEXT(A1055,"mmm-yyyy"))</f>
        <v/>
      </c>
      <c r="I1055" s="47" t="str">
        <f aca="false">IF(G1055="","",G1055+H1055)</f>
        <v/>
      </c>
    </row>
    <row r="1056" customFormat="false" ht="15" hidden="false" customHeight="false" outlineLevel="0" collapsed="false">
      <c r="C1056" s="41" t="str">
        <f aca="false">IF(A1056="","",TEXT(A1056,"mmm-yyyy"))</f>
        <v/>
      </c>
      <c r="I1056" s="47" t="str">
        <f aca="false">IF(G1056="","",G1056+H1056)</f>
        <v/>
      </c>
    </row>
    <row r="1057" customFormat="false" ht="15" hidden="false" customHeight="false" outlineLevel="0" collapsed="false">
      <c r="C1057" s="41" t="str">
        <f aca="false">IF(A1057="","",TEXT(A1057,"mmm-yyyy"))</f>
        <v/>
      </c>
      <c r="I1057" s="47" t="str">
        <f aca="false">IF(G1057="","",G1057+H1057)</f>
        <v/>
      </c>
    </row>
    <row r="1058" customFormat="false" ht="15" hidden="false" customHeight="false" outlineLevel="0" collapsed="false">
      <c r="C1058" s="41" t="str">
        <f aca="false">IF(A1058="","",TEXT(A1058,"mmm-yyyy"))</f>
        <v/>
      </c>
      <c r="I1058" s="47" t="str">
        <f aca="false">IF(G1058="","",G1058+H1058)</f>
        <v/>
      </c>
    </row>
    <row r="1059" customFormat="false" ht="15" hidden="false" customHeight="false" outlineLevel="0" collapsed="false">
      <c r="C1059" s="41" t="str">
        <f aca="false">IF(A1059="","",TEXT(A1059,"mmm-yyyy"))</f>
        <v/>
      </c>
      <c r="I1059" s="47" t="str">
        <f aca="false">IF(G1059="","",G1059+H1059)</f>
        <v/>
      </c>
    </row>
    <row r="1060" customFormat="false" ht="15" hidden="false" customHeight="false" outlineLevel="0" collapsed="false">
      <c r="C1060" s="41" t="str">
        <f aca="false">IF(A1060="","",TEXT(A1060,"mmm-yyyy"))</f>
        <v/>
      </c>
      <c r="I1060" s="47" t="str">
        <f aca="false">IF(G1060="","",G1060+H1060)</f>
        <v/>
      </c>
    </row>
    <row r="1061" customFormat="false" ht="15" hidden="false" customHeight="false" outlineLevel="0" collapsed="false">
      <c r="C1061" s="41" t="str">
        <f aca="false">IF(A1061="","",TEXT(A1061,"mmm-yyyy"))</f>
        <v/>
      </c>
      <c r="I1061" s="47" t="str">
        <f aca="false">IF(G1061="","",G1061+H1061)</f>
        <v/>
      </c>
    </row>
    <row r="1062" customFormat="false" ht="15" hidden="false" customHeight="false" outlineLevel="0" collapsed="false">
      <c r="C1062" s="41" t="str">
        <f aca="false">IF(A1062="","",TEXT(A1062,"mmm-yyyy"))</f>
        <v/>
      </c>
      <c r="I1062" s="47" t="str">
        <f aca="false">IF(G1062="","",G1062+H1062)</f>
        <v/>
      </c>
    </row>
    <row r="1063" customFormat="false" ht="15" hidden="false" customHeight="false" outlineLevel="0" collapsed="false">
      <c r="C1063" s="41" t="str">
        <f aca="false">IF(A1063="","",TEXT(A1063,"mmm-yyyy"))</f>
        <v/>
      </c>
      <c r="I1063" s="47" t="str">
        <f aca="false">IF(G1063="","",G1063+H1063)</f>
        <v/>
      </c>
    </row>
    <row r="1064" customFormat="false" ht="15" hidden="false" customHeight="false" outlineLevel="0" collapsed="false">
      <c r="C1064" s="41" t="str">
        <f aca="false">IF(A1064="","",TEXT(A1064,"mmm-yyyy"))</f>
        <v/>
      </c>
      <c r="I1064" s="47" t="str">
        <f aca="false">IF(G1064="","",G1064+H1064)</f>
        <v/>
      </c>
    </row>
    <row r="1065" customFormat="false" ht="15" hidden="false" customHeight="false" outlineLevel="0" collapsed="false">
      <c r="C1065" s="41" t="str">
        <f aca="false">IF(A1065="","",TEXT(A1065,"mmm-yyyy"))</f>
        <v/>
      </c>
      <c r="I1065" s="47" t="str">
        <f aca="false">IF(G1065="","",G1065+H1065)</f>
        <v/>
      </c>
    </row>
    <row r="1066" customFormat="false" ht="15" hidden="false" customHeight="false" outlineLevel="0" collapsed="false">
      <c r="C1066" s="41" t="str">
        <f aca="false">IF(A1066="","",TEXT(A1066,"mmm-yyyy"))</f>
        <v/>
      </c>
      <c r="I1066" s="47" t="str">
        <f aca="false">IF(G1066="","",G1066+H1066)</f>
        <v/>
      </c>
    </row>
    <row r="1067" customFormat="false" ht="15" hidden="false" customHeight="false" outlineLevel="0" collapsed="false">
      <c r="C1067" s="41" t="str">
        <f aca="false">IF(A1067="","",TEXT(A1067,"mmm-yyyy"))</f>
        <v/>
      </c>
      <c r="I1067" s="47" t="str">
        <f aca="false">IF(G1067="","",G1067+H1067)</f>
        <v/>
      </c>
    </row>
    <row r="1068" customFormat="false" ht="15" hidden="false" customHeight="false" outlineLevel="0" collapsed="false">
      <c r="C1068" s="41" t="str">
        <f aca="false">IF(A1068="","",TEXT(A1068,"mmm-yyyy"))</f>
        <v/>
      </c>
      <c r="I1068" s="47" t="str">
        <f aca="false">IF(G1068="","",G1068+H1068)</f>
        <v/>
      </c>
    </row>
    <row r="1069" customFormat="false" ht="15" hidden="false" customHeight="false" outlineLevel="0" collapsed="false">
      <c r="C1069" s="41" t="str">
        <f aca="false">IF(A1069="","",TEXT(A1069,"mmm-yyyy"))</f>
        <v/>
      </c>
      <c r="I1069" s="47" t="str">
        <f aca="false">IF(G1069="","",G1069+H1069)</f>
        <v/>
      </c>
    </row>
    <row r="1070" customFormat="false" ht="15" hidden="false" customHeight="false" outlineLevel="0" collapsed="false">
      <c r="C1070" s="41" t="str">
        <f aca="false">IF(A1070="","",TEXT(A1070,"mmm-yyyy"))</f>
        <v/>
      </c>
      <c r="I1070" s="47" t="str">
        <f aca="false">IF(G1070="","",G1070+H1070)</f>
        <v/>
      </c>
    </row>
    <row r="1071" customFormat="false" ht="15" hidden="false" customHeight="false" outlineLevel="0" collapsed="false">
      <c r="C1071" s="41" t="str">
        <f aca="false">IF(A1071="","",TEXT(A1071,"mmm-yyyy"))</f>
        <v/>
      </c>
      <c r="I1071" s="47" t="str">
        <f aca="false">IF(G1071="","",G1071+H1071)</f>
        <v/>
      </c>
    </row>
    <row r="1072" customFormat="false" ht="15" hidden="false" customHeight="false" outlineLevel="0" collapsed="false">
      <c r="C1072" s="41" t="str">
        <f aca="false">IF(A1072="","",TEXT(A1072,"mmm-yyyy"))</f>
        <v/>
      </c>
      <c r="I1072" s="47" t="str">
        <f aca="false">IF(G1072="","",G1072+H1072)</f>
        <v/>
      </c>
    </row>
    <row r="1073" customFormat="false" ht="15" hidden="false" customHeight="false" outlineLevel="0" collapsed="false">
      <c r="C1073" s="41" t="str">
        <f aca="false">IF(A1073="","",TEXT(A1073,"mmm-yyyy"))</f>
        <v/>
      </c>
      <c r="I1073" s="47" t="str">
        <f aca="false">IF(G1073="","",G1073+H1073)</f>
        <v/>
      </c>
    </row>
    <row r="1074" customFormat="false" ht="15" hidden="false" customHeight="false" outlineLevel="0" collapsed="false">
      <c r="C1074" s="41" t="str">
        <f aca="false">IF(A1074="","",TEXT(A1074,"mmm-yyyy"))</f>
        <v/>
      </c>
      <c r="I1074" s="47" t="str">
        <f aca="false">IF(G1074="","",G1074+H1074)</f>
        <v/>
      </c>
    </row>
    <row r="1075" customFormat="false" ht="15" hidden="false" customHeight="false" outlineLevel="0" collapsed="false">
      <c r="C1075" s="41" t="str">
        <f aca="false">IF(A1075="","",TEXT(A1075,"mmm-yyyy"))</f>
        <v/>
      </c>
      <c r="I1075" s="47" t="str">
        <f aca="false">IF(G1075="","",G1075+H1075)</f>
        <v/>
      </c>
    </row>
    <row r="1076" customFormat="false" ht="15" hidden="false" customHeight="false" outlineLevel="0" collapsed="false">
      <c r="C1076" s="41" t="str">
        <f aca="false">IF(A1076="","",TEXT(A1076,"mmm-yyyy"))</f>
        <v/>
      </c>
      <c r="I1076" s="47" t="str">
        <f aca="false">IF(G1076="","",G1076+H1076)</f>
        <v/>
      </c>
    </row>
    <row r="1077" customFormat="false" ht="15" hidden="false" customHeight="false" outlineLevel="0" collapsed="false">
      <c r="C1077" s="41" t="str">
        <f aca="false">IF(A1077="","",TEXT(A1077,"mmm-yyyy"))</f>
        <v/>
      </c>
      <c r="I1077" s="47" t="str">
        <f aca="false">IF(G1077="","",G1077+H1077)</f>
        <v/>
      </c>
    </row>
    <row r="1078" customFormat="false" ht="15" hidden="false" customHeight="false" outlineLevel="0" collapsed="false">
      <c r="C1078" s="41" t="str">
        <f aca="false">IF(A1078="","",TEXT(A1078,"mmm-yyyy"))</f>
        <v/>
      </c>
      <c r="I1078" s="47" t="str">
        <f aca="false">IF(G1078="","",G1078+H1078)</f>
        <v/>
      </c>
    </row>
    <row r="1079" customFormat="false" ht="15" hidden="false" customHeight="false" outlineLevel="0" collapsed="false">
      <c r="C1079" s="41" t="str">
        <f aca="false">IF(A1079="","",TEXT(A1079,"mmm-yyyy"))</f>
        <v/>
      </c>
      <c r="I1079" s="47" t="str">
        <f aca="false">IF(G1079="","",G1079+H1079)</f>
        <v/>
      </c>
    </row>
    <row r="1080" customFormat="false" ht="15" hidden="false" customHeight="false" outlineLevel="0" collapsed="false">
      <c r="C1080" s="41" t="str">
        <f aca="false">IF(A1080="","",TEXT(A1080,"mmm-yyyy"))</f>
        <v/>
      </c>
      <c r="I1080" s="47" t="str">
        <f aca="false">IF(G1080="","",G1080+H1080)</f>
        <v/>
      </c>
    </row>
    <row r="1081" customFormat="false" ht="15" hidden="false" customHeight="false" outlineLevel="0" collapsed="false">
      <c r="C1081" s="41" t="str">
        <f aca="false">IF(A1081="","",TEXT(A1081,"mmm-yyyy"))</f>
        <v/>
      </c>
      <c r="I1081" s="47" t="str">
        <f aca="false">IF(G1081="","",G1081+H1081)</f>
        <v/>
      </c>
    </row>
    <row r="1082" customFormat="false" ht="15" hidden="false" customHeight="false" outlineLevel="0" collapsed="false">
      <c r="C1082" s="41" t="str">
        <f aca="false">IF(A1082="","",TEXT(A1082,"mmm-yyyy"))</f>
        <v/>
      </c>
      <c r="I1082" s="47" t="str">
        <f aca="false">IF(G1082="","",G1082+H1082)</f>
        <v/>
      </c>
    </row>
    <row r="1083" customFormat="false" ht="15" hidden="false" customHeight="false" outlineLevel="0" collapsed="false">
      <c r="C1083" s="41" t="str">
        <f aca="false">IF(A1083="","",TEXT(A1083,"mmm-yyyy"))</f>
        <v/>
      </c>
      <c r="I1083" s="47" t="str">
        <f aca="false">IF(G1083="","",G1083+H1083)</f>
        <v/>
      </c>
    </row>
    <row r="1084" customFormat="false" ht="15" hidden="false" customHeight="false" outlineLevel="0" collapsed="false">
      <c r="C1084" s="41" t="str">
        <f aca="false">IF(A1084="","",TEXT(A1084,"mmm-yyyy"))</f>
        <v/>
      </c>
      <c r="I1084" s="47" t="str">
        <f aca="false">IF(G1084="","",G1084+H1084)</f>
        <v/>
      </c>
    </row>
    <row r="1085" customFormat="false" ht="15" hidden="false" customHeight="false" outlineLevel="0" collapsed="false">
      <c r="C1085" s="41" t="str">
        <f aca="false">IF(A1085="","",TEXT(A1085,"mmm-yyyy"))</f>
        <v/>
      </c>
      <c r="I1085" s="47" t="str">
        <f aca="false">IF(G1085="","",G1085+H1085)</f>
        <v/>
      </c>
    </row>
    <row r="1086" customFormat="false" ht="15" hidden="false" customHeight="false" outlineLevel="0" collapsed="false">
      <c r="C1086" s="41" t="str">
        <f aca="false">IF(A1086="","",TEXT(A1086,"mmm-yyyy"))</f>
        <v/>
      </c>
      <c r="I1086" s="47" t="str">
        <f aca="false">IF(G1086="","",G1086+H1086)</f>
        <v/>
      </c>
    </row>
    <row r="1087" customFormat="false" ht="15" hidden="false" customHeight="false" outlineLevel="0" collapsed="false">
      <c r="C1087" s="41" t="str">
        <f aca="false">IF(A1087="","",TEXT(A1087,"mmm-yyyy"))</f>
        <v/>
      </c>
      <c r="I1087" s="47" t="str">
        <f aca="false">IF(G1087="","",G1087+H1087)</f>
        <v/>
      </c>
    </row>
    <row r="1088" customFormat="false" ht="15" hidden="false" customHeight="false" outlineLevel="0" collapsed="false">
      <c r="C1088" s="41" t="str">
        <f aca="false">IF(A1088="","",TEXT(A1088,"mmm-yyyy"))</f>
        <v/>
      </c>
      <c r="I1088" s="47" t="str">
        <f aca="false">IF(G1088="","",G1088+H1088)</f>
        <v/>
      </c>
    </row>
    <row r="1089" customFormat="false" ht="15" hidden="false" customHeight="false" outlineLevel="0" collapsed="false">
      <c r="C1089" s="41" t="str">
        <f aca="false">IF(A1089="","",TEXT(A1089,"mmm-yyyy"))</f>
        <v/>
      </c>
      <c r="I1089" s="47" t="str">
        <f aca="false">IF(G1089="","",G1089+H1089)</f>
        <v/>
      </c>
    </row>
    <row r="1090" customFormat="false" ht="15" hidden="false" customHeight="false" outlineLevel="0" collapsed="false">
      <c r="C1090" s="41" t="str">
        <f aca="false">IF(A1090="","",TEXT(A1090,"mmm-yyyy"))</f>
        <v/>
      </c>
      <c r="I1090" s="47" t="str">
        <f aca="false">IF(G1090="","",G1090+H1090)</f>
        <v/>
      </c>
    </row>
    <row r="1091" customFormat="false" ht="15" hidden="false" customHeight="false" outlineLevel="0" collapsed="false">
      <c r="C1091" s="41" t="str">
        <f aca="false">IF(A1091="","",TEXT(A1091,"mmm-yyyy"))</f>
        <v/>
      </c>
      <c r="I1091" s="47" t="str">
        <f aca="false">IF(G1091="","",G1091+H1091)</f>
        <v/>
      </c>
    </row>
    <row r="1092" customFormat="false" ht="15" hidden="false" customHeight="false" outlineLevel="0" collapsed="false">
      <c r="C1092" s="41" t="str">
        <f aca="false">IF(A1092="","",TEXT(A1092,"mmm-yyyy"))</f>
        <v/>
      </c>
      <c r="I1092" s="47" t="str">
        <f aca="false">IF(G1092="","",G1092+H1092)</f>
        <v/>
      </c>
    </row>
    <row r="1093" customFormat="false" ht="15" hidden="false" customHeight="false" outlineLevel="0" collapsed="false">
      <c r="C1093" s="41" t="str">
        <f aca="false">IF(A1093="","",TEXT(A1093,"mmm-yyyy"))</f>
        <v/>
      </c>
      <c r="I1093" s="47" t="str">
        <f aca="false">IF(G1093="","",G1093+H1093)</f>
        <v/>
      </c>
    </row>
    <row r="1094" customFormat="false" ht="15" hidden="false" customHeight="false" outlineLevel="0" collapsed="false">
      <c r="C1094" s="41" t="str">
        <f aca="false">IF(A1094="","",TEXT(A1094,"mmm-yyyy"))</f>
        <v/>
      </c>
      <c r="I1094" s="47" t="str">
        <f aca="false">IF(G1094="","",G1094+H1094)</f>
        <v/>
      </c>
    </row>
    <row r="1095" customFormat="false" ht="15" hidden="false" customHeight="false" outlineLevel="0" collapsed="false">
      <c r="C1095" s="41" t="str">
        <f aca="false">IF(A1095="","",TEXT(A1095,"mmm-yyyy"))</f>
        <v/>
      </c>
      <c r="I1095" s="47" t="str">
        <f aca="false">IF(G1095="","",G1095+H1095)</f>
        <v/>
      </c>
    </row>
    <row r="1096" customFormat="false" ht="15" hidden="false" customHeight="false" outlineLevel="0" collapsed="false">
      <c r="C1096" s="41" t="str">
        <f aca="false">IF(A1096="","",TEXT(A1096,"mmm-yyyy"))</f>
        <v/>
      </c>
      <c r="I1096" s="47" t="str">
        <f aca="false">IF(G1096="","",G1096+H1096)</f>
        <v/>
      </c>
    </row>
    <row r="1097" customFormat="false" ht="15" hidden="false" customHeight="false" outlineLevel="0" collapsed="false">
      <c r="C1097" s="41" t="str">
        <f aca="false">IF(A1097="","",TEXT(A1097,"mmm-yyyy"))</f>
        <v/>
      </c>
      <c r="I1097" s="47" t="str">
        <f aca="false">IF(G1097="","",G1097+H1097)</f>
        <v/>
      </c>
    </row>
    <row r="1098" customFormat="false" ht="15" hidden="false" customHeight="false" outlineLevel="0" collapsed="false">
      <c r="C1098" s="41" t="str">
        <f aca="false">IF(A1098="","",TEXT(A1098,"mmm-yyyy"))</f>
        <v/>
      </c>
      <c r="I1098" s="47" t="str">
        <f aca="false">IF(G1098="","",G1098+H1098)</f>
        <v/>
      </c>
    </row>
    <row r="1099" customFormat="false" ht="15" hidden="false" customHeight="false" outlineLevel="0" collapsed="false">
      <c r="C1099" s="41" t="str">
        <f aca="false">IF(A1099="","",TEXT(A1099,"mmm-yyyy"))</f>
        <v/>
      </c>
      <c r="I1099" s="47" t="str">
        <f aca="false">IF(G1099="","",G1099+H1099)</f>
        <v/>
      </c>
    </row>
    <row r="1100" customFormat="false" ht="15" hidden="false" customHeight="false" outlineLevel="0" collapsed="false">
      <c r="C1100" s="41" t="str">
        <f aca="false">IF(A1100="","",TEXT(A1100,"mmm-yyyy"))</f>
        <v/>
      </c>
      <c r="I1100" s="47" t="str">
        <f aca="false">IF(G1100="","",G1100+H1100)</f>
        <v/>
      </c>
    </row>
    <row r="1101" customFormat="false" ht="15" hidden="false" customHeight="false" outlineLevel="0" collapsed="false">
      <c r="C1101" s="41" t="str">
        <f aca="false">IF(A1101="","",TEXT(A1101,"mmm-yyyy"))</f>
        <v/>
      </c>
      <c r="I1101" s="47" t="str">
        <f aca="false">IF(G1101="","",G1101+H1101)</f>
        <v/>
      </c>
    </row>
    <row r="1102" customFormat="false" ht="15" hidden="false" customHeight="false" outlineLevel="0" collapsed="false">
      <c r="C1102" s="41" t="str">
        <f aca="false">IF(A1102="","",TEXT(A1102,"mmm-yyyy"))</f>
        <v/>
      </c>
      <c r="I1102" s="47" t="str">
        <f aca="false">IF(G1102="","",G1102+H1102)</f>
        <v/>
      </c>
    </row>
    <row r="1103" customFormat="false" ht="15" hidden="false" customHeight="false" outlineLevel="0" collapsed="false">
      <c r="C1103" s="41" t="str">
        <f aca="false">IF(A1103="","",TEXT(A1103,"mmm-yyyy"))</f>
        <v/>
      </c>
      <c r="I1103" s="47" t="str">
        <f aca="false">IF(G1103="","",G1103+H1103)</f>
        <v/>
      </c>
    </row>
    <row r="1104" customFormat="false" ht="15" hidden="false" customHeight="false" outlineLevel="0" collapsed="false">
      <c r="C1104" s="41" t="str">
        <f aca="false">IF(A1104="","",TEXT(A1104,"mmm-yyyy"))</f>
        <v/>
      </c>
      <c r="I1104" s="47" t="str">
        <f aca="false">IF(G1104="","",G1104+H1104)</f>
        <v/>
      </c>
    </row>
    <row r="1105" customFormat="false" ht="15" hidden="false" customHeight="false" outlineLevel="0" collapsed="false">
      <c r="C1105" s="41" t="str">
        <f aca="false">IF(A1105="","",TEXT(A1105,"mmm-yyyy"))</f>
        <v/>
      </c>
      <c r="I1105" s="47" t="str">
        <f aca="false">IF(G1105="","",G1105+H1105)</f>
        <v/>
      </c>
    </row>
    <row r="1106" customFormat="false" ht="15" hidden="false" customHeight="false" outlineLevel="0" collapsed="false">
      <c r="C1106" s="41" t="str">
        <f aca="false">IF(A1106="","",TEXT(A1106,"mmm-yyyy"))</f>
        <v/>
      </c>
      <c r="I1106" s="47" t="str">
        <f aca="false">IF(G1106="","",G1106+H1106)</f>
        <v/>
      </c>
    </row>
    <row r="1107" customFormat="false" ht="15" hidden="false" customHeight="false" outlineLevel="0" collapsed="false">
      <c r="C1107" s="41" t="str">
        <f aca="false">IF(A1107="","",TEXT(A1107,"mmm-yyyy"))</f>
        <v/>
      </c>
      <c r="I1107" s="47" t="str">
        <f aca="false">IF(G1107="","",G1107+H1107)</f>
        <v/>
      </c>
    </row>
    <row r="1108" customFormat="false" ht="15" hidden="false" customHeight="false" outlineLevel="0" collapsed="false">
      <c r="C1108" s="41" t="str">
        <f aca="false">IF(A1108="","",TEXT(A1108,"mmm-yyyy"))</f>
        <v/>
      </c>
      <c r="I1108" s="47" t="str">
        <f aca="false">IF(G1108="","",G1108+H1108)</f>
        <v/>
      </c>
    </row>
    <row r="1109" customFormat="false" ht="15" hidden="false" customHeight="false" outlineLevel="0" collapsed="false">
      <c r="C1109" s="41" t="str">
        <f aca="false">IF(A1109="","",TEXT(A1109,"mmm-yyyy"))</f>
        <v/>
      </c>
      <c r="I1109" s="47" t="str">
        <f aca="false">IF(G1109="","",G1109+H1109)</f>
        <v/>
      </c>
    </row>
    <row r="1110" customFormat="false" ht="15" hidden="false" customHeight="false" outlineLevel="0" collapsed="false">
      <c r="C1110" s="41" t="str">
        <f aca="false">IF(A1110="","",TEXT(A1110,"mmm-yyyy"))</f>
        <v/>
      </c>
      <c r="I1110" s="47" t="str">
        <f aca="false">IF(G1110="","",G1110+H1110)</f>
        <v/>
      </c>
    </row>
    <row r="1111" customFormat="false" ht="15" hidden="false" customHeight="false" outlineLevel="0" collapsed="false">
      <c r="C1111" s="41" t="str">
        <f aca="false">IF(A1111="","",TEXT(A1111,"mmm-yyyy"))</f>
        <v/>
      </c>
      <c r="I1111" s="47" t="str">
        <f aca="false">IF(G1111="","",G1111+H1111)</f>
        <v/>
      </c>
    </row>
    <row r="1112" customFormat="false" ht="15" hidden="false" customHeight="false" outlineLevel="0" collapsed="false">
      <c r="C1112" s="41" t="str">
        <f aca="false">IF(A1112="","",TEXT(A1112,"mmm-yyyy"))</f>
        <v/>
      </c>
      <c r="I1112" s="47" t="str">
        <f aca="false">IF(G1112="","",G1112+H1112)</f>
        <v/>
      </c>
    </row>
    <row r="1113" customFormat="false" ht="15" hidden="false" customHeight="false" outlineLevel="0" collapsed="false">
      <c r="C1113" s="41" t="str">
        <f aca="false">IF(A1113="","",TEXT(A1113,"mmm-yyyy"))</f>
        <v/>
      </c>
      <c r="I1113" s="47" t="str">
        <f aca="false">IF(G1113="","",G1113+H1113)</f>
        <v/>
      </c>
    </row>
    <row r="1114" customFormat="false" ht="15" hidden="false" customHeight="false" outlineLevel="0" collapsed="false">
      <c r="C1114" s="41" t="str">
        <f aca="false">IF(A1114="","",TEXT(A1114,"mmm-yyyy"))</f>
        <v/>
      </c>
      <c r="I1114" s="47" t="str">
        <f aca="false">IF(G1114="","",G1114+H1114)</f>
        <v/>
      </c>
    </row>
    <row r="1115" customFormat="false" ht="15" hidden="false" customHeight="false" outlineLevel="0" collapsed="false">
      <c r="C1115" s="41" t="str">
        <f aca="false">IF(A1115="","",TEXT(A1115,"mmm-yyyy"))</f>
        <v/>
      </c>
      <c r="I1115" s="47" t="str">
        <f aca="false">IF(G1115="","",G1115+H1115)</f>
        <v/>
      </c>
    </row>
    <row r="1116" customFormat="false" ht="15" hidden="false" customHeight="false" outlineLevel="0" collapsed="false">
      <c r="C1116" s="41" t="str">
        <f aca="false">IF(A1116="","",TEXT(A1116,"mmm-yyyy"))</f>
        <v/>
      </c>
      <c r="I1116" s="47" t="str">
        <f aca="false">IF(G1116="","",G1116+H1116)</f>
        <v/>
      </c>
    </row>
    <row r="1117" customFormat="false" ht="15" hidden="false" customHeight="false" outlineLevel="0" collapsed="false">
      <c r="C1117" s="41" t="str">
        <f aca="false">IF(A1117="","",TEXT(A1117,"mmm-yyyy"))</f>
        <v/>
      </c>
      <c r="I1117" s="47" t="str">
        <f aca="false">IF(G1117="","",G1117+H1117)</f>
        <v/>
      </c>
    </row>
    <row r="1118" customFormat="false" ht="15" hidden="false" customHeight="false" outlineLevel="0" collapsed="false">
      <c r="C1118" s="41" t="str">
        <f aca="false">IF(A1118="","",TEXT(A1118,"mmm-yyyy"))</f>
        <v/>
      </c>
      <c r="I1118" s="47" t="str">
        <f aca="false">IF(G1118="","",G1118+H1118)</f>
        <v/>
      </c>
    </row>
    <row r="1119" customFormat="false" ht="15" hidden="false" customHeight="false" outlineLevel="0" collapsed="false">
      <c r="C1119" s="41" t="str">
        <f aca="false">IF(A1119="","",TEXT(A1119,"mmm-yyyy"))</f>
        <v/>
      </c>
      <c r="I1119" s="47" t="str">
        <f aca="false">IF(G1119="","",G1119+H1119)</f>
        <v/>
      </c>
    </row>
    <row r="1120" customFormat="false" ht="15" hidden="false" customHeight="false" outlineLevel="0" collapsed="false">
      <c r="C1120" s="41" t="str">
        <f aca="false">IF(A1120="","",TEXT(A1120,"mmm-yyyy"))</f>
        <v/>
      </c>
      <c r="I1120" s="47" t="str">
        <f aca="false">IF(G1120="","",G1120+H1120)</f>
        <v/>
      </c>
    </row>
    <row r="1121" customFormat="false" ht="15" hidden="false" customHeight="false" outlineLevel="0" collapsed="false">
      <c r="C1121" s="41" t="str">
        <f aca="false">IF(A1121="","",TEXT(A1121,"mmm-yyyy"))</f>
        <v/>
      </c>
      <c r="I1121" s="47" t="str">
        <f aca="false">IF(G1121="","",G1121+H1121)</f>
        <v/>
      </c>
    </row>
    <row r="1122" customFormat="false" ht="15" hidden="false" customHeight="false" outlineLevel="0" collapsed="false">
      <c r="C1122" s="41" t="str">
        <f aca="false">IF(A1122="","",TEXT(A1122,"mmm-yyyy"))</f>
        <v/>
      </c>
      <c r="I1122" s="47" t="str">
        <f aca="false">IF(G1122="","",G1122+H1122)</f>
        <v/>
      </c>
    </row>
    <row r="1123" customFormat="false" ht="15" hidden="false" customHeight="false" outlineLevel="0" collapsed="false">
      <c r="C1123" s="41" t="str">
        <f aca="false">IF(A1123="","",TEXT(A1123,"mmm-yyyy"))</f>
        <v/>
      </c>
      <c r="I1123" s="47" t="str">
        <f aca="false">IF(G1123="","",G1123+H1123)</f>
        <v/>
      </c>
    </row>
    <row r="1124" customFormat="false" ht="15" hidden="false" customHeight="false" outlineLevel="0" collapsed="false">
      <c r="C1124" s="41" t="str">
        <f aca="false">IF(A1124="","",TEXT(A1124,"mmm-yyyy"))</f>
        <v/>
      </c>
      <c r="I1124" s="47" t="str">
        <f aca="false">IF(G1124="","",G1124+H1124)</f>
        <v/>
      </c>
    </row>
    <row r="1125" customFormat="false" ht="15" hidden="false" customHeight="false" outlineLevel="0" collapsed="false">
      <c r="C1125" s="41" t="str">
        <f aca="false">IF(A1125="","",TEXT(A1125,"mmm-yyyy"))</f>
        <v/>
      </c>
      <c r="I1125" s="47" t="str">
        <f aca="false">IF(G1125="","",G1125+H1125)</f>
        <v/>
      </c>
    </row>
    <row r="1126" customFormat="false" ht="15" hidden="false" customHeight="false" outlineLevel="0" collapsed="false">
      <c r="C1126" s="41" t="str">
        <f aca="false">IF(A1126="","",TEXT(A1126,"mmm-yyyy"))</f>
        <v/>
      </c>
      <c r="I1126" s="47" t="str">
        <f aca="false">IF(G1126="","",G1126+H1126)</f>
        <v/>
      </c>
    </row>
    <row r="1127" customFormat="false" ht="15" hidden="false" customHeight="false" outlineLevel="0" collapsed="false">
      <c r="C1127" s="41" t="str">
        <f aca="false">IF(A1127="","",TEXT(A1127,"mmm-yyyy"))</f>
        <v/>
      </c>
      <c r="I1127" s="47" t="str">
        <f aca="false">IF(G1127="","",G1127+H1127)</f>
        <v/>
      </c>
    </row>
    <row r="1128" customFormat="false" ht="15" hidden="false" customHeight="false" outlineLevel="0" collapsed="false">
      <c r="C1128" s="41" t="str">
        <f aca="false">IF(A1128="","",TEXT(A1128,"mmm-yyyy"))</f>
        <v/>
      </c>
      <c r="I1128" s="47" t="str">
        <f aca="false">IF(G1128="","",G1128+H1128)</f>
        <v/>
      </c>
    </row>
    <row r="1129" customFormat="false" ht="15" hidden="false" customHeight="false" outlineLevel="0" collapsed="false">
      <c r="C1129" s="41" t="str">
        <f aca="false">IF(A1129="","",TEXT(A1129,"mmm-yyyy"))</f>
        <v/>
      </c>
      <c r="I1129" s="47" t="str">
        <f aca="false">IF(G1129="","",G1129+H1129)</f>
        <v/>
      </c>
    </row>
    <row r="1130" customFormat="false" ht="15" hidden="false" customHeight="false" outlineLevel="0" collapsed="false">
      <c r="C1130" s="41" t="str">
        <f aca="false">IF(A1130="","",TEXT(A1130,"mmm-yyyy"))</f>
        <v/>
      </c>
      <c r="I1130" s="47" t="str">
        <f aca="false">IF(G1130="","",G1130+H1130)</f>
        <v/>
      </c>
    </row>
    <row r="1131" customFormat="false" ht="15" hidden="false" customHeight="false" outlineLevel="0" collapsed="false">
      <c r="C1131" s="41" t="str">
        <f aca="false">IF(A1131="","",TEXT(A1131,"mmm-yyyy"))</f>
        <v/>
      </c>
      <c r="I1131" s="47" t="str">
        <f aca="false">IF(G1131="","",G1131+H1131)</f>
        <v/>
      </c>
    </row>
    <row r="1132" customFormat="false" ht="15" hidden="false" customHeight="false" outlineLevel="0" collapsed="false">
      <c r="C1132" s="41" t="str">
        <f aca="false">IF(A1132="","",TEXT(A1132,"mmm-yyyy"))</f>
        <v/>
      </c>
      <c r="I1132" s="47" t="str">
        <f aca="false">IF(G1132="","",G1132+H1132)</f>
        <v/>
      </c>
    </row>
    <row r="1133" customFormat="false" ht="15" hidden="false" customHeight="false" outlineLevel="0" collapsed="false">
      <c r="C1133" s="41" t="str">
        <f aca="false">IF(A1133="","",TEXT(A1133,"mmm-yyyy"))</f>
        <v/>
      </c>
      <c r="I1133" s="47" t="str">
        <f aca="false">IF(G1133="","",G1133+H1133)</f>
        <v/>
      </c>
    </row>
    <row r="1134" customFormat="false" ht="15" hidden="false" customHeight="false" outlineLevel="0" collapsed="false">
      <c r="C1134" s="41" t="str">
        <f aca="false">IF(A1134="","",TEXT(A1134,"mmm-yyyy"))</f>
        <v/>
      </c>
      <c r="I1134" s="47" t="str">
        <f aca="false">IF(G1134="","",G1134+H1134)</f>
        <v/>
      </c>
    </row>
    <row r="1135" customFormat="false" ht="15" hidden="false" customHeight="false" outlineLevel="0" collapsed="false">
      <c r="C1135" s="41" t="str">
        <f aca="false">IF(A1135="","",TEXT(A1135,"mmm-yyyy"))</f>
        <v/>
      </c>
      <c r="I1135" s="47" t="str">
        <f aca="false">IF(G1135="","",G1135+H1135)</f>
        <v/>
      </c>
    </row>
    <row r="1136" customFormat="false" ht="15" hidden="false" customHeight="false" outlineLevel="0" collapsed="false">
      <c r="C1136" s="41" t="str">
        <f aca="false">IF(A1136="","",TEXT(A1136,"mmm-yyyy"))</f>
        <v/>
      </c>
      <c r="I1136" s="47" t="str">
        <f aca="false">IF(G1136="","",G1136+H1136)</f>
        <v/>
      </c>
    </row>
    <row r="1137" customFormat="false" ht="15" hidden="false" customHeight="false" outlineLevel="0" collapsed="false">
      <c r="C1137" s="41" t="str">
        <f aca="false">IF(A1137="","",TEXT(A1137,"mmm-yyyy"))</f>
        <v/>
      </c>
      <c r="I1137" s="47" t="str">
        <f aca="false">IF(G1137="","",G1137+H1137)</f>
        <v/>
      </c>
    </row>
    <row r="1138" customFormat="false" ht="15" hidden="false" customHeight="false" outlineLevel="0" collapsed="false">
      <c r="C1138" s="41" t="str">
        <f aca="false">IF(A1138="","",TEXT(A1138,"mmm-yyyy"))</f>
        <v/>
      </c>
      <c r="I1138" s="47" t="str">
        <f aca="false">IF(G1138="","",G1138+H1138)</f>
        <v/>
      </c>
    </row>
    <row r="1139" customFormat="false" ht="15" hidden="false" customHeight="false" outlineLevel="0" collapsed="false">
      <c r="C1139" s="41" t="str">
        <f aca="false">IF(A1139="","",TEXT(A1139,"mmm-yyyy"))</f>
        <v/>
      </c>
      <c r="I1139" s="47" t="str">
        <f aca="false">IF(G1139="","",G1139+H1139)</f>
        <v/>
      </c>
    </row>
    <row r="1140" customFormat="false" ht="15" hidden="false" customHeight="false" outlineLevel="0" collapsed="false">
      <c r="C1140" s="41" t="str">
        <f aca="false">IF(A1140="","",TEXT(A1140,"mmm-yyyy"))</f>
        <v/>
      </c>
      <c r="I1140" s="47" t="str">
        <f aca="false">IF(G1140="","",G1140+H1140)</f>
        <v/>
      </c>
    </row>
    <row r="1141" customFormat="false" ht="15" hidden="false" customHeight="false" outlineLevel="0" collapsed="false">
      <c r="C1141" s="41" t="str">
        <f aca="false">IF(A1141="","",TEXT(A1141,"mmm-yyyy"))</f>
        <v/>
      </c>
      <c r="I1141" s="47" t="str">
        <f aca="false">IF(G1141="","",G1141+H1141)</f>
        <v/>
      </c>
    </row>
    <row r="1142" customFormat="false" ht="15" hidden="false" customHeight="false" outlineLevel="0" collapsed="false">
      <c r="C1142" s="41" t="str">
        <f aca="false">IF(A1142="","",TEXT(A1142,"mmm-yyyy"))</f>
        <v/>
      </c>
      <c r="I1142" s="47" t="str">
        <f aca="false">IF(G1142="","",G1142+H1142)</f>
        <v/>
      </c>
    </row>
    <row r="1143" customFormat="false" ht="15" hidden="false" customHeight="false" outlineLevel="0" collapsed="false">
      <c r="C1143" s="41" t="str">
        <f aca="false">IF(A1143="","",TEXT(A1143,"mmm-yyyy"))</f>
        <v/>
      </c>
      <c r="I1143" s="47" t="str">
        <f aca="false">IF(G1143="","",G1143+H1143)</f>
        <v/>
      </c>
    </row>
    <row r="1144" customFormat="false" ht="15" hidden="false" customHeight="false" outlineLevel="0" collapsed="false">
      <c r="C1144" s="41" t="str">
        <f aca="false">IF(A1144="","",TEXT(A1144,"mmm-yyyy"))</f>
        <v/>
      </c>
      <c r="I1144" s="47" t="str">
        <f aca="false">IF(G1144="","",G1144+H1144)</f>
        <v/>
      </c>
    </row>
    <row r="1145" customFormat="false" ht="15" hidden="false" customHeight="false" outlineLevel="0" collapsed="false">
      <c r="C1145" s="41" t="str">
        <f aca="false">IF(A1145="","",TEXT(A1145,"mmm-yyyy"))</f>
        <v/>
      </c>
      <c r="I1145" s="47" t="str">
        <f aca="false">IF(G1145="","",G1145+H1145)</f>
        <v/>
      </c>
    </row>
    <row r="1146" customFormat="false" ht="15" hidden="false" customHeight="false" outlineLevel="0" collapsed="false">
      <c r="C1146" s="41" t="str">
        <f aca="false">IF(A1146="","",TEXT(A1146,"mmm-yyyy"))</f>
        <v/>
      </c>
      <c r="I1146" s="47" t="str">
        <f aca="false">IF(G1146="","",G1146+H1146)</f>
        <v/>
      </c>
    </row>
    <row r="1147" customFormat="false" ht="15" hidden="false" customHeight="false" outlineLevel="0" collapsed="false">
      <c r="C1147" s="41" t="str">
        <f aca="false">IF(A1147="","",TEXT(A1147,"mmm-yyyy"))</f>
        <v/>
      </c>
      <c r="I1147" s="47" t="str">
        <f aca="false">IF(G1147="","",G1147+H1147)</f>
        <v/>
      </c>
    </row>
    <row r="1148" customFormat="false" ht="15" hidden="false" customHeight="false" outlineLevel="0" collapsed="false">
      <c r="C1148" s="41" t="str">
        <f aca="false">IF(A1148="","",TEXT(A1148,"mmm-yyyy"))</f>
        <v/>
      </c>
      <c r="I1148" s="47" t="str">
        <f aca="false">IF(G1148="","",G1148+H1148)</f>
        <v/>
      </c>
    </row>
    <row r="1149" customFormat="false" ht="15" hidden="false" customHeight="false" outlineLevel="0" collapsed="false">
      <c r="C1149" s="41" t="str">
        <f aca="false">IF(A1149="","",TEXT(A1149,"mmm-yyyy"))</f>
        <v/>
      </c>
      <c r="I1149" s="47" t="str">
        <f aca="false">IF(G1149="","",G1149+H1149)</f>
        <v/>
      </c>
    </row>
    <row r="1150" customFormat="false" ht="15" hidden="false" customHeight="false" outlineLevel="0" collapsed="false">
      <c r="C1150" s="41" t="str">
        <f aca="false">IF(A1150="","",TEXT(A1150,"mmm-yyyy"))</f>
        <v/>
      </c>
      <c r="I1150" s="47" t="str">
        <f aca="false">IF(G1150="","",G1150+H1150)</f>
        <v/>
      </c>
    </row>
    <row r="1151" customFormat="false" ht="15" hidden="false" customHeight="false" outlineLevel="0" collapsed="false">
      <c r="C1151" s="41" t="str">
        <f aca="false">IF(A1151="","",TEXT(A1151,"mmm-yyyy"))</f>
        <v/>
      </c>
      <c r="I1151" s="47" t="str">
        <f aca="false">IF(G1151="","",G1151+H1151)</f>
        <v/>
      </c>
    </row>
    <row r="1152" customFormat="false" ht="15" hidden="false" customHeight="false" outlineLevel="0" collapsed="false">
      <c r="C1152" s="41" t="str">
        <f aca="false">IF(A1152="","",TEXT(A1152,"mmm-yyyy"))</f>
        <v/>
      </c>
      <c r="I1152" s="47" t="str">
        <f aca="false">IF(G1152="","",G1152+H1152)</f>
        <v/>
      </c>
    </row>
    <row r="1153" customFormat="false" ht="15" hidden="false" customHeight="false" outlineLevel="0" collapsed="false">
      <c r="C1153" s="41" t="str">
        <f aca="false">IF(A1153="","",TEXT(A1153,"mmm-yyyy"))</f>
        <v/>
      </c>
      <c r="I1153" s="47" t="str">
        <f aca="false">IF(G1153="","",G1153+H1153)</f>
        <v/>
      </c>
    </row>
    <row r="1154" customFormat="false" ht="15" hidden="false" customHeight="false" outlineLevel="0" collapsed="false">
      <c r="C1154" s="41" t="str">
        <f aca="false">IF(A1154="","",TEXT(A1154,"mmm-yyyy"))</f>
        <v/>
      </c>
      <c r="I1154" s="47" t="str">
        <f aca="false">IF(G1154="","",G1154+H1154)</f>
        <v/>
      </c>
    </row>
    <row r="1155" customFormat="false" ht="15" hidden="false" customHeight="false" outlineLevel="0" collapsed="false">
      <c r="C1155" s="41" t="str">
        <f aca="false">IF(A1155="","",TEXT(A1155,"mmm-yyyy"))</f>
        <v/>
      </c>
      <c r="I1155" s="47" t="str">
        <f aca="false">IF(G1155="","",G1155+H1155)</f>
        <v/>
      </c>
    </row>
    <row r="1156" customFormat="false" ht="15" hidden="false" customHeight="false" outlineLevel="0" collapsed="false">
      <c r="C1156" s="41" t="str">
        <f aca="false">IF(A1156="","",TEXT(A1156,"mmm-yyyy"))</f>
        <v/>
      </c>
      <c r="I1156" s="47" t="str">
        <f aca="false">IF(G1156="","",G1156+H1156)</f>
        <v/>
      </c>
    </row>
    <row r="1157" customFormat="false" ht="15" hidden="false" customHeight="false" outlineLevel="0" collapsed="false">
      <c r="C1157" s="41" t="str">
        <f aca="false">IF(A1157="","",TEXT(A1157,"mmm-yyyy"))</f>
        <v/>
      </c>
      <c r="I1157" s="47" t="str">
        <f aca="false">IF(G1157="","",G1157+H1157)</f>
        <v/>
      </c>
    </row>
    <row r="1158" customFormat="false" ht="15" hidden="false" customHeight="false" outlineLevel="0" collapsed="false">
      <c r="C1158" s="41" t="str">
        <f aca="false">IF(A1158="","",TEXT(A1158,"mmm-yyyy"))</f>
        <v/>
      </c>
      <c r="I1158" s="47" t="str">
        <f aca="false">IF(G1158="","",G1158+H1158)</f>
        <v/>
      </c>
    </row>
    <row r="1159" customFormat="false" ht="15" hidden="false" customHeight="false" outlineLevel="0" collapsed="false">
      <c r="C1159" s="41" t="str">
        <f aca="false">IF(A1159="","",TEXT(A1159,"mmm-yyyy"))</f>
        <v/>
      </c>
      <c r="I1159" s="47" t="str">
        <f aca="false">IF(G1159="","",G1159+H1159)</f>
        <v/>
      </c>
    </row>
    <row r="1160" customFormat="false" ht="15" hidden="false" customHeight="false" outlineLevel="0" collapsed="false">
      <c r="C1160" s="41" t="str">
        <f aca="false">IF(A1160="","",TEXT(A1160,"mmm-yyyy"))</f>
        <v/>
      </c>
      <c r="I1160" s="47" t="str">
        <f aca="false">IF(G1160="","",G1160+H1160)</f>
        <v/>
      </c>
    </row>
    <row r="1161" customFormat="false" ht="15" hidden="false" customHeight="false" outlineLevel="0" collapsed="false">
      <c r="C1161" s="41" t="str">
        <f aca="false">IF(A1161="","",TEXT(A1161,"mmm-yyyy"))</f>
        <v/>
      </c>
      <c r="I1161" s="47" t="str">
        <f aca="false">IF(G1161="","",G1161+H1161)</f>
        <v/>
      </c>
    </row>
    <row r="1162" customFormat="false" ht="15" hidden="false" customHeight="false" outlineLevel="0" collapsed="false">
      <c r="C1162" s="41" t="str">
        <f aca="false">IF(A1162="","",TEXT(A1162,"mmm-yyyy"))</f>
        <v/>
      </c>
      <c r="I1162" s="47" t="str">
        <f aca="false">IF(G1162="","",G1162+H1162)</f>
        <v/>
      </c>
    </row>
    <row r="1163" customFormat="false" ht="15" hidden="false" customHeight="false" outlineLevel="0" collapsed="false">
      <c r="C1163" s="41" t="str">
        <f aca="false">IF(A1163="","",TEXT(A1163,"mmm-yyyy"))</f>
        <v/>
      </c>
      <c r="I1163" s="47" t="str">
        <f aca="false">IF(G1163="","",G1163+H1163)</f>
        <v/>
      </c>
    </row>
    <row r="1164" customFormat="false" ht="15" hidden="false" customHeight="false" outlineLevel="0" collapsed="false">
      <c r="C1164" s="41" t="str">
        <f aca="false">IF(A1164="","",TEXT(A1164,"mmm-yyyy"))</f>
        <v/>
      </c>
      <c r="I1164" s="47" t="str">
        <f aca="false">IF(G1164="","",G1164+H1164)</f>
        <v/>
      </c>
    </row>
    <row r="1165" customFormat="false" ht="15" hidden="false" customHeight="false" outlineLevel="0" collapsed="false">
      <c r="C1165" s="41" t="str">
        <f aca="false">IF(A1165="","",TEXT(A1165,"mmm-yyyy"))</f>
        <v/>
      </c>
      <c r="I1165" s="47" t="str">
        <f aca="false">IF(G1165="","",G1165+H1165)</f>
        <v/>
      </c>
    </row>
    <row r="1166" customFormat="false" ht="15" hidden="false" customHeight="false" outlineLevel="0" collapsed="false">
      <c r="C1166" s="41" t="str">
        <f aca="false">IF(A1166="","",TEXT(A1166,"mmm-yyyy"))</f>
        <v/>
      </c>
      <c r="I1166" s="47" t="str">
        <f aca="false">IF(G1166="","",G1166+H1166)</f>
        <v/>
      </c>
    </row>
    <row r="1167" customFormat="false" ht="15" hidden="false" customHeight="false" outlineLevel="0" collapsed="false">
      <c r="C1167" s="41" t="str">
        <f aca="false">IF(A1167="","",TEXT(A1167,"mmm-yyyy"))</f>
        <v/>
      </c>
      <c r="I1167" s="47" t="str">
        <f aca="false">IF(G1167="","",G1167+H1167)</f>
        <v/>
      </c>
    </row>
    <row r="1168" customFormat="false" ht="15" hidden="false" customHeight="false" outlineLevel="0" collapsed="false">
      <c r="C1168" s="41" t="str">
        <f aca="false">IF(A1168="","",TEXT(A1168,"mmm-yyyy"))</f>
        <v/>
      </c>
      <c r="I1168" s="47" t="str">
        <f aca="false">IF(G1168="","",G1168+H1168)</f>
        <v/>
      </c>
    </row>
    <row r="1169" customFormat="false" ht="15" hidden="false" customHeight="false" outlineLevel="0" collapsed="false">
      <c r="C1169" s="41" t="str">
        <f aca="false">IF(A1169="","",TEXT(A1169,"mmm-yyyy"))</f>
        <v/>
      </c>
      <c r="I1169" s="47" t="str">
        <f aca="false">IF(G1169="","",G1169+H1169)</f>
        <v/>
      </c>
    </row>
    <row r="1170" customFormat="false" ht="15" hidden="false" customHeight="false" outlineLevel="0" collapsed="false">
      <c r="C1170" s="41" t="str">
        <f aca="false">IF(A1170="","",TEXT(A1170,"mmm-yyyy"))</f>
        <v/>
      </c>
      <c r="I1170" s="47" t="str">
        <f aca="false">IF(G1170="","",G1170+H1170)</f>
        <v/>
      </c>
    </row>
    <row r="1171" customFormat="false" ht="15" hidden="false" customHeight="false" outlineLevel="0" collapsed="false">
      <c r="C1171" s="41" t="str">
        <f aca="false">IF(A1171="","",TEXT(A1171,"mmm-yyyy"))</f>
        <v/>
      </c>
      <c r="I1171" s="47" t="str">
        <f aca="false">IF(G1171="","",G1171+H1171)</f>
        <v/>
      </c>
    </row>
    <row r="1172" customFormat="false" ht="15" hidden="false" customHeight="false" outlineLevel="0" collapsed="false">
      <c r="C1172" s="41" t="str">
        <f aca="false">IF(A1172="","",TEXT(A1172,"mmm-yyyy"))</f>
        <v/>
      </c>
      <c r="I1172" s="47" t="str">
        <f aca="false">IF(G1172="","",G1172+H1172)</f>
        <v/>
      </c>
    </row>
    <row r="1173" customFormat="false" ht="15" hidden="false" customHeight="false" outlineLevel="0" collapsed="false">
      <c r="C1173" s="41" t="str">
        <f aca="false">IF(A1173="","",TEXT(A1173,"mmm-yyyy"))</f>
        <v/>
      </c>
      <c r="I1173" s="47" t="str">
        <f aca="false">IF(G1173="","",G1173+H1173)</f>
        <v/>
      </c>
    </row>
    <row r="1174" customFormat="false" ht="15" hidden="false" customHeight="false" outlineLevel="0" collapsed="false">
      <c r="C1174" s="41" t="str">
        <f aca="false">IF(A1174="","",TEXT(A1174,"mmm-yyyy"))</f>
        <v/>
      </c>
      <c r="I1174" s="47" t="str">
        <f aca="false">IF(G1174="","",G1174+H1174)</f>
        <v/>
      </c>
    </row>
    <row r="1175" customFormat="false" ht="15" hidden="false" customHeight="false" outlineLevel="0" collapsed="false">
      <c r="C1175" s="41" t="str">
        <f aca="false">IF(A1175="","",TEXT(A1175,"mmm-yyyy"))</f>
        <v/>
      </c>
      <c r="I1175" s="47" t="str">
        <f aca="false">IF(G1175="","",G1175+H1175)</f>
        <v/>
      </c>
    </row>
    <row r="1176" customFormat="false" ht="15" hidden="false" customHeight="false" outlineLevel="0" collapsed="false">
      <c r="C1176" s="41" t="str">
        <f aca="false">IF(A1176="","",TEXT(A1176,"mmm-yyyy"))</f>
        <v/>
      </c>
      <c r="I1176" s="47" t="str">
        <f aca="false">IF(G1176="","",G1176+H1176)</f>
        <v/>
      </c>
    </row>
    <row r="1177" customFormat="false" ht="15" hidden="false" customHeight="false" outlineLevel="0" collapsed="false">
      <c r="C1177" s="41" t="str">
        <f aca="false">IF(A1177="","",TEXT(A1177,"mmm-yyyy"))</f>
        <v/>
      </c>
      <c r="I1177" s="47" t="str">
        <f aca="false">IF(G1177="","",G1177+H1177)</f>
        <v/>
      </c>
    </row>
    <row r="1178" customFormat="false" ht="15" hidden="false" customHeight="false" outlineLevel="0" collapsed="false">
      <c r="C1178" s="41" t="str">
        <f aca="false">IF(A1178="","",TEXT(A1178,"mmm-yyyy"))</f>
        <v/>
      </c>
      <c r="I1178" s="47" t="str">
        <f aca="false">IF(G1178="","",G1178+H1178)</f>
        <v/>
      </c>
    </row>
    <row r="1179" customFormat="false" ht="15" hidden="false" customHeight="false" outlineLevel="0" collapsed="false">
      <c r="C1179" s="41" t="str">
        <f aca="false">IF(A1179="","",TEXT(A1179,"mmm-yyyy"))</f>
        <v/>
      </c>
      <c r="I1179" s="47" t="str">
        <f aca="false">IF(G1179="","",G1179+H1179)</f>
        <v/>
      </c>
    </row>
    <row r="1180" customFormat="false" ht="15" hidden="false" customHeight="false" outlineLevel="0" collapsed="false">
      <c r="C1180" s="41" t="str">
        <f aca="false">IF(A1180="","",TEXT(A1180,"mmm-yyyy"))</f>
        <v/>
      </c>
      <c r="I1180" s="47" t="str">
        <f aca="false">IF(G1180="","",G1180+H1180)</f>
        <v/>
      </c>
    </row>
    <row r="1181" customFormat="false" ht="15" hidden="false" customHeight="false" outlineLevel="0" collapsed="false">
      <c r="C1181" s="41" t="str">
        <f aca="false">IF(A1181="","",TEXT(A1181,"mmm-yyyy"))</f>
        <v/>
      </c>
      <c r="I1181" s="47" t="str">
        <f aca="false">IF(G1181="","",G1181+H1181)</f>
        <v/>
      </c>
    </row>
    <row r="1182" customFormat="false" ht="15" hidden="false" customHeight="false" outlineLevel="0" collapsed="false">
      <c r="C1182" s="41" t="str">
        <f aca="false">IF(A1182="","",TEXT(A1182,"mmm-yyyy"))</f>
        <v/>
      </c>
      <c r="I1182" s="47" t="str">
        <f aca="false">IF(G1182="","",G1182+H1182)</f>
        <v/>
      </c>
    </row>
    <row r="1183" customFormat="false" ht="15" hidden="false" customHeight="false" outlineLevel="0" collapsed="false">
      <c r="C1183" s="41" t="str">
        <f aca="false">IF(A1183="","",TEXT(A1183,"mmm-yyyy"))</f>
        <v/>
      </c>
      <c r="I1183" s="47" t="str">
        <f aca="false">IF(G1183="","",G1183+H1183)</f>
        <v/>
      </c>
    </row>
    <row r="1184" customFormat="false" ht="15" hidden="false" customHeight="false" outlineLevel="0" collapsed="false">
      <c r="C1184" s="41" t="str">
        <f aca="false">IF(A1184="","",TEXT(A1184,"mmm-yyyy"))</f>
        <v/>
      </c>
      <c r="I1184" s="47" t="str">
        <f aca="false">IF(G1184="","",G1184+H1184)</f>
        <v/>
      </c>
    </row>
    <row r="1185" customFormat="false" ht="15" hidden="false" customHeight="false" outlineLevel="0" collapsed="false">
      <c r="C1185" s="41" t="str">
        <f aca="false">IF(A1185="","",TEXT(A1185,"mmm-yyyy"))</f>
        <v/>
      </c>
      <c r="I1185" s="47" t="str">
        <f aca="false">IF(G1185="","",G1185+H1185)</f>
        <v/>
      </c>
    </row>
    <row r="1186" customFormat="false" ht="15" hidden="false" customHeight="false" outlineLevel="0" collapsed="false">
      <c r="C1186" s="41" t="str">
        <f aca="false">IF(A1186="","",TEXT(A1186,"mmm-yyyy"))</f>
        <v/>
      </c>
      <c r="I1186" s="47" t="str">
        <f aca="false">IF(G1186="","",G1186+H1186)</f>
        <v/>
      </c>
    </row>
    <row r="1187" customFormat="false" ht="15" hidden="false" customHeight="false" outlineLevel="0" collapsed="false">
      <c r="C1187" s="41" t="str">
        <f aca="false">IF(A1187="","",TEXT(A1187,"mmm-yyyy"))</f>
        <v/>
      </c>
      <c r="I1187" s="47" t="str">
        <f aca="false">IF(G1187="","",G1187+H1187)</f>
        <v/>
      </c>
    </row>
    <row r="1188" customFormat="false" ht="15" hidden="false" customHeight="false" outlineLevel="0" collapsed="false">
      <c r="C1188" s="41" t="str">
        <f aca="false">IF(A1188="","",TEXT(A1188,"mmm-yyyy"))</f>
        <v/>
      </c>
      <c r="I1188" s="47" t="str">
        <f aca="false">IF(G1188="","",G1188+H1188)</f>
        <v/>
      </c>
    </row>
    <row r="1189" customFormat="false" ht="15" hidden="false" customHeight="false" outlineLevel="0" collapsed="false">
      <c r="C1189" s="41" t="str">
        <f aca="false">IF(A1189="","",TEXT(A1189,"mmm-yyyy"))</f>
        <v/>
      </c>
      <c r="I1189" s="47" t="str">
        <f aca="false">IF(G1189="","",G1189+H1189)</f>
        <v/>
      </c>
    </row>
    <row r="1190" customFormat="false" ht="15" hidden="false" customHeight="false" outlineLevel="0" collapsed="false">
      <c r="C1190" s="41" t="str">
        <f aca="false">IF(A1190="","",TEXT(A1190,"mmm-yyyy"))</f>
        <v/>
      </c>
      <c r="I1190" s="47" t="str">
        <f aca="false">IF(G1190="","",G1190+H1190)</f>
        <v/>
      </c>
    </row>
    <row r="1191" customFormat="false" ht="15" hidden="false" customHeight="false" outlineLevel="0" collapsed="false">
      <c r="C1191" s="41" t="str">
        <f aca="false">IF(A1191="","",TEXT(A1191,"mmm-yyyy"))</f>
        <v/>
      </c>
      <c r="I1191" s="47" t="str">
        <f aca="false">IF(G1191="","",G1191+H1191)</f>
        <v/>
      </c>
    </row>
    <row r="1192" customFormat="false" ht="15" hidden="false" customHeight="false" outlineLevel="0" collapsed="false">
      <c r="C1192" s="41" t="str">
        <f aca="false">IF(A1192="","",TEXT(A1192,"mmm-yyyy"))</f>
        <v/>
      </c>
      <c r="I1192" s="47" t="str">
        <f aca="false">IF(G1192="","",G1192+H1192)</f>
        <v/>
      </c>
    </row>
    <row r="1193" customFormat="false" ht="15" hidden="false" customHeight="false" outlineLevel="0" collapsed="false">
      <c r="C1193" s="41" t="str">
        <f aca="false">IF(A1193="","",TEXT(A1193,"mmm-yyyy"))</f>
        <v/>
      </c>
      <c r="I1193" s="47" t="str">
        <f aca="false">IF(G1193="","",G1193+H1193)</f>
        <v/>
      </c>
    </row>
    <row r="1194" customFormat="false" ht="15" hidden="false" customHeight="false" outlineLevel="0" collapsed="false">
      <c r="C1194" s="41" t="str">
        <f aca="false">IF(A1194="","",TEXT(A1194,"mmm-yyyy"))</f>
        <v/>
      </c>
      <c r="I1194" s="47" t="str">
        <f aca="false">IF(G1194="","",G1194+H1194)</f>
        <v/>
      </c>
    </row>
    <row r="1195" customFormat="false" ht="15" hidden="false" customHeight="false" outlineLevel="0" collapsed="false">
      <c r="C1195" s="41" t="str">
        <f aca="false">IF(A1195="","",TEXT(A1195,"mmm-yyyy"))</f>
        <v/>
      </c>
      <c r="I1195" s="47" t="str">
        <f aca="false">IF(G1195="","",G1195+H1195)</f>
        <v/>
      </c>
    </row>
    <row r="1196" customFormat="false" ht="15" hidden="false" customHeight="false" outlineLevel="0" collapsed="false">
      <c r="C1196" s="41" t="str">
        <f aca="false">IF(A1196="","",TEXT(A1196,"mmm-yyyy"))</f>
        <v/>
      </c>
      <c r="I1196" s="47" t="str">
        <f aca="false">IF(G1196="","",G1196+H1196)</f>
        <v/>
      </c>
    </row>
    <row r="1197" customFormat="false" ht="15" hidden="false" customHeight="false" outlineLevel="0" collapsed="false">
      <c r="C1197" s="41" t="str">
        <f aca="false">IF(A1197="","",TEXT(A1197,"mmm-yyyy"))</f>
        <v/>
      </c>
      <c r="I1197" s="47" t="str">
        <f aca="false">IF(G1197="","",G1197+H1197)</f>
        <v/>
      </c>
    </row>
    <row r="1198" customFormat="false" ht="15" hidden="false" customHeight="false" outlineLevel="0" collapsed="false">
      <c r="C1198" s="41" t="str">
        <f aca="false">IF(A1198="","",TEXT(A1198,"mmm-yyyy"))</f>
        <v/>
      </c>
      <c r="I1198" s="47" t="str">
        <f aca="false">IF(G1198="","",G1198+H1198)</f>
        <v/>
      </c>
    </row>
    <row r="1199" customFormat="false" ht="15" hidden="false" customHeight="false" outlineLevel="0" collapsed="false">
      <c r="C1199" s="41" t="str">
        <f aca="false">IF(A1199="","",TEXT(A1199,"mmm-yyyy"))</f>
        <v/>
      </c>
      <c r="I1199" s="47" t="str">
        <f aca="false">IF(G1199="","",G1199+H1199)</f>
        <v/>
      </c>
    </row>
    <row r="1200" customFormat="false" ht="15" hidden="false" customHeight="false" outlineLevel="0" collapsed="false">
      <c r="C1200" s="41" t="str">
        <f aca="false">IF(A1200="","",TEXT(A1200,"mmm-yyyy"))</f>
        <v/>
      </c>
      <c r="I1200" s="47" t="str">
        <f aca="false">IF(G1200="","",G1200+H1200)</f>
        <v/>
      </c>
    </row>
    <row r="1201" customFormat="false" ht="15" hidden="false" customHeight="false" outlineLevel="0" collapsed="false">
      <c r="C1201" s="41" t="str">
        <f aca="false">IF(A1201="","",TEXT(A1201,"mmm-yyyy"))</f>
        <v/>
      </c>
      <c r="I1201" s="47" t="str">
        <f aca="false">IF(G1201="","",G1201+H1201)</f>
        <v/>
      </c>
    </row>
    <row r="1202" customFormat="false" ht="15" hidden="false" customHeight="false" outlineLevel="0" collapsed="false">
      <c r="C1202" s="41" t="str">
        <f aca="false">IF(A1202="","",TEXT(A1202,"mmm-yyyy"))</f>
        <v/>
      </c>
      <c r="I1202" s="47" t="str">
        <f aca="false">IF(G1202="","",G1202+H1202)</f>
        <v/>
      </c>
    </row>
    <row r="1203" customFormat="false" ht="15" hidden="false" customHeight="false" outlineLevel="0" collapsed="false">
      <c r="C1203" s="41" t="str">
        <f aca="false">IF(A1203="","",TEXT(A1203,"mmm-yyyy"))</f>
        <v/>
      </c>
      <c r="I1203" s="47" t="str">
        <f aca="false">IF(G1203="","",G1203+H1203)</f>
        <v/>
      </c>
    </row>
    <row r="1204" customFormat="false" ht="15" hidden="false" customHeight="false" outlineLevel="0" collapsed="false">
      <c r="C1204" s="41" t="str">
        <f aca="false">IF(A1204="","",TEXT(A1204,"mmm-yyyy"))</f>
        <v/>
      </c>
      <c r="I1204" s="47" t="str">
        <f aca="false">IF(G1204="","",G1204+H1204)</f>
        <v/>
      </c>
    </row>
    <row r="1205" customFormat="false" ht="15" hidden="false" customHeight="false" outlineLevel="0" collapsed="false">
      <c r="C1205" s="41" t="str">
        <f aca="false">IF(A1205="","",TEXT(A1205,"mmm-yyyy"))</f>
        <v/>
      </c>
      <c r="I1205" s="47" t="str">
        <f aca="false">IF(G1205="","",G1205+H1205)</f>
        <v/>
      </c>
    </row>
    <row r="1206" customFormat="false" ht="15" hidden="false" customHeight="false" outlineLevel="0" collapsed="false">
      <c r="C1206" s="41" t="str">
        <f aca="false">IF(A1206="","",TEXT(A1206,"mmm-yyyy"))</f>
        <v/>
      </c>
      <c r="I1206" s="47" t="str">
        <f aca="false">IF(G1206="","",G1206+H1206)</f>
        <v/>
      </c>
    </row>
    <row r="1207" customFormat="false" ht="15" hidden="false" customHeight="false" outlineLevel="0" collapsed="false">
      <c r="C1207" s="41" t="str">
        <f aca="false">IF(A1207="","",TEXT(A1207,"mmm-yyyy"))</f>
        <v/>
      </c>
      <c r="I1207" s="47" t="str">
        <f aca="false">IF(G1207="","",G1207+H1207)</f>
        <v/>
      </c>
    </row>
    <row r="1208" customFormat="false" ht="15" hidden="false" customHeight="false" outlineLevel="0" collapsed="false">
      <c r="C1208" s="41" t="str">
        <f aca="false">IF(A1208="","",TEXT(A1208,"mmm-yyyy"))</f>
        <v/>
      </c>
      <c r="I1208" s="47" t="str">
        <f aca="false">IF(G1208="","",G1208+H1208)</f>
        <v/>
      </c>
    </row>
    <row r="1209" customFormat="false" ht="15" hidden="false" customHeight="false" outlineLevel="0" collapsed="false">
      <c r="C1209" s="41" t="str">
        <f aca="false">IF(A1209="","",TEXT(A1209,"mmm-yyyy"))</f>
        <v/>
      </c>
      <c r="I1209" s="47" t="str">
        <f aca="false">IF(G1209="","",G1209+H1209)</f>
        <v/>
      </c>
    </row>
    <row r="1210" customFormat="false" ht="15" hidden="false" customHeight="false" outlineLevel="0" collapsed="false">
      <c r="C1210" s="41" t="str">
        <f aca="false">IF(A1210="","",TEXT(A1210,"mmm-yyyy"))</f>
        <v/>
      </c>
      <c r="I1210" s="47" t="str">
        <f aca="false">IF(G1210="","",G1210+H1210)</f>
        <v/>
      </c>
    </row>
    <row r="1211" customFormat="false" ht="15" hidden="false" customHeight="false" outlineLevel="0" collapsed="false">
      <c r="C1211" s="41" t="str">
        <f aca="false">IF(A1211="","",TEXT(A1211,"mmm-yyyy"))</f>
        <v/>
      </c>
      <c r="I1211" s="47" t="str">
        <f aca="false">IF(G1211="","",G1211+H1211)</f>
        <v/>
      </c>
    </row>
    <row r="1212" customFormat="false" ht="15" hidden="false" customHeight="false" outlineLevel="0" collapsed="false">
      <c r="C1212" s="41" t="str">
        <f aca="false">IF(A1212="","",TEXT(A1212,"mmm-yyyy"))</f>
        <v/>
      </c>
      <c r="I1212" s="47" t="str">
        <f aca="false">IF(G1212="","",G1212+H1212)</f>
        <v/>
      </c>
    </row>
    <row r="1213" customFormat="false" ht="15" hidden="false" customHeight="false" outlineLevel="0" collapsed="false">
      <c r="C1213" s="41" t="str">
        <f aca="false">IF(A1213="","",TEXT(A1213,"mmm-yyyy"))</f>
        <v/>
      </c>
      <c r="I1213" s="47" t="str">
        <f aca="false">IF(G1213="","",G1213+H1213)</f>
        <v/>
      </c>
    </row>
    <row r="1214" customFormat="false" ht="15" hidden="false" customHeight="false" outlineLevel="0" collapsed="false">
      <c r="C1214" s="41" t="str">
        <f aca="false">IF(A1214="","",TEXT(A1214,"mmm-yyyy"))</f>
        <v/>
      </c>
      <c r="I1214" s="47" t="str">
        <f aca="false">IF(G1214="","",G1214+H1214)</f>
        <v/>
      </c>
    </row>
    <row r="1215" customFormat="false" ht="15" hidden="false" customHeight="false" outlineLevel="0" collapsed="false">
      <c r="C1215" s="41" t="str">
        <f aca="false">IF(A1215="","",TEXT(A1215,"mmm-yyyy"))</f>
        <v/>
      </c>
      <c r="I1215" s="47" t="str">
        <f aca="false">IF(G1215="","",G1215+H1215)</f>
        <v/>
      </c>
    </row>
    <row r="1216" customFormat="false" ht="15" hidden="false" customHeight="false" outlineLevel="0" collapsed="false">
      <c r="C1216" s="41" t="str">
        <f aca="false">IF(A1216="","",TEXT(A1216,"mmm-yyyy"))</f>
        <v/>
      </c>
      <c r="I1216" s="47" t="str">
        <f aca="false">IF(G1216="","",G1216+H1216)</f>
        <v/>
      </c>
    </row>
    <row r="1217" customFormat="false" ht="15" hidden="false" customHeight="false" outlineLevel="0" collapsed="false">
      <c r="C1217" s="41" t="str">
        <f aca="false">IF(A1217="","",TEXT(A1217,"mmm-yyyy"))</f>
        <v/>
      </c>
      <c r="I1217" s="47" t="str">
        <f aca="false">IF(G1217="","",G1217+H1217)</f>
        <v/>
      </c>
    </row>
    <row r="1218" customFormat="false" ht="15" hidden="false" customHeight="false" outlineLevel="0" collapsed="false">
      <c r="C1218" s="41" t="str">
        <f aca="false">IF(A1218="","",TEXT(A1218,"mmm-yyyy"))</f>
        <v/>
      </c>
      <c r="I1218" s="47" t="str">
        <f aca="false">IF(G1218="","",G1218+H1218)</f>
        <v/>
      </c>
    </row>
    <row r="1219" customFormat="false" ht="15" hidden="false" customHeight="false" outlineLevel="0" collapsed="false">
      <c r="C1219" s="41" t="str">
        <f aca="false">IF(A1219="","",TEXT(A1219,"mmm-yyyy"))</f>
        <v/>
      </c>
      <c r="I1219" s="47" t="str">
        <f aca="false">IF(G1219="","",G1219+H1219)</f>
        <v/>
      </c>
    </row>
    <row r="1220" customFormat="false" ht="15" hidden="false" customHeight="false" outlineLevel="0" collapsed="false">
      <c r="C1220" s="41" t="str">
        <f aca="false">IF(A1220="","",TEXT(A1220,"mmm-yyyy"))</f>
        <v/>
      </c>
      <c r="I1220" s="47" t="str">
        <f aca="false">IF(G1220="","",G1220+H1220)</f>
        <v/>
      </c>
    </row>
    <row r="1221" customFormat="false" ht="15" hidden="false" customHeight="false" outlineLevel="0" collapsed="false">
      <c r="C1221" s="41" t="str">
        <f aca="false">IF(A1221="","",TEXT(A1221,"mmm-yyyy"))</f>
        <v/>
      </c>
      <c r="I1221" s="47" t="str">
        <f aca="false">IF(G1221="","",G1221+H1221)</f>
        <v/>
      </c>
    </row>
    <row r="1222" customFormat="false" ht="15" hidden="false" customHeight="false" outlineLevel="0" collapsed="false">
      <c r="C1222" s="41" t="str">
        <f aca="false">IF(A1222="","",TEXT(A1222,"mmm-yyyy"))</f>
        <v/>
      </c>
      <c r="I1222" s="47" t="str">
        <f aca="false">IF(G1222="","",G1222+H1222)</f>
        <v/>
      </c>
    </row>
    <row r="1223" customFormat="false" ht="15" hidden="false" customHeight="false" outlineLevel="0" collapsed="false">
      <c r="C1223" s="41" t="str">
        <f aca="false">IF(A1223="","",TEXT(A1223,"mmm-yyyy"))</f>
        <v/>
      </c>
      <c r="I1223" s="47" t="str">
        <f aca="false">IF(G1223="","",G1223+H1223)</f>
        <v/>
      </c>
    </row>
    <row r="1224" customFormat="false" ht="15" hidden="false" customHeight="false" outlineLevel="0" collapsed="false">
      <c r="C1224" s="41" t="str">
        <f aca="false">IF(A1224="","",TEXT(A1224,"mmm-yyyy"))</f>
        <v/>
      </c>
      <c r="I1224" s="47" t="str">
        <f aca="false">IF(G1224="","",G1224+H1224)</f>
        <v/>
      </c>
    </row>
    <row r="1225" customFormat="false" ht="15" hidden="false" customHeight="false" outlineLevel="0" collapsed="false">
      <c r="C1225" s="41" t="str">
        <f aca="false">IF(A1225="","",TEXT(A1225,"mmm-yyyy"))</f>
        <v/>
      </c>
      <c r="I1225" s="47" t="str">
        <f aca="false">IF(G1225="","",G1225+H1225)</f>
        <v/>
      </c>
    </row>
    <row r="1226" customFormat="false" ht="15" hidden="false" customHeight="false" outlineLevel="0" collapsed="false">
      <c r="C1226" s="41" t="str">
        <f aca="false">IF(A1226="","",TEXT(A1226,"mmm-yyyy"))</f>
        <v/>
      </c>
      <c r="I1226" s="47" t="str">
        <f aca="false">IF(G1226="","",G1226+H1226)</f>
        <v/>
      </c>
    </row>
    <row r="1227" customFormat="false" ht="15" hidden="false" customHeight="false" outlineLevel="0" collapsed="false">
      <c r="C1227" s="41" t="str">
        <f aca="false">IF(A1227="","",TEXT(A1227,"mmm-yyyy"))</f>
        <v/>
      </c>
      <c r="I1227" s="47" t="str">
        <f aca="false">IF(G1227="","",G1227+H1227)</f>
        <v/>
      </c>
    </row>
    <row r="1228" customFormat="false" ht="15" hidden="false" customHeight="false" outlineLevel="0" collapsed="false">
      <c r="C1228" s="41" t="str">
        <f aca="false">IF(A1228="","",TEXT(A1228,"mmm-yyyy"))</f>
        <v/>
      </c>
      <c r="I1228" s="47" t="str">
        <f aca="false">IF(G1228="","",G1228+H1228)</f>
        <v/>
      </c>
    </row>
    <row r="1229" customFormat="false" ht="15" hidden="false" customHeight="false" outlineLevel="0" collapsed="false">
      <c r="C1229" s="41" t="str">
        <f aca="false">IF(A1229="","",TEXT(A1229,"mmm-yyyy"))</f>
        <v/>
      </c>
      <c r="I1229" s="47" t="str">
        <f aca="false">IF(G1229="","",G1229+H1229)</f>
        <v/>
      </c>
    </row>
    <row r="1230" customFormat="false" ht="15" hidden="false" customHeight="false" outlineLevel="0" collapsed="false">
      <c r="C1230" s="41" t="str">
        <f aca="false">IF(A1230="","",TEXT(A1230,"mmm-yyyy"))</f>
        <v/>
      </c>
      <c r="I1230" s="47" t="str">
        <f aca="false">IF(G1230="","",G1230+H1230)</f>
        <v/>
      </c>
    </row>
    <row r="1231" customFormat="false" ht="15" hidden="false" customHeight="false" outlineLevel="0" collapsed="false">
      <c r="C1231" s="41" t="str">
        <f aca="false">IF(A1231="","",TEXT(A1231,"mmm-yyyy"))</f>
        <v/>
      </c>
      <c r="I1231" s="47" t="str">
        <f aca="false">IF(G1231="","",G1231+H1231)</f>
        <v/>
      </c>
    </row>
    <row r="1232" customFormat="false" ht="15" hidden="false" customHeight="false" outlineLevel="0" collapsed="false">
      <c r="C1232" s="41" t="str">
        <f aca="false">IF(A1232="","",TEXT(A1232,"mmm-yyyy"))</f>
        <v/>
      </c>
      <c r="I1232" s="47" t="str">
        <f aca="false">IF(G1232="","",G1232+H1232)</f>
        <v/>
      </c>
    </row>
    <row r="1233" customFormat="false" ht="15" hidden="false" customHeight="false" outlineLevel="0" collapsed="false">
      <c r="C1233" s="41" t="str">
        <f aca="false">IF(A1233="","",TEXT(A1233,"mmm-yyyy"))</f>
        <v/>
      </c>
      <c r="I1233" s="47" t="str">
        <f aca="false">IF(G1233="","",G1233+H1233)</f>
        <v/>
      </c>
    </row>
    <row r="1234" customFormat="false" ht="15" hidden="false" customHeight="false" outlineLevel="0" collapsed="false">
      <c r="C1234" s="41" t="str">
        <f aca="false">IF(A1234="","",TEXT(A1234,"mmm-yyyy"))</f>
        <v/>
      </c>
      <c r="I1234" s="47" t="str">
        <f aca="false">IF(G1234="","",G1234+H1234)</f>
        <v/>
      </c>
    </row>
    <row r="1235" customFormat="false" ht="15" hidden="false" customHeight="false" outlineLevel="0" collapsed="false">
      <c r="C1235" s="41" t="str">
        <f aca="false">IF(A1235="","",TEXT(A1235,"mmm-yyyy"))</f>
        <v/>
      </c>
      <c r="I1235" s="47" t="str">
        <f aca="false">IF(G1235="","",G1235+H1235)</f>
        <v/>
      </c>
    </row>
    <row r="1236" customFormat="false" ht="15" hidden="false" customHeight="false" outlineLevel="0" collapsed="false">
      <c r="C1236" s="41" t="str">
        <f aca="false">IF(A1236="","",TEXT(A1236,"mmm-yyyy"))</f>
        <v/>
      </c>
      <c r="I1236" s="47" t="str">
        <f aca="false">IF(G1236="","",G1236+H1236)</f>
        <v/>
      </c>
    </row>
    <row r="1237" customFormat="false" ht="15" hidden="false" customHeight="false" outlineLevel="0" collapsed="false">
      <c r="C1237" s="41" t="str">
        <f aca="false">IF(A1237="","",TEXT(A1237,"mmm-yyyy"))</f>
        <v/>
      </c>
      <c r="I1237" s="47" t="str">
        <f aca="false">IF(G1237="","",G1237+H1237)</f>
        <v/>
      </c>
    </row>
    <row r="1238" customFormat="false" ht="15" hidden="false" customHeight="false" outlineLevel="0" collapsed="false">
      <c r="C1238" s="41" t="str">
        <f aca="false">IF(A1238="","",TEXT(A1238,"mmm-yyyy"))</f>
        <v/>
      </c>
      <c r="I1238" s="47" t="str">
        <f aca="false">IF(G1238="","",G1238+H1238)</f>
        <v/>
      </c>
    </row>
    <row r="1239" customFormat="false" ht="15" hidden="false" customHeight="false" outlineLevel="0" collapsed="false">
      <c r="C1239" s="41" t="str">
        <f aca="false">IF(A1239="","",TEXT(A1239,"mmm-yyyy"))</f>
        <v/>
      </c>
      <c r="I1239" s="47" t="str">
        <f aca="false">IF(G1239="","",G1239+H1239)</f>
        <v/>
      </c>
    </row>
    <row r="1240" customFormat="false" ht="15" hidden="false" customHeight="false" outlineLevel="0" collapsed="false">
      <c r="C1240" s="41" t="str">
        <f aca="false">IF(A1240="","",TEXT(A1240,"mmm-yyyy"))</f>
        <v/>
      </c>
      <c r="I1240" s="47" t="str">
        <f aca="false">IF(G1240="","",G1240+H1240)</f>
        <v/>
      </c>
    </row>
    <row r="1241" customFormat="false" ht="15" hidden="false" customHeight="false" outlineLevel="0" collapsed="false">
      <c r="C1241" s="41" t="str">
        <f aca="false">IF(A1241="","",TEXT(A1241,"mmm-yyyy"))</f>
        <v/>
      </c>
      <c r="I1241" s="47" t="str">
        <f aca="false">IF(G1241="","",G1241+H1241)</f>
        <v/>
      </c>
    </row>
    <row r="1242" customFormat="false" ht="15" hidden="false" customHeight="false" outlineLevel="0" collapsed="false">
      <c r="C1242" s="41" t="str">
        <f aca="false">IF(A1242="","",TEXT(A1242,"mmm-yyyy"))</f>
        <v/>
      </c>
      <c r="I1242" s="47" t="str">
        <f aca="false">IF(G1242="","",G1242+H1242)</f>
        <v/>
      </c>
    </row>
    <row r="1243" customFormat="false" ht="15" hidden="false" customHeight="false" outlineLevel="0" collapsed="false">
      <c r="C1243" s="41" t="str">
        <f aca="false">IF(A1243="","",TEXT(A1243,"mmm-yyyy"))</f>
        <v/>
      </c>
      <c r="I1243" s="47" t="str">
        <f aca="false">IF(G1243="","",G1243+H1243)</f>
        <v/>
      </c>
    </row>
    <row r="1244" customFormat="false" ht="15" hidden="false" customHeight="false" outlineLevel="0" collapsed="false">
      <c r="C1244" s="41" t="str">
        <f aca="false">IF(A1244="","",TEXT(A1244,"mmm-yyyy"))</f>
        <v/>
      </c>
      <c r="I1244" s="47" t="str">
        <f aca="false">IF(G1244="","",G1244+H1244)</f>
        <v/>
      </c>
    </row>
    <row r="1245" customFormat="false" ht="15" hidden="false" customHeight="false" outlineLevel="0" collapsed="false">
      <c r="C1245" s="41" t="str">
        <f aca="false">IF(A1245="","",TEXT(A1245,"mmm-yyyy"))</f>
        <v/>
      </c>
      <c r="I1245" s="47" t="str">
        <f aca="false">IF(G1245="","",G1245+H1245)</f>
        <v/>
      </c>
    </row>
    <row r="1246" customFormat="false" ht="15" hidden="false" customHeight="false" outlineLevel="0" collapsed="false">
      <c r="C1246" s="41" t="str">
        <f aca="false">IF(A1246="","",TEXT(A1246,"mmm-yyyy"))</f>
        <v/>
      </c>
      <c r="I1246" s="47" t="str">
        <f aca="false">IF(G1246="","",G1246+H1246)</f>
        <v/>
      </c>
    </row>
    <row r="1247" customFormat="false" ht="15" hidden="false" customHeight="false" outlineLevel="0" collapsed="false">
      <c r="C1247" s="41" t="str">
        <f aca="false">IF(A1247="","",TEXT(A1247,"mmm-yyyy"))</f>
        <v/>
      </c>
      <c r="I1247" s="47" t="str">
        <f aca="false">IF(G1247="","",G1247+H1247)</f>
        <v/>
      </c>
    </row>
    <row r="1248" customFormat="false" ht="15" hidden="false" customHeight="false" outlineLevel="0" collapsed="false">
      <c r="C1248" s="41" t="str">
        <f aca="false">IF(A1248="","",TEXT(A1248,"mmm-yyyy"))</f>
        <v/>
      </c>
      <c r="I1248" s="47" t="str">
        <f aca="false">IF(G1248="","",G1248+H1248)</f>
        <v/>
      </c>
    </row>
    <row r="1249" customFormat="false" ht="15" hidden="false" customHeight="false" outlineLevel="0" collapsed="false">
      <c r="C1249" s="41" t="str">
        <f aca="false">IF(A1249="","",TEXT(A1249,"mmm-yyyy"))</f>
        <v/>
      </c>
      <c r="I1249" s="47" t="str">
        <f aca="false">IF(G1249="","",G1249+H1249)</f>
        <v/>
      </c>
    </row>
    <row r="1250" customFormat="false" ht="15" hidden="false" customHeight="false" outlineLevel="0" collapsed="false">
      <c r="C1250" s="41" t="str">
        <f aca="false">IF(A1250="","",TEXT(A1250,"mmm-yyyy"))</f>
        <v/>
      </c>
      <c r="I1250" s="47" t="str">
        <f aca="false">IF(G1250="","",G1250+H1250)</f>
        <v/>
      </c>
    </row>
    <row r="1251" customFormat="false" ht="15" hidden="false" customHeight="false" outlineLevel="0" collapsed="false">
      <c r="C1251" s="41" t="str">
        <f aca="false">IF(A1251="","",TEXT(A1251,"mmm-yyyy"))</f>
        <v/>
      </c>
      <c r="I1251" s="47" t="str">
        <f aca="false">IF(G1251="","",G1251+H1251)</f>
        <v/>
      </c>
    </row>
    <row r="1252" customFormat="false" ht="15" hidden="false" customHeight="false" outlineLevel="0" collapsed="false">
      <c r="C1252" s="41" t="str">
        <f aca="false">IF(A1252="","",TEXT(A1252,"mmm-yyyy"))</f>
        <v/>
      </c>
      <c r="I1252" s="47" t="str">
        <f aca="false">IF(G1252="","",G1252+H1252)</f>
        <v/>
      </c>
    </row>
    <row r="1253" customFormat="false" ht="15" hidden="false" customHeight="false" outlineLevel="0" collapsed="false">
      <c r="C1253" s="41" t="str">
        <f aca="false">IF(A1253="","",TEXT(A1253,"mmm-yyyy"))</f>
        <v/>
      </c>
      <c r="I1253" s="47" t="str">
        <f aca="false">IF(G1253="","",G1253+H1253)</f>
        <v/>
      </c>
    </row>
    <row r="1254" customFormat="false" ht="15" hidden="false" customHeight="false" outlineLevel="0" collapsed="false">
      <c r="C1254" s="41" t="str">
        <f aca="false">IF(A1254="","",TEXT(A1254,"mmm-yyyy"))</f>
        <v/>
      </c>
      <c r="I1254" s="47" t="str">
        <f aca="false">IF(G1254="","",G1254+H1254)</f>
        <v/>
      </c>
    </row>
    <row r="1255" customFormat="false" ht="15" hidden="false" customHeight="false" outlineLevel="0" collapsed="false">
      <c r="C1255" s="41" t="str">
        <f aca="false">IF(A1255="","",TEXT(A1255,"mmm-yyyy"))</f>
        <v/>
      </c>
      <c r="I1255" s="47" t="str">
        <f aca="false">IF(G1255="","",G1255+H1255)</f>
        <v/>
      </c>
    </row>
    <row r="1256" customFormat="false" ht="15" hidden="false" customHeight="false" outlineLevel="0" collapsed="false">
      <c r="C1256" s="41" t="str">
        <f aca="false">IF(A1256="","",TEXT(A1256,"mmm-yyyy"))</f>
        <v/>
      </c>
      <c r="I1256" s="47" t="str">
        <f aca="false">IF(G1256="","",G1256+H1256)</f>
        <v/>
      </c>
    </row>
    <row r="1257" customFormat="false" ht="15" hidden="false" customHeight="false" outlineLevel="0" collapsed="false">
      <c r="C1257" s="41" t="str">
        <f aca="false">IF(A1257="","",TEXT(A1257,"mmm-yyyy"))</f>
        <v/>
      </c>
      <c r="I1257" s="47" t="str">
        <f aca="false">IF(G1257="","",G1257+H1257)</f>
        <v/>
      </c>
    </row>
    <row r="1258" customFormat="false" ht="15" hidden="false" customHeight="false" outlineLevel="0" collapsed="false">
      <c r="C1258" s="41" t="str">
        <f aca="false">IF(A1258="","",TEXT(A1258,"mmm-yyyy"))</f>
        <v/>
      </c>
      <c r="I1258" s="47" t="str">
        <f aca="false">IF(G1258="","",G1258+H1258)</f>
        <v/>
      </c>
    </row>
    <row r="1259" customFormat="false" ht="15" hidden="false" customHeight="false" outlineLevel="0" collapsed="false">
      <c r="C1259" s="41" t="str">
        <f aca="false">IF(A1259="","",TEXT(A1259,"mmm-yyyy"))</f>
        <v/>
      </c>
      <c r="I1259" s="47" t="str">
        <f aca="false">IF(G1259="","",G1259+H1259)</f>
        <v/>
      </c>
    </row>
    <row r="1260" customFormat="false" ht="15" hidden="false" customHeight="false" outlineLevel="0" collapsed="false">
      <c r="C1260" s="41" t="str">
        <f aca="false">IF(A1260="","",TEXT(A1260,"mmm-yyyy"))</f>
        <v/>
      </c>
      <c r="I1260" s="47" t="str">
        <f aca="false">IF(G1260="","",G1260+H1260)</f>
        <v/>
      </c>
    </row>
    <row r="1261" customFormat="false" ht="15" hidden="false" customHeight="false" outlineLevel="0" collapsed="false">
      <c r="C1261" s="41" t="str">
        <f aca="false">IF(A1261="","",TEXT(A1261,"mmm-yyyy"))</f>
        <v/>
      </c>
      <c r="I1261" s="47" t="str">
        <f aca="false">IF(G1261="","",G1261+H1261)</f>
        <v/>
      </c>
    </row>
    <row r="1262" customFormat="false" ht="15" hidden="false" customHeight="false" outlineLevel="0" collapsed="false">
      <c r="C1262" s="41" t="str">
        <f aca="false">IF(A1262="","",TEXT(A1262,"mmm-yyyy"))</f>
        <v/>
      </c>
      <c r="I1262" s="47" t="str">
        <f aca="false">IF(G1262="","",G1262+H1262)</f>
        <v/>
      </c>
    </row>
    <row r="1263" customFormat="false" ht="15" hidden="false" customHeight="false" outlineLevel="0" collapsed="false">
      <c r="C1263" s="41" t="str">
        <f aca="false">IF(A1263="","",TEXT(A1263,"mmm-yyyy"))</f>
        <v/>
      </c>
      <c r="I1263" s="47" t="str">
        <f aca="false">IF(G1263="","",G1263+H1263)</f>
        <v/>
      </c>
    </row>
    <row r="1264" customFormat="false" ht="15" hidden="false" customHeight="false" outlineLevel="0" collapsed="false">
      <c r="C1264" s="41" t="str">
        <f aca="false">IF(A1264="","",TEXT(A1264,"mmm-yyyy"))</f>
        <v/>
      </c>
      <c r="I1264" s="47" t="str">
        <f aca="false">IF(G1264="","",G1264+H1264)</f>
        <v/>
      </c>
    </row>
    <row r="1265" customFormat="false" ht="15" hidden="false" customHeight="false" outlineLevel="0" collapsed="false">
      <c r="C1265" s="41" t="str">
        <f aca="false">IF(A1265="","",TEXT(A1265,"mmm-yyyy"))</f>
        <v/>
      </c>
      <c r="I1265" s="47" t="str">
        <f aca="false">IF(G1265="","",G1265+H1265)</f>
        <v/>
      </c>
    </row>
    <row r="1266" customFormat="false" ht="15" hidden="false" customHeight="false" outlineLevel="0" collapsed="false">
      <c r="C1266" s="41" t="str">
        <f aca="false">IF(A1266="","",TEXT(A1266,"mmm-yyyy"))</f>
        <v/>
      </c>
      <c r="I1266" s="47" t="str">
        <f aca="false">IF(G1266="","",G1266+H1266)</f>
        <v/>
      </c>
    </row>
    <row r="1267" customFormat="false" ht="15" hidden="false" customHeight="false" outlineLevel="0" collapsed="false">
      <c r="C1267" s="41" t="str">
        <f aca="false">IF(A1267="","",TEXT(A1267,"mmm-yyyy"))</f>
        <v/>
      </c>
      <c r="I1267" s="47" t="str">
        <f aca="false">IF(G1267="","",G1267+H1267)</f>
        <v/>
      </c>
    </row>
    <row r="1268" customFormat="false" ht="15" hidden="false" customHeight="false" outlineLevel="0" collapsed="false">
      <c r="C1268" s="41" t="str">
        <f aca="false">IF(A1268="","",TEXT(A1268,"mmm-yyyy"))</f>
        <v/>
      </c>
      <c r="I1268" s="47" t="str">
        <f aca="false">IF(G1268="","",G1268+H1268)</f>
        <v/>
      </c>
    </row>
    <row r="1269" customFormat="false" ht="15" hidden="false" customHeight="false" outlineLevel="0" collapsed="false">
      <c r="C1269" s="41" t="str">
        <f aca="false">IF(A1269="","",TEXT(A1269,"mmm-yyyy"))</f>
        <v/>
      </c>
      <c r="I1269" s="47" t="str">
        <f aca="false">IF(G1269="","",G1269+H1269)</f>
        <v/>
      </c>
    </row>
    <row r="1270" customFormat="false" ht="15" hidden="false" customHeight="false" outlineLevel="0" collapsed="false">
      <c r="C1270" s="41" t="str">
        <f aca="false">IF(A1270="","",TEXT(A1270,"mmm-yyyy"))</f>
        <v/>
      </c>
      <c r="I1270" s="47" t="str">
        <f aca="false">IF(G1270="","",G1270+H1270)</f>
        <v/>
      </c>
    </row>
    <row r="1271" customFormat="false" ht="15" hidden="false" customHeight="false" outlineLevel="0" collapsed="false">
      <c r="C1271" s="41" t="str">
        <f aca="false">IF(A1271="","",TEXT(A1271,"mmm-yyyy"))</f>
        <v/>
      </c>
      <c r="I1271" s="47" t="str">
        <f aca="false">IF(G1271="","",G1271+H1271)</f>
        <v/>
      </c>
    </row>
    <row r="1272" customFormat="false" ht="15" hidden="false" customHeight="false" outlineLevel="0" collapsed="false">
      <c r="C1272" s="41" t="str">
        <f aca="false">IF(A1272="","",TEXT(A1272,"mmm-yyyy"))</f>
        <v/>
      </c>
      <c r="I1272" s="47" t="str">
        <f aca="false">IF(G1272="","",G1272+H1272)</f>
        <v/>
      </c>
    </row>
    <row r="1273" customFormat="false" ht="15" hidden="false" customHeight="false" outlineLevel="0" collapsed="false">
      <c r="C1273" s="41" t="str">
        <f aca="false">IF(A1273="","",TEXT(A1273,"mmm-yyyy"))</f>
        <v/>
      </c>
      <c r="I1273" s="47" t="str">
        <f aca="false">IF(G1273="","",G1273+H1273)</f>
        <v/>
      </c>
    </row>
    <row r="1274" customFormat="false" ht="15" hidden="false" customHeight="false" outlineLevel="0" collapsed="false">
      <c r="C1274" s="41" t="str">
        <f aca="false">IF(A1274="","",TEXT(A1274,"mmm-yyyy"))</f>
        <v/>
      </c>
      <c r="I1274" s="47" t="str">
        <f aca="false">IF(G1274="","",G1274+H1274)</f>
        <v/>
      </c>
    </row>
    <row r="1275" customFormat="false" ht="15" hidden="false" customHeight="false" outlineLevel="0" collapsed="false">
      <c r="C1275" s="41" t="str">
        <f aca="false">IF(A1275="","",TEXT(A1275,"mmm-yyyy"))</f>
        <v/>
      </c>
      <c r="I1275" s="47" t="str">
        <f aca="false">IF(G1275="","",G1275+H1275)</f>
        <v/>
      </c>
    </row>
    <row r="1276" customFormat="false" ht="15" hidden="false" customHeight="false" outlineLevel="0" collapsed="false">
      <c r="C1276" s="41" t="str">
        <f aca="false">IF(A1276="","",TEXT(A1276,"mmm-yyyy"))</f>
        <v/>
      </c>
      <c r="I1276" s="47" t="str">
        <f aca="false">IF(G1276="","",G1276+H1276)</f>
        <v/>
      </c>
    </row>
    <row r="1277" customFormat="false" ht="15" hidden="false" customHeight="false" outlineLevel="0" collapsed="false">
      <c r="C1277" s="41" t="str">
        <f aca="false">IF(A1277="","",TEXT(A1277,"mmm-yyyy"))</f>
        <v/>
      </c>
      <c r="I1277" s="47" t="str">
        <f aca="false">IF(G1277="","",G1277+H1277)</f>
        <v/>
      </c>
    </row>
    <row r="1278" customFormat="false" ht="15" hidden="false" customHeight="false" outlineLevel="0" collapsed="false">
      <c r="C1278" s="41" t="str">
        <f aca="false">IF(A1278="","",TEXT(A1278,"mmm-yyyy"))</f>
        <v/>
      </c>
      <c r="I1278" s="47" t="str">
        <f aca="false">IF(G1278="","",G1278+H1278)</f>
        <v/>
      </c>
    </row>
    <row r="1279" customFormat="false" ht="15" hidden="false" customHeight="false" outlineLevel="0" collapsed="false">
      <c r="C1279" s="41" t="str">
        <f aca="false">IF(A1279="","",TEXT(A1279,"mmm-yyyy"))</f>
        <v/>
      </c>
      <c r="I1279" s="47" t="str">
        <f aca="false">IF(G1279="","",G1279+H1279)</f>
        <v/>
      </c>
    </row>
    <row r="1280" customFormat="false" ht="15" hidden="false" customHeight="false" outlineLevel="0" collapsed="false">
      <c r="C1280" s="41" t="str">
        <f aca="false">IF(A1280="","",TEXT(A1280,"mmm-yyyy"))</f>
        <v/>
      </c>
      <c r="I1280" s="47" t="str">
        <f aca="false">IF(G1280="","",G1280+H1280)</f>
        <v/>
      </c>
    </row>
    <row r="1281" customFormat="false" ht="15" hidden="false" customHeight="false" outlineLevel="0" collapsed="false">
      <c r="C1281" s="41" t="str">
        <f aca="false">IF(A1281="","",TEXT(A1281,"mmm-yyyy"))</f>
        <v/>
      </c>
      <c r="I1281" s="47" t="str">
        <f aca="false">IF(G1281="","",G1281+H1281)</f>
        <v/>
      </c>
    </row>
    <row r="1282" customFormat="false" ht="15" hidden="false" customHeight="false" outlineLevel="0" collapsed="false">
      <c r="C1282" s="41" t="str">
        <f aca="false">IF(A1282="","",TEXT(A1282,"mmm-yyyy"))</f>
        <v/>
      </c>
      <c r="I1282" s="47" t="str">
        <f aca="false">IF(G1282="","",G1282+H1282)</f>
        <v/>
      </c>
    </row>
    <row r="1283" customFormat="false" ht="15" hidden="false" customHeight="false" outlineLevel="0" collapsed="false">
      <c r="C1283" s="41" t="str">
        <f aca="false">IF(A1283="","",TEXT(A1283,"mmm-yyyy"))</f>
        <v/>
      </c>
      <c r="I1283" s="47" t="str">
        <f aca="false">IF(G1283="","",G1283+H1283)</f>
        <v/>
      </c>
    </row>
    <row r="1284" customFormat="false" ht="15" hidden="false" customHeight="false" outlineLevel="0" collapsed="false">
      <c r="C1284" s="41" t="str">
        <f aca="false">IF(A1284="","",TEXT(A1284,"mmm-yyyy"))</f>
        <v/>
      </c>
      <c r="I1284" s="47" t="str">
        <f aca="false">IF(G1284="","",G1284+H1284)</f>
        <v/>
      </c>
    </row>
    <row r="1285" customFormat="false" ht="15" hidden="false" customHeight="false" outlineLevel="0" collapsed="false">
      <c r="C1285" s="41" t="str">
        <f aca="false">IF(A1285="","",TEXT(A1285,"mmm-yyyy"))</f>
        <v/>
      </c>
      <c r="I1285" s="47" t="str">
        <f aca="false">IF(G1285="","",G1285+H1285)</f>
        <v/>
      </c>
    </row>
    <row r="1286" customFormat="false" ht="15" hidden="false" customHeight="false" outlineLevel="0" collapsed="false">
      <c r="C1286" s="41" t="str">
        <f aca="false">IF(A1286="","",TEXT(A1286,"mmm-yyyy"))</f>
        <v/>
      </c>
      <c r="I1286" s="47" t="str">
        <f aca="false">IF(G1286="","",G1286+H1286)</f>
        <v/>
      </c>
    </row>
    <row r="1287" customFormat="false" ht="15" hidden="false" customHeight="false" outlineLevel="0" collapsed="false">
      <c r="C1287" s="41" t="str">
        <f aca="false">IF(A1287="","",TEXT(A1287,"mmm-yyyy"))</f>
        <v/>
      </c>
      <c r="I1287" s="47" t="str">
        <f aca="false">IF(G1287="","",G1287+H1287)</f>
        <v/>
      </c>
    </row>
    <row r="1288" customFormat="false" ht="15" hidden="false" customHeight="false" outlineLevel="0" collapsed="false">
      <c r="C1288" s="41" t="str">
        <f aca="false">IF(A1288="","",TEXT(A1288,"mmm-yyyy"))</f>
        <v/>
      </c>
      <c r="I1288" s="47" t="str">
        <f aca="false">IF(G1288="","",G1288+H1288)</f>
        <v/>
      </c>
    </row>
    <row r="1289" customFormat="false" ht="15" hidden="false" customHeight="false" outlineLevel="0" collapsed="false">
      <c r="C1289" s="41" t="str">
        <f aca="false">IF(A1289="","",TEXT(A1289,"mmm-yyyy"))</f>
        <v/>
      </c>
      <c r="I1289" s="47" t="str">
        <f aca="false">IF(G1289="","",G1289+H1289)</f>
        <v/>
      </c>
    </row>
    <row r="1290" customFormat="false" ht="15" hidden="false" customHeight="false" outlineLevel="0" collapsed="false">
      <c r="C1290" s="41" t="str">
        <f aca="false">IF(A1290="","",TEXT(A1290,"mmm-yyyy"))</f>
        <v/>
      </c>
      <c r="I1290" s="47" t="str">
        <f aca="false">IF(G1290="","",G1290+H1290)</f>
        <v/>
      </c>
    </row>
    <row r="1291" customFormat="false" ht="15" hidden="false" customHeight="false" outlineLevel="0" collapsed="false">
      <c r="C1291" s="41" t="str">
        <f aca="false">IF(A1291="","",TEXT(A1291,"mmm-yyyy"))</f>
        <v/>
      </c>
      <c r="I1291" s="47" t="str">
        <f aca="false">IF(G1291="","",G1291+H1291)</f>
        <v/>
      </c>
    </row>
    <row r="1292" customFormat="false" ht="15" hidden="false" customHeight="false" outlineLevel="0" collapsed="false">
      <c r="C1292" s="41" t="str">
        <f aca="false">IF(A1292="","",TEXT(A1292,"mmm-yyyy"))</f>
        <v/>
      </c>
      <c r="I1292" s="47" t="str">
        <f aca="false">IF(G1292="","",G1292+H1292)</f>
        <v/>
      </c>
    </row>
    <row r="1293" customFormat="false" ht="15" hidden="false" customHeight="false" outlineLevel="0" collapsed="false">
      <c r="C1293" s="41" t="str">
        <f aca="false">IF(A1293="","",TEXT(A1293,"mmm-yyyy"))</f>
        <v/>
      </c>
      <c r="I1293" s="47" t="str">
        <f aca="false">IF(G1293="","",G1293+H1293)</f>
        <v/>
      </c>
    </row>
    <row r="1294" customFormat="false" ht="15" hidden="false" customHeight="false" outlineLevel="0" collapsed="false">
      <c r="C1294" s="41" t="str">
        <f aca="false">IF(A1294="","",TEXT(A1294,"mmm-yyyy"))</f>
        <v/>
      </c>
      <c r="I1294" s="47" t="str">
        <f aca="false">IF(G1294="","",G1294+H1294)</f>
        <v/>
      </c>
    </row>
    <row r="1295" customFormat="false" ht="15" hidden="false" customHeight="false" outlineLevel="0" collapsed="false">
      <c r="C1295" s="41" t="str">
        <f aca="false">IF(A1295="","",TEXT(A1295,"mmm-yyyy"))</f>
        <v/>
      </c>
      <c r="I1295" s="47" t="str">
        <f aca="false">IF(G1295="","",G1295+H1295)</f>
        <v/>
      </c>
    </row>
    <row r="1296" customFormat="false" ht="15" hidden="false" customHeight="false" outlineLevel="0" collapsed="false">
      <c r="C1296" s="41" t="str">
        <f aca="false">IF(A1296="","",TEXT(A1296,"mmm-yyyy"))</f>
        <v/>
      </c>
      <c r="I1296" s="47" t="str">
        <f aca="false">IF(G1296="","",G1296+H1296)</f>
        <v/>
      </c>
    </row>
    <row r="1297" customFormat="false" ht="15" hidden="false" customHeight="false" outlineLevel="0" collapsed="false">
      <c r="C1297" s="41" t="str">
        <f aca="false">IF(A1297="","",TEXT(A1297,"mmm-yyyy"))</f>
        <v/>
      </c>
      <c r="I1297" s="47" t="str">
        <f aca="false">IF(G1297="","",G1297+H1297)</f>
        <v/>
      </c>
    </row>
    <row r="1298" customFormat="false" ht="15" hidden="false" customHeight="false" outlineLevel="0" collapsed="false">
      <c r="C1298" s="41" t="str">
        <f aca="false">IF(A1298="","",TEXT(A1298,"mmm-yyyy"))</f>
        <v/>
      </c>
      <c r="I1298" s="47" t="str">
        <f aca="false">IF(G1298="","",G1298+H1298)</f>
        <v/>
      </c>
    </row>
    <row r="1299" customFormat="false" ht="15" hidden="false" customHeight="false" outlineLevel="0" collapsed="false">
      <c r="C1299" s="41" t="str">
        <f aca="false">IF(A1299="","",TEXT(A1299,"mmm-yyyy"))</f>
        <v/>
      </c>
      <c r="I1299" s="47" t="str">
        <f aca="false">IF(G1299="","",G1299+H1299)</f>
        <v/>
      </c>
    </row>
    <row r="1300" customFormat="false" ht="15" hidden="false" customHeight="false" outlineLevel="0" collapsed="false">
      <c r="C1300" s="41" t="str">
        <f aca="false">IF(A1300="","",TEXT(A1300,"mmm-yyyy"))</f>
        <v/>
      </c>
      <c r="I1300" s="47" t="str">
        <f aca="false">IF(G1300="","",G1300+H1300)</f>
        <v/>
      </c>
    </row>
    <row r="1301" customFormat="false" ht="15" hidden="false" customHeight="false" outlineLevel="0" collapsed="false">
      <c r="C1301" s="41" t="str">
        <f aca="false">IF(A1301="","",TEXT(A1301,"mmm-yyyy"))</f>
        <v/>
      </c>
      <c r="I1301" s="47" t="str">
        <f aca="false">IF(G1301="","",G1301+H1301)</f>
        <v/>
      </c>
    </row>
    <row r="1302" customFormat="false" ht="15" hidden="false" customHeight="false" outlineLevel="0" collapsed="false">
      <c r="C1302" s="41" t="str">
        <f aca="false">IF(A1302="","",TEXT(A1302,"mmm-yyyy"))</f>
        <v/>
      </c>
      <c r="I1302" s="47" t="str">
        <f aca="false">IF(G1302="","",G1302+H1302)</f>
        <v/>
      </c>
    </row>
    <row r="1303" customFormat="false" ht="15" hidden="false" customHeight="false" outlineLevel="0" collapsed="false">
      <c r="C1303" s="41" t="str">
        <f aca="false">IF(A1303="","",TEXT(A1303,"mmm-yyyy"))</f>
        <v/>
      </c>
      <c r="I1303" s="47" t="str">
        <f aca="false">IF(G1303="","",G1303+H1303)</f>
        <v/>
      </c>
    </row>
    <row r="1304" customFormat="false" ht="15" hidden="false" customHeight="false" outlineLevel="0" collapsed="false">
      <c r="C1304" s="41" t="str">
        <f aca="false">IF(A1304="","",TEXT(A1304,"mmm-yyyy"))</f>
        <v/>
      </c>
      <c r="I1304" s="47" t="str">
        <f aca="false">IF(G1304="","",G1304+H1304)</f>
        <v/>
      </c>
    </row>
    <row r="1305" customFormat="false" ht="15" hidden="false" customHeight="false" outlineLevel="0" collapsed="false">
      <c r="C1305" s="41" t="str">
        <f aca="false">IF(A1305="","",TEXT(A1305,"mmm-yyyy"))</f>
        <v/>
      </c>
      <c r="I1305" s="47" t="str">
        <f aca="false">IF(G1305="","",G1305+H1305)</f>
        <v/>
      </c>
    </row>
    <row r="1306" customFormat="false" ht="15" hidden="false" customHeight="false" outlineLevel="0" collapsed="false">
      <c r="C1306" s="41" t="str">
        <f aca="false">IF(A1306="","",TEXT(A1306,"mmm-yyyy"))</f>
        <v/>
      </c>
      <c r="I1306" s="47" t="str">
        <f aca="false">IF(G1306="","",G1306+H1306)</f>
        <v/>
      </c>
    </row>
    <row r="1307" customFormat="false" ht="15" hidden="false" customHeight="false" outlineLevel="0" collapsed="false">
      <c r="C1307" s="41" t="str">
        <f aca="false">IF(A1307="","",TEXT(A1307,"mmm-yyyy"))</f>
        <v/>
      </c>
      <c r="I1307" s="47" t="str">
        <f aca="false">IF(G1307="","",G1307+H1307)</f>
        <v/>
      </c>
    </row>
    <row r="1308" customFormat="false" ht="15" hidden="false" customHeight="false" outlineLevel="0" collapsed="false">
      <c r="C1308" s="41" t="str">
        <f aca="false">IF(A1308="","",TEXT(A1308,"mmm-yyyy"))</f>
        <v/>
      </c>
      <c r="I1308" s="47" t="str">
        <f aca="false">IF(G1308="","",G1308+H1308)</f>
        <v/>
      </c>
    </row>
    <row r="1309" customFormat="false" ht="15" hidden="false" customHeight="false" outlineLevel="0" collapsed="false">
      <c r="C1309" s="41" t="str">
        <f aca="false">IF(A1309="","",TEXT(A1309,"mmm-yyyy"))</f>
        <v/>
      </c>
      <c r="I1309" s="47" t="str">
        <f aca="false">IF(G1309="","",G1309+H1309)</f>
        <v/>
      </c>
    </row>
    <row r="1310" customFormat="false" ht="15" hidden="false" customHeight="false" outlineLevel="0" collapsed="false">
      <c r="C1310" s="41" t="str">
        <f aca="false">IF(A1310="","",TEXT(A1310,"mmm-yyyy"))</f>
        <v/>
      </c>
      <c r="I1310" s="47" t="str">
        <f aca="false">IF(G1310="","",G1310+H1310)</f>
        <v/>
      </c>
    </row>
    <row r="1311" customFormat="false" ht="15" hidden="false" customHeight="false" outlineLevel="0" collapsed="false">
      <c r="C1311" s="41" t="str">
        <f aca="false">IF(A1311="","",TEXT(A1311,"mmm-yyyy"))</f>
        <v/>
      </c>
      <c r="I1311" s="47" t="str">
        <f aca="false">IF(G1311="","",G1311+H1311)</f>
        <v/>
      </c>
    </row>
    <row r="1312" customFormat="false" ht="15" hidden="false" customHeight="false" outlineLevel="0" collapsed="false">
      <c r="C1312" s="41" t="str">
        <f aca="false">IF(A1312="","",TEXT(A1312,"mmm-yyyy"))</f>
        <v/>
      </c>
      <c r="I1312" s="47" t="str">
        <f aca="false">IF(G1312="","",G1312+H1312)</f>
        <v/>
      </c>
    </row>
    <row r="1313" customFormat="false" ht="15" hidden="false" customHeight="false" outlineLevel="0" collapsed="false">
      <c r="C1313" s="41" t="str">
        <f aca="false">IF(A1313="","",TEXT(A1313,"mmm-yyyy"))</f>
        <v/>
      </c>
      <c r="I1313" s="47" t="str">
        <f aca="false">IF(G1313="","",G1313+H1313)</f>
        <v/>
      </c>
    </row>
    <row r="1314" customFormat="false" ht="15" hidden="false" customHeight="false" outlineLevel="0" collapsed="false">
      <c r="C1314" s="41" t="str">
        <f aca="false">IF(A1314="","",TEXT(A1314,"mmm-yyyy"))</f>
        <v/>
      </c>
      <c r="I1314" s="47" t="str">
        <f aca="false">IF(G1314="","",G1314+H1314)</f>
        <v/>
      </c>
    </row>
    <row r="1315" customFormat="false" ht="15" hidden="false" customHeight="false" outlineLevel="0" collapsed="false">
      <c r="C1315" s="41" t="str">
        <f aca="false">IF(A1315="","",TEXT(A1315,"mmm-yyyy"))</f>
        <v/>
      </c>
      <c r="I1315" s="47" t="str">
        <f aca="false">IF(G1315="","",G1315+H1315)</f>
        <v/>
      </c>
    </row>
    <row r="1316" customFormat="false" ht="15" hidden="false" customHeight="false" outlineLevel="0" collapsed="false">
      <c r="C1316" s="41" t="str">
        <f aca="false">IF(A1316="","",TEXT(A1316,"mmm-yyyy"))</f>
        <v/>
      </c>
      <c r="I1316" s="47" t="str">
        <f aca="false">IF(G1316="","",G1316+H1316)</f>
        <v/>
      </c>
    </row>
    <row r="1317" customFormat="false" ht="15" hidden="false" customHeight="false" outlineLevel="0" collapsed="false">
      <c r="C1317" s="41" t="str">
        <f aca="false">IF(A1317="","",TEXT(A1317,"mmm-yyyy"))</f>
        <v/>
      </c>
      <c r="I1317" s="47" t="str">
        <f aca="false">IF(G1317="","",G1317+H1317)</f>
        <v/>
      </c>
    </row>
    <row r="1318" customFormat="false" ht="15" hidden="false" customHeight="false" outlineLevel="0" collapsed="false">
      <c r="C1318" s="41" t="str">
        <f aca="false">IF(A1318="","",TEXT(A1318,"mmm-yyyy"))</f>
        <v/>
      </c>
      <c r="I1318" s="47" t="str">
        <f aca="false">IF(G1318="","",G1318+H1318)</f>
        <v/>
      </c>
    </row>
    <row r="1319" customFormat="false" ht="15" hidden="false" customHeight="false" outlineLevel="0" collapsed="false">
      <c r="C1319" s="41" t="str">
        <f aca="false">IF(A1319="","",TEXT(A1319,"mmm-yyyy"))</f>
        <v/>
      </c>
      <c r="I1319" s="47" t="str">
        <f aca="false">IF(G1319="","",G1319+H1319)</f>
        <v/>
      </c>
    </row>
    <row r="1320" customFormat="false" ht="15" hidden="false" customHeight="false" outlineLevel="0" collapsed="false">
      <c r="C1320" s="41" t="str">
        <f aca="false">IF(A1320="","",TEXT(A1320,"mmm-yyyy"))</f>
        <v/>
      </c>
      <c r="I1320" s="47" t="str">
        <f aca="false">IF(G1320="","",G1320+H1320)</f>
        <v/>
      </c>
    </row>
    <row r="1321" customFormat="false" ht="15" hidden="false" customHeight="false" outlineLevel="0" collapsed="false">
      <c r="C1321" s="41" t="str">
        <f aca="false">IF(A1321="","",TEXT(A1321,"mmm-yyyy"))</f>
        <v/>
      </c>
      <c r="I1321" s="47" t="str">
        <f aca="false">IF(G1321="","",G1321+H1321)</f>
        <v/>
      </c>
    </row>
    <row r="1322" customFormat="false" ht="15" hidden="false" customHeight="false" outlineLevel="0" collapsed="false">
      <c r="C1322" s="41" t="str">
        <f aca="false">IF(A1322="","",TEXT(A1322,"mmm-yyyy"))</f>
        <v/>
      </c>
      <c r="I1322" s="47" t="str">
        <f aca="false">IF(G1322="","",G1322+H1322)</f>
        <v/>
      </c>
    </row>
    <row r="1323" customFormat="false" ht="15" hidden="false" customHeight="false" outlineLevel="0" collapsed="false">
      <c r="C1323" s="41" t="str">
        <f aca="false">IF(A1323="","",TEXT(A1323,"mmm-yyyy"))</f>
        <v/>
      </c>
      <c r="I1323" s="47" t="str">
        <f aca="false">IF(G1323="","",G1323+H1323)</f>
        <v/>
      </c>
    </row>
    <row r="1324" customFormat="false" ht="15" hidden="false" customHeight="false" outlineLevel="0" collapsed="false">
      <c r="C1324" s="41" t="str">
        <f aca="false">IF(A1324="","",TEXT(A1324,"mmm-yyyy"))</f>
        <v/>
      </c>
      <c r="I1324" s="47" t="str">
        <f aca="false">IF(G1324="","",G1324+H1324)</f>
        <v/>
      </c>
    </row>
    <row r="1325" customFormat="false" ht="15" hidden="false" customHeight="false" outlineLevel="0" collapsed="false">
      <c r="C1325" s="41" t="str">
        <f aca="false">IF(A1325="","",TEXT(A1325,"mmm-yyyy"))</f>
        <v/>
      </c>
      <c r="I1325" s="47" t="str">
        <f aca="false">IF(G1325="","",G1325+H1325)</f>
        <v/>
      </c>
    </row>
    <row r="1326" customFormat="false" ht="15" hidden="false" customHeight="false" outlineLevel="0" collapsed="false">
      <c r="C1326" s="41" t="str">
        <f aca="false">IF(A1326="","",TEXT(A1326,"mmm-yyyy"))</f>
        <v/>
      </c>
      <c r="I1326" s="47" t="str">
        <f aca="false">IF(G1326="","",G1326+H1326)</f>
        <v/>
      </c>
    </row>
    <row r="1327" customFormat="false" ht="15" hidden="false" customHeight="false" outlineLevel="0" collapsed="false">
      <c r="C1327" s="41" t="str">
        <f aca="false">IF(A1327="","",TEXT(A1327,"mmm-yyyy"))</f>
        <v/>
      </c>
      <c r="I1327" s="47" t="str">
        <f aca="false">IF(G1327="","",G1327+H1327)</f>
        <v/>
      </c>
    </row>
    <row r="1328" customFormat="false" ht="15" hidden="false" customHeight="false" outlineLevel="0" collapsed="false">
      <c r="C1328" s="41" t="str">
        <f aca="false">IF(A1328="","",TEXT(A1328,"mmm-yyyy"))</f>
        <v/>
      </c>
      <c r="I1328" s="47" t="str">
        <f aca="false">IF(G1328="","",G1328+H1328)</f>
        <v/>
      </c>
    </row>
    <row r="1329" customFormat="false" ht="15" hidden="false" customHeight="false" outlineLevel="0" collapsed="false">
      <c r="C1329" s="41" t="str">
        <f aca="false">IF(A1329="","",TEXT(A1329,"mmm-yyyy"))</f>
        <v/>
      </c>
      <c r="I1329" s="47" t="str">
        <f aca="false">IF(G1329="","",G1329+H1329)</f>
        <v/>
      </c>
    </row>
    <row r="1330" customFormat="false" ht="15" hidden="false" customHeight="false" outlineLevel="0" collapsed="false">
      <c r="C1330" s="41" t="str">
        <f aca="false">IF(A1330="","",TEXT(A1330,"mmm-yyyy"))</f>
        <v/>
      </c>
      <c r="I1330" s="47" t="str">
        <f aca="false">IF(G1330="","",G1330+H1330)</f>
        <v/>
      </c>
    </row>
    <row r="1331" customFormat="false" ht="15" hidden="false" customHeight="false" outlineLevel="0" collapsed="false">
      <c r="C1331" s="41" t="str">
        <f aca="false">IF(A1331="","",TEXT(A1331,"mmm-yyyy"))</f>
        <v/>
      </c>
      <c r="I1331" s="47" t="str">
        <f aca="false">IF(G1331="","",G1331+H1331)</f>
        <v/>
      </c>
    </row>
    <row r="1332" customFormat="false" ht="15" hidden="false" customHeight="false" outlineLevel="0" collapsed="false">
      <c r="C1332" s="41" t="str">
        <f aca="false">IF(A1332="","",TEXT(A1332,"mmm-yyyy"))</f>
        <v/>
      </c>
      <c r="I1332" s="47" t="str">
        <f aca="false">IF(G1332="","",G1332+H1332)</f>
        <v/>
      </c>
    </row>
    <row r="1333" customFormat="false" ht="15" hidden="false" customHeight="false" outlineLevel="0" collapsed="false">
      <c r="C1333" s="41" t="str">
        <f aca="false">IF(A1333="","",TEXT(A1333,"mmm-yyyy"))</f>
        <v/>
      </c>
      <c r="I1333" s="47" t="str">
        <f aca="false">IF(G1333="","",G1333+H1333)</f>
        <v/>
      </c>
    </row>
    <row r="1334" customFormat="false" ht="15" hidden="false" customHeight="false" outlineLevel="0" collapsed="false">
      <c r="C1334" s="41" t="str">
        <f aca="false">IF(A1334="","",TEXT(A1334,"mmm-yyyy"))</f>
        <v/>
      </c>
      <c r="I1334" s="47" t="str">
        <f aca="false">IF(G1334="","",G1334+H1334)</f>
        <v/>
      </c>
    </row>
    <row r="1335" customFormat="false" ht="15" hidden="false" customHeight="false" outlineLevel="0" collapsed="false">
      <c r="C1335" s="41" t="str">
        <f aca="false">IF(A1335="","",TEXT(A1335,"mmm-yyyy"))</f>
        <v/>
      </c>
      <c r="I1335" s="47" t="str">
        <f aca="false">IF(G1335="","",G1335+H1335)</f>
        <v/>
      </c>
    </row>
    <row r="1336" customFormat="false" ht="15" hidden="false" customHeight="false" outlineLevel="0" collapsed="false">
      <c r="C1336" s="41" t="str">
        <f aca="false">IF(A1336="","",TEXT(A1336,"mmm-yyyy"))</f>
        <v/>
      </c>
      <c r="I1336" s="47" t="str">
        <f aca="false">IF(G1336="","",G1336+H1336)</f>
        <v/>
      </c>
    </row>
    <row r="1337" customFormat="false" ht="15" hidden="false" customHeight="false" outlineLevel="0" collapsed="false">
      <c r="C1337" s="41" t="str">
        <f aca="false">IF(A1337="","",TEXT(A1337,"mmm-yyyy"))</f>
        <v/>
      </c>
      <c r="I1337" s="47" t="str">
        <f aca="false">IF(G1337="","",G1337+H1337)</f>
        <v/>
      </c>
    </row>
    <row r="1338" customFormat="false" ht="15" hidden="false" customHeight="false" outlineLevel="0" collapsed="false">
      <c r="C1338" s="41" t="str">
        <f aca="false">IF(A1338="","",TEXT(A1338,"mmm-yyyy"))</f>
        <v/>
      </c>
      <c r="I1338" s="47" t="str">
        <f aca="false">IF(G1338="","",G1338+H1338)</f>
        <v/>
      </c>
    </row>
    <row r="1339" customFormat="false" ht="15" hidden="false" customHeight="false" outlineLevel="0" collapsed="false">
      <c r="C1339" s="41" t="str">
        <f aca="false">IF(A1339="","",TEXT(A1339,"mmm-yyyy"))</f>
        <v/>
      </c>
      <c r="I1339" s="47" t="str">
        <f aca="false">IF(G1339="","",G1339+H1339)</f>
        <v/>
      </c>
    </row>
    <row r="1340" customFormat="false" ht="15" hidden="false" customHeight="false" outlineLevel="0" collapsed="false">
      <c r="C1340" s="41" t="str">
        <f aca="false">IF(A1340="","",TEXT(A1340,"mmm-yyyy"))</f>
        <v/>
      </c>
      <c r="I1340" s="47" t="str">
        <f aca="false">IF(G1340="","",G1340+H1340)</f>
        <v/>
      </c>
    </row>
    <row r="1341" customFormat="false" ht="15" hidden="false" customHeight="false" outlineLevel="0" collapsed="false">
      <c r="C1341" s="41" t="str">
        <f aca="false">IF(A1341="","",TEXT(A1341,"mmm-yyyy"))</f>
        <v/>
      </c>
      <c r="I1341" s="47" t="str">
        <f aca="false">IF(G1341="","",G1341+H1341)</f>
        <v/>
      </c>
    </row>
    <row r="1342" customFormat="false" ht="15" hidden="false" customHeight="false" outlineLevel="0" collapsed="false">
      <c r="C1342" s="41" t="str">
        <f aca="false">IF(A1342="","",TEXT(A1342,"mmm-yyyy"))</f>
        <v/>
      </c>
      <c r="I1342" s="47" t="str">
        <f aca="false">IF(G1342="","",G1342+H1342)</f>
        <v/>
      </c>
    </row>
    <row r="1343" customFormat="false" ht="15" hidden="false" customHeight="false" outlineLevel="0" collapsed="false">
      <c r="C1343" s="41" t="str">
        <f aca="false">IF(A1343="","",TEXT(A1343,"mmm-yyyy"))</f>
        <v/>
      </c>
      <c r="I1343" s="47" t="str">
        <f aca="false">IF(G1343="","",G1343+H1343)</f>
        <v/>
      </c>
    </row>
    <row r="1344" customFormat="false" ht="15" hidden="false" customHeight="false" outlineLevel="0" collapsed="false">
      <c r="C1344" s="41" t="str">
        <f aca="false">IF(A1344="","",TEXT(A1344,"mmm-yyyy"))</f>
        <v/>
      </c>
      <c r="I1344" s="47" t="str">
        <f aca="false">IF(G1344="","",G1344+H1344)</f>
        <v/>
      </c>
    </row>
    <row r="1345" customFormat="false" ht="15" hidden="false" customHeight="false" outlineLevel="0" collapsed="false">
      <c r="C1345" s="41" t="str">
        <f aca="false">IF(A1345="","",TEXT(A1345,"mmm-yyyy"))</f>
        <v/>
      </c>
      <c r="I1345" s="47" t="str">
        <f aca="false">IF(G1345="","",G1345+H1345)</f>
        <v/>
      </c>
    </row>
    <row r="1346" customFormat="false" ht="15" hidden="false" customHeight="false" outlineLevel="0" collapsed="false">
      <c r="C1346" s="41" t="str">
        <f aca="false">IF(A1346="","",TEXT(A1346,"mmm-yyyy"))</f>
        <v/>
      </c>
      <c r="I1346" s="47" t="str">
        <f aca="false">IF(G1346="","",G1346+H1346)</f>
        <v/>
      </c>
    </row>
    <row r="1347" customFormat="false" ht="15" hidden="false" customHeight="false" outlineLevel="0" collapsed="false">
      <c r="C1347" s="41" t="str">
        <f aca="false">IF(A1347="","",TEXT(A1347,"mmm-yyyy"))</f>
        <v/>
      </c>
      <c r="I1347" s="47" t="str">
        <f aca="false">IF(G1347="","",G1347+H1347)</f>
        <v/>
      </c>
    </row>
    <row r="1348" customFormat="false" ht="15" hidden="false" customHeight="false" outlineLevel="0" collapsed="false">
      <c r="C1348" s="41" t="str">
        <f aca="false">IF(A1348="","",TEXT(A1348,"mmm-yyyy"))</f>
        <v/>
      </c>
      <c r="I1348" s="47" t="str">
        <f aca="false">IF(G1348="","",G1348+H1348)</f>
        <v/>
      </c>
    </row>
    <row r="1349" customFormat="false" ht="15" hidden="false" customHeight="false" outlineLevel="0" collapsed="false">
      <c r="C1349" s="41" t="str">
        <f aca="false">IF(A1349="","",TEXT(A1349,"mmm-yyyy"))</f>
        <v/>
      </c>
      <c r="I1349" s="47" t="str">
        <f aca="false">IF(G1349="","",G1349+H1349)</f>
        <v/>
      </c>
    </row>
    <row r="1350" customFormat="false" ht="15" hidden="false" customHeight="false" outlineLevel="0" collapsed="false">
      <c r="C1350" s="41" t="str">
        <f aca="false">IF(A1350="","",TEXT(A1350,"mmm-yyyy"))</f>
        <v/>
      </c>
      <c r="I1350" s="47" t="str">
        <f aca="false">IF(G1350="","",G1350+H1350)</f>
        <v/>
      </c>
    </row>
    <row r="1351" customFormat="false" ht="15" hidden="false" customHeight="false" outlineLevel="0" collapsed="false">
      <c r="C1351" s="41" t="str">
        <f aca="false">IF(A1351="","",TEXT(A1351,"mmm-yyyy"))</f>
        <v/>
      </c>
      <c r="I1351" s="47" t="str">
        <f aca="false">IF(G1351="","",G1351+H1351)</f>
        <v/>
      </c>
    </row>
    <row r="1352" customFormat="false" ht="15" hidden="false" customHeight="false" outlineLevel="0" collapsed="false">
      <c r="C1352" s="41" t="str">
        <f aca="false">IF(A1352="","",TEXT(A1352,"mmm-yyyy"))</f>
        <v/>
      </c>
      <c r="I1352" s="47" t="str">
        <f aca="false">IF(G1352="","",G1352+H1352)</f>
        <v/>
      </c>
    </row>
    <row r="1353" customFormat="false" ht="15" hidden="false" customHeight="false" outlineLevel="0" collapsed="false">
      <c r="C1353" s="41" t="str">
        <f aca="false">IF(A1353="","",TEXT(A1353,"mmm-yyyy"))</f>
        <v/>
      </c>
      <c r="I1353" s="47" t="str">
        <f aca="false">IF(G1353="","",G1353+H1353)</f>
        <v/>
      </c>
    </row>
    <row r="1354" customFormat="false" ht="15" hidden="false" customHeight="false" outlineLevel="0" collapsed="false">
      <c r="C1354" s="41" t="str">
        <f aca="false">IF(A1354="","",TEXT(A1354,"mmm-yyyy"))</f>
        <v/>
      </c>
      <c r="I1354" s="47" t="str">
        <f aca="false">IF(G1354="","",G1354+H1354)</f>
        <v/>
      </c>
    </row>
    <row r="1355" customFormat="false" ht="15" hidden="false" customHeight="false" outlineLevel="0" collapsed="false">
      <c r="C1355" s="41" t="str">
        <f aca="false">IF(A1355="","",TEXT(A1355,"mmm-yyyy"))</f>
        <v/>
      </c>
      <c r="I1355" s="47" t="str">
        <f aca="false">IF(G1355="","",G1355+H1355)</f>
        <v/>
      </c>
    </row>
    <row r="1356" customFormat="false" ht="15" hidden="false" customHeight="false" outlineLevel="0" collapsed="false">
      <c r="C1356" s="41" t="str">
        <f aca="false">IF(A1356="","",TEXT(A1356,"mmm-yyyy"))</f>
        <v/>
      </c>
      <c r="I1356" s="47" t="str">
        <f aca="false">IF(G1356="","",G1356+H1356)</f>
        <v/>
      </c>
    </row>
    <row r="1357" customFormat="false" ht="15" hidden="false" customHeight="false" outlineLevel="0" collapsed="false">
      <c r="C1357" s="41" t="str">
        <f aca="false">IF(A1357="","",TEXT(A1357,"mmm-yyyy"))</f>
        <v/>
      </c>
      <c r="I1357" s="47" t="str">
        <f aca="false">IF(G1357="","",G1357+H1357)</f>
        <v/>
      </c>
    </row>
    <row r="1358" customFormat="false" ht="15" hidden="false" customHeight="false" outlineLevel="0" collapsed="false">
      <c r="C1358" s="41" t="str">
        <f aca="false">IF(A1358="","",TEXT(A1358,"mmm-yyyy"))</f>
        <v/>
      </c>
      <c r="I1358" s="47" t="str">
        <f aca="false">IF(G1358="","",G1358+H1358)</f>
        <v/>
      </c>
    </row>
    <row r="1359" customFormat="false" ht="15" hidden="false" customHeight="false" outlineLevel="0" collapsed="false">
      <c r="C1359" s="41" t="str">
        <f aca="false">IF(A1359="","",TEXT(A1359,"mmm-yyyy"))</f>
        <v/>
      </c>
      <c r="I1359" s="47" t="str">
        <f aca="false">IF(G1359="","",G1359+H1359)</f>
        <v/>
      </c>
    </row>
    <row r="1360" customFormat="false" ht="15" hidden="false" customHeight="false" outlineLevel="0" collapsed="false">
      <c r="C1360" s="41" t="str">
        <f aca="false">IF(A1360="","",TEXT(A1360,"mmm-yyyy"))</f>
        <v/>
      </c>
      <c r="I1360" s="47" t="str">
        <f aca="false">IF(G1360="","",G1360+H1360)</f>
        <v/>
      </c>
    </row>
    <row r="1361" customFormat="false" ht="15" hidden="false" customHeight="false" outlineLevel="0" collapsed="false">
      <c r="C1361" s="41" t="str">
        <f aca="false">IF(A1361="","",TEXT(A1361,"mmm-yyyy"))</f>
        <v/>
      </c>
      <c r="I1361" s="47" t="str">
        <f aca="false">IF(G1361="","",G1361+H1361)</f>
        <v/>
      </c>
    </row>
    <row r="1362" customFormat="false" ht="15" hidden="false" customHeight="false" outlineLevel="0" collapsed="false">
      <c r="C1362" s="41" t="str">
        <f aca="false">IF(A1362="","",TEXT(A1362,"mmm-yyyy"))</f>
        <v/>
      </c>
      <c r="I1362" s="47" t="str">
        <f aca="false">IF(G1362="","",G1362+H1362)</f>
        <v/>
      </c>
    </row>
    <row r="1363" customFormat="false" ht="15" hidden="false" customHeight="false" outlineLevel="0" collapsed="false">
      <c r="C1363" s="41" t="str">
        <f aca="false">IF(A1363="","",TEXT(A1363,"mmm-yyyy"))</f>
        <v/>
      </c>
      <c r="I1363" s="47" t="str">
        <f aca="false">IF(G1363="","",G1363+H1363)</f>
        <v/>
      </c>
    </row>
    <row r="1364" customFormat="false" ht="15" hidden="false" customHeight="false" outlineLevel="0" collapsed="false">
      <c r="C1364" s="41" t="str">
        <f aca="false">IF(A1364="","",TEXT(A1364,"mmm-yyyy"))</f>
        <v/>
      </c>
      <c r="I1364" s="47" t="str">
        <f aca="false">IF(G1364="","",G1364+H1364)</f>
        <v/>
      </c>
    </row>
    <row r="1365" customFormat="false" ht="15" hidden="false" customHeight="false" outlineLevel="0" collapsed="false">
      <c r="C1365" s="41" t="str">
        <f aca="false">IF(A1365="","",TEXT(A1365,"mmm-yyyy"))</f>
        <v/>
      </c>
      <c r="I1365" s="47" t="str">
        <f aca="false">IF(G1365="","",G1365+H1365)</f>
        <v/>
      </c>
    </row>
    <row r="1366" customFormat="false" ht="15" hidden="false" customHeight="false" outlineLevel="0" collapsed="false">
      <c r="C1366" s="41" t="str">
        <f aca="false">IF(A1366="","",TEXT(A1366,"mmm-yyyy"))</f>
        <v/>
      </c>
      <c r="I1366" s="47" t="str">
        <f aca="false">IF(G1366="","",G1366+H1366)</f>
        <v/>
      </c>
    </row>
    <row r="1367" customFormat="false" ht="15" hidden="false" customHeight="false" outlineLevel="0" collapsed="false">
      <c r="C1367" s="41" t="str">
        <f aca="false">IF(A1367="","",TEXT(A1367,"mmm-yyyy"))</f>
        <v/>
      </c>
      <c r="I1367" s="47" t="str">
        <f aca="false">IF(G1367="","",G1367+H1367)</f>
        <v/>
      </c>
    </row>
    <row r="1368" customFormat="false" ht="15" hidden="false" customHeight="false" outlineLevel="0" collapsed="false">
      <c r="C1368" s="41" t="str">
        <f aca="false">IF(A1368="","",TEXT(A1368,"mmm-yyyy"))</f>
        <v/>
      </c>
      <c r="I1368" s="47" t="str">
        <f aca="false">IF(G1368="","",G1368+H1368)</f>
        <v/>
      </c>
    </row>
    <row r="1369" customFormat="false" ht="15" hidden="false" customHeight="false" outlineLevel="0" collapsed="false">
      <c r="C1369" s="41" t="str">
        <f aca="false">IF(A1369="","",TEXT(A1369,"mmm-yyyy"))</f>
        <v/>
      </c>
      <c r="I1369" s="47" t="str">
        <f aca="false">IF(G1369="","",G1369+H1369)</f>
        <v/>
      </c>
    </row>
    <row r="1370" customFormat="false" ht="15" hidden="false" customHeight="false" outlineLevel="0" collapsed="false">
      <c r="C1370" s="41" t="str">
        <f aca="false">IF(A1370="","",TEXT(A1370,"mmm-yyyy"))</f>
        <v/>
      </c>
      <c r="I1370" s="47" t="str">
        <f aca="false">IF(G1370="","",G1370+H1370)</f>
        <v/>
      </c>
    </row>
    <row r="1371" customFormat="false" ht="15" hidden="false" customHeight="false" outlineLevel="0" collapsed="false">
      <c r="C1371" s="41" t="str">
        <f aca="false">IF(A1371="","",TEXT(A1371,"mmm-yyyy"))</f>
        <v/>
      </c>
      <c r="I1371" s="47" t="str">
        <f aca="false">IF(G1371="","",G1371+H1371)</f>
        <v/>
      </c>
    </row>
    <row r="1372" customFormat="false" ht="15" hidden="false" customHeight="false" outlineLevel="0" collapsed="false">
      <c r="C1372" s="41" t="str">
        <f aca="false">IF(A1372="","",TEXT(A1372,"mmm-yyyy"))</f>
        <v/>
      </c>
      <c r="I1372" s="47" t="str">
        <f aca="false">IF(G1372="","",G1372+H1372)</f>
        <v/>
      </c>
    </row>
    <row r="1373" customFormat="false" ht="15" hidden="false" customHeight="false" outlineLevel="0" collapsed="false">
      <c r="C1373" s="41" t="str">
        <f aca="false">IF(A1373="","",TEXT(A1373,"mmm-yyyy"))</f>
        <v/>
      </c>
      <c r="I1373" s="47" t="str">
        <f aca="false">IF(G1373="","",G1373+H1373)</f>
        <v/>
      </c>
    </row>
    <row r="1374" customFormat="false" ht="15" hidden="false" customHeight="false" outlineLevel="0" collapsed="false">
      <c r="C1374" s="41" t="str">
        <f aca="false">IF(A1374="","",TEXT(A1374,"mmm-yyyy"))</f>
        <v/>
      </c>
      <c r="I1374" s="47" t="str">
        <f aca="false">IF(G1374="","",G1374+H1374)</f>
        <v/>
      </c>
    </row>
    <row r="1375" customFormat="false" ht="15" hidden="false" customHeight="false" outlineLevel="0" collapsed="false">
      <c r="C1375" s="41" t="str">
        <f aca="false">IF(A1375="","",TEXT(A1375,"mmm-yyyy"))</f>
        <v/>
      </c>
      <c r="I1375" s="47" t="str">
        <f aca="false">IF(G1375="","",G1375+H1375)</f>
        <v/>
      </c>
    </row>
    <row r="1376" customFormat="false" ht="15" hidden="false" customHeight="false" outlineLevel="0" collapsed="false">
      <c r="C1376" s="41" t="str">
        <f aca="false">IF(A1376="","",TEXT(A1376,"mmm-yyyy"))</f>
        <v/>
      </c>
      <c r="I1376" s="47" t="str">
        <f aca="false">IF(G1376="","",G1376+H1376)</f>
        <v/>
      </c>
    </row>
    <row r="1377" customFormat="false" ht="15" hidden="false" customHeight="false" outlineLevel="0" collapsed="false">
      <c r="C1377" s="41" t="str">
        <f aca="false">IF(A1377="","",TEXT(A1377,"mmm-yyyy"))</f>
        <v/>
      </c>
      <c r="I1377" s="47" t="str">
        <f aca="false">IF(G1377="","",G1377+H1377)</f>
        <v/>
      </c>
    </row>
    <row r="1378" customFormat="false" ht="15" hidden="false" customHeight="false" outlineLevel="0" collapsed="false">
      <c r="C1378" s="41" t="str">
        <f aca="false">IF(A1378="","",TEXT(A1378,"mmm-yyyy"))</f>
        <v/>
      </c>
      <c r="I1378" s="47" t="str">
        <f aca="false">IF(G1378="","",G1378+H1378)</f>
        <v/>
      </c>
    </row>
    <row r="1379" customFormat="false" ht="15" hidden="false" customHeight="false" outlineLevel="0" collapsed="false">
      <c r="C1379" s="41" t="str">
        <f aca="false">IF(A1379="","",TEXT(A1379,"mmm-yyyy"))</f>
        <v/>
      </c>
      <c r="I1379" s="47" t="str">
        <f aca="false">IF(G1379="","",G1379+H1379)</f>
        <v/>
      </c>
    </row>
    <row r="1380" customFormat="false" ht="15" hidden="false" customHeight="false" outlineLevel="0" collapsed="false">
      <c r="C1380" s="41" t="str">
        <f aca="false">IF(A1380="","",TEXT(A1380,"mmm-yyyy"))</f>
        <v/>
      </c>
      <c r="I1380" s="47" t="str">
        <f aca="false">IF(G1380="","",G1380+H1380)</f>
        <v/>
      </c>
    </row>
    <row r="1381" customFormat="false" ht="15" hidden="false" customHeight="false" outlineLevel="0" collapsed="false">
      <c r="C1381" s="41" t="str">
        <f aca="false">IF(A1381="","",TEXT(A1381,"mmm-yyyy"))</f>
        <v/>
      </c>
      <c r="I1381" s="47" t="str">
        <f aca="false">IF(G1381="","",G1381+H1381)</f>
        <v/>
      </c>
    </row>
    <row r="1382" customFormat="false" ht="15" hidden="false" customHeight="false" outlineLevel="0" collapsed="false">
      <c r="C1382" s="41" t="str">
        <f aca="false">IF(A1382="","",TEXT(A1382,"mmm-yyyy"))</f>
        <v/>
      </c>
      <c r="I1382" s="47" t="str">
        <f aca="false">IF(G1382="","",G1382+H1382)</f>
        <v/>
      </c>
    </row>
    <row r="1383" customFormat="false" ht="15" hidden="false" customHeight="false" outlineLevel="0" collapsed="false">
      <c r="C1383" s="41" t="str">
        <f aca="false">IF(A1383="","",TEXT(A1383,"mmm-yyyy"))</f>
        <v/>
      </c>
      <c r="I1383" s="47" t="str">
        <f aca="false">IF(G1383="","",G1383+H1383)</f>
        <v/>
      </c>
    </row>
    <row r="1384" customFormat="false" ht="15" hidden="false" customHeight="false" outlineLevel="0" collapsed="false">
      <c r="C1384" s="41" t="str">
        <f aca="false">IF(A1384="","",TEXT(A1384,"mmm-yyyy"))</f>
        <v/>
      </c>
      <c r="I1384" s="47" t="str">
        <f aca="false">IF(G1384="","",G1384+H1384)</f>
        <v/>
      </c>
    </row>
    <row r="1385" customFormat="false" ht="15" hidden="false" customHeight="false" outlineLevel="0" collapsed="false">
      <c r="C1385" s="41" t="str">
        <f aca="false">IF(A1385="","",TEXT(A1385,"mmm-yyyy"))</f>
        <v/>
      </c>
      <c r="I1385" s="47" t="str">
        <f aca="false">IF(G1385="","",G1385+H1385)</f>
        <v/>
      </c>
    </row>
    <row r="1386" customFormat="false" ht="15" hidden="false" customHeight="false" outlineLevel="0" collapsed="false">
      <c r="C1386" s="41" t="str">
        <f aca="false">IF(A1386="","",TEXT(A1386,"mmm-yyyy"))</f>
        <v/>
      </c>
      <c r="I1386" s="47" t="str">
        <f aca="false">IF(G1386="","",G1386+H1386)</f>
        <v/>
      </c>
    </row>
    <row r="1387" customFormat="false" ht="15" hidden="false" customHeight="false" outlineLevel="0" collapsed="false">
      <c r="C1387" s="41" t="str">
        <f aca="false">IF(A1387="","",TEXT(A1387,"mmm-yyyy"))</f>
        <v/>
      </c>
      <c r="I1387" s="47" t="str">
        <f aca="false">IF(G1387="","",G1387+H1387)</f>
        <v/>
      </c>
    </row>
    <row r="1388" customFormat="false" ht="15" hidden="false" customHeight="false" outlineLevel="0" collapsed="false">
      <c r="C1388" s="41" t="str">
        <f aca="false">IF(A1388="","",TEXT(A1388,"mmm-yyyy"))</f>
        <v/>
      </c>
      <c r="I1388" s="47" t="str">
        <f aca="false">IF(G1388="","",G1388+H1388)</f>
        <v/>
      </c>
    </row>
    <row r="1389" customFormat="false" ht="15" hidden="false" customHeight="false" outlineLevel="0" collapsed="false">
      <c r="C1389" s="41" t="str">
        <f aca="false">IF(A1389="","",TEXT(A1389,"mmm-yyyy"))</f>
        <v/>
      </c>
      <c r="I1389" s="47" t="str">
        <f aca="false">IF(G1389="","",G1389+H1389)</f>
        <v/>
      </c>
    </row>
    <row r="1390" customFormat="false" ht="15" hidden="false" customHeight="false" outlineLevel="0" collapsed="false">
      <c r="C1390" s="41" t="str">
        <f aca="false">IF(A1390="","",TEXT(A1390,"mmm-yyyy"))</f>
        <v/>
      </c>
      <c r="I1390" s="47" t="str">
        <f aca="false">IF(G1390="","",G1390+H1390)</f>
        <v/>
      </c>
    </row>
    <row r="1391" customFormat="false" ht="15" hidden="false" customHeight="false" outlineLevel="0" collapsed="false">
      <c r="C1391" s="41" t="str">
        <f aca="false">IF(A1391="","",TEXT(A1391,"mmm-yyyy"))</f>
        <v/>
      </c>
      <c r="I1391" s="47" t="str">
        <f aca="false">IF(G1391="","",G1391+H1391)</f>
        <v/>
      </c>
    </row>
    <row r="1392" customFormat="false" ht="15" hidden="false" customHeight="false" outlineLevel="0" collapsed="false">
      <c r="C1392" s="41" t="str">
        <f aca="false">IF(A1392="","",TEXT(A1392,"mmm-yyyy"))</f>
        <v/>
      </c>
      <c r="I1392" s="47" t="str">
        <f aca="false">IF(G1392="","",G1392+H1392)</f>
        <v/>
      </c>
    </row>
    <row r="1393" customFormat="false" ht="15" hidden="false" customHeight="false" outlineLevel="0" collapsed="false">
      <c r="C1393" s="41" t="str">
        <f aca="false">IF(A1393="","",TEXT(A1393,"mmm-yyyy"))</f>
        <v/>
      </c>
      <c r="I1393" s="47" t="str">
        <f aca="false">IF(G1393="","",G1393+H1393)</f>
        <v/>
      </c>
    </row>
    <row r="1394" customFormat="false" ht="15" hidden="false" customHeight="false" outlineLevel="0" collapsed="false">
      <c r="C1394" s="41" t="str">
        <f aca="false">IF(A1394="","",TEXT(A1394,"mmm-yyyy"))</f>
        <v/>
      </c>
      <c r="I1394" s="47" t="str">
        <f aca="false">IF(G1394="","",G1394+H1394)</f>
        <v/>
      </c>
    </row>
    <row r="1395" customFormat="false" ht="15" hidden="false" customHeight="false" outlineLevel="0" collapsed="false">
      <c r="C1395" s="41" t="str">
        <f aca="false">IF(A1395="","",TEXT(A1395,"mmm-yyyy"))</f>
        <v/>
      </c>
      <c r="I1395" s="47" t="str">
        <f aca="false">IF(G1395="","",G1395+H1395)</f>
        <v/>
      </c>
    </row>
    <row r="1396" customFormat="false" ht="15" hidden="false" customHeight="false" outlineLevel="0" collapsed="false">
      <c r="C1396" s="41" t="str">
        <f aca="false">IF(A1396="","",TEXT(A1396,"mmm-yyyy"))</f>
        <v/>
      </c>
      <c r="I1396" s="47" t="str">
        <f aca="false">IF(G1396="","",G1396+H1396)</f>
        <v/>
      </c>
    </row>
    <row r="1397" customFormat="false" ht="15" hidden="false" customHeight="false" outlineLevel="0" collapsed="false">
      <c r="C1397" s="41" t="str">
        <f aca="false">IF(A1397="","",TEXT(A1397,"mmm-yyyy"))</f>
        <v/>
      </c>
      <c r="I1397" s="47" t="str">
        <f aca="false">IF(G1397="","",G1397+H1397)</f>
        <v/>
      </c>
    </row>
    <row r="1398" customFormat="false" ht="15" hidden="false" customHeight="false" outlineLevel="0" collapsed="false">
      <c r="C1398" s="41" t="str">
        <f aca="false">IF(A1398="","",TEXT(A1398,"mmm-yyyy"))</f>
        <v/>
      </c>
      <c r="I1398" s="47" t="str">
        <f aca="false">IF(G1398="","",G1398+H1398)</f>
        <v/>
      </c>
    </row>
    <row r="1399" customFormat="false" ht="15" hidden="false" customHeight="false" outlineLevel="0" collapsed="false">
      <c r="C1399" s="41" t="str">
        <f aca="false">IF(A1399="","",TEXT(A1399,"mmm-yyyy"))</f>
        <v/>
      </c>
      <c r="I1399" s="47" t="str">
        <f aca="false">IF(G1399="","",G1399+H1399)</f>
        <v/>
      </c>
    </row>
    <row r="1400" customFormat="false" ht="15" hidden="false" customHeight="false" outlineLevel="0" collapsed="false">
      <c r="C1400" s="41" t="str">
        <f aca="false">IF(A1400="","",TEXT(A1400,"mmm-yyyy"))</f>
        <v/>
      </c>
      <c r="I1400" s="47" t="str">
        <f aca="false">IF(G1400="","",G1400+H1400)</f>
        <v/>
      </c>
    </row>
    <row r="1401" customFormat="false" ht="15" hidden="false" customHeight="false" outlineLevel="0" collapsed="false">
      <c r="C1401" s="41" t="str">
        <f aca="false">IF(A1401="","",TEXT(A1401,"mmm-yyyy"))</f>
        <v/>
      </c>
      <c r="I1401" s="47" t="str">
        <f aca="false">IF(G1401="","",G1401+H1401)</f>
        <v/>
      </c>
    </row>
    <row r="1402" customFormat="false" ht="15" hidden="false" customHeight="false" outlineLevel="0" collapsed="false">
      <c r="C1402" s="41" t="str">
        <f aca="false">IF(A1402="","",TEXT(A1402,"mmm-yyyy"))</f>
        <v/>
      </c>
      <c r="I1402" s="47" t="str">
        <f aca="false">IF(G1402="","",G1402+H1402)</f>
        <v/>
      </c>
    </row>
    <row r="1403" customFormat="false" ht="15" hidden="false" customHeight="false" outlineLevel="0" collapsed="false">
      <c r="C1403" s="41" t="str">
        <f aca="false">IF(A1403="","",TEXT(A1403,"mmm-yyyy"))</f>
        <v/>
      </c>
      <c r="I1403" s="47" t="str">
        <f aca="false">IF(G1403="","",G1403+H1403)</f>
        <v/>
      </c>
    </row>
    <row r="1404" customFormat="false" ht="15" hidden="false" customHeight="false" outlineLevel="0" collapsed="false">
      <c r="C1404" s="41" t="str">
        <f aca="false">IF(A1404="","",TEXT(A1404,"mmm-yyyy"))</f>
        <v/>
      </c>
      <c r="I1404" s="47" t="str">
        <f aca="false">IF(G1404="","",G1404+H1404)</f>
        <v/>
      </c>
    </row>
    <row r="1405" customFormat="false" ht="15" hidden="false" customHeight="false" outlineLevel="0" collapsed="false">
      <c r="C1405" s="41" t="str">
        <f aca="false">IF(A1405="","",TEXT(A1405,"mmm-yyyy"))</f>
        <v/>
      </c>
      <c r="I1405" s="47" t="str">
        <f aca="false">IF(G1405="","",G1405+H1405)</f>
        <v/>
      </c>
    </row>
    <row r="1406" customFormat="false" ht="15" hidden="false" customHeight="false" outlineLevel="0" collapsed="false">
      <c r="C1406" s="41" t="str">
        <f aca="false">IF(A1406="","",TEXT(A1406,"mmm-yyyy"))</f>
        <v/>
      </c>
      <c r="I1406" s="47" t="str">
        <f aca="false">IF(G1406="","",G1406+H1406)</f>
        <v/>
      </c>
    </row>
    <row r="1407" customFormat="false" ht="15" hidden="false" customHeight="false" outlineLevel="0" collapsed="false">
      <c r="C1407" s="41" t="str">
        <f aca="false">IF(A1407="","",TEXT(A1407,"mmm-yyyy"))</f>
        <v/>
      </c>
      <c r="I1407" s="47" t="str">
        <f aca="false">IF(G1407="","",G1407+H1407)</f>
        <v/>
      </c>
    </row>
    <row r="1408" customFormat="false" ht="15" hidden="false" customHeight="false" outlineLevel="0" collapsed="false">
      <c r="C1408" s="41" t="str">
        <f aca="false">IF(A1408="","",TEXT(A1408,"mmm-yyyy"))</f>
        <v/>
      </c>
      <c r="I1408" s="47" t="str">
        <f aca="false">IF(G1408="","",G1408+H1408)</f>
        <v/>
      </c>
    </row>
    <row r="1409" customFormat="false" ht="15" hidden="false" customHeight="false" outlineLevel="0" collapsed="false">
      <c r="C1409" s="41" t="str">
        <f aca="false">IF(A1409="","",TEXT(A1409,"mmm-yyyy"))</f>
        <v/>
      </c>
      <c r="I1409" s="47" t="str">
        <f aca="false">IF(G1409="","",G1409+H1409)</f>
        <v/>
      </c>
    </row>
    <row r="1410" customFormat="false" ht="15" hidden="false" customHeight="false" outlineLevel="0" collapsed="false">
      <c r="C1410" s="41" t="str">
        <f aca="false">IF(A1410="","",TEXT(A1410,"mmm-yyyy"))</f>
        <v/>
      </c>
      <c r="I1410" s="47" t="str">
        <f aca="false">IF(G1410="","",G1410+H1410)</f>
        <v/>
      </c>
    </row>
    <row r="1411" customFormat="false" ht="15" hidden="false" customHeight="false" outlineLevel="0" collapsed="false">
      <c r="C1411" s="41" t="str">
        <f aca="false">IF(A1411="","",TEXT(A1411,"mmm-yyyy"))</f>
        <v/>
      </c>
      <c r="I1411" s="47" t="str">
        <f aca="false">IF(G1411="","",G1411+H1411)</f>
        <v/>
      </c>
    </row>
    <row r="1412" customFormat="false" ht="15" hidden="false" customHeight="false" outlineLevel="0" collapsed="false">
      <c r="C1412" s="41" t="str">
        <f aca="false">IF(A1412="","",TEXT(A1412,"mmm-yyyy"))</f>
        <v/>
      </c>
      <c r="I1412" s="47" t="str">
        <f aca="false">IF(G1412="","",G1412+H1412)</f>
        <v/>
      </c>
    </row>
    <row r="1413" customFormat="false" ht="15" hidden="false" customHeight="false" outlineLevel="0" collapsed="false">
      <c r="C1413" s="41" t="str">
        <f aca="false">IF(A1413="","",TEXT(A1413,"mmm-yyyy"))</f>
        <v/>
      </c>
      <c r="I1413" s="47" t="str">
        <f aca="false">IF(G1413="","",G1413+H1413)</f>
        <v/>
      </c>
    </row>
    <row r="1414" customFormat="false" ht="15" hidden="false" customHeight="false" outlineLevel="0" collapsed="false">
      <c r="C1414" s="41" t="str">
        <f aca="false">IF(A1414="","",TEXT(A1414,"mmm-yyyy"))</f>
        <v/>
      </c>
      <c r="I1414" s="47" t="str">
        <f aca="false">IF(G1414="","",G1414+H1414)</f>
        <v/>
      </c>
    </row>
    <row r="1415" customFormat="false" ht="15" hidden="false" customHeight="false" outlineLevel="0" collapsed="false">
      <c r="C1415" s="41" t="str">
        <f aca="false">IF(A1415="","",TEXT(A1415,"mmm-yyyy"))</f>
        <v/>
      </c>
      <c r="I1415" s="47" t="str">
        <f aca="false">IF(G1415="","",G1415+H1415)</f>
        <v/>
      </c>
    </row>
    <row r="1416" customFormat="false" ht="15" hidden="false" customHeight="false" outlineLevel="0" collapsed="false">
      <c r="C1416" s="41" t="str">
        <f aca="false">IF(A1416="","",TEXT(A1416,"mmm-yyyy"))</f>
        <v/>
      </c>
      <c r="I1416" s="47" t="str">
        <f aca="false">IF(G1416="","",G1416+H1416)</f>
        <v/>
      </c>
    </row>
    <row r="1417" customFormat="false" ht="15" hidden="false" customHeight="false" outlineLevel="0" collapsed="false">
      <c r="C1417" s="41" t="str">
        <f aca="false">IF(A1417="","",TEXT(A1417,"mmm-yyyy"))</f>
        <v/>
      </c>
      <c r="I1417" s="47" t="str">
        <f aca="false">IF(G1417="","",G1417+H1417)</f>
        <v/>
      </c>
    </row>
    <row r="1418" customFormat="false" ht="15" hidden="false" customHeight="false" outlineLevel="0" collapsed="false">
      <c r="C1418" s="41" t="str">
        <f aca="false">IF(A1418="","",TEXT(A1418,"mmm-yyyy"))</f>
        <v/>
      </c>
      <c r="I1418" s="47" t="str">
        <f aca="false">IF(G1418="","",G1418+H1418)</f>
        <v/>
      </c>
    </row>
    <row r="1419" customFormat="false" ht="15" hidden="false" customHeight="false" outlineLevel="0" collapsed="false">
      <c r="C1419" s="41" t="str">
        <f aca="false">IF(A1419="","",TEXT(A1419,"mmm-yyyy"))</f>
        <v/>
      </c>
      <c r="I1419" s="47" t="str">
        <f aca="false">IF(G1419="","",G1419+H1419)</f>
        <v/>
      </c>
    </row>
    <row r="1420" customFormat="false" ht="15" hidden="false" customHeight="false" outlineLevel="0" collapsed="false">
      <c r="C1420" s="41" t="str">
        <f aca="false">IF(A1420="","",TEXT(A1420,"mmm-yyyy"))</f>
        <v/>
      </c>
      <c r="I1420" s="47" t="str">
        <f aca="false">IF(G1420="","",G1420+H1420)</f>
        <v/>
      </c>
    </row>
    <row r="1421" customFormat="false" ht="15" hidden="false" customHeight="false" outlineLevel="0" collapsed="false">
      <c r="C1421" s="41" t="str">
        <f aca="false">IF(A1421="","",TEXT(A1421,"mmm-yyyy"))</f>
        <v/>
      </c>
      <c r="I1421" s="47" t="str">
        <f aca="false">IF(G1421="","",G1421+H1421)</f>
        <v/>
      </c>
    </row>
    <row r="1422" customFormat="false" ht="15" hidden="false" customHeight="false" outlineLevel="0" collapsed="false">
      <c r="C1422" s="41" t="str">
        <f aca="false">IF(A1422="","",TEXT(A1422,"mmm-yyyy"))</f>
        <v/>
      </c>
      <c r="I1422" s="47" t="str">
        <f aca="false">IF(G1422="","",G1422+H1422)</f>
        <v/>
      </c>
    </row>
    <row r="1423" customFormat="false" ht="15" hidden="false" customHeight="false" outlineLevel="0" collapsed="false">
      <c r="C1423" s="41" t="str">
        <f aca="false">IF(A1423="","",TEXT(A1423,"mmm-yyyy"))</f>
        <v/>
      </c>
      <c r="I1423" s="47" t="str">
        <f aca="false">IF(G1423="","",G1423+H1423)</f>
        <v/>
      </c>
    </row>
    <row r="1424" customFormat="false" ht="15" hidden="false" customHeight="false" outlineLevel="0" collapsed="false">
      <c r="C1424" s="41" t="str">
        <f aca="false">IF(A1424="","",TEXT(A1424,"mmm-yyyy"))</f>
        <v/>
      </c>
      <c r="I1424" s="47" t="str">
        <f aca="false">IF(G1424="","",G1424+H1424)</f>
        <v/>
      </c>
    </row>
    <row r="1425" customFormat="false" ht="15" hidden="false" customHeight="false" outlineLevel="0" collapsed="false">
      <c r="C1425" s="41" t="str">
        <f aca="false">IF(A1425="","",TEXT(A1425,"mmm-yyyy"))</f>
        <v/>
      </c>
      <c r="I1425" s="47" t="str">
        <f aca="false">IF(G1425="","",G1425+H1425)</f>
        <v/>
      </c>
    </row>
    <row r="1426" customFormat="false" ht="15" hidden="false" customHeight="false" outlineLevel="0" collapsed="false">
      <c r="C1426" s="41" t="str">
        <f aca="false">IF(A1426="","",TEXT(A1426,"mmm-yyyy"))</f>
        <v/>
      </c>
      <c r="I1426" s="47" t="str">
        <f aca="false">IF(G1426="","",G1426+H1426)</f>
        <v/>
      </c>
    </row>
    <row r="1427" customFormat="false" ht="15" hidden="false" customHeight="false" outlineLevel="0" collapsed="false">
      <c r="C1427" s="41" t="str">
        <f aca="false">IF(A1427="","",TEXT(A1427,"mmm-yyyy"))</f>
        <v/>
      </c>
      <c r="I1427" s="47" t="str">
        <f aca="false">IF(G1427="","",G1427+H1427)</f>
        <v/>
      </c>
    </row>
    <row r="1428" customFormat="false" ht="15" hidden="false" customHeight="false" outlineLevel="0" collapsed="false">
      <c r="C1428" s="41" t="str">
        <f aca="false">IF(A1428="","",TEXT(A1428,"mmm-yyyy"))</f>
        <v/>
      </c>
      <c r="I1428" s="47" t="str">
        <f aca="false">IF(G1428="","",G1428+H1428)</f>
        <v/>
      </c>
    </row>
    <row r="1429" customFormat="false" ht="15" hidden="false" customHeight="false" outlineLevel="0" collapsed="false">
      <c r="C1429" s="41" t="str">
        <f aca="false">IF(A1429="","",TEXT(A1429,"mmm-yyyy"))</f>
        <v/>
      </c>
      <c r="I1429" s="47" t="str">
        <f aca="false">IF(G1429="","",G1429+H1429)</f>
        <v/>
      </c>
    </row>
    <row r="1430" customFormat="false" ht="15" hidden="false" customHeight="false" outlineLevel="0" collapsed="false">
      <c r="C1430" s="41" t="str">
        <f aca="false">IF(A1430="","",TEXT(A1430,"mmm-yyyy"))</f>
        <v/>
      </c>
      <c r="I1430" s="47" t="str">
        <f aca="false">IF(G1430="","",G1430+H1430)</f>
        <v/>
      </c>
    </row>
    <row r="1431" customFormat="false" ht="15" hidden="false" customHeight="false" outlineLevel="0" collapsed="false">
      <c r="C1431" s="41" t="str">
        <f aca="false">IF(A1431="","",TEXT(A1431,"mmm-yyyy"))</f>
        <v/>
      </c>
      <c r="I1431" s="47" t="str">
        <f aca="false">IF(G1431="","",G1431+H1431)</f>
        <v/>
      </c>
    </row>
    <row r="1432" customFormat="false" ht="15" hidden="false" customHeight="false" outlineLevel="0" collapsed="false">
      <c r="C1432" s="41" t="str">
        <f aca="false">IF(A1432="","",TEXT(A1432,"mmm-yyyy"))</f>
        <v/>
      </c>
      <c r="I1432" s="47" t="str">
        <f aca="false">IF(G1432="","",G1432+H1432)</f>
        <v/>
      </c>
    </row>
    <row r="1433" customFormat="false" ht="15" hidden="false" customHeight="false" outlineLevel="0" collapsed="false">
      <c r="C1433" s="41" t="str">
        <f aca="false">IF(A1433="","",TEXT(A1433,"mmm-yyyy"))</f>
        <v/>
      </c>
      <c r="I1433" s="47" t="str">
        <f aca="false">IF(G1433="","",G1433+H1433)</f>
        <v/>
      </c>
    </row>
    <row r="1434" customFormat="false" ht="15" hidden="false" customHeight="false" outlineLevel="0" collapsed="false">
      <c r="C1434" s="41" t="str">
        <f aca="false">IF(A1434="","",TEXT(A1434,"mmm-yyyy"))</f>
        <v/>
      </c>
      <c r="I1434" s="47" t="str">
        <f aca="false">IF(G1434="","",G1434+H1434)</f>
        <v/>
      </c>
    </row>
    <row r="1435" customFormat="false" ht="15" hidden="false" customHeight="false" outlineLevel="0" collapsed="false">
      <c r="C1435" s="41" t="str">
        <f aca="false">IF(A1435="","",TEXT(A1435,"mmm-yyyy"))</f>
        <v/>
      </c>
      <c r="I1435" s="47" t="str">
        <f aca="false">IF(G1435="","",G1435+H1435)</f>
        <v/>
      </c>
    </row>
    <row r="1436" customFormat="false" ht="15" hidden="false" customHeight="false" outlineLevel="0" collapsed="false">
      <c r="C1436" s="41" t="str">
        <f aca="false">IF(A1436="","",TEXT(A1436,"mmm-yyyy"))</f>
        <v/>
      </c>
      <c r="I1436" s="47" t="str">
        <f aca="false">IF(G1436="","",G1436+H1436)</f>
        <v/>
      </c>
    </row>
    <row r="1437" customFormat="false" ht="15" hidden="false" customHeight="false" outlineLevel="0" collapsed="false">
      <c r="C1437" s="41" t="str">
        <f aca="false">IF(A1437="","",TEXT(A1437,"mmm-yyyy"))</f>
        <v/>
      </c>
      <c r="I1437" s="47" t="str">
        <f aca="false">IF(G1437="","",G1437+H1437)</f>
        <v/>
      </c>
    </row>
    <row r="1438" customFormat="false" ht="15" hidden="false" customHeight="false" outlineLevel="0" collapsed="false">
      <c r="C1438" s="41" t="str">
        <f aca="false">IF(A1438="","",TEXT(A1438,"mmm-yyyy"))</f>
        <v/>
      </c>
      <c r="I1438" s="47" t="str">
        <f aca="false">IF(G1438="","",G1438+H1438)</f>
        <v/>
      </c>
    </row>
    <row r="1439" customFormat="false" ht="15" hidden="false" customHeight="false" outlineLevel="0" collapsed="false">
      <c r="C1439" s="41" t="str">
        <f aca="false">IF(A1439="","",TEXT(A1439,"mmm-yyyy"))</f>
        <v/>
      </c>
      <c r="I1439" s="47" t="str">
        <f aca="false">IF(G1439="","",G1439+H1439)</f>
        <v/>
      </c>
    </row>
    <row r="1440" customFormat="false" ht="15" hidden="false" customHeight="false" outlineLevel="0" collapsed="false">
      <c r="C1440" s="41" t="str">
        <f aca="false">IF(A1440="","",TEXT(A1440,"mmm-yyyy"))</f>
        <v/>
      </c>
      <c r="I1440" s="47" t="str">
        <f aca="false">IF(G1440="","",G1440+H1440)</f>
        <v/>
      </c>
    </row>
    <row r="1441" customFormat="false" ht="15" hidden="false" customHeight="false" outlineLevel="0" collapsed="false">
      <c r="C1441" s="41" t="str">
        <f aca="false">IF(A1441="","",TEXT(A1441,"mmm-yyyy"))</f>
        <v/>
      </c>
      <c r="I1441" s="47" t="str">
        <f aca="false">IF(G1441="","",G1441+H1441)</f>
        <v/>
      </c>
    </row>
    <row r="1442" customFormat="false" ht="15" hidden="false" customHeight="false" outlineLevel="0" collapsed="false">
      <c r="C1442" s="41" t="str">
        <f aca="false">IF(A1442="","",TEXT(A1442,"mmm-yyyy"))</f>
        <v/>
      </c>
      <c r="I1442" s="47" t="str">
        <f aca="false">IF(G1442="","",G1442+H1442)</f>
        <v/>
      </c>
    </row>
    <row r="1443" customFormat="false" ht="15" hidden="false" customHeight="false" outlineLevel="0" collapsed="false">
      <c r="C1443" s="41" t="str">
        <f aca="false">IF(A1443="","",TEXT(A1443,"mmm-yyyy"))</f>
        <v/>
      </c>
      <c r="I1443" s="47" t="str">
        <f aca="false">IF(G1443="","",G1443+H1443)</f>
        <v/>
      </c>
    </row>
    <row r="1444" customFormat="false" ht="15" hidden="false" customHeight="false" outlineLevel="0" collapsed="false">
      <c r="C1444" s="41" t="str">
        <f aca="false">IF(A1444="","",TEXT(A1444,"mmm-yyyy"))</f>
        <v/>
      </c>
      <c r="I1444" s="47" t="str">
        <f aca="false">IF(G1444="","",G1444+H1444)</f>
        <v/>
      </c>
    </row>
    <row r="1445" customFormat="false" ht="15" hidden="false" customHeight="false" outlineLevel="0" collapsed="false">
      <c r="C1445" s="41" t="str">
        <f aca="false">IF(A1445="","",TEXT(A1445,"mmm-yyyy"))</f>
        <v/>
      </c>
      <c r="I1445" s="47" t="str">
        <f aca="false">IF(G1445="","",G1445+H1445)</f>
        <v/>
      </c>
    </row>
    <row r="1446" customFormat="false" ht="15" hidden="false" customHeight="false" outlineLevel="0" collapsed="false">
      <c r="C1446" s="41" t="str">
        <f aca="false">IF(A1446="","",TEXT(A1446,"mmm-yyyy"))</f>
        <v/>
      </c>
      <c r="I1446" s="47" t="str">
        <f aca="false">IF(G1446="","",G1446+H1446)</f>
        <v/>
      </c>
    </row>
    <row r="1447" customFormat="false" ht="15" hidden="false" customHeight="false" outlineLevel="0" collapsed="false">
      <c r="C1447" s="41" t="str">
        <f aca="false">IF(A1447="","",TEXT(A1447,"mmm-yyyy"))</f>
        <v/>
      </c>
      <c r="I1447" s="47" t="str">
        <f aca="false">IF(G1447="","",G1447+H1447)</f>
        <v/>
      </c>
    </row>
    <row r="1448" customFormat="false" ht="15" hidden="false" customHeight="false" outlineLevel="0" collapsed="false">
      <c r="C1448" s="41" t="str">
        <f aca="false">IF(A1448="","",TEXT(A1448,"mmm-yyyy"))</f>
        <v/>
      </c>
      <c r="I1448" s="47" t="str">
        <f aca="false">IF(G1448="","",G1448+H1448)</f>
        <v/>
      </c>
    </row>
    <row r="1449" customFormat="false" ht="15" hidden="false" customHeight="false" outlineLevel="0" collapsed="false">
      <c r="C1449" s="41" t="str">
        <f aca="false">IF(A1449="","",TEXT(A1449,"mmm-yyyy"))</f>
        <v/>
      </c>
      <c r="I1449" s="47" t="str">
        <f aca="false">IF(G1449="","",G1449+H1449)</f>
        <v/>
      </c>
    </row>
    <row r="1450" customFormat="false" ht="15" hidden="false" customHeight="false" outlineLevel="0" collapsed="false">
      <c r="C1450" s="41" t="str">
        <f aca="false">IF(A1450="","",TEXT(A1450,"mmm-yyyy"))</f>
        <v/>
      </c>
      <c r="I1450" s="47" t="str">
        <f aca="false">IF(G1450="","",G1450+H1450)</f>
        <v/>
      </c>
    </row>
    <row r="1451" customFormat="false" ht="15" hidden="false" customHeight="false" outlineLevel="0" collapsed="false">
      <c r="C1451" s="41" t="str">
        <f aca="false">IF(A1451="","",TEXT(A1451,"mmm-yyyy"))</f>
        <v/>
      </c>
      <c r="I1451" s="47" t="str">
        <f aca="false">IF(G1451="","",G1451+H1451)</f>
        <v/>
      </c>
    </row>
    <row r="1452" customFormat="false" ht="15" hidden="false" customHeight="false" outlineLevel="0" collapsed="false">
      <c r="C1452" s="41" t="str">
        <f aca="false">IF(A1452="","",TEXT(A1452,"mmm-yyyy"))</f>
        <v/>
      </c>
      <c r="I1452" s="47" t="str">
        <f aca="false">IF(G1452="","",G1452+H1452)</f>
        <v/>
      </c>
    </row>
    <row r="1453" customFormat="false" ht="15" hidden="false" customHeight="false" outlineLevel="0" collapsed="false">
      <c r="C1453" s="41" t="str">
        <f aca="false">IF(A1453="","",TEXT(A1453,"mmm-yyyy"))</f>
        <v/>
      </c>
      <c r="I1453" s="47" t="str">
        <f aca="false">IF(G1453="","",G1453+H1453)</f>
        <v/>
      </c>
    </row>
    <row r="1454" customFormat="false" ht="15" hidden="false" customHeight="false" outlineLevel="0" collapsed="false">
      <c r="C1454" s="41" t="str">
        <f aca="false">IF(A1454="","",TEXT(A1454,"mmm-yyyy"))</f>
        <v/>
      </c>
      <c r="I1454" s="47" t="str">
        <f aca="false">IF(G1454="","",G1454+H1454)</f>
        <v/>
      </c>
    </row>
    <row r="1455" customFormat="false" ht="15" hidden="false" customHeight="false" outlineLevel="0" collapsed="false">
      <c r="C1455" s="41" t="str">
        <f aca="false">IF(A1455="","",TEXT(A1455,"mmm-yyyy"))</f>
        <v/>
      </c>
      <c r="I1455" s="47" t="str">
        <f aca="false">IF(G1455="","",G1455+H1455)</f>
        <v/>
      </c>
    </row>
    <row r="1456" customFormat="false" ht="15" hidden="false" customHeight="false" outlineLevel="0" collapsed="false">
      <c r="C1456" s="41" t="str">
        <f aca="false">IF(A1456="","",TEXT(A1456,"mmm-yyyy"))</f>
        <v/>
      </c>
      <c r="I1456" s="47" t="str">
        <f aca="false">IF(G1456="","",G1456+H1456)</f>
        <v/>
      </c>
    </row>
    <row r="1457" customFormat="false" ht="15" hidden="false" customHeight="false" outlineLevel="0" collapsed="false">
      <c r="C1457" s="41" t="str">
        <f aca="false">IF(A1457="","",TEXT(A1457,"mmm-yyyy"))</f>
        <v/>
      </c>
      <c r="I1457" s="47" t="str">
        <f aca="false">IF(G1457="","",G1457+H1457)</f>
        <v/>
      </c>
    </row>
    <row r="1458" customFormat="false" ht="15" hidden="false" customHeight="false" outlineLevel="0" collapsed="false">
      <c r="C1458" s="41" t="str">
        <f aca="false">IF(A1458="","",TEXT(A1458,"mmm-yyyy"))</f>
        <v/>
      </c>
      <c r="I1458" s="47" t="str">
        <f aca="false">IF(G1458="","",G1458+H1458)</f>
        <v/>
      </c>
    </row>
    <row r="1459" customFormat="false" ht="15" hidden="false" customHeight="false" outlineLevel="0" collapsed="false">
      <c r="C1459" s="41" t="str">
        <f aca="false">IF(A1459="","",TEXT(A1459,"mmm-yyyy"))</f>
        <v/>
      </c>
      <c r="I1459" s="47" t="str">
        <f aca="false">IF(G1459="","",G1459+H1459)</f>
        <v/>
      </c>
    </row>
    <row r="1460" customFormat="false" ht="15" hidden="false" customHeight="false" outlineLevel="0" collapsed="false">
      <c r="C1460" s="41" t="str">
        <f aca="false">IF(A1460="","",TEXT(A1460,"mmm-yyyy"))</f>
        <v/>
      </c>
      <c r="I1460" s="47" t="str">
        <f aca="false">IF(G1460="","",G1460+H1460)</f>
        <v/>
      </c>
    </row>
    <row r="1461" customFormat="false" ht="15" hidden="false" customHeight="false" outlineLevel="0" collapsed="false">
      <c r="C1461" s="41" t="str">
        <f aca="false">IF(A1461="","",TEXT(A1461,"mmm-yyyy"))</f>
        <v/>
      </c>
      <c r="I1461" s="47" t="str">
        <f aca="false">IF(G1461="","",G1461+H1461)</f>
        <v/>
      </c>
    </row>
    <row r="1462" customFormat="false" ht="15" hidden="false" customHeight="false" outlineLevel="0" collapsed="false">
      <c r="C1462" s="41" t="str">
        <f aca="false">IF(A1462="","",TEXT(A1462,"mmm-yyyy"))</f>
        <v/>
      </c>
      <c r="I1462" s="47" t="str">
        <f aca="false">IF(G1462="","",G1462+H1462)</f>
        <v/>
      </c>
    </row>
    <row r="1463" customFormat="false" ht="15" hidden="false" customHeight="false" outlineLevel="0" collapsed="false">
      <c r="C1463" s="41" t="str">
        <f aca="false">IF(A1463="","",TEXT(A1463,"mmm-yyyy"))</f>
        <v/>
      </c>
      <c r="I1463" s="47" t="str">
        <f aca="false">IF(G1463="","",G1463+H1463)</f>
        <v/>
      </c>
    </row>
    <row r="1464" customFormat="false" ht="15" hidden="false" customHeight="false" outlineLevel="0" collapsed="false">
      <c r="C1464" s="41" t="str">
        <f aca="false">IF(A1464="","",TEXT(A1464,"mmm-yyyy"))</f>
        <v/>
      </c>
      <c r="I1464" s="47" t="str">
        <f aca="false">IF(G1464="","",G1464+H1464)</f>
        <v/>
      </c>
    </row>
    <row r="1465" customFormat="false" ht="15" hidden="false" customHeight="false" outlineLevel="0" collapsed="false">
      <c r="C1465" s="41" t="str">
        <f aca="false">IF(A1465="","",TEXT(A1465,"mmm-yyyy"))</f>
        <v/>
      </c>
      <c r="I1465" s="47" t="str">
        <f aca="false">IF(G1465="","",G1465+H1465)</f>
        <v/>
      </c>
    </row>
    <row r="1466" customFormat="false" ht="15" hidden="false" customHeight="false" outlineLevel="0" collapsed="false">
      <c r="C1466" s="41" t="str">
        <f aca="false">IF(A1466="","",TEXT(A1466,"mmm-yyyy"))</f>
        <v/>
      </c>
      <c r="I1466" s="47" t="str">
        <f aca="false">IF(G1466="","",G1466+H1466)</f>
        <v/>
      </c>
    </row>
    <row r="1467" customFormat="false" ht="15" hidden="false" customHeight="false" outlineLevel="0" collapsed="false">
      <c r="C1467" s="41" t="str">
        <f aca="false">IF(A1467="","",TEXT(A1467,"mmm-yyyy"))</f>
        <v/>
      </c>
      <c r="I1467" s="47" t="str">
        <f aca="false">IF(G1467="","",G1467+H1467)</f>
        <v/>
      </c>
    </row>
    <row r="1468" customFormat="false" ht="15" hidden="false" customHeight="false" outlineLevel="0" collapsed="false">
      <c r="C1468" s="41" t="str">
        <f aca="false">IF(A1468="","",TEXT(A1468,"mmm-yyyy"))</f>
        <v/>
      </c>
      <c r="I1468" s="47" t="str">
        <f aca="false">IF(G1468="","",G1468+H1468)</f>
        <v/>
      </c>
    </row>
    <row r="1469" customFormat="false" ht="15" hidden="false" customHeight="false" outlineLevel="0" collapsed="false">
      <c r="C1469" s="41" t="str">
        <f aca="false">IF(A1469="","",TEXT(A1469,"mmm-yyyy"))</f>
        <v/>
      </c>
      <c r="I1469" s="47" t="str">
        <f aca="false">IF(G1469="","",G1469+H1469)</f>
        <v/>
      </c>
    </row>
    <row r="1470" customFormat="false" ht="15" hidden="false" customHeight="false" outlineLevel="0" collapsed="false">
      <c r="C1470" s="41" t="str">
        <f aca="false">IF(A1470="","",TEXT(A1470,"mmm-yyyy"))</f>
        <v/>
      </c>
      <c r="I1470" s="47" t="str">
        <f aca="false">IF(G1470="","",G1470+H1470)</f>
        <v/>
      </c>
    </row>
    <row r="1471" customFormat="false" ht="15" hidden="false" customHeight="false" outlineLevel="0" collapsed="false">
      <c r="C1471" s="41" t="str">
        <f aca="false">IF(A1471="","",TEXT(A1471,"mmm-yyyy"))</f>
        <v/>
      </c>
      <c r="I1471" s="47" t="str">
        <f aca="false">IF(G1471="","",G1471+H1471)</f>
        <v/>
      </c>
    </row>
    <row r="1472" customFormat="false" ht="15" hidden="false" customHeight="false" outlineLevel="0" collapsed="false">
      <c r="C1472" s="41" t="str">
        <f aca="false">IF(A1472="","",TEXT(A1472,"mmm-yyyy"))</f>
        <v/>
      </c>
      <c r="I1472" s="47" t="str">
        <f aca="false">IF(G1472="","",G1472+H1472)</f>
        <v/>
      </c>
    </row>
    <row r="1473" customFormat="false" ht="15" hidden="false" customHeight="false" outlineLevel="0" collapsed="false">
      <c r="C1473" s="41" t="str">
        <f aca="false">IF(A1473="","",TEXT(A1473,"mmm-yyyy"))</f>
        <v/>
      </c>
      <c r="I1473" s="47" t="str">
        <f aca="false">IF(G1473="","",G1473+H1473)</f>
        <v/>
      </c>
    </row>
    <row r="1474" customFormat="false" ht="15" hidden="false" customHeight="false" outlineLevel="0" collapsed="false">
      <c r="C1474" s="41" t="str">
        <f aca="false">IF(A1474="","",TEXT(A1474,"mmm-yyyy"))</f>
        <v/>
      </c>
      <c r="I1474" s="47" t="str">
        <f aca="false">IF(G1474="","",G1474+H1474)</f>
        <v/>
      </c>
    </row>
    <row r="1475" customFormat="false" ht="15" hidden="false" customHeight="false" outlineLevel="0" collapsed="false">
      <c r="C1475" s="41" t="str">
        <f aca="false">IF(A1475="","",TEXT(A1475,"mmm-yyyy"))</f>
        <v/>
      </c>
      <c r="I1475" s="47" t="str">
        <f aca="false">IF(G1475="","",G1475+H1475)</f>
        <v/>
      </c>
    </row>
    <row r="1476" customFormat="false" ht="15" hidden="false" customHeight="false" outlineLevel="0" collapsed="false">
      <c r="C1476" s="41" t="str">
        <f aca="false">IF(A1476="","",TEXT(A1476,"mmm-yyyy"))</f>
        <v/>
      </c>
      <c r="I1476" s="47" t="str">
        <f aca="false">IF(G1476="","",G1476+H1476)</f>
        <v/>
      </c>
    </row>
    <row r="1477" customFormat="false" ht="15" hidden="false" customHeight="false" outlineLevel="0" collapsed="false">
      <c r="C1477" s="41" t="str">
        <f aca="false">IF(A1477="","",TEXT(A1477,"mmm-yyyy"))</f>
        <v/>
      </c>
      <c r="I1477" s="47" t="str">
        <f aca="false">IF(G1477="","",G1477+H1477)</f>
        <v/>
      </c>
    </row>
    <row r="1478" customFormat="false" ht="15" hidden="false" customHeight="false" outlineLevel="0" collapsed="false">
      <c r="C1478" s="41" t="str">
        <f aca="false">IF(A1478="","",TEXT(A1478,"mmm-yyyy"))</f>
        <v/>
      </c>
      <c r="I1478" s="47" t="str">
        <f aca="false">IF(G1478="","",G1478+H1478)</f>
        <v/>
      </c>
    </row>
    <row r="1479" customFormat="false" ht="15" hidden="false" customHeight="false" outlineLevel="0" collapsed="false">
      <c r="C1479" s="41" t="str">
        <f aca="false">IF(A1479="","",TEXT(A1479,"mmm-yyyy"))</f>
        <v/>
      </c>
      <c r="I1479" s="47" t="str">
        <f aca="false">IF(G1479="","",G1479+H1479)</f>
        <v/>
      </c>
    </row>
    <row r="1480" customFormat="false" ht="15" hidden="false" customHeight="false" outlineLevel="0" collapsed="false">
      <c r="C1480" s="41" t="str">
        <f aca="false">IF(A1480="","",TEXT(A1480,"mmm-yyyy"))</f>
        <v/>
      </c>
      <c r="I1480" s="47" t="str">
        <f aca="false">IF(G1480="","",G1480+H1480)</f>
        <v/>
      </c>
    </row>
    <row r="1481" customFormat="false" ht="15" hidden="false" customHeight="false" outlineLevel="0" collapsed="false">
      <c r="C1481" s="41" t="str">
        <f aca="false">IF(A1481="","",TEXT(A1481,"mmm-yyyy"))</f>
        <v/>
      </c>
      <c r="I1481" s="47" t="str">
        <f aca="false">IF(G1481="","",G1481+H1481)</f>
        <v/>
      </c>
    </row>
    <row r="1482" customFormat="false" ht="15" hidden="false" customHeight="false" outlineLevel="0" collapsed="false">
      <c r="C1482" s="41" t="str">
        <f aca="false">IF(A1482="","",TEXT(A1482,"mmm-yyyy"))</f>
        <v/>
      </c>
      <c r="I1482" s="47" t="str">
        <f aca="false">IF(G1482="","",G1482+H1482)</f>
        <v/>
      </c>
    </row>
    <row r="1483" customFormat="false" ht="15" hidden="false" customHeight="false" outlineLevel="0" collapsed="false">
      <c r="C1483" s="41" t="str">
        <f aca="false">IF(A1483="","",TEXT(A1483,"mmm-yyyy"))</f>
        <v/>
      </c>
      <c r="I1483" s="47" t="str">
        <f aca="false">IF(G1483="","",G1483+H1483)</f>
        <v/>
      </c>
    </row>
    <row r="1484" customFormat="false" ht="15" hidden="false" customHeight="false" outlineLevel="0" collapsed="false">
      <c r="C1484" s="41" t="str">
        <f aca="false">IF(A1484="","",TEXT(A1484,"mmm-yyyy"))</f>
        <v/>
      </c>
      <c r="I1484" s="47" t="str">
        <f aca="false">IF(G1484="","",G1484+H1484)</f>
        <v/>
      </c>
    </row>
    <row r="1485" customFormat="false" ht="15" hidden="false" customHeight="false" outlineLevel="0" collapsed="false">
      <c r="C1485" s="41" t="str">
        <f aca="false">IF(A1485="","",TEXT(A1485,"mmm-yyyy"))</f>
        <v/>
      </c>
      <c r="I1485" s="47" t="str">
        <f aca="false">IF(G1485="","",G1485+H1485)</f>
        <v/>
      </c>
    </row>
    <row r="1486" customFormat="false" ht="15" hidden="false" customHeight="false" outlineLevel="0" collapsed="false">
      <c r="C1486" s="41" t="str">
        <f aca="false">IF(A1486="","",TEXT(A1486,"mmm-yyyy"))</f>
        <v/>
      </c>
      <c r="I1486" s="47" t="str">
        <f aca="false">IF(G1486="","",G1486+H1486)</f>
        <v/>
      </c>
    </row>
    <row r="1487" customFormat="false" ht="15" hidden="false" customHeight="false" outlineLevel="0" collapsed="false">
      <c r="C1487" s="41" t="str">
        <f aca="false">IF(A1487="","",TEXT(A1487,"mmm-yyyy"))</f>
        <v/>
      </c>
      <c r="I1487" s="47" t="str">
        <f aca="false">IF(G1487="","",G1487+H1487)</f>
        <v/>
      </c>
    </row>
    <row r="1488" customFormat="false" ht="15" hidden="false" customHeight="false" outlineLevel="0" collapsed="false">
      <c r="C1488" s="41" t="str">
        <f aca="false">IF(A1488="","",TEXT(A1488,"mmm-yyyy"))</f>
        <v/>
      </c>
      <c r="I1488" s="47" t="str">
        <f aca="false">IF(G1488="","",G1488+H1488)</f>
        <v/>
      </c>
    </row>
    <row r="1489" customFormat="false" ht="15" hidden="false" customHeight="false" outlineLevel="0" collapsed="false">
      <c r="C1489" s="41" t="str">
        <f aca="false">IF(A1489="","",TEXT(A1489,"mmm-yyyy"))</f>
        <v/>
      </c>
      <c r="I1489" s="47" t="str">
        <f aca="false">IF(G1489="","",G1489+H1489)</f>
        <v/>
      </c>
    </row>
    <row r="1490" customFormat="false" ht="15" hidden="false" customHeight="false" outlineLevel="0" collapsed="false">
      <c r="C1490" s="41" t="str">
        <f aca="false">IF(A1490="","",TEXT(A1490,"mmm-yyyy"))</f>
        <v/>
      </c>
      <c r="I1490" s="47" t="str">
        <f aca="false">IF(G1490="","",G1490+H1490)</f>
        <v/>
      </c>
    </row>
    <row r="1491" customFormat="false" ht="15" hidden="false" customHeight="false" outlineLevel="0" collapsed="false">
      <c r="C1491" s="41" t="str">
        <f aca="false">IF(A1491="","",TEXT(A1491,"mmm-yyyy"))</f>
        <v/>
      </c>
      <c r="I1491" s="47" t="str">
        <f aca="false">IF(G1491="","",G1491+H1491)</f>
        <v/>
      </c>
    </row>
    <row r="1492" customFormat="false" ht="15" hidden="false" customHeight="false" outlineLevel="0" collapsed="false">
      <c r="C1492" s="41" t="str">
        <f aca="false">IF(A1492="","",TEXT(A1492,"mmm-yyyy"))</f>
        <v/>
      </c>
      <c r="I1492" s="47" t="str">
        <f aca="false">IF(G1492="","",G1492+H1492)</f>
        <v/>
      </c>
    </row>
    <row r="1493" customFormat="false" ht="15" hidden="false" customHeight="false" outlineLevel="0" collapsed="false">
      <c r="C1493" s="41" t="str">
        <f aca="false">IF(A1493="","",TEXT(A1493,"mmm-yyyy"))</f>
        <v/>
      </c>
      <c r="I1493" s="47" t="str">
        <f aca="false">IF(G1493="","",G1493+H1493)</f>
        <v/>
      </c>
    </row>
    <row r="1494" customFormat="false" ht="15" hidden="false" customHeight="false" outlineLevel="0" collapsed="false">
      <c r="C1494" s="41" t="str">
        <f aca="false">IF(A1494="","",TEXT(A1494,"mmm-yyyy"))</f>
        <v/>
      </c>
      <c r="I1494" s="47" t="str">
        <f aca="false">IF(G1494="","",G1494+H1494)</f>
        <v/>
      </c>
    </row>
    <row r="1495" customFormat="false" ht="15" hidden="false" customHeight="false" outlineLevel="0" collapsed="false">
      <c r="C1495" s="41" t="str">
        <f aca="false">IF(A1495="","",TEXT(A1495,"mmm-yyyy"))</f>
        <v/>
      </c>
      <c r="I1495" s="47" t="str">
        <f aca="false">IF(G1495="","",G1495+H1495)</f>
        <v/>
      </c>
    </row>
    <row r="1496" customFormat="false" ht="15" hidden="false" customHeight="false" outlineLevel="0" collapsed="false">
      <c r="C1496" s="41" t="str">
        <f aca="false">IF(A1496="","",TEXT(A1496,"mmm-yyyy"))</f>
        <v/>
      </c>
      <c r="I1496" s="47" t="str">
        <f aca="false">IF(G1496="","",G1496+H1496)</f>
        <v/>
      </c>
    </row>
    <row r="1497" customFormat="false" ht="15" hidden="false" customHeight="false" outlineLevel="0" collapsed="false">
      <c r="C1497" s="41" t="str">
        <f aca="false">IF(A1497="","",TEXT(A1497,"mmm-yyyy"))</f>
        <v/>
      </c>
      <c r="I1497" s="47" t="str">
        <f aca="false">IF(G1497="","",G1497+H1497)</f>
        <v/>
      </c>
    </row>
    <row r="1498" customFormat="false" ht="15" hidden="false" customHeight="false" outlineLevel="0" collapsed="false">
      <c r="C1498" s="41" t="str">
        <f aca="false">IF(A1498="","",TEXT(A1498,"mmm-yyyy"))</f>
        <v/>
      </c>
      <c r="I1498" s="47" t="str">
        <f aca="false">IF(G1498="","",G1498+H1498)</f>
        <v/>
      </c>
    </row>
    <row r="1499" customFormat="false" ht="15" hidden="false" customHeight="false" outlineLevel="0" collapsed="false">
      <c r="C1499" s="41" t="str">
        <f aca="false">IF(A1499="","",TEXT(A1499,"mmm-yyyy"))</f>
        <v/>
      </c>
      <c r="I1499" s="47" t="str">
        <f aca="false">IF(G1499="","",G1499+H1499)</f>
        <v/>
      </c>
    </row>
    <row r="1500" customFormat="false" ht="15" hidden="false" customHeight="false" outlineLevel="0" collapsed="false">
      <c r="C1500" s="41" t="str">
        <f aca="false">IF(A1500="","",TEXT(A1500,"mmm-yyyy"))</f>
        <v/>
      </c>
      <c r="I1500" s="47" t="str">
        <f aca="false">IF(G1500="","",G1500+H1500)</f>
        <v/>
      </c>
    </row>
    <row r="1501" customFormat="false" ht="15" hidden="false" customHeight="false" outlineLevel="0" collapsed="false">
      <c r="C1501" s="41" t="str">
        <f aca="false">IF(A1501="","",TEXT(A1501,"mmm-yyyy"))</f>
        <v/>
      </c>
      <c r="I1501" s="47" t="str">
        <f aca="false">IF(G1501="","",G1501+H1501)</f>
        <v/>
      </c>
    </row>
    <row r="1502" customFormat="false" ht="15" hidden="false" customHeight="false" outlineLevel="0" collapsed="false">
      <c r="C1502" s="41" t="str">
        <f aca="false">IF(A1502="","",TEXT(A1502,"mmm-yyyy"))</f>
        <v/>
      </c>
      <c r="I1502" s="47" t="str">
        <f aca="false">IF(G1502="","",G1502+H1502)</f>
        <v/>
      </c>
    </row>
    <row r="1503" customFormat="false" ht="15" hidden="false" customHeight="false" outlineLevel="0" collapsed="false">
      <c r="C1503" s="41" t="str">
        <f aca="false">IF(A1503="","",TEXT(A1503,"mmm-yyyy"))</f>
        <v/>
      </c>
      <c r="I1503" s="47" t="str">
        <f aca="false">IF(G1503="","",G1503+H1503)</f>
        <v/>
      </c>
    </row>
    <row r="1504" customFormat="false" ht="15" hidden="false" customHeight="false" outlineLevel="0" collapsed="false">
      <c r="C1504" s="41" t="str">
        <f aca="false">IF(A1504="","",TEXT(A1504,"mmm-yyyy"))</f>
        <v/>
      </c>
      <c r="I1504" s="47" t="str">
        <f aca="false">IF(G1504="","",G1504+H1504)</f>
        <v/>
      </c>
    </row>
    <row r="1505" customFormat="false" ht="15" hidden="false" customHeight="false" outlineLevel="0" collapsed="false">
      <c r="C1505" s="41" t="str">
        <f aca="false">IF(A1505="","",TEXT(A1505,"mmm-yyyy"))</f>
        <v/>
      </c>
      <c r="I1505" s="47" t="str">
        <f aca="false">IF(G1505="","",G1505+H1505)</f>
        <v/>
      </c>
    </row>
    <row r="1506" customFormat="false" ht="15" hidden="false" customHeight="false" outlineLevel="0" collapsed="false">
      <c r="C1506" s="41" t="str">
        <f aca="false">IF(A1506="","",TEXT(A1506,"mmm-yyyy"))</f>
        <v/>
      </c>
      <c r="I1506" s="47" t="str">
        <f aca="false">IF(G1506="","",G1506+H1506)</f>
        <v/>
      </c>
    </row>
    <row r="1507" customFormat="false" ht="15" hidden="false" customHeight="false" outlineLevel="0" collapsed="false">
      <c r="C1507" s="41" t="str">
        <f aca="false">IF(A1507="","",TEXT(A1507,"mmm-yyyy"))</f>
        <v/>
      </c>
      <c r="I1507" s="47" t="str">
        <f aca="false">IF(G1507="","",G1507+H1507)</f>
        <v/>
      </c>
    </row>
    <row r="1508" customFormat="false" ht="15" hidden="false" customHeight="false" outlineLevel="0" collapsed="false">
      <c r="C1508" s="41" t="str">
        <f aca="false">IF(A1508="","",TEXT(A1508,"mmm-yyyy"))</f>
        <v/>
      </c>
      <c r="I1508" s="47" t="str">
        <f aca="false">IF(G1508="","",G1508+H1508)</f>
        <v/>
      </c>
    </row>
    <row r="1509" customFormat="false" ht="15" hidden="false" customHeight="false" outlineLevel="0" collapsed="false">
      <c r="C1509" s="41" t="str">
        <f aca="false">IF(A1509="","",TEXT(A1509,"mmm-yyyy"))</f>
        <v/>
      </c>
      <c r="I1509" s="47" t="str">
        <f aca="false">IF(G1509="","",G1509+H1509)</f>
        <v/>
      </c>
    </row>
    <row r="1510" customFormat="false" ht="15" hidden="false" customHeight="false" outlineLevel="0" collapsed="false">
      <c r="C1510" s="41" t="str">
        <f aca="false">IF(A1510="","",TEXT(A1510,"mmm-yyyy"))</f>
        <v/>
      </c>
      <c r="I1510" s="47" t="str">
        <f aca="false">IF(G1510="","",G1510+H1510)</f>
        <v/>
      </c>
    </row>
    <row r="1511" customFormat="false" ht="15" hidden="false" customHeight="false" outlineLevel="0" collapsed="false">
      <c r="C1511" s="41" t="str">
        <f aca="false">IF(A1511="","",TEXT(A1511,"mmm-yyyy"))</f>
        <v/>
      </c>
      <c r="I1511" s="47" t="str">
        <f aca="false">IF(G1511="","",G1511+H1511)</f>
        <v/>
      </c>
    </row>
    <row r="1512" customFormat="false" ht="15" hidden="false" customHeight="false" outlineLevel="0" collapsed="false">
      <c r="C1512" s="41" t="str">
        <f aca="false">IF(A1512="","",TEXT(A1512,"mmm-yyyy"))</f>
        <v/>
      </c>
      <c r="I1512" s="47" t="str">
        <f aca="false">IF(G1512="","",G1512+H1512)</f>
        <v/>
      </c>
    </row>
    <row r="1513" customFormat="false" ht="15" hidden="false" customHeight="false" outlineLevel="0" collapsed="false">
      <c r="C1513" s="41" t="str">
        <f aca="false">IF(A1513="","",TEXT(A1513,"mmm-yyyy"))</f>
        <v/>
      </c>
      <c r="I1513" s="47" t="str">
        <f aca="false">IF(G1513="","",G1513+H1513)</f>
        <v/>
      </c>
    </row>
    <row r="1514" customFormat="false" ht="15" hidden="false" customHeight="false" outlineLevel="0" collapsed="false">
      <c r="C1514" s="41" t="str">
        <f aca="false">IF(A1514="","",TEXT(A1514,"mmm-yyyy"))</f>
        <v/>
      </c>
      <c r="I1514" s="47" t="str">
        <f aca="false">IF(G1514="","",G1514+H1514)</f>
        <v/>
      </c>
    </row>
    <row r="1515" customFormat="false" ht="15" hidden="false" customHeight="false" outlineLevel="0" collapsed="false">
      <c r="C1515" s="41" t="str">
        <f aca="false">IF(A1515="","",TEXT(A1515,"mmm-yyyy"))</f>
        <v/>
      </c>
      <c r="I1515" s="47" t="str">
        <f aca="false">IF(G1515="","",G1515+H1515)</f>
        <v/>
      </c>
    </row>
    <row r="1516" customFormat="false" ht="15" hidden="false" customHeight="false" outlineLevel="0" collapsed="false">
      <c r="C1516" s="41" t="str">
        <f aca="false">IF(A1516="","",TEXT(A1516,"mmm-yyyy"))</f>
        <v/>
      </c>
      <c r="I1516" s="47" t="str">
        <f aca="false">IF(G1516="","",G1516+H1516)</f>
        <v/>
      </c>
    </row>
    <row r="1517" customFormat="false" ht="15" hidden="false" customHeight="false" outlineLevel="0" collapsed="false">
      <c r="C1517" s="41" t="str">
        <f aca="false">IF(A1517="","",TEXT(A1517,"mmm-yyyy"))</f>
        <v/>
      </c>
      <c r="I1517" s="47" t="str">
        <f aca="false">IF(G1517="","",G1517+H1517)</f>
        <v/>
      </c>
    </row>
    <row r="1518" customFormat="false" ht="15" hidden="false" customHeight="false" outlineLevel="0" collapsed="false">
      <c r="C1518" s="41" t="str">
        <f aca="false">IF(A1518="","",TEXT(A1518,"mmm-yyyy"))</f>
        <v/>
      </c>
      <c r="I1518" s="47" t="str">
        <f aca="false">IF(G1518="","",G1518+H1518)</f>
        <v/>
      </c>
    </row>
    <row r="1519" customFormat="false" ht="15" hidden="false" customHeight="false" outlineLevel="0" collapsed="false">
      <c r="C1519" s="41" t="str">
        <f aca="false">IF(A1519="","",TEXT(A1519,"mmm-yyyy"))</f>
        <v/>
      </c>
      <c r="I1519" s="47" t="str">
        <f aca="false">IF(G1519="","",G1519+H1519)</f>
        <v/>
      </c>
    </row>
    <row r="1520" customFormat="false" ht="15" hidden="false" customHeight="false" outlineLevel="0" collapsed="false">
      <c r="C1520" s="41" t="str">
        <f aca="false">IF(A1520="","",TEXT(A1520,"mmm-yyyy"))</f>
        <v/>
      </c>
      <c r="I1520" s="47" t="str">
        <f aca="false">IF(G1520="","",G1520+H1520)</f>
        <v/>
      </c>
    </row>
    <row r="1521" customFormat="false" ht="15" hidden="false" customHeight="false" outlineLevel="0" collapsed="false">
      <c r="C1521" s="41" t="str">
        <f aca="false">IF(A1521="","",TEXT(A1521,"mmm-yyyy"))</f>
        <v/>
      </c>
      <c r="I1521" s="47" t="str">
        <f aca="false">IF(G1521="","",G1521+H1521)</f>
        <v/>
      </c>
    </row>
    <row r="1522" customFormat="false" ht="15" hidden="false" customHeight="false" outlineLevel="0" collapsed="false">
      <c r="C1522" s="41" t="str">
        <f aca="false">IF(A1522="","",TEXT(A1522,"mmm-yyyy"))</f>
        <v/>
      </c>
      <c r="I1522" s="47" t="str">
        <f aca="false">IF(G1522="","",G1522+H1522)</f>
        <v/>
      </c>
    </row>
    <row r="1523" customFormat="false" ht="15" hidden="false" customHeight="false" outlineLevel="0" collapsed="false">
      <c r="C1523" s="41" t="str">
        <f aca="false">IF(A1523="","",TEXT(A1523,"mmm-yyyy"))</f>
        <v/>
      </c>
      <c r="I1523" s="47" t="str">
        <f aca="false">IF(G1523="","",G1523+H1523)</f>
        <v/>
      </c>
    </row>
    <row r="1524" customFormat="false" ht="15" hidden="false" customHeight="false" outlineLevel="0" collapsed="false">
      <c r="C1524" s="41" t="str">
        <f aca="false">IF(A1524="","",TEXT(A1524,"mmm-yyyy"))</f>
        <v/>
      </c>
      <c r="I1524" s="47" t="str">
        <f aca="false">IF(G1524="","",G1524+H1524)</f>
        <v/>
      </c>
    </row>
    <row r="1525" customFormat="false" ht="15" hidden="false" customHeight="false" outlineLevel="0" collapsed="false">
      <c r="C1525" s="41" t="str">
        <f aca="false">IF(A1525="","",TEXT(A1525,"mmm-yyyy"))</f>
        <v/>
      </c>
      <c r="I1525" s="47" t="str">
        <f aca="false">IF(G1525="","",G1525+H1525)</f>
        <v/>
      </c>
    </row>
    <row r="1526" customFormat="false" ht="15" hidden="false" customHeight="false" outlineLevel="0" collapsed="false">
      <c r="C1526" s="41" t="str">
        <f aca="false">IF(A1526="","",TEXT(A1526,"mmm-yyyy"))</f>
        <v/>
      </c>
      <c r="I1526" s="47" t="str">
        <f aca="false">IF(G1526="","",G1526+H1526)</f>
        <v/>
      </c>
    </row>
    <row r="1527" customFormat="false" ht="15" hidden="false" customHeight="false" outlineLevel="0" collapsed="false">
      <c r="C1527" s="41" t="str">
        <f aca="false">IF(A1527="","",TEXT(A1527,"mmm-yyyy"))</f>
        <v/>
      </c>
      <c r="I1527" s="47" t="str">
        <f aca="false">IF(G1527="","",G1527+H1527)</f>
        <v/>
      </c>
    </row>
    <row r="1528" customFormat="false" ht="15" hidden="false" customHeight="false" outlineLevel="0" collapsed="false">
      <c r="C1528" s="41" t="str">
        <f aca="false">IF(A1528="","",TEXT(A1528,"mmm-yyyy"))</f>
        <v/>
      </c>
      <c r="I1528" s="47" t="str">
        <f aca="false">IF(G1528="","",G1528+H1528)</f>
        <v/>
      </c>
    </row>
    <row r="1529" customFormat="false" ht="15" hidden="false" customHeight="false" outlineLevel="0" collapsed="false">
      <c r="C1529" s="41" t="str">
        <f aca="false">IF(A1529="","",TEXT(A1529,"mmm-yyyy"))</f>
        <v/>
      </c>
      <c r="I1529" s="47" t="str">
        <f aca="false">IF(G1529="","",G1529+H1529)</f>
        <v/>
      </c>
    </row>
    <row r="1530" customFormat="false" ht="15" hidden="false" customHeight="false" outlineLevel="0" collapsed="false">
      <c r="C1530" s="41" t="str">
        <f aca="false">IF(A1530="","",TEXT(A1530,"mmm-yyyy"))</f>
        <v/>
      </c>
      <c r="I1530" s="47" t="str">
        <f aca="false">IF(G1530="","",G1530+H1530)</f>
        <v/>
      </c>
    </row>
    <row r="1531" customFormat="false" ht="15" hidden="false" customHeight="false" outlineLevel="0" collapsed="false">
      <c r="C1531" s="41" t="str">
        <f aca="false">IF(A1531="","",TEXT(A1531,"mmm-yyyy"))</f>
        <v/>
      </c>
      <c r="I1531" s="47" t="str">
        <f aca="false">IF(G1531="","",G1531+H1531)</f>
        <v/>
      </c>
    </row>
    <row r="1532" customFormat="false" ht="15" hidden="false" customHeight="false" outlineLevel="0" collapsed="false">
      <c r="C1532" s="41" t="str">
        <f aca="false">IF(A1532="","",TEXT(A1532,"mmm-yyyy"))</f>
        <v/>
      </c>
      <c r="I1532" s="47" t="str">
        <f aca="false">IF(G1532="","",G1532+H1532)</f>
        <v/>
      </c>
    </row>
    <row r="1533" customFormat="false" ht="15" hidden="false" customHeight="false" outlineLevel="0" collapsed="false">
      <c r="C1533" s="41" t="str">
        <f aca="false">IF(A1533="","",TEXT(A1533,"mmm-yyyy"))</f>
        <v/>
      </c>
      <c r="I1533" s="47" t="str">
        <f aca="false">IF(G1533="","",G1533+H1533)</f>
        <v/>
      </c>
    </row>
    <row r="1534" customFormat="false" ht="15" hidden="false" customHeight="false" outlineLevel="0" collapsed="false">
      <c r="C1534" s="41" t="str">
        <f aca="false">IF(A1534="","",TEXT(A1534,"mmm-yyyy"))</f>
        <v/>
      </c>
      <c r="I1534" s="47" t="str">
        <f aca="false">IF(G1534="","",G1534+H1534)</f>
        <v/>
      </c>
    </row>
    <row r="1535" customFormat="false" ht="15" hidden="false" customHeight="false" outlineLevel="0" collapsed="false">
      <c r="C1535" s="41" t="str">
        <f aca="false">IF(A1535="","",TEXT(A1535,"mmm-yyyy"))</f>
        <v/>
      </c>
      <c r="I1535" s="47" t="str">
        <f aca="false">IF(G1535="","",G1535+H1535)</f>
        <v/>
      </c>
    </row>
    <row r="1536" customFormat="false" ht="15" hidden="false" customHeight="false" outlineLevel="0" collapsed="false">
      <c r="C1536" s="41" t="str">
        <f aca="false">IF(A1536="","",TEXT(A1536,"mmm-yyyy"))</f>
        <v/>
      </c>
      <c r="I1536" s="47" t="str">
        <f aca="false">IF(G1536="","",G1536+H1536)</f>
        <v/>
      </c>
    </row>
    <row r="1537" customFormat="false" ht="15" hidden="false" customHeight="false" outlineLevel="0" collapsed="false">
      <c r="C1537" s="41" t="str">
        <f aca="false">IF(A1537="","",TEXT(A1537,"mmm-yyyy"))</f>
        <v/>
      </c>
      <c r="I1537" s="47" t="str">
        <f aca="false">IF(G1537="","",G1537+H1537)</f>
        <v/>
      </c>
    </row>
    <row r="1538" customFormat="false" ht="15" hidden="false" customHeight="false" outlineLevel="0" collapsed="false">
      <c r="C1538" s="41" t="str">
        <f aca="false">IF(A1538="","",TEXT(A1538,"mmm-yyyy"))</f>
        <v/>
      </c>
      <c r="I1538" s="47" t="str">
        <f aca="false">IF(G1538="","",G1538+H1538)</f>
        <v/>
      </c>
    </row>
    <row r="1539" customFormat="false" ht="15" hidden="false" customHeight="false" outlineLevel="0" collapsed="false">
      <c r="C1539" s="41" t="str">
        <f aca="false">IF(A1539="","",TEXT(A1539,"mmm-yyyy"))</f>
        <v/>
      </c>
      <c r="I1539" s="47" t="str">
        <f aca="false">IF(G1539="","",G1539+H1539)</f>
        <v/>
      </c>
    </row>
    <row r="1540" customFormat="false" ht="15" hidden="false" customHeight="false" outlineLevel="0" collapsed="false">
      <c r="C1540" s="41" t="str">
        <f aca="false">IF(A1540="","",TEXT(A1540,"mmm-yyyy"))</f>
        <v/>
      </c>
      <c r="I1540" s="47" t="str">
        <f aca="false">IF(G1540="","",G1540+H1540)</f>
        <v/>
      </c>
    </row>
    <row r="1541" customFormat="false" ht="15" hidden="false" customHeight="false" outlineLevel="0" collapsed="false">
      <c r="C1541" s="41" t="str">
        <f aca="false">IF(A1541="","",TEXT(A1541,"mmm-yyyy"))</f>
        <v/>
      </c>
      <c r="I1541" s="47" t="str">
        <f aca="false">IF(G1541="","",G1541+H1541)</f>
        <v/>
      </c>
    </row>
    <row r="1542" customFormat="false" ht="15" hidden="false" customHeight="false" outlineLevel="0" collapsed="false">
      <c r="C1542" s="41" t="str">
        <f aca="false">IF(A1542="","",TEXT(A1542,"mmm-yyyy"))</f>
        <v/>
      </c>
      <c r="I1542" s="47" t="str">
        <f aca="false">IF(G1542="","",G1542+H1542)</f>
        <v/>
      </c>
    </row>
    <row r="1543" customFormat="false" ht="15" hidden="false" customHeight="false" outlineLevel="0" collapsed="false">
      <c r="C1543" s="41" t="str">
        <f aca="false">IF(A1543="","",TEXT(A1543,"mmm-yyyy"))</f>
        <v/>
      </c>
      <c r="I1543" s="47" t="str">
        <f aca="false">IF(G1543="","",G1543+H1543)</f>
        <v/>
      </c>
    </row>
    <row r="1544" customFormat="false" ht="15" hidden="false" customHeight="false" outlineLevel="0" collapsed="false">
      <c r="C1544" s="41" t="str">
        <f aca="false">IF(A1544="","",TEXT(A1544,"mmm-yyyy"))</f>
        <v/>
      </c>
      <c r="I1544" s="47" t="str">
        <f aca="false">IF(G1544="","",G1544+H1544)</f>
        <v/>
      </c>
    </row>
    <row r="1545" customFormat="false" ht="15" hidden="false" customHeight="false" outlineLevel="0" collapsed="false">
      <c r="C1545" s="41" t="str">
        <f aca="false">IF(A1545="","",TEXT(A1545,"mmm-yyyy"))</f>
        <v/>
      </c>
      <c r="I1545" s="47" t="str">
        <f aca="false">IF(G1545="","",G1545+H1545)</f>
        <v/>
      </c>
    </row>
    <row r="1546" customFormat="false" ht="15" hidden="false" customHeight="false" outlineLevel="0" collapsed="false">
      <c r="C1546" s="41" t="str">
        <f aca="false">IF(A1546="","",TEXT(A1546,"mmm-yyyy"))</f>
        <v/>
      </c>
      <c r="I1546" s="47" t="str">
        <f aca="false">IF(G1546="","",G1546+H1546)</f>
        <v/>
      </c>
    </row>
    <row r="1547" customFormat="false" ht="15" hidden="false" customHeight="false" outlineLevel="0" collapsed="false">
      <c r="C1547" s="41" t="str">
        <f aca="false">IF(A1547="","",TEXT(A1547,"mmm-yyyy"))</f>
        <v/>
      </c>
      <c r="I1547" s="47" t="str">
        <f aca="false">IF(G1547="","",G1547+H1547)</f>
        <v/>
      </c>
    </row>
    <row r="1548" customFormat="false" ht="15" hidden="false" customHeight="false" outlineLevel="0" collapsed="false">
      <c r="C1548" s="41" t="str">
        <f aca="false">IF(A1548="","",TEXT(A1548,"mmm-yyyy"))</f>
        <v/>
      </c>
      <c r="I1548" s="47" t="str">
        <f aca="false">IF(G1548="","",G1548+H1548)</f>
        <v/>
      </c>
    </row>
    <row r="1549" customFormat="false" ht="15" hidden="false" customHeight="false" outlineLevel="0" collapsed="false">
      <c r="C1549" s="41" t="str">
        <f aca="false">IF(A1549="","",TEXT(A1549,"mmm-yyyy"))</f>
        <v/>
      </c>
      <c r="I1549" s="47" t="str">
        <f aca="false">IF(G1549="","",G1549+H1549)</f>
        <v/>
      </c>
    </row>
    <row r="1550" customFormat="false" ht="15" hidden="false" customHeight="false" outlineLevel="0" collapsed="false">
      <c r="C1550" s="41" t="str">
        <f aca="false">IF(A1550="","",TEXT(A1550,"mmm-yyyy"))</f>
        <v/>
      </c>
      <c r="I1550" s="47" t="str">
        <f aca="false">IF(G1550="","",G1550+H1550)</f>
        <v/>
      </c>
    </row>
    <row r="1551" customFormat="false" ht="15" hidden="false" customHeight="false" outlineLevel="0" collapsed="false">
      <c r="C1551" s="41" t="str">
        <f aca="false">IF(A1551="","",TEXT(A1551,"mmm-yyyy"))</f>
        <v/>
      </c>
      <c r="I1551" s="47" t="str">
        <f aca="false">IF(G1551="","",G1551+H1551)</f>
        <v/>
      </c>
    </row>
    <row r="1552" customFormat="false" ht="15" hidden="false" customHeight="false" outlineLevel="0" collapsed="false">
      <c r="C1552" s="41" t="str">
        <f aca="false">IF(A1552="","",TEXT(A1552,"mmm-yyyy"))</f>
        <v/>
      </c>
      <c r="I1552" s="47" t="str">
        <f aca="false">IF(G1552="","",G1552+H1552)</f>
        <v/>
      </c>
    </row>
    <row r="1553" customFormat="false" ht="15" hidden="false" customHeight="false" outlineLevel="0" collapsed="false">
      <c r="C1553" s="41" t="str">
        <f aca="false">IF(A1553="","",TEXT(A1553,"mmm-yyyy"))</f>
        <v/>
      </c>
      <c r="I1553" s="47" t="str">
        <f aca="false">IF(G1553="","",G1553+H1553)</f>
        <v/>
      </c>
    </row>
    <row r="1554" customFormat="false" ht="15" hidden="false" customHeight="false" outlineLevel="0" collapsed="false">
      <c r="C1554" s="41" t="str">
        <f aca="false">IF(A1554="","",TEXT(A1554,"mmm-yyyy"))</f>
        <v/>
      </c>
      <c r="I1554" s="47" t="str">
        <f aca="false">IF(G1554="","",G1554+H1554)</f>
        <v/>
      </c>
    </row>
    <row r="1555" customFormat="false" ht="15" hidden="false" customHeight="false" outlineLevel="0" collapsed="false">
      <c r="C1555" s="41" t="str">
        <f aca="false">IF(A1555="","",TEXT(A1555,"mmm-yyyy"))</f>
        <v/>
      </c>
      <c r="I1555" s="47" t="str">
        <f aca="false">IF(G1555="","",G1555+H1555)</f>
        <v/>
      </c>
    </row>
    <row r="1556" customFormat="false" ht="15" hidden="false" customHeight="false" outlineLevel="0" collapsed="false">
      <c r="C1556" s="41" t="str">
        <f aca="false">IF(A1556="","",TEXT(A1556,"mmm-yyyy"))</f>
        <v/>
      </c>
      <c r="I1556" s="47" t="str">
        <f aca="false">IF(G1556="","",G1556+H1556)</f>
        <v/>
      </c>
    </row>
    <row r="1557" customFormat="false" ht="15" hidden="false" customHeight="false" outlineLevel="0" collapsed="false">
      <c r="C1557" s="41" t="str">
        <f aca="false">IF(A1557="","",TEXT(A1557,"mmm-yyyy"))</f>
        <v/>
      </c>
      <c r="I1557" s="47" t="str">
        <f aca="false">IF(G1557="","",G1557+H1557)</f>
        <v/>
      </c>
    </row>
    <row r="1558" customFormat="false" ht="15" hidden="false" customHeight="false" outlineLevel="0" collapsed="false">
      <c r="C1558" s="41" t="str">
        <f aca="false">IF(A1558="","",TEXT(A1558,"mmm-yyyy"))</f>
        <v/>
      </c>
      <c r="I1558" s="47" t="str">
        <f aca="false">IF(G1558="","",G1558+H1558)</f>
        <v/>
      </c>
    </row>
    <row r="1559" customFormat="false" ht="15" hidden="false" customHeight="false" outlineLevel="0" collapsed="false">
      <c r="C1559" s="41" t="str">
        <f aca="false">IF(A1559="","",TEXT(A1559,"mmm-yyyy"))</f>
        <v/>
      </c>
      <c r="I1559" s="47" t="str">
        <f aca="false">IF(G1559="","",G1559+H1559)</f>
        <v/>
      </c>
    </row>
    <row r="1560" customFormat="false" ht="15" hidden="false" customHeight="false" outlineLevel="0" collapsed="false">
      <c r="C1560" s="41" t="str">
        <f aca="false">IF(A1560="","",TEXT(A1560,"mmm-yyyy"))</f>
        <v/>
      </c>
      <c r="I1560" s="47" t="str">
        <f aca="false">IF(G1560="","",G1560+H1560)</f>
        <v/>
      </c>
    </row>
    <row r="1561" customFormat="false" ht="15" hidden="false" customHeight="false" outlineLevel="0" collapsed="false">
      <c r="C1561" s="41" t="str">
        <f aca="false">IF(A1561="","",TEXT(A1561,"mmm-yyyy"))</f>
        <v/>
      </c>
      <c r="I1561" s="47" t="str">
        <f aca="false">IF(G1561="","",G1561+H1561)</f>
        <v/>
      </c>
    </row>
    <row r="1562" customFormat="false" ht="15" hidden="false" customHeight="false" outlineLevel="0" collapsed="false">
      <c r="C1562" s="41" t="str">
        <f aca="false">IF(A1562="","",TEXT(A1562,"mmm-yyyy"))</f>
        <v/>
      </c>
      <c r="I1562" s="47" t="str">
        <f aca="false">IF(G1562="","",G1562+H1562)</f>
        <v/>
      </c>
    </row>
    <row r="1563" customFormat="false" ht="15" hidden="false" customHeight="false" outlineLevel="0" collapsed="false">
      <c r="C1563" s="41" t="str">
        <f aca="false">IF(A1563="","",TEXT(A1563,"mmm-yyyy"))</f>
        <v/>
      </c>
      <c r="I1563" s="47" t="str">
        <f aca="false">IF(G1563="","",G1563+H1563)</f>
        <v/>
      </c>
    </row>
    <row r="1564" customFormat="false" ht="15" hidden="false" customHeight="false" outlineLevel="0" collapsed="false">
      <c r="C1564" s="41" t="str">
        <f aca="false">IF(A1564="","",TEXT(A1564,"mmm-yyyy"))</f>
        <v/>
      </c>
      <c r="I1564" s="47" t="str">
        <f aca="false">IF(G1564="","",G1564+H1564)</f>
        <v/>
      </c>
    </row>
    <row r="1565" customFormat="false" ht="15" hidden="false" customHeight="false" outlineLevel="0" collapsed="false">
      <c r="C1565" s="41" t="str">
        <f aca="false">IF(A1565="","",TEXT(A1565,"mmm-yyyy"))</f>
        <v/>
      </c>
      <c r="I1565" s="47" t="str">
        <f aca="false">IF(G1565="","",G1565+H1565)</f>
        <v/>
      </c>
    </row>
    <row r="1566" customFormat="false" ht="15" hidden="false" customHeight="false" outlineLevel="0" collapsed="false">
      <c r="C1566" s="41" t="str">
        <f aca="false">IF(A1566="","",TEXT(A1566,"mmm-yyyy"))</f>
        <v/>
      </c>
      <c r="I1566" s="47" t="str">
        <f aca="false">IF(G1566="","",G1566+H1566)</f>
        <v/>
      </c>
    </row>
    <row r="1567" customFormat="false" ht="15" hidden="false" customHeight="false" outlineLevel="0" collapsed="false">
      <c r="C1567" s="41" t="str">
        <f aca="false">IF(A1567="","",TEXT(A1567,"mmm-yyyy"))</f>
        <v/>
      </c>
      <c r="I1567" s="47" t="str">
        <f aca="false">IF(G1567="","",G1567+H1567)</f>
        <v/>
      </c>
    </row>
    <row r="1568" customFormat="false" ht="15" hidden="false" customHeight="false" outlineLevel="0" collapsed="false">
      <c r="C1568" s="41" t="str">
        <f aca="false">IF(A1568="","",TEXT(A1568,"mmm-yyyy"))</f>
        <v/>
      </c>
      <c r="I1568" s="47" t="str">
        <f aca="false">IF(G1568="","",G1568+H1568)</f>
        <v/>
      </c>
    </row>
    <row r="1569" customFormat="false" ht="15" hidden="false" customHeight="false" outlineLevel="0" collapsed="false">
      <c r="C1569" s="41" t="str">
        <f aca="false">IF(A1569="","",TEXT(A1569,"mmm-yyyy"))</f>
        <v/>
      </c>
      <c r="I1569" s="47" t="str">
        <f aca="false">IF(G1569="","",G1569+H1569)</f>
        <v/>
      </c>
    </row>
    <row r="1570" customFormat="false" ht="15" hidden="false" customHeight="false" outlineLevel="0" collapsed="false">
      <c r="C1570" s="41" t="str">
        <f aca="false">IF(A1570="","",TEXT(A1570,"mmm-yyyy"))</f>
        <v/>
      </c>
      <c r="I1570" s="47" t="str">
        <f aca="false">IF(G1570="","",G1570+H1570)</f>
        <v/>
      </c>
    </row>
    <row r="1571" customFormat="false" ht="15" hidden="false" customHeight="false" outlineLevel="0" collapsed="false">
      <c r="C1571" s="41" t="str">
        <f aca="false">IF(A1571="","",TEXT(A1571,"mmm-yyyy"))</f>
        <v/>
      </c>
      <c r="I1571" s="47" t="str">
        <f aca="false">IF(G1571="","",G1571+H1571)</f>
        <v/>
      </c>
    </row>
    <row r="1572" customFormat="false" ht="15" hidden="false" customHeight="false" outlineLevel="0" collapsed="false">
      <c r="C1572" s="41" t="str">
        <f aca="false">IF(A1572="","",TEXT(A1572,"mmm-yyyy"))</f>
        <v/>
      </c>
      <c r="I1572" s="47" t="str">
        <f aca="false">IF(G1572="","",G1572+H1572)</f>
        <v/>
      </c>
    </row>
    <row r="1573" customFormat="false" ht="15" hidden="false" customHeight="false" outlineLevel="0" collapsed="false">
      <c r="C1573" s="41" t="str">
        <f aca="false">IF(A1573="","",TEXT(A1573,"mmm-yyyy"))</f>
        <v/>
      </c>
      <c r="I1573" s="47" t="str">
        <f aca="false">IF(G1573="","",G1573+H1573)</f>
        <v/>
      </c>
    </row>
    <row r="1574" customFormat="false" ht="15" hidden="false" customHeight="false" outlineLevel="0" collapsed="false">
      <c r="C1574" s="41" t="str">
        <f aca="false">IF(A1574="","",TEXT(A1574,"mmm-yyyy"))</f>
        <v/>
      </c>
      <c r="I1574" s="47" t="str">
        <f aca="false">IF(G1574="","",G1574+H1574)</f>
        <v/>
      </c>
    </row>
    <row r="1575" customFormat="false" ht="15" hidden="false" customHeight="false" outlineLevel="0" collapsed="false">
      <c r="C1575" s="41" t="str">
        <f aca="false">IF(A1575="","",TEXT(A1575,"mmm-yyyy"))</f>
        <v/>
      </c>
      <c r="I1575" s="47" t="str">
        <f aca="false">IF(G1575="","",G1575+H1575)</f>
        <v/>
      </c>
    </row>
    <row r="1576" customFormat="false" ht="15" hidden="false" customHeight="false" outlineLevel="0" collapsed="false">
      <c r="C1576" s="41" t="str">
        <f aca="false">IF(A1576="","",TEXT(A1576,"mmm-yyyy"))</f>
        <v/>
      </c>
      <c r="I1576" s="47" t="str">
        <f aca="false">IF(G1576="","",G1576+H1576)</f>
        <v/>
      </c>
    </row>
    <row r="1577" customFormat="false" ht="15" hidden="false" customHeight="false" outlineLevel="0" collapsed="false">
      <c r="C1577" s="41" t="str">
        <f aca="false">IF(A1577="","",TEXT(A1577,"mmm-yyyy"))</f>
        <v/>
      </c>
      <c r="I1577" s="47" t="str">
        <f aca="false">IF(G1577="","",G1577+H1577)</f>
        <v/>
      </c>
    </row>
    <row r="1578" customFormat="false" ht="15" hidden="false" customHeight="false" outlineLevel="0" collapsed="false">
      <c r="C1578" s="41" t="str">
        <f aca="false">IF(A1578="","",TEXT(A1578,"mmm-yyyy"))</f>
        <v/>
      </c>
      <c r="I1578" s="47" t="str">
        <f aca="false">IF(G1578="","",G1578+H1578)</f>
        <v/>
      </c>
    </row>
    <row r="1579" customFormat="false" ht="15" hidden="false" customHeight="false" outlineLevel="0" collapsed="false">
      <c r="C1579" s="41" t="str">
        <f aca="false">IF(A1579="","",TEXT(A1579,"mmm-yyyy"))</f>
        <v/>
      </c>
      <c r="I1579" s="47" t="str">
        <f aca="false">IF(G1579="","",G1579+H1579)</f>
        <v/>
      </c>
    </row>
    <row r="1580" customFormat="false" ht="15" hidden="false" customHeight="false" outlineLevel="0" collapsed="false">
      <c r="C1580" s="41" t="str">
        <f aca="false">IF(A1580="","",TEXT(A1580,"mmm-yyyy"))</f>
        <v/>
      </c>
      <c r="I1580" s="47" t="str">
        <f aca="false">IF(G1580="","",G1580+H1580)</f>
        <v/>
      </c>
    </row>
    <row r="1581" customFormat="false" ht="15" hidden="false" customHeight="false" outlineLevel="0" collapsed="false">
      <c r="C1581" s="41" t="str">
        <f aca="false">IF(A1581="","",TEXT(A1581,"mmm-yyyy"))</f>
        <v/>
      </c>
      <c r="I1581" s="47" t="str">
        <f aca="false">IF(G1581="","",G1581+H1581)</f>
        <v/>
      </c>
    </row>
    <row r="1582" customFormat="false" ht="15" hidden="false" customHeight="false" outlineLevel="0" collapsed="false">
      <c r="C1582" s="41" t="str">
        <f aca="false">IF(A1582="","",TEXT(A1582,"mmm-yyyy"))</f>
        <v/>
      </c>
      <c r="I1582" s="47" t="str">
        <f aca="false">IF(G1582="","",G1582+H1582)</f>
        <v/>
      </c>
    </row>
    <row r="1583" customFormat="false" ht="15" hidden="false" customHeight="false" outlineLevel="0" collapsed="false">
      <c r="C1583" s="41" t="str">
        <f aca="false">IF(A1583="","",TEXT(A1583,"mmm-yyyy"))</f>
        <v/>
      </c>
      <c r="I1583" s="47" t="str">
        <f aca="false">IF(G1583="","",G1583+H1583)</f>
        <v/>
      </c>
    </row>
    <row r="1584" customFormat="false" ht="15" hidden="false" customHeight="false" outlineLevel="0" collapsed="false">
      <c r="C1584" s="41" t="str">
        <f aca="false">IF(A1584="","",TEXT(A1584,"mmm-yyyy"))</f>
        <v/>
      </c>
      <c r="I1584" s="47" t="str">
        <f aca="false">IF(G1584="","",G1584+H1584)</f>
        <v/>
      </c>
    </row>
    <row r="1585" customFormat="false" ht="15" hidden="false" customHeight="false" outlineLevel="0" collapsed="false">
      <c r="C1585" s="41" t="str">
        <f aca="false">IF(A1585="","",TEXT(A1585,"mmm-yyyy"))</f>
        <v/>
      </c>
      <c r="I1585" s="47" t="str">
        <f aca="false">IF(G1585="","",G1585+H1585)</f>
        <v/>
      </c>
    </row>
    <row r="1586" customFormat="false" ht="15" hidden="false" customHeight="false" outlineLevel="0" collapsed="false">
      <c r="C1586" s="41" t="str">
        <f aca="false">IF(A1586="","",TEXT(A1586,"mmm-yyyy"))</f>
        <v/>
      </c>
      <c r="I1586" s="47" t="str">
        <f aca="false">IF(G1586="","",G1586+H1586)</f>
        <v/>
      </c>
    </row>
    <row r="1587" customFormat="false" ht="15" hidden="false" customHeight="false" outlineLevel="0" collapsed="false">
      <c r="C1587" s="41" t="str">
        <f aca="false">IF(A1587="","",TEXT(A1587,"mmm-yyyy"))</f>
        <v/>
      </c>
      <c r="I1587" s="47" t="str">
        <f aca="false">IF(G1587="","",G1587+H1587)</f>
        <v/>
      </c>
    </row>
    <row r="1588" customFormat="false" ht="15" hidden="false" customHeight="false" outlineLevel="0" collapsed="false">
      <c r="C1588" s="41" t="str">
        <f aca="false">IF(A1588="","",TEXT(A1588,"mmm-yyyy"))</f>
        <v/>
      </c>
      <c r="I1588" s="47" t="str">
        <f aca="false">IF(G1588="","",G1588+H1588)</f>
        <v/>
      </c>
    </row>
    <row r="1589" customFormat="false" ht="15" hidden="false" customHeight="false" outlineLevel="0" collapsed="false">
      <c r="C1589" s="41" t="str">
        <f aca="false">IF(A1589="","",TEXT(A1589,"mmm-yyyy"))</f>
        <v/>
      </c>
      <c r="I1589" s="47" t="str">
        <f aca="false">IF(G1589="","",G1589+H1589)</f>
        <v/>
      </c>
    </row>
    <row r="1590" customFormat="false" ht="15" hidden="false" customHeight="false" outlineLevel="0" collapsed="false">
      <c r="C1590" s="41" t="str">
        <f aca="false">IF(A1590="","",TEXT(A1590,"mmm-yyyy"))</f>
        <v/>
      </c>
      <c r="I1590" s="47" t="str">
        <f aca="false">IF(G1590="","",G1590+H1590)</f>
        <v/>
      </c>
    </row>
    <row r="1591" customFormat="false" ht="15" hidden="false" customHeight="false" outlineLevel="0" collapsed="false">
      <c r="C1591" s="41" t="str">
        <f aca="false">IF(A1591="","",TEXT(A1591,"mmm-yyyy"))</f>
        <v/>
      </c>
      <c r="I1591" s="47" t="str">
        <f aca="false">IF(G1591="","",G1591+H1591)</f>
        <v/>
      </c>
    </row>
    <row r="1592" customFormat="false" ht="15" hidden="false" customHeight="false" outlineLevel="0" collapsed="false">
      <c r="C1592" s="41" t="str">
        <f aca="false">IF(A1592="","",TEXT(A1592,"mmm-yyyy"))</f>
        <v/>
      </c>
      <c r="I1592" s="47" t="str">
        <f aca="false">IF(G1592="","",G1592+H1592)</f>
        <v/>
      </c>
    </row>
    <row r="1593" customFormat="false" ht="15" hidden="false" customHeight="false" outlineLevel="0" collapsed="false">
      <c r="C1593" s="41" t="str">
        <f aca="false">IF(A1593="","",TEXT(A1593,"mmm-yyyy"))</f>
        <v/>
      </c>
      <c r="I1593" s="47" t="str">
        <f aca="false">IF(G1593="","",G1593+H1593)</f>
        <v/>
      </c>
    </row>
    <row r="1594" customFormat="false" ht="15" hidden="false" customHeight="false" outlineLevel="0" collapsed="false">
      <c r="C1594" s="41" t="str">
        <f aca="false">IF(A1594="","",TEXT(A1594,"mmm-yyyy"))</f>
        <v/>
      </c>
      <c r="I1594" s="47" t="str">
        <f aca="false">IF(G1594="","",G1594+H1594)</f>
        <v/>
      </c>
    </row>
    <row r="1595" customFormat="false" ht="15" hidden="false" customHeight="false" outlineLevel="0" collapsed="false">
      <c r="C1595" s="41" t="str">
        <f aca="false">IF(A1595="","",TEXT(A1595,"mmm-yyyy"))</f>
        <v/>
      </c>
      <c r="I1595" s="47" t="str">
        <f aca="false">IF(G1595="","",G1595+H1595)</f>
        <v/>
      </c>
    </row>
    <row r="1596" customFormat="false" ht="15" hidden="false" customHeight="false" outlineLevel="0" collapsed="false">
      <c r="C1596" s="41" t="str">
        <f aca="false">IF(A1596="","",TEXT(A1596,"mmm-yyyy"))</f>
        <v/>
      </c>
      <c r="I1596" s="47" t="str">
        <f aca="false">IF(G1596="","",G1596+H1596)</f>
        <v/>
      </c>
    </row>
    <row r="1597" customFormat="false" ht="15" hidden="false" customHeight="false" outlineLevel="0" collapsed="false">
      <c r="C1597" s="41" t="str">
        <f aca="false">IF(A1597="","",TEXT(A1597,"mmm-yyyy"))</f>
        <v/>
      </c>
      <c r="I1597" s="47" t="str">
        <f aca="false">IF(G1597="","",G1597+H1597)</f>
        <v/>
      </c>
    </row>
    <row r="1598" customFormat="false" ht="15" hidden="false" customHeight="false" outlineLevel="0" collapsed="false">
      <c r="C1598" s="41" t="str">
        <f aca="false">IF(A1598="","",TEXT(A1598,"mmm-yyyy"))</f>
        <v/>
      </c>
      <c r="I1598" s="47" t="str">
        <f aca="false">IF(G1598="","",G1598+H1598)</f>
        <v/>
      </c>
    </row>
    <row r="1599" customFormat="false" ht="15" hidden="false" customHeight="false" outlineLevel="0" collapsed="false">
      <c r="C1599" s="41" t="str">
        <f aca="false">IF(A1599="","",TEXT(A1599,"mmm-yyyy"))</f>
        <v/>
      </c>
      <c r="I1599" s="47" t="str">
        <f aca="false">IF(G1599="","",G1599+H1599)</f>
        <v/>
      </c>
    </row>
    <row r="1600" customFormat="false" ht="15" hidden="false" customHeight="false" outlineLevel="0" collapsed="false">
      <c r="C1600" s="41" t="str">
        <f aca="false">IF(A1600="","",TEXT(A1600,"mmm-yyyy"))</f>
        <v/>
      </c>
      <c r="I1600" s="47" t="str">
        <f aca="false">IF(G1600="","",G1600+H1600)</f>
        <v/>
      </c>
    </row>
    <row r="1601" customFormat="false" ht="15" hidden="false" customHeight="false" outlineLevel="0" collapsed="false">
      <c r="C1601" s="41" t="str">
        <f aca="false">IF(A1601="","",TEXT(A1601,"mmm-yyyy"))</f>
        <v/>
      </c>
      <c r="I1601" s="47" t="str">
        <f aca="false">IF(G1601="","",G1601+H1601)</f>
        <v/>
      </c>
    </row>
    <row r="1602" customFormat="false" ht="15" hidden="false" customHeight="false" outlineLevel="0" collapsed="false">
      <c r="C1602" s="41" t="str">
        <f aca="false">IF(A1602="","",TEXT(A1602,"mmm-yyyy"))</f>
        <v/>
      </c>
      <c r="I1602" s="47" t="str">
        <f aca="false">IF(G1602="","",G1602+H1602)</f>
        <v/>
      </c>
    </row>
    <row r="1603" customFormat="false" ht="15" hidden="false" customHeight="false" outlineLevel="0" collapsed="false">
      <c r="C1603" s="41" t="str">
        <f aca="false">IF(A1603="","",TEXT(A1603,"mmm-yyyy"))</f>
        <v/>
      </c>
      <c r="I1603" s="47" t="str">
        <f aca="false">IF(G1603="","",G1603+H1603)</f>
        <v/>
      </c>
    </row>
    <row r="1604" customFormat="false" ht="15" hidden="false" customHeight="false" outlineLevel="0" collapsed="false">
      <c r="C1604" s="41" t="str">
        <f aca="false">IF(A1604="","",TEXT(A1604,"mmm-yyyy"))</f>
        <v/>
      </c>
      <c r="I1604" s="47" t="str">
        <f aca="false">IF(G1604="","",G1604+H1604)</f>
        <v/>
      </c>
    </row>
    <row r="1605" customFormat="false" ht="15" hidden="false" customHeight="false" outlineLevel="0" collapsed="false">
      <c r="C1605" s="41" t="str">
        <f aca="false">IF(A1605="","",TEXT(A1605,"mmm-yyyy"))</f>
        <v/>
      </c>
      <c r="I1605" s="47" t="str">
        <f aca="false">IF(G1605="","",G1605+H1605)</f>
        <v/>
      </c>
    </row>
    <row r="1606" customFormat="false" ht="15" hidden="false" customHeight="false" outlineLevel="0" collapsed="false">
      <c r="C1606" s="41" t="str">
        <f aca="false">IF(A1606="","",TEXT(A1606,"mmm-yyyy"))</f>
        <v/>
      </c>
      <c r="I1606" s="47" t="str">
        <f aca="false">IF(G1606="","",G1606+H1606)</f>
        <v/>
      </c>
    </row>
    <row r="1607" customFormat="false" ht="15" hidden="false" customHeight="false" outlineLevel="0" collapsed="false">
      <c r="C1607" s="41" t="str">
        <f aca="false">IF(A1607="","",TEXT(A1607,"mmm-yyyy"))</f>
        <v/>
      </c>
      <c r="I1607" s="47" t="str">
        <f aca="false">IF(G1607="","",G1607+H1607)</f>
        <v/>
      </c>
    </row>
    <row r="1608" customFormat="false" ht="15" hidden="false" customHeight="false" outlineLevel="0" collapsed="false">
      <c r="C1608" s="41" t="str">
        <f aca="false">IF(A1608="","",TEXT(A1608,"mmm-yyyy"))</f>
        <v/>
      </c>
      <c r="I1608" s="47" t="str">
        <f aca="false">IF(G1608="","",G1608+H1608)</f>
        <v/>
      </c>
    </row>
    <row r="1609" customFormat="false" ht="15" hidden="false" customHeight="false" outlineLevel="0" collapsed="false">
      <c r="C1609" s="41" t="str">
        <f aca="false">IF(A1609="","",TEXT(A1609,"mmm-yyyy"))</f>
        <v/>
      </c>
      <c r="I1609" s="47" t="str">
        <f aca="false">IF(G1609="","",G1609+H1609)</f>
        <v/>
      </c>
    </row>
    <row r="1610" customFormat="false" ht="15" hidden="false" customHeight="false" outlineLevel="0" collapsed="false">
      <c r="C1610" s="41" t="str">
        <f aca="false">IF(A1610="","",TEXT(A1610,"mmm-yyyy"))</f>
        <v/>
      </c>
      <c r="I1610" s="47" t="str">
        <f aca="false">IF(G1610="","",G1610+H1610)</f>
        <v/>
      </c>
    </row>
    <row r="1611" customFormat="false" ht="15" hidden="false" customHeight="false" outlineLevel="0" collapsed="false">
      <c r="C1611" s="41" t="str">
        <f aca="false">IF(A1611="","",TEXT(A1611,"mmm-yyyy"))</f>
        <v/>
      </c>
      <c r="I1611" s="47" t="str">
        <f aca="false">IF(G1611="","",G1611+H1611)</f>
        <v/>
      </c>
    </row>
    <row r="1612" customFormat="false" ht="15" hidden="false" customHeight="false" outlineLevel="0" collapsed="false">
      <c r="C1612" s="41" t="str">
        <f aca="false">IF(A1612="","",TEXT(A1612,"mmm-yyyy"))</f>
        <v/>
      </c>
      <c r="I1612" s="47" t="str">
        <f aca="false">IF(G1612="","",G1612+H1612)</f>
        <v/>
      </c>
    </row>
    <row r="1613" customFormat="false" ht="15" hidden="false" customHeight="false" outlineLevel="0" collapsed="false">
      <c r="C1613" s="41" t="str">
        <f aca="false">IF(A1613="","",TEXT(A1613,"mmm-yyyy"))</f>
        <v/>
      </c>
      <c r="I1613" s="47" t="str">
        <f aca="false">IF(G1613="","",G1613+H1613)</f>
        <v/>
      </c>
    </row>
    <row r="1614" customFormat="false" ht="15" hidden="false" customHeight="false" outlineLevel="0" collapsed="false">
      <c r="C1614" s="41" t="str">
        <f aca="false">IF(A1614="","",TEXT(A1614,"mmm-yyyy"))</f>
        <v/>
      </c>
      <c r="I1614" s="47" t="str">
        <f aca="false">IF(G1614="","",G1614+H1614)</f>
        <v/>
      </c>
    </row>
    <row r="1615" customFormat="false" ht="15" hidden="false" customHeight="false" outlineLevel="0" collapsed="false">
      <c r="C1615" s="41" t="str">
        <f aca="false">IF(A1615="","",TEXT(A1615,"mmm-yyyy"))</f>
        <v/>
      </c>
      <c r="I1615" s="47" t="str">
        <f aca="false">IF(G1615="","",G1615+H1615)</f>
        <v/>
      </c>
    </row>
    <row r="1616" customFormat="false" ht="15" hidden="false" customHeight="false" outlineLevel="0" collapsed="false">
      <c r="C1616" s="41" t="str">
        <f aca="false">IF(A1616="","",TEXT(A1616,"mmm-yyyy"))</f>
        <v/>
      </c>
      <c r="I1616" s="47" t="str">
        <f aca="false">IF(G1616="","",G1616+H1616)</f>
        <v/>
      </c>
    </row>
    <row r="1617" customFormat="false" ht="15" hidden="false" customHeight="false" outlineLevel="0" collapsed="false">
      <c r="C1617" s="41" t="str">
        <f aca="false">IF(A1617="","",TEXT(A1617,"mmm-yyyy"))</f>
        <v/>
      </c>
      <c r="I1617" s="47" t="str">
        <f aca="false">IF(G1617="","",G1617+H1617)</f>
        <v/>
      </c>
    </row>
    <row r="1618" customFormat="false" ht="15" hidden="false" customHeight="false" outlineLevel="0" collapsed="false">
      <c r="C1618" s="41" t="str">
        <f aca="false">IF(A1618="","",TEXT(A1618,"mmm-yyyy"))</f>
        <v/>
      </c>
      <c r="I1618" s="47" t="str">
        <f aca="false">IF(G1618="","",G1618+H1618)</f>
        <v/>
      </c>
    </row>
    <row r="1619" customFormat="false" ht="15" hidden="false" customHeight="false" outlineLevel="0" collapsed="false">
      <c r="C1619" s="41" t="str">
        <f aca="false">IF(A1619="","",TEXT(A1619,"mmm-yyyy"))</f>
        <v/>
      </c>
      <c r="I1619" s="47" t="str">
        <f aca="false">IF(G1619="","",G1619+H1619)</f>
        <v/>
      </c>
    </row>
    <row r="1620" customFormat="false" ht="15" hidden="false" customHeight="false" outlineLevel="0" collapsed="false">
      <c r="C1620" s="41" t="str">
        <f aca="false">IF(A1620="","",TEXT(A1620,"mmm-yyyy"))</f>
        <v/>
      </c>
      <c r="I1620" s="47" t="str">
        <f aca="false">IF(G1620="","",G1620+H1620)</f>
        <v/>
      </c>
    </row>
    <row r="1621" customFormat="false" ht="15" hidden="false" customHeight="false" outlineLevel="0" collapsed="false">
      <c r="C1621" s="41" t="str">
        <f aca="false">IF(A1621="","",TEXT(A1621,"mmm-yyyy"))</f>
        <v/>
      </c>
      <c r="I1621" s="47" t="str">
        <f aca="false">IF(G1621="","",G1621+H1621)</f>
        <v/>
      </c>
    </row>
    <row r="1622" customFormat="false" ht="15" hidden="false" customHeight="false" outlineLevel="0" collapsed="false">
      <c r="C1622" s="41" t="str">
        <f aca="false">IF(A1622="","",TEXT(A1622,"mmm-yyyy"))</f>
        <v/>
      </c>
      <c r="I1622" s="47" t="str">
        <f aca="false">IF(G1622="","",G1622+H1622)</f>
        <v/>
      </c>
    </row>
    <row r="1623" customFormat="false" ht="15" hidden="false" customHeight="false" outlineLevel="0" collapsed="false">
      <c r="C1623" s="41" t="str">
        <f aca="false">IF(A1623="","",TEXT(A1623,"mmm-yyyy"))</f>
        <v/>
      </c>
      <c r="I1623" s="47" t="str">
        <f aca="false">IF(G1623="","",G1623+H1623)</f>
        <v/>
      </c>
    </row>
    <row r="1624" customFormat="false" ht="15" hidden="false" customHeight="false" outlineLevel="0" collapsed="false">
      <c r="C1624" s="41" t="str">
        <f aca="false">IF(A1624="","",TEXT(A1624,"mmm-yyyy"))</f>
        <v/>
      </c>
      <c r="I1624" s="47" t="str">
        <f aca="false">IF(G1624="","",G1624+H1624)</f>
        <v/>
      </c>
    </row>
    <row r="1625" customFormat="false" ht="15" hidden="false" customHeight="false" outlineLevel="0" collapsed="false">
      <c r="C1625" s="41" t="str">
        <f aca="false">IF(A1625="","",TEXT(A1625,"mmm-yyyy"))</f>
        <v/>
      </c>
      <c r="I1625" s="47" t="str">
        <f aca="false">IF(G1625="","",G1625+H1625)</f>
        <v/>
      </c>
    </row>
    <row r="1626" customFormat="false" ht="15" hidden="false" customHeight="false" outlineLevel="0" collapsed="false">
      <c r="C1626" s="41" t="str">
        <f aca="false">IF(A1626="","",TEXT(A1626,"mmm-yyyy"))</f>
        <v/>
      </c>
      <c r="I1626" s="47" t="str">
        <f aca="false">IF(G1626="","",G1626+H1626)</f>
        <v/>
      </c>
    </row>
    <row r="1627" customFormat="false" ht="15" hidden="false" customHeight="false" outlineLevel="0" collapsed="false">
      <c r="C1627" s="41" t="str">
        <f aca="false">IF(A1627="","",TEXT(A1627,"mmm-yyyy"))</f>
        <v/>
      </c>
      <c r="I1627" s="47" t="str">
        <f aca="false">IF(G1627="","",G1627+H1627)</f>
        <v/>
      </c>
    </row>
    <row r="1628" customFormat="false" ht="15" hidden="false" customHeight="false" outlineLevel="0" collapsed="false">
      <c r="C1628" s="41" t="str">
        <f aca="false">IF(A1628="","",TEXT(A1628,"mmm-yyyy"))</f>
        <v/>
      </c>
      <c r="I1628" s="47" t="str">
        <f aca="false">IF(G1628="","",G1628+H1628)</f>
        <v/>
      </c>
    </row>
    <row r="1629" customFormat="false" ht="15" hidden="false" customHeight="false" outlineLevel="0" collapsed="false">
      <c r="C1629" s="41" t="str">
        <f aca="false">IF(A1629="","",TEXT(A1629,"mmm-yyyy"))</f>
        <v/>
      </c>
      <c r="I1629" s="47" t="str">
        <f aca="false">IF(G1629="","",G1629+H1629)</f>
        <v/>
      </c>
    </row>
    <row r="1630" customFormat="false" ht="15" hidden="false" customHeight="false" outlineLevel="0" collapsed="false">
      <c r="C1630" s="41" t="str">
        <f aca="false">IF(A1630="","",TEXT(A1630,"mmm-yyyy"))</f>
        <v/>
      </c>
      <c r="I1630" s="47" t="str">
        <f aca="false">IF(G1630="","",G1630+H1630)</f>
        <v/>
      </c>
    </row>
    <row r="1631" customFormat="false" ht="15" hidden="false" customHeight="false" outlineLevel="0" collapsed="false">
      <c r="C1631" s="41" t="str">
        <f aca="false">IF(A1631="","",TEXT(A1631,"mmm-yyyy"))</f>
        <v/>
      </c>
      <c r="I1631" s="47" t="str">
        <f aca="false">IF(G1631="","",G1631+H1631)</f>
        <v/>
      </c>
    </row>
    <row r="1632" customFormat="false" ht="15" hidden="false" customHeight="false" outlineLevel="0" collapsed="false">
      <c r="C1632" s="41" t="str">
        <f aca="false">IF(A1632="","",TEXT(A1632,"mmm-yyyy"))</f>
        <v/>
      </c>
      <c r="I1632" s="47" t="str">
        <f aca="false">IF(G1632="","",G1632+H1632)</f>
        <v/>
      </c>
    </row>
    <row r="1633" customFormat="false" ht="15" hidden="false" customHeight="false" outlineLevel="0" collapsed="false">
      <c r="C1633" s="41" t="str">
        <f aca="false">IF(A1633="","",TEXT(A1633,"mmm-yyyy"))</f>
        <v/>
      </c>
      <c r="I1633" s="47" t="str">
        <f aca="false">IF(G1633="","",G1633+H1633)</f>
        <v/>
      </c>
    </row>
    <row r="1634" customFormat="false" ht="15" hidden="false" customHeight="false" outlineLevel="0" collapsed="false">
      <c r="C1634" s="41" t="str">
        <f aca="false">IF(A1634="","",TEXT(A1634,"mmm-yyyy"))</f>
        <v/>
      </c>
      <c r="I1634" s="47" t="str">
        <f aca="false">IF(G1634="","",G1634+H1634)</f>
        <v/>
      </c>
    </row>
    <row r="1635" customFormat="false" ht="15" hidden="false" customHeight="false" outlineLevel="0" collapsed="false">
      <c r="C1635" s="41" t="str">
        <f aca="false">IF(A1635="","",TEXT(A1635,"mmm-yyyy"))</f>
        <v/>
      </c>
      <c r="I1635" s="47" t="str">
        <f aca="false">IF(G1635="","",G1635+H1635)</f>
        <v/>
      </c>
    </row>
    <row r="1636" customFormat="false" ht="15" hidden="false" customHeight="false" outlineLevel="0" collapsed="false">
      <c r="C1636" s="41" t="str">
        <f aca="false">IF(A1636="","",TEXT(A1636,"mmm-yyyy"))</f>
        <v/>
      </c>
      <c r="I1636" s="47" t="str">
        <f aca="false">IF(G1636="","",G1636+H1636)</f>
        <v/>
      </c>
    </row>
    <row r="1637" customFormat="false" ht="15" hidden="false" customHeight="false" outlineLevel="0" collapsed="false">
      <c r="C1637" s="41" t="str">
        <f aca="false">IF(A1637="","",TEXT(A1637,"mmm-yyyy"))</f>
        <v/>
      </c>
      <c r="I1637" s="47" t="str">
        <f aca="false">IF(G1637="","",G1637+H1637)</f>
        <v/>
      </c>
    </row>
    <row r="1638" customFormat="false" ht="15" hidden="false" customHeight="false" outlineLevel="0" collapsed="false">
      <c r="C1638" s="41" t="str">
        <f aca="false">IF(A1638="","",TEXT(A1638,"mmm-yyyy"))</f>
        <v/>
      </c>
      <c r="I1638" s="47" t="str">
        <f aca="false">IF(G1638="","",G1638+H1638)</f>
        <v/>
      </c>
    </row>
    <row r="1639" customFormat="false" ht="15" hidden="false" customHeight="false" outlineLevel="0" collapsed="false">
      <c r="C1639" s="41" t="str">
        <f aca="false">IF(A1639="","",TEXT(A1639,"mmm-yyyy"))</f>
        <v/>
      </c>
      <c r="I1639" s="47" t="str">
        <f aca="false">IF(G1639="","",G1639+H1639)</f>
        <v/>
      </c>
    </row>
    <row r="1640" customFormat="false" ht="15" hidden="false" customHeight="false" outlineLevel="0" collapsed="false">
      <c r="C1640" s="41" t="str">
        <f aca="false">IF(A1640="","",TEXT(A1640,"mmm-yyyy"))</f>
        <v/>
      </c>
      <c r="I1640" s="47" t="str">
        <f aca="false">IF(G1640="","",G1640+H1640)</f>
        <v/>
      </c>
    </row>
    <row r="1641" customFormat="false" ht="15" hidden="false" customHeight="false" outlineLevel="0" collapsed="false">
      <c r="C1641" s="41" t="str">
        <f aca="false">IF(A1641="","",TEXT(A1641,"mmm-yyyy"))</f>
        <v/>
      </c>
      <c r="I1641" s="47" t="str">
        <f aca="false">IF(G1641="","",G1641+H1641)</f>
        <v/>
      </c>
    </row>
    <row r="1642" customFormat="false" ht="15" hidden="false" customHeight="false" outlineLevel="0" collapsed="false">
      <c r="C1642" s="41" t="str">
        <f aca="false">IF(A1642="","",TEXT(A1642,"mmm-yyyy"))</f>
        <v/>
      </c>
      <c r="I1642" s="47" t="str">
        <f aca="false">IF(G1642="","",G1642+H1642)</f>
        <v/>
      </c>
    </row>
    <row r="1643" customFormat="false" ht="15" hidden="false" customHeight="false" outlineLevel="0" collapsed="false">
      <c r="C1643" s="41" t="str">
        <f aca="false">IF(A1643="","",TEXT(A1643,"mmm-yyyy"))</f>
        <v/>
      </c>
      <c r="I1643" s="47" t="str">
        <f aca="false">IF(G1643="","",G1643+H1643)</f>
        <v/>
      </c>
    </row>
    <row r="1644" customFormat="false" ht="15" hidden="false" customHeight="false" outlineLevel="0" collapsed="false">
      <c r="C1644" s="41" t="str">
        <f aca="false">IF(A1644="","",TEXT(A1644,"mmm-yyyy"))</f>
        <v/>
      </c>
      <c r="I1644" s="47" t="str">
        <f aca="false">IF(G1644="","",G1644+H1644)</f>
        <v/>
      </c>
    </row>
    <row r="1645" customFormat="false" ht="15" hidden="false" customHeight="false" outlineLevel="0" collapsed="false">
      <c r="C1645" s="41" t="str">
        <f aca="false">IF(A1645="","",TEXT(A1645,"mmm-yyyy"))</f>
        <v/>
      </c>
      <c r="I1645" s="47" t="str">
        <f aca="false">IF(G1645="","",G1645+H1645)</f>
        <v/>
      </c>
    </row>
    <row r="1646" customFormat="false" ht="15" hidden="false" customHeight="false" outlineLevel="0" collapsed="false">
      <c r="C1646" s="41" t="str">
        <f aca="false">IF(A1646="","",TEXT(A1646,"mmm-yyyy"))</f>
        <v/>
      </c>
      <c r="I1646" s="47" t="str">
        <f aca="false">IF(G1646="","",G1646+H1646)</f>
        <v/>
      </c>
    </row>
    <row r="1647" customFormat="false" ht="15" hidden="false" customHeight="false" outlineLevel="0" collapsed="false">
      <c r="C1647" s="41" t="str">
        <f aca="false">IF(A1647="","",TEXT(A1647,"mmm-yyyy"))</f>
        <v/>
      </c>
      <c r="I1647" s="47" t="str">
        <f aca="false">IF(G1647="","",G1647+H1647)</f>
        <v/>
      </c>
    </row>
    <row r="1648" customFormat="false" ht="15" hidden="false" customHeight="false" outlineLevel="0" collapsed="false">
      <c r="C1648" s="41" t="str">
        <f aca="false">IF(A1648="","",TEXT(A1648,"mmm-yyyy"))</f>
        <v/>
      </c>
      <c r="I1648" s="47" t="str">
        <f aca="false">IF(G1648="","",G1648+H1648)</f>
        <v/>
      </c>
    </row>
    <row r="1649" customFormat="false" ht="15" hidden="false" customHeight="false" outlineLevel="0" collapsed="false">
      <c r="C1649" s="41" t="str">
        <f aca="false">IF(A1649="","",TEXT(A1649,"mmm-yyyy"))</f>
        <v/>
      </c>
      <c r="I1649" s="47" t="str">
        <f aca="false">IF(G1649="","",G1649+H1649)</f>
        <v/>
      </c>
    </row>
    <row r="1650" customFormat="false" ht="15" hidden="false" customHeight="false" outlineLevel="0" collapsed="false">
      <c r="C1650" s="41" t="str">
        <f aca="false">IF(A1650="","",TEXT(A1650,"mmm-yyyy"))</f>
        <v/>
      </c>
      <c r="I1650" s="47" t="str">
        <f aca="false">IF(G1650="","",G1650+H1650)</f>
        <v/>
      </c>
    </row>
    <row r="1651" customFormat="false" ht="15" hidden="false" customHeight="false" outlineLevel="0" collapsed="false">
      <c r="C1651" s="41" t="str">
        <f aca="false">IF(A1651="","",TEXT(A1651,"mmm-yyyy"))</f>
        <v/>
      </c>
      <c r="I1651" s="47" t="str">
        <f aca="false">IF(G1651="","",G1651+H1651)</f>
        <v/>
      </c>
    </row>
    <row r="1652" customFormat="false" ht="15" hidden="false" customHeight="false" outlineLevel="0" collapsed="false">
      <c r="C1652" s="41" t="str">
        <f aca="false">IF(A1652="","",TEXT(A1652,"mmm-yyyy"))</f>
        <v/>
      </c>
      <c r="I1652" s="47" t="str">
        <f aca="false">IF(G1652="","",G1652+H1652)</f>
        <v/>
      </c>
    </row>
    <row r="1653" customFormat="false" ht="15" hidden="false" customHeight="false" outlineLevel="0" collapsed="false">
      <c r="C1653" s="41" t="str">
        <f aca="false">IF(A1653="","",TEXT(A1653,"mmm-yyyy"))</f>
        <v/>
      </c>
      <c r="I1653" s="47" t="str">
        <f aca="false">IF(G1653="","",G1653+H1653)</f>
        <v/>
      </c>
    </row>
    <row r="1654" customFormat="false" ht="15" hidden="false" customHeight="false" outlineLevel="0" collapsed="false">
      <c r="C1654" s="41" t="str">
        <f aca="false">IF(A1654="","",TEXT(A1654,"mmm-yyyy"))</f>
        <v/>
      </c>
      <c r="I1654" s="47" t="str">
        <f aca="false">IF(G1654="","",G1654+H1654)</f>
        <v/>
      </c>
    </row>
    <row r="1655" customFormat="false" ht="15" hidden="false" customHeight="false" outlineLevel="0" collapsed="false">
      <c r="C1655" s="41" t="str">
        <f aca="false">IF(A1655="","",TEXT(A1655,"mmm-yyyy"))</f>
        <v/>
      </c>
      <c r="I1655" s="47" t="str">
        <f aca="false">IF(G1655="","",G1655+H1655)</f>
        <v/>
      </c>
    </row>
    <row r="1656" customFormat="false" ht="15" hidden="false" customHeight="false" outlineLevel="0" collapsed="false">
      <c r="C1656" s="41" t="str">
        <f aca="false">IF(A1656="","",TEXT(A1656,"mmm-yyyy"))</f>
        <v/>
      </c>
      <c r="I1656" s="47" t="str">
        <f aca="false">IF(G1656="","",G1656+H1656)</f>
        <v/>
      </c>
    </row>
    <row r="1657" customFormat="false" ht="15" hidden="false" customHeight="false" outlineLevel="0" collapsed="false">
      <c r="C1657" s="41" t="str">
        <f aca="false">IF(A1657="","",TEXT(A1657,"mmm-yyyy"))</f>
        <v/>
      </c>
      <c r="I1657" s="47" t="str">
        <f aca="false">IF(G1657="","",G1657+H1657)</f>
        <v/>
      </c>
    </row>
    <row r="1658" customFormat="false" ht="15" hidden="false" customHeight="false" outlineLevel="0" collapsed="false">
      <c r="C1658" s="41" t="str">
        <f aca="false">IF(A1658="","",TEXT(A1658,"mmm-yyyy"))</f>
        <v/>
      </c>
      <c r="I1658" s="47" t="str">
        <f aca="false">IF(G1658="","",G1658+H1658)</f>
        <v/>
      </c>
    </row>
    <row r="1659" customFormat="false" ht="15" hidden="false" customHeight="false" outlineLevel="0" collapsed="false">
      <c r="C1659" s="41" t="str">
        <f aca="false">IF(A1659="","",TEXT(A1659,"mmm-yyyy"))</f>
        <v/>
      </c>
      <c r="I1659" s="47" t="str">
        <f aca="false">IF(G1659="","",G1659+H1659)</f>
        <v/>
      </c>
    </row>
    <row r="1660" customFormat="false" ht="15" hidden="false" customHeight="false" outlineLevel="0" collapsed="false">
      <c r="C1660" s="41" t="str">
        <f aca="false">IF(A1660="","",TEXT(A1660,"mmm-yyyy"))</f>
        <v/>
      </c>
      <c r="I1660" s="47" t="str">
        <f aca="false">IF(G1660="","",G1660+H1660)</f>
        <v/>
      </c>
    </row>
    <row r="1661" customFormat="false" ht="15" hidden="false" customHeight="false" outlineLevel="0" collapsed="false">
      <c r="C1661" s="41" t="str">
        <f aca="false">IF(A1661="","",TEXT(A1661,"mmm-yyyy"))</f>
        <v/>
      </c>
      <c r="I1661" s="47" t="str">
        <f aca="false">IF(G1661="","",G1661+H1661)</f>
        <v/>
      </c>
    </row>
    <row r="1662" customFormat="false" ht="15" hidden="false" customHeight="false" outlineLevel="0" collapsed="false">
      <c r="C1662" s="41" t="str">
        <f aca="false">IF(A1662="","",TEXT(A1662,"mmm-yyyy"))</f>
        <v/>
      </c>
      <c r="I1662" s="47" t="str">
        <f aca="false">IF(G1662="","",G1662+H1662)</f>
        <v/>
      </c>
    </row>
    <row r="1663" customFormat="false" ht="15" hidden="false" customHeight="false" outlineLevel="0" collapsed="false">
      <c r="C1663" s="41" t="str">
        <f aca="false">IF(A1663="","",TEXT(A1663,"mmm-yyyy"))</f>
        <v/>
      </c>
      <c r="I1663" s="47" t="str">
        <f aca="false">IF(G1663="","",G1663+H1663)</f>
        <v/>
      </c>
    </row>
    <row r="1664" customFormat="false" ht="15" hidden="false" customHeight="false" outlineLevel="0" collapsed="false">
      <c r="C1664" s="41" t="str">
        <f aca="false">IF(A1664="","",TEXT(A1664,"mmm-yyyy"))</f>
        <v/>
      </c>
      <c r="I1664" s="47" t="str">
        <f aca="false">IF(G1664="","",G1664+H1664)</f>
        <v/>
      </c>
    </row>
    <row r="1665" customFormat="false" ht="15" hidden="false" customHeight="false" outlineLevel="0" collapsed="false">
      <c r="C1665" s="41" t="str">
        <f aca="false">IF(A1665="","",TEXT(A1665,"mmm-yyyy"))</f>
        <v/>
      </c>
      <c r="I1665" s="47" t="str">
        <f aca="false">IF(G1665="","",G1665+H1665)</f>
        <v/>
      </c>
    </row>
    <row r="1666" customFormat="false" ht="15" hidden="false" customHeight="false" outlineLevel="0" collapsed="false">
      <c r="C1666" s="41" t="str">
        <f aca="false">IF(A1666="","",TEXT(A1666,"mmm-yyyy"))</f>
        <v/>
      </c>
      <c r="I1666" s="47" t="str">
        <f aca="false">IF(G1666="","",G1666+H1666)</f>
        <v/>
      </c>
    </row>
    <row r="1667" customFormat="false" ht="15" hidden="false" customHeight="false" outlineLevel="0" collapsed="false">
      <c r="C1667" s="41" t="str">
        <f aca="false">IF(A1667="","",TEXT(A1667,"mmm-yyyy"))</f>
        <v/>
      </c>
      <c r="I1667" s="47" t="str">
        <f aca="false">IF(G1667="","",G1667+H1667)</f>
        <v/>
      </c>
    </row>
    <row r="1668" customFormat="false" ht="15" hidden="false" customHeight="false" outlineLevel="0" collapsed="false">
      <c r="C1668" s="41" t="str">
        <f aca="false">IF(A1668="","",TEXT(A1668,"mmm-yyyy"))</f>
        <v/>
      </c>
      <c r="I1668" s="47" t="str">
        <f aca="false">IF(G1668="","",G1668+H1668)</f>
        <v/>
      </c>
    </row>
    <row r="1669" customFormat="false" ht="15" hidden="false" customHeight="false" outlineLevel="0" collapsed="false">
      <c r="C1669" s="41" t="str">
        <f aca="false">IF(A1669="","",TEXT(A1669,"mmm-yyyy"))</f>
        <v/>
      </c>
      <c r="I1669" s="47" t="str">
        <f aca="false">IF(G1669="","",G1669+H1669)</f>
        <v/>
      </c>
    </row>
    <row r="1670" customFormat="false" ht="15" hidden="false" customHeight="false" outlineLevel="0" collapsed="false">
      <c r="C1670" s="41" t="str">
        <f aca="false">IF(A1670="","",TEXT(A1670,"mmm-yyyy"))</f>
        <v/>
      </c>
      <c r="I1670" s="47" t="str">
        <f aca="false">IF(G1670="","",G1670+H1670)</f>
        <v/>
      </c>
    </row>
    <row r="1671" customFormat="false" ht="15" hidden="false" customHeight="false" outlineLevel="0" collapsed="false">
      <c r="C1671" s="41" t="str">
        <f aca="false">IF(A1671="","",TEXT(A1671,"mmm-yyyy"))</f>
        <v/>
      </c>
      <c r="I1671" s="47" t="str">
        <f aca="false">IF(G1671="","",G1671+H1671)</f>
        <v/>
      </c>
    </row>
    <row r="1672" customFormat="false" ht="15" hidden="false" customHeight="false" outlineLevel="0" collapsed="false">
      <c r="C1672" s="41" t="str">
        <f aca="false">IF(A1672="","",TEXT(A1672,"mmm-yyyy"))</f>
        <v/>
      </c>
      <c r="I1672" s="47" t="str">
        <f aca="false">IF(G1672="","",G1672+H1672)</f>
        <v/>
      </c>
    </row>
    <row r="1673" customFormat="false" ht="15" hidden="false" customHeight="false" outlineLevel="0" collapsed="false">
      <c r="C1673" s="41" t="str">
        <f aca="false">IF(A1673="","",TEXT(A1673,"mmm-yyyy"))</f>
        <v/>
      </c>
      <c r="I1673" s="47" t="str">
        <f aca="false">IF(G1673="","",G1673+H1673)</f>
        <v/>
      </c>
    </row>
    <row r="1674" customFormat="false" ht="15" hidden="false" customHeight="false" outlineLevel="0" collapsed="false">
      <c r="C1674" s="41" t="str">
        <f aca="false">IF(A1674="","",TEXT(A1674,"mmm-yyyy"))</f>
        <v/>
      </c>
      <c r="I1674" s="47" t="str">
        <f aca="false">IF(G1674="","",G1674+H1674)</f>
        <v/>
      </c>
    </row>
    <row r="1675" customFormat="false" ht="15" hidden="false" customHeight="false" outlineLevel="0" collapsed="false">
      <c r="C1675" s="41" t="str">
        <f aca="false">IF(A1675="","",TEXT(A1675,"mmm-yyyy"))</f>
        <v/>
      </c>
      <c r="I1675" s="47" t="str">
        <f aca="false">IF(G1675="","",G1675+H1675)</f>
        <v/>
      </c>
    </row>
    <row r="1676" customFormat="false" ht="15" hidden="false" customHeight="false" outlineLevel="0" collapsed="false">
      <c r="C1676" s="41" t="str">
        <f aca="false">IF(A1676="","",TEXT(A1676,"mmm-yyyy"))</f>
        <v/>
      </c>
      <c r="I1676" s="47" t="str">
        <f aca="false">IF(G1676="","",G1676+H1676)</f>
        <v/>
      </c>
    </row>
    <row r="1677" customFormat="false" ht="15" hidden="false" customHeight="false" outlineLevel="0" collapsed="false">
      <c r="C1677" s="41" t="str">
        <f aca="false">IF(A1677="","",TEXT(A1677,"mmm-yyyy"))</f>
        <v/>
      </c>
      <c r="I1677" s="47" t="str">
        <f aca="false">IF(G1677="","",G1677+H1677)</f>
        <v/>
      </c>
    </row>
    <row r="1678" customFormat="false" ht="15" hidden="false" customHeight="false" outlineLevel="0" collapsed="false">
      <c r="C1678" s="41" t="str">
        <f aca="false">IF(A1678="","",TEXT(A1678,"mmm-yyyy"))</f>
        <v/>
      </c>
      <c r="I1678" s="47" t="str">
        <f aca="false">IF(G1678="","",G1678+H1678)</f>
        <v/>
      </c>
    </row>
    <row r="1679" customFormat="false" ht="15" hidden="false" customHeight="false" outlineLevel="0" collapsed="false">
      <c r="C1679" s="41" t="str">
        <f aca="false">IF(A1679="","",TEXT(A1679,"mmm-yyyy"))</f>
        <v/>
      </c>
      <c r="I1679" s="47" t="str">
        <f aca="false">IF(G1679="","",G1679+H1679)</f>
        <v/>
      </c>
    </row>
    <row r="1680" customFormat="false" ht="15" hidden="false" customHeight="false" outlineLevel="0" collapsed="false">
      <c r="C1680" s="41" t="str">
        <f aca="false">IF(A1680="","",TEXT(A1680,"mmm-yyyy"))</f>
        <v/>
      </c>
      <c r="I1680" s="47" t="str">
        <f aca="false">IF(G1680="","",G1680+H1680)</f>
        <v/>
      </c>
    </row>
    <row r="1681" customFormat="false" ht="15" hidden="false" customHeight="false" outlineLevel="0" collapsed="false">
      <c r="C1681" s="41" t="str">
        <f aca="false">IF(A1681="","",TEXT(A1681,"mmm-yyyy"))</f>
        <v/>
      </c>
      <c r="I1681" s="47" t="str">
        <f aca="false">IF(G1681="","",G1681+H1681)</f>
        <v/>
      </c>
    </row>
    <row r="1682" customFormat="false" ht="15" hidden="false" customHeight="false" outlineLevel="0" collapsed="false">
      <c r="C1682" s="41" t="str">
        <f aca="false">IF(A1682="","",TEXT(A1682,"mmm-yyyy"))</f>
        <v/>
      </c>
      <c r="I1682" s="47" t="str">
        <f aca="false">IF(G1682="","",G1682+H1682)</f>
        <v/>
      </c>
    </row>
    <row r="1683" customFormat="false" ht="15" hidden="false" customHeight="false" outlineLevel="0" collapsed="false">
      <c r="C1683" s="41" t="str">
        <f aca="false">IF(A1683="","",TEXT(A1683,"mmm-yyyy"))</f>
        <v/>
      </c>
      <c r="I1683" s="47" t="str">
        <f aca="false">IF(G1683="","",G1683+H1683)</f>
        <v/>
      </c>
    </row>
    <row r="1684" customFormat="false" ht="15" hidden="false" customHeight="false" outlineLevel="0" collapsed="false">
      <c r="C1684" s="41" t="str">
        <f aca="false">IF(A1684="","",TEXT(A1684,"mmm-yyyy"))</f>
        <v/>
      </c>
      <c r="I1684" s="47" t="str">
        <f aca="false">IF(G1684="","",G1684+H1684)</f>
        <v/>
      </c>
    </row>
    <row r="1685" customFormat="false" ht="15" hidden="false" customHeight="false" outlineLevel="0" collapsed="false">
      <c r="C1685" s="41" t="str">
        <f aca="false">IF(A1685="","",TEXT(A1685,"mmm-yyyy"))</f>
        <v/>
      </c>
      <c r="I1685" s="47" t="str">
        <f aca="false">IF(G1685="","",G1685+H1685)</f>
        <v/>
      </c>
    </row>
    <row r="1686" customFormat="false" ht="15" hidden="false" customHeight="false" outlineLevel="0" collapsed="false">
      <c r="C1686" s="41" t="str">
        <f aca="false">IF(A1686="","",TEXT(A1686,"mmm-yyyy"))</f>
        <v/>
      </c>
      <c r="I1686" s="47" t="str">
        <f aca="false">IF(G1686="","",G1686+H1686)</f>
        <v/>
      </c>
    </row>
    <row r="1687" customFormat="false" ht="15" hidden="false" customHeight="false" outlineLevel="0" collapsed="false">
      <c r="C1687" s="41" t="str">
        <f aca="false">IF(A1687="","",TEXT(A1687,"mmm-yyyy"))</f>
        <v/>
      </c>
      <c r="I1687" s="47" t="str">
        <f aca="false">IF(G1687="","",G1687+H1687)</f>
        <v/>
      </c>
    </row>
    <row r="1688" customFormat="false" ht="15" hidden="false" customHeight="false" outlineLevel="0" collapsed="false">
      <c r="C1688" s="41" t="str">
        <f aca="false">IF(A1688="","",TEXT(A1688,"mmm-yyyy"))</f>
        <v/>
      </c>
      <c r="I1688" s="47" t="str">
        <f aca="false">IF(G1688="","",G1688+H1688)</f>
        <v/>
      </c>
    </row>
    <row r="1689" customFormat="false" ht="15" hidden="false" customHeight="false" outlineLevel="0" collapsed="false">
      <c r="C1689" s="41" t="str">
        <f aca="false">IF(A1689="","",TEXT(A1689,"mmm-yyyy"))</f>
        <v/>
      </c>
      <c r="I1689" s="47" t="str">
        <f aca="false">IF(G1689="","",G1689+H1689)</f>
        <v/>
      </c>
    </row>
    <row r="1690" customFormat="false" ht="15" hidden="false" customHeight="false" outlineLevel="0" collapsed="false">
      <c r="C1690" s="41" t="str">
        <f aca="false">IF(A1690="","",TEXT(A1690,"mmm-yyyy"))</f>
        <v/>
      </c>
      <c r="I1690" s="47" t="str">
        <f aca="false">IF(G1690="","",G1690+H1690)</f>
        <v/>
      </c>
    </row>
    <row r="1691" customFormat="false" ht="15" hidden="false" customHeight="false" outlineLevel="0" collapsed="false">
      <c r="C1691" s="41" t="str">
        <f aca="false">IF(A1691="","",TEXT(A1691,"mmm-yyyy"))</f>
        <v/>
      </c>
      <c r="I1691" s="47" t="str">
        <f aca="false">IF(G1691="","",G1691+H1691)</f>
        <v/>
      </c>
    </row>
    <row r="1692" customFormat="false" ht="15" hidden="false" customHeight="false" outlineLevel="0" collapsed="false">
      <c r="C1692" s="41" t="str">
        <f aca="false">IF(A1692="","",TEXT(A1692,"mmm-yyyy"))</f>
        <v/>
      </c>
      <c r="I1692" s="47" t="str">
        <f aca="false">IF(G1692="","",G1692+H1692)</f>
        <v/>
      </c>
    </row>
    <row r="1693" customFormat="false" ht="15" hidden="false" customHeight="false" outlineLevel="0" collapsed="false">
      <c r="C1693" s="41" t="str">
        <f aca="false">IF(A1693="","",TEXT(A1693,"mmm-yyyy"))</f>
        <v/>
      </c>
      <c r="I1693" s="47" t="str">
        <f aca="false">IF(G1693="","",G1693+H1693)</f>
        <v/>
      </c>
    </row>
    <row r="1694" customFormat="false" ht="15" hidden="false" customHeight="false" outlineLevel="0" collapsed="false">
      <c r="C1694" s="41" t="str">
        <f aca="false">IF(A1694="","",TEXT(A1694,"mmm-yyyy"))</f>
        <v/>
      </c>
      <c r="I1694" s="47" t="str">
        <f aca="false">IF(G1694="","",G1694+H1694)</f>
        <v/>
      </c>
    </row>
    <row r="1695" customFormat="false" ht="15" hidden="false" customHeight="false" outlineLevel="0" collapsed="false">
      <c r="C1695" s="41" t="str">
        <f aca="false">IF(A1695="","",TEXT(A1695,"mmm-yyyy"))</f>
        <v/>
      </c>
      <c r="I1695" s="47" t="str">
        <f aca="false">IF(G1695="","",G1695+H1695)</f>
        <v/>
      </c>
    </row>
    <row r="1696" customFormat="false" ht="15" hidden="false" customHeight="false" outlineLevel="0" collapsed="false">
      <c r="C1696" s="41" t="str">
        <f aca="false">IF(A1696="","",TEXT(A1696,"mmm-yyyy"))</f>
        <v/>
      </c>
      <c r="I1696" s="47" t="str">
        <f aca="false">IF(G1696="","",G1696+H1696)</f>
        <v/>
      </c>
    </row>
    <row r="1697" customFormat="false" ht="15" hidden="false" customHeight="false" outlineLevel="0" collapsed="false">
      <c r="C1697" s="41" t="str">
        <f aca="false">IF(A1697="","",TEXT(A1697,"mmm-yyyy"))</f>
        <v/>
      </c>
      <c r="I1697" s="47" t="str">
        <f aca="false">IF(G1697="","",G1697+H1697)</f>
        <v/>
      </c>
    </row>
    <row r="1698" customFormat="false" ht="15" hidden="false" customHeight="false" outlineLevel="0" collapsed="false">
      <c r="C1698" s="41" t="str">
        <f aca="false">IF(A1698="","",TEXT(A1698,"mmm-yyyy"))</f>
        <v/>
      </c>
      <c r="I1698" s="47" t="str">
        <f aca="false">IF(G1698="","",G1698+H1698)</f>
        <v/>
      </c>
    </row>
    <row r="1699" customFormat="false" ht="15" hidden="false" customHeight="false" outlineLevel="0" collapsed="false">
      <c r="C1699" s="41" t="str">
        <f aca="false">IF(A1699="","",TEXT(A1699,"mmm-yyyy"))</f>
        <v/>
      </c>
      <c r="I1699" s="47" t="str">
        <f aca="false">IF(G1699="","",G1699+H1699)</f>
        <v/>
      </c>
    </row>
    <row r="1700" customFormat="false" ht="15" hidden="false" customHeight="false" outlineLevel="0" collapsed="false">
      <c r="C1700" s="41" t="str">
        <f aca="false">IF(A1700="","",TEXT(A1700,"mmm-yyyy"))</f>
        <v/>
      </c>
      <c r="I1700" s="47" t="str">
        <f aca="false">IF(G1700="","",G1700+H1700)</f>
        <v/>
      </c>
    </row>
    <row r="1701" customFormat="false" ht="15" hidden="false" customHeight="false" outlineLevel="0" collapsed="false">
      <c r="C1701" s="41" t="str">
        <f aca="false">IF(A1701="","",TEXT(A1701,"mmm-yyyy"))</f>
        <v/>
      </c>
      <c r="I1701" s="47" t="str">
        <f aca="false">IF(G1701="","",G1701+H1701)</f>
        <v/>
      </c>
    </row>
    <row r="1702" customFormat="false" ht="15" hidden="false" customHeight="false" outlineLevel="0" collapsed="false">
      <c r="C1702" s="41" t="str">
        <f aca="false">IF(A1702="","",TEXT(A1702,"mmm-yyyy"))</f>
        <v/>
      </c>
      <c r="I1702" s="47" t="str">
        <f aca="false">IF(G1702="","",G1702+H1702)</f>
        <v/>
      </c>
    </row>
    <row r="1703" customFormat="false" ht="15" hidden="false" customHeight="false" outlineLevel="0" collapsed="false">
      <c r="C1703" s="41" t="str">
        <f aca="false">IF(A1703="","",TEXT(A1703,"mmm-yyyy"))</f>
        <v/>
      </c>
      <c r="I1703" s="47" t="str">
        <f aca="false">IF(G1703="","",G1703+H1703)</f>
        <v/>
      </c>
    </row>
    <row r="1704" customFormat="false" ht="15" hidden="false" customHeight="false" outlineLevel="0" collapsed="false">
      <c r="C1704" s="41" t="str">
        <f aca="false">IF(A1704="","",TEXT(A1704,"mmm-yyyy"))</f>
        <v/>
      </c>
      <c r="I1704" s="47" t="str">
        <f aca="false">IF(G1704="","",G1704+H1704)</f>
        <v/>
      </c>
    </row>
    <row r="1705" customFormat="false" ht="15" hidden="false" customHeight="false" outlineLevel="0" collapsed="false">
      <c r="C1705" s="41" t="str">
        <f aca="false">IF(A1705="","",TEXT(A1705,"mmm-yyyy"))</f>
        <v/>
      </c>
      <c r="I1705" s="47" t="str">
        <f aca="false">IF(G1705="","",G1705+H1705)</f>
        <v/>
      </c>
    </row>
    <row r="1706" customFormat="false" ht="15" hidden="false" customHeight="false" outlineLevel="0" collapsed="false">
      <c r="C1706" s="41" t="str">
        <f aca="false">IF(A1706="","",TEXT(A1706,"mmm-yyyy"))</f>
        <v/>
      </c>
      <c r="I1706" s="47" t="str">
        <f aca="false">IF(G1706="","",G1706+H1706)</f>
        <v/>
      </c>
    </row>
    <row r="1707" customFormat="false" ht="15" hidden="false" customHeight="false" outlineLevel="0" collapsed="false">
      <c r="C1707" s="41" t="str">
        <f aca="false">IF(A1707="","",TEXT(A1707,"mmm-yyyy"))</f>
        <v/>
      </c>
      <c r="I1707" s="47" t="str">
        <f aca="false">IF(G1707="","",G1707+H1707)</f>
        <v/>
      </c>
    </row>
    <row r="1708" customFormat="false" ht="15" hidden="false" customHeight="false" outlineLevel="0" collapsed="false">
      <c r="C1708" s="41" t="str">
        <f aca="false">IF(A1708="","",TEXT(A1708,"mmm-yyyy"))</f>
        <v/>
      </c>
      <c r="I1708" s="47" t="str">
        <f aca="false">IF(G1708="","",G1708+H1708)</f>
        <v/>
      </c>
    </row>
    <row r="1709" customFormat="false" ht="15" hidden="false" customHeight="false" outlineLevel="0" collapsed="false">
      <c r="C1709" s="41" t="str">
        <f aca="false">IF(A1709="","",TEXT(A1709,"mmm-yyyy"))</f>
        <v/>
      </c>
      <c r="I1709" s="47" t="str">
        <f aca="false">IF(G1709="","",G1709+H1709)</f>
        <v/>
      </c>
    </row>
    <row r="1710" customFormat="false" ht="15" hidden="false" customHeight="false" outlineLevel="0" collapsed="false">
      <c r="C1710" s="41" t="str">
        <f aca="false">IF(A1710="","",TEXT(A1710,"mmm-yyyy"))</f>
        <v/>
      </c>
      <c r="I1710" s="47" t="str">
        <f aca="false">IF(G1710="","",G1710+H1710)</f>
        <v/>
      </c>
    </row>
    <row r="1711" customFormat="false" ht="15" hidden="false" customHeight="false" outlineLevel="0" collapsed="false">
      <c r="C1711" s="41" t="str">
        <f aca="false">IF(A1711="","",TEXT(A1711,"mmm-yyyy"))</f>
        <v/>
      </c>
      <c r="I1711" s="47" t="str">
        <f aca="false">IF(G1711="","",G1711+H1711)</f>
        <v/>
      </c>
    </row>
    <row r="1712" customFormat="false" ht="15" hidden="false" customHeight="false" outlineLevel="0" collapsed="false">
      <c r="C1712" s="41" t="str">
        <f aca="false">IF(A1712="","",TEXT(A1712,"mmm-yyyy"))</f>
        <v/>
      </c>
      <c r="I1712" s="47" t="str">
        <f aca="false">IF(G1712="","",G1712+H1712)</f>
        <v/>
      </c>
    </row>
    <row r="1713" customFormat="false" ht="15" hidden="false" customHeight="false" outlineLevel="0" collapsed="false">
      <c r="C1713" s="41" t="str">
        <f aca="false">IF(A1713="","",TEXT(A1713,"mmm-yyyy"))</f>
        <v/>
      </c>
      <c r="I1713" s="47" t="str">
        <f aca="false">IF(G1713="","",G1713+H1713)</f>
        <v/>
      </c>
    </row>
    <row r="1714" customFormat="false" ht="15" hidden="false" customHeight="false" outlineLevel="0" collapsed="false">
      <c r="C1714" s="41" t="str">
        <f aca="false">IF(A1714="","",TEXT(A1714,"mmm-yyyy"))</f>
        <v/>
      </c>
      <c r="I1714" s="47" t="str">
        <f aca="false">IF(G1714="","",G1714+H1714)</f>
        <v/>
      </c>
    </row>
    <row r="1715" customFormat="false" ht="15" hidden="false" customHeight="false" outlineLevel="0" collapsed="false">
      <c r="C1715" s="41" t="str">
        <f aca="false">IF(A1715="","",TEXT(A1715,"mmm-yyyy"))</f>
        <v/>
      </c>
      <c r="I1715" s="47" t="str">
        <f aca="false">IF(G1715="","",G1715+H1715)</f>
        <v/>
      </c>
    </row>
    <row r="1716" customFormat="false" ht="15" hidden="false" customHeight="false" outlineLevel="0" collapsed="false">
      <c r="C1716" s="41" t="str">
        <f aca="false">IF(A1716="","",TEXT(A1716,"mmm-yyyy"))</f>
        <v/>
      </c>
      <c r="I1716" s="47" t="str">
        <f aca="false">IF(G1716="","",G1716+H1716)</f>
        <v/>
      </c>
    </row>
    <row r="1717" customFormat="false" ht="15" hidden="false" customHeight="false" outlineLevel="0" collapsed="false">
      <c r="C1717" s="41" t="str">
        <f aca="false">IF(A1717="","",TEXT(A1717,"mmm-yyyy"))</f>
        <v/>
      </c>
      <c r="I1717" s="47" t="str">
        <f aca="false">IF(G1717="","",G1717+H1717)</f>
        <v/>
      </c>
    </row>
    <row r="1718" customFormat="false" ht="15" hidden="false" customHeight="false" outlineLevel="0" collapsed="false">
      <c r="C1718" s="41" t="str">
        <f aca="false">IF(A1718="","",TEXT(A1718,"mmm-yyyy"))</f>
        <v/>
      </c>
      <c r="I1718" s="47" t="str">
        <f aca="false">IF(G1718="","",G1718+H1718)</f>
        <v/>
      </c>
    </row>
    <row r="1719" customFormat="false" ht="15" hidden="false" customHeight="false" outlineLevel="0" collapsed="false">
      <c r="C1719" s="41" t="str">
        <f aca="false">IF(A1719="","",TEXT(A1719,"mmm-yyyy"))</f>
        <v/>
      </c>
      <c r="I1719" s="47" t="str">
        <f aca="false">IF(G1719="","",G1719+H1719)</f>
        <v/>
      </c>
    </row>
    <row r="1720" customFormat="false" ht="15" hidden="false" customHeight="false" outlineLevel="0" collapsed="false">
      <c r="C1720" s="41" t="str">
        <f aca="false">IF(A1720="","",TEXT(A1720,"mmm-yyyy"))</f>
        <v/>
      </c>
      <c r="I1720" s="47" t="str">
        <f aca="false">IF(G1720="","",G1720+H1720)</f>
        <v/>
      </c>
    </row>
    <row r="1721" customFormat="false" ht="15" hidden="false" customHeight="false" outlineLevel="0" collapsed="false">
      <c r="C1721" s="41" t="str">
        <f aca="false">IF(A1721="","",TEXT(A1721,"mmm-yyyy"))</f>
        <v/>
      </c>
      <c r="I1721" s="47" t="str">
        <f aca="false">IF(G1721="","",G1721+H1721)</f>
        <v/>
      </c>
    </row>
    <row r="1722" customFormat="false" ht="15" hidden="false" customHeight="false" outlineLevel="0" collapsed="false">
      <c r="C1722" s="41" t="str">
        <f aca="false">IF(A1722="","",TEXT(A1722,"mmm-yyyy"))</f>
        <v/>
      </c>
      <c r="I1722" s="47" t="str">
        <f aca="false">IF(G1722="","",G1722+H1722)</f>
        <v/>
      </c>
    </row>
    <row r="1723" customFormat="false" ht="15" hidden="false" customHeight="false" outlineLevel="0" collapsed="false">
      <c r="C1723" s="41" t="str">
        <f aca="false">IF(A1723="","",TEXT(A1723,"mmm-yyyy"))</f>
        <v/>
      </c>
      <c r="I1723" s="47" t="str">
        <f aca="false">IF(G1723="","",G1723+H1723)</f>
        <v/>
      </c>
    </row>
    <row r="1724" customFormat="false" ht="15" hidden="false" customHeight="false" outlineLevel="0" collapsed="false">
      <c r="C1724" s="41" t="str">
        <f aca="false">IF(A1724="","",TEXT(A1724,"mmm-yyyy"))</f>
        <v/>
      </c>
      <c r="I1724" s="47" t="str">
        <f aca="false">IF(G1724="","",G1724+H1724)</f>
        <v/>
      </c>
    </row>
    <row r="1725" customFormat="false" ht="15" hidden="false" customHeight="false" outlineLevel="0" collapsed="false">
      <c r="C1725" s="41" t="str">
        <f aca="false">IF(A1725="","",TEXT(A1725,"mmm-yyyy"))</f>
        <v/>
      </c>
      <c r="I1725" s="47" t="str">
        <f aca="false">IF(G1725="","",G1725+H1725)</f>
        <v/>
      </c>
    </row>
    <row r="1726" customFormat="false" ht="15" hidden="false" customHeight="false" outlineLevel="0" collapsed="false">
      <c r="C1726" s="41" t="str">
        <f aca="false">IF(A1726="","",TEXT(A1726,"mmm-yyyy"))</f>
        <v/>
      </c>
      <c r="I1726" s="47" t="str">
        <f aca="false">IF(G1726="","",G1726+H1726)</f>
        <v/>
      </c>
    </row>
    <row r="1727" customFormat="false" ht="15" hidden="false" customHeight="false" outlineLevel="0" collapsed="false">
      <c r="C1727" s="41" t="str">
        <f aca="false">IF(A1727="","",TEXT(A1727,"mmm-yyyy"))</f>
        <v/>
      </c>
      <c r="I1727" s="47" t="str">
        <f aca="false">IF(G1727="","",G1727+H1727)</f>
        <v/>
      </c>
    </row>
    <row r="1728" customFormat="false" ht="15" hidden="false" customHeight="false" outlineLevel="0" collapsed="false">
      <c r="C1728" s="41" t="str">
        <f aca="false">IF(A1728="","",TEXT(A1728,"mmm-yyyy"))</f>
        <v/>
      </c>
      <c r="I1728" s="47" t="str">
        <f aca="false">IF(G1728="","",G1728+H1728)</f>
        <v/>
      </c>
    </row>
    <row r="1729" customFormat="false" ht="15" hidden="false" customHeight="false" outlineLevel="0" collapsed="false">
      <c r="C1729" s="41" t="str">
        <f aca="false">IF(A1729="","",TEXT(A1729,"mmm-yyyy"))</f>
        <v/>
      </c>
      <c r="I1729" s="47" t="str">
        <f aca="false">IF(G1729="","",G1729+H1729)</f>
        <v/>
      </c>
    </row>
    <row r="1730" customFormat="false" ht="15" hidden="false" customHeight="false" outlineLevel="0" collapsed="false">
      <c r="C1730" s="41" t="str">
        <f aca="false">IF(A1730="","",TEXT(A1730,"mmm-yyyy"))</f>
        <v/>
      </c>
      <c r="I1730" s="47" t="str">
        <f aca="false">IF(G1730="","",G1730+H1730)</f>
        <v/>
      </c>
    </row>
    <row r="1731" customFormat="false" ht="15" hidden="false" customHeight="false" outlineLevel="0" collapsed="false">
      <c r="C1731" s="41" t="str">
        <f aca="false">IF(A1731="","",TEXT(A1731,"mmm-yyyy"))</f>
        <v/>
      </c>
      <c r="I1731" s="47" t="str">
        <f aca="false">IF(G1731="","",G1731+H1731)</f>
        <v/>
      </c>
    </row>
    <row r="1732" customFormat="false" ht="15" hidden="false" customHeight="false" outlineLevel="0" collapsed="false">
      <c r="C1732" s="41" t="str">
        <f aca="false">IF(A1732="","",TEXT(A1732,"mmm-yyyy"))</f>
        <v/>
      </c>
      <c r="I1732" s="47" t="str">
        <f aca="false">IF(G1732="","",G1732+H1732)</f>
        <v/>
      </c>
    </row>
    <row r="1733" customFormat="false" ht="15" hidden="false" customHeight="false" outlineLevel="0" collapsed="false">
      <c r="C1733" s="41" t="str">
        <f aca="false">IF(A1733="","",TEXT(A1733,"mmm-yyyy"))</f>
        <v/>
      </c>
      <c r="I1733" s="47" t="str">
        <f aca="false">IF(G1733="","",G1733+H1733)</f>
        <v/>
      </c>
    </row>
    <row r="1734" customFormat="false" ht="15" hidden="false" customHeight="false" outlineLevel="0" collapsed="false">
      <c r="C1734" s="41" t="str">
        <f aca="false">IF(A1734="","",TEXT(A1734,"mmm-yyyy"))</f>
        <v/>
      </c>
      <c r="I1734" s="47" t="str">
        <f aca="false">IF(G1734="","",G1734+H1734)</f>
        <v/>
      </c>
    </row>
    <row r="1735" customFormat="false" ht="15" hidden="false" customHeight="false" outlineLevel="0" collapsed="false">
      <c r="C1735" s="41" t="str">
        <f aca="false">IF(A1735="","",TEXT(A1735,"mmm-yyyy"))</f>
        <v/>
      </c>
      <c r="I1735" s="47" t="str">
        <f aca="false">IF(G1735="","",G1735+H1735)</f>
        <v/>
      </c>
    </row>
    <row r="1736" customFormat="false" ht="15" hidden="false" customHeight="false" outlineLevel="0" collapsed="false">
      <c r="C1736" s="41" t="str">
        <f aca="false">IF(A1736="","",TEXT(A1736,"mmm-yyyy"))</f>
        <v/>
      </c>
      <c r="I1736" s="47" t="str">
        <f aca="false">IF(G1736="","",G1736+H1736)</f>
        <v/>
      </c>
    </row>
    <row r="1737" customFormat="false" ht="15" hidden="false" customHeight="false" outlineLevel="0" collapsed="false">
      <c r="C1737" s="41" t="str">
        <f aca="false">IF(A1737="","",TEXT(A1737,"mmm-yyyy"))</f>
        <v/>
      </c>
      <c r="I1737" s="47" t="str">
        <f aca="false">IF(G1737="","",G1737+H1737)</f>
        <v/>
      </c>
    </row>
    <row r="1738" customFormat="false" ht="15" hidden="false" customHeight="false" outlineLevel="0" collapsed="false">
      <c r="C1738" s="41" t="str">
        <f aca="false">IF(A1738="","",TEXT(A1738,"mmm-yyyy"))</f>
        <v/>
      </c>
      <c r="I1738" s="47" t="str">
        <f aca="false">IF(G1738="","",G1738+H1738)</f>
        <v/>
      </c>
    </row>
    <row r="1739" customFormat="false" ht="15" hidden="false" customHeight="false" outlineLevel="0" collapsed="false">
      <c r="C1739" s="41" t="str">
        <f aca="false">IF(A1739="","",TEXT(A1739,"mmm-yyyy"))</f>
        <v/>
      </c>
      <c r="I1739" s="47" t="str">
        <f aca="false">IF(G1739="","",G1739+H1739)</f>
        <v/>
      </c>
    </row>
    <row r="1740" customFormat="false" ht="15" hidden="false" customHeight="false" outlineLevel="0" collapsed="false">
      <c r="C1740" s="41" t="str">
        <f aca="false">IF(A1740="","",TEXT(A1740,"mmm-yyyy"))</f>
        <v/>
      </c>
      <c r="I1740" s="47" t="str">
        <f aca="false">IF(G1740="","",G1740+H1740)</f>
        <v/>
      </c>
    </row>
    <row r="1741" customFormat="false" ht="15" hidden="false" customHeight="false" outlineLevel="0" collapsed="false">
      <c r="C1741" s="41" t="str">
        <f aca="false">IF(A1741="","",TEXT(A1741,"mmm-yyyy"))</f>
        <v/>
      </c>
      <c r="I1741" s="47" t="str">
        <f aca="false">IF(G1741="","",G1741+H1741)</f>
        <v/>
      </c>
    </row>
    <row r="1742" customFormat="false" ht="15" hidden="false" customHeight="false" outlineLevel="0" collapsed="false">
      <c r="C1742" s="41" t="str">
        <f aca="false">IF(A1742="","",TEXT(A1742,"mmm-yyyy"))</f>
        <v/>
      </c>
      <c r="I1742" s="47" t="str">
        <f aca="false">IF(G1742="","",G1742+H1742)</f>
        <v/>
      </c>
    </row>
    <row r="1743" customFormat="false" ht="15" hidden="false" customHeight="false" outlineLevel="0" collapsed="false">
      <c r="C1743" s="41" t="str">
        <f aca="false">IF(A1743="","",TEXT(A1743,"mmm-yyyy"))</f>
        <v/>
      </c>
      <c r="I1743" s="47" t="str">
        <f aca="false">IF(G1743="","",G1743+H1743)</f>
        <v/>
      </c>
    </row>
    <row r="1744" customFormat="false" ht="15" hidden="false" customHeight="false" outlineLevel="0" collapsed="false">
      <c r="C1744" s="41" t="str">
        <f aca="false">IF(A1744="","",TEXT(A1744,"mmm-yyyy"))</f>
        <v/>
      </c>
      <c r="I1744" s="47" t="str">
        <f aca="false">IF(G1744="","",G1744+H1744)</f>
        <v/>
      </c>
    </row>
    <row r="1745" customFormat="false" ht="15" hidden="false" customHeight="false" outlineLevel="0" collapsed="false">
      <c r="C1745" s="41" t="str">
        <f aca="false">IF(A1745="","",TEXT(A1745,"mmm-yyyy"))</f>
        <v/>
      </c>
      <c r="I1745" s="47" t="str">
        <f aca="false">IF(G1745="","",G1745+H1745)</f>
        <v/>
      </c>
    </row>
    <row r="1746" customFormat="false" ht="15" hidden="false" customHeight="false" outlineLevel="0" collapsed="false">
      <c r="C1746" s="41" t="str">
        <f aca="false">IF(A1746="","",TEXT(A1746,"mmm-yyyy"))</f>
        <v/>
      </c>
      <c r="I1746" s="47" t="str">
        <f aca="false">IF(G1746="","",G1746+H1746)</f>
        <v/>
      </c>
    </row>
    <row r="1747" customFormat="false" ht="15" hidden="false" customHeight="false" outlineLevel="0" collapsed="false">
      <c r="C1747" s="41" t="str">
        <f aca="false">IF(A1747="","",TEXT(A1747,"mmm-yyyy"))</f>
        <v/>
      </c>
      <c r="I1747" s="47" t="str">
        <f aca="false">IF(G1747="","",G1747+H1747)</f>
        <v/>
      </c>
    </row>
    <row r="1748" customFormat="false" ht="15" hidden="false" customHeight="false" outlineLevel="0" collapsed="false">
      <c r="C1748" s="41" t="str">
        <f aca="false">IF(A1748="","",TEXT(A1748,"mmm-yyyy"))</f>
        <v/>
      </c>
      <c r="I1748" s="47" t="str">
        <f aca="false">IF(G1748="","",G1748+H1748)</f>
        <v/>
      </c>
    </row>
    <row r="1749" customFormat="false" ht="15" hidden="false" customHeight="false" outlineLevel="0" collapsed="false">
      <c r="C1749" s="41" t="str">
        <f aca="false">IF(A1749="","",TEXT(A1749,"mmm-yyyy"))</f>
        <v/>
      </c>
      <c r="I1749" s="47" t="str">
        <f aca="false">IF(G1749="","",G1749+H1749)</f>
        <v/>
      </c>
    </row>
    <row r="1750" customFormat="false" ht="15" hidden="false" customHeight="false" outlineLevel="0" collapsed="false">
      <c r="C1750" s="41" t="str">
        <f aca="false">IF(A1750="","",TEXT(A1750,"mmm-yyyy"))</f>
        <v/>
      </c>
      <c r="I1750" s="47" t="str">
        <f aca="false">IF(G1750="","",G1750+H1750)</f>
        <v/>
      </c>
    </row>
    <row r="1751" customFormat="false" ht="15" hidden="false" customHeight="false" outlineLevel="0" collapsed="false">
      <c r="C1751" s="41" t="str">
        <f aca="false">IF(A1751="","",TEXT(A1751,"mmm-yyyy"))</f>
        <v/>
      </c>
      <c r="I1751" s="47" t="str">
        <f aca="false">IF(G1751="","",G1751+H1751)</f>
        <v/>
      </c>
    </row>
    <row r="1752" customFormat="false" ht="15" hidden="false" customHeight="false" outlineLevel="0" collapsed="false">
      <c r="C1752" s="41" t="str">
        <f aca="false">IF(A1752="","",TEXT(A1752,"mmm-yyyy"))</f>
        <v/>
      </c>
      <c r="I1752" s="47" t="str">
        <f aca="false">IF(G1752="","",G1752+H1752)</f>
        <v/>
      </c>
    </row>
    <row r="1753" customFormat="false" ht="15" hidden="false" customHeight="false" outlineLevel="0" collapsed="false">
      <c r="C1753" s="41" t="str">
        <f aca="false">IF(A1753="","",TEXT(A1753,"mmm-yyyy"))</f>
        <v/>
      </c>
      <c r="I1753" s="47" t="str">
        <f aca="false">IF(G1753="","",G1753+H1753)</f>
        <v/>
      </c>
    </row>
    <row r="1754" customFormat="false" ht="15" hidden="false" customHeight="false" outlineLevel="0" collapsed="false">
      <c r="C1754" s="41" t="str">
        <f aca="false">IF(A1754="","",TEXT(A1754,"mmm-yyyy"))</f>
        <v/>
      </c>
      <c r="I1754" s="47" t="str">
        <f aca="false">IF(G1754="","",G1754+H1754)</f>
        <v/>
      </c>
    </row>
    <row r="1755" customFormat="false" ht="15" hidden="false" customHeight="false" outlineLevel="0" collapsed="false">
      <c r="C1755" s="41" t="str">
        <f aca="false">IF(A1755="","",TEXT(A1755,"mmm-yyyy"))</f>
        <v/>
      </c>
      <c r="I1755" s="47" t="str">
        <f aca="false">IF(G1755="","",G1755+H1755)</f>
        <v/>
      </c>
    </row>
    <row r="1756" customFormat="false" ht="15" hidden="false" customHeight="false" outlineLevel="0" collapsed="false">
      <c r="C1756" s="41" t="str">
        <f aca="false">IF(A1756="","",TEXT(A1756,"mmm-yyyy"))</f>
        <v/>
      </c>
      <c r="I1756" s="47" t="str">
        <f aca="false">IF(G1756="","",G1756+H1756)</f>
        <v/>
      </c>
    </row>
    <row r="1757" customFormat="false" ht="15" hidden="false" customHeight="false" outlineLevel="0" collapsed="false">
      <c r="C1757" s="41" t="str">
        <f aca="false">IF(A1757="","",TEXT(A1757,"mmm-yyyy"))</f>
        <v/>
      </c>
      <c r="I1757" s="47" t="str">
        <f aca="false">IF(G1757="","",G1757+H1757)</f>
        <v/>
      </c>
    </row>
    <row r="1758" customFormat="false" ht="15" hidden="false" customHeight="false" outlineLevel="0" collapsed="false">
      <c r="C1758" s="41" t="str">
        <f aca="false">IF(A1758="","",TEXT(A1758,"mmm-yyyy"))</f>
        <v/>
      </c>
      <c r="I1758" s="47" t="str">
        <f aca="false">IF(G1758="","",G1758+H1758)</f>
        <v/>
      </c>
    </row>
    <row r="1759" customFormat="false" ht="15" hidden="false" customHeight="false" outlineLevel="0" collapsed="false">
      <c r="C1759" s="41" t="str">
        <f aca="false">IF(A1759="","",TEXT(A1759,"mmm-yyyy"))</f>
        <v/>
      </c>
      <c r="I1759" s="47" t="str">
        <f aca="false">IF(G1759="","",G1759+H1759)</f>
        <v/>
      </c>
    </row>
    <row r="1760" customFormat="false" ht="15" hidden="false" customHeight="false" outlineLevel="0" collapsed="false">
      <c r="C1760" s="41" t="str">
        <f aca="false">IF(A1760="","",TEXT(A1760,"mmm-yyyy"))</f>
        <v/>
      </c>
      <c r="I1760" s="47" t="str">
        <f aca="false">IF(G1760="","",G1760+H1760)</f>
        <v/>
      </c>
    </row>
    <row r="1761" customFormat="false" ht="15" hidden="false" customHeight="false" outlineLevel="0" collapsed="false">
      <c r="C1761" s="41" t="str">
        <f aca="false">IF(A1761="","",TEXT(A1761,"mmm-yyyy"))</f>
        <v/>
      </c>
      <c r="I1761" s="47" t="str">
        <f aca="false">IF(G1761="","",G1761+H1761)</f>
        <v/>
      </c>
    </row>
    <row r="1762" customFormat="false" ht="15" hidden="false" customHeight="false" outlineLevel="0" collapsed="false">
      <c r="C1762" s="41" t="str">
        <f aca="false">IF(A1762="","",TEXT(A1762,"mmm-yyyy"))</f>
        <v/>
      </c>
      <c r="I1762" s="47" t="str">
        <f aca="false">IF(G1762="","",G1762+H1762)</f>
        <v/>
      </c>
    </row>
    <row r="1763" customFormat="false" ht="15" hidden="false" customHeight="false" outlineLevel="0" collapsed="false">
      <c r="C1763" s="41" t="str">
        <f aca="false">IF(A1763="","",TEXT(A1763,"mmm-yyyy"))</f>
        <v/>
      </c>
      <c r="I1763" s="47" t="str">
        <f aca="false">IF(G1763="","",G1763+H1763)</f>
        <v/>
      </c>
    </row>
    <row r="1764" customFormat="false" ht="15" hidden="false" customHeight="false" outlineLevel="0" collapsed="false">
      <c r="C1764" s="41" t="str">
        <f aca="false">IF(A1764="","",TEXT(A1764,"mmm-yyyy"))</f>
        <v/>
      </c>
      <c r="I1764" s="47" t="str">
        <f aca="false">IF(G1764="","",G1764+H1764)</f>
        <v/>
      </c>
    </row>
    <row r="1765" customFormat="false" ht="15" hidden="false" customHeight="false" outlineLevel="0" collapsed="false">
      <c r="C1765" s="41" t="str">
        <f aca="false">IF(A1765="","",TEXT(A1765,"mmm-yyyy"))</f>
        <v/>
      </c>
      <c r="I1765" s="47" t="str">
        <f aca="false">IF(G1765="","",G1765+H1765)</f>
        <v/>
      </c>
    </row>
    <row r="1766" customFormat="false" ht="15" hidden="false" customHeight="false" outlineLevel="0" collapsed="false">
      <c r="C1766" s="41" t="str">
        <f aca="false">IF(A1766="","",TEXT(A1766,"mmm-yyyy"))</f>
        <v/>
      </c>
      <c r="I1766" s="47" t="str">
        <f aca="false">IF(G1766="","",G1766+H1766)</f>
        <v/>
      </c>
    </row>
    <row r="1767" customFormat="false" ht="15" hidden="false" customHeight="false" outlineLevel="0" collapsed="false">
      <c r="C1767" s="41" t="str">
        <f aca="false">IF(A1767="","",TEXT(A1767,"mmm-yyyy"))</f>
        <v/>
      </c>
      <c r="I1767" s="47" t="str">
        <f aca="false">IF(G1767="","",G1767+H1767)</f>
        <v/>
      </c>
    </row>
    <row r="1768" customFormat="false" ht="15" hidden="false" customHeight="false" outlineLevel="0" collapsed="false">
      <c r="C1768" s="41" t="str">
        <f aca="false">IF(A1768="","",TEXT(A1768,"mmm-yyyy"))</f>
        <v/>
      </c>
      <c r="I1768" s="47" t="str">
        <f aca="false">IF(G1768="","",G1768+H1768)</f>
        <v/>
      </c>
    </row>
    <row r="1769" customFormat="false" ht="15" hidden="false" customHeight="false" outlineLevel="0" collapsed="false">
      <c r="C1769" s="41" t="str">
        <f aca="false">IF(A1769="","",TEXT(A1769,"mmm-yyyy"))</f>
        <v/>
      </c>
      <c r="I1769" s="47" t="str">
        <f aca="false">IF(G1769="","",G1769+H1769)</f>
        <v/>
      </c>
    </row>
    <row r="1770" customFormat="false" ht="15" hidden="false" customHeight="false" outlineLevel="0" collapsed="false">
      <c r="C1770" s="41" t="str">
        <f aca="false">IF(A1770="","",TEXT(A1770,"mmm-yyyy"))</f>
        <v/>
      </c>
      <c r="I1770" s="47" t="str">
        <f aca="false">IF(G1770="","",G1770+H1770)</f>
        <v/>
      </c>
    </row>
    <row r="1771" customFormat="false" ht="15" hidden="false" customHeight="false" outlineLevel="0" collapsed="false">
      <c r="C1771" s="41" t="str">
        <f aca="false">IF(A1771="","",TEXT(A1771,"mmm-yyyy"))</f>
        <v/>
      </c>
      <c r="I1771" s="47" t="str">
        <f aca="false">IF(G1771="","",G1771+H1771)</f>
        <v/>
      </c>
    </row>
    <row r="1772" customFormat="false" ht="15" hidden="false" customHeight="false" outlineLevel="0" collapsed="false">
      <c r="C1772" s="41" t="str">
        <f aca="false">IF(A1772="","",TEXT(A1772,"mmm-yyyy"))</f>
        <v/>
      </c>
      <c r="I1772" s="47" t="str">
        <f aca="false">IF(G1772="","",G1772+H1772)</f>
        <v/>
      </c>
    </row>
    <row r="1773" customFormat="false" ht="15" hidden="false" customHeight="false" outlineLevel="0" collapsed="false">
      <c r="C1773" s="41" t="str">
        <f aca="false">IF(A1773="","",TEXT(A1773,"mmm-yyyy"))</f>
        <v/>
      </c>
      <c r="I1773" s="47" t="str">
        <f aca="false">IF(G1773="","",G1773+H1773)</f>
        <v/>
      </c>
    </row>
    <row r="1774" customFormat="false" ht="15" hidden="false" customHeight="false" outlineLevel="0" collapsed="false">
      <c r="C1774" s="41" t="str">
        <f aca="false">IF(A1774="","",TEXT(A1774,"mmm-yyyy"))</f>
        <v/>
      </c>
      <c r="I1774" s="47" t="str">
        <f aca="false">IF(G1774="","",G1774+H1774)</f>
        <v/>
      </c>
    </row>
    <row r="1775" customFormat="false" ht="15" hidden="false" customHeight="false" outlineLevel="0" collapsed="false">
      <c r="C1775" s="41" t="str">
        <f aca="false">IF(A1775="","",TEXT(A1775,"mmm-yyyy"))</f>
        <v/>
      </c>
      <c r="I1775" s="47" t="str">
        <f aca="false">IF(G1775="","",G1775+H1775)</f>
        <v/>
      </c>
    </row>
    <row r="1776" customFormat="false" ht="15" hidden="false" customHeight="false" outlineLevel="0" collapsed="false">
      <c r="C1776" s="41" t="str">
        <f aca="false">IF(A1776="","",TEXT(A1776,"mmm-yyyy"))</f>
        <v/>
      </c>
      <c r="I1776" s="47" t="str">
        <f aca="false">IF(G1776="","",G1776+H1776)</f>
        <v/>
      </c>
    </row>
    <row r="1777" customFormat="false" ht="15" hidden="false" customHeight="false" outlineLevel="0" collapsed="false">
      <c r="C1777" s="41" t="str">
        <f aca="false">IF(A1777="","",TEXT(A1777,"mmm-yyyy"))</f>
        <v/>
      </c>
      <c r="I1777" s="47" t="str">
        <f aca="false">IF(G1777="","",G1777+H1777)</f>
        <v/>
      </c>
    </row>
    <row r="1778" customFormat="false" ht="15" hidden="false" customHeight="false" outlineLevel="0" collapsed="false">
      <c r="C1778" s="41" t="str">
        <f aca="false">IF(A1778="","",TEXT(A1778,"mmm-yyyy"))</f>
        <v/>
      </c>
      <c r="I1778" s="47" t="str">
        <f aca="false">IF(G1778="","",G1778+H1778)</f>
        <v/>
      </c>
    </row>
    <row r="1779" customFormat="false" ht="15" hidden="false" customHeight="false" outlineLevel="0" collapsed="false">
      <c r="C1779" s="41" t="str">
        <f aca="false">IF(A1779="","",TEXT(A1779,"mmm-yyyy"))</f>
        <v/>
      </c>
      <c r="I1779" s="47" t="str">
        <f aca="false">IF(G1779="","",G1779+H1779)</f>
        <v/>
      </c>
    </row>
    <row r="1780" customFormat="false" ht="15" hidden="false" customHeight="false" outlineLevel="0" collapsed="false">
      <c r="C1780" s="41" t="str">
        <f aca="false">IF(A1780="","",TEXT(A1780,"mmm-yyyy"))</f>
        <v/>
      </c>
      <c r="I1780" s="47" t="str">
        <f aca="false">IF(G1780="","",G1780+H1780)</f>
        <v/>
      </c>
    </row>
    <row r="1781" customFormat="false" ht="15" hidden="false" customHeight="false" outlineLevel="0" collapsed="false">
      <c r="C1781" s="41" t="str">
        <f aca="false">IF(A1781="","",TEXT(A1781,"mmm-yyyy"))</f>
        <v/>
      </c>
      <c r="I1781" s="47" t="str">
        <f aca="false">IF(G1781="","",G1781+H1781)</f>
        <v/>
      </c>
    </row>
    <row r="1782" customFormat="false" ht="15" hidden="false" customHeight="false" outlineLevel="0" collapsed="false">
      <c r="C1782" s="41" t="str">
        <f aca="false">IF(A1782="","",TEXT(A1782,"mmm-yyyy"))</f>
        <v/>
      </c>
      <c r="I1782" s="47" t="str">
        <f aca="false">IF(G1782="","",G1782+H1782)</f>
        <v/>
      </c>
    </row>
    <row r="1783" customFormat="false" ht="15" hidden="false" customHeight="false" outlineLevel="0" collapsed="false">
      <c r="C1783" s="41" t="str">
        <f aca="false">IF(A1783="","",TEXT(A1783,"mmm-yyyy"))</f>
        <v/>
      </c>
      <c r="I1783" s="47" t="str">
        <f aca="false">IF(G1783="","",G1783+H1783)</f>
        <v/>
      </c>
    </row>
    <row r="1784" customFormat="false" ht="15" hidden="false" customHeight="false" outlineLevel="0" collapsed="false">
      <c r="C1784" s="41" t="str">
        <f aca="false">IF(A1784="","",TEXT(A1784,"mmm-yyyy"))</f>
        <v/>
      </c>
      <c r="I1784" s="47" t="str">
        <f aca="false">IF(G1784="","",G1784+H1784)</f>
        <v/>
      </c>
    </row>
    <row r="1785" customFormat="false" ht="15" hidden="false" customHeight="false" outlineLevel="0" collapsed="false">
      <c r="C1785" s="41" t="str">
        <f aca="false">IF(A1785="","",TEXT(A1785,"mmm-yyyy"))</f>
        <v/>
      </c>
      <c r="I1785" s="47" t="str">
        <f aca="false">IF(G1785="","",G1785+H1785)</f>
        <v/>
      </c>
    </row>
    <row r="1786" customFormat="false" ht="15" hidden="false" customHeight="false" outlineLevel="0" collapsed="false">
      <c r="C1786" s="41" t="str">
        <f aca="false">IF(A1786="","",TEXT(A1786,"mmm-yyyy"))</f>
        <v/>
      </c>
      <c r="I1786" s="47" t="str">
        <f aca="false">IF(G1786="","",G1786+H1786)</f>
        <v/>
      </c>
    </row>
    <row r="1787" customFormat="false" ht="15" hidden="false" customHeight="false" outlineLevel="0" collapsed="false">
      <c r="C1787" s="41" t="str">
        <f aca="false">IF(A1787="","",TEXT(A1787,"mmm-yyyy"))</f>
        <v/>
      </c>
      <c r="I1787" s="47" t="str">
        <f aca="false">IF(G1787="","",G1787+H1787)</f>
        <v/>
      </c>
    </row>
    <row r="1788" customFormat="false" ht="15" hidden="false" customHeight="false" outlineLevel="0" collapsed="false">
      <c r="C1788" s="41" t="str">
        <f aca="false">IF(A1788="","",TEXT(A1788,"mmm-yyyy"))</f>
        <v/>
      </c>
      <c r="I1788" s="47" t="str">
        <f aca="false">IF(G1788="","",G1788+H1788)</f>
        <v/>
      </c>
    </row>
    <row r="1789" customFormat="false" ht="15" hidden="false" customHeight="false" outlineLevel="0" collapsed="false">
      <c r="C1789" s="41" t="str">
        <f aca="false">IF(A1789="","",TEXT(A1789,"mmm-yyyy"))</f>
        <v/>
      </c>
      <c r="I1789" s="47" t="str">
        <f aca="false">IF(G1789="","",G1789+H1789)</f>
        <v/>
      </c>
    </row>
    <row r="1790" customFormat="false" ht="15" hidden="false" customHeight="false" outlineLevel="0" collapsed="false">
      <c r="C1790" s="41" t="str">
        <f aca="false">IF(A1790="","",TEXT(A1790,"mmm-yyyy"))</f>
        <v/>
      </c>
      <c r="I1790" s="47" t="str">
        <f aca="false">IF(G1790="","",G1790+H1790)</f>
        <v/>
      </c>
    </row>
    <row r="1791" customFormat="false" ht="15" hidden="false" customHeight="false" outlineLevel="0" collapsed="false">
      <c r="C1791" s="41" t="str">
        <f aca="false">IF(A1791="","",TEXT(A1791,"mmm-yyyy"))</f>
        <v/>
      </c>
      <c r="I1791" s="47" t="str">
        <f aca="false">IF(G1791="","",G1791+H1791)</f>
        <v/>
      </c>
    </row>
    <row r="1792" customFormat="false" ht="15" hidden="false" customHeight="false" outlineLevel="0" collapsed="false">
      <c r="C1792" s="41" t="str">
        <f aca="false">IF(A1792="","",TEXT(A1792,"mmm-yyyy"))</f>
        <v/>
      </c>
      <c r="I1792" s="47" t="str">
        <f aca="false">IF(G1792="","",G1792+H1792)</f>
        <v/>
      </c>
    </row>
    <row r="1793" customFormat="false" ht="15" hidden="false" customHeight="false" outlineLevel="0" collapsed="false">
      <c r="C1793" s="41" t="str">
        <f aca="false">IF(A1793="","",TEXT(A1793,"mmm-yyyy"))</f>
        <v/>
      </c>
      <c r="I1793" s="47" t="str">
        <f aca="false">IF(G1793="","",G1793+H1793)</f>
        <v/>
      </c>
    </row>
    <row r="1794" customFormat="false" ht="15" hidden="false" customHeight="false" outlineLevel="0" collapsed="false">
      <c r="C1794" s="41" t="str">
        <f aca="false">IF(A1794="","",TEXT(A1794,"mmm-yyyy"))</f>
        <v/>
      </c>
      <c r="I1794" s="47" t="str">
        <f aca="false">IF(G1794="","",G1794+H1794)</f>
        <v/>
      </c>
    </row>
    <row r="1795" customFormat="false" ht="15" hidden="false" customHeight="false" outlineLevel="0" collapsed="false">
      <c r="C1795" s="41" t="str">
        <f aca="false">IF(A1795="","",TEXT(A1795,"mmm-yyyy"))</f>
        <v/>
      </c>
      <c r="I1795" s="47" t="str">
        <f aca="false">IF(G1795="","",G1795+H1795)</f>
        <v/>
      </c>
    </row>
    <row r="1796" customFormat="false" ht="15" hidden="false" customHeight="false" outlineLevel="0" collapsed="false">
      <c r="C1796" s="41" t="str">
        <f aca="false">IF(A1796="","",TEXT(A1796,"mmm-yyyy"))</f>
        <v/>
      </c>
      <c r="I1796" s="47" t="str">
        <f aca="false">IF(G1796="","",G1796+H1796)</f>
        <v/>
      </c>
    </row>
    <row r="1797" customFormat="false" ht="15" hidden="false" customHeight="false" outlineLevel="0" collapsed="false">
      <c r="C1797" s="41" t="str">
        <f aca="false">IF(A1797="","",TEXT(A1797,"mmm-yyyy"))</f>
        <v/>
      </c>
      <c r="I1797" s="47" t="str">
        <f aca="false">IF(G1797="","",G1797+H1797)</f>
        <v/>
      </c>
    </row>
    <row r="1798" customFormat="false" ht="15" hidden="false" customHeight="false" outlineLevel="0" collapsed="false">
      <c r="C1798" s="41" t="str">
        <f aca="false">IF(A1798="","",TEXT(A1798,"mmm-yyyy"))</f>
        <v/>
      </c>
      <c r="I1798" s="47" t="str">
        <f aca="false">IF(G1798="","",G1798+H1798)</f>
        <v/>
      </c>
    </row>
    <row r="1799" customFormat="false" ht="15" hidden="false" customHeight="false" outlineLevel="0" collapsed="false">
      <c r="C1799" s="41" t="str">
        <f aca="false">IF(A1799="","",TEXT(A1799,"mmm-yyyy"))</f>
        <v/>
      </c>
      <c r="I1799" s="47" t="str">
        <f aca="false">IF(G1799="","",G1799+H1799)</f>
        <v/>
      </c>
    </row>
    <row r="1800" customFormat="false" ht="15" hidden="false" customHeight="false" outlineLevel="0" collapsed="false">
      <c r="C1800" s="41" t="str">
        <f aca="false">IF(A1800="","",TEXT(A1800,"mmm-yyyy"))</f>
        <v/>
      </c>
      <c r="I1800" s="47" t="str">
        <f aca="false">IF(G1800="","",G1800+H1800)</f>
        <v/>
      </c>
    </row>
    <row r="1801" customFormat="false" ht="15" hidden="false" customHeight="false" outlineLevel="0" collapsed="false">
      <c r="C1801" s="41" t="str">
        <f aca="false">IF(A1801="","",TEXT(A1801,"mmm-yyyy"))</f>
        <v/>
      </c>
      <c r="I1801" s="47" t="str">
        <f aca="false">IF(G1801="","",G1801+H1801)</f>
        <v/>
      </c>
    </row>
    <row r="1802" customFormat="false" ht="15" hidden="false" customHeight="false" outlineLevel="0" collapsed="false">
      <c r="C1802" s="41" t="str">
        <f aca="false">IF(A1802="","",TEXT(A1802,"mmm-yyyy"))</f>
        <v/>
      </c>
      <c r="I1802" s="47" t="str">
        <f aca="false">IF(G1802="","",G1802+H1802)</f>
        <v/>
      </c>
    </row>
    <row r="1803" customFormat="false" ht="15" hidden="false" customHeight="false" outlineLevel="0" collapsed="false">
      <c r="C1803" s="41" t="str">
        <f aca="false">IF(A1803="","",TEXT(A1803,"mmm-yyyy"))</f>
        <v/>
      </c>
      <c r="I1803" s="47" t="str">
        <f aca="false">IF(G1803="","",G1803+H1803)</f>
        <v/>
      </c>
    </row>
    <row r="1804" customFormat="false" ht="15" hidden="false" customHeight="false" outlineLevel="0" collapsed="false">
      <c r="C1804" s="41" t="str">
        <f aca="false">IF(A1804="","",TEXT(A1804,"mmm-yyyy"))</f>
        <v/>
      </c>
      <c r="I1804" s="47" t="str">
        <f aca="false">IF(G1804="","",G1804+H1804)</f>
        <v/>
      </c>
    </row>
    <row r="1805" customFormat="false" ht="15" hidden="false" customHeight="false" outlineLevel="0" collapsed="false">
      <c r="C1805" s="41" t="str">
        <f aca="false">IF(A1805="","",TEXT(A1805,"mmm-yyyy"))</f>
        <v/>
      </c>
      <c r="I1805" s="47" t="str">
        <f aca="false">IF(G1805="","",G1805+H1805)</f>
        <v/>
      </c>
    </row>
    <row r="1806" customFormat="false" ht="15" hidden="false" customHeight="false" outlineLevel="0" collapsed="false">
      <c r="C1806" s="41" t="str">
        <f aca="false">IF(A1806="","",TEXT(A1806,"mmm-yyyy"))</f>
        <v/>
      </c>
      <c r="I1806" s="47" t="str">
        <f aca="false">IF(G1806="","",G1806+H1806)</f>
        <v/>
      </c>
    </row>
    <row r="1807" customFormat="false" ht="15" hidden="false" customHeight="false" outlineLevel="0" collapsed="false">
      <c r="C1807" s="41" t="str">
        <f aca="false">IF(A1807="","",TEXT(A1807,"mmm-yyyy"))</f>
        <v/>
      </c>
      <c r="I1807" s="47" t="str">
        <f aca="false">IF(G1807="","",G1807+H1807)</f>
        <v/>
      </c>
    </row>
    <row r="1808" customFormat="false" ht="15" hidden="false" customHeight="false" outlineLevel="0" collapsed="false">
      <c r="C1808" s="41" t="str">
        <f aca="false">IF(A1808="","",TEXT(A1808,"mmm-yyyy"))</f>
        <v/>
      </c>
      <c r="I1808" s="47" t="str">
        <f aca="false">IF(G1808="","",G1808+H1808)</f>
        <v/>
      </c>
    </row>
    <row r="1809" customFormat="false" ht="15" hidden="false" customHeight="false" outlineLevel="0" collapsed="false">
      <c r="C1809" s="41" t="str">
        <f aca="false">IF(A1809="","",TEXT(A1809,"mmm-yyyy"))</f>
        <v/>
      </c>
      <c r="I1809" s="47" t="str">
        <f aca="false">IF(G1809="","",G1809+H1809)</f>
        <v/>
      </c>
    </row>
    <row r="1810" customFormat="false" ht="15" hidden="false" customHeight="false" outlineLevel="0" collapsed="false">
      <c r="C1810" s="41" t="str">
        <f aca="false">IF(A1810="","",TEXT(A1810,"mmm-yyyy"))</f>
        <v/>
      </c>
      <c r="I1810" s="47" t="str">
        <f aca="false">IF(G1810="","",G1810+H1810)</f>
        <v/>
      </c>
    </row>
    <row r="1811" customFormat="false" ht="15" hidden="false" customHeight="false" outlineLevel="0" collapsed="false">
      <c r="C1811" s="41" t="str">
        <f aca="false">IF(A1811="","",TEXT(A1811,"mmm-yyyy"))</f>
        <v/>
      </c>
      <c r="I1811" s="47" t="str">
        <f aca="false">IF(G1811="","",G1811+H1811)</f>
        <v/>
      </c>
    </row>
    <row r="1812" customFormat="false" ht="15" hidden="false" customHeight="false" outlineLevel="0" collapsed="false">
      <c r="C1812" s="41" t="str">
        <f aca="false">IF(A1812="","",TEXT(A1812,"mmm-yyyy"))</f>
        <v/>
      </c>
      <c r="I1812" s="47" t="str">
        <f aca="false">IF(G1812="","",G1812+H1812)</f>
        <v/>
      </c>
    </row>
    <row r="1813" customFormat="false" ht="15" hidden="false" customHeight="false" outlineLevel="0" collapsed="false">
      <c r="C1813" s="41" t="str">
        <f aca="false">IF(A1813="","",TEXT(A1813,"mmm-yyyy"))</f>
        <v/>
      </c>
      <c r="I1813" s="47" t="str">
        <f aca="false">IF(G1813="","",G1813+H1813)</f>
        <v/>
      </c>
    </row>
    <row r="1814" customFormat="false" ht="15" hidden="false" customHeight="false" outlineLevel="0" collapsed="false">
      <c r="C1814" s="41" t="str">
        <f aca="false">IF(A1814="","",TEXT(A1814,"mmm-yyyy"))</f>
        <v/>
      </c>
      <c r="I1814" s="47" t="str">
        <f aca="false">IF(G1814="","",G1814+H1814)</f>
        <v/>
      </c>
    </row>
    <row r="1815" customFormat="false" ht="15" hidden="false" customHeight="false" outlineLevel="0" collapsed="false">
      <c r="C1815" s="41" t="str">
        <f aca="false">IF(A1815="","",TEXT(A1815,"mmm-yyyy"))</f>
        <v/>
      </c>
      <c r="I1815" s="47" t="str">
        <f aca="false">IF(G1815="","",G1815+H1815)</f>
        <v/>
      </c>
    </row>
    <row r="1816" customFormat="false" ht="15" hidden="false" customHeight="false" outlineLevel="0" collapsed="false">
      <c r="C1816" s="41" t="str">
        <f aca="false">IF(A1816="","",TEXT(A1816,"mmm-yyyy"))</f>
        <v/>
      </c>
      <c r="I1816" s="47" t="str">
        <f aca="false">IF(G1816="","",G1816+H1816)</f>
        <v/>
      </c>
    </row>
    <row r="1817" customFormat="false" ht="15" hidden="false" customHeight="false" outlineLevel="0" collapsed="false">
      <c r="C1817" s="41" t="str">
        <f aca="false">IF(A1817="","",TEXT(A1817,"mmm-yyyy"))</f>
        <v/>
      </c>
      <c r="I1817" s="47" t="str">
        <f aca="false">IF(G1817="","",G1817+H1817)</f>
        <v/>
      </c>
    </row>
    <row r="1818" customFormat="false" ht="15" hidden="false" customHeight="false" outlineLevel="0" collapsed="false">
      <c r="C1818" s="41" t="str">
        <f aca="false">IF(A1818="","",TEXT(A1818,"mmm-yyyy"))</f>
        <v/>
      </c>
      <c r="I1818" s="47" t="str">
        <f aca="false">IF(G1818="","",G1818+H1818)</f>
        <v/>
      </c>
    </row>
    <row r="1819" customFormat="false" ht="15" hidden="false" customHeight="false" outlineLevel="0" collapsed="false">
      <c r="C1819" s="41" t="str">
        <f aca="false">IF(A1819="","",TEXT(A1819,"mmm-yyyy"))</f>
        <v/>
      </c>
      <c r="I1819" s="47" t="str">
        <f aca="false">IF(G1819="","",G1819+H1819)</f>
        <v/>
      </c>
    </row>
    <row r="1820" customFormat="false" ht="15" hidden="false" customHeight="false" outlineLevel="0" collapsed="false">
      <c r="C1820" s="41" t="str">
        <f aca="false">IF(A1820="","",TEXT(A1820,"mmm-yyyy"))</f>
        <v/>
      </c>
      <c r="I1820" s="47" t="str">
        <f aca="false">IF(G1820="","",G1820+H1820)</f>
        <v/>
      </c>
    </row>
    <row r="1821" customFormat="false" ht="15" hidden="false" customHeight="false" outlineLevel="0" collapsed="false">
      <c r="C1821" s="41" t="str">
        <f aca="false">IF(A1821="","",TEXT(A1821,"mmm-yyyy"))</f>
        <v/>
      </c>
      <c r="I1821" s="47" t="str">
        <f aca="false">IF(G1821="","",G1821+H1821)</f>
        <v/>
      </c>
    </row>
    <row r="1822" customFormat="false" ht="15" hidden="false" customHeight="false" outlineLevel="0" collapsed="false">
      <c r="C1822" s="41" t="str">
        <f aca="false">IF(A1822="","",TEXT(A1822,"mmm-yyyy"))</f>
        <v/>
      </c>
      <c r="I1822" s="47" t="str">
        <f aca="false">IF(G1822="","",G1822+H1822)</f>
        <v/>
      </c>
    </row>
    <row r="1823" customFormat="false" ht="15" hidden="false" customHeight="false" outlineLevel="0" collapsed="false">
      <c r="C1823" s="41" t="str">
        <f aca="false">IF(A1823="","",TEXT(A1823,"mmm-yyyy"))</f>
        <v/>
      </c>
      <c r="I1823" s="47" t="str">
        <f aca="false">IF(G1823="","",G1823+H1823)</f>
        <v/>
      </c>
    </row>
    <row r="1824" customFormat="false" ht="15" hidden="false" customHeight="false" outlineLevel="0" collapsed="false">
      <c r="C1824" s="41" t="str">
        <f aca="false">IF(A1824="","",TEXT(A1824,"mmm-yyyy"))</f>
        <v/>
      </c>
      <c r="I1824" s="47" t="str">
        <f aca="false">IF(G1824="","",G1824+H1824)</f>
        <v/>
      </c>
    </row>
    <row r="1825" customFormat="false" ht="15" hidden="false" customHeight="false" outlineLevel="0" collapsed="false">
      <c r="C1825" s="41" t="str">
        <f aca="false">IF(A1825="","",TEXT(A1825,"mmm-yyyy"))</f>
        <v/>
      </c>
      <c r="I1825" s="47" t="str">
        <f aca="false">IF(G1825="","",G1825+H1825)</f>
        <v/>
      </c>
    </row>
    <row r="1826" customFormat="false" ht="15" hidden="false" customHeight="false" outlineLevel="0" collapsed="false">
      <c r="C1826" s="41" t="str">
        <f aca="false">IF(A1826="","",TEXT(A1826,"mmm-yyyy"))</f>
        <v/>
      </c>
      <c r="I1826" s="47" t="str">
        <f aca="false">IF(G1826="","",G1826+H1826)</f>
        <v/>
      </c>
    </row>
    <row r="1827" customFormat="false" ht="15" hidden="false" customHeight="false" outlineLevel="0" collapsed="false">
      <c r="C1827" s="41" t="str">
        <f aca="false">IF(A1827="","",TEXT(A1827,"mmm-yyyy"))</f>
        <v/>
      </c>
      <c r="I1827" s="47" t="str">
        <f aca="false">IF(G1827="","",G1827+H1827)</f>
        <v/>
      </c>
    </row>
    <row r="1828" customFormat="false" ht="15" hidden="false" customHeight="false" outlineLevel="0" collapsed="false">
      <c r="C1828" s="41" t="str">
        <f aca="false">IF(A1828="","",TEXT(A1828,"mmm-yyyy"))</f>
        <v/>
      </c>
      <c r="I1828" s="47" t="str">
        <f aca="false">IF(G1828="","",G1828+H1828)</f>
        <v/>
      </c>
    </row>
    <row r="1829" customFormat="false" ht="15" hidden="false" customHeight="false" outlineLevel="0" collapsed="false">
      <c r="C1829" s="41" t="str">
        <f aca="false">IF(A1829="","",TEXT(A1829,"mmm-yyyy"))</f>
        <v/>
      </c>
      <c r="I1829" s="47" t="str">
        <f aca="false">IF(G1829="","",G1829+H1829)</f>
        <v/>
      </c>
    </row>
    <row r="1830" customFormat="false" ht="15" hidden="false" customHeight="false" outlineLevel="0" collapsed="false">
      <c r="C1830" s="41" t="str">
        <f aca="false">IF(A1830="","",TEXT(A1830,"mmm-yyyy"))</f>
        <v/>
      </c>
      <c r="I1830" s="47" t="str">
        <f aca="false">IF(G1830="","",G1830+H1830)</f>
        <v/>
      </c>
    </row>
    <row r="1831" customFormat="false" ht="15" hidden="false" customHeight="false" outlineLevel="0" collapsed="false">
      <c r="C1831" s="41" t="str">
        <f aca="false">IF(A1831="","",TEXT(A1831,"mmm-yyyy"))</f>
        <v/>
      </c>
      <c r="I1831" s="47" t="str">
        <f aca="false">IF(G1831="","",G1831+H1831)</f>
        <v/>
      </c>
    </row>
    <row r="1832" customFormat="false" ht="15" hidden="false" customHeight="false" outlineLevel="0" collapsed="false">
      <c r="C1832" s="41" t="str">
        <f aca="false">IF(A1832="","",TEXT(A1832,"mmm-yyyy"))</f>
        <v/>
      </c>
      <c r="I1832" s="47" t="str">
        <f aca="false">IF(G1832="","",G1832+H1832)</f>
        <v/>
      </c>
    </row>
    <row r="1833" customFormat="false" ht="15" hidden="false" customHeight="false" outlineLevel="0" collapsed="false">
      <c r="C1833" s="41" t="str">
        <f aca="false">IF(A1833="","",TEXT(A1833,"mmm-yyyy"))</f>
        <v/>
      </c>
      <c r="I1833" s="47" t="str">
        <f aca="false">IF(G1833="","",G1833+H1833)</f>
        <v/>
      </c>
    </row>
    <row r="1834" customFormat="false" ht="15" hidden="false" customHeight="false" outlineLevel="0" collapsed="false">
      <c r="C1834" s="41" t="str">
        <f aca="false">IF(A1834="","",TEXT(A1834,"mmm-yyyy"))</f>
        <v/>
      </c>
      <c r="I1834" s="47" t="str">
        <f aca="false">IF(G1834="","",G1834+H1834)</f>
        <v/>
      </c>
    </row>
    <row r="1835" customFormat="false" ht="15" hidden="false" customHeight="false" outlineLevel="0" collapsed="false">
      <c r="C1835" s="41" t="str">
        <f aca="false">IF(A1835="","",TEXT(A1835,"mmm-yyyy"))</f>
        <v/>
      </c>
      <c r="I1835" s="47" t="str">
        <f aca="false">IF(G1835="","",G1835+H1835)</f>
        <v/>
      </c>
    </row>
    <row r="1836" customFormat="false" ht="15" hidden="false" customHeight="false" outlineLevel="0" collapsed="false">
      <c r="C1836" s="41" t="str">
        <f aca="false">IF(A1836="","",TEXT(A1836,"mmm-yyyy"))</f>
        <v/>
      </c>
      <c r="I1836" s="47" t="str">
        <f aca="false">IF(G1836="","",G1836+H1836)</f>
        <v/>
      </c>
    </row>
    <row r="1837" customFormat="false" ht="15" hidden="false" customHeight="false" outlineLevel="0" collapsed="false">
      <c r="C1837" s="41" t="str">
        <f aca="false">IF(A1837="","",TEXT(A1837,"mmm-yyyy"))</f>
        <v/>
      </c>
      <c r="I1837" s="47" t="str">
        <f aca="false">IF(G1837="","",G1837+H1837)</f>
        <v/>
      </c>
    </row>
    <row r="1838" customFormat="false" ht="15" hidden="false" customHeight="false" outlineLevel="0" collapsed="false">
      <c r="C1838" s="41" t="str">
        <f aca="false">IF(A1838="","",TEXT(A1838,"mmm-yyyy"))</f>
        <v/>
      </c>
      <c r="I1838" s="47" t="str">
        <f aca="false">IF(G1838="","",G1838+H1838)</f>
        <v/>
      </c>
    </row>
    <row r="1839" customFormat="false" ht="15" hidden="false" customHeight="false" outlineLevel="0" collapsed="false">
      <c r="C1839" s="41" t="str">
        <f aca="false">IF(A1839="","",TEXT(A1839,"mmm-yyyy"))</f>
        <v/>
      </c>
      <c r="I1839" s="47" t="str">
        <f aca="false">IF(G1839="","",G1839+H1839)</f>
        <v/>
      </c>
    </row>
    <row r="1840" customFormat="false" ht="15" hidden="false" customHeight="false" outlineLevel="0" collapsed="false">
      <c r="C1840" s="41" t="str">
        <f aca="false">IF(A1840="","",TEXT(A1840,"mmm-yyyy"))</f>
        <v/>
      </c>
      <c r="I1840" s="47" t="str">
        <f aca="false">IF(G1840="","",G1840+H1840)</f>
        <v/>
      </c>
    </row>
    <row r="1841" customFormat="false" ht="15" hidden="false" customHeight="false" outlineLevel="0" collapsed="false">
      <c r="C1841" s="41" t="str">
        <f aca="false">IF(A1841="","",TEXT(A1841,"mmm-yyyy"))</f>
        <v/>
      </c>
      <c r="I1841" s="47" t="str">
        <f aca="false">IF(G1841="","",G1841+H1841)</f>
        <v/>
      </c>
    </row>
    <row r="1842" customFormat="false" ht="15" hidden="false" customHeight="false" outlineLevel="0" collapsed="false">
      <c r="C1842" s="41" t="str">
        <f aca="false">IF(A1842="","",TEXT(A1842,"mmm-yyyy"))</f>
        <v/>
      </c>
      <c r="I1842" s="47" t="str">
        <f aca="false">IF(G1842="","",G1842+H1842)</f>
        <v/>
      </c>
    </row>
    <row r="1843" customFormat="false" ht="15" hidden="false" customHeight="false" outlineLevel="0" collapsed="false">
      <c r="C1843" s="41" t="str">
        <f aca="false">IF(A1843="","",TEXT(A1843,"mmm-yyyy"))</f>
        <v/>
      </c>
      <c r="I1843" s="47" t="str">
        <f aca="false">IF(G1843="","",G1843+H1843)</f>
        <v/>
      </c>
    </row>
    <row r="1844" customFormat="false" ht="15" hidden="false" customHeight="false" outlineLevel="0" collapsed="false">
      <c r="C1844" s="41" t="str">
        <f aca="false">IF(A1844="","",TEXT(A1844,"mmm-yyyy"))</f>
        <v/>
      </c>
      <c r="I1844" s="47" t="str">
        <f aca="false">IF(G1844="","",G1844+H1844)</f>
        <v/>
      </c>
    </row>
    <row r="1845" customFormat="false" ht="15" hidden="false" customHeight="false" outlineLevel="0" collapsed="false">
      <c r="C1845" s="41" t="str">
        <f aca="false">IF(A1845="","",TEXT(A1845,"mmm-yyyy"))</f>
        <v/>
      </c>
      <c r="I1845" s="47" t="str">
        <f aca="false">IF(G1845="","",G1845+H1845)</f>
        <v/>
      </c>
    </row>
    <row r="1846" customFormat="false" ht="15" hidden="false" customHeight="false" outlineLevel="0" collapsed="false">
      <c r="C1846" s="41" t="str">
        <f aca="false">IF(A1846="","",TEXT(A1846,"mmm-yyyy"))</f>
        <v/>
      </c>
      <c r="I1846" s="47" t="str">
        <f aca="false">IF(G1846="","",G1846+H1846)</f>
        <v/>
      </c>
    </row>
    <row r="1847" customFormat="false" ht="15" hidden="false" customHeight="false" outlineLevel="0" collapsed="false">
      <c r="C1847" s="41" t="str">
        <f aca="false">IF(A1847="","",TEXT(A1847,"mmm-yyyy"))</f>
        <v/>
      </c>
      <c r="I1847" s="47" t="str">
        <f aca="false">IF(G1847="","",G1847+H1847)</f>
        <v/>
      </c>
    </row>
    <row r="1848" customFormat="false" ht="15" hidden="false" customHeight="false" outlineLevel="0" collapsed="false">
      <c r="C1848" s="41" t="str">
        <f aca="false">IF(A1848="","",TEXT(A1848,"mmm-yyyy"))</f>
        <v/>
      </c>
      <c r="I1848" s="47" t="str">
        <f aca="false">IF(G1848="","",G1848+H1848)</f>
        <v/>
      </c>
    </row>
    <row r="1849" customFormat="false" ht="15" hidden="false" customHeight="false" outlineLevel="0" collapsed="false">
      <c r="C1849" s="41" t="str">
        <f aca="false">IF(A1849="","",TEXT(A1849,"mmm-yyyy"))</f>
        <v/>
      </c>
      <c r="I1849" s="47" t="str">
        <f aca="false">IF(G1849="","",G1849+H1849)</f>
        <v/>
      </c>
    </row>
    <row r="1850" customFormat="false" ht="15" hidden="false" customHeight="false" outlineLevel="0" collapsed="false">
      <c r="C1850" s="41" t="str">
        <f aca="false">IF(A1850="","",TEXT(A1850,"mmm-yyyy"))</f>
        <v/>
      </c>
      <c r="I1850" s="47" t="str">
        <f aca="false">IF(G1850="","",G1850+H1850)</f>
        <v/>
      </c>
    </row>
    <row r="1851" customFormat="false" ht="15" hidden="false" customHeight="false" outlineLevel="0" collapsed="false">
      <c r="C1851" s="41" t="str">
        <f aca="false">IF(A1851="","",TEXT(A1851,"mmm-yyyy"))</f>
        <v/>
      </c>
      <c r="I1851" s="47" t="str">
        <f aca="false">IF(G1851="","",G1851+H1851)</f>
        <v/>
      </c>
    </row>
    <row r="1852" customFormat="false" ht="15" hidden="false" customHeight="false" outlineLevel="0" collapsed="false">
      <c r="C1852" s="41" t="str">
        <f aca="false">IF(A1852="","",TEXT(A1852,"mmm-yyyy"))</f>
        <v/>
      </c>
      <c r="I1852" s="47" t="str">
        <f aca="false">IF(G1852="","",G1852+H1852)</f>
        <v/>
      </c>
    </row>
    <row r="1853" customFormat="false" ht="15" hidden="false" customHeight="false" outlineLevel="0" collapsed="false">
      <c r="C1853" s="41" t="str">
        <f aca="false">IF(A1853="","",TEXT(A1853,"mmm-yyyy"))</f>
        <v/>
      </c>
      <c r="I1853" s="47" t="str">
        <f aca="false">IF(G1853="","",G1853+H1853)</f>
        <v/>
      </c>
    </row>
    <row r="1854" customFormat="false" ht="15" hidden="false" customHeight="false" outlineLevel="0" collapsed="false">
      <c r="C1854" s="41" t="str">
        <f aca="false">IF(A1854="","",TEXT(A1854,"mmm-yyyy"))</f>
        <v/>
      </c>
      <c r="I1854" s="47" t="str">
        <f aca="false">IF(G1854="","",G1854+H1854)</f>
        <v/>
      </c>
    </row>
    <row r="1855" customFormat="false" ht="15" hidden="false" customHeight="false" outlineLevel="0" collapsed="false">
      <c r="C1855" s="41" t="str">
        <f aca="false">IF(A1855="","",TEXT(A1855,"mmm-yyyy"))</f>
        <v/>
      </c>
      <c r="I1855" s="47" t="str">
        <f aca="false">IF(G1855="","",G1855+H1855)</f>
        <v/>
      </c>
    </row>
    <row r="1856" customFormat="false" ht="15" hidden="false" customHeight="false" outlineLevel="0" collapsed="false">
      <c r="C1856" s="41" t="str">
        <f aca="false">IF(A1856="","",TEXT(A1856,"mmm-yyyy"))</f>
        <v/>
      </c>
      <c r="I1856" s="47" t="str">
        <f aca="false">IF(G1856="","",G1856+H1856)</f>
        <v/>
      </c>
    </row>
    <row r="1857" customFormat="false" ht="15" hidden="false" customHeight="false" outlineLevel="0" collapsed="false">
      <c r="C1857" s="41" t="str">
        <f aca="false">IF(A1857="","",TEXT(A1857,"mmm-yyyy"))</f>
        <v/>
      </c>
      <c r="I1857" s="47" t="str">
        <f aca="false">IF(G1857="","",G1857+H1857)</f>
        <v/>
      </c>
    </row>
    <row r="1858" customFormat="false" ht="15" hidden="false" customHeight="false" outlineLevel="0" collapsed="false">
      <c r="C1858" s="41" t="str">
        <f aca="false">IF(A1858="","",TEXT(A1858,"mmm-yyyy"))</f>
        <v/>
      </c>
      <c r="I1858" s="47" t="str">
        <f aca="false">IF(G1858="","",G1858+H1858)</f>
        <v/>
      </c>
    </row>
    <row r="1859" customFormat="false" ht="15" hidden="false" customHeight="false" outlineLevel="0" collapsed="false">
      <c r="C1859" s="41" t="str">
        <f aca="false">IF(A1859="","",TEXT(A1859,"mmm-yyyy"))</f>
        <v/>
      </c>
      <c r="I1859" s="47" t="str">
        <f aca="false">IF(G1859="","",G1859+H1859)</f>
        <v/>
      </c>
    </row>
    <row r="1860" customFormat="false" ht="15" hidden="false" customHeight="false" outlineLevel="0" collapsed="false">
      <c r="C1860" s="41" t="str">
        <f aca="false">IF(A1860="","",TEXT(A1860,"mmm-yyyy"))</f>
        <v/>
      </c>
      <c r="I1860" s="47" t="str">
        <f aca="false">IF(G1860="","",G1860+H1860)</f>
        <v/>
      </c>
    </row>
    <row r="1861" customFormat="false" ht="15" hidden="false" customHeight="false" outlineLevel="0" collapsed="false">
      <c r="C1861" s="41" t="str">
        <f aca="false">IF(A1861="","",TEXT(A1861,"mmm-yyyy"))</f>
        <v/>
      </c>
      <c r="I1861" s="47" t="str">
        <f aca="false">IF(G1861="","",G1861+H1861)</f>
        <v/>
      </c>
    </row>
    <row r="1862" customFormat="false" ht="15" hidden="false" customHeight="false" outlineLevel="0" collapsed="false">
      <c r="C1862" s="41" t="str">
        <f aca="false">IF(A1862="","",TEXT(A1862,"mmm-yyyy"))</f>
        <v/>
      </c>
      <c r="I1862" s="47" t="str">
        <f aca="false">IF(G1862="","",G1862+H1862)</f>
        <v/>
      </c>
    </row>
    <row r="1863" customFormat="false" ht="15" hidden="false" customHeight="false" outlineLevel="0" collapsed="false">
      <c r="C1863" s="41" t="str">
        <f aca="false">IF(A1863="","",TEXT(A1863,"mmm-yyyy"))</f>
        <v/>
      </c>
      <c r="I1863" s="47" t="str">
        <f aca="false">IF(G1863="","",G1863+H1863)</f>
        <v/>
      </c>
    </row>
    <row r="1864" customFormat="false" ht="15" hidden="false" customHeight="false" outlineLevel="0" collapsed="false">
      <c r="C1864" s="41" t="str">
        <f aca="false">IF(A1864="","",TEXT(A1864,"mmm-yyyy"))</f>
        <v/>
      </c>
      <c r="I1864" s="47" t="str">
        <f aca="false">IF(G1864="","",G1864+H1864)</f>
        <v/>
      </c>
    </row>
    <row r="1865" customFormat="false" ht="15" hidden="false" customHeight="false" outlineLevel="0" collapsed="false">
      <c r="C1865" s="41" t="str">
        <f aca="false">IF(A1865="","",TEXT(A1865,"mmm-yyyy"))</f>
        <v/>
      </c>
      <c r="I1865" s="47" t="str">
        <f aca="false">IF(G1865="","",G1865+H1865)</f>
        <v/>
      </c>
    </row>
    <row r="1866" customFormat="false" ht="15" hidden="false" customHeight="false" outlineLevel="0" collapsed="false">
      <c r="C1866" s="41" t="str">
        <f aca="false">IF(A1866="","",TEXT(A1866,"mmm-yyyy"))</f>
        <v/>
      </c>
      <c r="I1866" s="47" t="str">
        <f aca="false">IF(G1866="","",G1866+H1866)</f>
        <v/>
      </c>
    </row>
    <row r="1867" customFormat="false" ht="15" hidden="false" customHeight="false" outlineLevel="0" collapsed="false">
      <c r="C1867" s="41" t="str">
        <f aca="false">IF(A1867="","",TEXT(A1867,"mmm-yyyy"))</f>
        <v/>
      </c>
      <c r="I1867" s="47" t="str">
        <f aca="false">IF(G1867="","",G1867+H1867)</f>
        <v/>
      </c>
    </row>
    <row r="1868" customFormat="false" ht="15" hidden="false" customHeight="false" outlineLevel="0" collapsed="false">
      <c r="C1868" s="41" t="str">
        <f aca="false">IF(A1868="","",TEXT(A1868,"mmm-yyyy"))</f>
        <v/>
      </c>
      <c r="I1868" s="47" t="str">
        <f aca="false">IF(G1868="","",G1868+H1868)</f>
        <v/>
      </c>
    </row>
    <row r="1869" customFormat="false" ht="15" hidden="false" customHeight="false" outlineLevel="0" collapsed="false">
      <c r="C1869" s="41" t="str">
        <f aca="false">IF(A1869="","",TEXT(A1869,"mmm-yyyy"))</f>
        <v/>
      </c>
      <c r="I1869" s="47" t="str">
        <f aca="false">IF(G1869="","",G1869+H1869)</f>
        <v/>
      </c>
    </row>
    <row r="1870" customFormat="false" ht="15" hidden="false" customHeight="false" outlineLevel="0" collapsed="false">
      <c r="C1870" s="41" t="str">
        <f aca="false">IF(A1870="","",TEXT(A1870,"mmm-yyyy"))</f>
        <v/>
      </c>
      <c r="I1870" s="47" t="str">
        <f aca="false">IF(G1870="","",G1870+H1870)</f>
        <v/>
      </c>
    </row>
    <row r="1871" customFormat="false" ht="15" hidden="false" customHeight="false" outlineLevel="0" collapsed="false">
      <c r="C1871" s="41" t="str">
        <f aca="false">IF(A1871="","",TEXT(A1871,"mmm-yyyy"))</f>
        <v/>
      </c>
      <c r="I1871" s="47" t="str">
        <f aca="false">IF(G1871="","",G1871+H1871)</f>
        <v/>
      </c>
    </row>
    <row r="1872" customFormat="false" ht="15" hidden="false" customHeight="false" outlineLevel="0" collapsed="false">
      <c r="C1872" s="41" t="str">
        <f aca="false">IF(A1872="","",TEXT(A1872,"mmm-yyyy"))</f>
        <v/>
      </c>
      <c r="I1872" s="47" t="str">
        <f aca="false">IF(G1872="","",G1872+H1872)</f>
        <v/>
      </c>
    </row>
    <row r="1873" customFormat="false" ht="15" hidden="false" customHeight="false" outlineLevel="0" collapsed="false">
      <c r="C1873" s="41" t="str">
        <f aca="false">IF(A1873="","",TEXT(A1873,"mmm-yyyy"))</f>
        <v/>
      </c>
      <c r="I1873" s="47" t="str">
        <f aca="false">IF(G1873="","",G1873+H1873)</f>
        <v/>
      </c>
    </row>
    <row r="1874" customFormat="false" ht="15" hidden="false" customHeight="false" outlineLevel="0" collapsed="false">
      <c r="C1874" s="41" t="str">
        <f aca="false">IF(A1874="","",TEXT(A1874,"mmm-yyyy"))</f>
        <v/>
      </c>
      <c r="I1874" s="47" t="str">
        <f aca="false">IF(G1874="","",G1874+H1874)</f>
        <v/>
      </c>
    </row>
    <row r="1875" customFormat="false" ht="15" hidden="false" customHeight="false" outlineLevel="0" collapsed="false">
      <c r="C1875" s="41" t="str">
        <f aca="false">IF(A1875="","",TEXT(A1875,"mmm-yyyy"))</f>
        <v/>
      </c>
      <c r="I1875" s="47" t="str">
        <f aca="false">IF(G1875="","",G1875+H1875)</f>
        <v/>
      </c>
    </row>
    <row r="1876" customFormat="false" ht="15" hidden="false" customHeight="false" outlineLevel="0" collapsed="false">
      <c r="C1876" s="41" t="str">
        <f aca="false">IF(A1876="","",TEXT(A1876,"mmm-yyyy"))</f>
        <v/>
      </c>
      <c r="I1876" s="47" t="str">
        <f aca="false">IF(G1876="","",G1876+H1876)</f>
        <v/>
      </c>
    </row>
    <row r="1877" customFormat="false" ht="15" hidden="false" customHeight="false" outlineLevel="0" collapsed="false">
      <c r="C1877" s="41" t="str">
        <f aca="false">IF(A1877="","",TEXT(A1877,"mmm-yyyy"))</f>
        <v/>
      </c>
      <c r="I1877" s="47" t="str">
        <f aca="false">IF(G1877="","",G1877+H1877)</f>
        <v/>
      </c>
    </row>
    <row r="1878" customFormat="false" ht="15" hidden="false" customHeight="false" outlineLevel="0" collapsed="false">
      <c r="C1878" s="41" t="str">
        <f aca="false">IF(A1878="","",TEXT(A1878,"mmm-yyyy"))</f>
        <v/>
      </c>
      <c r="I1878" s="47" t="str">
        <f aca="false">IF(G1878="","",G1878+H1878)</f>
        <v/>
      </c>
    </row>
    <row r="1879" customFormat="false" ht="15" hidden="false" customHeight="false" outlineLevel="0" collapsed="false">
      <c r="C1879" s="41" t="str">
        <f aca="false">IF(A1879="","",TEXT(A1879,"mmm-yyyy"))</f>
        <v/>
      </c>
      <c r="I1879" s="47" t="str">
        <f aca="false">IF(G1879="","",G1879+H1879)</f>
        <v/>
      </c>
    </row>
    <row r="1880" customFormat="false" ht="15" hidden="false" customHeight="false" outlineLevel="0" collapsed="false">
      <c r="C1880" s="41" t="str">
        <f aca="false">IF(A1880="","",TEXT(A1880,"mmm-yyyy"))</f>
        <v/>
      </c>
      <c r="I1880" s="47" t="str">
        <f aca="false">IF(G1880="","",G1880+H1880)</f>
        <v/>
      </c>
    </row>
    <row r="1881" customFormat="false" ht="15" hidden="false" customHeight="false" outlineLevel="0" collapsed="false">
      <c r="C1881" s="41" t="str">
        <f aca="false">IF(A1881="","",TEXT(A1881,"mmm-yyyy"))</f>
        <v/>
      </c>
      <c r="I1881" s="47" t="str">
        <f aca="false">IF(G1881="","",G1881+H1881)</f>
        <v/>
      </c>
    </row>
    <row r="1882" customFormat="false" ht="15" hidden="false" customHeight="false" outlineLevel="0" collapsed="false">
      <c r="C1882" s="41" t="str">
        <f aca="false">IF(A1882="","",TEXT(A1882,"mmm-yyyy"))</f>
        <v/>
      </c>
      <c r="I1882" s="47" t="str">
        <f aca="false">IF(G1882="","",G1882+H1882)</f>
        <v/>
      </c>
    </row>
    <row r="1883" customFormat="false" ht="15" hidden="false" customHeight="false" outlineLevel="0" collapsed="false">
      <c r="C1883" s="41" t="str">
        <f aca="false">IF(A1883="","",TEXT(A1883,"mmm-yyyy"))</f>
        <v/>
      </c>
      <c r="I1883" s="47" t="str">
        <f aca="false">IF(G1883="","",G1883+H1883)</f>
        <v/>
      </c>
    </row>
    <row r="1884" customFormat="false" ht="15" hidden="false" customHeight="false" outlineLevel="0" collapsed="false">
      <c r="C1884" s="41" t="str">
        <f aca="false">IF(A1884="","",TEXT(A1884,"mmm-yyyy"))</f>
        <v/>
      </c>
      <c r="I1884" s="47" t="str">
        <f aca="false">IF(G1884="","",G1884+H1884)</f>
        <v/>
      </c>
    </row>
    <row r="1885" customFormat="false" ht="15" hidden="false" customHeight="false" outlineLevel="0" collapsed="false">
      <c r="C1885" s="41" t="str">
        <f aca="false">IF(A1885="","",TEXT(A1885,"mmm-yyyy"))</f>
        <v/>
      </c>
      <c r="I1885" s="47" t="str">
        <f aca="false">IF(G1885="","",G1885+H1885)</f>
        <v/>
      </c>
    </row>
    <row r="1886" customFormat="false" ht="15" hidden="false" customHeight="false" outlineLevel="0" collapsed="false">
      <c r="C1886" s="41" t="str">
        <f aca="false">IF(A1886="","",TEXT(A1886,"mmm-yyyy"))</f>
        <v/>
      </c>
      <c r="I1886" s="47" t="str">
        <f aca="false">IF(G1886="","",G1886+H1886)</f>
        <v/>
      </c>
    </row>
    <row r="1887" customFormat="false" ht="15" hidden="false" customHeight="false" outlineLevel="0" collapsed="false">
      <c r="C1887" s="41" t="str">
        <f aca="false">IF(A1887="","",TEXT(A1887,"mmm-yyyy"))</f>
        <v/>
      </c>
      <c r="I1887" s="47" t="str">
        <f aca="false">IF(G1887="","",G1887+H1887)</f>
        <v/>
      </c>
    </row>
    <row r="1888" customFormat="false" ht="15" hidden="false" customHeight="false" outlineLevel="0" collapsed="false">
      <c r="C1888" s="41" t="str">
        <f aca="false">IF(A1888="","",TEXT(A1888,"mmm-yyyy"))</f>
        <v/>
      </c>
      <c r="I1888" s="47" t="str">
        <f aca="false">IF(G1888="","",G1888+H1888)</f>
        <v/>
      </c>
    </row>
    <row r="1889" customFormat="false" ht="15" hidden="false" customHeight="false" outlineLevel="0" collapsed="false">
      <c r="C1889" s="41" t="str">
        <f aca="false">IF(A1889="","",TEXT(A1889,"mmm-yyyy"))</f>
        <v/>
      </c>
      <c r="I1889" s="47" t="str">
        <f aca="false">IF(G1889="","",G1889+H1889)</f>
        <v/>
      </c>
    </row>
    <row r="1890" customFormat="false" ht="15" hidden="false" customHeight="false" outlineLevel="0" collapsed="false">
      <c r="C1890" s="41" t="str">
        <f aca="false">IF(A1890="","",TEXT(A1890,"mmm-yyyy"))</f>
        <v/>
      </c>
      <c r="I1890" s="47" t="str">
        <f aca="false">IF(G1890="","",G1890+H1890)</f>
        <v/>
      </c>
    </row>
    <row r="1891" customFormat="false" ht="15" hidden="false" customHeight="false" outlineLevel="0" collapsed="false">
      <c r="C1891" s="41" t="str">
        <f aca="false">IF(A1891="","",TEXT(A1891,"mmm-yyyy"))</f>
        <v/>
      </c>
      <c r="I1891" s="47" t="str">
        <f aca="false">IF(G1891="","",G1891+H1891)</f>
        <v/>
      </c>
    </row>
    <row r="1892" customFormat="false" ht="15" hidden="false" customHeight="false" outlineLevel="0" collapsed="false">
      <c r="C1892" s="41" t="str">
        <f aca="false">IF(A1892="","",TEXT(A1892,"mmm-yyyy"))</f>
        <v/>
      </c>
      <c r="I1892" s="47" t="str">
        <f aca="false">IF(G1892="","",G1892+H1892)</f>
        <v/>
      </c>
    </row>
    <row r="1893" customFormat="false" ht="15" hidden="false" customHeight="false" outlineLevel="0" collapsed="false">
      <c r="C1893" s="41" t="str">
        <f aca="false">IF(A1893="","",TEXT(A1893,"mmm-yyyy"))</f>
        <v/>
      </c>
      <c r="I1893" s="47" t="str">
        <f aca="false">IF(G1893="","",G1893+H1893)</f>
        <v/>
      </c>
    </row>
    <row r="1894" customFormat="false" ht="15" hidden="false" customHeight="false" outlineLevel="0" collapsed="false">
      <c r="C1894" s="41" t="str">
        <f aca="false">IF(A1894="","",TEXT(A1894,"mmm-yyyy"))</f>
        <v/>
      </c>
      <c r="I1894" s="47" t="str">
        <f aca="false">IF(G1894="","",G1894+H1894)</f>
        <v/>
      </c>
    </row>
    <row r="1895" customFormat="false" ht="15" hidden="false" customHeight="false" outlineLevel="0" collapsed="false">
      <c r="C1895" s="41" t="str">
        <f aca="false">IF(A1895="","",TEXT(A1895,"mmm-yyyy"))</f>
        <v/>
      </c>
      <c r="I1895" s="47" t="str">
        <f aca="false">IF(G1895="","",G1895+H1895)</f>
        <v/>
      </c>
    </row>
    <row r="1896" customFormat="false" ht="15" hidden="false" customHeight="false" outlineLevel="0" collapsed="false">
      <c r="C1896" s="41" t="str">
        <f aca="false">IF(A1896="","",TEXT(A1896,"mmm-yyyy"))</f>
        <v/>
      </c>
      <c r="I1896" s="47" t="str">
        <f aca="false">IF(G1896="","",G1896+H1896)</f>
        <v/>
      </c>
    </row>
    <row r="1897" customFormat="false" ht="15" hidden="false" customHeight="false" outlineLevel="0" collapsed="false">
      <c r="C1897" s="41" t="str">
        <f aca="false">IF(A1897="","",TEXT(A1897,"mmm-yyyy"))</f>
        <v/>
      </c>
      <c r="I1897" s="47" t="str">
        <f aca="false">IF(G1897="","",G1897+H1897)</f>
        <v/>
      </c>
    </row>
    <row r="1898" customFormat="false" ht="15" hidden="false" customHeight="false" outlineLevel="0" collapsed="false">
      <c r="C1898" s="41" t="str">
        <f aca="false">IF(A1898="","",TEXT(A1898,"mmm-yyyy"))</f>
        <v/>
      </c>
      <c r="I1898" s="47" t="str">
        <f aca="false">IF(G1898="","",G1898+H1898)</f>
        <v/>
      </c>
    </row>
    <row r="1899" customFormat="false" ht="15" hidden="false" customHeight="false" outlineLevel="0" collapsed="false">
      <c r="C1899" s="41" t="str">
        <f aca="false">IF(A1899="","",TEXT(A1899,"mmm-yyyy"))</f>
        <v/>
      </c>
      <c r="I1899" s="47" t="str">
        <f aca="false">IF(G1899="","",G1899+H1899)</f>
        <v/>
      </c>
    </row>
    <row r="1900" customFormat="false" ht="15" hidden="false" customHeight="false" outlineLevel="0" collapsed="false">
      <c r="C1900" s="41" t="str">
        <f aca="false">IF(A1900="","",TEXT(A1900,"mmm-yyyy"))</f>
        <v/>
      </c>
      <c r="I1900" s="47" t="str">
        <f aca="false">IF(G1900="","",G1900+H1900)</f>
        <v/>
      </c>
    </row>
    <row r="1901" customFormat="false" ht="15" hidden="false" customHeight="false" outlineLevel="0" collapsed="false">
      <c r="C1901" s="41" t="str">
        <f aca="false">IF(A1901="","",TEXT(A1901,"mmm-yyyy"))</f>
        <v/>
      </c>
      <c r="I1901" s="47" t="str">
        <f aca="false">IF(G1901="","",G1901+H1901)</f>
        <v/>
      </c>
    </row>
    <row r="1902" customFormat="false" ht="15" hidden="false" customHeight="false" outlineLevel="0" collapsed="false">
      <c r="C1902" s="41" t="str">
        <f aca="false">IF(A1902="","",TEXT(A1902,"mmm-yyyy"))</f>
        <v/>
      </c>
      <c r="I1902" s="47" t="str">
        <f aca="false">IF(G1902="","",G1902+H1902)</f>
        <v/>
      </c>
    </row>
    <row r="1903" customFormat="false" ht="15" hidden="false" customHeight="false" outlineLevel="0" collapsed="false">
      <c r="C1903" s="41" t="str">
        <f aca="false">IF(A1903="","",TEXT(A1903,"mmm-yyyy"))</f>
        <v/>
      </c>
      <c r="I1903" s="47" t="str">
        <f aca="false">IF(G1903="","",G1903+H1903)</f>
        <v/>
      </c>
    </row>
    <row r="1904" customFormat="false" ht="15" hidden="false" customHeight="false" outlineLevel="0" collapsed="false">
      <c r="C1904" s="41" t="str">
        <f aca="false">IF(A1904="","",TEXT(A1904,"mmm-yyyy"))</f>
        <v/>
      </c>
      <c r="I1904" s="47" t="str">
        <f aca="false">IF(G1904="","",G1904+H1904)</f>
        <v/>
      </c>
    </row>
    <row r="1905" customFormat="false" ht="15" hidden="false" customHeight="false" outlineLevel="0" collapsed="false">
      <c r="C1905" s="41" t="str">
        <f aca="false">IF(A1905="","",TEXT(A1905,"mmm-yyyy"))</f>
        <v/>
      </c>
      <c r="I1905" s="47" t="str">
        <f aca="false">IF(G1905="","",G1905+H1905)</f>
        <v/>
      </c>
    </row>
    <row r="1906" customFormat="false" ht="15" hidden="false" customHeight="false" outlineLevel="0" collapsed="false">
      <c r="C1906" s="41" t="str">
        <f aca="false">IF(A1906="","",TEXT(A1906,"mmm-yyyy"))</f>
        <v/>
      </c>
      <c r="I1906" s="47" t="str">
        <f aca="false">IF(G1906="","",G1906+H1906)</f>
        <v/>
      </c>
    </row>
    <row r="1907" customFormat="false" ht="15" hidden="false" customHeight="false" outlineLevel="0" collapsed="false">
      <c r="C1907" s="41" t="str">
        <f aca="false">IF(A1907="","",TEXT(A1907,"mmm-yyyy"))</f>
        <v/>
      </c>
      <c r="I1907" s="47" t="str">
        <f aca="false">IF(G1907="","",G1907+H1907)</f>
        <v/>
      </c>
    </row>
    <row r="1908" customFormat="false" ht="15" hidden="false" customHeight="false" outlineLevel="0" collapsed="false">
      <c r="C1908" s="41" t="str">
        <f aca="false">IF(A1908="","",TEXT(A1908,"mmm-yyyy"))</f>
        <v/>
      </c>
      <c r="I1908" s="47" t="str">
        <f aca="false">IF(G1908="","",G1908+H1908)</f>
        <v/>
      </c>
    </row>
    <row r="1909" customFormat="false" ht="15" hidden="false" customHeight="false" outlineLevel="0" collapsed="false">
      <c r="C1909" s="41" t="str">
        <f aca="false">IF(A1909="","",TEXT(A1909,"mmm-yyyy"))</f>
        <v/>
      </c>
      <c r="I1909" s="47" t="str">
        <f aca="false">IF(G1909="","",G1909+H1909)</f>
        <v/>
      </c>
    </row>
    <row r="1910" customFormat="false" ht="15" hidden="false" customHeight="false" outlineLevel="0" collapsed="false">
      <c r="C1910" s="41" t="str">
        <f aca="false">IF(A1910="","",TEXT(A1910,"mmm-yyyy"))</f>
        <v/>
      </c>
      <c r="I1910" s="47" t="str">
        <f aca="false">IF(G1910="","",G1910+H1910)</f>
        <v/>
      </c>
    </row>
    <row r="1911" customFormat="false" ht="15" hidden="false" customHeight="false" outlineLevel="0" collapsed="false">
      <c r="C1911" s="41" t="str">
        <f aca="false">IF(A1911="","",TEXT(A1911,"mmm-yyyy"))</f>
        <v/>
      </c>
      <c r="I1911" s="47" t="str">
        <f aca="false">IF(G1911="","",G1911+H1911)</f>
        <v/>
      </c>
    </row>
    <row r="1912" customFormat="false" ht="15" hidden="false" customHeight="false" outlineLevel="0" collapsed="false">
      <c r="C1912" s="41" t="str">
        <f aca="false">IF(A1912="","",TEXT(A1912,"mmm-yyyy"))</f>
        <v/>
      </c>
      <c r="I1912" s="47" t="str">
        <f aca="false">IF(G1912="","",G1912+H1912)</f>
        <v/>
      </c>
    </row>
    <row r="1913" customFormat="false" ht="15" hidden="false" customHeight="false" outlineLevel="0" collapsed="false">
      <c r="C1913" s="41" t="str">
        <f aca="false">IF(A1913="","",TEXT(A1913,"mmm-yyyy"))</f>
        <v/>
      </c>
      <c r="I1913" s="47" t="str">
        <f aca="false">IF(G1913="","",G1913+H1913)</f>
        <v/>
      </c>
    </row>
    <row r="1914" customFormat="false" ht="15" hidden="false" customHeight="false" outlineLevel="0" collapsed="false">
      <c r="C1914" s="41" t="str">
        <f aca="false">IF(A1914="","",TEXT(A1914,"mmm-yyyy"))</f>
        <v/>
      </c>
      <c r="I1914" s="47" t="str">
        <f aca="false">IF(G1914="","",G1914+H1914)</f>
        <v/>
      </c>
    </row>
    <row r="1915" customFormat="false" ht="15" hidden="false" customHeight="false" outlineLevel="0" collapsed="false">
      <c r="C1915" s="41" t="str">
        <f aca="false">IF(A1915="","",TEXT(A1915,"mmm-yyyy"))</f>
        <v/>
      </c>
      <c r="I1915" s="47" t="str">
        <f aca="false">IF(G1915="","",G1915+H1915)</f>
        <v/>
      </c>
    </row>
    <row r="1916" customFormat="false" ht="15" hidden="false" customHeight="false" outlineLevel="0" collapsed="false">
      <c r="C1916" s="41" t="str">
        <f aca="false">IF(A1916="","",TEXT(A1916,"mmm-yyyy"))</f>
        <v/>
      </c>
      <c r="I1916" s="47" t="str">
        <f aca="false">IF(G1916="","",G1916+H1916)</f>
        <v/>
      </c>
    </row>
    <row r="1917" customFormat="false" ht="15" hidden="false" customHeight="false" outlineLevel="0" collapsed="false">
      <c r="C1917" s="41" t="str">
        <f aca="false">IF(A1917="","",TEXT(A1917,"mmm-yyyy"))</f>
        <v/>
      </c>
      <c r="I1917" s="47" t="str">
        <f aca="false">IF(G1917="","",G1917+H1917)</f>
        <v/>
      </c>
    </row>
    <row r="1918" customFormat="false" ht="15" hidden="false" customHeight="false" outlineLevel="0" collapsed="false">
      <c r="C1918" s="41" t="str">
        <f aca="false">IF(A1918="","",TEXT(A1918,"mmm-yyyy"))</f>
        <v/>
      </c>
      <c r="I1918" s="47" t="str">
        <f aca="false">IF(G1918="","",G1918+H1918)</f>
        <v/>
      </c>
    </row>
    <row r="1919" customFormat="false" ht="15" hidden="false" customHeight="false" outlineLevel="0" collapsed="false">
      <c r="C1919" s="41" t="str">
        <f aca="false">IF(A1919="","",TEXT(A1919,"mmm-yyyy"))</f>
        <v/>
      </c>
      <c r="I1919" s="47" t="str">
        <f aca="false">IF(G1919="","",G1919+H1919)</f>
        <v/>
      </c>
    </row>
    <row r="1920" customFormat="false" ht="15" hidden="false" customHeight="false" outlineLevel="0" collapsed="false">
      <c r="C1920" s="41" t="str">
        <f aca="false">IF(A1920="","",TEXT(A1920,"mmm-yyyy"))</f>
        <v/>
      </c>
      <c r="I1920" s="47" t="str">
        <f aca="false">IF(G1920="","",G1920+H1920)</f>
        <v/>
      </c>
    </row>
    <row r="1921" customFormat="false" ht="15" hidden="false" customHeight="false" outlineLevel="0" collapsed="false">
      <c r="C1921" s="41" t="str">
        <f aca="false">IF(A1921="","",TEXT(A1921,"mmm-yyyy"))</f>
        <v/>
      </c>
      <c r="I1921" s="47" t="str">
        <f aca="false">IF(G1921="","",G1921+H1921)</f>
        <v/>
      </c>
    </row>
    <row r="1922" customFormat="false" ht="15" hidden="false" customHeight="false" outlineLevel="0" collapsed="false">
      <c r="C1922" s="41" t="str">
        <f aca="false">IF(A1922="","",TEXT(A1922,"mmm-yyyy"))</f>
        <v/>
      </c>
      <c r="I1922" s="47" t="str">
        <f aca="false">IF(G1922="","",G1922+H1922)</f>
        <v/>
      </c>
    </row>
    <row r="1923" customFormat="false" ht="15" hidden="false" customHeight="false" outlineLevel="0" collapsed="false">
      <c r="C1923" s="41" t="str">
        <f aca="false">IF(A1923="","",TEXT(A1923,"mmm-yyyy"))</f>
        <v/>
      </c>
      <c r="I1923" s="47" t="str">
        <f aca="false">IF(G1923="","",G1923+H1923)</f>
        <v/>
      </c>
    </row>
    <row r="1924" customFormat="false" ht="15" hidden="false" customHeight="false" outlineLevel="0" collapsed="false">
      <c r="C1924" s="41" t="str">
        <f aca="false">IF(A1924="","",TEXT(A1924,"mmm-yyyy"))</f>
        <v/>
      </c>
      <c r="I1924" s="47" t="str">
        <f aca="false">IF(G1924="","",G1924+H1924)</f>
        <v/>
      </c>
    </row>
    <row r="1925" customFormat="false" ht="15" hidden="false" customHeight="false" outlineLevel="0" collapsed="false">
      <c r="C1925" s="41" t="str">
        <f aca="false">IF(A1925="","",TEXT(A1925,"mmm-yyyy"))</f>
        <v/>
      </c>
      <c r="I1925" s="47" t="str">
        <f aca="false">IF(G1925="","",G1925+H1925)</f>
        <v/>
      </c>
    </row>
    <row r="1926" customFormat="false" ht="15" hidden="false" customHeight="false" outlineLevel="0" collapsed="false">
      <c r="C1926" s="41" t="str">
        <f aca="false">IF(A1926="","",TEXT(A1926,"mmm-yyyy"))</f>
        <v/>
      </c>
      <c r="I1926" s="47" t="str">
        <f aca="false">IF(G1926="","",G1926+H1926)</f>
        <v/>
      </c>
    </row>
    <row r="1927" customFormat="false" ht="15" hidden="false" customHeight="false" outlineLevel="0" collapsed="false">
      <c r="C1927" s="41" t="str">
        <f aca="false">IF(A1927="","",TEXT(A1927,"mmm-yyyy"))</f>
        <v/>
      </c>
      <c r="I1927" s="47" t="str">
        <f aca="false">IF(G1927="","",G1927+H1927)</f>
        <v/>
      </c>
    </row>
    <row r="1928" customFormat="false" ht="15" hidden="false" customHeight="false" outlineLevel="0" collapsed="false">
      <c r="C1928" s="41" t="str">
        <f aca="false">IF(A1928="","",TEXT(A1928,"mmm-yyyy"))</f>
        <v/>
      </c>
      <c r="I1928" s="47" t="str">
        <f aca="false">IF(G1928="","",G1928+H1928)</f>
        <v/>
      </c>
    </row>
    <row r="1929" customFormat="false" ht="15" hidden="false" customHeight="false" outlineLevel="0" collapsed="false">
      <c r="C1929" s="41" t="str">
        <f aca="false">IF(A1929="","",TEXT(A1929,"mmm-yyyy"))</f>
        <v/>
      </c>
      <c r="I1929" s="47" t="str">
        <f aca="false">IF(G1929="","",G1929+H1929)</f>
        <v/>
      </c>
    </row>
    <row r="1930" customFormat="false" ht="15" hidden="false" customHeight="false" outlineLevel="0" collapsed="false">
      <c r="C1930" s="41" t="str">
        <f aca="false">IF(A1930="","",TEXT(A1930,"mmm-yyyy"))</f>
        <v/>
      </c>
      <c r="I1930" s="47" t="str">
        <f aca="false">IF(G1930="","",G1930+H1930)</f>
        <v/>
      </c>
    </row>
    <row r="1931" customFormat="false" ht="15" hidden="false" customHeight="false" outlineLevel="0" collapsed="false">
      <c r="C1931" s="41" t="str">
        <f aca="false">IF(A1931="","",TEXT(A1931,"mmm-yyyy"))</f>
        <v/>
      </c>
      <c r="I1931" s="47" t="str">
        <f aca="false">IF(G1931="","",G1931+H1931)</f>
        <v/>
      </c>
    </row>
    <row r="1932" customFormat="false" ht="15" hidden="false" customHeight="false" outlineLevel="0" collapsed="false">
      <c r="C1932" s="41" t="str">
        <f aca="false">IF(A1932="","",TEXT(A1932,"mmm-yyyy"))</f>
        <v/>
      </c>
      <c r="I1932" s="47" t="str">
        <f aca="false">IF(G1932="","",G1932+H1932)</f>
        <v/>
      </c>
    </row>
    <row r="1933" customFormat="false" ht="15" hidden="false" customHeight="false" outlineLevel="0" collapsed="false">
      <c r="C1933" s="41" t="str">
        <f aca="false">IF(A1933="","",TEXT(A1933,"mmm-yyyy"))</f>
        <v/>
      </c>
      <c r="I1933" s="47" t="str">
        <f aca="false">IF(G1933="","",G1933+H1933)</f>
        <v/>
      </c>
    </row>
    <row r="1934" customFormat="false" ht="15" hidden="false" customHeight="false" outlineLevel="0" collapsed="false">
      <c r="C1934" s="41" t="str">
        <f aca="false">IF(A1934="","",TEXT(A1934,"mmm-yyyy"))</f>
        <v/>
      </c>
      <c r="I1934" s="47" t="str">
        <f aca="false">IF(G1934="","",G1934+H1934)</f>
        <v/>
      </c>
    </row>
    <row r="1935" customFormat="false" ht="15" hidden="false" customHeight="false" outlineLevel="0" collapsed="false">
      <c r="C1935" s="41" t="str">
        <f aca="false">IF(A1935="","",TEXT(A1935,"mmm-yyyy"))</f>
        <v/>
      </c>
      <c r="I1935" s="47" t="str">
        <f aca="false">IF(G1935="","",G1935+H1935)</f>
        <v/>
      </c>
    </row>
    <row r="1936" customFormat="false" ht="15" hidden="false" customHeight="false" outlineLevel="0" collapsed="false">
      <c r="C1936" s="41" t="str">
        <f aca="false">IF(A1936="","",TEXT(A1936,"mmm-yyyy"))</f>
        <v/>
      </c>
      <c r="I1936" s="47" t="str">
        <f aca="false">IF(G1936="","",G1936+H1936)</f>
        <v/>
      </c>
    </row>
    <row r="1937" customFormat="false" ht="15" hidden="false" customHeight="false" outlineLevel="0" collapsed="false">
      <c r="C1937" s="41" t="str">
        <f aca="false">IF(A1937="","",TEXT(A1937,"mmm-yyyy"))</f>
        <v/>
      </c>
      <c r="I1937" s="47" t="str">
        <f aca="false">IF(G1937="","",G1937+H1937)</f>
        <v/>
      </c>
    </row>
    <row r="1938" customFormat="false" ht="15" hidden="false" customHeight="false" outlineLevel="0" collapsed="false">
      <c r="C1938" s="41" t="str">
        <f aca="false">IF(A1938="","",TEXT(A1938,"mmm-yyyy"))</f>
        <v/>
      </c>
      <c r="I1938" s="47" t="str">
        <f aca="false">IF(G1938="","",G1938+H1938)</f>
        <v/>
      </c>
    </row>
    <row r="1939" customFormat="false" ht="15" hidden="false" customHeight="false" outlineLevel="0" collapsed="false">
      <c r="C1939" s="41" t="str">
        <f aca="false">IF(A1939="","",TEXT(A1939,"mmm-yyyy"))</f>
        <v/>
      </c>
      <c r="I1939" s="47" t="str">
        <f aca="false">IF(G1939="","",G1939+H1939)</f>
        <v/>
      </c>
    </row>
    <row r="1940" customFormat="false" ht="15" hidden="false" customHeight="false" outlineLevel="0" collapsed="false">
      <c r="C1940" s="41" t="str">
        <f aca="false">IF(A1940="","",TEXT(A1940,"mmm-yyyy"))</f>
        <v/>
      </c>
      <c r="I1940" s="47" t="str">
        <f aca="false">IF(G1940="","",G1940+H1940)</f>
        <v/>
      </c>
    </row>
    <row r="1941" customFormat="false" ht="15" hidden="false" customHeight="false" outlineLevel="0" collapsed="false">
      <c r="C1941" s="41" t="str">
        <f aca="false">IF(A1941="","",TEXT(A1941,"mmm-yyyy"))</f>
        <v/>
      </c>
      <c r="I1941" s="47" t="str">
        <f aca="false">IF(G1941="","",G1941+H1941)</f>
        <v/>
      </c>
    </row>
    <row r="1942" customFormat="false" ht="15" hidden="false" customHeight="false" outlineLevel="0" collapsed="false">
      <c r="C1942" s="41" t="str">
        <f aca="false">IF(A1942="","",TEXT(A1942,"mmm-yyyy"))</f>
        <v/>
      </c>
      <c r="I1942" s="47" t="str">
        <f aca="false">IF(G1942="","",G1942+H1942)</f>
        <v/>
      </c>
    </row>
    <row r="1943" customFormat="false" ht="15" hidden="false" customHeight="false" outlineLevel="0" collapsed="false">
      <c r="C1943" s="41" t="str">
        <f aca="false">IF(A1943="","",TEXT(A1943,"mmm-yyyy"))</f>
        <v/>
      </c>
      <c r="I1943" s="47" t="str">
        <f aca="false">IF(G1943="","",G1943+H1943)</f>
        <v/>
      </c>
    </row>
    <row r="1944" customFormat="false" ht="15" hidden="false" customHeight="false" outlineLevel="0" collapsed="false">
      <c r="C1944" s="41" t="str">
        <f aca="false">IF(A1944="","",TEXT(A1944,"mmm-yyyy"))</f>
        <v/>
      </c>
      <c r="I1944" s="47" t="str">
        <f aca="false">IF(G1944="","",G1944+H1944)</f>
        <v/>
      </c>
    </row>
    <row r="1945" customFormat="false" ht="15" hidden="false" customHeight="false" outlineLevel="0" collapsed="false">
      <c r="C1945" s="41" t="str">
        <f aca="false">IF(A1945="","",TEXT(A1945,"mmm-yyyy"))</f>
        <v/>
      </c>
      <c r="I1945" s="47" t="str">
        <f aca="false">IF(G1945="","",G1945+H1945)</f>
        <v/>
      </c>
    </row>
    <row r="1946" customFormat="false" ht="15" hidden="false" customHeight="false" outlineLevel="0" collapsed="false">
      <c r="C1946" s="41" t="str">
        <f aca="false">IF(A1946="","",TEXT(A1946,"mmm-yyyy"))</f>
        <v/>
      </c>
      <c r="I1946" s="47" t="str">
        <f aca="false">IF(G1946="","",G1946+H1946)</f>
        <v/>
      </c>
    </row>
    <row r="1947" customFormat="false" ht="15" hidden="false" customHeight="false" outlineLevel="0" collapsed="false">
      <c r="C1947" s="41" t="str">
        <f aca="false">IF(A1947="","",TEXT(A1947,"mmm-yyyy"))</f>
        <v/>
      </c>
      <c r="I1947" s="47" t="str">
        <f aca="false">IF(G1947="","",G1947+H1947)</f>
        <v/>
      </c>
    </row>
    <row r="1948" customFormat="false" ht="15" hidden="false" customHeight="false" outlineLevel="0" collapsed="false">
      <c r="C1948" s="41" t="str">
        <f aca="false">IF(A1948="","",TEXT(A1948,"mmm-yyyy"))</f>
        <v/>
      </c>
      <c r="I1948" s="47" t="str">
        <f aca="false">IF(G1948="","",G1948+H1948)</f>
        <v/>
      </c>
    </row>
    <row r="1949" customFormat="false" ht="15" hidden="false" customHeight="false" outlineLevel="0" collapsed="false">
      <c r="C1949" s="41" t="str">
        <f aca="false">IF(A1949="","",TEXT(A1949,"mmm-yyyy"))</f>
        <v/>
      </c>
      <c r="I1949" s="47" t="str">
        <f aca="false">IF(G1949="","",G1949+H1949)</f>
        <v/>
      </c>
    </row>
    <row r="1950" customFormat="false" ht="15" hidden="false" customHeight="false" outlineLevel="0" collapsed="false">
      <c r="C1950" s="41" t="str">
        <f aca="false">IF(A1950="","",TEXT(A1950,"mmm-yyyy"))</f>
        <v/>
      </c>
      <c r="I1950" s="47" t="str">
        <f aca="false">IF(G1950="","",G1950+H1950)</f>
        <v/>
      </c>
    </row>
    <row r="1951" customFormat="false" ht="15" hidden="false" customHeight="false" outlineLevel="0" collapsed="false">
      <c r="C1951" s="41" t="str">
        <f aca="false">IF(A1951="","",TEXT(A1951,"mmm-yyyy"))</f>
        <v/>
      </c>
      <c r="I1951" s="47" t="str">
        <f aca="false">IF(G1951="","",G1951+H1951)</f>
        <v/>
      </c>
    </row>
    <row r="1952" customFormat="false" ht="15" hidden="false" customHeight="false" outlineLevel="0" collapsed="false">
      <c r="C1952" s="41" t="str">
        <f aca="false">IF(A1952="","",TEXT(A1952,"mmm-yyyy"))</f>
        <v/>
      </c>
      <c r="I1952" s="47" t="str">
        <f aca="false">IF(G1952="","",G1952+H1952)</f>
        <v/>
      </c>
    </row>
    <row r="1953" customFormat="false" ht="15" hidden="false" customHeight="false" outlineLevel="0" collapsed="false">
      <c r="C1953" s="41" t="str">
        <f aca="false">IF(A1953="","",TEXT(A1953,"mmm-yyyy"))</f>
        <v/>
      </c>
      <c r="I1953" s="47" t="str">
        <f aca="false">IF(G1953="","",G1953+H1953)</f>
        <v/>
      </c>
    </row>
    <row r="1954" customFormat="false" ht="15" hidden="false" customHeight="false" outlineLevel="0" collapsed="false">
      <c r="C1954" s="41" t="str">
        <f aca="false">IF(A1954="","",TEXT(A1954,"mmm-yyyy"))</f>
        <v/>
      </c>
      <c r="I1954" s="47" t="str">
        <f aca="false">IF(G1954="","",G1954+H1954)</f>
        <v/>
      </c>
    </row>
    <row r="1955" customFormat="false" ht="15" hidden="false" customHeight="false" outlineLevel="0" collapsed="false">
      <c r="C1955" s="41" t="str">
        <f aca="false">IF(A1955="","",TEXT(A1955,"mmm-yyyy"))</f>
        <v/>
      </c>
      <c r="I1955" s="47" t="str">
        <f aca="false">IF(G1955="","",G1955+H1955)</f>
        <v/>
      </c>
    </row>
    <row r="1956" customFormat="false" ht="15" hidden="false" customHeight="false" outlineLevel="0" collapsed="false">
      <c r="C1956" s="41" t="str">
        <f aca="false">IF(A1956="","",TEXT(A1956,"mmm-yyyy"))</f>
        <v/>
      </c>
      <c r="I1956" s="47" t="str">
        <f aca="false">IF(G1956="","",G1956+H1956)</f>
        <v/>
      </c>
    </row>
    <row r="1957" customFormat="false" ht="15" hidden="false" customHeight="false" outlineLevel="0" collapsed="false">
      <c r="C1957" s="41" t="str">
        <f aca="false">IF(A1957="","",TEXT(A1957,"mmm-yyyy"))</f>
        <v/>
      </c>
      <c r="I1957" s="47" t="str">
        <f aca="false">IF(G1957="","",G1957+H1957)</f>
        <v/>
      </c>
    </row>
    <row r="1958" customFormat="false" ht="15" hidden="false" customHeight="false" outlineLevel="0" collapsed="false">
      <c r="C1958" s="41" t="str">
        <f aca="false">IF(A1958="","",TEXT(A1958,"mmm-yyyy"))</f>
        <v/>
      </c>
      <c r="I1958" s="47" t="str">
        <f aca="false">IF(G1958="","",G1958+H1958)</f>
        <v/>
      </c>
    </row>
    <row r="1959" customFormat="false" ht="15" hidden="false" customHeight="false" outlineLevel="0" collapsed="false">
      <c r="C1959" s="41" t="str">
        <f aca="false">IF(A1959="","",TEXT(A1959,"mmm-yyyy"))</f>
        <v/>
      </c>
      <c r="I1959" s="47" t="str">
        <f aca="false">IF(G1959="","",G1959+H1959)</f>
        <v/>
      </c>
    </row>
    <row r="1960" customFormat="false" ht="15" hidden="false" customHeight="false" outlineLevel="0" collapsed="false">
      <c r="C1960" s="41" t="str">
        <f aca="false">IF(A1960="","",TEXT(A1960,"mmm-yyyy"))</f>
        <v/>
      </c>
      <c r="I1960" s="47" t="str">
        <f aca="false">IF(G1960="","",G1960+H1960)</f>
        <v/>
      </c>
    </row>
    <row r="1961" customFormat="false" ht="15" hidden="false" customHeight="false" outlineLevel="0" collapsed="false">
      <c r="C1961" s="41" t="str">
        <f aca="false">IF(A1961="","",TEXT(A1961,"mmm-yyyy"))</f>
        <v/>
      </c>
      <c r="I1961" s="47" t="str">
        <f aca="false">IF(G1961="","",G1961+H1961)</f>
        <v/>
      </c>
    </row>
    <row r="1962" customFormat="false" ht="15" hidden="false" customHeight="false" outlineLevel="0" collapsed="false">
      <c r="C1962" s="41" t="str">
        <f aca="false">IF(A1962="","",TEXT(A1962,"mmm-yyyy"))</f>
        <v/>
      </c>
      <c r="I1962" s="47" t="str">
        <f aca="false">IF(G1962="","",G1962+H1962)</f>
        <v/>
      </c>
    </row>
    <row r="1963" customFormat="false" ht="15" hidden="false" customHeight="false" outlineLevel="0" collapsed="false">
      <c r="C1963" s="41" t="str">
        <f aca="false">IF(A1963="","",TEXT(A1963,"mmm-yyyy"))</f>
        <v/>
      </c>
      <c r="I1963" s="47" t="str">
        <f aca="false">IF(G1963="","",G1963+H1963)</f>
        <v/>
      </c>
    </row>
    <row r="1964" customFormat="false" ht="15" hidden="false" customHeight="false" outlineLevel="0" collapsed="false">
      <c r="C1964" s="41" t="str">
        <f aca="false">IF(A1964="","",TEXT(A1964,"mmm-yyyy"))</f>
        <v/>
      </c>
      <c r="I1964" s="47" t="str">
        <f aca="false">IF(G1964="","",G1964+H1964)</f>
        <v/>
      </c>
    </row>
    <row r="1965" customFormat="false" ht="15" hidden="false" customHeight="false" outlineLevel="0" collapsed="false">
      <c r="C1965" s="41" t="str">
        <f aca="false">IF(A1965="","",TEXT(A1965,"mmm-yyyy"))</f>
        <v/>
      </c>
      <c r="I1965" s="47" t="str">
        <f aca="false">IF(G1965="","",G1965+H1965)</f>
        <v/>
      </c>
    </row>
    <row r="1966" customFormat="false" ht="15" hidden="false" customHeight="false" outlineLevel="0" collapsed="false">
      <c r="C1966" s="41" t="str">
        <f aca="false">IF(A1966="","",TEXT(A1966,"mmm-yyyy"))</f>
        <v/>
      </c>
      <c r="I1966" s="47" t="str">
        <f aca="false">IF(G1966="","",G1966+H1966)</f>
        <v/>
      </c>
    </row>
    <row r="1967" customFormat="false" ht="15" hidden="false" customHeight="false" outlineLevel="0" collapsed="false">
      <c r="C1967" s="41" t="str">
        <f aca="false">IF(A1967="","",TEXT(A1967,"mmm-yyyy"))</f>
        <v/>
      </c>
      <c r="I1967" s="47" t="str">
        <f aca="false">IF(G1967="","",G1967+H1967)</f>
        <v/>
      </c>
    </row>
    <row r="1968" customFormat="false" ht="15" hidden="false" customHeight="false" outlineLevel="0" collapsed="false">
      <c r="C1968" s="41" t="str">
        <f aca="false">IF(A1968="","",TEXT(A1968,"mmm-yyyy"))</f>
        <v/>
      </c>
      <c r="I1968" s="47" t="str">
        <f aca="false">IF(G1968="","",G1968+H1968)</f>
        <v/>
      </c>
    </row>
    <row r="1969" customFormat="false" ht="15" hidden="false" customHeight="false" outlineLevel="0" collapsed="false">
      <c r="C1969" s="41" t="str">
        <f aca="false">IF(A1969="","",TEXT(A1969,"mmm-yyyy"))</f>
        <v/>
      </c>
      <c r="I1969" s="47" t="str">
        <f aca="false">IF(G1969="","",G1969+H1969)</f>
        <v/>
      </c>
    </row>
    <row r="1970" customFormat="false" ht="15" hidden="false" customHeight="false" outlineLevel="0" collapsed="false">
      <c r="C1970" s="41" t="str">
        <f aca="false">IF(A1970="","",TEXT(A1970,"mmm-yyyy"))</f>
        <v/>
      </c>
      <c r="I1970" s="47" t="str">
        <f aca="false">IF(G1970="","",G1970+H1970)</f>
        <v/>
      </c>
    </row>
    <row r="1971" customFormat="false" ht="15" hidden="false" customHeight="false" outlineLevel="0" collapsed="false">
      <c r="C1971" s="41" t="str">
        <f aca="false">IF(A1971="","",TEXT(A1971,"mmm-yyyy"))</f>
        <v/>
      </c>
      <c r="I1971" s="47" t="str">
        <f aca="false">IF(G1971="","",G1971+H1971)</f>
        <v/>
      </c>
    </row>
    <row r="1972" customFormat="false" ht="15" hidden="false" customHeight="false" outlineLevel="0" collapsed="false">
      <c r="C1972" s="41" t="str">
        <f aca="false">IF(A1972="","",TEXT(A1972,"mmm-yyyy"))</f>
        <v/>
      </c>
      <c r="I1972" s="47" t="str">
        <f aca="false">IF(G1972="","",G1972+H1972)</f>
        <v/>
      </c>
    </row>
    <row r="1973" customFormat="false" ht="15" hidden="false" customHeight="false" outlineLevel="0" collapsed="false">
      <c r="C1973" s="41" t="str">
        <f aca="false">IF(A1973="","",TEXT(A1973,"mmm-yyyy"))</f>
        <v/>
      </c>
      <c r="I1973" s="47" t="str">
        <f aca="false">IF(G1973="","",G1973+H1973)</f>
        <v/>
      </c>
    </row>
    <row r="1974" customFormat="false" ht="15" hidden="false" customHeight="false" outlineLevel="0" collapsed="false">
      <c r="C1974" s="41" t="str">
        <f aca="false">IF(A1974="","",TEXT(A1974,"mmm-yyyy"))</f>
        <v/>
      </c>
      <c r="I1974" s="47" t="str">
        <f aca="false">IF(G1974="","",G1974+H1974)</f>
        <v/>
      </c>
    </row>
    <row r="1975" customFormat="false" ht="15" hidden="false" customHeight="false" outlineLevel="0" collapsed="false">
      <c r="C1975" s="41" t="str">
        <f aca="false">IF(A1975="","",TEXT(A1975,"mmm-yyyy"))</f>
        <v/>
      </c>
      <c r="I1975" s="47" t="str">
        <f aca="false">IF(G1975="","",G1975+H1975)</f>
        <v/>
      </c>
    </row>
    <row r="1976" customFormat="false" ht="15" hidden="false" customHeight="false" outlineLevel="0" collapsed="false">
      <c r="C1976" s="41" t="str">
        <f aca="false">IF(A1976="","",TEXT(A1976,"mmm-yyyy"))</f>
        <v/>
      </c>
      <c r="I1976" s="47" t="str">
        <f aca="false">IF(G1976="","",G1976+H1976)</f>
        <v/>
      </c>
    </row>
    <row r="1977" customFormat="false" ht="15" hidden="false" customHeight="false" outlineLevel="0" collapsed="false">
      <c r="C1977" s="41" t="str">
        <f aca="false">IF(A1977="","",TEXT(A1977,"mmm-yyyy"))</f>
        <v/>
      </c>
      <c r="I1977" s="47" t="str">
        <f aca="false">IF(G1977="","",G1977+H1977)</f>
        <v/>
      </c>
    </row>
    <row r="1978" customFormat="false" ht="15" hidden="false" customHeight="false" outlineLevel="0" collapsed="false">
      <c r="C1978" s="41" t="str">
        <f aca="false">IF(A1978="","",TEXT(A1978,"mmm-yyyy"))</f>
        <v/>
      </c>
      <c r="I1978" s="47" t="str">
        <f aca="false">IF(G1978="","",G1978+H1978)</f>
        <v/>
      </c>
    </row>
    <row r="1979" customFormat="false" ht="15" hidden="false" customHeight="false" outlineLevel="0" collapsed="false">
      <c r="C1979" s="41" t="str">
        <f aca="false">IF(A1979="","",TEXT(A1979,"mmm-yyyy"))</f>
        <v/>
      </c>
      <c r="I1979" s="47" t="str">
        <f aca="false">IF(G1979="","",G1979+H1979)</f>
        <v/>
      </c>
    </row>
    <row r="1980" customFormat="false" ht="15" hidden="false" customHeight="false" outlineLevel="0" collapsed="false">
      <c r="C1980" s="41" t="str">
        <f aca="false">IF(A1980="","",TEXT(A1980,"mmm-yyyy"))</f>
        <v/>
      </c>
      <c r="I1980" s="47" t="str">
        <f aca="false">IF(G1980="","",G1980+H1980)</f>
        <v/>
      </c>
    </row>
    <row r="1981" customFormat="false" ht="15" hidden="false" customHeight="false" outlineLevel="0" collapsed="false">
      <c r="C1981" s="41" t="str">
        <f aca="false">IF(A1981="","",TEXT(A1981,"mmm-yyyy"))</f>
        <v/>
      </c>
      <c r="I1981" s="47" t="str">
        <f aca="false">IF(G1981="","",G1981+H1981)</f>
        <v/>
      </c>
    </row>
    <row r="1982" customFormat="false" ht="15" hidden="false" customHeight="false" outlineLevel="0" collapsed="false">
      <c r="C1982" s="41" t="str">
        <f aca="false">IF(A1982="","",TEXT(A1982,"mmm-yyyy"))</f>
        <v/>
      </c>
      <c r="I1982" s="47" t="str">
        <f aca="false">IF(G1982="","",G1982+H1982)</f>
        <v/>
      </c>
    </row>
    <row r="1983" customFormat="false" ht="15" hidden="false" customHeight="false" outlineLevel="0" collapsed="false">
      <c r="C1983" s="41" t="str">
        <f aca="false">IF(A1983="","",TEXT(A1983,"mmm-yyyy"))</f>
        <v/>
      </c>
      <c r="I1983" s="47" t="str">
        <f aca="false">IF(G1983="","",G1983+H1983)</f>
        <v/>
      </c>
    </row>
    <row r="1984" customFormat="false" ht="15" hidden="false" customHeight="false" outlineLevel="0" collapsed="false">
      <c r="C1984" s="41" t="str">
        <f aca="false">IF(A1984="","",TEXT(A1984,"mmm-yyyy"))</f>
        <v/>
      </c>
      <c r="I1984" s="47" t="str">
        <f aca="false">IF(G1984="","",G1984+H1984)</f>
        <v/>
      </c>
    </row>
    <row r="1985" customFormat="false" ht="15" hidden="false" customHeight="false" outlineLevel="0" collapsed="false">
      <c r="C1985" s="41" t="str">
        <f aca="false">IF(A1985="","",TEXT(A1985,"mmm-yyyy"))</f>
        <v/>
      </c>
      <c r="I1985" s="47" t="str">
        <f aca="false">IF(G1985="","",G1985+H1985)</f>
        <v/>
      </c>
    </row>
    <row r="1986" customFormat="false" ht="15" hidden="false" customHeight="false" outlineLevel="0" collapsed="false">
      <c r="C1986" s="41" t="str">
        <f aca="false">IF(A1986="","",TEXT(A1986,"mmm-yyyy"))</f>
        <v/>
      </c>
      <c r="I1986" s="47" t="str">
        <f aca="false">IF(G1986="","",G1986+H1986)</f>
        <v/>
      </c>
    </row>
    <row r="1987" customFormat="false" ht="15" hidden="false" customHeight="false" outlineLevel="0" collapsed="false">
      <c r="C1987" s="41" t="str">
        <f aca="false">IF(A1987="","",TEXT(A1987,"mmm-yyyy"))</f>
        <v/>
      </c>
      <c r="I1987" s="47" t="str">
        <f aca="false">IF(G1987="","",G1987+H1987)</f>
        <v/>
      </c>
    </row>
    <row r="1988" customFormat="false" ht="15" hidden="false" customHeight="false" outlineLevel="0" collapsed="false">
      <c r="C1988" s="41" t="str">
        <f aca="false">IF(A1988="","",TEXT(A1988,"mmm-yyyy"))</f>
        <v/>
      </c>
      <c r="I1988" s="47" t="str">
        <f aca="false">IF(G1988="","",G1988+H1988)</f>
        <v/>
      </c>
    </row>
    <row r="1989" customFormat="false" ht="15" hidden="false" customHeight="false" outlineLevel="0" collapsed="false">
      <c r="C1989" s="41" t="str">
        <f aca="false">IF(A1989="","",TEXT(A1989,"mmm-yyyy"))</f>
        <v/>
      </c>
      <c r="I1989" s="47" t="str">
        <f aca="false">IF(G1989="","",G1989+H1989)</f>
        <v/>
      </c>
    </row>
    <row r="1990" customFormat="false" ht="15" hidden="false" customHeight="false" outlineLevel="0" collapsed="false">
      <c r="C1990" s="41" t="str">
        <f aca="false">IF(A1990="","",TEXT(A1990,"mmm-yyyy"))</f>
        <v/>
      </c>
      <c r="I1990" s="47" t="str">
        <f aca="false">IF(G1990="","",G1990+H1990)</f>
        <v/>
      </c>
    </row>
    <row r="1991" customFormat="false" ht="15" hidden="false" customHeight="false" outlineLevel="0" collapsed="false">
      <c r="C1991" s="41" t="str">
        <f aca="false">IF(A1991="","",TEXT(A1991,"mmm-yyyy"))</f>
        <v/>
      </c>
      <c r="I1991" s="47" t="str">
        <f aca="false">IF(G1991="","",G1991+H1991)</f>
        <v/>
      </c>
    </row>
    <row r="1992" customFormat="false" ht="15" hidden="false" customHeight="false" outlineLevel="0" collapsed="false">
      <c r="C1992" s="41" t="str">
        <f aca="false">IF(A1992="","",TEXT(A1992,"mmm-yyyy"))</f>
        <v/>
      </c>
      <c r="I1992" s="47" t="str">
        <f aca="false">IF(G1992="","",G1992+H1992)</f>
        <v/>
      </c>
    </row>
    <row r="1993" customFormat="false" ht="15" hidden="false" customHeight="false" outlineLevel="0" collapsed="false">
      <c r="C1993" s="41" t="str">
        <f aca="false">IF(A1993="","",TEXT(A1993,"mmm-yyyy"))</f>
        <v/>
      </c>
      <c r="I1993" s="47" t="str">
        <f aca="false">IF(G1993="","",G1993+H1993)</f>
        <v/>
      </c>
    </row>
    <row r="1994" customFormat="false" ht="15" hidden="false" customHeight="false" outlineLevel="0" collapsed="false">
      <c r="C1994" s="41" t="str">
        <f aca="false">IF(A1994="","",TEXT(A1994,"mmm-yyyy"))</f>
        <v/>
      </c>
      <c r="I1994" s="47" t="str">
        <f aca="false">IF(G1994="","",G1994+H1994)</f>
        <v/>
      </c>
    </row>
    <row r="1995" customFormat="false" ht="15" hidden="false" customHeight="false" outlineLevel="0" collapsed="false">
      <c r="C1995" s="41" t="str">
        <f aca="false">IF(A1995="","",TEXT(A1995,"mmm-yyyy"))</f>
        <v/>
      </c>
      <c r="I1995" s="47" t="str">
        <f aca="false">IF(G1995="","",G1995+H1995)</f>
        <v/>
      </c>
    </row>
    <row r="1996" customFormat="false" ht="15" hidden="false" customHeight="false" outlineLevel="0" collapsed="false">
      <c r="C1996" s="41" t="str">
        <f aca="false">IF(A1996="","",TEXT(A1996,"mmm-yyyy"))</f>
        <v/>
      </c>
      <c r="I1996" s="47" t="str">
        <f aca="false">IF(G1996="","",G1996+H1996)</f>
        <v/>
      </c>
    </row>
    <row r="1997" customFormat="false" ht="15" hidden="false" customHeight="false" outlineLevel="0" collapsed="false">
      <c r="C1997" s="41" t="str">
        <f aca="false">IF(A1997="","",TEXT(A1997,"mmm-yyyy"))</f>
        <v/>
      </c>
      <c r="I1997" s="47" t="str">
        <f aca="false">IF(G1997="","",G1997+H1997)</f>
        <v/>
      </c>
    </row>
    <row r="1998" customFormat="false" ht="15" hidden="false" customHeight="false" outlineLevel="0" collapsed="false">
      <c r="C1998" s="41" t="str">
        <f aca="false">IF(A1998="","",TEXT(A1998,"mmm-yyyy"))</f>
        <v/>
      </c>
      <c r="I1998" s="47" t="str">
        <f aca="false">IF(G1998="","",G1998+H1998)</f>
        <v/>
      </c>
    </row>
    <row r="1999" customFormat="false" ht="15" hidden="false" customHeight="false" outlineLevel="0" collapsed="false">
      <c r="C1999" s="41" t="str">
        <f aca="false">IF(A1999="","",TEXT(A1999,"mmm-yyyy"))</f>
        <v/>
      </c>
      <c r="I1999" s="47" t="str">
        <f aca="false">IF(G1999="","",G1999+H1999)</f>
        <v/>
      </c>
    </row>
    <row r="2000" customFormat="false" ht="15" hidden="false" customHeight="false" outlineLevel="0" collapsed="false">
      <c r="C2000" s="41" t="str">
        <f aca="false">IF(A2000="","",TEXT(A2000,"mmm-yyyy"))</f>
        <v/>
      </c>
      <c r="I2000" s="47" t="str">
        <f aca="false">IF(G2000="","",G2000+H2000)</f>
        <v/>
      </c>
    </row>
    <row r="2001" customFormat="false" ht="15" hidden="false" customHeight="false" outlineLevel="0" collapsed="false">
      <c r="C2001" s="41" t="str">
        <f aca="false">IF(A2001="","",TEXT(A2001,"mmm-yyyy"))</f>
        <v/>
      </c>
      <c r="I2001" s="47" t="str">
        <f aca="false">IF(G2001="","",G2001+H2001)</f>
        <v/>
      </c>
    </row>
    <row r="2002" customFormat="false" ht="15" hidden="false" customHeight="false" outlineLevel="0" collapsed="false">
      <c r="C2002" s="41" t="str">
        <f aca="false">IF(A2002="","",TEXT(A2002,"mmm-yyyy"))</f>
        <v/>
      </c>
      <c r="I2002" s="47" t="str">
        <f aca="false">IF(G2002="","",G2002+H2002)</f>
        <v/>
      </c>
    </row>
    <row r="2003" customFormat="false" ht="15" hidden="false" customHeight="false" outlineLevel="0" collapsed="false">
      <c r="C2003" s="41" t="str">
        <f aca="false">IF(A2003="","",TEXT(A2003,"mmm-yyyy"))</f>
        <v/>
      </c>
      <c r="I2003" s="47" t="str">
        <f aca="false">IF(G2003="","",G2003+H2003)</f>
        <v/>
      </c>
    </row>
    <row r="2004" customFormat="false" ht="15" hidden="false" customHeight="false" outlineLevel="0" collapsed="false">
      <c r="C2004" s="41" t="str">
        <f aca="false">IF(A2004="","",TEXT(A2004,"mmm-yyyy"))</f>
        <v/>
      </c>
      <c r="I2004" s="47" t="str">
        <f aca="false">IF(G2004="","",G2004+H2004)</f>
        <v/>
      </c>
    </row>
    <row r="2005" customFormat="false" ht="15" hidden="false" customHeight="false" outlineLevel="0" collapsed="false">
      <c r="C2005" s="41" t="str">
        <f aca="false">IF(A2005="","",TEXT(A2005,"mmm-yyyy"))</f>
        <v/>
      </c>
      <c r="I2005" s="47" t="str">
        <f aca="false">IF(G2005="","",G2005+H2005)</f>
        <v/>
      </c>
    </row>
    <row r="2006" customFormat="false" ht="15" hidden="false" customHeight="false" outlineLevel="0" collapsed="false">
      <c r="C2006" s="41" t="str">
        <f aca="false">IF(A2006="","",TEXT(A2006,"mmm-yyyy"))</f>
        <v/>
      </c>
      <c r="I2006" s="47" t="str">
        <f aca="false">IF(G2006="","",G2006+H2006)</f>
        <v/>
      </c>
    </row>
    <row r="2007" customFormat="false" ht="15" hidden="false" customHeight="false" outlineLevel="0" collapsed="false">
      <c r="C2007" s="41" t="str">
        <f aca="false">IF(A2007="","",TEXT(A2007,"mmm-yyyy"))</f>
        <v/>
      </c>
      <c r="I2007" s="47" t="str">
        <f aca="false">IF(G2007="","",G2007+H2007)</f>
        <v/>
      </c>
    </row>
    <row r="2008" customFormat="false" ht="15" hidden="false" customHeight="false" outlineLevel="0" collapsed="false">
      <c r="C2008" s="41" t="str">
        <f aca="false">IF(A2008="","",TEXT(A2008,"mmm-yyyy"))</f>
        <v/>
      </c>
      <c r="I2008" s="47" t="str">
        <f aca="false">IF(G2008="","",G2008+H2008)</f>
        <v/>
      </c>
    </row>
    <row r="2009" customFormat="false" ht="15" hidden="false" customHeight="false" outlineLevel="0" collapsed="false">
      <c r="C2009" s="41" t="str">
        <f aca="false">IF(A2009="","",TEXT(A2009,"mmm-yyyy"))</f>
        <v/>
      </c>
      <c r="I2009" s="47" t="str">
        <f aca="false">IF(G2009="","",G2009+H2009)</f>
        <v/>
      </c>
    </row>
    <row r="2010" customFormat="false" ht="15" hidden="false" customHeight="false" outlineLevel="0" collapsed="false">
      <c r="C2010" s="41" t="str">
        <f aca="false">IF(A2010="","",TEXT(A2010,"mmm-yyyy"))</f>
        <v/>
      </c>
      <c r="I2010" s="47" t="str">
        <f aca="false">IF(G2010="","",G2010+H2010)</f>
        <v/>
      </c>
    </row>
    <row r="2011" customFormat="false" ht="15" hidden="false" customHeight="false" outlineLevel="0" collapsed="false">
      <c r="C2011" s="41" t="str">
        <f aca="false">IF(A2011="","",TEXT(A2011,"mmm-yyyy"))</f>
        <v/>
      </c>
      <c r="I2011" s="47" t="str">
        <f aca="false">IF(G2011="","",G2011+H2011)</f>
        <v/>
      </c>
    </row>
    <row r="2012" customFormat="false" ht="15" hidden="false" customHeight="false" outlineLevel="0" collapsed="false">
      <c r="C2012" s="41" t="str">
        <f aca="false">IF(A2012="","",TEXT(A2012,"mmm-yyyy"))</f>
        <v/>
      </c>
      <c r="I2012" s="47" t="str">
        <f aca="false">IF(G2012="","",G2012+H2012)</f>
        <v/>
      </c>
    </row>
    <row r="2013" customFormat="false" ht="15" hidden="false" customHeight="false" outlineLevel="0" collapsed="false">
      <c r="C2013" s="41" t="str">
        <f aca="false">IF(A2013="","",TEXT(A2013,"mmm-yyyy"))</f>
        <v/>
      </c>
      <c r="I2013" s="47" t="str">
        <f aca="false">IF(G2013="","",G2013+H2013)</f>
        <v/>
      </c>
    </row>
    <row r="2014" customFormat="false" ht="15" hidden="false" customHeight="false" outlineLevel="0" collapsed="false">
      <c r="C2014" s="41" t="str">
        <f aca="false">IF(A2014="","",TEXT(A2014,"mmm-yyyy"))</f>
        <v/>
      </c>
      <c r="I2014" s="47" t="str">
        <f aca="false">IF(G2014="","",G2014+H2014)</f>
        <v/>
      </c>
    </row>
    <row r="2015" customFormat="false" ht="15" hidden="false" customHeight="false" outlineLevel="0" collapsed="false">
      <c r="C2015" s="41" t="str">
        <f aca="false">IF(A2015="","",TEXT(A2015,"mmm-yyyy"))</f>
        <v/>
      </c>
      <c r="I2015" s="47" t="str">
        <f aca="false">IF(G2015="","",G2015+H2015)</f>
        <v/>
      </c>
    </row>
    <row r="2016" customFormat="false" ht="15" hidden="false" customHeight="false" outlineLevel="0" collapsed="false">
      <c r="C2016" s="41" t="str">
        <f aca="false">IF(A2016="","",TEXT(A2016,"mmm-yyyy"))</f>
        <v/>
      </c>
      <c r="I2016" s="47" t="str">
        <f aca="false">IF(G2016="","",G2016+H2016)</f>
        <v/>
      </c>
    </row>
    <row r="2017" customFormat="false" ht="15" hidden="false" customHeight="false" outlineLevel="0" collapsed="false">
      <c r="C2017" s="41" t="str">
        <f aca="false">IF(A2017="","",TEXT(A2017,"mmm-yyyy"))</f>
        <v/>
      </c>
      <c r="I2017" s="47" t="str">
        <f aca="false">IF(G2017="","",G2017+H2017)</f>
        <v/>
      </c>
    </row>
    <row r="2018" customFormat="false" ht="15" hidden="false" customHeight="false" outlineLevel="0" collapsed="false">
      <c r="C2018" s="41" t="str">
        <f aca="false">IF(A2018="","",TEXT(A2018,"mmm-yyyy"))</f>
        <v/>
      </c>
      <c r="I2018" s="47" t="str">
        <f aca="false">IF(G2018="","",G2018+H2018)</f>
        <v/>
      </c>
    </row>
    <row r="2019" customFormat="false" ht="15" hidden="false" customHeight="false" outlineLevel="0" collapsed="false">
      <c r="C2019" s="41" t="str">
        <f aca="false">IF(A2019="","",TEXT(A2019,"mmm-yyyy"))</f>
        <v/>
      </c>
      <c r="I2019" s="47" t="str">
        <f aca="false">IF(G2019="","",G2019+H2019)</f>
        <v/>
      </c>
    </row>
    <row r="2020" customFormat="false" ht="15" hidden="false" customHeight="false" outlineLevel="0" collapsed="false">
      <c r="C2020" s="41" t="str">
        <f aca="false">IF(A2020="","",TEXT(A2020,"mmm-yyyy"))</f>
        <v/>
      </c>
      <c r="I2020" s="47" t="str">
        <f aca="false">IF(G2020="","",G2020+H2020)</f>
        <v/>
      </c>
    </row>
    <row r="2021" customFormat="false" ht="15" hidden="false" customHeight="false" outlineLevel="0" collapsed="false">
      <c r="C2021" s="41" t="str">
        <f aca="false">IF(A2021="","",TEXT(A2021,"mmm-yyyy"))</f>
        <v/>
      </c>
      <c r="I2021" s="47" t="str">
        <f aca="false">IF(G2021="","",G2021+H2021)</f>
        <v/>
      </c>
    </row>
    <row r="2022" customFormat="false" ht="15" hidden="false" customHeight="false" outlineLevel="0" collapsed="false">
      <c r="C2022" s="41" t="str">
        <f aca="false">IF(A2022="","",TEXT(A2022,"mmm-yyyy"))</f>
        <v/>
      </c>
      <c r="I2022" s="47" t="str">
        <f aca="false">IF(G2022="","",G2022+H2022)</f>
        <v/>
      </c>
    </row>
    <row r="2023" customFormat="false" ht="15" hidden="false" customHeight="false" outlineLevel="0" collapsed="false">
      <c r="C2023" s="41" t="str">
        <f aca="false">IF(A2023="","",TEXT(A2023,"mmm-yyyy"))</f>
        <v/>
      </c>
      <c r="I2023" s="47" t="str">
        <f aca="false">IF(G2023="","",G2023+H2023)</f>
        <v/>
      </c>
    </row>
    <row r="2024" customFormat="false" ht="15" hidden="false" customHeight="false" outlineLevel="0" collapsed="false">
      <c r="C2024" s="41" t="str">
        <f aca="false">IF(A2024="","",TEXT(A2024,"mmm-yyyy"))</f>
        <v/>
      </c>
      <c r="I2024" s="47" t="str">
        <f aca="false">IF(G2024="","",G2024+H2024)</f>
        <v/>
      </c>
    </row>
    <row r="2025" customFormat="false" ht="15" hidden="false" customHeight="false" outlineLevel="0" collapsed="false">
      <c r="C2025" s="41" t="str">
        <f aca="false">IF(A2025="","",TEXT(A2025,"mmm-yyyy"))</f>
        <v/>
      </c>
      <c r="I2025" s="47" t="str">
        <f aca="false">IF(G2025="","",G2025+H2025)</f>
        <v/>
      </c>
    </row>
    <row r="2026" customFormat="false" ht="15" hidden="false" customHeight="false" outlineLevel="0" collapsed="false">
      <c r="C2026" s="41" t="str">
        <f aca="false">IF(A2026="","",TEXT(A2026,"mmm-yyyy"))</f>
        <v/>
      </c>
      <c r="I2026" s="47" t="str">
        <f aca="false">IF(G2026="","",G2026+H2026)</f>
        <v/>
      </c>
    </row>
    <row r="2027" customFormat="false" ht="15" hidden="false" customHeight="false" outlineLevel="0" collapsed="false">
      <c r="C2027" s="41" t="str">
        <f aca="false">IF(A2027="","",TEXT(A2027,"mmm-yyyy"))</f>
        <v/>
      </c>
      <c r="I2027" s="47" t="str">
        <f aca="false">IF(G2027="","",G2027+H2027)</f>
        <v/>
      </c>
    </row>
    <row r="2028" customFormat="false" ht="15" hidden="false" customHeight="false" outlineLevel="0" collapsed="false">
      <c r="C2028" s="41" t="str">
        <f aca="false">IF(A2028="","",TEXT(A2028,"mmm-yyyy"))</f>
        <v/>
      </c>
      <c r="I2028" s="47" t="str">
        <f aca="false">IF(G2028="","",G2028+H2028)</f>
        <v/>
      </c>
    </row>
    <row r="2029" customFormat="false" ht="15" hidden="false" customHeight="false" outlineLevel="0" collapsed="false">
      <c r="C2029" s="41" t="str">
        <f aca="false">IF(A2029="","",TEXT(A2029,"mmm-yyyy"))</f>
        <v/>
      </c>
      <c r="I2029" s="47" t="str">
        <f aca="false">IF(G2029="","",G2029+H2029)</f>
        <v/>
      </c>
    </row>
    <row r="2030" customFormat="false" ht="15" hidden="false" customHeight="false" outlineLevel="0" collapsed="false">
      <c r="C2030" s="41" t="str">
        <f aca="false">IF(A2030="","",TEXT(A2030,"mmm-yyyy"))</f>
        <v/>
      </c>
      <c r="I2030" s="47" t="str">
        <f aca="false">IF(G2030="","",G2030+H2030)</f>
        <v/>
      </c>
    </row>
    <row r="2031" customFormat="false" ht="15" hidden="false" customHeight="false" outlineLevel="0" collapsed="false">
      <c r="C2031" s="41" t="str">
        <f aca="false">IF(A2031="","",TEXT(A2031,"mmm-yyyy"))</f>
        <v/>
      </c>
      <c r="I2031" s="47" t="str">
        <f aca="false">IF(G2031="","",G2031+H2031)</f>
        <v/>
      </c>
    </row>
    <row r="2032" customFormat="false" ht="15" hidden="false" customHeight="false" outlineLevel="0" collapsed="false">
      <c r="C2032" s="41" t="str">
        <f aca="false">IF(A2032="","",TEXT(A2032,"mmm-yyyy"))</f>
        <v/>
      </c>
      <c r="I2032" s="47" t="str">
        <f aca="false">IF(G2032="","",G2032+H2032)</f>
        <v/>
      </c>
    </row>
    <row r="2033" customFormat="false" ht="15" hidden="false" customHeight="false" outlineLevel="0" collapsed="false">
      <c r="C2033" s="41" t="str">
        <f aca="false">IF(A2033="","",TEXT(A2033,"mmm-yyyy"))</f>
        <v/>
      </c>
      <c r="I2033" s="47" t="str">
        <f aca="false">IF(G2033="","",G2033+H2033)</f>
        <v/>
      </c>
    </row>
    <row r="2034" customFormat="false" ht="15" hidden="false" customHeight="false" outlineLevel="0" collapsed="false">
      <c r="C2034" s="41" t="str">
        <f aca="false">IF(A2034="","",TEXT(A2034,"mmm-yyyy"))</f>
        <v/>
      </c>
      <c r="I2034" s="47" t="str">
        <f aca="false">IF(G2034="","",G2034+H2034)</f>
        <v/>
      </c>
    </row>
    <row r="2035" customFormat="false" ht="15" hidden="false" customHeight="false" outlineLevel="0" collapsed="false">
      <c r="C2035" s="41" t="str">
        <f aca="false">IF(A2035="","",TEXT(A2035,"mmm-yyyy"))</f>
        <v/>
      </c>
      <c r="I2035" s="47" t="str">
        <f aca="false">IF(G2035="","",G2035+H2035)</f>
        <v/>
      </c>
    </row>
    <row r="2036" customFormat="false" ht="15" hidden="false" customHeight="false" outlineLevel="0" collapsed="false">
      <c r="C2036" s="41" t="str">
        <f aca="false">IF(A2036="","",TEXT(A2036,"mmm-yyyy"))</f>
        <v/>
      </c>
      <c r="I2036" s="47" t="str">
        <f aca="false">IF(G2036="","",G2036+H2036)</f>
        <v/>
      </c>
    </row>
    <row r="2037" customFormat="false" ht="15" hidden="false" customHeight="false" outlineLevel="0" collapsed="false">
      <c r="C2037" s="41" t="str">
        <f aca="false">IF(A2037="","",TEXT(A2037,"mmm-yyyy"))</f>
        <v/>
      </c>
      <c r="I2037" s="47" t="str">
        <f aca="false">IF(G2037="","",G2037+H2037)</f>
        <v/>
      </c>
    </row>
    <row r="2038" customFormat="false" ht="15" hidden="false" customHeight="false" outlineLevel="0" collapsed="false">
      <c r="C2038" s="41" t="str">
        <f aca="false">IF(A2038="","",TEXT(A2038,"mmm-yyyy"))</f>
        <v/>
      </c>
      <c r="I2038" s="47" t="str">
        <f aca="false">IF(G2038="","",G2038+H2038)</f>
        <v/>
      </c>
    </row>
    <row r="2039" customFormat="false" ht="15" hidden="false" customHeight="false" outlineLevel="0" collapsed="false">
      <c r="C2039" s="41" t="str">
        <f aca="false">IF(A2039="","",TEXT(A2039,"mmm-yyyy"))</f>
        <v/>
      </c>
      <c r="I2039" s="47" t="str">
        <f aca="false">IF(G2039="","",G2039+H2039)</f>
        <v/>
      </c>
    </row>
    <row r="2040" customFormat="false" ht="15" hidden="false" customHeight="false" outlineLevel="0" collapsed="false">
      <c r="C2040" s="41" t="str">
        <f aca="false">IF(A2040="","",TEXT(A2040,"mmm-yyyy"))</f>
        <v/>
      </c>
      <c r="I2040" s="47" t="str">
        <f aca="false">IF(G2040="","",G2040+H2040)</f>
        <v/>
      </c>
    </row>
    <row r="2041" customFormat="false" ht="15" hidden="false" customHeight="false" outlineLevel="0" collapsed="false">
      <c r="C2041" s="41" t="str">
        <f aca="false">IF(A2041="","",TEXT(A2041,"mmm-yyyy"))</f>
        <v/>
      </c>
      <c r="I2041" s="47" t="str">
        <f aca="false">IF(G2041="","",G2041+H2041)</f>
        <v/>
      </c>
    </row>
    <row r="2042" customFormat="false" ht="15" hidden="false" customHeight="false" outlineLevel="0" collapsed="false">
      <c r="C2042" s="41" t="str">
        <f aca="false">IF(A2042="","",TEXT(A2042,"mmm-yyyy"))</f>
        <v/>
      </c>
      <c r="I2042" s="47" t="str">
        <f aca="false">IF(G2042="","",G2042+H2042)</f>
        <v/>
      </c>
    </row>
    <row r="2043" customFormat="false" ht="15" hidden="false" customHeight="false" outlineLevel="0" collapsed="false">
      <c r="C2043" s="41" t="str">
        <f aca="false">IF(A2043="","",TEXT(A2043,"mmm-yyyy"))</f>
        <v/>
      </c>
      <c r="I2043" s="47" t="str">
        <f aca="false">IF(G2043="","",G2043+H2043)</f>
        <v/>
      </c>
    </row>
    <row r="2044" customFormat="false" ht="15" hidden="false" customHeight="false" outlineLevel="0" collapsed="false">
      <c r="C2044" s="41" t="str">
        <f aca="false">IF(A2044="","",TEXT(A2044,"mmm-yyyy"))</f>
        <v/>
      </c>
      <c r="I2044" s="47" t="str">
        <f aca="false">IF(G2044="","",G2044+H2044)</f>
        <v/>
      </c>
    </row>
    <row r="2045" customFormat="false" ht="15" hidden="false" customHeight="false" outlineLevel="0" collapsed="false">
      <c r="C2045" s="41" t="str">
        <f aca="false">IF(A2045="","",TEXT(A2045,"mmm-yyyy"))</f>
        <v/>
      </c>
      <c r="I2045" s="47" t="str">
        <f aca="false">IF(G2045="","",G2045+H2045)</f>
        <v/>
      </c>
    </row>
    <row r="2046" customFormat="false" ht="15" hidden="false" customHeight="false" outlineLevel="0" collapsed="false">
      <c r="C2046" s="41" t="str">
        <f aca="false">IF(A2046="","",TEXT(A2046,"mmm-yyyy"))</f>
        <v/>
      </c>
      <c r="I2046" s="47" t="str">
        <f aca="false">IF(G2046="","",G2046+H2046)</f>
        <v/>
      </c>
    </row>
    <row r="2047" customFormat="false" ht="15" hidden="false" customHeight="false" outlineLevel="0" collapsed="false">
      <c r="C2047" s="41" t="str">
        <f aca="false">IF(A2047="","",TEXT(A2047,"mmm-yyyy"))</f>
        <v/>
      </c>
      <c r="I2047" s="47" t="str">
        <f aca="false">IF(G2047="","",G2047+H2047)</f>
        <v/>
      </c>
    </row>
    <row r="2048" customFormat="false" ht="15" hidden="false" customHeight="false" outlineLevel="0" collapsed="false">
      <c r="C2048" s="41" t="str">
        <f aca="false">IF(A2048="","",TEXT(A2048,"mmm-yyyy"))</f>
        <v/>
      </c>
      <c r="I2048" s="47" t="str">
        <f aca="false">IF(G2048="","",G2048+H2048)</f>
        <v/>
      </c>
    </row>
    <row r="2049" customFormat="false" ht="15" hidden="false" customHeight="false" outlineLevel="0" collapsed="false">
      <c r="C2049" s="41" t="str">
        <f aca="false">IF(A2049="","",TEXT(A2049,"mmm-yyyy"))</f>
        <v/>
      </c>
      <c r="I2049" s="47" t="str">
        <f aca="false">IF(G2049="","",G2049+H2049)</f>
        <v/>
      </c>
    </row>
    <row r="2050" customFormat="false" ht="15" hidden="false" customHeight="false" outlineLevel="0" collapsed="false">
      <c r="C2050" s="41" t="str">
        <f aca="false">IF(A2050="","",TEXT(A2050,"mmm-yyyy"))</f>
        <v/>
      </c>
      <c r="I2050" s="47" t="str">
        <f aca="false">IF(G2050="","",G2050+H2050)</f>
        <v/>
      </c>
    </row>
    <row r="2051" customFormat="false" ht="15" hidden="false" customHeight="false" outlineLevel="0" collapsed="false">
      <c r="C2051" s="41" t="str">
        <f aca="false">IF(A2051="","",TEXT(A2051,"mmm-yyyy"))</f>
        <v/>
      </c>
      <c r="I2051" s="47" t="str">
        <f aca="false">IF(G2051="","",G2051+H2051)</f>
        <v/>
      </c>
    </row>
    <row r="2052" customFormat="false" ht="15" hidden="false" customHeight="false" outlineLevel="0" collapsed="false">
      <c r="C2052" s="41" t="str">
        <f aca="false">IF(A2052="","",TEXT(A2052,"mmm-yyyy"))</f>
        <v/>
      </c>
      <c r="I2052" s="47" t="str">
        <f aca="false">IF(G2052="","",G2052+H2052)</f>
        <v/>
      </c>
    </row>
    <row r="2053" customFormat="false" ht="15" hidden="false" customHeight="false" outlineLevel="0" collapsed="false">
      <c r="C2053" s="41" t="str">
        <f aca="false">IF(A2053="","",TEXT(A2053,"mmm-yyyy"))</f>
        <v/>
      </c>
      <c r="I2053" s="47" t="str">
        <f aca="false">IF(G2053="","",G2053+H2053)</f>
        <v/>
      </c>
    </row>
    <row r="2054" customFormat="false" ht="15" hidden="false" customHeight="false" outlineLevel="0" collapsed="false">
      <c r="C2054" s="41" t="str">
        <f aca="false">IF(A2054="","",TEXT(A2054,"mmm-yyyy"))</f>
        <v/>
      </c>
      <c r="I2054" s="47" t="str">
        <f aca="false">IF(G2054="","",G2054+H2054)</f>
        <v/>
      </c>
    </row>
    <row r="2055" customFormat="false" ht="15" hidden="false" customHeight="false" outlineLevel="0" collapsed="false">
      <c r="C2055" s="41" t="str">
        <f aca="false">IF(A2055="","",TEXT(A2055,"mmm-yyyy"))</f>
        <v/>
      </c>
      <c r="I2055" s="47" t="str">
        <f aca="false">IF(G2055="","",G2055+H2055)</f>
        <v/>
      </c>
    </row>
    <row r="2056" customFormat="false" ht="15" hidden="false" customHeight="false" outlineLevel="0" collapsed="false">
      <c r="C2056" s="41" t="str">
        <f aca="false">IF(A2056="","",TEXT(A2056,"mmm-yyyy"))</f>
        <v/>
      </c>
      <c r="I2056" s="47" t="str">
        <f aca="false">IF(G2056="","",G2056+H2056)</f>
        <v/>
      </c>
    </row>
    <row r="2057" customFormat="false" ht="15" hidden="false" customHeight="false" outlineLevel="0" collapsed="false">
      <c r="C2057" s="41" t="str">
        <f aca="false">IF(A2057="","",TEXT(A2057,"mmm-yyyy"))</f>
        <v/>
      </c>
      <c r="I2057" s="47" t="str">
        <f aca="false">IF(G2057="","",G2057+H2057)</f>
        <v/>
      </c>
    </row>
    <row r="2058" customFormat="false" ht="15" hidden="false" customHeight="false" outlineLevel="0" collapsed="false">
      <c r="C2058" s="41" t="str">
        <f aca="false">IF(A2058="","",TEXT(A2058,"mmm-yyyy"))</f>
        <v/>
      </c>
      <c r="I2058" s="47" t="str">
        <f aca="false">IF(G2058="","",G2058+H2058)</f>
        <v/>
      </c>
    </row>
    <row r="2059" customFormat="false" ht="15" hidden="false" customHeight="false" outlineLevel="0" collapsed="false">
      <c r="C2059" s="41" t="str">
        <f aca="false">IF(A2059="","",TEXT(A2059,"mmm-yyyy"))</f>
        <v/>
      </c>
      <c r="I2059" s="47" t="str">
        <f aca="false">IF(G2059="","",G2059+H2059)</f>
        <v/>
      </c>
    </row>
    <row r="2060" customFormat="false" ht="15" hidden="false" customHeight="false" outlineLevel="0" collapsed="false">
      <c r="C2060" s="41" t="str">
        <f aca="false">IF(A2060="","",TEXT(A2060,"mmm-yyyy"))</f>
        <v/>
      </c>
      <c r="I2060" s="47" t="str">
        <f aca="false">IF(G2060="","",G2060+H2060)</f>
        <v/>
      </c>
    </row>
    <row r="2061" customFormat="false" ht="15" hidden="false" customHeight="false" outlineLevel="0" collapsed="false">
      <c r="C2061" s="41" t="str">
        <f aca="false">IF(A2061="","",TEXT(A2061,"mmm-yyyy"))</f>
        <v/>
      </c>
      <c r="I2061" s="47" t="str">
        <f aca="false">IF(G2061="","",G2061+H2061)</f>
        <v/>
      </c>
    </row>
    <row r="2062" customFormat="false" ht="15" hidden="false" customHeight="false" outlineLevel="0" collapsed="false">
      <c r="C2062" s="41" t="str">
        <f aca="false">IF(A2062="","",TEXT(A2062,"mmm-yyyy"))</f>
        <v/>
      </c>
      <c r="I2062" s="47" t="str">
        <f aca="false">IF(G2062="","",G2062+H2062)</f>
        <v/>
      </c>
    </row>
    <row r="2063" customFormat="false" ht="15" hidden="false" customHeight="false" outlineLevel="0" collapsed="false">
      <c r="C2063" s="41" t="str">
        <f aca="false">IF(A2063="","",TEXT(A2063,"mmm-yyyy"))</f>
        <v/>
      </c>
      <c r="I2063" s="47" t="str">
        <f aca="false">IF(G2063="","",G2063+H2063)</f>
        <v/>
      </c>
    </row>
    <row r="2064" customFormat="false" ht="15" hidden="false" customHeight="false" outlineLevel="0" collapsed="false">
      <c r="C2064" s="41" t="str">
        <f aca="false">IF(A2064="","",TEXT(A2064,"mmm-yyyy"))</f>
        <v/>
      </c>
      <c r="I2064" s="47" t="str">
        <f aca="false">IF(G2064="","",G2064+H2064)</f>
        <v/>
      </c>
    </row>
    <row r="2065" customFormat="false" ht="15" hidden="false" customHeight="false" outlineLevel="0" collapsed="false">
      <c r="C2065" s="41" t="str">
        <f aca="false">IF(A2065="","",TEXT(A2065,"mmm-yyyy"))</f>
        <v/>
      </c>
      <c r="I2065" s="47" t="str">
        <f aca="false">IF(G2065="","",G2065+H2065)</f>
        <v/>
      </c>
    </row>
    <row r="2066" customFormat="false" ht="15" hidden="false" customHeight="false" outlineLevel="0" collapsed="false">
      <c r="C2066" s="41" t="str">
        <f aca="false">IF(A2066="","",TEXT(A2066,"mmm-yyyy"))</f>
        <v/>
      </c>
      <c r="I2066" s="47" t="str">
        <f aca="false">IF(G2066="","",G2066+H2066)</f>
        <v/>
      </c>
    </row>
    <row r="2067" customFormat="false" ht="15" hidden="false" customHeight="false" outlineLevel="0" collapsed="false">
      <c r="C2067" s="41" t="str">
        <f aca="false">IF(A2067="","",TEXT(A2067,"mmm-yyyy"))</f>
        <v/>
      </c>
      <c r="I2067" s="47" t="str">
        <f aca="false">IF(G2067="","",G2067+H2067)</f>
        <v/>
      </c>
    </row>
    <row r="2068" customFormat="false" ht="15" hidden="false" customHeight="false" outlineLevel="0" collapsed="false">
      <c r="C2068" s="41" t="str">
        <f aca="false">IF(A2068="","",TEXT(A2068,"mmm-yyyy"))</f>
        <v/>
      </c>
      <c r="I2068" s="47" t="str">
        <f aca="false">IF(G2068="","",G2068+H2068)</f>
        <v/>
      </c>
    </row>
    <row r="2069" customFormat="false" ht="15" hidden="false" customHeight="false" outlineLevel="0" collapsed="false">
      <c r="C2069" s="41" t="str">
        <f aca="false">IF(A2069="","",TEXT(A2069,"mmm-yyyy"))</f>
        <v/>
      </c>
      <c r="I2069" s="47" t="str">
        <f aca="false">IF(G2069="","",G2069+H2069)</f>
        <v/>
      </c>
    </row>
    <row r="2070" customFormat="false" ht="15" hidden="false" customHeight="false" outlineLevel="0" collapsed="false">
      <c r="C2070" s="41" t="str">
        <f aca="false">IF(A2070="","",TEXT(A2070,"mmm-yyyy"))</f>
        <v/>
      </c>
      <c r="I2070" s="47" t="str">
        <f aca="false">IF(G2070="","",G2070+H2070)</f>
        <v/>
      </c>
    </row>
    <row r="2071" customFormat="false" ht="15" hidden="false" customHeight="false" outlineLevel="0" collapsed="false">
      <c r="C2071" s="41" t="str">
        <f aca="false">IF(A2071="","",TEXT(A2071,"mmm-yyyy"))</f>
        <v/>
      </c>
      <c r="I2071" s="47" t="str">
        <f aca="false">IF(G2071="","",G2071+H2071)</f>
        <v/>
      </c>
    </row>
    <row r="2072" customFormat="false" ht="15" hidden="false" customHeight="false" outlineLevel="0" collapsed="false">
      <c r="C2072" s="41" t="str">
        <f aca="false">IF(A2072="","",TEXT(A2072,"mmm-yyyy"))</f>
        <v/>
      </c>
      <c r="I2072" s="47" t="str">
        <f aca="false">IF(G2072="","",G2072+H2072)</f>
        <v/>
      </c>
    </row>
    <row r="2073" customFormat="false" ht="15" hidden="false" customHeight="false" outlineLevel="0" collapsed="false">
      <c r="C2073" s="41" t="str">
        <f aca="false">IF(A2073="","",TEXT(A2073,"mmm-yyyy"))</f>
        <v/>
      </c>
      <c r="I2073" s="47" t="str">
        <f aca="false">IF(G2073="","",G2073+H2073)</f>
        <v/>
      </c>
    </row>
    <row r="2074" customFormat="false" ht="15" hidden="false" customHeight="false" outlineLevel="0" collapsed="false">
      <c r="C2074" s="41" t="str">
        <f aca="false">IF(A2074="","",TEXT(A2074,"mmm-yyyy"))</f>
        <v/>
      </c>
      <c r="I2074" s="47" t="str">
        <f aca="false">IF(G2074="","",G2074+H2074)</f>
        <v/>
      </c>
    </row>
    <row r="2075" customFormat="false" ht="15" hidden="false" customHeight="false" outlineLevel="0" collapsed="false">
      <c r="C2075" s="41" t="str">
        <f aca="false">IF(A2075="","",TEXT(A2075,"mmm-yyyy"))</f>
        <v/>
      </c>
      <c r="I2075" s="47" t="str">
        <f aca="false">IF(G2075="","",G2075+H2075)</f>
        <v/>
      </c>
    </row>
    <row r="2076" customFormat="false" ht="15" hidden="false" customHeight="false" outlineLevel="0" collapsed="false">
      <c r="C2076" s="41" t="str">
        <f aca="false">IF(A2076="","",TEXT(A2076,"mmm-yyyy"))</f>
        <v/>
      </c>
      <c r="I2076" s="47" t="str">
        <f aca="false">IF(G2076="","",G2076+H2076)</f>
        <v/>
      </c>
    </row>
    <row r="2077" customFormat="false" ht="15" hidden="false" customHeight="false" outlineLevel="0" collapsed="false">
      <c r="C2077" s="41" t="str">
        <f aca="false">IF(A2077="","",TEXT(A2077,"mmm-yyyy"))</f>
        <v/>
      </c>
      <c r="I2077" s="47" t="str">
        <f aca="false">IF(G2077="","",G2077+H2077)</f>
        <v/>
      </c>
    </row>
    <row r="2078" customFormat="false" ht="15" hidden="false" customHeight="false" outlineLevel="0" collapsed="false">
      <c r="C2078" s="41" t="str">
        <f aca="false">IF(A2078="","",TEXT(A2078,"mmm-yyyy"))</f>
        <v/>
      </c>
      <c r="I2078" s="47" t="str">
        <f aca="false">IF(G2078="","",G2078+H2078)</f>
        <v/>
      </c>
    </row>
    <row r="2079" customFormat="false" ht="15" hidden="false" customHeight="false" outlineLevel="0" collapsed="false">
      <c r="C2079" s="41" t="str">
        <f aca="false">IF(A2079="","",TEXT(A2079,"mmm-yyyy"))</f>
        <v/>
      </c>
      <c r="I2079" s="47" t="str">
        <f aca="false">IF(G2079="","",G2079+H2079)</f>
        <v/>
      </c>
    </row>
    <row r="2080" customFormat="false" ht="15" hidden="false" customHeight="false" outlineLevel="0" collapsed="false">
      <c r="C2080" s="41" t="str">
        <f aca="false">IF(A2080="","",TEXT(A2080,"mmm-yyyy"))</f>
        <v/>
      </c>
      <c r="I2080" s="47" t="str">
        <f aca="false">IF(G2080="","",G2080+H2080)</f>
        <v/>
      </c>
    </row>
    <row r="2081" customFormat="false" ht="15" hidden="false" customHeight="false" outlineLevel="0" collapsed="false">
      <c r="C2081" s="41" t="str">
        <f aca="false">IF(A2081="","",TEXT(A2081,"mmm-yyyy"))</f>
        <v/>
      </c>
      <c r="I2081" s="47" t="str">
        <f aca="false">IF(G2081="","",G2081+H2081)</f>
        <v/>
      </c>
    </row>
    <row r="2082" customFormat="false" ht="15" hidden="false" customHeight="false" outlineLevel="0" collapsed="false">
      <c r="C2082" s="41" t="str">
        <f aca="false">IF(A2082="","",TEXT(A2082,"mmm-yyyy"))</f>
        <v/>
      </c>
      <c r="I2082" s="47" t="str">
        <f aca="false">IF(G2082="","",G2082+H2082)</f>
        <v/>
      </c>
    </row>
    <row r="2083" customFormat="false" ht="15" hidden="false" customHeight="false" outlineLevel="0" collapsed="false">
      <c r="C2083" s="41" t="str">
        <f aca="false">IF(A2083="","",TEXT(A2083,"mmm-yyyy"))</f>
        <v/>
      </c>
      <c r="I2083" s="47" t="str">
        <f aca="false">IF(G2083="","",G2083+H2083)</f>
        <v/>
      </c>
    </row>
    <row r="2084" customFormat="false" ht="15" hidden="false" customHeight="false" outlineLevel="0" collapsed="false">
      <c r="C2084" s="41" t="str">
        <f aca="false">IF(A2084="","",TEXT(A2084,"mmm-yyyy"))</f>
        <v/>
      </c>
      <c r="I2084" s="47" t="str">
        <f aca="false">IF(G2084="","",G2084+H2084)</f>
        <v/>
      </c>
    </row>
    <row r="2085" customFormat="false" ht="15" hidden="false" customHeight="false" outlineLevel="0" collapsed="false">
      <c r="C2085" s="41" t="str">
        <f aca="false">IF(A2085="","",TEXT(A2085,"mmm-yyyy"))</f>
        <v/>
      </c>
      <c r="I2085" s="47" t="str">
        <f aca="false">IF(G2085="","",G2085+H2085)</f>
        <v/>
      </c>
    </row>
    <row r="2086" customFormat="false" ht="15" hidden="false" customHeight="false" outlineLevel="0" collapsed="false">
      <c r="C2086" s="41" t="str">
        <f aca="false">IF(A2086="","",TEXT(A2086,"mmm-yyyy"))</f>
        <v/>
      </c>
      <c r="I2086" s="47" t="str">
        <f aca="false">IF(G2086="","",G2086+H2086)</f>
        <v/>
      </c>
    </row>
    <row r="2087" customFormat="false" ht="15" hidden="false" customHeight="false" outlineLevel="0" collapsed="false">
      <c r="C2087" s="41" t="str">
        <f aca="false">IF(A2087="","",TEXT(A2087,"mmm-yyyy"))</f>
        <v/>
      </c>
      <c r="I2087" s="47" t="str">
        <f aca="false">IF(G2087="","",G2087+H2087)</f>
        <v/>
      </c>
    </row>
    <row r="2088" customFormat="false" ht="15" hidden="false" customHeight="false" outlineLevel="0" collapsed="false">
      <c r="C2088" s="41" t="str">
        <f aca="false">IF(A2088="","",TEXT(A2088,"mmm-yyyy"))</f>
        <v/>
      </c>
      <c r="I2088" s="47" t="str">
        <f aca="false">IF(G2088="","",G2088+H2088)</f>
        <v/>
      </c>
    </row>
    <row r="2089" customFormat="false" ht="15" hidden="false" customHeight="false" outlineLevel="0" collapsed="false">
      <c r="C2089" s="41" t="str">
        <f aca="false">IF(A2089="","",TEXT(A2089,"mmm-yyyy"))</f>
        <v/>
      </c>
      <c r="I2089" s="47" t="str">
        <f aca="false">IF(G2089="","",G2089+H2089)</f>
        <v/>
      </c>
    </row>
    <row r="2090" customFormat="false" ht="15" hidden="false" customHeight="false" outlineLevel="0" collapsed="false">
      <c r="C2090" s="41" t="str">
        <f aca="false">IF(A2090="","",TEXT(A2090,"mmm-yyyy"))</f>
        <v/>
      </c>
      <c r="I2090" s="47" t="str">
        <f aca="false">IF(G2090="","",G2090+H2090)</f>
        <v/>
      </c>
    </row>
    <row r="2091" customFormat="false" ht="15" hidden="false" customHeight="false" outlineLevel="0" collapsed="false">
      <c r="C2091" s="41" t="str">
        <f aca="false">IF(A2091="","",TEXT(A2091,"mmm-yyyy"))</f>
        <v/>
      </c>
      <c r="I2091" s="47" t="str">
        <f aca="false">IF(G2091="","",G2091+H2091)</f>
        <v/>
      </c>
    </row>
    <row r="2092" customFormat="false" ht="15" hidden="false" customHeight="false" outlineLevel="0" collapsed="false">
      <c r="C2092" s="41" t="str">
        <f aca="false">IF(A2092="","",TEXT(A2092,"mmm-yyyy"))</f>
        <v/>
      </c>
      <c r="I2092" s="47" t="str">
        <f aca="false">IF(G2092="","",G2092+H2092)</f>
        <v/>
      </c>
    </row>
    <row r="2093" customFormat="false" ht="15" hidden="false" customHeight="false" outlineLevel="0" collapsed="false">
      <c r="C2093" s="41" t="str">
        <f aca="false">IF(A2093="","",TEXT(A2093,"mmm-yyyy"))</f>
        <v/>
      </c>
      <c r="I2093" s="47" t="str">
        <f aca="false">IF(G2093="","",G2093+H2093)</f>
        <v/>
      </c>
    </row>
    <row r="2094" customFormat="false" ht="15" hidden="false" customHeight="false" outlineLevel="0" collapsed="false">
      <c r="C2094" s="41" t="str">
        <f aca="false">IF(A2094="","",TEXT(A2094,"mmm-yyyy"))</f>
        <v/>
      </c>
      <c r="I2094" s="47" t="str">
        <f aca="false">IF(G2094="","",G2094+H2094)</f>
        <v/>
      </c>
    </row>
    <row r="2095" customFormat="false" ht="15" hidden="false" customHeight="false" outlineLevel="0" collapsed="false">
      <c r="C2095" s="41" t="str">
        <f aca="false">IF(A2095="","",TEXT(A2095,"mmm-yyyy"))</f>
        <v/>
      </c>
      <c r="I2095" s="47" t="str">
        <f aca="false">IF(G2095="","",G2095+H2095)</f>
        <v/>
      </c>
    </row>
    <row r="2096" customFormat="false" ht="15" hidden="false" customHeight="false" outlineLevel="0" collapsed="false">
      <c r="C2096" s="41" t="str">
        <f aca="false">IF(A2096="","",TEXT(A2096,"mmm-yyyy"))</f>
        <v/>
      </c>
      <c r="I2096" s="47" t="str">
        <f aca="false">IF(G2096="","",G2096+H2096)</f>
        <v/>
      </c>
    </row>
    <row r="2097" customFormat="false" ht="15" hidden="false" customHeight="false" outlineLevel="0" collapsed="false">
      <c r="C2097" s="41" t="str">
        <f aca="false">IF(A2097="","",TEXT(A2097,"mmm-yyyy"))</f>
        <v/>
      </c>
      <c r="I2097" s="47" t="str">
        <f aca="false">IF(G2097="","",G2097+H2097)</f>
        <v/>
      </c>
    </row>
    <row r="2098" customFormat="false" ht="15" hidden="false" customHeight="false" outlineLevel="0" collapsed="false">
      <c r="C2098" s="41" t="str">
        <f aca="false">IF(A2098="","",TEXT(A2098,"mmm-yyyy"))</f>
        <v/>
      </c>
      <c r="I2098" s="47" t="str">
        <f aca="false">IF(G2098="","",G2098+H2098)</f>
        <v/>
      </c>
    </row>
    <row r="2099" customFormat="false" ht="15" hidden="false" customHeight="false" outlineLevel="0" collapsed="false">
      <c r="C2099" s="41" t="str">
        <f aca="false">IF(A2099="","",TEXT(A2099,"mmm-yyyy"))</f>
        <v/>
      </c>
      <c r="I2099" s="47" t="str">
        <f aca="false">IF(G2099="","",G2099+H2099)</f>
        <v/>
      </c>
    </row>
    <row r="2100" customFormat="false" ht="15" hidden="false" customHeight="false" outlineLevel="0" collapsed="false">
      <c r="C2100" s="41" t="str">
        <f aca="false">IF(A2100="","",TEXT(A2100,"mmm-yyyy"))</f>
        <v/>
      </c>
      <c r="I2100" s="47" t="str">
        <f aca="false">IF(G2100="","",G2100+H2100)</f>
        <v/>
      </c>
    </row>
    <row r="2101" customFormat="false" ht="15" hidden="false" customHeight="false" outlineLevel="0" collapsed="false">
      <c r="C2101" s="41" t="str">
        <f aca="false">IF(A2101="","",TEXT(A2101,"mmm-yyyy"))</f>
        <v/>
      </c>
      <c r="I2101" s="47" t="str">
        <f aca="false">IF(G2101="","",G2101+H2101)</f>
        <v/>
      </c>
    </row>
    <row r="2102" customFormat="false" ht="15" hidden="false" customHeight="false" outlineLevel="0" collapsed="false">
      <c r="C2102" s="41" t="str">
        <f aca="false">IF(A2102="","",TEXT(A2102,"mmm-yyyy"))</f>
        <v/>
      </c>
      <c r="I2102" s="47" t="str">
        <f aca="false">IF(G2102="","",G2102+H2102)</f>
        <v/>
      </c>
    </row>
    <row r="2103" customFormat="false" ht="15" hidden="false" customHeight="false" outlineLevel="0" collapsed="false">
      <c r="C2103" s="41" t="str">
        <f aca="false">IF(A2103="","",TEXT(A2103,"mmm-yyyy"))</f>
        <v/>
      </c>
      <c r="I2103" s="47" t="str">
        <f aca="false">IF(G2103="","",G2103+H2103)</f>
        <v/>
      </c>
    </row>
    <row r="2104" customFormat="false" ht="15" hidden="false" customHeight="false" outlineLevel="0" collapsed="false">
      <c r="C2104" s="41" t="str">
        <f aca="false">IF(A2104="","",TEXT(A2104,"mmm-yyyy"))</f>
        <v/>
      </c>
      <c r="I2104" s="47" t="str">
        <f aca="false">IF(G2104="","",G2104+H2104)</f>
        <v/>
      </c>
    </row>
    <row r="2105" customFormat="false" ht="15" hidden="false" customHeight="false" outlineLevel="0" collapsed="false">
      <c r="C2105" s="41" t="str">
        <f aca="false">IF(A2105="","",TEXT(A2105,"mmm-yyyy"))</f>
        <v/>
      </c>
      <c r="I2105" s="47" t="str">
        <f aca="false">IF(G2105="","",G2105+H2105)</f>
        <v/>
      </c>
    </row>
    <row r="2106" customFormat="false" ht="15" hidden="false" customHeight="false" outlineLevel="0" collapsed="false">
      <c r="C2106" s="41" t="str">
        <f aca="false">IF(A2106="","",TEXT(A2106,"mmm-yyyy"))</f>
        <v/>
      </c>
      <c r="I2106" s="47" t="str">
        <f aca="false">IF(G2106="","",G2106+H2106)</f>
        <v/>
      </c>
    </row>
    <row r="2107" customFormat="false" ht="15" hidden="false" customHeight="false" outlineLevel="0" collapsed="false">
      <c r="C2107" s="41" t="str">
        <f aca="false">IF(A2107="","",TEXT(A2107,"mmm-yyyy"))</f>
        <v/>
      </c>
      <c r="I2107" s="47" t="str">
        <f aca="false">IF(G2107="","",G2107+H2107)</f>
        <v/>
      </c>
    </row>
    <row r="2108" customFormat="false" ht="15" hidden="false" customHeight="false" outlineLevel="0" collapsed="false">
      <c r="C2108" s="41" t="str">
        <f aca="false">IF(A2108="","",TEXT(A2108,"mmm-yyyy"))</f>
        <v/>
      </c>
      <c r="I2108" s="47" t="str">
        <f aca="false">IF(G2108="","",G2108+H2108)</f>
        <v/>
      </c>
    </row>
    <row r="2109" customFormat="false" ht="15" hidden="false" customHeight="false" outlineLevel="0" collapsed="false">
      <c r="C2109" s="41" t="str">
        <f aca="false">IF(A2109="","",TEXT(A2109,"mmm-yyyy"))</f>
        <v/>
      </c>
      <c r="I2109" s="47" t="str">
        <f aca="false">IF(G2109="","",G2109+H2109)</f>
        <v/>
      </c>
    </row>
    <row r="2110" customFormat="false" ht="15" hidden="false" customHeight="false" outlineLevel="0" collapsed="false">
      <c r="C2110" s="41" t="str">
        <f aca="false">IF(A2110="","",TEXT(A2110,"mmm-yyyy"))</f>
        <v/>
      </c>
      <c r="I2110" s="47" t="str">
        <f aca="false">IF(G2110="","",G2110+H2110)</f>
        <v/>
      </c>
    </row>
    <row r="2111" customFormat="false" ht="15" hidden="false" customHeight="false" outlineLevel="0" collapsed="false">
      <c r="C2111" s="41" t="str">
        <f aca="false">IF(A2111="","",TEXT(A2111,"mmm-yyyy"))</f>
        <v/>
      </c>
      <c r="I2111" s="47" t="str">
        <f aca="false">IF(G2111="","",G2111+H2111)</f>
        <v/>
      </c>
    </row>
    <row r="2112" customFormat="false" ht="15" hidden="false" customHeight="false" outlineLevel="0" collapsed="false">
      <c r="C2112" s="41" t="str">
        <f aca="false">IF(A2112="","",TEXT(A2112,"mmm-yyyy"))</f>
        <v/>
      </c>
      <c r="I2112" s="47" t="str">
        <f aca="false">IF(G2112="","",G2112+H2112)</f>
        <v/>
      </c>
    </row>
    <row r="2113" customFormat="false" ht="15" hidden="false" customHeight="false" outlineLevel="0" collapsed="false">
      <c r="C2113" s="41" t="str">
        <f aca="false">IF(A2113="","",TEXT(A2113,"mmm-yyyy"))</f>
        <v/>
      </c>
      <c r="I2113" s="47" t="str">
        <f aca="false">IF(G2113="","",G2113+H2113)</f>
        <v/>
      </c>
    </row>
    <row r="2114" customFormat="false" ht="15" hidden="false" customHeight="false" outlineLevel="0" collapsed="false">
      <c r="C2114" s="41" t="str">
        <f aca="false">IF(A2114="","",TEXT(A2114,"mmm-yyyy"))</f>
        <v/>
      </c>
      <c r="I2114" s="47" t="str">
        <f aca="false">IF(G2114="","",G2114+H2114)</f>
        <v/>
      </c>
    </row>
    <row r="2115" customFormat="false" ht="15" hidden="false" customHeight="false" outlineLevel="0" collapsed="false">
      <c r="C2115" s="41" t="str">
        <f aca="false">IF(A2115="","",TEXT(A2115,"mmm-yyyy"))</f>
        <v/>
      </c>
      <c r="I2115" s="47" t="str">
        <f aca="false">IF(G2115="","",G2115+H2115)</f>
        <v/>
      </c>
    </row>
    <row r="2116" customFormat="false" ht="15" hidden="false" customHeight="false" outlineLevel="0" collapsed="false">
      <c r="C2116" s="41" t="str">
        <f aca="false">IF(A2116="","",TEXT(A2116,"mmm-yyyy"))</f>
        <v/>
      </c>
      <c r="I2116" s="47" t="str">
        <f aca="false">IF(G2116="","",G2116+H2116)</f>
        <v/>
      </c>
    </row>
    <row r="2117" customFormat="false" ht="15" hidden="false" customHeight="false" outlineLevel="0" collapsed="false">
      <c r="C2117" s="41" t="str">
        <f aca="false">IF(A2117="","",TEXT(A2117,"mmm-yyyy"))</f>
        <v/>
      </c>
      <c r="I2117" s="47" t="str">
        <f aca="false">IF(G2117="","",G2117+H2117)</f>
        <v/>
      </c>
    </row>
    <row r="2118" customFormat="false" ht="15" hidden="false" customHeight="false" outlineLevel="0" collapsed="false">
      <c r="C2118" s="41" t="str">
        <f aca="false">IF(A2118="","",TEXT(A2118,"mmm-yyyy"))</f>
        <v/>
      </c>
      <c r="I2118" s="47" t="str">
        <f aca="false">IF(G2118="","",G2118+H2118)</f>
        <v/>
      </c>
    </row>
    <row r="2119" customFormat="false" ht="15" hidden="false" customHeight="false" outlineLevel="0" collapsed="false">
      <c r="C2119" s="41" t="str">
        <f aca="false">IF(A2119="","",TEXT(A2119,"mmm-yyyy"))</f>
        <v/>
      </c>
      <c r="I2119" s="47" t="str">
        <f aca="false">IF(G2119="","",G2119+H2119)</f>
        <v/>
      </c>
    </row>
    <row r="2120" customFormat="false" ht="15" hidden="false" customHeight="false" outlineLevel="0" collapsed="false">
      <c r="C2120" s="41" t="str">
        <f aca="false">IF(A2120="","",TEXT(A2120,"mmm-yyyy"))</f>
        <v/>
      </c>
      <c r="I2120" s="47" t="str">
        <f aca="false">IF(G2120="","",G2120+H2120)</f>
        <v/>
      </c>
    </row>
    <row r="2121" customFormat="false" ht="15" hidden="false" customHeight="false" outlineLevel="0" collapsed="false">
      <c r="C2121" s="41" t="str">
        <f aca="false">IF(A2121="","",TEXT(A2121,"mmm-yyyy"))</f>
        <v/>
      </c>
      <c r="I2121" s="47" t="str">
        <f aca="false">IF(G2121="","",G2121+H2121)</f>
        <v/>
      </c>
    </row>
    <row r="2122" customFormat="false" ht="15" hidden="false" customHeight="false" outlineLevel="0" collapsed="false">
      <c r="C2122" s="41" t="str">
        <f aca="false">IF(A2122="","",TEXT(A2122,"mmm-yyyy"))</f>
        <v/>
      </c>
      <c r="I2122" s="47" t="str">
        <f aca="false">IF(G2122="","",G2122+H2122)</f>
        <v/>
      </c>
    </row>
    <row r="2123" customFormat="false" ht="15" hidden="false" customHeight="false" outlineLevel="0" collapsed="false">
      <c r="C2123" s="41" t="str">
        <f aca="false">IF(A2123="","",TEXT(A2123,"mmm-yyyy"))</f>
        <v/>
      </c>
      <c r="I2123" s="47" t="str">
        <f aca="false">IF(G2123="","",G2123+H2123)</f>
        <v/>
      </c>
    </row>
    <row r="2124" customFormat="false" ht="15" hidden="false" customHeight="false" outlineLevel="0" collapsed="false">
      <c r="C2124" s="41" t="str">
        <f aca="false">IF(A2124="","",TEXT(A2124,"mmm-yyyy"))</f>
        <v/>
      </c>
      <c r="I2124" s="47" t="str">
        <f aca="false">IF(G2124="","",G2124+H2124)</f>
        <v/>
      </c>
    </row>
    <row r="2125" customFormat="false" ht="15" hidden="false" customHeight="false" outlineLevel="0" collapsed="false">
      <c r="C2125" s="41" t="str">
        <f aca="false">IF(A2125="","",TEXT(A2125,"mmm-yyyy"))</f>
        <v/>
      </c>
      <c r="I2125" s="47" t="str">
        <f aca="false">IF(G2125="","",G2125+H2125)</f>
        <v/>
      </c>
    </row>
    <row r="2126" customFormat="false" ht="15" hidden="false" customHeight="false" outlineLevel="0" collapsed="false">
      <c r="C2126" s="41" t="str">
        <f aca="false">IF(A2126="","",TEXT(A2126,"mmm-yyyy"))</f>
        <v/>
      </c>
      <c r="I2126" s="47" t="str">
        <f aca="false">IF(G2126="","",G2126+H2126)</f>
        <v/>
      </c>
    </row>
    <row r="2127" customFormat="false" ht="15" hidden="false" customHeight="false" outlineLevel="0" collapsed="false">
      <c r="C2127" s="41" t="str">
        <f aca="false">IF(A2127="","",TEXT(A2127,"mmm-yyyy"))</f>
        <v/>
      </c>
      <c r="I2127" s="47" t="str">
        <f aca="false">IF(G2127="","",G2127+H2127)</f>
        <v/>
      </c>
    </row>
    <row r="2128" customFormat="false" ht="15" hidden="false" customHeight="false" outlineLevel="0" collapsed="false">
      <c r="C2128" s="41" t="str">
        <f aca="false">IF(A2128="","",TEXT(A2128,"mmm-yyyy"))</f>
        <v/>
      </c>
      <c r="I2128" s="47" t="str">
        <f aca="false">IF(G2128="","",G2128+H2128)</f>
        <v/>
      </c>
    </row>
    <row r="2129" customFormat="false" ht="15" hidden="false" customHeight="false" outlineLevel="0" collapsed="false">
      <c r="C2129" s="41" t="str">
        <f aca="false">IF(A2129="","",TEXT(A2129,"mmm-yyyy"))</f>
        <v/>
      </c>
      <c r="I2129" s="47" t="str">
        <f aca="false">IF(G2129="","",G2129+H2129)</f>
        <v/>
      </c>
    </row>
    <row r="2130" customFormat="false" ht="15" hidden="false" customHeight="false" outlineLevel="0" collapsed="false">
      <c r="C2130" s="41" t="str">
        <f aca="false">IF(A2130="","",TEXT(A2130,"mmm-yyyy"))</f>
        <v/>
      </c>
      <c r="I2130" s="47" t="str">
        <f aca="false">IF(G2130="","",G2130+H2130)</f>
        <v/>
      </c>
    </row>
    <row r="2131" customFormat="false" ht="15" hidden="false" customHeight="false" outlineLevel="0" collapsed="false">
      <c r="C2131" s="41" t="str">
        <f aca="false">IF(A2131="","",TEXT(A2131,"mmm-yyyy"))</f>
        <v/>
      </c>
      <c r="I2131" s="47" t="str">
        <f aca="false">IF(G2131="","",G2131+H2131)</f>
        <v/>
      </c>
    </row>
    <row r="2132" customFormat="false" ht="15" hidden="false" customHeight="false" outlineLevel="0" collapsed="false">
      <c r="C2132" s="41" t="str">
        <f aca="false">IF(A2132="","",TEXT(A2132,"mmm-yyyy"))</f>
        <v/>
      </c>
      <c r="I2132" s="47" t="str">
        <f aca="false">IF(G2132="","",G2132+H2132)</f>
        <v/>
      </c>
    </row>
    <row r="2133" customFormat="false" ht="15" hidden="false" customHeight="false" outlineLevel="0" collapsed="false">
      <c r="C2133" s="41" t="str">
        <f aca="false">IF(A2133="","",TEXT(A2133,"mmm-yyyy"))</f>
        <v/>
      </c>
      <c r="I2133" s="47" t="str">
        <f aca="false">IF(G2133="","",G2133+H2133)</f>
        <v/>
      </c>
    </row>
    <row r="2134" customFormat="false" ht="15" hidden="false" customHeight="false" outlineLevel="0" collapsed="false">
      <c r="C2134" s="41" t="str">
        <f aca="false">IF(A2134="","",TEXT(A2134,"mmm-yyyy"))</f>
        <v/>
      </c>
      <c r="I2134" s="47" t="str">
        <f aca="false">IF(G2134="","",G2134+H2134)</f>
        <v/>
      </c>
    </row>
    <row r="2135" customFormat="false" ht="15" hidden="false" customHeight="false" outlineLevel="0" collapsed="false">
      <c r="C2135" s="41" t="str">
        <f aca="false">IF(A2135="","",TEXT(A2135,"mmm-yyyy"))</f>
        <v/>
      </c>
      <c r="I2135" s="47" t="str">
        <f aca="false">IF(G2135="","",G2135+H2135)</f>
        <v/>
      </c>
    </row>
    <row r="2136" customFormat="false" ht="15" hidden="false" customHeight="false" outlineLevel="0" collapsed="false">
      <c r="C2136" s="41" t="str">
        <f aca="false">IF(A2136="","",TEXT(A2136,"mmm-yyyy"))</f>
        <v/>
      </c>
      <c r="I2136" s="47" t="str">
        <f aca="false">IF(G2136="","",G2136+H2136)</f>
        <v/>
      </c>
    </row>
    <row r="2137" customFormat="false" ht="15" hidden="false" customHeight="false" outlineLevel="0" collapsed="false">
      <c r="C2137" s="41" t="str">
        <f aca="false">IF(A2137="","",TEXT(A2137,"mmm-yyyy"))</f>
        <v/>
      </c>
      <c r="I2137" s="47" t="str">
        <f aca="false">IF(G2137="","",G2137+H2137)</f>
        <v/>
      </c>
    </row>
    <row r="2138" customFormat="false" ht="15" hidden="false" customHeight="false" outlineLevel="0" collapsed="false">
      <c r="C2138" s="41" t="str">
        <f aca="false">IF(A2138="","",TEXT(A2138,"mmm-yyyy"))</f>
        <v/>
      </c>
      <c r="I2138" s="47" t="str">
        <f aca="false">IF(G2138="","",G2138+H2138)</f>
        <v/>
      </c>
    </row>
    <row r="2139" customFormat="false" ht="15" hidden="false" customHeight="false" outlineLevel="0" collapsed="false">
      <c r="C2139" s="41" t="str">
        <f aca="false">IF(A2139="","",TEXT(A2139,"mmm-yyyy"))</f>
        <v/>
      </c>
      <c r="I2139" s="47" t="str">
        <f aca="false">IF(G2139="","",G2139+H2139)</f>
        <v/>
      </c>
    </row>
    <row r="2140" customFormat="false" ht="15" hidden="false" customHeight="false" outlineLevel="0" collapsed="false">
      <c r="C2140" s="41" t="str">
        <f aca="false">IF(A2140="","",TEXT(A2140,"mmm-yyyy"))</f>
        <v/>
      </c>
      <c r="I2140" s="47" t="str">
        <f aca="false">IF(G2140="","",G2140+H2140)</f>
        <v/>
      </c>
    </row>
    <row r="2141" customFormat="false" ht="15" hidden="false" customHeight="false" outlineLevel="0" collapsed="false">
      <c r="C2141" s="41" t="str">
        <f aca="false">IF(A2141="","",TEXT(A2141,"mmm-yyyy"))</f>
        <v/>
      </c>
      <c r="I2141" s="47" t="str">
        <f aca="false">IF(G2141="","",G2141+H2141)</f>
        <v/>
      </c>
    </row>
    <row r="2142" customFormat="false" ht="15" hidden="false" customHeight="false" outlineLevel="0" collapsed="false">
      <c r="C2142" s="41" t="str">
        <f aca="false">IF(A2142="","",TEXT(A2142,"mmm-yyyy"))</f>
        <v/>
      </c>
      <c r="I2142" s="47" t="str">
        <f aca="false">IF(G2142="","",G2142+H2142)</f>
        <v/>
      </c>
    </row>
    <row r="2143" customFormat="false" ht="15" hidden="false" customHeight="false" outlineLevel="0" collapsed="false">
      <c r="C2143" s="41" t="str">
        <f aca="false">IF(A2143="","",TEXT(A2143,"mmm-yyyy"))</f>
        <v/>
      </c>
      <c r="I2143" s="47" t="str">
        <f aca="false">IF(G2143="","",G2143+H2143)</f>
        <v/>
      </c>
    </row>
    <row r="2144" customFormat="false" ht="15" hidden="false" customHeight="false" outlineLevel="0" collapsed="false">
      <c r="C2144" s="41" t="str">
        <f aca="false">IF(A2144="","",TEXT(A2144,"mmm-yyyy"))</f>
        <v/>
      </c>
      <c r="I2144" s="47" t="str">
        <f aca="false">IF(G2144="","",G2144+H2144)</f>
        <v/>
      </c>
    </row>
    <row r="2145" customFormat="false" ht="15" hidden="false" customHeight="false" outlineLevel="0" collapsed="false">
      <c r="C2145" s="41" t="str">
        <f aca="false">IF(A2145="","",TEXT(A2145,"mmm-yyyy"))</f>
        <v/>
      </c>
      <c r="I2145" s="47" t="str">
        <f aca="false">IF(G2145="","",G2145+H2145)</f>
        <v/>
      </c>
    </row>
    <row r="2146" customFormat="false" ht="15" hidden="false" customHeight="false" outlineLevel="0" collapsed="false">
      <c r="C2146" s="41" t="str">
        <f aca="false">IF(A2146="","",TEXT(A2146,"mmm-yyyy"))</f>
        <v/>
      </c>
      <c r="I2146" s="47" t="str">
        <f aca="false">IF(G2146="","",G2146+H2146)</f>
        <v/>
      </c>
    </row>
    <row r="2147" customFormat="false" ht="15" hidden="false" customHeight="false" outlineLevel="0" collapsed="false">
      <c r="C2147" s="41" t="str">
        <f aca="false">IF(A2147="","",TEXT(A2147,"mmm-yyyy"))</f>
        <v/>
      </c>
      <c r="I2147" s="47" t="str">
        <f aca="false">IF(G2147="","",G2147+H2147)</f>
        <v/>
      </c>
    </row>
    <row r="2148" customFormat="false" ht="15" hidden="false" customHeight="false" outlineLevel="0" collapsed="false">
      <c r="C2148" s="41" t="str">
        <f aca="false">IF(A2148="","",TEXT(A2148,"mmm-yyyy"))</f>
        <v/>
      </c>
      <c r="I2148" s="47" t="str">
        <f aca="false">IF(G2148="","",G2148+H2148)</f>
        <v/>
      </c>
    </row>
    <row r="2149" customFormat="false" ht="15" hidden="false" customHeight="false" outlineLevel="0" collapsed="false">
      <c r="C2149" s="41" t="str">
        <f aca="false">IF(A2149="","",TEXT(A2149,"mmm-yyyy"))</f>
        <v/>
      </c>
      <c r="I2149" s="47" t="str">
        <f aca="false">IF(G2149="","",G2149+H2149)</f>
        <v/>
      </c>
    </row>
    <row r="2150" customFormat="false" ht="15" hidden="false" customHeight="false" outlineLevel="0" collapsed="false">
      <c r="C2150" s="41" t="str">
        <f aca="false">IF(A2150="","",TEXT(A2150,"mmm-yyyy"))</f>
        <v/>
      </c>
      <c r="I2150" s="47" t="str">
        <f aca="false">IF(G2150="","",G2150+H2150)</f>
        <v/>
      </c>
    </row>
    <row r="2151" customFormat="false" ht="15" hidden="false" customHeight="false" outlineLevel="0" collapsed="false">
      <c r="C2151" s="41" t="str">
        <f aca="false">IF(A2151="","",TEXT(A2151,"mmm-yyyy"))</f>
        <v/>
      </c>
      <c r="I2151" s="47" t="str">
        <f aca="false">IF(G2151="","",G2151+H2151)</f>
        <v/>
      </c>
    </row>
    <row r="2152" customFormat="false" ht="15" hidden="false" customHeight="false" outlineLevel="0" collapsed="false">
      <c r="C2152" s="41" t="str">
        <f aca="false">IF(A2152="","",TEXT(A2152,"mmm-yyyy"))</f>
        <v/>
      </c>
      <c r="I2152" s="47" t="str">
        <f aca="false">IF(G2152="","",G2152+H2152)</f>
        <v/>
      </c>
    </row>
    <row r="2153" customFormat="false" ht="15" hidden="false" customHeight="false" outlineLevel="0" collapsed="false">
      <c r="C2153" s="41" t="str">
        <f aca="false">IF(A2153="","",TEXT(A2153,"mmm-yyyy"))</f>
        <v/>
      </c>
      <c r="I2153" s="47" t="str">
        <f aca="false">IF(G2153="","",G2153+H2153)</f>
        <v/>
      </c>
    </row>
    <row r="2154" customFormat="false" ht="15" hidden="false" customHeight="false" outlineLevel="0" collapsed="false">
      <c r="C2154" s="41" t="str">
        <f aca="false">IF(A2154="","",TEXT(A2154,"mmm-yyyy"))</f>
        <v/>
      </c>
      <c r="I2154" s="47" t="str">
        <f aca="false">IF(G2154="","",G2154+H2154)</f>
        <v/>
      </c>
    </row>
    <row r="2155" customFormat="false" ht="15" hidden="false" customHeight="false" outlineLevel="0" collapsed="false">
      <c r="C2155" s="41" t="str">
        <f aca="false">IF(A2155="","",TEXT(A2155,"mmm-yyyy"))</f>
        <v/>
      </c>
      <c r="I2155" s="47" t="str">
        <f aca="false">IF(G2155="","",G2155+H2155)</f>
        <v/>
      </c>
    </row>
    <row r="2156" customFormat="false" ht="15" hidden="false" customHeight="false" outlineLevel="0" collapsed="false">
      <c r="C2156" s="41" t="str">
        <f aca="false">IF(A2156="","",TEXT(A2156,"mmm-yyyy"))</f>
        <v/>
      </c>
      <c r="I2156" s="47" t="str">
        <f aca="false">IF(G2156="","",G2156+H2156)</f>
        <v/>
      </c>
    </row>
    <row r="2157" customFormat="false" ht="15" hidden="false" customHeight="false" outlineLevel="0" collapsed="false">
      <c r="C2157" s="41" t="str">
        <f aca="false">IF(A2157="","",TEXT(A2157,"mmm-yyyy"))</f>
        <v/>
      </c>
      <c r="I2157" s="47" t="str">
        <f aca="false">IF(G2157="","",G2157+H2157)</f>
        <v/>
      </c>
    </row>
    <row r="2158" customFormat="false" ht="15" hidden="false" customHeight="false" outlineLevel="0" collapsed="false">
      <c r="C2158" s="41" t="str">
        <f aca="false">IF(A2158="","",TEXT(A2158,"mmm-yyyy"))</f>
        <v/>
      </c>
      <c r="I2158" s="47" t="str">
        <f aca="false">IF(G2158="","",G2158+H2158)</f>
        <v/>
      </c>
    </row>
    <row r="2159" customFormat="false" ht="15" hidden="false" customHeight="false" outlineLevel="0" collapsed="false">
      <c r="C2159" s="41" t="str">
        <f aca="false">IF(A2159="","",TEXT(A2159,"mmm-yyyy"))</f>
        <v/>
      </c>
      <c r="I2159" s="47" t="str">
        <f aca="false">IF(G2159="","",G2159+H2159)</f>
        <v/>
      </c>
    </row>
    <row r="2160" customFormat="false" ht="15" hidden="false" customHeight="false" outlineLevel="0" collapsed="false">
      <c r="C2160" s="41" t="str">
        <f aca="false">IF(A2160="","",TEXT(A2160,"mmm-yyyy"))</f>
        <v/>
      </c>
      <c r="I2160" s="47" t="str">
        <f aca="false">IF(G2160="","",G2160+H2160)</f>
        <v/>
      </c>
    </row>
    <row r="2161" customFormat="false" ht="15" hidden="false" customHeight="false" outlineLevel="0" collapsed="false">
      <c r="C2161" s="41" t="str">
        <f aca="false">IF(A2161="","",TEXT(A2161,"mmm-yyyy"))</f>
        <v/>
      </c>
      <c r="I2161" s="47" t="str">
        <f aca="false">IF(G2161="","",G2161+H2161)</f>
        <v/>
      </c>
    </row>
    <row r="2162" customFormat="false" ht="15" hidden="false" customHeight="false" outlineLevel="0" collapsed="false">
      <c r="C2162" s="41" t="str">
        <f aca="false">IF(A2162="","",TEXT(A2162,"mmm-yyyy"))</f>
        <v/>
      </c>
      <c r="I2162" s="47" t="str">
        <f aca="false">IF(G2162="","",G2162+H2162)</f>
        <v/>
      </c>
    </row>
    <row r="2163" customFormat="false" ht="15" hidden="false" customHeight="false" outlineLevel="0" collapsed="false">
      <c r="C2163" s="41" t="str">
        <f aca="false">IF(A2163="","",TEXT(A2163,"mmm-yyyy"))</f>
        <v/>
      </c>
      <c r="I2163" s="47" t="str">
        <f aca="false">IF(G2163="","",G2163+H2163)</f>
        <v/>
      </c>
    </row>
    <row r="2164" customFormat="false" ht="15" hidden="false" customHeight="false" outlineLevel="0" collapsed="false">
      <c r="C2164" s="41" t="str">
        <f aca="false">IF(A2164="","",TEXT(A2164,"mmm-yyyy"))</f>
        <v/>
      </c>
      <c r="I2164" s="47" t="str">
        <f aca="false">IF(G2164="","",G2164+H2164)</f>
        <v/>
      </c>
    </row>
    <row r="2165" customFormat="false" ht="15" hidden="false" customHeight="false" outlineLevel="0" collapsed="false">
      <c r="C2165" s="41" t="str">
        <f aca="false">IF(A2165="","",TEXT(A2165,"mmm-yyyy"))</f>
        <v/>
      </c>
      <c r="I2165" s="47" t="str">
        <f aca="false">IF(G2165="","",G2165+H2165)</f>
        <v/>
      </c>
    </row>
    <row r="2166" customFormat="false" ht="15" hidden="false" customHeight="false" outlineLevel="0" collapsed="false">
      <c r="C2166" s="41" t="str">
        <f aca="false">IF(A2166="","",TEXT(A2166,"mmm-yyyy"))</f>
        <v/>
      </c>
      <c r="I2166" s="47" t="str">
        <f aca="false">IF(G2166="","",G2166+H2166)</f>
        <v/>
      </c>
    </row>
    <row r="2167" customFormat="false" ht="15" hidden="false" customHeight="false" outlineLevel="0" collapsed="false">
      <c r="C2167" s="41" t="str">
        <f aca="false">IF(A2167="","",TEXT(A2167,"mmm-yyyy"))</f>
        <v/>
      </c>
      <c r="I2167" s="47" t="str">
        <f aca="false">IF(G2167="","",G2167+H2167)</f>
        <v/>
      </c>
    </row>
    <row r="2168" customFormat="false" ht="15" hidden="false" customHeight="false" outlineLevel="0" collapsed="false">
      <c r="C2168" s="41" t="str">
        <f aca="false">IF(A2168="","",TEXT(A2168,"mmm-yyyy"))</f>
        <v/>
      </c>
      <c r="I2168" s="47" t="str">
        <f aca="false">IF(G2168="","",G2168+H2168)</f>
        <v/>
      </c>
    </row>
    <row r="2169" customFormat="false" ht="15" hidden="false" customHeight="false" outlineLevel="0" collapsed="false">
      <c r="C2169" s="41" t="str">
        <f aca="false">IF(A2169="","",TEXT(A2169,"mmm-yyyy"))</f>
        <v/>
      </c>
      <c r="I2169" s="47" t="str">
        <f aca="false">IF(G2169="","",G2169+H2169)</f>
        <v/>
      </c>
    </row>
    <row r="2170" customFormat="false" ht="15" hidden="false" customHeight="false" outlineLevel="0" collapsed="false">
      <c r="C2170" s="41" t="str">
        <f aca="false">IF(A2170="","",TEXT(A2170,"mmm-yyyy"))</f>
        <v/>
      </c>
      <c r="I2170" s="47" t="str">
        <f aca="false">IF(G2170="","",G2170+H2170)</f>
        <v/>
      </c>
    </row>
    <row r="2171" customFormat="false" ht="15" hidden="false" customHeight="false" outlineLevel="0" collapsed="false">
      <c r="C2171" s="41" t="str">
        <f aca="false">IF(A2171="","",TEXT(A2171,"mmm-yyyy"))</f>
        <v/>
      </c>
      <c r="I2171" s="47" t="str">
        <f aca="false">IF(G2171="","",G2171+H2171)</f>
        <v/>
      </c>
    </row>
    <row r="2172" customFormat="false" ht="15" hidden="false" customHeight="false" outlineLevel="0" collapsed="false">
      <c r="C2172" s="41" t="str">
        <f aca="false">IF(A2172="","",TEXT(A2172,"mmm-yyyy"))</f>
        <v/>
      </c>
      <c r="I2172" s="47" t="str">
        <f aca="false">IF(G2172="","",G2172+H2172)</f>
        <v/>
      </c>
    </row>
    <row r="2173" customFormat="false" ht="15" hidden="false" customHeight="false" outlineLevel="0" collapsed="false">
      <c r="C2173" s="41" t="str">
        <f aca="false">IF(A2173="","",TEXT(A2173,"mmm-yyyy"))</f>
        <v/>
      </c>
      <c r="I2173" s="47" t="str">
        <f aca="false">IF(G2173="","",G2173+H2173)</f>
        <v/>
      </c>
    </row>
    <row r="2174" customFormat="false" ht="15" hidden="false" customHeight="false" outlineLevel="0" collapsed="false">
      <c r="C2174" s="41" t="str">
        <f aca="false">IF(A2174="","",TEXT(A2174,"mmm-yyyy"))</f>
        <v/>
      </c>
      <c r="I2174" s="47" t="str">
        <f aca="false">IF(G2174="","",G2174+H2174)</f>
        <v/>
      </c>
    </row>
    <row r="2175" customFormat="false" ht="15" hidden="false" customHeight="false" outlineLevel="0" collapsed="false">
      <c r="C2175" s="41" t="str">
        <f aca="false">IF(A2175="","",TEXT(A2175,"mmm-yyyy"))</f>
        <v/>
      </c>
      <c r="I2175" s="47" t="str">
        <f aca="false">IF(G2175="","",G2175+H2175)</f>
        <v/>
      </c>
    </row>
    <row r="2176" customFormat="false" ht="15" hidden="false" customHeight="false" outlineLevel="0" collapsed="false">
      <c r="C2176" s="41" t="str">
        <f aca="false">IF(A2176="","",TEXT(A2176,"mmm-yyyy"))</f>
        <v/>
      </c>
      <c r="I2176" s="47" t="str">
        <f aca="false">IF(G2176="","",G2176+H2176)</f>
        <v/>
      </c>
    </row>
    <row r="2177" customFormat="false" ht="15" hidden="false" customHeight="false" outlineLevel="0" collapsed="false">
      <c r="C2177" s="41" t="str">
        <f aca="false">IF(A2177="","",TEXT(A2177,"mmm-yyyy"))</f>
        <v/>
      </c>
      <c r="I2177" s="47" t="str">
        <f aca="false">IF(G2177="","",G2177+H2177)</f>
        <v/>
      </c>
    </row>
    <row r="2178" customFormat="false" ht="15" hidden="false" customHeight="false" outlineLevel="0" collapsed="false">
      <c r="C2178" s="41" t="str">
        <f aca="false">IF(A2178="","",TEXT(A2178,"mmm-yyyy"))</f>
        <v/>
      </c>
      <c r="I2178" s="47" t="str">
        <f aca="false">IF(G2178="","",G2178+H2178)</f>
        <v/>
      </c>
    </row>
    <row r="2179" customFormat="false" ht="15" hidden="false" customHeight="false" outlineLevel="0" collapsed="false">
      <c r="C2179" s="41" t="str">
        <f aca="false">IF(A2179="","",TEXT(A2179,"mmm-yyyy"))</f>
        <v/>
      </c>
      <c r="I2179" s="47" t="str">
        <f aca="false">IF(G2179="","",G2179+H2179)</f>
        <v/>
      </c>
    </row>
    <row r="2180" customFormat="false" ht="15" hidden="false" customHeight="false" outlineLevel="0" collapsed="false">
      <c r="C2180" s="41" t="str">
        <f aca="false">IF(A2180="","",TEXT(A2180,"mmm-yyyy"))</f>
        <v/>
      </c>
      <c r="I2180" s="47" t="str">
        <f aca="false">IF(G2180="","",G2180+H2180)</f>
        <v/>
      </c>
    </row>
    <row r="2181" customFormat="false" ht="15" hidden="false" customHeight="false" outlineLevel="0" collapsed="false">
      <c r="C2181" s="41" t="str">
        <f aca="false">IF(A2181="","",TEXT(A2181,"mmm-yyyy"))</f>
        <v/>
      </c>
      <c r="I2181" s="47" t="str">
        <f aca="false">IF(G2181="","",G2181+H2181)</f>
        <v/>
      </c>
    </row>
    <row r="2182" customFormat="false" ht="15" hidden="false" customHeight="false" outlineLevel="0" collapsed="false">
      <c r="C2182" s="41" t="str">
        <f aca="false">IF(A2182="","",TEXT(A2182,"mmm-yyyy"))</f>
        <v/>
      </c>
      <c r="I2182" s="47" t="str">
        <f aca="false">IF(G2182="","",G2182+H2182)</f>
        <v/>
      </c>
    </row>
    <row r="2183" customFormat="false" ht="15" hidden="false" customHeight="false" outlineLevel="0" collapsed="false">
      <c r="C2183" s="41" t="str">
        <f aca="false">IF(A2183="","",TEXT(A2183,"mmm-yyyy"))</f>
        <v/>
      </c>
      <c r="I2183" s="47" t="str">
        <f aca="false">IF(G2183="","",G2183+H2183)</f>
        <v/>
      </c>
    </row>
    <row r="2184" customFormat="false" ht="15" hidden="false" customHeight="false" outlineLevel="0" collapsed="false">
      <c r="C2184" s="41" t="str">
        <f aca="false">IF(A2184="","",TEXT(A2184,"mmm-yyyy"))</f>
        <v/>
      </c>
      <c r="I2184" s="47" t="str">
        <f aca="false">IF(G2184="","",G2184+H2184)</f>
        <v/>
      </c>
    </row>
    <row r="2185" customFormat="false" ht="15" hidden="false" customHeight="false" outlineLevel="0" collapsed="false">
      <c r="C2185" s="41" t="str">
        <f aca="false">IF(A2185="","",TEXT(A2185,"mmm-yyyy"))</f>
        <v/>
      </c>
      <c r="I2185" s="47" t="str">
        <f aca="false">IF(G2185="","",G2185+H2185)</f>
        <v/>
      </c>
    </row>
    <row r="2186" customFormat="false" ht="15" hidden="false" customHeight="false" outlineLevel="0" collapsed="false">
      <c r="C2186" s="41" t="str">
        <f aca="false">IF(A2186="","",TEXT(A2186,"mmm-yyyy"))</f>
        <v/>
      </c>
      <c r="I2186" s="47" t="str">
        <f aca="false">IF(G2186="","",G2186+H2186)</f>
        <v/>
      </c>
    </row>
    <row r="2187" customFormat="false" ht="15" hidden="false" customHeight="false" outlineLevel="0" collapsed="false">
      <c r="C2187" s="41" t="str">
        <f aca="false">IF(A2187="","",TEXT(A2187,"mmm-yyyy"))</f>
        <v/>
      </c>
      <c r="I2187" s="47" t="str">
        <f aca="false">IF(G2187="","",G2187+H2187)</f>
        <v/>
      </c>
    </row>
    <row r="2188" customFormat="false" ht="15" hidden="false" customHeight="false" outlineLevel="0" collapsed="false">
      <c r="C2188" s="41" t="str">
        <f aca="false">IF(A2188="","",TEXT(A2188,"mmm-yyyy"))</f>
        <v/>
      </c>
      <c r="I2188" s="47" t="str">
        <f aca="false">IF(G2188="","",G2188+H2188)</f>
        <v/>
      </c>
    </row>
    <row r="2189" customFormat="false" ht="15" hidden="false" customHeight="false" outlineLevel="0" collapsed="false">
      <c r="C2189" s="41" t="str">
        <f aca="false">IF(A2189="","",TEXT(A2189,"mmm-yyyy"))</f>
        <v/>
      </c>
      <c r="I2189" s="47" t="str">
        <f aca="false">IF(G2189="","",G2189+H2189)</f>
        <v/>
      </c>
    </row>
    <row r="2190" customFormat="false" ht="15" hidden="false" customHeight="false" outlineLevel="0" collapsed="false">
      <c r="C2190" s="41" t="str">
        <f aca="false">IF(A2190="","",TEXT(A2190,"mmm-yyyy"))</f>
        <v/>
      </c>
      <c r="I2190" s="47" t="str">
        <f aca="false">IF(G2190="","",G2190+H2190)</f>
        <v/>
      </c>
    </row>
    <row r="2191" customFormat="false" ht="15" hidden="false" customHeight="false" outlineLevel="0" collapsed="false">
      <c r="C2191" s="41" t="str">
        <f aca="false">IF(A2191="","",TEXT(A2191,"mmm-yyyy"))</f>
        <v/>
      </c>
      <c r="I2191" s="47" t="str">
        <f aca="false">IF(G2191="","",G2191+H2191)</f>
        <v/>
      </c>
    </row>
    <row r="2192" customFormat="false" ht="15" hidden="false" customHeight="false" outlineLevel="0" collapsed="false">
      <c r="C2192" s="41" t="str">
        <f aca="false">IF(A2192="","",TEXT(A2192,"mmm-yyyy"))</f>
        <v/>
      </c>
      <c r="I2192" s="47" t="str">
        <f aca="false">IF(G2192="","",G2192+H2192)</f>
        <v/>
      </c>
    </row>
    <row r="2193" customFormat="false" ht="15" hidden="false" customHeight="false" outlineLevel="0" collapsed="false">
      <c r="C2193" s="41" t="str">
        <f aca="false">IF(A2193="","",TEXT(A2193,"mmm-yyyy"))</f>
        <v/>
      </c>
      <c r="I2193" s="47" t="str">
        <f aca="false">IF(G2193="","",G2193+H2193)</f>
        <v/>
      </c>
    </row>
    <row r="2194" customFormat="false" ht="15" hidden="false" customHeight="false" outlineLevel="0" collapsed="false">
      <c r="C2194" s="41" t="str">
        <f aca="false">IF(A2194="","",TEXT(A2194,"mmm-yyyy"))</f>
        <v/>
      </c>
      <c r="I2194" s="47" t="str">
        <f aca="false">IF(G2194="","",G2194+H2194)</f>
        <v/>
      </c>
    </row>
    <row r="2195" customFormat="false" ht="15" hidden="false" customHeight="false" outlineLevel="0" collapsed="false">
      <c r="C2195" s="41" t="str">
        <f aca="false">IF(A2195="","",TEXT(A2195,"mmm-yyyy"))</f>
        <v/>
      </c>
      <c r="I2195" s="47" t="str">
        <f aca="false">IF(G2195="","",G2195+H2195)</f>
        <v/>
      </c>
    </row>
    <row r="2196" customFormat="false" ht="15" hidden="false" customHeight="false" outlineLevel="0" collapsed="false">
      <c r="C2196" s="41" t="str">
        <f aca="false">IF(A2196="","",TEXT(A2196,"mmm-yyyy"))</f>
        <v/>
      </c>
      <c r="I2196" s="47" t="str">
        <f aca="false">IF(G2196="","",G2196+H2196)</f>
        <v/>
      </c>
    </row>
    <row r="2197" customFormat="false" ht="15" hidden="false" customHeight="false" outlineLevel="0" collapsed="false">
      <c r="C2197" s="41" t="str">
        <f aca="false">IF(A2197="","",TEXT(A2197,"mmm-yyyy"))</f>
        <v/>
      </c>
      <c r="I2197" s="47" t="str">
        <f aca="false">IF(G2197="","",G2197+H2197)</f>
        <v/>
      </c>
    </row>
    <row r="2198" customFormat="false" ht="15" hidden="false" customHeight="false" outlineLevel="0" collapsed="false">
      <c r="C2198" s="41" t="str">
        <f aca="false">IF(A2198="","",TEXT(A2198,"mmm-yyyy"))</f>
        <v/>
      </c>
      <c r="I2198" s="47" t="str">
        <f aca="false">IF(G2198="","",G2198+H2198)</f>
        <v/>
      </c>
    </row>
    <row r="2199" customFormat="false" ht="15" hidden="false" customHeight="false" outlineLevel="0" collapsed="false">
      <c r="C2199" s="41" t="str">
        <f aca="false">IF(A2199="","",TEXT(A2199,"mmm-yyyy"))</f>
        <v/>
      </c>
      <c r="I2199" s="47" t="str">
        <f aca="false">IF(G2199="","",G2199+H2199)</f>
        <v/>
      </c>
    </row>
    <row r="2200" customFormat="false" ht="15" hidden="false" customHeight="false" outlineLevel="0" collapsed="false">
      <c r="C2200" s="41" t="str">
        <f aca="false">IF(A2200="","",TEXT(A2200,"mmm-yyyy"))</f>
        <v/>
      </c>
      <c r="I2200" s="47" t="str">
        <f aca="false">IF(G2200="","",G2200+H2200)</f>
        <v/>
      </c>
    </row>
    <row r="2201" customFormat="false" ht="15" hidden="false" customHeight="false" outlineLevel="0" collapsed="false">
      <c r="C2201" s="41" t="str">
        <f aca="false">IF(A2201="","",TEXT(A2201,"mmm-yyyy"))</f>
        <v/>
      </c>
      <c r="I2201" s="47" t="str">
        <f aca="false">IF(G2201="","",G2201+H2201)</f>
        <v/>
      </c>
    </row>
    <row r="2202" customFormat="false" ht="15" hidden="false" customHeight="false" outlineLevel="0" collapsed="false">
      <c r="C2202" s="41" t="str">
        <f aca="false">IF(A2202="","",TEXT(A2202,"mmm-yyyy"))</f>
        <v/>
      </c>
      <c r="I2202" s="47" t="str">
        <f aca="false">IF(G2202="","",G2202+H2202)</f>
        <v/>
      </c>
    </row>
    <row r="2203" customFormat="false" ht="15" hidden="false" customHeight="false" outlineLevel="0" collapsed="false">
      <c r="C2203" s="41" t="str">
        <f aca="false">IF(A2203="","",TEXT(A2203,"mmm-yyyy"))</f>
        <v/>
      </c>
      <c r="I2203" s="47" t="str">
        <f aca="false">IF(G2203="","",G2203+H2203)</f>
        <v/>
      </c>
    </row>
    <row r="2204" customFormat="false" ht="15" hidden="false" customHeight="false" outlineLevel="0" collapsed="false">
      <c r="C2204" s="41" t="str">
        <f aca="false">IF(A2204="","",TEXT(A2204,"mmm-yyyy"))</f>
        <v/>
      </c>
      <c r="I2204" s="47" t="str">
        <f aca="false">IF(G2204="","",G2204+H2204)</f>
        <v/>
      </c>
    </row>
    <row r="2205" customFormat="false" ht="15" hidden="false" customHeight="false" outlineLevel="0" collapsed="false">
      <c r="C2205" s="41" t="str">
        <f aca="false">IF(A2205="","",TEXT(A2205,"mmm-yyyy"))</f>
        <v/>
      </c>
      <c r="I2205" s="47" t="str">
        <f aca="false">IF(G2205="","",G2205+H2205)</f>
        <v/>
      </c>
    </row>
    <row r="2206" customFormat="false" ht="15" hidden="false" customHeight="false" outlineLevel="0" collapsed="false">
      <c r="C2206" s="41" t="str">
        <f aca="false">IF(A2206="","",TEXT(A2206,"mmm-yyyy"))</f>
        <v/>
      </c>
      <c r="I2206" s="47" t="str">
        <f aca="false">IF(G2206="","",G2206+H2206)</f>
        <v/>
      </c>
    </row>
    <row r="2207" customFormat="false" ht="15" hidden="false" customHeight="false" outlineLevel="0" collapsed="false">
      <c r="C2207" s="41" t="str">
        <f aca="false">IF(A2207="","",TEXT(A2207,"mmm-yyyy"))</f>
        <v/>
      </c>
      <c r="I2207" s="47" t="str">
        <f aca="false">IF(G2207="","",G2207+H2207)</f>
        <v/>
      </c>
    </row>
    <row r="2208" customFormat="false" ht="15" hidden="false" customHeight="false" outlineLevel="0" collapsed="false">
      <c r="C2208" s="41" t="str">
        <f aca="false">IF(A2208="","",TEXT(A2208,"mmm-yyyy"))</f>
        <v/>
      </c>
      <c r="I2208" s="47" t="str">
        <f aca="false">IF(G2208="","",G2208+H2208)</f>
        <v/>
      </c>
    </row>
    <row r="2209" customFormat="false" ht="15" hidden="false" customHeight="false" outlineLevel="0" collapsed="false">
      <c r="C2209" s="41" t="str">
        <f aca="false">IF(A2209="","",TEXT(A2209,"mmm-yyyy"))</f>
        <v/>
      </c>
      <c r="I2209" s="47" t="str">
        <f aca="false">IF(G2209="","",G2209+H2209)</f>
        <v/>
      </c>
    </row>
    <row r="2210" customFormat="false" ht="15" hidden="false" customHeight="false" outlineLevel="0" collapsed="false">
      <c r="C2210" s="41" t="str">
        <f aca="false">IF(A2210="","",TEXT(A2210,"mmm-yyyy"))</f>
        <v/>
      </c>
      <c r="I2210" s="47" t="str">
        <f aca="false">IF(G2210="","",G2210+H2210)</f>
        <v/>
      </c>
    </row>
    <row r="2211" customFormat="false" ht="15" hidden="false" customHeight="false" outlineLevel="0" collapsed="false">
      <c r="C2211" s="41" t="str">
        <f aca="false">IF(A2211="","",TEXT(A2211,"mmm-yyyy"))</f>
        <v/>
      </c>
      <c r="I2211" s="47" t="str">
        <f aca="false">IF(G2211="","",G2211+H2211)</f>
        <v/>
      </c>
    </row>
    <row r="2212" customFormat="false" ht="15" hidden="false" customHeight="false" outlineLevel="0" collapsed="false">
      <c r="C2212" s="41" t="str">
        <f aca="false">IF(A2212="","",TEXT(A2212,"mmm-yyyy"))</f>
        <v/>
      </c>
      <c r="I2212" s="47" t="str">
        <f aca="false">IF(G2212="","",G2212+H2212)</f>
        <v/>
      </c>
    </row>
    <row r="2213" customFormat="false" ht="15" hidden="false" customHeight="false" outlineLevel="0" collapsed="false">
      <c r="C2213" s="41" t="str">
        <f aca="false">IF(A2213="","",TEXT(A2213,"mmm-yyyy"))</f>
        <v/>
      </c>
      <c r="I2213" s="47" t="str">
        <f aca="false">IF(G2213="","",G2213+H2213)</f>
        <v/>
      </c>
    </row>
    <row r="2214" customFormat="false" ht="15" hidden="false" customHeight="false" outlineLevel="0" collapsed="false">
      <c r="C2214" s="41" t="str">
        <f aca="false">IF(A2214="","",TEXT(A2214,"mmm-yyyy"))</f>
        <v/>
      </c>
      <c r="I2214" s="47" t="str">
        <f aca="false">IF(G2214="","",G2214+H2214)</f>
        <v/>
      </c>
    </row>
    <row r="2215" customFormat="false" ht="15" hidden="false" customHeight="false" outlineLevel="0" collapsed="false">
      <c r="C2215" s="41" t="str">
        <f aca="false">IF(A2215="","",TEXT(A2215,"mmm-yyyy"))</f>
        <v/>
      </c>
      <c r="I2215" s="47" t="str">
        <f aca="false">IF(G2215="","",G2215+H2215)</f>
        <v/>
      </c>
    </row>
    <row r="2216" customFormat="false" ht="15" hidden="false" customHeight="false" outlineLevel="0" collapsed="false">
      <c r="C2216" s="41" t="str">
        <f aca="false">IF(A2216="","",TEXT(A2216,"mmm-yyyy"))</f>
        <v/>
      </c>
      <c r="I2216" s="47" t="str">
        <f aca="false">IF(G2216="","",G2216+H2216)</f>
        <v/>
      </c>
    </row>
    <row r="2217" customFormat="false" ht="15" hidden="false" customHeight="false" outlineLevel="0" collapsed="false">
      <c r="C2217" s="41" t="str">
        <f aca="false">IF(A2217="","",TEXT(A2217,"mmm-yyyy"))</f>
        <v/>
      </c>
      <c r="I2217" s="47" t="str">
        <f aca="false">IF(G2217="","",G2217+H2217)</f>
        <v/>
      </c>
    </row>
    <row r="2218" customFormat="false" ht="15" hidden="false" customHeight="false" outlineLevel="0" collapsed="false">
      <c r="C2218" s="41" t="str">
        <f aca="false">IF(A2218="","",TEXT(A2218,"mmm-yyyy"))</f>
        <v/>
      </c>
      <c r="I2218" s="47" t="str">
        <f aca="false">IF(G2218="","",G2218+H2218)</f>
        <v/>
      </c>
    </row>
    <row r="2219" customFormat="false" ht="15" hidden="false" customHeight="false" outlineLevel="0" collapsed="false">
      <c r="C2219" s="41" t="str">
        <f aca="false">IF(A2219="","",TEXT(A2219,"mmm-yyyy"))</f>
        <v/>
      </c>
      <c r="I2219" s="47" t="str">
        <f aca="false">IF(G2219="","",G2219+H2219)</f>
        <v/>
      </c>
    </row>
    <row r="2220" customFormat="false" ht="15" hidden="false" customHeight="false" outlineLevel="0" collapsed="false">
      <c r="C2220" s="41" t="str">
        <f aca="false">IF(A2220="","",TEXT(A2220,"mmm-yyyy"))</f>
        <v/>
      </c>
      <c r="I2220" s="47" t="str">
        <f aca="false">IF(G2220="","",G2220+H2220)</f>
        <v/>
      </c>
    </row>
    <row r="2221" customFormat="false" ht="15" hidden="false" customHeight="false" outlineLevel="0" collapsed="false">
      <c r="C2221" s="41" t="str">
        <f aca="false">IF(A2221="","",TEXT(A2221,"mmm-yyyy"))</f>
        <v/>
      </c>
      <c r="I2221" s="47" t="str">
        <f aca="false">IF(G2221="","",G2221+H2221)</f>
        <v/>
      </c>
    </row>
    <row r="2222" customFormat="false" ht="15" hidden="false" customHeight="false" outlineLevel="0" collapsed="false">
      <c r="C2222" s="41" t="str">
        <f aca="false">IF(A2222="","",TEXT(A2222,"mmm-yyyy"))</f>
        <v/>
      </c>
      <c r="I2222" s="47" t="str">
        <f aca="false">IF(G2222="","",G2222+H2222)</f>
        <v/>
      </c>
    </row>
    <row r="2223" customFormat="false" ht="15" hidden="false" customHeight="false" outlineLevel="0" collapsed="false">
      <c r="C2223" s="41" t="str">
        <f aca="false">IF(A2223="","",TEXT(A2223,"mmm-yyyy"))</f>
        <v/>
      </c>
      <c r="I2223" s="47" t="str">
        <f aca="false">IF(G2223="","",G2223+H2223)</f>
        <v/>
      </c>
    </row>
    <row r="2224" customFormat="false" ht="15" hidden="false" customHeight="false" outlineLevel="0" collapsed="false">
      <c r="C2224" s="41" t="str">
        <f aca="false">IF(A2224="","",TEXT(A2224,"mmm-yyyy"))</f>
        <v/>
      </c>
      <c r="I2224" s="47" t="str">
        <f aca="false">IF(G2224="","",G2224+H2224)</f>
        <v/>
      </c>
    </row>
    <row r="2225" customFormat="false" ht="15" hidden="false" customHeight="false" outlineLevel="0" collapsed="false">
      <c r="C2225" s="41" t="str">
        <f aca="false">IF(A2225="","",TEXT(A2225,"mmm-yyyy"))</f>
        <v/>
      </c>
      <c r="I2225" s="47" t="str">
        <f aca="false">IF(G2225="","",G2225+H2225)</f>
        <v/>
      </c>
    </row>
    <row r="2226" customFormat="false" ht="15" hidden="false" customHeight="false" outlineLevel="0" collapsed="false">
      <c r="C2226" s="41" t="str">
        <f aca="false">IF(A2226="","",TEXT(A2226,"mmm-yyyy"))</f>
        <v/>
      </c>
      <c r="I2226" s="47" t="str">
        <f aca="false">IF(G2226="","",G2226+H2226)</f>
        <v/>
      </c>
    </row>
    <row r="2227" customFormat="false" ht="15" hidden="false" customHeight="false" outlineLevel="0" collapsed="false">
      <c r="C2227" s="41" t="str">
        <f aca="false">IF(A2227="","",TEXT(A2227,"mmm-yyyy"))</f>
        <v/>
      </c>
      <c r="I2227" s="47" t="str">
        <f aca="false">IF(G2227="","",G2227+H2227)</f>
        <v/>
      </c>
    </row>
    <row r="2228" customFormat="false" ht="15" hidden="false" customHeight="false" outlineLevel="0" collapsed="false">
      <c r="C2228" s="41" t="str">
        <f aca="false">IF(A2228="","",TEXT(A2228,"mmm-yyyy"))</f>
        <v/>
      </c>
      <c r="I2228" s="47" t="str">
        <f aca="false">IF(G2228="","",G2228+H2228)</f>
        <v/>
      </c>
    </row>
    <row r="2229" customFormat="false" ht="15" hidden="false" customHeight="false" outlineLevel="0" collapsed="false">
      <c r="C2229" s="41" t="str">
        <f aca="false">IF(A2229="","",TEXT(A2229,"mmm-yyyy"))</f>
        <v/>
      </c>
      <c r="I2229" s="47" t="str">
        <f aca="false">IF(G2229="","",G2229+H2229)</f>
        <v/>
      </c>
    </row>
    <row r="2230" customFormat="false" ht="15" hidden="false" customHeight="false" outlineLevel="0" collapsed="false">
      <c r="C2230" s="41" t="str">
        <f aca="false">IF(A2230="","",TEXT(A2230,"mmm-yyyy"))</f>
        <v/>
      </c>
      <c r="I2230" s="47" t="str">
        <f aca="false">IF(G2230="","",G2230+H2230)</f>
        <v/>
      </c>
    </row>
    <row r="2231" customFormat="false" ht="15" hidden="false" customHeight="false" outlineLevel="0" collapsed="false">
      <c r="C2231" s="41" t="str">
        <f aca="false">IF(A2231="","",TEXT(A2231,"mmm-yyyy"))</f>
        <v/>
      </c>
      <c r="I2231" s="47" t="str">
        <f aca="false">IF(G2231="","",G2231+H2231)</f>
        <v/>
      </c>
    </row>
    <row r="2232" customFormat="false" ht="15" hidden="false" customHeight="false" outlineLevel="0" collapsed="false">
      <c r="C2232" s="41" t="str">
        <f aca="false">IF(A2232="","",TEXT(A2232,"mmm-yyyy"))</f>
        <v/>
      </c>
      <c r="I2232" s="47" t="str">
        <f aca="false">IF(G2232="","",G2232+H2232)</f>
        <v/>
      </c>
    </row>
    <row r="2233" customFormat="false" ht="15" hidden="false" customHeight="false" outlineLevel="0" collapsed="false">
      <c r="C2233" s="41" t="str">
        <f aca="false">IF(A2233="","",TEXT(A2233,"mmm-yyyy"))</f>
        <v/>
      </c>
      <c r="I2233" s="47" t="str">
        <f aca="false">IF(G2233="","",G2233+H2233)</f>
        <v/>
      </c>
    </row>
    <row r="2234" customFormat="false" ht="15" hidden="false" customHeight="false" outlineLevel="0" collapsed="false">
      <c r="C2234" s="41" t="str">
        <f aca="false">IF(A2234="","",TEXT(A2234,"mmm-yyyy"))</f>
        <v/>
      </c>
      <c r="I2234" s="47" t="str">
        <f aca="false">IF(G2234="","",G2234+H2234)</f>
        <v/>
      </c>
    </row>
    <row r="2235" customFormat="false" ht="15" hidden="false" customHeight="false" outlineLevel="0" collapsed="false">
      <c r="C2235" s="41" t="str">
        <f aca="false">IF(A2235="","",TEXT(A2235,"mmm-yyyy"))</f>
        <v/>
      </c>
      <c r="I2235" s="47" t="str">
        <f aca="false">IF(G2235="","",G2235+H2235)</f>
        <v/>
      </c>
    </row>
    <row r="2236" customFormat="false" ht="15" hidden="false" customHeight="false" outlineLevel="0" collapsed="false">
      <c r="C2236" s="41" t="str">
        <f aca="false">IF(A2236="","",TEXT(A2236,"mmm-yyyy"))</f>
        <v/>
      </c>
      <c r="I2236" s="47" t="str">
        <f aca="false">IF(G2236="","",G2236+H2236)</f>
        <v/>
      </c>
    </row>
    <row r="2237" customFormat="false" ht="15" hidden="false" customHeight="false" outlineLevel="0" collapsed="false">
      <c r="C2237" s="41" t="str">
        <f aca="false">IF(A2237="","",TEXT(A2237,"mmm-yyyy"))</f>
        <v/>
      </c>
      <c r="I2237" s="47" t="str">
        <f aca="false">IF(G2237="","",G2237+H2237)</f>
        <v/>
      </c>
    </row>
    <row r="2238" customFormat="false" ht="15" hidden="false" customHeight="false" outlineLevel="0" collapsed="false">
      <c r="C2238" s="41" t="str">
        <f aca="false">IF(A2238="","",TEXT(A2238,"mmm-yyyy"))</f>
        <v/>
      </c>
      <c r="I2238" s="47" t="str">
        <f aca="false">IF(G2238="","",G2238+H2238)</f>
        <v/>
      </c>
    </row>
    <row r="2239" customFormat="false" ht="15" hidden="false" customHeight="false" outlineLevel="0" collapsed="false">
      <c r="C2239" s="41" t="str">
        <f aca="false">IF(A2239="","",TEXT(A2239,"mmm-yyyy"))</f>
        <v/>
      </c>
      <c r="I2239" s="47" t="str">
        <f aca="false">IF(G2239="","",G2239+H2239)</f>
        <v/>
      </c>
    </row>
    <row r="2240" customFormat="false" ht="15" hidden="false" customHeight="false" outlineLevel="0" collapsed="false">
      <c r="C2240" s="41" t="str">
        <f aca="false">IF(A2240="","",TEXT(A2240,"mmm-yyyy"))</f>
        <v/>
      </c>
      <c r="I2240" s="47" t="str">
        <f aca="false">IF(G2240="","",G2240+H2240)</f>
        <v/>
      </c>
    </row>
    <row r="2241" customFormat="false" ht="15" hidden="false" customHeight="false" outlineLevel="0" collapsed="false">
      <c r="C2241" s="41" t="str">
        <f aca="false">IF(A2241="","",TEXT(A2241,"mmm-yyyy"))</f>
        <v/>
      </c>
      <c r="I2241" s="47" t="str">
        <f aca="false">IF(G2241="","",G2241+H2241)</f>
        <v/>
      </c>
    </row>
    <row r="2242" customFormat="false" ht="15" hidden="false" customHeight="false" outlineLevel="0" collapsed="false">
      <c r="C2242" s="41" t="str">
        <f aca="false">IF(A2242="","",TEXT(A2242,"mmm-yyyy"))</f>
        <v/>
      </c>
      <c r="I2242" s="47" t="str">
        <f aca="false">IF(G2242="","",G2242+H2242)</f>
        <v/>
      </c>
    </row>
    <row r="2243" customFormat="false" ht="15" hidden="false" customHeight="false" outlineLevel="0" collapsed="false">
      <c r="C2243" s="41" t="str">
        <f aca="false">IF(A2243="","",TEXT(A2243,"mmm-yyyy"))</f>
        <v/>
      </c>
      <c r="I2243" s="47" t="str">
        <f aca="false">IF(G2243="","",G2243+H2243)</f>
        <v/>
      </c>
    </row>
    <row r="2244" customFormat="false" ht="15" hidden="false" customHeight="false" outlineLevel="0" collapsed="false">
      <c r="C2244" s="41" t="str">
        <f aca="false">IF(A2244="","",TEXT(A2244,"mmm-yyyy"))</f>
        <v/>
      </c>
      <c r="I2244" s="47" t="str">
        <f aca="false">IF(G2244="","",G2244+H2244)</f>
        <v/>
      </c>
    </row>
    <row r="2245" customFormat="false" ht="15" hidden="false" customHeight="false" outlineLevel="0" collapsed="false">
      <c r="C2245" s="41" t="str">
        <f aca="false">IF(A2245="","",TEXT(A2245,"mmm-yyyy"))</f>
        <v/>
      </c>
      <c r="I2245" s="47" t="str">
        <f aca="false">IF(G2245="","",G2245+H2245)</f>
        <v/>
      </c>
    </row>
    <row r="2246" customFormat="false" ht="15" hidden="false" customHeight="false" outlineLevel="0" collapsed="false">
      <c r="C2246" s="41" t="str">
        <f aca="false">IF(A2246="","",TEXT(A2246,"mmm-yyyy"))</f>
        <v/>
      </c>
      <c r="I2246" s="47" t="str">
        <f aca="false">IF(G2246="","",G2246+H2246)</f>
        <v/>
      </c>
    </row>
    <row r="2247" customFormat="false" ht="15" hidden="false" customHeight="false" outlineLevel="0" collapsed="false">
      <c r="C2247" s="41" t="str">
        <f aca="false">IF(A2247="","",TEXT(A2247,"mmm-yyyy"))</f>
        <v/>
      </c>
      <c r="I2247" s="47" t="str">
        <f aca="false">IF(G2247="","",G2247+H2247)</f>
        <v/>
      </c>
    </row>
    <row r="2248" customFormat="false" ht="15" hidden="false" customHeight="false" outlineLevel="0" collapsed="false">
      <c r="C2248" s="41" t="str">
        <f aca="false">IF(A2248="","",TEXT(A2248,"mmm-yyyy"))</f>
        <v/>
      </c>
      <c r="I2248" s="47" t="str">
        <f aca="false">IF(G2248="","",G2248+H2248)</f>
        <v/>
      </c>
    </row>
    <row r="2249" customFormat="false" ht="15" hidden="false" customHeight="false" outlineLevel="0" collapsed="false">
      <c r="C2249" s="41" t="str">
        <f aca="false">IF(A2249="","",TEXT(A2249,"mmm-yyyy"))</f>
        <v/>
      </c>
      <c r="I2249" s="47" t="str">
        <f aca="false">IF(G2249="","",G2249+H2249)</f>
        <v/>
      </c>
    </row>
    <row r="2250" customFormat="false" ht="15" hidden="false" customHeight="false" outlineLevel="0" collapsed="false">
      <c r="C2250" s="41" t="str">
        <f aca="false">IF(A2250="","",TEXT(A2250,"mmm-yyyy"))</f>
        <v/>
      </c>
      <c r="I2250" s="47" t="str">
        <f aca="false">IF(G2250="","",G2250+H2250)</f>
        <v/>
      </c>
    </row>
    <row r="2251" customFormat="false" ht="15" hidden="false" customHeight="false" outlineLevel="0" collapsed="false">
      <c r="C2251" s="41" t="str">
        <f aca="false">IF(A2251="","",TEXT(A2251,"mmm-yyyy"))</f>
        <v/>
      </c>
      <c r="I2251" s="47" t="str">
        <f aca="false">IF(G2251="","",G2251+H2251)</f>
        <v/>
      </c>
    </row>
    <row r="2252" customFormat="false" ht="15" hidden="false" customHeight="false" outlineLevel="0" collapsed="false">
      <c r="C2252" s="41" t="str">
        <f aca="false">IF(A2252="","",TEXT(A2252,"mmm-yyyy"))</f>
        <v/>
      </c>
      <c r="I2252" s="47" t="str">
        <f aca="false">IF(G2252="","",G2252+H2252)</f>
        <v/>
      </c>
    </row>
    <row r="2253" customFormat="false" ht="15" hidden="false" customHeight="false" outlineLevel="0" collapsed="false">
      <c r="C2253" s="41" t="str">
        <f aca="false">IF(A2253="","",TEXT(A2253,"mmm-yyyy"))</f>
        <v/>
      </c>
      <c r="I2253" s="47" t="str">
        <f aca="false">IF(G2253="","",G2253+H2253)</f>
        <v/>
      </c>
    </row>
    <row r="2254" customFormat="false" ht="15" hidden="false" customHeight="false" outlineLevel="0" collapsed="false">
      <c r="C2254" s="41" t="str">
        <f aca="false">IF(A2254="","",TEXT(A2254,"mmm-yyyy"))</f>
        <v/>
      </c>
      <c r="I2254" s="47" t="str">
        <f aca="false">IF(G2254="","",G2254+H2254)</f>
        <v/>
      </c>
    </row>
    <row r="2255" customFormat="false" ht="15" hidden="false" customHeight="false" outlineLevel="0" collapsed="false">
      <c r="C2255" s="41" t="str">
        <f aca="false">IF(A2255="","",TEXT(A2255,"mmm-yyyy"))</f>
        <v/>
      </c>
      <c r="I2255" s="47" t="str">
        <f aca="false">IF(G2255="","",G2255+H2255)</f>
        <v/>
      </c>
    </row>
    <row r="2256" customFormat="false" ht="15" hidden="false" customHeight="false" outlineLevel="0" collapsed="false">
      <c r="C2256" s="41" t="str">
        <f aca="false">IF(A2256="","",TEXT(A2256,"mmm-yyyy"))</f>
        <v/>
      </c>
      <c r="I2256" s="47" t="str">
        <f aca="false">IF(G2256="","",G2256+H2256)</f>
        <v/>
      </c>
    </row>
    <row r="2257" customFormat="false" ht="15" hidden="false" customHeight="false" outlineLevel="0" collapsed="false">
      <c r="C2257" s="41" t="str">
        <f aca="false">IF(A2257="","",TEXT(A2257,"mmm-yyyy"))</f>
        <v/>
      </c>
      <c r="I2257" s="47" t="str">
        <f aca="false">IF(G2257="","",G2257+H2257)</f>
        <v/>
      </c>
    </row>
    <row r="2258" customFormat="false" ht="15" hidden="false" customHeight="false" outlineLevel="0" collapsed="false">
      <c r="C2258" s="41" t="str">
        <f aca="false">IF(A2258="","",TEXT(A2258,"mmm-yyyy"))</f>
        <v/>
      </c>
      <c r="I2258" s="47" t="str">
        <f aca="false">IF(G2258="","",G2258+H2258)</f>
        <v/>
      </c>
    </row>
    <row r="2259" customFormat="false" ht="15" hidden="false" customHeight="false" outlineLevel="0" collapsed="false">
      <c r="C2259" s="41" t="str">
        <f aca="false">IF(A2259="","",TEXT(A2259,"mmm-yyyy"))</f>
        <v/>
      </c>
      <c r="I2259" s="47" t="str">
        <f aca="false">IF(G2259="","",G2259+H2259)</f>
        <v/>
      </c>
    </row>
    <row r="2260" customFormat="false" ht="15" hidden="false" customHeight="false" outlineLevel="0" collapsed="false">
      <c r="C2260" s="41" t="str">
        <f aca="false">IF(A2260="","",TEXT(A2260,"mmm-yyyy"))</f>
        <v/>
      </c>
      <c r="I2260" s="47" t="str">
        <f aca="false">IF(G2260="","",G2260+H2260)</f>
        <v/>
      </c>
    </row>
    <row r="2261" customFormat="false" ht="15" hidden="false" customHeight="false" outlineLevel="0" collapsed="false">
      <c r="C2261" s="41" t="str">
        <f aca="false">IF(A2261="","",TEXT(A2261,"mmm-yyyy"))</f>
        <v/>
      </c>
      <c r="I2261" s="47" t="str">
        <f aca="false">IF(G2261="","",G2261+H2261)</f>
        <v/>
      </c>
    </row>
    <row r="2262" customFormat="false" ht="15" hidden="false" customHeight="false" outlineLevel="0" collapsed="false">
      <c r="C2262" s="41" t="str">
        <f aca="false">IF(A2262="","",TEXT(A2262,"mmm-yyyy"))</f>
        <v/>
      </c>
      <c r="I2262" s="47" t="str">
        <f aca="false">IF(G2262="","",G2262+H2262)</f>
        <v/>
      </c>
    </row>
    <row r="2263" customFormat="false" ht="15" hidden="false" customHeight="false" outlineLevel="0" collapsed="false">
      <c r="C2263" s="41" t="str">
        <f aca="false">IF(A2263="","",TEXT(A2263,"mmm-yyyy"))</f>
        <v/>
      </c>
      <c r="I2263" s="47" t="str">
        <f aca="false">IF(G2263="","",G2263+H2263)</f>
        <v/>
      </c>
    </row>
    <row r="2264" customFormat="false" ht="15" hidden="false" customHeight="false" outlineLevel="0" collapsed="false">
      <c r="C2264" s="41" t="str">
        <f aca="false">IF(A2264="","",TEXT(A2264,"mmm-yyyy"))</f>
        <v/>
      </c>
      <c r="I2264" s="47" t="str">
        <f aca="false">IF(G2264="","",G2264+H2264)</f>
        <v/>
      </c>
    </row>
    <row r="2265" customFormat="false" ht="15" hidden="false" customHeight="false" outlineLevel="0" collapsed="false">
      <c r="C2265" s="41" t="str">
        <f aca="false">IF(A2265="","",TEXT(A2265,"mmm-yyyy"))</f>
        <v/>
      </c>
      <c r="I2265" s="47" t="str">
        <f aca="false">IF(G2265="","",G2265+H2265)</f>
        <v/>
      </c>
    </row>
    <row r="2266" customFormat="false" ht="15" hidden="false" customHeight="false" outlineLevel="0" collapsed="false">
      <c r="C2266" s="41" t="str">
        <f aca="false">IF(A2266="","",TEXT(A2266,"mmm-yyyy"))</f>
        <v/>
      </c>
      <c r="I2266" s="47" t="str">
        <f aca="false">IF(G2266="","",G2266+H2266)</f>
        <v/>
      </c>
    </row>
    <row r="2267" customFormat="false" ht="15" hidden="false" customHeight="false" outlineLevel="0" collapsed="false">
      <c r="C2267" s="41" t="str">
        <f aca="false">IF(A2267="","",TEXT(A2267,"mmm-yyyy"))</f>
        <v/>
      </c>
      <c r="I2267" s="47" t="str">
        <f aca="false">IF(G2267="","",G2267+H2267)</f>
        <v/>
      </c>
    </row>
    <row r="2268" customFormat="false" ht="15" hidden="false" customHeight="false" outlineLevel="0" collapsed="false">
      <c r="C2268" s="41" t="str">
        <f aca="false">IF(A2268="","",TEXT(A2268,"mmm-yyyy"))</f>
        <v/>
      </c>
      <c r="I2268" s="47" t="str">
        <f aca="false">IF(G2268="","",G2268+H2268)</f>
        <v/>
      </c>
    </row>
    <row r="2269" customFormat="false" ht="15" hidden="false" customHeight="false" outlineLevel="0" collapsed="false">
      <c r="C2269" s="41" t="str">
        <f aca="false">IF(A2269="","",TEXT(A2269,"mmm-yyyy"))</f>
        <v/>
      </c>
      <c r="I2269" s="47" t="str">
        <f aca="false">IF(G2269="","",G2269+H2269)</f>
        <v/>
      </c>
    </row>
    <row r="2270" customFormat="false" ht="15" hidden="false" customHeight="false" outlineLevel="0" collapsed="false">
      <c r="C2270" s="41" t="str">
        <f aca="false">IF(A2270="","",TEXT(A2270,"mmm-yyyy"))</f>
        <v/>
      </c>
      <c r="I2270" s="47" t="str">
        <f aca="false">IF(G2270="","",G2270+H2270)</f>
        <v/>
      </c>
    </row>
    <row r="2271" customFormat="false" ht="15" hidden="false" customHeight="false" outlineLevel="0" collapsed="false">
      <c r="C2271" s="41" t="str">
        <f aca="false">IF(A2271="","",TEXT(A2271,"mmm-yyyy"))</f>
        <v/>
      </c>
      <c r="I2271" s="47" t="str">
        <f aca="false">IF(G2271="","",G2271+H2271)</f>
        <v/>
      </c>
    </row>
    <row r="2272" customFormat="false" ht="15" hidden="false" customHeight="false" outlineLevel="0" collapsed="false">
      <c r="C2272" s="41" t="str">
        <f aca="false">IF(A2272="","",TEXT(A2272,"mmm-yyyy"))</f>
        <v/>
      </c>
      <c r="I2272" s="47" t="str">
        <f aca="false">IF(G2272="","",G2272+H2272)</f>
        <v/>
      </c>
    </row>
    <row r="2273" customFormat="false" ht="15" hidden="false" customHeight="false" outlineLevel="0" collapsed="false">
      <c r="C2273" s="41" t="str">
        <f aca="false">IF(A2273="","",TEXT(A2273,"mmm-yyyy"))</f>
        <v/>
      </c>
      <c r="I2273" s="47" t="str">
        <f aca="false">IF(G2273="","",G2273+H2273)</f>
        <v/>
      </c>
    </row>
    <row r="2274" customFormat="false" ht="15" hidden="false" customHeight="false" outlineLevel="0" collapsed="false">
      <c r="C2274" s="41" t="str">
        <f aca="false">IF(A2274="","",TEXT(A2274,"mmm-yyyy"))</f>
        <v/>
      </c>
      <c r="I2274" s="47" t="str">
        <f aca="false">IF(G2274="","",G2274+H2274)</f>
        <v/>
      </c>
    </row>
    <row r="2275" customFormat="false" ht="15" hidden="false" customHeight="false" outlineLevel="0" collapsed="false">
      <c r="C2275" s="41" t="str">
        <f aca="false">IF(A2275="","",TEXT(A2275,"mmm-yyyy"))</f>
        <v/>
      </c>
      <c r="I2275" s="47" t="str">
        <f aca="false">IF(G2275="","",G2275+H2275)</f>
        <v/>
      </c>
    </row>
    <row r="2276" customFormat="false" ht="15" hidden="false" customHeight="false" outlineLevel="0" collapsed="false">
      <c r="C2276" s="41" t="str">
        <f aca="false">IF(A2276="","",TEXT(A2276,"mmm-yyyy"))</f>
        <v/>
      </c>
      <c r="I2276" s="47" t="str">
        <f aca="false">IF(G2276="","",G2276+H2276)</f>
        <v/>
      </c>
    </row>
    <row r="2277" customFormat="false" ht="15" hidden="false" customHeight="false" outlineLevel="0" collapsed="false">
      <c r="C2277" s="41" t="str">
        <f aca="false">IF(A2277="","",TEXT(A2277,"mmm-yyyy"))</f>
        <v/>
      </c>
      <c r="I2277" s="47" t="str">
        <f aca="false">IF(G2277="","",G2277+H2277)</f>
        <v/>
      </c>
    </row>
    <row r="2278" customFormat="false" ht="15" hidden="false" customHeight="false" outlineLevel="0" collapsed="false">
      <c r="C2278" s="41" t="str">
        <f aca="false">IF(A2278="","",TEXT(A2278,"mmm-yyyy"))</f>
        <v/>
      </c>
      <c r="I2278" s="47" t="str">
        <f aca="false">IF(G2278="","",G2278+H2278)</f>
        <v/>
      </c>
    </row>
    <row r="2279" customFormat="false" ht="15" hidden="false" customHeight="false" outlineLevel="0" collapsed="false">
      <c r="C2279" s="41" t="str">
        <f aca="false">IF(A2279="","",TEXT(A2279,"mmm-yyyy"))</f>
        <v/>
      </c>
      <c r="I2279" s="47" t="str">
        <f aca="false">IF(G2279="","",G2279+H2279)</f>
        <v/>
      </c>
    </row>
    <row r="2280" customFormat="false" ht="15" hidden="false" customHeight="false" outlineLevel="0" collapsed="false">
      <c r="C2280" s="41" t="str">
        <f aca="false">IF(A2280="","",TEXT(A2280,"mmm-yyyy"))</f>
        <v/>
      </c>
      <c r="I2280" s="47" t="str">
        <f aca="false">IF(G2280="","",G2280+H2280)</f>
        <v/>
      </c>
    </row>
    <row r="2281" customFormat="false" ht="15" hidden="false" customHeight="false" outlineLevel="0" collapsed="false">
      <c r="C2281" s="41" t="str">
        <f aca="false">IF(A2281="","",TEXT(A2281,"mmm-yyyy"))</f>
        <v/>
      </c>
      <c r="I2281" s="47" t="str">
        <f aca="false">IF(G2281="","",G2281+H2281)</f>
        <v/>
      </c>
    </row>
    <row r="2282" customFormat="false" ht="15" hidden="false" customHeight="false" outlineLevel="0" collapsed="false">
      <c r="C2282" s="41" t="str">
        <f aca="false">IF(A2282="","",TEXT(A2282,"mmm-yyyy"))</f>
        <v/>
      </c>
      <c r="I2282" s="47" t="str">
        <f aca="false">IF(G2282="","",G2282+H2282)</f>
        <v/>
      </c>
    </row>
    <row r="2283" customFormat="false" ht="15" hidden="false" customHeight="false" outlineLevel="0" collapsed="false">
      <c r="C2283" s="41" t="str">
        <f aca="false">IF(A2283="","",TEXT(A2283,"mmm-yyyy"))</f>
        <v/>
      </c>
      <c r="I2283" s="47" t="str">
        <f aca="false">IF(G2283="","",G2283+H2283)</f>
        <v/>
      </c>
    </row>
    <row r="2284" customFormat="false" ht="15" hidden="false" customHeight="false" outlineLevel="0" collapsed="false">
      <c r="C2284" s="41" t="str">
        <f aca="false">IF(A2284="","",TEXT(A2284,"mmm-yyyy"))</f>
        <v/>
      </c>
      <c r="I2284" s="47" t="str">
        <f aca="false">IF(G2284="","",G2284+H2284)</f>
        <v/>
      </c>
    </row>
    <row r="2285" customFormat="false" ht="15" hidden="false" customHeight="false" outlineLevel="0" collapsed="false">
      <c r="C2285" s="41" t="str">
        <f aca="false">IF(A2285="","",TEXT(A2285,"mmm-yyyy"))</f>
        <v/>
      </c>
      <c r="I2285" s="47" t="str">
        <f aca="false">IF(G2285="","",G2285+H2285)</f>
        <v/>
      </c>
    </row>
    <row r="2286" customFormat="false" ht="15" hidden="false" customHeight="false" outlineLevel="0" collapsed="false">
      <c r="C2286" s="41" t="str">
        <f aca="false">IF(A2286="","",TEXT(A2286,"mmm-yyyy"))</f>
        <v/>
      </c>
      <c r="I2286" s="47" t="str">
        <f aca="false">IF(G2286="","",G2286+H2286)</f>
        <v/>
      </c>
    </row>
    <row r="2287" customFormat="false" ht="15" hidden="false" customHeight="false" outlineLevel="0" collapsed="false">
      <c r="C2287" s="41" t="str">
        <f aca="false">IF(A2287="","",TEXT(A2287,"mmm-yyyy"))</f>
        <v/>
      </c>
      <c r="I2287" s="47" t="str">
        <f aca="false">IF(G2287="","",G2287+H2287)</f>
        <v/>
      </c>
    </row>
    <row r="2288" customFormat="false" ht="15" hidden="false" customHeight="false" outlineLevel="0" collapsed="false">
      <c r="C2288" s="41" t="str">
        <f aca="false">IF(A2288="","",TEXT(A2288,"mmm-yyyy"))</f>
        <v/>
      </c>
      <c r="I2288" s="47" t="str">
        <f aca="false">IF(G2288="","",G2288+H2288)</f>
        <v/>
      </c>
    </row>
    <row r="2289" customFormat="false" ht="15" hidden="false" customHeight="false" outlineLevel="0" collapsed="false">
      <c r="C2289" s="41" t="str">
        <f aca="false">IF(A2289="","",TEXT(A2289,"mmm-yyyy"))</f>
        <v/>
      </c>
      <c r="I2289" s="47" t="str">
        <f aca="false">IF(G2289="","",G2289+H2289)</f>
        <v/>
      </c>
    </row>
    <row r="2290" customFormat="false" ht="15" hidden="false" customHeight="false" outlineLevel="0" collapsed="false">
      <c r="C2290" s="41" t="str">
        <f aca="false">IF(A2290="","",TEXT(A2290,"mmm-yyyy"))</f>
        <v/>
      </c>
      <c r="I2290" s="47" t="str">
        <f aca="false">IF(G2290="","",G2290+H2290)</f>
        <v/>
      </c>
    </row>
    <row r="2291" customFormat="false" ht="15" hidden="false" customHeight="false" outlineLevel="0" collapsed="false">
      <c r="C2291" s="41" t="str">
        <f aca="false">IF(A2291="","",TEXT(A2291,"mmm-yyyy"))</f>
        <v/>
      </c>
      <c r="I2291" s="47" t="str">
        <f aca="false">IF(G2291="","",G2291+H2291)</f>
        <v/>
      </c>
    </row>
    <row r="2292" customFormat="false" ht="15" hidden="false" customHeight="false" outlineLevel="0" collapsed="false">
      <c r="C2292" s="41" t="str">
        <f aca="false">IF(A2292="","",TEXT(A2292,"mmm-yyyy"))</f>
        <v/>
      </c>
      <c r="I2292" s="47" t="str">
        <f aca="false">IF(G2292="","",G2292+H2292)</f>
        <v/>
      </c>
    </row>
    <row r="2293" customFormat="false" ht="15" hidden="false" customHeight="false" outlineLevel="0" collapsed="false">
      <c r="C2293" s="41" t="str">
        <f aca="false">IF(A2293="","",TEXT(A2293,"mmm-yyyy"))</f>
        <v/>
      </c>
      <c r="I2293" s="47" t="str">
        <f aca="false">IF(G2293="","",G2293+H2293)</f>
        <v/>
      </c>
    </row>
    <row r="2294" customFormat="false" ht="15" hidden="false" customHeight="false" outlineLevel="0" collapsed="false">
      <c r="C2294" s="41" t="str">
        <f aca="false">IF(A2294="","",TEXT(A2294,"mmm-yyyy"))</f>
        <v/>
      </c>
      <c r="I2294" s="47" t="str">
        <f aca="false">IF(G2294="","",G2294+H2294)</f>
        <v/>
      </c>
    </row>
    <row r="2295" customFormat="false" ht="15" hidden="false" customHeight="false" outlineLevel="0" collapsed="false">
      <c r="C2295" s="41" t="str">
        <f aca="false">IF(A2295="","",TEXT(A2295,"mmm-yyyy"))</f>
        <v/>
      </c>
      <c r="I2295" s="47" t="str">
        <f aca="false">IF(G2295="","",G2295+H2295)</f>
        <v/>
      </c>
    </row>
    <row r="2296" customFormat="false" ht="15" hidden="false" customHeight="false" outlineLevel="0" collapsed="false">
      <c r="C2296" s="41" t="str">
        <f aca="false">IF(A2296="","",TEXT(A2296,"mmm-yyyy"))</f>
        <v/>
      </c>
      <c r="I2296" s="47" t="str">
        <f aca="false">IF(G2296="","",G2296+H2296)</f>
        <v/>
      </c>
    </row>
    <row r="2297" customFormat="false" ht="15" hidden="false" customHeight="false" outlineLevel="0" collapsed="false">
      <c r="C2297" s="41" t="str">
        <f aca="false">IF(A2297="","",TEXT(A2297,"mmm-yyyy"))</f>
        <v/>
      </c>
      <c r="I2297" s="47" t="str">
        <f aca="false">IF(G2297="","",G2297+H2297)</f>
        <v/>
      </c>
    </row>
    <row r="2298" customFormat="false" ht="15" hidden="false" customHeight="false" outlineLevel="0" collapsed="false">
      <c r="C2298" s="41" t="str">
        <f aca="false">IF(A2298="","",TEXT(A2298,"mmm-yyyy"))</f>
        <v/>
      </c>
      <c r="I2298" s="47" t="str">
        <f aca="false">IF(G2298="","",G2298+H2298)</f>
        <v/>
      </c>
    </row>
    <row r="2299" customFormat="false" ht="15" hidden="false" customHeight="false" outlineLevel="0" collapsed="false">
      <c r="C2299" s="41" t="str">
        <f aca="false">IF(A2299="","",TEXT(A2299,"mmm-yyyy"))</f>
        <v/>
      </c>
      <c r="I2299" s="47" t="str">
        <f aca="false">IF(G2299="","",G2299+H2299)</f>
        <v/>
      </c>
    </row>
    <row r="2300" customFormat="false" ht="15" hidden="false" customHeight="false" outlineLevel="0" collapsed="false">
      <c r="C2300" s="41" t="str">
        <f aca="false">IF(A2300="","",TEXT(A2300,"mmm-yyyy"))</f>
        <v/>
      </c>
      <c r="I2300" s="47" t="str">
        <f aca="false">IF(G2300="","",G2300+H2300)</f>
        <v/>
      </c>
    </row>
    <row r="2301" customFormat="false" ht="15" hidden="false" customHeight="false" outlineLevel="0" collapsed="false">
      <c r="C2301" s="41" t="str">
        <f aca="false">IF(A2301="","",TEXT(A2301,"mmm-yyyy"))</f>
        <v/>
      </c>
      <c r="I2301" s="47" t="str">
        <f aca="false">IF(G2301="","",G2301+H2301)</f>
        <v/>
      </c>
    </row>
    <row r="2302" customFormat="false" ht="15" hidden="false" customHeight="false" outlineLevel="0" collapsed="false">
      <c r="C2302" s="41" t="str">
        <f aca="false">IF(A2302="","",TEXT(A2302,"mmm-yyyy"))</f>
        <v/>
      </c>
      <c r="I2302" s="47" t="str">
        <f aca="false">IF(G2302="","",G2302+H2302)</f>
        <v/>
      </c>
    </row>
    <row r="2303" customFormat="false" ht="15" hidden="false" customHeight="false" outlineLevel="0" collapsed="false">
      <c r="C2303" s="41" t="str">
        <f aca="false">IF(A2303="","",TEXT(A2303,"mmm-yyyy"))</f>
        <v/>
      </c>
      <c r="I2303" s="47" t="str">
        <f aca="false">IF(G2303="","",G2303+H2303)</f>
        <v/>
      </c>
    </row>
    <row r="2304" customFormat="false" ht="15" hidden="false" customHeight="false" outlineLevel="0" collapsed="false">
      <c r="C2304" s="41" t="str">
        <f aca="false">IF(A2304="","",TEXT(A2304,"mmm-yyyy"))</f>
        <v/>
      </c>
      <c r="I2304" s="47" t="str">
        <f aca="false">IF(G2304="","",G2304+H2304)</f>
        <v/>
      </c>
    </row>
    <row r="2305" customFormat="false" ht="15" hidden="false" customHeight="false" outlineLevel="0" collapsed="false">
      <c r="C2305" s="41" t="str">
        <f aca="false">IF(A2305="","",TEXT(A2305,"mmm-yyyy"))</f>
        <v/>
      </c>
      <c r="I2305" s="47" t="str">
        <f aca="false">IF(G2305="","",G2305+H2305)</f>
        <v/>
      </c>
    </row>
    <row r="2306" customFormat="false" ht="15" hidden="false" customHeight="false" outlineLevel="0" collapsed="false">
      <c r="C2306" s="41" t="str">
        <f aca="false">IF(A2306="","",TEXT(A2306,"mmm-yyyy"))</f>
        <v/>
      </c>
      <c r="I2306" s="47" t="str">
        <f aca="false">IF(G2306="","",G2306+H2306)</f>
        <v/>
      </c>
    </row>
    <row r="2307" customFormat="false" ht="15" hidden="false" customHeight="false" outlineLevel="0" collapsed="false">
      <c r="C2307" s="41" t="str">
        <f aca="false">IF(A2307="","",TEXT(A2307,"mmm-yyyy"))</f>
        <v/>
      </c>
      <c r="I2307" s="47" t="str">
        <f aca="false">IF(G2307="","",G2307+H2307)</f>
        <v/>
      </c>
    </row>
    <row r="2308" customFormat="false" ht="15" hidden="false" customHeight="false" outlineLevel="0" collapsed="false">
      <c r="C2308" s="41" t="str">
        <f aca="false">IF(A2308="","",TEXT(A2308,"mmm-yyyy"))</f>
        <v/>
      </c>
      <c r="I2308" s="47" t="str">
        <f aca="false">IF(G2308="","",G2308+H2308)</f>
        <v/>
      </c>
    </row>
    <row r="2309" customFormat="false" ht="15" hidden="false" customHeight="false" outlineLevel="0" collapsed="false">
      <c r="C2309" s="41" t="str">
        <f aca="false">IF(A2309="","",TEXT(A2309,"mmm-yyyy"))</f>
        <v/>
      </c>
      <c r="I2309" s="47" t="str">
        <f aca="false">IF(G2309="","",G2309+H2309)</f>
        <v/>
      </c>
    </row>
    <row r="2310" customFormat="false" ht="15" hidden="false" customHeight="false" outlineLevel="0" collapsed="false">
      <c r="C2310" s="41" t="str">
        <f aca="false">IF(A2310="","",TEXT(A2310,"mmm-yyyy"))</f>
        <v/>
      </c>
      <c r="I2310" s="47" t="str">
        <f aca="false">IF(G2310="","",G2310+H2310)</f>
        <v/>
      </c>
    </row>
    <row r="2311" customFormat="false" ht="15" hidden="false" customHeight="false" outlineLevel="0" collapsed="false">
      <c r="C2311" s="41" t="str">
        <f aca="false">IF(A2311="","",TEXT(A2311,"mmm-yyyy"))</f>
        <v/>
      </c>
      <c r="I2311" s="47" t="str">
        <f aca="false">IF(G2311="","",G2311+H2311)</f>
        <v/>
      </c>
    </row>
    <row r="2312" customFormat="false" ht="15" hidden="false" customHeight="false" outlineLevel="0" collapsed="false">
      <c r="C2312" s="41" t="str">
        <f aca="false">IF(A2312="","",TEXT(A2312,"mmm-yyyy"))</f>
        <v/>
      </c>
      <c r="I2312" s="47" t="str">
        <f aca="false">IF(G2312="","",G2312+H2312)</f>
        <v/>
      </c>
    </row>
    <row r="2313" customFormat="false" ht="15" hidden="false" customHeight="false" outlineLevel="0" collapsed="false">
      <c r="C2313" s="41" t="str">
        <f aca="false">IF(A2313="","",TEXT(A2313,"mmm-yyyy"))</f>
        <v/>
      </c>
      <c r="I2313" s="47" t="str">
        <f aca="false">IF(G2313="","",G2313+H2313)</f>
        <v/>
      </c>
    </row>
    <row r="2314" customFormat="false" ht="15" hidden="false" customHeight="false" outlineLevel="0" collapsed="false">
      <c r="C2314" s="41" t="str">
        <f aca="false">IF(A2314="","",TEXT(A2314,"mmm-yyyy"))</f>
        <v/>
      </c>
      <c r="I2314" s="47" t="str">
        <f aca="false">IF(G2314="","",G2314+H2314)</f>
        <v/>
      </c>
    </row>
    <row r="2315" customFormat="false" ht="15" hidden="false" customHeight="false" outlineLevel="0" collapsed="false">
      <c r="C2315" s="41" t="str">
        <f aca="false">IF(A2315="","",TEXT(A2315,"mmm-yyyy"))</f>
        <v/>
      </c>
      <c r="I2315" s="47" t="str">
        <f aca="false">IF(G2315="","",G2315+H2315)</f>
        <v/>
      </c>
    </row>
    <row r="2316" customFormat="false" ht="15" hidden="false" customHeight="false" outlineLevel="0" collapsed="false">
      <c r="C2316" s="41" t="str">
        <f aca="false">IF(A2316="","",TEXT(A2316,"mmm-yyyy"))</f>
        <v/>
      </c>
      <c r="I2316" s="47" t="str">
        <f aca="false">IF(G2316="","",G2316+H2316)</f>
        <v/>
      </c>
    </row>
    <row r="2317" customFormat="false" ht="15" hidden="false" customHeight="false" outlineLevel="0" collapsed="false">
      <c r="C2317" s="41" t="str">
        <f aca="false">IF(A2317="","",TEXT(A2317,"mmm-yyyy"))</f>
        <v/>
      </c>
      <c r="I2317" s="47" t="str">
        <f aca="false">IF(G2317="","",G2317+H2317)</f>
        <v/>
      </c>
    </row>
    <row r="2318" customFormat="false" ht="15" hidden="false" customHeight="false" outlineLevel="0" collapsed="false">
      <c r="C2318" s="41" t="str">
        <f aca="false">IF(A2318="","",TEXT(A2318,"mmm-yyyy"))</f>
        <v/>
      </c>
      <c r="I2318" s="47" t="str">
        <f aca="false">IF(G2318="","",G2318+H2318)</f>
        <v/>
      </c>
    </row>
    <row r="2319" customFormat="false" ht="15" hidden="false" customHeight="false" outlineLevel="0" collapsed="false">
      <c r="C2319" s="41" t="str">
        <f aca="false">IF(A2319="","",TEXT(A2319,"mmm-yyyy"))</f>
        <v/>
      </c>
      <c r="I2319" s="47" t="str">
        <f aca="false">IF(G2319="","",G2319+H2319)</f>
        <v/>
      </c>
    </row>
    <row r="2320" customFormat="false" ht="15" hidden="false" customHeight="false" outlineLevel="0" collapsed="false">
      <c r="C2320" s="41" t="str">
        <f aca="false">IF(A2320="","",TEXT(A2320,"mmm-yyyy"))</f>
        <v/>
      </c>
      <c r="I2320" s="47" t="str">
        <f aca="false">IF(G2320="","",G2320+H2320)</f>
        <v/>
      </c>
    </row>
    <row r="2321" customFormat="false" ht="15" hidden="false" customHeight="false" outlineLevel="0" collapsed="false">
      <c r="C2321" s="41" t="str">
        <f aca="false">IF(A2321="","",TEXT(A2321,"mmm-yyyy"))</f>
        <v/>
      </c>
      <c r="I2321" s="47" t="str">
        <f aca="false">IF(G2321="","",G2321+H2321)</f>
        <v/>
      </c>
    </row>
    <row r="2322" customFormat="false" ht="15" hidden="false" customHeight="false" outlineLevel="0" collapsed="false">
      <c r="C2322" s="41" t="str">
        <f aca="false">IF(A2322="","",TEXT(A2322,"mmm-yyyy"))</f>
        <v/>
      </c>
      <c r="I2322" s="47" t="str">
        <f aca="false">IF(G2322="","",G2322+H2322)</f>
        <v/>
      </c>
    </row>
    <row r="2323" customFormat="false" ht="15" hidden="false" customHeight="false" outlineLevel="0" collapsed="false">
      <c r="C2323" s="41" t="str">
        <f aca="false">IF(A2323="","",TEXT(A2323,"mmm-yyyy"))</f>
        <v/>
      </c>
      <c r="I2323" s="47" t="str">
        <f aca="false">IF(G2323="","",G2323+H2323)</f>
        <v/>
      </c>
    </row>
    <row r="2324" customFormat="false" ht="15" hidden="false" customHeight="false" outlineLevel="0" collapsed="false">
      <c r="C2324" s="41" t="str">
        <f aca="false">IF(A2324="","",TEXT(A2324,"mmm-yyyy"))</f>
        <v/>
      </c>
      <c r="I2324" s="47" t="str">
        <f aca="false">IF(G2324="","",G2324+H2324)</f>
        <v/>
      </c>
    </row>
    <row r="2325" customFormat="false" ht="15" hidden="false" customHeight="false" outlineLevel="0" collapsed="false">
      <c r="C2325" s="41" t="str">
        <f aca="false">IF(A2325="","",TEXT(A2325,"mmm-yyyy"))</f>
        <v/>
      </c>
      <c r="I2325" s="47" t="str">
        <f aca="false">IF(G2325="","",G2325+H2325)</f>
        <v/>
      </c>
    </row>
    <row r="2326" customFormat="false" ht="15" hidden="false" customHeight="false" outlineLevel="0" collapsed="false">
      <c r="C2326" s="41" t="str">
        <f aca="false">IF(A2326="","",TEXT(A2326,"mmm-yyyy"))</f>
        <v/>
      </c>
      <c r="I2326" s="47" t="str">
        <f aca="false">IF(G2326="","",G2326+H2326)</f>
        <v/>
      </c>
    </row>
    <row r="2327" customFormat="false" ht="15" hidden="false" customHeight="false" outlineLevel="0" collapsed="false">
      <c r="C2327" s="41" t="str">
        <f aca="false">IF(A2327="","",TEXT(A2327,"mmm-yyyy"))</f>
        <v/>
      </c>
      <c r="I2327" s="47" t="str">
        <f aca="false">IF(G2327="","",G2327+H2327)</f>
        <v/>
      </c>
    </row>
    <row r="2328" customFormat="false" ht="15" hidden="false" customHeight="false" outlineLevel="0" collapsed="false">
      <c r="C2328" s="41" t="str">
        <f aca="false">IF(A2328="","",TEXT(A2328,"mmm-yyyy"))</f>
        <v/>
      </c>
      <c r="I2328" s="47" t="str">
        <f aca="false">IF(G2328="","",G2328+H2328)</f>
        <v/>
      </c>
    </row>
    <row r="2329" customFormat="false" ht="15" hidden="false" customHeight="false" outlineLevel="0" collapsed="false">
      <c r="C2329" s="41" t="str">
        <f aca="false">IF(A2329="","",TEXT(A2329,"mmm-yyyy"))</f>
        <v/>
      </c>
      <c r="I2329" s="47" t="str">
        <f aca="false">IF(G2329="","",G2329+H2329)</f>
        <v/>
      </c>
    </row>
    <row r="2330" customFormat="false" ht="15" hidden="false" customHeight="false" outlineLevel="0" collapsed="false">
      <c r="C2330" s="41" t="str">
        <f aca="false">IF(A2330="","",TEXT(A2330,"mmm-yyyy"))</f>
        <v/>
      </c>
      <c r="I2330" s="47" t="str">
        <f aca="false">IF(G2330="","",G2330+H2330)</f>
        <v/>
      </c>
    </row>
    <row r="2331" customFormat="false" ht="15" hidden="false" customHeight="false" outlineLevel="0" collapsed="false">
      <c r="C2331" s="41" t="str">
        <f aca="false">IF(A2331="","",TEXT(A2331,"mmm-yyyy"))</f>
        <v/>
      </c>
      <c r="I2331" s="47" t="str">
        <f aca="false">IF(G2331="","",G2331+H2331)</f>
        <v/>
      </c>
    </row>
    <row r="2332" customFormat="false" ht="15" hidden="false" customHeight="false" outlineLevel="0" collapsed="false">
      <c r="C2332" s="41" t="str">
        <f aca="false">IF(A2332="","",TEXT(A2332,"mmm-yyyy"))</f>
        <v/>
      </c>
      <c r="I2332" s="47" t="str">
        <f aca="false">IF(G2332="","",G2332+H2332)</f>
        <v/>
      </c>
    </row>
    <row r="2333" customFormat="false" ht="15" hidden="false" customHeight="false" outlineLevel="0" collapsed="false">
      <c r="C2333" s="41" t="str">
        <f aca="false">IF(A2333="","",TEXT(A2333,"mmm-yyyy"))</f>
        <v/>
      </c>
      <c r="I2333" s="47" t="str">
        <f aca="false">IF(G2333="","",G2333+H2333)</f>
        <v/>
      </c>
    </row>
    <row r="2334" customFormat="false" ht="15" hidden="false" customHeight="false" outlineLevel="0" collapsed="false">
      <c r="C2334" s="41" t="str">
        <f aca="false">IF(A2334="","",TEXT(A2334,"mmm-yyyy"))</f>
        <v/>
      </c>
      <c r="I2334" s="47" t="str">
        <f aca="false">IF(G2334="","",G2334+H2334)</f>
        <v/>
      </c>
    </row>
    <row r="2335" customFormat="false" ht="15" hidden="false" customHeight="false" outlineLevel="0" collapsed="false">
      <c r="C2335" s="41" t="str">
        <f aca="false">IF(A2335="","",TEXT(A2335,"mmm-yyyy"))</f>
        <v/>
      </c>
      <c r="I2335" s="47" t="str">
        <f aca="false">IF(G2335="","",G2335+H2335)</f>
        <v/>
      </c>
    </row>
    <row r="2336" customFormat="false" ht="15" hidden="false" customHeight="false" outlineLevel="0" collapsed="false">
      <c r="C2336" s="41" t="str">
        <f aca="false">IF(A2336="","",TEXT(A2336,"mmm-yyyy"))</f>
        <v/>
      </c>
      <c r="I2336" s="47" t="str">
        <f aca="false">IF(G2336="","",G2336+H2336)</f>
        <v/>
      </c>
    </row>
    <row r="2337" customFormat="false" ht="15" hidden="false" customHeight="false" outlineLevel="0" collapsed="false">
      <c r="C2337" s="41" t="str">
        <f aca="false">IF(A2337="","",TEXT(A2337,"mmm-yyyy"))</f>
        <v/>
      </c>
      <c r="I2337" s="47" t="str">
        <f aca="false">IF(G2337="","",G2337+H2337)</f>
        <v/>
      </c>
    </row>
    <row r="2338" customFormat="false" ht="15" hidden="false" customHeight="false" outlineLevel="0" collapsed="false">
      <c r="C2338" s="41" t="str">
        <f aca="false">IF(A2338="","",TEXT(A2338,"mmm-yyyy"))</f>
        <v/>
      </c>
      <c r="I2338" s="47" t="str">
        <f aca="false">IF(G2338="","",G2338+H2338)</f>
        <v/>
      </c>
    </row>
    <row r="2339" customFormat="false" ht="15" hidden="false" customHeight="false" outlineLevel="0" collapsed="false">
      <c r="C2339" s="41" t="str">
        <f aca="false">IF(A2339="","",TEXT(A2339,"mmm-yyyy"))</f>
        <v/>
      </c>
      <c r="I2339" s="47" t="str">
        <f aca="false">IF(G2339="","",G2339+H2339)</f>
        <v/>
      </c>
    </row>
    <row r="2340" customFormat="false" ht="15" hidden="false" customHeight="false" outlineLevel="0" collapsed="false">
      <c r="C2340" s="41" t="str">
        <f aca="false">IF(A2340="","",TEXT(A2340,"mmm-yyyy"))</f>
        <v/>
      </c>
      <c r="I2340" s="47" t="str">
        <f aca="false">IF(G2340="","",G2340+H2340)</f>
        <v/>
      </c>
    </row>
    <row r="2341" customFormat="false" ht="15" hidden="false" customHeight="false" outlineLevel="0" collapsed="false">
      <c r="C2341" s="41" t="str">
        <f aca="false">IF(A2341="","",TEXT(A2341,"mmm-yyyy"))</f>
        <v/>
      </c>
      <c r="I2341" s="47" t="str">
        <f aca="false">IF(G2341="","",G2341+H2341)</f>
        <v/>
      </c>
    </row>
    <row r="2342" customFormat="false" ht="15" hidden="false" customHeight="false" outlineLevel="0" collapsed="false">
      <c r="C2342" s="41" t="str">
        <f aca="false">IF(A2342="","",TEXT(A2342,"mmm-yyyy"))</f>
        <v/>
      </c>
      <c r="I2342" s="47" t="str">
        <f aca="false">IF(G2342="","",G2342+H2342)</f>
        <v/>
      </c>
    </row>
    <row r="2343" customFormat="false" ht="15" hidden="false" customHeight="false" outlineLevel="0" collapsed="false">
      <c r="C2343" s="41" t="str">
        <f aca="false">IF(A2343="","",TEXT(A2343,"mmm-yyyy"))</f>
        <v/>
      </c>
      <c r="I2343" s="47" t="str">
        <f aca="false">IF(G2343="","",G2343+H2343)</f>
        <v/>
      </c>
    </row>
    <row r="2344" customFormat="false" ht="15" hidden="false" customHeight="false" outlineLevel="0" collapsed="false">
      <c r="C2344" s="41" t="str">
        <f aca="false">IF(A2344="","",TEXT(A2344,"mmm-yyyy"))</f>
        <v/>
      </c>
      <c r="I2344" s="47" t="str">
        <f aca="false">IF(G2344="","",G2344+H2344)</f>
        <v/>
      </c>
    </row>
    <row r="2345" customFormat="false" ht="15" hidden="false" customHeight="false" outlineLevel="0" collapsed="false">
      <c r="C2345" s="41" t="str">
        <f aca="false">IF(A2345="","",TEXT(A2345,"mmm-yyyy"))</f>
        <v/>
      </c>
      <c r="I2345" s="47" t="str">
        <f aca="false">IF(G2345="","",G2345+H2345)</f>
        <v/>
      </c>
    </row>
    <row r="2346" customFormat="false" ht="15" hidden="false" customHeight="false" outlineLevel="0" collapsed="false">
      <c r="C2346" s="41" t="str">
        <f aca="false">IF(A2346="","",TEXT(A2346,"mmm-yyyy"))</f>
        <v/>
      </c>
      <c r="I2346" s="47" t="str">
        <f aca="false">IF(G2346="","",G2346+H2346)</f>
        <v/>
      </c>
    </row>
    <row r="2347" customFormat="false" ht="15" hidden="false" customHeight="false" outlineLevel="0" collapsed="false">
      <c r="C2347" s="41" t="str">
        <f aca="false">IF(A2347="","",TEXT(A2347,"mmm-yyyy"))</f>
        <v/>
      </c>
      <c r="I2347" s="47" t="str">
        <f aca="false">IF(G2347="","",G2347+H2347)</f>
        <v/>
      </c>
    </row>
    <row r="2348" customFormat="false" ht="15" hidden="false" customHeight="false" outlineLevel="0" collapsed="false">
      <c r="C2348" s="41" t="str">
        <f aca="false">IF(A2348="","",TEXT(A2348,"mmm-yyyy"))</f>
        <v/>
      </c>
      <c r="I2348" s="47" t="str">
        <f aca="false">IF(G2348="","",G2348+H2348)</f>
        <v/>
      </c>
    </row>
    <row r="2349" customFormat="false" ht="15" hidden="false" customHeight="false" outlineLevel="0" collapsed="false">
      <c r="C2349" s="41" t="str">
        <f aca="false">IF(A2349="","",TEXT(A2349,"mmm-yyyy"))</f>
        <v/>
      </c>
      <c r="I2349" s="47" t="str">
        <f aca="false">IF(G2349="","",G2349+H2349)</f>
        <v/>
      </c>
    </row>
    <row r="2350" customFormat="false" ht="15" hidden="false" customHeight="false" outlineLevel="0" collapsed="false">
      <c r="C2350" s="41" t="str">
        <f aca="false">IF(A2350="","",TEXT(A2350,"mmm-yyyy"))</f>
        <v/>
      </c>
      <c r="I2350" s="47" t="str">
        <f aca="false">IF(G2350="","",G2350+H2350)</f>
        <v/>
      </c>
    </row>
    <row r="2351" customFormat="false" ht="15" hidden="false" customHeight="false" outlineLevel="0" collapsed="false">
      <c r="C2351" s="41" t="str">
        <f aca="false">IF(A2351="","",TEXT(A2351,"mmm-yyyy"))</f>
        <v/>
      </c>
      <c r="I2351" s="47" t="str">
        <f aca="false">IF(G2351="","",G2351+H2351)</f>
        <v/>
      </c>
    </row>
    <row r="2352" customFormat="false" ht="15" hidden="false" customHeight="false" outlineLevel="0" collapsed="false">
      <c r="C2352" s="41" t="str">
        <f aca="false">IF(A2352="","",TEXT(A2352,"mmm-yyyy"))</f>
        <v/>
      </c>
      <c r="I2352" s="47" t="str">
        <f aca="false">IF(G2352="","",G2352+H2352)</f>
        <v/>
      </c>
    </row>
    <row r="2353" customFormat="false" ht="15" hidden="false" customHeight="false" outlineLevel="0" collapsed="false">
      <c r="C2353" s="41" t="str">
        <f aca="false">IF(A2353="","",TEXT(A2353,"mmm-yyyy"))</f>
        <v/>
      </c>
      <c r="I2353" s="47" t="str">
        <f aca="false">IF(G2353="","",G2353+H2353)</f>
        <v/>
      </c>
    </row>
    <row r="2354" customFormat="false" ht="15" hidden="false" customHeight="false" outlineLevel="0" collapsed="false">
      <c r="C2354" s="41" t="str">
        <f aca="false">IF(A2354="","",TEXT(A2354,"mmm-yyyy"))</f>
        <v/>
      </c>
      <c r="I2354" s="47" t="str">
        <f aca="false">IF(G2354="","",G2354+H2354)</f>
        <v/>
      </c>
    </row>
    <row r="2355" customFormat="false" ht="15" hidden="false" customHeight="false" outlineLevel="0" collapsed="false">
      <c r="C2355" s="41" t="str">
        <f aca="false">IF(A2355="","",TEXT(A2355,"mmm-yyyy"))</f>
        <v/>
      </c>
      <c r="I2355" s="47" t="str">
        <f aca="false">IF(G2355="","",G2355+H2355)</f>
        <v/>
      </c>
    </row>
    <row r="2356" customFormat="false" ht="15" hidden="false" customHeight="false" outlineLevel="0" collapsed="false">
      <c r="C2356" s="41" t="str">
        <f aca="false">IF(A2356="","",TEXT(A2356,"mmm-yyyy"))</f>
        <v/>
      </c>
      <c r="I2356" s="47" t="str">
        <f aca="false">IF(G2356="","",G2356+H2356)</f>
        <v/>
      </c>
    </row>
    <row r="2357" customFormat="false" ht="15" hidden="false" customHeight="false" outlineLevel="0" collapsed="false">
      <c r="C2357" s="41" t="str">
        <f aca="false">IF(A2357="","",TEXT(A2357,"mmm-yyyy"))</f>
        <v/>
      </c>
      <c r="I2357" s="47" t="str">
        <f aca="false">IF(G2357="","",G2357+H2357)</f>
        <v/>
      </c>
    </row>
    <row r="2358" customFormat="false" ht="15" hidden="false" customHeight="false" outlineLevel="0" collapsed="false">
      <c r="C2358" s="41" t="str">
        <f aca="false">IF(A2358="","",TEXT(A2358,"mmm-yyyy"))</f>
        <v/>
      </c>
      <c r="I2358" s="47" t="str">
        <f aca="false">IF(G2358="","",G2358+H2358)</f>
        <v/>
      </c>
    </row>
    <row r="2359" customFormat="false" ht="15" hidden="false" customHeight="false" outlineLevel="0" collapsed="false">
      <c r="C2359" s="41" t="str">
        <f aca="false">IF(A2359="","",TEXT(A2359,"mmm-yyyy"))</f>
        <v/>
      </c>
      <c r="I2359" s="47" t="str">
        <f aca="false">IF(G2359="","",G2359+H2359)</f>
        <v/>
      </c>
    </row>
    <row r="2360" customFormat="false" ht="15" hidden="false" customHeight="false" outlineLevel="0" collapsed="false">
      <c r="C2360" s="41" t="str">
        <f aca="false">IF(A2360="","",TEXT(A2360,"mmm-yyyy"))</f>
        <v/>
      </c>
      <c r="I2360" s="47" t="str">
        <f aca="false">IF(G2360="","",G2360+H2360)</f>
        <v/>
      </c>
    </row>
    <row r="2361" customFormat="false" ht="15" hidden="false" customHeight="false" outlineLevel="0" collapsed="false">
      <c r="C2361" s="41" t="str">
        <f aca="false">IF(A2361="","",TEXT(A2361,"mmm-yyyy"))</f>
        <v/>
      </c>
      <c r="I2361" s="47" t="str">
        <f aca="false">IF(G2361="","",G2361+H2361)</f>
        <v/>
      </c>
    </row>
    <row r="2362" customFormat="false" ht="15" hidden="false" customHeight="false" outlineLevel="0" collapsed="false">
      <c r="C2362" s="41" t="str">
        <f aca="false">IF(A2362="","",TEXT(A2362,"mmm-yyyy"))</f>
        <v/>
      </c>
      <c r="I2362" s="47" t="str">
        <f aca="false">IF(G2362="","",G2362+H2362)</f>
        <v/>
      </c>
    </row>
    <row r="2363" customFormat="false" ht="15" hidden="false" customHeight="false" outlineLevel="0" collapsed="false">
      <c r="C2363" s="41" t="str">
        <f aca="false">IF(A2363="","",TEXT(A2363,"mmm-yyyy"))</f>
        <v/>
      </c>
      <c r="I2363" s="47" t="str">
        <f aca="false">IF(G2363="","",G2363+H2363)</f>
        <v/>
      </c>
    </row>
    <row r="2364" customFormat="false" ht="15" hidden="false" customHeight="false" outlineLevel="0" collapsed="false">
      <c r="C2364" s="41" t="str">
        <f aca="false">IF(A2364="","",TEXT(A2364,"mmm-yyyy"))</f>
        <v/>
      </c>
      <c r="I2364" s="47" t="str">
        <f aca="false">IF(G2364="","",G2364+H2364)</f>
        <v/>
      </c>
    </row>
    <row r="2365" customFormat="false" ht="15" hidden="false" customHeight="false" outlineLevel="0" collapsed="false">
      <c r="C2365" s="41" t="str">
        <f aca="false">IF(A2365="","",TEXT(A2365,"mmm-yyyy"))</f>
        <v/>
      </c>
      <c r="I2365" s="47" t="str">
        <f aca="false">IF(G2365="","",G2365+H2365)</f>
        <v/>
      </c>
    </row>
    <row r="2366" customFormat="false" ht="15" hidden="false" customHeight="false" outlineLevel="0" collapsed="false">
      <c r="C2366" s="41" t="str">
        <f aca="false">IF(A2366="","",TEXT(A2366,"mmm-yyyy"))</f>
        <v/>
      </c>
      <c r="I2366" s="47" t="str">
        <f aca="false">IF(G2366="","",G2366+H2366)</f>
        <v/>
      </c>
    </row>
    <row r="2367" customFormat="false" ht="15" hidden="false" customHeight="false" outlineLevel="0" collapsed="false">
      <c r="C2367" s="41" t="str">
        <f aca="false">IF(A2367="","",TEXT(A2367,"mmm-yyyy"))</f>
        <v/>
      </c>
      <c r="I2367" s="47" t="str">
        <f aca="false">IF(G2367="","",G2367+H2367)</f>
        <v/>
      </c>
    </row>
    <row r="2368" customFormat="false" ht="15" hidden="false" customHeight="false" outlineLevel="0" collapsed="false">
      <c r="C2368" s="41" t="str">
        <f aca="false">IF(A2368="","",TEXT(A2368,"mmm-yyyy"))</f>
        <v/>
      </c>
      <c r="I2368" s="47" t="str">
        <f aca="false">IF(G2368="","",G2368+H2368)</f>
        <v/>
      </c>
    </row>
    <row r="2369" customFormat="false" ht="15" hidden="false" customHeight="false" outlineLevel="0" collapsed="false">
      <c r="C2369" s="41" t="str">
        <f aca="false">IF(A2369="","",TEXT(A2369,"mmm-yyyy"))</f>
        <v/>
      </c>
      <c r="I2369" s="47" t="str">
        <f aca="false">IF(G2369="","",G2369+H2369)</f>
        <v/>
      </c>
    </row>
    <row r="2370" customFormat="false" ht="15" hidden="false" customHeight="false" outlineLevel="0" collapsed="false">
      <c r="C2370" s="41" t="str">
        <f aca="false">IF(A2370="","",TEXT(A2370,"mmm-yyyy"))</f>
        <v/>
      </c>
      <c r="I2370" s="47" t="str">
        <f aca="false">IF(G2370="","",G2370+H2370)</f>
        <v/>
      </c>
    </row>
    <row r="2371" customFormat="false" ht="15" hidden="false" customHeight="false" outlineLevel="0" collapsed="false">
      <c r="C2371" s="41" t="str">
        <f aca="false">IF(A2371="","",TEXT(A2371,"mmm-yyyy"))</f>
        <v/>
      </c>
      <c r="I2371" s="47" t="str">
        <f aca="false">IF(G2371="","",G2371+H2371)</f>
        <v/>
      </c>
    </row>
    <row r="2372" customFormat="false" ht="15" hidden="false" customHeight="false" outlineLevel="0" collapsed="false">
      <c r="C2372" s="41" t="str">
        <f aca="false">IF(A2372="","",TEXT(A2372,"mmm-yyyy"))</f>
        <v/>
      </c>
      <c r="I2372" s="47" t="str">
        <f aca="false">IF(G2372="","",G2372+H2372)</f>
        <v/>
      </c>
    </row>
    <row r="2373" customFormat="false" ht="15" hidden="false" customHeight="false" outlineLevel="0" collapsed="false">
      <c r="C2373" s="41" t="str">
        <f aca="false">IF(A2373="","",TEXT(A2373,"mmm-yyyy"))</f>
        <v/>
      </c>
      <c r="I2373" s="47" t="str">
        <f aca="false">IF(G2373="","",G2373+H2373)</f>
        <v/>
      </c>
    </row>
    <row r="2374" customFormat="false" ht="15" hidden="false" customHeight="false" outlineLevel="0" collapsed="false">
      <c r="C2374" s="41" t="str">
        <f aca="false">IF(A2374="","",TEXT(A2374,"mmm-yyyy"))</f>
        <v/>
      </c>
      <c r="I2374" s="47" t="str">
        <f aca="false">IF(G2374="","",G2374+H2374)</f>
        <v/>
      </c>
    </row>
    <row r="2375" customFormat="false" ht="15" hidden="false" customHeight="false" outlineLevel="0" collapsed="false">
      <c r="C2375" s="41" t="str">
        <f aca="false">IF(A2375="","",TEXT(A2375,"mmm-yyyy"))</f>
        <v/>
      </c>
      <c r="I2375" s="47" t="str">
        <f aca="false">IF(G2375="","",G2375+H2375)</f>
        <v/>
      </c>
    </row>
    <row r="2376" customFormat="false" ht="15" hidden="false" customHeight="false" outlineLevel="0" collapsed="false">
      <c r="C2376" s="41" t="str">
        <f aca="false">IF(A2376="","",TEXT(A2376,"mmm-yyyy"))</f>
        <v/>
      </c>
      <c r="I2376" s="47" t="str">
        <f aca="false">IF(G2376="","",G2376+H2376)</f>
        <v/>
      </c>
    </row>
    <row r="2377" customFormat="false" ht="15" hidden="false" customHeight="false" outlineLevel="0" collapsed="false">
      <c r="C2377" s="41" t="str">
        <f aca="false">IF(A2377="","",TEXT(A2377,"mmm-yyyy"))</f>
        <v/>
      </c>
      <c r="I2377" s="47" t="str">
        <f aca="false">IF(G2377="","",G2377+H2377)</f>
        <v/>
      </c>
    </row>
    <row r="2378" customFormat="false" ht="15" hidden="false" customHeight="false" outlineLevel="0" collapsed="false">
      <c r="C2378" s="41" t="str">
        <f aca="false">IF(A2378="","",TEXT(A2378,"mmm-yyyy"))</f>
        <v/>
      </c>
      <c r="I2378" s="47" t="str">
        <f aca="false">IF(G2378="","",G2378+H2378)</f>
        <v/>
      </c>
    </row>
    <row r="2379" customFormat="false" ht="15" hidden="false" customHeight="false" outlineLevel="0" collapsed="false">
      <c r="C2379" s="41" t="str">
        <f aca="false">IF(A2379="","",TEXT(A2379,"mmm-yyyy"))</f>
        <v/>
      </c>
      <c r="I2379" s="47" t="str">
        <f aca="false">IF(G2379="","",G2379+H2379)</f>
        <v/>
      </c>
    </row>
    <row r="2380" customFormat="false" ht="15" hidden="false" customHeight="false" outlineLevel="0" collapsed="false">
      <c r="C2380" s="41" t="str">
        <f aca="false">IF(A2380="","",TEXT(A2380,"mmm-yyyy"))</f>
        <v/>
      </c>
      <c r="I2380" s="47" t="str">
        <f aca="false">IF(G2380="","",G2380+H2380)</f>
        <v/>
      </c>
    </row>
    <row r="2381" customFormat="false" ht="15" hidden="false" customHeight="false" outlineLevel="0" collapsed="false">
      <c r="C2381" s="41" t="str">
        <f aca="false">IF(A2381="","",TEXT(A2381,"mmm-yyyy"))</f>
        <v/>
      </c>
      <c r="I2381" s="47" t="str">
        <f aca="false">IF(G2381="","",G2381+H2381)</f>
        <v/>
      </c>
    </row>
    <row r="2382" customFormat="false" ht="15" hidden="false" customHeight="false" outlineLevel="0" collapsed="false">
      <c r="C2382" s="41" t="str">
        <f aca="false">IF(A2382="","",TEXT(A2382,"mmm-yyyy"))</f>
        <v/>
      </c>
      <c r="I2382" s="47" t="str">
        <f aca="false">IF(G2382="","",G2382+H2382)</f>
        <v/>
      </c>
    </row>
    <row r="2383" customFormat="false" ht="15" hidden="false" customHeight="false" outlineLevel="0" collapsed="false">
      <c r="C2383" s="41" t="str">
        <f aca="false">IF(A2383="","",TEXT(A2383,"mmm-yyyy"))</f>
        <v/>
      </c>
      <c r="I2383" s="47" t="str">
        <f aca="false">IF(G2383="","",G2383+H2383)</f>
        <v/>
      </c>
    </row>
    <row r="2384" customFormat="false" ht="15" hidden="false" customHeight="false" outlineLevel="0" collapsed="false">
      <c r="C2384" s="41" t="str">
        <f aca="false">IF(A2384="","",TEXT(A2384,"mmm-yyyy"))</f>
        <v/>
      </c>
      <c r="I2384" s="47" t="str">
        <f aca="false">IF(G2384="","",G2384+H2384)</f>
        <v/>
      </c>
    </row>
    <row r="2385" customFormat="false" ht="15" hidden="false" customHeight="false" outlineLevel="0" collapsed="false">
      <c r="C2385" s="41" t="str">
        <f aca="false">IF(A2385="","",TEXT(A2385,"mmm-yyyy"))</f>
        <v/>
      </c>
      <c r="I2385" s="47" t="str">
        <f aca="false">IF(G2385="","",G2385+H2385)</f>
        <v/>
      </c>
    </row>
    <row r="2386" customFormat="false" ht="15" hidden="false" customHeight="false" outlineLevel="0" collapsed="false">
      <c r="C2386" s="41" t="str">
        <f aca="false">IF(A2386="","",TEXT(A2386,"mmm-yyyy"))</f>
        <v/>
      </c>
      <c r="I2386" s="47" t="str">
        <f aca="false">IF(G2386="","",G2386+H2386)</f>
        <v/>
      </c>
    </row>
    <row r="2387" customFormat="false" ht="15" hidden="false" customHeight="false" outlineLevel="0" collapsed="false">
      <c r="C2387" s="41" t="str">
        <f aca="false">IF(A2387="","",TEXT(A2387,"mmm-yyyy"))</f>
        <v/>
      </c>
      <c r="I2387" s="47" t="str">
        <f aca="false">IF(G2387="","",G2387+H2387)</f>
        <v/>
      </c>
    </row>
    <row r="2388" customFormat="false" ht="15" hidden="false" customHeight="false" outlineLevel="0" collapsed="false">
      <c r="C2388" s="41" t="str">
        <f aca="false">IF(A2388="","",TEXT(A2388,"mmm-yyyy"))</f>
        <v/>
      </c>
      <c r="I2388" s="47" t="str">
        <f aca="false">IF(G2388="","",G2388+H2388)</f>
        <v/>
      </c>
    </row>
    <row r="2389" customFormat="false" ht="15" hidden="false" customHeight="false" outlineLevel="0" collapsed="false">
      <c r="C2389" s="41" t="str">
        <f aca="false">IF(A2389="","",TEXT(A2389,"mmm-yyyy"))</f>
        <v/>
      </c>
      <c r="I2389" s="47" t="str">
        <f aca="false">IF(G2389="","",G2389+H2389)</f>
        <v/>
      </c>
    </row>
    <row r="2390" customFormat="false" ht="15" hidden="false" customHeight="false" outlineLevel="0" collapsed="false">
      <c r="C2390" s="41" t="str">
        <f aca="false">IF(A2390="","",TEXT(A2390,"mmm-yyyy"))</f>
        <v/>
      </c>
      <c r="I2390" s="47" t="str">
        <f aca="false">IF(G2390="","",G2390+H2390)</f>
        <v/>
      </c>
    </row>
    <row r="2391" customFormat="false" ht="15" hidden="false" customHeight="false" outlineLevel="0" collapsed="false">
      <c r="C2391" s="41" t="str">
        <f aca="false">IF(A2391="","",TEXT(A2391,"mmm-yyyy"))</f>
        <v/>
      </c>
      <c r="I2391" s="47" t="str">
        <f aca="false">IF(G2391="","",G2391+H2391)</f>
        <v/>
      </c>
    </row>
    <row r="2392" customFormat="false" ht="15" hidden="false" customHeight="false" outlineLevel="0" collapsed="false">
      <c r="C2392" s="41" t="str">
        <f aca="false">IF(A2392="","",TEXT(A2392,"mmm-yyyy"))</f>
        <v/>
      </c>
      <c r="I2392" s="47" t="str">
        <f aca="false">IF(G2392="","",G2392+H2392)</f>
        <v/>
      </c>
    </row>
    <row r="2393" customFormat="false" ht="15" hidden="false" customHeight="false" outlineLevel="0" collapsed="false">
      <c r="C2393" s="41" t="str">
        <f aca="false">IF(A2393="","",TEXT(A2393,"mmm-yyyy"))</f>
        <v/>
      </c>
      <c r="I2393" s="47" t="str">
        <f aca="false">IF(G2393="","",G2393+H2393)</f>
        <v/>
      </c>
    </row>
    <row r="2394" customFormat="false" ht="15" hidden="false" customHeight="false" outlineLevel="0" collapsed="false">
      <c r="C2394" s="41" t="str">
        <f aca="false">IF(A2394="","",TEXT(A2394,"mmm-yyyy"))</f>
        <v/>
      </c>
      <c r="I2394" s="47" t="str">
        <f aca="false">IF(G2394="","",G2394+H2394)</f>
        <v/>
      </c>
    </row>
    <row r="2395" customFormat="false" ht="15" hidden="false" customHeight="false" outlineLevel="0" collapsed="false">
      <c r="C2395" s="41" t="str">
        <f aca="false">IF(A2395="","",TEXT(A2395,"mmm-yyyy"))</f>
        <v/>
      </c>
      <c r="I2395" s="47" t="str">
        <f aca="false">IF(G2395="","",G2395+H2395)</f>
        <v/>
      </c>
    </row>
    <row r="2396" customFormat="false" ht="15" hidden="false" customHeight="false" outlineLevel="0" collapsed="false">
      <c r="C2396" s="41" t="str">
        <f aca="false">IF(A2396="","",TEXT(A2396,"mmm-yyyy"))</f>
        <v/>
      </c>
      <c r="I2396" s="47" t="str">
        <f aca="false">IF(G2396="","",G2396+H2396)</f>
        <v/>
      </c>
    </row>
    <row r="2397" customFormat="false" ht="15" hidden="false" customHeight="false" outlineLevel="0" collapsed="false">
      <c r="C2397" s="41" t="str">
        <f aca="false">IF(A2397="","",TEXT(A2397,"mmm-yyyy"))</f>
        <v/>
      </c>
      <c r="I2397" s="47" t="str">
        <f aca="false">IF(G2397="","",G2397+H2397)</f>
        <v/>
      </c>
    </row>
    <row r="2398" customFormat="false" ht="15" hidden="false" customHeight="false" outlineLevel="0" collapsed="false">
      <c r="C2398" s="41" t="str">
        <f aca="false">IF(A2398="","",TEXT(A2398,"mmm-yyyy"))</f>
        <v/>
      </c>
      <c r="I2398" s="47" t="str">
        <f aca="false">IF(G2398="","",G2398+H2398)</f>
        <v/>
      </c>
    </row>
    <row r="2399" customFormat="false" ht="15" hidden="false" customHeight="false" outlineLevel="0" collapsed="false">
      <c r="C2399" s="41" t="str">
        <f aca="false">IF(A2399="","",TEXT(A2399,"mmm-yyyy"))</f>
        <v/>
      </c>
      <c r="I2399" s="47" t="str">
        <f aca="false">IF(G2399="","",G2399+H2399)</f>
        <v/>
      </c>
    </row>
    <row r="2400" customFormat="false" ht="15" hidden="false" customHeight="false" outlineLevel="0" collapsed="false">
      <c r="C2400" s="41" t="str">
        <f aca="false">IF(A2400="","",TEXT(A2400,"mmm-yyyy"))</f>
        <v/>
      </c>
      <c r="I2400" s="47" t="str">
        <f aca="false">IF(G2400="","",G2400+H2400)</f>
        <v/>
      </c>
    </row>
    <row r="2401" customFormat="false" ht="15" hidden="false" customHeight="false" outlineLevel="0" collapsed="false">
      <c r="C2401" s="41" t="str">
        <f aca="false">IF(A2401="","",TEXT(A2401,"mmm-yyyy"))</f>
        <v/>
      </c>
      <c r="I2401" s="47" t="str">
        <f aca="false">IF(G2401="","",G2401+H2401)</f>
        <v/>
      </c>
    </row>
    <row r="2402" customFormat="false" ht="15" hidden="false" customHeight="false" outlineLevel="0" collapsed="false">
      <c r="C2402" s="41" t="str">
        <f aca="false">IF(A2402="","",TEXT(A2402,"mmm-yyyy"))</f>
        <v/>
      </c>
      <c r="I2402" s="47" t="str">
        <f aca="false">IF(G2402="","",G2402+H2402)</f>
        <v/>
      </c>
    </row>
    <row r="2403" customFormat="false" ht="15" hidden="false" customHeight="false" outlineLevel="0" collapsed="false">
      <c r="C2403" s="41" t="str">
        <f aca="false">IF(A2403="","",TEXT(A2403,"mmm-yyyy"))</f>
        <v/>
      </c>
      <c r="I2403" s="47" t="str">
        <f aca="false">IF(G2403="","",G2403+H2403)</f>
        <v/>
      </c>
    </row>
    <row r="2404" customFormat="false" ht="15" hidden="false" customHeight="false" outlineLevel="0" collapsed="false">
      <c r="C2404" s="41" t="str">
        <f aca="false">IF(A2404="","",TEXT(A2404,"mmm-yyyy"))</f>
        <v/>
      </c>
      <c r="I2404" s="47" t="str">
        <f aca="false">IF(G2404="","",G2404+H2404)</f>
        <v/>
      </c>
    </row>
    <row r="2405" customFormat="false" ht="15" hidden="false" customHeight="false" outlineLevel="0" collapsed="false">
      <c r="C2405" s="41" t="str">
        <f aca="false">IF(A2405="","",TEXT(A2405,"mmm-yyyy"))</f>
        <v/>
      </c>
      <c r="I2405" s="47" t="str">
        <f aca="false">IF(G2405="","",G2405+H2405)</f>
        <v/>
      </c>
    </row>
    <row r="2406" customFormat="false" ht="15" hidden="false" customHeight="false" outlineLevel="0" collapsed="false">
      <c r="C2406" s="41" t="str">
        <f aca="false">IF(A2406="","",TEXT(A2406,"mmm-yyyy"))</f>
        <v/>
      </c>
      <c r="I2406" s="47" t="str">
        <f aca="false">IF(G2406="","",G2406+H2406)</f>
        <v/>
      </c>
    </row>
    <row r="2407" customFormat="false" ht="15" hidden="false" customHeight="false" outlineLevel="0" collapsed="false">
      <c r="C2407" s="41" t="str">
        <f aca="false">IF(A2407="","",TEXT(A2407,"mmm-yyyy"))</f>
        <v/>
      </c>
      <c r="I2407" s="47" t="str">
        <f aca="false">IF(G2407="","",G2407+H2407)</f>
        <v/>
      </c>
    </row>
    <row r="2408" customFormat="false" ht="15" hidden="false" customHeight="false" outlineLevel="0" collapsed="false">
      <c r="C2408" s="41" t="str">
        <f aca="false">IF(A2408="","",TEXT(A2408,"mmm-yyyy"))</f>
        <v/>
      </c>
      <c r="I2408" s="47" t="str">
        <f aca="false">IF(G2408="","",G2408+H2408)</f>
        <v/>
      </c>
    </row>
    <row r="2409" customFormat="false" ht="15" hidden="false" customHeight="false" outlineLevel="0" collapsed="false">
      <c r="C2409" s="41" t="str">
        <f aca="false">IF(A2409="","",TEXT(A2409,"mmm-yyyy"))</f>
        <v/>
      </c>
      <c r="I2409" s="47" t="str">
        <f aca="false">IF(G2409="","",G2409+H2409)</f>
        <v/>
      </c>
    </row>
    <row r="2410" customFormat="false" ht="15" hidden="false" customHeight="false" outlineLevel="0" collapsed="false">
      <c r="C2410" s="41" t="str">
        <f aca="false">IF(A2410="","",TEXT(A2410,"mmm-yyyy"))</f>
        <v/>
      </c>
      <c r="I2410" s="47" t="str">
        <f aca="false">IF(G2410="","",G2410+H2410)</f>
        <v/>
      </c>
    </row>
    <row r="2411" customFormat="false" ht="15" hidden="false" customHeight="false" outlineLevel="0" collapsed="false">
      <c r="C2411" s="41" t="str">
        <f aca="false">IF(A2411="","",TEXT(A2411,"mmm-yyyy"))</f>
        <v/>
      </c>
      <c r="I2411" s="47" t="str">
        <f aca="false">IF(G2411="","",G2411+H2411)</f>
        <v/>
      </c>
    </row>
    <row r="2412" customFormat="false" ht="15" hidden="false" customHeight="false" outlineLevel="0" collapsed="false">
      <c r="C2412" s="41" t="str">
        <f aca="false">IF(A2412="","",TEXT(A2412,"mmm-yyyy"))</f>
        <v/>
      </c>
      <c r="I2412" s="47" t="str">
        <f aca="false">IF(G2412="","",G2412+H2412)</f>
        <v/>
      </c>
    </row>
    <row r="2413" customFormat="false" ht="15" hidden="false" customHeight="false" outlineLevel="0" collapsed="false">
      <c r="C2413" s="41" t="str">
        <f aca="false">IF(A2413="","",TEXT(A2413,"mmm-yyyy"))</f>
        <v/>
      </c>
      <c r="I2413" s="47" t="str">
        <f aca="false">IF(G2413="","",G2413+H2413)</f>
        <v/>
      </c>
    </row>
    <row r="2414" customFormat="false" ht="15" hidden="false" customHeight="false" outlineLevel="0" collapsed="false">
      <c r="C2414" s="41" t="str">
        <f aca="false">IF(A2414="","",TEXT(A2414,"mmm-yyyy"))</f>
        <v/>
      </c>
      <c r="I2414" s="47" t="str">
        <f aca="false">IF(G2414="","",G2414+H2414)</f>
        <v/>
      </c>
    </row>
    <row r="2415" customFormat="false" ht="15" hidden="false" customHeight="false" outlineLevel="0" collapsed="false">
      <c r="C2415" s="41" t="str">
        <f aca="false">IF(A2415="","",TEXT(A2415,"mmm-yyyy"))</f>
        <v/>
      </c>
      <c r="I2415" s="47" t="str">
        <f aca="false">IF(G2415="","",G2415+H2415)</f>
        <v/>
      </c>
    </row>
    <row r="2416" customFormat="false" ht="15" hidden="false" customHeight="false" outlineLevel="0" collapsed="false">
      <c r="C2416" s="41" t="str">
        <f aca="false">IF(A2416="","",TEXT(A2416,"mmm-yyyy"))</f>
        <v/>
      </c>
      <c r="I2416" s="47" t="str">
        <f aca="false">IF(G2416="","",G2416+H2416)</f>
        <v/>
      </c>
    </row>
    <row r="2417" customFormat="false" ht="15" hidden="false" customHeight="false" outlineLevel="0" collapsed="false">
      <c r="C2417" s="41" t="str">
        <f aca="false">IF(A2417="","",TEXT(A2417,"mmm-yyyy"))</f>
        <v/>
      </c>
      <c r="I2417" s="47" t="str">
        <f aca="false">IF(G2417="","",G2417+H2417)</f>
        <v/>
      </c>
    </row>
    <row r="2418" customFormat="false" ht="15" hidden="false" customHeight="false" outlineLevel="0" collapsed="false">
      <c r="C2418" s="41" t="str">
        <f aca="false">IF(A2418="","",TEXT(A2418,"mmm-yyyy"))</f>
        <v/>
      </c>
      <c r="I2418" s="47" t="str">
        <f aca="false">IF(G2418="","",G2418+H2418)</f>
        <v/>
      </c>
    </row>
    <row r="2419" customFormat="false" ht="15" hidden="false" customHeight="false" outlineLevel="0" collapsed="false">
      <c r="C2419" s="41" t="str">
        <f aca="false">IF(A2419="","",TEXT(A2419,"mmm-yyyy"))</f>
        <v/>
      </c>
      <c r="I2419" s="47" t="str">
        <f aca="false">IF(G2419="","",G2419+H2419)</f>
        <v/>
      </c>
    </row>
    <row r="2420" customFormat="false" ht="15" hidden="false" customHeight="false" outlineLevel="0" collapsed="false">
      <c r="C2420" s="41" t="str">
        <f aca="false">IF(A2420="","",TEXT(A2420,"mmm-yyyy"))</f>
        <v/>
      </c>
      <c r="I2420" s="47" t="str">
        <f aca="false">IF(G2420="","",G2420+H2420)</f>
        <v/>
      </c>
    </row>
    <row r="2421" customFormat="false" ht="15" hidden="false" customHeight="false" outlineLevel="0" collapsed="false">
      <c r="C2421" s="41" t="str">
        <f aca="false">IF(A2421="","",TEXT(A2421,"mmm-yyyy"))</f>
        <v/>
      </c>
      <c r="I2421" s="47" t="str">
        <f aca="false">IF(G2421="","",G2421+H2421)</f>
        <v/>
      </c>
    </row>
    <row r="2422" customFormat="false" ht="15" hidden="false" customHeight="false" outlineLevel="0" collapsed="false">
      <c r="C2422" s="41" t="str">
        <f aca="false">IF(A2422="","",TEXT(A2422,"mmm-yyyy"))</f>
        <v/>
      </c>
      <c r="I2422" s="47" t="str">
        <f aca="false">IF(G2422="","",G2422+H2422)</f>
        <v/>
      </c>
    </row>
    <row r="2423" customFormat="false" ht="15" hidden="false" customHeight="false" outlineLevel="0" collapsed="false">
      <c r="C2423" s="41" t="str">
        <f aca="false">IF(A2423="","",TEXT(A2423,"mmm-yyyy"))</f>
        <v/>
      </c>
      <c r="I2423" s="47" t="str">
        <f aca="false">IF(G2423="","",G2423+H2423)</f>
        <v/>
      </c>
    </row>
    <row r="2424" customFormat="false" ht="15" hidden="false" customHeight="false" outlineLevel="0" collapsed="false">
      <c r="C2424" s="41" t="str">
        <f aca="false">IF(A2424="","",TEXT(A2424,"mmm-yyyy"))</f>
        <v/>
      </c>
      <c r="I2424" s="47" t="str">
        <f aca="false">IF(G2424="","",G2424+H2424)</f>
        <v/>
      </c>
    </row>
    <row r="2425" customFormat="false" ht="15" hidden="false" customHeight="false" outlineLevel="0" collapsed="false">
      <c r="C2425" s="41" t="str">
        <f aca="false">IF(A2425="","",TEXT(A2425,"mmm-yyyy"))</f>
        <v/>
      </c>
      <c r="I2425" s="47" t="str">
        <f aca="false">IF(G2425="","",G2425+H2425)</f>
        <v/>
      </c>
    </row>
    <row r="2426" customFormat="false" ht="15" hidden="false" customHeight="false" outlineLevel="0" collapsed="false">
      <c r="C2426" s="41" t="str">
        <f aca="false">IF(A2426="","",TEXT(A2426,"mmm-yyyy"))</f>
        <v/>
      </c>
      <c r="I2426" s="47" t="str">
        <f aca="false">IF(G2426="","",G2426+H2426)</f>
        <v/>
      </c>
    </row>
    <row r="2427" customFormat="false" ht="15" hidden="false" customHeight="false" outlineLevel="0" collapsed="false">
      <c r="C2427" s="41" t="str">
        <f aca="false">IF(A2427="","",TEXT(A2427,"mmm-yyyy"))</f>
        <v/>
      </c>
      <c r="I2427" s="47" t="str">
        <f aca="false">IF(G2427="","",G2427+H2427)</f>
        <v/>
      </c>
    </row>
    <row r="2428" customFormat="false" ht="15" hidden="false" customHeight="false" outlineLevel="0" collapsed="false">
      <c r="C2428" s="41" t="str">
        <f aca="false">IF(A2428="","",TEXT(A2428,"mmm-yyyy"))</f>
        <v/>
      </c>
      <c r="I2428" s="47" t="str">
        <f aca="false">IF(G2428="","",G2428+H2428)</f>
        <v/>
      </c>
    </row>
    <row r="2429" customFormat="false" ht="15" hidden="false" customHeight="false" outlineLevel="0" collapsed="false">
      <c r="C2429" s="41" t="str">
        <f aca="false">IF(A2429="","",TEXT(A2429,"mmm-yyyy"))</f>
        <v/>
      </c>
      <c r="I2429" s="47" t="str">
        <f aca="false">IF(G2429="","",G2429+H2429)</f>
        <v/>
      </c>
    </row>
    <row r="2430" customFormat="false" ht="15" hidden="false" customHeight="false" outlineLevel="0" collapsed="false">
      <c r="C2430" s="41" t="str">
        <f aca="false">IF(A2430="","",TEXT(A2430,"mmm-yyyy"))</f>
        <v/>
      </c>
      <c r="I2430" s="47" t="str">
        <f aca="false">IF(G2430="","",G2430+H2430)</f>
        <v/>
      </c>
    </row>
    <row r="2431" customFormat="false" ht="15" hidden="false" customHeight="false" outlineLevel="0" collapsed="false">
      <c r="C2431" s="41" t="str">
        <f aca="false">IF(A2431="","",TEXT(A2431,"mmm-yyyy"))</f>
        <v/>
      </c>
      <c r="I2431" s="47" t="str">
        <f aca="false">IF(G2431="","",G2431+H2431)</f>
        <v/>
      </c>
    </row>
    <row r="2432" customFormat="false" ht="15" hidden="false" customHeight="false" outlineLevel="0" collapsed="false">
      <c r="C2432" s="41" t="str">
        <f aca="false">IF(A2432="","",TEXT(A2432,"mmm-yyyy"))</f>
        <v/>
      </c>
      <c r="I2432" s="47" t="str">
        <f aca="false">IF(G2432="","",G2432+H2432)</f>
        <v/>
      </c>
    </row>
    <row r="2433" customFormat="false" ht="15" hidden="false" customHeight="false" outlineLevel="0" collapsed="false">
      <c r="C2433" s="41" t="str">
        <f aca="false">IF(A2433="","",TEXT(A2433,"mmm-yyyy"))</f>
        <v/>
      </c>
      <c r="I2433" s="47" t="str">
        <f aca="false">IF(G2433="","",G2433+H2433)</f>
        <v/>
      </c>
    </row>
    <row r="2434" customFormat="false" ht="15" hidden="false" customHeight="false" outlineLevel="0" collapsed="false">
      <c r="C2434" s="41" t="str">
        <f aca="false">IF(A2434="","",TEXT(A2434,"mmm-yyyy"))</f>
        <v/>
      </c>
      <c r="I2434" s="47" t="str">
        <f aca="false">IF(G2434="","",G2434+H2434)</f>
        <v/>
      </c>
    </row>
    <row r="2435" customFormat="false" ht="15" hidden="false" customHeight="false" outlineLevel="0" collapsed="false">
      <c r="C2435" s="41" t="str">
        <f aca="false">IF(A2435="","",TEXT(A2435,"mmm-yyyy"))</f>
        <v/>
      </c>
      <c r="I2435" s="47" t="str">
        <f aca="false">IF(G2435="","",G2435+H2435)</f>
        <v/>
      </c>
    </row>
    <row r="2436" customFormat="false" ht="15" hidden="false" customHeight="false" outlineLevel="0" collapsed="false">
      <c r="C2436" s="41" t="str">
        <f aca="false">IF(A2436="","",TEXT(A2436,"mmm-yyyy"))</f>
        <v/>
      </c>
      <c r="I2436" s="47" t="str">
        <f aca="false">IF(G2436="","",G2436+H2436)</f>
        <v/>
      </c>
    </row>
    <row r="2437" customFormat="false" ht="15" hidden="false" customHeight="false" outlineLevel="0" collapsed="false">
      <c r="C2437" s="41" t="str">
        <f aca="false">IF(A2437="","",TEXT(A2437,"mmm-yyyy"))</f>
        <v/>
      </c>
      <c r="I2437" s="47" t="str">
        <f aca="false">IF(G2437="","",G2437+H2437)</f>
        <v/>
      </c>
    </row>
    <row r="2438" customFormat="false" ht="15" hidden="false" customHeight="false" outlineLevel="0" collapsed="false">
      <c r="C2438" s="41" t="str">
        <f aca="false">IF(A2438="","",TEXT(A2438,"mmm-yyyy"))</f>
        <v/>
      </c>
      <c r="I2438" s="47" t="str">
        <f aca="false">IF(G2438="","",G2438+H2438)</f>
        <v/>
      </c>
    </row>
    <row r="2439" customFormat="false" ht="15" hidden="false" customHeight="false" outlineLevel="0" collapsed="false">
      <c r="C2439" s="41" t="str">
        <f aca="false">IF(A2439="","",TEXT(A2439,"mmm-yyyy"))</f>
        <v/>
      </c>
      <c r="I2439" s="47" t="str">
        <f aca="false">IF(G2439="","",G2439+H2439)</f>
        <v/>
      </c>
    </row>
    <row r="2440" customFormat="false" ht="15" hidden="false" customHeight="false" outlineLevel="0" collapsed="false">
      <c r="C2440" s="41" t="str">
        <f aca="false">IF(A2440="","",TEXT(A2440,"mmm-yyyy"))</f>
        <v/>
      </c>
      <c r="I2440" s="47" t="str">
        <f aca="false">IF(G2440="","",G2440+H2440)</f>
        <v/>
      </c>
    </row>
    <row r="2441" customFormat="false" ht="15" hidden="false" customHeight="false" outlineLevel="0" collapsed="false">
      <c r="C2441" s="41" t="str">
        <f aca="false">IF(A2441="","",TEXT(A2441,"mmm-yyyy"))</f>
        <v/>
      </c>
      <c r="I2441" s="47" t="str">
        <f aca="false">IF(G2441="","",G2441+H2441)</f>
        <v/>
      </c>
    </row>
    <row r="2442" customFormat="false" ht="15" hidden="false" customHeight="false" outlineLevel="0" collapsed="false">
      <c r="C2442" s="41" t="str">
        <f aca="false">IF(A2442="","",TEXT(A2442,"mmm-yyyy"))</f>
        <v/>
      </c>
      <c r="I2442" s="47" t="str">
        <f aca="false">IF(G2442="","",G2442+H2442)</f>
        <v/>
      </c>
    </row>
    <row r="2443" customFormat="false" ht="15" hidden="false" customHeight="false" outlineLevel="0" collapsed="false">
      <c r="C2443" s="41" t="str">
        <f aca="false">IF(A2443="","",TEXT(A2443,"mmm-yyyy"))</f>
        <v/>
      </c>
      <c r="I2443" s="47" t="str">
        <f aca="false">IF(G2443="","",G2443+H2443)</f>
        <v/>
      </c>
    </row>
    <row r="2444" customFormat="false" ht="15" hidden="false" customHeight="false" outlineLevel="0" collapsed="false">
      <c r="C2444" s="41" t="str">
        <f aca="false">IF(A2444="","",TEXT(A2444,"mmm-yyyy"))</f>
        <v/>
      </c>
      <c r="I2444" s="47" t="str">
        <f aca="false">IF(G2444="","",G2444+H2444)</f>
        <v/>
      </c>
    </row>
    <row r="2445" customFormat="false" ht="15" hidden="false" customHeight="false" outlineLevel="0" collapsed="false">
      <c r="C2445" s="41" t="str">
        <f aca="false">IF(A2445="","",TEXT(A2445,"mmm-yyyy"))</f>
        <v/>
      </c>
      <c r="I2445" s="47" t="str">
        <f aca="false">IF(G2445="","",G2445+H2445)</f>
        <v/>
      </c>
    </row>
    <row r="2446" customFormat="false" ht="15" hidden="false" customHeight="false" outlineLevel="0" collapsed="false">
      <c r="C2446" s="41" t="str">
        <f aca="false">IF(A2446="","",TEXT(A2446,"mmm-yyyy"))</f>
        <v/>
      </c>
      <c r="I2446" s="47" t="str">
        <f aca="false">IF(G2446="","",G2446+H2446)</f>
        <v/>
      </c>
    </row>
    <row r="2447" customFormat="false" ht="15" hidden="false" customHeight="false" outlineLevel="0" collapsed="false">
      <c r="C2447" s="41" t="str">
        <f aca="false">IF(A2447="","",TEXT(A2447,"mmm-yyyy"))</f>
        <v/>
      </c>
      <c r="I2447" s="47" t="str">
        <f aca="false">IF(G2447="","",G2447+H2447)</f>
        <v/>
      </c>
    </row>
    <row r="2448" customFormat="false" ht="15" hidden="false" customHeight="false" outlineLevel="0" collapsed="false">
      <c r="C2448" s="41" t="str">
        <f aca="false">IF(A2448="","",TEXT(A2448,"mmm-yyyy"))</f>
        <v/>
      </c>
      <c r="I2448" s="47" t="str">
        <f aca="false">IF(G2448="","",G2448+H2448)</f>
        <v/>
      </c>
    </row>
    <row r="2449" customFormat="false" ht="15" hidden="false" customHeight="false" outlineLevel="0" collapsed="false">
      <c r="C2449" s="41" t="str">
        <f aca="false">IF(A2449="","",TEXT(A2449,"mmm-yyyy"))</f>
        <v/>
      </c>
      <c r="I2449" s="47" t="str">
        <f aca="false">IF(G2449="","",G2449+H2449)</f>
        <v/>
      </c>
    </row>
    <row r="2450" customFormat="false" ht="15" hidden="false" customHeight="false" outlineLevel="0" collapsed="false">
      <c r="C2450" s="41" t="str">
        <f aca="false">IF(A2450="","",TEXT(A2450,"mmm-yyyy"))</f>
        <v/>
      </c>
      <c r="I2450" s="47" t="str">
        <f aca="false">IF(G2450="","",G2450+H2450)</f>
        <v/>
      </c>
    </row>
    <row r="2451" customFormat="false" ht="15" hidden="false" customHeight="false" outlineLevel="0" collapsed="false">
      <c r="C2451" s="41" t="str">
        <f aca="false">IF(A2451="","",TEXT(A2451,"mmm-yyyy"))</f>
        <v/>
      </c>
      <c r="I2451" s="47" t="str">
        <f aca="false">IF(G2451="","",G2451+H2451)</f>
        <v/>
      </c>
    </row>
    <row r="2452" customFormat="false" ht="15" hidden="false" customHeight="false" outlineLevel="0" collapsed="false">
      <c r="C2452" s="41" t="str">
        <f aca="false">IF(A2452="","",TEXT(A2452,"mmm-yyyy"))</f>
        <v/>
      </c>
      <c r="I2452" s="47" t="str">
        <f aca="false">IF(G2452="","",G2452+H2452)</f>
        <v/>
      </c>
    </row>
    <row r="2453" customFormat="false" ht="15" hidden="false" customHeight="false" outlineLevel="0" collapsed="false">
      <c r="C2453" s="41" t="str">
        <f aca="false">IF(A2453="","",TEXT(A2453,"mmm-yyyy"))</f>
        <v/>
      </c>
      <c r="I2453" s="47" t="str">
        <f aca="false">IF(G2453="","",G2453+H2453)</f>
        <v/>
      </c>
    </row>
    <row r="2454" customFormat="false" ht="15" hidden="false" customHeight="false" outlineLevel="0" collapsed="false">
      <c r="C2454" s="41" t="str">
        <f aca="false">IF(A2454="","",TEXT(A2454,"mmm-yyyy"))</f>
        <v/>
      </c>
      <c r="I2454" s="47" t="str">
        <f aca="false">IF(G2454="","",G2454+H2454)</f>
        <v/>
      </c>
    </row>
    <row r="2455" customFormat="false" ht="15" hidden="false" customHeight="false" outlineLevel="0" collapsed="false">
      <c r="C2455" s="41" t="str">
        <f aca="false">IF(A2455="","",TEXT(A2455,"mmm-yyyy"))</f>
        <v/>
      </c>
      <c r="I2455" s="47" t="str">
        <f aca="false">IF(G2455="","",G2455+H2455)</f>
        <v/>
      </c>
    </row>
    <row r="2456" customFormat="false" ht="15" hidden="false" customHeight="false" outlineLevel="0" collapsed="false">
      <c r="C2456" s="41" t="str">
        <f aca="false">IF(A2456="","",TEXT(A2456,"mmm-yyyy"))</f>
        <v/>
      </c>
      <c r="I2456" s="47" t="str">
        <f aca="false">IF(G2456="","",G2456+H2456)</f>
        <v/>
      </c>
    </row>
    <row r="2457" customFormat="false" ht="15" hidden="false" customHeight="false" outlineLevel="0" collapsed="false">
      <c r="C2457" s="41" t="str">
        <f aca="false">IF(A2457="","",TEXT(A2457,"mmm-yyyy"))</f>
        <v/>
      </c>
      <c r="I2457" s="47" t="str">
        <f aca="false">IF(G2457="","",G2457+H2457)</f>
        <v/>
      </c>
    </row>
    <row r="2458" customFormat="false" ht="15" hidden="false" customHeight="false" outlineLevel="0" collapsed="false">
      <c r="C2458" s="41" t="str">
        <f aca="false">IF(A2458="","",TEXT(A2458,"mmm-yyyy"))</f>
        <v/>
      </c>
      <c r="I2458" s="47" t="str">
        <f aca="false">IF(G2458="","",G2458+H2458)</f>
        <v/>
      </c>
    </row>
    <row r="2459" customFormat="false" ht="15" hidden="false" customHeight="false" outlineLevel="0" collapsed="false">
      <c r="C2459" s="41" t="str">
        <f aca="false">IF(A2459="","",TEXT(A2459,"mmm-yyyy"))</f>
        <v/>
      </c>
      <c r="I2459" s="47" t="str">
        <f aca="false">IF(G2459="","",G2459+H2459)</f>
        <v/>
      </c>
    </row>
    <row r="2460" customFormat="false" ht="15" hidden="false" customHeight="false" outlineLevel="0" collapsed="false">
      <c r="C2460" s="41" t="str">
        <f aca="false">IF(A2460="","",TEXT(A2460,"mmm-yyyy"))</f>
        <v/>
      </c>
      <c r="I2460" s="47" t="str">
        <f aca="false">IF(G2460="","",G2460+H2460)</f>
        <v/>
      </c>
    </row>
    <row r="2461" customFormat="false" ht="15" hidden="false" customHeight="false" outlineLevel="0" collapsed="false">
      <c r="C2461" s="41" t="str">
        <f aca="false">IF(A2461="","",TEXT(A2461,"mmm-yyyy"))</f>
        <v/>
      </c>
      <c r="I2461" s="47" t="str">
        <f aca="false">IF(G2461="","",G2461+H2461)</f>
        <v/>
      </c>
    </row>
    <row r="2462" customFormat="false" ht="15" hidden="false" customHeight="false" outlineLevel="0" collapsed="false">
      <c r="C2462" s="41" t="str">
        <f aca="false">IF(A2462="","",TEXT(A2462,"mmm-yyyy"))</f>
        <v/>
      </c>
      <c r="I2462" s="47" t="str">
        <f aca="false">IF(G2462="","",G2462+H2462)</f>
        <v/>
      </c>
    </row>
    <row r="2463" customFormat="false" ht="15" hidden="false" customHeight="false" outlineLevel="0" collapsed="false">
      <c r="C2463" s="41" t="str">
        <f aca="false">IF(A2463="","",TEXT(A2463,"mmm-yyyy"))</f>
        <v/>
      </c>
      <c r="I2463" s="47" t="str">
        <f aca="false">IF(G2463="","",G2463+H2463)</f>
        <v/>
      </c>
    </row>
    <row r="2464" customFormat="false" ht="15" hidden="false" customHeight="false" outlineLevel="0" collapsed="false">
      <c r="C2464" s="41" t="str">
        <f aca="false">IF(A2464="","",TEXT(A2464,"mmm-yyyy"))</f>
        <v/>
      </c>
      <c r="I2464" s="47" t="str">
        <f aca="false">IF(G2464="","",G2464+H2464)</f>
        <v/>
      </c>
    </row>
    <row r="2465" customFormat="false" ht="15" hidden="false" customHeight="false" outlineLevel="0" collapsed="false">
      <c r="C2465" s="41" t="str">
        <f aca="false">IF(A2465="","",TEXT(A2465,"mmm-yyyy"))</f>
        <v/>
      </c>
      <c r="I2465" s="47" t="str">
        <f aca="false">IF(G2465="","",G2465+H2465)</f>
        <v/>
      </c>
    </row>
    <row r="2466" customFormat="false" ht="15" hidden="false" customHeight="false" outlineLevel="0" collapsed="false">
      <c r="C2466" s="41" t="str">
        <f aca="false">IF(A2466="","",TEXT(A2466,"mmm-yyyy"))</f>
        <v/>
      </c>
      <c r="I2466" s="47" t="str">
        <f aca="false">IF(G2466="","",G2466+H2466)</f>
        <v/>
      </c>
    </row>
    <row r="2467" customFormat="false" ht="15" hidden="false" customHeight="false" outlineLevel="0" collapsed="false">
      <c r="C2467" s="41" t="str">
        <f aca="false">IF(A2467="","",TEXT(A2467,"mmm-yyyy"))</f>
        <v/>
      </c>
      <c r="I2467" s="47" t="str">
        <f aca="false">IF(G2467="","",G2467+H2467)</f>
        <v/>
      </c>
    </row>
    <row r="2468" customFormat="false" ht="15" hidden="false" customHeight="false" outlineLevel="0" collapsed="false">
      <c r="C2468" s="41" t="str">
        <f aca="false">IF(A2468="","",TEXT(A2468,"mmm-yyyy"))</f>
        <v/>
      </c>
      <c r="I2468" s="47" t="str">
        <f aca="false">IF(G2468="","",G2468+H2468)</f>
        <v/>
      </c>
    </row>
    <row r="2469" customFormat="false" ht="15" hidden="false" customHeight="false" outlineLevel="0" collapsed="false">
      <c r="C2469" s="41" t="str">
        <f aca="false">IF(A2469="","",TEXT(A2469,"mmm-yyyy"))</f>
        <v/>
      </c>
      <c r="I2469" s="47" t="str">
        <f aca="false">IF(G2469="","",G2469+H2469)</f>
        <v/>
      </c>
    </row>
    <row r="2470" customFormat="false" ht="15" hidden="false" customHeight="false" outlineLevel="0" collapsed="false">
      <c r="C2470" s="41" t="str">
        <f aca="false">IF(A2470="","",TEXT(A2470,"mmm-yyyy"))</f>
        <v/>
      </c>
      <c r="I2470" s="47" t="str">
        <f aca="false">IF(G2470="","",G2470+H2470)</f>
        <v/>
      </c>
    </row>
    <row r="2471" customFormat="false" ht="15" hidden="false" customHeight="false" outlineLevel="0" collapsed="false">
      <c r="C2471" s="41" t="str">
        <f aca="false">IF(A2471="","",TEXT(A2471,"mmm-yyyy"))</f>
        <v/>
      </c>
      <c r="I2471" s="47" t="str">
        <f aca="false">IF(G2471="","",G2471+H2471)</f>
        <v/>
      </c>
    </row>
    <row r="2472" customFormat="false" ht="15" hidden="false" customHeight="false" outlineLevel="0" collapsed="false">
      <c r="C2472" s="41" t="str">
        <f aca="false">IF(A2472="","",TEXT(A2472,"mmm-yyyy"))</f>
        <v/>
      </c>
      <c r="I2472" s="47" t="str">
        <f aca="false">IF(G2472="","",G2472+H2472)</f>
        <v/>
      </c>
    </row>
    <row r="2473" customFormat="false" ht="15" hidden="false" customHeight="false" outlineLevel="0" collapsed="false">
      <c r="C2473" s="41" t="str">
        <f aca="false">IF(A2473="","",TEXT(A2473,"mmm-yyyy"))</f>
        <v/>
      </c>
      <c r="I2473" s="47" t="str">
        <f aca="false">IF(G2473="","",G2473+H2473)</f>
        <v/>
      </c>
    </row>
    <row r="2474" customFormat="false" ht="15" hidden="false" customHeight="false" outlineLevel="0" collapsed="false">
      <c r="C2474" s="41" t="str">
        <f aca="false">IF(A2474="","",TEXT(A2474,"mmm-yyyy"))</f>
        <v/>
      </c>
      <c r="I2474" s="47" t="str">
        <f aca="false">IF(G2474="","",G2474+H2474)</f>
        <v/>
      </c>
    </row>
    <row r="2475" customFormat="false" ht="15" hidden="false" customHeight="false" outlineLevel="0" collapsed="false">
      <c r="C2475" s="41" t="str">
        <f aca="false">IF(A2475="","",TEXT(A2475,"mmm-yyyy"))</f>
        <v/>
      </c>
      <c r="I2475" s="47" t="str">
        <f aca="false">IF(G2475="","",G2475+H2475)</f>
        <v/>
      </c>
    </row>
    <row r="2476" customFormat="false" ht="15" hidden="false" customHeight="false" outlineLevel="0" collapsed="false">
      <c r="C2476" s="41" t="str">
        <f aca="false">IF(A2476="","",TEXT(A2476,"mmm-yyyy"))</f>
        <v/>
      </c>
      <c r="I2476" s="47" t="str">
        <f aca="false">IF(G2476="","",G2476+H2476)</f>
        <v/>
      </c>
    </row>
    <row r="2477" customFormat="false" ht="15" hidden="false" customHeight="false" outlineLevel="0" collapsed="false">
      <c r="C2477" s="41" t="str">
        <f aca="false">IF(A2477="","",TEXT(A2477,"mmm-yyyy"))</f>
        <v/>
      </c>
      <c r="I2477" s="47" t="str">
        <f aca="false">IF(G2477="","",G2477+H2477)</f>
        <v/>
      </c>
    </row>
    <row r="2478" customFormat="false" ht="15" hidden="false" customHeight="false" outlineLevel="0" collapsed="false">
      <c r="C2478" s="41" t="str">
        <f aca="false">IF(A2478="","",TEXT(A2478,"mmm-yyyy"))</f>
        <v/>
      </c>
      <c r="I2478" s="47" t="str">
        <f aca="false">IF(G2478="","",G2478+H2478)</f>
        <v/>
      </c>
    </row>
    <row r="2479" customFormat="false" ht="15" hidden="false" customHeight="false" outlineLevel="0" collapsed="false">
      <c r="C2479" s="41" t="str">
        <f aca="false">IF(A2479="","",TEXT(A2479,"mmm-yyyy"))</f>
        <v/>
      </c>
      <c r="I2479" s="47" t="str">
        <f aca="false">IF(G2479="","",G2479+H2479)</f>
        <v/>
      </c>
    </row>
    <row r="2480" customFormat="false" ht="15" hidden="false" customHeight="false" outlineLevel="0" collapsed="false">
      <c r="C2480" s="41" t="str">
        <f aca="false">IF(A2480="","",TEXT(A2480,"mmm-yyyy"))</f>
        <v/>
      </c>
      <c r="I2480" s="47" t="str">
        <f aca="false">IF(G2480="","",G2480+H2480)</f>
        <v/>
      </c>
    </row>
    <row r="2481" customFormat="false" ht="15" hidden="false" customHeight="false" outlineLevel="0" collapsed="false">
      <c r="C2481" s="41" t="str">
        <f aca="false">IF(A2481="","",TEXT(A2481,"mmm-yyyy"))</f>
        <v/>
      </c>
      <c r="I2481" s="47" t="str">
        <f aca="false">IF(G2481="","",G2481+H2481)</f>
        <v/>
      </c>
    </row>
    <row r="2482" customFormat="false" ht="15" hidden="false" customHeight="false" outlineLevel="0" collapsed="false">
      <c r="C2482" s="41" t="str">
        <f aca="false">IF(A2482="","",TEXT(A2482,"mmm-yyyy"))</f>
        <v/>
      </c>
      <c r="I2482" s="47" t="str">
        <f aca="false">IF(G2482="","",G2482+H2482)</f>
        <v/>
      </c>
    </row>
    <row r="2483" customFormat="false" ht="15" hidden="false" customHeight="false" outlineLevel="0" collapsed="false">
      <c r="C2483" s="41" t="str">
        <f aca="false">IF(A2483="","",TEXT(A2483,"mmm-yyyy"))</f>
        <v/>
      </c>
      <c r="I2483" s="47" t="str">
        <f aca="false">IF(G2483="","",G2483+H2483)</f>
        <v/>
      </c>
    </row>
    <row r="2484" customFormat="false" ht="15" hidden="false" customHeight="false" outlineLevel="0" collapsed="false">
      <c r="C2484" s="41" t="str">
        <f aca="false">IF(A2484="","",TEXT(A2484,"mmm-yyyy"))</f>
        <v/>
      </c>
      <c r="I2484" s="47" t="str">
        <f aca="false">IF(G2484="","",G2484+H2484)</f>
        <v/>
      </c>
    </row>
    <row r="2485" customFormat="false" ht="15" hidden="false" customHeight="false" outlineLevel="0" collapsed="false">
      <c r="C2485" s="41" t="str">
        <f aca="false">IF(A2485="","",TEXT(A2485,"mmm-yyyy"))</f>
        <v/>
      </c>
      <c r="I2485" s="47" t="str">
        <f aca="false">IF(G2485="","",G2485+H2485)</f>
        <v/>
      </c>
    </row>
    <row r="2486" customFormat="false" ht="15" hidden="false" customHeight="false" outlineLevel="0" collapsed="false">
      <c r="C2486" s="41" t="str">
        <f aca="false">IF(A2486="","",TEXT(A2486,"mmm-yyyy"))</f>
        <v/>
      </c>
      <c r="I2486" s="47" t="str">
        <f aca="false">IF(G2486="","",G2486+H2486)</f>
        <v/>
      </c>
    </row>
    <row r="2487" customFormat="false" ht="15" hidden="false" customHeight="false" outlineLevel="0" collapsed="false">
      <c r="C2487" s="41" t="str">
        <f aca="false">IF(A2487="","",TEXT(A2487,"mmm-yyyy"))</f>
        <v/>
      </c>
      <c r="I2487" s="47" t="str">
        <f aca="false">IF(G2487="","",G2487+H2487)</f>
        <v/>
      </c>
    </row>
    <row r="2488" customFormat="false" ht="15" hidden="false" customHeight="false" outlineLevel="0" collapsed="false">
      <c r="C2488" s="41" t="str">
        <f aca="false">IF(A2488="","",TEXT(A2488,"mmm-yyyy"))</f>
        <v/>
      </c>
      <c r="I2488" s="47" t="str">
        <f aca="false">IF(G2488="","",G2488+H2488)</f>
        <v/>
      </c>
    </row>
    <row r="2489" customFormat="false" ht="15" hidden="false" customHeight="false" outlineLevel="0" collapsed="false">
      <c r="C2489" s="41" t="str">
        <f aca="false">IF(A2489="","",TEXT(A2489,"mmm-yyyy"))</f>
        <v/>
      </c>
      <c r="I2489" s="47" t="str">
        <f aca="false">IF(G2489="","",G2489+H2489)</f>
        <v/>
      </c>
    </row>
    <row r="2490" customFormat="false" ht="15" hidden="false" customHeight="false" outlineLevel="0" collapsed="false">
      <c r="C2490" s="41" t="str">
        <f aca="false">IF(A2490="","",TEXT(A2490,"mmm-yyyy"))</f>
        <v/>
      </c>
      <c r="I2490" s="47" t="str">
        <f aca="false">IF(G2490="","",G2490+H2490)</f>
        <v/>
      </c>
    </row>
    <row r="2491" customFormat="false" ht="15" hidden="false" customHeight="false" outlineLevel="0" collapsed="false">
      <c r="C2491" s="41" t="str">
        <f aca="false">IF(A2491="","",TEXT(A2491,"mmm-yyyy"))</f>
        <v/>
      </c>
      <c r="I2491" s="47" t="str">
        <f aca="false">IF(G2491="","",G2491+H2491)</f>
        <v/>
      </c>
    </row>
    <row r="2492" customFormat="false" ht="15" hidden="false" customHeight="false" outlineLevel="0" collapsed="false">
      <c r="C2492" s="41" t="str">
        <f aca="false">IF(A2492="","",TEXT(A2492,"mmm-yyyy"))</f>
        <v/>
      </c>
      <c r="I2492" s="47" t="str">
        <f aca="false">IF(G2492="","",G2492+H2492)</f>
        <v/>
      </c>
    </row>
    <row r="2493" customFormat="false" ht="15" hidden="false" customHeight="false" outlineLevel="0" collapsed="false">
      <c r="C2493" s="41" t="str">
        <f aca="false">IF(A2493="","",TEXT(A2493,"mmm-yyyy"))</f>
        <v/>
      </c>
      <c r="I2493" s="47" t="str">
        <f aca="false">IF(G2493="","",G2493+H2493)</f>
        <v/>
      </c>
    </row>
    <row r="2494" customFormat="false" ht="15" hidden="false" customHeight="false" outlineLevel="0" collapsed="false">
      <c r="C2494" s="41" t="str">
        <f aca="false">IF(A2494="","",TEXT(A2494,"mmm-yyyy"))</f>
        <v/>
      </c>
      <c r="I2494" s="47" t="str">
        <f aca="false">IF(G2494="","",G2494+H2494)</f>
        <v/>
      </c>
    </row>
    <row r="2495" customFormat="false" ht="15" hidden="false" customHeight="false" outlineLevel="0" collapsed="false">
      <c r="C2495" s="41" t="str">
        <f aca="false">IF(A2495="","",TEXT(A2495,"mmm-yyyy"))</f>
        <v/>
      </c>
      <c r="I2495" s="47" t="str">
        <f aca="false">IF(G2495="","",G2495+H2495)</f>
        <v/>
      </c>
    </row>
    <row r="2496" customFormat="false" ht="15" hidden="false" customHeight="false" outlineLevel="0" collapsed="false">
      <c r="C2496" s="41" t="str">
        <f aca="false">IF(A2496="","",TEXT(A2496,"mmm-yyyy"))</f>
        <v/>
      </c>
      <c r="I2496" s="47" t="str">
        <f aca="false">IF(G2496="","",G2496+H2496)</f>
        <v/>
      </c>
    </row>
    <row r="2497" customFormat="false" ht="15" hidden="false" customHeight="false" outlineLevel="0" collapsed="false">
      <c r="C2497" s="41" t="str">
        <f aca="false">IF(A2497="","",TEXT(A2497,"mmm-yyyy"))</f>
        <v/>
      </c>
      <c r="I2497" s="47" t="str">
        <f aca="false">IF(G2497="","",G2497+H2497)</f>
        <v/>
      </c>
    </row>
    <row r="2498" customFormat="false" ht="15" hidden="false" customHeight="false" outlineLevel="0" collapsed="false">
      <c r="C2498" s="41" t="str">
        <f aca="false">IF(A2498="","",TEXT(A2498,"mmm-yyyy"))</f>
        <v/>
      </c>
      <c r="I2498" s="47" t="str">
        <f aca="false">IF(G2498="","",G2498+H2498)</f>
        <v/>
      </c>
    </row>
    <row r="2499" customFormat="false" ht="15" hidden="false" customHeight="false" outlineLevel="0" collapsed="false">
      <c r="C2499" s="41" t="str">
        <f aca="false">IF(A2499="","",TEXT(A2499,"mmm-yyyy"))</f>
        <v/>
      </c>
      <c r="I2499" s="47" t="str">
        <f aca="false">IF(G2499="","",G2499+H2499)</f>
        <v/>
      </c>
    </row>
    <row r="2500" customFormat="false" ht="15" hidden="false" customHeight="false" outlineLevel="0" collapsed="false">
      <c r="C2500" s="41" t="str">
        <f aca="false">IF(A2500="","",TEXT(A2500,"mmm-yyyy"))</f>
        <v/>
      </c>
      <c r="I2500" s="47" t="str">
        <f aca="false">IF(G2500="","",G2500+H2500)</f>
        <v/>
      </c>
    </row>
    <row r="2501" customFormat="false" ht="15" hidden="false" customHeight="false" outlineLevel="0" collapsed="false">
      <c r="C2501" s="41" t="str">
        <f aca="false">IF(A2501="","",TEXT(A2501,"mmm-yyyy"))</f>
        <v/>
      </c>
      <c r="I2501" s="47" t="str">
        <f aca="false">IF(G2501="","",G2501+H2501)</f>
        <v/>
      </c>
    </row>
    <row r="2502" customFormat="false" ht="15" hidden="false" customHeight="false" outlineLevel="0" collapsed="false">
      <c r="C2502" s="41" t="str">
        <f aca="false">IF(A2502="","",TEXT(A2502,"mmm-yyyy"))</f>
        <v/>
      </c>
      <c r="I2502" s="47" t="str">
        <f aca="false">IF(G2502="","",G2502+H2502)</f>
        <v/>
      </c>
    </row>
    <row r="2503" customFormat="false" ht="15" hidden="false" customHeight="false" outlineLevel="0" collapsed="false">
      <c r="C2503" s="41" t="str">
        <f aca="false">IF(A2503="","",TEXT(A2503,"mmm-yyyy"))</f>
        <v/>
      </c>
      <c r="I2503" s="47" t="str">
        <f aca="false">IF(G2503="","",G2503+H2503)</f>
        <v/>
      </c>
    </row>
    <row r="2504" customFormat="false" ht="15" hidden="false" customHeight="false" outlineLevel="0" collapsed="false">
      <c r="C2504" s="41" t="str">
        <f aca="false">IF(A2504="","",TEXT(A2504,"mmm-yyyy"))</f>
        <v/>
      </c>
      <c r="I2504" s="47" t="str">
        <f aca="false">IF(G2504="","",G2504+H2504)</f>
        <v/>
      </c>
    </row>
    <row r="2505" customFormat="false" ht="15" hidden="false" customHeight="false" outlineLevel="0" collapsed="false">
      <c r="C2505" s="41" t="str">
        <f aca="false">IF(A2505="","",TEXT(A2505,"mmm-yyyy"))</f>
        <v/>
      </c>
      <c r="I2505" s="47" t="str">
        <f aca="false">IF(G2505="","",G2505+H2505)</f>
        <v/>
      </c>
    </row>
    <row r="2506" customFormat="false" ht="15" hidden="false" customHeight="false" outlineLevel="0" collapsed="false">
      <c r="C2506" s="41" t="str">
        <f aca="false">IF(A2506="","",TEXT(A2506,"mmm-yyyy"))</f>
        <v/>
      </c>
      <c r="I2506" s="47" t="str">
        <f aca="false">IF(G2506="","",G2506+H2506)</f>
        <v/>
      </c>
    </row>
    <row r="2507" customFormat="false" ht="15" hidden="false" customHeight="false" outlineLevel="0" collapsed="false">
      <c r="C2507" s="41" t="str">
        <f aca="false">IF(A2507="","",TEXT(A2507,"mmm-yyyy"))</f>
        <v/>
      </c>
      <c r="I2507" s="47" t="str">
        <f aca="false">IF(G2507="","",G2507+H2507)</f>
        <v/>
      </c>
    </row>
    <row r="2508" customFormat="false" ht="15" hidden="false" customHeight="false" outlineLevel="0" collapsed="false">
      <c r="C2508" s="41" t="str">
        <f aca="false">IF(A2508="","",TEXT(A2508,"mmm-yyyy"))</f>
        <v/>
      </c>
      <c r="I2508" s="47" t="str">
        <f aca="false">IF(G2508="","",G2508+H2508)</f>
        <v/>
      </c>
    </row>
    <row r="2509" customFormat="false" ht="15" hidden="false" customHeight="false" outlineLevel="0" collapsed="false">
      <c r="C2509" s="41" t="str">
        <f aca="false">IF(A2509="","",TEXT(A2509,"mmm-yyyy"))</f>
        <v/>
      </c>
      <c r="I2509" s="47" t="str">
        <f aca="false">IF(G2509="","",G2509+H2509)</f>
        <v/>
      </c>
    </row>
    <row r="2510" customFormat="false" ht="15" hidden="false" customHeight="false" outlineLevel="0" collapsed="false">
      <c r="C2510" s="41" t="str">
        <f aca="false">IF(A2510="","",TEXT(A2510,"mmm-yyyy"))</f>
        <v/>
      </c>
      <c r="I2510" s="47" t="str">
        <f aca="false">IF(G2510="","",G2510+H2510)</f>
        <v/>
      </c>
    </row>
    <row r="2511" customFormat="false" ht="15" hidden="false" customHeight="false" outlineLevel="0" collapsed="false">
      <c r="C2511" s="41" t="str">
        <f aca="false">IF(A2511="","",TEXT(A2511,"mmm-yyyy"))</f>
        <v/>
      </c>
      <c r="I2511" s="47" t="str">
        <f aca="false">IF(G2511="","",G2511+H2511)</f>
        <v/>
      </c>
    </row>
    <row r="2512" customFormat="false" ht="15" hidden="false" customHeight="false" outlineLevel="0" collapsed="false">
      <c r="C2512" s="41" t="str">
        <f aca="false">IF(A2512="","",TEXT(A2512,"mmm-yyyy"))</f>
        <v/>
      </c>
      <c r="I2512" s="47" t="str">
        <f aca="false">IF(G2512="","",G2512+H2512)</f>
        <v/>
      </c>
    </row>
    <row r="2513" customFormat="false" ht="15" hidden="false" customHeight="false" outlineLevel="0" collapsed="false">
      <c r="C2513" s="41" t="str">
        <f aca="false">IF(A2513="","",TEXT(A2513,"mmm-yyyy"))</f>
        <v/>
      </c>
      <c r="I2513" s="47" t="str">
        <f aca="false">IF(G2513="","",G2513+H2513)</f>
        <v/>
      </c>
    </row>
    <row r="2514" customFormat="false" ht="15" hidden="false" customHeight="false" outlineLevel="0" collapsed="false">
      <c r="C2514" s="41" t="str">
        <f aca="false">IF(A2514="","",TEXT(A2514,"mmm-yyyy"))</f>
        <v/>
      </c>
      <c r="I2514" s="47" t="str">
        <f aca="false">IF(G2514="","",G2514+H2514)</f>
        <v/>
      </c>
    </row>
    <row r="2515" customFormat="false" ht="15" hidden="false" customHeight="false" outlineLevel="0" collapsed="false">
      <c r="C2515" s="41" t="str">
        <f aca="false">IF(A2515="","",TEXT(A2515,"mmm-yyyy"))</f>
        <v/>
      </c>
      <c r="I2515" s="47" t="str">
        <f aca="false">IF(G2515="","",G2515+H2515)</f>
        <v/>
      </c>
    </row>
    <row r="2516" customFormat="false" ht="15" hidden="false" customHeight="false" outlineLevel="0" collapsed="false">
      <c r="C2516" s="41" t="str">
        <f aca="false">IF(A2516="","",TEXT(A2516,"mmm-yyyy"))</f>
        <v/>
      </c>
      <c r="I2516" s="47" t="str">
        <f aca="false">IF(G2516="","",G2516+H2516)</f>
        <v/>
      </c>
    </row>
    <row r="2517" customFormat="false" ht="15" hidden="false" customHeight="false" outlineLevel="0" collapsed="false">
      <c r="C2517" s="41" t="str">
        <f aca="false">IF(A2517="","",TEXT(A2517,"mmm-yyyy"))</f>
        <v/>
      </c>
      <c r="I2517" s="47" t="str">
        <f aca="false">IF(G2517="","",G2517+H2517)</f>
        <v/>
      </c>
    </row>
    <row r="2518" customFormat="false" ht="15" hidden="false" customHeight="false" outlineLevel="0" collapsed="false">
      <c r="C2518" s="41" t="str">
        <f aca="false">IF(A2518="","",TEXT(A2518,"mmm-yyyy"))</f>
        <v/>
      </c>
      <c r="I2518" s="47" t="str">
        <f aca="false">IF(G2518="","",G2518+H2518)</f>
        <v/>
      </c>
    </row>
    <row r="2519" customFormat="false" ht="15" hidden="false" customHeight="false" outlineLevel="0" collapsed="false">
      <c r="C2519" s="41" t="str">
        <f aca="false">IF(A2519="","",TEXT(A2519,"mmm-yyyy"))</f>
        <v/>
      </c>
      <c r="I2519" s="47" t="str">
        <f aca="false">IF(G2519="","",G2519+H2519)</f>
        <v/>
      </c>
    </row>
    <row r="2520" customFormat="false" ht="15" hidden="false" customHeight="false" outlineLevel="0" collapsed="false">
      <c r="C2520" s="41" t="str">
        <f aca="false">IF(A2520="","",TEXT(A2520,"mmm-yyyy"))</f>
        <v/>
      </c>
      <c r="I2520" s="47" t="str">
        <f aca="false">IF(G2520="","",G2520+H2520)</f>
        <v/>
      </c>
    </row>
    <row r="2521" customFormat="false" ht="15" hidden="false" customHeight="false" outlineLevel="0" collapsed="false">
      <c r="C2521" s="41" t="str">
        <f aca="false">IF(A2521="","",TEXT(A2521,"mmm-yyyy"))</f>
        <v/>
      </c>
      <c r="I2521" s="47" t="str">
        <f aca="false">IF(G2521="","",G2521+H2521)</f>
        <v/>
      </c>
    </row>
    <row r="2522" customFormat="false" ht="15" hidden="false" customHeight="false" outlineLevel="0" collapsed="false">
      <c r="C2522" s="41" t="str">
        <f aca="false">IF(A2522="","",TEXT(A2522,"mmm-yyyy"))</f>
        <v/>
      </c>
      <c r="I2522" s="47" t="str">
        <f aca="false">IF(G2522="","",G2522+H2522)</f>
        <v/>
      </c>
    </row>
    <row r="2523" customFormat="false" ht="15" hidden="false" customHeight="false" outlineLevel="0" collapsed="false">
      <c r="C2523" s="41" t="str">
        <f aca="false">IF(A2523="","",TEXT(A2523,"mmm-yyyy"))</f>
        <v/>
      </c>
      <c r="I2523" s="47" t="str">
        <f aca="false">IF(G2523="","",G2523+H2523)</f>
        <v/>
      </c>
    </row>
    <row r="2524" customFormat="false" ht="15" hidden="false" customHeight="false" outlineLevel="0" collapsed="false">
      <c r="C2524" s="41" t="str">
        <f aca="false">IF(A2524="","",TEXT(A2524,"mmm-yyyy"))</f>
        <v/>
      </c>
      <c r="I2524" s="47" t="str">
        <f aca="false">IF(G2524="","",G2524+H2524)</f>
        <v/>
      </c>
    </row>
    <row r="2525" customFormat="false" ht="15" hidden="false" customHeight="false" outlineLevel="0" collapsed="false">
      <c r="C2525" s="41" t="str">
        <f aca="false">IF(A2525="","",TEXT(A2525,"mmm-yyyy"))</f>
        <v/>
      </c>
      <c r="I2525" s="47" t="str">
        <f aca="false">IF(G2525="","",G2525+H2525)</f>
        <v/>
      </c>
    </row>
    <row r="2526" customFormat="false" ht="15" hidden="false" customHeight="false" outlineLevel="0" collapsed="false">
      <c r="C2526" s="41" t="str">
        <f aca="false">IF(A2526="","",TEXT(A2526,"mmm-yyyy"))</f>
        <v/>
      </c>
      <c r="I2526" s="47" t="str">
        <f aca="false">IF(G2526="","",G2526+H2526)</f>
        <v/>
      </c>
    </row>
    <row r="2527" customFormat="false" ht="15" hidden="false" customHeight="false" outlineLevel="0" collapsed="false">
      <c r="C2527" s="41" t="str">
        <f aca="false">IF(A2527="","",TEXT(A2527,"mmm-yyyy"))</f>
        <v/>
      </c>
      <c r="I2527" s="47" t="str">
        <f aca="false">IF(G2527="","",G2527+H2527)</f>
        <v/>
      </c>
    </row>
    <row r="2528" customFormat="false" ht="15" hidden="false" customHeight="false" outlineLevel="0" collapsed="false">
      <c r="C2528" s="41" t="str">
        <f aca="false">IF(A2528="","",TEXT(A2528,"mmm-yyyy"))</f>
        <v/>
      </c>
      <c r="I2528" s="47" t="str">
        <f aca="false">IF(G2528="","",G2528+H2528)</f>
        <v/>
      </c>
    </row>
    <row r="2529" customFormat="false" ht="15" hidden="false" customHeight="false" outlineLevel="0" collapsed="false">
      <c r="C2529" s="41" t="str">
        <f aca="false">IF(A2529="","",TEXT(A2529,"mmm-yyyy"))</f>
        <v/>
      </c>
      <c r="I2529" s="47" t="str">
        <f aca="false">IF(G2529="","",G2529+H2529)</f>
        <v/>
      </c>
    </row>
    <row r="2530" customFormat="false" ht="15" hidden="false" customHeight="false" outlineLevel="0" collapsed="false">
      <c r="C2530" s="41" t="str">
        <f aca="false">IF(A2530="","",TEXT(A2530,"mmm-yyyy"))</f>
        <v/>
      </c>
      <c r="I2530" s="47" t="str">
        <f aca="false">IF(G2530="","",G2530+H2530)</f>
        <v/>
      </c>
    </row>
    <row r="2531" customFormat="false" ht="15" hidden="false" customHeight="false" outlineLevel="0" collapsed="false">
      <c r="C2531" s="41" t="str">
        <f aca="false">IF(A2531="","",TEXT(A2531,"mmm-yyyy"))</f>
        <v/>
      </c>
      <c r="I2531" s="47" t="str">
        <f aca="false">IF(G2531="","",G2531+H2531)</f>
        <v/>
      </c>
    </row>
    <row r="2532" customFormat="false" ht="15" hidden="false" customHeight="false" outlineLevel="0" collapsed="false">
      <c r="C2532" s="41" t="str">
        <f aca="false">IF(A2532="","",TEXT(A2532,"mmm-yyyy"))</f>
        <v/>
      </c>
      <c r="I2532" s="47" t="str">
        <f aca="false">IF(G2532="","",G2532+H2532)</f>
        <v/>
      </c>
    </row>
    <row r="2533" customFormat="false" ht="15" hidden="false" customHeight="false" outlineLevel="0" collapsed="false">
      <c r="C2533" s="41" t="str">
        <f aca="false">IF(A2533="","",TEXT(A2533,"mmm-yyyy"))</f>
        <v/>
      </c>
      <c r="I2533" s="47" t="str">
        <f aca="false">IF(G2533="","",G2533+H2533)</f>
        <v/>
      </c>
    </row>
    <row r="2534" customFormat="false" ht="15" hidden="false" customHeight="false" outlineLevel="0" collapsed="false">
      <c r="C2534" s="41" t="str">
        <f aca="false">IF(A2534="","",TEXT(A2534,"mmm-yyyy"))</f>
        <v/>
      </c>
      <c r="I2534" s="47" t="str">
        <f aca="false">IF(G2534="","",G2534+H2534)</f>
        <v/>
      </c>
    </row>
    <row r="2535" customFormat="false" ht="15" hidden="false" customHeight="false" outlineLevel="0" collapsed="false">
      <c r="C2535" s="41" t="str">
        <f aca="false">IF(A2535="","",TEXT(A2535,"mmm-yyyy"))</f>
        <v/>
      </c>
      <c r="I2535" s="47" t="str">
        <f aca="false">IF(G2535="","",G2535+H2535)</f>
        <v/>
      </c>
    </row>
    <row r="2536" customFormat="false" ht="15" hidden="false" customHeight="false" outlineLevel="0" collapsed="false">
      <c r="C2536" s="41" t="str">
        <f aca="false">IF(A2536="","",TEXT(A2536,"mmm-yyyy"))</f>
        <v/>
      </c>
      <c r="I2536" s="47" t="str">
        <f aca="false">IF(G2536="","",G2536+H2536)</f>
        <v/>
      </c>
    </row>
    <row r="2537" customFormat="false" ht="15" hidden="false" customHeight="false" outlineLevel="0" collapsed="false">
      <c r="C2537" s="41" t="str">
        <f aca="false">IF(A2537="","",TEXT(A2537,"mmm-yyyy"))</f>
        <v/>
      </c>
      <c r="I2537" s="47" t="str">
        <f aca="false">IF(G2537="","",G2537+H2537)</f>
        <v/>
      </c>
    </row>
    <row r="2538" customFormat="false" ht="15" hidden="false" customHeight="false" outlineLevel="0" collapsed="false">
      <c r="C2538" s="41" t="str">
        <f aca="false">IF(A2538="","",TEXT(A2538,"mmm-yyyy"))</f>
        <v/>
      </c>
      <c r="I2538" s="47" t="str">
        <f aca="false">IF(G2538="","",G2538+H2538)</f>
        <v/>
      </c>
    </row>
    <row r="2539" customFormat="false" ht="15" hidden="false" customHeight="false" outlineLevel="0" collapsed="false">
      <c r="C2539" s="41" t="str">
        <f aca="false">IF(A2539="","",TEXT(A2539,"mmm-yyyy"))</f>
        <v/>
      </c>
      <c r="I2539" s="47" t="str">
        <f aca="false">IF(G2539="","",G2539+H2539)</f>
        <v/>
      </c>
    </row>
    <row r="2540" customFormat="false" ht="15" hidden="false" customHeight="false" outlineLevel="0" collapsed="false">
      <c r="C2540" s="41" t="str">
        <f aca="false">IF(A2540="","",TEXT(A2540,"mmm-yyyy"))</f>
        <v/>
      </c>
      <c r="I2540" s="47" t="str">
        <f aca="false">IF(G2540="","",G2540+H2540)</f>
        <v/>
      </c>
    </row>
    <row r="2541" customFormat="false" ht="15" hidden="false" customHeight="false" outlineLevel="0" collapsed="false">
      <c r="C2541" s="41" t="str">
        <f aca="false">IF(A2541="","",TEXT(A2541,"mmm-yyyy"))</f>
        <v/>
      </c>
      <c r="I2541" s="47" t="str">
        <f aca="false">IF(G2541="","",G2541+H2541)</f>
        <v/>
      </c>
    </row>
    <row r="2542" customFormat="false" ht="15" hidden="false" customHeight="false" outlineLevel="0" collapsed="false">
      <c r="C2542" s="41" t="str">
        <f aca="false">IF(A2542="","",TEXT(A2542,"mmm-yyyy"))</f>
        <v/>
      </c>
      <c r="I2542" s="47" t="str">
        <f aca="false">IF(G2542="","",G2542+H2542)</f>
        <v/>
      </c>
    </row>
    <row r="2543" customFormat="false" ht="15" hidden="false" customHeight="false" outlineLevel="0" collapsed="false">
      <c r="C2543" s="41" t="str">
        <f aca="false">IF(A2543="","",TEXT(A2543,"mmm-yyyy"))</f>
        <v/>
      </c>
      <c r="I2543" s="47" t="str">
        <f aca="false">IF(G2543="","",G2543+H2543)</f>
        <v/>
      </c>
    </row>
    <row r="2544" customFormat="false" ht="15" hidden="false" customHeight="false" outlineLevel="0" collapsed="false">
      <c r="C2544" s="41" t="str">
        <f aca="false">IF(A2544="","",TEXT(A2544,"mmm-yyyy"))</f>
        <v/>
      </c>
      <c r="I2544" s="47" t="str">
        <f aca="false">IF(G2544="","",G2544+H2544)</f>
        <v/>
      </c>
    </row>
    <row r="2545" customFormat="false" ht="15" hidden="false" customHeight="false" outlineLevel="0" collapsed="false">
      <c r="C2545" s="41" t="str">
        <f aca="false">IF(A2545="","",TEXT(A2545,"mmm-yyyy"))</f>
        <v/>
      </c>
      <c r="I2545" s="47" t="str">
        <f aca="false">IF(G2545="","",G2545+H2545)</f>
        <v/>
      </c>
    </row>
    <row r="2546" customFormat="false" ht="15" hidden="false" customHeight="false" outlineLevel="0" collapsed="false">
      <c r="C2546" s="41" t="str">
        <f aca="false">IF(A2546="","",TEXT(A2546,"mmm-yyyy"))</f>
        <v/>
      </c>
      <c r="I2546" s="47" t="str">
        <f aca="false">IF(G2546="","",G2546+H2546)</f>
        <v/>
      </c>
    </row>
    <row r="2547" customFormat="false" ht="15" hidden="false" customHeight="false" outlineLevel="0" collapsed="false">
      <c r="C2547" s="41" t="str">
        <f aca="false">IF(A2547="","",TEXT(A2547,"mmm-yyyy"))</f>
        <v/>
      </c>
      <c r="I2547" s="47" t="str">
        <f aca="false">IF(G2547="","",G2547+H2547)</f>
        <v/>
      </c>
    </row>
    <row r="2548" customFormat="false" ht="15" hidden="false" customHeight="false" outlineLevel="0" collapsed="false">
      <c r="C2548" s="41" t="str">
        <f aca="false">IF(A2548="","",TEXT(A2548,"mmm-yyyy"))</f>
        <v/>
      </c>
      <c r="I2548" s="47" t="str">
        <f aca="false">IF(G2548="","",G2548+H2548)</f>
        <v/>
      </c>
    </row>
    <row r="2549" customFormat="false" ht="15" hidden="false" customHeight="false" outlineLevel="0" collapsed="false">
      <c r="C2549" s="41" t="str">
        <f aca="false">IF(A2549="","",TEXT(A2549,"mmm-yyyy"))</f>
        <v/>
      </c>
      <c r="I2549" s="47" t="str">
        <f aca="false">IF(G2549="","",G2549+H2549)</f>
        <v/>
      </c>
    </row>
    <row r="2550" customFormat="false" ht="15" hidden="false" customHeight="false" outlineLevel="0" collapsed="false">
      <c r="C2550" s="41" t="str">
        <f aca="false">IF(A2550="","",TEXT(A2550,"mmm-yyyy"))</f>
        <v/>
      </c>
      <c r="I2550" s="47" t="str">
        <f aca="false">IF(G2550="","",G2550+H2550)</f>
        <v/>
      </c>
    </row>
    <row r="2551" customFormat="false" ht="15" hidden="false" customHeight="false" outlineLevel="0" collapsed="false">
      <c r="C2551" s="41" t="str">
        <f aca="false">IF(A2551="","",TEXT(A2551,"mmm-yyyy"))</f>
        <v/>
      </c>
      <c r="I2551" s="47" t="str">
        <f aca="false">IF(G2551="","",G2551+H2551)</f>
        <v/>
      </c>
    </row>
    <row r="2552" customFormat="false" ht="15" hidden="false" customHeight="false" outlineLevel="0" collapsed="false">
      <c r="C2552" s="41" t="str">
        <f aca="false">IF(A2552="","",TEXT(A2552,"mmm-yyyy"))</f>
        <v/>
      </c>
      <c r="I2552" s="47" t="str">
        <f aca="false">IF(G2552="","",G2552+H2552)</f>
        <v/>
      </c>
    </row>
    <row r="2553" customFormat="false" ht="15" hidden="false" customHeight="false" outlineLevel="0" collapsed="false">
      <c r="C2553" s="41" t="str">
        <f aca="false">IF(A2553="","",TEXT(A2553,"mmm-yyyy"))</f>
        <v/>
      </c>
      <c r="I2553" s="47" t="str">
        <f aca="false">IF(G2553="","",G2553+H2553)</f>
        <v/>
      </c>
    </row>
    <row r="2554" customFormat="false" ht="15" hidden="false" customHeight="false" outlineLevel="0" collapsed="false">
      <c r="C2554" s="41" t="str">
        <f aca="false">IF(A2554="","",TEXT(A2554,"mmm-yyyy"))</f>
        <v/>
      </c>
      <c r="I2554" s="47" t="str">
        <f aca="false">IF(G2554="","",G2554+H2554)</f>
        <v/>
      </c>
    </row>
    <row r="2555" customFormat="false" ht="15" hidden="false" customHeight="false" outlineLevel="0" collapsed="false">
      <c r="C2555" s="41" t="str">
        <f aca="false">IF(A2555="","",TEXT(A2555,"mmm-yyyy"))</f>
        <v/>
      </c>
      <c r="I2555" s="47" t="str">
        <f aca="false">IF(G2555="","",G2555+H2555)</f>
        <v/>
      </c>
    </row>
    <row r="2556" customFormat="false" ht="15" hidden="false" customHeight="false" outlineLevel="0" collapsed="false">
      <c r="C2556" s="41" t="str">
        <f aca="false">IF(A2556="","",TEXT(A2556,"mmm-yyyy"))</f>
        <v/>
      </c>
      <c r="I2556" s="47" t="str">
        <f aca="false">IF(G2556="","",G2556+H2556)</f>
        <v/>
      </c>
    </row>
    <row r="2557" customFormat="false" ht="15" hidden="false" customHeight="false" outlineLevel="0" collapsed="false">
      <c r="C2557" s="41" t="str">
        <f aca="false">IF(A2557="","",TEXT(A2557,"mmm-yyyy"))</f>
        <v/>
      </c>
      <c r="I2557" s="47" t="str">
        <f aca="false">IF(G2557="","",G2557+H2557)</f>
        <v/>
      </c>
    </row>
    <row r="2558" customFormat="false" ht="15" hidden="false" customHeight="false" outlineLevel="0" collapsed="false">
      <c r="C2558" s="41" t="str">
        <f aca="false">IF(A2558="","",TEXT(A2558,"mmm-yyyy"))</f>
        <v/>
      </c>
      <c r="I2558" s="47" t="str">
        <f aca="false">IF(G2558="","",G2558+H2558)</f>
        <v/>
      </c>
    </row>
    <row r="2559" customFormat="false" ht="15" hidden="false" customHeight="false" outlineLevel="0" collapsed="false">
      <c r="C2559" s="41" t="str">
        <f aca="false">IF(A2559="","",TEXT(A2559,"mmm-yyyy"))</f>
        <v/>
      </c>
      <c r="I2559" s="47" t="str">
        <f aca="false">IF(G2559="","",G2559+H2559)</f>
        <v/>
      </c>
    </row>
    <row r="2560" customFormat="false" ht="15" hidden="false" customHeight="false" outlineLevel="0" collapsed="false">
      <c r="C2560" s="41" t="str">
        <f aca="false">IF(A2560="","",TEXT(A2560,"mmm-yyyy"))</f>
        <v/>
      </c>
      <c r="I2560" s="47" t="str">
        <f aca="false">IF(G2560="","",G2560+H2560)</f>
        <v/>
      </c>
    </row>
    <row r="2561" customFormat="false" ht="15" hidden="false" customHeight="false" outlineLevel="0" collapsed="false">
      <c r="C2561" s="41" t="str">
        <f aca="false">IF(A2561="","",TEXT(A2561,"mmm-yyyy"))</f>
        <v/>
      </c>
      <c r="I2561" s="47" t="str">
        <f aca="false">IF(G2561="","",G2561+H2561)</f>
        <v/>
      </c>
    </row>
    <row r="2562" customFormat="false" ht="15" hidden="false" customHeight="false" outlineLevel="0" collapsed="false">
      <c r="C2562" s="41" t="str">
        <f aca="false">IF(A2562="","",TEXT(A2562,"mmm-yyyy"))</f>
        <v/>
      </c>
      <c r="I2562" s="47" t="str">
        <f aca="false">IF(G2562="","",G2562+H2562)</f>
        <v/>
      </c>
    </row>
    <row r="2563" customFormat="false" ht="15" hidden="false" customHeight="false" outlineLevel="0" collapsed="false">
      <c r="C2563" s="41" t="str">
        <f aca="false">IF(A2563="","",TEXT(A2563,"mmm-yyyy"))</f>
        <v/>
      </c>
      <c r="I2563" s="47" t="str">
        <f aca="false">IF(G2563="","",G2563+H2563)</f>
        <v/>
      </c>
    </row>
    <row r="2564" customFormat="false" ht="15" hidden="false" customHeight="false" outlineLevel="0" collapsed="false">
      <c r="C2564" s="41" t="str">
        <f aca="false">IF(A2564="","",TEXT(A2564,"mmm-yyyy"))</f>
        <v/>
      </c>
      <c r="I2564" s="47" t="str">
        <f aca="false">IF(G2564="","",G2564+H2564)</f>
        <v/>
      </c>
    </row>
    <row r="2565" customFormat="false" ht="15" hidden="false" customHeight="false" outlineLevel="0" collapsed="false">
      <c r="C2565" s="41" t="str">
        <f aca="false">IF(A2565="","",TEXT(A2565,"mmm-yyyy"))</f>
        <v/>
      </c>
      <c r="I2565" s="47" t="str">
        <f aca="false">IF(G2565="","",G2565+H2565)</f>
        <v/>
      </c>
    </row>
    <row r="2566" customFormat="false" ht="15" hidden="false" customHeight="false" outlineLevel="0" collapsed="false">
      <c r="C2566" s="41" t="str">
        <f aca="false">IF(A2566="","",TEXT(A2566,"mmm-yyyy"))</f>
        <v/>
      </c>
      <c r="I2566" s="47" t="str">
        <f aca="false">IF(G2566="","",G2566+H2566)</f>
        <v/>
      </c>
    </row>
    <row r="2567" customFormat="false" ht="15" hidden="false" customHeight="false" outlineLevel="0" collapsed="false">
      <c r="C2567" s="41" t="str">
        <f aca="false">IF(A2567="","",TEXT(A2567,"mmm-yyyy"))</f>
        <v/>
      </c>
      <c r="I2567" s="47" t="str">
        <f aca="false">IF(G2567="","",G2567+H2567)</f>
        <v/>
      </c>
    </row>
    <row r="2568" customFormat="false" ht="15" hidden="false" customHeight="false" outlineLevel="0" collapsed="false">
      <c r="C2568" s="41" t="str">
        <f aca="false">IF(A2568="","",TEXT(A2568,"mmm-yyyy"))</f>
        <v/>
      </c>
      <c r="I2568" s="47" t="str">
        <f aca="false">IF(G2568="","",G2568+H2568)</f>
        <v/>
      </c>
    </row>
    <row r="2569" customFormat="false" ht="15" hidden="false" customHeight="false" outlineLevel="0" collapsed="false">
      <c r="C2569" s="41" t="str">
        <f aca="false">IF(A2569="","",TEXT(A2569,"mmm-yyyy"))</f>
        <v/>
      </c>
      <c r="I2569" s="47" t="str">
        <f aca="false">IF(G2569="","",G2569+H2569)</f>
        <v/>
      </c>
    </row>
    <row r="2570" customFormat="false" ht="15" hidden="false" customHeight="false" outlineLevel="0" collapsed="false">
      <c r="C2570" s="41" t="str">
        <f aca="false">IF(A2570="","",TEXT(A2570,"mmm-yyyy"))</f>
        <v/>
      </c>
      <c r="I2570" s="47" t="str">
        <f aca="false">IF(G2570="","",G2570+H2570)</f>
        <v/>
      </c>
    </row>
    <row r="2571" customFormat="false" ht="15" hidden="false" customHeight="false" outlineLevel="0" collapsed="false">
      <c r="C2571" s="41" t="str">
        <f aca="false">IF(A2571="","",TEXT(A2571,"mmm-yyyy"))</f>
        <v/>
      </c>
      <c r="I2571" s="47" t="str">
        <f aca="false">IF(G2571="","",G2571+H2571)</f>
        <v/>
      </c>
    </row>
    <row r="2572" customFormat="false" ht="15" hidden="false" customHeight="false" outlineLevel="0" collapsed="false">
      <c r="C2572" s="41" t="str">
        <f aca="false">IF(A2572="","",TEXT(A2572,"mmm-yyyy"))</f>
        <v/>
      </c>
      <c r="I2572" s="47" t="str">
        <f aca="false">IF(G2572="","",G2572+H2572)</f>
        <v/>
      </c>
    </row>
    <row r="2573" customFormat="false" ht="15" hidden="false" customHeight="false" outlineLevel="0" collapsed="false">
      <c r="C2573" s="41" t="str">
        <f aca="false">IF(A2573="","",TEXT(A2573,"mmm-yyyy"))</f>
        <v/>
      </c>
      <c r="I2573" s="47" t="str">
        <f aca="false">IF(G2573="","",G2573+H2573)</f>
        <v/>
      </c>
    </row>
    <row r="2574" customFormat="false" ht="15" hidden="false" customHeight="false" outlineLevel="0" collapsed="false">
      <c r="C2574" s="41" t="str">
        <f aca="false">IF(A2574="","",TEXT(A2574,"mmm-yyyy"))</f>
        <v/>
      </c>
      <c r="I2574" s="47" t="str">
        <f aca="false">IF(G2574="","",G2574+H2574)</f>
        <v/>
      </c>
    </row>
    <row r="2575" customFormat="false" ht="15" hidden="false" customHeight="false" outlineLevel="0" collapsed="false">
      <c r="C2575" s="41" t="str">
        <f aca="false">IF(A2575="","",TEXT(A2575,"mmm-yyyy"))</f>
        <v/>
      </c>
      <c r="I2575" s="47" t="str">
        <f aca="false">IF(G2575="","",G2575+H2575)</f>
        <v/>
      </c>
    </row>
    <row r="2576" customFormat="false" ht="15" hidden="false" customHeight="false" outlineLevel="0" collapsed="false">
      <c r="C2576" s="41" t="str">
        <f aca="false">IF(A2576="","",TEXT(A2576,"mmm-yyyy"))</f>
        <v/>
      </c>
      <c r="I2576" s="47" t="str">
        <f aca="false">IF(G2576="","",G2576+H2576)</f>
        <v/>
      </c>
    </row>
    <row r="2577" customFormat="false" ht="15" hidden="false" customHeight="false" outlineLevel="0" collapsed="false">
      <c r="C2577" s="41" t="str">
        <f aca="false">IF(A2577="","",TEXT(A2577,"mmm-yyyy"))</f>
        <v/>
      </c>
      <c r="I2577" s="47" t="str">
        <f aca="false">IF(G2577="","",G2577+H2577)</f>
        <v/>
      </c>
    </row>
    <row r="2578" customFormat="false" ht="15" hidden="false" customHeight="false" outlineLevel="0" collapsed="false">
      <c r="C2578" s="41" t="str">
        <f aca="false">IF(A2578="","",TEXT(A2578,"mmm-yyyy"))</f>
        <v/>
      </c>
      <c r="I2578" s="47" t="str">
        <f aca="false">IF(G2578="","",G2578+H2578)</f>
        <v/>
      </c>
    </row>
    <row r="2579" customFormat="false" ht="15" hidden="false" customHeight="false" outlineLevel="0" collapsed="false">
      <c r="C2579" s="41" t="str">
        <f aca="false">IF(A2579="","",TEXT(A2579,"mmm-yyyy"))</f>
        <v/>
      </c>
      <c r="I2579" s="47" t="str">
        <f aca="false">IF(G2579="","",G2579+H2579)</f>
        <v/>
      </c>
    </row>
    <row r="2580" customFormat="false" ht="15" hidden="false" customHeight="false" outlineLevel="0" collapsed="false">
      <c r="C2580" s="41" t="str">
        <f aca="false">IF(A2580="","",TEXT(A2580,"mmm-yyyy"))</f>
        <v/>
      </c>
      <c r="I2580" s="47" t="str">
        <f aca="false">IF(G2580="","",G2580+H2580)</f>
        <v/>
      </c>
    </row>
    <row r="2581" customFormat="false" ht="15" hidden="false" customHeight="false" outlineLevel="0" collapsed="false">
      <c r="C2581" s="41" t="str">
        <f aca="false">IF(A2581="","",TEXT(A2581,"mmm-yyyy"))</f>
        <v/>
      </c>
      <c r="I2581" s="47" t="str">
        <f aca="false">IF(G2581="","",G2581+H2581)</f>
        <v/>
      </c>
    </row>
    <row r="2582" customFormat="false" ht="15" hidden="false" customHeight="false" outlineLevel="0" collapsed="false">
      <c r="C2582" s="41" t="str">
        <f aca="false">IF(A2582="","",TEXT(A2582,"mmm-yyyy"))</f>
        <v/>
      </c>
      <c r="I2582" s="47" t="str">
        <f aca="false">IF(G2582="","",G2582+H2582)</f>
        <v/>
      </c>
    </row>
    <row r="2583" customFormat="false" ht="15" hidden="false" customHeight="false" outlineLevel="0" collapsed="false">
      <c r="C2583" s="41" t="str">
        <f aca="false">IF(A2583="","",TEXT(A2583,"mmm-yyyy"))</f>
        <v/>
      </c>
      <c r="I2583" s="47" t="str">
        <f aca="false">IF(G2583="","",G2583+H2583)</f>
        <v/>
      </c>
    </row>
    <row r="2584" customFormat="false" ht="15" hidden="false" customHeight="false" outlineLevel="0" collapsed="false">
      <c r="C2584" s="41" t="str">
        <f aca="false">IF(A2584="","",TEXT(A2584,"mmm-yyyy"))</f>
        <v/>
      </c>
      <c r="I2584" s="47" t="str">
        <f aca="false">IF(G2584="","",G2584+H2584)</f>
        <v/>
      </c>
    </row>
    <row r="2585" customFormat="false" ht="15" hidden="false" customHeight="false" outlineLevel="0" collapsed="false">
      <c r="C2585" s="41" t="str">
        <f aca="false">IF(A2585="","",TEXT(A2585,"mmm-yyyy"))</f>
        <v/>
      </c>
      <c r="I2585" s="47" t="str">
        <f aca="false">IF(G2585="","",G2585+H2585)</f>
        <v/>
      </c>
    </row>
    <row r="2586" customFormat="false" ht="15" hidden="false" customHeight="false" outlineLevel="0" collapsed="false">
      <c r="C2586" s="41" t="str">
        <f aca="false">IF(A2586="","",TEXT(A2586,"mmm-yyyy"))</f>
        <v/>
      </c>
      <c r="I2586" s="47" t="str">
        <f aca="false">IF(G2586="","",G2586+H2586)</f>
        <v/>
      </c>
    </row>
    <row r="2587" customFormat="false" ht="15" hidden="false" customHeight="false" outlineLevel="0" collapsed="false">
      <c r="C2587" s="41" t="str">
        <f aca="false">IF(A2587="","",TEXT(A2587,"mmm-yyyy"))</f>
        <v/>
      </c>
      <c r="I2587" s="47" t="str">
        <f aca="false">IF(G2587="","",G2587+H2587)</f>
        <v/>
      </c>
    </row>
    <row r="2588" customFormat="false" ht="15" hidden="false" customHeight="false" outlineLevel="0" collapsed="false">
      <c r="C2588" s="41" t="str">
        <f aca="false">IF(A2588="","",TEXT(A2588,"mmm-yyyy"))</f>
        <v/>
      </c>
      <c r="I2588" s="47" t="str">
        <f aca="false">IF(G2588="","",G2588+H2588)</f>
        <v/>
      </c>
    </row>
    <row r="2589" customFormat="false" ht="15" hidden="false" customHeight="false" outlineLevel="0" collapsed="false">
      <c r="C2589" s="41" t="str">
        <f aca="false">IF(A2589="","",TEXT(A2589,"mmm-yyyy"))</f>
        <v/>
      </c>
      <c r="I2589" s="47" t="str">
        <f aca="false">IF(G2589="","",G2589+H2589)</f>
        <v/>
      </c>
    </row>
    <row r="2590" customFormat="false" ht="15" hidden="false" customHeight="false" outlineLevel="0" collapsed="false">
      <c r="C2590" s="41" t="str">
        <f aca="false">IF(A2590="","",TEXT(A2590,"mmm-yyyy"))</f>
        <v/>
      </c>
      <c r="I2590" s="47" t="str">
        <f aca="false">IF(G2590="","",G2590+H2590)</f>
        <v/>
      </c>
    </row>
    <row r="2591" customFormat="false" ht="15" hidden="false" customHeight="false" outlineLevel="0" collapsed="false">
      <c r="C2591" s="41" t="str">
        <f aca="false">IF(A2591="","",TEXT(A2591,"mmm-yyyy"))</f>
        <v/>
      </c>
      <c r="I2591" s="47" t="str">
        <f aca="false">IF(G2591="","",G2591+H2591)</f>
        <v/>
      </c>
    </row>
    <row r="2592" customFormat="false" ht="15" hidden="false" customHeight="false" outlineLevel="0" collapsed="false">
      <c r="C2592" s="41" t="str">
        <f aca="false">IF(A2592="","",TEXT(A2592,"mmm-yyyy"))</f>
        <v/>
      </c>
      <c r="I2592" s="47" t="str">
        <f aca="false">IF(G2592="","",G2592+H2592)</f>
        <v/>
      </c>
    </row>
    <row r="2593" customFormat="false" ht="15" hidden="false" customHeight="false" outlineLevel="0" collapsed="false">
      <c r="C2593" s="41" t="str">
        <f aca="false">IF(A2593="","",TEXT(A2593,"mmm-yyyy"))</f>
        <v/>
      </c>
      <c r="I2593" s="47" t="str">
        <f aca="false">IF(G2593="","",G2593+H2593)</f>
        <v/>
      </c>
    </row>
    <row r="2594" customFormat="false" ht="15" hidden="false" customHeight="false" outlineLevel="0" collapsed="false">
      <c r="C2594" s="41" t="str">
        <f aca="false">IF(A2594="","",TEXT(A2594,"mmm-yyyy"))</f>
        <v/>
      </c>
      <c r="I2594" s="47" t="str">
        <f aca="false">IF(G2594="","",G2594+H2594)</f>
        <v/>
      </c>
    </row>
    <row r="2595" customFormat="false" ht="15" hidden="false" customHeight="false" outlineLevel="0" collapsed="false">
      <c r="C2595" s="41" t="str">
        <f aca="false">IF(A2595="","",TEXT(A2595,"mmm-yyyy"))</f>
        <v/>
      </c>
      <c r="I2595" s="47" t="str">
        <f aca="false">IF(G2595="","",G2595+H2595)</f>
        <v/>
      </c>
    </row>
    <row r="2596" customFormat="false" ht="15" hidden="false" customHeight="false" outlineLevel="0" collapsed="false">
      <c r="C2596" s="41" t="str">
        <f aca="false">IF(A2596="","",TEXT(A2596,"mmm-yyyy"))</f>
        <v/>
      </c>
      <c r="I2596" s="47" t="str">
        <f aca="false">IF(G2596="","",G2596+H2596)</f>
        <v/>
      </c>
    </row>
    <row r="2597" customFormat="false" ht="15" hidden="false" customHeight="false" outlineLevel="0" collapsed="false">
      <c r="C2597" s="41" t="str">
        <f aca="false">IF(A2597="","",TEXT(A2597,"mmm-yyyy"))</f>
        <v/>
      </c>
      <c r="I2597" s="47" t="str">
        <f aca="false">IF(G2597="","",G2597+H2597)</f>
        <v/>
      </c>
    </row>
    <row r="2598" customFormat="false" ht="15" hidden="false" customHeight="false" outlineLevel="0" collapsed="false">
      <c r="C2598" s="41" t="str">
        <f aca="false">IF(A2598="","",TEXT(A2598,"mmm-yyyy"))</f>
        <v/>
      </c>
      <c r="I2598" s="47" t="str">
        <f aca="false">IF(G2598="","",G2598+H2598)</f>
        <v/>
      </c>
    </row>
    <row r="2599" customFormat="false" ht="15" hidden="false" customHeight="false" outlineLevel="0" collapsed="false">
      <c r="C2599" s="41" t="str">
        <f aca="false">IF(A2599="","",TEXT(A2599,"mmm-yyyy"))</f>
        <v/>
      </c>
      <c r="I2599" s="47" t="str">
        <f aca="false">IF(G2599="","",G2599+H2599)</f>
        <v/>
      </c>
    </row>
    <row r="2600" customFormat="false" ht="15" hidden="false" customHeight="false" outlineLevel="0" collapsed="false">
      <c r="C2600" s="41" t="str">
        <f aca="false">IF(A2600="","",TEXT(A2600,"mmm-yyyy"))</f>
        <v/>
      </c>
      <c r="I2600" s="47" t="str">
        <f aca="false">IF(G2600="","",G2600+H2600)</f>
        <v/>
      </c>
    </row>
    <row r="2601" customFormat="false" ht="15" hidden="false" customHeight="false" outlineLevel="0" collapsed="false">
      <c r="C2601" s="41" t="str">
        <f aca="false">IF(A2601="","",TEXT(A2601,"mmm-yyyy"))</f>
        <v/>
      </c>
      <c r="I2601" s="47" t="str">
        <f aca="false">IF(G2601="","",G2601+H2601)</f>
        <v/>
      </c>
    </row>
    <row r="2602" customFormat="false" ht="15" hidden="false" customHeight="false" outlineLevel="0" collapsed="false">
      <c r="C2602" s="41" t="str">
        <f aca="false">IF(A2602="","",TEXT(A2602,"mmm-yyyy"))</f>
        <v/>
      </c>
      <c r="I2602" s="47" t="str">
        <f aca="false">IF(G2602="","",G2602+H2602)</f>
        <v/>
      </c>
    </row>
    <row r="2603" customFormat="false" ht="15" hidden="false" customHeight="false" outlineLevel="0" collapsed="false">
      <c r="C2603" s="41" t="str">
        <f aca="false">IF(A2603="","",TEXT(A2603,"mmm-yyyy"))</f>
        <v/>
      </c>
      <c r="I2603" s="47" t="str">
        <f aca="false">IF(G2603="","",G2603+H2603)</f>
        <v/>
      </c>
    </row>
    <row r="2604" customFormat="false" ht="15" hidden="false" customHeight="false" outlineLevel="0" collapsed="false">
      <c r="C2604" s="41" t="str">
        <f aca="false">IF(A2604="","",TEXT(A2604,"mmm-yyyy"))</f>
        <v/>
      </c>
      <c r="I2604" s="47" t="str">
        <f aca="false">IF(G2604="","",G2604+H2604)</f>
        <v/>
      </c>
    </row>
    <row r="2605" customFormat="false" ht="15" hidden="false" customHeight="false" outlineLevel="0" collapsed="false">
      <c r="C2605" s="41" t="str">
        <f aca="false">IF(A2605="","",TEXT(A2605,"mmm-yyyy"))</f>
        <v/>
      </c>
      <c r="I2605" s="47" t="str">
        <f aca="false">IF(G2605="","",G2605+H2605)</f>
        <v/>
      </c>
    </row>
    <row r="2606" customFormat="false" ht="15" hidden="false" customHeight="false" outlineLevel="0" collapsed="false">
      <c r="C2606" s="41" t="str">
        <f aca="false">IF(A2606="","",TEXT(A2606,"mmm-yyyy"))</f>
        <v/>
      </c>
      <c r="I2606" s="47" t="str">
        <f aca="false">IF(G2606="","",G2606+H2606)</f>
        <v/>
      </c>
    </row>
    <row r="2607" customFormat="false" ht="15" hidden="false" customHeight="false" outlineLevel="0" collapsed="false">
      <c r="C2607" s="41" t="str">
        <f aca="false">IF(A2607="","",TEXT(A2607,"mmm-yyyy"))</f>
        <v/>
      </c>
      <c r="I2607" s="47" t="str">
        <f aca="false">IF(G2607="","",G2607+H2607)</f>
        <v/>
      </c>
    </row>
    <row r="2608" customFormat="false" ht="15" hidden="false" customHeight="false" outlineLevel="0" collapsed="false">
      <c r="C2608" s="41" t="str">
        <f aca="false">IF(A2608="","",TEXT(A2608,"mmm-yyyy"))</f>
        <v/>
      </c>
      <c r="I2608" s="47" t="str">
        <f aca="false">IF(G2608="","",G2608+H2608)</f>
        <v/>
      </c>
    </row>
    <row r="2609" customFormat="false" ht="15" hidden="false" customHeight="false" outlineLevel="0" collapsed="false">
      <c r="C2609" s="41" t="str">
        <f aca="false">IF(A2609="","",TEXT(A2609,"mmm-yyyy"))</f>
        <v/>
      </c>
      <c r="I2609" s="47" t="str">
        <f aca="false">IF(G2609="","",G2609+H2609)</f>
        <v/>
      </c>
    </row>
    <row r="2610" customFormat="false" ht="15" hidden="false" customHeight="false" outlineLevel="0" collapsed="false">
      <c r="C2610" s="41" t="str">
        <f aca="false">IF(A2610="","",TEXT(A2610,"mmm-yyyy"))</f>
        <v/>
      </c>
      <c r="I2610" s="47" t="str">
        <f aca="false">IF(G2610="","",G2610+H2610)</f>
        <v/>
      </c>
    </row>
    <row r="2611" customFormat="false" ht="15" hidden="false" customHeight="false" outlineLevel="0" collapsed="false">
      <c r="C2611" s="41" t="str">
        <f aca="false">IF(A2611="","",TEXT(A2611,"mmm-yyyy"))</f>
        <v/>
      </c>
      <c r="I2611" s="47" t="str">
        <f aca="false">IF(G2611="","",G2611+H2611)</f>
        <v/>
      </c>
    </row>
    <row r="2612" customFormat="false" ht="15" hidden="false" customHeight="false" outlineLevel="0" collapsed="false">
      <c r="C2612" s="41" t="str">
        <f aca="false">IF(A2612="","",TEXT(A2612,"mmm-yyyy"))</f>
        <v/>
      </c>
      <c r="I2612" s="47" t="str">
        <f aca="false">IF(G2612="","",G2612+H2612)</f>
        <v/>
      </c>
    </row>
    <row r="2613" customFormat="false" ht="15" hidden="false" customHeight="false" outlineLevel="0" collapsed="false">
      <c r="C2613" s="41" t="str">
        <f aca="false">IF(A2613="","",TEXT(A2613,"mmm-yyyy"))</f>
        <v/>
      </c>
      <c r="I2613" s="47" t="str">
        <f aca="false">IF(G2613="","",G2613+H2613)</f>
        <v/>
      </c>
    </row>
    <row r="2614" customFormat="false" ht="15" hidden="false" customHeight="false" outlineLevel="0" collapsed="false">
      <c r="C2614" s="41" t="str">
        <f aca="false">IF(A2614="","",TEXT(A2614,"mmm-yyyy"))</f>
        <v/>
      </c>
      <c r="I2614" s="47" t="str">
        <f aca="false">IF(G2614="","",G2614+H2614)</f>
        <v/>
      </c>
    </row>
    <row r="2615" customFormat="false" ht="15" hidden="false" customHeight="false" outlineLevel="0" collapsed="false">
      <c r="C2615" s="41" t="str">
        <f aca="false">IF(A2615="","",TEXT(A2615,"mmm-yyyy"))</f>
        <v/>
      </c>
      <c r="I2615" s="47" t="str">
        <f aca="false">IF(G2615="","",G2615+H2615)</f>
        <v/>
      </c>
    </row>
    <row r="2616" customFormat="false" ht="15" hidden="false" customHeight="false" outlineLevel="0" collapsed="false">
      <c r="C2616" s="41" t="str">
        <f aca="false">IF(A2616="","",TEXT(A2616,"mmm-yyyy"))</f>
        <v/>
      </c>
      <c r="I2616" s="47" t="str">
        <f aca="false">IF(G2616="","",G2616+H2616)</f>
        <v/>
      </c>
    </row>
    <row r="2617" customFormat="false" ht="15" hidden="false" customHeight="false" outlineLevel="0" collapsed="false">
      <c r="C2617" s="41" t="str">
        <f aca="false">IF(A2617="","",TEXT(A2617,"mmm-yyyy"))</f>
        <v/>
      </c>
      <c r="I2617" s="47" t="str">
        <f aca="false">IF(G2617="","",G2617+H2617)</f>
        <v/>
      </c>
    </row>
    <row r="2618" customFormat="false" ht="15" hidden="false" customHeight="false" outlineLevel="0" collapsed="false">
      <c r="C2618" s="41" t="str">
        <f aca="false">IF(A2618="","",TEXT(A2618,"mmm-yyyy"))</f>
        <v/>
      </c>
      <c r="I2618" s="47" t="str">
        <f aca="false">IF(G2618="","",G2618+H2618)</f>
        <v/>
      </c>
    </row>
    <row r="2619" customFormat="false" ht="15" hidden="false" customHeight="false" outlineLevel="0" collapsed="false">
      <c r="C2619" s="41" t="str">
        <f aca="false">IF(A2619="","",TEXT(A2619,"mmm-yyyy"))</f>
        <v/>
      </c>
      <c r="I2619" s="47" t="str">
        <f aca="false">IF(G2619="","",G2619+H2619)</f>
        <v/>
      </c>
    </row>
    <row r="2620" customFormat="false" ht="15" hidden="false" customHeight="false" outlineLevel="0" collapsed="false">
      <c r="C2620" s="41" t="str">
        <f aca="false">IF(A2620="","",TEXT(A2620,"mmm-yyyy"))</f>
        <v/>
      </c>
      <c r="I2620" s="47" t="str">
        <f aca="false">IF(G2620="","",G2620+H2620)</f>
        <v/>
      </c>
    </row>
    <row r="2621" customFormat="false" ht="15" hidden="false" customHeight="false" outlineLevel="0" collapsed="false">
      <c r="C2621" s="41" t="str">
        <f aca="false">IF(A2621="","",TEXT(A2621,"mmm-yyyy"))</f>
        <v/>
      </c>
      <c r="I2621" s="47" t="str">
        <f aca="false">IF(G2621="","",G2621+H2621)</f>
        <v/>
      </c>
    </row>
    <row r="2622" customFormat="false" ht="15" hidden="false" customHeight="false" outlineLevel="0" collapsed="false">
      <c r="C2622" s="41" t="str">
        <f aca="false">IF(A2622="","",TEXT(A2622,"mmm-yyyy"))</f>
        <v/>
      </c>
      <c r="I2622" s="47" t="str">
        <f aca="false">IF(G2622="","",G2622+H2622)</f>
        <v/>
      </c>
    </row>
    <row r="2623" customFormat="false" ht="15" hidden="false" customHeight="false" outlineLevel="0" collapsed="false">
      <c r="C2623" s="41" t="str">
        <f aca="false">IF(A2623="","",TEXT(A2623,"mmm-yyyy"))</f>
        <v/>
      </c>
      <c r="I2623" s="47" t="str">
        <f aca="false">IF(G2623="","",G2623+H2623)</f>
        <v/>
      </c>
    </row>
    <row r="2624" customFormat="false" ht="15" hidden="false" customHeight="false" outlineLevel="0" collapsed="false">
      <c r="C2624" s="41" t="str">
        <f aca="false">IF(A2624="","",TEXT(A2624,"mmm-yyyy"))</f>
        <v/>
      </c>
      <c r="I2624" s="47" t="str">
        <f aca="false">IF(G2624="","",G2624+H2624)</f>
        <v/>
      </c>
    </row>
    <row r="2625" customFormat="false" ht="15" hidden="false" customHeight="false" outlineLevel="0" collapsed="false">
      <c r="C2625" s="41" t="str">
        <f aca="false">IF(A2625="","",TEXT(A2625,"mmm-yyyy"))</f>
        <v/>
      </c>
      <c r="I2625" s="47" t="str">
        <f aca="false">IF(G2625="","",G2625+H2625)</f>
        <v/>
      </c>
    </row>
    <row r="2626" customFormat="false" ht="15" hidden="false" customHeight="false" outlineLevel="0" collapsed="false">
      <c r="C2626" s="41" t="str">
        <f aca="false">IF(A2626="","",TEXT(A2626,"mmm-yyyy"))</f>
        <v/>
      </c>
      <c r="I2626" s="47" t="str">
        <f aca="false">IF(G2626="","",G2626+H2626)</f>
        <v/>
      </c>
    </row>
    <row r="2627" customFormat="false" ht="15" hidden="false" customHeight="false" outlineLevel="0" collapsed="false">
      <c r="C2627" s="41" t="str">
        <f aca="false">IF(A2627="","",TEXT(A2627,"mmm-yyyy"))</f>
        <v/>
      </c>
      <c r="I2627" s="47" t="str">
        <f aca="false">IF(G2627="","",G2627+H2627)</f>
        <v/>
      </c>
    </row>
    <row r="2628" customFormat="false" ht="15" hidden="false" customHeight="false" outlineLevel="0" collapsed="false">
      <c r="C2628" s="41" t="str">
        <f aca="false">IF(A2628="","",TEXT(A2628,"mmm-yyyy"))</f>
        <v/>
      </c>
      <c r="I2628" s="47" t="str">
        <f aca="false">IF(G2628="","",G2628+H2628)</f>
        <v/>
      </c>
    </row>
    <row r="2629" customFormat="false" ht="15" hidden="false" customHeight="false" outlineLevel="0" collapsed="false">
      <c r="C2629" s="41" t="str">
        <f aca="false">IF(A2629="","",TEXT(A2629,"mmm-yyyy"))</f>
        <v/>
      </c>
      <c r="I2629" s="47" t="str">
        <f aca="false">IF(G2629="","",G2629+H2629)</f>
        <v/>
      </c>
    </row>
    <row r="2630" customFormat="false" ht="15" hidden="false" customHeight="false" outlineLevel="0" collapsed="false">
      <c r="C2630" s="41" t="str">
        <f aca="false">IF(A2630="","",TEXT(A2630,"mmm-yyyy"))</f>
        <v/>
      </c>
      <c r="I2630" s="47" t="str">
        <f aca="false">IF(G2630="","",G2630+H2630)</f>
        <v/>
      </c>
    </row>
    <row r="2631" customFormat="false" ht="15" hidden="false" customHeight="false" outlineLevel="0" collapsed="false">
      <c r="C2631" s="41" t="str">
        <f aca="false">IF(A2631="","",TEXT(A2631,"mmm-yyyy"))</f>
        <v/>
      </c>
      <c r="I2631" s="47" t="str">
        <f aca="false">IF(G2631="","",G2631+H2631)</f>
        <v/>
      </c>
    </row>
    <row r="2632" customFormat="false" ht="15" hidden="false" customHeight="false" outlineLevel="0" collapsed="false">
      <c r="C2632" s="41" t="str">
        <f aca="false">IF(A2632="","",TEXT(A2632,"mmm-yyyy"))</f>
        <v/>
      </c>
      <c r="I2632" s="47" t="str">
        <f aca="false">IF(G2632="","",G2632+H2632)</f>
        <v/>
      </c>
    </row>
    <row r="2633" customFormat="false" ht="15" hidden="false" customHeight="false" outlineLevel="0" collapsed="false">
      <c r="C2633" s="41" t="str">
        <f aca="false">IF(A2633="","",TEXT(A2633,"mmm-yyyy"))</f>
        <v/>
      </c>
      <c r="I2633" s="47" t="str">
        <f aca="false">IF(G2633="","",G2633+H2633)</f>
        <v/>
      </c>
    </row>
    <row r="2634" customFormat="false" ht="15" hidden="false" customHeight="false" outlineLevel="0" collapsed="false">
      <c r="C2634" s="41" t="str">
        <f aca="false">IF(A2634="","",TEXT(A2634,"mmm-yyyy"))</f>
        <v/>
      </c>
      <c r="I2634" s="47" t="str">
        <f aca="false">IF(G2634="","",G2634+H2634)</f>
        <v/>
      </c>
    </row>
    <row r="2635" customFormat="false" ht="15" hidden="false" customHeight="false" outlineLevel="0" collapsed="false">
      <c r="C2635" s="41" t="str">
        <f aca="false">IF(A2635="","",TEXT(A2635,"mmm-yyyy"))</f>
        <v/>
      </c>
      <c r="I2635" s="47" t="str">
        <f aca="false">IF(G2635="","",G2635+H2635)</f>
        <v/>
      </c>
    </row>
    <row r="2636" customFormat="false" ht="15" hidden="false" customHeight="false" outlineLevel="0" collapsed="false">
      <c r="C2636" s="41" t="str">
        <f aca="false">IF(A2636="","",TEXT(A2636,"mmm-yyyy"))</f>
        <v/>
      </c>
      <c r="I2636" s="47" t="str">
        <f aca="false">IF(G2636="","",G2636+H2636)</f>
        <v/>
      </c>
    </row>
    <row r="2637" customFormat="false" ht="15" hidden="false" customHeight="false" outlineLevel="0" collapsed="false">
      <c r="C2637" s="41" t="str">
        <f aca="false">IF(A2637="","",TEXT(A2637,"mmm-yyyy"))</f>
        <v/>
      </c>
      <c r="I2637" s="47" t="str">
        <f aca="false">IF(G2637="","",G2637+H2637)</f>
        <v/>
      </c>
    </row>
    <row r="2638" customFormat="false" ht="15" hidden="false" customHeight="false" outlineLevel="0" collapsed="false">
      <c r="C2638" s="41" t="str">
        <f aca="false">IF(A2638="","",TEXT(A2638,"mmm-yyyy"))</f>
        <v/>
      </c>
      <c r="I2638" s="47" t="str">
        <f aca="false">IF(G2638="","",G2638+H2638)</f>
        <v/>
      </c>
    </row>
    <row r="2639" customFormat="false" ht="15" hidden="false" customHeight="false" outlineLevel="0" collapsed="false">
      <c r="C2639" s="41" t="str">
        <f aca="false">IF(A2639="","",TEXT(A2639,"mmm-yyyy"))</f>
        <v/>
      </c>
      <c r="I2639" s="47" t="str">
        <f aca="false">IF(G2639="","",G2639+H2639)</f>
        <v/>
      </c>
    </row>
    <row r="2640" customFormat="false" ht="15" hidden="false" customHeight="false" outlineLevel="0" collapsed="false">
      <c r="C2640" s="41" t="str">
        <f aca="false">IF(A2640="","",TEXT(A2640,"mmm-yyyy"))</f>
        <v/>
      </c>
      <c r="I2640" s="47" t="str">
        <f aca="false">IF(G2640="","",G2640+H2640)</f>
        <v/>
      </c>
    </row>
    <row r="2641" customFormat="false" ht="15" hidden="false" customHeight="false" outlineLevel="0" collapsed="false">
      <c r="C2641" s="41" t="str">
        <f aca="false">IF(A2641="","",TEXT(A2641,"mmm-yyyy"))</f>
        <v/>
      </c>
      <c r="I2641" s="47" t="str">
        <f aca="false">IF(G2641="","",G2641+H2641)</f>
        <v/>
      </c>
    </row>
    <row r="2642" customFormat="false" ht="15" hidden="false" customHeight="false" outlineLevel="0" collapsed="false">
      <c r="C2642" s="41" t="str">
        <f aca="false">IF(A2642="","",TEXT(A2642,"mmm-yyyy"))</f>
        <v/>
      </c>
      <c r="I2642" s="47" t="str">
        <f aca="false">IF(G2642="","",G2642+H2642)</f>
        <v/>
      </c>
    </row>
    <row r="2643" customFormat="false" ht="15" hidden="false" customHeight="false" outlineLevel="0" collapsed="false">
      <c r="C2643" s="41" t="str">
        <f aca="false">IF(A2643="","",TEXT(A2643,"mmm-yyyy"))</f>
        <v/>
      </c>
      <c r="I2643" s="47" t="str">
        <f aca="false">IF(G2643="","",G2643+H2643)</f>
        <v/>
      </c>
    </row>
    <row r="2644" customFormat="false" ht="15" hidden="false" customHeight="false" outlineLevel="0" collapsed="false">
      <c r="C2644" s="41" t="str">
        <f aca="false">IF(A2644="","",TEXT(A2644,"mmm-yyyy"))</f>
        <v/>
      </c>
      <c r="I2644" s="47" t="str">
        <f aca="false">IF(G2644="","",G2644+H2644)</f>
        <v/>
      </c>
    </row>
    <row r="2645" customFormat="false" ht="15" hidden="false" customHeight="false" outlineLevel="0" collapsed="false">
      <c r="C2645" s="41" t="str">
        <f aca="false">IF(A2645="","",TEXT(A2645,"mmm-yyyy"))</f>
        <v/>
      </c>
      <c r="I2645" s="47" t="str">
        <f aca="false">IF(G2645="","",G2645+H2645)</f>
        <v/>
      </c>
    </row>
    <row r="2646" customFormat="false" ht="15" hidden="false" customHeight="false" outlineLevel="0" collapsed="false">
      <c r="C2646" s="41" t="str">
        <f aca="false">IF(A2646="","",TEXT(A2646,"mmm-yyyy"))</f>
        <v/>
      </c>
      <c r="I2646" s="47" t="str">
        <f aca="false">IF(G2646="","",G2646+H2646)</f>
        <v/>
      </c>
    </row>
    <row r="2647" customFormat="false" ht="15" hidden="false" customHeight="false" outlineLevel="0" collapsed="false">
      <c r="C2647" s="41" t="str">
        <f aca="false">IF(A2647="","",TEXT(A2647,"mmm-yyyy"))</f>
        <v/>
      </c>
      <c r="I2647" s="47" t="str">
        <f aca="false">IF(G2647="","",G2647+H2647)</f>
        <v/>
      </c>
    </row>
    <row r="2648" customFormat="false" ht="15" hidden="false" customHeight="false" outlineLevel="0" collapsed="false">
      <c r="C2648" s="41" t="str">
        <f aca="false">IF(A2648="","",TEXT(A2648,"mmm-yyyy"))</f>
        <v/>
      </c>
      <c r="I2648" s="47" t="str">
        <f aca="false">IF(G2648="","",G2648+H2648)</f>
        <v/>
      </c>
    </row>
    <row r="2649" customFormat="false" ht="15" hidden="false" customHeight="false" outlineLevel="0" collapsed="false">
      <c r="C2649" s="41" t="str">
        <f aca="false">IF(A2649="","",TEXT(A2649,"mmm-yyyy"))</f>
        <v/>
      </c>
      <c r="I2649" s="47" t="str">
        <f aca="false">IF(G2649="","",G2649+H2649)</f>
        <v/>
      </c>
    </row>
    <row r="2650" customFormat="false" ht="15" hidden="false" customHeight="false" outlineLevel="0" collapsed="false">
      <c r="C2650" s="41" t="str">
        <f aca="false">IF(A2650="","",TEXT(A2650,"mmm-yyyy"))</f>
        <v/>
      </c>
      <c r="I2650" s="47" t="str">
        <f aca="false">IF(G2650="","",G2650+H2650)</f>
        <v/>
      </c>
    </row>
    <row r="2651" customFormat="false" ht="15" hidden="false" customHeight="false" outlineLevel="0" collapsed="false">
      <c r="C2651" s="41" t="str">
        <f aca="false">IF(A2651="","",TEXT(A2651,"mmm-yyyy"))</f>
        <v/>
      </c>
      <c r="I2651" s="47" t="str">
        <f aca="false">IF(G2651="","",G2651+H2651)</f>
        <v/>
      </c>
    </row>
    <row r="2652" customFormat="false" ht="15" hidden="false" customHeight="false" outlineLevel="0" collapsed="false">
      <c r="C2652" s="41" t="str">
        <f aca="false">IF(A2652="","",TEXT(A2652,"mmm-yyyy"))</f>
        <v/>
      </c>
      <c r="I2652" s="47" t="str">
        <f aca="false">IF(G2652="","",G2652+H2652)</f>
        <v/>
      </c>
    </row>
    <row r="2653" customFormat="false" ht="15" hidden="false" customHeight="false" outlineLevel="0" collapsed="false">
      <c r="C2653" s="41" t="str">
        <f aca="false">IF(A2653="","",TEXT(A2653,"mmm-yyyy"))</f>
        <v/>
      </c>
      <c r="I2653" s="47" t="str">
        <f aca="false">IF(G2653="","",G2653+H2653)</f>
        <v/>
      </c>
    </row>
    <row r="2654" customFormat="false" ht="15" hidden="false" customHeight="false" outlineLevel="0" collapsed="false">
      <c r="C2654" s="41" t="str">
        <f aca="false">IF(A2654="","",TEXT(A2654,"mmm-yyyy"))</f>
        <v/>
      </c>
      <c r="I2654" s="47" t="str">
        <f aca="false">IF(G2654="","",G2654+H2654)</f>
        <v/>
      </c>
    </row>
    <row r="2655" customFormat="false" ht="15" hidden="false" customHeight="false" outlineLevel="0" collapsed="false">
      <c r="C2655" s="41" t="str">
        <f aca="false">IF(A2655="","",TEXT(A2655,"mmm-yyyy"))</f>
        <v/>
      </c>
      <c r="I2655" s="47" t="str">
        <f aca="false">IF(G2655="","",G2655+H2655)</f>
        <v/>
      </c>
    </row>
    <row r="2656" customFormat="false" ht="15" hidden="false" customHeight="false" outlineLevel="0" collapsed="false">
      <c r="C2656" s="41" t="str">
        <f aca="false">IF(A2656="","",TEXT(A2656,"mmm-yyyy"))</f>
        <v/>
      </c>
      <c r="I2656" s="47" t="str">
        <f aca="false">IF(G2656="","",G2656+H2656)</f>
        <v/>
      </c>
    </row>
    <row r="2657" customFormat="false" ht="15" hidden="false" customHeight="false" outlineLevel="0" collapsed="false">
      <c r="C2657" s="41" t="str">
        <f aca="false">IF(A2657="","",TEXT(A2657,"mmm-yyyy"))</f>
        <v/>
      </c>
      <c r="I2657" s="47" t="str">
        <f aca="false">IF(G2657="","",G2657+H2657)</f>
        <v/>
      </c>
    </row>
    <row r="2658" customFormat="false" ht="15" hidden="false" customHeight="false" outlineLevel="0" collapsed="false">
      <c r="C2658" s="41" t="str">
        <f aca="false">IF(A2658="","",TEXT(A2658,"mmm-yyyy"))</f>
        <v/>
      </c>
      <c r="I2658" s="47" t="str">
        <f aca="false">IF(G2658="","",G2658+H2658)</f>
        <v/>
      </c>
    </row>
    <row r="2659" customFormat="false" ht="15" hidden="false" customHeight="false" outlineLevel="0" collapsed="false">
      <c r="C2659" s="41" t="str">
        <f aca="false">IF(A2659="","",TEXT(A2659,"mmm-yyyy"))</f>
        <v/>
      </c>
      <c r="I2659" s="47" t="str">
        <f aca="false">IF(G2659="","",G2659+H2659)</f>
        <v/>
      </c>
    </row>
    <row r="2660" customFormat="false" ht="15" hidden="false" customHeight="false" outlineLevel="0" collapsed="false">
      <c r="C2660" s="41" t="str">
        <f aca="false">IF(A2660="","",TEXT(A2660,"mmm-yyyy"))</f>
        <v/>
      </c>
      <c r="I2660" s="47" t="str">
        <f aca="false">IF(G2660="","",G2660+H2660)</f>
        <v/>
      </c>
    </row>
    <row r="2661" customFormat="false" ht="15" hidden="false" customHeight="false" outlineLevel="0" collapsed="false">
      <c r="C2661" s="41" t="str">
        <f aca="false">IF(A2661="","",TEXT(A2661,"mmm-yyyy"))</f>
        <v/>
      </c>
      <c r="I2661" s="47" t="str">
        <f aca="false">IF(G2661="","",G2661+H2661)</f>
        <v/>
      </c>
    </row>
    <row r="2662" customFormat="false" ht="15" hidden="false" customHeight="false" outlineLevel="0" collapsed="false">
      <c r="C2662" s="41" t="str">
        <f aca="false">IF(A2662="","",TEXT(A2662,"mmm-yyyy"))</f>
        <v/>
      </c>
      <c r="I2662" s="47" t="str">
        <f aca="false">IF(G2662="","",G2662+H2662)</f>
        <v/>
      </c>
    </row>
    <row r="2663" customFormat="false" ht="15" hidden="false" customHeight="false" outlineLevel="0" collapsed="false">
      <c r="C2663" s="41" t="str">
        <f aca="false">IF(A2663="","",TEXT(A2663,"mmm-yyyy"))</f>
        <v/>
      </c>
      <c r="I2663" s="47" t="str">
        <f aca="false">IF(G2663="","",G2663+H2663)</f>
        <v/>
      </c>
    </row>
    <row r="2664" customFormat="false" ht="15" hidden="false" customHeight="false" outlineLevel="0" collapsed="false">
      <c r="C2664" s="41" t="str">
        <f aca="false">IF(A2664="","",TEXT(A2664,"mmm-yyyy"))</f>
        <v/>
      </c>
      <c r="I2664" s="47" t="str">
        <f aca="false">IF(G2664="","",G2664+H2664)</f>
        <v/>
      </c>
    </row>
    <row r="2665" customFormat="false" ht="15" hidden="false" customHeight="false" outlineLevel="0" collapsed="false">
      <c r="C2665" s="41" t="str">
        <f aca="false">IF(A2665="","",TEXT(A2665,"mmm-yyyy"))</f>
        <v/>
      </c>
      <c r="I2665" s="47" t="str">
        <f aca="false">IF(G2665="","",G2665+H2665)</f>
        <v/>
      </c>
    </row>
    <row r="2666" customFormat="false" ht="15" hidden="false" customHeight="false" outlineLevel="0" collapsed="false">
      <c r="C2666" s="41" t="str">
        <f aca="false">IF(A2666="","",TEXT(A2666,"mmm-yyyy"))</f>
        <v/>
      </c>
      <c r="I2666" s="47" t="str">
        <f aca="false">IF(G2666="","",G2666+H2666)</f>
        <v/>
      </c>
    </row>
    <row r="2667" customFormat="false" ht="15" hidden="false" customHeight="false" outlineLevel="0" collapsed="false">
      <c r="C2667" s="41" t="str">
        <f aca="false">IF(A2667="","",TEXT(A2667,"mmm-yyyy"))</f>
        <v/>
      </c>
      <c r="I2667" s="47" t="str">
        <f aca="false">IF(G2667="","",G2667+H2667)</f>
        <v/>
      </c>
    </row>
    <row r="2668" customFormat="false" ht="15" hidden="false" customHeight="false" outlineLevel="0" collapsed="false">
      <c r="C2668" s="41" t="str">
        <f aca="false">IF(A2668="","",TEXT(A2668,"mmm-yyyy"))</f>
        <v/>
      </c>
      <c r="I2668" s="47" t="str">
        <f aca="false">IF(G2668="","",G2668+H2668)</f>
        <v/>
      </c>
    </row>
    <row r="2669" customFormat="false" ht="15" hidden="false" customHeight="false" outlineLevel="0" collapsed="false">
      <c r="C2669" s="41" t="str">
        <f aca="false">IF(A2669="","",TEXT(A2669,"mmm-yyyy"))</f>
        <v/>
      </c>
      <c r="I2669" s="47" t="str">
        <f aca="false">IF(G2669="","",G2669+H2669)</f>
        <v/>
      </c>
    </row>
    <row r="2670" customFormat="false" ht="15" hidden="false" customHeight="false" outlineLevel="0" collapsed="false">
      <c r="C2670" s="41" t="str">
        <f aca="false">IF(A2670="","",TEXT(A2670,"mmm-yyyy"))</f>
        <v/>
      </c>
      <c r="I2670" s="47" t="str">
        <f aca="false">IF(G2670="","",G2670+H2670)</f>
        <v/>
      </c>
    </row>
    <row r="2671" customFormat="false" ht="15" hidden="false" customHeight="false" outlineLevel="0" collapsed="false">
      <c r="C2671" s="41" t="str">
        <f aca="false">IF(A2671="","",TEXT(A2671,"mmm-yyyy"))</f>
        <v/>
      </c>
      <c r="I2671" s="47" t="str">
        <f aca="false">IF(G2671="","",G2671+H2671)</f>
        <v/>
      </c>
    </row>
    <row r="2672" customFormat="false" ht="15" hidden="false" customHeight="false" outlineLevel="0" collapsed="false">
      <c r="C2672" s="41" t="str">
        <f aca="false">IF(A2672="","",TEXT(A2672,"mmm-yyyy"))</f>
        <v/>
      </c>
      <c r="I2672" s="47" t="str">
        <f aca="false">IF(G2672="","",G2672+H2672)</f>
        <v/>
      </c>
    </row>
    <row r="2673" customFormat="false" ht="15" hidden="false" customHeight="false" outlineLevel="0" collapsed="false">
      <c r="C2673" s="41" t="str">
        <f aca="false">IF(A2673="","",TEXT(A2673,"mmm-yyyy"))</f>
        <v/>
      </c>
      <c r="I2673" s="47" t="str">
        <f aca="false">IF(G2673="","",G2673+H2673)</f>
        <v/>
      </c>
    </row>
    <row r="2674" customFormat="false" ht="15" hidden="false" customHeight="false" outlineLevel="0" collapsed="false">
      <c r="C2674" s="41" t="str">
        <f aca="false">IF(A2674="","",TEXT(A2674,"mmm-yyyy"))</f>
        <v/>
      </c>
      <c r="I2674" s="47" t="str">
        <f aca="false">IF(G2674="","",G2674+H2674)</f>
        <v/>
      </c>
    </row>
    <row r="2675" customFormat="false" ht="15" hidden="false" customHeight="false" outlineLevel="0" collapsed="false">
      <c r="C2675" s="41" t="str">
        <f aca="false">IF(A2675="","",TEXT(A2675,"mmm-yyyy"))</f>
        <v/>
      </c>
      <c r="I2675" s="47" t="str">
        <f aca="false">IF(G2675="","",G2675+H2675)</f>
        <v/>
      </c>
    </row>
    <row r="2676" customFormat="false" ht="15" hidden="false" customHeight="false" outlineLevel="0" collapsed="false">
      <c r="C2676" s="41" t="str">
        <f aca="false">IF(A2676="","",TEXT(A2676,"mmm-yyyy"))</f>
        <v/>
      </c>
      <c r="I2676" s="47" t="str">
        <f aca="false">IF(G2676="","",G2676+H2676)</f>
        <v/>
      </c>
    </row>
    <row r="2677" customFormat="false" ht="15" hidden="false" customHeight="false" outlineLevel="0" collapsed="false">
      <c r="C2677" s="41" t="str">
        <f aca="false">IF(A2677="","",TEXT(A2677,"mmm-yyyy"))</f>
        <v/>
      </c>
      <c r="I2677" s="47" t="str">
        <f aca="false">IF(G2677="","",G2677+H2677)</f>
        <v/>
      </c>
    </row>
    <row r="2678" customFormat="false" ht="15" hidden="false" customHeight="false" outlineLevel="0" collapsed="false">
      <c r="C2678" s="41" t="str">
        <f aca="false">IF(A2678="","",TEXT(A2678,"mmm-yyyy"))</f>
        <v/>
      </c>
      <c r="I2678" s="47" t="str">
        <f aca="false">IF(G2678="","",G2678+H2678)</f>
        <v/>
      </c>
    </row>
    <row r="2679" customFormat="false" ht="15" hidden="false" customHeight="false" outlineLevel="0" collapsed="false">
      <c r="C2679" s="41" t="str">
        <f aca="false">IF(A2679="","",TEXT(A2679,"mmm-yyyy"))</f>
        <v/>
      </c>
      <c r="I2679" s="47" t="str">
        <f aca="false">IF(G2679="","",G2679+H2679)</f>
        <v/>
      </c>
    </row>
    <row r="2680" customFormat="false" ht="15" hidden="false" customHeight="false" outlineLevel="0" collapsed="false">
      <c r="C2680" s="41" t="str">
        <f aca="false">IF(A2680="","",TEXT(A2680,"mmm-yyyy"))</f>
        <v/>
      </c>
      <c r="I2680" s="47" t="str">
        <f aca="false">IF(G2680="","",G2680+H2680)</f>
        <v/>
      </c>
    </row>
    <row r="2681" customFormat="false" ht="15" hidden="false" customHeight="false" outlineLevel="0" collapsed="false">
      <c r="C2681" s="41" t="str">
        <f aca="false">IF(A2681="","",TEXT(A2681,"mmm-yyyy"))</f>
        <v/>
      </c>
      <c r="I2681" s="47" t="str">
        <f aca="false">IF(G2681="","",G2681+H2681)</f>
        <v/>
      </c>
    </row>
    <row r="2682" customFormat="false" ht="15" hidden="false" customHeight="false" outlineLevel="0" collapsed="false">
      <c r="C2682" s="41" t="str">
        <f aca="false">IF(A2682="","",TEXT(A2682,"mmm-yyyy"))</f>
        <v/>
      </c>
      <c r="I2682" s="47" t="str">
        <f aca="false">IF(G2682="","",G2682+H2682)</f>
        <v/>
      </c>
    </row>
    <row r="2683" customFormat="false" ht="15" hidden="false" customHeight="false" outlineLevel="0" collapsed="false">
      <c r="C2683" s="41" t="str">
        <f aca="false">IF(A2683="","",TEXT(A2683,"mmm-yyyy"))</f>
        <v/>
      </c>
      <c r="I2683" s="47" t="str">
        <f aca="false">IF(G2683="","",G2683+H2683)</f>
        <v/>
      </c>
    </row>
    <row r="2684" customFormat="false" ht="15" hidden="false" customHeight="false" outlineLevel="0" collapsed="false">
      <c r="C2684" s="41" t="str">
        <f aca="false">IF(A2684="","",TEXT(A2684,"mmm-yyyy"))</f>
        <v/>
      </c>
      <c r="I2684" s="47" t="str">
        <f aca="false">IF(G2684="","",G2684+H2684)</f>
        <v/>
      </c>
    </row>
    <row r="2685" customFormat="false" ht="15" hidden="false" customHeight="false" outlineLevel="0" collapsed="false">
      <c r="C2685" s="41" t="str">
        <f aca="false">IF(A2685="","",TEXT(A2685,"mmm-yyyy"))</f>
        <v/>
      </c>
      <c r="I2685" s="47" t="str">
        <f aca="false">IF(G2685="","",G2685+H2685)</f>
        <v/>
      </c>
    </row>
    <row r="2686" customFormat="false" ht="15" hidden="false" customHeight="false" outlineLevel="0" collapsed="false">
      <c r="C2686" s="41" t="str">
        <f aca="false">IF(A2686="","",TEXT(A2686,"mmm-yyyy"))</f>
        <v/>
      </c>
      <c r="I2686" s="47" t="str">
        <f aca="false">IF(G2686="","",G2686+H2686)</f>
        <v/>
      </c>
    </row>
    <row r="2687" customFormat="false" ht="15" hidden="false" customHeight="false" outlineLevel="0" collapsed="false">
      <c r="C2687" s="41" t="str">
        <f aca="false">IF(A2687="","",TEXT(A2687,"mmm-yyyy"))</f>
        <v/>
      </c>
      <c r="I2687" s="47" t="str">
        <f aca="false">IF(G2687="","",G2687+H2687)</f>
        <v/>
      </c>
    </row>
    <row r="2688" customFormat="false" ht="15" hidden="false" customHeight="false" outlineLevel="0" collapsed="false">
      <c r="C2688" s="41" t="str">
        <f aca="false">IF(A2688="","",TEXT(A2688,"mmm-yyyy"))</f>
        <v/>
      </c>
      <c r="I2688" s="47" t="str">
        <f aca="false">IF(G2688="","",G2688+H2688)</f>
        <v/>
      </c>
    </row>
    <row r="2689" customFormat="false" ht="15" hidden="false" customHeight="false" outlineLevel="0" collapsed="false">
      <c r="C2689" s="41" t="str">
        <f aca="false">IF(A2689="","",TEXT(A2689,"mmm-yyyy"))</f>
        <v/>
      </c>
      <c r="I2689" s="47" t="str">
        <f aca="false">IF(G2689="","",G2689+H2689)</f>
        <v/>
      </c>
    </row>
    <row r="2690" customFormat="false" ht="15" hidden="false" customHeight="false" outlineLevel="0" collapsed="false">
      <c r="C2690" s="41" t="str">
        <f aca="false">IF(A2690="","",TEXT(A2690,"mmm-yyyy"))</f>
        <v/>
      </c>
      <c r="I2690" s="47" t="str">
        <f aca="false">IF(G2690="","",G2690+H2690)</f>
        <v/>
      </c>
    </row>
    <row r="2691" customFormat="false" ht="15" hidden="false" customHeight="false" outlineLevel="0" collapsed="false">
      <c r="C2691" s="41" t="str">
        <f aca="false">IF(A2691="","",TEXT(A2691,"mmm-yyyy"))</f>
        <v/>
      </c>
      <c r="I2691" s="47" t="str">
        <f aca="false">IF(G2691="","",G2691+H2691)</f>
        <v/>
      </c>
    </row>
    <row r="2692" customFormat="false" ht="15" hidden="false" customHeight="false" outlineLevel="0" collapsed="false">
      <c r="C2692" s="41" t="str">
        <f aca="false">IF(A2692="","",TEXT(A2692,"mmm-yyyy"))</f>
        <v/>
      </c>
      <c r="I2692" s="47" t="str">
        <f aca="false">IF(G2692="","",G2692+H2692)</f>
        <v/>
      </c>
    </row>
    <row r="2693" customFormat="false" ht="15" hidden="false" customHeight="false" outlineLevel="0" collapsed="false">
      <c r="C2693" s="41" t="str">
        <f aca="false">IF(A2693="","",TEXT(A2693,"mmm-yyyy"))</f>
        <v/>
      </c>
      <c r="I2693" s="47" t="str">
        <f aca="false">IF(G2693="","",G2693+H2693)</f>
        <v/>
      </c>
    </row>
    <row r="2694" customFormat="false" ht="15" hidden="false" customHeight="false" outlineLevel="0" collapsed="false">
      <c r="C2694" s="41" t="str">
        <f aca="false">IF(A2694="","",TEXT(A2694,"mmm-yyyy"))</f>
        <v/>
      </c>
      <c r="I2694" s="47" t="str">
        <f aca="false">IF(G2694="","",G2694+H2694)</f>
        <v/>
      </c>
    </row>
    <row r="2695" customFormat="false" ht="15" hidden="false" customHeight="false" outlineLevel="0" collapsed="false">
      <c r="C2695" s="41" t="str">
        <f aca="false">IF(A2695="","",TEXT(A2695,"mmm-yyyy"))</f>
        <v/>
      </c>
      <c r="I2695" s="47" t="str">
        <f aca="false">IF(G2695="","",G2695+H2695)</f>
        <v/>
      </c>
    </row>
    <row r="2696" customFormat="false" ht="15" hidden="false" customHeight="false" outlineLevel="0" collapsed="false">
      <c r="C2696" s="41" t="str">
        <f aca="false">IF(A2696="","",TEXT(A2696,"mmm-yyyy"))</f>
        <v/>
      </c>
      <c r="I2696" s="47" t="str">
        <f aca="false">IF(G2696="","",G2696+H2696)</f>
        <v/>
      </c>
    </row>
    <row r="2697" customFormat="false" ht="15" hidden="false" customHeight="false" outlineLevel="0" collapsed="false">
      <c r="C2697" s="41" t="str">
        <f aca="false">IF(A2697="","",TEXT(A2697,"mmm-yyyy"))</f>
        <v/>
      </c>
      <c r="I2697" s="47" t="str">
        <f aca="false">IF(G2697="","",G2697+H2697)</f>
        <v/>
      </c>
    </row>
    <row r="2698" customFormat="false" ht="15" hidden="false" customHeight="false" outlineLevel="0" collapsed="false">
      <c r="C2698" s="41" t="str">
        <f aca="false">IF(A2698="","",TEXT(A2698,"mmm-yyyy"))</f>
        <v/>
      </c>
      <c r="I2698" s="47" t="str">
        <f aca="false">IF(G2698="","",G2698+H2698)</f>
        <v/>
      </c>
    </row>
    <row r="2699" customFormat="false" ht="15" hidden="false" customHeight="false" outlineLevel="0" collapsed="false">
      <c r="C2699" s="41" t="str">
        <f aca="false">IF(A2699="","",TEXT(A2699,"mmm-yyyy"))</f>
        <v/>
      </c>
      <c r="I2699" s="47" t="str">
        <f aca="false">IF(G2699="","",G2699+H2699)</f>
        <v/>
      </c>
    </row>
    <row r="2700" customFormat="false" ht="15" hidden="false" customHeight="false" outlineLevel="0" collapsed="false">
      <c r="C2700" s="41" t="str">
        <f aca="false">IF(A2700="","",TEXT(A2700,"mmm-yyyy"))</f>
        <v/>
      </c>
      <c r="I2700" s="47" t="str">
        <f aca="false">IF(G2700="","",G2700+H2700)</f>
        <v/>
      </c>
    </row>
    <row r="2701" customFormat="false" ht="15" hidden="false" customHeight="false" outlineLevel="0" collapsed="false">
      <c r="C2701" s="41" t="str">
        <f aca="false">IF(A2701="","",TEXT(A2701,"mmm-yyyy"))</f>
        <v/>
      </c>
      <c r="I2701" s="47" t="str">
        <f aca="false">IF(G2701="","",G2701+H2701)</f>
        <v/>
      </c>
    </row>
    <row r="2702" customFormat="false" ht="15" hidden="false" customHeight="false" outlineLevel="0" collapsed="false">
      <c r="C2702" s="41" t="str">
        <f aca="false">IF(A2702="","",TEXT(A2702,"mmm-yyyy"))</f>
        <v/>
      </c>
      <c r="I2702" s="47" t="str">
        <f aca="false">IF(G2702="","",G2702+H2702)</f>
        <v/>
      </c>
    </row>
    <row r="2703" customFormat="false" ht="15" hidden="false" customHeight="false" outlineLevel="0" collapsed="false">
      <c r="C2703" s="41" t="str">
        <f aca="false">IF(A2703="","",TEXT(A2703,"mmm-yyyy"))</f>
        <v/>
      </c>
      <c r="I2703" s="47" t="str">
        <f aca="false">IF(G2703="","",G2703+H2703)</f>
        <v/>
      </c>
    </row>
    <row r="2704" customFormat="false" ht="15" hidden="false" customHeight="false" outlineLevel="0" collapsed="false">
      <c r="C2704" s="41" t="str">
        <f aca="false">IF(A2704="","",TEXT(A2704,"mmm-yyyy"))</f>
        <v/>
      </c>
      <c r="I2704" s="47" t="str">
        <f aca="false">IF(G2704="","",G2704+H2704)</f>
        <v/>
      </c>
    </row>
    <row r="2705" customFormat="false" ht="15" hidden="false" customHeight="false" outlineLevel="0" collapsed="false">
      <c r="C2705" s="41" t="str">
        <f aca="false">IF(A2705="","",TEXT(A2705,"mmm-yyyy"))</f>
        <v/>
      </c>
      <c r="I2705" s="47" t="str">
        <f aca="false">IF(G2705="","",G2705+H2705)</f>
        <v/>
      </c>
    </row>
    <row r="2706" customFormat="false" ht="15" hidden="false" customHeight="false" outlineLevel="0" collapsed="false">
      <c r="C2706" s="41" t="str">
        <f aca="false">IF(A2706="","",TEXT(A2706,"mmm-yyyy"))</f>
        <v/>
      </c>
      <c r="I2706" s="47" t="str">
        <f aca="false">IF(G2706="","",G2706+H2706)</f>
        <v/>
      </c>
    </row>
    <row r="2707" customFormat="false" ht="15" hidden="false" customHeight="false" outlineLevel="0" collapsed="false">
      <c r="C2707" s="41" t="str">
        <f aca="false">IF(A2707="","",TEXT(A2707,"mmm-yyyy"))</f>
        <v/>
      </c>
      <c r="I2707" s="47" t="str">
        <f aca="false">IF(G2707="","",G2707+H2707)</f>
        <v/>
      </c>
    </row>
    <row r="2708" customFormat="false" ht="15" hidden="false" customHeight="false" outlineLevel="0" collapsed="false">
      <c r="C2708" s="41" t="str">
        <f aca="false">IF(A2708="","",TEXT(A2708,"mmm-yyyy"))</f>
        <v/>
      </c>
      <c r="I2708" s="47" t="str">
        <f aca="false">IF(G2708="","",G2708+H2708)</f>
        <v/>
      </c>
    </row>
    <row r="2709" customFormat="false" ht="15" hidden="false" customHeight="false" outlineLevel="0" collapsed="false">
      <c r="C2709" s="41" t="str">
        <f aca="false">IF(A2709="","",TEXT(A2709,"mmm-yyyy"))</f>
        <v/>
      </c>
      <c r="I2709" s="47" t="str">
        <f aca="false">IF(G2709="","",G2709+H2709)</f>
        <v/>
      </c>
    </row>
    <row r="2710" customFormat="false" ht="15" hidden="false" customHeight="false" outlineLevel="0" collapsed="false">
      <c r="C2710" s="41" t="str">
        <f aca="false">IF(A2710="","",TEXT(A2710,"mmm-yyyy"))</f>
        <v/>
      </c>
      <c r="I2710" s="47" t="str">
        <f aca="false">IF(G2710="","",G2710+H2710)</f>
        <v/>
      </c>
    </row>
    <row r="2711" customFormat="false" ht="15" hidden="false" customHeight="false" outlineLevel="0" collapsed="false">
      <c r="C2711" s="41" t="str">
        <f aca="false">IF(A2711="","",TEXT(A2711,"mmm-yyyy"))</f>
        <v/>
      </c>
      <c r="I2711" s="47" t="str">
        <f aca="false">IF(G2711="","",G2711+H2711)</f>
        <v/>
      </c>
    </row>
    <row r="2712" customFormat="false" ht="15" hidden="false" customHeight="false" outlineLevel="0" collapsed="false">
      <c r="C2712" s="41" t="str">
        <f aca="false">IF(A2712="","",TEXT(A2712,"mmm-yyyy"))</f>
        <v/>
      </c>
      <c r="I2712" s="47" t="str">
        <f aca="false">IF(G2712="","",G2712+H2712)</f>
        <v/>
      </c>
    </row>
    <row r="2713" customFormat="false" ht="15" hidden="false" customHeight="false" outlineLevel="0" collapsed="false">
      <c r="C2713" s="41" t="str">
        <f aca="false">IF(A2713="","",TEXT(A2713,"mmm-yyyy"))</f>
        <v/>
      </c>
      <c r="I2713" s="47" t="str">
        <f aca="false">IF(G2713="","",G2713+H2713)</f>
        <v/>
      </c>
    </row>
    <row r="2714" customFormat="false" ht="15" hidden="false" customHeight="false" outlineLevel="0" collapsed="false">
      <c r="C2714" s="41" t="str">
        <f aca="false">IF(A2714="","",TEXT(A2714,"mmm-yyyy"))</f>
        <v/>
      </c>
      <c r="I2714" s="47" t="str">
        <f aca="false">IF(G2714="","",G2714+H2714)</f>
        <v/>
      </c>
    </row>
    <row r="2715" customFormat="false" ht="15" hidden="false" customHeight="false" outlineLevel="0" collapsed="false">
      <c r="C2715" s="41" t="str">
        <f aca="false">IF(A2715="","",TEXT(A2715,"mmm-yyyy"))</f>
        <v/>
      </c>
      <c r="I2715" s="47" t="str">
        <f aca="false">IF(G2715="","",G2715+H2715)</f>
        <v/>
      </c>
    </row>
    <row r="2716" customFormat="false" ht="15" hidden="false" customHeight="false" outlineLevel="0" collapsed="false">
      <c r="C2716" s="41" t="str">
        <f aca="false">IF(A2716="","",TEXT(A2716,"mmm-yyyy"))</f>
        <v/>
      </c>
      <c r="I2716" s="47" t="str">
        <f aca="false">IF(G2716="","",G2716+H2716)</f>
        <v/>
      </c>
    </row>
    <row r="2717" customFormat="false" ht="15" hidden="false" customHeight="false" outlineLevel="0" collapsed="false">
      <c r="C2717" s="41" t="str">
        <f aca="false">IF(A2717="","",TEXT(A2717,"mmm-yyyy"))</f>
        <v/>
      </c>
      <c r="I2717" s="47" t="str">
        <f aca="false">IF(G2717="","",G2717+H2717)</f>
        <v/>
      </c>
    </row>
    <row r="2718" customFormat="false" ht="15" hidden="false" customHeight="false" outlineLevel="0" collapsed="false">
      <c r="C2718" s="41" t="str">
        <f aca="false">IF(A2718="","",TEXT(A2718,"mmm-yyyy"))</f>
        <v/>
      </c>
      <c r="I2718" s="47" t="str">
        <f aca="false">IF(G2718="","",G2718+H2718)</f>
        <v/>
      </c>
    </row>
    <row r="2719" customFormat="false" ht="15" hidden="false" customHeight="false" outlineLevel="0" collapsed="false">
      <c r="C2719" s="41" t="str">
        <f aca="false">IF(A2719="","",TEXT(A2719,"mmm-yyyy"))</f>
        <v/>
      </c>
      <c r="I2719" s="47" t="str">
        <f aca="false">IF(G2719="","",G2719+H2719)</f>
        <v/>
      </c>
    </row>
    <row r="2720" customFormat="false" ht="15" hidden="false" customHeight="false" outlineLevel="0" collapsed="false">
      <c r="C2720" s="41" t="str">
        <f aca="false">IF(A2720="","",TEXT(A2720,"mmm-yyyy"))</f>
        <v/>
      </c>
      <c r="I2720" s="47" t="str">
        <f aca="false">IF(G2720="","",G2720+H2720)</f>
        <v/>
      </c>
    </row>
    <row r="2721" customFormat="false" ht="15" hidden="false" customHeight="false" outlineLevel="0" collapsed="false">
      <c r="C2721" s="41" t="str">
        <f aca="false">IF(A2721="","",TEXT(A2721,"mmm-yyyy"))</f>
        <v/>
      </c>
      <c r="I2721" s="47" t="str">
        <f aca="false">IF(G2721="","",G2721+H2721)</f>
        <v/>
      </c>
    </row>
    <row r="2722" customFormat="false" ht="15" hidden="false" customHeight="false" outlineLevel="0" collapsed="false">
      <c r="C2722" s="41" t="str">
        <f aca="false">IF(A2722="","",TEXT(A2722,"mmm-yyyy"))</f>
        <v/>
      </c>
      <c r="I2722" s="47" t="str">
        <f aca="false">IF(G2722="","",G2722+H2722)</f>
        <v/>
      </c>
    </row>
    <row r="2723" customFormat="false" ht="15" hidden="false" customHeight="false" outlineLevel="0" collapsed="false">
      <c r="C2723" s="41" t="str">
        <f aca="false">IF(A2723="","",TEXT(A2723,"mmm-yyyy"))</f>
        <v/>
      </c>
      <c r="I2723" s="47" t="str">
        <f aca="false">IF(G2723="","",G2723+H2723)</f>
        <v/>
      </c>
    </row>
    <row r="2724" customFormat="false" ht="15" hidden="false" customHeight="false" outlineLevel="0" collapsed="false">
      <c r="C2724" s="41" t="str">
        <f aca="false">IF(A2724="","",TEXT(A2724,"mmm-yyyy"))</f>
        <v/>
      </c>
      <c r="I2724" s="47" t="str">
        <f aca="false">IF(G2724="","",G2724+H2724)</f>
        <v/>
      </c>
    </row>
    <row r="2725" customFormat="false" ht="15" hidden="false" customHeight="false" outlineLevel="0" collapsed="false">
      <c r="C2725" s="41" t="str">
        <f aca="false">IF(A2725="","",TEXT(A2725,"mmm-yyyy"))</f>
        <v/>
      </c>
      <c r="I2725" s="47" t="str">
        <f aca="false">IF(G2725="","",G2725+H2725)</f>
        <v/>
      </c>
    </row>
    <row r="2726" customFormat="false" ht="15" hidden="false" customHeight="false" outlineLevel="0" collapsed="false">
      <c r="C2726" s="41" t="str">
        <f aca="false">IF(A2726="","",TEXT(A2726,"mmm-yyyy"))</f>
        <v/>
      </c>
      <c r="I2726" s="47" t="str">
        <f aca="false">IF(G2726="","",G2726+H2726)</f>
        <v/>
      </c>
    </row>
    <row r="2727" customFormat="false" ht="15" hidden="false" customHeight="false" outlineLevel="0" collapsed="false">
      <c r="C2727" s="41" t="str">
        <f aca="false">IF(A2727="","",TEXT(A2727,"mmm-yyyy"))</f>
        <v/>
      </c>
      <c r="I2727" s="47" t="str">
        <f aca="false">IF(G2727="","",G2727+H2727)</f>
        <v/>
      </c>
    </row>
    <row r="2728" customFormat="false" ht="15" hidden="false" customHeight="false" outlineLevel="0" collapsed="false">
      <c r="C2728" s="41" t="str">
        <f aca="false">IF(A2728="","",TEXT(A2728,"mmm-yyyy"))</f>
        <v/>
      </c>
      <c r="I2728" s="47" t="str">
        <f aca="false">IF(G2728="","",G2728+H2728)</f>
        <v/>
      </c>
    </row>
    <row r="2729" customFormat="false" ht="15" hidden="false" customHeight="false" outlineLevel="0" collapsed="false">
      <c r="C2729" s="41" t="str">
        <f aca="false">IF(A2729="","",TEXT(A2729,"mmm-yyyy"))</f>
        <v/>
      </c>
      <c r="I2729" s="47" t="str">
        <f aca="false">IF(G2729="","",G2729+H2729)</f>
        <v/>
      </c>
    </row>
    <row r="2730" customFormat="false" ht="15" hidden="false" customHeight="false" outlineLevel="0" collapsed="false">
      <c r="C2730" s="41" t="str">
        <f aca="false">IF(A2730="","",TEXT(A2730,"mmm-yyyy"))</f>
        <v/>
      </c>
      <c r="I2730" s="47" t="str">
        <f aca="false">IF(G2730="","",G2730+H2730)</f>
        <v/>
      </c>
    </row>
    <row r="2731" customFormat="false" ht="15" hidden="false" customHeight="false" outlineLevel="0" collapsed="false">
      <c r="C2731" s="41" t="str">
        <f aca="false">IF(A2731="","",TEXT(A2731,"mmm-yyyy"))</f>
        <v/>
      </c>
      <c r="I2731" s="47" t="str">
        <f aca="false">IF(G2731="","",G2731+H2731)</f>
        <v/>
      </c>
    </row>
    <row r="2732" customFormat="false" ht="15" hidden="false" customHeight="false" outlineLevel="0" collapsed="false">
      <c r="C2732" s="41" t="str">
        <f aca="false">IF(A2732="","",TEXT(A2732,"mmm-yyyy"))</f>
        <v/>
      </c>
      <c r="I2732" s="47" t="str">
        <f aca="false">IF(G2732="","",G2732+H2732)</f>
        <v/>
      </c>
    </row>
    <row r="2733" customFormat="false" ht="15" hidden="false" customHeight="false" outlineLevel="0" collapsed="false">
      <c r="C2733" s="41" t="str">
        <f aca="false">IF(A2733="","",TEXT(A2733,"mmm-yyyy"))</f>
        <v/>
      </c>
      <c r="I2733" s="47" t="str">
        <f aca="false">IF(G2733="","",G2733+H2733)</f>
        <v/>
      </c>
    </row>
    <row r="2734" customFormat="false" ht="15" hidden="false" customHeight="false" outlineLevel="0" collapsed="false">
      <c r="C2734" s="41" t="str">
        <f aca="false">IF(A2734="","",TEXT(A2734,"mmm-yyyy"))</f>
        <v/>
      </c>
      <c r="I2734" s="47" t="str">
        <f aca="false">IF(G2734="","",G2734+H2734)</f>
        <v/>
      </c>
    </row>
    <row r="2735" customFormat="false" ht="15" hidden="false" customHeight="false" outlineLevel="0" collapsed="false">
      <c r="C2735" s="41" t="str">
        <f aca="false">IF(A2735="","",TEXT(A2735,"mmm-yyyy"))</f>
        <v/>
      </c>
      <c r="I2735" s="47" t="str">
        <f aca="false">IF(G2735="","",G2735+H2735)</f>
        <v/>
      </c>
    </row>
    <row r="2736" customFormat="false" ht="15" hidden="false" customHeight="false" outlineLevel="0" collapsed="false">
      <c r="C2736" s="41" t="str">
        <f aca="false">IF(A2736="","",TEXT(A2736,"mmm-yyyy"))</f>
        <v/>
      </c>
      <c r="I2736" s="47" t="str">
        <f aca="false">IF(G2736="","",G2736+H2736)</f>
        <v/>
      </c>
    </row>
    <row r="2737" customFormat="false" ht="15" hidden="false" customHeight="false" outlineLevel="0" collapsed="false">
      <c r="C2737" s="41" t="str">
        <f aca="false">IF(A2737="","",TEXT(A2737,"mmm-yyyy"))</f>
        <v/>
      </c>
      <c r="I2737" s="47" t="str">
        <f aca="false">IF(G2737="","",G2737+H2737)</f>
        <v/>
      </c>
    </row>
    <row r="2738" customFormat="false" ht="15" hidden="false" customHeight="false" outlineLevel="0" collapsed="false">
      <c r="C2738" s="41" t="str">
        <f aca="false">IF(A2738="","",TEXT(A2738,"mmm-yyyy"))</f>
        <v/>
      </c>
      <c r="I2738" s="47" t="str">
        <f aca="false">IF(G2738="","",G2738+H2738)</f>
        <v/>
      </c>
    </row>
    <row r="2739" customFormat="false" ht="15" hidden="false" customHeight="false" outlineLevel="0" collapsed="false">
      <c r="C2739" s="41" t="str">
        <f aca="false">IF(A2739="","",TEXT(A2739,"mmm-yyyy"))</f>
        <v/>
      </c>
      <c r="I2739" s="47" t="str">
        <f aca="false">IF(G2739="","",G2739+H2739)</f>
        <v/>
      </c>
    </row>
    <row r="2740" customFormat="false" ht="15" hidden="false" customHeight="false" outlineLevel="0" collapsed="false">
      <c r="C2740" s="41" t="str">
        <f aca="false">IF(A2740="","",TEXT(A2740,"mmm-yyyy"))</f>
        <v/>
      </c>
      <c r="I2740" s="47" t="str">
        <f aca="false">IF(G2740="","",G2740+H2740)</f>
        <v/>
      </c>
    </row>
    <row r="2741" customFormat="false" ht="15" hidden="false" customHeight="false" outlineLevel="0" collapsed="false">
      <c r="C2741" s="41" t="str">
        <f aca="false">IF(A2741="","",TEXT(A2741,"mmm-yyyy"))</f>
        <v/>
      </c>
      <c r="I2741" s="47" t="str">
        <f aca="false">IF(G2741="","",G2741+H2741)</f>
        <v/>
      </c>
    </row>
    <row r="2742" customFormat="false" ht="15" hidden="false" customHeight="false" outlineLevel="0" collapsed="false">
      <c r="C2742" s="41" t="str">
        <f aca="false">IF(A2742="","",TEXT(A2742,"mmm-yyyy"))</f>
        <v/>
      </c>
      <c r="I2742" s="47" t="str">
        <f aca="false">IF(G2742="","",G2742+H2742)</f>
        <v/>
      </c>
    </row>
    <row r="2743" customFormat="false" ht="15" hidden="false" customHeight="false" outlineLevel="0" collapsed="false">
      <c r="C2743" s="41" t="str">
        <f aca="false">IF(A2743="","",TEXT(A2743,"mmm-yyyy"))</f>
        <v/>
      </c>
      <c r="I2743" s="47" t="str">
        <f aca="false">IF(G2743="","",G2743+H2743)</f>
        <v/>
      </c>
    </row>
    <row r="2744" customFormat="false" ht="15" hidden="false" customHeight="false" outlineLevel="0" collapsed="false">
      <c r="C2744" s="41" t="str">
        <f aca="false">IF(A2744="","",TEXT(A2744,"mmm-yyyy"))</f>
        <v/>
      </c>
      <c r="I2744" s="47" t="str">
        <f aca="false">IF(G2744="","",G2744+H2744)</f>
        <v/>
      </c>
    </row>
    <row r="2745" customFormat="false" ht="15" hidden="false" customHeight="false" outlineLevel="0" collapsed="false">
      <c r="C2745" s="41" t="str">
        <f aca="false">IF(A2745="","",TEXT(A2745,"mmm-yyyy"))</f>
        <v/>
      </c>
      <c r="I2745" s="47" t="str">
        <f aca="false">IF(G2745="","",G2745+H2745)</f>
        <v/>
      </c>
    </row>
    <row r="2746" customFormat="false" ht="15" hidden="false" customHeight="false" outlineLevel="0" collapsed="false">
      <c r="C2746" s="41" t="str">
        <f aca="false">IF(A2746="","",TEXT(A2746,"mmm-yyyy"))</f>
        <v/>
      </c>
      <c r="I2746" s="47" t="str">
        <f aca="false">IF(G2746="","",G2746+H2746)</f>
        <v/>
      </c>
    </row>
    <row r="2747" customFormat="false" ht="15" hidden="false" customHeight="false" outlineLevel="0" collapsed="false">
      <c r="C2747" s="41" t="str">
        <f aca="false">IF(A2747="","",TEXT(A2747,"mmm-yyyy"))</f>
        <v/>
      </c>
      <c r="I2747" s="47" t="str">
        <f aca="false">IF(G2747="","",G2747+H2747)</f>
        <v/>
      </c>
    </row>
    <row r="2748" customFormat="false" ht="15" hidden="false" customHeight="false" outlineLevel="0" collapsed="false">
      <c r="C2748" s="41" t="str">
        <f aca="false">IF(A2748="","",TEXT(A2748,"mmm-yyyy"))</f>
        <v/>
      </c>
      <c r="I2748" s="47" t="str">
        <f aca="false">IF(G2748="","",G2748+H2748)</f>
        <v/>
      </c>
    </row>
    <row r="2749" customFormat="false" ht="15" hidden="false" customHeight="false" outlineLevel="0" collapsed="false">
      <c r="C2749" s="41" t="str">
        <f aca="false">IF(A2749="","",TEXT(A2749,"mmm-yyyy"))</f>
        <v/>
      </c>
      <c r="I2749" s="47" t="str">
        <f aca="false">IF(G2749="","",G2749+H2749)</f>
        <v/>
      </c>
    </row>
    <row r="2750" customFormat="false" ht="15" hidden="false" customHeight="false" outlineLevel="0" collapsed="false">
      <c r="C2750" s="41" t="str">
        <f aca="false">IF(A2750="","",TEXT(A2750,"mmm-yyyy"))</f>
        <v/>
      </c>
      <c r="I2750" s="47" t="str">
        <f aca="false">IF(G2750="","",G2750+H2750)</f>
        <v/>
      </c>
    </row>
    <row r="2751" customFormat="false" ht="15" hidden="false" customHeight="false" outlineLevel="0" collapsed="false">
      <c r="C2751" s="41" t="str">
        <f aca="false">IF(A2751="","",TEXT(A2751,"mmm-yyyy"))</f>
        <v/>
      </c>
      <c r="I2751" s="47" t="str">
        <f aca="false">IF(G2751="","",G2751+H2751)</f>
        <v/>
      </c>
    </row>
    <row r="2752" customFormat="false" ht="15" hidden="false" customHeight="false" outlineLevel="0" collapsed="false">
      <c r="C2752" s="41" t="str">
        <f aca="false">IF(A2752="","",TEXT(A2752,"mmm-yyyy"))</f>
        <v/>
      </c>
      <c r="I2752" s="47" t="str">
        <f aca="false">IF(G2752="","",G2752+H2752)</f>
        <v/>
      </c>
    </row>
    <row r="2753" customFormat="false" ht="15" hidden="false" customHeight="false" outlineLevel="0" collapsed="false">
      <c r="C2753" s="41" t="str">
        <f aca="false">IF(A2753="","",TEXT(A2753,"mmm-yyyy"))</f>
        <v/>
      </c>
      <c r="I2753" s="47" t="str">
        <f aca="false">IF(G2753="","",G2753+H2753)</f>
        <v/>
      </c>
    </row>
    <row r="2754" customFormat="false" ht="15" hidden="false" customHeight="false" outlineLevel="0" collapsed="false">
      <c r="C2754" s="41" t="str">
        <f aca="false">IF(A2754="","",TEXT(A2754,"mmm-yyyy"))</f>
        <v/>
      </c>
      <c r="I2754" s="47" t="str">
        <f aca="false">IF(G2754="","",G2754+H2754)</f>
        <v/>
      </c>
    </row>
    <row r="2755" customFormat="false" ht="15" hidden="false" customHeight="false" outlineLevel="0" collapsed="false">
      <c r="C2755" s="41" t="str">
        <f aca="false">IF(A2755="","",TEXT(A2755,"mmm-yyyy"))</f>
        <v/>
      </c>
      <c r="I2755" s="47" t="str">
        <f aca="false">IF(G2755="","",G2755+H2755)</f>
        <v/>
      </c>
    </row>
    <row r="2756" customFormat="false" ht="15" hidden="false" customHeight="false" outlineLevel="0" collapsed="false">
      <c r="C2756" s="41" t="str">
        <f aca="false">IF(A2756="","",TEXT(A2756,"mmm-yyyy"))</f>
        <v/>
      </c>
      <c r="I2756" s="47" t="str">
        <f aca="false">IF(G2756="","",G2756+H2756)</f>
        <v/>
      </c>
    </row>
    <row r="2757" customFormat="false" ht="15" hidden="false" customHeight="false" outlineLevel="0" collapsed="false">
      <c r="C2757" s="41" t="str">
        <f aca="false">IF(A2757="","",TEXT(A2757,"mmm-yyyy"))</f>
        <v/>
      </c>
      <c r="I2757" s="47" t="str">
        <f aca="false">IF(G2757="","",G2757+H2757)</f>
        <v/>
      </c>
    </row>
    <row r="2758" customFormat="false" ht="15" hidden="false" customHeight="false" outlineLevel="0" collapsed="false">
      <c r="C2758" s="41" t="str">
        <f aca="false">IF(A2758="","",TEXT(A2758,"mmm-yyyy"))</f>
        <v/>
      </c>
      <c r="I2758" s="47" t="str">
        <f aca="false">IF(G2758="","",G2758+H2758)</f>
        <v/>
      </c>
    </row>
    <row r="2759" customFormat="false" ht="15" hidden="false" customHeight="false" outlineLevel="0" collapsed="false">
      <c r="C2759" s="41" t="str">
        <f aca="false">IF(A2759="","",TEXT(A2759,"mmm-yyyy"))</f>
        <v/>
      </c>
      <c r="I2759" s="47" t="str">
        <f aca="false">IF(G2759="","",G2759+H2759)</f>
        <v/>
      </c>
    </row>
    <row r="2760" customFormat="false" ht="15" hidden="false" customHeight="false" outlineLevel="0" collapsed="false">
      <c r="C2760" s="41" t="str">
        <f aca="false">IF(A2760="","",TEXT(A2760,"mmm-yyyy"))</f>
        <v/>
      </c>
      <c r="I2760" s="47" t="str">
        <f aca="false">IF(G2760="","",G2760+H2760)</f>
        <v/>
      </c>
    </row>
    <row r="2761" customFormat="false" ht="15" hidden="false" customHeight="false" outlineLevel="0" collapsed="false">
      <c r="C2761" s="41" t="str">
        <f aca="false">IF(A2761="","",TEXT(A2761,"mmm-yyyy"))</f>
        <v/>
      </c>
      <c r="I2761" s="47" t="str">
        <f aca="false">IF(G2761="","",G2761+H2761)</f>
        <v/>
      </c>
    </row>
    <row r="2762" customFormat="false" ht="15" hidden="false" customHeight="false" outlineLevel="0" collapsed="false">
      <c r="C2762" s="41" t="str">
        <f aca="false">IF(A2762="","",TEXT(A2762,"mmm-yyyy"))</f>
        <v/>
      </c>
      <c r="I2762" s="47" t="str">
        <f aca="false">IF(G2762="","",G2762+H2762)</f>
        <v/>
      </c>
    </row>
    <row r="2763" customFormat="false" ht="15" hidden="false" customHeight="false" outlineLevel="0" collapsed="false">
      <c r="C2763" s="41" t="str">
        <f aca="false">IF(A2763="","",TEXT(A2763,"mmm-yyyy"))</f>
        <v/>
      </c>
      <c r="I2763" s="47" t="str">
        <f aca="false">IF(G2763="","",G2763+H2763)</f>
        <v/>
      </c>
    </row>
    <row r="2764" customFormat="false" ht="15" hidden="false" customHeight="false" outlineLevel="0" collapsed="false">
      <c r="C2764" s="41" t="str">
        <f aca="false">IF(A2764="","",TEXT(A2764,"mmm-yyyy"))</f>
        <v/>
      </c>
      <c r="I2764" s="47" t="str">
        <f aca="false">IF(G2764="","",G2764+H2764)</f>
        <v/>
      </c>
    </row>
    <row r="2765" customFormat="false" ht="15" hidden="false" customHeight="false" outlineLevel="0" collapsed="false">
      <c r="C2765" s="41" t="str">
        <f aca="false">IF(A2765="","",TEXT(A2765,"mmm-yyyy"))</f>
        <v/>
      </c>
      <c r="I2765" s="47" t="str">
        <f aca="false">IF(G2765="","",G2765+H2765)</f>
        <v/>
      </c>
    </row>
    <row r="2766" customFormat="false" ht="15" hidden="false" customHeight="false" outlineLevel="0" collapsed="false">
      <c r="C2766" s="41" t="str">
        <f aca="false">IF(A2766="","",TEXT(A2766,"mmm-yyyy"))</f>
        <v/>
      </c>
      <c r="I2766" s="47" t="str">
        <f aca="false">IF(G2766="","",G2766+H2766)</f>
        <v/>
      </c>
    </row>
    <row r="2767" customFormat="false" ht="15" hidden="false" customHeight="false" outlineLevel="0" collapsed="false">
      <c r="C2767" s="41" t="str">
        <f aca="false">IF(A2767="","",TEXT(A2767,"mmm-yyyy"))</f>
        <v/>
      </c>
      <c r="I2767" s="47" t="str">
        <f aca="false">IF(G2767="","",G2767+H2767)</f>
        <v/>
      </c>
    </row>
    <row r="2768" customFormat="false" ht="15" hidden="false" customHeight="false" outlineLevel="0" collapsed="false">
      <c r="C2768" s="41" t="str">
        <f aca="false">IF(A2768="","",TEXT(A2768,"mmm-yyyy"))</f>
        <v/>
      </c>
      <c r="I2768" s="47" t="str">
        <f aca="false">IF(G2768="","",G2768+H2768)</f>
        <v/>
      </c>
    </row>
    <row r="2769" customFormat="false" ht="15" hidden="false" customHeight="false" outlineLevel="0" collapsed="false">
      <c r="C2769" s="41" t="str">
        <f aca="false">IF(A2769="","",TEXT(A2769,"mmm-yyyy"))</f>
        <v/>
      </c>
      <c r="I2769" s="47" t="str">
        <f aca="false">IF(G2769="","",G2769+H2769)</f>
        <v/>
      </c>
    </row>
    <row r="2770" customFormat="false" ht="15" hidden="false" customHeight="false" outlineLevel="0" collapsed="false">
      <c r="C2770" s="41" t="str">
        <f aca="false">IF(A2770="","",TEXT(A2770,"mmm-yyyy"))</f>
        <v/>
      </c>
      <c r="I2770" s="47" t="str">
        <f aca="false">IF(G2770="","",G2770+H2770)</f>
        <v/>
      </c>
    </row>
    <row r="2771" customFormat="false" ht="15" hidden="false" customHeight="false" outlineLevel="0" collapsed="false">
      <c r="C2771" s="41" t="str">
        <f aca="false">IF(A2771="","",TEXT(A2771,"mmm-yyyy"))</f>
        <v/>
      </c>
      <c r="I2771" s="47" t="str">
        <f aca="false">IF(G2771="","",G2771+H2771)</f>
        <v/>
      </c>
    </row>
    <row r="2772" customFormat="false" ht="15" hidden="false" customHeight="false" outlineLevel="0" collapsed="false">
      <c r="C2772" s="41" t="str">
        <f aca="false">IF(A2772="","",TEXT(A2772,"mmm-yyyy"))</f>
        <v/>
      </c>
      <c r="I2772" s="47" t="str">
        <f aca="false">IF(G2772="","",G2772+H2772)</f>
        <v/>
      </c>
    </row>
    <row r="2773" customFormat="false" ht="15" hidden="false" customHeight="false" outlineLevel="0" collapsed="false">
      <c r="C2773" s="41" t="str">
        <f aca="false">IF(A2773="","",TEXT(A2773,"mmm-yyyy"))</f>
        <v/>
      </c>
      <c r="I2773" s="47" t="str">
        <f aca="false">IF(G2773="","",G2773+H2773)</f>
        <v/>
      </c>
    </row>
    <row r="2774" customFormat="false" ht="15" hidden="false" customHeight="false" outlineLevel="0" collapsed="false">
      <c r="C2774" s="41" t="str">
        <f aca="false">IF(A2774="","",TEXT(A2774,"mmm-yyyy"))</f>
        <v/>
      </c>
      <c r="I2774" s="47" t="str">
        <f aca="false">IF(G2774="","",G2774+H2774)</f>
        <v/>
      </c>
    </row>
    <row r="2775" customFormat="false" ht="15" hidden="false" customHeight="false" outlineLevel="0" collapsed="false">
      <c r="C2775" s="41" t="str">
        <f aca="false">IF(A2775="","",TEXT(A2775,"mmm-yyyy"))</f>
        <v/>
      </c>
      <c r="I2775" s="47" t="str">
        <f aca="false">IF(G2775="","",G2775+H2775)</f>
        <v/>
      </c>
    </row>
    <row r="2776" customFormat="false" ht="15" hidden="false" customHeight="false" outlineLevel="0" collapsed="false">
      <c r="C2776" s="41" t="str">
        <f aca="false">IF(A2776="","",TEXT(A2776,"mmm-yyyy"))</f>
        <v/>
      </c>
      <c r="I2776" s="47" t="str">
        <f aca="false">IF(G2776="","",G2776+H2776)</f>
        <v/>
      </c>
    </row>
    <row r="2777" customFormat="false" ht="15" hidden="false" customHeight="false" outlineLevel="0" collapsed="false">
      <c r="C2777" s="41" t="str">
        <f aca="false">IF(A2777="","",TEXT(A2777,"mmm-yyyy"))</f>
        <v/>
      </c>
      <c r="I2777" s="47" t="str">
        <f aca="false">IF(G2777="","",G2777+H2777)</f>
        <v/>
      </c>
    </row>
    <row r="2778" customFormat="false" ht="15" hidden="false" customHeight="false" outlineLevel="0" collapsed="false">
      <c r="C2778" s="41" t="str">
        <f aca="false">IF(A2778="","",TEXT(A2778,"mmm-yyyy"))</f>
        <v/>
      </c>
      <c r="I2778" s="47" t="str">
        <f aca="false">IF(G2778="","",G2778+H2778)</f>
        <v/>
      </c>
    </row>
    <row r="2779" customFormat="false" ht="15" hidden="false" customHeight="false" outlineLevel="0" collapsed="false">
      <c r="C2779" s="41" t="str">
        <f aca="false">IF(A2779="","",TEXT(A2779,"mmm-yyyy"))</f>
        <v/>
      </c>
      <c r="I2779" s="47" t="str">
        <f aca="false">IF(G2779="","",G2779+H2779)</f>
        <v/>
      </c>
    </row>
    <row r="2780" customFormat="false" ht="15" hidden="false" customHeight="false" outlineLevel="0" collapsed="false">
      <c r="C2780" s="41" t="str">
        <f aca="false">IF(A2780="","",TEXT(A2780,"mmm-yyyy"))</f>
        <v/>
      </c>
      <c r="I2780" s="47" t="str">
        <f aca="false">IF(G2780="","",G2780+H2780)</f>
        <v/>
      </c>
    </row>
    <row r="2781" customFormat="false" ht="15" hidden="false" customHeight="false" outlineLevel="0" collapsed="false">
      <c r="C2781" s="41" t="str">
        <f aca="false">IF(A2781="","",TEXT(A2781,"mmm-yyyy"))</f>
        <v/>
      </c>
      <c r="I2781" s="47" t="str">
        <f aca="false">IF(G2781="","",G2781+H2781)</f>
        <v/>
      </c>
    </row>
    <row r="2782" customFormat="false" ht="15" hidden="false" customHeight="false" outlineLevel="0" collapsed="false">
      <c r="C2782" s="41" t="str">
        <f aca="false">IF(A2782="","",TEXT(A2782,"mmm-yyyy"))</f>
        <v/>
      </c>
      <c r="I2782" s="47" t="str">
        <f aca="false">IF(G2782="","",G2782+H2782)</f>
        <v/>
      </c>
    </row>
    <row r="2783" customFormat="false" ht="15" hidden="false" customHeight="false" outlineLevel="0" collapsed="false">
      <c r="C2783" s="41" t="str">
        <f aca="false">IF(A2783="","",TEXT(A2783,"mmm-yyyy"))</f>
        <v/>
      </c>
      <c r="I2783" s="47" t="str">
        <f aca="false">IF(G2783="","",G2783+H2783)</f>
        <v/>
      </c>
    </row>
    <row r="2784" customFormat="false" ht="15" hidden="false" customHeight="false" outlineLevel="0" collapsed="false">
      <c r="C2784" s="41" t="str">
        <f aca="false">IF(A2784="","",TEXT(A2784,"mmm-yyyy"))</f>
        <v/>
      </c>
      <c r="I2784" s="47" t="str">
        <f aca="false">IF(G2784="","",G2784+H2784)</f>
        <v/>
      </c>
    </row>
    <row r="2785" customFormat="false" ht="15" hidden="false" customHeight="false" outlineLevel="0" collapsed="false">
      <c r="C2785" s="41" t="str">
        <f aca="false">IF(A2785="","",TEXT(A2785,"mmm-yyyy"))</f>
        <v/>
      </c>
      <c r="I2785" s="47" t="str">
        <f aca="false">IF(G2785="","",G2785+H2785)</f>
        <v/>
      </c>
    </row>
    <row r="2786" customFormat="false" ht="15" hidden="false" customHeight="false" outlineLevel="0" collapsed="false">
      <c r="C2786" s="41" t="str">
        <f aca="false">IF(A2786="","",TEXT(A2786,"mmm-yyyy"))</f>
        <v/>
      </c>
      <c r="I2786" s="47" t="str">
        <f aca="false">IF(G2786="","",G2786+H2786)</f>
        <v/>
      </c>
    </row>
    <row r="2787" customFormat="false" ht="15" hidden="false" customHeight="false" outlineLevel="0" collapsed="false">
      <c r="C2787" s="41" t="str">
        <f aca="false">IF(A2787="","",TEXT(A2787,"mmm-yyyy"))</f>
        <v/>
      </c>
      <c r="I2787" s="47" t="str">
        <f aca="false">IF(G2787="","",G2787+H2787)</f>
        <v/>
      </c>
    </row>
    <row r="2788" customFormat="false" ht="15" hidden="false" customHeight="false" outlineLevel="0" collapsed="false">
      <c r="C2788" s="41" t="str">
        <f aca="false">IF(A2788="","",TEXT(A2788,"mmm-yyyy"))</f>
        <v/>
      </c>
      <c r="I2788" s="47" t="str">
        <f aca="false">IF(G2788="","",G2788+H2788)</f>
        <v/>
      </c>
    </row>
    <row r="2789" customFormat="false" ht="15" hidden="false" customHeight="false" outlineLevel="0" collapsed="false">
      <c r="C2789" s="41" t="str">
        <f aca="false">IF(A2789="","",TEXT(A2789,"mmm-yyyy"))</f>
        <v/>
      </c>
      <c r="I2789" s="47" t="str">
        <f aca="false">IF(G2789="","",G2789+H2789)</f>
        <v/>
      </c>
    </row>
    <row r="2790" customFormat="false" ht="15" hidden="false" customHeight="false" outlineLevel="0" collapsed="false">
      <c r="C2790" s="41" t="str">
        <f aca="false">IF(A2790="","",TEXT(A2790,"mmm-yyyy"))</f>
        <v/>
      </c>
      <c r="I2790" s="47" t="str">
        <f aca="false">IF(G2790="","",G2790+H2790)</f>
        <v/>
      </c>
    </row>
    <row r="2791" customFormat="false" ht="15" hidden="false" customHeight="false" outlineLevel="0" collapsed="false">
      <c r="C2791" s="41" t="str">
        <f aca="false">IF(A2791="","",TEXT(A2791,"mmm-yyyy"))</f>
        <v/>
      </c>
      <c r="I2791" s="47" t="str">
        <f aca="false">IF(G2791="","",G2791+H2791)</f>
        <v/>
      </c>
    </row>
    <row r="2792" customFormat="false" ht="15" hidden="false" customHeight="false" outlineLevel="0" collapsed="false">
      <c r="C2792" s="41" t="str">
        <f aca="false">IF(A2792="","",TEXT(A2792,"mmm-yyyy"))</f>
        <v/>
      </c>
      <c r="I2792" s="47" t="str">
        <f aca="false">IF(G2792="","",G2792+H2792)</f>
        <v/>
      </c>
    </row>
    <row r="2793" customFormat="false" ht="15" hidden="false" customHeight="false" outlineLevel="0" collapsed="false">
      <c r="C2793" s="41" t="str">
        <f aca="false">IF(A2793="","",TEXT(A2793,"mmm-yyyy"))</f>
        <v/>
      </c>
      <c r="I2793" s="47" t="str">
        <f aca="false">IF(G2793="","",G2793+H2793)</f>
        <v/>
      </c>
    </row>
    <row r="2794" customFormat="false" ht="15" hidden="false" customHeight="false" outlineLevel="0" collapsed="false">
      <c r="C2794" s="41" t="str">
        <f aca="false">IF(A2794="","",TEXT(A2794,"mmm-yyyy"))</f>
        <v/>
      </c>
      <c r="I2794" s="47" t="str">
        <f aca="false">IF(G2794="","",G2794+H2794)</f>
        <v/>
      </c>
    </row>
    <row r="2795" customFormat="false" ht="15" hidden="false" customHeight="false" outlineLevel="0" collapsed="false">
      <c r="C2795" s="41" t="str">
        <f aca="false">IF(A2795="","",TEXT(A2795,"mmm-yyyy"))</f>
        <v/>
      </c>
      <c r="I2795" s="47" t="str">
        <f aca="false">IF(G2795="","",G2795+H2795)</f>
        <v/>
      </c>
    </row>
    <row r="2796" customFormat="false" ht="15" hidden="false" customHeight="false" outlineLevel="0" collapsed="false">
      <c r="C2796" s="41" t="str">
        <f aca="false">IF(A2796="","",TEXT(A2796,"mmm-yyyy"))</f>
        <v/>
      </c>
      <c r="I2796" s="47" t="str">
        <f aca="false">IF(G2796="","",G2796+H2796)</f>
        <v/>
      </c>
    </row>
    <row r="2797" customFormat="false" ht="15" hidden="false" customHeight="false" outlineLevel="0" collapsed="false">
      <c r="C2797" s="41" t="str">
        <f aca="false">IF(A2797="","",TEXT(A2797,"mmm-yyyy"))</f>
        <v/>
      </c>
      <c r="I2797" s="47" t="str">
        <f aca="false">IF(G2797="","",G2797+H2797)</f>
        <v/>
      </c>
    </row>
    <row r="2798" customFormat="false" ht="15" hidden="false" customHeight="false" outlineLevel="0" collapsed="false">
      <c r="C2798" s="41" t="str">
        <f aca="false">IF(A2798="","",TEXT(A2798,"mmm-yyyy"))</f>
        <v/>
      </c>
      <c r="I2798" s="47" t="str">
        <f aca="false">IF(G2798="","",G2798+H2798)</f>
        <v/>
      </c>
    </row>
    <row r="2799" customFormat="false" ht="15" hidden="false" customHeight="false" outlineLevel="0" collapsed="false">
      <c r="C2799" s="41" t="str">
        <f aca="false">IF(A2799="","",TEXT(A2799,"mmm-yyyy"))</f>
        <v/>
      </c>
      <c r="I2799" s="47" t="str">
        <f aca="false">IF(G2799="","",G2799+H2799)</f>
        <v/>
      </c>
    </row>
    <row r="2800" customFormat="false" ht="15" hidden="false" customHeight="false" outlineLevel="0" collapsed="false">
      <c r="C2800" s="41" t="str">
        <f aca="false">IF(A2800="","",TEXT(A2800,"mmm-yyyy"))</f>
        <v/>
      </c>
      <c r="I2800" s="47" t="str">
        <f aca="false">IF(G2800="","",G2800+H2800)</f>
        <v/>
      </c>
    </row>
    <row r="2801" customFormat="false" ht="15" hidden="false" customHeight="false" outlineLevel="0" collapsed="false">
      <c r="C2801" s="41" t="str">
        <f aca="false">IF(A2801="","",TEXT(A2801,"mmm-yyyy"))</f>
        <v/>
      </c>
      <c r="I2801" s="47" t="str">
        <f aca="false">IF(G2801="","",G2801+H2801)</f>
        <v/>
      </c>
    </row>
    <row r="2802" customFormat="false" ht="15" hidden="false" customHeight="false" outlineLevel="0" collapsed="false">
      <c r="C2802" s="41" t="str">
        <f aca="false">IF(A2802="","",TEXT(A2802,"mmm-yyyy"))</f>
        <v/>
      </c>
      <c r="I2802" s="47" t="str">
        <f aca="false">IF(G2802="","",G2802+H2802)</f>
        <v/>
      </c>
    </row>
    <row r="2803" customFormat="false" ht="15" hidden="false" customHeight="false" outlineLevel="0" collapsed="false">
      <c r="C2803" s="41" t="str">
        <f aca="false">IF(A2803="","",TEXT(A2803,"mmm-yyyy"))</f>
        <v/>
      </c>
      <c r="I2803" s="47" t="str">
        <f aca="false">IF(G2803="","",G2803+H2803)</f>
        <v/>
      </c>
    </row>
    <row r="2804" customFormat="false" ht="15" hidden="false" customHeight="false" outlineLevel="0" collapsed="false">
      <c r="C2804" s="41" t="str">
        <f aca="false">IF(A2804="","",TEXT(A2804,"mmm-yyyy"))</f>
        <v/>
      </c>
      <c r="I2804" s="47" t="str">
        <f aca="false">IF(G2804="","",G2804+H2804)</f>
        <v/>
      </c>
    </row>
    <row r="2805" customFormat="false" ht="15" hidden="false" customHeight="false" outlineLevel="0" collapsed="false">
      <c r="C2805" s="41" t="str">
        <f aca="false">IF(A2805="","",TEXT(A2805,"mmm-yyyy"))</f>
        <v/>
      </c>
      <c r="I2805" s="47" t="str">
        <f aca="false">IF(G2805="","",G2805+H2805)</f>
        <v/>
      </c>
    </row>
    <row r="2806" customFormat="false" ht="15" hidden="false" customHeight="false" outlineLevel="0" collapsed="false">
      <c r="C2806" s="41" t="str">
        <f aca="false">IF(A2806="","",TEXT(A2806,"mmm-yyyy"))</f>
        <v/>
      </c>
      <c r="I2806" s="47" t="str">
        <f aca="false">IF(G2806="","",G2806+H2806)</f>
        <v/>
      </c>
    </row>
    <row r="2807" customFormat="false" ht="15" hidden="false" customHeight="false" outlineLevel="0" collapsed="false">
      <c r="C2807" s="41" t="str">
        <f aca="false">IF(A2807="","",TEXT(A2807,"mmm-yyyy"))</f>
        <v/>
      </c>
      <c r="I2807" s="47" t="str">
        <f aca="false">IF(G2807="","",G2807+H2807)</f>
        <v/>
      </c>
    </row>
    <row r="2808" customFormat="false" ht="15" hidden="false" customHeight="false" outlineLevel="0" collapsed="false">
      <c r="C2808" s="41" t="str">
        <f aca="false">IF(A2808="","",TEXT(A2808,"mmm-yyyy"))</f>
        <v/>
      </c>
      <c r="I2808" s="47" t="str">
        <f aca="false">IF(G2808="","",G2808+H2808)</f>
        <v/>
      </c>
    </row>
    <row r="2809" customFormat="false" ht="15" hidden="false" customHeight="false" outlineLevel="0" collapsed="false">
      <c r="C2809" s="41" t="str">
        <f aca="false">IF(A2809="","",TEXT(A2809,"mmm-yyyy"))</f>
        <v/>
      </c>
      <c r="I2809" s="47" t="str">
        <f aca="false">IF(G2809="","",G2809+H2809)</f>
        <v/>
      </c>
    </row>
    <row r="2810" customFormat="false" ht="15" hidden="false" customHeight="false" outlineLevel="0" collapsed="false">
      <c r="C2810" s="41" t="str">
        <f aca="false">IF(A2810="","",TEXT(A2810,"mmm-yyyy"))</f>
        <v/>
      </c>
      <c r="I2810" s="47" t="str">
        <f aca="false">IF(G2810="","",G2810+H2810)</f>
        <v/>
      </c>
    </row>
    <row r="2811" customFormat="false" ht="15" hidden="false" customHeight="false" outlineLevel="0" collapsed="false">
      <c r="C2811" s="41" t="str">
        <f aca="false">IF(A2811="","",TEXT(A2811,"mmm-yyyy"))</f>
        <v/>
      </c>
      <c r="I2811" s="47" t="str">
        <f aca="false">IF(G2811="","",G2811+H2811)</f>
        <v/>
      </c>
    </row>
    <row r="2812" customFormat="false" ht="15" hidden="false" customHeight="false" outlineLevel="0" collapsed="false">
      <c r="C2812" s="41" t="str">
        <f aca="false">IF(A2812="","",TEXT(A2812,"mmm-yyyy"))</f>
        <v/>
      </c>
      <c r="I2812" s="47" t="str">
        <f aca="false">IF(G2812="","",G2812+H2812)</f>
        <v/>
      </c>
    </row>
    <row r="2813" customFormat="false" ht="15" hidden="false" customHeight="false" outlineLevel="0" collapsed="false">
      <c r="C2813" s="41" t="str">
        <f aca="false">IF(A2813="","",TEXT(A2813,"mmm-yyyy"))</f>
        <v/>
      </c>
      <c r="I2813" s="47" t="str">
        <f aca="false">IF(G2813="","",G2813+H2813)</f>
        <v/>
      </c>
    </row>
    <row r="2814" customFormat="false" ht="15" hidden="false" customHeight="false" outlineLevel="0" collapsed="false">
      <c r="C2814" s="41" t="str">
        <f aca="false">IF(A2814="","",TEXT(A2814,"mmm-yyyy"))</f>
        <v/>
      </c>
      <c r="I2814" s="47" t="str">
        <f aca="false">IF(G2814="","",G2814+H2814)</f>
        <v/>
      </c>
    </row>
    <row r="2815" customFormat="false" ht="15" hidden="false" customHeight="false" outlineLevel="0" collapsed="false">
      <c r="C2815" s="41" t="str">
        <f aca="false">IF(A2815="","",TEXT(A2815,"mmm-yyyy"))</f>
        <v/>
      </c>
      <c r="I2815" s="47" t="str">
        <f aca="false">IF(G2815="","",G2815+H2815)</f>
        <v/>
      </c>
    </row>
    <row r="2816" customFormat="false" ht="15" hidden="false" customHeight="false" outlineLevel="0" collapsed="false">
      <c r="C2816" s="41" t="str">
        <f aca="false">IF(A2816="","",TEXT(A2816,"mmm-yyyy"))</f>
        <v/>
      </c>
      <c r="I2816" s="47" t="str">
        <f aca="false">IF(G2816="","",G2816+H2816)</f>
        <v/>
      </c>
    </row>
    <row r="2817" customFormat="false" ht="15" hidden="false" customHeight="false" outlineLevel="0" collapsed="false">
      <c r="C2817" s="41" t="str">
        <f aca="false">IF(A2817="","",TEXT(A2817,"mmm-yyyy"))</f>
        <v/>
      </c>
      <c r="I2817" s="47" t="str">
        <f aca="false">IF(G2817="","",G2817+H2817)</f>
        <v/>
      </c>
    </row>
    <row r="2818" customFormat="false" ht="15" hidden="false" customHeight="false" outlineLevel="0" collapsed="false">
      <c r="C2818" s="41" t="str">
        <f aca="false">IF(A2818="","",TEXT(A2818,"mmm-yyyy"))</f>
        <v/>
      </c>
      <c r="I2818" s="47" t="str">
        <f aca="false">IF(G2818="","",G2818+H2818)</f>
        <v/>
      </c>
    </row>
    <row r="2819" customFormat="false" ht="15" hidden="false" customHeight="false" outlineLevel="0" collapsed="false">
      <c r="C2819" s="41" t="str">
        <f aca="false">IF(A2819="","",TEXT(A2819,"mmm-yyyy"))</f>
        <v/>
      </c>
      <c r="I2819" s="47" t="str">
        <f aca="false">IF(G2819="","",G2819+H2819)</f>
        <v/>
      </c>
    </row>
    <row r="2820" customFormat="false" ht="15" hidden="false" customHeight="false" outlineLevel="0" collapsed="false">
      <c r="C2820" s="41" t="str">
        <f aca="false">IF(A2820="","",TEXT(A2820,"mmm-yyyy"))</f>
        <v/>
      </c>
      <c r="I2820" s="47" t="str">
        <f aca="false">IF(G2820="","",G2820+H2820)</f>
        <v/>
      </c>
    </row>
    <row r="2821" customFormat="false" ht="15" hidden="false" customHeight="false" outlineLevel="0" collapsed="false">
      <c r="C2821" s="41" t="str">
        <f aca="false">IF(A2821="","",TEXT(A2821,"mmm-yyyy"))</f>
        <v/>
      </c>
      <c r="I2821" s="47" t="str">
        <f aca="false">IF(G2821="","",G2821+H2821)</f>
        <v/>
      </c>
    </row>
    <row r="2822" customFormat="false" ht="15" hidden="false" customHeight="false" outlineLevel="0" collapsed="false">
      <c r="C2822" s="41" t="str">
        <f aca="false">IF(A2822="","",TEXT(A2822,"mmm-yyyy"))</f>
        <v/>
      </c>
      <c r="I2822" s="47" t="str">
        <f aca="false">IF(G2822="","",G2822+H2822)</f>
        <v/>
      </c>
    </row>
    <row r="2823" customFormat="false" ht="15" hidden="false" customHeight="false" outlineLevel="0" collapsed="false">
      <c r="C2823" s="41" t="str">
        <f aca="false">IF(A2823="","",TEXT(A2823,"mmm-yyyy"))</f>
        <v/>
      </c>
      <c r="I2823" s="47" t="str">
        <f aca="false">IF(G2823="","",G2823+H2823)</f>
        <v/>
      </c>
    </row>
    <row r="2824" customFormat="false" ht="15" hidden="false" customHeight="false" outlineLevel="0" collapsed="false">
      <c r="C2824" s="41" t="str">
        <f aca="false">IF(A2824="","",TEXT(A2824,"mmm-yyyy"))</f>
        <v/>
      </c>
      <c r="I2824" s="47" t="str">
        <f aca="false">IF(G2824="","",G2824+H2824)</f>
        <v/>
      </c>
    </row>
    <row r="2825" customFormat="false" ht="15" hidden="false" customHeight="false" outlineLevel="0" collapsed="false">
      <c r="C2825" s="41" t="str">
        <f aca="false">IF(A2825="","",TEXT(A2825,"mmm-yyyy"))</f>
        <v/>
      </c>
      <c r="I2825" s="47" t="str">
        <f aca="false">IF(G2825="","",G2825+H2825)</f>
        <v/>
      </c>
    </row>
    <row r="2826" customFormat="false" ht="15" hidden="false" customHeight="false" outlineLevel="0" collapsed="false">
      <c r="C2826" s="41" t="str">
        <f aca="false">IF(A2826="","",TEXT(A2826,"mmm-yyyy"))</f>
        <v/>
      </c>
      <c r="I2826" s="47" t="str">
        <f aca="false">IF(G2826="","",G2826+H2826)</f>
        <v/>
      </c>
    </row>
    <row r="2827" customFormat="false" ht="15" hidden="false" customHeight="false" outlineLevel="0" collapsed="false">
      <c r="C2827" s="41" t="str">
        <f aca="false">IF(A2827="","",TEXT(A2827,"mmm-yyyy"))</f>
        <v/>
      </c>
      <c r="I2827" s="47" t="str">
        <f aca="false">IF(G2827="","",G2827+H2827)</f>
        <v/>
      </c>
    </row>
    <row r="2828" customFormat="false" ht="15" hidden="false" customHeight="false" outlineLevel="0" collapsed="false">
      <c r="C2828" s="41" t="str">
        <f aca="false">IF(A2828="","",TEXT(A2828,"mmm-yyyy"))</f>
        <v/>
      </c>
      <c r="I2828" s="47" t="str">
        <f aca="false">IF(G2828="","",G2828+H2828)</f>
        <v/>
      </c>
    </row>
    <row r="2829" customFormat="false" ht="15" hidden="false" customHeight="false" outlineLevel="0" collapsed="false">
      <c r="C2829" s="41" t="str">
        <f aca="false">IF(A2829="","",TEXT(A2829,"mmm-yyyy"))</f>
        <v/>
      </c>
      <c r="I2829" s="47" t="str">
        <f aca="false">IF(G2829="","",G2829+H2829)</f>
        <v/>
      </c>
    </row>
    <row r="2830" customFormat="false" ht="15" hidden="false" customHeight="false" outlineLevel="0" collapsed="false">
      <c r="C2830" s="41" t="str">
        <f aca="false">IF(A2830="","",TEXT(A2830,"mmm-yyyy"))</f>
        <v/>
      </c>
      <c r="I2830" s="47" t="str">
        <f aca="false">IF(G2830="","",G2830+H2830)</f>
        <v/>
      </c>
    </row>
    <row r="2831" customFormat="false" ht="15" hidden="false" customHeight="false" outlineLevel="0" collapsed="false">
      <c r="C2831" s="41" t="str">
        <f aca="false">IF(A2831="","",TEXT(A2831,"mmm-yyyy"))</f>
        <v/>
      </c>
      <c r="I2831" s="47" t="str">
        <f aca="false">IF(G2831="","",G2831+H2831)</f>
        <v/>
      </c>
    </row>
    <row r="2832" customFormat="false" ht="15" hidden="false" customHeight="false" outlineLevel="0" collapsed="false">
      <c r="C2832" s="41" t="str">
        <f aca="false">IF(A2832="","",TEXT(A2832,"mmm-yyyy"))</f>
        <v/>
      </c>
      <c r="I2832" s="47" t="str">
        <f aca="false">IF(G2832="","",G2832+H2832)</f>
        <v/>
      </c>
    </row>
    <row r="2833" customFormat="false" ht="15" hidden="false" customHeight="false" outlineLevel="0" collapsed="false">
      <c r="C2833" s="41" t="str">
        <f aca="false">IF(A2833="","",TEXT(A2833,"mmm-yyyy"))</f>
        <v/>
      </c>
      <c r="I2833" s="47" t="str">
        <f aca="false">IF(G2833="","",G2833+H2833)</f>
        <v/>
      </c>
    </row>
    <row r="2834" customFormat="false" ht="15" hidden="false" customHeight="false" outlineLevel="0" collapsed="false">
      <c r="C2834" s="41" t="str">
        <f aca="false">IF(A2834="","",TEXT(A2834,"mmm-yyyy"))</f>
        <v/>
      </c>
      <c r="I2834" s="47" t="str">
        <f aca="false">IF(G2834="","",G2834+H2834)</f>
        <v/>
      </c>
    </row>
    <row r="2835" customFormat="false" ht="15" hidden="false" customHeight="false" outlineLevel="0" collapsed="false">
      <c r="C2835" s="41" t="str">
        <f aca="false">IF(A2835="","",TEXT(A2835,"mmm-yyyy"))</f>
        <v/>
      </c>
      <c r="I2835" s="47" t="str">
        <f aca="false">IF(G2835="","",G2835+H2835)</f>
        <v/>
      </c>
    </row>
    <row r="2836" customFormat="false" ht="15" hidden="false" customHeight="false" outlineLevel="0" collapsed="false">
      <c r="C2836" s="41" t="str">
        <f aca="false">IF(A2836="","",TEXT(A2836,"mmm-yyyy"))</f>
        <v/>
      </c>
      <c r="I2836" s="47" t="str">
        <f aca="false">IF(G2836="","",G2836+H2836)</f>
        <v/>
      </c>
    </row>
    <row r="2837" customFormat="false" ht="15" hidden="false" customHeight="false" outlineLevel="0" collapsed="false">
      <c r="C2837" s="41" t="str">
        <f aca="false">IF(A2837="","",TEXT(A2837,"mmm-yyyy"))</f>
        <v/>
      </c>
      <c r="I2837" s="47" t="str">
        <f aca="false">IF(G2837="","",G2837+H2837)</f>
        <v/>
      </c>
    </row>
    <row r="2838" customFormat="false" ht="15" hidden="false" customHeight="false" outlineLevel="0" collapsed="false">
      <c r="C2838" s="41" t="str">
        <f aca="false">IF(A2838="","",TEXT(A2838,"mmm-yyyy"))</f>
        <v/>
      </c>
      <c r="I2838" s="47" t="str">
        <f aca="false">IF(G2838="","",G2838+H2838)</f>
        <v/>
      </c>
    </row>
    <row r="2839" customFormat="false" ht="15" hidden="false" customHeight="false" outlineLevel="0" collapsed="false">
      <c r="C2839" s="41" t="str">
        <f aca="false">IF(A2839="","",TEXT(A2839,"mmm-yyyy"))</f>
        <v/>
      </c>
      <c r="I2839" s="47" t="str">
        <f aca="false">IF(G2839="","",G2839+H2839)</f>
        <v/>
      </c>
    </row>
    <row r="2840" customFormat="false" ht="15" hidden="false" customHeight="false" outlineLevel="0" collapsed="false">
      <c r="C2840" s="41" t="str">
        <f aca="false">IF(A2840="","",TEXT(A2840,"mmm-yyyy"))</f>
        <v/>
      </c>
      <c r="I2840" s="47" t="str">
        <f aca="false">IF(G2840="","",G2840+H2840)</f>
        <v/>
      </c>
    </row>
    <row r="2841" customFormat="false" ht="15" hidden="false" customHeight="false" outlineLevel="0" collapsed="false">
      <c r="C2841" s="41" t="str">
        <f aca="false">IF(A2841="","",TEXT(A2841,"mmm-yyyy"))</f>
        <v/>
      </c>
      <c r="I2841" s="47" t="str">
        <f aca="false">IF(G2841="","",G2841+H2841)</f>
        <v/>
      </c>
    </row>
    <row r="2842" customFormat="false" ht="15" hidden="false" customHeight="false" outlineLevel="0" collapsed="false">
      <c r="C2842" s="41" t="str">
        <f aca="false">IF(A2842="","",TEXT(A2842,"mmm-yyyy"))</f>
        <v/>
      </c>
      <c r="I2842" s="47" t="str">
        <f aca="false">IF(G2842="","",G2842+H2842)</f>
        <v/>
      </c>
    </row>
    <row r="2843" customFormat="false" ht="15" hidden="false" customHeight="false" outlineLevel="0" collapsed="false">
      <c r="C2843" s="41" t="str">
        <f aca="false">IF(A2843="","",TEXT(A2843,"mmm-yyyy"))</f>
        <v/>
      </c>
      <c r="I2843" s="47" t="str">
        <f aca="false">IF(G2843="","",G2843+H2843)</f>
        <v/>
      </c>
    </row>
    <row r="2844" customFormat="false" ht="15" hidden="false" customHeight="false" outlineLevel="0" collapsed="false">
      <c r="C2844" s="41" t="str">
        <f aca="false">IF(A2844="","",TEXT(A2844,"mmm-yyyy"))</f>
        <v/>
      </c>
      <c r="I2844" s="47" t="str">
        <f aca="false">IF(G2844="","",G2844+H2844)</f>
        <v/>
      </c>
    </row>
    <row r="2845" customFormat="false" ht="15" hidden="false" customHeight="false" outlineLevel="0" collapsed="false">
      <c r="C2845" s="41" t="str">
        <f aca="false">IF(A2845="","",TEXT(A2845,"mmm-yyyy"))</f>
        <v/>
      </c>
      <c r="I2845" s="47" t="str">
        <f aca="false">IF(G2845="","",G2845+H2845)</f>
        <v/>
      </c>
    </row>
    <row r="2846" customFormat="false" ht="15" hidden="false" customHeight="false" outlineLevel="0" collapsed="false">
      <c r="C2846" s="41" t="str">
        <f aca="false">IF(A2846="","",TEXT(A2846,"mmm-yyyy"))</f>
        <v/>
      </c>
      <c r="I2846" s="47" t="str">
        <f aca="false">IF(G2846="","",G2846+H2846)</f>
        <v/>
      </c>
    </row>
    <row r="2847" customFormat="false" ht="15" hidden="false" customHeight="false" outlineLevel="0" collapsed="false">
      <c r="C2847" s="41" t="str">
        <f aca="false">IF(A2847="","",TEXT(A2847,"mmm-yyyy"))</f>
        <v/>
      </c>
      <c r="I2847" s="47" t="str">
        <f aca="false">IF(G2847="","",G2847+H2847)</f>
        <v/>
      </c>
    </row>
    <row r="2848" customFormat="false" ht="15" hidden="false" customHeight="false" outlineLevel="0" collapsed="false">
      <c r="C2848" s="41" t="str">
        <f aca="false">IF(A2848="","",TEXT(A2848,"mmm-yyyy"))</f>
        <v/>
      </c>
      <c r="I2848" s="47" t="str">
        <f aca="false">IF(G2848="","",G2848+H2848)</f>
        <v/>
      </c>
    </row>
    <row r="2849" customFormat="false" ht="15" hidden="false" customHeight="false" outlineLevel="0" collapsed="false">
      <c r="C2849" s="41" t="str">
        <f aca="false">IF(A2849="","",TEXT(A2849,"mmm-yyyy"))</f>
        <v/>
      </c>
      <c r="I2849" s="47" t="str">
        <f aca="false">IF(G2849="","",G2849+H2849)</f>
        <v/>
      </c>
    </row>
    <row r="2850" customFormat="false" ht="15" hidden="false" customHeight="false" outlineLevel="0" collapsed="false">
      <c r="C2850" s="41" t="str">
        <f aca="false">IF(A2850="","",TEXT(A2850,"mmm-yyyy"))</f>
        <v/>
      </c>
      <c r="I2850" s="47" t="str">
        <f aca="false">IF(G2850="","",G2850+H2850)</f>
        <v/>
      </c>
    </row>
    <row r="2851" customFormat="false" ht="15" hidden="false" customHeight="false" outlineLevel="0" collapsed="false">
      <c r="C2851" s="41" t="str">
        <f aca="false">IF(A2851="","",TEXT(A2851,"mmm-yyyy"))</f>
        <v/>
      </c>
      <c r="I2851" s="47" t="str">
        <f aca="false">IF(G2851="","",G2851+H2851)</f>
        <v/>
      </c>
    </row>
    <row r="2852" customFormat="false" ht="15" hidden="false" customHeight="false" outlineLevel="0" collapsed="false">
      <c r="C2852" s="41" t="str">
        <f aca="false">IF(A2852="","",TEXT(A2852,"mmm-yyyy"))</f>
        <v/>
      </c>
      <c r="I2852" s="47" t="str">
        <f aca="false">IF(G2852="","",G2852+H2852)</f>
        <v/>
      </c>
    </row>
    <row r="2853" customFormat="false" ht="15" hidden="false" customHeight="false" outlineLevel="0" collapsed="false">
      <c r="C2853" s="41" t="str">
        <f aca="false">IF(A2853="","",TEXT(A2853,"mmm-yyyy"))</f>
        <v/>
      </c>
      <c r="I2853" s="47" t="str">
        <f aca="false">IF(G2853="","",G2853+H2853)</f>
        <v/>
      </c>
    </row>
    <row r="2854" customFormat="false" ht="15" hidden="false" customHeight="false" outlineLevel="0" collapsed="false">
      <c r="C2854" s="41" t="str">
        <f aca="false">IF(A2854="","",TEXT(A2854,"mmm-yyyy"))</f>
        <v/>
      </c>
      <c r="I2854" s="47" t="str">
        <f aca="false">IF(G2854="","",G2854+H2854)</f>
        <v/>
      </c>
    </row>
    <row r="2855" customFormat="false" ht="15" hidden="false" customHeight="false" outlineLevel="0" collapsed="false">
      <c r="C2855" s="41" t="str">
        <f aca="false">IF(A2855="","",TEXT(A2855,"mmm-yyyy"))</f>
        <v/>
      </c>
      <c r="I2855" s="47" t="str">
        <f aca="false">IF(G2855="","",G2855+H2855)</f>
        <v/>
      </c>
    </row>
    <row r="2856" customFormat="false" ht="15" hidden="false" customHeight="false" outlineLevel="0" collapsed="false">
      <c r="C2856" s="41" t="str">
        <f aca="false">IF(A2856="","",TEXT(A2856,"mmm-yyyy"))</f>
        <v/>
      </c>
      <c r="I2856" s="47" t="str">
        <f aca="false">IF(G2856="","",G2856+H2856)</f>
        <v/>
      </c>
    </row>
    <row r="2857" customFormat="false" ht="15" hidden="false" customHeight="false" outlineLevel="0" collapsed="false">
      <c r="C2857" s="41" t="str">
        <f aca="false">IF(A2857="","",TEXT(A2857,"mmm-yyyy"))</f>
        <v/>
      </c>
      <c r="I2857" s="47" t="str">
        <f aca="false">IF(G2857="","",G2857+H2857)</f>
        <v/>
      </c>
    </row>
    <row r="2858" customFormat="false" ht="15" hidden="false" customHeight="false" outlineLevel="0" collapsed="false">
      <c r="C2858" s="41" t="str">
        <f aca="false">IF(A2858="","",TEXT(A2858,"mmm-yyyy"))</f>
        <v/>
      </c>
      <c r="I2858" s="47" t="str">
        <f aca="false">IF(G2858="","",G2858+H2858)</f>
        <v/>
      </c>
    </row>
    <row r="2859" customFormat="false" ht="15" hidden="false" customHeight="false" outlineLevel="0" collapsed="false">
      <c r="C2859" s="41" t="str">
        <f aca="false">IF(A2859="","",TEXT(A2859,"mmm-yyyy"))</f>
        <v/>
      </c>
      <c r="I2859" s="47" t="str">
        <f aca="false">IF(G2859="","",G2859+H2859)</f>
        <v/>
      </c>
    </row>
    <row r="2860" customFormat="false" ht="15" hidden="false" customHeight="false" outlineLevel="0" collapsed="false">
      <c r="C2860" s="41" t="str">
        <f aca="false">IF(A2860="","",TEXT(A2860,"mmm-yyyy"))</f>
        <v/>
      </c>
      <c r="I2860" s="47" t="str">
        <f aca="false">IF(G2860="","",G2860+H2860)</f>
        <v/>
      </c>
    </row>
    <row r="2861" customFormat="false" ht="15" hidden="false" customHeight="false" outlineLevel="0" collapsed="false">
      <c r="C2861" s="41" t="str">
        <f aca="false">IF(A2861="","",TEXT(A2861,"mmm-yyyy"))</f>
        <v/>
      </c>
      <c r="I2861" s="47" t="str">
        <f aca="false">IF(G2861="","",G2861+H2861)</f>
        <v/>
      </c>
    </row>
    <row r="2862" customFormat="false" ht="15" hidden="false" customHeight="false" outlineLevel="0" collapsed="false">
      <c r="C2862" s="41" t="str">
        <f aca="false">IF(A2862="","",TEXT(A2862,"mmm-yyyy"))</f>
        <v/>
      </c>
      <c r="I2862" s="47" t="str">
        <f aca="false">IF(G2862="","",G2862+H2862)</f>
        <v/>
      </c>
    </row>
    <row r="2863" customFormat="false" ht="15" hidden="false" customHeight="false" outlineLevel="0" collapsed="false">
      <c r="C2863" s="41" t="str">
        <f aca="false">IF(A2863="","",TEXT(A2863,"mmm-yyyy"))</f>
        <v/>
      </c>
      <c r="I2863" s="47" t="str">
        <f aca="false">IF(G2863="","",G2863+H2863)</f>
        <v/>
      </c>
    </row>
    <row r="2864" customFormat="false" ht="15" hidden="false" customHeight="false" outlineLevel="0" collapsed="false">
      <c r="C2864" s="41" t="str">
        <f aca="false">IF(A2864="","",TEXT(A2864,"mmm-yyyy"))</f>
        <v/>
      </c>
      <c r="I2864" s="47" t="str">
        <f aca="false">IF(G2864="","",G2864+H2864)</f>
        <v/>
      </c>
    </row>
    <row r="2865" customFormat="false" ht="15" hidden="false" customHeight="false" outlineLevel="0" collapsed="false">
      <c r="C2865" s="41" t="str">
        <f aca="false">IF(A2865="","",TEXT(A2865,"mmm-yyyy"))</f>
        <v/>
      </c>
      <c r="I2865" s="47" t="str">
        <f aca="false">IF(G2865="","",G2865+H2865)</f>
        <v/>
      </c>
    </row>
    <row r="2866" customFormat="false" ht="15" hidden="false" customHeight="false" outlineLevel="0" collapsed="false">
      <c r="C2866" s="41" t="str">
        <f aca="false">IF(A2866="","",TEXT(A2866,"mmm-yyyy"))</f>
        <v/>
      </c>
      <c r="I2866" s="47" t="str">
        <f aca="false">IF(G2866="","",G2866+H2866)</f>
        <v/>
      </c>
    </row>
    <row r="2867" customFormat="false" ht="15" hidden="false" customHeight="false" outlineLevel="0" collapsed="false">
      <c r="C2867" s="41" t="str">
        <f aca="false">IF(A2867="","",TEXT(A2867,"mmm-yyyy"))</f>
        <v/>
      </c>
      <c r="I2867" s="47" t="str">
        <f aca="false">IF(G2867="","",G2867+H2867)</f>
        <v/>
      </c>
    </row>
    <row r="2868" customFormat="false" ht="15" hidden="false" customHeight="false" outlineLevel="0" collapsed="false">
      <c r="C2868" s="41" t="str">
        <f aca="false">IF(A2868="","",TEXT(A2868,"mmm-yyyy"))</f>
        <v/>
      </c>
      <c r="I2868" s="47" t="str">
        <f aca="false">IF(G2868="","",G2868+H2868)</f>
        <v/>
      </c>
    </row>
    <row r="2869" customFormat="false" ht="15" hidden="false" customHeight="false" outlineLevel="0" collapsed="false">
      <c r="C2869" s="41" t="str">
        <f aca="false">IF(A2869="","",TEXT(A2869,"mmm-yyyy"))</f>
        <v/>
      </c>
      <c r="I2869" s="47" t="str">
        <f aca="false">IF(G2869="","",G2869+H2869)</f>
        <v/>
      </c>
    </row>
    <row r="2870" customFormat="false" ht="15" hidden="false" customHeight="false" outlineLevel="0" collapsed="false">
      <c r="C2870" s="41" t="str">
        <f aca="false">IF(A2870="","",TEXT(A2870,"mmm-yyyy"))</f>
        <v/>
      </c>
      <c r="I2870" s="47" t="str">
        <f aca="false">IF(G2870="","",G2870+H2870)</f>
        <v/>
      </c>
    </row>
    <row r="2871" customFormat="false" ht="15" hidden="false" customHeight="false" outlineLevel="0" collapsed="false">
      <c r="C2871" s="41" t="str">
        <f aca="false">IF(A2871="","",TEXT(A2871,"mmm-yyyy"))</f>
        <v/>
      </c>
      <c r="I2871" s="47" t="str">
        <f aca="false">IF(G2871="","",G2871+H2871)</f>
        <v/>
      </c>
    </row>
    <row r="2872" customFormat="false" ht="15" hidden="false" customHeight="false" outlineLevel="0" collapsed="false">
      <c r="C2872" s="41" t="str">
        <f aca="false">IF(A2872="","",TEXT(A2872,"mmm-yyyy"))</f>
        <v/>
      </c>
      <c r="I2872" s="47" t="str">
        <f aca="false">IF(G2872="","",G2872+H2872)</f>
        <v/>
      </c>
    </row>
    <row r="2873" customFormat="false" ht="15" hidden="false" customHeight="false" outlineLevel="0" collapsed="false">
      <c r="C2873" s="41" t="str">
        <f aca="false">IF(A2873="","",TEXT(A2873,"mmm-yyyy"))</f>
        <v/>
      </c>
      <c r="I2873" s="47" t="str">
        <f aca="false">IF(G2873="","",G2873+H2873)</f>
        <v/>
      </c>
    </row>
    <row r="2874" customFormat="false" ht="15" hidden="false" customHeight="false" outlineLevel="0" collapsed="false">
      <c r="C2874" s="41" t="str">
        <f aca="false">IF(A2874="","",TEXT(A2874,"mmm-yyyy"))</f>
        <v/>
      </c>
      <c r="I2874" s="47" t="str">
        <f aca="false">IF(G2874="","",G2874+H2874)</f>
        <v/>
      </c>
    </row>
    <row r="2875" customFormat="false" ht="15" hidden="false" customHeight="false" outlineLevel="0" collapsed="false">
      <c r="C2875" s="41" t="str">
        <f aca="false">IF(A2875="","",TEXT(A2875,"mmm-yyyy"))</f>
        <v/>
      </c>
      <c r="I2875" s="47" t="str">
        <f aca="false">IF(G2875="","",G2875+H2875)</f>
        <v/>
      </c>
    </row>
    <row r="2876" customFormat="false" ht="15" hidden="false" customHeight="false" outlineLevel="0" collapsed="false">
      <c r="C2876" s="41" t="str">
        <f aca="false">IF(A2876="","",TEXT(A2876,"mmm-yyyy"))</f>
        <v/>
      </c>
      <c r="I2876" s="47" t="str">
        <f aca="false">IF(G2876="","",G2876+H2876)</f>
        <v/>
      </c>
    </row>
    <row r="2877" customFormat="false" ht="15" hidden="false" customHeight="false" outlineLevel="0" collapsed="false">
      <c r="C2877" s="41" t="str">
        <f aca="false">IF(A2877="","",TEXT(A2877,"mmm-yyyy"))</f>
        <v/>
      </c>
      <c r="I2877" s="47" t="str">
        <f aca="false">IF(G2877="","",G2877+H2877)</f>
        <v/>
      </c>
    </row>
    <row r="2878" customFormat="false" ht="15" hidden="false" customHeight="false" outlineLevel="0" collapsed="false">
      <c r="C2878" s="41" t="str">
        <f aca="false">IF(A2878="","",TEXT(A2878,"mmm-yyyy"))</f>
        <v/>
      </c>
      <c r="I2878" s="47" t="str">
        <f aca="false">IF(G2878="","",G2878+H2878)</f>
        <v/>
      </c>
    </row>
    <row r="2879" customFormat="false" ht="15" hidden="false" customHeight="false" outlineLevel="0" collapsed="false">
      <c r="C2879" s="41" t="str">
        <f aca="false">IF(A2879="","",TEXT(A2879,"mmm-yyyy"))</f>
        <v/>
      </c>
      <c r="I2879" s="47" t="str">
        <f aca="false">IF(G2879="","",G2879+H2879)</f>
        <v/>
      </c>
    </row>
    <row r="2880" customFormat="false" ht="15" hidden="false" customHeight="false" outlineLevel="0" collapsed="false">
      <c r="C2880" s="41" t="str">
        <f aca="false">IF(A2880="","",TEXT(A2880,"mmm-yyyy"))</f>
        <v/>
      </c>
      <c r="I2880" s="47" t="str">
        <f aca="false">IF(G2880="","",G2880+H2880)</f>
        <v/>
      </c>
    </row>
    <row r="2881" customFormat="false" ht="15" hidden="false" customHeight="false" outlineLevel="0" collapsed="false">
      <c r="C2881" s="41" t="str">
        <f aca="false">IF(A2881="","",TEXT(A2881,"mmm-yyyy"))</f>
        <v/>
      </c>
      <c r="I2881" s="47" t="str">
        <f aca="false">IF(G2881="","",G2881+H2881)</f>
        <v/>
      </c>
    </row>
    <row r="2882" customFormat="false" ht="15" hidden="false" customHeight="false" outlineLevel="0" collapsed="false">
      <c r="C2882" s="41" t="str">
        <f aca="false">IF(A2882="","",TEXT(A2882,"mmm-yyyy"))</f>
        <v/>
      </c>
      <c r="I2882" s="47" t="str">
        <f aca="false">IF(G2882="","",G2882+H2882)</f>
        <v/>
      </c>
    </row>
    <row r="2883" customFormat="false" ht="15" hidden="false" customHeight="false" outlineLevel="0" collapsed="false">
      <c r="C2883" s="41" t="str">
        <f aca="false">IF(A2883="","",TEXT(A2883,"mmm-yyyy"))</f>
        <v/>
      </c>
      <c r="I2883" s="47" t="str">
        <f aca="false">IF(G2883="","",G2883+H2883)</f>
        <v/>
      </c>
    </row>
    <row r="2884" customFormat="false" ht="15" hidden="false" customHeight="false" outlineLevel="0" collapsed="false">
      <c r="C2884" s="41" t="str">
        <f aca="false">IF(A2884="","",TEXT(A2884,"mmm-yyyy"))</f>
        <v/>
      </c>
      <c r="I2884" s="47" t="str">
        <f aca="false">IF(G2884="","",G2884+H2884)</f>
        <v/>
      </c>
    </row>
    <row r="2885" customFormat="false" ht="15" hidden="false" customHeight="false" outlineLevel="0" collapsed="false">
      <c r="C2885" s="41" t="str">
        <f aca="false">IF(A2885="","",TEXT(A2885,"mmm-yyyy"))</f>
        <v/>
      </c>
      <c r="I2885" s="47" t="str">
        <f aca="false">IF(G2885="","",G2885+H2885)</f>
        <v/>
      </c>
    </row>
    <row r="2886" customFormat="false" ht="15" hidden="false" customHeight="false" outlineLevel="0" collapsed="false">
      <c r="C2886" s="41" t="str">
        <f aca="false">IF(A2886="","",TEXT(A2886,"mmm-yyyy"))</f>
        <v/>
      </c>
      <c r="I2886" s="47" t="str">
        <f aca="false">IF(G2886="","",G2886+H2886)</f>
        <v/>
      </c>
    </row>
    <row r="2887" customFormat="false" ht="15" hidden="false" customHeight="false" outlineLevel="0" collapsed="false">
      <c r="C2887" s="41" t="str">
        <f aca="false">IF(A2887="","",TEXT(A2887,"mmm-yyyy"))</f>
        <v/>
      </c>
      <c r="I2887" s="47" t="str">
        <f aca="false">IF(G2887="","",G2887+H2887)</f>
        <v/>
      </c>
    </row>
    <row r="2888" customFormat="false" ht="15" hidden="false" customHeight="false" outlineLevel="0" collapsed="false">
      <c r="C2888" s="41" t="str">
        <f aca="false">IF(A2888="","",TEXT(A2888,"mmm-yyyy"))</f>
        <v/>
      </c>
      <c r="I2888" s="47" t="str">
        <f aca="false">IF(G2888="","",G2888+H2888)</f>
        <v/>
      </c>
    </row>
    <row r="2889" customFormat="false" ht="15" hidden="false" customHeight="false" outlineLevel="0" collapsed="false">
      <c r="C2889" s="41" t="str">
        <f aca="false">IF(A2889="","",TEXT(A2889,"mmm-yyyy"))</f>
        <v/>
      </c>
      <c r="I2889" s="47" t="str">
        <f aca="false">IF(G2889="","",G2889+H2889)</f>
        <v/>
      </c>
    </row>
    <row r="2890" customFormat="false" ht="15" hidden="false" customHeight="false" outlineLevel="0" collapsed="false">
      <c r="C2890" s="41" t="str">
        <f aca="false">IF(A2890="","",TEXT(A2890,"mmm-yyyy"))</f>
        <v/>
      </c>
      <c r="I2890" s="47" t="str">
        <f aca="false">IF(G2890="","",G2890+H2890)</f>
        <v/>
      </c>
    </row>
    <row r="2891" customFormat="false" ht="15" hidden="false" customHeight="false" outlineLevel="0" collapsed="false">
      <c r="C2891" s="41" t="str">
        <f aca="false">IF(A2891="","",TEXT(A2891,"mmm-yyyy"))</f>
        <v/>
      </c>
      <c r="I2891" s="47" t="str">
        <f aca="false">IF(G2891="","",G2891+H2891)</f>
        <v/>
      </c>
    </row>
    <row r="2892" customFormat="false" ht="15" hidden="false" customHeight="false" outlineLevel="0" collapsed="false">
      <c r="C2892" s="41" t="str">
        <f aca="false">IF(A2892="","",TEXT(A2892,"mmm-yyyy"))</f>
        <v/>
      </c>
      <c r="I2892" s="47" t="str">
        <f aca="false">IF(G2892="","",G2892+H2892)</f>
        <v/>
      </c>
    </row>
    <row r="2893" customFormat="false" ht="15" hidden="false" customHeight="false" outlineLevel="0" collapsed="false">
      <c r="C2893" s="41" t="str">
        <f aca="false">IF(A2893="","",TEXT(A2893,"mmm-yyyy"))</f>
        <v/>
      </c>
      <c r="I2893" s="47" t="str">
        <f aca="false">IF(G2893="","",G2893+H2893)</f>
        <v/>
      </c>
    </row>
    <row r="2894" customFormat="false" ht="15" hidden="false" customHeight="false" outlineLevel="0" collapsed="false">
      <c r="C2894" s="41" t="str">
        <f aca="false">IF(A2894="","",TEXT(A2894,"mmm-yyyy"))</f>
        <v/>
      </c>
      <c r="I2894" s="47" t="str">
        <f aca="false">IF(G2894="","",G2894+H2894)</f>
        <v/>
      </c>
    </row>
    <row r="2895" customFormat="false" ht="15" hidden="false" customHeight="false" outlineLevel="0" collapsed="false">
      <c r="C2895" s="41" t="str">
        <f aca="false">IF(A2895="","",TEXT(A2895,"mmm-yyyy"))</f>
        <v/>
      </c>
      <c r="I2895" s="47" t="str">
        <f aca="false">IF(G2895="","",G2895+H2895)</f>
        <v/>
      </c>
    </row>
    <row r="2896" customFormat="false" ht="15" hidden="false" customHeight="false" outlineLevel="0" collapsed="false">
      <c r="C2896" s="41" t="str">
        <f aca="false">IF(A2896="","",TEXT(A2896,"mmm-yyyy"))</f>
        <v/>
      </c>
      <c r="I2896" s="47" t="str">
        <f aca="false">IF(G2896="","",G2896+H2896)</f>
        <v/>
      </c>
    </row>
    <row r="2897" customFormat="false" ht="15" hidden="false" customHeight="false" outlineLevel="0" collapsed="false">
      <c r="C2897" s="41" t="str">
        <f aca="false">IF(A2897="","",TEXT(A2897,"mmm-yyyy"))</f>
        <v/>
      </c>
      <c r="I2897" s="47" t="str">
        <f aca="false">IF(G2897="","",G2897+H2897)</f>
        <v/>
      </c>
    </row>
    <row r="2898" customFormat="false" ht="15" hidden="false" customHeight="false" outlineLevel="0" collapsed="false">
      <c r="C2898" s="41" t="str">
        <f aca="false">IF(A2898="","",TEXT(A2898,"mmm-yyyy"))</f>
        <v/>
      </c>
      <c r="I2898" s="47" t="str">
        <f aca="false">IF(G2898="","",G2898+H2898)</f>
        <v/>
      </c>
    </row>
    <row r="2899" customFormat="false" ht="15" hidden="false" customHeight="false" outlineLevel="0" collapsed="false">
      <c r="C2899" s="41" t="str">
        <f aca="false">IF(A2899="","",TEXT(A2899,"mmm-yyyy"))</f>
        <v/>
      </c>
      <c r="I2899" s="47" t="str">
        <f aca="false">IF(G2899="","",G2899+H2899)</f>
        <v/>
      </c>
    </row>
    <row r="2900" customFormat="false" ht="15" hidden="false" customHeight="false" outlineLevel="0" collapsed="false">
      <c r="C2900" s="41" t="str">
        <f aca="false">IF(A2900="","",TEXT(A2900,"mmm-yyyy"))</f>
        <v/>
      </c>
      <c r="I2900" s="47" t="str">
        <f aca="false">IF(G2900="","",G2900+H2900)</f>
        <v/>
      </c>
    </row>
    <row r="2901" customFormat="false" ht="15" hidden="false" customHeight="false" outlineLevel="0" collapsed="false">
      <c r="C2901" s="41" t="str">
        <f aca="false">IF(A2901="","",TEXT(A2901,"mmm-yyyy"))</f>
        <v/>
      </c>
      <c r="I2901" s="47" t="str">
        <f aca="false">IF(G2901="","",G2901+H2901)</f>
        <v/>
      </c>
    </row>
    <row r="2902" customFormat="false" ht="15" hidden="false" customHeight="false" outlineLevel="0" collapsed="false">
      <c r="C2902" s="41" t="str">
        <f aca="false">IF(A2902="","",TEXT(A2902,"mmm-yyyy"))</f>
        <v/>
      </c>
      <c r="I2902" s="47" t="str">
        <f aca="false">IF(G2902="","",G2902+H2902)</f>
        <v/>
      </c>
    </row>
    <row r="2903" customFormat="false" ht="15" hidden="false" customHeight="false" outlineLevel="0" collapsed="false">
      <c r="C2903" s="41" t="str">
        <f aca="false">IF(A2903="","",TEXT(A2903,"mmm-yyyy"))</f>
        <v/>
      </c>
      <c r="I2903" s="47" t="str">
        <f aca="false">IF(G2903="","",G2903+H2903)</f>
        <v/>
      </c>
    </row>
    <row r="2904" customFormat="false" ht="15" hidden="false" customHeight="false" outlineLevel="0" collapsed="false">
      <c r="C2904" s="41" t="str">
        <f aca="false">IF(A2904="","",TEXT(A2904,"mmm-yyyy"))</f>
        <v/>
      </c>
      <c r="I2904" s="47" t="str">
        <f aca="false">IF(G2904="","",G2904+H2904)</f>
        <v/>
      </c>
    </row>
    <row r="2905" customFormat="false" ht="15" hidden="false" customHeight="false" outlineLevel="0" collapsed="false">
      <c r="C2905" s="41" t="str">
        <f aca="false">IF(A2905="","",TEXT(A2905,"mmm-yyyy"))</f>
        <v/>
      </c>
      <c r="I2905" s="47" t="str">
        <f aca="false">IF(G2905="","",G2905+H2905)</f>
        <v/>
      </c>
    </row>
    <row r="2906" customFormat="false" ht="15" hidden="false" customHeight="false" outlineLevel="0" collapsed="false">
      <c r="C2906" s="41" t="str">
        <f aca="false">IF(A2906="","",TEXT(A2906,"mmm-yyyy"))</f>
        <v/>
      </c>
      <c r="I2906" s="47" t="str">
        <f aca="false">IF(G2906="","",G2906+H2906)</f>
        <v/>
      </c>
    </row>
    <row r="2907" customFormat="false" ht="15" hidden="false" customHeight="false" outlineLevel="0" collapsed="false">
      <c r="C2907" s="41" t="str">
        <f aca="false">IF(A2907="","",TEXT(A2907,"mmm-yyyy"))</f>
        <v/>
      </c>
      <c r="I2907" s="47" t="str">
        <f aca="false">IF(G2907="","",G2907+H2907)</f>
        <v/>
      </c>
    </row>
    <row r="2908" customFormat="false" ht="15" hidden="false" customHeight="false" outlineLevel="0" collapsed="false">
      <c r="C2908" s="41" t="str">
        <f aca="false">IF(A2908="","",TEXT(A2908,"mmm-yyyy"))</f>
        <v/>
      </c>
      <c r="I2908" s="47" t="str">
        <f aca="false">IF(G2908="","",G2908+H2908)</f>
        <v/>
      </c>
    </row>
    <row r="2909" customFormat="false" ht="15" hidden="false" customHeight="false" outlineLevel="0" collapsed="false">
      <c r="C2909" s="41" t="str">
        <f aca="false">IF(A2909="","",TEXT(A2909,"mmm-yyyy"))</f>
        <v/>
      </c>
      <c r="I2909" s="47" t="str">
        <f aca="false">IF(G2909="","",G2909+H2909)</f>
        <v/>
      </c>
    </row>
    <row r="2910" customFormat="false" ht="15" hidden="false" customHeight="false" outlineLevel="0" collapsed="false">
      <c r="C2910" s="41" t="str">
        <f aca="false">IF(A2910="","",TEXT(A2910,"mmm-yyyy"))</f>
        <v/>
      </c>
      <c r="I2910" s="47" t="str">
        <f aca="false">IF(G2910="","",G2910+H2910)</f>
        <v/>
      </c>
    </row>
    <row r="2911" customFormat="false" ht="15" hidden="false" customHeight="false" outlineLevel="0" collapsed="false">
      <c r="C2911" s="41" t="str">
        <f aca="false">IF(A2911="","",TEXT(A2911,"mmm-yyyy"))</f>
        <v/>
      </c>
      <c r="I2911" s="47" t="str">
        <f aca="false">IF(G2911="","",G2911+H2911)</f>
        <v/>
      </c>
    </row>
    <row r="2912" customFormat="false" ht="15" hidden="false" customHeight="false" outlineLevel="0" collapsed="false">
      <c r="C2912" s="41" t="str">
        <f aca="false">IF(A2912="","",TEXT(A2912,"mmm-yyyy"))</f>
        <v/>
      </c>
      <c r="I2912" s="47" t="str">
        <f aca="false">IF(G2912="","",G2912+H2912)</f>
        <v/>
      </c>
    </row>
    <row r="2913" customFormat="false" ht="15" hidden="false" customHeight="false" outlineLevel="0" collapsed="false">
      <c r="C2913" s="41" t="str">
        <f aca="false">IF(A2913="","",TEXT(A2913,"mmm-yyyy"))</f>
        <v/>
      </c>
      <c r="I2913" s="47" t="str">
        <f aca="false">IF(G2913="","",G2913+H2913)</f>
        <v/>
      </c>
    </row>
    <row r="2914" customFormat="false" ht="15" hidden="false" customHeight="false" outlineLevel="0" collapsed="false">
      <c r="C2914" s="41" t="str">
        <f aca="false">IF(A2914="","",TEXT(A2914,"mmm-yyyy"))</f>
        <v/>
      </c>
      <c r="I2914" s="47" t="str">
        <f aca="false">IF(G2914="","",G2914+H2914)</f>
        <v/>
      </c>
    </row>
    <row r="2915" customFormat="false" ht="15" hidden="false" customHeight="false" outlineLevel="0" collapsed="false">
      <c r="C2915" s="41" t="str">
        <f aca="false">IF(A2915="","",TEXT(A2915,"mmm-yyyy"))</f>
        <v/>
      </c>
      <c r="I2915" s="47" t="str">
        <f aca="false">IF(G2915="","",G2915+H2915)</f>
        <v/>
      </c>
    </row>
    <row r="2916" customFormat="false" ht="15" hidden="false" customHeight="false" outlineLevel="0" collapsed="false">
      <c r="C2916" s="41" t="str">
        <f aca="false">IF(A2916="","",TEXT(A2916,"mmm-yyyy"))</f>
        <v/>
      </c>
      <c r="I2916" s="47" t="str">
        <f aca="false">IF(G2916="","",G2916+H2916)</f>
        <v/>
      </c>
    </row>
    <row r="2917" customFormat="false" ht="15" hidden="false" customHeight="false" outlineLevel="0" collapsed="false">
      <c r="C2917" s="41" t="str">
        <f aca="false">IF(A2917="","",TEXT(A2917,"mmm-yyyy"))</f>
        <v/>
      </c>
      <c r="I2917" s="47" t="str">
        <f aca="false">IF(G2917="","",G2917+H2917)</f>
        <v/>
      </c>
    </row>
    <row r="2918" customFormat="false" ht="15" hidden="false" customHeight="false" outlineLevel="0" collapsed="false">
      <c r="C2918" s="41" t="str">
        <f aca="false">IF(A2918="","",TEXT(A2918,"mmm-yyyy"))</f>
        <v/>
      </c>
      <c r="I2918" s="47" t="str">
        <f aca="false">IF(G2918="","",G2918+H2918)</f>
        <v/>
      </c>
    </row>
    <row r="2919" customFormat="false" ht="15" hidden="false" customHeight="false" outlineLevel="0" collapsed="false">
      <c r="C2919" s="41" t="str">
        <f aca="false">IF(A2919="","",TEXT(A2919,"mmm-yyyy"))</f>
        <v/>
      </c>
      <c r="I2919" s="47" t="str">
        <f aca="false">IF(G2919="","",G2919+H2919)</f>
        <v/>
      </c>
    </row>
    <row r="2920" customFormat="false" ht="15" hidden="false" customHeight="false" outlineLevel="0" collapsed="false">
      <c r="C2920" s="41" t="str">
        <f aca="false">IF(A2920="","",TEXT(A2920,"mmm-yyyy"))</f>
        <v/>
      </c>
      <c r="I2920" s="47" t="str">
        <f aca="false">IF(G2920="","",G2920+H2920)</f>
        <v/>
      </c>
    </row>
    <row r="2921" customFormat="false" ht="15" hidden="false" customHeight="false" outlineLevel="0" collapsed="false">
      <c r="C2921" s="41" t="str">
        <f aca="false">IF(A2921="","",TEXT(A2921,"mmm-yyyy"))</f>
        <v/>
      </c>
      <c r="I2921" s="47" t="str">
        <f aca="false">IF(G2921="","",G2921+H2921)</f>
        <v/>
      </c>
    </row>
    <row r="2922" customFormat="false" ht="15" hidden="false" customHeight="false" outlineLevel="0" collapsed="false">
      <c r="C2922" s="41" t="str">
        <f aca="false">IF(A2922="","",TEXT(A2922,"mmm-yyyy"))</f>
        <v/>
      </c>
      <c r="I2922" s="47" t="str">
        <f aca="false">IF(G2922="","",G2922+H2922)</f>
        <v/>
      </c>
    </row>
    <row r="2923" customFormat="false" ht="15" hidden="false" customHeight="false" outlineLevel="0" collapsed="false">
      <c r="C2923" s="41" t="str">
        <f aca="false">IF(A2923="","",TEXT(A2923,"mmm-yyyy"))</f>
        <v/>
      </c>
      <c r="I2923" s="47" t="str">
        <f aca="false">IF(G2923="","",G2923+H2923)</f>
        <v/>
      </c>
    </row>
    <row r="2924" customFormat="false" ht="15" hidden="false" customHeight="false" outlineLevel="0" collapsed="false">
      <c r="C2924" s="41" t="str">
        <f aca="false">IF(A2924="","",TEXT(A2924,"mmm-yyyy"))</f>
        <v/>
      </c>
      <c r="I2924" s="47" t="str">
        <f aca="false">IF(G2924="","",G2924+H2924)</f>
        <v/>
      </c>
    </row>
    <row r="2925" customFormat="false" ht="15" hidden="false" customHeight="false" outlineLevel="0" collapsed="false">
      <c r="C2925" s="41" t="str">
        <f aca="false">IF(A2925="","",TEXT(A2925,"mmm-yyyy"))</f>
        <v/>
      </c>
      <c r="I2925" s="47" t="str">
        <f aca="false">IF(G2925="","",G2925+H2925)</f>
        <v/>
      </c>
    </row>
    <row r="2926" customFormat="false" ht="15" hidden="false" customHeight="false" outlineLevel="0" collapsed="false">
      <c r="C2926" s="41" t="str">
        <f aca="false">IF(A2926="","",TEXT(A2926,"mmm-yyyy"))</f>
        <v/>
      </c>
      <c r="I2926" s="47" t="str">
        <f aca="false">IF(G2926="","",G2926+H2926)</f>
        <v/>
      </c>
    </row>
    <row r="2927" customFormat="false" ht="15" hidden="false" customHeight="false" outlineLevel="0" collapsed="false">
      <c r="C2927" s="41" t="str">
        <f aca="false">IF(A2927="","",TEXT(A2927,"mmm-yyyy"))</f>
        <v/>
      </c>
      <c r="I2927" s="47" t="str">
        <f aca="false">IF(G2927="","",G2927+H2927)</f>
        <v/>
      </c>
    </row>
    <row r="2928" customFormat="false" ht="15" hidden="false" customHeight="false" outlineLevel="0" collapsed="false">
      <c r="C2928" s="41" t="str">
        <f aca="false">IF(A2928="","",TEXT(A2928,"mmm-yyyy"))</f>
        <v/>
      </c>
      <c r="I2928" s="47" t="str">
        <f aca="false">IF(G2928="","",G2928+H2928)</f>
        <v/>
      </c>
    </row>
    <row r="2929" customFormat="false" ht="15" hidden="false" customHeight="false" outlineLevel="0" collapsed="false">
      <c r="C2929" s="41" t="str">
        <f aca="false">IF(A2929="","",TEXT(A2929,"mmm-yyyy"))</f>
        <v/>
      </c>
      <c r="I2929" s="47" t="str">
        <f aca="false">IF(G2929="","",G2929+H2929)</f>
        <v/>
      </c>
    </row>
    <row r="2930" customFormat="false" ht="15" hidden="false" customHeight="false" outlineLevel="0" collapsed="false">
      <c r="C2930" s="41" t="str">
        <f aca="false">IF(A2930="","",TEXT(A2930,"mmm-yyyy"))</f>
        <v/>
      </c>
      <c r="I2930" s="47" t="str">
        <f aca="false">IF(G2930="","",G2930+H2930)</f>
        <v/>
      </c>
    </row>
    <row r="2931" customFormat="false" ht="15" hidden="false" customHeight="false" outlineLevel="0" collapsed="false">
      <c r="C2931" s="41" t="str">
        <f aca="false">IF(A2931="","",TEXT(A2931,"mmm-yyyy"))</f>
        <v/>
      </c>
      <c r="I2931" s="47" t="str">
        <f aca="false">IF(G2931="","",G2931+H2931)</f>
        <v/>
      </c>
    </row>
    <row r="2932" customFormat="false" ht="15" hidden="false" customHeight="false" outlineLevel="0" collapsed="false">
      <c r="C2932" s="41" t="str">
        <f aca="false">IF(A2932="","",TEXT(A2932,"mmm-yyyy"))</f>
        <v/>
      </c>
      <c r="I2932" s="47" t="str">
        <f aca="false">IF(G2932="","",G2932+H2932)</f>
        <v/>
      </c>
    </row>
    <row r="2933" customFormat="false" ht="15" hidden="false" customHeight="false" outlineLevel="0" collapsed="false">
      <c r="C2933" s="41" t="str">
        <f aca="false">IF(A2933="","",TEXT(A2933,"mmm-yyyy"))</f>
        <v/>
      </c>
      <c r="I2933" s="47" t="str">
        <f aca="false">IF(G2933="","",G2933+H2933)</f>
        <v/>
      </c>
    </row>
    <row r="2934" customFormat="false" ht="15" hidden="false" customHeight="false" outlineLevel="0" collapsed="false">
      <c r="C2934" s="41" t="str">
        <f aca="false">IF(A2934="","",TEXT(A2934,"mmm-yyyy"))</f>
        <v/>
      </c>
      <c r="I2934" s="47" t="str">
        <f aca="false">IF(G2934="","",G2934+H2934)</f>
        <v/>
      </c>
    </row>
    <row r="2935" customFormat="false" ht="15" hidden="false" customHeight="false" outlineLevel="0" collapsed="false">
      <c r="C2935" s="41" t="str">
        <f aca="false">IF(A2935="","",TEXT(A2935,"mmm-yyyy"))</f>
        <v/>
      </c>
      <c r="I2935" s="47" t="str">
        <f aca="false">IF(G2935="","",G2935+H2935)</f>
        <v/>
      </c>
    </row>
    <row r="2936" customFormat="false" ht="15" hidden="false" customHeight="false" outlineLevel="0" collapsed="false">
      <c r="C2936" s="41" t="str">
        <f aca="false">IF(A2936="","",TEXT(A2936,"mmm-yyyy"))</f>
        <v/>
      </c>
      <c r="I2936" s="47" t="str">
        <f aca="false">IF(G2936="","",G2936+H2936)</f>
        <v/>
      </c>
    </row>
    <row r="2937" customFormat="false" ht="15" hidden="false" customHeight="false" outlineLevel="0" collapsed="false">
      <c r="C2937" s="41" t="str">
        <f aca="false">IF(A2937="","",TEXT(A2937,"mmm-yyyy"))</f>
        <v/>
      </c>
      <c r="I2937" s="47" t="str">
        <f aca="false">IF(G2937="","",G2937+H2937)</f>
        <v/>
      </c>
    </row>
    <row r="2938" customFormat="false" ht="15" hidden="false" customHeight="false" outlineLevel="0" collapsed="false">
      <c r="C2938" s="41" t="str">
        <f aca="false">IF(A2938="","",TEXT(A2938,"mmm-yyyy"))</f>
        <v/>
      </c>
      <c r="I2938" s="47" t="str">
        <f aca="false">IF(G2938="","",G2938+H2938)</f>
        <v/>
      </c>
    </row>
    <row r="2939" customFormat="false" ht="15" hidden="false" customHeight="false" outlineLevel="0" collapsed="false">
      <c r="C2939" s="41" t="str">
        <f aca="false">IF(A2939="","",TEXT(A2939,"mmm-yyyy"))</f>
        <v/>
      </c>
      <c r="I2939" s="47" t="str">
        <f aca="false">IF(G2939="","",G2939+H2939)</f>
        <v/>
      </c>
    </row>
    <row r="2940" customFormat="false" ht="15" hidden="false" customHeight="false" outlineLevel="0" collapsed="false">
      <c r="C2940" s="41" t="str">
        <f aca="false">IF(A2940="","",TEXT(A2940,"mmm-yyyy"))</f>
        <v/>
      </c>
      <c r="I2940" s="47" t="str">
        <f aca="false">IF(G2940="","",G2940+H2940)</f>
        <v/>
      </c>
    </row>
    <row r="2941" customFormat="false" ht="15" hidden="false" customHeight="false" outlineLevel="0" collapsed="false">
      <c r="C2941" s="41" t="str">
        <f aca="false">IF(A2941="","",TEXT(A2941,"mmm-yyyy"))</f>
        <v/>
      </c>
      <c r="I2941" s="47" t="str">
        <f aca="false">IF(G2941="","",G2941+H2941)</f>
        <v/>
      </c>
    </row>
    <row r="2942" customFormat="false" ht="15" hidden="false" customHeight="false" outlineLevel="0" collapsed="false">
      <c r="C2942" s="41" t="str">
        <f aca="false">IF(A2942="","",TEXT(A2942,"mmm-yyyy"))</f>
        <v/>
      </c>
      <c r="I2942" s="47" t="str">
        <f aca="false">IF(G2942="","",G2942+H2942)</f>
        <v/>
      </c>
    </row>
    <row r="2943" customFormat="false" ht="15" hidden="false" customHeight="false" outlineLevel="0" collapsed="false">
      <c r="C2943" s="41" t="str">
        <f aca="false">IF(A2943="","",TEXT(A2943,"mmm-yyyy"))</f>
        <v/>
      </c>
      <c r="I2943" s="47" t="str">
        <f aca="false">IF(G2943="","",G2943+H2943)</f>
        <v/>
      </c>
    </row>
    <row r="2944" customFormat="false" ht="15" hidden="false" customHeight="false" outlineLevel="0" collapsed="false">
      <c r="C2944" s="41" t="str">
        <f aca="false">IF(A2944="","",TEXT(A2944,"mmm-yyyy"))</f>
        <v/>
      </c>
      <c r="I2944" s="47" t="str">
        <f aca="false">IF(G2944="","",G2944+H2944)</f>
        <v/>
      </c>
    </row>
    <row r="2945" customFormat="false" ht="15" hidden="false" customHeight="false" outlineLevel="0" collapsed="false">
      <c r="C2945" s="41" t="str">
        <f aca="false">IF(A2945="","",TEXT(A2945,"mmm-yyyy"))</f>
        <v/>
      </c>
      <c r="I2945" s="47" t="str">
        <f aca="false">IF(G2945="","",G2945+H2945)</f>
        <v/>
      </c>
    </row>
    <row r="2946" customFormat="false" ht="15" hidden="false" customHeight="false" outlineLevel="0" collapsed="false">
      <c r="C2946" s="41" t="str">
        <f aca="false">IF(A2946="","",TEXT(A2946,"mmm-yyyy"))</f>
        <v/>
      </c>
      <c r="I2946" s="47" t="str">
        <f aca="false">IF(G2946="","",G2946+H2946)</f>
        <v/>
      </c>
    </row>
    <row r="2947" customFormat="false" ht="15" hidden="false" customHeight="false" outlineLevel="0" collapsed="false">
      <c r="C2947" s="41" t="str">
        <f aca="false">IF(A2947="","",TEXT(A2947,"mmm-yyyy"))</f>
        <v/>
      </c>
      <c r="I2947" s="47" t="str">
        <f aca="false">IF(G2947="","",G2947+H2947)</f>
        <v/>
      </c>
    </row>
    <row r="2948" customFormat="false" ht="15" hidden="false" customHeight="false" outlineLevel="0" collapsed="false">
      <c r="C2948" s="41" t="str">
        <f aca="false">IF(A2948="","",TEXT(A2948,"mmm-yyyy"))</f>
        <v/>
      </c>
      <c r="I2948" s="47" t="str">
        <f aca="false">IF(G2948="","",G2948+H2948)</f>
        <v/>
      </c>
    </row>
    <row r="2949" customFormat="false" ht="15" hidden="false" customHeight="false" outlineLevel="0" collapsed="false">
      <c r="C2949" s="41" t="str">
        <f aca="false">IF(A2949="","",TEXT(A2949,"mmm-yyyy"))</f>
        <v/>
      </c>
      <c r="I2949" s="47" t="str">
        <f aca="false">IF(G2949="","",G2949+H2949)</f>
        <v/>
      </c>
    </row>
    <row r="2950" customFormat="false" ht="15" hidden="false" customHeight="false" outlineLevel="0" collapsed="false">
      <c r="C2950" s="41" t="str">
        <f aca="false">IF(A2950="","",TEXT(A2950,"mmm-yyyy"))</f>
        <v/>
      </c>
      <c r="I2950" s="47" t="str">
        <f aca="false">IF(G2950="","",G2950+H2950)</f>
        <v/>
      </c>
    </row>
    <row r="2951" customFormat="false" ht="15" hidden="false" customHeight="false" outlineLevel="0" collapsed="false">
      <c r="C2951" s="41" t="str">
        <f aca="false">IF(A2951="","",TEXT(A2951,"mmm-yyyy"))</f>
        <v/>
      </c>
      <c r="I2951" s="47" t="str">
        <f aca="false">IF(G2951="","",G2951+H2951)</f>
        <v/>
      </c>
    </row>
    <row r="2952" customFormat="false" ht="15" hidden="false" customHeight="false" outlineLevel="0" collapsed="false">
      <c r="C2952" s="41" t="str">
        <f aca="false">IF(A2952="","",TEXT(A2952,"mmm-yyyy"))</f>
        <v/>
      </c>
      <c r="I2952" s="47" t="str">
        <f aca="false">IF(G2952="","",G2952+H2952)</f>
        <v/>
      </c>
    </row>
    <row r="2953" customFormat="false" ht="15" hidden="false" customHeight="false" outlineLevel="0" collapsed="false">
      <c r="C2953" s="41" t="str">
        <f aca="false">IF(A2953="","",TEXT(A2953,"mmm-yyyy"))</f>
        <v/>
      </c>
      <c r="I2953" s="47" t="str">
        <f aca="false">IF(G2953="","",G2953+H2953)</f>
        <v/>
      </c>
    </row>
    <row r="2954" customFormat="false" ht="15" hidden="false" customHeight="false" outlineLevel="0" collapsed="false">
      <c r="C2954" s="41" t="str">
        <f aca="false">IF(A2954="","",TEXT(A2954,"mmm-yyyy"))</f>
        <v/>
      </c>
      <c r="I2954" s="47" t="str">
        <f aca="false">IF(G2954="","",G2954+H2954)</f>
        <v/>
      </c>
    </row>
    <row r="2955" customFormat="false" ht="15" hidden="false" customHeight="false" outlineLevel="0" collapsed="false">
      <c r="C2955" s="41" t="str">
        <f aca="false">IF(A2955="","",TEXT(A2955,"mmm-yyyy"))</f>
        <v/>
      </c>
      <c r="I2955" s="47" t="str">
        <f aca="false">IF(G2955="","",G2955+H2955)</f>
        <v/>
      </c>
    </row>
    <row r="2956" customFormat="false" ht="15" hidden="false" customHeight="false" outlineLevel="0" collapsed="false">
      <c r="C2956" s="41" t="str">
        <f aca="false">IF(A2956="","",TEXT(A2956,"mmm-yyyy"))</f>
        <v/>
      </c>
      <c r="I2956" s="47" t="str">
        <f aca="false">IF(G2956="","",G2956+H2956)</f>
        <v/>
      </c>
    </row>
    <row r="2957" customFormat="false" ht="15" hidden="false" customHeight="false" outlineLevel="0" collapsed="false">
      <c r="C2957" s="41" t="str">
        <f aca="false">IF(A2957="","",TEXT(A2957,"mmm-yyyy"))</f>
        <v/>
      </c>
      <c r="I2957" s="47" t="str">
        <f aca="false">IF(G2957="","",G2957+H2957)</f>
        <v/>
      </c>
    </row>
    <row r="2958" customFormat="false" ht="15" hidden="false" customHeight="false" outlineLevel="0" collapsed="false">
      <c r="C2958" s="41" t="str">
        <f aca="false">IF(A2958="","",TEXT(A2958,"mmm-yyyy"))</f>
        <v/>
      </c>
      <c r="I2958" s="47" t="str">
        <f aca="false">IF(G2958="","",G2958+H2958)</f>
        <v/>
      </c>
    </row>
    <row r="2959" customFormat="false" ht="15" hidden="false" customHeight="false" outlineLevel="0" collapsed="false">
      <c r="C2959" s="41" t="str">
        <f aca="false">IF(A2959="","",TEXT(A2959,"mmm-yyyy"))</f>
        <v/>
      </c>
      <c r="I2959" s="47" t="str">
        <f aca="false">IF(G2959="","",G2959+H2959)</f>
        <v/>
      </c>
    </row>
    <row r="2960" customFormat="false" ht="15" hidden="false" customHeight="false" outlineLevel="0" collapsed="false">
      <c r="C2960" s="41" t="str">
        <f aca="false">IF(A2960="","",TEXT(A2960,"mmm-yyyy"))</f>
        <v/>
      </c>
      <c r="I2960" s="47" t="str">
        <f aca="false">IF(G2960="","",G2960+H2960)</f>
        <v/>
      </c>
    </row>
    <row r="2961" customFormat="false" ht="15" hidden="false" customHeight="false" outlineLevel="0" collapsed="false">
      <c r="C2961" s="41" t="str">
        <f aca="false">IF(A2961="","",TEXT(A2961,"mmm-yyyy"))</f>
        <v/>
      </c>
      <c r="I2961" s="47" t="str">
        <f aca="false">IF(G2961="","",G2961+H2961)</f>
        <v/>
      </c>
    </row>
    <row r="2962" customFormat="false" ht="15" hidden="false" customHeight="false" outlineLevel="0" collapsed="false">
      <c r="C2962" s="41" t="str">
        <f aca="false">IF(A2962="","",TEXT(A2962,"mmm-yyyy"))</f>
        <v/>
      </c>
      <c r="I2962" s="47" t="str">
        <f aca="false">IF(G2962="","",G2962+H2962)</f>
        <v/>
      </c>
    </row>
    <row r="2963" customFormat="false" ht="15" hidden="false" customHeight="false" outlineLevel="0" collapsed="false">
      <c r="C2963" s="41" t="str">
        <f aca="false">IF(A2963="","",TEXT(A2963,"mmm-yyyy"))</f>
        <v/>
      </c>
      <c r="I2963" s="47" t="str">
        <f aca="false">IF(G2963="","",G2963+H2963)</f>
        <v/>
      </c>
    </row>
    <row r="2964" customFormat="false" ht="15" hidden="false" customHeight="false" outlineLevel="0" collapsed="false">
      <c r="C2964" s="41" t="str">
        <f aca="false">IF(A2964="","",TEXT(A2964,"mmm-yyyy"))</f>
        <v/>
      </c>
      <c r="I2964" s="47" t="str">
        <f aca="false">IF(G2964="","",G2964+H2964)</f>
        <v/>
      </c>
    </row>
    <row r="2965" customFormat="false" ht="15" hidden="false" customHeight="false" outlineLevel="0" collapsed="false">
      <c r="C2965" s="41" t="str">
        <f aca="false">IF(A2965="","",TEXT(A2965,"mmm-yyyy"))</f>
        <v/>
      </c>
      <c r="I2965" s="47" t="str">
        <f aca="false">IF(G2965="","",G2965+H2965)</f>
        <v/>
      </c>
    </row>
    <row r="2966" customFormat="false" ht="15" hidden="false" customHeight="false" outlineLevel="0" collapsed="false">
      <c r="C2966" s="41" t="str">
        <f aca="false">IF(A2966="","",TEXT(A2966,"mmm-yyyy"))</f>
        <v/>
      </c>
      <c r="I2966" s="47" t="str">
        <f aca="false">IF(G2966="","",G2966+H2966)</f>
        <v/>
      </c>
    </row>
    <row r="2967" customFormat="false" ht="15" hidden="false" customHeight="false" outlineLevel="0" collapsed="false">
      <c r="C2967" s="41" t="str">
        <f aca="false">IF(A2967="","",TEXT(A2967,"mmm-yyyy"))</f>
        <v/>
      </c>
      <c r="I2967" s="47" t="str">
        <f aca="false">IF(G2967="","",G2967+H2967)</f>
        <v/>
      </c>
    </row>
    <row r="2968" customFormat="false" ht="15" hidden="false" customHeight="false" outlineLevel="0" collapsed="false">
      <c r="C2968" s="41" t="str">
        <f aca="false">IF(A2968="","",TEXT(A2968,"mmm-yyyy"))</f>
        <v/>
      </c>
      <c r="I2968" s="47" t="str">
        <f aca="false">IF(G2968="","",G2968+H2968)</f>
        <v/>
      </c>
    </row>
    <row r="2969" customFormat="false" ht="15" hidden="false" customHeight="false" outlineLevel="0" collapsed="false">
      <c r="C2969" s="41" t="str">
        <f aca="false">IF(A2969="","",TEXT(A2969,"mmm-yyyy"))</f>
        <v/>
      </c>
      <c r="I2969" s="47" t="str">
        <f aca="false">IF(G2969="","",G2969+H2969)</f>
        <v/>
      </c>
    </row>
    <row r="2970" customFormat="false" ht="15" hidden="false" customHeight="false" outlineLevel="0" collapsed="false">
      <c r="C2970" s="41" t="str">
        <f aca="false">IF(A2970="","",TEXT(A2970,"mmm-yyyy"))</f>
        <v/>
      </c>
      <c r="I2970" s="47" t="str">
        <f aca="false">IF(G2970="","",G2970+H2970)</f>
        <v/>
      </c>
    </row>
    <row r="2971" customFormat="false" ht="15" hidden="false" customHeight="false" outlineLevel="0" collapsed="false">
      <c r="C2971" s="41" t="str">
        <f aca="false">IF(A2971="","",TEXT(A2971,"mmm-yyyy"))</f>
        <v/>
      </c>
      <c r="I2971" s="47" t="str">
        <f aca="false">IF(G2971="","",G2971+H2971)</f>
        <v/>
      </c>
    </row>
    <row r="2972" customFormat="false" ht="15" hidden="false" customHeight="false" outlineLevel="0" collapsed="false">
      <c r="C2972" s="41" t="str">
        <f aca="false">IF(A2972="","",TEXT(A2972,"mmm-yyyy"))</f>
        <v/>
      </c>
      <c r="I2972" s="47" t="str">
        <f aca="false">IF(G2972="","",G2972+H2972)</f>
        <v/>
      </c>
    </row>
    <row r="2973" customFormat="false" ht="15" hidden="false" customHeight="false" outlineLevel="0" collapsed="false">
      <c r="C2973" s="41" t="str">
        <f aca="false">IF(A2973="","",TEXT(A2973,"mmm-yyyy"))</f>
        <v/>
      </c>
      <c r="I2973" s="47" t="str">
        <f aca="false">IF(G2973="","",G2973+H2973)</f>
        <v/>
      </c>
    </row>
    <row r="2974" customFormat="false" ht="15" hidden="false" customHeight="false" outlineLevel="0" collapsed="false">
      <c r="C2974" s="41" t="str">
        <f aca="false">IF(A2974="","",TEXT(A2974,"mmm-yyyy"))</f>
        <v/>
      </c>
      <c r="I2974" s="47" t="str">
        <f aca="false">IF(G2974="","",G2974+H2974)</f>
        <v/>
      </c>
    </row>
    <row r="2975" customFormat="false" ht="15" hidden="false" customHeight="false" outlineLevel="0" collapsed="false">
      <c r="C2975" s="41" t="str">
        <f aca="false">IF(A2975="","",TEXT(A2975,"mmm-yyyy"))</f>
        <v/>
      </c>
      <c r="I2975" s="47" t="str">
        <f aca="false">IF(G2975="","",G2975+H2975)</f>
        <v/>
      </c>
    </row>
    <row r="2976" customFormat="false" ht="15" hidden="false" customHeight="false" outlineLevel="0" collapsed="false">
      <c r="C2976" s="41" t="str">
        <f aca="false">IF(A2976="","",TEXT(A2976,"mmm-yyyy"))</f>
        <v/>
      </c>
      <c r="I2976" s="47" t="str">
        <f aca="false">IF(G2976="","",G2976+H2976)</f>
        <v/>
      </c>
    </row>
    <row r="2977" customFormat="false" ht="15" hidden="false" customHeight="false" outlineLevel="0" collapsed="false">
      <c r="C2977" s="41" t="str">
        <f aca="false">IF(A2977="","",TEXT(A2977,"mmm-yyyy"))</f>
        <v/>
      </c>
      <c r="I2977" s="47" t="str">
        <f aca="false">IF(G2977="","",G2977+H2977)</f>
        <v/>
      </c>
    </row>
    <row r="2978" customFormat="false" ht="15" hidden="false" customHeight="false" outlineLevel="0" collapsed="false">
      <c r="C2978" s="41" t="str">
        <f aca="false">IF(A2978="","",TEXT(A2978,"mmm-yyyy"))</f>
        <v/>
      </c>
      <c r="I2978" s="47" t="str">
        <f aca="false">IF(G2978="","",G2978+H2978)</f>
        <v/>
      </c>
    </row>
    <row r="2979" customFormat="false" ht="15" hidden="false" customHeight="false" outlineLevel="0" collapsed="false">
      <c r="C2979" s="41" t="str">
        <f aca="false">IF(A2979="","",TEXT(A2979,"mmm-yyyy"))</f>
        <v/>
      </c>
      <c r="I2979" s="47" t="str">
        <f aca="false">IF(G2979="","",G2979+H2979)</f>
        <v/>
      </c>
    </row>
    <row r="2980" customFormat="false" ht="15" hidden="false" customHeight="false" outlineLevel="0" collapsed="false">
      <c r="C2980" s="41" t="str">
        <f aca="false">IF(A2980="","",TEXT(A2980,"mmm-yyyy"))</f>
        <v/>
      </c>
      <c r="I2980" s="47" t="str">
        <f aca="false">IF(G2980="","",G2980+H2980)</f>
        <v/>
      </c>
    </row>
    <row r="2981" customFormat="false" ht="15" hidden="false" customHeight="false" outlineLevel="0" collapsed="false">
      <c r="C2981" s="41" t="str">
        <f aca="false">IF(A2981="","",TEXT(A2981,"mmm-yyyy"))</f>
        <v/>
      </c>
      <c r="I2981" s="47" t="str">
        <f aca="false">IF(G2981="","",G2981+H2981)</f>
        <v/>
      </c>
    </row>
    <row r="2982" customFormat="false" ht="15" hidden="false" customHeight="false" outlineLevel="0" collapsed="false">
      <c r="C2982" s="41" t="str">
        <f aca="false">IF(A2982="","",TEXT(A2982,"mmm-yyyy"))</f>
        <v/>
      </c>
      <c r="I2982" s="47" t="str">
        <f aca="false">IF(G2982="","",G2982+H2982)</f>
        <v/>
      </c>
    </row>
    <row r="2983" customFormat="false" ht="15" hidden="false" customHeight="false" outlineLevel="0" collapsed="false">
      <c r="C2983" s="41" t="str">
        <f aca="false">IF(A2983="","",TEXT(A2983,"mmm-yyyy"))</f>
        <v/>
      </c>
      <c r="I2983" s="47" t="str">
        <f aca="false">IF(G2983="","",G2983+H2983)</f>
        <v/>
      </c>
    </row>
    <row r="2984" customFormat="false" ht="15" hidden="false" customHeight="false" outlineLevel="0" collapsed="false">
      <c r="C2984" s="41" t="str">
        <f aca="false">IF(A2984="","",TEXT(A2984,"mmm-yyyy"))</f>
        <v/>
      </c>
      <c r="I2984" s="47" t="str">
        <f aca="false">IF(G2984="","",G2984+H2984)</f>
        <v/>
      </c>
    </row>
    <row r="2985" customFormat="false" ht="15" hidden="false" customHeight="false" outlineLevel="0" collapsed="false">
      <c r="C2985" s="41" t="str">
        <f aca="false">IF(A2985="","",TEXT(A2985,"mmm-yyyy"))</f>
        <v/>
      </c>
      <c r="I2985" s="47" t="str">
        <f aca="false">IF(G2985="","",G2985+H2985)</f>
        <v/>
      </c>
    </row>
    <row r="2986" customFormat="false" ht="15" hidden="false" customHeight="false" outlineLevel="0" collapsed="false">
      <c r="C2986" s="41" t="str">
        <f aca="false">IF(A2986="","",TEXT(A2986,"mmm-yyyy"))</f>
        <v/>
      </c>
      <c r="I2986" s="47" t="str">
        <f aca="false">IF(G2986="","",G2986+H2986)</f>
        <v/>
      </c>
    </row>
    <row r="2987" customFormat="false" ht="15" hidden="false" customHeight="false" outlineLevel="0" collapsed="false">
      <c r="C2987" s="41" t="str">
        <f aca="false">IF(A2987="","",TEXT(A2987,"mmm-yyyy"))</f>
        <v/>
      </c>
      <c r="I2987" s="47" t="str">
        <f aca="false">IF(G2987="","",G2987+H2987)</f>
        <v/>
      </c>
    </row>
    <row r="2988" customFormat="false" ht="15" hidden="false" customHeight="false" outlineLevel="0" collapsed="false">
      <c r="C2988" s="41" t="str">
        <f aca="false">IF(A2988="","",TEXT(A2988,"mmm-yyyy"))</f>
        <v/>
      </c>
      <c r="I2988" s="47" t="str">
        <f aca="false">IF(G2988="","",G2988+H2988)</f>
        <v/>
      </c>
    </row>
    <row r="2989" customFormat="false" ht="15" hidden="false" customHeight="false" outlineLevel="0" collapsed="false">
      <c r="C2989" s="41" t="str">
        <f aca="false">IF(A2989="","",TEXT(A2989,"mmm-yyyy"))</f>
        <v/>
      </c>
      <c r="I2989" s="47" t="str">
        <f aca="false">IF(G2989="","",G2989+H2989)</f>
        <v/>
      </c>
    </row>
    <row r="2990" customFormat="false" ht="15" hidden="false" customHeight="false" outlineLevel="0" collapsed="false">
      <c r="C2990" s="41" t="str">
        <f aca="false">IF(A2990="","",TEXT(A2990,"mmm-yyyy"))</f>
        <v/>
      </c>
      <c r="I2990" s="47" t="str">
        <f aca="false">IF(G2990="","",G2990+H2990)</f>
        <v/>
      </c>
    </row>
    <row r="2991" customFormat="false" ht="15" hidden="false" customHeight="false" outlineLevel="0" collapsed="false">
      <c r="C2991" s="41" t="str">
        <f aca="false">IF(A2991="","",TEXT(A2991,"mmm-yyyy"))</f>
        <v/>
      </c>
      <c r="I2991" s="47" t="str">
        <f aca="false">IF(G2991="","",G2991+H2991)</f>
        <v/>
      </c>
    </row>
    <row r="2992" customFormat="false" ht="15" hidden="false" customHeight="false" outlineLevel="0" collapsed="false">
      <c r="C2992" s="41" t="str">
        <f aca="false">IF(A2992="","",TEXT(A2992,"mmm-yyyy"))</f>
        <v/>
      </c>
      <c r="I2992" s="47" t="str">
        <f aca="false">IF(G2992="","",G2992+H2992)</f>
        <v/>
      </c>
    </row>
    <row r="2993" customFormat="false" ht="15" hidden="false" customHeight="false" outlineLevel="0" collapsed="false">
      <c r="C2993" s="41" t="str">
        <f aca="false">IF(A2993="","",TEXT(A2993,"mmm-yyyy"))</f>
        <v/>
      </c>
      <c r="I2993" s="47" t="str">
        <f aca="false">IF(G2993="","",G2993+H2993)</f>
        <v/>
      </c>
    </row>
    <row r="2994" customFormat="false" ht="15" hidden="false" customHeight="false" outlineLevel="0" collapsed="false">
      <c r="C2994" s="41" t="str">
        <f aca="false">IF(A2994="","",TEXT(A2994,"mmm-yyyy"))</f>
        <v/>
      </c>
      <c r="I2994" s="47" t="str">
        <f aca="false">IF(G2994="","",G2994+H2994)</f>
        <v/>
      </c>
    </row>
    <row r="2995" customFormat="false" ht="15" hidden="false" customHeight="false" outlineLevel="0" collapsed="false">
      <c r="C2995" s="41" t="str">
        <f aca="false">IF(A2995="","",TEXT(A2995,"mmm-yyyy"))</f>
        <v/>
      </c>
      <c r="I2995" s="47" t="str">
        <f aca="false">IF(G2995="","",G2995+H2995)</f>
        <v/>
      </c>
    </row>
    <row r="2996" customFormat="false" ht="15" hidden="false" customHeight="false" outlineLevel="0" collapsed="false">
      <c r="C2996" s="41" t="str">
        <f aca="false">IF(A2996="","",TEXT(A2996,"mmm-yyyy"))</f>
        <v/>
      </c>
      <c r="I2996" s="47" t="str">
        <f aca="false">IF(G2996="","",G2996+H2996)</f>
        <v/>
      </c>
    </row>
    <row r="2997" customFormat="false" ht="15" hidden="false" customHeight="false" outlineLevel="0" collapsed="false">
      <c r="C2997" s="41" t="str">
        <f aca="false">IF(A2997="","",TEXT(A2997,"mmm-yyyy"))</f>
        <v/>
      </c>
      <c r="I2997" s="47" t="str">
        <f aca="false">IF(G2997="","",G2997+H2997)</f>
        <v/>
      </c>
    </row>
    <row r="2998" customFormat="false" ht="15" hidden="false" customHeight="false" outlineLevel="0" collapsed="false">
      <c r="C2998" s="41" t="str">
        <f aca="false">IF(A2998="","",TEXT(A2998,"mmm-yyyy"))</f>
        <v/>
      </c>
      <c r="I2998" s="47" t="str">
        <f aca="false">IF(G2998="","",G2998+H2998)</f>
        <v/>
      </c>
    </row>
    <row r="2999" customFormat="false" ht="15" hidden="false" customHeight="false" outlineLevel="0" collapsed="false">
      <c r="C2999" s="41" t="str">
        <f aca="false">IF(A2999="","",TEXT(A2999,"mmm-yyyy"))</f>
        <v/>
      </c>
      <c r="I2999" s="47" t="str">
        <f aca="false">IF(G2999="","",G2999+H2999)</f>
        <v/>
      </c>
    </row>
    <row r="3000" customFormat="false" ht="15" hidden="false" customHeight="false" outlineLevel="0" collapsed="false">
      <c r="C3000" s="41" t="str">
        <f aca="false">IF(A3000="","",TEXT(A3000,"mmm-yyyy"))</f>
        <v/>
      </c>
      <c r="I3000" s="47" t="str">
        <f aca="false">IF(G3000="","",G3000+H3000)</f>
        <v/>
      </c>
    </row>
    <row r="3001" customFormat="false" ht="15" hidden="false" customHeight="false" outlineLevel="0" collapsed="false">
      <c r="C3001" s="41" t="str">
        <f aca="false">IF(A3001="","",TEXT(A3001,"mmm-yyyy"))</f>
        <v/>
      </c>
      <c r="I3001" s="47" t="str">
        <f aca="false">IF(G3001="","",G3001+H3001)</f>
        <v/>
      </c>
    </row>
    <row r="3002" customFormat="false" ht="15" hidden="false" customHeight="false" outlineLevel="0" collapsed="false">
      <c r="C3002" s="41" t="str">
        <f aca="false">IF(A3002="","",TEXT(A3002,"mmm-yyyy"))</f>
        <v/>
      </c>
      <c r="I3002" s="47" t="str">
        <f aca="false">IF(G3002="","",G3002+H3002)</f>
        <v/>
      </c>
    </row>
    <row r="3003" customFormat="false" ht="15" hidden="false" customHeight="false" outlineLevel="0" collapsed="false">
      <c r="C3003" s="41" t="str">
        <f aca="false">IF(A3003="","",TEXT(A3003,"mmm-yyyy"))</f>
        <v/>
      </c>
      <c r="I3003" s="47" t="str">
        <f aca="false">IF(G3003="","",G3003+H3003)</f>
        <v/>
      </c>
    </row>
    <row r="3004" customFormat="false" ht="15" hidden="false" customHeight="false" outlineLevel="0" collapsed="false">
      <c r="C3004" s="41" t="str">
        <f aca="false">IF(A3004="","",TEXT(A3004,"mmm-yyyy"))</f>
        <v/>
      </c>
      <c r="I3004" s="47" t="str">
        <f aca="false">IF(G3004="","",G3004+H3004)</f>
        <v/>
      </c>
    </row>
    <row r="3005" customFormat="false" ht="15" hidden="false" customHeight="false" outlineLevel="0" collapsed="false">
      <c r="C3005" s="41" t="str">
        <f aca="false">IF(A3005="","",TEXT(A3005,"mmm-yyyy"))</f>
        <v/>
      </c>
      <c r="I3005" s="47" t="str">
        <f aca="false">IF(G3005="","",G3005+H3005)</f>
        <v/>
      </c>
    </row>
    <row r="3006" customFormat="false" ht="15" hidden="false" customHeight="false" outlineLevel="0" collapsed="false">
      <c r="C3006" s="41" t="str">
        <f aca="false">IF(A3006="","",TEXT(A3006,"mmm-yyyy"))</f>
        <v/>
      </c>
      <c r="I3006" s="47" t="str">
        <f aca="false">IF(G3006="","",G3006+H3006)</f>
        <v/>
      </c>
    </row>
    <row r="3007" customFormat="false" ht="15" hidden="false" customHeight="false" outlineLevel="0" collapsed="false">
      <c r="C3007" s="41" t="str">
        <f aca="false">IF(A3007="","",TEXT(A3007,"mmm-yyyy"))</f>
        <v/>
      </c>
      <c r="I3007" s="47" t="str">
        <f aca="false">IF(G3007="","",G3007+H3007)</f>
        <v/>
      </c>
    </row>
    <row r="3008" customFormat="false" ht="15" hidden="false" customHeight="false" outlineLevel="0" collapsed="false">
      <c r="C3008" s="41" t="str">
        <f aca="false">IF(A3008="","",TEXT(A3008,"mmm-yyyy"))</f>
        <v/>
      </c>
      <c r="I3008" s="47" t="str">
        <f aca="false">IF(G3008="","",G3008+H3008)</f>
        <v/>
      </c>
    </row>
    <row r="3009" customFormat="false" ht="15" hidden="false" customHeight="false" outlineLevel="0" collapsed="false">
      <c r="C3009" s="41" t="str">
        <f aca="false">IF(A3009="","",TEXT(A3009,"mmm-yyyy"))</f>
        <v/>
      </c>
      <c r="I3009" s="47" t="str">
        <f aca="false">IF(G3009="","",G3009+H3009)</f>
        <v/>
      </c>
    </row>
    <row r="3010" customFormat="false" ht="15" hidden="false" customHeight="false" outlineLevel="0" collapsed="false">
      <c r="C3010" s="41" t="str">
        <f aca="false">IF(A3010="","",TEXT(A3010,"mmm-yyyy"))</f>
        <v/>
      </c>
      <c r="I3010" s="47" t="str">
        <f aca="false">IF(G3010="","",G3010+H3010)</f>
        <v/>
      </c>
    </row>
    <row r="3011" customFormat="false" ht="15" hidden="false" customHeight="false" outlineLevel="0" collapsed="false">
      <c r="C3011" s="41" t="str">
        <f aca="false">IF(A3011="","",TEXT(A3011,"mmm-yyyy"))</f>
        <v/>
      </c>
      <c r="I3011" s="47" t="str">
        <f aca="false">IF(G3011="","",G3011+H3011)</f>
        <v/>
      </c>
    </row>
    <row r="3012" customFormat="false" ht="15" hidden="false" customHeight="false" outlineLevel="0" collapsed="false">
      <c r="C3012" s="41" t="str">
        <f aca="false">IF(A3012="","",TEXT(A3012,"mmm-yyyy"))</f>
        <v/>
      </c>
      <c r="I3012" s="47" t="str">
        <f aca="false">IF(G3012="","",G3012+H3012)</f>
        <v/>
      </c>
    </row>
    <row r="3013" customFormat="false" ht="15" hidden="false" customHeight="false" outlineLevel="0" collapsed="false">
      <c r="C3013" s="41" t="str">
        <f aca="false">IF(A3013="","",TEXT(A3013,"mmm-yyyy"))</f>
        <v/>
      </c>
      <c r="I3013" s="47" t="str">
        <f aca="false">IF(G3013="","",G3013+H3013)</f>
        <v/>
      </c>
    </row>
    <row r="3014" customFormat="false" ht="15" hidden="false" customHeight="false" outlineLevel="0" collapsed="false">
      <c r="C3014" s="41" t="str">
        <f aca="false">IF(A3014="","",TEXT(A3014,"mmm-yyyy"))</f>
        <v/>
      </c>
      <c r="I3014" s="47" t="str">
        <f aca="false">IF(G3014="","",G3014+H3014)</f>
        <v/>
      </c>
    </row>
    <row r="3015" customFormat="false" ht="15" hidden="false" customHeight="false" outlineLevel="0" collapsed="false">
      <c r="C3015" s="41" t="str">
        <f aca="false">IF(A3015="","",TEXT(A3015,"mmm-yyyy"))</f>
        <v/>
      </c>
      <c r="I3015" s="47" t="str">
        <f aca="false">IF(G3015="","",G3015+H3015)</f>
        <v/>
      </c>
    </row>
    <row r="3016" customFormat="false" ht="15" hidden="false" customHeight="false" outlineLevel="0" collapsed="false">
      <c r="C3016" s="41" t="str">
        <f aca="false">IF(A3016="","",TEXT(A3016,"mmm-yyyy"))</f>
        <v/>
      </c>
      <c r="I3016" s="47" t="str">
        <f aca="false">IF(G3016="","",G3016+H3016)</f>
        <v/>
      </c>
    </row>
    <row r="3017" customFormat="false" ht="15" hidden="false" customHeight="false" outlineLevel="0" collapsed="false">
      <c r="C3017" s="41" t="str">
        <f aca="false">IF(A3017="","",TEXT(A3017,"mmm-yyyy"))</f>
        <v/>
      </c>
      <c r="I3017" s="47" t="str">
        <f aca="false">IF(G3017="","",G3017+H3017)</f>
        <v/>
      </c>
    </row>
    <row r="3018" customFormat="false" ht="15" hidden="false" customHeight="false" outlineLevel="0" collapsed="false">
      <c r="C3018" s="41" t="str">
        <f aca="false">IF(A3018="","",TEXT(A3018,"mmm-yyyy"))</f>
        <v/>
      </c>
      <c r="I3018" s="47" t="str">
        <f aca="false">IF(G3018="","",G3018+H3018)</f>
        <v/>
      </c>
    </row>
    <row r="3019" customFormat="false" ht="15" hidden="false" customHeight="false" outlineLevel="0" collapsed="false">
      <c r="C3019" s="41" t="str">
        <f aca="false">IF(A3019="","",TEXT(A3019,"mmm-yyyy"))</f>
        <v/>
      </c>
      <c r="I3019" s="47" t="str">
        <f aca="false">IF(G3019="","",G3019+H3019)</f>
        <v/>
      </c>
    </row>
    <row r="3020" customFormat="false" ht="15" hidden="false" customHeight="false" outlineLevel="0" collapsed="false">
      <c r="C3020" s="41" t="str">
        <f aca="false">IF(A3020="","",TEXT(A3020,"mmm-yyyy"))</f>
        <v/>
      </c>
      <c r="I3020" s="47" t="str">
        <f aca="false">IF(G3020="","",G3020+H3020)</f>
        <v/>
      </c>
    </row>
    <row r="3021" customFormat="false" ht="15" hidden="false" customHeight="false" outlineLevel="0" collapsed="false">
      <c r="C3021" s="41" t="str">
        <f aca="false">IF(A3021="","",TEXT(A3021,"mmm-yyyy"))</f>
        <v/>
      </c>
      <c r="I3021" s="47" t="str">
        <f aca="false">IF(G3021="","",G3021+H3021)</f>
        <v/>
      </c>
    </row>
    <row r="3022" customFormat="false" ht="15" hidden="false" customHeight="false" outlineLevel="0" collapsed="false">
      <c r="C3022" s="41" t="str">
        <f aca="false">IF(A3022="","",TEXT(A3022,"mmm-yyyy"))</f>
        <v/>
      </c>
      <c r="I3022" s="47" t="str">
        <f aca="false">IF(G3022="","",G3022+H3022)</f>
        <v/>
      </c>
    </row>
    <row r="3023" customFormat="false" ht="15" hidden="false" customHeight="false" outlineLevel="0" collapsed="false">
      <c r="C3023" s="41" t="str">
        <f aca="false">IF(A3023="","",TEXT(A3023,"mmm-yyyy"))</f>
        <v/>
      </c>
      <c r="I3023" s="47" t="str">
        <f aca="false">IF(G3023="","",G3023+H3023)</f>
        <v/>
      </c>
    </row>
    <row r="3024" customFormat="false" ht="15" hidden="false" customHeight="false" outlineLevel="0" collapsed="false">
      <c r="C3024" s="41" t="str">
        <f aca="false">IF(A3024="","",TEXT(A3024,"mmm-yyyy"))</f>
        <v/>
      </c>
      <c r="I3024" s="47" t="str">
        <f aca="false">IF(G3024="","",G3024+H3024)</f>
        <v/>
      </c>
    </row>
    <row r="3025" customFormat="false" ht="15" hidden="false" customHeight="false" outlineLevel="0" collapsed="false">
      <c r="C3025" s="41" t="str">
        <f aca="false">IF(A3025="","",TEXT(A3025,"mmm-yyyy"))</f>
        <v/>
      </c>
      <c r="I3025" s="47" t="str">
        <f aca="false">IF(G3025="","",G3025+H3025)</f>
        <v/>
      </c>
    </row>
    <row r="3026" customFormat="false" ht="15" hidden="false" customHeight="false" outlineLevel="0" collapsed="false">
      <c r="C3026" s="41" t="str">
        <f aca="false">IF(A3026="","",TEXT(A3026,"mmm-yyyy"))</f>
        <v/>
      </c>
      <c r="I3026" s="47" t="str">
        <f aca="false">IF(G3026="","",G3026+H3026)</f>
        <v/>
      </c>
    </row>
    <row r="3027" customFormat="false" ht="15" hidden="false" customHeight="false" outlineLevel="0" collapsed="false">
      <c r="C3027" s="41" t="str">
        <f aca="false">IF(A3027="","",TEXT(A3027,"mmm-yyyy"))</f>
        <v/>
      </c>
      <c r="I3027" s="47" t="str">
        <f aca="false">IF(G3027="","",G3027+H3027)</f>
        <v/>
      </c>
    </row>
    <row r="3028" customFormat="false" ht="15" hidden="false" customHeight="false" outlineLevel="0" collapsed="false">
      <c r="C3028" s="41" t="str">
        <f aca="false">IF(A3028="","",TEXT(A3028,"mmm-yyyy"))</f>
        <v/>
      </c>
      <c r="I3028" s="47" t="str">
        <f aca="false">IF(G3028="","",G3028+H3028)</f>
        <v/>
      </c>
    </row>
    <row r="3029" customFormat="false" ht="15" hidden="false" customHeight="false" outlineLevel="0" collapsed="false">
      <c r="C3029" s="41" t="str">
        <f aca="false">IF(A3029="","",TEXT(A3029,"mmm-yyyy"))</f>
        <v/>
      </c>
      <c r="I3029" s="47" t="str">
        <f aca="false">IF(G3029="","",G3029+H3029)</f>
        <v/>
      </c>
    </row>
    <row r="3030" customFormat="false" ht="15" hidden="false" customHeight="false" outlineLevel="0" collapsed="false">
      <c r="C3030" s="41" t="str">
        <f aca="false">IF(A3030="","",TEXT(A3030,"mmm-yyyy"))</f>
        <v/>
      </c>
      <c r="I3030" s="47" t="str">
        <f aca="false">IF(G3030="","",G3030+H3030)</f>
        <v/>
      </c>
    </row>
    <row r="3031" customFormat="false" ht="15" hidden="false" customHeight="false" outlineLevel="0" collapsed="false">
      <c r="C3031" s="41" t="str">
        <f aca="false">IF(A3031="","",TEXT(A3031,"mmm-yyyy"))</f>
        <v/>
      </c>
      <c r="I3031" s="47" t="str">
        <f aca="false">IF(G3031="","",G3031+H3031)</f>
        <v/>
      </c>
    </row>
    <row r="3032" customFormat="false" ht="15" hidden="false" customHeight="false" outlineLevel="0" collapsed="false">
      <c r="C3032" s="41" t="str">
        <f aca="false">IF(A3032="","",TEXT(A3032,"mmm-yyyy"))</f>
        <v/>
      </c>
      <c r="I3032" s="47" t="str">
        <f aca="false">IF(G3032="","",G3032+H3032)</f>
        <v/>
      </c>
    </row>
    <row r="3033" customFormat="false" ht="15" hidden="false" customHeight="false" outlineLevel="0" collapsed="false">
      <c r="C3033" s="41" t="str">
        <f aca="false">IF(A3033="","",TEXT(A3033,"mmm-yyyy"))</f>
        <v/>
      </c>
      <c r="I3033" s="47" t="str">
        <f aca="false">IF(G3033="","",G3033+H3033)</f>
        <v/>
      </c>
    </row>
    <row r="3034" customFormat="false" ht="15" hidden="false" customHeight="false" outlineLevel="0" collapsed="false">
      <c r="C3034" s="41" t="str">
        <f aca="false">IF(A3034="","",TEXT(A3034,"mmm-yyyy"))</f>
        <v/>
      </c>
      <c r="I3034" s="47" t="str">
        <f aca="false">IF(G3034="","",G3034+H3034)</f>
        <v/>
      </c>
    </row>
    <row r="3035" customFormat="false" ht="15" hidden="false" customHeight="false" outlineLevel="0" collapsed="false">
      <c r="C3035" s="41" t="str">
        <f aca="false">IF(A3035="","",TEXT(A3035,"mmm-yyyy"))</f>
        <v/>
      </c>
      <c r="I3035" s="47" t="str">
        <f aca="false">IF(G3035="","",G3035+H3035)</f>
        <v/>
      </c>
    </row>
    <row r="3036" customFormat="false" ht="15" hidden="false" customHeight="false" outlineLevel="0" collapsed="false">
      <c r="C3036" s="41" t="str">
        <f aca="false">IF(A3036="","",TEXT(A3036,"mmm-yyyy"))</f>
        <v/>
      </c>
      <c r="I3036" s="47" t="str">
        <f aca="false">IF(G3036="","",G3036+H3036)</f>
        <v/>
      </c>
    </row>
    <row r="3037" customFormat="false" ht="15" hidden="false" customHeight="false" outlineLevel="0" collapsed="false">
      <c r="C3037" s="41" t="str">
        <f aca="false">IF(A3037="","",TEXT(A3037,"mmm-yyyy"))</f>
        <v/>
      </c>
      <c r="I3037" s="47" t="str">
        <f aca="false">IF(G3037="","",G3037+H3037)</f>
        <v/>
      </c>
    </row>
    <row r="3038" customFormat="false" ht="15" hidden="false" customHeight="false" outlineLevel="0" collapsed="false">
      <c r="C3038" s="41" t="str">
        <f aca="false">IF(A3038="","",TEXT(A3038,"mmm-yyyy"))</f>
        <v/>
      </c>
      <c r="I3038" s="47" t="str">
        <f aca="false">IF(G3038="","",G3038+H3038)</f>
        <v/>
      </c>
    </row>
    <row r="3039" customFormat="false" ht="15" hidden="false" customHeight="false" outlineLevel="0" collapsed="false">
      <c r="C3039" s="41" t="str">
        <f aca="false">IF(A3039="","",TEXT(A3039,"mmm-yyyy"))</f>
        <v/>
      </c>
      <c r="I3039" s="47" t="str">
        <f aca="false">IF(G3039="","",G3039+H3039)</f>
        <v/>
      </c>
    </row>
    <row r="3040" customFormat="false" ht="15" hidden="false" customHeight="false" outlineLevel="0" collapsed="false">
      <c r="C3040" s="41" t="str">
        <f aca="false">IF(A3040="","",TEXT(A3040,"mmm-yyyy"))</f>
        <v/>
      </c>
      <c r="I3040" s="47" t="str">
        <f aca="false">IF(G3040="","",G3040+H3040)</f>
        <v/>
      </c>
    </row>
    <row r="3041" customFormat="false" ht="15" hidden="false" customHeight="false" outlineLevel="0" collapsed="false">
      <c r="C3041" s="41" t="str">
        <f aca="false">IF(A3041="","",TEXT(A3041,"mmm-yyyy"))</f>
        <v/>
      </c>
      <c r="I3041" s="47" t="str">
        <f aca="false">IF(G3041="","",G3041+H3041)</f>
        <v/>
      </c>
    </row>
    <row r="3042" customFormat="false" ht="15" hidden="false" customHeight="false" outlineLevel="0" collapsed="false">
      <c r="C3042" s="41" t="str">
        <f aca="false">IF(A3042="","",TEXT(A3042,"mmm-yyyy"))</f>
        <v/>
      </c>
      <c r="I3042" s="47" t="str">
        <f aca="false">IF(G3042="","",G3042+H3042)</f>
        <v/>
      </c>
    </row>
    <row r="3043" customFormat="false" ht="15" hidden="false" customHeight="false" outlineLevel="0" collapsed="false">
      <c r="C3043" s="41" t="str">
        <f aca="false">IF(A3043="","",TEXT(A3043,"mmm-yyyy"))</f>
        <v/>
      </c>
      <c r="I3043" s="47" t="str">
        <f aca="false">IF(G3043="","",G3043+H3043)</f>
        <v/>
      </c>
    </row>
    <row r="3044" customFormat="false" ht="15" hidden="false" customHeight="false" outlineLevel="0" collapsed="false">
      <c r="C3044" s="41" t="str">
        <f aca="false">IF(A3044="","",TEXT(A3044,"mmm-yyyy"))</f>
        <v/>
      </c>
      <c r="I3044" s="47" t="str">
        <f aca="false">IF(G3044="","",G3044+H3044)</f>
        <v/>
      </c>
    </row>
    <row r="3045" customFormat="false" ht="15" hidden="false" customHeight="false" outlineLevel="0" collapsed="false">
      <c r="C3045" s="41" t="str">
        <f aca="false">IF(A3045="","",TEXT(A3045,"mmm-yyyy"))</f>
        <v/>
      </c>
      <c r="I3045" s="47" t="str">
        <f aca="false">IF(G3045="","",G3045+H3045)</f>
        <v/>
      </c>
    </row>
    <row r="3046" customFormat="false" ht="15" hidden="false" customHeight="false" outlineLevel="0" collapsed="false">
      <c r="C3046" s="41" t="str">
        <f aca="false">IF(A3046="","",TEXT(A3046,"mmm-yyyy"))</f>
        <v/>
      </c>
      <c r="I3046" s="47" t="str">
        <f aca="false">IF(G3046="","",G3046+H3046)</f>
        <v/>
      </c>
    </row>
    <row r="3047" customFormat="false" ht="15" hidden="false" customHeight="false" outlineLevel="0" collapsed="false">
      <c r="C3047" s="41" t="str">
        <f aca="false">IF(A3047="","",TEXT(A3047,"mmm-yyyy"))</f>
        <v/>
      </c>
      <c r="I3047" s="47" t="str">
        <f aca="false">IF(G3047="","",G3047+H3047)</f>
        <v/>
      </c>
    </row>
    <row r="3048" customFormat="false" ht="15" hidden="false" customHeight="false" outlineLevel="0" collapsed="false">
      <c r="C3048" s="41" t="str">
        <f aca="false">IF(A3048="","",TEXT(A3048,"mmm-yyyy"))</f>
        <v/>
      </c>
      <c r="I3048" s="47" t="str">
        <f aca="false">IF(G3048="","",G3048+H3048)</f>
        <v/>
      </c>
    </row>
    <row r="3049" customFormat="false" ht="15" hidden="false" customHeight="false" outlineLevel="0" collapsed="false">
      <c r="C3049" s="41" t="str">
        <f aca="false">IF(A3049="","",TEXT(A3049,"mmm-yyyy"))</f>
        <v/>
      </c>
      <c r="I3049" s="47" t="str">
        <f aca="false">IF(G3049="","",G3049+H3049)</f>
        <v/>
      </c>
    </row>
    <row r="3050" customFormat="false" ht="15" hidden="false" customHeight="false" outlineLevel="0" collapsed="false">
      <c r="C3050" s="41" t="str">
        <f aca="false">IF(A3050="","",TEXT(A3050,"mmm-yyyy"))</f>
        <v/>
      </c>
      <c r="I3050" s="47" t="str">
        <f aca="false">IF(G3050="","",G3050+H3050)</f>
        <v/>
      </c>
    </row>
    <row r="3051" customFormat="false" ht="15" hidden="false" customHeight="false" outlineLevel="0" collapsed="false">
      <c r="C3051" s="41" t="str">
        <f aca="false">IF(A3051="","",TEXT(A3051,"mmm-yyyy"))</f>
        <v/>
      </c>
      <c r="I3051" s="47" t="str">
        <f aca="false">IF(G3051="","",G3051+H3051)</f>
        <v/>
      </c>
    </row>
    <row r="3052" customFormat="false" ht="15" hidden="false" customHeight="false" outlineLevel="0" collapsed="false">
      <c r="C3052" s="41" t="str">
        <f aca="false">IF(A3052="","",TEXT(A3052,"mmm-yyyy"))</f>
        <v/>
      </c>
      <c r="I3052" s="47" t="str">
        <f aca="false">IF(G3052="","",G3052+H3052)</f>
        <v/>
      </c>
    </row>
    <row r="3053" customFormat="false" ht="15" hidden="false" customHeight="false" outlineLevel="0" collapsed="false">
      <c r="C3053" s="41" t="str">
        <f aca="false">IF(A3053="","",TEXT(A3053,"mmm-yyyy"))</f>
        <v/>
      </c>
      <c r="I3053" s="47" t="str">
        <f aca="false">IF(G3053="","",G3053+H3053)</f>
        <v/>
      </c>
    </row>
    <row r="3054" customFormat="false" ht="15" hidden="false" customHeight="false" outlineLevel="0" collapsed="false">
      <c r="C3054" s="41" t="str">
        <f aca="false">IF(A3054="","",TEXT(A3054,"mmm-yyyy"))</f>
        <v/>
      </c>
      <c r="I3054" s="47" t="str">
        <f aca="false">IF(G3054="","",G3054+H3054)</f>
        <v/>
      </c>
    </row>
    <row r="3055" customFormat="false" ht="15" hidden="false" customHeight="false" outlineLevel="0" collapsed="false">
      <c r="C3055" s="41" t="str">
        <f aca="false">IF(A3055="","",TEXT(A3055,"mmm-yyyy"))</f>
        <v/>
      </c>
      <c r="I3055" s="47" t="str">
        <f aca="false">IF(G3055="","",G3055+H3055)</f>
        <v/>
      </c>
    </row>
    <row r="3056" customFormat="false" ht="15" hidden="false" customHeight="false" outlineLevel="0" collapsed="false">
      <c r="C3056" s="41" t="str">
        <f aca="false">IF(A3056="","",TEXT(A3056,"mmm-yyyy"))</f>
        <v/>
      </c>
      <c r="I3056" s="47" t="str">
        <f aca="false">IF(G3056="","",G3056+H3056)</f>
        <v/>
      </c>
    </row>
    <row r="3057" customFormat="false" ht="15" hidden="false" customHeight="false" outlineLevel="0" collapsed="false">
      <c r="C3057" s="41" t="str">
        <f aca="false">IF(A3057="","",TEXT(A3057,"mmm-yyyy"))</f>
        <v/>
      </c>
      <c r="I3057" s="47" t="str">
        <f aca="false">IF(G3057="","",G3057+H3057)</f>
        <v/>
      </c>
    </row>
    <row r="3058" customFormat="false" ht="15" hidden="false" customHeight="false" outlineLevel="0" collapsed="false">
      <c r="C3058" s="41" t="str">
        <f aca="false">IF(A3058="","",TEXT(A3058,"mmm-yyyy"))</f>
        <v/>
      </c>
      <c r="I3058" s="47" t="str">
        <f aca="false">IF(G3058="","",G3058+H3058)</f>
        <v/>
      </c>
    </row>
    <row r="3059" customFormat="false" ht="15" hidden="false" customHeight="false" outlineLevel="0" collapsed="false">
      <c r="C3059" s="41" t="str">
        <f aca="false">IF(A3059="","",TEXT(A3059,"mmm-yyyy"))</f>
        <v/>
      </c>
      <c r="I3059" s="47" t="str">
        <f aca="false">IF(G3059="","",G3059+H3059)</f>
        <v/>
      </c>
    </row>
    <row r="3060" customFormat="false" ht="15" hidden="false" customHeight="false" outlineLevel="0" collapsed="false">
      <c r="C3060" s="41" t="str">
        <f aca="false">IF(A3060="","",TEXT(A3060,"mmm-yyyy"))</f>
        <v/>
      </c>
      <c r="I3060" s="47" t="str">
        <f aca="false">IF(G3060="","",G3060+H3060)</f>
        <v/>
      </c>
    </row>
    <row r="3061" customFormat="false" ht="15" hidden="false" customHeight="false" outlineLevel="0" collapsed="false">
      <c r="C3061" s="41" t="str">
        <f aca="false">IF(A3061="","",TEXT(A3061,"mmm-yyyy"))</f>
        <v/>
      </c>
      <c r="I3061" s="47" t="str">
        <f aca="false">IF(G3061="","",G3061+H3061)</f>
        <v/>
      </c>
    </row>
    <row r="3062" customFormat="false" ht="15" hidden="false" customHeight="false" outlineLevel="0" collapsed="false">
      <c r="C3062" s="41" t="str">
        <f aca="false">IF(A3062="","",TEXT(A3062,"mmm-yyyy"))</f>
        <v/>
      </c>
      <c r="I3062" s="47" t="str">
        <f aca="false">IF(G3062="","",G3062+H3062)</f>
        <v/>
      </c>
    </row>
    <row r="3063" customFormat="false" ht="15" hidden="false" customHeight="false" outlineLevel="0" collapsed="false">
      <c r="C3063" s="41" t="str">
        <f aca="false">IF(A3063="","",TEXT(A3063,"mmm-yyyy"))</f>
        <v/>
      </c>
      <c r="I3063" s="47" t="str">
        <f aca="false">IF(G3063="","",G3063+H3063)</f>
        <v/>
      </c>
    </row>
    <row r="3064" customFormat="false" ht="15" hidden="false" customHeight="false" outlineLevel="0" collapsed="false">
      <c r="C3064" s="41" t="str">
        <f aca="false">IF(A3064="","",TEXT(A3064,"mmm-yyyy"))</f>
        <v/>
      </c>
      <c r="I3064" s="47" t="str">
        <f aca="false">IF(G3064="","",G3064+H3064)</f>
        <v/>
      </c>
    </row>
    <row r="3065" customFormat="false" ht="15" hidden="false" customHeight="false" outlineLevel="0" collapsed="false">
      <c r="C3065" s="41" t="str">
        <f aca="false">IF(A3065="","",TEXT(A3065,"mmm-yyyy"))</f>
        <v/>
      </c>
      <c r="I3065" s="47" t="str">
        <f aca="false">IF(G3065="","",G3065+H3065)</f>
        <v/>
      </c>
    </row>
    <row r="3066" customFormat="false" ht="15" hidden="false" customHeight="false" outlineLevel="0" collapsed="false">
      <c r="C3066" s="41" t="str">
        <f aca="false">IF(A3066="","",TEXT(A3066,"mmm-yyyy"))</f>
        <v/>
      </c>
      <c r="I3066" s="47" t="str">
        <f aca="false">IF(G3066="","",G3066+H3066)</f>
        <v/>
      </c>
    </row>
    <row r="3067" customFormat="false" ht="15" hidden="false" customHeight="false" outlineLevel="0" collapsed="false">
      <c r="C3067" s="41" t="str">
        <f aca="false">IF(A3067="","",TEXT(A3067,"mmm-yyyy"))</f>
        <v/>
      </c>
      <c r="I3067" s="47" t="str">
        <f aca="false">IF(G3067="","",G3067+H3067)</f>
        <v/>
      </c>
    </row>
    <row r="3068" customFormat="false" ht="15" hidden="false" customHeight="false" outlineLevel="0" collapsed="false">
      <c r="C3068" s="41" t="str">
        <f aca="false">IF(A3068="","",TEXT(A3068,"mmm-yyyy"))</f>
        <v/>
      </c>
      <c r="I3068" s="47" t="str">
        <f aca="false">IF(G3068="","",G3068+H3068)</f>
        <v/>
      </c>
    </row>
    <row r="3069" customFormat="false" ht="15" hidden="false" customHeight="false" outlineLevel="0" collapsed="false">
      <c r="C3069" s="41" t="str">
        <f aca="false">IF(A3069="","",TEXT(A3069,"mmm-yyyy"))</f>
        <v/>
      </c>
      <c r="I3069" s="47" t="str">
        <f aca="false">IF(G3069="","",G3069+H3069)</f>
        <v/>
      </c>
    </row>
    <row r="3070" customFormat="false" ht="15" hidden="false" customHeight="false" outlineLevel="0" collapsed="false">
      <c r="C3070" s="41" t="str">
        <f aca="false">IF(A3070="","",TEXT(A3070,"mmm-yyyy"))</f>
        <v/>
      </c>
      <c r="I3070" s="47" t="str">
        <f aca="false">IF(G3070="","",G3070+H3070)</f>
        <v/>
      </c>
    </row>
    <row r="3071" customFormat="false" ht="15" hidden="false" customHeight="false" outlineLevel="0" collapsed="false">
      <c r="C3071" s="41" t="str">
        <f aca="false">IF(A3071="","",TEXT(A3071,"mmm-yyyy"))</f>
        <v/>
      </c>
      <c r="I3071" s="47" t="str">
        <f aca="false">IF(G3071="","",G3071+H3071)</f>
        <v/>
      </c>
    </row>
    <row r="3072" customFormat="false" ht="15" hidden="false" customHeight="false" outlineLevel="0" collapsed="false">
      <c r="C3072" s="41" t="str">
        <f aca="false">IF(A3072="","",TEXT(A3072,"mmm-yyyy"))</f>
        <v/>
      </c>
      <c r="I3072" s="47" t="str">
        <f aca="false">IF(G3072="","",G3072+H3072)</f>
        <v/>
      </c>
    </row>
    <row r="3073" customFormat="false" ht="15" hidden="false" customHeight="false" outlineLevel="0" collapsed="false">
      <c r="C3073" s="41" t="str">
        <f aca="false">IF(A3073="","",TEXT(A3073,"mmm-yyyy"))</f>
        <v/>
      </c>
      <c r="I3073" s="47" t="str">
        <f aca="false">IF(G3073="","",G3073+H3073)</f>
        <v/>
      </c>
    </row>
    <row r="3074" customFormat="false" ht="15" hidden="false" customHeight="false" outlineLevel="0" collapsed="false">
      <c r="C3074" s="41" t="str">
        <f aca="false">IF(A3074="","",TEXT(A3074,"mmm-yyyy"))</f>
        <v/>
      </c>
      <c r="I3074" s="47" t="str">
        <f aca="false">IF(G3074="","",G3074+H3074)</f>
        <v/>
      </c>
    </row>
    <row r="3075" customFormat="false" ht="15" hidden="false" customHeight="false" outlineLevel="0" collapsed="false">
      <c r="C3075" s="41" t="str">
        <f aca="false">IF(A3075="","",TEXT(A3075,"mmm-yyyy"))</f>
        <v/>
      </c>
      <c r="I3075" s="47" t="str">
        <f aca="false">IF(G3075="","",G3075+H3075)</f>
        <v/>
      </c>
    </row>
    <row r="3076" customFormat="false" ht="15" hidden="false" customHeight="false" outlineLevel="0" collapsed="false">
      <c r="C3076" s="41" t="str">
        <f aca="false">IF(A3076="","",TEXT(A3076,"mmm-yyyy"))</f>
        <v/>
      </c>
      <c r="I3076" s="47" t="str">
        <f aca="false">IF(G3076="","",G3076+H3076)</f>
        <v/>
      </c>
    </row>
    <row r="3077" customFormat="false" ht="15" hidden="false" customHeight="false" outlineLevel="0" collapsed="false">
      <c r="C3077" s="41" t="str">
        <f aca="false">IF(A3077="","",TEXT(A3077,"mmm-yyyy"))</f>
        <v/>
      </c>
      <c r="I3077" s="47" t="str">
        <f aca="false">IF(G3077="","",G3077+H3077)</f>
        <v/>
      </c>
    </row>
    <row r="3078" customFormat="false" ht="15" hidden="false" customHeight="false" outlineLevel="0" collapsed="false">
      <c r="C3078" s="41" t="str">
        <f aca="false">IF(A3078="","",TEXT(A3078,"mmm-yyyy"))</f>
        <v/>
      </c>
      <c r="I3078" s="47" t="str">
        <f aca="false">IF(G3078="","",G3078+H3078)</f>
        <v/>
      </c>
    </row>
    <row r="3079" customFormat="false" ht="15" hidden="false" customHeight="false" outlineLevel="0" collapsed="false">
      <c r="C3079" s="41" t="str">
        <f aca="false">IF(A3079="","",TEXT(A3079,"mmm-yyyy"))</f>
        <v/>
      </c>
      <c r="I3079" s="47" t="str">
        <f aca="false">IF(G3079="","",G3079+H3079)</f>
        <v/>
      </c>
    </row>
    <row r="3080" customFormat="false" ht="15" hidden="false" customHeight="false" outlineLevel="0" collapsed="false">
      <c r="C3080" s="41" t="str">
        <f aca="false">IF(A3080="","",TEXT(A3080,"mmm-yyyy"))</f>
        <v/>
      </c>
      <c r="I3080" s="47" t="str">
        <f aca="false">IF(G3080="","",G3080+H3080)</f>
        <v/>
      </c>
    </row>
    <row r="3081" customFormat="false" ht="15" hidden="false" customHeight="false" outlineLevel="0" collapsed="false">
      <c r="C3081" s="41" t="str">
        <f aca="false">IF(A3081="","",TEXT(A3081,"mmm-yyyy"))</f>
        <v/>
      </c>
      <c r="I3081" s="47" t="str">
        <f aca="false">IF(G3081="","",G3081+H3081)</f>
        <v/>
      </c>
    </row>
    <row r="3082" customFormat="false" ht="15" hidden="false" customHeight="false" outlineLevel="0" collapsed="false">
      <c r="C3082" s="41" t="str">
        <f aca="false">IF(A3082="","",TEXT(A3082,"mmm-yyyy"))</f>
        <v/>
      </c>
      <c r="I3082" s="47" t="str">
        <f aca="false">IF(G3082="","",G3082+H3082)</f>
        <v/>
      </c>
    </row>
    <row r="3083" customFormat="false" ht="15" hidden="false" customHeight="false" outlineLevel="0" collapsed="false">
      <c r="C3083" s="41" t="str">
        <f aca="false">IF(A3083="","",TEXT(A3083,"mmm-yyyy"))</f>
        <v/>
      </c>
      <c r="I3083" s="47" t="str">
        <f aca="false">IF(G3083="","",G3083+H3083)</f>
        <v/>
      </c>
    </row>
    <row r="3084" customFormat="false" ht="15" hidden="false" customHeight="false" outlineLevel="0" collapsed="false">
      <c r="C3084" s="41" t="str">
        <f aca="false">IF(A3084="","",TEXT(A3084,"mmm-yyyy"))</f>
        <v/>
      </c>
      <c r="I3084" s="47" t="str">
        <f aca="false">IF(G3084="","",G3084+H3084)</f>
        <v/>
      </c>
    </row>
    <row r="3085" customFormat="false" ht="15" hidden="false" customHeight="false" outlineLevel="0" collapsed="false">
      <c r="C3085" s="41" t="str">
        <f aca="false">IF(A3085="","",TEXT(A3085,"mmm-yyyy"))</f>
        <v/>
      </c>
      <c r="I3085" s="47" t="str">
        <f aca="false">IF(G3085="","",G3085+H3085)</f>
        <v/>
      </c>
    </row>
    <row r="3086" customFormat="false" ht="15" hidden="false" customHeight="false" outlineLevel="0" collapsed="false">
      <c r="C3086" s="41" t="str">
        <f aca="false">IF(A3086="","",TEXT(A3086,"mmm-yyyy"))</f>
        <v/>
      </c>
      <c r="I3086" s="47" t="str">
        <f aca="false">IF(G3086="","",G3086+H3086)</f>
        <v/>
      </c>
    </row>
    <row r="3087" customFormat="false" ht="15" hidden="false" customHeight="false" outlineLevel="0" collapsed="false">
      <c r="C3087" s="41" t="str">
        <f aca="false">IF(A3087="","",TEXT(A3087,"mmm-yyyy"))</f>
        <v/>
      </c>
      <c r="I3087" s="47" t="str">
        <f aca="false">IF(G3087="","",G3087+H3087)</f>
        <v/>
      </c>
    </row>
    <row r="3088" customFormat="false" ht="15" hidden="false" customHeight="false" outlineLevel="0" collapsed="false">
      <c r="C3088" s="41" t="str">
        <f aca="false">IF(A3088="","",TEXT(A3088,"mmm-yyyy"))</f>
        <v/>
      </c>
      <c r="I3088" s="47" t="str">
        <f aca="false">IF(G3088="","",G3088+H3088)</f>
        <v/>
      </c>
    </row>
    <row r="3089" customFormat="false" ht="15" hidden="false" customHeight="false" outlineLevel="0" collapsed="false">
      <c r="C3089" s="41" t="str">
        <f aca="false">IF(A3089="","",TEXT(A3089,"mmm-yyyy"))</f>
        <v/>
      </c>
      <c r="I3089" s="47" t="str">
        <f aca="false">IF(G3089="","",G3089+H3089)</f>
        <v/>
      </c>
    </row>
    <row r="3090" customFormat="false" ht="15" hidden="false" customHeight="false" outlineLevel="0" collapsed="false">
      <c r="C3090" s="41" t="str">
        <f aca="false">IF(A3090="","",TEXT(A3090,"mmm-yyyy"))</f>
        <v/>
      </c>
      <c r="I3090" s="47" t="str">
        <f aca="false">IF(G3090="","",G3090+H3090)</f>
        <v/>
      </c>
    </row>
    <row r="3091" customFormat="false" ht="15" hidden="false" customHeight="false" outlineLevel="0" collapsed="false">
      <c r="C3091" s="41" t="str">
        <f aca="false">IF(A3091="","",TEXT(A3091,"mmm-yyyy"))</f>
        <v/>
      </c>
      <c r="I3091" s="47" t="str">
        <f aca="false">IF(G3091="","",G3091+H3091)</f>
        <v/>
      </c>
    </row>
    <row r="3092" customFormat="false" ht="15" hidden="false" customHeight="false" outlineLevel="0" collapsed="false">
      <c r="C3092" s="41" t="str">
        <f aca="false">IF(A3092="","",TEXT(A3092,"mmm-yyyy"))</f>
        <v/>
      </c>
      <c r="I3092" s="47" t="str">
        <f aca="false">IF(G3092="","",G3092+H3092)</f>
        <v/>
      </c>
    </row>
    <row r="3093" customFormat="false" ht="15" hidden="false" customHeight="false" outlineLevel="0" collapsed="false">
      <c r="C3093" s="41" t="str">
        <f aca="false">IF(A3093="","",TEXT(A3093,"mmm-yyyy"))</f>
        <v/>
      </c>
      <c r="I3093" s="47" t="str">
        <f aca="false">IF(G3093="","",G3093+H3093)</f>
        <v/>
      </c>
    </row>
    <row r="3094" customFormat="false" ht="15" hidden="false" customHeight="false" outlineLevel="0" collapsed="false">
      <c r="C3094" s="41" t="str">
        <f aca="false">IF(A3094="","",TEXT(A3094,"mmm-yyyy"))</f>
        <v/>
      </c>
      <c r="I3094" s="47" t="str">
        <f aca="false">IF(G3094="","",G3094+H3094)</f>
        <v/>
      </c>
    </row>
    <row r="3095" customFormat="false" ht="15" hidden="false" customHeight="false" outlineLevel="0" collapsed="false">
      <c r="C3095" s="41" t="str">
        <f aca="false">IF(A3095="","",TEXT(A3095,"mmm-yyyy"))</f>
        <v/>
      </c>
      <c r="I3095" s="47" t="str">
        <f aca="false">IF(G3095="","",G3095+H3095)</f>
        <v/>
      </c>
    </row>
    <row r="3096" customFormat="false" ht="15" hidden="false" customHeight="false" outlineLevel="0" collapsed="false">
      <c r="C3096" s="41" t="str">
        <f aca="false">IF(A3096="","",TEXT(A3096,"mmm-yyyy"))</f>
        <v/>
      </c>
      <c r="I3096" s="47" t="str">
        <f aca="false">IF(G3096="","",G3096+H3096)</f>
        <v/>
      </c>
    </row>
    <row r="3097" customFormat="false" ht="15" hidden="false" customHeight="false" outlineLevel="0" collapsed="false">
      <c r="C3097" s="41" t="str">
        <f aca="false">IF(A3097="","",TEXT(A3097,"mmm-yyyy"))</f>
        <v/>
      </c>
      <c r="I3097" s="47" t="str">
        <f aca="false">IF(G3097="","",G3097+H3097)</f>
        <v/>
      </c>
    </row>
    <row r="3098" customFormat="false" ht="15" hidden="false" customHeight="false" outlineLevel="0" collapsed="false">
      <c r="C3098" s="41" t="str">
        <f aca="false">IF(A3098="","",TEXT(A3098,"mmm-yyyy"))</f>
        <v/>
      </c>
      <c r="I3098" s="47" t="str">
        <f aca="false">IF(G3098="","",G3098+H3098)</f>
        <v/>
      </c>
    </row>
    <row r="3099" customFormat="false" ht="15" hidden="false" customHeight="false" outlineLevel="0" collapsed="false">
      <c r="C3099" s="41" t="str">
        <f aca="false">IF(A3099="","",TEXT(A3099,"mmm-yyyy"))</f>
        <v/>
      </c>
      <c r="I3099" s="47" t="str">
        <f aca="false">IF(G3099="","",G3099+H3099)</f>
        <v/>
      </c>
    </row>
    <row r="3100" customFormat="false" ht="15" hidden="false" customHeight="false" outlineLevel="0" collapsed="false">
      <c r="C3100" s="41" t="str">
        <f aca="false">IF(A3100="","",TEXT(A3100,"mmm-yyyy"))</f>
        <v/>
      </c>
      <c r="I3100" s="47" t="str">
        <f aca="false">IF(G3100="","",G3100+H3100)</f>
        <v/>
      </c>
    </row>
    <row r="3101" customFormat="false" ht="15" hidden="false" customHeight="false" outlineLevel="0" collapsed="false">
      <c r="C3101" s="41" t="str">
        <f aca="false">IF(A3101="","",TEXT(A3101,"mmm-yyyy"))</f>
        <v/>
      </c>
      <c r="I3101" s="47" t="str">
        <f aca="false">IF(G3101="","",G3101+H3101)</f>
        <v/>
      </c>
    </row>
    <row r="3102" customFormat="false" ht="15" hidden="false" customHeight="false" outlineLevel="0" collapsed="false">
      <c r="C3102" s="41" t="str">
        <f aca="false">IF(A3102="","",TEXT(A3102,"mmm-yyyy"))</f>
        <v/>
      </c>
      <c r="I3102" s="47" t="str">
        <f aca="false">IF(G3102="","",G3102+H3102)</f>
        <v/>
      </c>
    </row>
    <row r="3103" customFormat="false" ht="15" hidden="false" customHeight="false" outlineLevel="0" collapsed="false">
      <c r="C3103" s="41" t="str">
        <f aca="false">IF(A3103="","",TEXT(A3103,"mmm-yyyy"))</f>
        <v/>
      </c>
      <c r="I3103" s="47" t="str">
        <f aca="false">IF(G3103="","",G3103+H3103)</f>
        <v/>
      </c>
    </row>
    <row r="3104" customFormat="false" ht="15" hidden="false" customHeight="false" outlineLevel="0" collapsed="false">
      <c r="C3104" s="41" t="str">
        <f aca="false">IF(A3104="","",TEXT(A3104,"mmm-yyyy"))</f>
        <v/>
      </c>
      <c r="I3104" s="47" t="str">
        <f aca="false">IF(G3104="","",G3104+H3104)</f>
        <v/>
      </c>
    </row>
    <row r="3105" customFormat="false" ht="15" hidden="false" customHeight="false" outlineLevel="0" collapsed="false">
      <c r="C3105" s="41" t="str">
        <f aca="false">IF(A3105="","",TEXT(A3105,"mmm-yyyy"))</f>
        <v/>
      </c>
      <c r="I3105" s="47" t="str">
        <f aca="false">IF(G3105="","",G3105+H3105)</f>
        <v/>
      </c>
    </row>
    <row r="3106" customFormat="false" ht="15" hidden="false" customHeight="false" outlineLevel="0" collapsed="false">
      <c r="C3106" s="41" t="str">
        <f aca="false">IF(A3106="","",TEXT(A3106,"mmm-yyyy"))</f>
        <v/>
      </c>
      <c r="I3106" s="47" t="str">
        <f aca="false">IF(G3106="","",G3106+H3106)</f>
        <v/>
      </c>
    </row>
    <row r="3107" customFormat="false" ht="15" hidden="false" customHeight="false" outlineLevel="0" collapsed="false">
      <c r="C3107" s="41" t="str">
        <f aca="false">IF(A3107="","",TEXT(A3107,"mmm-yyyy"))</f>
        <v/>
      </c>
      <c r="I3107" s="47" t="str">
        <f aca="false">IF(G3107="","",G3107+H3107)</f>
        <v/>
      </c>
    </row>
    <row r="3108" customFormat="false" ht="15" hidden="false" customHeight="false" outlineLevel="0" collapsed="false">
      <c r="C3108" s="41" t="str">
        <f aca="false">IF(A3108="","",TEXT(A3108,"mmm-yyyy"))</f>
        <v/>
      </c>
      <c r="I3108" s="47" t="str">
        <f aca="false">IF(G3108="","",G3108+H3108)</f>
        <v/>
      </c>
    </row>
    <row r="3109" customFormat="false" ht="15" hidden="false" customHeight="false" outlineLevel="0" collapsed="false">
      <c r="C3109" s="41" t="str">
        <f aca="false">IF(A3109="","",TEXT(A3109,"mmm-yyyy"))</f>
        <v/>
      </c>
      <c r="I3109" s="47" t="str">
        <f aca="false">IF(G3109="","",G3109+H3109)</f>
        <v/>
      </c>
    </row>
    <row r="3110" customFormat="false" ht="15" hidden="false" customHeight="false" outlineLevel="0" collapsed="false">
      <c r="C3110" s="41" t="str">
        <f aca="false">IF(A3110="","",TEXT(A3110,"mmm-yyyy"))</f>
        <v/>
      </c>
      <c r="I3110" s="47" t="str">
        <f aca="false">IF(G3110="","",G3110+H3110)</f>
        <v/>
      </c>
    </row>
    <row r="3111" customFormat="false" ht="15" hidden="false" customHeight="false" outlineLevel="0" collapsed="false">
      <c r="C3111" s="41" t="str">
        <f aca="false">IF(A3111="","",TEXT(A3111,"mmm-yyyy"))</f>
        <v/>
      </c>
      <c r="I3111" s="47" t="str">
        <f aca="false">IF(G3111="","",G3111+H3111)</f>
        <v/>
      </c>
    </row>
    <row r="3112" customFormat="false" ht="15" hidden="false" customHeight="false" outlineLevel="0" collapsed="false">
      <c r="C3112" s="41" t="str">
        <f aca="false">IF(A3112="","",TEXT(A3112,"mmm-yyyy"))</f>
        <v/>
      </c>
      <c r="I3112" s="47" t="str">
        <f aca="false">IF(G3112="","",G3112+H3112)</f>
        <v/>
      </c>
    </row>
    <row r="3113" customFormat="false" ht="15" hidden="false" customHeight="false" outlineLevel="0" collapsed="false">
      <c r="C3113" s="41" t="str">
        <f aca="false">IF(A3113="","",TEXT(A3113,"mmm-yyyy"))</f>
        <v/>
      </c>
      <c r="I3113" s="47" t="str">
        <f aca="false">IF(G3113="","",G3113+H3113)</f>
        <v/>
      </c>
    </row>
    <row r="3114" customFormat="false" ht="15" hidden="false" customHeight="false" outlineLevel="0" collapsed="false">
      <c r="C3114" s="41" t="str">
        <f aca="false">IF(A3114="","",TEXT(A3114,"mmm-yyyy"))</f>
        <v/>
      </c>
      <c r="I3114" s="47" t="str">
        <f aca="false">IF(G3114="","",G3114+H3114)</f>
        <v/>
      </c>
    </row>
    <row r="3115" customFormat="false" ht="15" hidden="false" customHeight="false" outlineLevel="0" collapsed="false">
      <c r="C3115" s="41" t="str">
        <f aca="false">IF(A3115="","",TEXT(A3115,"mmm-yyyy"))</f>
        <v/>
      </c>
      <c r="I3115" s="47" t="str">
        <f aca="false">IF(G3115="","",G3115+H3115)</f>
        <v/>
      </c>
    </row>
    <row r="3116" customFormat="false" ht="15" hidden="false" customHeight="false" outlineLevel="0" collapsed="false">
      <c r="C3116" s="41" t="str">
        <f aca="false">IF(A3116="","",TEXT(A3116,"mmm-yyyy"))</f>
        <v/>
      </c>
      <c r="I3116" s="47" t="str">
        <f aca="false">IF(G3116="","",G3116+H3116)</f>
        <v/>
      </c>
    </row>
    <row r="3117" customFormat="false" ht="15" hidden="false" customHeight="false" outlineLevel="0" collapsed="false">
      <c r="C3117" s="41" t="str">
        <f aca="false">IF(A3117="","",TEXT(A3117,"mmm-yyyy"))</f>
        <v/>
      </c>
      <c r="I3117" s="47" t="str">
        <f aca="false">IF(G3117="","",G3117+H3117)</f>
        <v/>
      </c>
    </row>
    <row r="3118" customFormat="false" ht="15" hidden="false" customHeight="false" outlineLevel="0" collapsed="false">
      <c r="C3118" s="41" t="str">
        <f aca="false">IF(A3118="","",TEXT(A3118,"mmm-yyyy"))</f>
        <v/>
      </c>
      <c r="I3118" s="47" t="str">
        <f aca="false">IF(G3118="","",G3118+H3118)</f>
        <v/>
      </c>
    </row>
    <row r="3119" customFormat="false" ht="15" hidden="false" customHeight="false" outlineLevel="0" collapsed="false">
      <c r="C3119" s="41" t="str">
        <f aca="false">IF(A3119="","",TEXT(A3119,"mmm-yyyy"))</f>
        <v/>
      </c>
      <c r="I3119" s="47" t="str">
        <f aca="false">IF(G3119="","",G3119+H3119)</f>
        <v/>
      </c>
    </row>
    <row r="3120" customFormat="false" ht="15" hidden="false" customHeight="false" outlineLevel="0" collapsed="false">
      <c r="C3120" s="41" t="str">
        <f aca="false">IF(A3120="","",TEXT(A3120,"mmm-yyyy"))</f>
        <v/>
      </c>
      <c r="I3120" s="47" t="str">
        <f aca="false">IF(G3120="","",G3120+H3120)</f>
        <v/>
      </c>
    </row>
    <row r="3121" customFormat="false" ht="15" hidden="false" customHeight="false" outlineLevel="0" collapsed="false">
      <c r="C3121" s="41" t="str">
        <f aca="false">IF(A3121="","",TEXT(A3121,"mmm-yyyy"))</f>
        <v/>
      </c>
      <c r="I3121" s="47" t="str">
        <f aca="false">IF(G3121="","",G3121+H3121)</f>
        <v/>
      </c>
    </row>
    <row r="3122" customFormat="false" ht="15" hidden="false" customHeight="false" outlineLevel="0" collapsed="false">
      <c r="C3122" s="41" t="str">
        <f aca="false">IF(A3122="","",TEXT(A3122,"mmm-yyyy"))</f>
        <v/>
      </c>
      <c r="I3122" s="47" t="str">
        <f aca="false">IF(G3122="","",G3122+H3122)</f>
        <v/>
      </c>
    </row>
    <row r="3123" customFormat="false" ht="15" hidden="false" customHeight="false" outlineLevel="0" collapsed="false">
      <c r="C3123" s="41" t="str">
        <f aca="false">IF(A3123="","",TEXT(A3123,"mmm-yyyy"))</f>
        <v/>
      </c>
      <c r="I3123" s="47" t="str">
        <f aca="false">IF(G3123="","",G3123+H3123)</f>
        <v/>
      </c>
    </row>
    <row r="3124" customFormat="false" ht="15" hidden="false" customHeight="false" outlineLevel="0" collapsed="false">
      <c r="C3124" s="41" t="str">
        <f aca="false">IF(A3124="","",TEXT(A3124,"mmm-yyyy"))</f>
        <v/>
      </c>
      <c r="I3124" s="47" t="str">
        <f aca="false">IF(G3124="","",G3124+H3124)</f>
        <v/>
      </c>
    </row>
    <row r="3125" customFormat="false" ht="15" hidden="false" customHeight="false" outlineLevel="0" collapsed="false">
      <c r="C3125" s="41" t="str">
        <f aca="false">IF(A3125="","",TEXT(A3125,"mmm-yyyy"))</f>
        <v/>
      </c>
      <c r="I3125" s="47" t="str">
        <f aca="false">IF(G3125="","",G3125+H3125)</f>
        <v/>
      </c>
    </row>
    <row r="3126" customFormat="false" ht="15" hidden="false" customHeight="false" outlineLevel="0" collapsed="false">
      <c r="C3126" s="41" t="str">
        <f aca="false">IF(A3126="","",TEXT(A3126,"mmm-yyyy"))</f>
        <v/>
      </c>
      <c r="I3126" s="47" t="str">
        <f aca="false">IF(G3126="","",G3126+H3126)</f>
        <v/>
      </c>
    </row>
    <row r="3127" customFormat="false" ht="15" hidden="false" customHeight="false" outlineLevel="0" collapsed="false">
      <c r="C3127" s="41" t="str">
        <f aca="false">IF(A3127="","",TEXT(A3127,"mmm-yyyy"))</f>
        <v/>
      </c>
      <c r="I3127" s="47" t="str">
        <f aca="false">IF(G3127="","",G3127+H3127)</f>
        <v/>
      </c>
    </row>
    <row r="3128" customFormat="false" ht="15" hidden="false" customHeight="false" outlineLevel="0" collapsed="false">
      <c r="C3128" s="41" t="str">
        <f aca="false">IF(A3128="","",TEXT(A3128,"mmm-yyyy"))</f>
        <v/>
      </c>
      <c r="I3128" s="47" t="str">
        <f aca="false">IF(G3128="","",G3128+H3128)</f>
        <v/>
      </c>
    </row>
    <row r="3129" customFormat="false" ht="15" hidden="false" customHeight="false" outlineLevel="0" collapsed="false">
      <c r="C3129" s="41" t="str">
        <f aca="false">IF(A3129="","",TEXT(A3129,"mmm-yyyy"))</f>
        <v/>
      </c>
      <c r="I3129" s="47" t="str">
        <f aca="false">IF(G3129="","",G3129+H3129)</f>
        <v/>
      </c>
    </row>
    <row r="3130" customFormat="false" ht="15" hidden="false" customHeight="false" outlineLevel="0" collapsed="false">
      <c r="C3130" s="41" t="str">
        <f aca="false">IF(A3130="","",TEXT(A3130,"mmm-yyyy"))</f>
        <v/>
      </c>
      <c r="I3130" s="47" t="str">
        <f aca="false">IF(G3130="","",G3130+H3130)</f>
        <v/>
      </c>
    </row>
    <row r="3131" customFormat="false" ht="15" hidden="false" customHeight="false" outlineLevel="0" collapsed="false">
      <c r="C3131" s="41" t="str">
        <f aca="false">IF(A3131="","",TEXT(A3131,"mmm-yyyy"))</f>
        <v/>
      </c>
      <c r="I3131" s="47" t="str">
        <f aca="false">IF(G3131="","",G3131+H3131)</f>
        <v/>
      </c>
    </row>
    <row r="3132" customFormat="false" ht="15" hidden="false" customHeight="false" outlineLevel="0" collapsed="false">
      <c r="C3132" s="41" t="str">
        <f aca="false">IF(A3132="","",TEXT(A3132,"mmm-yyyy"))</f>
        <v/>
      </c>
      <c r="I3132" s="47" t="str">
        <f aca="false">IF(G3132="","",G3132+H3132)</f>
        <v/>
      </c>
    </row>
    <row r="3133" customFormat="false" ht="15" hidden="false" customHeight="false" outlineLevel="0" collapsed="false">
      <c r="C3133" s="41" t="str">
        <f aca="false">IF(A3133="","",TEXT(A3133,"mmm-yyyy"))</f>
        <v/>
      </c>
      <c r="I3133" s="47" t="str">
        <f aca="false">IF(G3133="","",G3133+H3133)</f>
        <v/>
      </c>
    </row>
    <row r="3134" customFormat="false" ht="15" hidden="false" customHeight="false" outlineLevel="0" collapsed="false">
      <c r="C3134" s="41" t="str">
        <f aca="false">IF(A3134="","",TEXT(A3134,"mmm-yyyy"))</f>
        <v/>
      </c>
      <c r="I3134" s="47" t="str">
        <f aca="false">IF(G3134="","",G3134+H3134)</f>
        <v/>
      </c>
    </row>
    <row r="3135" customFormat="false" ht="15" hidden="false" customHeight="false" outlineLevel="0" collapsed="false">
      <c r="C3135" s="41" t="str">
        <f aca="false">IF(A3135="","",TEXT(A3135,"mmm-yyyy"))</f>
        <v/>
      </c>
      <c r="I3135" s="47" t="str">
        <f aca="false">IF(G3135="","",G3135+H3135)</f>
        <v/>
      </c>
    </row>
    <row r="3136" customFormat="false" ht="15" hidden="false" customHeight="false" outlineLevel="0" collapsed="false">
      <c r="C3136" s="41" t="str">
        <f aca="false">IF(A3136="","",TEXT(A3136,"mmm-yyyy"))</f>
        <v/>
      </c>
      <c r="I3136" s="47" t="str">
        <f aca="false">IF(G3136="","",G3136+H3136)</f>
        <v/>
      </c>
    </row>
    <row r="3137" customFormat="false" ht="15" hidden="false" customHeight="false" outlineLevel="0" collapsed="false">
      <c r="C3137" s="41" t="str">
        <f aca="false">IF(A3137="","",TEXT(A3137,"mmm-yyyy"))</f>
        <v/>
      </c>
      <c r="I3137" s="47" t="str">
        <f aca="false">IF(G3137="","",G3137+H3137)</f>
        <v/>
      </c>
    </row>
    <row r="3138" customFormat="false" ht="15" hidden="false" customHeight="false" outlineLevel="0" collapsed="false">
      <c r="C3138" s="41" t="str">
        <f aca="false">IF(A3138="","",TEXT(A3138,"mmm-yyyy"))</f>
        <v/>
      </c>
      <c r="I3138" s="47" t="str">
        <f aca="false">IF(G3138="","",G3138+H3138)</f>
        <v/>
      </c>
    </row>
    <row r="3139" customFormat="false" ht="15" hidden="false" customHeight="false" outlineLevel="0" collapsed="false">
      <c r="C3139" s="41" t="str">
        <f aca="false">IF(A3139="","",TEXT(A3139,"mmm-yyyy"))</f>
        <v/>
      </c>
      <c r="I3139" s="47" t="str">
        <f aca="false">IF(G3139="","",G3139+H3139)</f>
        <v/>
      </c>
    </row>
    <row r="3140" customFormat="false" ht="15" hidden="false" customHeight="false" outlineLevel="0" collapsed="false">
      <c r="C3140" s="41" t="str">
        <f aca="false">IF(A3140="","",TEXT(A3140,"mmm-yyyy"))</f>
        <v/>
      </c>
      <c r="I3140" s="47" t="str">
        <f aca="false">IF(G3140="","",G3140+H3140)</f>
        <v/>
      </c>
    </row>
    <row r="3141" customFormat="false" ht="15" hidden="false" customHeight="false" outlineLevel="0" collapsed="false">
      <c r="C3141" s="41" t="str">
        <f aca="false">IF(A3141="","",TEXT(A3141,"mmm-yyyy"))</f>
        <v/>
      </c>
      <c r="I3141" s="47" t="str">
        <f aca="false">IF(G3141="","",G3141+H3141)</f>
        <v/>
      </c>
    </row>
    <row r="3142" customFormat="false" ht="15" hidden="false" customHeight="false" outlineLevel="0" collapsed="false">
      <c r="C3142" s="41" t="str">
        <f aca="false">IF(A3142="","",TEXT(A3142,"mmm-yyyy"))</f>
        <v/>
      </c>
      <c r="I3142" s="47" t="str">
        <f aca="false">IF(G3142="","",G3142+H3142)</f>
        <v/>
      </c>
    </row>
    <row r="3143" customFormat="false" ht="15" hidden="false" customHeight="false" outlineLevel="0" collapsed="false">
      <c r="C3143" s="41" t="str">
        <f aca="false">IF(A3143="","",TEXT(A3143,"mmm-yyyy"))</f>
        <v/>
      </c>
      <c r="I3143" s="47" t="str">
        <f aca="false">IF(G3143="","",G3143+H3143)</f>
        <v/>
      </c>
    </row>
    <row r="3144" customFormat="false" ht="15" hidden="false" customHeight="false" outlineLevel="0" collapsed="false">
      <c r="C3144" s="41" t="str">
        <f aca="false">IF(A3144="","",TEXT(A3144,"mmm-yyyy"))</f>
        <v/>
      </c>
      <c r="I3144" s="47" t="str">
        <f aca="false">IF(G3144="","",G3144+H3144)</f>
        <v/>
      </c>
    </row>
    <row r="3145" customFormat="false" ht="15" hidden="false" customHeight="false" outlineLevel="0" collapsed="false">
      <c r="C3145" s="41" t="str">
        <f aca="false">IF(A3145="","",TEXT(A3145,"mmm-yyyy"))</f>
        <v/>
      </c>
      <c r="I3145" s="47" t="str">
        <f aca="false">IF(G3145="","",G3145+H3145)</f>
        <v/>
      </c>
    </row>
    <row r="3146" customFormat="false" ht="15" hidden="false" customHeight="false" outlineLevel="0" collapsed="false">
      <c r="C3146" s="41" t="str">
        <f aca="false">IF(A3146="","",TEXT(A3146,"mmm-yyyy"))</f>
        <v/>
      </c>
      <c r="I3146" s="47" t="str">
        <f aca="false">IF(G3146="","",G3146+H3146)</f>
        <v/>
      </c>
    </row>
    <row r="3147" customFormat="false" ht="15" hidden="false" customHeight="false" outlineLevel="0" collapsed="false">
      <c r="C3147" s="41" t="str">
        <f aca="false">IF(A3147="","",TEXT(A3147,"mmm-yyyy"))</f>
        <v/>
      </c>
      <c r="I3147" s="47" t="str">
        <f aca="false">IF(G3147="","",G3147+H3147)</f>
        <v/>
      </c>
    </row>
    <row r="3148" customFormat="false" ht="15" hidden="false" customHeight="false" outlineLevel="0" collapsed="false">
      <c r="C3148" s="41" t="str">
        <f aca="false">IF(A3148="","",TEXT(A3148,"mmm-yyyy"))</f>
        <v/>
      </c>
      <c r="I3148" s="47" t="str">
        <f aca="false">IF(G3148="","",G3148+H3148)</f>
        <v/>
      </c>
    </row>
    <row r="3149" customFormat="false" ht="15" hidden="false" customHeight="false" outlineLevel="0" collapsed="false">
      <c r="C3149" s="41" t="str">
        <f aca="false">IF(A3149="","",TEXT(A3149,"mmm-yyyy"))</f>
        <v/>
      </c>
      <c r="I3149" s="47" t="str">
        <f aca="false">IF(G3149="","",G3149+H3149)</f>
        <v/>
      </c>
    </row>
    <row r="3150" customFormat="false" ht="15" hidden="false" customHeight="false" outlineLevel="0" collapsed="false">
      <c r="C3150" s="41" t="str">
        <f aca="false">IF(A3150="","",TEXT(A3150,"mmm-yyyy"))</f>
        <v/>
      </c>
      <c r="I3150" s="47" t="str">
        <f aca="false">IF(G3150="","",G3150+H3150)</f>
        <v/>
      </c>
    </row>
    <row r="3151" customFormat="false" ht="15" hidden="false" customHeight="false" outlineLevel="0" collapsed="false">
      <c r="C3151" s="41" t="str">
        <f aca="false">IF(A3151="","",TEXT(A3151,"mmm-yyyy"))</f>
        <v/>
      </c>
      <c r="I3151" s="47" t="str">
        <f aca="false">IF(G3151="","",G3151+H3151)</f>
        <v/>
      </c>
    </row>
    <row r="3152" customFormat="false" ht="15" hidden="false" customHeight="false" outlineLevel="0" collapsed="false">
      <c r="C3152" s="41" t="str">
        <f aca="false">IF(A3152="","",TEXT(A3152,"mmm-yyyy"))</f>
        <v/>
      </c>
      <c r="I3152" s="47" t="str">
        <f aca="false">IF(G3152="","",G3152+H3152)</f>
        <v/>
      </c>
    </row>
    <row r="3153" customFormat="false" ht="15" hidden="false" customHeight="false" outlineLevel="0" collapsed="false">
      <c r="C3153" s="41" t="str">
        <f aca="false">IF(A3153="","",TEXT(A3153,"mmm-yyyy"))</f>
        <v/>
      </c>
      <c r="I3153" s="47" t="str">
        <f aca="false">IF(G3153="","",G3153+H3153)</f>
        <v/>
      </c>
    </row>
    <row r="3154" customFormat="false" ht="15" hidden="false" customHeight="false" outlineLevel="0" collapsed="false">
      <c r="C3154" s="41" t="str">
        <f aca="false">IF(A3154="","",TEXT(A3154,"mmm-yyyy"))</f>
        <v/>
      </c>
      <c r="I3154" s="47" t="str">
        <f aca="false">IF(G3154="","",G3154+H3154)</f>
        <v/>
      </c>
    </row>
    <row r="3155" customFormat="false" ht="15" hidden="false" customHeight="false" outlineLevel="0" collapsed="false">
      <c r="C3155" s="41" t="str">
        <f aca="false">IF(A3155="","",TEXT(A3155,"mmm-yyyy"))</f>
        <v/>
      </c>
      <c r="I3155" s="47" t="str">
        <f aca="false">IF(G3155="","",G3155+H3155)</f>
        <v/>
      </c>
    </row>
    <row r="3156" customFormat="false" ht="15" hidden="false" customHeight="false" outlineLevel="0" collapsed="false">
      <c r="C3156" s="41" t="str">
        <f aca="false">IF(A3156="","",TEXT(A3156,"mmm-yyyy"))</f>
        <v/>
      </c>
      <c r="I3156" s="47" t="str">
        <f aca="false">IF(G3156="","",G3156+H3156)</f>
        <v/>
      </c>
    </row>
    <row r="3157" customFormat="false" ht="15" hidden="false" customHeight="false" outlineLevel="0" collapsed="false">
      <c r="C3157" s="41" t="str">
        <f aca="false">IF(A3157="","",TEXT(A3157,"mmm-yyyy"))</f>
        <v/>
      </c>
      <c r="I3157" s="47" t="str">
        <f aca="false">IF(G3157="","",G3157+H3157)</f>
        <v/>
      </c>
    </row>
    <row r="3158" customFormat="false" ht="15" hidden="false" customHeight="false" outlineLevel="0" collapsed="false">
      <c r="C3158" s="41" t="str">
        <f aca="false">IF(A3158="","",TEXT(A3158,"mmm-yyyy"))</f>
        <v/>
      </c>
      <c r="I3158" s="47" t="str">
        <f aca="false">IF(G3158="","",G3158+H3158)</f>
        <v/>
      </c>
    </row>
    <row r="3159" customFormat="false" ht="15" hidden="false" customHeight="false" outlineLevel="0" collapsed="false">
      <c r="C3159" s="41" t="str">
        <f aca="false">IF(A3159="","",TEXT(A3159,"mmm-yyyy"))</f>
        <v/>
      </c>
      <c r="I3159" s="47" t="str">
        <f aca="false">IF(G3159="","",G3159+H3159)</f>
        <v/>
      </c>
    </row>
    <row r="3160" customFormat="false" ht="15" hidden="false" customHeight="false" outlineLevel="0" collapsed="false">
      <c r="C3160" s="41" t="str">
        <f aca="false">IF(A3160="","",TEXT(A3160,"mmm-yyyy"))</f>
        <v/>
      </c>
      <c r="I3160" s="47" t="str">
        <f aca="false">IF(G3160="","",G3160+H3160)</f>
        <v/>
      </c>
    </row>
    <row r="3161" customFormat="false" ht="15" hidden="false" customHeight="false" outlineLevel="0" collapsed="false">
      <c r="C3161" s="41" t="str">
        <f aca="false">IF(A3161="","",TEXT(A3161,"mmm-yyyy"))</f>
        <v/>
      </c>
      <c r="I3161" s="47" t="str">
        <f aca="false">IF(G3161="","",G3161+H3161)</f>
        <v/>
      </c>
    </row>
    <row r="3162" customFormat="false" ht="15" hidden="false" customHeight="false" outlineLevel="0" collapsed="false">
      <c r="C3162" s="41" t="str">
        <f aca="false">IF(A3162="","",TEXT(A3162,"mmm-yyyy"))</f>
        <v/>
      </c>
      <c r="I3162" s="47" t="str">
        <f aca="false">IF(G3162="","",G3162+H3162)</f>
        <v/>
      </c>
    </row>
    <row r="3163" customFormat="false" ht="15" hidden="false" customHeight="false" outlineLevel="0" collapsed="false">
      <c r="C3163" s="41" t="str">
        <f aca="false">IF(A3163="","",TEXT(A3163,"mmm-yyyy"))</f>
        <v/>
      </c>
      <c r="I3163" s="47" t="str">
        <f aca="false">IF(G3163="","",G3163+H3163)</f>
        <v/>
      </c>
    </row>
    <row r="3164" customFormat="false" ht="15" hidden="false" customHeight="false" outlineLevel="0" collapsed="false">
      <c r="C3164" s="41" t="str">
        <f aca="false">IF(A3164="","",TEXT(A3164,"mmm-yyyy"))</f>
        <v/>
      </c>
      <c r="I3164" s="47" t="str">
        <f aca="false">IF(G3164="","",G3164+H3164)</f>
        <v/>
      </c>
    </row>
    <row r="3165" customFormat="false" ht="15" hidden="false" customHeight="false" outlineLevel="0" collapsed="false">
      <c r="C3165" s="41" t="str">
        <f aca="false">IF(A3165="","",TEXT(A3165,"mmm-yyyy"))</f>
        <v/>
      </c>
      <c r="I3165" s="47" t="str">
        <f aca="false">IF(G3165="","",G3165+H3165)</f>
        <v/>
      </c>
    </row>
    <row r="3166" customFormat="false" ht="15" hidden="false" customHeight="false" outlineLevel="0" collapsed="false">
      <c r="C3166" s="41" t="str">
        <f aca="false">IF(A3166="","",TEXT(A3166,"mmm-yyyy"))</f>
        <v/>
      </c>
      <c r="I3166" s="47" t="str">
        <f aca="false">IF(G3166="","",G3166+H3166)</f>
        <v/>
      </c>
    </row>
    <row r="3167" customFormat="false" ht="15" hidden="false" customHeight="false" outlineLevel="0" collapsed="false">
      <c r="C3167" s="41" t="str">
        <f aca="false">IF(A3167="","",TEXT(A3167,"mmm-yyyy"))</f>
        <v/>
      </c>
      <c r="I3167" s="47" t="str">
        <f aca="false">IF(G3167="","",G3167+H3167)</f>
        <v/>
      </c>
    </row>
    <row r="3168" customFormat="false" ht="15" hidden="false" customHeight="false" outlineLevel="0" collapsed="false">
      <c r="C3168" s="41" t="str">
        <f aca="false">IF(A3168="","",TEXT(A3168,"mmm-yyyy"))</f>
        <v/>
      </c>
      <c r="I3168" s="47" t="str">
        <f aca="false">IF(G3168="","",G3168+H3168)</f>
        <v/>
      </c>
    </row>
    <row r="3169" customFormat="false" ht="15" hidden="false" customHeight="false" outlineLevel="0" collapsed="false">
      <c r="C3169" s="41" t="str">
        <f aca="false">IF(A3169="","",TEXT(A3169,"mmm-yyyy"))</f>
        <v/>
      </c>
      <c r="I3169" s="47" t="str">
        <f aca="false">IF(G3169="","",G3169+H3169)</f>
        <v/>
      </c>
    </row>
    <row r="3170" customFormat="false" ht="15" hidden="false" customHeight="false" outlineLevel="0" collapsed="false">
      <c r="C3170" s="41" t="str">
        <f aca="false">IF(A3170="","",TEXT(A3170,"mmm-yyyy"))</f>
        <v/>
      </c>
      <c r="I3170" s="47" t="str">
        <f aca="false">IF(G3170="","",G3170+H3170)</f>
        <v/>
      </c>
    </row>
    <row r="3171" customFormat="false" ht="15" hidden="false" customHeight="false" outlineLevel="0" collapsed="false">
      <c r="C3171" s="41" t="str">
        <f aca="false">IF(A3171="","",TEXT(A3171,"mmm-yyyy"))</f>
        <v/>
      </c>
      <c r="I3171" s="47" t="str">
        <f aca="false">IF(G3171="","",G3171+H3171)</f>
        <v/>
      </c>
    </row>
    <row r="3172" customFormat="false" ht="15" hidden="false" customHeight="false" outlineLevel="0" collapsed="false">
      <c r="C3172" s="41" t="str">
        <f aca="false">IF(A3172="","",TEXT(A3172,"mmm-yyyy"))</f>
        <v/>
      </c>
      <c r="I3172" s="47" t="str">
        <f aca="false">IF(G3172="","",G3172+H3172)</f>
        <v/>
      </c>
    </row>
    <row r="3173" customFormat="false" ht="15" hidden="false" customHeight="false" outlineLevel="0" collapsed="false">
      <c r="C3173" s="41" t="str">
        <f aca="false">IF(A3173="","",TEXT(A3173,"mmm-yyyy"))</f>
        <v/>
      </c>
      <c r="I3173" s="47" t="str">
        <f aca="false">IF(G3173="","",G3173+H3173)</f>
        <v/>
      </c>
    </row>
    <row r="3174" customFormat="false" ht="15" hidden="false" customHeight="false" outlineLevel="0" collapsed="false">
      <c r="C3174" s="41" t="str">
        <f aca="false">IF(A3174="","",TEXT(A3174,"mmm-yyyy"))</f>
        <v/>
      </c>
      <c r="I3174" s="47" t="str">
        <f aca="false">IF(G3174="","",G3174+H3174)</f>
        <v/>
      </c>
    </row>
    <row r="3175" customFormat="false" ht="15" hidden="false" customHeight="false" outlineLevel="0" collapsed="false">
      <c r="C3175" s="41" t="str">
        <f aca="false">IF(A3175="","",TEXT(A3175,"mmm-yyyy"))</f>
        <v/>
      </c>
      <c r="I3175" s="47" t="str">
        <f aca="false">IF(G3175="","",G3175+H3175)</f>
        <v/>
      </c>
    </row>
    <row r="3176" customFormat="false" ht="15" hidden="false" customHeight="false" outlineLevel="0" collapsed="false">
      <c r="C3176" s="41" t="str">
        <f aca="false">IF(A3176="","",TEXT(A3176,"mmm-yyyy"))</f>
        <v/>
      </c>
      <c r="I3176" s="47" t="str">
        <f aca="false">IF(G3176="","",G3176+H3176)</f>
        <v/>
      </c>
    </row>
    <row r="3177" customFormat="false" ht="15" hidden="false" customHeight="false" outlineLevel="0" collapsed="false">
      <c r="C3177" s="41" t="str">
        <f aca="false">IF(A3177="","",TEXT(A3177,"mmm-yyyy"))</f>
        <v/>
      </c>
      <c r="I3177" s="47" t="str">
        <f aca="false">IF(G3177="","",G3177+H3177)</f>
        <v/>
      </c>
    </row>
    <row r="3178" customFormat="false" ht="15" hidden="false" customHeight="false" outlineLevel="0" collapsed="false">
      <c r="C3178" s="41" t="str">
        <f aca="false">IF(A3178="","",TEXT(A3178,"mmm-yyyy"))</f>
        <v/>
      </c>
      <c r="I3178" s="47" t="str">
        <f aca="false">IF(G3178="","",G3178+H3178)</f>
        <v/>
      </c>
    </row>
    <row r="3179" customFormat="false" ht="15" hidden="false" customHeight="false" outlineLevel="0" collapsed="false">
      <c r="C3179" s="41" t="str">
        <f aca="false">IF(A3179="","",TEXT(A3179,"mmm-yyyy"))</f>
        <v/>
      </c>
      <c r="I3179" s="47" t="str">
        <f aca="false">IF(G3179="","",G3179+H3179)</f>
        <v/>
      </c>
    </row>
    <row r="3180" customFormat="false" ht="15" hidden="false" customHeight="false" outlineLevel="0" collapsed="false">
      <c r="C3180" s="41" t="str">
        <f aca="false">IF(A3180="","",TEXT(A3180,"mmm-yyyy"))</f>
        <v/>
      </c>
      <c r="I3180" s="47" t="str">
        <f aca="false">IF(G3180="","",G3180+H3180)</f>
        <v/>
      </c>
    </row>
    <row r="3181" customFormat="false" ht="15" hidden="false" customHeight="false" outlineLevel="0" collapsed="false">
      <c r="C3181" s="41" t="str">
        <f aca="false">IF(A3181="","",TEXT(A3181,"mmm-yyyy"))</f>
        <v/>
      </c>
      <c r="I3181" s="47" t="str">
        <f aca="false">IF(G3181="","",G3181+H3181)</f>
        <v/>
      </c>
    </row>
    <row r="3182" customFormat="false" ht="15" hidden="false" customHeight="false" outlineLevel="0" collapsed="false">
      <c r="C3182" s="41" t="str">
        <f aca="false">IF(A3182="","",TEXT(A3182,"mmm-yyyy"))</f>
        <v/>
      </c>
      <c r="I3182" s="47" t="str">
        <f aca="false">IF(G3182="","",G3182+H3182)</f>
        <v/>
      </c>
    </row>
    <row r="3183" customFormat="false" ht="15" hidden="false" customHeight="false" outlineLevel="0" collapsed="false">
      <c r="C3183" s="41" t="str">
        <f aca="false">IF(A3183="","",TEXT(A3183,"mmm-yyyy"))</f>
        <v/>
      </c>
      <c r="I3183" s="47" t="str">
        <f aca="false">IF(G3183="","",G3183+H3183)</f>
        <v/>
      </c>
    </row>
    <row r="3184" customFormat="false" ht="15" hidden="false" customHeight="false" outlineLevel="0" collapsed="false">
      <c r="C3184" s="41" t="str">
        <f aca="false">IF(A3184="","",TEXT(A3184,"mmm-yyyy"))</f>
        <v/>
      </c>
      <c r="I3184" s="47" t="str">
        <f aca="false">IF(G3184="","",G3184+H3184)</f>
        <v/>
      </c>
    </row>
    <row r="3185" customFormat="false" ht="15" hidden="false" customHeight="false" outlineLevel="0" collapsed="false">
      <c r="C3185" s="41" t="str">
        <f aca="false">IF(A3185="","",TEXT(A3185,"mmm-yyyy"))</f>
        <v/>
      </c>
      <c r="I3185" s="47" t="str">
        <f aca="false">IF(G3185="","",G3185+H3185)</f>
        <v/>
      </c>
    </row>
    <row r="3186" customFormat="false" ht="15" hidden="false" customHeight="false" outlineLevel="0" collapsed="false">
      <c r="C3186" s="41" t="str">
        <f aca="false">IF(A3186="","",TEXT(A3186,"mmm-yyyy"))</f>
        <v/>
      </c>
      <c r="I3186" s="47" t="str">
        <f aca="false">IF(G3186="","",G3186+H3186)</f>
        <v/>
      </c>
    </row>
    <row r="3187" customFormat="false" ht="15" hidden="false" customHeight="false" outlineLevel="0" collapsed="false">
      <c r="C3187" s="41" t="str">
        <f aca="false">IF(A3187="","",TEXT(A3187,"mmm-yyyy"))</f>
        <v/>
      </c>
      <c r="I3187" s="47" t="str">
        <f aca="false">IF(G3187="","",G3187+H3187)</f>
        <v/>
      </c>
    </row>
    <row r="3188" customFormat="false" ht="15" hidden="false" customHeight="false" outlineLevel="0" collapsed="false">
      <c r="C3188" s="41" t="str">
        <f aca="false">IF(A3188="","",TEXT(A3188,"mmm-yyyy"))</f>
        <v/>
      </c>
      <c r="I3188" s="47" t="str">
        <f aca="false">IF(G3188="","",G3188+H3188)</f>
        <v/>
      </c>
    </row>
    <row r="3189" customFormat="false" ht="15" hidden="false" customHeight="false" outlineLevel="0" collapsed="false">
      <c r="C3189" s="41" t="str">
        <f aca="false">IF(A3189="","",TEXT(A3189,"mmm-yyyy"))</f>
        <v/>
      </c>
      <c r="I3189" s="47" t="str">
        <f aca="false">IF(G3189="","",G3189+H3189)</f>
        <v/>
      </c>
    </row>
    <row r="3190" customFormat="false" ht="15" hidden="false" customHeight="false" outlineLevel="0" collapsed="false">
      <c r="C3190" s="41" t="str">
        <f aca="false">IF(A3190="","",TEXT(A3190,"mmm-yyyy"))</f>
        <v/>
      </c>
      <c r="I3190" s="47" t="str">
        <f aca="false">IF(G3190="","",G3190+H3190)</f>
        <v/>
      </c>
    </row>
    <row r="3191" customFormat="false" ht="15" hidden="false" customHeight="false" outlineLevel="0" collapsed="false">
      <c r="C3191" s="41" t="str">
        <f aca="false">IF(A3191="","",TEXT(A3191,"mmm-yyyy"))</f>
        <v/>
      </c>
      <c r="I3191" s="47" t="str">
        <f aca="false">IF(G3191="","",G3191+H3191)</f>
        <v/>
      </c>
    </row>
    <row r="3192" customFormat="false" ht="15" hidden="false" customHeight="false" outlineLevel="0" collapsed="false">
      <c r="C3192" s="41" t="str">
        <f aca="false">IF(A3192="","",TEXT(A3192,"mmm-yyyy"))</f>
        <v/>
      </c>
      <c r="I3192" s="47" t="str">
        <f aca="false">IF(G3192="","",G3192+H3192)</f>
        <v/>
      </c>
    </row>
    <row r="3193" customFormat="false" ht="15" hidden="false" customHeight="false" outlineLevel="0" collapsed="false">
      <c r="C3193" s="41" t="str">
        <f aca="false">IF(A3193="","",TEXT(A3193,"mmm-yyyy"))</f>
        <v/>
      </c>
      <c r="I3193" s="47" t="str">
        <f aca="false">IF(G3193="","",G3193+H3193)</f>
        <v/>
      </c>
    </row>
    <row r="3194" customFormat="false" ht="15" hidden="false" customHeight="false" outlineLevel="0" collapsed="false">
      <c r="C3194" s="41" t="str">
        <f aca="false">IF(A3194="","",TEXT(A3194,"mmm-yyyy"))</f>
        <v/>
      </c>
      <c r="I3194" s="47" t="str">
        <f aca="false">IF(G3194="","",G3194+H3194)</f>
        <v/>
      </c>
    </row>
    <row r="3195" customFormat="false" ht="15" hidden="false" customHeight="false" outlineLevel="0" collapsed="false">
      <c r="C3195" s="41" t="str">
        <f aca="false">IF(A3195="","",TEXT(A3195,"mmm-yyyy"))</f>
        <v/>
      </c>
      <c r="I3195" s="47" t="str">
        <f aca="false">IF(G3195="","",G3195+H3195)</f>
        <v/>
      </c>
    </row>
    <row r="3196" customFormat="false" ht="15" hidden="false" customHeight="false" outlineLevel="0" collapsed="false">
      <c r="C3196" s="41" t="str">
        <f aca="false">IF(A3196="","",TEXT(A3196,"mmm-yyyy"))</f>
        <v/>
      </c>
      <c r="I3196" s="47" t="str">
        <f aca="false">IF(G3196="","",G3196+H3196)</f>
        <v/>
      </c>
    </row>
    <row r="3197" customFormat="false" ht="15" hidden="false" customHeight="false" outlineLevel="0" collapsed="false">
      <c r="C3197" s="41" t="str">
        <f aca="false">IF(A3197="","",TEXT(A3197,"mmm-yyyy"))</f>
        <v/>
      </c>
      <c r="I3197" s="47" t="str">
        <f aca="false">IF(G3197="","",G3197+H3197)</f>
        <v/>
      </c>
    </row>
    <row r="3198" customFormat="false" ht="15" hidden="false" customHeight="false" outlineLevel="0" collapsed="false">
      <c r="C3198" s="41" t="str">
        <f aca="false">IF(A3198="","",TEXT(A3198,"mmm-yyyy"))</f>
        <v/>
      </c>
      <c r="I3198" s="47" t="str">
        <f aca="false">IF(G3198="","",G3198+H3198)</f>
        <v/>
      </c>
    </row>
    <row r="3199" customFormat="false" ht="15" hidden="false" customHeight="false" outlineLevel="0" collapsed="false">
      <c r="C3199" s="41" t="str">
        <f aca="false">IF(A3199="","",TEXT(A3199,"mmm-yyyy"))</f>
        <v/>
      </c>
      <c r="I3199" s="47" t="str">
        <f aca="false">IF(G3199="","",G3199+H3199)</f>
        <v/>
      </c>
    </row>
    <row r="3200" customFormat="false" ht="15" hidden="false" customHeight="false" outlineLevel="0" collapsed="false">
      <c r="C3200" s="41" t="str">
        <f aca="false">IF(A3200="","",TEXT(A3200,"mmm-yyyy"))</f>
        <v/>
      </c>
      <c r="I3200" s="47" t="str">
        <f aca="false">IF(G3200="","",G3200+H3200)</f>
        <v/>
      </c>
    </row>
    <row r="3201" customFormat="false" ht="15" hidden="false" customHeight="false" outlineLevel="0" collapsed="false">
      <c r="C3201" s="41" t="str">
        <f aca="false">IF(A3201="","",TEXT(A3201,"mmm-yyyy"))</f>
        <v/>
      </c>
      <c r="I3201" s="47" t="str">
        <f aca="false">IF(G3201="","",G3201+H3201)</f>
        <v/>
      </c>
    </row>
    <row r="3202" customFormat="false" ht="15" hidden="false" customHeight="false" outlineLevel="0" collapsed="false">
      <c r="C3202" s="41" t="str">
        <f aca="false">IF(A3202="","",TEXT(A3202,"mmm-yyyy"))</f>
        <v/>
      </c>
      <c r="I3202" s="47" t="str">
        <f aca="false">IF(G3202="","",G3202+H3202)</f>
        <v/>
      </c>
    </row>
    <row r="3203" customFormat="false" ht="15" hidden="false" customHeight="false" outlineLevel="0" collapsed="false">
      <c r="C3203" s="41" t="str">
        <f aca="false">IF(A3203="","",TEXT(A3203,"mmm-yyyy"))</f>
        <v/>
      </c>
      <c r="I3203" s="47" t="str">
        <f aca="false">IF(G3203="","",G3203+H3203)</f>
        <v/>
      </c>
    </row>
    <row r="3204" customFormat="false" ht="15" hidden="false" customHeight="false" outlineLevel="0" collapsed="false">
      <c r="C3204" s="41" t="str">
        <f aca="false">IF(A3204="","",TEXT(A3204,"mmm-yyyy"))</f>
        <v/>
      </c>
      <c r="I3204" s="47" t="str">
        <f aca="false">IF(G3204="","",G3204+H3204)</f>
        <v/>
      </c>
    </row>
    <row r="3205" customFormat="false" ht="15" hidden="false" customHeight="false" outlineLevel="0" collapsed="false">
      <c r="C3205" s="41" t="str">
        <f aca="false">IF(A3205="","",TEXT(A3205,"mmm-yyyy"))</f>
        <v/>
      </c>
      <c r="I3205" s="47" t="str">
        <f aca="false">IF(G3205="","",G3205+H3205)</f>
        <v/>
      </c>
    </row>
    <row r="3206" customFormat="false" ht="15" hidden="false" customHeight="false" outlineLevel="0" collapsed="false">
      <c r="C3206" s="41" t="str">
        <f aca="false">IF(A3206="","",TEXT(A3206,"mmm-yyyy"))</f>
        <v/>
      </c>
      <c r="I3206" s="47" t="str">
        <f aca="false">IF(G3206="","",G3206+H3206)</f>
        <v/>
      </c>
    </row>
    <row r="3207" customFormat="false" ht="15" hidden="false" customHeight="false" outlineLevel="0" collapsed="false">
      <c r="C3207" s="41" t="str">
        <f aca="false">IF(A3207="","",TEXT(A3207,"mmm-yyyy"))</f>
        <v/>
      </c>
      <c r="I3207" s="47" t="str">
        <f aca="false">IF(G3207="","",G3207+H3207)</f>
        <v/>
      </c>
    </row>
    <row r="3208" customFormat="false" ht="15" hidden="false" customHeight="false" outlineLevel="0" collapsed="false">
      <c r="C3208" s="41" t="str">
        <f aca="false">IF(A3208="","",TEXT(A3208,"mmm-yyyy"))</f>
        <v/>
      </c>
      <c r="I3208" s="47" t="str">
        <f aca="false">IF(G3208="","",G3208+H3208)</f>
        <v/>
      </c>
    </row>
    <row r="3209" customFormat="false" ht="15" hidden="false" customHeight="false" outlineLevel="0" collapsed="false">
      <c r="C3209" s="41" t="str">
        <f aca="false">IF(A3209="","",TEXT(A3209,"mmm-yyyy"))</f>
        <v/>
      </c>
      <c r="I3209" s="47" t="str">
        <f aca="false">IF(G3209="","",G3209+H3209)</f>
        <v/>
      </c>
    </row>
    <row r="3210" customFormat="false" ht="15" hidden="false" customHeight="false" outlineLevel="0" collapsed="false">
      <c r="C3210" s="41" t="str">
        <f aca="false">IF(A3210="","",TEXT(A3210,"mmm-yyyy"))</f>
        <v/>
      </c>
      <c r="I3210" s="47" t="str">
        <f aca="false">IF(G3210="","",G3210+H3210)</f>
        <v/>
      </c>
    </row>
    <row r="3211" customFormat="false" ht="15" hidden="false" customHeight="false" outlineLevel="0" collapsed="false">
      <c r="C3211" s="41" t="str">
        <f aca="false">IF(A3211="","",TEXT(A3211,"mmm-yyyy"))</f>
        <v/>
      </c>
      <c r="I3211" s="47" t="str">
        <f aca="false">IF(G3211="","",G3211+H3211)</f>
        <v/>
      </c>
    </row>
    <row r="3212" customFormat="false" ht="15" hidden="false" customHeight="false" outlineLevel="0" collapsed="false">
      <c r="C3212" s="41" t="str">
        <f aca="false">IF(A3212="","",TEXT(A3212,"mmm-yyyy"))</f>
        <v/>
      </c>
      <c r="I3212" s="47" t="str">
        <f aca="false">IF(G3212="","",G3212+H3212)</f>
        <v/>
      </c>
    </row>
    <row r="3213" customFormat="false" ht="15" hidden="false" customHeight="false" outlineLevel="0" collapsed="false">
      <c r="C3213" s="41" t="str">
        <f aca="false">IF(A3213="","",TEXT(A3213,"mmm-yyyy"))</f>
        <v/>
      </c>
      <c r="I3213" s="47" t="str">
        <f aca="false">IF(G3213="","",G3213+H3213)</f>
        <v/>
      </c>
    </row>
    <row r="3214" customFormat="false" ht="15" hidden="false" customHeight="false" outlineLevel="0" collapsed="false">
      <c r="C3214" s="41" t="str">
        <f aca="false">IF(A3214="","",TEXT(A3214,"mmm-yyyy"))</f>
        <v/>
      </c>
      <c r="I3214" s="47" t="str">
        <f aca="false">IF(G3214="","",G3214+H3214)</f>
        <v/>
      </c>
    </row>
    <row r="3215" customFormat="false" ht="15" hidden="false" customHeight="false" outlineLevel="0" collapsed="false">
      <c r="C3215" s="41" t="str">
        <f aca="false">IF(A3215="","",TEXT(A3215,"mmm-yyyy"))</f>
        <v/>
      </c>
      <c r="I3215" s="47" t="str">
        <f aca="false">IF(G3215="","",G3215+H3215)</f>
        <v/>
      </c>
    </row>
    <row r="3216" customFormat="false" ht="15" hidden="false" customHeight="false" outlineLevel="0" collapsed="false">
      <c r="C3216" s="41" t="str">
        <f aca="false">IF(A3216="","",TEXT(A3216,"mmm-yyyy"))</f>
        <v/>
      </c>
      <c r="I3216" s="47" t="str">
        <f aca="false">IF(G3216="","",G3216+H3216)</f>
        <v/>
      </c>
    </row>
    <row r="3217" customFormat="false" ht="15" hidden="false" customHeight="false" outlineLevel="0" collapsed="false">
      <c r="C3217" s="41" t="str">
        <f aca="false">IF(A3217="","",TEXT(A3217,"mmm-yyyy"))</f>
        <v/>
      </c>
      <c r="I3217" s="47" t="str">
        <f aca="false">IF(G3217="","",G3217+H3217)</f>
        <v/>
      </c>
    </row>
    <row r="3218" customFormat="false" ht="15" hidden="false" customHeight="false" outlineLevel="0" collapsed="false">
      <c r="C3218" s="41" t="str">
        <f aca="false">IF(A3218="","",TEXT(A3218,"mmm-yyyy"))</f>
        <v/>
      </c>
      <c r="I3218" s="47" t="str">
        <f aca="false">IF(G3218="","",G3218+H3218)</f>
        <v/>
      </c>
    </row>
    <row r="3219" customFormat="false" ht="15" hidden="false" customHeight="false" outlineLevel="0" collapsed="false">
      <c r="C3219" s="41" t="str">
        <f aca="false">IF(A3219="","",TEXT(A3219,"mmm-yyyy"))</f>
        <v/>
      </c>
      <c r="I3219" s="47" t="str">
        <f aca="false">IF(G3219="","",G3219+H3219)</f>
        <v/>
      </c>
    </row>
    <row r="3220" customFormat="false" ht="15" hidden="false" customHeight="false" outlineLevel="0" collapsed="false">
      <c r="C3220" s="41" t="str">
        <f aca="false">IF(A3220="","",TEXT(A3220,"mmm-yyyy"))</f>
        <v/>
      </c>
      <c r="I3220" s="47" t="str">
        <f aca="false">IF(G3220="","",G3220+H3220)</f>
        <v/>
      </c>
    </row>
    <row r="3221" customFormat="false" ht="15" hidden="false" customHeight="false" outlineLevel="0" collapsed="false">
      <c r="C3221" s="41" t="str">
        <f aca="false">IF(A3221="","",TEXT(A3221,"mmm-yyyy"))</f>
        <v/>
      </c>
      <c r="I3221" s="47" t="str">
        <f aca="false">IF(G3221="","",G3221+H3221)</f>
        <v/>
      </c>
    </row>
    <row r="3222" customFormat="false" ht="15" hidden="false" customHeight="false" outlineLevel="0" collapsed="false">
      <c r="C3222" s="41" t="str">
        <f aca="false">IF(A3222="","",TEXT(A3222,"mmm-yyyy"))</f>
        <v/>
      </c>
      <c r="I3222" s="47" t="str">
        <f aca="false">IF(G3222="","",G3222+H3222)</f>
        <v/>
      </c>
    </row>
    <row r="3223" customFormat="false" ht="15" hidden="false" customHeight="false" outlineLevel="0" collapsed="false">
      <c r="C3223" s="41" t="str">
        <f aca="false">IF(A3223="","",TEXT(A3223,"mmm-yyyy"))</f>
        <v/>
      </c>
      <c r="I3223" s="47" t="str">
        <f aca="false">IF(G3223="","",G3223+H3223)</f>
        <v/>
      </c>
    </row>
    <row r="3224" customFormat="false" ht="15" hidden="false" customHeight="false" outlineLevel="0" collapsed="false">
      <c r="C3224" s="41" t="str">
        <f aca="false">IF(A3224="","",TEXT(A3224,"mmm-yyyy"))</f>
        <v/>
      </c>
      <c r="I3224" s="47" t="str">
        <f aca="false">IF(G3224="","",G3224+H3224)</f>
        <v/>
      </c>
    </row>
    <row r="3225" customFormat="false" ht="15" hidden="false" customHeight="false" outlineLevel="0" collapsed="false">
      <c r="C3225" s="41" t="str">
        <f aca="false">IF(A3225="","",TEXT(A3225,"mmm-yyyy"))</f>
        <v/>
      </c>
      <c r="I3225" s="47" t="str">
        <f aca="false">IF(G3225="","",G3225+H3225)</f>
        <v/>
      </c>
    </row>
    <row r="3226" customFormat="false" ht="15" hidden="false" customHeight="false" outlineLevel="0" collapsed="false">
      <c r="C3226" s="41" t="str">
        <f aca="false">IF(A3226="","",TEXT(A3226,"mmm-yyyy"))</f>
        <v/>
      </c>
      <c r="I3226" s="47" t="str">
        <f aca="false">IF(G3226="","",G3226+H3226)</f>
        <v/>
      </c>
    </row>
    <row r="3227" customFormat="false" ht="15" hidden="false" customHeight="false" outlineLevel="0" collapsed="false">
      <c r="C3227" s="41" t="str">
        <f aca="false">IF(A3227="","",TEXT(A3227,"mmm-yyyy"))</f>
        <v/>
      </c>
      <c r="I3227" s="47" t="str">
        <f aca="false">IF(G3227="","",G3227+H3227)</f>
        <v/>
      </c>
    </row>
    <row r="3228" customFormat="false" ht="15" hidden="false" customHeight="false" outlineLevel="0" collapsed="false">
      <c r="C3228" s="41" t="str">
        <f aca="false">IF(A3228="","",TEXT(A3228,"mmm-yyyy"))</f>
        <v/>
      </c>
      <c r="I3228" s="47" t="str">
        <f aca="false">IF(G3228="","",G3228+H3228)</f>
        <v/>
      </c>
    </row>
    <row r="3229" customFormat="false" ht="15" hidden="false" customHeight="false" outlineLevel="0" collapsed="false">
      <c r="C3229" s="41" t="str">
        <f aca="false">IF(A3229="","",TEXT(A3229,"mmm-yyyy"))</f>
        <v/>
      </c>
      <c r="I3229" s="47" t="str">
        <f aca="false">IF(G3229="","",G3229+H3229)</f>
        <v/>
      </c>
    </row>
    <row r="3230" customFormat="false" ht="15" hidden="false" customHeight="false" outlineLevel="0" collapsed="false">
      <c r="C3230" s="41" t="str">
        <f aca="false">IF(A3230="","",TEXT(A3230,"mmm-yyyy"))</f>
        <v/>
      </c>
      <c r="I3230" s="47" t="str">
        <f aca="false">IF(G3230="","",G3230+H3230)</f>
        <v/>
      </c>
    </row>
    <row r="3231" customFormat="false" ht="15" hidden="false" customHeight="false" outlineLevel="0" collapsed="false">
      <c r="C3231" s="41" t="str">
        <f aca="false">IF(A3231="","",TEXT(A3231,"mmm-yyyy"))</f>
        <v/>
      </c>
      <c r="I3231" s="47" t="str">
        <f aca="false">IF(G3231="","",G3231+H3231)</f>
        <v/>
      </c>
    </row>
    <row r="3232" customFormat="false" ht="15" hidden="false" customHeight="false" outlineLevel="0" collapsed="false">
      <c r="C3232" s="41" t="str">
        <f aca="false">IF(A3232="","",TEXT(A3232,"mmm-yyyy"))</f>
        <v/>
      </c>
      <c r="I3232" s="47" t="str">
        <f aca="false">IF(G3232="","",G3232+H3232)</f>
        <v/>
      </c>
    </row>
    <row r="3233" customFormat="false" ht="15" hidden="false" customHeight="false" outlineLevel="0" collapsed="false">
      <c r="C3233" s="41" t="str">
        <f aca="false">IF(A3233="","",TEXT(A3233,"mmm-yyyy"))</f>
        <v/>
      </c>
      <c r="I3233" s="47" t="str">
        <f aca="false">IF(G3233="","",G3233+H3233)</f>
        <v/>
      </c>
    </row>
    <row r="3234" customFormat="false" ht="15" hidden="false" customHeight="false" outlineLevel="0" collapsed="false">
      <c r="C3234" s="41" t="str">
        <f aca="false">IF(A3234="","",TEXT(A3234,"mmm-yyyy"))</f>
        <v/>
      </c>
      <c r="I3234" s="47" t="str">
        <f aca="false">IF(G3234="","",G3234+H3234)</f>
        <v/>
      </c>
    </row>
    <row r="3235" customFormat="false" ht="15" hidden="false" customHeight="false" outlineLevel="0" collapsed="false">
      <c r="C3235" s="41" t="str">
        <f aca="false">IF(A3235="","",TEXT(A3235,"mmm-yyyy"))</f>
        <v/>
      </c>
      <c r="I3235" s="47" t="str">
        <f aca="false">IF(G3235="","",G3235+H3235)</f>
        <v/>
      </c>
    </row>
    <row r="3236" customFormat="false" ht="15" hidden="false" customHeight="false" outlineLevel="0" collapsed="false">
      <c r="C3236" s="41" t="str">
        <f aca="false">IF(A3236="","",TEXT(A3236,"mmm-yyyy"))</f>
        <v/>
      </c>
      <c r="I3236" s="47" t="str">
        <f aca="false">IF(G3236="","",G3236+H3236)</f>
        <v/>
      </c>
    </row>
    <row r="3237" customFormat="false" ht="15" hidden="false" customHeight="false" outlineLevel="0" collapsed="false">
      <c r="C3237" s="41" t="str">
        <f aca="false">IF(A3237="","",TEXT(A3237,"mmm-yyyy"))</f>
        <v/>
      </c>
      <c r="I3237" s="47" t="str">
        <f aca="false">IF(G3237="","",G3237+H3237)</f>
        <v/>
      </c>
    </row>
    <row r="3238" customFormat="false" ht="15" hidden="false" customHeight="false" outlineLevel="0" collapsed="false">
      <c r="C3238" s="41" t="str">
        <f aca="false">IF(A3238="","",TEXT(A3238,"mmm-yyyy"))</f>
        <v/>
      </c>
      <c r="I3238" s="47" t="str">
        <f aca="false">IF(G3238="","",G3238+H3238)</f>
        <v/>
      </c>
    </row>
    <row r="3239" customFormat="false" ht="15" hidden="false" customHeight="false" outlineLevel="0" collapsed="false">
      <c r="C3239" s="41" t="str">
        <f aca="false">IF(A3239="","",TEXT(A3239,"mmm-yyyy"))</f>
        <v/>
      </c>
      <c r="I3239" s="47" t="str">
        <f aca="false">IF(G3239="","",G3239+H3239)</f>
        <v/>
      </c>
    </row>
    <row r="3240" customFormat="false" ht="15" hidden="false" customHeight="false" outlineLevel="0" collapsed="false">
      <c r="C3240" s="41" t="str">
        <f aca="false">IF(A3240="","",TEXT(A3240,"mmm-yyyy"))</f>
        <v/>
      </c>
      <c r="I3240" s="47" t="str">
        <f aca="false">IF(G3240="","",G3240+H3240)</f>
        <v/>
      </c>
    </row>
    <row r="3241" customFormat="false" ht="15" hidden="false" customHeight="false" outlineLevel="0" collapsed="false">
      <c r="C3241" s="41" t="str">
        <f aca="false">IF(A3241="","",TEXT(A3241,"mmm-yyyy"))</f>
        <v/>
      </c>
      <c r="I3241" s="47" t="str">
        <f aca="false">IF(G3241="","",G3241+H3241)</f>
        <v/>
      </c>
    </row>
    <row r="3242" customFormat="false" ht="15" hidden="false" customHeight="false" outlineLevel="0" collapsed="false">
      <c r="C3242" s="41" t="str">
        <f aca="false">IF(A3242="","",TEXT(A3242,"mmm-yyyy"))</f>
        <v/>
      </c>
      <c r="I3242" s="47" t="str">
        <f aca="false">IF(G3242="","",G3242+H3242)</f>
        <v/>
      </c>
    </row>
    <row r="3243" customFormat="false" ht="15" hidden="false" customHeight="false" outlineLevel="0" collapsed="false">
      <c r="C3243" s="41" t="str">
        <f aca="false">IF(A3243="","",TEXT(A3243,"mmm-yyyy"))</f>
        <v/>
      </c>
      <c r="I3243" s="47" t="str">
        <f aca="false">IF(G3243="","",G3243+H3243)</f>
        <v/>
      </c>
    </row>
    <row r="3244" customFormat="false" ht="15" hidden="false" customHeight="false" outlineLevel="0" collapsed="false">
      <c r="C3244" s="41" t="str">
        <f aca="false">IF(A3244="","",TEXT(A3244,"mmm-yyyy"))</f>
        <v/>
      </c>
      <c r="I3244" s="47" t="str">
        <f aca="false">IF(G3244="","",G3244+H3244)</f>
        <v/>
      </c>
    </row>
    <row r="3245" customFormat="false" ht="15" hidden="false" customHeight="false" outlineLevel="0" collapsed="false">
      <c r="C3245" s="41" t="str">
        <f aca="false">IF(A3245="","",TEXT(A3245,"mmm-yyyy"))</f>
        <v/>
      </c>
      <c r="I3245" s="47" t="str">
        <f aca="false">IF(G3245="","",G3245+H3245)</f>
        <v/>
      </c>
    </row>
    <row r="3246" customFormat="false" ht="15" hidden="false" customHeight="false" outlineLevel="0" collapsed="false">
      <c r="C3246" s="41" t="str">
        <f aca="false">IF(A3246="","",TEXT(A3246,"mmm-yyyy"))</f>
        <v/>
      </c>
      <c r="I3246" s="47" t="str">
        <f aca="false">IF(G3246="","",G3246+H3246)</f>
        <v/>
      </c>
    </row>
    <row r="3247" customFormat="false" ht="15" hidden="false" customHeight="false" outlineLevel="0" collapsed="false">
      <c r="C3247" s="41" t="str">
        <f aca="false">IF(A3247="","",TEXT(A3247,"mmm-yyyy"))</f>
        <v/>
      </c>
      <c r="I3247" s="47" t="str">
        <f aca="false">IF(G3247="","",G3247+H3247)</f>
        <v/>
      </c>
    </row>
    <row r="3248" customFormat="false" ht="15" hidden="false" customHeight="false" outlineLevel="0" collapsed="false">
      <c r="C3248" s="41" t="str">
        <f aca="false">IF(A3248="","",TEXT(A3248,"mmm-yyyy"))</f>
        <v/>
      </c>
      <c r="I3248" s="47" t="str">
        <f aca="false">IF(G3248="","",G3248+H3248)</f>
        <v/>
      </c>
    </row>
    <row r="3249" customFormat="false" ht="15" hidden="false" customHeight="false" outlineLevel="0" collapsed="false">
      <c r="C3249" s="41" t="str">
        <f aca="false">IF(A3249="","",TEXT(A3249,"mmm-yyyy"))</f>
        <v/>
      </c>
      <c r="I3249" s="47" t="str">
        <f aca="false">IF(G3249="","",G3249+H3249)</f>
        <v/>
      </c>
    </row>
    <row r="3250" customFormat="false" ht="15" hidden="false" customHeight="false" outlineLevel="0" collapsed="false">
      <c r="C3250" s="41" t="str">
        <f aca="false">IF(A3250="","",TEXT(A3250,"mmm-yyyy"))</f>
        <v/>
      </c>
      <c r="I3250" s="47" t="str">
        <f aca="false">IF(G3250="","",G3250+H3250)</f>
        <v/>
      </c>
    </row>
    <row r="3251" customFormat="false" ht="15" hidden="false" customHeight="false" outlineLevel="0" collapsed="false">
      <c r="C3251" s="41" t="str">
        <f aca="false">IF(A3251="","",TEXT(A3251,"mmm-yyyy"))</f>
        <v/>
      </c>
      <c r="I3251" s="47" t="str">
        <f aca="false">IF(G3251="","",G3251+H3251)</f>
        <v/>
      </c>
    </row>
    <row r="3252" customFormat="false" ht="15" hidden="false" customHeight="false" outlineLevel="0" collapsed="false">
      <c r="C3252" s="41" t="str">
        <f aca="false">IF(A3252="","",TEXT(A3252,"mmm-yyyy"))</f>
        <v/>
      </c>
      <c r="I3252" s="47" t="str">
        <f aca="false">IF(G3252="","",G3252+H3252)</f>
        <v/>
      </c>
    </row>
    <row r="3253" customFormat="false" ht="15" hidden="false" customHeight="false" outlineLevel="0" collapsed="false">
      <c r="C3253" s="41" t="str">
        <f aca="false">IF(A3253="","",TEXT(A3253,"mmm-yyyy"))</f>
        <v/>
      </c>
      <c r="I3253" s="47" t="str">
        <f aca="false">IF(G3253="","",G3253+H3253)</f>
        <v/>
      </c>
    </row>
    <row r="3254" customFormat="false" ht="15" hidden="false" customHeight="false" outlineLevel="0" collapsed="false">
      <c r="C3254" s="41" t="str">
        <f aca="false">IF(A3254="","",TEXT(A3254,"mmm-yyyy"))</f>
        <v/>
      </c>
      <c r="I3254" s="47" t="str">
        <f aca="false">IF(G3254="","",G3254+H3254)</f>
        <v/>
      </c>
    </row>
    <row r="3255" customFormat="false" ht="15" hidden="false" customHeight="false" outlineLevel="0" collapsed="false">
      <c r="C3255" s="41" t="str">
        <f aca="false">IF(A3255="","",TEXT(A3255,"mmm-yyyy"))</f>
        <v/>
      </c>
      <c r="I3255" s="47" t="str">
        <f aca="false">IF(G3255="","",G3255+H3255)</f>
        <v/>
      </c>
    </row>
    <row r="3256" customFormat="false" ht="15" hidden="false" customHeight="false" outlineLevel="0" collapsed="false">
      <c r="C3256" s="41" t="str">
        <f aca="false">IF(A3256="","",TEXT(A3256,"mmm-yyyy"))</f>
        <v/>
      </c>
      <c r="I3256" s="47" t="str">
        <f aca="false">IF(G3256="","",G3256+H3256)</f>
        <v/>
      </c>
    </row>
    <row r="3257" customFormat="false" ht="15" hidden="false" customHeight="false" outlineLevel="0" collapsed="false">
      <c r="C3257" s="41" t="str">
        <f aca="false">IF(A3257="","",TEXT(A3257,"mmm-yyyy"))</f>
        <v/>
      </c>
      <c r="I3257" s="47" t="str">
        <f aca="false">IF(G3257="","",G3257+H3257)</f>
        <v/>
      </c>
    </row>
    <row r="3258" customFormat="false" ht="15" hidden="false" customHeight="false" outlineLevel="0" collapsed="false">
      <c r="C3258" s="41" t="str">
        <f aca="false">IF(A3258="","",TEXT(A3258,"mmm-yyyy"))</f>
        <v/>
      </c>
      <c r="I3258" s="47" t="str">
        <f aca="false">IF(G3258="","",G3258+H3258)</f>
        <v/>
      </c>
    </row>
    <row r="3259" customFormat="false" ht="15" hidden="false" customHeight="false" outlineLevel="0" collapsed="false">
      <c r="C3259" s="41" t="str">
        <f aca="false">IF(A3259="","",TEXT(A3259,"mmm-yyyy"))</f>
        <v/>
      </c>
      <c r="I3259" s="47" t="str">
        <f aca="false">IF(G3259="","",G3259+H3259)</f>
        <v/>
      </c>
    </row>
    <row r="3260" customFormat="false" ht="15" hidden="false" customHeight="false" outlineLevel="0" collapsed="false">
      <c r="C3260" s="41" t="str">
        <f aca="false">IF(A3260="","",TEXT(A3260,"mmm-yyyy"))</f>
        <v/>
      </c>
      <c r="I3260" s="47" t="str">
        <f aca="false">IF(G3260="","",G3260+H3260)</f>
        <v/>
      </c>
    </row>
    <row r="3261" customFormat="false" ht="15" hidden="false" customHeight="false" outlineLevel="0" collapsed="false">
      <c r="C3261" s="41" t="str">
        <f aca="false">IF(A3261="","",TEXT(A3261,"mmm-yyyy"))</f>
        <v/>
      </c>
      <c r="I3261" s="47" t="str">
        <f aca="false">IF(G3261="","",G3261+H3261)</f>
        <v/>
      </c>
    </row>
    <row r="3262" customFormat="false" ht="15" hidden="false" customHeight="false" outlineLevel="0" collapsed="false">
      <c r="C3262" s="41" t="str">
        <f aca="false">IF(A3262="","",TEXT(A3262,"mmm-yyyy"))</f>
        <v/>
      </c>
      <c r="I3262" s="47" t="str">
        <f aca="false">IF(G3262="","",G3262+H3262)</f>
        <v/>
      </c>
    </row>
    <row r="3263" customFormat="false" ht="15" hidden="false" customHeight="false" outlineLevel="0" collapsed="false">
      <c r="C3263" s="41" t="str">
        <f aca="false">IF(A3263="","",TEXT(A3263,"mmm-yyyy"))</f>
        <v/>
      </c>
      <c r="I3263" s="47" t="str">
        <f aca="false">IF(G3263="","",G3263+H3263)</f>
        <v/>
      </c>
    </row>
    <row r="3264" customFormat="false" ht="15" hidden="false" customHeight="false" outlineLevel="0" collapsed="false">
      <c r="C3264" s="41" t="str">
        <f aca="false">IF(A3264="","",TEXT(A3264,"mmm-yyyy"))</f>
        <v/>
      </c>
      <c r="I3264" s="47" t="str">
        <f aca="false">IF(G3264="","",G3264+H3264)</f>
        <v/>
      </c>
    </row>
    <row r="3265" customFormat="false" ht="15" hidden="false" customHeight="false" outlineLevel="0" collapsed="false">
      <c r="C3265" s="41" t="str">
        <f aca="false">IF(A3265="","",TEXT(A3265,"mmm-yyyy"))</f>
        <v/>
      </c>
      <c r="I3265" s="47" t="str">
        <f aca="false">IF(G3265="","",G3265+H3265)</f>
        <v/>
      </c>
    </row>
    <row r="3266" customFormat="false" ht="15" hidden="false" customHeight="false" outlineLevel="0" collapsed="false">
      <c r="C3266" s="41" t="str">
        <f aca="false">IF(A3266="","",TEXT(A3266,"mmm-yyyy"))</f>
        <v/>
      </c>
      <c r="I3266" s="47" t="str">
        <f aca="false">IF(G3266="","",G3266+H3266)</f>
        <v/>
      </c>
    </row>
    <row r="3267" customFormat="false" ht="15" hidden="false" customHeight="false" outlineLevel="0" collapsed="false">
      <c r="C3267" s="41" t="str">
        <f aca="false">IF(A3267="","",TEXT(A3267,"mmm-yyyy"))</f>
        <v/>
      </c>
      <c r="I3267" s="47" t="str">
        <f aca="false">IF(G3267="","",G3267+H3267)</f>
        <v/>
      </c>
    </row>
    <row r="3268" customFormat="false" ht="15" hidden="false" customHeight="false" outlineLevel="0" collapsed="false">
      <c r="C3268" s="41" t="str">
        <f aca="false">IF(A3268="","",TEXT(A3268,"mmm-yyyy"))</f>
        <v/>
      </c>
      <c r="I3268" s="47" t="str">
        <f aca="false">IF(G3268="","",G3268+H3268)</f>
        <v/>
      </c>
    </row>
    <row r="3269" customFormat="false" ht="15" hidden="false" customHeight="false" outlineLevel="0" collapsed="false">
      <c r="C3269" s="41" t="str">
        <f aca="false">IF(A3269="","",TEXT(A3269,"mmm-yyyy"))</f>
        <v/>
      </c>
      <c r="I3269" s="47" t="str">
        <f aca="false">IF(G3269="","",G3269+H3269)</f>
        <v/>
      </c>
    </row>
    <row r="3270" customFormat="false" ht="15" hidden="false" customHeight="false" outlineLevel="0" collapsed="false">
      <c r="C3270" s="41" t="str">
        <f aca="false">IF(A3270="","",TEXT(A3270,"mmm-yyyy"))</f>
        <v/>
      </c>
      <c r="I3270" s="47" t="str">
        <f aca="false">IF(G3270="","",G3270+H3270)</f>
        <v/>
      </c>
    </row>
    <row r="3271" customFormat="false" ht="15" hidden="false" customHeight="false" outlineLevel="0" collapsed="false">
      <c r="C3271" s="41" t="str">
        <f aca="false">IF(A3271="","",TEXT(A3271,"mmm-yyyy"))</f>
        <v/>
      </c>
      <c r="I3271" s="47" t="str">
        <f aca="false">IF(G3271="","",G3271+H3271)</f>
        <v/>
      </c>
    </row>
    <row r="3272" customFormat="false" ht="15" hidden="false" customHeight="false" outlineLevel="0" collapsed="false">
      <c r="C3272" s="41" t="str">
        <f aca="false">IF(A3272="","",TEXT(A3272,"mmm-yyyy"))</f>
        <v/>
      </c>
      <c r="I3272" s="47" t="str">
        <f aca="false">IF(G3272="","",G3272+H3272)</f>
        <v/>
      </c>
    </row>
    <row r="3273" customFormat="false" ht="15" hidden="false" customHeight="false" outlineLevel="0" collapsed="false">
      <c r="C3273" s="41" t="str">
        <f aca="false">IF(A3273="","",TEXT(A3273,"mmm-yyyy"))</f>
        <v/>
      </c>
      <c r="I3273" s="47" t="str">
        <f aca="false">IF(G3273="","",G3273+H3273)</f>
        <v/>
      </c>
    </row>
    <row r="3274" customFormat="false" ht="15" hidden="false" customHeight="false" outlineLevel="0" collapsed="false">
      <c r="C3274" s="41" t="str">
        <f aca="false">IF(A3274="","",TEXT(A3274,"mmm-yyyy"))</f>
        <v/>
      </c>
      <c r="I3274" s="47" t="str">
        <f aca="false">IF(G3274="","",G3274+H3274)</f>
        <v/>
      </c>
    </row>
    <row r="3275" customFormat="false" ht="15" hidden="false" customHeight="false" outlineLevel="0" collapsed="false">
      <c r="C3275" s="41" t="str">
        <f aca="false">IF(A3275="","",TEXT(A3275,"mmm-yyyy"))</f>
        <v/>
      </c>
      <c r="I3275" s="47" t="str">
        <f aca="false">IF(G3275="","",G3275+H3275)</f>
        <v/>
      </c>
    </row>
    <row r="3276" customFormat="false" ht="15" hidden="false" customHeight="false" outlineLevel="0" collapsed="false">
      <c r="C3276" s="41" t="str">
        <f aca="false">IF(A3276="","",TEXT(A3276,"mmm-yyyy"))</f>
        <v/>
      </c>
      <c r="I3276" s="47" t="str">
        <f aca="false">IF(G3276="","",G3276+H3276)</f>
        <v/>
      </c>
    </row>
    <row r="3277" customFormat="false" ht="15" hidden="false" customHeight="false" outlineLevel="0" collapsed="false">
      <c r="C3277" s="41" t="str">
        <f aca="false">IF(A3277="","",TEXT(A3277,"mmm-yyyy"))</f>
        <v/>
      </c>
      <c r="I3277" s="47" t="str">
        <f aca="false">IF(G3277="","",G3277+H3277)</f>
        <v/>
      </c>
    </row>
    <row r="3278" customFormat="false" ht="15" hidden="false" customHeight="false" outlineLevel="0" collapsed="false">
      <c r="C3278" s="41" t="str">
        <f aca="false">IF(A3278="","",TEXT(A3278,"mmm-yyyy"))</f>
        <v/>
      </c>
      <c r="I3278" s="47" t="str">
        <f aca="false">IF(G3278="","",G3278+H3278)</f>
        <v/>
      </c>
    </row>
    <row r="3279" customFormat="false" ht="15" hidden="false" customHeight="false" outlineLevel="0" collapsed="false">
      <c r="C3279" s="41" t="str">
        <f aca="false">IF(A3279="","",TEXT(A3279,"mmm-yyyy"))</f>
        <v/>
      </c>
      <c r="I3279" s="47" t="str">
        <f aca="false">IF(G3279="","",G3279+H3279)</f>
        <v/>
      </c>
    </row>
    <row r="3280" customFormat="false" ht="15" hidden="false" customHeight="false" outlineLevel="0" collapsed="false">
      <c r="C3280" s="41" t="str">
        <f aca="false">IF(A3280="","",TEXT(A3280,"mmm-yyyy"))</f>
        <v/>
      </c>
      <c r="I3280" s="47" t="str">
        <f aca="false">IF(G3280="","",G3280+H3280)</f>
        <v/>
      </c>
    </row>
    <row r="3281" customFormat="false" ht="15" hidden="false" customHeight="false" outlineLevel="0" collapsed="false">
      <c r="C3281" s="41" t="str">
        <f aca="false">IF(A3281="","",TEXT(A3281,"mmm-yyyy"))</f>
        <v/>
      </c>
      <c r="I3281" s="47" t="str">
        <f aca="false">IF(G3281="","",G3281+H3281)</f>
        <v/>
      </c>
    </row>
    <row r="3282" customFormat="false" ht="15" hidden="false" customHeight="false" outlineLevel="0" collapsed="false">
      <c r="C3282" s="41" t="str">
        <f aca="false">IF(A3282="","",TEXT(A3282,"mmm-yyyy"))</f>
        <v/>
      </c>
      <c r="I3282" s="47" t="str">
        <f aca="false">IF(G3282="","",G3282+H3282)</f>
        <v/>
      </c>
    </row>
    <row r="3283" customFormat="false" ht="15" hidden="false" customHeight="false" outlineLevel="0" collapsed="false">
      <c r="C3283" s="41" t="str">
        <f aca="false">IF(A3283="","",TEXT(A3283,"mmm-yyyy"))</f>
        <v/>
      </c>
      <c r="I3283" s="47" t="str">
        <f aca="false">IF(G3283="","",G3283+H3283)</f>
        <v/>
      </c>
    </row>
    <row r="3284" customFormat="false" ht="15" hidden="false" customHeight="false" outlineLevel="0" collapsed="false">
      <c r="C3284" s="41" t="str">
        <f aca="false">IF(A3284="","",TEXT(A3284,"mmm-yyyy"))</f>
        <v/>
      </c>
      <c r="I3284" s="47" t="str">
        <f aca="false">IF(G3284="","",G3284+H3284)</f>
        <v/>
      </c>
    </row>
    <row r="3285" customFormat="false" ht="15" hidden="false" customHeight="false" outlineLevel="0" collapsed="false">
      <c r="C3285" s="41" t="str">
        <f aca="false">IF(A3285="","",TEXT(A3285,"mmm-yyyy"))</f>
        <v/>
      </c>
      <c r="I3285" s="47" t="str">
        <f aca="false">IF(G3285="","",G3285+H3285)</f>
        <v/>
      </c>
    </row>
    <row r="3286" customFormat="false" ht="15" hidden="false" customHeight="false" outlineLevel="0" collapsed="false">
      <c r="C3286" s="41" t="str">
        <f aca="false">IF(A3286="","",TEXT(A3286,"mmm-yyyy"))</f>
        <v/>
      </c>
      <c r="I3286" s="47" t="str">
        <f aca="false">IF(G3286="","",G3286+H3286)</f>
        <v/>
      </c>
    </row>
    <row r="3287" customFormat="false" ht="15" hidden="false" customHeight="false" outlineLevel="0" collapsed="false">
      <c r="C3287" s="41" t="str">
        <f aca="false">IF(A3287="","",TEXT(A3287,"mmm-yyyy"))</f>
        <v/>
      </c>
      <c r="I3287" s="47" t="str">
        <f aca="false">IF(G3287="","",G3287+H3287)</f>
        <v/>
      </c>
    </row>
    <row r="3288" customFormat="false" ht="15" hidden="false" customHeight="false" outlineLevel="0" collapsed="false">
      <c r="C3288" s="41" t="str">
        <f aca="false">IF(A3288="","",TEXT(A3288,"mmm-yyyy"))</f>
        <v/>
      </c>
      <c r="I3288" s="47" t="str">
        <f aca="false">IF(G3288="","",G3288+H3288)</f>
        <v/>
      </c>
    </row>
    <row r="3289" customFormat="false" ht="15" hidden="false" customHeight="false" outlineLevel="0" collapsed="false">
      <c r="C3289" s="41" t="str">
        <f aca="false">IF(A3289="","",TEXT(A3289,"mmm-yyyy"))</f>
        <v/>
      </c>
      <c r="I3289" s="47" t="str">
        <f aca="false">IF(G3289="","",G3289+H3289)</f>
        <v/>
      </c>
    </row>
    <row r="3290" customFormat="false" ht="15" hidden="false" customHeight="false" outlineLevel="0" collapsed="false">
      <c r="C3290" s="41" t="str">
        <f aca="false">IF(A3290="","",TEXT(A3290,"mmm-yyyy"))</f>
        <v/>
      </c>
      <c r="I3290" s="47" t="str">
        <f aca="false">IF(G3290="","",G3290+H3290)</f>
        <v/>
      </c>
    </row>
    <row r="3291" customFormat="false" ht="15" hidden="false" customHeight="false" outlineLevel="0" collapsed="false">
      <c r="C3291" s="41" t="str">
        <f aca="false">IF(A3291="","",TEXT(A3291,"mmm-yyyy"))</f>
        <v/>
      </c>
      <c r="I3291" s="47" t="str">
        <f aca="false">IF(G3291="","",G3291+H3291)</f>
        <v/>
      </c>
    </row>
    <row r="3292" customFormat="false" ht="15" hidden="false" customHeight="false" outlineLevel="0" collapsed="false">
      <c r="C3292" s="41" t="str">
        <f aca="false">IF(A3292="","",TEXT(A3292,"mmm-yyyy"))</f>
        <v/>
      </c>
      <c r="I3292" s="47" t="str">
        <f aca="false">IF(G3292="","",G3292+H3292)</f>
        <v/>
      </c>
    </row>
    <row r="3293" customFormat="false" ht="15" hidden="false" customHeight="false" outlineLevel="0" collapsed="false">
      <c r="C3293" s="41" t="str">
        <f aca="false">IF(A3293="","",TEXT(A3293,"mmm-yyyy"))</f>
        <v/>
      </c>
      <c r="I3293" s="47" t="str">
        <f aca="false">IF(G3293="","",G3293+H3293)</f>
        <v/>
      </c>
    </row>
    <row r="3294" customFormat="false" ht="15" hidden="false" customHeight="false" outlineLevel="0" collapsed="false">
      <c r="C3294" s="41" t="str">
        <f aca="false">IF(A3294="","",TEXT(A3294,"mmm-yyyy"))</f>
        <v/>
      </c>
      <c r="I3294" s="47" t="str">
        <f aca="false">IF(G3294="","",G3294+H3294)</f>
        <v/>
      </c>
    </row>
    <row r="3295" customFormat="false" ht="15" hidden="false" customHeight="false" outlineLevel="0" collapsed="false">
      <c r="C3295" s="41" t="str">
        <f aca="false">IF(A3295="","",TEXT(A3295,"mmm-yyyy"))</f>
        <v/>
      </c>
      <c r="I3295" s="47" t="str">
        <f aca="false">IF(G3295="","",G3295+H3295)</f>
        <v/>
      </c>
    </row>
    <row r="3296" customFormat="false" ht="15" hidden="false" customHeight="false" outlineLevel="0" collapsed="false">
      <c r="C3296" s="41" t="str">
        <f aca="false">IF(A3296="","",TEXT(A3296,"mmm-yyyy"))</f>
        <v/>
      </c>
      <c r="I3296" s="47" t="str">
        <f aca="false">IF(G3296="","",G3296+H3296)</f>
        <v/>
      </c>
    </row>
    <row r="3297" customFormat="false" ht="15" hidden="false" customHeight="false" outlineLevel="0" collapsed="false">
      <c r="C3297" s="41" t="str">
        <f aca="false">IF(A3297="","",TEXT(A3297,"mmm-yyyy"))</f>
        <v/>
      </c>
      <c r="I3297" s="47" t="str">
        <f aca="false">IF(G3297="","",G3297+H3297)</f>
        <v/>
      </c>
    </row>
    <row r="3298" customFormat="false" ht="15" hidden="false" customHeight="false" outlineLevel="0" collapsed="false">
      <c r="C3298" s="41" t="str">
        <f aca="false">IF(A3298="","",TEXT(A3298,"mmm-yyyy"))</f>
        <v/>
      </c>
      <c r="I3298" s="47" t="str">
        <f aca="false">IF(G3298="","",G3298+H3298)</f>
        <v/>
      </c>
    </row>
    <row r="3299" customFormat="false" ht="15" hidden="false" customHeight="false" outlineLevel="0" collapsed="false">
      <c r="C3299" s="41" t="str">
        <f aca="false">IF(A3299="","",TEXT(A3299,"mmm-yyyy"))</f>
        <v/>
      </c>
      <c r="I3299" s="47" t="str">
        <f aca="false">IF(G3299="","",G3299+H3299)</f>
        <v/>
      </c>
    </row>
    <row r="3300" customFormat="false" ht="15" hidden="false" customHeight="false" outlineLevel="0" collapsed="false">
      <c r="C3300" s="41" t="str">
        <f aca="false">IF(A3300="","",TEXT(A3300,"mmm-yyyy"))</f>
        <v/>
      </c>
      <c r="I3300" s="47" t="str">
        <f aca="false">IF(G3300="","",G3300+H3300)</f>
        <v/>
      </c>
    </row>
    <row r="3301" customFormat="false" ht="15" hidden="false" customHeight="false" outlineLevel="0" collapsed="false">
      <c r="C3301" s="41" t="str">
        <f aca="false">IF(A3301="","",TEXT(A3301,"mmm-yyyy"))</f>
        <v/>
      </c>
      <c r="I3301" s="47" t="str">
        <f aca="false">IF(G3301="","",G3301+H3301)</f>
        <v/>
      </c>
    </row>
    <row r="3302" customFormat="false" ht="15" hidden="false" customHeight="false" outlineLevel="0" collapsed="false">
      <c r="C3302" s="41" t="str">
        <f aca="false">IF(A3302="","",TEXT(A3302,"mmm-yyyy"))</f>
        <v/>
      </c>
      <c r="I3302" s="47" t="str">
        <f aca="false">IF(G3302="","",G3302+H3302)</f>
        <v/>
      </c>
    </row>
    <row r="3303" customFormat="false" ht="15" hidden="false" customHeight="false" outlineLevel="0" collapsed="false">
      <c r="C3303" s="41" t="str">
        <f aca="false">IF(A3303="","",TEXT(A3303,"mmm-yyyy"))</f>
        <v/>
      </c>
      <c r="I3303" s="47" t="str">
        <f aca="false">IF(G3303="","",G3303+H3303)</f>
        <v/>
      </c>
    </row>
    <row r="3304" customFormat="false" ht="15" hidden="false" customHeight="false" outlineLevel="0" collapsed="false">
      <c r="C3304" s="41" t="str">
        <f aca="false">IF(A3304="","",TEXT(A3304,"mmm-yyyy"))</f>
        <v/>
      </c>
      <c r="I3304" s="47" t="str">
        <f aca="false">IF(G3304="","",G3304+H3304)</f>
        <v/>
      </c>
    </row>
    <row r="3305" customFormat="false" ht="15" hidden="false" customHeight="false" outlineLevel="0" collapsed="false">
      <c r="C3305" s="41" t="str">
        <f aca="false">IF(A3305="","",TEXT(A3305,"mmm-yyyy"))</f>
        <v/>
      </c>
      <c r="I3305" s="47" t="str">
        <f aca="false">IF(G3305="","",G3305+H3305)</f>
        <v/>
      </c>
    </row>
    <row r="3306" customFormat="false" ht="15" hidden="false" customHeight="false" outlineLevel="0" collapsed="false">
      <c r="C3306" s="41" t="str">
        <f aca="false">IF(A3306="","",TEXT(A3306,"mmm-yyyy"))</f>
        <v/>
      </c>
      <c r="I3306" s="47" t="str">
        <f aca="false">IF(G3306="","",G3306+H3306)</f>
        <v/>
      </c>
    </row>
    <row r="3307" customFormat="false" ht="15" hidden="false" customHeight="false" outlineLevel="0" collapsed="false">
      <c r="C3307" s="41" t="str">
        <f aca="false">IF(A3307="","",TEXT(A3307,"mmm-yyyy"))</f>
        <v/>
      </c>
      <c r="I3307" s="47" t="str">
        <f aca="false">IF(G3307="","",G3307+H3307)</f>
        <v/>
      </c>
    </row>
    <row r="3308" customFormat="false" ht="15" hidden="false" customHeight="false" outlineLevel="0" collapsed="false">
      <c r="C3308" s="41" t="str">
        <f aca="false">IF(A3308="","",TEXT(A3308,"mmm-yyyy"))</f>
        <v/>
      </c>
      <c r="I3308" s="47" t="str">
        <f aca="false">IF(G3308="","",G3308+H3308)</f>
        <v/>
      </c>
    </row>
    <row r="3309" customFormat="false" ht="15" hidden="false" customHeight="false" outlineLevel="0" collapsed="false">
      <c r="C3309" s="41" t="str">
        <f aca="false">IF(A3309="","",TEXT(A3309,"mmm-yyyy"))</f>
        <v/>
      </c>
      <c r="I3309" s="47" t="str">
        <f aca="false">IF(G3309="","",G3309+H3309)</f>
        <v/>
      </c>
    </row>
    <row r="3310" customFormat="false" ht="15" hidden="false" customHeight="false" outlineLevel="0" collapsed="false">
      <c r="C3310" s="41" t="str">
        <f aca="false">IF(A3310="","",TEXT(A3310,"mmm-yyyy"))</f>
        <v/>
      </c>
      <c r="I3310" s="47" t="str">
        <f aca="false">IF(G3310="","",G3310+H3310)</f>
        <v/>
      </c>
    </row>
    <row r="3311" customFormat="false" ht="15" hidden="false" customHeight="false" outlineLevel="0" collapsed="false">
      <c r="C3311" s="41" t="str">
        <f aca="false">IF(A3311="","",TEXT(A3311,"mmm-yyyy"))</f>
        <v/>
      </c>
      <c r="I3311" s="47" t="str">
        <f aca="false">IF(G3311="","",G3311+H3311)</f>
        <v/>
      </c>
    </row>
    <row r="3312" customFormat="false" ht="15" hidden="false" customHeight="false" outlineLevel="0" collapsed="false">
      <c r="C3312" s="41" t="str">
        <f aca="false">IF(A3312="","",TEXT(A3312,"mmm-yyyy"))</f>
        <v/>
      </c>
      <c r="I3312" s="47" t="str">
        <f aca="false">IF(G3312="","",G3312+H3312)</f>
        <v/>
      </c>
    </row>
    <row r="3313" customFormat="false" ht="15" hidden="false" customHeight="false" outlineLevel="0" collapsed="false">
      <c r="C3313" s="41" t="str">
        <f aca="false">IF(A3313="","",TEXT(A3313,"mmm-yyyy"))</f>
        <v/>
      </c>
      <c r="I3313" s="47" t="str">
        <f aca="false">IF(G3313="","",G3313+H3313)</f>
        <v/>
      </c>
    </row>
    <row r="3314" customFormat="false" ht="15" hidden="false" customHeight="false" outlineLevel="0" collapsed="false">
      <c r="C3314" s="41" t="str">
        <f aca="false">IF(A3314="","",TEXT(A3314,"mmm-yyyy"))</f>
        <v/>
      </c>
      <c r="I3314" s="47" t="str">
        <f aca="false">IF(G3314="","",G3314+H3314)</f>
        <v/>
      </c>
    </row>
    <row r="3315" customFormat="false" ht="15" hidden="false" customHeight="false" outlineLevel="0" collapsed="false">
      <c r="C3315" s="41" t="str">
        <f aca="false">IF(A3315="","",TEXT(A3315,"mmm-yyyy"))</f>
        <v/>
      </c>
      <c r="I3315" s="47" t="str">
        <f aca="false">IF(G3315="","",G3315+H3315)</f>
        <v/>
      </c>
    </row>
    <row r="3316" customFormat="false" ht="15" hidden="false" customHeight="false" outlineLevel="0" collapsed="false">
      <c r="C3316" s="41" t="str">
        <f aca="false">IF(A3316="","",TEXT(A3316,"mmm-yyyy"))</f>
        <v/>
      </c>
      <c r="I3316" s="47" t="str">
        <f aca="false">IF(G3316="","",G3316+H3316)</f>
        <v/>
      </c>
    </row>
    <row r="3317" customFormat="false" ht="15" hidden="false" customHeight="false" outlineLevel="0" collapsed="false">
      <c r="C3317" s="41" t="str">
        <f aca="false">IF(A3317="","",TEXT(A3317,"mmm-yyyy"))</f>
        <v/>
      </c>
      <c r="I3317" s="47" t="str">
        <f aca="false">IF(G3317="","",G3317+H3317)</f>
        <v/>
      </c>
    </row>
    <row r="3318" customFormat="false" ht="15" hidden="false" customHeight="false" outlineLevel="0" collapsed="false">
      <c r="C3318" s="41" t="str">
        <f aca="false">IF(A3318="","",TEXT(A3318,"mmm-yyyy"))</f>
        <v/>
      </c>
      <c r="I3318" s="47" t="str">
        <f aca="false">IF(G3318="","",G3318+H3318)</f>
        <v/>
      </c>
    </row>
    <row r="3319" customFormat="false" ht="15" hidden="false" customHeight="false" outlineLevel="0" collapsed="false">
      <c r="C3319" s="41" t="str">
        <f aca="false">IF(A3319="","",TEXT(A3319,"mmm-yyyy"))</f>
        <v/>
      </c>
      <c r="I3319" s="47" t="str">
        <f aca="false">IF(G3319="","",G3319+H3319)</f>
        <v/>
      </c>
    </row>
    <row r="3320" customFormat="false" ht="15" hidden="false" customHeight="false" outlineLevel="0" collapsed="false">
      <c r="C3320" s="41" t="str">
        <f aca="false">IF(A3320="","",TEXT(A3320,"mmm-yyyy"))</f>
        <v/>
      </c>
      <c r="I3320" s="47" t="str">
        <f aca="false">IF(G3320="","",G3320+H3320)</f>
        <v/>
      </c>
    </row>
    <row r="3321" customFormat="false" ht="15" hidden="false" customHeight="false" outlineLevel="0" collapsed="false">
      <c r="C3321" s="41" t="str">
        <f aca="false">IF(A3321="","",TEXT(A3321,"mmm-yyyy"))</f>
        <v/>
      </c>
      <c r="I3321" s="47" t="str">
        <f aca="false">IF(G3321="","",G3321+H3321)</f>
        <v/>
      </c>
    </row>
    <row r="3322" customFormat="false" ht="15" hidden="false" customHeight="false" outlineLevel="0" collapsed="false">
      <c r="C3322" s="41" t="str">
        <f aca="false">IF(A3322="","",TEXT(A3322,"mmm-yyyy"))</f>
        <v/>
      </c>
      <c r="I3322" s="47" t="str">
        <f aca="false">IF(G3322="","",G3322+H3322)</f>
        <v/>
      </c>
    </row>
    <row r="3323" customFormat="false" ht="15" hidden="false" customHeight="false" outlineLevel="0" collapsed="false">
      <c r="C3323" s="41" t="str">
        <f aca="false">IF(A3323="","",TEXT(A3323,"mmm-yyyy"))</f>
        <v/>
      </c>
      <c r="I3323" s="47" t="str">
        <f aca="false">IF(G3323="","",G3323+H3323)</f>
        <v/>
      </c>
    </row>
    <row r="3324" customFormat="false" ht="15" hidden="false" customHeight="false" outlineLevel="0" collapsed="false">
      <c r="C3324" s="41" t="str">
        <f aca="false">IF(A3324="","",TEXT(A3324,"mmm-yyyy"))</f>
        <v/>
      </c>
      <c r="I3324" s="47" t="str">
        <f aca="false">IF(G3324="","",G3324+H3324)</f>
        <v/>
      </c>
    </row>
    <row r="3325" customFormat="false" ht="15" hidden="false" customHeight="false" outlineLevel="0" collapsed="false">
      <c r="C3325" s="41" t="str">
        <f aca="false">IF(A3325="","",TEXT(A3325,"mmm-yyyy"))</f>
        <v/>
      </c>
      <c r="I3325" s="47" t="str">
        <f aca="false">IF(G3325="","",G3325+H3325)</f>
        <v/>
      </c>
    </row>
    <row r="3326" customFormat="false" ht="15" hidden="false" customHeight="false" outlineLevel="0" collapsed="false">
      <c r="C3326" s="41" t="str">
        <f aca="false">IF(A3326="","",TEXT(A3326,"mmm-yyyy"))</f>
        <v/>
      </c>
      <c r="I3326" s="47" t="str">
        <f aca="false">IF(G3326="","",G3326+H3326)</f>
        <v/>
      </c>
    </row>
    <row r="3327" customFormat="false" ht="15" hidden="false" customHeight="false" outlineLevel="0" collapsed="false">
      <c r="C3327" s="41" t="str">
        <f aca="false">IF(A3327="","",TEXT(A3327,"mmm-yyyy"))</f>
        <v/>
      </c>
      <c r="I3327" s="47" t="str">
        <f aca="false">IF(G3327="","",G3327+H3327)</f>
        <v/>
      </c>
    </row>
    <row r="3328" customFormat="false" ht="15" hidden="false" customHeight="false" outlineLevel="0" collapsed="false">
      <c r="C3328" s="41" t="str">
        <f aca="false">IF(A3328="","",TEXT(A3328,"mmm-yyyy"))</f>
        <v/>
      </c>
      <c r="I3328" s="47" t="str">
        <f aca="false">IF(G3328="","",G3328+H3328)</f>
        <v/>
      </c>
    </row>
    <row r="3329" customFormat="false" ht="15" hidden="false" customHeight="false" outlineLevel="0" collapsed="false">
      <c r="C3329" s="41" t="str">
        <f aca="false">IF(A3329="","",TEXT(A3329,"mmm-yyyy"))</f>
        <v/>
      </c>
      <c r="I3329" s="47" t="str">
        <f aca="false">IF(G3329="","",G3329+H3329)</f>
        <v/>
      </c>
    </row>
    <row r="3330" customFormat="false" ht="15" hidden="false" customHeight="false" outlineLevel="0" collapsed="false">
      <c r="C3330" s="41" t="str">
        <f aca="false">IF(A3330="","",TEXT(A3330,"mmm-yyyy"))</f>
        <v/>
      </c>
      <c r="I3330" s="47" t="str">
        <f aca="false">IF(G3330="","",G3330+H3330)</f>
        <v/>
      </c>
    </row>
    <row r="3331" customFormat="false" ht="15" hidden="false" customHeight="false" outlineLevel="0" collapsed="false">
      <c r="C3331" s="41" t="str">
        <f aca="false">IF(A3331="","",TEXT(A3331,"mmm-yyyy"))</f>
        <v/>
      </c>
      <c r="I3331" s="47" t="str">
        <f aca="false">IF(G3331="","",G3331+H3331)</f>
        <v/>
      </c>
    </row>
    <row r="3332" customFormat="false" ht="15" hidden="false" customHeight="false" outlineLevel="0" collapsed="false">
      <c r="C3332" s="41" t="str">
        <f aca="false">IF(A3332="","",TEXT(A3332,"mmm-yyyy"))</f>
        <v/>
      </c>
      <c r="I3332" s="47" t="str">
        <f aca="false">IF(G3332="","",G3332+H3332)</f>
        <v/>
      </c>
    </row>
    <row r="3333" customFormat="false" ht="15" hidden="false" customHeight="false" outlineLevel="0" collapsed="false">
      <c r="C3333" s="41" t="str">
        <f aca="false">IF(A3333="","",TEXT(A3333,"mmm-yyyy"))</f>
        <v/>
      </c>
      <c r="I3333" s="47" t="str">
        <f aca="false">IF(G3333="","",G3333+H3333)</f>
        <v/>
      </c>
    </row>
    <row r="3334" customFormat="false" ht="15" hidden="false" customHeight="false" outlineLevel="0" collapsed="false">
      <c r="C3334" s="41" t="str">
        <f aca="false">IF(A3334="","",TEXT(A3334,"mmm-yyyy"))</f>
        <v/>
      </c>
      <c r="I3334" s="47" t="str">
        <f aca="false">IF(G3334="","",G3334+H3334)</f>
        <v/>
      </c>
    </row>
    <row r="3335" customFormat="false" ht="15" hidden="false" customHeight="false" outlineLevel="0" collapsed="false">
      <c r="C3335" s="41" t="str">
        <f aca="false">IF(A3335="","",TEXT(A3335,"mmm-yyyy"))</f>
        <v/>
      </c>
      <c r="I3335" s="47" t="str">
        <f aca="false">IF(G3335="","",G3335+H3335)</f>
        <v/>
      </c>
    </row>
    <row r="3336" customFormat="false" ht="15" hidden="false" customHeight="false" outlineLevel="0" collapsed="false">
      <c r="C3336" s="41" t="str">
        <f aca="false">IF(A3336="","",TEXT(A3336,"mmm-yyyy"))</f>
        <v/>
      </c>
      <c r="I3336" s="47" t="str">
        <f aca="false">IF(G3336="","",G3336+H3336)</f>
        <v/>
      </c>
    </row>
    <row r="3337" customFormat="false" ht="15" hidden="false" customHeight="false" outlineLevel="0" collapsed="false">
      <c r="C3337" s="41" t="str">
        <f aca="false">IF(A3337="","",TEXT(A3337,"mmm-yyyy"))</f>
        <v/>
      </c>
      <c r="I3337" s="47" t="str">
        <f aca="false">IF(G3337="","",G3337+H3337)</f>
        <v/>
      </c>
    </row>
    <row r="3338" customFormat="false" ht="15" hidden="false" customHeight="false" outlineLevel="0" collapsed="false">
      <c r="C3338" s="41" t="str">
        <f aca="false">IF(A3338="","",TEXT(A3338,"mmm-yyyy"))</f>
        <v/>
      </c>
      <c r="I3338" s="47" t="str">
        <f aca="false">IF(G3338="","",G3338+H3338)</f>
        <v/>
      </c>
    </row>
    <row r="3339" customFormat="false" ht="15" hidden="false" customHeight="false" outlineLevel="0" collapsed="false">
      <c r="C3339" s="41" t="str">
        <f aca="false">IF(A3339="","",TEXT(A3339,"mmm-yyyy"))</f>
        <v/>
      </c>
      <c r="I3339" s="47" t="str">
        <f aca="false">IF(G3339="","",G3339+H3339)</f>
        <v/>
      </c>
    </row>
    <row r="3340" customFormat="false" ht="15" hidden="false" customHeight="false" outlineLevel="0" collapsed="false">
      <c r="C3340" s="41" t="str">
        <f aca="false">IF(A3340="","",TEXT(A3340,"mmm-yyyy"))</f>
        <v/>
      </c>
      <c r="I3340" s="47" t="str">
        <f aca="false">IF(G3340="","",G3340+H3340)</f>
        <v/>
      </c>
    </row>
    <row r="3341" customFormat="false" ht="15" hidden="false" customHeight="false" outlineLevel="0" collapsed="false">
      <c r="C3341" s="41" t="str">
        <f aca="false">IF(A3341="","",TEXT(A3341,"mmm-yyyy"))</f>
        <v/>
      </c>
      <c r="I3341" s="47" t="str">
        <f aca="false">IF(G3341="","",G3341+H3341)</f>
        <v/>
      </c>
    </row>
    <row r="3342" customFormat="false" ht="15" hidden="false" customHeight="false" outlineLevel="0" collapsed="false">
      <c r="C3342" s="41" t="str">
        <f aca="false">IF(A3342="","",TEXT(A3342,"mmm-yyyy"))</f>
        <v/>
      </c>
      <c r="I3342" s="47" t="str">
        <f aca="false">IF(G3342="","",G3342+H3342)</f>
        <v/>
      </c>
    </row>
    <row r="3343" customFormat="false" ht="15" hidden="false" customHeight="false" outlineLevel="0" collapsed="false">
      <c r="C3343" s="41" t="str">
        <f aca="false">IF(A3343="","",TEXT(A3343,"mmm-yyyy"))</f>
        <v/>
      </c>
      <c r="I3343" s="47" t="str">
        <f aca="false">IF(G3343="","",G3343+H3343)</f>
        <v/>
      </c>
    </row>
    <row r="3344" customFormat="false" ht="15" hidden="false" customHeight="false" outlineLevel="0" collapsed="false">
      <c r="C3344" s="41" t="str">
        <f aca="false">IF(A3344="","",TEXT(A3344,"mmm-yyyy"))</f>
        <v/>
      </c>
      <c r="I3344" s="47" t="str">
        <f aca="false">IF(G3344="","",G3344+H3344)</f>
        <v/>
      </c>
    </row>
    <row r="3345" customFormat="false" ht="15" hidden="false" customHeight="false" outlineLevel="0" collapsed="false">
      <c r="C3345" s="41" t="str">
        <f aca="false">IF(A3345="","",TEXT(A3345,"mmm-yyyy"))</f>
        <v/>
      </c>
      <c r="I3345" s="47" t="str">
        <f aca="false">IF(G3345="","",G3345+H3345)</f>
        <v/>
      </c>
    </row>
    <row r="3346" customFormat="false" ht="15" hidden="false" customHeight="false" outlineLevel="0" collapsed="false">
      <c r="C3346" s="41" t="str">
        <f aca="false">IF(A3346="","",TEXT(A3346,"mmm-yyyy"))</f>
        <v/>
      </c>
      <c r="I3346" s="47" t="str">
        <f aca="false">IF(G3346="","",G3346+H3346)</f>
        <v/>
      </c>
    </row>
    <row r="3347" customFormat="false" ht="15" hidden="false" customHeight="false" outlineLevel="0" collapsed="false">
      <c r="C3347" s="41" t="str">
        <f aca="false">IF(A3347="","",TEXT(A3347,"mmm-yyyy"))</f>
        <v/>
      </c>
      <c r="I3347" s="47" t="str">
        <f aca="false">IF(G3347="","",G3347+H3347)</f>
        <v/>
      </c>
    </row>
    <row r="3348" customFormat="false" ht="15" hidden="false" customHeight="false" outlineLevel="0" collapsed="false">
      <c r="C3348" s="41" t="str">
        <f aca="false">IF(A3348="","",TEXT(A3348,"mmm-yyyy"))</f>
        <v/>
      </c>
      <c r="I3348" s="47" t="str">
        <f aca="false">IF(G3348="","",G3348+H3348)</f>
        <v/>
      </c>
    </row>
    <row r="3349" customFormat="false" ht="15" hidden="false" customHeight="false" outlineLevel="0" collapsed="false">
      <c r="C3349" s="41" t="str">
        <f aca="false">IF(A3349="","",TEXT(A3349,"mmm-yyyy"))</f>
        <v/>
      </c>
      <c r="I3349" s="47" t="str">
        <f aca="false">IF(G3349="","",G3349+H3349)</f>
        <v/>
      </c>
    </row>
    <row r="3350" customFormat="false" ht="15" hidden="false" customHeight="false" outlineLevel="0" collapsed="false">
      <c r="C3350" s="41" t="str">
        <f aca="false">IF(A3350="","",TEXT(A3350,"mmm-yyyy"))</f>
        <v/>
      </c>
      <c r="I3350" s="47" t="str">
        <f aca="false">IF(G3350="","",G3350+H3350)</f>
        <v/>
      </c>
    </row>
    <row r="3351" customFormat="false" ht="15" hidden="false" customHeight="false" outlineLevel="0" collapsed="false">
      <c r="C3351" s="41" t="str">
        <f aca="false">IF(A3351="","",TEXT(A3351,"mmm-yyyy"))</f>
        <v/>
      </c>
      <c r="I3351" s="47" t="str">
        <f aca="false">IF(G3351="","",G3351+H3351)</f>
        <v/>
      </c>
    </row>
    <row r="3352" customFormat="false" ht="15" hidden="false" customHeight="false" outlineLevel="0" collapsed="false">
      <c r="C3352" s="41" t="str">
        <f aca="false">IF(A3352="","",TEXT(A3352,"mmm-yyyy"))</f>
        <v/>
      </c>
      <c r="I3352" s="47" t="str">
        <f aca="false">IF(G3352="","",G3352+H3352)</f>
        <v/>
      </c>
    </row>
    <row r="3353" customFormat="false" ht="15" hidden="false" customHeight="false" outlineLevel="0" collapsed="false">
      <c r="C3353" s="41" t="str">
        <f aca="false">IF(A3353="","",TEXT(A3353,"mmm-yyyy"))</f>
        <v/>
      </c>
      <c r="I3353" s="47" t="str">
        <f aca="false">IF(G3353="","",G3353+H3353)</f>
        <v/>
      </c>
    </row>
    <row r="3354" customFormat="false" ht="15" hidden="false" customHeight="false" outlineLevel="0" collapsed="false">
      <c r="C3354" s="41" t="str">
        <f aca="false">IF(A3354="","",TEXT(A3354,"mmm-yyyy"))</f>
        <v/>
      </c>
      <c r="I3354" s="47" t="str">
        <f aca="false">IF(G3354="","",G3354+H3354)</f>
        <v/>
      </c>
    </row>
    <row r="3355" customFormat="false" ht="15" hidden="false" customHeight="false" outlineLevel="0" collapsed="false">
      <c r="C3355" s="41" t="str">
        <f aca="false">IF(A3355="","",TEXT(A3355,"mmm-yyyy"))</f>
        <v/>
      </c>
      <c r="I3355" s="47" t="str">
        <f aca="false">IF(G3355="","",G3355+H3355)</f>
        <v/>
      </c>
    </row>
    <row r="3356" customFormat="false" ht="15" hidden="false" customHeight="false" outlineLevel="0" collapsed="false">
      <c r="C3356" s="41" t="str">
        <f aca="false">IF(A3356="","",TEXT(A3356,"mmm-yyyy"))</f>
        <v/>
      </c>
      <c r="I3356" s="47" t="str">
        <f aca="false">IF(G3356="","",G3356+H3356)</f>
        <v/>
      </c>
    </row>
    <row r="3357" customFormat="false" ht="15" hidden="false" customHeight="false" outlineLevel="0" collapsed="false">
      <c r="C3357" s="41" t="str">
        <f aca="false">IF(A3357="","",TEXT(A3357,"mmm-yyyy"))</f>
        <v/>
      </c>
      <c r="I3357" s="47" t="str">
        <f aca="false">IF(G3357="","",G3357+H3357)</f>
        <v/>
      </c>
    </row>
    <row r="3358" customFormat="false" ht="15" hidden="false" customHeight="false" outlineLevel="0" collapsed="false">
      <c r="C3358" s="41" t="str">
        <f aca="false">IF(A3358="","",TEXT(A3358,"mmm-yyyy"))</f>
        <v/>
      </c>
      <c r="I3358" s="47" t="str">
        <f aca="false">IF(G3358="","",G3358+H3358)</f>
        <v/>
      </c>
    </row>
    <row r="3359" customFormat="false" ht="15" hidden="false" customHeight="false" outlineLevel="0" collapsed="false">
      <c r="C3359" s="41" t="str">
        <f aca="false">IF(A3359="","",TEXT(A3359,"mmm-yyyy"))</f>
        <v/>
      </c>
      <c r="I3359" s="47" t="str">
        <f aca="false">IF(G3359="","",G3359+H3359)</f>
        <v/>
      </c>
    </row>
    <row r="3360" customFormat="false" ht="15" hidden="false" customHeight="false" outlineLevel="0" collapsed="false">
      <c r="C3360" s="41" t="str">
        <f aca="false">IF(A3360="","",TEXT(A3360,"mmm-yyyy"))</f>
        <v/>
      </c>
      <c r="I3360" s="47" t="str">
        <f aca="false">IF(G3360="","",G3360+H3360)</f>
        <v/>
      </c>
    </row>
    <row r="3361" customFormat="false" ht="15" hidden="false" customHeight="false" outlineLevel="0" collapsed="false">
      <c r="C3361" s="41" t="str">
        <f aca="false">IF(A3361="","",TEXT(A3361,"mmm-yyyy"))</f>
        <v/>
      </c>
      <c r="I3361" s="47" t="str">
        <f aca="false">IF(G3361="","",G3361+H3361)</f>
        <v/>
      </c>
    </row>
    <row r="3362" customFormat="false" ht="15" hidden="false" customHeight="false" outlineLevel="0" collapsed="false">
      <c r="C3362" s="41" t="str">
        <f aca="false">IF(A3362="","",TEXT(A3362,"mmm-yyyy"))</f>
        <v/>
      </c>
      <c r="I3362" s="47" t="str">
        <f aca="false">IF(G3362="","",G3362+H3362)</f>
        <v/>
      </c>
    </row>
    <row r="3363" customFormat="false" ht="15" hidden="false" customHeight="false" outlineLevel="0" collapsed="false">
      <c r="C3363" s="41" t="str">
        <f aca="false">IF(A3363="","",TEXT(A3363,"mmm-yyyy"))</f>
        <v/>
      </c>
      <c r="I3363" s="47" t="str">
        <f aca="false">IF(G3363="","",G3363+H3363)</f>
        <v/>
      </c>
    </row>
    <row r="3364" customFormat="false" ht="15" hidden="false" customHeight="false" outlineLevel="0" collapsed="false">
      <c r="C3364" s="41" t="str">
        <f aca="false">IF(A3364="","",TEXT(A3364,"mmm-yyyy"))</f>
        <v/>
      </c>
      <c r="I3364" s="47" t="str">
        <f aca="false">IF(G3364="","",G3364+H3364)</f>
        <v/>
      </c>
    </row>
    <row r="3365" customFormat="false" ht="15" hidden="false" customHeight="false" outlineLevel="0" collapsed="false">
      <c r="C3365" s="41" t="str">
        <f aca="false">IF(A3365="","",TEXT(A3365,"mmm-yyyy"))</f>
        <v/>
      </c>
      <c r="I3365" s="47" t="str">
        <f aca="false">IF(G3365="","",G3365+H3365)</f>
        <v/>
      </c>
    </row>
    <row r="3366" customFormat="false" ht="15" hidden="false" customHeight="false" outlineLevel="0" collapsed="false">
      <c r="C3366" s="41" t="str">
        <f aca="false">IF(A3366="","",TEXT(A3366,"mmm-yyyy"))</f>
        <v/>
      </c>
      <c r="I3366" s="47" t="str">
        <f aca="false">IF(G3366="","",G3366+H3366)</f>
        <v/>
      </c>
    </row>
    <row r="3367" customFormat="false" ht="15" hidden="false" customHeight="false" outlineLevel="0" collapsed="false">
      <c r="C3367" s="41" t="str">
        <f aca="false">IF(A3367="","",TEXT(A3367,"mmm-yyyy"))</f>
        <v/>
      </c>
      <c r="I3367" s="47" t="str">
        <f aca="false">IF(G3367="","",G3367+H3367)</f>
        <v/>
      </c>
    </row>
    <row r="3368" customFormat="false" ht="15" hidden="false" customHeight="false" outlineLevel="0" collapsed="false">
      <c r="C3368" s="41" t="str">
        <f aca="false">IF(A3368="","",TEXT(A3368,"mmm-yyyy"))</f>
        <v/>
      </c>
      <c r="I3368" s="47" t="str">
        <f aca="false">IF(G3368="","",G3368+H3368)</f>
        <v/>
      </c>
    </row>
    <row r="3369" customFormat="false" ht="15" hidden="false" customHeight="false" outlineLevel="0" collapsed="false">
      <c r="C3369" s="41" t="str">
        <f aca="false">IF(A3369="","",TEXT(A3369,"mmm-yyyy"))</f>
        <v/>
      </c>
      <c r="I3369" s="47" t="str">
        <f aca="false">IF(G3369="","",G3369+H3369)</f>
        <v/>
      </c>
    </row>
    <row r="3370" customFormat="false" ht="15" hidden="false" customHeight="false" outlineLevel="0" collapsed="false">
      <c r="C3370" s="41" t="str">
        <f aca="false">IF(A3370="","",TEXT(A3370,"mmm-yyyy"))</f>
        <v/>
      </c>
      <c r="I3370" s="47" t="str">
        <f aca="false">IF(G3370="","",G3370+H3370)</f>
        <v/>
      </c>
    </row>
    <row r="3371" customFormat="false" ht="15" hidden="false" customHeight="false" outlineLevel="0" collapsed="false">
      <c r="C3371" s="41" t="str">
        <f aca="false">IF(A3371="","",TEXT(A3371,"mmm-yyyy"))</f>
        <v/>
      </c>
      <c r="I3371" s="47" t="str">
        <f aca="false">IF(G3371="","",G3371+H3371)</f>
        <v/>
      </c>
    </row>
    <row r="3372" customFormat="false" ht="15" hidden="false" customHeight="false" outlineLevel="0" collapsed="false">
      <c r="C3372" s="41" t="str">
        <f aca="false">IF(A3372="","",TEXT(A3372,"mmm-yyyy"))</f>
        <v/>
      </c>
      <c r="I3372" s="47" t="str">
        <f aca="false">IF(G3372="","",G3372+H3372)</f>
        <v/>
      </c>
    </row>
    <row r="3373" customFormat="false" ht="15" hidden="false" customHeight="false" outlineLevel="0" collapsed="false">
      <c r="C3373" s="41" t="str">
        <f aca="false">IF(A3373="","",TEXT(A3373,"mmm-yyyy"))</f>
        <v/>
      </c>
      <c r="I3373" s="47" t="str">
        <f aca="false">IF(G3373="","",G3373+H3373)</f>
        <v/>
      </c>
    </row>
    <row r="3374" customFormat="false" ht="15" hidden="false" customHeight="false" outlineLevel="0" collapsed="false">
      <c r="C3374" s="41" t="str">
        <f aca="false">IF(A3374="","",TEXT(A3374,"mmm-yyyy"))</f>
        <v/>
      </c>
      <c r="I3374" s="47" t="str">
        <f aca="false">IF(G3374="","",G3374+H3374)</f>
        <v/>
      </c>
    </row>
    <row r="3375" customFormat="false" ht="15" hidden="false" customHeight="false" outlineLevel="0" collapsed="false">
      <c r="C3375" s="41" t="str">
        <f aca="false">IF(A3375="","",TEXT(A3375,"mmm-yyyy"))</f>
        <v/>
      </c>
      <c r="I3375" s="47" t="str">
        <f aca="false">IF(G3375="","",G3375+H3375)</f>
        <v/>
      </c>
    </row>
    <row r="3376" customFormat="false" ht="15" hidden="false" customHeight="false" outlineLevel="0" collapsed="false">
      <c r="C3376" s="41" t="str">
        <f aca="false">IF(A3376="","",TEXT(A3376,"mmm-yyyy"))</f>
        <v/>
      </c>
      <c r="I3376" s="47" t="str">
        <f aca="false">IF(G3376="","",G3376+H3376)</f>
        <v/>
      </c>
    </row>
    <row r="3377" customFormat="false" ht="15" hidden="false" customHeight="false" outlineLevel="0" collapsed="false">
      <c r="C3377" s="41" t="str">
        <f aca="false">IF(A3377="","",TEXT(A3377,"mmm-yyyy"))</f>
        <v/>
      </c>
      <c r="I3377" s="47" t="str">
        <f aca="false">IF(G3377="","",G3377+H3377)</f>
        <v/>
      </c>
    </row>
    <row r="3378" customFormat="false" ht="15" hidden="false" customHeight="false" outlineLevel="0" collapsed="false">
      <c r="C3378" s="41" t="str">
        <f aca="false">IF(A3378="","",TEXT(A3378,"mmm-yyyy"))</f>
        <v/>
      </c>
      <c r="I3378" s="47" t="str">
        <f aca="false">IF(G3378="","",G3378+H3378)</f>
        <v/>
      </c>
    </row>
    <row r="3379" customFormat="false" ht="15" hidden="false" customHeight="false" outlineLevel="0" collapsed="false">
      <c r="C3379" s="41" t="str">
        <f aca="false">IF(A3379="","",TEXT(A3379,"mmm-yyyy"))</f>
        <v/>
      </c>
      <c r="I3379" s="47" t="str">
        <f aca="false">IF(G3379="","",G3379+H3379)</f>
        <v/>
      </c>
    </row>
    <row r="3380" customFormat="false" ht="15" hidden="false" customHeight="false" outlineLevel="0" collapsed="false">
      <c r="C3380" s="41" t="str">
        <f aca="false">IF(A3380="","",TEXT(A3380,"mmm-yyyy"))</f>
        <v/>
      </c>
      <c r="I3380" s="47" t="str">
        <f aca="false">IF(G3380="","",G3380+H3380)</f>
        <v/>
      </c>
    </row>
    <row r="3381" customFormat="false" ht="15" hidden="false" customHeight="false" outlineLevel="0" collapsed="false">
      <c r="C3381" s="41" t="str">
        <f aca="false">IF(A3381="","",TEXT(A3381,"mmm-yyyy"))</f>
        <v/>
      </c>
      <c r="I3381" s="47" t="str">
        <f aca="false">IF(G3381="","",G3381+H3381)</f>
        <v/>
      </c>
    </row>
    <row r="3382" customFormat="false" ht="15" hidden="false" customHeight="false" outlineLevel="0" collapsed="false">
      <c r="C3382" s="41" t="str">
        <f aca="false">IF(A3382="","",TEXT(A3382,"mmm-yyyy"))</f>
        <v/>
      </c>
      <c r="I3382" s="47" t="str">
        <f aca="false">IF(G3382="","",G3382+H3382)</f>
        <v/>
      </c>
    </row>
    <row r="3383" customFormat="false" ht="15" hidden="false" customHeight="false" outlineLevel="0" collapsed="false">
      <c r="C3383" s="41" t="str">
        <f aca="false">IF(A3383="","",TEXT(A3383,"mmm-yyyy"))</f>
        <v/>
      </c>
      <c r="I3383" s="47" t="str">
        <f aca="false">IF(G3383="","",G3383+H3383)</f>
        <v/>
      </c>
    </row>
    <row r="3384" customFormat="false" ht="15" hidden="false" customHeight="false" outlineLevel="0" collapsed="false">
      <c r="C3384" s="41" t="str">
        <f aca="false">IF(A3384="","",TEXT(A3384,"mmm-yyyy"))</f>
        <v/>
      </c>
      <c r="I3384" s="47" t="str">
        <f aca="false">IF(G3384="","",G3384+H3384)</f>
        <v/>
      </c>
    </row>
    <row r="3385" customFormat="false" ht="15" hidden="false" customHeight="false" outlineLevel="0" collapsed="false">
      <c r="C3385" s="41" t="str">
        <f aca="false">IF(A3385="","",TEXT(A3385,"mmm-yyyy"))</f>
        <v/>
      </c>
      <c r="I3385" s="47" t="str">
        <f aca="false">IF(G3385="","",G3385+H3385)</f>
        <v/>
      </c>
    </row>
    <row r="3386" customFormat="false" ht="15" hidden="false" customHeight="false" outlineLevel="0" collapsed="false">
      <c r="C3386" s="41" t="str">
        <f aca="false">IF(A3386="","",TEXT(A3386,"mmm-yyyy"))</f>
        <v/>
      </c>
      <c r="I3386" s="47" t="str">
        <f aca="false">IF(G3386="","",G3386+H3386)</f>
        <v/>
      </c>
    </row>
    <row r="3387" customFormat="false" ht="15" hidden="false" customHeight="false" outlineLevel="0" collapsed="false">
      <c r="C3387" s="41" t="str">
        <f aca="false">IF(A3387="","",TEXT(A3387,"mmm-yyyy"))</f>
        <v/>
      </c>
      <c r="I3387" s="47" t="str">
        <f aca="false">IF(G3387="","",G3387+H3387)</f>
        <v/>
      </c>
    </row>
    <row r="3388" customFormat="false" ht="15" hidden="false" customHeight="false" outlineLevel="0" collapsed="false">
      <c r="C3388" s="41" t="str">
        <f aca="false">IF(A3388="","",TEXT(A3388,"mmm-yyyy"))</f>
        <v/>
      </c>
      <c r="I3388" s="47" t="str">
        <f aca="false">IF(G3388="","",G3388+H3388)</f>
        <v/>
      </c>
    </row>
    <row r="3389" customFormat="false" ht="15" hidden="false" customHeight="false" outlineLevel="0" collapsed="false">
      <c r="C3389" s="41" t="str">
        <f aca="false">IF(A3389="","",TEXT(A3389,"mmm-yyyy"))</f>
        <v/>
      </c>
      <c r="I3389" s="47" t="str">
        <f aca="false">IF(G3389="","",G3389+H3389)</f>
        <v/>
      </c>
    </row>
    <row r="3390" customFormat="false" ht="15" hidden="false" customHeight="false" outlineLevel="0" collapsed="false">
      <c r="C3390" s="41" t="str">
        <f aca="false">IF(A3390="","",TEXT(A3390,"mmm-yyyy"))</f>
        <v/>
      </c>
      <c r="I3390" s="47" t="str">
        <f aca="false">IF(G3390="","",G3390+H3390)</f>
        <v/>
      </c>
    </row>
    <row r="3391" customFormat="false" ht="15" hidden="false" customHeight="false" outlineLevel="0" collapsed="false">
      <c r="C3391" s="41" t="str">
        <f aca="false">IF(A3391="","",TEXT(A3391,"mmm-yyyy"))</f>
        <v/>
      </c>
      <c r="I3391" s="47" t="str">
        <f aca="false">IF(G3391="","",G3391+H3391)</f>
        <v/>
      </c>
    </row>
    <row r="3392" customFormat="false" ht="15" hidden="false" customHeight="false" outlineLevel="0" collapsed="false">
      <c r="C3392" s="41" t="str">
        <f aca="false">IF(A3392="","",TEXT(A3392,"mmm-yyyy"))</f>
        <v/>
      </c>
      <c r="I3392" s="47" t="str">
        <f aca="false">IF(G3392="","",G3392+H3392)</f>
        <v/>
      </c>
    </row>
    <row r="3393" customFormat="false" ht="15" hidden="false" customHeight="false" outlineLevel="0" collapsed="false">
      <c r="C3393" s="41" t="str">
        <f aca="false">IF(A3393="","",TEXT(A3393,"mmm-yyyy"))</f>
        <v/>
      </c>
      <c r="I3393" s="47" t="str">
        <f aca="false">IF(G3393="","",G3393+H3393)</f>
        <v/>
      </c>
    </row>
    <row r="3394" customFormat="false" ht="15" hidden="false" customHeight="false" outlineLevel="0" collapsed="false">
      <c r="C3394" s="41" t="str">
        <f aca="false">IF(A3394="","",TEXT(A3394,"mmm-yyyy"))</f>
        <v/>
      </c>
      <c r="I3394" s="47" t="str">
        <f aca="false">IF(G3394="","",G3394+H3394)</f>
        <v/>
      </c>
    </row>
    <row r="3395" customFormat="false" ht="15" hidden="false" customHeight="false" outlineLevel="0" collapsed="false">
      <c r="C3395" s="41" t="str">
        <f aca="false">IF(A3395="","",TEXT(A3395,"mmm-yyyy"))</f>
        <v/>
      </c>
      <c r="I3395" s="47" t="str">
        <f aca="false">IF(G3395="","",G3395+H3395)</f>
        <v/>
      </c>
    </row>
    <row r="3396" customFormat="false" ht="15" hidden="false" customHeight="false" outlineLevel="0" collapsed="false">
      <c r="C3396" s="41" t="str">
        <f aca="false">IF(A3396="","",TEXT(A3396,"mmm-yyyy"))</f>
        <v/>
      </c>
      <c r="I3396" s="47" t="str">
        <f aca="false">IF(G3396="","",G3396+H3396)</f>
        <v/>
      </c>
    </row>
    <row r="3397" customFormat="false" ht="15" hidden="false" customHeight="false" outlineLevel="0" collapsed="false">
      <c r="C3397" s="41" t="str">
        <f aca="false">IF(A3397="","",TEXT(A3397,"mmm-yyyy"))</f>
        <v/>
      </c>
      <c r="I3397" s="47" t="str">
        <f aca="false">IF(G3397="","",G3397+H3397)</f>
        <v/>
      </c>
    </row>
    <row r="3398" customFormat="false" ht="15" hidden="false" customHeight="false" outlineLevel="0" collapsed="false">
      <c r="C3398" s="41" t="str">
        <f aca="false">IF(A3398="","",TEXT(A3398,"mmm-yyyy"))</f>
        <v/>
      </c>
      <c r="I3398" s="47" t="str">
        <f aca="false">IF(G3398="","",G3398+H3398)</f>
        <v/>
      </c>
    </row>
    <row r="3399" customFormat="false" ht="15" hidden="false" customHeight="false" outlineLevel="0" collapsed="false">
      <c r="C3399" s="41" t="str">
        <f aca="false">IF(A3399="","",TEXT(A3399,"mmm-yyyy"))</f>
        <v/>
      </c>
      <c r="I3399" s="47" t="str">
        <f aca="false">IF(G3399="","",G3399+H3399)</f>
        <v/>
      </c>
    </row>
    <row r="3400" customFormat="false" ht="15" hidden="false" customHeight="false" outlineLevel="0" collapsed="false">
      <c r="C3400" s="41" t="str">
        <f aca="false">IF(A3400="","",TEXT(A3400,"mmm-yyyy"))</f>
        <v/>
      </c>
      <c r="I3400" s="47" t="str">
        <f aca="false">IF(G3400="","",G3400+H3400)</f>
        <v/>
      </c>
    </row>
    <row r="3401" customFormat="false" ht="15" hidden="false" customHeight="false" outlineLevel="0" collapsed="false">
      <c r="C3401" s="41" t="str">
        <f aca="false">IF(A3401="","",TEXT(A3401,"mmm-yyyy"))</f>
        <v/>
      </c>
      <c r="I3401" s="47" t="str">
        <f aca="false">IF(G3401="","",G3401+H3401)</f>
        <v/>
      </c>
    </row>
    <row r="3402" customFormat="false" ht="15" hidden="false" customHeight="false" outlineLevel="0" collapsed="false">
      <c r="C3402" s="41" t="str">
        <f aca="false">IF(A3402="","",TEXT(A3402,"mmm-yyyy"))</f>
        <v/>
      </c>
      <c r="I3402" s="47" t="str">
        <f aca="false">IF(G3402="","",G3402+H3402)</f>
        <v/>
      </c>
    </row>
    <row r="3403" customFormat="false" ht="15" hidden="false" customHeight="false" outlineLevel="0" collapsed="false">
      <c r="C3403" s="41" t="str">
        <f aca="false">IF(A3403="","",TEXT(A3403,"mmm-yyyy"))</f>
        <v/>
      </c>
      <c r="I3403" s="47" t="str">
        <f aca="false">IF(G3403="","",G3403+H3403)</f>
        <v/>
      </c>
    </row>
    <row r="3404" customFormat="false" ht="15" hidden="false" customHeight="false" outlineLevel="0" collapsed="false">
      <c r="C3404" s="41" t="str">
        <f aca="false">IF(A3404="","",TEXT(A3404,"mmm-yyyy"))</f>
        <v/>
      </c>
      <c r="I3404" s="47" t="str">
        <f aca="false">IF(G3404="","",G3404+H3404)</f>
        <v/>
      </c>
    </row>
    <row r="3405" customFormat="false" ht="15" hidden="false" customHeight="false" outlineLevel="0" collapsed="false">
      <c r="C3405" s="41" t="str">
        <f aca="false">IF(A3405="","",TEXT(A3405,"mmm-yyyy"))</f>
        <v/>
      </c>
      <c r="I3405" s="47" t="str">
        <f aca="false">IF(G3405="","",G3405+H3405)</f>
        <v/>
      </c>
    </row>
    <row r="3406" customFormat="false" ht="15" hidden="false" customHeight="false" outlineLevel="0" collapsed="false">
      <c r="C3406" s="41" t="str">
        <f aca="false">IF(A3406="","",TEXT(A3406,"mmm-yyyy"))</f>
        <v/>
      </c>
      <c r="I3406" s="47" t="str">
        <f aca="false">IF(G3406="","",G3406+H3406)</f>
        <v/>
      </c>
    </row>
    <row r="3407" customFormat="false" ht="15" hidden="false" customHeight="false" outlineLevel="0" collapsed="false">
      <c r="C3407" s="41" t="str">
        <f aca="false">IF(A3407="","",TEXT(A3407,"mmm-yyyy"))</f>
        <v/>
      </c>
      <c r="I3407" s="47" t="str">
        <f aca="false">IF(G3407="","",G3407+H3407)</f>
        <v/>
      </c>
    </row>
    <row r="3408" customFormat="false" ht="15" hidden="false" customHeight="false" outlineLevel="0" collapsed="false">
      <c r="C3408" s="41" t="str">
        <f aca="false">IF(A3408="","",TEXT(A3408,"mmm-yyyy"))</f>
        <v/>
      </c>
      <c r="I3408" s="47" t="str">
        <f aca="false">IF(G3408="","",G3408+H3408)</f>
        <v/>
      </c>
    </row>
    <row r="3409" customFormat="false" ht="15" hidden="false" customHeight="false" outlineLevel="0" collapsed="false">
      <c r="C3409" s="41" t="str">
        <f aca="false">IF(A3409="","",TEXT(A3409,"mmm-yyyy"))</f>
        <v/>
      </c>
      <c r="I3409" s="47" t="str">
        <f aca="false">IF(G3409="","",G3409+H3409)</f>
        <v/>
      </c>
    </row>
    <row r="3410" customFormat="false" ht="15" hidden="false" customHeight="false" outlineLevel="0" collapsed="false">
      <c r="C3410" s="41" t="str">
        <f aca="false">IF(A3410="","",TEXT(A3410,"mmm-yyyy"))</f>
        <v/>
      </c>
      <c r="I3410" s="47" t="str">
        <f aca="false">IF(G3410="","",G3410+H3410)</f>
        <v/>
      </c>
    </row>
    <row r="3411" customFormat="false" ht="15" hidden="false" customHeight="false" outlineLevel="0" collapsed="false">
      <c r="C3411" s="41" t="str">
        <f aca="false">IF(A3411="","",TEXT(A3411,"mmm-yyyy"))</f>
        <v/>
      </c>
      <c r="I3411" s="47" t="str">
        <f aca="false">IF(G3411="","",G3411+H3411)</f>
        <v/>
      </c>
    </row>
    <row r="3412" customFormat="false" ht="15" hidden="false" customHeight="false" outlineLevel="0" collapsed="false">
      <c r="C3412" s="41" t="str">
        <f aca="false">IF(A3412="","",TEXT(A3412,"mmm-yyyy"))</f>
        <v/>
      </c>
      <c r="I3412" s="47" t="str">
        <f aca="false">IF(G3412="","",G3412+H3412)</f>
        <v/>
      </c>
    </row>
    <row r="3413" customFormat="false" ht="15" hidden="false" customHeight="false" outlineLevel="0" collapsed="false">
      <c r="C3413" s="41" t="str">
        <f aca="false">IF(A3413="","",TEXT(A3413,"mmm-yyyy"))</f>
        <v/>
      </c>
      <c r="I3413" s="47" t="str">
        <f aca="false">IF(G3413="","",G3413+H3413)</f>
        <v/>
      </c>
    </row>
    <row r="3414" customFormat="false" ht="15" hidden="false" customHeight="false" outlineLevel="0" collapsed="false">
      <c r="C3414" s="41" t="str">
        <f aca="false">IF(A3414="","",TEXT(A3414,"mmm-yyyy"))</f>
        <v/>
      </c>
      <c r="I3414" s="47" t="str">
        <f aca="false">IF(G3414="","",G3414+H3414)</f>
        <v/>
      </c>
    </row>
    <row r="3415" customFormat="false" ht="15" hidden="false" customHeight="false" outlineLevel="0" collapsed="false">
      <c r="C3415" s="41" t="str">
        <f aca="false">IF(A3415="","",TEXT(A3415,"mmm-yyyy"))</f>
        <v/>
      </c>
      <c r="I3415" s="47" t="str">
        <f aca="false">IF(G3415="","",G3415+H3415)</f>
        <v/>
      </c>
    </row>
    <row r="3416" customFormat="false" ht="15" hidden="false" customHeight="false" outlineLevel="0" collapsed="false">
      <c r="C3416" s="41" t="str">
        <f aca="false">IF(A3416="","",TEXT(A3416,"mmm-yyyy"))</f>
        <v/>
      </c>
      <c r="I3416" s="47" t="str">
        <f aca="false">IF(G3416="","",G3416+H3416)</f>
        <v/>
      </c>
    </row>
    <row r="3417" customFormat="false" ht="15" hidden="false" customHeight="false" outlineLevel="0" collapsed="false">
      <c r="C3417" s="41" t="str">
        <f aca="false">IF(A3417="","",TEXT(A3417,"mmm-yyyy"))</f>
        <v/>
      </c>
      <c r="I3417" s="47" t="str">
        <f aca="false">IF(G3417="","",G3417+H3417)</f>
        <v/>
      </c>
    </row>
    <row r="3418" customFormat="false" ht="15" hidden="false" customHeight="false" outlineLevel="0" collapsed="false">
      <c r="C3418" s="41" t="str">
        <f aca="false">IF(A3418="","",TEXT(A3418,"mmm-yyyy"))</f>
        <v/>
      </c>
      <c r="I3418" s="47" t="str">
        <f aca="false">IF(G3418="","",G3418+H3418)</f>
        <v/>
      </c>
    </row>
    <row r="3419" customFormat="false" ht="15" hidden="false" customHeight="false" outlineLevel="0" collapsed="false">
      <c r="C3419" s="41" t="str">
        <f aca="false">IF(A3419="","",TEXT(A3419,"mmm-yyyy"))</f>
        <v/>
      </c>
      <c r="I3419" s="47" t="str">
        <f aca="false">IF(G3419="","",G3419+H3419)</f>
        <v/>
      </c>
    </row>
    <row r="3420" customFormat="false" ht="15" hidden="false" customHeight="false" outlineLevel="0" collapsed="false">
      <c r="C3420" s="41" t="str">
        <f aca="false">IF(A3420="","",TEXT(A3420,"mmm-yyyy"))</f>
        <v/>
      </c>
      <c r="I3420" s="47" t="str">
        <f aca="false">IF(G3420="","",G3420+H3420)</f>
        <v/>
      </c>
    </row>
    <row r="3421" customFormat="false" ht="15" hidden="false" customHeight="false" outlineLevel="0" collapsed="false">
      <c r="C3421" s="41" t="str">
        <f aca="false">IF(A3421="","",TEXT(A3421,"mmm-yyyy"))</f>
        <v/>
      </c>
      <c r="I3421" s="47" t="str">
        <f aca="false">IF(G3421="","",G3421+H3421)</f>
        <v/>
      </c>
    </row>
    <row r="3422" customFormat="false" ht="15" hidden="false" customHeight="false" outlineLevel="0" collapsed="false">
      <c r="C3422" s="41" t="str">
        <f aca="false">IF(A3422="","",TEXT(A3422,"mmm-yyyy"))</f>
        <v/>
      </c>
      <c r="I3422" s="47" t="str">
        <f aca="false">IF(G3422="","",G3422+H3422)</f>
        <v/>
      </c>
    </row>
    <row r="3423" customFormat="false" ht="15" hidden="false" customHeight="false" outlineLevel="0" collapsed="false">
      <c r="C3423" s="41" t="str">
        <f aca="false">IF(A3423="","",TEXT(A3423,"mmm-yyyy"))</f>
        <v/>
      </c>
      <c r="I3423" s="47" t="str">
        <f aca="false">IF(G3423="","",G3423+H3423)</f>
        <v/>
      </c>
    </row>
    <row r="3424" customFormat="false" ht="15" hidden="false" customHeight="false" outlineLevel="0" collapsed="false">
      <c r="C3424" s="41" t="str">
        <f aca="false">IF(A3424="","",TEXT(A3424,"mmm-yyyy"))</f>
        <v/>
      </c>
      <c r="I3424" s="47" t="str">
        <f aca="false">IF(G3424="","",G3424+H3424)</f>
        <v/>
      </c>
    </row>
    <row r="3425" customFormat="false" ht="15" hidden="false" customHeight="false" outlineLevel="0" collapsed="false">
      <c r="C3425" s="41" t="str">
        <f aca="false">IF(A3425="","",TEXT(A3425,"mmm-yyyy"))</f>
        <v/>
      </c>
      <c r="I3425" s="47" t="str">
        <f aca="false">IF(G3425="","",G3425+H3425)</f>
        <v/>
      </c>
    </row>
    <row r="3426" customFormat="false" ht="15" hidden="false" customHeight="false" outlineLevel="0" collapsed="false">
      <c r="C3426" s="41" t="str">
        <f aca="false">IF(A3426="","",TEXT(A3426,"mmm-yyyy"))</f>
        <v/>
      </c>
      <c r="I3426" s="47" t="str">
        <f aca="false">IF(G3426="","",G3426+H3426)</f>
        <v/>
      </c>
    </row>
    <row r="3427" customFormat="false" ht="15" hidden="false" customHeight="false" outlineLevel="0" collapsed="false">
      <c r="C3427" s="41" t="str">
        <f aca="false">IF(A3427="","",TEXT(A3427,"mmm-yyyy"))</f>
        <v/>
      </c>
      <c r="I3427" s="47" t="str">
        <f aca="false">IF(G3427="","",G3427+H3427)</f>
        <v/>
      </c>
    </row>
    <row r="3428" customFormat="false" ht="15" hidden="false" customHeight="false" outlineLevel="0" collapsed="false">
      <c r="C3428" s="41" t="str">
        <f aca="false">IF(A3428="","",TEXT(A3428,"mmm-yyyy"))</f>
        <v/>
      </c>
      <c r="I3428" s="47" t="str">
        <f aca="false">IF(G3428="","",G3428+H3428)</f>
        <v/>
      </c>
    </row>
    <row r="3429" customFormat="false" ht="15" hidden="false" customHeight="false" outlineLevel="0" collapsed="false">
      <c r="C3429" s="41" t="str">
        <f aca="false">IF(A3429="","",TEXT(A3429,"mmm-yyyy"))</f>
        <v/>
      </c>
      <c r="I3429" s="47" t="str">
        <f aca="false">IF(G3429="","",G3429+H3429)</f>
        <v/>
      </c>
    </row>
    <row r="3430" customFormat="false" ht="15" hidden="false" customHeight="false" outlineLevel="0" collapsed="false">
      <c r="C3430" s="41" t="str">
        <f aca="false">IF(A3430="","",TEXT(A3430,"mmm-yyyy"))</f>
        <v/>
      </c>
      <c r="I3430" s="47" t="str">
        <f aca="false">IF(G3430="","",G3430+H3430)</f>
        <v/>
      </c>
    </row>
    <row r="3431" customFormat="false" ht="15" hidden="false" customHeight="false" outlineLevel="0" collapsed="false">
      <c r="C3431" s="41" t="str">
        <f aca="false">IF(A3431="","",TEXT(A3431,"mmm-yyyy"))</f>
        <v/>
      </c>
      <c r="I3431" s="47" t="str">
        <f aca="false">IF(G3431="","",G3431+H3431)</f>
        <v/>
      </c>
    </row>
    <row r="3432" customFormat="false" ht="15" hidden="false" customHeight="false" outlineLevel="0" collapsed="false">
      <c r="C3432" s="41" t="str">
        <f aca="false">IF(A3432="","",TEXT(A3432,"mmm-yyyy"))</f>
        <v/>
      </c>
      <c r="I3432" s="47" t="str">
        <f aca="false">IF(G3432="","",G3432+H3432)</f>
        <v/>
      </c>
    </row>
    <row r="3433" customFormat="false" ht="15" hidden="false" customHeight="false" outlineLevel="0" collapsed="false">
      <c r="C3433" s="41" t="str">
        <f aca="false">IF(A3433="","",TEXT(A3433,"mmm-yyyy"))</f>
        <v/>
      </c>
      <c r="I3433" s="47" t="str">
        <f aca="false">IF(G3433="","",G3433+H3433)</f>
        <v/>
      </c>
    </row>
    <row r="3434" customFormat="false" ht="15" hidden="false" customHeight="false" outlineLevel="0" collapsed="false">
      <c r="C3434" s="41" t="str">
        <f aca="false">IF(A3434="","",TEXT(A3434,"mmm-yyyy"))</f>
        <v/>
      </c>
      <c r="I3434" s="47" t="str">
        <f aca="false">IF(G3434="","",G3434+H3434)</f>
        <v/>
      </c>
    </row>
    <row r="3435" customFormat="false" ht="15" hidden="false" customHeight="false" outlineLevel="0" collapsed="false">
      <c r="C3435" s="41" t="str">
        <f aca="false">IF(A3435="","",TEXT(A3435,"mmm-yyyy"))</f>
        <v/>
      </c>
      <c r="I3435" s="47" t="str">
        <f aca="false">IF(G3435="","",G3435+H3435)</f>
        <v/>
      </c>
    </row>
    <row r="3436" customFormat="false" ht="15" hidden="false" customHeight="false" outlineLevel="0" collapsed="false">
      <c r="C3436" s="41" t="str">
        <f aca="false">IF(A3436="","",TEXT(A3436,"mmm-yyyy"))</f>
        <v/>
      </c>
      <c r="I3436" s="47" t="str">
        <f aca="false">IF(G3436="","",G3436+H3436)</f>
        <v/>
      </c>
    </row>
    <row r="3437" customFormat="false" ht="15" hidden="false" customHeight="false" outlineLevel="0" collapsed="false">
      <c r="C3437" s="41" t="str">
        <f aca="false">IF(A3437="","",TEXT(A3437,"mmm-yyyy"))</f>
        <v/>
      </c>
      <c r="I3437" s="47" t="str">
        <f aca="false">IF(G3437="","",G3437+H3437)</f>
        <v/>
      </c>
    </row>
    <row r="3438" customFormat="false" ht="15" hidden="false" customHeight="false" outlineLevel="0" collapsed="false">
      <c r="C3438" s="41" t="str">
        <f aca="false">IF(A3438="","",TEXT(A3438,"mmm-yyyy"))</f>
        <v/>
      </c>
      <c r="I3438" s="47" t="str">
        <f aca="false">IF(G3438="","",G3438+H3438)</f>
        <v/>
      </c>
    </row>
    <row r="3439" customFormat="false" ht="15" hidden="false" customHeight="false" outlineLevel="0" collapsed="false">
      <c r="C3439" s="41" t="str">
        <f aca="false">IF(A3439="","",TEXT(A3439,"mmm-yyyy"))</f>
        <v/>
      </c>
      <c r="I3439" s="47" t="str">
        <f aca="false">IF(G3439="","",G3439+H3439)</f>
        <v/>
      </c>
    </row>
    <row r="3440" customFormat="false" ht="15" hidden="false" customHeight="false" outlineLevel="0" collapsed="false">
      <c r="C3440" s="41" t="str">
        <f aca="false">IF(A3440="","",TEXT(A3440,"mmm-yyyy"))</f>
        <v/>
      </c>
      <c r="I3440" s="47" t="str">
        <f aca="false">IF(G3440="","",G3440+H3440)</f>
        <v/>
      </c>
    </row>
    <row r="3441" customFormat="false" ht="15" hidden="false" customHeight="false" outlineLevel="0" collapsed="false">
      <c r="C3441" s="41" t="str">
        <f aca="false">IF(A3441="","",TEXT(A3441,"mmm-yyyy"))</f>
        <v/>
      </c>
      <c r="I3441" s="47" t="str">
        <f aca="false">IF(G3441="","",G3441+H3441)</f>
        <v/>
      </c>
    </row>
    <row r="3442" customFormat="false" ht="15" hidden="false" customHeight="false" outlineLevel="0" collapsed="false">
      <c r="C3442" s="41" t="str">
        <f aca="false">IF(A3442="","",TEXT(A3442,"mmm-yyyy"))</f>
        <v/>
      </c>
      <c r="I3442" s="47" t="str">
        <f aca="false">IF(G3442="","",G3442+H3442)</f>
        <v/>
      </c>
    </row>
    <row r="3443" customFormat="false" ht="15" hidden="false" customHeight="false" outlineLevel="0" collapsed="false">
      <c r="C3443" s="41" t="str">
        <f aca="false">IF(A3443="","",TEXT(A3443,"mmm-yyyy"))</f>
        <v/>
      </c>
      <c r="I3443" s="47" t="str">
        <f aca="false">IF(G3443="","",G3443+H3443)</f>
        <v/>
      </c>
    </row>
    <row r="3444" customFormat="false" ht="15" hidden="false" customHeight="false" outlineLevel="0" collapsed="false">
      <c r="C3444" s="41" t="str">
        <f aca="false">IF(A3444="","",TEXT(A3444,"mmm-yyyy"))</f>
        <v/>
      </c>
      <c r="I3444" s="47" t="str">
        <f aca="false">IF(G3444="","",G3444+H3444)</f>
        <v/>
      </c>
    </row>
    <row r="3445" customFormat="false" ht="15" hidden="false" customHeight="false" outlineLevel="0" collapsed="false">
      <c r="C3445" s="41" t="str">
        <f aca="false">IF(A3445="","",TEXT(A3445,"mmm-yyyy"))</f>
        <v/>
      </c>
      <c r="I3445" s="47" t="str">
        <f aca="false">IF(G3445="","",G3445+H3445)</f>
        <v/>
      </c>
    </row>
    <row r="3446" customFormat="false" ht="15" hidden="false" customHeight="false" outlineLevel="0" collapsed="false">
      <c r="C3446" s="41" t="str">
        <f aca="false">IF(A3446="","",TEXT(A3446,"mmm-yyyy"))</f>
        <v/>
      </c>
      <c r="I3446" s="47" t="str">
        <f aca="false">IF(G3446="","",G3446+H3446)</f>
        <v/>
      </c>
    </row>
    <row r="3447" customFormat="false" ht="15" hidden="false" customHeight="false" outlineLevel="0" collapsed="false">
      <c r="C3447" s="41" t="str">
        <f aca="false">IF(A3447="","",TEXT(A3447,"mmm-yyyy"))</f>
        <v/>
      </c>
      <c r="I3447" s="47" t="str">
        <f aca="false">IF(G3447="","",G3447+H3447)</f>
        <v/>
      </c>
    </row>
    <row r="3448" customFormat="false" ht="15" hidden="false" customHeight="false" outlineLevel="0" collapsed="false">
      <c r="C3448" s="41" t="str">
        <f aca="false">IF(A3448="","",TEXT(A3448,"mmm-yyyy"))</f>
        <v/>
      </c>
      <c r="I3448" s="47" t="str">
        <f aca="false">IF(G3448="","",G3448+H3448)</f>
        <v/>
      </c>
    </row>
    <row r="3449" customFormat="false" ht="15" hidden="false" customHeight="false" outlineLevel="0" collapsed="false">
      <c r="C3449" s="41" t="str">
        <f aca="false">IF(A3449="","",TEXT(A3449,"mmm-yyyy"))</f>
        <v/>
      </c>
      <c r="I3449" s="47" t="str">
        <f aca="false">IF(G3449="","",G3449+H3449)</f>
        <v/>
      </c>
    </row>
    <row r="3450" customFormat="false" ht="15" hidden="false" customHeight="false" outlineLevel="0" collapsed="false">
      <c r="C3450" s="41" t="str">
        <f aca="false">IF(A3450="","",TEXT(A3450,"mmm-yyyy"))</f>
        <v/>
      </c>
      <c r="I3450" s="47" t="str">
        <f aca="false">IF(G3450="","",G3450+H3450)</f>
        <v/>
      </c>
    </row>
    <row r="3451" customFormat="false" ht="15" hidden="false" customHeight="false" outlineLevel="0" collapsed="false">
      <c r="C3451" s="41" t="str">
        <f aca="false">IF(A3451="","",TEXT(A3451,"mmm-yyyy"))</f>
        <v/>
      </c>
      <c r="I3451" s="47" t="str">
        <f aca="false">IF(G3451="","",G3451+H3451)</f>
        <v/>
      </c>
    </row>
    <row r="3452" customFormat="false" ht="15" hidden="false" customHeight="false" outlineLevel="0" collapsed="false">
      <c r="C3452" s="41" t="str">
        <f aca="false">IF(A3452="","",TEXT(A3452,"mmm-yyyy"))</f>
        <v/>
      </c>
      <c r="I3452" s="47" t="str">
        <f aca="false">IF(G3452="","",G3452+H3452)</f>
        <v/>
      </c>
    </row>
    <row r="3453" customFormat="false" ht="15" hidden="false" customHeight="false" outlineLevel="0" collapsed="false">
      <c r="C3453" s="41" t="str">
        <f aca="false">IF(A3453="","",TEXT(A3453,"mmm-yyyy"))</f>
        <v/>
      </c>
      <c r="I3453" s="47" t="str">
        <f aca="false">IF(G3453="","",G3453+H3453)</f>
        <v/>
      </c>
    </row>
    <row r="3454" customFormat="false" ht="15" hidden="false" customHeight="false" outlineLevel="0" collapsed="false">
      <c r="C3454" s="41" t="str">
        <f aca="false">IF(A3454="","",TEXT(A3454,"mmm-yyyy"))</f>
        <v/>
      </c>
      <c r="I3454" s="47" t="str">
        <f aca="false">IF(G3454="","",G3454+H3454)</f>
        <v/>
      </c>
    </row>
    <row r="3455" customFormat="false" ht="15" hidden="false" customHeight="false" outlineLevel="0" collapsed="false">
      <c r="C3455" s="41" t="str">
        <f aca="false">IF(A3455="","",TEXT(A3455,"mmm-yyyy"))</f>
        <v/>
      </c>
      <c r="I3455" s="47" t="str">
        <f aca="false">IF(G3455="","",G3455+H3455)</f>
        <v/>
      </c>
    </row>
    <row r="3456" customFormat="false" ht="15" hidden="false" customHeight="false" outlineLevel="0" collapsed="false">
      <c r="C3456" s="41" t="str">
        <f aca="false">IF(A3456="","",TEXT(A3456,"mmm-yyyy"))</f>
        <v/>
      </c>
      <c r="I3456" s="47" t="str">
        <f aca="false">IF(G3456="","",G3456+H3456)</f>
        <v/>
      </c>
    </row>
    <row r="3457" customFormat="false" ht="15" hidden="false" customHeight="false" outlineLevel="0" collapsed="false">
      <c r="C3457" s="41" t="str">
        <f aca="false">IF(A3457="","",TEXT(A3457,"mmm-yyyy"))</f>
        <v/>
      </c>
      <c r="I3457" s="47" t="str">
        <f aca="false">IF(G3457="","",G3457+H3457)</f>
        <v/>
      </c>
    </row>
    <row r="3458" customFormat="false" ht="15" hidden="false" customHeight="false" outlineLevel="0" collapsed="false">
      <c r="C3458" s="41" t="str">
        <f aca="false">IF(A3458="","",TEXT(A3458,"mmm-yyyy"))</f>
        <v/>
      </c>
      <c r="I3458" s="47" t="str">
        <f aca="false">IF(G3458="","",G3458+H3458)</f>
        <v/>
      </c>
    </row>
    <row r="3459" customFormat="false" ht="15" hidden="false" customHeight="false" outlineLevel="0" collapsed="false">
      <c r="C3459" s="41" t="str">
        <f aca="false">IF(A3459="","",TEXT(A3459,"mmm-yyyy"))</f>
        <v/>
      </c>
      <c r="I3459" s="47" t="str">
        <f aca="false">IF(G3459="","",G3459+H3459)</f>
        <v/>
      </c>
    </row>
    <row r="3460" customFormat="false" ht="15" hidden="false" customHeight="false" outlineLevel="0" collapsed="false">
      <c r="C3460" s="41" t="str">
        <f aca="false">IF(A3460="","",TEXT(A3460,"mmm-yyyy"))</f>
        <v/>
      </c>
      <c r="I3460" s="47" t="str">
        <f aca="false">IF(G3460="","",G3460+H3460)</f>
        <v/>
      </c>
    </row>
    <row r="3461" customFormat="false" ht="15" hidden="false" customHeight="false" outlineLevel="0" collapsed="false">
      <c r="C3461" s="41" t="str">
        <f aca="false">IF(A3461="","",TEXT(A3461,"mmm-yyyy"))</f>
        <v/>
      </c>
      <c r="I3461" s="47" t="str">
        <f aca="false">IF(G3461="","",G3461+H3461)</f>
        <v/>
      </c>
    </row>
    <row r="3462" customFormat="false" ht="15" hidden="false" customHeight="false" outlineLevel="0" collapsed="false">
      <c r="C3462" s="41" t="str">
        <f aca="false">IF(A3462="","",TEXT(A3462,"mmm-yyyy"))</f>
        <v/>
      </c>
      <c r="I3462" s="47" t="str">
        <f aca="false">IF(G3462="","",G3462+H3462)</f>
        <v/>
      </c>
    </row>
    <row r="3463" customFormat="false" ht="15" hidden="false" customHeight="false" outlineLevel="0" collapsed="false">
      <c r="C3463" s="41" t="str">
        <f aca="false">IF(A3463="","",TEXT(A3463,"mmm-yyyy"))</f>
        <v/>
      </c>
      <c r="I3463" s="47" t="str">
        <f aca="false">IF(G3463="","",G3463+H3463)</f>
        <v/>
      </c>
    </row>
    <row r="3464" customFormat="false" ht="15" hidden="false" customHeight="false" outlineLevel="0" collapsed="false">
      <c r="C3464" s="41" t="str">
        <f aca="false">IF(A3464="","",TEXT(A3464,"mmm-yyyy"))</f>
        <v/>
      </c>
      <c r="I3464" s="47" t="str">
        <f aca="false">IF(G3464="","",G3464+H3464)</f>
        <v/>
      </c>
    </row>
    <row r="3465" customFormat="false" ht="15" hidden="false" customHeight="false" outlineLevel="0" collapsed="false">
      <c r="C3465" s="41" t="str">
        <f aca="false">IF(A3465="","",TEXT(A3465,"mmm-yyyy"))</f>
        <v/>
      </c>
      <c r="I3465" s="47" t="str">
        <f aca="false">IF(G3465="","",G3465+H3465)</f>
        <v/>
      </c>
    </row>
    <row r="3466" customFormat="false" ht="15" hidden="false" customHeight="false" outlineLevel="0" collapsed="false">
      <c r="C3466" s="41" t="str">
        <f aca="false">IF(A3466="","",TEXT(A3466,"mmm-yyyy"))</f>
        <v/>
      </c>
      <c r="I3466" s="47" t="str">
        <f aca="false">IF(G3466="","",G3466+H3466)</f>
        <v/>
      </c>
    </row>
    <row r="3467" customFormat="false" ht="15" hidden="false" customHeight="false" outlineLevel="0" collapsed="false">
      <c r="C3467" s="41" t="str">
        <f aca="false">IF(A3467="","",TEXT(A3467,"mmm-yyyy"))</f>
        <v/>
      </c>
      <c r="I3467" s="47" t="str">
        <f aca="false">IF(G3467="","",G3467+H3467)</f>
        <v/>
      </c>
    </row>
    <row r="3468" customFormat="false" ht="15" hidden="false" customHeight="false" outlineLevel="0" collapsed="false">
      <c r="C3468" s="41" t="str">
        <f aca="false">IF(A3468="","",TEXT(A3468,"mmm-yyyy"))</f>
        <v/>
      </c>
      <c r="I3468" s="47" t="str">
        <f aca="false">IF(G3468="","",G3468+H3468)</f>
        <v/>
      </c>
    </row>
    <row r="3469" customFormat="false" ht="15" hidden="false" customHeight="false" outlineLevel="0" collapsed="false">
      <c r="C3469" s="41" t="str">
        <f aca="false">IF(A3469="","",TEXT(A3469,"mmm-yyyy"))</f>
        <v/>
      </c>
      <c r="I3469" s="47" t="str">
        <f aca="false">IF(G3469="","",G3469+H3469)</f>
        <v/>
      </c>
    </row>
    <row r="3470" customFormat="false" ht="15" hidden="false" customHeight="false" outlineLevel="0" collapsed="false">
      <c r="C3470" s="41" t="str">
        <f aca="false">IF(A3470="","",TEXT(A3470,"mmm-yyyy"))</f>
        <v/>
      </c>
      <c r="I3470" s="47" t="str">
        <f aca="false">IF(G3470="","",G3470+H3470)</f>
        <v/>
      </c>
    </row>
    <row r="3471" customFormat="false" ht="15" hidden="false" customHeight="false" outlineLevel="0" collapsed="false">
      <c r="C3471" s="41" t="str">
        <f aca="false">IF(A3471="","",TEXT(A3471,"mmm-yyyy"))</f>
        <v/>
      </c>
      <c r="I3471" s="47" t="str">
        <f aca="false">IF(G3471="","",G3471+H3471)</f>
        <v/>
      </c>
    </row>
    <row r="3472" customFormat="false" ht="15" hidden="false" customHeight="false" outlineLevel="0" collapsed="false">
      <c r="C3472" s="41" t="str">
        <f aca="false">IF(A3472="","",TEXT(A3472,"mmm-yyyy"))</f>
        <v/>
      </c>
      <c r="I3472" s="47" t="str">
        <f aca="false">IF(G3472="","",G3472+H3472)</f>
        <v/>
      </c>
    </row>
    <row r="3473" customFormat="false" ht="15" hidden="false" customHeight="false" outlineLevel="0" collapsed="false">
      <c r="C3473" s="41" t="str">
        <f aca="false">IF(A3473="","",TEXT(A3473,"mmm-yyyy"))</f>
        <v/>
      </c>
      <c r="I3473" s="47" t="str">
        <f aca="false">IF(G3473="","",G3473+H3473)</f>
        <v/>
      </c>
    </row>
    <row r="3474" customFormat="false" ht="15" hidden="false" customHeight="false" outlineLevel="0" collapsed="false">
      <c r="C3474" s="41" t="str">
        <f aca="false">IF(A3474="","",TEXT(A3474,"mmm-yyyy"))</f>
        <v/>
      </c>
      <c r="I3474" s="47" t="str">
        <f aca="false">IF(G3474="","",G3474+H3474)</f>
        <v/>
      </c>
    </row>
    <row r="3475" customFormat="false" ht="15" hidden="false" customHeight="false" outlineLevel="0" collapsed="false">
      <c r="C3475" s="41" t="str">
        <f aca="false">IF(A3475="","",TEXT(A3475,"mmm-yyyy"))</f>
        <v/>
      </c>
      <c r="I3475" s="47" t="str">
        <f aca="false">IF(G3475="","",G3475+H3475)</f>
        <v/>
      </c>
    </row>
    <row r="3476" customFormat="false" ht="15" hidden="false" customHeight="false" outlineLevel="0" collapsed="false">
      <c r="C3476" s="41" t="str">
        <f aca="false">IF(A3476="","",TEXT(A3476,"mmm-yyyy"))</f>
        <v/>
      </c>
      <c r="I3476" s="47" t="str">
        <f aca="false">IF(G3476="","",G3476+H3476)</f>
        <v/>
      </c>
    </row>
    <row r="3477" customFormat="false" ht="15" hidden="false" customHeight="false" outlineLevel="0" collapsed="false">
      <c r="C3477" s="41" t="str">
        <f aca="false">IF(A3477="","",TEXT(A3477,"mmm-yyyy"))</f>
        <v/>
      </c>
      <c r="I3477" s="47" t="str">
        <f aca="false">IF(G3477="","",G3477+H3477)</f>
        <v/>
      </c>
    </row>
    <row r="3478" customFormat="false" ht="15" hidden="false" customHeight="false" outlineLevel="0" collapsed="false">
      <c r="C3478" s="41" t="str">
        <f aca="false">IF(A3478="","",TEXT(A3478,"mmm-yyyy"))</f>
        <v/>
      </c>
      <c r="I3478" s="47" t="str">
        <f aca="false">IF(G3478="","",G3478+H3478)</f>
        <v/>
      </c>
    </row>
    <row r="3479" customFormat="false" ht="15" hidden="false" customHeight="false" outlineLevel="0" collapsed="false">
      <c r="C3479" s="41" t="str">
        <f aca="false">IF(A3479="","",TEXT(A3479,"mmm-yyyy"))</f>
        <v/>
      </c>
      <c r="I3479" s="47" t="str">
        <f aca="false">IF(G3479="","",G3479+H3479)</f>
        <v/>
      </c>
    </row>
    <row r="3480" customFormat="false" ht="15" hidden="false" customHeight="false" outlineLevel="0" collapsed="false">
      <c r="C3480" s="41" t="str">
        <f aca="false">IF(A3480="","",TEXT(A3480,"mmm-yyyy"))</f>
        <v/>
      </c>
      <c r="I3480" s="47" t="str">
        <f aca="false">IF(G3480="","",G3480+H3480)</f>
        <v/>
      </c>
    </row>
    <row r="3481" customFormat="false" ht="15" hidden="false" customHeight="false" outlineLevel="0" collapsed="false">
      <c r="C3481" s="41" t="str">
        <f aca="false">IF(A3481="","",TEXT(A3481,"mmm-yyyy"))</f>
        <v/>
      </c>
      <c r="I3481" s="47" t="str">
        <f aca="false">IF(G3481="","",G3481+H3481)</f>
        <v/>
      </c>
    </row>
    <row r="3482" customFormat="false" ht="15" hidden="false" customHeight="false" outlineLevel="0" collapsed="false">
      <c r="C3482" s="41" t="str">
        <f aca="false">IF(A3482="","",TEXT(A3482,"mmm-yyyy"))</f>
        <v/>
      </c>
      <c r="I3482" s="47" t="str">
        <f aca="false">IF(G3482="","",G3482+H3482)</f>
        <v/>
      </c>
    </row>
    <row r="3483" customFormat="false" ht="15" hidden="false" customHeight="false" outlineLevel="0" collapsed="false">
      <c r="C3483" s="41" t="str">
        <f aca="false">IF(A3483="","",TEXT(A3483,"mmm-yyyy"))</f>
        <v/>
      </c>
      <c r="I3483" s="47" t="str">
        <f aca="false">IF(G3483="","",G3483+H3483)</f>
        <v/>
      </c>
    </row>
    <row r="3484" customFormat="false" ht="15" hidden="false" customHeight="false" outlineLevel="0" collapsed="false">
      <c r="C3484" s="41" t="str">
        <f aca="false">IF(A3484="","",TEXT(A3484,"mmm-yyyy"))</f>
        <v/>
      </c>
      <c r="I3484" s="47" t="str">
        <f aca="false">IF(G3484="","",G3484+H3484)</f>
        <v/>
      </c>
    </row>
    <row r="3485" customFormat="false" ht="15" hidden="false" customHeight="false" outlineLevel="0" collapsed="false">
      <c r="C3485" s="41" t="str">
        <f aca="false">IF(A3485="","",TEXT(A3485,"mmm-yyyy"))</f>
        <v/>
      </c>
      <c r="I3485" s="47" t="str">
        <f aca="false">IF(G3485="","",G3485+H3485)</f>
        <v/>
      </c>
    </row>
    <row r="3486" customFormat="false" ht="15" hidden="false" customHeight="false" outlineLevel="0" collapsed="false">
      <c r="C3486" s="41" t="str">
        <f aca="false">IF(A3486="","",TEXT(A3486,"mmm-yyyy"))</f>
        <v/>
      </c>
      <c r="I3486" s="47" t="str">
        <f aca="false">IF(G3486="","",G3486+H3486)</f>
        <v/>
      </c>
    </row>
    <row r="3487" customFormat="false" ht="15" hidden="false" customHeight="false" outlineLevel="0" collapsed="false">
      <c r="C3487" s="41" t="str">
        <f aca="false">IF(A3487="","",TEXT(A3487,"mmm-yyyy"))</f>
        <v/>
      </c>
      <c r="I3487" s="47" t="str">
        <f aca="false">IF(G3487="","",G3487+H3487)</f>
        <v/>
      </c>
    </row>
    <row r="3488" customFormat="false" ht="15" hidden="false" customHeight="false" outlineLevel="0" collapsed="false">
      <c r="C3488" s="41" t="str">
        <f aca="false">IF(A3488="","",TEXT(A3488,"mmm-yyyy"))</f>
        <v/>
      </c>
      <c r="I3488" s="47" t="str">
        <f aca="false">IF(G3488="","",G3488+H3488)</f>
        <v/>
      </c>
    </row>
    <row r="3489" customFormat="false" ht="15" hidden="false" customHeight="false" outlineLevel="0" collapsed="false">
      <c r="C3489" s="41" t="str">
        <f aca="false">IF(A3489="","",TEXT(A3489,"mmm-yyyy"))</f>
        <v/>
      </c>
      <c r="I3489" s="47" t="str">
        <f aca="false">IF(G3489="","",G3489+H3489)</f>
        <v/>
      </c>
    </row>
    <row r="3490" customFormat="false" ht="15" hidden="false" customHeight="false" outlineLevel="0" collapsed="false">
      <c r="C3490" s="41" t="str">
        <f aca="false">IF(A3490="","",TEXT(A3490,"mmm-yyyy"))</f>
        <v/>
      </c>
      <c r="I3490" s="47" t="str">
        <f aca="false">IF(G3490="","",G3490+H3490)</f>
        <v/>
      </c>
    </row>
    <row r="3491" customFormat="false" ht="15" hidden="false" customHeight="false" outlineLevel="0" collapsed="false">
      <c r="C3491" s="41" t="str">
        <f aca="false">IF(A3491="","",TEXT(A3491,"mmm-yyyy"))</f>
        <v/>
      </c>
      <c r="I3491" s="47" t="str">
        <f aca="false">IF(G3491="","",G3491+H3491)</f>
        <v/>
      </c>
    </row>
    <row r="3492" customFormat="false" ht="15" hidden="false" customHeight="false" outlineLevel="0" collapsed="false">
      <c r="C3492" s="41" t="str">
        <f aca="false">IF(A3492="","",TEXT(A3492,"mmm-yyyy"))</f>
        <v/>
      </c>
      <c r="I3492" s="47" t="str">
        <f aca="false">IF(G3492="","",G3492+H3492)</f>
        <v/>
      </c>
    </row>
    <row r="3493" customFormat="false" ht="15" hidden="false" customHeight="false" outlineLevel="0" collapsed="false">
      <c r="C3493" s="41" t="str">
        <f aca="false">IF(A3493="","",TEXT(A3493,"mmm-yyyy"))</f>
        <v/>
      </c>
      <c r="I3493" s="47" t="str">
        <f aca="false">IF(G3493="","",G3493+H3493)</f>
        <v/>
      </c>
    </row>
    <row r="3494" customFormat="false" ht="15" hidden="false" customHeight="false" outlineLevel="0" collapsed="false">
      <c r="C3494" s="41" t="str">
        <f aca="false">IF(A3494="","",TEXT(A3494,"mmm-yyyy"))</f>
        <v/>
      </c>
      <c r="I3494" s="47" t="str">
        <f aca="false">IF(G3494="","",G3494+H3494)</f>
        <v/>
      </c>
    </row>
    <row r="3495" customFormat="false" ht="15" hidden="false" customHeight="false" outlineLevel="0" collapsed="false">
      <c r="C3495" s="41" t="str">
        <f aca="false">IF(A3495="","",TEXT(A3495,"mmm-yyyy"))</f>
        <v/>
      </c>
      <c r="I3495" s="47" t="str">
        <f aca="false">IF(G3495="","",G3495+H3495)</f>
        <v/>
      </c>
    </row>
    <row r="3496" customFormat="false" ht="15" hidden="false" customHeight="false" outlineLevel="0" collapsed="false">
      <c r="C3496" s="41" t="str">
        <f aca="false">IF(A3496="","",TEXT(A3496,"mmm-yyyy"))</f>
        <v/>
      </c>
      <c r="I3496" s="47" t="str">
        <f aca="false">IF(G3496="","",G3496+H3496)</f>
        <v/>
      </c>
    </row>
    <row r="3497" customFormat="false" ht="15" hidden="false" customHeight="false" outlineLevel="0" collapsed="false">
      <c r="C3497" s="41" t="str">
        <f aca="false">IF(A3497="","",TEXT(A3497,"mmm-yyyy"))</f>
        <v/>
      </c>
      <c r="I3497" s="47" t="str">
        <f aca="false">IF(G3497="","",G3497+H3497)</f>
        <v/>
      </c>
    </row>
    <row r="3498" customFormat="false" ht="15" hidden="false" customHeight="false" outlineLevel="0" collapsed="false">
      <c r="C3498" s="41" t="str">
        <f aca="false">IF(A3498="","",TEXT(A3498,"mmm-yyyy"))</f>
        <v/>
      </c>
      <c r="I3498" s="47" t="str">
        <f aca="false">IF(G3498="","",G3498+H3498)</f>
        <v/>
      </c>
    </row>
    <row r="3499" customFormat="false" ht="15" hidden="false" customHeight="false" outlineLevel="0" collapsed="false">
      <c r="C3499" s="41" t="str">
        <f aca="false">IF(A3499="","",TEXT(A3499,"mmm-yyyy"))</f>
        <v/>
      </c>
      <c r="I3499" s="47" t="str">
        <f aca="false">IF(G3499="","",G3499+H3499)</f>
        <v/>
      </c>
    </row>
    <row r="3500" customFormat="false" ht="15" hidden="false" customHeight="false" outlineLevel="0" collapsed="false">
      <c r="C3500" s="41" t="str">
        <f aca="false">IF(A3500="","",TEXT(A3500,"mmm-yyyy"))</f>
        <v/>
      </c>
      <c r="I3500" s="47" t="str">
        <f aca="false">IF(G3500="","",G3500+H3500)</f>
        <v/>
      </c>
    </row>
    <row r="3501" customFormat="false" ht="15" hidden="false" customHeight="false" outlineLevel="0" collapsed="false">
      <c r="C3501" s="41" t="str">
        <f aca="false">IF(A3501="","",TEXT(A3501,"mmm-yyyy"))</f>
        <v/>
      </c>
      <c r="I3501" s="47" t="str">
        <f aca="false">IF(G3501="","",G3501+H3501)</f>
        <v/>
      </c>
    </row>
    <row r="3502" customFormat="false" ht="15" hidden="false" customHeight="false" outlineLevel="0" collapsed="false">
      <c r="C3502" s="41" t="str">
        <f aca="false">IF(A3502="","",TEXT(A3502,"mmm-yyyy"))</f>
        <v/>
      </c>
      <c r="I3502" s="47" t="str">
        <f aca="false">IF(G3502="","",G3502+H3502)</f>
        <v/>
      </c>
    </row>
    <row r="3503" customFormat="false" ht="15" hidden="false" customHeight="false" outlineLevel="0" collapsed="false">
      <c r="C3503" s="41" t="str">
        <f aca="false">IF(A3503="","",TEXT(A3503,"mmm-yyyy"))</f>
        <v/>
      </c>
      <c r="I3503" s="47" t="str">
        <f aca="false">IF(G3503="","",G3503+H3503)</f>
        <v/>
      </c>
    </row>
    <row r="3504" customFormat="false" ht="15" hidden="false" customHeight="false" outlineLevel="0" collapsed="false">
      <c r="C3504" s="41" t="str">
        <f aca="false">IF(A3504="","",TEXT(A3504,"mmm-yyyy"))</f>
        <v/>
      </c>
      <c r="I3504" s="47" t="str">
        <f aca="false">IF(G3504="","",G3504+H3504)</f>
        <v/>
      </c>
    </row>
    <row r="3505" customFormat="false" ht="15" hidden="false" customHeight="false" outlineLevel="0" collapsed="false">
      <c r="C3505" s="41" t="str">
        <f aca="false">IF(A3505="","",TEXT(A3505,"mmm-yyyy"))</f>
        <v/>
      </c>
      <c r="I3505" s="47" t="str">
        <f aca="false">IF(G3505="","",G3505+H3505)</f>
        <v/>
      </c>
    </row>
    <row r="3506" customFormat="false" ht="15" hidden="false" customHeight="false" outlineLevel="0" collapsed="false">
      <c r="C3506" s="41" t="str">
        <f aca="false">IF(A3506="","",TEXT(A3506,"mmm-yyyy"))</f>
        <v/>
      </c>
      <c r="I3506" s="47" t="str">
        <f aca="false">IF(G3506="","",G3506+H3506)</f>
        <v/>
      </c>
    </row>
    <row r="3507" customFormat="false" ht="15" hidden="false" customHeight="false" outlineLevel="0" collapsed="false">
      <c r="C3507" s="41" t="str">
        <f aca="false">IF(A3507="","",TEXT(A3507,"mmm-yyyy"))</f>
        <v/>
      </c>
      <c r="I3507" s="47" t="str">
        <f aca="false">IF(G3507="","",G3507+H3507)</f>
        <v/>
      </c>
    </row>
    <row r="3508" customFormat="false" ht="15" hidden="false" customHeight="false" outlineLevel="0" collapsed="false">
      <c r="C3508" s="41" t="str">
        <f aca="false">IF(A3508="","",TEXT(A3508,"mmm-yyyy"))</f>
        <v/>
      </c>
      <c r="I3508" s="47" t="str">
        <f aca="false">IF(G3508="","",G3508+H3508)</f>
        <v/>
      </c>
    </row>
    <row r="3509" customFormat="false" ht="15" hidden="false" customHeight="false" outlineLevel="0" collapsed="false">
      <c r="C3509" s="41" t="str">
        <f aca="false">IF(A3509="","",TEXT(A3509,"mmm-yyyy"))</f>
        <v/>
      </c>
      <c r="I3509" s="47" t="str">
        <f aca="false">IF(G3509="","",G3509+H3509)</f>
        <v/>
      </c>
    </row>
    <row r="3510" customFormat="false" ht="15" hidden="false" customHeight="false" outlineLevel="0" collapsed="false">
      <c r="C3510" s="41" t="str">
        <f aca="false">IF(A3510="","",TEXT(A3510,"mmm-yyyy"))</f>
        <v/>
      </c>
      <c r="I3510" s="47" t="str">
        <f aca="false">IF(G3510="","",G3510+H3510)</f>
        <v/>
      </c>
    </row>
    <row r="3511" customFormat="false" ht="15" hidden="false" customHeight="false" outlineLevel="0" collapsed="false">
      <c r="C3511" s="41" t="str">
        <f aca="false">IF(A3511="","",TEXT(A3511,"mmm-yyyy"))</f>
        <v/>
      </c>
      <c r="I3511" s="47" t="str">
        <f aca="false">IF(G3511="","",G3511+H3511)</f>
        <v/>
      </c>
    </row>
    <row r="3512" customFormat="false" ht="15" hidden="false" customHeight="false" outlineLevel="0" collapsed="false">
      <c r="C3512" s="41" t="str">
        <f aca="false">IF(A3512="","",TEXT(A3512,"mmm-yyyy"))</f>
        <v/>
      </c>
      <c r="I3512" s="47" t="str">
        <f aca="false">IF(G3512="","",G3512+H3512)</f>
        <v/>
      </c>
    </row>
    <row r="3513" customFormat="false" ht="15" hidden="false" customHeight="false" outlineLevel="0" collapsed="false">
      <c r="C3513" s="41" t="str">
        <f aca="false">IF(A3513="","",TEXT(A3513,"mmm-yyyy"))</f>
        <v/>
      </c>
      <c r="I3513" s="47" t="str">
        <f aca="false">IF(G3513="","",G3513+H3513)</f>
        <v/>
      </c>
    </row>
    <row r="3514" customFormat="false" ht="15" hidden="false" customHeight="false" outlineLevel="0" collapsed="false">
      <c r="C3514" s="41" t="str">
        <f aca="false">IF(A3514="","",TEXT(A3514,"mmm-yyyy"))</f>
        <v/>
      </c>
      <c r="I3514" s="47" t="str">
        <f aca="false">IF(G3514="","",G3514+H3514)</f>
        <v/>
      </c>
    </row>
    <row r="3515" customFormat="false" ht="15" hidden="false" customHeight="false" outlineLevel="0" collapsed="false">
      <c r="C3515" s="41" t="str">
        <f aca="false">IF(A3515="","",TEXT(A3515,"mmm-yyyy"))</f>
        <v/>
      </c>
      <c r="I3515" s="47" t="str">
        <f aca="false">IF(G3515="","",G3515+H3515)</f>
        <v/>
      </c>
    </row>
    <row r="3516" customFormat="false" ht="15" hidden="false" customHeight="false" outlineLevel="0" collapsed="false">
      <c r="C3516" s="41" t="str">
        <f aca="false">IF(A3516="","",TEXT(A3516,"mmm-yyyy"))</f>
        <v/>
      </c>
      <c r="I3516" s="47" t="str">
        <f aca="false">IF(G3516="","",G3516+H3516)</f>
        <v/>
      </c>
    </row>
    <row r="3517" customFormat="false" ht="15" hidden="false" customHeight="false" outlineLevel="0" collapsed="false">
      <c r="C3517" s="41" t="str">
        <f aca="false">IF(A3517="","",TEXT(A3517,"mmm-yyyy"))</f>
        <v/>
      </c>
      <c r="I3517" s="47" t="str">
        <f aca="false">IF(G3517="","",G3517+H3517)</f>
        <v/>
      </c>
    </row>
    <row r="3518" customFormat="false" ht="15" hidden="false" customHeight="false" outlineLevel="0" collapsed="false">
      <c r="C3518" s="41" t="str">
        <f aca="false">IF(A3518="","",TEXT(A3518,"mmm-yyyy"))</f>
        <v/>
      </c>
      <c r="I3518" s="47" t="str">
        <f aca="false">IF(G3518="","",G3518+H3518)</f>
        <v/>
      </c>
    </row>
    <row r="3519" customFormat="false" ht="15" hidden="false" customHeight="false" outlineLevel="0" collapsed="false">
      <c r="C3519" s="41" t="str">
        <f aca="false">IF(A3519="","",TEXT(A3519,"mmm-yyyy"))</f>
        <v/>
      </c>
      <c r="I3519" s="47" t="str">
        <f aca="false">IF(G3519="","",G3519+H3519)</f>
        <v/>
      </c>
    </row>
    <row r="3520" customFormat="false" ht="15" hidden="false" customHeight="false" outlineLevel="0" collapsed="false">
      <c r="C3520" s="41" t="str">
        <f aca="false">IF(A3520="","",TEXT(A3520,"mmm-yyyy"))</f>
        <v/>
      </c>
      <c r="I3520" s="47" t="str">
        <f aca="false">IF(G3520="","",G3520+H3520)</f>
        <v/>
      </c>
    </row>
    <row r="3521" customFormat="false" ht="15" hidden="false" customHeight="false" outlineLevel="0" collapsed="false">
      <c r="C3521" s="41" t="str">
        <f aca="false">IF(A3521="","",TEXT(A3521,"mmm-yyyy"))</f>
        <v/>
      </c>
      <c r="I3521" s="47" t="str">
        <f aca="false">IF(G3521="","",G3521+H3521)</f>
        <v/>
      </c>
    </row>
    <row r="3522" customFormat="false" ht="15" hidden="false" customHeight="false" outlineLevel="0" collapsed="false">
      <c r="C3522" s="41" t="str">
        <f aca="false">IF(A3522="","",TEXT(A3522,"mmm-yyyy"))</f>
        <v/>
      </c>
      <c r="I3522" s="47" t="str">
        <f aca="false">IF(G3522="","",G3522+H3522)</f>
        <v/>
      </c>
    </row>
    <row r="3523" customFormat="false" ht="15" hidden="false" customHeight="false" outlineLevel="0" collapsed="false">
      <c r="C3523" s="41" t="str">
        <f aca="false">IF(A3523="","",TEXT(A3523,"mmm-yyyy"))</f>
        <v/>
      </c>
      <c r="I3523" s="47" t="str">
        <f aca="false">IF(G3523="","",G3523+H3523)</f>
        <v/>
      </c>
    </row>
    <row r="3524" customFormat="false" ht="15" hidden="false" customHeight="false" outlineLevel="0" collapsed="false">
      <c r="C3524" s="41" t="str">
        <f aca="false">IF(A3524="","",TEXT(A3524,"mmm-yyyy"))</f>
        <v/>
      </c>
      <c r="I3524" s="47" t="str">
        <f aca="false">IF(G3524="","",G3524+H3524)</f>
        <v/>
      </c>
    </row>
    <row r="3525" customFormat="false" ht="15" hidden="false" customHeight="false" outlineLevel="0" collapsed="false">
      <c r="C3525" s="41" t="str">
        <f aca="false">IF(A3525="","",TEXT(A3525,"mmm-yyyy"))</f>
        <v/>
      </c>
      <c r="I3525" s="47" t="str">
        <f aca="false">IF(G3525="","",G3525+H3525)</f>
        <v/>
      </c>
    </row>
    <row r="3526" customFormat="false" ht="15" hidden="false" customHeight="false" outlineLevel="0" collapsed="false">
      <c r="C3526" s="41" t="str">
        <f aca="false">IF(A3526="","",TEXT(A3526,"mmm-yyyy"))</f>
        <v/>
      </c>
      <c r="I3526" s="47" t="str">
        <f aca="false">IF(G3526="","",G3526+H3526)</f>
        <v/>
      </c>
    </row>
    <row r="3527" customFormat="false" ht="15" hidden="false" customHeight="false" outlineLevel="0" collapsed="false">
      <c r="C3527" s="41" t="str">
        <f aca="false">IF(A3527="","",TEXT(A3527,"mmm-yyyy"))</f>
        <v/>
      </c>
      <c r="I3527" s="47" t="str">
        <f aca="false">IF(G3527="","",G3527+H3527)</f>
        <v/>
      </c>
    </row>
    <row r="3528" customFormat="false" ht="15" hidden="false" customHeight="false" outlineLevel="0" collapsed="false">
      <c r="C3528" s="41" t="str">
        <f aca="false">IF(A3528="","",TEXT(A3528,"mmm-yyyy"))</f>
        <v/>
      </c>
      <c r="I3528" s="47" t="str">
        <f aca="false">IF(G3528="","",G3528+H3528)</f>
        <v/>
      </c>
    </row>
    <row r="3529" customFormat="false" ht="15" hidden="false" customHeight="false" outlineLevel="0" collapsed="false">
      <c r="C3529" s="41" t="str">
        <f aca="false">IF(A3529="","",TEXT(A3529,"mmm-yyyy"))</f>
        <v/>
      </c>
      <c r="I3529" s="47" t="str">
        <f aca="false">IF(G3529="","",G3529+H3529)</f>
        <v/>
      </c>
    </row>
    <row r="3530" customFormat="false" ht="15" hidden="false" customHeight="false" outlineLevel="0" collapsed="false">
      <c r="C3530" s="41" t="str">
        <f aca="false">IF(A3530="","",TEXT(A3530,"mmm-yyyy"))</f>
        <v/>
      </c>
      <c r="I3530" s="47" t="str">
        <f aca="false">IF(G3530="","",G3530+H3530)</f>
        <v/>
      </c>
    </row>
    <row r="3531" customFormat="false" ht="15" hidden="false" customHeight="false" outlineLevel="0" collapsed="false">
      <c r="C3531" s="41" t="str">
        <f aca="false">IF(A3531="","",TEXT(A3531,"mmm-yyyy"))</f>
        <v/>
      </c>
      <c r="I3531" s="47" t="str">
        <f aca="false">IF(G3531="","",G3531+H3531)</f>
        <v/>
      </c>
    </row>
    <row r="3532" customFormat="false" ht="15" hidden="false" customHeight="false" outlineLevel="0" collapsed="false">
      <c r="C3532" s="41" t="str">
        <f aca="false">IF(A3532="","",TEXT(A3532,"mmm-yyyy"))</f>
        <v/>
      </c>
      <c r="I3532" s="47" t="str">
        <f aca="false">IF(G3532="","",G3532+H3532)</f>
        <v/>
      </c>
    </row>
    <row r="3533" customFormat="false" ht="15" hidden="false" customHeight="false" outlineLevel="0" collapsed="false">
      <c r="C3533" s="41" t="str">
        <f aca="false">IF(A3533="","",TEXT(A3533,"mmm-yyyy"))</f>
        <v/>
      </c>
      <c r="I3533" s="47" t="str">
        <f aca="false">IF(G3533="","",G3533+H3533)</f>
        <v/>
      </c>
    </row>
    <row r="3534" customFormat="false" ht="15" hidden="false" customHeight="false" outlineLevel="0" collapsed="false">
      <c r="C3534" s="41" t="str">
        <f aca="false">IF(A3534="","",TEXT(A3534,"mmm-yyyy"))</f>
        <v/>
      </c>
      <c r="I3534" s="47" t="str">
        <f aca="false">IF(G3534="","",G3534+H3534)</f>
        <v/>
      </c>
    </row>
    <row r="3535" customFormat="false" ht="15" hidden="false" customHeight="false" outlineLevel="0" collapsed="false">
      <c r="C3535" s="41" t="str">
        <f aca="false">IF(A3535="","",TEXT(A3535,"mmm-yyyy"))</f>
        <v/>
      </c>
      <c r="I3535" s="47" t="str">
        <f aca="false">IF(G3535="","",G3535+H3535)</f>
        <v/>
      </c>
    </row>
    <row r="3536" customFormat="false" ht="15" hidden="false" customHeight="false" outlineLevel="0" collapsed="false">
      <c r="C3536" s="41" t="str">
        <f aca="false">IF(A3536="","",TEXT(A3536,"mmm-yyyy"))</f>
        <v/>
      </c>
      <c r="I3536" s="47" t="str">
        <f aca="false">IF(G3536="","",G3536+H3536)</f>
        <v/>
      </c>
    </row>
    <row r="3537" customFormat="false" ht="15" hidden="false" customHeight="false" outlineLevel="0" collapsed="false">
      <c r="C3537" s="41" t="str">
        <f aca="false">IF(A3537="","",TEXT(A3537,"mmm-yyyy"))</f>
        <v/>
      </c>
      <c r="I3537" s="47" t="str">
        <f aca="false">IF(G3537="","",G3537+H3537)</f>
        <v/>
      </c>
    </row>
    <row r="3538" customFormat="false" ht="15" hidden="false" customHeight="false" outlineLevel="0" collapsed="false">
      <c r="C3538" s="41" t="str">
        <f aca="false">IF(A3538="","",TEXT(A3538,"mmm-yyyy"))</f>
        <v/>
      </c>
      <c r="I3538" s="47" t="str">
        <f aca="false">IF(G3538="","",G3538+H3538)</f>
        <v/>
      </c>
    </row>
    <row r="3539" customFormat="false" ht="15" hidden="false" customHeight="false" outlineLevel="0" collapsed="false">
      <c r="C3539" s="41" t="str">
        <f aca="false">IF(A3539="","",TEXT(A3539,"mmm-yyyy"))</f>
        <v/>
      </c>
      <c r="I3539" s="47" t="str">
        <f aca="false">IF(G3539="","",G3539+H3539)</f>
        <v/>
      </c>
    </row>
    <row r="3540" customFormat="false" ht="15" hidden="false" customHeight="false" outlineLevel="0" collapsed="false">
      <c r="C3540" s="41" t="str">
        <f aca="false">IF(A3540="","",TEXT(A3540,"mmm-yyyy"))</f>
        <v/>
      </c>
      <c r="I3540" s="47" t="str">
        <f aca="false">IF(G3540="","",G3540+H3540)</f>
        <v/>
      </c>
    </row>
    <row r="3541" customFormat="false" ht="15" hidden="false" customHeight="false" outlineLevel="0" collapsed="false">
      <c r="C3541" s="41" t="str">
        <f aca="false">IF(A3541="","",TEXT(A3541,"mmm-yyyy"))</f>
        <v/>
      </c>
      <c r="I3541" s="47" t="str">
        <f aca="false">IF(G3541="","",G3541+H3541)</f>
        <v/>
      </c>
    </row>
    <row r="3542" customFormat="false" ht="15" hidden="false" customHeight="false" outlineLevel="0" collapsed="false">
      <c r="C3542" s="41" t="str">
        <f aca="false">IF(A3542="","",TEXT(A3542,"mmm-yyyy"))</f>
        <v/>
      </c>
      <c r="I3542" s="47" t="str">
        <f aca="false">IF(G3542="","",G3542+H3542)</f>
        <v/>
      </c>
    </row>
    <row r="3543" customFormat="false" ht="15" hidden="false" customHeight="false" outlineLevel="0" collapsed="false">
      <c r="C3543" s="41" t="str">
        <f aca="false">IF(A3543="","",TEXT(A3543,"mmm-yyyy"))</f>
        <v/>
      </c>
      <c r="I3543" s="47" t="str">
        <f aca="false">IF(G3543="","",G3543+H3543)</f>
        <v/>
      </c>
    </row>
    <row r="3544" customFormat="false" ht="15" hidden="false" customHeight="false" outlineLevel="0" collapsed="false">
      <c r="C3544" s="41" t="str">
        <f aca="false">IF(A3544="","",TEXT(A3544,"mmm-yyyy"))</f>
        <v/>
      </c>
      <c r="I3544" s="47" t="str">
        <f aca="false">IF(G3544="","",G3544+H3544)</f>
        <v/>
      </c>
    </row>
    <row r="3545" customFormat="false" ht="15" hidden="false" customHeight="false" outlineLevel="0" collapsed="false">
      <c r="C3545" s="41" t="str">
        <f aca="false">IF(A3545="","",TEXT(A3545,"mmm-yyyy"))</f>
        <v/>
      </c>
      <c r="I3545" s="47" t="str">
        <f aca="false">IF(G3545="","",G3545+H3545)</f>
        <v/>
      </c>
    </row>
    <row r="3546" customFormat="false" ht="15" hidden="false" customHeight="false" outlineLevel="0" collapsed="false">
      <c r="C3546" s="41" t="str">
        <f aca="false">IF(A3546="","",TEXT(A3546,"mmm-yyyy"))</f>
        <v/>
      </c>
      <c r="I3546" s="47" t="str">
        <f aca="false">IF(G3546="","",G3546+H3546)</f>
        <v/>
      </c>
    </row>
    <row r="3547" customFormat="false" ht="15" hidden="false" customHeight="false" outlineLevel="0" collapsed="false">
      <c r="C3547" s="41" t="str">
        <f aca="false">IF(A3547="","",TEXT(A3547,"mmm-yyyy"))</f>
        <v/>
      </c>
      <c r="I3547" s="47" t="str">
        <f aca="false">IF(G3547="","",G3547+H3547)</f>
        <v/>
      </c>
    </row>
    <row r="3548" customFormat="false" ht="15" hidden="false" customHeight="false" outlineLevel="0" collapsed="false">
      <c r="C3548" s="41" t="str">
        <f aca="false">IF(A3548="","",TEXT(A3548,"mmm-yyyy"))</f>
        <v/>
      </c>
      <c r="I3548" s="47" t="str">
        <f aca="false">IF(G3548="","",G3548+H3548)</f>
        <v/>
      </c>
    </row>
    <row r="3549" customFormat="false" ht="15" hidden="false" customHeight="false" outlineLevel="0" collapsed="false">
      <c r="C3549" s="41" t="str">
        <f aca="false">IF(A3549="","",TEXT(A3549,"mmm-yyyy"))</f>
        <v/>
      </c>
      <c r="I3549" s="47" t="str">
        <f aca="false">IF(G3549="","",G3549+H3549)</f>
        <v/>
      </c>
    </row>
    <row r="3550" customFormat="false" ht="15" hidden="false" customHeight="false" outlineLevel="0" collapsed="false">
      <c r="C3550" s="41" t="str">
        <f aca="false">IF(A3550="","",TEXT(A3550,"mmm-yyyy"))</f>
        <v/>
      </c>
      <c r="I3550" s="47" t="str">
        <f aca="false">IF(G3550="","",G3550+H3550)</f>
        <v/>
      </c>
    </row>
    <row r="3551" customFormat="false" ht="15" hidden="false" customHeight="false" outlineLevel="0" collapsed="false">
      <c r="C3551" s="41" t="str">
        <f aca="false">IF(A3551="","",TEXT(A3551,"mmm-yyyy"))</f>
        <v/>
      </c>
      <c r="I3551" s="47" t="str">
        <f aca="false">IF(G3551="","",G3551+H3551)</f>
        <v/>
      </c>
    </row>
    <row r="3552" customFormat="false" ht="15" hidden="false" customHeight="false" outlineLevel="0" collapsed="false">
      <c r="C3552" s="41" t="str">
        <f aca="false">IF(A3552="","",TEXT(A3552,"mmm-yyyy"))</f>
        <v/>
      </c>
      <c r="I3552" s="47" t="str">
        <f aca="false">IF(G3552="","",G3552+H3552)</f>
        <v/>
      </c>
    </row>
    <row r="3553" customFormat="false" ht="15" hidden="false" customHeight="false" outlineLevel="0" collapsed="false">
      <c r="C3553" s="41" t="str">
        <f aca="false">IF(A3553="","",TEXT(A3553,"mmm-yyyy"))</f>
        <v/>
      </c>
      <c r="I3553" s="47" t="str">
        <f aca="false">IF(G3553="","",G3553+H3553)</f>
        <v/>
      </c>
    </row>
    <row r="3554" customFormat="false" ht="15" hidden="false" customHeight="false" outlineLevel="0" collapsed="false">
      <c r="C3554" s="41" t="str">
        <f aca="false">IF(A3554="","",TEXT(A3554,"mmm-yyyy"))</f>
        <v/>
      </c>
      <c r="I3554" s="47" t="str">
        <f aca="false">IF(G3554="","",G3554+H3554)</f>
        <v/>
      </c>
    </row>
    <row r="3555" customFormat="false" ht="15" hidden="false" customHeight="false" outlineLevel="0" collapsed="false">
      <c r="C3555" s="41" t="str">
        <f aca="false">IF(A3555="","",TEXT(A3555,"mmm-yyyy"))</f>
        <v/>
      </c>
      <c r="I3555" s="47" t="str">
        <f aca="false">IF(G3555="","",G3555+H3555)</f>
        <v/>
      </c>
    </row>
    <row r="3556" customFormat="false" ht="15" hidden="false" customHeight="false" outlineLevel="0" collapsed="false">
      <c r="C3556" s="41" t="str">
        <f aca="false">IF(A3556="","",TEXT(A3556,"mmm-yyyy"))</f>
        <v/>
      </c>
      <c r="I3556" s="47" t="str">
        <f aca="false">IF(G3556="","",G3556+H3556)</f>
        <v/>
      </c>
    </row>
    <row r="3557" customFormat="false" ht="15" hidden="false" customHeight="false" outlineLevel="0" collapsed="false">
      <c r="C3557" s="41" t="str">
        <f aca="false">IF(A3557="","",TEXT(A3557,"mmm-yyyy"))</f>
        <v/>
      </c>
      <c r="I3557" s="47" t="str">
        <f aca="false">IF(G3557="","",G3557+H3557)</f>
        <v/>
      </c>
    </row>
    <row r="3558" customFormat="false" ht="15" hidden="false" customHeight="false" outlineLevel="0" collapsed="false">
      <c r="C3558" s="41" t="str">
        <f aca="false">IF(A3558="","",TEXT(A3558,"mmm-yyyy"))</f>
        <v/>
      </c>
      <c r="I3558" s="47" t="str">
        <f aca="false">IF(G3558="","",G3558+H3558)</f>
        <v/>
      </c>
    </row>
    <row r="3559" customFormat="false" ht="15" hidden="false" customHeight="false" outlineLevel="0" collapsed="false">
      <c r="C3559" s="41" t="str">
        <f aca="false">IF(A3559="","",TEXT(A3559,"mmm-yyyy"))</f>
        <v/>
      </c>
      <c r="I3559" s="47" t="str">
        <f aca="false">IF(G3559="","",G3559+H3559)</f>
        <v/>
      </c>
    </row>
    <row r="3560" customFormat="false" ht="15" hidden="false" customHeight="false" outlineLevel="0" collapsed="false">
      <c r="C3560" s="41" t="str">
        <f aca="false">IF(A3560="","",TEXT(A3560,"mmm-yyyy"))</f>
        <v/>
      </c>
      <c r="I3560" s="47" t="str">
        <f aca="false">IF(G3560="","",G3560+H3560)</f>
        <v/>
      </c>
    </row>
    <row r="3561" customFormat="false" ht="15" hidden="false" customHeight="false" outlineLevel="0" collapsed="false">
      <c r="C3561" s="41" t="str">
        <f aca="false">IF(A3561="","",TEXT(A3561,"mmm-yyyy"))</f>
        <v/>
      </c>
      <c r="I3561" s="47" t="str">
        <f aca="false">IF(G3561="","",G3561+H3561)</f>
        <v/>
      </c>
    </row>
    <row r="3562" customFormat="false" ht="15" hidden="false" customHeight="false" outlineLevel="0" collapsed="false">
      <c r="C3562" s="41" t="str">
        <f aca="false">IF(A3562="","",TEXT(A3562,"mmm-yyyy"))</f>
        <v/>
      </c>
      <c r="I3562" s="47" t="str">
        <f aca="false">IF(G3562="","",G3562+H3562)</f>
        <v/>
      </c>
    </row>
    <row r="3563" customFormat="false" ht="15" hidden="false" customHeight="false" outlineLevel="0" collapsed="false">
      <c r="C3563" s="41" t="str">
        <f aca="false">IF(A3563="","",TEXT(A3563,"mmm-yyyy"))</f>
        <v/>
      </c>
      <c r="I3563" s="47" t="str">
        <f aca="false">IF(G3563="","",G3563+H3563)</f>
        <v/>
      </c>
    </row>
    <row r="3564" customFormat="false" ht="15" hidden="false" customHeight="false" outlineLevel="0" collapsed="false">
      <c r="C3564" s="41" t="str">
        <f aca="false">IF(A3564="","",TEXT(A3564,"mmm-yyyy"))</f>
        <v/>
      </c>
      <c r="I3564" s="47" t="str">
        <f aca="false">IF(G3564="","",G3564+H3564)</f>
        <v/>
      </c>
    </row>
    <row r="3565" customFormat="false" ht="15" hidden="false" customHeight="false" outlineLevel="0" collapsed="false">
      <c r="C3565" s="41" t="str">
        <f aca="false">IF(A3565="","",TEXT(A3565,"mmm-yyyy"))</f>
        <v/>
      </c>
      <c r="I3565" s="47" t="str">
        <f aca="false">IF(G3565="","",G3565+H3565)</f>
        <v/>
      </c>
    </row>
    <row r="3566" customFormat="false" ht="15" hidden="false" customHeight="false" outlineLevel="0" collapsed="false">
      <c r="C3566" s="41" t="str">
        <f aca="false">IF(A3566="","",TEXT(A3566,"mmm-yyyy"))</f>
        <v/>
      </c>
      <c r="I3566" s="47" t="str">
        <f aca="false">IF(G3566="","",G3566+H3566)</f>
        <v/>
      </c>
    </row>
    <row r="3567" customFormat="false" ht="15" hidden="false" customHeight="false" outlineLevel="0" collapsed="false">
      <c r="C3567" s="41" t="str">
        <f aca="false">IF(A3567="","",TEXT(A3567,"mmm-yyyy"))</f>
        <v/>
      </c>
      <c r="I3567" s="47" t="str">
        <f aca="false">IF(G3567="","",G3567+H3567)</f>
        <v/>
      </c>
    </row>
    <row r="3568" customFormat="false" ht="15" hidden="false" customHeight="false" outlineLevel="0" collapsed="false">
      <c r="C3568" s="41" t="str">
        <f aca="false">IF(A3568="","",TEXT(A3568,"mmm-yyyy"))</f>
        <v/>
      </c>
      <c r="I3568" s="47" t="str">
        <f aca="false">IF(G3568="","",G3568+H3568)</f>
        <v/>
      </c>
    </row>
    <row r="3569" customFormat="false" ht="15" hidden="false" customHeight="false" outlineLevel="0" collapsed="false">
      <c r="C3569" s="41" t="str">
        <f aca="false">IF(A3569="","",TEXT(A3569,"mmm-yyyy"))</f>
        <v/>
      </c>
      <c r="I3569" s="47" t="str">
        <f aca="false">IF(G3569="","",G3569+H3569)</f>
        <v/>
      </c>
    </row>
    <row r="3570" customFormat="false" ht="15" hidden="false" customHeight="false" outlineLevel="0" collapsed="false">
      <c r="C3570" s="41" t="str">
        <f aca="false">IF(A3570="","",TEXT(A3570,"mmm-yyyy"))</f>
        <v/>
      </c>
      <c r="I3570" s="47" t="str">
        <f aca="false">IF(G3570="","",G3570+H3570)</f>
        <v/>
      </c>
    </row>
    <row r="3571" customFormat="false" ht="15" hidden="false" customHeight="false" outlineLevel="0" collapsed="false">
      <c r="C3571" s="41" t="str">
        <f aca="false">IF(A3571="","",TEXT(A3571,"mmm-yyyy"))</f>
        <v/>
      </c>
      <c r="I3571" s="47" t="str">
        <f aca="false">IF(G3571="","",G3571+H3571)</f>
        <v/>
      </c>
    </row>
    <row r="3572" customFormat="false" ht="15" hidden="false" customHeight="false" outlineLevel="0" collapsed="false">
      <c r="C3572" s="41" t="str">
        <f aca="false">IF(A3572="","",TEXT(A3572,"mmm-yyyy"))</f>
        <v/>
      </c>
      <c r="I3572" s="47" t="str">
        <f aca="false">IF(G3572="","",G3572+H3572)</f>
        <v/>
      </c>
    </row>
    <row r="3573" customFormat="false" ht="15" hidden="false" customHeight="false" outlineLevel="0" collapsed="false">
      <c r="C3573" s="41" t="str">
        <f aca="false">IF(A3573="","",TEXT(A3573,"mmm-yyyy"))</f>
        <v/>
      </c>
      <c r="I3573" s="47" t="str">
        <f aca="false">IF(G3573="","",G3573+H3573)</f>
        <v/>
      </c>
    </row>
    <row r="3574" customFormat="false" ht="15" hidden="false" customHeight="false" outlineLevel="0" collapsed="false">
      <c r="C3574" s="41" t="str">
        <f aca="false">IF(A3574="","",TEXT(A3574,"mmm-yyyy"))</f>
        <v/>
      </c>
      <c r="I3574" s="47" t="str">
        <f aca="false">IF(G3574="","",G3574+H3574)</f>
        <v/>
      </c>
    </row>
    <row r="3575" customFormat="false" ht="15" hidden="false" customHeight="false" outlineLevel="0" collapsed="false">
      <c r="C3575" s="41" t="str">
        <f aca="false">IF(A3575="","",TEXT(A3575,"mmm-yyyy"))</f>
        <v/>
      </c>
      <c r="I3575" s="47" t="str">
        <f aca="false">IF(G3575="","",G3575+H3575)</f>
        <v/>
      </c>
    </row>
    <row r="3576" customFormat="false" ht="15" hidden="false" customHeight="false" outlineLevel="0" collapsed="false">
      <c r="C3576" s="41" t="str">
        <f aca="false">IF(A3576="","",TEXT(A3576,"mmm-yyyy"))</f>
        <v/>
      </c>
      <c r="I3576" s="47" t="str">
        <f aca="false">IF(G3576="","",G3576+H3576)</f>
        <v/>
      </c>
    </row>
    <row r="3577" customFormat="false" ht="15" hidden="false" customHeight="false" outlineLevel="0" collapsed="false">
      <c r="C3577" s="41" t="str">
        <f aca="false">IF(A3577="","",TEXT(A3577,"mmm-yyyy"))</f>
        <v/>
      </c>
      <c r="I3577" s="47" t="str">
        <f aca="false">IF(G3577="","",G3577+H3577)</f>
        <v/>
      </c>
    </row>
    <row r="3578" customFormat="false" ht="15" hidden="false" customHeight="false" outlineLevel="0" collapsed="false">
      <c r="C3578" s="41" t="str">
        <f aca="false">IF(A3578="","",TEXT(A3578,"mmm-yyyy"))</f>
        <v/>
      </c>
      <c r="I3578" s="47" t="str">
        <f aca="false">IF(G3578="","",G3578+H3578)</f>
        <v/>
      </c>
    </row>
    <row r="3579" customFormat="false" ht="15" hidden="false" customHeight="false" outlineLevel="0" collapsed="false">
      <c r="C3579" s="41" t="str">
        <f aca="false">IF(A3579="","",TEXT(A3579,"mmm-yyyy"))</f>
        <v/>
      </c>
      <c r="I3579" s="47" t="str">
        <f aca="false">IF(G3579="","",G3579+H3579)</f>
        <v/>
      </c>
    </row>
    <row r="3580" customFormat="false" ht="15" hidden="false" customHeight="false" outlineLevel="0" collapsed="false">
      <c r="C3580" s="41" t="str">
        <f aca="false">IF(A3580="","",TEXT(A3580,"mmm-yyyy"))</f>
        <v/>
      </c>
      <c r="I3580" s="47" t="str">
        <f aca="false">IF(G3580="","",G3580+H3580)</f>
        <v/>
      </c>
    </row>
    <row r="3581" customFormat="false" ht="15" hidden="false" customHeight="false" outlineLevel="0" collapsed="false">
      <c r="C3581" s="41" t="str">
        <f aca="false">IF(A3581="","",TEXT(A3581,"mmm-yyyy"))</f>
        <v/>
      </c>
      <c r="I3581" s="47" t="str">
        <f aca="false">IF(G3581="","",G3581+H3581)</f>
        <v/>
      </c>
    </row>
    <row r="3582" customFormat="false" ht="15" hidden="false" customHeight="false" outlineLevel="0" collapsed="false">
      <c r="C3582" s="41" t="str">
        <f aca="false">IF(A3582="","",TEXT(A3582,"mmm-yyyy"))</f>
        <v/>
      </c>
      <c r="I3582" s="47" t="str">
        <f aca="false">IF(G3582="","",G3582+H3582)</f>
        <v/>
      </c>
    </row>
    <row r="3583" customFormat="false" ht="15" hidden="false" customHeight="false" outlineLevel="0" collapsed="false">
      <c r="C3583" s="41" t="str">
        <f aca="false">IF(A3583="","",TEXT(A3583,"mmm-yyyy"))</f>
        <v/>
      </c>
      <c r="I3583" s="47" t="str">
        <f aca="false">IF(G3583="","",G3583+H3583)</f>
        <v/>
      </c>
    </row>
    <row r="3584" customFormat="false" ht="15" hidden="false" customHeight="false" outlineLevel="0" collapsed="false">
      <c r="C3584" s="41" t="str">
        <f aca="false">IF(A3584="","",TEXT(A3584,"mmm-yyyy"))</f>
        <v/>
      </c>
      <c r="I3584" s="47" t="str">
        <f aca="false">IF(G3584="","",G3584+H3584)</f>
        <v/>
      </c>
    </row>
    <row r="3585" customFormat="false" ht="15" hidden="false" customHeight="false" outlineLevel="0" collapsed="false">
      <c r="C3585" s="41" t="str">
        <f aca="false">IF(A3585="","",TEXT(A3585,"mmm-yyyy"))</f>
        <v/>
      </c>
      <c r="I3585" s="47" t="str">
        <f aca="false">IF(G3585="","",G3585+H3585)</f>
        <v/>
      </c>
    </row>
    <row r="3586" customFormat="false" ht="15" hidden="false" customHeight="false" outlineLevel="0" collapsed="false">
      <c r="C3586" s="41" t="str">
        <f aca="false">IF(A3586="","",TEXT(A3586,"mmm-yyyy"))</f>
        <v/>
      </c>
      <c r="I3586" s="47" t="str">
        <f aca="false">IF(G3586="","",G3586+H3586)</f>
        <v/>
      </c>
    </row>
    <row r="3587" customFormat="false" ht="15" hidden="false" customHeight="false" outlineLevel="0" collapsed="false">
      <c r="C3587" s="41" t="str">
        <f aca="false">IF(A3587="","",TEXT(A3587,"mmm-yyyy"))</f>
        <v/>
      </c>
      <c r="I3587" s="47" t="str">
        <f aca="false">IF(G3587="","",G3587+H3587)</f>
        <v/>
      </c>
    </row>
    <row r="3588" customFormat="false" ht="15" hidden="false" customHeight="false" outlineLevel="0" collapsed="false">
      <c r="C3588" s="41" t="str">
        <f aca="false">IF(A3588="","",TEXT(A3588,"mmm-yyyy"))</f>
        <v/>
      </c>
      <c r="I3588" s="47" t="str">
        <f aca="false">IF(G3588="","",G3588+H3588)</f>
        <v/>
      </c>
    </row>
    <row r="3589" customFormat="false" ht="15" hidden="false" customHeight="false" outlineLevel="0" collapsed="false">
      <c r="C3589" s="41" t="str">
        <f aca="false">IF(A3589="","",TEXT(A3589,"mmm-yyyy"))</f>
        <v/>
      </c>
      <c r="I3589" s="47" t="str">
        <f aca="false">IF(G3589="","",G3589+H3589)</f>
        <v/>
      </c>
    </row>
    <row r="3590" customFormat="false" ht="15" hidden="false" customHeight="false" outlineLevel="0" collapsed="false">
      <c r="C3590" s="41" t="str">
        <f aca="false">IF(A3590="","",TEXT(A3590,"mmm-yyyy"))</f>
        <v/>
      </c>
      <c r="I3590" s="47" t="str">
        <f aca="false">IF(G3590="","",G3590+H3590)</f>
        <v/>
      </c>
    </row>
    <row r="3591" customFormat="false" ht="15" hidden="false" customHeight="false" outlineLevel="0" collapsed="false">
      <c r="C3591" s="41" t="str">
        <f aca="false">IF(A3591="","",TEXT(A3591,"mmm-yyyy"))</f>
        <v/>
      </c>
      <c r="I3591" s="47" t="str">
        <f aca="false">IF(G3591="","",G3591+H3591)</f>
        <v/>
      </c>
    </row>
    <row r="3592" customFormat="false" ht="15" hidden="false" customHeight="false" outlineLevel="0" collapsed="false">
      <c r="C3592" s="41" t="str">
        <f aca="false">IF(A3592="","",TEXT(A3592,"mmm-yyyy"))</f>
        <v/>
      </c>
      <c r="I3592" s="47" t="str">
        <f aca="false">IF(G3592="","",G3592+H3592)</f>
        <v/>
      </c>
    </row>
    <row r="3593" customFormat="false" ht="15" hidden="false" customHeight="false" outlineLevel="0" collapsed="false">
      <c r="C3593" s="41" t="str">
        <f aca="false">IF(A3593="","",TEXT(A3593,"mmm-yyyy"))</f>
        <v/>
      </c>
      <c r="I3593" s="47" t="str">
        <f aca="false">IF(G3593="","",G3593+H3593)</f>
        <v/>
      </c>
    </row>
    <row r="3594" customFormat="false" ht="15" hidden="false" customHeight="false" outlineLevel="0" collapsed="false">
      <c r="C3594" s="41" t="str">
        <f aca="false">IF(A3594="","",TEXT(A3594,"mmm-yyyy"))</f>
        <v/>
      </c>
      <c r="I3594" s="47" t="str">
        <f aca="false">IF(G3594="","",G3594+H3594)</f>
        <v/>
      </c>
    </row>
    <row r="3595" customFormat="false" ht="15" hidden="false" customHeight="false" outlineLevel="0" collapsed="false">
      <c r="C3595" s="41" t="str">
        <f aca="false">IF(A3595="","",TEXT(A3595,"mmm-yyyy"))</f>
        <v/>
      </c>
      <c r="I3595" s="47" t="str">
        <f aca="false">IF(G3595="","",G3595+H3595)</f>
        <v/>
      </c>
    </row>
    <row r="3596" customFormat="false" ht="15" hidden="false" customHeight="false" outlineLevel="0" collapsed="false">
      <c r="C3596" s="41" t="str">
        <f aca="false">IF(A3596="","",TEXT(A3596,"mmm-yyyy"))</f>
        <v/>
      </c>
      <c r="I3596" s="47" t="str">
        <f aca="false">IF(G3596="","",G3596+H3596)</f>
        <v/>
      </c>
    </row>
    <row r="3597" customFormat="false" ht="15" hidden="false" customHeight="false" outlineLevel="0" collapsed="false">
      <c r="C3597" s="41" t="str">
        <f aca="false">IF(A3597="","",TEXT(A3597,"mmm-yyyy"))</f>
        <v/>
      </c>
      <c r="I3597" s="47" t="str">
        <f aca="false">IF(G3597="","",G3597+H3597)</f>
        <v/>
      </c>
    </row>
    <row r="3598" customFormat="false" ht="15" hidden="false" customHeight="false" outlineLevel="0" collapsed="false">
      <c r="C3598" s="41" t="str">
        <f aca="false">IF(A3598="","",TEXT(A3598,"mmm-yyyy"))</f>
        <v/>
      </c>
      <c r="I3598" s="47" t="str">
        <f aca="false">IF(G3598="","",G3598+H3598)</f>
        <v/>
      </c>
    </row>
    <row r="3599" customFormat="false" ht="15" hidden="false" customHeight="false" outlineLevel="0" collapsed="false">
      <c r="C3599" s="41" t="str">
        <f aca="false">IF(A3599="","",TEXT(A3599,"mmm-yyyy"))</f>
        <v/>
      </c>
      <c r="I3599" s="47" t="str">
        <f aca="false">IF(G3599="","",G3599+H3599)</f>
        <v/>
      </c>
    </row>
    <row r="3600" customFormat="false" ht="15" hidden="false" customHeight="false" outlineLevel="0" collapsed="false">
      <c r="C3600" s="41" t="str">
        <f aca="false">IF(A3600="","",TEXT(A3600,"mmm-yyyy"))</f>
        <v/>
      </c>
      <c r="I3600" s="47" t="str">
        <f aca="false">IF(G3600="","",G3600+H3600)</f>
        <v/>
      </c>
    </row>
    <row r="3601" customFormat="false" ht="15" hidden="false" customHeight="false" outlineLevel="0" collapsed="false">
      <c r="C3601" s="41" t="str">
        <f aca="false">IF(A3601="","",TEXT(A3601,"mmm-yyyy"))</f>
        <v/>
      </c>
      <c r="I3601" s="47" t="str">
        <f aca="false">IF(G3601="","",G3601+H3601)</f>
        <v/>
      </c>
    </row>
    <row r="3602" customFormat="false" ht="15" hidden="false" customHeight="false" outlineLevel="0" collapsed="false">
      <c r="C3602" s="41" t="str">
        <f aca="false">IF(A3602="","",TEXT(A3602,"mmm-yyyy"))</f>
        <v/>
      </c>
      <c r="I3602" s="47" t="str">
        <f aca="false">IF(G3602="","",G3602+H3602)</f>
        <v/>
      </c>
    </row>
    <row r="3603" customFormat="false" ht="15" hidden="false" customHeight="false" outlineLevel="0" collapsed="false">
      <c r="C3603" s="41" t="str">
        <f aca="false">IF(A3603="","",TEXT(A3603,"mmm-yyyy"))</f>
        <v/>
      </c>
      <c r="I3603" s="47" t="str">
        <f aca="false">IF(G3603="","",G3603+H3603)</f>
        <v/>
      </c>
    </row>
    <row r="3604" customFormat="false" ht="15" hidden="false" customHeight="false" outlineLevel="0" collapsed="false">
      <c r="C3604" s="41" t="str">
        <f aca="false">IF(A3604="","",TEXT(A3604,"mmm-yyyy"))</f>
        <v/>
      </c>
      <c r="I3604" s="47" t="str">
        <f aca="false">IF(G3604="","",G3604+H3604)</f>
        <v/>
      </c>
    </row>
    <row r="3605" customFormat="false" ht="15" hidden="false" customHeight="false" outlineLevel="0" collapsed="false">
      <c r="C3605" s="41" t="str">
        <f aca="false">IF(A3605="","",TEXT(A3605,"mmm-yyyy"))</f>
        <v/>
      </c>
      <c r="I3605" s="47" t="str">
        <f aca="false">IF(G3605="","",G3605+H3605)</f>
        <v/>
      </c>
    </row>
    <row r="3606" customFormat="false" ht="15" hidden="false" customHeight="false" outlineLevel="0" collapsed="false">
      <c r="C3606" s="41" t="str">
        <f aca="false">IF(A3606="","",TEXT(A3606,"mmm-yyyy"))</f>
        <v/>
      </c>
      <c r="I3606" s="47" t="str">
        <f aca="false">IF(G3606="","",G3606+H3606)</f>
        <v/>
      </c>
    </row>
    <row r="3607" customFormat="false" ht="15" hidden="false" customHeight="false" outlineLevel="0" collapsed="false">
      <c r="C3607" s="41" t="str">
        <f aca="false">IF(A3607="","",TEXT(A3607,"mmm-yyyy"))</f>
        <v/>
      </c>
      <c r="I3607" s="47" t="str">
        <f aca="false">IF(G3607="","",G3607+H3607)</f>
        <v/>
      </c>
    </row>
    <row r="3608" customFormat="false" ht="15" hidden="false" customHeight="false" outlineLevel="0" collapsed="false">
      <c r="C3608" s="41" t="str">
        <f aca="false">IF(A3608="","",TEXT(A3608,"mmm-yyyy"))</f>
        <v/>
      </c>
      <c r="I3608" s="47" t="str">
        <f aca="false">IF(G3608="","",G3608+H3608)</f>
        <v/>
      </c>
    </row>
    <row r="3609" customFormat="false" ht="15" hidden="false" customHeight="false" outlineLevel="0" collapsed="false">
      <c r="C3609" s="41" t="str">
        <f aca="false">IF(A3609="","",TEXT(A3609,"mmm-yyyy"))</f>
        <v/>
      </c>
      <c r="I3609" s="47" t="str">
        <f aca="false">IF(G3609="","",G3609+H3609)</f>
        <v/>
      </c>
    </row>
    <row r="3610" customFormat="false" ht="15" hidden="false" customHeight="false" outlineLevel="0" collapsed="false">
      <c r="C3610" s="41" t="str">
        <f aca="false">IF(A3610="","",TEXT(A3610,"mmm-yyyy"))</f>
        <v/>
      </c>
      <c r="I3610" s="47" t="str">
        <f aca="false">IF(G3610="","",G3610+H3610)</f>
        <v/>
      </c>
    </row>
    <row r="3611" customFormat="false" ht="15" hidden="false" customHeight="false" outlineLevel="0" collapsed="false">
      <c r="C3611" s="41" t="str">
        <f aca="false">IF(A3611="","",TEXT(A3611,"mmm-yyyy"))</f>
        <v/>
      </c>
      <c r="I3611" s="47" t="str">
        <f aca="false">IF(G3611="","",G3611+H3611)</f>
        <v/>
      </c>
    </row>
    <row r="3612" customFormat="false" ht="15" hidden="false" customHeight="false" outlineLevel="0" collapsed="false">
      <c r="C3612" s="41" t="str">
        <f aca="false">IF(A3612="","",TEXT(A3612,"mmm-yyyy"))</f>
        <v/>
      </c>
      <c r="I3612" s="47" t="str">
        <f aca="false">IF(G3612="","",G3612+H3612)</f>
        <v/>
      </c>
    </row>
    <row r="3613" customFormat="false" ht="15" hidden="false" customHeight="false" outlineLevel="0" collapsed="false">
      <c r="C3613" s="41" t="str">
        <f aca="false">IF(A3613="","",TEXT(A3613,"mmm-yyyy"))</f>
        <v/>
      </c>
      <c r="I3613" s="47" t="str">
        <f aca="false">IF(G3613="","",G3613+H3613)</f>
        <v/>
      </c>
    </row>
    <row r="3614" customFormat="false" ht="15" hidden="false" customHeight="false" outlineLevel="0" collapsed="false">
      <c r="C3614" s="41" t="str">
        <f aca="false">IF(A3614="","",TEXT(A3614,"mmm-yyyy"))</f>
        <v/>
      </c>
      <c r="I3614" s="47" t="str">
        <f aca="false">IF(G3614="","",G3614+H3614)</f>
        <v/>
      </c>
    </row>
    <row r="3615" customFormat="false" ht="15" hidden="false" customHeight="false" outlineLevel="0" collapsed="false">
      <c r="C3615" s="41" t="str">
        <f aca="false">IF(A3615="","",TEXT(A3615,"mmm-yyyy"))</f>
        <v/>
      </c>
      <c r="I3615" s="47" t="str">
        <f aca="false">IF(G3615="","",G3615+H3615)</f>
        <v/>
      </c>
    </row>
    <row r="3616" customFormat="false" ht="15" hidden="false" customHeight="false" outlineLevel="0" collapsed="false">
      <c r="C3616" s="41" t="str">
        <f aca="false">IF(A3616="","",TEXT(A3616,"mmm-yyyy"))</f>
        <v/>
      </c>
      <c r="I3616" s="47" t="str">
        <f aca="false">IF(G3616="","",G3616+H3616)</f>
        <v/>
      </c>
    </row>
    <row r="3617" customFormat="false" ht="15" hidden="false" customHeight="false" outlineLevel="0" collapsed="false">
      <c r="C3617" s="41" t="str">
        <f aca="false">IF(A3617="","",TEXT(A3617,"mmm-yyyy"))</f>
        <v/>
      </c>
      <c r="I3617" s="47" t="str">
        <f aca="false">IF(G3617="","",G3617+H3617)</f>
        <v/>
      </c>
    </row>
    <row r="3618" customFormat="false" ht="15" hidden="false" customHeight="false" outlineLevel="0" collapsed="false">
      <c r="C3618" s="41" t="str">
        <f aca="false">IF(A3618="","",TEXT(A3618,"mmm-yyyy"))</f>
        <v/>
      </c>
      <c r="I3618" s="47" t="str">
        <f aca="false">IF(G3618="","",G3618+H3618)</f>
        <v/>
      </c>
    </row>
    <row r="3619" customFormat="false" ht="15" hidden="false" customHeight="false" outlineLevel="0" collapsed="false">
      <c r="C3619" s="41" t="str">
        <f aca="false">IF(A3619="","",TEXT(A3619,"mmm-yyyy"))</f>
        <v/>
      </c>
      <c r="I3619" s="47" t="str">
        <f aca="false">IF(G3619="","",G3619+H3619)</f>
        <v/>
      </c>
    </row>
    <row r="3620" customFormat="false" ht="15" hidden="false" customHeight="false" outlineLevel="0" collapsed="false">
      <c r="C3620" s="41" t="str">
        <f aca="false">IF(A3620="","",TEXT(A3620,"mmm-yyyy"))</f>
        <v/>
      </c>
      <c r="I3620" s="47" t="str">
        <f aca="false">IF(G3620="","",G3620+H3620)</f>
        <v/>
      </c>
    </row>
    <row r="3621" customFormat="false" ht="15" hidden="false" customHeight="false" outlineLevel="0" collapsed="false">
      <c r="C3621" s="41" t="str">
        <f aca="false">IF(A3621="","",TEXT(A3621,"mmm-yyyy"))</f>
        <v/>
      </c>
      <c r="I3621" s="47" t="str">
        <f aca="false">IF(G3621="","",G3621+H3621)</f>
        <v/>
      </c>
    </row>
    <row r="3622" customFormat="false" ht="15" hidden="false" customHeight="false" outlineLevel="0" collapsed="false">
      <c r="C3622" s="41" t="str">
        <f aca="false">IF(A3622="","",TEXT(A3622,"mmm-yyyy"))</f>
        <v/>
      </c>
      <c r="I3622" s="47" t="str">
        <f aca="false">IF(G3622="","",G3622+H3622)</f>
        <v/>
      </c>
    </row>
    <row r="3623" customFormat="false" ht="15" hidden="false" customHeight="false" outlineLevel="0" collapsed="false">
      <c r="C3623" s="41" t="str">
        <f aca="false">IF(A3623="","",TEXT(A3623,"mmm-yyyy"))</f>
        <v/>
      </c>
      <c r="I3623" s="47" t="str">
        <f aca="false">IF(G3623="","",G3623+H3623)</f>
        <v/>
      </c>
    </row>
    <row r="3624" customFormat="false" ht="15" hidden="false" customHeight="false" outlineLevel="0" collapsed="false">
      <c r="C3624" s="41" t="str">
        <f aca="false">IF(A3624="","",TEXT(A3624,"mmm-yyyy"))</f>
        <v/>
      </c>
      <c r="I3624" s="47" t="str">
        <f aca="false">IF(G3624="","",G3624+H3624)</f>
        <v/>
      </c>
    </row>
    <row r="3625" customFormat="false" ht="15" hidden="false" customHeight="false" outlineLevel="0" collapsed="false">
      <c r="C3625" s="41" t="str">
        <f aca="false">IF(A3625="","",TEXT(A3625,"mmm-yyyy"))</f>
        <v/>
      </c>
      <c r="I3625" s="47" t="str">
        <f aca="false">IF(G3625="","",G3625+H3625)</f>
        <v/>
      </c>
    </row>
    <row r="3626" customFormat="false" ht="15" hidden="false" customHeight="false" outlineLevel="0" collapsed="false">
      <c r="C3626" s="41" t="str">
        <f aca="false">IF(A3626="","",TEXT(A3626,"mmm-yyyy"))</f>
        <v/>
      </c>
      <c r="I3626" s="47" t="str">
        <f aca="false">IF(G3626="","",G3626+H3626)</f>
        <v/>
      </c>
    </row>
    <row r="3627" customFormat="false" ht="15" hidden="false" customHeight="false" outlineLevel="0" collapsed="false">
      <c r="C3627" s="41" t="str">
        <f aca="false">IF(A3627="","",TEXT(A3627,"mmm-yyyy"))</f>
        <v/>
      </c>
      <c r="I3627" s="47" t="str">
        <f aca="false">IF(G3627="","",G3627+H3627)</f>
        <v/>
      </c>
    </row>
    <row r="3628" customFormat="false" ht="15" hidden="false" customHeight="false" outlineLevel="0" collapsed="false">
      <c r="C3628" s="41" t="str">
        <f aca="false">IF(A3628="","",TEXT(A3628,"mmm-yyyy"))</f>
        <v/>
      </c>
      <c r="I3628" s="47" t="str">
        <f aca="false">IF(G3628="","",G3628+H3628)</f>
        <v/>
      </c>
    </row>
    <row r="3629" customFormat="false" ht="15" hidden="false" customHeight="false" outlineLevel="0" collapsed="false">
      <c r="C3629" s="41" t="str">
        <f aca="false">IF(A3629="","",TEXT(A3629,"mmm-yyyy"))</f>
        <v/>
      </c>
      <c r="I3629" s="47" t="str">
        <f aca="false">IF(G3629="","",G3629+H3629)</f>
        <v/>
      </c>
    </row>
    <row r="3630" customFormat="false" ht="15" hidden="false" customHeight="false" outlineLevel="0" collapsed="false">
      <c r="C3630" s="41" t="str">
        <f aca="false">IF(A3630="","",TEXT(A3630,"mmm-yyyy"))</f>
        <v/>
      </c>
      <c r="I3630" s="47" t="str">
        <f aca="false">IF(G3630="","",G3630+H3630)</f>
        <v/>
      </c>
    </row>
    <row r="3631" customFormat="false" ht="15" hidden="false" customHeight="false" outlineLevel="0" collapsed="false">
      <c r="C3631" s="41" t="str">
        <f aca="false">IF(A3631="","",TEXT(A3631,"mmm-yyyy"))</f>
        <v/>
      </c>
      <c r="I3631" s="47" t="str">
        <f aca="false">IF(G3631="","",G3631+H3631)</f>
        <v/>
      </c>
    </row>
    <row r="3632" customFormat="false" ht="15" hidden="false" customHeight="false" outlineLevel="0" collapsed="false">
      <c r="C3632" s="41" t="str">
        <f aca="false">IF(A3632="","",TEXT(A3632,"mmm-yyyy"))</f>
        <v/>
      </c>
      <c r="I3632" s="47" t="str">
        <f aca="false">IF(G3632="","",G3632+H3632)</f>
        <v/>
      </c>
    </row>
    <row r="3633" customFormat="false" ht="15" hidden="false" customHeight="false" outlineLevel="0" collapsed="false">
      <c r="C3633" s="41" t="str">
        <f aca="false">IF(A3633="","",TEXT(A3633,"mmm-yyyy"))</f>
        <v/>
      </c>
      <c r="I3633" s="47" t="str">
        <f aca="false">IF(G3633="","",G3633+H3633)</f>
        <v/>
      </c>
    </row>
    <row r="3634" customFormat="false" ht="15" hidden="false" customHeight="false" outlineLevel="0" collapsed="false">
      <c r="C3634" s="41" t="str">
        <f aca="false">IF(A3634="","",TEXT(A3634,"mmm-yyyy"))</f>
        <v/>
      </c>
      <c r="I3634" s="47" t="str">
        <f aca="false">IF(G3634="","",G3634+H3634)</f>
        <v/>
      </c>
    </row>
    <row r="3635" customFormat="false" ht="15" hidden="false" customHeight="false" outlineLevel="0" collapsed="false">
      <c r="C3635" s="41" t="str">
        <f aca="false">IF(A3635="","",TEXT(A3635,"mmm-yyyy"))</f>
        <v/>
      </c>
      <c r="I3635" s="47" t="str">
        <f aca="false">IF(G3635="","",G3635+H3635)</f>
        <v/>
      </c>
    </row>
    <row r="3636" customFormat="false" ht="15" hidden="false" customHeight="false" outlineLevel="0" collapsed="false">
      <c r="C3636" s="41" t="str">
        <f aca="false">IF(A3636="","",TEXT(A3636,"mmm-yyyy"))</f>
        <v/>
      </c>
      <c r="I3636" s="47" t="str">
        <f aca="false">IF(G3636="","",G3636+H3636)</f>
        <v/>
      </c>
    </row>
    <row r="3637" customFormat="false" ht="15" hidden="false" customHeight="false" outlineLevel="0" collapsed="false">
      <c r="C3637" s="41" t="str">
        <f aca="false">IF(A3637="","",TEXT(A3637,"mmm-yyyy"))</f>
        <v/>
      </c>
      <c r="I3637" s="47" t="str">
        <f aca="false">IF(G3637="","",G3637+H3637)</f>
        <v/>
      </c>
    </row>
    <row r="3638" customFormat="false" ht="15" hidden="false" customHeight="false" outlineLevel="0" collapsed="false">
      <c r="C3638" s="41" t="str">
        <f aca="false">IF(A3638="","",TEXT(A3638,"mmm-yyyy"))</f>
        <v/>
      </c>
      <c r="I3638" s="47" t="str">
        <f aca="false">IF(G3638="","",G3638+H3638)</f>
        <v/>
      </c>
    </row>
    <row r="3639" customFormat="false" ht="15" hidden="false" customHeight="false" outlineLevel="0" collapsed="false">
      <c r="C3639" s="41" t="str">
        <f aca="false">IF(A3639="","",TEXT(A3639,"mmm-yyyy"))</f>
        <v/>
      </c>
      <c r="I3639" s="47" t="str">
        <f aca="false">IF(G3639="","",G3639+H3639)</f>
        <v/>
      </c>
    </row>
    <row r="3640" customFormat="false" ht="15" hidden="false" customHeight="false" outlineLevel="0" collapsed="false">
      <c r="C3640" s="41" t="str">
        <f aca="false">IF(A3640="","",TEXT(A3640,"mmm-yyyy"))</f>
        <v/>
      </c>
      <c r="I3640" s="47" t="str">
        <f aca="false">IF(G3640="","",G3640+H3640)</f>
        <v/>
      </c>
    </row>
    <row r="3641" customFormat="false" ht="15" hidden="false" customHeight="false" outlineLevel="0" collapsed="false">
      <c r="C3641" s="41" t="str">
        <f aca="false">IF(A3641="","",TEXT(A3641,"mmm-yyyy"))</f>
        <v/>
      </c>
      <c r="I3641" s="47" t="str">
        <f aca="false">IF(G3641="","",G3641+H3641)</f>
        <v/>
      </c>
    </row>
    <row r="3642" customFormat="false" ht="15" hidden="false" customHeight="false" outlineLevel="0" collapsed="false">
      <c r="C3642" s="41" t="str">
        <f aca="false">IF(A3642="","",TEXT(A3642,"mmm-yyyy"))</f>
        <v/>
      </c>
      <c r="I3642" s="47" t="str">
        <f aca="false">IF(G3642="","",G3642+H3642)</f>
        <v/>
      </c>
    </row>
    <row r="3643" customFormat="false" ht="15" hidden="false" customHeight="false" outlineLevel="0" collapsed="false">
      <c r="C3643" s="41" t="str">
        <f aca="false">IF(A3643="","",TEXT(A3643,"mmm-yyyy"))</f>
        <v/>
      </c>
      <c r="I3643" s="47" t="str">
        <f aca="false">IF(G3643="","",G3643+H3643)</f>
        <v/>
      </c>
    </row>
    <row r="3644" customFormat="false" ht="15" hidden="false" customHeight="false" outlineLevel="0" collapsed="false">
      <c r="C3644" s="41" t="str">
        <f aca="false">IF(A3644="","",TEXT(A3644,"mmm-yyyy"))</f>
        <v/>
      </c>
      <c r="I3644" s="47" t="str">
        <f aca="false">IF(G3644="","",G3644+H3644)</f>
        <v/>
      </c>
    </row>
    <row r="3645" customFormat="false" ht="15" hidden="false" customHeight="false" outlineLevel="0" collapsed="false">
      <c r="C3645" s="41" t="str">
        <f aca="false">IF(A3645="","",TEXT(A3645,"mmm-yyyy"))</f>
        <v/>
      </c>
      <c r="I3645" s="47" t="str">
        <f aca="false">IF(G3645="","",G3645+H3645)</f>
        <v/>
      </c>
    </row>
    <row r="3646" customFormat="false" ht="15" hidden="false" customHeight="false" outlineLevel="0" collapsed="false">
      <c r="C3646" s="41" t="str">
        <f aca="false">IF(A3646="","",TEXT(A3646,"mmm-yyyy"))</f>
        <v/>
      </c>
      <c r="I3646" s="47" t="str">
        <f aca="false">IF(G3646="","",G3646+H3646)</f>
        <v/>
      </c>
    </row>
    <row r="3647" customFormat="false" ht="15" hidden="false" customHeight="false" outlineLevel="0" collapsed="false">
      <c r="C3647" s="41" t="str">
        <f aca="false">IF(A3647="","",TEXT(A3647,"mmm-yyyy"))</f>
        <v/>
      </c>
      <c r="I3647" s="47" t="str">
        <f aca="false">IF(G3647="","",G3647+H3647)</f>
        <v/>
      </c>
    </row>
    <row r="3648" customFormat="false" ht="15" hidden="false" customHeight="false" outlineLevel="0" collapsed="false">
      <c r="C3648" s="41" t="str">
        <f aca="false">IF(A3648="","",TEXT(A3648,"mmm-yyyy"))</f>
        <v/>
      </c>
      <c r="I3648" s="47" t="str">
        <f aca="false">IF(G3648="","",G3648+H3648)</f>
        <v/>
      </c>
    </row>
    <row r="3649" customFormat="false" ht="15" hidden="false" customHeight="false" outlineLevel="0" collapsed="false">
      <c r="C3649" s="41" t="str">
        <f aca="false">IF(A3649="","",TEXT(A3649,"mmm-yyyy"))</f>
        <v/>
      </c>
      <c r="I3649" s="47" t="str">
        <f aca="false">IF(G3649="","",G3649+H3649)</f>
        <v/>
      </c>
    </row>
    <row r="3650" customFormat="false" ht="15" hidden="false" customHeight="false" outlineLevel="0" collapsed="false">
      <c r="C3650" s="41" t="str">
        <f aca="false">IF(A3650="","",TEXT(A3650,"mmm-yyyy"))</f>
        <v/>
      </c>
      <c r="I3650" s="47" t="str">
        <f aca="false">IF(G3650="","",G3650+H3650)</f>
        <v/>
      </c>
    </row>
    <row r="3651" customFormat="false" ht="15" hidden="false" customHeight="false" outlineLevel="0" collapsed="false">
      <c r="C3651" s="41" t="str">
        <f aca="false">IF(A3651="","",TEXT(A3651,"mmm-yyyy"))</f>
        <v/>
      </c>
      <c r="I3651" s="47" t="str">
        <f aca="false">IF(G3651="","",G3651+H3651)</f>
        <v/>
      </c>
    </row>
    <row r="3652" customFormat="false" ht="15" hidden="false" customHeight="false" outlineLevel="0" collapsed="false">
      <c r="C3652" s="41" t="str">
        <f aca="false">IF(A3652="","",TEXT(A3652,"mmm-yyyy"))</f>
        <v/>
      </c>
      <c r="I3652" s="47" t="str">
        <f aca="false">IF(G3652="","",G3652+H3652)</f>
        <v/>
      </c>
    </row>
    <row r="3653" customFormat="false" ht="15" hidden="false" customHeight="false" outlineLevel="0" collapsed="false">
      <c r="C3653" s="41" t="str">
        <f aca="false">IF(A3653="","",TEXT(A3653,"mmm-yyyy"))</f>
        <v/>
      </c>
      <c r="I3653" s="47" t="str">
        <f aca="false">IF(G3653="","",G3653+H3653)</f>
        <v/>
      </c>
    </row>
    <row r="3654" customFormat="false" ht="15" hidden="false" customHeight="false" outlineLevel="0" collapsed="false">
      <c r="C3654" s="41" t="str">
        <f aca="false">IF(A3654="","",TEXT(A3654,"mmm-yyyy"))</f>
        <v/>
      </c>
      <c r="I3654" s="47" t="str">
        <f aca="false">IF(G3654="","",G3654+H3654)</f>
        <v/>
      </c>
    </row>
    <row r="3655" customFormat="false" ht="15" hidden="false" customHeight="false" outlineLevel="0" collapsed="false">
      <c r="C3655" s="41" t="str">
        <f aca="false">IF(A3655="","",TEXT(A3655,"mmm-yyyy"))</f>
        <v/>
      </c>
      <c r="I3655" s="47" t="str">
        <f aca="false">IF(G3655="","",G3655+H3655)</f>
        <v/>
      </c>
    </row>
    <row r="3656" customFormat="false" ht="15" hidden="false" customHeight="false" outlineLevel="0" collapsed="false">
      <c r="C3656" s="41" t="str">
        <f aca="false">IF(A3656="","",TEXT(A3656,"mmm-yyyy"))</f>
        <v/>
      </c>
      <c r="I3656" s="47" t="str">
        <f aca="false">IF(G3656="","",G3656+H3656)</f>
        <v/>
      </c>
    </row>
    <row r="3657" customFormat="false" ht="15" hidden="false" customHeight="false" outlineLevel="0" collapsed="false">
      <c r="C3657" s="41" t="str">
        <f aca="false">IF(A3657="","",TEXT(A3657,"mmm-yyyy"))</f>
        <v/>
      </c>
      <c r="I3657" s="47" t="str">
        <f aca="false">IF(G3657="","",G3657+H3657)</f>
        <v/>
      </c>
    </row>
    <row r="3658" customFormat="false" ht="15" hidden="false" customHeight="false" outlineLevel="0" collapsed="false">
      <c r="C3658" s="41" t="str">
        <f aca="false">IF(A3658="","",TEXT(A3658,"mmm-yyyy"))</f>
        <v/>
      </c>
      <c r="I3658" s="47" t="str">
        <f aca="false">IF(G3658="","",G3658+H3658)</f>
        <v/>
      </c>
    </row>
    <row r="3659" customFormat="false" ht="15" hidden="false" customHeight="false" outlineLevel="0" collapsed="false">
      <c r="C3659" s="41" t="str">
        <f aca="false">IF(A3659="","",TEXT(A3659,"mmm-yyyy"))</f>
        <v/>
      </c>
      <c r="I3659" s="47" t="str">
        <f aca="false">IF(G3659="","",G3659+H3659)</f>
        <v/>
      </c>
    </row>
    <row r="3660" customFormat="false" ht="15" hidden="false" customHeight="false" outlineLevel="0" collapsed="false">
      <c r="C3660" s="41" t="str">
        <f aca="false">IF(A3660="","",TEXT(A3660,"mmm-yyyy"))</f>
        <v/>
      </c>
      <c r="I3660" s="47" t="str">
        <f aca="false">IF(G3660="","",G3660+H3660)</f>
        <v/>
      </c>
    </row>
    <row r="3661" customFormat="false" ht="15" hidden="false" customHeight="false" outlineLevel="0" collapsed="false">
      <c r="C3661" s="41" t="str">
        <f aca="false">IF(A3661="","",TEXT(A3661,"mmm-yyyy"))</f>
        <v/>
      </c>
      <c r="I3661" s="47" t="str">
        <f aca="false">IF(G3661="","",G3661+H3661)</f>
        <v/>
      </c>
    </row>
    <row r="3662" customFormat="false" ht="15" hidden="false" customHeight="false" outlineLevel="0" collapsed="false">
      <c r="C3662" s="41" t="str">
        <f aca="false">IF(A3662="","",TEXT(A3662,"mmm-yyyy"))</f>
        <v/>
      </c>
      <c r="I3662" s="47" t="str">
        <f aca="false">IF(G3662="","",G3662+H3662)</f>
        <v/>
      </c>
    </row>
    <row r="3663" customFormat="false" ht="15" hidden="false" customHeight="false" outlineLevel="0" collapsed="false">
      <c r="C3663" s="41" t="str">
        <f aca="false">IF(A3663="","",TEXT(A3663,"mmm-yyyy"))</f>
        <v/>
      </c>
      <c r="I3663" s="47" t="str">
        <f aca="false">IF(G3663="","",G3663+H3663)</f>
        <v/>
      </c>
    </row>
    <row r="3664" customFormat="false" ht="15" hidden="false" customHeight="false" outlineLevel="0" collapsed="false">
      <c r="C3664" s="41" t="str">
        <f aca="false">IF(A3664="","",TEXT(A3664,"mmm-yyyy"))</f>
        <v/>
      </c>
      <c r="I3664" s="47" t="str">
        <f aca="false">IF(G3664="","",G3664+H3664)</f>
        <v/>
      </c>
    </row>
    <row r="3665" customFormat="false" ht="15" hidden="false" customHeight="false" outlineLevel="0" collapsed="false">
      <c r="C3665" s="41" t="str">
        <f aca="false">IF(A3665="","",TEXT(A3665,"mmm-yyyy"))</f>
        <v/>
      </c>
      <c r="I3665" s="47" t="str">
        <f aca="false">IF(G3665="","",G3665+H3665)</f>
        <v/>
      </c>
    </row>
    <row r="3666" customFormat="false" ht="15" hidden="false" customHeight="false" outlineLevel="0" collapsed="false">
      <c r="C3666" s="41" t="str">
        <f aca="false">IF(A3666="","",TEXT(A3666,"mmm-yyyy"))</f>
        <v/>
      </c>
      <c r="I3666" s="47" t="str">
        <f aca="false">IF(G3666="","",G3666+H3666)</f>
        <v/>
      </c>
    </row>
    <row r="3667" customFormat="false" ht="15" hidden="false" customHeight="false" outlineLevel="0" collapsed="false">
      <c r="C3667" s="41" t="str">
        <f aca="false">IF(A3667="","",TEXT(A3667,"mmm-yyyy"))</f>
        <v/>
      </c>
      <c r="I3667" s="47" t="str">
        <f aca="false">IF(G3667="","",G3667+H3667)</f>
        <v/>
      </c>
    </row>
    <row r="3668" customFormat="false" ht="15" hidden="false" customHeight="false" outlineLevel="0" collapsed="false">
      <c r="C3668" s="41" t="str">
        <f aca="false">IF(A3668="","",TEXT(A3668,"mmm-yyyy"))</f>
        <v/>
      </c>
      <c r="I3668" s="47" t="str">
        <f aca="false">IF(G3668="","",G3668+H3668)</f>
        <v/>
      </c>
    </row>
    <row r="3669" customFormat="false" ht="15" hidden="false" customHeight="false" outlineLevel="0" collapsed="false">
      <c r="C3669" s="41" t="str">
        <f aca="false">IF(A3669="","",TEXT(A3669,"mmm-yyyy"))</f>
        <v/>
      </c>
      <c r="I3669" s="47" t="str">
        <f aca="false">IF(G3669="","",G3669+H3669)</f>
        <v/>
      </c>
    </row>
    <row r="3670" customFormat="false" ht="15" hidden="false" customHeight="false" outlineLevel="0" collapsed="false">
      <c r="C3670" s="41" t="str">
        <f aca="false">IF(A3670="","",TEXT(A3670,"mmm-yyyy"))</f>
        <v/>
      </c>
      <c r="I3670" s="47" t="str">
        <f aca="false">IF(G3670="","",G3670+H3670)</f>
        <v/>
      </c>
    </row>
    <row r="3671" customFormat="false" ht="15" hidden="false" customHeight="false" outlineLevel="0" collapsed="false">
      <c r="C3671" s="41" t="str">
        <f aca="false">IF(A3671="","",TEXT(A3671,"mmm-yyyy"))</f>
        <v/>
      </c>
      <c r="I3671" s="47" t="str">
        <f aca="false">IF(G3671="","",G3671+H3671)</f>
        <v/>
      </c>
    </row>
    <row r="3672" customFormat="false" ht="15" hidden="false" customHeight="false" outlineLevel="0" collapsed="false">
      <c r="C3672" s="41" t="str">
        <f aca="false">IF(A3672="","",TEXT(A3672,"mmm-yyyy"))</f>
        <v/>
      </c>
      <c r="I3672" s="47" t="str">
        <f aca="false">IF(G3672="","",G3672+H3672)</f>
        <v/>
      </c>
    </row>
    <row r="3673" customFormat="false" ht="15" hidden="false" customHeight="false" outlineLevel="0" collapsed="false">
      <c r="C3673" s="41" t="str">
        <f aca="false">IF(A3673="","",TEXT(A3673,"mmm-yyyy"))</f>
        <v/>
      </c>
      <c r="I3673" s="47" t="str">
        <f aca="false">IF(G3673="","",G3673+H3673)</f>
        <v/>
      </c>
    </row>
    <row r="3674" customFormat="false" ht="15" hidden="false" customHeight="false" outlineLevel="0" collapsed="false">
      <c r="C3674" s="41" t="str">
        <f aca="false">IF(A3674="","",TEXT(A3674,"mmm-yyyy"))</f>
        <v/>
      </c>
      <c r="I3674" s="47" t="str">
        <f aca="false">IF(G3674="","",G3674+H3674)</f>
        <v/>
      </c>
    </row>
    <row r="3675" customFormat="false" ht="15" hidden="false" customHeight="false" outlineLevel="0" collapsed="false">
      <c r="C3675" s="41" t="str">
        <f aca="false">IF(A3675="","",TEXT(A3675,"mmm-yyyy"))</f>
        <v/>
      </c>
      <c r="I3675" s="47" t="str">
        <f aca="false">IF(G3675="","",G3675+H3675)</f>
        <v/>
      </c>
    </row>
    <row r="3676" customFormat="false" ht="15" hidden="false" customHeight="false" outlineLevel="0" collapsed="false">
      <c r="C3676" s="41" t="str">
        <f aca="false">IF(A3676="","",TEXT(A3676,"mmm-yyyy"))</f>
        <v/>
      </c>
      <c r="I3676" s="47" t="str">
        <f aca="false">IF(G3676="","",G3676+H3676)</f>
        <v/>
      </c>
    </row>
    <row r="3677" customFormat="false" ht="15" hidden="false" customHeight="false" outlineLevel="0" collapsed="false">
      <c r="C3677" s="41" t="str">
        <f aca="false">IF(A3677="","",TEXT(A3677,"mmm-yyyy"))</f>
        <v/>
      </c>
      <c r="I3677" s="47" t="str">
        <f aca="false">IF(G3677="","",G3677+H3677)</f>
        <v/>
      </c>
    </row>
    <row r="3678" customFormat="false" ht="15" hidden="false" customHeight="false" outlineLevel="0" collapsed="false">
      <c r="C3678" s="41" t="str">
        <f aca="false">IF(A3678="","",TEXT(A3678,"mmm-yyyy"))</f>
        <v/>
      </c>
      <c r="I3678" s="47" t="str">
        <f aca="false">IF(G3678="","",G3678+H3678)</f>
        <v/>
      </c>
    </row>
    <row r="3679" customFormat="false" ht="15" hidden="false" customHeight="false" outlineLevel="0" collapsed="false">
      <c r="C3679" s="41" t="str">
        <f aca="false">IF(A3679="","",TEXT(A3679,"mmm-yyyy"))</f>
        <v/>
      </c>
      <c r="I3679" s="47" t="str">
        <f aca="false">IF(G3679="","",G3679+H3679)</f>
        <v/>
      </c>
    </row>
    <row r="3680" customFormat="false" ht="15" hidden="false" customHeight="false" outlineLevel="0" collapsed="false">
      <c r="C3680" s="41" t="str">
        <f aca="false">IF(A3680="","",TEXT(A3680,"mmm-yyyy"))</f>
        <v/>
      </c>
      <c r="I3680" s="47" t="str">
        <f aca="false">IF(G3680="","",G3680+H3680)</f>
        <v/>
      </c>
    </row>
    <row r="3681" customFormat="false" ht="15" hidden="false" customHeight="false" outlineLevel="0" collapsed="false">
      <c r="C3681" s="41" t="str">
        <f aca="false">IF(A3681="","",TEXT(A3681,"mmm-yyyy"))</f>
        <v/>
      </c>
      <c r="I3681" s="47" t="str">
        <f aca="false">IF(G3681="","",G3681+H3681)</f>
        <v/>
      </c>
    </row>
    <row r="3682" customFormat="false" ht="15" hidden="false" customHeight="false" outlineLevel="0" collapsed="false">
      <c r="C3682" s="41" t="str">
        <f aca="false">IF(A3682="","",TEXT(A3682,"mmm-yyyy"))</f>
        <v/>
      </c>
      <c r="I3682" s="47" t="str">
        <f aca="false">IF(G3682="","",G3682+H3682)</f>
        <v/>
      </c>
    </row>
    <row r="3683" customFormat="false" ht="15" hidden="false" customHeight="false" outlineLevel="0" collapsed="false">
      <c r="C3683" s="41" t="str">
        <f aca="false">IF(A3683="","",TEXT(A3683,"mmm-yyyy"))</f>
        <v/>
      </c>
      <c r="I3683" s="47" t="str">
        <f aca="false">IF(G3683="","",G3683+H3683)</f>
        <v/>
      </c>
    </row>
    <row r="3684" customFormat="false" ht="15" hidden="false" customHeight="false" outlineLevel="0" collapsed="false">
      <c r="C3684" s="41" t="str">
        <f aca="false">IF(A3684="","",TEXT(A3684,"mmm-yyyy"))</f>
        <v/>
      </c>
      <c r="I3684" s="47" t="str">
        <f aca="false">IF(G3684="","",G3684+H3684)</f>
        <v/>
      </c>
    </row>
    <row r="3685" customFormat="false" ht="15" hidden="false" customHeight="false" outlineLevel="0" collapsed="false">
      <c r="C3685" s="41" t="str">
        <f aca="false">IF(A3685="","",TEXT(A3685,"mmm-yyyy"))</f>
        <v/>
      </c>
      <c r="I3685" s="47" t="str">
        <f aca="false">IF(G3685="","",G3685+H3685)</f>
        <v/>
      </c>
    </row>
    <row r="3686" customFormat="false" ht="15" hidden="false" customHeight="false" outlineLevel="0" collapsed="false">
      <c r="C3686" s="41" t="str">
        <f aca="false">IF(A3686="","",TEXT(A3686,"mmm-yyyy"))</f>
        <v/>
      </c>
      <c r="I3686" s="47" t="str">
        <f aca="false">IF(G3686="","",G3686+H3686)</f>
        <v/>
      </c>
    </row>
    <row r="3687" customFormat="false" ht="15" hidden="false" customHeight="false" outlineLevel="0" collapsed="false">
      <c r="C3687" s="41" t="str">
        <f aca="false">IF(A3687="","",TEXT(A3687,"mmm-yyyy"))</f>
        <v/>
      </c>
      <c r="I3687" s="47" t="str">
        <f aca="false">IF(G3687="","",G3687+H3687)</f>
        <v/>
      </c>
    </row>
    <row r="3688" customFormat="false" ht="15" hidden="false" customHeight="false" outlineLevel="0" collapsed="false">
      <c r="C3688" s="41" t="str">
        <f aca="false">IF(A3688="","",TEXT(A3688,"mmm-yyyy"))</f>
        <v/>
      </c>
      <c r="I3688" s="47" t="str">
        <f aca="false">IF(G3688="","",G3688+H3688)</f>
        <v/>
      </c>
    </row>
    <row r="3689" customFormat="false" ht="15" hidden="false" customHeight="false" outlineLevel="0" collapsed="false">
      <c r="C3689" s="41" t="str">
        <f aca="false">IF(A3689="","",TEXT(A3689,"mmm-yyyy"))</f>
        <v/>
      </c>
      <c r="I3689" s="47" t="str">
        <f aca="false">IF(G3689="","",G3689+H3689)</f>
        <v/>
      </c>
    </row>
    <row r="3690" customFormat="false" ht="15" hidden="false" customHeight="false" outlineLevel="0" collapsed="false">
      <c r="C3690" s="41" t="str">
        <f aca="false">IF(A3690="","",TEXT(A3690,"mmm-yyyy"))</f>
        <v/>
      </c>
      <c r="I3690" s="47" t="str">
        <f aca="false">IF(G3690="","",G3690+H3690)</f>
        <v/>
      </c>
    </row>
    <row r="3691" customFormat="false" ht="15" hidden="false" customHeight="false" outlineLevel="0" collapsed="false">
      <c r="C3691" s="41" t="str">
        <f aca="false">IF(A3691="","",TEXT(A3691,"mmm-yyyy"))</f>
        <v/>
      </c>
      <c r="I3691" s="47" t="str">
        <f aca="false">IF(G3691="","",G3691+H3691)</f>
        <v/>
      </c>
    </row>
    <row r="3692" customFormat="false" ht="15" hidden="false" customHeight="false" outlineLevel="0" collapsed="false">
      <c r="C3692" s="41" t="str">
        <f aca="false">IF(A3692="","",TEXT(A3692,"mmm-yyyy"))</f>
        <v/>
      </c>
      <c r="I3692" s="47" t="str">
        <f aca="false">IF(G3692="","",G3692+H3692)</f>
        <v/>
      </c>
    </row>
    <row r="3693" customFormat="false" ht="15" hidden="false" customHeight="false" outlineLevel="0" collapsed="false">
      <c r="C3693" s="41" t="str">
        <f aca="false">IF(A3693="","",TEXT(A3693,"mmm-yyyy"))</f>
        <v/>
      </c>
      <c r="I3693" s="47" t="str">
        <f aca="false">IF(G3693="","",G3693+H3693)</f>
        <v/>
      </c>
    </row>
    <row r="3694" customFormat="false" ht="15" hidden="false" customHeight="false" outlineLevel="0" collapsed="false">
      <c r="C3694" s="41" t="str">
        <f aca="false">IF(A3694="","",TEXT(A3694,"mmm-yyyy"))</f>
        <v/>
      </c>
      <c r="I3694" s="47" t="str">
        <f aca="false">IF(G3694="","",G3694+H3694)</f>
        <v/>
      </c>
    </row>
    <row r="3695" customFormat="false" ht="15" hidden="false" customHeight="false" outlineLevel="0" collapsed="false">
      <c r="C3695" s="41" t="str">
        <f aca="false">IF(A3695="","",TEXT(A3695,"mmm-yyyy"))</f>
        <v/>
      </c>
      <c r="I3695" s="47" t="str">
        <f aca="false">IF(G3695="","",G3695+H3695)</f>
        <v/>
      </c>
    </row>
    <row r="3696" customFormat="false" ht="15" hidden="false" customHeight="false" outlineLevel="0" collapsed="false">
      <c r="C3696" s="41" t="str">
        <f aca="false">IF(A3696="","",TEXT(A3696,"mmm-yyyy"))</f>
        <v/>
      </c>
      <c r="I3696" s="47" t="str">
        <f aca="false">IF(G3696="","",G3696+H3696)</f>
        <v/>
      </c>
    </row>
    <row r="3697" customFormat="false" ht="15" hidden="false" customHeight="false" outlineLevel="0" collapsed="false">
      <c r="C3697" s="41" t="str">
        <f aca="false">IF(A3697="","",TEXT(A3697,"mmm-yyyy"))</f>
        <v/>
      </c>
      <c r="I3697" s="47" t="str">
        <f aca="false">IF(G3697="","",G3697+H3697)</f>
        <v/>
      </c>
    </row>
    <row r="3698" customFormat="false" ht="15" hidden="false" customHeight="false" outlineLevel="0" collapsed="false">
      <c r="C3698" s="41" t="str">
        <f aca="false">IF(A3698="","",TEXT(A3698,"mmm-yyyy"))</f>
        <v/>
      </c>
      <c r="I3698" s="47" t="str">
        <f aca="false">IF(G3698="","",G3698+H3698)</f>
        <v/>
      </c>
    </row>
    <row r="3699" customFormat="false" ht="15" hidden="false" customHeight="false" outlineLevel="0" collapsed="false">
      <c r="C3699" s="41" t="str">
        <f aca="false">IF(A3699="","",TEXT(A3699,"mmm-yyyy"))</f>
        <v/>
      </c>
      <c r="I3699" s="47" t="str">
        <f aca="false">IF(G3699="","",G3699+H3699)</f>
        <v/>
      </c>
    </row>
    <row r="3700" customFormat="false" ht="15" hidden="false" customHeight="false" outlineLevel="0" collapsed="false">
      <c r="C3700" s="41" t="str">
        <f aca="false">IF(A3700="","",TEXT(A3700,"mmm-yyyy"))</f>
        <v/>
      </c>
      <c r="I3700" s="47" t="str">
        <f aca="false">IF(G3700="","",G3700+H3700)</f>
        <v/>
      </c>
    </row>
    <row r="3701" customFormat="false" ht="15" hidden="false" customHeight="false" outlineLevel="0" collapsed="false">
      <c r="C3701" s="41" t="str">
        <f aca="false">IF(A3701="","",TEXT(A3701,"mmm-yyyy"))</f>
        <v/>
      </c>
      <c r="I3701" s="47" t="str">
        <f aca="false">IF(G3701="","",G3701+H3701)</f>
        <v/>
      </c>
    </row>
    <row r="3702" customFormat="false" ht="15" hidden="false" customHeight="false" outlineLevel="0" collapsed="false">
      <c r="C3702" s="41" t="str">
        <f aca="false">IF(A3702="","",TEXT(A3702,"mmm-yyyy"))</f>
        <v/>
      </c>
      <c r="I3702" s="47" t="str">
        <f aca="false">IF(G3702="","",G3702+H3702)</f>
        <v/>
      </c>
    </row>
    <row r="3703" customFormat="false" ht="15" hidden="false" customHeight="false" outlineLevel="0" collapsed="false">
      <c r="C3703" s="41" t="str">
        <f aca="false">IF(A3703="","",TEXT(A3703,"mmm-yyyy"))</f>
        <v/>
      </c>
      <c r="I3703" s="47" t="str">
        <f aca="false">IF(G3703="","",G3703+H3703)</f>
        <v/>
      </c>
    </row>
    <row r="3704" customFormat="false" ht="15" hidden="false" customHeight="false" outlineLevel="0" collapsed="false">
      <c r="C3704" s="41" t="str">
        <f aca="false">IF(A3704="","",TEXT(A3704,"mmm-yyyy"))</f>
        <v/>
      </c>
      <c r="I3704" s="47" t="str">
        <f aca="false">IF(G3704="","",G3704+H3704)</f>
        <v/>
      </c>
    </row>
    <row r="3705" customFormat="false" ht="15" hidden="false" customHeight="false" outlineLevel="0" collapsed="false">
      <c r="C3705" s="41" t="str">
        <f aca="false">IF(A3705="","",TEXT(A3705,"mmm-yyyy"))</f>
        <v/>
      </c>
      <c r="I3705" s="47" t="str">
        <f aca="false">IF(G3705="","",G3705+H3705)</f>
        <v/>
      </c>
    </row>
    <row r="3706" customFormat="false" ht="15" hidden="false" customHeight="false" outlineLevel="0" collapsed="false">
      <c r="C3706" s="41" t="str">
        <f aca="false">IF(A3706="","",TEXT(A3706,"mmm-yyyy"))</f>
        <v/>
      </c>
      <c r="I3706" s="47" t="str">
        <f aca="false">IF(G3706="","",G3706+H3706)</f>
        <v/>
      </c>
    </row>
    <row r="3707" customFormat="false" ht="15" hidden="false" customHeight="false" outlineLevel="0" collapsed="false">
      <c r="C3707" s="41" t="str">
        <f aca="false">IF(A3707="","",TEXT(A3707,"mmm-yyyy"))</f>
        <v/>
      </c>
      <c r="I3707" s="47" t="str">
        <f aca="false">IF(G3707="","",G3707+H3707)</f>
        <v/>
      </c>
    </row>
    <row r="3708" customFormat="false" ht="15" hidden="false" customHeight="false" outlineLevel="0" collapsed="false">
      <c r="C3708" s="41" t="str">
        <f aca="false">IF(A3708="","",TEXT(A3708,"mmm-yyyy"))</f>
        <v/>
      </c>
      <c r="I3708" s="47" t="str">
        <f aca="false">IF(G3708="","",G3708+H3708)</f>
        <v/>
      </c>
    </row>
    <row r="3709" customFormat="false" ht="15" hidden="false" customHeight="false" outlineLevel="0" collapsed="false">
      <c r="C3709" s="41" t="str">
        <f aca="false">IF(A3709="","",TEXT(A3709,"mmm-yyyy"))</f>
        <v/>
      </c>
      <c r="I3709" s="47" t="str">
        <f aca="false">IF(G3709="","",G3709+H3709)</f>
        <v/>
      </c>
    </row>
    <row r="3710" customFormat="false" ht="15" hidden="false" customHeight="false" outlineLevel="0" collapsed="false">
      <c r="C3710" s="41" t="str">
        <f aca="false">IF(A3710="","",TEXT(A3710,"mmm-yyyy"))</f>
        <v/>
      </c>
      <c r="I3710" s="47" t="str">
        <f aca="false">IF(G3710="","",G3710+H3710)</f>
        <v/>
      </c>
    </row>
    <row r="3711" customFormat="false" ht="15" hidden="false" customHeight="false" outlineLevel="0" collapsed="false">
      <c r="C3711" s="41" t="str">
        <f aca="false">IF(A3711="","",TEXT(A3711,"mmm-yyyy"))</f>
        <v/>
      </c>
      <c r="I3711" s="47" t="str">
        <f aca="false">IF(G3711="","",G3711+H3711)</f>
        <v/>
      </c>
    </row>
    <row r="3712" customFormat="false" ht="15" hidden="false" customHeight="false" outlineLevel="0" collapsed="false">
      <c r="C3712" s="41" t="str">
        <f aca="false">IF(A3712="","",TEXT(A3712,"mmm-yyyy"))</f>
        <v/>
      </c>
      <c r="I3712" s="47" t="str">
        <f aca="false">IF(G3712="","",G3712+H3712)</f>
        <v/>
      </c>
    </row>
    <row r="3713" customFormat="false" ht="15" hidden="false" customHeight="false" outlineLevel="0" collapsed="false">
      <c r="C3713" s="41" t="str">
        <f aca="false">IF(A3713="","",TEXT(A3713,"mmm-yyyy"))</f>
        <v/>
      </c>
      <c r="I3713" s="47" t="str">
        <f aca="false">IF(G3713="","",G3713+H3713)</f>
        <v/>
      </c>
    </row>
    <row r="3714" customFormat="false" ht="15" hidden="false" customHeight="false" outlineLevel="0" collapsed="false">
      <c r="C3714" s="41" t="str">
        <f aca="false">IF(A3714="","",TEXT(A3714,"mmm-yyyy"))</f>
        <v/>
      </c>
      <c r="I3714" s="47" t="str">
        <f aca="false">IF(G3714="","",G3714+H3714)</f>
        <v/>
      </c>
    </row>
    <row r="3715" customFormat="false" ht="15" hidden="false" customHeight="false" outlineLevel="0" collapsed="false">
      <c r="C3715" s="41" t="str">
        <f aca="false">IF(A3715="","",TEXT(A3715,"mmm-yyyy"))</f>
        <v/>
      </c>
      <c r="I3715" s="47" t="str">
        <f aca="false">IF(G3715="","",G3715+H3715)</f>
        <v/>
      </c>
    </row>
    <row r="3716" customFormat="false" ht="15" hidden="false" customHeight="false" outlineLevel="0" collapsed="false">
      <c r="C3716" s="41" t="str">
        <f aca="false">IF(A3716="","",TEXT(A3716,"mmm-yyyy"))</f>
        <v/>
      </c>
      <c r="I3716" s="47" t="str">
        <f aca="false">IF(G3716="","",G3716+H3716)</f>
        <v/>
      </c>
    </row>
    <row r="3717" customFormat="false" ht="15" hidden="false" customHeight="false" outlineLevel="0" collapsed="false">
      <c r="C3717" s="41" t="str">
        <f aca="false">IF(A3717="","",TEXT(A3717,"mmm-yyyy"))</f>
        <v/>
      </c>
      <c r="I3717" s="47" t="str">
        <f aca="false">IF(G3717="","",G3717+H3717)</f>
        <v/>
      </c>
    </row>
    <row r="3718" customFormat="false" ht="15" hidden="false" customHeight="false" outlineLevel="0" collapsed="false">
      <c r="C3718" s="41" t="str">
        <f aca="false">IF(A3718="","",TEXT(A3718,"mmm-yyyy"))</f>
        <v/>
      </c>
      <c r="I3718" s="47" t="str">
        <f aca="false">IF(G3718="","",G3718+H3718)</f>
        <v/>
      </c>
    </row>
    <row r="3719" customFormat="false" ht="15" hidden="false" customHeight="false" outlineLevel="0" collapsed="false">
      <c r="C3719" s="41" t="str">
        <f aca="false">IF(A3719="","",TEXT(A3719,"mmm-yyyy"))</f>
        <v/>
      </c>
      <c r="I3719" s="47" t="str">
        <f aca="false">IF(G3719="","",G3719+H3719)</f>
        <v/>
      </c>
    </row>
    <row r="3720" customFormat="false" ht="15" hidden="false" customHeight="false" outlineLevel="0" collapsed="false">
      <c r="C3720" s="41" t="str">
        <f aca="false">IF(A3720="","",TEXT(A3720,"mmm-yyyy"))</f>
        <v/>
      </c>
      <c r="I3720" s="47" t="str">
        <f aca="false">IF(G3720="","",G3720+H3720)</f>
        <v/>
      </c>
    </row>
    <row r="3721" customFormat="false" ht="15" hidden="false" customHeight="false" outlineLevel="0" collapsed="false">
      <c r="C3721" s="41" t="str">
        <f aca="false">IF(A3721="","",TEXT(A3721,"mmm-yyyy"))</f>
        <v/>
      </c>
      <c r="I3721" s="47" t="str">
        <f aca="false">IF(G3721="","",G3721+H3721)</f>
        <v/>
      </c>
    </row>
    <row r="3722" customFormat="false" ht="15" hidden="false" customHeight="false" outlineLevel="0" collapsed="false">
      <c r="C3722" s="41" t="str">
        <f aca="false">IF(A3722="","",TEXT(A3722,"mmm-yyyy"))</f>
        <v/>
      </c>
      <c r="I3722" s="47" t="str">
        <f aca="false">IF(G3722="","",G3722+H3722)</f>
        <v/>
      </c>
    </row>
    <row r="3723" customFormat="false" ht="15" hidden="false" customHeight="false" outlineLevel="0" collapsed="false">
      <c r="C3723" s="41" t="str">
        <f aca="false">IF(A3723="","",TEXT(A3723,"mmm-yyyy"))</f>
        <v/>
      </c>
      <c r="I3723" s="47" t="str">
        <f aca="false">IF(G3723="","",G3723+H3723)</f>
        <v/>
      </c>
    </row>
    <row r="3724" customFormat="false" ht="15" hidden="false" customHeight="false" outlineLevel="0" collapsed="false">
      <c r="C3724" s="41" t="str">
        <f aca="false">IF(A3724="","",TEXT(A3724,"mmm-yyyy"))</f>
        <v/>
      </c>
      <c r="I3724" s="47" t="str">
        <f aca="false">IF(G3724="","",G3724+H3724)</f>
        <v/>
      </c>
    </row>
    <row r="3725" customFormat="false" ht="15" hidden="false" customHeight="false" outlineLevel="0" collapsed="false">
      <c r="C3725" s="41" t="str">
        <f aca="false">IF(A3725="","",TEXT(A3725,"mmm-yyyy"))</f>
        <v/>
      </c>
      <c r="I3725" s="47" t="str">
        <f aca="false">IF(G3725="","",G3725+H3725)</f>
        <v/>
      </c>
    </row>
    <row r="3726" customFormat="false" ht="15" hidden="false" customHeight="false" outlineLevel="0" collapsed="false">
      <c r="C3726" s="41" t="str">
        <f aca="false">IF(A3726="","",TEXT(A3726,"mmm-yyyy"))</f>
        <v/>
      </c>
      <c r="I3726" s="47" t="str">
        <f aca="false">IF(G3726="","",G3726+H3726)</f>
        <v/>
      </c>
    </row>
    <row r="3727" customFormat="false" ht="15" hidden="false" customHeight="false" outlineLevel="0" collapsed="false">
      <c r="C3727" s="41" t="str">
        <f aca="false">IF(A3727="","",TEXT(A3727,"mmm-yyyy"))</f>
        <v/>
      </c>
      <c r="I3727" s="47" t="str">
        <f aca="false">IF(G3727="","",G3727+H3727)</f>
        <v/>
      </c>
    </row>
    <row r="3728" customFormat="false" ht="15" hidden="false" customHeight="false" outlineLevel="0" collapsed="false">
      <c r="C3728" s="41" t="str">
        <f aca="false">IF(A3728="","",TEXT(A3728,"mmm-yyyy"))</f>
        <v/>
      </c>
      <c r="I3728" s="47" t="str">
        <f aca="false">IF(G3728="","",G3728+H3728)</f>
        <v/>
      </c>
    </row>
    <row r="3729" customFormat="false" ht="15" hidden="false" customHeight="false" outlineLevel="0" collapsed="false">
      <c r="C3729" s="41" t="str">
        <f aca="false">IF(A3729="","",TEXT(A3729,"mmm-yyyy"))</f>
        <v/>
      </c>
      <c r="I3729" s="47" t="str">
        <f aca="false">IF(G3729="","",G3729+H3729)</f>
        <v/>
      </c>
    </row>
    <row r="3730" customFormat="false" ht="15" hidden="false" customHeight="false" outlineLevel="0" collapsed="false">
      <c r="C3730" s="41" t="str">
        <f aca="false">IF(A3730="","",TEXT(A3730,"mmm-yyyy"))</f>
        <v/>
      </c>
      <c r="I3730" s="47" t="str">
        <f aca="false">IF(G3730="","",G3730+H3730)</f>
        <v/>
      </c>
    </row>
    <row r="3731" customFormat="false" ht="15" hidden="false" customHeight="false" outlineLevel="0" collapsed="false">
      <c r="C3731" s="41" t="str">
        <f aca="false">IF(A3731="","",TEXT(A3731,"mmm-yyyy"))</f>
        <v/>
      </c>
      <c r="I3731" s="47" t="str">
        <f aca="false">IF(G3731="","",G3731+H3731)</f>
        <v/>
      </c>
    </row>
    <row r="3732" customFormat="false" ht="15" hidden="false" customHeight="false" outlineLevel="0" collapsed="false">
      <c r="C3732" s="41" t="str">
        <f aca="false">IF(A3732="","",TEXT(A3732,"mmm-yyyy"))</f>
        <v/>
      </c>
      <c r="I3732" s="47" t="str">
        <f aca="false">IF(G3732="","",G3732+H3732)</f>
        <v/>
      </c>
    </row>
    <row r="3733" customFormat="false" ht="15" hidden="false" customHeight="false" outlineLevel="0" collapsed="false">
      <c r="C3733" s="41" t="str">
        <f aca="false">IF(A3733="","",TEXT(A3733,"mmm-yyyy"))</f>
        <v/>
      </c>
      <c r="I3733" s="47" t="str">
        <f aca="false">IF(G3733="","",G3733+H3733)</f>
        <v/>
      </c>
    </row>
    <row r="3734" customFormat="false" ht="15" hidden="false" customHeight="false" outlineLevel="0" collapsed="false">
      <c r="C3734" s="41" t="str">
        <f aca="false">IF(A3734="","",TEXT(A3734,"mmm-yyyy"))</f>
        <v/>
      </c>
      <c r="I3734" s="47" t="str">
        <f aca="false">IF(G3734="","",G3734+H3734)</f>
        <v/>
      </c>
    </row>
    <row r="3735" customFormat="false" ht="15" hidden="false" customHeight="false" outlineLevel="0" collapsed="false">
      <c r="C3735" s="41" t="str">
        <f aca="false">IF(A3735="","",TEXT(A3735,"mmm-yyyy"))</f>
        <v/>
      </c>
      <c r="I3735" s="47" t="str">
        <f aca="false">IF(G3735="","",G3735+H3735)</f>
        <v/>
      </c>
    </row>
    <row r="3736" customFormat="false" ht="15" hidden="false" customHeight="false" outlineLevel="0" collapsed="false">
      <c r="C3736" s="41" t="str">
        <f aca="false">IF(A3736="","",TEXT(A3736,"mmm-yyyy"))</f>
        <v/>
      </c>
      <c r="I3736" s="47" t="str">
        <f aca="false">IF(G3736="","",G3736+H3736)</f>
        <v/>
      </c>
    </row>
    <row r="3737" customFormat="false" ht="15" hidden="false" customHeight="false" outlineLevel="0" collapsed="false">
      <c r="C3737" s="41" t="str">
        <f aca="false">IF(A3737="","",TEXT(A3737,"mmm-yyyy"))</f>
        <v/>
      </c>
      <c r="I3737" s="47" t="str">
        <f aca="false">IF(G3737="","",G3737+H3737)</f>
        <v/>
      </c>
    </row>
    <row r="3738" customFormat="false" ht="15" hidden="false" customHeight="false" outlineLevel="0" collapsed="false">
      <c r="C3738" s="41" t="str">
        <f aca="false">IF(A3738="","",TEXT(A3738,"mmm-yyyy"))</f>
        <v/>
      </c>
      <c r="I3738" s="47" t="str">
        <f aca="false">IF(G3738="","",G3738+H3738)</f>
        <v/>
      </c>
    </row>
    <row r="3739" customFormat="false" ht="15" hidden="false" customHeight="false" outlineLevel="0" collapsed="false">
      <c r="C3739" s="41" t="str">
        <f aca="false">IF(A3739="","",TEXT(A3739,"mmm-yyyy"))</f>
        <v/>
      </c>
      <c r="I3739" s="47" t="str">
        <f aca="false">IF(G3739="","",G3739+H3739)</f>
        <v/>
      </c>
    </row>
    <row r="3740" customFormat="false" ht="15" hidden="false" customHeight="false" outlineLevel="0" collapsed="false">
      <c r="C3740" s="41" t="str">
        <f aca="false">IF(A3740="","",TEXT(A3740,"mmm-yyyy"))</f>
        <v/>
      </c>
      <c r="I3740" s="47" t="str">
        <f aca="false">IF(G3740="","",G3740+H3740)</f>
        <v/>
      </c>
    </row>
    <row r="3741" customFormat="false" ht="15" hidden="false" customHeight="false" outlineLevel="0" collapsed="false">
      <c r="C3741" s="41" t="str">
        <f aca="false">IF(A3741="","",TEXT(A3741,"mmm-yyyy"))</f>
        <v/>
      </c>
      <c r="I3741" s="47" t="str">
        <f aca="false">IF(G3741="","",G3741+H3741)</f>
        <v/>
      </c>
    </row>
    <row r="3742" customFormat="false" ht="15" hidden="false" customHeight="false" outlineLevel="0" collapsed="false">
      <c r="C3742" s="41" t="str">
        <f aca="false">IF(A3742="","",TEXT(A3742,"mmm-yyyy"))</f>
        <v/>
      </c>
      <c r="I3742" s="47" t="str">
        <f aca="false">IF(G3742="","",G3742+H3742)</f>
        <v/>
      </c>
    </row>
    <row r="3743" customFormat="false" ht="15" hidden="false" customHeight="false" outlineLevel="0" collapsed="false">
      <c r="C3743" s="41" t="str">
        <f aca="false">IF(A3743="","",TEXT(A3743,"mmm-yyyy"))</f>
        <v/>
      </c>
      <c r="I3743" s="47" t="str">
        <f aca="false">IF(G3743="","",G3743+H3743)</f>
        <v/>
      </c>
    </row>
    <row r="3744" customFormat="false" ht="15" hidden="false" customHeight="false" outlineLevel="0" collapsed="false">
      <c r="C3744" s="41" t="str">
        <f aca="false">IF(A3744="","",TEXT(A3744,"mmm-yyyy"))</f>
        <v/>
      </c>
      <c r="I3744" s="47" t="str">
        <f aca="false">IF(G3744="","",G3744+H3744)</f>
        <v/>
      </c>
    </row>
    <row r="3745" customFormat="false" ht="15" hidden="false" customHeight="false" outlineLevel="0" collapsed="false">
      <c r="C3745" s="41" t="str">
        <f aca="false">IF(A3745="","",TEXT(A3745,"mmm-yyyy"))</f>
        <v/>
      </c>
      <c r="I3745" s="47" t="str">
        <f aca="false">IF(G3745="","",G3745+H3745)</f>
        <v/>
      </c>
    </row>
    <row r="3746" customFormat="false" ht="15" hidden="false" customHeight="false" outlineLevel="0" collapsed="false">
      <c r="C3746" s="41" t="str">
        <f aca="false">IF(A3746="","",TEXT(A3746,"mmm-yyyy"))</f>
        <v/>
      </c>
      <c r="I3746" s="47" t="str">
        <f aca="false">IF(G3746="","",G3746+H3746)</f>
        <v/>
      </c>
    </row>
    <row r="3747" customFormat="false" ht="15" hidden="false" customHeight="false" outlineLevel="0" collapsed="false">
      <c r="C3747" s="41" t="str">
        <f aca="false">IF(A3747="","",TEXT(A3747,"mmm-yyyy"))</f>
        <v/>
      </c>
      <c r="I3747" s="47" t="str">
        <f aca="false">IF(G3747="","",G3747+H3747)</f>
        <v/>
      </c>
    </row>
    <row r="3748" customFormat="false" ht="15" hidden="false" customHeight="false" outlineLevel="0" collapsed="false">
      <c r="C3748" s="41" t="str">
        <f aca="false">IF(A3748="","",TEXT(A3748,"mmm-yyyy"))</f>
        <v/>
      </c>
      <c r="I3748" s="47" t="str">
        <f aca="false">IF(G3748="","",G3748+H3748)</f>
        <v/>
      </c>
    </row>
    <row r="3749" customFormat="false" ht="15" hidden="false" customHeight="false" outlineLevel="0" collapsed="false">
      <c r="C3749" s="41" t="str">
        <f aca="false">IF(A3749="","",TEXT(A3749,"mmm-yyyy"))</f>
        <v/>
      </c>
      <c r="I3749" s="47" t="str">
        <f aca="false">IF(G3749="","",G3749+H3749)</f>
        <v/>
      </c>
    </row>
    <row r="3750" customFormat="false" ht="15" hidden="false" customHeight="false" outlineLevel="0" collapsed="false">
      <c r="C3750" s="41" t="str">
        <f aca="false">IF(A3750="","",TEXT(A3750,"mmm-yyyy"))</f>
        <v/>
      </c>
      <c r="I3750" s="47" t="str">
        <f aca="false">IF(G3750="","",G3750+H3750)</f>
        <v/>
      </c>
    </row>
    <row r="3751" customFormat="false" ht="15" hidden="false" customHeight="false" outlineLevel="0" collapsed="false">
      <c r="C3751" s="41" t="str">
        <f aca="false">IF(A3751="","",TEXT(A3751,"mmm-yyyy"))</f>
        <v/>
      </c>
      <c r="I3751" s="47" t="str">
        <f aca="false">IF(G3751="","",G3751+H3751)</f>
        <v/>
      </c>
    </row>
    <row r="3752" customFormat="false" ht="15" hidden="false" customHeight="false" outlineLevel="0" collapsed="false">
      <c r="C3752" s="41" t="str">
        <f aca="false">IF(A3752="","",TEXT(A3752,"mmm-yyyy"))</f>
        <v/>
      </c>
      <c r="I3752" s="47" t="str">
        <f aca="false">IF(G3752="","",G3752+H3752)</f>
        <v/>
      </c>
    </row>
    <row r="3753" customFormat="false" ht="15" hidden="false" customHeight="false" outlineLevel="0" collapsed="false">
      <c r="C3753" s="41" t="str">
        <f aca="false">IF(A3753="","",TEXT(A3753,"mmm-yyyy"))</f>
        <v/>
      </c>
      <c r="I3753" s="47" t="str">
        <f aca="false">IF(G3753="","",G3753+H3753)</f>
        <v/>
      </c>
    </row>
    <row r="3754" customFormat="false" ht="15" hidden="false" customHeight="false" outlineLevel="0" collapsed="false">
      <c r="C3754" s="41" t="str">
        <f aca="false">IF(A3754="","",TEXT(A3754,"mmm-yyyy"))</f>
        <v/>
      </c>
      <c r="I3754" s="47" t="str">
        <f aca="false">IF(G3754="","",G3754+H3754)</f>
        <v/>
      </c>
    </row>
    <row r="3755" customFormat="false" ht="15" hidden="false" customHeight="false" outlineLevel="0" collapsed="false">
      <c r="C3755" s="41" t="str">
        <f aca="false">IF(A3755="","",TEXT(A3755,"mmm-yyyy"))</f>
        <v/>
      </c>
      <c r="I3755" s="47" t="str">
        <f aca="false">IF(G3755="","",G3755+H3755)</f>
        <v/>
      </c>
    </row>
    <row r="3756" customFormat="false" ht="15" hidden="false" customHeight="false" outlineLevel="0" collapsed="false">
      <c r="C3756" s="41" t="str">
        <f aca="false">IF(A3756="","",TEXT(A3756,"mmm-yyyy"))</f>
        <v/>
      </c>
      <c r="I3756" s="47" t="str">
        <f aca="false">IF(G3756="","",G3756+H3756)</f>
        <v/>
      </c>
    </row>
    <row r="3757" customFormat="false" ht="15" hidden="false" customHeight="false" outlineLevel="0" collapsed="false">
      <c r="C3757" s="41" t="str">
        <f aca="false">IF(A3757="","",TEXT(A3757,"mmm-yyyy"))</f>
        <v/>
      </c>
      <c r="I3757" s="47" t="str">
        <f aca="false">IF(G3757="","",G3757+H3757)</f>
        <v/>
      </c>
    </row>
    <row r="3758" customFormat="false" ht="15" hidden="false" customHeight="false" outlineLevel="0" collapsed="false">
      <c r="C3758" s="41" t="str">
        <f aca="false">IF(A3758="","",TEXT(A3758,"mmm-yyyy"))</f>
        <v/>
      </c>
      <c r="I3758" s="47" t="str">
        <f aca="false">IF(G3758="","",G3758+H3758)</f>
        <v/>
      </c>
    </row>
    <row r="3759" customFormat="false" ht="15" hidden="false" customHeight="false" outlineLevel="0" collapsed="false">
      <c r="C3759" s="41" t="str">
        <f aca="false">IF(A3759="","",TEXT(A3759,"mmm-yyyy"))</f>
        <v/>
      </c>
      <c r="I3759" s="47" t="str">
        <f aca="false">IF(G3759="","",G3759+H3759)</f>
        <v/>
      </c>
    </row>
    <row r="3760" customFormat="false" ht="15" hidden="false" customHeight="false" outlineLevel="0" collapsed="false">
      <c r="C3760" s="41" t="str">
        <f aca="false">IF(A3760="","",TEXT(A3760,"mmm-yyyy"))</f>
        <v/>
      </c>
      <c r="I3760" s="47" t="str">
        <f aca="false">IF(G3760="","",G3760+H3760)</f>
        <v/>
      </c>
    </row>
    <row r="3761" customFormat="false" ht="15" hidden="false" customHeight="false" outlineLevel="0" collapsed="false">
      <c r="C3761" s="41" t="str">
        <f aca="false">IF(A3761="","",TEXT(A3761,"mmm-yyyy"))</f>
        <v/>
      </c>
      <c r="I3761" s="47" t="str">
        <f aca="false">IF(G3761="","",G3761+H3761)</f>
        <v/>
      </c>
    </row>
    <row r="3762" customFormat="false" ht="15" hidden="false" customHeight="false" outlineLevel="0" collapsed="false">
      <c r="C3762" s="41" t="str">
        <f aca="false">IF(A3762="","",TEXT(A3762,"mmm-yyyy"))</f>
        <v/>
      </c>
      <c r="I3762" s="47" t="str">
        <f aca="false">IF(G3762="","",G3762+H3762)</f>
        <v/>
      </c>
    </row>
    <row r="3763" customFormat="false" ht="15" hidden="false" customHeight="false" outlineLevel="0" collapsed="false">
      <c r="C3763" s="41" t="str">
        <f aca="false">IF(A3763="","",TEXT(A3763,"mmm-yyyy"))</f>
        <v/>
      </c>
      <c r="I3763" s="47" t="str">
        <f aca="false">IF(G3763="","",G3763+H3763)</f>
        <v/>
      </c>
    </row>
    <row r="3764" customFormat="false" ht="15" hidden="false" customHeight="false" outlineLevel="0" collapsed="false">
      <c r="C3764" s="41" t="str">
        <f aca="false">IF(A3764="","",TEXT(A3764,"mmm-yyyy"))</f>
        <v/>
      </c>
      <c r="I3764" s="47" t="str">
        <f aca="false">IF(G3764="","",G3764+H3764)</f>
        <v/>
      </c>
    </row>
    <row r="3765" customFormat="false" ht="15" hidden="false" customHeight="false" outlineLevel="0" collapsed="false">
      <c r="C3765" s="41" t="str">
        <f aca="false">IF(A3765="","",TEXT(A3765,"mmm-yyyy"))</f>
        <v/>
      </c>
      <c r="I3765" s="47" t="str">
        <f aca="false">IF(G3765="","",G3765+H3765)</f>
        <v/>
      </c>
    </row>
    <row r="3766" customFormat="false" ht="15" hidden="false" customHeight="false" outlineLevel="0" collapsed="false">
      <c r="C3766" s="41" t="str">
        <f aca="false">IF(A3766="","",TEXT(A3766,"mmm-yyyy"))</f>
        <v/>
      </c>
      <c r="I3766" s="47" t="str">
        <f aca="false">IF(G3766="","",G3766+H3766)</f>
        <v/>
      </c>
    </row>
    <row r="3767" customFormat="false" ht="15" hidden="false" customHeight="false" outlineLevel="0" collapsed="false">
      <c r="C3767" s="41" t="str">
        <f aca="false">IF(A3767="","",TEXT(A3767,"mmm-yyyy"))</f>
        <v/>
      </c>
      <c r="I3767" s="47" t="str">
        <f aca="false">IF(G3767="","",G3767+H3767)</f>
        <v/>
      </c>
    </row>
    <row r="3768" customFormat="false" ht="15" hidden="false" customHeight="false" outlineLevel="0" collapsed="false">
      <c r="C3768" s="41" t="str">
        <f aca="false">IF(A3768="","",TEXT(A3768,"mmm-yyyy"))</f>
        <v/>
      </c>
      <c r="I3768" s="47" t="str">
        <f aca="false">IF(G3768="","",G3768+H3768)</f>
        <v/>
      </c>
    </row>
    <row r="3769" customFormat="false" ht="15" hidden="false" customHeight="false" outlineLevel="0" collapsed="false">
      <c r="C3769" s="41" t="str">
        <f aca="false">IF(A3769="","",TEXT(A3769,"mmm-yyyy"))</f>
        <v/>
      </c>
      <c r="I3769" s="47" t="str">
        <f aca="false">IF(G3769="","",G3769+H3769)</f>
        <v/>
      </c>
    </row>
    <row r="3770" customFormat="false" ht="15" hidden="false" customHeight="false" outlineLevel="0" collapsed="false">
      <c r="C3770" s="41" t="str">
        <f aca="false">IF(A3770="","",TEXT(A3770,"mmm-yyyy"))</f>
        <v/>
      </c>
      <c r="I3770" s="47" t="str">
        <f aca="false">IF(G3770="","",G3770+H3770)</f>
        <v/>
      </c>
    </row>
    <row r="3771" customFormat="false" ht="15" hidden="false" customHeight="false" outlineLevel="0" collapsed="false">
      <c r="C3771" s="41" t="str">
        <f aca="false">IF(A3771="","",TEXT(A3771,"mmm-yyyy"))</f>
        <v/>
      </c>
      <c r="I3771" s="47" t="str">
        <f aca="false">IF(G3771="","",G3771+H3771)</f>
        <v/>
      </c>
    </row>
    <row r="3772" customFormat="false" ht="15" hidden="false" customHeight="false" outlineLevel="0" collapsed="false">
      <c r="C3772" s="41" t="str">
        <f aca="false">IF(A3772="","",TEXT(A3772,"mmm-yyyy"))</f>
        <v/>
      </c>
      <c r="I3772" s="47" t="str">
        <f aca="false">IF(G3772="","",G3772+H3772)</f>
        <v/>
      </c>
    </row>
    <row r="3773" customFormat="false" ht="15" hidden="false" customHeight="false" outlineLevel="0" collapsed="false">
      <c r="C3773" s="41" t="str">
        <f aca="false">IF(A3773="","",TEXT(A3773,"mmm-yyyy"))</f>
        <v/>
      </c>
      <c r="I3773" s="47" t="str">
        <f aca="false">IF(G3773="","",G3773+H3773)</f>
        <v/>
      </c>
    </row>
    <row r="3774" customFormat="false" ht="15" hidden="false" customHeight="false" outlineLevel="0" collapsed="false">
      <c r="C3774" s="41" t="str">
        <f aca="false">IF(A3774="","",TEXT(A3774,"mmm-yyyy"))</f>
        <v/>
      </c>
      <c r="I3774" s="47" t="str">
        <f aca="false">IF(G3774="","",G3774+H3774)</f>
        <v/>
      </c>
    </row>
    <row r="3775" customFormat="false" ht="15" hidden="false" customHeight="false" outlineLevel="0" collapsed="false">
      <c r="C3775" s="41" t="str">
        <f aca="false">IF(A3775="","",TEXT(A3775,"mmm-yyyy"))</f>
        <v/>
      </c>
      <c r="I3775" s="47" t="str">
        <f aca="false">IF(G3775="","",G3775+H3775)</f>
        <v/>
      </c>
    </row>
    <row r="3776" customFormat="false" ht="15" hidden="false" customHeight="false" outlineLevel="0" collapsed="false">
      <c r="C3776" s="41" t="str">
        <f aca="false">IF(A3776="","",TEXT(A3776,"mmm-yyyy"))</f>
        <v/>
      </c>
      <c r="I3776" s="47" t="str">
        <f aca="false">IF(G3776="","",G3776+H3776)</f>
        <v/>
      </c>
    </row>
    <row r="3777" customFormat="false" ht="15" hidden="false" customHeight="false" outlineLevel="0" collapsed="false">
      <c r="C3777" s="41" t="str">
        <f aca="false">IF(A3777="","",TEXT(A3777,"mmm-yyyy"))</f>
        <v/>
      </c>
      <c r="I3777" s="47" t="str">
        <f aca="false">IF(G3777="","",G3777+H3777)</f>
        <v/>
      </c>
    </row>
    <row r="3778" customFormat="false" ht="15" hidden="false" customHeight="false" outlineLevel="0" collapsed="false">
      <c r="C3778" s="41" t="str">
        <f aca="false">IF(A3778="","",TEXT(A3778,"mmm-yyyy"))</f>
        <v/>
      </c>
      <c r="I3778" s="47" t="str">
        <f aca="false">IF(G3778="","",G3778+H3778)</f>
        <v/>
      </c>
    </row>
    <row r="3779" customFormat="false" ht="15" hidden="false" customHeight="false" outlineLevel="0" collapsed="false">
      <c r="C3779" s="41" t="str">
        <f aca="false">IF(A3779="","",TEXT(A3779,"mmm-yyyy"))</f>
        <v/>
      </c>
      <c r="I3779" s="47" t="str">
        <f aca="false">IF(G3779="","",G3779+H3779)</f>
        <v/>
      </c>
    </row>
    <row r="3780" customFormat="false" ht="15" hidden="false" customHeight="false" outlineLevel="0" collapsed="false">
      <c r="C3780" s="41" t="str">
        <f aca="false">IF(A3780="","",TEXT(A3780,"mmm-yyyy"))</f>
        <v/>
      </c>
      <c r="I3780" s="47" t="str">
        <f aca="false">IF(G3780="","",G3780+H3780)</f>
        <v/>
      </c>
    </row>
    <row r="3781" customFormat="false" ht="15" hidden="false" customHeight="false" outlineLevel="0" collapsed="false">
      <c r="C3781" s="41" t="str">
        <f aca="false">IF(A3781="","",TEXT(A3781,"mmm-yyyy"))</f>
        <v/>
      </c>
      <c r="I3781" s="47" t="str">
        <f aca="false">IF(G3781="","",G3781+H3781)</f>
        <v/>
      </c>
    </row>
    <row r="3782" customFormat="false" ht="15" hidden="false" customHeight="false" outlineLevel="0" collapsed="false">
      <c r="C3782" s="41" t="str">
        <f aca="false">IF(A3782="","",TEXT(A3782,"mmm-yyyy"))</f>
        <v/>
      </c>
      <c r="I3782" s="47" t="str">
        <f aca="false">IF(G3782="","",G3782+H3782)</f>
        <v/>
      </c>
    </row>
    <row r="3783" customFormat="false" ht="15" hidden="false" customHeight="false" outlineLevel="0" collapsed="false">
      <c r="C3783" s="41" t="str">
        <f aca="false">IF(A3783="","",TEXT(A3783,"mmm-yyyy"))</f>
        <v/>
      </c>
      <c r="I3783" s="47" t="str">
        <f aca="false">IF(G3783="","",G3783+H3783)</f>
        <v/>
      </c>
    </row>
    <row r="3784" customFormat="false" ht="15" hidden="false" customHeight="false" outlineLevel="0" collapsed="false">
      <c r="C3784" s="41" t="str">
        <f aca="false">IF(A3784="","",TEXT(A3784,"mmm-yyyy"))</f>
        <v/>
      </c>
      <c r="I3784" s="47" t="str">
        <f aca="false">IF(G3784="","",G3784+H3784)</f>
        <v/>
      </c>
    </row>
    <row r="3785" customFormat="false" ht="15" hidden="false" customHeight="false" outlineLevel="0" collapsed="false">
      <c r="C3785" s="41" t="str">
        <f aca="false">IF(A3785="","",TEXT(A3785,"mmm-yyyy"))</f>
        <v/>
      </c>
      <c r="I3785" s="47" t="str">
        <f aca="false">IF(G3785="","",G3785+H3785)</f>
        <v/>
      </c>
    </row>
    <row r="3786" customFormat="false" ht="15" hidden="false" customHeight="false" outlineLevel="0" collapsed="false">
      <c r="C3786" s="41" t="str">
        <f aca="false">IF(A3786="","",TEXT(A3786,"mmm-yyyy"))</f>
        <v/>
      </c>
      <c r="I3786" s="47" t="str">
        <f aca="false">IF(G3786="","",G3786+H3786)</f>
        <v/>
      </c>
    </row>
    <row r="3787" customFormat="false" ht="15" hidden="false" customHeight="false" outlineLevel="0" collapsed="false">
      <c r="C3787" s="41" t="str">
        <f aca="false">IF(A3787="","",TEXT(A3787,"mmm-yyyy"))</f>
        <v/>
      </c>
      <c r="I3787" s="47" t="str">
        <f aca="false">IF(G3787="","",G3787+H3787)</f>
        <v/>
      </c>
    </row>
    <row r="3788" customFormat="false" ht="15" hidden="false" customHeight="false" outlineLevel="0" collapsed="false">
      <c r="C3788" s="41" t="str">
        <f aca="false">IF(A3788="","",TEXT(A3788,"mmm-yyyy"))</f>
        <v/>
      </c>
      <c r="I3788" s="47" t="str">
        <f aca="false">IF(G3788="","",G3788+H3788)</f>
        <v/>
      </c>
    </row>
    <row r="3789" customFormat="false" ht="15" hidden="false" customHeight="false" outlineLevel="0" collapsed="false">
      <c r="C3789" s="41" t="str">
        <f aca="false">IF(A3789="","",TEXT(A3789,"mmm-yyyy"))</f>
        <v/>
      </c>
      <c r="I3789" s="47" t="str">
        <f aca="false">IF(G3789="","",G3789+H3789)</f>
        <v/>
      </c>
    </row>
    <row r="3790" customFormat="false" ht="15" hidden="false" customHeight="false" outlineLevel="0" collapsed="false">
      <c r="C3790" s="41" t="str">
        <f aca="false">IF(A3790="","",TEXT(A3790,"mmm-yyyy"))</f>
        <v/>
      </c>
      <c r="I3790" s="47" t="str">
        <f aca="false">IF(G3790="","",G3790+H3790)</f>
        <v/>
      </c>
    </row>
    <row r="3791" customFormat="false" ht="15" hidden="false" customHeight="false" outlineLevel="0" collapsed="false">
      <c r="C3791" s="41" t="str">
        <f aca="false">IF(A3791="","",TEXT(A3791,"mmm-yyyy"))</f>
        <v/>
      </c>
      <c r="I3791" s="47" t="str">
        <f aca="false">IF(G3791="","",G3791+H3791)</f>
        <v/>
      </c>
    </row>
    <row r="3792" customFormat="false" ht="15" hidden="false" customHeight="false" outlineLevel="0" collapsed="false">
      <c r="C3792" s="41" t="str">
        <f aca="false">IF(A3792="","",TEXT(A3792,"mmm-yyyy"))</f>
        <v/>
      </c>
      <c r="I3792" s="47" t="str">
        <f aca="false">IF(G3792="","",G3792+H3792)</f>
        <v/>
      </c>
    </row>
    <row r="3793" customFormat="false" ht="15" hidden="false" customHeight="false" outlineLevel="0" collapsed="false">
      <c r="C3793" s="41" t="str">
        <f aca="false">IF(A3793="","",TEXT(A3793,"mmm-yyyy"))</f>
        <v/>
      </c>
      <c r="I3793" s="47" t="str">
        <f aca="false">IF(G3793="","",G3793+H3793)</f>
        <v/>
      </c>
    </row>
    <row r="3794" customFormat="false" ht="15" hidden="false" customHeight="false" outlineLevel="0" collapsed="false">
      <c r="C3794" s="41" t="str">
        <f aca="false">IF(A3794="","",TEXT(A3794,"mmm-yyyy"))</f>
        <v/>
      </c>
      <c r="I3794" s="47" t="str">
        <f aca="false">IF(G3794="","",G3794+H3794)</f>
        <v/>
      </c>
    </row>
    <row r="3795" customFormat="false" ht="15" hidden="false" customHeight="false" outlineLevel="0" collapsed="false">
      <c r="C3795" s="41" t="str">
        <f aca="false">IF(A3795="","",TEXT(A3795,"mmm-yyyy"))</f>
        <v/>
      </c>
      <c r="I3795" s="47" t="str">
        <f aca="false">IF(G3795="","",G3795+H3795)</f>
        <v/>
      </c>
    </row>
    <row r="3796" customFormat="false" ht="15" hidden="false" customHeight="false" outlineLevel="0" collapsed="false">
      <c r="C3796" s="41" t="str">
        <f aca="false">IF(A3796="","",TEXT(A3796,"mmm-yyyy"))</f>
        <v/>
      </c>
      <c r="I3796" s="47" t="str">
        <f aca="false">IF(G3796="","",G3796+H3796)</f>
        <v/>
      </c>
    </row>
    <row r="3797" customFormat="false" ht="15" hidden="false" customHeight="false" outlineLevel="0" collapsed="false">
      <c r="C3797" s="41" t="str">
        <f aca="false">IF(A3797="","",TEXT(A3797,"mmm-yyyy"))</f>
        <v/>
      </c>
      <c r="I3797" s="47" t="str">
        <f aca="false">IF(G3797="","",G3797+H3797)</f>
        <v/>
      </c>
    </row>
    <row r="3798" customFormat="false" ht="15" hidden="false" customHeight="false" outlineLevel="0" collapsed="false">
      <c r="C3798" s="41" t="str">
        <f aca="false">IF(A3798="","",TEXT(A3798,"mmm-yyyy"))</f>
        <v/>
      </c>
      <c r="I3798" s="47" t="str">
        <f aca="false">IF(G3798="","",G3798+H3798)</f>
        <v/>
      </c>
    </row>
    <row r="3799" customFormat="false" ht="15" hidden="false" customHeight="false" outlineLevel="0" collapsed="false">
      <c r="C3799" s="41" t="str">
        <f aca="false">IF(A3799="","",TEXT(A3799,"mmm-yyyy"))</f>
        <v/>
      </c>
      <c r="I3799" s="47" t="str">
        <f aca="false">IF(G3799="","",G3799+H3799)</f>
        <v/>
      </c>
    </row>
    <row r="3800" customFormat="false" ht="15" hidden="false" customHeight="false" outlineLevel="0" collapsed="false">
      <c r="C3800" s="41" t="str">
        <f aca="false">IF(A3800="","",TEXT(A3800,"mmm-yyyy"))</f>
        <v/>
      </c>
      <c r="I3800" s="47" t="str">
        <f aca="false">IF(G3800="","",G3800+H3800)</f>
        <v/>
      </c>
    </row>
    <row r="3801" customFormat="false" ht="15" hidden="false" customHeight="false" outlineLevel="0" collapsed="false">
      <c r="C3801" s="41" t="str">
        <f aca="false">IF(A3801="","",TEXT(A3801,"mmm-yyyy"))</f>
        <v/>
      </c>
      <c r="I3801" s="47" t="str">
        <f aca="false">IF(G3801="","",G3801+H3801)</f>
        <v/>
      </c>
    </row>
    <row r="3802" customFormat="false" ht="15" hidden="false" customHeight="false" outlineLevel="0" collapsed="false">
      <c r="C3802" s="41" t="str">
        <f aca="false">IF(A3802="","",TEXT(A3802,"mmm-yyyy"))</f>
        <v/>
      </c>
      <c r="I3802" s="47" t="str">
        <f aca="false">IF(G3802="","",G3802+H3802)</f>
        <v/>
      </c>
    </row>
    <row r="3803" customFormat="false" ht="15" hidden="false" customHeight="false" outlineLevel="0" collapsed="false">
      <c r="C3803" s="41" t="str">
        <f aca="false">IF(A3803="","",TEXT(A3803,"mmm-yyyy"))</f>
        <v/>
      </c>
      <c r="I3803" s="47" t="str">
        <f aca="false">IF(G3803="","",G3803+H3803)</f>
        <v/>
      </c>
    </row>
    <row r="3804" customFormat="false" ht="15" hidden="false" customHeight="false" outlineLevel="0" collapsed="false">
      <c r="C3804" s="41" t="str">
        <f aca="false">IF(A3804="","",TEXT(A3804,"mmm-yyyy"))</f>
        <v/>
      </c>
      <c r="I3804" s="47" t="str">
        <f aca="false">IF(G3804="","",G3804+H3804)</f>
        <v/>
      </c>
    </row>
    <row r="3805" customFormat="false" ht="15" hidden="false" customHeight="false" outlineLevel="0" collapsed="false">
      <c r="C3805" s="41" t="str">
        <f aca="false">IF(A3805="","",TEXT(A3805,"mmm-yyyy"))</f>
        <v/>
      </c>
      <c r="I3805" s="47" t="str">
        <f aca="false">IF(G3805="","",G3805+H3805)</f>
        <v/>
      </c>
    </row>
    <row r="3806" customFormat="false" ht="15" hidden="false" customHeight="false" outlineLevel="0" collapsed="false">
      <c r="C3806" s="41" t="str">
        <f aca="false">IF(A3806="","",TEXT(A3806,"mmm-yyyy"))</f>
        <v/>
      </c>
      <c r="I3806" s="47" t="str">
        <f aca="false">IF(G3806="","",G3806+H3806)</f>
        <v/>
      </c>
    </row>
    <row r="3807" customFormat="false" ht="15" hidden="false" customHeight="false" outlineLevel="0" collapsed="false">
      <c r="C3807" s="41" t="str">
        <f aca="false">IF(A3807="","",TEXT(A3807,"mmm-yyyy"))</f>
        <v/>
      </c>
      <c r="I3807" s="47" t="str">
        <f aca="false">IF(G3807="","",G3807+H3807)</f>
        <v/>
      </c>
    </row>
    <row r="3808" customFormat="false" ht="15" hidden="false" customHeight="false" outlineLevel="0" collapsed="false">
      <c r="C3808" s="41" t="str">
        <f aca="false">IF(A3808="","",TEXT(A3808,"mmm-yyyy"))</f>
        <v/>
      </c>
      <c r="I3808" s="47" t="str">
        <f aca="false">IF(G3808="","",G3808+H3808)</f>
        <v/>
      </c>
    </row>
    <row r="3809" customFormat="false" ht="15" hidden="false" customHeight="false" outlineLevel="0" collapsed="false">
      <c r="C3809" s="41" t="str">
        <f aca="false">IF(A3809="","",TEXT(A3809,"mmm-yyyy"))</f>
        <v/>
      </c>
      <c r="I3809" s="47" t="str">
        <f aca="false">IF(G3809="","",G3809+H3809)</f>
        <v/>
      </c>
    </row>
    <row r="3810" customFormat="false" ht="15" hidden="false" customHeight="false" outlineLevel="0" collapsed="false">
      <c r="C3810" s="41" t="str">
        <f aca="false">IF(A3810="","",TEXT(A3810,"mmm-yyyy"))</f>
        <v/>
      </c>
      <c r="I3810" s="47" t="str">
        <f aca="false">IF(G3810="","",G3810+H3810)</f>
        <v/>
      </c>
    </row>
    <row r="3811" customFormat="false" ht="15" hidden="false" customHeight="false" outlineLevel="0" collapsed="false">
      <c r="C3811" s="41" t="str">
        <f aca="false">IF(A3811="","",TEXT(A3811,"mmm-yyyy"))</f>
        <v/>
      </c>
      <c r="I3811" s="47" t="str">
        <f aca="false">IF(G3811="","",G3811+H3811)</f>
        <v/>
      </c>
    </row>
    <row r="3812" customFormat="false" ht="15" hidden="false" customHeight="false" outlineLevel="0" collapsed="false">
      <c r="C3812" s="41" t="str">
        <f aca="false">IF(A3812="","",TEXT(A3812,"mmm-yyyy"))</f>
        <v/>
      </c>
      <c r="I3812" s="47" t="str">
        <f aca="false">IF(G3812="","",G3812+H3812)</f>
        <v/>
      </c>
    </row>
    <row r="3813" customFormat="false" ht="15" hidden="false" customHeight="false" outlineLevel="0" collapsed="false">
      <c r="C3813" s="41" t="str">
        <f aca="false">IF(A3813="","",TEXT(A3813,"mmm-yyyy"))</f>
        <v/>
      </c>
      <c r="I3813" s="47" t="str">
        <f aca="false">IF(G3813="","",G3813+H3813)</f>
        <v/>
      </c>
    </row>
    <row r="3814" customFormat="false" ht="15" hidden="false" customHeight="false" outlineLevel="0" collapsed="false">
      <c r="C3814" s="41" t="str">
        <f aca="false">IF(A3814="","",TEXT(A3814,"mmm-yyyy"))</f>
        <v/>
      </c>
      <c r="I3814" s="47" t="str">
        <f aca="false">IF(G3814="","",G3814+H3814)</f>
        <v/>
      </c>
    </row>
    <row r="3815" customFormat="false" ht="15" hidden="false" customHeight="false" outlineLevel="0" collapsed="false">
      <c r="C3815" s="41" t="str">
        <f aca="false">IF(A3815="","",TEXT(A3815,"mmm-yyyy"))</f>
        <v/>
      </c>
      <c r="I3815" s="47" t="str">
        <f aca="false">IF(G3815="","",G3815+H3815)</f>
        <v/>
      </c>
    </row>
    <row r="3816" customFormat="false" ht="15" hidden="false" customHeight="false" outlineLevel="0" collapsed="false">
      <c r="C3816" s="41" t="str">
        <f aca="false">IF(A3816="","",TEXT(A3816,"mmm-yyyy"))</f>
        <v/>
      </c>
      <c r="I3816" s="47" t="str">
        <f aca="false">IF(G3816="","",G3816+H3816)</f>
        <v/>
      </c>
    </row>
    <row r="3817" customFormat="false" ht="15" hidden="false" customHeight="false" outlineLevel="0" collapsed="false">
      <c r="C3817" s="41" t="str">
        <f aca="false">IF(A3817="","",TEXT(A3817,"mmm-yyyy"))</f>
        <v/>
      </c>
      <c r="I3817" s="47" t="str">
        <f aca="false">IF(G3817="","",G3817+H3817)</f>
        <v/>
      </c>
    </row>
    <row r="3818" customFormat="false" ht="15" hidden="false" customHeight="false" outlineLevel="0" collapsed="false">
      <c r="C3818" s="41" t="str">
        <f aca="false">IF(A3818="","",TEXT(A3818,"mmm-yyyy"))</f>
        <v/>
      </c>
      <c r="I3818" s="47" t="str">
        <f aca="false">IF(G3818="","",G3818+H3818)</f>
        <v/>
      </c>
    </row>
    <row r="3819" customFormat="false" ht="15" hidden="false" customHeight="false" outlineLevel="0" collapsed="false">
      <c r="C3819" s="41" t="str">
        <f aca="false">IF(A3819="","",TEXT(A3819,"mmm-yyyy"))</f>
        <v/>
      </c>
      <c r="I3819" s="47" t="str">
        <f aca="false">IF(G3819="","",G3819+H3819)</f>
        <v/>
      </c>
    </row>
    <row r="3820" customFormat="false" ht="15" hidden="false" customHeight="false" outlineLevel="0" collapsed="false">
      <c r="C3820" s="41" t="str">
        <f aca="false">IF(A3820="","",TEXT(A3820,"mmm-yyyy"))</f>
        <v/>
      </c>
      <c r="I3820" s="47" t="str">
        <f aca="false">IF(G3820="","",G3820+H3820)</f>
        <v/>
      </c>
    </row>
    <row r="3821" customFormat="false" ht="15" hidden="false" customHeight="false" outlineLevel="0" collapsed="false">
      <c r="C3821" s="41" t="str">
        <f aca="false">IF(A3821="","",TEXT(A3821,"mmm-yyyy"))</f>
        <v/>
      </c>
      <c r="I3821" s="47" t="str">
        <f aca="false">IF(G3821="","",G3821+H3821)</f>
        <v/>
      </c>
    </row>
    <row r="3822" customFormat="false" ht="15" hidden="false" customHeight="false" outlineLevel="0" collapsed="false">
      <c r="C3822" s="41" t="str">
        <f aca="false">IF(A3822="","",TEXT(A3822,"mmm-yyyy"))</f>
        <v/>
      </c>
      <c r="I3822" s="47" t="str">
        <f aca="false">IF(G3822="","",G3822+H3822)</f>
        <v/>
      </c>
    </row>
    <row r="3823" customFormat="false" ht="15" hidden="false" customHeight="false" outlineLevel="0" collapsed="false">
      <c r="C3823" s="41" t="str">
        <f aca="false">IF(A3823="","",TEXT(A3823,"mmm-yyyy"))</f>
        <v/>
      </c>
      <c r="I3823" s="47" t="str">
        <f aca="false">IF(G3823="","",G3823+H3823)</f>
        <v/>
      </c>
    </row>
    <row r="3824" customFormat="false" ht="15" hidden="false" customHeight="false" outlineLevel="0" collapsed="false">
      <c r="C3824" s="41" t="str">
        <f aca="false">IF(A3824="","",TEXT(A3824,"mmm-yyyy"))</f>
        <v/>
      </c>
      <c r="I3824" s="47" t="str">
        <f aca="false">IF(G3824="","",G3824+H3824)</f>
        <v/>
      </c>
    </row>
    <row r="3825" customFormat="false" ht="15" hidden="false" customHeight="false" outlineLevel="0" collapsed="false">
      <c r="C3825" s="41" t="str">
        <f aca="false">IF(A3825="","",TEXT(A3825,"mmm-yyyy"))</f>
        <v/>
      </c>
      <c r="I3825" s="47" t="str">
        <f aca="false">IF(G3825="","",G3825+H3825)</f>
        <v/>
      </c>
    </row>
    <row r="3826" customFormat="false" ht="15" hidden="false" customHeight="false" outlineLevel="0" collapsed="false">
      <c r="C3826" s="41" t="str">
        <f aca="false">IF(A3826="","",TEXT(A3826,"mmm-yyyy"))</f>
        <v/>
      </c>
      <c r="I3826" s="47" t="str">
        <f aca="false">IF(G3826="","",G3826+H3826)</f>
        <v/>
      </c>
    </row>
    <row r="3827" customFormat="false" ht="15" hidden="false" customHeight="false" outlineLevel="0" collapsed="false">
      <c r="C3827" s="41" t="str">
        <f aca="false">IF(A3827="","",TEXT(A3827,"mmm-yyyy"))</f>
        <v/>
      </c>
      <c r="I3827" s="47" t="str">
        <f aca="false">IF(G3827="","",G3827+H3827)</f>
        <v/>
      </c>
    </row>
    <row r="3828" customFormat="false" ht="15" hidden="false" customHeight="false" outlineLevel="0" collapsed="false">
      <c r="C3828" s="41" t="str">
        <f aca="false">IF(A3828="","",TEXT(A3828,"mmm-yyyy"))</f>
        <v/>
      </c>
      <c r="I3828" s="47" t="str">
        <f aca="false">IF(G3828="","",G3828+H3828)</f>
        <v/>
      </c>
    </row>
    <row r="3829" customFormat="false" ht="15" hidden="false" customHeight="false" outlineLevel="0" collapsed="false">
      <c r="C3829" s="41" t="str">
        <f aca="false">IF(A3829="","",TEXT(A3829,"mmm-yyyy"))</f>
        <v/>
      </c>
      <c r="I3829" s="47" t="str">
        <f aca="false">IF(G3829="","",G3829+H3829)</f>
        <v/>
      </c>
    </row>
    <row r="3830" customFormat="false" ht="15" hidden="false" customHeight="false" outlineLevel="0" collapsed="false">
      <c r="C3830" s="41" t="str">
        <f aca="false">IF(A3830="","",TEXT(A3830,"mmm-yyyy"))</f>
        <v/>
      </c>
      <c r="I3830" s="47" t="str">
        <f aca="false">IF(G3830="","",G3830+H3830)</f>
        <v/>
      </c>
    </row>
    <row r="3831" customFormat="false" ht="15" hidden="false" customHeight="false" outlineLevel="0" collapsed="false">
      <c r="C3831" s="41" t="str">
        <f aca="false">IF(A3831="","",TEXT(A3831,"mmm-yyyy"))</f>
        <v/>
      </c>
      <c r="I3831" s="47" t="str">
        <f aca="false">IF(G3831="","",G3831+H3831)</f>
        <v/>
      </c>
    </row>
    <row r="3832" customFormat="false" ht="15" hidden="false" customHeight="false" outlineLevel="0" collapsed="false">
      <c r="C3832" s="41" t="str">
        <f aca="false">IF(A3832="","",TEXT(A3832,"mmm-yyyy"))</f>
        <v/>
      </c>
      <c r="I3832" s="47" t="str">
        <f aca="false">IF(G3832="","",G3832+H3832)</f>
        <v/>
      </c>
    </row>
    <row r="3833" customFormat="false" ht="15" hidden="false" customHeight="false" outlineLevel="0" collapsed="false">
      <c r="C3833" s="41" t="str">
        <f aca="false">IF(A3833="","",TEXT(A3833,"mmm-yyyy"))</f>
        <v/>
      </c>
      <c r="I3833" s="47" t="str">
        <f aca="false">IF(G3833="","",G3833+H3833)</f>
        <v/>
      </c>
    </row>
    <row r="3834" customFormat="false" ht="15" hidden="false" customHeight="false" outlineLevel="0" collapsed="false">
      <c r="C3834" s="41" t="str">
        <f aca="false">IF(A3834="","",TEXT(A3834,"mmm-yyyy"))</f>
        <v/>
      </c>
      <c r="I3834" s="47" t="str">
        <f aca="false">IF(G3834="","",G3834+H3834)</f>
        <v/>
      </c>
    </row>
    <row r="3835" customFormat="false" ht="15" hidden="false" customHeight="false" outlineLevel="0" collapsed="false">
      <c r="C3835" s="41" t="str">
        <f aca="false">IF(A3835="","",TEXT(A3835,"mmm-yyyy"))</f>
        <v/>
      </c>
      <c r="I3835" s="47" t="str">
        <f aca="false">IF(G3835="","",G3835+H3835)</f>
        <v/>
      </c>
    </row>
    <row r="3836" customFormat="false" ht="15" hidden="false" customHeight="false" outlineLevel="0" collapsed="false">
      <c r="C3836" s="41" t="str">
        <f aca="false">IF(A3836="","",TEXT(A3836,"mmm-yyyy"))</f>
        <v/>
      </c>
      <c r="I3836" s="47" t="str">
        <f aca="false">IF(G3836="","",G3836+H3836)</f>
        <v/>
      </c>
    </row>
    <row r="3837" customFormat="false" ht="15" hidden="false" customHeight="false" outlineLevel="0" collapsed="false">
      <c r="C3837" s="41" t="str">
        <f aca="false">IF(A3837="","",TEXT(A3837,"mmm-yyyy"))</f>
        <v/>
      </c>
      <c r="I3837" s="47" t="str">
        <f aca="false">IF(G3837="","",G3837+H3837)</f>
        <v/>
      </c>
    </row>
    <row r="3838" customFormat="false" ht="15" hidden="false" customHeight="false" outlineLevel="0" collapsed="false">
      <c r="C3838" s="41" t="str">
        <f aca="false">IF(A3838="","",TEXT(A3838,"mmm-yyyy"))</f>
        <v/>
      </c>
      <c r="I3838" s="47" t="str">
        <f aca="false">IF(G3838="","",G3838+H3838)</f>
        <v/>
      </c>
    </row>
    <row r="3839" customFormat="false" ht="15" hidden="false" customHeight="false" outlineLevel="0" collapsed="false">
      <c r="C3839" s="41" t="str">
        <f aca="false">IF(A3839="","",TEXT(A3839,"mmm-yyyy"))</f>
        <v/>
      </c>
      <c r="I3839" s="47" t="str">
        <f aca="false">IF(G3839="","",G3839+H3839)</f>
        <v/>
      </c>
    </row>
    <row r="3840" customFormat="false" ht="15" hidden="false" customHeight="false" outlineLevel="0" collapsed="false">
      <c r="C3840" s="41" t="str">
        <f aca="false">IF(A3840="","",TEXT(A3840,"mmm-yyyy"))</f>
        <v/>
      </c>
      <c r="I3840" s="47" t="str">
        <f aca="false">IF(G3840="","",G3840+H3840)</f>
        <v/>
      </c>
    </row>
    <row r="3841" customFormat="false" ht="15" hidden="false" customHeight="false" outlineLevel="0" collapsed="false">
      <c r="C3841" s="41" t="str">
        <f aca="false">IF(A3841="","",TEXT(A3841,"mmm-yyyy"))</f>
        <v/>
      </c>
      <c r="I3841" s="47" t="str">
        <f aca="false">IF(G3841="","",G3841+H3841)</f>
        <v/>
      </c>
    </row>
    <row r="3842" customFormat="false" ht="15" hidden="false" customHeight="false" outlineLevel="0" collapsed="false">
      <c r="C3842" s="41" t="str">
        <f aca="false">IF(A3842="","",TEXT(A3842,"mmm-yyyy"))</f>
        <v/>
      </c>
      <c r="I3842" s="47" t="str">
        <f aca="false">IF(G3842="","",G3842+H3842)</f>
        <v/>
      </c>
    </row>
    <row r="3843" customFormat="false" ht="15" hidden="false" customHeight="false" outlineLevel="0" collapsed="false">
      <c r="C3843" s="41" t="str">
        <f aca="false">IF(A3843="","",TEXT(A3843,"mmm-yyyy"))</f>
        <v/>
      </c>
      <c r="I3843" s="47" t="str">
        <f aca="false">IF(G3843="","",G3843+H3843)</f>
        <v/>
      </c>
    </row>
    <row r="3844" customFormat="false" ht="15" hidden="false" customHeight="false" outlineLevel="0" collapsed="false">
      <c r="C3844" s="41" t="str">
        <f aca="false">IF(A3844="","",TEXT(A3844,"mmm-yyyy"))</f>
        <v/>
      </c>
      <c r="I3844" s="47" t="str">
        <f aca="false">IF(G3844="","",G3844+H3844)</f>
        <v/>
      </c>
    </row>
    <row r="3845" customFormat="false" ht="15" hidden="false" customHeight="false" outlineLevel="0" collapsed="false">
      <c r="C3845" s="41" t="str">
        <f aca="false">IF(A3845="","",TEXT(A3845,"mmm-yyyy"))</f>
        <v/>
      </c>
      <c r="I3845" s="47" t="str">
        <f aca="false">IF(G3845="","",G3845+H3845)</f>
        <v/>
      </c>
    </row>
    <row r="3846" customFormat="false" ht="15" hidden="false" customHeight="false" outlineLevel="0" collapsed="false">
      <c r="C3846" s="41" t="str">
        <f aca="false">IF(A3846="","",TEXT(A3846,"mmm-yyyy"))</f>
        <v/>
      </c>
      <c r="I3846" s="47" t="str">
        <f aca="false">IF(G3846="","",G3846+H3846)</f>
        <v/>
      </c>
    </row>
    <row r="3847" customFormat="false" ht="15" hidden="false" customHeight="false" outlineLevel="0" collapsed="false">
      <c r="C3847" s="41" t="str">
        <f aca="false">IF(A3847="","",TEXT(A3847,"mmm-yyyy"))</f>
        <v/>
      </c>
      <c r="I3847" s="47" t="str">
        <f aca="false">IF(G3847="","",G3847+H3847)</f>
        <v/>
      </c>
    </row>
    <row r="3848" customFormat="false" ht="15" hidden="false" customHeight="false" outlineLevel="0" collapsed="false">
      <c r="C3848" s="41" t="str">
        <f aca="false">IF(A3848="","",TEXT(A3848,"mmm-yyyy"))</f>
        <v/>
      </c>
      <c r="I3848" s="47" t="str">
        <f aca="false">IF(G3848="","",G3848+H3848)</f>
        <v/>
      </c>
    </row>
    <row r="3849" customFormat="false" ht="15" hidden="false" customHeight="false" outlineLevel="0" collapsed="false">
      <c r="C3849" s="41" t="str">
        <f aca="false">IF(A3849="","",TEXT(A3849,"mmm-yyyy"))</f>
        <v/>
      </c>
      <c r="I3849" s="47" t="str">
        <f aca="false">IF(G3849="","",G3849+H3849)</f>
        <v/>
      </c>
    </row>
    <row r="3850" customFormat="false" ht="15" hidden="false" customHeight="false" outlineLevel="0" collapsed="false">
      <c r="C3850" s="41" t="str">
        <f aca="false">IF(A3850="","",TEXT(A3850,"mmm-yyyy"))</f>
        <v/>
      </c>
      <c r="I3850" s="47" t="str">
        <f aca="false">IF(G3850="","",G3850+H3850)</f>
        <v/>
      </c>
    </row>
    <row r="3851" customFormat="false" ht="15" hidden="false" customHeight="false" outlineLevel="0" collapsed="false">
      <c r="C3851" s="41" t="str">
        <f aca="false">IF(A3851="","",TEXT(A3851,"mmm-yyyy"))</f>
        <v/>
      </c>
      <c r="I3851" s="47" t="str">
        <f aca="false">IF(G3851="","",G3851+H3851)</f>
        <v/>
      </c>
    </row>
    <row r="3852" customFormat="false" ht="15" hidden="false" customHeight="false" outlineLevel="0" collapsed="false">
      <c r="C3852" s="41" t="str">
        <f aca="false">IF(A3852="","",TEXT(A3852,"mmm-yyyy"))</f>
        <v/>
      </c>
      <c r="I3852" s="47" t="str">
        <f aca="false">IF(G3852="","",G3852+H3852)</f>
        <v/>
      </c>
    </row>
    <row r="3853" customFormat="false" ht="15" hidden="false" customHeight="false" outlineLevel="0" collapsed="false">
      <c r="C3853" s="41" t="str">
        <f aca="false">IF(A3853="","",TEXT(A3853,"mmm-yyyy"))</f>
        <v/>
      </c>
      <c r="I3853" s="47" t="str">
        <f aca="false">IF(G3853="","",G3853+H3853)</f>
        <v/>
      </c>
    </row>
    <row r="3854" customFormat="false" ht="15" hidden="false" customHeight="false" outlineLevel="0" collapsed="false">
      <c r="C3854" s="41" t="str">
        <f aca="false">IF(A3854="","",TEXT(A3854,"mmm-yyyy"))</f>
        <v/>
      </c>
      <c r="I3854" s="47" t="str">
        <f aca="false">IF(G3854="","",G3854+H3854)</f>
        <v/>
      </c>
    </row>
    <row r="3855" customFormat="false" ht="15" hidden="false" customHeight="false" outlineLevel="0" collapsed="false">
      <c r="C3855" s="41" t="str">
        <f aca="false">IF(A3855="","",TEXT(A3855,"mmm-yyyy"))</f>
        <v/>
      </c>
      <c r="I3855" s="47" t="str">
        <f aca="false">IF(G3855="","",G3855+H3855)</f>
        <v/>
      </c>
    </row>
    <row r="3856" customFormat="false" ht="15" hidden="false" customHeight="false" outlineLevel="0" collapsed="false">
      <c r="C3856" s="41" t="str">
        <f aca="false">IF(A3856="","",TEXT(A3856,"mmm-yyyy"))</f>
        <v/>
      </c>
      <c r="I3856" s="47" t="str">
        <f aca="false">IF(G3856="","",G3856+H3856)</f>
        <v/>
      </c>
    </row>
    <row r="3857" customFormat="false" ht="15" hidden="false" customHeight="false" outlineLevel="0" collapsed="false">
      <c r="C3857" s="41" t="str">
        <f aca="false">IF(A3857="","",TEXT(A3857,"mmm-yyyy"))</f>
        <v/>
      </c>
      <c r="I3857" s="47" t="str">
        <f aca="false">IF(G3857="","",G3857+H3857)</f>
        <v/>
      </c>
    </row>
    <row r="3858" customFormat="false" ht="15" hidden="false" customHeight="false" outlineLevel="0" collapsed="false">
      <c r="C3858" s="41" t="str">
        <f aca="false">IF(A3858="","",TEXT(A3858,"mmm-yyyy"))</f>
        <v/>
      </c>
      <c r="I3858" s="47" t="str">
        <f aca="false">IF(G3858="","",G3858+H3858)</f>
        <v/>
      </c>
    </row>
    <row r="3859" customFormat="false" ht="15" hidden="false" customHeight="false" outlineLevel="0" collapsed="false">
      <c r="C3859" s="41" t="str">
        <f aca="false">IF(A3859="","",TEXT(A3859,"mmm-yyyy"))</f>
        <v/>
      </c>
      <c r="I3859" s="47" t="str">
        <f aca="false">IF(G3859="","",G3859+H3859)</f>
        <v/>
      </c>
    </row>
    <row r="3860" customFormat="false" ht="15" hidden="false" customHeight="false" outlineLevel="0" collapsed="false">
      <c r="C3860" s="41" t="str">
        <f aca="false">IF(A3860="","",TEXT(A3860,"mmm-yyyy"))</f>
        <v/>
      </c>
      <c r="I3860" s="47" t="str">
        <f aca="false">IF(G3860="","",G3860+H3860)</f>
        <v/>
      </c>
    </row>
    <row r="3861" customFormat="false" ht="15" hidden="false" customHeight="false" outlineLevel="0" collapsed="false">
      <c r="C3861" s="41" t="str">
        <f aca="false">IF(A3861="","",TEXT(A3861,"mmm-yyyy"))</f>
        <v/>
      </c>
      <c r="I3861" s="47" t="str">
        <f aca="false">IF(G3861="","",G3861+H3861)</f>
        <v/>
      </c>
    </row>
    <row r="3862" customFormat="false" ht="15" hidden="false" customHeight="false" outlineLevel="0" collapsed="false">
      <c r="C3862" s="41" t="str">
        <f aca="false">IF(A3862="","",TEXT(A3862,"mmm-yyyy"))</f>
        <v/>
      </c>
      <c r="I3862" s="47" t="str">
        <f aca="false">IF(G3862="","",G3862+H3862)</f>
        <v/>
      </c>
    </row>
    <row r="3863" customFormat="false" ht="15" hidden="false" customHeight="false" outlineLevel="0" collapsed="false">
      <c r="C3863" s="41" t="str">
        <f aca="false">IF(A3863="","",TEXT(A3863,"mmm-yyyy"))</f>
        <v/>
      </c>
      <c r="I3863" s="47" t="str">
        <f aca="false">IF(G3863="","",G3863+H3863)</f>
        <v/>
      </c>
    </row>
    <row r="3864" customFormat="false" ht="15" hidden="false" customHeight="false" outlineLevel="0" collapsed="false">
      <c r="C3864" s="41" t="str">
        <f aca="false">IF(A3864="","",TEXT(A3864,"mmm-yyyy"))</f>
        <v/>
      </c>
      <c r="I3864" s="47" t="str">
        <f aca="false">IF(G3864="","",G3864+H3864)</f>
        <v/>
      </c>
    </row>
    <row r="3865" customFormat="false" ht="15" hidden="false" customHeight="false" outlineLevel="0" collapsed="false">
      <c r="C3865" s="41" t="str">
        <f aca="false">IF(A3865="","",TEXT(A3865,"mmm-yyyy"))</f>
        <v/>
      </c>
      <c r="I3865" s="47" t="str">
        <f aca="false">IF(G3865="","",G3865+H3865)</f>
        <v/>
      </c>
    </row>
    <row r="3866" customFormat="false" ht="15" hidden="false" customHeight="false" outlineLevel="0" collapsed="false">
      <c r="C3866" s="41" t="str">
        <f aca="false">IF(A3866="","",TEXT(A3866,"mmm-yyyy"))</f>
        <v/>
      </c>
      <c r="I3866" s="47" t="str">
        <f aca="false">IF(G3866="","",G3866+H3866)</f>
        <v/>
      </c>
    </row>
    <row r="3867" customFormat="false" ht="15" hidden="false" customHeight="false" outlineLevel="0" collapsed="false">
      <c r="C3867" s="41" t="str">
        <f aca="false">IF(A3867="","",TEXT(A3867,"mmm-yyyy"))</f>
        <v/>
      </c>
      <c r="I3867" s="47" t="str">
        <f aca="false">IF(G3867="","",G3867+H3867)</f>
        <v/>
      </c>
    </row>
    <row r="3868" customFormat="false" ht="15" hidden="false" customHeight="false" outlineLevel="0" collapsed="false">
      <c r="C3868" s="41" t="str">
        <f aca="false">IF(A3868="","",TEXT(A3868,"mmm-yyyy"))</f>
        <v/>
      </c>
      <c r="I3868" s="47" t="str">
        <f aca="false">IF(G3868="","",G3868+H3868)</f>
        <v/>
      </c>
    </row>
    <row r="3869" customFormat="false" ht="15" hidden="false" customHeight="false" outlineLevel="0" collapsed="false">
      <c r="C3869" s="41" t="str">
        <f aca="false">IF(A3869="","",TEXT(A3869,"mmm-yyyy"))</f>
        <v/>
      </c>
      <c r="I3869" s="47" t="str">
        <f aca="false">IF(G3869="","",G3869+H3869)</f>
        <v/>
      </c>
    </row>
    <row r="3870" customFormat="false" ht="15" hidden="false" customHeight="false" outlineLevel="0" collapsed="false">
      <c r="C3870" s="41" t="str">
        <f aca="false">IF(A3870="","",TEXT(A3870,"mmm-yyyy"))</f>
        <v/>
      </c>
      <c r="I3870" s="47" t="str">
        <f aca="false">IF(G3870="","",G3870+H3870)</f>
        <v/>
      </c>
    </row>
    <row r="3871" customFormat="false" ht="15" hidden="false" customHeight="false" outlineLevel="0" collapsed="false">
      <c r="C3871" s="41" t="str">
        <f aca="false">IF(A3871="","",TEXT(A3871,"mmm-yyyy"))</f>
        <v/>
      </c>
      <c r="I3871" s="47" t="str">
        <f aca="false">IF(G3871="","",G3871+H3871)</f>
        <v/>
      </c>
    </row>
    <row r="3872" customFormat="false" ht="15" hidden="false" customHeight="false" outlineLevel="0" collapsed="false">
      <c r="C3872" s="41" t="str">
        <f aca="false">IF(A3872="","",TEXT(A3872,"mmm-yyyy"))</f>
        <v/>
      </c>
      <c r="I3872" s="47" t="str">
        <f aca="false">IF(G3872="","",G3872+H3872)</f>
        <v/>
      </c>
    </row>
    <row r="3873" customFormat="false" ht="15" hidden="false" customHeight="false" outlineLevel="0" collapsed="false">
      <c r="C3873" s="41" t="str">
        <f aca="false">IF(A3873="","",TEXT(A3873,"mmm-yyyy"))</f>
        <v/>
      </c>
      <c r="I3873" s="47" t="str">
        <f aca="false">IF(G3873="","",G3873+H3873)</f>
        <v/>
      </c>
    </row>
    <row r="3874" customFormat="false" ht="15" hidden="false" customHeight="false" outlineLevel="0" collapsed="false">
      <c r="C3874" s="41" t="str">
        <f aca="false">IF(A3874="","",TEXT(A3874,"mmm-yyyy"))</f>
        <v/>
      </c>
      <c r="I3874" s="47" t="str">
        <f aca="false">IF(G3874="","",G3874+H3874)</f>
        <v/>
      </c>
    </row>
    <row r="3875" customFormat="false" ht="15" hidden="false" customHeight="false" outlineLevel="0" collapsed="false">
      <c r="C3875" s="41" t="str">
        <f aca="false">IF(A3875="","",TEXT(A3875,"mmm-yyyy"))</f>
        <v/>
      </c>
      <c r="I3875" s="47" t="str">
        <f aca="false">IF(G3875="","",G3875+H3875)</f>
        <v/>
      </c>
    </row>
    <row r="3876" customFormat="false" ht="15" hidden="false" customHeight="false" outlineLevel="0" collapsed="false">
      <c r="C3876" s="41" t="str">
        <f aca="false">IF(A3876="","",TEXT(A3876,"mmm-yyyy"))</f>
        <v/>
      </c>
      <c r="I3876" s="47" t="str">
        <f aca="false">IF(G3876="","",G3876+H3876)</f>
        <v/>
      </c>
    </row>
    <row r="3877" customFormat="false" ht="15" hidden="false" customHeight="false" outlineLevel="0" collapsed="false">
      <c r="C3877" s="41" t="str">
        <f aca="false">IF(A3877="","",TEXT(A3877,"mmm-yyyy"))</f>
        <v/>
      </c>
      <c r="I3877" s="47" t="str">
        <f aca="false">IF(G3877="","",G3877+H3877)</f>
        <v/>
      </c>
    </row>
    <row r="3878" customFormat="false" ht="15" hidden="false" customHeight="false" outlineLevel="0" collapsed="false">
      <c r="C3878" s="41" t="str">
        <f aca="false">IF(A3878="","",TEXT(A3878,"mmm-yyyy"))</f>
        <v/>
      </c>
      <c r="I3878" s="47" t="str">
        <f aca="false">IF(G3878="","",G3878+H3878)</f>
        <v/>
      </c>
    </row>
    <row r="3879" customFormat="false" ht="15" hidden="false" customHeight="false" outlineLevel="0" collapsed="false">
      <c r="C3879" s="41" t="str">
        <f aca="false">IF(A3879="","",TEXT(A3879,"mmm-yyyy"))</f>
        <v/>
      </c>
      <c r="I3879" s="47" t="str">
        <f aca="false">IF(G3879="","",G3879+H3879)</f>
        <v/>
      </c>
    </row>
    <row r="3880" customFormat="false" ht="15" hidden="false" customHeight="false" outlineLevel="0" collapsed="false">
      <c r="C3880" s="41" t="str">
        <f aca="false">IF(A3880="","",TEXT(A3880,"mmm-yyyy"))</f>
        <v/>
      </c>
      <c r="I3880" s="47" t="str">
        <f aca="false">IF(G3880="","",G3880+H3880)</f>
        <v/>
      </c>
    </row>
    <row r="3881" customFormat="false" ht="15" hidden="false" customHeight="false" outlineLevel="0" collapsed="false">
      <c r="C3881" s="41" t="str">
        <f aca="false">IF(A3881="","",TEXT(A3881,"mmm-yyyy"))</f>
        <v/>
      </c>
      <c r="I3881" s="47" t="str">
        <f aca="false">IF(G3881="","",G3881+H3881)</f>
        <v/>
      </c>
    </row>
    <row r="3882" customFormat="false" ht="15" hidden="false" customHeight="false" outlineLevel="0" collapsed="false">
      <c r="C3882" s="41" t="str">
        <f aca="false">IF(A3882="","",TEXT(A3882,"mmm-yyyy"))</f>
        <v/>
      </c>
      <c r="I3882" s="47" t="str">
        <f aca="false">IF(G3882="","",G3882+H3882)</f>
        <v/>
      </c>
    </row>
    <row r="3883" customFormat="false" ht="15" hidden="false" customHeight="false" outlineLevel="0" collapsed="false">
      <c r="C3883" s="41" t="str">
        <f aca="false">IF(A3883="","",TEXT(A3883,"mmm-yyyy"))</f>
        <v/>
      </c>
      <c r="I3883" s="47" t="str">
        <f aca="false">IF(G3883="","",G3883+H3883)</f>
        <v/>
      </c>
    </row>
    <row r="3884" customFormat="false" ht="15" hidden="false" customHeight="false" outlineLevel="0" collapsed="false">
      <c r="C3884" s="41" t="str">
        <f aca="false">IF(A3884="","",TEXT(A3884,"mmm-yyyy"))</f>
        <v/>
      </c>
      <c r="I3884" s="47" t="str">
        <f aca="false">IF(G3884="","",G3884+H3884)</f>
        <v/>
      </c>
    </row>
    <row r="3885" customFormat="false" ht="15" hidden="false" customHeight="false" outlineLevel="0" collapsed="false">
      <c r="C3885" s="41" t="str">
        <f aca="false">IF(A3885="","",TEXT(A3885,"mmm-yyyy"))</f>
        <v/>
      </c>
      <c r="I3885" s="47" t="str">
        <f aca="false">IF(G3885="","",G3885+H3885)</f>
        <v/>
      </c>
    </row>
    <row r="3886" customFormat="false" ht="15" hidden="false" customHeight="false" outlineLevel="0" collapsed="false">
      <c r="C3886" s="41" t="str">
        <f aca="false">IF(A3886="","",TEXT(A3886,"mmm-yyyy"))</f>
        <v/>
      </c>
      <c r="I3886" s="47" t="str">
        <f aca="false">IF(G3886="","",G3886+H3886)</f>
        <v/>
      </c>
    </row>
    <row r="3887" customFormat="false" ht="15" hidden="false" customHeight="false" outlineLevel="0" collapsed="false">
      <c r="C3887" s="41" t="str">
        <f aca="false">IF(A3887="","",TEXT(A3887,"mmm-yyyy"))</f>
        <v/>
      </c>
      <c r="I3887" s="47" t="str">
        <f aca="false">IF(G3887="","",G3887+H3887)</f>
        <v/>
      </c>
    </row>
    <row r="3888" customFormat="false" ht="15" hidden="false" customHeight="false" outlineLevel="0" collapsed="false">
      <c r="C3888" s="41" t="str">
        <f aca="false">IF(A3888="","",TEXT(A3888,"mmm-yyyy"))</f>
        <v/>
      </c>
      <c r="I3888" s="47" t="str">
        <f aca="false">IF(G3888="","",G3888+H3888)</f>
        <v/>
      </c>
    </row>
    <row r="3889" customFormat="false" ht="15" hidden="false" customHeight="false" outlineLevel="0" collapsed="false">
      <c r="C3889" s="41" t="str">
        <f aca="false">IF(A3889="","",TEXT(A3889,"mmm-yyyy"))</f>
        <v/>
      </c>
      <c r="I3889" s="47" t="str">
        <f aca="false">IF(G3889="","",G3889+H3889)</f>
        <v/>
      </c>
    </row>
    <row r="3890" customFormat="false" ht="15" hidden="false" customHeight="false" outlineLevel="0" collapsed="false">
      <c r="C3890" s="41" t="str">
        <f aca="false">IF(A3890="","",TEXT(A3890,"mmm-yyyy"))</f>
        <v/>
      </c>
      <c r="I3890" s="47" t="str">
        <f aca="false">IF(G3890="","",G3890+H3890)</f>
        <v/>
      </c>
    </row>
    <row r="3891" customFormat="false" ht="15" hidden="false" customHeight="false" outlineLevel="0" collapsed="false">
      <c r="C3891" s="41" t="str">
        <f aca="false">IF(A3891="","",TEXT(A3891,"mmm-yyyy"))</f>
        <v/>
      </c>
      <c r="I3891" s="47" t="str">
        <f aca="false">IF(G3891="","",G3891+H3891)</f>
        <v/>
      </c>
    </row>
    <row r="3892" customFormat="false" ht="15" hidden="false" customHeight="false" outlineLevel="0" collapsed="false">
      <c r="C3892" s="41" t="str">
        <f aca="false">IF(A3892="","",TEXT(A3892,"mmm-yyyy"))</f>
        <v/>
      </c>
      <c r="I3892" s="47" t="str">
        <f aca="false">IF(G3892="","",G3892+H3892)</f>
        <v/>
      </c>
    </row>
    <row r="3893" customFormat="false" ht="15" hidden="false" customHeight="false" outlineLevel="0" collapsed="false">
      <c r="C3893" s="41" t="str">
        <f aca="false">IF(A3893="","",TEXT(A3893,"mmm-yyyy"))</f>
        <v/>
      </c>
      <c r="I3893" s="47" t="str">
        <f aca="false">IF(G3893="","",G3893+H3893)</f>
        <v/>
      </c>
    </row>
    <row r="3894" customFormat="false" ht="15" hidden="false" customHeight="false" outlineLevel="0" collapsed="false">
      <c r="C3894" s="41" t="str">
        <f aca="false">IF(A3894="","",TEXT(A3894,"mmm-yyyy"))</f>
        <v/>
      </c>
      <c r="I3894" s="47" t="str">
        <f aca="false">IF(G3894="","",G3894+H3894)</f>
        <v/>
      </c>
    </row>
    <row r="3895" customFormat="false" ht="15" hidden="false" customHeight="false" outlineLevel="0" collapsed="false">
      <c r="C3895" s="41" t="str">
        <f aca="false">IF(A3895="","",TEXT(A3895,"mmm-yyyy"))</f>
        <v/>
      </c>
      <c r="I3895" s="47" t="str">
        <f aca="false">IF(G3895="","",G3895+H3895)</f>
        <v/>
      </c>
    </row>
    <row r="3896" customFormat="false" ht="15" hidden="false" customHeight="false" outlineLevel="0" collapsed="false">
      <c r="C3896" s="41" t="str">
        <f aca="false">IF(A3896="","",TEXT(A3896,"mmm-yyyy"))</f>
        <v/>
      </c>
      <c r="I3896" s="47" t="str">
        <f aca="false">IF(G3896="","",G3896+H3896)</f>
        <v/>
      </c>
    </row>
    <row r="3897" customFormat="false" ht="15" hidden="false" customHeight="false" outlineLevel="0" collapsed="false">
      <c r="C3897" s="41" t="str">
        <f aca="false">IF(A3897="","",TEXT(A3897,"mmm-yyyy"))</f>
        <v/>
      </c>
      <c r="I3897" s="47" t="str">
        <f aca="false">IF(G3897="","",G3897+H3897)</f>
        <v/>
      </c>
    </row>
    <row r="3898" customFormat="false" ht="15" hidden="false" customHeight="false" outlineLevel="0" collapsed="false">
      <c r="C3898" s="41" t="str">
        <f aca="false">IF(A3898="","",TEXT(A3898,"mmm-yyyy"))</f>
        <v/>
      </c>
      <c r="I3898" s="47" t="str">
        <f aca="false">IF(G3898="","",G3898+H3898)</f>
        <v/>
      </c>
    </row>
    <row r="3899" customFormat="false" ht="15" hidden="false" customHeight="false" outlineLevel="0" collapsed="false">
      <c r="C3899" s="41" t="str">
        <f aca="false">IF(A3899="","",TEXT(A3899,"mmm-yyyy"))</f>
        <v/>
      </c>
      <c r="I3899" s="47" t="str">
        <f aca="false">IF(G3899="","",G3899+H3899)</f>
        <v/>
      </c>
    </row>
    <row r="3900" customFormat="false" ht="15" hidden="false" customHeight="false" outlineLevel="0" collapsed="false">
      <c r="C3900" s="41" t="str">
        <f aca="false">IF(A3900="","",TEXT(A3900,"mmm-yyyy"))</f>
        <v/>
      </c>
      <c r="I3900" s="47" t="str">
        <f aca="false">IF(G3900="","",G3900+H3900)</f>
        <v/>
      </c>
    </row>
    <row r="3901" customFormat="false" ht="15" hidden="false" customHeight="false" outlineLevel="0" collapsed="false">
      <c r="C3901" s="41" t="str">
        <f aca="false">IF(A3901="","",TEXT(A3901,"mmm-yyyy"))</f>
        <v/>
      </c>
      <c r="I3901" s="47" t="str">
        <f aca="false">IF(G3901="","",G3901+H3901)</f>
        <v/>
      </c>
    </row>
    <row r="3902" customFormat="false" ht="15" hidden="false" customHeight="false" outlineLevel="0" collapsed="false">
      <c r="C3902" s="41" t="str">
        <f aca="false">IF(A3902="","",TEXT(A3902,"mmm-yyyy"))</f>
        <v/>
      </c>
      <c r="I3902" s="47" t="str">
        <f aca="false">IF(G3902="","",G3902+H3902)</f>
        <v/>
      </c>
    </row>
    <row r="3903" customFormat="false" ht="15" hidden="false" customHeight="false" outlineLevel="0" collapsed="false">
      <c r="C3903" s="41" t="str">
        <f aca="false">IF(A3903="","",TEXT(A3903,"mmm-yyyy"))</f>
        <v/>
      </c>
      <c r="I3903" s="47" t="str">
        <f aca="false">IF(G3903="","",G3903+H3903)</f>
        <v/>
      </c>
    </row>
    <row r="3904" customFormat="false" ht="15" hidden="false" customHeight="false" outlineLevel="0" collapsed="false">
      <c r="C3904" s="41" t="str">
        <f aca="false">IF(A3904="","",TEXT(A3904,"mmm-yyyy"))</f>
        <v/>
      </c>
      <c r="I3904" s="47" t="str">
        <f aca="false">IF(G3904="","",G3904+H3904)</f>
        <v/>
      </c>
    </row>
    <row r="3905" customFormat="false" ht="15" hidden="false" customHeight="false" outlineLevel="0" collapsed="false">
      <c r="C3905" s="41" t="str">
        <f aca="false">IF(A3905="","",TEXT(A3905,"mmm-yyyy"))</f>
        <v/>
      </c>
      <c r="I3905" s="47" t="str">
        <f aca="false">IF(G3905="","",G3905+H3905)</f>
        <v/>
      </c>
    </row>
    <row r="3906" customFormat="false" ht="15" hidden="false" customHeight="false" outlineLevel="0" collapsed="false">
      <c r="C3906" s="41" t="str">
        <f aca="false">IF(A3906="","",TEXT(A3906,"mmm-yyyy"))</f>
        <v/>
      </c>
      <c r="I3906" s="47" t="str">
        <f aca="false">IF(G3906="","",G3906+H3906)</f>
        <v/>
      </c>
    </row>
    <row r="3907" customFormat="false" ht="15" hidden="false" customHeight="false" outlineLevel="0" collapsed="false">
      <c r="C3907" s="41" t="str">
        <f aca="false">IF(A3907="","",TEXT(A3907,"mmm-yyyy"))</f>
        <v/>
      </c>
      <c r="I3907" s="47" t="str">
        <f aca="false">IF(G3907="","",G3907+H3907)</f>
        <v/>
      </c>
    </row>
    <row r="3908" customFormat="false" ht="15" hidden="false" customHeight="false" outlineLevel="0" collapsed="false">
      <c r="C3908" s="41" t="str">
        <f aca="false">IF(A3908="","",TEXT(A3908,"mmm-yyyy"))</f>
        <v/>
      </c>
      <c r="I3908" s="47" t="str">
        <f aca="false">IF(G3908="","",G3908+H3908)</f>
        <v/>
      </c>
    </row>
    <row r="3909" customFormat="false" ht="15" hidden="false" customHeight="false" outlineLevel="0" collapsed="false">
      <c r="C3909" s="41" t="str">
        <f aca="false">IF(A3909="","",TEXT(A3909,"mmm-yyyy"))</f>
        <v/>
      </c>
      <c r="I3909" s="47" t="str">
        <f aca="false">IF(G3909="","",G3909+H3909)</f>
        <v/>
      </c>
    </row>
    <row r="3910" customFormat="false" ht="15" hidden="false" customHeight="false" outlineLevel="0" collapsed="false">
      <c r="C3910" s="41" t="str">
        <f aca="false">IF(A3910="","",TEXT(A3910,"mmm-yyyy"))</f>
        <v/>
      </c>
      <c r="I3910" s="47" t="str">
        <f aca="false">IF(G3910="","",G3910+H3910)</f>
        <v/>
      </c>
    </row>
    <row r="3911" customFormat="false" ht="15" hidden="false" customHeight="false" outlineLevel="0" collapsed="false">
      <c r="C3911" s="41" t="str">
        <f aca="false">IF(A3911="","",TEXT(A3911,"mmm-yyyy"))</f>
        <v/>
      </c>
      <c r="I3911" s="47" t="str">
        <f aca="false">IF(G3911="","",G3911+H3911)</f>
        <v/>
      </c>
    </row>
    <row r="3912" customFormat="false" ht="15" hidden="false" customHeight="false" outlineLevel="0" collapsed="false">
      <c r="C3912" s="41" t="str">
        <f aca="false">IF(A3912="","",TEXT(A3912,"mmm-yyyy"))</f>
        <v/>
      </c>
      <c r="I3912" s="47" t="str">
        <f aca="false">IF(G3912="","",G3912+H3912)</f>
        <v/>
      </c>
    </row>
    <row r="3913" customFormat="false" ht="15" hidden="false" customHeight="false" outlineLevel="0" collapsed="false">
      <c r="C3913" s="41" t="str">
        <f aca="false">IF(A3913="","",TEXT(A3913,"mmm-yyyy"))</f>
        <v/>
      </c>
      <c r="I3913" s="47" t="str">
        <f aca="false">IF(G3913="","",G3913+H3913)</f>
        <v/>
      </c>
    </row>
    <row r="3914" customFormat="false" ht="15" hidden="false" customHeight="false" outlineLevel="0" collapsed="false">
      <c r="C3914" s="41" t="str">
        <f aca="false">IF(A3914="","",TEXT(A3914,"mmm-yyyy"))</f>
        <v/>
      </c>
      <c r="I3914" s="47" t="str">
        <f aca="false">IF(G3914="","",G3914+H3914)</f>
        <v/>
      </c>
    </row>
    <row r="3915" customFormat="false" ht="15" hidden="false" customHeight="false" outlineLevel="0" collapsed="false">
      <c r="C3915" s="41" t="str">
        <f aca="false">IF(A3915="","",TEXT(A3915,"mmm-yyyy"))</f>
        <v/>
      </c>
      <c r="I3915" s="47" t="str">
        <f aca="false">IF(G3915="","",G3915+H3915)</f>
        <v/>
      </c>
    </row>
    <row r="3916" customFormat="false" ht="15" hidden="false" customHeight="false" outlineLevel="0" collapsed="false">
      <c r="C3916" s="41" t="str">
        <f aca="false">IF(A3916="","",TEXT(A3916,"mmm-yyyy"))</f>
        <v/>
      </c>
      <c r="I3916" s="47" t="str">
        <f aca="false">IF(G3916="","",G3916+H3916)</f>
        <v/>
      </c>
    </row>
    <row r="3917" customFormat="false" ht="15" hidden="false" customHeight="false" outlineLevel="0" collapsed="false">
      <c r="C3917" s="41" t="str">
        <f aca="false">IF(A3917="","",TEXT(A3917,"mmm-yyyy"))</f>
        <v/>
      </c>
      <c r="I3917" s="47" t="str">
        <f aca="false">IF(G3917="","",G3917+H3917)</f>
        <v/>
      </c>
    </row>
    <row r="3918" customFormat="false" ht="15" hidden="false" customHeight="false" outlineLevel="0" collapsed="false">
      <c r="C3918" s="41" t="str">
        <f aca="false">IF(A3918="","",TEXT(A3918,"mmm-yyyy"))</f>
        <v/>
      </c>
      <c r="I3918" s="47" t="str">
        <f aca="false">IF(G3918="","",G3918+H3918)</f>
        <v/>
      </c>
    </row>
    <row r="3919" customFormat="false" ht="15" hidden="false" customHeight="false" outlineLevel="0" collapsed="false">
      <c r="C3919" s="41" t="str">
        <f aca="false">IF(A3919="","",TEXT(A3919,"mmm-yyyy"))</f>
        <v/>
      </c>
      <c r="I3919" s="47" t="str">
        <f aca="false">IF(G3919="","",G3919+H3919)</f>
        <v/>
      </c>
    </row>
    <row r="3920" customFormat="false" ht="15" hidden="false" customHeight="false" outlineLevel="0" collapsed="false">
      <c r="C3920" s="41" t="str">
        <f aca="false">IF(A3920="","",TEXT(A3920,"mmm-yyyy"))</f>
        <v/>
      </c>
      <c r="I3920" s="47" t="str">
        <f aca="false">IF(G3920="","",G3920+H3920)</f>
        <v/>
      </c>
    </row>
    <row r="3921" customFormat="false" ht="15" hidden="false" customHeight="false" outlineLevel="0" collapsed="false">
      <c r="C3921" s="41" t="str">
        <f aca="false">IF(A3921="","",TEXT(A3921,"mmm-yyyy"))</f>
        <v/>
      </c>
      <c r="I3921" s="47" t="str">
        <f aca="false">IF(G3921="","",G3921+H3921)</f>
        <v/>
      </c>
    </row>
    <row r="3922" customFormat="false" ht="15" hidden="false" customHeight="false" outlineLevel="0" collapsed="false">
      <c r="C3922" s="41" t="str">
        <f aca="false">IF(A3922="","",TEXT(A3922,"mmm-yyyy"))</f>
        <v/>
      </c>
      <c r="I3922" s="47" t="str">
        <f aca="false">IF(G3922="","",G3922+H3922)</f>
        <v/>
      </c>
    </row>
    <row r="3923" customFormat="false" ht="15" hidden="false" customHeight="false" outlineLevel="0" collapsed="false">
      <c r="C3923" s="41" t="str">
        <f aca="false">IF(A3923="","",TEXT(A3923,"mmm-yyyy"))</f>
        <v/>
      </c>
      <c r="I3923" s="47" t="str">
        <f aca="false">IF(G3923="","",G3923+H3923)</f>
        <v/>
      </c>
    </row>
    <row r="3924" customFormat="false" ht="15" hidden="false" customHeight="false" outlineLevel="0" collapsed="false">
      <c r="C3924" s="41" t="str">
        <f aca="false">IF(A3924="","",TEXT(A3924,"mmm-yyyy"))</f>
        <v/>
      </c>
      <c r="I3924" s="47" t="str">
        <f aca="false">IF(G3924="","",G3924+H3924)</f>
        <v/>
      </c>
    </row>
    <row r="3925" customFormat="false" ht="15" hidden="false" customHeight="false" outlineLevel="0" collapsed="false">
      <c r="C3925" s="41" t="str">
        <f aca="false">IF(A3925="","",TEXT(A3925,"mmm-yyyy"))</f>
        <v/>
      </c>
      <c r="I3925" s="47" t="str">
        <f aca="false">IF(G3925="","",G3925+H3925)</f>
        <v/>
      </c>
    </row>
    <row r="3926" customFormat="false" ht="15" hidden="false" customHeight="false" outlineLevel="0" collapsed="false">
      <c r="C3926" s="41" t="str">
        <f aca="false">IF(A3926="","",TEXT(A3926,"mmm-yyyy"))</f>
        <v/>
      </c>
      <c r="I3926" s="47" t="str">
        <f aca="false">IF(G3926="","",G3926+H3926)</f>
        <v/>
      </c>
    </row>
    <row r="3927" customFormat="false" ht="15" hidden="false" customHeight="false" outlineLevel="0" collapsed="false">
      <c r="C3927" s="41" t="str">
        <f aca="false">IF(A3927="","",TEXT(A3927,"mmm-yyyy"))</f>
        <v/>
      </c>
      <c r="I3927" s="47" t="str">
        <f aca="false">IF(G3927="","",G3927+H3927)</f>
        <v/>
      </c>
    </row>
    <row r="3928" customFormat="false" ht="15" hidden="false" customHeight="false" outlineLevel="0" collapsed="false">
      <c r="C3928" s="41" t="str">
        <f aca="false">IF(A3928="","",TEXT(A3928,"mmm-yyyy"))</f>
        <v/>
      </c>
      <c r="I3928" s="47" t="str">
        <f aca="false">IF(G3928="","",G3928+H3928)</f>
        <v/>
      </c>
    </row>
    <row r="3929" customFormat="false" ht="15" hidden="false" customHeight="false" outlineLevel="0" collapsed="false">
      <c r="C3929" s="41" t="str">
        <f aca="false">IF(A3929="","",TEXT(A3929,"mmm-yyyy"))</f>
        <v/>
      </c>
      <c r="I3929" s="47" t="str">
        <f aca="false">IF(G3929="","",G3929+H3929)</f>
        <v/>
      </c>
    </row>
    <row r="3930" customFormat="false" ht="15" hidden="false" customHeight="false" outlineLevel="0" collapsed="false">
      <c r="C3930" s="41" t="str">
        <f aca="false">IF(A3930="","",TEXT(A3930,"mmm-yyyy"))</f>
        <v/>
      </c>
      <c r="I3930" s="47" t="str">
        <f aca="false">IF(G3930="","",G3930+H3930)</f>
        <v/>
      </c>
    </row>
    <row r="3931" customFormat="false" ht="15" hidden="false" customHeight="false" outlineLevel="0" collapsed="false">
      <c r="C3931" s="41" t="str">
        <f aca="false">IF(A3931="","",TEXT(A3931,"mmm-yyyy"))</f>
        <v/>
      </c>
      <c r="I3931" s="47" t="str">
        <f aca="false">IF(G3931="","",G3931+H3931)</f>
        <v/>
      </c>
    </row>
    <row r="3932" customFormat="false" ht="15" hidden="false" customHeight="false" outlineLevel="0" collapsed="false">
      <c r="C3932" s="41" t="str">
        <f aca="false">IF(A3932="","",TEXT(A3932,"mmm-yyyy"))</f>
        <v/>
      </c>
      <c r="I3932" s="47" t="str">
        <f aca="false">IF(G3932="","",G3932+H3932)</f>
        <v/>
      </c>
    </row>
    <row r="3933" customFormat="false" ht="15" hidden="false" customHeight="false" outlineLevel="0" collapsed="false">
      <c r="C3933" s="41" t="str">
        <f aca="false">IF(A3933="","",TEXT(A3933,"mmm-yyyy"))</f>
        <v/>
      </c>
      <c r="I3933" s="47" t="str">
        <f aca="false">IF(G3933="","",G3933+H3933)</f>
        <v/>
      </c>
    </row>
    <row r="3934" customFormat="false" ht="15" hidden="false" customHeight="false" outlineLevel="0" collapsed="false">
      <c r="C3934" s="41" t="str">
        <f aca="false">IF(A3934="","",TEXT(A3934,"mmm-yyyy"))</f>
        <v/>
      </c>
      <c r="I3934" s="47" t="str">
        <f aca="false">IF(G3934="","",G3934+H3934)</f>
        <v/>
      </c>
    </row>
    <row r="3935" customFormat="false" ht="15" hidden="false" customHeight="false" outlineLevel="0" collapsed="false">
      <c r="C3935" s="41" t="str">
        <f aca="false">IF(A3935="","",TEXT(A3935,"mmm-yyyy"))</f>
        <v/>
      </c>
      <c r="I3935" s="47" t="str">
        <f aca="false">IF(G3935="","",G3935+H3935)</f>
        <v/>
      </c>
    </row>
    <row r="3936" customFormat="false" ht="15" hidden="false" customHeight="false" outlineLevel="0" collapsed="false">
      <c r="C3936" s="41" t="str">
        <f aca="false">IF(A3936="","",TEXT(A3936,"mmm-yyyy"))</f>
        <v/>
      </c>
      <c r="I3936" s="47" t="str">
        <f aca="false">IF(G3936="","",G3936+H3936)</f>
        <v/>
      </c>
    </row>
    <row r="3937" customFormat="false" ht="15" hidden="false" customHeight="false" outlineLevel="0" collapsed="false">
      <c r="C3937" s="41" t="str">
        <f aca="false">IF(A3937="","",TEXT(A3937,"mmm-yyyy"))</f>
        <v/>
      </c>
      <c r="I3937" s="47" t="str">
        <f aca="false">IF(G3937="","",G3937+H3937)</f>
        <v/>
      </c>
    </row>
    <row r="3938" customFormat="false" ht="15" hidden="false" customHeight="false" outlineLevel="0" collapsed="false">
      <c r="C3938" s="41" t="str">
        <f aca="false">IF(A3938="","",TEXT(A3938,"mmm-yyyy"))</f>
        <v/>
      </c>
      <c r="I3938" s="47" t="str">
        <f aca="false">IF(G3938="","",G3938+H3938)</f>
        <v/>
      </c>
    </row>
    <row r="3939" customFormat="false" ht="15" hidden="false" customHeight="false" outlineLevel="0" collapsed="false">
      <c r="C3939" s="41" t="str">
        <f aca="false">IF(A3939="","",TEXT(A3939,"mmm-yyyy"))</f>
        <v/>
      </c>
      <c r="I3939" s="47" t="str">
        <f aca="false">IF(G3939="","",G3939+H3939)</f>
        <v/>
      </c>
    </row>
    <row r="3940" customFormat="false" ht="15" hidden="false" customHeight="false" outlineLevel="0" collapsed="false">
      <c r="C3940" s="41" t="str">
        <f aca="false">IF(A3940="","",TEXT(A3940,"mmm-yyyy"))</f>
        <v/>
      </c>
      <c r="I3940" s="47" t="str">
        <f aca="false">IF(G3940="","",G3940+H3940)</f>
        <v/>
      </c>
    </row>
    <row r="3941" customFormat="false" ht="15" hidden="false" customHeight="false" outlineLevel="0" collapsed="false">
      <c r="C3941" s="41" t="str">
        <f aca="false">IF(A3941="","",TEXT(A3941,"mmm-yyyy"))</f>
        <v/>
      </c>
      <c r="I3941" s="47" t="str">
        <f aca="false">IF(G3941="","",G3941+H3941)</f>
        <v/>
      </c>
    </row>
    <row r="3942" customFormat="false" ht="15" hidden="false" customHeight="false" outlineLevel="0" collapsed="false">
      <c r="C3942" s="41" t="str">
        <f aca="false">IF(A3942="","",TEXT(A3942,"mmm-yyyy"))</f>
        <v/>
      </c>
      <c r="I3942" s="47" t="str">
        <f aca="false">IF(G3942="","",G3942+H3942)</f>
        <v/>
      </c>
    </row>
    <row r="3943" customFormat="false" ht="15" hidden="false" customHeight="false" outlineLevel="0" collapsed="false">
      <c r="C3943" s="41" t="str">
        <f aca="false">IF(A3943="","",TEXT(A3943,"mmm-yyyy"))</f>
        <v/>
      </c>
      <c r="I3943" s="47" t="str">
        <f aca="false">IF(G3943="","",G3943+H3943)</f>
        <v/>
      </c>
    </row>
    <row r="3944" customFormat="false" ht="15" hidden="false" customHeight="false" outlineLevel="0" collapsed="false">
      <c r="C3944" s="41" t="str">
        <f aca="false">IF(A3944="","",TEXT(A3944,"mmm-yyyy"))</f>
        <v/>
      </c>
      <c r="I3944" s="47" t="str">
        <f aca="false">IF(G3944="","",G3944+H3944)</f>
        <v/>
      </c>
    </row>
    <row r="3945" customFormat="false" ht="15" hidden="false" customHeight="false" outlineLevel="0" collapsed="false">
      <c r="C3945" s="41" t="str">
        <f aca="false">IF(A3945="","",TEXT(A3945,"mmm-yyyy"))</f>
        <v/>
      </c>
      <c r="I3945" s="47" t="str">
        <f aca="false">IF(G3945="","",G3945+H3945)</f>
        <v/>
      </c>
    </row>
    <row r="3946" customFormat="false" ht="15" hidden="false" customHeight="false" outlineLevel="0" collapsed="false">
      <c r="C3946" s="41" t="str">
        <f aca="false">IF(A3946="","",TEXT(A3946,"mmm-yyyy"))</f>
        <v/>
      </c>
      <c r="I3946" s="47" t="str">
        <f aca="false">IF(G3946="","",G3946+H3946)</f>
        <v/>
      </c>
    </row>
    <row r="3947" customFormat="false" ht="15" hidden="false" customHeight="false" outlineLevel="0" collapsed="false">
      <c r="C3947" s="41" t="str">
        <f aca="false">IF(A3947="","",TEXT(A3947,"mmm-yyyy"))</f>
        <v/>
      </c>
      <c r="I3947" s="47" t="str">
        <f aca="false">IF(G3947="","",G3947+H3947)</f>
        <v/>
      </c>
    </row>
    <row r="3948" customFormat="false" ht="15" hidden="false" customHeight="false" outlineLevel="0" collapsed="false">
      <c r="C3948" s="41" t="str">
        <f aca="false">IF(A3948="","",TEXT(A3948,"mmm-yyyy"))</f>
        <v/>
      </c>
      <c r="I3948" s="47" t="str">
        <f aca="false">IF(G3948="","",G3948+H3948)</f>
        <v/>
      </c>
    </row>
    <row r="3949" customFormat="false" ht="15" hidden="false" customHeight="false" outlineLevel="0" collapsed="false">
      <c r="C3949" s="41" t="str">
        <f aca="false">IF(A3949="","",TEXT(A3949,"mmm-yyyy"))</f>
        <v/>
      </c>
      <c r="I3949" s="47" t="str">
        <f aca="false">IF(G3949="","",G3949+H3949)</f>
        <v/>
      </c>
    </row>
    <row r="3950" customFormat="false" ht="15" hidden="false" customHeight="false" outlineLevel="0" collapsed="false">
      <c r="C3950" s="41" t="str">
        <f aca="false">IF(A3950="","",TEXT(A3950,"mmm-yyyy"))</f>
        <v/>
      </c>
      <c r="I3950" s="47" t="str">
        <f aca="false">IF(G3950="","",G3950+H3950)</f>
        <v/>
      </c>
    </row>
    <row r="3951" customFormat="false" ht="15" hidden="false" customHeight="false" outlineLevel="0" collapsed="false">
      <c r="C3951" s="41" t="str">
        <f aca="false">IF(A3951="","",TEXT(A3951,"mmm-yyyy"))</f>
        <v/>
      </c>
      <c r="I3951" s="47" t="str">
        <f aca="false">IF(G3951="","",G3951+H3951)</f>
        <v/>
      </c>
    </row>
    <row r="3952" customFormat="false" ht="15" hidden="false" customHeight="false" outlineLevel="0" collapsed="false">
      <c r="C3952" s="41" t="str">
        <f aca="false">IF(A3952="","",TEXT(A3952,"mmm-yyyy"))</f>
        <v/>
      </c>
      <c r="I3952" s="47" t="str">
        <f aca="false">IF(G3952="","",G3952+H3952)</f>
        <v/>
      </c>
    </row>
    <row r="3953" customFormat="false" ht="15" hidden="false" customHeight="false" outlineLevel="0" collapsed="false">
      <c r="C3953" s="41" t="str">
        <f aca="false">IF(A3953="","",TEXT(A3953,"mmm-yyyy"))</f>
        <v/>
      </c>
      <c r="I3953" s="47" t="str">
        <f aca="false">IF(G3953="","",G3953+H3953)</f>
        <v/>
      </c>
    </row>
    <row r="3954" customFormat="false" ht="15" hidden="false" customHeight="false" outlineLevel="0" collapsed="false">
      <c r="C3954" s="41" t="str">
        <f aca="false">IF(A3954="","",TEXT(A3954,"mmm-yyyy"))</f>
        <v/>
      </c>
      <c r="I3954" s="47" t="str">
        <f aca="false">IF(G3954="","",G3954+H3954)</f>
        <v/>
      </c>
    </row>
    <row r="3955" customFormat="false" ht="15" hidden="false" customHeight="false" outlineLevel="0" collapsed="false">
      <c r="C3955" s="41" t="str">
        <f aca="false">IF(A3955="","",TEXT(A3955,"mmm-yyyy"))</f>
        <v/>
      </c>
      <c r="I3955" s="47" t="str">
        <f aca="false">IF(G3955="","",G3955+H3955)</f>
        <v/>
      </c>
    </row>
    <row r="3956" customFormat="false" ht="15" hidden="false" customHeight="false" outlineLevel="0" collapsed="false">
      <c r="C3956" s="41" t="str">
        <f aca="false">IF(A3956="","",TEXT(A3956,"mmm-yyyy"))</f>
        <v/>
      </c>
      <c r="I3956" s="47" t="str">
        <f aca="false">IF(G3956="","",G3956+H3956)</f>
        <v/>
      </c>
    </row>
    <row r="3957" customFormat="false" ht="15" hidden="false" customHeight="false" outlineLevel="0" collapsed="false">
      <c r="C3957" s="41" t="str">
        <f aca="false">IF(A3957="","",TEXT(A3957,"mmm-yyyy"))</f>
        <v/>
      </c>
      <c r="I3957" s="47" t="str">
        <f aca="false">IF(G3957="","",G3957+H3957)</f>
        <v/>
      </c>
    </row>
    <row r="3958" customFormat="false" ht="15" hidden="false" customHeight="false" outlineLevel="0" collapsed="false">
      <c r="C3958" s="41" t="str">
        <f aca="false">IF(A3958="","",TEXT(A3958,"mmm-yyyy"))</f>
        <v/>
      </c>
      <c r="I3958" s="47" t="str">
        <f aca="false">IF(G3958="","",G3958+H3958)</f>
        <v/>
      </c>
    </row>
    <row r="3959" customFormat="false" ht="15" hidden="false" customHeight="false" outlineLevel="0" collapsed="false">
      <c r="C3959" s="41" t="str">
        <f aca="false">IF(A3959="","",TEXT(A3959,"mmm-yyyy"))</f>
        <v/>
      </c>
      <c r="I3959" s="47" t="str">
        <f aca="false">IF(G3959="","",G3959+H3959)</f>
        <v/>
      </c>
    </row>
    <row r="3960" customFormat="false" ht="15" hidden="false" customHeight="false" outlineLevel="0" collapsed="false">
      <c r="C3960" s="41" t="str">
        <f aca="false">IF(A3960="","",TEXT(A3960,"mmm-yyyy"))</f>
        <v/>
      </c>
      <c r="I3960" s="47" t="str">
        <f aca="false">IF(G3960="","",G3960+H3960)</f>
        <v/>
      </c>
    </row>
    <row r="3961" customFormat="false" ht="15" hidden="false" customHeight="false" outlineLevel="0" collapsed="false">
      <c r="C3961" s="41" t="str">
        <f aca="false">IF(A3961="","",TEXT(A3961,"mmm-yyyy"))</f>
        <v/>
      </c>
      <c r="I3961" s="47" t="str">
        <f aca="false">IF(G3961="","",G3961+H3961)</f>
        <v/>
      </c>
    </row>
    <row r="3962" customFormat="false" ht="15" hidden="false" customHeight="false" outlineLevel="0" collapsed="false">
      <c r="C3962" s="41" t="str">
        <f aca="false">IF(A3962="","",TEXT(A3962,"mmm-yyyy"))</f>
        <v/>
      </c>
      <c r="I3962" s="47" t="str">
        <f aca="false">IF(G3962="","",G3962+H3962)</f>
        <v/>
      </c>
    </row>
    <row r="3963" customFormat="false" ht="15" hidden="false" customHeight="false" outlineLevel="0" collapsed="false">
      <c r="C3963" s="41" t="str">
        <f aca="false">IF(A3963="","",TEXT(A3963,"mmm-yyyy"))</f>
        <v/>
      </c>
      <c r="I3963" s="47" t="str">
        <f aca="false">IF(G3963="","",G3963+H3963)</f>
        <v/>
      </c>
    </row>
    <row r="3964" customFormat="false" ht="15" hidden="false" customHeight="false" outlineLevel="0" collapsed="false">
      <c r="C3964" s="41" t="str">
        <f aca="false">IF(A3964="","",TEXT(A3964,"mmm-yyyy"))</f>
        <v/>
      </c>
      <c r="I3964" s="47" t="str">
        <f aca="false">IF(G3964="","",G3964+H3964)</f>
        <v/>
      </c>
    </row>
    <row r="3965" customFormat="false" ht="15" hidden="false" customHeight="false" outlineLevel="0" collapsed="false">
      <c r="C3965" s="41" t="str">
        <f aca="false">IF(A3965="","",TEXT(A3965,"mmm-yyyy"))</f>
        <v/>
      </c>
      <c r="I3965" s="47" t="str">
        <f aca="false">IF(G3965="","",G3965+H3965)</f>
        <v/>
      </c>
    </row>
    <row r="3966" customFormat="false" ht="15" hidden="false" customHeight="false" outlineLevel="0" collapsed="false">
      <c r="C3966" s="41" t="str">
        <f aca="false">IF(A3966="","",TEXT(A3966,"mmm-yyyy"))</f>
        <v/>
      </c>
      <c r="I3966" s="47" t="str">
        <f aca="false">IF(G3966="","",G3966+H3966)</f>
        <v/>
      </c>
    </row>
    <row r="3967" customFormat="false" ht="15" hidden="false" customHeight="false" outlineLevel="0" collapsed="false">
      <c r="C3967" s="41" t="str">
        <f aca="false">IF(A3967="","",TEXT(A3967,"mmm-yyyy"))</f>
        <v/>
      </c>
      <c r="I3967" s="47" t="str">
        <f aca="false">IF(G3967="","",G3967+H3967)</f>
        <v/>
      </c>
    </row>
    <row r="3968" customFormat="false" ht="15" hidden="false" customHeight="false" outlineLevel="0" collapsed="false">
      <c r="C3968" s="41" t="str">
        <f aca="false">IF(A3968="","",TEXT(A3968,"mmm-yyyy"))</f>
        <v/>
      </c>
      <c r="I3968" s="47" t="str">
        <f aca="false">IF(G3968="","",G3968+H3968)</f>
        <v/>
      </c>
    </row>
    <row r="3969" customFormat="false" ht="15" hidden="false" customHeight="false" outlineLevel="0" collapsed="false">
      <c r="C3969" s="41" t="str">
        <f aca="false">IF(A3969="","",TEXT(A3969,"mmm-yyyy"))</f>
        <v/>
      </c>
      <c r="I3969" s="47" t="str">
        <f aca="false">IF(G3969="","",G3969+H3969)</f>
        <v/>
      </c>
    </row>
    <row r="3970" customFormat="false" ht="15" hidden="false" customHeight="false" outlineLevel="0" collapsed="false">
      <c r="C3970" s="41" t="str">
        <f aca="false">IF(A3970="","",TEXT(A3970,"mmm-yyyy"))</f>
        <v/>
      </c>
      <c r="I3970" s="47" t="str">
        <f aca="false">IF(G3970="","",G3970+H3970)</f>
        <v/>
      </c>
    </row>
    <row r="3971" customFormat="false" ht="15" hidden="false" customHeight="false" outlineLevel="0" collapsed="false">
      <c r="C3971" s="41" t="str">
        <f aca="false">IF(A3971="","",TEXT(A3971,"mmm-yyyy"))</f>
        <v/>
      </c>
      <c r="I3971" s="47" t="str">
        <f aca="false">IF(G3971="","",G3971+H3971)</f>
        <v/>
      </c>
    </row>
    <row r="3972" customFormat="false" ht="15" hidden="false" customHeight="false" outlineLevel="0" collapsed="false">
      <c r="C3972" s="41" t="str">
        <f aca="false">IF(A3972="","",TEXT(A3972,"mmm-yyyy"))</f>
        <v/>
      </c>
      <c r="I3972" s="47" t="str">
        <f aca="false">IF(G3972="","",G3972+H3972)</f>
        <v/>
      </c>
    </row>
    <row r="3973" customFormat="false" ht="15" hidden="false" customHeight="false" outlineLevel="0" collapsed="false">
      <c r="C3973" s="41" t="str">
        <f aca="false">IF(A3973="","",TEXT(A3973,"mmm-yyyy"))</f>
        <v/>
      </c>
      <c r="I3973" s="47" t="str">
        <f aca="false">IF(G3973="","",G3973+H3973)</f>
        <v/>
      </c>
    </row>
    <row r="3974" customFormat="false" ht="15" hidden="false" customHeight="false" outlineLevel="0" collapsed="false">
      <c r="C3974" s="41" t="str">
        <f aca="false">IF(A3974="","",TEXT(A3974,"mmm-yyyy"))</f>
        <v/>
      </c>
      <c r="I3974" s="47" t="str">
        <f aca="false">IF(G3974="","",G3974+H3974)</f>
        <v/>
      </c>
    </row>
    <row r="3975" customFormat="false" ht="15" hidden="false" customHeight="false" outlineLevel="0" collapsed="false">
      <c r="C3975" s="41" t="str">
        <f aca="false">IF(A3975="","",TEXT(A3975,"mmm-yyyy"))</f>
        <v/>
      </c>
      <c r="I3975" s="47" t="str">
        <f aca="false">IF(G3975="","",G3975+H3975)</f>
        <v/>
      </c>
    </row>
    <row r="3976" customFormat="false" ht="15" hidden="false" customHeight="false" outlineLevel="0" collapsed="false">
      <c r="C3976" s="41" t="str">
        <f aca="false">IF(A3976="","",TEXT(A3976,"mmm-yyyy"))</f>
        <v/>
      </c>
      <c r="I3976" s="47" t="str">
        <f aca="false">IF(G3976="","",G3976+H3976)</f>
        <v/>
      </c>
    </row>
    <row r="3977" customFormat="false" ht="15" hidden="false" customHeight="false" outlineLevel="0" collapsed="false">
      <c r="C3977" s="41" t="str">
        <f aca="false">IF(A3977="","",TEXT(A3977,"mmm-yyyy"))</f>
        <v/>
      </c>
      <c r="I3977" s="47" t="str">
        <f aca="false">IF(G3977="","",G3977+H3977)</f>
        <v/>
      </c>
    </row>
    <row r="3978" customFormat="false" ht="15" hidden="false" customHeight="false" outlineLevel="0" collapsed="false">
      <c r="C3978" s="41" t="str">
        <f aca="false">IF(A3978="","",TEXT(A3978,"mmm-yyyy"))</f>
        <v/>
      </c>
      <c r="I3978" s="47" t="str">
        <f aca="false">IF(G3978="","",G3978+H3978)</f>
        <v/>
      </c>
    </row>
    <row r="3979" customFormat="false" ht="15" hidden="false" customHeight="false" outlineLevel="0" collapsed="false">
      <c r="C3979" s="41" t="str">
        <f aca="false">IF(A3979="","",TEXT(A3979,"mmm-yyyy"))</f>
        <v/>
      </c>
      <c r="I3979" s="47" t="str">
        <f aca="false">IF(G3979="","",G3979+H3979)</f>
        <v/>
      </c>
    </row>
    <row r="3980" customFormat="false" ht="15" hidden="false" customHeight="false" outlineLevel="0" collapsed="false">
      <c r="C3980" s="41" t="str">
        <f aca="false">IF(A3980="","",TEXT(A3980,"mmm-yyyy"))</f>
        <v/>
      </c>
      <c r="I3980" s="47" t="str">
        <f aca="false">IF(G3980="","",G3980+H3980)</f>
        <v/>
      </c>
    </row>
    <row r="3981" customFormat="false" ht="15" hidden="false" customHeight="false" outlineLevel="0" collapsed="false">
      <c r="C3981" s="41" t="str">
        <f aca="false">IF(A3981="","",TEXT(A3981,"mmm-yyyy"))</f>
        <v/>
      </c>
      <c r="I3981" s="47" t="str">
        <f aca="false">IF(G3981="","",G3981+H3981)</f>
        <v/>
      </c>
    </row>
    <row r="3982" customFormat="false" ht="15" hidden="false" customHeight="false" outlineLevel="0" collapsed="false">
      <c r="C3982" s="41" t="str">
        <f aca="false">IF(A3982="","",TEXT(A3982,"mmm-yyyy"))</f>
        <v/>
      </c>
      <c r="I3982" s="47" t="str">
        <f aca="false">IF(G3982="","",G3982+H3982)</f>
        <v/>
      </c>
    </row>
    <row r="3983" customFormat="false" ht="15" hidden="false" customHeight="false" outlineLevel="0" collapsed="false">
      <c r="C3983" s="41" t="str">
        <f aca="false">IF(A3983="","",TEXT(A3983,"mmm-yyyy"))</f>
        <v/>
      </c>
      <c r="I3983" s="47" t="str">
        <f aca="false">IF(G3983="","",G3983+H3983)</f>
        <v/>
      </c>
    </row>
    <row r="3984" customFormat="false" ht="15" hidden="false" customHeight="false" outlineLevel="0" collapsed="false">
      <c r="C3984" s="41" t="str">
        <f aca="false">IF(A3984="","",TEXT(A3984,"mmm-yyyy"))</f>
        <v/>
      </c>
      <c r="I3984" s="47" t="str">
        <f aca="false">IF(G3984="","",G3984+H3984)</f>
        <v/>
      </c>
    </row>
    <row r="3985" customFormat="false" ht="15" hidden="false" customHeight="false" outlineLevel="0" collapsed="false">
      <c r="C3985" s="41" t="str">
        <f aca="false">IF(A3985="","",TEXT(A3985,"mmm-yyyy"))</f>
        <v/>
      </c>
      <c r="I3985" s="47" t="str">
        <f aca="false">IF(G3985="","",G3985+H3985)</f>
        <v/>
      </c>
    </row>
    <row r="3986" customFormat="false" ht="15" hidden="false" customHeight="false" outlineLevel="0" collapsed="false">
      <c r="C3986" s="41" t="str">
        <f aca="false">IF(A3986="","",TEXT(A3986,"mmm-yyyy"))</f>
        <v/>
      </c>
      <c r="I3986" s="47" t="str">
        <f aca="false">IF(G3986="","",G3986+H3986)</f>
        <v/>
      </c>
    </row>
    <row r="3987" customFormat="false" ht="15" hidden="false" customHeight="false" outlineLevel="0" collapsed="false">
      <c r="C3987" s="41" t="str">
        <f aca="false">IF(A3987="","",TEXT(A3987,"mmm-yyyy"))</f>
        <v/>
      </c>
      <c r="I3987" s="47" t="str">
        <f aca="false">IF(G3987="","",G3987+H3987)</f>
        <v/>
      </c>
    </row>
    <row r="3988" customFormat="false" ht="15" hidden="false" customHeight="false" outlineLevel="0" collapsed="false">
      <c r="C3988" s="41" t="str">
        <f aca="false">IF(A3988="","",TEXT(A3988,"mmm-yyyy"))</f>
        <v/>
      </c>
      <c r="I3988" s="47" t="str">
        <f aca="false">IF(G3988="","",G3988+H3988)</f>
        <v/>
      </c>
    </row>
    <row r="3989" customFormat="false" ht="15" hidden="false" customHeight="false" outlineLevel="0" collapsed="false">
      <c r="C3989" s="41" t="str">
        <f aca="false">IF(A3989="","",TEXT(A3989,"mmm-yyyy"))</f>
        <v/>
      </c>
      <c r="I3989" s="47" t="str">
        <f aca="false">IF(G3989="","",G3989+H3989)</f>
        <v/>
      </c>
    </row>
    <row r="3990" customFormat="false" ht="15" hidden="false" customHeight="false" outlineLevel="0" collapsed="false">
      <c r="C3990" s="41" t="str">
        <f aca="false">IF(A3990="","",TEXT(A3990,"mmm-yyyy"))</f>
        <v/>
      </c>
      <c r="I3990" s="47" t="str">
        <f aca="false">IF(G3990="","",G3990+H3990)</f>
        <v/>
      </c>
    </row>
    <row r="3991" customFormat="false" ht="15" hidden="false" customHeight="false" outlineLevel="0" collapsed="false">
      <c r="C3991" s="41" t="str">
        <f aca="false">IF(A3991="","",TEXT(A3991,"mmm-yyyy"))</f>
        <v/>
      </c>
      <c r="I3991" s="47" t="str">
        <f aca="false">IF(G3991="","",G3991+H3991)</f>
        <v/>
      </c>
    </row>
    <row r="3992" customFormat="false" ht="15" hidden="false" customHeight="false" outlineLevel="0" collapsed="false">
      <c r="C3992" s="41" t="str">
        <f aca="false">IF(A3992="","",TEXT(A3992,"mmm-yyyy"))</f>
        <v/>
      </c>
      <c r="I3992" s="47" t="str">
        <f aca="false">IF(G3992="","",G3992+H3992)</f>
        <v/>
      </c>
    </row>
    <row r="3993" customFormat="false" ht="15" hidden="false" customHeight="false" outlineLevel="0" collapsed="false">
      <c r="C3993" s="41" t="str">
        <f aca="false">IF(A3993="","",TEXT(A3993,"mmm-yyyy"))</f>
        <v/>
      </c>
      <c r="I3993" s="47" t="str">
        <f aca="false">IF(G3993="","",G3993+H3993)</f>
        <v/>
      </c>
    </row>
    <row r="3994" customFormat="false" ht="15" hidden="false" customHeight="false" outlineLevel="0" collapsed="false">
      <c r="C3994" s="41" t="str">
        <f aca="false">IF(A3994="","",TEXT(A3994,"mmm-yyyy"))</f>
        <v/>
      </c>
      <c r="I3994" s="47" t="str">
        <f aca="false">IF(G3994="","",G3994+H3994)</f>
        <v/>
      </c>
    </row>
    <row r="3995" customFormat="false" ht="15" hidden="false" customHeight="false" outlineLevel="0" collapsed="false">
      <c r="C3995" s="41" t="str">
        <f aca="false">IF(A3995="","",TEXT(A3995,"mmm-yyyy"))</f>
        <v/>
      </c>
      <c r="I3995" s="47" t="str">
        <f aca="false">IF(G3995="","",G3995+H3995)</f>
        <v/>
      </c>
    </row>
    <row r="3996" customFormat="false" ht="15" hidden="false" customHeight="false" outlineLevel="0" collapsed="false">
      <c r="C3996" s="41" t="str">
        <f aca="false">IF(A3996="","",TEXT(A3996,"mmm-yyyy"))</f>
        <v/>
      </c>
      <c r="I3996" s="47" t="str">
        <f aca="false">IF(G3996="","",G3996+H3996)</f>
        <v/>
      </c>
    </row>
    <row r="3997" customFormat="false" ht="15" hidden="false" customHeight="false" outlineLevel="0" collapsed="false">
      <c r="C3997" s="41" t="str">
        <f aca="false">IF(A3997="","",TEXT(A3997,"mmm-yyyy"))</f>
        <v/>
      </c>
      <c r="I3997" s="47" t="str">
        <f aca="false">IF(G3997="","",G3997+H3997)</f>
        <v/>
      </c>
    </row>
    <row r="3998" customFormat="false" ht="15" hidden="false" customHeight="false" outlineLevel="0" collapsed="false">
      <c r="C3998" s="41" t="str">
        <f aca="false">IF(A3998="","",TEXT(A3998,"mmm-yyyy"))</f>
        <v/>
      </c>
      <c r="I3998" s="47" t="str">
        <f aca="false">IF(G3998="","",G3998+H3998)</f>
        <v/>
      </c>
    </row>
    <row r="3999" customFormat="false" ht="15" hidden="false" customHeight="false" outlineLevel="0" collapsed="false">
      <c r="C3999" s="41" t="str">
        <f aca="false">IF(A3999="","",TEXT(A3999,"mmm-yyyy"))</f>
        <v/>
      </c>
      <c r="I3999" s="47" t="str">
        <f aca="false">IF(G3999="","",G3999+H3999)</f>
        <v/>
      </c>
    </row>
    <row r="4000" customFormat="false" ht="15" hidden="false" customHeight="false" outlineLevel="0" collapsed="false">
      <c r="C4000" s="41" t="str">
        <f aca="false">IF(A4000="","",TEXT(A4000,"mmm-yyyy"))</f>
        <v/>
      </c>
      <c r="I4000" s="47" t="str">
        <f aca="false">IF(G4000="","",G4000+H4000)</f>
        <v/>
      </c>
    </row>
    <row r="4001" customFormat="false" ht="15" hidden="false" customHeight="false" outlineLevel="0" collapsed="false">
      <c r="C4001" s="41" t="str">
        <f aca="false">IF(A4001="","",TEXT(A4001,"mmm-yyyy"))</f>
        <v/>
      </c>
      <c r="I4001" s="47" t="str">
        <f aca="false">IF(G4001="","",G4001+H4001)</f>
        <v/>
      </c>
    </row>
    <row r="4002" customFormat="false" ht="15" hidden="false" customHeight="false" outlineLevel="0" collapsed="false">
      <c r="C4002" s="41" t="str">
        <f aca="false">IF(A4002="","",TEXT(A4002,"mmm-yyyy"))</f>
        <v/>
      </c>
      <c r="I4002" s="47" t="str">
        <f aca="false">IF(G4002="","",G4002+H4002)</f>
        <v/>
      </c>
    </row>
    <row r="4003" customFormat="false" ht="15" hidden="false" customHeight="false" outlineLevel="0" collapsed="false">
      <c r="C4003" s="41" t="str">
        <f aca="false">IF(A4003="","",TEXT(A4003,"mmm-yyyy"))</f>
        <v/>
      </c>
      <c r="I4003" s="47" t="str">
        <f aca="false">IF(G4003="","",G4003+H4003)</f>
        <v/>
      </c>
    </row>
    <row r="4004" customFormat="false" ht="15" hidden="false" customHeight="false" outlineLevel="0" collapsed="false">
      <c r="C4004" s="41" t="str">
        <f aca="false">IF(A4004="","",TEXT(A4004,"mmm-yyyy"))</f>
        <v/>
      </c>
      <c r="I4004" s="47" t="str">
        <f aca="false">IF(G4004="","",G4004+H4004)</f>
        <v/>
      </c>
    </row>
    <row r="4005" customFormat="false" ht="15" hidden="false" customHeight="false" outlineLevel="0" collapsed="false">
      <c r="C4005" s="41" t="str">
        <f aca="false">IF(A4005="","",TEXT(A4005,"mmm-yyyy"))</f>
        <v/>
      </c>
      <c r="I4005" s="47" t="str">
        <f aca="false">IF(G4005="","",G4005+H4005)</f>
        <v/>
      </c>
    </row>
    <row r="4006" customFormat="false" ht="15" hidden="false" customHeight="false" outlineLevel="0" collapsed="false">
      <c r="C4006" s="41" t="str">
        <f aca="false">IF(A4006="","",TEXT(A4006,"mmm-yyyy"))</f>
        <v/>
      </c>
      <c r="I4006" s="47" t="str">
        <f aca="false">IF(G4006="","",G4006+H4006)</f>
        <v/>
      </c>
    </row>
    <row r="4007" customFormat="false" ht="15" hidden="false" customHeight="false" outlineLevel="0" collapsed="false">
      <c r="C4007" s="41" t="str">
        <f aca="false">IF(A4007="","",TEXT(A4007,"mmm-yyyy"))</f>
        <v/>
      </c>
      <c r="I4007" s="47" t="str">
        <f aca="false">IF(G4007="","",G4007+H4007)</f>
        <v/>
      </c>
    </row>
    <row r="4008" customFormat="false" ht="15" hidden="false" customHeight="false" outlineLevel="0" collapsed="false">
      <c r="C4008" s="41" t="str">
        <f aca="false">IF(A4008="","",TEXT(A4008,"mmm-yyyy"))</f>
        <v/>
      </c>
      <c r="I4008" s="47" t="str">
        <f aca="false">IF(G4008="","",G4008+H4008)</f>
        <v/>
      </c>
    </row>
    <row r="4009" customFormat="false" ht="15" hidden="false" customHeight="false" outlineLevel="0" collapsed="false">
      <c r="C4009" s="41" t="str">
        <f aca="false">IF(A4009="","",TEXT(A4009,"mmm-yyyy"))</f>
        <v/>
      </c>
      <c r="I4009" s="47" t="str">
        <f aca="false">IF(G4009="","",G4009+H4009)</f>
        <v/>
      </c>
    </row>
    <row r="4010" customFormat="false" ht="15" hidden="false" customHeight="false" outlineLevel="0" collapsed="false">
      <c r="C4010" s="41" t="str">
        <f aca="false">IF(A4010="","",TEXT(A4010,"mmm-yyyy"))</f>
        <v/>
      </c>
      <c r="I4010" s="47" t="str">
        <f aca="false">IF(G4010="","",G4010+H4010)</f>
        <v/>
      </c>
    </row>
    <row r="4011" customFormat="false" ht="15" hidden="false" customHeight="false" outlineLevel="0" collapsed="false">
      <c r="C4011" s="41" t="str">
        <f aca="false">IF(A4011="","",TEXT(A4011,"mmm-yyyy"))</f>
        <v/>
      </c>
      <c r="I4011" s="47" t="str">
        <f aca="false">IF(G4011="","",G4011+H4011)</f>
        <v/>
      </c>
    </row>
    <row r="4012" customFormat="false" ht="15" hidden="false" customHeight="false" outlineLevel="0" collapsed="false">
      <c r="C4012" s="41" t="str">
        <f aca="false">IF(A4012="","",TEXT(A4012,"mmm-yyyy"))</f>
        <v/>
      </c>
      <c r="I4012" s="47" t="str">
        <f aca="false">IF(G4012="","",G4012+H4012)</f>
        <v/>
      </c>
    </row>
    <row r="4013" customFormat="false" ht="15" hidden="false" customHeight="false" outlineLevel="0" collapsed="false">
      <c r="C4013" s="41" t="str">
        <f aca="false">IF(A4013="","",TEXT(A4013,"mmm-yyyy"))</f>
        <v/>
      </c>
      <c r="I4013" s="47" t="str">
        <f aca="false">IF(G4013="","",G4013+H4013)</f>
        <v/>
      </c>
    </row>
    <row r="4014" customFormat="false" ht="15" hidden="false" customHeight="false" outlineLevel="0" collapsed="false">
      <c r="C4014" s="41" t="str">
        <f aca="false">IF(A4014="","",TEXT(A4014,"mmm-yyyy"))</f>
        <v/>
      </c>
      <c r="I4014" s="47" t="str">
        <f aca="false">IF(G4014="","",G4014+H4014)</f>
        <v/>
      </c>
    </row>
    <row r="4015" customFormat="false" ht="15" hidden="false" customHeight="false" outlineLevel="0" collapsed="false">
      <c r="C4015" s="41" t="str">
        <f aca="false">IF(A4015="","",TEXT(A4015,"mmm-yyyy"))</f>
        <v/>
      </c>
      <c r="I4015" s="47" t="str">
        <f aca="false">IF(G4015="","",G4015+H4015)</f>
        <v/>
      </c>
    </row>
    <row r="4016" customFormat="false" ht="15" hidden="false" customHeight="false" outlineLevel="0" collapsed="false">
      <c r="C4016" s="41" t="str">
        <f aca="false">IF(A4016="","",TEXT(A4016,"mmm-yyyy"))</f>
        <v/>
      </c>
      <c r="I4016" s="47" t="str">
        <f aca="false">IF(G4016="","",G4016+H4016)</f>
        <v/>
      </c>
    </row>
    <row r="4017" customFormat="false" ht="15" hidden="false" customHeight="false" outlineLevel="0" collapsed="false">
      <c r="C4017" s="41" t="str">
        <f aca="false">IF(A4017="","",TEXT(A4017,"mmm-yyyy"))</f>
        <v/>
      </c>
      <c r="I4017" s="47" t="str">
        <f aca="false">IF(G4017="","",G4017+H4017)</f>
        <v/>
      </c>
    </row>
    <row r="4018" customFormat="false" ht="15" hidden="false" customHeight="false" outlineLevel="0" collapsed="false">
      <c r="C4018" s="41" t="str">
        <f aca="false">IF(A4018="","",TEXT(A4018,"mmm-yyyy"))</f>
        <v/>
      </c>
      <c r="I4018" s="47" t="str">
        <f aca="false">IF(G4018="","",G4018+H4018)</f>
        <v/>
      </c>
    </row>
    <row r="4019" customFormat="false" ht="15" hidden="false" customHeight="false" outlineLevel="0" collapsed="false">
      <c r="C4019" s="41" t="str">
        <f aca="false">IF(A4019="","",TEXT(A4019,"mmm-yyyy"))</f>
        <v/>
      </c>
      <c r="I4019" s="47" t="str">
        <f aca="false">IF(G4019="","",G4019+H4019)</f>
        <v/>
      </c>
    </row>
    <row r="4020" customFormat="false" ht="15" hidden="false" customHeight="false" outlineLevel="0" collapsed="false">
      <c r="C4020" s="41" t="str">
        <f aca="false">IF(A4020="","",TEXT(A4020,"mmm-yyyy"))</f>
        <v/>
      </c>
      <c r="I4020" s="47" t="str">
        <f aca="false">IF(G4020="","",G4020+H4020)</f>
        <v/>
      </c>
    </row>
    <row r="4021" customFormat="false" ht="15" hidden="false" customHeight="false" outlineLevel="0" collapsed="false">
      <c r="C4021" s="41" t="str">
        <f aca="false">IF(A4021="","",TEXT(A4021,"mmm-yyyy"))</f>
        <v/>
      </c>
      <c r="I4021" s="47" t="str">
        <f aca="false">IF(G4021="","",G4021+H4021)</f>
        <v/>
      </c>
    </row>
    <row r="4022" customFormat="false" ht="15" hidden="false" customHeight="false" outlineLevel="0" collapsed="false">
      <c r="C4022" s="41" t="str">
        <f aca="false">IF(A4022="","",TEXT(A4022,"mmm-yyyy"))</f>
        <v/>
      </c>
      <c r="I4022" s="47" t="str">
        <f aca="false">IF(G4022="","",G4022+H4022)</f>
        <v/>
      </c>
    </row>
    <row r="4023" customFormat="false" ht="15" hidden="false" customHeight="false" outlineLevel="0" collapsed="false">
      <c r="C4023" s="41" t="str">
        <f aca="false">IF(A4023="","",TEXT(A4023,"mmm-yyyy"))</f>
        <v/>
      </c>
      <c r="I4023" s="47" t="str">
        <f aca="false">IF(G4023="","",G4023+H4023)</f>
        <v/>
      </c>
    </row>
    <row r="4024" customFormat="false" ht="15" hidden="false" customHeight="false" outlineLevel="0" collapsed="false">
      <c r="C4024" s="41" t="str">
        <f aca="false">IF(A4024="","",TEXT(A4024,"mmm-yyyy"))</f>
        <v/>
      </c>
      <c r="I4024" s="47" t="str">
        <f aca="false">IF(G4024="","",G4024+H4024)</f>
        <v/>
      </c>
    </row>
    <row r="4025" customFormat="false" ht="15" hidden="false" customHeight="false" outlineLevel="0" collapsed="false">
      <c r="C4025" s="41" t="str">
        <f aca="false">IF(A4025="","",TEXT(A4025,"mmm-yyyy"))</f>
        <v/>
      </c>
      <c r="I4025" s="47" t="str">
        <f aca="false">IF(G4025="","",G4025+H4025)</f>
        <v/>
      </c>
    </row>
    <row r="4026" customFormat="false" ht="15" hidden="false" customHeight="false" outlineLevel="0" collapsed="false">
      <c r="C4026" s="41" t="str">
        <f aca="false">IF(A4026="","",TEXT(A4026,"mmm-yyyy"))</f>
        <v/>
      </c>
      <c r="I4026" s="47" t="str">
        <f aca="false">IF(G4026="","",G4026+H4026)</f>
        <v/>
      </c>
    </row>
    <row r="4027" customFormat="false" ht="15" hidden="false" customHeight="false" outlineLevel="0" collapsed="false">
      <c r="C4027" s="41" t="str">
        <f aca="false">IF(A4027="","",TEXT(A4027,"mmm-yyyy"))</f>
        <v/>
      </c>
      <c r="I4027" s="47" t="str">
        <f aca="false">IF(G4027="","",G4027+H4027)</f>
        <v/>
      </c>
    </row>
    <row r="4028" customFormat="false" ht="15" hidden="false" customHeight="false" outlineLevel="0" collapsed="false">
      <c r="C4028" s="41" t="str">
        <f aca="false">IF(A4028="","",TEXT(A4028,"mmm-yyyy"))</f>
        <v/>
      </c>
      <c r="I4028" s="47" t="str">
        <f aca="false">IF(G4028="","",G4028+H4028)</f>
        <v/>
      </c>
    </row>
    <row r="4029" customFormat="false" ht="15" hidden="false" customHeight="false" outlineLevel="0" collapsed="false">
      <c r="C4029" s="41" t="str">
        <f aca="false">IF(A4029="","",TEXT(A4029,"mmm-yyyy"))</f>
        <v/>
      </c>
      <c r="I4029" s="47" t="str">
        <f aca="false">IF(G4029="","",G4029+H4029)</f>
        <v/>
      </c>
    </row>
    <row r="4030" customFormat="false" ht="15" hidden="false" customHeight="false" outlineLevel="0" collapsed="false">
      <c r="C4030" s="41" t="str">
        <f aca="false">IF(A4030="","",TEXT(A4030,"mmm-yyyy"))</f>
        <v/>
      </c>
      <c r="I4030" s="47" t="str">
        <f aca="false">IF(G4030="","",G4030+H4030)</f>
        <v/>
      </c>
    </row>
    <row r="4031" customFormat="false" ht="15" hidden="false" customHeight="false" outlineLevel="0" collapsed="false">
      <c r="C4031" s="41" t="str">
        <f aca="false">IF(A4031="","",TEXT(A4031,"mmm-yyyy"))</f>
        <v/>
      </c>
      <c r="I4031" s="47" t="str">
        <f aca="false">IF(G4031="","",G4031+H4031)</f>
        <v/>
      </c>
    </row>
    <row r="4032" customFormat="false" ht="15" hidden="false" customHeight="false" outlineLevel="0" collapsed="false">
      <c r="C4032" s="41" t="str">
        <f aca="false">IF(A4032="","",TEXT(A4032,"mmm-yyyy"))</f>
        <v/>
      </c>
      <c r="I4032" s="47" t="str">
        <f aca="false">IF(G4032="","",G4032+H4032)</f>
        <v/>
      </c>
    </row>
    <row r="4033" customFormat="false" ht="15" hidden="false" customHeight="false" outlineLevel="0" collapsed="false">
      <c r="C4033" s="41" t="str">
        <f aca="false">IF(A4033="","",TEXT(A4033,"mmm-yyyy"))</f>
        <v/>
      </c>
      <c r="I4033" s="47" t="str">
        <f aca="false">IF(G4033="","",G4033+H4033)</f>
        <v/>
      </c>
    </row>
    <row r="4034" customFormat="false" ht="15" hidden="false" customHeight="false" outlineLevel="0" collapsed="false">
      <c r="C4034" s="41" t="str">
        <f aca="false">IF(A4034="","",TEXT(A4034,"mmm-yyyy"))</f>
        <v/>
      </c>
      <c r="I4034" s="47" t="str">
        <f aca="false">IF(G4034="","",G4034+H4034)</f>
        <v/>
      </c>
    </row>
    <row r="4035" customFormat="false" ht="15" hidden="false" customHeight="false" outlineLevel="0" collapsed="false">
      <c r="C4035" s="41" t="str">
        <f aca="false">IF(A4035="","",TEXT(A4035,"mmm-yyyy"))</f>
        <v/>
      </c>
      <c r="I4035" s="47" t="str">
        <f aca="false">IF(G4035="","",G4035+H4035)</f>
        <v/>
      </c>
    </row>
    <row r="4036" customFormat="false" ht="15" hidden="false" customHeight="false" outlineLevel="0" collapsed="false">
      <c r="C4036" s="41" t="str">
        <f aca="false">IF(A4036="","",TEXT(A4036,"mmm-yyyy"))</f>
        <v/>
      </c>
      <c r="I4036" s="47" t="str">
        <f aca="false">IF(G4036="","",G4036+H4036)</f>
        <v/>
      </c>
    </row>
    <row r="4037" customFormat="false" ht="15" hidden="false" customHeight="false" outlineLevel="0" collapsed="false">
      <c r="C4037" s="41" t="str">
        <f aca="false">IF(A4037="","",TEXT(A4037,"mmm-yyyy"))</f>
        <v/>
      </c>
      <c r="I4037" s="47" t="str">
        <f aca="false">IF(G4037="","",G4037+H4037)</f>
        <v/>
      </c>
    </row>
    <row r="4038" customFormat="false" ht="15" hidden="false" customHeight="false" outlineLevel="0" collapsed="false">
      <c r="C4038" s="41" t="str">
        <f aca="false">IF(A4038="","",TEXT(A4038,"mmm-yyyy"))</f>
        <v/>
      </c>
      <c r="I4038" s="47" t="str">
        <f aca="false">IF(G4038="","",G4038+H4038)</f>
        <v/>
      </c>
    </row>
    <row r="4039" customFormat="false" ht="15" hidden="false" customHeight="false" outlineLevel="0" collapsed="false">
      <c r="C4039" s="41" t="str">
        <f aca="false">IF(A4039="","",TEXT(A4039,"mmm-yyyy"))</f>
        <v/>
      </c>
      <c r="I4039" s="47" t="str">
        <f aca="false">IF(G4039="","",G4039+H4039)</f>
        <v/>
      </c>
    </row>
    <row r="4040" customFormat="false" ht="15" hidden="false" customHeight="false" outlineLevel="0" collapsed="false">
      <c r="C4040" s="41" t="str">
        <f aca="false">IF(A4040="","",TEXT(A4040,"mmm-yyyy"))</f>
        <v/>
      </c>
      <c r="I4040" s="47" t="str">
        <f aca="false">IF(G4040="","",G4040+H4040)</f>
        <v/>
      </c>
    </row>
    <row r="4041" customFormat="false" ht="15" hidden="false" customHeight="false" outlineLevel="0" collapsed="false">
      <c r="C4041" s="41" t="str">
        <f aca="false">IF(A4041="","",TEXT(A4041,"mmm-yyyy"))</f>
        <v/>
      </c>
      <c r="I4041" s="47" t="str">
        <f aca="false">IF(G4041="","",G4041+H4041)</f>
        <v/>
      </c>
    </row>
    <row r="4042" customFormat="false" ht="15" hidden="false" customHeight="false" outlineLevel="0" collapsed="false">
      <c r="C4042" s="41" t="str">
        <f aca="false">IF(A4042="","",TEXT(A4042,"mmm-yyyy"))</f>
        <v/>
      </c>
      <c r="I4042" s="47" t="str">
        <f aca="false">IF(G4042="","",G4042+H4042)</f>
        <v/>
      </c>
    </row>
    <row r="4043" customFormat="false" ht="15" hidden="false" customHeight="false" outlineLevel="0" collapsed="false">
      <c r="C4043" s="41" t="str">
        <f aca="false">IF(A4043="","",TEXT(A4043,"mmm-yyyy"))</f>
        <v/>
      </c>
      <c r="I4043" s="47" t="str">
        <f aca="false">IF(G4043="","",G4043+H4043)</f>
        <v/>
      </c>
    </row>
    <row r="4044" customFormat="false" ht="15" hidden="false" customHeight="false" outlineLevel="0" collapsed="false">
      <c r="C4044" s="41" t="str">
        <f aca="false">IF(A4044="","",TEXT(A4044,"mmm-yyyy"))</f>
        <v/>
      </c>
      <c r="I4044" s="47" t="str">
        <f aca="false">IF(G4044="","",G4044+H4044)</f>
        <v/>
      </c>
    </row>
    <row r="4045" customFormat="false" ht="15" hidden="false" customHeight="false" outlineLevel="0" collapsed="false">
      <c r="C4045" s="41" t="str">
        <f aca="false">IF(A4045="","",TEXT(A4045,"mmm-yyyy"))</f>
        <v/>
      </c>
      <c r="I4045" s="47" t="str">
        <f aca="false">IF(G4045="","",G4045+H4045)</f>
        <v/>
      </c>
    </row>
    <row r="4046" customFormat="false" ht="15" hidden="false" customHeight="false" outlineLevel="0" collapsed="false">
      <c r="C4046" s="41" t="str">
        <f aca="false">IF(A4046="","",TEXT(A4046,"mmm-yyyy"))</f>
        <v/>
      </c>
      <c r="I4046" s="47" t="str">
        <f aca="false">IF(G4046="","",G4046+H4046)</f>
        <v/>
      </c>
    </row>
    <row r="4047" customFormat="false" ht="15" hidden="false" customHeight="false" outlineLevel="0" collapsed="false">
      <c r="C4047" s="41" t="str">
        <f aca="false">IF(A4047="","",TEXT(A4047,"mmm-yyyy"))</f>
        <v/>
      </c>
      <c r="I4047" s="47" t="str">
        <f aca="false">IF(G4047="","",G4047+H4047)</f>
        <v/>
      </c>
    </row>
    <row r="4048" customFormat="false" ht="15" hidden="false" customHeight="false" outlineLevel="0" collapsed="false">
      <c r="C4048" s="41" t="str">
        <f aca="false">IF(A4048="","",TEXT(A4048,"mmm-yyyy"))</f>
        <v/>
      </c>
      <c r="I4048" s="47" t="str">
        <f aca="false">IF(G4048="","",G4048+H4048)</f>
        <v/>
      </c>
    </row>
    <row r="4049" customFormat="false" ht="15" hidden="false" customHeight="false" outlineLevel="0" collapsed="false">
      <c r="C4049" s="41" t="str">
        <f aca="false">IF(A4049="","",TEXT(A4049,"mmm-yyyy"))</f>
        <v/>
      </c>
      <c r="I4049" s="47" t="str">
        <f aca="false">IF(G4049="","",G4049+H4049)</f>
        <v/>
      </c>
    </row>
    <row r="4050" customFormat="false" ht="15" hidden="false" customHeight="false" outlineLevel="0" collapsed="false">
      <c r="C4050" s="41" t="str">
        <f aca="false">IF(A4050="","",TEXT(A4050,"mmm-yyyy"))</f>
        <v/>
      </c>
      <c r="I4050" s="47" t="str">
        <f aca="false">IF(G4050="","",G4050+H4050)</f>
        <v/>
      </c>
    </row>
    <row r="4051" customFormat="false" ht="15" hidden="false" customHeight="false" outlineLevel="0" collapsed="false">
      <c r="C4051" s="41" t="str">
        <f aca="false">IF(A4051="","",TEXT(A4051,"mmm-yyyy"))</f>
        <v/>
      </c>
      <c r="I4051" s="47" t="str">
        <f aca="false">IF(G4051="","",G4051+H4051)</f>
        <v/>
      </c>
    </row>
    <row r="4052" customFormat="false" ht="15" hidden="false" customHeight="false" outlineLevel="0" collapsed="false">
      <c r="C4052" s="41" t="str">
        <f aca="false">IF(A4052="","",TEXT(A4052,"mmm-yyyy"))</f>
        <v/>
      </c>
      <c r="I4052" s="47" t="str">
        <f aca="false">IF(G4052="","",G4052+H4052)</f>
        <v/>
      </c>
    </row>
    <row r="4053" customFormat="false" ht="15" hidden="false" customHeight="false" outlineLevel="0" collapsed="false">
      <c r="C4053" s="41" t="str">
        <f aca="false">IF(A4053="","",TEXT(A4053,"mmm-yyyy"))</f>
        <v/>
      </c>
      <c r="I4053" s="47" t="str">
        <f aca="false">IF(G4053="","",G4053+H4053)</f>
        <v/>
      </c>
    </row>
    <row r="4054" customFormat="false" ht="15" hidden="false" customHeight="false" outlineLevel="0" collapsed="false">
      <c r="C4054" s="41" t="str">
        <f aca="false">IF(A4054="","",TEXT(A4054,"mmm-yyyy"))</f>
        <v/>
      </c>
      <c r="I4054" s="47" t="str">
        <f aca="false">IF(G4054="","",G4054+H4054)</f>
        <v/>
      </c>
    </row>
    <row r="4055" customFormat="false" ht="15" hidden="false" customHeight="false" outlineLevel="0" collapsed="false">
      <c r="C4055" s="41" t="str">
        <f aca="false">IF(A4055="","",TEXT(A4055,"mmm-yyyy"))</f>
        <v/>
      </c>
      <c r="I4055" s="47" t="str">
        <f aca="false">IF(G4055="","",G4055+H4055)</f>
        <v/>
      </c>
    </row>
    <row r="4056" customFormat="false" ht="15" hidden="false" customHeight="false" outlineLevel="0" collapsed="false">
      <c r="C4056" s="41" t="str">
        <f aca="false">IF(A4056="","",TEXT(A4056,"mmm-yyyy"))</f>
        <v/>
      </c>
      <c r="I4056" s="47" t="str">
        <f aca="false">IF(G4056="","",G4056+H4056)</f>
        <v/>
      </c>
    </row>
    <row r="4057" customFormat="false" ht="15" hidden="false" customHeight="false" outlineLevel="0" collapsed="false">
      <c r="C4057" s="41" t="str">
        <f aca="false">IF(A4057="","",TEXT(A4057,"mmm-yyyy"))</f>
        <v/>
      </c>
      <c r="I4057" s="47" t="str">
        <f aca="false">IF(G4057="","",G4057+H4057)</f>
        <v/>
      </c>
    </row>
    <row r="4058" customFormat="false" ht="15" hidden="false" customHeight="false" outlineLevel="0" collapsed="false">
      <c r="C4058" s="41" t="str">
        <f aca="false">IF(A4058="","",TEXT(A4058,"mmm-yyyy"))</f>
        <v/>
      </c>
      <c r="I4058" s="47" t="str">
        <f aca="false">IF(G4058="","",G4058+H4058)</f>
        <v/>
      </c>
    </row>
    <row r="4059" customFormat="false" ht="15" hidden="false" customHeight="false" outlineLevel="0" collapsed="false">
      <c r="C4059" s="41" t="str">
        <f aca="false">IF(A4059="","",TEXT(A4059,"mmm-yyyy"))</f>
        <v/>
      </c>
      <c r="I4059" s="47" t="str">
        <f aca="false">IF(G4059="","",G4059+H4059)</f>
        <v/>
      </c>
    </row>
    <row r="4060" customFormat="false" ht="15" hidden="false" customHeight="false" outlineLevel="0" collapsed="false">
      <c r="C4060" s="41" t="str">
        <f aca="false">IF(A4060="","",TEXT(A4060,"mmm-yyyy"))</f>
        <v/>
      </c>
      <c r="I4060" s="47" t="str">
        <f aca="false">IF(G4060="","",G4060+H4060)</f>
        <v/>
      </c>
    </row>
    <row r="4061" customFormat="false" ht="15" hidden="false" customHeight="false" outlineLevel="0" collapsed="false">
      <c r="C4061" s="41" t="str">
        <f aca="false">IF(A4061="","",TEXT(A4061,"mmm-yyyy"))</f>
        <v/>
      </c>
      <c r="I4061" s="47" t="str">
        <f aca="false">IF(G4061="","",G4061+H4061)</f>
        <v/>
      </c>
    </row>
    <row r="4062" customFormat="false" ht="15" hidden="false" customHeight="false" outlineLevel="0" collapsed="false">
      <c r="C4062" s="41" t="str">
        <f aca="false">IF(A4062="","",TEXT(A4062,"mmm-yyyy"))</f>
        <v/>
      </c>
      <c r="I4062" s="47" t="str">
        <f aca="false">IF(G4062="","",G4062+H4062)</f>
        <v/>
      </c>
    </row>
    <row r="4063" customFormat="false" ht="15" hidden="false" customHeight="false" outlineLevel="0" collapsed="false">
      <c r="C4063" s="41" t="str">
        <f aca="false">IF(A4063="","",TEXT(A4063,"mmm-yyyy"))</f>
        <v/>
      </c>
      <c r="I4063" s="47" t="str">
        <f aca="false">IF(G4063="","",G4063+H4063)</f>
        <v/>
      </c>
    </row>
    <row r="4064" customFormat="false" ht="15" hidden="false" customHeight="false" outlineLevel="0" collapsed="false">
      <c r="C4064" s="41" t="str">
        <f aca="false">IF(A4064="","",TEXT(A4064,"mmm-yyyy"))</f>
        <v/>
      </c>
      <c r="I4064" s="47" t="str">
        <f aca="false">IF(G4064="","",G4064+H4064)</f>
        <v/>
      </c>
    </row>
    <row r="4065" customFormat="false" ht="15" hidden="false" customHeight="false" outlineLevel="0" collapsed="false">
      <c r="C4065" s="41" t="str">
        <f aca="false">IF(A4065="","",TEXT(A4065,"mmm-yyyy"))</f>
        <v/>
      </c>
      <c r="I4065" s="47" t="str">
        <f aca="false">IF(G4065="","",G4065+H4065)</f>
        <v/>
      </c>
    </row>
    <row r="4066" customFormat="false" ht="15" hidden="false" customHeight="false" outlineLevel="0" collapsed="false">
      <c r="C4066" s="41" t="str">
        <f aca="false">IF(A4066="","",TEXT(A4066,"mmm-yyyy"))</f>
        <v/>
      </c>
      <c r="I4066" s="47" t="str">
        <f aca="false">IF(G4066="","",G4066+H4066)</f>
        <v/>
      </c>
    </row>
    <row r="4067" customFormat="false" ht="15" hidden="false" customHeight="false" outlineLevel="0" collapsed="false">
      <c r="C4067" s="41" t="str">
        <f aca="false">IF(A4067="","",TEXT(A4067,"mmm-yyyy"))</f>
        <v/>
      </c>
      <c r="I4067" s="47" t="str">
        <f aca="false">IF(G4067="","",G4067+H4067)</f>
        <v/>
      </c>
    </row>
    <row r="4068" customFormat="false" ht="15" hidden="false" customHeight="false" outlineLevel="0" collapsed="false">
      <c r="C4068" s="41" t="str">
        <f aca="false">IF(A4068="","",TEXT(A4068,"mmm-yyyy"))</f>
        <v/>
      </c>
      <c r="I4068" s="47" t="str">
        <f aca="false">IF(G4068="","",G4068+H4068)</f>
        <v/>
      </c>
    </row>
    <row r="4069" customFormat="false" ht="15" hidden="false" customHeight="false" outlineLevel="0" collapsed="false">
      <c r="C4069" s="41" t="str">
        <f aca="false">IF(A4069="","",TEXT(A4069,"mmm-yyyy"))</f>
        <v/>
      </c>
      <c r="I4069" s="47" t="str">
        <f aca="false">IF(G4069="","",G4069+H4069)</f>
        <v/>
      </c>
    </row>
    <row r="4070" customFormat="false" ht="15" hidden="false" customHeight="false" outlineLevel="0" collapsed="false">
      <c r="C4070" s="41" t="str">
        <f aca="false">IF(A4070="","",TEXT(A4070,"mmm-yyyy"))</f>
        <v/>
      </c>
      <c r="I4070" s="47" t="str">
        <f aca="false">IF(G4070="","",G4070+H4070)</f>
        <v/>
      </c>
    </row>
    <row r="4071" customFormat="false" ht="15" hidden="false" customHeight="false" outlineLevel="0" collapsed="false">
      <c r="C4071" s="41" t="str">
        <f aca="false">IF(A4071="","",TEXT(A4071,"mmm-yyyy"))</f>
        <v/>
      </c>
      <c r="I4071" s="47" t="str">
        <f aca="false">IF(G4071="","",G4071+H4071)</f>
        <v/>
      </c>
    </row>
    <row r="4072" customFormat="false" ht="15" hidden="false" customHeight="false" outlineLevel="0" collapsed="false">
      <c r="C4072" s="41" t="str">
        <f aca="false">IF(A4072="","",TEXT(A4072,"mmm-yyyy"))</f>
        <v/>
      </c>
      <c r="I4072" s="47" t="str">
        <f aca="false">IF(G4072="","",G4072+H4072)</f>
        <v/>
      </c>
    </row>
    <row r="4073" customFormat="false" ht="15" hidden="false" customHeight="false" outlineLevel="0" collapsed="false">
      <c r="C4073" s="41" t="str">
        <f aca="false">IF(A4073="","",TEXT(A4073,"mmm-yyyy"))</f>
        <v/>
      </c>
      <c r="I4073" s="47" t="str">
        <f aca="false">IF(G4073="","",G4073+H4073)</f>
        <v/>
      </c>
    </row>
    <row r="4074" customFormat="false" ht="15" hidden="false" customHeight="false" outlineLevel="0" collapsed="false">
      <c r="C4074" s="41" t="str">
        <f aca="false">IF(A4074="","",TEXT(A4074,"mmm-yyyy"))</f>
        <v/>
      </c>
      <c r="I4074" s="47" t="str">
        <f aca="false">IF(G4074="","",G4074+H4074)</f>
        <v/>
      </c>
    </row>
    <row r="4075" customFormat="false" ht="15" hidden="false" customHeight="false" outlineLevel="0" collapsed="false">
      <c r="C4075" s="41" t="str">
        <f aca="false">IF(A4075="","",TEXT(A4075,"mmm-yyyy"))</f>
        <v/>
      </c>
      <c r="I4075" s="47" t="str">
        <f aca="false">IF(G4075="","",G4075+H4075)</f>
        <v/>
      </c>
    </row>
    <row r="4076" customFormat="false" ht="15" hidden="false" customHeight="false" outlineLevel="0" collapsed="false">
      <c r="C4076" s="41" t="str">
        <f aca="false">IF(A4076="","",TEXT(A4076,"mmm-yyyy"))</f>
        <v/>
      </c>
      <c r="I4076" s="47" t="str">
        <f aca="false">IF(G4076="","",G4076+H4076)</f>
        <v/>
      </c>
    </row>
    <row r="4077" customFormat="false" ht="15" hidden="false" customHeight="false" outlineLevel="0" collapsed="false">
      <c r="C4077" s="41" t="str">
        <f aca="false">IF(A4077="","",TEXT(A4077,"mmm-yyyy"))</f>
        <v/>
      </c>
      <c r="I4077" s="47" t="str">
        <f aca="false">IF(G4077="","",G4077+H4077)</f>
        <v/>
      </c>
    </row>
    <row r="4078" customFormat="false" ht="15" hidden="false" customHeight="false" outlineLevel="0" collapsed="false">
      <c r="C4078" s="41" t="str">
        <f aca="false">IF(A4078="","",TEXT(A4078,"mmm-yyyy"))</f>
        <v/>
      </c>
      <c r="I4078" s="47" t="str">
        <f aca="false">IF(G4078="","",G4078+H4078)</f>
        <v/>
      </c>
    </row>
    <row r="4079" customFormat="false" ht="15" hidden="false" customHeight="false" outlineLevel="0" collapsed="false">
      <c r="C4079" s="41" t="str">
        <f aca="false">IF(A4079="","",TEXT(A4079,"mmm-yyyy"))</f>
        <v/>
      </c>
      <c r="I4079" s="47" t="str">
        <f aca="false">IF(G4079="","",G4079+H4079)</f>
        <v/>
      </c>
    </row>
    <row r="4080" customFormat="false" ht="15" hidden="false" customHeight="false" outlineLevel="0" collapsed="false">
      <c r="C4080" s="41" t="str">
        <f aca="false">IF(A4080="","",TEXT(A4080,"mmm-yyyy"))</f>
        <v/>
      </c>
      <c r="I4080" s="47" t="str">
        <f aca="false">IF(G4080="","",G4080+H4080)</f>
        <v/>
      </c>
    </row>
    <row r="4081" customFormat="false" ht="15" hidden="false" customHeight="false" outlineLevel="0" collapsed="false">
      <c r="C4081" s="41" t="str">
        <f aca="false">IF(A4081="","",TEXT(A4081,"mmm-yyyy"))</f>
        <v/>
      </c>
      <c r="I4081" s="47" t="str">
        <f aca="false">IF(G4081="","",G4081+H4081)</f>
        <v/>
      </c>
    </row>
    <row r="4082" customFormat="false" ht="15" hidden="false" customHeight="false" outlineLevel="0" collapsed="false">
      <c r="C4082" s="41" t="str">
        <f aca="false">IF(A4082="","",TEXT(A4082,"mmm-yyyy"))</f>
        <v/>
      </c>
      <c r="I4082" s="47" t="str">
        <f aca="false">IF(G4082="","",G4082+H4082)</f>
        <v/>
      </c>
    </row>
    <row r="4083" customFormat="false" ht="15" hidden="false" customHeight="false" outlineLevel="0" collapsed="false">
      <c r="C4083" s="41" t="str">
        <f aca="false">IF(A4083="","",TEXT(A4083,"mmm-yyyy"))</f>
        <v/>
      </c>
      <c r="I4083" s="47" t="str">
        <f aca="false">IF(G4083="","",G4083+H4083)</f>
        <v/>
      </c>
    </row>
    <row r="4084" customFormat="false" ht="15" hidden="false" customHeight="false" outlineLevel="0" collapsed="false">
      <c r="C4084" s="41" t="str">
        <f aca="false">IF(A4084="","",TEXT(A4084,"mmm-yyyy"))</f>
        <v/>
      </c>
      <c r="I4084" s="47" t="str">
        <f aca="false">IF(G4084="","",G4084+H4084)</f>
        <v/>
      </c>
    </row>
    <row r="4085" customFormat="false" ht="15" hidden="false" customHeight="false" outlineLevel="0" collapsed="false">
      <c r="C4085" s="41" t="str">
        <f aca="false">IF(A4085="","",TEXT(A4085,"mmm-yyyy"))</f>
        <v/>
      </c>
      <c r="I4085" s="47" t="str">
        <f aca="false">IF(G4085="","",G4085+H4085)</f>
        <v/>
      </c>
    </row>
    <row r="4086" customFormat="false" ht="15" hidden="false" customHeight="false" outlineLevel="0" collapsed="false">
      <c r="C4086" s="41" t="str">
        <f aca="false">IF(A4086="","",TEXT(A4086,"mmm-yyyy"))</f>
        <v/>
      </c>
      <c r="I4086" s="47" t="str">
        <f aca="false">IF(G4086="","",G4086+H4086)</f>
        <v/>
      </c>
    </row>
    <row r="4087" customFormat="false" ht="15" hidden="false" customHeight="false" outlineLevel="0" collapsed="false">
      <c r="C4087" s="41" t="str">
        <f aca="false">IF(A4087="","",TEXT(A4087,"mmm-yyyy"))</f>
        <v/>
      </c>
      <c r="I4087" s="47" t="str">
        <f aca="false">IF(G4087="","",G4087+H4087)</f>
        <v/>
      </c>
    </row>
    <row r="4088" customFormat="false" ht="15" hidden="false" customHeight="false" outlineLevel="0" collapsed="false">
      <c r="C4088" s="41" t="str">
        <f aca="false">IF(A4088="","",TEXT(A4088,"mmm-yyyy"))</f>
        <v/>
      </c>
      <c r="I4088" s="47" t="str">
        <f aca="false">IF(G4088="","",G4088+H4088)</f>
        <v/>
      </c>
    </row>
    <row r="4089" customFormat="false" ht="15" hidden="false" customHeight="false" outlineLevel="0" collapsed="false">
      <c r="C4089" s="41" t="str">
        <f aca="false">IF(A4089="","",TEXT(A4089,"mmm-yyyy"))</f>
        <v/>
      </c>
      <c r="I4089" s="47" t="str">
        <f aca="false">IF(G4089="","",G4089+H4089)</f>
        <v/>
      </c>
    </row>
    <row r="4090" customFormat="false" ht="15" hidden="false" customHeight="false" outlineLevel="0" collapsed="false">
      <c r="C4090" s="41" t="str">
        <f aca="false">IF(A4090="","",TEXT(A4090,"mmm-yyyy"))</f>
        <v/>
      </c>
      <c r="I4090" s="47" t="str">
        <f aca="false">IF(G4090="","",G4090+H4090)</f>
        <v/>
      </c>
    </row>
    <row r="4091" customFormat="false" ht="15" hidden="false" customHeight="false" outlineLevel="0" collapsed="false">
      <c r="C4091" s="41" t="str">
        <f aca="false">IF(A4091="","",TEXT(A4091,"mmm-yyyy"))</f>
        <v/>
      </c>
      <c r="I4091" s="47" t="str">
        <f aca="false">IF(G4091="","",G4091+H4091)</f>
        <v/>
      </c>
    </row>
    <row r="4092" customFormat="false" ht="15" hidden="false" customHeight="false" outlineLevel="0" collapsed="false">
      <c r="C4092" s="41" t="str">
        <f aca="false">IF(A4092="","",TEXT(A4092,"mmm-yyyy"))</f>
        <v/>
      </c>
      <c r="I4092" s="47" t="str">
        <f aca="false">IF(G4092="","",G4092+H4092)</f>
        <v/>
      </c>
    </row>
    <row r="4093" customFormat="false" ht="15" hidden="false" customHeight="false" outlineLevel="0" collapsed="false">
      <c r="C4093" s="41" t="str">
        <f aca="false">IF(A4093="","",TEXT(A4093,"mmm-yyyy"))</f>
        <v/>
      </c>
      <c r="I4093" s="47" t="str">
        <f aca="false">IF(G4093="","",G4093+H4093)</f>
        <v/>
      </c>
    </row>
    <row r="4094" customFormat="false" ht="15" hidden="false" customHeight="false" outlineLevel="0" collapsed="false">
      <c r="C4094" s="41" t="str">
        <f aca="false">IF(A4094="","",TEXT(A4094,"mmm-yyyy"))</f>
        <v/>
      </c>
      <c r="I4094" s="47" t="str">
        <f aca="false">IF(G4094="","",G4094+H4094)</f>
        <v/>
      </c>
    </row>
    <row r="4095" customFormat="false" ht="15" hidden="false" customHeight="false" outlineLevel="0" collapsed="false">
      <c r="C4095" s="41" t="str">
        <f aca="false">IF(A4095="","",TEXT(A4095,"mmm-yyyy"))</f>
        <v/>
      </c>
      <c r="I4095" s="47" t="str">
        <f aca="false">IF(G4095="","",G4095+H4095)</f>
        <v/>
      </c>
    </row>
    <row r="4096" customFormat="false" ht="15" hidden="false" customHeight="false" outlineLevel="0" collapsed="false">
      <c r="C4096" s="41" t="str">
        <f aca="false">IF(A4096="","",TEXT(A4096,"mmm-yyyy"))</f>
        <v/>
      </c>
      <c r="I4096" s="47" t="str">
        <f aca="false">IF(G4096="","",G4096+H4096)</f>
        <v/>
      </c>
    </row>
    <row r="4097" customFormat="false" ht="15" hidden="false" customHeight="false" outlineLevel="0" collapsed="false">
      <c r="C4097" s="41" t="str">
        <f aca="false">IF(A4097="","",TEXT(A4097,"mmm-yyyy"))</f>
        <v/>
      </c>
      <c r="I4097" s="47" t="str">
        <f aca="false">IF(G4097="","",G4097+H4097)</f>
        <v/>
      </c>
    </row>
    <row r="4098" customFormat="false" ht="15" hidden="false" customHeight="false" outlineLevel="0" collapsed="false">
      <c r="C4098" s="41" t="str">
        <f aca="false">IF(A4098="","",TEXT(A4098,"mmm-yyyy"))</f>
        <v/>
      </c>
      <c r="I4098" s="47" t="str">
        <f aca="false">IF(G4098="","",G4098+H4098)</f>
        <v/>
      </c>
    </row>
    <row r="4099" customFormat="false" ht="15" hidden="false" customHeight="false" outlineLevel="0" collapsed="false">
      <c r="C4099" s="41" t="str">
        <f aca="false">IF(A4099="","",TEXT(A4099,"mmm-yyyy"))</f>
        <v/>
      </c>
      <c r="I4099" s="47" t="str">
        <f aca="false">IF(G4099="","",G4099+H4099)</f>
        <v/>
      </c>
    </row>
    <row r="4100" customFormat="false" ht="15" hidden="false" customHeight="false" outlineLevel="0" collapsed="false">
      <c r="C4100" s="41" t="str">
        <f aca="false">IF(A4100="","",TEXT(A4100,"mmm-yyyy"))</f>
        <v/>
      </c>
      <c r="I4100" s="47" t="str">
        <f aca="false">IF(G4100="","",G4100+H4100)</f>
        <v/>
      </c>
    </row>
    <row r="4101" customFormat="false" ht="15" hidden="false" customHeight="false" outlineLevel="0" collapsed="false">
      <c r="C4101" s="41" t="str">
        <f aca="false">IF(A4101="","",TEXT(A4101,"mmm-yyyy"))</f>
        <v/>
      </c>
      <c r="I4101" s="47" t="str">
        <f aca="false">IF(G4101="","",G4101+H4101)</f>
        <v/>
      </c>
    </row>
    <row r="4102" customFormat="false" ht="15" hidden="false" customHeight="false" outlineLevel="0" collapsed="false">
      <c r="C4102" s="41" t="str">
        <f aca="false">IF(A4102="","",TEXT(A4102,"mmm-yyyy"))</f>
        <v/>
      </c>
      <c r="I4102" s="47" t="str">
        <f aca="false">IF(G4102="","",G4102+H4102)</f>
        <v/>
      </c>
    </row>
    <row r="4103" customFormat="false" ht="15" hidden="false" customHeight="false" outlineLevel="0" collapsed="false">
      <c r="C4103" s="41" t="str">
        <f aca="false">IF(A4103="","",TEXT(A4103,"mmm-yyyy"))</f>
        <v/>
      </c>
      <c r="I4103" s="47" t="str">
        <f aca="false">IF(G4103="","",G4103+H4103)</f>
        <v/>
      </c>
    </row>
    <row r="4104" customFormat="false" ht="15" hidden="false" customHeight="false" outlineLevel="0" collapsed="false">
      <c r="C4104" s="41" t="str">
        <f aca="false">IF(A4104="","",TEXT(A4104,"mmm-yyyy"))</f>
        <v/>
      </c>
      <c r="I4104" s="47" t="str">
        <f aca="false">IF(G4104="","",G4104+H4104)</f>
        <v/>
      </c>
    </row>
    <row r="4105" customFormat="false" ht="15" hidden="false" customHeight="false" outlineLevel="0" collapsed="false">
      <c r="C4105" s="41" t="str">
        <f aca="false">IF(A4105="","",TEXT(A4105,"mmm-yyyy"))</f>
        <v/>
      </c>
      <c r="I4105" s="47" t="str">
        <f aca="false">IF(G4105="","",G4105+H4105)</f>
        <v/>
      </c>
    </row>
    <row r="4106" customFormat="false" ht="15" hidden="false" customHeight="false" outlineLevel="0" collapsed="false">
      <c r="C4106" s="41" t="str">
        <f aca="false">IF(A4106="","",TEXT(A4106,"mmm-yyyy"))</f>
        <v/>
      </c>
      <c r="I4106" s="47" t="str">
        <f aca="false">IF(G4106="","",G4106+H4106)</f>
        <v/>
      </c>
    </row>
    <row r="4107" customFormat="false" ht="15" hidden="false" customHeight="false" outlineLevel="0" collapsed="false">
      <c r="C4107" s="41" t="str">
        <f aca="false">IF(A4107="","",TEXT(A4107,"mmm-yyyy"))</f>
        <v/>
      </c>
      <c r="I4107" s="47" t="str">
        <f aca="false">IF(G4107="","",G4107+H4107)</f>
        <v/>
      </c>
    </row>
    <row r="4108" customFormat="false" ht="15" hidden="false" customHeight="false" outlineLevel="0" collapsed="false">
      <c r="C4108" s="41" t="str">
        <f aca="false">IF(A4108="","",TEXT(A4108,"mmm-yyyy"))</f>
        <v/>
      </c>
      <c r="I4108" s="47" t="str">
        <f aca="false">IF(G4108="","",G4108+H4108)</f>
        <v/>
      </c>
    </row>
    <row r="4109" customFormat="false" ht="15" hidden="false" customHeight="false" outlineLevel="0" collapsed="false">
      <c r="C4109" s="41" t="str">
        <f aca="false">IF(A4109="","",TEXT(A4109,"mmm-yyyy"))</f>
        <v/>
      </c>
      <c r="I4109" s="47" t="str">
        <f aca="false">IF(G4109="","",G4109+H4109)</f>
        <v/>
      </c>
    </row>
    <row r="4110" customFormat="false" ht="15" hidden="false" customHeight="false" outlineLevel="0" collapsed="false">
      <c r="C4110" s="41" t="str">
        <f aca="false">IF(A4110="","",TEXT(A4110,"mmm-yyyy"))</f>
        <v/>
      </c>
      <c r="I4110" s="47" t="str">
        <f aca="false">IF(G4110="","",G4110+H4110)</f>
        <v/>
      </c>
    </row>
    <row r="4111" customFormat="false" ht="15" hidden="false" customHeight="false" outlineLevel="0" collapsed="false">
      <c r="C4111" s="41" t="str">
        <f aca="false">IF(A4111="","",TEXT(A4111,"mmm-yyyy"))</f>
        <v/>
      </c>
      <c r="I4111" s="47" t="str">
        <f aca="false">IF(G4111="","",G4111+H4111)</f>
        <v/>
      </c>
    </row>
    <row r="4112" customFormat="false" ht="15" hidden="false" customHeight="false" outlineLevel="0" collapsed="false">
      <c r="C4112" s="41" t="str">
        <f aca="false">IF(A4112="","",TEXT(A4112,"mmm-yyyy"))</f>
        <v/>
      </c>
      <c r="I4112" s="47" t="str">
        <f aca="false">IF(G4112="","",G4112+H4112)</f>
        <v/>
      </c>
    </row>
    <row r="4113" customFormat="false" ht="15" hidden="false" customHeight="false" outlineLevel="0" collapsed="false">
      <c r="C4113" s="41" t="str">
        <f aca="false">IF(A4113="","",TEXT(A4113,"mmm-yyyy"))</f>
        <v/>
      </c>
      <c r="I4113" s="47" t="str">
        <f aca="false">IF(G4113="","",G4113+H4113)</f>
        <v/>
      </c>
    </row>
    <row r="4114" customFormat="false" ht="15" hidden="false" customHeight="false" outlineLevel="0" collapsed="false">
      <c r="C4114" s="41" t="str">
        <f aca="false">IF(A4114="","",TEXT(A4114,"mmm-yyyy"))</f>
        <v/>
      </c>
      <c r="I4114" s="47" t="str">
        <f aca="false">IF(G4114="","",G4114+H4114)</f>
        <v/>
      </c>
    </row>
    <row r="4115" customFormat="false" ht="15" hidden="false" customHeight="false" outlineLevel="0" collapsed="false">
      <c r="C4115" s="41" t="str">
        <f aca="false">IF(A4115="","",TEXT(A4115,"mmm-yyyy"))</f>
        <v/>
      </c>
      <c r="I4115" s="47" t="str">
        <f aca="false">IF(G4115="","",G4115+H4115)</f>
        <v/>
      </c>
    </row>
    <row r="4116" customFormat="false" ht="15" hidden="false" customHeight="false" outlineLevel="0" collapsed="false">
      <c r="C4116" s="41" t="str">
        <f aca="false">IF(A4116="","",TEXT(A4116,"mmm-yyyy"))</f>
        <v/>
      </c>
      <c r="I4116" s="47" t="str">
        <f aca="false">IF(G4116="","",G4116+H4116)</f>
        <v/>
      </c>
    </row>
    <row r="4117" customFormat="false" ht="15" hidden="false" customHeight="false" outlineLevel="0" collapsed="false">
      <c r="C4117" s="41" t="str">
        <f aca="false">IF(A4117="","",TEXT(A4117,"mmm-yyyy"))</f>
        <v/>
      </c>
      <c r="I4117" s="47" t="str">
        <f aca="false">IF(G4117="","",G4117+H4117)</f>
        <v/>
      </c>
    </row>
    <row r="4118" customFormat="false" ht="15" hidden="false" customHeight="false" outlineLevel="0" collapsed="false">
      <c r="C4118" s="41" t="str">
        <f aca="false">IF(A4118="","",TEXT(A4118,"mmm-yyyy"))</f>
        <v/>
      </c>
      <c r="I4118" s="47" t="str">
        <f aca="false">IF(G4118="","",G4118+H4118)</f>
        <v/>
      </c>
    </row>
    <row r="4119" customFormat="false" ht="15" hidden="false" customHeight="false" outlineLevel="0" collapsed="false">
      <c r="C4119" s="41" t="str">
        <f aca="false">IF(A4119="","",TEXT(A4119,"mmm-yyyy"))</f>
        <v/>
      </c>
      <c r="I4119" s="47" t="str">
        <f aca="false">IF(G4119="","",G4119+H4119)</f>
        <v/>
      </c>
    </row>
    <row r="4120" customFormat="false" ht="15" hidden="false" customHeight="false" outlineLevel="0" collapsed="false">
      <c r="C4120" s="41" t="str">
        <f aca="false">IF(A4120="","",TEXT(A4120,"mmm-yyyy"))</f>
        <v/>
      </c>
      <c r="I4120" s="47" t="str">
        <f aca="false">IF(G4120="","",G4120+H4120)</f>
        <v/>
      </c>
    </row>
    <row r="4121" customFormat="false" ht="15" hidden="false" customHeight="false" outlineLevel="0" collapsed="false">
      <c r="C4121" s="41" t="str">
        <f aca="false">IF(A4121="","",TEXT(A4121,"mmm-yyyy"))</f>
        <v/>
      </c>
      <c r="I4121" s="47" t="str">
        <f aca="false">IF(G4121="","",G4121+H4121)</f>
        <v/>
      </c>
    </row>
    <row r="4122" customFormat="false" ht="15" hidden="false" customHeight="false" outlineLevel="0" collapsed="false">
      <c r="C4122" s="41" t="str">
        <f aca="false">IF(A4122="","",TEXT(A4122,"mmm-yyyy"))</f>
        <v/>
      </c>
      <c r="I4122" s="47" t="str">
        <f aca="false">IF(G4122="","",G4122+H4122)</f>
        <v/>
      </c>
    </row>
    <row r="4123" customFormat="false" ht="15" hidden="false" customHeight="false" outlineLevel="0" collapsed="false">
      <c r="C4123" s="41" t="str">
        <f aca="false">IF(A4123="","",TEXT(A4123,"mmm-yyyy"))</f>
        <v/>
      </c>
      <c r="I4123" s="47" t="str">
        <f aca="false">IF(G4123="","",G4123+H4123)</f>
        <v/>
      </c>
    </row>
    <row r="4124" customFormat="false" ht="15" hidden="false" customHeight="false" outlineLevel="0" collapsed="false">
      <c r="C4124" s="41" t="str">
        <f aca="false">IF(A4124="","",TEXT(A4124,"mmm-yyyy"))</f>
        <v/>
      </c>
      <c r="I4124" s="47" t="str">
        <f aca="false">IF(G4124="","",G4124+H4124)</f>
        <v/>
      </c>
    </row>
    <row r="4125" customFormat="false" ht="15" hidden="false" customHeight="false" outlineLevel="0" collapsed="false">
      <c r="C4125" s="41" t="str">
        <f aca="false">IF(A4125="","",TEXT(A4125,"mmm-yyyy"))</f>
        <v/>
      </c>
      <c r="I4125" s="47" t="str">
        <f aca="false">IF(G4125="","",G4125+H4125)</f>
        <v/>
      </c>
    </row>
    <row r="4126" customFormat="false" ht="15" hidden="false" customHeight="false" outlineLevel="0" collapsed="false">
      <c r="C4126" s="41" t="str">
        <f aca="false">IF(A4126="","",TEXT(A4126,"mmm-yyyy"))</f>
        <v/>
      </c>
      <c r="I4126" s="47" t="str">
        <f aca="false">IF(G4126="","",G4126+H4126)</f>
        <v/>
      </c>
    </row>
    <row r="4127" customFormat="false" ht="15" hidden="false" customHeight="false" outlineLevel="0" collapsed="false">
      <c r="C4127" s="41" t="str">
        <f aca="false">IF(A4127="","",TEXT(A4127,"mmm-yyyy"))</f>
        <v/>
      </c>
      <c r="I4127" s="47" t="str">
        <f aca="false">IF(G4127="","",G4127+H4127)</f>
        <v/>
      </c>
    </row>
    <row r="4128" customFormat="false" ht="15" hidden="false" customHeight="false" outlineLevel="0" collapsed="false">
      <c r="C4128" s="41" t="str">
        <f aca="false">IF(A4128="","",TEXT(A4128,"mmm-yyyy"))</f>
        <v/>
      </c>
      <c r="I4128" s="47" t="str">
        <f aca="false">IF(G4128="","",G4128+H4128)</f>
        <v/>
      </c>
    </row>
    <row r="4129" customFormat="false" ht="15" hidden="false" customHeight="false" outlineLevel="0" collapsed="false">
      <c r="C4129" s="41" t="str">
        <f aca="false">IF(A4129="","",TEXT(A4129,"mmm-yyyy"))</f>
        <v/>
      </c>
      <c r="I4129" s="47" t="str">
        <f aca="false">IF(G4129="","",G4129+H4129)</f>
        <v/>
      </c>
    </row>
    <row r="4130" customFormat="false" ht="15" hidden="false" customHeight="false" outlineLevel="0" collapsed="false">
      <c r="C4130" s="41" t="str">
        <f aca="false">IF(A4130="","",TEXT(A4130,"mmm-yyyy"))</f>
        <v/>
      </c>
      <c r="I4130" s="47" t="str">
        <f aca="false">IF(G4130="","",G4130+H4130)</f>
        <v/>
      </c>
    </row>
    <row r="4131" customFormat="false" ht="15" hidden="false" customHeight="false" outlineLevel="0" collapsed="false">
      <c r="C4131" s="41" t="str">
        <f aca="false">IF(A4131="","",TEXT(A4131,"mmm-yyyy"))</f>
        <v/>
      </c>
      <c r="I4131" s="47" t="str">
        <f aca="false">IF(G4131="","",G4131+H4131)</f>
        <v/>
      </c>
    </row>
    <row r="4132" customFormat="false" ht="15" hidden="false" customHeight="false" outlineLevel="0" collapsed="false">
      <c r="C4132" s="41" t="str">
        <f aca="false">IF(A4132="","",TEXT(A4132,"mmm-yyyy"))</f>
        <v/>
      </c>
      <c r="I4132" s="47" t="str">
        <f aca="false">IF(G4132="","",G4132+H4132)</f>
        <v/>
      </c>
    </row>
    <row r="4133" customFormat="false" ht="15" hidden="false" customHeight="false" outlineLevel="0" collapsed="false">
      <c r="C4133" s="41" t="str">
        <f aca="false">IF(A4133="","",TEXT(A4133,"mmm-yyyy"))</f>
        <v/>
      </c>
      <c r="I4133" s="47" t="str">
        <f aca="false">IF(G4133="","",G4133+H4133)</f>
        <v/>
      </c>
    </row>
    <row r="4134" customFormat="false" ht="15" hidden="false" customHeight="false" outlineLevel="0" collapsed="false">
      <c r="C4134" s="41" t="str">
        <f aca="false">IF(A4134="","",TEXT(A4134,"mmm-yyyy"))</f>
        <v/>
      </c>
      <c r="I4134" s="47" t="str">
        <f aca="false">IF(G4134="","",G4134+H4134)</f>
        <v/>
      </c>
    </row>
    <row r="4135" customFormat="false" ht="15" hidden="false" customHeight="false" outlineLevel="0" collapsed="false">
      <c r="C4135" s="41" t="str">
        <f aca="false">IF(A4135="","",TEXT(A4135,"mmm-yyyy"))</f>
        <v/>
      </c>
      <c r="I4135" s="47" t="str">
        <f aca="false">IF(G4135="","",G4135+H4135)</f>
        <v/>
      </c>
    </row>
    <row r="4136" customFormat="false" ht="15" hidden="false" customHeight="false" outlineLevel="0" collapsed="false">
      <c r="C4136" s="41" t="str">
        <f aca="false">IF(A4136="","",TEXT(A4136,"mmm-yyyy"))</f>
        <v/>
      </c>
      <c r="I4136" s="47" t="str">
        <f aca="false">IF(G4136="","",G4136+H4136)</f>
        <v/>
      </c>
    </row>
    <row r="4137" customFormat="false" ht="15" hidden="false" customHeight="false" outlineLevel="0" collapsed="false">
      <c r="C4137" s="41" t="str">
        <f aca="false">IF(A4137="","",TEXT(A4137,"mmm-yyyy"))</f>
        <v/>
      </c>
      <c r="I4137" s="47" t="str">
        <f aca="false">IF(G4137="","",G4137+H4137)</f>
        <v/>
      </c>
    </row>
    <row r="4138" customFormat="false" ht="15" hidden="false" customHeight="false" outlineLevel="0" collapsed="false">
      <c r="C4138" s="41" t="str">
        <f aca="false">IF(A4138="","",TEXT(A4138,"mmm-yyyy"))</f>
        <v/>
      </c>
      <c r="I4138" s="47" t="str">
        <f aca="false">IF(G4138="","",G4138+H4138)</f>
        <v/>
      </c>
    </row>
    <row r="4139" customFormat="false" ht="15" hidden="false" customHeight="false" outlineLevel="0" collapsed="false">
      <c r="C4139" s="41" t="str">
        <f aca="false">IF(A4139="","",TEXT(A4139,"mmm-yyyy"))</f>
        <v/>
      </c>
      <c r="I4139" s="47" t="str">
        <f aca="false">IF(G4139="","",G4139+H4139)</f>
        <v/>
      </c>
    </row>
    <row r="4140" customFormat="false" ht="15" hidden="false" customHeight="false" outlineLevel="0" collapsed="false">
      <c r="C4140" s="41" t="str">
        <f aca="false">IF(A4140="","",TEXT(A4140,"mmm-yyyy"))</f>
        <v/>
      </c>
      <c r="I4140" s="47" t="str">
        <f aca="false">IF(G4140="","",G4140+H4140)</f>
        <v/>
      </c>
    </row>
    <row r="4141" customFormat="false" ht="15" hidden="false" customHeight="false" outlineLevel="0" collapsed="false">
      <c r="C4141" s="41" t="str">
        <f aca="false">IF(A4141="","",TEXT(A4141,"mmm-yyyy"))</f>
        <v/>
      </c>
      <c r="I4141" s="47" t="str">
        <f aca="false">IF(G4141="","",G4141+H4141)</f>
        <v/>
      </c>
    </row>
    <row r="4142" customFormat="false" ht="15" hidden="false" customHeight="false" outlineLevel="0" collapsed="false">
      <c r="C4142" s="41" t="str">
        <f aca="false">IF(A4142="","",TEXT(A4142,"mmm-yyyy"))</f>
        <v/>
      </c>
      <c r="I4142" s="47" t="str">
        <f aca="false">IF(G4142="","",G4142+H4142)</f>
        <v/>
      </c>
    </row>
    <row r="4143" customFormat="false" ht="15" hidden="false" customHeight="false" outlineLevel="0" collapsed="false">
      <c r="C4143" s="41" t="str">
        <f aca="false">IF(A4143="","",TEXT(A4143,"mmm-yyyy"))</f>
        <v/>
      </c>
      <c r="I4143" s="47" t="str">
        <f aca="false">IF(G4143="","",G4143+H4143)</f>
        <v/>
      </c>
    </row>
    <row r="4144" customFormat="false" ht="15" hidden="false" customHeight="false" outlineLevel="0" collapsed="false">
      <c r="C4144" s="41" t="str">
        <f aca="false">IF(A4144="","",TEXT(A4144,"mmm-yyyy"))</f>
        <v/>
      </c>
      <c r="I4144" s="47" t="str">
        <f aca="false">IF(G4144="","",G4144+H4144)</f>
        <v/>
      </c>
    </row>
    <row r="4145" customFormat="false" ht="15" hidden="false" customHeight="false" outlineLevel="0" collapsed="false">
      <c r="C4145" s="41" t="str">
        <f aca="false">IF(A4145="","",TEXT(A4145,"mmm-yyyy"))</f>
        <v/>
      </c>
      <c r="I4145" s="47" t="str">
        <f aca="false">IF(G4145="","",G4145+H4145)</f>
        <v/>
      </c>
    </row>
    <row r="4146" customFormat="false" ht="15" hidden="false" customHeight="false" outlineLevel="0" collapsed="false">
      <c r="C4146" s="41" t="str">
        <f aca="false">IF(A4146="","",TEXT(A4146,"mmm-yyyy"))</f>
        <v/>
      </c>
      <c r="I4146" s="47" t="str">
        <f aca="false">IF(G4146="","",G4146+H4146)</f>
        <v/>
      </c>
    </row>
    <row r="4147" customFormat="false" ht="15" hidden="false" customHeight="false" outlineLevel="0" collapsed="false">
      <c r="C4147" s="41" t="str">
        <f aca="false">IF(A4147="","",TEXT(A4147,"mmm-yyyy"))</f>
        <v/>
      </c>
      <c r="I4147" s="47" t="str">
        <f aca="false">IF(G4147="","",G4147+H4147)</f>
        <v/>
      </c>
    </row>
    <row r="4148" customFormat="false" ht="15" hidden="false" customHeight="false" outlineLevel="0" collapsed="false">
      <c r="C4148" s="41" t="str">
        <f aca="false">IF(A4148="","",TEXT(A4148,"mmm-yyyy"))</f>
        <v/>
      </c>
      <c r="I4148" s="47" t="str">
        <f aca="false">IF(G4148="","",G4148+H4148)</f>
        <v/>
      </c>
    </row>
    <row r="4149" customFormat="false" ht="15" hidden="false" customHeight="false" outlineLevel="0" collapsed="false">
      <c r="C4149" s="41" t="str">
        <f aca="false">IF(A4149="","",TEXT(A4149,"mmm-yyyy"))</f>
        <v/>
      </c>
      <c r="I4149" s="47" t="str">
        <f aca="false">IF(G4149="","",G4149+H4149)</f>
        <v/>
      </c>
    </row>
    <row r="4150" customFormat="false" ht="15" hidden="false" customHeight="false" outlineLevel="0" collapsed="false">
      <c r="C4150" s="41" t="str">
        <f aca="false">IF(A4150="","",TEXT(A4150,"mmm-yyyy"))</f>
        <v/>
      </c>
      <c r="I4150" s="47" t="str">
        <f aca="false">IF(G4150="","",G4150+H4150)</f>
        <v/>
      </c>
    </row>
    <row r="4151" customFormat="false" ht="15" hidden="false" customHeight="false" outlineLevel="0" collapsed="false">
      <c r="C4151" s="41" t="str">
        <f aca="false">IF(A4151="","",TEXT(A4151,"mmm-yyyy"))</f>
        <v/>
      </c>
      <c r="I4151" s="47" t="str">
        <f aca="false">IF(G4151="","",G4151+H4151)</f>
        <v/>
      </c>
    </row>
    <row r="4152" customFormat="false" ht="15" hidden="false" customHeight="false" outlineLevel="0" collapsed="false">
      <c r="C4152" s="41" t="str">
        <f aca="false">IF(A4152="","",TEXT(A4152,"mmm-yyyy"))</f>
        <v/>
      </c>
      <c r="I4152" s="47" t="str">
        <f aca="false">IF(G4152="","",G4152+H4152)</f>
        <v/>
      </c>
    </row>
    <row r="4153" customFormat="false" ht="15" hidden="false" customHeight="false" outlineLevel="0" collapsed="false">
      <c r="C4153" s="41" t="str">
        <f aca="false">IF(A4153="","",TEXT(A4153,"mmm-yyyy"))</f>
        <v/>
      </c>
      <c r="I4153" s="47" t="str">
        <f aca="false">IF(G4153="","",G4153+H4153)</f>
        <v/>
      </c>
    </row>
    <row r="4154" customFormat="false" ht="15" hidden="false" customHeight="false" outlineLevel="0" collapsed="false">
      <c r="C4154" s="41" t="str">
        <f aca="false">IF(A4154="","",TEXT(A4154,"mmm-yyyy"))</f>
        <v/>
      </c>
      <c r="I4154" s="47" t="str">
        <f aca="false">IF(G4154="","",G4154+H4154)</f>
        <v/>
      </c>
    </row>
    <row r="4155" customFormat="false" ht="15" hidden="false" customHeight="false" outlineLevel="0" collapsed="false">
      <c r="C4155" s="41" t="str">
        <f aca="false">IF(A4155="","",TEXT(A4155,"mmm-yyyy"))</f>
        <v/>
      </c>
      <c r="I4155" s="47" t="str">
        <f aca="false">IF(G4155="","",G4155+H4155)</f>
        <v/>
      </c>
    </row>
    <row r="4156" customFormat="false" ht="15" hidden="false" customHeight="false" outlineLevel="0" collapsed="false">
      <c r="C4156" s="41" t="str">
        <f aca="false">IF(A4156="","",TEXT(A4156,"mmm-yyyy"))</f>
        <v/>
      </c>
      <c r="I4156" s="47" t="str">
        <f aca="false">IF(G4156="","",G4156+H4156)</f>
        <v/>
      </c>
    </row>
    <row r="4157" customFormat="false" ht="15" hidden="false" customHeight="false" outlineLevel="0" collapsed="false">
      <c r="C4157" s="41" t="str">
        <f aca="false">IF(A4157="","",TEXT(A4157,"mmm-yyyy"))</f>
        <v/>
      </c>
      <c r="I4157" s="47" t="str">
        <f aca="false">IF(G4157="","",G4157+H4157)</f>
        <v/>
      </c>
    </row>
    <row r="4158" customFormat="false" ht="15" hidden="false" customHeight="false" outlineLevel="0" collapsed="false">
      <c r="C4158" s="41" t="str">
        <f aca="false">IF(A4158="","",TEXT(A4158,"mmm-yyyy"))</f>
        <v/>
      </c>
      <c r="I4158" s="47" t="str">
        <f aca="false">IF(G4158="","",G4158+H4158)</f>
        <v/>
      </c>
    </row>
    <row r="4159" customFormat="false" ht="15" hidden="false" customHeight="false" outlineLevel="0" collapsed="false">
      <c r="C4159" s="41" t="str">
        <f aca="false">IF(A4159="","",TEXT(A4159,"mmm-yyyy"))</f>
        <v/>
      </c>
      <c r="I4159" s="47" t="str">
        <f aca="false">IF(G4159="","",G4159+H4159)</f>
        <v/>
      </c>
    </row>
    <row r="4160" customFormat="false" ht="15" hidden="false" customHeight="false" outlineLevel="0" collapsed="false">
      <c r="C4160" s="41" t="str">
        <f aca="false">IF(A4160="","",TEXT(A4160,"mmm-yyyy"))</f>
        <v/>
      </c>
      <c r="I4160" s="47" t="str">
        <f aca="false">IF(G4160="","",G4160+H4160)</f>
        <v/>
      </c>
    </row>
    <row r="4161" customFormat="false" ht="15" hidden="false" customHeight="false" outlineLevel="0" collapsed="false">
      <c r="C4161" s="41" t="str">
        <f aca="false">IF(A4161="","",TEXT(A4161,"mmm-yyyy"))</f>
        <v/>
      </c>
      <c r="I4161" s="47" t="str">
        <f aca="false">IF(G4161="","",G4161+H4161)</f>
        <v/>
      </c>
    </row>
    <row r="4162" customFormat="false" ht="15" hidden="false" customHeight="false" outlineLevel="0" collapsed="false">
      <c r="C4162" s="41" t="str">
        <f aca="false">IF(A4162="","",TEXT(A4162,"mmm-yyyy"))</f>
        <v/>
      </c>
      <c r="I4162" s="47" t="str">
        <f aca="false">IF(G4162="","",G4162+H4162)</f>
        <v/>
      </c>
    </row>
    <row r="4163" customFormat="false" ht="15" hidden="false" customHeight="false" outlineLevel="0" collapsed="false">
      <c r="C4163" s="41" t="str">
        <f aca="false">IF(A4163="","",TEXT(A4163,"mmm-yyyy"))</f>
        <v/>
      </c>
      <c r="I4163" s="47" t="str">
        <f aca="false">IF(G4163="","",G4163+H4163)</f>
        <v/>
      </c>
    </row>
    <row r="4164" customFormat="false" ht="15" hidden="false" customHeight="false" outlineLevel="0" collapsed="false">
      <c r="C4164" s="41" t="str">
        <f aca="false">IF(A4164="","",TEXT(A4164,"mmm-yyyy"))</f>
        <v/>
      </c>
      <c r="I4164" s="47" t="str">
        <f aca="false">IF(G4164="","",G4164+H4164)</f>
        <v/>
      </c>
    </row>
    <row r="4165" customFormat="false" ht="15" hidden="false" customHeight="false" outlineLevel="0" collapsed="false">
      <c r="C4165" s="41" t="str">
        <f aca="false">IF(A4165="","",TEXT(A4165,"mmm-yyyy"))</f>
        <v/>
      </c>
      <c r="I4165" s="47" t="str">
        <f aca="false">IF(G4165="","",G4165+H4165)</f>
        <v/>
      </c>
    </row>
    <row r="4166" customFormat="false" ht="15" hidden="false" customHeight="false" outlineLevel="0" collapsed="false">
      <c r="C4166" s="41" t="str">
        <f aca="false">IF(A4166="","",TEXT(A4166,"mmm-yyyy"))</f>
        <v/>
      </c>
      <c r="I4166" s="47" t="str">
        <f aca="false">IF(G4166="","",G4166+H4166)</f>
        <v/>
      </c>
    </row>
    <row r="4167" customFormat="false" ht="15" hidden="false" customHeight="false" outlineLevel="0" collapsed="false">
      <c r="C4167" s="41" t="str">
        <f aca="false">IF(A4167="","",TEXT(A4167,"mmm-yyyy"))</f>
        <v/>
      </c>
      <c r="I4167" s="47" t="str">
        <f aca="false">IF(G4167="","",G4167+H4167)</f>
        <v/>
      </c>
    </row>
    <row r="4168" customFormat="false" ht="15" hidden="false" customHeight="false" outlineLevel="0" collapsed="false">
      <c r="C4168" s="41" t="str">
        <f aca="false">IF(A4168="","",TEXT(A4168,"mmm-yyyy"))</f>
        <v/>
      </c>
      <c r="I4168" s="47" t="str">
        <f aca="false">IF(G4168="","",G4168+H4168)</f>
        <v/>
      </c>
    </row>
    <row r="4169" customFormat="false" ht="15" hidden="false" customHeight="false" outlineLevel="0" collapsed="false">
      <c r="C4169" s="41" t="str">
        <f aca="false">IF(A4169="","",TEXT(A4169,"mmm-yyyy"))</f>
        <v/>
      </c>
      <c r="I4169" s="47" t="str">
        <f aca="false">IF(G4169="","",G4169+H4169)</f>
        <v/>
      </c>
    </row>
    <row r="4170" customFormat="false" ht="15" hidden="false" customHeight="false" outlineLevel="0" collapsed="false">
      <c r="C4170" s="41" t="str">
        <f aca="false">IF(A4170="","",TEXT(A4170,"mmm-yyyy"))</f>
        <v/>
      </c>
      <c r="I4170" s="47" t="str">
        <f aca="false">IF(G4170="","",G4170+H4170)</f>
        <v/>
      </c>
    </row>
    <row r="4171" customFormat="false" ht="15" hidden="false" customHeight="false" outlineLevel="0" collapsed="false">
      <c r="C4171" s="41" t="str">
        <f aca="false">IF(A4171="","",TEXT(A4171,"mmm-yyyy"))</f>
        <v/>
      </c>
      <c r="I4171" s="47" t="str">
        <f aca="false">IF(G4171="","",G4171+H4171)</f>
        <v/>
      </c>
    </row>
    <row r="4172" customFormat="false" ht="15" hidden="false" customHeight="false" outlineLevel="0" collapsed="false">
      <c r="C4172" s="41" t="str">
        <f aca="false">IF(A4172="","",TEXT(A4172,"mmm-yyyy"))</f>
        <v/>
      </c>
      <c r="I4172" s="47" t="str">
        <f aca="false">IF(G4172="","",G4172+H4172)</f>
        <v/>
      </c>
    </row>
    <row r="4173" customFormat="false" ht="15" hidden="false" customHeight="false" outlineLevel="0" collapsed="false">
      <c r="C4173" s="41" t="str">
        <f aca="false">IF(A4173="","",TEXT(A4173,"mmm-yyyy"))</f>
        <v/>
      </c>
      <c r="I4173" s="47" t="str">
        <f aca="false">IF(G4173="","",G4173+H4173)</f>
        <v/>
      </c>
    </row>
    <row r="4174" customFormat="false" ht="15" hidden="false" customHeight="false" outlineLevel="0" collapsed="false">
      <c r="C4174" s="41" t="str">
        <f aca="false">IF(A4174="","",TEXT(A4174,"mmm-yyyy"))</f>
        <v/>
      </c>
      <c r="I4174" s="47" t="str">
        <f aca="false">IF(G4174="","",G4174+H4174)</f>
        <v/>
      </c>
    </row>
    <row r="4175" customFormat="false" ht="15" hidden="false" customHeight="false" outlineLevel="0" collapsed="false">
      <c r="C4175" s="41" t="str">
        <f aca="false">IF(A4175="","",TEXT(A4175,"mmm-yyyy"))</f>
        <v/>
      </c>
      <c r="I4175" s="47" t="str">
        <f aca="false">IF(G4175="","",G4175+H4175)</f>
        <v/>
      </c>
    </row>
    <row r="4176" customFormat="false" ht="15" hidden="false" customHeight="false" outlineLevel="0" collapsed="false">
      <c r="C4176" s="41" t="str">
        <f aca="false">IF(A4176="","",TEXT(A4176,"mmm-yyyy"))</f>
        <v/>
      </c>
      <c r="I4176" s="47" t="str">
        <f aca="false">IF(G4176="","",G4176+H4176)</f>
        <v/>
      </c>
    </row>
    <row r="4177" customFormat="false" ht="15" hidden="false" customHeight="false" outlineLevel="0" collapsed="false">
      <c r="C4177" s="41" t="str">
        <f aca="false">IF(A4177="","",TEXT(A4177,"mmm-yyyy"))</f>
        <v/>
      </c>
      <c r="I4177" s="47" t="str">
        <f aca="false">IF(G4177="","",G4177+H4177)</f>
        <v/>
      </c>
    </row>
    <row r="4178" customFormat="false" ht="15" hidden="false" customHeight="false" outlineLevel="0" collapsed="false">
      <c r="C4178" s="41" t="str">
        <f aca="false">IF(A4178="","",TEXT(A4178,"mmm-yyyy"))</f>
        <v/>
      </c>
      <c r="I4178" s="47" t="str">
        <f aca="false">IF(G4178="","",G4178+H4178)</f>
        <v/>
      </c>
    </row>
    <row r="4179" customFormat="false" ht="15" hidden="false" customHeight="false" outlineLevel="0" collapsed="false">
      <c r="C4179" s="41" t="str">
        <f aca="false">IF(A4179="","",TEXT(A4179,"mmm-yyyy"))</f>
        <v/>
      </c>
      <c r="I4179" s="47" t="str">
        <f aca="false">IF(G4179="","",G4179+H4179)</f>
        <v/>
      </c>
    </row>
    <row r="4180" customFormat="false" ht="15" hidden="false" customHeight="false" outlineLevel="0" collapsed="false">
      <c r="C4180" s="41" t="str">
        <f aca="false">IF(A4180="","",TEXT(A4180,"mmm-yyyy"))</f>
        <v/>
      </c>
      <c r="I4180" s="47" t="str">
        <f aca="false">IF(G4180="","",G4180+H4180)</f>
        <v/>
      </c>
    </row>
    <row r="4181" customFormat="false" ht="15" hidden="false" customHeight="false" outlineLevel="0" collapsed="false">
      <c r="C4181" s="41" t="str">
        <f aca="false">IF(A4181="","",TEXT(A4181,"mmm-yyyy"))</f>
        <v/>
      </c>
      <c r="I4181" s="47" t="str">
        <f aca="false">IF(G4181="","",G4181+H4181)</f>
        <v/>
      </c>
    </row>
    <row r="4182" customFormat="false" ht="15" hidden="false" customHeight="false" outlineLevel="0" collapsed="false">
      <c r="C4182" s="41" t="str">
        <f aca="false">IF(A4182="","",TEXT(A4182,"mmm-yyyy"))</f>
        <v/>
      </c>
      <c r="I4182" s="47" t="str">
        <f aca="false">IF(G4182="","",G4182+H4182)</f>
        <v/>
      </c>
    </row>
    <row r="4183" customFormat="false" ht="15" hidden="false" customHeight="false" outlineLevel="0" collapsed="false">
      <c r="C4183" s="41" t="str">
        <f aca="false">IF(A4183="","",TEXT(A4183,"mmm-yyyy"))</f>
        <v/>
      </c>
      <c r="I4183" s="47" t="str">
        <f aca="false">IF(G4183="","",G4183+H4183)</f>
        <v/>
      </c>
    </row>
    <row r="4184" customFormat="false" ht="15" hidden="false" customHeight="false" outlineLevel="0" collapsed="false">
      <c r="C4184" s="41" t="str">
        <f aca="false">IF(A4184="","",TEXT(A4184,"mmm-yyyy"))</f>
        <v/>
      </c>
      <c r="I4184" s="47" t="str">
        <f aca="false">IF(G4184="","",G4184+H4184)</f>
        <v/>
      </c>
    </row>
    <row r="4185" customFormat="false" ht="15" hidden="false" customHeight="false" outlineLevel="0" collapsed="false">
      <c r="C4185" s="41" t="str">
        <f aca="false">IF(A4185="","",TEXT(A4185,"mmm-yyyy"))</f>
        <v/>
      </c>
      <c r="I4185" s="47" t="str">
        <f aca="false">IF(G4185="","",G4185+H4185)</f>
        <v/>
      </c>
    </row>
    <row r="4186" customFormat="false" ht="15" hidden="false" customHeight="false" outlineLevel="0" collapsed="false">
      <c r="C4186" s="41" t="str">
        <f aca="false">IF(A4186="","",TEXT(A4186,"mmm-yyyy"))</f>
        <v/>
      </c>
      <c r="I4186" s="47" t="str">
        <f aca="false">IF(G4186="","",G4186+H4186)</f>
        <v/>
      </c>
    </row>
    <row r="4187" customFormat="false" ht="15" hidden="false" customHeight="false" outlineLevel="0" collapsed="false">
      <c r="C4187" s="41" t="str">
        <f aca="false">IF(A4187="","",TEXT(A4187,"mmm-yyyy"))</f>
        <v/>
      </c>
      <c r="I4187" s="47" t="str">
        <f aca="false">IF(G4187="","",G4187+H4187)</f>
        <v/>
      </c>
    </row>
    <row r="4188" customFormat="false" ht="15" hidden="false" customHeight="false" outlineLevel="0" collapsed="false">
      <c r="C4188" s="41" t="str">
        <f aca="false">IF(A4188="","",TEXT(A4188,"mmm-yyyy"))</f>
        <v/>
      </c>
      <c r="I4188" s="47" t="str">
        <f aca="false">IF(G4188="","",G4188+H4188)</f>
        <v/>
      </c>
    </row>
    <row r="4189" customFormat="false" ht="15" hidden="false" customHeight="false" outlineLevel="0" collapsed="false">
      <c r="C4189" s="41" t="str">
        <f aca="false">IF(A4189="","",TEXT(A4189,"mmm-yyyy"))</f>
        <v/>
      </c>
      <c r="I4189" s="47" t="str">
        <f aca="false">IF(G4189="","",G4189+H4189)</f>
        <v/>
      </c>
    </row>
    <row r="4190" customFormat="false" ht="15" hidden="false" customHeight="false" outlineLevel="0" collapsed="false">
      <c r="C4190" s="41" t="str">
        <f aca="false">IF(A4190="","",TEXT(A4190,"mmm-yyyy"))</f>
        <v/>
      </c>
      <c r="I4190" s="47" t="str">
        <f aca="false">IF(G4190="","",G4190+H4190)</f>
        <v/>
      </c>
    </row>
    <row r="4191" customFormat="false" ht="15" hidden="false" customHeight="false" outlineLevel="0" collapsed="false">
      <c r="C4191" s="41" t="str">
        <f aca="false">IF(A4191="","",TEXT(A4191,"mmm-yyyy"))</f>
        <v/>
      </c>
      <c r="I4191" s="47" t="str">
        <f aca="false">IF(G4191="","",G4191+H4191)</f>
        <v/>
      </c>
    </row>
    <row r="4192" customFormat="false" ht="15" hidden="false" customHeight="false" outlineLevel="0" collapsed="false">
      <c r="C4192" s="41" t="str">
        <f aca="false">IF(A4192="","",TEXT(A4192,"mmm-yyyy"))</f>
        <v/>
      </c>
      <c r="I4192" s="47" t="str">
        <f aca="false">IF(G4192="","",G4192+H4192)</f>
        <v/>
      </c>
    </row>
    <row r="4193" customFormat="false" ht="15" hidden="false" customHeight="false" outlineLevel="0" collapsed="false">
      <c r="C4193" s="41" t="str">
        <f aca="false">IF(A4193="","",TEXT(A4193,"mmm-yyyy"))</f>
        <v/>
      </c>
      <c r="I4193" s="47" t="str">
        <f aca="false">IF(G4193="","",G4193+H4193)</f>
        <v/>
      </c>
    </row>
    <row r="4194" customFormat="false" ht="15" hidden="false" customHeight="false" outlineLevel="0" collapsed="false">
      <c r="C4194" s="41" t="str">
        <f aca="false">IF(A4194="","",TEXT(A4194,"mmm-yyyy"))</f>
        <v/>
      </c>
      <c r="I4194" s="47" t="str">
        <f aca="false">IF(G4194="","",G4194+H4194)</f>
        <v/>
      </c>
    </row>
    <row r="4195" customFormat="false" ht="15" hidden="false" customHeight="false" outlineLevel="0" collapsed="false">
      <c r="C4195" s="41" t="str">
        <f aca="false">IF(A4195="","",TEXT(A4195,"mmm-yyyy"))</f>
        <v/>
      </c>
      <c r="I4195" s="47" t="str">
        <f aca="false">IF(G4195="","",G4195+H4195)</f>
        <v/>
      </c>
    </row>
    <row r="4196" customFormat="false" ht="15" hidden="false" customHeight="false" outlineLevel="0" collapsed="false">
      <c r="C4196" s="41" t="str">
        <f aca="false">IF(A4196="","",TEXT(A4196,"mmm-yyyy"))</f>
        <v/>
      </c>
      <c r="I4196" s="47" t="str">
        <f aca="false">IF(G4196="","",G4196+H4196)</f>
        <v/>
      </c>
    </row>
    <row r="4197" customFormat="false" ht="15" hidden="false" customHeight="false" outlineLevel="0" collapsed="false">
      <c r="C4197" s="41" t="str">
        <f aca="false">IF(A4197="","",TEXT(A4197,"mmm-yyyy"))</f>
        <v/>
      </c>
      <c r="I4197" s="47" t="str">
        <f aca="false">IF(G4197="","",G4197+H4197)</f>
        <v/>
      </c>
    </row>
    <row r="4198" customFormat="false" ht="15" hidden="false" customHeight="false" outlineLevel="0" collapsed="false">
      <c r="C4198" s="41" t="str">
        <f aca="false">IF(A4198="","",TEXT(A4198,"mmm-yyyy"))</f>
        <v/>
      </c>
      <c r="I4198" s="47" t="str">
        <f aca="false">IF(G4198="","",G4198+H4198)</f>
        <v/>
      </c>
    </row>
    <row r="4199" customFormat="false" ht="15" hidden="false" customHeight="false" outlineLevel="0" collapsed="false">
      <c r="C4199" s="41" t="str">
        <f aca="false">IF(A4199="","",TEXT(A4199,"mmm-yyyy"))</f>
        <v/>
      </c>
      <c r="I4199" s="47" t="str">
        <f aca="false">IF(G4199="","",G4199+H4199)</f>
        <v/>
      </c>
    </row>
    <row r="4200" customFormat="false" ht="15" hidden="false" customHeight="false" outlineLevel="0" collapsed="false">
      <c r="C4200" s="41" t="str">
        <f aca="false">IF(A4200="","",TEXT(A4200,"mmm-yyyy"))</f>
        <v/>
      </c>
      <c r="I4200" s="47" t="str">
        <f aca="false">IF(G4200="","",G4200+H4200)</f>
        <v/>
      </c>
    </row>
    <row r="4201" customFormat="false" ht="15" hidden="false" customHeight="false" outlineLevel="0" collapsed="false">
      <c r="C4201" s="41" t="str">
        <f aca="false">IF(A4201="","",TEXT(A4201,"mmm-yyyy"))</f>
        <v/>
      </c>
      <c r="I4201" s="47" t="str">
        <f aca="false">IF(G4201="","",G4201+H4201)</f>
        <v/>
      </c>
    </row>
    <row r="4202" customFormat="false" ht="15" hidden="false" customHeight="false" outlineLevel="0" collapsed="false">
      <c r="C4202" s="41" t="str">
        <f aca="false">IF(A4202="","",TEXT(A4202,"mmm-yyyy"))</f>
        <v/>
      </c>
      <c r="I4202" s="47" t="str">
        <f aca="false">IF(G4202="","",G4202+H4202)</f>
        <v/>
      </c>
    </row>
    <row r="4203" customFormat="false" ht="15" hidden="false" customHeight="false" outlineLevel="0" collapsed="false">
      <c r="C4203" s="41" t="str">
        <f aca="false">IF(A4203="","",TEXT(A4203,"mmm-yyyy"))</f>
        <v/>
      </c>
      <c r="I4203" s="47" t="str">
        <f aca="false">IF(G4203="","",G4203+H4203)</f>
        <v/>
      </c>
    </row>
    <row r="4204" customFormat="false" ht="15" hidden="false" customHeight="false" outlineLevel="0" collapsed="false">
      <c r="C4204" s="41" t="str">
        <f aca="false">IF(A4204="","",TEXT(A4204,"mmm-yyyy"))</f>
        <v/>
      </c>
      <c r="I4204" s="47" t="str">
        <f aca="false">IF(G4204="","",G4204+H4204)</f>
        <v/>
      </c>
    </row>
    <row r="4205" customFormat="false" ht="15" hidden="false" customHeight="false" outlineLevel="0" collapsed="false">
      <c r="C4205" s="41" t="str">
        <f aca="false">IF(A4205="","",TEXT(A4205,"mmm-yyyy"))</f>
        <v/>
      </c>
      <c r="I4205" s="47" t="str">
        <f aca="false">IF(G4205="","",G4205+H4205)</f>
        <v/>
      </c>
    </row>
    <row r="4206" customFormat="false" ht="15" hidden="false" customHeight="false" outlineLevel="0" collapsed="false">
      <c r="C4206" s="41" t="str">
        <f aca="false">IF(A4206="","",TEXT(A4206,"mmm-yyyy"))</f>
        <v/>
      </c>
      <c r="I4206" s="47" t="str">
        <f aca="false">IF(G4206="","",G4206+H4206)</f>
        <v/>
      </c>
    </row>
    <row r="4207" customFormat="false" ht="15" hidden="false" customHeight="false" outlineLevel="0" collapsed="false">
      <c r="C4207" s="41" t="str">
        <f aca="false">IF(A4207="","",TEXT(A4207,"mmm-yyyy"))</f>
        <v/>
      </c>
      <c r="I4207" s="47" t="str">
        <f aca="false">IF(G4207="","",G4207+H4207)</f>
        <v/>
      </c>
    </row>
    <row r="4208" customFormat="false" ht="15" hidden="false" customHeight="false" outlineLevel="0" collapsed="false">
      <c r="C4208" s="41" t="str">
        <f aca="false">IF(A4208="","",TEXT(A4208,"mmm-yyyy"))</f>
        <v/>
      </c>
      <c r="I4208" s="47" t="str">
        <f aca="false">IF(G4208="","",G4208+H4208)</f>
        <v/>
      </c>
    </row>
    <row r="4209" customFormat="false" ht="15" hidden="false" customHeight="false" outlineLevel="0" collapsed="false">
      <c r="C4209" s="41" t="str">
        <f aca="false">IF(A4209="","",TEXT(A4209,"mmm-yyyy"))</f>
        <v/>
      </c>
      <c r="I4209" s="47" t="str">
        <f aca="false">IF(G4209="","",G4209+H4209)</f>
        <v/>
      </c>
    </row>
    <row r="4210" customFormat="false" ht="15" hidden="false" customHeight="false" outlineLevel="0" collapsed="false">
      <c r="C4210" s="41" t="str">
        <f aca="false">IF(A4210="","",TEXT(A4210,"mmm-yyyy"))</f>
        <v/>
      </c>
      <c r="I4210" s="47" t="str">
        <f aca="false">IF(G4210="","",G4210+H4210)</f>
        <v/>
      </c>
    </row>
    <row r="4211" customFormat="false" ht="15" hidden="false" customHeight="false" outlineLevel="0" collapsed="false">
      <c r="C4211" s="41" t="str">
        <f aca="false">IF(A4211="","",TEXT(A4211,"mmm-yyyy"))</f>
        <v/>
      </c>
      <c r="I4211" s="47" t="str">
        <f aca="false">IF(G4211="","",G4211+H4211)</f>
        <v/>
      </c>
    </row>
    <row r="4212" customFormat="false" ht="15" hidden="false" customHeight="false" outlineLevel="0" collapsed="false">
      <c r="C4212" s="41" t="str">
        <f aca="false">IF(A4212="","",TEXT(A4212,"mmm-yyyy"))</f>
        <v/>
      </c>
      <c r="I4212" s="47" t="str">
        <f aca="false">IF(G4212="","",G4212+H4212)</f>
        <v/>
      </c>
    </row>
    <row r="4213" customFormat="false" ht="15" hidden="false" customHeight="false" outlineLevel="0" collapsed="false">
      <c r="C4213" s="41" t="str">
        <f aca="false">IF(A4213="","",TEXT(A4213,"mmm-yyyy"))</f>
        <v/>
      </c>
      <c r="I4213" s="47" t="str">
        <f aca="false">IF(G4213="","",G4213+H4213)</f>
        <v/>
      </c>
    </row>
    <row r="4214" customFormat="false" ht="15" hidden="false" customHeight="false" outlineLevel="0" collapsed="false">
      <c r="C4214" s="41" t="str">
        <f aca="false">IF(A4214="","",TEXT(A4214,"mmm-yyyy"))</f>
        <v/>
      </c>
      <c r="I4214" s="47" t="str">
        <f aca="false">IF(G4214="","",G4214+H4214)</f>
        <v/>
      </c>
    </row>
    <row r="4215" customFormat="false" ht="15" hidden="false" customHeight="false" outlineLevel="0" collapsed="false">
      <c r="C4215" s="41" t="str">
        <f aca="false">IF(A4215="","",TEXT(A4215,"mmm-yyyy"))</f>
        <v/>
      </c>
      <c r="I4215" s="47" t="str">
        <f aca="false">IF(G4215="","",G4215+H4215)</f>
        <v/>
      </c>
    </row>
    <row r="4216" customFormat="false" ht="15" hidden="false" customHeight="false" outlineLevel="0" collapsed="false">
      <c r="C4216" s="41" t="str">
        <f aca="false">IF(A4216="","",TEXT(A4216,"mmm-yyyy"))</f>
        <v/>
      </c>
      <c r="I4216" s="47" t="str">
        <f aca="false">IF(G4216="","",G4216+H4216)</f>
        <v/>
      </c>
    </row>
    <row r="4217" customFormat="false" ht="15" hidden="false" customHeight="false" outlineLevel="0" collapsed="false">
      <c r="C4217" s="41" t="str">
        <f aca="false">IF(A4217="","",TEXT(A4217,"mmm-yyyy"))</f>
        <v/>
      </c>
      <c r="I4217" s="47" t="str">
        <f aca="false">IF(G4217="","",G4217+H4217)</f>
        <v/>
      </c>
    </row>
    <row r="4218" customFormat="false" ht="15" hidden="false" customHeight="false" outlineLevel="0" collapsed="false">
      <c r="C4218" s="41" t="str">
        <f aca="false">IF(A4218="","",TEXT(A4218,"mmm-yyyy"))</f>
        <v/>
      </c>
      <c r="I4218" s="47" t="str">
        <f aca="false">IF(G4218="","",G4218+H4218)</f>
        <v/>
      </c>
    </row>
    <row r="4219" customFormat="false" ht="15" hidden="false" customHeight="false" outlineLevel="0" collapsed="false">
      <c r="C4219" s="41" t="str">
        <f aca="false">IF(A4219="","",TEXT(A4219,"mmm-yyyy"))</f>
        <v/>
      </c>
      <c r="I4219" s="47" t="str">
        <f aca="false">IF(G4219="","",G4219+H4219)</f>
        <v/>
      </c>
    </row>
    <row r="4220" customFormat="false" ht="15" hidden="false" customHeight="false" outlineLevel="0" collapsed="false">
      <c r="C4220" s="41" t="str">
        <f aca="false">IF(A4220="","",TEXT(A4220,"mmm-yyyy"))</f>
        <v/>
      </c>
      <c r="I4220" s="47" t="str">
        <f aca="false">IF(G4220="","",G4220+H4220)</f>
        <v/>
      </c>
    </row>
    <row r="4221" customFormat="false" ht="15" hidden="false" customHeight="false" outlineLevel="0" collapsed="false">
      <c r="C4221" s="41" t="str">
        <f aca="false">IF(A4221="","",TEXT(A4221,"mmm-yyyy"))</f>
        <v/>
      </c>
      <c r="I4221" s="47" t="str">
        <f aca="false">IF(G4221="","",G4221+H4221)</f>
        <v/>
      </c>
    </row>
    <row r="4222" customFormat="false" ht="15" hidden="false" customHeight="false" outlineLevel="0" collapsed="false">
      <c r="C4222" s="41" t="str">
        <f aca="false">IF(A4222="","",TEXT(A4222,"mmm-yyyy"))</f>
        <v/>
      </c>
      <c r="I4222" s="47" t="str">
        <f aca="false">IF(G4222="","",G4222+H4222)</f>
        <v/>
      </c>
    </row>
    <row r="4223" customFormat="false" ht="15" hidden="false" customHeight="false" outlineLevel="0" collapsed="false">
      <c r="C4223" s="41" t="str">
        <f aca="false">IF(A4223="","",TEXT(A4223,"mmm-yyyy"))</f>
        <v/>
      </c>
      <c r="I4223" s="47" t="str">
        <f aca="false">IF(G4223="","",G4223+H4223)</f>
        <v/>
      </c>
    </row>
    <row r="4224" customFormat="false" ht="15" hidden="false" customHeight="false" outlineLevel="0" collapsed="false">
      <c r="C4224" s="41" t="str">
        <f aca="false">IF(A4224="","",TEXT(A4224,"mmm-yyyy"))</f>
        <v/>
      </c>
      <c r="I4224" s="47" t="str">
        <f aca="false">IF(G4224="","",G4224+H4224)</f>
        <v/>
      </c>
    </row>
    <row r="4225" customFormat="false" ht="15" hidden="false" customHeight="false" outlineLevel="0" collapsed="false">
      <c r="C4225" s="41" t="str">
        <f aca="false">IF(A4225="","",TEXT(A4225,"mmm-yyyy"))</f>
        <v/>
      </c>
      <c r="I4225" s="47" t="str">
        <f aca="false">IF(G4225="","",G4225+H4225)</f>
        <v/>
      </c>
    </row>
    <row r="4226" customFormat="false" ht="15" hidden="false" customHeight="false" outlineLevel="0" collapsed="false">
      <c r="C4226" s="41" t="str">
        <f aca="false">IF(A4226="","",TEXT(A4226,"mmm-yyyy"))</f>
        <v/>
      </c>
      <c r="I4226" s="47" t="str">
        <f aca="false">IF(G4226="","",G4226+H4226)</f>
        <v/>
      </c>
    </row>
    <row r="4227" customFormat="false" ht="15" hidden="false" customHeight="false" outlineLevel="0" collapsed="false">
      <c r="C4227" s="41" t="str">
        <f aca="false">IF(A4227="","",TEXT(A4227,"mmm-yyyy"))</f>
        <v/>
      </c>
      <c r="I4227" s="47" t="str">
        <f aca="false">IF(G4227="","",G4227+H4227)</f>
        <v/>
      </c>
    </row>
    <row r="4228" customFormat="false" ht="15" hidden="false" customHeight="false" outlineLevel="0" collapsed="false">
      <c r="C4228" s="41" t="str">
        <f aca="false">IF(A4228="","",TEXT(A4228,"mmm-yyyy"))</f>
        <v/>
      </c>
      <c r="I4228" s="47" t="str">
        <f aca="false">IF(G4228="","",G4228+H4228)</f>
        <v/>
      </c>
    </row>
    <row r="4229" customFormat="false" ht="15" hidden="false" customHeight="false" outlineLevel="0" collapsed="false">
      <c r="C4229" s="41" t="str">
        <f aca="false">IF(A4229="","",TEXT(A4229,"mmm-yyyy"))</f>
        <v/>
      </c>
      <c r="I4229" s="47" t="str">
        <f aca="false">IF(G4229="","",G4229+H4229)</f>
        <v/>
      </c>
    </row>
    <row r="4230" customFormat="false" ht="15" hidden="false" customHeight="false" outlineLevel="0" collapsed="false">
      <c r="C4230" s="41" t="str">
        <f aca="false">IF(A4230="","",TEXT(A4230,"mmm-yyyy"))</f>
        <v/>
      </c>
      <c r="I4230" s="47" t="str">
        <f aca="false">IF(G4230="","",G4230+H4230)</f>
        <v/>
      </c>
    </row>
    <row r="4231" customFormat="false" ht="15" hidden="false" customHeight="false" outlineLevel="0" collapsed="false">
      <c r="C4231" s="41" t="str">
        <f aca="false">IF(A4231="","",TEXT(A4231,"mmm-yyyy"))</f>
        <v/>
      </c>
      <c r="I4231" s="47" t="str">
        <f aca="false">IF(G4231="","",G4231+H4231)</f>
        <v/>
      </c>
    </row>
    <row r="4232" customFormat="false" ht="15" hidden="false" customHeight="false" outlineLevel="0" collapsed="false">
      <c r="C4232" s="41" t="str">
        <f aca="false">IF(A4232="","",TEXT(A4232,"mmm-yyyy"))</f>
        <v/>
      </c>
      <c r="I4232" s="47" t="str">
        <f aca="false">IF(G4232="","",G4232+H4232)</f>
        <v/>
      </c>
    </row>
    <row r="4233" customFormat="false" ht="15" hidden="false" customHeight="false" outlineLevel="0" collapsed="false">
      <c r="C4233" s="41" t="str">
        <f aca="false">IF(A4233="","",TEXT(A4233,"mmm-yyyy"))</f>
        <v/>
      </c>
      <c r="I4233" s="47" t="str">
        <f aca="false">IF(G4233="","",G4233+H4233)</f>
        <v/>
      </c>
    </row>
    <row r="4234" customFormat="false" ht="15" hidden="false" customHeight="false" outlineLevel="0" collapsed="false">
      <c r="C4234" s="41" t="str">
        <f aca="false">IF(A4234="","",TEXT(A4234,"mmm-yyyy"))</f>
        <v/>
      </c>
      <c r="I4234" s="47" t="str">
        <f aca="false">IF(G4234="","",G4234+H4234)</f>
        <v/>
      </c>
    </row>
    <row r="4235" customFormat="false" ht="15" hidden="false" customHeight="false" outlineLevel="0" collapsed="false">
      <c r="C4235" s="41" t="str">
        <f aca="false">IF(A4235="","",TEXT(A4235,"mmm-yyyy"))</f>
        <v/>
      </c>
      <c r="I4235" s="47" t="str">
        <f aca="false">IF(G4235="","",G4235+H4235)</f>
        <v/>
      </c>
    </row>
    <row r="4236" customFormat="false" ht="15" hidden="false" customHeight="false" outlineLevel="0" collapsed="false">
      <c r="C4236" s="41" t="str">
        <f aca="false">IF(A4236="","",TEXT(A4236,"mmm-yyyy"))</f>
        <v/>
      </c>
      <c r="I4236" s="47" t="str">
        <f aca="false">IF(G4236="","",G4236+H4236)</f>
        <v/>
      </c>
    </row>
    <row r="4237" customFormat="false" ht="15" hidden="false" customHeight="false" outlineLevel="0" collapsed="false">
      <c r="C4237" s="41" t="str">
        <f aca="false">IF(A4237="","",TEXT(A4237,"mmm-yyyy"))</f>
        <v/>
      </c>
      <c r="I4237" s="47" t="str">
        <f aca="false">IF(G4237="","",G4237+H4237)</f>
        <v/>
      </c>
    </row>
    <row r="4238" customFormat="false" ht="15" hidden="false" customHeight="false" outlineLevel="0" collapsed="false">
      <c r="C4238" s="41" t="str">
        <f aca="false">IF(A4238="","",TEXT(A4238,"mmm-yyyy"))</f>
        <v/>
      </c>
      <c r="I4238" s="47" t="str">
        <f aca="false">IF(G4238="","",G4238+H4238)</f>
        <v/>
      </c>
    </row>
    <row r="4239" customFormat="false" ht="15" hidden="false" customHeight="false" outlineLevel="0" collapsed="false">
      <c r="C4239" s="41" t="str">
        <f aca="false">IF(A4239="","",TEXT(A4239,"mmm-yyyy"))</f>
        <v/>
      </c>
      <c r="I4239" s="47" t="str">
        <f aca="false">IF(G4239="","",G4239+H4239)</f>
        <v/>
      </c>
    </row>
    <row r="4240" customFormat="false" ht="15" hidden="false" customHeight="false" outlineLevel="0" collapsed="false">
      <c r="C4240" s="41" t="str">
        <f aca="false">IF(A4240="","",TEXT(A4240,"mmm-yyyy"))</f>
        <v/>
      </c>
      <c r="I4240" s="47" t="str">
        <f aca="false">IF(G4240="","",G4240+H4240)</f>
        <v/>
      </c>
    </row>
    <row r="4241" customFormat="false" ht="15" hidden="false" customHeight="false" outlineLevel="0" collapsed="false">
      <c r="C4241" s="41" t="str">
        <f aca="false">IF(A4241="","",TEXT(A4241,"mmm-yyyy"))</f>
        <v/>
      </c>
      <c r="I4241" s="47" t="str">
        <f aca="false">IF(G4241="","",G4241+H4241)</f>
        <v/>
      </c>
    </row>
    <row r="4242" customFormat="false" ht="15" hidden="false" customHeight="false" outlineLevel="0" collapsed="false">
      <c r="C4242" s="41" t="str">
        <f aca="false">IF(A4242="","",TEXT(A4242,"mmm-yyyy"))</f>
        <v/>
      </c>
      <c r="I4242" s="47" t="str">
        <f aca="false">IF(G4242="","",G4242+H4242)</f>
        <v/>
      </c>
    </row>
    <row r="4243" customFormat="false" ht="15" hidden="false" customHeight="false" outlineLevel="0" collapsed="false">
      <c r="C4243" s="41" t="str">
        <f aca="false">IF(A4243="","",TEXT(A4243,"mmm-yyyy"))</f>
        <v/>
      </c>
      <c r="I4243" s="47" t="str">
        <f aca="false">IF(G4243="","",G4243+H4243)</f>
        <v/>
      </c>
    </row>
    <row r="4244" customFormat="false" ht="15" hidden="false" customHeight="false" outlineLevel="0" collapsed="false">
      <c r="C4244" s="41" t="str">
        <f aca="false">IF(A4244="","",TEXT(A4244,"mmm-yyyy"))</f>
        <v/>
      </c>
      <c r="I4244" s="47" t="str">
        <f aca="false">IF(G4244="","",G4244+H4244)</f>
        <v/>
      </c>
    </row>
    <row r="4245" customFormat="false" ht="15" hidden="false" customHeight="false" outlineLevel="0" collapsed="false">
      <c r="C4245" s="41" t="str">
        <f aca="false">IF(A4245="","",TEXT(A4245,"mmm-yyyy"))</f>
        <v/>
      </c>
      <c r="I4245" s="47" t="str">
        <f aca="false">IF(G4245="","",G4245+H4245)</f>
        <v/>
      </c>
    </row>
    <row r="4246" customFormat="false" ht="15" hidden="false" customHeight="false" outlineLevel="0" collapsed="false">
      <c r="C4246" s="41" t="str">
        <f aca="false">IF(A4246="","",TEXT(A4246,"mmm-yyyy"))</f>
        <v/>
      </c>
      <c r="I4246" s="47" t="str">
        <f aca="false">IF(G4246="","",G4246+H4246)</f>
        <v/>
      </c>
    </row>
    <row r="4247" customFormat="false" ht="15" hidden="false" customHeight="false" outlineLevel="0" collapsed="false">
      <c r="C4247" s="41" t="str">
        <f aca="false">IF(A4247="","",TEXT(A4247,"mmm-yyyy"))</f>
        <v/>
      </c>
      <c r="I4247" s="47" t="str">
        <f aca="false">IF(G4247="","",G4247+H4247)</f>
        <v/>
      </c>
    </row>
    <row r="4248" customFormat="false" ht="15" hidden="false" customHeight="false" outlineLevel="0" collapsed="false">
      <c r="C4248" s="41" t="str">
        <f aca="false">IF(A4248="","",TEXT(A4248,"mmm-yyyy"))</f>
        <v/>
      </c>
      <c r="I4248" s="47" t="str">
        <f aca="false">IF(G4248="","",G4248+H4248)</f>
        <v/>
      </c>
    </row>
    <row r="4249" customFormat="false" ht="15" hidden="false" customHeight="false" outlineLevel="0" collapsed="false">
      <c r="C4249" s="41" t="str">
        <f aca="false">IF(A4249="","",TEXT(A4249,"mmm-yyyy"))</f>
        <v/>
      </c>
      <c r="I4249" s="47" t="str">
        <f aca="false">IF(G4249="","",G4249+H4249)</f>
        <v/>
      </c>
    </row>
    <row r="4250" customFormat="false" ht="15" hidden="false" customHeight="false" outlineLevel="0" collapsed="false">
      <c r="C4250" s="41" t="str">
        <f aca="false">IF(A4250="","",TEXT(A4250,"mmm-yyyy"))</f>
        <v/>
      </c>
      <c r="I4250" s="47" t="str">
        <f aca="false">IF(G4250="","",G4250+H4250)</f>
        <v/>
      </c>
    </row>
    <row r="4251" customFormat="false" ht="15" hidden="false" customHeight="false" outlineLevel="0" collapsed="false">
      <c r="C4251" s="41" t="str">
        <f aca="false">IF(A4251="","",TEXT(A4251,"mmm-yyyy"))</f>
        <v/>
      </c>
      <c r="I4251" s="47" t="str">
        <f aca="false">IF(G4251="","",G4251+H4251)</f>
        <v/>
      </c>
    </row>
    <row r="4252" customFormat="false" ht="15" hidden="false" customHeight="false" outlineLevel="0" collapsed="false">
      <c r="C4252" s="41" t="str">
        <f aca="false">IF(A4252="","",TEXT(A4252,"mmm-yyyy"))</f>
        <v/>
      </c>
      <c r="I4252" s="47" t="str">
        <f aca="false">IF(G4252="","",G4252+H4252)</f>
        <v/>
      </c>
    </row>
    <row r="4253" customFormat="false" ht="15" hidden="false" customHeight="false" outlineLevel="0" collapsed="false">
      <c r="C4253" s="41" t="str">
        <f aca="false">IF(A4253="","",TEXT(A4253,"mmm-yyyy"))</f>
        <v/>
      </c>
      <c r="I4253" s="47" t="str">
        <f aca="false">IF(G4253="","",G4253+H4253)</f>
        <v/>
      </c>
    </row>
    <row r="4254" customFormat="false" ht="15" hidden="false" customHeight="false" outlineLevel="0" collapsed="false">
      <c r="C4254" s="41" t="str">
        <f aca="false">IF(A4254="","",TEXT(A4254,"mmm-yyyy"))</f>
        <v/>
      </c>
      <c r="I4254" s="47" t="str">
        <f aca="false">IF(G4254="","",G4254+H4254)</f>
        <v/>
      </c>
    </row>
    <row r="4255" customFormat="false" ht="15" hidden="false" customHeight="false" outlineLevel="0" collapsed="false">
      <c r="C4255" s="41" t="str">
        <f aca="false">IF(A4255="","",TEXT(A4255,"mmm-yyyy"))</f>
        <v/>
      </c>
      <c r="I4255" s="47" t="str">
        <f aca="false">IF(G4255="","",G4255+H4255)</f>
        <v/>
      </c>
    </row>
    <row r="4256" customFormat="false" ht="15" hidden="false" customHeight="false" outlineLevel="0" collapsed="false">
      <c r="C4256" s="41" t="str">
        <f aca="false">IF(A4256="","",TEXT(A4256,"mmm-yyyy"))</f>
        <v/>
      </c>
      <c r="I4256" s="47" t="str">
        <f aca="false">IF(G4256="","",G4256+H4256)</f>
        <v/>
      </c>
    </row>
    <row r="4257" customFormat="false" ht="15" hidden="false" customHeight="false" outlineLevel="0" collapsed="false">
      <c r="C4257" s="41" t="str">
        <f aca="false">IF(A4257="","",TEXT(A4257,"mmm-yyyy"))</f>
        <v/>
      </c>
      <c r="I4257" s="47" t="str">
        <f aca="false">IF(G4257="","",G4257+H4257)</f>
        <v/>
      </c>
    </row>
    <row r="4258" customFormat="false" ht="15" hidden="false" customHeight="false" outlineLevel="0" collapsed="false">
      <c r="C4258" s="41" t="str">
        <f aca="false">IF(A4258="","",TEXT(A4258,"mmm-yyyy"))</f>
        <v/>
      </c>
      <c r="I4258" s="47" t="str">
        <f aca="false">IF(G4258="","",G4258+H4258)</f>
        <v/>
      </c>
    </row>
    <row r="4259" customFormat="false" ht="15" hidden="false" customHeight="false" outlineLevel="0" collapsed="false">
      <c r="C4259" s="41" t="str">
        <f aca="false">IF(A4259="","",TEXT(A4259,"mmm-yyyy"))</f>
        <v/>
      </c>
      <c r="I4259" s="47" t="str">
        <f aca="false">IF(G4259="","",G4259+H4259)</f>
        <v/>
      </c>
    </row>
    <row r="4260" customFormat="false" ht="15" hidden="false" customHeight="false" outlineLevel="0" collapsed="false">
      <c r="C4260" s="41" t="str">
        <f aca="false">IF(A4260="","",TEXT(A4260,"mmm-yyyy"))</f>
        <v/>
      </c>
      <c r="I4260" s="47" t="str">
        <f aca="false">IF(G4260="","",G4260+H4260)</f>
        <v/>
      </c>
    </row>
    <row r="4261" customFormat="false" ht="15" hidden="false" customHeight="false" outlineLevel="0" collapsed="false">
      <c r="C4261" s="41" t="str">
        <f aca="false">IF(A4261="","",TEXT(A4261,"mmm-yyyy"))</f>
        <v/>
      </c>
      <c r="I4261" s="47" t="str">
        <f aca="false">IF(G4261="","",G4261+H4261)</f>
        <v/>
      </c>
    </row>
    <row r="4262" customFormat="false" ht="15" hidden="false" customHeight="false" outlineLevel="0" collapsed="false">
      <c r="C4262" s="41" t="str">
        <f aca="false">IF(A4262="","",TEXT(A4262,"mmm-yyyy"))</f>
        <v/>
      </c>
      <c r="I4262" s="47" t="str">
        <f aca="false">IF(G4262="","",G4262+H4262)</f>
        <v/>
      </c>
    </row>
    <row r="4263" customFormat="false" ht="15" hidden="false" customHeight="false" outlineLevel="0" collapsed="false">
      <c r="C4263" s="41" t="str">
        <f aca="false">IF(A4263="","",TEXT(A4263,"mmm-yyyy"))</f>
        <v/>
      </c>
      <c r="I4263" s="47" t="str">
        <f aca="false">IF(G4263="","",G4263+H4263)</f>
        <v/>
      </c>
    </row>
    <row r="4264" customFormat="false" ht="15" hidden="false" customHeight="false" outlineLevel="0" collapsed="false">
      <c r="C4264" s="41" t="str">
        <f aca="false">IF(A4264="","",TEXT(A4264,"mmm-yyyy"))</f>
        <v/>
      </c>
      <c r="I4264" s="47" t="str">
        <f aca="false">IF(G4264="","",G4264+H4264)</f>
        <v/>
      </c>
    </row>
    <row r="4265" customFormat="false" ht="15" hidden="false" customHeight="false" outlineLevel="0" collapsed="false">
      <c r="C4265" s="41" t="str">
        <f aca="false">IF(A4265="","",TEXT(A4265,"mmm-yyyy"))</f>
        <v/>
      </c>
      <c r="I4265" s="47" t="str">
        <f aca="false">IF(G4265="","",G4265+H4265)</f>
        <v/>
      </c>
    </row>
    <row r="4266" customFormat="false" ht="15" hidden="false" customHeight="false" outlineLevel="0" collapsed="false">
      <c r="C4266" s="41" t="str">
        <f aca="false">IF(A4266="","",TEXT(A4266,"mmm-yyyy"))</f>
        <v/>
      </c>
      <c r="I4266" s="47" t="str">
        <f aca="false">IF(G4266="","",G4266+H4266)</f>
        <v/>
      </c>
    </row>
    <row r="4267" customFormat="false" ht="15" hidden="false" customHeight="false" outlineLevel="0" collapsed="false">
      <c r="C4267" s="41" t="str">
        <f aca="false">IF(A4267="","",TEXT(A4267,"mmm-yyyy"))</f>
        <v/>
      </c>
      <c r="I4267" s="47" t="str">
        <f aca="false">IF(G4267="","",G4267+H4267)</f>
        <v/>
      </c>
    </row>
    <row r="4268" customFormat="false" ht="15" hidden="false" customHeight="false" outlineLevel="0" collapsed="false">
      <c r="C4268" s="41" t="str">
        <f aca="false">IF(A4268="","",TEXT(A4268,"mmm-yyyy"))</f>
        <v/>
      </c>
      <c r="I4268" s="47" t="str">
        <f aca="false">IF(G4268="","",G4268+H4268)</f>
        <v/>
      </c>
    </row>
    <row r="4269" customFormat="false" ht="15" hidden="false" customHeight="false" outlineLevel="0" collapsed="false">
      <c r="C4269" s="41" t="str">
        <f aca="false">IF(A4269="","",TEXT(A4269,"mmm-yyyy"))</f>
        <v/>
      </c>
      <c r="I4269" s="47" t="str">
        <f aca="false">IF(G4269="","",G4269+H4269)</f>
        <v/>
      </c>
    </row>
    <row r="4270" customFormat="false" ht="15" hidden="false" customHeight="false" outlineLevel="0" collapsed="false">
      <c r="C4270" s="41" t="str">
        <f aca="false">IF(A4270="","",TEXT(A4270,"mmm-yyyy"))</f>
        <v/>
      </c>
      <c r="I4270" s="47" t="str">
        <f aca="false">IF(G4270="","",G4270+H4270)</f>
        <v/>
      </c>
    </row>
    <row r="4271" customFormat="false" ht="15" hidden="false" customHeight="false" outlineLevel="0" collapsed="false">
      <c r="C4271" s="41" t="str">
        <f aca="false">IF(A4271="","",TEXT(A4271,"mmm-yyyy"))</f>
        <v/>
      </c>
      <c r="I4271" s="47" t="str">
        <f aca="false">IF(G4271="","",G4271+H4271)</f>
        <v/>
      </c>
    </row>
    <row r="4272" customFormat="false" ht="15" hidden="false" customHeight="false" outlineLevel="0" collapsed="false">
      <c r="C4272" s="41" t="str">
        <f aca="false">IF(A4272="","",TEXT(A4272,"mmm-yyyy"))</f>
        <v/>
      </c>
      <c r="I4272" s="47" t="str">
        <f aca="false">IF(G4272="","",G4272+H4272)</f>
        <v/>
      </c>
    </row>
    <row r="4273" customFormat="false" ht="15" hidden="false" customHeight="false" outlineLevel="0" collapsed="false">
      <c r="C4273" s="41" t="str">
        <f aca="false">IF(A4273="","",TEXT(A4273,"mmm-yyyy"))</f>
        <v/>
      </c>
      <c r="I4273" s="47" t="str">
        <f aca="false">IF(G4273="","",G4273+H4273)</f>
        <v/>
      </c>
    </row>
    <row r="4274" customFormat="false" ht="15" hidden="false" customHeight="false" outlineLevel="0" collapsed="false">
      <c r="C4274" s="41" t="str">
        <f aca="false">IF(A4274="","",TEXT(A4274,"mmm-yyyy"))</f>
        <v/>
      </c>
      <c r="I4274" s="47" t="str">
        <f aca="false">IF(G4274="","",G4274+H4274)</f>
        <v/>
      </c>
    </row>
    <row r="4275" customFormat="false" ht="15" hidden="false" customHeight="false" outlineLevel="0" collapsed="false">
      <c r="C4275" s="41" t="str">
        <f aca="false">IF(A4275="","",TEXT(A4275,"mmm-yyyy"))</f>
        <v/>
      </c>
      <c r="I4275" s="47" t="str">
        <f aca="false">IF(G4275="","",G4275+H4275)</f>
        <v/>
      </c>
    </row>
    <row r="4276" customFormat="false" ht="15" hidden="false" customHeight="false" outlineLevel="0" collapsed="false">
      <c r="C4276" s="41" t="str">
        <f aca="false">IF(A4276="","",TEXT(A4276,"mmm-yyyy"))</f>
        <v/>
      </c>
      <c r="I4276" s="47" t="str">
        <f aca="false">IF(G4276="","",G4276+H4276)</f>
        <v/>
      </c>
    </row>
    <row r="4277" customFormat="false" ht="15" hidden="false" customHeight="false" outlineLevel="0" collapsed="false">
      <c r="C4277" s="41" t="str">
        <f aca="false">IF(A4277="","",TEXT(A4277,"mmm-yyyy"))</f>
        <v/>
      </c>
      <c r="I4277" s="47" t="str">
        <f aca="false">IF(G4277="","",G4277+H4277)</f>
        <v/>
      </c>
    </row>
    <row r="4278" customFormat="false" ht="15" hidden="false" customHeight="false" outlineLevel="0" collapsed="false">
      <c r="C4278" s="41" t="str">
        <f aca="false">IF(A4278="","",TEXT(A4278,"mmm-yyyy"))</f>
        <v/>
      </c>
      <c r="I4278" s="47" t="str">
        <f aca="false">IF(G4278="","",G4278+H4278)</f>
        <v/>
      </c>
    </row>
    <row r="4279" customFormat="false" ht="15" hidden="false" customHeight="false" outlineLevel="0" collapsed="false">
      <c r="C4279" s="41" t="str">
        <f aca="false">IF(A4279="","",TEXT(A4279,"mmm-yyyy"))</f>
        <v/>
      </c>
      <c r="I4279" s="47" t="str">
        <f aca="false">IF(G4279="","",G4279+H4279)</f>
        <v/>
      </c>
    </row>
    <row r="4280" customFormat="false" ht="15" hidden="false" customHeight="false" outlineLevel="0" collapsed="false">
      <c r="C4280" s="41" t="str">
        <f aca="false">IF(A4280="","",TEXT(A4280,"mmm-yyyy"))</f>
        <v/>
      </c>
      <c r="I4280" s="47" t="str">
        <f aca="false">IF(G4280="","",G4280+H4280)</f>
        <v/>
      </c>
    </row>
    <row r="4281" customFormat="false" ht="15" hidden="false" customHeight="false" outlineLevel="0" collapsed="false">
      <c r="C4281" s="41" t="str">
        <f aca="false">IF(A4281="","",TEXT(A4281,"mmm-yyyy"))</f>
        <v/>
      </c>
      <c r="I4281" s="47" t="str">
        <f aca="false">IF(G4281="","",G4281+H4281)</f>
        <v/>
      </c>
    </row>
    <row r="4282" customFormat="false" ht="15" hidden="false" customHeight="false" outlineLevel="0" collapsed="false">
      <c r="C4282" s="41" t="str">
        <f aca="false">IF(A4282="","",TEXT(A4282,"mmm-yyyy"))</f>
        <v/>
      </c>
      <c r="I4282" s="47" t="str">
        <f aca="false">IF(G4282="","",G4282+H4282)</f>
        <v/>
      </c>
    </row>
    <row r="4283" customFormat="false" ht="15" hidden="false" customHeight="false" outlineLevel="0" collapsed="false">
      <c r="C4283" s="41" t="str">
        <f aca="false">IF(A4283="","",TEXT(A4283,"mmm-yyyy"))</f>
        <v/>
      </c>
      <c r="I4283" s="47" t="str">
        <f aca="false">IF(G4283="","",G4283+H4283)</f>
        <v/>
      </c>
    </row>
    <row r="4284" customFormat="false" ht="15" hidden="false" customHeight="false" outlineLevel="0" collapsed="false">
      <c r="C4284" s="41" t="str">
        <f aca="false">IF(A4284="","",TEXT(A4284,"mmm-yyyy"))</f>
        <v/>
      </c>
      <c r="I4284" s="47" t="str">
        <f aca="false">IF(G4284="","",G4284+H4284)</f>
        <v/>
      </c>
    </row>
    <row r="4285" customFormat="false" ht="15" hidden="false" customHeight="false" outlineLevel="0" collapsed="false">
      <c r="C4285" s="41" t="str">
        <f aca="false">IF(A4285="","",TEXT(A4285,"mmm-yyyy"))</f>
        <v/>
      </c>
      <c r="I4285" s="47" t="str">
        <f aca="false">IF(G4285="","",G4285+H4285)</f>
        <v/>
      </c>
    </row>
    <row r="4286" customFormat="false" ht="15" hidden="false" customHeight="false" outlineLevel="0" collapsed="false">
      <c r="C4286" s="41" t="str">
        <f aca="false">IF(A4286="","",TEXT(A4286,"mmm-yyyy"))</f>
        <v/>
      </c>
      <c r="I4286" s="47" t="str">
        <f aca="false">IF(G4286="","",G4286+H4286)</f>
        <v/>
      </c>
    </row>
    <row r="4287" customFormat="false" ht="15" hidden="false" customHeight="false" outlineLevel="0" collapsed="false">
      <c r="C4287" s="41" t="str">
        <f aca="false">IF(A4287="","",TEXT(A4287,"mmm-yyyy"))</f>
        <v/>
      </c>
      <c r="I4287" s="47" t="str">
        <f aca="false">IF(G4287="","",G4287+H4287)</f>
        <v/>
      </c>
    </row>
    <row r="4288" customFormat="false" ht="15" hidden="false" customHeight="false" outlineLevel="0" collapsed="false">
      <c r="C4288" s="41" t="str">
        <f aca="false">IF(A4288="","",TEXT(A4288,"mmm-yyyy"))</f>
        <v/>
      </c>
      <c r="I4288" s="47" t="str">
        <f aca="false">IF(G4288="","",G4288+H4288)</f>
        <v/>
      </c>
    </row>
    <row r="4289" customFormat="false" ht="15" hidden="false" customHeight="false" outlineLevel="0" collapsed="false">
      <c r="C4289" s="41" t="str">
        <f aca="false">IF(A4289="","",TEXT(A4289,"mmm-yyyy"))</f>
        <v/>
      </c>
      <c r="I4289" s="47" t="str">
        <f aca="false">IF(G4289="","",G4289+H4289)</f>
        <v/>
      </c>
    </row>
    <row r="4290" customFormat="false" ht="15" hidden="false" customHeight="false" outlineLevel="0" collapsed="false">
      <c r="C4290" s="41" t="str">
        <f aca="false">IF(A4290="","",TEXT(A4290,"mmm-yyyy"))</f>
        <v/>
      </c>
      <c r="I4290" s="47" t="str">
        <f aca="false">IF(G4290="","",G4290+H4290)</f>
        <v/>
      </c>
    </row>
    <row r="4291" customFormat="false" ht="15" hidden="false" customHeight="false" outlineLevel="0" collapsed="false">
      <c r="C4291" s="41" t="str">
        <f aca="false">IF(A4291="","",TEXT(A4291,"mmm-yyyy"))</f>
        <v/>
      </c>
      <c r="I4291" s="47" t="str">
        <f aca="false">IF(G4291="","",G4291+H4291)</f>
        <v/>
      </c>
    </row>
    <row r="4292" customFormat="false" ht="15" hidden="false" customHeight="false" outlineLevel="0" collapsed="false">
      <c r="C4292" s="41" t="str">
        <f aca="false">IF(A4292="","",TEXT(A4292,"mmm-yyyy"))</f>
        <v/>
      </c>
      <c r="I4292" s="47" t="str">
        <f aca="false">IF(G4292="","",G4292+H4292)</f>
        <v/>
      </c>
    </row>
    <row r="4293" customFormat="false" ht="15" hidden="false" customHeight="false" outlineLevel="0" collapsed="false">
      <c r="C4293" s="41" t="str">
        <f aca="false">IF(A4293="","",TEXT(A4293,"mmm-yyyy"))</f>
        <v/>
      </c>
      <c r="I4293" s="47" t="str">
        <f aca="false">IF(G4293="","",G4293+H4293)</f>
        <v/>
      </c>
    </row>
    <row r="4294" customFormat="false" ht="15" hidden="false" customHeight="false" outlineLevel="0" collapsed="false">
      <c r="C4294" s="41" t="str">
        <f aca="false">IF(A4294="","",TEXT(A4294,"mmm-yyyy"))</f>
        <v/>
      </c>
      <c r="I4294" s="47" t="str">
        <f aca="false">IF(G4294="","",G4294+H4294)</f>
        <v/>
      </c>
    </row>
    <row r="4295" customFormat="false" ht="15" hidden="false" customHeight="false" outlineLevel="0" collapsed="false">
      <c r="C4295" s="41" t="str">
        <f aca="false">IF(A4295="","",TEXT(A4295,"mmm-yyyy"))</f>
        <v/>
      </c>
      <c r="I4295" s="47" t="str">
        <f aca="false">IF(G4295="","",G4295+H4295)</f>
        <v/>
      </c>
    </row>
    <row r="4296" customFormat="false" ht="15" hidden="false" customHeight="false" outlineLevel="0" collapsed="false">
      <c r="C4296" s="41" t="str">
        <f aca="false">IF(A4296="","",TEXT(A4296,"mmm-yyyy"))</f>
        <v/>
      </c>
      <c r="I4296" s="47" t="str">
        <f aca="false">IF(G4296="","",G4296+H4296)</f>
        <v/>
      </c>
    </row>
    <row r="4297" customFormat="false" ht="15" hidden="false" customHeight="false" outlineLevel="0" collapsed="false">
      <c r="C4297" s="41" t="str">
        <f aca="false">IF(A4297="","",TEXT(A4297,"mmm-yyyy"))</f>
        <v/>
      </c>
      <c r="I4297" s="47" t="str">
        <f aca="false">IF(G4297="","",G4297+H4297)</f>
        <v/>
      </c>
    </row>
    <row r="4298" customFormat="false" ht="15" hidden="false" customHeight="false" outlineLevel="0" collapsed="false">
      <c r="C4298" s="41" t="str">
        <f aca="false">IF(A4298="","",TEXT(A4298,"mmm-yyyy"))</f>
        <v/>
      </c>
      <c r="I4298" s="47" t="str">
        <f aca="false">IF(G4298="","",G4298+H4298)</f>
        <v/>
      </c>
    </row>
    <row r="4299" customFormat="false" ht="15" hidden="false" customHeight="false" outlineLevel="0" collapsed="false">
      <c r="C4299" s="41" t="str">
        <f aca="false">IF(A4299="","",TEXT(A4299,"mmm-yyyy"))</f>
        <v/>
      </c>
      <c r="I4299" s="47" t="str">
        <f aca="false">IF(G4299="","",G4299+H4299)</f>
        <v/>
      </c>
    </row>
    <row r="4300" customFormat="false" ht="15" hidden="false" customHeight="false" outlineLevel="0" collapsed="false">
      <c r="C4300" s="41" t="str">
        <f aca="false">IF(A4300="","",TEXT(A4300,"mmm-yyyy"))</f>
        <v/>
      </c>
      <c r="I4300" s="47" t="str">
        <f aca="false">IF(G4300="","",G4300+H4300)</f>
        <v/>
      </c>
    </row>
    <row r="4301" customFormat="false" ht="15" hidden="false" customHeight="false" outlineLevel="0" collapsed="false">
      <c r="C4301" s="41" t="str">
        <f aca="false">IF(A4301="","",TEXT(A4301,"mmm-yyyy"))</f>
        <v/>
      </c>
      <c r="I4301" s="47" t="str">
        <f aca="false">IF(G4301="","",G4301+H4301)</f>
        <v/>
      </c>
    </row>
    <row r="4302" customFormat="false" ht="15" hidden="false" customHeight="false" outlineLevel="0" collapsed="false">
      <c r="C4302" s="41" t="str">
        <f aca="false">IF(A4302="","",TEXT(A4302,"mmm-yyyy"))</f>
        <v/>
      </c>
      <c r="I4302" s="47" t="str">
        <f aca="false">IF(G4302="","",G4302+H4302)</f>
        <v/>
      </c>
    </row>
    <row r="4303" customFormat="false" ht="15" hidden="false" customHeight="false" outlineLevel="0" collapsed="false">
      <c r="C4303" s="41" t="str">
        <f aca="false">IF(A4303="","",TEXT(A4303,"mmm-yyyy"))</f>
        <v/>
      </c>
      <c r="I4303" s="47" t="str">
        <f aca="false">IF(G4303="","",G4303+H4303)</f>
        <v/>
      </c>
    </row>
    <row r="4304" customFormat="false" ht="15" hidden="false" customHeight="false" outlineLevel="0" collapsed="false">
      <c r="C4304" s="41" t="str">
        <f aca="false">IF(A4304="","",TEXT(A4304,"mmm-yyyy"))</f>
        <v/>
      </c>
      <c r="I4304" s="47" t="str">
        <f aca="false">IF(G4304="","",G4304+H4304)</f>
        <v/>
      </c>
    </row>
    <row r="4305" customFormat="false" ht="15" hidden="false" customHeight="false" outlineLevel="0" collapsed="false">
      <c r="C4305" s="41" t="str">
        <f aca="false">IF(A4305="","",TEXT(A4305,"mmm-yyyy"))</f>
        <v/>
      </c>
      <c r="I4305" s="47" t="str">
        <f aca="false">IF(G4305="","",G4305+H4305)</f>
        <v/>
      </c>
    </row>
    <row r="4306" customFormat="false" ht="15" hidden="false" customHeight="false" outlineLevel="0" collapsed="false">
      <c r="C4306" s="41" t="str">
        <f aca="false">IF(A4306="","",TEXT(A4306,"mmm-yyyy"))</f>
        <v/>
      </c>
      <c r="I4306" s="47" t="str">
        <f aca="false">IF(G4306="","",G4306+H4306)</f>
        <v/>
      </c>
    </row>
    <row r="4307" customFormat="false" ht="15" hidden="false" customHeight="false" outlineLevel="0" collapsed="false">
      <c r="C4307" s="41" t="str">
        <f aca="false">IF(A4307="","",TEXT(A4307,"mmm-yyyy"))</f>
        <v/>
      </c>
      <c r="I4307" s="47" t="str">
        <f aca="false">IF(G4307="","",G4307+H4307)</f>
        <v/>
      </c>
    </row>
    <row r="4308" customFormat="false" ht="15" hidden="false" customHeight="false" outlineLevel="0" collapsed="false">
      <c r="C4308" s="41" t="str">
        <f aca="false">IF(A4308="","",TEXT(A4308,"mmm-yyyy"))</f>
        <v/>
      </c>
      <c r="I4308" s="47" t="str">
        <f aca="false">IF(G4308="","",G4308+H4308)</f>
        <v/>
      </c>
    </row>
    <row r="4309" customFormat="false" ht="15" hidden="false" customHeight="false" outlineLevel="0" collapsed="false">
      <c r="C4309" s="41" t="str">
        <f aca="false">IF(A4309="","",TEXT(A4309,"mmm-yyyy"))</f>
        <v/>
      </c>
      <c r="I4309" s="47" t="str">
        <f aca="false">IF(G4309="","",G4309+H4309)</f>
        <v/>
      </c>
    </row>
    <row r="4310" customFormat="false" ht="15" hidden="false" customHeight="false" outlineLevel="0" collapsed="false">
      <c r="C4310" s="41" t="str">
        <f aca="false">IF(A4310="","",TEXT(A4310,"mmm-yyyy"))</f>
        <v/>
      </c>
      <c r="I4310" s="47" t="str">
        <f aca="false">IF(G4310="","",G4310+H4310)</f>
        <v/>
      </c>
    </row>
    <row r="4311" customFormat="false" ht="15" hidden="false" customHeight="false" outlineLevel="0" collapsed="false">
      <c r="C4311" s="41" t="str">
        <f aca="false">IF(A4311="","",TEXT(A4311,"mmm-yyyy"))</f>
        <v/>
      </c>
      <c r="I4311" s="47" t="str">
        <f aca="false">IF(G4311="","",G4311+H4311)</f>
        <v/>
      </c>
    </row>
    <row r="4312" customFormat="false" ht="15" hidden="false" customHeight="false" outlineLevel="0" collapsed="false">
      <c r="C4312" s="41" t="str">
        <f aca="false">IF(A4312="","",TEXT(A4312,"mmm-yyyy"))</f>
        <v/>
      </c>
      <c r="I4312" s="47" t="str">
        <f aca="false">IF(G4312="","",G4312+H4312)</f>
        <v/>
      </c>
    </row>
    <row r="4313" customFormat="false" ht="15" hidden="false" customHeight="false" outlineLevel="0" collapsed="false">
      <c r="C4313" s="41" t="str">
        <f aca="false">IF(A4313="","",TEXT(A4313,"mmm-yyyy"))</f>
        <v/>
      </c>
      <c r="I4313" s="47" t="str">
        <f aca="false">IF(G4313="","",G4313+H4313)</f>
        <v/>
      </c>
    </row>
    <row r="4314" customFormat="false" ht="15" hidden="false" customHeight="false" outlineLevel="0" collapsed="false">
      <c r="C4314" s="41" t="str">
        <f aca="false">IF(A4314="","",TEXT(A4314,"mmm-yyyy"))</f>
        <v/>
      </c>
      <c r="I4314" s="47" t="str">
        <f aca="false">IF(G4314="","",G4314+H4314)</f>
        <v/>
      </c>
    </row>
    <row r="4315" customFormat="false" ht="15" hidden="false" customHeight="false" outlineLevel="0" collapsed="false">
      <c r="C4315" s="41" t="str">
        <f aca="false">IF(A4315="","",TEXT(A4315,"mmm-yyyy"))</f>
        <v/>
      </c>
      <c r="I4315" s="47" t="str">
        <f aca="false">IF(G4315="","",G4315+H4315)</f>
        <v/>
      </c>
    </row>
    <row r="4316" customFormat="false" ht="15" hidden="false" customHeight="false" outlineLevel="0" collapsed="false">
      <c r="C4316" s="41" t="str">
        <f aca="false">IF(A4316="","",TEXT(A4316,"mmm-yyyy"))</f>
        <v/>
      </c>
      <c r="I4316" s="47" t="str">
        <f aca="false">IF(G4316="","",G4316+H4316)</f>
        <v/>
      </c>
    </row>
    <row r="4317" customFormat="false" ht="15" hidden="false" customHeight="false" outlineLevel="0" collapsed="false">
      <c r="C4317" s="41" t="str">
        <f aca="false">IF(A4317="","",TEXT(A4317,"mmm-yyyy"))</f>
        <v/>
      </c>
      <c r="I4317" s="47" t="str">
        <f aca="false">IF(G4317="","",G4317+H4317)</f>
        <v/>
      </c>
    </row>
    <row r="4318" customFormat="false" ht="15" hidden="false" customHeight="false" outlineLevel="0" collapsed="false">
      <c r="C4318" s="41" t="str">
        <f aca="false">IF(A4318="","",TEXT(A4318,"mmm-yyyy"))</f>
        <v/>
      </c>
      <c r="I4318" s="47" t="str">
        <f aca="false">IF(G4318="","",G4318+H4318)</f>
        <v/>
      </c>
    </row>
    <row r="4319" customFormat="false" ht="15" hidden="false" customHeight="false" outlineLevel="0" collapsed="false">
      <c r="C4319" s="41" t="str">
        <f aca="false">IF(A4319="","",TEXT(A4319,"mmm-yyyy"))</f>
        <v/>
      </c>
      <c r="I4319" s="47" t="str">
        <f aca="false">IF(G4319="","",G4319+H4319)</f>
        <v/>
      </c>
    </row>
    <row r="4320" customFormat="false" ht="15" hidden="false" customHeight="false" outlineLevel="0" collapsed="false">
      <c r="C4320" s="41" t="str">
        <f aca="false">IF(A4320="","",TEXT(A4320,"mmm-yyyy"))</f>
        <v/>
      </c>
      <c r="I4320" s="47" t="str">
        <f aca="false">IF(G4320="","",G4320+H4320)</f>
        <v/>
      </c>
    </row>
    <row r="4321" customFormat="false" ht="15" hidden="false" customHeight="false" outlineLevel="0" collapsed="false">
      <c r="C4321" s="41" t="str">
        <f aca="false">IF(A4321="","",TEXT(A4321,"mmm-yyyy"))</f>
        <v/>
      </c>
      <c r="I4321" s="47" t="str">
        <f aca="false">IF(G4321="","",G4321+H4321)</f>
        <v/>
      </c>
    </row>
    <row r="4322" customFormat="false" ht="15" hidden="false" customHeight="false" outlineLevel="0" collapsed="false">
      <c r="C4322" s="41" t="str">
        <f aca="false">IF(A4322="","",TEXT(A4322,"mmm-yyyy"))</f>
        <v/>
      </c>
      <c r="I4322" s="47" t="str">
        <f aca="false">IF(G4322="","",G4322+H4322)</f>
        <v/>
      </c>
    </row>
    <row r="4323" customFormat="false" ht="15" hidden="false" customHeight="false" outlineLevel="0" collapsed="false">
      <c r="C4323" s="41" t="str">
        <f aca="false">IF(A4323="","",TEXT(A4323,"mmm-yyyy"))</f>
        <v/>
      </c>
      <c r="I4323" s="47" t="str">
        <f aca="false">IF(G4323="","",G4323+H4323)</f>
        <v/>
      </c>
    </row>
    <row r="4324" customFormat="false" ht="15" hidden="false" customHeight="false" outlineLevel="0" collapsed="false">
      <c r="C4324" s="41" t="str">
        <f aca="false">IF(A4324="","",TEXT(A4324,"mmm-yyyy"))</f>
        <v/>
      </c>
      <c r="I4324" s="47" t="str">
        <f aca="false">IF(G4324="","",G4324+H4324)</f>
        <v/>
      </c>
    </row>
    <row r="4325" customFormat="false" ht="15" hidden="false" customHeight="false" outlineLevel="0" collapsed="false">
      <c r="C4325" s="41" t="str">
        <f aca="false">IF(A4325="","",TEXT(A4325,"mmm-yyyy"))</f>
        <v/>
      </c>
      <c r="I4325" s="47" t="str">
        <f aca="false">IF(G4325="","",G4325+H4325)</f>
        <v/>
      </c>
    </row>
    <row r="4326" customFormat="false" ht="15" hidden="false" customHeight="false" outlineLevel="0" collapsed="false">
      <c r="C4326" s="41" t="str">
        <f aca="false">IF(A4326="","",TEXT(A4326,"mmm-yyyy"))</f>
        <v/>
      </c>
      <c r="I4326" s="47" t="str">
        <f aca="false">IF(G4326="","",G4326+H4326)</f>
        <v/>
      </c>
    </row>
    <row r="4327" customFormat="false" ht="15" hidden="false" customHeight="false" outlineLevel="0" collapsed="false">
      <c r="C4327" s="41" t="str">
        <f aca="false">IF(A4327="","",TEXT(A4327,"mmm-yyyy"))</f>
        <v/>
      </c>
      <c r="I4327" s="47" t="str">
        <f aca="false">IF(G4327="","",G4327+H4327)</f>
        <v/>
      </c>
    </row>
    <row r="4328" customFormat="false" ht="15" hidden="false" customHeight="false" outlineLevel="0" collapsed="false">
      <c r="C4328" s="41" t="str">
        <f aca="false">IF(A4328="","",TEXT(A4328,"mmm-yyyy"))</f>
        <v/>
      </c>
      <c r="I4328" s="47" t="str">
        <f aca="false">IF(G4328="","",G4328+H4328)</f>
        <v/>
      </c>
    </row>
    <row r="4329" customFormat="false" ht="15" hidden="false" customHeight="false" outlineLevel="0" collapsed="false">
      <c r="C4329" s="41" t="str">
        <f aca="false">IF(A4329="","",TEXT(A4329,"mmm-yyyy"))</f>
        <v/>
      </c>
      <c r="I4329" s="47" t="str">
        <f aca="false">IF(G4329="","",G4329+H4329)</f>
        <v/>
      </c>
    </row>
    <row r="4330" customFormat="false" ht="15" hidden="false" customHeight="false" outlineLevel="0" collapsed="false">
      <c r="C4330" s="41" t="str">
        <f aca="false">IF(A4330="","",TEXT(A4330,"mmm-yyyy"))</f>
        <v/>
      </c>
      <c r="I4330" s="47" t="str">
        <f aca="false">IF(G4330="","",G4330+H4330)</f>
        <v/>
      </c>
    </row>
    <row r="4331" customFormat="false" ht="15" hidden="false" customHeight="false" outlineLevel="0" collapsed="false">
      <c r="C4331" s="41" t="str">
        <f aca="false">IF(A4331="","",TEXT(A4331,"mmm-yyyy"))</f>
        <v/>
      </c>
      <c r="I4331" s="47" t="str">
        <f aca="false">IF(G4331="","",G4331+H4331)</f>
        <v/>
      </c>
    </row>
    <row r="4332" customFormat="false" ht="15" hidden="false" customHeight="false" outlineLevel="0" collapsed="false">
      <c r="C4332" s="41" t="str">
        <f aca="false">IF(A4332="","",TEXT(A4332,"mmm-yyyy"))</f>
        <v/>
      </c>
      <c r="I4332" s="47" t="str">
        <f aca="false">IF(G4332="","",G4332+H4332)</f>
        <v/>
      </c>
    </row>
    <row r="4333" customFormat="false" ht="15" hidden="false" customHeight="false" outlineLevel="0" collapsed="false">
      <c r="C4333" s="41" t="str">
        <f aca="false">IF(A4333="","",TEXT(A4333,"mmm-yyyy"))</f>
        <v/>
      </c>
      <c r="I4333" s="47" t="str">
        <f aca="false">IF(G4333="","",G4333+H4333)</f>
        <v/>
      </c>
    </row>
    <row r="4334" customFormat="false" ht="15" hidden="false" customHeight="false" outlineLevel="0" collapsed="false">
      <c r="C4334" s="41" t="str">
        <f aca="false">IF(A4334="","",TEXT(A4334,"mmm-yyyy"))</f>
        <v/>
      </c>
      <c r="I4334" s="47" t="str">
        <f aca="false">IF(G4334="","",G4334+H4334)</f>
        <v/>
      </c>
    </row>
    <row r="4335" customFormat="false" ht="15" hidden="false" customHeight="false" outlineLevel="0" collapsed="false">
      <c r="C4335" s="41" t="str">
        <f aca="false">IF(A4335="","",TEXT(A4335,"mmm-yyyy"))</f>
        <v/>
      </c>
      <c r="I4335" s="47" t="str">
        <f aca="false">IF(G4335="","",G4335+H4335)</f>
        <v/>
      </c>
    </row>
    <row r="4336" customFormat="false" ht="15" hidden="false" customHeight="false" outlineLevel="0" collapsed="false">
      <c r="C4336" s="41" t="str">
        <f aca="false">IF(A4336="","",TEXT(A4336,"mmm-yyyy"))</f>
        <v/>
      </c>
      <c r="I4336" s="47" t="str">
        <f aca="false">IF(G4336="","",G4336+H4336)</f>
        <v/>
      </c>
    </row>
    <row r="4337" customFormat="false" ht="15" hidden="false" customHeight="false" outlineLevel="0" collapsed="false">
      <c r="C4337" s="41" t="str">
        <f aca="false">IF(A4337="","",TEXT(A4337,"mmm-yyyy"))</f>
        <v/>
      </c>
      <c r="I4337" s="47" t="str">
        <f aca="false">IF(G4337="","",G4337+H4337)</f>
        <v/>
      </c>
    </row>
    <row r="4338" customFormat="false" ht="15" hidden="false" customHeight="false" outlineLevel="0" collapsed="false">
      <c r="C4338" s="41" t="str">
        <f aca="false">IF(A4338="","",TEXT(A4338,"mmm-yyyy"))</f>
        <v/>
      </c>
      <c r="I4338" s="47" t="str">
        <f aca="false">IF(G4338="","",G4338+H4338)</f>
        <v/>
      </c>
    </row>
    <row r="4339" customFormat="false" ht="15" hidden="false" customHeight="false" outlineLevel="0" collapsed="false">
      <c r="C4339" s="41" t="str">
        <f aca="false">IF(A4339="","",TEXT(A4339,"mmm-yyyy"))</f>
        <v/>
      </c>
      <c r="I4339" s="47" t="str">
        <f aca="false">IF(G4339="","",G4339+H4339)</f>
        <v/>
      </c>
    </row>
    <row r="4340" customFormat="false" ht="15" hidden="false" customHeight="false" outlineLevel="0" collapsed="false">
      <c r="C4340" s="41" t="str">
        <f aca="false">IF(A4340="","",TEXT(A4340,"mmm-yyyy"))</f>
        <v/>
      </c>
      <c r="I4340" s="47" t="str">
        <f aca="false">IF(G4340="","",G4340+H4340)</f>
        <v/>
      </c>
    </row>
    <row r="4341" customFormat="false" ht="15" hidden="false" customHeight="false" outlineLevel="0" collapsed="false">
      <c r="C4341" s="41" t="str">
        <f aca="false">IF(A4341="","",TEXT(A4341,"mmm-yyyy"))</f>
        <v/>
      </c>
      <c r="I4341" s="47" t="str">
        <f aca="false">IF(G4341="","",G4341+H4341)</f>
        <v/>
      </c>
    </row>
    <row r="4342" customFormat="false" ht="15" hidden="false" customHeight="false" outlineLevel="0" collapsed="false">
      <c r="C4342" s="41" t="str">
        <f aca="false">IF(A4342="","",TEXT(A4342,"mmm-yyyy"))</f>
        <v/>
      </c>
      <c r="I4342" s="47" t="str">
        <f aca="false">IF(G4342="","",G4342+H4342)</f>
        <v/>
      </c>
    </row>
    <row r="4343" customFormat="false" ht="15" hidden="false" customHeight="false" outlineLevel="0" collapsed="false">
      <c r="C4343" s="41" t="str">
        <f aca="false">IF(A4343="","",TEXT(A4343,"mmm-yyyy"))</f>
        <v/>
      </c>
      <c r="I4343" s="47" t="str">
        <f aca="false">IF(G4343="","",G4343+H4343)</f>
        <v/>
      </c>
    </row>
    <row r="4344" customFormat="false" ht="15" hidden="false" customHeight="false" outlineLevel="0" collapsed="false">
      <c r="C4344" s="41" t="str">
        <f aca="false">IF(A4344="","",TEXT(A4344,"mmm-yyyy"))</f>
        <v/>
      </c>
      <c r="I4344" s="47" t="str">
        <f aca="false">IF(G4344="","",G4344+H4344)</f>
        <v/>
      </c>
    </row>
    <row r="4345" customFormat="false" ht="15" hidden="false" customHeight="false" outlineLevel="0" collapsed="false">
      <c r="C4345" s="41" t="str">
        <f aca="false">IF(A4345="","",TEXT(A4345,"mmm-yyyy"))</f>
        <v/>
      </c>
      <c r="I4345" s="47" t="str">
        <f aca="false">IF(G4345="","",G4345+H4345)</f>
        <v/>
      </c>
    </row>
    <row r="4346" customFormat="false" ht="15" hidden="false" customHeight="false" outlineLevel="0" collapsed="false">
      <c r="C4346" s="41" t="str">
        <f aca="false">IF(A4346="","",TEXT(A4346,"mmm-yyyy"))</f>
        <v/>
      </c>
      <c r="I4346" s="47" t="str">
        <f aca="false">IF(G4346="","",G4346+H4346)</f>
        <v/>
      </c>
    </row>
    <row r="4347" customFormat="false" ht="15" hidden="false" customHeight="false" outlineLevel="0" collapsed="false">
      <c r="C4347" s="41" t="str">
        <f aca="false">IF(A4347="","",TEXT(A4347,"mmm-yyyy"))</f>
        <v/>
      </c>
      <c r="I4347" s="47" t="str">
        <f aca="false">IF(G4347="","",G4347+H4347)</f>
        <v/>
      </c>
    </row>
    <row r="4348" customFormat="false" ht="15" hidden="false" customHeight="false" outlineLevel="0" collapsed="false">
      <c r="C4348" s="41" t="str">
        <f aca="false">IF(A4348="","",TEXT(A4348,"mmm-yyyy"))</f>
        <v/>
      </c>
      <c r="I4348" s="47" t="str">
        <f aca="false">IF(G4348="","",G4348+H4348)</f>
        <v/>
      </c>
    </row>
    <row r="4349" customFormat="false" ht="15" hidden="false" customHeight="false" outlineLevel="0" collapsed="false">
      <c r="C4349" s="41" t="str">
        <f aca="false">IF(A4349="","",TEXT(A4349,"mmm-yyyy"))</f>
        <v/>
      </c>
      <c r="I4349" s="47" t="str">
        <f aca="false">IF(G4349="","",G4349+H4349)</f>
        <v/>
      </c>
    </row>
    <row r="4350" customFormat="false" ht="15" hidden="false" customHeight="false" outlineLevel="0" collapsed="false">
      <c r="C4350" s="41" t="str">
        <f aca="false">IF(A4350="","",TEXT(A4350,"mmm-yyyy"))</f>
        <v/>
      </c>
      <c r="I4350" s="47" t="str">
        <f aca="false">IF(G4350="","",G4350+H4350)</f>
        <v/>
      </c>
    </row>
    <row r="4351" customFormat="false" ht="15" hidden="false" customHeight="false" outlineLevel="0" collapsed="false">
      <c r="C4351" s="41" t="str">
        <f aca="false">IF(A4351="","",TEXT(A4351,"mmm-yyyy"))</f>
        <v/>
      </c>
      <c r="I4351" s="47" t="str">
        <f aca="false">IF(G4351="","",G4351+H4351)</f>
        <v/>
      </c>
    </row>
    <row r="4352" customFormat="false" ht="15" hidden="false" customHeight="false" outlineLevel="0" collapsed="false">
      <c r="C4352" s="41" t="str">
        <f aca="false">IF(A4352="","",TEXT(A4352,"mmm-yyyy"))</f>
        <v/>
      </c>
      <c r="I4352" s="47" t="str">
        <f aca="false">IF(G4352="","",G4352+H4352)</f>
        <v/>
      </c>
    </row>
    <row r="4353" customFormat="false" ht="15" hidden="false" customHeight="false" outlineLevel="0" collapsed="false">
      <c r="C4353" s="41" t="str">
        <f aca="false">IF(A4353="","",TEXT(A4353,"mmm-yyyy"))</f>
        <v/>
      </c>
      <c r="I4353" s="47" t="str">
        <f aca="false">IF(G4353="","",G4353+H4353)</f>
        <v/>
      </c>
    </row>
    <row r="4354" customFormat="false" ht="15" hidden="false" customHeight="false" outlineLevel="0" collapsed="false">
      <c r="C4354" s="41" t="str">
        <f aca="false">IF(A4354="","",TEXT(A4354,"mmm-yyyy"))</f>
        <v/>
      </c>
      <c r="I4354" s="47" t="str">
        <f aca="false">IF(G4354="","",G4354+H4354)</f>
        <v/>
      </c>
    </row>
    <row r="4355" customFormat="false" ht="15" hidden="false" customHeight="false" outlineLevel="0" collapsed="false">
      <c r="C4355" s="41" t="str">
        <f aca="false">IF(A4355="","",TEXT(A4355,"mmm-yyyy"))</f>
        <v/>
      </c>
      <c r="I4355" s="47" t="str">
        <f aca="false">IF(G4355="","",G4355+H4355)</f>
        <v/>
      </c>
    </row>
    <row r="4356" customFormat="false" ht="15" hidden="false" customHeight="false" outlineLevel="0" collapsed="false">
      <c r="C4356" s="41" t="str">
        <f aca="false">IF(A4356="","",TEXT(A4356,"mmm-yyyy"))</f>
        <v/>
      </c>
      <c r="I4356" s="47" t="str">
        <f aca="false">IF(G4356="","",G4356+H4356)</f>
        <v/>
      </c>
    </row>
    <row r="4357" customFormat="false" ht="15" hidden="false" customHeight="false" outlineLevel="0" collapsed="false">
      <c r="C4357" s="41" t="str">
        <f aca="false">IF(A4357="","",TEXT(A4357,"mmm-yyyy"))</f>
        <v/>
      </c>
      <c r="I4357" s="47" t="str">
        <f aca="false">IF(G4357="","",G4357+H4357)</f>
        <v/>
      </c>
    </row>
    <row r="4358" customFormat="false" ht="15" hidden="false" customHeight="false" outlineLevel="0" collapsed="false">
      <c r="C4358" s="41" t="str">
        <f aca="false">IF(A4358="","",TEXT(A4358,"mmm-yyyy"))</f>
        <v/>
      </c>
      <c r="I4358" s="47" t="str">
        <f aca="false">IF(G4358="","",G4358+H4358)</f>
        <v/>
      </c>
    </row>
    <row r="4359" customFormat="false" ht="15" hidden="false" customHeight="false" outlineLevel="0" collapsed="false">
      <c r="C4359" s="41" t="str">
        <f aca="false">IF(A4359="","",TEXT(A4359,"mmm-yyyy"))</f>
        <v/>
      </c>
      <c r="I4359" s="47" t="str">
        <f aca="false">IF(G4359="","",G4359+H4359)</f>
        <v/>
      </c>
    </row>
    <row r="4360" customFormat="false" ht="15" hidden="false" customHeight="false" outlineLevel="0" collapsed="false">
      <c r="C4360" s="41" t="str">
        <f aca="false">IF(A4360="","",TEXT(A4360,"mmm-yyyy"))</f>
        <v/>
      </c>
      <c r="I4360" s="47" t="str">
        <f aca="false">IF(G4360="","",G4360+H4360)</f>
        <v/>
      </c>
    </row>
    <row r="4361" customFormat="false" ht="15" hidden="false" customHeight="false" outlineLevel="0" collapsed="false">
      <c r="C4361" s="41" t="str">
        <f aca="false">IF(A4361="","",TEXT(A4361,"mmm-yyyy"))</f>
        <v/>
      </c>
      <c r="I4361" s="47" t="str">
        <f aca="false">IF(G4361="","",G4361+H4361)</f>
        <v/>
      </c>
    </row>
    <row r="4362" customFormat="false" ht="15" hidden="false" customHeight="false" outlineLevel="0" collapsed="false">
      <c r="C4362" s="41" t="str">
        <f aca="false">IF(A4362="","",TEXT(A4362,"mmm-yyyy"))</f>
        <v/>
      </c>
      <c r="I4362" s="47" t="str">
        <f aca="false">IF(G4362="","",G4362+H4362)</f>
        <v/>
      </c>
    </row>
    <row r="4363" customFormat="false" ht="15" hidden="false" customHeight="false" outlineLevel="0" collapsed="false">
      <c r="C4363" s="41" t="str">
        <f aca="false">IF(A4363="","",TEXT(A4363,"mmm-yyyy"))</f>
        <v/>
      </c>
      <c r="I4363" s="47" t="str">
        <f aca="false">IF(G4363="","",G4363+H4363)</f>
        <v/>
      </c>
    </row>
    <row r="4364" customFormat="false" ht="15" hidden="false" customHeight="false" outlineLevel="0" collapsed="false">
      <c r="C4364" s="41" t="str">
        <f aca="false">IF(A4364="","",TEXT(A4364,"mmm-yyyy"))</f>
        <v/>
      </c>
      <c r="I4364" s="47" t="str">
        <f aca="false">IF(G4364="","",G4364+H4364)</f>
        <v/>
      </c>
    </row>
    <row r="4365" customFormat="false" ht="15" hidden="false" customHeight="false" outlineLevel="0" collapsed="false">
      <c r="C4365" s="41" t="str">
        <f aca="false">IF(A4365="","",TEXT(A4365,"mmm-yyyy"))</f>
        <v/>
      </c>
      <c r="I4365" s="47" t="str">
        <f aca="false">IF(G4365="","",G4365+H4365)</f>
        <v/>
      </c>
    </row>
    <row r="4366" customFormat="false" ht="15" hidden="false" customHeight="false" outlineLevel="0" collapsed="false">
      <c r="C4366" s="41" t="str">
        <f aca="false">IF(A4366="","",TEXT(A4366,"mmm-yyyy"))</f>
        <v/>
      </c>
      <c r="I4366" s="47" t="str">
        <f aca="false">IF(G4366="","",G4366+H4366)</f>
        <v/>
      </c>
    </row>
    <row r="4367" customFormat="false" ht="15" hidden="false" customHeight="false" outlineLevel="0" collapsed="false">
      <c r="C4367" s="41" t="str">
        <f aca="false">IF(A4367="","",TEXT(A4367,"mmm-yyyy"))</f>
        <v/>
      </c>
      <c r="I4367" s="47" t="str">
        <f aca="false">IF(G4367="","",G4367+H4367)</f>
        <v/>
      </c>
    </row>
    <row r="4368" customFormat="false" ht="15" hidden="false" customHeight="false" outlineLevel="0" collapsed="false">
      <c r="C4368" s="41" t="str">
        <f aca="false">IF(A4368="","",TEXT(A4368,"mmm-yyyy"))</f>
        <v/>
      </c>
      <c r="I4368" s="47" t="str">
        <f aca="false">IF(G4368="","",G4368+H4368)</f>
        <v/>
      </c>
    </row>
    <row r="4369" customFormat="false" ht="15" hidden="false" customHeight="false" outlineLevel="0" collapsed="false">
      <c r="C4369" s="41" t="str">
        <f aca="false">IF(A4369="","",TEXT(A4369,"mmm-yyyy"))</f>
        <v/>
      </c>
      <c r="I4369" s="47" t="str">
        <f aca="false">IF(G4369="","",G4369+H4369)</f>
        <v/>
      </c>
    </row>
    <row r="4370" customFormat="false" ht="15" hidden="false" customHeight="false" outlineLevel="0" collapsed="false">
      <c r="C4370" s="41" t="str">
        <f aca="false">IF(A4370="","",TEXT(A4370,"mmm-yyyy"))</f>
        <v/>
      </c>
      <c r="I4370" s="47" t="str">
        <f aca="false">IF(G4370="","",G4370+H4370)</f>
        <v/>
      </c>
    </row>
    <row r="4371" customFormat="false" ht="15" hidden="false" customHeight="false" outlineLevel="0" collapsed="false">
      <c r="C4371" s="41" t="str">
        <f aca="false">IF(A4371="","",TEXT(A4371,"mmm-yyyy"))</f>
        <v/>
      </c>
      <c r="I4371" s="47" t="str">
        <f aca="false">IF(G4371="","",G4371+H4371)</f>
        <v/>
      </c>
    </row>
    <row r="4372" customFormat="false" ht="15" hidden="false" customHeight="false" outlineLevel="0" collapsed="false">
      <c r="C4372" s="41" t="str">
        <f aca="false">IF(A4372="","",TEXT(A4372,"mmm-yyyy"))</f>
        <v/>
      </c>
      <c r="I4372" s="47" t="str">
        <f aca="false">IF(G4372="","",G4372+H4372)</f>
        <v/>
      </c>
    </row>
    <row r="4373" customFormat="false" ht="15" hidden="false" customHeight="false" outlineLevel="0" collapsed="false">
      <c r="C4373" s="41" t="str">
        <f aca="false">IF(A4373="","",TEXT(A4373,"mmm-yyyy"))</f>
        <v/>
      </c>
      <c r="I4373" s="47" t="str">
        <f aca="false">IF(G4373="","",G4373+H4373)</f>
        <v/>
      </c>
    </row>
    <row r="4374" customFormat="false" ht="15" hidden="false" customHeight="false" outlineLevel="0" collapsed="false">
      <c r="C4374" s="41" t="str">
        <f aca="false">IF(A4374="","",TEXT(A4374,"mmm-yyyy"))</f>
        <v/>
      </c>
      <c r="I4374" s="47" t="str">
        <f aca="false">IF(G4374="","",G4374+H4374)</f>
        <v/>
      </c>
    </row>
    <row r="4375" customFormat="false" ht="15" hidden="false" customHeight="false" outlineLevel="0" collapsed="false">
      <c r="C4375" s="41" t="str">
        <f aca="false">IF(A4375="","",TEXT(A4375,"mmm-yyyy"))</f>
        <v/>
      </c>
      <c r="I4375" s="47" t="str">
        <f aca="false">IF(G4375="","",G4375+H4375)</f>
        <v/>
      </c>
    </row>
    <row r="4376" customFormat="false" ht="15" hidden="false" customHeight="false" outlineLevel="0" collapsed="false">
      <c r="C4376" s="41" t="str">
        <f aca="false">IF(A4376="","",TEXT(A4376,"mmm-yyyy"))</f>
        <v/>
      </c>
      <c r="I4376" s="47" t="str">
        <f aca="false">IF(G4376="","",G4376+H4376)</f>
        <v/>
      </c>
    </row>
    <row r="4377" customFormat="false" ht="15" hidden="false" customHeight="false" outlineLevel="0" collapsed="false">
      <c r="C4377" s="41" t="str">
        <f aca="false">IF(A4377="","",TEXT(A4377,"mmm-yyyy"))</f>
        <v/>
      </c>
      <c r="I4377" s="47" t="str">
        <f aca="false">IF(G4377="","",G4377+H4377)</f>
        <v/>
      </c>
    </row>
    <row r="4378" customFormat="false" ht="15" hidden="false" customHeight="false" outlineLevel="0" collapsed="false">
      <c r="C4378" s="41" t="str">
        <f aca="false">IF(A4378="","",TEXT(A4378,"mmm-yyyy"))</f>
        <v/>
      </c>
      <c r="I4378" s="47" t="str">
        <f aca="false">IF(G4378="","",G4378+H4378)</f>
        <v/>
      </c>
    </row>
    <row r="4379" customFormat="false" ht="15" hidden="false" customHeight="false" outlineLevel="0" collapsed="false">
      <c r="C4379" s="41" t="str">
        <f aca="false">IF(A4379="","",TEXT(A4379,"mmm-yyyy"))</f>
        <v/>
      </c>
      <c r="I4379" s="47" t="str">
        <f aca="false">IF(G4379="","",G4379+H4379)</f>
        <v/>
      </c>
    </row>
    <row r="4380" customFormat="false" ht="15" hidden="false" customHeight="false" outlineLevel="0" collapsed="false">
      <c r="C4380" s="41" t="str">
        <f aca="false">IF(A4380="","",TEXT(A4380,"mmm-yyyy"))</f>
        <v/>
      </c>
      <c r="I4380" s="47" t="str">
        <f aca="false">IF(G4380="","",G4380+H4380)</f>
        <v/>
      </c>
    </row>
    <row r="4381" customFormat="false" ht="15" hidden="false" customHeight="false" outlineLevel="0" collapsed="false">
      <c r="C4381" s="41" t="str">
        <f aca="false">IF(A4381="","",TEXT(A4381,"mmm-yyyy"))</f>
        <v/>
      </c>
      <c r="I4381" s="47" t="str">
        <f aca="false">IF(G4381="","",G4381+H4381)</f>
        <v/>
      </c>
    </row>
    <row r="4382" customFormat="false" ht="15" hidden="false" customHeight="false" outlineLevel="0" collapsed="false">
      <c r="C4382" s="41" t="str">
        <f aca="false">IF(A4382="","",TEXT(A4382,"mmm-yyyy"))</f>
        <v/>
      </c>
      <c r="I4382" s="47" t="str">
        <f aca="false">IF(G4382="","",G4382+H4382)</f>
        <v/>
      </c>
    </row>
    <row r="4383" customFormat="false" ht="15" hidden="false" customHeight="false" outlineLevel="0" collapsed="false">
      <c r="C4383" s="41" t="str">
        <f aca="false">IF(A4383="","",TEXT(A4383,"mmm-yyyy"))</f>
        <v/>
      </c>
      <c r="I4383" s="47" t="str">
        <f aca="false">IF(G4383="","",G4383+H4383)</f>
        <v/>
      </c>
    </row>
    <row r="4384" customFormat="false" ht="15" hidden="false" customHeight="false" outlineLevel="0" collapsed="false">
      <c r="C4384" s="41" t="str">
        <f aca="false">IF(A4384="","",TEXT(A4384,"mmm-yyyy"))</f>
        <v/>
      </c>
      <c r="I4384" s="47" t="str">
        <f aca="false">IF(G4384="","",G4384+H4384)</f>
        <v/>
      </c>
    </row>
    <row r="4385" customFormat="false" ht="15" hidden="false" customHeight="false" outlineLevel="0" collapsed="false">
      <c r="C4385" s="41" t="str">
        <f aca="false">IF(A4385="","",TEXT(A4385,"mmm-yyyy"))</f>
        <v/>
      </c>
      <c r="I4385" s="47" t="str">
        <f aca="false">IF(G4385="","",G4385+H4385)</f>
        <v/>
      </c>
    </row>
    <row r="4386" customFormat="false" ht="15" hidden="false" customHeight="false" outlineLevel="0" collapsed="false">
      <c r="C4386" s="41" t="str">
        <f aca="false">IF(A4386="","",TEXT(A4386,"mmm-yyyy"))</f>
        <v/>
      </c>
      <c r="I4386" s="47" t="str">
        <f aca="false">IF(G4386="","",G4386+H4386)</f>
        <v/>
      </c>
    </row>
    <row r="4387" customFormat="false" ht="15" hidden="false" customHeight="false" outlineLevel="0" collapsed="false">
      <c r="C4387" s="41" t="str">
        <f aca="false">IF(A4387="","",TEXT(A4387,"mmm-yyyy"))</f>
        <v/>
      </c>
      <c r="I4387" s="47" t="str">
        <f aca="false">IF(G4387="","",G4387+H4387)</f>
        <v/>
      </c>
    </row>
    <row r="4388" customFormat="false" ht="15" hidden="false" customHeight="false" outlineLevel="0" collapsed="false">
      <c r="C4388" s="41" t="str">
        <f aca="false">IF(A4388="","",TEXT(A4388,"mmm-yyyy"))</f>
        <v/>
      </c>
      <c r="I4388" s="47" t="str">
        <f aca="false">IF(G4388="","",G4388+H4388)</f>
        <v/>
      </c>
    </row>
    <row r="4389" customFormat="false" ht="15" hidden="false" customHeight="false" outlineLevel="0" collapsed="false">
      <c r="C4389" s="41" t="str">
        <f aca="false">IF(A4389="","",TEXT(A4389,"mmm-yyyy"))</f>
        <v/>
      </c>
      <c r="I4389" s="47" t="str">
        <f aca="false">IF(G4389="","",G4389+H4389)</f>
        <v/>
      </c>
    </row>
    <row r="4390" customFormat="false" ht="15" hidden="false" customHeight="false" outlineLevel="0" collapsed="false">
      <c r="C4390" s="41" t="str">
        <f aca="false">IF(A4390="","",TEXT(A4390,"mmm-yyyy"))</f>
        <v/>
      </c>
      <c r="I4390" s="47" t="str">
        <f aca="false">IF(G4390="","",G4390+H4390)</f>
        <v/>
      </c>
    </row>
    <row r="4391" customFormat="false" ht="15" hidden="false" customHeight="false" outlineLevel="0" collapsed="false">
      <c r="C4391" s="41" t="str">
        <f aca="false">IF(A4391="","",TEXT(A4391,"mmm-yyyy"))</f>
        <v/>
      </c>
      <c r="I4391" s="47" t="str">
        <f aca="false">IF(G4391="","",G4391+H4391)</f>
        <v/>
      </c>
    </row>
    <row r="4392" customFormat="false" ht="15" hidden="false" customHeight="false" outlineLevel="0" collapsed="false">
      <c r="C4392" s="41" t="str">
        <f aca="false">IF(A4392="","",TEXT(A4392,"mmm-yyyy"))</f>
        <v/>
      </c>
      <c r="I4392" s="47" t="str">
        <f aca="false">IF(G4392="","",G4392+H4392)</f>
        <v/>
      </c>
    </row>
    <row r="4393" customFormat="false" ht="15" hidden="false" customHeight="false" outlineLevel="0" collapsed="false">
      <c r="C4393" s="41" t="str">
        <f aca="false">IF(A4393="","",TEXT(A4393,"mmm-yyyy"))</f>
        <v/>
      </c>
      <c r="I4393" s="47" t="str">
        <f aca="false">IF(G4393="","",G4393+H4393)</f>
        <v/>
      </c>
    </row>
    <row r="4394" customFormat="false" ht="15" hidden="false" customHeight="false" outlineLevel="0" collapsed="false">
      <c r="C4394" s="41" t="str">
        <f aca="false">IF(A4394="","",TEXT(A4394,"mmm-yyyy"))</f>
        <v/>
      </c>
      <c r="I4394" s="47" t="str">
        <f aca="false">IF(G4394="","",G4394+H4394)</f>
        <v/>
      </c>
    </row>
    <row r="4395" customFormat="false" ht="15" hidden="false" customHeight="false" outlineLevel="0" collapsed="false">
      <c r="C4395" s="41" t="str">
        <f aca="false">IF(A4395="","",TEXT(A4395,"mmm-yyyy"))</f>
        <v/>
      </c>
      <c r="I4395" s="47" t="str">
        <f aca="false">IF(G4395="","",G4395+H4395)</f>
        <v/>
      </c>
    </row>
    <row r="4396" customFormat="false" ht="15" hidden="false" customHeight="false" outlineLevel="0" collapsed="false">
      <c r="C4396" s="41" t="str">
        <f aca="false">IF(A4396="","",TEXT(A4396,"mmm-yyyy"))</f>
        <v/>
      </c>
      <c r="I4396" s="47" t="str">
        <f aca="false">IF(G4396="","",G4396+H4396)</f>
        <v/>
      </c>
    </row>
    <row r="4397" customFormat="false" ht="15" hidden="false" customHeight="false" outlineLevel="0" collapsed="false">
      <c r="C4397" s="41" t="str">
        <f aca="false">IF(A4397="","",TEXT(A4397,"mmm-yyyy"))</f>
        <v/>
      </c>
      <c r="I4397" s="47" t="str">
        <f aca="false">IF(G4397="","",G4397+H4397)</f>
        <v/>
      </c>
    </row>
    <row r="4398" customFormat="false" ht="15" hidden="false" customHeight="false" outlineLevel="0" collapsed="false">
      <c r="C4398" s="41" t="str">
        <f aca="false">IF(A4398="","",TEXT(A4398,"mmm-yyyy"))</f>
        <v/>
      </c>
      <c r="I4398" s="47" t="str">
        <f aca="false">IF(G4398="","",G4398+H4398)</f>
        <v/>
      </c>
    </row>
    <row r="4399" customFormat="false" ht="15" hidden="false" customHeight="false" outlineLevel="0" collapsed="false">
      <c r="C4399" s="41" t="str">
        <f aca="false">IF(A4399="","",TEXT(A4399,"mmm-yyyy"))</f>
        <v/>
      </c>
      <c r="I4399" s="47" t="str">
        <f aca="false">IF(G4399="","",G4399+H4399)</f>
        <v/>
      </c>
    </row>
    <row r="4400" customFormat="false" ht="15" hidden="false" customHeight="false" outlineLevel="0" collapsed="false">
      <c r="C4400" s="41" t="str">
        <f aca="false">IF(A4400="","",TEXT(A4400,"mmm-yyyy"))</f>
        <v/>
      </c>
      <c r="I4400" s="47" t="str">
        <f aca="false">IF(G4400="","",G4400+H4400)</f>
        <v/>
      </c>
    </row>
    <row r="4401" customFormat="false" ht="15" hidden="false" customHeight="false" outlineLevel="0" collapsed="false">
      <c r="C4401" s="41" t="str">
        <f aca="false">IF(A4401="","",TEXT(A4401,"mmm-yyyy"))</f>
        <v/>
      </c>
      <c r="I4401" s="47" t="str">
        <f aca="false">IF(G4401="","",G4401+H4401)</f>
        <v/>
      </c>
    </row>
    <row r="4402" customFormat="false" ht="15" hidden="false" customHeight="false" outlineLevel="0" collapsed="false">
      <c r="C4402" s="41" t="str">
        <f aca="false">IF(A4402="","",TEXT(A4402,"mmm-yyyy"))</f>
        <v/>
      </c>
      <c r="I4402" s="47" t="str">
        <f aca="false">IF(G4402="","",G4402+H4402)</f>
        <v/>
      </c>
    </row>
    <row r="4403" customFormat="false" ht="15" hidden="false" customHeight="false" outlineLevel="0" collapsed="false">
      <c r="C4403" s="41" t="str">
        <f aca="false">IF(A4403="","",TEXT(A4403,"mmm-yyyy"))</f>
        <v/>
      </c>
      <c r="I4403" s="47" t="str">
        <f aca="false">IF(G4403="","",G4403+H4403)</f>
        <v/>
      </c>
    </row>
    <row r="4404" customFormat="false" ht="15" hidden="false" customHeight="false" outlineLevel="0" collapsed="false">
      <c r="C4404" s="41" t="str">
        <f aca="false">IF(A4404="","",TEXT(A4404,"mmm-yyyy"))</f>
        <v/>
      </c>
      <c r="I4404" s="47" t="str">
        <f aca="false">IF(G4404="","",G4404+H4404)</f>
        <v/>
      </c>
    </row>
    <row r="4405" customFormat="false" ht="15" hidden="false" customHeight="false" outlineLevel="0" collapsed="false">
      <c r="C4405" s="41" t="str">
        <f aca="false">IF(A4405="","",TEXT(A4405,"mmm-yyyy"))</f>
        <v/>
      </c>
      <c r="I4405" s="47" t="str">
        <f aca="false">IF(G4405="","",G4405+H4405)</f>
        <v/>
      </c>
    </row>
    <row r="4406" customFormat="false" ht="15" hidden="false" customHeight="false" outlineLevel="0" collapsed="false">
      <c r="C4406" s="41" t="str">
        <f aca="false">IF(A4406="","",TEXT(A4406,"mmm-yyyy"))</f>
        <v/>
      </c>
      <c r="I4406" s="47" t="str">
        <f aca="false">IF(G4406="","",G4406+H4406)</f>
        <v/>
      </c>
    </row>
    <row r="4407" customFormat="false" ht="15" hidden="false" customHeight="false" outlineLevel="0" collapsed="false">
      <c r="C4407" s="41" t="str">
        <f aca="false">IF(A4407="","",TEXT(A4407,"mmm-yyyy"))</f>
        <v/>
      </c>
      <c r="I4407" s="47" t="str">
        <f aca="false">IF(G4407="","",G4407+H4407)</f>
        <v/>
      </c>
    </row>
    <row r="4408" customFormat="false" ht="15" hidden="false" customHeight="false" outlineLevel="0" collapsed="false">
      <c r="C4408" s="41" t="str">
        <f aca="false">IF(A4408="","",TEXT(A4408,"mmm-yyyy"))</f>
        <v/>
      </c>
      <c r="I4408" s="47" t="str">
        <f aca="false">IF(G4408="","",G4408+H4408)</f>
        <v/>
      </c>
    </row>
    <row r="4409" customFormat="false" ht="15" hidden="false" customHeight="false" outlineLevel="0" collapsed="false">
      <c r="C4409" s="41" t="str">
        <f aca="false">IF(A4409="","",TEXT(A4409,"mmm-yyyy"))</f>
        <v/>
      </c>
      <c r="I4409" s="47" t="str">
        <f aca="false">IF(G4409="","",G4409+H4409)</f>
        <v/>
      </c>
    </row>
    <row r="4410" customFormat="false" ht="15" hidden="false" customHeight="false" outlineLevel="0" collapsed="false">
      <c r="C4410" s="41" t="str">
        <f aca="false">IF(A4410="","",TEXT(A4410,"mmm-yyyy"))</f>
        <v/>
      </c>
      <c r="I4410" s="47" t="str">
        <f aca="false">IF(G4410="","",G4410+H4410)</f>
        <v/>
      </c>
    </row>
    <row r="4411" customFormat="false" ht="15" hidden="false" customHeight="false" outlineLevel="0" collapsed="false">
      <c r="C4411" s="41" t="str">
        <f aca="false">IF(A4411="","",TEXT(A4411,"mmm-yyyy"))</f>
        <v/>
      </c>
      <c r="I4411" s="47" t="str">
        <f aca="false">IF(G4411="","",G4411+H4411)</f>
        <v/>
      </c>
    </row>
    <row r="4412" customFormat="false" ht="15" hidden="false" customHeight="false" outlineLevel="0" collapsed="false">
      <c r="C4412" s="41" t="str">
        <f aca="false">IF(A4412="","",TEXT(A4412,"mmm-yyyy"))</f>
        <v/>
      </c>
      <c r="I4412" s="47" t="str">
        <f aca="false">IF(G4412="","",G4412+H4412)</f>
        <v/>
      </c>
    </row>
    <row r="4413" customFormat="false" ht="15" hidden="false" customHeight="false" outlineLevel="0" collapsed="false">
      <c r="C4413" s="41" t="str">
        <f aca="false">IF(A4413="","",TEXT(A4413,"mmm-yyyy"))</f>
        <v/>
      </c>
      <c r="I4413" s="47" t="str">
        <f aca="false">IF(G4413="","",G4413+H4413)</f>
        <v/>
      </c>
    </row>
    <row r="4414" customFormat="false" ht="15" hidden="false" customHeight="false" outlineLevel="0" collapsed="false">
      <c r="C4414" s="41" t="str">
        <f aca="false">IF(A4414="","",TEXT(A4414,"mmm-yyyy"))</f>
        <v/>
      </c>
      <c r="I4414" s="47" t="str">
        <f aca="false">IF(G4414="","",G4414+H4414)</f>
        <v/>
      </c>
    </row>
    <row r="4415" customFormat="false" ht="15" hidden="false" customHeight="false" outlineLevel="0" collapsed="false">
      <c r="C4415" s="41" t="str">
        <f aca="false">IF(A4415="","",TEXT(A4415,"mmm-yyyy"))</f>
        <v/>
      </c>
      <c r="I4415" s="47" t="str">
        <f aca="false">IF(G4415="","",G4415+H4415)</f>
        <v/>
      </c>
    </row>
    <row r="4416" customFormat="false" ht="15" hidden="false" customHeight="false" outlineLevel="0" collapsed="false">
      <c r="C4416" s="41" t="str">
        <f aca="false">IF(A4416="","",TEXT(A4416,"mmm-yyyy"))</f>
        <v/>
      </c>
      <c r="I4416" s="47" t="str">
        <f aca="false">IF(G4416="","",G4416+H4416)</f>
        <v/>
      </c>
    </row>
    <row r="4417" customFormat="false" ht="15" hidden="false" customHeight="false" outlineLevel="0" collapsed="false">
      <c r="C4417" s="41" t="str">
        <f aca="false">IF(A4417="","",TEXT(A4417,"mmm-yyyy"))</f>
        <v/>
      </c>
      <c r="I4417" s="47" t="str">
        <f aca="false">IF(G4417="","",G4417+H4417)</f>
        <v/>
      </c>
    </row>
    <row r="4418" customFormat="false" ht="15" hidden="false" customHeight="false" outlineLevel="0" collapsed="false">
      <c r="C4418" s="41" t="str">
        <f aca="false">IF(A4418="","",TEXT(A4418,"mmm-yyyy"))</f>
        <v/>
      </c>
      <c r="I4418" s="47" t="str">
        <f aca="false">IF(G4418="","",G4418+H4418)</f>
        <v/>
      </c>
    </row>
    <row r="4419" customFormat="false" ht="15" hidden="false" customHeight="false" outlineLevel="0" collapsed="false">
      <c r="C4419" s="41" t="str">
        <f aca="false">IF(A4419="","",TEXT(A4419,"mmm-yyyy"))</f>
        <v/>
      </c>
      <c r="I4419" s="47" t="str">
        <f aca="false">IF(G4419="","",G4419+H4419)</f>
        <v/>
      </c>
    </row>
    <row r="4420" customFormat="false" ht="15" hidden="false" customHeight="false" outlineLevel="0" collapsed="false">
      <c r="C4420" s="41" t="str">
        <f aca="false">IF(A4420="","",TEXT(A4420,"mmm-yyyy"))</f>
        <v/>
      </c>
      <c r="I4420" s="47" t="str">
        <f aca="false">IF(G4420="","",G4420+H4420)</f>
        <v/>
      </c>
    </row>
    <row r="4421" customFormat="false" ht="15" hidden="false" customHeight="false" outlineLevel="0" collapsed="false">
      <c r="C4421" s="41" t="str">
        <f aca="false">IF(A4421="","",TEXT(A4421,"mmm-yyyy"))</f>
        <v/>
      </c>
      <c r="I4421" s="47" t="str">
        <f aca="false">IF(G4421="","",G4421+H4421)</f>
        <v/>
      </c>
    </row>
    <row r="4422" customFormat="false" ht="15" hidden="false" customHeight="false" outlineLevel="0" collapsed="false">
      <c r="C4422" s="41" t="str">
        <f aca="false">IF(A4422="","",TEXT(A4422,"mmm-yyyy"))</f>
        <v/>
      </c>
      <c r="I4422" s="47" t="str">
        <f aca="false">IF(G4422="","",G4422+H4422)</f>
        <v/>
      </c>
    </row>
    <row r="4423" customFormat="false" ht="15" hidden="false" customHeight="false" outlineLevel="0" collapsed="false">
      <c r="C4423" s="41" t="str">
        <f aca="false">IF(A4423="","",TEXT(A4423,"mmm-yyyy"))</f>
        <v/>
      </c>
      <c r="I4423" s="47" t="str">
        <f aca="false">IF(G4423="","",G4423+H4423)</f>
        <v/>
      </c>
    </row>
    <row r="4424" customFormat="false" ht="15" hidden="false" customHeight="false" outlineLevel="0" collapsed="false">
      <c r="C4424" s="41" t="str">
        <f aca="false">IF(A4424="","",TEXT(A4424,"mmm-yyyy"))</f>
        <v/>
      </c>
      <c r="I4424" s="47" t="str">
        <f aca="false">IF(G4424="","",G4424+H4424)</f>
        <v/>
      </c>
    </row>
    <row r="4425" customFormat="false" ht="15" hidden="false" customHeight="false" outlineLevel="0" collapsed="false">
      <c r="C4425" s="41" t="str">
        <f aca="false">IF(A4425="","",TEXT(A4425,"mmm-yyyy"))</f>
        <v/>
      </c>
      <c r="I4425" s="47" t="str">
        <f aca="false">IF(G4425="","",G4425+H4425)</f>
        <v/>
      </c>
    </row>
    <row r="4426" customFormat="false" ht="15" hidden="false" customHeight="false" outlineLevel="0" collapsed="false">
      <c r="C4426" s="41" t="str">
        <f aca="false">IF(A4426="","",TEXT(A4426,"mmm-yyyy"))</f>
        <v/>
      </c>
      <c r="I4426" s="47" t="str">
        <f aca="false">IF(G4426="","",G4426+H4426)</f>
        <v/>
      </c>
    </row>
    <row r="4427" customFormat="false" ht="15" hidden="false" customHeight="false" outlineLevel="0" collapsed="false">
      <c r="C4427" s="41" t="str">
        <f aca="false">IF(A4427="","",TEXT(A4427,"mmm-yyyy"))</f>
        <v/>
      </c>
      <c r="I4427" s="47" t="str">
        <f aca="false">IF(G4427="","",G4427+H4427)</f>
        <v/>
      </c>
    </row>
    <row r="4428" customFormat="false" ht="15" hidden="false" customHeight="false" outlineLevel="0" collapsed="false">
      <c r="C4428" s="41" t="str">
        <f aca="false">IF(A4428="","",TEXT(A4428,"mmm-yyyy"))</f>
        <v/>
      </c>
      <c r="I4428" s="47" t="str">
        <f aca="false">IF(G4428="","",G4428+H4428)</f>
        <v/>
      </c>
    </row>
    <row r="4429" customFormat="false" ht="15" hidden="false" customHeight="false" outlineLevel="0" collapsed="false">
      <c r="C4429" s="41" t="str">
        <f aca="false">IF(A4429="","",TEXT(A4429,"mmm-yyyy"))</f>
        <v/>
      </c>
      <c r="I4429" s="47" t="str">
        <f aca="false">IF(G4429="","",G4429+H4429)</f>
        <v/>
      </c>
    </row>
    <row r="4430" customFormat="false" ht="15" hidden="false" customHeight="false" outlineLevel="0" collapsed="false">
      <c r="C4430" s="41" t="str">
        <f aca="false">IF(A4430="","",TEXT(A4430,"mmm-yyyy"))</f>
        <v/>
      </c>
      <c r="I4430" s="47" t="str">
        <f aca="false">IF(G4430="","",G4430+H4430)</f>
        <v/>
      </c>
    </row>
    <row r="4431" customFormat="false" ht="15" hidden="false" customHeight="false" outlineLevel="0" collapsed="false">
      <c r="C4431" s="41" t="str">
        <f aca="false">IF(A4431="","",TEXT(A4431,"mmm-yyyy"))</f>
        <v/>
      </c>
      <c r="I4431" s="47" t="str">
        <f aca="false">IF(G4431="","",G4431+H4431)</f>
        <v/>
      </c>
    </row>
    <row r="4432" customFormat="false" ht="15" hidden="false" customHeight="false" outlineLevel="0" collapsed="false">
      <c r="C4432" s="41" t="str">
        <f aca="false">IF(A4432="","",TEXT(A4432,"mmm-yyyy"))</f>
        <v/>
      </c>
      <c r="I4432" s="47" t="str">
        <f aca="false">IF(G4432="","",G4432+H4432)</f>
        <v/>
      </c>
    </row>
    <row r="4433" customFormat="false" ht="15" hidden="false" customHeight="false" outlineLevel="0" collapsed="false">
      <c r="C4433" s="41" t="str">
        <f aca="false">IF(A4433="","",TEXT(A4433,"mmm-yyyy"))</f>
        <v/>
      </c>
      <c r="I4433" s="47" t="str">
        <f aca="false">IF(G4433="","",G4433+H4433)</f>
        <v/>
      </c>
    </row>
    <row r="4434" customFormat="false" ht="15" hidden="false" customHeight="false" outlineLevel="0" collapsed="false">
      <c r="C4434" s="41" t="str">
        <f aca="false">IF(A4434="","",TEXT(A4434,"mmm-yyyy"))</f>
        <v/>
      </c>
      <c r="I4434" s="47" t="str">
        <f aca="false">IF(G4434="","",G4434+H4434)</f>
        <v/>
      </c>
    </row>
    <row r="4435" customFormat="false" ht="15" hidden="false" customHeight="false" outlineLevel="0" collapsed="false">
      <c r="C4435" s="41" t="str">
        <f aca="false">IF(A4435="","",TEXT(A4435,"mmm-yyyy"))</f>
        <v/>
      </c>
      <c r="I4435" s="47" t="str">
        <f aca="false">IF(G4435="","",G4435+H4435)</f>
        <v/>
      </c>
    </row>
    <row r="4436" customFormat="false" ht="15" hidden="false" customHeight="false" outlineLevel="0" collapsed="false">
      <c r="C4436" s="41" t="str">
        <f aca="false">IF(A4436="","",TEXT(A4436,"mmm-yyyy"))</f>
        <v/>
      </c>
      <c r="I4436" s="47" t="str">
        <f aca="false">IF(G4436="","",G4436+H4436)</f>
        <v/>
      </c>
    </row>
    <row r="4437" customFormat="false" ht="15" hidden="false" customHeight="false" outlineLevel="0" collapsed="false">
      <c r="C4437" s="41" t="str">
        <f aca="false">IF(A4437="","",TEXT(A4437,"mmm-yyyy"))</f>
        <v/>
      </c>
      <c r="I4437" s="47" t="str">
        <f aca="false">IF(G4437="","",G4437+H4437)</f>
        <v/>
      </c>
    </row>
    <row r="4438" customFormat="false" ht="15" hidden="false" customHeight="false" outlineLevel="0" collapsed="false">
      <c r="C4438" s="41" t="str">
        <f aca="false">IF(A4438="","",TEXT(A4438,"mmm-yyyy"))</f>
        <v/>
      </c>
      <c r="I4438" s="47" t="str">
        <f aca="false">IF(G4438="","",G4438+H4438)</f>
        <v/>
      </c>
    </row>
    <row r="4439" customFormat="false" ht="15" hidden="false" customHeight="false" outlineLevel="0" collapsed="false">
      <c r="C4439" s="41" t="str">
        <f aca="false">IF(A4439="","",TEXT(A4439,"mmm-yyyy"))</f>
        <v/>
      </c>
      <c r="I4439" s="47" t="str">
        <f aca="false">IF(G4439="","",G4439+H4439)</f>
        <v/>
      </c>
    </row>
    <row r="4440" customFormat="false" ht="15" hidden="false" customHeight="false" outlineLevel="0" collapsed="false">
      <c r="C4440" s="41" t="str">
        <f aca="false">IF(A4440="","",TEXT(A4440,"mmm-yyyy"))</f>
        <v/>
      </c>
      <c r="I4440" s="47" t="str">
        <f aca="false">IF(G4440="","",G4440+H4440)</f>
        <v/>
      </c>
    </row>
    <row r="4441" customFormat="false" ht="15" hidden="false" customHeight="false" outlineLevel="0" collapsed="false">
      <c r="C4441" s="41" t="str">
        <f aca="false">IF(A4441="","",TEXT(A4441,"mmm-yyyy"))</f>
        <v/>
      </c>
      <c r="I4441" s="47" t="str">
        <f aca="false">IF(G4441="","",G4441+H4441)</f>
        <v/>
      </c>
    </row>
    <row r="4442" customFormat="false" ht="15" hidden="false" customHeight="false" outlineLevel="0" collapsed="false">
      <c r="C4442" s="41" t="str">
        <f aca="false">IF(A4442="","",TEXT(A4442,"mmm-yyyy"))</f>
        <v/>
      </c>
      <c r="I4442" s="47" t="str">
        <f aca="false">IF(G4442="","",G4442+H4442)</f>
        <v/>
      </c>
    </row>
    <row r="4443" customFormat="false" ht="15" hidden="false" customHeight="false" outlineLevel="0" collapsed="false">
      <c r="C4443" s="41" t="str">
        <f aca="false">IF(A4443="","",TEXT(A4443,"mmm-yyyy"))</f>
        <v/>
      </c>
      <c r="I4443" s="47" t="str">
        <f aca="false">IF(G4443="","",G4443+H4443)</f>
        <v/>
      </c>
    </row>
    <row r="4444" customFormat="false" ht="15" hidden="false" customHeight="false" outlineLevel="0" collapsed="false">
      <c r="C4444" s="41" t="str">
        <f aca="false">IF(A4444="","",TEXT(A4444,"mmm-yyyy"))</f>
        <v/>
      </c>
      <c r="I4444" s="47" t="str">
        <f aca="false">IF(G4444="","",G4444+H4444)</f>
        <v/>
      </c>
    </row>
    <row r="4445" customFormat="false" ht="15" hidden="false" customHeight="false" outlineLevel="0" collapsed="false">
      <c r="C4445" s="41" t="str">
        <f aca="false">IF(A4445="","",TEXT(A4445,"mmm-yyyy"))</f>
        <v/>
      </c>
      <c r="I4445" s="47" t="str">
        <f aca="false">IF(G4445="","",G4445+H4445)</f>
        <v/>
      </c>
    </row>
    <row r="4446" customFormat="false" ht="15" hidden="false" customHeight="false" outlineLevel="0" collapsed="false">
      <c r="C4446" s="41" t="str">
        <f aca="false">IF(A4446="","",TEXT(A4446,"mmm-yyyy"))</f>
        <v/>
      </c>
      <c r="I4446" s="47" t="str">
        <f aca="false">IF(G4446="","",G4446+H4446)</f>
        <v/>
      </c>
    </row>
    <row r="4447" customFormat="false" ht="15" hidden="false" customHeight="false" outlineLevel="0" collapsed="false">
      <c r="C4447" s="41" t="str">
        <f aca="false">IF(A4447="","",TEXT(A4447,"mmm-yyyy"))</f>
        <v/>
      </c>
      <c r="I4447" s="47" t="str">
        <f aca="false">IF(G4447="","",G4447+H4447)</f>
        <v/>
      </c>
    </row>
    <row r="4448" customFormat="false" ht="15" hidden="false" customHeight="false" outlineLevel="0" collapsed="false">
      <c r="C4448" s="41" t="str">
        <f aca="false">IF(A4448="","",TEXT(A4448,"mmm-yyyy"))</f>
        <v/>
      </c>
      <c r="I4448" s="47" t="str">
        <f aca="false">IF(G4448="","",G4448+H4448)</f>
        <v/>
      </c>
    </row>
    <row r="4449" customFormat="false" ht="15" hidden="false" customHeight="false" outlineLevel="0" collapsed="false">
      <c r="C4449" s="41" t="str">
        <f aca="false">IF(A4449="","",TEXT(A4449,"mmm-yyyy"))</f>
        <v/>
      </c>
      <c r="I4449" s="47" t="str">
        <f aca="false">IF(G4449="","",G4449+H4449)</f>
        <v/>
      </c>
    </row>
    <row r="4450" customFormat="false" ht="15" hidden="false" customHeight="false" outlineLevel="0" collapsed="false">
      <c r="C4450" s="41" t="str">
        <f aca="false">IF(A4450="","",TEXT(A4450,"mmm-yyyy"))</f>
        <v/>
      </c>
      <c r="I4450" s="47" t="str">
        <f aca="false">IF(G4450="","",G4450+H4450)</f>
        <v/>
      </c>
    </row>
    <row r="4451" customFormat="false" ht="15" hidden="false" customHeight="false" outlineLevel="0" collapsed="false">
      <c r="C4451" s="41" t="str">
        <f aca="false">IF(A4451="","",TEXT(A4451,"mmm-yyyy"))</f>
        <v/>
      </c>
      <c r="I4451" s="47" t="str">
        <f aca="false">IF(G4451="","",G4451+H4451)</f>
        <v/>
      </c>
    </row>
    <row r="4452" customFormat="false" ht="15" hidden="false" customHeight="false" outlineLevel="0" collapsed="false">
      <c r="C4452" s="41" t="str">
        <f aca="false">IF(A4452="","",TEXT(A4452,"mmm-yyyy"))</f>
        <v/>
      </c>
      <c r="I4452" s="47" t="str">
        <f aca="false">IF(G4452="","",G4452+H4452)</f>
        <v/>
      </c>
    </row>
    <row r="4453" customFormat="false" ht="15" hidden="false" customHeight="false" outlineLevel="0" collapsed="false">
      <c r="C4453" s="41" t="str">
        <f aca="false">IF(A4453="","",TEXT(A4453,"mmm-yyyy"))</f>
        <v/>
      </c>
      <c r="I4453" s="47" t="str">
        <f aca="false">IF(G4453="","",G4453+H4453)</f>
        <v/>
      </c>
    </row>
    <row r="4454" customFormat="false" ht="15" hidden="false" customHeight="false" outlineLevel="0" collapsed="false">
      <c r="C4454" s="41" t="str">
        <f aca="false">IF(A4454="","",TEXT(A4454,"mmm-yyyy"))</f>
        <v/>
      </c>
      <c r="I4454" s="47" t="str">
        <f aca="false">IF(G4454="","",G4454+H4454)</f>
        <v/>
      </c>
    </row>
    <row r="4455" customFormat="false" ht="15" hidden="false" customHeight="false" outlineLevel="0" collapsed="false">
      <c r="C4455" s="41" t="str">
        <f aca="false">IF(A4455="","",TEXT(A4455,"mmm-yyyy"))</f>
        <v/>
      </c>
      <c r="I4455" s="47" t="str">
        <f aca="false">IF(G4455="","",G4455+H4455)</f>
        <v/>
      </c>
    </row>
    <row r="4456" customFormat="false" ht="15" hidden="false" customHeight="false" outlineLevel="0" collapsed="false">
      <c r="C4456" s="41" t="str">
        <f aca="false">IF(A4456="","",TEXT(A4456,"mmm-yyyy"))</f>
        <v/>
      </c>
      <c r="I4456" s="47" t="str">
        <f aca="false">IF(G4456="","",G4456+H4456)</f>
        <v/>
      </c>
    </row>
    <row r="4457" customFormat="false" ht="15" hidden="false" customHeight="false" outlineLevel="0" collapsed="false">
      <c r="C4457" s="41" t="str">
        <f aca="false">IF(A4457="","",TEXT(A4457,"mmm-yyyy"))</f>
        <v/>
      </c>
      <c r="I4457" s="47" t="str">
        <f aca="false">IF(G4457="","",G4457+H4457)</f>
        <v/>
      </c>
    </row>
    <row r="4458" customFormat="false" ht="15" hidden="false" customHeight="false" outlineLevel="0" collapsed="false">
      <c r="C4458" s="41" t="str">
        <f aca="false">IF(A4458="","",TEXT(A4458,"mmm-yyyy"))</f>
        <v/>
      </c>
      <c r="I4458" s="47" t="str">
        <f aca="false">IF(G4458="","",G4458+H4458)</f>
        <v/>
      </c>
    </row>
    <row r="4459" customFormat="false" ht="15" hidden="false" customHeight="false" outlineLevel="0" collapsed="false">
      <c r="C4459" s="41" t="str">
        <f aca="false">IF(A4459="","",TEXT(A4459,"mmm-yyyy"))</f>
        <v/>
      </c>
      <c r="I4459" s="47" t="str">
        <f aca="false">IF(G4459="","",G4459+H4459)</f>
        <v/>
      </c>
    </row>
    <row r="4460" customFormat="false" ht="15" hidden="false" customHeight="false" outlineLevel="0" collapsed="false">
      <c r="C4460" s="41" t="str">
        <f aca="false">IF(A4460="","",TEXT(A4460,"mmm-yyyy"))</f>
        <v/>
      </c>
      <c r="I4460" s="47" t="str">
        <f aca="false">IF(G4460="","",G4460+H4460)</f>
        <v/>
      </c>
    </row>
    <row r="4461" customFormat="false" ht="15" hidden="false" customHeight="false" outlineLevel="0" collapsed="false">
      <c r="C4461" s="41" t="str">
        <f aca="false">IF(A4461="","",TEXT(A4461,"mmm-yyyy"))</f>
        <v/>
      </c>
      <c r="I4461" s="47" t="str">
        <f aca="false">IF(G4461="","",G4461+H4461)</f>
        <v/>
      </c>
    </row>
    <row r="4462" customFormat="false" ht="15" hidden="false" customHeight="false" outlineLevel="0" collapsed="false">
      <c r="C4462" s="41" t="str">
        <f aca="false">IF(A4462="","",TEXT(A4462,"mmm-yyyy"))</f>
        <v/>
      </c>
      <c r="I4462" s="47" t="str">
        <f aca="false">IF(G4462="","",G4462+H4462)</f>
        <v/>
      </c>
    </row>
    <row r="4463" customFormat="false" ht="15" hidden="false" customHeight="false" outlineLevel="0" collapsed="false">
      <c r="C4463" s="41" t="str">
        <f aca="false">IF(A4463="","",TEXT(A4463,"mmm-yyyy"))</f>
        <v/>
      </c>
      <c r="I4463" s="47" t="str">
        <f aca="false">IF(G4463="","",G4463+H4463)</f>
        <v/>
      </c>
    </row>
    <row r="4464" customFormat="false" ht="15" hidden="false" customHeight="false" outlineLevel="0" collapsed="false">
      <c r="C4464" s="41" t="str">
        <f aca="false">IF(A4464="","",TEXT(A4464,"mmm-yyyy"))</f>
        <v/>
      </c>
      <c r="I4464" s="47" t="str">
        <f aca="false">IF(G4464="","",G4464+H4464)</f>
        <v/>
      </c>
    </row>
    <row r="4465" customFormat="false" ht="15" hidden="false" customHeight="false" outlineLevel="0" collapsed="false">
      <c r="C4465" s="41" t="str">
        <f aca="false">IF(A4465="","",TEXT(A4465,"mmm-yyyy"))</f>
        <v/>
      </c>
      <c r="I4465" s="47" t="str">
        <f aca="false">IF(G4465="","",G4465+H4465)</f>
        <v/>
      </c>
    </row>
    <row r="4466" customFormat="false" ht="15" hidden="false" customHeight="false" outlineLevel="0" collapsed="false">
      <c r="C4466" s="41" t="str">
        <f aca="false">IF(A4466="","",TEXT(A4466,"mmm-yyyy"))</f>
        <v/>
      </c>
      <c r="I4466" s="47" t="str">
        <f aca="false">IF(G4466="","",G4466+H4466)</f>
        <v/>
      </c>
    </row>
    <row r="4467" customFormat="false" ht="15" hidden="false" customHeight="false" outlineLevel="0" collapsed="false">
      <c r="C4467" s="41" t="str">
        <f aca="false">IF(A4467="","",TEXT(A4467,"mmm-yyyy"))</f>
        <v/>
      </c>
      <c r="I4467" s="47" t="str">
        <f aca="false">IF(G4467="","",G4467+H4467)</f>
        <v/>
      </c>
    </row>
    <row r="4468" customFormat="false" ht="15" hidden="false" customHeight="false" outlineLevel="0" collapsed="false">
      <c r="C4468" s="41" t="str">
        <f aca="false">IF(A4468="","",TEXT(A4468,"mmm-yyyy"))</f>
        <v/>
      </c>
      <c r="I4468" s="47" t="str">
        <f aca="false">IF(G4468="","",G4468+H4468)</f>
        <v/>
      </c>
    </row>
    <row r="4469" customFormat="false" ht="15" hidden="false" customHeight="false" outlineLevel="0" collapsed="false">
      <c r="C4469" s="41" t="str">
        <f aca="false">IF(A4469="","",TEXT(A4469,"mmm-yyyy"))</f>
        <v/>
      </c>
      <c r="I4469" s="47" t="str">
        <f aca="false">IF(G4469="","",G4469+H4469)</f>
        <v/>
      </c>
    </row>
    <row r="4470" customFormat="false" ht="15" hidden="false" customHeight="false" outlineLevel="0" collapsed="false">
      <c r="C4470" s="41" t="str">
        <f aca="false">IF(A4470="","",TEXT(A4470,"mmm-yyyy"))</f>
        <v/>
      </c>
      <c r="I4470" s="47" t="str">
        <f aca="false">IF(G4470="","",G4470+H4470)</f>
        <v/>
      </c>
    </row>
    <row r="4471" customFormat="false" ht="15" hidden="false" customHeight="false" outlineLevel="0" collapsed="false">
      <c r="C4471" s="41" t="str">
        <f aca="false">IF(A4471="","",TEXT(A4471,"mmm-yyyy"))</f>
        <v/>
      </c>
      <c r="I4471" s="47" t="str">
        <f aca="false">IF(G4471="","",G4471+H4471)</f>
        <v/>
      </c>
    </row>
    <row r="4472" customFormat="false" ht="15" hidden="false" customHeight="false" outlineLevel="0" collapsed="false">
      <c r="C4472" s="41" t="str">
        <f aca="false">IF(A4472="","",TEXT(A4472,"mmm-yyyy"))</f>
        <v/>
      </c>
      <c r="I4472" s="47" t="str">
        <f aca="false">IF(G4472="","",G4472+H4472)</f>
        <v/>
      </c>
    </row>
    <row r="4473" customFormat="false" ht="15" hidden="false" customHeight="false" outlineLevel="0" collapsed="false">
      <c r="C4473" s="41" t="str">
        <f aca="false">IF(A4473="","",TEXT(A4473,"mmm-yyyy"))</f>
        <v/>
      </c>
      <c r="I4473" s="47" t="str">
        <f aca="false">IF(G4473="","",G4473+H4473)</f>
        <v/>
      </c>
    </row>
    <row r="4474" customFormat="false" ht="15" hidden="false" customHeight="false" outlineLevel="0" collapsed="false">
      <c r="C4474" s="41" t="str">
        <f aca="false">IF(A4474="","",TEXT(A4474,"mmm-yyyy"))</f>
        <v/>
      </c>
      <c r="I4474" s="47" t="str">
        <f aca="false">IF(G4474="","",G4474+H4474)</f>
        <v/>
      </c>
    </row>
    <row r="4475" customFormat="false" ht="15" hidden="false" customHeight="false" outlineLevel="0" collapsed="false">
      <c r="C4475" s="41" t="str">
        <f aca="false">IF(A4475="","",TEXT(A4475,"mmm-yyyy"))</f>
        <v/>
      </c>
      <c r="I4475" s="47" t="str">
        <f aca="false">IF(G4475="","",G4475+H4475)</f>
        <v/>
      </c>
    </row>
    <row r="4476" customFormat="false" ht="15" hidden="false" customHeight="false" outlineLevel="0" collapsed="false">
      <c r="C4476" s="41" t="str">
        <f aca="false">IF(A4476="","",TEXT(A4476,"mmm-yyyy"))</f>
        <v/>
      </c>
      <c r="I4476" s="47" t="str">
        <f aca="false">IF(G4476="","",G4476+H4476)</f>
        <v/>
      </c>
    </row>
    <row r="4477" customFormat="false" ht="15" hidden="false" customHeight="false" outlineLevel="0" collapsed="false">
      <c r="C4477" s="41" t="str">
        <f aca="false">IF(A4477="","",TEXT(A4477,"mmm-yyyy"))</f>
        <v/>
      </c>
      <c r="I4477" s="47" t="str">
        <f aca="false">IF(G4477="","",G4477+H4477)</f>
        <v/>
      </c>
    </row>
    <row r="4478" customFormat="false" ht="15" hidden="false" customHeight="false" outlineLevel="0" collapsed="false">
      <c r="C4478" s="41" t="str">
        <f aca="false">IF(A4478="","",TEXT(A4478,"mmm-yyyy"))</f>
        <v/>
      </c>
      <c r="I4478" s="47" t="str">
        <f aca="false">IF(G4478="","",G4478+H4478)</f>
        <v/>
      </c>
    </row>
    <row r="4479" customFormat="false" ht="15" hidden="false" customHeight="false" outlineLevel="0" collapsed="false">
      <c r="C4479" s="41" t="str">
        <f aca="false">IF(A4479="","",TEXT(A4479,"mmm-yyyy"))</f>
        <v/>
      </c>
      <c r="I4479" s="47" t="str">
        <f aca="false">IF(G4479="","",G4479+H4479)</f>
        <v/>
      </c>
    </row>
    <row r="4480" customFormat="false" ht="15" hidden="false" customHeight="false" outlineLevel="0" collapsed="false">
      <c r="C4480" s="41" t="str">
        <f aca="false">IF(A4480="","",TEXT(A4480,"mmm-yyyy"))</f>
        <v/>
      </c>
      <c r="I4480" s="47" t="str">
        <f aca="false">IF(G4480="","",G4480+H4480)</f>
        <v/>
      </c>
    </row>
    <row r="4481" customFormat="false" ht="15" hidden="false" customHeight="false" outlineLevel="0" collapsed="false">
      <c r="C4481" s="41" t="str">
        <f aca="false">IF(A4481="","",TEXT(A4481,"mmm-yyyy"))</f>
        <v/>
      </c>
      <c r="I4481" s="47" t="str">
        <f aca="false">IF(G4481="","",G4481+H4481)</f>
        <v/>
      </c>
    </row>
    <row r="4482" customFormat="false" ht="15" hidden="false" customHeight="false" outlineLevel="0" collapsed="false">
      <c r="C4482" s="41" t="str">
        <f aca="false">IF(A4482="","",TEXT(A4482,"mmm-yyyy"))</f>
        <v/>
      </c>
      <c r="I4482" s="47" t="str">
        <f aca="false">IF(G4482="","",G4482+H4482)</f>
        <v/>
      </c>
    </row>
    <row r="4483" customFormat="false" ht="15" hidden="false" customHeight="false" outlineLevel="0" collapsed="false">
      <c r="C4483" s="41" t="str">
        <f aca="false">IF(A4483="","",TEXT(A4483,"mmm-yyyy"))</f>
        <v/>
      </c>
      <c r="I4483" s="47" t="str">
        <f aca="false">IF(G4483="","",G4483+H4483)</f>
        <v/>
      </c>
    </row>
    <row r="4484" customFormat="false" ht="15" hidden="false" customHeight="false" outlineLevel="0" collapsed="false">
      <c r="C4484" s="41" t="str">
        <f aca="false">IF(A4484="","",TEXT(A4484,"mmm-yyyy"))</f>
        <v/>
      </c>
      <c r="I4484" s="47" t="str">
        <f aca="false">IF(G4484="","",G4484+H4484)</f>
        <v/>
      </c>
    </row>
    <row r="4485" customFormat="false" ht="15" hidden="false" customHeight="false" outlineLevel="0" collapsed="false">
      <c r="C4485" s="41" t="str">
        <f aca="false">IF(A4485="","",TEXT(A4485,"mmm-yyyy"))</f>
        <v/>
      </c>
      <c r="I4485" s="47" t="str">
        <f aca="false">IF(G4485="","",G4485+H4485)</f>
        <v/>
      </c>
    </row>
    <row r="4486" customFormat="false" ht="15" hidden="false" customHeight="false" outlineLevel="0" collapsed="false">
      <c r="C4486" s="41" t="str">
        <f aca="false">IF(A4486="","",TEXT(A4486,"mmm-yyyy"))</f>
        <v/>
      </c>
      <c r="I4486" s="47" t="str">
        <f aca="false">IF(G4486="","",G4486+H4486)</f>
        <v/>
      </c>
    </row>
    <row r="4487" customFormat="false" ht="15" hidden="false" customHeight="false" outlineLevel="0" collapsed="false">
      <c r="C4487" s="41" t="str">
        <f aca="false">IF(A4487="","",TEXT(A4487,"mmm-yyyy"))</f>
        <v/>
      </c>
      <c r="I4487" s="47" t="str">
        <f aca="false">IF(G4487="","",G4487+H4487)</f>
        <v/>
      </c>
    </row>
    <row r="4488" customFormat="false" ht="15" hidden="false" customHeight="false" outlineLevel="0" collapsed="false">
      <c r="C4488" s="41" t="str">
        <f aca="false">IF(A4488="","",TEXT(A4488,"mmm-yyyy"))</f>
        <v/>
      </c>
      <c r="I4488" s="47" t="str">
        <f aca="false">IF(G4488="","",G4488+H4488)</f>
        <v/>
      </c>
    </row>
    <row r="4489" customFormat="false" ht="15" hidden="false" customHeight="false" outlineLevel="0" collapsed="false">
      <c r="C4489" s="41" t="str">
        <f aca="false">IF(A4489="","",TEXT(A4489,"mmm-yyyy"))</f>
        <v/>
      </c>
      <c r="I4489" s="47" t="str">
        <f aca="false">IF(G4489="","",G4489+H4489)</f>
        <v/>
      </c>
    </row>
    <row r="4490" customFormat="false" ht="15" hidden="false" customHeight="false" outlineLevel="0" collapsed="false">
      <c r="C4490" s="41" t="str">
        <f aca="false">IF(A4490="","",TEXT(A4490,"mmm-yyyy"))</f>
        <v/>
      </c>
      <c r="I4490" s="47" t="str">
        <f aca="false">IF(G4490="","",G4490+H4490)</f>
        <v/>
      </c>
    </row>
    <row r="4491" customFormat="false" ht="15" hidden="false" customHeight="false" outlineLevel="0" collapsed="false">
      <c r="C4491" s="41" t="str">
        <f aca="false">IF(A4491="","",TEXT(A4491,"mmm-yyyy"))</f>
        <v/>
      </c>
      <c r="I4491" s="47" t="str">
        <f aca="false">IF(G4491="","",G4491+H4491)</f>
        <v/>
      </c>
    </row>
    <row r="4492" customFormat="false" ht="15" hidden="false" customHeight="false" outlineLevel="0" collapsed="false">
      <c r="C4492" s="41" t="str">
        <f aca="false">IF(A4492="","",TEXT(A4492,"mmm-yyyy"))</f>
        <v/>
      </c>
      <c r="I4492" s="47" t="str">
        <f aca="false">IF(G4492="","",G4492+H4492)</f>
        <v/>
      </c>
    </row>
    <row r="4493" customFormat="false" ht="15" hidden="false" customHeight="false" outlineLevel="0" collapsed="false">
      <c r="C4493" s="41" t="str">
        <f aca="false">IF(A4493="","",TEXT(A4493,"mmm-yyyy"))</f>
        <v/>
      </c>
      <c r="I4493" s="47" t="str">
        <f aca="false">IF(G4493="","",G4493+H4493)</f>
        <v/>
      </c>
    </row>
    <row r="4494" customFormat="false" ht="15" hidden="false" customHeight="false" outlineLevel="0" collapsed="false">
      <c r="C4494" s="41" t="str">
        <f aca="false">IF(A4494="","",TEXT(A4494,"mmm-yyyy"))</f>
        <v/>
      </c>
      <c r="I4494" s="47" t="str">
        <f aca="false">IF(G4494="","",G4494+H4494)</f>
        <v/>
      </c>
    </row>
    <row r="4495" customFormat="false" ht="15" hidden="false" customHeight="false" outlineLevel="0" collapsed="false">
      <c r="C4495" s="41" t="str">
        <f aca="false">IF(A4495="","",TEXT(A4495,"mmm-yyyy"))</f>
        <v/>
      </c>
      <c r="I4495" s="47" t="str">
        <f aca="false">IF(G4495="","",G4495+H4495)</f>
        <v/>
      </c>
    </row>
    <row r="4496" customFormat="false" ht="15" hidden="false" customHeight="false" outlineLevel="0" collapsed="false">
      <c r="C4496" s="41" t="str">
        <f aca="false">IF(A4496="","",TEXT(A4496,"mmm-yyyy"))</f>
        <v/>
      </c>
      <c r="I4496" s="47" t="str">
        <f aca="false">IF(G4496="","",G4496+H4496)</f>
        <v/>
      </c>
    </row>
    <row r="4497" customFormat="false" ht="15" hidden="false" customHeight="false" outlineLevel="0" collapsed="false">
      <c r="C4497" s="41" t="str">
        <f aca="false">IF(A4497="","",TEXT(A4497,"mmm-yyyy"))</f>
        <v/>
      </c>
      <c r="I4497" s="47" t="str">
        <f aca="false">IF(G4497="","",G4497+H4497)</f>
        <v/>
      </c>
    </row>
    <row r="4498" customFormat="false" ht="15" hidden="false" customHeight="false" outlineLevel="0" collapsed="false">
      <c r="C4498" s="41" t="str">
        <f aca="false">IF(A4498="","",TEXT(A4498,"mmm-yyyy"))</f>
        <v/>
      </c>
      <c r="I4498" s="47" t="str">
        <f aca="false">IF(G4498="","",G4498+H4498)</f>
        <v/>
      </c>
    </row>
    <row r="4499" customFormat="false" ht="15" hidden="false" customHeight="false" outlineLevel="0" collapsed="false">
      <c r="C4499" s="41" t="str">
        <f aca="false">IF(A4499="","",TEXT(A4499,"mmm-yyyy"))</f>
        <v/>
      </c>
      <c r="I4499" s="47" t="str">
        <f aca="false">IF(G4499="","",G4499+H4499)</f>
        <v/>
      </c>
    </row>
    <row r="4500" customFormat="false" ht="15" hidden="false" customHeight="false" outlineLevel="0" collapsed="false">
      <c r="C4500" s="41" t="str">
        <f aca="false">IF(A4500="","",TEXT(A4500,"mmm-yyyy"))</f>
        <v/>
      </c>
      <c r="I4500" s="47" t="str">
        <f aca="false">IF(G4500="","",G4500+H4500)</f>
        <v/>
      </c>
    </row>
    <row r="4501" customFormat="false" ht="15" hidden="false" customHeight="false" outlineLevel="0" collapsed="false">
      <c r="C4501" s="41" t="str">
        <f aca="false">IF(A4501="","",TEXT(A4501,"mmm-yyyy"))</f>
        <v/>
      </c>
      <c r="I4501" s="47" t="str">
        <f aca="false">IF(G4501="","",G4501+H4501)</f>
        <v/>
      </c>
    </row>
    <row r="4502" customFormat="false" ht="15" hidden="false" customHeight="false" outlineLevel="0" collapsed="false">
      <c r="C4502" s="41" t="str">
        <f aca="false">IF(A4502="","",TEXT(A4502,"mmm-yyyy"))</f>
        <v/>
      </c>
      <c r="I4502" s="47" t="str">
        <f aca="false">IF(G4502="","",G4502+H4502)</f>
        <v/>
      </c>
    </row>
    <row r="4503" customFormat="false" ht="15" hidden="false" customHeight="false" outlineLevel="0" collapsed="false">
      <c r="C4503" s="41" t="str">
        <f aca="false">IF(A4503="","",TEXT(A4503,"mmm-yyyy"))</f>
        <v/>
      </c>
      <c r="I4503" s="47" t="str">
        <f aca="false">IF(G4503="","",G4503+H4503)</f>
        <v/>
      </c>
    </row>
    <row r="4504" customFormat="false" ht="15" hidden="false" customHeight="false" outlineLevel="0" collapsed="false">
      <c r="C4504" s="41" t="str">
        <f aca="false">IF(A4504="","",TEXT(A4504,"mmm-yyyy"))</f>
        <v/>
      </c>
      <c r="I4504" s="47" t="str">
        <f aca="false">IF(G4504="","",G4504+H4504)</f>
        <v/>
      </c>
    </row>
    <row r="4505" customFormat="false" ht="15" hidden="false" customHeight="false" outlineLevel="0" collapsed="false">
      <c r="C4505" s="41" t="str">
        <f aca="false">IF(A4505="","",TEXT(A4505,"mmm-yyyy"))</f>
        <v/>
      </c>
      <c r="I4505" s="47" t="str">
        <f aca="false">IF(G4505="","",G4505+H4505)</f>
        <v/>
      </c>
    </row>
    <row r="4506" customFormat="false" ht="15" hidden="false" customHeight="false" outlineLevel="0" collapsed="false">
      <c r="C4506" s="41" t="str">
        <f aca="false">IF(A4506="","",TEXT(A4506,"mmm-yyyy"))</f>
        <v/>
      </c>
      <c r="I4506" s="47" t="str">
        <f aca="false">IF(G4506="","",G4506+H4506)</f>
        <v/>
      </c>
    </row>
    <row r="4507" customFormat="false" ht="15" hidden="false" customHeight="false" outlineLevel="0" collapsed="false">
      <c r="C4507" s="41" t="str">
        <f aca="false">IF(A4507="","",TEXT(A4507,"mmm-yyyy"))</f>
        <v/>
      </c>
      <c r="I4507" s="47" t="str">
        <f aca="false">IF(G4507="","",G4507+H4507)</f>
        <v/>
      </c>
    </row>
    <row r="4508" customFormat="false" ht="15" hidden="false" customHeight="false" outlineLevel="0" collapsed="false">
      <c r="C4508" s="41" t="str">
        <f aca="false">IF(A4508="","",TEXT(A4508,"mmm-yyyy"))</f>
        <v/>
      </c>
      <c r="I4508" s="47" t="str">
        <f aca="false">IF(G4508="","",G4508+H4508)</f>
        <v/>
      </c>
    </row>
    <row r="4509" customFormat="false" ht="15" hidden="false" customHeight="false" outlineLevel="0" collapsed="false">
      <c r="C4509" s="41" t="str">
        <f aca="false">IF(A4509="","",TEXT(A4509,"mmm-yyyy"))</f>
        <v/>
      </c>
      <c r="I4509" s="47" t="str">
        <f aca="false">IF(G4509="","",G4509+H4509)</f>
        <v/>
      </c>
    </row>
    <row r="4510" customFormat="false" ht="15" hidden="false" customHeight="false" outlineLevel="0" collapsed="false">
      <c r="C4510" s="41" t="str">
        <f aca="false">IF(A4510="","",TEXT(A4510,"mmm-yyyy"))</f>
        <v/>
      </c>
      <c r="I4510" s="47" t="str">
        <f aca="false">IF(G4510="","",G4510+H4510)</f>
        <v/>
      </c>
    </row>
    <row r="4511" customFormat="false" ht="15" hidden="false" customHeight="false" outlineLevel="0" collapsed="false">
      <c r="C4511" s="41" t="str">
        <f aca="false">IF(A4511="","",TEXT(A4511,"mmm-yyyy"))</f>
        <v/>
      </c>
      <c r="I4511" s="47" t="str">
        <f aca="false">IF(G4511="","",G4511+H4511)</f>
        <v/>
      </c>
    </row>
    <row r="4512" customFormat="false" ht="15" hidden="false" customHeight="false" outlineLevel="0" collapsed="false">
      <c r="C4512" s="41" t="str">
        <f aca="false">IF(A4512="","",TEXT(A4512,"mmm-yyyy"))</f>
        <v/>
      </c>
      <c r="I4512" s="47" t="str">
        <f aca="false">IF(G4512="","",G4512+H4512)</f>
        <v/>
      </c>
    </row>
    <row r="4513" customFormat="false" ht="15" hidden="false" customHeight="false" outlineLevel="0" collapsed="false">
      <c r="C4513" s="41" t="str">
        <f aca="false">IF(A4513="","",TEXT(A4513,"mmm-yyyy"))</f>
        <v/>
      </c>
      <c r="I4513" s="47" t="str">
        <f aca="false">IF(G4513="","",G4513+H4513)</f>
        <v/>
      </c>
    </row>
    <row r="4514" customFormat="false" ht="15" hidden="false" customHeight="false" outlineLevel="0" collapsed="false">
      <c r="C4514" s="41" t="str">
        <f aca="false">IF(A4514="","",TEXT(A4514,"mmm-yyyy"))</f>
        <v/>
      </c>
      <c r="I4514" s="47" t="str">
        <f aca="false">IF(G4514="","",G4514+H4514)</f>
        <v/>
      </c>
    </row>
    <row r="4515" customFormat="false" ht="15" hidden="false" customHeight="false" outlineLevel="0" collapsed="false">
      <c r="C4515" s="41" t="str">
        <f aca="false">IF(A4515="","",TEXT(A4515,"mmm-yyyy"))</f>
        <v/>
      </c>
      <c r="I4515" s="47" t="str">
        <f aca="false">IF(G4515="","",G4515+H4515)</f>
        <v/>
      </c>
    </row>
    <row r="4516" customFormat="false" ht="15" hidden="false" customHeight="false" outlineLevel="0" collapsed="false">
      <c r="C4516" s="41" t="str">
        <f aca="false">IF(A4516="","",TEXT(A4516,"mmm-yyyy"))</f>
        <v/>
      </c>
      <c r="I4516" s="47" t="str">
        <f aca="false">IF(G4516="","",G4516+H4516)</f>
        <v/>
      </c>
    </row>
    <row r="4517" customFormat="false" ht="15" hidden="false" customHeight="false" outlineLevel="0" collapsed="false">
      <c r="C4517" s="41" t="str">
        <f aca="false">IF(A4517="","",TEXT(A4517,"mmm-yyyy"))</f>
        <v/>
      </c>
      <c r="I4517" s="47" t="str">
        <f aca="false">IF(G4517="","",G4517+H4517)</f>
        <v/>
      </c>
    </row>
    <row r="4518" customFormat="false" ht="15" hidden="false" customHeight="false" outlineLevel="0" collapsed="false">
      <c r="C4518" s="41" t="str">
        <f aca="false">IF(A4518="","",TEXT(A4518,"mmm-yyyy"))</f>
        <v/>
      </c>
      <c r="I4518" s="47" t="str">
        <f aca="false">IF(G4518="","",G4518+H4518)</f>
        <v/>
      </c>
    </row>
    <row r="4519" customFormat="false" ht="15" hidden="false" customHeight="false" outlineLevel="0" collapsed="false">
      <c r="C4519" s="41" t="str">
        <f aca="false">IF(A4519="","",TEXT(A4519,"mmm-yyyy"))</f>
        <v/>
      </c>
      <c r="I4519" s="47" t="str">
        <f aca="false">IF(G4519="","",G4519+H4519)</f>
        <v/>
      </c>
    </row>
    <row r="4520" customFormat="false" ht="15" hidden="false" customHeight="false" outlineLevel="0" collapsed="false">
      <c r="C4520" s="41" t="str">
        <f aca="false">IF(A4520="","",TEXT(A4520,"mmm-yyyy"))</f>
        <v/>
      </c>
      <c r="I4520" s="47" t="str">
        <f aca="false">IF(G4520="","",G4520+H4520)</f>
        <v/>
      </c>
    </row>
    <row r="4521" customFormat="false" ht="15" hidden="false" customHeight="false" outlineLevel="0" collapsed="false">
      <c r="C4521" s="41" t="str">
        <f aca="false">IF(A4521="","",TEXT(A4521,"mmm-yyyy"))</f>
        <v/>
      </c>
      <c r="I4521" s="47" t="str">
        <f aca="false">IF(G4521="","",G4521+H4521)</f>
        <v/>
      </c>
    </row>
    <row r="4522" customFormat="false" ht="15" hidden="false" customHeight="false" outlineLevel="0" collapsed="false">
      <c r="C4522" s="41" t="str">
        <f aca="false">IF(A4522="","",TEXT(A4522,"mmm-yyyy"))</f>
        <v/>
      </c>
      <c r="I4522" s="47" t="str">
        <f aca="false">IF(G4522="","",G4522+H4522)</f>
        <v/>
      </c>
    </row>
    <row r="4523" customFormat="false" ht="15" hidden="false" customHeight="false" outlineLevel="0" collapsed="false">
      <c r="C4523" s="41" t="str">
        <f aca="false">IF(A4523="","",TEXT(A4523,"mmm-yyyy"))</f>
        <v/>
      </c>
      <c r="I4523" s="47" t="str">
        <f aca="false">IF(G4523="","",G4523+H4523)</f>
        <v/>
      </c>
    </row>
    <row r="4524" customFormat="false" ht="15" hidden="false" customHeight="false" outlineLevel="0" collapsed="false">
      <c r="C4524" s="41" t="str">
        <f aca="false">IF(A4524="","",TEXT(A4524,"mmm-yyyy"))</f>
        <v/>
      </c>
      <c r="I4524" s="47" t="str">
        <f aca="false">IF(G4524="","",G4524+H4524)</f>
        <v/>
      </c>
    </row>
    <row r="4525" customFormat="false" ht="15" hidden="false" customHeight="false" outlineLevel="0" collapsed="false">
      <c r="C4525" s="41" t="str">
        <f aca="false">IF(A4525="","",TEXT(A4525,"mmm-yyyy"))</f>
        <v/>
      </c>
      <c r="I4525" s="47" t="str">
        <f aca="false">IF(G4525="","",G4525+H4525)</f>
        <v/>
      </c>
    </row>
    <row r="4526" customFormat="false" ht="15" hidden="false" customHeight="false" outlineLevel="0" collapsed="false">
      <c r="C4526" s="41" t="str">
        <f aca="false">IF(A4526="","",TEXT(A4526,"mmm-yyyy"))</f>
        <v/>
      </c>
      <c r="I4526" s="47" t="str">
        <f aca="false">IF(G4526="","",G4526+H4526)</f>
        <v/>
      </c>
    </row>
    <row r="4527" customFormat="false" ht="15" hidden="false" customHeight="false" outlineLevel="0" collapsed="false">
      <c r="C4527" s="41" t="str">
        <f aca="false">IF(A4527="","",TEXT(A4527,"mmm-yyyy"))</f>
        <v/>
      </c>
      <c r="I4527" s="47" t="str">
        <f aca="false">IF(G4527="","",G4527+H4527)</f>
        <v/>
      </c>
    </row>
    <row r="4528" customFormat="false" ht="15" hidden="false" customHeight="false" outlineLevel="0" collapsed="false">
      <c r="C4528" s="41" t="str">
        <f aca="false">IF(A4528="","",TEXT(A4528,"mmm-yyyy"))</f>
        <v/>
      </c>
      <c r="I4528" s="47" t="str">
        <f aca="false">IF(G4528="","",G4528+H4528)</f>
        <v/>
      </c>
    </row>
    <row r="4529" customFormat="false" ht="15" hidden="false" customHeight="false" outlineLevel="0" collapsed="false">
      <c r="C4529" s="41" t="str">
        <f aca="false">IF(A4529="","",TEXT(A4529,"mmm-yyyy"))</f>
        <v/>
      </c>
      <c r="I4529" s="47" t="str">
        <f aca="false">IF(G4529="","",G4529+H4529)</f>
        <v/>
      </c>
    </row>
    <row r="4530" customFormat="false" ht="15" hidden="false" customHeight="false" outlineLevel="0" collapsed="false">
      <c r="C4530" s="41" t="str">
        <f aca="false">IF(A4530="","",TEXT(A4530,"mmm-yyyy"))</f>
        <v/>
      </c>
      <c r="I4530" s="47" t="str">
        <f aca="false">IF(G4530="","",G4530+H4530)</f>
        <v/>
      </c>
    </row>
    <row r="4531" customFormat="false" ht="15" hidden="false" customHeight="false" outlineLevel="0" collapsed="false">
      <c r="C4531" s="41" t="str">
        <f aca="false">IF(A4531="","",TEXT(A4531,"mmm-yyyy"))</f>
        <v/>
      </c>
      <c r="I4531" s="47" t="str">
        <f aca="false">IF(G4531="","",G4531+H4531)</f>
        <v/>
      </c>
    </row>
    <row r="4532" customFormat="false" ht="15" hidden="false" customHeight="false" outlineLevel="0" collapsed="false">
      <c r="C4532" s="41" t="str">
        <f aca="false">IF(A4532="","",TEXT(A4532,"mmm-yyyy"))</f>
        <v/>
      </c>
      <c r="I4532" s="47" t="str">
        <f aca="false">IF(G4532="","",G4532+H4532)</f>
        <v/>
      </c>
    </row>
    <row r="4533" customFormat="false" ht="15" hidden="false" customHeight="false" outlineLevel="0" collapsed="false">
      <c r="C4533" s="41" t="str">
        <f aca="false">IF(A4533="","",TEXT(A4533,"mmm-yyyy"))</f>
        <v/>
      </c>
      <c r="I4533" s="47" t="str">
        <f aca="false">IF(G4533="","",G4533+H4533)</f>
        <v/>
      </c>
    </row>
    <row r="4534" customFormat="false" ht="15" hidden="false" customHeight="false" outlineLevel="0" collapsed="false">
      <c r="C4534" s="41" t="str">
        <f aca="false">IF(A4534="","",TEXT(A4534,"mmm-yyyy"))</f>
        <v/>
      </c>
      <c r="I4534" s="47" t="str">
        <f aca="false">IF(G4534="","",G4534+H4534)</f>
        <v/>
      </c>
    </row>
    <row r="4535" customFormat="false" ht="15" hidden="false" customHeight="false" outlineLevel="0" collapsed="false">
      <c r="C4535" s="41" t="str">
        <f aca="false">IF(A4535="","",TEXT(A4535,"mmm-yyyy"))</f>
        <v/>
      </c>
      <c r="I4535" s="47" t="str">
        <f aca="false">IF(G4535="","",G4535+H4535)</f>
        <v/>
      </c>
    </row>
    <row r="4536" customFormat="false" ht="15" hidden="false" customHeight="false" outlineLevel="0" collapsed="false">
      <c r="C4536" s="41" t="str">
        <f aca="false">IF(A4536="","",TEXT(A4536,"mmm-yyyy"))</f>
        <v/>
      </c>
      <c r="I4536" s="47" t="str">
        <f aca="false">IF(G4536="","",G4536+H4536)</f>
        <v/>
      </c>
    </row>
    <row r="4537" customFormat="false" ht="15" hidden="false" customHeight="false" outlineLevel="0" collapsed="false">
      <c r="C4537" s="41" t="str">
        <f aca="false">IF(A4537="","",TEXT(A4537,"mmm-yyyy"))</f>
        <v/>
      </c>
      <c r="I4537" s="47" t="str">
        <f aca="false">IF(G4537="","",G4537+H4537)</f>
        <v/>
      </c>
    </row>
    <row r="4538" customFormat="false" ht="15" hidden="false" customHeight="false" outlineLevel="0" collapsed="false">
      <c r="C4538" s="41" t="str">
        <f aca="false">IF(A4538="","",TEXT(A4538,"mmm-yyyy"))</f>
        <v/>
      </c>
      <c r="I4538" s="47" t="str">
        <f aca="false">IF(G4538="","",G4538+H4538)</f>
        <v/>
      </c>
    </row>
    <row r="4539" customFormat="false" ht="15" hidden="false" customHeight="false" outlineLevel="0" collapsed="false">
      <c r="C4539" s="41" t="str">
        <f aca="false">IF(A4539="","",TEXT(A4539,"mmm-yyyy"))</f>
        <v/>
      </c>
      <c r="I4539" s="47" t="str">
        <f aca="false">IF(G4539="","",G4539+H4539)</f>
        <v/>
      </c>
    </row>
    <row r="4540" customFormat="false" ht="15" hidden="false" customHeight="false" outlineLevel="0" collapsed="false">
      <c r="C4540" s="41" t="str">
        <f aca="false">IF(A4540="","",TEXT(A4540,"mmm-yyyy"))</f>
        <v/>
      </c>
      <c r="I4540" s="47" t="str">
        <f aca="false">IF(G4540="","",G4540+H4540)</f>
        <v/>
      </c>
    </row>
    <row r="4541" customFormat="false" ht="15" hidden="false" customHeight="false" outlineLevel="0" collapsed="false">
      <c r="C4541" s="41" t="str">
        <f aca="false">IF(A4541="","",TEXT(A4541,"mmm-yyyy"))</f>
        <v/>
      </c>
      <c r="I4541" s="47" t="str">
        <f aca="false">IF(G4541="","",G4541+H4541)</f>
        <v/>
      </c>
    </row>
    <row r="4542" customFormat="false" ht="15" hidden="false" customHeight="false" outlineLevel="0" collapsed="false">
      <c r="C4542" s="41" t="str">
        <f aca="false">IF(A4542="","",TEXT(A4542,"mmm-yyyy"))</f>
        <v/>
      </c>
      <c r="I4542" s="47" t="str">
        <f aca="false">IF(G4542="","",G4542+H4542)</f>
        <v/>
      </c>
    </row>
    <row r="4543" customFormat="false" ht="15" hidden="false" customHeight="false" outlineLevel="0" collapsed="false">
      <c r="C4543" s="41" t="str">
        <f aca="false">IF(A4543="","",TEXT(A4543,"mmm-yyyy"))</f>
        <v/>
      </c>
      <c r="I4543" s="47" t="str">
        <f aca="false">IF(G4543="","",G4543+H4543)</f>
        <v/>
      </c>
    </row>
    <row r="4544" customFormat="false" ht="15" hidden="false" customHeight="false" outlineLevel="0" collapsed="false">
      <c r="C4544" s="41" t="str">
        <f aca="false">IF(A4544="","",TEXT(A4544,"mmm-yyyy"))</f>
        <v/>
      </c>
      <c r="I4544" s="47" t="str">
        <f aca="false">IF(G4544="","",G4544+H4544)</f>
        <v/>
      </c>
    </row>
    <row r="4545" customFormat="false" ht="15" hidden="false" customHeight="false" outlineLevel="0" collapsed="false">
      <c r="C4545" s="41" t="str">
        <f aca="false">IF(A4545="","",TEXT(A4545,"mmm-yyyy"))</f>
        <v/>
      </c>
      <c r="I4545" s="47" t="str">
        <f aca="false">IF(G4545="","",G4545+H4545)</f>
        <v/>
      </c>
    </row>
    <row r="4546" customFormat="false" ht="15" hidden="false" customHeight="false" outlineLevel="0" collapsed="false">
      <c r="C4546" s="41" t="str">
        <f aca="false">IF(A4546="","",TEXT(A4546,"mmm-yyyy"))</f>
        <v/>
      </c>
      <c r="I4546" s="47" t="str">
        <f aca="false">IF(G4546="","",G4546+H4546)</f>
        <v/>
      </c>
    </row>
    <row r="4547" customFormat="false" ht="15" hidden="false" customHeight="false" outlineLevel="0" collapsed="false">
      <c r="C4547" s="41" t="str">
        <f aca="false">IF(A4547="","",TEXT(A4547,"mmm-yyyy"))</f>
        <v/>
      </c>
      <c r="I4547" s="47" t="str">
        <f aca="false">IF(G4547="","",G4547+H4547)</f>
        <v/>
      </c>
    </row>
    <row r="4548" customFormat="false" ht="15" hidden="false" customHeight="false" outlineLevel="0" collapsed="false">
      <c r="C4548" s="41" t="str">
        <f aca="false">IF(A4548="","",TEXT(A4548,"mmm-yyyy"))</f>
        <v/>
      </c>
      <c r="I4548" s="47" t="str">
        <f aca="false">IF(G4548="","",G4548+H4548)</f>
        <v/>
      </c>
    </row>
    <row r="4549" customFormat="false" ht="15" hidden="false" customHeight="false" outlineLevel="0" collapsed="false">
      <c r="C4549" s="41" t="str">
        <f aca="false">IF(A4549="","",TEXT(A4549,"mmm-yyyy"))</f>
        <v/>
      </c>
      <c r="I4549" s="47" t="str">
        <f aca="false">IF(G4549="","",G4549+H4549)</f>
        <v/>
      </c>
    </row>
    <row r="4550" customFormat="false" ht="15" hidden="false" customHeight="false" outlineLevel="0" collapsed="false">
      <c r="C4550" s="41" t="str">
        <f aca="false">IF(A4550="","",TEXT(A4550,"mmm-yyyy"))</f>
        <v/>
      </c>
      <c r="I4550" s="47" t="str">
        <f aca="false">IF(G4550="","",G4550+H4550)</f>
        <v/>
      </c>
    </row>
    <row r="4551" customFormat="false" ht="15" hidden="false" customHeight="false" outlineLevel="0" collapsed="false">
      <c r="C4551" s="41" t="str">
        <f aca="false">IF(A4551="","",TEXT(A4551,"mmm-yyyy"))</f>
        <v/>
      </c>
      <c r="I4551" s="47" t="str">
        <f aca="false">IF(G4551="","",G4551+H4551)</f>
        <v/>
      </c>
    </row>
    <row r="4552" customFormat="false" ht="15" hidden="false" customHeight="false" outlineLevel="0" collapsed="false">
      <c r="C4552" s="41" t="str">
        <f aca="false">IF(A4552="","",TEXT(A4552,"mmm-yyyy"))</f>
        <v/>
      </c>
      <c r="I4552" s="47" t="str">
        <f aca="false">IF(G4552="","",G4552+H4552)</f>
        <v/>
      </c>
    </row>
    <row r="4553" customFormat="false" ht="15" hidden="false" customHeight="false" outlineLevel="0" collapsed="false">
      <c r="C4553" s="41" t="str">
        <f aca="false">IF(A4553="","",TEXT(A4553,"mmm-yyyy"))</f>
        <v/>
      </c>
      <c r="I4553" s="47" t="str">
        <f aca="false">IF(G4553="","",G4553+H4553)</f>
        <v/>
      </c>
    </row>
    <row r="4554" customFormat="false" ht="15" hidden="false" customHeight="false" outlineLevel="0" collapsed="false">
      <c r="C4554" s="41" t="str">
        <f aca="false">IF(A4554="","",TEXT(A4554,"mmm-yyyy"))</f>
        <v/>
      </c>
      <c r="I4554" s="47" t="str">
        <f aca="false">IF(G4554="","",G4554+H4554)</f>
        <v/>
      </c>
    </row>
    <row r="4555" customFormat="false" ht="15" hidden="false" customHeight="false" outlineLevel="0" collapsed="false">
      <c r="C4555" s="41" t="str">
        <f aca="false">IF(A4555="","",TEXT(A4555,"mmm-yyyy"))</f>
        <v/>
      </c>
      <c r="I4555" s="47" t="str">
        <f aca="false">IF(G4555="","",G4555+H4555)</f>
        <v/>
      </c>
    </row>
    <row r="4556" customFormat="false" ht="15" hidden="false" customHeight="false" outlineLevel="0" collapsed="false">
      <c r="C4556" s="41" t="str">
        <f aca="false">IF(A4556="","",TEXT(A4556,"mmm-yyyy"))</f>
        <v/>
      </c>
      <c r="I4556" s="47" t="str">
        <f aca="false">IF(G4556="","",G4556+H4556)</f>
        <v/>
      </c>
    </row>
    <row r="4557" customFormat="false" ht="15" hidden="false" customHeight="false" outlineLevel="0" collapsed="false">
      <c r="C4557" s="41" t="str">
        <f aca="false">IF(A4557="","",TEXT(A4557,"mmm-yyyy"))</f>
        <v/>
      </c>
      <c r="I4557" s="47" t="str">
        <f aca="false">IF(G4557="","",G4557+H4557)</f>
        <v/>
      </c>
    </row>
    <row r="4558" customFormat="false" ht="15" hidden="false" customHeight="false" outlineLevel="0" collapsed="false">
      <c r="C4558" s="41" t="str">
        <f aca="false">IF(A4558="","",TEXT(A4558,"mmm-yyyy"))</f>
        <v/>
      </c>
      <c r="I4558" s="47" t="str">
        <f aca="false">IF(G4558="","",G4558+H4558)</f>
        <v/>
      </c>
    </row>
    <row r="4559" customFormat="false" ht="15" hidden="false" customHeight="false" outlineLevel="0" collapsed="false">
      <c r="C4559" s="41" t="str">
        <f aca="false">IF(A4559="","",TEXT(A4559,"mmm-yyyy"))</f>
        <v/>
      </c>
      <c r="I4559" s="47" t="str">
        <f aca="false">IF(G4559="","",G4559+H4559)</f>
        <v/>
      </c>
    </row>
    <row r="4560" customFormat="false" ht="15" hidden="false" customHeight="false" outlineLevel="0" collapsed="false">
      <c r="C4560" s="41" t="str">
        <f aca="false">IF(A4560="","",TEXT(A4560,"mmm-yyyy"))</f>
        <v/>
      </c>
      <c r="I4560" s="47" t="str">
        <f aca="false">IF(G4560="","",G4560+H4560)</f>
        <v/>
      </c>
    </row>
    <row r="4561" customFormat="false" ht="15" hidden="false" customHeight="false" outlineLevel="0" collapsed="false">
      <c r="C4561" s="41" t="str">
        <f aca="false">IF(A4561="","",TEXT(A4561,"mmm-yyyy"))</f>
        <v/>
      </c>
      <c r="I4561" s="47" t="str">
        <f aca="false">IF(G4561="","",G4561+H4561)</f>
        <v/>
      </c>
    </row>
    <row r="4562" customFormat="false" ht="15" hidden="false" customHeight="false" outlineLevel="0" collapsed="false">
      <c r="C4562" s="41" t="str">
        <f aca="false">IF(A4562="","",TEXT(A4562,"mmm-yyyy"))</f>
        <v/>
      </c>
      <c r="I4562" s="47" t="str">
        <f aca="false">IF(G4562="","",G4562+H4562)</f>
        <v/>
      </c>
    </row>
    <row r="4563" customFormat="false" ht="15" hidden="false" customHeight="false" outlineLevel="0" collapsed="false">
      <c r="C4563" s="41" t="str">
        <f aca="false">IF(A4563="","",TEXT(A4563,"mmm-yyyy"))</f>
        <v/>
      </c>
      <c r="I4563" s="47" t="str">
        <f aca="false">IF(G4563="","",G4563+H4563)</f>
        <v/>
      </c>
    </row>
    <row r="4564" customFormat="false" ht="15" hidden="false" customHeight="false" outlineLevel="0" collapsed="false">
      <c r="C4564" s="41" t="str">
        <f aca="false">IF(A4564="","",TEXT(A4564,"mmm-yyyy"))</f>
        <v/>
      </c>
      <c r="I4564" s="47" t="str">
        <f aca="false">IF(G4564="","",G4564+H4564)</f>
        <v/>
      </c>
    </row>
    <row r="4565" customFormat="false" ht="15" hidden="false" customHeight="false" outlineLevel="0" collapsed="false">
      <c r="C4565" s="41" t="str">
        <f aca="false">IF(A4565="","",TEXT(A4565,"mmm-yyyy"))</f>
        <v/>
      </c>
      <c r="I4565" s="47" t="str">
        <f aca="false">IF(G4565="","",G4565+H4565)</f>
        <v/>
      </c>
    </row>
    <row r="4566" customFormat="false" ht="15" hidden="false" customHeight="false" outlineLevel="0" collapsed="false">
      <c r="C4566" s="41" t="str">
        <f aca="false">IF(A4566="","",TEXT(A4566,"mmm-yyyy"))</f>
        <v/>
      </c>
      <c r="I4566" s="47" t="str">
        <f aca="false">IF(G4566="","",G4566+H4566)</f>
        <v/>
      </c>
    </row>
    <row r="4567" customFormat="false" ht="15" hidden="false" customHeight="false" outlineLevel="0" collapsed="false">
      <c r="C4567" s="41" t="str">
        <f aca="false">IF(A4567="","",TEXT(A4567,"mmm-yyyy"))</f>
        <v/>
      </c>
      <c r="I4567" s="47" t="str">
        <f aca="false">IF(G4567="","",G4567+H4567)</f>
        <v/>
      </c>
    </row>
    <row r="4568" customFormat="false" ht="15" hidden="false" customHeight="false" outlineLevel="0" collapsed="false">
      <c r="C4568" s="41" t="str">
        <f aca="false">IF(A4568="","",TEXT(A4568,"mmm-yyyy"))</f>
        <v/>
      </c>
      <c r="I4568" s="47" t="str">
        <f aca="false">IF(G4568="","",G4568+H4568)</f>
        <v/>
      </c>
    </row>
    <row r="4569" customFormat="false" ht="15" hidden="false" customHeight="false" outlineLevel="0" collapsed="false">
      <c r="C4569" s="41" t="str">
        <f aca="false">IF(A4569="","",TEXT(A4569,"mmm-yyyy"))</f>
        <v/>
      </c>
      <c r="I4569" s="47" t="str">
        <f aca="false">IF(G4569="","",G4569+H4569)</f>
        <v/>
      </c>
    </row>
    <row r="4570" customFormat="false" ht="15" hidden="false" customHeight="false" outlineLevel="0" collapsed="false">
      <c r="C4570" s="41" t="str">
        <f aca="false">IF(A4570="","",TEXT(A4570,"mmm-yyyy"))</f>
        <v/>
      </c>
      <c r="I4570" s="47" t="str">
        <f aca="false">IF(G4570="","",G4570+H4570)</f>
        <v/>
      </c>
    </row>
    <row r="4571" customFormat="false" ht="15" hidden="false" customHeight="false" outlineLevel="0" collapsed="false">
      <c r="C4571" s="41" t="str">
        <f aca="false">IF(A4571="","",TEXT(A4571,"mmm-yyyy"))</f>
        <v/>
      </c>
      <c r="I4571" s="47" t="str">
        <f aca="false">IF(G4571="","",G4571+H4571)</f>
        <v/>
      </c>
    </row>
    <row r="4572" customFormat="false" ht="15" hidden="false" customHeight="false" outlineLevel="0" collapsed="false">
      <c r="C4572" s="41" t="str">
        <f aca="false">IF(A4572="","",TEXT(A4572,"mmm-yyyy"))</f>
        <v/>
      </c>
      <c r="I4572" s="47" t="str">
        <f aca="false">IF(G4572="","",G4572+H4572)</f>
        <v/>
      </c>
    </row>
    <row r="4573" customFormat="false" ht="15" hidden="false" customHeight="false" outlineLevel="0" collapsed="false">
      <c r="C4573" s="41" t="str">
        <f aca="false">IF(A4573="","",TEXT(A4573,"mmm-yyyy"))</f>
        <v/>
      </c>
      <c r="I4573" s="47" t="str">
        <f aca="false">IF(G4573="","",G4573+H4573)</f>
        <v/>
      </c>
    </row>
    <row r="4574" customFormat="false" ht="15" hidden="false" customHeight="false" outlineLevel="0" collapsed="false">
      <c r="C4574" s="41" t="str">
        <f aca="false">IF(A4574="","",TEXT(A4574,"mmm-yyyy"))</f>
        <v/>
      </c>
      <c r="I4574" s="47" t="str">
        <f aca="false">IF(G4574="","",G4574+H4574)</f>
        <v/>
      </c>
    </row>
    <row r="4575" customFormat="false" ht="15" hidden="false" customHeight="false" outlineLevel="0" collapsed="false">
      <c r="C4575" s="41" t="str">
        <f aca="false">IF(A4575="","",TEXT(A4575,"mmm-yyyy"))</f>
        <v/>
      </c>
      <c r="I4575" s="47" t="str">
        <f aca="false">IF(G4575="","",G4575+H4575)</f>
        <v/>
      </c>
    </row>
    <row r="4576" customFormat="false" ht="15" hidden="false" customHeight="false" outlineLevel="0" collapsed="false">
      <c r="C4576" s="41" t="str">
        <f aca="false">IF(A4576="","",TEXT(A4576,"mmm-yyyy"))</f>
        <v/>
      </c>
      <c r="I4576" s="47" t="str">
        <f aca="false">IF(G4576="","",G4576+H4576)</f>
        <v/>
      </c>
    </row>
    <row r="4577" customFormat="false" ht="15" hidden="false" customHeight="false" outlineLevel="0" collapsed="false">
      <c r="C4577" s="41" t="str">
        <f aca="false">IF(A4577="","",TEXT(A4577,"mmm-yyyy"))</f>
        <v/>
      </c>
      <c r="I4577" s="47" t="str">
        <f aca="false">IF(G4577="","",G4577+H4577)</f>
        <v/>
      </c>
    </row>
    <row r="4578" customFormat="false" ht="15" hidden="false" customHeight="false" outlineLevel="0" collapsed="false">
      <c r="C4578" s="41" t="str">
        <f aca="false">IF(A4578="","",TEXT(A4578,"mmm-yyyy"))</f>
        <v/>
      </c>
      <c r="I4578" s="47" t="str">
        <f aca="false">IF(G4578="","",G4578+H4578)</f>
        <v/>
      </c>
    </row>
    <row r="4579" customFormat="false" ht="15" hidden="false" customHeight="false" outlineLevel="0" collapsed="false">
      <c r="C4579" s="41" t="str">
        <f aca="false">IF(A4579="","",TEXT(A4579,"mmm-yyyy"))</f>
        <v/>
      </c>
      <c r="I4579" s="47" t="str">
        <f aca="false">IF(G4579="","",G4579+H4579)</f>
        <v/>
      </c>
    </row>
    <row r="4580" customFormat="false" ht="15" hidden="false" customHeight="false" outlineLevel="0" collapsed="false">
      <c r="C4580" s="41" t="str">
        <f aca="false">IF(A4580="","",TEXT(A4580,"mmm-yyyy"))</f>
        <v/>
      </c>
      <c r="I4580" s="47" t="str">
        <f aca="false">IF(G4580="","",G4580+H4580)</f>
        <v/>
      </c>
    </row>
    <row r="4581" customFormat="false" ht="15" hidden="false" customHeight="false" outlineLevel="0" collapsed="false">
      <c r="C4581" s="41" t="str">
        <f aca="false">IF(A4581="","",TEXT(A4581,"mmm-yyyy"))</f>
        <v/>
      </c>
      <c r="I4581" s="47" t="str">
        <f aca="false">IF(G4581="","",G4581+H4581)</f>
        <v/>
      </c>
    </row>
    <row r="4582" customFormat="false" ht="15" hidden="false" customHeight="false" outlineLevel="0" collapsed="false">
      <c r="C4582" s="41" t="str">
        <f aca="false">IF(A4582="","",TEXT(A4582,"mmm-yyyy"))</f>
        <v/>
      </c>
      <c r="I4582" s="47" t="str">
        <f aca="false">IF(G4582="","",G4582+H4582)</f>
        <v/>
      </c>
    </row>
    <row r="4583" customFormat="false" ht="15" hidden="false" customHeight="false" outlineLevel="0" collapsed="false">
      <c r="C4583" s="41" t="str">
        <f aca="false">IF(A4583="","",TEXT(A4583,"mmm-yyyy"))</f>
        <v/>
      </c>
      <c r="I4583" s="47" t="str">
        <f aca="false">IF(G4583="","",G4583+H4583)</f>
        <v/>
      </c>
    </row>
    <row r="4584" customFormat="false" ht="15" hidden="false" customHeight="false" outlineLevel="0" collapsed="false">
      <c r="C4584" s="41" t="str">
        <f aca="false">IF(A4584="","",TEXT(A4584,"mmm-yyyy"))</f>
        <v/>
      </c>
      <c r="I4584" s="47" t="str">
        <f aca="false">IF(G4584="","",G4584+H4584)</f>
        <v/>
      </c>
    </row>
    <row r="4585" customFormat="false" ht="15" hidden="false" customHeight="false" outlineLevel="0" collapsed="false">
      <c r="C4585" s="41" t="str">
        <f aca="false">IF(A4585="","",TEXT(A4585,"mmm-yyyy"))</f>
        <v/>
      </c>
      <c r="I4585" s="47" t="str">
        <f aca="false">IF(G4585="","",G4585+H4585)</f>
        <v/>
      </c>
    </row>
    <row r="4586" customFormat="false" ht="15" hidden="false" customHeight="false" outlineLevel="0" collapsed="false">
      <c r="C4586" s="41" t="str">
        <f aca="false">IF(A4586="","",TEXT(A4586,"mmm-yyyy"))</f>
        <v/>
      </c>
      <c r="I4586" s="47" t="str">
        <f aca="false">IF(G4586="","",G4586+H4586)</f>
        <v/>
      </c>
    </row>
    <row r="4587" customFormat="false" ht="15" hidden="false" customHeight="false" outlineLevel="0" collapsed="false">
      <c r="C4587" s="41" t="str">
        <f aca="false">IF(A4587="","",TEXT(A4587,"mmm-yyyy"))</f>
        <v/>
      </c>
      <c r="I4587" s="47" t="str">
        <f aca="false">IF(G4587="","",G4587+H4587)</f>
        <v/>
      </c>
    </row>
    <row r="4588" customFormat="false" ht="15" hidden="false" customHeight="false" outlineLevel="0" collapsed="false">
      <c r="C4588" s="41" t="str">
        <f aca="false">IF(A4588="","",TEXT(A4588,"mmm-yyyy"))</f>
        <v/>
      </c>
      <c r="I4588" s="47" t="str">
        <f aca="false">IF(G4588="","",G4588+H4588)</f>
        <v/>
      </c>
    </row>
    <row r="4589" customFormat="false" ht="15" hidden="false" customHeight="false" outlineLevel="0" collapsed="false">
      <c r="C4589" s="41" t="str">
        <f aca="false">IF(A4589="","",TEXT(A4589,"mmm-yyyy"))</f>
        <v/>
      </c>
      <c r="I4589" s="47" t="str">
        <f aca="false">IF(G4589="","",G4589+H4589)</f>
        <v/>
      </c>
    </row>
    <row r="4590" customFormat="false" ht="15" hidden="false" customHeight="false" outlineLevel="0" collapsed="false">
      <c r="C4590" s="41" t="str">
        <f aca="false">IF(A4590="","",TEXT(A4590,"mmm-yyyy"))</f>
        <v/>
      </c>
      <c r="I4590" s="47" t="str">
        <f aca="false">IF(G4590="","",G4590+H4590)</f>
        <v/>
      </c>
    </row>
    <row r="4591" customFormat="false" ht="15" hidden="false" customHeight="false" outlineLevel="0" collapsed="false">
      <c r="C4591" s="41" t="str">
        <f aca="false">IF(A4591="","",TEXT(A4591,"mmm-yyyy"))</f>
        <v/>
      </c>
      <c r="I4591" s="47" t="str">
        <f aca="false">IF(G4591="","",G4591+H4591)</f>
        <v/>
      </c>
    </row>
    <row r="4592" customFormat="false" ht="15" hidden="false" customHeight="false" outlineLevel="0" collapsed="false">
      <c r="C4592" s="41" t="str">
        <f aca="false">IF(A4592="","",TEXT(A4592,"mmm-yyyy"))</f>
        <v/>
      </c>
      <c r="I4592" s="47" t="str">
        <f aca="false">IF(G4592="","",G4592+H4592)</f>
        <v/>
      </c>
    </row>
    <row r="4593" customFormat="false" ht="15" hidden="false" customHeight="false" outlineLevel="0" collapsed="false">
      <c r="C4593" s="41" t="str">
        <f aca="false">IF(A4593="","",TEXT(A4593,"mmm-yyyy"))</f>
        <v/>
      </c>
      <c r="I4593" s="47" t="str">
        <f aca="false">IF(G4593="","",G4593+H4593)</f>
        <v/>
      </c>
    </row>
    <row r="4594" customFormat="false" ht="15" hidden="false" customHeight="false" outlineLevel="0" collapsed="false">
      <c r="C4594" s="41" t="str">
        <f aca="false">IF(A4594="","",TEXT(A4594,"mmm-yyyy"))</f>
        <v/>
      </c>
      <c r="I4594" s="47" t="str">
        <f aca="false">IF(G4594="","",G4594+H4594)</f>
        <v/>
      </c>
    </row>
    <row r="4595" customFormat="false" ht="15" hidden="false" customHeight="false" outlineLevel="0" collapsed="false">
      <c r="C4595" s="41" t="str">
        <f aca="false">IF(A4595="","",TEXT(A4595,"mmm-yyyy"))</f>
        <v/>
      </c>
      <c r="I4595" s="47" t="str">
        <f aca="false">IF(G4595="","",G4595+H4595)</f>
        <v/>
      </c>
    </row>
    <row r="4596" customFormat="false" ht="15" hidden="false" customHeight="false" outlineLevel="0" collapsed="false">
      <c r="C4596" s="41" t="str">
        <f aca="false">IF(A4596="","",TEXT(A4596,"mmm-yyyy"))</f>
        <v/>
      </c>
      <c r="I4596" s="47" t="str">
        <f aca="false">IF(G4596="","",G4596+H4596)</f>
        <v/>
      </c>
    </row>
    <row r="4597" customFormat="false" ht="15" hidden="false" customHeight="false" outlineLevel="0" collapsed="false">
      <c r="C4597" s="41" t="str">
        <f aca="false">IF(A4597="","",TEXT(A4597,"mmm-yyyy"))</f>
        <v/>
      </c>
      <c r="I4597" s="47" t="str">
        <f aca="false">IF(G4597="","",G4597+H4597)</f>
        <v/>
      </c>
    </row>
    <row r="4598" customFormat="false" ht="15" hidden="false" customHeight="false" outlineLevel="0" collapsed="false">
      <c r="C4598" s="41" t="str">
        <f aca="false">IF(A4598="","",TEXT(A4598,"mmm-yyyy"))</f>
        <v/>
      </c>
      <c r="I4598" s="47" t="str">
        <f aca="false">IF(G4598="","",G4598+H4598)</f>
        <v/>
      </c>
    </row>
    <row r="4599" customFormat="false" ht="15" hidden="false" customHeight="false" outlineLevel="0" collapsed="false">
      <c r="C4599" s="41" t="str">
        <f aca="false">IF(A4599="","",TEXT(A4599,"mmm-yyyy"))</f>
        <v/>
      </c>
      <c r="I4599" s="47" t="str">
        <f aca="false">IF(G4599="","",G4599+H4599)</f>
        <v/>
      </c>
    </row>
    <row r="4600" customFormat="false" ht="15" hidden="false" customHeight="false" outlineLevel="0" collapsed="false">
      <c r="C4600" s="41" t="str">
        <f aca="false">IF(A4600="","",TEXT(A4600,"mmm-yyyy"))</f>
        <v/>
      </c>
      <c r="I4600" s="47" t="str">
        <f aca="false">IF(G4600="","",G4600+H4600)</f>
        <v/>
      </c>
    </row>
    <row r="4601" customFormat="false" ht="15" hidden="false" customHeight="false" outlineLevel="0" collapsed="false">
      <c r="C4601" s="41" t="str">
        <f aca="false">IF(A4601="","",TEXT(A4601,"mmm-yyyy"))</f>
        <v/>
      </c>
      <c r="I4601" s="47" t="str">
        <f aca="false">IF(G4601="","",G4601+H4601)</f>
        <v/>
      </c>
    </row>
    <row r="4602" customFormat="false" ht="15" hidden="false" customHeight="false" outlineLevel="0" collapsed="false">
      <c r="C4602" s="41" t="str">
        <f aca="false">IF(A4602="","",TEXT(A4602,"mmm-yyyy"))</f>
        <v/>
      </c>
      <c r="I4602" s="47" t="str">
        <f aca="false">IF(G4602="","",G4602+H4602)</f>
        <v/>
      </c>
    </row>
    <row r="4603" customFormat="false" ht="15" hidden="false" customHeight="false" outlineLevel="0" collapsed="false">
      <c r="C4603" s="41" t="str">
        <f aca="false">IF(A4603="","",TEXT(A4603,"mmm-yyyy"))</f>
        <v/>
      </c>
      <c r="I4603" s="47" t="str">
        <f aca="false">IF(G4603="","",G4603+H4603)</f>
        <v/>
      </c>
    </row>
    <row r="4604" customFormat="false" ht="15" hidden="false" customHeight="false" outlineLevel="0" collapsed="false">
      <c r="C4604" s="41" t="str">
        <f aca="false">IF(A4604="","",TEXT(A4604,"mmm-yyyy"))</f>
        <v/>
      </c>
      <c r="I4604" s="47" t="str">
        <f aca="false">IF(G4604="","",G4604+H4604)</f>
        <v/>
      </c>
    </row>
    <row r="4605" customFormat="false" ht="15" hidden="false" customHeight="false" outlineLevel="0" collapsed="false">
      <c r="C4605" s="41" t="str">
        <f aca="false">IF(A4605="","",TEXT(A4605,"mmm-yyyy"))</f>
        <v/>
      </c>
      <c r="I4605" s="47" t="str">
        <f aca="false">IF(G4605="","",G4605+H4605)</f>
        <v/>
      </c>
    </row>
    <row r="4606" customFormat="false" ht="15" hidden="false" customHeight="false" outlineLevel="0" collapsed="false">
      <c r="C4606" s="41" t="str">
        <f aca="false">IF(A4606="","",TEXT(A4606,"mmm-yyyy"))</f>
        <v/>
      </c>
      <c r="I4606" s="47" t="str">
        <f aca="false">IF(G4606="","",G4606+H4606)</f>
        <v/>
      </c>
    </row>
    <row r="4607" customFormat="false" ht="15" hidden="false" customHeight="false" outlineLevel="0" collapsed="false">
      <c r="C4607" s="41" t="str">
        <f aca="false">IF(A4607="","",TEXT(A4607,"mmm-yyyy"))</f>
        <v/>
      </c>
      <c r="I4607" s="47" t="str">
        <f aca="false">IF(G4607="","",G4607+H4607)</f>
        <v/>
      </c>
    </row>
    <row r="4608" customFormat="false" ht="15" hidden="false" customHeight="false" outlineLevel="0" collapsed="false">
      <c r="C4608" s="41" t="str">
        <f aca="false">IF(A4608="","",TEXT(A4608,"mmm-yyyy"))</f>
        <v/>
      </c>
      <c r="I4608" s="47" t="str">
        <f aca="false">IF(G4608="","",G4608+H4608)</f>
        <v/>
      </c>
    </row>
    <row r="4609" customFormat="false" ht="15" hidden="false" customHeight="false" outlineLevel="0" collapsed="false">
      <c r="C4609" s="41" t="str">
        <f aca="false">IF(A4609="","",TEXT(A4609,"mmm-yyyy"))</f>
        <v/>
      </c>
      <c r="I4609" s="47" t="str">
        <f aca="false">IF(G4609="","",G4609+H4609)</f>
        <v/>
      </c>
    </row>
    <row r="4610" customFormat="false" ht="15" hidden="false" customHeight="false" outlineLevel="0" collapsed="false">
      <c r="C4610" s="41" t="str">
        <f aca="false">IF(A4610="","",TEXT(A4610,"mmm-yyyy"))</f>
        <v/>
      </c>
      <c r="I4610" s="47" t="str">
        <f aca="false">IF(G4610="","",G4610+H4610)</f>
        <v/>
      </c>
    </row>
    <row r="4611" customFormat="false" ht="15" hidden="false" customHeight="false" outlineLevel="0" collapsed="false">
      <c r="C4611" s="41" t="str">
        <f aca="false">IF(A4611="","",TEXT(A4611,"mmm-yyyy"))</f>
        <v/>
      </c>
      <c r="I4611" s="47" t="str">
        <f aca="false">IF(G4611="","",G4611+H4611)</f>
        <v/>
      </c>
    </row>
    <row r="4612" customFormat="false" ht="15" hidden="false" customHeight="false" outlineLevel="0" collapsed="false">
      <c r="C4612" s="41" t="str">
        <f aca="false">IF(A4612="","",TEXT(A4612,"mmm-yyyy"))</f>
        <v/>
      </c>
      <c r="I4612" s="47" t="str">
        <f aca="false">IF(G4612="","",G4612+H4612)</f>
        <v/>
      </c>
    </row>
    <row r="4613" customFormat="false" ht="15" hidden="false" customHeight="false" outlineLevel="0" collapsed="false">
      <c r="C4613" s="41" t="str">
        <f aca="false">IF(A4613="","",TEXT(A4613,"mmm-yyyy"))</f>
        <v/>
      </c>
      <c r="I4613" s="47" t="str">
        <f aca="false">IF(G4613="","",G4613+H4613)</f>
        <v/>
      </c>
    </row>
    <row r="4614" customFormat="false" ht="15" hidden="false" customHeight="false" outlineLevel="0" collapsed="false">
      <c r="C4614" s="41" t="str">
        <f aca="false">IF(A4614="","",TEXT(A4614,"mmm-yyyy"))</f>
        <v/>
      </c>
      <c r="I4614" s="47" t="str">
        <f aca="false">IF(G4614="","",G4614+H4614)</f>
        <v/>
      </c>
    </row>
    <row r="4615" customFormat="false" ht="15" hidden="false" customHeight="false" outlineLevel="0" collapsed="false">
      <c r="C4615" s="41" t="str">
        <f aca="false">IF(A4615="","",TEXT(A4615,"mmm-yyyy"))</f>
        <v/>
      </c>
      <c r="I4615" s="47" t="str">
        <f aca="false">IF(G4615="","",G4615+H4615)</f>
        <v/>
      </c>
    </row>
    <row r="4616" customFormat="false" ht="15" hidden="false" customHeight="false" outlineLevel="0" collapsed="false">
      <c r="C4616" s="41" t="str">
        <f aca="false">IF(A4616="","",TEXT(A4616,"mmm-yyyy"))</f>
        <v/>
      </c>
      <c r="I4616" s="47" t="str">
        <f aca="false">IF(G4616="","",G4616+H4616)</f>
        <v/>
      </c>
    </row>
    <row r="4617" customFormat="false" ht="15" hidden="false" customHeight="false" outlineLevel="0" collapsed="false">
      <c r="C4617" s="41" t="str">
        <f aca="false">IF(A4617="","",TEXT(A4617,"mmm-yyyy"))</f>
        <v/>
      </c>
      <c r="I4617" s="47" t="str">
        <f aca="false">IF(G4617="","",G4617+H4617)</f>
        <v/>
      </c>
    </row>
    <row r="4618" customFormat="false" ht="15" hidden="false" customHeight="false" outlineLevel="0" collapsed="false">
      <c r="C4618" s="41" t="str">
        <f aca="false">IF(A4618="","",TEXT(A4618,"mmm-yyyy"))</f>
        <v/>
      </c>
      <c r="I4618" s="47" t="str">
        <f aca="false">IF(G4618="","",G4618+H4618)</f>
        <v/>
      </c>
    </row>
    <row r="4619" customFormat="false" ht="15" hidden="false" customHeight="false" outlineLevel="0" collapsed="false">
      <c r="C4619" s="41" t="str">
        <f aca="false">IF(A4619="","",TEXT(A4619,"mmm-yyyy"))</f>
        <v/>
      </c>
      <c r="I4619" s="47" t="str">
        <f aca="false">IF(G4619="","",G4619+H4619)</f>
        <v/>
      </c>
    </row>
    <row r="4620" customFormat="false" ht="15" hidden="false" customHeight="false" outlineLevel="0" collapsed="false">
      <c r="C4620" s="41" t="str">
        <f aca="false">IF(A4620="","",TEXT(A4620,"mmm-yyyy"))</f>
        <v/>
      </c>
      <c r="I4620" s="47" t="str">
        <f aca="false">IF(G4620="","",G4620+H4620)</f>
        <v/>
      </c>
    </row>
    <row r="4621" customFormat="false" ht="15" hidden="false" customHeight="false" outlineLevel="0" collapsed="false">
      <c r="C4621" s="41" t="str">
        <f aca="false">IF(A4621="","",TEXT(A4621,"mmm-yyyy"))</f>
        <v/>
      </c>
      <c r="I4621" s="47" t="str">
        <f aca="false">IF(G4621="","",G4621+H4621)</f>
        <v/>
      </c>
    </row>
    <row r="4622" customFormat="false" ht="15" hidden="false" customHeight="false" outlineLevel="0" collapsed="false">
      <c r="C4622" s="41" t="str">
        <f aca="false">IF(A4622="","",TEXT(A4622,"mmm-yyyy"))</f>
        <v/>
      </c>
      <c r="I4622" s="47" t="str">
        <f aca="false">IF(G4622="","",G4622+H4622)</f>
        <v/>
      </c>
    </row>
    <row r="4623" customFormat="false" ht="15" hidden="false" customHeight="false" outlineLevel="0" collapsed="false">
      <c r="C4623" s="41" t="str">
        <f aca="false">IF(A4623="","",TEXT(A4623,"mmm-yyyy"))</f>
        <v/>
      </c>
      <c r="I4623" s="47" t="str">
        <f aca="false">IF(G4623="","",G4623+H4623)</f>
        <v/>
      </c>
    </row>
    <row r="4624" customFormat="false" ht="15" hidden="false" customHeight="false" outlineLevel="0" collapsed="false">
      <c r="C4624" s="41" t="str">
        <f aca="false">IF(A4624="","",TEXT(A4624,"mmm-yyyy"))</f>
        <v/>
      </c>
      <c r="I4624" s="47" t="str">
        <f aca="false">IF(G4624="","",G4624+H4624)</f>
        <v/>
      </c>
    </row>
    <row r="4625" customFormat="false" ht="15" hidden="false" customHeight="false" outlineLevel="0" collapsed="false">
      <c r="C4625" s="41" t="str">
        <f aca="false">IF(A4625="","",TEXT(A4625,"mmm-yyyy"))</f>
        <v/>
      </c>
      <c r="I4625" s="47" t="str">
        <f aca="false">IF(G4625="","",G4625+H4625)</f>
        <v/>
      </c>
    </row>
    <row r="4626" customFormat="false" ht="15" hidden="false" customHeight="false" outlineLevel="0" collapsed="false">
      <c r="C4626" s="41" t="str">
        <f aca="false">IF(A4626="","",TEXT(A4626,"mmm-yyyy"))</f>
        <v/>
      </c>
      <c r="I4626" s="47" t="str">
        <f aca="false">IF(G4626="","",G4626+H4626)</f>
        <v/>
      </c>
    </row>
    <row r="4627" customFormat="false" ht="15" hidden="false" customHeight="false" outlineLevel="0" collapsed="false">
      <c r="C4627" s="41" t="str">
        <f aca="false">IF(A4627="","",TEXT(A4627,"mmm-yyyy"))</f>
        <v/>
      </c>
      <c r="I4627" s="47" t="str">
        <f aca="false">IF(G4627="","",G4627+H4627)</f>
        <v/>
      </c>
    </row>
    <row r="4628" customFormat="false" ht="15" hidden="false" customHeight="false" outlineLevel="0" collapsed="false">
      <c r="C4628" s="41" t="str">
        <f aca="false">IF(A4628="","",TEXT(A4628,"mmm-yyyy"))</f>
        <v/>
      </c>
      <c r="I4628" s="47" t="str">
        <f aca="false">IF(G4628="","",G4628+H4628)</f>
        <v/>
      </c>
    </row>
    <row r="4629" customFormat="false" ht="15" hidden="false" customHeight="false" outlineLevel="0" collapsed="false">
      <c r="C4629" s="41" t="str">
        <f aca="false">IF(A4629="","",TEXT(A4629,"mmm-yyyy"))</f>
        <v/>
      </c>
      <c r="I4629" s="47" t="str">
        <f aca="false">IF(G4629="","",G4629+H4629)</f>
        <v/>
      </c>
    </row>
    <row r="4630" customFormat="false" ht="15" hidden="false" customHeight="false" outlineLevel="0" collapsed="false">
      <c r="C4630" s="41" t="str">
        <f aca="false">IF(A4630="","",TEXT(A4630,"mmm-yyyy"))</f>
        <v/>
      </c>
      <c r="I4630" s="47" t="str">
        <f aca="false">IF(G4630="","",G4630+H4630)</f>
        <v/>
      </c>
    </row>
    <row r="4631" customFormat="false" ht="15" hidden="false" customHeight="false" outlineLevel="0" collapsed="false">
      <c r="C4631" s="41" t="str">
        <f aca="false">IF(A4631="","",TEXT(A4631,"mmm-yyyy"))</f>
        <v/>
      </c>
      <c r="I4631" s="47" t="str">
        <f aca="false">IF(G4631="","",G4631+H4631)</f>
        <v/>
      </c>
    </row>
    <row r="4632" customFormat="false" ht="15" hidden="false" customHeight="false" outlineLevel="0" collapsed="false">
      <c r="C4632" s="41" t="str">
        <f aca="false">IF(A4632="","",TEXT(A4632,"mmm-yyyy"))</f>
        <v/>
      </c>
      <c r="I4632" s="47" t="str">
        <f aca="false">IF(G4632="","",G4632+H4632)</f>
        <v/>
      </c>
    </row>
    <row r="4633" customFormat="false" ht="15" hidden="false" customHeight="false" outlineLevel="0" collapsed="false">
      <c r="C4633" s="41" t="str">
        <f aca="false">IF(A4633="","",TEXT(A4633,"mmm-yyyy"))</f>
        <v/>
      </c>
      <c r="I4633" s="47" t="str">
        <f aca="false">IF(G4633="","",G4633+H4633)</f>
        <v/>
      </c>
    </row>
    <row r="4634" customFormat="false" ht="15" hidden="false" customHeight="false" outlineLevel="0" collapsed="false">
      <c r="C4634" s="41" t="str">
        <f aca="false">IF(A4634="","",TEXT(A4634,"mmm-yyyy"))</f>
        <v/>
      </c>
      <c r="I4634" s="47" t="str">
        <f aca="false">IF(G4634="","",G4634+H4634)</f>
        <v/>
      </c>
    </row>
    <row r="4635" customFormat="false" ht="15" hidden="false" customHeight="false" outlineLevel="0" collapsed="false">
      <c r="C4635" s="41" t="str">
        <f aca="false">IF(A4635="","",TEXT(A4635,"mmm-yyyy"))</f>
        <v/>
      </c>
      <c r="I4635" s="47" t="str">
        <f aca="false">IF(G4635="","",G4635+H4635)</f>
        <v/>
      </c>
    </row>
    <row r="4636" customFormat="false" ht="15" hidden="false" customHeight="false" outlineLevel="0" collapsed="false">
      <c r="C4636" s="41" t="str">
        <f aca="false">IF(A4636="","",TEXT(A4636,"mmm-yyyy"))</f>
        <v/>
      </c>
      <c r="I4636" s="47" t="str">
        <f aca="false">IF(G4636="","",G4636+H4636)</f>
        <v/>
      </c>
    </row>
    <row r="4637" customFormat="false" ht="15" hidden="false" customHeight="false" outlineLevel="0" collapsed="false">
      <c r="C4637" s="41" t="str">
        <f aca="false">IF(A4637="","",TEXT(A4637,"mmm-yyyy"))</f>
        <v/>
      </c>
      <c r="I4637" s="47" t="str">
        <f aca="false">IF(G4637="","",G4637+H4637)</f>
        <v/>
      </c>
    </row>
    <row r="4638" customFormat="false" ht="15" hidden="false" customHeight="false" outlineLevel="0" collapsed="false">
      <c r="C4638" s="41" t="str">
        <f aca="false">IF(A4638="","",TEXT(A4638,"mmm-yyyy"))</f>
        <v/>
      </c>
      <c r="I4638" s="47" t="str">
        <f aca="false">IF(G4638="","",G4638+H4638)</f>
        <v/>
      </c>
    </row>
    <row r="4639" customFormat="false" ht="15" hidden="false" customHeight="false" outlineLevel="0" collapsed="false">
      <c r="C4639" s="41" t="str">
        <f aca="false">IF(A4639="","",TEXT(A4639,"mmm-yyyy"))</f>
        <v/>
      </c>
      <c r="I4639" s="47" t="str">
        <f aca="false">IF(G4639="","",G4639+H4639)</f>
        <v/>
      </c>
    </row>
    <row r="4640" customFormat="false" ht="15" hidden="false" customHeight="false" outlineLevel="0" collapsed="false">
      <c r="C4640" s="41" t="str">
        <f aca="false">IF(A4640="","",TEXT(A4640,"mmm-yyyy"))</f>
        <v/>
      </c>
      <c r="I4640" s="47" t="str">
        <f aca="false">IF(G4640="","",G4640+H4640)</f>
        <v/>
      </c>
    </row>
    <row r="4641" customFormat="false" ht="15" hidden="false" customHeight="false" outlineLevel="0" collapsed="false">
      <c r="C4641" s="41" t="str">
        <f aca="false">IF(A4641="","",TEXT(A4641,"mmm-yyyy"))</f>
        <v/>
      </c>
      <c r="I4641" s="47" t="str">
        <f aca="false">IF(G4641="","",G4641+H4641)</f>
        <v/>
      </c>
    </row>
    <row r="4642" customFormat="false" ht="15" hidden="false" customHeight="false" outlineLevel="0" collapsed="false">
      <c r="C4642" s="41" t="str">
        <f aca="false">IF(A4642="","",TEXT(A4642,"mmm-yyyy"))</f>
        <v/>
      </c>
      <c r="I4642" s="47" t="str">
        <f aca="false">IF(G4642="","",G4642+H4642)</f>
        <v/>
      </c>
    </row>
    <row r="4643" customFormat="false" ht="15" hidden="false" customHeight="false" outlineLevel="0" collapsed="false">
      <c r="C4643" s="41" t="str">
        <f aca="false">IF(A4643="","",TEXT(A4643,"mmm-yyyy"))</f>
        <v/>
      </c>
      <c r="I4643" s="47" t="str">
        <f aca="false">IF(G4643="","",G4643+H4643)</f>
        <v/>
      </c>
    </row>
    <row r="4644" customFormat="false" ht="15" hidden="false" customHeight="false" outlineLevel="0" collapsed="false">
      <c r="C4644" s="41" t="str">
        <f aca="false">IF(A4644="","",TEXT(A4644,"mmm-yyyy"))</f>
        <v/>
      </c>
      <c r="I4644" s="47" t="str">
        <f aca="false">IF(G4644="","",G4644+H4644)</f>
        <v/>
      </c>
    </row>
    <row r="4645" customFormat="false" ht="15" hidden="false" customHeight="false" outlineLevel="0" collapsed="false">
      <c r="C4645" s="41" t="str">
        <f aca="false">IF(A4645="","",TEXT(A4645,"mmm-yyyy"))</f>
        <v/>
      </c>
      <c r="I4645" s="47" t="str">
        <f aca="false">IF(G4645="","",G4645+H4645)</f>
        <v/>
      </c>
    </row>
    <row r="4646" customFormat="false" ht="15" hidden="false" customHeight="false" outlineLevel="0" collapsed="false">
      <c r="C4646" s="41" t="str">
        <f aca="false">IF(A4646="","",TEXT(A4646,"mmm-yyyy"))</f>
        <v/>
      </c>
      <c r="I4646" s="47" t="str">
        <f aca="false">IF(G4646="","",G4646+H4646)</f>
        <v/>
      </c>
    </row>
    <row r="4647" customFormat="false" ht="15" hidden="false" customHeight="false" outlineLevel="0" collapsed="false">
      <c r="C4647" s="41" t="str">
        <f aca="false">IF(A4647="","",TEXT(A4647,"mmm-yyyy"))</f>
        <v/>
      </c>
      <c r="I4647" s="47" t="str">
        <f aca="false">IF(G4647="","",G4647+H4647)</f>
        <v/>
      </c>
    </row>
    <row r="4648" customFormat="false" ht="15" hidden="false" customHeight="false" outlineLevel="0" collapsed="false">
      <c r="C4648" s="41" t="str">
        <f aca="false">IF(A4648="","",TEXT(A4648,"mmm-yyyy"))</f>
        <v/>
      </c>
      <c r="I4648" s="47" t="str">
        <f aca="false">IF(G4648="","",G4648+H4648)</f>
        <v/>
      </c>
    </row>
    <row r="4649" customFormat="false" ht="15" hidden="false" customHeight="false" outlineLevel="0" collapsed="false">
      <c r="C4649" s="41" t="str">
        <f aca="false">IF(A4649="","",TEXT(A4649,"mmm-yyyy"))</f>
        <v/>
      </c>
      <c r="I4649" s="47" t="str">
        <f aca="false">IF(G4649="","",G4649+H4649)</f>
        <v/>
      </c>
    </row>
    <row r="4650" customFormat="false" ht="15" hidden="false" customHeight="false" outlineLevel="0" collapsed="false">
      <c r="C4650" s="41" t="str">
        <f aca="false">IF(A4650="","",TEXT(A4650,"mmm-yyyy"))</f>
        <v/>
      </c>
      <c r="I4650" s="47" t="str">
        <f aca="false">IF(G4650="","",G4650+H4650)</f>
        <v/>
      </c>
    </row>
    <row r="4651" customFormat="false" ht="15" hidden="false" customHeight="false" outlineLevel="0" collapsed="false">
      <c r="C4651" s="41" t="str">
        <f aca="false">IF(A4651="","",TEXT(A4651,"mmm-yyyy"))</f>
        <v/>
      </c>
      <c r="I4651" s="47" t="str">
        <f aca="false">IF(G4651="","",G4651+H4651)</f>
        <v/>
      </c>
    </row>
    <row r="4652" customFormat="false" ht="15" hidden="false" customHeight="false" outlineLevel="0" collapsed="false">
      <c r="C4652" s="41" t="str">
        <f aca="false">IF(A4652="","",TEXT(A4652,"mmm-yyyy"))</f>
        <v/>
      </c>
      <c r="I4652" s="47" t="str">
        <f aca="false">IF(G4652="","",G4652+H4652)</f>
        <v/>
      </c>
    </row>
    <row r="4653" customFormat="false" ht="15" hidden="false" customHeight="false" outlineLevel="0" collapsed="false">
      <c r="C4653" s="41" t="str">
        <f aca="false">IF(A4653="","",TEXT(A4653,"mmm-yyyy"))</f>
        <v/>
      </c>
      <c r="I4653" s="47" t="str">
        <f aca="false">IF(G4653="","",G4653+H4653)</f>
        <v/>
      </c>
    </row>
    <row r="4654" customFormat="false" ht="15" hidden="false" customHeight="false" outlineLevel="0" collapsed="false">
      <c r="C4654" s="41" t="str">
        <f aca="false">IF(A4654="","",TEXT(A4654,"mmm-yyyy"))</f>
        <v/>
      </c>
      <c r="I4654" s="47" t="str">
        <f aca="false">IF(G4654="","",G4654+H4654)</f>
        <v/>
      </c>
    </row>
    <row r="4655" customFormat="false" ht="15" hidden="false" customHeight="false" outlineLevel="0" collapsed="false">
      <c r="C4655" s="41" t="str">
        <f aca="false">IF(A4655="","",TEXT(A4655,"mmm-yyyy"))</f>
        <v/>
      </c>
      <c r="I4655" s="47" t="str">
        <f aca="false">IF(G4655="","",G4655+H4655)</f>
        <v/>
      </c>
    </row>
    <row r="4656" customFormat="false" ht="15" hidden="false" customHeight="false" outlineLevel="0" collapsed="false">
      <c r="C4656" s="41" t="str">
        <f aca="false">IF(A4656="","",TEXT(A4656,"mmm-yyyy"))</f>
        <v/>
      </c>
      <c r="I4656" s="47" t="str">
        <f aca="false">IF(G4656="","",G4656+H4656)</f>
        <v/>
      </c>
    </row>
    <row r="4657" customFormat="false" ht="15" hidden="false" customHeight="false" outlineLevel="0" collapsed="false">
      <c r="C4657" s="41" t="str">
        <f aca="false">IF(A4657="","",TEXT(A4657,"mmm-yyyy"))</f>
        <v/>
      </c>
      <c r="I4657" s="47" t="str">
        <f aca="false">IF(G4657="","",G4657+H4657)</f>
        <v/>
      </c>
    </row>
    <row r="4658" customFormat="false" ht="15" hidden="false" customHeight="false" outlineLevel="0" collapsed="false">
      <c r="C4658" s="41" t="str">
        <f aca="false">IF(A4658="","",TEXT(A4658,"mmm-yyyy"))</f>
        <v/>
      </c>
      <c r="I4658" s="47" t="str">
        <f aca="false">IF(G4658="","",G4658+H4658)</f>
        <v/>
      </c>
    </row>
    <row r="4659" customFormat="false" ht="15" hidden="false" customHeight="false" outlineLevel="0" collapsed="false">
      <c r="C4659" s="41" t="str">
        <f aca="false">IF(A4659="","",TEXT(A4659,"mmm-yyyy"))</f>
        <v/>
      </c>
      <c r="I4659" s="47" t="str">
        <f aca="false">IF(G4659="","",G4659+H4659)</f>
        <v/>
      </c>
    </row>
    <row r="4660" customFormat="false" ht="15" hidden="false" customHeight="false" outlineLevel="0" collapsed="false">
      <c r="C4660" s="41" t="str">
        <f aca="false">IF(A4660="","",TEXT(A4660,"mmm-yyyy"))</f>
        <v/>
      </c>
      <c r="I4660" s="47" t="str">
        <f aca="false">IF(G4660="","",G4660+H4660)</f>
        <v/>
      </c>
    </row>
    <row r="4661" customFormat="false" ht="15" hidden="false" customHeight="false" outlineLevel="0" collapsed="false">
      <c r="C4661" s="41" t="str">
        <f aca="false">IF(A4661="","",TEXT(A4661,"mmm-yyyy"))</f>
        <v/>
      </c>
      <c r="I4661" s="47" t="str">
        <f aca="false">IF(G4661="","",G4661+H4661)</f>
        <v/>
      </c>
    </row>
    <row r="4662" customFormat="false" ht="15" hidden="false" customHeight="false" outlineLevel="0" collapsed="false">
      <c r="C4662" s="41" t="str">
        <f aca="false">IF(A4662="","",TEXT(A4662,"mmm-yyyy"))</f>
        <v/>
      </c>
      <c r="I4662" s="47" t="str">
        <f aca="false">IF(G4662="","",G4662+H4662)</f>
        <v/>
      </c>
    </row>
    <row r="4663" customFormat="false" ht="15" hidden="false" customHeight="false" outlineLevel="0" collapsed="false">
      <c r="C4663" s="41" t="str">
        <f aca="false">IF(A4663="","",TEXT(A4663,"mmm-yyyy"))</f>
        <v/>
      </c>
      <c r="I4663" s="47" t="str">
        <f aca="false">IF(G4663="","",G4663+H4663)</f>
        <v/>
      </c>
    </row>
    <row r="4664" customFormat="false" ht="15" hidden="false" customHeight="false" outlineLevel="0" collapsed="false">
      <c r="C4664" s="41" t="str">
        <f aca="false">IF(A4664="","",TEXT(A4664,"mmm-yyyy"))</f>
        <v/>
      </c>
      <c r="I4664" s="47" t="str">
        <f aca="false">IF(G4664="","",G4664+H4664)</f>
        <v/>
      </c>
    </row>
    <row r="4665" customFormat="false" ht="15" hidden="false" customHeight="false" outlineLevel="0" collapsed="false">
      <c r="C4665" s="41" t="str">
        <f aca="false">IF(A4665="","",TEXT(A4665,"mmm-yyyy"))</f>
        <v/>
      </c>
      <c r="I4665" s="47" t="str">
        <f aca="false">IF(G4665="","",G4665+H4665)</f>
        <v/>
      </c>
    </row>
    <row r="4666" customFormat="false" ht="15" hidden="false" customHeight="false" outlineLevel="0" collapsed="false">
      <c r="C4666" s="41" t="str">
        <f aca="false">IF(A4666="","",TEXT(A4666,"mmm-yyyy"))</f>
        <v/>
      </c>
      <c r="I4666" s="47" t="str">
        <f aca="false">IF(G4666="","",G4666+H4666)</f>
        <v/>
      </c>
    </row>
    <row r="4667" customFormat="false" ht="15" hidden="false" customHeight="false" outlineLevel="0" collapsed="false">
      <c r="C4667" s="41" t="str">
        <f aca="false">IF(A4667="","",TEXT(A4667,"mmm-yyyy"))</f>
        <v/>
      </c>
      <c r="I4667" s="47" t="str">
        <f aca="false">IF(G4667="","",G4667+H4667)</f>
        <v/>
      </c>
    </row>
    <row r="4668" customFormat="false" ht="15" hidden="false" customHeight="false" outlineLevel="0" collapsed="false">
      <c r="C4668" s="41" t="str">
        <f aca="false">IF(A4668="","",TEXT(A4668,"mmm-yyyy"))</f>
        <v/>
      </c>
      <c r="I4668" s="47" t="str">
        <f aca="false">IF(G4668="","",G4668+H4668)</f>
        <v/>
      </c>
    </row>
    <row r="4669" customFormat="false" ht="15" hidden="false" customHeight="false" outlineLevel="0" collapsed="false">
      <c r="C4669" s="41" t="str">
        <f aca="false">IF(A4669="","",TEXT(A4669,"mmm-yyyy"))</f>
        <v/>
      </c>
      <c r="I4669" s="47" t="str">
        <f aca="false">IF(G4669="","",G4669+H4669)</f>
        <v/>
      </c>
    </row>
    <row r="4670" customFormat="false" ht="15" hidden="false" customHeight="false" outlineLevel="0" collapsed="false">
      <c r="C4670" s="41" t="str">
        <f aca="false">IF(A4670="","",TEXT(A4670,"mmm-yyyy"))</f>
        <v/>
      </c>
      <c r="I4670" s="47" t="str">
        <f aca="false">IF(G4670="","",G4670+H4670)</f>
        <v/>
      </c>
    </row>
    <row r="4671" customFormat="false" ht="15" hidden="false" customHeight="false" outlineLevel="0" collapsed="false">
      <c r="C4671" s="41" t="str">
        <f aca="false">IF(A4671="","",TEXT(A4671,"mmm-yyyy"))</f>
        <v/>
      </c>
      <c r="I4671" s="47" t="str">
        <f aca="false">IF(G4671="","",G4671+H4671)</f>
        <v/>
      </c>
    </row>
    <row r="4672" customFormat="false" ht="15" hidden="false" customHeight="false" outlineLevel="0" collapsed="false">
      <c r="C4672" s="41" t="str">
        <f aca="false">IF(A4672="","",TEXT(A4672,"mmm-yyyy"))</f>
        <v/>
      </c>
      <c r="I4672" s="47" t="str">
        <f aca="false">IF(G4672="","",G4672+H4672)</f>
        <v/>
      </c>
    </row>
    <row r="4673" customFormat="false" ht="15" hidden="false" customHeight="false" outlineLevel="0" collapsed="false">
      <c r="C4673" s="41" t="str">
        <f aca="false">IF(A4673="","",TEXT(A4673,"mmm-yyyy"))</f>
        <v/>
      </c>
      <c r="I4673" s="47" t="str">
        <f aca="false">IF(G4673="","",G4673+H4673)</f>
        <v/>
      </c>
    </row>
    <row r="4674" customFormat="false" ht="15" hidden="false" customHeight="false" outlineLevel="0" collapsed="false">
      <c r="C4674" s="41" t="str">
        <f aca="false">IF(A4674="","",TEXT(A4674,"mmm-yyyy"))</f>
        <v/>
      </c>
      <c r="I4674" s="47" t="str">
        <f aca="false">IF(G4674="","",G4674+H4674)</f>
        <v/>
      </c>
    </row>
    <row r="4675" customFormat="false" ht="15" hidden="false" customHeight="false" outlineLevel="0" collapsed="false">
      <c r="C4675" s="41" t="str">
        <f aca="false">IF(A4675="","",TEXT(A4675,"mmm-yyyy"))</f>
        <v/>
      </c>
      <c r="I4675" s="47" t="str">
        <f aca="false">IF(G4675="","",G4675+H4675)</f>
        <v/>
      </c>
    </row>
    <row r="4676" customFormat="false" ht="15" hidden="false" customHeight="false" outlineLevel="0" collapsed="false">
      <c r="C4676" s="41" t="str">
        <f aca="false">IF(A4676="","",TEXT(A4676,"mmm-yyyy"))</f>
        <v/>
      </c>
      <c r="I4676" s="47" t="str">
        <f aca="false">IF(G4676="","",G4676+H4676)</f>
        <v/>
      </c>
    </row>
    <row r="4677" customFormat="false" ht="15" hidden="false" customHeight="false" outlineLevel="0" collapsed="false">
      <c r="C4677" s="41" t="str">
        <f aca="false">IF(A4677="","",TEXT(A4677,"mmm-yyyy"))</f>
        <v/>
      </c>
      <c r="I4677" s="47" t="str">
        <f aca="false">IF(G4677="","",G4677+H4677)</f>
        <v/>
      </c>
    </row>
    <row r="4678" customFormat="false" ht="15" hidden="false" customHeight="false" outlineLevel="0" collapsed="false">
      <c r="C4678" s="41" t="str">
        <f aca="false">IF(A4678="","",TEXT(A4678,"mmm-yyyy"))</f>
        <v/>
      </c>
      <c r="I4678" s="47" t="str">
        <f aca="false">IF(G4678="","",G4678+H4678)</f>
        <v/>
      </c>
    </row>
    <row r="4679" customFormat="false" ht="15" hidden="false" customHeight="false" outlineLevel="0" collapsed="false">
      <c r="C4679" s="41" t="str">
        <f aca="false">IF(A4679="","",TEXT(A4679,"mmm-yyyy"))</f>
        <v/>
      </c>
      <c r="I4679" s="47" t="str">
        <f aca="false">IF(G4679="","",G4679+H4679)</f>
        <v/>
      </c>
    </row>
    <row r="4680" customFormat="false" ht="15" hidden="false" customHeight="false" outlineLevel="0" collapsed="false">
      <c r="C4680" s="41" t="str">
        <f aca="false">IF(A4680="","",TEXT(A4680,"mmm-yyyy"))</f>
        <v/>
      </c>
      <c r="I4680" s="47" t="str">
        <f aca="false">IF(G4680="","",G4680+H4680)</f>
        <v/>
      </c>
    </row>
    <row r="4681" customFormat="false" ht="15" hidden="false" customHeight="false" outlineLevel="0" collapsed="false">
      <c r="C4681" s="41" t="str">
        <f aca="false">IF(A4681="","",TEXT(A4681,"mmm-yyyy"))</f>
        <v/>
      </c>
      <c r="I4681" s="47" t="str">
        <f aca="false">IF(G4681="","",G4681+H4681)</f>
        <v/>
      </c>
    </row>
    <row r="4682" customFormat="false" ht="15" hidden="false" customHeight="false" outlineLevel="0" collapsed="false">
      <c r="C4682" s="41" t="str">
        <f aca="false">IF(A4682="","",TEXT(A4682,"mmm-yyyy"))</f>
        <v/>
      </c>
      <c r="I4682" s="47" t="str">
        <f aca="false">IF(G4682="","",G4682+H4682)</f>
        <v/>
      </c>
    </row>
    <row r="4683" customFormat="false" ht="15" hidden="false" customHeight="false" outlineLevel="0" collapsed="false">
      <c r="C4683" s="41" t="str">
        <f aca="false">IF(A4683="","",TEXT(A4683,"mmm-yyyy"))</f>
        <v/>
      </c>
      <c r="I4683" s="47" t="str">
        <f aca="false">IF(G4683="","",G4683+H4683)</f>
        <v/>
      </c>
    </row>
    <row r="4684" customFormat="false" ht="15" hidden="false" customHeight="false" outlineLevel="0" collapsed="false">
      <c r="C4684" s="41" t="str">
        <f aca="false">IF(A4684="","",TEXT(A4684,"mmm-yyyy"))</f>
        <v/>
      </c>
      <c r="I4684" s="47" t="str">
        <f aca="false">IF(G4684="","",G4684+H4684)</f>
        <v/>
      </c>
    </row>
    <row r="4685" customFormat="false" ht="15" hidden="false" customHeight="false" outlineLevel="0" collapsed="false">
      <c r="C4685" s="41" t="str">
        <f aca="false">IF(A4685="","",TEXT(A4685,"mmm-yyyy"))</f>
        <v/>
      </c>
      <c r="I4685" s="47" t="str">
        <f aca="false">IF(G4685="","",G4685+H4685)</f>
        <v/>
      </c>
    </row>
    <row r="4686" customFormat="false" ht="15" hidden="false" customHeight="false" outlineLevel="0" collapsed="false">
      <c r="C4686" s="41" t="str">
        <f aca="false">IF(A4686="","",TEXT(A4686,"mmm-yyyy"))</f>
        <v/>
      </c>
      <c r="I4686" s="47" t="str">
        <f aca="false">IF(G4686="","",G4686+H4686)</f>
        <v/>
      </c>
    </row>
    <row r="4687" customFormat="false" ht="15" hidden="false" customHeight="false" outlineLevel="0" collapsed="false">
      <c r="C4687" s="41" t="str">
        <f aca="false">IF(A4687="","",TEXT(A4687,"mmm-yyyy"))</f>
        <v/>
      </c>
      <c r="I4687" s="47" t="str">
        <f aca="false">IF(G4687="","",G4687+H4687)</f>
        <v/>
      </c>
    </row>
    <row r="4688" customFormat="false" ht="15" hidden="false" customHeight="false" outlineLevel="0" collapsed="false">
      <c r="C4688" s="41" t="str">
        <f aca="false">IF(A4688="","",TEXT(A4688,"mmm-yyyy"))</f>
        <v/>
      </c>
      <c r="I4688" s="47" t="str">
        <f aca="false">IF(G4688="","",G4688+H4688)</f>
        <v/>
      </c>
    </row>
    <row r="4689" customFormat="false" ht="15" hidden="false" customHeight="false" outlineLevel="0" collapsed="false">
      <c r="C4689" s="41" t="str">
        <f aca="false">IF(A4689="","",TEXT(A4689,"mmm-yyyy"))</f>
        <v/>
      </c>
      <c r="I4689" s="47" t="str">
        <f aca="false">IF(G4689="","",G4689+H4689)</f>
        <v/>
      </c>
    </row>
    <row r="4690" customFormat="false" ht="15" hidden="false" customHeight="false" outlineLevel="0" collapsed="false">
      <c r="C4690" s="41" t="str">
        <f aca="false">IF(A4690="","",TEXT(A4690,"mmm-yyyy"))</f>
        <v/>
      </c>
      <c r="I4690" s="47" t="str">
        <f aca="false">IF(G4690="","",G4690+H4690)</f>
        <v/>
      </c>
    </row>
    <row r="4691" customFormat="false" ht="15" hidden="false" customHeight="false" outlineLevel="0" collapsed="false">
      <c r="C4691" s="41" t="str">
        <f aca="false">IF(A4691="","",TEXT(A4691,"mmm-yyyy"))</f>
        <v/>
      </c>
      <c r="I4691" s="47" t="str">
        <f aca="false">IF(G4691="","",G4691+H4691)</f>
        <v/>
      </c>
    </row>
    <row r="4692" customFormat="false" ht="15" hidden="false" customHeight="false" outlineLevel="0" collapsed="false">
      <c r="C4692" s="41" t="str">
        <f aca="false">IF(A4692="","",TEXT(A4692,"mmm-yyyy"))</f>
        <v/>
      </c>
      <c r="I4692" s="47" t="str">
        <f aca="false">IF(G4692="","",G4692+H4692)</f>
        <v/>
      </c>
    </row>
    <row r="4693" customFormat="false" ht="15" hidden="false" customHeight="false" outlineLevel="0" collapsed="false">
      <c r="C4693" s="41" t="str">
        <f aca="false">IF(A4693="","",TEXT(A4693,"mmm-yyyy"))</f>
        <v/>
      </c>
      <c r="I4693" s="47" t="str">
        <f aca="false">IF(G4693="","",G4693+H4693)</f>
        <v/>
      </c>
    </row>
    <row r="4694" customFormat="false" ht="15" hidden="false" customHeight="false" outlineLevel="0" collapsed="false">
      <c r="C4694" s="41" t="str">
        <f aca="false">IF(A4694="","",TEXT(A4694,"mmm-yyyy"))</f>
        <v/>
      </c>
      <c r="I4694" s="47" t="str">
        <f aca="false">IF(G4694="","",G4694+H4694)</f>
        <v/>
      </c>
    </row>
    <row r="4695" customFormat="false" ht="15" hidden="false" customHeight="false" outlineLevel="0" collapsed="false">
      <c r="C4695" s="41" t="str">
        <f aca="false">IF(A4695="","",TEXT(A4695,"mmm-yyyy"))</f>
        <v/>
      </c>
      <c r="I4695" s="47" t="str">
        <f aca="false">IF(G4695="","",G4695+H4695)</f>
        <v/>
      </c>
    </row>
    <row r="4696" customFormat="false" ht="15" hidden="false" customHeight="false" outlineLevel="0" collapsed="false">
      <c r="C4696" s="41" t="str">
        <f aca="false">IF(A4696="","",TEXT(A4696,"mmm-yyyy"))</f>
        <v/>
      </c>
      <c r="I4696" s="47" t="str">
        <f aca="false">IF(G4696="","",G4696+H4696)</f>
        <v/>
      </c>
    </row>
    <row r="4697" customFormat="false" ht="15" hidden="false" customHeight="false" outlineLevel="0" collapsed="false">
      <c r="C4697" s="41" t="str">
        <f aca="false">IF(A4697="","",TEXT(A4697,"mmm-yyyy"))</f>
        <v/>
      </c>
      <c r="I4697" s="47" t="str">
        <f aca="false">IF(G4697="","",G4697+H4697)</f>
        <v/>
      </c>
    </row>
    <row r="4698" customFormat="false" ht="15" hidden="false" customHeight="false" outlineLevel="0" collapsed="false">
      <c r="C4698" s="41" t="str">
        <f aca="false">IF(A4698="","",TEXT(A4698,"mmm-yyyy"))</f>
        <v/>
      </c>
      <c r="I4698" s="47" t="str">
        <f aca="false">IF(G4698="","",G4698+H4698)</f>
        <v/>
      </c>
    </row>
    <row r="4699" customFormat="false" ht="15" hidden="false" customHeight="false" outlineLevel="0" collapsed="false">
      <c r="C4699" s="41" t="str">
        <f aca="false">IF(A4699="","",TEXT(A4699,"mmm-yyyy"))</f>
        <v/>
      </c>
      <c r="I4699" s="47" t="str">
        <f aca="false">IF(G4699="","",G4699+H4699)</f>
        <v/>
      </c>
    </row>
    <row r="4700" customFormat="false" ht="15" hidden="false" customHeight="false" outlineLevel="0" collapsed="false">
      <c r="C4700" s="41" t="str">
        <f aca="false">IF(A4700="","",TEXT(A4700,"mmm-yyyy"))</f>
        <v/>
      </c>
      <c r="I4700" s="47" t="str">
        <f aca="false">IF(G4700="","",G4700+H4700)</f>
        <v/>
      </c>
    </row>
    <row r="4701" customFormat="false" ht="15" hidden="false" customHeight="false" outlineLevel="0" collapsed="false">
      <c r="C4701" s="41" t="str">
        <f aca="false">IF(A4701="","",TEXT(A4701,"mmm-yyyy"))</f>
        <v/>
      </c>
      <c r="I4701" s="47" t="str">
        <f aca="false">IF(G4701="","",G4701+H4701)</f>
        <v/>
      </c>
    </row>
    <row r="4702" customFormat="false" ht="15" hidden="false" customHeight="false" outlineLevel="0" collapsed="false">
      <c r="C4702" s="41" t="str">
        <f aca="false">IF(A4702="","",TEXT(A4702,"mmm-yyyy"))</f>
        <v/>
      </c>
      <c r="I4702" s="47" t="str">
        <f aca="false">IF(G4702="","",G4702+H4702)</f>
        <v/>
      </c>
    </row>
    <row r="4703" customFormat="false" ht="15" hidden="false" customHeight="false" outlineLevel="0" collapsed="false">
      <c r="C4703" s="41" t="str">
        <f aca="false">IF(A4703="","",TEXT(A4703,"mmm-yyyy"))</f>
        <v/>
      </c>
      <c r="I4703" s="47" t="str">
        <f aca="false">IF(G4703="","",G4703+H4703)</f>
        <v/>
      </c>
    </row>
    <row r="4704" customFormat="false" ht="15" hidden="false" customHeight="false" outlineLevel="0" collapsed="false">
      <c r="C4704" s="41" t="str">
        <f aca="false">IF(A4704="","",TEXT(A4704,"mmm-yyyy"))</f>
        <v/>
      </c>
      <c r="I4704" s="47" t="str">
        <f aca="false">IF(G4704="","",G4704+H4704)</f>
        <v/>
      </c>
    </row>
    <row r="4705" customFormat="false" ht="15" hidden="false" customHeight="false" outlineLevel="0" collapsed="false">
      <c r="C4705" s="41" t="str">
        <f aca="false">IF(A4705="","",TEXT(A4705,"mmm-yyyy"))</f>
        <v/>
      </c>
      <c r="I4705" s="47" t="str">
        <f aca="false">IF(G4705="","",G4705+H4705)</f>
        <v/>
      </c>
    </row>
    <row r="4706" customFormat="false" ht="15" hidden="false" customHeight="false" outlineLevel="0" collapsed="false">
      <c r="C4706" s="41" t="str">
        <f aca="false">IF(A4706="","",TEXT(A4706,"mmm-yyyy"))</f>
        <v/>
      </c>
      <c r="I4706" s="47" t="str">
        <f aca="false">IF(G4706="","",G4706+H4706)</f>
        <v/>
      </c>
    </row>
    <row r="4707" customFormat="false" ht="15" hidden="false" customHeight="false" outlineLevel="0" collapsed="false">
      <c r="C4707" s="41" t="str">
        <f aca="false">IF(A4707="","",TEXT(A4707,"mmm-yyyy"))</f>
        <v/>
      </c>
      <c r="I4707" s="47" t="str">
        <f aca="false">IF(G4707="","",G4707+H4707)</f>
        <v/>
      </c>
    </row>
    <row r="4708" customFormat="false" ht="15" hidden="false" customHeight="false" outlineLevel="0" collapsed="false">
      <c r="C4708" s="41" t="str">
        <f aca="false">IF(A4708="","",TEXT(A4708,"mmm-yyyy"))</f>
        <v/>
      </c>
      <c r="I4708" s="47" t="str">
        <f aca="false">IF(G4708="","",G4708+H4708)</f>
        <v/>
      </c>
    </row>
    <row r="4709" customFormat="false" ht="15" hidden="false" customHeight="false" outlineLevel="0" collapsed="false">
      <c r="C4709" s="41" t="str">
        <f aca="false">IF(A4709="","",TEXT(A4709,"mmm-yyyy"))</f>
        <v/>
      </c>
      <c r="I4709" s="47" t="str">
        <f aca="false">IF(G4709="","",G4709+H4709)</f>
        <v/>
      </c>
    </row>
    <row r="4710" customFormat="false" ht="15" hidden="false" customHeight="false" outlineLevel="0" collapsed="false">
      <c r="C4710" s="41" t="str">
        <f aca="false">IF(A4710="","",TEXT(A4710,"mmm-yyyy"))</f>
        <v/>
      </c>
      <c r="I4710" s="47" t="str">
        <f aca="false">IF(G4710="","",G4710+H4710)</f>
        <v/>
      </c>
    </row>
    <row r="4711" customFormat="false" ht="15" hidden="false" customHeight="false" outlineLevel="0" collapsed="false">
      <c r="C4711" s="41" t="str">
        <f aca="false">IF(A4711="","",TEXT(A4711,"mmm-yyyy"))</f>
        <v/>
      </c>
      <c r="I4711" s="47" t="str">
        <f aca="false">IF(G4711="","",G4711+H4711)</f>
        <v/>
      </c>
    </row>
    <row r="4712" customFormat="false" ht="15" hidden="false" customHeight="false" outlineLevel="0" collapsed="false">
      <c r="C4712" s="41" t="str">
        <f aca="false">IF(A4712="","",TEXT(A4712,"mmm-yyyy"))</f>
        <v/>
      </c>
      <c r="I4712" s="47" t="str">
        <f aca="false">IF(G4712="","",G4712+H4712)</f>
        <v/>
      </c>
    </row>
    <row r="4713" customFormat="false" ht="15" hidden="false" customHeight="false" outlineLevel="0" collapsed="false">
      <c r="C4713" s="41" t="str">
        <f aca="false">IF(A4713="","",TEXT(A4713,"mmm-yyyy"))</f>
        <v/>
      </c>
      <c r="I4713" s="47" t="str">
        <f aca="false">IF(G4713="","",G4713+H4713)</f>
        <v/>
      </c>
    </row>
    <row r="4714" customFormat="false" ht="15" hidden="false" customHeight="false" outlineLevel="0" collapsed="false">
      <c r="C4714" s="41" t="str">
        <f aca="false">IF(A4714="","",TEXT(A4714,"mmm-yyyy"))</f>
        <v/>
      </c>
      <c r="I4714" s="47" t="str">
        <f aca="false">IF(G4714="","",G4714+H4714)</f>
        <v/>
      </c>
    </row>
    <row r="4715" customFormat="false" ht="15" hidden="false" customHeight="false" outlineLevel="0" collapsed="false">
      <c r="C4715" s="41" t="str">
        <f aca="false">IF(A4715="","",TEXT(A4715,"mmm-yyyy"))</f>
        <v/>
      </c>
      <c r="I4715" s="47" t="str">
        <f aca="false">IF(G4715="","",G4715+H4715)</f>
        <v/>
      </c>
    </row>
    <row r="4716" customFormat="false" ht="15" hidden="false" customHeight="false" outlineLevel="0" collapsed="false">
      <c r="C4716" s="41" t="str">
        <f aca="false">IF(A4716="","",TEXT(A4716,"mmm-yyyy"))</f>
        <v/>
      </c>
      <c r="I4716" s="47" t="str">
        <f aca="false">IF(G4716="","",G4716+H4716)</f>
        <v/>
      </c>
    </row>
    <row r="4717" customFormat="false" ht="15" hidden="false" customHeight="false" outlineLevel="0" collapsed="false">
      <c r="C4717" s="41" t="str">
        <f aca="false">IF(A4717="","",TEXT(A4717,"mmm-yyyy"))</f>
        <v/>
      </c>
      <c r="I4717" s="47" t="str">
        <f aca="false">IF(G4717="","",G4717+H4717)</f>
        <v/>
      </c>
    </row>
    <row r="4718" customFormat="false" ht="15" hidden="false" customHeight="false" outlineLevel="0" collapsed="false">
      <c r="C4718" s="41" t="str">
        <f aca="false">IF(A4718="","",TEXT(A4718,"mmm-yyyy"))</f>
        <v/>
      </c>
      <c r="I4718" s="47" t="str">
        <f aca="false">IF(G4718="","",G4718+H4718)</f>
        <v/>
      </c>
    </row>
    <row r="4719" customFormat="false" ht="15" hidden="false" customHeight="false" outlineLevel="0" collapsed="false">
      <c r="C4719" s="41" t="str">
        <f aca="false">IF(A4719="","",TEXT(A4719,"mmm-yyyy"))</f>
        <v/>
      </c>
      <c r="I4719" s="47" t="str">
        <f aca="false">IF(G4719="","",G4719+H4719)</f>
        <v/>
      </c>
    </row>
    <row r="4720" customFormat="false" ht="15" hidden="false" customHeight="false" outlineLevel="0" collapsed="false">
      <c r="C4720" s="41" t="str">
        <f aca="false">IF(A4720="","",TEXT(A4720,"mmm-yyyy"))</f>
        <v/>
      </c>
      <c r="I4720" s="47" t="str">
        <f aca="false">IF(G4720="","",G4720+H4720)</f>
        <v/>
      </c>
    </row>
    <row r="4721" customFormat="false" ht="15" hidden="false" customHeight="false" outlineLevel="0" collapsed="false">
      <c r="C4721" s="41" t="str">
        <f aca="false">IF(A4721="","",TEXT(A4721,"mmm-yyyy"))</f>
        <v/>
      </c>
      <c r="I4721" s="47" t="str">
        <f aca="false">IF(G4721="","",G4721+H4721)</f>
        <v/>
      </c>
    </row>
    <row r="4722" customFormat="false" ht="15" hidden="false" customHeight="false" outlineLevel="0" collapsed="false">
      <c r="C4722" s="41" t="str">
        <f aca="false">IF(A4722="","",TEXT(A4722,"mmm-yyyy"))</f>
        <v/>
      </c>
      <c r="I4722" s="47" t="str">
        <f aca="false">IF(G4722="","",G4722+H4722)</f>
        <v/>
      </c>
    </row>
    <row r="4723" customFormat="false" ht="15" hidden="false" customHeight="false" outlineLevel="0" collapsed="false">
      <c r="C4723" s="41" t="str">
        <f aca="false">IF(A4723="","",TEXT(A4723,"mmm-yyyy"))</f>
        <v/>
      </c>
      <c r="I4723" s="47" t="str">
        <f aca="false">IF(G4723="","",G4723+H4723)</f>
        <v/>
      </c>
    </row>
    <row r="4724" customFormat="false" ht="15" hidden="false" customHeight="false" outlineLevel="0" collapsed="false">
      <c r="C4724" s="41" t="str">
        <f aca="false">IF(A4724="","",TEXT(A4724,"mmm-yyyy"))</f>
        <v/>
      </c>
      <c r="I4724" s="47" t="str">
        <f aca="false">IF(G4724="","",G4724+H4724)</f>
        <v/>
      </c>
    </row>
    <row r="4725" customFormat="false" ht="15" hidden="false" customHeight="false" outlineLevel="0" collapsed="false">
      <c r="C4725" s="41" t="str">
        <f aca="false">IF(A4725="","",TEXT(A4725,"mmm-yyyy"))</f>
        <v/>
      </c>
      <c r="I4725" s="47" t="str">
        <f aca="false">IF(G4725="","",G4725+H4725)</f>
        <v/>
      </c>
    </row>
    <row r="4726" customFormat="false" ht="15" hidden="false" customHeight="false" outlineLevel="0" collapsed="false">
      <c r="C4726" s="41" t="str">
        <f aca="false">IF(A4726="","",TEXT(A4726,"mmm-yyyy"))</f>
        <v/>
      </c>
      <c r="I4726" s="47" t="str">
        <f aca="false">IF(G4726="","",G4726+H4726)</f>
        <v/>
      </c>
    </row>
    <row r="4727" customFormat="false" ht="15" hidden="false" customHeight="false" outlineLevel="0" collapsed="false">
      <c r="C4727" s="41" t="str">
        <f aca="false">IF(A4727="","",TEXT(A4727,"mmm-yyyy"))</f>
        <v/>
      </c>
      <c r="I4727" s="47" t="str">
        <f aca="false">IF(G4727="","",G4727+H4727)</f>
        <v/>
      </c>
    </row>
    <row r="4728" customFormat="false" ht="15" hidden="false" customHeight="false" outlineLevel="0" collapsed="false">
      <c r="C4728" s="41" t="str">
        <f aca="false">IF(A4728="","",TEXT(A4728,"mmm-yyyy"))</f>
        <v/>
      </c>
      <c r="I4728" s="47" t="str">
        <f aca="false">IF(G4728="","",G4728+H4728)</f>
        <v/>
      </c>
    </row>
    <row r="4729" customFormat="false" ht="15" hidden="false" customHeight="false" outlineLevel="0" collapsed="false">
      <c r="C4729" s="41" t="str">
        <f aca="false">IF(A4729="","",TEXT(A4729,"mmm-yyyy"))</f>
        <v/>
      </c>
      <c r="I4729" s="47" t="str">
        <f aca="false">IF(G4729="","",G4729+H4729)</f>
        <v/>
      </c>
    </row>
    <row r="4730" customFormat="false" ht="15" hidden="false" customHeight="false" outlineLevel="0" collapsed="false">
      <c r="C4730" s="41" t="str">
        <f aca="false">IF(A4730="","",TEXT(A4730,"mmm-yyyy"))</f>
        <v/>
      </c>
      <c r="I4730" s="47" t="str">
        <f aca="false">IF(G4730="","",G4730+H4730)</f>
        <v/>
      </c>
    </row>
    <row r="4731" customFormat="false" ht="15" hidden="false" customHeight="false" outlineLevel="0" collapsed="false">
      <c r="C4731" s="41" t="str">
        <f aca="false">IF(A4731="","",TEXT(A4731,"mmm-yyyy"))</f>
        <v/>
      </c>
      <c r="I4731" s="47" t="str">
        <f aca="false">IF(G4731="","",G4731+H4731)</f>
        <v/>
      </c>
    </row>
    <row r="4732" customFormat="false" ht="15" hidden="false" customHeight="false" outlineLevel="0" collapsed="false">
      <c r="C4732" s="41" t="str">
        <f aca="false">IF(A4732="","",TEXT(A4732,"mmm-yyyy"))</f>
        <v/>
      </c>
      <c r="I4732" s="47" t="str">
        <f aca="false">IF(G4732="","",G4732+H4732)</f>
        <v/>
      </c>
    </row>
    <row r="4733" customFormat="false" ht="15" hidden="false" customHeight="false" outlineLevel="0" collapsed="false">
      <c r="C4733" s="41" t="str">
        <f aca="false">IF(A4733="","",TEXT(A4733,"mmm-yyyy"))</f>
        <v/>
      </c>
      <c r="I4733" s="47" t="str">
        <f aca="false">IF(G4733="","",G4733+H4733)</f>
        <v/>
      </c>
    </row>
    <row r="4734" customFormat="false" ht="15" hidden="false" customHeight="false" outlineLevel="0" collapsed="false">
      <c r="C4734" s="41" t="str">
        <f aca="false">IF(A4734="","",TEXT(A4734,"mmm-yyyy"))</f>
        <v/>
      </c>
      <c r="I4734" s="47" t="str">
        <f aca="false">IF(G4734="","",G4734+H4734)</f>
        <v/>
      </c>
    </row>
    <row r="4735" customFormat="false" ht="15" hidden="false" customHeight="false" outlineLevel="0" collapsed="false">
      <c r="C4735" s="41" t="str">
        <f aca="false">IF(A4735="","",TEXT(A4735,"mmm-yyyy"))</f>
        <v/>
      </c>
      <c r="I4735" s="47" t="str">
        <f aca="false">IF(G4735="","",G4735+H4735)</f>
        <v/>
      </c>
    </row>
    <row r="4736" customFormat="false" ht="15" hidden="false" customHeight="false" outlineLevel="0" collapsed="false">
      <c r="C4736" s="41" t="str">
        <f aca="false">IF(A4736="","",TEXT(A4736,"mmm-yyyy"))</f>
        <v/>
      </c>
      <c r="I4736" s="47" t="str">
        <f aca="false">IF(G4736="","",G4736+H4736)</f>
        <v/>
      </c>
    </row>
    <row r="4737" customFormat="false" ht="15" hidden="false" customHeight="false" outlineLevel="0" collapsed="false">
      <c r="C4737" s="41" t="str">
        <f aca="false">IF(A4737="","",TEXT(A4737,"mmm-yyyy"))</f>
        <v/>
      </c>
      <c r="I4737" s="47" t="str">
        <f aca="false">IF(G4737="","",G4737+H4737)</f>
        <v/>
      </c>
    </row>
    <row r="4738" customFormat="false" ht="15" hidden="false" customHeight="false" outlineLevel="0" collapsed="false">
      <c r="C4738" s="41" t="str">
        <f aca="false">IF(A4738="","",TEXT(A4738,"mmm-yyyy"))</f>
        <v/>
      </c>
      <c r="I4738" s="47" t="str">
        <f aca="false">IF(G4738="","",G4738+H4738)</f>
        <v/>
      </c>
    </row>
    <row r="4739" customFormat="false" ht="15" hidden="false" customHeight="false" outlineLevel="0" collapsed="false">
      <c r="C4739" s="41" t="str">
        <f aca="false">IF(A4739="","",TEXT(A4739,"mmm-yyyy"))</f>
        <v/>
      </c>
      <c r="I4739" s="47" t="str">
        <f aca="false">IF(G4739="","",G4739+H4739)</f>
        <v/>
      </c>
    </row>
    <row r="4740" customFormat="false" ht="15" hidden="false" customHeight="false" outlineLevel="0" collapsed="false">
      <c r="C4740" s="41" t="str">
        <f aca="false">IF(A4740="","",TEXT(A4740,"mmm-yyyy"))</f>
        <v/>
      </c>
      <c r="I4740" s="47" t="str">
        <f aca="false">IF(G4740="","",G4740+H4740)</f>
        <v/>
      </c>
    </row>
    <row r="4741" customFormat="false" ht="15" hidden="false" customHeight="false" outlineLevel="0" collapsed="false">
      <c r="C4741" s="41" t="str">
        <f aca="false">IF(A4741="","",TEXT(A4741,"mmm-yyyy"))</f>
        <v/>
      </c>
      <c r="I4741" s="47" t="str">
        <f aca="false">IF(G4741="","",G4741+H4741)</f>
        <v/>
      </c>
    </row>
    <row r="4742" customFormat="false" ht="15" hidden="false" customHeight="false" outlineLevel="0" collapsed="false">
      <c r="C4742" s="41" t="str">
        <f aca="false">IF(A4742="","",TEXT(A4742,"mmm-yyyy"))</f>
        <v/>
      </c>
      <c r="I4742" s="47" t="str">
        <f aca="false">IF(G4742="","",G4742+H4742)</f>
        <v/>
      </c>
    </row>
    <row r="4743" customFormat="false" ht="15" hidden="false" customHeight="false" outlineLevel="0" collapsed="false">
      <c r="C4743" s="41" t="str">
        <f aca="false">IF(A4743="","",TEXT(A4743,"mmm-yyyy"))</f>
        <v/>
      </c>
      <c r="I4743" s="47" t="str">
        <f aca="false">IF(G4743="","",G4743+H4743)</f>
        <v/>
      </c>
    </row>
    <row r="4744" customFormat="false" ht="15" hidden="false" customHeight="false" outlineLevel="0" collapsed="false">
      <c r="C4744" s="41" t="str">
        <f aca="false">IF(A4744="","",TEXT(A4744,"mmm-yyyy"))</f>
        <v/>
      </c>
      <c r="I4744" s="47" t="str">
        <f aca="false">IF(G4744="","",G4744+H4744)</f>
        <v/>
      </c>
    </row>
    <row r="4745" customFormat="false" ht="15" hidden="false" customHeight="false" outlineLevel="0" collapsed="false">
      <c r="C4745" s="41" t="str">
        <f aca="false">IF(A4745="","",TEXT(A4745,"mmm-yyyy"))</f>
        <v/>
      </c>
      <c r="I4745" s="47" t="str">
        <f aca="false">IF(G4745="","",G4745+H4745)</f>
        <v/>
      </c>
    </row>
    <row r="4746" customFormat="false" ht="15" hidden="false" customHeight="false" outlineLevel="0" collapsed="false">
      <c r="C4746" s="41" t="str">
        <f aca="false">IF(A4746="","",TEXT(A4746,"mmm-yyyy"))</f>
        <v/>
      </c>
      <c r="I4746" s="47" t="str">
        <f aca="false">IF(G4746="","",G4746+H4746)</f>
        <v/>
      </c>
    </row>
    <row r="4747" customFormat="false" ht="15" hidden="false" customHeight="false" outlineLevel="0" collapsed="false">
      <c r="C4747" s="41" t="str">
        <f aca="false">IF(A4747="","",TEXT(A4747,"mmm-yyyy"))</f>
        <v/>
      </c>
      <c r="I4747" s="47" t="str">
        <f aca="false">IF(G4747="","",G4747+H4747)</f>
        <v/>
      </c>
    </row>
    <row r="4748" customFormat="false" ht="15" hidden="false" customHeight="false" outlineLevel="0" collapsed="false">
      <c r="C4748" s="41" t="str">
        <f aca="false">IF(A4748="","",TEXT(A4748,"mmm-yyyy"))</f>
        <v/>
      </c>
      <c r="I4748" s="47" t="str">
        <f aca="false">IF(G4748="","",G4748+H4748)</f>
        <v/>
      </c>
    </row>
    <row r="4749" customFormat="false" ht="15" hidden="false" customHeight="false" outlineLevel="0" collapsed="false">
      <c r="C4749" s="41" t="str">
        <f aca="false">IF(A4749="","",TEXT(A4749,"mmm-yyyy"))</f>
        <v/>
      </c>
      <c r="I4749" s="47" t="str">
        <f aca="false">IF(G4749="","",G4749+H4749)</f>
        <v/>
      </c>
    </row>
    <row r="4750" customFormat="false" ht="15" hidden="false" customHeight="false" outlineLevel="0" collapsed="false">
      <c r="C4750" s="41" t="str">
        <f aca="false">IF(A4750="","",TEXT(A4750,"mmm-yyyy"))</f>
        <v/>
      </c>
      <c r="I4750" s="47" t="str">
        <f aca="false">IF(G4750="","",G4750+H4750)</f>
        <v/>
      </c>
    </row>
    <row r="4751" customFormat="false" ht="15" hidden="false" customHeight="false" outlineLevel="0" collapsed="false">
      <c r="C4751" s="41" t="str">
        <f aca="false">IF(A4751="","",TEXT(A4751,"mmm-yyyy"))</f>
        <v/>
      </c>
      <c r="I4751" s="47" t="str">
        <f aca="false">IF(G4751="","",G4751+H4751)</f>
        <v/>
      </c>
    </row>
    <row r="4752" customFormat="false" ht="15" hidden="false" customHeight="false" outlineLevel="0" collapsed="false">
      <c r="C4752" s="41" t="str">
        <f aca="false">IF(A4752="","",TEXT(A4752,"mmm-yyyy"))</f>
        <v/>
      </c>
      <c r="I4752" s="47" t="str">
        <f aca="false">IF(G4752="","",G4752+H4752)</f>
        <v/>
      </c>
    </row>
    <row r="4753" customFormat="false" ht="15" hidden="false" customHeight="false" outlineLevel="0" collapsed="false">
      <c r="C4753" s="41" t="str">
        <f aca="false">IF(A4753="","",TEXT(A4753,"mmm-yyyy"))</f>
        <v/>
      </c>
      <c r="I4753" s="47" t="str">
        <f aca="false">IF(G4753="","",G4753+H4753)</f>
        <v/>
      </c>
    </row>
    <row r="4754" customFormat="false" ht="15" hidden="false" customHeight="false" outlineLevel="0" collapsed="false">
      <c r="C4754" s="41" t="str">
        <f aca="false">IF(A4754="","",TEXT(A4754,"mmm-yyyy"))</f>
        <v/>
      </c>
      <c r="I4754" s="47" t="str">
        <f aca="false">IF(G4754="","",G4754+H4754)</f>
        <v/>
      </c>
    </row>
    <row r="4755" customFormat="false" ht="15" hidden="false" customHeight="false" outlineLevel="0" collapsed="false">
      <c r="C4755" s="41" t="str">
        <f aca="false">IF(A4755="","",TEXT(A4755,"mmm-yyyy"))</f>
        <v/>
      </c>
      <c r="I4755" s="47" t="str">
        <f aca="false">IF(G4755="","",G4755+H4755)</f>
        <v/>
      </c>
    </row>
    <row r="4756" customFormat="false" ht="15" hidden="false" customHeight="false" outlineLevel="0" collapsed="false">
      <c r="C4756" s="41" t="str">
        <f aca="false">IF(A4756="","",TEXT(A4756,"mmm-yyyy"))</f>
        <v/>
      </c>
      <c r="I4756" s="47" t="str">
        <f aca="false">IF(G4756="","",G4756+H4756)</f>
        <v/>
      </c>
    </row>
    <row r="4757" customFormat="false" ht="15" hidden="false" customHeight="false" outlineLevel="0" collapsed="false">
      <c r="C4757" s="41" t="str">
        <f aca="false">IF(A4757="","",TEXT(A4757,"mmm-yyyy"))</f>
        <v/>
      </c>
      <c r="I4757" s="47" t="str">
        <f aca="false">IF(G4757="","",G4757+H4757)</f>
        <v/>
      </c>
    </row>
    <row r="4758" customFormat="false" ht="15" hidden="false" customHeight="false" outlineLevel="0" collapsed="false">
      <c r="C4758" s="41" t="str">
        <f aca="false">IF(A4758="","",TEXT(A4758,"mmm-yyyy"))</f>
        <v/>
      </c>
      <c r="I4758" s="47" t="str">
        <f aca="false">IF(G4758="","",G4758+H4758)</f>
        <v/>
      </c>
    </row>
    <row r="4759" customFormat="false" ht="15" hidden="false" customHeight="false" outlineLevel="0" collapsed="false">
      <c r="C4759" s="41" t="str">
        <f aca="false">IF(A4759="","",TEXT(A4759,"mmm-yyyy"))</f>
        <v/>
      </c>
      <c r="I4759" s="47" t="str">
        <f aca="false">IF(G4759="","",G4759+H4759)</f>
        <v/>
      </c>
    </row>
    <row r="4760" customFormat="false" ht="15" hidden="false" customHeight="false" outlineLevel="0" collapsed="false">
      <c r="C4760" s="41" t="str">
        <f aca="false">IF(A4760="","",TEXT(A4760,"mmm-yyyy"))</f>
        <v/>
      </c>
      <c r="I4760" s="47" t="str">
        <f aca="false">IF(G4760="","",G4760+H4760)</f>
        <v/>
      </c>
    </row>
    <row r="4761" customFormat="false" ht="15" hidden="false" customHeight="false" outlineLevel="0" collapsed="false">
      <c r="C4761" s="41" t="str">
        <f aca="false">IF(A4761="","",TEXT(A4761,"mmm-yyyy"))</f>
        <v/>
      </c>
      <c r="I4761" s="47" t="str">
        <f aca="false">IF(G4761="","",G4761+H4761)</f>
        <v/>
      </c>
    </row>
    <row r="4762" customFormat="false" ht="15" hidden="false" customHeight="false" outlineLevel="0" collapsed="false">
      <c r="C4762" s="41" t="str">
        <f aca="false">IF(A4762="","",TEXT(A4762,"mmm-yyyy"))</f>
        <v/>
      </c>
      <c r="I4762" s="47" t="str">
        <f aca="false">IF(G4762="","",G4762+H4762)</f>
        <v/>
      </c>
    </row>
    <row r="4763" customFormat="false" ht="15" hidden="false" customHeight="false" outlineLevel="0" collapsed="false">
      <c r="C4763" s="41" t="str">
        <f aca="false">IF(A4763="","",TEXT(A4763,"mmm-yyyy"))</f>
        <v/>
      </c>
      <c r="I4763" s="47" t="str">
        <f aca="false">IF(G4763="","",G4763+H4763)</f>
        <v/>
      </c>
    </row>
    <row r="4764" customFormat="false" ht="15" hidden="false" customHeight="false" outlineLevel="0" collapsed="false">
      <c r="C4764" s="41" t="str">
        <f aca="false">IF(A4764="","",TEXT(A4764,"mmm-yyyy"))</f>
        <v/>
      </c>
      <c r="I4764" s="47" t="str">
        <f aca="false">IF(G4764="","",G4764+H4764)</f>
        <v/>
      </c>
    </row>
    <row r="4765" customFormat="false" ht="15" hidden="false" customHeight="false" outlineLevel="0" collapsed="false">
      <c r="C4765" s="41" t="str">
        <f aca="false">IF(A4765="","",TEXT(A4765,"mmm-yyyy"))</f>
        <v/>
      </c>
      <c r="I4765" s="47" t="str">
        <f aca="false">IF(G4765="","",G4765+H4765)</f>
        <v/>
      </c>
    </row>
    <row r="4766" customFormat="false" ht="15" hidden="false" customHeight="false" outlineLevel="0" collapsed="false">
      <c r="C4766" s="41" t="str">
        <f aca="false">IF(A4766="","",TEXT(A4766,"mmm-yyyy"))</f>
        <v/>
      </c>
      <c r="I4766" s="47" t="str">
        <f aca="false">IF(G4766="","",G4766+H4766)</f>
        <v/>
      </c>
    </row>
    <row r="4767" customFormat="false" ht="15" hidden="false" customHeight="false" outlineLevel="0" collapsed="false">
      <c r="C4767" s="41" t="str">
        <f aca="false">IF(A4767="","",TEXT(A4767,"mmm-yyyy"))</f>
        <v/>
      </c>
      <c r="I4767" s="47" t="str">
        <f aca="false">IF(G4767="","",G4767+H4767)</f>
        <v/>
      </c>
    </row>
    <row r="4768" customFormat="false" ht="15" hidden="false" customHeight="false" outlineLevel="0" collapsed="false">
      <c r="C4768" s="41" t="str">
        <f aca="false">IF(A4768="","",TEXT(A4768,"mmm-yyyy"))</f>
        <v/>
      </c>
      <c r="I4768" s="47" t="str">
        <f aca="false">IF(G4768="","",G4768+H4768)</f>
        <v/>
      </c>
    </row>
    <row r="4769" customFormat="false" ht="15" hidden="false" customHeight="false" outlineLevel="0" collapsed="false">
      <c r="C4769" s="41" t="str">
        <f aca="false">IF(A4769="","",TEXT(A4769,"mmm-yyyy"))</f>
        <v/>
      </c>
      <c r="I4769" s="47" t="str">
        <f aca="false">IF(G4769="","",G4769+H4769)</f>
        <v/>
      </c>
    </row>
    <row r="4770" customFormat="false" ht="15" hidden="false" customHeight="false" outlineLevel="0" collapsed="false">
      <c r="C4770" s="41" t="str">
        <f aca="false">IF(A4770="","",TEXT(A4770,"mmm-yyyy"))</f>
        <v/>
      </c>
      <c r="I4770" s="47" t="str">
        <f aca="false">IF(G4770="","",G4770+H4770)</f>
        <v/>
      </c>
    </row>
    <row r="4771" customFormat="false" ht="15" hidden="false" customHeight="false" outlineLevel="0" collapsed="false">
      <c r="C4771" s="41" t="str">
        <f aca="false">IF(A4771="","",TEXT(A4771,"mmm-yyyy"))</f>
        <v/>
      </c>
      <c r="I4771" s="47" t="str">
        <f aca="false">IF(G4771="","",G4771+H4771)</f>
        <v/>
      </c>
    </row>
    <row r="4772" customFormat="false" ht="15" hidden="false" customHeight="false" outlineLevel="0" collapsed="false">
      <c r="C4772" s="41" t="str">
        <f aca="false">IF(A4772="","",TEXT(A4772,"mmm-yyyy"))</f>
        <v/>
      </c>
      <c r="I4772" s="47" t="str">
        <f aca="false">IF(G4772="","",G4772+H4772)</f>
        <v/>
      </c>
    </row>
    <row r="4773" customFormat="false" ht="15" hidden="false" customHeight="false" outlineLevel="0" collapsed="false">
      <c r="C4773" s="41" t="str">
        <f aca="false">IF(A4773="","",TEXT(A4773,"mmm-yyyy"))</f>
        <v/>
      </c>
      <c r="I4773" s="47" t="str">
        <f aca="false">IF(G4773="","",G4773+H4773)</f>
        <v/>
      </c>
    </row>
    <row r="4774" customFormat="false" ht="15" hidden="false" customHeight="false" outlineLevel="0" collapsed="false">
      <c r="C4774" s="41" t="str">
        <f aca="false">IF(A4774="","",TEXT(A4774,"mmm-yyyy"))</f>
        <v/>
      </c>
      <c r="I4774" s="47" t="str">
        <f aca="false">IF(G4774="","",G4774+H4774)</f>
        <v/>
      </c>
    </row>
    <row r="4775" customFormat="false" ht="15" hidden="false" customHeight="false" outlineLevel="0" collapsed="false">
      <c r="C4775" s="41" t="str">
        <f aca="false">IF(A4775="","",TEXT(A4775,"mmm-yyyy"))</f>
        <v/>
      </c>
      <c r="I4775" s="47" t="str">
        <f aca="false">IF(G4775="","",G4775+H4775)</f>
        <v/>
      </c>
    </row>
    <row r="4776" customFormat="false" ht="15" hidden="false" customHeight="false" outlineLevel="0" collapsed="false">
      <c r="C4776" s="41" t="str">
        <f aca="false">IF(A4776="","",TEXT(A4776,"mmm-yyyy"))</f>
        <v/>
      </c>
      <c r="I4776" s="47" t="str">
        <f aca="false">IF(G4776="","",G4776+H4776)</f>
        <v/>
      </c>
    </row>
    <row r="4777" customFormat="false" ht="15" hidden="false" customHeight="false" outlineLevel="0" collapsed="false">
      <c r="C4777" s="41" t="str">
        <f aca="false">IF(A4777="","",TEXT(A4777,"mmm-yyyy"))</f>
        <v/>
      </c>
      <c r="I4777" s="47" t="str">
        <f aca="false">IF(G4777="","",G4777+H4777)</f>
        <v/>
      </c>
    </row>
    <row r="4778" customFormat="false" ht="15" hidden="false" customHeight="false" outlineLevel="0" collapsed="false">
      <c r="C4778" s="41" t="str">
        <f aca="false">IF(A4778="","",TEXT(A4778,"mmm-yyyy"))</f>
        <v/>
      </c>
      <c r="I4778" s="47" t="str">
        <f aca="false">IF(G4778="","",G4778+H4778)</f>
        <v/>
      </c>
    </row>
    <row r="4779" customFormat="false" ht="15" hidden="false" customHeight="false" outlineLevel="0" collapsed="false">
      <c r="C4779" s="41" t="str">
        <f aca="false">IF(A4779="","",TEXT(A4779,"mmm-yyyy"))</f>
        <v/>
      </c>
      <c r="I4779" s="47" t="str">
        <f aca="false">IF(G4779="","",G4779+H4779)</f>
        <v/>
      </c>
    </row>
    <row r="4780" customFormat="false" ht="15" hidden="false" customHeight="false" outlineLevel="0" collapsed="false">
      <c r="C4780" s="41" t="str">
        <f aca="false">IF(A4780="","",TEXT(A4780,"mmm-yyyy"))</f>
        <v/>
      </c>
      <c r="I4780" s="47" t="str">
        <f aca="false">IF(G4780="","",G4780+H4780)</f>
        <v/>
      </c>
    </row>
    <row r="4781" customFormat="false" ht="15" hidden="false" customHeight="false" outlineLevel="0" collapsed="false">
      <c r="C4781" s="41" t="str">
        <f aca="false">IF(A4781="","",TEXT(A4781,"mmm-yyyy"))</f>
        <v/>
      </c>
      <c r="I4781" s="47" t="str">
        <f aca="false">IF(G4781="","",G4781+H4781)</f>
        <v/>
      </c>
    </row>
    <row r="4782" customFormat="false" ht="15" hidden="false" customHeight="false" outlineLevel="0" collapsed="false">
      <c r="C4782" s="41" t="str">
        <f aca="false">IF(A4782="","",TEXT(A4782,"mmm-yyyy"))</f>
        <v/>
      </c>
      <c r="I4782" s="47" t="str">
        <f aca="false">IF(G4782="","",G4782+H4782)</f>
        <v/>
      </c>
    </row>
    <row r="4783" customFormat="false" ht="15" hidden="false" customHeight="false" outlineLevel="0" collapsed="false">
      <c r="C4783" s="41" t="str">
        <f aca="false">IF(A4783="","",TEXT(A4783,"mmm-yyyy"))</f>
        <v/>
      </c>
      <c r="I4783" s="47" t="str">
        <f aca="false">IF(G4783="","",G4783+H4783)</f>
        <v/>
      </c>
    </row>
    <row r="4784" customFormat="false" ht="15" hidden="false" customHeight="false" outlineLevel="0" collapsed="false">
      <c r="C4784" s="41" t="str">
        <f aca="false">IF(A4784="","",TEXT(A4784,"mmm-yyyy"))</f>
        <v/>
      </c>
      <c r="I4784" s="47" t="str">
        <f aca="false">IF(G4784="","",G4784+H4784)</f>
        <v/>
      </c>
    </row>
    <row r="4785" customFormat="false" ht="15" hidden="false" customHeight="false" outlineLevel="0" collapsed="false">
      <c r="C4785" s="41" t="str">
        <f aca="false">IF(A4785="","",TEXT(A4785,"mmm-yyyy"))</f>
        <v/>
      </c>
      <c r="I4785" s="47" t="str">
        <f aca="false">IF(G4785="","",G4785+H4785)</f>
        <v/>
      </c>
    </row>
    <row r="4786" customFormat="false" ht="15" hidden="false" customHeight="false" outlineLevel="0" collapsed="false">
      <c r="C4786" s="41" t="str">
        <f aca="false">IF(A4786="","",TEXT(A4786,"mmm-yyyy"))</f>
        <v/>
      </c>
      <c r="I4786" s="47" t="str">
        <f aca="false">IF(G4786="","",G4786+H4786)</f>
        <v/>
      </c>
    </row>
    <row r="4787" customFormat="false" ht="15" hidden="false" customHeight="false" outlineLevel="0" collapsed="false">
      <c r="C4787" s="41" t="str">
        <f aca="false">IF(A4787="","",TEXT(A4787,"mmm-yyyy"))</f>
        <v/>
      </c>
      <c r="I4787" s="47" t="str">
        <f aca="false">IF(G4787="","",G4787+H4787)</f>
        <v/>
      </c>
    </row>
    <row r="4788" customFormat="false" ht="15" hidden="false" customHeight="false" outlineLevel="0" collapsed="false">
      <c r="C4788" s="41" t="str">
        <f aca="false">IF(A4788="","",TEXT(A4788,"mmm-yyyy"))</f>
        <v/>
      </c>
      <c r="I4788" s="47" t="str">
        <f aca="false">IF(G4788="","",G4788+H4788)</f>
        <v/>
      </c>
    </row>
    <row r="4789" customFormat="false" ht="15" hidden="false" customHeight="false" outlineLevel="0" collapsed="false">
      <c r="C4789" s="41" t="str">
        <f aca="false">IF(A4789="","",TEXT(A4789,"mmm-yyyy"))</f>
        <v/>
      </c>
      <c r="I4789" s="47" t="str">
        <f aca="false">IF(G4789="","",G4789+H4789)</f>
        <v/>
      </c>
    </row>
    <row r="4790" customFormat="false" ht="15" hidden="false" customHeight="false" outlineLevel="0" collapsed="false">
      <c r="C4790" s="41" t="str">
        <f aca="false">IF(A4790="","",TEXT(A4790,"mmm-yyyy"))</f>
        <v/>
      </c>
      <c r="I4790" s="47" t="str">
        <f aca="false">IF(G4790="","",G4790+H4790)</f>
        <v/>
      </c>
    </row>
    <row r="4791" customFormat="false" ht="15" hidden="false" customHeight="false" outlineLevel="0" collapsed="false">
      <c r="C4791" s="41" t="str">
        <f aca="false">IF(A4791="","",TEXT(A4791,"mmm-yyyy"))</f>
        <v/>
      </c>
      <c r="I4791" s="47" t="str">
        <f aca="false">IF(G4791="","",G4791+H4791)</f>
        <v/>
      </c>
    </row>
    <row r="4792" customFormat="false" ht="15" hidden="false" customHeight="false" outlineLevel="0" collapsed="false">
      <c r="C4792" s="41" t="str">
        <f aca="false">IF(A4792="","",TEXT(A4792,"mmm-yyyy"))</f>
        <v/>
      </c>
      <c r="I4792" s="47" t="str">
        <f aca="false">IF(G4792="","",G4792+H4792)</f>
        <v/>
      </c>
    </row>
    <row r="4793" customFormat="false" ht="15" hidden="false" customHeight="false" outlineLevel="0" collapsed="false">
      <c r="C4793" s="41" t="str">
        <f aca="false">IF(A4793="","",TEXT(A4793,"mmm-yyyy"))</f>
        <v/>
      </c>
      <c r="I4793" s="47" t="str">
        <f aca="false">IF(G4793="","",G4793+H4793)</f>
        <v/>
      </c>
    </row>
    <row r="4794" customFormat="false" ht="15" hidden="false" customHeight="false" outlineLevel="0" collapsed="false">
      <c r="C4794" s="41" t="str">
        <f aca="false">IF(A4794="","",TEXT(A4794,"mmm-yyyy"))</f>
        <v/>
      </c>
      <c r="I4794" s="47" t="str">
        <f aca="false">IF(G4794="","",G4794+H4794)</f>
        <v/>
      </c>
    </row>
    <row r="4795" customFormat="false" ht="15" hidden="false" customHeight="false" outlineLevel="0" collapsed="false">
      <c r="C4795" s="41" t="str">
        <f aca="false">IF(A4795="","",TEXT(A4795,"mmm-yyyy"))</f>
        <v/>
      </c>
      <c r="I4795" s="47" t="str">
        <f aca="false">IF(G4795="","",G4795+H4795)</f>
        <v/>
      </c>
    </row>
    <row r="4796" customFormat="false" ht="15" hidden="false" customHeight="false" outlineLevel="0" collapsed="false">
      <c r="C4796" s="41" t="str">
        <f aca="false">IF(A4796="","",TEXT(A4796,"mmm-yyyy"))</f>
        <v/>
      </c>
      <c r="I4796" s="47" t="str">
        <f aca="false">IF(G4796="","",G4796+H4796)</f>
        <v/>
      </c>
    </row>
    <row r="4797" customFormat="false" ht="15" hidden="false" customHeight="false" outlineLevel="0" collapsed="false">
      <c r="C4797" s="41" t="str">
        <f aca="false">IF(A4797="","",TEXT(A4797,"mmm-yyyy"))</f>
        <v/>
      </c>
      <c r="I4797" s="47" t="str">
        <f aca="false">IF(G4797="","",G4797+H4797)</f>
        <v/>
      </c>
    </row>
    <row r="4798" customFormat="false" ht="15" hidden="false" customHeight="false" outlineLevel="0" collapsed="false">
      <c r="C4798" s="41" t="str">
        <f aca="false">IF(A4798="","",TEXT(A4798,"mmm-yyyy"))</f>
        <v/>
      </c>
      <c r="I4798" s="47" t="str">
        <f aca="false">IF(G4798="","",G4798+H4798)</f>
        <v/>
      </c>
    </row>
    <row r="4799" customFormat="false" ht="15" hidden="false" customHeight="false" outlineLevel="0" collapsed="false">
      <c r="C4799" s="41" t="str">
        <f aca="false">IF(A4799="","",TEXT(A4799,"mmm-yyyy"))</f>
        <v/>
      </c>
      <c r="I4799" s="47" t="str">
        <f aca="false">IF(G4799="","",G4799+H4799)</f>
        <v/>
      </c>
    </row>
    <row r="4800" customFormat="false" ht="15" hidden="false" customHeight="false" outlineLevel="0" collapsed="false">
      <c r="C4800" s="41" t="str">
        <f aca="false">IF(A4800="","",TEXT(A4800,"mmm-yyyy"))</f>
        <v/>
      </c>
      <c r="I4800" s="47" t="str">
        <f aca="false">IF(G4800="","",G4800+H4800)</f>
        <v/>
      </c>
    </row>
    <row r="4801" customFormat="false" ht="15" hidden="false" customHeight="false" outlineLevel="0" collapsed="false">
      <c r="C4801" s="41" t="str">
        <f aca="false">IF(A4801="","",TEXT(A4801,"mmm-yyyy"))</f>
        <v/>
      </c>
      <c r="I4801" s="47" t="str">
        <f aca="false">IF(G4801="","",G4801+H4801)</f>
        <v/>
      </c>
    </row>
    <row r="4802" customFormat="false" ht="15" hidden="false" customHeight="false" outlineLevel="0" collapsed="false">
      <c r="C4802" s="41" t="str">
        <f aca="false">IF(A4802="","",TEXT(A4802,"mmm-yyyy"))</f>
        <v/>
      </c>
      <c r="I4802" s="47" t="str">
        <f aca="false">IF(G4802="","",G4802+H4802)</f>
        <v/>
      </c>
    </row>
    <row r="4803" customFormat="false" ht="15" hidden="false" customHeight="false" outlineLevel="0" collapsed="false">
      <c r="C4803" s="41" t="str">
        <f aca="false">IF(A4803="","",TEXT(A4803,"mmm-yyyy"))</f>
        <v/>
      </c>
      <c r="I4803" s="47" t="str">
        <f aca="false">IF(G4803="","",G4803+H4803)</f>
        <v/>
      </c>
    </row>
    <row r="4804" customFormat="false" ht="15" hidden="false" customHeight="false" outlineLevel="0" collapsed="false">
      <c r="C4804" s="41" t="str">
        <f aca="false">IF(A4804="","",TEXT(A4804,"mmm-yyyy"))</f>
        <v/>
      </c>
      <c r="I4804" s="47" t="str">
        <f aca="false">IF(G4804="","",G4804+H4804)</f>
        <v/>
      </c>
    </row>
    <row r="4805" customFormat="false" ht="15" hidden="false" customHeight="false" outlineLevel="0" collapsed="false">
      <c r="C4805" s="41" t="str">
        <f aca="false">IF(A4805="","",TEXT(A4805,"mmm-yyyy"))</f>
        <v/>
      </c>
      <c r="I4805" s="47" t="str">
        <f aca="false">IF(G4805="","",G4805+H4805)</f>
        <v/>
      </c>
    </row>
    <row r="4806" customFormat="false" ht="15" hidden="false" customHeight="false" outlineLevel="0" collapsed="false">
      <c r="C4806" s="41" t="str">
        <f aca="false">IF(A4806="","",TEXT(A4806,"mmm-yyyy"))</f>
        <v/>
      </c>
      <c r="I4806" s="47" t="str">
        <f aca="false">IF(G4806="","",G4806+H4806)</f>
        <v/>
      </c>
    </row>
    <row r="4807" customFormat="false" ht="15" hidden="false" customHeight="false" outlineLevel="0" collapsed="false">
      <c r="C4807" s="41" t="str">
        <f aca="false">IF(A4807="","",TEXT(A4807,"mmm-yyyy"))</f>
        <v/>
      </c>
      <c r="I4807" s="47" t="str">
        <f aca="false">IF(G4807="","",G4807+H4807)</f>
        <v/>
      </c>
    </row>
    <row r="4808" customFormat="false" ht="15" hidden="false" customHeight="false" outlineLevel="0" collapsed="false">
      <c r="C4808" s="41" t="str">
        <f aca="false">IF(A4808="","",TEXT(A4808,"mmm-yyyy"))</f>
        <v/>
      </c>
      <c r="I4808" s="47" t="str">
        <f aca="false">IF(G4808="","",G4808+H4808)</f>
        <v/>
      </c>
    </row>
    <row r="4809" customFormat="false" ht="15" hidden="false" customHeight="false" outlineLevel="0" collapsed="false">
      <c r="C4809" s="41" t="str">
        <f aca="false">IF(A4809="","",TEXT(A4809,"mmm-yyyy"))</f>
        <v/>
      </c>
      <c r="I4809" s="47" t="str">
        <f aca="false">IF(G4809="","",G4809+H4809)</f>
        <v/>
      </c>
    </row>
    <row r="4810" customFormat="false" ht="15" hidden="false" customHeight="false" outlineLevel="0" collapsed="false">
      <c r="C4810" s="41" t="str">
        <f aca="false">IF(A4810="","",TEXT(A4810,"mmm-yyyy"))</f>
        <v/>
      </c>
      <c r="I4810" s="47" t="str">
        <f aca="false">IF(G4810="","",G4810+H4810)</f>
        <v/>
      </c>
    </row>
    <row r="4811" customFormat="false" ht="15" hidden="false" customHeight="false" outlineLevel="0" collapsed="false">
      <c r="C4811" s="41" t="str">
        <f aca="false">IF(A4811="","",TEXT(A4811,"mmm-yyyy"))</f>
        <v/>
      </c>
      <c r="I4811" s="47" t="str">
        <f aca="false">IF(G4811="","",G4811+H4811)</f>
        <v/>
      </c>
    </row>
    <row r="4812" customFormat="false" ht="15" hidden="false" customHeight="false" outlineLevel="0" collapsed="false">
      <c r="C4812" s="41" t="str">
        <f aca="false">IF(A4812="","",TEXT(A4812,"mmm-yyyy"))</f>
        <v/>
      </c>
      <c r="I4812" s="47" t="str">
        <f aca="false">IF(G4812="","",G4812+H4812)</f>
        <v/>
      </c>
    </row>
    <row r="4813" customFormat="false" ht="15" hidden="false" customHeight="false" outlineLevel="0" collapsed="false">
      <c r="C4813" s="41" t="str">
        <f aca="false">IF(A4813="","",TEXT(A4813,"mmm-yyyy"))</f>
        <v/>
      </c>
      <c r="I4813" s="47" t="str">
        <f aca="false">IF(G4813="","",G4813+H4813)</f>
        <v/>
      </c>
    </row>
    <row r="4814" customFormat="false" ht="15" hidden="false" customHeight="false" outlineLevel="0" collapsed="false">
      <c r="C4814" s="41" t="str">
        <f aca="false">IF(A4814="","",TEXT(A4814,"mmm-yyyy"))</f>
        <v/>
      </c>
      <c r="I4814" s="47" t="str">
        <f aca="false">IF(G4814="","",G4814+H4814)</f>
        <v/>
      </c>
    </row>
    <row r="4815" customFormat="false" ht="15" hidden="false" customHeight="false" outlineLevel="0" collapsed="false">
      <c r="C4815" s="41" t="str">
        <f aca="false">IF(A4815="","",TEXT(A4815,"mmm-yyyy"))</f>
        <v/>
      </c>
      <c r="I4815" s="47" t="str">
        <f aca="false">IF(G4815="","",G4815+H4815)</f>
        <v/>
      </c>
    </row>
    <row r="4816" customFormat="false" ht="15" hidden="false" customHeight="false" outlineLevel="0" collapsed="false">
      <c r="C4816" s="41" t="str">
        <f aca="false">IF(A4816="","",TEXT(A4816,"mmm-yyyy"))</f>
        <v/>
      </c>
      <c r="I4816" s="47" t="str">
        <f aca="false">IF(G4816="","",G4816+H4816)</f>
        <v/>
      </c>
    </row>
    <row r="4817" customFormat="false" ht="15" hidden="false" customHeight="false" outlineLevel="0" collapsed="false">
      <c r="C4817" s="41" t="str">
        <f aca="false">IF(A4817="","",TEXT(A4817,"mmm-yyyy"))</f>
        <v/>
      </c>
      <c r="I4817" s="47" t="str">
        <f aca="false">IF(G4817="","",G4817+H4817)</f>
        <v/>
      </c>
    </row>
    <row r="4818" customFormat="false" ht="15" hidden="false" customHeight="false" outlineLevel="0" collapsed="false">
      <c r="C4818" s="41" t="str">
        <f aca="false">IF(A4818="","",TEXT(A4818,"mmm-yyyy"))</f>
        <v/>
      </c>
      <c r="I4818" s="47" t="str">
        <f aca="false">IF(G4818="","",G4818+H4818)</f>
        <v/>
      </c>
    </row>
    <row r="4819" customFormat="false" ht="15" hidden="false" customHeight="false" outlineLevel="0" collapsed="false">
      <c r="C4819" s="41" t="str">
        <f aca="false">IF(A4819="","",TEXT(A4819,"mmm-yyyy"))</f>
        <v/>
      </c>
      <c r="I4819" s="47" t="str">
        <f aca="false">IF(G4819="","",G4819+H4819)</f>
        <v/>
      </c>
    </row>
    <row r="4820" customFormat="false" ht="15" hidden="false" customHeight="false" outlineLevel="0" collapsed="false">
      <c r="C4820" s="41" t="str">
        <f aca="false">IF(A4820="","",TEXT(A4820,"mmm-yyyy"))</f>
        <v/>
      </c>
      <c r="I4820" s="47" t="str">
        <f aca="false">IF(G4820="","",G4820+H4820)</f>
        <v/>
      </c>
    </row>
    <row r="4821" customFormat="false" ht="15" hidden="false" customHeight="false" outlineLevel="0" collapsed="false">
      <c r="C4821" s="41" t="str">
        <f aca="false">IF(A4821="","",TEXT(A4821,"mmm-yyyy"))</f>
        <v/>
      </c>
      <c r="I4821" s="47" t="str">
        <f aca="false">IF(G4821="","",G4821+H4821)</f>
        <v/>
      </c>
    </row>
    <row r="4822" customFormat="false" ht="15" hidden="false" customHeight="false" outlineLevel="0" collapsed="false">
      <c r="C4822" s="41" t="str">
        <f aca="false">IF(A4822="","",TEXT(A4822,"mmm-yyyy"))</f>
        <v/>
      </c>
      <c r="I4822" s="47" t="str">
        <f aca="false">IF(G4822="","",G4822+H4822)</f>
        <v/>
      </c>
    </row>
    <row r="4823" customFormat="false" ht="15" hidden="false" customHeight="false" outlineLevel="0" collapsed="false">
      <c r="C4823" s="41" t="str">
        <f aca="false">IF(A4823="","",TEXT(A4823,"mmm-yyyy"))</f>
        <v/>
      </c>
      <c r="I4823" s="47" t="str">
        <f aca="false">IF(G4823="","",G4823+H4823)</f>
        <v/>
      </c>
    </row>
    <row r="4824" customFormat="false" ht="15" hidden="false" customHeight="false" outlineLevel="0" collapsed="false">
      <c r="C4824" s="41" t="str">
        <f aca="false">IF(A4824="","",TEXT(A4824,"mmm-yyyy"))</f>
        <v/>
      </c>
      <c r="I4824" s="47" t="str">
        <f aca="false">IF(G4824="","",G4824+H4824)</f>
        <v/>
      </c>
    </row>
    <row r="4825" customFormat="false" ht="15" hidden="false" customHeight="false" outlineLevel="0" collapsed="false">
      <c r="C4825" s="41" t="str">
        <f aca="false">IF(A4825="","",TEXT(A4825,"mmm-yyyy"))</f>
        <v/>
      </c>
      <c r="I4825" s="47" t="str">
        <f aca="false">IF(G4825="","",G4825+H4825)</f>
        <v/>
      </c>
    </row>
    <row r="4826" customFormat="false" ht="15" hidden="false" customHeight="false" outlineLevel="0" collapsed="false">
      <c r="C4826" s="41" t="str">
        <f aca="false">IF(A4826="","",TEXT(A4826,"mmm-yyyy"))</f>
        <v/>
      </c>
      <c r="I4826" s="47" t="str">
        <f aca="false">IF(G4826="","",G4826+H4826)</f>
        <v/>
      </c>
    </row>
    <row r="4827" customFormat="false" ht="15" hidden="false" customHeight="false" outlineLevel="0" collapsed="false">
      <c r="C4827" s="41" t="str">
        <f aca="false">IF(A4827="","",TEXT(A4827,"mmm-yyyy"))</f>
        <v/>
      </c>
      <c r="I4827" s="47" t="str">
        <f aca="false">IF(G4827="","",G4827+H4827)</f>
        <v/>
      </c>
    </row>
    <row r="4828" customFormat="false" ht="15" hidden="false" customHeight="false" outlineLevel="0" collapsed="false">
      <c r="C4828" s="41" t="str">
        <f aca="false">IF(A4828="","",TEXT(A4828,"mmm-yyyy"))</f>
        <v/>
      </c>
      <c r="I4828" s="47" t="str">
        <f aca="false">IF(G4828="","",G4828+H4828)</f>
        <v/>
      </c>
    </row>
    <row r="4829" customFormat="false" ht="15" hidden="false" customHeight="false" outlineLevel="0" collapsed="false">
      <c r="C4829" s="41" t="str">
        <f aca="false">IF(A4829="","",TEXT(A4829,"mmm-yyyy"))</f>
        <v/>
      </c>
      <c r="I4829" s="47" t="str">
        <f aca="false">IF(G4829="","",G4829+H4829)</f>
        <v/>
      </c>
    </row>
    <row r="4830" customFormat="false" ht="15" hidden="false" customHeight="false" outlineLevel="0" collapsed="false">
      <c r="C4830" s="41" t="str">
        <f aca="false">IF(A4830="","",TEXT(A4830,"mmm-yyyy"))</f>
        <v/>
      </c>
      <c r="I4830" s="47" t="str">
        <f aca="false">IF(G4830="","",G4830+H4830)</f>
        <v/>
      </c>
    </row>
    <row r="4831" customFormat="false" ht="15" hidden="false" customHeight="false" outlineLevel="0" collapsed="false">
      <c r="C4831" s="41" t="str">
        <f aca="false">IF(A4831="","",TEXT(A4831,"mmm-yyyy"))</f>
        <v/>
      </c>
      <c r="I4831" s="47" t="str">
        <f aca="false">IF(G4831="","",G4831+H4831)</f>
        <v/>
      </c>
    </row>
    <row r="4832" customFormat="false" ht="15" hidden="false" customHeight="false" outlineLevel="0" collapsed="false">
      <c r="C4832" s="41" t="str">
        <f aca="false">IF(A4832="","",TEXT(A4832,"mmm-yyyy"))</f>
        <v/>
      </c>
      <c r="I4832" s="47" t="str">
        <f aca="false">IF(G4832="","",G4832+H4832)</f>
        <v/>
      </c>
    </row>
    <row r="4833" customFormat="false" ht="15" hidden="false" customHeight="false" outlineLevel="0" collapsed="false">
      <c r="C4833" s="41" t="str">
        <f aca="false">IF(A4833="","",TEXT(A4833,"mmm-yyyy"))</f>
        <v/>
      </c>
      <c r="I4833" s="47" t="str">
        <f aca="false">IF(G4833="","",G4833+H4833)</f>
        <v/>
      </c>
    </row>
    <row r="4834" customFormat="false" ht="15" hidden="false" customHeight="false" outlineLevel="0" collapsed="false">
      <c r="C4834" s="41" t="str">
        <f aca="false">IF(A4834="","",TEXT(A4834,"mmm-yyyy"))</f>
        <v/>
      </c>
      <c r="I4834" s="47" t="str">
        <f aca="false">IF(G4834="","",G4834+H4834)</f>
        <v/>
      </c>
    </row>
    <row r="4835" customFormat="false" ht="15" hidden="false" customHeight="false" outlineLevel="0" collapsed="false">
      <c r="C4835" s="41" t="str">
        <f aca="false">IF(A4835="","",TEXT(A4835,"mmm-yyyy"))</f>
        <v/>
      </c>
      <c r="I4835" s="47" t="str">
        <f aca="false">IF(G4835="","",G4835+H4835)</f>
        <v/>
      </c>
    </row>
    <row r="4836" customFormat="false" ht="15" hidden="false" customHeight="false" outlineLevel="0" collapsed="false">
      <c r="C4836" s="41" t="str">
        <f aca="false">IF(A4836="","",TEXT(A4836,"mmm-yyyy"))</f>
        <v/>
      </c>
      <c r="I4836" s="47" t="str">
        <f aca="false">IF(G4836="","",G4836+H4836)</f>
        <v/>
      </c>
    </row>
    <row r="4837" customFormat="false" ht="15" hidden="false" customHeight="false" outlineLevel="0" collapsed="false">
      <c r="C4837" s="41" t="str">
        <f aca="false">IF(A4837="","",TEXT(A4837,"mmm-yyyy"))</f>
        <v/>
      </c>
      <c r="I4837" s="47" t="str">
        <f aca="false">IF(G4837="","",G4837+H4837)</f>
        <v/>
      </c>
    </row>
    <row r="4838" customFormat="false" ht="15" hidden="false" customHeight="false" outlineLevel="0" collapsed="false">
      <c r="C4838" s="41" t="str">
        <f aca="false">IF(A4838="","",TEXT(A4838,"mmm-yyyy"))</f>
        <v/>
      </c>
      <c r="I4838" s="47" t="str">
        <f aca="false">IF(G4838="","",G4838+H4838)</f>
        <v/>
      </c>
    </row>
    <row r="4839" customFormat="false" ht="15" hidden="false" customHeight="false" outlineLevel="0" collapsed="false">
      <c r="C4839" s="41" t="str">
        <f aca="false">IF(A4839="","",TEXT(A4839,"mmm-yyyy"))</f>
        <v/>
      </c>
      <c r="I4839" s="47" t="str">
        <f aca="false">IF(G4839="","",G4839+H4839)</f>
        <v/>
      </c>
    </row>
    <row r="4840" customFormat="false" ht="15" hidden="false" customHeight="false" outlineLevel="0" collapsed="false">
      <c r="C4840" s="41" t="str">
        <f aca="false">IF(A4840="","",TEXT(A4840,"mmm-yyyy"))</f>
        <v/>
      </c>
      <c r="I4840" s="47" t="str">
        <f aca="false">IF(G4840="","",G4840+H4840)</f>
        <v/>
      </c>
    </row>
    <row r="4841" customFormat="false" ht="15" hidden="false" customHeight="false" outlineLevel="0" collapsed="false">
      <c r="C4841" s="41" t="str">
        <f aca="false">IF(A4841="","",TEXT(A4841,"mmm-yyyy"))</f>
        <v/>
      </c>
      <c r="I4841" s="47" t="str">
        <f aca="false">IF(G4841="","",G4841+H4841)</f>
        <v/>
      </c>
    </row>
    <row r="4842" customFormat="false" ht="15" hidden="false" customHeight="false" outlineLevel="0" collapsed="false">
      <c r="C4842" s="41" t="str">
        <f aca="false">IF(A4842="","",TEXT(A4842,"mmm-yyyy"))</f>
        <v/>
      </c>
      <c r="I4842" s="47" t="str">
        <f aca="false">IF(G4842="","",G4842+H4842)</f>
        <v/>
      </c>
    </row>
    <row r="4843" customFormat="false" ht="15" hidden="false" customHeight="false" outlineLevel="0" collapsed="false">
      <c r="C4843" s="41" t="str">
        <f aca="false">IF(A4843="","",TEXT(A4843,"mmm-yyyy"))</f>
        <v/>
      </c>
      <c r="I4843" s="47" t="str">
        <f aca="false">IF(G4843="","",G4843+H4843)</f>
        <v/>
      </c>
    </row>
    <row r="4844" customFormat="false" ht="15" hidden="false" customHeight="false" outlineLevel="0" collapsed="false">
      <c r="C4844" s="41" t="str">
        <f aca="false">IF(A4844="","",TEXT(A4844,"mmm-yyyy"))</f>
        <v/>
      </c>
      <c r="I4844" s="47" t="str">
        <f aca="false">IF(G4844="","",G4844+H4844)</f>
        <v/>
      </c>
    </row>
    <row r="4845" customFormat="false" ht="15" hidden="false" customHeight="false" outlineLevel="0" collapsed="false">
      <c r="C4845" s="41" t="str">
        <f aca="false">IF(A4845="","",TEXT(A4845,"mmm-yyyy"))</f>
        <v/>
      </c>
      <c r="I4845" s="47" t="str">
        <f aca="false">IF(G4845="","",G4845+H4845)</f>
        <v/>
      </c>
    </row>
    <row r="4846" customFormat="false" ht="15" hidden="false" customHeight="false" outlineLevel="0" collapsed="false">
      <c r="C4846" s="41" t="str">
        <f aca="false">IF(A4846="","",TEXT(A4846,"mmm-yyyy"))</f>
        <v/>
      </c>
      <c r="I4846" s="47" t="str">
        <f aca="false">IF(G4846="","",G4846+H4846)</f>
        <v/>
      </c>
    </row>
    <row r="4847" customFormat="false" ht="15" hidden="false" customHeight="false" outlineLevel="0" collapsed="false">
      <c r="C4847" s="41" t="str">
        <f aca="false">IF(A4847="","",TEXT(A4847,"mmm-yyyy"))</f>
        <v/>
      </c>
      <c r="I4847" s="47" t="str">
        <f aca="false">IF(G4847="","",G4847+H4847)</f>
        <v/>
      </c>
    </row>
    <row r="4848" customFormat="false" ht="15" hidden="false" customHeight="false" outlineLevel="0" collapsed="false">
      <c r="C4848" s="41" t="str">
        <f aca="false">IF(A4848="","",TEXT(A4848,"mmm-yyyy"))</f>
        <v/>
      </c>
      <c r="I4848" s="47" t="str">
        <f aca="false">IF(G4848="","",G4848+H4848)</f>
        <v/>
      </c>
    </row>
    <row r="4849" customFormat="false" ht="15" hidden="false" customHeight="false" outlineLevel="0" collapsed="false">
      <c r="C4849" s="41" t="str">
        <f aca="false">IF(A4849="","",TEXT(A4849,"mmm-yyyy"))</f>
        <v/>
      </c>
      <c r="I4849" s="47" t="str">
        <f aca="false">IF(G4849="","",G4849+H4849)</f>
        <v/>
      </c>
    </row>
    <row r="4850" customFormat="false" ht="15" hidden="false" customHeight="false" outlineLevel="0" collapsed="false">
      <c r="C4850" s="41" t="str">
        <f aca="false">IF(A4850="","",TEXT(A4850,"mmm-yyyy"))</f>
        <v/>
      </c>
      <c r="I4850" s="47" t="str">
        <f aca="false">IF(G4850="","",G4850+H4850)</f>
        <v/>
      </c>
    </row>
    <row r="4851" customFormat="false" ht="15" hidden="false" customHeight="false" outlineLevel="0" collapsed="false">
      <c r="C4851" s="41" t="str">
        <f aca="false">IF(A4851="","",TEXT(A4851,"mmm-yyyy"))</f>
        <v/>
      </c>
      <c r="I4851" s="47" t="str">
        <f aca="false">IF(G4851="","",G4851+H4851)</f>
        <v/>
      </c>
    </row>
    <row r="4852" customFormat="false" ht="15" hidden="false" customHeight="false" outlineLevel="0" collapsed="false">
      <c r="C4852" s="41" t="str">
        <f aca="false">IF(A4852="","",TEXT(A4852,"mmm-yyyy"))</f>
        <v/>
      </c>
      <c r="I4852" s="47" t="str">
        <f aca="false">IF(G4852="","",G4852+H4852)</f>
        <v/>
      </c>
    </row>
    <row r="4853" customFormat="false" ht="15" hidden="false" customHeight="false" outlineLevel="0" collapsed="false">
      <c r="C4853" s="41" t="str">
        <f aca="false">IF(A4853="","",TEXT(A4853,"mmm-yyyy"))</f>
        <v/>
      </c>
      <c r="I4853" s="47" t="str">
        <f aca="false">IF(G4853="","",G4853+H4853)</f>
        <v/>
      </c>
    </row>
    <row r="4854" customFormat="false" ht="15" hidden="false" customHeight="false" outlineLevel="0" collapsed="false">
      <c r="C4854" s="41" t="str">
        <f aca="false">IF(A4854="","",TEXT(A4854,"mmm-yyyy"))</f>
        <v/>
      </c>
      <c r="I4854" s="47" t="str">
        <f aca="false">IF(G4854="","",G4854+H4854)</f>
        <v/>
      </c>
    </row>
    <row r="4855" customFormat="false" ht="15" hidden="false" customHeight="false" outlineLevel="0" collapsed="false">
      <c r="C4855" s="41" t="str">
        <f aca="false">IF(A4855="","",TEXT(A4855,"mmm-yyyy"))</f>
        <v/>
      </c>
      <c r="I4855" s="47" t="str">
        <f aca="false">IF(G4855="","",G4855+H4855)</f>
        <v/>
      </c>
    </row>
    <row r="4856" customFormat="false" ht="15" hidden="false" customHeight="false" outlineLevel="0" collapsed="false">
      <c r="C4856" s="41" t="str">
        <f aca="false">IF(A4856="","",TEXT(A4856,"mmm-yyyy"))</f>
        <v/>
      </c>
      <c r="I4856" s="47" t="str">
        <f aca="false">IF(G4856="","",G4856+H4856)</f>
        <v/>
      </c>
    </row>
    <row r="4857" customFormat="false" ht="15" hidden="false" customHeight="false" outlineLevel="0" collapsed="false">
      <c r="C4857" s="41" t="str">
        <f aca="false">IF(A4857="","",TEXT(A4857,"mmm-yyyy"))</f>
        <v/>
      </c>
      <c r="I4857" s="47" t="str">
        <f aca="false">IF(G4857="","",G4857+H4857)</f>
        <v/>
      </c>
    </row>
    <row r="4858" customFormat="false" ht="15" hidden="false" customHeight="false" outlineLevel="0" collapsed="false">
      <c r="C4858" s="41" t="str">
        <f aca="false">IF(A4858="","",TEXT(A4858,"mmm-yyyy"))</f>
        <v/>
      </c>
      <c r="I4858" s="47" t="str">
        <f aca="false">IF(G4858="","",G4858+H4858)</f>
        <v/>
      </c>
    </row>
    <row r="4859" customFormat="false" ht="15" hidden="false" customHeight="false" outlineLevel="0" collapsed="false">
      <c r="C4859" s="41" t="str">
        <f aca="false">IF(A4859="","",TEXT(A4859,"mmm-yyyy"))</f>
        <v/>
      </c>
      <c r="I4859" s="47" t="str">
        <f aca="false">IF(G4859="","",G4859+H4859)</f>
        <v/>
      </c>
    </row>
    <row r="4860" customFormat="false" ht="15" hidden="false" customHeight="false" outlineLevel="0" collapsed="false">
      <c r="C4860" s="41" t="str">
        <f aca="false">IF(A4860="","",TEXT(A4860,"mmm-yyyy"))</f>
        <v/>
      </c>
      <c r="I4860" s="47" t="str">
        <f aca="false">IF(G4860="","",G4860+H4860)</f>
        <v/>
      </c>
    </row>
    <row r="4861" customFormat="false" ht="15" hidden="false" customHeight="false" outlineLevel="0" collapsed="false">
      <c r="C4861" s="41" t="str">
        <f aca="false">IF(A4861="","",TEXT(A4861,"mmm-yyyy"))</f>
        <v/>
      </c>
      <c r="I4861" s="47" t="str">
        <f aca="false">IF(G4861="","",G4861+H4861)</f>
        <v/>
      </c>
    </row>
    <row r="4862" customFormat="false" ht="15" hidden="false" customHeight="false" outlineLevel="0" collapsed="false">
      <c r="C4862" s="41" t="str">
        <f aca="false">IF(A4862="","",TEXT(A4862,"mmm-yyyy"))</f>
        <v/>
      </c>
      <c r="I4862" s="47" t="str">
        <f aca="false">IF(G4862="","",G4862+H4862)</f>
        <v/>
      </c>
    </row>
    <row r="4863" customFormat="false" ht="15" hidden="false" customHeight="false" outlineLevel="0" collapsed="false">
      <c r="C4863" s="41" t="str">
        <f aca="false">IF(A4863="","",TEXT(A4863,"mmm-yyyy"))</f>
        <v/>
      </c>
      <c r="I4863" s="47" t="str">
        <f aca="false">IF(G4863="","",G4863+H4863)</f>
        <v/>
      </c>
    </row>
    <row r="4864" customFormat="false" ht="15" hidden="false" customHeight="false" outlineLevel="0" collapsed="false">
      <c r="C4864" s="41" t="str">
        <f aca="false">IF(A4864="","",TEXT(A4864,"mmm-yyyy"))</f>
        <v/>
      </c>
      <c r="I4864" s="47" t="str">
        <f aca="false">IF(G4864="","",G4864+H4864)</f>
        <v/>
      </c>
    </row>
    <row r="4865" customFormat="false" ht="15" hidden="false" customHeight="false" outlineLevel="0" collapsed="false">
      <c r="C4865" s="41" t="str">
        <f aca="false">IF(A4865="","",TEXT(A4865,"mmm-yyyy"))</f>
        <v/>
      </c>
      <c r="I4865" s="47" t="str">
        <f aca="false">IF(G4865="","",G4865+H4865)</f>
        <v/>
      </c>
    </row>
    <row r="4866" customFormat="false" ht="15" hidden="false" customHeight="false" outlineLevel="0" collapsed="false">
      <c r="C4866" s="41" t="str">
        <f aca="false">IF(A4866="","",TEXT(A4866,"mmm-yyyy"))</f>
        <v/>
      </c>
      <c r="I4866" s="47" t="str">
        <f aca="false">IF(G4866="","",G4866+H4866)</f>
        <v/>
      </c>
    </row>
    <row r="4867" customFormat="false" ht="15" hidden="false" customHeight="false" outlineLevel="0" collapsed="false">
      <c r="C4867" s="41" t="str">
        <f aca="false">IF(A4867="","",TEXT(A4867,"mmm-yyyy"))</f>
        <v/>
      </c>
      <c r="I4867" s="47" t="str">
        <f aca="false">IF(G4867="","",G4867+H4867)</f>
        <v/>
      </c>
    </row>
    <row r="4868" customFormat="false" ht="15" hidden="false" customHeight="false" outlineLevel="0" collapsed="false">
      <c r="C4868" s="41" t="str">
        <f aca="false">IF(A4868="","",TEXT(A4868,"mmm-yyyy"))</f>
        <v/>
      </c>
      <c r="I4868" s="47" t="str">
        <f aca="false">IF(G4868="","",G4868+H4868)</f>
        <v/>
      </c>
    </row>
    <row r="4869" customFormat="false" ht="15" hidden="false" customHeight="false" outlineLevel="0" collapsed="false">
      <c r="C4869" s="41" t="str">
        <f aca="false">IF(A4869="","",TEXT(A4869,"mmm-yyyy"))</f>
        <v/>
      </c>
      <c r="I4869" s="47" t="str">
        <f aca="false">IF(G4869="","",G4869+H4869)</f>
        <v/>
      </c>
    </row>
    <row r="4870" customFormat="false" ht="15" hidden="false" customHeight="false" outlineLevel="0" collapsed="false">
      <c r="C4870" s="41" t="str">
        <f aca="false">IF(A4870="","",TEXT(A4870,"mmm-yyyy"))</f>
        <v/>
      </c>
      <c r="I4870" s="47" t="str">
        <f aca="false">IF(G4870="","",G4870+H4870)</f>
        <v/>
      </c>
    </row>
    <row r="4871" customFormat="false" ht="15" hidden="false" customHeight="false" outlineLevel="0" collapsed="false">
      <c r="C4871" s="41" t="str">
        <f aca="false">IF(A4871="","",TEXT(A4871,"mmm-yyyy"))</f>
        <v/>
      </c>
      <c r="I4871" s="47" t="str">
        <f aca="false">IF(G4871="","",G4871+H4871)</f>
        <v/>
      </c>
    </row>
    <row r="4872" customFormat="false" ht="15" hidden="false" customHeight="false" outlineLevel="0" collapsed="false">
      <c r="C4872" s="41" t="str">
        <f aca="false">IF(A4872="","",TEXT(A4872,"mmm-yyyy"))</f>
        <v/>
      </c>
      <c r="I4872" s="47" t="str">
        <f aca="false">IF(G4872="","",G4872+H4872)</f>
        <v/>
      </c>
    </row>
    <row r="4873" customFormat="false" ht="15" hidden="false" customHeight="false" outlineLevel="0" collapsed="false">
      <c r="C4873" s="41" t="str">
        <f aca="false">IF(A4873="","",TEXT(A4873,"mmm-yyyy"))</f>
        <v/>
      </c>
      <c r="I4873" s="47" t="str">
        <f aca="false">IF(G4873="","",G4873+H4873)</f>
        <v/>
      </c>
    </row>
    <row r="4874" customFormat="false" ht="15" hidden="false" customHeight="false" outlineLevel="0" collapsed="false">
      <c r="C4874" s="41" t="str">
        <f aca="false">IF(A4874="","",TEXT(A4874,"mmm-yyyy"))</f>
        <v/>
      </c>
      <c r="I4874" s="47" t="str">
        <f aca="false">IF(G4874="","",G4874+H4874)</f>
        <v/>
      </c>
    </row>
    <row r="4875" customFormat="false" ht="15" hidden="false" customHeight="false" outlineLevel="0" collapsed="false">
      <c r="C4875" s="41" t="str">
        <f aca="false">IF(A4875="","",TEXT(A4875,"mmm-yyyy"))</f>
        <v/>
      </c>
      <c r="I4875" s="47" t="str">
        <f aca="false">IF(G4875="","",G4875+H4875)</f>
        <v/>
      </c>
    </row>
    <row r="4876" customFormat="false" ht="15" hidden="false" customHeight="false" outlineLevel="0" collapsed="false">
      <c r="C4876" s="41" t="str">
        <f aca="false">IF(A4876="","",TEXT(A4876,"mmm-yyyy"))</f>
        <v/>
      </c>
      <c r="I4876" s="47" t="str">
        <f aca="false">IF(G4876="","",G4876+H4876)</f>
        <v/>
      </c>
    </row>
    <row r="4877" customFormat="false" ht="15" hidden="false" customHeight="false" outlineLevel="0" collapsed="false">
      <c r="C4877" s="41" t="str">
        <f aca="false">IF(A4877="","",TEXT(A4877,"mmm-yyyy"))</f>
        <v/>
      </c>
      <c r="I4877" s="47" t="str">
        <f aca="false">IF(G4877="","",G4877+H4877)</f>
        <v/>
      </c>
    </row>
    <row r="4878" customFormat="false" ht="15" hidden="false" customHeight="false" outlineLevel="0" collapsed="false">
      <c r="C4878" s="41" t="str">
        <f aca="false">IF(A4878="","",TEXT(A4878,"mmm-yyyy"))</f>
        <v/>
      </c>
      <c r="I4878" s="47" t="str">
        <f aca="false">IF(G4878="","",G4878+H4878)</f>
        <v/>
      </c>
    </row>
    <row r="4879" customFormat="false" ht="15" hidden="false" customHeight="false" outlineLevel="0" collapsed="false">
      <c r="C4879" s="41" t="str">
        <f aca="false">IF(A4879="","",TEXT(A4879,"mmm-yyyy"))</f>
        <v/>
      </c>
      <c r="I4879" s="47" t="str">
        <f aca="false">IF(G4879="","",G4879+H4879)</f>
        <v/>
      </c>
    </row>
    <row r="4880" customFormat="false" ht="15" hidden="false" customHeight="false" outlineLevel="0" collapsed="false">
      <c r="C4880" s="41" t="str">
        <f aca="false">IF(A4880="","",TEXT(A4880,"mmm-yyyy"))</f>
        <v/>
      </c>
      <c r="I4880" s="47" t="str">
        <f aca="false">IF(G4880="","",G4880+H4880)</f>
        <v/>
      </c>
    </row>
    <row r="4881" customFormat="false" ht="15" hidden="false" customHeight="false" outlineLevel="0" collapsed="false">
      <c r="C4881" s="41" t="str">
        <f aca="false">IF(A4881="","",TEXT(A4881,"mmm-yyyy"))</f>
        <v/>
      </c>
      <c r="I4881" s="47" t="str">
        <f aca="false">IF(G4881="","",G4881+H4881)</f>
        <v/>
      </c>
    </row>
    <row r="4882" customFormat="false" ht="15" hidden="false" customHeight="false" outlineLevel="0" collapsed="false">
      <c r="C4882" s="41" t="str">
        <f aca="false">IF(A4882="","",TEXT(A4882,"mmm-yyyy"))</f>
        <v/>
      </c>
      <c r="I4882" s="47" t="str">
        <f aca="false">IF(G4882="","",G4882+H4882)</f>
        <v/>
      </c>
    </row>
    <row r="4883" customFormat="false" ht="15" hidden="false" customHeight="false" outlineLevel="0" collapsed="false">
      <c r="C4883" s="41" t="str">
        <f aca="false">IF(A4883="","",TEXT(A4883,"mmm-yyyy"))</f>
        <v/>
      </c>
      <c r="I4883" s="47" t="str">
        <f aca="false">IF(G4883="","",G4883+H4883)</f>
        <v/>
      </c>
    </row>
    <row r="4884" customFormat="false" ht="15" hidden="false" customHeight="false" outlineLevel="0" collapsed="false">
      <c r="C4884" s="41" t="str">
        <f aca="false">IF(A4884="","",TEXT(A4884,"mmm-yyyy"))</f>
        <v/>
      </c>
      <c r="I4884" s="47" t="str">
        <f aca="false">IF(G4884="","",G4884+H4884)</f>
        <v/>
      </c>
    </row>
    <row r="4885" customFormat="false" ht="15" hidden="false" customHeight="false" outlineLevel="0" collapsed="false">
      <c r="C4885" s="41" t="str">
        <f aca="false">IF(A4885="","",TEXT(A4885,"mmm-yyyy"))</f>
        <v/>
      </c>
      <c r="I4885" s="47" t="str">
        <f aca="false">IF(G4885="","",G4885+H4885)</f>
        <v/>
      </c>
    </row>
    <row r="4886" customFormat="false" ht="15" hidden="false" customHeight="false" outlineLevel="0" collapsed="false">
      <c r="C4886" s="41" t="str">
        <f aca="false">IF(A4886="","",TEXT(A4886,"mmm-yyyy"))</f>
        <v/>
      </c>
      <c r="I4886" s="47" t="str">
        <f aca="false">IF(G4886="","",G4886+H4886)</f>
        <v/>
      </c>
    </row>
    <row r="4887" customFormat="false" ht="15" hidden="false" customHeight="false" outlineLevel="0" collapsed="false">
      <c r="C4887" s="41" t="str">
        <f aca="false">IF(A4887="","",TEXT(A4887,"mmm-yyyy"))</f>
        <v/>
      </c>
      <c r="I4887" s="47" t="str">
        <f aca="false">IF(G4887="","",G4887+H4887)</f>
        <v/>
      </c>
    </row>
    <row r="4888" customFormat="false" ht="15" hidden="false" customHeight="false" outlineLevel="0" collapsed="false">
      <c r="C4888" s="41" t="str">
        <f aca="false">IF(A4888="","",TEXT(A4888,"mmm-yyyy"))</f>
        <v/>
      </c>
      <c r="I4888" s="47" t="str">
        <f aca="false">IF(G4888="","",G4888+H4888)</f>
        <v/>
      </c>
    </row>
    <row r="4889" customFormat="false" ht="15" hidden="false" customHeight="false" outlineLevel="0" collapsed="false">
      <c r="C4889" s="41" t="str">
        <f aca="false">IF(A4889="","",TEXT(A4889,"mmm-yyyy"))</f>
        <v/>
      </c>
      <c r="I4889" s="47" t="str">
        <f aca="false">IF(G4889="","",G4889+H4889)</f>
        <v/>
      </c>
    </row>
    <row r="4890" customFormat="false" ht="15" hidden="false" customHeight="false" outlineLevel="0" collapsed="false">
      <c r="C4890" s="41" t="str">
        <f aca="false">IF(A4890="","",TEXT(A4890,"mmm-yyyy"))</f>
        <v/>
      </c>
      <c r="I4890" s="47" t="str">
        <f aca="false">IF(G4890="","",G4890+H4890)</f>
        <v/>
      </c>
    </row>
    <row r="4891" customFormat="false" ht="15" hidden="false" customHeight="false" outlineLevel="0" collapsed="false">
      <c r="C4891" s="41" t="str">
        <f aca="false">IF(A4891="","",TEXT(A4891,"mmm-yyyy"))</f>
        <v/>
      </c>
      <c r="I4891" s="47" t="str">
        <f aca="false">IF(G4891="","",G4891+H4891)</f>
        <v/>
      </c>
    </row>
    <row r="4892" customFormat="false" ht="15" hidden="false" customHeight="false" outlineLevel="0" collapsed="false">
      <c r="C4892" s="41" t="str">
        <f aca="false">IF(A4892="","",TEXT(A4892,"mmm-yyyy"))</f>
        <v/>
      </c>
      <c r="I4892" s="47" t="str">
        <f aca="false">IF(G4892="","",G4892+H4892)</f>
        <v/>
      </c>
    </row>
    <row r="4893" customFormat="false" ht="15" hidden="false" customHeight="false" outlineLevel="0" collapsed="false">
      <c r="C4893" s="41" t="str">
        <f aca="false">IF(A4893="","",TEXT(A4893,"mmm-yyyy"))</f>
        <v/>
      </c>
      <c r="I4893" s="47" t="str">
        <f aca="false">IF(G4893="","",G4893+H4893)</f>
        <v/>
      </c>
    </row>
    <row r="4894" customFormat="false" ht="15" hidden="false" customHeight="false" outlineLevel="0" collapsed="false">
      <c r="C4894" s="41" t="str">
        <f aca="false">IF(A4894="","",TEXT(A4894,"mmm-yyyy"))</f>
        <v/>
      </c>
      <c r="I4894" s="47" t="str">
        <f aca="false">IF(G4894="","",G4894+H4894)</f>
        <v/>
      </c>
    </row>
    <row r="4895" customFormat="false" ht="15" hidden="false" customHeight="false" outlineLevel="0" collapsed="false">
      <c r="C4895" s="41" t="str">
        <f aca="false">IF(A4895="","",TEXT(A4895,"mmm-yyyy"))</f>
        <v/>
      </c>
      <c r="I4895" s="47" t="str">
        <f aca="false">IF(G4895="","",G4895+H4895)</f>
        <v/>
      </c>
    </row>
    <row r="4896" customFormat="false" ht="15" hidden="false" customHeight="false" outlineLevel="0" collapsed="false">
      <c r="C4896" s="41" t="str">
        <f aca="false">IF(A4896="","",TEXT(A4896,"mmm-yyyy"))</f>
        <v/>
      </c>
      <c r="I4896" s="47" t="str">
        <f aca="false">IF(G4896="","",G4896+H4896)</f>
        <v/>
      </c>
    </row>
    <row r="4897" customFormat="false" ht="15" hidden="false" customHeight="false" outlineLevel="0" collapsed="false">
      <c r="C4897" s="41" t="str">
        <f aca="false">IF(A4897="","",TEXT(A4897,"mmm-yyyy"))</f>
        <v/>
      </c>
      <c r="I4897" s="47" t="str">
        <f aca="false">IF(G4897="","",G4897+H4897)</f>
        <v/>
      </c>
    </row>
    <row r="4898" customFormat="false" ht="15" hidden="false" customHeight="false" outlineLevel="0" collapsed="false">
      <c r="C4898" s="41" t="str">
        <f aca="false">IF(A4898="","",TEXT(A4898,"mmm-yyyy"))</f>
        <v/>
      </c>
      <c r="I4898" s="47" t="str">
        <f aca="false">IF(G4898="","",G4898+H4898)</f>
        <v/>
      </c>
    </row>
    <row r="4899" customFormat="false" ht="15" hidden="false" customHeight="false" outlineLevel="0" collapsed="false">
      <c r="C4899" s="41" t="str">
        <f aca="false">IF(A4899="","",TEXT(A4899,"mmm-yyyy"))</f>
        <v/>
      </c>
      <c r="I4899" s="47" t="str">
        <f aca="false">IF(G4899="","",G4899+H4899)</f>
        <v/>
      </c>
    </row>
    <row r="4900" customFormat="false" ht="15" hidden="false" customHeight="false" outlineLevel="0" collapsed="false">
      <c r="C4900" s="41" t="str">
        <f aca="false">IF(A4900="","",TEXT(A4900,"mmm-yyyy"))</f>
        <v/>
      </c>
      <c r="I4900" s="47" t="str">
        <f aca="false">IF(G4900="","",G4900+H4900)</f>
        <v/>
      </c>
    </row>
    <row r="4901" customFormat="false" ht="15" hidden="false" customHeight="false" outlineLevel="0" collapsed="false">
      <c r="C4901" s="41" t="str">
        <f aca="false">IF(A4901="","",TEXT(A4901,"mmm-yyyy"))</f>
        <v/>
      </c>
      <c r="I4901" s="47" t="str">
        <f aca="false">IF(G4901="","",G4901+H4901)</f>
        <v/>
      </c>
    </row>
    <row r="4902" customFormat="false" ht="15" hidden="false" customHeight="false" outlineLevel="0" collapsed="false">
      <c r="C4902" s="41" t="str">
        <f aca="false">IF(A4902="","",TEXT(A4902,"mmm-yyyy"))</f>
        <v/>
      </c>
      <c r="I4902" s="47" t="str">
        <f aca="false">IF(G4902="","",G4902+H4902)</f>
        <v/>
      </c>
    </row>
    <row r="4903" customFormat="false" ht="15" hidden="false" customHeight="false" outlineLevel="0" collapsed="false">
      <c r="C4903" s="41" t="str">
        <f aca="false">IF(A4903="","",TEXT(A4903,"mmm-yyyy"))</f>
        <v/>
      </c>
      <c r="I4903" s="47" t="str">
        <f aca="false">IF(G4903="","",G4903+H4903)</f>
        <v/>
      </c>
    </row>
    <row r="4904" customFormat="false" ht="15" hidden="false" customHeight="false" outlineLevel="0" collapsed="false">
      <c r="C4904" s="41" t="str">
        <f aca="false">IF(A4904="","",TEXT(A4904,"mmm-yyyy"))</f>
        <v/>
      </c>
      <c r="I4904" s="47" t="str">
        <f aca="false">IF(G4904="","",G4904+H4904)</f>
        <v/>
      </c>
    </row>
    <row r="4905" customFormat="false" ht="15" hidden="false" customHeight="false" outlineLevel="0" collapsed="false">
      <c r="C4905" s="41" t="str">
        <f aca="false">IF(A4905="","",TEXT(A4905,"mmm-yyyy"))</f>
        <v/>
      </c>
      <c r="I4905" s="47" t="str">
        <f aca="false">IF(G4905="","",G4905+H4905)</f>
        <v/>
      </c>
    </row>
    <row r="4906" customFormat="false" ht="15" hidden="false" customHeight="false" outlineLevel="0" collapsed="false">
      <c r="C4906" s="41" t="str">
        <f aca="false">IF(A4906="","",TEXT(A4906,"mmm-yyyy"))</f>
        <v/>
      </c>
      <c r="I4906" s="47" t="str">
        <f aca="false">IF(G4906="","",G4906+H4906)</f>
        <v/>
      </c>
    </row>
    <row r="4907" customFormat="false" ht="15" hidden="false" customHeight="false" outlineLevel="0" collapsed="false">
      <c r="C4907" s="41" t="str">
        <f aca="false">IF(A4907="","",TEXT(A4907,"mmm-yyyy"))</f>
        <v/>
      </c>
      <c r="I4907" s="47" t="str">
        <f aca="false">IF(G4907="","",G4907+H4907)</f>
        <v/>
      </c>
    </row>
    <row r="4908" customFormat="false" ht="15" hidden="false" customHeight="false" outlineLevel="0" collapsed="false">
      <c r="C4908" s="41" t="str">
        <f aca="false">IF(A4908="","",TEXT(A4908,"mmm-yyyy"))</f>
        <v/>
      </c>
      <c r="I4908" s="47" t="str">
        <f aca="false">IF(G4908="","",G4908+H4908)</f>
        <v/>
      </c>
    </row>
    <row r="4909" customFormat="false" ht="15" hidden="false" customHeight="false" outlineLevel="0" collapsed="false">
      <c r="C4909" s="41" t="str">
        <f aca="false">IF(A4909="","",TEXT(A4909,"mmm-yyyy"))</f>
        <v/>
      </c>
      <c r="I4909" s="47" t="str">
        <f aca="false">IF(G4909="","",G4909+H4909)</f>
        <v/>
      </c>
    </row>
    <row r="4910" customFormat="false" ht="15" hidden="false" customHeight="false" outlineLevel="0" collapsed="false">
      <c r="C4910" s="41" t="str">
        <f aca="false">IF(A4910="","",TEXT(A4910,"mmm-yyyy"))</f>
        <v/>
      </c>
      <c r="I4910" s="47" t="str">
        <f aca="false">IF(G4910="","",G4910+H4910)</f>
        <v/>
      </c>
    </row>
    <row r="4911" customFormat="false" ht="15" hidden="false" customHeight="false" outlineLevel="0" collapsed="false">
      <c r="C4911" s="41" t="str">
        <f aca="false">IF(A4911="","",TEXT(A4911,"mmm-yyyy"))</f>
        <v/>
      </c>
      <c r="I4911" s="47" t="str">
        <f aca="false">IF(G4911="","",G4911+H4911)</f>
        <v/>
      </c>
    </row>
    <row r="4912" customFormat="false" ht="15" hidden="false" customHeight="false" outlineLevel="0" collapsed="false">
      <c r="C4912" s="41" t="str">
        <f aca="false">IF(A4912="","",TEXT(A4912,"mmm-yyyy"))</f>
        <v/>
      </c>
      <c r="I4912" s="47" t="str">
        <f aca="false">IF(G4912="","",G4912+H4912)</f>
        <v/>
      </c>
    </row>
    <row r="4913" customFormat="false" ht="15" hidden="false" customHeight="false" outlineLevel="0" collapsed="false">
      <c r="C4913" s="41" t="str">
        <f aca="false">IF(A4913="","",TEXT(A4913,"mmm-yyyy"))</f>
        <v/>
      </c>
      <c r="I4913" s="47" t="str">
        <f aca="false">IF(G4913="","",G4913+H4913)</f>
        <v/>
      </c>
    </row>
    <row r="4914" customFormat="false" ht="15" hidden="false" customHeight="false" outlineLevel="0" collapsed="false">
      <c r="C4914" s="41" t="str">
        <f aca="false">IF(A4914="","",TEXT(A4914,"mmm-yyyy"))</f>
        <v/>
      </c>
      <c r="I4914" s="47" t="str">
        <f aca="false">IF(G4914="","",G4914+H4914)</f>
        <v/>
      </c>
    </row>
    <row r="4915" customFormat="false" ht="15" hidden="false" customHeight="false" outlineLevel="0" collapsed="false">
      <c r="C4915" s="41" t="str">
        <f aca="false">IF(A4915="","",TEXT(A4915,"mmm-yyyy"))</f>
        <v/>
      </c>
      <c r="I4915" s="47" t="str">
        <f aca="false">IF(G4915="","",G4915+H4915)</f>
        <v/>
      </c>
    </row>
    <row r="4916" customFormat="false" ht="15" hidden="false" customHeight="false" outlineLevel="0" collapsed="false">
      <c r="C4916" s="41" t="str">
        <f aca="false">IF(A4916="","",TEXT(A4916,"mmm-yyyy"))</f>
        <v/>
      </c>
      <c r="I4916" s="47" t="str">
        <f aca="false">IF(G4916="","",G4916+H4916)</f>
        <v/>
      </c>
    </row>
    <row r="4917" customFormat="false" ht="15" hidden="false" customHeight="false" outlineLevel="0" collapsed="false">
      <c r="C4917" s="41" t="str">
        <f aca="false">IF(A4917="","",TEXT(A4917,"mmm-yyyy"))</f>
        <v/>
      </c>
      <c r="I4917" s="47" t="str">
        <f aca="false">IF(G4917="","",G4917+H4917)</f>
        <v/>
      </c>
    </row>
    <row r="4918" customFormat="false" ht="15" hidden="false" customHeight="false" outlineLevel="0" collapsed="false">
      <c r="C4918" s="41" t="str">
        <f aca="false">IF(A4918="","",TEXT(A4918,"mmm-yyyy"))</f>
        <v/>
      </c>
      <c r="I4918" s="47" t="str">
        <f aca="false">IF(G4918="","",G4918+H4918)</f>
        <v/>
      </c>
    </row>
    <row r="4919" customFormat="false" ht="15" hidden="false" customHeight="false" outlineLevel="0" collapsed="false">
      <c r="C4919" s="41" t="str">
        <f aca="false">IF(A4919="","",TEXT(A4919,"mmm-yyyy"))</f>
        <v/>
      </c>
      <c r="I4919" s="47" t="str">
        <f aca="false">IF(G4919="","",G4919+H4919)</f>
        <v/>
      </c>
    </row>
    <row r="4920" customFormat="false" ht="15" hidden="false" customHeight="false" outlineLevel="0" collapsed="false">
      <c r="C4920" s="41" t="str">
        <f aca="false">IF(A4920="","",TEXT(A4920,"mmm-yyyy"))</f>
        <v/>
      </c>
      <c r="I4920" s="47" t="str">
        <f aca="false">IF(G4920="","",G4920+H4920)</f>
        <v/>
      </c>
    </row>
    <row r="4921" customFormat="false" ht="15" hidden="false" customHeight="false" outlineLevel="0" collapsed="false">
      <c r="C4921" s="41" t="str">
        <f aca="false">IF(A4921="","",TEXT(A4921,"mmm-yyyy"))</f>
        <v/>
      </c>
      <c r="I4921" s="47" t="str">
        <f aca="false">IF(G4921="","",G4921+H4921)</f>
        <v/>
      </c>
    </row>
    <row r="4922" customFormat="false" ht="15" hidden="false" customHeight="false" outlineLevel="0" collapsed="false">
      <c r="C4922" s="41" t="str">
        <f aca="false">IF(A4922="","",TEXT(A4922,"mmm-yyyy"))</f>
        <v/>
      </c>
      <c r="I4922" s="47" t="str">
        <f aca="false">IF(G4922="","",G4922+H4922)</f>
        <v/>
      </c>
    </row>
    <row r="4923" customFormat="false" ht="15" hidden="false" customHeight="false" outlineLevel="0" collapsed="false">
      <c r="C4923" s="41" t="str">
        <f aca="false">IF(A4923="","",TEXT(A4923,"mmm-yyyy"))</f>
        <v/>
      </c>
      <c r="I4923" s="47" t="str">
        <f aca="false">IF(G4923="","",G4923+H4923)</f>
        <v/>
      </c>
    </row>
    <row r="4924" customFormat="false" ht="15" hidden="false" customHeight="false" outlineLevel="0" collapsed="false">
      <c r="C4924" s="41" t="str">
        <f aca="false">IF(A4924="","",TEXT(A4924,"mmm-yyyy"))</f>
        <v/>
      </c>
      <c r="I4924" s="47" t="str">
        <f aca="false">IF(G4924="","",G4924+H4924)</f>
        <v/>
      </c>
    </row>
    <row r="4925" customFormat="false" ht="15" hidden="false" customHeight="false" outlineLevel="0" collapsed="false">
      <c r="C4925" s="41" t="str">
        <f aca="false">IF(A4925="","",TEXT(A4925,"mmm-yyyy"))</f>
        <v/>
      </c>
      <c r="I4925" s="47" t="str">
        <f aca="false">IF(G4925="","",G4925+H4925)</f>
        <v/>
      </c>
    </row>
    <row r="4926" customFormat="false" ht="15" hidden="false" customHeight="false" outlineLevel="0" collapsed="false">
      <c r="C4926" s="41" t="str">
        <f aca="false">IF(A4926="","",TEXT(A4926,"mmm-yyyy"))</f>
        <v/>
      </c>
      <c r="I4926" s="47" t="str">
        <f aca="false">IF(G4926="","",G4926+H4926)</f>
        <v/>
      </c>
    </row>
    <row r="4927" customFormat="false" ht="15" hidden="false" customHeight="false" outlineLevel="0" collapsed="false">
      <c r="C4927" s="41" t="str">
        <f aca="false">IF(A4927="","",TEXT(A4927,"mmm-yyyy"))</f>
        <v/>
      </c>
      <c r="I4927" s="47" t="str">
        <f aca="false">IF(G4927="","",G4927+H4927)</f>
        <v/>
      </c>
    </row>
    <row r="4928" customFormat="false" ht="15" hidden="false" customHeight="false" outlineLevel="0" collapsed="false">
      <c r="C4928" s="41" t="str">
        <f aca="false">IF(A4928="","",TEXT(A4928,"mmm-yyyy"))</f>
        <v/>
      </c>
      <c r="I4928" s="47" t="str">
        <f aca="false">IF(G4928="","",G4928+H4928)</f>
        <v/>
      </c>
    </row>
    <row r="4929" customFormat="false" ht="15" hidden="false" customHeight="false" outlineLevel="0" collapsed="false">
      <c r="C4929" s="41" t="str">
        <f aca="false">IF(A4929="","",TEXT(A4929,"mmm-yyyy"))</f>
        <v/>
      </c>
      <c r="I4929" s="47" t="str">
        <f aca="false">IF(G4929="","",G4929+H4929)</f>
        <v/>
      </c>
    </row>
    <row r="4930" customFormat="false" ht="15" hidden="false" customHeight="false" outlineLevel="0" collapsed="false">
      <c r="C4930" s="41" t="str">
        <f aca="false">IF(A4930="","",TEXT(A4930,"mmm-yyyy"))</f>
        <v/>
      </c>
      <c r="I4930" s="47" t="str">
        <f aca="false">IF(G4930="","",G4930+H4930)</f>
        <v/>
      </c>
    </row>
    <row r="4931" customFormat="false" ht="15" hidden="false" customHeight="false" outlineLevel="0" collapsed="false">
      <c r="C4931" s="41" t="str">
        <f aca="false">IF(A4931="","",TEXT(A4931,"mmm-yyyy"))</f>
        <v/>
      </c>
      <c r="I4931" s="47" t="str">
        <f aca="false">IF(G4931="","",G4931+H4931)</f>
        <v/>
      </c>
    </row>
    <row r="4932" customFormat="false" ht="15" hidden="false" customHeight="false" outlineLevel="0" collapsed="false">
      <c r="C4932" s="41" t="str">
        <f aca="false">IF(A4932="","",TEXT(A4932,"mmm-yyyy"))</f>
        <v/>
      </c>
      <c r="I4932" s="47" t="str">
        <f aca="false">IF(G4932="","",G4932+H4932)</f>
        <v/>
      </c>
    </row>
    <row r="4933" customFormat="false" ht="15" hidden="false" customHeight="false" outlineLevel="0" collapsed="false">
      <c r="C4933" s="41" t="str">
        <f aca="false">IF(A4933="","",TEXT(A4933,"mmm-yyyy"))</f>
        <v/>
      </c>
      <c r="I4933" s="47" t="str">
        <f aca="false">IF(G4933="","",G4933+H4933)</f>
        <v/>
      </c>
    </row>
    <row r="4934" customFormat="false" ht="15" hidden="false" customHeight="false" outlineLevel="0" collapsed="false">
      <c r="C4934" s="41" t="str">
        <f aca="false">IF(A4934="","",TEXT(A4934,"mmm-yyyy"))</f>
        <v/>
      </c>
      <c r="I4934" s="47" t="str">
        <f aca="false">IF(G4934="","",G4934+H4934)</f>
        <v/>
      </c>
    </row>
    <row r="4935" customFormat="false" ht="15" hidden="false" customHeight="false" outlineLevel="0" collapsed="false">
      <c r="C4935" s="41" t="str">
        <f aca="false">IF(A4935="","",TEXT(A4935,"mmm-yyyy"))</f>
        <v/>
      </c>
      <c r="I4935" s="47" t="str">
        <f aca="false">IF(G4935="","",G4935+H4935)</f>
        <v/>
      </c>
    </row>
    <row r="4936" customFormat="false" ht="15" hidden="false" customHeight="false" outlineLevel="0" collapsed="false">
      <c r="C4936" s="41" t="str">
        <f aca="false">IF(A4936="","",TEXT(A4936,"mmm-yyyy"))</f>
        <v/>
      </c>
      <c r="I4936" s="47" t="str">
        <f aca="false">IF(G4936="","",G4936+H4936)</f>
        <v/>
      </c>
    </row>
    <row r="4937" customFormat="false" ht="15" hidden="false" customHeight="false" outlineLevel="0" collapsed="false">
      <c r="C4937" s="41" t="str">
        <f aca="false">IF(A4937="","",TEXT(A4937,"mmm-yyyy"))</f>
        <v/>
      </c>
      <c r="I4937" s="47" t="str">
        <f aca="false">IF(G4937="","",G4937+H4937)</f>
        <v/>
      </c>
    </row>
    <row r="4938" customFormat="false" ht="15" hidden="false" customHeight="false" outlineLevel="0" collapsed="false">
      <c r="C4938" s="41" t="str">
        <f aca="false">IF(A4938="","",TEXT(A4938,"mmm-yyyy"))</f>
        <v/>
      </c>
      <c r="I4938" s="47" t="str">
        <f aca="false">IF(G4938="","",G4938+H4938)</f>
        <v/>
      </c>
    </row>
    <row r="4939" customFormat="false" ht="15" hidden="false" customHeight="false" outlineLevel="0" collapsed="false">
      <c r="C4939" s="41" t="str">
        <f aca="false">IF(A4939="","",TEXT(A4939,"mmm-yyyy"))</f>
        <v/>
      </c>
      <c r="I4939" s="47" t="str">
        <f aca="false">IF(G4939="","",G4939+H4939)</f>
        <v/>
      </c>
    </row>
    <row r="4940" customFormat="false" ht="15" hidden="false" customHeight="false" outlineLevel="0" collapsed="false">
      <c r="C4940" s="41" t="str">
        <f aca="false">IF(A4940="","",TEXT(A4940,"mmm-yyyy"))</f>
        <v/>
      </c>
      <c r="I4940" s="47" t="str">
        <f aca="false">IF(G4940="","",G4940+H4940)</f>
        <v/>
      </c>
    </row>
    <row r="4941" customFormat="false" ht="15" hidden="false" customHeight="false" outlineLevel="0" collapsed="false">
      <c r="C4941" s="41" t="str">
        <f aca="false">IF(A4941="","",TEXT(A4941,"mmm-yyyy"))</f>
        <v/>
      </c>
      <c r="I4941" s="47" t="str">
        <f aca="false">IF(G4941="","",G4941+H4941)</f>
        <v/>
      </c>
    </row>
    <row r="4942" customFormat="false" ht="15" hidden="false" customHeight="false" outlineLevel="0" collapsed="false">
      <c r="C4942" s="41" t="str">
        <f aca="false">IF(A4942="","",TEXT(A4942,"mmm-yyyy"))</f>
        <v/>
      </c>
      <c r="I4942" s="47" t="str">
        <f aca="false">IF(G4942="","",G4942+H4942)</f>
        <v/>
      </c>
    </row>
    <row r="4943" customFormat="false" ht="15" hidden="false" customHeight="false" outlineLevel="0" collapsed="false">
      <c r="C4943" s="41" t="str">
        <f aca="false">IF(A4943="","",TEXT(A4943,"mmm-yyyy"))</f>
        <v/>
      </c>
      <c r="I4943" s="47" t="str">
        <f aca="false">IF(G4943="","",G4943+H4943)</f>
        <v/>
      </c>
    </row>
    <row r="4944" customFormat="false" ht="15" hidden="false" customHeight="false" outlineLevel="0" collapsed="false">
      <c r="C4944" s="41" t="str">
        <f aca="false">IF(A4944="","",TEXT(A4944,"mmm-yyyy"))</f>
        <v/>
      </c>
      <c r="I4944" s="47" t="str">
        <f aca="false">IF(G4944="","",G4944+H4944)</f>
        <v/>
      </c>
    </row>
    <row r="4945" customFormat="false" ht="15" hidden="false" customHeight="false" outlineLevel="0" collapsed="false">
      <c r="C4945" s="41" t="str">
        <f aca="false">IF(A4945="","",TEXT(A4945,"mmm-yyyy"))</f>
        <v/>
      </c>
      <c r="I4945" s="47" t="str">
        <f aca="false">IF(G4945="","",G4945+H4945)</f>
        <v/>
      </c>
    </row>
    <row r="4946" customFormat="false" ht="15" hidden="false" customHeight="false" outlineLevel="0" collapsed="false">
      <c r="C4946" s="41" t="str">
        <f aca="false">IF(A4946="","",TEXT(A4946,"mmm-yyyy"))</f>
        <v/>
      </c>
      <c r="I4946" s="47" t="str">
        <f aca="false">IF(G4946="","",G4946+H4946)</f>
        <v/>
      </c>
    </row>
    <row r="4947" customFormat="false" ht="15" hidden="false" customHeight="false" outlineLevel="0" collapsed="false">
      <c r="C4947" s="41" t="str">
        <f aca="false">IF(A4947="","",TEXT(A4947,"mmm-yyyy"))</f>
        <v/>
      </c>
      <c r="I4947" s="47" t="str">
        <f aca="false">IF(G4947="","",G4947+H4947)</f>
        <v/>
      </c>
    </row>
    <row r="4948" customFormat="false" ht="15" hidden="false" customHeight="false" outlineLevel="0" collapsed="false">
      <c r="C4948" s="41" t="str">
        <f aca="false">IF(A4948="","",TEXT(A4948,"mmm-yyyy"))</f>
        <v/>
      </c>
      <c r="I4948" s="47" t="str">
        <f aca="false">IF(G4948="","",G4948+H4948)</f>
        <v/>
      </c>
    </row>
    <row r="4949" customFormat="false" ht="15" hidden="false" customHeight="false" outlineLevel="0" collapsed="false">
      <c r="C4949" s="41" t="str">
        <f aca="false">IF(A4949="","",TEXT(A4949,"mmm-yyyy"))</f>
        <v/>
      </c>
      <c r="I4949" s="47" t="str">
        <f aca="false">IF(G4949="","",G4949+H4949)</f>
        <v/>
      </c>
    </row>
    <row r="4950" customFormat="false" ht="15" hidden="false" customHeight="false" outlineLevel="0" collapsed="false">
      <c r="C4950" s="41" t="str">
        <f aca="false">IF(A4950="","",TEXT(A4950,"mmm-yyyy"))</f>
        <v/>
      </c>
      <c r="I4950" s="47" t="str">
        <f aca="false">IF(G4950="","",G4950+H4950)</f>
        <v/>
      </c>
    </row>
    <row r="4951" customFormat="false" ht="15" hidden="false" customHeight="false" outlineLevel="0" collapsed="false">
      <c r="C4951" s="41" t="str">
        <f aca="false">IF(A4951="","",TEXT(A4951,"mmm-yyyy"))</f>
        <v/>
      </c>
      <c r="I4951" s="47" t="str">
        <f aca="false">IF(G4951="","",G4951+H4951)</f>
        <v/>
      </c>
    </row>
    <row r="4952" customFormat="false" ht="15" hidden="false" customHeight="false" outlineLevel="0" collapsed="false">
      <c r="C4952" s="41" t="str">
        <f aca="false">IF(A4952="","",TEXT(A4952,"mmm-yyyy"))</f>
        <v/>
      </c>
      <c r="I4952" s="47" t="str">
        <f aca="false">IF(G4952="","",G4952+H4952)</f>
        <v/>
      </c>
    </row>
    <row r="4953" customFormat="false" ht="15" hidden="false" customHeight="false" outlineLevel="0" collapsed="false">
      <c r="C4953" s="41" t="str">
        <f aca="false">IF(A4953="","",TEXT(A4953,"mmm-yyyy"))</f>
        <v/>
      </c>
      <c r="I4953" s="47" t="str">
        <f aca="false">IF(G4953="","",G4953+H4953)</f>
        <v/>
      </c>
    </row>
    <row r="4954" customFormat="false" ht="15" hidden="false" customHeight="false" outlineLevel="0" collapsed="false">
      <c r="C4954" s="41" t="str">
        <f aca="false">IF(A4954="","",TEXT(A4954,"mmm-yyyy"))</f>
        <v/>
      </c>
      <c r="I4954" s="47" t="str">
        <f aca="false">IF(G4954="","",G4954+H4954)</f>
        <v/>
      </c>
    </row>
    <row r="4955" customFormat="false" ht="15" hidden="false" customHeight="false" outlineLevel="0" collapsed="false">
      <c r="C4955" s="41" t="str">
        <f aca="false">IF(A4955="","",TEXT(A4955,"mmm-yyyy"))</f>
        <v/>
      </c>
      <c r="I4955" s="47" t="str">
        <f aca="false">IF(G4955="","",G4955+H4955)</f>
        <v/>
      </c>
    </row>
    <row r="4956" customFormat="false" ht="15" hidden="false" customHeight="false" outlineLevel="0" collapsed="false">
      <c r="C4956" s="41" t="str">
        <f aca="false">IF(A4956="","",TEXT(A4956,"mmm-yyyy"))</f>
        <v/>
      </c>
      <c r="I4956" s="47" t="str">
        <f aca="false">IF(G4956="","",G4956+H4956)</f>
        <v/>
      </c>
    </row>
    <row r="4957" customFormat="false" ht="15" hidden="false" customHeight="false" outlineLevel="0" collapsed="false">
      <c r="C4957" s="41" t="str">
        <f aca="false">IF(A4957="","",TEXT(A4957,"mmm-yyyy"))</f>
        <v/>
      </c>
      <c r="I4957" s="47" t="str">
        <f aca="false">IF(G4957="","",G4957+H4957)</f>
        <v/>
      </c>
    </row>
    <row r="4958" customFormat="false" ht="15" hidden="false" customHeight="false" outlineLevel="0" collapsed="false">
      <c r="C4958" s="41" t="str">
        <f aca="false">IF(A4958="","",TEXT(A4958,"mmm-yyyy"))</f>
        <v/>
      </c>
      <c r="I4958" s="47" t="str">
        <f aca="false">IF(G4958="","",G4958+H4958)</f>
        <v/>
      </c>
    </row>
    <row r="4959" customFormat="false" ht="15" hidden="false" customHeight="false" outlineLevel="0" collapsed="false">
      <c r="C4959" s="41" t="str">
        <f aca="false">IF(A4959="","",TEXT(A4959,"mmm-yyyy"))</f>
        <v/>
      </c>
      <c r="I4959" s="47" t="str">
        <f aca="false">IF(G4959="","",G4959+H4959)</f>
        <v/>
      </c>
    </row>
    <row r="4960" customFormat="false" ht="15" hidden="false" customHeight="false" outlineLevel="0" collapsed="false">
      <c r="C4960" s="41" t="str">
        <f aca="false">IF(A4960="","",TEXT(A4960,"mmm-yyyy"))</f>
        <v/>
      </c>
      <c r="I4960" s="47" t="str">
        <f aca="false">IF(G4960="","",G4960+H4960)</f>
        <v/>
      </c>
    </row>
    <row r="4961" customFormat="false" ht="15" hidden="false" customHeight="false" outlineLevel="0" collapsed="false">
      <c r="C4961" s="41" t="str">
        <f aca="false">IF(A4961="","",TEXT(A4961,"mmm-yyyy"))</f>
        <v/>
      </c>
      <c r="I4961" s="47" t="str">
        <f aca="false">IF(G4961="","",G4961+H4961)</f>
        <v/>
      </c>
    </row>
    <row r="4962" customFormat="false" ht="15" hidden="false" customHeight="false" outlineLevel="0" collapsed="false">
      <c r="C4962" s="41" t="str">
        <f aca="false">IF(A4962="","",TEXT(A4962,"mmm-yyyy"))</f>
        <v/>
      </c>
      <c r="I4962" s="47" t="str">
        <f aca="false">IF(G4962="","",G4962+H4962)</f>
        <v/>
      </c>
    </row>
    <row r="4963" customFormat="false" ht="15" hidden="false" customHeight="false" outlineLevel="0" collapsed="false">
      <c r="C4963" s="41" t="str">
        <f aca="false">IF(A4963="","",TEXT(A4963,"mmm-yyyy"))</f>
        <v/>
      </c>
      <c r="I4963" s="47" t="str">
        <f aca="false">IF(G4963="","",G4963+H4963)</f>
        <v/>
      </c>
    </row>
    <row r="4964" customFormat="false" ht="15" hidden="false" customHeight="false" outlineLevel="0" collapsed="false">
      <c r="C4964" s="41" t="str">
        <f aca="false">IF(A4964="","",TEXT(A4964,"mmm-yyyy"))</f>
        <v/>
      </c>
      <c r="I4964" s="47" t="str">
        <f aca="false">IF(G4964="","",G4964+H4964)</f>
        <v/>
      </c>
    </row>
    <row r="4965" customFormat="false" ht="15" hidden="false" customHeight="false" outlineLevel="0" collapsed="false">
      <c r="C4965" s="41" t="str">
        <f aca="false">IF(A4965="","",TEXT(A4965,"mmm-yyyy"))</f>
        <v/>
      </c>
      <c r="I4965" s="47" t="str">
        <f aca="false">IF(G4965="","",G4965+H4965)</f>
        <v/>
      </c>
    </row>
    <row r="4966" customFormat="false" ht="15" hidden="false" customHeight="false" outlineLevel="0" collapsed="false">
      <c r="C4966" s="41" t="str">
        <f aca="false">IF(A4966="","",TEXT(A4966,"mmm-yyyy"))</f>
        <v/>
      </c>
      <c r="I4966" s="47" t="str">
        <f aca="false">IF(G4966="","",G4966+H4966)</f>
        <v/>
      </c>
    </row>
    <row r="4967" customFormat="false" ht="15" hidden="false" customHeight="false" outlineLevel="0" collapsed="false">
      <c r="C4967" s="41" t="str">
        <f aca="false">IF(A4967="","",TEXT(A4967,"mmm-yyyy"))</f>
        <v/>
      </c>
      <c r="I4967" s="47" t="str">
        <f aca="false">IF(G4967="","",G4967+H4967)</f>
        <v/>
      </c>
    </row>
    <row r="4968" customFormat="false" ht="15" hidden="false" customHeight="false" outlineLevel="0" collapsed="false">
      <c r="C4968" s="41" t="str">
        <f aca="false">IF(A4968="","",TEXT(A4968,"mmm-yyyy"))</f>
        <v/>
      </c>
      <c r="I4968" s="47" t="str">
        <f aca="false">IF(G4968="","",G4968+H4968)</f>
        <v/>
      </c>
    </row>
    <row r="4969" customFormat="false" ht="15" hidden="false" customHeight="false" outlineLevel="0" collapsed="false">
      <c r="C4969" s="41" t="str">
        <f aca="false">IF(A4969="","",TEXT(A4969,"mmm-yyyy"))</f>
        <v/>
      </c>
      <c r="I4969" s="47" t="str">
        <f aca="false">IF(G4969="","",G4969+H4969)</f>
        <v/>
      </c>
    </row>
    <row r="4970" customFormat="false" ht="15" hidden="false" customHeight="false" outlineLevel="0" collapsed="false">
      <c r="C4970" s="41" t="str">
        <f aca="false">IF(A4970="","",TEXT(A4970,"mmm-yyyy"))</f>
        <v/>
      </c>
      <c r="I4970" s="47" t="str">
        <f aca="false">IF(G4970="","",G4970+H4970)</f>
        <v/>
      </c>
    </row>
    <row r="4971" customFormat="false" ht="15" hidden="false" customHeight="false" outlineLevel="0" collapsed="false">
      <c r="C4971" s="41" t="str">
        <f aca="false">IF(A4971="","",TEXT(A4971,"mmm-yyyy"))</f>
        <v/>
      </c>
      <c r="I4971" s="47" t="str">
        <f aca="false">IF(G4971="","",G4971+H4971)</f>
        <v/>
      </c>
    </row>
    <row r="4972" customFormat="false" ht="15" hidden="false" customHeight="false" outlineLevel="0" collapsed="false">
      <c r="C4972" s="41" t="str">
        <f aca="false">IF(A4972="","",TEXT(A4972,"mmm-yyyy"))</f>
        <v/>
      </c>
      <c r="I4972" s="47" t="str">
        <f aca="false">IF(G4972="","",G4972+H4972)</f>
        <v/>
      </c>
    </row>
    <row r="4973" customFormat="false" ht="15" hidden="false" customHeight="false" outlineLevel="0" collapsed="false">
      <c r="C4973" s="41" t="str">
        <f aca="false">IF(A4973="","",TEXT(A4973,"mmm-yyyy"))</f>
        <v/>
      </c>
      <c r="I4973" s="47" t="str">
        <f aca="false">IF(G4973="","",G4973+H4973)</f>
        <v/>
      </c>
    </row>
    <row r="4974" customFormat="false" ht="15" hidden="false" customHeight="false" outlineLevel="0" collapsed="false">
      <c r="C4974" s="41" t="str">
        <f aca="false">IF(A4974="","",TEXT(A4974,"mmm-yyyy"))</f>
        <v/>
      </c>
      <c r="I4974" s="47" t="str">
        <f aca="false">IF(G4974="","",G4974+H4974)</f>
        <v/>
      </c>
    </row>
    <row r="4975" customFormat="false" ht="15" hidden="false" customHeight="false" outlineLevel="0" collapsed="false">
      <c r="C4975" s="41" t="str">
        <f aca="false">IF(A4975="","",TEXT(A4975,"mmm-yyyy"))</f>
        <v/>
      </c>
      <c r="I4975" s="47" t="str">
        <f aca="false">IF(G4975="","",G4975+H4975)</f>
        <v/>
      </c>
    </row>
    <row r="4976" customFormat="false" ht="15" hidden="false" customHeight="false" outlineLevel="0" collapsed="false">
      <c r="C4976" s="41" t="str">
        <f aca="false">IF(A4976="","",TEXT(A4976,"mmm-yyyy"))</f>
        <v/>
      </c>
      <c r="I4976" s="47" t="str">
        <f aca="false">IF(G4976="","",G4976+H4976)</f>
        <v/>
      </c>
    </row>
    <row r="4977" customFormat="false" ht="15" hidden="false" customHeight="false" outlineLevel="0" collapsed="false">
      <c r="C4977" s="41" t="str">
        <f aca="false">IF(A4977="","",TEXT(A4977,"mmm-yyyy"))</f>
        <v/>
      </c>
      <c r="I4977" s="47" t="str">
        <f aca="false">IF(G4977="","",G4977+H4977)</f>
        <v/>
      </c>
    </row>
    <row r="4978" customFormat="false" ht="15" hidden="false" customHeight="false" outlineLevel="0" collapsed="false">
      <c r="C4978" s="41" t="str">
        <f aca="false">IF(A4978="","",TEXT(A4978,"mmm-yyyy"))</f>
        <v/>
      </c>
      <c r="I4978" s="47" t="str">
        <f aca="false">IF(G4978="","",G4978+H4978)</f>
        <v/>
      </c>
    </row>
    <row r="4979" customFormat="false" ht="15" hidden="false" customHeight="false" outlineLevel="0" collapsed="false">
      <c r="C4979" s="41" t="str">
        <f aca="false">IF(A4979="","",TEXT(A4979,"mmm-yyyy"))</f>
        <v/>
      </c>
      <c r="I4979" s="47" t="str">
        <f aca="false">IF(G4979="","",G4979+H4979)</f>
        <v/>
      </c>
    </row>
    <row r="4980" customFormat="false" ht="15" hidden="false" customHeight="false" outlineLevel="0" collapsed="false">
      <c r="C4980" s="41" t="str">
        <f aca="false">IF(A4980="","",TEXT(A4980,"mmm-yyyy"))</f>
        <v/>
      </c>
      <c r="I4980" s="47" t="str">
        <f aca="false">IF(G4980="","",G4980+H4980)</f>
        <v/>
      </c>
    </row>
    <row r="4981" customFormat="false" ht="15" hidden="false" customHeight="false" outlineLevel="0" collapsed="false">
      <c r="C4981" s="41" t="str">
        <f aca="false">IF(A4981="","",TEXT(A4981,"mmm-yyyy"))</f>
        <v/>
      </c>
      <c r="I4981" s="47" t="str">
        <f aca="false">IF(G4981="","",G4981+H4981)</f>
        <v/>
      </c>
    </row>
    <row r="4982" customFormat="false" ht="15" hidden="false" customHeight="false" outlineLevel="0" collapsed="false">
      <c r="C4982" s="41" t="str">
        <f aca="false">IF(A4982="","",TEXT(A4982,"mmm-yyyy"))</f>
        <v/>
      </c>
      <c r="I4982" s="47" t="str">
        <f aca="false">IF(G4982="","",G4982+H4982)</f>
        <v/>
      </c>
    </row>
    <row r="4983" customFormat="false" ht="15" hidden="false" customHeight="false" outlineLevel="0" collapsed="false">
      <c r="C4983" s="41" t="str">
        <f aca="false">IF(A4983="","",TEXT(A4983,"mmm-yyyy"))</f>
        <v/>
      </c>
      <c r="I4983" s="47" t="str">
        <f aca="false">IF(G4983="","",G4983+H4983)</f>
        <v/>
      </c>
    </row>
    <row r="4984" customFormat="false" ht="15" hidden="false" customHeight="false" outlineLevel="0" collapsed="false">
      <c r="C4984" s="41" t="str">
        <f aca="false">IF(A4984="","",TEXT(A4984,"mmm-yyyy"))</f>
        <v/>
      </c>
      <c r="I4984" s="47" t="str">
        <f aca="false">IF(G4984="","",G4984+H4984)</f>
        <v/>
      </c>
    </row>
    <row r="4985" customFormat="false" ht="15" hidden="false" customHeight="false" outlineLevel="0" collapsed="false">
      <c r="C4985" s="41" t="str">
        <f aca="false">IF(A4985="","",TEXT(A4985,"mmm-yyyy"))</f>
        <v/>
      </c>
      <c r="I4985" s="47" t="str">
        <f aca="false">IF(G4985="","",G4985+H4985)</f>
        <v/>
      </c>
    </row>
    <row r="4986" customFormat="false" ht="15" hidden="false" customHeight="false" outlineLevel="0" collapsed="false">
      <c r="C4986" s="41" t="str">
        <f aca="false">IF(A4986="","",TEXT(A4986,"mmm-yyyy"))</f>
        <v/>
      </c>
      <c r="I4986" s="47" t="str">
        <f aca="false">IF(G4986="","",G4986+H4986)</f>
        <v/>
      </c>
    </row>
    <row r="4987" customFormat="false" ht="15" hidden="false" customHeight="false" outlineLevel="0" collapsed="false">
      <c r="C4987" s="41" t="str">
        <f aca="false">IF(A4987="","",TEXT(A4987,"mmm-yyyy"))</f>
        <v/>
      </c>
      <c r="I4987" s="47" t="str">
        <f aca="false">IF(G4987="","",G4987+H4987)</f>
        <v/>
      </c>
    </row>
    <row r="4988" customFormat="false" ht="15" hidden="false" customHeight="false" outlineLevel="0" collapsed="false">
      <c r="C4988" s="41" t="str">
        <f aca="false">IF(A4988="","",TEXT(A4988,"mmm-yyyy"))</f>
        <v/>
      </c>
      <c r="I4988" s="47" t="str">
        <f aca="false">IF(G4988="","",G4988+H4988)</f>
        <v/>
      </c>
    </row>
    <row r="4989" customFormat="false" ht="15" hidden="false" customHeight="false" outlineLevel="0" collapsed="false">
      <c r="C4989" s="41" t="str">
        <f aca="false">IF(A4989="","",TEXT(A4989,"mmm-yyyy"))</f>
        <v/>
      </c>
      <c r="I4989" s="47" t="str">
        <f aca="false">IF(G4989="","",G4989+H4989)</f>
        <v/>
      </c>
    </row>
    <row r="4990" customFormat="false" ht="15" hidden="false" customHeight="false" outlineLevel="0" collapsed="false">
      <c r="C4990" s="41" t="str">
        <f aca="false">IF(A4990="","",TEXT(A4990,"mmm-yyyy"))</f>
        <v/>
      </c>
      <c r="I4990" s="47" t="str">
        <f aca="false">IF(G4990="","",G4990+H4990)</f>
        <v/>
      </c>
    </row>
    <row r="4991" customFormat="false" ht="15" hidden="false" customHeight="false" outlineLevel="0" collapsed="false">
      <c r="C4991" s="41" t="str">
        <f aca="false">IF(A4991="","",TEXT(A4991,"mmm-yyyy"))</f>
        <v/>
      </c>
      <c r="I4991" s="47" t="str">
        <f aca="false">IF(G4991="","",G4991+H4991)</f>
        <v/>
      </c>
    </row>
    <row r="4992" customFormat="false" ht="15" hidden="false" customHeight="false" outlineLevel="0" collapsed="false">
      <c r="C4992" s="41" t="str">
        <f aca="false">IF(A4992="","",TEXT(A4992,"mmm-yyyy"))</f>
        <v/>
      </c>
      <c r="I4992" s="47" t="str">
        <f aca="false">IF(G4992="","",G4992+H4992)</f>
        <v/>
      </c>
    </row>
    <row r="4993" customFormat="false" ht="15" hidden="false" customHeight="false" outlineLevel="0" collapsed="false">
      <c r="C4993" s="41" t="str">
        <f aca="false">IF(A4993="","",TEXT(A4993,"mmm-yyyy"))</f>
        <v/>
      </c>
      <c r="I4993" s="47" t="str">
        <f aca="false">IF(G4993="","",G4993+H4993)</f>
        <v/>
      </c>
    </row>
    <row r="4994" customFormat="false" ht="15" hidden="false" customHeight="false" outlineLevel="0" collapsed="false">
      <c r="C4994" s="41" t="str">
        <f aca="false">IF(A4994="","",TEXT(A4994,"mmm-yyyy"))</f>
        <v/>
      </c>
      <c r="I4994" s="47" t="str">
        <f aca="false">IF(G4994="","",G4994+H4994)</f>
        <v/>
      </c>
    </row>
    <row r="4995" customFormat="false" ht="15" hidden="false" customHeight="false" outlineLevel="0" collapsed="false">
      <c r="C4995" s="41" t="str">
        <f aca="false">IF(A4995="","",TEXT(A4995,"mmm-yyyy"))</f>
        <v/>
      </c>
      <c r="I4995" s="47" t="str">
        <f aca="false">IF(G4995="","",G4995+H4995)</f>
        <v/>
      </c>
    </row>
    <row r="4996" customFormat="false" ht="15" hidden="false" customHeight="false" outlineLevel="0" collapsed="false">
      <c r="C4996" s="41" t="str">
        <f aca="false">IF(A4996="","",TEXT(A4996,"mmm-yyyy"))</f>
        <v/>
      </c>
      <c r="I4996" s="47" t="str">
        <f aca="false">IF(G4996="","",G4996+H4996)</f>
        <v/>
      </c>
    </row>
    <row r="4997" customFormat="false" ht="15" hidden="false" customHeight="false" outlineLevel="0" collapsed="false">
      <c r="C4997" s="41" t="str">
        <f aca="false">IF(A4997="","",TEXT(A4997,"mmm-yyyy"))</f>
        <v/>
      </c>
      <c r="I4997" s="47" t="str">
        <f aca="false">IF(G4997="","",G4997+H4997)</f>
        <v/>
      </c>
    </row>
    <row r="4998" customFormat="false" ht="15" hidden="false" customHeight="false" outlineLevel="0" collapsed="false">
      <c r="C4998" s="41" t="str">
        <f aca="false">IF(A4998="","",TEXT(A4998,"mmm-yyyy"))</f>
        <v/>
      </c>
      <c r="I4998" s="47" t="str">
        <f aca="false">IF(G4998="","",G4998+H4998)</f>
        <v/>
      </c>
    </row>
    <row r="4999" customFormat="false" ht="15" hidden="false" customHeight="false" outlineLevel="0" collapsed="false">
      <c r="C4999" s="41" t="str">
        <f aca="false">IF(A4999="","",TEXT(A4999,"mmm-yyyy"))</f>
        <v/>
      </c>
      <c r="I4999" s="47" t="str">
        <f aca="false">IF(G4999="","",G4999+H4999)</f>
        <v/>
      </c>
    </row>
    <row r="5000" customFormat="false" ht="15" hidden="false" customHeight="false" outlineLevel="0" collapsed="false">
      <c r="C5000" s="41" t="str">
        <f aca="false">IF(A5000="","",TEXT(A5000,"mmm-yyyy"))</f>
        <v/>
      </c>
      <c r="I5000" s="47" t="str">
        <f aca="false">IF(G5000="","",G5000+H5000)</f>
        <v/>
      </c>
    </row>
    <row r="5001" customFormat="false" ht="15" hidden="false" customHeight="false" outlineLevel="0" collapsed="false">
      <c r="C5001" s="41" t="str">
        <f aca="false">IF(A5001="","",TEXT(A5001,"mmm-yyyy"))</f>
        <v/>
      </c>
      <c r="I5001" s="47" t="str">
        <f aca="false">IF(G5001="","",G5001+H5001)</f>
        <v/>
      </c>
    </row>
    <row r="5002" customFormat="false" ht="15" hidden="false" customHeight="false" outlineLevel="0" collapsed="false">
      <c r="C5002" s="41" t="str">
        <f aca="false">IF(A5002="","",TEXT(A5002,"mmm-yyyy"))</f>
        <v/>
      </c>
      <c r="I5002" s="47" t="str">
        <f aca="false">IF(G5002="","",G5002+H5002)</f>
        <v/>
      </c>
    </row>
    <row r="5003" customFormat="false" ht="15" hidden="false" customHeight="false" outlineLevel="0" collapsed="false">
      <c r="C5003" s="41" t="str">
        <f aca="false">IF(A5003="","",TEXT(A5003,"mmm-yyyy"))</f>
        <v/>
      </c>
      <c r="I5003" s="47" t="str">
        <f aca="false">IF(G5003="","",G5003+H5003)</f>
        <v/>
      </c>
    </row>
    <row r="5010" customFormat="false" ht="15" hidden="false" customHeight="false" outlineLevel="0" collapsed="false">
      <c r="A5010" s="22" t="s">
        <v>301</v>
      </c>
    </row>
    <row r="5011" customFormat="false" ht="21.75" hidden="false" customHeight="true" outlineLevel="0" collapsed="false">
      <c r="A5011" s="53" t="s">
        <v>127</v>
      </c>
      <c r="B5011" s="53" t="s">
        <v>259</v>
      </c>
      <c r="C5011" s="53" t="s">
        <v>302</v>
      </c>
      <c r="D5011" s="53" t="s">
        <v>303</v>
      </c>
      <c r="E5011" s="53" t="s">
        <v>304</v>
      </c>
    </row>
    <row r="5012" customFormat="false" ht="15" hidden="false" customHeight="false" outlineLevel="0" collapsed="false">
      <c r="A5012" s="41" t="s">
        <v>168</v>
      </c>
      <c r="B5012" s="41" t="s">
        <v>305</v>
      </c>
      <c r="C5012" s="54" t="n">
        <f aca="false">SUMIFS($G$4:$G$5003,$D$4:$D$5003,$A5012,$C$4:$C$5003,$B5012)</f>
        <v>5722.86</v>
      </c>
      <c r="D5012" s="54" t="n">
        <f aca="false">SUMIFS($H$4:$H$5003,$D$4:$D$5003,$A5012,$C$4:$C$5003,$B5012)</f>
        <v>446.48</v>
      </c>
      <c r="E5012" s="55" t="n">
        <f aca="false">C5012+D5012</f>
        <v>6169.34</v>
      </c>
    </row>
    <row r="5013" customFormat="false" ht="15" hidden="false" customHeight="false" outlineLevel="0" collapsed="false">
      <c r="A5013" s="41" t="s">
        <v>144</v>
      </c>
      <c r="B5013" s="41" t="s">
        <v>305</v>
      </c>
      <c r="C5013" s="54" t="n">
        <f aca="false">SUMIFS($G$4:$G$5003,$D$4:$D$5003,$A5013,$C$4:$C$5003,$B5013)</f>
        <v>5925.92</v>
      </c>
      <c r="D5013" s="54" t="n">
        <f aca="false">SUMIFS($H$4:$H$5003,$D$4:$D$5003,$A5013,$C$4:$C$5003,$B5013)</f>
        <v>256.14</v>
      </c>
      <c r="E5013" s="55" t="n">
        <f aca="false">C5013+D5013</f>
        <v>6182.06</v>
      </c>
    </row>
    <row r="5014" customFormat="false" ht="15" hidden="false" customHeight="false" outlineLevel="0" collapsed="false">
      <c r="A5014" s="41" t="s">
        <v>150</v>
      </c>
      <c r="B5014" s="41" t="s">
        <v>305</v>
      </c>
      <c r="C5014" s="54" t="n">
        <f aca="false">SUMIFS($G$4:$G$5003,$D$4:$D$5003,$A5014,$C$4:$C$5003,$B5014)</f>
        <v>2428.04</v>
      </c>
      <c r="D5014" s="54" t="n">
        <f aca="false">SUMIFS($H$4:$H$5003,$D$4:$D$5003,$A5014,$C$4:$C$5003,$B5014)</f>
        <v>328.28</v>
      </c>
      <c r="E5014" s="55" t="n">
        <f aca="false">C5014+D5014</f>
        <v>2756.32</v>
      </c>
    </row>
    <row r="5015" customFormat="false" ht="15" hidden="false" customHeight="false" outlineLevel="0" collapsed="false">
      <c r="A5015" s="41" t="s">
        <v>152</v>
      </c>
      <c r="B5015" s="41" t="s">
        <v>305</v>
      </c>
      <c r="C5015" s="54" t="n">
        <f aca="false">SUMIFS($G$4:$G$5003,$D$4:$D$5003,$A5015,$C$4:$C$5003,$B5015)</f>
        <v>2568.24</v>
      </c>
      <c r="D5015" s="54" t="n">
        <f aca="false">SUMIFS($H$4:$H$5003,$D$4:$D$5003,$A5015,$C$4:$C$5003,$B5015)</f>
        <v>0</v>
      </c>
      <c r="E5015" s="55" t="n">
        <f aca="false">C5015+D5015</f>
        <v>2568.24</v>
      </c>
    </row>
    <row r="5016" customFormat="false" ht="15" hidden="false" customHeight="false" outlineLevel="0" collapsed="false">
      <c r="A5016" s="41" t="s">
        <v>178</v>
      </c>
      <c r="B5016" s="41" t="s">
        <v>305</v>
      </c>
      <c r="C5016" s="54" t="n">
        <f aca="false">SUMIFS($G$4:$G$5003,$D$4:$D$5003,$A5016,$C$4:$C$5003,$B5016)</f>
        <v>2501.04</v>
      </c>
      <c r="D5016" s="54" t="n">
        <f aca="false">SUMIFS($H$4:$H$5003,$D$4:$D$5003,$A5016,$C$4:$C$5003,$B5016)</f>
        <v>0</v>
      </c>
      <c r="E5016" s="55" t="n">
        <f aca="false">C5016+D5016</f>
        <v>2501.04</v>
      </c>
    </row>
    <row r="5017" customFormat="false" ht="15" hidden="false" customHeight="false" outlineLevel="0" collapsed="false">
      <c r="A5017" s="41" t="s">
        <v>156</v>
      </c>
      <c r="B5017" s="41" t="s">
        <v>305</v>
      </c>
      <c r="C5017" s="54" t="n">
        <f aca="false">SUMIFS($G$4:$G$5003,$D$4:$D$5003,$A5017,$C$4:$C$5003,$B5017)</f>
        <v>3384.71</v>
      </c>
      <c r="D5017" s="54" t="n">
        <f aca="false">SUMIFS($H$4:$H$5003,$D$4:$D$5003,$A5017,$C$4:$C$5003,$B5017)</f>
        <v>211.87</v>
      </c>
      <c r="E5017" s="55" t="n">
        <f aca="false">C5017+D5017</f>
        <v>3596.58</v>
      </c>
    </row>
    <row r="5018" customFormat="false" ht="15" hidden="false" customHeight="false" outlineLevel="0" collapsed="false">
      <c r="A5018" s="41" t="s">
        <v>168</v>
      </c>
      <c r="B5018" s="41" t="s">
        <v>306</v>
      </c>
      <c r="C5018" s="54" t="n">
        <f aca="false">SUMIFS($G$4:$G$5003,$D$4:$D$5003,$A5018,$C$4:$C$5003,$B5018)</f>
        <v>4473.5</v>
      </c>
      <c r="D5018" s="54" t="n">
        <f aca="false">SUMIFS($H$4:$H$5003,$D$4:$D$5003,$A5018,$C$4:$C$5003,$B5018)</f>
        <v>124.39</v>
      </c>
      <c r="E5018" s="55" t="n">
        <f aca="false">C5018+D5018</f>
        <v>4597.89</v>
      </c>
    </row>
    <row r="5019" customFormat="false" ht="15" hidden="false" customHeight="false" outlineLevel="0" collapsed="false">
      <c r="A5019" s="41" t="s">
        <v>144</v>
      </c>
      <c r="B5019" s="41" t="s">
        <v>306</v>
      </c>
      <c r="C5019" s="54" t="n">
        <f aca="false">SUMIFS($G$4:$G$5003,$D$4:$D$5003,$A5019,$C$4:$C$5003,$B5019)</f>
        <v>2079.39</v>
      </c>
      <c r="D5019" s="54" t="n">
        <f aca="false">SUMIFS($H$4:$H$5003,$D$4:$D$5003,$A5019,$C$4:$C$5003,$B5019)</f>
        <v>202.5</v>
      </c>
      <c r="E5019" s="55" t="n">
        <f aca="false">C5019+D5019</f>
        <v>2281.89</v>
      </c>
    </row>
    <row r="5020" customFormat="false" ht="15" hidden="false" customHeight="false" outlineLevel="0" collapsed="false">
      <c r="A5020" s="41" t="s">
        <v>150</v>
      </c>
      <c r="B5020" s="41" t="s">
        <v>306</v>
      </c>
      <c r="C5020" s="54" t="n">
        <f aca="false">SUMIFS($G$4:$G$5003,$D$4:$D$5003,$A5020,$C$4:$C$5003,$B5020)</f>
        <v>3575.87</v>
      </c>
      <c r="D5020" s="54" t="n">
        <f aca="false">SUMIFS($H$4:$H$5003,$D$4:$D$5003,$A5020,$C$4:$C$5003,$B5020)</f>
        <v>0</v>
      </c>
      <c r="E5020" s="55" t="n">
        <f aca="false">C5020+D5020</f>
        <v>3575.87</v>
      </c>
    </row>
    <row r="5021" customFormat="false" ht="15" hidden="false" customHeight="false" outlineLevel="0" collapsed="false">
      <c r="A5021" s="41" t="s">
        <v>152</v>
      </c>
      <c r="B5021" s="41" t="s">
        <v>306</v>
      </c>
      <c r="C5021" s="54" t="n">
        <f aca="false">SUMIFS($G$4:$G$5003,$D$4:$D$5003,$A5021,$C$4:$C$5003,$B5021)</f>
        <v>3151.52</v>
      </c>
      <c r="D5021" s="54" t="n">
        <f aca="false">SUMIFS($H$4:$H$5003,$D$4:$D$5003,$A5021,$C$4:$C$5003,$B5021)</f>
        <v>430.79</v>
      </c>
      <c r="E5021" s="55" t="n">
        <f aca="false">C5021+D5021</f>
        <v>3582.31</v>
      </c>
    </row>
    <row r="5022" customFormat="false" ht="15" hidden="false" customHeight="false" outlineLevel="0" collapsed="false">
      <c r="A5022" s="41" t="s">
        <v>178</v>
      </c>
      <c r="B5022" s="41" t="s">
        <v>306</v>
      </c>
      <c r="C5022" s="54" t="n">
        <f aca="false">SUMIFS($G$4:$G$5003,$D$4:$D$5003,$A5022,$C$4:$C$5003,$B5022)</f>
        <v>7063.38</v>
      </c>
      <c r="D5022" s="54" t="n">
        <f aca="false">SUMIFS($H$4:$H$5003,$D$4:$D$5003,$A5022,$C$4:$C$5003,$B5022)</f>
        <v>562.09</v>
      </c>
      <c r="E5022" s="55" t="n">
        <f aca="false">C5022+D5022</f>
        <v>7625.47</v>
      </c>
    </row>
    <row r="5023" customFormat="false" ht="15" hidden="false" customHeight="false" outlineLevel="0" collapsed="false">
      <c r="A5023" s="41" t="s">
        <v>156</v>
      </c>
      <c r="B5023" s="41" t="s">
        <v>306</v>
      </c>
      <c r="C5023" s="54" t="n">
        <f aca="false">SUMIFS($G$4:$G$5003,$D$4:$D$5003,$A5023,$C$4:$C$5003,$B5023)</f>
        <v>3296.11</v>
      </c>
      <c r="D5023" s="54" t="n">
        <f aca="false">SUMIFS($H$4:$H$5003,$D$4:$D$5003,$A5023,$C$4:$C$5003,$B5023)</f>
        <v>287.23</v>
      </c>
      <c r="E5023" s="55" t="n">
        <f aca="false">C5023+D5023</f>
        <v>3583.34</v>
      </c>
    </row>
    <row r="5024" customFormat="false" ht="15" hidden="false" customHeight="false" outlineLevel="0" collapsed="false">
      <c r="A5024" s="41" t="s">
        <v>168</v>
      </c>
      <c r="B5024" s="41" t="s">
        <v>307</v>
      </c>
      <c r="C5024" s="54" t="n">
        <f aca="false">SUMIFS($G$4:$G$5003,$D$4:$D$5003,$A5024,$C$4:$C$5003,$B5024)</f>
        <v>948.83</v>
      </c>
      <c r="D5024" s="54" t="n">
        <f aca="false">SUMIFS($H$4:$H$5003,$D$4:$D$5003,$A5024,$C$4:$C$5003,$B5024)</f>
        <v>86.98</v>
      </c>
      <c r="E5024" s="55" t="n">
        <f aca="false">C5024+D5024</f>
        <v>1035.81</v>
      </c>
    </row>
    <row r="5025" customFormat="false" ht="15" hidden="false" customHeight="false" outlineLevel="0" collapsed="false">
      <c r="A5025" s="41" t="s">
        <v>144</v>
      </c>
      <c r="B5025" s="41" t="s">
        <v>307</v>
      </c>
      <c r="C5025" s="54" t="n">
        <f aca="false">SUMIFS($G$4:$G$5003,$D$4:$D$5003,$A5025,$C$4:$C$5003,$B5025)</f>
        <v>7090.1</v>
      </c>
      <c r="D5025" s="54" t="n">
        <f aca="false">SUMIFS($H$4:$H$5003,$D$4:$D$5003,$A5025,$C$4:$C$5003,$B5025)</f>
        <v>308.42</v>
      </c>
      <c r="E5025" s="55" t="n">
        <f aca="false">C5025+D5025</f>
        <v>7398.52</v>
      </c>
    </row>
    <row r="5026" customFormat="false" ht="15" hidden="false" customHeight="false" outlineLevel="0" collapsed="false">
      <c r="A5026" s="41" t="s">
        <v>150</v>
      </c>
      <c r="B5026" s="41" t="s">
        <v>307</v>
      </c>
      <c r="C5026" s="54" t="n">
        <f aca="false">SUMIFS($G$4:$G$5003,$D$4:$D$5003,$A5026,$C$4:$C$5003,$B5026)</f>
        <v>2191.35</v>
      </c>
      <c r="D5026" s="54" t="n">
        <f aca="false">SUMIFS($H$4:$H$5003,$D$4:$D$5003,$A5026,$C$4:$C$5003,$B5026)</f>
        <v>0</v>
      </c>
      <c r="E5026" s="55" t="n">
        <f aca="false">C5026+D5026</f>
        <v>2191.35</v>
      </c>
    </row>
    <row r="5027" customFormat="false" ht="15" hidden="false" customHeight="false" outlineLevel="0" collapsed="false">
      <c r="A5027" s="41" t="s">
        <v>152</v>
      </c>
      <c r="B5027" s="41" t="s">
        <v>307</v>
      </c>
      <c r="C5027" s="54" t="n">
        <f aca="false">SUMIFS($G$4:$G$5003,$D$4:$D$5003,$A5027,$C$4:$C$5003,$B5027)</f>
        <v>868.14</v>
      </c>
      <c r="D5027" s="54" t="n">
        <f aca="false">SUMIFS($H$4:$H$5003,$D$4:$D$5003,$A5027,$C$4:$C$5003,$B5027)</f>
        <v>122.82</v>
      </c>
      <c r="E5027" s="55" t="n">
        <f aca="false">C5027+D5027</f>
        <v>990.96</v>
      </c>
    </row>
    <row r="5028" customFormat="false" ht="15" hidden="false" customHeight="false" outlineLevel="0" collapsed="false">
      <c r="A5028" s="41" t="s">
        <v>178</v>
      </c>
      <c r="B5028" s="41" t="s">
        <v>307</v>
      </c>
      <c r="C5028" s="54" t="n">
        <f aca="false">SUMIFS($G$4:$G$5003,$D$4:$D$5003,$A5028,$C$4:$C$5003,$B5028)</f>
        <v>2080.91</v>
      </c>
      <c r="D5028" s="54" t="n">
        <f aca="false">SUMIFS($H$4:$H$5003,$D$4:$D$5003,$A5028,$C$4:$C$5003,$B5028)</f>
        <v>0</v>
      </c>
      <c r="E5028" s="55" t="n">
        <f aca="false">C5028+D5028</f>
        <v>2080.91</v>
      </c>
    </row>
    <row r="5029" customFormat="false" ht="15" hidden="false" customHeight="false" outlineLevel="0" collapsed="false">
      <c r="A5029" s="41" t="s">
        <v>156</v>
      </c>
      <c r="B5029" s="41" t="s">
        <v>307</v>
      </c>
      <c r="C5029" s="54" t="n">
        <f aca="false">SUMIFS($G$4:$G$5003,$D$4:$D$5003,$A5029,$C$4:$C$5003,$B5029)</f>
        <v>2418.68</v>
      </c>
      <c r="D5029" s="54" t="n">
        <f aca="false">SUMIFS($H$4:$H$5003,$D$4:$D$5003,$A5029,$C$4:$C$5003,$B5029)</f>
        <v>311.22</v>
      </c>
      <c r="E5029" s="55" t="n">
        <f aca="false">C5029+D5029</f>
        <v>2729.9</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72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3"/>
    <col collapsed="false" customWidth="true" hidden="false" outlineLevel="0" max="2" min="2" style="25" width="42"/>
    <col collapsed="false" customWidth="true" hidden="false" outlineLevel="0" max="3" min="3" style="25" width="34"/>
    <col collapsed="false" customWidth="true" hidden="false" outlineLevel="0" max="4" min="4" style="25" width="20"/>
    <col collapsed="false" customWidth="true" hidden="false" outlineLevel="0" max="6" min="5" style="25" width="4"/>
    <col collapsed="false" customWidth="true" hidden="false" outlineLevel="0" max="7" min="7" style="25" width="42"/>
    <col collapsed="false" customWidth="true" hidden="false" outlineLevel="0" max="8" min="8" style="25" width="14"/>
  </cols>
  <sheetData>
    <row r="1" customFormat="false" ht="15" hidden="false" customHeight="true" outlineLevel="0" collapsed="false">
      <c r="A1" s="56" t="s">
        <v>308</v>
      </c>
      <c r="B1" s="56"/>
      <c r="C1" s="56"/>
      <c r="D1" s="56"/>
      <c r="E1" s="56"/>
    </row>
    <row r="3" customFormat="false" ht="15" hidden="false" customHeight="true" outlineLevel="0" collapsed="false">
      <c r="B3" s="28" t="s">
        <v>309</v>
      </c>
      <c r="G3" s="57" t="s">
        <v>310</v>
      </c>
      <c r="H3" s="57"/>
    </row>
    <row r="4" customFormat="false" ht="19.5" hidden="false" customHeight="true" outlineLevel="0" collapsed="false">
      <c r="B4" s="58" t="s">
        <v>311</v>
      </c>
      <c r="C4" s="58" t="s">
        <v>312</v>
      </c>
      <c r="D4" s="58" t="s">
        <v>313</v>
      </c>
      <c r="G4" s="58" t="s">
        <v>314</v>
      </c>
      <c r="H4" s="58" t="s">
        <v>315</v>
      </c>
    </row>
    <row r="5" customFormat="false" ht="15" hidden="false" customHeight="true" outlineLevel="0" collapsed="false">
      <c r="B5" s="37" t="n">
        <v>1</v>
      </c>
      <c r="C5" s="59" t="s">
        <v>316</v>
      </c>
      <c r="D5" s="59" t="s">
        <v>317</v>
      </c>
      <c r="G5" s="35" t="s">
        <v>168</v>
      </c>
      <c r="H5" s="59" t="s">
        <v>318</v>
      </c>
    </row>
    <row r="6" customFormat="false" ht="15" hidden="false" customHeight="true" outlineLevel="0" collapsed="false">
      <c r="B6" s="37" t="n">
        <v>2</v>
      </c>
      <c r="C6" s="59" t="s">
        <v>319</v>
      </c>
      <c r="D6" s="59" t="s">
        <v>320</v>
      </c>
      <c r="G6" s="35" t="s">
        <v>144</v>
      </c>
      <c r="H6" s="59" t="s">
        <v>318</v>
      </c>
    </row>
    <row r="7" customFormat="false" ht="15" hidden="false" customHeight="true" outlineLevel="0" collapsed="false">
      <c r="B7" s="37" t="n">
        <v>3</v>
      </c>
      <c r="C7" s="59" t="s">
        <v>321</v>
      </c>
      <c r="D7" s="59" t="s">
        <v>322</v>
      </c>
      <c r="G7" s="35" t="s">
        <v>141</v>
      </c>
      <c r="H7" s="59" t="s">
        <v>323</v>
      </c>
    </row>
    <row r="8" customFormat="false" ht="15" hidden="false" customHeight="true" outlineLevel="0" collapsed="false">
      <c r="G8" s="35" t="s">
        <v>147</v>
      </c>
      <c r="H8" s="59" t="s">
        <v>318</v>
      </c>
    </row>
    <row r="9" customFormat="false" ht="15" hidden="false" customHeight="true" outlineLevel="0" collapsed="false">
      <c r="B9" s="60" t="s">
        <v>324</v>
      </c>
      <c r="C9" s="60"/>
      <c r="D9" s="60"/>
      <c r="E9" s="60"/>
      <c r="G9" s="35" t="s">
        <v>150</v>
      </c>
      <c r="H9" s="59" t="s">
        <v>318</v>
      </c>
    </row>
    <row r="10" customFormat="false" ht="15" hidden="false" customHeight="true" outlineLevel="0" collapsed="false">
      <c r="G10" s="35" t="s">
        <v>152</v>
      </c>
      <c r="H10" s="59" t="s">
        <v>325</v>
      </c>
    </row>
    <row r="11" customFormat="false" ht="15" hidden="false" customHeight="true" outlineLevel="0" collapsed="false">
      <c r="G11" s="35" t="s">
        <v>178</v>
      </c>
      <c r="H11" s="59" t="s">
        <v>325</v>
      </c>
    </row>
    <row r="12" customFormat="false" ht="15" hidden="false" customHeight="true" outlineLevel="0" collapsed="false">
      <c r="G12" s="35" t="s">
        <v>202</v>
      </c>
      <c r="H12" s="59" t="s">
        <v>326</v>
      </c>
    </row>
    <row r="13" customFormat="false" ht="15" hidden="false" customHeight="true" outlineLevel="0" collapsed="false">
      <c r="G13" s="35" t="s">
        <v>166</v>
      </c>
      <c r="H13" s="59" t="s">
        <v>327</v>
      </c>
    </row>
    <row r="14" customFormat="false" ht="15" hidden="false" customHeight="true" outlineLevel="0" collapsed="false">
      <c r="G14" s="35" t="s">
        <v>156</v>
      </c>
      <c r="H14" s="59" t="s">
        <v>318</v>
      </c>
    </row>
    <row r="15" customFormat="false" ht="15" hidden="false" customHeight="true" outlineLevel="0" collapsed="false">
      <c r="G15" s="35" t="s">
        <v>136</v>
      </c>
      <c r="H15" s="59" t="s">
        <v>323</v>
      </c>
    </row>
    <row r="16" customFormat="false" ht="15" hidden="false" customHeight="true" outlineLevel="0" collapsed="false">
      <c r="G16" s="35" t="s">
        <v>164</v>
      </c>
      <c r="H16" s="59" t="s">
        <v>327</v>
      </c>
    </row>
    <row r="18" customFormat="false" ht="15" hidden="false" customHeight="true" outlineLevel="0" collapsed="false">
      <c r="G18" s="60" t="s">
        <v>328</v>
      </c>
      <c r="H18" s="60"/>
    </row>
    <row r="22" customFormat="false" ht="15" hidden="false" customHeight="true" outlineLevel="0" collapsed="false">
      <c r="B22" s="28" t="s">
        <v>329</v>
      </c>
    </row>
    <row r="23" customFormat="false" ht="15" hidden="false" customHeight="true" outlineLevel="0" collapsed="false">
      <c r="B23" s="61" t="s">
        <v>330</v>
      </c>
      <c r="C23" s="62" t="s">
        <v>331</v>
      </c>
      <c r="D23" s="62"/>
      <c r="E23" s="62"/>
      <c r="F23" s="62"/>
    </row>
    <row r="24" customFormat="false" ht="15" hidden="false" customHeight="true" outlineLevel="0" collapsed="false">
      <c r="B24" s="63" t="s">
        <v>332</v>
      </c>
      <c r="C24" s="62" t="s">
        <v>333</v>
      </c>
      <c r="D24" s="62"/>
      <c r="E24" s="62"/>
      <c r="F24" s="62"/>
    </row>
    <row r="25" customFormat="false" ht="15" hidden="false" customHeight="true" outlineLevel="0" collapsed="false">
      <c r="B25" s="64" t="s">
        <v>334</v>
      </c>
      <c r="C25" s="62" t="s">
        <v>335</v>
      </c>
      <c r="D25" s="62"/>
      <c r="E25" s="62"/>
      <c r="F25" s="62"/>
    </row>
    <row r="26" customFormat="false" ht="15" hidden="false" customHeight="true" outlineLevel="0" collapsed="false">
      <c r="B26" s="65" t="s">
        <v>336</v>
      </c>
      <c r="C26" s="62" t="s">
        <v>337</v>
      </c>
      <c r="D26" s="62"/>
      <c r="E26" s="62"/>
      <c r="F26" s="62"/>
    </row>
    <row r="29" customFormat="false" ht="15" hidden="false" customHeight="true" outlineLevel="0" collapsed="false">
      <c r="B29" s="28" t="s">
        <v>338</v>
      </c>
    </row>
    <row r="30" customFormat="false" ht="15" hidden="false" customHeight="true" outlineLevel="0" collapsed="false">
      <c r="B30" s="37" t="s">
        <v>339</v>
      </c>
      <c r="C30" s="59" t="s">
        <v>139</v>
      </c>
    </row>
    <row r="31" customFormat="false" ht="15" hidden="false" customHeight="true" outlineLevel="0" collapsed="false">
      <c r="B31" s="37" t="s">
        <v>340</v>
      </c>
      <c r="C31" s="59" t="s">
        <v>341</v>
      </c>
    </row>
    <row r="32" customFormat="false" ht="15" hidden="false" customHeight="true" outlineLevel="0" collapsed="false">
      <c r="B32" s="37" t="s">
        <v>342</v>
      </c>
      <c r="C32" s="59" t="s">
        <v>343</v>
      </c>
    </row>
  </sheetData>
  <mergeCells count="8">
    <mergeCell ref="A1:E1"/>
    <mergeCell ref="G3:H3"/>
    <mergeCell ref="B9:E9"/>
    <mergeCell ref="G18:H18"/>
    <mergeCell ref="C23:F23"/>
    <mergeCell ref="C24:F24"/>
    <mergeCell ref="C25:F25"/>
    <mergeCell ref="C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35400"/>
    <pageSetUpPr fitToPage="false"/>
  </sheetPr>
  <dimension ref="A1:K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26"/>
    <col collapsed="false" customWidth="true" hidden="false" outlineLevel="0" max="3" min="2" style="25" width="14"/>
    <col collapsed="false" customWidth="true" hidden="false" outlineLevel="0" max="4" min="4" style="25" width="16"/>
    <col collapsed="false" customWidth="true" hidden="false" outlineLevel="0" max="5" min="5" style="25" width="34"/>
    <col collapsed="false" customWidth="true" hidden="false" outlineLevel="0" max="7" min="6" style="25" width="14"/>
  </cols>
  <sheetData>
    <row r="1" customFormat="false" ht="15" hidden="false" customHeight="true" outlineLevel="0" collapsed="false">
      <c r="A1" s="56" t="s">
        <v>344</v>
      </c>
      <c r="B1" s="56"/>
      <c r="C1" s="56"/>
      <c r="D1" s="56"/>
      <c r="E1" s="56"/>
      <c r="F1" s="56"/>
      <c r="G1" s="56"/>
      <c r="H1" s="56"/>
      <c r="I1" s="56"/>
      <c r="J1" s="56"/>
      <c r="K1" s="56"/>
    </row>
    <row r="2" customFormat="false" ht="30" hidden="false" customHeight="true" outlineLevel="0" collapsed="false">
      <c r="A2" s="66" t="s">
        <v>345</v>
      </c>
      <c r="B2" s="66"/>
      <c r="C2" s="66"/>
      <c r="D2" s="66"/>
      <c r="E2" s="66"/>
      <c r="F2" s="66"/>
      <c r="G2" s="66"/>
      <c r="H2" s="66"/>
      <c r="I2" s="66"/>
      <c r="J2" s="66"/>
      <c r="K2" s="66"/>
    </row>
    <row r="3" customFormat="false" ht="21.75" hidden="false" customHeight="true" outlineLevel="0" collapsed="false">
      <c r="A3" s="33" t="s">
        <v>346</v>
      </c>
      <c r="B3" s="33" t="s">
        <v>347</v>
      </c>
      <c r="C3" s="33" t="s">
        <v>348</v>
      </c>
      <c r="D3" s="33" t="s">
        <v>349</v>
      </c>
      <c r="E3" s="33" t="s">
        <v>350</v>
      </c>
      <c r="F3" s="33" t="s">
        <v>198</v>
      </c>
      <c r="G3" s="33" t="s">
        <v>135</v>
      </c>
    </row>
    <row r="4" customFormat="false" ht="15" hidden="false" customHeight="true" outlineLevel="0" collapsed="false">
      <c r="A4" s="35" t="s">
        <v>351</v>
      </c>
      <c r="B4" s="35" t="s">
        <v>305</v>
      </c>
      <c r="C4" s="34" t="n">
        <v>46138</v>
      </c>
      <c r="D4" s="35" t="s">
        <v>352</v>
      </c>
      <c r="E4" s="35" t="s">
        <v>353</v>
      </c>
      <c r="F4" s="36" t="n">
        <v>3142.31</v>
      </c>
      <c r="G4" s="37" t="str">
        <f aca="false">IFERROR(IF(ISNUMBER(SEARCH(Assumptions!$C$5,E4)),Assumptions!$D$5,IF(ISNUMBER(SEARCH(Assumptions!$C$6,E4)),Assumptions!$D$6,IF(ISNUMBER(SEARCH(Assumptions!$C$7,E4)),Assumptions!$D$7,"Other Services"))),"Other Services")</f>
        <v>Other Services</v>
      </c>
    </row>
    <row r="5" customFormat="false" ht="15" hidden="false" customHeight="true" outlineLevel="0" collapsed="false">
      <c r="A5" s="35" t="s">
        <v>351</v>
      </c>
      <c r="B5" s="35" t="s">
        <v>305</v>
      </c>
      <c r="C5" s="34" t="n">
        <v>46129</v>
      </c>
      <c r="D5" s="35" t="s">
        <v>352</v>
      </c>
      <c r="E5" s="35" t="s">
        <v>354</v>
      </c>
      <c r="F5" s="36" t="n">
        <v>762.28</v>
      </c>
      <c r="G5" s="37" t="str">
        <f aca="false">IF(E5="","",IFERROR(IF(ISNUMBER(SEARCH(Assumptions!$C$5,E5)),Assumptions!$D$5,IF(ISNUMBER(SEARCH(Assumptions!$C$6,E5)),Assumptions!$D$6,IF(ISNUMBER(SEARCH(Assumptions!$C$7,E5)),Assumptions!$D$7,"Other Services"))),"Other Services"))</f>
        <v>Other Services</v>
      </c>
    </row>
    <row r="6" customFormat="false" ht="15" hidden="false" customHeight="true" outlineLevel="0" collapsed="false">
      <c r="A6" s="35" t="s">
        <v>351</v>
      </c>
      <c r="B6" s="35" t="s">
        <v>305</v>
      </c>
      <c r="C6" s="34" t="n">
        <v>46129</v>
      </c>
      <c r="D6" s="35" t="s">
        <v>352</v>
      </c>
      <c r="E6" s="35" t="s">
        <v>355</v>
      </c>
      <c r="F6" s="36" t="n">
        <v>1069.63</v>
      </c>
      <c r="G6" s="37" t="str">
        <f aca="false">IF(E6="","",IFERROR(IF(ISNUMBER(SEARCH(Assumptions!$C$5,E6)),Assumptions!$D$5,IF(ISNUMBER(SEARCH(Assumptions!$C$6,E6)),Assumptions!$D$6,IF(ISNUMBER(SEARCH(Assumptions!$C$7,E6)),Assumptions!$D$7,"Other Services"))),"Other Services"))</f>
        <v>Other Services</v>
      </c>
    </row>
    <row r="7" customFormat="false" ht="15" hidden="false" customHeight="true" outlineLevel="0" collapsed="false">
      <c r="A7" s="35" t="s">
        <v>351</v>
      </c>
      <c r="B7" s="35" t="s">
        <v>305</v>
      </c>
      <c r="C7" s="34" t="n">
        <v>46132</v>
      </c>
      <c r="D7" s="35" t="s">
        <v>352</v>
      </c>
      <c r="E7" s="35" t="s">
        <v>356</v>
      </c>
      <c r="F7" s="36" t="n">
        <v>972.89</v>
      </c>
      <c r="G7" s="37" t="str">
        <f aca="false">IF(E7="","",IFERROR(IF(ISNUMBER(SEARCH(Assumptions!$C$5,E7)),Assumptions!$D$5,IF(ISNUMBER(SEARCH(Assumptions!$C$6,E7)),Assumptions!$D$6,IF(ISNUMBER(SEARCH(Assumptions!$C$7,E7)),Assumptions!$D$7,"Other Services"))),"Other Services"))</f>
        <v>Subscription</v>
      </c>
    </row>
    <row r="8" customFormat="false" ht="15" hidden="false" customHeight="true" outlineLevel="0" collapsed="false">
      <c r="A8" s="35" t="s">
        <v>351</v>
      </c>
      <c r="B8" s="35" t="s">
        <v>305</v>
      </c>
      <c r="C8" s="34" t="n">
        <v>46126</v>
      </c>
      <c r="D8" s="35" t="s">
        <v>352</v>
      </c>
      <c r="E8" s="35" t="s">
        <v>357</v>
      </c>
      <c r="F8" s="36" t="n">
        <v>1199.6</v>
      </c>
      <c r="G8" s="37" t="str">
        <f aca="false">IF(E8="","",IFERROR(IF(ISNUMBER(SEARCH(Assumptions!$C$5,E8)),Assumptions!$D$5,IF(ISNUMBER(SEARCH(Assumptions!$C$6,E8)),Assumptions!$D$6,IF(ISNUMBER(SEARCH(Assumptions!$C$7,E8)),Assumptions!$D$7,"Other Services"))),"Other Services"))</f>
        <v>Other Services</v>
      </c>
    </row>
    <row r="9" customFormat="false" ht="15" hidden="false" customHeight="true" outlineLevel="0" collapsed="false">
      <c r="A9" s="35" t="s">
        <v>351</v>
      </c>
      <c r="B9" s="35" t="s">
        <v>305</v>
      </c>
      <c r="C9" s="34" t="n">
        <v>46139</v>
      </c>
      <c r="D9" s="35" t="s">
        <v>352</v>
      </c>
      <c r="E9" s="35" t="s">
        <v>357</v>
      </c>
      <c r="F9" s="36" t="n">
        <v>448.14</v>
      </c>
      <c r="G9" s="37" t="str">
        <f aca="false">IF(E9="","",IFERROR(IF(ISNUMBER(SEARCH(Assumptions!$C$5,E9)),Assumptions!$D$5,IF(ISNUMBER(SEARCH(Assumptions!$C$6,E9)),Assumptions!$D$6,IF(ISNUMBER(SEARCH(Assumptions!$C$7,E9)),Assumptions!$D$7,"Other Services"))),"Other Services"))</f>
        <v>Other Services</v>
      </c>
    </row>
    <row r="10" customFormat="false" ht="15" hidden="false" customHeight="true" outlineLevel="0" collapsed="false">
      <c r="A10" s="35" t="s">
        <v>351</v>
      </c>
      <c r="B10" s="35" t="s">
        <v>305</v>
      </c>
      <c r="C10" s="34" t="n">
        <v>46122</v>
      </c>
      <c r="D10" s="35" t="s">
        <v>352</v>
      </c>
      <c r="E10" s="35" t="s">
        <v>355</v>
      </c>
      <c r="F10" s="36" t="n">
        <v>158.18</v>
      </c>
      <c r="G10" s="37" t="str">
        <f aca="false">IF(E10="","",IFERROR(IF(ISNUMBER(SEARCH(Assumptions!$C$5,E10)),Assumptions!$D$5,IF(ISNUMBER(SEARCH(Assumptions!$C$6,E10)),Assumptions!$D$6,IF(ISNUMBER(SEARCH(Assumptions!$C$7,E10)),Assumptions!$D$7,"Other Services"))),"Other Services"))</f>
        <v>Other Services</v>
      </c>
    </row>
    <row r="11" customFormat="false" ht="15" hidden="false" customHeight="true" outlineLevel="0" collapsed="false">
      <c r="A11" s="35" t="s">
        <v>351</v>
      </c>
      <c r="B11" s="35" t="s">
        <v>305</v>
      </c>
      <c r="C11" s="34" t="n">
        <v>46115</v>
      </c>
      <c r="D11" s="35" t="s">
        <v>352</v>
      </c>
      <c r="E11" s="35" t="s">
        <v>358</v>
      </c>
      <c r="F11" s="36" t="n">
        <v>3227.77</v>
      </c>
      <c r="G11" s="37" t="str">
        <f aca="false">IF(E11="","",IFERROR(IF(ISNUMBER(SEARCH(Assumptions!$C$5,E11)),Assumptions!$D$5,IF(ISNUMBER(SEARCH(Assumptions!$C$6,E11)),Assumptions!$D$6,IF(ISNUMBER(SEARCH(Assumptions!$C$7,E11)),Assumptions!$D$7,"Other Services"))),"Other Services"))</f>
        <v>Subscription</v>
      </c>
    </row>
    <row r="12" customFormat="false" ht="15" hidden="false" customHeight="true" outlineLevel="0" collapsed="false">
      <c r="A12" s="35" t="s">
        <v>351</v>
      </c>
      <c r="B12" s="35" t="s">
        <v>305</v>
      </c>
      <c r="C12" s="34" t="n">
        <v>46130</v>
      </c>
      <c r="D12" s="35" t="s">
        <v>352</v>
      </c>
      <c r="E12" s="35" t="s">
        <v>354</v>
      </c>
      <c r="F12" s="36" t="n">
        <v>1638.18</v>
      </c>
      <c r="G12" s="37" t="str">
        <f aca="false">IF(E12="","",IFERROR(IF(ISNUMBER(SEARCH(Assumptions!$C$5,E12)),Assumptions!$D$5,IF(ISNUMBER(SEARCH(Assumptions!$C$6,E12)),Assumptions!$D$6,IF(ISNUMBER(SEARCH(Assumptions!$C$7,E12)),Assumptions!$D$7,"Other Services"))),"Other Services"))</f>
        <v>Other Services</v>
      </c>
    </row>
    <row r="13" customFormat="false" ht="15" hidden="false" customHeight="true" outlineLevel="0" collapsed="false">
      <c r="A13" s="35" t="s">
        <v>351</v>
      </c>
      <c r="B13" s="35" t="s">
        <v>305</v>
      </c>
      <c r="C13" s="34" t="n">
        <v>46138</v>
      </c>
      <c r="D13" s="35" t="s">
        <v>352</v>
      </c>
      <c r="E13" s="35" t="s">
        <v>354</v>
      </c>
      <c r="F13" s="36" t="n">
        <v>416.84</v>
      </c>
      <c r="G13" s="37" t="str">
        <f aca="false">IF(E13="","",IFERROR(IF(ISNUMBER(SEARCH(Assumptions!$C$5,E13)),Assumptions!$D$5,IF(ISNUMBER(SEARCH(Assumptions!$C$6,E13)),Assumptions!$D$6,IF(ISNUMBER(SEARCH(Assumptions!$C$7,E13)),Assumptions!$D$7,"Other Services"))),"Other Services"))</f>
        <v>Other Services</v>
      </c>
    </row>
    <row r="14" customFormat="false" ht="15" hidden="false" customHeight="true" outlineLevel="0" collapsed="false">
      <c r="A14" s="35" t="s">
        <v>359</v>
      </c>
      <c r="B14" s="35" t="s">
        <v>306</v>
      </c>
      <c r="C14" s="34" t="n">
        <v>46146</v>
      </c>
      <c r="D14" s="35" t="s">
        <v>352</v>
      </c>
      <c r="E14" s="35" t="s">
        <v>353</v>
      </c>
      <c r="F14" s="36" t="n">
        <v>2060.51</v>
      </c>
      <c r="G14" s="37" t="str">
        <f aca="false">IF(E14="","",IFERROR(IF(ISNUMBER(SEARCH(Assumptions!$C$5,E14)),Assumptions!$D$5,IF(ISNUMBER(SEARCH(Assumptions!$C$6,E14)),Assumptions!$D$6,IF(ISNUMBER(SEARCH(Assumptions!$C$7,E14)),Assumptions!$D$7,"Other Services"))),"Other Services"))</f>
        <v>Other Services</v>
      </c>
    </row>
    <row r="15" customFormat="false" ht="15" hidden="false" customHeight="true" outlineLevel="0" collapsed="false">
      <c r="A15" s="35" t="s">
        <v>359</v>
      </c>
      <c r="B15" s="35" t="s">
        <v>306</v>
      </c>
      <c r="C15" s="34" t="n">
        <v>46167</v>
      </c>
      <c r="D15" s="35" t="s">
        <v>352</v>
      </c>
      <c r="E15" s="35" t="s">
        <v>360</v>
      </c>
      <c r="F15" s="36" t="n">
        <v>2996.56</v>
      </c>
      <c r="G15" s="37" t="str">
        <f aca="false">IF(E15="","",IFERROR(IF(ISNUMBER(SEARCH(Assumptions!$C$5,E15)),Assumptions!$D$5,IF(ISNUMBER(SEARCH(Assumptions!$C$6,E15)),Assumptions!$D$6,IF(ISNUMBER(SEARCH(Assumptions!$C$7,E15)),Assumptions!$D$7,"Other Services"))),"Other Services"))</f>
        <v>WhatsApp</v>
      </c>
    </row>
    <row r="16" customFormat="false" ht="15" hidden="false" customHeight="true" outlineLevel="0" collapsed="false">
      <c r="A16" s="35" t="s">
        <v>359</v>
      </c>
      <c r="B16" s="35" t="s">
        <v>306</v>
      </c>
      <c r="C16" s="34" t="n">
        <v>46164</v>
      </c>
      <c r="D16" s="35" t="s">
        <v>352</v>
      </c>
      <c r="E16" s="35" t="s">
        <v>361</v>
      </c>
      <c r="F16" s="36" t="n">
        <v>3463.11</v>
      </c>
      <c r="G16" s="37" t="str">
        <f aca="false">IF(E16="","",IFERROR(IF(ISNUMBER(SEARCH(Assumptions!$C$5,E16)),Assumptions!$D$5,IF(ISNUMBER(SEARCH(Assumptions!$C$6,E16)),Assumptions!$D$6,IF(ISNUMBER(SEARCH(Assumptions!$C$7,E16)),Assumptions!$D$7,"Other Services"))),"Other Services"))</f>
        <v>Development</v>
      </c>
    </row>
    <row r="17" customFormat="false" ht="15" hidden="false" customHeight="true" outlineLevel="0" collapsed="false">
      <c r="A17" s="35" t="s">
        <v>359</v>
      </c>
      <c r="B17" s="35" t="s">
        <v>306</v>
      </c>
      <c r="C17" s="34" t="n">
        <v>46168</v>
      </c>
      <c r="D17" s="35" t="s">
        <v>352</v>
      </c>
      <c r="E17" s="35" t="s">
        <v>356</v>
      </c>
      <c r="F17" s="36" t="n">
        <v>2258.79</v>
      </c>
      <c r="G17" s="37" t="str">
        <f aca="false">IF(E17="","",IFERROR(IF(ISNUMBER(SEARCH(Assumptions!$C$5,E17)),Assumptions!$D$5,IF(ISNUMBER(SEARCH(Assumptions!$C$6,E17)),Assumptions!$D$6,IF(ISNUMBER(SEARCH(Assumptions!$C$7,E17)),Assumptions!$D$7,"Other Services"))),"Other Services"))</f>
        <v>Subscription</v>
      </c>
    </row>
    <row r="18" customFormat="false" ht="15" hidden="false" customHeight="true" outlineLevel="0" collapsed="false">
      <c r="A18" s="35" t="s">
        <v>359</v>
      </c>
      <c r="B18" s="35" t="s">
        <v>306</v>
      </c>
      <c r="C18" s="34" t="n">
        <v>46150</v>
      </c>
      <c r="D18" s="35" t="s">
        <v>352</v>
      </c>
      <c r="E18" s="35" t="s">
        <v>360</v>
      </c>
      <c r="F18" s="36" t="n">
        <v>2729.45</v>
      </c>
      <c r="G18" s="37" t="str">
        <f aca="false">IF(E18="","",IFERROR(IF(ISNUMBER(SEARCH(Assumptions!$C$5,E18)),Assumptions!$D$5,IF(ISNUMBER(SEARCH(Assumptions!$C$6,E18)),Assumptions!$D$6,IF(ISNUMBER(SEARCH(Assumptions!$C$7,E18)),Assumptions!$D$7,"Other Services"))),"Other Services"))</f>
        <v>WhatsApp</v>
      </c>
    </row>
    <row r="19" customFormat="false" ht="15" hidden="false" customHeight="true" outlineLevel="0" collapsed="false">
      <c r="A19" s="35" t="s">
        <v>359</v>
      </c>
      <c r="B19" s="35" t="s">
        <v>306</v>
      </c>
      <c r="C19" s="34" t="n">
        <v>46168</v>
      </c>
      <c r="D19" s="35" t="s">
        <v>352</v>
      </c>
      <c r="E19" s="35" t="s">
        <v>354</v>
      </c>
      <c r="F19" s="36" t="n">
        <v>789.06</v>
      </c>
      <c r="G19" s="37" t="str">
        <f aca="false">IF(E19="","",IFERROR(IF(ISNUMBER(SEARCH(Assumptions!$C$5,E19)),Assumptions!$D$5,IF(ISNUMBER(SEARCH(Assumptions!$C$6,E19)),Assumptions!$D$6,IF(ISNUMBER(SEARCH(Assumptions!$C$7,E19)),Assumptions!$D$7,"Other Services"))),"Other Services"))</f>
        <v>Other Services</v>
      </c>
    </row>
    <row r="20" customFormat="false" ht="15" hidden="false" customHeight="true" outlineLevel="0" collapsed="false">
      <c r="A20" s="35" t="s">
        <v>359</v>
      </c>
      <c r="B20" s="35" t="s">
        <v>306</v>
      </c>
      <c r="C20" s="34" t="n">
        <v>46147</v>
      </c>
      <c r="D20" s="35" t="s">
        <v>352</v>
      </c>
      <c r="E20" s="35" t="s">
        <v>358</v>
      </c>
      <c r="F20" s="36" t="n">
        <v>540.52</v>
      </c>
      <c r="G20" s="37" t="str">
        <f aca="false">IF(E20="","",IFERROR(IF(ISNUMBER(SEARCH(Assumptions!$C$5,E20)),Assumptions!$D$5,IF(ISNUMBER(SEARCH(Assumptions!$C$6,E20)),Assumptions!$D$6,IF(ISNUMBER(SEARCH(Assumptions!$C$7,E20)),Assumptions!$D$7,"Other Services"))),"Other Services"))</f>
        <v>Subscription</v>
      </c>
    </row>
    <row r="21" customFormat="false" ht="15" hidden="false" customHeight="true" outlineLevel="0" collapsed="false">
      <c r="A21" s="35" t="s">
        <v>359</v>
      </c>
      <c r="B21" s="35" t="s">
        <v>306</v>
      </c>
      <c r="C21" s="34" t="n">
        <v>46146</v>
      </c>
      <c r="D21" s="35" t="s">
        <v>352</v>
      </c>
      <c r="E21" s="35" t="s">
        <v>361</v>
      </c>
      <c r="F21" s="36" t="n">
        <v>1951.48</v>
      </c>
      <c r="G21" s="37" t="str">
        <f aca="false">IF(E21="","",IFERROR(IF(ISNUMBER(SEARCH(Assumptions!$C$5,E21)),Assumptions!$D$5,IF(ISNUMBER(SEARCH(Assumptions!$C$6,E21)),Assumptions!$D$6,IF(ISNUMBER(SEARCH(Assumptions!$C$7,E21)),Assumptions!$D$7,"Other Services"))),"Other Services"))</f>
        <v>Development</v>
      </c>
    </row>
    <row r="22" customFormat="false" ht="15" hidden="false" customHeight="true" outlineLevel="0" collapsed="false">
      <c r="A22" s="35" t="s">
        <v>359</v>
      </c>
      <c r="B22" s="35" t="s">
        <v>306</v>
      </c>
      <c r="C22" s="34" t="n">
        <v>46143</v>
      </c>
      <c r="D22" s="35" t="s">
        <v>352</v>
      </c>
      <c r="E22" s="35" t="s">
        <v>361</v>
      </c>
      <c r="F22" s="36" t="n">
        <v>3352.85</v>
      </c>
      <c r="G22" s="37" t="str">
        <f aca="false">IF(E22="","",IFERROR(IF(ISNUMBER(SEARCH(Assumptions!$C$5,E22)),Assumptions!$D$5,IF(ISNUMBER(SEARCH(Assumptions!$C$6,E22)),Assumptions!$D$6,IF(ISNUMBER(SEARCH(Assumptions!$C$7,E22)),Assumptions!$D$7,"Other Services"))),"Other Services"))</f>
        <v>Development</v>
      </c>
    </row>
    <row r="23" customFormat="false" ht="15" hidden="false" customHeight="true" outlineLevel="0" collapsed="false">
      <c r="A23" s="35" t="s">
        <v>359</v>
      </c>
      <c r="B23" s="35" t="s">
        <v>306</v>
      </c>
      <c r="C23" s="34" t="n">
        <v>46162</v>
      </c>
      <c r="D23" s="35" t="s">
        <v>352</v>
      </c>
      <c r="E23" s="35" t="s">
        <v>361</v>
      </c>
      <c r="F23" s="36" t="n">
        <v>489.71</v>
      </c>
      <c r="G23" s="37" t="str">
        <f aca="false">IF(E23="","",IFERROR(IF(ISNUMBER(SEARCH(Assumptions!$C$5,E23)),Assumptions!$D$5,IF(ISNUMBER(SEARCH(Assumptions!$C$6,E23)),Assumptions!$D$6,IF(ISNUMBER(SEARCH(Assumptions!$C$7,E23)),Assumptions!$D$7,"Other Services"))),"Other Services"))</f>
        <v>Development</v>
      </c>
    </row>
    <row r="24" customFormat="false" ht="15" hidden="false" customHeight="true" outlineLevel="0" collapsed="false">
      <c r="A24" s="35" t="s">
        <v>362</v>
      </c>
      <c r="B24" s="35" t="s">
        <v>307</v>
      </c>
      <c r="C24" s="34" t="n">
        <v>46200</v>
      </c>
      <c r="D24" s="35" t="s">
        <v>352</v>
      </c>
      <c r="E24" s="35" t="s">
        <v>361</v>
      </c>
      <c r="F24" s="36" t="n">
        <v>1790.23</v>
      </c>
      <c r="G24" s="37" t="str">
        <f aca="false">IF(E24="","",IFERROR(IF(ISNUMBER(SEARCH(Assumptions!$C$5,E24)),Assumptions!$D$5,IF(ISNUMBER(SEARCH(Assumptions!$C$6,E24)),Assumptions!$D$6,IF(ISNUMBER(SEARCH(Assumptions!$C$7,E24)),Assumptions!$D$7,"Other Services"))),"Other Services"))</f>
        <v>Development</v>
      </c>
    </row>
    <row r="25" customFormat="false" ht="15" hidden="false" customHeight="true" outlineLevel="0" collapsed="false">
      <c r="A25" s="35" t="s">
        <v>362</v>
      </c>
      <c r="B25" s="35" t="s">
        <v>307</v>
      </c>
      <c r="C25" s="34" t="n">
        <v>46187</v>
      </c>
      <c r="D25" s="35" t="s">
        <v>352</v>
      </c>
      <c r="E25" s="35" t="s">
        <v>355</v>
      </c>
      <c r="F25" s="36" t="n">
        <v>3145.25</v>
      </c>
      <c r="G25" s="37" t="str">
        <f aca="false">IF(E25="","",IFERROR(IF(ISNUMBER(SEARCH(Assumptions!$C$5,E25)),Assumptions!$D$5,IF(ISNUMBER(SEARCH(Assumptions!$C$6,E25)),Assumptions!$D$6,IF(ISNUMBER(SEARCH(Assumptions!$C$7,E25)),Assumptions!$D$7,"Other Services"))),"Other Services"))</f>
        <v>Other Services</v>
      </c>
    </row>
    <row r="26" customFormat="false" ht="15" hidden="false" customHeight="true" outlineLevel="0" collapsed="false">
      <c r="A26" s="35" t="s">
        <v>362</v>
      </c>
      <c r="B26" s="35" t="s">
        <v>307</v>
      </c>
      <c r="C26" s="34" t="n">
        <v>46174</v>
      </c>
      <c r="D26" s="35" t="s">
        <v>352</v>
      </c>
      <c r="E26" s="35" t="s">
        <v>356</v>
      </c>
      <c r="F26" s="36" t="n">
        <v>917.5</v>
      </c>
      <c r="G26" s="37" t="str">
        <f aca="false">IF(E26="","",IFERROR(IF(ISNUMBER(SEARCH(Assumptions!$C$5,E26)),Assumptions!$D$5,IF(ISNUMBER(SEARCH(Assumptions!$C$6,E26)),Assumptions!$D$6,IF(ISNUMBER(SEARCH(Assumptions!$C$7,E26)),Assumptions!$D$7,"Other Services"))),"Other Services"))</f>
        <v>Subscription</v>
      </c>
    </row>
    <row r="27" customFormat="false" ht="15" hidden="false" customHeight="true" outlineLevel="0" collapsed="false">
      <c r="A27" s="35" t="s">
        <v>362</v>
      </c>
      <c r="B27" s="35" t="s">
        <v>307</v>
      </c>
      <c r="C27" s="34" t="n">
        <v>46188</v>
      </c>
      <c r="D27" s="35" t="s">
        <v>352</v>
      </c>
      <c r="E27" s="35" t="s">
        <v>353</v>
      </c>
      <c r="F27" s="36" t="n">
        <v>1368.01</v>
      </c>
      <c r="G27" s="37" t="str">
        <f aca="false">IF(E27="","",IFERROR(IF(ISNUMBER(SEARCH(Assumptions!$C$5,E27)),Assumptions!$D$5,IF(ISNUMBER(SEARCH(Assumptions!$C$6,E27)),Assumptions!$D$6,IF(ISNUMBER(SEARCH(Assumptions!$C$7,E27)),Assumptions!$D$7,"Other Services"))),"Other Services"))</f>
        <v>Other Services</v>
      </c>
    </row>
    <row r="28" customFormat="false" ht="15" hidden="false" customHeight="true" outlineLevel="0" collapsed="false">
      <c r="A28" s="35" t="s">
        <v>362</v>
      </c>
      <c r="B28" s="35" t="s">
        <v>307</v>
      </c>
      <c r="C28" s="34" t="n">
        <v>46195</v>
      </c>
      <c r="D28" s="35" t="s">
        <v>352</v>
      </c>
      <c r="E28" s="35" t="s">
        <v>354</v>
      </c>
      <c r="F28" s="36" t="n">
        <v>2491.89</v>
      </c>
      <c r="G28" s="37" t="str">
        <f aca="false">IF(E28="","",IFERROR(IF(ISNUMBER(SEARCH(Assumptions!$C$5,E28)),Assumptions!$D$5,IF(ISNUMBER(SEARCH(Assumptions!$C$6,E28)),Assumptions!$D$6,IF(ISNUMBER(SEARCH(Assumptions!$C$7,E28)),Assumptions!$D$7,"Other Services"))),"Other Services"))</f>
        <v>Other Services</v>
      </c>
    </row>
    <row r="29" customFormat="false" ht="15" hidden="false" customHeight="true" outlineLevel="0" collapsed="false">
      <c r="A29" s="35" t="s">
        <v>362</v>
      </c>
      <c r="B29" s="35" t="s">
        <v>307</v>
      </c>
      <c r="C29" s="34" t="n">
        <v>46178</v>
      </c>
      <c r="D29" s="35" t="s">
        <v>352</v>
      </c>
      <c r="E29" s="35" t="s">
        <v>357</v>
      </c>
      <c r="F29" s="36" t="n">
        <v>1706.63</v>
      </c>
      <c r="G29" s="37" t="str">
        <f aca="false">IF(E29="","",IFERROR(IF(ISNUMBER(SEARCH(Assumptions!$C$5,E29)),Assumptions!$D$5,IF(ISNUMBER(SEARCH(Assumptions!$C$6,E29)),Assumptions!$D$6,IF(ISNUMBER(SEARCH(Assumptions!$C$7,E29)),Assumptions!$D$7,"Other Services"))),"Other Services"))</f>
        <v>Other Services</v>
      </c>
    </row>
    <row r="30" customFormat="false" ht="15" hidden="false" customHeight="true" outlineLevel="0" collapsed="false">
      <c r="A30" s="35" t="s">
        <v>362</v>
      </c>
      <c r="B30" s="35" t="s">
        <v>307</v>
      </c>
      <c r="C30" s="34" t="n">
        <v>46186</v>
      </c>
      <c r="D30" s="35" t="s">
        <v>352</v>
      </c>
      <c r="E30" s="35" t="s">
        <v>361</v>
      </c>
      <c r="F30" s="36" t="n">
        <v>1082.46</v>
      </c>
      <c r="G30" s="37" t="str">
        <f aca="false">IF(E30="","",IFERROR(IF(ISNUMBER(SEARCH(Assumptions!$C$5,E30)),Assumptions!$D$5,IF(ISNUMBER(SEARCH(Assumptions!$C$6,E30)),Assumptions!$D$6,IF(ISNUMBER(SEARCH(Assumptions!$C$7,E30)),Assumptions!$D$7,"Other Services"))),"Other Services"))</f>
        <v>Development</v>
      </c>
    </row>
    <row r="31" customFormat="false" ht="15" hidden="false" customHeight="true" outlineLevel="0" collapsed="false">
      <c r="A31" s="35" t="s">
        <v>362</v>
      </c>
      <c r="B31" s="35" t="s">
        <v>307</v>
      </c>
      <c r="C31" s="34" t="n">
        <v>46188</v>
      </c>
      <c r="D31" s="35" t="s">
        <v>352</v>
      </c>
      <c r="E31" s="35" t="s">
        <v>356</v>
      </c>
      <c r="F31" s="36" t="n">
        <v>1580.4</v>
      </c>
      <c r="G31" s="37" t="str">
        <f aca="false">IF(E31="","",IFERROR(IF(ISNUMBER(SEARCH(Assumptions!$C$5,E31)),Assumptions!$D$5,IF(ISNUMBER(SEARCH(Assumptions!$C$6,E31)),Assumptions!$D$6,IF(ISNUMBER(SEARCH(Assumptions!$C$7,E31)),Assumptions!$D$7,"Other Services"))),"Other Services"))</f>
        <v>Subscription</v>
      </c>
    </row>
    <row r="32" customFormat="false" ht="15" hidden="false" customHeight="true" outlineLevel="0" collapsed="false">
      <c r="A32" s="35" t="s">
        <v>362</v>
      </c>
      <c r="B32" s="35" t="s">
        <v>307</v>
      </c>
      <c r="C32" s="34" t="n">
        <v>46195</v>
      </c>
      <c r="D32" s="35" t="s">
        <v>352</v>
      </c>
      <c r="E32" s="35" t="s">
        <v>357</v>
      </c>
      <c r="F32" s="36" t="n">
        <v>2698.02</v>
      </c>
      <c r="G32" s="37" t="str">
        <f aca="false">IF(E32="","",IFERROR(IF(ISNUMBER(SEARCH(Assumptions!$C$5,E32)),Assumptions!$D$5,IF(ISNUMBER(SEARCH(Assumptions!$C$6,E32)),Assumptions!$D$6,IF(ISNUMBER(SEARCH(Assumptions!$C$7,E32)),Assumptions!$D$7,"Other Services"))),"Other Services"))</f>
        <v>Other Services</v>
      </c>
    </row>
    <row r="33" customFormat="false" ht="15" hidden="false" customHeight="true" outlineLevel="0" collapsed="false">
      <c r="A33" s="35" t="s">
        <v>362</v>
      </c>
      <c r="B33" s="35" t="s">
        <v>307</v>
      </c>
      <c r="C33" s="34" t="n">
        <v>46180</v>
      </c>
      <c r="D33" s="35" t="s">
        <v>352</v>
      </c>
      <c r="E33" s="35" t="s">
        <v>354</v>
      </c>
      <c r="F33" s="36" t="n">
        <v>1144.57</v>
      </c>
      <c r="G33" s="37" t="str">
        <f aca="false">IF(E33="","",IFERROR(IF(ISNUMBER(SEARCH(Assumptions!$C$5,E33)),Assumptions!$D$5,IF(ISNUMBER(SEARCH(Assumptions!$C$6,E33)),Assumptions!$D$6,IF(ISNUMBER(SEARCH(Assumptions!$C$7,E33)),Assumptions!$D$7,"Other Services"))),"Other Services"))</f>
        <v>Other Services</v>
      </c>
    </row>
    <row r="34" customFormat="false" ht="15" hidden="false" customHeight="false" outlineLevel="0" collapsed="false">
      <c r="G34" s="41" t="str">
        <f aca="false">IF(E34="","",IFERROR(IF(ISNUMBER(SEARCH(Assumptions!$C$5,E34)),Assumptions!$D$5,IF(ISNUMBER(SEARCH(Assumptions!$C$6,E34)),Assumptions!$D$6,IF(ISNUMBER(SEARCH(Assumptions!$C$7,E34)),Assumptions!$D$7,"Other Services"))),"Other Services"))</f>
        <v/>
      </c>
    </row>
    <row r="35" customFormat="false" ht="15" hidden="false" customHeight="false" outlineLevel="0" collapsed="false">
      <c r="G35" s="41" t="str">
        <f aca="false">IF(E35="","",IFERROR(IF(ISNUMBER(SEARCH(Assumptions!$C$5,E35)),Assumptions!$D$5,IF(ISNUMBER(SEARCH(Assumptions!$C$6,E35)),Assumptions!$D$6,IF(ISNUMBER(SEARCH(Assumptions!$C$7,E35)),Assumptions!$D$7,"Other Services"))),"Other Services"))</f>
        <v/>
      </c>
    </row>
    <row r="36" customFormat="false" ht="15" hidden="false" customHeight="false" outlineLevel="0" collapsed="false">
      <c r="G36" s="41" t="str">
        <f aca="false">IF(E36="","",IFERROR(IF(ISNUMBER(SEARCH(Assumptions!$C$5,E36)),Assumptions!$D$5,IF(ISNUMBER(SEARCH(Assumptions!$C$6,E36)),Assumptions!$D$6,IF(ISNUMBER(SEARCH(Assumptions!$C$7,E36)),Assumptions!$D$7,"Other Services"))),"Other Services"))</f>
        <v/>
      </c>
    </row>
    <row r="37" customFormat="false" ht="15" hidden="false" customHeight="false" outlineLevel="0" collapsed="false">
      <c r="G37" s="41" t="str">
        <f aca="false">IF(E37="","",IFERROR(IF(ISNUMBER(SEARCH(Assumptions!$C$5,E37)),Assumptions!$D$5,IF(ISNUMBER(SEARCH(Assumptions!$C$6,E37)),Assumptions!$D$6,IF(ISNUMBER(SEARCH(Assumptions!$C$7,E37)),Assumptions!$D$7,"Other Services"))),"Other Services"))</f>
        <v/>
      </c>
    </row>
    <row r="38" customFormat="false" ht="15" hidden="false" customHeight="false" outlineLevel="0" collapsed="false">
      <c r="G38" s="41" t="str">
        <f aca="false">IF(E38="","",IFERROR(IF(ISNUMBER(SEARCH(Assumptions!$C$5,E38)),Assumptions!$D$5,IF(ISNUMBER(SEARCH(Assumptions!$C$6,E38)),Assumptions!$D$6,IF(ISNUMBER(SEARCH(Assumptions!$C$7,E38)),Assumptions!$D$7,"Other Services"))),"Other Services"))</f>
        <v/>
      </c>
    </row>
    <row r="39" customFormat="false" ht="15" hidden="false" customHeight="false" outlineLevel="0" collapsed="false">
      <c r="G39" s="41" t="str">
        <f aca="false">IF(E39="","",IFERROR(IF(ISNUMBER(SEARCH(Assumptions!$C$5,E39)),Assumptions!$D$5,IF(ISNUMBER(SEARCH(Assumptions!$C$6,E39)),Assumptions!$D$6,IF(ISNUMBER(SEARCH(Assumptions!$C$7,E39)),Assumptions!$D$7,"Other Services"))),"Other Services"))</f>
        <v/>
      </c>
    </row>
    <row r="40" customFormat="false" ht="15" hidden="false" customHeight="false" outlineLevel="0" collapsed="false">
      <c r="G40" s="41" t="str">
        <f aca="false">IF(E40="","",IFERROR(IF(ISNUMBER(SEARCH(Assumptions!$C$5,E40)),Assumptions!$D$5,IF(ISNUMBER(SEARCH(Assumptions!$C$6,E40)),Assumptions!$D$6,IF(ISNUMBER(SEARCH(Assumptions!$C$7,E40)),Assumptions!$D$7,"Other Services"))),"Other Services"))</f>
        <v/>
      </c>
    </row>
    <row r="41" customFormat="false" ht="15" hidden="false" customHeight="false" outlineLevel="0" collapsed="false">
      <c r="G41" s="41" t="str">
        <f aca="false">IF(E41="","",IFERROR(IF(ISNUMBER(SEARCH(Assumptions!$C$5,E41)),Assumptions!$D$5,IF(ISNUMBER(SEARCH(Assumptions!$C$6,E41)),Assumptions!$D$6,IF(ISNUMBER(SEARCH(Assumptions!$C$7,E41)),Assumptions!$D$7,"Other Services"))),"Other Services"))</f>
        <v/>
      </c>
    </row>
    <row r="42" customFormat="false" ht="15" hidden="false" customHeight="false" outlineLevel="0" collapsed="false">
      <c r="G42" s="41" t="str">
        <f aca="false">IF(E42="","",IFERROR(IF(ISNUMBER(SEARCH(Assumptions!$C$5,E42)),Assumptions!$D$5,IF(ISNUMBER(SEARCH(Assumptions!$C$6,E42)),Assumptions!$D$6,IF(ISNUMBER(SEARCH(Assumptions!$C$7,E42)),Assumptions!$D$7,"Other Services"))),"Other Services"))</f>
        <v/>
      </c>
    </row>
    <row r="43" customFormat="false" ht="15" hidden="false" customHeight="false" outlineLevel="0" collapsed="false">
      <c r="G43" s="41" t="str">
        <f aca="false">IF(E43="","",IFERROR(IF(ISNUMBER(SEARCH(Assumptions!$C$5,E43)),Assumptions!$D$5,IF(ISNUMBER(SEARCH(Assumptions!$C$6,E43)),Assumptions!$D$6,IF(ISNUMBER(SEARCH(Assumptions!$C$7,E43)),Assumptions!$D$7,"Other Services"))),"Other Services"))</f>
        <v/>
      </c>
    </row>
    <row r="44" customFormat="false" ht="15" hidden="false" customHeight="false" outlineLevel="0" collapsed="false">
      <c r="G44" s="41" t="str">
        <f aca="false">IF(E44="","",IFERROR(IF(ISNUMBER(SEARCH(Assumptions!$C$5,E44)),Assumptions!$D$5,IF(ISNUMBER(SEARCH(Assumptions!$C$6,E44)),Assumptions!$D$6,IF(ISNUMBER(SEARCH(Assumptions!$C$7,E44)),Assumptions!$D$7,"Other Services"))),"Other Services"))</f>
        <v/>
      </c>
    </row>
    <row r="45" customFormat="false" ht="15" hidden="false" customHeight="false" outlineLevel="0" collapsed="false">
      <c r="G45" s="41" t="str">
        <f aca="false">IF(E45="","",IFERROR(IF(ISNUMBER(SEARCH(Assumptions!$C$5,E45)),Assumptions!$D$5,IF(ISNUMBER(SEARCH(Assumptions!$C$6,E45)),Assumptions!$D$6,IF(ISNUMBER(SEARCH(Assumptions!$C$7,E45)),Assumptions!$D$7,"Other Services"))),"Other Services"))</f>
        <v/>
      </c>
    </row>
    <row r="46" customFormat="false" ht="15" hidden="false" customHeight="false" outlineLevel="0" collapsed="false">
      <c r="G46" s="41" t="str">
        <f aca="false">IF(E46="","",IFERROR(IF(ISNUMBER(SEARCH(Assumptions!$C$5,E46)),Assumptions!$D$5,IF(ISNUMBER(SEARCH(Assumptions!$C$6,E46)),Assumptions!$D$6,IF(ISNUMBER(SEARCH(Assumptions!$C$7,E46)),Assumptions!$D$7,"Other Services"))),"Other Services"))</f>
        <v/>
      </c>
    </row>
    <row r="47" customFormat="false" ht="15" hidden="false" customHeight="false" outlineLevel="0" collapsed="false">
      <c r="G47" s="41" t="str">
        <f aca="false">IF(E47="","",IFERROR(IF(ISNUMBER(SEARCH(Assumptions!$C$5,E47)),Assumptions!$D$5,IF(ISNUMBER(SEARCH(Assumptions!$C$6,E47)),Assumptions!$D$6,IF(ISNUMBER(SEARCH(Assumptions!$C$7,E47)),Assumptions!$D$7,"Other Services"))),"Other Services"))</f>
        <v/>
      </c>
    </row>
    <row r="48" customFormat="false" ht="15" hidden="false" customHeight="false" outlineLevel="0" collapsed="false">
      <c r="G48" s="41" t="str">
        <f aca="false">IF(E48="","",IFERROR(IF(ISNUMBER(SEARCH(Assumptions!$C$5,E48)),Assumptions!$D$5,IF(ISNUMBER(SEARCH(Assumptions!$C$6,E48)),Assumptions!$D$6,IF(ISNUMBER(SEARCH(Assumptions!$C$7,E48)),Assumptions!$D$7,"Other Services"))),"Other Services"))</f>
        <v/>
      </c>
    </row>
    <row r="49" customFormat="false" ht="15" hidden="false" customHeight="false" outlineLevel="0" collapsed="false">
      <c r="G49" s="41" t="str">
        <f aca="false">IF(E49="","",IFERROR(IF(ISNUMBER(SEARCH(Assumptions!$C$5,E49)),Assumptions!$D$5,IF(ISNUMBER(SEARCH(Assumptions!$C$6,E49)),Assumptions!$D$6,IF(ISNUMBER(SEARCH(Assumptions!$C$7,E49)),Assumptions!$D$7,"Other Services"))),"Other Services"))</f>
        <v/>
      </c>
    </row>
    <row r="50" customFormat="false" ht="15" hidden="false" customHeight="false" outlineLevel="0" collapsed="false">
      <c r="G50" s="41" t="str">
        <f aca="false">IF(E50="","",IFERROR(IF(ISNUMBER(SEARCH(Assumptions!$C$5,E50)),Assumptions!$D$5,IF(ISNUMBER(SEARCH(Assumptions!$C$6,E50)),Assumptions!$D$6,IF(ISNUMBER(SEARCH(Assumptions!$C$7,E50)),Assumptions!$D$7,"Other Services"))),"Other Services"))</f>
        <v/>
      </c>
    </row>
    <row r="51" customFormat="false" ht="15" hidden="false" customHeight="false" outlineLevel="0" collapsed="false">
      <c r="G51" s="41" t="str">
        <f aca="false">IF(E51="","",IFERROR(IF(ISNUMBER(SEARCH(Assumptions!$C$5,E51)),Assumptions!$D$5,IF(ISNUMBER(SEARCH(Assumptions!$C$6,E51)),Assumptions!$D$6,IF(ISNUMBER(SEARCH(Assumptions!$C$7,E51)),Assumptions!$D$7,"Other Services"))),"Other Services"))</f>
        <v/>
      </c>
    </row>
    <row r="52" customFormat="false" ht="15" hidden="false" customHeight="false" outlineLevel="0" collapsed="false">
      <c r="G52" s="41" t="str">
        <f aca="false">IF(E52="","",IFERROR(IF(ISNUMBER(SEARCH(Assumptions!$C$5,E52)),Assumptions!$D$5,IF(ISNUMBER(SEARCH(Assumptions!$C$6,E52)),Assumptions!$D$6,IF(ISNUMBER(SEARCH(Assumptions!$C$7,E52)),Assumptions!$D$7,"Other Services"))),"Other Services"))</f>
        <v/>
      </c>
    </row>
    <row r="53" customFormat="false" ht="15" hidden="false" customHeight="false" outlineLevel="0" collapsed="false">
      <c r="G53" s="41" t="str">
        <f aca="false">IF(E53="","",IFERROR(IF(ISNUMBER(SEARCH(Assumptions!$C$5,E53)),Assumptions!$D$5,IF(ISNUMBER(SEARCH(Assumptions!$C$6,E53)),Assumptions!$D$6,IF(ISNUMBER(SEARCH(Assumptions!$C$7,E53)),Assumptions!$D$7,"Other Services"))),"Other Services"))</f>
        <v/>
      </c>
    </row>
    <row r="54" customFormat="false" ht="15" hidden="false" customHeight="false" outlineLevel="0" collapsed="false">
      <c r="G54" s="41" t="str">
        <f aca="false">IF(E54="","",IFERROR(IF(ISNUMBER(SEARCH(Assumptions!$C$5,E54)),Assumptions!$D$5,IF(ISNUMBER(SEARCH(Assumptions!$C$6,E54)),Assumptions!$D$6,IF(ISNUMBER(SEARCH(Assumptions!$C$7,E54)),Assumptions!$D$7,"Other Services"))),"Other Services"))</f>
        <v/>
      </c>
    </row>
    <row r="55" customFormat="false" ht="15" hidden="false" customHeight="false" outlineLevel="0" collapsed="false">
      <c r="G55" s="41" t="str">
        <f aca="false">IF(E55="","",IFERROR(IF(ISNUMBER(SEARCH(Assumptions!$C$5,E55)),Assumptions!$D$5,IF(ISNUMBER(SEARCH(Assumptions!$C$6,E55)),Assumptions!$D$6,IF(ISNUMBER(SEARCH(Assumptions!$C$7,E55)),Assumptions!$D$7,"Other Services"))),"Other Services"))</f>
        <v/>
      </c>
    </row>
    <row r="56" customFormat="false" ht="15" hidden="false" customHeight="false" outlineLevel="0" collapsed="false">
      <c r="G56" s="41" t="str">
        <f aca="false">IF(E56="","",IFERROR(IF(ISNUMBER(SEARCH(Assumptions!$C$5,E56)),Assumptions!$D$5,IF(ISNUMBER(SEARCH(Assumptions!$C$6,E56)),Assumptions!$D$6,IF(ISNUMBER(SEARCH(Assumptions!$C$7,E56)),Assumptions!$D$7,"Other Services"))),"Other Services"))</f>
        <v/>
      </c>
    </row>
    <row r="57" customFormat="false" ht="15" hidden="false" customHeight="false" outlineLevel="0" collapsed="false">
      <c r="G57" s="41" t="str">
        <f aca="false">IF(E57="","",IFERROR(IF(ISNUMBER(SEARCH(Assumptions!$C$5,E57)),Assumptions!$D$5,IF(ISNUMBER(SEARCH(Assumptions!$C$6,E57)),Assumptions!$D$6,IF(ISNUMBER(SEARCH(Assumptions!$C$7,E57)),Assumptions!$D$7,"Other Services"))),"Other Services"))</f>
        <v/>
      </c>
    </row>
    <row r="58" customFormat="false" ht="15" hidden="false" customHeight="false" outlineLevel="0" collapsed="false">
      <c r="G58" s="41" t="str">
        <f aca="false">IF(E58="","",IFERROR(IF(ISNUMBER(SEARCH(Assumptions!$C$5,E58)),Assumptions!$D$5,IF(ISNUMBER(SEARCH(Assumptions!$C$6,E58)),Assumptions!$D$6,IF(ISNUMBER(SEARCH(Assumptions!$C$7,E58)),Assumptions!$D$7,"Other Services"))),"Other Services"))</f>
        <v/>
      </c>
    </row>
    <row r="59" customFormat="false" ht="15" hidden="false" customHeight="false" outlineLevel="0" collapsed="false">
      <c r="G59" s="41" t="str">
        <f aca="false">IF(E59="","",IFERROR(IF(ISNUMBER(SEARCH(Assumptions!$C$5,E59)),Assumptions!$D$5,IF(ISNUMBER(SEARCH(Assumptions!$C$6,E59)),Assumptions!$D$6,IF(ISNUMBER(SEARCH(Assumptions!$C$7,E59)),Assumptions!$D$7,"Other Services"))),"Other Services"))</f>
        <v/>
      </c>
    </row>
    <row r="60" customFormat="false" ht="15" hidden="false" customHeight="false" outlineLevel="0" collapsed="false">
      <c r="G60" s="41" t="str">
        <f aca="false">IF(E60="","",IFERROR(IF(ISNUMBER(SEARCH(Assumptions!$C$5,E60)),Assumptions!$D$5,IF(ISNUMBER(SEARCH(Assumptions!$C$6,E60)),Assumptions!$D$6,IF(ISNUMBER(SEARCH(Assumptions!$C$7,E60)),Assumptions!$D$7,"Other Services"))),"Other Services"))</f>
        <v/>
      </c>
    </row>
    <row r="61" customFormat="false" ht="15" hidden="false" customHeight="false" outlineLevel="0" collapsed="false">
      <c r="G61" s="41" t="str">
        <f aca="false">IF(E61="","",IFERROR(IF(ISNUMBER(SEARCH(Assumptions!$C$5,E61)),Assumptions!$D$5,IF(ISNUMBER(SEARCH(Assumptions!$C$6,E61)),Assumptions!$D$6,IF(ISNUMBER(SEARCH(Assumptions!$C$7,E61)),Assumptions!$D$7,"Other Services"))),"Other Services"))</f>
        <v/>
      </c>
    </row>
    <row r="62" customFormat="false" ht="15" hidden="false" customHeight="false" outlineLevel="0" collapsed="false">
      <c r="G62" s="41" t="str">
        <f aca="false">IF(E62="","",IFERROR(IF(ISNUMBER(SEARCH(Assumptions!$C$5,E62)),Assumptions!$D$5,IF(ISNUMBER(SEARCH(Assumptions!$C$6,E62)),Assumptions!$D$6,IF(ISNUMBER(SEARCH(Assumptions!$C$7,E62)),Assumptions!$D$7,"Other Services"))),"Other Services"))</f>
        <v/>
      </c>
    </row>
    <row r="63" customFormat="false" ht="15" hidden="false" customHeight="false" outlineLevel="0" collapsed="false">
      <c r="G63" s="41" t="str">
        <f aca="false">IF(E63="","",IFERROR(IF(ISNUMBER(SEARCH(Assumptions!$C$5,E63)),Assumptions!$D$5,IF(ISNUMBER(SEARCH(Assumptions!$C$6,E63)),Assumptions!$D$6,IF(ISNUMBER(SEARCH(Assumptions!$C$7,E63)),Assumptions!$D$7,"Other Services"))),"Other Services"))</f>
        <v/>
      </c>
    </row>
    <row r="64" customFormat="false" ht="15" hidden="false" customHeight="false" outlineLevel="0" collapsed="false">
      <c r="G64" s="41" t="str">
        <f aca="false">IF(E64="","",IFERROR(IF(ISNUMBER(SEARCH(Assumptions!$C$5,E64)),Assumptions!$D$5,IF(ISNUMBER(SEARCH(Assumptions!$C$6,E64)),Assumptions!$D$6,IF(ISNUMBER(SEARCH(Assumptions!$C$7,E64)),Assumptions!$D$7,"Other Services"))),"Other Services"))</f>
        <v/>
      </c>
    </row>
    <row r="65" customFormat="false" ht="15" hidden="false" customHeight="false" outlineLevel="0" collapsed="false">
      <c r="G65" s="41" t="str">
        <f aca="false">IF(E65="","",IFERROR(IF(ISNUMBER(SEARCH(Assumptions!$C$5,E65)),Assumptions!$D$5,IF(ISNUMBER(SEARCH(Assumptions!$C$6,E65)),Assumptions!$D$6,IF(ISNUMBER(SEARCH(Assumptions!$C$7,E65)),Assumptions!$D$7,"Other Services"))),"Other Services"))</f>
        <v/>
      </c>
    </row>
    <row r="66" customFormat="false" ht="15" hidden="false" customHeight="false" outlineLevel="0" collapsed="false">
      <c r="G66" s="41" t="str">
        <f aca="false">IF(E66="","",IFERROR(IF(ISNUMBER(SEARCH(Assumptions!$C$5,E66)),Assumptions!$D$5,IF(ISNUMBER(SEARCH(Assumptions!$C$6,E66)),Assumptions!$D$6,IF(ISNUMBER(SEARCH(Assumptions!$C$7,E66)),Assumptions!$D$7,"Other Services"))),"Other Services"))</f>
        <v/>
      </c>
    </row>
    <row r="67" customFormat="false" ht="15" hidden="false" customHeight="false" outlineLevel="0" collapsed="false">
      <c r="G67" s="41" t="str">
        <f aca="false">IF(E67="","",IFERROR(IF(ISNUMBER(SEARCH(Assumptions!$C$5,E67)),Assumptions!$D$5,IF(ISNUMBER(SEARCH(Assumptions!$C$6,E67)),Assumptions!$D$6,IF(ISNUMBER(SEARCH(Assumptions!$C$7,E67)),Assumptions!$D$7,"Other Services"))),"Other Services"))</f>
        <v/>
      </c>
    </row>
    <row r="68" customFormat="false" ht="15" hidden="false" customHeight="false" outlineLevel="0" collapsed="false">
      <c r="G68" s="41" t="str">
        <f aca="false">IF(E68="","",IFERROR(IF(ISNUMBER(SEARCH(Assumptions!$C$5,E68)),Assumptions!$D$5,IF(ISNUMBER(SEARCH(Assumptions!$C$6,E68)),Assumptions!$D$6,IF(ISNUMBER(SEARCH(Assumptions!$C$7,E68)),Assumptions!$D$7,"Other Services"))),"Other Services"))</f>
        <v/>
      </c>
    </row>
    <row r="69" customFormat="false" ht="15" hidden="false" customHeight="false" outlineLevel="0" collapsed="false">
      <c r="G69" s="41" t="str">
        <f aca="false">IF(E69="","",IFERROR(IF(ISNUMBER(SEARCH(Assumptions!$C$5,E69)),Assumptions!$D$5,IF(ISNUMBER(SEARCH(Assumptions!$C$6,E69)),Assumptions!$D$6,IF(ISNUMBER(SEARCH(Assumptions!$C$7,E69)),Assumptions!$D$7,"Other Services"))),"Other Services"))</f>
        <v/>
      </c>
    </row>
    <row r="70" customFormat="false" ht="15" hidden="false" customHeight="false" outlineLevel="0" collapsed="false">
      <c r="G70" s="41" t="str">
        <f aca="false">IF(E70="","",IFERROR(IF(ISNUMBER(SEARCH(Assumptions!$C$5,E70)),Assumptions!$D$5,IF(ISNUMBER(SEARCH(Assumptions!$C$6,E70)),Assumptions!$D$6,IF(ISNUMBER(SEARCH(Assumptions!$C$7,E70)),Assumptions!$D$7,"Other Services"))),"Other Services"))</f>
        <v/>
      </c>
    </row>
    <row r="71" customFormat="false" ht="15" hidden="false" customHeight="false" outlineLevel="0" collapsed="false">
      <c r="G71" s="41" t="str">
        <f aca="false">IF(E71="","",IFERROR(IF(ISNUMBER(SEARCH(Assumptions!$C$5,E71)),Assumptions!$D$5,IF(ISNUMBER(SEARCH(Assumptions!$C$6,E71)),Assumptions!$D$6,IF(ISNUMBER(SEARCH(Assumptions!$C$7,E71)),Assumptions!$D$7,"Other Services"))),"Other Services"))</f>
        <v/>
      </c>
    </row>
    <row r="72" customFormat="false" ht="15" hidden="false" customHeight="false" outlineLevel="0" collapsed="false">
      <c r="G72" s="41" t="str">
        <f aca="false">IF(E72="","",IFERROR(IF(ISNUMBER(SEARCH(Assumptions!$C$5,E72)),Assumptions!$D$5,IF(ISNUMBER(SEARCH(Assumptions!$C$6,E72)),Assumptions!$D$6,IF(ISNUMBER(SEARCH(Assumptions!$C$7,E72)),Assumptions!$D$7,"Other Services"))),"Other Services"))</f>
        <v/>
      </c>
    </row>
    <row r="73" customFormat="false" ht="15" hidden="false" customHeight="false" outlineLevel="0" collapsed="false">
      <c r="G73" s="41" t="str">
        <f aca="false">IF(E73="","",IFERROR(IF(ISNUMBER(SEARCH(Assumptions!$C$5,E73)),Assumptions!$D$5,IF(ISNUMBER(SEARCH(Assumptions!$C$6,E73)),Assumptions!$D$6,IF(ISNUMBER(SEARCH(Assumptions!$C$7,E73)),Assumptions!$D$7,"Other Services"))),"Other Services"))</f>
        <v/>
      </c>
    </row>
    <row r="74" customFormat="false" ht="15" hidden="false" customHeight="false" outlineLevel="0" collapsed="false">
      <c r="G74" s="41" t="str">
        <f aca="false">IF(E74="","",IFERROR(IF(ISNUMBER(SEARCH(Assumptions!$C$5,E74)),Assumptions!$D$5,IF(ISNUMBER(SEARCH(Assumptions!$C$6,E74)),Assumptions!$D$6,IF(ISNUMBER(SEARCH(Assumptions!$C$7,E74)),Assumptions!$D$7,"Other Services"))),"Other Services"))</f>
        <v/>
      </c>
    </row>
    <row r="75" customFormat="false" ht="15" hidden="false" customHeight="false" outlineLevel="0" collapsed="false">
      <c r="G75" s="41" t="str">
        <f aca="false">IF(E75="","",IFERROR(IF(ISNUMBER(SEARCH(Assumptions!$C$5,E75)),Assumptions!$D$5,IF(ISNUMBER(SEARCH(Assumptions!$C$6,E75)),Assumptions!$D$6,IF(ISNUMBER(SEARCH(Assumptions!$C$7,E75)),Assumptions!$D$7,"Other Services"))),"Other Services"))</f>
        <v/>
      </c>
    </row>
    <row r="76" customFormat="false" ht="15" hidden="false" customHeight="false" outlineLevel="0" collapsed="false">
      <c r="G76" s="41" t="str">
        <f aca="false">IF(E76="","",IFERROR(IF(ISNUMBER(SEARCH(Assumptions!$C$5,E76)),Assumptions!$D$5,IF(ISNUMBER(SEARCH(Assumptions!$C$6,E76)),Assumptions!$D$6,IF(ISNUMBER(SEARCH(Assumptions!$C$7,E76)),Assumptions!$D$7,"Other Services"))),"Other Services"))</f>
        <v/>
      </c>
    </row>
    <row r="77" customFormat="false" ht="15" hidden="false" customHeight="false" outlineLevel="0" collapsed="false">
      <c r="G77" s="41" t="str">
        <f aca="false">IF(E77="","",IFERROR(IF(ISNUMBER(SEARCH(Assumptions!$C$5,E77)),Assumptions!$D$5,IF(ISNUMBER(SEARCH(Assumptions!$C$6,E77)),Assumptions!$D$6,IF(ISNUMBER(SEARCH(Assumptions!$C$7,E77)),Assumptions!$D$7,"Other Services"))),"Other Services"))</f>
        <v/>
      </c>
    </row>
    <row r="78" customFormat="false" ht="15" hidden="false" customHeight="false" outlineLevel="0" collapsed="false">
      <c r="G78" s="41" t="str">
        <f aca="false">IF(E78="","",IFERROR(IF(ISNUMBER(SEARCH(Assumptions!$C$5,E78)),Assumptions!$D$5,IF(ISNUMBER(SEARCH(Assumptions!$C$6,E78)),Assumptions!$D$6,IF(ISNUMBER(SEARCH(Assumptions!$C$7,E78)),Assumptions!$D$7,"Other Services"))),"Other Services"))</f>
        <v/>
      </c>
    </row>
    <row r="79" customFormat="false" ht="15" hidden="false" customHeight="false" outlineLevel="0" collapsed="false">
      <c r="G79" s="41" t="str">
        <f aca="false">IF(E79="","",IFERROR(IF(ISNUMBER(SEARCH(Assumptions!$C$5,E79)),Assumptions!$D$5,IF(ISNUMBER(SEARCH(Assumptions!$C$6,E79)),Assumptions!$D$6,IF(ISNUMBER(SEARCH(Assumptions!$C$7,E79)),Assumptions!$D$7,"Other Services"))),"Other Services"))</f>
        <v/>
      </c>
    </row>
    <row r="80" customFormat="false" ht="15" hidden="false" customHeight="false" outlineLevel="0" collapsed="false">
      <c r="G80" s="41" t="str">
        <f aca="false">IF(E80="","",IFERROR(IF(ISNUMBER(SEARCH(Assumptions!$C$5,E80)),Assumptions!$D$5,IF(ISNUMBER(SEARCH(Assumptions!$C$6,E80)),Assumptions!$D$6,IF(ISNUMBER(SEARCH(Assumptions!$C$7,E80)),Assumptions!$D$7,"Other Services"))),"Other Services"))</f>
        <v/>
      </c>
    </row>
    <row r="81" customFormat="false" ht="15" hidden="false" customHeight="false" outlineLevel="0" collapsed="false">
      <c r="G81" s="41" t="str">
        <f aca="false">IF(E81="","",IFERROR(IF(ISNUMBER(SEARCH(Assumptions!$C$5,E81)),Assumptions!$D$5,IF(ISNUMBER(SEARCH(Assumptions!$C$6,E81)),Assumptions!$D$6,IF(ISNUMBER(SEARCH(Assumptions!$C$7,E81)),Assumptions!$D$7,"Other Services"))),"Other Services"))</f>
        <v/>
      </c>
    </row>
    <row r="82" customFormat="false" ht="15" hidden="false" customHeight="false" outlineLevel="0" collapsed="false">
      <c r="G82" s="41" t="str">
        <f aca="false">IF(E82="","",IFERROR(IF(ISNUMBER(SEARCH(Assumptions!$C$5,E82)),Assumptions!$D$5,IF(ISNUMBER(SEARCH(Assumptions!$C$6,E82)),Assumptions!$D$6,IF(ISNUMBER(SEARCH(Assumptions!$C$7,E82)),Assumptions!$D$7,"Other Services"))),"Other Services"))</f>
        <v/>
      </c>
    </row>
    <row r="83" customFormat="false" ht="15" hidden="false" customHeight="false" outlineLevel="0" collapsed="false">
      <c r="G83" s="41" t="str">
        <f aca="false">IF(E83="","",IFERROR(IF(ISNUMBER(SEARCH(Assumptions!$C$5,E83)),Assumptions!$D$5,IF(ISNUMBER(SEARCH(Assumptions!$C$6,E83)),Assumptions!$D$6,IF(ISNUMBER(SEARCH(Assumptions!$C$7,E83)),Assumptions!$D$7,"Other Services"))),"Other Services"))</f>
        <v/>
      </c>
    </row>
    <row r="84" customFormat="false" ht="15" hidden="false" customHeight="false" outlineLevel="0" collapsed="false">
      <c r="G84" s="41" t="str">
        <f aca="false">IF(E84="","",IFERROR(IF(ISNUMBER(SEARCH(Assumptions!$C$5,E84)),Assumptions!$D$5,IF(ISNUMBER(SEARCH(Assumptions!$C$6,E84)),Assumptions!$D$6,IF(ISNUMBER(SEARCH(Assumptions!$C$7,E84)),Assumptions!$D$7,"Other Services"))),"Other Services"))</f>
        <v/>
      </c>
    </row>
    <row r="85" customFormat="false" ht="15" hidden="false" customHeight="false" outlineLevel="0" collapsed="false">
      <c r="G85" s="41" t="str">
        <f aca="false">IF(E85="","",IFERROR(IF(ISNUMBER(SEARCH(Assumptions!$C$5,E85)),Assumptions!$D$5,IF(ISNUMBER(SEARCH(Assumptions!$C$6,E85)),Assumptions!$D$6,IF(ISNUMBER(SEARCH(Assumptions!$C$7,E85)),Assumptions!$D$7,"Other Services"))),"Other Services"))</f>
        <v/>
      </c>
    </row>
    <row r="86" customFormat="false" ht="15" hidden="false" customHeight="false" outlineLevel="0" collapsed="false">
      <c r="G86" s="41" t="str">
        <f aca="false">IF(E86="","",IFERROR(IF(ISNUMBER(SEARCH(Assumptions!$C$5,E86)),Assumptions!$D$5,IF(ISNUMBER(SEARCH(Assumptions!$C$6,E86)),Assumptions!$D$6,IF(ISNUMBER(SEARCH(Assumptions!$C$7,E86)),Assumptions!$D$7,"Other Services"))),"Other Services"))</f>
        <v/>
      </c>
    </row>
    <row r="87" customFormat="false" ht="15" hidden="false" customHeight="false" outlineLevel="0" collapsed="false">
      <c r="G87" s="41" t="str">
        <f aca="false">IF(E87="","",IFERROR(IF(ISNUMBER(SEARCH(Assumptions!$C$5,E87)),Assumptions!$D$5,IF(ISNUMBER(SEARCH(Assumptions!$C$6,E87)),Assumptions!$D$6,IF(ISNUMBER(SEARCH(Assumptions!$C$7,E87)),Assumptions!$D$7,"Other Services"))),"Other Services"))</f>
        <v/>
      </c>
    </row>
    <row r="88" customFormat="false" ht="15" hidden="false" customHeight="false" outlineLevel="0" collapsed="false">
      <c r="G88" s="41" t="str">
        <f aca="false">IF(E88="","",IFERROR(IF(ISNUMBER(SEARCH(Assumptions!$C$5,E88)),Assumptions!$D$5,IF(ISNUMBER(SEARCH(Assumptions!$C$6,E88)),Assumptions!$D$6,IF(ISNUMBER(SEARCH(Assumptions!$C$7,E88)),Assumptions!$D$7,"Other Services"))),"Other Services"))</f>
        <v/>
      </c>
    </row>
    <row r="89" customFormat="false" ht="15" hidden="false" customHeight="false" outlineLevel="0" collapsed="false">
      <c r="G89" s="41" t="str">
        <f aca="false">IF(E89="","",IFERROR(IF(ISNUMBER(SEARCH(Assumptions!$C$5,E89)),Assumptions!$D$5,IF(ISNUMBER(SEARCH(Assumptions!$C$6,E89)),Assumptions!$D$6,IF(ISNUMBER(SEARCH(Assumptions!$C$7,E89)),Assumptions!$D$7,"Other Services"))),"Other Services"))</f>
        <v/>
      </c>
    </row>
    <row r="90" customFormat="false" ht="15" hidden="false" customHeight="false" outlineLevel="0" collapsed="false">
      <c r="G90" s="41" t="str">
        <f aca="false">IF(E90="","",IFERROR(IF(ISNUMBER(SEARCH(Assumptions!$C$5,E90)),Assumptions!$D$5,IF(ISNUMBER(SEARCH(Assumptions!$C$6,E90)),Assumptions!$D$6,IF(ISNUMBER(SEARCH(Assumptions!$C$7,E90)),Assumptions!$D$7,"Other Services"))),"Other Services"))</f>
        <v/>
      </c>
    </row>
    <row r="91" customFormat="false" ht="15" hidden="false" customHeight="false" outlineLevel="0" collapsed="false">
      <c r="G91" s="41" t="str">
        <f aca="false">IF(E91="","",IFERROR(IF(ISNUMBER(SEARCH(Assumptions!$C$5,E91)),Assumptions!$D$5,IF(ISNUMBER(SEARCH(Assumptions!$C$6,E91)),Assumptions!$D$6,IF(ISNUMBER(SEARCH(Assumptions!$C$7,E91)),Assumptions!$D$7,"Other Services"))),"Other Services"))</f>
        <v/>
      </c>
    </row>
    <row r="92" customFormat="false" ht="15" hidden="false" customHeight="false" outlineLevel="0" collapsed="false">
      <c r="G92" s="41" t="str">
        <f aca="false">IF(E92="","",IFERROR(IF(ISNUMBER(SEARCH(Assumptions!$C$5,E92)),Assumptions!$D$5,IF(ISNUMBER(SEARCH(Assumptions!$C$6,E92)),Assumptions!$D$6,IF(ISNUMBER(SEARCH(Assumptions!$C$7,E92)),Assumptions!$D$7,"Other Services"))),"Other Services"))</f>
        <v/>
      </c>
    </row>
    <row r="93" customFormat="false" ht="15" hidden="false" customHeight="false" outlineLevel="0" collapsed="false">
      <c r="G93" s="41" t="str">
        <f aca="false">IF(E93="","",IFERROR(IF(ISNUMBER(SEARCH(Assumptions!$C$5,E93)),Assumptions!$D$5,IF(ISNUMBER(SEARCH(Assumptions!$C$6,E93)),Assumptions!$D$6,IF(ISNUMBER(SEARCH(Assumptions!$C$7,E93)),Assumptions!$D$7,"Other Services"))),"Other Services"))</f>
        <v/>
      </c>
    </row>
    <row r="94" customFormat="false" ht="15" hidden="false" customHeight="false" outlineLevel="0" collapsed="false">
      <c r="G94" s="41" t="str">
        <f aca="false">IF(E94="","",IFERROR(IF(ISNUMBER(SEARCH(Assumptions!$C$5,E94)),Assumptions!$D$5,IF(ISNUMBER(SEARCH(Assumptions!$C$6,E94)),Assumptions!$D$6,IF(ISNUMBER(SEARCH(Assumptions!$C$7,E94)),Assumptions!$D$7,"Other Services"))),"Other Services"))</f>
        <v/>
      </c>
    </row>
    <row r="95" customFormat="false" ht="15" hidden="false" customHeight="false" outlineLevel="0" collapsed="false">
      <c r="G95" s="41" t="str">
        <f aca="false">IF(E95="","",IFERROR(IF(ISNUMBER(SEARCH(Assumptions!$C$5,E95)),Assumptions!$D$5,IF(ISNUMBER(SEARCH(Assumptions!$C$6,E95)),Assumptions!$D$6,IF(ISNUMBER(SEARCH(Assumptions!$C$7,E95)),Assumptions!$D$7,"Other Services"))),"Other Services"))</f>
        <v/>
      </c>
    </row>
    <row r="96" customFormat="false" ht="15" hidden="false" customHeight="false" outlineLevel="0" collapsed="false">
      <c r="G96" s="41" t="str">
        <f aca="false">IF(E96="","",IFERROR(IF(ISNUMBER(SEARCH(Assumptions!$C$5,E96)),Assumptions!$D$5,IF(ISNUMBER(SEARCH(Assumptions!$C$6,E96)),Assumptions!$D$6,IF(ISNUMBER(SEARCH(Assumptions!$C$7,E96)),Assumptions!$D$7,"Other Services"))),"Other Services"))</f>
        <v/>
      </c>
    </row>
    <row r="97" customFormat="false" ht="15" hidden="false" customHeight="false" outlineLevel="0" collapsed="false">
      <c r="G97" s="41" t="str">
        <f aca="false">IF(E97="","",IFERROR(IF(ISNUMBER(SEARCH(Assumptions!$C$5,E97)),Assumptions!$D$5,IF(ISNUMBER(SEARCH(Assumptions!$C$6,E97)),Assumptions!$D$6,IF(ISNUMBER(SEARCH(Assumptions!$C$7,E97)),Assumptions!$D$7,"Other Services"))),"Other Services"))</f>
        <v/>
      </c>
    </row>
    <row r="98" customFormat="false" ht="15" hidden="false" customHeight="false" outlineLevel="0" collapsed="false">
      <c r="G98" s="41" t="str">
        <f aca="false">IF(E98="","",IFERROR(IF(ISNUMBER(SEARCH(Assumptions!$C$5,E98)),Assumptions!$D$5,IF(ISNUMBER(SEARCH(Assumptions!$C$6,E98)),Assumptions!$D$6,IF(ISNUMBER(SEARCH(Assumptions!$C$7,E98)),Assumptions!$D$7,"Other Services"))),"Other Services"))</f>
        <v/>
      </c>
    </row>
    <row r="99" customFormat="false" ht="15" hidden="false" customHeight="false" outlineLevel="0" collapsed="false">
      <c r="G99" s="41" t="str">
        <f aca="false">IF(E99="","",IFERROR(IF(ISNUMBER(SEARCH(Assumptions!$C$5,E99)),Assumptions!$D$5,IF(ISNUMBER(SEARCH(Assumptions!$C$6,E99)),Assumptions!$D$6,IF(ISNUMBER(SEARCH(Assumptions!$C$7,E99)),Assumptions!$D$7,"Other Services"))),"Other Services"))</f>
        <v/>
      </c>
    </row>
    <row r="100" customFormat="false" ht="15" hidden="false" customHeight="false" outlineLevel="0" collapsed="false">
      <c r="G100" s="41" t="str">
        <f aca="false">IF(E100="","",IFERROR(IF(ISNUMBER(SEARCH(Assumptions!$C$5,E100)),Assumptions!$D$5,IF(ISNUMBER(SEARCH(Assumptions!$C$6,E100)),Assumptions!$D$6,IF(ISNUMBER(SEARCH(Assumptions!$C$7,E100)),Assumptions!$D$7,"Other Services"))),"Other Services"))</f>
        <v/>
      </c>
    </row>
    <row r="101" customFormat="false" ht="15" hidden="false" customHeight="false" outlineLevel="0" collapsed="false">
      <c r="G101" s="41" t="str">
        <f aca="false">IF(E101="","",IFERROR(IF(ISNUMBER(SEARCH(Assumptions!$C$5,E101)),Assumptions!$D$5,IF(ISNUMBER(SEARCH(Assumptions!$C$6,E101)),Assumptions!$D$6,IF(ISNUMBER(SEARCH(Assumptions!$C$7,E101)),Assumptions!$D$7,"Other Services"))),"Other Services"))</f>
        <v/>
      </c>
    </row>
    <row r="102" customFormat="false" ht="15" hidden="false" customHeight="false" outlineLevel="0" collapsed="false">
      <c r="G102" s="41" t="str">
        <f aca="false">IF(E102="","",IFERROR(IF(ISNUMBER(SEARCH(Assumptions!$C$5,E102)),Assumptions!$D$5,IF(ISNUMBER(SEARCH(Assumptions!$C$6,E102)),Assumptions!$D$6,IF(ISNUMBER(SEARCH(Assumptions!$C$7,E102)),Assumptions!$D$7,"Other Services"))),"Other Services"))</f>
        <v/>
      </c>
    </row>
    <row r="103" customFormat="false" ht="15" hidden="false" customHeight="false" outlineLevel="0" collapsed="false">
      <c r="G103" s="41" t="str">
        <f aca="false">IF(E103="","",IFERROR(IF(ISNUMBER(SEARCH(Assumptions!$C$5,E103)),Assumptions!$D$5,IF(ISNUMBER(SEARCH(Assumptions!$C$6,E103)),Assumptions!$D$6,IF(ISNUMBER(SEARCH(Assumptions!$C$7,E103)),Assumptions!$D$7,"Other Services"))),"Other Services"))</f>
        <v/>
      </c>
    </row>
    <row r="104" customFormat="false" ht="15" hidden="false" customHeight="false" outlineLevel="0" collapsed="false">
      <c r="G104" s="41" t="str">
        <f aca="false">IF(E104="","",IFERROR(IF(ISNUMBER(SEARCH(Assumptions!$C$5,E104)),Assumptions!$D$5,IF(ISNUMBER(SEARCH(Assumptions!$C$6,E104)),Assumptions!$D$6,IF(ISNUMBER(SEARCH(Assumptions!$C$7,E104)),Assumptions!$D$7,"Other Services"))),"Other Services"))</f>
        <v/>
      </c>
    </row>
    <row r="105" customFormat="false" ht="15" hidden="false" customHeight="false" outlineLevel="0" collapsed="false">
      <c r="G105" s="41" t="str">
        <f aca="false">IF(E105="","",IFERROR(IF(ISNUMBER(SEARCH(Assumptions!$C$5,E105)),Assumptions!$D$5,IF(ISNUMBER(SEARCH(Assumptions!$C$6,E105)),Assumptions!$D$6,IF(ISNUMBER(SEARCH(Assumptions!$C$7,E105)),Assumptions!$D$7,"Other Services"))),"Other Services"))</f>
        <v/>
      </c>
    </row>
    <row r="106" customFormat="false" ht="15" hidden="false" customHeight="false" outlineLevel="0" collapsed="false">
      <c r="G106" s="41" t="str">
        <f aca="false">IF(E106="","",IFERROR(IF(ISNUMBER(SEARCH(Assumptions!$C$5,E106)),Assumptions!$D$5,IF(ISNUMBER(SEARCH(Assumptions!$C$6,E106)),Assumptions!$D$6,IF(ISNUMBER(SEARCH(Assumptions!$C$7,E106)),Assumptions!$D$7,"Other Services"))),"Other Services"))</f>
        <v/>
      </c>
    </row>
    <row r="107" customFormat="false" ht="15" hidden="false" customHeight="false" outlineLevel="0" collapsed="false">
      <c r="G107" s="41" t="str">
        <f aca="false">IF(E107="","",IFERROR(IF(ISNUMBER(SEARCH(Assumptions!$C$5,E107)),Assumptions!$D$5,IF(ISNUMBER(SEARCH(Assumptions!$C$6,E107)),Assumptions!$D$6,IF(ISNUMBER(SEARCH(Assumptions!$C$7,E107)),Assumptions!$D$7,"Other Services"))),"Other Services"))</f>
        <v/>
      </c>
    </row>
    <row r="108" customFormat="false" ht="15" hidden="false" customHeight="false" outlineLevel="0" collapsed="false">
      <c r="G108" s="41" t="str">
        <f aca="false">IF(E108="","",IFERROR(IF(ISNUMBER(SEARCH(Assumptions!$C$5,E108)),Assumptions!$D$5,IF(ISNUMBER(SEARCH(Assumptions!$C$6,E108)),Assumptions!$D$6,IF(ISNUMBER(SEARCH(Assumptions!$C$7,E108)),Assumptions!$D$7,"Other Services"))),"Other Services"))</f>
        <v/>
      </c>
    </row>
    <row r="109" customFormat="false" ht="15" hidden="false" customHeight="false" outlineLevel="0" collapsed="false">
      <c r="G109" s="41" t="str">
        <f aca="false">IF(E109="","",IFERROR(IF(ISNUMBER(SEARCH(Assumptions!$C$5,E109)),Assumptions!$D$5,IF(ISNUMBER(SEARCH(Assumptions!$C$6,E109)),Assumptions!$D$6,IF(ISNUMBER(SEARCH(Assumptions!$C$7,E109)),Assumptions!$D$7,"Other Services"))),"Other Services"))</f>
        <v/>
      </c>
    </row>
    <row r="110" customFormat="false" ht="15" hidden="false" customHeight="false" outlineLevel="0" collapsed="false">
      <c r="G110" s="41" t="str">
        <f aca="false">IF(E110="","",IFERROR(IF(ISNUMBER(SEARCH(Assumptions!$C$5,E110)),Assumptions!$D$5,IF(ISNUMBER(SEARCH(Assumptions!$C$6,E110)),Assumptions!$D$6,IF(ISNUMBER(SEARCH(Assumptions!$C$7,E110)),Assumptions!$D$7,"Other Services"))),"Other Services"))</f>
        <v/>
      </c>
    </row>
    <row r="111" customFormat="false" ht="15" hidden="false" customHeight="false" outlineLevel="0" collapsed="false">
      <c r="G111" s="41" t="str">
        <f aca="false">IF(E111="","",IFERROR(IF(ISNUMBER(SEARCH(Assumptions!$C$5,E111)),Assumptions!$D$5,IF(ISNUMBER(SEARCH(Assumptions!$C$6,E111)),Assumptions!$D$6,IF(ISNUMBER(SEARCH(Assumptions!$C$7,E111)),Assumptions!$D$7,"Other Services"))),"Other Services"))</f>
        <v/>
      </c>
    </row>
    <row r="112" customFormat="false" ht="15" hidden="false" customHeight="false" outlineLevel="0" collapsed="false">
      <c r="G112" s="41" t="str">
        <f aca="false">IF(E112="","",IFERROR(IF(ISNUMBER(SEARCH(Assumptions!$C$5,E112)),Assumptions!$D$5,IF(ISNUMBER(SEARCH(Assumptions!$C$6,E112)),Assumptions!$D$6,IF(ISNUMBER(SEARCH(Assumptions!$C$7,E112)),Assumptions!$D$7,"Other Services"))),"Other Services"))</f>
        <v/>
      </c>
    </row>
    <row r="113" customFormat="false" ht="15" hidden="false" customHeight="false" outlineLevel="0" collapsed="false">
      <c r="G113" s="41" t="str">
        <f aca="false">IF(E113="","",IFERROR(IF(ISNUMBER(SEARCH(Assumptions!$C$5,E113)),Assumptions!$D$5,IF(ISNUMBER(SEARCH(Assumptions!$C$6,E113)),Assumptions!$D$6,IF(ISNUMBER(SEARCH(Assumptions!$C$7,E113)),Assumptions!$D$7,"Other Services"))),"Other Services"))</f>
        <v/>
      </c>
    </row>
    <row r="114" customFormat="false" ht="15" hidden="false" customHeight="false" outlineLevel="0" collapsed="false">
      <c r="G114" s="41" t="str">
        <f aca="false">IF(E114="","",IFERROR(IF(ISNUMBER(SEARCH(Assumptions!$C$5,E114)),Assumptions!$D$5,IF(ISNUMBER(SEARCH(Assumptions!$C$6,E114)),Assumptions!$D$6,IF(ISNUMBER(SEARCH(Assumptions!$C$7,E114)),Assumptions!$D$7,"Other Services"))),"Other Services"))</f>
        <v/>
      </c>
    </row>
    <row r="115" customFormat="false" ht="15" hidden="false" customHeight="false" outlineLevel="0" collapsed="false">
      <c r="G115" s="41" t="str">
        <f aca="false">IF(E115="","",IFERROR(IF(ISNUMBER(SEARCH(Assumptions!$C$5,E115)),Assumptions!$D$5,IF(ISNUMBER(SEARCH(Assumptions!$C$6,E115)),Assumptions!$D$6,IF(ISNUMBER(SEARCH(Assumptions!$C$7,E115)),Assumptions!$D$7,"Other Services"))),"Other Services"))</f>
        <v/>
      </c>
    </row>
    <row r="116" customFormat="false" ht="15" hidden="false" customHeight="false" outlineLevel="0" collapsed="false">
      <c r="G116" s="41" t="str">
        <f aca="false">IF(E116="","",IFERROR(IF(ISNUMBER(SEARCH(Assumptions!$C$5,E116)),Assumptions!$D$5,IF(ISNUMBER(SEARCH(Assumptions!$C$6,E116)),Assumptions!$D$6,IF(ISNUMBER(SEARCH(Assumptions!$C$7,E116)),Assumptions!$D$7,"Other Services"))),"Other Services"))</f>
        <v/>
      </c>
    </row>
    <row r="117" customFormat="false" ht="15" hidden="false" customHeight="false" outlineLevel="0" collapsed="false">
      <c r="G117" s="41" t="str">
        <f aca="false">IF(E117="","",IFERROR(IF(ISNUMBER(SEARCH(Assumptions!$C$5,E117)),Assumptions!$D$5,IF(ISNUMBER(SEARCH(Assumptions!$C$6,E117)),Assumptions!$D$6,IF(ISNUMBER(SEARCH(Assumptions!$C$7,E117)),Assumptions!$D$7,"Other Services"))),"Other Services"))</f>
        <v/>
      </c>
    </row>
    <row r="118" customFormat="false" ht="15" hidden="false" customHeight="false" outlineLevel="0" collapsed="false">
      <c r="G118" s="41" t="str">
        <f aca="false">IF(E118="","",IFERROR(IF(ISNUMBER(SEARCH(Assumptions!$C$5,E118)),Assumptions!$D$5,IF(ISNUMBER(SEARCH(Assumptions!$C$6,E118)),Assumptions!$D$6,IF(ISNUMBER(SEARCH(Assumptions!$C$7,E118)),Assumptions!$D$7,"Other Services"))),"Other Services"))</f>
        <v/>
      </c>
    </row>
    <row r="119" customFormat="false" ht="15" hidden="false" customHeight="false" outlineLevel="0" collapsed="false">
      <c r="G119" s="41" t="str">
        <f aca="false">IF(E119="","",IFERROR(IF(ISNUMBER(SEARCH(Assumptions!$C$5,E119)),Assumptions!$D$5,IF(ISNUMBER(SEARCH(Assumptions!$C$6,E119)),Assumptions!$D$6,IF(ISNUMBER(SEARCH(Assumptions!$C$7,E119)),Assumptions!$D$7,"Other Services"))),"Other Services"))</f>
        <v/>
      </c>
    </row>
    <row r="120" customFormat="false" ht="15" hidden="false" customHeight="false" outlineLevel="0" collapsed="false">
      <c r="G120" s="41" t="str">
        <f aca="false">IF(E120="","",IFERROR(IF(ISNUMBER(SEARCH(Assumptions!$C$5,E120)),Assumptions!$D$5,IF(ISNUMBER(SEARCH(Assumptions!$C$6,E120)),Assumptions!$D$6,IF(ISNUMBER(SEARCH(Assumptions!$C$7,E120)),Assumptions!$D$7,"Other Services"))),"Other Services"))</f>
        <v/>
      </c>
    </row>
    <row r="121" customFormat="false" ht="15" hidden="false" customHeight="false" outlineLevel="0" collapsed="false">
      <c r="G121" s="41" t="str">
        <f aca="false">IF(E121="","",IFERROR(IF(ISNUMBER(SEARCH(Assumptions!$C$5,E121)),Assumptions!$D$5,IF(ISNUMBER(SEARCH(Assumptions!$C$6,E121)),Assumptions!$D$6,IF(ISNUMBER(SEARCH(Assumptions!$C$7,E121)),Assumptions!$D$7,"Other Services"))),"Other Services"))</f>
        <v/>
      </c>
    </row>
    <row r="122" customFormat="false" ht="15" hidden="false" customHeight="false" outlineLevel="0" collapsed="false">
      <c r="G122" s="41" t="str">
        <f aca="false">IF(E122="","",IFERROR(IF(ISNUMBER(SEARCH(Assumptions!$C$5,E122)),Assumptions!$D$5,IF(ISNUMBER(SEARCH(Assumptions!$C$6,E122)),Assumptions!$D$6,IF(ISNUMBER(SEARCH(Assumptions!$C$7,E122)),Assumptions!$D$7,"Other Services"))),"Other Services"))</f>
        <v/>
      </c>
    </row>
    <row r="123" customFormat="false" ht="15" hidden="false" customHeight="false" outlineLevel="0" collapsed="false">
      <c r="G123" s="41" t="str">
        <f aca="false">IF(E123="","",IFERROR(IF(ISNUMBER(SEARCH(Assumptions!$C$5,E123)),Assumptions!$D$5,IF(ISNUMBER(SEARCH(Assumptions!$C$6,E123)),Assumptions!$D$6,IF(ISNUMBER(SEARCH(Assumptions!$C$7,E123)),Assumptions!$D$7,"Other Services"))),"Other Services"))</f>
        <v/>
      </c>
    </row>
    <row r="124" customFormat="false" ht="15" hidden="false" customHeight="false" outlineLevel="0" collapsed="false">
      <c r="G124" s="41" t="str">
        <f aca="false">IF(E124="","",IFERROR(IF(ISNUMBER(SEARCH(Assumptions!$C$5,E124)),Assumptions!$D$5,IF(ISNUMBER(SEARCH(Assumptions!$C$6,E124)),Assumptions!$D$6,IF(ISNUMBER(SEARCH(Assumptions!$C$7,E124)),Assumptions!$D$7,"Other Services"))),"Other Services"))</f>
        <v/>
      </c>
    </row>
    <row r="125" customFormat="false" ht="15" hidden="false" customHeight="false" outlineLevel="0" collapsed="false">
      <c r="G125" s="41" t="str">
        <f aca="false">IF(E125="","",IFERROR(IF(ISNUMBER(SEARCH(Assumptions!$C$5,E125)),Assumptions!$D$5,IF(ISNUMBER(SEARCH(Assumptions!$C$6,E125)),Assumptions!$D$6,IF(ISNUMBER(SEARCH(Assumptions!$C$7,E125)),Assumptions!$D$7,"Other Services"))),"Other Services"))</f>
        <v/>
      </c>
    </row>
    <row r="126" customFormat="false" ht="15" hidden="false" customHeight="false" outlineLevel="0" collapsed="false">
      <c r="G126" s="41" t="str">
        <f aca="false">IF(E126="","",IFERROR(IF(ISNUMBER(SEARCH(Assumptions!$C$5,E126)),Assumptions!$D$5,IF(ISNUMBER(SEARCH(Assumptions!$C$6,E126)),Assumptions!$D$6,IF(ISNUMBER(SEARCH(Assumptions!$C$7,E126)),Assumptions!$D$7,"Other Services"))),"Other Services"))</f>
        <v/>
      </c>
    </row>
    <row r="127" customFormat="false" ht="15" hidden="false" customHeight="false" outlineLevel="0" collapsed="false">
      <c r="G127" s="41" t="str">
        <f aca="false">IF(E127="","",IFERROR(IF(ISNUMBER(SEARCH(Assumptions!$C$5,E127)),Assumptions!$D$5,IF(ISNUMBER(SEARCH(Assumptions!$C$6,E127)),Assumptions!$D$6,IF(ISNUMBER(SEARCH(Assumptions!$C$7,E127)),Assumptions!$D$7,"Other Services"))),"Other Services"))</f>
        <v/>
      </c>
    </row>
    <row r="128" customFormat="false" ht="15" hidden="false" customHeight="false" outlineLevel="0" collapsed="false">
      <c r="G128" s="41" t="str">
        <f aca="false">IF(E128="","",IFERROR(IF(ISNUMBER(SEARCH(Assumptions!$C$5,E128)),Assumptions!$D$5,IF(ISNUMBER(SEARCH(Assumptions!$C$6,E128)),Assumptions!$D$6,IF(ISNUMBER(SEARCH(Assumptions!$C$7,E128)),Assumptions!$D$7,"Other Services"))),"Other Services"))</f>
        <v/>
      </c>
    </row>
    <row r="129" customFormat="false" ht="15" hidden="false" customHeight="false" outlineLevel="0" collapsed="false">
      <c r="G129" s="41" t="str">
        <f aca="false">IF(E129="","",IFERROR(IF(ISNUMBER(SEARCH(Assumptions!$C$5,E129)),Assumptions!$D$5,IF(ISNUMBER(SEARCH(Assumptions!$C$6,E129)),Assumptions!$D$6,IF(ISNUMBER(SEARCH(Assumptions!$C$7,E129)),Assumptions!$D$7,"Other Services"))),"Other Services"))</f>
        <v/>
      </c>
    </row>
    <row r="130" customFormat="false" ht="15" hidden="false" customHeight="false" outlineLevel="0" collapsed="false">
      <c r="G130" s="41" t="str">
        <f aca="false">IF(E130="","",IFERROR(IF(ISNUMBER(SEARCH(Assumptions!$C$5,E130)),Assumptions!$D$5,IF(ISNUMBER(SEARCH(Assumptions!$C$6,E130)),Assumptions!$D$6,IF(ISNUMBER(SEARCH(Assumptions!$C$7,E130)),Assumptions!$D$7,"Other Services"))),"Other Services"))</f>
        <v/>
      </c>
    </row>
    <row r="131" customFormat="false" ht="15" hidden="false" customHeight="false" outlineLevel="0" collapsed="false">
      <c r="G131" s="41" t="str">
        <f aca="false">IF(E131="","",IFERROR(IF(ISNUMBER(SEARCH(Assumptions!$C$5,E131)),Assumptions!$D$5,IF(ISNUMBER(SEARCH(Assumptions!$C$6,E131)),Assumptions!$D$6,IF(ISNUMBER(SEARCH(Assumptions!$C$7,E131)),Assumptions!$D$7,"Other Services"))),"Other Services"))</f>
        <v/>
      </c>
    </row>
    <row r="132" customFormat="false" ht="15" hidden="false" customHeight="false" outlineLevel="0" collapsed="false">
      <c r="G132" s="41" t="str">
        <f aca="false">IF(E132="","",IFERROR(IF(ISNUMBER(SEARCH(Assumptions!$C$5,E132)),Assumptions!$D$5,IF(ISNUMBER(SEARCH(Assumptions!$C$6,E132)),Assumptions!$D$6,IF(ISNUMBER(SEARCH(Assumptions!$C$7,E132)),Assumptions!$D$7,"Other Services"))),"Other Services"))</f>
        <v/>
      </c>
    </row>
    <row r="133" customFormat="false" ht="15" hidden="false" customHeight="false" outlineLevel="0" collapsed="false">
      <c r="G133" s="41" t="str">
        <f aca="false">IF(E133="","",IFERROR(IF(ISNUMBER(SEARCH(Assumptions!$C$5,E133)),Assumptions!$D$5,IF(ISNUMBER(SEARCH(Assumptions!$C$6,E133)),Assumptions!$D$6,IF(ISNUMBER(SEARCH(Assumptions!$C$7,E133)),Assumptions!$D$7,"Other Services"))),"Other Services"))</f>
        <v/>
      </c>
    </row>
    <row r="134" customFormat="false" ht="15" hidden="false" customHeight="false" outlineLevel="0" collapsed="false">
      <c r="G134" s="41" t="str">
        <f aca="false">IF(E134="","",IFERROR(IF(ISNUMBER(SEARCH(Assumptions!$C$5,E134)),Assumptions!$D$5,IF(ISNUMBER(SEARCH(Assumptions!$C$6,E134)),Assumptions!$D$6,IF(ISNUMBER(SEARCH(Assumptions!$C$7,E134)),Assumptions!$D$7,"Other Services"))),"Other Services"))</f>
        <v/>
      </c>
    </row>
    <row r="135" customFormat="false" ht="15" hidden="false" customHeight="false" outlineLevel="0" collapsed="false">
      <c r="G135" s="41" t="str">
        <f aca="false">IF(E135="","",IFERROR(IF(ISNUMBER(SEARCH(Assumptions!$C$5,E135)),Assumptions!$D$5,IF(ISNUMBER(SEARCH(Assumptions!$C$6,E135)),Assumptions!$D$6,IF(ISNUMBER(SEARCH(Assumptions!$C$7,E135)),Assumptions!$D$7,"Other Services"))),"Other Services"))</f>
        <v/>
      </c>
    </row>
    <row r="136" customFormat="false" ht="15" hidden="false" customHeight="false" outlineLevel="0" collapsed="false">
      <c r="G136" s="41" t="str">
        <f aca="false">IF(E136="","",IFERROR(IF(ISNUMBER(SEARCH(Assumptions!$C$5,E136)),Assumptions!$D$5,IF(ISNUMBER(SEARCH(Assumptions!$C$6,E136)),Assumptions!$D$6,IF(ISNUMBER(SEARCH(Assumptions!$C$7,E136)),Assumptions!$D$7,"Other Services"))),"Other Services"))</f>
        <v/>
      </c>
    </row>
    <row r="137" customFormat="false" ht="15" hidden="false" customHeight="false" outlineLevel="0" collapsed="false">
      <c r="G137" s="41" t="str">
        <f aca="false">IF(E137="","",IFERROR(IF(ISNUMBER(SEARCH(Assumptions!$C$5,E137)),Assumptions!$D$5,IF(ISNUMBER(SEARCH(Assumptions!$C$6,E137)),Assumptions!$D$6,IF(ISNUMBER(SEARCH(Assumptions!$C$7,E137)),Assumptions!$D$7,"Other Services"))),"Other Services"))</f>
        <v/>
      </c>
    </row>
    <row r="138" customFormat="false" ht="15" hidden="false" customHeight="false" outlineLevel="0" collapsed="false">
      <c r="G138" s="41" t="str">
        <f aca="false">IF(E138="","",IFERROR(IF(ISNUMBER(SEARCH(Assumptions!$C$5,E138)),Assumptions!$D$5,IF(ISNUMBER(SEARCH(Assumptions!$C$6,E138)),Assumptions!$D$6,IF(ISNUMBER(SEARCH(Assumptions!$C$7,E138)),Assumptions!$D$7,"Other Services"))),"Other Services"))</f>
        <v/>
      </c>
    </row>
    <row r="139" customFormat="false" ht="15" hidden="false" customHeight="false" outlineLevel="0" collapsed="false">
      <c r="G139" s="41" t="str">
        <f aca="false">IF(E139="","",IFERROR(IF(ISNUMBER(SEARCH(Assumptions!$C$5,E139)),Assumptions!$D$5,IF(ISNUMBER(SEARCH(Assumptions!$C$6,E139)),Assumptions!$D$6,IF(ISNUMBER(SEARCH(Assumptions!$C$7,E139)),Assumptions!$D$7,"Other Services"))),"Other Services"))</f>
        <v/>
      </c>
    </row>
    <row r="140" customFormat="false" ht="15" hidden="false" customHeight="false" outlineLevel="0" collapsed="false">
      <c r="G140" s="41" t="str">
        <f aca="false">IF(E140="","",IFERROR(IF(ISNUMBER(SEARCH(Assumptions!$C$5,E140)),Assumptions!$D$5,IF(ISNUMBER(SEARCH(Assumptions!$C$6,E140)),Assumptions!$D$6,IF(ISNUMBER(SEARCH(Assumptions!$C$7,E140)),Assumptions!$D$7,"Other Services"))),"Other Services"))</f>
        <v/>
      </c>
    </row>
    <row r="141" customFormat="false" ht="15" hidden="false" customHeight="false" outlineLevel="0" collapsed="false">
      <c r="G141" s="41" t="str">
        <f aca="false">IF(E141="","",IFERROR(IF(ISNUMBER(SEARCH(Assumptions!$C$5,E141)),Assumptions!$D$5,IF(ISNUMBER(SEARCH(Assumptions!$C$6,E141)),Assumptions!$D$6,IF(ISNUMBER(SEARCH(Assumptions!$C$7,E141)),Assumptions!$D$7,"Other Services"))),"Other Services"))</f>
        <v/>
      </c>
    </row>
    <row r="142" customFormat="false" ht="15" hidden="false" customHeight="false" outlineLevel="0" collapsed="false">
      <c r="G142" s="41" t="str">
        <f aca="false">IF(E142="","",IFERROR(IF(ISNUMBER(SEARCH(Assumptions!$C$5,E142)),Assumptions!$D$5,IF(ISNUMBER(SEARCH(Assumptions!$C$6,E142)),Assumptions!$D$6,IF(ISNUMBER(SEARCH(Assumptions!$C$7,E142)),Assumptions!$D$7,"Other Services"))),"Other Services"))</f>
        <v/>
      </c>
    </row>
    <row r="143" customFormat="false" ht="15" hidden="false" customHeight="false" outlineLevel="0" collapsed="false">
      <c r="G143" s="41" t="str">
        <f aca="false">IF(E143="","",IFERROR(IF(ISNUMBER(SEARCH(Assumptions!$C$5,E143)),Assumptions!$D$5,IF(ISNUMBER(SEARCH(Assumptions!$C$6,E143)),Assumptions!$D$6,IF(ISNUMBER(SEARCH(Assumptions!$C$7,E143)),Assumptions!$D$7,"Other Services"))),"Other Services"))</f>
        <v/>
      </c>
    </row>
    <row r="144" customFormat="false" ht="15" hidden="false" customHeight="false" outlineLevel="0" collapsed="false">
      <c r="G144" s="41" t="str">
        <f aca="false">IF(E144="","",IFERROR(IF(ISNUMBER(SEARCH(Assumptions!$C$5,E144)),Assumptions!$D$5,IF(ISNUMBER(SEARCH(Assumptions!$C$6,E144)),Assumptions!$D$6,IF(ISNUMBER(SEARCH(Assumptions!$C$7,E144)),Assumptions!$D$7,"Other Services"))),"Other Services"))</f>
        <v/>
      </c>
    </row>
    <row r="145" customFormat="false" ht="15" hidden="false" customHeight="false" outlineLevel="0" collapsed="false">
      <c r="G145" s="41" t="str">
        <f aca="false">IF(E145="","",IFERROR(IF(ISNUMBER(SEARCH(Assumptions!$C$5,E145)),Assumptions!$D$5,IF(ISNUMBER(SEARCH(Assumptions!$C$6,E145)),Assumptions!$D$6,IF(ISNUMBER(SEARCH(Assumptions!$C$7,E145)),Assumptions!$D$7,"Other Services"))),"Other Services"))</f>
        <v/>
      </c>
    </row>
    <row r="146" customFormat="false" ht="15" hidden="false" customHeight="false" outlineLevel="0" collapsed="false">
      <c r="G146" s="41" t="str">
        <f aca="false">IF(E146="","",IFERROR(IF(ISNUMBER(SEARCH(Assumptions!$C$5,E146)),Assumptions!$D$5,IF(ISNUMBER(SEARCH(Assumptions!$C$6,E146)),Assumptions!$D$6,IF(ISNUMBER(SEARCH(Assumptions!$C$7,E146)),Assumptions!$D$7,"Other Services"))),"Other Services"))</f>
        <v/>
      </c>
    </row>
    <row r="147" customFormat="false" ht="15" hidden="false" customHeight="false" outlineLevel="0" collapsed="false">
      <c r="G147" s="41" t="str">
        <f aca="false">IF(E147="","",IFERROR(IF(ISNUMBER(SEARCH(Assumptions!$C$5,E147)),Assumptions!$D$5,IF(ISNUMBER(SEARCH(Assumptions!$C$6,E147)),Assumptions!$D$6,IF(ISNUMBER(SEARCH(Assumptions!$C$7,E147)),Assumptions!$D$7,"Other Services"))),"Other Services"))</f>
        <v/>
      </c>
    </row>
    <row r="148" customFormat="false" ht="15" hidden="false" customHeight="false" outlineLevel="0" collapsed="false">
      <c r="G148" s="41" t="str">
        <f aca="false">IF(E148="","",IFERROR(IF(ISNUMBER(SEARCH(Assumptions!$C$5,E148)),Assumptions!$D$5,IF(ISNUMBER(SEARCH(Assumptions!$C$6,E148)),Assumptions!$D$6,IF(ISNUMBER(SEARCH(Assumptions!$C$7,E148)),Assumptions!$D$7,"Other Services"))),"Other Services"))</f>
        <v/>
      </c>
    </row>
    <row r="149" customFormat="false" ht="15" hidden="false" customHeight="false" outlineLevel="0" collapsed="false">
      <c r="G149" s="41" t="str">
        <f aca="false">IF(E149="","",IFERROR(IF(ISNUMBER(SEARCH(Assumptions!$C$5,E149)),Assumptions!$D$5,IF(ISNUMBER(SEARCH(Assumptions!$C$6,E149)),Assumptions!$D$6,IF(ISNUMBER(SEARCH(Assumptions!$C$7,E149)),Assumptions!$D$7,"Other Services"))),"Other Services"))</f>
        <v/>
      </c>
    </row>
    <row r="150" customFormat="false" ht="15" hidden="false" customHeight="false" outlineLevel="0" collapsed="false">
      <c r="G150" s="41" t="str">
        <f aca="false">IF(E150="","",IFERROR(IF(ISNUMBER(SEARCH(Assumptions!$C$5,E150)),Assumptions!$D$5,IF(ISNUMBER(SEARCH(Assumptions!$C$6,E150)),Assumptions!$D$6,IF(ISNUMBER(SEARCH(Assumptions!$C$7,E150)),Assumptions!$D$7,"Other Services"))),"Other Services"))</f>
        <v/>
      </c>
    </row>
    <row r="151" customFormat="false" ht="15" hidden="false" customHeight="false" outlineLevel="0" collapsed="false">
      <c r="G151" s="41" t="str">
        <f aca="false">IF(E151="","",IFERROR(IF(ISNUMBER(SEARCH(Assumptions!$C$5,E151)),Assumptions!$D$5,IF(ISNUMBER(SEARCH(Assumptions!$C$6,E151)),Assumptions!$D$6,IF(ISNUMBER(SEARCH(Assumptions!$C$7,E151)),Assumptions!$D$7,"Other Services"))),"Other Services"))</f>
        <v/>
      </c>
    </row>
    <row r="152" customFormat="false" ht="15" hidden="false" customHeight="false" outlineLevel="0" collapsed="false">
      <c r="G152" s="41" t="str">
        <f aca="false">IF(E152="","",IFERROR(IF(ISNUMBER(SEARCH(Assumptions!$C$5,E152)),Assumptions!$D$5,IF(ISNUMBER(SEARCH(Assumptions!$C$6,E152)),Assumptions!$D$6,IF(ISNUMBER(SEARCH(Assumptions!$C$7,E152)),Assumptions!$D$7,"Other Services"))),"Other Services"))</f>
        <v/>
      </c>
    </row>
    <row r="153" customFormat="false" ht="15" hidden="false" customHeight="false" outlineLevel="0" collapsed="false">
      <c r="G153" s="41" t="str">
        <f aca="false">IF(E153="","",IFERROR(IF(ISNUMBER(SEARCH(Assumptions!$C$5,E153)),Assumptions!$D$5,IF(ISNUMBER(SEARCH(Assumptions!$C$6,E153)),Assumptions!$D$6,IF(ISNUMBER(SEARCH(Assumptions!$C$7,E153)),Assumptions!$D$7,"Other Services"))),"Other Services"))</f>
        <v/>
      </c>
    </row>
    <row r="154" customFormat="false" ht="15" hidden="false" customHeight="false" outlineLevel="0" collapsed="false">
      <c r="G154" s="41" t="str">
        <f aca="false">IF(E154="","",IFERROR(IF(ISNUMBER(SEARCH(Assumptions!$C$5,E154)),Assumptions!$D$5,IF(ISNUMBER(SEARCH(Assumptions!$C$6,E154)),Assumptions!$D$6,IF(ISNUMBER(SEARCH(Assumptions!$C$7,E154)),Assumptions!$D$7,"Other Services"))),"Other Services"))</f>
        <v/>
      </c>
    </row>
    <row r="155" customFormat="false" ht="15" hidden="false" customHeight="false" outlineLevel="0" collapsed="false">
      <c r="G155" s="41" t="str">
        <f aca="false">IF(E155="","",IFERROR(IF(ISNUMBER(SEARCH(Assumptions!$C$5,E155)),Assumptions!$D$5,IF(ISNUMBER(SEARCH(Assumptions!$C$6,E155)),Assumptions!$D$6,IF(ISNUMBER(SEARCH(Assumptions!$C$7,E155)),Assumptions!$D$7,"Other Services"))),"Other Services"))</f>
        <v/>
      </c>
    </row>
    <row r="156" customFormat="false" ht="15" hidden="false" customHeight="false" outlineLevel="0" collapsed="false">
      <c r="G156" s="41" t="str">
        <f aca="false">IF(E156="","",IFERROR(IF(ISNUMBER(SEARCH(Assumptions!$C$5,E156)),Assumptions!$D$5,IF(ISNUMBER(SEARCH(Assumptions!$C$6,E156)),Assumptions!$D$6,IF(ISNUMBER(SEARCH(Assumptions!$C$7,E156)),Assumptions!$D$7,"Other Services"))),"Other Services"))</f>
        <v/>
      </c>
    </row>
    <row r="157" customFormat="false" ht="15" hidden="false" customHeight="false" outlineLevel="0" collapsed="false">
      <c r="G157" s="41" t="str">
        <f aca="false">IF(E157="","",IFERROR(IF(ISNUMBER(SEARCH(Assumptions!$C$5,E157)),Assumptions!$D$5,IF(ISNUMBER(SEARCH(Assumptions!$C$6,E157)),Assumptions!$D$6,IF(ISNUMBER(SEARCH(Assumptions!$C$7,E157)),Assumptions!$D$7,"Other Services"))),"Other Services"))</f>
        <v/>
      </c>
    </row>
    <row r="158" customFormat="false" ht="15" hidden="false" customHeight="false" outlineLevel="0" collapsed="false">
      <c r="G158" s="41" t="str">
        <f aca="false">IF(E158="","",IFERROR(IF(ISNUMBER(SEARCH(Assumptions!$C$5,E158)),Assumptions!$D$5,IF(ISNUMBER(SEARCH(Assumptions!$C$6,E158)),Assumptions!$D$6,IF(ISNUMBER(SEARCH(Assumptions!$C$7,E158)),Assumptions!$D$7,"Other Services"))),"Other Services"))</f>
        <v/>
      </c>
    </row>
    <row r="159" customFormat="false" ht="15" hidden="false" customHeight="false" outlineLevel="0" collapsed="false">
      <c r="G159" s="41" t="str">
        <f aca="false">IF(E159="","",IFERROR(IF(ISNUMBER(SEARCH(Assumptions!$C$5,E159)),Assumptions!$D$5,IF(ISNUMBER(SEARCH(Assumptions!$C$6,E159)),Assumptions!$D$6,IF(ISNUMBER(SEARCH(Assumptions!$C$7,E159)),Assumptions!$D$7,"Other Services"))),"Other Services"))</f>
        <v/>
      </c>
    </row>
    <row r="160" customFormat="false" ht="15" hidden="false" customHeight="false" outlineLevel="0" collapsed="false">
      <c r="G160" s="41" t="str">
        <f aca="false">IF(E160="","",IFERROR(IF(ISNUMBER(SEARCH(Assumptions!$C$5,E160)),Assumptions!$D$5,IF(ISNUMBER(SEARCH(Assumptions!$C$6,E160)),Assumptions!$D$6,IF(ISNUMBER(SEARCH(Assumptions!$C$7,E160)),Assumptions!$D$7,"Other Services"))),"Other Services"))</f>
        <v/>
      </c>
    </row>
    <row r="161" customFormat="false" ht="15" hidden="false" customHeight="false" outlineLevel="0" collapsed="false">
      <c r="G161" s="41" t="str">
        <f aca="false">IF(E161="","",IFERROR(IF(ISNUMBER(SEARCH(Assumptions!$C$5,E161)),Assumptions!$D$5,IF(ISNUMBER(SEARCH(Assumptions!$C$6,E161)),Assumptions!$D$6,IF(ISNUMBER(SEARCH(Assumptions!$C$7,E161)),Assumptions!$D$7,"Other Services"))),"Other Services"))</f>
        <v/>
      </c>
    </row>
    <row r="162" customFormat="false" ht="15" hidden="false" customHeight="false" outlineLevel="0" collapsed="false">
      <c r="G162" s="41" t="str">
        <f aca="false">IF(E162="","",IFERROR(IF(ISNUMBER(SEARCH(Assumptions!$C$5,E162)),Assumptions!$D$5,IF(ISNUMBER(SEARCH(Assumptions!$C$6,E162)),Assumptions!$D$6,IF(ISNUMBER(SEARCH(Assumptions!$C$7,E162)),Assumptions!$D$7,"Other Services"))),"Other Services"))</f>
        <v/>
      </c>
    </row>
    <row r="163" customFormat="false" ht="15" hidden="false" customHeight="false" outlineLevel="0" collapsed="false">
      <c r="G163" s="41" t="str">
        <f aca="false">IF(E163="","",IFERROR(IF(ISNUMBER(SEARCH(Assumptions!$C$5,E163)),Assumptions!$D$5,IF(ISNUMBER(SEARCH(Assumptions!$C$6,E163)),Assumptions!$D$6,IF(ISNUMBER(SEARCH(Assumptions!$C$7,E163)),Assumptions!$D$7,"Other Services"))),"Other Services"))</f>
        <v/>
      </c>
    </row>
    <row r="164" customFormat="false" ht="15" hidden="false" customHeight="false" outlineLevel="0" collapsed="false">
      <c r="G164" s="41" t="str">
        <f aca="false">IF(E164="","",IFERROR(IF(ISNUMBER(SEARCH(Assumptions!$C$5,E164)),Assumptions!$D$5,IF(ISNUMBER(SEARCH(Assumptions!$C$6,E164)),Assumptions!$D$6,IF(ISNUMBER(SEARCH(Assumptions!$C$7,E164)),Assumptions!$D$7,"Other Services"))),"Other Services"))</f>
        <v/>
      </c>
    </row>
    <row r="165" customFormat="false" ht="15" hidden="false" customHeight="false" outlineLevel="0" collapsed="false">
      <c r="G165" s="41" t="str">
        <f aca="false">IF(E165="","",IFERROR(IF(ISNUMBER(SEARCH(Assumptions!$C$5,E165)),Assumptions!$D$5,IF(ISNUMBER(SEARCH(Assumptions!$C$6,E165)),Assumptions!$D$6,IF(ISNUMBER(SEARCH(Assumptions!$C$7,E165)),Assumptions!$D$7,"Other Services"))),"Other Services"))</f>
        <v/>
      </c>
    </row>
    <row r="166" customFormat="false" ht="15" hidden="false" customHeight="false" outlineLevel="0" collapsed="false">
      <c r="G166" s="41" t="str">
        <f aca="false">IF(E166="","",IFERROR(IF(ISNUMBER(SEARCH(Assumptions!$C$5,E166)),Assumptions!$D$5,IF(ISNUMBER(SEARCH(Assumptions!$C$6,E166)),Assumptions!$D$6,IF(ISNUMBER(SEARCH(Assumptions!$C$7,E166)),Assumptions!$D$7,"Other Services"))),"Other Services"))</f>
        <v/>
      </c>
    </row>
    <row r="167" customFormat="false" ht="15" hidden="false" customHeight="false" outlineLevel="0" collapsed="false">
      <c r="G167" s="41" t="str">
        <f aca="false">IF(E167="","",IFERROR(IF(ISNUMBER(SEARCH(Assumptions!$C$5,E167)),Assumptions!$D$5,IF(ISNUMBER(SEARCH(Assumptions!$C$6,E167)),Assumptions!$D$6,IF(ISNUMBER(SEARCH(Assumptions!$C$7,E167)),Assumptions!$D$7,"Other Services"))),"Other Services"))</f>
        <v/>
      </c>
    </row>
    <row r="168" customFormat="false" ht="15" hidden="false" customHeight="false" outlineLevel="0" collapsed="false">
      <c r="G168" s="41" t="str">
        <f aca="false">IF(E168="","",IFERROR(IF(ISNUMBER(SEARCH(Assumptions!$C$5,E168)),Assumptions!$D$5,IF(ISNUMBER(SEARCH(Assumptions!$C$6,E168)),Assumptions!$D$6,IF(ISNUMBER(SEARCH(Assumptions!$C$7,E168)),Assumptions!$D$7,"Other Services"))),"Other Services"))</f>
        <v/>
      </c>
    </row>
    <row r="169" customFormat="false" ht="15" hidden="false" customHeight="false" outlineLevel="0" collapsed="false">
      <c r="G169" s="41" t="str">
        <f aca="false">IF(E169="","",IFERROR(IF(ISNUMBER(SEARCH(Assumptions!$C$5,E169)),Assumptions!$D$5,IF(ISNUMBER(SEARCH(Assumptions!$C$6,E169)),Assumptions!$D$6,IF(ISNUMBER(SEARCH(Assumptions!$C$7,E169)),Assumptions!$D$7,"Other Services"))),"Other Services"))</f>
        <v/>
      </c>
    </row>
    <row r="170" customFormat="false" ht="15" hidden="false" customHeight="false" outlineLevel="0" collapsed="false">
      <c r="G170" s="41" t="str">
        <f aca="false">IF(E170="","",IFERROR(IF(ISNUMBER(SEARCH(Assumptions!$C$5,E170)),Assumptions!$D$5,IF(ISNUMBER(SEARCH(Assumptions!$C$6,E170)),Assumptions!$D$6,IF(ISNUMBER(SEARCH(Assumptions!$C$7,E170)),Assumptions!$D$7,"Other Services"))),"Other Services"))</f>
        <v/>
      </c>
    </row>
    <row r="171" customFormat="false" ht="15" hidden="false" customHeight="false" outlineLevel="0" collapsed="false">
      <c r="G171" s="41" t="str">
        <f aca="false">IF(E171="","",IFERROR(IF(ISNUMBER(SEARCH(Assumptions!$C$5,E171)),Assumptions!$D$5,IF(ISNUMBER(SEARCH(Assumptions!$C$6,E171)),Assumptions!$D$6,IF(ISNUMBER(SEARCH(Assumptions!$C$7,E171)),Assumptions!$D$7,"Other Services"))),"Other Services"))</f>
        <v/>
      </c>
    </row>
    <row r="172" customFormat="false" ht="15" hidden="false" customHeight="false" outlineLevel="0" collapsed="false">
      <c r="G172" s="41" t="str">
        <f aca="false">IF(E172="","",IFERROR(IF(ISNUMBER(SEARCH(Assumptions!$C$5,E172)),Assumptions!$D$5,IF(ISNUMBER(SEARCH(Assumptions!$C$6,E172)),Assumptions!$D$6,IF(ISNUMBER(SEARCH(Assumptions!$C$7,E172)),Assumptions!$D$7,"Other Services"))),"Other Services"))</f>
        <v/>
      </c>
    </row>
    <row r="173" customFormat="false" ht="15" hidden="false" customHeight="false" outlineLevel="0" collapsed="false">
      <c r="G173" s="41" t="str">
        <f aca="false">IF(E173="","",IFERROR(IF(ISNUMBER(SEARCH(Assumptions!$C$5,E173)),Assumptions!$D$5,IF(ISNUMBER(SEARCH(Assumptions!$C$6,E173)),Assumptions!$D$6,IF(ISNUMBER(SEARCH(Assumptions!$C$7,E173)),Assumptions!$D$7,"Other Services"))),"Other Services"))</f>
        <v/>
      </c>
    </row>
    <row r="174" customFormat="false" ht="15" hidden="false" customHeight="false" outlineLevel="0" collapsed="false">
      <c r="G174" s="41" t="str">
        <f aca="false">IF(E174="","",IFERROR(IF(ISNUMBER(SEARCH(Assumptions!$C$5,E174)),Assumptions!$D$5,IF(ISNUMBER(SEARCH(Assumptions!$C$6,E174)),Assumptions!$D$6,IF(ISNUMBER(SEARCH(Assumptions!$C$7,E174)),Assumptions!$D$7,"Other Services"))),"Other Services"))</f>
        <v/>
      </c>
    </row>
    <row r="175" customFormat="false" ht="15" hidden="false" customHeight="false" outlineLevel="0" collapsed="false">
      <c r="G175" s="41" t="str">
        <f aca="false">IF(E175="","",IFERROR(IF(ISNUMBER(SEARCH(Assumptions!$C$5,E175)),Assumptions!$D$5,IF(ISNUMBER(SEARCH(Assumptions!$C$6,E175)),Assumptions!$D$6,IF(ISNUMBER(SEARCH(Assumptions!$C$7,E175)),Assumptions!$D$7,"Other Services"))),"Other Services"))</f>
        <v/>
      </c>
    </row>
    <row r="176" customFormat="false" ht="15" hidden="false" customHeight="false" outlineLevel="0" collapsed="false">
      <c r="G176" s="41" t="str">
        <f aca="false">IF(E176="","",IFERROR(IF(ISNUMBER(SEARCH(Assumptions!$C$5,E176)),Assumptions!$D$5,IF(ISNUMBER(SEARCH(Assumptions!$C$6,E176)),Assumptions!$D$6,IF(ISNUMBER(SEARCH(Assumptions!$C$7,E176)),Assumptions!$D$7,"Other Services"))),"Other Services"))</f>
        <v/>
      </c>
    </row>
    <row r="177" customFormat="false" ht="15" hidden="false" customHeight="false" outlineLevel="0" collapsed="false">
      <c r="G177" s="41" t="str">
        <f aca="false">IF(E177="","",IFERROR(IF(ISNUMBER(SEARCH(Assumptions!$C$5,E177)),Assumptions!$D$5,IF(ISNUMBER(SEARCH(Assumptions!$C$6,E177)),Assumptions!$D$6,IF(ISNUMBER(SEARCH(Assumptions!$C$7,E177)),Assumptions!$D$7,"Other Services"))),"Other Services"))</f>
        <v/>
      </c>
    </row>
    <row r="178" customFormat="false" ht="15" hidden="false" customHeight="false" outlineLevel="0" collapsed="false">
      <c r="G178" s="41" t="str">
        <f aca="false">IF(E178="","",IFERROR(IF(ISNUMBER(SEARCH(Assumptions!$C$5,E178)),Assumptions!$D$5,IF(ISNUMBER(SEARCH(Assumptions!$C$6,E178)),Assumptions!$D$6,IF(ISNUMBER(SEARCH(Assumptions!$C$7,E178)),Assumptions!$D$7,"Other Services"))),"Other Services"))</f>
        <v/>
      </c>
    </row>
    <row r="179" customFormat="false" ht="15" hidden="false" customHeight="false" outlineLevel="0" collapsed="false">
      <c r="G179" s="41" t="str">
        <f aca="false">IF(E179="","",IFERROR(IF(ISNUMBER(SEARCH(Assumptions!$C$5,E179)),Assumptions!$D$5,IF(ISNUMBER(SEARCH(Assumptions!$C$6,E179)),Assumptions!$D$6,IF(ISNUMBER(SEARCH(Assumptions!$C$7,E179)),Assumptions!$D$7,"Other Services"))),"Other Services"))</f>
        <v/>
      </c>
    </row>
    <row r="180" customFormat="false" ht="15" hidden="false" customHeight="false" outlineLevel="0" collapsed="false">
      <c r="G180" s="41" t="str">
        <f aca="false">IF(E180="","",IFERROR(IF(ISNUMBER(SEARCH(Assumptions!$C$5,E180)),Assumptions!$D$5,IF(ISNUMBER(SEARCH(Assumptions!$C$6,E180)),Assumptions!$D$6,IF(ISNUMBER(SEARCH(Assumptions!$C$7,E180)),Assumptions!$D$7,"Other Services"))),"Other Services"))</f>
        <v/>
      </c>
    </row>
    <row r="181" customFormat="false" ht="15" hidden="false" customHeight="false" outlineLevel="0" collapsed="false">
      <c r="G181" s="41" t="str">
        <f aca="false">IF(E181="","",IFERROR(IF(ISNUMBER(SEARCH(Assumptions!$C$5,E181)),Assumptions!$D$5,IF(ISNUMBER(SEARCH(Assumptions!$C$6,E181)),Assumptions!$D$6,IF(ISNUMBER(SEARCH(Assumptions!$C$7,E181)),Assumptions!$D$7,"Other Services"))),"Other Services"))</f>
        <v/>
      </c>
    </row>
    <row r="182" customFormat="false" ht="15" hidden="false" customHeight="false" outlineLevel="0" collapsed="false">
      <c r="G182" s="41" t="str">
        <f aca="false">IF(E182="","",IFERROR(IF(ISNUMBER(SEARCH(Assumptions!$C$5,E182)),Assumptions!$D$5,IF(ISNUMBER(SEARCH(Assumptions!$C$6,E182)),Assumptions!$D$6,IF(ISNUMBER(SEARCH(Assumptions!$C$7,E182)),Assumptions!$D$7,"Other Services"))),"Other Services"))</f>
        <v/>
      </c>
    </row>
    <row r="183" customFormat="false" ht="15" hidden="false" customHeight="false" outlineLevel="0" collapsed="false">
      <c r="G183" s="41" t="str">
        <f aca="false">IF(E183="","",IFERROR(IF(ISNUMBER(SEARCH(Assumptions!$C$5,E183)),Assumptions!$D$5,IF(ISNUMBER(SEARCH(Assumptions!$C$6,E183)),Assumptions!$D$6,IF(ISNUMBER(SEARCH(Assumptions!$C$7,E183)),Assumptions!$D$7,"Other Services"))),"Other Services"))</f>
        <v/>
      </c>
    </row>
    <row r="184" customFormat="false" ht="15" hidden="false" customHeight="false" outlineLevel="0" collapsed="false">
      <c r="G184" s="41" t="str">
        <f aca="false">IF(E184="","",IFERROR(IF(ISNUMBER(SEARCH(Assumptions!$C$5,E184)),Assumptions!$D$5,IF(ISNUMBER(SEARCH(Assumptions!$C$6,E184)),Assumptions!$D$6,IF(ISNUMBER(SEARCH(Assumptions!$C$7,E184)),Assumptions!$D$7,"Other Services"))),"Other Services"))</f>
        <v/>
      </c>
    </row>
    <row r="185" customFormat="false" ht="15" hidden="false" customHeight="false" outlineLevel="0" collapsed="false">
      <c r="G185" s="41" t="str">
        <f aca="false">IF(E185="","",IFERROR(IF(ISNUMBER(SEARCH(Assumptions!$C$5,E185)),Assumptions!$D$5,IF(ISNUMBER(SEARCH(Assumptions!$C$6,E185)),Assumptions!$D$6,IF(ISNUMBER(SEARCH(Assumptions!$C$7,E185)),Assumptions!$D$7,"Other Services"))),"Other Services"))</f>
        <v/>
      </c>
    </row>
    <row r="186" customFormat="false" ht="15" hidden="false" customHeight="false" outlineLevel="0" collapsed="false">
      <c r="G186" s="41" t="str">
        <f aca="false">IF(E186="","",IFERROR(IF(ISNUMBER(SEARCH(Assumptions!$C$5,E186)),Assumptions!$D$5,IF(ISNUMBER(SEARCH(Assumptions!$C$6,E186)),Assumptions!$D$6,IF(ISNUMBER(SEARCH(Assumptions!$C$7,E186)),Assumptions!$D$7,"Other Services"))),"Other Services"))</f>
        <v/>
      </c>
    </row>
    <row r="187" customFormat="false" ht="15" hidden="false" customHeight="false" outlineLevel="0" collapsed="false">
      <c r="G187" s="41" t="str">
        <f aca="false">IF(E187="","",IFERROR(IF(ISNUMBER(SEARCH(Assumptions!$C$5,E187)),Assumptions!$D$5,IF(ISNUMBER(SEARCH(Assumptions!$C$6,E187)),Assumptions!$D$6,IF(ISNUMBER(SEARCH(Assumptions!$C$7,E187)),Assumptions!$D$7,"Other Services"))),"Other Services"))</f>
        <v/>
      </c>
    </row>
    <row r="188" customFormat="false" ht="15" hidden="false" customHeight="false" outlineLevel="0" collapsed="false">
      <c r="G188" s="41" t="str">
        <f aca="false">IF(E188="","",IFERROR(IF(ISNUMBER(SEARCH(Assumptions!$C$5,E188)),Assumptions!$D$5,IF(ISNUMBER(SEARCH(Assumptions!$C$6,E188)),Assumptions!$D$6,IF(ISNUMBER(SEARCH(Assumptions!$C$7,E188)),Assumptions!$D$7,"Other Services"))),"Other Services"))</f>
        <v/>
      </c>
    </row>
    <row r="189" customFormat="false" ht="15" hidden="false" customHeight="false" outlineLevel="0" collapsed="false">
      <c r="G189" s="41" t="str">
        <f aca="false">IF(E189="","",IFERROR(IF(ISNUMBER(SEARCH(Assumptions!$C$5,E189)),Assumptions!$D$5,IF(ISNUMBER(SEARCH(Assumptions!$C$6,E189)),Assumptions!$D$6,IF(ISNUMBER(SEARCH(Assumptions!$C$7,E189)),Assumptions!$D$7,"Other Services"))),"Other Services"))</f>
        <v/>
      </c>
    </row>
    <row r="190" customFormat="false" ht="15" hidden="false" customHeight="false" outlineLevel="0" collapsed="false">
      <c r="G190" s="41" t="str">
        <f aca="false">IF(E190="","",IFERROR(IF(ISNUMBER(SEARCH(Assumptions!$C$5,E190)),Assumptions!$D$5,IF(ISNUMBER(SEARCH(Assumptions!$C$6,E190)),Assumptions!$D$6,IF(ISNUMBER(SEARCH(Assumptions!$C$7,E190)),Assumptions!$D$7,"Other Services"))),"Other Services"))</f>
        <v/>
      </c>
    </row>
    <row r="191" customFormat="false" ht="15" hidden="false" customHeight="false" outlineLevel="0" collapsed="false">
      <c r="G191" s="41" t="str">
        <f aca="false">IF(E191="","",IFERROR(IF(ISNUMBER(SEARCH(Assumptions!$C$5,E191)),Assumptions!$D$5,IF(ISNUMBER(SEARCH(Assumptions!$C$6,E191)),Assumptions!$D$6,IF(ISNUMBER(SEARCH(Assumptions!$C$7,E191)),Assumptions!$D$7,"Other Services"))),"Other Services"))</f>
        <v/>
      </c>
    </row>
    <row r="192" customFormat="false" ht="15" hidden="false" customHeight="false" outlineLevel="0" collapsed="false">
      <c r="G192" s="41" t="str">
        <f aca="false">IF(E192="","",IFERROR(IF(ISNUMBER(SEARCH(Assumptions!$C$5,E192)),Assumptions!$D$5,IF(ISNUMBER(SEARCH(Assumptions!$C$6,E192)),Assumptions!$D$6,IF(ISNUMBER(SEARCH(Assumptions!$C$7,E192)),Assumptions!$D$7,"Other Services"))),"Other Services"))</f>
        <v/>
      </c>
    </row>
    <row r="193" customFormat="false" ht="15" hidden="false" customHeight="false" outlineLevel="0" collapsed="false">
      <c r="G193" s="41" t="str">
        <f aca="false">IF(E193="","",IFERROR(IF(ISNUMBER(SEARCH(Assumptions!$C$5,E193)),Assumptions!$D$5,IF(ISNUMBER(SEARCH(Assumptions!$C$6,E193)),Assumptions!$D$6,IF(ISNUMBER(SEARCH(Assumptions!$C$7,E193)),Assumptions!$D$7,"Other Services"))),"Other Services"))</f>
        <v/>
      </c>
    </row>
    <row r="194" customFormat="false" ht="15" hidden="false" customHeight="false" outlineLevel="0" collapsed="false">
      <c r="G194" s="41" t="str">
        <f aca="false">IF(E194="","",IFERROR(IF(ISNUMBER(SEARCH(Assumptions!$C$5,E194)),Assumptions!$D$5,IF(ISNUMBER(SEARCH(Assumptions!$C$6,E194)),Assumptions!$D$6,IF(ISNUMBER(SEARCH(Assumptions!$C$7,E194)),Assumptions!$D$7,"Other Services"))),"Other Services"))</f>
        <v/>
      </c>
    </row>
    <row r="195" customFormat="false" ht="15" hidden="false" customHeight="false" outlineLevel="0" collapsed="false">
      <c r="G195" s="41" t="str">
        <f aca="false">IF(E195="","",IFERROR(IF(ISNUMBER(SEARCH(Assumptions!$C$5,E195)),Assumptions!$D$5,IF(ISNUMBER(SEARCH(Assumptions!$C$6,E195)),Assumptions!$D$6,IF(ISNUMBER(SEARCH(Assumptions!$C$7,E195)),Assumptions!$D$7,"Other Services"))),"Other Services"))</f>
        <v/>
      </c>
    </row>
    <row r="196" customFormat="false" ht="15" hidden="false" customHeight="false" outlineLevel="0" collapsed="false">
      <c r="G196" s="41" t="str">
        <f aca="false">IF(E196="","",IFERROR(IF(ISNUMBER(SEARCH(Assumptions!$C$5,E196)),Assumptions!$D$5,IF(ISNUMBER(SEARCH(Assumptions!$C$6,E196)),Assumptions!$D$6,IF(ISNUMBER(SEARCH(Assumptions!$C$7,E196)),Assumptions!$D$7,"Other Services"))),"Other Services"))</f>
        <v/>
      </c>
    </row>
    <row r="197" customFormat="false" ht="15" hidden="false" customHeight="false" outlineLevel="0" collapsed="false">
      <c r="G197" s="41" t="str">
        <f aca="false">IF(E197="","",IFERROR(IF(ISNUMBER(SEARCH(Assumptions!$C$5,E197)),Assumptions!$D$5,IF(ISNUMBER(SEARCH(Assumptions!$C$6,E197)),Assumptions!$D$6,IF(ISNUMBER(SEARCH(Assumptions!$C$7,E197)),Assumptions!$D$7,"Other Services"))),"Other Services"))</f>
        <v/>
      </c>
    </row>
    <row r="198" customFormat="false" ht="15" hidden="false" customHeight="false" outlineLevel="0" collapsed="false">
      <c r="G198" s="41" t="str">
        <f aca="false">IF(E198="","",IFERROR(IF(ISNUMBER(SEARCH(Assumptions!$C$5,E198)),Assumptions!$D$5,IF(ISNUMBER(SEARCH(Assumptions!$C$6,E198)),Assumptions!$D$6,IF(ISNUMBER(SEARCH(Assumptions!$C$7,E198)),Assumptions!$D$7,"Other Services"))),"Other Services"))</f>
        <v/>
      </c>
    </row>
    <row r="199" customFormat="false" ht="15" hidden="false" customHeight="false" outlineLevel="0" collapsed="false">
      <c r="G199" s="41" t="str">
        <f aca="false">IF(E199="","",IFERROR(IF(ISNUMBER(SEARCH(Assumptions!$C$5,E199)),Assumptions!$D$5,IF(ISNUMBER(SEARCH(Assumptions!$C$6,E199)),Assumptions!$D$6,IF(ISNUMBER(SEARCH(Assumptions!$C$7,E199)),Assumptions!$D$7,"Other Services"))),"Other Services"))</f>
        <v/>
      </c>
    </row>
    <row r="200" customFormat="false" ht="15" hidden="false" customHeight="false" outlineLevel="0" collapsed="false">
      <c r="G200" s="41" t="str">
        <f aca="false">IF(E200="","",IFERROR(IF(ISNUMBER(SEARCH(Assumptions!$C$5,E200)),Assumptions!$D$5,IF(ISNUMBER(SEARCH(Assumptions!$C$6,E200)),Assumptions!$D$6,IF(ISNUMBER(SEARCH(Assumptions!$C$7,E200)),Assumptions!$D$7,"Other Services"))),"Other Services"))</f>
        <v/>
      </c>
    </row>
    <row r="201" customFormat="false" ht="15" hidden="false" customHeight="false" outlineLevel="0" collapsed="false">
      <c r="G201" s="41" t="str">
        <f aca="false">IF(E201="","",IFERROR(IF(ISNUMBER(SEARCH(Assumptions!$C$5,E201)),Assumptions!$D$5,IF(ISNUMBER(SEARCH(Assumptions!$C$6,E201)),Assumptions!$D$6,IF(ISNUMBER(SEARCH(Assumptions!$C$7,E201)),Assumptions!$D$7,"Other Services"))),"Other Services"))</f>
        <v/>
      </c>
    </row>
    <row r="202" customFormat="false" ht="15" hidden="false" customHeight="false" outlineLevel="0" collapsed="false">
      <c r="G202" s="41" t="str">
        <f aca="false">IF(E202="","",IFERROR(IF(ISNUMBER(SEARCH(Assumptions!$C$5,E202)),Assumptions!$D$5,IF(ISNUMBER(SEARCH(Assumptions!$C$6,E202)),Assumptions!$D$6,IF(ISNUMBER(SEARCH(Assumptions!$C$7,E202)),Assumptions!$D$7,"Other Services"))),"Other Services"))</f>
        <v/>
      </c>
    </row>
    <row r="203" customFormat="false" ht="15" hidden="false" customHeight="false" outlineLevel="0" collapsed="false">
      <c r="G203" s="41" t="str">
        <f aca="false">IF(E203="","",IFERROR(IF(ISNUMBER(SEARCH(Assumptions!$C$5,E203)),Assumptions!$D$5,IF(ISNUMBER(SEARCH(Assumptions!$C$6,E203)),Assumptions!$D$6,IF(ISNUMBER(SEARCH(Assumptions!$C$7,E203)),Assumptions!$D$7,"Other Services"))),"Other Services"))</f>
        <v/>
      </c>
    </row>
    <row r="204" customFormat="false" ht="15" hidden="false" customHeight="false" outlineLevel="0" collapsed="false">
      <c r="G204" s="41" t="str">
        <f aca="false">IF(E204="","",IFERROR(IF(ISNUMBER(SEARCH(Assumptions!$C$5,E204)),Assumptions!$D$5,IF(ISNUMBER(SEARCH(Assumptions!$C$6,E204)),Assumptions!$D$6,IF(ISNUMBER(SEARCH(Assumptions!$C$7,E204)),Assumptions!$D$7,"Other Services"))),"Other Services"))</f>
        <v/>
      </c>
    </row>
    <row r="205" customFormat="false" ht="15" hidden="false" customHeight="false" outlineLevel="0" collapsed="false">
      <c r="G205" s="41" t="str">
        <f aca="false">IF(E205="","",IFERROR(IF(ISNUMBER(SEARCH(Assumptions!$C$5,E205)),Assumptions!$D$5,IF(ISNUMBER(SEARCH(Assumptions!$C$6,E205)),Assumptions!$D$6,IF(ISNUMBER(SEARCH(Assumptions!$C$7,E205)),Assumptions!$D$7,"Other Services"))),"Other Services"))</f>
        <v/>
      </c>
    </row>
    <row r="206" customFormat="false" ht="15" hidden="false" customHeight="false" outlineLevel="0" collapsed="false">
      <c r="G206" s="41" t="str">
        <f aca="false">IF(E206="","",IFERROR(IF(ISNUMBER(SEARCH(Assumptions!$C$5,E206)),Assumptions!$D$5,IF(ISNUMBER(SEARCH(Assumptions!$C$6,E206)),Assumptions!$D$6,IF(ISNUMBER(SEARCH(Assumptions!$C$7,E206)),Assumptions!$D$7,"Other Services"))),"Other Services"))</f>
        <v/>
      </c>
    </row>
    <row r="207" customFormat="false" ht="15" hidden="false" customHeight="false" outlineLevel="0" collapsed="false">
      <c r="G207" s="41" t="str">
        <f aca="false">IF(E207="","",IFERROR(IF(ISNUMBER(SEARCH(Assumptions!$C$5,E207)),Assumptions!$D$5,IF(ISNUMBER(SEARCH(Assumptions!$C$6,E207)),Assumptions!$D$6,IF(ISNUMBER(SEARCH(Assumptions!$C$7,E207)),Assumptions!$D$7,"Other Services"))),"Other Services"))</f>
        <v/>
      </c>
    </row>
    <row r="208" customFormat="false" ht="15" hidden="false" customHeight="false" outlineLevel="0" collapsed="false">
      <c r="G208" s="41" t="str">
        <f aca="false">IF(E208="","",IFERROR(IF(ISNUMBER(SEARCH(Assumptions!$C$5,E208)),Assumptions!$D$5,IF(ISNUMBER(SEARCH(Assumptions!$C$6,E208)),Assumptions!$D$6,IF(ISNUMBER(SEARCH(Assumptions!$C$7,E208)),Assumptions!$D$7,"Other Services"))),"Other Services"))</f>
        <v/>
      </c>
    </row>
    <row r="209" customFormat="false" ht="15" hidden="false" customHeight="false" outlineLevel="0" collapsed="false">
      <c r="G209" s="41" t="str">
        <f aca="false">IF(E209="","",IFERROR(IF(ISNUMBER(SEARCH(Assumptions!$C$5,E209)),Assumptions!$D$5,IF(ISNUMBER(SEARCH(Assumptions!$C$6,E209)),Assumptions!$D$6,IF(ISNUMBER(SEARCH(Assumptions!$C$7,E209)),Assumptions!$D$7,"Other Services"))),"Other Services"))</f>
        <v/>
      </c>
    </row>
    <row r="210" customFormat="false" ht="15" hidden="false" customHeight="false" outlineLevel="0" collapsed="false">
      <c r="G210" s="41" t="str">
        <f aca="false">IF(E210="","",IFERROR(IF(ISNUMBER(SEARCH(Assumptions!$C$5,E210)),Assumptions!$D$5,IF(ISNUMBER(SEARCH(Assumptions!$C$6,E210)),Assumptions!$D$6,IF(ISNUMBER(SEARCH(Assumptions!$C$7,E210)),Assumptions!$D$7,"Other Services"))),"Other Services"))</f>
        <v/>
      </c>
    </row>
    <row r="211" customFormat="false" ht="15" hidden="false" customHeight="false" outlineLevel="0" collapsed="false">
      <c r="G211" s="41" t="str">
        <f aca="false">IF(E211="","",IFERROR(IF(ISNUMBER(SEARCH(Assumptions!$C$5,E211)),Assumptions!$D$5,IF(ISNUMBER(SEARCH(Assumptions!$C$6,E211)),Assumptions!$D$6,IF(ISNUMBER(SEARCH(Assumptions!$C$7,E211)),Assumptions!$D$7,"Other Services"))),"Other Services"))</f>
        <v/>
      </c>
    </row>
    <row r="212" customFormat="false" ht="15" hidden="false" customHeight="false" outlineLevel="0" collapsed="false">
      <c r="G212" s="41" t="str">
        <f aca="false">IF(E212="","",IFERROR(IF(ISNUMBER(SEARCH(Assumptions!$C$5,E212)),Assumptions!$D$5,IF(ISNUMBER(SEARCH(Assumptions!$C$6,E212)),Assumptions!$D$6,IF(ISNUMBER(SEARCH(Assumptions!$C$7,E212)),Assumptions!$D$7,"Other Services"))),"Other Services"))</f>
        <v/>
      </c>
    </row>
    <row r="213" customFormat="false" ht="15" hidden="false" customHeight="false" outlineLevel="0" collapsed="false">
      <c r="G213" s="41" t="str">
        <f aca="false">IF(E213="","",IFERROR(IF(ISNUMBER(SEARCH(Assumptions!$C$5,E213)),Assumptions!$D$5,IF(ISNUMBER(SEARCH(Assumptions!$C$6,E213)),Assumptions!$D$6,IF(ISNUMBER(SEARCH(Assumptions!$C$7,E213)),Assumptions!$D$7,"Other Services"))),"Other Services"))</f>
        <v/>
      </c>
    </row>
    <row r="214" customFormat="false" ht="15" hidden="false" customHeight="false" outlineLevel="0" collapsed="false">
      <c r="G214" s="41" t="str">
        <f aca="false">IF(E214="","",IFERROR(IF(ISNUMBER(SEARCH(Assumptions!$C$5,E214)),Assumptions!$D$5,IF(ISNUMBER(SEARCH(Assumptions!$C$6,E214)),Assumptions!$D$6,IF(ISNUMBER(SEARCH(Assumptions!$C$7,E214)),Assumptions!$D$7,"Other Services"))),"Other Services"))</f>
        <v/>
      </c>
    </row>
    <row r="215" customFormat="false" ht="15" hidden="false" customHeight="false" outlineLevel="0" collapsed="false">
      <c r="G215" s="41" t="str">
        <f aca="false">IF(E215="","",IFERROR(IF(ISNUMBER(SEARCH(Assumptions!$C$5,E215)),Assumptions!$D$5,IF(ISNUMBER(SEARCH(Assumptions!$C$6,E215)),Assumptions!$D$6,IF(ISNUMBER(SEARCH(Assumptions!$C$7,E215)),Assumptions!$D$7,"Other Services"))),"Other Services"))</f>
        <v/>
      </c>
    </row>
    <row r="216" customFormat="false" ht="15" hidden="false" customHeight="false" outlineLevel="0" collapsed="false">
      <c r="G216" s="41" t="str">
        <f aca="false">IF(E216="","",IFERROR(IF(ISNUMBER(SEARCH(Assumptions!$C$5,E216)),Assumptions!$D$5,IF(ISNUMBER(SEARCH(Assumptions!$C$6,E216)),Assumptions!$D$6,IF(ISNUMBER(SEARCH(Assumptions!$C$7,E216)),Assumptions!$D$7,"Other Services"))),"Other Services"))</f>
        <v/>
      </c>
    </row>
    <row r="217" customFormat="false" ht="15" hidden="false" customHeight="false" outlineLevel="0" collapsed="false">
      <c r="G217" s="41" t="str">
        <f aca="false">IF(E217="","",IFERROR(IF(ISNUMBER(SEARCH(Assumptions!$C$5,E217)),Assumptions!$D$5,IF(ISNUMBER(SEARCH(Assumptions!$C$6,E217)),Assumptions!$D$6,IF(ISNUMBER(SEARCH(Assumptions!$C$7,E217)),Assumptions!$D$7,"Other Services"))),"Other Services"))</f>
        <v/>
      </c>
    </row>
    <row r="218" customFormat="false" ht="15" hidden="false" customHeight="false" outlineLevel="0" collapsed="false">
      <c r="G218" s="41" t="str">
        <f aca="false">IF(E218="","",IFERROR(IF(ISNUMBER(SEARCH(Assumptions!$C$5,E218)),Assumptions!$D$5,IF(ISNUMBER(SEARCH(Assumptions!$C$6,E218)),Assumptions!$D$6,IF(ISNUMBER(SEARCH(Assumptions!$C$7,E218)),Assumptions!$D$7,"Other Services"))),"Other Services"))</f>
        <v/>
      </c>
    </row>
    <row r="219" customFormat="false" ht="15" hidden="false" customHeight="false" outlineLevel="0" collapsed="false">
      <c r="G219" s="41" t="str">
        <f aca="false">IF(E219="","",IFERROR(IF(ISNUMBER(SEARCH(Assumptions!$C$5,E219)),Assumptions!$D$5,IF(ISNUMBER(SEARCH(Assumptions!$C$6,E219)),Assumptions!$D$6,IF(ISNUMBER(SEARCH(Assumptions!$C$7,E219)),Assumptions!$D$7,"Other Services"))),"Other Services"))</f>
        <v/>
      </c>
    </row>
    <row r="220" customFormat="false" ht="15" hidden="false" customHeight="false" outlineLevel="0" collapsed="false">
      <c r="G220" s="41" t="str">
        <f aca="false">IF(E220="","",IFERROR(IF(ISNUMBER(SEARCH(Assumptions!$C$5,E220)),Assumptions!$D$5,IF(ISNUMBER(SEARCH(Assumptions!$C$6,E220)),Assumptions!$D$6,IF(ISNUMBER(SEARCH(Assumptions!$C$7,E220)),Assumptions!$D$7,"Other Services"))),"Other Services"))</f>
        <v/>
      </c>
    </row>
    <row r="221" customFormat="false" ht="15" hidden="false" customHeight="false" outlineLevel="0" collapsed="false">
      <c r="G221" s="41" t="str">
        <f aca="false">IF(E221="","",IFERROR(IF(ISNUMBER(SEARCH(Assumptions!$C$5,E221)),Assumptions!$D$5,IF(ISNUMBER(SEARCH(Assumptions!$C$6,E221)),Assumptions!$D$6,IF(ISNUMBER(SEARCH(Assumptions!$C$7,E221)),Assumptions!$D$7,"Other Services"))),"Other Services"))</f>
        <v/>
      </c>
    </row>
    <row r="222" customFormat="false" ht="15" hidden="false" customHeight="false" outlineLevel="0" collapsed="false">
      <c r="G222" s="41" t="str">
        <f aca="false">IF(E222="","",IFERROR(IF(ISNUMBER(SEARCH(Assumptions!$C$5,E222)),Assumptions!$D$5,IF(ISNUMBER(SEARCH(Assumptions!$C$6,E222)),Assumptions!$D$6,IF(ISNUMBER(SEARCH(Assumptions!$C$7,E222)),Assumptions!$D$7,"Other Services"))),"Other Services"))</f>
        <v/>
      </c>
    </row>
    <row r="223" customFormat="false" ht="15" hidden="false" customHeight="false" outlineLevel="0" collapsed="false">
      <c r="G223" s="41" t="str">
        <f aca="false">IF(E223="","",IFERROR(IF(ISNUMBER(SEARCH(Assumptions!$C$5,E223)),Assumptions!$D$5,IF(ISNUMBER(SEARCH(Assumptions!$C$6,E223)),Assumptions!$D$6,IF(ISNUMBER(SEARCH(Assumptions!$C$7,E223)),Assumptions!$D$7,"Other Services"))),"Other Services"))</f>
        <v/>
      </c>
    </row>
    <row r="224" customFormat="false" ht="15" hidden="false" customHeight="false" outlineLevel="0" collapsed="false">
      <c r="G224" s="41" t="str">
        <f aca="false">IF(E224="","",IFERROR(IF(ISNUMBER(SEARCH(Assumptions!$C$5,E224)),Assumptions!$D$5,IF(ISNUMBER(SEARCH(Assumptions!$C$6,E224)),Assumptions!$D$6,IF(ISNUMBER(SEARCH(Assumptions!$C$7,E224)),Assumptions!$D$7,"Other Services"))),"Other Services"))</f>
        <v/>
      </c>
    </row>
    <row r="225" customFormat="false" ht="15" hidden="false" customHeight="false" outlineLevel="0" collapsed="false">
      <c r="G225" s="41" t="str">
        <f aca="false">IF(E225="","",IFERROR(IF(ISNUMBER(SEARCH(Assumptions!$C$5,E225)),Assumptions!$D$5,IF(ISNUMBER(SEARCH(Assumptions!$C$6,E225)),Assumptions!$D$6,IF(ISNUMBER(SEARCH(Assumptions!$C$7,E225)),Assumptions!$D$7,"Other Services"))),"Other Services"))</f>
        <v/>
      </c>
    </row>
    <row r="226" customFormat="false" ht="15" hidden="false" customHeight="false" outlineLevel="0" collapsed="false">
      <c r="G226" s="41" t="str">
        <f aca="false">IF(E226="","",IFERROR(IF(ISNUMBER(SEARCH(Assumptions!$C$5,E226)),Assumptions!$D$5,IF(ISNUMBER(SEARCH(Assumptions!$C$6,E226)),Assumptions!$D$6,IF(ISNUMBER(SEARCH(Assumptions!$C$7,E226)),Assumptions!$D$7,"Other Services"))),"Other Services"))</f>
        <v/>
      </c>
    </row>
    <row r="227" customFormat="false" ht="15" hidden="false" customHeight="false" outlineLevel="0" collapsed="false">
      <c r="G227" s="41" t="str">
        <f aca="false">IF(E227="","",IFERROR(IF(ISNUMBER(SEARCH(Assumptions!$C$5,E227)),Assumptions!$D$5,IF(ISNUMBER(SEARCH(Assumptions!$C$6,E227)),Assumptions!$D$6,IF(ISNUMBER(SEARCH(Assumptions!$C$7,E227)),Assumptions!$D$7,"Other Services"))),"Other Services"))</f>
        <v/>
      </c>
    </row>
    <row r="228" customFormat="false" ht="15" hidden="false" customHeight="false" outlineLevel="0" collapsed="false">
      <c r="G228" s="41" t="str">
        <f aca="false">IF(E228="","",IFERROR(IF(ISNUMBER(SEARCH(Assumptions!$C$5,E228)),Assumptions!$D$5,IF(ISNUMBER(SEARCH(Assumptions!$C$6,E228)),Assumptions!$D$6,IF(ISNUMBER(SEARCH(Assumptions!$C$7,E228)),Assumptions!$D$7,"Other Services"))),"Other Services"))</f>
        <v/>
      </c>
    </row>
    <row r="229" customFormat="false" ht="15" hidden="false" customHeight="false" outlineLevel="0" collapsed="false">
      <c r="G229" s="41" t="str">
        <f aca="false">IF(E229="","",IFERROR(IF(ISNUMBER(SEARCH(Assumptions!$C$5,E229)),Assumptions!$D$5,IF(ISNUMBER(SEARCH(Assumptions!$C$6,E229)),Assumptions!$D$6,IF(ISNUMBER(SEARCH(Assumptions!$C$7,E229)),Assumptions!$D$7,"Other Services"))),"Other Services"))</f>
        <v/>
      </c>
    </row>
    <row r="230" customFormat="false" ht="15" hidden="false" customHeight="false" outlineLevel="0" collapsed="false">
      <c r="G230" s="41" t="str">
        <f aca="false">IF(E230="","",IFERROR(IF(ISNUMBER(SEARCH(Assumptions!$C$5,E230)),Assumptions!$D$5,IF(ISNUMBER(SEARCH(Assumptions!$C$6,E230)),Assumptions!$D$6,IF(ISNUMBER(SEARCH(Assumptions!$C$7,E230)),Assumptions!$D$7,"Other Services"))),"Other Services"))</f>
        <v/>
      </c>
    </row>
    <row r="231" customFormat="false" ht="15" hidden="false" customHeight="false" outlineLevel="0" collapsed="false">
      <c r="G231" s="41" t="str">
        <f aca="false">IF(E231="","",IFERROR(IF(ISNUMBER(SEARCH(Assumptions!$C$5,E231)),Assumptions!$D$5,IF(ISNUMBER(SEARCH(Assumptions!$C$6,E231)),Assumptions!$D$6,IF(ISNUMBER(SEARCH(Assumptions!$C$7,E231)),Assumptions!$D$7,"Other Services"))),"Other Services"))</f>
        <v/>
      </c>
    </row>
    <row r="232" customFormat="false" ht="15" hidden="false" customHeight="false" outlineLevel="0" collapsed="false">
      <c r="G232" s="41" t="str">
        <f aca="false">IF(E232="","",IFERROR(IF(ISNUMBER(SEARCH(Assumptions!$C$5,E232)),Assumptions!$D$5,IF(ISNUMBER(SEARCH(Assumptions!$C$6,E232)),Assumptions!$D$6,IF(ISNUMBER(SEARCH(Assumptions!$C$7,E232)),Assumptions!$D$7,"Other Services"))),"Other Services"))</f>
        <v/>
      </c>
    </row>
    <row r="233" customFormat="false" ht="15" hidden="false" customHeight="false" outlineLevel="0" collapsed="false">
      <c r="G233" s="41" t="str">
        <f aca="false">IF(E233="","",IFERROR(IF(ISNUMBER(SEARCH(Assumptions!$C$5,E233)),Assumptions!$D$5,IF(ISNUMBER(SEARCH(Assumptions!$C$6,E233)),Assumptions!$D$6,IF(ISNUMBER(SEARCH(Assumptions!$C$7,E233)),Assumptions!$D$7,"Other Services"))),"Other Services"))</f>
        <v/>
      </c>
    </row>
    <row r="234" customFormat="false" ht="15" hidden="false" customHeight="false" outlineLevel="0" collapsed="false">
      <c r="G234" s="41" t="str">
        <f aca="false">IF(E234="","",IFERROR(IF(ISNUMBER(SEARCH(Assumptions!$C$5,E234)),Assumptions!$D$5,IF(ISNUMBER(SEARCH(Assumptions!$C$6,E234)),Assumptions!$D$6,IF(ISNUMBER(SEARCH(Assumptions!$C$7,E234)),Assumptions!$D$7,"Other Services"))),"Other Services"))</f>
        <v/>
      </c>
    </row>
    <row r="235" customFormat="false" ht="15" hidden="false" customHeight="false" outlineLevel="0" collapsed="false">
      <c r="G235" s="41" t="str">
        <f aca="false">IF(E235="","",IFERROR(IF(ISNUMBER(SEARCH(Assumptions!$C$5,E235)),Assumptions!$D$5,IF(ISNUMBER(SEARCH(Assumptions!$C$6,E235)),Assumptions!$D$6,IF(ISNUMBER(SEARCH(Assumptions!$C$7,E235)),Assumptions!$D$7,"Other Services"))),"Other Services"))</f>
        <v/>
      </c>
    </row>
    <row r="236" customFormat="false" ht="15" hidden="false" customHeight="false" outlineLevel="0" collapsed="false">
      <c r="G236" s="41" t="str">
        <f aca="false">IF(E236="","",IFERROR(IF(ISNUMBER(SEARCH(Assumptions!$C$5,E236)),Assumptions!$D$5,IF(ISNUMBER(SEARCH(Assumptions!$C$6,E236)),Assumptions!$D$6,IF(ISNUMBER(SEARCH(Assumptions!$C$7,E236)),Assumptions!$D$7,"Other Services"))),"Other Services"))</f>
        <v/>
      </c>
    </row>
    <row r="237" customFormat="false" ht="15" hidden="false" customHeight="false" outlineLevel="0" collapsed="false">
      <c r="G237" s="41" t="str">
        <f aca="false">IF(E237="","",IFERROR(IF(ISNUMBER(SEARCH(Assumptions!$C$5,E237)),Assumptions!$D$5,IF(ISNUMBER(SEARCH(Assumptions!$C$6,E237)),Assumptions!$D$6,IF(ISNUMBER(SEARCH(Assumptions!$C$7,E237)),Assumptions!$D$7,"Other Services"))),"Other Services"))</f>
        <v/>
      </c>
    </row>
    <row r="238" customFormat="false" ht="15" hidden="false" customHeight="false" outlineLevel="0" collapsed="false">
      <c r="G238" s="41" t="str">
        <f aca="false">IF(E238="","",IFERROR(IF(ISNUMBER(SEARCH(Assumptions!$C$5,E238)),Assumptions!$D$5,IF(ISNUMBER(SEARCH(Assumptions!$C$6,E238)),Assumptions!$D$6,IF(ISNUMBER(SEARCH(Assumptions!$C$7,E238)),Assumptions!$D$7,"Other Services"))),"Other Services"))</f>
        <v/>
      </c>
    </row>
    <row r="239" customFormat="false" ht="15" hidden="false" customHeight="false" outlineLevel="0" collapsed="false">
      <c r="G239" s="41" t="str">
        <f aca="false">IF(E239="","",IFERROR(IF(ISNUMBER(SEARCH(Assumptions!$C$5,E239)),Assumptions!$D$5,IF(ISNUMBER(SEARCH(Assumptions!$C$6,E239)),Assumptions!$D$6,IF(ISNUMBER(SEARCH(Assumptions!$C$7,E239)),Assumptions!$D$7,"Other Services"))),"Other Services"))</f>
        <v/>
      </c>
    </row>
    <row r="240" customFormat="false" ht="15" hidden="false" customHeight="false" outlineLevel="0" collapsed="false">
      <c r="G240" s="41" t="str">
        <f aca="false">IF(E240="","",IFERROR(IF(ISNUMBER(SEARCH(Assumptions!$C$5,E240)),Assumptions!$D$5,IF(ISNUMBER(SEARCH(Assumptions!$C$6,E240)),Assumptions!$D$6,IF(ISNUMBER(SEARCH(Assumptions!$C$7,E240)),Assumptions!$D$7,"Other Services"))),"Other Services"))</f>
        <v/>
      </c>
    </row>
    <row r="241" customFormat="false" ht="15" hidden="false" customHeight="false" outlineLevel="0" collapsed="false">
      <c r="G241" s="41" t="str">
        <f aca="false">IF(E241="","",IFERROR(IF(ISNUMBER(SEARCH(Assumptions!$C$5,E241)),Assumptions!$D$5,IF(ISNUMBER(SEARCH(Assumptions!$C$6,E241)),Assumptions!$D$6,IF(ISNUMBER(SEARCH(Assumptions!$C$7,E241)),Assumptions!$D$7,"Other Services"))),"Other Services"))</f>
        <v/>
      </c>
    </row>
    <row r="242" customFormat="false" ht="15" hidden="false" customHeight="false" outlineLevel="0" collapsed="false">
      <c r="G242" s="41" t="str">
        <f aca="false">IF(E242="","",IFERROR(IF(ISNUMBER(SEARCH(Assumptions!$C$5,E242)),Assumptions!$D$5,IF(ISNUMBER(SEARCH(Assumptions!$C$6,E242)),Assumptions!$D$6,IF(ISNUMBER(SEARCH(Assumptions!$C$7,E242)),Assumptions!$D$7,"Other Services"))),"Other Services"))</f>
        <v/>
      </c>
    </row>
    <row r="243" customFormat="false" ht="15" hidden="false" customHeight="false" outlineLevel="0" collapsed="false">
      <c r="G243" s="41" t="str">
        <f aca="false">IF(E243="","",IFERROR(IF(ISNUMBER(SEARCH(Assumptions!$C$5,E243)),Assumptions!$D$5,IF(ISNUMBER(SEARCH(Assumptions!$C$6,E243)),Assumptions!$D$6,IF(ISNUMBER(SEARCH(Assumptions!$C$7,E243)),Assumptions!$D$7,"Other Services"))),"Other Services"))</f>
        <v/>
      </c>
    </row>
    <row r="244" customFormat="false" ht="15" hidden="false" customHeight="false" outlineLevel="0" collapsed="false">
      <c r="G244" s="41" t="str">
        <f aca="false">IF(E244="","",IFERROR(IF(ISNUMBER(SEARCH(Assumptions!$C$5,E244)),Assumptions!$D$5,IF(ISNUMBER(SEARCH(Assumptions!$C$6,E244)),Assumptions!$D$6,IF(ISNUMBER(SEARCH(Assumptions!$C$7,E244)),Assumptions!$D$7,"Other Services"))),"Other Services"))</f>
        <v/>
      </c>
    </row>
    <row r="245" customFormat="false" ht="15" hidden="false" customHeight="false" outlineLevel="0" collapsed="false">
      <c r="G245" s="41" t="str">
        <f aca="false">IF(E245="","",IFERROR(IF(ISNUMBER(SEARCH(Assumptions!$C$5,E245)),Assumptions!$D$5,IF(ISNUMBER(SEARCH(Assumptions!$C$6,E245)),Assumptions!$D$6,IF(ISNUMBER(SEARCH(Assumptions!$C$7,E245)),Assumptions!$D$7,"Other Services"))),"Other Services"))</f>
        <v/>
      </c>
    </row>
    <row r="246" customFormat="false" ht="15" hidden="false" customHeight="false" outlineLevel="0" collapsed="false">
      <c r="G246" s="41" t="str">
        <f aca="false">IF(E246="","",IFERROR(IF(ISNUMBER(SEARCH(Assumptions!$C$5,E246)),Assumptions!$D$5,IF(ISNUMBER(SEARCH(Assumptions!$C$6,E246)),Assumptions!$D$6,IF(ISNUMBER(SEARCH(Assumptions!$C$7,E246)),Assumptions!$D$7,"Other Services"))),"Other Services"))</f>
        <v/>
      </c>
    </row>
    <row r="247" customFormat="false" ht="15" hidden="false" customHeight="false" outlineLevel="0" collapsed="false">
      <c r="G247" s="41" t="str">
        <f aca="false">IF(E247="","",IFERROR(IF(ISNUMBER(SEARCH(Assumptions!$C$5,E247)),Assumptions!$D$5,IF(ISNUMBER(SEARCH(Assumptions!$C$6,E247)),Assumptions!$D$6,IF(ISNUMBER(SEARCH(Assumptions!$C$7,E247)),Assumptions!$D$7,"Other Services"))),"Other Services"))</f>
        <v/>
      </c>
    </row>
    <row r="248" customFormat="false" ht="15" hidden="false" customHeight="false" outlineLevel="0" collapsed="false">
      <c r="G248" s="41" t="str">
        <f aca="false">IF(E248="","",IFERROR(IF(ISNUMBER(SEARCH(Assumptions!$C$5,E248)),Assumptions!$D$5,IF(ISNUMBER(SEARCH(Assumptions!$C$6,E248)),Assumptions!$D$6,IF(ISNUMBER(SEARCH(Assumptions!$C$7,E248)),Assumptions!$D$7,"Other Services"))),"Other Services"))</f>
        <v/>
      </c>
    </row>
    <row r="249" customFormat="false" ht="15" hidden="false" customHeight="false" outlineLevel="0" collapsed="false">
      <c r="G249" s="41" t="str">
        <f aca="false">IF(E249="","",IFERROR(IF(ISNUMBER(SEARCH(Assumptions!$C$5,E249)),Assumptions!$D$5,IF(ISNUMBER(SEARCH(Assumptions!$C$6,E249)),Assumptions!$D$6,IF(ISNUMBER(SEARCH(Assumptions!$C$7,E249)),Assumptions!$D$7,"Other Services"))),"Other Services"))</f>
        <v/>
      </c>
    </row>
    <row r="250" customFormat="false" ht="15" hidden="false" customHeight="false" outlineLevel="0" collapsed="false">
      <c r="G250" s="41" t="str">
        <f aca="false">IF(E250="","",IFERROR(IF(ISNUMBER(SEARCH(Assumptions!$C$5,E250)),Assumptions!$D$5,IF(ISNUMBER(SEARCH(Assumptions!$C$6,E250)),Assumptions!$D$6,IF(ISNUMBER(SEARCH(Assumptions!$C$7,E250)),Assumptions!$D$7,"Other Services"))),"Other Services"))</f>
        <v/>
      </c>
    </row>
    <row r="251" customFormat="false" ht="15" hidden="false" customHeight="false" outlineLevel="0" collapsed="false">
      <c r="G251" s="41" t="str">
        <f aca="false">IF(E251="","",IFERROR(IF(ISNUMBER(SEARCH(Assumptions!$C$5,E251)),Assumptions!$D$5,IF(ISNUMBER(SEARCH(Assumptions!$C$6,E251)),Assumptions!$D$6,IF(ISNUMBER(SEARCH(Assumptions!$C$7,E251)),Assumptions!$D$7,"Other Services"))),"Other Services"))</f>
        <v/>
      </c>
    </row>
    <row r="252" customFormat="false" ht="15" hidden="false" customHeight="false" outlineLevel="0" collapsed="false">
      <c r="G252" s="41" t="str">
        <f aca="false">IF(E252="","",IFERROR(IF(ISNUMBER(SEARCH(Assumptions!$C$5,E252)),Assumptions!$D$5,IF(ISNUMBER(SEARCH(Assumptions!$C$6,E252)),Assumptions!$D$6,IF(ISNUMBER(SEARCH(Assumptions!$C$7,E252)),Assumptions!$D$7,"Other Services"))),"Other Services"))</f>
        <v/>
      </c>
    </row>
    <row r="253" customFormat="false" ht="15" hidden="false" customHeight="false" outlineLevel="0" collapsed="false">
      <c r="G253" s="41" t="str">
        <f aca="false">IF(E253="","",IFERROR(IF(ISNUMBER(SEARCH(Assumptions!$C$5,E253)),Assumptions!$D$5,IF(ISNUMBER(SEARCH(Assumptions!$C$6,E253)),Assumptions!$D$6,IF(ISNUMBER(SEARCH(Assumptions!$C$7,E253)),Assumptions!$D$7,"Other Services"))),"Other Services"))</f>
        <v/>
      </c>
    </row>
    <row r="254" customFormat="false" ht="15" hidden="false" customHeight="false" outlineLevel="0" collapsed="false">
      <c r="G254" s="41" t="str">
        <f aca="false">IF(E254="","",IFERROR(IF(ISNUMBER(SEARCH(Assumptions!$C$5,E254)),Assumptions!$D$5,IF(ISNUMBER(SEARCH(Assumptions!$C$6,E254)),Assumptions!$D$6,IF(ISNUMBER(SEARCH(Assumptions!$C$7,E254)),Assumptions!$D$7,"Other Services"))),"Other Services"))</f>
        <v/>
      </c>
    </row>
    <row r="255" customFormat="false" ht="15" hidden="false" customHeight="false" outlineLevel="0" collapsed="false">
      <c r="G255" s="41" t="str">
        <f aca="false">IF(E255="","",IFERROR(IF(ISNUMBER(SEARCH(Assumptions!$C$5,E255)),Assumptions!$D$5,IF(ISNUMBER(SEARCH(Assumptions!$C$6,E255)),Assumptions!$D$6,IF(ISNUMBER(SEARCH(Assumptions!$C$7,E255)),Assumptions!$D$7,"Other Services"))),"Other Services"))</f>
        <v/>
      </c>
    </row>
    <row r="256" customFormat="false" ht="15" hidden="false" customHeight="false" outlineLevel="0" collapsed="false">
      <c r="G256" s="41" t="str">
        <f aca="false">IF(E256="","",IFERROR(IF(ISNUMBER(SEARCH(Assumptions!$C$5,E256)),Assumptions!$D$5,IF(ISNUMBER(SEARCH(Assumptions!$C$6,E256)),Assumptions!$D$6,IF(ISNUMBER(SEARCH(Assumptions!$C$7,E256)),Assumptions!$D$7,"Other Services"))),"Other Services"))</f>
        <v/>
      </c>
    </row>
    <row r="257" customFormat="false" ht="15" hidden="false" customHeight="false" outlineLevel="0" collapsed="false">
      <c r="G257" s="41" t="str">
        <f aca="false">IF(E257="","",IFERROR(IF(ISNUMBER(SEARCH(Assumptions!$C$5,E257)),Assumptions!$D$5,IF(ISNUMBER(SEARCH(Assumptions!$C$6,E257)),Assumptions!$D$6,IF(ISNUMBER(SEARCH(Assumptions!$C$7,E257)),Assumptions!$D$7,"Other Services"))),"Other Services"))</f>
        <v/>
      </c>
    </row>
    <row r="258" customFormat="false" ht="15" hidden="false" customHeight="false" outlineLevel="0" collapsed="false">
      <c r="G258" s="41" t="str">
        <f aca="false">IF(E258="","",IFERROR(IF(ISNUMBER(SEARCH(Assumptions!$C$5,E258)),Assumptions!$D$5,IF(ISNUMBER(SEARCH(Assumptions!$C$6,E258)),Assumptions!$D$6,IF(ISNUMBER(SEARCH(Assumptions!$C$7,E258)),Assumptions!$D$7,"Other Services"))),"Other Services"))</f>
        <v/>
      </c>
    </row>
    <row r="259" customFormat="false" ht="15" hidden="false" customHeight="false" outlineLevel="0" collapsed="false">
      <c r="G259" s="41" t="str">
        <f aca="false">IF(E259="","",IFERROR(IF(ISNUMBER(SEARCH(Assumptions!$C$5,E259)),Assumptions!$D$5,IF(ISNUMBER(SEARCH(Assumptions!$C$6,E259)),Assumptions!$D$6,IF(ISNUMBER(SEARCH(Assumptions!$C$7,E259)),Assumptions!$D$7,"Other Services"))),"Other Services"))</f>
        <v/>
      </c>
    </row>
    <row r="260" customFormat="false" ht="15" hidden="false" customHeight="false" outlineLevel="0" collapsed="false">
      <c r="G260" s="41" t="str">
        <f aca="false">IF(E260="","",IFERROR(IF(ISNUMBER(SEARCH(Assumptions!$C$5,E260)),Assumptions!$D$5,IF(ISNUMBER(SEARCH(Assumptions!$C$6,E260)),Assumptions!$D$6,IF(ISNUMBER(SEARCH(Assumptions!$C$7,E260)),Assumptions!$D$7,"Other Services"))),"Other Services"))</f>
        <v/>
      </c>
    </row>
    <row r="261" customFormat="false" ht="15" hidden="false" customHeight="false" outlineLevel="0" collapsed="false">
      <c r="G261" s="41" t="str">
        <f aca="false">IF(E261="","",IFERROR(IF(ISNUMBER(SEARCH(Assumptions!$C$5,E261)),Assumptions!$D$5,IF(ISNUMBER(SEARCH(Assumptions!$C$6,E261)),Assumptions!$D$6,IF(ISNUMBER(SEARCH(Assumptions!$C$7,E261)),Assumptions!$D$7,"Other Services"))),"Other Services"))</f>
        <v/>
      </c>
    </row>
    <row r="262" customFormat="false" ht="15" hidden="false" customHeight="false" outlineLevel="0" collapsed="false">
      <c r="G262" s="41" t="str">
        <f aca="false">IF(E262="","",IFERROR(IF(ISNUMBER(SEARCH(Assumptions!$C$5,E262)),Assumptions!$D$5,IF(ISNUMBER(SEARCH(Assumptions!$C$6,E262)),Assumptions!$D$6,IF(ISNUMBER(SEARCH(Assumptions!$C$7,E262)),Assumptions!$D$7,"Other Services"))),"Other Services"))</f>
        <v/>
      </c>
    </row>
    <row r="263" customFormat="false" ht="15" hidden="false" customHeight="false" outlineLevel="0" collapsed="false">
      <c r="G263" s="41" t="str">
        <f aca="false">IF(E263="","",IFERROR(IF(ISNUMBER(SEARCH(Assumptions!$C$5,E263)),Assumptions!$D$5,IF(ISNUMBER(SEARCH(Assumptions!$C$6,E263)),Assumptions!$D$6,IF(ISNUMBER(SEARCH(Assumptions!$C$7,E263)),Assumptions!$D$7,"Other Services"))),"Other Services"))</f>
        <v/>
      </c>
    </row>
    <row r="264" customFormat="false" ht="15" hidden="false" customHeight="false" outlineLevel="0" collapsed="false">
      <c r="G264" s="41" t="str">
        <f aca="false">IF(E264="","",IFERROR(IF(ISNUMBER(SEARCH(Assumptions!$C$5,E264)),Assumptions!$D$5,IF(ISNUMBER(SEARCH(Assumptions!$C$6,E264)),Assumptions!$D$6,IF(ISNUMBER(SEARCH(Assumptions!$C$7,E264)),Assumptions!$D$7,"Other Services"))),"Other Services"))</f>
        <v/>
      </c>
    </row>
    <row r="265" customFormat="false" ht="15" hidden="false" customHeight="false" outlineLevel="0" collapsed="false">
      <c r="G265" s="41" t="str">
        <f aca="false">IF(E265="","",IFERROR(IF(ISNUMBER(SEARCH(Assumptions!$C$5,E265)),Assumptions!$D$5,IF(ISNUMBER(SEARCH(Assumptions!$C$6,E265)),Assumptions!$D$6,IF(ISNUMBER(SEARCH(Assumptions!$C$7,E265)),Assumptions!$D$7,"Other Services"))),"Other Services"))</f>
        <v/>
      </c>
    </row>
    <row r="266" customFormat="false" ht="15" hidden="false" customHeight="false" outlineLevel="0" collapsed="false">
      <c r="G266" s="41" t="str">
        <f aca="false">IF(E266="","",IFERROR(IF(ISNUMBER(SEARCH(Assumptions!$C$5,E266)),Assumptions!$D$5,IF(ISNUMBER(SEARCH(Assumptions!$C$6,E266)),Assumptions!$D$6,IF(ISNUMBER(SEARCH(Assumptions!$C$7,E266)),Assumptions!$D$7,"Other Services"))),"Other Services"))</f>
        <v/>
      </c>
    </row>
    <row r="267" customFormat="false" ht="15" hidden="false" customHeight="false" outlineLevel="0" collapsed="false">
      <c r="G267" s="41" t="str">
        <f aca="false">IF(E267="","",IFERROR(IF(ISNUMBER(SEARCH(Assumptions!$C$5,E267)),Assumptions!$D$5,IF(ISNUMBER(SEARCH(Assumptions!$C$6,E267)),Assumptions!$D$6,IF(ISNUMBER(SEARCH(Assumptions!$C$7,E267)),Assumptions!$D$7,"Other Services"))),"Other Services"))</f>
        <v/>
      </c>
    </row>
    <row r="268" customFormat="false" ht="15" hidden="false" customHeight="false" outlineLevel="0" collapsed="false">
      <c r="G268" s="41" t="str">
        <f aca="false">IF(E268="","",IFERROR(IF(ISNUMBER(SEARCH(Assumptions!$C$5,E268)),Assumptions!$D$5,IF(ISNUMBER(SEARCH(Assumptions!$C$6,E268)),Assumptions!$D$6,IF(ISNUMBER(SEARCH(Assumptions!$C$7,E268)),Assumptions!$D$7,"Other Services"))),"Other Services"))</f>
        <v/>
      </c>
    </row>
    <row r="269" customFormat="false" ht="15" hidden="false" customHeight="false" outlineLevel="0" collapsed="false">
      <c r="G269" s="41" t="str">
        <f aca="false">IF(E269="","",IFERROR(IF(ISNUMBER(SEARCH(Assumptions!$C$5,E269)),Assumptions!$D$5,IF(ISNUMBER(SEARCH(Assumptions!$C$6,E269)),Assumptions!$D$6,IF(ISNUMBER(SEARCH(Assumptions!$C$7,E269)),Assumptions!$D$7,"Other Services"))),"Other Services"))</f>
        <v/>
      </c>
    </row>
    <row r="270" customFormat="false" ht="15" hidden="false" customHeight="false" outlineLevel="0" collapsed="false">
      <c r="G270" s="41" t="str">
        <f aca="false">IF(E270="","",IFERROR(IF(ISNUMBER(SEARCH(Assumptions!$C$5,E270)),Assumptions!$D$5,IF(ISNUMBER(SEARCH(Assumptions!$C$6,E270)),Assumptions!$D$6,IF(ISNUMBER(SEARCH(Assumptions!$C$7,E270)),Assumptions!$D$7,"Other Services"))),"Other Services"))</f>
        <v/>
      </c>
    </row>
    <row r="271" customFormat="false" ht="15" hidden="false" customHeight="false" outlineLevel="0" collapsed="false">
      <c r="G271" s="41" t="str">
        <f aca="false">IF(E271="","",IFERROR(IF(ISNUMBER(SEARCH(Assumptions!$C$5,E271)),Assumptions!$D$5,IF(ISNUMBER(SEARCH(Assumptions!$C$6,E271)),Assumptions!$D$6,IF(ISNUMBER(SEARCH(Assumptions!$C$7,E271)),Assumptions!$D$7,"Other Services"))),"Other Services"))</f>
        <v/>
      </c>
    </row>
    <row r="272" customFormat="false" ht="15" hidden="false" customHeight="false" outlineLevel="0" collapsed="false">
      <c r="G272" s="41" t="str">
        <f aca="false">IF(E272="","",IFERROR(IF(ISNUMBER(SEARCH(Assumptions!$C$5,E272)),Assumptions!$D$5,IF(ISNUMBER(SEARCH(Assumptions!$C$6,E272)),Assumptions!$D$6,IF(ISNUMBER(SEARCH(Assumptions!$C$7,E272)),Assumptions!$D$7,"Other Services"))),"Other Services"))</f>
        <v/>
      </c>
    </row>
    <row r="273" customFormat="false" ht="15" hidden="false" customHeight="false" outlineLevel="0" collapsed="false">
      <c r="G273" s="41" t="str">
        <f aca="false">IF(E273="","",IFERROR(IF(ISNUMBER(SEARCH(Assumptions!$C$5,E273)),Assumptions!$D$5,IF(ISNUMBER(SEARCH(Assumptions!$C$6,E273)),Assumptions!$D$6,IF(ISNUMBER(SEARCH(Assumptions!$C$7,E273)),Assumptions!$D$7,"Other Services"))),"Other Services"))</f>
        <v/>
      </c>
    </row>
    <row r="274" customFormat="false" ht="15" hidden="false" customHeight="false" outlineLevel="0" collapsed="false">
      <c r="G274" s="41" t="str">
        <f aca="false">IF(E274="","",IFERROR(IF(ISNUMBER(SEARCH(Assumptions!$C$5,E274)),Assumptions!$D$5,IF(ISNUMBER(SEARCH(Assumptions!$C$6,E274)),Assumptions!$D$6,IF(ISNUMBER(SEARCH(Assumptions!$C$7,E274)),Assumptions!$D$7,"Other Services"))),"Other Services"))</f>
        <v/>
      </c>
    </row>
    <row r="275" customFormat="false" ht="15" hidden="false" customHeight="false" outlineLevel="0" collapsed="false">
      <c r="G275" s="41" t="str">
        <f aca="false">IF(E275="","",IFERROR(IF(ISNUMBER(SEARCH(Assumptions!$C$5,E275)),Assumptions!$D$5,IF(ISNUMBER(SEARCH(Assumptions!$C$6,E275)),Assumptions!$D$6,IF(ISNUMBER(SEARCH(Assumptions!$C$7,E275)),Assumptions!$D$7,"Other Services"))),"Other Services"))</f>
        <v/>
      </c>
    </row>
    <row r="276" customFormat="false" ht="15" hidden="false" customHeight="false" outlineLevel="0" collapsed="false">
      <c r="G276" s="41" t="str">
        <f aca="false">IF(E276="","",IFERROR(IF(ISNUMBER(SEARCH(Assumptions!$C$5,E276)),Assumptions!$D$5,IF(ISNUMBER(SEARCH(Assumptions!$C$6,E276)),Assumptions!$D$6,IF(ISNUMBER(SEARCH(Assumptions!$C$7,E276)),Assumptions!$D$7,"Other Services"))),"Other Services"))</f>
        <v/>
      </c>
    </row>
    <row r="277" customFormat="false" ht="15" hidden="false" customHeight="false" outlineLevel="0" collapsed="false">
      <c r="G277" s="41" t="str">
        <f aca="false">IF(E277="","",IFERROR(IF(ISNUMBER(SEARCH(Assumptions!$C$5,E277)),Assumptions!$D$5,IF(ISNUMBER(SEARCH(Assumptions!$C$6,E277)),Assumptions!$D$6,IF(ISNUMBER(SEARCH(Assumptions!$C$7,E277)),Assumptions!$D$7,"Other Services"))),"Other Services"))</f>
        <v/>
      </c>
    </row>
    <row r="278" customFormat="false" ht="15" hidden="false" customHeight="false" outlineLevel="0" collapsed="false">
      <c r="G278" s="41" t="str">
        <f aca="false">IF(E278="","",IFERROR(IF(ISNUMBER(SEARCH(Assumptions!$C$5,E278)),Assumptions!$D$5,IF(ISNUMBER(SEARCH(Assumptions!$C$6,E278)),Assumptions!$D$6,IF(ISNUMBER(SEARCH(Assumptions!$C$7,E278)),Assumptions!$D$7,"Other Services"))),"Other Services"))</f>
        <v/>
      </c>
    </row>
    <row r="279" customFormat="false" ht="15" hidden="false" customHeight="false" outlineLevel="0" collapsed="false">
      <c r="G279" s="41" t="str">
        <f aca="false">IF(E279="","",IFERROR(IF(ISNUMBER(SEARCH(Assumptions!$C$5,E279)),Assumptions!$D$5,IF(ISNUMBER(SEARCH(Assumptions!$C$6,E279)),Assumptions!$D$6,IF(ISNUMBER(SEARCH(Assumptions!$C$7,E279)),Assumptions!$D$7,"Other Services"))),"Other Services"))</f>
        <v/>
      </c>
    </row>
    <row r="280" customFormat="false" ht="15" hidden="false" customHeight="false" outlineLevel="0" collapsed="false">
      <c r="G280" s="41" t="str">
        <f aca="false">IF(E280="","",IFERROR(IF(ISNUMBER(SEARCH(Assumptions!$C$5,E280)),Assumptions!$D$5,IF(ISNUMBER(SEARCH(Assumptions!$C$6,E280)),Assumptions!$D$6,IF(ISNUMBER(SEARCH(Assumptions!$C$7,E280)),Assumptions!$D$7,"Other Services"))),"Other Services"))</f>
        <v/>
      </c>
    </row>
    <row r="281" customFormat="false" ht="15" hidden="false" customHeight="false" outlineLevel="0" collapsed="false">
      <c r="G281" s="41" t="str">
        <f aca="false">IF(E281="","",IFERROR(IF(ISNUMBER(SEARCH(Assumptions!$C$5,E281)),Assumptions!$D$5,IF(ISNUMBER(SEARCH(Assumptions!$C$6,E281)),Assumptions!$D$6,IF(ISNUMBER(SEARCH(Assumptions!$C$7,E281)),Assumptions!$D$7,"Other Services"))),"Other Services"))</f>
        <v/>
      </c>
    </row>
    <row r="282" customFormat="false" ht="15" hidden="false" customHeight="false" outlineLevel="0" collapsed="false">
      <c r="G282" s="41" t="str">
        <f aca="false">IF(E282="","",IFERROR(IF(ISNUMBER(SEARCH(Assumptions!$C$5,E282)),Assumptions!$D$5,IF(ISNUMBER(SEARCH(Assumptions!$C$6,E282)),Assumptions!$D$6,IF(ISNUMBER(SEARCH(Assumptions!$C$7,E282)),Assumptions!$D$7,"Other Services"))),"Other Services"))</f>
        <v/>
      </c>
    </row>
    <row r="283" customFormat="false" ht="15" hidden="false" customHeight="false" outlineLevel="0" collapsed="false">
      <c r="G283" s="41" t="str">
        <f aca="false">IF(E283="","",IFERROR(IF(ISNUMBER(SEARCH(Assumptions!$C$5,E283)),Assumptions!$D$5,IF(ISNUMBER(SEARCH(Assumptions!$C$6,E283)),Assumptions!$D$6,IF(ISNUMBER(SEARCH(Assumptions!$C$7,E283)),Assumptions!$D$7,"Other Services"))),"Other Services"))</f>
        <v/>
      </c>
    </row>
    <row r="284" customFormat="false" ht="15" hidden="false" customHeight="false" outlineLevel="0" collapsed="false">
      <c r="G284" s="41" t="str">
        <f aca="false">IF(E284="","",IFERROR(IF(ISNUMBER(SEARCH(Assumptions!$C$5,E284)),Assumptions!$D$5,IF(ISNUMBER(SEARCH(Assumptions!$C$6,E284)),Assumptions!$D$6,IF(ISNUMBER(SEARCH(Assumptions!$C$7,E284)),Assumptions!$D$7,"Other Services"))),"Other Services"))</f>
        <v/>
      </c>
    </row>
    <row r="285" customFormat="false" ht="15" hidden="false" customHeight="false" outlineLevel="0" collapsed="false">
      <c r="G285" s="41" t="str">
        <f aca="false">IF(E285="","",IFERROR(IF(ISNUMBER(SEARCH(Assumptions!$C$5,E285)),Assumptions!$D$5,IF(ISNUMBER(SEARCH(Assumptions!$C$6,E285)),Assumptions!$D$6,IF(ISNUMBER(SEARCH(Assumptions!$C$7,E285)),Assumptions!$D$7,"Other Services"))),"Other Services"))</f>
        <v/>
      </c>
    </row>
    <row r="286" customFormat="false" ht="15" hidden="false" customHeight="false" outlineLevel="0" collapsed="false">
      <c r="G286" s="41" t="str">
        <f aca="false">IF(E286="","",IFERROR(IF(ISNUMBER(SEARCH(Assumptions!$C$5,E286)),Assumptions!$D$5,IF(ISNUMBER(SEARCH(Assumptions!$C$6,E286)),Assumptions!$D$6,IF(ISNUMBER(SEARCH(Assumptions!$C$7,E286)),Assumptions!$D$7,"Other Services"))),"Other Services"))</f>
        <v/>
      </c>
    </row>
    <row r="287" customFormat="false" ht="15" hidden="false" customHeight="false" outlineLevel="0" collapsed="false">
      <c r="G287" s="41" t="str">
        <f aca="false">IF(E287="","",IFERROR(IF(ISNUMBER(SEARCH(Assumptions!$C$5,E287)),Assumptions!$D$5,IF(ISNUMBER(SEARCH(Assumptions!$C$6,E287)),Assumptions!$D$6,IF(ISNUMBER(SEARCH(Assumptions!$C$7,E287)),Assumptions!$D$7,"Other Services"))),"Other Services"))</f>
        <v/>
      </c>
    </row>
    <row r="288" customFormat="false" ht="15" hidden="false" customHeight="false" outlineLevel="0" collapsed="false">
      <c r="G288" s="41" t="str">
        <f aca="false">IF(E288="","",IFERROR(IF(ISNUMBER(SEARCH(Assumptions!$C$5,E288)),Assumptions!$D$5,IF(ISNUMBER(SEARCH(Assumptions!$C$6,E288)),Assumptions!$D$6,IF(ISNUMBER(SEARCH(Assumptions!$C$7,E288)),Assumptions!$D$7,"Other Services"))),"Other Services"))</f>
        <v/>
      </c>
    </row>
    <row r="289" customFormat="false" ht="15" hidden="false" customHeight="false" outlineLevel="0" collapsed="false">
      <c r="G289" s="41" t="str">
        <f aca="false">IF(E289="","",IFERROR(IF(ISNUMBER(SEARCH(Assumptions!$C$5,E289)),Assumptions!$D$5,IF(ISNUMBER(SEARCH(Assumptions!$C$6,E289)),Assumptions!$D$6,IF(ISNUMBER(SEARCH(Assumptions!$C$7,E289)),Assumptions!$D$7,"Other Services"))),"Other Services"))</f>
        <v/>
      </c>
    </row>
    <row r="290" customFormat="false" ht="15" hidden="false" customHeight="false" outlineLevel="0" collapsed="false">
      <c r="G290" s="41" t="str">
        <f aca="false">IF(E290="","",IFERROR(IF(ISNUMBER(SEARCH(Assumptions!$C$5,E290)),Assumptions!$D$5,IF(ISNUMBER(SEARCH(Assumptions!$C$6,E290)),Assumptions!$D$6,IF(ISNUMBER(SEARCH(Assumptions!$C$7,E290)),Assumptions!$D$7,"Other Services"))),"Other Services"))</f>
        <v/>
      </c>
    </row>
    <row r="291" customFormat="false" ht="15" hidden="false" customHeight="false" outlineLevel="0" collapsed="false">
      <c r="G291" s="41" t="str">
        <f aca="false">IF(E291="","",IFERROR(IF(ISNUMBER(SEARCH(Assumptions!$C$5,E291)),Assumptions!$D$5,IF(ISNUMBER(SEARCH(Assumptions!$C$6,E291)),Assumptions!$D$6,IF(ISNUMBER(SEARCH(Assumptions!$C$7,E291)),Assumptions!$D$7,"Other Services"))),"Other Services"))</f>
        <v/>
      </c>
    </row>
    <row r="292" customFormat="false" ht="15" hidden="false" customHeight="false" outlineLevel="0" collapsed="false">
      <c r="G292" s="41" t="str">
        <f aca="false">IF(E292="","",IFERROR(IF(ISNUMBER(SEARCH(Assumptions!$C$5,E292)),Assumptions!$D$5,IF(ISNUMBER(SEARCH(Assumptions!$C$6,E292)),Assumptions!$D$6,IF(ISNUMBER(SEARCH(Assumptions!$C$7,E292)),Assumptions!$D$7,"Other Services"))),"Other Services"))</f>
        <v/>
      </c>
    </row>
    <row r="293" customFormat="false" ht="15" hidden="false" customHeight="false" outlineLevel="0" collapsed="false">
      <c r="G293" s="41" t="str">
        <f aca="false">IF(E293="","",IFERROR(IF(ISNUMBER(SEARCH(Assumptions!$C$5,E293)),Assumptions!$D$5,IF(ISNUMBER(SEARCH(Assumptions!$C$6,E293)),Assumptions!$D$6,IF(ISNUMBER(SEARCH(Assumptions!$C$7,E293)),Assumptions!$D$7,"Other Services"))),"Other Services"))</f>
        <v/>
      </c>
    </row>
    <row r="294" customFormat="false" ht="15" hidden="false" customHeight="false" outlineLevel="0" collapsed="false">
      <c r="G294" s="41" t="str">
        <f aca="false">IF(E294="","",IFERROR(IF(ISNUMBER(SEARCH(Assumptions!$C$5,E294)),Assumptions!$D$5,IF(ISNUMBER(SEARCH(Assumptions!$C$6,E294)),Assumptions!$D$6,IF(ISNUMBER(SEARCH(Assumptions!$C$7,E294)),Assumptions!$D$7,"Other Services"))),"Other Services"))</f>
        <v/>
      </c>
    </row>
    <row r="295" customFormat="false" ht="15" hidden="false" customHeight="false" outlineLevel="0" collapsed="false">
      <c r="G295" s="41" t="str">
        <f aca="false">IF(E295="","",IFERROR(IF(ISNUMBER(SEARCH(Assumptions!$C$5,E295)),Assumptions!$D$5,IF(ISNUMBER(SEARCH(Assumptions!$C$6,E295)),Assumptions!$D$6,IF(ISNUMBER(SEARCH(Assumptions!$C$7,E295)),Assumptions!$D$7,"Other Services"))),"Other Services"))</f>
        <v/>
      </c>
    </row>
    <row r="296" customFormat="false" ht="15" hidden="false" customHeight="false" outlineLevel="0" collapsed="false">
      <c r="G296" s="41" t="str">
        <f aca="false">IF(E296="","",IFERROR(IF(ISNUMBER(SEARCH(Assumptions!$C$5,E296)),Assumptions!$D$5,IF(ISNUMBER(SEARCH(Assumptions!$C$6,E296)),Assumptions!$D$6,IF(ISNUMBER(SEARCH(Assumptions!$C$7,E296)),Assumptions!$D$7,"Other Services"))),"Other Services"))</f>
        <v/>
      </c>
    </row>
    <row r="297" customFormat="false" ht="15" hidden="false" customHeight="false" outlineLevel="0" collapsed="false">
      <c r="G297" s="41" t="str">
        <f aca="false">IF(E297="","",IFERROR(IF(ISNUMBER(SEARCH(Assumptions!$C$5,E297)),Assumptions!$D$5,IF(ISNUMBER(SEARCH(Assumptions!$C$6,E297)),Assumptions!$D$6,IF(ISNUMBER(SEARCH(Assumptions!$C$7,E297)),Assumptions!$D$7,"Other Services"))),"Other Services"))</f>
        <v/>
      </c>
    </row>
    <row r="298" customFormat="false" ht="15" hidden="false" customHeight="false" outlineLevel="0" collapsed="false">
      <c r="G298" s="41" t="str">
        <f aca="false">IF(E298="","",IFERROR(IF(ISNUMBER(SEARCH(Assumptions!$C$5,E298)),Assumptions!$D$5,IF(ISNUMBER(SEARCH(Assumptions!$C$6,E298)),Assumptions!$D$6,IF(ISNUMBER(SEARCH(Assumptions!$C$7,E298)),Assumptions!$D$7,"Other Services"))),"Other Services"))</f>
        <v/>
      </c>
    </row>
    <row r="299" customFormat="false" ht="15" hidden="false" customHeight="false" outlineLevel="0" collapsed="false">
      <c r="G299" s="41" t="str">
        <f aca="false">IF(E299="","",IFERROR(IF(ISNUMBER(SEARCH(Assumptions!$C$5,E299)),Assumptions!$D$5,IF(ISNUMBER(SEARCH(Assumptions!$C$6,E299)),Assumptions!$D$6,IF(ISNUMBER(SEARCH(Assumptions!$C$7,E299)),Assumptions!$D$7,"Other Services"))),"Other Services"))</f>
        <v/>
      </c>
    </row>
    <row r="300" customFormat="false" ht="15" hidden="false" customHeight="false" outlineLevel="0" collapsed="false">
      <c r="G300" s="41" t="str">
        <f aca="false">IF(E300="","",IFERROR(IF(ISNUMBER(SEARCH(Assumptions!$C$5,E300)),Assumptions!$D$5,IF(ISNUMBER(SEARCH(Assumptions!$C$6,E300)),Assumptions!$D$6,IF(ISNUMBER(SEARCH(Assumptions!$C$7,E300)),Assumptions!$D$7,"Other Services"))),"Other Services"))</f>
        <v/>
      </c>
    </row>
    <row r="301" customFormat="false" ht="15" hidden="false" customHeight="false" outlineLevel="0" collapsed="false">
      <c r="G301" s="41" t="str">
        <f aca="false">IF(E301="","",IFERROR(IF(ISNUMBER(SEARCH(Assumptions!$C$5,E301)),Assumptions!$D$5,IF(ISNUMBER(SEARCH(Assumptions!$C$6,E301)),Assumptions!$D$6,IF(ISNUMBER(SEARCH(Assumptions!$C$7,E301)),Assumptions!$D$7,"Other Services"))),"Other Services"))</f>
        <v/>
      </c>
    </row>
    <row r="302" customFormat="false" ht="15" hidden="false" customHeight="false" outlineLevel="0" collapsed="false">
      <c r="G302" s="41" t="str">
        <f aca="false">IF(E302="","",IFERROR(IF(ISNUMBER(SEARCH(Assumptions!$C$5,E302)),Assumptions!$D$5,IF(ISNUMBER(SEARCH(Assumptions!$C$6,E302)),Assumptions!$D$6,IF(ISNUMBER(SEARCH(Assumptions!$C$7,E302)),Assumptions!$D$7,"Other Services"))),"Other Services"))</f>
        <v/>
      </c>
    </row>
    <row r="303" customFormat="false" ht="15" hidden="false" customHeight="false" outlineLevel="0" collapsed="false">
      <c r="G303" s="41" t="str">
        <f aca="false">IF(E303="","",IFERROR(IF(ISNUMBER(SEARCH(Assumptions!$C$5,E303)),Assumptions!$D$5,IF(ISNUMBER(SEARCH(Assumptions!$C$6,E303)),Assumptions!$D$6,IF(ISNUMBER(SEARCH(Assumptions!$C$7,E303)),Assumptions!$D$7,"Other Services"))),"Other Services"))</f>
        <v/>
      </c>
    </row>
    <row r="304" customFormat="false" ht="15" hidden="false" customHeight="false" outlineLevel="0" collapsed="false">
      <c r="G304" s="41" t="str">
        <f aca="false">IF(E304="","",IFERROR(IF(ISNUMBER(SEARCH(Assumptions!$C$5,E304)),Assumptions!$D$5,IF(ISNUMBER(SEARCH(Assumptions!$C$6,E304)),Assumptions!$D$6,IF(ISNUMBER(SEARCH(Assumptions!$C$7,E304)),Assumptions!$D$7,"Other Services"))),"Other Services"))</f>
        <v/>
      </c>
    </row>
    <row r="305" customFormat="false" ht="15" hidden="false" customHeight="false" outlineLevel="0" collapsed="false">
      <c r="G305" s="41" t="str">
        <f aca="false">IF(E305="","",IFERROR(IF(ISNUMBER(SEARCH(Assumptions!$C$5,E305)),Assumptions!$D$5,IF(ISNUMBER(SEARCH(Assumptions!$C$6,E305)),Assumptions!$D$6,IF(ISNUMBER(SEARCH(Assumptions!$C$7,E305)),Assumptions!$D$7,"Other Services"))),"Other Services"))</f>
        <v/>
      </c>
    </row>
    <row r="306" customFormat="false" ht="15" hidden="false" customHeight="false" outlineLevel="0" collapsed="false">
      <c r="G306" s="41" t="str">
        <f aca="false">IF(E306="","",IFERROR(IF(ISNUMBER(SEARCH(Assumptions!$C$5,E306)),Assumptions!$D$5,IF(ISNUMBER(SEARCH(Assumptions!$C$6,E306)),Assumptions!$D$6,IF(ISNUMBER(SEARCH(Assumptions!$C$7,E306)),Assumptions!$D$7,"Other Services"))),"Other Services"))</f>
        <v/>
      </c>
    </row>
    <row r="307" customFormat="false" ht="15" hidden="false" customHeight="false" outlineLevel="0" collapsed="false">
      <c r="G307" s="41" t="str">
        <f aca="false">IF(E307="","",IFERROR(IF(ISNUMBER(SEARCH(Assumptions!$C$5,E307)),Assumptions!$D$5,IF(ISNUMBER(SEARCH(Assumptions!$C$6,E307)),Assumptions!$D$6,IF(ISNUMBER(SEARCH(Assumptions!$C$7,E307)),Assumptions!$D$7,"Other Services"))),"Other Services"))</f>
        <v/>
      </c>
    </row>
    <row r="308" customFormat="false" ht="15" hidden="false" customHeight="false" outlineLevel="0" collapsed="false">
      <c r="G308" s="41" t="str">
        <f aca="false">IF(E308="","",IFERROR(IF(ISNUMBER(SEARCH(Assumptions!$C$5,E308)),Assumptions!$D$5,IF(ISNUMBER(SEARCH(Assumptions!$C$6,E308)),Assumptions!$D$6,IF(ISNUMBER(SEARCH(Assumptions!$C$7,E308)),Assumptions!$D$7,"Other Services"))),"Other Services"))</f>
        <v/>
      </c>
    </row>
    <row r="309" customFormat="false" ht="15" hidden="false" customHeight="false" outlineLevel="0" collapsed="false">
      <c r="G309" s="41" t="str">
        <f aca="false">IF(E309="","",IFERROR(IF(ISNUMBER(SEARCH(Assumptions!$C$5,E309)),Assumptions!$D$5,IF(ISNUMBER(SEARCH(Assumptions!$C$6,E309)),Assumptions!$D$6,IF(ISNUMBER(SEARCH(Assumptions!$C$7,E309)),Assumptions!$D$7,"Other Services"))),"Other Services"))</f>
        <v/>
      </c>
    </row>
    <row r="310" customFormat="false" ht="15" hidden="false" customHeight="false" outlineLevel="0" collapsed="false">
      <c r="G310" s="41" t="str">
        <f aca="false">IF(E310="","",IFERROR(IF(ISNUMBER(SEARCH(Assumptions!$C$5,E310)),Assumptions!$D$5,IF(ISNUMBER(SEARCH(Assumptions!$C$6,E310)),Assumptions!$D$6,IF(ISNUMBER(SEARCH(Assumptions!$C$7,E310)),Assumptions!$D$7,"Other Services"))),"Other Services"))</f>
        <v/>
      </c>
    </row>
    <row r="311" customFormat="false" ht="15" hidden="false" customHeight="false" outlineLevel="0" collapsed="false">
      <c r="G311" s="41" t="str">
        <f aca="false">IF(E311="","",IFERROR(IF(ISNUMBER(SEARCH(Assumptions!$C$5,E311)),Assumptions!$D$5,IF(ISNUMBER(SEARCH(Assumptions!$C$6,E311)),Assumptions!$D$6,IF(ISNUMBER(SEARCH(Assumptions!$C$7,E311)),Assumptions!$D$7,"Other Services"))),"Other Services"))</f>
        <v/>
      </c>
    </row>
    <row r="312" customFormat="false" ht="15" hidden="false" customHeight="false" outlineLevel="0" collapsed="false">
      <c r="G312" s="41" t="str">
        <f aca="false">IF(E312="","",IFERROR(IF(ISNUMBER(SEARCH(Assumptions!$C$5,E312)),Assumptions!$D$5,IF(ISNUMBER(SEARCH(Assumptions!$C$6,E312)),Assumptions!$D$6,IF(ISNUMBER(SEARCH(Assumptions!$C$7,E312)),Assumptions!$D$7,"Other Services"))),"Other Services"))</f>
        <v/>
      </c>
    </row>
    <row r="313" customFormat="false" ht="15" hidden="false" customHeight="false" outlineLevel="0" collapsed="false">
      <c r="G313" s="41" t="str">
        <f aca="false">IF(E313="","",IFERROR(IF(ISNUMBER(SEARCH(Assumptions!$C$5,E313)),Assumptions!$D$5,IF(ISNUMBER(SEARCH(Assumptions!$C$6,E313)),Assumptions!$D$6,IF(ISNUMBER(SEARCH(Assumptions!$C$7,E313)),Assumptions!$D$7,"Other Services"))),"Other Services"))</f>
        <v/>
      </c>
    </row>
    <row r="314" customFormat="false" ht="15" hidden="false" customHeight="false" outlineLevel="0" collapsed="false">
      <c r="G314" s="41" t="str">
        <f aca="false">IF(E314="","",IFERROR(IF(ISNUMBER(SEARCH(Assumptions!$C$5,E314)),Assumptions!$D$5,IF(ISNUMBER(SEARCH(Assumptions!$C$6,E314)),Assumptions!$D$6,IF(ISNUMBER(SEARCH(Assumptions!$C$7,E314)),Assumptions!$D$7,"Other Services"))),"Other Services"))</f>
        <v/>
      </c>
    </row>
    <row r="315" customFormat="false" ht="15" hidden="false" customHeight="false" outlineLevel="0" collapsed="false">
      <c r="G315" s="41" t="str">
        <f aca="false">IF(E315="","",IFERROR(IF(ISNUMBER(SEARCH(Assumptions!$C$5,E315)),Assumptions!$D$5,IF(ISNUMBER(SEARCH(Assumptions!$C$6,E315)),Assumptions!$D$6,IF(ISNUMBER(SEARCH(Assumptions!$C$7,E315)),Assumptions!$D$7,"Other Services"))),"Other Services"))</f>
        <v/>
      </c>
    </row>
    <row r="316" customFormat="false" ht="15" hidden="false" customHeight="false" outlineLevel="0" collapsed="false">
      <c r="G316" s="41" t="str">
        <f aca="false">IF(E316="","",IFERROR(IF(ISNUMBER(SEARCH(Assumptions!$C$5,E316)),Assumptions!$D$5,IF(ISNUMBER(SEARCH(Assumptions!$C$6,E316)),Assumptions!$D$6,IF(ISNUMBER(SEARCH(Assumptions!$C$7,E316)),Assumptions!$D$7,"Other Services"))),"Other Services"))</f>
        <v/>
      </c>
    </row>
    <row r="317" customFormat="false" ht="15" hidden="false" customHeight="false" outlineLevel="0" collapsed="false">
      <c r="G317" s="41" t="str">
        <f aca="false">IF(E317="","",IFERROR(IF(ISNUMBER(SEARCH(Assumptions!$C$5,E317)),Assumptions!$D$5,IF(ISNUMBER(SEARCH(Assumptions!$C$6,E317)),Assumptions!$D$6,IF(ISNUMBER(SEARCH(Assumptions!$C$7,E317)),Assumptions!$D$7,"Other Services"))),"Other Services"))</f>
        <v/>
      </c>
    </row>
    <row r="318" customFormat="false" ht="15" hidden="false" customHeight="false" outlineLevel="0" collapsed="false">
      <c r="G318" s="41" t="str">
        <f aca="false">IF(E318="","",IFERROR(IF(ISNUMBER(SEARCH(Assumptions!$C$5,E318)),Assumptions!$D$5,IF(ISNUMBER(SEARCH(Assumptions!$C$6,E318)),Assumptions!$D$6,IF(ISNUMBER(SEARCH(Assumptions!$C$7,E318)),Assumptions!$D$7,"Other Services"))),"Other Services"))</f>
        <v/>
      </c>
    </row>
    <row r="319" customFormat="false" ht="15" hidden="false" customHeight="false" outlineLevel="0" collapsed="false">
      <c r="G319" s="41" t="str">
        <f aca="false">IF(E319="","",IFERROR(IF(ISNUMBER(SEARCH(Assumptions!$C$5,E319)),Assumptions!$D$5,IF(ISNUMBER(SEARCH(Assumptions!$C$6,E319)),Assumptions!$D$6,IF(ISNUMBER(SEARCH(Assumptions!$C$7,E319)),Assumptions!$D$7,"Other Services"))),"Other Services"))</f>
        <v/>
      </c>
    </row>
    <row r="320" customFormat="false" ht="15" hidden="false" customHeight="false" outlineLevel="0" collapsed="false">
      <c r="G320" s="41" t="str">
        <f aca="false">IF(E320="","",IFERROR(IF(ISNUMBER(SEARCH(Assumptions!$C$5,E320)),Assumptions!$D$5,IF(ISNUMBER(SEARCH(Assumptions!$C$6,E320)),Assumptions!$D$6,IF(ISNUMBER(SEARCH(Assumptions!$C$7,E320)),Assumptions!$D$7,"Other Services"))),"Other Services"))</f>
        <v/>
      </c>
    </row>
    <row r="321" customFormat="false" ht="15" hidden="false" customHeight="false" outlineLevel="0" collapsed="false">
      <c r="G321" s="41" t="str">
        <f aca="false">IF(E321="","",IFERROR(IF(ISNUMBER(SEARCH(Assumptions!$C$5,E321)),Assumptions!$D$5,IF(ISNUMBER(SEARCH(Assumptions!$C$6,E321)),Assumptions!$D$6,IF(ISNUMBER(SEARCH(Assumptions!$C$7,E321)),Assumptions!$D$7,"Other Services"))),"Other Services"))</f>
        <v/>
      </c>
    </row>
    <row r="322" customFormat="false" ht="15" hidden="false" customHeight="false" outlineLevel="0" collapsed="false">
      <c r="G322" s="41" t="str">
        <f aca="false">IF(E322="","",IFERROR(IF(ISNUMBER(SEARCH(Assumptions!$C$5,E322)),Assumptions!$D$5,IF(ISNUMBER(SEARCH(Assumptions!$C$6,E322)),Assumptions!$D$6,IF(ISNUMBER(SEARCH(Assumptions!$C$7,E322)),Assumptions!$D$7,"Other Services"))),"Other Services"))</f>
        <v/>
      </c>
    </row>
    <row r="323" customFormat="false" ht="15" hidden="false" customHeight="false" outlineLevel="0" collapsed="false">
      <c r="G323" s="41" t="str">
        <f aca="false">IF(E323="","",IFERROR(IF(ISNUMBER(SEARCH(Assumptions!$C$5,E323)),Assumptions!$D$5,IF(ISNUMBER(SEARCH(Assumptions!$C$6,E323)),Assumptions!$D$6,IF(ISNUMBER(SEARCH(Assumptions!$C$7,E323)),Assumptions!$D$7,"Other Services"))),"Other Services"))</f>
        <v/>
      </c>
    </row>
    <row r="324" customFormat="false" ht="15" hidden="false" customHeight="false" outlineLevel="0" collapsed="false">
      <c r="G324" s="41" t="str">
        <f aca="false">IF(E324="","",IFERROR(IF(ISNUMBER(SEARCH(Assumptions!$C$5,E324)),Assumptions!$D$5,IF(ISNUMBER(SEARCH(Assumptions!$C$6,E324)),Assumptions!$D$6,IF(ISNUMBER(SEARCH(Assumptions!$C$7,E324)),Assumptions!$D$7,"Other Services"))),"Other Services"))</f>
        <v/>
      </c>
    </row>
    <row r="325" customFormat="false" ht="15" hidden="false" customHeight="false" outlineLevel="0" collapsed="false">
      <c r="G325" s="41" t="str">
        <f aca="false">IF(E325="","",IFERROR(IF(ISNUMBER(SEARCH(Assumptions!$C$5,E325)),Assumptions!$D$5,IF(ISNUMBER(SEARCH(Assumptions!$C$6,E325)),Assumptions!$D$6,IF(ISNUMBER(SEARCH(Assumptions!$C$7,E325)),Assumptions!$D$7,"Other Services"))),"Other Services"))</f>
        <v/>
      </c>
    </row>
    <row r="326" customFormat="false" ht="15" hidden="false" customHeight="false" outlineLevel="0" collapsed="false">
      <c r="G326" s="41" t="str">
        <f aca="false">IF(E326="","",IFERROR(IF(ISNUMBER(SEARCH(Assumptions!$C$5,E326)),Assumptions!$D$5,IF(ISNUMBER(SEARCH(Assumptions!$C$6,E326)),Assumptions!$D$6,IF(ISNUMBER(SEARCH(Assumptions!$C$7,E326)),Assumptions!$D$7,"Other Services"))),"Other Services"))</f>
        <v/>
      </c>
    </row>
    <row r="327" customFormat="false" ht="15" hidden="false" customHeight="false" outlineLevel="0" collapsed="false">
      <c r="G327" s="41" t="str">
        <f aca="false">IF(E327="","",IFERROR(IF(ISNUMBER(SEARCH(Assumptions!$C$5,E327)),Assumptions!$D$5,IF(ISNUMBER(SEARCH(Assumptions!$C$6,E327)),Assumptions!$D$6,IF(ISNUMBER(SEARCH(Assumptions!$C$7,E327)),Assumptions!$D$7,"Other Services"))),"Other Services"))</f>
        <v/>
      </c>
    </row>
    <row r="328" customFormat="false" ht="15" hidden="false" customHeight="false" outlineLevel="0" collapsed="false">
      <c r="G328" s="41" t="str">
        <f aca="false">IF(E328="","",IFERROR(IF(ISNUMBER(SEARCH(Assumptions!$C$5,E328)),Assumptions!$D$5,IF(ISNUMBER(SEARCH(Assumptions!$C$6,E328)),Assumptions!$D$6,IF(ISNUMBER(SEARCH(Assumptions!$C$7,E328)),Assumptions!$D$7,"Other Services"))),"Other Services"))</f>
        <v/>
      </c>
    </row>
    <row r="329" customFormat="false" ht="15" hidden="false" customHeight="false" outlineLevel="0" collapsed="false">
      <c r="G329" s="41" t="str">
        <f aca="false">IF(E329="","",IFERROR(IF(ISNUMBER(SEARCH(Assumptions!$C$5,E329)),Assumptions!$D$5,IF(ISNUMBER(SEARCH(Assumptions!$C$6,E329)),Assumptions!$D$6,IF(ISNUMBER(SEARCH(Assumptions!$C$7,E329)),Assumptions!$D$7,"Other Services"))),"Other Services"))</f>
        <v/>
      </c>
    </row>
    <row r="330" customFormat="false" ht="15" hidden="false" customHeight="false" outlineLevel="0" collapsed="false">
      <c r="G330" s="41" t="str">
        <f aca="false">IF(E330="","",IFERROR(IF(ISNUMBER(SEARCH(Assumptions!$C$5,E330)),Assumptions!$D$5,IF(ISNUMBER(SEARCH(Assumptions!$C$6,E330)),Assumptions!$D$6,IF(ISNUMBER(SEARCH(Assumptions!$C$7,E330)),Assumptions!$D$7,"Other Services"))),"Other Services"))</f>
        <v/>
      </c>
    </row>
    <row r="331" customFormat="false" ht="15" hidden="false" customHeight="false" outlineLevel="0" collapsed="false">
      <c r="G331" s="41" t="str">
        <f aca="false">IF(E331="","",IFERROR(IF(ISNUMBER(SEARCH(Assumptions!$C$5,E331)),Assumptions!$D$5,IF(ISNUMBER(SEARCH(Assumptions!$C$6,E331)),Assumptions!$D$6,IF(ISNUMBER(SEARCH(Assumptions!$C$7,E331)),Assumptions!$D$7,"Other Services"))),"Other Services"))</f>
        <v/>
      </c>
    </row>
    <row r="332" customFormat="false" ht="15" hidden="false" customHeight="false" outlineLevel="0" collapsed="false">
      <c r="G332" s="41" t="str">
        <f aca="false">IF(E332="","",IFERROR(IF(ISNUMBER(SEARCH(Assumptions!$C$5,E332)),Assumptions!$D$5,IF(ISNUMBER(SEARCH(Assumptions!$C$6,E332)),Assumptions!$D$6,IF(ISNUMBER(SEARCH(Assumptions!$C$7,E332)),Assumptions!$D$7,"Other Services"))),"Other Services"))</f>
        <v/>
      </c>
    </row>
    <row r="333" customFormat="false" ht="15" hidden="false" customHeight="false" outlineLevel="0" collapsed="false">
      <c r="G333" s="41" t="str">
        <f aca="false">IF(E333="","",IFERROR(IF(ISNUMBER(SEARCH(Assumptions!$C$5,E333)),Assumptions!$D$5,IF(ISNUMBER(SEARCH(Assumptions!$C$6,E333)),Assumptions!$D$6,IF(ISNUMBER(SEARCH(Assumptions!$C$7,E333)),Assumptions!$D$7,"Other Services"))),"Other Services"))</f>
        <v/>
      </c>
    </row>
    <row r="334" customFormat="false" ht="15" hidden="false" customHeight="false" outlineLevel="0" collapsed="false">
      <c r="G334" s="41" t="str">
        <f aca="false">IF(E334="","",IFERROR(IF(ISNUMBER(SEARCH(Assumptions!$C$5,E334)),Assumptions!$D$5,IF(ISNUMBER(SEARCH(Assumptions!$C$6,E334)),Assumptions!$D$6,IF(ISNUMBER(SEARCH(Assumptions!$C$7,E334)),Assumptions!$D$7,"Other Services"))),"Other Services"))</f>
        <v/>
      </c>
    </row>
    <row r="335" customFormat="false" ht="15" hidden="false" customHeight="false" outlineLevel="0" collapsed="false">
      <c r="G335" s="41" t="str">
        <f aca="false">IF(E335="","",IFERROR(IF(ISNUMBER(SEARCH(Assumptions!$C$5,E335)),Assumptions!$D$5,IF(ISNUMBER(SEARCH(Assumptions!$C$6,E335)),Assumptions!$D$6,IF(ISNUMBER(SEARCH(Assumptions!$C$7,E335)),Assumptions!$D$7,"Other Services"))),"Other Services"))</f>
        <v/>
      </c>
    </row>
    <row r="336" customFormat="false" ht="15" hidden="false" customHeight="false" outlineLevel="0" collapsed="false">
      <c r="G336" s="41" t="str">
        <f aca="false">IF(E336="","",IFERROR(IF(ISNUMBER(SEARCH(Assumptions!$C$5,E336)),Assumptions!$D$5,IF(ISNUMBER(SEARCH(Assumptions!$C$6,E336)),Assumptions!$D$6,IF(ISNUMBER(SEARCH(Assumptions!$C$7,E336)),Assumptions!$D$7,"Other Services"))),"Other Services"))</f>
        <v/>
      </c>
    </row>
    <row r="337" customFormat="false" ht="15" hidden="false" customHeight="false" outlineLevel="0" collapsed="false">
      <c r="G337" s="41" t="str">
        <f aca="false">IF(E337="","",IFERROR(IF(ISNUMBER(SEARCH(Assumptions!$C$5,E337)),Assumptions!$D$5,IF(ISNUMBER(SEARCH(Assumptions!$C$6,E337)),Assumptions!$D$6,IF(ISNUMBER(SEARCH(Assumptions!$C$7,E337)),Assumptions!$D$7,"Other Services"))),"Other Services"))</f>
        <v/>
      </c>
    </row>
    <row r="338" customFormat="false" ht="15" hidden="false" customHeight="false" outlineLevel="0" collapsed="false">
      <c r="G338" s="41" t="str">
        <f aca="false">IF(E338="","",IFERROR(IF(ISNUMBER(SEARCH(Assumptions!$C$5,E338)),Assumptions!$D$5,IF(ISNUMBER(SEARCH(Assumptions!$C$6,E338)),Assumptions!$D$6,IF(ISNUMBER(SEARCH(Assumptions!$C$7,E338)),Assumptions!$D$7,"Other Services"))),"Other Services"))</f>
        <v/>
      </c>
    </row>
    <row r="339" customFormat="false" ht="15" hidden="false" customHeight="false" outlineLevel="0" collapsed="false">
      <c r="G339" s="41" t="str">
        <f aca="false">IF(E339="","",IFERROR(IF(ISNUMBER(SEARCH(Assumptions!$C$5,E339)),Assumptions!$D$5,IF(ISNUMBER(SEARCH(Assumptions!$C$6,E339)),Assumptions!$D$6,IF(ISNUMBER(SEARCH(Assumptions!$C$7,E339)),Assumptions!$D$7,"Other Services"))),"Other Services"))</f>
        <v/>
      </c>
    </row>
    <row r="340" customFormat="false" ht="15" hidden="false" customHeight="false" outlineLevel="0" collapsed="false">
      <c r="G340" s="41" t="str">
        <f aca="false">IF(E340="","",IFERROR(IF(ISNUMBER(SEARCH(Assumptions!$C$5,E340)),Assumptions!$D$5,IF(ISNUMBER(SEARCH(Assumptions!$C$6,E340)),Assumptions!$D$6,IF(ISNUMBER(SEARCH(Assumptions!$C$7,E340)),Assumptions!$D$7,"Other Services"))),"Other Services"))</f>
        <v/>
      </c>
    </row>
    <row r="341" customFormat="false" ht="15" hidden="false" customHeight="false" outlineLevel="0" collapsed="false">
      <c r="G341" s="41" t="str">
        <f aca="false">IF(E341="","",IFERROR(IF(ISNUMBER(SEARCH(Assumptions!$C$5,E341)),Assumptions!$D$5,IF(ISNUMBER(SEARCH(Assumptions!$C$6,E341)),Assumptions!$D$6,IF(ISNUMBER(SEARCH(Assumptions!$C$7,E341)),Assumptions!$D$7,"Other Services"))),"Other Services"))</f>
        <v/>
      </c>
    </row>
    <row r="342" customFormat="false" ht="15" hidden="false" customHeight="false" outlineLevel="0" collapsed="false">
      <c r="G342" s="41" t="str">
        <f aca="false">IF(E342="","",IFERROR(IF(ISNUMBER(SEARCH(Assumptions!$C$5,E342)),Assumptions!$D$5,IF(ISNUMBER(SEARCH(Assumptions!$C$6,E342)),Assumptions!$D$6,IF(ISNUMBER(SEARCH(Assumptions!$C$7,E342)),Assumptions!$D$7,"Other Services"))),"Other Services"))</f>
        <v/>
      </c>
    </row>
    <row r="343" customFormat="false" ht="15" hidden="false" customHeight="false" outlineLevel="0" collapsed="false">
      <c r="G343" s="41" t="str">
        <f aca="false">IF(E343="","",IFERROR(IF(ISNUMBER(SEARCH(Assumptions!$C$5,E343)),Assumptions!$D$5,IF(ISNUMBER(SEARCH(Assumptions!$C$6,E343)),Assumptions!$D$6,IF(ISNUMBER(SEARCH(Assumptions!$C$7,E343)),Assumptions!$D$7,"Other Services"))),"Other Services"))</f>
        <v/>
      </c>
    </row>
    <row r="344" customFormat="false" ht="15" hidden="false" customHeight="false" outlineLevel="0" collapsed="false">
      <c r="G344" s="41" t="str">
        <f aca="false">IF(E344="","",IFERROR(IF(ISNUMBER(SEARCH(Assumptions!$C$5,E344)),Assumptions!$D$5,IF(ISNUMBER(SEARCH(Assumptions!$C$6,E344)),Assumptions!$D$6,IF(ISNUMBER(SEARCH(Assumptions!$C$7,E344)),Assumptions!$D$7,"Other Services"))),"Other Services"))</f>
        <v/>
      </c>
    </row>
    <row r="345" customFormat="false" ht="15" hidden="false" customHeight="false" outlineLevel="0" collapsed="false">
      <c r="G345" s="41" t="str">
        <f aca="false">IF(E345="","",IFERROR(IF(ISNUMBER(SEARCH(Assumptions!$C$5,E345)),Assumptions!$D$5,IF(ISNUMBER(SEARCH(Assumptions!$C$6,E345)),Assumptions!$D$6,IF(ISNUMBER(SEARCH(Assumptions!$C$7,E345)),Assumptions!$D$7,"Other Services"))),"Other Services"))</f>
        <v/>
      </c>
    </row>
    <row r="346" customFormat="false" ht="15" hidden="false" customHeight="false" outlineLevel="0" collapsed="false">
      <c r="G346" s="41" t="str">
        <f aca="false">IF(E346="","",IFERROR(IF(ISNUMBER(SEARCH(Assumptions!$C$5,E346)),Assumptions!$D$5,IF(ISNUMBER(SEARCH(Assumptions!$C$6,E346)),Assumptions!$D$6,IF(ISNUMBER(SEARCH(Assumptions!$C$7,E346)),Assumptions!$D$7,"Other Services"))),"Other Services"))</f>
        <v/>
      </c>
    </row>
    <row r="347" customFormat="false" ht="15" hidden="false" customHeight="false" outlineLevel="0" collapsed="false">
      <c r="G347" s="41" t="str">
        <f aca="false">IF(E347="","",IFERROR(IF(ISNUMBER(SEARCH(Assumptions!$C$5,E347)),Assumptions!$D$5,IF(ISNUMBER(SEARCH(Assumptions!$C$6,E347)),Assumptions!$D$6,IF(ISNUMBER(SEARCH(Assumptions!$C$7,E347)),Assumptions!$D$7,"Other Services"))),"Other Services"))</f>
        <v/>
      </c>
    </row>
    <row r="348" customFormat="false" ht="15" hidden="false" customHeight="false" outlineLevel="0" collapsed="false">
      <c r="G348" s="41" t="str">
        <f aca="false">IF(E348="","",IFERROR(IF(ISNUMBER(SEARCH(Assumptions!$C$5,E348)),Assumptions!$D$5,IF(ISNUMBER(SEARCH(Assumptions!$C$6,E348)),Assumptions!$D$6,IF(ISNUMBER(SEARCH(Assumptions!$C$7,E348)),Assumptions!$D$7,"Other Services"))),"Other Services"))</f>
        <v/>
      </c>
    </row>
    <row r="349" customFormat="false" ht="15" hidden="false" customHeight="false" outlineLevel="0" collapsed="false">
      <c r="G349" s="41" t="str">
        <f aca="false">IF(E349="","",IFERROR(IF(ISNUMBER(SEARCH(Assumptions!$C$5,E349)),Assumptions!$D$5,IF(ISNUMBER(SEARCH(Assumptions!$C$6,E349)),Assumptions!$D$6,IF(ISNUMBER(SEARCH(Assumptions!$C$7,E349)),Assumptions!$D$7,"Other Services"))),"Other Services"))</f>
        <v/>
      </c>
    </row>
    <row r="350" customFormat="false" ht="15" hidden="false" customHeight="false" outlineLevel="0" collapsed="false">
      <c r="G350" s="41" t="str">
        <f aca="false">IF(E350="","",IFERROR(IF(ISNUMBER(SEARCH(Assumptions!$C$5,E350)),Assumptions!$D$5,IF(ISNUMBER(SEARCH(Assumptions!$C$6,E350)),Assumptions!$D$6,IF(ISNUMBER(SEARCH(Assumptions!$C$7,E350)),Assumptions!$D$7,"Other Services"))),"Other Services"))</f>
        <v/>
      </c>
    </row>
    <row r="351" customFormat="false" ht="15" hidden="false" customHeight="false" outlineLevel="0" collapsed="false">
      <c r="G351" s="41" t="str">
        <f aca="false">IF(E351="","",IFERROR(IF(ISNUMBER(SEARCH(Assumptions!$C$5,E351)),Assumptions!$D$5,IF(ISNUMBER(SEARCH(Assumptions!$C$6,E351)),Assumptions!$D$6,IF(ISNUMBER(SEARCH(Assumptions!$C$7,E351)),Assumptions!$D$7,"Other Services"))),"Other Services"))</f>
        <v/>
      </c>
    </row>
    <row r="352" customFormat="false" ht="15" hidden="false" customHeight="false" outlineLevel="0" collapsed="false">
      <c r="G352" s="41" t="str">
        <f aca="false">IF(E352="","",IFERROR(IF(ISNUMBER(SEARCH(Assumptions!$C$5,E352)),Assumptions!$D$5,IF(ISNUMBER(SEARCH(Assumptions!$C$6,E352)),Assumptions!$D$6,IF(ISNUMBER(SEARCH(Assumptions!$C$7,E352)),Assumptions!$D$7,"Other Services"))),"Other Services"))</f>
        <v/>
      </c>
    </row>
    <row r="353" customFormat="false" ht="15" hidden="false" customHeight="false" outlineLevel="0" collapsed="false">
      <c r="G353" s="41" t="str">
        <f aca="false">IF(E353="","",IFERROR(IF(ISNUMBER(SEARCH(Assumptions!$C$5,E353)),Assumptions!$D$5,IF(ISNUMBER(SEARCH(Assumptions!$C$6,E353)),Assumptions!$D$6,IF(ISNUMBER(SEARCH(Assumptions!$C$7,E353)),Assumptions!$D$7,"Other Services"))),"Other Services"))</f>
        <v/>
      </c>
    </row>
    <row r="354" customFormat="false" ht="15" hidden="false" customHeight="false" outlineLevel="0" collapsed="false">
      <c r="G354" s="41" t="str">
        <f aca="false">IF(E354="","",IFERROR(IF(ISNUMBER(SEARCH(Assumptions!$C$5,E354)),Assumptions!$D$5,IF(ISNUMBER(SEARCH(Assumptions!$C$6,E354)),Assumptions!$D$6,IF(ISNUMBER(SEARCH(Assumptions!$C$7,E354)),Assumptions!$D$7,"Other Services"))),"Other Services"))</f>
        <v/>
      </c>
    </row>
    <row r="355" customFormat="false" ht="15" hidden="false" customHeight="false" outlineLevel="0" collapsed="false">
      <c r="G355" s="41" t="str">
        <f aca="false">IF(E355="","",IFERROR(IF(ISNUMBER(SEARCH(Assumptions!$C$5,E355)),Assumptions!$D$5,IF(ISNUMBER(SEARCH(Assumptions!$C$6,E355)),Assumptions!$D$6,IF(ISNUMBER(SEARCH(Assumptions!$C$7,E355)),Assumptions!$D$7,"Other Services"))),"Other Services"))</f>
        <v/>
      </c>
    </row>
    <row r="356" customFormat="false" ht="15" hidden="false" customHeight="false" outlineLevel="0" collapsed="false">
      <c r="G356" s="41" t="str">
        <f aca="false">IF(E356="","",IFERROR(IF(ISNUMBER(SEARCH(Assumptions!$C$5,E356)),Assumptions!$D$5,IF(ISNUMBER(SEARCH(Assumptions!$C$6,E356)),Assumptions!$D$6,IF(ISNUMBER(SEARCH(Assumptions!$C$7,E356)),Assumptions!$D$7,"Other Services"))),"Other Services"))</f>
        <v/>
      </c>
    </row>
    <row r="357" customFormat="false" ht="15" hidden="false" customHeight="false" outlineLevel="0" collapsed="false">
      <c r="G357" s="41" t="str">
        <f aca="false">IF(E357="","",IFERROR(IF(ISNUMBER(SEARCH(Assumptions!$C$5,E357)),Assumptions!$D$5,IF(ISNUMBER(SEARCH(Assumptions!$C$6,E357)),Assumptions!$D$6,IF(ISNUMBER(SEARCH(Assumptions!$C$7,E357)),Assumptions!$D$7,"Other Services"))),"Other Services"))</f>
        <v/>
      </c>
    </row>
    <row r="358" customFormat="false" ht="15" hidden="false" customHeight="false" outlineLevel="0" collapsed="false">
      <c r="G358" s="41" t="str">
        <f aca="false">IF(E358="","",IFERROR(IF(ISNUMBER(SEARCH(Assumptions!$C$5,E358)),Assumptions!$D$5,IF(ISNUMBER(SEARCH(Assumptions!$C$6,E358)),Assumptions!$D$6,IF(ISNUMBER(SEARCH(Assumptions!$C$7,E358)),Assumptions!$D$7,"Other Services"))),"Other Services"))</f>
        <v/>
      </c>
    </row>
    <row r="359" customFormat="false" ht="15" hidden="false" customHeight="false" outlineLevel="0" collapsed="false">
      <c r="G359" s="41" t="str">
        <f aca="false">IF(E359="","",IFERROR(IF(ISNUMBER(SEARCH(Assumptions!$C$5,E359)),Assumptions!$D$5,IF(ISNUMBER(SEARCH(Assumptions!$C$6,E359)),Assumptions!$D$6,IF(ISNUMBER(SEARCH(Assumptions!$C$7,E359)),Assumptions!$D$7,"Other Services"))),"Other Services"))</f>
        <v/>
      </c>
    </row>
    <row r="360" customFormat="false" ht="15" hidden="false" customHeight="false" outlineLevel="0" collapsed="false">
      <c r="G360" s="41" t="str">
        <f aca="false">IF(E360="","",IFERROR(IF(ISNUMBER(SEARCH(Assumptions!$C$5,E360)),Assumptions!$D$5,IF(ISNUMBER(SEARCH(Assumptions!$C$6,E360)),Assumptions!$D$6,IF(ISNUMBER(SEARCH(Assumptions!$C$7,E360)),Assumptions!$D$7,"Other Services"))),"Other Services"))</f>
        <v/>
      </c>
    </row>
    <row r="361" customFormat="false" ht="15" hidden="false" customHeight="false" outlineLevel="0" collapsed="false">
      <c r="G361" s="41" t="str">
        <f aca="false">IF(E361="","",IFERROR(IF(ISNUMBER(SEARCH(Assumptions!$C$5,E361)),Assumptions!$D$5,IF(ISNUMBER(SEARCH(Assumptions!$C$6,E361)),Assumptions!$D$6,IF(ISNUMBER(SEARCH(Assumptions!$C$7,E361)),Assumptions!$D$7,"Other Services"))),"Other Services"))</f>
        <v/>
      </c>
    </row>
    <row r="362" customFormat="false" ht="15" hidden="false" customHeight="false" outlineLevel="0" collapsed="false">
      <c r="G362" s="41" t="str">
        <f aca="false">IF(E362="","",IFERROR(IF(ISNUMBER(SEARCH(Assumptions!$C$5,E362)),Assumptions!$D$5,IF(ISNUMBER(SEARCH(Assumptions!$C$6,E362)),Assumptions!$D$6,IF(ISNUMBER(SEARCH(Assumptions!$C$7,E362)),Assumptions!$D$7,"Other Services"))),"Other Services"))</f>
        <v/>
      </c>
    </row>
    <row r="363" customFormat="false" ht="15" hidden="false" customHeight="false" outlineLevel="0" collapsed="false">
      <c r="G363" s="41" t="str">
        <f aca="false">IF(E363="","",IFERROR(IF(ISNUMBER(SEARCH(Assumptions!$C$5,E363)),Assumptions!$D$5,IF(ISNUMBER(SEARCH(Assumptions!$C$6,E363)),Assumptions!$D$6,IF(ISNUMBER(SEARCH(Assumptions!$C$7,E363)),Assumptions!$D$7,"Other Services"))),"Other Services"))</f>
        <v/>
      </c>
    </row>
    <row r="364" customFormat="false" ht="15" hidden="false" customHeight="false" outlineLevel="0" collapsed="false">
      <c r="G364" s="41" t="str">
        <f aca="false">IF(E364="","",IFERROR(IF(ISNUMBER(SEARCH(Assumptions!$C$5,E364)),Assumptions!$D$5,IF(ISNUMBER(SEARCH(Assumptions!$C$6,E364)),Assumptions!$D$6,IF(ISNUMBER(SEARCH(Assumptions!$C$7,E364)),Assumptions!$D$7,"Other Services"))),"Other Services"))</f>
        <v/>
      </c>
    </row>
    <row r="365" customFormat="false" ht="15" hidden="false" customHeight="false" outlineLevel="0" collapsed="false">
      <c r="G365" s="41" t="str">
        <f aca="false">IF(E365="","",IFERROR(IF(ISNUMBER(SEARCH(Assumptions!$C$5,E365)),Assumptions!$D$5,IF(ISNUMBER(SEARCH(Assumptions!$C$6,E365)),Assumptions!$D$6,IF(ISNUMBER(SEARCH(Assumptions!$C$7,E365)),Assumptions!$D$7,"Other Services"))),"Other Services"))</f>
        <v/>
      </c>
    </row>
    <row r="366" customFormat="false" ht="15" hidden="false" customHeight="false" outlineLevel="0" collapsed="false">
      <c r="G366" s="41" t="str">
        <f aca="false">IF(E366="","",IFERROR(IF(ISNUMBER(SEARCH(Assumptions!$C$5,E366)),Assumptions!$D$5,IF(ISNUMBER(SEARCH(Assumptions!$C$6,E366)),Assumptions!$D$6,IF(ISNUMBER(SEARCH(Assumptions!$C$7,E366)),Assumptions!$D$7,"Other Services"))),"Other Services"))</f>
        <v/>
      </c>
    </row>
    <row r="367" customFormat="false" ht="15" hidden="false" customHeight="false" outlineLevel="0" collapsed="false">
      <c r="G367" s="41" t="str">
        <f aca="false">IF(E367="","",IFERROR(IF(ISNUMBER(SEARCH(Assumptions!$C$5,E367)),Assumptions!$D$5,IF(ISNUMBER(SEARCH(Assumptions!$C$6,E367)),Assumptions!$D$6,IF(ISNUMBER(SEARCH(Assumptions!$C$7,E367)),Assumptions!$D$7,"Other Services"))),"Other Services"))</f>
        <v/>
      </c>
    </row>
    <row r="368" customFormat="false" ht="15" hidden="false" customHeight="false" outlineLevel="0" collapsed="false">
      <c r="G368" s="41" t="str">
        <f aca="false">IF(E368="","",IFERROR(IF(ISNUMBER(SEARCH(Assumptions!$C$5,E368)),Assumptions!$D$5,IF(ISNUMBER(SEARCH(Assumptions!$C$6,E368)),Assumptions!$D$6,IF(ISNUMBER(SEARCH(Assumptions!$C$7,E368)),Assumptions!$D$7,"Other Services"))),"Other Services"))</f>
        <v/>
      </c>
    </row>
    <row r="369" customFormat="false" ht="15" hidden="false" customHeight="false" outlineLevel="0" collapsed="false">
      <c r="G369" s="41" t="str">
        <f aca="false">IF(E369="","",IFERROR(IF(ISNUMBER(SEARCH(Assumptions!$C$5,E369)),Assumptions!$D$5,IF(ISNUMBER(SEARCH(Assumptions!$C$6,E369)),Assumptions!$D$6,IF(ISNUMBER(SEARCH(Assumptions!$C$7,E369)),Assumptions!$D$7,"Other Services"))),"Other Services"))</f>
        <v/>
      </c>
    </row>
    <row r="370" customFormat="false" ht="15" hidden="false" customHeight="false" outlineLevel="0" collapsed="false">
      <c r="G370" s="41" t="str">
        <f aca="false">IF(E370="","",IFERROR(IF(ISNUMBER(SEARCH(Assumptions!$C$5,E370)),Assumptions!$D$5,IF(ISNUMBER(SEARCH(Assumptions!$C$6,E370)),Assumptions!$D$6,IF(ISNUMBER(SEARCH(Assumptions!$C$7,E370)),Assumptions!$D$7,"Other Services"))),"Other Services"))</f>
        <v/>
      </c>
    </row>
    <row r="371" customFormat="false" ht="15" hidden="false" customHeight="false" outlineLevel="0" collapsed="false">
      <c r="G371" s="41" t="str">
        <f aca="false">IF(E371="","",IFERROR(IF(ISNUMBER(SEARCH(Assumptions!$C$5,E371)),Assumptions!$D$5,IF(ISNUMBER(SEARCH(Assumptions!$C$6,E371)),Assumptions!$D$6,IF(ISNUMBER(SEARCH(Assumptions!$C$7,E371)),Assumptions!$D$7,"Other Services"))),"Other Services"))</f>
        <v/>
      </c>
    </row>
    <row r="372" customFormat="false" ht="15" hidden="false" customHeight="false" outlineLevel="0" collapsed="false">
      <c r="G372" s="41" t="str">
        <f aca="false">IF(E372="","",IFERROR(IF(ISNUMBER(SEARCH(Assumptions!$C$5,E372)),Assumptions!$D$5,IF(ISNUMBER(SEARCH(Assumptions!$C$6,E372)),Assumptions!$D$6,IF(ISNUMBER(SEARCH(Assumptions!$C$7,E372)),Assumptions!$D$7,"Other Services"))),"Other Services"))</f>
        <v/>
      </c>
    </row>
    <row r="373" customFormat="false" ht="15" hidden="false" customHeight="false" outlineLevel="0" collapsed="false">
      <c r="G373" s="41" t="str">
        <f aca="false">IF(E373="","",IFERROR(IF(ISNUMBER(SEARCH(Assumptions!$C$5,E373)),Assumptions!$D$5,IF(ISNUMBER(SEARCH(Assumptions!$C$6,E373)),Assumptions!$D$6,IF(ISNUMBER(SEARCH(Assumptions!$C$7,E373)),Assumptions!$D$7,"Other Services"))),"Other Services"))</f>
        <v/>
      </c>
    </row>
    <row r="374" customFormat="false" ht="15" hidden="false" customHeight="false" outlineLevel="0" collapsed="false">
      <c r="G374" s="41" t="str">
        <f aca="false">IF(E374="","",IFERROR(IF(ISNUMBER(SEARCH(Assumptions!$C$5,E374)),Assumptions!$D$5,IF(ISNUMBER(SEARCH(Assumptions!$C$6,E374)),Assumptions!$D$6,IF(ISNUMBER(SEARCH(Assumptions!$C$7,E374)),Assumptions!$D$7,"Other Services"))),"Other Services"))</f>
        <v/>
      </c>
    </row>
    <row r="375" customFormat="false" ht="15" hidden="false" customHeight="false" outlineLevel="0" collapsed="false">
      <c r="G375" s="41" t="str">
        <f aca="false">IF(E375="","",IFERROR(IF(ISNUMBER(SEARCH(Assumptions!$C$5,E375)),Assumptions!$D$5,IF(ISNUMBER(SEARCH(Assumptions!$C$6,E375)),Assumptions!$D$6,IF(ISNUMBER(SEARCH(Assumptions!$C$7,E375)),Assumptions!$D$7,"Other Services"))),"Other Services"))</f>
        <v/>
      </c>
    </row>
    <row r="376" customFormat="false" ht="15" hidden="false" customHeight="false" outlineLevel="0" collapsed="false">
      <c r="G376" s="41" t="str">
        <f aca="false">IF(E376="","",IFERROR(IF(ISNUMBER(SEARCH(Assumptions!$C$5,E376)),Assumptions!$D$5,IF(ISNUMBER(SEARCH(Assumptions!$C$6,E376)),Assumptions!$D$6,IF(ISNUMBER(SEARCH(Assumptions!$C$7,E376)),Assumptions!$D$7,"Other Services"))),"Other Services"))</f>
        <v/>
      </c>
    </row>
    <row r="377" customFormat="false" ht="15" hidden="false" customHeight="false" outlineLevel="0" collapsed="false">
      <c r="G377" s="41" t="str">
        <f aca="false">IF(E377="","",IFERROR(IF(ISNUMBER(SEARCH(Assumptions!$C$5,E377)),Assumptions!$D$5,IF(ISNUMBER(SEARCH(Assumptions!$C$6,E377)),Assumptions!$D$6,IF(ISNUMBER(SEARCH(Assumptions!$C$7,E377)),Assumptions!$D$7,"Other Services"))),"Other Services"))</f>
        <v/>
      </c>
    </row>
    <row r="378" customFormat="false" ht="15" hidden="false" customHeight="false" outlineLevel="0" collapsed="false">
      <c r="G378" s="41" t="str">
        <f aca="false">IF(E378="","",IFERROR(IF(ISNUMBER(SEARCH(Assumptions!$C$5,E378)),Assumptions!$D$5,IF(ISNUMBER(SEARCH(Assumptions!$C$6,E378)),Assumptions!$D$6,IF(ISNUMBER(SEARCH(Assumptions!$C$7,E378)),Assumptions!$D$7,"Other Services"))),"Other Services"))</f>
        <v/>
      </c>
    </row>
    <row r="379" customFormat="false" ht="15" hidden="false" customHeight="false" outlineLevel="0" collapsed="false">
      <c r="G379" s="41" t="str">
        <f aca="false">IF(E379="","",IFERROR(IF(ISNUMBER(SEARCH(Assumptions!$C$5,E379)),Assumptions!$D$5,IF(ISNUMBER(SEARCH(Assumptions!$C$6,E379)),Assumptions!$D$6,IF(ISNUMBER(SEARCH(Assumptions!$C$7,E379)),Assumptions!$D$7,"Other Services"))),"Other Services"))</f>
        <v/>
      </c>
    </row>
    <row r="380" customFormat="false" ht="15" hidden="false" customHeight="false" outlineLevel="0" collapsed="false">
      <c r="G380" s="41" t="str">
        <f aca="false">IF(E380="","",IFERROR(IF(ISNUMBER(SEARCH(Assumptions!$C$5,E380)),Assumptions!$D$5,IF(ISNUMBER(SEARCH(Assumptions!$C$6,E380)),Assumptions!$D$6,IF(ISNUMBER(SEARCH(Assumptions!$C$7,E380)),Assumptions!$D$7,"Other Services"))),"Other Services"))</f>
        <v/>
      </c>
    </row>
    <row r="381" customFormat="false" ht="15" hidden="false" customHeight="false" outlineLevel="0" collapsed="false">
      <c r="G381" s="41" t="str">
        <f aca="false">IF(E381="","",IFERROR(IF(ISNUMBER(SEARCH(Assumptions!$C$5,E381)),Assumptions!$D$5,IF(ISNUMBER(SEARCH(Assumptions!$C$6,E381)),Assumptions!$D$6,IF(ISNUMBER(SEARCH(Assumptions!$C$7,E381)),Assumptions!$D$7,"Other Services"))),"Other Services"))</f>
        <v/>
      </c>
    </row>
    <row r="382" customFormat="false" ht="15" hidden="false" customHeight="false" outlineLevel="0" collapsed="false">
      <c r="G382" s="41" t="str">
        <f aca="false">IF(E382="","",IFERROR(IF(ISNUMBER(SEARCH(Assumptions!$C$5,E382)),Assumptions!$D$5,IF(ISNUMBER(SEARCH(Assumptions!$C$6,E382)),Assumptions!$D$6,IF(ISNUMBER(SEARCH(Assumptions!$C$7,E382)),Assumptions!$D$7,"Other Services"))),"Other Services"))</f>
        <v/>
      </c>
    </row>
    <row r="383" customFormat="false" ht="15" hidden="false" customHeight="false" outlineLevel="0" collapsed="false">
      <c r="G383" s="41" t="str">
        <f aca="false">IF(E383="","",IFERROR(IF(ISNUMBER(SEARCH(Assumptions!$C$5,E383)),Assumptions!$D$5,IF(ISNUMBER(SEARCH(Assumptions!$C$6,E383)),Assumptions!$D$6,IF(ISNUMBER(SEARCH(Assumptions!$C$7,E383)),Assumptions!$D$7,"Other Services"))),"Other Services"))</f>
        <v/>
      </c>
    </row>
    <row r="384" customFormat="false" ht="15" hidden="false" customHeight="false" outlineLevel="0" collapsed="false">
      <c r="G384" s="41" t="str">
        <f aca="false">IF(E384="","",IFERROR(IF(ISNUMBER(SEARCH(Assumptions!$C$5,E384)),Assumptions!$D$5,IF(ISNUMBER(SEARCH(Assumptions!$C$6,E384)),Assumptions!$D$6,IF(ISNUMBER(SEARCH(Assumptions!$C$7,E384)),Assumptions!$D$7,"Other Services"))),"Other Services"))</f>
        <v/>
      </c>
    </row>
    <row r="385" customFormat="false" ht="15" hidden="false" customHeight="false" outlineLevel="0" collapsed="false">
      <c r="G385" s="41" t="str">
        <f aca="false">IF(E385="","",IFERROR(IF(ISNUMBER(SEARCH(Assumptions!$C$5,E385)),Assumptions!$D$5,IF(ISNUMBER(SEARCH(Assumptions!$C$6,E385)),Assumptions!$D$6,IF(ISNUMBER(SEARCH(Assumptions!$C$7,E385)),Assumptions!$D$7,"Other Services"))),"Other Services"))</f>
        <v/>
      </c>
    </row>
    <row r="386" customFormat="false" ht="15" hidden="false" customHeight="false" outlineLevel="0" collapsed="false">
      <c r="G386" s="41" t="str">
        <f aca="false">IF(E386="","",IFERROR(IF(ISNUMBER(SEARCH(Assumptions!$C$5,E386)),Assumptions!$D$5,IF(ISNUMBER(SEARCH(Assumptions!$C$6,E386)),Assumptions!$D$6,IF(ISNUMBER(SEARCH(Assumptions!$C$7,E386)),Assumptions!$D$7,"Other Services"))),"Other Services"))</f>
        <v/>
      </c>
    </row>
    <row r="387" customFormat="false" ht="15" hidden="false" customHeight="false" outlineLevel="0" collapsed="false">
      <c r="G387" s="41" t="str">
        <f aca="false">IF(E387="","",IFERROR(IF(ISNUMBER(SEARCH(Assumptions!$C$5,E387)),Assumptions!$D$5,IF(ISNUMBER(SEARCH(Assumptions!$C$6,E387)),Assumptions!$D$6,IF(ISNUMBER(SEARCH(Assumptions!$C$7,E387)),Assumptions!$D$7,"Other Services"))),"Other Services"))</f>
        <v/>
      </c>
    </row>
    <row r="388" customFormat="false" ht="15" hidden="false" customHeight="false" outlineLevel="0" collapsed="false">
      <c r="G388" s="41" t="str">
        <f aca="false">IF(E388="","",IFERROR(IF(ISNUMBER(SEARCH(Assumptions!$C$5,E388)),Assumptions!$D$5,IF(ISNUMBER(SEARCH(Assumptions!$C$6,E388)),Assumptions!$D$6,IF(ISNUMBER(SEARCH(Assumptions!$C$7,E388)),Assumptions!$D$7,"Other Services"))),"Other Services"))</f>
        <v/>
      </c>
    </row>
    <row r="389" customFormat="false" ht="15" hidden="false" customHeight="false" outlineLevel="0" collapsed="false">
      <c r="G389" s="41" t="str">
        <f aca="false">IF(E389="","",IFERROR(IF(ISNUMBER(SEARCH(Assumptions!$C$5,E389)),Assumptions!$D$5,IF(ISNUMBER(SEARCH(Assumptions!$C$6,E389)),Assumptions!$D$6,IF(ISNUMBER(SEARCH(Assumptions!$C$7,E389)),Assumptions!$D$7,"Other Services"))),"Other Services"))</f>
        <v/>
      </c>
    </row>
    <row r="390" customFormat="false" ht="15" hidden="false" customHeight="false" outlineLevel="0" collapsed="false">
      <c r="G390" s="41" t="str">
        <f aca="false">IF(E390="","",IFERROR(IF(ISNUMBER(SEARCH(Assumptions!$C$5,E390)),Assumptions!$D$5,IF(ISNUMBER(SEARCH(Assumptions!$C$6,E390)),Assumptions!$D$6,IF(ISNUMBER(SEARCH(Assumptions!$C$7,E390)),Assumptions!$D$7,"Other Services"))),"Other Services"))</f>
        <v/>
      </c>
    </row>
    <row r="391" customFormat="false" ht="15" hidden="false" customHeight="false" outlineLevel="0" collapsed="false">
      <c r="G391" s="41" t="str">
        <f aca="false">IF(E391="","",IFERROR(IF(ISNUMBER(SEARCH(Assumptions!$C$5,E391)),Assumptions!$D$5,IF(ISNUMBER(SEARCH(Assumptions!$C$6,E391)),Assumptions!$D$6,IF(ISNUMBER(SEARCH(Assumptions!$C$7,E391)),Assumptions!$D$7,"Other Services"))),"Other Services"))</f>
        <v/>
      </c>
    </row>
    <row r="392" customFormat="false" ht="15" hidden="false" customHeight="false" outlineLevel="0" collapsed="false">
      <c r="G392" s="41" t="str">
        <f aca="false">IF(E392="","",IFERROR(IF(ISNUMBER(SEARCH(Assumptions!$C$5,E392)),Assumptions!$D$5,IF(ISNUMBER(SEARCH(Assumptions!$C$6,E392)),Assumptions!$D$6,IF(ISNUMBER(SEARCH(Assumptions!$C$7,E392)),Assumptions!$D$7,"Other Services"))),"Other Services"))</f>
        <v/>
      </c>
    </row>
    <row r="393" customFormat="false" ht="15" hidden="false" customHeight="false" outlineLevel="0" collapsed="false">
      <c r="G393" s="41" t="str">
        <f aca="false">IF(E393="","",IFERROR(IF(ISNUMBER(SEARCH(Assumptions!$C$5,E393)),Assumptions!$D$5,IF(ISNUMBER(SEARCH(Assumptions!$C$6,E393)),Assumptions!$D$6,IF(ISNUMBER(SEARCH(Assumptions!$C$7,E393)),Assumptions!$D$7,"Other Services"))),"Other Services"))</f>
        <v/>
      </c>
    </row>
    <row r="394" customFormat="false" ht="15" hidden="false" customHeight="false" outlineLevel="0" collapsed="false">
      <c r="G394" s="41" t="str">
        <f aca="false">IF(E394="","",IFERROR(IF(ISNUMBER(SEARCH(Assumptions!$C$5,E394)),Assumptions!$D$5,IF(ISNUMBER(SEARCH(Assumptions!$C$6,E394)),Assumptions!$D$6,IF(ISNUMBER(SEARCH(Assumptions!$C$7,E394)),Assumptions!$D$7,"Other Services"))),"Other Services"))</f>
        <v/>
      </c>
    </row>
    <row r="395" customFormat="false" ht="15" hidden="false" customHeight="false" outlineLevel="0" collapsed="false">
      <c r="G395" s="41" t="str">
        <f aca="false">IF(E395="","",IFERROR(IF(ISNUMBER(SEARCH(Assumptions!$C$5,E395)),Assumptions!$D$5,IF(ISNUMBER(SEARCH(Assumptions!$C$6,E395)),Assumptions!$D$6,IF(ISNUMBER(SEARCH(Assumptions!$C$7,E395)),Assumptions!$D$7,"Other Services"))),"Other Services"))</f>
        <v/>
      </c>
    </row>
    <row r="396" customFormat="false" ht="15" hidden="false" customHeight="false" outlineLevel="0" collapsed="false">
      <c r="G396" s="41" t="str">
        <f aca="false">IF(E396="","",IFERROR(IF(ISNUMBER(SEARCH(Assumptions!$C$5,E396)),Assumptions!$D$5,IF(ISNUMBER(SEARCH(Assumptions!$C$6,E396)),Assumptions!$D$6,IF(ISNUMBER(SEARCH(Assumptions!$C$7,E396)),Assumptions!$D$7,"Other Services"))),"Other Services"))</f>
        <v/>
      </c>
    </row>
    <row r="397" customFormat="false" ht="15" hidden="false" customHeight="false" outlineLevel="0" collapsed="false">
      <c r="G397" s="41" t="str">
        <f aca="false">IF(E397="","",IFERROR(IF(ISNUMBER(SEARCH(Assumptions!$C$5,E397)),Assumptions!$D$5,IF(ISNUMBER(SEARCH(Assumptions!$C$6,E397)),Assumptions!$D$6,IF(ISNUMBER(SEARCH(Assumptions!$C$7,E397)),Assumptions!$D$7,"Other Services"))),"Other Services"))</f>
        <v/>
      </c>
    </row>
    <row r="398" customFormat="false" ht="15" hidden="false" customHeight="false" outlineLevel="0" collapsed="false">
      <c r="G398" s="41" t="str">
        <f aca="false">IF(E398="","",IFERROR(IF(ISNUMBER(SEARCH(Assumptions!$C$5,E398)),Assumptions!$D$5,IF(ISNUMBER(SEARCH(Assumptions!$C$6,E398)),Assumptions!$D$6,IF(ISNUMBER(SEARCH(Assumptions!$C$7,E398)),Assumptions!$D$7,"Other Services"))),"Other Services"))</f>
        <v/>
      </c>
    </row>
    <row r="399" customFormat="false" ht="15" hidden="false" customHeight="false" outlineLevel="0" collapsed="false">
      <c r="G399" s="41" t="str">
        <f aca="false">IF(E399="","",IFERROR(IF(ISNUMBER(SEARCH(Assumptions!$C$5,E399)),Assumptions!$D$5,IF(ISNUMBER(SEARCH(Assumptions!$C$6,E399)),Assumptions!$D$6,IF(ISNUMBER(SEARCH(Assumptions!$C$7,E399)),Assumptions!$D$7,"Other Services"))),"Other Services"))</f>
        <v/>
      </c>
    </row>
    <row r="400" customFormat="false" ht="15" hidden="false" customHeight="false" outlineLevel="0" collapsed="false">
      <c r="G400" s="41" t="str">
        <f aca="false">IF(E400="","",IFERROR(IF(ISNUMBER(SEARCH(Assumptions!$C$5,E400)),Assumptions!$D$5,IF(ISNUMBER(SEARCH(Assumptions!$C$6,E400)),Assumptions!$D$6,IF(ISNUMBER(SEARCH(Assumptions!$C$7,E400)),Assumptions!$D$7,"Other Services"))),"Other Services"))</f>
        <v/>
      </c>
    </row>
    <row r="401" customFormat="false" ht="15" hidden="false" customHeight="false" outlineLevel="0" collapsed="false">
      <c r="G401" s="41" t="str">
        <f aca="false">IF(E401="","",IFERROR(IF(ISNUMBER(SEARCH(Assumptions!$C$5,E401)),Assumptions!$D$5,IF(ISNUMBER(SEARCH(Assumptions!$C$6,E401)),Assumptions!$D$6,IF(ISNUMBER(SEARCH(Assumptions!$C$7,E401)),Assumptions!$D$7,"Other Services"))),"Other Services"))</f>
        <v/>
      </c>
    </row>
    <row r="402" customFormat="false" ht="15" hidden="false" customHeight="false" outlineLevel="0" collapsed="false">
      <c r="G402" s="41" t="str">
        <f aca="false">IF(E402="","",IFERROR(IF(ISNUMBER(SEARCH(Assumptions!$C$5,E402)),Assumptions!$D$5,IF(ISNUMBER(SEARCH(Assumptions!$C$6,E402)),Assumptions!$D$6,IF(ISNUMBER(SEARCH(Assumptions!$C$7,E402)),Assumptions!$D$7,"Other Services"))),"Other Services"))</f>
        <v/>
      </c>
    </row>
    <row r="403" customFormat="false" ht="15" hidden="false" customHeight="false" outlineLevel="0" collapsed="false">
      <c r="G403" s="41" t="str">
        <f aca="false">IF(E403="","",IFERROR(IF(ISNUMBER(SEARCH(Assumptions!$C$5,E403)),Assumptions!$D$5,IF(ISNUMBER(SEARCH(Assumptions!$C$6,E403)),Assumptions!$D$6,IF(ISNUMBER(SEARCH(Assumptions!$C$7,E403)),Assumptions!$D$7,"Other Services"))),"Other Services"))</f>
        <v/>
      </c>
    </row>
    <row r="404" customFormat="false" ht="15" hidden="false" customHeight="false" outlineLevel="0" collapsed="false">
      <c r="G404" s="41" t="str">
        <f aca="false">IF(E404="","",IFERROR(IF(ISNUMBER(SEARCH(Assumptions!$C$5,E404)),Assumptions!$D$5,IF(ISNUMBER(SEARCH(Assumptions!$C$6,E404)),Assumptions!$D$6,IF(ISNUMBER(SEARCH(Assumptions!$C$7,E404)),Assumptions!$D$7,"Other Services"))),"Other Services"))</f>
        <v/>
      </c>
    </row>
    <row r="405" customFormat="false" ht="15" hidden="false" customHeight="false" outlineLevel="0" collapsed="false">
      <c r="G405" s="41" t="str">
        <f aca="false">IF(E405="","",IFERROR(IF(ISNUMBER(SEARCH(Assumptions!$C$5,E405)),Assumptions!$D$5,IF(ISNUMBER(SEARCH(Assumptions!$C$6,E405)),Assumptions!$D$6,IF(ISNUMBER(SEARCH(Assumptions!$C$7,E405)),Assumptions!$D$7,"Other Services"))),"Other Services"))</f>
        <v/>
      </c>
    </row>
    <row r="406" customFormat="false" ht="15" hidden="false" customHeight="false" outlineLevel="0" collapsed="false">
      <c r="G406" s="41" t="str">
        <f aca="false">IF(E406="","",IFERROR(IF(ISNUMBER(SEARCH(Assumptions!$C$5,E406)),Assumptions!$D$5,IF(ISNUMBER(SEARCH(Assumptions!$C$6,E406)),Assumptions!$D$6,IF(ISNUMBER(SEARCH(Assumptions!$C$7,E406)),Assumptions!$D$7,"Other Services"))),"Other Services"))</f>
        <v/>
      </c>
    </row>
    <row r="407" customFormat="false" ht="15" hidden="false" customHeight="false" outlineLevel="0" collapsed="false">
      <c r="G407" s="41" t="str">
        <f aca="false">IF(E407="","",IFERROR(IF(ISNUMBER(SEARCH(Assumptions!$C$5,E407)),Assumptions!$D$5,IF(ISNUMBER(SEARCH(Assumptions!$C$6,E407)),Assumptions!$D$6,IF(ISNUMBER(SEARCH(Assumptions!$C$7,E407)),Assumptions!$D$7,"Other Services"))),"Other Services"))</f>
        <v/>
      </c>
    </row>
    <row r="408" customFormat="false" ht="15" hidden="false" customHeight="false" outlineLevel="0" collapsed="false">
      <c r="G408" s="41" t="str">
        <f aca="false">IF(E408="","",IFERROR(IF(ISNUMBER(SEARCH(Assumptions!$C$5,E408)),Assumptions!$D$5,IF(ISNUMBER(SEARCH(Assumptions!$C$6,E408)),Assumptions!$D$6,IF(ISNUMBER(SEARCH(Assumptions!$C$7,E408)),Assumptions!$D$7,"Other Services"))),"Other Services"))</f>
        <v/>
      </c>
    </row>
    <row r="409" customFormat="false" ht="15" hidden="false" customHeight="false" outlineLevel="0" collapsed="false">
      <c r="G409" s="41" t="str">
        <f aca="false">IF(E409="","",IFERROR(IF(ISNUMBER(SEARCH(Assumptions!$C$5,E409)),Assumptions!$D$5,IF(ISNUMBER(SEARCH(Assumptions!$C$6,E409)),Assumptions!$D$6,IF(ISNUMBER(SEARCH(Assumptions!$C$7,E409)),Assumptions!$D$7,"Other Services"))),"Other Services"))</f>
        <v/>
      </c>
    </row>
    <row r="410" customFormat="false" ht="15" hidden="false" customHeight="false" outlineLevel="0" collapsed="false">
      <c r="G410" s="41" t="str">
        <f aca="false">IF(E410="","",IFERROR(IF(ISNUMBER(SEARCH(Assumptions!$C$5,E410)),Assumptions!$D$5,IF(ISNUMBER(SEARCH(Assumptions!$C$6,E410)),Assumptions!$D$6,IF(ISNUMBER(SEARCH(Assumptions!$C$7,E410)),Assumptions!$D$7,"Other Services"))),"Other Services"))</f>
        <v/>
      </c>
    </row>
    <row r="411" customFormat="false" ht="15" hidden="false" customHeight="false" outlineLevel="0" collapsed="false">
      <c r="G411" s="41" t="str">
        <f aca="false">IF(E411="","",IFERROR(IF(ISNUMBER(SEARCH(Assumptions!$C$5,E411)),Assumptions!$D$5,IF(ISNUMBER(SEARCH(Assumptions!$C$6,E411)),Assumptions!$D$6,IF(ISNUMBER(SEARCH(Assumptions!$C$7,E411)),Assumptions!$D$7,"Other Services"))),"Other Services"))</f>
        <v/>
      </c>
    </row>
    <row r="412" customFormat="false" ht="15" hidden="false" customHeight="false" outlineLevel="0" collapsed="false">
      <c r="G412" s="41" t="str">
        <f aca="false">IF(E412="","",IFERROR(IF(ISNUMBER(SEARCH(Assumptions!$C$5,E412)),Assumptions!$D$5,IF(ISNUMBER(SEARCH(Assumptions!$C$6,E412)),Assumptions!$D$6,IF(ISNUMBER(SEARCH(Assumptions!$C$7,E412)),Assumptions!$D$7,"Other Services"))),"Other Services"))</f>
        <v/>
      </c>
    </row>
    <row r="413" customFormat="false" ht="15" hidden="false" customHeight="false" outlineLevel="0" collapsed="false">
      <c r="G413" s="41" t="str">
        <f aca="false">IF(E413="","",IFERROR(IF(ISNUMBER(SEARCH(Assumptions!$C$5,E413)),Assumptions!$D$5,IF(ISNUMBER(SEARCH(Assumptions!$C$6,E413)),Assumptions!$D$6,IF(ISNUMBER(SEARCH(Assumptions!$C$7,E413)),Assumptions!$D$7,"Other Services"))),"Other Services"))</f>
        <v/>
      </c>
    </row>
    <row r="414" customFormat="false" ht="15" hidden="false" customHeight="false" outlineLevel="0" collapsed="false">
      <c r="G414" s="41" t="str">
        <f aca="false">IF(E414="","",IFERROR(IF(ISNUMBER(SEARCH(Assumptions!$C$5,E414)),Assumptions!$D$5,IF(ISNUMBER(SEARCH(Assumptions!$C$6,E414)),Assumptions!$D$6,IF(ISNUMBER(SEARCH(Assumptions!$C$7,E414)),Assumptions!$D$7,"Other Services"))),"Other Services"))</f>
        <v/>
      </c>
    </row>
    <row r="415" customFormat="false" ht="15" hidden="false" customHeight="false" outlineLevel="0" collapsed="false">
      <c r="G415" s="41" t="str">
        <f aca="false">IF(E415="","",IFERROR(IF(ISNUMBER(SEARCH(Assumptions!$C$5,E415)),Assumptions!$D$5,IF(ISNUMBER(SEARCH(Assumptions!$C$6,E415)),Assumptions!$D$6,IF(ISNUMBER(SEARCH(Assumptions!$C$7,E415)),Assumptions!$D$7,"Other Services"))),"Other Services"))</f>
        <v/>
      </c>
    </row>
    <row r="416" customFormat="false" ht="15" hidden="false" customHeight="false" outlineLevel="0" collapsed="false">
      <c r="G416" s="41" t="str">
        <f aca="false">IF(E416="","",IFERROR(IF(ISNUMBER(SEARCH(Assumptions!$C$5,E416)),Assumptions!$D$5,IF(ISNUMBER(SEARCH(Assumptions!$C$6,E416)),Assumptions!$D$6,IF(ISNUMBER(SEARCH(Assumptions!$C$7,E416)),Assumptions!$D$7,"Other Services"))),"Other Services"))</f>
        <v/>
      </c>
    </row>
    <row r="417" customFormat="false" ht="15" hidden="false" customHeight="false" outlineLevel="0" collapsed="false">
      <c r="G417" s="41" t="str">
        <f aca="false">IF(E417="","",IFERROR(IF(ISNUMBER(SEARCH(Assumptions!$C$5,E417)),Assumptions!$D$5,IF(ISNUMBER(SEARCH(Assumptions!$C$6,E417)),Assumptions!$D$6,IF(ISNUMBER(SEARCH(Assumptions!$C$7,E417)),Assumptions!$D$7,"Other Services"))),"Other Services"))</f>
        <v/>
      </c>
    </row>
    <row r="418" customFormat="false" ht="15" hidden="false" customHeight="false" outlineLevel="0" collapsed="false">
      <c r="G418" s="41" t="str">
        <f aca="false">IF(E418="","",IFERROR(IF(ISNUMBER(SEARCH(Assumptions!$C$5,E418)),Assumptions!$D$5,IF(ISNUMBER(SEARCH(Assumptions!$C$6,E418)),Assumptions!$D$6,IF(ISNUMBER(SEARCH(Assumptions!$C$7,E418)),Assumptions!$D$7,"Other Services"))),"Other Services"))</f>
        <v/>
      </c>
    </row>
    <row r="419" customFormat="false" ht="15" hidden="false" customHeight="false" outlineLevel="0" collapsed="false">
      <c r="G419" s="41" t="str">
        <f aca="false">IF(E419="","",IFERROR(IF(ISNUMBER(SEARCH(Assumptions!$C$5,E419)),Assumptions!$D$5,IF(ISNUMBER(SEARCH(Assumptions!$C$6,E419)),Assumptions!$D$6,IF(ISNUMBER(SEARCH(Assumptions!$C$7,E419)),Assumptions!$D$7,"Other Services"))),"Other Services"))</f>
        <v/>
      </c>
    </row>
    <row r="420" customFormat="false" ht="15" hidden="false" customHeight="false" outlineLevel="0" collapsed="false">
      <c r="G420" s="41" t="str">
        <f aca="false">IF(E420="","",IFERROR(IF(ISNUMBER(SEARCH(Assumptions!$C$5,E420)),Assumptions!$D$5,IF(ISNUMBER(SEARCH(Assumptions!$C$6,E420)),Assumptions!$D$6,IF(ISNUMBER(SEARCH(Assumptions!$C$7,E420)),Assumptions!$D$7,"Other Services"))),"Other Services"))</f>
        <v/>
      </c>
    </row>
    <row r="421" customFormat="false" ht="15" hidden="false" customHeight="false" outlineLevel="0" collapsed="false">
      <c r="G421" s="41" t="str">
        <f aca="false">IF(E421="","",IFERROR(IF(ISNUMBER(SEARCH(Assumptions!$C$5,E421)),Assumptions!$D$5,IF(ISNUMBER(SEARCH(Assumptions!$C$6,E421)),Assumptions!$D$6,IF(ISNUMBER(SEARCH(Assumptions!$C$7,E421)),Assumptions!$D$7,"Other Services"))),"Other Services"))</f>
        <v/>
      </c>
    </row>
    <row r="422" customFormat="false" ht="15" hidden="false" customHeight="false" outlineLevel="0" collapsed="false">
      <c r="G422" s="41" t="str">
        <f aca="false">IF(E422="","",IFERROR(IF(ISNUMBER(SEARCH(Assumptions!$C$5,E422)),Assumptions!$D$5,IF(ISNUMBER(SEARCH(Assumptions!$C$6,E422)),Assumptions!$D$6,IF(ISNUMBER(SEARCH(Assumptions!$C$7,E422)),Assumptions!$D$7,"Other Services"))),"Other Services"))</f>
        <v/>
      </c>
    </row>
    <row r="423" customFormat="false" ht="15" hidden="false" customHeight="false" outlineLevel="0" collapsed="false">
      <c r="G423" s="41" t="str">
        <f aca="false">IF(E423="","",IFERROR(IF(ISNUMBER(SEARCH(Assumptions!$C$5,E423)),Assumptions!$D$5,IF(ISNUMBER(SEARCH(Assumptions!$C$6,E423)),Assumptions!$D$6,IF(ISNUMBER(SEARCH(Assumptions!$C$7,E423)),Assumptions!$D$7,"Other Services"))),"Other Services"))</f>
        <v/>
      </c>
    </row>
    <row r="424" customFormat="false" ht="15" hidden="false" customHeight="false" outlineLevel="0" collapsed="false">
      <c r="G424" s="41" t="str">
        <f aca="false">IF(E424="","",IFERROR(IF(ISNUMBER(SEARCH(Assumptions!$C$5,E424)),Assumptions!$D$5,IF(ISNUMBER(SEARCH(Assumptions!$C$6,E424)),Assumptions!$D$6,IF(ISNUMBER(SEARCH(Assumptions!$C$7,E424)),Assumptions!$D$7,"Other Services"))),"Other Services"))</f>
        <v/>
      </c>
    </row>
    <row r="425" customFormat="false" ht="15" hidden="false" customHeight="false" outlineLevel="0" collapsed="false">
      <c r="G425" s="41" t="str">
        <f aca="false">IF(E425="","",IFERROR(IF(ISNUMBER(SEARCH(Assumptions!$C$5,E425)),Assumptions!$D$5,IF(ISNUMBER(SEARCH(Assumptions!$C$6,E425)),Assumptions!$D$6,IF(ISNUMBER(SEARCH(Assumptions!$C$7,E425)),Assumptions!$D$7,"Other Services"))),"Other Services"))</f>
        <v/>
      </c>
    </row>
    <row r="426" customFormat="false" ht="15" hidden="false" customHeight="false" outlineLevel="0" collapsed="false">
      <c r="G426" s="41" t="str">
        <f aca="false">IF(E426="","",IFERROR(IF(ISNUMBER(SEARCH(Assumptions!$C$5,E426)),Assumptions!$D$5,IF(ISNUMBER(SEARCH(Assumptions!$C$6,E426)),Assumptions!$D$6,IF(ISNUMBER(SEARCH(Assumptions!$C$7,E426)),Assumptions!$D$7,"Other Services"))),"Other Services"))</f>
        <v/>
      </c>
    </row>
    <row r="427" customFormat="false" ht="15" hidden="false" customHeight="false" outlineLevel="0" collapsed="false">
      <c r="G427" s="41" t="str">
        <f aca="false">IF(E427="","",IFERROR(IF(ISNUMBER(SEARCH(Assumptions!$C$5,E427)),Assumptions!$D$5,IF(ISNUMBER(SEARCH(Assumptions!$C$6,E427)),Assumptions!$D$6,IF(ISNUMBER(SEARCH(Assumptions!$C$7,E427)),Assumptions!$D$7,"Other Services"))),"Other Services"))</f>
        <v/>
      </c>
    </row>
    <row r="428" customFormat="false" ht="15" hidden="false" customHeight="false" outlineLevel="0" collapsed="false">
      <c r="G428" s="41" t="str">
        <f aca="false">IF(E428="","",IFERROR(IF(ISNUMBER(SEARCH(Assumptions!$C$5,E428)),Assumptions!$D$5,IF(ISNUMBER(SEARCH(Assumptions!$C$6,E428)),Assumptions!$D$6,IF(ISNUMBER(SEARCH(Assumptions!$C$7,E428)),Assumptions!$D$7,"Other Services"))),"Other Services"))</f>
        <v/>
      </c>
    </row>
    <row r="429" customFormat="false" ht="15" hidden="false" customHeight="false" outlineLevel="0" collapsed="false">
      <c r="G429" s="41" t="str">
        <f aca="false">IF(E429="","",IFERROR(IF(ISNUMBER(SEARCH(Assumptions!$C$5,E429)),Assumptions!$D$5,IF(ISNUMBER(SEARCH(Assumptions!$C$6,E429)),Assumptions!$D$6,IF(ISNUMBER(SEARCH(Assumptions!$C$7,E429)),Assumptions!$D$7,"Other Services"))),"Other Services"))</f>
        <v/>
      </c>
    </row>
    <row r="430" customFormat="false" ht="15" hidden="false" customHeight="false" outlineLevel="0" collapsed="false">
      <c r="G430" s="41" t="str">
        <f aca="false">IF(E430="","",IFERROR(IF(ISNUMBER(SEARCH(Assumptions!$C$5,E430)),Assumptions!$D$5,IF(ISNUMBER(SEARCH(Assumptions!$C$6,E430)),Assumptions!$D$6,IF(ISNUMBER(SEARCH(Assumptions!$C$7,E430)),Assumptions!$D$7,"Other Services"))),"Other Services"))</f>
        <v/>
      </c>
    </row>
    <row r="431" customFormat="false" ht="15" hidden="false" customHeight="false" outlineLevel="0" collapsed="false">
      <c r="G431" s="41" t="str">
        <f aca="false">IF(E431="","",IFERROR(IF(ISNUMBER(SEARCH(Assumptions!$C$5,E431)),Assumptions!$D$5,IF(ISNUMBER(SEARCH(Assumptions!$C$6,E431)),Assumptions!$D$6,IF(ISNUMBER(SEARCH(Assumptions!$C$7,E431)),Assumptions!$D$7,"Other Services"))),"Other Services"))</f>
        <v/>
      </c>
    </row>
    <row r="432" customFormat="false" ht="15" hidden="false" customHeight="false" outlineLevel="0" collapsed="false">
      <c r="G432" s="41" t="str">
        <f aca="false">IF(E432="","",IFERROR(IF(ISNUMBER(SEARCH(Assumptions!$C$5,E432)),Assumptions!$D$5,IF(ISNUMBER(SEARCH(Assumptions!$C$6,E432)),Assumptions!$D$6,IF(ISNUMBER(SEARCH(Assumptions!$C$7,E432)),Assumptions!$D$7,"Other Services"))),"Other Services"))</f>
        <v/>
      </c>
    </row>
    <row r="433" customFormat="false" ht="15" hidden="false" customHeight="false" outlineLevel="0" collapsed="false">
      <c r="G433" s="41" t="str">
        <f aca="false">IF(E433="","",IFERROR(IF(ISNUMBER(SEARCH(Assumptions!$C$5,E433)),Assumptions!$D$5,IF(ISNUMBER(SEARCH(Assumptions!$C$6,E433)),Assumptions!$D$6,IF(ISNUMBER(SEARCH(Assumptions!$C$7,E433)),Assumptions!$D$7,"Other Services"))),"Other Services"))</f>
        <v/>
      </c>
    </row>
    <row r="434" customFormat="false" ht="15" hidden="false" customHeight="false" outlineLevel="0" collapsed="false">
      <c r="G434" s="41" t="str">
        <f aca="false">IF(E434="","",IFERROR(IF(ISNUMBER(SEARCH(Assumptions!$C$5,E434)),Assumptions!$D$5,IF(ISNUMBER(SEARCH(Assumptions!$C$6,E434)),Assumptions!$D$6,IF(ISNUMBER(SEARCH(Assumptions!$C$7,E434)),Assumptions!$D$7,"Other Services"))),"Other Services"))</f>
        <v/>
      </c>
    </row>
    <row r="435" customFormat="false" ht="15" hidden="false" customHeight="false" outlineLevel="0" collapsed="false">
      <c r="G435" s="41" t="str">
        <f aca="false">IF(E435="","",IFERROR(IF(ISNUMBER(SEARCH(Assumptions!$C$5,E435)),Assumptions!$D$5,IF(ISNUMBER(SEARCH(Assumptions!$C$6,E435)),Assumptions!$D$6,IF(ISNUMBER(SEARCH(Assumptions!$C$7,E435)),Assumptions!$D$7,"Other Services"))),"Other Services"))</f>
        <v/>
      </c>
    </row>
    <row r="436" customFormat="false" ht="15" hidden="false" customHeight="false" outlineLevel="0" collapsed="false">
      <c r="G436" s="41" t="str">
        <f aca="false">IF(E436="","",IFERROR(IF(ISNUMBER(SEARCH(Assumptions!$C$5,E436)),Assumptions!$D$5,IF(ISNUMBER(SEARCH(Assumptions!$C$6,E436)),Assumptions!$D$6,IF(ISNUMBER(SEARCH(Assumptions!$C$7,E436)),Assumptions!$D$7,"Other Services"))),"Other Services"))</f>
        <v/>
      </c>
    </row>
    <row r="437" customFormat="false" ht="15" hidden="false" customHeight="false" outlineLevel="0" collapsed="false">
      <c r="G437" s="41" t="str">
        <f aca="false">IF(E437="","",IFERROR(IF(ISNUMBER(SEARCH(Assumptions!$C$5,E437)),Assumptions!$D$5,IF(ISNUMBER(SEARCH(Assumptions!$C$6,E437)),Assumptions!$D$6,IF(ISNUMBER(SEARCH(Assumptions!$C$7,E437)),Assumptions!$D$7,"Other Services"))),"Other Services"))</f>
        <v/>
      </c>
    </row>
    <row r="438" customFormat="false" ht="15" hidden="false" customHeight="false" outlineLevel="0" collapsed="false">
      <c r="G438" s="41" t="str">
        <f aca="false">IF(E438="","",IFERROR(IF(ISNUMBER(SEARCH(Assumptions!$C$5,E438)),Assumptions!$D$5,IF(ISNUMBER(SEARCH(Assumptions!$C$6,E438)),Assumptions!$D$6,IF(ISNUMBER(SEARCH(Assumptions!$C$7,E438)),Assumptions!$D$7,"Other Services"))),"Other Services"))</f>
        <v/>
      </c>
    </row>
    <row r="439" customFormat="false" ht="15" hidden="false" customHeight="false" outlineLevel="0" collapsed="false">
      <c r="G439" s="41" t="str">
        <f aca="false">IF(E439="","",IFERROR(IF(ISNUMBER(SEARCH(Assumptions!$C$5,E439)),Assumptions!$D$5,IF(ISNUMBER(SEARCH(Assumptions!$C$6,E439)),Assumptions!$D$6,IF(ISNUMBER(SEARCH(Assumptions!$C$7,E439)),Assumptions!$D$7,"Other Services"))),"Other Services"))</f>
        <v/>
      </c>
    </row>
    <row r="440" customFormat="false" ht="15" hidden="false" customHeight="false" outlineLevel="0" collapsed="false">
      <c r="G440" s="41" t="str">
        <f aca="false">IF(E440="","",IFERROR(IF(ISNUMBER(SEARCH(Assumptions!$C$5,E440)),Assumptions!$D$5,IF(ISNUMBER(SEARCH(Assumptions!$C$6,E440)),Assumptions!$D$6,IF(ISNUMBER(SEARCH(Assumptions!$C$7,E440)),Assumptions!$D$7,"Other Services"))),"Other Services"))</f>
        <v/>
      </c>
    </row>
    <row r="441" customFormat="false" ht="15" hidden="false" customHeight="false" outlineLevel="0" collapsed="false">
      <c r="G441" s="41" t="str">
        <f aca="false">IF(E441="","",IFERROR(IF(ISNUMBER(SEARCH(Assumptions!$C$5,E441)),Assumptions!$D$5,IF(ISNUMBER(SEARCH(Assumptions!$C$6,E441)),Assumptions!$D$6,IF(ISNUMBER(SEARCH(Assumptions!$C$7,E441)),Assumptions!$D$7,"Other Services"))),"Other Services"))</f>
        <v/>
      </c>
    </row>
    <row r="442" customFormat="false" ht="15" hidden="false" customHeight="false" outlineLevel="0" collapsed="false">
      <c r="G442" s="41" t="str">
        <f aca="false">IF(E442="","",IFERROR(IF(ISNUMBER(SEARCH(Assumptions!$C$5,E442)),Assumptions!$D$5,IF(ISNUMBER(SEARCH(Assumptions!$C$6,E442)),Assumptions!$D$6,IF(ISNUMBER(SEARCH(Assumptions!$C$7,E442)),Assumptions!$D$7,"Other Services"))),"Other Services"))</f>
        <v/>
      </c>
    </row>
    <row r="443" customFormat="false" ht="15" hidden="false" customHeight="false" outlineLevel="0" collapsed="false">
      <c r="G443" s="41" t="str">
        <f aca="false">IF(E443="","",IFERROR(IF(ISNUMBER(SEARCH(Assumptions!$C$5,E443)),Assumptions!$D$5,IF(ISNUMBER(SEARCH(Assumptions!$C$6,E443)),Assumptions!$D$6,IF(ISNUMBER(SEARCH(Assumptions!$C$7,E443)),Assumptions!$D$7,"Other Services"))),"Other Services"))</f>
        <v/>
      </c>
    </row>
    <row r="444" customFormat="false" ht="15" hidden="false" customHeight="false" outlineLevel="0" collapsed="false">
      <c r="G444" s="41" t="str">
        <f aca="false">IF(E444="","",IFERROR(IF(ISNUMBER(SEARCH(Assumptions!$C$5,E444)),Assumptions!$D$5,IF(ISNUMBER(SEARCH(Assumptions!$C$6,E444)),Assumptions!$D$6,IF(ISNUMBER(SEARCH(Assumptions!$C$7,E444)),Assumptions!$D$7,"Other Services"))),"Other Services"))</f>
        <v/>
      </c>
    </row>
    <row r="445" customFormat="false" ht="15" hidden="false" customHeight="false" outlineLevel="0" collapsed="false">
      <c r="G445" s="41" t="str">
        <f aca="false">IF(E445="","",IFERROR(IF(ISNUMBER(SEARCH(Assumptions!$C$5,E445)),Assumptions!$D$5,IF(ISNUMBER(SEARCH(Assumptions!$C$6,E445)),Assumptions!$D$6,IF(ISNUMBER(SEARCH(Assumptions!$C$7,E445)),Assumptions!$D$7,"Other Services"))),"Other Services"))</f>
        <v/>
      </c>
    </row>
    <row r="446" customFormat="false" ht="15" hidden="false" customHeight="false" outlineLevel="0" collapsed="false">
      <c r="G446" s="41" t="str">
        <f aca="false">IF(E446="","",IFERROR(IF(ISNUMBER(SEARCH(Assumptions!$C$5,E446)),Assumptions!$D$5,IF(ISNUMBER(SEARCH(Assumptions!$C$6,E446)),Assumptions!$D$6,IF(ISNUMBER(SEARCH(Assumptions!$C$7,E446)),Assumptions!$D$7,"Other Services"))),"Other Services"))</f>
        <v/>
      </c>
    </row>
    <row r="447" customFormat="false" ht="15" hidden="false" customHeight="false" outlineLevel="0" collapsed="false">
      <c r="G447" s="41" t="str">
        <f aca="false">IF(E447="","",IFERROR(IF(ISNUMBER(SEARCH(Assumptions!$C$5,E447)),Assumptions!$D$5,IF(ISNUMBER(SEARCH(Assumptions!$C$6,E447)),Assumptions!$D$6,IF(ISNUMBER(SEARCH(Assumptions!$C$7,E447)),Assumptions!$D$7,"Other Services"))),"Other Services"))</f>
        <v/>
      </c>
    </row>
    <row r="448" customFormat="false" ht="15" hidden="false" customHeight="false" outlineLevel="0" collapsed="false">
      <c r="G448" s="41" t="str">
        <f aca="false">IF(E448="","",IFERROR(IF(ISNUMBER(SEARCH(Assumptions!$C$5,E448)),Assumptions!$D$5,IF(ISNUMBER(SEARCH(Assumptions!$C$6,E448)),Assumptions!$D$6,IF(ISNUMBER(SEARCH(Assumptions!$C$7,E448)),Assumptions!$D$7,"Other Services"))),"Other Services"))</f>
        <v/>
      </c>
    </row>
    <row r="449" customFormat="false" ht="15" hidden="false" customHeight="false" outlineLevel="0" collapsed="false">
      <c r="G449" s="41" t="str">
        <f aca="false">IF(E449="","",IFERROR(IF(ISNUMBER(SEARCH(Assumptions!$C$5,E449)),Assumptions!$D$5,IF(ISNUMBER(SEARCH(Assumptions!$C$6,E449)),Assumptions!$D$6,IF(ISNUMBER(SEARCH(Assumptions!$C$7,E449)),Assumptions!$D$7,"Other Services"))),"Other Services"))</f>
        <v/>
      </c>
    </row>
    <row r="450" customFormat="false" ht="15" hidden="false" customHeight="false" outlineLevel="0" collapsed="false">
      <c r="G450" s="41" t="str">
        <f aca="false">IF(E450="","",IFERROR(IF(ISNUMBER(SEARCH(Assumptions!$C$5,E450)),Assumptions!$D$5,IF(ISNUMBER(SEARCH(Assumptions!$C$6,E450)),Assumptions!$D$6,IF(ISNUMBER(SEARCH(Assumptions!$C$7,E450)),Assumptions!$D$7,"Other Services"))),"Other Services"))</f>
        <v/>
      </c>
    </row>
    <row r="451" customFormat="false" ht="15" hidden="false" customHeight="false" outlineLevel="0" collapsed="false">
      <c r="G451" s="41" t="str">
        <f aca="false">IF(E451="","",IFERROR(IF(ISNUMBER(SEARCH(Assumptions!$C$5,E451)),Assumptions!$D$5,IF(ISNUMBER(SEARCH(Assumptions!$C$6,E451)),Assumptions!$D$6,IF(ISNUMBER(SEARCH(Assumptions!$C$7,E451)),Assumptions!$D$7,"Other Services"))),"Other Services"))</f>
        <v/>
      </c>
    </row>
    <row r="452" customFormat="false" ht="15" hidden="false" customHeight="false" outlineLevel="0" collapsed="false">
      <c r="G452" s="41" t="str">
        <f aca="false">IF(E452="","",IFERROR(IF(ISNUMBER(SEARCH(Assumptions!$C$5,E452)),Assumptions!$D$5,IF(ISNUMBER(SEARCH(Assumptions!$C$6,E452)),Assumptions!$D$6,IF(ISNUMBER(SEARCH(Assumptions!$C$7,E452)),Assumptions!$D$7,"Other Services"))),"Other Services"))</f>
        <v/>
      </c>
    </row>
    <row r="453" customFormat="false" ht="15" hidden="false" customHeight="false" outlineLevel="0" collapsed="false">
      <c r="G453" s="41" t="str">
        <f aca="false">IF(E453="","",IFERROR(IF(ISNUMBER(SEARCH(Assumptions!$C$5,E453)),Assumptions!$D$5,IF(ISNUMBER(SEARCH(Assumptions!$C$6,E453)),Assumptions!$D$6,IF(ISNUMBER(SEARCH(Assumptions!$C$7,E453)),Assumptions!$D$7,"Other Services"))),"Other Services"))</f>
        <v/>
      </c>
    </row>
    <row r="454" customFormat="false" ht="15" hidden="false" customHeight="false" outlineLevel="0" collapsed="false">
      <c r="G454" s="41" t="str">
        <f aca="false">IF(E454="","",IFERROR(IF(ISNUMBER(SEARCH(Assumptions!$C$5,E454)),Assumptions!$D$5,IF(ISNUMBER(SEARCH(Assumptions!$C$6,E454)),Assumptions!$D$6,IF(ISNUMBER(SEARCH(Assumptions!$C$7,E454)),Assumptions!$D$7,"Other Services"))),"Other Services"))</f>
        <v/>
      </c>
    </row>
    <row r="455" customFormat="false" ht="15" hidden="false" customHeight="false" outlineLevel="0" collapsed="false">
      <c r="G455" s="41" t="str">
        <f aca="false">IF(E455="","",IFERROR(IF(ISNUMBER(SEARCH(Assumptions!$C$5,E455)),Assumptions!$D$5,IF(ISNUMBER(SEARCH(Assumptions!$C$6,E455)),Assumptions!$D$6,IF(ISNUMBER(SEARCH(Assumptions!$C$7,E455)),Assumptions!$D$7,"Other Services"))),"Other Services"))</f>
        <v/>
      </c>
    </row>
    <row r="456" customFormat="false" ht="15" hidden="false" customHeight="false" outlineLevel="0" collapsed="false">
      <c r="G456" s="41" t="str">
        <f aca="false">IF(E456="","",IFERROR(IF(ISNUMBER(SEARCH(Assumptions!$C$5,E456)),Assumptions!$D$5,IF(ISNUMBER(SEARCH(Assumptions!$C$6,E456)),Assumptions!$D$6,IF(ISNUMBER(SEARCH(Assumptions!$C$7,E456)),Assumptions!$D$7,"Other Services"))),"Other Services"))</f>
        <v/>
      </c>
    </row>
    <row r="457" customFormat="false" ht="15" hidden="false" customHeight="false" outlineLevel="0" collapsed="false">
      <c r="G457" s="41" t="str">
        <f aca="false">IF(E457="","",IFERROR(IF(ISNUMBER(SEARCH(Assumptions!$C$5,E457)),Assumptions!$D$5,IF(ISNUMBER(SEARCH(Assumptions!$C$6,E457)),Assumptions!$D$6,IF(ISNUMBER(SEARCH(Assumptions!$C$7,E457)),Assumptions!$D$7,"Other Services"))),"Other Services"))</f>
        <v/>
      </c>
    </row>
    <row r="458" customFormat="false" ht="15" hidden="false" customHeight="false" outlineLevel="0" collapsed="false">
      <c r="G458" s="41" t="str">
        <f aca="false">IF(E458="","",IFERROR(IF(ISNUMBER(SEARCH(Assumptions!$C$5,E458)),Assumptions!$D$5,IF(ISNUMBER(SEARCH(Assumptions!$C$6,E458)),Assumptions!$D$6,IF(ISNUMBER(SEARCH(Assumptions!$C$7,E458)),Assumptions!$D$7,"Other Services"))),"Other Services"))</f>
        <v/>
      </c>
    </row>
    <row r="459" customFormat="false" ht="15" hidden="false" customHeight="false" outlineLevel="0" collapsed="false">
      <c r="G459" s="41" t="str">
        <f aca="false">IF(E459="","",IFERROR(IF(ISNUMBER(SEARCH(Assumptions!$C$5,E459)),Assumptions!$D$5,IF(ISNUMBER(SEARCH(Assumptions!$C$6,E459)),Assumptions!$D$6,IF(ISNUMBER(SEARCH(Assumptions!$C$7,E459)),Assumptions!$D$7,"Other Services"))),"Other Services"))</f>
        <v/>
      </c>
    </row>
    <row r="460" customFormat="false" ht="15" hidden="false" customHeight="false" outlineLevel="0" collapsed="false">
      <c r="G460" s="41" t="str">
        <f aca="false">IF(E460="","",IFERROR(IF(ISNUMBER(SEARCH(Assumptions!$C$5,E460)),Assumptions!$D$5,IF(ISNUMBER(SEARCH(Assumptions!$C$6,E460)),Assumptions!$D$6,IF(ISNUMBER(SEARCH(Assumptions!$C$7,E460)),Assumptions!$D$7,"Other Services"))),"Other Services"))</f>
        <v/>
      </c>
    </row>
    <row r="461" customFormat="false" ht="15" hidden="false" customHeight="false" outlineLevel="0" collapsed="false">
      <c r="G461" s="41" t="str">
        <f aca="false">IF(E461="","",IFERROR(IF(ISNUMBER(SEARCH(Assumptions!$C$5,E461)),Assumptions!$D$5,IF(ISNUMBER(SEARCH(Assumptions!$C$6,E461)),Assumptions!$D$6,IF(ISNUMBER(SEARCH(Assumptions!$C$7,E461)),Assumptions!$D$7,"Other Services"))),"Other Services"))</f>
        <v/>
      </c>
    </row>
    <row r="462" customFormat="false" ht="15" hidden="false" customHeight="false" outlineLevel="0" collapsed="false">
      <c r="G462" s="41" t="str">
        <f aca="false">IF(E462="","",IFERROR(IF(ISNUMBER(SEARCH(Assumptions!$C$5,E462)),Assumptions!$D$5,IF(ISNUMBER(SEARCH(Assumptions!$C$6,E462)),Assumptions!$D$6,IF(ISNUMBER(SEARCH(Assumptions!$C$7,E462)),Assumptions!$D$7,"Other Services"))),"Other Services"))</f>
        <v/>
      </c>
    </row>
    <row r="463" customFormat="false" ht="15" hidden="false" customHeight="false" outlineLevel="0" collapsed="false">
      <c r="G463" s="41" t="str">
        <f aca="false">IF(E463="","",IFERROR(IF(ISNUMBER(SEARCH(Assumptions!$C$5,E463)),Assumptions!$D$5,IF(ISNUMBER(SEARCH(Assumptions!$C$6,E463)),Assumptions!$D$6,IF(ISNUMBER(SEARCH(Assumptions!$C$7,E463)),Assumptions!$D$7,"Other Services"))),"Other Services"))</f>
        <v/>
      </c>
    </row>
    <row r="464" customFormat="false" ht="15" hidden="false" customHeight="false" outlineLevel="0" collapsed="false">
      <c r="G464" s="41" t="str">
        <f aca="false">IF(E464="","",IFERROR(IF(ISNUMBER(SEARCH(Assumptions!$C$5,E464)),Assumptions!$D$5,IF(ISNUMBER(SEARCH(Assumptions!$C$6,E464)),Assumptions!$D$6,IF(ISNUMBER(SEARCH(Assumptions!$C$7,E464)),Assumptions!$D$7,"Other Services"))),"Other Services"))</f>
        <v/>
      </c>
    </row>
    <row r="465" customFormat="false" ht="15" hidden="false" customHeight="false" outlineLevel="0" collapsed="false">
      <c r="G465" s="41" t="str">
        <f aca="false">IF(E465="","",IFERROR(IF(ISNUMBER(SEARCH(Assumptions!$C$5,E465)),Assumptions!$D$5,IF(ISNUMBER(SEARCH(Assumptions!$C$6,E465)),Assumptions!$D$6,IF(ISNUMBER(SEARCH(Assumptions!$C$7,E465)),Assumptions!$D$7,"Other Services"))),"Other Services"))</f>
        <v/>
      </c>
    </row>
    <row r="466" customFormat="false" ht="15" hidden="false" customHeight="false" outlineLevel="0" collapsed="false">
      <c r="G466" s="41" t="str">
        <f aca="false">IF(E466="","",IFERROR(IF(ISNUMBER(SEARCH(Assumptions!$C$5,E466)),Assumptions!$D$5,IF(ISNUMBER(SEARCH(Assumptions!$C$6,E466)),Assumptions!$D$6,IF(ISNUMBER(SEARCH(Assumptions!$C$7,E466)),Assumptions!$D$7,"Other Services"))),"Other Services"))</f>
        <v/>
      </c>
    </row>
    <row r="467" customFormat="false" ht="15" hidden="false" customHeight="false" outlineLevel="0" collapsed="false">
      <c r="G467" s="41" t="str">
        <f aca="false">IF(E467="","",IFERROR(IF(ISNUMBER(SEARCH(Assumptions!$C$5,E467)),Assumptions!$D$5,IF(ISNUMBER(SEARCH(Assumptions!$C$6,E467)),Assumptions!$D$6,IF(ISNUMBER(SEARCH(Assumptions!$C$7,E467)),Assumptions!$D$7,"Other Services"))),"Other Services"))</f>
        <v/>
      </c>
    </row>
    <row r="468" customFormat="false" ht="15" hidden="false" customHeight="false" outlineLevel="0" collapsed="false">
      <c r="G468" s="41" t="str">
        <f aca="false">IF(E468="","",IFERROR(IF(ISNUMBER(SEARCH(Assumptions!$C$5,E468)),Assumptions!$D$5,IF(ISNUMBER(SEARCH(Assumptions!$C$6,E468)),Assumptions!$D$6,IF(ISNUMBER(SEARCH(Assumptions!$C$7,E468)),Assumptions!$D$7,"Other Services"))),"Other Services"))</f>
        <v/>
      </c>
    </row>
    <row r="469" customFormat="false" ht="15" hidden="false" customHeight="false" outlineLevel="0" collapsed="false">
      <c r="G469" s="41" t="str">
        <f aca="false">IF(E469="","",IFERROR(IF(ISNUMBER(SEARCH(Assumptions!$C$5,E469)),Assumptions!$D$5,IF(ISNUMBER(SEARCH(Assumptions!$C$6,E469)),Assumptions!$D$6,IF(ISNUMBER(SEARCH(Assumptions!$C$7,E469)),Assumptions!$D$7,"Other Services"))),"Other Services"))</f>
        <v/>
      </c>
    </row>
    <row r="470" customFormat="false" ht="15" hidden="false" customHeight="false" outlineLevel="0" collapsed="false">
      <c r="G470" s="41" t="str">
        <f aca="false">IF(E470="","",IFERROR(IF(ISNUMBER(SEARCH(Assumptions!$C$5,E470)),Assumptions!$D$5,IF(ISNUMBER(SEARCH(Assumptions!$C$6,E470)),Assumptions!$D$6,IF(ISNUMBER(SEARCH(Assumptions!$C$7,E470)),Assumptions!$D$7,"Other Services"))),"Other Services"))</f>
        <v/>
      </c>
    </row>
    <row r="471" customFormat="false" ht="15" hidden="false" customHeight="false" outlineLevel="0" collapsed="false">
      <c r="G471" s="41" t="str">
        <f aca="false">IF(E471="","",IFERROR(IF(ISNUMBER(SEARCH(Assumptions!$C$5,E471)),Assumptions!$D$5,IF(ISNUMBER(SEARCH(Assumptions!$C$6,E471)),Assumptions!$D$6,IF(ISNUMBER(SEARCH(Assumptions!$C$7,E471)),Assumptions!$D$7,"Other Services"))),"Other Services"))</f>
        <v/>
      </c>
    </row>
    <row r="472" customFormat="false" ht="15" hidden="false" customHeight="false" outlineLevel="0" collapsed="false">
      <c r="G472" s="41" t="str">
        <f aca="false">IF(E472="","",IFERROR(IF(ISNUMBER(SEARCH(Assumptions!$C$5,E472)),Assumptions!$D$5,IF(ISNUMBER(SEARCH(Assumptions!$C$6,E472)),Assumptions!$D$6,IF(ISNUMBER(SEARCH(Assumptions!$C$7,E472)),Assumptions!$D$7,"Other Services"))),"Other Services"))</f>
        <v/>
      </c>
    </row>
    <row r="473" customFormat="false" ht="15" hidden="false" customHeight="false" outlineLevel="0" collapsed="false">
      <c r="G473" s="41" t="str">
        <f aca="false">IF(E473="","",IFERROR(IF(ISNUMBER(SEARCH(Assumptions!$C$5,E473)),Assumptions!$D$5,IF(ISNUMBER(SEARCH(Assumptions!$C$6,E473)),Assumptions!$D$6,IF(ISNUMBER(SEARCH(Assumptions!$C$7,E473)),Assumptions!$D$7,"Other Services"))),"Other Services"))</f>
        <v/>
      </c>
    </row>
    <row r="474" customFormat="false" ht="15" hidden="false" customHeight="false" outlineLevel="0" collapsed="false">
      <c r="G474" s="41" t="str">
        <f aca="false">IF(E474="","",IFERROR(IF(ISNUMBER(SEARCH(Assumptions!$C$5,E474)),Assumptions!$D$5,IF(ISNUMBER(SEARCH(Assumptions!$C$6,E474)),Assumptions!$D$6,IF(ISNUMBER(SEARCH(Assumptions!$C$7,E474)),Assumptions!$D$7,"Other Services"))),"Other Services"))</f>
        <v/>
      </c>
    </row>
    <row r="475" customFormat="false" ht="15" hidden="false" customHeight="false" outlineLevel="0" collapsed="false">
      <c r="G475" s="41" t="str">
        <f aca="false">IF(E475="","",IFERROR(IF(ISNUMBER(SEARCH(Assumptions!$C$5,E475)),Assumptions!$D$5,IF(ISNUMBER(SEARCH(Assumptions!$C$6,E475)),Assumptions!$D$6,IF(ISNUMBER(SEARCH(Assumptions!$C$7,E475)),Assumptions!$D$7,"Other Services"))),"Other Services"))</f>
        <v/>
      </c>
    </row>
    <row r="476" customFormat="false" ht="15" hidden="false" customHeight="false" outlineLevel="0" collapsed="false">
      <c r="G476" s="41" t="str">
        <f aca="false">IF(E476="","",IFERROR(IF(ISNUMBER(SEARCH(Assumptions!$C$5,E476)),Assumptions!$D$5,IF(ISNUMBER(SEARCH(Assumptions!$C$6,E476)),Assumptions!$D$6,IF(ISNUMBER(SEARCH(Assumptions!$C$7,E476)),Assumptions!$D$7,"Other Services"))),"Other Services"))</f>
        <v/>
      </c>
    </row>
    <row r="477" customFormat="false" ht="15" hidden="false" customHeight="false" outlineLevel="0" collapsed="false">
      <c r="G477" s="41" t="str">
        <f aca="false">IF(E477="","",IFERROR(IF(ISNUMBER(SEARCH(Assumptions!$C$5,E477)),Assumptions!$D$5,IF(ISNUMBER(SEARCH(Assumptions!$C$6,E477)),Assumptions!$D$6,IF(ISNUMBER(SEARCH(Assumptions!$C$7,E477)),Assumptions!$D$7,"Other Services"))),"Other Services"))</f>
        <v/>
      </c>
    </row>
    <row r="478" customFormat="false" ht="15" hidden="false" customHeight="false" outlineLevel="0" collapsed="false">
      <c r="G478" s="41" t="str">
        <f aca="false">IF(E478="","",IFERROR(IF(ISNUMBER(SEARCH(Assumptions!$C$5,E478)),Assumptions!$D$5,IF(ISNUMBER(SEARCH(Assumptions!$C$6,E478)),Assumptions!$D$6,IF(ISNUMBER(SEARCH(Assumptions!$C$7,E478)),Assumptions!$D$7,"Other Services"))),"Other Services"))</f>
        <v/>
      </c>
    </row>
    <row r="479" customFormat="false" ht="15" hidden="false" customHeight="false" outlineLevel="0" collapsed="false">
      <c r="G479" s="41" t="str">
        <f aca="false">IF(E479="","",IFERROR(IF(ISNUMBER(SEARCH(Assumptions!$C$5,E479)),Assumptions!$D$5,IF(ISNUMBER(SEARCH(Assumptions!$C$6,E479)),Assumptions!$D$6,IF(ISNUMBER(SEARCH(Assumptions!$C$7,E479)),Assumptions!$D$7,"Other Services"))),"Other Services"))</f>
        <v/>
      </c>
    </row>
    <row r="480" customFormat="false" ht="15" hidden="false" customHeight="false" outlineLevel="0" collapsed="false">
      <c r="G480" s="41" t="str">
        <f aca="false">IF(E480="","",IFERROR(IF(ISNUMBER(SEARCH(Assumptions!$C$5,E480)),Assumptions!$D$5,IF(ISNUMBER(SEARCH(Assumptions!$C$6,E480)),Assumptions!$D$6,IF(ISNUMBER(SEARCH(Assumptions!$C$7,E480)),Assumptions!$D$7,"Other Services"))),"Other Services"))</f>
        <v/>
      </c>
    </row>
    <row r="481" customFormat="false" ht="15" hidden="false" customHeight="false" outlineLevel="0" collapsed="false">
      <c r="G481" s="41" t="str">
        <f aca="false">IF(E481="","",IFERROR(IF(ISNUMBER(SEARCH(Assumptions!$C$5,E481)),Assumptions!$D$5,IF(ISNUMBER(SEARCH(Assumptions!$C$6,E481)),Assumptions!$D$6,IF(ISNUMBER(SEARCH(Assumptions!$C$7,E481)),Assumptions!$D$7,"Other Services"))),"Other Services"))</f>
        <v/>
      </c>
    </row>
    <row r="482" customFormat="false" ht="15" hidden="false" customHeight="false" outlineLevel="0" collapsed="false">
      <c r="G482" s="41" t="str">
        <f aca="false">IF(E482="","",IFERROR(IF(ISNUMBER(SEARCH(Assumptions!$C$5,E482)),Assumptions!$D$5,IF(ISNUMBER(SEARCH(Assumptions!$C$6,E482)),Assumptions!$D$6,IF(ISNUMBER(SEARCH(Assumptions!$C$7,E482)),Assumptions!$D$7,"Other Services"))),"Other Services"))</f>
        <v/>
      </c>
    </row>
    <row r="483" customFormat="false" ht="15" hidden="false" customHeight="false" outlineLevel="0" collapsed="false">
      <c r="G483" s="41" t="str">
        <f aca="false">IF(E483="","",IFERROR(IF(ISNUMBER(SEARCH(Assumptions!$C$5,E483)),Assumptions!$D$5,IF(ISNUMBER(SEARCH(Assumptions!$C$6,E483)),Assumptions!$D$6,IF(ISNUMBER(SEARCH(Assumptions!$C$7,E483)),Assumptions!$D$7,"Other Services"))),"Other Services"))</f>
        <v/>
      </c>
    </row>
    <row r="484" customFormat="false" ht="15" hidden="false" customHeight="false" outlineLevel="0" collapsed="false">
      <c r="G484" s="41" t="str">
        <f aca="false">IF(E484="","",IFERROR(IF(ISNUMBER(SEARCH(Assumptions!$C$5,E484)),Assumptions!$D$5,IF(ISNUMBER(SEARCH(Assumptions!$C$6,E484)),Assumptions!$D$6,IF(ISNUMBER(SEARCH(Assumptions!$C$7,E484)),Assumptions!$D$7,"Other Services"))),"Other Services"))</f>
        <v/>
      </c>
    </row>
    <row r="485" customFormat="false" ht="15" hidden="false" customHeight="false" outlineLevel="0" collapsed="false">
      <c r="G485" s="41" t="str">
        <f aca="false">IF(E485="","",IFERROR(IF(ISNUMBER(SEARCH(Assumptions!$C$5,E485)),Assumptions!$D$5,IF(ISNUMBER(SEARCH(Assumptions!$C$6,E485)),Assumptions!$D$6,IF(ISNUMBER(SEARCH(Assumptions!$C$7,E485)),Assumptions!$D$7,"Other Services"))),"Other Services"))</f>
        <v/>
      </c>
    </row>
    <row r="486" customFormat="false" ht="15" hidden="false" customHeight="false" outlineLevel="0" collapsed="false">
      <c r="G486" s="41" t="str">
        <f aca="false">IF(E486="","",IFERROR(IF(ISNUMBER(SEARCH(Assumptions!$C$5,E486)),Assumptions!$D$5,IF(ISNUMBER(SEARCH(Assumptions!$C$6,E486)),Assumptions!$D$6,IF(ISNUMBER(SEARCH(Assumptions!$C$7,E486)),Assumptions!$D$7,"Other Services"))),"Other Services"))</f>
        <v/>
      </c>
    </row>
    <row r="487" customFormat="false" ht="15" hidden="false" customHeight="false" outlineLevel="0" collapsed="false">
      <c r="G487" s="41" t="str">
        <f aca="false">IF(E487="","",IFERROR(IF(ISNUMBER(SEARCH(Assumptions!$C$5,E487)),Assumptions!$D$5,IF(ISNUMBER(SEARCH(Assumptions!$C$6,E487)),Assumptions!$D$6,IF(ISNUMBER(SEARCH(Assumptions!$C$7,E487)),Assumptions!$D$7,"Other Services"))),"Other Services"))</f>
        <v/>
      </c>
    </row>
    <row r="488" customFormat="false" ht="15" hidden="false" customHeight="false" outlineLevel="0" collapsed="false">
      <c r="G488" s="41" t="str">
        <f aca="false">IF(E488="","",IFERROR(IF(ISNUMBER(SEARCH(Assumptions!$C$5,E488)),Assumptions!$D$5,IF(ISNUMBER(SEARCH(Assumptions!$C$6,E488)),Assumptions!$D$6,IF(ISNUMBER(SEARCH(Assumptions!$C$7,E488)),Assumptions!$D$7,"Other Services"))),"Other Services"))</f>
        <v/>
      </c>
    </row>
    <row r="489" customFormat="false" ht="15" hidden="false" customHeight="false" outlineLevel="0" collapsed="false">
      <c r="G489" s="41" t="str">
        <f aca="false">IF(E489="","",IFERROR(IF(ISNUMBER(SEARCH(Assumptions!$C$5,E489)),Assumptions!$D$5,IF(ISNUMBER(SEARCH(Assumptions!$C$6,E489)),Assumptions!$D$6,IF(ISNUMBER(SEARCH(Assumptions!$C$7,E489)),Assumptions!$D$7,"Other Services"))),"Other Services"))</f>
        <v/>
      </c>
    </row>
    <row r="490" customFormat="false" ht="15" hidden="false" customHeight="false" outlineLevel="0" collapsed="false">
      <c r="G490" s="41" t="str">
        <f aca="false">IF(E490="","",IFERROR(IF(ISNUMBER(SEARCH(Assumptions!$C$5,E490)),Assumptions!$D$5,IF(ISNUMBER(SEARCH(Assumptions!$C$6,E490)),Assumptions!$D$6,IF(ISNUMBER(SEARCH(Assumptions!$C$7,E490)),Assumptions!$D$7,"Other Services"))),"Other Services"))</f>
        <v/>
      </c>
    </row>
    <row r="491" customFormat="false" ht="15" hidden="false" customHeight="false" outlineLevel="0" collapsed="false">
      <c r="G491" s="41" t="str">
        <f aca="false">IF(E491="","",IFERROR(IF(ISNUMBER(SEARCH(Assumptions!$C$5,E491)),Assumptions!$D$5,IF(ISNUMBER(SEARCH(Assumptions!$C$6,E491)),Assumptions!$D$6,IF(ISNUMBER(SEARCH(Assumptions!$C$7,E491)),Assumptions!$D$7,"Other Services"))),"Other Services"))</f>
        <v/>
      </c>
    </row>
    <row r="492" customFormat="false" ht="15" hidden="false" customHeight="false" outlineLevel="0" collapsed="false">
      <c r="G492" s="41" t="str">
        <f aca="false">IF(E492="","",IFERROR(IF(ISNUMBER(SEARCH(Assumptions!$C$5,E492)),Assumptions!$D$5,IF(ISNUMBER(SEARCH(Assumptions!$C$6,E492)),Assumptions!$D$6,IF(ISNUMBER(SEARCH(Assumptions!$C$7,E492)),Assumptions!$D$7,"Other Services"))),"Other Services"))</f>
        <v/>
      </c>
    </row>
    <row r="493" customFormat="false" ht="15" hidden="false" customHeight="false" outlineLevel="0" collapsed="false">
      <c r="G493" s="41" t="str">
        <f aca="false">IF(E493="","",IFERROR(IF(ISNUMBER(SEARCH(Assumptions!$C$5,E493)),Assumptions!$D$5,IF(ISNUMBER(SEARCH(Assumptions!$C$6,E493)),Assumptions!$D$6,IF(ISNUMBER(SEARCH(Assumptions!$C$7,E493)),Assumptions!$D$7,"Other Services"))),"Other Services"))</f>
        <v/>
      </c>
    </row>
    <row r="494" customFormat="false" ht="15" hidden="false" customHeight="false" outlineLevel="0" collapsed="false">
      <c r="G494" s="41" t="str">
        <f aca="false">IF(E494="","",IFERROR(IF(ISNUMBER(SEARCH(Assumptions!$C$5,E494)),Assumptions!$D$5,IF(ISNUMBER(SEARCH(Assumptions!$C$6,E494)),Assumptions!$D$6,IF(ISNUMBER(SEARCH(Assumptions!$C$7,E494)),Assumptions!$D$7,"Other Services"))),"Other Services"))</f>
        <v/>
      </c>
    </row>
    <row r="495" customFormat="false" ht="15" hidden="false" customHeight="false" outlineLevel="0" collapsed="false">
      <c r="G495" s="41" t="str">
        <f aca="false">IF(E495="","",IFERROR(IF(ISNUMBER(SEARCH(Assumptions!$C$5,E495)),Assumptions!$D$5,IF(ISNUMBER(SEARCH(Assumptions!$C$6,E495)),Assumptions!$D$6,IF(ISNUMBER(SEARCH(Assumptions!$C$7,E495)),Assumptions!$D$7,"Other Services"))),"Other Services"))</f>
        <v/>
      </c>
    </row>
    <row r="496" customFormat="false" ht="15" hidden="false" customHeight="false" outlineLevel="0" collapsed="false">
      <c r="G496" s="41" t="str">
        <f aca="false">IF(E496="","",IFERROR(IF(ISNUMBER(SEARCH(Assumptions!$C$5,E496)),Assumptions!$D$5,IF(ISNUMBER(SEARCH(Assumptions!$C$6,E496)),Assumptions!$D$6,IF(ISNUMBER(SEARCH(Assumptions!$C$7,E496)),Assumptions!$D$7,"Other Services"))),"Other Services"))</f>
        <v/>
      </c>
    </row>
    <row r="497" customFormat="false" ht="15" hidden="false" customHeight="false" outlineLevel="0" collapsed="false">
      <c r="G497" s="41" t="str">
        <f aca="false">IF(E497="","",IFERROR(IF(ISNUMBER(SEARCH(Assumptions!$C$5,E497)),Assumptions!$D$5,IF(ISNUMBER(SEARCH(Assumptions!$C$6,E497)),Assumptions!$D$6,IF(ISNUMBER(SEARCH(Assumptions!$C$7,E497)),Assumptions!$D$7,"Other Services"))),"Other Services"))</f>
        <v/>
      </c>
    </row>
    <row r="498" customFormat="false" ht="15" hidden="false" customHeight="false" outlineLevel="0" collapsed="false">
      <c r="G498" s="41" t="str">
        <f aca="false">IF(E498="","",IFERROR(IF(ISNUMBER(SEARCH(Assumptions!$C$5,E498)),Assumptions!$D$5,IF(ISNUMBER(SEARCH(Assumptions!$C$6,E498)),Assumptions!$D$6,IF(ISNUMBER(SEARCH(Assumptions!$C$7,E498)),Assumptions!$D$7,"Other Services"))),"Other Services"))</f>
        <v/>
      </c>
    </row>
    <row r="499" customFormat="false" ht="15" hidden="false" customHeight="false" outlineLevel="0" collapsed="false">
      <c r="G499" s="41" t="str">
        <f aca="false">IF(E499="","",IFERROR(IF(ISNUMBER(SEARCH(Assumptions!$C$5,E499)),Assumptions!$D$5,IF(ISNUMBER(SEARCH(Assumptions!$C$6,E499)),Assumptions!$D$6,IF(ISNUMBER(SEARCH(Assumptions!$C$7,E499)),Assumptions!$D$7,"Other Services"))),"Other Services"))</f>
        <v/>
      </c>
    </row>
    <row r="500" customFormat="false" ht="15" hidden="false" customHeight="false" outlineLevel="0" collapsed="false">
      <c r="G500" s="41" t="str">
        <f aca="false">IF(E500="","",IFERROR(IF(ISNUMBER(SEARCH(Assumptions!$C$5,E500)),Assumptions!$D$5,IF(ISNUMBER(SEARCH(Assumptions!$C$6,E500)),Assumptions!$D$6,IF(ISNUMBER(SEARCH(Assumptions!$C$7,E500)),Assumptions!$D$7,"Other Services"))),"Other Services"))</f>
        <v/>
      </c>
    </row>
    <row r="501" customFormat="false" ht="15" hidden="false" customHeight="false" outlineLevel="0" collapsed="false">
      <c r="G501" s="41" t="str">
        <f aca="false">IF(E501="","",IFERROR(IF(ISNUMBER(SEARCH(Assumptions!$C$5,E501)),Assumptions!$D$5,IF(ISNUMBER(SEARCH(Assumptions!$C$6,E501)),Assumptions!$D$6,IF(ISNUMBER(SEARCH(Assumptions!$C$7,E501)),Assumptions!$D$7,"Other Services"))),"Other Services"))</f>
        <v/>
      </c>
    </row>
    <row r="502" customFormat="false" ht="15" hidden="false" customHeight="false" outlineLevel="0" collapsed="false">
      <c r="G502" s="41" t="str">
        <f aca="false">IF(E502="","",IFERROR(IF(ISNUMBER(SEARCH(Assumptions!$C$5,E502)),Assumptions!$D$5,IF(ISNUMBER(SEARCH(Assumptions!$C$6,E502)),Assumptions!$D$6,IF(ISNUMBER(SEARCH(Assumptions!$C$7,E502)),Assumptions!$D$7,"Other Services"))),"Other Services"))</f>
        <v/>
      </c>
    </row>
    <row r="503" customFormat="false" ht="15" hidden="false" customHeight="false" outlineLevel="0" collapsed="false">
      <c r="G503" s="41" t="str">
        <f aca="false">IF(E503="","",IFERROR(IF(ISNUMBER(SEARCH(Assumptions!$C$5,E503)),Assumptions!$D$5,IF(ISNUMBER(SEARCH(Assumptions!$C$6,E503)),Assumptions!$D$6,IF(ISNUMBER(SEARCH(Assumptions!$C$7,E503)),Assumptions!$D$7,"Other Services"))),"Other Services"))</f>
        <v/>
      </c>
    </row>
    <row r="504" customFormat="false" ht="15" hidden="false" customHeight="false" outlineLevel="0" collapsed="false">
      <c r="G504" s="41" t="str">
        <f aca="false">IF(E504="","",IFERROR(IF(ISNUMBER(SEARCH(Assumptions!$C$5,E504)),Assumptions!$D$5,IF(ISNUMBER(SEARCH(Assumptions!$C$6,E504)),Assumptions!$D$6,IF(ISNUMBER(SEARCH(Assumptions!$C$7,E504)),Assumptions!$D$7,"Other Services"))),"Other Services"))</f>
        <v/>
      </c>
    </row>
    <row r="505" customFormat="false" ht="15" hidden="false" customHeight="false" outlineLevel="0" collapsed="false">
      <c r="G505" s="41" t="str">
        <f aca="false">IF(E505="","",IFERROR(IF(ISNUMBER(SEARCH(Assumptions!$C$5,E505)),Assumptions!$D$5,IF(ISNUMBER(SEARCH(Assumptions!$C$6,E505)),Assumptions!$D$6,IF(ISNUMBER(SEARCH(Assumptions!$C$7,E505)),Assumptions!$D$7,"Other Services"))),"Other Services"))</f>
        <v/>
      </c>
    </row>
    <row r="506" customFormat="false" ht="15" hidden="false" customHeight="false" outlineLevel="0" collapsed="false">
      <c r="G506" s="41" t="str">
        <f aca="false">IF(E506="","",IFERROR(IF(ISNUMBER(SEARCH(Assumptions!$C$5,E506)),Assumptions!$D$5,IF(ISNUMBER(SEARCH(Assumptions!$C$6,E506)),Assumptions!$D$6,IF(ISNUMBER(SEARCH(Assumptions!$C$7,E506)),Assumptions!$D$7,"Other Services"))),"Other Services"))</f>
        <v/>
      </c>
    </row>
    <row r="507" customFormat="false" ht="15" hidden="false" customHeight="false" outlineLevel="0" collapsed="false">
      <c r="G507" s="41" t="str">
        <f aca="false">IF(E507="","",IFERROR(IF(ISNUMBER(SEARCH(Assumptions!$C$5,E507)),Assumptions!$D$5,IF(ISNUMBER(SEARCH(Assumptions!$C$6,E507)),Assumptions!$D$6,IF(ISNUMBER(SEARCH(Assumptions!$C$7,E507)),Assumptions!$D$7,"Other Services"))),"Other Services"))</f>
        <v/>
      </c>
    </row>
    <row r="508" customFormat="false" ht="15" hidden="false" customHeight="false" outlineLevel="0" collapsed="false">
      <c r="G508" s="41" t="str">
        <f aca="false">IF(E508="","",IFERROR(IF(ISNUMBER(SEARCH(Assumptions!$C$5,E508)),Assumptions!$D$5,IF(ISNUMBER(SEARCH(Assumptions!$C$6,E508)),Assumptions!$D$6,IF(ISNUMBER(SEARCH(Assumptions!$C$7,E508)),Assumptions!$D$7,"Other Services"))),"Other Services"))</f>
        <v/>
      </c>
    </row>
    <row r="509" customFormat="false" ht="15" hidden="false" customHeight="false" outlineLevel="0" collapsed="false">
      <c r="G509" s="41" t="str">
        <f aca="false">IF(E509="","",IFERROR(IF(ISNUMBER(SEARCH(Assumptions!$C$5,E509)),Assumptions!$D$5,IF(ISNUMBER(SEARCH(Assumptions!$C$6,E509)),Assumptions!$D$6,IF(ISNUMBER(SEARCH(Assumptions!$C$7,E509)),Assumptions!$D$7,"Other Services"))),"Other Services"))</f>
        <v/>
      </c>
    </row>
    <row r="510" customFormat="false" ht="15" hidden="false" customHeight="false" outlineLevel="0" collapsed="false">
      <c r="G510" s="41" t="str">
        <f aca="false">IF(E510="","",IFERROR(IF(ISNUMBER(SEARCH(Assumptions!$C$5,E510)),Assumptions!$D$5,IF(ISNUMBER(SEARCH(Assumptions!$C$6,E510)),Assumptions!$D$6,IF(ISNUMBER(SEARCH(Assumptions!$C$7,E510)),Assumptions!$D$7,"Other Services"))),"Other Services"))</f>
        <v/>
      </c>
    </row>
    <row r="511" customFormat="false" ht="15" hidden="false" customHeight="false" outlineLevel="0" collapsed="false">
      <c r="G511" s="41" t="str">
        <f aca="false">IF(E511="","",IFERROR(IF(ISNUMBER(SEARCH(Assumptions!$C$5,E511)),Assumptions!$D$5,IF(ISNUMBER(SEARCH(Assumptions!$C$6,E511)),Assumptions!$D$6,IF(ISNUMBER(SEARCH(Assumptions!$C$7,E511)),Assumptions!$D$7,"Other Services"))),"Other Services"))</f>
        <v/>
      </c>
    </row>
    <row r="512" customFormat="false" ht="15" hidden="false" customHeight="false" outlineLevel="0" collapsed="false">
      <c r="G512" s="41" t="str">
        <f aca="false">IF(E512="","",IFERROR(IF(ISNUMBER(SEARCH(Assumptions!$C$5,E512)),Assumptions!$D$5,IF(ISNUMBER(SEARCH(Assumptions!$C$6,E512)),Assumptions!$D$6,IF(ISNUMBER(SEARCH(Assumptions!$C$7,E512)),Assumptions!$D$7,"Other Services"))),"Other Services"))</f>
        <v/>
      </c>
    </row>
    <row r="513" customFormat="false" ht="15" hidden="false" customHeight="false" outlineLevel="0" collapsed="false">
      <c r="G513" s="41" t="str">
        <f aca="false">IF(E513="","",IFERROR(IF(ISNUMBER(SEARCH(Assumptions!$C$5,E513)),Assumptions!$D$5,IF(ISNUMBER(SEARCH(Assumptions!$C$6,E513)),Assumptions!$D$6,IF(ISNUMBER(SEARCH(Assumptions!$C$7,E513)),Assumptions!$D$7,"Other Services"))),"Other Services"))</f>
        <v/>
      </c>
    </row>
    <row r="514" customFormat="false" ht="15" hidden="false" customHeight="false" outlineLevel="0" collapsed="false">
      <c r="G514" s="41" t="str">
        <f aca="false">IF(E514="","",IFERROR(IF(ISNUMBER(SEARCH(Assumptions!$C$5,E514)),Assumptions!$D$5,IF(ISNUMBER(SEARCH(Assumptions!$C$6,E514)),Assumptions!$D$6,IF(ISNUMBER(SEARCH(Assumptions!$C$7,E514)),Assumptions!$D$7,"Other Services"))),"Other Services"))</f>
        <v/>
      </c>
    </row>
    <row r="515" customFormat="false" ht="15" hidden="false" customHeight="false" outlineLevel="0" collapsed="false">
      <c r="G515" s="41" t="str">
        <f aca="false">IF(E515="","",IFERROR(IF(ISNUMBER(SEARCH(Assumptions!$C$5,E515)),Assumptions!$D$5,IF(ISNUMBER(SEARCH(Assumptions!$C$6,E515)),Assumptions!$D$6,IF(ISNUMBER(SEARCH(Assumptions!$C$7,E515)),Assumptions!$D$7,"Other Services"))),"Other Services"))</f>
        <v/>
      </c>
    </row>
    <row r="516" customFormat="false" ht="15" hidden="false" customHeight="false" outlineLevel="0" collapsed="false">
      <c r="G516" s="41" t="str">
        <f aca="false">IF(E516="","",IFERROR(IF(ISNUMBER(SEARCH(Assumptions!$C$5,E516)),Assumptions!$D$5,IF(ISNUMBER(SEARCH(Assumptions!$C$6,E516)),Assumptions!$D$6,IF(ISNUMBER(SEARCH(Assumptions!$C$7,E516)),Assumptions!$D$7,"Other Services"))),"Other Services"))</f>
        <v/>
      </c>
    </row>
    <row r="517" customFormat="false" ht="15" hidden="false" customHeight="false" outlineLevel="0" collapsed="false">
      <c r="G517" s="41" t="str">
        <f aca="false">IF(E517="","",IFERROR(IF(ISNUMBER(SEARCH(Assumptions!$C$5,E517)),Assumptions!$D$5,IF(ISNUMBER(SEARCH(Assumptions!$C$6,E517)),Assumptions!$D$6,IF(ISNUMBER(SEARCH(Assumptions!$C$7,E517)),Assumptions!$D$7,"Other Services"))),"Other Services"))</f>
        <v/>
      </c>
    </row>
    <row r="518" customFormat="false" ht="15" hidden="false" customHeight="false" outlineLevel="0" collapsed="false">
      <c r="G518" s="41" t="str">
        <f aca="false">IF(E518="","",IFERROR(IF(ISNUMBER(SEARCH(Assumptions!$C$5,E518)),Assumptions!$D$5,IF(ISNUMBER(SEARCH(Assumptions!$C$6,E518)),Assumptions!$D$6,IF(ISNUMBER(SEARCH(Assumptions!$C$7,E518)),Assumptions!$D$7,"Other Services"))),"Other Services"))</f>
        <v/>
      </c>
    </row>
    <row r="519" customFormat="false" ht="15" hidden="false" customHeight="false" outlineLevel="0" collapsed="false">
      <c r="G519" s="41" t="str">
        <f aca="false">IF(E519="","",IFERROR(IF(ISNUMBER(SEARCH(Assumptions!$C$5,E519)),Assumptions!$D$5,IF(ISNUMBER(SEARCH(Assumptions!$C$6,E519)),Assumptions!$D$6,IF(ISNUMBER(SEARCH(Assumptions!$C$7,E519)),Assumptions!$D$7,"Other Services"))),"Other Services"))</f>
        <v/>
      </c>
    </row>
    <row r="520" customFormat="false" ht="15" hidden="false" customHeight="false" outlineLevel="0" collapsed="false">
      <c r="G520" s="41" t="str">
        <f aca="false">IF(E520="","",IFERROR(IF(ISNUMBER(SEARCH(Assumptions!$C$5,E520)),Assumptions!$D$5,IF(ISNUMBER(SEARCH(Assumptions!$C$6,E520)),Assumptions!$D$6,IF(ISNUMBER(SEARCH(Assumptions!$C$7,E520)),Assumptions!$D$7,"Other Services"))),"Other Services"))</f>
        <v/>
      </c>
    </row>
    <row r="521" customFormat="false" ht="15" hidden="false" customHeight="false" outlineLevel="0" collapsed="false">
      <c r="G521" s="41" t="str">
        <f aca="false">IF(E521="","",IFERROR(IF(ISNUMBER(SEARCH(Assumptions!$C$5,E521)),Assumptions!$D$5,IF(ISNUMBER(SEARCH(Assumptions!$C$6,E521)),Assumptions!$D$6,IF(ISNUMBER(SEARCH(Assumptions!$C$7,E521)),Assumptions!$D$7,"Other Services"))),"Other Services"))</f>
        <v/>
      </c>
    </row>
    <row r="522" customFormat="false" ht="15" hidden="false" customHeight="false" outlineLevel="0" collapsed="false">
      <c r="G522" s="41" t="str">
        <f aca="false">IF(E522="","",IFERROR(IF(ISNUMBER(SEARCH(Assumptions!$C$5,E522)),Assumptions!$D$5,IF(ISNUMBER(SEARCH(Assumptions!$C$6,E522)),Assumptions!$D$6,IF(ISNUMBER(SEARCH(Assumptions!$C$7,E522)),Assumptions!$D$7,"Other Services"))),"Other Services"))</f>
        <v/>
      </c>
    </row>
    <row r="523" customFormat="false" ht="15" hidden="false" customHeight="false" outlineLevel="0" collapsed="false">
      <c r="G523" s="41" t="str">
        <f aca="false">IF(E523="","",IFERROR(IF(ISNUMBER(SEARCH(Assumptions!$C$5,E523)),Assumptions!$D$5,IF(ISNUMBER(SEARCH(Assumptions!$C$6,E523)),Assumptions!$D$6,IF(ISNUMBER(SEARCH(Assumptions!$C$7,E523)),Assumptions!$D$7,"Other Services"))),"Other Services"))</f>
        <v/>
      </c>
    </row>
    <row r="524" customFormat="false" ht="15" hidden="false" customHeight="false" outlineLevel="0" collapsed="false">
      <c r="G524" s="41" t="str">
        <f aca="false">IF(E524="","",IFERROR(IF(ISNUMBER(SEARCH(Assumptions!$C$5,E524)),Assumptions!$D$5,IF(ISNUMBER(SEARCH(Assumptions!$C$6,E524)),Assumptions!$D$6,IF(ISNUMBER(SEARCH(Assumptions!$C$7,E524)),Assumptions!$D$7,"Other Services"))),"Other Services"))</f>
        <v/>
      </c>
    </row>
    <row r="525" customFormat="false" ht="15" hidden="false" customHeight="false" outlineLevel="0" collapsed="false">
      <c r="G525" s="41" t="str">
        <f aca="false">IF(E525="","",IFERROR(IF(ISNUMBER(SEARCH(Assumptions!$C$5,E525)),Assumptions!$D$5,IF(ISNUMBER(SEARCH(Assumptions!$C$6,E525)),Assumptions!$D$6,IF(ISNUMBER(SEARCH(Assumptions!$C$7,E525)),Assumptions!$D$7,"Other Services"))),"Other Services"))</f>
        <v/>
      </c>
    </row>
    <row r="526" customFormat="false" ht="15" hidden="false" customHeight="false" outlineLevel="0" collapsed="false">
      <c r="G526" s="41" t="str">
        <f aca="false">IF(E526="","",IFERROR(IF(ISNUMBER(SEARCH(Assumptions!$C$5,E526)),Assumptions!$D$5,IF(ISNUMBER(SEARCH(Assumptions!$C$6,E526)),Assumptions!$D$6,IF(ISNUMBER(SEARCH(Assumptions!$C$7,E526)),Assumptions!$D$7,"Other Services"))),"Other Services"))</f>
        <v/>
      </c>
    </row>
    <row r="527" customFormat="false" ht="15" hidden="false" customHeight="false" outlineLevel="0" collapsed="false">
      <c r="G527" s="41" t="str">
        <f aca="false">IF(E527="","",IFERROR(IF(ISNUMBER(SEARCH(Assumptions!$C$5,E527)),Assumptions!$D$5,IF(ISNUMBER(SEARCH(Assumptions!$C$6,E527)),Assumptions!$D$6,IF(ISNUMBER(SEARCH(Assumptions!$C$7,E527)),Assumptions!$D$7,"Other Services"))),"Other Services"))</f>
        <v/>
      </c>
    </row>
    <row r="528" customFormat="false" ht="15" hidden="false" customHeight="false" outlineLevel="0" collapsed="false">
      <c r="G528" s="41" t="str">
        <f aca="false">IF(E528="","",IFERROR(IF(ISNUMBER(SEARCH(Assumptions!$C$5,E528)),Assumptions!$D$5,IF(ISNUMBER(SEARCH(Assumptions!$C$6,E528)),Assumptions!$D$6,IF(ISNUMBER(SEARCH(Assumptions!$C$7,E528)),Assumptions!$D$7,"Other Services"))),"Other Services"))</f>
        <v/>
      </c>
    </row>
    <row r="529" customFormat="false" ht="15" hidden="false" customHeight="false" outlineLevel="0" collapsed="false">
      <c r="G529" s="41" t="str">
        <f aca="false">IF(E529="","",IFERROR(IF(ISNUMBER(SEARCH(Assumptions!$C$5,E529)),Assumptions!$D$5,IF(ISNUMBER(SEARCH(Assumptions!$C$6,E529)),Assumptions!$D$6,IF(ISNUMBER(SEARCH(Assumptions!$C$7,E529)),Assumptions!$D$7,"Other Services"))),"Other Services"))</f>
        <v/>
      </c>
    </row>
    <row r="530" customFormat="false" ht="15" hidden="false" customHeight="false" outlineLevel="0" collapsed="false">
      <c r="G530" s="41" t="str">
        <f aca="false">IF(E530="","",IFERROR(IF(ISNUMBER(SEARCH(Assumptions!$C$5,E530)),Assumptions!$D$5,IF(ISNUMBER(SEARCH(Assumptions!$C$6,E530)),Assumptions!$D$6,IF(ISNUMBER(SEARCH(Assumptions!$C$7,E530)),Assumptions!$D$7,"Other Services"))),"Other Services"))</f>
        <v/>
      </c>
    </row>
    <row r="531" customFormat="false" ht="15" hidden="false" customHeight="false" outlineLevel="0" collapsed="false">
      <c r="G531" s="41" t="str">
        <f aca="false">IF(E531="","",IFERROR(IF(ISNUMBER(SEARCH(Assumptions!$C$5,E531)),Assumptions!$D$5,IF(ISNUMBER(SEARCH(Assumptions!$C$6,E531)),Assumptions!$D$6,IF(ISNUMBER(SEARCH(Assumptions!$C$7,E531)),Assumptions!$D$7,"Other Services"))),"Other Services"))</f>
        <v/>
      </c>
    </row>
    <row r="532" customFormat="false" ht="15" hidden="false" customHeight="false" outlineLevel="0" collapsed="false">
      <c r="G532" s="41" t="str">
        <f aca="false">IF(E532="","",IFERROR(IF(ISNUMBER(SEARCH(Assumptions!$C$5,E532)),Assumptions!$D$5,IF(ISNUMBER(SEARCH(Assumptions!$C$6,E532)),Assumptions!$D$6,IF(ISNUMBER(SEARCH(Assumptions!$C$7,E532)),Assumptions!$D$7,"Other Services"))),"Other Services"))</f>
        <v/>
      </c>
    </row>
    <row r="533" customFormat="false" ht="15" hidden="false" customHeight="false" outlineLevel="0" collapsed="false">
      <c r="G533" s="41" t="str">
        <f aca="false">IF(E533="","",IFERROR(IF(ISNUMBER(SEARCH(Assumptions!$C$5,E533)),Assumptions!$D$5,IF(ISNUMBER(SEARCH(Assumptions!$C$6,E533)),Assumptions!$D$6,IF(ISNUMBER(SEARCH(Assumptions!$C$7,E533)),Assumptions!$D$7,"Other Services"))),"Other Services"))</f>
        <v/>
      </c>
    </row>
    <row r="534" customFormat="false" ht="15" hidden="false" customHeight="false" outlineLevel="0" collapsed="false">
      <c r="G534" s="41" t="str">
        <f aca="false">IF(E534="","",IFERROR(IF(ISNUMBER(SEARCH(Assumptions!$C$5,E534)),Assumptions!$D$5,IF(ISNUMBER(SEARCH(Assumptions!$C$6,E534)),Assumptions!$D$6,IF(ISNUMBER(SEARCH(Assumptions!$C$7,E534)),Assumptions!$D$7,"Other Services"))),"Other Services"))</f>
        <v/>
      </c>
    </row>
    <row r="535" customFormat="false" ht="15" hidden="false" customHeight="false" outlineLevel="0" collapsed="false">
      <c r="G535" s="41" t="str">
        <f aca="false">IF(E535="","",IFERROR(IF(ISNUMBER(SEARCH(Assumptions!$C$5,E535)),Assumptions!$D$5,IF(ISNUMBER(SEARCH(Assumptions!$C$6,E535)),Assumptions!$D$6,IF(ISNUMBER(SEARCH(Assumptions!$C$7,E535)),Assumptions!$D$7,"Other Services"))),"Other Services"))</f>
        <v/>
      </c>
    </row>
    <row r="536" customFormat="false" ht="15" hidden="false" customHeight="false" outlineLevel="0" collapsed="false">
      <c r="G536" s="41" t="str">
        <f aca="false">IF(E536="","",IFERROR(IF(ISNUMBER(SEARCH(Assumptions!$C$5,E536)),Assumptions!$D$5,IF(ISNUMBER(SEARCH(Assumptions!$C$6,E536)),Assumptions!$D$6,IF(ISNUMBER(SEARCH(Assumptions!$C$7,E536)),Assumptions!$D$7,"Other Services"))),"Other Services"))</f>
        <v/>
      </c>
    </row>
    <row r="537" customFormat="false" ht="15" hidden="false" customHeight="false" outlineLevel="0" collapsed="false">
      <c r="G537" s="41" t="str">
        <f aca="false">IF(E537="","",IFERROR(IF(ISNUMBER(SEARCH(Assumptions!$C$5,E537)),Assumptions!$D$5,IF(ISNUMBER(SEARCH(Assumptions!$C$6,E537)),Assumptions!$D$6,IF(ISNUMBER(SEARCH(Assumptions!$C$7,E537)),Assumptions!$D$7,"Other Services"))),"Other Services"))</f>
        <v/>
      </c>
    </row>
    <row r="538" customFormat="false" ht="15" hidden="false" customHeight="false" outlineLevel="0" collapsed="false">
      <c r="G538" s="41" t="str">
        <f aca="false">IF(E538="","",IFERROR(IF(ISNUMBER(SEARCH(Assumptions!$C$5,E538)),Assumptions!$D$5,IF(ISNUMBER(SEARCH(Assumptions!$C$6,E538)),Assumptions!$D$6,IF(ISNUMBER(SEARCH(Assumptions!$C$7,E538)),Assumptions!$D$7,"Other Services"))),"Other Services"))</f>
        <v/>
      </c>
    </row>
    <row r="539" customFormat="false" ht="15" hidden="false" customHeight="false" outlineLevel="0" collapsed="false">
      <c r="G539" s="41" t="str">
        <f aca="false">IF(E539="","",IFERROR(IF(ISNUMBER(SEARCH(Assumptions!$C$5,E539)),Assumptions!$D$5,IF(ISNUMBER(SEARCH(Assumptions!$C$6,E539)),Assumptions!$D$6,IF(ISNUMBER(SEARCH(Assumptions!$C$7,E539)),Assumptions!$D$7,"Other Services"))),"Other Services"))</f>
        <v/>
      </c>
    </row>
    <row r="540" customFormat="false" ht="15" hidden="false" customHeight="false" outlineLevel="0" collapsed="false">
      <c r="G540" s="41" t="str">
        <f aca="false">IF(E540="","",IFERROR(IF(ISNUMBER(SEARCH(Assumptions!$C$5,E540)),Assumptions!$D$5,IF(ISNUMBER(SEARCH(Assumptions!$C$6,E540)),Assumptions!$D$6,IF(ISNUMBER(SEARCH(Assumptions!$C$7,E540)),Assumptions!$D$7,"Other Services"))),"Other Services"))</f>
        <v/>
      </c>
    </row>
    <row r="541" customFormat="false" ht="15" hidden="false" customHeight="false" outlineLevel="0" collapsed="false">
      <c r="G541" s="41" t="str">
        <f aca="false">IF(E541="","",IFERROR(IF(ISNUMBER(SEARCH(Assumptions!$C$5,E541)),Assumptions!$D$5,IF(ISNUMBER(SEARCH(Assumptions!$C$6,E541)),Assumptions!$D$6,IF(ISNUMBER(SEARCH(Assumptions!$C$7,E541)),Assumptions!$D$7,"Other Services"))),"Other Services"))</f>
        <v/>
      </c>
    </row>
    <row r="542" customFormat="false" ht="15" hidden="false" customHeight="false" outlineLevel="0" collapsed="false">
      <c r="G542" s="41" t="str">
        <f aca="false">IF(E542="","",IFERROR(IF(ISNUMBER(SEARCH(Assumptions!$C$5,E542)),Assumptions!$D$5,IF(ISNUMBER(SEARCH(Assumptions!$C$6,E542)),Assumptions!$D$6,IF(ISNUMBER(SEARCH(Assumptions!$C$7,E542)),Assumptions!$D$7,"Other Services"))),"Other Services"))</f>
        <v/>
      </c>
    </row>
    <row r="543" customFormat="false" ht="15" hidden="false" customHeight="false" outlineLevel="0" collapsed="false">
      <c r="G543" s="41" t="str">
        <f aca="false">IF(E543="","",IFERROR(IF(ISNUMBER(SEARCH(Assumptions!$C$5,E543)),Assumptions!$D$5,IF(ISNUMBER(SEARCH(Assumptions!$C$6,E543)),Assumptions!$D$6,IF(ISNUMBER(SEARCH(Assumptions!$C$7,E543)),Assumptions!$D$7,"Other Services"))),"Other Services"))</f>
        <v/>
      </c>
    </row>
    <row r="544" customFormat="false" ht="15" hidden="false" customHeight="false" outlineLevel="0" collapsed="false">
      <c r="G544" s="41" t="str">
        <f aca="false">IF(E544="","",IFERROR(IF(ISNUMBER(SEARCH(Assumptions!$C$5,E544)),Assumptions!$D$5,IF(ISNUMBER(SEARCH(Assumptions!$C$6,E544)),Assumptions!$D$6,IF(ISNUMBER(SEARCH(Assumptions!$C$7,E544)),Assumptions!$D$7,"Other Services"))),"Other Services"))</f>
        <v/>
      </c>
    </row>
    <row r="545" customFormat="false" ht="15" hidden="false" customHeight="false" outlineLevel="0" collapsed="false">
      <c r="G545" s="41" t="str">
        <f aca="false">IF(E545="","",IFERROR(IF(ISNUMBER(SEARCH(Assumptions!$C$5,E545)),Assumptions!$D$5,IF(ISNUMBER(SEARCH(Assumptions!$C$6,E545)),Assumptions!$D$6,IF(ISNUMBER(SEARCH(Assumptions!$C$7,E545)),Assumptions!$D$7,"Other Services"))),"Other Services"))</f>
        <v/>
      </c>
    </row>
    <row r="546" customFormat="false" ht="15" hidden="false" customHeight="false" outlineLevel="0" collapsed="false">
      <c r="G546" s="41" t="str">
        <f aca="false">IF(E546="","",IFERROR(IF(ISNUMBER(SEARCH(Assumptions!$C$5,E546)),Assumptions!$D$5,IF(ISNUMBER(SEARCH(Assumptions!$C$6,E546)),Assumptions!$D$6,IF(ISNUMBER(SEARCH(Assumptions!$C$7,E546)),Assumptions!$D$7,"Other Services"))),"Other Services"))</f>
        <v/>
      </c>
    </row>
    <row r="547" customFormat="false" ht="15" hidden="false" customHeight="false" outlineLevel="0" collapsed="false">
      <c r="G547" s="41" t="str">
        <f aca="false">IF(E547="","",IFERROR(IF(ISNUMBER(SEARCH(Assumptions!$C$5,E547)),Assumptions!$D$5,IF(ISNUMBER(SEARCH(Assumptions!$C$6,E547)),Assumptions!$D$6,IF(ISNUMBER(SEARCH(Assumptions!$C$7,E547)),Assumptions!$D$7,"Other Services"))),"Other Services"))</f>
        <v/>
      </c>
    </row>
    <row r="548" customFormat="false" ht="15" hidden="false" customHeight="false" outlineLevel="0" collapsed="false">
      <c r="G548" s="41" t="str">
        <f aca="false">IF(E548="","",IFERROR(IF(ISNUMBER(SEARCH(Assumptions!$C$5,E548)),Assumptions!$D$5,IF(ISNUMBER(SEARCH(Assumptions!$C$6,E548)),Assumptions!$D$6,IF(ISNUMBER(SEARCH(Assumptions!$C$7,E548)),Assumptions!$D$7,"Other Services"))),"Other Services"))</f>
        <v/>
      </c>
    </row>
    <row r="549" customFormat="false" ht="15" hidden="false" customHeight="false" outlineLevel="0" collapsed="false">
      <c r="G549" s="41" t="str">
        <f aca="false">IF(E549="","",IFERROR(IF(ISNUMBER(SEARCH(Assumptions!$C$5,E549)),Assumptions!$D$5,IF(ISNUMBER(SEARCH(Assumptions!$C$6,E549)),Assumptions!$D$6,IF(ISNUMBER(SEARCH(Assumptions!$C$7,E549)),Assumptions!$D$7,"Other Services"))),"Other Services"))</f>
        <v/>
      </c>
    </row>
    <row r="550" customFormat="false" ht="15" hidden="false" customHeight="false" outlineLevel="0" collapsed="false">
      <c r="G550" s="41" t="str">
        <f aca="false">IF(E550="","",IFERROR(IF(ISNUMBER(SEARCH(Assumptions!$C$5,E550)),Assumptions!$D$5,IF(ISNUMBER(SEARCH(Assumptions!$C$6,E550)),Assumptions!$D$6,IF(ISNUMBER(SEARCH(Assumptions!$C$7,E550)),Assumptions!$D$7,"Other Services"))),"Other Services"))</f>
        <v/>
      </c>
    </row>
    <row r="551" customFormat="false" ht="15" hidden="false" customHeight="false" outlineLevel="0" collapsed="false">
      <c r="G551" s="41" t="str">
        <f aca="false">IF(E551="","",IFERROR(IF(ISNUMBER(SEARCH(Assumptions!$C$5,E551)),Assumptions!$D$5,IF(ISNUMBER(SEARCH(Assumptions!$C$6,E551)),Assumptions!$D$6,IF(ISNUMBER(SEARCH(Assumptions!$C$7,E551)),Assumptions!$D$7,"Other Services"))),"Other Services"))</f>
        <v/>
      </c>
    </row>
    <row r="552" customFormat="false" ht="15" hidden="false" customHeight="false" outlineLevel="0" collapsed="false">
      <c r="G552" s="41" t="str">
        <f aca="false">IF(E552="","",IFERROR(IF(ISNUMBER(SEARCH(Assumptions!$C$5,E552)),Assumptions!$D$5,IF(ISNUMBER(SEARCH(Assumptions!$C$6,E552)),Assumptions!$D$6,IF(ISNUMBER(SEARCH(Assumptions!$C$7,E552)),Assumptions!$D$7,"Other Services"))),"Other Services"))</f>
        <v/>
      </c>
    </row>
    <row r="553" customFormat="false" ht="15" hidden="false" customHeight="false" outlineLevel="0" collapsed="false">
      <c r="G553" s="41" t="str">
        <f aca="false">IF(E553="","",IFERROR(IF(ISNUMBER(SEARCH(Assumptions!$C$5,E553)),Assumptions!$D$5,IF(ISNUMBER(SEARCH(Assumptions!$C$6,E553)),Assumptions!$D$6,IF(ISNUMBER(SEARCH(Assumptions!$C$7,E553)),Assumptions!$D$7,"Other Services"))),"Other Services"))</f>
        <v/>
      </c>
    </row>
    <row r="554" customFormat="false" ht="15" hidden="false" customHeight="false" outlineLevel="0" collapsed="false">
      <c r="G554" s="41" t="str">
        <f aca="false">IF(E554="","",IFERROR(IF(ISNUMBER(SEARCH(Assumptions!$C$5,E554)),Assumptions!$D$5,IF(ISNUMBER(SEARCH(Assumptions!$C$6,E554)),Assumptions!$D$6,IF(ISNUMBER(SEARCH(Assumptions!$C$7,E554)),Assumptions!$D$7,"Other Services"))),"Other Services"))</f>
        <v/>
      </c>
    </row>
    <row r="555" customFormat="false" ht="15" hidden="false" customHeight="false" outlineLevel="0" collapsed="false">
      <c r="G555" s="41" t="str">
        <f aca="false">IF(E555="","",IFERROR(IF(ISNUMBER(SEARCH(Assumptions!$C$5,E555)),Assumptions!$D$5,IF(ISNUMBER(SEARCH(Assumptions!$C$6,E555)),Assumptions!$D$6,IF(ISNUMBER(SEARCH(Assumptions!$C$7,E555)),Assumptions!$D$7,"Other Services"))),"Other Services"))</f>
        <v/>
      </c>
    </row>
    <row r="556" customFormat="false" ht="15" hidden="false" customHeight="false" outlineLevel="0" collapsed="false">
      <c r="G556" s="41" t="str">
        <f aca="false">IF(E556="","",IFERROR(IF(ISNUMBER(SEARCH(Assumptions!$C$5,E556)),Assumptions!$D$5,IF(ISNUMBER(SEARCH(Assumptions!$C$6,E556)),Assumptions!$D$6,IF(ISNUMBER(SEARCH(Assumptions!$C$7,E556)),Assumptions!$D$7,"Other Services"))),"Other Services"))</f>
        <v/>
      </c>
    </row>
    <row r="557" customFormat="false" ht="15" hidden="false" customHeight="false" outlineLevel="0" collapsed="false">
      <c r="G557" s="41" t="str">
        <f aca="false">IF(E557="","",IFERROR(IF(ISNUMBER(SEARCH(Assumptions!$C$5,E557)),Assumptions!$D$5,IF(ISNUMBER(SEARCH(Assumptions!$C$6,E557)),Assumptions!$D$6,IF(ISNUMBER(SEARCH(Assumptions!$C$7,E557)),Assumptions!$D$7,"Other Services"))),"Other Services"))</f>
        <v/>
      </c>
    </row>
    <row r="558" customFormat="false" ht="15" hidden="false" customHeight="false" outlineLevel="0" collapsed="false">
      <c r="G558" s="41" t="str">
        <f aca="false">IF(E558="","",IFERROR(IF(ISNUMBER(SEARCH(Assumptions!$C$5,E558)),Assumptions!$D$5,IF(ISNUMBER(SEARCH(Assumptions!$C$6,E558)),Assumptions!$D$6,IF(ISNUMBER(SEARCH(Assumptions!$C$7,E558)),Assumptions!$D$7,"Other Services"))),"Other Services"))</f>
        <v/>
      </c>
    </row>
    <row r="559" customFormat="false" ht="15" hidden="false" customHeight="false" outlineLevel="0" collapsed="false">
      <c r="G559" s="41" t="str">
        <f aca="false">IF(E559="","",IFERROR(IF(ISNUMBER(SEARCH(Assumptions!$C$5,E559)),Assumptions!$D$5,IF(ISNUMBER(SEARCH(Assumptions!$C$6,E559)),Assumptions!$D$6,IF(ISNUMBER(SEARCH(Assumptions!$C$7,E559)),Assumptions!$D$7,"Other Services"))),"Other Services"))</f>
        <v/>
      </c>
    </row>
    <row r="560" customFormat="false" ht="15" hidden="false" customHeight="false" outlineLevel="0" collapsed="false">
      <c r="G560" s="41" t="str">
        <f aca="false">IF(E560="","",IFERROR(IF(ISNUMBER(SEARCH(Assumptions!$C$5,E560)),Assumptions!$D$5,IF(ISNUMBER(SEARCH(Assumptions!$C$6,E560)),Assumptions!$D$6,IF(ISNUMBER(SEARCH(Assumptions!$C$7,E560)),Assumptions!$D$7,"Other Services"))),"Other Services"))</f>
        <v/>
      </c>
    </row>
    <row r="561" customFormat="false" ht="15" hidden="false" customHeight="false" outlineLevel="0" collapsed="false">
      <c r="G561" s="41" t="str">
        <f aca="false">IF(E561="","",IFERROR(IF(ISNUMBER(SEARCH(Assumptions!$C$5,E561)),Assumptions!$D$5,IF(ISNUMBER(SEARCH(Assumptions!$C$6,E561)),Assumptions!$D$6,IF(ISNUMBER(SEARCH(Assumptions!$C$7,E561)),Assumptions!$D$7,"Other Services"))),"Other Services"))</f>
        <v/>
      </c>
    </row>
    <row r="562" customFormat="false" ht="15" hidden="false" customHeight="false" outlineLevel="0" collapsed="false">
      <c r="G562" s="41" t="str">
        <f aca="false">IF(E562="","",IFERROR(IF(ISNUMBER(SEARCH(Assumptions!$C$5,E562)),Assumptions!$D$5,IF(ISNUMBER(SEARCH(Assumptions!$C$6,E562)),Assumptions!$D$6,IF(ISNUMBER(SEARCH(Assumptions!$C$7,E562)),Assumptions!$D$7,"Other Services"))),"Other Services"))</f>
        <v/>
      </c>
    </row>
    <row r="563" customFormat="false" ht="15" hidden="false" customHeight="false" outlineLevel="0" collapsed="false">
      <c r="G563" s="41" t="str">
        <f aca="false">IF(E563="","",IFERROR(IF(ISNUMBER(SEARCH(Assumptions!$C$5,E563)),Assumptions!$D$5,IF(ISNUMBER(SEARCH(Assumptions!$C$6,E563)),Assumptions!$D$6,IF(ISNUMBER(SEARCH(Assumptions!$C$7,E563)),Assumptions!$D$7,"Other Services"))),"Other Services"))</f>
        <v/>
      </c>
    </row>
    <row r="564" customFormat="false" ht="15" hidden="false" customHeight="false" outlineLevel="0" collapsed="false">
      <c r="G564" s="41" t="str">
        <f aca="false">IF(E564="","",IFERROR(IF(ISNUMBER(SEARCH(Assumptions!$C$5,E564)),Assumptions!$D$5,IF(ISNUMBER(SEARCH(Assumptions!$C$6,E564)),Assumptions!$D$6,IF(ISNUMBER(SEARCH(Assumptions!$C$7,E564)),Assumptions!$D$7,"Other Services"))),"Other Services"))</f>
        <v/>
      </c>
    </row>
    <row r="565" customFormat="false" ht="15" hidden="false" customHeight="false" outlineLevel="0" collapsed="false">
      <c r="G565" s="41" t="str">
        <f aca="false">IF(E565="","",IFERROR(IF(ISNUMBER(SEARCH(Assumptions!$C$5,E565)),Assumptions!$D$5,IF(ISNUMBER(SEARCH(Assumptions!$C$6,E565)),Assumptions!$D$6,IF(ISNUMBER(SEARCH(Assumptions!$C$7,E565)),Assumptions!$D$7,"Other Services"))),"Other Services"))</f>
        <v/>
      </c>
    </row>
    <row r="566" customFormat="false" ht="15" hidden="false" customHeight="false" outlineLevel="0" collapsed="false">
      <c r="G566" s="41" t="str">
        <f aca="false">IF(E566="","",IFERROR(IF(ISNUMBER(SEARCH(Assumptions!$C$5,E566)),Assumptions!$D$5,IF(ISNUMBER(SEARCH(Assumptions!$C$6,E566)),Assumptions!$D$6,IF(ISNUMBER(SEARCH(Assumptions!$C$7,E566)),Assumptions!$D$7,"Other Services"))),"Other Services"))</f>
        <v/>
      </c>
    </row>
    <row r="567" customFormat="false" ht="15" hidden="false" customHeight="false" outlineLevel="0" collapsed="false">
      <c r="G567" s="41" t="str">
        <f aca="false">IF(E567="","",IFERROR(IF(ISNUMBER(SEARCH(Assumptions!$C$5,E567)),Assumptions!$D$5,IF(ISNUMBER(SEARCH(Assumptions!$C$6,E567)),Assumptions!$D$6,IF(ISNUMBER(SEARCH(Assumptions!$C$7,E567)),Assumptions!$D$7,"Other Services"))),"Other Services"))</f>
        <v/>
      </c>
    </row>
    <row r="568" customFormat="false" ht="15" hidden="false" customHeight="false" outlineLevel="0" collapsed="false">
      <c r="G568" s="41" t="str">
        <f aca="false">IF(E568="","",IFERROR(IF(ISNUMBER(SEARCH(Assumptions!$C$5,E568)),Assumptions!$D$5,IF(ISNUMBER(SEARCH(Assumptions!$C$6,E568)),Assumptions!$D$6,IF(ISNUMBER(SEARCH(Assumptions!$C$7,E568)),Assumptions!$D$7,"Other Services"))),"Other Services"))</f>
        <v/>
      </c>
    </row>
    <row r="569" customFormat="false" ht="15" hidden="false" customHeight="false" outlineLevel="0" collapsed="false">
      <c r="G569" s="41" t="str">
        <f aca="false">IF(E569="","",IFERROR(IF(ISNUMBER(SEARCH(Assumptions!$C$5,E569)),Assumptions!$D$5,IF(ISNUMBER(SEARCH(Assumptions!$C$6,E569)),Assumptions!$D$6,IF(ISNUMBER(SEARCH(Assumptions!$C$7,E569)),Assumptions!$D$7,"Other Services"))),"Other Services"))</f>
        <v/>
      </c>
    </row>
    <row r="570" customFormat="false" ht="15" hidden="false" customHeight="false" outlineLevel="0" collapsed="false">
      <c r="G570" s="41" t="str">
        <f aca="false">IF(E570="","",IFERROR(IF(ISNUMBER(SEARCH(Assumptions!$C$5,E570)),Assumptions!$D$5,IF(ISNUMBER(SEARCH(Assumptions!$C$6,E570)),Assumptions!$D$6,IF(ISNUMBER(SEARCH(Assumptions!$C$7,E570)),Assumptions!$D$7,"Other Services"))),"Other Services"))</f>
        <v/>
      </c>
    </row>
    <row r="571" customFormat="false" ht="15" hidden="false" customHeight="false" outlineLevel="0" collapsed="false">
      <c r="G571" s="41" t="str">
        <f aca="false">IF(E571="","",IFERROR(IF(ISNUMBER(SEARCH(Assumptions!$C$5,E571)),Assumptions!$D$5,IF(ISNUMBER(SEARCH(Assumptions!$C$6,E571)),Assumptions!$D$6,IF(ISNUMBER(SEARCH(Assumptions!$C$7,E571)),Assumptions!$D$7,"Other Services"))),"Other Services"))</f>
        <v/>
      </c>
    </row>
    <row r="572" customFormat="false" ht="15" hidden="false" customHeight="false" outlineLevel="0" collapsed="false">
      <c r="G572" s="41" t="str">
        <f aca="false">IF(E572="","",IFERROR(IF(ISNUMBER(SEARCH(Assumptions!$C$5,E572)),Assumptions!$D$5,IF(ISNUMBER(SEARCH(Assumptions!$C$6,E572)),Assumptions!$D$6,IF(ISNUMBER(SEARCH(Assumptions!$C$7,E572)),Assumptions!$D$7,"Other Services"))),"Other Services"))</f>
        <v/>
      </c>
    </row>
    <row r="573" customFormat="false" ht="15" hidden="false" customHeight="false" outlineLevel="0" collapsed="false">
      <c r="G573" s="41" t="str">
        <f aca="false">IF(E573="","",IFERROR(IF(ISNUMBER(SEARCH(Assumptions!$C$5,E573)),Assumptions!$D$5,IF(ISNUMBER(SEARCH(Assumptions!$C$6,E573)),Assumptions!$D$6,IF(ISNUMBER(SEARCH(Assumptions!$C$7,E573)),Assumptions!$D$7,"Other Services"))),"Other Services"))</f>
        <v/>
      </c>
    </row>
    <row r="574" customFormat="false" ht="15" hidden="false" customHeight="false" outlineLevel="0" collapsed="false">
      <c r="G574" s="41" t="str">
        <f aca="false">IF(E574="","",IFERROR(IF(ISNUMBER(SEARCH(Assumptions!$C$5,E574)),Assumptions!$D$5,IF(ISNUMBER(SEARCH(Assumptions!$C$6,E574)),Assumptions!$D$6,IF(ISNUMBER(SEARCH(Assumptions!$C$7,E574)),Assumptions!$D$7,"Other Services"))),"Other Services"))</f>
        <v/>
      </c>
    </row>
    <row r="575" customFormat="false" ht="15" hidden="false" customHeight="false" outlineLevel="0" collapsed="false">
      <c r="G575" s="41" t="str">
        <f aca="false">IF(E575="","",IFERROR(IF(ISNUMBER(SEARCH(Assumptions!$C$5,E575)),Assumptions!$D$5,IF(ISNUMBER(SEARCH(Assumptions!$C$6,E575)),Assumptions!$D$6,IF(ISNUMBER(SEARCH(Assumptions!$C$7,E575)),Assumptions!$D$7,"Other Services"))),"Other Services"))</f>
        <v/>
      </c>
    </row>
    <row r="576" customFormat="false" ht="15" hidden="false" customHeight="false" outlineLevel="0" collapsed="false">
      <c r="G576" s="41" t="str">
        <f aca="false">IF(E576="","",IFERROR(IF(ISNUMBER(SEARCH(Assumptions!$C$5,E576)),Assumptions!$D$5,IF(ISNUMBER(SEARCH(Assumptions!$C$6,E576)),Assumptions!$D$6,IF(ISNUMBER(SEARCH(Assumptions!$C$7,E576)),Assumptions!$D$7,"Other Services"))),"Other Services"))</f>
        <v/>
      </c>
    </row>
    <row r="577" customFormat="false" ht="15" hidden="false" customHeight="false" outlineLevel="0" collapsed="false">
      <c r="G577" s="41" t="str">
        <f aca="false">IF(E577="","",IFERROR(IF(ISNUMBER(SEARCH(Assumptions!$C$5,E577)),Assumptions!$D$5,IF(ISNUMBER(SEARCH(Assumptions!$C$6,E577)),Assumptions!$D$6,IF(ISNUMBER(SEARCH(Assumptions!$C$7,E577)),Assumptions!$D$7,"Other Services"))),"Other Services"))</f>
        <v/>
      </c>
    </row>
    <row r="578" customFormat="false" ht="15" hidden="false" customHeight="false" outlineLevel="0" collapsed="false">
      <c r="G578" s="41" t="str">
        <f aca="false">IF(E578="","",IFERROR(IF(ISNUMBER(SEARCH(Assumptions!$C$5,E578)),Assumptions!$D$5,IF(ISNUMBER(SEARCH(Assumptions!$C$6,E578)),Assumptions!$D$6,IF(ISNUMBER(SEARCH(Assumptions!$C$7,E578)),Assumptions!$D$7,"Other Services"))),"Other Services"))</f>
        <v/>
      </c>
    </row>
    <row r="579" customFormat="false" ht="15" hidden="false" customHeight="false" outlineLevel="0" collapsed="false">
      <c r="G579" s="41" t="str">
        <f aca="false">IF(E579="","",IFERROR(IF(ISNUMBER(SEARCH(Assumptions!$C$5,E579)),Assumptions!$D$5,IF(ISNUMBER(SEARCH(Assumptions!$C$6,E579)),Assumptions!$D$6,IF(ISNUMBER(SEARCH(Assumptions!$C$7,E579)),Assumptions!$D$7,"Other Services"))),"Other Services"))</f>
        <v/>
      </c>
    </row>
    <row r="580" customFormat="false" ht="15" hidden="false" customHeight="false" outlineLevel="0" collapsed="false">
      <c r="G580" s="41" t="str">
        <f aca="false">IF(E580="","",IFERROR(IF(ISNUMBER(SEARCH(Assumptions!$C$5,E580)),Assumptions!$D$5,IF(ISNUMBER(SEARCH(Assumptions!$C$6,E580)),Assumptions!$D$6,IF(ISNUMBER(SEARCH(Assumptions!$C$7,E580)),Assumptions!$D$7,"Other Services"))),"Other Services"))</f>
        <v/>
      </c>
    </row>
    <row r="581" customFormat="false" ht="15" hidden="false" customHeight="false" outlineLevel="0" collapsed="false">
      <c r="G581" s="41" t="str">
        <f aca="false">IF(E581="","",IFERROR(IF(ISNUMBER(SEARCH(Assumptions!$C$5,E581)),Assumptions!$D$5,IF(ISNUMBER(SEARCH(Assumptions!$C$6,E581)),Assumptions!$D$6,IF(ISNUMBER(SEARCH(Assumptions!$C$7,E581)),Assumptions!$D$7,"Other Services"))),"Other Services"))</f>
        <v/>
      </c>
    </row>
    <row r="582" customFormat="false" ht="15" hidden="false" customHeight="false" outlineLevel="0" collapsed="false">
      <c r="G582" s="41" t="str">
        <f aca="false">IF(E582="","",IFERROR(IF(ISNUMBER(SEARCH(Assumptions!$C$5,E582)),Assumptions!$D$5,IF(ISNUMBER(SEARCH(Assumptions!$C$6,E582)),Assumptions!$D$6,IF(ISNUMBER(SEARCH(Assumptions!$C$7,E582)),Assumptions!$D$7,"Other Services"))),"Other Services"))</f>
        <v/>
      </c>
    </row>
    <row r="583" customFormat="false" ht="15" hidden="false" customHeight="false" outlineLevel="0" collapsed="false">
      <c r="G583" s="41" t="str">
        <f aca="false">IF(E583="","",IFERROR(IF(ISNUMBER(SEARCH(Assumptions!$C$5,E583)),Assumptions!$D$5,IF(ISNUMBER(SEARCH(Assumptions!$C$6,E583)),Assumptions!$D$6,IF(ISNUMBER(SEARCH(Assumptions!$C$7,E583)),Assumptions!$D$7,"Other Services"))),"Other Services"))</f>
        <v/>
      </c>
    </row>
    <row r="584" customFormat="false" ht="15" hidden="false" customHeight="false" outlineLevel="0" collapsed="false">
      <c r="G584" s="41" t="str">
        <f aca="false">IF(E584="","",IFERROR(IF(ISNUMBER(SEARCH(Assumptions!$C$5,E584)),Assumptions!$D$5,IF(ISNUMBER(SEARCH(Assumptions!$C$6,E584)),Assumptions!$D$6,IF(ISNUMBER(SEARCH(Assumptions!$C$7,E584)),Assumptions!$D$7,"Other Services"))),"Other Services"))</f>
        <v/>
      </c>
    </row>
    <row r="585" customFormat="false" ht="15" hidden="false" customHeight="false" outlineLevel="0" collapsed="false">
      <c r="G585" s="41" t="str">
        <f aca="false">IF(E585="","",IFERROR(IF(ISNUMBER(SEARCH(Assumptions!$C$5,E585)),Assumptions!$D$5,IF(ISNUMBER(SEARCH(Assumptions!$C$6,E585)),Assumptions!$D$6,IF(ISNUMBER(SEARCH(Assumptions!$C$7,E585)),Assumptions!$D$7,"Other Services"))),"Other Services"))</f>
        <v/>
      </c>
    </row>
    <row r="586" customFormat="false" ht="15" hidden="false" customHeight="false" outlineLevel="0" collapsed="false">
      <c r="G586" s="41" t="str">
        <f aca="false">IF(E586="","",IFERROR(IF(ISNUMBER(SEARCH(Assumptions!$C$5,E586)),Assumptions!$D$5,IF(ISNUMBER(SEARCH(Assumptions!$C$6,E586)),Assumptions!$D$6,IF(ISNUMBER(SEARCH(Assumptions!$C$7,E586)),Assumptions!$D$7,"Other Services"))),"Other Services"))</f>
        <v/>
      </c>
    </row>
    <row r="587" customFormat="false" ht="15" hidden="false" customHeight="false" outlineLevel="0" collapsed="false">
      <c r="G587" s="41" t="str">
        <f aca="false">IF(E587="","",IFERROR(IF(ISNUMBER(SEARCH(Assumptions!$C$5,E587)),Assumptions!$D$5,IF(ISNUMBER(SEARCH(Assumptions!$C$6,E587)),Assumptions!$D$6,IF(ISNUMBER(SEARCH(Assumptions!$C$7,E587)),Assumptions!$D$7,"Other Services"))),"Other Services"))</f>
        <v/>
      </c>
    </row>
    <row r="588" customFormat="false" ht="15" hidden="false" customHeight="false" outlineLevel="0" collapsed="false">
      <c r="G588" s="41" t="str">
        <f aca="false">IF(E588="","",IFERROR(IF(ISNUMBER(SEARCH(Assumptions!$C$5,E588)),Assumptions!$D$5,IF(ISNUMBER(SEARCH(Assumptions!$C$6,E588)),Assumptions!$D$6,IF(ISNUMBER(SEARCH(Assumptions!$C$7,E588)),Assumptions!$D$7,"Other Services"))),"Other Services"))</f>
        <v/>
      </c>
    </row>
    <row r="589" customFormat="false" ht="15" hidden="false" customHeight="false" outlineLevel="0" collapsed="false">
      <c r="G589" s="41" t="str">
        <f aca="false">IF(E589="","",IFERROR(IF(ISNUMBER(SEARCH(Assumptions!$C$5,E589)),Assumptions!$D$5,IF(ISNUMBER(SEARCH(Assumptions!$C$6,E589)),Assumptions!$D$6,IF(ISNUMBER(SEARCH(Assumptions!$C$7,E589)),Assumptions!$D$7,"Other Services"))),"Other Services"))</f>
        <v/>
      </c>
    </row>
    <row r="590" customFormat="false" ht="15" hidden="false" customHeight="false" outlineLevel="0" collapsed="false">
      <c r="G590" s="41" t="str">
        <f aca="false">IF(E590="","",IFERROR(IF(ISNUMBER(SEARCH(Assumptions!$C$5,E590)),Assumptions!$D$5,IF(ISNUMBER(SEARCH(Assumptions!$C$6,E590)),Assumptions!$D$6,IF(ISNUMBER(SEARCH(Assumptions!$C$7,E590)),Assumptions!$D$7,"Other Services"))),"Other Services"))</f>
        <v/>
      </c>
    </row>
    <row r="591" customFormat="false" ht="15" hidden="false" customHeight="false" outlineLevel="0" collapsed="false">
      <c r="G591" s="41" t="str">
        <f aca="false">IF(E591="","",IFERROR(IF(ISNUMBER(SEARCH(Assumptions!$C$5,E591)),Assumptions!$D$5,IF(ISNUMBER(SEARCH(Assumptions!$C$6,E591)),Assumptions!$D$6,IF(ISNUMBER(SEARCH(Assumptions!$C$7,E591)),Assumptions!$D$7,"Other Services"))),"Other Services"))</f>
        <v/>
      </c>
    </row>
    <row r="592" customFormat="false" ht="15" hidden="false" customHeight="false" outlineLevel="0" collapsed="false">
      <c r="G592" s="41" t="str">
        <f aca="false">IF(E592="","",IFERROR(IF(ISNUMBER(SEARCH(Assumptions!$C$5,E592)),Assumptions!$D$5,IF(ISNUMBER(SEARCH(Assumptions!$C$6,E592)),Assumptions!$D$6,IF(ISNUMBER(SEARCH(Assumptions!$C$7,E592)),Assumptions!$D$7,"Other Services"))),"Other Services"))</f>
        <v/>
      </c>
    </row>
    <row r="593" customFormat="false" ht="15" hidden="false" customHeight="false" outlineLevel="0" collapsed="false">
      <c r="G593" s="41" t="str">
        <f aca="false">IF(E593="","",IFERROR(IF(ISNUMBER(SEARCH(Assumptions!$C$5,E593)),Assumptions!$D$5,IF(ISNUMBER(SEARCH(Assumptions!$C$6,E593)),Assumptions!$D$6,IF(ISNUMBER(SEARCH(Assumptions!$C$7,E593)),Assumptions!$D$7,"Other Services"))),"Other Services"))</f>
        <v/>
      </c>
    </row>
    <row r="594" customFormat="false" ht="15" hidden="false" customHeight="false" outlineLevel="0" collapsed="false">
      <c r="G594" s="41" t="str">
        <f aca="false">IF(E594="","",IFERROR(IF(ISNUMBER(SEARCH(Assumptions!$C$5,E594)),Assumptions!$D$5,IF(ISNUMBER(SEARCH(Assumptions!$C$6,E594)),Assumptions!$D$6,IF(ISNUMBER(SEARCH(Assumptions!$C$7,E594)),Assumptions!$D$7,"Other Services"))),"Other Services"))</f>
        <v/>
      </c>
    </row>
    <row r="595" customFormat="false" ht="15" hidden="false" customHeight="false" outlineLevel="0" collapsed="false">
      <c r="G595" s="41" t="str">
        <f aca="false">IF(E595="","",IFERROR(IF(ISNUMBER(SEARCH(Assumptions!$C$5,E595)),Assumptions!$D$5,IF(ISNUMBER(SEARCH(Assumptions!$C$6,E595)),Assumptions!$D$6,IF(ISNUMBER(SEARCH(Assumptions!$C$7,E595)),Assumptions!$D$7,"Other Services"))),"Other Services"))</f>
        <v/>
      </c>
    </row>
    <row r="596" customFormat="false" ht="15" hidden="false" customHeight="false" outlineLevel="0" collapsed="false">
      <c r="G596" s="41" t="str">
        <f aca="false">IF(E596="","",IFERROR(IF(ISNUMBER(SEARCH(Assumptions!$C$5,E596)),Assumptions!$D$5,IF(ISNUMBER(SEARCH(Assumptions!$C$6,E596)),Assumptions!$D$6,IF(ISNUMBER(SEARCH(Assumptions!$C$7,E596)),Assumptions!$D$7,"Other Services"))),"Other Services"))</f>
        <v/>
      </c>
    </row>
    <row r="597" customFormat="false" ht="15" hidden="false" customHeight="false" outlineLevel="0" collapsed="false">
      <c r="G597" s="41" t="str">
        <f aca="false">IF(E597="","",IFERROR(IF(ISNUMBER(SEARCH(Assumptions!$C$5,E597)),Assumptions!$D$5,IF(ISNUMBER(SEARCH(Assumptions!$C$6,E597)),Assumptions!$D$6,IF(ISNUMBER(SEARCH(Assumptions!$C$7,E597)),Assumptions!$D$7,"Other Services"))),"Other Services"))</f>
        <v/>
      </c>
    </row>
    <row r="598" customFormat="false" ht="15" hidden="false" customHeight="false" outlineLevel="0" collapsed="false">
      <c r="G598" s="41" t="str">
        <f aca="false">IF(E598="","",IFERROR(IF(ISNUMBER(SEARCH(Assumptions!$C$5,E598)),Assumptions!$D$5,IF(ISNUMBER(SEARCH(Assumptions!$C$6,E598)),Assumptions!$D$6,IF(ISNUMBER(SEARCH(Assumptions!$C$7,E598)),Assumptions!$D$7,"Other Services"))),"Other Services"))</f>
        <v/>
      </c>
    </row>
    <row r="599" customFormat="false" ht="15" hidden="false" customHeight="false" outlineLevel="0" collapsed="false">
      <c r="G599" s="41" t="str">
        <f aca="false">IF(E599="","",IFERROR(IF(ISNUMBER(SEARCH(Assumptions!$C$5,E599)),Assumptions!$D$5,IF(ISNUMBER(SEARCH(Assumptions!$C$6,E599)),Assumptions!$D$6,IF(ISNUMBER(SEARCH(Assumptions!$C$7,E599)),Assumptions!$D$7,"Other Services"))),"Other Services"))</f>
        <v/>
      </c>
    </row>
    <row r="600" customFormat="false" ht="15" hidden="false" customHeight="false" outlineLevel="0" collapsed="false">
      <c r="G600" s="41" t="str">
        <f aca="false">IF(E600="","",IFERROR(IF(ISNUMBER(SEARCH(Assumptions!$C$5,E600)),Assumptions!$D$5,IF(ISNUMBER(SEARCH(Assumptions!$C$6,E600)),Assumptions!$D$6,IF(ISNUMBER(SEARCH(Assumptions!$C$7,E600)),Assumptions!$D$7,"Other Services"))),"Other Services"))</f>
        <v/>
      </c>
    </row>
    <row r="601" customFormat="false" ht="15" hidden="false" customHeight="false" outlineLevel="0" collapsed="false">
      <c r="G601" s="41" t="str">
        <f aca="false">IF(E601="","",IFERROR(IF(ISNUMBER(SEARCH(Assumptions!$C$5,E601)),Assumptions!$D$5,IF(ISNUMBER(SEARCH(Assumptions!$C$6,E601)),Assumptions!$D$6,IF(ISNUMBER(SEARCH(Assumptions!$C$7,E601)),Assumptions!$D$7,"Other Services"))),"Other Services"))</f>
        <v/>
      </c>
    </row>
    <row r="602" customFormat="false" ht="15" hidden="false" customHeight="false" outlineLevel="0" collapsed="false">
      <c r="G602" s="41" t="str">
        <f aca="false">IF(E602="","",IFERROR(IF(ISNUMBER(SEARCH(Assumptions!$C$5,E602)),Assumptions!$D$5,IF(ISNUMBER(SEARCH(Assumptions!$C$6,E602)),Assumptions!$D$6,IF(ISNUMBER(SEARCH(Assumptions!$C$7,E602)),Assumptions!$D$7,"Other Services"))),"Other Services"))</f>
        <v/>
      </c>
    </row>
    <row r="603" customFormat="false" ht="15" hidden="false" customHeight="false" outlineLevel="0" collapsed="false">
      <c r="G603" s="41" t="str">
        <f aca="false">IF(E603="","",IFERROR(IF(ISNUMBER(SEARCH(Assumptions!$C$5,E603)),Assumptions!$D$5,IF(ISNUMBER(SEARCH(Assumptions!$C$6,E603)),Assumptions!$D$6,IF(ISNUMBER(SEARCH(Assumptions!$C$7,E603)),Assumptions!$D$7,"Other Services"))),"Other Services"))</f>
        <v/>
      </c>
    </row>
    <row r="604" customFormat="false" ht="15" hidden="false" customHeight="false" outlineLevel="0" collapsed="false">
      <c r="G604" s="41" t="str">
        <f aca="false">IF(E604="","",IFERROR(IF(ISNUMBER(SEARCH(Assumptions!$C$5,E604)),Assumptions!$D$5,IF(ISNUMBER(SEARCH(Assumptions!$C$6,E604)),Assumptions!$D$6,IF(ISNUMBER(SEARCH(Assumptions!$C$7,E604)),Assumptions!$D$7,"Other Services"))),"Other Services"))</f>
        <v/>
      </c>
    </row>
    <row r="605" customFormat="false" ht="15" hidden="false" customHeight="false" outlineLevel="0" collapsed="false">
      <c r="G605" s="41" t="str">
        <f aca="false">IF(E605="","",IFERROR(IF(ISNUMBER(SEARCH(Assumptions!$C$5,E605)),Assumptions!$D$5,IF(ISNUMBER(SEARCH(Assumptions!$C$6,E605)),Assumptions!$D$6,IF(ISNUMBER(SEARCH(Assumptions!$C$7,E605)),Assumptions!$D$7,"Other Services"))),"Other Services"))</f>
        <v/>
      </c>
    </row>
    <row r="606" customFormat="false" ht="15" hidden="false" customHeight="false" outlineLevel="0" collapsed="false">
      <c r="G606" s="41" t="str">
        <f aca="false">IF(E606="","",IFERROR(IF(ISNUMBER(SEARCH(Assumptions!$C$5,E606)),Assumptions!$D$5,IF(ISNUMBER(SEARCH(Assumptions!$C$6,E606)),Assumptions!$D$6,IF(ISNUMBER(SEARCH(Assumptions!$C$7,E606)),Assumptions!$D$7,"Other Services"))),"Other Services"))</f>
        <v/>
      </c>
    </row>
    <row r="607" customFormat="false" ht="15" hidden="false" customHeight="false" outlineLevel="0" collapsed="false">
      <c r="G607" s="41" t="str">
        <f aca="false">IF(E607="","",IFERROR(IF(ISNUMBER(SEARCH(Assumptions!$C$5,E607)),Assumptions!$D$5,IF(ISNUMBER(SEARCH(Assumptions!$C$6,E607)),Assumptions!$D$6,IF(ISNUMBER(SEARCH(Assumptions!$C$7,E607)),Assumptions!$D$7,"Other Services"))),"Other Services"))</f>
        <v/>
      </c>
    </row>
    <row r="608" customFormat="false" ht="15" hidden="false" customHeight="false" outlineLevel="0" collapsed="false">
      <c r="G608" s="41" t="str">
        <f aca="false">IF(E608="","",IFERROR(IF(ISNUMBER(SEARCH(Assumptions!$C$5,E608)),Assumptions!$D$5,IF(ISNUMBER(SEARCH(Assumptions!$C$6,E608)),Assumptions!$D$6,IF(ISNUMBER(SEARCH(Assumptions!$C$7,E608)),Assumptions!$D$7,"Other Services"))),"Other Services"))</f>
        <v/>
      </c>
    </row>
    <row r="609" customFormat="false" ht="15" hidden="false" customHeight="false" outlineLevel="0" collapsed="false">
      <c r="G609" s="41" t="str">
        <f aca="false">IF(E609="","",IFERROR(IF(ISNUMBER(SEARCH(Assumptions!$C$5,E609)),Assumptions!$D$5,IF(ISNUMBER(SEARCH(Assumptions!$C$6,E609)),Assumptions!$D$6,IF(ISNUMBER(SEARCH(Assumptions!$C$7,E609)),Assumptions!$D$7,"Other Services"))),"Other Services"))</f>
        <v/>
      </c>
    </row>
    <row r="610" customFormat="false" ht="15" hidden="false" customHeight="false" outlineLevel="0" collapsed="false">
      <c r="G610" s="41" t="str">
        <f aca="false">IF(E610="","",IFERROR(IF(ISNUMBER(SEARCH(Assumptions!$C$5,E610)),Assumptions!$D$5,IF(ISNUMBER(SEARCH(Assumptions!$C$6,E610)),Assumptions!$D$6,IF(ISNUMBER(SEARCH(Assumptions!$C$7,E610)),Assumptions!$D$7,"Other Services"))),"Other Services"))</f>
        <v/>
      </c>
    </row>
    <row r="611" customFormat="false" ht="15" hidden="false" customHeight="false" outlineLevel="0" collapsed="false">
      <c r="G611" s="41" t="str">
        <f aca="false">IF(E611="","",IFERROR(IF(ISNUMBER(SEARCH(Assumptions!$C$5,E611)),Assumptions!$D$5,IF(ISNUMBER(SEARCH(Assumptions!$C$6,E611)),Assumptions!$D$6,IF(ISNUMBER(SEARCH(Assumptions!$C$7,E611)),Assumptions!$D$7,"Other Services"))),"Other Services"))</f>
        <v/>
      </c>
    </row>
    <row r="612" customFormat="false" ht="15" hidden="false" customHeight="false" outlineLevel="0" collapsed="false">
      <c r="G612" s="41" t="str">
        <f aca="false">IF(E612="","",IFERROR(IF(ISNUMBER(SEARCH(Assumptions!$C$5,E612)),Assumptions!$D$5,IF(ISNUMBER(SEARCH(Assumptions!$C$6,E612)),Assumptions!$D$6,IF(ISNUMBER(SEARCH(Assumptions!$C$7,E612)),Assumptions!$D$7,"Other Services"))),"Other Services"))</f>
        <v/>
      </c>
    </row>
    <row r="613" customFormat="false" ht="15" hidden="false" customHeight="false" outlineLevel="0" collapsed="false">
      <c r="G613" s="41" t="str">
        <f aca="false">IF(E613="","",IFERROR(IF(ISNUMBER(SEARCH(Assumptions!$C$5,E613)),Assumptions!$D$5,IF(ISNUMBER(SEARCH(Assumptions!$C$6,E613)),Assumptions!$D$6,IF(ISNUMBER(SEARCH(Assumptions!$C$7,E613)),Assumptions!$D$7,"Other Services"))),"Other Services"))</f>
        <v/>
      </c>
    </row>
    <row r="614" customFormat="false" ht="15" hidden="false" customHeight="false" outlineLevel="0" collapsed="false">
      <c r="G614" s="41" t="str">
        <f aca="false">IF(E614="","",IFERROR(IF(ISNUMBER(SEARCH(Assumptions!$C$5,E614)),Assumptions!$D$5,IF(ISNUMBER(SEARCH(Assumptions!$C$6,E614)),Assumptions!$D$6,IF(ISNUMBER(SEARCH(Assumptions!$C$7,E614)),Assumptions!$D$7,"Other Services"))),"Other Services"))</f>
        <v/>
      </c>
    </row>
    <row r="615" customFormat="false" ht="15" hidden="false" customHeight="false" outlineLevel="0" collapsed="false">
      <c r="G615" s="41" t="str">
        <f aca="false">IF(E615="","",IFERROR(IF(ISNUMBER(SEARCH(Assumptions!$C$5,E615)),Assumptions!$D$5,IF(ISNUMBER(SEARCH(Assumptions!$C$6,E615)),Assumptions!$D$6,IF(ISNUMBER(SEARCH(Assumptions!$C$7,E615)),Assumptions!$D$7,"Other Services"))),"Other Services"))</f>
        <v/>
      </c>
    </row>
    <row r="616" customFormat="false" ht="15" hidden="false" customHeight="false" outlineLevel="0" collapsed="false">
      <c r="G616" s="41" t="str">
        <f aca="false">IF(E616="","",IFERROR(IF(ISNUMBER(SEARCH(Assumptions!$C$5,E616)),Assumptions!$D$5,IF(ISNUMBER(SEARCH(Assumptions!$C$6,E616)),Assumptions!$D$6,IF(ISNUMBER(SEARCH(Assumptions!$C$7,E616)),Assumptions!$D$7,"Other Services"))),"Other Services"))</f>
        <v/>
      </c>
    </row>
    <row r="617" customFormat="false" ht="15" hidden="false" customHeight="false" outlineLevel="0" collapsed="false">
      <c r="G617" s="41" t="str">
        <f aca="false">IF(E617="","",IFERROR(IF(ISNUMBER(SEARCH(Assumptions!$C$5,E617)),Assumptions!$D$5,IF(ISNUMBER(SEARCH(Assumptions!$C$6,E617)),Assumptions!$D$6,IF(ISNUMBER(SEARCH(Assumptions!$C$7,E617)),Assumptions!$D$7,"Other Services"))),"Other Services"))</f>
        <v/>
      </c>
    </row>
    <row r="618" customFormat="false" ht="15" hidden="false" customHeight="false" outlineLevel="0" collapsed="false">
      <c r="G618" s="41" t="str">
        <f aca="false">IF(E618="","",IFERROR(IF(ISNUMBER(SEARCH(Assumptions!$C$5,E618)),Assumptions!$D$5,IF(ISNUMBER(SEARCH(Assumptions!$C$6,E618)),Assumptions!$D$6,IF(ISNUMBER(SEARCH(Assumptions!$C$7,E618)),Assumptions!$D$7,"Other Services"))),"Other Services"))</f>
        <v/>
      </c>
    </row>
    <row r="619" customFormat="false" ht="15" hidden="false" customHeight="false" outlineLevel="0" collapsed="false">
      <c r="G619" s="41" t="str">
        <f aca="false">IF(E619="","",IFERROR(IF(ISNUMBER(SEARCH(Assumptions!$C$5,E619)),Assumptions!$D$5,IF(ISNUMBER(SEARCH(Assumptions!$C$6,E619)),Assumptions!$D$6,IF(ISNUMBER(SEARCH(Assumptions!$C$7,E619)),Assumptions!$D$7,"Other Services"))),"Other Services"))</f>
        <v/>
      </c>
    </row>
    <row r="620" customFormat="false" ht="15" hidden="false" customHeight="false" outlineLevel="0" collapsed="false">
      <c r="G620" s="41" t="str">
        <f aca="false">IF(E620="","",IFERROR(IF(ISNUMBER(SEARCH(Assumptions!$C$5,E620)),Assumptions!$D$5,IF(ISNUMBER(SEARCH(Assumptions!$C$6,E620)),Assumptions!$D$6,IF(ISNUMBER(SEARCH(Assumptions!$C$7,E620)),Assumptions!$D$7,"Other Services"))),"Other Services"))</f>
        <v/>
      </c>
    </row>
    <row r="621" customFormat="false" ht="15" hidden="false" customHeight="false" outlineLevel="0" collapsed="false">
      <c r="G621" s="41" t="str">
        <f aca="false">IF(E621="","",IFERROR(IF(ISNUMBER(SEARCH(Assumptions!$C$5,E621)),Assumptions!$D$5,IF(ISNUMBER(SEARCH(Assumptions!$C$6,E621)),Assumptions!$D$6,IF(ISNUMBER(SEARCH(Assumptions!$C$7,E621)),Assumptions!$D$7,"Other Services"))),"Other Services"))</f>
        <v/>
      </c>
    </row>
    <row r="622" customFormat="false" ht="15" hidden="false" customHeight="false" outlineLevel="0" collapsed="false">
      <c r="G622" s="41" t="str">
        <f aca="false">IF(E622="","",IFERROR(IF(ISNUMBER(SEARCH(Assumptions!$C$5,E622)),Assumptions!$D$5,IF(ISNUMBER(SEARCH(Assumptions!$C$6,E622)),Assumptions!$D$6,IF(ISNUMBER(SEARCH(Assumptions!$C$7,E622)),Assumptions!$D$7,"Other Services"))),"Other Services"))</f>
        <v/>
      </c>
    </row>
    <row r="623" customFormat="false" ht="15" hidden="false" customHeight="false" outlineLevel="0" collapsed="false">
      <c r="G623" s="41" t="str">
        <f aca="false">IF(E623="","",IFERROR(IF(ISNUMBER(SEARCH(Assumptions!$C$5,E623)),Assumptions!$D$5,IF(ISNUMBER(SEARCH(Assumptions!$C$6,E623)),Assumptions!$D$6,IF(ISNUMBER(SEARCH(Assumptions!$C$7,E623)),Assumptions!$D$7,"Other Services"))),"Other Services"))</f>
        <v/>
      </c>
    </row>
    <row r="624" customFormat="false" ht="15" hidden="false" customHeight="false" outlineLevel="0" collapsed="false">
      <c r="G624" s="41" t="str">
        <f aca="false">IF(E624="","",IFERROR(IF(ISNUMBER(SEARCH(Assumptions!$C$5,E624)),Assumptions!$D$5,IF(ISNUMBER(SEARCH(Assumptions!$C$6,E624)),Assumptions!$D$6,IF(ISNUMBER(SEARCH(Assumptions!$C$7,E624)),Assumptions!$D$7,"Other Services"))),"Other Services"))</f>
        <v/>
      </c>
    </row>
    <row r="625" customFormat="false" ht="15" hidden="false" customHeight="false" outlineLevel="0" collapsed="false">
      <c r="G625" s="41" t="str">
        <f aca="false">IF(E625="","",IFERROR(IF(ISNUMBER(SEARCH(Assumptions!$C$5,E625)),Assumptions!$D$5,IF(ISNUMBER(SEARCH(Assumptions!$C$6,E625)),Assumptions!$D$6,IF(ISNUMBER(SEARCH(Assumptions!$C$7,E625)),Assumptions!$D$7,"Other Services"))),"Other Services"))</f>
        <v/>
      </c>
    </row>
    <row r="626" customFormat="false" ht="15" hidden="false" customHeight="false" outlineLevel="0" collapsed="false">
      <c r="G626" s="41" t="str">
        <f aca="false">IF(E626="","",IFERROR(IF(ISNUMBER(SEARCH(Assumptions!$C$5,E626)),Assumptions!$D$5,IF(ISNUMBER(SEARCH(Assumptions!$C$6,E626)),Assumptions!$D$6,IF(ISNUMBER(SEARCH(Assumptions!$C$7,E626)),Assumptions!$D$7,"Other Services"))),"Other Services"))</f>
        <v/>
      </c>
    </row>
    <row r="627" customFormat="false" ht="15" hidden="false" customHeight="false" outlineLevel="0" collapsed="false">
      <c r="G627" s="41" t="str">
        <f aca="false">IF(E627="","",IFERROR(IF(ISNUMBER(SEARCH(Assumptions!$C$5,E627)),Assumptions!$D$5,IF(ISNUMBER(SEARCH(Assumptions!$C$6,E627)),Assumptions!$D$6,IF(ISNUMBER(SEARCH(Assumptions!$C$7,E627)),Assumptions!$D$7,"Other Services"))),"Other Services"))</f>
        <v/>
      </c>
    </row>
    <row r="628" customFormat="false" ht="15" hidden="false" customHeight="false" outlineLevel="0" collapsed="false">
      <c r="G628" s="41" t="str">
        <f aca="false">IF(E628="","",IFERROR(IF(ISNUMBER(SEARCH(Assumptions!$C$5,E628)),Assumptions!$D$5,IF(ISNUMBER(SEARCH(Assumptions!$C$6,E628)),Assumptions!$D$6,IF(ISNUMBER(SEARCH(Assumptions!$C$7,E628)),Assumptions!$D$7,"Other Services"))),"Other Services"))</f>
        <v/>
      </c>
    </row>
    <row r="629" customFormat="false" ht="15" hidden="false" customHeight="false" outlineLevel="0" collapsed="false">
      <c r="G629" s="41" t="str">
        <f aca="false">IF(E629="","",IFERROR(IF(ISNUMBER(SEARCH(Assumptions!$C$5,E629)),Assumptions!$D$5,IF(ISNUMBER(SEARCH(Assumptions!$C$6,E629)),Assumptions!$D$6,IF(ISNUMBER(SEARCH(Assumptions!$C$7,E629)),Assumptions!$D$7,"Other Services"))),"Other Services"))</f>
        <v/>
      </c>
    </row>
    <row r="630" customFormat="false" ht="15" hidden="false" customHeight="false" outlineLevel="0" collapsed="false">
      <c r="G630" s="41" t="str">
        <f aca="false">IF(E630="","",IFERROR(IF(ISNUMBER(SEARCH(Assumptions!$C$5,E630)),Assumptions!$D$5,IF(ISNUMBER(SEARCH(Assumptions!$C$6,E630)),Assumptions!$D$6,IF(ISNUMBER(SEARCH(Assumptions!$C$7,E630)),Assumptions!$D$7,"Other Services"))),"Other Services"))</f>
        <v/>
      </c>
    </row>
    <row r="631" customFormat="false" ht="15" hidden="false" customHeight="false" outlineLevel="0" collapsed="false">
      <c r="G631" s="41" t="str">
        <f aca="false">IF(E631="","",IFERROR(IF(ISNUMBER(SEARCH(Assumptions!$C$5,E631)),Assumptions!$D$5,IF(ISNUMBER(SEARCH(Assumptions!$C$6,E631)),Assumptions!$D$6,IF(ISNUMBER(SEARCH(Assumptions!$C$7,E631)),Assumptions!$D$7,"Other Services"))),"Other Services"))</f>
        <v/>
      </c>
    </row>
    <row r="632" customFormat="false" ht="15" hidden="false" customHeight="false" outlineLevel="0" collapsed="false">
      <c r="G632" s="41" t="str">
        <f aca="false">IF(E632="","",IFERROR(IF(ISNUMBER(SEARCH(Assumptions!$C$5,E632)),Assumptions!$D$5,IF(ISNUMBER(SEARCH(Assumptions!$C$6,E632)),Assumptions!$D$6,IF(ISNUMBER(SEARCH(Assumptions!$C$7,E632)),Assumptions!$D$7,"Other Services"))),"Other Services"))</f>
        <v/>
      </c>
    </row>
    <row r="633" customFormat="false" ht="15" hidden="false" customHeight="false" outlineLevel="0" collapsed="false">
      <c r="G633" s="41" t="str">
        <f aca="false">IF(E633="","",IFERROR(IF(ISNUMBER(SEARCH(Assumptions!$C$5,E633)),Assumptions!$D$5,IF(ISNUMBER(SEARCH(Assumptions!$C$6,E633)),Assumptions!$D$6,IF(ISNUMBER(SEARCH(Assumptions!$C$7,E633)),Assumptions!$D$7,"Other Services"))),"Other Services"))</f>
        <v/>
      </c>
    </row>
    <row r="634" customFormat="false" ht="15" hidden="false" customHeight="false" outlineLevel="0" collapsed="false">
      <c r="G634" s="41" t="str">
        <f aca="false">IF(E634="","",IFERROR(IF(ISNUMBER(SEARCH(Assumptions!$C$5,E634)),Assumptions!$D$5,IF(ISNUMBER(SEARCH(Assumptions!$C$6,E634)),Assumptions!$D$6,IF(ISNUMBER(SEARCH(Assumptions!$C$7,E634)),Assumptions!$D$7,"Other Services"))),"Other Services"))</f>
        <v/>
      </c>
    </row>
    <row r="635" customFormat="false" ht="15" hidden="false" customHeight="false" outlineLevel="0" collapsed="false">
      <c r="G635" s="41" t="str">
        <f aca="false">IF(E635="","",IFERROR(IF(ISNUMBER(SEARCH(Assumptions!$C$5,E635)),Assumptions!$D$5,IF(ISNUMBER(SEARCH(Assumptions!$C$6,E635)),Assumptions!$D$6,IF(ISNUMBER(SEARCH(Assumptions!$C$7,E635)),Assumptions!$D$7,"Other Services"))),"Other Services"))</f>
        <v/>
      </c>
    </row>
    <row r="636" customFormat="false" ht="15" hidden="false" customHeight="false" outlineLevel="0" collapsed="false">
      <c r="G636" s="41" t="str">
        <f aca="false">IF(E636="","",IFERROR(IF(ISNUMBER(SEARCH(Assumptions!$C$5,E636)),Assumptions!$D$5,IF(ISNUMBER(SEARCH(Assumptions!$C$6,E636)),Assumptions!$D$6,IF(ISNUMBER(SEARCH(Assumptions!$C$7,E636)),Assumptions!$D$7,"Other Services"))),"Other Services"))</f>
        <v/>
      </c>
    </row>
    <row r="637" customFormat="false" ht="15" hidden="false" customHeight="false" outlineLevel="0" collapsed="false">
      <c r="G637" s="41" t="str">
        <f aca="false">IF(E637="","",IFERROR(IF(ISNUMBER(SEARCH(Assumptions!$C$5,E637)),Assumptions!$D$5,IF(ISNUMBER(SEARCH(Assumptions!$C$6,E637)),Assumptions!$D$6,IF(ISNUMBER(SEARCH(Assumptions!$C$7,E637)),Assumptions!$D$7,"Other Services"))),"Other Services"))</f>
        <v/>
      </c>
    </row>
    <row r="638" customFormat="false" ht="15" hidden="false" customHeight="false" outlineLevel="0" collapsed="false">
      <c r="G638" s="41" t="str">
        <f aca="false">IF(E638="","",IFERROR(IF(ISNUMBER(SEARCH(Assumptions!$C$5,E638)),Assumptions!$D$5,IF(ISNUMBER(SEARCH(Assumptions!$C$6,E638)),Assumptions!$D$6,IF(ISNUMBER(SEARCH(Assumptions!$C$7,E638)),Assumptions!$D$7,"Other Services"))),"Other Services"))</f>
        <v/>
      </c>
    </row>
    <row r="639" customFormat="false" ht="15" hidden="false" customHeight="false" outlineLevel="0" collapsed="false">
      <c r="G639" s="41" t="str">
        <f aca="false">IF(E639="","",IFERROR(IF(ISNUMBER(SEARCH(Assumptions!$C$5,E639)),Assumptions!$D$5,IF(ISNUMBER(SEARCH(Assumptions!$C$6,E639)),Assumptions!$D$6,IF(ISNUMBER(SEARCH(Assumptions!$C$7,E639)),Assumptions!$D$7,"Other Services"))),"Other Services"))</f>
        <v/>
      </c>
    </row>
    <row r="640" customFormat="false" ht="15" hidden="false" customHeight="false" outlineLevel="0" collapsed="false">
      <c r="G640" s="41" t="str">
        <f aca="false">IF(E640="","",IFERROR(IF(ISNUMBER(SEARCH(Assumptions!$C$5,E640)),Assumptions!$D$5,IF(ISNUMBER(SEARCH(Assumptions!$C$6,E640)),Assumptions!$D$6,IF(ISNUMBER(SEARCH(Assumptions!$C$7,E640)),Assumptions!$D$7,"Other Services"))),"Other Services"))</f>
        <v/>
      </c>
    </row>
    <row r="641" customFormat="false" ht="15" hidden="false" customHeight="false" outlineLevel="0" collapsed="false">
      <c r="G641" s="41" t="str">
        <f aca="false">IF(E641="","",IFERROR(IF(ISNUMBER(SEARCH(Assumptions!$C$5,E641)),Assumptions!$D$5,IF(ISNUMBER(SEARCH(Assumptions!$C$6,E641)),Assumptions!$D$6,IF(ISNUMBER(SEARCH(Assumptions!$C$7,E641)),Assumptions!$D$7,"Other Services"))),"Other Services"))</f>
        <v/>
      </c>
    </row>
    <row r="642" customFormat="false" ht="15" hidden="false" customHeight="false" outlineLevel="0" collapsed="false">
      <c r="G642" s="41" t="str">
        <f aca="false">IF(E642="","",IFERROR(IF(ISNUMBER(SEARCH(Assumptions!$C$5,E642)),Assumptions!$D$5,IF(ISNUMBER(SEARCH(Assumptions!$C$6,E642)),Assumptions!$D$6,IF(ISNUMBER(SEARCH(Assumptions!$C$7,E642)),Assumptions!$D$7,"Other Services"))),"Other Services"))</f>
        <v/>
      </c>
    </row>
    <row r="643" customFormat="false" ht="15" hidden="false" customHeight="false" outlineLevel="0" collapsed="false">
      <c r="G643" s="41" t="str">
        <f aca="false">IF(E643="","",IFERROR(IF(ISNUMBER(SEARCH(Assumptions!$C$5,E643)),Assumptions!$D$5,IF(ISNUMBER(SEARCH(Assumptions!$C$6,E643)),Assumptions!$D$6,IF(ISNUMBER(SEARCH(Assumptions!$C$7,E643)),Assumptions!$D$7,"Other Services"))),"Other Services"))</f>
        <v/>
      </c>
    </row>
    <row r="644" customFormat="false" ht="15" hidden="false" customHeight="false" outlineLevel="0" collapsed="false">
      <c r="G644" s="41" t="str">
        <f aca="false">IF(E644="","",IFERROR(IF(ISNUMBER(SEARCH(Assumptions!$C$5,E644)),Assumptions!$D$5,IF(ISNUMBER(SEARCH(Assumptions!$C$6,E644)),Assumptions!$D$6,IF(ISNUMBER(SEARCH(Assumptions!$C$7,E644)),Assumptions!$D$7,"Other Services"))),"Other Services"))</f>
        <v/>
      </c>
    </row>
    <row r="645" customFormat="false" ht="15" hidden="false" customHeight="false" outlineLevel="0" collapsed="false">
      <c r="G645" s="41" t="str">
        <f aca="false">IF(E645="","",IFERROR(IF(ISNUMBER(SEARCH(Assumptions!$C$5,E645)),Assumptions!$D$5,IF(ISNUMBER(SEARCH(Assumptions!$C$6,E645)),Assumptions!$D$6,IF(ISNUMBER(SEARCH(Assumptions!$C$7,E645)),Assumptions!$D$7,"Other Services"))),"Other Services"))</f>
        <v/>
      </c>
    </row>
    <row r="646" customFormat="false" ht="15" hidden="false" customHeight="false" outlineLevel="0" collapsed="false">
      <c r="G646" s="41" t="str">
        <f aca="false">IF(E646="","",IFERROR(IF(ISNUMBER(SEARCH(Assumptions!$C$5,E646)),Assumptions!$D$5,IF(ISNUMBER(SEARCH(Assumptions!$C$6,E646)),Assumptions!$D$6,IF(ISNUMBER(SEARCH(Assumptions!$C$7,E646)),Assumptions!$D$7,"Other Services"))),"Other Services"))</f>
        <v/>
      </c>
    </row>
    <row r="647" customFormat="false" ht="15" hidden="false" customHeight="false" outlineLevel="0" collapsed="false">
      <c r="G647" s="41" t="str">
        <f aca="false">IF(E647="","",IFERROR(IF(ISNUMBER(SEARCH(Assumptions!$C$5,E647)),Assumptions!$D$5,IF(ISNUMBER(SEARCH(Assumptions!$C$6,E647)),Assumptions!$D$6,IF(ISNUMBER(SEARCH(Assumptions!$C$7,E647)),Assumptions!$D$7,"Other Services"))),"Other Services"))</f>
        <v/>
      </c>
    </row>
    <row r="648" customFormat="false" ht="15" hidden="false" customHeight="false" outlineLevel="0" collapsed="false">
      <c r="G648" s="41" t="str">
        <f aca="false">IF(E648="","",IFERROR(IF(ISNUMBER(SEARCH(Assumptions!$C$5,E648)),Assumptions!$D$5,IF(ISNUMBER(SEARCH(Assumptions!$C$6,E648)),Assumptions!$D$6,IF(ISNUMBER(SEARCH(Assumptions!$C$7,E648)),Assumptions!$D$7,"Other Services"))),"Other Services"))</f>
        <v/>
      </c>
    </row>
    <row r="649" customFormat="false" ht="15" hidden="false" customHeight="false" outlineLevel="0" collapsed="false">
      <c r="G649" s="41" t="str">
        <f aca="false">IF(E649="","",IFERROR(IF(ISNUMBER(SEARCH(Assumptions!$C$5,E649)),Assumptions!$D$5,IF(ISNUMBER(SEARCH(Assumptions!$C$6,E649)),Assumptions!$D$6,IF(ISNUMBER(SEARCH(Assumptions!$C$7,E649)),Assumptions!$D$7,"Other Services"))),"Other Services"))</f>
        <v/>
      </c>
    </row>
    <row r="650" customFormat="false" ht="15" hidden="false" customHeight="false" outlineLevel="0" collapsed="false">
      <c r="G650" s="41" t="str">
        <f aca="false">IF(E650="","",IFERROR(IF(ISNUMBER(SEARCH(Assumptions!$C$5,E650)),Assumptions!$D$5,IF(ISNUMBER(SEARCH(Assumptions!$C$6,E650)),Assumptions!$D$6,IF(ISNUMBER(SEARCH(Assumptions!$C$7,E650)),Assumptions!$D$7,"Other Services"))),"Other Services"))</f>
        <v/>
      </c>
    </row>
    <row r="651" customFormat="false" ht="15" hidden="false" customHeight="false" outlineLevel="0" collapsed="false">
      <c r="G651" s="41" t="str">
        <f aca="false">IF(E651="","",IFERROR(IF(ISNUMBER(SEARCH(Assumptions!$C$5,E651)),Assumptions!$D$5,IF(ISNUMBER(SEARCH(Assumptions!$C$6,E651)),Assumptions!$D$6,IF(ISNUMBER(SEARCH(Assumptions!$C$7,E651)),Assumptions!$D$7,"Other Services"))),"Other Services"))</f>
        <v/>
      </c>
    </row>
    <row r="652" customFormat="false" ht="15" hidden="false" customHeight="false" outlineLevel="0" collapsed="false">
      <c r="G652" s="41" t="str">
        <f aca="false">IF(E652="","",IFERROR(IF(ISNUMBER(SEARCH(Assumptions!$C$5,E652)),Assumptions!$D$5,IF(ISNUMBER(SEARCH(Assumptions!$C$6,E652)),Assumptions!$D$6,IF(ISNUMBER(SEARCH(Assumptions!$C$7,E652)),Assumptions!$D$7,"Other Services"))),"Other Services"))</f>
        <v/>
      </c>
    </row>
    <row r="653" customFormat="false" ht="15" hidden="false" customHeight="false" outlineLevel="0" collapsed="false">
      <c r="G653" s="41" t="str">
        <f aca="false">IF(E653="","",IFERROR(IF(ISNUMBER(SEARCH(Assumptions!$C$5,E653)),Assumptions!$D$5,IF(ISNUMBER(SEARCH(Assumptions!$C$6,E653)),Assumptions!$D$6,IF(ISNUMBER(SEARCH(Assumptions!$C$7,E653)),Assumptions!$D$7,"Other Services"))),"Other Services"))</f>
        <v/>
      </c>
    </row>
    <row r="654" customFormat="false" ht="15" hidden="false" customHeight="false" outlineLevel="0" collapsed="false">
      <c r="G654" s="41" t="str">
        <f aca="false">IF(E654="","",IFERROR(IF(ISNUMBER(SEARCH(Assumptions!$C$5,E654)),Assumptions!$D$5,IF(ISNUMBER(SEARCH(Assumptions!$C$6,E654)),Assumptions!$D$6,IF(ISNUMBER(SEARCH(Assumptions!$C$7,E654)),Assumptions!$D$7,"Other Services"))),"Other Services"))</f>
        <v/>
      </c>
    </row>
    <row r="655" customFormat="false" ht="15" hidden="false" customHeight="false" outlineLevel="0" collapsed="false">
      <c r="G655" s="41" t="str">
        <f aca="false">IF(E655="","",IFERROR(IF(ISNUMBER(SEARCH(Assumptions!$C$5,E655)),Assumptions!$D$5,IF(ISNUMBER(SEARCH(Assumptions!$C$6,E655)),Assumptions!$D$6,IF(ISNUMBER(SEARCH(Assumptions!$C$7,E655)),Assumptions!$D$7,"Other Services"))),"Other Services"))</f>
        <v/>
      </c>
    </row>
    <row r="656" customFormat="false" ht="15" hidden="false" customHeight="false" outlineLevel="0" collapsed="false">
      <c r="G656" s="41" t="str">
        <f aca="false">IF(E656="","",IFERROR(IF(ISNUMBER(SEARCH(Assumptions!$C$5,E656)),Assumptions!$D$5,IF(ISNUMBER(SEARCH(Assumptions!$C$6,E656)),Assumptions!$D$6,IF(ISNUMBER(SEARCH(Assumptions!$C$7,E656)),Assumptions!$D$7,"Other Services"))),"Other Services"))</f>
        <v/>
      </c>
    </row>
    <row r="657" customFormat="false" ht="15" hidden="false" customHeight="false" outlineLevel="0" collapsed="false">
      <c r="G657" s="41" t="str">
        <f aca="false">IF(E657="","",IFERROR(IF(ISNUMBER(SEARCH(Assumptions!$C$5,E657)),Assumptions!$D$5,IF(ISNUMBER(SEARCH(Assumptions!$C$6,E657)),Assumptions!$D$6,IF(ISNUMBER(SEARCH(Assumptions!$C$7,E657)),Assumptions!$D$7,"Other Services"))),"Other Services"))</f>
        <v/>
      </c>
    </row>
    <row r="658" customFormat="false" ht="15" hidden="false" customHeight="false" outlineLevel="0" collapsed="false">
      <c r="G658" s="41" t="str">
        <f aca="false">IF(E658="","",IFERROR(IF(ISNUMBER(SEARCH(Assumptions!$C$5,E658)),Assumptions!$D$5,IF(ISNUMBER(SEARCH(Assumptions!$C$6,E658)),Assumptions!$D$6,IF(ISNUMBER(SEARCH(Assumptions!$C$7,E658)),Assumptions!$D$7,"Other Services"))),"Other Services"))</f>
        <v/>
      </c>
    </row>
    <row r="659" customFormat="false" ht="15" hidden="false" customHeight="false" outlineLevel="0" collapsed="false">
      <c r="G659" s="41" t="str">
        <f aca="false">IF(E659="","",IFERROR(IF(ISNUMBER(SEARCH(Assumptions!$C$5,E659)),Assumptions!$D$5,IF(ISNUMBER(SEARCH(Assumptions!$C$6,E659)),Assumptions!$D$6,IF(ISNUMBER(SEARCH(Assumptions!$C$7,E659)),Assumptions!$D$7,"Other Services"))),"Other Services"))</f>
        <v/>
      </c>
    </row>
    <row r="660" customFormat="false" ht="15" hidden="false" customHeight="false" outlineLevel="0" collapsed="false">
      <c r="G660" s="41" t="str">
        <f aca="false">IF(E660="","",IFERROR(IF(ISNUMBER(SEARCH(Assumptions!$C$5,E660)),Assumptions!$D$5,IF(ISNUMBER(SEARCH(Assumptions!$C$6,E660)),Assumptions!$D$6,IF(ISNUMBER(SEARCH(Assumptions!$C$7,E660)),Assumptions!$D$7,"Other Services"))),"Other Services"))</f>
        <v/>
      </c>
    </row>
    <row r="661" customFormat="false" ht="15" hidden="false" customHeight="false" outlineLevel="0" collapsed="false">
      <c r="G661" s="41" t="str">
        <f aca="false">IF(E661="","",IFERROR(IF(ISNUMBER(SEARCH(Assumptions!$C$5,E661)),Assumptions!$D$5,IF(ISNUMBER(SEARCH(Assumptions!$C$6,E661)),Assumptions!$D$6,IF(ISNUMBER(SEARCH(Assumptions!$C$7,E661)),Assumptions!$D$7,"Other Services"))),"Other Services"))</f>
        <v/>
      </c>
    </row>
    <row r="662" customFormat="false" ht="15" hidden="false" customHeight="false" outlineLevel="0" collapsed="false">
      <c r="G662" s="41" t="str">
        <f aca="false">IF(E662="","",IFERROR(IF(ISNUMBER(SEARCH(Assumptions!$C$5,E662)),Assumptions!$D$5,IF(ISNUMBER(SEARCH(Assumptions!$C$6,E662)),Assumptions!$D$6,IF(ISNUMBER(SEARCH(Assumptions!$C$7,E662)),Assumptions!$D$7,"Other Services"))),"Other Services"))</f>
        <v/>
      </c>
    </row>
    <row r="663" customFormat="false" ht="15" hidden="false" customHeight="false" outlineLevel="0" collapsed="false">
      <c r="G663" s="41" t="str">
        <f aca="false">IF(E663="","",IFERROR(IF(ISNUMBER(SEARCH(Assumptions!$C$5,E663)),Assumptions!$D$5,IF(ISNUMBER(SEARCH(Assumptions!$C$6,E663)),Assumptions!$D$6,IF(ISNUMBER(SEARCH(Assumptions!$C$7,E663)),Assumptions!$D$7,"Other Services"))),"Other Services"))</f>
        <v/>
      </c>
    </row>
    <row r="664" customFormat="false" ht="15" hidden="false" customHeight="false" outlineLevel="0" collapsed="false">
      <c r="G664" s="41" t="str">
        <f aca="false">IF(E664="","",IFERROR(IF(ISNUMBER(SEARCH(Assumptions!$C$5,E664)),Assumptions!$D$5,IF(ISNUMBER(SEARCH(Assumptions!$C$6,E664)),Assumptions!$D$6,IF(ISNUMBER(SEARCH(Assumptions!$C$7,E664)),Assumptions!$D$7,"Other Services"))),"Other Services"))</f>
        <v/>
      </c>
    </row>
    <row r="665" customFormat="false" ht="15" hidden="false" customHeight="false" outlineLevel="0" collapsed="false">
      <c r="G665" s="41" t="str">
        <f aca="false">IF(E665="","",IFERROR(IF(ISNUMBER(SEARCH(Assumptions!$C$5,E665)),Assumptions!$D$5,IF(ISNUMBER(SEARCH(Assumptions!$C$6,E665)),Assumptions!$D$6,IF(ISNUMBER(SEARCH(Assumptions!$C$7,E665)),Assumptions!$D$7,"Other Services"))),"Other Services"))</f>
        <v/>
      </c>
    </row>
    <row r="666" customFormat="false" ht="15" hidden="false" customHeight="false" outlineLevel="0" collapsed="false">
      <c r="G666" s="41" t="str">
        <f aca="false">IF(E666="","",IFERROR(IF(ISNUMBER(SEARCH(Assumptions!$C$5,E666)),Assumptions!$D$5,IF(ISNUMBER(SEARCH(Assumptions!$C$6,E666)),Assumptions!$D$6,IF(ISNUMBER(SEARCH(Assumptions!$C$7,E666)),Assumptions!$D$7,"Other Services"))),"Other Services"))</f>
        <v/>
      </c>
    </row>
    <row r="667" customFormat="false" ht="15" hidden="false" customHeight="false" outlineLevel="0" collapsed="false">
      <c r="G667" s="41" t="str">
        <f aca="false">IF(E667="","",IFERROR(IF(ISNUMBER(SEARCH(Assumptions!$C$5,E667)),Assumptions!$D$5,IF(ISNUMBER(SEARCH(Assumptions!$C$6,E667)),Assumptions!$D$6,IF(ISNUMBER(SEARCH(Assumptions!$C$7,E667)),Assumptions!$D$7,"Other Services"))),"Other Services"))</f>
        <v/>
      </c>
    </row>
    <row r="668" customFormat="false" ht="15" hidden="false" customHeight="false" outlineLevel="0" collapsed="false">
      <c r="G668" s="41" t="str">
        <f aca="false">IF(E668="","",IFERROR(IF(ISNUMBER(SEARCH(Assumptions!$C$5,E668)),Assumptions!$D$5,IF(ISNUMBER(SEARCH(Assumptions!$C$6,E668)),Assumptions!$D$6,IF(ISNUMBER(SEARCH(Assumptions!$C$7,E668)),Assumptions!$D$7,"Other Services"))),"Other Services"))</f>
        <v/>
      </c>
    </row>
    <row r="669" customFormat="false" ht="15" hidden="false" customHeight="false" outlineLevel="0" collapsed="false">
      <c r="G669" s="41" t="str">
        <f aca="false">IF(E669="","",IFERROR(IF(ISNUMBER(SEARCH(Assumptions!$C$5,E669)),Assumptions!$D$5,IF(ISNUMBER(SEARCH(Assumptions!$C$6,E669)),Assumptions!$D$6,IF(ISNUMBER(SEARCH(Assumptions!$C$7,E669)),Assumptions!$D$7,"Other Services"))),"Other Services"))</f>
        <v/>
      </c>
    </row>
    <row r="670" customFormat="false" ht="15" hidden="false" customHeight="false" outlineLevel="0" collapsed="false">
      <c r="G670" s="41" t="str">
        <f aca="false">IF(E670="","",IFERROR(IF(ISNUMBER(SEARCH(Assumptions!$C$5,E670)),Assumptions!$D$5,IF(ISNUMBER(SEARCH(Assumptions!$C$6,E670)),Assumptions!$D$6,IF(ISNUMBER(SEARCH(Assumptions!$C$7,E670)),Assumptions!$D$7,"Other Services"))),"Other Services"))</f>
        <v/>
      </c>
    </row>
    <row r="671" customFormat="false" ht="15" hidden="false" customHeight="false" outlineLevel="0" collapsed="false">
      <c r="G671" s="41" t="str">
        <f aca="false">IF(E671="","",IFERROR(IF(ISNUMBER(SEARCH(Assumptions!$C$5,E671)),Assumptions!$D$5,IF(ISNUMBER(SEARCH(Assumptions!$C$6,E671)),Assumptions!$D$6,IF(ISNUMBER(SEARCH(Assumptions!$C$7,E671)),Assumptions!$D$7,"Other Services"))),"Other Services"))</f>
        <v/>
      </c>
    </row>
    <row r="672" customFormat="false" ht="15" hidden="false" customHeight="false" outlineLevel="0" collapsed="false">
      <c r="G672" s="41" t="str">
        <f aca="false">IF(E672="","",IFERROR(IF(ISNUMBER(SEARCH(Assumptions!$C$5,E672)),Assumptions!$D$5,IF(ISNUMBER(SEARCH(Assumptions!$C$6,E672)),Assumptions!$D$6,IF(ISNUMBER(SEARCH(Assumptions!$C$7,E672)),Assumptions!$D$7,"Other Services"))),"Other Services"))</f>
        <v/>
      </c>
    </row>
    <row r="673" customFormat="false" ht="15" hidden="false" customHeight="false" outlineLevel="0" collapsed="false">
      <c r="G673" s="41" t="str">
        <f aca="false">IF(E673="","",IFERROR(IF(ISNUMBER(SEARCH(Assumptions!$C$5,E673)),Assumptions!$D$5,IF(ISNUMBER(SEARCH(Assumptions!$C$6,E673)),Assumptions!$D$6,IF(ISNUMBER(SEARCH(Assumptions!$C$7,E673)),Assumptions!$D$7,"Other Services"))),"Other Services"))</f>
        <v/>
      </c>
    </row>
    <row r="674" customFormat="false" ht="15" hidden="false" customHeight="false" outlineLevel="0" collapsed="false">
      <c r="G674" s="41" t="str">
        <f aca="false">IF(E674="","",IFERROR(IF(ISNUMBER(SEARCH(Assumptions!$C$5,E674)),Assumptions!$D$5,IF(ISNUMBER(SEARCH(Assumptions!$C$6,E674)),Assumptions!$D$6,IF(ISNUMBER(SEARCH(Assumptions!$C$7,E674)),Assumptions!$D$7,"Other Services"))),"Other Services"))</f>
        <v/>
      </c>
    </row>
    <row r="675" customFormat="false" ht="15" hidden="false" customHeight="false" outlineLevel="0" collapsed="false">
      <c r="G675" s="41" t="str">
        <f aca="false">IF(E675="","",IFERROR(IF(ISNUMBER(SEARCH(Assumptions!$C$5,E675)),Assumptions!$D$5,IF(ISNUMBER(SEARCH(Assumptions!$C$6,E675)),Assumptions!$D$6,IF(ISNUMBER(SEARCH(Assumptions!$C$7,E675)),Assumptions!$D$7,"Other Services"))),"Other Services"))</f>
        <v/>
      </c>
    </row>
    <row r="676" customFormat="false" ht="15" hidden="false" customHeight="false" outlineLevel="0" collapsed="false">
      <c r="G676" s="41" t="str">
        <f aca="false">IF(E676="","",IFERROR(IF(ISNUMBER(SEARCH(Assumptions!$C$5,E676)),Assumptions!$D$5,IF(ISNUMBER(SEARCH(Assumptions!$C$6,E676)),Assumptions!$D$6,IF(ISNUMBER(SEARCH(Assumptions!$C$7,E676)),Assumptions!$D$7,"Other Services"))),"Other Services"))</f>
        <v/>
      </c>
    </row>
    <row r="677" customFormat="false" ht="15" hidden="false" customHeight="false" outlineLevel="0" collapsed="false">
      <c r="G677" s="41" t="str">
        <f aca="false">IF(E677="","",IFERROR(IF(ISNUMBER(SEARCH(Assumptions!$C$5,E677)),Assumptions!$D$5,IF(ISNUMBER(SEARCH(Assumptions!$C$6,E677)),Assumptions!$D$6,IF(ISNUMBER(SEARCH(Assumptions!$C$7,E677)),Assumptions!$D$7,"Other Services"))),"Other Services"))</f>
        <v/>
      </c>
    </row>
    <row r="678" customFormat="false" ht="15" hidden="false" customHeight="false" outlineLevel="0" collapsed="false">
      <c r="G678" s="41" t="str">
        <f aca="false">IF(E678="","",IFERROR(IF(ISNUMBER(SEARCH(Assumptions!$C$5,E678)),Assumptions!$D$5,IF(ISNUMBER(SEARCH(Assumptions!$C$6,E678)),Assumptions!$D$6,IF(ISNUMBER(SEARCH(Assumptions!$C$7,E678)),Assumptions!$D$7,"Other Services"))),"Other Services"))</f>
        <v/>
      </c>
    </row>
    <row r="679" customFormat="false" ht="15" hidden="false" customHeight="false" outlineLevel="0" collapsed="false">
      <c r="G679" s="41" t="str">
        <f aca="false">IF(E679="","",IFERROR(IF(ISNUMBER(SEARCH(Assumptions!$C$5,E679)),Assumptions!$D$5,IF(ISNUMBER(SEARCH(Assumptions!$C$6,E679)),Assumptions!$D$6,IF(ISNUMBER(SEARCH(Assumptions!$C$7,E679)),Assumptions!$D$7,"Other Services"))),"Other Services"))</f>
        <v/>
      </c>
    </row>
    <row r="680" customFormat="false" ht="15" hidden="false" customHeight="false" outlineLevel="0" collapsed="false">
      <c r="G680" s="41" t="str">
        <f aca="false">IF(E680="","",IFERROR(IF(ISNUMBER(SEARCH(Assumptions!$C$5,E680)),Assumptions!$D$5,IF(ISNUMBER(SEARCH(Assumptions!$C$6,E680)),Assumptions!$D$6,IF(ISNUMBER(SEARCH(Assumptions!$C$7,E680)),Assumptions!$D$7,"Other Services"))),"Other Services"))</f>
        <v/>
      </c>
    </row>
    <row r="681" customFormat="false" ht="15" hidden="false" customHeight="false" outlineLevel="0" collapsed="false">
      <c r="G681" s="41" t="str">
        <f aca="false">IF(E681="","",IFERROR(IF(ISNUMBER(SEARCH(Assumptions!$C$5,E681)),Assumptions!$D$5,IF(ISNUMBER(SEARCH(Assumptions!$C$6,E681)),Assumptions!$D$6,IF(ISNUMBER(SEARCH(Assumptions!$C$7,E681)),Assumptions!$D$7,"Other Services"))),"Other Services"))</f>
        <v/>
      </c>
    </row>
    <row r="682" customFormat="false" ht="15" hidden="false" customHeight="false" outlineLevel="0" collapsed="false">
      <c r="G682" s="41" t="str">
        <f aca="false">IF(E682="","",IFERROR(IF(ISNUMBER(SEARCH(Assumptions!$C$5,E682)),Assumptions!$D$5,IF(ISNUMBER(SEARCH(Assumptions!$C$6,E682)),Assumptions!$D$6,IF(ISNUMBER(SEARCH(Assumptions!$C$7,E682)),Assumptions!$D$7,"Other Services"))),"Other Services"))</f>
        <v/>
      </c>
    </row>
    <row r="683" customFormat="false" ht="15" hidden="false" customHeight="false" outlineLevel="0" collapsed="false">
      <c r="G683" s="41" t="str">
        <f aca="false">IF(E683="","",IFERROR(IF(ISNUMBER(SEARCH(Assumptions!$C$5,E683)),Assumptions!$D$5,IF(ISNUMBER(SEARCH(Assumptions!$C$6,E683)),Assumptions!$D$6,IF(ISNUMBER(SEARCH(Assumptions!$C$7,E683)),Assumptions!$D$7,"Other Services"))),"Other Services"))</f>
        <v/>
      </c>
    </row>
    <row r="684" customFormat="false" ht="15" hidden="false" customHeight="false" outlineLevel="0" collapsed="false">
      <c r="G684" s="41" t="str">
        <f aca="false">IF(E684="","",IFERROR(IF(ISNUMBER(SEARCH(Assumptions!$C$5,E684)),Assumptions!$D$5,IF(ISNUMBER(SEARCH(Assumptions!$C$6,E684)),Assumptions!$D$6,IF(ISNUMBER(SEARCH(Assumptions!$C$7,E684)),Assumptions!$D$7,"Other Services"))),"Other Services"))</f>
        <v/>
      </c>
    </row>
    <row r="685" customFormat="false" ht="15" hidden="false" customHeight="false" outlineLevel="0" collapsed="false">
      <c r="G685" s="41" t="str">
        <f aca="false">IF(E685="","",IFERROR(IF(ISNUMBER(SEARCH(Assumptions!$C$5,E685)),Assumptions!$D$5,IF(ISNUMBER(SEARCH(Assumptions!$C$6,E685)),Assumptions!$D$6,IF(ISNUMBER(SEARCH(Assumptions!$C$7,E685)),Assumptions!$D$7,"Other Services"))),"Other Services"))</f>
        <v/>
      </c>
    </row>
    <row r="686" customFormat="false" ht="15" hidden="false" customHeight="false" outlineLevel="0" collapsed="false">
      <c r="G686" s="41" t="str">
        <f aca="false">IF(E686="","",IFERROR(IF(ISNUMBER(SEARCH(Assumptions!$C$5,E686)),Assumptions!$D$5,IF(ISNUMBER(SEARCH(Assumptions!$C$6,E686)),Assumptions!$D$6,IF(ISNUMBER(SEARCH(Assumptions!$C$7,E686)),Assumptions!$D$7,"Other Services"))),"Other Services"))</f>
        <v/>
      </c>
    </row>
    <row r="687" customFormat="false" ht="15" hidden="false" customHeight="false" outlineLevel="0" collapsed="false">
      <c r="G687" s="41" t="str">
        <f aca="false">IF(E687="","",IFERROR(IF(ISNUMBER(SEARCH(Assumptions!$C$5,E687)),Assumptions!$D$5,IF(ISNUMBER(SEARCH(Assumptions!$C$6,E687)),Assumptions!$D$6,IF(ISNUMBER(SEARCH(Assumptions!$C$7,E687)),Assumptions!$D$7,"Other Services"))),"Other Services"))</f>
        <v/>
      </c>
    </row>
    <row r="688" customFormat="false" ht="15" hidden="false" customHeight="false" outlineLevel="0" collapsed="false">
      <c r="G688" s="41" t="str">
        <f aca="false">IF(E688="","",IFERROR(IF(ISNUMBER(SEARCH(Assumptions!$C$5,E688)),Assumptions!$D$5,IF(ISNUMBER(SEARCH(Assumptions!$C$6,E688)),Assumptions!$D$6,IF(ISNUMBER(SEARCH(Assumptions!$C$7,E688)),Assumptions!$D$7,"Other Services"))),"Other Services"))</f>
        <v/>
      </c>
    </row>
    <row r="689" customFormat="false" ht="15" hidden="false" customHeight="false" outlineLevel="0" collapsed="false">
      <c r="G689" s="41" t="str">
        <f aca="false">IF(E689="","",IFERROR(IF(ISNUMBER(SEARCH(Assumptions!$C$5,E689)),Assumptions!$D$5,IF(ISNUMBER(SEARCH(Assumptions!$C$6,E689)),Assumptions!$D$6,IF(ISNUMBER(SEARCH(Assumptions!$C$7,E689)),Assumptions!$D$7,"Other Services"))),"Other Services"))</f>
        <v/>
      </c>
    </row>
    <row r="690" customFormat="false" ht="15" hidden="false" customHeight="false" outlineLevel="0" collapsed="false">
      <c r="G690" s="41" t="str">
        <f aca="false">IF(E690="","",IFERROR(IF(ISNUMBER(SEARCH(Assumptions!$C$5,E690)),Assumptions!$D$5,IF(ISNUMBER(SEARCH(Assumptions!$C$6,E690)),Assumptions!$D$6,IF(ISNUMBER(SEARCH(Assumptions!$C$7,E690)),Assumptions!$D$7,"Other Services"))),"Other Services"))</f>
        <v/>
      </c>
    </row>
    <row r="691" customFormat="false" ht="15" hidden="false" customHeight="false" outlineLevel="0" collapsed="false">
      <c r="G691" s="41" t="str">
        <f aca="false">IF(E691="","",IFERROR(IF(ISNUMBER(SEARCH(Assumptions!$C$5,E691)),Assumptions!$D$5,IF(ISNUMBER(SEARCH(Assumptions!$C$6,E691)),Assumptions!$D$6,IF(ISNUMBER(SEARCH(Assumptions!$C$7,E691)),Assumptions!$D$7,"Other Services"))),"Other Services"))</f>
        <v/>
      </c>
    </row>
    <row r="692" customFormat="false" ht="15" hidden="false" customHeight="false" outlineLevel="0" collapsed="false">
      <c r="G692" s="41" t="str">
        <f aca="false">IF(E692="","",IFERROR(IF(ISNUMBER(SEARCH(Assumptions!$C$5,E692)),Assumptions!$D$5,IF(ISNUMBER(SEARCH(Assumptions!$C$6,E692)),Assumptions!$D$6,IF(ISNUMBER(SEARCH(Assumptions!$C$7,E692)),Assumptions!$D$7,"Other Services"))),"Other Services"))</f>
        <v/>
      </c>
    </row>
    <row r="693" customFormat="false" ht="15" hidden="false" customHeight="false" outlineLevel="0" collapsed="false">
      <c r="G693" s="41" t="str">
        <f aca="false">IF(E693="","",IFERROR(IF(ISNUMBER(SEARCH(Assumptions!$C$5,E693)),Assumptions!$D$5,IF(ISNUMBER(SEARCH(Assumptions!$C$6,E693)),Assumptions!$D$6,IF(ISNUMBER(SEARCH(Assumptions!$C$7,E693)),Assumptions!$D$7,"Other Services"))),"Other Services"))</f>
        <v/>
      </c>
    </row>
    <row r="694" customFormat="false" ht="15" hidden="false" customHeight="false" outlineLevel="0" collapsed="false">
      <c r="G694" s="41" t="str">
        <f aca="false">IF(E694="","",IFERROR(IF(ISNUMBER(SEARCH(Assumptions!$C$5,E694)),Assumptions!$D$5,IF(ISNUMBER(SEARCH(Assumptions!$C$6,E694)),Assumptions!$D$6,IF(ISNUMBER(SEARCH(Assumptions!$C$7,E694)),Assumptions!$D$7,"Other Services"))),"Other Services"))</f>
        <v/>
      </c>
    </row>
    <row r="695" customFormat="false" ht="15" hidden="false" customHeight="false" outlineLevel="0" collapsed="false">
      <c r="G695" s="41" t="str">
        <f aca="false">IF(E695="","",IFERROR(IF(ISNUMBER(SEARCH(Assumptions!$C$5,E695)),Assumptions!$D$5,IF(ISNUMBER(SEARCH(Assumptions!$C$6,E695)),Assumptions!$D$6,IF(ISNUMBER(SEARCH(Assumptions!$C$7,E695)),Assumptions!$D$7,"Other Services"))),"Other Services"))</f>
        <v/>
      </c>
    </row>
    <row r="696" customFormat="false" ht="15" hidden="false" customHeight="false" outlineLevel="0" collapsed="false">
      <c r="G696" s="41" t="str">
        <f aca="false">IF(E696="","",IFERROR(IF(ISNUMBER(SEARCH(Assumptions!$C$5,E696)),Assumptions!$D$5,IF(ISNUMBER(SEARCH(Assumptions!$C$6,E696)),Assumptions!$D$6,IF(ISNUMBER(SEARCH(Assumptions!$C$7,E696)),Assumptions!$D$7,"Other Services"))),"Other Services"))</f>
        <v/>
      </c>
    </row>
    <row r="697" customFormat="false" ht="15" hidden="false" customHeight="false" outlineLevel="0" collapsed="false">
      <c r="G697" s="41" t="str">
        <f aca="false">IF(E697="","",IFERROR(IF(ISNUMBER(SEARCH(Assumptions!$C$5,E697)),Assumptions!$D$5,IF(ISNUMBER(SEARCH(Assumptions!$C$6,E697)),Assumptions!$D$6,IF(ISNUMBER(SEARCH(Assumptions!$C$7,E697)),Assumptions!$D$7,"Other Services"))),"Other Services"))</f>
        <v/>
      </c>
    </row>
    <row r="698" customFormat="false" ht="15" hidden="false" customHeight="false" outlineLevel="0" collapsed="false">
      <c r="G698" s="41" t="str">
        <f aca="false">IF(E698="","",IFERROR(IF(ISNUMBER(SEARCH(Assumptions!$C$5,E698)),Assumptions!$D$5,IF(ISNUMBER(SEARCH(Assumptions!$C$6,E698)),Assumptions!$D$6,IF(ISNUMBER(SEARCH(Assumptions!$C$7,E698)),Assumptions!$D$7,"Other Services"))),"Other Services"))</f>
        <v/>
      </c>
    </row>
    <row r="699" customFormat="false" ht="15" hidden="false" customHeight="false" outlineLevel="0" collapsed="false">
      <c r="G699" s="41" t="str">
        <f aca="false">IF(E699="","",IFERROR(IF(ISNUMBER(SEARCH(Assumptions!$C$5,E699)),Assumptions!$D$5,IF(ISNUMBER(SEARCH(Assumptions!$C$6,E699)),Assumptions!$D$6,IF(ISNUMBER(SEARCH(Assumptions!$C$7,E699)),Assumptions!$D$7,"Other Services"))),"Other Services"))</f>
        <v/>
      </c>
    </row>
    <row r="700" customFormat="false" ht="15" hidden="false" customHeight="false" outlineLevel="0" collapsed="false">
      <c r="G700" s="41" t="str">
        <f aca="false">IF(E700="","",IFERROR(IF(ISNUMBER(SEARCH(Assumptions!$C$5,E700)),Assumptions!$D$5,IF(ISNUMBER(SEARCH(Assumptions!$C$6,E700)),Assumptions!$D$6,IF(ISNUMBER(SEARCH(Assumptions!$C$7,E700)),Assumptions!$D$7,"Other Services"))),"Other Services"))</f>
        <v/>
      </c>
    </row>
    <row r="701" customFormat="false" ht="15" hidden="false" customHeight="false" outlineLevel="0" collapsed="false">
      <c r="G701" s="41" t="str">
        <f aca="false">IF(E701="","",IFERROR(IF(ISNUMBER(SEARCH(Assumptions!$C$5,E701)),Assumptions!$D$5,IF(ISNUMBER(SEARCH(Assumptions!$C$6,E701)),Assumptions!$D$6,IF(ISNUMBER(SEARCH(Assumptions!$C$7,E701)),Assumptions!$D$7,"Other Services"))),"Other Services"))</f>
        <v/>
      </c>
    </row>
    <row r="702" customFormat="false" ht="15" hidden="false" customHeight="false" outlineLevel="0" collapsed="false">
      <c r="G702" s="41" t="str">
        <f aca="false">IF(E702="","",IFERROR(IF(ISNUMBER(SEARCH(Assumptions!$C$5,E702)),Assumptions!$D$5,IF(ISNUMBER(SEARCH(Assumptions!$C$6,E702)),Assumptions!$D$6,IF(ISNUMBER(SEARCH(Assumptions!$C$7,E702)),Assumptions!$D$7,"Other Services"))),"Other Services"))</f>
        <v/>
      </c>
    </row>
    <row r="703" customFormat="false" ht="15" hidden="false" customHeight="false" outlineLevel="0" collapsed="false">
      <c r="G703" s="41" t="str">
        <f aca="false">IF(E703="","",IFERROR(IF(ISNUMBER(SEARCH(Assumptions!$C$5,E703)),Assumptions!$D$5,IF(ISNUMBER(SEARCH(Assumptions!$C$6,E703)),Assumptions!$D$6,IF(ISNUMBER(SEARCH(Assumptions!$C$7,E703)),Assumptions!$D$7,"Other Services"))),"Other Services"))</f>
        <v/>
      </c>
    </row>
    <row r="704" customFormat="false" ht="15" hidden="false" customHeight="false" outlineLevel="0" collapsed="false">
      <c r="G704" s="41" t="str">
        <f aca="false">IF(E704="","",IFERROR(IF(ISNUMBER(SEARCH(Assumptions!$C$5,E704)),Assumptions!$D$5,IF(ISNUMBER(SEARCH(Assumptions!$C$6,E704)),Assumptions!$D$6,IF(ISNUMBER(SEARCH(Assumptions!$C$7,E704)),Assumptions!$D$7,"Other Services"))),"Other Services"))</f>
        <v/>
      </c>
    </row>
    <row r="705" customFormat="false" ht="15" hidden="false" customHeight="false" outlineLevel="0" collapsed="false">
      <c r="G705" s="41" t="str">
        <f aca="false">IF(E705="","",IFERROR(IF(ISNUMBER(SEARCH(Assumptions!$C$5,E705)),Assumptions!$D$5,IF(ISNUMBER(SEARCH(Assumptions!$C$6,E705)),Assumptions!$D$6,IF(ISNUMBER(SEARCH(Assumptions!$C$7,E705)),Assumptions!$D$7,"Other Services"))),"Other Services"))</f>
        <v/>
      </c>
    </row>
    <row r="706" customFormat="false" ht="15" hidden="false" customHeight="false" outlineLevel="0" collapsed="false">
      <c r="G706" s="41" t="str">
        <f aca="false">IF(E706="","",IFERROR(IF(ISNUMBER(SEARCH(Assumptions!$C$5,E706)),Assumptions!$D$5,IF(ISNUMBER(SEARCH(Assumptions!$C$6,E706)),Assumptions!$D$6,IF(ISNUMBER(SEARCH(Assumptions!$C$7,E706)),Assumptions!$D$7,"Other Services"))),"Other Services"))</f>
        <v/>
      </c>
    </row>
    <row r="707" customFormat="false" ht="15" hidden="false" customHeight="false" outlineLevel="0" collapsed="false">
      <c r="G707" s="41" t="str">
        <f aca="false">IF(E707="","",IFERROR(IF(ISNUMBER(SEARCH(Assumptions!$C$5,E707)),Assumptions!$D$5,IF(ISNUMBER(SEARCH(Assumptions!$C$6,E707)),Assumptions!$D$6,IF(ISNUMBER(SEARCH(Assumptions!$C$7,E707)),Assumptions!$D$7,"Other Services"))),"Other Services"))</f>
        <v/>
      </c>
    </row>
    <row r="708" customFormat="false" ht="15" hidden="false" customHeight="false" outlineLevel="0" collapsed="false">
      <c r="G708" s="41" t="str">
        <f aca="false">IF(E708="","",IFERROR(IF(ISNUMBER(SEARCH(Assumptions!$C$5,E708)),Assumptions!$D$5,IF(ISNUMBER(SEARCH(Assumptions!$C$6,E708)),Assumptions!$D$6,IF(ISNUMBER(SEARCH(Assumptions!$C$7,E708)),Assumptions!$D$7,"Other Services"))),"Other Services"))</f>
        <v/>
      </c>
    </row>
    <row r="709" customFormat="false" ht="15" hidden="false" customHeight="false" outlineLevel="0" collapsed="false">
      <c r="G709" s="41" t="str">
        <f aca="false">IF(E709="","",IFERROR(IF(ISNUMBER(SEARCH(Assumptions!$C$5,E709)),Assumptions!$D$5,IF(ISNUMBER(SEARCH(Assumptions!$C$6,E709)),Assumptions!$D$6,IF(ISNUMBER(SEARCH(Assumptions!$C$7,E709)),Assumptions!$D$7,"Other Services"))),"Other Services"))</f>
        <v/>
      </c>
    </row>
    <row r="710" customFormat="false" ht="15" hidden="false" customHeight="false" outlineLevel="0" collapsed="false">
      <c r="G710" s="41" t="str">
        <f aca="false">IF(E710="","",IFERROR(IF(ISNUMBER(SEARCH(Assumptions!$C$5,E710)),Assumptions!$D$5,IF(ISNUMBER(SEARCH(Assumptions!$C$6,E710)),Assumptions!$D$6,IF(ISNUMBER(SEARCH(Assumptions!$C$7,E710)),Assumptions!$D$7,"Other Services"))),"Other Services"))</f>
        <v/>
      </c>
    </row>
    <row r="711" customFormat="false" ht="15" hidden="false" customHeight="false" outlineLevel="0" collapsed="false">
      <c r="G711" s="41" t="str">
        <f aca="false">IF(E711="","",IFERROR(IF(ISNUMBER(SEARCH(Assumptions!$C$5,E711)),Assumptions!$D$5,IF(ISNUMBER(SEARCH(Assumptions!$C$6,E711)),Assumptions!$D$6,IF(ISNUMBER(SEARCH(Assumptions!$C$7,E711)),Assumptions!$D$7,"Other Services"))),"Other Services"))</f>
        <v/>
      </c>
    </row>
    <row r="712" customFormat="false" ht="15" hidden="false" customHeight="false" outlineLevel="0" collapsed="false">
      <c r="G712" s="41" t="str">
        <f aca="false">IF(E712="","",IFERROR(IF(ISNUMBER(SEARCH(Assumptions!$C$5,E712)),Assumptions!$D$5,IF(ISNUMBER(SEARCH(Assumptions!$C$6,E712)),Assumptions!$D$6,IF(ISNUMBER(SEARCH(Assumptions!$C$7,E712)),Assumptions!$D$7,"Other Services"))),"Other Services"))</f>
        <v/>
      </c>
    </row>
    <row r="713" customFormat="false" ht="15" hidden="false" customHeight="false" outlineLevel="0" collapsed="false">
      <c r="G713" s="41" t="str">
        <f aca="false">IF(E713="","",IFERROR(IF(ISNUMBER(SEARCH(Assumptions!$C$5,E713)),Assumptions!$D$5,IF(ISNUMBER(SEARCH(Assumptions!$C$6,E713)),Assumptions!$D$6,IF(ISNUMBER(SEARCH(Assumptions!$C$7,E713)),Assumptions!$D$7,"Other Services"))),"Other Services"))</f>
        <v/>
      </c>
    </row>
    <row r="714" customFormat="false" ht="15" hidden="false" customHeight="false" outlineLevel="0" collapsed="false">
      <c r="G714" s="41" t="str">
        <f aca="false">IF(E714="","",IFERROR(IF(ISNUMBER(SEARCH(Assumptions!$C$5,E714)),Assumptions!$D$5,IF(ISNUMBER(SEARCH(Assumptions!$C$6,E714)),Assumptions!$D$6,IF(ISNUMBER(SEARCH(Assumptions!$C$7,E714)),Assumptions!$D$7,"Other Services"))),"Other Services"))</f>
        <v/>
      </c>
    </row>
    <row r="715" customFormat="false" ht="15" hidden="false" customHeight="false" outlineLevel="0" collapsed="false">
      <c r="G715" s="41" t="str">
        <f aca="false">IF(E715="","",IFERROR(IF(ISNUMBER(SEARCH(Assumptions!$C$5,E715)),Assumptions!$D$5,IF(ISNUMBER(SEARCH(Assumptions!$C$6,E715)),Assumptions!$D$6,IF(ISNUMBER(SEARCH(Assumptions!$C$7,E715)),Assumptions!$D$7,"Other Services"))),"Other Services"))</f>
        <v/>
      </c>
    </row>
    <row r="716" customFormat="false" ht="15" hidden="false" customHeight="false" outlineLevel="0" collapsed="false">
      <c r="G716" s="41" t="str">
        <f aca="false">IF(E716="","",IFERROR(IF(ISNUMBER(SEARCH(Assumptions!$C$5,E716)),Assumptions!$D$5,IF(ISNUMBER(SEARCH(Assumptions!$C$6,E716)),Assumptions!$D$6,IF(ISNUMBER(SEARCH(Assumptions!$C$7,E716)),Assumptions!$D$7,"Other Services"))),"Other Services"))</f>
        <v/>
      </c>
    </row>
    <row r="717" customFormat="false" ht="15" hidden="false" customHeight="false" outlineLevel="0" collapsed="false">
      <c r="G717" s="41" t="str">
        <f aca="false">IF(E717="","",IFERROR(IF(ISNUMBER(SEARCH(Assumptions!$C$5,E717)),Assumptions!$D$5,IF(ISNUMBER(SEARCH(Assumptions!$C$6,E717)),Assumptions!$D$6,IF(ISNUMBER(SEARCH(Assumptions!$C$7,E717)),Assumptions!$D$7,"Other Services"))),"Other Services"))</f>
        <v/>
      </c>
    </row>
    <row r="718" customFormat="false" ht="15" hidden="false" customHeight="false" outlineLevel="0" collapsed="false">
      <c r="G718" s="41" t="str">
        <f aca="false">IF(E718="","",IFERROR(IF(ISNUMBER(SEARCH(Assumptions!$C$5,E718)),Assumptions!$D$5,IF(ISNUMBER(SEARCH(Assumptions!$C$6,E718)),Assumptions!$D$6,IF(ISNUMBER(SEARCH(Assumptions!$C$7,E718)),Assumptions!$D$7,"Other Services"))),"Other Services"))</f>
        <v/>
      </c>
    </row>
    <row r="719" customFormat="false" ht="15" hidden="false" customHeight="false" outlineLevel="0" collapsed="false">
      <c r="G719" s="41" t="str">
        <f aca="false">IF(E719="","",IFERROR(IF(ISNUMBER(SEARCH(Assumptions!$C$5,E719)),Assumptions!$D$5,IF(ISNUMBER(SEARCH(Assumptions!$C$6,E719)),Assumptions!$D$6,IF(ISNUMBER(SEARCH(Assumptions!$C$7,E719)),Assumptions!$D$7,"Other Services"))),"Other Services"))</f>
        <v/>
      </c>
    </row>
    <row r="720" customFormat="false" ht="15" hidden="false" customHeight="false" outlineLevel="0" collapsed="false">
      <c r="G720" s="41" t="str">
        <f aca="false">IF(E720="","",IFERROR(IF(ISNUMBER(SEARCH(Assumptions!$C$5,E720)),Assumptions!$D$5,IF(ISNUMBER(SEARCH(Assumptions!$C$6,E720)),Assumptions!$D$6,IF(ISNUMBER(SEARCH(Assumptions!$C$7,E720)),Assumptions!$D$7,"Other Services"))),"Other Services"))</f>
        <v/>
      </c>
    </row>
    <row r="721" customFormat="false" ht="15" hidden="false" customHeight="false" outlineLevel="0" collapsed="false">
      <c r="G721" s="41" t="str">
        <f aca="false">IF(E721="","",IFERROR(IF(ISNUMBER(SEARCH(Assumptions!$C$5,E721)),Assumptions!$D$5,IF(ISNUMBER(SEARCH(Assumptions!$C$6,E721)),Assumptions!$D$6,IF(ISNUMBER(SEARCH(Assumptions!$C$7,E721)),Assumptions!$D$7,"Other Services"))),"Other Services"))</f>
        <v/>
      </c>
    </row>
    <row r="722" customFormat="false" ht="15" hidden="false" customHeight="false" outlineLevel="0" collapsed="false">
      <c r="G722" s="41" t="str">
        <f aca="false">IF(E722="","",IFERROR(IF(ISNUMBER(SEARCH(Assumptions!$C$5,E722)),Assumptions!$D$5,IF(ISNUMBER(SEARCH(Assumptions!$C$6,E722)),Assumptions!$D$6,IF(ISNUMBER(SEARCH(Assumptions!$C$7,E722)),Assumptions!$D$7,"Other Services"))),"Other Services"))</f>
        <v/>
      </c>
    </row>
    <row r="723" customFormat="false" ht="15" hidden="false" customHeight="false" outlineLevel="0" collapsed="false">
      <c r="G723" s="41" t="str">
        <f aca="false">IF(E723="","",IFERROR(IF(ISNUMBER(SEARCH(Assumptions!$C$5,E723)),Assumptions!$D$5,IF(ISNUMBER(SEARCH(Assumptions!$C$6,E723)),Assumptions!$D$6,IF(ISNUMBER(SEARCH(Assumptions!$C$7,E723)),Assumptions!$D$7,"Other Services"))),"Other Services"))</f>
        <v/>
      </c>
    </row>
    <row r="724" customFormat="false" ht="15" hidden="false" customHeight="false" outlineLevel="0" collapsed="false">
      <c r="G724" s="41" t="str">
        <f aca="false">IF(E724="","",IFERROR(IF(ISNUMBER(SEARCH(Assumptions!$C$5,E724)),Assumptions!$D$5,IF(ISNUMBER(SEARCH(Assumptions!$C$6,E724)),Assumptions!$D$6,IF(ISNUMBER(SEARCH(Assumptions!$C$7,E724)),Assumptions!$D$7,"Other Services"))),"Other Services"))</f>
        <v/>
      </c>
    </row>
    <row r="725" customFormat="false" ht="15" hidden="false" customHeight="false" outlineLevel="0" collapsed="false">
      <c r="G725" s="41" t="str">
        <f aca="false">IF(E725="","",IFERROR(IF(ISNUMBER(SEARCH(Assumptions!$C$5,E725)),Assumptions!$D$5,IF(ISNUMBER(SEARCH(Assumptions!$C$6,E725)),Assumptions!$D$6,IF(ISNUMBER(SEARCH(Assumptions!$C$7,E725)),Assumptions!$D$7,"Other Services"))),"Other Services"))</f>
        <v/>
      </c>
    </row>
    <row r="726" customFormat="false" ht="15" hidden="false" customHeight="false" outlineLevel="0" collapsed="false">
      <c r="G726" s="41" t="str">
        <f aca="false">IF(E726="","",IFERROR(IF(ISNUMBER(SEARCH(Assumptions!$C$5,E726)),Assumptions!$D$5,IF(ISNUMBER(SEARCH(Assumptions!$C$6,E726)),Assumptions!$D$6,IF(ISNUMBER(SEARCH(Assumptions!$C$7,E726)),Assumptions!$D$7,"Other Services"))),"Other Services"))</f>
        <v/>
      </c>
    </row>
    <row r="727" customFormat="false" ht="15" hidden="false" customHeight="false" outlineLevel="0" collapsed="false">
      <c r="G727" s="41" t="str">
        <f aca="false">IF(E727="","",IFERROR(IF(ISNUMBER(SEARCH(Assumptions!$C$5,E727)),Assumptions!$D$5,IF(ISNUMBER(SEARCH(Assumptions!$C$6,E727)),Assumptions!$D$6,IF(ISNUMBER(SEARCH(Assumptions!$C$7,E727)),Assumptions!$D$7,"Other Services"))),"Other Services"))</f>
        <v/>
      </c>
    </row>
    <row r="728" customFormat="false" ht="15" hidden="false" customHeight="false" outlineLevel="0" collapsed="false">
      <c r="G728" s="41" t="str">
        <f aca="false">IF(E728="","",IFERROR(IF(ISNUMBER(SEARCH(Assumptions!$C$5,E728)),Assumptions!$D$5,IF(ISNUMBER(SEARCH(Assumptions!$C$6,E728)),Assumptions!$D$6,IF(ISNUMBER(SEARCH(Assumptions!$C$7,E728)),Assumptions!$D$7,"Other Services"))),"Other Services"))</f>
        <v/>
      </c>
    </row>
    <row r="729" customFormat="false" ht="15" hidden="false" customHeight="false" outlineLevel="0" collapsed="false">
      <c r="G729" s="41" t="str">
        <f aca="false">IF(E729="","",IFERROR(IF(ISNUMBER(SEARCH(Assumptions!$C$5,E729)),Assumptions!$D$5,IF(ISNUMBER(SEARCH(Assumptions!$C$6,E729)),Assumptions!$D$6,IF(ISNUMBER(SEARCH(Assumptions!$C$7,E729)),Assumptions!$D$7,"Other Services"))),"Other Services"))</f>
        <v/>
      </c>
    </row>
    <row r="730" customFormat="false" ht="15" hidden="false" customHeight="false" outlineLevel="0" collapsed="false">
      <c r="G730" s="41" t="str">
        <f aca="false">IF(E730="","",IFERROR(IF(ISNUMBER(SEARCH(Assumptions!$C$5,E730)),Assumptions!$D$5,IF(ISNUMBER(SEARCH(Assumptions!$C$6,E730)),Assumptions!$D$6,IF(ISNUMBER(SEARCH(Assumptions!$C$7,E730)),Assumptions!$D$7,"Other Services"))),"Other Services"))</f>
        <v/>
      </c>
    </row>
    <row r="731" customFormat="false" ht="15" hidden="false" customHeight="false" outlineLevel="0" collapsed="false">
      <c r="G731" s="41" t="str">
        <f aca="false">IF(E731="","",IFERROR(IF(ISNUMBER(SEARCH(Assumptions!$C$5,E731)),Assumptions!$D$5,IF(ISNUMBER(SEARCH(Assumptions!$C$6,E731)),Assumptions!$D$6,IF(ISNUMBER(SEARCH(Assumptions!$C$7,E731)),Assumptions!$D$7,"Other Services"))),"Other Services"))</f>
        <v/>
      </c>
    </row>
    <row r="732" customFormat="false" ht="15" hidden="false" customHeight="false" outlineLevel="0" collapsed="false">
      <c r="G732" s="41" t="str">
        <f aca="false">IF(E732="","",IFERROR(IF(ISNUMBER(SEARCH(Assumptions!$C$5,E732)),Assumptions!$D$5,IF(ISNUMBER(SEARCH(Assumptions!$C$6,E732)),Assumptions!$D$6,IF(ISNUMBER(SEARCH(Assumptions!$C$7,E732)),Assumptions!$D$7,"Other Services"))),"Other Services"))</f>
        <v/>
      </c>
    </row>
    <row r="733" customFormat="false" ht="15" hidden="false" customHeight="false" outlineLevel="0" collapsed="false">
      <c r="G733" s="41" t="str">
        <f aca="false">IF(E733="","",IFERROR(IF(ISNUMBER(SEARCH(Assumptions!$C$5,E733)),Assumptions!$D$5,IF(ISNUMBER(SEARCH(Assumptions!$C$6,E733)),Assumptions!$D$6,IF(ISNUMBER(SEARCH(Assumptions!$C$7,E733)),Assumptions!$D$7,"Other Services"))),"Other Services"))</f>
        <v/>
      </c>
    </row>
    <row r="734" customFormat="false" ht="15" hidden="false" customHeight="false" outlineLevel="0" collapsed="false">
      <c r="G734" s="41" t="str">
        <f aca="false">IF(E734="","",IFERROR(IF(ISNUMBER(SEARCH(Assumptions!$C$5,E734)),Assumptions!$D$5,IF(ISNUMBER(SEARCH(Assumptions!$C$6,E734)),Assumptions!$D$6,IF(ISNUMBER(SEARCH(Assumptions!$C$7,E734)),Assumptions!$D$7,"Other Services"))),"Other Services"))</f>
        <v/>
      </c>
    </row>
    <row r="735" customFormat="false" ht="15" hidden="false" customHeight="false" outlineLevel="0" collapsed="false">
      <c r="G735" s="41" t="str">
        <f aca="false">IF(E735="","",IFERROR(IF(ISNUMBER(SEARCH(Assumptions!$C$5,E735)),Assumptions!$D$5,IF(ISNUMBER(SEARCH(Assumptions!$C$6,E735)),Assumptions!$D$6,IF(ISNUMBER(SEARCH(Assumptions!$C$7,E735)),Assumptions!$D$7,"Other Services"))),"Other Services"))</f>
        <v/>
      </c>
    </row>
    <row r="736" customFormat="false" ht="15" hidden="false" customHeight="false" outlineLevel="0" collapsed="false">
      <c r="G736" s="41" t="str">
        <f aca="false">IF(E736="","",IFERROR(IF(ISNUMBER(SEARCH(Assumptions!$C$5,E736)),Assumptions!$D$5,IF(ISNUMBER(SEARCH(Assumptions!$C$6,E736)),Assumptions!$D$6,IF(ISNUMBER(SEARCH(Assumptions!$C$7,E736)),Assumptions!$D$7,"Other Services"))),"Other Services"))</f>
        <v/>
      </c>
    </row>
    <row r="737" customFormat="false" ht="15" hidden="false" customHeight="false" outlineLevel="0" collapsed="false">
      <c r="G737" s="41" t="str">
        <f aca="false">IF(E737="","",IFERROR(IF(ISNUMBER(SEARCH(Assumptions!$C$5,E737)),Assumptions!$D$5,IF(ISNUMBER(SEARCH(Assumptions!$C$6,E737)),Assumptions!$D$6,IF(ISNUMBER(SEARCH(Assumptions!$C$7,E737)),Assumptions!$D$7,"Other Services"))),"Other Services"))</f>
        <v/>
      </c>
    </row>
    <row r="738" customFormat="false" ht="15" hidden="false" customHeight="false" outlineLevel="0" collapsed="false">
      <c r="G738" s="41" t="str">
        <f aca="false">IF(E738="","",IFERROR(IF(ISNUMBER(SEARCH(Assumptions!$C$5,E738)),Assumptions!$D$5,IF(ISNUMBER(SEARCH(Assumptions!$C$6,E738)),Assumptions!$D$6,IF(ISNUMBER(SEARCH(Assumptions!$C$7,E738)),Assumptions!$D$7,"Other Services"))),"Other Services"))</f>
        <v/>
      </c>
    </row>
    <row r="739" customFormat="false" ht="15" hidden="false" customHeight="false" outlineLevel="0" collapsed="false">
      <c r="G739" s="41" t="str">
        <f aca="false">IF(E739="","",IFERROR(IF(ISNUMBER(SEARCH(Assumptions!$C$5,E739)),Assumptions!$D$5,IF(ISNUMBER(SEARCH(Assumptions!$C$6,E739)),Assumptions!$D$6,IF(ISNUMBER(SEARCH(Assumptions!$C$7,E739)),Assumptions!$D$7,"Other Services"))),"Other Services"))</f>
        <v/>
      </c>
    </row>
    <row r="740" customFormat="false" ht="15" hidden="false" customHeight="false" outlineLevel="0" collapsed="false">
      <c r="G740" s="41" t="str">
        <f aca="false">IF(E740="","",IFERROR(IF(ISNUMBER(SEARCH(Assumptions!$C$5,E740)),Assumptions!$D$5,IF(ISNUMBER(SEARCH(Assumptions!$C$6,E740)),Assumptions!$D$6,IF(ISNUMBER(SEARCH(Assumptions!$C$7,E740)),Assumptions!$D$7,"Other Services"))),"Other Services"))</f>
        <v/>
      </c>
    </row>
    <row r="741" customFormat="false" ht="15" hidden="false" customHeight="false" outlineLevel="0" collapsed="false">
      <c r="G741" s="41" t="str">
        <f aca="false">IF(E741="","",IFERROR(IF(ISNUMBER(SEARCH(Assumptions!$C$5,E741)),Assumptions!$D$5,IF(ISNUMBER(SEARCH(Assumptions!$C$6,E741)),Assumptions!$D$6,IF(ISNUMBER(SEARCH(Assumptions!$C$7,E741)),Assumptions!$D$7,"Other Services"))),"Other Services"))</f>
        <v/>
      </c>
    </row>
    <row r="742" customFormat="false" ht="15" hidden="false" customHeight="false" outlineLevel="0" collapsed="false">
      <c r="G742" s="41" t="str">
        <f aca="false">IF(E742="","",IFERROR(IF(ISNUMBER(SEARCH(Assumptions!$C$5,E742)),Assumptions!$D$5,IF(ISNUMBER(SEARCH(Assumptions!$C$6,E742)),Assumptions!$D$6,IF(ISNUMBER(SEARCH(Assumptions!$C$7,E742)),Assumptions!$D$7,"Other Services"))),"Other Services"))</f>
        <v/>
      </c>
    </row>
    <row r="743" customFormat="false" ht="15" hidden="false" customHeight="false" outlineLevel="0" collapsed="false">
      <c r="G743" s="41" t="str">
        <f aca="false">IF(E743="","",IFERROR(IF(ISNUMBER(SEARCH(Assumptions!$C$5,E743)),Assumptions!$D$5,IF(ISNUMBER(SEARCH(Assumptions!$C$6,E743)),Assumptions!$D$6,IF(ISNUMBER(SEARCH(Assumptions!$C$7,E743)),Assumptions!$D$7,"Other Services"))),"Other Services"))</f>
        <v/>
      </c>
    </row>
    <row r="744" customFormat="false" ht="15" hidden="false" customHeight="false" outlineLevel="0" collapsed="false">
      <c r="G744" s="41" t="str">
        <f aca="false">IF(E744="","",IFERROR(IF(ISNUMBER(SEARCH(Assumptions!$C$5,E744)),Assumptions!$D$5,IF(ISNUMBER(SEARCH(Assumptions!$C$6,E744)),Assumptions!$D$6,IF(ISNUMBER(SEARCH(Assumptions!$C$7,E744)),Assumptions!$D$7,"Other Services"))),"Other Services"))</f>
        <v/>
      </c>
    </row>
    <row r="745" customFormat="false" ht="15" hidden="false" customHeight="false" outlineLevel="0" collapsed="false">
      <c r="G745" s="41" t="str">
        <f aca="false">IF(E745="","",IFERROR(IF(ISNUMBER(SEARCH(Assumptions!$C$5,E745)),Assumptions!$D$5,IF(ISNUMBER(SEARCH(Assumptions!$C$6,E745)),Assumptions!$D$6,IF(ISNUMBER(SEARCH(Assumptions!$C$7,E745)),Assumptions!$D$7,"Other Services"))),"Other Services"))</f>
        <v/>
      </c>
    </row>
    <row r="746" customFormat="false" ht="15" hidden="false" customHeight="false" outlineLevel="0" collapsed="false">
      <c r="G746" s="41" t="str">
        <f aca="false">IF(E746="","",IFERROR(IF(ISNUMBER(SEARCH(Assumptions!$C$5,E746)),Assumptions!$D$5,IF(ISNUMBER(SEARCH(Assumptions!$C$6,E746)),Assumptions!$D$6,IF(ISNUMBER(SEARCH(Assumptions!$C$7,E746)),Assumptions!$D$7,"Other Services"))),"Other Services"))</f>
        <v/>
      </c>
    </row>
    <row r="747" customFormat="false" ht="15" hidden="false" customHeight="false" outlineLevel="0" collapsed="false">
      <c r="G747" s="41" t="str">
        <f aca="false">IF(E747="","",IFERROR(IF(ISNUMBER(SEARCH(Assumptions!$C$5,E747)),Assumptions!$D$5,IF(ISNUMBER(SEARCH(Assumptions!$C$6,E747)),Assumptions!$D$6,IF(ISNUMBER(SEARCH(Assumptions!$C$7,E747)),Assumptions!$D$7,"Other Services"))),"Other Services"))</f>
        <v/>
      </c>
    </row>
    <row r="748" customFormat="false" ht="15" hidden="false" customHeight="false" outlineLevel="0" collapsed="false">
      <c r="G748" s="41" t="str">
        <f aca="false">IF(E748="","",IFERROR(IF(ISNUMBER(SEARCH(Assumptions!$C$5,E748)),Assumptions!$D$5,IF(ISNUMBER(SEARCH(Assumptions!$C$6,E748)),Assumptions!$D$6,IF(ISNUMBER(SEARCH(Assumptions!$C$7,E748)),Assumptions!$D$7,"Other Services"))),"Other Services"))</f>
        <v/>
      </c>
    </row>
    <row r="749" customFormat="false" ht="15" hidden="false" customHeight="false" outlineLevel="0" collapsed="false">
      <c r="G749" s="41" t="str">
        <f aca="false">IF(E749="","",IFERROR(IF(ISNUMBER(SEARCH(Assumptions!$C$5,E749)),Assumptions!$D$5,IF(ISNUMBER(SEARCH(Assumptions!$C$6,E749)),Assumptions!$D$6,IF(ISNUMBER(SEARCH(Assumptions!$C$7,E749)),Assumptions!$D$7,"Other Services"))),"Other Services"))</f>
        <v/>
      </c>
    </row>
    <row r="750" customFormat="false" ht="15" hidden="false" customHeight="false" outlineLevel="0" collapsed="false">
      <c r="G750" s="41" t="str">
        <f aca="false">IF(E750="","",IFERROR(IF(ISNUMBER(SEARCH(Assumptions!$C$5,E750)),Assumptions!$D$5,IF(ISNUMBER(SEARCH(Assumptions!$C$6,E750)),Assumptions!$D$6,IF(ISNUMBER(SEARCH(Assumptions!$C$7,E750)),Assumptions!$D$7,"Other Services"))),"Other Services"))</f>
        <v/>
      </c>
    </row>
    <row r="751" customFormat="false" ht="15" hidden="false" customHeight="false" outlineLevel="0" collapsed="false">
      <c r="G751" s="41" t="str">
        <f aca="false">IF(E751="","",IFERROR(IF(ISNUMBER(SEARCH(Assumptions!$C$5,E751)),Assumptions!$D$5,IF(ISNUMBER(SEARCH(Assumptions!$C$6,E751)),Assumptions!$D$6,IF(ISNUMBER(SEARCH(Assumptions!$C$7,E751)),Assumptions!$D$7,"Other Services"))),"Other Services"))</f>
        <v/>
      </c>
    </row>
    <row r="752" customFormat="false" ht="15" hidden="false" customHeight="false" outlineLevel="0" collapsed="false">
      <c r="G752" s="41" t="str">
        <f aca="false">IF(E752="","",IFERROR(IF(ISNUMBER(SEARCH(Assumptions!$C$5,E752)),Assumptions!$D$5,IF(ISNUMBER(SEARCH(Assumptions!$C$6,E752)),Assumptions!$D$6,IF(ISNUMBER(SEARCH(Assumptions!$C$7,E752)),Assumptions!$D$7,"Other Services"))),"Other Services"))</f>
        <v/>
      </c>
    </row>
    <row r="753" customFormat="false" ht="15" hidden="false" customHeight="false" outlineLevel="0" collapsed="false">
      <c r="G753" s="41" t="str">
        <f aca="false">IF(E753="","",IFERROR(IF(ISNUMBER(SEARCH(Assumptions!$C$5,E753)),Assumptions!$D$5,IF(ISNUMBER(SEARCH(Assumptions!$C$6,E753)),Assumptions!$D$6,IF(ISNUMBER(SEARCH(Assumptions!$C$7,E753)),Assumptions!$D$7,"Other Services"))),"Other Services"))</f>
        <v/>
      </c>
    </row>
    <row r="754" customFormat="false" ht="15" hidden="false" customHeight="false" outlineLevel="0" collapsed="false">
      <c r="G754" s="41" t="str">
        <f aca="false">IF(E754="","",IFERROR(IF(ISNUMBER(SEARCH(Assumptions!$C$5,E754)),Assumptions!$D$5,IF(ISNUMBER(SEARCH(Assumptions!$C$6,E754)),Assumptions!$D$6,IF(ISNUMBER(SEARCH(Assumptions!$C$7,E754)),Assumptions!$D$7,"Other Services"))),"Other Services"))</f>
        <v/>
      </c>
    </row>
    <row r="755" customFormat="false" ht="15" hidden="false" customHeight="false" outlineLevel="0" collapsed="false">
      <c r="G755" s="41" t="str">
        <f aca="false">IF(E755="","",IFERROR(IF(ISNUMBER(SEARCH(Assumptions!$C$5,E755)),Assumptions!$D$5,IF(ISNUMBER(SEARCH(Assumptions!$C$6,E755)),Assumptions!$D$6,IF(ISNUMBER(SEARCH(Assumptions!$C$7,E755)),Assumptions!$D$7,"Other Services"))),"Other Services"))</f>
        <v/>
      </c>
    </row>
    <row r="756" customFormat="false" ht="15" hidden="false" customHeight="false" outlineLevel="0" collapsed="false">
      <c r="G756" s="41" t="str">
        <f aca="false">IF(E756="","",IFERROR(IF(ISNUMBER(SEARCH(Assumptions!$C$5,E756)),Assumptions!$D$5,IF(ISNUMBER(SEARCH(Assumptions!$C$6,E756)),Assumptions!$D$6,IF(ISNUMBER(SEARCH(Assumptions!$C$7,E756)),Assumptions!$D$7,"Other Services"))),"Other Services"))</f>
        <v/>
      </c>
    </row>
    <row r="757" customFormat="false" ht="15" hidden="false" customHeight="false" outlineLevel="0" collapsed="false">
      <c r="G757" s="41" t="str">
        <f aca="false">IF(E757="","",IFERROR(IF(ISNUMBER(SEARCH(Assumptions!$C$5,E757)),Assumptions!$D$5,IF(ISNUMBER(SEARCH(Assumptions!$C$6,E757)),Assumptions!$D$6,IF(ISNUMBER(SEARCH(Assumptions!$C$7,E757)),Assumptions!$D$7,"Other Services"))),"Other Services"))</f>
        <v/>
      </c>
    </row>
    <row r="758" customFormat="false" ht="15" hidden="false" customHeight="false" outlineLevel="0" collapsed="false">
      <c r="G758" s="41" t="str">
        <f aca="false">IF(E758="","",IFERROR(IF(ISNUMBER(SEARCH(Assumptions!$C$5,E758)),Assumptions!$D$5,IF(ISNUMBER(SEARCH(Assumptions!$C$6,E758)),Assumptions!$D$6,IF(ISNUMBER(SEARCH(Assumptions!$C$7,E758)),Assumptions!$D$7,"Other Services"))),"Other Services"))</f>
        <v/>
      </c>
    </row>
    <row r="759" customFormat="false" ht="15" hidden="false" customHeight="false" outlineLevel="0" collapsed="false">
      <c r="G759" s="41" t="str">
        <f aca="false">IF(E759="","",IFERROR(IF(ISNUMBER(SEARCH(Assumptions!$C$5,E759)),Assumptions!$D$5,IF(ISNUMBER(SEARCH(Assumptions!$C$6,E759)),Assumptions!$D$6,IF(ISNUMBER(SEARCH(Assumptions!$C$7,E759)),Assumptions!$D$7,"Other Services"))),"Other Services"))</f>
        <v/>
      </c>
    </row>
    <row r="760" customFormat="false" ht="15" hidden="false" customHeight="false" outlineLevel="0" collapsed="false">
      <c r="G760" s="41" t="str">
        <f aca="false">IF(E760="","",IFERROR(IF(ISNUMBER(SEARCH(Assumptions!$C$5,E760)),Assumptions!$D$5,IF(ISNUMBER(SEARCH(Assumptions!$C$6,E760)),Assumptions!$D$6,IF(ISNUMBER(SEARCH(Assumptions!$C$7,E760)),Assumptions!$D$7,"Other Services"))),"Other Services"))</f>
        <v/>
      </c>
    </row>
    <row r="761" customFormat="false" ht="15" hidden="false" customHeight="false" outlineLevel="0" collapsed="false">
      <c r="G761" s="41" t="str">
        <f aca="false">IF(E761="","",IFERROR(IF(ISNUMBER(SEARCH(Assumptions!$C$5,E761)),Assumptions!$D$5,IF(ISNUMBER(SEARCH(Assumptions!$C$6,E761)),Assumptions!$D$6,IF(ISNUMBER(SEARCH(Assumptions!$C$7,E761)),Assumptions!$D$7,"Other Services"))),"Other Services"))</f>
        <v/>
      </c>
    </row>
    <row r="762" customFormat="false" ht="15" hidden="false" customHeight="false" outlineLevel="0" collapsed="false">
      <c r="G762" s="41" t="str">
        <f aca="false">IF(E762="","",IFERROR(IF(ISNUMBER(SEARCH(Assumptions!$C$5,E762)),Assumptions!$D$5,IF(ISNUMBER(SEARCH(Assumptions!$C$6,E762)),Assumptions!$D$6,IF(ISNUMBER(SEARCH(Assumptions!$C$7,E762)),Assumptions!$D$7,"Other Services"))),"Other Services"))</f>
        <v/>
      </c>
    </row>
    <row r="763" customFormat="false" ht="15" hidden="false" customHeight="false" outlineLevel="0" collapsed="false">
      <c r="G763" s="41" t="str">
        <f aca="false">IF(E763="","",IFERROR(IF(ISNUMBER(SEARCH(Assumptions!$C$5,E763)),Assumptions!$D$5,IF(ISNUMBER(SEARCH(Assumptions!$C$6,E763)),Assumptions!$D$6,IF(ISNUMBER(SEARCH(Assumptions!$C$7,E763)),Assumptions!$D$7,"Other Services"))),"Other Services"))</f>
        <v/>
      </c>
    </row>
    <row r="764" customFormat="false" ht="15" hidden="false" customHeight="false" outlineLevel="0" collapsed="false">
      <c r="G764" s="41" t="str">
        <f aca="false">IF(E764="","",IFERROR(IF(ISNUMBER(SEARCH(Assumptions!$C$5,E764)),Assumptions!$D$5,IF(ISNUMBER(SEARCH(Assumptions!$C$6,E764)),Assumptions!$D$6,IF(ISNUMBER(SEARCH(Assumptions!$C$7,E764)),Assumptions!$D$7,"Other Services"))),"Other Services"))</f>
        <v/>
      </c>
    </row>
    <row r="765" customFormat="false" ht="15" hidden="false" customHeight="false" outlineLevel="0" collapsed="false">
      <c r="G765" s="41" t="str">
        <f aca="false">IF(E765="","",IFERROR(IF(ISNUMBER(SEARCH(Assumptions!$C$5,E765)),Assumptions!$D$5,IF(ISNUMBER(SEARCH(Assumptions!$C$6,E765)),Assumptions!$D$6,IF(ISNUMBER(SEARCH(Assumptions!$C$7,E765)),Assumptions!$D$7,"Other Services"))),"Other Services"))</f>
        <v/>
      </c>
    </row>
    <row r="766" customFormat="false" ht="15" hidden="false" customHeight="false" outlineLevel="0" collapsed="false">
      <c r="G766" s="41" t="str">
        <f aca="false">IF(E766="","",IFERROR(IF(ISNUMBER(SEARCH(Assumptions!$C$5,E766)),Assumptions!$D$5,IF(ISNUMBER(SEARCH(Assumptions!$C$6,E766)),Assumptions!$D$6,IF(ISNUMBER(SEARCH(Assumptions!$C$7,E766)),Assumptions!$D$7,"Other Services"))),"Other Services"))</f>
        <v/>
      </c>
    </row>
    <row r="767" customFormat="false" ht="15" hidden="false" customHeight="false" outlineLevel="0" collapsed="false">
      <c r="G767" s="41" t="str">
        <f aca="false">IF(E767="","",IFERROR(IF(ISNUMBER(SEARCH(Assumptions!$C$5,E767)),Assumptions!$D$5,IF(ISNUMBER(SEARCH(Assumptions!$C$6,E767)),Assumptions!$D$6,IF(ISNUMBER(SEARCH(Assumptions!$C$7,E767)),Assumptions!$D$7,"Other Services"))),"Other Services"))</f>
        <v/>
      </c>
    </row>
    <row r="768" customFormat="false" ht="15" hidden="false" customHeight="false" outlineLevel="0" collapsed="false">
      <c r="G768" s="41" t="str">
        <f aca="false">IF(E768="","",IFERROR(IF(ISNUMBER(SEARCH(Assumptions!$C$5,E768)),Assumptions!$D$5,IF(ISNUMBER(SEARCH(Assumptions!$C$6,E768)),Assumptions!$D$6,IF(ISNUMBER(SEARCH(Assumptions!$C$7,E768)),Assumptions!$D$7,"Other Services"))),"Other Services"))</f>
        <v/>
      </c>
    </row>
    <row r="769" customFormat="false" ht="15" hidden="false" customHeight="false" outlineLevel="0" collapsed="false">
      <c r="G769" s="41" t="str">
        <f aca="false">IF(E769="","",IFERROR(IF(ISNUMBER(SEARCH(Assumptions!$C$5,E769)),Assumptions!$D$5,IF(ISNUMBER(SEARCH(Assumptions!$C$6,E769)),Assumptions!$D$6,IF(ISNUMBER(SEARCH(Assumptions!$C$7,E769)),Assumptions!$D$7,"Other Services"))),"Other Services"))</f>
        <v/>
      </c>
    </row>
    <row r="770" customFormat="false" ht="15" hidden="false" customHeight="false" outlineLevel="0" collapsed="false">
      <c r="G770" s="41" t="str">
        <f aca="false">IF(E770="","",IFERROR(IF(ISNUMBER(SEARCH(Assumptions!$C$5,E770)),Assumptions!$D$5,IF(ISNUMBER(SEARCH(Assumptions!$C$6,E770)),Assumptions!$D$6,IF(ISNUMBER(SEARCH(Assumptions!$C$7,E770)),Assumptions!$D$7,"Other Services"))),"Other Services"))</f>
        <v/>
      </c>
    </row>
    <row r="771" customFormat="false" ht="15" hidden="false" customHeight="false" outlineLevel="0" collapsed="false">
      <c r="G771" s="41" t="str">
        <f aca="false">IF(E771="","",IFERROR(IF(ISNUMBER(SEARCH(Assumptions!$C$5,E771)),Assumptions!$D$5,IF(ISNUMBER(SEARCH(Assumptions!$C$6,E771)),Assumptions!$D$6,IF(ISNUMBER(SEARCH(Assumptions!$C$7,E771)),Assumptions!$D$7,"Other Services"))),"Other Services"))</f>
        <v/>
      </c>
    </row>
    <row r="772" customFormat="false" ht="15" hidden="false" customHeight="false" outlineLevel="0" collapsed="false">
      <c r="G772" s="41" t="str">
        <f aca="false">IF(E772="","",IFERROR(IF(ISNUMBER(SEARCH(Assumptions!$C$5,E772)),Assumptions!$D$5,IF(ISNUMBER(SEARCH(Assumptions!$C$6,E772)),Assumptions!$D$6,IF(ISNUMBER(SEARCH(Assumptions!$C$7,E772)),Assumptions!$D$7,"Other Services"))),"Other Services"))</f>
        <v/>
      </c>
    </row>
    <row r="773" customFormat="false" ht="15" hidden="false" customHeight="false" outlineLevel="0" collapsed="false">
      <c r="G773" s="41" t="str">
        <f aca="false">IF(E773="","",IFERROR(IF(ISNUMBER(SEARCH(Assumptions!$C$5,E773)),Assumptions!$D$5,IF(ISNUMBER(SEARCH(Assumptions!$C$6,E773)),Assumptions!$D$6,IF(ISNUMBER(SEARCH(Assumptions!$C$7,E773)),Assumptions!$D$7,"Other Services"))),"Other Services"))</f>
        <v/>
      </c>
    </row>
    <row r="774" customFormat="false" ht="15" hidden="false" customHeight="false" outlineLevel="0" collapsed="false">
      <c r="G774" s="41" t="str">
        <f aca="false">IF(E774="","",IFERROR(IF(ISNUMBER(SEARCH(Assumptions!$C$5,E774)),Assumptions!$D$5,IF(ISNUMBER(SEARCH(Assumptions!$C$6,E774)),Assumptions!$D$6,IF(ISNUMBER(SEARCH(Assumptions!$C$7,E774)),Assumptions!$D$7,"Other Services"))),"Other Services"))</f>
        <v/>
      </c>
    </row>
    <row r="775" customFormat="false" ht="15" hidden="false" customHeight="false" outlineLevel="0" collapsed="false">
      <c r="G775" s="41" t="str">
        <f aca="false">IF(E775="","",IFERROR(IF(ISNUMBER(SEARCH(Assumptions!$C$5,E775)),Assumptions!$D$5,IF(ISNUMBER(SEARCH(Assumptions!$C$6,E775)),Assumptions!$D$6,IF(ISNUMBER(SEARCH(Assumptions!$C$7,E775)),Assumptions!$D$7,"Other Services"))),"Other Services"))</f>
        <v/>
      </c>
    </row>
    <row r="776" customFormat="false" ht="15" hidden="false" customHeight="false" outlineLevel="0" collapsed="false">
      <c r="G776" s="41" t="str">
        <f aca="false">IF(E776="","",IFERROR(IF(ISNUMBER(SEARCH(Assumptions!$C$5,E776)),Assumptions!$D$5,IF(ISNUMBER(SEARCH(Assumptions!$C$6,E776)),Assumptions!$D$6,IF(ISNUMBER(SEARCH(Assumptions!$C$7,E776)),Assumptions!$D$7,"Other Services"))),"Other Services"))</f>
        <v/>
      </c>
    </row>
    <row r="777" customFormat="false" ht="15" hidden="false" customHeight="false" outlineLevel="0" collapsed="false">
      <c r="G777" s="41" t="str">
        <f aca="false">IF(E777="","",IFERROR(IF(ISNUMBER(SEARCH(Assumptions!$C$5,E777)),Assumptions!$D$5,IF(ISNUMBER(SEARCH(Assumptions!$C$6,E777)),Assumptions!$D$6,IF(ISNUMBER(SEARCH(Assumptions!$C$7,E777)),Assumptions!$D$7,"Other Services"))),"Other Services"))</f>
        <v/>
      </c>
    </row>
    <row r="778" customFormat="false" ht="15" hidden="false" customHeight="false" outlineLevel="0" collapsed="false">
      <c r="G778" s="41" t="str">
        <f aca="false">IF(E778="","",IFERROR(IF(ISNUMBER(SEARCH(Assumptions!$C$5,E778)),Assumptions!$D$5,IF(ISNUMBER(SEARCH(Assumptions!$C$6,E778)),Assumptions!$D$6,IF(ISNUMBER(SEARCH(Assumptions!$C$7,E778)),Assumptions!$D$7,"Other Services"))),"Other Services"))</f>
        <v/>
      </c>
    </row>
    <row r="779" customFormat="false" ht="15" hidden="false" customHeight="false" outlineLevel="0" collapsed="false">
      <c r="G779" s="41" t="str">
        <f aca="false">IF(E779="","",IFERROR(IF(ISNUMBER(SEARCH(Assumptions!$C$5,E779)),Assumptions!$D$5,IF(ISNUMBER(SEARCH(Assumptions!$C$6,E779)),Assumptions!$D$6,IF(ISNUMBER(SEARCH(Assumptions!$C$7,E779)),Assumptions!$D$7,"Other Services"))),"Other Services"))</f>
        <v/>
      </c>
    </row>
    <row r="780" customFormat="false" ht="15" hidden="false" customHeight="false" outlineLevel="0" collapsed="false">
      <c r="G780" s="41" t="str">
        <f aca="false">IF(E780="","",IFERROR(IF(ISNUMBER(SEARCH(Assumptions!$C$5,E780)),Assumptions!$D$5,IF(ISNUMBER(SEARCH(Assumptions!$C$6,E780)),Assumptions!$D$6,IF(ISNUMBER(SEARCH(Assumptions!$C$7,E780)),Assumptions!$D$7,"Other Services"))),"Other Services"))</f>
        <v/>
      </c>
    </row>
    <row r="781" customFormat="false" ht="15" hidden="false" customHeight="false" outlineLevel="0" collapsed="false">
      <c r="G781" s="41" t="str">
        <f aca="false">IF(E781="","",IFERROR(IF(ISNUMBER(SEARCH(Assumptions!$C$5,E781)),Assumptions!$D$5,IF(ISNUMBER(SEARCH(Assumptions!$C$6,E781)),Assumptions!$D$6,IF(ISNUMBER(SEARCH(Assumptions!$C$7,E781)),Assumptions!$D$7,"Other Services"))),"Other Services"))</f>
        <v/>
      </c>
    </row>
    <row r="782" customFormat="false" ht="15" hidden="false" customHeight="false" outlineLevel="0" collapsed="false">
      <c r="G782" s="41" t="str">
        <f aca="false">IF(E782="","",IFERROR(IF(ISNUMBER(SEARCH(Assumptions!$C$5,E782)),Assumptions!$D$5,IF(ISNUMBER(SEARCH(Assumptions!$C$6,E782)),Assumptions!$D$6,IF(ISNUMBER(SEARCH(Assumptions!$C$7,E782)),Assumptions!$D$7,"Other Services"))),"Other Services"))</f>
        <v/>
      </c>
    </row>
    <row r="783" customFormat="false" ht="15" hidden="false" customHeight="false" outlineLevel="0" collapsed="false">
      <c r="G783" s="41" t="str">
        <f aca="false">IF(E783="","",IFERROR(IF(ISNUMBER(SEARCH(Assumptions!$C$5,E783)),Assumptions!$D$5,IF(ISNUMBER(SEARCH(Assumptions!$C$6,E783)),Assumptions!$D$6,IF(ISNUMBER(SEARCH(Assumptions!$C$7,E783)),Assumptions!$D$7,"Other Services"))),"Other Services"))</f>
        <v/>
      </c>
    </row>
    <row r="784" customFormat="false" ht="15" hidden="false" customHeight="false" outlineLevel="0" collapsed="false">
      <c r="G784" s="41" t="str">
        <f aca="false">IF(E784="","",IFERROR(IF(ISNUMBER(SEARCH(Assumptions!$C$5,E784)),Assumptions!$D$5,IF(ISNUMBER(SEARCH(Assumptions!$C$6,E784)),Assumptions!$D$6,IF(ISNUMBER(SEARCH(Assumptions!$C$7,E784)),Assumptions!$D$7,"Other Services"))),"Other Services"))</f>
        <v/>
      </c>
    </row>
    <row r="785" customFormat="false" ht="15" hidden="false" customHeight="false" outlineLevel="0" collapsed="false">
      <c r="G785" s="41" t="str">
        <f aca="false">IF(E785="","",IFERROR(IF(ISNUMBER(SEARCH(Assumptions!$C$5,E785)),Assumptions!$D$5,IF(ISNUMBER(SEARCH(Assumptions!$C$6,E785)),Assumptions!$D$6,IF(ISNUMBER(SEARCH(Assumptions!$C$7,E785)),Assumptions!$D$7,"Other Services"))),"Other Services"))</f>
        <v/>
      </c>
    </row>
    <row r="786" customFormat="false" ht="15" hidden="false" customHeight="false" outlineLevel="0" collapsed="false">
      <c r="G786" s="41" t="str">
        <f aca="false">IF(E786="","",IFERROR(IF(ISNUMBER(SEARCH(Assumptions!$C$5,E786)),Assumptions!$D$5,IF(ISNUMBER(SEARCH(Assumptions!$C$6,E786)),Assumptions!$D$6,IF(ISNUMBER(SEARCH(Assumptions!$C$7,E786)),Assumptions!$D$7,"Other Services"))),"Other Services"))</f>
        <v/>
      </c>
    </row>
    <row r="787" customFormat="false" ht="15" hidden="false" customHeight="false" outlineLevel="0" collapsed="false">
      <c r="G787" s="41" t="str">
        <f aca="false">IF(E787="","",IFERROR(IF(ISNUMBER(SEARCH(Assumptions!$C$5,E787)),Assumptions!$D$5,IF(ISNUMBER(SEARCH(Assumptions!$C$6,E787)),Assumptions!$D$6,IF(ISNUMBER(SEARCH(Assumptions!$C$7,E787)),Assumptions!$D$7,"Other Services"))),"Other Services"))</f>
        <v/>
      </c>
    </row>
    <row r="788" customFormat="false" ht="15" hidden="false" customHeight="false" outlineLevel="0" collapsed="false">
      <c r="G788" s="41" t="str">
        <f aca="false">IF(E788="","",IFERROR(IF(ISNUMBER(SEARCH(Assumptions!$C$5,E788)),Assumptions!$D$5,IF(ISNUMBER(SEARCH(Assumptions!$C$6,E788)),Assumptions!$D$6,IF(ISNUMBER(SEARCH(Assumptions!$C$7,E788)),Assumptions!$D$7,"Other Services"))),"Other Services"))</f>
        <v/>
      </c>
    </row>
    <row r="789" customFormat="false" ht="15" hidden="false" customHeight="false" outlineLevel="0" collapsed="false">
      <c r="G789" s="41" t="str">
        <f aca="false">IF(E789="","",IFERROR(IF(ISNUMBER(SEARCH(Assumptions!$C$5,E789)),Assumptions!$D$5,IF(ISNUMBER(SEARCH(Assumptions!$C$6,E789)),Assumptions!$D$6,IF(ISNUMBER(SEARCH(Assumptions!$C$7,E789)),Assumptions!$D$7,"Other Services"))),"Other Services"))</f>
        <v/>
      </c>
    </row>
    <row r="790" customFormat="false" ht="15" hidden="false" customHeight="false" outlineLevel="0" collapsed="false">
      <c r="G790" s="41" t="str">
        <f aca="false">IF(E790="","",IFERROR(IF(ISNUMBER(SEARCH(Assumptions!$C$5,E790)),Assumptions!$D$5,IF(ISNUMBER(SEARCH(Assumptions!$C$6,E790)),Assumptions!$D$6,IF(ISNUMBER(SEARCH(Assumptions!$C$7,E790)),Assumptions!$D$7,"Other Services"))),"Other Services"))</f>
        <v/>
      </c>
    </row>
    <row r="791" customFormat="false" ht="15" hidden="false" customHeight="false" outlineLevel="0" collapsed="false">
      <c r="G791" s="41" t="str">
        <f aca="false">IF(E791="","",IFERROR(IF(ISNUMBER(SEARCH(Assumptions!$C$5,E791)),Assumptions!$D$5,IF(ISNUMBER(SEARCH(Assumptions!$C$6,E791)),Assumptions!$D$6,IF(ISNUMBER(SEARCH(Assumptions!$C$7,E791)),Assumptions!$D$7,"Other Services"))),"Other Services"))</f>
        <v/>
      </c>
    </row>
    <row r="792" customFormat="false" ht="15" hidden="false" customHeight="false" outlineLevel="0" collapsed="false">
      <c r="G792" s="41" t="str">
        <f aca="false">IF(E792="","",IFERROR(IF(ISNUMBER(SEARCH(Assumptions!$C$5,E792)),Assumptions!$D$5,IF(ISNUMBER(SEARCH(Assumptions!$C$6,E792)),Assumptions!$D$6,IF(ISNUMBER(SEARCH(Assumptions!$C$7,E792)),Assumptions!$D$7,"Other Services"))),"Other Services"))</f>
        <v/>
      </c>
    </row>
    <row r="793" customFormat="false" ht="15" hidden="false" customHeight="false" outlineLevel="0" collapsed="false">
      <c r="G793" s="41" t="str">
        <f aca="false">IF(E793="","",IFERROR(IF(ISNUMBER(SEARCH(Assumptions!$C$5,E793)),Assumptions!$D$5,IF(ISNUMBER(SEARCH(Assumptions!$C$6,E793)),Assumptions!$D$6,IF(ISNUMBER(SEARCH(Assumptions!$C$7,E793)),Assumptions!$D$7,"Other Services"))),"Other Services"))</f>
        <v/>
      </c>
    </row>
    <row r="794" customFormat="false" ht="15" hidden="false" customHeight="false" outlineLevel="0" collapsed="false">
      <c r="G794" s="41" t="str">
        <f aca="false">IF(E794="","",IFERROR(IF(ISNUMBER(SEARCH(Assumptions!$C$5,E794)),Assumptions!$D$5,IF(ISNUMBER(SEARCH(Assumptions!$C$6,E794)),Assumptions!$D$6,IF(ISNUMBER(SEARCH(Assumptions!$C$7,E794)),Assumptions!$D$7,"Other Services"))),"Other Services"))</f>
        <v/>
      </c>
    </row>
    <row r="795" customFormat="false" ht="15" hidden="false" customHeight="false" outlineLevel="0" collapsed="false">
      <c r="G795" s="41" t="str">
        <f aca="false">IF(E795="","",IFERROR(IF(ISNUMBER(SEARCH(Assumptions!$C$5,E795)),Assumptions!$D$5,IF(ISNUMBER(SEARCH(Assumptions!$C$6,E795)),Assumptions!$D$6,IF(ISNUMBER(SEARCH(Assumptions!$C$7,E795)),Assumptions!$D$7,"Other Services"))),"Other Services"))</f>
        <v/>
      </c>
    </row>
    <row r="796" customFormat="false" ht="15" hidden="false" customHeight="false" outlineLevel="0" collapsed="false">
      <c r="G796" s="41" t="str">
        <f aca="false">IF(E796="","",IFERROR(IF(ISNUMBER(SEARCH(Assumptions!$C$5,E796)),Assumptions!$D$5,IF(ISNUMBER(SEARCH(Assumptions!$C$6,E796)),Assumptions!$D$6,IF(ISNUMBER(SEARCH(Assumptions!$C$7,E796)),Assumptions!$D$7,"Other Services"))),"Other Services"))</f>
        <v/>
      </c>
    </row>
    <row r="797" customFormat="false" ht="15" hidden="false" customHeight="false" outlineLevel="0" collapsed="false">
      <c r="G797" s="41" t="str">
        <f aca="false">IF(E797="","",IFERROR(IF(ISNUMBER(SEARCH(Assumptions!$C$5,E797)),Assumptions!$D$5,IF(ISNUMBER(SEARCH(Assumptions!$C$6,E797)),Assumptions!$D$6,IF(ISNUMBER(SEARCH(Assumptions!$C$7,E797)),Assumptions!$D$7,"Other Services"))),"Other Services"))</f>
        <v/>
      </c>
    </row>
    <row r="798" customFormat="false" ht="15" hidden="false" customHeight="false" outlineLevel="0" collapsed="false">
      <c r="G798" s="41" t="str">
        <f aca="false">IF(E798="","",IFERROR(IF(ISNUMBER(SEARCH(Assumptions!$C$5,E798)),Assumptions!$D$5,IF(ISNUMBER(SEARCH(Assumptions!$C$6,E798)),Assumptions!$D$6,IF(ISNUMBER(SEARCH(Assumptions!$C$7,E798)),Assumptions!$D$7,"Other Services"))),"Other Services"))</f>
        <v/>
      </c>
    </row>
    <row r="799" customFormat="false" ht="15" hidden="false" customHeight="false" outlineLevel="0" collapsed="false">
      <c r="G799" s="41" t="str">
        <f aca="false">IF(E799="","",IFERROR(IF(ISNUMBER(SEARCH(Assumptions!$C$5,E799)),Assumptions!$D$5,IF(ISNUMBER(SEARCH(Assumptions!$C$6,E799)),Assumptions!$D$6,IF(ISNUMBER(SEARCH(Assumptions!$C$7,E799)),Assumptions!$D$7,"Other Services"))),"Other Services"))</f>
        <v/>
      </c>
    </row>
    <row r="800" customFormat="false" ht="15" hidden="false" customHeight="false" outlineLevel="0" collapsed="false">
      <c r="G800" s="41" t="str">
        <f aca="false">IF(E800="","",IFERROR(IF(ISNUMBER(SEARCH(Assumptions!$C$5,E800)),Assumptions!$D$5,IF(ISNUMBER(SEARCH(Assumptions!$C$6,E800)),Assumptions!$D$6,IF(ISNUMBER(SEARCH(Assumptions!$C$7,E800)),Assumptions!$D$7,"Other Services"))),"Other Services"))</f>
        <v/>
      </c>
    </row>
    <row r="801" customFormat="false" ht="15" hidden="false" customHeight="false" outlineLevel="0" collapsed="false">
      <c r="G801" s="41" t="str">
        <f aca="false">IF(E801="","",IFERROR(IF(ISNUMBER(SEARCH(Assumptions!$C$5,E801)),Assumptions!$D$5,IF(ISNUMBER(SEARCH(Assumptions!$C$6,E801)),Assumptions!$D$6,IF(ISNUMBER(SEARCH(Assumptions!$C$7,E801)),Assumptions!$D$7,"Other Services"))),"Other Services"))</f>
        <v/>
      </c>
    </row>
    <row r="802" customFormat="false" ht="15" hidden="false" customHeight="false" outlineLevel="0" collapsed="false">
      <c r="G802" s="41" t="str">
        <f aca="false">IF(E802="","",IFERROR(IF(ISNUMBER(SEARCH(Assumptions!$C$5,E802)),Assumptions!$D$5,IF(ISNUMBER(SEARCH(Assumptions!$C$6,E802)),Assumptions!$D$6,IF(ISNUMBER(SEARCH(Assumptions!$C$7,E802)),Assumptions!$D$7,"Other Services"))),"Other Services"))</f>
        <v/>
      </c>
    </row>
    <row r="803" customFormat="false" ht="15" hidden="false" customHeight="false" outlineLevel="0" collapsed="false">
      <c r="G803" s="41" t="str">
        <f aca="false">IF(E803="","",IFERROR(IF(ISNUMBER(SEARCH(Assumptions!$C$5,E803)),Assumptions!$D$5,IF(ISNUMBER(SEARCH(Assumptions!$C$6,E803)),Assumptions!$D$6,IF(ISNUMBER(SEARCH(Assumptions!$C$7,E803)),Assumptions!$D$7,"Other Services"))),"Other Services"))</f>
        <v/>
      </c>
    </row>
    <row r="804" customFormat="false" ht="15" hidden="false" customHeight="false" outlineLevel="0" collapsed="false">
      <c r="G804" s="41" t="str">
        <f aca="false">IF(E804="","",IFERROR(IF(ISNUMBER(SEARCH(Assumptions!$C$5,E804)),Assumptions!$D$5,IF(ISNUMBER(SEARCH(Assumptions!$C$6,E804)),Assumptions!$D$6,IF(ISNUMBER(SEARCH(Assumptions!$C$7,E804)),Assumptions!$D$7,"Other Services"))),"Other Services"))</f>
        <v/>
      </c>
    </row>
    <row r="805" customFormat="false" ht="15" hidden="false" customHeight="false" outlineLevel="0" collapsed="false">
      <c r="G805" s="41" t="str">
        <f aca="false">IF(E805="","",IFERROR(IF(ISNUMBER(SEARCH(Assumptions!$C$5,E805)),Assumptions!$D$5,IF(ISNUMBER(SEARCH(Assumptions!$C$6,E805)),Assumptions!$D$6,IF(ISNUMBER(SEARCH(Assumptions!$C$7,E805)),Assumptions!$D$7,"Other Services"))),"Other Services"))</f>
        <v/>
      </c>
    </row>
    <row r="806" customFormat="false" ht="15" hidden="false" customHeight="false" outlineLevel="0" collapsed="false">
      <c r="G806" s="41" t="str">
        <f aca="false">IF(E806="","",IFERROR(IF(ISNUMBER(SEARCH(Assumptions!$C$5,E806)),Assumptions!$D$5,IF(ISNUMBER(SEARCH(Assumptions!$C$6,E806)),Assumptions!$D$6,IF(ISNUMBER(SEARCH(Assumptions!$C$7,E806)),Assumptions!$D$7,"Other Services"))),"Other Services"))</f>
        <v/>
      </c>
    </row>
    <row r="807" customFormat="false" ht="15" hidden="false" customHeight="false" outlineLevel="0" collapsed="false">
      <c r="G807" s="41" t="str">
        <f aca="false">IF(E807="","",IFERROR(IF(ISNUMBER(SEARCH(Assumptions!$C$5,E807)),Assumptions!$D$5,IF(ISNUMBER(SEARCH(Assumptions!$C$6,E807)),Assumptions!$D$6,IF(ISNUMBER(SEARCH(Assumptions!$C$7,E807)),Assumptions!$D$7,"Other Services"))),"Other Services"))</f>
        <v/>
      </c>
    </row>
    <row r="808" customFormat="false" ht="15" hidden="false" customHeight="false" outlineLevel="0" collapsed="false">
      <c r="G808" s="41" t="str">
        <f aca="false">IF(E808="","",IFERROR(IF(ISNUMBER(SEARCH(Assumptions!$C$5,E808)),Assumptions!$D$5,IF(ISNUMBER(SEARCH(Assumptions!$C$6,E808)),Assumptions!$D$6,IF(ISNUMBER(SEARCH(Assumptions!$C$7,E808)),Assumptions!$D$7,"Other Services"))),"Other Services"))</f>
        <v/>
      </c>
    </row>
    <row r="809" customFormat="false" ht="15" hidden="false" customHeight="false" outlineLevel="0" collapsed="false">
      <c r="G809" s="41" t="str">
        <f aca="false">IF(E809="","",IFERROR(IF(ISNUMBER(SEARCH(Assumptions!$C$5,E809)),Assumptions!$D$5,IF(ISNUMBER(SEARCH(Assumptions!$C$6,E809)),Assumptions!$D$6,IF(ISNUMBER(SEARCH(Assumptions!$C$7,E809)),Assumptions!$D$7,"Other Services"))),"Other Services"))</f>
        <v/>
      </c>
    </row>
    <row r="810" customFormat="false" ht="15" hidden="false" customHeight="false" outlineLevel="0" collapsed="false">
      <c r="G810" s="41" t="str">
        <f aca="false">IF(E810="","",IFERROR(IF(ISNUMBER(SEARCH(Assumptions!$C$5,E810)),Assumptions!$D$5,IF(ISNUMBER(SEARCH(Assumptions!$C$6,E810)),Assumptions!$D$6,IF(ISNUMBER(SEARCH(Assumptions!$C$7,E810)),Assumptions!$D$7,"Other Services"))),"Other Services"))</f>
        <v/>
      </c>
    </row>
    <row r="811" customFormat="false" ht="15" hidden="false" customHeight="false" outlineLevel="0" collapsed="false">
      <c r="G811" s="41" t="str">
        <f aca="false">IF(E811="","",IFERROR(IF(ISNUMBER(SEARCH(Assumptions!$C$5,E811)),Assumptions!$D$5,IF(ISNUMBER(SEARCH(Assumptions!$C$6,E811)),Assumptions!$D$6,IF(ISNUMBER(SEARCH(Assumptions!$C$7,E811)),Assumptions!$D$7,"Other Services"))),"Other Services"))</f>
        <v/>
      </c>
    </row>
    <row r="812" customFormat="false" ht="15" hidden="false" customHeight="false" outlineLevel="0" collapsed="false">
      <c r="G812" s="41" t="str">
        <f aca="false">IF(E812="","",IFERROR(IF(ISNUMBER(SEARCH(Assumptions!$C$5,E812)),Assumptions!$D$5,IF(ISNUMBER(SEARCH(Assumptions!$C$6,E812)),Assumptions!$D$6,IF(ISNUMBER(SEARCH(Assumptions!$C$7,E812)),Assumptions!$D$7,"Other Services"))),"Other Services"))</f>
        <v/>
      </c>
    </row>
    <row r="813" customFormat="false" ht="15" hidden="false" customHeight="false" outlineLevel="0" collapsed="false">
      <c r="G813" s="41" t="str">
        <f aca="false">IF(E813="","",IFERROR(IF(ISNUMBER(SEARCH(Assumptions!$C$5,E813)),Assumptions!$D$5,IF(ISNUMBER(SEARCH(Assumptions!$C$6,E813)),Assumptions!$D$6,IF(ISNUMBER(SEARCH(Assumptions!$C$7,E813)),Assumptions!$D$7,"Other Services"))),"Other Services"))</f>
        <v/>
      </c>
    </row>
    <row r="814" customFormat="false" ht="15" hidden="false" customHeight="false" outlineLevel="0" collapsed="false">
      <c r="G814" s="41" t="str">
        <f aca="false">IF(E814="","",IFERROR(IF(ISNUMBER(SEARCH(Assumptions!$C$5,E814)),Assumptions!$D$5,IF(ISNUMBER(SEARCH(Assumptions!$C$6,E814)),Assumptions!$D$6,IF(ISNUMBER(SEARCH(Assumptions!$C$7,E814)),Assumptions!$D$7,"Other Services"))),"Other Services"))</f>
        <v/>
      </c>
    </row>
    <row r="815" customFormat="false" ht="15" hidden="false" customHeight="false" outlineLevel="0" collapsed="false">
      <c r="G815" s="41" t="str">
        <f aca="false">IF(E815="","",IFERROR(IF(ISNUMBER(SEARCH(Assumptions!$C$5,E815)),Assumptions!$D$5,IF(ISNUMBER(SEARCH(Assumptions!$C$6,E815)),Assumptions!$D$6,IF(ISNUMBER(SEARCH(Assumptions!$C$7,E815)),Assumptions!$D$7,"Other Services"))),"Other Services"))</f>
        <v/>
      </c>
    </row>
    <row r="816" customFormat="false" ht="15" hidden="false" customHeight="false" outlineLevel="0" collapsed="false">
      <c r="G816" s="41" t="str">
        <f aca="false">IF(E816="","",IFERROR(IF(ISNUMBER(SEARCH(Assumptions!$C$5,E816)),Assumptions!$D$5,IF(ISNUMBER(SEARCH(Assumptions!$C$6,E816)),Assumptions!$D$6,IF(ISNUMBER(SEARCH(Assumptions!$C$7,E816)),Assumptions!$D$7,"Other Services"))),"Other Services"))</f>
        <v/>
      </c>
    </row>
    <row r="817" customFormat="false" ht="15" hidden="false" customHeight="false" outlineLevel="0" collapsed="false">
      <c r="G817" s="41" t="str">
        <f aca="false">IF(E817="","",IFERROR(IF(ISNUMBER(SEARCH(Assumptions!$C$5,E817)),Assumptions!$D$5,IF(ISNUMBER(SEARCH(Assumptions!$C$6,E817)),Assumptions!$D$6,IF(ISNUMBER(SEARCH(Assumptions!$C$7,E817)),Assumptions!$D$7,"Other Services"))),"Other Services"))</f>
        <v/>
      </c>
    </row>
    <row r="818" customFormat="false" ht="15" hidden="false" customHeight="false" outlineLevel="0" collapsed="false">
      <c r="G818" s="41" t="str">
        <f aca="false">IF(E818="","",IFERROR(IF(ISNUMBER(SEARCH(Assumptions!$C$5,E818)),Assumptions!$D$5,IF(ISNUMBER(SEARCH(Assumptions!$C$6,E818)),Assumptions!$D$6,IF(ISNUMBER(SEARCH(Assumptions!$C$7,E818)),Assumptions!$D$7,"Other Services"))),"Other Services"))</f>
        <v/>
      </c>
    </row>
    <row r="819" customFormat="false" ht="15" hidden="false" customHeight="false" outlineLevel="0" collapsed="false">
      <c r="G819" s="41" t="str">
        <f aca="false">IF(E819="","",IFERROR(IF(ISNUMBER(SEARCH(Assumptions!$C$5,E819)),Assumptions!$D$5,IF(ISNUMBER(SEARCH(Assumptions!$C$6,E819)),Assumptions!$D$6,IF(ISNUMBER(SEARCH(Assumptions!$C$7,E819)),Assumptions!$D$7,"Other Services"))),"Other Services"))</f>
        <v/>
      </c>
    </row>
    <row r="820" customFormat="false" ht="15" hidden="false" customHeight="false" outlineLevel="0" collapsed="false">
      <c r="G820" s="41" t="str">
        <f aca="false">IF(E820="","",IFERROR(IF(ISNUMBER(SEARCH(Assumptions!$C$5,E820)),Assumptions!$D$5,IF(ISNUMBER(SEARCH(Assumptions!$C$6,E820)),Assumptions!$D$6,IF(ISNUMBER(SEARCH(Assumptions!$C$7,E820)),Assumptions!$D$7,"Other Services"))),"Other Services"))</f>
        <v/>
      </c>
    </row>
    <row r="821" customFormat="false" ht="15" hidden="false" customHeight="false" outlineLevel="0" collapsed="false">
      <c r="G821" s="41" t="str">
        <f aca="false">IF(E821="","",IFERROR(IF(ISNUMBER(SEARCH(Assumptions!$C$5,E821)),Assumptions!$D$5,IF(ISNUMBER(SEARCH(Assumptions!$C$6,E821)),Assumptions!$D$6,IF(ISNUMBER(SEARCH(Assumptions!$C$7,E821)),Assumptions!$D$7,"Other Services"))),"Other Services"))</f>
        <v/>
      </c>
    </row>
    <row r="822" customFormat="false" ht="15" hidden="false" customHeight="false" outlineLevel="0" collapsed="false">
      <c r="G822" s="41" t="str">
        <f aca="false">IF(E822="","",IFERROR(IF(ISNUMBER(SEARCH(Assumptions!$C$5,E822)),Assumptions!$D$5,IF(ISNUMBER(SEARCH(Assumptions!$C$6,E822)),Assumptions!$D$6,IF(ISNUMBER(SEARCH(Assumptions!$C$7,E822)),Assumptions!$D$7,"Other Services"))),"Other Services"))</f>
        <v/>
      </c>
    </row>
    <row r="823" customFormat="false" ht="15" hidden="false" customHeight="false" outlineLevel="0" collapsed="false">
      <c r="G823" s="41" t="str">
        <f aca="false">IF(E823="","",IFERROR(IF(ISNUMBER(SEARCH(Assumptions!$C$5,E823)),Assumptions!$D$5,IF(ISNUMBER(SEARCH(Assumptions!$C$6,E823)),Assumptions!$D$6,IF(ISNUMBER(SEARCH(Assumptions!$C$7,E823)),Assumptions!$D$7,"Other Services"))),"Other Services"))</f>
        <v/>
      </c>
    </row>
    <row r="824" customFormat="false" ht="15" hidden="false" customHeight="false" outlineLevel="0" collapsed="false">
      <c r="G824" s="41" t="str">
        <f aca="false">IF(E824="","",IFERROR(IF(ISNUMBER(SEARCH(Assumptions!$C$5,E824)),Assumptions!$D$5,IF(ISNUMBER(SEARCH(Assumptions!$C$6,E824)),Assumptions!$D$6,IF(ISNUMBER(SEARCH(Assumptions!$C$7,E824)),Assumptions!$D$7,"Other Services"))),"Other Services"))</f>
        <v/>
      </c>
    </row>
    <row r="825" customFormat="false" ht="15" hidden="false" customHeight="false" outlineLevel="0" collapsed="false">
      <c r="G825" s="41" t="str">
        <f aca="false">IF(E825="","",IFERROR(IF(ISNUMBER(SEARCH(Assumptions!$C$5,E825)),Assumptions!$D$5,IF(ISNUMBER(SEARCH(Assumptions!$C$6,E825)),Assumptions!$D$6,IF(ISNUMBER(SEARCH(Assumptions!$C$7,E825)),Assumptions!$D$7,"Other Services"))),"Other Services"))</f>
        <v/>
      </c>
    </row>
    <row r="826" customFormat="false" ht="15" hidden="false" customHeight="false" outlineLevel="0" collapsed="false">
      <c r="G826" s="41" t="str">
        <f aca="false">IF(E826="","",IFERROR(IF(ISNUMBER(SEARCH(Assumptions!$C$5,E826)),Assumptions!$D$5,IF(ISNUMBER(SEARCH(Assumptions!$C$6,E826)),Assumptions!$D$6,IF(ISNUMBER(SEARCH(Assumptions!$C$7,E826)),Assumptions!$D$7,"Other Services"))),"Other Services"))</f>
        <v/>
      </c>
    </row>
    <row r="827" customFormat="false" ht="15" hidden="false" customHeight="false" outlineLevel="0" collapsed="false">
      <c r="G827" s="41" t="str">
        <f aca="false">IF(E827="","",IFERROR(IF(ISNUMBER(SEARCH(Assumptions!$C$5,E827)),Assumptions!$D$5,IF(ISNUMBER(SEARCH(Assumptions!$C$6,E827)),Assumptions!$D$6,IF(ISNUMBER(SEARCH(Assumptions!$C$7,E827)),Assumptions!$D$7,"Other Services"))),"Other Services"))</f>
        <v/>
      </c>
    </row>
    <row r="828" customFormat="false" ht="15" hidden="false" customHeight="false" outlineLevel="0" collapsed="false">
      <c r="G828" s="41" t="str">
        <f aca="false">IF(E828="","",IFERROR(IF(ISNUMBER(SEARCH(Assumptions!$C$5,E828)),Assumptions!$D$5,IF(ISNUMBER(SEARCH(Assumptions!$C$6,E828)),Assumptions!$D$6,IF(ISNUMBER(SEARCH(Assumptions!$C$7,E828)),Assumptions!$D$7,"Other Services"))),"Other Services"))</f>
        <v/>
      </c>
    </row>
    <row r="829" customFormat="false" ht="15" hidden="false" customHeight="false" outlineLevel="0" collapsed="false">
      <c r="G829" s="41" t="str">
        <f aca="false">IF(E829="","",IFERROR(IF(ISNUMBER(SEARCH(Assumptions!$C$5,E829)),Assumptions!$D$5,IF(ISNUMBER(SEARCH(Assumptions!$C$6,E829)),Assumptions!$D$6,IF(ISNUMBER(SEARCH(Assumptions!$C$7,E829)),Assumptions!$D$7,"Other Services"))),"Other Services"))</f>
        <v/>
      </c>
    </row>
    <row r="830" customFormat="false" ht="15" hidden="false" customHeight="false" outlineLevel="0" collapsed="false">
      <c r="G830" s="41" t="str">
        <f aca="false">IF(E830="","",IFERROR(IF(ISNUMBER(SEARCH(Assumptions!$C$5,E830)),Assumptions!$D$5,IF(ISNUMBER(SEARCH(Assumptions!$C$6,E830)),Assumptions!$D$6,IF(ISNUMBER(SEARCH(Assumptions!$C$7,E830)),Assumptions!$D$7,"Other Services"))),"Other Services"))</f>
        <v/>
      </c>
    </row>
    <row r="831" customFormat="false" ht="15" hidden="false" customHeight="false" outlineLevel="0" collapsed="false">
      <c r="G831" s="41" t="str">
        <f aca="false">IF(E831="","",IFERROR(IF(ISNUMBER(SEARCH(Assumptions!$C$5,E831)),Assumptions!$D$5,IF(ISNUMBER(SEARCH(Assumptions!$C$6,E831)),Assumptions!$D$6,IF(ISNUMBER(SEARCH(Assumptions!$C$7,E831)),Assumptions!$D$7,"Other Services"))),"Other Services"))</f>
        <v/>
      </c>
    </row>
    <row r="832" customFormat="false" ht="15" hidden="false" customHeight="false" outlineLevel="0" collapsed="false">
      <c r="G832" s="41" t="str">
        <f aca="false">IF(E832="","",IFERROR(IF(ISNUMBER(SEARCH(Assumptions!$C$5,E832)),Assumptions!$D$5,IF(ISNUMBER(SEARCH(Assumptions!$C$6,E832)),Assumptions!$D$6,IF(ISNUMBER(SEARCH(Assumptions!$C$7,E832)),Assumptions!$D$7,"Other Services"))),"Other Services"))</f>
        <v/>
      </c>
    </row>
    <row r="833" customFormat="false" ht="15" hidden="false" customHeight="false" outlineLevel="0" collapsed="false">
      <c r="G833" s="41" t="str">
        <f aca="false">IF(E833="","",IFERROR(IF(ISNUMBER(SEARCH(Assumptions!$C$5,E833)),Assumptions!$D$5,IF(ISNUMBER(SEARCH(Assumptions!$C$6,E833)),Assumptions!$D$6,IF(ISNUMBER(SEARCH(Assumptions!$C$7,E833)),Assumptions!$D$7,"Other Services"))),"Other Services"))</f>
        <v/>
      </c>
    </row>
    <row r="834" customFormat="false" ht="15" hidden="false" customHeight="false" outlineLevel="0" collapsed="false">
      <c r="G834" s="41" t="str">
        <f aca="false">IF(E834="","",IFERROR(IF(ISNUMBER(SEARCH(Assumptions!$C$5,E834)),Assumptions!$D$5,IF(ISNUMBER(SEARCH(Assumptions!$C$6,E834)),Assumptions!$D$6,IF(ISNUMBER(SEARCH(Assumptions!$C$7,E834)),Assumptions!$D$7,"Other Services"))),"Other Services"))</f>
        <v/>
      </c>
    </row>
    <row r="835" customFormat="false" ht="15" hidden="false" customHeight="false" outlineLevel="0" collapsed="false">
      <c r="G835" s="41" t="str">
        <f aca="false">IF(E835="","",IFERROR(IF(ISNUMBER(SEARCH(Assumptions!$C$5,E835)),Assumptions!$D$5,IF(ISNUMBER(SEARCH(Assumptions!$C$6,E835)),Assumptions!$D$6,IF(ISNUMBER(SEARCH(Assumptions!$C$7,E835)),Assumptions!$D$7,"Other Services"))),"Other Services"))</f>
        <v/>
      </c>
    </row>
    <row r="836" customFormat="false" ht="15" hidden="false" customHeight="false" outlineLevel="0" collapsed="false">
      <c r="G836" s="41" t="str">
        <f aca="false">IF(E836="","",IFERROR(IF(ISNUMBER(SEARCH(Assumptions!$C$5,E836)),Assumptions!$D$5,IF(ISNUMBER(SEARCH(Assumptions!$C$6,E836)),Assumptions!$D$6,IF(ISNUMBER(SEARCH(Assumptions!$C$7,E836)),Assumptions!$D$7,"Other Services"))),"Other Services"))</f>
        <v/>
      </c>
    </row>
    <row r="837" customFormat="false" ht="15" hidden="false" customHeight="false" outlineLevel="0" collapsed="false">
      <c r="G837" s="41" t="str">
        <f aca="false">IF(E837="","",IFERROR(IF(ISNUMBER(SEARCH(Assumptions!$C$5,E837)),Assumptions!$D$5,IF(ISNUMBER(SEARCH(Assumptions!$C$6,E837)),Assumptions!$D$6,IF(ISNUMBER(SEARCH(Assumptions!$C$7,E837)),Assumptions!$D$7,"Other Services"))),"Other Services"))</f>
        <v/>
      </c>
    </row>
    <row r="838" customFormat="false" ht="15" hidden="false" customHeight="false" outlineLevel="0" collapsed="false">
      <c r="G838" s="41" t="str">
        <f aca="false">IF(E838="","",IFERROR(IF(ISNUMBER(SEARCH(Assumptions!$C$5,E838)),Assumptions!$D$5,IF(ISNUMBER(SEARCH(Assumptions!$C$6,E838)),Assumptions!$D$6,IF(ISNUMBER(SEARCH(Assumptions!$C$7,E838)),Assumptions!$D$7,"Other Services"))),"Other Services"))</f>
        <v/>
      </c>
    </row>
    <row r="839" customFormat="false" ht="15" hidden="false" customHeight="false" outlineLevel="0" collapsed="false">
      <c r="G839" s="41" t="str">
        <f aca="false">IF(E839="","",IFERROR(IF(ISNUMBER(SEARCH(Assumptions!$C$5,E839)),Assumptions!$D$5,IF(ISNUMBER(SEARCH(Assumptions!$C$6,E839)),Assumptions!$D$6,IF(ISNUMBER(SEARCH(Assumptions!$C$7,E839)),Assumptions!$D$7,"Other Services"))),"Other Services"))</f>
        <v/>
      </c>
    </row>
    <row r="840" customFormat="false" ht="15" hidden="false" customHeight="false" outlineLevel="0" collapsed="false">
      <c r="G840" s="41" t="str">
        <f aca="false">IF(E840="","",IFERROR(IF(ISNUMBER(SEARCH(Assumptions!$C$5,E840)),Assumptions!$D$5,IF(ISNUMBER(SEARCH(Assumptions!$C$6,E840)),Assumptions!$D$6,IF(ISNUMBER(SEARCH(Assumptions!$C$7,E840)),Assumptions!$D$7,"Other Services"))),"Other Services"))</f>
        <v/>
      </c>
    </row>
    <row r="841" customFormat="false" ht="15" hidden="false" customHeight="false" outlineLevel="0" collapsed="false">
      <c r="G841" s="41" t="str">
        <f aca="false">IF(E841="","",IFERROR(IF(ISNUMBER(SEARCH(Assumptions!$C$5,E841)),Assumptions!$D$5,IF(ISNUMBER(SEARCH(Assumptions!$C$6,E841)),Assumptions!$D$6,IF(ISNUMBER(SEARCH(Assumptions!$C$7,E841)),Assumptions!$D$7,"Other Services"))),"Other Services"))</f>
        <v/>
      </c>
    </row>
    <row r="842" customFormat="false" ht="15" hidden="false" customHeight="false" outlineLevel="0" collapsed="false">
      <c r="G842" s="41" t="str">
        <f aca="false">IF(E842="","",IFERROR(IF(ISNUMBER(SEARCH(Assumptions!$C$5,E842)),Assumptions!$D$5,IF(ISNUMBER(SEARCH(Assumptions!$C$6,E842)),Assumptions!$D$6,IF(ISNUMBER(SEARCH(Assumptions!$C$7,E842)),Assumptions!$D$7,"Other Services"))),"Other Services"))</f>
        <v/>
      </c>
    </row>
    <row r="843" customFormat="false" ht="15" hidden="false" customHeight="false" outlineLevel="0" collapsed="false">
      <c r="G843" s="41" t="str">
        <f aca="false">IF(E843="","",IFERROR(IF(ISNUMBER(SEARCH(Assumptions!$C$5,E843)),Assumptions!$D$5,IF(ISNUMBER(SEARCH(Assumptions!$C$6,E843)),Assumptions!$D$6,IF(ISNUMBER(SEARCH(Assumptions!$C$7,E843)),Assumptions!$D$7,"Other Services"))),"Other Services"))</f>
        <v/>
      </c>
    </row>
    <row r="844" customFormat="false" ht="15" hidden="false" customHeight="false" outlineLevel="0" collapsed="false">
      <c r="G844" s="41" t="str">
        <f aca="false">IF(E844="","",IFERROR(IF(ISNUMBER(SEARCH(Assumptions!$C$5,E844)),Assumptions!$D$5,IF(ISNUMBER(SEARCH(Assumptions!$C$6,E844)),Assumptions!$D$6,IF(ISNUMBER(SEARCH(Assumptions!$C$7,E844)),Assumptions!$D$7,"Other Services"))),"Other Services"))</f>
        <v/>
      </c>
    </row>
    <row r="845" customFormat="false" ht="15" hidden="false" customHeight="false" outlineLevel="0" collapsed="false">
      <c r="G845" s="41" t="str">
        <f aca="false">IF(E845="","",IFERROR(IF(ISNUMBER(SEARCH(Assumptions!$C$5,E845)),Assumptions!$D$5,IF(ISNUMBER(SEARCH(Assumptions!$C$6,E845)),Assumptions!$D$6,IF(ISNUMBER(SEARCH(Assumptions!$C$7,E845)),Assumptions!$D$7,"Other Services"))),"Other Services"))</f>
        <v/>
      </c>
    </row>
    <row r="846" customFormat="false" ht="15" hidden="false" customHeight="false" outlineLevel="0" collapsed="false">
      <c r="G846" s="41" t="str">
        <f aca="false">IF(E846="","",IFERROR(IF(ISNUMBER(SEARCH(Assumptions!$C$5,E846)),Assumptions!$D$5,IF(ISNUMBER(SEARCH(Assumptions!$C$6,E846)),Assumptions!$D$6,IF(ISNUMBER(SEARCH(Assumptions!$C$7,E846)),Assumptions!$D$7,"Other Services"))),"Other Services"))</f>
        <v/>
      </c>
    </row>
    <row r="847" customFormat="false" ht="15" hidden="false" customHeight="false" outlineLevel="0" collapsed="false">
      <c r="G847" s="41" t="str">
        <f aca="false">IF(E847="","",IFERROR(IF(ISNUMBER(SEARCH(Assumptions!$C$5,E847)),Assumptions!$D$5,IF(ISNUMBER(SEARCH(Assumptions!$C$6,E847)),Assumptions!$D$6,IF(ISNUMBER(SEARCH(Assumptions!$C$7,E847)),Assumptions!$D$7,"Other Services"))),"Other Services"))</f>
        <v/>
      </c>
    </row>
    <row r="848" customFormat="false" ht="15" hidden="false" customHeight="false" outlineLevel="0" collapsed="false">
      <c r="G848" s="41" t="str">
        <f aca="false">IF(E848="","",IFERROR(IF(ISNUMBER(SEARCH(Assumptions!$C$5,E848)),Assumptions!$D$5,IF(ISNUMBER(SEARCH(Assumptions!$C$6,E848)),Assumptions!$D$6,IF(ISNUMBER(SEARCH(Assumptions!$C$7,E848)),Assumptions!$D$7,"Other Services"))),"Other Services"))</f>
        <v/>
      </c>
    </row>
    <row r="849" customFormat="false" ht="15" hidden="false" customHeight="false" outlineLevel="0" collapsed="false">
      <c r="G849" s="41" t="str">
        <f aca="false">IF(E849="","",IFERROR(IF(ISNUMBER(SEARCH(Assumptions!$C$5,E849)),Assumptions!$D$5,IF(ISNUMBER(SEARCH(Assumptions!$C$6,E849)),Assumptions!$D$6,IF(ISNUMBER(SEARCH(Assumptions!$C$7,E849)),Assumptions!$D$7,"Other Services"))),"Other Services"))</f>
        <v/>
      </c>
    </row>
    <row r="850" customFormat="false" ht="15" hidden="false" customHeight="false" outlineLevel="0" collapsed="false">
      <c r="G850" s="41" t="str">
        <f aca="false">IF(E850="","",IFERROR(IF(ISNUMBER(SEARCH(Assumptions!$C$5,E850)),Assumptions!$D$5,IF(ISNUMBER(SEARCH(Assumptions!$C$6,E850)),Assumptions!$D$6,IF(ISNUMBER(SEARCH(Assumptions!$C$7,E850)),Assumptions!$D$7,"Other Services"))),"Other Services"))</f>
        <v/>
      </c>
    </row>
    <row r="851" customFormat="false" ht="15" hidden="false" customHeight="false" outlineLevel="0" collapsed="false">
      <c r="G851" s="41" t="str">
        <f aca="false">IF(E851="","",IFERROR(IF(ISNUMBER(SEARCH(Assumptions!$C$5,E851)),Assumptions!$D$5,IF(ISNUMBER(SEARCH(Assumptions!$C$6,E851)),Assumptions!$D$6,IF(ISNUMBER(SEARCH(Assumptions!$C$7,E851)),Assumptions!$D$7,"Other Services"))),"Other Services"))</f>
        <v/>
      </c>
    </row>
    <row r="852" customFormat="false" ht="15" hidden="false" customHeight="false" outlineLevel="0" collapsed="false">
      <c r="G852" s="41" t="str">
        <f aca="false">IF(E852="","",IFERROR(IF(ISNUMBER(SEARCH(Assumptions!$C$5,E852)),Assumptions!$D$5,IF(ISNUMBER(SEARCH(Assumptions!$C$6,E852)),Assumptions!$D$6,IF(ISNUMBER(SEARCH(Assumptions!$C$7,E852)),Assumptions!$D$7,"Other Services"))),"Other Services"))</f>
        <v/>
      </c>
    </row>
    <row r="853" customFormat="false" ht="15" hidden="false" customHeight="false" outlineLevel="0" collapsed="false">
      <c r="G853" s="41" t="str">
        <f aca="false">IF(E853="","",IFERROR(IF(ISNUMBER(SEARCH(Assumptions!$C$5,E853)),Assumptions!$D$5,IF(ISNUMBER(SEARCH(Assumptions!$C$6,E853)),Assumptions!$D$6,IF(ISNUMBER(SEARCH(Assumptions!$C$7,E853)),Assumptions!$D$7,"Other Services"))),"Other Services"))</f>
        <v/>
      </c>
    </row>
    <row r="854" customFormat="false" ht="15" hidden="false" customHeight="false" outlineLevel="0" collapsed="false">
      <c r="G854" s="41" t="str">
        <f aca="false">IF(E854="","",IFERROR(IF(ISNUMBER(SEARCH(Assumptions!$C$5,E854)),Assumptions!$D$5,IF(ISNUMBER(SEARCH(Assumptions!$C$6,E854)),Assumptions!$D$6,IF(ISNUMBER(SEARCH(Assumptions!$C$7,E854)),Assumptions!$D$7,"Other Services"))),"Other Services"))</f>
        <v/>
      </c>
    </row>
    <row r="855" customFormat="false" ht="15" hidden="false" customHeight="false" outlineLevel="0" collapsed="false">
      <c r="G855" s="41" t="str">
        <f aca="false">IF(E855="","",IFERROR(IF(ISNUMBER(SEARCH(Assumptions!$C$5,E855)),Assumptions!$D$5,IF(ISNUMBER(SEARCH(Assumptions!$C$6,E855)),Assumptions!$D$6,IF(ISNUMBER(SEARCH(Assumptions!$C$7,E855)),Assumptions!$D$7,"Other Services"))),"Other Services"))</f>
        <v/>
      </c>
    </row>
    <row r="856" customFormat="false" ht="15" hidden="false" customHeight="false" outlineLevel="0" collapsed="false">
      <c r="G856" s="41" t="str">
        <f aca="false">IF(E856="","",IFERROR(IF(ISNUMBER(SEARCH(Assumptions!$C$5,E856)),Assumptions!$D$5,IF(ISNUMBER(SEARCH(Assumptions!$C$6,E856)),Assumptions!$D$6,IF(ISNUMBER(SEARCH(Assumptions!$C$7,E856)),Assumptions!$D$7,"Other Services"))),"Other Services"))</f>
        <v/>
      </c>
    </row>
    <row r="857" customFormat="false" ht="15" hidden="false" customHeight="false" outlineLevel="0" collapsed="false">
      <c r="G857" s="41" t="str">
        <f aca="false">IF(E857="","",IFERROR(IF(ISNUMBER(SEARCH(Assumptions!$C$5,E857)),Assumptions!$D$5,IF(ISNUMBER(SEARCH(Assumptions!$C$6,E857)),Assumptions!$D$6,IF(ISNUMBER(SEARCH(Assumptions!$C$7,E857)),Assumptions!$D$7,"Other Services"))),"Other Services"))</f>
        <v/>
      </c>
    </row>
    <row r="858" customFormat="false" ht="15" hidden="false" customHeight="false" outlineLevel="0" collapsed="false">
      <c r="G858" s="41" t="str">
        <f aca="false">IF(E858="","",IFERROR(IF(ISNUMBER(SEARCH(Assumptions!$C$5,E858)),Assumptions!$D$5,IF(ISNUMBER(SEARCH(Assumptions!$C$6,E858)),Assumptions!$D$6,IF(ISNUMBER(SEARCH(Assumptions!$C$7,E858)),Assumptions!$D$7,"Other Services"))),"Other Services"))</f>
        <v/>
      </c>
    </row>
    <row r="859" customFormat="false" ht="15" hidden="false" customHeight="false" outlineLevel="0" collapsed="false">
      <c r="G859" s="41" t="str">
        <f aca="false">IF(E859="","",IFERROR(IF(ISNUMBER(SEARCH(Assumptions!$C$5,E859)),Assumptions!$D$5,IF(ISNUMBER(SEARCH(Assumptions!$C$6,E859)),Assumptions!$D$6,IF(ISNUMBER(SEARCH(Assumptions!$C$7,E859)),Assumptions!$D$7,"Other Services"))),"Other Services"))</f>
        <v/>
      </c>
    </row>
    <row r="860" customFormat="false" ht="15" hidden="false" customHeight="false" outlineLevel="0" collapsed="false">
      <c r="G860" s="41" t="str">
        <f aca="false">IF(E860="","",IFERROR(IF(ISNUMBER(SEARCH(Assumptions!$C$5,E860)),Assumptions!$D$5,IF(ISNUMBER(SEARCH(Assumptions!$C$6,E860)),Assumptions!$D$6,IF(ISNUMBER(SEARCH(Assumptions!$C$7,E860)),Assumptions!$D$7,"Other Services"))),"Other Services"))</f>
        <v/>
      </c>
    </row>
    <row r="861" customFormat="false" ht="15" hidden="false" customHeight="false" outlineLevel="0" collapsed="false">
      <c r="G861" s="41" t="str">
        <f aca="false">IF(E861="","",IFERROR(IF(ISNUMBER(SEARCH(Assumptions!$C$5,E861)),Assumptions!$D$5,IF(ISNUMBER(SEARCH(Assumptions!$C$6,E861)),Assumptions!$D$6,IF(ISNUMBER(SEARCH(Assumptions!$C$7,E861)),Assumptions!$D$7,"Other Services"))),"Other Services"))</f>
        <v/>
      </c>
    </row>
    <row r="862" customFormat="false" ht="15" hidden="false" customHeight="false" outlineLevel="0" collapsed="false">
      <c r="G862" s="41" t="str">
        <f aca="false">IF(E862="","",IFERROR(IF(ISNUMBER(SEARCH(Assumptions!$C$5,E862)),Assumptions!$D$5,IF(ISNUMBER(SEARCH(Assumptions!$C$6,E862)),Assumptions!$D$6,IF(ISNUMBER(SEARCH(Assumptions!$C$7,E862)),Assumptions!$D$7,"Other Services"))),"Other Services"))</f>
        <v/>
      </c>
    </row>
    <row r="863" customFormat="false" ht="15" hidden="false" customHeight="false" outlineLevel="0" collapsed="false">
      <c r="G863" s="41" t="str">
        <f aca="false">IF(E863="","",IFERROR(IF(ISNUMBER(SEARCH(Assumptions!$C$5,E863)),Assumptions!$D$5,IF(ISNUMBER(SEARCH(Assumptions!$C$6,E863)),Assumptions!$D$6,IF(ISNUMBER(SEARCH(Assumptions!$C$7,E863)),Assumptions!$D$7,"Other Services"))),"Other Services"))</f>
        <v/>
      </c>
    </row>
    <row r="864" customFormat="false" ht="15" hidden="false" customHeight="false" outlineLevel="0" collapsed="false">
      <c r="G864" s="41" t="str">
        <f aca="false">IF(E864="","",IFERROR(IF(ISNUMBER(SEARCH(Assumptions!$C$5,E864)),Assumptions!$D$5,IF(ISNUMBER(SEARCH(Assumptions!$C$6,E864)),Assumptions!$D$6,IF(ISNUMBER(SEARCH(Assumptions!$C$7,E864)),Assumptions!$D$7,"Other Services"))),"Other Services"))</f>
        <v/>
      </c>
    </row>
    <row r="865" customFormat="false" ht="15" hidden="false" customHeight="false" outlineLevel="0" collapsed="false">
      <c r="G865" s="41" t="str">
        <f aca="false">IF(E865="","",IFERROR(IF(ISNUMBER(SEARCH(Assumptions!$C$5,E865)),Assumptions!$D$5,IF(ISNUMBER(SEARCH(Assumptions!$C$6,E865)),Assumptions!$D$6,IF(ISNUMBER(SEARCH(Assumptions!$C$7,E865)),Assumptions!$D$7,"Other Services"))),"Other Services"))</f>
        <v/>
      </c>
    </row>
    <row r="866" customFormat="false" ht="15" hidden="false" customHeight="false" outlineLevel="0" collapsed="false">
      <c r="G866" s="41" t="str">
        <f aca="false">IF(E866="","",IFERROR(IF(ISNUMBER(SEARCH(Assumptions!$C$5,E866)),Assumptions!$D$5,IF(ISNUMBER(SEARCH(Assumptions!$C$6,E866)),Assumptions!$D$6,IF(ISNUMBER(SEARCH(Assumptions!$C$7,E866)),Assumptions!$D$7,"Other Services"))),"Other Services"))</f>
        <v/>
      </c>
    </row>
    <row r="867" customFormat="false" ht="15" hidden="false" customHeight="false" outlineLevel="0" collapsed="false">
      <c r="G867" s="41" t="str">
        <f aca="false">IF(E867="","",IFERROR(IF(ISNUMBER(SEARCH(Assumptions!$C$5,E867)),Assumptions!$D$5,IF(ISNUMBER(SEARCH(Assumptions!$C$6,E867)),Assumptions!$D$6,IF(ISNUMBER(SEARCH(Assumptions!$C$7,E867)),Assumptions!$D$7,"Other Services"))),"Other Services"))</f>
        <v/>
      </c>
    </row>
    <row r="868" customFormat="false" ht="15" hidden="false" customHeight="false" outlineLevel="0" collapsed="false">
      <c r="G868" s="41" t="str">
        <f aca="false">IF(E868="","",IFERROR(IF(ISNUMBER(SEARCH(Assumptions!$C$5,E868)),Assumptions!$D$5,IF(ISNUMBER(SEARCH(Assumptions!$C$6,E868)),Assumptions!$D$6,IF(ISNUMBER(SEARCH(Assumptions!$C$7,E868)),Assumptions!$D$7,"Other Services"))),"Other Services"))</f>
        <v/>
      </c>
    </row>
    <row r="869" customFormat="false" ht="15" hidden="false" customHeight="false" outlineLevel="0" collapsed="false">
      <c r="G869" s="41" t="str">
        <f aca="false">IF(E869="","",IFERROR(IF(ISNUMBER(SEARCH(Assumptions!$C$5,E869)),Assumptions!$D$5,IF(ISNUMBER(SEARCH(Assumptions!$C$6,E869)),Assumptions!$D$6,IF(ISNUMBER(SEARCH(Assumptions!$C$7,E869)),Assumptions!$D$7,"Other Services"))),"Other Services"))</f>
        <v/>
      </c>
    </row>
    <row r="870" customFormat="false" ht="15" hidden="false" customHeight="false" outlineLevel="0" collapsed="false">
      <c r="G870" s="41" t="str">
        <f aca="false">IF(E870="","",IFERROR(IF(ISNUMBER(SEARCH(Assumptions!$C$5,E870)),Assumptions!$D$5,IF(ISNUMBER(SEARCH(Assumptions!$C$6,E870)),Assumptions!$D$6,IF(ISNUMBER(SEARCH(Assumptions!$C$7,E870)),Assumptions!$D$7,"Other Services"))),"Other Services"))</f>
        <v/>
      </c>
    </row>
    <row r="871" customFormat="false" ht="15" hidden="false" customHeight="false" outlineLevel="0" collapsed="false">
      <c r="G871" s="41" t="str">
        <f aca="false">IF(E871="","",IFERROR(IF(ISNUMBER(SEARCH(Assumptions!$C$5,E871)),Assumptions!$D$5,IF(ISNUMBER(SEARCH(Assumptions!$C$6,E871)),Assumptions!$D$6,IF(ISNUMBER(SEARCH(Assumptions!$C$7,E871)),Assumptions!$D$7,"Other Services"))),"Other Services"))</f>
        <v/>
      </c>
    </row>
    <row r="872" customFormat="false" ht="15" hidden="false" customHeight="false" outlineLevel="0" collapsed="false">
      <c r="G872" s="41" t="str">
        <f aca="false">IF(E872="","",IFERROR(IF(ISNUMBER(SEARCH(Assumptions!$C$5,E872)),Assumptions!$D$5,IF(ISNUMBER(SEARCH(Assumptions!$C$6,E872)),Assumptions!$D$6,IF(ISNUMBER(SEARCH(Assumptions!$C$7,E872)),Assumptions!$D$7,"Other Services"))),"Other Services"))</f>
        <v/>
      </c>
    </row>
    <row r="873" customFormat="false" ht="15" hidden="false" customHeight="false" outlineLevel="0" collapsed="false">
      <c r="G873" s="41" t="str">
        <f aca="false">IF(E873="","",IFERROR(IF(ISNUMBER(SEARCH(Assumptions!$C$5,E873)),Assumptions!$D$5,IF(ISNUMBER(SEARCH(Assumptions!$C$6,E873)),Assumptions!$D$6,IF(ISNUMBER(SEARCH(Assumptions!$C$7,E873)),Assumptions!$D$7,"Other Services"))),"Other Services"))</f>
        <v/>
      </c>
    </row>
    <row r="874" customFormat="false" ht="15" hidden="false" customHeight="false" outlineLevel="0" collapsed="false">
      <c r="G874" s="41" t="str">
        <f aca="false">IF(E874="","",IFERROR(IF(ISNUMBER(SEARCH(Assumptions!$C$5,E874)),Assumptions!$D$5,IF(ISNUMBER(SEARCH(Assumptions!$C$6,E874)),Assumptions!$D$6,IF(ISNUMBER(SEARCH(Assumptions!$C$7,E874)),Assumptions!$D$7,"Other Services"))),"Other Services"))</f>
        <v/>
      </c>
    </row>
    <row r="875" customFormat="false" ht="15" hidden="false" customHeight="false" outlineLevel="0" collapsed="false">
      <c r="G875" s="41" t="str">
        <f aca="false">IF(E875="","",IFERROR(IF(ISNUMBER(SEARCH(Assumptions!$C$5,E875)),Assumptions!$D$5,IF(ISNUMBER(SEARCH(Assumptions!$C$6,E875)),Assumptions!$D$6,IF(ISNUMBER(SEARCH(Assumptions!$C$7,E875)),Assumptions!$D$7,"Other Services"))),"Other Services"))</f>
        <v/>
      </c>
    </row>
    <row r="876" customFormat="false" ht="15" hidden="false" customHeight="false" outlineLevel="0" collapsed="false">
      <c r="G876" s="41" t="str">
        <f aca="false">IF(E876="","",IFERROR(IF(ISNUMBER(SEARCH(Assumptions!$C$5,E876)),Assumptions!$D$5,IF(ISNUMBER(SEARCH(Assumptions!$C$6,E876)),Assumptions!$D$6,IF(ISNUMBER(SEARCH(Assumptions!$C$7,E876)),Assumptions!$D$7,"Other Services"))),"Other Services"))</f>
        <v/>
      </c>
    </row>
    <row r="877" customFormat="false" ht="15" hidden="false" customHeight="false" outlineLevel="0" collapsed="false">
      <c r="G877" s="41" t="str">
        <f aca="false">IF(E877="","",IFERROR(IF(ISNUMBER(SEARCH(Assumptions!$C$5,E877)),Assumptions!$D$5,IF(ISNUMBER(SEARCH(Assumptions!$C$6,E877)),Assumptions!$D$6,IF(ISNUMBER(SEARCH(Assumptions!$C$7,E877)),Assumptions!$D$7,"Other Services"))),"Other Services"))</f>
        <v/>
      </c>
    </row>
    <row r="878" customFormat="false" ht="15" hidden="false" customHeight="false" outlineLevel="0" collapsed="false">
      <c r="G878" s="41" t="str">
        <f aca="false">IF(E878="","",IFERROR(IF(ISNUMBER(SEARCH(Assumptions!$C$5,E878)),Assumptions!$D$5,IF(ISNUMBER(SEARCH(Assumptions!$C$6,E878)),Assumptions!$D$6,IF(ISNUMBER(SEARCH(Assumptions!$C$7,E878)),Assumptions!$D$7,"Other Services"))),"Other Services"))</f>
        <v/>
      </c>
    </row>
    <row r="879" customFormat="false" ht="15" hidden="false" customHeight="false" outlineLevel="0" collapsed="false">
      <c r="G879" s="41" t="str">
        <f aca="false">IF(E879="","",IFERROR(IF(ISNUMBER(SEARCH(Assumptions!$C$5,E879)),Assumptions!$D$5,IF(ISNUMBER(SEARCH(Assumptions!$C$6,E879)),Assumptions!$D$6,IF(ISNUMBER(SEARCH(Assumptions!$C$7,E879)),Assumptions!$D$7,"Other Services"))),"Other Services"))</f>
        <v/>
      </c>
    </row>
    <row r="880" customFormat="false" ht="15" hidden="false" customHeight="false" outlineLevel="0" collapsed="false">
      <c r="G880" s="41" t="str">
        <f aca="false">IF(E880="","",IFERROR(IF(ISNUMBER(SEARCH(Assumptions!$C$5,E880)),Assumptions!$D$5,IF(ISNUMBER(SEARCH(Assumptions!$C$6,E880)),Assumptions!$D$6,IF(ISNUMBER(SEARCH(Assumptions!$C$7,E880)),Assumptions!$D$7,"Other Services"))),"Other Services"))</f>
        <v/>
      </c>
    </row>
    <row r="881" customFormat="false" ht="15" hidden="false" customHeight="false" outlineLevel="0" collapsed="false">
      <c r="G881" s="41" t="str">
        <f aca="false">IF(E881="","",IFERROR(IF(ISNUMBER(SEARCH(Assumptions!$C$5,E881)),Assumptions!$D$5,IF(ISNUMBER(SEARCH(Assumptions!$C$6,E881)),Assumptions!$D$6,IF(ISNUMBER(SEARCH(Assumptions!$C$7,E881)),Assumptions!$D$7,"Other Services"))),"Other Services"))</f>
        <v/>
      </c>
    </row>
    <row r="882" customFormat="false" ht="15" hidden="false" customHeight="false" outlineLevel="0" collapsed="false">
      <c r="G882" s="41" t="str">
        <f aca="false">IF(E882="","",IFERROR(IF(ISNUMBER(SEARCH(Assumptions!$C$5,E882)),Assumptions!$D$5,IF(ISNUMBER(SEARCH(Assumptions!$C$6,E882)),Assumptions!$D$6,IF(ISNUMBER(SEARCH(Assumptions!$C$7,E882)),Assumptions!$D$7,"Other Services"))),"Other Services"))</f>
        <v/>
      </c>
    </row>
    <row r="883" customFormat="false" ht="15" hidden="false" customHeight="false" outlineLevel="0" collapsed="false">
      <c r="G883" s="41" t="str">
        <f aca="false">IF(E883="","",IFERROR(IF(ISNUMBER(SEARCH(Assumptions!$C$5,E883)),Assumptions!$D$5,IF(ISNUMBER(SEARCH(Assumptions!$C$6,E883)),Assumptions!$D$6,IF(ISNUMBER(SEARCH(Assumptions!$C$7,E883)),Assumptions!$D$7,"Other Services"))),"Other Services"))</f>
        <v/>
      </c>
    </row>
    <row r="884" customFormat="false" ht="15" hidden="false" customHeight="false" outlineLevel="0" collapsed="false">
      <c r="G884" s="41" t="str">
        <f aca="false">IF(E884="","",IFERROR(IF(ISNUMBER(SEARCH(Assumptions!$C$5,E884)),Assumptions!$D$5,IF(ISNUMBER(SEARCH(Assumptions!$C$6,E884)),Assumptions!$D$6,IF(ISNUMBER(SEARCH(Assumptions!$C$7,E884)),Assumptions!$D$7,"Other Services"))),"Other Services"))</f>
        <v/>
      </c>
    </row>
    <row r="885" customFormat="false" ht="15" hidden="false" customHeight="false" outlineLevel="0" collapsed="false">
      <c r="G885" s="41" t="str">
        <f aca="false">IF(E885="","",IFERROR(IF(ISNUMBER(SEARCH(Assumptions!$C$5,E885)),Assumptions!$D$5,IF(ISNUMBER(SEARCH(Assumptions!$C$6,E885)),Assumptions!$D$6,IF(ISNUMBER(SEARCH(Assumptions!$C$7,E885)),Assumptions!$D$7,"Other Services"))),"Other Services"))</f>
        <v/>
      </c>
    </row>
    <row r="886" customFormat="false" ht="15" hidden="false" customHeight="false" outlineLevel="0" collapsed="false">
      <c r="G886" s="41" t="str">
        <f aca="false">IF(E886="","",IFERROR(IF(ISNUMBER(SEARCH(Assumptions!$C$5,E886)),Assumptions!$D$5,IF(ISNUMBER(SEARCH(Assumptions!$C$6,E886)),Assumptions!$D$6,IF(ISNUMBER(SEARCH(Assumptions!$C$7,E886)),Assumptions!$D$7,"Other Services"))),"Other Services"))</f>
        <v/>
      </c>
    </row>
    <row r="887" customFormat="false" ht="15" hidden="false" customHeight="false" outlineLevel="0" collapsed="false">
      <c r="G887" s="41" t="str">
        <f aca="false">IF(E887="","",IFERROR(IF(ISNUMBER(SEARCH(Assumptions!$C$5,E887)),Assumptions!$D$5,IF(ISNUMBER(SEARCH(Assumptions!$C$6,E887)),Assumptions!$D$6,IF(ISNUMBER(SEARCH(Assumptions!$C$7,E887)),Assumptions!$D$7,"Other Services"))),"Other Services"))</f>
        <v/>
      </c>
    </row>
    <row r="888" customFormat="false" ht="15" hidden="false" customHeight="false" outlineLevel="0" collapsed="false">
      <c r="G888" s="41" t="str">
        <f aca="false">IF(E888="","",IFERROR(IF(ISNUMBER(SEARCH(Assumptions!$C$5,E888)),Assumptions!$D$5,IF(ISNUMBER(SEARCH(Assumptions!$C$6,E888)),Assumptions!$D$6,IF(ISNUMBER(SEARCH(Assumptions!$C$7,E888)),Assumptions!$D$7,"Other Services"))),"Other Services"))</f>
        <v/>
      </c>
    </row>
    <row r="889" customFormat="false" ht="15" hidden="false" customHeight="false" outlineLevel="0" collapsed="false">
      <c r="G889" s="41" t="str">
        <f aca="false">IF(E889="","",IFERROR(IF(ISNUMBER(SEARCH(Assumptions!$C$5,E889)),Assumptions!$D$5,IF(ISNUMBER(SEARCH(Assumptions!$C$6,E889)),Assumptions!$D$6,IF(ISNUMBER(SEARCH(Assumptions!$C$7,E889)),Assumptions!$D$7,"Other Services"))),"Other Services"))</f>
        <v/>
      </c>
    </row>
    <row r="890" customFormat="false" ht="15" hidden="false" customHeight="false" outlineLevel="0" collapsed="false">
      <c r="G890" s="41" t="str">
        <f aca="false">IF(E890="","",IFERROR(IF(ISNUMBER(SEARCH(Assumptions!$C$5,E890)),Assumptions!$D$5,IF(ISNUMBER(SEARCH(Assumptions!$C$6,E890)),Assumptions!$D$6,IF(ISNUMBER(SEARCH(Assumptions!$C$7,E890)),Assumptions!$D$7,"Other Services"))),"Other Services"))</f>
        <v/>
      </c>
    </row>
    <row r="891" customFormat="false" ht="15" hidden="false" customHeight="false" outlineLevel="0" collapsed="false">
      <c r="G891" s="41" t="str">
        <f aca="false">IF(E891="","",IFERROR(IF(ISNUMBER(SEARCH(Assumptions!$C$5,E891)),Assumptions!$D$5,IF(ISNUMBER(SEARCH(Assumptions!$C$6,E891)),Assumptions!$D$6,IF(ISNUMBER(SEARCH(Assumptions!$C$7,E891)),Assumptions!$D$7,"Other Services"))),"Other Services"))</f>
        <v/>
      </c>
    </row>
    <row r="892" customFormat="false" ht="15" hidden="false" customHeight="false" outlineLevel="0" collapsed="false">
      <c r="G892" s="41" t="str">
        <f aca="false">IF(E892="","",IFERROR(IF(ISNUMBER(SEARCH(Assumptions!$C$5,E892)),Assumptions!$D$5,IF(ISNUMBER(SEARCH(Assumptions!$C$6,E892)),Assumptions!$D$6,IF(ISNUMBER(SEARCH(Assumptions!$C$7,E892)),Assumptions!$D$7,"Other Services"))),"Other Services"))</f>
        <v/>
      </c>
    </row>
    <row r="893" customFormat="false" ht="15" hidden="false" customHeight="false" outlineLevel="0" collapsed="false">
      <c r="G893" s="41" t="str">
        <f aca="false">IF(E893="","",IFERROR(IF(ISNUMBER(SEARCH(Assumptions!$C$5,E893)),Assumptions!$D$5,IF(ISNUMBER(SEARCH(Assumptions!$C$6,E893)),Assumptions!$D$6,IF(ISNUMBER(SEARCH(Assumptions!$C$7,E893)),Assumptions!$D$7,"Other Services"))),"Other Services"))</f>
        <v/>
      </c>
    </row>
    <row r="894" customFormat="false" ht="15" hidden="false" customHeight="false" outlineLevel="0" collapsed="false">
      <c r="G894" s="41" t="str">
        <f aca="false">IF(E894="","",IFERROR(IF(ISNUMBER(SEARCH(Assumptions!$C$5,E894)),Assumptions!$D$5,IF(ISNUMBER(SEARCH(Assumptions!$C$6,E894)),Assumptions!$D$6,IF(ISNUMBER(SEARCH(Assumptions!$C$7,E894)),Assumptions!$D$7,"Other Services"))),"Other Services"))</f>
        <v/>
      </c>
    </row>
    <row r="895" customFormat="false" ht="15" hidden="false" customHeight="false" outlineLevel="0" collapsed="false">
      <c r="G895" s="41" t="str">
        <f aca="false">IF(E895="","",IFERROR(IF(ISNUMBER(SEARCH(Assumptions!$C$5,E895)),Assumptions!$D$5,IF(ISNUMBER(SEARCH(Assumptions!$C$6,E895)),Assumptions!$D$6,IF(ISNUMBER(SEARCH(Assumptions!$C$7,E895)),Assumptions!$D$7,"Other Services"))),"Other Services"))</f>
        <v/>
      </c>
    </row>
    <row r="896" customFormat="false" ht="15" hidden="false" customHeight="false" outlineLevel="0" collapsed="false">
      <c r="G896" s="41" t="str">
        <f aca="false">IF(E896="","",IFERROR(IF(ISNUMBER(SEARCH(Assumptions!$C$5,E896)),Assumptions!$D$5,IF(ISNUMBER(SEARCH(Assumptions!$C$6,E896)),Assumptions!$D$6,IF(ISNUMBER(SEARCH(Assumptions!$C$7,E896)),Assumptions!$D$7,"Other Services"))),"Other Services"))</f>
        <v/>
      </c>
    </row>
    <row r="897" customFormat="false" ht="15" hidden="false" customHeight="false" outlineLevel="0" collapsed="false">
      <c r="G897" s="41" t="str">
        <f aca="false">IF(E897="","",IFERROR(IF(ISNUMBER(SEARCH(Assumptions!$C$5,E897)),Assumptions!$D$5,IF(ISNUMBER(SEARCH(Assumptions!$C$6,E897)),Assumptions!$D$6,IF(ISNUMBER(SEARCH(Assumptions!$C$7,E897)),Assumptions!$D$7,"Other Services"))),"Other Services"))</f>
        <v/>
      </c>
    </row>
    <row r="898" customFormat="false" ht="15" hidden="false" customHeight="false" outlineLevel="0" collapsed="false">
      <c r="G898" s="41" t="str">
        <f aca="false">IF(E898="","",IFERROR(IF(ISNUMBER(SEARCH(Assumptions!$C$5,E898)),Assumptions!$D$5,IF(ISNUMBER(SEARCH(Assumptions!$C$6,E898)),Assumptions!$D$6,IF(ISNUMBER(SEARCH(Assumptions!$C$7,E898)),Assumptions!$D$7,"Other Services"))),"Other Services"))</f>
        <v/>
      </c>
    </row>
    <row r="899" customFormat="false" ht="15" hidden="false" customHeight="false" outlineLevel="0" collapsed="false">
      <c r="G899" s="41" t="str">
        <f aca="false">IF(E899="","",IFERROR(IF(ISNUMBER(SEARCH(Assumptions!$C$5,E899)),Assumptions!$D$5,IF(ISNUMBER(SEARCH(Assumptions!$C$6,E899)),Assumptions!$D$6,IF(ISNUMBER(SEARCH(Assumptions!$C$7,E899)),Assumptions!$D$7,"Other Services"))),"Other Services"))</f>
        <v/>
      </c>
    </row>
    <row r="900" customFormat="false" ht="15" hidden="false" customHeight="false" outlineLevel="0" collapsed="false">
      <c r="G900" s="41" t="str">
        <f aca="false">IF(E900="","",IFERROR(IF(ISNUMBER(SEARCH(Assumptions!$C$5,E900)),Assumptions!$D$5,IF(ISNUMBER(SEARCH(Assumptions!$C$6,E900)),Assumptions!$D$6,IF(ISNUMBER(SEARCH(Assumptions!$C$7,E900)),Assumptions!$D$7,"Other Services"))),"Other Services"))</f>
        <v/>
      </c>
    </row>
    <row r="901" customFormat="false" ht="15" hidden="false" customHeight="false" outlineLevel="0" collapsed="false">
      <c r="G901" s="41" t="str">
        <f aca="false">IF(E901="","",IFERROR(IF(ISNUMBER(SEARCH(Assumptions!$C$5,E901)),Assumptions!$D$5,IF(ISNUMBER(SEARCH(Assumptions!$C$6,E901)),Assumptions!$D$6,IF(ISNUMBER(SEARCH(Assumptions!$C$7,E901)),Assumptions!$D$7,"Other Services"))),"Other Services"))</f>
        <v/>
      </c>
    </row>
    <row r="902" customFormat="false" ht="15" hidden="false" customHeight="false" outlineLevel="0" collapsed="false">
      <c r="G902" s="41" t="str">
        <f aca="false">IF(E902="","",IFERROR(IF(ISNUMBER(SEARCH(Assumptions!$C$5,E902)),Assumptions!$D$5,IF(ISNUMBER(SEARCH(Assumptions!$C$6,E902)),Assumptions!$D$6,IF(ISNUMBER(SEARCH(Assumptions!$C$7,E902)),Assumptions!$D$7,"Other Services"))),"Other Services"))</f>
        <v/>
      </c>
    </row>
    <row r="903" customFormat="false" ht="15" hidden="false" customHeight="false" outlineLevel="0" collapsed="false">
      <c r="G903" s="41" t="str">
        <f aca="false">IF(E903="","",IFERROR(IF(ISNUMBER(SEARCH(Assumptions!$C$5,E903)),Assumptions!$D$5,IF(ISNUMBER(SEARCH(Assumptions!$C$6,E903)),Assumptions!$D$6,IF(ISNUMBER(SEARCH(Assumptions!$C$7,E903)),Assumptions!$D$7,"Other Services"))),"Other Services"))</f>
        <v/>
      </c>
    </row>
    <row r="904" customFormat="false" ht="15" hidden="false" customHeight="false" outlineLevel="0" collapsed="false">
      <c r="G904" s="41" t="str">
        <f aca="false">IF(E904="","",IFERROR(IF(ISNUMBER(SEARCH(Assumptions!$C$5,E904)),Assumptions!$D$5,IF(ISNUMBER(SEARCH(Assumptions!$C$6,E904)),Assumptions!$D$6,IF(ISNUMBER(SEARCH(Assumptions!$C$7,E904)),Assumptions!$D$7,"Other Services"))),"Other Services"))</f>
        <v/>
      </c>
    </row>
    <row r="905" customFormat="false" ht="15" hidden="false" customHeight="false" outlineLevel="0" collapsed="false">
      <c r="G905" s="41" t="str">
        <f aca="false">IF(E905="","",IFERROR(IF(ISNUMBER(SEARCH(Assumptions!$C$5,E905)),Assumptions!$D$5,IF(ISNUMBER(SEARCH(Assumptions!$C$6,E905)),Assumptions!$D$6,IF(ISNUMBER(SEARCH(Assumptions!$C$7,E905)),Assumptions!$D$7,"Other Services"))),"Other Services"))</f>
        <v/>
      </c>
    </row>
    <row r="906" customFormat="false" ht="15" hidden="false" customHeight="false" outlineLevel="0" collapsed="false">
      <c r="G906" s="41" t="str">
        <f aca="false">IF(E906="","",IFERROR(IF(ISNUMBER(SEARCH(Assumptions!$C$5,E906)),Assumptions!$D$5,IF(ISNUMBER(SEARCH(Assumptions!$C$6,E906)),Assumptions!$D$6,IF(ISNUMBER(SEARCH(Assumptions!$C$7,E906)),Assumptions!$D$7,"Other Services"))),"Other Services"))</f>
        <v/>
      </c>
    </row>
    <row r="907" customFormat="false" ht="15" hidden="false" customHeight="false" outlineLevel="0" collapsed="false">
      <c r="G907" s="41" t="str">
        <f aca="false">IF(E907="","",IFERROR(IF(ISNUMBER(SEARCH(Assumptions!$C$5,E907)),Assumptions!$D$5,IF(ISNUMBER(SEARCH(Assumptions!$C$6,E907)),Assumptions!$D$6,IF(ISNUMBER(SEARCH(Assumptions!$C$7,E907)),Assumptions!$D$7,"Other Services"))),"Other Services"))</f>
        <v/>
      </c>
    </row>
    <row r="908" customFormat="false" ht="15" hidden="false" customHeight="false" outlineLevel="0" collapsed="false">
      <c r="G908" s="41" t="str">
        <f aca="false">IF(E908="","",IFERROR(IF(ISNUMBER(SEARCH(Assumptions!$C$5,E908)),Assumptions!$D$5,IF(ISNUMBER(SEARCH(Assumptions!$C$6,E908)),Assumptions!$D$6,IF(ISNUMBER(SEARCH(Assumptions!$C$7,E908)),Assumptions!$D$7,"Other Services"))),"Other Services"))</f>
        <v/>
      </c>
    </row>
    <row r="909" customFormat="false" ht="15" hidden="false" customHeight="false" outlineLevel="0" collapsed="false">
      <c r="G909" s="41" t="str">
        <f aca="false">IF(E909="","",IFERROR(IF(ISNUMBER(SEARCH(Assumptions!$C$5,E909)),Assumptions!$D$5,IF(ISNUMBER(SEARCH(Assumptions!$C$6,E909)),Assumptions!$D$6,IF(ISNUMBER(SEARCH(Assumptions!$C$7,E909)),Assumptions!$D$7,"Other Services"))),"Other Services"))</f>
        <v/>
      </c>
    </row>
    <row r="910" customFormat="false" ht="15" hidden="false" customHeight="false" outlineLevel="0" collapsed="false">
      <c r="G910" s="41" t="str">
        <f aca="false">IF(E910="","",IFERROR(IF(ISNUMBER(SEARCH(Assumptions!$C$5,E910)),Assumptions!$D$5,IF(ISNUMBER(SEARCH(Assumptions!$C$6,E910)),Assumptions!$D$6,IF(ISNUMBER(SEARCH(Assumptions!$C$7,E910)),Assumptions!$D$7,"Other Services"))),"Other Services"))</f>
        <v/>
      </c>
    </row>
    <row r="911" customFormat="false" ht="15" hidden="false" customHeight="false" outlineLevel="0" collapsed="false">
      <c r="G911" s="41" t="str">
        <f aca="false">IF(E911="","",IFERROR(IF(ISNUMBER(SEARCH(Assumptions!$C$5,E911)),Assumptions!$D$5,IF(ISNUMBER(SEARCH(Assumptions!$C$6,E911)),Assumptions!$D$6,IF(ISNUMBER(SEARCH(Assumptions!$C$7,E911)),Assumptions!$D$7,"Other Services"))),"Other Services"))</f>
        <v/>
      </c>
    </row>
    <row r="912" customFormat="false" ht="15" hidden="false" customHeight="false" outlineLevel="0" collapsed="false">
      <c r="G912" s="41" t="str">
        <f aca="false">IF(E912="","",IFERROR(IF(ISNUMBER(SEARCH(Assumptions!$C$5,E912)),Assumptions!$D$5,IF(ISNUMBER(SEARCH(Assumptions!$C$6,E912)),Assumptions!$D$6,IF(ISNUMBER(SEARCH(Assumptions!$C$7,E912)),Assumptions!$D$7,"Other Services"))),"Other Services"))</f>
        <v/>
      </c>
    </row>
    <row r="913" customFormat="false" ht="15" hidden="false" customHeight="false" outlineLevel="0" collapsed="false">
      <c r="G913" s="41" t="str">
        <f aca="false">IF(E913="","",IFERROR(IF(ISNUMBER(SEARCH(Assumptions!$C$5,E913)),Assumptions!$D$5,IF(ISNUMBER(SEARCH(Assumptions!$C$6,E913)),Assumptions!$D$6,IF(ISNUMBER(SEARCH(Assumptions!$C$7,E913)),Assumptions!$D$7,"Other Services"))),"Other Services"))</f>
        <v/>
      </c>
    </row>
    <row r="914" customFormat="false" ht="15" hidden="false" customHeight="false" outlineLevel="0" collapsed="false">
      <c r="G914" s="41" t="str">
        <f aca="false">IF(E914="","",IFERROR(IF(ISNUMBER(SEARCH(Assumptions!$C$5,E914)),Assumptions!$D$5,IF(ISNUMBER(SEARCH(Assumptions!$C$6,E914)),Assumptions!$D$6,IF(ISNUMBER(SEARCH(Assumptions!$C$7,E914)),Assumptions!$D$7,"Other Services"))),"Other Services"))</f>
        <v/>
      </c>
    </row>
    <row r="915" customFormat="false" ht="15" hidden="false" customHeight="false" outlineLevel="0" collapsed="false">
      <c r="G915" s="41" t="str">
        <f aca="false">IF(E915="","",IFERROR(IF(ISNUMBER(SEARCH(Assumptions!$C$5,E915)),Assumptions!$D$5,IF(ISNUMBER(SEARCH(Assumptions!$C$6,E915)),Assumptions!$D$6,IF(ISNUMBER(SEARCH(Assumptions!$C$7,E915)),Assumptions!$D$7,"Other Services"))),"Other Services"))</f>
        <v/>
      </c>
    </row>
    <row r="916" customFormat="false" ht="15" hidden="false" customHeight="false" outlineLevel="0" collapsed="false">
      <c r="G916" s="41" t="str">
        <f aca="false">IF(E916="","",IFERROR(IF(ISNUMBER(SEARCH(Assumptions!$C$5,E916)),Assumptions!$D$5,IF(ISNUMBER(SEARCH(Assumptions!$C$6,E916)),Assumptions!$D$6,IF(ISNUMBER(SEARCH(Assumptions!$C$7,E916)),Assumptions!$D$7,"Other Services"))),"Other Services"))</f>
        <v/>
      </c>
    </row>
    <row r="917" customFormat="false" ht="15" hidden="false" customHeight="false" outlineLevel="0" collapsed="false">
      <c r="G917" s="41" t="str">
        <f aca="false">IF(E917="","",IFERROR(IF(ISNUMBER(SEARCH(Assumptions!$C$5,E917)),Assumptions!$D$5,IF(ISNUMBER(SEARCH(Assumptions!$C$6,E917)),Assumptions!$D$6,IF(ISNUMBER(SEARCH(Assumptions!$C$7,E917)),Assumptions!$D$7,"Other Services"))),"Other Services"))</f>
        <v/>
      </c>
    </row>
    <row r="918" customFormat="false" ht="15" hidden="false" customHeight="false" outlineLevel="0" collapsed="false">
      <c r="G918" s="41" t="str">
        <f aca="false">IF(E918="","",IFERROR(IF(ISNUMBER(SEARCH(Assumptions!$C$5,E918)),Assumptions!$D$5,IF(ISNUMBER(SEARCH(Assumptions!$C$6,E918)),Assumptions!$D$6,IF(ISNUMBER(SEARCH(Assumptions!$C$7,E918)),Assumptions!$D$7,"Other Services"))),"Other Services"))</f>
        <v/>
      </c>
    </row>
    <row r="919" customFormat="false" ht="15" hidden="false" customHeight="false" outlineLevel="0" collapsed="false">
      <c r="G919" s="41" t="str">
        <f aca="false">IF(E919="","",IFERROR(IF(ISNUMBER(SEARCH(Assumptions!$C$5,E919)),Assumptions!$D$5,IF(ISNUMBER(SEARCH(Assumptions!$C$6,E919)),Assumptions!$D$6,IF(ISNUMBER(SEARCH(Assumptions!$C$7,E919)),Assumptions!$D$7,"Other Services"))),"Other Services"))</f>
        <v/>
      </c>
    </row>
    <row r="920" customFormat="false" ht="15" hidden="false" customHeight="false" outlineLevel="0" collapsed="false">
      <c r="G920" s="41" t="str">
        <f aca="false">IF(E920="","",IFERROR(IF(ISNUMBER(SEARCH(Assumptions!$C$5,E920)),Assumptions!$D$5,IF(ISNUMBER(SEARCH(Assumptions!$C$6,E920)),Assumptions!$D$6,IF(ISNUMBER(SEARCH(Assumptions!$C$7,E920)),Assumptions!$D$7,"Other Services"))),"Other Services"))</f>
        <v/>
      </c>
    </row>
    <row r="921" customFormat="false" ht="15" hidden="false" customHeight="false" outlineLevel="0" collapsed="false">
      <c r="G921" s="41" t="str">
        <f aca="false">IF(E921="","",IFERROR(IF(ISNUMBER(SEARCH(Assumptions!$C$5,E921)),Assumptions!$D$5,IF(ISNUMBER(SEARCH(Assumptions!$C$6,E921)),Assumptions!$D$6,IF(ISNUMBER(SEARCH(Assumptions!$C$7,E921)),Assumptions!$D$7,"Other Services"))),"Other Services"))</f>
        <v/>
      </c>
    </row>
    <row r="922" customFormat="false" ht="15" hidden="false" customHeight="false" outlineLevel="0" collapsed="false">
      <c r="G922" s="41" t="str">
        <f aca="false">IF(E922="","",IFERROR(IF(ISNUMBER(SEARCH(Assumptions!$C$5,E922)),Assumptions!$D$5,IF(ISNUMBER(SEARCH(Assumptions!$C$6,E922)),Assumptions!$D$6,IF(ISNUMBER(SEARCH(Assumptions!$C$7,E922)),Assumptions!$D$7,"Other Services"))),"Other Services"))</f>
        <v/>
      </c>
    </row>
    <row r="923" customFormat="false" ht="15" hidden="false" customHeight="false" outlineLevel="0" collapsed="false">
      <c r="G923" s="41" t="str">
        <f aca="false">IF(E923="","",IFERROR(IF(ISNUMBER(SEARCH(Assumptions!$C$5,E923)),Assumptions!$D$5,IF(ISNUMBER(SEARCH(Assumptions!$C$6,E923)),Assumptions!$D$6,IF(ISNUMBER(SEARCH(Assumptions!$C$7,E923)),Assumptions!$D$7,"Other Services"))),"Other Services"))</f>
        <v/>
      </c>
    </row>
    <row r="924" customFormat="false" ht="15" hidden="false" customHeight="false" outlineLevel="0" collapsed="false">
      <c r="G924" s="41" t="str">
        <f aca="false">IF(E924="","",IFERROR(IF(ISNUMBER(SEARCH(Assumptions!$C$5,E924)),Assumptions!$D$5,IF(ISNUMBER(SEARCH(Assumptions!$C$6,E924)),Assumptions!$D$6,IF(ISNUMBER(SEARCH(Assumptions!$C$7,E924)),Assumptions!$D$7,"Other Services"))),"Other Services"))</f>
        <v/>
      </c>
    </row>
    <row r="925" customFormat="false" ht="15" hidden="false" customHeight="false" outlineLevel="0" collapsed="false">
      <c r="G925" s="41" t="str">
        <f aca="false">IF(E925="","",IFERROR(IF(ISNUMBER(SEARCH(Assumptions!$C$5,E925)),Assumptions!$D$5,IF(ISNUMBER(SEARCH(Assumptions!$C$6,E925)),Assumptions!$D$6,IF(ISNUMBER(SEARCH(Assumptions!$C$7,E925)),Assumptions!$D$7,"Other Services"))),"Other Services"))</f>
        <v/>
      </c>
    </row>
    <row r="926" customFormat="false" ht="15" hidden="false" customHeight="false" outlineLevel="0" collapsed="false">
      <c r="G926" s="41" t="str">
        <f aca="false">IF(E926="","",IFERROR(IF(ISNUMBER(SEARCH(Assumptions!$C$5,E926)),Assumptions!$D$5,IF(ISNUMBER(SEARCH(Assumptions!$C$6,E926)),Assumptions!$D$6,IF(ISNUMBER(SEARCH(Assumptions!$C$7,E926)),Assumptions!$D$7,"Other Services"))),"Other Services"))</f>
        <v/>
      </c>
    </row>
    <row r="927" customFormat="false" ht="15" hidden="false" customHeight="false" outlineLevel="0" collapsed="false">
      <c r="G927" s="41" t="str">
        <f aca="false">IF(E927="","",IFERROR(IF(ISNUMBER(SEARCH(Assumptions!$C$5,E927)),Assumptions!$D$5,IF(ISNUMBER(SEARCH(Assumptions!$C$6,E927)),Assumptions!$D$6,IF(ISNUMBER(SEARCH(Assumptions!$C$7,E927)),Assumptions!$D$7,"Other Services"))),"Other Services"))</f>
        <v/>
      </c>
    </row>
    <row r="928" customFormat="false" ht="15" hidden="false" customHeight="false" outlineLevel="0" collapsed="false">
      <c r="G928" s="41" t="str">
        <f aca="false">IF(E928="","",IFERROR(IF(ISNUMBER(SEARCH(Assumptions!$C$5,E928)),Assumptions!$D$5,IF(ISNUMBER(SEARCH(Assumptions!$C$6,E928)),Assumptions!$D$6,IF(ISNUMBER(SEARCH(Assumptions!$C$7,E928)),Assumptions!$D$7,"Other Services"))),"Other Services"))</f>
        <v/>
      </c>
    </row>
    <row r="929" customFormat="false" ht="15" hidden="false" customHeight="false" outlineLevel="0" collapsed="false">
      <c r="G929" s="41" t="str">
        <f aca="false">IF(E929="","",IFERROR(IF(ISNUMBER(SEARCH(Assumptions!$C$5,E929)),Assumptions!$D$5,IF(ISNUMBER(SEARCH(Assumptions!$C$6,E929)),Assumptions!$D$6,IF(ISNUMBER(SEARCH(Assumptions!$C$7,E929)),Assumptions!$D$7,"Other Services"))),"Other Services"))</f>
        <v/>
      </c>
    </row>
    <row r="930" customFormat="false" ht="15" hidden="false" customHeight="false" outlineLevel="0" collapsed="false">
      <c r="G930" s="41" t="str">
        <f aca="false">IF(E930="","",IFERROR(IF(ISNUMBER(SEARCH(Assumptions!$C$5,E930)),Assumptions!$D$5,IF(ISNUMBER(SEARCH(Assumptions!$C$6,E930)),Assumptions!$D$6,IF(ISNUMBER(SEARCH(Assumptions!$C$7,E930)),Assumptions!$D$7,"Other Services"))),"Other Services"))</f>
        <v/>
      </c>
    </row>
    <row r="931" customFormat="false" ht="15" hidden="false" customHeight="false" outlineLevel="0" collapsed="false">
      <c r="G931" s="41" t="str">
        <f aca="false">IF(E931="","",IFERROR(IF(ISNUMBER(SEARCH(Assumptions!$C$5,E931)),Assumptions!$D$5,IF(ISNUMBER(SEARCH(Assumptions!$C$6,E931)),Assumptions!$D$6,IF(ISNUMBER(SEARCH(Assumptions!$C$7,E931)),Assumptions!$D$7,"Other Services"))),"Other Services"))</f>
        <v/>
      </c>
    </row>
    <row r="932" customFormat="false" ht="15" hidden="false" customHeight="false" outlineLevel="0" collapsed="false">
      <c r="G932" s="41" t="str">
        <f aca="false">IF(E932="","",IFERROR(IF(ISNUMBER(SEARCH(Assumptions!$C$5,E932)),Assumptions!$D$5,IF(ISNUMBER(SEARCH(Assumptions!$C$6,E932)),Assumptions!$D$6,IF(ISNUMBER(SEARCH(Assumptions!$C$7,E932)),Assumptions!$D$7,"Other Services"))),"Other Services"))</f>
        <v/>
      </c>
    </row>
    <row r="933" customFormat="false" ht="15" hidden="false" customHeight="false" outlineLevel="0" collapsed="false">
      <c r="G933" s="41" t="str">
        <f aca="false">IF(E933="","",IFERROR(IF(ISNUMBER(SEARCH(Assumptions!$C$5,E933)),Assumptions!$D$5,IF(ISNUMBER(SEARCH(Assumptions!$C$6,E933)),Assumptions!$D$6,IF(ISNUMBER(SEARCH(Assumptions!$C$7,E933)),Assumptions!$D$7,"Other Services"))),"Other Services"))</f>
        <v/>
      </c>
    </row>
    <row r="934" customFormat="false" ht="15" hidden="false" customHeight="false" outlineLevel="0" collapsed="false">
      <c r="G934" s="41" t="str">
        <f aca="false">IF(E934="","",IFERROR(IF(ISNUMBER(SEARCH(Assumptions!$C$5,E934)),Assumptions!$D$5,IF(ISNUMBER(SEARCH(Assumptions!$C$6,E934)),Assumptions!$D$6,IF(ISNUMBER(SEARCH(Assumptions!$C$7,E934)),Assumptions!$D$7,"Other Services"))),"Other Services"))</f>
        <v/>
      </c>
    </row>
    <row r="935" customFormat="false" ht="15" hidden="false" customHeight="false" outlineLevel="0" collapsed="false">
      <c r="G935" s="41" t="str">
        <f aca="false">IF(E935="","",IFERROR(IF(ISNUMBER(SEARCH(Assumptions!$C$5,E935)),Assumptions!$D$5,IF(ISNUMBER(SEARCH(Assumptions!$C$6,E935)),Assumptions!$D$6,IF(ISNUMBER(SEARCH(Assumptions!$C$7,E935)),Assumptions!$D$7,"Other Services"))),"Other Services"))</f>
        <v/>
      </c>
    </row>
    <row r="936" customFormat="false" ht="15" hidden="false" customHeight="false" outlineLevel="0" collapsed="false">
      <c r="G936" s="41" t="str">
        <f aca="false">IF(E936="","",IFERROR(IF(ISNUMBER(SEARCH(Assumptions!$C$5,E936)),Assumptions!$D$5,IF(ISNUMBER(SEARCH(Assumptions!$C$6,E936)),Assumptions!$D$6,IF(ISNUMBER(SEARCH(Assumptions!$C$7,E936)),Assumptions!$D$7,"Other Services"))),"Other Services"))</f>
        <v/>
      </c>
    </row>
    <row r="937" customFormat="false" ht="15" hidden="false" customHeight="false" outlineLevel="0" collapsed="false">
      <c r="G937" s="41" t="str">
        <f aca="false">IF(E937="","",IFERROR(IF(ISNUMBER(SEARCH(Assumptions!$C$5,E937)),Assumptions!$D$5,IF(ISNUMBER(SEARCH(Assumptions!$C$6,E937)),Assumptions!$D$6,IF(ISNUMBER(SEARCH(Assumptions!$C$7,E937)),Assumptions!$D$7,"Other Services"))),"Other Services"))</f>
        <v/>
      </c>
    </row>
    <row r="938" customFormat="false" ht="15" hidden="false" customHeight="false" outlineLevel="0" collapsed="false">
      <c r="G938" s="41" t="str">
        <f aca="false">IF(E938="","",IFERROR(IF(ISNUMBER(SEARCH(Assumptions!$C$5,E938)),Assumptions!$D$5,IF(ISNUMBER(SEARCH(Assumptions!$C$6,E938)),Assumptions!$D$6,IF(ISNUMBER(SEARCH(Assumptions!$C$7,E938)),Assumptions!$D$7,"Other Services"))),"Other Services"))</f>
        <v/>
      </c>
    </row>
    <row r="939" customFormat="false" ht="15" hidden="false" customHeight="false" outlineLevel="0" collapsed="false">
      <c r="G939" s="41" t="str">
        <f aca="false">IF(E939="","",IFERROR(IF(ISNUMBER(SEARCH(Assumptions!$C$5,E939)),Assumptions!$D$5,IF(ISNUMBER(SEARCH(Assumptions!$C$6,E939)),Assumptions!$D$6,IF(ISNUMBER(SEARCH(Assumptions!$C$7,E939)),Assumptions!$D$7,"Other Services"))),"Other Services"))</f>
        <v/>
      </c>
    </row>
    <row r="940" customFormat="false" ht="15" hidden="false" customHeight="false" outlineLevel="0" collapsed="false">
      <c r="G940" s="41" t="str">
        <f aca="false">IF(E940="","",IFERROR(IF(ISNUMBER(SEARCH(Assumptions!$C$5,E940)),Assumptions!$D$5,IF(ISNUMBER(SEARCH(Assumptions!$C$6,E940)),Assumptions!$D$6,IF(ISNUMBER(SEARCH(Assumptions!$C$7,E940)),Assumptions!$D$7,"Other Services"))),"Other Services"))</f>
        <v/>
      </c>
    </row>
    <row r="941" customFormat="false" ht="15" hidden="false" customHeight="false" outlineLevel="0" collapsed="false">
      <c r="G941" s="41" t="str">
        <f aca="false">IF(E941="","",IFERROR(IF(ISNUMBER(SEARCH(Assumptions!$C$5,E941)),Assumptions!$D$5,IF(ISNUMBER(SEARCH(Assumptions!$C$6,E941)),Assumptions!$D$6,IF(ISNUMBER(SEARCH(Assumptions!$C$7,E941)),Assumptions!$D$7,"Other Services"))),"Other Services"))</f>
        <v/>
      </c>
    </row>
    <row r="942" customFormat="false" ht="15" hidden="false" customHeight="false" outlineLevel="0" collapsed="false">
      <c r="G942" s="41" t="str">
        <f aca="false">IF(E942="","",IFERROR(IF(ISNUMBER(SEARCH(Assumptions!$C$5,E942)),Assumptions!$D$5,IF(ISNUMBER(SEARCH(Assumptions!$C$6,E942)),Assumptions!$D$6,IF(ISNUMBER(SEARCH(Assumptions!$C$7,E942)),Assumptions!$D$7,"Other Services"))),"Other Services"))</f>
        <v/>
      </c>
    </row>
    <row r="943" customFormat="false" ht="15" hidden="false" customHeight="false" outlineLevel="0" collapsed="false">
      <c r="G943" s="41" t="str">
        <f aca="false">IF(E943="","",IFERROR(IF(ISNUMBER(SEARCH(Assumptions!$C$5,E943)),Assumptions!$D$5,IF(ISNUMBER(SEARCH(Assumptions!$C$6,E943)),Assumptions!$D$6,IF(ISNUMBER(SEARCH(Assumptions!$C$7,E943)),Assumptions!$D$7,"Other Services"))),"Other Services"))</f>
        <v/>
      </c>
    </row>
    <row r="944" customFormat="false" ht="15" hidden="false" customHeight="false" outlineLevel="0" collapsed="false">
      <c r="G944" s="41" t="str">
        <f aca="false">IF(E944="","",IFERROR(IF(ISNUMBER(SEARCH(Assumptions!$C$5,E944)),Assumptions!$D$5,IF(ISNUMBER(SEARCH(Assumptions!$C$6,E944)),Assumptions!$D$6,IF(ISNUMBER(SEARCH(Assumptions!$C$7,E944)),Assumptions!$D$7,"Other Services"))),"Other Services"))</f>
        <v/>
      </c>
    </row>
    <row r="945" customFormat="false" ht="15" hidden="false" customHeight="false" outlineLevel="0" collapsed="false">
      <c r="G945" s="41" t="str">
        <f aca="false">IF(E945="","",IFERROR(IF(ISNUMBER(SEARCH(Assumptions!$C$5,E945)),Assumptions!$D$5,IF(ISNUMBER(SEARCH(Assumptions!$C$6,E945)),Assumptions!$D$6,IF(ISNUMBER(SEARCH(Assumptions!$C$7,E945)),Assumptions!$D$7,"Other Services"))),"Other Services"))</f>
        <v/>
      </c>
    </row>
    <row r="946" customFormat="false" ht="15" hidden="false" customHeight="false" outlineLevel="0" collapsed="false">
      <c r="G946" s="41" t="str">
        <f aca="false">IF(E946="","",IFERROR(IF(ISNUMBER(SEARCH(Assumptions!$C$5,E946)),Assumptions!$D$5,IF(ISNUMBER(SEARCH(Assumptions!$C$6,E946)),Assumptions!$D$6,IF(ISNUMBER(SEARCH(Assumptions!$C$7,E946)),Assumptions!$D$7,"Other Services"))),"Other Services"))</f>
        <v/>
      </c>
    </row>
    <row r="947" customFormat="false" ht="15" hidden="false" customHeight="false" outlineLevel="0" collapsed="false">
      <c r="G947" s="41" t="str">
        <f aca="false">IF(E947="","",IFERROR(IF(ISNUMBER(SEARCH(Assumptions!$C$5,E947)),Assumptions!$D$5,IF(ISNUMBER(SEARCH(Assumptions!$C$6,E947)),Assumptions!$D$6,IF(ISNUMBER(SEARCH(Assumptions!$C$7,E947)),Assumptions!$D$7,"Other Services"))),"Other Services"))</f>
        <v/>
      </c>
    </row>
    <row r="948" customFormat="false" ht="15" hidden="false" customHeight="false" outlineLevel="0" collapsed="false">
      <c r="G948" s="41" t="str">
        <f aca="false">IF(E948="","",IFERROR(IF(ISNUMBER(SEARCH(Assumptions!$C$5,E948)),Assumptions!$D$5,IF(ISNUMBER(SEARCH(Assumptions!$C$6,E948)),Assumptions!$D$6,IF(ISNUMBER(SEARCH(Assumptions!$C$7,E948)),Assumptions!$D$7,"Other Services"))),"Other Services"))</f>
        <v/>
      </c>
    </row>
    <row r="949" customFormat="false" ht="15" hidden="false" customHeight="false" outlineLevel="0" collapsed="false">
      <c r="G949" s="41" t="str">
        <f aca="false">IF(E949="","",IFERROR(IF(ISNUMBER(SEARCH(Assumptions!$C$5,E949)),Assumptions!$D$5,IF(ISNUMBER(SEARCH(Assumptions!$C$6,E949)),Assumptions!$D$6,IF(ISNUMBER(SEARCH(Assumptions!$C$7,E949)),Assumptions!$D$7,"Other Services"))),"Other Services"))</f>
        <v/>
      </c>
    </row>
    <row r="950" customFormat="false" ht="15" hidden="false" customHeight="false" outlineLevel="0" collapsed="false">
      <c r="G950" s="41" t="str">
        <f aca="false">IF(E950="","",IFERROR(IF(ISNUMBER(SEARCH(Assumptions!$C$5,E950)),Assumptions!$D$5,IF(ISNUMBER(SEARCH(Assumptions!$C$6,E950)),Assumptions!$D$6,IF(ISNUMBER(SEARCH(Assumptions!$C$7,E950)),Assumptions!$D$7,"Other Services"))),"Other Services"))</f>
        <v/>
      </c>
    </row>
    <row r="951" customFormat="false" ht="15" hidden="false" customHeight="false" outlineLevel="0" collapsed="false">
      <c r="G951" s="41" t="str">
        <f aca="false">IF(E951="","",IFERROR(IF(ISNUMBER(SEARCH(Assumptions!$C$5,E951)),Assumptions!$D$5,IF(ISNUMBER(SEARCH(Assumptions!$C$6,E951)),Assumptions!$D$6,IF(ISNUMBER(SEARCH(Assumptions!$C$7,E951)),Assumptions!$D$7,"Other Services"))),"Other Services"))</f>
        <v/>
      </c>
    </row>
    <row r="952" customFormat="false" ht="15" hidden="false" customHeight="false" outlineLevel="0" collapsed="false">
      <c r="G952" s="41" t="str">
        <f aca="false">IF(E952="","",IFERROR(IF(ISNUMBER(SEARCH(Assumptions!$C$5,E952)),Assumptions!$D$5,IF(ISNUMBER(SEARCH(Assumptions!$C$6,E952)),Assumptions!$D$6,IF(ISNUMBER(SEARCH(Assumptions!$C$7,E952)),Assumptions!$D$7,"Other Services"))),"Other Services"))</f>
        <v/>
      </c>
    </row>
    <row r="953" customFormat="false" ht="15" hidden="false" customHeight="false" outlineLevel="0" collapsed="false">
      <c r="G953" s="41" t="str">
        <f aca="false">IF(E953="","",IFERROR(IF(ISNUMBER(SEARCH(Assumptions!$C$5,E953)),Assumptions!$D$5,IF(ISNUMBER(SEARCH(Assumptions!$C$6,E953)),Assumptions!$D$6,IF(ISNUMBER(SEARCH(Assumptions!$C$7,E953)),Assumptions!$D$7,"Other Services"))),"Other Services"))</f>
        <v/>
      </c>
    </row>
    <row r="954" customFormat="false" ht="15" hidden="false" customHeight="false" outlineLevel="0" collapsed="false">
      <c r="G954" s="41" t="str">
        <f aca="false">IF(E954="","",IFERROR(IF(ISNUMBER(SEARCH(Assumptions!$C$5,E954)),Assumptions!$D$5,IF(ISNUMBER(SEARCH(Assumptions!$C$6,E954)),Assumptions!$D$6,IF(ISNUMBER(SEARCH(Assumptions!$C$7,E954)),Assumptions!$D$7,"Other Services"))),"Other Services"))</f>
        <v/>
      </c>
    </row>
    <row r="955" customFormat="false" ht="15" hidden="false" customHeight="false" outlineLevel="0" collapsed="false">
      <c r="G955" s="41" t="str">
        <f aca="false">IF(E955="","",IFERROR(IF(ISNUMBER(SEARCH(Assumptions!$C$5,E955)),Assumptions!$D$5,IF(ISNUMBER(SEARCH(Assumptions!$C$6,E955)),Assumptions!$D$6,IF(ISNUMBER(SEARCH(Assumptions!$C$7,E955)),Assumptions!$D$7,"Other Services"))),"Other Services"))</f>
        <v/>
      </c>
    </row>
    <row r="956" customFormat="false" ht="15" hidden="false" customHeight="false" outlineLevel="0" collapsed="false">
      <c r="G956" s="41" t="str">
        <f aca="false">IF(E956="","",IFERROR(IF(ISNUMBER(SEARCH(Assumptions!$C$5,E956)),Assumptions!$D$5,IF(ISNUMBER(SEARCH(Assumptions!$C$6,E956)),Assumptions!$D$6,IF(ISNUMBER(SEARCH(Assumptions!$C$7,E956)),Assumptions!$D$7,"Other Services"))),"Other Services"))</f>
        <v/>
      </c>
    </row>
    <row r="957" customFormat="false" ht="15" hidden="false" customHeight="false" outlineLevel="0" collapsed="false">
      <c r="G957" s="41" t="str">
        <f aca="false">IF(E957="","",IFERROR(IF(ISNUMBER(SEARCH(Assumptions!$C$5,E957)),Assumptions!$D$5,IF(ISNUMBER(SEARCH(Assumptions!$C$6,E957)),Assumptions!$D$6,IF(ISNUMBER(SEARCH(Assumptions!$C$7,E957)),Assumptions!$D$7,"Other Services"))),"Other Services"))</f>
        <v/>
      </c>
    </row>
    <row r="958" customFormat="false" ht="15" hidden="false" customHeight="false" outlineLevel="0" collapsed="false">
      <c r="G958" s="41" t="str">
        <f aca="false">IF(E958="","",IFERROR(IF(ISNUMBER(SEARCH(Assumptions!$C$5,E958)),Assumptions!$D$5,IF(ISNUMBER(SEARCH(Assumptions!$C$6,E958)),Assumptions!$D$6,IF(ISNUMBER(SEARCH(Assumptions!$C$7,E958)),Assumptions!$D$7,"Other Services"))),"Other Services"))</f>
        <v/>
      </c>
    </row>
    <row r="959" customFormat="false" ht="15" hidden="false" customHeight="false" outlineLevel="0" collapsed="false">
      <c r="G959" s="41" t="str">
        <f aca="false">IF(E959="","",IFERROR(IF(ISNUMBER(SEARCH(Assumptions!$C$5,E959)),Assumptions!$D$5,IF(ISNUMBER(SEARCH(Assumptions!$C$6,E959)),Assumptions!$D$6,IF(ISNUMBER(SEARCH(Assumptions!$C$7,E959)),Assumptions!$D$7,"Other Services"))),"Other Services"))</f>
        <v/>
      </c>
    </row>
    <row r="960" customFormat="false" ht="15" hidden="false" customHeight="false" outlineLevel="0" collapsed="false">
      <c r="G960" s="41" t="str">
        <f aca="false">IF(E960="","",IFERROR(IF(ISNUMBER(SEARCH(Assumptions!$C$5,E960)),Assumptions!$D$5,IF(ISNUMBER(SEARCH(Assumptions!$C$6,E960)),Assumptions!$D$6,IF(ISNUMBER(SEARCH(Assumptions!$C$7,E960)),Assumptions!$D$7,"Other Services"))),"Other Services"))</f>
        <v/>
      </c>
    </row>
    <row r="961" customFormat="false" ht="15" hidden="false" customHeight="false" outlineLevel="0" collapsed="false">
      <c r="G961" s="41" t="str">
        <f aca="false">IF(E961="","",IFERROR(IF(ISNUMBER(SEARCH(Assumptions!$C$5,E961)),Assumptions!$D$5,IF(ISNUMBER(SEARCH(Assumptions!$C$6,E961)),Assumptions!$D$6,IF(ISNUMBER(SEARCH(Assumptions!$C$7,E961)),Assumptions!$D$7,"Other Services"))),"Other Services"))</f>
        <v/>
      </c>
    </row>
    <row r="962" customFormat="false" ht="15" hidden="false" customHeight="false" outlineLevel="0" collapsed="false">
      <c r="G962" s="41" t="str">
        <f aca="false">IF(E962="","",IFERROR(IF(ISNUMBER(SEARCH(Assumptions!$C$5,E962)),Assumptions!$D$5,IF(ISNUMBER(SEARCH(Assumptions!$C$6,E962)),Assumptions!$D$6,IF(ISNUMBER(SEARCH(Assumptions!$C$7,E962)),Assumptions!$D$7,"Other Services"))),"Other Services"))</f>
        <v/>
      </c>
    </row>
    <row r="963" customFormat="false" ht="15" hidden="false" customHeight="false" outlineLevel="0" collapsed="false">
      <c r="G963" s="41" t="str">
        <f aca="false">IF(E963="","",IFERROR(IF(ISNUMBER(SEARCH(Assumptions!$C$5,E963)),Assumptions!$D$5,IF(ISNUMBER(SEARCH(Assumptions!$C$6,E963)),Assumptions!$D$6,IF(ISNUMBER(SEARCH(Assumptions!$C$7,E963)),Assumptions!$D$7,"Other Services"))),"Other Services"))</f>
        <v/>
      </c>
    </row>
    <row r="964" customFormat="false" ht="15" hidden="false" customHeight="false" outlineLevel="0" collapsed="false">
      <c r="G964" s="41" t="str">
        <f aca="false">IF(E964="","",IFERROR(IF(ISNUMBER(SEARCH(Assumptions!$C$5,E964)),Assumptions!$D$5,IF(ISNUMBER(SEARCH(Assumptions!$C$6,E964)),Assumptions!$D$6,IF(ISNUMBER(SEARCH(Assumptions!$C$7,E964)),Assumptions!$D$7,"Other Services"))),"Other Services"))</f>
        <v/>
      </c>
    </row>
    <row r="965" customFormat="false" ht="15" hidden="false" customHeight="false" outlineLevel="0" collapsed="false">
      <c r="G965" s="41" t="str">
        <f aca="false">IF(E965="","",IFERROR(IF(ISNUMBER(SEARCH(Assumptions!$C$5,E965)),Assumptions!$D$5,IF(ISNUMBER(SEARCH(Assumptions!$C$6,E965)),Assumptions!$D$6,IF(ISNUMBER(SEARCH(Assumptions!$C$7,E965)),Assumptions!$D$7,"Other Services"))),"Other Services"))</f>
        <v/>
      </c>
    </row>
    <row r="966" customFormat="false" ht="15" hidden="false" customHeight="false" outlineLevel="0" collapsed="false">
      <c r="G966" s="41" t="str">
        <f aca="false">IF(E966="","",IFERROR(IF(ISNUMBER(SEARCH(Assumptions!$C$5,E966)),Assumptions!$D$5,IF(ISNUMBER(SEARCH(Assumptions!$C$6,E966)),Assumptions!$D$6,IF(ISNUMBER(SEARCH(Assumptions!$C$7,E966)),Assumptions!$D$7,"Other Services"))),"Other Services"))</f>
        <v/>
      </c>
    </row>
    <row r="967" customFormat="false" ht="15" hidden="false" customHeight="false" outlineLevel="0" collapsed="false">
      <c r="G967" s="41" t="str">
        <f aca="false">IF(E967="","",IFERROR(IF(ISNUMBER(SEARCH(Assumptions!$C$5,E967)),Assumptions!$D$5,IF(ISNUMBER(SEARCH(Assumptions!$C$6,E967)),Assumptions!$D$6,IF(ISNUMBER(SEARCH(Assumptions!$C$7,E967)),Assumptions!$D$7,"Other Services"))),"Other Services"))</f>
        <v/>
      </c>
    </row>
    <row r="968" customFormat="false" ht="15" hidden="false" customHeight="false" outlineLevel="0" collapsed="false">
      <c r="G968" s="41" t="str">
        <f aca="false">IF(E968="","",IFERROR(IF(ISNUMBER(SEARCH(Assumptions!$C$5,E968)),Assumptions!$D$5,IF(ISNUMBER(SEARCH(Assumptions!$C$6,E968)),Assumptions!$D$6,IF(ISNUMBER(SEARCH(Assumptions!$C$7,E968)),Assumptions!$D$7,"Other Services"))),"Other Services"))</f>
        <v/>
      </c>
    </row>
    <row r="969" customFormat="false" ht="15" hidden="false" customHeight="false" outlineLevel="0" collapsed="false">
      <c r="G969" s="41" t="str">
        <f aca="false">IF(E969="","",IFERROR(IF(ISNUMBER(SEARCH(Assumptions!$C$5,E969)),Assumptions!$D$5,IF(ISNUMBER(SEARCH(Assumptions!$C$6,E969)),Assumptions!$D$6,IF(ISNUMBER(SEARCH(Assumptions!$C$7,E969)),Assumptions!$D$7,"Other Services"))),"Other Services"))</f>
        <v/>
      </c>
    </row>
    <row r="970" customFormat="false" ht="15" hidden="false" customHeight="false" outlineLevel="0" collapsed="false">
      <c r="G970" s="41" t="str">
        <f aca="false">IF(E970="","",IFERROR(IF(ISNUMBER(SEARCH(Assumptions!$C$5,E970)),Assumptions!$D$5,IF(ISNUMBER(SEARCH(Assumptions!$C$6,E970)),Assumptions!$D$6,IF(ISNUMBER(SEARCH(Assumptions!$C$7,E970)),Assumptions!$D$7,"Other Services"))),"Other Services"))</f>
        <v/>
      </c>
    </row>
    <row r="971" customFormat="false" ht="15" hidden="false" customHeight="false" outlineLevel="0" collapsed="false">
      <c r="G971" s="41" t="str">
        <f aca="false">IF(E971="","",IFERROR(IF(ISNUMBER(SEARCH(Assumptions!$C$5,E971)),Assumptions!$D$5,IF(ISNUMBER(SEARCH(Assumptions!$C$6,E971)),Assumptions!$D$6,IF(ISNUMBER(SEARCH(Assumptions!$C$7,E971)),Assumptions!$D$7,"Other Services"))),"Other Services"))</f>
        <v/>
      </c>
    </row>
    <row r="972" customFormat="false" ht="15" hidden="false" customHeight="false" outlineLevel="0" collapsed="false">
      <c r="G972" s="41" t="str">
        <f aca="false">IF(E972="","",IFERROR(IF(ISNUMBER(SEARCH(Assumptions!$C$5,E972)),Assumptions!$D$5,IF(ISNUMBER(SEARCH(Assumptions!$C$6,E972)),Assumptions!$D$6,IF(ISNUMBER(SEARCH(Assumptions!$C$7,E972)),Assumptions!$D$7,"Other Services"))),"Other Services"))</f>
        <v/>
      </c>
    </row>
    <row r="973" customFormat="false" ht="15" hidden="false" customHeight="false" outlineLevel="0" collapsed="false">
      <c r="G973" s="41" t="str">
        <f aca="false">IF(E973="","",IFERROR(IF(ISNUMBER(SEARCH(Assumptions!$C$5,E973)),Assumptions!$D$5,IF(ISNUMBER(SEARCH(Assumptions!$C$6,E973)),Assumptions!$D$6,IF(ISNUMBER(SEARCH(Assumptions!$C$7,E973)),Assumptions!$D$7,"Other Services"))),"Other Services"))</f>
        <v/>
      </c>
    </row>
    <row r="974" customFormat="false" ht="15" hidden="false" customHeight="false" outlineLevel="0" collapsed="false">
      <c r="G974" s="41" t="str">
        <f aca="false">IF(E974="","",IFERROR(IF(ISNUMBER(SEARCH(Assumptions!$C$5,E974)),Assumptions!$D$5,IF(ISNUMBER(SEARCH(Assumptions!$C$6,E974)),Assumptions!$D$6,IF(ISNUMBER(SEARCH(Assumptions!$C$7,E974)),Assumptions!$D$7,"Other Services"))),"Other Services"))</f>
        <v/>
      </c>
    </row>
    <row r="975" customFormat="false" ht="15" hidden="false" customHeight="false" outlineLevel="0" collapsed="false">
      <c r="G975" s="41" t="str">
        <f aca="false">IF(E975="","",IFERROR(IF(ISNUMBER(SEARCH(Assumptions!$C$5,E975)),Assumptions!$D$5,IF(ISNUMBER(SEARCH(Assumptions!$C$6,E975)),Assumptions!$D$6,IF(ISNUMBER(SEARCH(Assumptions!$C$7,E975)),Assumptions!$D$7,"Other Services"))),"Other Services"))</f>
        <v/>
      </c>
    </row>
    <row r="976" customFormat="false" ht="15" hidden="false" customHeight="false" outlineLevel="0" collapsed="false">
      <c r="G976" s="41" t="str">
        <f aca="false">IF(E976="","",IFERROR(IF(ISNUMBER(SEARCH(Assumptions!$C$5,E976)),Assumptions!$D$5,IF(ISNUMBER(SEARCH(Assumptions!$C$6,E976)),Assumptions!$D$6,IF(ISNUMBER(SEARCH(Assumptions!$C$7,E976)),Assumptions!$D$7,"Other Services"))),"Other Services"))</f>
        <v/>
      </c>
    </row>
    <row r="977" customFormat="false" ht="15" hidden="false" customHeight="false" outlineLevel="0" collapsed="false">
      <c r="G977" s="41" t="str">
        <f aca="false">IF(E977="","",IFERROR(IF(ISNUMBER(SEARCH(Assumptions!$C$5,E977)),Assumptions!$D$5,IF(ISNUMBER(SEARCH(Assumptions!$C$6,E977)),Assumptions!$D$6,IF(ISNUMBER(SEARCH(Assumptions!$C$7,E977)),Assumptions!$D$7,"Other Services"))),"Other Services"))</f>
        <v/>
      </c>
    </row>
    <row r="978" customFormat="false" ht="15" hidden="false" customHeight="false" outlineLevel="0" collapsed="false">
      <c r="G978" s="41" t="str">
        <f aca="false">IF(E978="","",IFERROR(IF(ISNUMBER(SEARCH(Assumptions!$C$5,E978)),Assumptions!$D$5,IF(ISNUMBER(SEARCH(Assumptions!$C$6,E978)),Assumptions!$D$6,IF(ISNUMBER(SEARCH(Assumptions!$C$7,E978)),Assumptions!$D$7,"Other Services"))),"Other Services"))</f>
        <v/>
      </c>
    </row>
    <row r="979" customFormat="false" ht="15" hidden="false" customHeight="false" outlineLevel="0" collapsed="false">
      <c r="G979" s="41" t="str">
        <f aca="false">IF(E979="","",IFERROR(IF(ISNUMBER(SEARCH(Assumptions!$C$5,E979)),Assumptions!$D$5,IF(ISNUMBER(SEARCH(Assumptions!$C$6,E979)),Assumptions!$D$6,IF(ISNUMBER(SEARCH(Assumptions!$C$7,E979)),Assumptions!$D$7,"Other Services"))),"Other Services"))</f>
        <v/>
      </c>
    </row>
    <row r="980" customFormat="false" ht="15" hidden="false" customHeight="false" outlineLevel="0" collapsed="false">
      <c r="G980" s="41" t="str">
        <f aca="false">IF(E980="","",IFERROR(IF(ISNUMBER(SEARCH(Assumptions!$C$5,E980)),Assumptions!$D$5,IF(ISNUMBER(SEARCH(Assumptions!$C$6,E980)),Assumptions!$D$6,IF(ISNUMBER(SEARCH(Assumptions!$C$7,E980)),Assumptions!$D$7,"Other Services"))),"Other Services"))</f>
        <v/>
      </c>
    </row>
    <row r="981" customFormat="false" ht="15" hidden="false" customHeight="false" outlineLevel="0" collapsed="false">
      <c r="G981" s="41" t="str">
        <f aca="false">IF(E981="","",IFERROR(IF(ISNUMBER(SEARCH(Assumptions!$C$5,E981)),Assumptions!$D$5,IF(ISNUMBER(SEARCH(Assumptions!$C$6,E981)),Assumptions!$D$6,IF(ISNUMBER(SEARCH(Assumptions!$C$7,E981)),Assumptions!$D$7,"Other Services"))),"Other Services"))</f>
        <v/>
      </c>
    </row>
    <row r="982" customFormat="false" ht="15" hidden="false" customHeight="false" outlineLevel="0" collapsed="false">
      <c r="G982" s="41" t="str">
        <f aca="false">IF(E982="","",IFERROR(IF(ISNUMBER(SEARCH(Assumptions!$C$5,E982)),Assumptions!$D$5,IF(ISNUMBER(SEARCH(Assumptions!$C$6,E982)),Assumptions!$D$6,IF(ISNUMBER(SEARCH(Assumptions!$C$7,E982)),Assumptions!$D$7,"Other Services"))),"Other Services"))</f>
        <v/>
      </c>
    </row>
    <row r="983" customFormat="false" ht="15" hidden="false" customHeight="false" outlineLevel="0" collapsed="false">
      <c r="G983" s="41" t="str">
        <f aca="false">IF(E983="","",IFERROR(IF(ISNUMBER(SEARCH(Assumptions!$C$5,E983)),Assumptions!$D$5,IF(ISNUMBER(SEARCH(Assumptions!$C$6,E983)),Assumptions!$D$6,IF(ISNUMBER(SEARCH(Assumptions!$C$7,E983)),Assumptions!$D$7,"Other Services"))),"Other Services"))</f>
        <v/>
      </c>
    </row>
    <row r="984" customFormat="false" ht="15" hidden="false" customHeight="false" outlineLevel="0" collapsed="false">
      <c r="G984" s="41" t="str">
        <f aca="false">IF(E984="","",IFERROR(IF(ISNUMBER(SEARCH(Assumptions!$C$5,E984)),Assumptions!$D$5,IF(ISNUMBER(SEARCH(Assumptions!$C$6,E984)),Assumptions!$D$6,IF(ISNUMBER(SEARCH(Assumptions!$C$7,E984)),Assumptions!$D$7,"Other Services"))),"Other Services"))</f>
        <v/>
      </c>
    </row>
    <row r="985" customFormat="false" ht="15" hidden="false" customHeight="false" outlineLevel="0" collapsed="false">
      <c r="G985" s="41" t="str">
        <f aca="false">IF(E985="","",IFERROR(IF(ISNUMBER(SEARCH(Assumptions!$C$5,E985)),Assumptions!$D$5,IF(ISNUMBER(SEARCH(Assumptions!$C$6,E985)),Assumptions!$D$6,IF(ISNUMBER(SEARCH(Assumptions!$C$7,E985)),Assumptions!$D$7,"Other Services"))),"Other Services"))</f>
        <v/>
      </c>
    </row>
    <row r="986" customFormat="false" ht="15" hidden="false" customHeight="false" outlineLevel="0" collapsed="false">
      <c r="G986" s="41" t="str">
        <f aca="false">IF(E986="","",IFERROR(IF(ISNUMBER(SEARCH(Assumptions!$C$5,E986)),Assumptions!$D$5,IF(ISNUMBER(SEARCH(Assumptions!$C$6,E986)),Assumptions!$D$6,IF(ISNUMBER(SEARCH(Assumptions!$C$7,E986)),Assumptions!$D$7,"Other Services"))),"Other Services"))</f>
        <v/>
      </c>
    </row>
    <row r="987" customFormat="false" ht="15" hidden="false" customHeight="false" outlineLevel="0" collapsed="false">
      <c r="G987" s="41" t="str">
        <f aca="false">IF(E987="","",IFERROR(IF(ISNUMBER(SEARCH(Assumptions!$C$5,E987)),Assumptions!$D$5,IF(ISNUMBER(SEARCH(Assumptions!$C$6,E987)),Assumptions!$D$6,IF(ISNUMBER(SEARCH(Assumptions!$C$7,E987)),Assumptions!$D$7,"Other Services"))),"Other Services"))</f>
        <v/>
      </c>
    </row>
    <row r="988" customFormat="false" ht="15" hidden="false" customHeight="false" outlineLevel="0" collapsed="false">
      <c r="G988" s="41" t="str">
        <f aca="false">IF(E988="","",IFERROR(IF(ISNUMBER(SEARCH(Assumptions!$C$5,E988)),Assumptions!$D$5,IF(ISNUMBER(SEARCH(Assumptions!$C$6,E988)),Assumptions!$D$6,IF(ISNUMBER(SEARCH(Assumptions!$C$7,E988)),Assumptions!$D$7,"Other Services"))),"Other Services"))</f>
        <v/>
      </c>
    </row>
    <row r="989" customFormat="false" ht="15" hidden="false" customHeight="false" outlineLevel="0" collapsed="false">
      <c r="G989" s="41" t="str">
        <f aca="false">IF(E989="","",IFERROR(IF(ISNUMBER(SEARCH(Assumptions!$C$5,E989)),Assumptions!$D$5,IF(ISNUMBER(SEARCH(Assumptions!$C$6,E989)),Assumptions!$D$6,IF(ISNUMBER(SEARCH(Assumptions!$C$7,E989)),Assumptions!$D$7,"Other Services"))),"Other Services"))</f>
        <v/>
      </c>
    </row>
    <row r="990" customFormat="false" ht="15" hidden="false" customHeight="false" outlineLevel="0" collapsed="false">
      <c r="G990" s="41" t="str">
        <f aca="false">IF(E990="","",IFERROR(IF(ISNUMBER(SEARCH(Assumptions!$C$5,E990)),Assumptions!$D$5,IF(ISNUMBER(SEARCH(Assumptions!$C$6,E990)),Assumptions!$D$6,IF(ISNUMBER(SEARCH(Assumptions!$C$7,E990)),Assumptions!$D$7,"Other Services"))),"Other Services"))</f>
        <v/>
      </c>
    </row>
    <row r="991" customFormat="false" ht="15" hidden="false" customHeight="false" outlineLevel="0" collapsed="false">
      <c r="G991" s="41" t="str">
        <f aca="false">IF(E991="","",IFERROR(IF(ISNUMBER(SEARCH(Assumptions!$C$5,E991)),Assumptions!$D$5,IF(ISNUMBER(SEARCH(Assumptions!$C$6,E991)),Assumptions!$D$6,IF(ISNUMBER(SEARCH(Assumptions!$C$7,E991)),Assumptions!$D$7,"Other Services"))),"Other Services"))</f>
        <v/>
      </c>
    </row>
    <row r="992" customFormat="false" ht="15" hidden="false" customHeight="false" outlineLevel="0" collapsed="false">
      <c r="G992" s="41" t="str">
        <f aca="false">IF(E992="","",IFERROR(IF(ISNUMBER(SEARCH(Assumptions!$C$5,E992)),Assumptions!$D$5,IF(ISNUMBER(SEARCH(Assumptions!$C$6,E992)),Assumptions!$D$6,IF(ISNUMBER(SEARCH(Assumptions!$C$7,E992)),Assumptions!$D$7,"Other Services"))),"Other Services"))</f>
        <v/>
      </c>
    </row>
    <row r="993" customFormat="false" ht="15" hidden="false" customHeight="false" outlineLevel="0" collapsed="false">
      <c r="G993" s="41" t="str">
        <f aca="false">IF(E993="","",IFERROR(IF(ISNUMBER(SEARCH(Assumptions!$C$5,E993)),Assumptions!$D$5,IF(ISNUMBER(SEARCH(Assumptions!$C$6,E993)),Assumptions!$D$6,IF(ISNUMBER(SEARCH(Assumptions!$C$7,E993)),Assumptions!$D$7,"Other Services"))),"Other Services"))</f>
        <v/>
      </c>
    </row>
    <row r="994" customFormat="false" ht="15" hidden="false" customHeight="false" outlineLevel="0" collapsed="false">
      <c r="G994" s="41" t="str">
        <f aca="false">IF(E994="","",IFERROR(IF(ISNUMBER(SEARCH(Assumptions!$C$5,E994)),Assumptions!$D$5,IF(ISNUMBER(SEARCH(Assumptions!$C$6,E994)),Assumptions!$D$6,IF(ISNUMBER(SEARCH(Assumptions!$C$7,E994)),Assumptions!$D$7,"Other Services"))),"Other Services"))</f>
        <v/>
      </c>
    </row>
    <row r="995" customFormat="false" ht="15" hidden="false" customHeight="false" outlineLevel="0" collapsed="false">
      <c r="G995" s="41" t="str">
        <f aca="false">IF(E995="","",IFERROR(IF(ISNUMBER(SEARCH(Assumptions!$C$5,E995)),Assumptions!$D$5,IF(ISNUMBER(SEARCH(Assumptions!$C$6,E995)),Assumptions!$D$6,IF(ISNUMBER(SEARCH(Assumptions!$C$7,E995)),Assumptions!$D$7,"Other Services"))),"Other Services"))</f>
        <v/>
      </c>
    </row>
    <row r="996" customFormat="false" ht="15" hidden="false" customHeight="false" outlineLevel="0" collapsed="false">
      <c r="G996" s="41" t="str">
        <f aca="false">IF(E996="","",IFERROR(IF(ISNUMBER(SEARCH(Assumptions!$C$5,E996)),Assumptions!$D$5,IF(ISNUMBER(SEARCH(Assumptions!$C$6,E996)),Assumptions!$D$6,IF(ISNUMBER(SEARCH(Assumptions!$C$7,E996)),Assumptions!$D$7,"Other Services"))),"Other Services"))</f>
        <v/>
      </c>
    </row>
    <row r="997" customFormat="false" ht="15" hidden="false" customHeight="false" outlineLevel="0" collapsed="false">
      <c r="G997" s="41" t="str">
        <f aca="false">IF(E997="","",IFERROR(IF(ISNUMBER(SEARCH(Assumptions!$C$5,E997)),Assumptions!$D$5,IF(ISNUMBER(SEARCH(Assumptions!$C$6,E997)),Assumptions!$D$6,IF(ISNUMBER(SEARCH(Assumptions!$C$7,E997)),Assumptions!$D$7,"Other Services"))),"Other Services"))</f>
        <v/>
      </c>
    </row>
    <row r="998" customFormat="false" ht="15" hidden="false" customHeight="false" outlineLevel="0" collapsed="false">
      <c r="G998" s="41" t="str">
        <f aca="false">IF(E998="","",IFERROR(IF(ISNUMBER(SEARCH(Assumptions!$C$5,E998)),Assumptions!$D$5,IF(ISNUMBER(SEARCH(Assumptions!$C$6,E998)),Assumptions!$D$6,IF(ISNUMBER(SEARCH(Assumptions!$C$7,E998)),Assumptions!$D$7,"Other Services"))),"Other Services"))</f>
        <v/>
      </c>
    </row>
    <row r="999" customFormat="false" ht="15" hidden="false" customHeight="false" outlineLevel="0" collapsed="false">
      <c r="G999" s="41" t="str">
        <f aca="false">IF(E999="","",IFERROR(IF(ISNUMBER(SEARCH(Assumptions!$C$5,E999)),Assumptions!$D$5,IF(ISNUMBER(SEARCH(Assumptions!$C$6,E999)),Assumptions!$D$6,IF(ISNUMBER(SEARCH(Assumptions!$C$7,E999)),Assumptions!$D$7,"Other Services"))),"Other Services"))</f>
        <v/>
      </c>
    </row>
    <row r="1000" customFormat="false" ht="15" hidden="false" customHeight="false" outlineLevel="0" collapsed="false">
      <c r="G1000" s="41" t="str">
        <f aca="false">IF(E1000="","",IFERROR(IF(ISNUMBER(SEARCH(Assumptions!$C$5,E1000)),Assumptions!$D$5,IF(ISNUMBER(SEARCH(Assumptions!$C$6,E1000)),Assumptions!$D$6,IF(ISNUMBER(SEARCH(Assumptions!$C$7,E1000)),Assumptions!$D$7,"Other Services"))),"Other Services"))</f>
        <v/>
      </c>
    </row>
    <row r="1001" customFormat="false" ht="15" hidden="false" customHeight="false" outlineLevel="0" collapsed="false">
      <c r="G1001" s="41" t="str">
        <f aca="false">IF(E1001="","",IFERROR(IF(ISNUMBER(SEARCH(Assumptions!$C$5,E1001)),Assumptions!$D$5,IF(ISNUMBER(SEARCH(Assumptions!$C$6,E1001)),Assumptions!$D$6,IF(ISNUMBER(SEARCH(Assumptions!$C$7,E1001)),Assumptions!$D$7,"Other Services"))),"Other Services"))</f>
        <v/>
      </c>
    </row>
    <row r="1002" customFormat="false" ht="15" hidden="false" customHeight="false" outlineLevel="0" collapsed="false">
      <c r="G1002" s="41" t="str">
        <f aca="false">IF(E1002="","",IFERROR(IF(ISNUMBER(SEARCH(Assumptions!$C$5,E1002)),Assumptions!$D$5,IF(ISNUMBER(SEARCH(Assumptions!$C$6,E1002)),Assumptions!$D$6,IF(ISNUMBER(SEARCH(Assumptions!$C$7,E1002)),Assumptions!$D$7,"Other Services"))),"Other Services"))</f>
        <v/>
      </c>
    </row>
    <row r="1003" customFormat="false" ht="15" hidden="false" customHeight="false" outlineLevel="0" collapsed="false">
      <c r="G1003" s="41" t="str">
        <f aca="false">IF(E1003="","",IFERROR(IF(ISNUMBER(SEARCH(Assumptions!$C$5,E1003)),Assumptions!$D$5,IF(ISNUMBER(SEARCH(Assumptions!$C$6,E1003)),Assumptions!$D$6,IF(ISNUMBER(SEARCH(Assumptions!$C$7,E1003)),Assumptions!$D$7,"Other Services"))),"Other Services"))</f>
        <v/>
      </c>
    </row>
    <row r="1004" customFormat="false" ht="15" hidden="false" customHeight="false" outlineLevel="0" collapsed="false">
      <c r="G1004" s="41" t="str">
        <f aca="false">IF(E1004="","",IFERROR(IF(ISNUMBER(SEARCH(Assumptions!$C$5,E1004)),Assumptions!$D$5,IF(ISNUMBER(SEARCH(Assumptions!$C$6,E1004)),Assumptions!$D$6,IF(ISNUMBER(SEARCH(Assumptions!$C$7,E1004)),Assumptions!$D$7,"Other Services"))),"Other Services"))</f>
        <v/>
      </c>
    </row>
    <row r="1005" customFormat="false" ht="15" hidden="false" customHeight="false" outlineLevel="0" collapsed="false">
      <c r="G1005" s="41" t="str">
        <f aca="false">IF(E1005="","",IFERROR(IF(ISNUMBER(SEARCH(Assumptions!$C$5,E1005)),Assumptions!$D$5,IF(ISNUMBER(SEARCH(Assumptions!$C$6,E1005)),Assumptions!$D$6,IF(ISNUMBER(SEARCH(Assumptions!$C$7,E1005)),Assumptions!$D$7,"Other Services"))),"Other Services"))</f>
        <v/>
      </c>
    </row>
    <row r="1006" customFormat="false" ht="15" hidden="false" customHeight="false" outlineLevel="0" collapsed="false">
      <c r="G1006" s="41" t="str">
        <f aca="false">IF(E1006="","",IFERROR(IF(ISNUMBER(SEARCH(Assumptions!$C$5,E1006)),Assumptions!$D$5,IF(ISNUMBER(SEARCH(Assumptions!$C$6,E1006)),Assumptions!$D$6,IF(ISNUMBER(SEARCH(Assumptions!$C$7,E1006)),Assumptions!$D$7,"Other Services"))),"Other Services"))</f>
        <v/>
      </c>
    </row>
    <row r="1007" customFormat="false" ht="15" hidden="false" customHeight="false" outlineLevel="0" collapsed="false">
      <c r="G1007" s="41" t="str">
        <f aca="false">IF(E1007="","",IFERROR(IF(ISNUMBER(SEARCH(Assumptions!$C$5,E1007)),Assumptions!$D$5,IF(ISNUMBER(SEARCH(Assumptions!$C$6,E1007)),Assumptions!$D$6,IF(ISNUMBER(SEARCH(Assumptions!$C$7,E1007)),Assumptions!$D$7,"Other Services"))),"Other Services"))</f>
        <v/>
      </c>
    </row>
    <row r="1008" customFormat="false" ht="15" hidden="false" customHeight="false" outlineLevel="0" collapsed="false">
      <c r="G1008" s="41" t="str">
        <f aca="false">IF(E1008="","",IFERROR(IF(ISNUMBER(SEARCH(Assumptions!$C$5,E1008)),Assumptions!$D$5,IF(ISNUMBER(SEARCH(Assumptions!$C$6,E1008)),Assumptions!$D$6,IF(ISNUMBER(SEARCH(Assumptions!$C$7,E1008)),Assumptions!$D$7,"Other Services"))),"Other Services"))</f>
        <v/>
      </c>
    </row>
    <row r="1009" customFormat="false" ht="15" hidden="false" customHeight="false" outlineLevel="0" collapsed="false">
      <c r="G1009" s="41" t="str">
        <f aca="false">IF(E1009="","",IFERROR(IF(ISNUMBER(SEARCH(Assumptions!$C$5,E1009)),Assumptions!$D$5,IF(ISNUMBER(SEARCH(Assumptions!$C$6,E1009)),Assumptions!$D$6,IF(ISNUMBER(SEARCH(Assumptions!$C$7,E1009)),Assumptions!$D$7,"Other Services"))),"Other Services"))</f>
        <v/>
      </c>
    </row>
    <row r="1010" customFormat="false" ht="15" hidden="false" customHeight="false" outlineLevel="0" collapsed="false">
      <c r="G1010" s="41" t="str">
        <f aca="false">IF(E1010="","",IFERROR(IF(ISNUMBER(SEARCH(Assumptions!$C$5,E1010)),Assumptions!$D$5,IF(ISNUMBER(SEARCH(Assumptions!$C$6,E1010)),Assumptions!$D$6,IF(ISNUMBER(SEARCH(Assumptions!$C$7,E1010)),Assumptions!$D$7,"Other Services"))),"Other Services"))</f>
        <v/>
      </c>
    </row>
    <row r="1011" customFormat="false" ht="15" hidden="false" customHeight="false" outlineLevel="0" collapsed="false">
      <c r="G1011" s="41" t="str">
        <f aca="false">IF(E1011="","",IFERROR(IF(ISNUMBER(SEARCH(Assumptions!$C$5,E1011)),Assumptions!$D$5,IF(ISNUMBER(SEARCH(Assumptions!$C$6,E1011)),Assumptions!$D$6,IF(ISNUMBER(SEARCH(Assumptions!$C$7,E1011)),Assumptions!$D$7,"Other Services"))),"Other Services"))</f>
        <v/>
      </c>
    </row>
    <row r="1012" customFormat="false" ht="15" hidden="false" customHeight="false" outlineLevel="0" collapsed="false">
      <c r="G1012" s="41" t="str">
        <f aca="false">IF(E1012="","",IFERROR(IF(ISNUMBER(SEARCH(Assumptions!$C$5,E1012)),Assumptions!$D$5,IF(ISNUMBER(SEARCH(Assumptions!$C$6,E1012)),Assumptions!$D$6,IF(ISNUMBER(SEARCH(Assumptions!$C$7,E1012)),Assumptions!$D$7,"Other Services"))),"Other Services"))</f>
        <v/>
      </c>
    </row>
    <row r="1013" customFormat="false" ht="15" hidden="false" customHeight="false" outlineLevel="0" collapsed="false">
      <c r="G1013" s="41" t="str">
        <f aca="false">IF(E1013="","",IFERROR(IF(ISNUMBER(SEARCH(Assumptions!$C$5,E1013)),Assumptions!$D$5,IF(ISNUMBER(SEARCH(Assumptions!$C$6,E1013)),Assumptions!$D$6,IF(ISNUMBER(SEARCH(Assumptions!$C$7,E1013)),Assumptions!$D$7,"Other Services"))),"Other Services"))</f>
        <v/>
      </c>
    </row>
    <row r="1014" customFormat="false" ht="15" hidden="false" customHeight="false" outlineLevel="0" collapsed="false">
      <c r="G1014" s="41" t="str">
        <f aca="false">IF(E1014="","",IFERROR(IF(ISNUMBER(SEARCH(Assumptions!$C$5,E1014)),Assumptions!$D$5,IF(ISNUMBER(SEARCH(Assumptions!$C$6,E1014)),Assumptions!$D$6,IF(ISNUMBER(SEARCH(Assumptions!$C$7,E1014)),Assumptions!$D$7,"Other Services"))),"Other Services"))</f>
        <v/>
      </c>
    </row>
    <row r="1015" customFormat="false" ht="15" hidden="false" customHeight="false" outlineLevel="0" collapsed="false">
      <c r="G1015" s="41" t="str">
        <f aca="false">IF(E1015="","",IFERROR(IF(ISNUMBER(SEARCH(Assumptions!$C$5,E1015)),Assumptions!$D$5,IF(ISNUMBER(SEARCH(Assumptions!$C$6,E1015)),Assumptions!$D$6,IF(ISNUMBER(SEARCH(Assumptions!$C$7,E1015)),Assumptions!$D$7,"Other Services"))),"Other Services"))</f>
        <v/>
      </c>
    </row>
    <row r="1016" customFormat="false" ht="15" hidden="false" customHeight="false" outlineLevel="0" collapsed="false">
      <c r="G1016" s="41" t="str">
        <f aca="false">IF(E1016="","",IFERROR(IF(ISNUMBER(SEARCH(Assumptions!$C$5,E1016)),Assumptions!$D$5,IF(ISNUMBER(SEARCH(Assumptions!$C$6,E1016)),Assumptions!$D$6,IF(ISNUMBER(SEARCH(Assumptions!$C$7,E1016)),Assumptions!$D$7,"Other Services"))),"Other Services"))</f>
        <v/>
      </c>
    </row>
    <row r="1017" customFormat="false" ht="15" hidden="false" customHeight="false" outlineLevel="0" collapsed="false">
      <c r="G1017" s="41" t="str">
        <f aca="false">IF(E1017="","",IFERROR(IF(ISNUMBER(SEARCH(Assumptions!$C$5,E1017)),Assumptions!$D$5,IF(ISNUMBER(SEARCH(Assumptions!$C$6,E1017)),Assumptions!$D$6,IF(ISNUMBER(SEARCH(Assumptions!$C$7,E1017)),Assumptions!$D$7,"Other Services"))),"Other Services"))</f>
        <v/>
      </c>
    </row>
    <row r="1018" customFormat="false" ht="15" hidden="false" customHeight="false" outlineLevel="0" collapsed="false">
      <c r="G1018" s="41" t="str">
        <f aca="false">IF(E1018="","",IFERROR(IF(ISNUMBER(SEARCH(Assumptions!$C$5,E1018)),Assumptions!$D$5,IF(ISNUMBER(SEARCH(Assumptions!$C$6,E1018)),Assumptions!$D$6,IF(ISNUMBER(SEARCH(Assumptions!$C$7,E1018)),Assumptions!$D$7,"Other Services"))),"Other Services"))</f>
        <v/>
      </c>
    </row>
    <row r="1019" customFormat="false" ht="15" hidden="false" customHeight="false" outlineLevel="0" collapsed="false">
      <c r="G1019" s="41" t="str">
        <f aca="false">IF(E1019="","",IFERROR(IF(ISNUMBER(SEARCH(Assumptions!$C$5,E1019)),Assumptions!$D$5,IF(ISNUMBER(SEARCH(Assumptions!$C$6,E1019)),Assumptions!$D$6,IF(ISNUMBER(SEARCH(Assumptions!$C$7,E1019)),Assumptions!$D$7,"Other Services"))),"Other Services"))</f>
        <v/>
      </c>
    </row>
    <row r="1020" customFormat="false" ht="15" hidden="false" customHeight="false" outlineLevel="0" collapsed="false">
      <c r="G1020" s="41" t="str">
        <f aca="false">IF(E1020="","",IFERROR(IF(ISNUMBER(SEARCH(Assumptions!$C$5,E1020)),Assumptions!$D$5,IF(ISNUMBER(SEARCH(Assumptions!$C$6,E1020)),Assumptions!$D$6,IF(ISNUMBER(SEARCH(Assumptions!$C$7,E1020)),Assumptions!$D$7,"Other Services"))),"Other Services"))</f>
        <v/>
      </c>
    </row>
    <row r="1021" customFormat="false" ht="15" hidden="false" customHeight="false" outlineLevel="0" collapsed="false">
      <c r="G1021" s="41" t="str">
        <f aca="false">IF(E1021="","",IFERROR(IF(ISNUMBER(SEARCH(Assumptions!$C$5,E1021)),Assumptions!$D$5,IF(ISNUMBER(SEARCH(Assumptions!$C$6,E1021)),Assumptions!$D$6,IF(ISNUMBER(SEARCH(Assumptions!$C$7,E1021)),Assumptions!$D$7,"Other Services"))),"Other Services"))</f>
        <v/>
      </c>
    </row>
    <row r="1022" customFormat="false" ht="15" hidden="false" customHeight="false" outlineLevel="0" collapsed="false">
      <c r="G1022" s="41" t="str">
        <f aca="false">IF(E1022="","",IFERROR(IF(ISNUMBER(SEARCH(Assumptions!$C$5,E1022)),Assumptions!$D$5,IF(ISNUMBER(SEARCH(Assumptions!$C$6,E1022)),Assumptions!$D$6,IF(ISNUMBER(SEARCH(Assumptions!$C$7,E1022)),Assumptions!$D$7,"Other Services"))),"Other Services"))</f>
        <v/>
      </c>
    </row>
    <row r="1023" customFormat="false" ht="15" hidden="false" customHeight="false" outlineLevel="0" collapsed="false">
      <c r="G1023" s="41" t="str">
        <f aca="false">IF(E1023="","",IFERROR(IF(ISNUMBER(SEARCH(Assumptions!$C$5,E1023)),Assumptions!$D$5,IF(ISNUMBER(SEARCH(Assumptions!$C$6,E1023)),Assumptions!$D$6,IF(ISNUMBER(SEARCH(Assumptions!$C$7,E1023)),Assumptions!$D$7,"Other Services"))),"Other Services"))</f>
        <v/>
      </c>
    </row>
    <row r="1024" customFormat="false" ht="15" hidden="false" customHeight="false" outlineLevel="0" collapsed="false">
      <c r="G1024" s="41" t="str">
        <f aca="false">IF(E1024="","",IFERROR(IF(ISNUMBER(SEARCH(Assumptions!$C$5,E1024)),Assumptions!$D$5,IF(ISNUMBER(SEARCH(Assumptions!$C$6,E1024)),Assumptions!$D$6,IF(ISNUMBER(SEARCH(Assumptions!$C$7,E1024)),Assumptions!$D$7,"Other Services"))),"Other Services"))</f>
        <v/>
      </c>
    </row>
    <row r="1025" customFormat="false" ht="15" hidden="false" customHeight="false" outlineLevel="0" collapsed="false">
      <c r="G1025" s="41" t="str">
        <f aca="false">IF(E1025="","",IFERROR(IF(ISNUMBER(SEARCH(Assumptions!$C$5,E1025)),Assumptions!$D$5,IF(ISNUMBER(SEARCH(Assumptions!$C$6,E1025)),Assumptions!$D$6,IF(ISNUMBER(SEARCH(Assumptions!$C$7,E1025)),Assumptions!$D$7,"Other Services"))),"Other Services"))</f>
        <v/>
      </c>
    </row>
    <row r="1026" customFormat="false" ht="15" hidden="false" customHeight="false" outlineLevel="0" collapsed="false">
      <c r="G1026" s="41" t="str">
        <f aca="false">IF(E1026="","",IFERROR(IF(ISNUMBER(SEARCH(Assumptions!$C$5,E1026)),Assumptions!$D$5,IF(ISNUMBER(SEARCH(Assumptions!$C$6,E1026)),Assumptions!$D$6,IF(ISNUMBER(SEARCH(Assumptions!$C$7,E1026)),Assumptions!$D$7,"Other Services"))),"Other Services"))</f>
        <v/>
      </c>
    </row>
    <row r="1027" customFormat="false" ht="15" hidden="false" customHeight="false" outlineLevel="0" collapsed="false">
      <c r="G1027" s="41" t="str">
        <f aca="false">IF(E1027="","",IFERROR(IF(ISNUMBER(SEARCH(Assumptions!$C$5,E1027)),Assumptions!$D$5,IF(ISNUMBER(SEARCH(Assumptions!$C$6,E1027)),Assumptions!$D$6,IF(ISNUMBER(SEARCH(Assumptions!$C$7,E1027)),Assumptions!$D$7,"Other Services"))),"Other Services"))</f>
        <v/>
      </c>
    </row>
    <row r="1028" customFormat="false" ht="15" hidden="false" customHeight="false" outlineLevel="0" collapsed="false">
      <c r="G1028" s="41" t="str">
        <f aca="false">IF(E1028="","",IFERROR(IF(ISNUMBER(SEARCH(Assumptions!$C$5,E1028)),Assumptions!$D$5,IF(ISNUMBER(SEARCH(Assumptions!$C$6,E1028)),Assumptions!$D$6,IF(ISNUMBER(SEARCH(Assumptions!$C$7,E1028)),Assumptions!$D$7,"Other Services"))),"Other Services"))</f>
        <v/>
      </c>
    </row>
    <row r="1029" customFormat="false" ht="15" hidden="false" customHeight="false" outlineLevel="0" collapsed="false">
      <c r="G1029" s="41" t="str">
        <f aca="false">IF(E1029="","",IFERROR(IF(ISNUMBER(SEARCH(Assumptions!$C$5,E1029)),Assumptions!$D$5,IF(ISNUMBER(SEARCH(Assumptions!$C$6,E1029)),Assumptions!$D$6,IF(ISNUMBER(SEARCH(Assumptions!$C$7,E1029)),Assumptions!$D$7,"Other Services"))),"Other Services"))</f>
        <v/>
      </c>
    </row>
    <row r="1030" customFormat="false" ht="15" hidden="false" customHeight="false" outlineLevel="0" collapsed="false">
      <c r="G1030" s="41" t="str">
        <f aca="false">IF(E1030="","",IFERROR(IF(ISNUMBER(SEARCH(Assumptions!$C$5,E1030)),Assumptions!$D$5,IF(ISNUMBER(SEARCH(Assumptions!$C$6,E1030)),Assumptions!$D$6,IF(ISNUMBER(SEARCH(Assumptions!$C$7,E1030)),Assumptions!$D$7,"Other Services"))),"Other Services"))</f>
        <v/>
      </c>
    </row>
    <row r="1031" customFormat="false" ht="15" hidden="false" customHeight="false" outlineLevel="0" collapsed="false">
      <c r="G1031" s="41" t="str">
        <f aca="false">IF(E1031="","",IFERROR(IF(ISNUMBER(SEARCH(Assumptions!$C$5,E1031)),Assumptions!$D$5,IF(ISNUMBER(SEARCH(Assumptions!$C$6,E1031)),Assumptions!$D$6,IF(ISNUMBER(SEARCH(Assumptions!$C$7,E1031)),Assumptions!$D$7,"Other Services"))),"Other Services"))</f>
        <v/>
      </c>
    </row>
    <row r="1032" customFormat="false" ht="15" hidden="false" customHeight="false" outlineLevel="0" collapsed="false">
      <c r="G1032" s="41" t="str">
        <f aca="false">IF(E1032="","",IFERROR(IF(ISNUMBER(SEARCH(Assumptions!$C$5,E1032)),Assumptions!$D$5,IF(ISNUMBER(SEARCH(Assumptions!$C$6,E1032)),Assumptions!$D$6,IF(ISNUMBER(SEARCH(Assumptions!$C$7,E1032)),Assumptions!$D$7,"Other Services"))),"Other Services"))</f>
        <v/>
      </c>
    </row>
    <row r="1033" customFormat="false" ht="15" hidden="false" customHeight="false" outlineLevel="0" collapsed="false">
      <c r="G1033" s="41" t="str">
        <f aca="false">IF(E1033="","",IFERROR(IF(ISNUMBER(SEARCH(Assumptions!$C$5,E1033)),Assumptions!$D$5,IF(ISNUMBER(SEARCH(Assumptions!$C$6,E1033)),Assumptions!$D$6,IF(ISNUMBER(SEARCH(Assumptions!$C$7,E1033)),Assumptions!$D$7,"Other Services"))),"Other Services"))</f>
        <v/>
      </c>
    </row>
    <row r="1034" customFormat="false" ht="15" hidden="false" customHeight="false" outlineLevel="0" collapsed="false">
      <c r="G1034" s="41" t="str">
        <f aca="false">IF(E1034="","",IFERROR(IF(ISNUMBER(SEARCH(Assumptions!$C$5,E1034)),Assumptions!$D$5,IF(ISNUMBER(SEARCH(Assumptions!$C$6,E1034)),Assumptions!$D$6,IF(ISNUMBER(SEARCH(Assumptions!$C$7,E1034)),Assumptions!$D$7,"Other Services"))),"Other Services"))</f>
        <v/>
      </c>
    </row>
    <row r="1035" customFormat="false" ht="15" hidden="false" customHeight="false" outlineLevel="0" collapsed="false">
      <c r="G1035" s="41" t="str">
        <f aca="false">IF(E1035="","",IFERROR(IF(ISNUMBER(SEARCH(Assumptions!$C$5,E1035)),Assumptions!$D$5,IF(ISNUMBER(SEARCH(Assumptions!$C$6,E1035)),Assumptions!$D$6,IF(ISNUMBER(SEARCH(Assumptions!$C$7,E1035)),Assumptions!$D$7,"Other Services"))),"Other Services"))</f>
        <v/>
      </c>
    </row>
    <row r="1036" customFormat="false" ht="15" hidden="false" customHeight="false" outlineLevel="0" collapsed="false">
      <c r="G1036" s="41" t="str">
        <f aca="false">IF(E1036="","",IFERROR(IF(ISNUMBER(SEARCH(Assumptions!$C$5,E1036)),Assumptions!$D$5,IF(ISNUMBER(SEARCH(Assumptions!$C$6,E1036)),Assumptions!$D$6,IF(ISNUMBER(SEARCH(Assumptions!$C$7,E1036)),Assumptions!$D$7,"Other Services"))),"Other Services"))</f>
        <v/>
      </c>
    </row>
    <row r="1037" customFormat="false" ht="15" hidden="false" customHeight="false" outlineLevel="0" collapsed="false">
      <c r="G1037" s="41" t="str">
        <f aca="false">IF(E1037="","",IFERROR(IF(ISNUMBER(SEARCH(Assumptions!$C$5,E1037)),Assumptions!$D$5,IF(ISNUMBER(SEARCH(Assumptions!$C$6,E1037)),Assumptions!$D$6,IF(ISNUMBER(SEARCH(Assumptions!$C$7,E1037)),Assumptions!$D$7,"Other Services"))),"Other Services"))</f>
        <v/>
      </c>
    </row>
    <row r="1038" customFormat="false" ht="15" hidden="false" customHeight="false" outlineLevel="0" collapsed="false">
      <c r="G1038" s="41" t="str">
        <f aca="false">IF(E1038="","",IFERROR(IF(ISNUMBER(SEARCH(Assumptions!$C$5,E1038)),Assumptions!$D$5,IF(ISNUMBER(SEARCH(Assumptions!$C$6,E1038)),Assumptions!$D$6,IF(ISNUMBER(SEARCH(Assumptions!$C$7,E1038)),Assumptions!$D$7,"Other Services"))),"Other Services"))</f>
        <v/>
      </c>
    </row>
    <row r="1039" customFormat="false" ht="15" hidden="false" customHeight="false" outlineLevel="0" collapsed="false">
      <c r="G1039" s="41" t="str">
        <f aca="false">IF(E1039="","",IFERROR(IF(ISNUMBER(SEARCH(Assumptions!$C$5,E1039)),Assumptions!$D$5,IF(ISNUMBER(SEARCH(Assumptions!$C$6,E1039)),Assumptions!$D$6,IF(ISNUMBER(SEARCH(Assumptions!$C$7,E1039)),Assumptions!$D$7,"Other Services"))),"Other Services"))</f>
        <v/>
      </c>
    </row>
    <row r="1040" customFormat="false" ht="15" hidden="false" customHeight="false" outlineLevel="0" collapsed="false">
      <c r="G1040" s="41" t="str">
        <f aca="false">IF(E1040="","",IFERROR(IF(ISNUMBER(SEARCH(Assumptions!$C$5,E1040)),Assumptions!$D$5,IF(ISNUMBER(SEARCH(Assumptions!$C$6,E1040)),Assumptions!$D$6,IF(ISNUMBER(SEARCH(Assumptions!$C$7,E1040)),Assumptions!$D$7,"Other Services"))),"Other Services"))</f>
        <v/>
      </c>
    </row>
    <row r="1041" customFormat="false" ht="15" hidden="false" customHeight="false" outlineLevel="0" collapsed="false">
      <c r="G1041" s="41" t="str">
        <f aca="false">IF(E1041="","",IFERROR(IF(ISNUMBER(SEARCH(Assumptions!$C$5,E1041)),Assumptions!$D$5,IF(ISNUMBER(SEARCH(Assumptions!$C$6,E1041)),Assumptions!$D$6,IF(ISNUMBER(SEARCH(Assumptions!$C$7,E1041)),Assumptions!$D$7,"Other Services"))),"Other Services"))</f>
        <v/>
      </c>
    </row>
    <row r="1042" customFormat="false" ht="15" hidden="false" customHeight="false" outlineLevel="0" collapsed="false">
      <c r="G1042" s="41" t="str">
        <f aca="false">IF(E1042="","",IFERROR(IF(ISNUMBER(SEARCH(Assumptions!$C$5,E1042)),Assumptions!$D$5,IF(ISNUMBER(SEARCH(Assumptions!$C$6,E1042)),Assumptions!$D$6,IF(ISNUMBER(SEARCH(Assumptions!$C$7,E1042)),Assumptions!$D$7,"Other Services"))),"Other Services"))</f>
        <v/>
      </c>
    </row>
    <row r="1043" customFormat="false" ht="15" hidden="false" customHeight="false" outlineLevel="0" collapsed="false">
      <c r="G1043" s="41" t="str">
        <f aca="false">IF(E1043="","",IFERROR(IF(ISNUMBER(SEARCH(Assumptions!$C$5,E1043)),Assumptions!$D$5,IF(ISNUMBER(SEARCH(Assumptions!$C$6,E1043)),Assumptions!$D$6,IF(ISNUMBER(SEARCH(Assumptions!$C$7,E1043)),Assumptions!$D$7,"Other Services"))),"Other Services"))</f>
        <v/>
      </c>
    </row>
    <row r="1044" customFormat="false" ht="15" hidden="false" customHeight="false" outlineLevel="0" collapsed="false">
      <c r="G1044" s="41" t="str">
        <f aca="false">IF(E1044="","",IFERROR(IF(ISNUMBER(SEARCH(Assumptions!$C$5,E1044)),Assumptions!$D$5,IF(ISNUMBER(SEARCH(Assumptions!$C$6,E1044)),Assumptions!$D$6,IF(ISNUMBER(SEARCH(Assumptions!$C$7,E1044)),Assumptions!$D$7,"Other Services"))),"Other Services"))</f>
        <v/>
      </c>
    </row>
    <row r="1045" customFormat="false" ht="15" hidden="false" customHeight="false" outlineLevel="0" collapsed="false">
      <c r="G1045" s="41" t="str">
        <f aca="false">IF(E1045="","",IFERROR(IF(ISNUMBER(SEARCH(Assumptions!$C$5,E1045)),Assumptions!$D$5,IF(ISNUMBER(SEARCH(Assumptions!$C$6,E1045)),Assumptions!$D$6,IF(ISNUMBER(SEARCH(Assumptions!$C$7,E1045)),Assumptions!$D$7,"Other Services"))),"Other Services"))</f>
        <v/>
      </c>
    </row>
    <row r="1046" customFormat="false" ht="15" hidden="false" customHeight="false" outlineLevel="0" collapsed="false">
      <c r="G1046" s="41" t="str">
        <f aca="false">IF(E1046="","",IFERROR(IF(ISNUMBER(SEARCH(Assumptions!$C$5,E1046)),Assumptions!$D$5,IF(ISNUMBER(SEARCH(Assumptions!$C$6,E1046)),Assumptions!$D$6,IF(ISNUMBER(SEARCH(Assumptions!$C$7,E1046)),Assumptions!$D$7,"Other Services"))),"Other Services"))</f>
        <v/>
      </c>
    </row>
    <row r="1047" customFormat="false" ht="15" hidden="false" customHeight="false" outlineLevel="0" collapsed="false">
      <c r="G1047" s="41" t="str">
        <f aca="false">IF(E1047="","",IFERROR(IF(ISNUMBER(SEARCH(Assumptions!$C$5,E1047)),Assumptions!$D$5,IF(ISNUMBER(SEARCH(Assumptions!$C$6,E1047)),Assumptions!$D$6,IF(ISNUMBER(SEARCH(Assumptions!$C$7,E1047)),Assumptions!$D$7,"Other Services"))),"Other Services"))</f>
        <v/>
      </c>
    </row>
    <row r="1048" customFormat="false" ht="15" hidden="false" customHeight="false" outlineLevel="0" collapsed="false">
      <c r="G1048" s="41" t="str">
        <f aca="false">IF(E1048="","",IFERROR(IF(ISNUMBER(SEARCH(Assumptions!$C$5,E1048)),Assumptions!$D$5,IF(ISNUMBER(SEARCH(Assumptions!$C$6,E1048)),Assumptions!$D$6,IF(ISNUMBER(SEARCH(Assumptions!$C$7,E1048)),Assumptions!$D$7,"Other Services"))),"Other Services"))</f>
        <v/>
      </c>
    </row>
    <row r="1049" customFormat="false" ht="15" hidden="false" customHeight="false" outlineLevel="0" collapsed="false">
      <c r="G1049" s="41" t="str">
        <f aca="false">IF(E1049="","",IFERROR(IF(ISNUMBER(SEARCH(Assumptions!$C$5,E1049)),Assumptions!$D$5,IF(ISNUMBER(SEARCH(Assumptions!$C$6,E1049)),Assumptions!$D$6,IF(ISNUMBER(SEARCH(Assumptions!$C$7,E1049)),Assumptions!$D$7,"Other Services"))),"Other Services"))</f>
        <v/>
      </c>
    </row>
    <row r="1050" customFormat="false" ht="15" hidden="false" customHeight="false" outlineLevel="0" collapsed="false">
      <c r="G1050" s="41" t="str">
        <f aca="false">IF(E1050="","",IFERROR(IF(ISNUMBER(SEARCH(Assumptions!$C$5,E1050)),Assumptions!$D$5,IF(ISNUMBER(SEARCH(Assumptions!$C$6,E1050)),Assumptions!$D$6,IF(ISNUMBER(SEARCH(Assumptions!$C$7,E1050)),Assumptions!$D$7,"Other Services"))),"Other Services"))</f>
        <v/>
      </c>
    </row>
    <row r="1051" customFormat="false" ht="15" hidden="false" customHeight="false" outlineLevel="0" collapsed="false">
      <c r="G1051" s="41" t="str">
        <f aca="false">IF(E1051="","",IFERROR(IF(ISNUMBER(SEARCH(Assumptions!$C$5,E1051)),Assumptions!$D$5,IF(ISNUMBER(SEARCH(Assumptions!$C$6,E1051)),Assumptions!$D$6,IF(ISNUMBER(SEARCH(Assumptions!$C$7,E1051)),Assumptions!$D$7,"Other Services"))),"Other Services"))</f>
        <v/>
      </c>
    </row>
    <row r="1052" customFormat="false" ht="15" hidden="false" customHeight="false" outlineLevel="0" collapsed="false">
      <c r="G1052" s="41" t="str">
        <f aca="false">IF(E1052="","",IFERROR(IF(ISNUMBER(SEARCH(Assumptions!$C$5,E1052)),Assumptions!$D$5,IF(ISNUMBER(SEARCH(Assumptions!$C$6,E1052)),Assumptions!$D$6,IF(ISNUMBER(SEARCH(Assumptions!$C$7,E1052)),Assumptions!$D$7,"Other Services"))),"Other Services"))</f>
        <v/>
      </c>
    </row>
    <row r="1053" customFormat="false" ht="15" hidden="false" customHeight="false" outlineLevel="0" collapsed="false">
      <c r="G1053" s="41" t="str">
        <f aca="false">IF(E1053="","",IFERROR(IF(ISNUMBER(SEARCH(Assumptions!$C$5,E1053)),Assumptions!$D$5,IF(ISNUMBER(SEARCH(Assumptions!$C$6,E1053)),Assumptions!$D$6,IF(ISNUMBER(SEARCH(Assumptions!$C$7,E1053)),Assumptions!$D$7,"Other Services"))),"Other Services"))</f>
        <v/>
      </c>
    </row>
    <row r="1054" customFormat="false" ht="15" hidden="false" customHeight="false" outlineLevel="0" collapsed="false">
      <c r="G1054" s="41" t="str">
        <f aca="false">IF(E1054="","",IFERROR(IF(ISNUMBER(SEARCH(Assumptions!$C$5,E1054)),Assumptions!$D$5,IF(ISNUMBER(SEARCH(Assumptions!$C$6,E1054)),Assumptions!$D$6,IF(ISNUMBER(SEARCH(Assumptions!$C$7,E1054)),Assumptions!$D$7,"Other Services"))),"Other Services"))</f>
        <v/>
      </c>
    </row>
    <row r="1055" customFormat="false" ht="15" hidden="false" customHeight="false" outlineLevel="0" collapsed="false">
      <c r="G1055" s="41" t="str">
        <f aca="false">IF(E1055="","",IFERROR(IF(ISNUMBER(SEARCH(Assumptions!$C$5,E1055)),Assumptions!$D$5,IF(ISNUMBER(SEARCH(Assumptions!$C$6,E1055)),Assumptions!$D$6,IF(ISNUMBER(SEARCH(Assumptions!$C$7,E1055)),Assumptions!$D$7,"Other Services"))),"Other Services"))</f>
        <v/>
      </c>
    </row>
    <row r="1056" customFormat="false" ht="15" hidden="false" customHeight="false" outlineLevel="0" collapsed="false">
      <c r="G1056" s="41" t="str">
        <f aca="false">IF(E1056="","",IFERROR(IF(ISNUMBER(SEARCH(Assumptions!$C$5,E1056)),Assumptions!$D$5,IF(ISNUMBER(SEARCH(Assumptions!$C$6,E1056)),Assumptions!$D$6,IF(ISNUMBER(SEARCH(Assumptions!$C$7,E1056)),Assumptions!$D$7,"Other Services"))),"Other Services"))</f>
        <v/>
      </c>
    </row>
    <row r="1057" customFormat="false" ht="15" hidden="false" customHeight="false" outlineLevel="0" collapsed="false">
      <c r="G1057" s="41" t="str">
        <f aca="false">IF(E1057="","",IFERROR(IF(ISNUMBER(SEARCH(Assumptions!$C$5,E1057)),Assumptions!$D$5,IF(ISNUMBER(SEARCH(Assumptions!$C$6,E1057)),Assumptions!$D$6,IF(ISNUMBER(SEARCH(Assumptions!$C$7,E1057)),Assumptions!$D$7,"Other Services"))),"Other Services"))</f>
        <v/>
      </c>
    </row>
    <row r="1058" customFormat="false" ht="15" hidden="false" customHeight="false" outlineLevel="0" collapsed="false">
      <c r="G1058" s="41" t="str">
        <f aca="false">IF(E1058="","",IFERROR(IF(ISNUMBER(SEARCH(Assumptions!$C$5,E1058)),Assumptions!$D$5,IF(ISNUMBER(SEARCH(Assumptions!$C$6,E1058)),Assumptions!$D$6,IF(ISNUMBER(SEARCH(Assumptions!$C$7,E1058)),Assumptions!$D$7,"Other Services"))),"Other Services"))</f>
        <v/>
      </c>
    </row>
    <row r="1059" customFormat="false" ht="15" hidden="false" customHeight="false" outlineLevel="0" collapsed="false">
      <c r="G1059" s="41" t="str">
        <f aca="false">IF(E1059="","",IFERROR(IF(ISNUMBER(SEARCH(Assumptions!$C$5,E1059)),Assumptions!$D$5,IF(ISNUMBER(SEARCH(Assumptions!$C$6,E1059)),Assumptions!$D$6,IF(ISNUMBER(SEARCH(Assumptions!$C$7,E1059)),Assumptions!$D$7,"Other Services"))),"Other Services"))</f>
        <v/>
      </c>
    </row>
    <row r="1060" customFormat="false" ht="15" hidden="false" customHeight="false" outlineLevel="0" collapsed="false">
      <c r="G1060" s="41" t="str">
        <f aca="false">IF(E1060="","",IFERROR(IF(ISNUMBER(SEARCH(Assumptions!$C$5,E1060)),Assumptions!$D$5,IF(ISNUMBER(SEARCH(Assumptions!$C$6,E1060)),Assumptions!$D$6,IF(ISNUMBER(SEARCH(Assumptions!$C$7,E1060)),Assumptions!$D$7,"Other Services"))),"Other Services"))</f>
        <v/>
      </c>
    </row>
    <row r="1061" customFormat="false" ht="15" hidden="false" customHeight="false" outlineLevel="0" collapsed="false">
      <c r="G1061" s="41" t="str">
        <f aca="false">IF(E1061="","",IFERROR(IF(ISNUMBER(SEARCH(Assumptions!$C$5,E1061)),Assumptions!$D$5,IF(ISNUMBER(SEARCH(Assumptions!$C$6,E1061)),Assumptions!$D$6,IF(ISNUMBER(SEARCH(Assumptions!$C$7,E1061)),Assumptions!$D$7,"Other Services"))),"Other Services"))</f>
        <v/>
      </c>
    </row>
    <row r="1062" customFormat="false" ht="15" hidden="false" customHeight="false" outlineLevel="0" collapsed="false">
      <c r="G1062" s="41" t="str">
        <f aca="false">IF(E1062="","",IFERROR(IF(ISNUMBER(SEARCH(Assumptions!$C$5,E1062)),Assumptions!$D$5,IF(ISNUMBER(SEARCH(Assumptions!$C$6,E1062)),Assumptions!$D$6,IF(ISNUMBER(SEARCH(Assumptions!$C$7,E1062)),Assumptions!$D$7,"Other Services"))),"Other Services"))</f>
        <v/>
      </c>
    </row>
    <row r="1063" customFormat="false" ht="15" hidden="false" customHeight="false" outlineLevel="0" collapsed="false">
      <c r="G1063" s="41" t="str">
        <f aca="false">IF(E1063="","",IFERROR(IF(ISNUMBER(SEARCH(Assumptions!$C$5,E1063)),Assumptions!$D$5,IF(ISNUMBER(SEARCH(Assumptions!$C$6,E1063)),Assumptions!$D$6,IF(ISNUMBER(SEARCH(Assumptions!$C$7,E1063)),Assumptions!$D$7,"Other Services"))),"Other Services"))</f>
        <v/>
      </c>
    </row>
    <row r="1064" customFormat="false" ht="15" hidden="false" customHeight="false" outlineLevel="0" collapsed="false">
      <c r="G1064" s="41" t="str">
        <f aca="false">IF(E1064="","",IFERROR(IF(ISNUMBER(SEARCH(Assumptions!$C$5,E1064)),Assumptions!$D$5,IF(ISNUMBER(SEARCH(Assumptions!$C$6,E1064)),Assumptions!$D$6,IF(ISNUMBER(SEARCH(Assumptions!$C$7,E1064)),Assumptions!$D$7,"Other Services"))),"Other Services"))</f>
        <v/>
      </c>
    </row>
    <row r="1065" customFormat="false" ht="15" hidden="false" customHeight="false" outlineLevel="0" collapsed="false">
      <c r="G1065" s="41" t="str">
        <f aca="false">IF(E1065="","",IFERROR(IF(ISNUMBER(SEARCH(Assumptions!$C$5,E1065)),Assumptions!$D$5,IF(ISNUMBER(SEARCH(Assumptions!$C$6,E1065)),Assumptions!$D$6,IF(ISNUMBER(SEARCH(Assumptions!$C$7,E1065)),Assumptions!$D$7,"Other Services"))),"Other Services"))</f>
        <v/>
      </c>
    </row>
    <row r="1066" customFormat="false" ht="15" hidden="false" customHeight="false" outlineLevel="0" collapsed="false">
      <c r="G1066" s="41" t="str">
        <f aca="false">IF(E1066="","",IFERROR(IF(ISNUMBER(SEARCH(Assumptions!$C$5,E1066)),Assumptions!$D$5,IF(ISNUMBER(SEARCH(Assumptions!$C$6,E1066)),Assumptions!$D$6,IF(ISNUMBER(SEARCH(Assumptions!$C$7,E1066)),Assumptions!$D$7,"Other Services"))),"Other Services"))</f>
        <v/>
      </c>
    </row>
    <row r="1067" customFormat="false" ht="15" hidden="false" customHeight="false" outlineLevel="0" collapsed="false">
      <c r="G1067" s="41" t="str">
        <f aca="false">IF(E1067="","",IFERROR(IF(ISNUMBER(SEARCH(Assumptions!$C$5,E1067)),Assumptions!$D$5,IF(ISNUMBER(SEARCH(Assumptions!$C$6,E1067)),Assumptions!$D$6,IF(ISNUMBER(SEARCH(Assumptions!$C$7,E1067)),Assumptions!$D$7,"Other Services"))),"Other Services"))</f>
        <v/>
      </c>
    </row>
    <row r="1068" customFormat="false" ht="15" hidden="false" customHeight="false" outlineLevel="0" collapsed="false">
      <c r="G1068" s="41" t="str">
        <f aca="false">IF(E1068="","",IFERROR(IF(ISNUMBER(SEARCH(Assumptions!$C$5,E1068)),Assumptions!$D$5,IF(ISNUMBER(SEARCH(Assumptions!$C$6,E1068)),Assumptions!$D$6,IF(ISNUMBER(SEARCH(Assumptions!$C$7,E1068)),Assumptions!$D$7,"Other Services"))),"Other Services"))</f>
        <v/>
      </c>
    </row>
    <row r="1069" customFormat="false" ht="15" hidden="false" customHeight="false" outlineLevel="0" collapsed="false">
      <c r="G1069" s="41" t="str">
        <f aca="false">IF(E1069="","",IFERROR(IF(ISNUMBER(SEARCH(Assumptions!$C$5,E1069)),Assumptions!$D$5,IF(ISNUMBER(SEARCH(Assumptions!$C$6,E1069)),Assumptions!$D$6,IF(ISNUMBER(SEARCH(Assumptions!$C$7,E1069)),Assumptions!$D$7,"Other Services"))),"Other Services"))</f>
        <v/>
      </c>
    </row>
    <row r="1070" customFormat="false" ht="15" hidden="false" customHeight="false" outlineLevel="0" collapsed="false">
      <c r="G1070" s="41" t="str">
        <f aca="false">IF(E1070="","",IFERROR(IF(ISNUMBER(SEARCH(Assumptions!$C$5,E1070)),Assumptions!$D$5,IF(ISNUMBER(SEARCH(Assumptions!$C$6,E1070)),Assumptions!$D$6,IF(ISNUMBER(SEARCH(Assumptions!$C$7,E1070)),Assumptions!$D$7,"Other Services"))),"Other Services"))</f>
        <v/>
      </c>
    </row>
    <row r="1071" customFormat="false" ht="15" hidden="false" customHeight="false" outlineLevel="0" collapsed="false">
      <c r="G1071" s="41" t="str">
        <f aca="false">IF(E1071="","",IFERROR(IF(ISNUMBER(SEARCH(Assumptions!$C$5,E1071)),Assumptions!$D$5,IF(ISNUMBER(SEARCH(Assumptions!$C$6,E1071)),Assumptions!$D$6,IF(ISNUMBER(SEARCH(Assumptions!$C$7,E1071)),Assumptions!$D$7,"Other Services"))),"Other Services"))</f>
        <v/>
      </c>
    </row>
    <row r="1072" customFormat="false" ht="15" hidden="false" customHeight="false" outlineLevel="0" collapsed="false">
      <c r="G1072" s="41" t="str">
        <f aca="false">IF(E1072="","",IFERROR(IF(ISNUMBER(SEARCH(Assumptions!$C$5,E1072)),Assumptions!$D$5,IF(ISNUMBER(SEARCH(Assumptions!$C$6,E1072)),Assumptions!$D$6,IF(ISNUMBER(SEARCH(Assumptions!$C$7,E1072)),Assumptions!$D$7,"Other Services"))),"Other Services"))</f>
        <v/>
      </c>
    </row>
    <row r="1073" customFormat="false" ht="15" hidden="false" customHeight="false" outlineLevel="0" collapsed="false">
      <c r="G1073" s="41" t="str">
        <f aca="false">IF(E1073="","",IFERROR(IF(ISNUMBER(SEARCH(Assumptions!$C$5,E1073)),Assumptions!$D$5,IF(ISNUMBER(SEARCH(Assumptions!$C$6,E1073)),Assumptions!$D$6,IF(ISNUMBER(SEARCH(Assumptions!$C$7,E1073)),Assumptions!$D$7,"Other Services"))),"Other Services"))</f>
        <v/>
      </c>
    </row>
    <row r="1074" customFormat="false" ht="15" hidden="false" customHeight="false" outlineLevel="0" collapsed="false">
      <c r="G1074" s="41" t="str">
        <f aca="false">IF(E1074="","",IFERROR(IF(ISNUMBER(SEARCH(Assumptions!$C$5,E1074)),Assumptions!$D$5,IF(ISNUMBER(SEARCH(Assumptions!$C$6,E1074)),Assumptions!$D$6,IF(ISNUMBER(SEARCH(Assumptions!$C$7,E1074)),Assumptions!$D$7,"Other Services"))),"Other Services"))</f>
        <v/>
      </c>
    </row>
    <row r="1075" customFormat="false" ht="15" hidden="false" customHeight="false" outlineLevel="0" collapsed="false">
      <c r="G1075" s="41" t="str">
        <f aca="false">IF(E1075="","",IFERROR(IF(ISNUMBER(SEARCH(Assumptions!$C$5,E1075)),Assumptions!$D$5,IF(ISNUMBER(SEARCH(Assumptions!$C$6,E1075)),Assumptions!$D$6,IF(ISNUMBER(SEARCH(Assumptions!$C$7,E1075)),Assumptions!$D$7,"Other Services"))),"Other Services"))</f>
        <v/>
      </c>
    </row>
    <row r="1076" customFormat="false" ht="15" hidden="false" customHeight="false" outlineLevel="0" collapsed="false">
      <c r="G1076" s="41" t="str">
        <f aca="false">IF(E1076="","",IFERROR(IF(ISNUMBER(SEARCH(Assumptions!$C$5,E1076)),Assumptions!$D$5,IF(ISNUMBER(SEARCH(Assumptions!$C$6,E1076)),Assumptions!$D$6,IF(ISNUMBER(SEARCH(Assumptions!$C$7,E1076)),Assumptions!$D$7,"Other Services"))),"Other Services"))</f>
        <v/>
      </c>
    </row>
    <row r="1077" customFormat="false" ht="15" hidden="false" customHeight="false" outlineLevel="0" collapsed="false">
      <c r="G1077" s="41" t="str">
        <f aca="false">IF(E1077="","",IFERROR(IF(ISNUMBER(SEARCH(Assumptions!$C$5,E1077)),Assumptions!$D$5,IF(ISNUMBER(SEARCH(Assumptions!$C$6,E1077)),Assumptions!$D$6,IF(ISNUMBER(SEARCH(Assumptions!$C$7,E1077)),Assumptions!$D$7,"Other Services"))),"Other Services"))</f>
        <v/>
      </c>
    </row>
    <row r="1078" customFormat="false" ht="15" hidden="false" customHeight="false" outlineLevel="0" collapsed="false">
      <c r="G1078" s="41" t="str">
        <f aca="false">IF(E1078="","",IFERROR(IF(ISNUMBER(SEARCH(Assumptions!$C$5,E1078)),Assumptions!$D$5,IF(ISNUMBER(SEARCH(Assumptions!$C$6,E1078)),Assumptions!$D$6,IF(ISNUMBER(SEARCH(Assumptions!$C$7,E1078)),Assumptions!$D$7,"Other Services"))),"Other Services"))</f>
        <v/>
      </c>
    </row>
    <row r="1079" customFormat="false" ht="15" hidden="false" customHeight="false" outlineLevel="0" collapsed="false">
      <c r="G1079" s="41" t="str">
        <f aca="false">IF(E1079="","",IFERROR(IF(ISNUMBER(SEARCH(Assumptions!$C$5,E1079)),Assumptions!$D$5,IF(ISNUMBER(SEARCH(Assumptions!$C$6,E1079)),Assumptions!$D$6,IF(ISNUMBER(SEARCH(Assumptions!$C$7,E1079)),Assumptions!$D$7,"Other Services"))),"Other Services"))</f>
        <v/>
      </c>
    </row>
    <row r="1080" customFormat="false" ht="15" hidden="false" customHeight="false" outlineLevel="0" collapsed="false">
      <c r="G1080" s="41" t="str">
        <f aca="false">IF(E1080="","",IFERROR(IF(ISNUMBER(SEARCH(Assumptions!$C$5,E1080)),Assumptions!$D$5,IF(ISNUMBER(SEARCH(Assumptions!$C$6,E1080)),Assumptions!$D$6,IF(ISNUMBER(SEARCH(Assumptions!$C$7,E1080)),Assumptions!$D$7,"Other Services"))),"Other Services"))</f>
        <v/>
      </c>
    </row>
    <row r="1081" customFormat="false" ht="15" hidden="false" customHeight="false" outlineLevel="0" collapsed="false">
      <c r="G1081" s="41" t="str">
        <f aca="false">IF(E1081="","",IFERROR(IF(ISNUMBER(SEARCH(Assumptions!$C$5,E1081)),Assumptions!$D$5,IF(ISNUMBER(SEARCH(Assumptions!$C$6,E1081)),Assumptions!$D$6,IF(ISNUMBER(SEARCH(Assumptions!$C$7,E1081)),Assumptions!$D$7,"Other Services"))),"Other Services"))</f>
        <v/>
      </c>
    </row>
    <row r="1082" customFormat="false" ht="15" hidden="false" customHeight="false" outlineLevel="0" collapsed="false">
      <c r="G1082" s="41" t="str">
        <f aca="false">IF(E1082="","",IFERROR(IF(ISNUMBER(SEARCH(Assumptions!$C$5,E1082)),Assumptions!$D$5,IF(ISNUMBER(SEARCH(Assumptions!$C$6,E1082)),Assumptions!$D$6,IF(ISNUMBER(SEARCH(Assumptions!$C$7,E1082)),Assumptions!$D$7,"Other Services"))),"Other Services"))</f>
        <v/>
      </c>
    </row>
    <row r="1083" customFormat="false" ht="15" hidden="false" customHeight="false" outlineLevel="0" collapsed="false">
      <c r="G1083" s="41" t="str">
        <f aca="false">IF(E1083="","",IFERROR(IF(ISNUMBER(SEARCH(Assumptions!$C$5,E1083)),Assumptions!$D$5,IF(ISNUMBER(SEARCH(Assumptions!$C$6,E1083)),Assumptions!$D$6,IF(ISNUMBER(SEARCH(Assumptions!$C$7,E1083)),Assumptions!$D$7,"Other Services"))),"Other Services"))</f>
        <v/>
      </c>
    </row>
    <row r="1084" customFormat="false" ht="15" hidden="false" customHeight="false" outlineLevel="0" collapsed="false">
      <c r="G1084" s="41" t="str">
        <f aca="false">IF(E1084="","",IFERROR(IF(ISNUMBER(SEARCH(Assumptions!$C$5,E1084)),Assumptions!$D$5,IF(ISNUMBER(SEARCH(Assumptions!$C$6,E1084)),Assumptions!$D$6,IF(ISNUMBER(SEARCH(Assumptions!$C$7,E1084)),Assumptions!$D$7,"Other Services"))),"Other Services"))</f>
        <v/>
      </c>
    </row>
    <row r="1085" customFormat="false" ht="15" hidden="false" customHeight="false" outlineLevel="0" collapsed="false">
      <c r="G1085" s="41" t="str">
        <f aca="false">IF(E1085="","",IFERROR(IF(ISNUMBER(SEARCH(Assumptions!$C$5,E1085)),Assumptions!$D$5,IF(ISNUMBER(SEARCH(Assumptions!$C$6,E1085)),Assumptions!$D$6,IF(ISNUMBER(SEARCH(Assumptions!$C$7,E1085)),Assumptions!$D$7,"Other Services"))),"Other Services"))</f>
        <v/>
      </c>
    </row>
    <row r="1086" customFormat="false" ht="15" hidden="false" customHeight="false" outlineLevel="0" collapsed="false">
      <c r="G1086" s="41" t="str">
        <f aca="false">IF(E1086="","",IFERROR(IF(ISNUMBER(SEARCH(Assumptions!$C$5,E1086)),Assumptions!$D$5,IF(ISNUMBER(SEARCH(Assumptions!$C$6,E1086)),Assumptions!$D$6,IF(ISNUMBER(SEARCH(Assumptions!$C$7,E1086)),Assumptions!$D$7,"Other Services"))),"Other Services"))</f>
        <v/>
      </c>
    </row>
    <row r="1087" customFormat="false" ht="15" hidden="false" customHeight="false" outlineLevel="0" collapsed="false">
      <c r="G1087" s="41" t="str">
        <f aca="false">IF(E1087="","",IFERROR(IF(ISNUMBER(SEARCH(Assumptions!$C$5,E1087)),Assumptions!$D$5,IF(ISNUMBER(SEARCH(Assumptions!$C$6,E1087)),Assumptions!$D$6,IF(ISNUMBER(SEARCH(Assumptions!$C$7,E1087)),Assumptions!$D$7,"Other Services"))),"Other Services"))</f>
        <v/>
      </c>
    </row>
    <row r="1088" customFormat="false" ht="15" hidden="false" customHeight="false" outlineLevel="0" collapsed="false">
      <c r="G1088" s="41" t="str">
        <f aca="false">IF(E1088="","",IFERROR(IF(ISNUMBER(SEARCH(Assumptions!$C$5,E1088)),Assumptions!$D$5,IF(ISNUMBER(SEARCH(Assumptions!$C$6,E1088)),Assumptions!$D$6,IF(ISNUMBER(SEARCH(Assumptions!$C$7,E1088)),Assumptions!$D$7,"Other Services"))),"Other Services"))</f>
        <v/>
      </c>
    </row>
    <row r="1089" customFormat="false" ht="15" hidden="false" customHeight="false" outlineLevel="0" collapsed="false">
      <c r="G1089" s="41" t="str">
        <f aca="false">IF(E1089="","",IFERROR(IF(ISNUMBER(SEARCH(Assumptions!$C$5,E1089)),Assumptions!$D$5,IF(ISNUMBER(SEARCH(Assumptions!$C$6,E1089)),Assumptions!$D$6,IF(ISNUMBER(SEARCH(Assumptions!$C$7,E1089)),Assumptions!$D$7,"Other Services"))),"Other Services"))</f>
        <v/>
      </c>
    </row>
    <row r="1090" customFormat="false" ht="15" hidden="false" customHeight="false" outlineLevel="0" collapsed="false">
      <c r="G1090" s="41" t="str">
        <f aca="false">IF(E1090="","",IFERROR(IF(ISNUMBER(SEARCH(Assumptions!$C$5,E1090)),Assumptions!$D$5,IF(ISNUMBER(SEARCH(Assumptions!$C$6,E1090)),Assumptions!$D$6,IF(ISNUMBER(SEARCH(Assumptions!$C$7,E1090)),Assumptions!$D$7,"Other Services"))),"Other Services"))</f>
        <v/>
      </c>
    </row>
    <row r="1091" customFormat="false" ht="15" hidden="false" customHeight="false" outlineLevel="0" collapsed="false">
      <c r="G1091" s="41" t="str">
        <f aca="false">IF(E1091="","",IFERROR(IF(ISNUMBER(SEARCH(Assumptions!$C$5,E1091)),Assumptions!$D$5,IF(ISNUMBER(SEARCH(Assumptions!$C$6,E1091)),Assumptions!$D$6,IF(ISNUMBER(SEARCH(Assumptions!$C$7,E1091)),Assumptions!$D$7,"Other Services"))),"Other Services"))</f>
        <v/>
      </c>
    </row>
    <row r="1092" customFormat="false" ht="15" hidden="false" customHeight="false" outlineLevel="0" collapsed="false">
      <c r="G1092" s="41" t="str">
        <f aca="false">IF(E1092="","",IFERROR(IF(ISNUMBER(SEARCH(Assumptions!$C$5,E1092)),Assumptions!$D$5,IF(ISNUMBER(SEARCH(Assumptions!$C$6,E1092)),Assumptions!$D$6,IF(ISNUMBER(SEARCH(Assumptions!$C$7,E1092)),Assumptions!$D$7,"Other Services"))),"Other Services"))</f>
        <v/>
      </c>
    </row>
    <row r="1093" customFormat="false" ht="15" hidden="false" customHeight="false" outlineLevel="0" collapsed="false">
      <c r="G1093" s="41" t="str">
        <f aca="false">IF(E1093="","",IFERROR(IF(ISNUMBER(SEARCH(Assumptions!$C$5,E1093)),Assumptions!$D$5,IF(ISNUMBER(SEARCH(Assumptions!$C$6,E1093)),Assumptions!$D$6,IF(ISNUMBER(SEARCH(Assumptions!$C$7,E1093)),Assumptions!$D$7,"Other Services"))),"Other Services"))</f>
        <v/>
      </c>
    </row>
    <row r="1094" customFormat="false" ht="15" hidden="false" customHeight="false" outlineLevel="0" collapsed="false">
      <c r="G1094" s="41" t="str">
        <f aca="false">IF(E1094="","",IFERROR(IF(ISNUMBER(SEARCH(Assumptions!$C$5,E1094)),Assumptions!$D$5,IF(ISNUMBER(SEARCH(Assumptions!$C$6,E1094)),Assumptions!$D$6,IF(ISNUMBER(SEARCH(Assumptions!$C$7,E1094)),Assumptions!$D$7,"Other Services"))),"Other Services"))</f>
        <v/>
      </c>
    </row>
    <row r="1095" customFormat="false" ht="15" hidden="false" customHeight="false" outlineLevel="0" collapsed="false">
      <c r="G1095" s="41" t="str">
        <f aca="false">IF(E1095="","",IFERROR(IF(ISNUMBER(SEARCH(Assumptions!$C$5,E1095)),Assumptions!$D$5,IF(ISNUMBER(SEARCH(Assumptions!$C$6,E1095)),Assumptions!$D$6,IF(ISNUMBER(SEARCH(Assumptions!$C$7,E1095)),Assumptions!$D$7,"Other Services"))),"Other Services"))</f>
        <v/>
      </c>
    </row>
    <row r="1096" customFormat="false" ht="15" hidden="false" customHeight="false" outlineLevel="0" collapsed="false">
      <c r="G1096" s="41" t="str">
        <f aca="false">IF(E1096="","",IFERROR(IF(ISNUMBER(SEARCH(Assumptions!$C$5,E1096)),Assumptions!$D$5,IF(ISNUMBER(SEARCH(Assumptions!$C$6,E1096)),Assumptions!$D$6,IF(ISNUMBER(SEARCH(Assumptions!$C$7,E1096)),Assumptions!$D$7,"Other Services"))),"Other Services"))</f>
        <v/>
      </c>
    </row>
    <row r="1097" customFormat="false" ht="15" hidden="false" customHeight="false" outlineLevel="0" collapsed="false">
      <c r="G1097" s="41" t="str">
        <f aca="false">IF(E1097="","",IFERROR(IF(ISNUMBER(SEARCH(Assumptions!$C$5,E1097)),Assumptions!$D$5,IF(ISNUMBER(SEARCH(Assumptions!$C$6,E1097)),Assumptions!$D$6,IF(ISNUMBER(SEARCH(Assumptions!$C$7,E1097)),Assumptions!$D$7,"Other Services"))),"Other Services"))</f>
        <v/>
      </c>
    </row>
    <row r="1098" customFormat="false" ht="15" hidden="false" customHeight="false" outlineLevel="0" collapsed="false">
      <c r="G1098" s="41" t="str">
        <f aca="false">IF(E1098="","",IFERROR(IF(ISNUMBER(SEARCH(Assumptions!$C$5,E1098)),Assumptions!$D$5,IF(ISNUMBER(SEARCH(Assumptions!$C$6,E1098)),Assumptions!$D$6,IF(ISNUMBER(SEARCH(Assumptions!$C$7,E1098)),Assumptions!$D$7,"Other Services"))),"Other Services"))</f>
        <v/>
      </c>
    </row>
    <row r="1099" customFormat="false" ht="15" hidden="false" customHeight="false" outlineLevel="0" collapsed="false">
      <c r="G1099" s="41" t="str">
        <f aca="false">IF(E1099="","",IFERROR(IF(ISNUMBER(SEARCH(Assumptions!$C$5,E1099)),Assumptions!$D$5,IF(ISNUMBER(SEARCH(Assumptions!$C$6,E1099)),Assumptions!$D$6,IF(ISNUMBER(SEARCH(Assumptions!$C$7,E1099)),Assumptions!$D$7,"Other Services"))),"Other Services"))</f>
        <v/>
      </c>
    </row>
    <row r="1100" customFormat="false" ht="15" hidden="false" customHeight="false" outlineLevel="0" collapsed="false">
      <c r="G1100" s="41" t="str">
        <f aca="false">IF(E1100="","",IFERROR(IF(ISNUMBER(SEARCH(Assumptions!$C$5,E1100)),Assumptions!$D$5,IF(ISNUMBER(SEARCH(Assumptions!$C$6,E1100)),Assumptions!$D$6,IF(ISNUMBER(SEARCH(Assumptions!$C$7,E1100)),Assumptions!$D$7,"Other Services"))),"Other Services"))</f>
        <v/>
      </c>
    </row>
    <row r="1101" customFormat="false" ht="15" hidden="false" customHeight="false" outlineLevel="0" collapsed="false">
      <c r="G1101" s="41" t="str">
        <f aca="false">IF(E1101="","",IFERROR(IF(ISNUMBER(SEARCH(Assumptions!$C$5,E1101)),Assumptions!$D$5,IF(ISNUMBER(SEARCH(Assumptions!$C$6,E1101)),Assumptions!$D$6,IF(ISNUMBER(SEARCH(Assumptions!$C$7,E1101)),Assumptions!$D$7,"Other Services"))),"Other Services"))</f>
        <v/>
      </c>
    </row>
    <row r="1102" customFormat="false" ht="15" hidden="false" customHeight="false" outlineLevel="0" collapsed="false">
      <c r="G1102" s="41" t="str">
        <f aca="false">IF(E1102="","",IFERROR(IF(ISNUMBER(SEARCH(Assumptions!$C$5,E1102)),Assumptions!$D$5,IF(ISNUMBER(SEARCH(Assumptions!$C$6,E1102)),Assumptions!$D$6,IF(ISNUMBER(SEARCH(Assumptions!$C$7,E1102)),Assumptions!$D$7,"Other Services"))),"Other Services"))</f>
        <v/>
      </c>
    </row>
    <row r="1103" customFormat="false" ht="15" hidden="false" customHeight="false" outlineLevel="0" collapsed="false">
      <c r="G1103" s="41" t="str">
        <f aca="false">IF(E1103="","",IFERROR(IF(ISNUMBER(SEARCH(Assumptions!$C$5,E1103)),Assumptions!$D$5,IF(ISNUMBER(SEARCH(Assumptions!$C$6,E1103)),Assumptions!$D$6,IF(ISNUMBER(SEARCH(Assumptions!$C$7,E1103)),Assumptions!$D$7,"Other Services"))),"Other Services"))</f>
        <v/>
      </c>
    </row>
    <row r="1104" customFormat="false" ht="15" hidden="false" customHeight="false" outlineLevel="0" collapsed="false">
      <c r="G1104" s="41" t="str">
        <f aca="false">IF(E1104="","",IFERROR(IF(ISNUMBER(SEARCH(Assumptions!$C$5,E1104)),Assumptions!$D$5,IF(ISNUMBER(SEARCH(Assumptions!$C$6,E1104)),Assumptions!$D$6,IF(ISNUMBER(SEARCH(Assumptions!$C$7,E1104)),Assumptions!$D$7,"Other Services"))),"Other Services"))</f>
        <v/>
      </c>
    </row>
    <row r="1105" customFormat="false" ht="15" hidden="false" customHeight="false" outlineLevel="0" collapsed="false">
      <c r="G1105" s="41" t="str">
        <f aca="false">IF(E1105="","",IFERROR(IF(ISNUMBER(SEARCH(Assumptions!$C$5,E1105)),Assumptions!$D$5,IF(ISNUMBER(SEARCH(Assumptions!$C$6,E1105)),Assumptions!$D$6,IF(ISNUMBER(SEARCH(Assumptions!$C$7,E1105)),Assumptions!$D$7,"Other Services"))),"Other Services"))</f>
        <v/>
      </c>
    </row>
    <row r="1106" customFormat="false" ht="15" hidden="false" customHeight="false" outlineLevel="0" collapsed="false">
      <c r="G1106" s="41" t="str">
        <f aca="false">IF(E1106="","",IFERROR(IF(ISNUMBER(SEARCH(Assumptions!$C$5,E1106)),Assumptions!$D$5,IF(ISNUMBER(SEARCH(Assumptions!$C$6,E1106)),Assumptions!$D$6,IF(ISNUMBER(SEARCH(Assumptions!$C$7,E1106)),Assumptions!$D$7,"Other Services"))),"Other Services"))</f>
        <v/>
      </c>
    </row>
    <row r="1107" customFormat="false" ht="15" hidden="false" customHeight="false" outlineLevel="0" collapsed="false">
      <c r="G1107" s="41" t="str">
        <f aca="false">IF(E1107="","",IFERROR(IF(ISNUMBER(SEARCH(Assumptions!$C$5,E1107)),Assumptions!$D$5,IF(ISNUMBER(SEARCH(Assumptions!$C$6,E1107)),Assumptions!$D$6,IF(ISNUMBER(SEARCH(Assumptions!$C$7,E1107)),Assumptions!$D$7,"Other Services"))),"Other Services"))</f>
        <v/>
      </c>
    </row>
    <row r="1108" customFormat="false" ht="15" hidden="false" customHeight="false" outlineLevel="0" collapsed="false">
      <c r="G1108" s="41" t="str">
        <f aca="false">IF(E1108="","",IFERROR(IF(ISNUMBER(SEARCH(Assumptions!$C$5,E1108)),Assumptions!$D$5,IF(ISNUMBER(SEARCH(Assumptions!$C$6,E1108)),Assumptions!$D$6,IF(ISNUMBER(SEARCH(Assumptions!$C$7,E1108)),Assumptions!$D$7,"Other Services"))),"Other Services"))</f>
        <v/>
      </c>
    </row>
    <row r="1109" customFormat="false" ht="15" hidden="false" customHeight="false" outlineLevel="0" collapsed="false">
      <c r="G1109" s="41" t="str">
        <f aca="false">IF(E1109="","",IFERROR(IF(ISNUMBER(SEARCH(Assumptions!$C$5,E1109)),Assumptions!$D$5,IF(ISNUMBER(SEARCH(Assumptions!$C$6,E1109)),Assumptions!$D$6,IF(ISNUMBER(SEARCH(Assumptions!$C$7,E1109)),Assumptions!$D$7,"Other Services"))),"Other Services"))</f>
        <v/>
      </c>
    </row>
    <row r="1110" customFormat="false" ht="15" hidden="false" customHeight="false" outlineLevel="0" collapsed="false">
      <c r="G1110" s="41" t="str">
        <f aca="false">IF(E1110="","",IFERROR(IF(ISNUMBER(SEARCH(Assumptions!$C$5,E1110)),Assumptions!$D$5,IF(ISNUMBER(SEARCH(Assumptions!$C$6,E1110)),Assumptions!$D$6,IF(ISNUMBER(SEARCH(Assumptions!$C$7,E1110)),Assumptions!$D$7,"Other Services"))),"Other Services"))</f>
        <v/>
      </c>
    </row>
    <row r="1111" customFormat="false" ht="15" hidden="false" customHeight="false" outlineLevel="0" collapsed="false">
      <c r="G1111" s="41" t="str">
        <f aca="false">IF(E1111="","",IFERROR(IF(ISNUMBER(SEARCH(Assumptions!$C$5,E1111)),Assumptions!$D$5,IF(ISNUMBER(SEARCH(Assumptions!$C$6,E1111)),Assumptions!$D$6,IF(ISNUMBER(SEARCH(Assumptions!$C$7,E1111)),Assumptions!$D$7,"Other Services"))),"Other Services"))</f>
        <v/>
      </c>
    </row>
    <row r="1112" customFormat="false" ht="15" hidden="false" customHeight="false" outlineLevel="0" collapsed="false">
      <c r="G1112" s="41" t="str">
        <f aca="false">IF(E1112="","",IFERROR(IF(ISNUMBER(SEARCH(Assumptions!$C$5,E1112)),Assumptions!$D$5,IF(ISNUMBER(SEARCH(Assumptions!$C$6,E1112)),Assumptions!$D$6,IF(ISNUMBER(SEARCH(Assumptions!$C$7,E1112)),Assumptions!$D$7,"Other Services"))),"Other Services"))</f>
        <v/>
      </c>
    </row>
    <row r="1113" customFormat="false" ht="15" hidden="false" customHeight="false" outlineLevel="0" collapsed="false">
      <c r="G1113" s="41" t="str">
        <f aca="false">IF(E1113="","",IFERROR(IF(ISNUMBER(SEARCH(Assumptions!$C$5,E1113)),Assumptions!$D$5,IF(ISNUMBER(SEARCH(Assumptions!$C$6,E1113)),Assumptions!$D$6,IF(ISNUMBER(SEARCH(Assumptions!$C$7,E1113)),Assumptions!$D$7,"Other Services"))),"Other Services"))</f>
        <v/>
      </c>
    </row>
    <row r="1114" customFormat="false" ht="15" hidden="false" customHeight="false" outlineLevel="0" collapsed="false">
      <c r="G1114" s="41" t="str">
        <f aca="false">IF(E1114="","",IFERROR(IF(ISNUMBER(SEARCH(Assumptions!$C$5,E1114)),Assumptions!$D$5,IF(ISNUMBER(SEARCH(Assumptions!$C$6,E1114)),Assumptions!$D$6,IF(ISNUMBER(SEARCH(Assumptions!$C$7,E1114)),Assumptions!$D$7,"Other Services"))),"Other Services"))</f>
        <v/>
      </c>
    </row>
    <row r="1115" customFormat="false" ht="15" hidden="false" customHeight="false" outlineLevel="0" collapsed="false">
      <c r="G1115" s="41" t="str">
        <f aca="false">IF(E1115="","",IFERROR(IF(ISNUMBER(SEARCH(Assumptions!$C$5,E1115)),Assumptions!$D$5,IF(ISNUMBER(SEARCH(Assumptions!$C$6,E1115)),Assumptions!$D$6,IF(ISNUMBER(SEARCH(Assumptions!$C$7,E1115)),Assumptions!$D$7,"Other Services"))),"Other Services"))</f>
        <v/>
      </c>
    </row>
    <row r="1116" customFormat="false" ht="15" hidden="false" customHeight="false" outlineLevel="0" collapsed="false">
      <c r="G1116" s="41" t="str">
        <f aca="false">IF(E1116="","",IFERROR(IF(ISNUMBER(SEARCH(Assumptions!$C$5,E1116)),Assumptions!$D$5,IF(ISNUMBER(SEARCH(Assumptions!$C$6,E1116)),Assumptions!$D$6,IF(ISNUMBER(SEARCH(Assumptions!$C$7,E1116)),Assumptions!$D$7,"Other Services"))),"Other Services"))</f>
        <v/>
      </c>
    </row>
    <row r="1117" customFormat="false" ht="15" hidden="false" customHeight="false" outlineLevel="0" collapsed="false">
      <c r="G1117" s="41" t="str">
        <f aca="false">IF(E1117="","",IFERROR(IF(ISNUMBER(SEARCH(Assumptions!$C$5,E1117)),Assumptions!$D$5,IF(ISNUMBER(SEARCH(Assumptions!$C$6,E1117)),Assumptions!$D$6,IF(ISNUMBER(SEARCH(Assumptions!$C$7,E1117)),Assumptions!$D$7,"Other Services"))),"Other Services"))</f>
        <v/>
      </c>
    </row>
    <row r="1118" customFormat="false" ht="15" hidden="false" customHeight="false" outlineLevel="0" collapsed="false">
      <c r="G1118" s="41" t="str">
        <f aca="false">IF(E1118="","",IFERROR(IF(ISNUMBER(SEARCH(Assumptions!$C$5,E1118)),Assumptions!$D$5,IF(ISNUMBER(SEARCH(Assumptions!$C$6,E1118)),Assumptions!$D$6,IF(ISNUMBER(SEARCH(Assumptions!$C$7,E1118)),Assumptions!$D$7,"Other Services"))),"Other Services"))</f>
        <v/>
      </c>
    </row>
    <row r="1119" customFormat="false" ht="15" hidden="false" customHeight="false" outlineLevel="0" collapsed="false">
      <c r="G1119" s="41" t="str">
        <f aca="false">IF(E1119="","",IFERROR(IF(ISNUMBER(SEARCH(Assumptions!$C$5,E1119)),Assumptions!$D$5,IF(ISNUMBER(SEARCH(Assumptions!$C$6,E1119)),Assumptions!$D$6,IF(ISNUMBER(SEARCH(Assumptions!$C$7,E1119)),Assumptions!$D$7,"Other Services"))),"Other Services"))</f>
        <v/>
      </c>
    </row>
    <row r="1120" customFormat="false" ht="15" hidden="false" customHeight="false" outlineLevel="0" collapsed="false">
      <c r="G1120" s="41" t="str">
        <f aca="false">IF(E1120="","",IFERROR(IF(ISNUMBER(SEARCH(Assumptions!$C$5,E1120)),Assumptions!$D$5,IF(ISNUMBER(SEARCH(Assumptions!$C$6,E1120)),Assumptions!$D$6,IF(ISNUMBER(SEARCH(Assumptions!$C$7,E1120)),Assumptions!$D$7,"Other Services"))),"Other Services"))</f>
        <v/>
      </c>
    </row>
    <row r="1121" customFormat="false" ht="15" hidden="false" customHeight="false" outlineLevel="0" collapsed="false">
      <c r="G1121" s="41" t="str">
        <f aca="false">IF(E1121="","",IFERROR(IF(ISNUMBER(SEARCH(Assumptions!$C$5,E1121)),Assumptions!$D$5,IF(ISNUMBER(SEARCH(Assumptions!$C$6,E1121)),Assumptions!$D$6,IF(ISNUMBER(SEARCH(Assumptions!$C$7,E1121)),Assumptions!$D$7,"Other Services"))),"Other Services"))</f>
        <v/>
      </c>
    </row>
    <row r="1122" customFormat="false" ht="15" hidden="false" customHeight="false" outlineLevel="0" collapsed="false">
      <c r="G1122" s="41" t="str">
        <f aca="false">IF(E1122="","",IFERROR(IF(ISNUMBER(SEARCH(Assumptions!$C$5,E1122)),Assumptions!$D$5,IF(ISNUMBER(SEARCH(Assumptions!$C$6,E1122)),Assumptions!$D$6,IF(ISNUMBER(SEARCH(Assumptions!$C$7,E1122)),Assumptions!$D$7,"Other Services"))),"Other Services"))</f>
        <v/>
      </c>
    </row>
    <row r="1123" customFormat="false" ht="15" hidden="false" customHeight="false" outlineLevel="0" collapsed="false">
      <c r="G1123" s="41" t="str">
        <f aca="false">IF(E1123="","",IFERROR(IF(ISNUMBER(SEARCH(Assumptions!$C$5,E1123)),Assumptions!$D$5,IF(ISNUMBER(SEARCH(Assumptions!$C$6,E1123)),Assumptions!$D$6,IF(ISNUMBER(SEARCH(Assumptions!$C$7,E1123)),Assumptions!$D$7,"Other Services"))),"Other Services"))</f>
        <v/>
      </c>
    </row>
    <row r="1124" customFormat="false" ht="15" hidden="false" customHeight="false" outlineLevel="0" collapsed="false">
      <c r="G1124" s="41" t="str">
        <f aca="false">IF(E1124="","",IFERROR(IF(ISNUMBER(SEARCH(Assumptions!$C$5,E1124)),Assumptions!$D$5,IF(ISNUMBER(SEARCH(Assumptions!$C$6,E1124)),Assumptions!$D$6,IF(ISNUMBER(SEARCH(Assumptions!$C$7,E1124)),Assumptions!$D$7,"Other Services"))),"Other Services"))</f>
        <v/>
      </c>
    </row>
    <row r="1125" customFormat="false" ht="15" hidden="false" customHeight="false" outlineLevel="0" collapsed="false">
      <c r="G1125" s="41" t="str">
        <f aca="false">IF(E1125="","",IFERROR(IF(ISNUMBER(SEARCH(Assumptions!$C$5,E1125)),Assumptions!$D$5,IF(ISNUMBER(SEARCH(Assumptions!$C$6,E1125)),Assumptions!$D$6,IF(ISNUMBER(SEARCH(Assumptions!$C$7,E1125)),Assumptions!$D$7,"Other Services"))),"Other Services"))</f>
        <v/>
      </c>
    </row>
    <row r="1126" customFormat="false" ht="15" hidden="false" customHeight="false" outlineLevel="0" collapsed="false">
      <c r="G1126" s="41" t="str">
        <f aca="false">IF(E1126="","",IFERROR(IF(ISNUMBER(SEARCH(Assumptions!$C$5,E1126)),Assumptions!$D$5,IF(ISNUMBER(SEARCH(Assumptions!$C$6,E1126)),Assumptions!$D$6,IF(ISNUMBER(SEARCH(Assumptions!$C$7,E1126)),Assumptions!$D$7,"Other Services"))),"Other Services"))</f>
        <v/>
      </c>
    </row>
    <row r="1127" customFormat="false" ht="15" hidden="false" customHeight="false" outlineLevel="0" collapsed="false">
      <c r="G1127" s="41" t="str">
        <f aca="false">IF(E1127="","",IFERROR(IF(ISNUMBER(SEARCH(Assumptions!$C$5,E1127)),Assumptions!$D$5,IF(ISNUMBER(SEARCH(Assumptions!$C$6,E1127)),Assumptions!$D$6,IF(ISNUMBER(SEARCH(Assumptions!$C$7,E1127)),Assumptions!$D$7,"Other Services"))),"Other Services"))</f>
        <v/>
      </c>
    </row>
    <row r="1128" customFormat="false" ht="15" hidden="false" customHeight="false" outlineLevel="0" collapsed="false">
      <c r="G1128" s="41" t="str">
        <f aca="false">IF(E1128="","",IFERROR(IF(ISNUMBER(SEARCH(Assumptions!$C$5,E1128)),Assumptions!$D$5,IF(ISNUMBER(SEARCH(Assumptions!$C$6,E1128)),Assumptions!$D$6,IF(ISNUMBER(SEARCH(Assumptions!$C$7,E1128)),Assumptions!$D$7,"Other Services"))),"Other Services"))</f>
        <v/>
      </c>
    </row>
    <row r="1129" customFormat="false" ht="15" hidden="false" customHeight="false" outlineLevel="0" collapsed="false">
      <c r="G1129" s="41" t="str">
        <f aca="false">IF(E1129="","",IFERROR(IF(ISNUMBER(SEARCH(Assumptions!$C$5,E1129)),Assumptions!$D$5,IF(ISNUMBER(SEARCH(Assumptions!$C$6,E1129)),Assumptions!$D$6,IF(ISNUMBER(SEARCH(Assumptions!$C$7,E1129)),Assumptions!$D$7,"Other Services"))),"Other Services"))</f>
        <v/>
      </c>
    </row>
    <row r="1130" customFormat="false" ht="15" hidden="false" customHeight="false" outlineLevel="0" collapsed="false">
      <c r="G1130" s="41" t="str">
        <f aca="false">IF(E1130="","",IFERROR(IF(ISNUMBER(SEARCH(Assumptions!$C$5,E1130)),Assumptions!$D$5,IF(ISNUMBER(SEARCH(Assumptions!$C$6,E1130)),Assumptions!$D$6,IF(ISNUMBER(SEARCH(Assumptions!$C$7,E1130)),Assumptions!$D$7,"Other Services"))),"Other Services"))</f>
        <v/>
      </c>
    </row>
    <row r="1131" customFormat="false" ht="15" hidden="false" customHeight="false" outlineLevel="0" collapsed="false">
      <c r="G1131" s="41" t="str">
        <f aca="false">IF(E1131="","",IFERROR(IF(ISNUMBER(SEARCH(Assumptions!$C$5,E1131)),Assumptions!$D$5,IF(ISNUMBER(SEARCH(Assumptions!$C$6,E1131)),Assumptions!$D$6,IF(ISNUMBER(SEARCH(Assumptions!$C$7,E1131)),Assumptions!$D$7,"Other Services"))),"Other Services"))</f>
        <v/>
      </c>
    </row>
    <row r="1132" customFormat="false" ht="15" hidden="false" customHeight="false" outlineLevel="0" collapsed="false">
      <c r="G1132" s="41" t="str">
        <f aca="false">IF(E1132="","",IFERROR(IF(ISNUMBER(SEARCH(Assumptions!$C$5,E1132)),Assumptions!$D$5,IF(ISNUMBER(SEARCH(Assumptions!$C$6,E1132)),Assumptions!$D$6,IF(ISNUMBER(SEARCH(Assumptions!$C$7,E1132)),Assumptions!$D$7,"Other Services"))),"Other Services"))</f>
        <v/>
      </c>
    </row>
    <row r="1133" customFormat="false" ht="15" hidden="false" customHeight="false" outlineLevel="0" collapsed="false">
      <c r="G1133" s="41" t="str">
        <f aca="false">IF(E1133="","",IFERROR(IF(ISNUMBER(SEARCH(Assumptions!$C$5,E1133)),Assumptions!$D$5,IF(ISNUMBER(SEARCH(Assumptions!$C$6,E1133)),Assumptions!$D$6,IF(ISNUMBER(SEARCH(Assumptions!$C$7,E1133)),Assumptions!$D$7,"Other Services"))),"Other Services"))</f>
        <v/>
      </c>
    </row>
    <row r="1134" customFormat="false" ht="15" hidden="false" customHeight="false" outlineLevel="0" collapsed="false">
      <c r="G1134" s="41" t="str">
        <f aca="false">IF(E1134="","",IFERROR(IF(ISNUMBER(SEARCH(Assumptions!$C$5,E1134)),Assumptions!$D$5,IF(ISNUMBER(SEARCH(Assumptions!$C$6,E1134)),Assumptions!$D$6,IF(ISNUMBER(SEARCH(Assumptions!$C$7,E1134)),Assumptions!$D$7,"Other Services"))),"Other Services"))</f>
        <v/>
      </c>
    </row>
    <row r="1135" customFormat="false" ht="15" hidden="false" customHeight="false" outlineLevel="0" collapsed="false">
      <c r="G1135" s="41" t="str">
        <f aca="false">IF(E1135="","",IFERROR(IF(ISNUMBER(SEARCH(Assumptions!$C$5,E1135)),Assumptions!$D$5,IF(ISNUMBER(SEARCH(Assumptions!$C$6,E1135)),Assumptions!$D$6,IF(ISNUMBER(SEARCH(Assumptions!$C$7,E1135)),Assumptions!$D$7,"Other Services"))),"Other Services"))</f>
        <v/>
      </c>
    </row>
    <row r="1136" customFormat="false" ht="15" hidden="false" customHeight="false" outlineLevel="0" collapsed="false">
      <c r="G1136" s="41" t="str">
        <f aca="false">IF(E1136="","",IFERROR(IF(ISNUMBER(SEARCH(Assumptions!$C$5,E1136)),Assumptions!$D$5,IF(ISNUMBER(SEARCH(Assumptions!$C$6,E1136)),Assumptions!$D$6,IF(ISNUMBER(SEARCH(Assumptions!$C$7,E1136)),Assumptions!$D$7,"Other Services"))),"Other Services"))</f>
        <v/>
      </c>
    </row>
    <row r="1137" customFormat="false" ht="15" hidden="false" customHeight="false" outlineLevel="0" collapsed="false">
      <c r="G1137" s="41" t="str">
        <f aca="false">IF(E1137="","",IFERROR(IF(ISNUMBER(SEARCH(Assumptions!$C$5,E1137)),Assumptions!$D$5,IF(ISNUMBER(SEARCH(Assumptions!$C$6,E1137)),Assumptions!$D$6,IF(ISNUMBER(SEARCH(Assumptions!$C$7,E1137)),Assumptions!$D$7,"Other Services"))),"Other Services"))</f>
        <v/>
      </c>
    </row>
    <row r="1138" customFormat="false" ht="15" hidden="false" customHeight="false" outlineLevel="0" collapsed="false">
      <c r="G1138" s="41" t="str">
        <f aca="false">IF(E1138="","",IFERROR(IF(ISNUMBER(SEARCH(Assumptions!$C$5,E1138)),Assumptions!$D$5,IF(ISNUMBER(SEARCH(Assumptions!$C$6,E1138)),Assumptions!$D$6,IF(ISNUMBER(SEARCH(Assumptions!$C$7,E1138)),Assumptions!$D$7,"Other Services"))),"Other Services"))</f>
        <v/>
      </c>
    </row>
    <row r="1139" customFormat="false" ht="15" hidden="false" customHeight="false" outlineLevel="0" collapsed="false">
      <c r="G1139" s="41" t="str">
        <f aca="false">IF(E1139="","",IFERROR(IF(ISNUMBER(SEARCH(Assumptions!$C$5,E1139)),Assumptions!$D$5,IF(ISNUMBER(SEARCH(Assumptions!$C$6,E1139)),Assumptions!$D$6,IF(ISNUMBER(SEARCH(Assumptions!$C$7,E1139)),Assumptions!$D$7,"Other Services"))),"Other Services"))</f>
        <v/>
      </c>
    </row>
    <row r="1140" customFormat="false" ht="15" hidden="false" customHeight="false" outlineLevel="0" collapsed="false">
      <c r="G1140" s="41" t="str">
        <f aca="false">IF(E1140="","",IFERROR(IF(ISNUMBER(SEARCH(Assumptions!$C$5,E1140)),Assumptions!$D$5,IF(ISNUMBER(SEARCH(Assumptions!$C$6,E1140)),Assumptions!$D$6,IF(ISNUMBER(SEARCH(Assumptions!$C$7,E1140)),Assumptions!$D$7,"Other Services"))),"Other Services"))</f>
        <v/>
      </c>
    </row>
    <row r="1141" customFormat="false" ht="15" hidden="false" customHeight="false" outlineLevel="0" collapsed="false">
      <c r="G1141" s="41" t="str">
        <f aca="false">IF(E1141="","",IFERROR(IF(ISNUMBER(SEARCH(Assumptions!$C$5,E1141)),Assumptions!$D$5,IF(ISNUMBER(SEARCH(Assumptions!$C$6,E1141)),Assumptions!$D$6,IF(ISNUMBER(SEARCH(Assumptions!$C$7,E1141)),Assumptions!$D$7,"Other Services"))),"Other Services"))</f>
        <v/>
      </c>
    </row>
    <row r="1142" customFormat="false" ht="15" hidden="false" customHeight="false" outlineLevel="0" collapsed="false">
      <c r="G1142" s="41" t="str">
        <f aca="false">IF(E1142="","",IFERROR(IF(ISNUMBER(SEARCH(Assumptions!$C$5,E1142)),Assumptions!$D$5,IF(ISNUMBER(SEARCH(Assumptions!$C$6,E1142)),Assumptions!$D$6,IF(ISNUMBER(SEARCH(Assumptions!$C$7,E1142)),Assumptions!$D$7,"Other Services"))),"Other Services"))</f>
        <v/>
      </c>
    </row>
    <row r="1143" customFormat="false" ht="15" hidden="false" customHeight="false" outlineLevel="0" collapsed="false">
      <c r="G1143" s="41" t="str">
        <f aca="false">IF(E1143="","",IFERROR(IF(ISNUMBER(SEARCH(Assumptions!$C$5,E1143)),Assumptions!$D$5,IF(ISNUMBER(SEARCH(Assumptions!$C$6,E1143)),Assumptions!$D$6,IF(ISNUMBER(SEARCH(Assumptions!$C$7,E1143)),Assumptions!$D$7,"Other Services"))),"Other Services"))</f>
        <v/>
      </c>
    </row>
    <row r="1144" customFormat="false" ht="15" hidden="false" customHeight="false" outlineLevel="0" collapsed="false">
      <c r="G1144" s="41" t="str">
        <f aca="false">IF(E1144="","",IFERROR(IF(ISNUMBER(SEARCH(Assumptions!$C$5,E1144)),Assumptions!$D$5,IF(ISNUMBER(SEARCH(Assumptions!$C$6,E1144)),Assumptions!$D$6,IF(ISNUMBER(SEARCH(Assumptions!$C$7,E1144)),Assumptions!$D$7,"Other Services"))),"Other Services"))</f>
        <v/>
      </c>
    </row>
    <row r="1145" customFormat="false" ht="15" hidden="false" customHeight="false" outlineLevel="0" collapsed="false">
      <c r="G1145" s="41" t="str">
        <f aca="false">IF(E1145="","",IFERROR(IF(ISNUMBER(SEARCH(Assumptions!$C$5,E1145)),Assumptions!$D$5,IF(ISNUMBER(SEARCH(Assumptions!$C$6,E1145)),Assumptions!$D$6,IF(ISNUMBER(SEARCH(Assumptions!$C$7,E1145)),Assumptions!$D$7,"Other Services"))),"Other Services"))</f>
        <v/>
      </c>
    </row>
    <row r="1146" customFormat="false" ht="15" hidden="false" customHeight="false" outlineLevel="0" collapsed="false">
      <c r="G1146" s="41" t="str">
        <f aca="false">IF(E1146="","",IFERROR(IF(ISNUMBER(SEARCH(Assumptions!$C$5,E1146)),Assumptions!$D$5,IF(ISNUMBER(SEARCH(Assumptions!$C$6,E1146)),Assumptions!$D$6,IF(ISNUMBER(SEARCH(Assumptions!$C$7,E1146)),Assumptions!$D$7,"Other Services"))),"Other Services"))</f>
        <v/>
      </c>
    </row>
    <row r="1147" customFormat="false" ht="15" hidden="false" customHeight="false" outlineLevel="0" collapsed="false">
      <c r="G1147" s="41" t="str">
        <f aca="false">IF(E1147="","",IFERROR(IF(ISNUMBER(SEARCH(Assumptions!$C$5,E1147)),Assumptions!$D$5,IF(ISNUMBER(SEARCH(Assumptions!$C$6,E1147)),Assumptions!$D$6,IF(ISNUMBER(SEARCH(Assumptions!$C$7,E1147)),Assumptions!$D$7,"Other Services"))),"Other Services"))</f>
        <v/>
      </c>
    </row>
    <row r="1148" customFormat="false" ht="15" hidden="false" customHeight="false" outlineLevel="0" collapsed="false">
      <c r="G1148" s="41" t="str">
        <f aca="false">IF(E1148="","",IFERROR(IF(ISNUMBER(SEARCH(Assumptions!$C$5,E1148)),Assumptions!$D$5,IF(ISNUMBER(SEARCH(Assumptions!$C$6,E1148)),Assumptions!$D$6,IF(ISNUMBER(SEARCH(Assumptions!$C$7,E1148)),Assumptions!$D$7,"Other Services"))),"Other Services"))</f>
        <v/>
      </c>
    </row>
    <row r="1149" customFormat="false" ht="15" hidden="false" customHeight="false" outlineLevel="0" collapsed="false">
      <c r="G1149" s="41" t="str">
        <f aca="false">IF(E1149="","",IFERROR(IF(ISNUMBER(SEARCH(Assumptions!$C$5,E1149)),Assumptions!$D$5,IF(ISNUMBER(SEARCH(Assumptions!$C$6,E1149)),Assumptions!$D$6,IF(ISNUMBER(SEARCH(Assumptions!$C$7,E1149)),Assumptions!$D$7,"Other Services"))),"Other Services"))</f>
        <v/>
      </c>
    </row>
    <row r="1150" customFormat="false" ht="15" hidden="false" customHeight="false" outlineLevel="0" collapsed="false">
      <c r="G1150" s="41" t="str">
        <f aca="false">IF(E1150="","",IFERROR(IF(ISNUMBER(SEARCH(Assumptions!$C$5,E1150)),Assumptions!$D$5,IF(ISNUMBER(SEARCH(Assumptions!$C$6,E1150)),Assumptions!$D$6,IF(ISNUMBER(SEARCH(Assumptions!$C$7,E1150)),Assumptions!$D$7,"Other Services"))),"Other Services"))</f>
        <v/>
      </c>
    </row>
    <row r="1151" customFormat="false" ht="15" hidden="false" customHeight="false" outlineLevel="0" collapsed="false">
      <c r="G1151" s="41" t="str">
        <f aca="false">IF(E1151="","",IFERROR(IF(ISNUMBER(SEARCH(Assumptions!$C$5,E1151)),Assumptions!$D$5,IF(ISNUMBER(SEARCH(Assumptions!$C$6,E1151)),Assumptions!$D$6,IF(ISNUMBER(SEARCH(Assumptions!$C$7,E1151)),Assumptions!$D$7,"Other Services"))),"Other Services"))</f>
        <v/>
      </c>
    </row>
    <row r="1152" customFormat="false" ht="15" hidden="false" customHeight="false" outlineLevel="0" collapsed="false">
      <c r="G1152" s="41" t="str">
        <f aca="false">IF(E1152="","",IFERROR(IF(ISNUMBER(SEARCH(Assumptions!$C$5,E1152)),Assumptions!$D$5,IF(ISNUMBER(SEARCH(Assumptions!$C$6,E1152)),Assumptions!$D$6,IF(ISNUMBER(SEARCH(Assumptions!$C$7,E1152)),Assumptions!$D$7,"Other Services"))),"Other Services"))</f>
        <v/>
      </c>
    </row>
    <row r="1153" customFormat="false" ht="15" hidden="false" customHeight="false" outlineLevel="0" collapsed="false">
      <c r="G1153" s="41" t="str">
        <f aca="false">IF(E1153="","",IFERROR(IF(ISNUMBER(SEARCH(Assumptions!$C$5,E1153)),Assumptions!$D$5,IF(ISNUMBER(SEARCH(Assumptions!$C$6,E1153)),Assumptions!$D$6,IF(ISNUMBER(SEARCH(Assumptions!$C$7,E1153)),Assumptions!$D$7,"Other Services"))),"Other Services"))</f>
        <v/>
      </c>
    </row>
    <row r="1154" customFormat="false" ht="15" hidden="false" customHeight="false" outlineLevel="0" collapsed="false">
      <c r="G1154" s="41" t="str">
        <f aca="false">IF(E1154="","",IFERROR(IF(ISNUMBER(SEARCH(Assumptions!$C$5,E1154)),Assumptions!$D$5,IF(ISNUMBER(SEARCH(Assumptions!$C$6,E1154)),Assumptions!$D$6,IF(ISNUMBER(SEARCH(Assumptions!$C$7,E1154)),Assumptions!$D$7,"Other Services"))),"Other Services"))</f>
        <v/>
      </c>
    </row>
    <row r="1155" customFormat="false" ht="15" hidden="false" customHeight="false" outlineLevel="0" collapsed="false">
      <c r="G1155" s="41" t="str">
        <f aca="false">IF(E1155="","",IFERROR(IF(ISNUMBER(SEARCH(Assumptions!$C$5,E1155)),Assumptions!$D$5,IF(ISNUMBER(SEARCH(Assumptions!$C$6,E1155)),Assumptions!$D$6,IF(ISNUMBER(SEARCH(Assumptions!$C$7,E1155)),Assumptions!$D$7,"Other Services"))),"Other Services"))</f>
        <v/>
      </c>
    </row>
    <row r="1156" customFormat="false" ht="15" hidden="false" customHeight="false" outlineLevel="0" collapsed="false">
      <c r="G1156" s="41" t="str">
        <f aca="false">IF(E1156="","",IFERROR(IF(ISNUMBER(SEARCH(Assumptions!$C$5,E1156)),Assumptions!$D$5,IF(ISNUMBER(SEARCH(Assumptions!$C$6,E1156)),Assumptions!$D$6,IF(ISNUMBER(SEARCH(Assumptions!$C$7,E1156)),Assumptions!$D$7,"Other Services"))),"Other Services"))</f>
        <v/>
      </c>
    </row>
    <row r="1157" customFormat="false" ht="15" hidden="false" customHeight="false" outlineLevel="0" collapsed="false">
      <c r="G1157" s="41" t="str">
        <f aca="false">IF(E1157="","",IFERROR(IF(ISNUMBER(SEARCH(Assumptions!$C$5,E1157)),Assumptions!$D$5,IF(ISNUMBER(SEARCH(Assumptions!$C$6,E1157)),Assumptions!$D$6,IF(ISNUMBER(SEARCH(Assumptions!$C$7,E1157)),Assumptions!$D$7,"Other Services"))),"Other Services"))</f>
        <v/>
      </c>
    </row>
    <row r="1158" customFormat="false" ht="15" hidden="false" customHeight="false" outlineLevel="0" collapsed="false">
      <c r="G1158" s="41" t="str">
        <f aca="false">IF(E1158="","",IFERROR(IF(ISNUMBER(SEARCH(Assumptions!$C$5,E1158)),Assumptions!$D$5,IF(ISNUMBER(SEARCH(Assumptions!$C$6,E1158)),Assumptions!$D$6,IF(ISNUMBER(SEARCH(Assumptions!$C$7,E1158)),Assumptions!$D$7,"Other Services"))),"Other Services"))</f>
        <v/>
      </c>
    </row>
    <row r="1159" customFormat="false" ht="15" hidden="false" customHeight="false" outlineLevel="0" collapsed="false">
      <c r="G1159" s="41" t="str">
        <f aca="false">IF(E1159="","",IFERROR(IF(ISNUMBER(SEARCH(Assumptions!$C$5,E1159)),Assumptions!$D$5,IF(ISNUMBER(SEARCH(Assumptions!$C$6,E1159)),Assumptions!$D$6,IF(ISNUMBER(SEARCH(Assumptions!$C$7,E1159)),Assumptions!$D$7,"Other Services"))),"Other Services"))</f>
        <v/>
      </c>
    </row>
    <row r="1160" customFormat="false" ht="15" hidden="false" customHeight="false" outlineLevel="0" collapsed="false">
      <c r="G1160" s="41" t="str">
        <f aca="false">IF(E1160="","",IFERROR(IF(ISNUMBER(SEARCH(Assumptions!$C$5,E1160)),Assumptions!$D$5,IF(ISNUMBER(SEARCH(Assumptions!$C$6,E1160)),Assumptions!$D$6,IF(ISNUMBER(SEARCH(Assumptions!$C$7,E1160)),Assumptions!$D$7,"Other Services"))),"Other Services"))</f>
        <v/>
      </c>
    </row>
    <row r="1161" customFormat="false" ht="15" hidden="false" customHeight="false" outlineLevel="0" collapsed="false">
      <c r="G1161" s="41" t="str">
        <f aca="false">IF(E1161="","",IFERROR(IF(ISNUMBER(SEARCH(Assumptions!$C$5,E1161)),Assumptions!$D$5,IF(ISNUMBER(SEARCH(Assumptions!$C$6,E1161)),Assumptions!$D$6,IF(ISNUMBER(SEARCH(Assumptions!$C$7,E1161)),Assumptions!$D$7,"Other Services"))),"Other Services"))</f>
        <v/>
      </c>
    </row>
    <row r="1162" customFormat="false" ht="15" hidden="false" customHeight="false" outlineLevel="0" collapsed="false">
      <c r="G1162" s="41" t="str">
        <f aca="false">IF(E1162="","",IFERROR(IF(ISNUMBER(SEARCH(Assumptions!$C$5,E1162)),Assumptions!$D$5,IF(ISNUMBER(SEARCH(Assumptions!$C$6,E1162)),Assumptions!$D$6,IF(ISNUMBER(SEARCH(Assumptions!$C$7,E1162)),Assumptions!$D$7,"Other Services"))),"Other Services"))</f>
        <v/>
      </c>
    </row>
    <row r="1163" customFormat="false" ht="15" hidden="false" customHeight="false" outlineLevel="0" collapsed="false">
      <c r="G1163" s="41" t="str">
        <f aca="false">IF(E1163="","",IFERROR(IF(ISNUMBER(SEARCH(Assumptions!$C$5,E1163)),Assumptions!$D$5,IF(ISNUMBER(SEARCH(Assumptions!$C$6,E1163)),Assumptions!$D$6,IF(ISNUMBER(SEARCH(Assumptions!$C$7,E1163)),Assumptions!$D$7,"Other Services"))),"Other Services"))</f>
        <v/>
      </c>
    </row>
    <row r="1164" customFormat="false" ht="15" hidden="false" customHeight="false" outlineLevel="0" collapsed="false">
      <c r="G1164" s="41" t="str">
        <f aca="false">IF(E1164="","",IFERROR(IF(ISNUMBER(SEARCH(Assumptions!$C$5,E1164)),Assumptions!$D$5,IF(ISNUMBER(SEARCH(Assumptions!$C$6,E1164)),Assumptions!$D$6,IF(ISNUMBER(SEARCH(Assumptions!$C$7,E1164)),Assumptions!$D$7,"Other Services"))),"Other Services"))</f>
        <v/>
      </c>
    </row>
    <row r="1165" customFormat="false" ht="15" hidden="false" customHeight="false" outlineLevel="0" collapsed="false">
      <c r="G1165" s="41" t="str">
        <f aca="false">IF(E1165="","",IFERROR(IF(ISNUMBER(SEARCH(Assumptions!$C$5,E1165)),Assumptions!$D$5,IF(ISNUMBER(SEARCH(Assumptions!$C$6,E1165)),Assumptions!$D$6,IF(ISNUMBER(SEARCH(Assumptions!$C$7,E1165)),Assumptions!$D$7,"Other Services"))),"Other Services"))</f>
        <v/>
      </c>
    </row>
    <row r="1166" customFormat="false" ht="15" hidden="false" customHeight="false" outlineLevel="0" collapsed="false">
      <c r="G1166" s="41" t="str">
        <f aca="false">IF(E1166="","",IFERROR(IF(ISNUMBER(SEARCH(Assumptions!$C$5,E1166)),Assumptions!$D$5,IF(ISNUMBER(SEARCH(Assumptions!$C$6,E1166)),Assumptions!$D$6,IF(ISNUMBER(SEARCH(Assumptions!$C$7,E1166)),Assumptions!$D$7,"Other Services"))),"Other Services"))</f>
        <v/>
      </c>
    </row>
    <row r="1167" customFormat="false" ht="15" hidden="false" customHeight="false" outlineLevel="0" collapsed="false">
      <c r="G1167" s="41" t="str">
        <f aca="false">IF(E1167="","",IFERROR(IF(ISNUMBER(SEARCH(Assumptions!$C$5,E1167)),Assumptions!$D$5,IF(ISNUMBER(SEARCH(Assumptions!$C$6,E1167)),Assumptions!$D$6,IF(ISNUMBER(SEARCH(Assumptions!$C$7,E1167)),Assumptions!$D$7,"Other Services"))),"Other Services"))</f>
        <v/>
      </c>
    </row>
    <row r="1168" customFormat="false" ht="15" hidden="false" customHeight="false" outlineLevel="0" collapsed="false">
      <c r="G1168" s="41" t="str">
        <f aca="false">IF(E1168="","",IFERROR(IF(ISNUMBER(SEARCH(Assumptions!$C$5,E1168)),Assumptions!$D$5,IF(ISNUMBER(SEARCH(Assumptions!$C$6,E1168)),Assumptions!$D$6,IF(ISNUMBER(SEARCH(Assumptions!$C$7,E1168)),Assumptions!$D$7,"Other Services"))),"Other Services"))</f>
        <v/>
      </c>
    </row>
    <row r="1169" customFormat="false" ht="15" hidden="false" customHeight="false" outlineLevel="0" collapsed="false">
      <c r="G1169" s="41" t="str">
        <f aca="false">IF(E1169="","",IFERROR(IF(ISNUMBER(SEARCH(Assumptions!$C$5,E1169)),Assumptions!$D$5,IF(ISNUMBER(SEARCH(Assumptions!$C$6,E1169)),Assumptions!$D$6,IF(ISNUMBER(SEARCH(Assumptions!$C$7,E1169)),Assumptions!$D$7,"Other Services"))),"Other Services"))</f>
        <v/>
      </c>
    </row>
    <row r="1170" customFormat="false" ht="15" hidden="false" customHeight="false" outlineLevel="0" collapsed="false">
      <c r="G1170" s="41" t="str">
        <f aca="false">IF(E1170="","",IFERROR(IF(ISNUMBER(SEARCH(Assumptions!$C$5,E1170)),Assumptions!$D$5,IF(ISNUMBER(SEARCH(Assumptions!$C$6,E1170)),Assumptions!$D$6,IF(ISNUMBER(SEARCH(Assumptions!$C$7,E1170)),Assumptions!$D$7,"Other Services"))),"Other Services"))</f>
        <v/>
      </c>
    </row>
    <row r="1171" customFormat="false" ht="15" hidden="false" customHeight="false" outlineLevel="0" collapsed="false">
      <c r="G1171" s="41" t="str">
        <f aca="false">IF(E1171="","",IFERROR(IF(ISNUMBER(SEARCH(Assumptions!$C$5,E1171)),Assumptions!$D$5,IF(ISNUMBER(SEARCH(Assumptions!$C$6,E1171)),Assumptions!$D$6,IF(ISNUMBER(SEARCH(Assumptions!$C$7,E1171)),Assumptions!$D$7,"Other Services"))),"Other Services"))</f>
        <v/>
      </c>
    </row>
    <row r="1172" customFormat="false" ht="15" hidden="false" customHeight="false" outlineLevel="0" collapsed="false">
      <c r="G1172" s="41" t="str">
        <f aca="false">IF(E1172="","",IFERROR(IF(ISNUMBER(SEARCH(Assumptions!$C$5,E1172)),Assumptions!$D$5,IF(ISNUMBER(SEARCH(Assumptions!$C$6,E1172)),Assumptions!$D$6,IF(ISNUMBER(SEARCH(Assumptions!$C$7,E1172)),Assumptions!$D$7,"Other Services"))),"Other Services"))</f>
        <v/>
      </c>
    </row>
    <row r="1173" customFormat="false" ht="15" hidden="false" customHeight="false" outlineLevel="0" collapsed="false">
      <c r="G1173" s="41" t="str">
        <f aca="false">IF(E1173="","",IFERROR(IF(ISNUMBER(SEARCH(Assumptions!$C$5,E1173)),Assumptions!$D$5,IF(ISNUMBER(SEARCH(Assumptions!$C$6,E1173)),Assumptions!$D$6,IF(ISNUMBER(SEARCH(Assumptions!$C$7,E1173)),Assumptions!$D$7,"Other Services"))),"Other Services"))</f>
        <v/>
      </c>
    </row>
    <row r="1174" customFormat="false" ht="15" hidden="false" customHeight="false" outlineLevel="0" collapsed="false">
      <c r="G1174" s="41" t="str">
        <f aca="false">IF(E1174="","",IFERROR(IF(ISNUMBER(SEARCH(Assumptions!$C$5,E1174)),Assumptions!$D$5,IF(ISNUMBER(SEARCH(Assumptions!$C$6,E1174)),Assumptions!$D$6,IF(ISNUMBER(SEARCH(Assumptions!$C$7,E1174)),Assumptions!$D$7,"Other Services"))),"Other Services"))</f>
        <v/>
      </c>
    </row>
    <row r="1175" customFormat="false" ht="15" hidden="false" customHeight="false" outlineLevel="0" collapsed="false">
      <c r="G1175" s="41" t="str">
        <f aca="false">IF(E1175="","",IFERROR(IF(ISNUMBER(SEARCH(Assumptions!$C$5,E1175)),Assumptions!$D$5,IF(ISNUMBER(SEARCH(Assumptions!$C$6,E1175)),Assumptions!$D$6,IF(ISNUMBER(SEARCH(Assumptions!$C$7,E1175)),Assumptions!$D$7,"Other Services"))),"Other Services"))</f>
        <v/>
      </c>
    </row>
    <row r="1176" customFormat="false" ht="15" hidden="false" customHeight="false" outlineLevel="0" collapsed="false">
      <c r="G1176" s="41" t="str">
        <f aca="false">IF(E1176="","",IFERROR(IF(ISNUMBER(SEARCH(Assumptions!$C$5,E1176)),Assumptions!$D$5,IF(ISNUMBER(SEARCH(Assumptions!$C$6,E1176)),Assumptions!$D$6,IF(ISNUMBER(SEARCH(Assumptions!$C$7,E1176)),Assumptions!$D$7,"Other Services"))),"Other Services"))</f>
        <v/>
      </c>
    </row>
    <row r="1177" customFormat="false" ht="15" hidden="false" customHeight="false" outlineLevel="0" collapsed="false">
      <c r="G1177" s="41" t="str">
        <f aca="false">IF(E1177="","",IFERROR(IF(ISNUMBER(SEARCH(Assumptions!$C$5,E1177)),Assumptions!$D$5,IF(ISNUMBER(SEARCH(Assumptions!$C$6,E1177)),Assumptions!$D$6,IF(ISNUMBER(SEARCH(Assumptions!$C$7,E1177)),Assumptions!$D$7,"Other Services"))),"Other Services"))</f>
        <v/>
      </c>
    </row>
    <row r="1178" customFormat="false" ht="15" hidden="false" customHeight="false" outlineLevel="0" collapsed="false">
      <c r="G1178" s="41" t="str">
        <f aca="false">IF(E1178="","",IFERROR(IF(ISNUMBER(SEARCH(Assumptions!$C$5,E1178)),Assumptions!$D$5,IF(ISNUMBER(SEARCH(Assumptions!$C$6,E1178)),Assumptions!$D$6,IF(ISNUMBER(SEARCH(Assumptions!$C$7,E1178)),Assumptions!$D$7,"Other Services"))),"Other Services"))</f>
        <v/>
      </c>
    </row>
    <row r="1179" customFormat="false" ht="15" hidden="false" customHeight="false" outlineLevel="0" collapsed="false">
      <c r="G1179" s="41" t="str">
        <f aca="false">IF(E1179="","",IFERROR(IF(ISNUMBER(SEARCH(Assumptions!$C$5,E1179)),Assumptions!$D$5,IF(ISNUMBER(SEARCH(Assumptions!$C$6,E1179)),Assumptions!$D$6,IF(ISNUMBER(SEARCH(Assumptions!$C$7,E1179)),Assumptions!$D$7,"Other Services"))),"Other Services"))</f>
        <v/>
      </c>
    </row>
    <row r="1180" customFormat="false" ht="15" hidden="false" customHeight="false" outlineLevel="0" collapsed="false">
      <c r="G1180" s="41" t="str">
        <f aca="false">IF(E1180="","",IFERROR(IF(ISNUMBER(SEARCH(Assumptions!$C$5,E1180)),Assumptions!$D$5,IF(ISNUMBER(SEARCH(Assumptions!$C$6,E1180)),Assumptions!$D$6,IF(ISNUMBER(SEARCH(Assumptions!$C$7,E1180)),Assumptions!$D$7,"Other Services"))),"Other Services"))</f>
        <v/>
      </c>
    </row>
    <row r="1181" customFormat="false" ht="15" hidden="false" customHeight="false" outlineLevel="0" collapsed="false">
      <c r="G1181" s="41" t="str">
        <f aca="false">IF(E1181="","",IFERROR(IF(ISNUMBER(SEARCH(Assumptions!$C$5,E1181)),Assumptions!$D$5,IF(ISNUMBER(SEARCH(Assumptions!$C$6,E1181)),Assumptions!$D$6,IF(ISNUMBER(SEARCH(Assumptions!$C$7,E1181)),Assumptions!$D$7,"Other Services"))),"Other Services"))</f>
        <v/>
      </c>
    </row>
    <row r="1182" customFormat="false" ht="15" hidden="false" customHeight="false" outlineLevel="0" collapsed="false">
      <c r="G1182" s="41" t="str">
        <f aca="false">IF(E1182="","",IFERROR(IF(ISNUMBER(SEARCH(Assumptions!$C$5,E1182)),Assumptions!$D$5,IF(ISNUMBER(SEARCH(Assumptions!$C$6,E1182)),Assumptions!$D$6,IF(ISNUMBER(SEARCH(Assumptions!$C$7,E1182)),Assumptions!$D$7,"Other Services"))),"Other Services"))</f>
        <v/>
      </c>
    </row>
    <row r="1183" customFormat="false" ht="15" hidden="false" customHeight="false" outlineLevel="0" collapsed="false">
      <c r="G1183" s="41" t="str">
        <f aca="false">IF(E1183="","",IFERROR(IF(ISNUMBER(SEARCH(Assumptions!$C$5,E1183)),Assumptions!$D$5,IF(ISNUMBER(SEARCH(Assumptions!$C$6,E1183)),Assumptions!$D$6,IF(ISNUMBER(SEARCH(Assumptions!$C$7,E1183)),Assumptions!$D$7,"Other Services"))),"Other Services"))</f>
        <v/>
      </c>
    </row>
    <row r="1184" customFormat="false" ht="15" hidden="false" customHeight="false" outlineLevel="0" collapsed="false">
      <c r="G1184" s="41" t="str">
        <f aca="false">IF(E1184="","",IFERROR(IF(ISNUMBER(SEARCH(Assumptions!$C$5,E1184)),Assumptions!$D$5,IF(ISNUMBER(SEARCH(Assumptions!$C$6,E1184)),Assumptions!$D$6,IF(ISNUMBER(SEARCH(Assumptions!$C$7,E1184)),Assumptions!$D$7,"Other Services"))),"Other Services"))</f>
        <v/>
      </c>
    </row>
    <row r="1185" customFormat="false" ht="15" hidden="false" customHeight="false" outlineLevel="0" collapsed="false">
      <c r="G1185" s="41" t="str">
        <f aca="false">IF(E1185="","",IFERROR(IF(ISNUMBER(SEARCH(Assumptions!$C$5,E1185)),Assumptions!$D$5,IF(ISNUMBER(SEARCH(Assumptions!$C$6,E1185)),Assumptions!$D$6,IF(ISNUMBER(SEARCH(Assumptions!$C$7,E1185)),Assumptions!$D$7,"Other Services"))),"Other Services"))</f>
        <v/>
      </c>
    </row>
    <row r="1186" customFormat="false" ht="15" hidden="false" customHeight="false" outlineLevel="0" collapsed="false">
      <c r="G1186" s="41" t="str">
        <f aca="false">IF(E1186="","",IFERROR(IF(ISNUMBER(SEARCH(Assumptions!$C$5,E1186)),Assumptions!$D$5,IF(ISNUMBER(SEARCH(Assumptions!$C$6,E1186)),Assumptions!$D$6,IF(ISNUMBER(SEARCH(Assumptions!$C$7,E1186)),Assumptions!$D$7,"Other Services"))),"Other Services"))</f>
        <v/>
      </c>
    </row>
    <row r="1187" customFormat="false" ht="15" hidden="false" customHeight="false" outlineLevel="0" collapsed="false">
      <c r="G1187" s="41" t="str">
        <f aca="false">IF(E1187="","",IFERROR(IF(ISNUMBER(SEARCH(Assumptions!$C$5,E1187)),Assumptions!$D$5,IF(ISNUMBER(SEARCH(Assumptions!$C$6,E1187)),Assumptions!$D$6,IF(ISNUMBER(SEARCH(Assumptions!$C$7,E1187)),Assumptions!$D$7,"Other Services"))),"Other Services"))</f>
        <v/>
      </c>
    </row>
    <row r="1188" customFormat="false" ht="15" hidden="false" customHeight="false" outlineLevel="0" collapsed="false">
      <c r="G1188" s="41" t="str">
        <f aca="false">IF(E1188="","",IFERROR(IF(ISNUMBER(SEARCH(Assumptions!$C$5,E1188)),Assumptions!$D$5,IF(ISNUMBER(SEARCH(Assumptions!$C$6,E1188)),Assumptions!$D$6,IF(ISNUMBER(SEARCH(Assumptions!$C$7,E1188)),Assumptions!$D$7,"Other Services"))),"Other Services"))</f>
        <v/>
      </c>
    </row>
    <row r="1189" customFormat="false" ht="15" hidden="false" customHeight="false" outlineLevel="0" collapsed="false">
      <c r="G1189" s="41" t="str">
        <f aca="false">IF(E1189="","",IFERROR(IF(ISNUMBER(SEARCH(Assumptions!$C$5,E1189)),Assumptions!$D$5,IF(ISNUMBER(SEARCH(Assumptions!$C$6,E1189)),Assumptions!$D$6,IF(ISNUMBER(SEARCH(Assumptions!$C$7,E1189)),Assumptions!$D$7,"Other Services"))),"Other Services"))</f>
        <v/>
      </c>
    </row>
    <row r="1190" customFormat="false" ht="15" hidden="false" customHeight="false" outlineLevel="0" collapsed="false">
      <c r="G1190" s="41" t="str">
        <f aca="false">IF(E1190="","",IFERROR(IF(ISNUMBER(SEARCH(Assumptions!$C$5,E1190)),Assumptions!$D$5,IF(ISNUMBER(SEARCH(Assumptions!$C$6,E1190)),Assumptions!$D$6,IF(ISNUMBER(SEARCH(Assumptions!$C$7,E1190)),Assumptions!$D$7,"Other Services"))),"Other Services"))</f>
        <v/>
      </c>
    </row>
    <row r="1191" customFormat="false" ht="15" hidden="false" customHeight="false" outlineLevel="0" collapsed="false">
      <c r="G1191" s="41" t="str">
        <f aca="false">IF(E1191="","",IFERROR(IF(ISNUMBER(SEARCH(Assumptions!$C$5,E1191)),Assumptions!$D$5,IF(ISNUMBER(SEARCH(Assumptions!$C$6,E1191)),Assumptions!$D$6,IF(ISNUMBER(SEARCH(Assumptions!$C$7,E1191)),Assumptions!$D$7,"Other Services"))),"Other Services"))</f>
        <v/>
      </c>
    </row>
    <row r="1192" customFormat="false" ht="15" hidden="false" customHeight="false" outlineLevel="0" collapsed="false">
      <c r="G1192" s="41" t="str">
        <f aca="false">IF(E1192="","",IFERROR(IF(ISNUMBER(SEARCH(Assumptions!$C$5,E1192)),Assumptions!$D$5,IF(ISNUMBER(SEARCH(Assumptions!$C$6,E1192)),Assumptions!$D$6,IF(ISNUMBER(SEARCH(Assumptions!$C$7,E1192)),Assumptions!$D$7,"Other Services"))),"Other Services"))</f>
        <v/>
      </c>
    </row>
    <row r="1193" customFormat="false" ht="15" hidden="false" customHeight="false" outlineLevel="0" collapsed="false">
      <c r="G1193" s="41" t="str">
        <f aca="false">IF(E1193="","",IFERROR(IF(ISNUMBER(SEARCH(Assumptions!$C$5,E1193)),Assumptions!$D$5,IF(ISNUMBER(SEARCH(Assumptions!$C$6,E1193)),Assumptions!$D$6,IF(ISNUMBER(SEARCH(Assumptions!$C$7,E1193)),Assumptions!$D$7,"Other Services"))),"Other Services"))</f>
        <v/>
      </c>
    </row>
    <row r="1194" customFormat="false" ht="15" hidden="false" customHeight="false" outlineLevel="0" collapsed="false">
      <c r="G1194" s="41" t="str">
        <f aca="false">IF(E1194="","",IFERROR(IF(ISNUMBER(SEARCH(Assumptions!$C$5,E1194)),Assumptions!$D$5,IF(ISNUMBER(SEARCH(Assumptions!$C$6,E1194)),Assumptions!$D$6,IF(ISNUMBER(SEARCH(Assumptions!$C$7,E1194)),Assumptions!$D$7,"Other Services"))),"Other Services"))</f>
        <v/>
      </c>
    </row>
    <row r="1195" customFormat="false" ht="15" hidden="false" customHeight="false" outlineLevel="0" collapsed="false">
      <c r="G1195" s="41" t="str">
        <f aca="false">IF(E1195="","",IFERROR(IF(ISNUMBER(SEARCH(Assumptions!$C$5,E1195)),Assumptions!$D$5,IF(ISNUMBER(SEARCH(Assumptions!$C$6,E1195)),Assumptions!$D$6,IF(ISNUMBER(SEARCH(Assumptions!$C$7,E1195)),Assumptions!$D$7,"Other Services"))),"Other Services"))</f>
        <v/>
      </c>
    </row>
    <row r="1196" customFormat="false" ht="15" hidden="false" customHeight="false" outlineLevel="0" collapsed="false">
      <c r="G1196" s="41" t="str">
        <f aca="false">IF(E1196="","",IFERROR(IF(ISNUMBER(SEARCH(Assumptions!$C$5,E1196)),Assumptions!$D$5,IF(ISNUMBER(SEARCH(Assumptions!$C$6,E1196)),Assumptions!$D$6,IF(ISNUMBER(SEARCH(Assumptions!$C$7,E1196)),Assumptions!$D$7,"Other Services"))),"Other Services"))</f>
        <v/>
      </c>
    </row>
    <row r="1197" customFormat="false" ht="15" hidden="false" customHeight="false" outlineLevel="0" collapsed="false">
      <c r="G1197" s="41" t="str">
        <f aca="false">IF(E1197="","",IFERROR(IF(ISNUMBER(SEARCH(Assumptions!$C$5,E1197)),Assumptions!$D$5,IF(ISNUMBER(SEARCH(Assumptions!$C$6,E1197)),Assumptions!$D$6,IF(ISNUMBER(SEARCH(Assumptions!$C$7,E1197)),Assumptions!$D$7,"Other Services"))),"Other Services"))</f>
        <v/>
      </c>
    </row>
    <row r="1198" customFormat="false" ht="15" hidden="false" customHeight="false" outlineLevel="0" collapsed="false">
      <c r="G1198" s="41" t="str">
        <f aca="false">IF(E1198="","",IFERROR(IF(ISNUMBER(SEARCH(Assumptions!$C$5,E1198)),Assumptions!$D$5,IF(ISNUMBER(SEARCH(Assumptions!$C$6,E1198)),Assumptions!$D$6,IF(ISNUMBER(SEARCH(Assumptions!$C$7,E1198)),Assumptions!$D$7,"Other Services"))),"Other Services"))</f>
        <v/>
      </c>
    </row>
    <row r="1199" customFormat="false" ht="15" hidden="false" customHeight="false" outlineLevel="0" collapsed="false">
      <c r="G1199" s="41" t="str">
        <f aca="false">IF(E1199="","",IFERROR(IF(ISNUMBER(SEARCH(Assumptions!$C$5,E1199)),Assumptions!$D$5,IF(ISNUMBER(SEARCH(Assumptions!$C$6,E1199)),Assumptions!$D$6,IF(ISNUMBER(SEARCH(Assumptions!$C$7,E1199)),Assumptions!$D$7,"Other Services"))),"Other Services"))</f>
        <v/>
      </c>
    </row>
    <row r="1200" customFormat="false" ht="15" hidden="false" customHeight="false" outlineLevel="0" collapsed="false">
      <c r="G1200" s="41" t="str">
        <f aca="false">IF(E1200="","",IFERROR(IF(ISNUMBER(SEARCH(Assumptions!$C$5,E1200)),Assumptions!$D$5,IF(ISNUMBER(SEARCH(Assumptions!$C$6,E1200)),Assumptions!$D$6,IF(ISNUMBER(SEARCH(Assumptions!$C$7,E1200)),Assumptions!$D$7,"Other Services"))),"Other Services"))</f>
        <v/>
      </c>
    </row>
    <row r="1201" customFormat="false" ht="15" hidden="false" customHeight="false" outlineLevel="0" collapsed="false">
      <c r="G1201" s="41" t="str">
        <f aca="false">IF(E1201="","",IFERROR(IF(ISNUMBER(SEARCH(Assumptions!$C$5,E1201)),Assumptions!$D$5,IF(ISNUMBER(SEARCH(Assumptions!$C$6,E1201)),Assumptions!$D$6,IF(ISNUMBER(SEARCH(Assumptions!$C$7,E1201)),Assumptions!$D$7,"Other Services"))),"Other Services"))</f>
        <v/>
      </c>
    </row>
    <row r="1202" customFormat="false" ht="15" hidden="false" customHeight="false" outlineLevel="0" collapsed="false">
      <c r="G1202" s="41" t="str">
        <f aca="false">IF(E1202="","",IFERROR(IF(ISNUMBER(SEARCH(Assumptions!$C$5,E1202)),Assumptions!$D$5,IF(ISNUMBER(SEARCH(Assumptions!$C$6,E1202)),Assumptions!$D$6,IF(ISNUMBER(SEARCH(Assumptions!$C$7,E1202)),Assumptions!$D$7,"Other Services"))),"Other Services"))</f>
        <v/>
      </c>
    </row>
    <row r="1203" customFormat="false" ht="15" hidden="false" customHeight="false" outlineLevel="0" collapsed="false">
      <c r="G1203" s="41" t="str">
        <f aca="false">IF(E1203="","",IFERROR(IF(ISNUMBER(SEARCH(Assumptions!$C$5,E1203)),Assumptions!$D$5,IF(ISNUMBER(SEARCH(Assumptions!$C$6,E1203)),Assumptions!$D$6,IF(ISNUMBER(SEARCH(Assumptions!$C$7,E1203)),Assumptions!$D$7,"Other Services"))),"Other Services"))</f>
        <v/>
      </c>
    </row>
    <row r="1204" customFormat="false" ht="15" hidden="false" customHeight="false" outlineLevel="0" collapsed="false">
      <c r="G1204" s="41" t="str">
        <f aca="false">IF(E1204="","",IFERROR(IF(ISNUMBER(SEARCH(Assumptions!$C$5,E1204)),Assumptions!$D$5,IF(ISNUMBER(SEARCH(Assumptions!$C$6,E1204)),Assumptions!$D$6,IF(ISNUMBER(SEARCH(Assumptions!$C$7,E1204)),Assumptions!$D$7,"Other Services"))),"Other Services"))</f>
        <v/>
      </c>
    </row>
    <row r="1205" customFormat="false" ht="15" hidden="false" customHeight="false" outlineLevel="0" collapsed="false">
      <c r="G1205" s="41" t="str">
        <f aca="false">IF(E1205="","",IFERROR(IF(ISNUMBER(SEARCH(Assumptions!$C$5,E1205)),Assumptions!$D$5,IF(ISNUMBER(SEARCH(Assumptions!$C$6,E1205)),Assumptions!$D$6,IF(ISNUMBER(SEARCH(Assumptions!$C$7,E1205)),Assumptions!$D$7,"Other Services"))),"Other Services"))</f>
        <v/>
      </c>
    </row>
    <row r="1206" customFormat="false" ht="15" hidden="false" customHeight="false" outlineLevel="0" collapsed="false">
      <c r="G1206" s="41" t="str">
        <f aca="false">IF(E1206="","",IFERROR(IF(ISNUMBER(SEARCH(Assumptions!$C$5,E1206)),Assumptions!$D$5,IF(ISNUMBER(SEARCH(Assumptions!$C$6,E1206)),Assumptions!$D$6,IF(ISNUMBER(SEARCH(Assumptions!$C$7,E1206)),Assumptions!$D$7,"Other Services"))),"Other Services"))</f>
        <v/>
      </c>
    </row>
    <row r="1207" customFormat="false" ht="15" hidden="false" customHeight="false" outlineLevel="0" collapsed="false">
      <c r="G1207" s="41" t="str">
        <f aca="false">IF(E1207="","",IFERROR(IF(ISNUMBER(SEARCH(Assumptions!$C$5,E1207)),Assumptions!$D$5,IF(ISNUMBER(SEARCH(Assumptions!$C$6,E1207)),Assumptions!$D$6,IF(ISNUMBER(SEARCH(Assumptions!$C$7,E1207)),Assumptions!$D$7,"Other Services"))),"Other Services"))</f>
        <v/>
      </c>
    </row>
    <row r="1208" customFormat="false" ht="15" hidden="false" customHeight="false" outlineLevel="0" collapsed="false">
      <c r="G1208" s="41" t="str">
        <f aca="false">IF(E1208="","",IFERROR(IF(ISNUMBER(SEARCH(Assumptions!$C$5,E1208)),Assumptions!$D$5,IF(ISNUMBER(SEARCH(Assumptions!$C$6,E1208)),Assumptions!$D$6,IF(ISNUMBER(SEARCH(Assumptions!$C$7,E1208)),Assumptions!$D$7,"Other Services"))),"Other Services"))</f>
        <v/>
      </c>
    </row>
    <row r="1209" customFormat="false" ht="15" hidden="false" customHeight="false" outlineLevel="0" collapsed="false">
      <c r="G1209" s="41" t="str">
        <f aca="false">IF(E1209="","",IFERROR(IF(ISNUMBER(SEARCH(Assumptions!$C$5,E1209)),Assumptions!$D$5,IF(ISNUMBER(SEARCH(Assumptions!$C$6,E1209)),Assumptions!$D$6,IF(ISNUMBER(SEARCH(Assumptions!$C$7,E1209)),Assumptions!$D$7,"Other Services"))),"Other Services"))</f>
        <v/>
      </c>
    </row>
    <row r="1210" customFormat="false" ht="15" hidden="false" customHeight="false" outlineLevel="0" collapsed="false">
      <c r="G1210" s="41" t="str">
        <f aca="false">IF(E1210="","",IFERROR(IF(ISNUMBER(SEARCH(Assumptions!$C$5,E1210)),Assumptions!$D$5,IF(ISNUMBER(SEARCH(Assumptions!$C$6,E1210)),Assumptions!$D$6,IF(ISNUMBER(SEARCH(Assumptions!$C$7,E1210)),Assumptions!$D$7,"Other Services"))),"Other Services"))</f>
        <v/>
      </c>
    </row>
    <row r="1211" customFormat="false" ht="15" hidden="false" customHeight="false" outlineLevel="0" collapsed="false">
      <c r="G1211" s="41" t="str">
        <f aca="false">IF(E1211="","",IFERROR(IF(ISNUMBER(SEARCH(Assumptions!$C$5,E1211)),Assumptions!$D$5,IF(ISNUMBER(SEARCH(Assumptions!$C$6,E1211)),Assumptions!$D$6,IF(ISNUMBER(SEARCH(Assumptions!$C$7,E1211)),Assumptions!$D$7,"Other Services"))),"Other Services"))</f>
        <v/>
      </c>
    </row>
    <row r="1212" customFormat="false" ht="15" hidden="false" customHeight="false" outlineLevel="0" collapsed="false">
      <c r="G1212" s="41" t="str">
        <f aca="false">IF(E1212="","",IFERROR(IF(ISNUMBER(SEARCH(Assumptions!$C$5,E1212)),Assumptions!$D$5,IF(ISNUMBER(SEARCH(Assumptions!$C$6,E1212)),Assumptions!$D$6,IF(ISNUMBER(SEARCH(Assumptions!$C$7,E1212)),Assumptions!$D$7,"Other Services"))),"Other Services"))</f>
        <v/>
      </c>
    </row>
    <row r="1213" customFormat="false" ht="15" hidden="false" customHeight="false" outlineLevel="0" collapsed="false">
      <c r="G1213" s="41" t="str">
        <f aca="false">IF(E1213="","",IFERROR(IF(ISNUMBER(SEARCH(Assumptions!$C$5,E1213)),Assumptions!$D$5,IF(ISNUMBER(SEARCH(Assumptions!$C$6,E1213)),Assumptions!$D$6,IF(ISNUMBER(SEARCH(Assumptions!$C$7,E1213)),Assumptions!$D$7,"Other Services"))),"Other Services"))</f>
        <v/>
      </c>
    </row>
    <row r="1214" customFormat="false" ht="15" hidden="false" customHeight="false" outlineLevel="0" collapsed="false">
      <c r="G1214" s="41" t="str">
        <f aca="false">IF(E1214="","",IFERROR(IF(ISNUMBER(SEARCH(Assumptions!$C$5,E1214)),Assumptions!$D$5,IF(ISNUMBER(SEARCH(Assumptions!$C$6,E1214)),Assumptions!$D$6,IF(ISNUMBER(SEARCH(Assumptions!$C$7,E1214)),Assumptions!$D$7,"Other Services"))),"Other Services"))</f>
        <v/>
      </c>
    </row>
    <row r="1215" customFormat="false" ht="15" hidden="false" customHeight="false" outlineLevel="0" collapsed="false">
      <c r="G1215" s="41" t="str">
        <f aca="false">IF(E1215="","",IFERROR(IF(ISNUMBER(SEARCH(Assumptions!$C$5,E1215)),Assumptions!$D$5,IF(ISNUMBER(SEARCH(Assumptions!$C$6,E1215)),Assumptions!$D$6,IF(ISNUMBER(SEARCH(Assumptions!$C$7,E1215)),Assumptions!$D$7,"Other Services"))),"Other Services"))</f>
        <v/>
      </c>
    </row>
    <row r="1216" customFormat="false" ht="15" hidden="false" customHeight="false" outlineLevel="0" collapsed="false">
      <c r="G1216" s="41" t="str">
        <f aca="false">IF(E1216="","",IFERROR(IF(ISNUMBER(SEARCH(Assumptions!$C$5,E1216)),Assumptions!$D$5,IF(ISNUMBER(SEARCH(Assumptions!$C$6,E1216)),Assumptions!$D$6,IF(ISNUMBER(SEARCH(Assumptions!$C$7,E1216)),Assumptions!$D$7,"Other Services"))),"Other Services"))</f>
        <v/>
      </c>
    </row>
    <row r="1217" customFormat="false" ht="15" hidden="false" customHeight="false" outlineLevel="0" collapsed="false">
      <c r="G1217" s="41" t="str">
        <f aca="false">IF(E1217="","",IFERROR(IF(ISNUMBER(SEARCH(Assumptions!$C$5,E1217)),Assumptions!$D$5,IF(ISNUMBER(SEARCH(Assumptions!$C$6,E1217)),Assumptions!$D$6,IF(ISNUMBER(SEARCH(Assumptions!$C$7,E1217)),Assumptions!$D$7,"Other Services"))),"Other Services"))</f>
        <v/>
      </c>
    </row>
    <row r="1218" customFormat="false" ht="15" hidden="false" customHeight="false" outlineLevel="0" collapsed="false">
      <c r="G1218" s="41" t="str">
        <f aca="false">IF(E1218="","",IFERROR(IF(ISNUMBER(SEARCH(Assumptions!$C$5,E1218)),Assumptions!$D$5,IF(ISNUMBER(SEARCH(Assumptions!$C$6,E1218)),Assumptions!$D$6,IF(ISNUMBER(SEARCH(Assumptions!$C$7,E1218)),Assumptions!$D$7,"Other Services"))),"Other Services"))</f>
        <v/>
      </c>
    </row>
    <row r="1219" customFormat="false" ht="15" hidden="false" customHeight="false" outlineLevel="0" collapsed="false">
      <c r="G1219" s="41" t="str">
        <f aca="false">IF(E1219="","",IFERROR(IF(ISNUMBER(SEARCH(Assumptions!$C$5,E1219)),Assumptions!$D$5,IF(ISNUMBER(SEARCH(Assumptions!$C$6,E1219)),Assumptions!$D$6,IF(ISNUMBER(SEARCH(Assumptions!$C$7,E1219)),Assumptions!$D$7,"Other Services"))),"Other Services"))</f>
        <v/>
      </c>
    </row>
    <row r="1220" customFormat="false" ht="15" hidden="false" customHeight="false" outlineLevel="0" collapsed="false">
      <c r="G1220" s="41" t="str">
        <f aca="false">IF(E1220="","",IFERROR(IF(ISNUMBER(SEARCH(Assumptions!$C$5,E1220)),Assumptions!$D$5,IF(ISNUMBER(SEARCH(Assumptions!$C$6,E1220)),Assumptions!$D$6,IF(ISNUMBER(SEARCH(Assumptions!$C$7,E1220)),Assumptions!$D$7,"Other Services"))),"Other Services"))</f>
        <v/>
      </c>
    </row>
    <row r="1221" customFormat="false" ht="15" hidden="false" customHeight="false" outlineLevel="0" collapsed="false">
      <c r="G1221" s="41" t="str">
        <f aca="false">IF(E1221="","",IFERROR(IF(ISNUMBER(SEARCH(Assumptions!$C$5,E1221)),Assumptions!$D$5,IF(ISNUMBER(SEARCH(Assumptions!$C$6,E1221)),Assumptions!$D$6,IF(ISNUMBER(SEARCH(Assumptions!$C$7,E1221)),Assumptions!$D$7,"Other Services"))),"Other Services"))</f>
        <v/>
      </c>
    </row>
    <row r="1222" customFormat="false" ht="15" hidden="false" customHeight="false" outlineLevel="0" collapsed="false">
      <c r="G1222" s="41" t="str">
        <f aca="false">IF(E1222="","",IFERROR(IF(ISNUMBER(SEARCH(Assumptions!$C$5,E1222)),Assumptions!$D$5,IF(ISNUMBER(SEARCH(Assumptions!$C$6,E1222)),Assumptions!$D$6,IF(ISNUMBER(SEARCH(Assumptions!$C$7,E1222)),Assumptions!$D$7,"Other Services"))),"Other Services"))</f>
        <v/>
      </c>
    </row>
    <row r="1223" customFormat="false" ht="15" hidden="false" customHeight="false" outlineLevel="0" collapsed="false">
      <c r="G1223" s="41" t="str">
        <f aca="false">IF(E1223="","",IFERROR(IF(ISNUMBER(SEARCH(Assumptions!$C$5,E1223)),Assumptions!$D$5,IF(ISNUMBER(SEARCH(Assumptions!$C$6,E1223)),Assumptions!$D$6,IF(ISNUMBER(SEARCH(Assumptions!$C$7,E1223)),Assumptions!$D$7,"Other Services"))),"Other Services"))</f>
        <v/>
      </c>
    </row>
    <row r="1224" customFormat="false" ht="15" hidden="false" customHeight="false" outlineLevel="0" collapsed="false">
      <c r="G1224" s="41" t="str">
        <f aca="false">IF(E1224="","",IFERROR(IF(ISNUMBER(SEARCH(Assumptions!$C$5,E1224)),Assumptions!$D$5,IF(ISNUMBER(SEARCH(Assumptions!$C$6,E1224)),Assumptions!$D$6,IF(ISNUMBER(SEARCH(Assumptions!$C$7,E1224)),Assumptions!$D$7,"Other Services"))),"Other Services"))</f>
        <v/>
      </c>
    </row>
    <row r="1225" customFormat="false" ht="15" hidden="false" customHeight="false" outlineLevel="0" collapsed="false">
      <c r="G1225" s="41" t="str">
        <f aca="false">IF(E1225="","",IFERROR(IF(ISNUMBER(SEARCH(Assumptions!$C$5,E1225)),Assumptions!$D$5,IF(ISNUMBER(SEARCH(Assumptions!$C$6,E1225)),Assumptions!$D$6,IF(ISNUMBER(SEARCH(Assumptions!$C$7,E1225)),Assumptions!$D$7,"Other Services"))),"Other Services"))</f>
        <v/>
      </c>
    </row>
    <row r="1226" customFormat="false" ht="15" hidden="false" customHeight="false" outlineLevel="0" collapsed="false">
      <c r="G1226" s="41" t="str">
        <f aca="false">IF(E1226="","",IFERROR(IF(ISNUMBER(SEARCH(Assumptions!$C$5,E1226)),Assumptions!$D$5,IF(ISNUMBER(SEARCH(Assumptions!$C$6,E1226)),Assumptions!$D$6,IF(ISNUMBER(SEARCH(Assumptions!$C$7,E1226)),Assumptions!$D$7,"Other Services"))),"Other Services"))</f>
        <v/>
      </c>
    </row>
    <row r="1227" customFormat="false" ht="15" hidden="false" customHeight="false" outlineLevel="0" collapsed="false">
      <c r="G1227" s="41" t="str">
        <f aca="false">IF(E1227="","",IFERROR(IF(ISNUMBER(SEARCH(Assumptions!$C$5,E1227)),Assumptions!$D$5,IF(ISNUMBER(SEARCH(Assumptions!$C$6,E1227)),Assumptions!$D$6,IF(ISNUMBER(SEARCH(Assumptions!$C$7,E1227)),Assumptions!$D$7,"Other Services"))),"Other Services"))</f>
        <v/>
      </c>
    </row>
    <row r="1228" customFormat="false" ht="15" hidden="false" customHeight="false" outlineLevel="0" collapsed="false">
      <c r="G1228" s="41" t="str">
        <f aca="false">IF(E1228="","",IFERROR(IF(ISNUMBER(SEARCH(Assumptions!$C$5,E1228)),Assumptions!$D$5,IF(ISNUMBER(SEARCH(Assumptions!$C$6,E1228)),Assumptions!$D$6,IF(ISNUMBER(SEARCH(Assumptions!$C$7,E1228)),Assumptions!$D$7,"Other Services"))),"Other Services"))</f>
        <v/>
      </c>
    </row>
    <row r="1229" customFormat="false" ht="15" hidden="false" customHeight="false" outlineLevel="0" collapsed="false">
      <c r="G1229" s="41" t="str">
        <f aca="false">IF(E1229="","",IFERROR(IF(ISNUMBER(SEARCH(Assumptions!$C$5,E1229)),Assumptions!$D$5,IF(ISNUMBER(SEARCH(Assumptions!$C$6,E1229)),Assumptions!$D$6,IF(ISNUMBER(SEARCH(Assumptions!$C$7,E1229)),Assumptions!$D$7,"Other Services"))),"Other Services"))</f>
        <v/>
      </c>
    </row>
    <row r="1230" customFormat="false" ht="15" hidden="false" customHeight="false" outlineLevel="0" collapsed="false">
      <c r="G1230" s="41" t="str">
        <f aca="false">IF(E1230="","",IFERROR(IF(ISNUMBER(SEARCH(Assumptions!$C$5,E1230)),Assumptions!$D$5,IF(ISNUMBER(SEARCH(Assumptions!$C$6,E1230)),Assumptions!$D$6,IF(ISNUMBER(SEARCH(Assumptions!$C$7,E1230)),Assumptions!$D$7,"Other Services"))),"Other Services"))</f>
        <v/>
      </c>
    </row>
    <row r="1231" customFormat="false" ht="15" hidden="false" customHeight="false" outlineLevel="0" collapsed="false">
      <c r="G1231" s="41" t="str">
        <f aca="false">IF(E1231="","",IFERROR(IF(ISNUMBER(SEARCH(Assumptions!$C$5,E1231)),Assumptions!$D$5,IF(ISNUMBER(SEARCH(Assumptions!$C$6,E1231)),Assumptions!$D$6,IF(ISNUMBER(SEARCH(Assumptions!$C$7,E1231)),Assumptions!$D$7,"Other Services"))),"Other Services"))</f>
        <v/>
      </c>
    </row>
    <row r="1232" customFormat="false" ht="15" hidden="false" customHeight="false" outlineLevel="0" collapsed="false">
      <c r="G1232" s="41" t="str">
        <f aca="false">IF(E1232="","",IFERROR(IF(ISNUMBER(SEARCH(Assumptions!$C$5,E1232)),Assumptions!$D$5,IF(ISNUMBER(SEARCH(Assumptions!$C$6,E1232)),Assumptions!$D$6,IF(ISNUMBER(SEARCH(Assumptions!$C$7,E1232)),Assumptions!$D$7,"Other Services"))),"Other Services"))</f>
        <v/>
      </c>
    </row>
    <row r="1233" customFormat="false" ht="15" hidden="false" customHeight="false" outlineLevel="0" collapsed="false">
      <c r="G1233" s="41" t="str">
        <f aca="false">IF(E1233="","",IFERROR(IF(ISNUMBER(SEARCH(Assumptions!$C$5,E1233)),Assumptions!$D$5,IF(ISNUMBER(SEARCH(Assumptions!$C$6,E1233)),Assumptions!$D$6,IF(ISNUMBER(SEARCH(Assumptions!$C$7,E1233)),Assumptions!$D$7,"Other Services"))),"Other Services"))</f>
        <v/>
      </c>
    </row>
    <row r="1234" customFormat="false" ht="15" hidden="false" customHeight="false" outlineLevel="0" collapsed="false">
      <c r="G1234" s="41" t="str">
        <f aca="false">IF(E1234="","",IFERROR(IF(ISNUMBER(SEARCH(Assumptions!$C$5,E1234)),Assumptions!$D$5,IF(ISNUMBER(SEARCH(Assumptions!$C$6,E1234)),Assumptions!$D$6,IF(ISNUMBER(SEARCH(Assumptions!$C$7,E1234)),Assumptions!$D$7,"Other Services"))),"Other Services"))</f>
        <v/>
      </c>
    </row>
    <row r="1235" customFormat="false" ht="15" hidden="false" customHeight="false" outlineLevel="0" collapsed="false">
      <c r="G1235" s="41" t="str">
        <f aca="false">IF(E1235="","",IFERROR(IF(ISNUMBER(SEARCH(Assumptions!$C$5,E1235)),Assumptions!$D$5,IF(ISNUMBER(SEARCH(Assumptions!$C$6,E1235)),Assumptions!$D$6,IF(ISNUMBER(SEARCH(Assumptions!$C$7,E1235)),Assumptions!$D$7,"Other Services"))),"Other Services"))</f>
        <v/>
      </c>
    </row>
    <row r="1236" customFormat="false" ht="15" hidden="false" customHeight="false" outlineLevel="0" collapsed="false">
      <c r="G1236" s="41" t="str">
        <f aca="false">IF(E1236="","",IFERROR(IF(ISNUMBER(SEARCH(Assumptions!$C$5,E1236)),Assumptions!$D$5,IF(ISNUMBER(SEARCH(Assumptions!$C$6,E1236)),Assumptions!$D$6,IF(ISNUMBER(SEARCH(Assumptions!$C$7,E1236)),Assumptions!$D$7,"Other Services"))),"Other Services"))</f>
        <v/>
      </c>
    </row>
    <row r="1237" customFormat="false" ht="15" hidden="false" customHeight="false" outlineLevel="0" collapsed="false">
      <c r="G1237" s="41" t="str">
        <f aca="false">IF(E1237="","",IFERROR(IF(ISNUMBER(SEARCH(Assumptions!$C$5,E1237)),Assumptions!$D$5,IF(ISNUMBER(SEARCH(Assumptions!$C$6,E1237)),Assumptions!$D$6,IF(ISNUMBER(SEARCH(Assumptions!$C$7,E1237)),Assumptions!$D$7,"Other Services"))),"Other Services"))</f>
        <v/>
      </c>
    </row>
    <row r="1238" customFormat="false" ht="15" hidden="false" customHeight="false" outlineLevel="0" collapsed="false">
      <c r="G1238" s="41" t="str">
        <f aca="false">IF(E1238="","",IFERROR(IF(ISNUMBER(SEARCH(Assumptions!$C$5,E1238)),Assumptions!$D$5,IF(ISNUMBER(SEARCH(Assumptions!$C$6,E1238)),Assumptions!$D$6,IF(ISNUMBER(SEARCH(Assumptions!$C$7,E1238)),Assumptions!$D$7,"Other Services"))),"Other Services"))</f>
        <v/>
      </c>
    </row>
    <row r="1239" customFormat="false" ht="15" hidden="false" customHeight="false" outlineLevel="0" collapsed="false">
      <c r="G1239" s="41" t="str">
        <f aca="false">IF(E1239="","",IFERROR(IF(ISNUMBER(SEARCH(Assumptions!$C$5,E1239)),Assumptions!$D$5,IF(ISNUMBER(SEARCH(Assumptions!$C$6,E1239)),Assumptions!$D$6,IF(ISNUMBER(SEARCH(Assumptions!$C$7,E1239)),Assumptions!$D$7,"Other Services"))),"Other Services"))</f>
        <v/>
      </c>
    </row>
    <row r="1240" customFormat="false" ht="15" hidden="false" customHeight="false" outlineLevel="0" collapsed="false">
      <c r="G1240" s="41" t="str">
        <f aca="false">IF(E1240="","",IFERROR(IF(ISNUMBER(SEARCH(Assumptions!$C$5,E1240)),Assumptions!$D$5,IF(ISNUMBER(SEARCH(Assumptions!$C$6,E1240)),Assumptions!$D$6,IF(ISNUMBER(SEARCH(Assumptions!$C$7,E1240)),Assumptions!$D$7,"Other Services"))),"Other Services"))</f>
        <v/>
      </c>
    </row>
    <row r="1241" customFormat="false" ht="15" hidden="false" customHeight="false" outlineLevel="0" collapsed="false">
      <c r="G1241" s="41" t="str">
        <f aca="false">IF(E1241="","",IFERROR(IF(ISNUMBER(SEARCH(Assumptions!$C$5,E1241)),Assumptions!$D$5,IF(ISNUMBER(SEARCH(Assumptions!$C$6,E1241)),Assumptions!$D$6,IF(ISNUMBER(SEARCH(Assumptions!$C$7,E1241)),Assumptions!$D$7,"Other Services"))),"Other Services"))</f>
        <v/>
      </c>
    </row>
    <row r="1242" customFormat="false" ht="15" hidden="false" customHeight="false" outlineLevel="0" collapsed="false">
      <c r="G1242" s="41" t="str">
        <f aca="false">IF(E1242="","",IFERROR(IF(ISNUMBER(SEARCH(Assumptions!$C$5,E1242)),Assumptions!$D$5,IF(ISNUMBER(SEARCH(Assumptions!$C$6,E1242)),Assumptions!$D$6,IF(ISNUMBER(SEARCH(Assumptions!$C$7,E1242)),Assumptions!$D$7,"Other Services"))),"Other Services"))</f>
        <v/>
      </c>
    </row>
    <row r="1243" customFormat="false" ht="15" hidden="false" customHeight="false" outlineLevel="0" collapsed="false">
      <c r="G1243" s="41" t="str">
        <f aca="false">IF(E1243="","",IFERROR(IF(ISNUMBER(SEARCH(Assumptions!$C$5,E1243)),Assumptions!$D$5,IF(ISNUMBER(SEARCH(Assumptions!$C$6,E1243)),Assumptions!$D$6,IF(ISNUMBER(SEARCH(Assumptions!$C$7,E1243)),Assumptions!$D$7,"Other Services"))),"Other Services"))</f>
        <v/>
      </c>
    </row>
    <row r="1244" customFormat="false" ht="15" hidden="false" customHeight="false" outlineLevel="0" collapsed="false">
      <c r="G1244" s="41" t="str">
        <f aca="false">IF(E1244="","",IFERROR(IF(ISNUMBER(SEARCH(Assumptions!$C$5,E1244)),Assumptions!$D$5,IF(ISNUMBER(SEARCH(Assumptions!$C$6,E1244)),Assumptions!$D$6,IF(ISNUMBER(SEARCH(Assumptions!$C$7,E1244)),Assumptions!$D$7,"Other Services"))),"Other Services"))</f>
        <v/>
      </c>
    </row>
    <row r="1245" customFormat="false" ht="15" hidden="false" customHeight="false" outlineLevel="0" collapsed="false">
      <c r="G1245" s="41" t="str">
        <f aca="false">IF(E1245="","",IFERROR(IF(ISNUMBER(SEARCH(Assumptions!$C$5,E1245)),Assumptions!$D$5,IF(ISNUMBER(SEARCH(Assumptions!$C$6,E1245)),Assumptions!$D$6,IF(ISNUMBER(SEARCH(Assumptions!$C$7,E1245)),Assumptions!$D$7,"Other Services"))),"Other Services"))</f>
        <v/>
      </c>
    </row>
    <row r="1246" customFormat="false" ht="15" hidden="false" customHeight="false" outlineLevel="0" collapsed="false">
      <c r="G1246" s="41" t="str">
        <f aca="false">IF(E1246="","",IFERROR(IF(ISNUMBER(SEARCH(Assumptions!$C$5,E1246)),Assumptions!$D$5,IF(ISNUMBER(SEARCH(Assumptions!$C$6,E1246)),Assumptions!$D$6,IF(ISNUMBER(SEARCH(Assumptions!$C$7,E1246)),Assumptions!$D$7,"Other Services"))),"Other Services"))</f>
        <v/>
      </c>
    </row>
    <row r="1247" customFormat="false" ht="15" hidden="false" customHeight="false" outlineLevel="0" collapsed="false">
      <c r="G1247" s="41" t="str">
        <f aca="false">IF(E1247="","",IFERROR(IF(ISNUMBER(SEARCH(Assumptions!$C$5,E1247)),Assumptions!$D$5,IF(ISNUMBER(SEARCH(Assumptions!$C$6,E1247)),Assumptions!$D$6,IF(ISNUMBER(SEARCH(Assumptions!$C$7,E1247)),Assumptions!$D$7,"Other Services"))),"Other Services"))</f>
        <v/>
      </c>
    </row>
    <row r="1248" customFormat="false" ht="15" hidden="false" customHeight="false" outlineLevel="0" collapsed="false">
      <c r="G1248" s="41" t="str">
        <f aca="false">IF(E1248="","",IFERROR(IF(ISNUMBER(SEARCH(Assumptions!$C$5,E1248)),Assumptions!$D$5,IF(ISNUMBER(SEARCH(Assumptions!$C$6,E1248)),Assumptions!$D$6,IF(ISNUMBER(SEARCH(Assumptions!$C$7,E1248)),Assumptions!$D$7,"Other Services"))),"Other Services"))</f>
        <v/>
      </c>
    </row>
    <row r="1249" customFormat="false" ht="15" hidden="false" customHeight="false" outlineLevel="0" collapsed="false">
      <c r="G1249" s="41" t="str">
        <f aca="false">IF(E1249="","",IFERROR(IF(ISNUMBER(SEARCH(Assumptions!$C$5,E1249)),Assumptions!$D$5,IF(ISNUMBER(SEARCH(Assumptions!$C$6,E1249)),Assumptions!$D$6,IF(ISNUMBER(SEARCH(Assumptions!$C$7,E1249)),Assumptions!$D$7,"Other Services"))),"Other Services"))</f>
        <v/>
      </c>
    </row>
    <row r="1250" customFormat="false" ht="15" hidden="false" customHeight="false" outlineLevel="0" collapsed="false">
      <c r="G1250" s="41" t="str">
        <f aca="false">IF(E1250="","",IFERROR(IF(ISNUMBER(SEARCH(Assumptions!$C$5,E1250)),Assumptions!$D$5,IF(ISNUMBER(SEARCH(Assumptions!$C$6,E1250)),Assumptions!$D$6,IF(ISNUMBER(SEARCH(Assumptions!$C$7,E1250)),Assumptions!$D$7,"Other Services"))),"Other Services"))</f>
        <v/>
      </c>
    </row>
    <row r="1251" customFormat="false" ht="15" hidden="false" customHeight="false" outlineLevel="0" collapsed="false">
      <c r="G1251" s="41" t="str">
        <f aca="false">IF(E1251="","",IFERROR(IF(ISNUMBER(SEARCH(Assumptions!$C$5,E1251)),Assumptions!$D$5,IF(ISNUMBER(SEARCH(Assumptions!$C$6,E1251)),Assumptions!$D$6,IF(ISNUMBER(SEARCH(Assumptions!$C$7,E1251)),Assumptions!$D$7,"Other Services"))),"Other Services"))</f>
        <v/>
      </c>
    </row>
    <row r="1252" customFormat="false" ht="15" hidden="false" customHeight="false" outlineLevel="0" collapsed="false">
      <c r="G1252" s="41" t="str">
        <f aca="false">IF(E1252="","",IFERROR(IF(ISNUMBER(SEARCH(Assumptions!$C$5,E1252)),Assumptions!$D$5,IF(ISNUMBER(SEARCH(Assumptions!$C$6,E1252)),Assumptions!$D$6,IF(ISNUMBER(SEARCH(Assumptions!$C$7,E1252)),Assumptions!$D$7,"Other Services"))),"Other Services"))</f>
        <v/>
      </c>
    </row>
    <row r="1253" customFormat="false" ht="15" hidden="false" customHeight="false" outlineLevel="0" collapsed="false">
      <c r="G1253" s="41" t="str">
        <f aca="false">IF(E1253="","",IFERROR(IF(ISNUMBER(SEARCH(Assumptions!$C$5,E1253)),Assumptions!$D$5,IF(ISNUMBER(SEARCH(Assumptions!$C$6,E1253)),Assumptions!$D$6,IF(ISNUMBER(SEARCH(Assumptions!$C$7,E1253)),Assumptions!$D$7,"Other Services"))),"Other Services"))</f>
        <v/>
      </c>
    </row>
    <row r="1254" customFormat="false" ht="15" hidden="false" customHeight="false" outlineLevel="0" collapsed="false">
      <c r="G1254" s="41" t="str">
        <f aca="false">IF(E1254="","",IFERROR(IF(ISNUMBER(SEARCH(Assumptions!$C$5,E1254)),Assumptions!$D$5,IF(ISNUMBER(SEARCH(Assumptions!$C$6,E1254)),Assumptions!$D$6,IF(ISNUMBER(SEARCH(Assumptions!$C$7,E1254)),Assumptions!$D$7,"Other Services"))),"Other Services"))</f>
        <v/>
      </c>
    </row>
    <row r="1255" customFormat="false" ht="15" hidden="false" customHeight="false" outlineLevel="0" collapsed="false">
      <c r="G1255" s="41" t="str">
        <f aca="false">IF(E1255="","",IFERROR(IF(ISNUMBER(SEARCH(Assumptions!$C$5,E1255)),Assumptions!$D$5,IF(ISNUMBER(SEARCH(Assumptions!$C$6,E1255)),Assumptions!$D$6,IF(ISNUMBER(SEARCH(Assumptions!$C$7,E1255)),Assumptions!$D$7,"Other Services"))),"Other Services"))</f>
        <v/>
      </c>
    </row>
    <row r="1256" customFormat="false" ht="15" hidden="false" customHeight="false" outlineLevel="0" collapsed="false">
      <c r="G1256" s="41" t="str">
        <f aca="false">IF(E1256="","",IFERROR(IF(ISNUMBER(SEARCH(Assumptions!$C$5,E1256)),Assumptions!$D$5,IF(ISNUMBER(SEARCH(Assumptions!$C$6,E1256)),Assumptions!$D$6,IF(ISNUMBER(SEARCH(Assumptions!$C$7,E1256)),Assumptions!$D$7,"Other Services"))),"Other Services"))</f>
        <v/>
      </c>
    </row>
    <row r="1257" customFormat="false" ht="15" hidden="false" customHeight="false" outlineLevel="0" collapsed="false">
      <c r="G1257" s="41" t="str">
        <f aca="false">IF(E1257="","",IFERROR(IF(ISNUMBER(SEARCH(Assumptions!$C$5,E1257)),Assumptions!$D$5,IF(ISNUMBER(SEARCH(Assumptions!$C$6,E1257)),Assumptions!$D$6,IF(ISNUMBER(SEARCH(Assumptions!$C$7,E1257)),Assumptions!$D$7,"Other Services"))),"Other Services"))</f>
        <v/>
      </c>
    </row>
    <row r="1258" customFormat="false" ht="15" hidden="false" customHeight="false" outlineLevel="0" collapsed="false">
      <c r="G1258" s="41" t="str">
        <f aca="false">IF(E1258="","",IFERROR(IF(ISNUMBER(SEARCH(Assumptions!$C$5,E1258)),Assumptions!$D$5,IF(ISNUMBER(SEARCH(Assumptions!$C$6,E1258)),Assumptions!$D$6,IF(ISNUMBER(SEARCH(Assumptions!$C$7,E1258)),Assumptions!$D$7,"Other Services"))),"Other Services"))</f>
        <v/>
      </c>
    </row>
    <row r="1259" customFormat="false" ht="15" hidden="false" customHeight="false" outlineLevel="0" collapsed="false">
      <c r="G1259" s="41" t="str">
        <f aca="false">IF(E1259="","",IFERROR(IF(ISNUMBER(SEARCH(Assumptions!$C$5,E1259)),Assumptions!$D$5,IF(ISNUMBER(SEARCH(Assumptions!$C$6,E1259)),Assumptions!$D$6,IF(ISNUMBER(SEARCH(Assumptions!$C$7,E1259)),Assumptions!$D$7,"Other Services"))),"Other Services"))</f>
        <v/>
      </c>
    </row>
    <row r="1260" customFormat="false" ht="15" hidden="false" customHeight="false" outlineLevel="0" collapsed="false">
      <c r="G1260" s="41" t="str">
        <f aca="false">IF(E1260="","",IFERROR(IF(ISNUMBER(SEARCH(Assumptions!$C$5,E1260)),Assumptions!$D$5,IF(ISNUMBER(SEARCH(Assumptions!$C$6,E1260)),Assumptions!$D$6,IF(ISNUMBER(SEARCH(Assumptions!$C$7,E1260)),Assumptions!$D$7,"Other Services"))),"Other Services"))</f>
        <v/>
      </c>
    </row>
    <row r="1261" customFormat="false" ht="15" hidden="false" customHeight="false" outlineLevel="0" collapsed="false">
      <c r="G1261" s="41" t="str">
        <f aca="false">IF(E1261="","",IFERROR(IF(ISNUMBER(SEARCH(Assumptions!$C$5,E1261)),Assumptions!$D$5,IF(ISNUMBER(SEARCH(Assumptions!$C$6,E1261)),Assumptions!$D$6,IF(ISNUMBER(SEARCH(Assumptions!$C$7,E1261)),Assumptions!$D$7,"Other Services"))),"Other Services"))</f>
        <v/>
      </c>
    </row>
    <row r="1262" customFormat="false" ht="15" hidden="false" customHeight="false" outlineLevel="0" collapsed="false">
      <c r="G1262" s="41" t="str">
        <f aca="false">IF(E1262="","",IFERROR(IF(ISNUMBER(SEARCH(Assumptions!$C$5,E1262)),Assumptions!$D$5,IF(ISNUMBER(SEARCH(Assumptions!$C$6,E1262)),Assumptions!$D$6,IF(ISNUMBER(SEARCH(Assumptions!$C$7,E1262)),Assumptions!$D$7,"Other Services"))),"Other Services"))</f>
        <v/>
      </c>
    </row>
    <row r="1263" customFormat="false" ht="15" hidden="false" customHeight="false" outlineLevel="0" collapsed="false">
      <c r="G1263" s="41" t="str">
        <f aca="false">IF(E1263="","",IFERROR(IF(ISNUMBER(SEARCH(Assumptions!$C$5,E1263)),Assumptions!$D$5,IF(ISNUMBER(SEARCH(Assumptions!$C$6,E1263)),Assumptions!$D$6,IF(ISNUMBER(SEARCH(Assumptions!$C$7,E1263)),Assumptions!$D$7,"Other Services"))),"Other Services"))</f>
        <v/>
      </c>
    </row>
    <row r="1264" customFormat="false" ht="15" hidden="false" customHeight="false" outlineLevel="0" collapsed="false">
      <c r="G1264" s="41" t="str">
        <f aca="false">IF(E1264="","",IFERROR(IF(ISNUMBER(SEARCH(Assumptions!$C$5,E1264)),Assumptions!$D$5,IF(ISNUMBER(SEARCH(Assumptions!$C$6,E1264)),Assumptions!$D$6,IF(ISNUMBER(SEARCH(Assumptions!$C$7,E1264)),Assumptions!$D$7,"Other Services"))),"Other Services"))</f>
        <v/>
      </c>
    </row>
    <row r="1265" customFormat="false" ht="15" hidden="false" customHeight="false" outlineLevel="0" collapsed="false">
      <c r="G1265" s="41" t="str">
        <f aca="false">IF(E1265="","",IFERROR(IF(ISNUMBER(SEARCH(Assumptions!$C$5,E1265)),Assumptions!$D$5,IF(ISNUMBER(SEARCH(Assumptions!$C$6,E1265)),Assumptions!$D$6,IF(ISNUMBER(SEARCH(Assumptions!$C$7,E1265)),Assumptions!$D$7,"Other Services"))),"Other Services"))</f>
        <v/>
      </c>
    </row>
    <row r="1266" customFormat="false" ht="15" hidden="false" customHeight="false" outlineLevel="0" collapsed="false">
      <c r="G1266" s="41" t="str">
        <f aca="false">IF(E1266="","",IFERROR(IF(ISNUMBER(SEARCH(Assumptions!$C$5,E1266)),Assumptions!$D$5,IF(ISNUMBER(SEARCH(Assumptions!$C$6,E1266)),Assumptions!$D$6,IF(ISNUMBER(SEARCH(Assumptions!$C$7,E1266)),Assumptions!$D$7,"Other Services"))),"Other Services"))</f>
        <v/>
      </c>
    </row>
    <row r="1267" customFormat="false" ht="15" hidden="false" customHeight="false" outlineLevel="0" collapsed="false">
      <c r="G1267" s="41" t="str">
        <f aca="false">IF(E1267="","",IFERROR(IF(ISNUMBER(SEARCH(Assumptions!$C$5,E1267)),Assumptions!$D$5,IF(ISNUMBER(SEARCH(Assumptions!$C$6,E1267)),Assumptions!$D$6,IF(ISNUMBER(SEARCH(Assumptions!$C$7,E1267)),Assumptions!$D$7,"Other Services"))),"Other Services"))</f>
        <v/>
      </c>
    </row>
    <row r="1268" customFormat="false" ht="15" hidden="false" customHeight="false" outlineLevel="0" collapsed="false">
      <c r="G1268" s="41" t="str">
        <f aca="false">IF(E1268="","",IFERROR(IF(ISNUMBER(SEARCH(Assumptions!$C$5,E1268)),Assumptions!$D$5,IF(ISNUMBER(SEARCH(Assumptions!$C$6,E1268)),Assumptions!$D$6,IF(ISNUMBER(SEARCH(Assumptions!$C$7,E1268)),Assumptions!$D$7,"Other Services"))),"Other Services"))</f>
        <v/>
      </c>
    </row>
    <row r="1269" customFormat="false" ht="15" hidden="false" customHeight="false" outlineLevel="0" collapsed="false">
      <c r="G1269" s="41" t="str">
        <f aca="false">IF(E1269="","",IFERROR(IF(ISNUMBER(SEARCH(Assumptions!$C$5,E1269)),Assumptions!$D$5,IF(ISNUMBER(SEARCH(Assumptions!$C$6,E1269)),Assumptions!$D$6,IF(ISNUMBER(SEARCH(Assumptions!$C$7,E1269)),Assumptions!$D$7,"Other Services"))),"Other Services"))</f>
        <v/>
      </c>
    </row>
    <row r="1270" customFormat="false" ht="15" hidden="false" customHeight="false" outlineLevel="0" collapsed="false">
      <c r="G1270" s="41" t="str">
        <f aca="false">IF(E1270="","",IFERROR(IF(ISNUMBER(SEARCH(Assumptions!$C$5,E1270)),Assumptions!$D$5,IF(ISNUMBER(SEARCH(Assumptions!$C$6,E1270)),Assumptions!$D$6,IF(ISNUMBER(SEARCH(Assumptions!$C$7,E1270)),Assumptions!$D$7,"Other Services"))),"Other Services"))</f>
        <v/>
      </c>
    </row>
    <row r="1271" customFormat="false" ht="15" hidden="false" customHeight="false" outlineLevel="0" collapsed="false">
      <c r="G1271" s="41" t="str">
        <f aca="false">IF(E1271="","",IFERROR(IF(ISNUMBER(SEARCH(Assumptions!$C$5,E1271)),Assumptions!$D$5,IF(ISNUMBER(SEARCH(Assumptions!$C$6,E1271)),Assumptions!$D$6,IF(ISNUMBER(SEARCH(Assumptions!$C$7,E1271)),Assumptions!$D$7,"Other Services"))),"Other Services"))</f>
        <v/>
      </c>
    </row>
    <row r="1272" customFormat="false" ht="15" hidden="false" customHeight="false" outlineLevel="0" collapsed="false">
      <c r="G1272" s="41" t="str">
        <f aca="false">IF(E1272="","",IFERROR(IF(ISNUMBER(SEARCH(Assumptions!$C$5,E1272)),Assumptions!$D$5,IF(ISNUMBER(SEARCH(Assumptions!$C$6,E1272)),Assumptions!$D$6,IF(ISNUMBER(SEARCH(Assumptions!$C$7,E1272)),Assumptions!$D$7,"Other Services"))),"Other Services"))</f>
        <v/>
      </c>
    </row>
    <row r="1273" customFormat="false" ht="15" hidden="false" customHeight="false" outlineLevel="0" collapsed="false">
      <c r="G1273" s="41" t="str">
        <f aca="false">IF(E1273="","",IFERROR(IF(ISNUMBER(SEARCH(Assumptions!$C$5,E1273)),Assumptions!$D$5,IF(ISNUMBER(SEARCH(Assumptions!$C$6,E1273)),Assumptions!$D$6,IF(ISNUMBER(SEARCH(Assumptions!$C$7,E1273)),Assumptions!$D$7,"Other Services"))),"Other Services"))</f>
        <v/>
      </c>
    </row>
    <row r="1274" customFormat="false" ht="15" hidden="false" customHeight="false" outlineLevel="0" collapsed="false">
      <c r="G1274" s="41" t="str">
        <f aca="false">IF(E1274="","",IFERROR(IF(ISNUMBER(SEARCH(Assumptions!$C$5,E1274)),Assumptions!$D$5,IF(ISNUMBER(SEARCH(Assumptions!$C$6,E1274)),Assumptions!$D$6,IF(ISNUMBER(SEARCH(Assumptions!$C$7,E1274)),Assumptions!$D$7,"Other Services"))),"Other Services"))</f>
        <v/>
      </c>
    </row>
    <row r="1275" customFormat="false" ht="15" hidden="false" customHeight="false" outlineLevel="0" collapsed="false">
      <c r="G1275" s="41" t="str">
        <f aca="false">IF(E1275="","",IFERROR(IF(ISNUMBER(SEARCH(Assumptions!$C$5,E1275)),Assumptions!$D$5,IF(ISNUMBER(SEARCH(Assumptions!$C$6,E1275)),Assumptions!$D$6,IF(ISNUMBER(SEARCH(Assumptions!$C$7,E1275)),Assumptions!$D$7,"Other Services"))),"Other Services"))</f>
        <v/>
      </c>
    </row>
    <row r="1276" customFormat="false" ht="15" hidden="false" customHeight="false" outlineLevel="0" collapsed="false">
      <c r="G1276" s="41" t="str">
        <f aca="false">IF(E1276="","",IFERROR(IF(ISNUMBER(SEARCH(Assumptions!$C$5,E1276)),Assumptions!$D$5,IF(ISNUMBER(SEARCH(Assumptions!$C$6,E1276)),Assumptions!$D$6,IF(ISNUMBER(SEARCH(Assumptions!$C$7,E1276)),Assumptions!$D$7,"Other Services"))),"Other Services"))</f>
        <v/>
      </c>
    </row>
    <row r="1277" customFormat="false" ht="15" hidden="false" customHeight="false" outlineLevel="0" collapsed="false">
      <c r="G1277" s="41" t="str">
        <f aca="false">IF(E1277="","",IFERROR(IF(ISNUMBER(SEARCH(Assumptions!$C$5,E1277)),Assumptions!$D$5,IF(ISNUMBER(SEARCH(Assumptions!$C$6,E1277)),Assumptions!$D$6,IF(ISNUMBER(SEARCH(Assumptions!$C$7,E1277)),Assumptions!$D$7,"Other Services"))),"Other Services"))</f>
        <v/>
      </c>
    </row>
    <row r="1278" customFormat="false" ht="15" hidden="false" customHeight="false" outlineLevel="0" collapsed="false">
      <c r="G1278" s="41" t="str">
        <f aca="false">IF(E1278="","",IFERROR(IF(ISNUMBER(SEARCH(Assumptions!$C$5,E1278)),Assumptions!$D$5,IF(ISNUMBER(SEARCH(Assumptions!$C$6,E1278)),Assumptions!$D$6,IF(ISNUMBER(SEARCH(Assumptions!$C$7,E1278)),Assumptions!$D$7,"Other Services"))),"Other Services"))</f>
        <v/>
      </c>
    </row>
    <row r="1279" customFormat="false" ht="15" hidden="false" customHeight="false" outlineLevel="0" collapsed="false">
      <c r="G1279" s="41" t="str">
        <f aca="false">IF(E1279="","",IFERROR(IF(ISNUMBER(SEARCH(Assumptions!$C$5,E1279)),Assumptions!$D$5,IF(ISNUMBER(SEARCH(Assumptions!$C$6,E1279)),Assumptions!$D$6,IF(ISNUMBER(SEARCH(Assumptions!$C$7,E1279)),Assumptions!$D$7,"Other Services"))),"Other Services"))</f>
        <v/>
      </c>
    </row>
    <row r="1280" customFormat="false" ht="15" hidden="false" customHeight="false" outlineLevel="0" collapsed="false">
      <c r="G1280" s="41" t="str">
        <f aca="false">IF(E1280="","",IFERROR(IF(ISNUMBER(SEARCH(Assumptions!$C$5,E1280)),Assumptions!$D$5,IF(ISNUMBER(SEARCH(Assumptions!$C$6,E1280)),Assumptions!$D$6,IF(ISNUMBER(SEARCH(Assumptions!$C$7,E1280)),Assumptions!$D$7,"Other Services"))),"Other Services"))</f>
        <v/>
      </c>
    </row>
    <row r="1281" customFormat="false" ht="15" hidden="false" customHeight="false" outlineLevel="0" collapsed="false">
      <c r="G1281" s="41" t="str">
        <f aca="false">IF(E1281="","",IFERROR(IF(ISNUMBER(SEARCH(Assumptions!$C$5,E1281)),Assumptions!$D$5,IF(ISNUMBER(SEARCH(Assumptions!$C$6,E1281)),Assumptions!$D$6,IF(ISNUMBER(SEARCH(Assumptions!$C$7,E1281)),Assumptions!$D$7,"Other Services"))),"Other Services"))</f>
        <v/>
      </c>
    </row>
    <row r="1282" customFormat="false" ht="15" hidden="false" customHeight="false" outlineLevel="0" collapsed="false">
      <c r="G1282" s="41" t="str">
        <f aca="false">IF(E1282="","",IFERROR(IF(ISNUMBER(SEARCH(Assumptions!$C$5,E1282)),Assumptions!$D$5,IF(ISNUMBER(SEARCH(Assumptions!$C$6,E1282)),Assumptions!$D$6,IF(ISNUMBER(SEARCH(Assumptions!$C$7,E1282)),Assumptions!$D$7,"Other Services"))),"Other Services"))</f>
        <v/>
      </c>
    </row>
    <row r="1283" customFormat="false" ht="15" hidden="false" customHeight="false" outlineLevel="0" collapsed="false">
      <c r="G1283" s="41" t="str">
        <f aca="false">IF(E1283="","",IFERROR(IF(ISNUMBER(SEARCH(Assumptions!$C$5,E1283)),Assumptions!$D$5,IF(ISNUMBER(SEARCH(Assumptions!$C$6,E1283)),Assumptions!$D$6,IF(ISNUMBER(SEARCH(Assumptions!$C$7,E1283)),Assumptions!$D$7,"Other Services"))),"Other Services"))</f>
        <v/>
      </c>
    </row>
    <row r="1284" customFormat="false" ht="15" hidden="false" customHeight="false" outlineLevel="0" collapsed="false">
      <c r="G1284" s="41" t="str">
        <f aca="false">IF(E1284="","",IFERROR(IF(ISNUMBER(SEARCH(Assumptions!$C$5,E1284)),Assumptions!$D$5,IF(ISNUMBER(SEARCH(Assumptions!$C$6,E1284)),Assumptions!$D$6,IF(ISNUMBER(SEARCH(Assumptions!$C$7,E1284)),Assumptions!$D$7,"Other Services"))),"Other Services"))</f>
        <v/>
      </c>
    </row>
    <row r="1285" customFormat="false" ht="15" hidden="false" customHeight="false" outlineLevel="0" collapsed="false">
      <c r="G1285" s="41" t="str">
        <f aca="false">IF(E1285="","",IFERROR(IF(ISNUMBER(SEARCH(Assumptions!$C$5,E1285)),Assumptions!$D$5,IF(ISNUMBER(SEARCH(Assumptions!$C$6,E1285)),Assumptions!$D$6,IF(ISNUMBER(SEARCH(Assumptions!$C$7,E1285)),Assumptions!$D$7,"Other Services"))),"Other Services"))</f>
        <v/>
      </c>
    </row>
    <row r="1286" customFormat="false" ht="15" hidden="false" customHeight="false" outlineLevel="0" collapsed="false">
      <c r="G1286" s="41" t="str">
        <f aca="false">IF(E1286="","",IFERROR(IF(ISNUMBER(SEARCH(Assumptions!$C$5,E1286)),Assumptions!$D$5,IF(ISNUMBER(SEARCH(Assumptions!$C$6,E1286)),Assumptions!$D$6,IF(ISNUMBER(SEARCH(Assumptions!$C$7,E1286)),Assumptions!$D$7,"Other Services"))),"Other Services"))</f>
        <v/>
      </c>
    </row>
    <row r="1287" customFormat="false" ht="15" hidden="false" customHeight="false" outlineLevel="0" collapsed="false">
      <c r="G1287" s="41" t="str">
        <f aca="false">IF(E1287="","",IFERROR(IF(ISNUMBER(SEARCH(Assumptions!$C$5,E1287)),Assumptions!$D$5,IF(ISNUMBER(SEARCH(Assumptions!$C$6,E1287)),Assumptions!$D$6,IF(ISNUMBER(SEARCH(Assumptions!$C$7,E1287)),Assumptions!$D$7,"Other Services"))),"Other Services"))</f>
        <v/>
      </c>
    </row>
    <row r="1288" customFormat="false" ht="15" hidden="false" customHeight="false" outlineLevel="0" collapsed="false">
      <c r="G1288" s="41" t="str">
        <f aca="false">IF(E1288="","",IFERROR(IF(ISNUMBER(SEARCH(Assumptions!$C$5,E1288)),Assumptions!$D$5,IF(ISNUMBER(SEARCH(Assumptions!$C$6,E1288)),Assumptions!$D$6,IF(ISNUMBER(SEARCH(Assumptions!$C$7,E1288)),Assumptions!$D$7,"Other Services"))),"Other Services"))</f>
        <v/>
      </c>
    </row>
    <row r="1289" customFormat="false" ht="15" hidden="false" customHeight="false" outlineLevel="0" collapsed="false">
      <c r="G1289" s="41" t="str">
        <f aca="false">IF(E1289="","",IFERROR(IF(ISNUMBER(SEARCH(Assumptions!$C$5,E1289)),Assumptions!$D$5,IF(ISNUMBER(SEARCH(Assumptions!$C$6,E1289)),Assumptions!$D$6,IF(ISNUMBER(SEARCH(Assumptions!$C$7,E1289)),Assumptions!$D$7,"Other Services"))),"Other Services"))</f>
        <v/>
      </c>
    </row>
    <row r="1290" customFormat="false" ht="15" hidden="false" customHeight="false" outlineLevel="0" collapsed="false">
      <c r="G1290" s="41" t="str">
        <f aca="false">IF(E1290="","",IFERROR(IF(ISNUMBER(SEARCH(Assumptions!$C$5,E1290)),Assumptions!$D$5,IF(ISNUMBER(SEARCH(Assumptions!$C$6,E1290)),Assumptions!$D$6,IF(ISNUMBER(SEARCH(Assumptions!$C$7,E1290)),Assumptions!$D$7,"Other Services"))),"Other Services"))</f>
        <v/>
      </c>
    </row>
    <row r="1291" customFormat="false" ht="15" hidden="false" customHeight="false" outlineLevel="0" collapsed="false">
      <c r="G1291" s="41" t="str">
        <f aca="false">IF(E1291="","",IFERROR(IF(ISNUMBER(SEARCH(Assumptions!$C$5,E1291)),Assumptions!$D$5,IF(ISNUMBER(SEARCH(Assumptions!$C$6,E1291)),Assumptions!$D$6,IF(ISNUMBER(SEARCH(Assumptions!$C$7,E1291)),Assumptions!$D$7,"Other Services"))),"Other Services"))</f>
        <v/>
      </c>
    </row>
    <row r="1292" customFormat="false" ht="15" hidden="false" customHeight="false" outlineLevel="0" collapsed="false">
      <c r="G1292" s="41" t="str">
        <f aca="false">IF(E1292="","",IFERROR(IF(ISNUMBER(SEARCH(Assumptions!$C$5,E1292)),Assumptions!$D$5,IF(ISNUMBER(SEARCH(Assumptions!$C$6,E1292)),Assumptions!$D$6,IF(ISNUMBER(SEARCH(Assumptions!$C$7,E1292)),Assumptions!$D$7,"Other Services"))),"Other Services"))</f>
        <v/>
      </c>
    </row>
    <row r="1293" customFormat="false" ht="15" hidden="false" customHeight="false" outlineLevel="0" collapsed="false">
      <c r="G1293" s="41" t="str">
        <f aca="false">IF(E1293="","",IFERROR(IF(ISNUMBER(SEARCH(Assumptions!$C$5,E1293)),Assumptions!$D$5,IF(ISNUMBER(SEARCH(Assumptions!$C$6,E1293)),Assumptions!$D$6,IF(ISNUMBER(SEARCH(Assumptions!$C$7,E1293)),Assumptions!$D$7,"Other Services"))),"Other Services"))</f>
        <v/>
      </c>
    </row>
    <row r="1294" customFormat="false" ht="15" hidden="false" customHeight="false" outlineLevel="0" collapsed="false">
      <c r="G1294" s="41" t="str">
        <f aca="false">IF(E1294="","",IFERROR(IF(ISNUMBER(SEARCH(Assumptions!$C$5,E1294)),Assumptions!$D$5,IF(ISNUMBER(SEARCH(Assumptions!$C$6,E1294)),Assumptions!$D$6,IF(ISNUMBER(SEARCH(Assumptions!$C$7,E1294)),Assumptions!$D$7,"Other Services"))),"Other Services"))</f>
        <v/>
      </c>
    </row>
    <row r="1295" customFormat="false" ht="15" hidden="false" customHeight="false" outlineLevel="0" collapsed="false">
      <c r="G1295" s="41" t="str">
        <f aca="false">IF(E1295="","",IFERROR(IF(ISNUMBER(SEARCH(Assumptions!$C$5,E1295)),Assumptions!$D$5,IF(ISNUMBER(SEARCH(Assumptions!$C$6,E1295)),Assumptions!$D$6,IF(ISNUMBER(SEARCH(Assumptions!$C$7,E1295)),Assumptions!$D$7,"Other Services"))),"Other Services"))</f>
        <v/>
      </c>
    </row>
    <row r="1296" customFormat="false" ht="15" hidden="false" customHeight="false" outlineLevel="0" collapsed="false">
      <c r="G1296" s="41" t="str">
        <f aca="false">IF(E1296="","",IFERROR(IF(ISNUMBER(SEARCH(Assumptions!$C$5,E1296)),Assumptions!$D$5,IF(ISNUMBER(SEARCH(Assumptions!$C$6,E1296)),Assumptions!$D$6,IF(ISNUMBER(SEARCH(Assumptions!$C$7,E1296)),Assumptions!$D$7,"Other Services"))),"Other Services"))</f>
        <v/>
      </c>
    </row>
    <row r="1297" customFormat="false" ht="15" hidden="false" customHeight="false" outlineLevel="0" collapsed="false">
      <c r="G1297" s="41" t="str">
        <f aca="false">IF(E1297="","",IFERROR(IF(ISNUMBER(SEARCH(Assumptions!$C$5,E1297)),Assumptions!$D$5,IF(ISNUMBER(SEARCH(Assumptions!$C$6,E1297)),Assumptions!$D$6,IF(ISNUMBER(SEARCH(Assumptions!$C$7,E1297)),Assumptions!$D$7,"Other Services"))),"Other Services"))</f>
        <v/>
      </c>
    </row>
    <row r="1298" customFormat="false" ht="15" hidden="false" customHeight="false" outlineLevel="0" collapsed="false">
      <c r="G1298" s="41" t="str">
        <f aca="false">IF(E1298="","",IFERROR(IF(ISNUMBER(SEARCH(Assumptions!$C$5,E1298)),Assumptions!$D$5,IF(ISNUMBER(SEARCH(Assumptions!$C$6,E1298)),Assumptions!$D$6,IF(ISNUMBER(SEARCH(Assumptions!$C$7,E1298)),Assumptions!$D$7,"Other Services"))),"Other Services"))</f>
        <v/>
      </c>
    </row>
    <row r="1299" customFormat="false" ht="15" hidden="false" customHeight="false" outlineLevel="0" collapsed="false">
      <c r="G1299" s="41" t="str">
        <f aca="false">IF(E1299="","",IFERROR(IF(ISNUMBER(SEARCH(Assumptions!$C$5,E1299)),Assumptions!$D$5,IF(ISNUMBER(SEARCH(Assumptions!$C$6,E1299)),Assumptions!$D$6,IF(ISNUMBER(SEARCH(Assumptions!$C$7,E1299)),Assumptions!$D$7,"Other Services"))),"Other Services"))</f>
        <v/>
      </c>
    </row>
    <row r="1300" customFormat="false" ht="15" hidden="false" customHeight="false" outlineLevel="0" collapsed="false">
      <c r="G1300" s="41" t="str">
        <f aca="false">IF(E1300="","",IFERROR(IF(ISNUMBER(SEARCH(Assumptions!$C$5,E1300)),Assumptions!$D$5,IF(ISNUMBER(SEARCH(Assumptions!$C$6,E1300)),Assumptions!$D$6,IF(ISNUMBER(SEARCH(Assumptions!$C$7,E1300)),Assumptions!$D$7,"Other Services"))),"Other Services"))</f>
        <v/>
      </c>
    </row>
    <row r="1301" customFormat="false" ht="15" hidden="false" customHeight="false" outlineLevel="0" collapsed="false">
      <c r="G1301" s="41" t="str">
        <f aca="false">IF(E1301="","",IFERROR(IF(ISNUMBER(SEARCH(Assumptions!$C$5,E1301)),Assumptions!$D$5,IF(ISNUMBER(SEARCH(Assumptions!$C$6,E1301)),Assumptions!$D$6,IF(ISNUMBER(SEARCH(Assumptions!$C$7,E1301)),Assumptions!$D$7,"Other Services"))),"Other Services"))</f>
        <v/>
      </c>
    </row>
    <row r="1302" customFormat="false" ht="15" hidden="false" customHeight="false" outlineLevel="0" collapsed="false">
      <c r="G1302" s="41" t="str">
        <f aca="false">IF(E1302="","",IFERROR(IF(ISNUMBER(SEARCH(Assumptions!$C$5,E1302)),Assumptions!$D$5,IF(ISNUMBER(SEARCH(Assumptions!$C$6,E1302)),Assumptions!$D$6,IF(ISNUMBER(SEARCH(Assumptions!$C$7,E1302)),Assumptions!$D$7,"Other Services"))),"Other Services"))</f>
        <v/>
      </c>
    </row>
    <row r="1303" customFormat="false" ht="15" hidden="false" customHeight="false" outlineLevel="0" collapsed="false">
      <c r="G1303" s="41" t="str">
        <f aca="false">IF(E1303="","",IFERROR(IF(ISNUMBER(SEARCH(Assumptions!$C$5,E1303)),Assumptions!$D$5,IF(ISNUMBER(SEARCH(Assumptions!$C$6,E1303)),Assumptions!$D$6,IF(ISNUMBER(SEARCH(Assumptions!$C$7,E1303)),Assumptions!$D$7,"Other Services"))),"Other Services"))</f>
        <v/>
      </c>
    </row>
    <row r="1304" customFormat="false" ht="15" hidden="false" customHeight="false" outlineLevel="0" collapsed="false">
      <c r="G1304" s="41" t="str">
        <f aca="false">IF(E1304="","",IFERROR(IF(ISNUMBER(SEARCH(Assumptions!$C$5,E1304)),Assumptions!$D$5,IF(ISNUMBER(SEARCH(Assumptions!$C$6,E1304)),Assumptions!$D$6,IF(ISNUMBER(SEARCH(Assumptions!$C$7,E1304)),Assumptions!$D$7,"Other Services"))),"Other Services"))</f>
        <v/>
      </c>
    </row>
    <row r="1305" customFormat="false" ht="15" hidden="false" customHeight="false" outlineLevel="0" collapsed="false">
      <c r="G1305" s="41" t="str">
        <f aca="false">IF(E1305="","",IFERROR(IF(ISNUMBER(SEARCH(Assumptions!$C$5,E1305)),Assumptions!$D$5,IF(ISNUMBER(SEARCH(Assumptions!$C$6,E1305)),Assumptions!$D$6,IF(ISNUMBER(SEARCH(Assumptions!$C$7,E1305)),Assumptions!$D$7,"Other Services"))),"Other Services"))</f>
        <v/>
      </c>
    </row>
    <row r="1306" customFormat="false" ht="15" hidden="false" customHeight="false" outlineLevel="0" collapsed="false">
      <c r="G1306" s="41" t="str">
        <f aca="false">IF(E1306="","",IFERROR(IF(ISNUMBER(SEARCH(Assumptions!$C$5,E1306)),Assumptions!$D$5,IF(ISNUMBER(SEARCH(Assumptions!$C$6,E1306)),Assumptions!$D$6,IF(ISNUMBER(SEARCH(Assumptions!$C$7,E1306)),Assumptions!$D$7,"Other Services"))),"Other Services"))</f>
        <v/>
      </c>
    </row>
    <row r="1307" customFormat="false" ht="15" hidden="false" customHeight="false" outlineLevel="0" collapsed="false">
      <c r="G1307" s="41" t="str">
        <f aca="false">IF(E1307="","",IFERROR(IF(ISNUMBER(SEARCH(Assumptions!$C$5,E1307)),Assumptions!$D$5,IF(ISNUMBER(SEARCH(Assumptions!$C$6,E1307)),Assumptions!$D$6,IF(ISNUMBER(SEARCH(Assumptions!$C$7,E1307)),Assumptions!$D$7,"Other Services"))),"Other Services"))</f>
        <v/>
      </c>
    </row>
    <row r="1308" customFormat="false" ht="15" hidden="false" customHeight="false" outlineLevel="0" collapsed="false">
      <c r="G1308" s="41" t="str">
        <f aca="false">IF(E1308="","",IFERROR(IF(ISNUMBER(SEARCH(Assumptions!$C$5,E1308)),Assumptions!$D$5,IF(ISNUMBER(SEARCH(Assumptions!$C$6,E1308)),Assumptions!$D$6,IF(ISNUMBER(SEARCH(Assumptions!$C$7,E1308)),Assumptions!$D$7,"Other Services"))),"Other Services"))</f>
        <v/>
      </c>
    </row>
    <row r="1309" customFormat="false" ht="15" hidden="false" customHeight="false" outlineLevel="0" collapsed="false">
      <c r="G1309" s="41" t="str">
        <f aca="false">IF(E1309="","",IFERROR(IF(ISNUMBER(SEARCH(Assumptions!$C$5,E1309)),Assumptions!$D$5,IF(ISNUMBER(SEARCH(Assumptions!$C$6,E1309)),Assumptions!$D$6,IF(ISNUMBER(SEARCH(Assumptions!$C$7,E1309)),Assumptions!$D$7,"Other Services"))),"Other Services"))</f>
        <v/>
      </c>
    </row>
    <row r="1310" customFormat="false" ht="15" hidden="false" customHeight="false" outlineLevel="0" collapsed="false">
      <c r="G1310" s="41" t="str">
        <f aca="false">IF(E1310="","",IFERROR(IF(ISNUMBER(SEARCH(Assumptions!$C$5,E1310)),Assumptions!$D$5,IF(ISNUMBER(SEARCH(Assumptions!$C$6,E1310)),Assumptions!$D$6,IF(ISNUMBER(SEARCH(Assumptions!$C$7,E1310)),Assumptions!$D$7,"Other Services"))),"Other Services"))</f>
        <v/>
      </c>
    </row>
    <row r="1311" customFormat="false" ht="15" hidden="false" customHeight="false" outlineLevel="0" collapsed="false">
      <c r="G1311" s="41" t="str">
        <f aca="false">IF(E1311="","",IFERROR(IF(ISNUMBER(SEARCH(Assumptions!$C$5,E1311)),Assumptions!$D$5,IF(ISNUMBER(SEARCH(Assumptions!$C$6,E1311)),Assumptions!$D$6,IF(ISNUMBER(SEARCH(Assumptions!$C$7,E1311)),Assumptions!$D$7,"Other Services"))),"Other Services"))</f>
        <v/>
      </c>
    </row>
    <row r="1312" customFormat="false" ht="15" hidden="false" customHeight="false" outlineLevel="0" collapsed="false">
      <c r="G1312" s="41" t="str">
        <f aca="false">IF(E1312="","",IFERROR(IF(ISNUMBER(SEARCH(Assumptions!$C$5,E1312)),Assumptions!$D$5,IF(ISNUMBER(SEARCH(Assumptions!$C$6,E1312)),Assumptions!$D$6,IF(ISNUMBER(SEARCH(Assumptions!$C$7,E1312)),Assumptions!$D$7,"Other Services"))),"Other Services"))</f>
        <v/>
      </c>
    </row>
    <row r="1313" customFormat="false" ht="15" hidden="false" customHeight="false" outlineLevel="0" collapsed="false">
      <c r="G1313" s="41" t="str">
        <f aca="false">IF(E1313="","",IFERROR(IF(ISNUMBER(SEARCH(Assumptions!$C$5,E1313)),Assumptions!$D$5,IF(ISNUMBER(SEARCH(Assumptions!$C$6,E1313)),Assumptions!$D$6,IF(ISNUMBER(SEARCH(Assumptions!$C$7,E1313)),Assumptions!$D$7,"Other Services"))),"Other Services"))</f>
        <v/>
      </c>
    </row>
    <row r="1314" customFormat="false" ht="15" hidden="false" customHeight="false" outlineLevel="0" collapsed="false">
      <c r="G1314" s="41" t="str">
        <f aca="false">IF(E1314="","",IFERROR(IF(ISNUMBER(SEARCH(Assumptions!$C$5,E1314)),Assumptions!$D$5,IF(ISNUMBER(SEARCH(Assumptions!$C$6,E1314)),Assumptions!$D$6,IF(ISNUMBER(SEARCH(Assumptions!$C$7,E1314)),Assumptions!$D$7,"Other Services"))),"Other Services"))</f>
        <v/>
      </c>
    </row>
    <row r="1315" customFormat="false" ht="15" hidden="false" customHeight="false" outlineLevel="0" collapsed="false">
      <c r="G1315" s="41" t="str">
        <f aca="false">IF(E1315="","",IFERROR(IF(ISNUMBER(SEARCH(Assumptions!$C$5,E1315)),Assumptions!$D$5,IF(ISNUMBER(SEARCH(Assumptions!$C$6,E1315)),Assumptions!$D$6,IF(ISNUMBER(SEARCH(Assumptions!$C$7,E1315)),Assumptions!$D$7,"Other Services"))),"Other Services"))</f>
        <v/>
      </c>
    </row>
    <row r="1316" customFormat="false" ht="15" hidden="false" customHeight="false" outlineLevel="0" collapsed="false">
      <c r="G1316" s="41" t="str">
        <f aca="false">IF(E1316="","",IFERROR(IF(ISNUMBER(SEARCH(Assumptions!$C$5,E1316)),Assumptions!$D$5,IF(ISNUMBER(SEARCH(Assumptions!$C$6,E1316)),Assumptions!$D$6,IF(ISNUMBER(SEARCH(Assumptions!$C$7,E1316)),Assumptions!$D$7,"Other Services"))),"Other Services"))</f>
        <v/>
      </c>
    </row>
    <row r="1317" customFormat="false" ht="15" hidden="false" customHeight="false" outlineLevel="0" collapsed="false">
      <c r="G1317" s="41" t="str">
        <f aca="false">IF(E1317="","",IFERROR(IF(ISNUMBER(SEARCH(Assumptions!$C$5,E1317)),Assumptions!$D$5,IF(ISNUMBER(SEARCH(Assumptions!$C$6,E1317)),Assumptions!$D$6,IF(ISNUMBER(SEARCH(Assumptions!$C$7,E1317)),Assumptions!$D$7,"Other Services"))),"Other Services"))</f>
        <v/>
      </c>
    </row>
    <row r="1318" customFormat="false" ht="15" hidden="false" customHeight="false" outlineLevel="0" collapsed="false">
      <c r="G1318" s="41" t="str">
        <f aca="false">IF(E1318="","",IFERROR(IF(ISNUMBER(SEARCH(Assumptions!$C$5,E1318)),Assumptions!$D$5,IF(ISNUMBER(SEARCH(Assumptions!$C$6,E1318)),Assumptions!$D$6,IF(ISNUMBER(SEARCH(Assumptions!$C$7,E1318)),Assumptions!$D$7,"Other Services"))),"Other Services"))</f>
        <v/>
      </c>
    </row>
    <row r="1319" customFormat="false" ht="15" hidden="false" customHeight="false" outlineLevel="0" collapsed="false">
      <c r="G1319" s="41" t="str">
        <f aca="false">IF(E1319="","",IFERROR(IF(ISNUMBER(SEARCH(Assumptions!$C$5,E1319)),Assumptions!$D$5,IF(ISNUMBER(SEARCH(Assumptions!$C$6,E1319)),Assumptions!$D$6,IF(ISNUMBER(SEARCH(Assumptions!$C$7,E1319)),Assumptions!$D$7,"Other Services"))),"Other Services"))</f>
        <v/>
      </c>
    </row>
    <row r="1320" customFormat="false" ht="15" hidden="false" customHeight="false" outlineLevel="0" collapsed="false">
      <c r="G1320" s="41" t="str">
        <f aca="false">IF(E1320="","",IFERROR(IF(ISNUMBER(SEARCH(Assumptions!$C$5,E1320)),Assumptions!$D$5,IF(ISNUMBER(SEARCH(Assumptions!$C$6,E1320)),Assumptions!$D$6,IF(ISNUMBER(SEARCH(Assumptions!$C$7,E1320)),Assumptions!$D$7,"Other Services"))),"Other Services"))</f>
        <v/>
      </c>
    </row>
    <row r="1321" customFormat="false" ht="15" hidden="false" customHeight="false" outlineLevel="0" collapsed="false">
      <c r="G1321" s="41" t="str">
        <f aca="false">IF(E1321="","",IFERROR(IF(ISNUMBER(SEARCH(Assumptions!$C$5,E1321)),Assumptions!$D$5,IF(ISNUMBER(SEARCH(Assumptions!$C$6,E1321)),Assumptions!$D$6,IF(ISNUMBER(SEARCH(Assumptions!$C$7,E1321)),Assumptions!$D$7,"Other Services"))),"Other Services"))</f>
        <v/>
      </c>
    </row>
    <row r="1322" customFormat="false" ht="15" hidden="false" customHeight="false" outlineLevel="0" collapsed="false">
      <c r="G1322" s="41" t="str">
        <f aca="false">IF(E1322="","",IFERROR(IF(ISNUMBER(SEARCH(Assumptions!$C$5,E1322)),Assumptions!$D$5,IF(ISNUMBER(SEARCH(Assumptions!$C$6,E1322)),Assumptions!$D$6,IF(ISNUMBER(SEARCH(Assumptions!$C$7,E1322)),Assumptions!$D$7,"Other Services"))),"Other Services"))</f>
        <v/>
      </c>
    </row>
    <row r="1323" customFormat="false" ht="15" hidden="false" customHeight="false" outlineLevel="0" collapsed="false">
      <c r="G1323" s="41" t="str">
        <f aca="false">IF(E1323="","",IFERROR(IF(ISNUMBER(SEARCH(Assumptions!$C$5,E1323)),Assumptions!$D$5,IF(ISNUMBER(SEARCH(Assumptions!$C$6,E1323)),Assumptions!$D$6,IF(ISNUMBER(SEARCH(Assumptions!$C$7,E1323)),Assumptions!$D$7,"Other Services"))),"Other Services"))</f>
        <v/>
      </c>
    </row>
    <row r="1324" customFormat="false" ht="15" hidden="false" customHeight="false" outlineLevel="0" collapsed="false">
      <c r="G1324" s="41" t="str">
        <f aca="false">IF(E1324="","",IFERROR(IF(ISNUMBER(SEARCH(Assumptions!$C$5,E1324)),Assumptions!$D$5,IF(ISNUMBER(SEARCH(Assumptions!$C$6,E1324)),Assumptions!$D$6,IF(ISNUMBER(SEARCH(Assumptions!$C$7,E1324)),Assumptions!$D$7,"Other Services"))),"Other Services"))</f>
        <v/>
      </c>
    </row>
    <row r="1325" customFormat="false" ht="15" hidden="false" customHeight="false" outlineLevel="0" collapsed="false">
      <c r="G1325" s="41" t="str">
        <f aca="false">IF(E1325="","",IFERROR(IF(ISNUMBER(SEARCH(Assumptions!$C$5,E1325)),Assumptions!$D$5,IF(ISNUMBER(SEARCH(Assumptions!$C$6,E1325)),Assumptions!$D$6,IF(ISNUMBER(SEARCH(Assumptions!$C$7,E1325)),Assumptions!$D$7,"Other Services"))),"Other Services"))</f>
        <v/>
      </c>
    </row>
    <row r="1326" customFormat="false" ht="15" hidden="false" customHeight="false" outlineLevel="0" collapsed="false">
      <c r="G1326" s="41" t="str">
        <f aca="false">IF(E1326="","",IFERROR(IF(ISNUMBER(SEARCH(Assumptions!$C$5,E1326)),Assumptions!$D$5,IF(ISNUMBER(SEARCH(Assumptions!$C$6,E1326)),Assumptions!$D$6,IF(ISNUMBER(SEARCH(Assumptions!$C$7,E1326)),Assumptions!$D$7,"Other Services"))),"Other Services"))</f>
        <v/>
      </c>
    </row>
    <row r="1327" customFormat="false" ht="15" hidden="false" customHeight="false" outlineLevel="0" collapsed="false">
      <c r="G1327" s="41" t="str">
        <f aca="false">IF(E1327="","",IFERROR(IF(ISNUMBER(SEARCH(Assumptions!$C$5,E1327)),Assumptions!$D$5,IF(ISNUMBER(SEARCH(Assumptions!$C$6,E1327)),Assumptions!$D$6,IF(ISNUMBER(SEARCH(Assumptions!$C$7,E1327)),Assumptions!$D$7,"Other Services"))),"Other Services"))</f>
        <v/>
      </c>
    </row>
    <row r="1328" customFormat="false" ht="15" hidden="false" customHeight="false" outlineLevel="0" collapsed="false">
      <c r="G1328" s="41" t="str">
        <f aca="false">IF(E1328="","",IFERROR(IF(ISNUMBER(SEARCH(Assumptions!$C$5,E1328)),Assumptions!$D$5,IF(ISNUMBER(SEARCH(Assumptions!$C$6,E1328)),Assumptions!$D$6,IF(ISNUMBER(SEARCH(Assumptions!$C$7,E1328)),Assumptions!$D$7,"Other Services"))),"Other Services"))</f>
        <v/>
      </c>
    </row>
    <row r="1329" customFormat="false" ht="15" hidden="false" customHeight="false" outlineLevel="0" collapsed="false">
      <c r="G1329" s="41" t="str">
        <f aca="false">IF(E1329="","",IFERROR(IF(ISNUMBER(SEARCH(Assumptions!$C$5,E1329)),Assumptions!$D$5,IF(ISNUMBER(SEARCH(Assumptions!$C$6,E1329)),Assumptions!$D$6,IF(ISNUMBER(SEARCH(Assumptions!$C$7,E1329)),Assumptions!$D$7,"Other Services"))),"Other Services"))</f>
        <v/>
      </c>
    </row>
    <row r="1330" customFormat="false" ht="15" hidden="false" customHeight="false" outlineLevel="0" collapsed="false">
      <c r="G1330" s="41" t="str">
        <f aca="false">IF(E1330="","",IFERROR(IF(ISNUMBER(SEARCH(Assumptions!$C$5,E1330)),Assumptions!$D$5,IF(ISNUMBER(SEARCH(Assumptions!$C$6,E1330)),Assumptions!$D$6,IF(ISNUMBER(SEARCH(Assumptions!$C$7,E1330)),Assumptions!$D$7,"Other Services"))),"Other Services"))</f>
        <v/>
      </c>
    </row>
    <row r="1331" customFormat="false" ht="15" hidden="false" customHeight="false" outlineLevel="0" collapsed="false">
      <c r="G1331" s="41" t="str">
        <f aca="false">IF(E1331="","",IFERROR(IF(ISNUMBER(SEARCH(Assumptions!$C$5,E1331)),Assumptions!$D$5,IF(ISNUMBER(SEARCH(Assumptions!$C$6,E1331)),Assumptions!$D$6,IF(ISNUMBER(SEARCH(Assumptions!$C$7,E1331)),Assumptions!$D$7,"Other Services"))),"Other Services"))</f>
        <v/>
      </c>
    </row>
    <row r="1332" customFormat="false" ht="15" hidden="false" customHeight="false" outlineLevel="0" collapsed="false">
      <c r="G1332" s="41" t="str">
        <f aca="false">IF(E1332="","",IFERROR(IF(ISNUMBER(SEARCH(Assumptions!$C$5,E1332)),Assumptions!$D$5,IF(ISNUMBER(SEARCH(Assumptions!$C$6,E1332)),Assumptions!$D$6,IF(ISNUMBER(SEARCH(Assumptions!$C$7,E1332)),Assumptions!$D$7,"Other Services"))),"Other Services"))</f>
        <v/>
      </c>
    </row>
    <row r="1333" customFormat="false" ht="15" hidden="false" customHeight="false" outlineLevel="0" collapsed="false">
      <c r="G1333" s="41" t="str">
        <f aca="false">IF(E1333="","",IFERROR(IF(ISNUMBER(SEARCH(Assumptions!$C$5,E1333)),Assumptions!$D$5,IF(ISNUMBER(SEARCH(Assumptions!$C$6,E1333)),Assumptions!$D$6,IF(ISNUMBER(SEARCH(Assumptions!$C$7,E1333)),Assumptions!$D$7,"Other Services"))),"Other Services"))</f>
        <v/>
      </c>
    </row>
    <row r="1334" customFormat="false" ht="15" hidden="false" customHeight="false" outlineLevel="0" collapsed="false">
      <c r="G1334" s="41" t="str">
        <f aca="false">IF(E1334="","",IFERROR(IF(ISNUMBER(SEARCH(Assumptions!$C$5,E1334)),Assumptions!$D$5,IF(ISNUMBER(SEARCH(Assumptions!$C$6,E1334)),Assumptions!$D$6,IF(ISNUMBER(SEARCH(Assumptions!$C$7,E1334)),Assumptions!$D$7,"Other Services"))),"Other Services"))</f>
        <v/>
      </c>
    </row>
    <row r="1335" customFormat="false" ht="15" hidden="false" customHeight="false" outlineLevel="0" collapsed="false">
      <c r="G1335" s="41" t="str">
        <f aca="false">IF(E1335="","",IFERROR(IF(ISNUMBER(SEARCH(Assumptions!$C$5,E1335)),Assumptions!$D$5,IF(ISNUMBER(SEARCH(Assumptions!$C$6,E1335)),Assumptions!$D$6,IF(ISNUMBER(SEARCH(Assumptions!$C$7,E1335)),Assumptions!$D$7,"Other Services"))),"Other Services"))</f>
        <v/>
      </c>
    </row>
    <row r="1336" customFormat="false" ht="15" hidden="false" customHeight="false" outlineLevel="0" collapsed="false">
      <c r="G1336" s="41" t="str">
        <f aca="false">IF(E1336="","",IFERROR(IF(ISNUMBER(SEARCH(Assumptions!$C$5,E1336)),Assumptions!$D$5,IF(ISNUMBER(SEARCH(Assumptions!$C$6,E1336)),Assumptions!$D$6,IF(ISNUMBER(SEARCH(Assumptions!$C$7,E1336)),Assumptions!$D$7,"Other Services"))),"Other Services"))</f>
        <v/>
      </c>
    </row>
    <row r="1337" customFormat="false" ht="15" hidden="false" customHeight="false" outlineLevel="0" collapsed="false">
      <c r="G1337" s="41" t="str">
        <f aca="false">IF(E1337="","",IFERROR(IF(ISNUMBER(SEARCH(Assumptions!$C$5,E1337)),Assumptions!$D$5,IF(ISNUMBER(SEARCH(Assumptions!$C$6,E1337)),Assumptions!$D$6,IF(ISNUMBER(SEARCH(Assumptions!$C$7,E1337)),Assumptions!$D$7,"Other Services"))),"Other Services"))</f>
        <v/>
      </c>
    </row>
    <row r="1338" customFormat="false" ht="15" hidden="false" customHeight="false" outlineLevel="0" collapsed="false">
      <c r="G1338" s="41" t="str">
        <f aca="false">IF(E1338="","",IFERROR(IF(ISNUMBER(SEARCH(Assumptions!$C$5,E1338)),Assumptions!$D$5,IF(ISNUMBER(SEARCH(Assumptions!$C$6,E1338)),Assumptions!$D$6,IF(ISNUMBER(SEARCH(Assumptions!$C$7,E1338)),Assumptions!$D$7,"Other Services"))),"Other Services"))</f>
        <v/>
      </c>
    </row>
    <row r="1339" customFormat="false" ht="15" hidden="false" customHeight="false" outlineLevel="0" collapsed="false">
      <c r="G1339" s="41" t="str">
        <f aca="false">IF(E1339="","",IFERROR(IF(ISNUMBER(SEARCH(Assumptions!$C$5,E1339)),Assumptions!$D$5,IF(ISNUMBER(SEARCH(Assumptions!$C$6,E1339)),Assumptions!$D$6,IF(ISNUMBER(SEARCH(Assumptions!$C$7,E1339)),Assumptions!$D$7,"Other Services"))),"Other Services"))</f>
        <v/>
      </c>
    </row>
    <row r="1340" customFormat="false" ht="15" hidden="false" customHeight="false" outlineLevel="0" collapsed="false">
      <c r="G1340" s="41" t="str">
        <f aca="false">IF(E1340="","",IFERROR(IF(ISNUMBER(SEARCH(Assumptions!$C$5,E1340)),Assumptions!$D$5,IF(ISNUMBER(SEARCH(Assumptions!$C$6,E1340)),Assumptions!$D$6,IF(ISNUMBER(SEARCH(Assumptions!$C$7,E1340)),Assumptions!$D$7,"Other Services"))),"Other Services"))</f>
        <v/>
      </c>
    </row>
    <row r="1341" customFormat="false" ht="15" hidden="false" customHeight="false" outlineLevel="0" collapsed="false">
      <c r="G1341" s="41" t="str">
        <f aca="false">IF(E1341="","",IFERROR(IF(ISNUMBER(SEARCH(Assumptions!$C$5,E1341)),Assumptions!$D$5,IF(ISNUMBER(SEARCH(Assumptions!$C$6,E1341)),Assumptions!$D$6,IF(ISNUMBER(SEARCH(Assumptions!$C$7,E1341)),Assumptions!$D$7,"Other Services"))),"Other Services"))</f>
        <v/>
      </c>
    </row>
    <row r="1342" customFormat="false" ht="15" hidden="false" customHeight="false" outlineLevel="0" collapsed="false">
      <c r="G1342" s="41" t="str">
        <f aca="false">IF(E1342="","",IFERROR(IF(ISNUMBER(SEARCH(Assumptions!$C$5,E1342)),Assumptions!$D$5,IF(ISNUMBER(SEARCH(Assumptions!$C$6,E1342)),Assumptions!$D$6,IF(ISNUMBER(SEARCH(Assumptions!$C$7,E1342)),Assumptions!$D$7,"Other Services"))),"Other Services"))</f>
        <v/>
      </c>
    </row>
    <row r="1343" customFormat="false" ht="15" hidden="false" customHeight="false" outlineLevel="0" collapsed="false">
      <c r="G1343" s="41" t="str">
        <f aca="false">IF(E1343="","",IFERROR(IF(ISNUMBER(SEARCH(Assumptions!$C$5,E1343)),Assumptions!$D$5,IF(ISNUMBER(SEARCH(Assumptions!$C$6,E1343)),Assumptions!$D$6,IF(ISNUMBER(SEARCH(Assumptions!$C$7,E1343)),Assumptions!$D$7,"Other Services"))),"Other Services"))</f>
        <v/>
      </c>
    </row>
    <row r="1344" customFormat="false" ht="15" hidden="false" customHeight="false" outlineLevel="0" collapsed="false">
      <c r="G1344" s="41" t="str">
        <f aca="false">IF(E1344="","",IFERROR(IF(ISNUMBER(SEARCH(Assumptions!$C$5,E1344)),Assumptions!$D$5,IF(ISNUMBER(SEARCH(Assumptions!$C$6,E1344)),Assumptions!$D$6,IF(ISNUMBER(SEARCH(Assumptions!$C$7,E1344)),Assumptions!$D$7,"Other Services"))),"Other Services"))</f>
        <v/>
      </c>
    </row>
    <row r="1345" customFormat="false" ht="15" hidden="false" customHeight="false" outlineLevel="0" collapsed="false">
      <c r="G1345" s="41" t="str">
        <f aca="false">IF(E1345="","",IFERROR(IF(ISNUMBER(SEARCH(Assumptions!$C$5,E1345)),Assumptions!$D$5,IF(ISNUMBER(SEARCH(Assumptions!$C$6,E1345)),Assumptions!$D$6,IF(ISNUMBER(SEARCH(Assumptions!$C$7,E1345)),Assumptions!$D$7,"Other Services"))),"Other Services"))</f>
        <v/>
      </c>
    </row>
    <row r="1346" customFormat="false" ht="15" hidden="false" customHeight="false" outlineLevel="0" collapsed="false">
      <c r="G1346" s="41" t="str">
        <f aca="false">IF(E1346="","",IFERROR(IF(ISNUMBER(SEARCH(Assumptions!$C$5,E1346)),Assumptions!$D$5,IF(ISNUMBER(SEARCH(Assumptions!$C$6,E1346)),Assumptions!$D$6,IF(ISNUMBER(SEARCH(Assumptions!$C$7,E1346)),Assumptions!$D$7,"Other Services"))),"Other Services"))</f>
        <v/>
      </c>
    </row>
    <row r="1347" customFormat="false" ht="15" hidden="false" customHeight="false" outlineLevel="0" collapsed="false">
      <c r="G1347" s="41" t="str">
        <f aca="false">IF(E1347="","",IFERROR(IF(ISNUMBER(SEARCH(Assumptions!$C$5,E1347)),Assumptions!$D$5,IF(ISNUMBER(SEARCH(Assumptions!$C$6,E1347)),Assumptions!$D$6,IF(ISNUMBER(SEARCH(Assumptions!$C$7,E1347)),Assumptions!$D$7,"Other Services"))),"Other Services"))</f>
        <v/>
      </c>
    </row>
    <row r="1348" customFormat="false" ht="15" hidden="false" customHeight="false" outlineLevel="0" collapsed="false">
      <c r="G1348" s="41" t="str">
        <f aca="false">IF(E1348="","",IFERROR(IF(ISNUMBER(SEARCH(Assumptions!$C$5,E1348)),Assumptions!$D$5,IF(ISNUMBER(SEARCH(Assumptions!$C$6,E1348)),Assumptions!$D$6,IF(ISNUMBER(SEARCH(Assumptions!$C$7,E1348)),Assumptions!$D$7,"Other Services"))),"Other Services"))</f>
        <v/>
      </c>
    </row>
    <row r="1349" customFormat="false" ht="15" hidden="false" customHeight="false" outlineLevel="0" collapsed="false">
      <c r="G1349" s="41" t="str">
        <f aca="false">IF(E1349="","",IFERROR(IF(ISNUMBER(SEARCH(Assumptions!$C$5,E1349)),Assumptions!$D$5,IF(ISNUMBER(SEARCH(Assumptions!$C$6,E1349)),Assumptions!$D$6,IF(ISNUMBER(SEARCH(Assumptions!$C$7,E1349)),Assumptions!$D$7,"Other Services"))),"Other Services"))</f>
        <v/>
      </c>
    </row>
    <row r="1350" customFormat="false" ht="15" hidden="false" customHeight="false" outlineLevel="0" collapsed="false">
      <c r="G1350" s="41" t="str">
        <f aca="false">IF(E1350="","",IFERROR(IF(ISNUMBER(SEARCH(Assumptions!$C$5,E1350)),Assumptions!$D$5,IF(ISNUMBER(SEARCH(Assumptions!$C$6,E1350)),Assumptions!$D$6,IF(ISNUMBER(SEARCH(Assumptions!$C$7,E1350)),Assumptions!$D$7,"Other Services"))),"Other Services"))</f>
        <v/>
      </c>
    </row>
    <row r="1351" customFormat="false" ht="15" hidden="false" customHeight="false" outlineLevel="0" collapsed="false">
      <c r="G1351" s="41" t="str">
        <f aca="false">IF(E1351="","",IFERROR(IF(ISNUMBER(SEARCH(Assumptions!$C$5,E1351)),Assumptions!$D$5,IF(ISNUMBER(SEARCH(Assumptions!$C$6,E1351)),Assumptions!$D$6,IF(ISNUMBER(SEARCH(Assumptions!$C$7,E1351)),Assumptions!$D$7,"Other Services"))),"Other Services"))</f>
        <v/>
      </c>
    </row>
    <row r="1352" customFormat="false" ht="15" hidden="false" customHeight="false" outlineLevel="0" collapsed="false">
      <c r="G1352" s="41" t="str">
        <f aca="false">IF(E1352="","",IFERROR(IF(ISNUMBER(SEARCH(Assumptions!$C$5,E1352)),Assumptions!$D$5,IF(ISNUMBER(SEARCH(Assumptions!$C$6,E1352)),Assumptions!$D$6,IF(ISNUMBER(SEARCH(Assumptions!$C$7,E1352)),Assumptions!$D$7,"Other Services"))),"Other Services"))</f>
        <v/>
      </c>
    </row>
    <row r="1353" customFormat="false" ht="15" hidden="false" customHeight="false" outlineLevel="0" collapsed="false">
      <c r="G1353" s="41" t="str">
        <f aca="false">IF(E1353="","",IFERROR(IF(ISNUMBER(SEARCH(Assumptions!$C$5,E1353)),Assumptions!$D$5,IF(ISNUMBER(SEARCH(Assumptions!$C$6,E1353)),Assumptions!$D$6,IF(ISNUMBER(SEARCH(Assumptions!$C$7,E1353)),Assumptions!$D$7,"Other Services"))),"Other Services"))</f>
        <v/>
      </c>
    </row>
    <row r="1354" customFormat="false" ht="15" hidden="false" customHeight="false" outlineLevel="0" collapsed="false">
      <c r="G1354" s="41" t="str">
        <f aca="false">IF(E1354="","",IFERROR(IF(ISNUMBER(SEARCH(Assumptions!$C$5,E1354)),Assumptions!$D$5,IF(ISNUMBER(SEARCH(Assumptions!$C$6,E1354)),Assumptions!$D$6,IF(ISNUMBER(SEARCH(Assumptions!$C$7,E1354)),Assumptions!$D$7,"Other Services"))),"Other Services"))</f>
        <v/>
      </c>
    </row>
    <row r="1355" customFormat="false" ht="15" hidden="false" customHeight="false" outlineLevel="0" collapsed="false">
      <c r="G1355" s="41" t="str">
        <f aca="false">IF(E1355="","",IFERROR(IF(ISNUMBER(SEARCH(Assumptions!$C$5,E1355)),Assumptions!$D$5,IF(ISNUMBER(SEARCH(Assumptions!$C$6,E1355)),Assumptions!$D$6,IF(ISNUMBER(SEARCH(Assumptions!$C$7,E1355)),Assumptions!$D$7,"Other Services"))),"Other Services"))</f>
        <v/>
      </c>
    </row>
    <row r="1356" customFormat="false" ht="15" hidden="false" customHeight="false" outlineLevel="0" collapsed="false">
      <c r="G1356" s="41" t="str">
        <f aca="false">IF(E1356="","",IFERROR(IF(ISNUMBER(SEARCH(Assumptions!$C$5,E1356)),Assumptions!$D$5,IF(ISNUMBER(SEARCH(Assumptions!$C$6,E1356)),Assumptions!$D$6,IF(ISNUMBER(SEARCH(Assumptions!$C$7,E1356)),Assumptions!$D$7,"Other Services"))),"Other Services"))</f>
        <v/>
      </c>
    </row>
    <row r="1357" customFormat="false" ht="15" hidden="false" customHeight="false" outlineLevel="0" collapsed="false">
      <c r="G1357" s="41" t="str">
        <f aca="false">IF(E1357="","",IFERROR(IF(ISNUMBER(SEARCH(Assumptions!$C$5,E1357)),Assumptions!$D$5,IF(ISNUMBER(SEARCH(Assumptions!$C$6,E1357)),Assumptions!$D$6,IF(ISNUMBER(SEARCH(Assumptions!$C$7,E1357)),Assumptions!$D$7,"Other Services"))),"Other Services"))</f>
        <v/>
      </c>
    </row>
    <row r="1358" customFormat="false" ht="15" hidden="false" customHeight="false" outlineLevel="0" collapsed="false">
      <c r="G1358" s="41" t="str">
        <f aca="false">IF(E1358="","",IFERROR(IF(ISNUMBER(SEARCH(Assumptions!$C$5,E1358)),Assumptions!$D$5,IF(ISNUMBER(SEARCH(Assumptions!$C$6,E1358)),Assumptions!$D$6,IF(ISNUMBER(SEARCH(Assumptions!$C$7,E1358)),Assumptions!$D$7,"Other Services"))),"Other Services"))</f>
        <v/>
      </c>
    </row>
    <row r="1359" customFormat="false" ht="15" hidden="false" customHeight="false" outlineLevel="0" collapsed="false">
      <c r="G1359" s="41" t="str">
        <f aca="false">IF(E1359="","",IFERROR(IF(ISNUMBER(SEARCH(Assumptions!$C$5,E1359)),Assumptions!$D$5,IF(ISNUMBER(SEARCH(Assumptions!$C$6,E1359)),Assumptions!$D$6,IF(ISNUMBER(SEARCH(Assumptions!$C$7,E1359)),Assumptions!$D$7,"Other Services"))),"Other Services"))</f>
        <v/>
      </c>
    </row>
    <row r="1360" customFormat="false" ht="15" hidden="false" customHeight="false" outlineLevel="0" collapsed="false">
      <c r="G1360" s="41" t="str">
        <f aca="false">IF(E1360="","",IFERROR(IF(ISNUMBER(SEARCH(Assumptions!$C$5,E1360)),Assumptions!$D$5,IF(ISNUMBER(SEARCH(Assumptions!$C$6,E1360)),Assumptions!$D$6,IF(ISNUMBER(SEARCH(Assumptions!$C$7,E1360)),Assumptions!$D$7,"Other Services"))),"Other Services"))</f>
        <v/>
      </c>
    </row>
    <row r="1361" customFormat="false" ht="15" hidden="false" customHeight="false" outlineLevel="0" collapsed="false">
      <c r="G1361" s="41" t="str">
        <f aca="false">IF(E1361="","",IFERROR(IF(ISNUMBER(SEARCH(Assumptions!$C$5,E1361)),Assumptions!$D$5,IF(ISNUMBER(SEARCH(Assumptions!$C$6,E1361)),Assumptions!$D$6,IF(ISNUMBER(SEARCH(Assumptions!$C$7,E1361)),Assumptions!$D$7,"Other Services"))),"Other Services"))</f>
        <v/>
      </c>
    </row>
    <row r="1362" customFormat="false" ht="15" hidden="false" customHeight="false" outlineLevel="0" collapsed="false">
      <c r="G1362" s="41" t="str">
        <f aca="false">IF(E1362="","",IFERROR(IF(ISNUMBER(SEARCH(Assumptions!$C$5,E1362)),Assumptions!$D$5,IF(ISNUMBER(SEARCH(Assumptions!$C$6,E1362)),Assumptions!$D$6,IF(ISNUMBER(SEARCH(Assumptions!$C$7,E1362)),Assumptions!$D$7,"Other Services"))),"Other Services"))</f>
        <v/>
      </c>
    </row>
    <row r="1363" customFormat="false" ht="15" hidden="false" customHeight="false" outlineLevel="0" collapsed="false">
      <c r="G1363" s="41" t="str">
        <f aca="false">IF(E1363="","",IFERROR(IF(ISNUMBER(SEARCH(Assumptions!$C$5,E1363)),Assumptions!$D$5,IF(ISNUMBER(SEARCH(Assumptions!$C$6,E1363)),Assumptions!$D$6,IF(ISNUMBER(SEARCH(Assumptions!$C$7,E1363)),Assumptions!$D$7,"Other Services"))),"Other Services"))</f>
        <v/>
      </c>
    </row>
    <row r="1364" customFormat="false" ht="15" hidden="false" customHeight="false" outlineLevel="0" collapsed="false">
      <c r="G1364" s="41" t="str">
        <f aca="false">IF(E1364="","",IFERROR(IF(ISNUMBER(SEARCH(Assumptions!$C$5,E1364)),Assumptions!$D$5,IF(ISNUMBER(SEARCH(Assumptions!$C$6,E1364)),Assumptions!$D$6,IF(ISNUMBER(SEARCH(Assumptions!$C$7,E1364)),Assumptions!$D$7,"Other Services"))),"Other Services"))</f>
        <v/>
      </c>
    </row>
    <row r="1365" customFormat="false" ht="15" hidden="false" customHeight="false" outlineLevel="0" collapsed="false">
      <c r="G1365" s="41" t="str">
        <f aca="false">IF(E1365="","",IFERROR(IF(ISNUMBER(SEARCH(Assumptions!$C$5,E1365)),Assumptions!$D$5,IF(ISNUMBER(SEARCH(Assumptions!$C$6,E1365)),Assumptions!$D$6,IF(ISNUMBER(SEARCH(Assumptions!$C$7,E1365)),Assumptions!$D$7,"Other Services"))),"Other Services"))</f>
        <v/>
      </c>
    </row>
    <row r="1366" customFormat="false" ht="15" hidden="false" customHeight="false" outlineLevel="0" collapsed="false">
      <c r="G1366" s="41" t="str">
        <f aca="false">IF(E1366="","",IFERROR(IF(ISNUMBER(SEARCH(Assumptions!$C$5,E1366)),Assumptions!$D$5,IF(ISNUMBER(SEARCH(Assumptions!$C$6,E1366)),Assumptions!$D$6,IF(ISNUMBER(SEARCH(Assumptions!$C$7,E1366)),Assumptions!$D$7,"Other Services"))),"Other Services"))</f>
        <v/>
      </c>
    </row>
    <row r="1367" customFormat="false" ht="15" hidden="false" customHeight="false" outlineLevel="0" collapsed="false">
      <c r="G1367" s="41" t="str">
        <f aca="false">IF(E1367="","",IFERROR(IF(ISNUMBER(SEARCH(Assumptions!$C$5,E1367)),Assumptions!$D$5,IF(ISNUMBER(SEARCH(Assumptions!$C$6,E1367)),Assumptions!$D$6,IF(ISNUMBER(SEARCH(Assumptions!$C$7,E1367)),Assumptions!$D$7,"Other Services"))),"Other Services"))</f>
        <v/>
      </c>
    </row>
    <row r="1368" customFormat="false" ht="15" hidden="false" customHeight="false" outlineLevel="0" collapsed="false">
      <c r="G1368" s="41" t="str">
        <f aca="false">IF(E1368="","",IFERROR(IF(ISNUMBER(SEARCH(Assumptions!$C$5,E1368)),Assumptions!$D$5,IF(ISNUMBER(SEARCH(Assumptions!$C$6,E1368)),Assumptions!$D$6,IF(ISNUMBER(SEARCH(Assumptions!$C$7,E1368)),Assumptions!$D$7,"Other Services"))),"Other Services"))</f>
        <v/>
      </c>
    </row>
    <row r="1369" customFormat="false" ht="15" hidden="false" customHeight="false" outlineLevel="0" collapsed="false">
      <c r="G1369" s="41" t="str">
        <f aca="false">IF(E1369="","",IFERROR(IF(ISNUMBER(SEARCH(Assumptions!$C$5,E1369)),Assumptions!$D$5,IF(ISNUMBER(SEARCH(Assumptions!$C$6,E1369)),Assumptions!$D$6,IF(ISNUMBER(SEARCH(Assumptions!$C$7,E1369)),Assumptions!$D$7,"Other Services"))),"Other Services"))</f>
        <v/>
      </c>
    </row>
    <row r="1370" customFormat="false" ht="15" hidden="false" customHeight="false" outlineLevel="0" collapsed="false">
      <c r="G1370" s="41" t="str">
        <f aca="false">IF(E1370="","",IFERROR(IF(ISNUMBER(SEARCH(Assumptions!$C$5,E1370)),Assumptions!$D$5,IF(ISNUMBER(SEARCH(Assumptions!$C$6,E1370)),Assumptions!$D$6,IF(ISNUMBER(SEARCH(Assumptions!$C$7,E1370)),Assumptions!$D$7,"Other Services"))),"Other Services"))</f>
        <v/>
      </c>
    </row>
    <row r="1371" customFormat="false" ht="15" hidden="false" customHeight="false" outlineLevel="0" collapsed="false">
      <c r="G1371" s="41" t="str">
        <f aca="false">IF(E1371="","",IFERROR(IF(ISNUMBER(SEARCH(Assumptions!$C$5,E1371)),Assumptions!$D$5,IF(ISNUMBER(SEARCH(Assumptions!$C$6,E1371)),Assumptions!$D$6,IF(ISNUMBER(SEARCH(Assumptions!$C$7,E1371)),Assumptions!$D$7,"Other Services"))),"Other Services"))</f>
        <v/>
      </c>
    </row>
    <row r="1372" customFormat="false" ht="15" hidden="false" customHeight="false" outlineLevel="0" collapsed="false">
      <c r="G1372" s="41" t="str">
        <f aca="false">IF(E1372="","",IFERROR(IF(ISNUMBER(SEARCH(Assumptions!$C$5,E1372)),Assumptions!$D$5,IF(ISNUMBER(SEARCH(Assumptions!$C$6,E1372)),Assumptions!$D$6,IF(ISNUMBER(SEARCH(Assumptions!$C$7,E1372)),Assumptions!$D$7,"Other Services"))),"Other Services"))</f>
        <v/>
      </c>
    </row>
    <row r="1373" customFormat="false" ht="15" hidden="false" customHeight="false" outlineLevel="0" collapsed="false">
      <c r="G1373" s="41" t="str">
        <f aca="false">IF(E1373="","",IFERROR(IF(ISNUMBER(SEARCH(Assumptions!$C$5,E1373)),Assumptions!$D$5,IF(ISNUMBER(SEARCH(Assumptions!$C$6,E1373)),Assumptions!$D$6,IF(ISNUMBER(SEARCH(Assumptions!$C$7,E1373)),Assumptions!$D$7,"Other Services"))),"Other Services"))</f>
        <v/>
      </c>
    </row>
    <row r="1374" customFormat="false" ht="15" hidden="false" customHeight="false" outlineLevel="0" collapsed="false">
      <c r="G1374" s="41" t="str">
        <f aca="false">IF(E1374="","",IFERROR(IF(ISNUMBER(SEARCH(Assumptions!$C$5,E1374)),Assumptions!$D$5,IF(ISNUMBER(SEARCH(Assumptions!$C$6,E1374)),Assumptions!$D$6,IF(ISNUMBER(SEARCH(Assumptions!$C$7,E1374)),Assumptions!$D$7,"Other Services"))),"Other Services"))</f>
        <v/>
      </c>
    </row>
    <row r="1375" customFormat="false" ht="15" hidden="false" customHeight="false" outlineLevel="0" collapsed="false">
      <c r="G1375" s="41" t="str">
        <f aca="false">IF(E1375="","",IFERROR(IF(ISNUMBER(SEARCH(Assumptions!$C$5,E1375)),Assumptions!$D$5,IF(ISNUMBER(SEARCH(Assumptions!$C$6,E1375)),Assumptions!$D$6,IF(ISNUMBER(SEARCH(Assumptions!$C$7,E1375)),Assumptions!$D$7,"Other Services"))),"Other Services"))</f>
        <v/>
      </c>
    </row>
    <row r="1376" customFormat="false" ht="15" hidden="false" customHeight="false" outlineLevel="0" collapsed="false">
      <c r="G1376" s="41" t="str">
        <f aca="false">IF(E1376="","",IFERROR(IF(ISNUMBER(SEARCH(Assumptions!$C$5,E1376)),Assumptions!$D$5,IF(ISNUMBER(SEARCH(Assumptions!$C$6,E1376)),Assumptions!$D$6,IF(ISNUMBER(SEARCH(Assumptions!$C$7,E1376)),Assumptions!$D$7,"Other Services"))),"Other Services"))</f>
        <v/>
      </c>
    </row>
    <row r="1377" customFormat="false" ht="15" hidden="false" customHeight="false" outlineLevel="0" collapsed="false">
      <c r="G1377" s="41" t="str">
        <f aca="false">IF(E1377="","",IFERROR(IF(ISNUMBER(SEARCH(Assumptions!$C$5,E1377)),Assumptions!$D$5,IF(ISNUMBER(SEARCH(Assumptions!$C$6,E1377)),Assumptions!$D$6,IF(ISNUMBER(SEARCH(Assumptions!$C$7,E1377)),Assumptions!$D$7,"Other Services"))),"Other Services"))</f>
        <v/>
      </c>
    </row>
    <row r="1378" customFormat="false" ht="15" hidden="false" customHeight="false" outlineLevel="0" collapsed="false">
      <c r="G1378" s="41" t="str">
        <f aca="false">IF(E1378="","",IFERROR(IF(ISNUMBER(SEARCH(Assumptions!$C$5,E1378)),Assumptions!$D$5,IF(ISNUMBER(SEARCH(Assumptions!$C$6,E1378)),Assumptions!$D$6,IF(ISNUMBER(SEARCH(Assumptions!$C$7,E1378)),Assumptions!$D$7,"Other Services"))),"Other Services"))</f>
        <v/>
      </c>
    </row>
    <row r="1379" customFormat="false" ht="15" hidden="false" customHeight="false" outlineLevel="0" collapsed="false">
      <c r="G1379" s="41" t="str">
        <f aca="false">IF(E1379="","",IFERROR(IF(ISNUMBER(SEARCH(Assumptions!$C$5,E1379)),Assumptions!$D$5,IF(ISNUMBER(SEARCH(Assumptions!$C$6,E1379)),Assumptions!$D$6,IF(ISNUMBER(SEARCH(Assumptions!$C$7,E1379)),Assumptions!$D$7,"Other Services"))),"Other Services"))</f>
        <v/>
      </c>
    </row>
    <row r="1380" customFormat="false" ht="15" hidden="false" customHeight="false" outlineLevel="0" collapsed="false">
      <c r="G1380" s="41" t="str">
        <f aca="false">IF(E1380="","",IFERROR(IF(ISNUMBER(SEARCH(Assumptions!$C$5,E1380)),Assumptions!$D$5,IF(ISNUMBER(SEARCH(Assumptions!$C$6,E1380)),Assumptions!$D$6,IF(ISNUMBER(SEARCH(Assumptions!$C$7,E1380)),Assumptions!$D$7,"Other Services"))),"Other Services"))</f>
        <v/>
      </c>
    </row>
    <row r="1381" customFormat="false" ht="15" hidden="false" customHeight="false" outlineLevel="0" collapsed="false">
      <c r="G1381" s="41" t="str">
        <f aca="false">IF(E1381="","",IFERROR(IF(ISNUMBER(SEARCH(Assumptions!$C$5,E1381)),Assumptions!$D$5,IF(ISNUMBER(SEARCH(Assumptions!$C$6,E1381)),Assumptions!$D$6,IF(ISNUMBER(SEARCH(Assumptions!$C$7,E1381)),Assumptions!$D$7,"Other Services"))),"Other Services"))</f>
        <v/>
      </c>
    </row>
    <row r="1382" customFormat="false" ht="15" hidden="false" customHeight="false" outlineLevel="0" collapsed="false">
      <c r="G1382" s="41" t="str">
        <f aca="false">IF(E1382="","",IFERROR(IF(ISNUMBER(SEARCH(Assumptions!$C$5,E1382)),Assumptions!$D$5,IF(ISNUMBER(SEARCH(Assumptions!$C$6,E1382)),Assumptions!$D$6,IF(ISNUMBER(SEARCH(Assumptions!$C$7,E1382)),Assumptions!$D$7,"Other Services"))),"Other Services"))</f>
        <v/>
      </c>
    </row>
    <row r="1383" customFormat="false" ht="15" hidden="false" customHeight="false" outlineLevel="0" collapsed="false">
      <c r="G1383" s="41" t="str">
        <f aca="false">IF(E1383="","",IFERROR(IF(ISNUMBER(SEARCH(Assumptions!$C$5,E1383)),Assumptions!$D$5,IF(ISNUMBER(SEARCH(Assumptions!$C$6,E1383)),Assumptions!$D$6,IF(ISNUMBER(SEARCH(Assumptions!$C$7,E1383)),Assumptions!$D$7,"Other Services"))),"Other Services"))</f>
        <v/>
      </c>
    </row>
    <row r="1384" customFormat="false" ht="15" hidden="false" customHeight="false" outlineLevel="0" collapsed="false">
      <c r="G1384" s="41" t="str">
        <f aca="false">IF(E1384="","",IFERROR(IF(ISNUMBER(SEARCH(Assumptions!$C$5,E1384)),Assumptions!$D$5,IF(ISNUMBER(SEARCH(Assumptions!$C$6,E1384)),Assumptions!$D$6,IF(ISNUMBER(SEARCH(Assumptions!$C$7,E1384)),Assumptions!$D$7,"Other Services"))),"Other Services"))</f>
        <v/>
      </c>
    </row>
    <row r="1385" customFormat="false" ht="15" hidden="false" customHeight="false" outlineLevel="0" collapsed="false">
      <c r="G1385" s="41" t="str">
        <f aca="false">IF(E1385="","",IFERROR(IF(ISNUMBER(SEARCH(Assumptions!$C$5,E1385)),Assumptions!$D$5,IF(ISNUMBER(SEARCH(Assumptions!$C$6,E1385)),Assumptions!$D$6,IF(ISNUMBER(SEARCH(Assumptions!$C$7,E1385)),Assumptions!$D$7,"Other Services"))),"Other Services"))</f>
        <v/>
      </c>
    </row>
    <row r="1386" customFormat="false" ht="15" hidden="false" customHeight="false" outlineLevel="0" collapsed="false">
      <c r="G1386" s="41" t="str">
        <f aca="false">IF(E1386="","",IFERROR(IF(ISNUMBER(SEARCH(Assumptions!$C$5,E1386)),Assumptions!$D$5,IF(ISNUMBER(SEARCH(Assumptions!$C$6,E1386)),Assumptions!$D$6,IF(ISNUMBER(SEARCH(Assumptions!$C$7,E1386)),Assumptions!$D$7,"Other Services"))),"Other Services"))</f>
        <v/>
      </c>
    </row>
    <row r="1387" customFormat="false" ht="15" hidden="false" customHeight="false" outlineLevel="0" collapsed="false">
      <c r="G1387" s="41" t="str">
        <f aca="false">IF(E1387="","",IFERROR(IF(ISNUMBER(SEARCH(Assumptions!$C$5,E1387)),Assumptions!$D$5,IF(ISNUMBER(SEARCH(Assumptions!$C$6,E1387)),Assumptions!$D$6,IF(ISNUMBER(SEARCH(Assumptions!$C$7,E1387)),Assumptions!$D$7,"Other Services"))),"Other Services"))</f>
        <v/>
      </c>
    </row>
    <row r="1388" customFormat="false" ht="15" hidden="false" customHeight="false" outlineLevel="0" collapsed="false">
      <c r="G1388" s="41" t="str">
        <f aca="false">IF(E1388="","",IFERROR(IF(ISNUMBER(SEARCH(Assumptions!$C$5,E1388)),Assumptions!$D$5,IF(ISNUMBER(SEARCH(Assumptions!$C$6,E1388)),Assumptions!$D$6,IF(ISNUMBER(SEARCH(Assumptions!$C$7,E1388)),Assumptions!$D$7,"Other Services"))),"Other Services"))</f>
        <v/>
      </c>
    </row>
    <row r="1389" customFormat="false" ht="15" hidden="false" customHeight="false" outlineLevel="0" collapsed="false">
      <c r="G1389" s="41" t="str">
        <f aca="false">IF(E1389="","",IFERROR(IF(ISNUMBER(SEARCH(Assumptions!$C$5,E1389)),Assumptions!$D$5,IF(ISNUMBER(SEARCH(Assumptions!$C$6,E1389)),Assumptions!$D$6,IF(ISNUMBER(SEARCH(Assumptions!$C$7,E1389)),Assumptions!$D$7,"Other Services"))),"Other Services"))</f>
        <v/>
      </c>
    </row>
    <row r="1390" customFormat="false" ht="15" hidden="false" customHeight="false" outlineLevel="0" collapsed="false">
      <c r="G1390" s="41" t="str">
        <f aca="false">IF(E1390="","",IFERROR(IF(ISNUMBER(SEARCH(Assumptions!$C$5,E1390)),Assumptions!$D$5,IF(ISNUMBER(SEARCH(Assumptions!$C$6,E1390)),Assumptions!$D$6,IF(ISNUMBER(SEARCH(Assumptions!$C$7,E1390)),Assumptions!$D$7,"Other Services"))),"Other Services"))</f>
        <v/>
      </c>
    </row>
    <row r="1391" customFormat="false" ht="15" hidden="false" customHeight="false" outlineLevel="0" collapsed="false">
      <c r="G1391" s="41" t="str">
        <f aca="false">IF(E1391="","",IFERROR(IF(ISNUMBER(SEARCH(Assumptions!$C$5,E1391)),Assumptions!$D$5,IF(ISNUMBER(SEARCH(Assumptions!$C$6,E1391)),Assumptions!$D$6,IF(ISNUMBER(SEARCH(Assumptions!$C$7,E1391)),Assumptions!$D$7,"Other Services"))),"Other Services"))</f>
        <v/>
      </c>
    </row>
    <row r="1392" customFormat="false" ht="15" hidden="false" customHeight="false" outlineLevel="0" collapsed="false">
      <c r="G1392" s="41" t="str">
        <f aca="false">IF(E1392="","",IFERROR(IF(ISNUMBER(SEARCH(Assumptions!$C$5,E1392)),Assumptions!$D$5,IF(ISNUMBER(SEARCH(Assumptions!$C$6,E1392)),Assumptions!$D$6,IF(ISNUMBER(SEARCH(Assumptions!$C$7,E1392)),Assumptions!$D$7,"Other Services"))),"Other Services"))</f>
        <v/>
      </c>
    </row>
    <row r="1393" customFormat="false" ht="15" hidden="false" customHeight="false" outlineLevel="0" collapsed="false">
      <c r="G1393" s="41" t="str">
        <f aca="false">IF(E1393="","",IFERROR(IF(ISNUMBER(SEARCH(Assumptions!$C$5,E1393)),Assumptions!$D$5,IF(ISNUMBER(SEARCH(Assumptions!$C$6,E1393)),Assumptions!$D$6,IF(ISNUMBER(SEARCH(Assumptions!$C$7,E1393)),Assumptions!$D$7,"Other Services"))),"Other Services"))</f>
        <v/>
      </c>
    </row>
    <row r="1394" customFormat="false" ht="15" hidden="false" customHeight="false" outlineLevel="0" collapsed="false">
      <c r="G1394" s="41" t="str">
        <f aca="false">IF(E1394="","",IFERROR(IF(ISNUMBER(SEARCH(Assumptions!$C$5,E1394)),Assumptions!$D$5,IF(ISNUMBER(SEARCH(Assumptions!$C$6,E1394)),Assumptions!$D$6,IF(ISNUMBER(SEARCH(Assumptions!$C$7,E1394)),Assumptions!$D$7,"Other Services"))),"Other Services"))</f>
        <v/>
      </c>
    </row>
    <row r="1395" customFormat="false" ht="15" hidden="false" customHeight="false" outlineLevel="0" collapsed="false">
      <c r="G1395" s="41" t="str">
        <f aca="false">IF(E1395="","",IFERROR(IF(ISNUMBER(SEARCH(Assumptions!$C$5,E1395)),Assumptions!$D$5,IF(ISNUMBER(SEARCH(Assumptions!$C$6,E1395)),Assumptions!$D$6,IF(ISNUMBER(SEARCH(Assumptions!$C$7,E1395)),Assumptions!$D$7,"Other Services"))),"Other Services"))</f>
        <v/>
      </c>
    </row>
    <row r="1396" customFormat="false" ht="15" hidden="false" customHeight="false" outlineLevel="0" collapsed="false">
      <c r="G1396" s="41" t="str">
        <f aca="false">IF(E1396="","",IFERROR(IF(ISNUMBER(SEARCH(Assumptions!$C$5,E1396)),Assumptions!$D$5,IF(ISNUMBER(SEARCH(Assumptions!$C$6,E1396)),Assumptions!$D$6,IF(ISNUMBER(SEARCH(Assumptions!$C$7,E1396)),Assumptions!$D$7,"Other Services"))),"Other Services"))</f>
        <v/>
      </c>
    </row>
    <row r="1397" customFormat="false" ht="15" hidden="false" customHeight="false" outlineLevel="0" collapsed="false">
      <c r="G1397" s="41" t="str">
        <f aca="false">IF(E1397="","",IFERROR(IF(ISNUMBER(SEARCH(Assumptions!$C$5,E1397)),Assumptions!$D$5,IF(ISNUMBER(SEARCH(Assumptions!$C$6,E1397)),Assumptions!$D$6,IF(ISNUMBER(SEARCH(Assumptions!$C$7,E1397)),Assumptions!$D$7,"Other Services"))),"Other Services"))</f>
        <v/>
      </c>
    </row>
    <row r="1398" customFormat="false" ht="15" hidden="false" customHeight="false" outlineLevel="0" collapsed="false">
      <c r="G1398" s="41" t="str">
        <f aca="false">IF(E1398="","",IFERROR(IF(ISNUMBER(SEARCH(Assumptions!$C$5,E1398)),Assumptions!$D$5,IF(ISNUMBER(SEARCH(Assumptions!$C$6,E1398)),Assumptions!$D$6,IF(ISNUMBER(SEARCH(Assumptions!$C$7,E1398)),Assumptions!$D$7,"Other Services"))),"Other Services"))</f>
        <v/>
      </c>
    </row>
    <row r="1399" customFormat="false" ht="15" hidden="false" customHeight="false" outlineLevel="0" collapsed="false">
      <c r="G1399" s="41" t="str">
        <f aca="false">IF(E1399="","",IFERROR(IF(ISNUMBER(SEARCH(Assumptions!$C$5,E1399)),Assumptions!$D$5,IF(ISNUMBER(SEARCH(Assumptions!$C$6,E1399)),Assumptions!$D$6,IF(ISNUMBER(SEARCH(Assumptions!$C$7,E1399)),Assumptions!$D$7,"Other Services"))),"Other Services"))</f>
        <v/>
      </c>
    </row>
    <row r="1400" customFormat="false" ht="15" hidden="false" customHeight="false" outlineLevel="0" collapsed="false">
      <c r="G1400" s="41" t="str">
        <f aca="false">IF(E1400="","",IFERROR(IF(ISNUMBER(SEARCH(Assumptions!$C$5,E1400)),Assumptions!$D$5,IF(ISNUMBER(SEARCH(Assumptions!$C$6,E1400)),Assumptions!$D$6,IF(ISNUMBER(SEARCH(Assumptions!$C$7,E1400)),Assumptions!$D$7,"Other Services"))),"Other Services"))</f>
        <v/>
      </c>
    </row>
    <row r="1401" customFormat="false" ht="15" hidden="false" customHeight="false" outlineLevel="0" collapsed="false">
      <c r="G1401" s="41" t="str">
        <f aca="false">IF(E1401="","",IFERROR(IF(ISNUMBER(SEARCH(Assumptions!$C$5,E1401)),Assumptions!$D$5,IF(ISNUMBER(SEARCH(Assumptions!$C$6,E1401)),Assumptions!$D$6,IF(ISNUMBER(SEARCH(Assumptions!$C$7,E1401)),Assumptions!$D$7,"Other Services"))),"Other Services"))</f>
        <v/>
      </c>
    </row>
    <row r="1402" customFormat="false" ht="15" hidden="false" customHeight="false" outlineLevel="0" collapsed="false">
      <c r="G1402" s="41" t="str">
        <f aca="false">IF(E1402="","",IFERROR(IF(ISNUMBER(SEARCH(Assumptions!$C$5,E1402)),Assumptions!$D$5,IF(ISNUMBER(SEARCH(Assumptions!$C$6,E1402)),Assumptions!$D$6,IF(ISNUMBER(SEARCH(Assumptions!$C$7,E1402)),Assumptions!$D$7,"Other Services"))),"Other Services"))</f>
        <v/>
      </c>
    </row>
    <row r="1403" customFormat="false" ht="15" hidden="false" customHeight="false" outlineLevel="0" collapsed="false">
      <c r="G1403" s="41" t="str">
        <f aca="false">IF(E1403="","",IFERROR(IF(ISNUMBER(SEARCH(Assumptions!$C$5,E1403)),Assumptions!$D$5,IF(ISNUMBER(SEARCH(Assumptions!$C$6,E1403)),Assumptions!$D$6,IF(ISNUMBER(SEARCH(Assumptions!$C$7,E1403)),Assumptions!$D$7,"Other Services"))),"Other Services"))</f>
        <v/>
      </c>
    </row>
    <row r="1404" customFormat="false" ht="15" hidden="false" customHeight="false" outlineLevel="0" collapsed="false">
      <c r="G1404" s="41" t="str">
        <f aca="false">IF(E1404="","",IFERROR(IF(ISNUMBER(SEARCH(Assumptions!$C$5,E1404)),Assumptions!$D$5,IF(ISNUMBER(SEARCH(Assumptions!$C$6,E1404)),Assumptions!$D$6,IF(ISNUMBER(SEARCH(Assumptions!$C$7,E1404)),Assumptions!$D$7,"Other Services"))),"Other Services"))</f>
        <v/>
      </c>
    </row>
    <row r="1405" customFormat="false" ht="15" hidden="false" customHeight="false" outlineLevel="0" collapsed="false">
      <c r="G1405" s="41" t="str">
        <f aca="false">IF(E1405="","",IFERROR(IF(ISNUMBER(SEARCH(Assumptions!$C$5,E1405)),Assumptions!$D$5,IF(ISNUMBER(SEARCH(Assumptions!$C$6,E1405)),Assumptions!$D$6,IF(ISNUMBER(SEARCH(Assumptions!$C$7,E1405)),Assumptions!$D$7,"Other Services"))),"Other Services"))</f>
        <v/>
      </c>
    </row>
    <row r="1406" customFormat="false" ht="15" hidden="false" customHeight="false" outlineLevel="0" collapsed="false">
      <c r="G1406" s="41" t="str">
        <f aca="false">IF(E1406="","",IFERROR(IF(ISNUMBER(SEARCH(Assumptions!$C$5,E1406)),Assumptions!$D$5,IF(ISNUMBER(SEARCH(Assumptions!$C$6,E1406)),Assumptions!$D$6,IF(ISNUMBER(SEARCH(Assumptions!$C$7,E1406)),Assumptions!$D$7,"Other Services"))),"Other Services"))</f>
        <v/>
      </c>
    </row>
    <row r="1407" customFormat="false" ht="15" hidden="false" customHeight="false" outlineLevel="0" collapsed="false">
      <c r="G1407" s="41" t="str">
        <f aca="false">IF(E1407="","",IFERROR(IF(ISNUMBER(SEARCH(Assumptions!$C$5,E1407)),Assumptions!$D$5,IF(ISNUMBER(SEARCH(Assumptions!$C$6,E1407)),Assumptions!$D$6,IF(ISNUMBER(SEARCH(Assumptions!$C$7,E1407)),Assumptions!$D$7,"Other Services"))),"Other Services"))</f>
        <v/>
      </c>
    </row>
    <row r="1408" customFormat="false" ht="15" hidden="false" customHeight="false" outlineLevel="0" collapsed="false">
      <c r="G1408" s="41" t="str">
        <f aca="false">IF(E1408="","",IFERROR(IF(ISNUMBER(SEARCH(Assumptions!$C$5,E1408)),Assumptions!$D$5,IF(ISNUMBER(SEARCH(Assumptions!$C$6,E1408)),Assumptions!$D$6,IF(ISNUMBER(SEARCH(Assumptions!$C$7,E1408)),Assumptions!$D$7,"Other Services"))),"Other Services"))</f>
        <v/>
      </c>
    </row>
    <row r="1409" customFormat="false" ht="15" hidden="false" customHeight="false" outlineLevel="0" collapsed="false">
      <c r="G1409" s="41" t="str">
        <f aca="false">IF(E1409="","",IFERROR(IF(ISNUMBER(SEARCH(Assumptions!$C$5,E1409)),Assumptions!$D$5,IF(ISNUMBER(SEARCH(Assumptions!$C$6,E1409)),Assumptions!$D$6,IF(ISNUMBER(SEARCH(Assumptions!$C$7,E1409)),Assumptions!$D$7,"Other Services"))),"Other Services"))</f>
        <v/>
      </c>
    </row>
    <row r="1410" customFormat="false" ht="15" hidden="false" customHeight="false" outlineLevel="0" collapsed="false">
      <c r="G1410" s="41" t="str">
        <f aca="false">IF(E1410="","",IFERROR(IF(ISNUMBER(SEARCH(Assumptions!$C$5,E1410)),Assumptions!$D$5,IF(ISNUMBER(SEARCH(Assumptions!$C$6,E1410)),Assumptions!$D$6,IF(ISNUMBER(SEARCH(Assumptions!$C$7,E1410)),Assumptions!$D$7,"Other Services"))),"Other Services"))</f>
        <v/>
      </c>
    </row>
    <row r="1411" customFormat="false" ht="15" hidden="false" customHeight="false" outlineLevel="0" collapsed="false">
      <c r="G1411" s="41" t="str">
        <f aca="false">IF(E1411="","",IFERROR(IF(ISNUMBER(SEARCH(Assumptions!$C$5,E1411)),Assumptions!$D$5,IF(ISNUMBER(SEARCH(Assumptions!$C$6,E1411)),Assumptions!$D$6,IF(ISNUMBER(SEARCH(Assumptions!$C$7,E1411)),Assumptions!$D$7,"Other Services"))),"Other Services"))</f>
        <v/>
      </c>
    </row>
    <row r="1412" customFormat="false" ht="15" hidden="false" customHeight="false" outlineLevel="0" collapsed="false">
      <c r="G1412" s="41" t="str">
        <f aca="false">IF(E1412="","",IFERROR(IF(ISNUMBER(SEARCH(Assumptions!$C$5,E1412)),Assumptions!$D$5,IF(ISNUMBER(SEARCH(Assumptions!$C$6,E1412)),Assumptions!$D$6,IF(ISNUMBER(SEARCH(Assumptions!$C$7,E1412)),Assumptions!$D$7,"Other Services"))),"Other Services"))</f>
        <v/>
      </c>
    </row>
    <row r="1413" customFormat="false" ht="15" hidden="false" customHeight="false" outlineLevel="0" collapsed="false">
      <c r="G1413" s="41" t="str">
        <f aca="false">IF(E1413="","",IFERROR(IF(ISNUMBER(SEARCH(Assumptions!$C$5,E1413)),Assumptions!$D$5,IF(ISNUMBER(SEARCH(Assumptions!$C$6,E1413)),Assumptions!$D$6,IF(ISNUMBER(SEARCH(Assumptions!$C$7,E1413)),Assumptions!$D$7,"Other Services"))),"Other Services"))</f>
        <v/>
      </c>
    </row>
    <row r="1414" customFormat="false" ht="15" hidden="false" customHeight="false" outlineLevel="0" collapsed="false">
      <c r="G1414" s="41" t="str">
        <f aca="false">IF(E1414="","",IFERROR(IF(ISNUMBER(SEARCH(Assumptions!$C$5,E1414)),Assumptions!$D$5,IF(ISNUMBER(SEARCH(Assumptions!$C$6,E1414)),Assumptions!$D$6,IF(ISNUMBER(SEARCH(Assumptions!$C$7,E1414)),Assumptions!$D$7,"Other Services"))),"Other Services"))</f>
        <v/>
      </c>
    </row>
    <row r="1415" customFormat="false" ht="15" hidden="false" customHeight="false" outlineLevel="0" collapsed="false">
      <c r="G1415" s="41" t="str">
        <f aca="false">IF(E1415="","",IFERROR(IF(ISNUMBER(SEARCH(Assumptions!$C$5,E1415)),Assumptions!$D$5,IF(ISNUMBER(SEARCH(Assumptions!$C$6,E1415)),Assumptions!$D$6,IF(ISNUMBER(SEARCH(Assumptions!$C$7,E1415)),Assumptions!$D$7,"Other Services"))),"Other Services"))</f>
        <v/>
      </c>
    </row>
    <row r="1416" customFormat="false" ht="15" hidden="false" customHeight="false" outlineLevel="0" collapsed="false">
      <c r="G1416" s="41" t="str">
        <f aca="false">IF(E1416="","",IFERROR(IF(ISNUMBER(SEARCH(Assumptions!$C$5,E1416)),Assumptions!$D$5,IF(ISNUMBER(SEARCH(Assumptions!$C$6,E1416)),Assumptions!$D$6,IF(ISNUMBER(SEARCH(Assumptions!$C$7,E1416)),Assumptions!$D$7,"Other Services"))),"Other Services"))</f>
        <v/>
      </c>
    </row>
    <row r="1417" customFormat="false" ht="15" hidden="false" customHeight="false" outlineLevel="0" collapsed="false">
      <c r="G1417" s="41" t="str">
        <f aca="false">IF(E1417="","",IFERROR(IF(ISNUMBER(SEARCH(Assumptions!$C$5,E1417)),Assumptions!$D$5,IF(ISNUMBER(SEARCH(Assumptions!$C$6,E1417)),Assumptions!$D$6,IF(ISNUMBER(SEARCH(Assumptions!$C$7,E1417)),Assumptions!$D$7,"Other Services"))),"Other Services"))</f>
        <v/>
      </c>
    </row>
    <row r="1418" customFormat="false" ht="15" hidden="false" customHeight="false" outlineLevel="0" collapsed="false">
      <c r="G1418" s="41" t="str">
        <f aca="false">IF(E1418="","",IFERROR(IF(ISNUMBER(SEARCH(Assumptions!$C$5,E1418)),Assumptions!$D$5,IF(ISNUMBER(SEARCH(Assumptions!$C$6,E1418)),Assumptions!$D$6,IF(ISNUMBER(SEARCH(Assumptions!$C$7,E1418)),Assumptions!$D$7,"Other Services"))),"Other Services"))</f>
        <v/>
      </c>
    </row>
    <row r="1419" customFormat="false" ht="15" hidden="false" customHeight="false" outlineLevel="0" collapsed="false">
      <c r="G1419" s="41" t="str">
        <f aca="false">IF(E1419="","",IFERROR(IF(ISNUMBER(SEARCH(Assumptions!$C$5,E1419)),Assumptions!$D$5,IF(ISNUMBER(SEARCH(Assumptions!$C$6,E1419)),Assumptions!$D$6,IF(ISNUMBER(SEARCH(Assumptions!$C$7,E1419)),Assumptions!$D$7,"Other Services"))),"Other Services"))</f>
        <v/>
      </c>
    </row>
    <row r="1420" customFormat="false" ht="15" hidden="false" customHeight="false" outlineLevel="0" collapsed="false">
      <c r="G1420" s="41" t="str">
        <f aca="false">IF(E1420="","",IFERROR(IF(ISNUMBER(SEARCH(Assumptions!$C$5,E1420)),Assumptions!$D$5,IF(ISNUMBER(SEARCH(Assumptions!$C$6,E1420)),Assumptions!$D$6,IF(ISNUMBER(SEARCH(Assumptions!$C$7,E1420)),Assumptions!$D$7,"Other Services"))),"Other Services"))</f>
        <v/>
      </c>
    </row>
    <row r="1421" customFormat="false" ht="15" hidden="false" customHeight="false" outlineLevel="0" collapsed="false">
      <c r="G1421" s="41" t="str">
        <f aca="false">IF(E1421="","",IFERROR(IF(ISNUMBER(SEARCH(Assumptions!$C$5,E1421)),Assumptions!$D$5,IF(ISNUMBER(SEARCH(Assumptions!$C$6,E1421)),Assumptions!$D$6,IF(ISNUMBER(SEARCH(Assumptions!$C$7,E1421)),Assumptions!$D$7,"Other Services"))),"Other Services"))</f>
        <v/>
      </c>
    </row>
    <row r="1422" customFormat="false" ht="15" hidden="false" customHeight="false" outlineLevel="0" collapsed="false">
      <c r="G1422" s="41" t="str">
        <f aca="false">IF(E1422="","",IFERROR(IF(ISNUMBER(SEARCH(Assumptions!$C$5,E1422)),Assumptions!$D$5,IF(ISNUMBER(SEARCH(Assumptions!$C$6,E1422)),Assumptions!$D$6,IF(ISNUMBER(SEARCH(Assumptions!$C$7,E1422)),Assumptions!$D$7,"Other Services"))),"Other Services"))</f>
        <v/>
      </c>
    </row>
    <row r="1423" customFormat="false" ht="15" hidden="false" customHeight="false" outlineLevel="0" collapsed="false">
      <c r="G1423" s="41" t="str">
        <f aca="false">IF(E1423="","",IFERROR(IF(ISNUMBER(SEARCH(Assumptions!$C$5,E1423)),Assumptions!$D$5,IF(ISNUMBER(SEARCH(Assumptions!$C$6,E1423)),Assumptions!$D$6,IF(ISNUMBER(SEARCH(Assumptions!$C$7,E1423)),Assumptions!$D$7,"Other Services"))),"Other Services"))</f>
        <v/>
      </c>
    </row>
    <row r="1424" customFormat="false" ht="15" hidden="false" customHeight="false" outlineLevel="0" collapsed="false">
      <c r="G1424" s="41" t="str">
        <f aca="false">IF(E1424="","",IFERROR(IF(ISNUMBER(SEARCH(Assumptions!$C$5,E1424)),Assumptions!$D$5,IF(ISNUMBER(SEARCH(Assumptions!$C$6,E1424)),Assumptions!$D$6,IF(ISNUMBER(SEARCH(Assumptions!$C$7,E1424)),Assumptions!$D$7,"Other Services"))),"Other Services"))</f>
        <v/>
      </c>
    </row>
    <row r="1425" customFormat="false" ht="15" hidden="false" customHeight="false" outlineLevel="0" collapsed="false">
      <c r="G1425" s="41" t="str">
        <f aca="false">IF(E1425="","",IFERROR(IF(ISNUMBER(SEARCH(Assumptions!$C$5,E1425)),Assumptions!$D$5,IF(ISNUMBER(SEARCH(Assumptions!$C$6,E1425)),Assumptions!$D$6,IF(ISNUMBER(SEARCH(Assumptions!$C$7,E1425)),Assumptions!$D$7,"Other Services"))),"Other Services"))</f>
        <v/>
      </c>
    </row>
    <row r="1426" customFormat="false" ht="15" hidden="false" customHeight="false" outlineLevel="0" collapsed="false">
      <c r="G1426" s="41" t="str">
        <f aca="false">IF(E1426="","",IFERROR(IF(ISNUMBER(SEARCH(Assumptions!$C$5,E1426)),Assumptions!$D$5,IF(ISNUMBER(SEARCH(Assumptions!$C$6,E1426)),Assumptions!$D$6,IF(ISNUMBER(SEARCH(Assumptions!$C$7,E1426)),Assumptions!$D$7,"Other Services"))),"Other Services"))</f>
        <v/>
      </c>
    </row>
    <row r="1427" customFormat="false" ht="15" hidden="false" customHeight="false" outlineLevel="0" collapsed="false">
      <c r="G1427" s="41" t="str">
        <f aca="false">IF(E1427="","",IFERROR(IF(ISNUMBER(SEARCH(Assumptions!$C$5,E1427)),Assumptions!$D$5,IF(ISNUMBER(SEARCH(Assumptions!$C$6,E1427)),Assumptions!$D$6,IF(ISNUMBER(SEARCH(Assumptions!$C$7,E1427)),Assumptions!$D$7,"Other Services"))),"Other Services"))</f>
        <v/>
      </c>
    </row>
    <row r="1428" customFormat="false" ht="15" hidden="false" customHeight="false" outlineLevel="0" collapsed="false">
      <c r="G1428" s="41" t="str">
        <f aca="false">IF(E1428="","",IFERROR(IF(ISNUMBER(SEARCH(Assumptions!$C$5,E1428)),Assumptions!$D$5,IF(ISNUMBER(SEARCH(Assumptions!$C$6,E1428)),Assumptions!$D$6,IF(ISNUMBER(SEARCH(Assumptions!$C$7,E1428)),Assumptions!$D$7,"Other Services"))),"Other Services"))</f>
        <v/>
      </c>
    </row>
    <row r="1429" customFormat="false" ht="15" hidden="false" customHeight="false" outlineLevel="0" collapsed="false">
      <c r="G1429" s="41" t="str">
        <f aca="false">IF(E1429="","",IFERROR(IF(ISNUMBER(SEARCH(Assumptions!$C$5,E1429)),Assumptions!$D$5,IF(ISNUMBER(SEARCH(Assumptions!$C$6,E1429)),Assumptions!$D$6,IF(ISNUMBER(SEARCH(Assumptions!$C$7,E1429)),Assumptions!$D$7,"Other Services"))),"Other Services"))</f>
        <v/>
      </c>
    </row>
    <row r="1430" customFormat="false" ht="15" hidden="false" customHeight="false" outlineLevel="0" collapsed="false">
      <c r="G1430" s="41" t="str">
        <f aca="false">IF(E1430="","",IFERROR(IF(ISNUMBER(SEARCH(Assumptions!$C$5,E1430)),Assumptions!$D$5,IF(ISNUMBER(SEARCH(Assumptions!$C$6,E1430)),Assumptions!$D$6,IF(ISNUMBER(SEARCH(Assumptions!$C$7,E1430)),Assumptions!$D$7,"Other Services"))),"Other Services"))</f>
        <v/>
      </c>
    </row>
    <row r="1431" customFormat="false" ht="15" hidden="false" customHeight="false" outlineLevel="0" collapsed="false">
      <c r="G1431" s="41" t="str">
        <f aca="false">IF(E1431="","",IFERROR(IF(ISNUMBER(SEARCH(Assumptions!$C$5,E1431)),Assumptions!$D$5,IF(ISNUMBER(SEARCH(Assumptions!$C$6,E1431)),Assumptions!$D$6,IF(ISNUMBER(SEARCH(Assumptions!$C$7,E1431)),Assumptions!$D$7,"Other Services"))),"Other Services"))</f>
        <v/>
      </c>
    </row>
    <row r="1432" customFormat="false" ht="15" hidden="false" customHeight="false" outlineLevel="0" collapsed="false">
      <c r="G1432" s="41" t="str">
        <f aca="false">IF(E1432="","",IFERROR(IF(ISNUMBER(SEARCH(Assumptions!$C$5,E1432)),Assumptions!$D$5,IF(ISNUMBER(SEARCH(Assumptions!$C$6,E1432)),Assumptions!$D$6,IF(ISNUMBER(SEARCH(Assumptions!$C$7,E1432)),Assumptions!$D$7,"Other Services"))),"Other Services"))</f>
        <v/>
      </c>
    </row>
    <row r="1433" customFormat="false" ht="15" hidden="false" customHeight="false" outlineLevel="0" collapsed="false">
      <c r="G1433" s="41" t="str">
        <f aca="false">IF(E1433="","",IFERROR(IF(ISNUMBER(SEARCH(Assumptions!$C$5,E1433)),Assumptions!$D$5,IF(ISNUMBER(SEARCH(Assumptions!$C$6,E1433)),Assumptions!$D$6,IF(ISNUMBER(SEARCH(Assumptions!$C$7,E1433)),Assumptions!$D$7,"Other Services"))),"Other Services"))</f>
        <v/>
      </c>
    </row>
    <row r="1434" customFormat="false" ht="15" hidden="false" customHeight="false" outlineLevel="0" collapsed="false">
      <c r="G1434" s="41" t="str">
        <f aca="false">IF(E1434="","",IFERROR(IF(ISNUMBER(SEARCH(Assumptions!$C$5,E1434)),Assumptions!$D$5,IF(ISNUMBER(SEARCH(Assumptions!$C$6,E1434)),Assumptions!$D$6,IF(ISNUMBER(SEARCH(Assumptions!$C$7,E1434)),Assumptions!$D$7,"Other Services"))),"Other Services"))</f>
        <v/>
      </c>
    </row>
    <row r="1435" customFormat="false" ht="15" hidden="false" customHeight="false" outlineLevel="0" collapsed="false">
      <c r="G1435" s="41" t="str">
        <f aca="false">IF(E1435="","",IFERROR(IF(ISNUMBER(SEARCH(Assumptions!$C$5,E1435)),Assumptions!$D$5,IF(ISNUMBER(SEARCH(Assumptions!$C$6,E1435)),Assumptions!$D$6,IF(ISNUMBER(SEARCH(Assumptions!$C$7,E1435)),Assumptions!$D$7,"Other Services"))),"Other Services"))</f>
        <v/>
      </c>
    </row>
    <row r="1436" customFormat="false" ht="15" hidden="false" customHeight="false" outlineLevel="0" collapsed="false">
      <c r="G1436" s="41" t="str">
        <f aca="false">IF(E1436="","",IFERROR(IF(ISNUMBER(SEARCH(Assumptions!$C$5,E1436)),Assumptions!$D$5,IF(ISNUMBER(SEARCH(Assumptions!$C$6,E1436)),Assumptions!$D$6,IF(ISNUMBER(SEARCH(Assumptions!$C$7,E1436)),Assumptions!$D$7,"Other Services"))),"Other Services"))</f>
        <v/>
      </c>
    </row>
    <row r="1437" customFormat="false" ht="15" hidden="false" customHeight="false" outlineLevel="0" collapsed="false">
      <c r="G1437" s="41" t="str">
        <f aca="false">IF(E1437="","",IFERROR(IF(ISNUMBER(SEARCH(Assumptions!$C$5,E1437)),Assumptions!$D$5,IF(ISNUMBER(SEARCH(Assumptions!$C$6,E1437)),Assumptions!$D$6,IF(ISNUMBER(SEARCH(Assumptions!$C$7,E1437)),Assumptions!$D$7,"Other Services"))),"Other Services"))</f>
        <v/>
      </c>
    </row>
    <row r="1438" customFormat="false" ht="15" hidden="false" customHeight="false" outlineLevel="0" collapsed="false">
      <c r="G1438" s="41" t="str">
        <f aca="false">IF(E1438="","",IFERROR(IF(ISNUMBER(SEARCH(Assumptions!$C$5,E1438)),Assumptions!$D$5,IF(ISNUMBER(SEARCH(Assumptions!$C$6,E1438)),Assumptions!$D$6,IF(ISNUMBER(SEARCH(Assumptions!$C$7,E1438)),Assumptions!$D$7,"Other Services"))),"Other Services"))</f>
        <v/>
      </c>
    </row>
    <row r="1439" customFormat="false" ht="15" hidden="false" customHeight="false" outlineLevel="0" collapsed="false">
      <c r="G1439" s="41" t="str">
        <f aca="false">IF(E1439="","",IFERROR(IF(ISNUMBER(SEARCH(Assumptions!$C$5,E1439)),Assumptions!$D$5,IF(ISNUMBER(SEARCH(Assumptions!$C$6,E1439)),Assumptions!$D$6,IF(ISNUMBER(SEARCH(Assumptions!$C$7,E1439)),Assumptions!$D$7,"Other Services"))),"Other Services"))</f>
        <v/>
      </c>
    </row>
    <row r="1440" customFormat="false" ht="15" hidden="false" customHeight="false" outlineLevel="0" collapsed="false">
      <c r="G1440" s="41" t="str">
        <f aca="false">IF(E1440="","",IFERROR(IF(ISNUMBER(SEARCH(Assumptions!$C$5,E1440)),Assumptions!$D$5,IF(ISNUMBER(SEARCH(Assumptions!$C$6,E1440)),Assumptions!$D$6,IF(ISNUMBER(SEARCH(Assumptions!$C$7,E1440)),Assumptions!$D$7,"Other Services"))),"Other Services"))</f>
        <v/>
      </c>
    </row>
    <row r="1441" customFormat="false" ht="15" hidden="false" customHeight="false" outlineLevel="0" collapsed="false">
      <c r="G1441" s="41" t="str">
        <f aca="false">IF(E1441="","",IFERROR(IF(ISNUMBER(SEARCH(Assumptions!$C$5,E1441)),Assumptions!$D$5,IF(ISNUMBER(SEARCH(Assumptions!$C$6,E1441)),Assumptions!$D$6,IF(ISNUMBER(SEARCH(Assumptions!$C$7,E1441)),Assumptions!$D$7,"Other Services"))),"Other Services"))</f>
        <v/>
      </c>
    </row>
    <row r="1442" customFormat="false" ht="15" hidden="false" customHeight="false" outlineLevel="0" collapsed="false">
      <c r="G1442" s="41" t="str">
        <f aca="false">IF(E1442="","",IFERROR(IF(ISNUMBER(SEARCH(Assumptions!$C$5,E1442)),Assumptions!$D$5,IF(ISNUMBER(SEARCH(Assumptions!$C$6,E1442)),Assumptions!$D$6,IF(ISNUMBER(SEARCH(Assumptions!$C$7,E1442)),Assumptions!$D$7,"Other Services"))),"Other Services"))</f>
        <v/>
      </c>
    </row>
    <row r="1443" customFormat="false" ht="15" hidden="false" customHeight="false" outlineLevel="0" collapsed="false">
      <c r="G1443" s="41" t="str">
        <f aca="false">IF(E1443="","",IFERROR(IF(ISNUMBER(SEARCH(Assumptions!$C$5,E1443)),Assumptions!$D$5,IF(ISNUMBER(SEARCH(Assumptions!$C$6,E1443)),Assumptions!$D$6,IF(ISNUMBER(SEARCH(Assumptions!$C$7,E1443)),Assumptions!$D$7,"Other Services"))),"Other Services"))</f>
        <v/>
      </c>
    </row>
    <row r="1444" customFormat="false" ht="15" hidden="false" customHeight="false" outlineLevel="0" collapsed="false">
      <c r="G1444" s="41" t="str">
        <f aca="false">IF(E1444="","",IFERROR(IF(ISNUMBER(SEARCH(Assumptions!$C$5,E1444)),Assumptions!$D$5,IF(ISNUMBER(SEARCH(Assumptions!$C$6,E1444)),Assumptions!$D$6,IF(ISNUMBER(SEARCH(Assumptions!$C$7,E1444)),Assumptions!$D$7,"Other Services"))),"Other Services"))</f>
        <v/>
      </c>
    </row>
    <row r="1445" customFormat="false" ht="15" hidden="false" customHeight="false" outlineLevel="0" collapsed="false">
      <c r="G1445" s="41" t="str">
        <f aca="false">IF(E1445="","",IFERROR(IF(ISNUMBER(SEARCH(Assumptions!$C$5,E1445)),Assumptions!$D$5,IF(ISNUMBER(SEARCH(Assumptions!$C$6,E1445)),Assumptions!$D$6,IF(ISNUMBER(SEARCH(Assumptions!$C$7,E1445)),Assumptions!$D$7,"Other Services"))),"Other Services"))</f>
        <v/>
      </c>
    </row>
    <row r="1446" customFormat="false" ht="15" hidden="false" customHeight="false" outlineLevel="0" collapsed="false">
      <c r="G1446" s="41" t="str">
        <f aca="false">IF(E1446="","",IFERROR(IF(ISNUMBER(SEARCH(Assumptions!$C$5,E1446)),Assumptions!$D$5,IF(ISNUMBER(SEARCH(Assumptions!$C$6,E1446)),Assumptions!$D$6,IF(ISNUMBER(SEARCH(Assumptions!$C$7,E1446)),Assumptions!$D$7,"Other Services"))),"Other Services"))</f>
        <v/>
      </c>
    </row>
    <row r="1447" customFormat="false" ht="15" hidden="false" customHeight="false" outlineLevel="0" collapsed="false">
      <c r="G1447" s="41" t="str">
        <f aca="false">IF(E1447="","",IFERROR(IF(ISNUMBER(SEARCH(Assumptions!$C$5,E1447)),Assumptions!$D$5,IF(ISNUMBER(SEARCH(Assumptions!$C$6,E1447)),Assumptions!$D$6,IF(ISNUMBER(SEARCH(Assumptions!$C$7,E1447)),Assumptions!$D$7,"Other Services"))),"Other Services"))</f>
        <v/>
      </c>
    </row>
    <row r="1448" customFormat="false" ht="15" hidden="false" customHeight="false" outlineLevel="0" collapsed="false">
      <c r="G1448" s="41" t="str">
        <f aca="false">IF(E1448="","",IFERROR(IF(ISNUMBER(SEARCH(Assumptions!$C$5,E1448)),Assumptions!$D$5,IF(ISNUMBER(SEARCH(Assumptions!$C$6,E1448)),Assumptions!$D$6,IF(ISNUMBER(SEARCH(Assumptions!$C$7,E1448)),Assumptions!$D$7,"Other Services"))),"Other Services"))</f>
        <v/>
      </c>
    </row>
    <row r="1449" customFormat="false" ht="15" hidden="false" customHeight="false" outlineLevel="0" collapsed="false">
      <c r="G1449" s="41" t="str">
        <f aca="false">IF(E1449="","",IFERROR(IF(ISNUMBER(SEARCH(Assumptions!$C$5,E1449)),Assumptions!$D$5,IF(ISNUMBER(SEARCH(Assumptions!$C$6,E1449)),Assumptions!$D$6,IF(ISNUMBER(SEARCH(Assumptions!$C$7,E1449)),Assumptions!$D$7,"Other Services"))),"Other Services"))</f>
        <v/>
      </c>
    </row>
    <row r="1450" customFormat="false" ht="15" hidden="false" customHeight="false" outlineLevel="0" collapsed="false">
      <c r="G1450" s="41" t="str">
        <f aca="false">IF(E1450="","",IFERROR(IF(ISNUMBER(SEARCH(Assumptions!$C$5,E1450)),Assumptions!$D$5,IF(ISNUMBER(SEARCH(Assumptions!$C$6,E1450)),Assumptions!$D$6,IF(ISNUMBER(SEARCH(Assumptions!$C$7,E1450)),Assumptions!$D$7,"Other Services"))),"Other Services"))</f>
        <v/>
      </c>
    </row>
    <row r="1451" customFormat="false" ht="15" hidden="false" customHeight="false" outlineLevel="0" collapsed="false">
      <c r="G1451" s="41" t="str">
        <f aca="false">IF(E1451="","",IFERROR(IF(ISNUMBER(SEARCH(Assumptions!$C$5,E1451)),Assumptions!$D$5,IF(ISNUMBER(SEARCH(Assumptions!$C$6,E1451)),Assumptions!$D$6,IF(ISNUMBER(SEARCH(Assumptions!$C$7,E1451)),Assumptions!$D$7,"Other Services"))),"Other Services"))</f>
        <v/>
      </c>
    </row>
    <row r="1452" customFormat="false" ht="15" hidden="false" customHeight="false" outlineLevel="0" collapsed="false">
      <c r="G1452" s="41" t="str">
        <f aca="false">IF(E1452="","",IFERROR(IF(ISNUMBER(SEARCH(Assumptions!$C$5,E1452)),Assumptions!$D$5,IF(ISNUMBER(SEARCH(Assumptions!$C$6,E1452)),Assumptions!$D$6,IF(ISNUMBER(SEARCH(Assumptions!$C$7,E1452)),Assumptions!$D$7,"Other Services"))),"Other Services"))</f>
        <v/>
      </c>
    </row>
    <row r="1453" customFormat="false" ht="15" hidden="false" customHeight="false" outlineLevel="0" collapsed="false">
      <c r="G1453" s="41" t="str">
        <f aca="false">IF(E1453="","",IFERROR(IF(ISNUMBER(SEARCH(Assumptions!$C$5,E1453)),Assumptions!$D$5,IF(ISNUMBER(SEARCH(Assumptions!$C$6,E1453)),Assumptions!$D$6,IF(ISNUMBER(SEARCH(Assumptions!$C$7,E1453)),Assumptions!$D$7,"Other Services"))),"Other Services"))</f>
        <v/>
      </c>
    </row>
    <row r="1454" customFormat="false" ht="15" hidden="false" customHeight="false" outlineLevel="0" collapsed="false">
      <c r="G1454" s="41" t="str">
        <f aca="false">IF(E1454="","",IFERROR(IF(ISNUMBER(SEARCH(Assumptions!$C$5,E1454)),Assumptions!$D$5,IF(ISNUMBER(SEARCH(Assumptions!$C$6,E1454)),Assumptions!$D$6,IF(ISNUMBER(SEARCH(Assumptions!$C$7,E1454)),Assumptions!$D$7,"Other Services"))),"Other Services"))</f>
        <v/>
      </c>
    </row>
    <row r="1455" customFormat="false" ht="15" hidden="false" customHeight="false" outlineLevel="0" collapsed="false">
      <c r="G1455" s="41" t="str">
        <f aca="false">IF(E1455="","",IFERROR(IF(ISNUMBER(SEARCH(Assumptions!$C$5,E1455)),Assumptions!$D$5,IF(ISNUMBER(SEARCH(Assumptions!$C$6,E1455)),Assumptions!$D$6,IF(ISNUMBER(SEARCH(Assumptions!$C$7,E1455)),Assumptions!$D$7,"Other Services"))),"Other Services"))</f>
        <v/>
      </c>
    </row>
    <row r="1456" customFormat="false" ht="15" hidden="false" customHeight="false" outlineLevel="0" collapsed="false">
      <c r="G1456" s="41" t="str">
        <f aca="false">IF(E1456="","",IFERROR(IF(ISNUMBER(SEARCH(Assumptions!$C$5,E1456)),Assumptions!$D$5,IF(ISNUMBER(SEARCH(Assumptions!$C$6,E1456)),Assumptions!$D$6,IF(ISNUMBER(SEARCH(Assumptions!$C$7,E1456)),Assumptions!$D$7,"Other Services"))),"Other Services"))</f>
        <v/>
      </c>
    </row>
    <row r="1457" customFormat="false" ht="15" hidden="false" customHeight="false" outlineLevel="0" collapsed="false">
      <c r="G1457" s="41" t="str">
        <f aca="false">IF(E1457="","",IFERROR(IF(ISNUMBER(SEARCH(Assumptions!$C$5,E1457)),Assumptions!$D$5,IF(ISNUMBER(SEARCH(Assumptions!$C$6,E1457)),Assumptions!$D$6,IF(ISNUMBER(SEARCH(Assumptions!$C$7,E1457)),Assumptions!$D$7,"Other Services"))),"Other Services"))</f>
        <v/>
      </c>
    </row>
    <row r="1458" customFormat="false" ht="15" hidden="false" customHeight="false" outlineLevel="0" collapsed="false">
      <c r="G1458" s="41" t="str">
        <f aca="false">IF(E1458="","",IFERROR(IF(ISNUMBER(SEARCH(Assumptions!$C$5,E1458)),Assumptions!$D$5,IF(ISNUMBER(SEARCH(Assumptions!$C$6,E1458)),Assumptions!$D$6,IF(ISNUMBER(SEARCH(Assumptions!$C$7,E1458)),Assumptions!$D$7,"Other Services"))),"Other Services"))</f>
        <v/>
      </c>
    </row>
    <row r="1459" customFormat="false" ht="15" hidden="false" customHeight="false" outlineLevel="0" collapsed="false">
      <c r="G1459" s="41" t="str">
        <f aca="false">IF(E1459="","",IFERROR(IF(ISNUMBER(SEARCH(Assumptions!$C$5,E1459)),Assumptions!$D$5,IF(ISNUMBER(SEARCH(Assumptions!$C$6,E1459)),Assumptions!$D$6,IF(ISNUMBER(SEARCH(Assumptions!$C$7,E1459)),Assumptions!$D$7,"Other Services"))),"Other Services"))</f>
        <v/>
      </c>
    </row>
    <row r="1460" customFormat="false" ht="15" hidden="false" customHeight="false" outlineLevel="0" collapsed="false">
      <c r="G1460" s="41" t="str">
        <f aca="false">IF(E1460="","",IFERROR(IF(ISNUMBER(SEARCH(Assumptions!$C$5,E1460)),Assumptions!$D$5,IF(ISNUMBER(SEARCH(Assumptions!$C$6,E1460)),Assumptions!$D$6,IF(ISNUMBER(SEARCH(Assumptions!$C$7,E1460)),Assumptions!$D$7,"Other Services"))),"Other Services"))</f>
        <v/>
      </c>
    </row>
    <row r="1461" customFormat="false" ht="15" hidden="false" customHeight="false" outlineLevel="0" collapsed="false">
      <c r="G1461" s="41" t="str">
        <f aca="false">IF(E1461="","",IFERROR(IF(ISNUMBER(SEARCH(Assumptions!$C$5,E1461)),Assumptions!$D$5,IF(ISNUMBER(SEARCH(Assumptions!$C$6,E1461)),Assumptions!$D$6,IF(ISNUMBER(SEARCH(Assumptions!$C$7,E1461)),Assumptions!$D$7,"Other Services"))),"Other Services"))</f>
        <v/>
      </c>
    </row>
    <row r="1462" customFormat="false" ht="15" hidden="false" customHeight="false" outlineLevel="0" collapsed="false">
      <c r="G1462" s="41" t="str">
        <f aca="false">IF(E1462="","",IFERROR(IF(ISNUMBER(SEARCH(Assumptions!$C$5,E1462)),Assumptions!$D$5,IF(ISNUMBER(SEARCH(Assumptions!$C$6,E1462)),Assumptions!$D$6,IF(ISNUMBER(SEARCH(Assumptions!$C$7,E1462)),Assumptions!$D$7,"Other Services"))),"Other Services"))</f>
        <v/>
      </c>
    </row>
    <row r="1463" customFormat="false" ht="15" hidden="false" customHeight="false" outlineLevel="0" collapsed="false">
      <c r="G1463" s="41" t="str">
        <f aca="false">IF(E1463="","",IFERROR(IF(ISNUMBER(SEARCH(Assumptions!$C$5,E1463)),Assumptions!$D$5,IF(ISNUMBER(SEARCH(Assumptions!$C$6,E1463)),Assumptions!$D$6,IF(ISNUMBER(SEARCH(Assumptions!$C$7,E1463)),Assumptions!$D$7,"Other Services"))),"Other Services"))</f>
        <v/>
      </c>
    </row>
    <row r="1464" customFormat="false" ht="15" hidden="false" customHeight="false" outlineLevel="0" collapsed="false">
      <c r="G1464" s="41" t="str">
        <f aca="false">IF(E1464="","",IFERROR(IF(ISNUMBER(SEARCH(Assumptions!$C$5,E1464)),Assumptions!$D$5,IF(ISNUMBER(SEARCH(Assumptions!$C$6,E1464)),Assumptions!$D$6,IF(ISNUMBER(SEARCH(Assumptions!$C$7,E1464)),Assumptions!$D$7,"Other Services"))),"Other Services"))</f>
        <v/>
      </c>
    </row>
    <row r="1465" customFormat="false" ht="15" hidden="false" customHeight="false" outlineLevel="0" collapsed="false">
      <c r="G1465" s="41" t="str">
        <f aca="false">IF(E1465="","",IFERROR(IF(ISNUMBER(SEARCH(Assumptions!$C$5,E1465)),Assumptions!$D$5,IF(ISNUMBER(SEARCH(Assumptions!$C$6,E1465)),Assumptions!$D$6,IF(ISNUMBER(SEARCH(Assumptions!$C$7,E1465)),Assumptions!$D$7,"Other Services"))),"Other Services"))</f>
        <v/>
      </c>
    </row>
    <row r="1466" customFormat="false" ht="15" hidden="false" customHeight="false" outlineLevel="0" collapsed="false">
      <c r="G1466" s="41" t="str">
        <f aca="false">IF(E1466="","",IFERROR(IF(ISNUMBER(SEARCH(Assumptions!$C$5,E1466)),Assumptions!$D$5,IF(ISNUMBER(SEARCH(Assumptions!$C$6,E1466)),Assumptions!$D$6,IF(ISNUMBER(SEARCH(Assumptions!$C$7,E1466)),Assumptions!$D$7,"Other Services"))),"Other Services"))</f>
        <v/>
      </c>
    </row>
    <row r="1467" customFormat="false" ht="15" hidden="false" customHeight="false" outlineLevel="0" collapsed="false">
      <c r="G1467" s="41" t="str">
        <f aca="false">IF(E1467="","",IFERROR(IF(ISNUMBER(SEARCH(Assumptions!$C$5,E1467)),Assumptions!$D$5,IF(ISNUMBER(SEARCH(Assumptions!$C$6,E1467)),Assumptions!$D$6,IF(ISNUMBER(SEARCH(Assumptions!$C$7,E1467)),Assumptions!$D$7,"Other Services"))),"Other Services"))</f>
        <v/>
      </c>
    </row>
    <row r="1468" customFormat="false" ht="15" hidden="false" customHeight="false" outlineLevel="0" collapsed="false">
      <c r="G1468" s="41" t="str">
        <f aca="false">IF(E1468="","",IFERROR(IF(ISNUMBER(SEARCH(Assumptions!$C$5,E1468)),Assumptions!$D$5,IF(ISNUMBER(SEARCH(Assumptions!$C$6,E1468)),Assumptions!$D$6,IF(ISNUMBER(SEARCH(Assumptions!$C$7,E1468)),Assumptions!$D$7,"Other Services"))),"Other Services"))</f>
        <v/>
      </c>
    </row>
    <row r="1469" customFormat="false" ht="15" hidden="false" customHeight="false" outlineLevel="0" collapsed="false">
      <c r="G1469" s="41" t="str">
        <f aca="false">IF(E1469="","",IFERROR(IF(ISNUMBER(SEARCH(Assumptions!$C$5,E1469)),Assumptions!$D$5,IF(ISNUMBER(SEARCH(Assumptions!$C$6,E1469)),Assumptions!$D$6,IF(ISNUMBER(SEARCH(Assumptions!$C$7,E1469)),Assumptions!$D$7,"Other Services"))),"Other Services"))</f>
        <v/>
      </c>
    </row>
    <row r="1470" customFormat="false" ht="15" hidden="false" customHeight="false" outlineLevel="0" collapsed="false">
      <c r="G1470" s="41" t="str">
        <f aca="false">IF(E1470="","",IFERROR(IF(ISNUMBER(SEARCH(Assumptions!$C$5,E1470)),Assumptions!$D$5,IF(ISNUMBER(SEARCH(Assumptions!$C$6,E1470)),Assumptions!$D$6,IF(ISNUMBER(SEARCH(Assumptions!$C$7,E1470)),Assumptions!$D$7,"Other Services"))),"Other Services"))</f>
        <v/>
      </c>
    </row>
    <row r="1471" customFormat="false" ht="15" hidden="false" customHeight="false" outlineLevel="0" collapsed="false">
      <c r="G1471" s="41" t="str">
        <f aca="false">IF(E1471="","",IFERROR(IF(ISNUMBER(SEARCH(Assumptions!$C$5,E1471)),Assumptions!$D$5,IF(ISNUMBER(SEARCH(Assumptions!$C$6,E1471)),Assumptions!$D$6,IF(ISNUMBER(SEARCH(Assumptions!$C$7,E1471)),Assumptions!$D$7,"Other Services"))),"Other Services"))</f>
        <v/>
      </c>
    </row>
    <row r="1472" customFormat="false" ht="15" hidden="false" customHeight="false" outlineLevel="0" collapsed="false">
      <c r="G1472" s="41" t="str">
        <f aca="false">IF(E1472="","",IFERROR(IF(ISNUMBER(SEARCH(Assumptions!$C$5,E1472)),Assumptions!$D$5,IF(ISNUMBER(SEARCH(Assumptions!$C$6,E1472)),Assumptions!$D$6,IF(ISNUMBER(SEARCH(Assumptions!$C$7,E1472)),Assumptions!$D$7,"Other Services"))),"Other Services"))</f>
        <v/>
      </c>
    </row>
    <row r="1473" customFormat="false" ht="15" hidden="false" customHeight="false" outlineLevel="0" collapsed="false">
      <c r="G1473" s="41" t="str">
        <f aca="false">IF(E1473="","",IFERROR(IF(ISNUMBER(SEARCH(Assumptions!$C$5,E1473)),Assumptions!$D$5,IF(ISNUMBER(SEARCH(Assumptions!$C$6,E1473)),Assumptions!$D$6,IF(ISNUMBER(SEARCH(Assumptions!$C$7,E1473)),Assumptions!$D$7,"Other Services"))),"Other Services"))</f>
        <v/>
      </c>
    </row>
    <row r="1474" customFormat="false" ht="15" hidden="false" customHeight="false" outlineLevel="0" collapsed="false">
      <c r="G1474" s="41" t="str">
        <f aca="false">IF(E1474="","",IFERROR(IF(ISNUMBER(SEARCH(Assumptions!$C$5,E1474)),Assumptions!$D$5,IF(ISNUMBER(SEARCH(Assumptions!$C$6,E1474)),Assumptions!$D$6,IF(ISNUMBER(SEARCH(Assumptions!$C$7,E1474)),Assumptions!$D$7,"Other Services"))),"Other Services"))</f>
        <v/>
      </c>
    </row>
    <row r="1475" customFormat="false" ht="15" hidden="false" customHeight="false" outlineLevel="0" collapsed="false">
      <c r="G1475" s="41" t="str">
        <f aca="false">IF(E1475="","",IFERROR(IF(ISNUMBER(SEARCH(Assumptions!$C$5,E1475)),Assumptions!$D$5,IF(ISNUMBER(SEARCH(Assumptions!$C$6,E1475)),Assumptions!$D$6,IF(ISNUMBER(SEARCH(Assumptions!$C$7,E1475)),Assumptions!$D$7,"Other Services"))),"Other Services"))</f>
        <v/>
      </c>
    </row>
    <row r="1476" customFormat="false" ht="15" hidden="false" customHeight="false" outlineLevel="0" collapsed="false">
      <c r="G1476" s="41" t="str">
        <f aca="false">IF(E1476="","",IFERROR(IF(ISNUMBER(SEARCH(Assumptions!$C$5,E1476)),Assumptions!$D$5,IF(ISNUMBER(SEARCH(Assumptions!$C$6,E1476)),Assumptions!$D$6,IF(ISNUMBER(SEARCH(Assumptions!$C$7,E1476)),Assumptions!$D$7,"Other Services"))),"Other Services"))</f>
        <v/>
      </c>
    </row>
    <row r="1477" customFormat="false" ht="15" hidden="false" customHeight="false" outlineLevel="0" collapsed="false">
      <c r="G1477" s="41" t="str">
        <f aca="false">IF(E1477="","",IFERROR(IF(ISNUMBER(SEARCH(Assumptions!$C$5,E1477)),Assumptions!$D$5,IF(ISNUMBER(SEARCH(Assumptions!$C$6,E1477)),Assumptions!$D$6,IF(ISNUMBER(SEARCH(Assumptions!$C$7,E1477)),Assumptions!$D$7,"Other Services"))),"Other Services"))</f>
        <v/>
      </c>
    </row>
    <row r="1478" customFormat="false" ht="15" hidden="false" customHeight="false" outlineLevel="0" collapsed="false">
      <c r="G1478" s="41" t="str">
        <f aca="false">IF(E1478="","",IFERROR(IF(ISNUMBER(SEARCH(Assumptions!$C$5,E1478)),Assumptions!$D$5,IF(ISNUMBER(SEARCH(Assumptions!$C$6,E1478)),Assumptions!$D$6,IF(ISNUMBER(SEARCH(Assumptions!$C$7,E1478)),Assumptions!$D$7,"Other Services"))),"Other Services"))</f>
        <v/>
      </c>
    </row>
    <row r="1479" customFormat="false" ht="15" hidden="false" customHeight="false" outlineLevel="0" collapsed="false">
      <c r="G1479" s="41" t="str">
        <f aca="false">IF(E1479="","",IFERROR(IF(ISNUMBER(SEARCH(Assumptions!$C$5,E1479)),Assumptions!$D$5,IF(ISNUMBER(SEARCH(Assumptions!$C$6,E1479)),Assumptions!$D$6,IF(ISNUMBER(SEARCH(Assumptions!$C$7,E1479)),Assumptions!$D$7,"Other Services"))),"Other Services"))</f>
        <v/>
      </c>
    </row>
    <row r="1480" customFormat="false" ht="15" hidden="false" customHeight="false" outlineLevel="0" collapsed="false">
      <c r="G1480" s="41" t="str">
        <f aca="false">IF(E1480="","",IFERROR(IF(ISNUMBER(SEARCH(Assumptions!$C$5,E1480)),Assumptions!$D$5,IF(ISNUMBER(SEARCH(Assumptions!$C$6,E1480)),Assumptions!$D$6,IF(ISNUMBER(SEARCH(Assumptions!$C$7,E1480)),Assumptions!$D$7,"Other Services"))),"Other Services"))</f>
        <v/>
      </c>
    </row>
    <row r="1481" customFormat="false" ht="15" hidden="false" customHeight="false" outlineLevel="0" collapsed="false">
      <c r="G1481" s="41" t="str">
        <f aca="false">IF(E1481="","",IFERROR(IF(ISNUMBER(SEARCH(Assumptions!$C$5,E1481)),Assumptions!$D$5,IF(ISNUMBER(SEARCH(Assumptions!$C$6,E1481)),Assumptions!$D$6,IF(ISNUMBER(SEARCH(Assumptions!$C$7,E1481)),Assumptions!$D$7,"Other Services"))),"Other Services"))</f>
        <v/>
      </c>
    </row>
    <row r="1482" customFormat="false" ht="15" hidden="false" customHeight="false" outlineLevel="0" collapsed="false">
      <c r="G1482" s="41" t="str">
        <f aca="false">IF(E1482="","",IFERROR(IF(ISNUMBER(SEARCH(Assumptions!$C$5,E1482)),Assumptions!$D$5,IF(ISNUMBER(SEARCH(Assumptions!$C$6,E1482)),Assumptions!$D$6,IF(ISNUMBER(SEARCH(Assumptions!$C$7,E1482)),Assumptions!$D$7,"Other Services"))),"Other Services"))</f>
        <v/>
      </c>
    </row>
    <row r="1483" customFormat="false" ht="15" hidden="false" customHeight="false" outlineLevel="0" collapsed="false">
      <c r="G1483" s="41" t="str">
        <f aca="false">IF(E1483="","",IFERROR(IF(ISNUMBER(SEARCH(Assumptions!$C$5,E1483)),Assumptions!$D$5,IF(ISNUMBER(SEARCH(Assumptions!$C$6,E1483)),Assumptions!$D$6,IF(ISNUMBER(SEARCH(Assumptions!$C$7,E1483)),Assumptions!$D$7,"Other Services"))),"Other Services"))</f>
        <v/>
      </c>
    </row>
    <row r="1484" customFormat="false" ht="15" hidden="false" customHeight="false" outlineLevel="0" collapsed="false">
      <c r="G1484" s="41" t="str">
        <f aca="false">IF(E1484="","",IFERROR(IF(ISNUMBER(SEARCH(Assumptions!$C$5,E1484)),Assumptions!$D$5,IF(ISNUMBER(SEARCH(Assumptions!$C$6,E1484)),Assumptions!$D$6,IF(ISNUMBER(SEARCH(Assumptions!$C$7,E1484)),Assumptions!$D$7,"Other Services"))),"Other Services"))</f>
        <v/>
      </c>
    </row>
    <row r="1485" customFormat="false" ht="15" hidden="false" customHeight="false" outlineLevel="0" collapsed="false">
      <c r="G1485" s="41" t="str">
        <f aca="false">IF(E1485="","",IFERROR(IF(ISNUMBER(SEARCH(Assumptions!$C$5,E1485)),Assumptions!$D$5,IF(ISNUMBER(SEARCH(Assumptions!$C$6,E1485)),Assumptions!$D$6,IF(ISNUMBER(SEARCH(Assumptions!$C$7,E1485)),Assumptions!$D$7,"Other Services"))),"Other Services"))</f>
        <v/>
      </c>
    </row>
    <row r="1486" customFormat="false" ht="15" hidden="false" customHeight="false" outlineLevel="0" collapsed="false">
      <c r="G1486" s="41" t="str">
        <f aca="false">IF(E1486="","",IFERROR(IF(ISNUMBER(SEARCH(Assumptions!$C$5,E1486)),Assumptions!$D$5,IF(ISNUMBER(SEARCH(Assumptions!$C$6,E1486)),Assumptions!$D$6,IF(ISNUMBER(SEARCH(Assumptions!$C$7,E1486)),Assumptions!$D$7,"Other Services"))),"Other Services"))</f>
        <v/>
      </c>
    </row>
    <row r="1487" customFormat="false" ht="15" hidden="false" customHeight="false" outlineLevel="0" collapsed="false">
      <c r="G1487" s="41" t="str">
        <f aca="false">IF(E1487="","",IFERROR(IF(ISNUMBER(SEARCH(Assumptions!$C$5,E1487)),Assumptions!$D$5,IF(ISNUMBER(SEARCH(Assumptions!$C$6,E1487)),Assumptions!$D$6,IF(ISNUMBER(SEARCH(Assumptions!$C$7,E1487)),Assumptions!$D$7,"Other Services"))),"Other Services"))</f>
        <v/>
      </c>
    </row>
    <row r="1488" customFormat="false" ht="15" hidden="false" customHeight="false" outlineLevel="0" collapsed="false">
      <c r="G1488" s="41" t="str">
        <f aca="false">IF(E1488="","",IFERROR(IF(ISNUMBER(SEARCH(Assumptions!$C$5,E1488)),Assumptions!$D$5,IF(ISNUMBER(SEARCH(Assumptions!$C$6,E1488)),Assumptions!$D$6,IF(ISNUMBER(SEARCH(Assumptions!$C$7,E1488)),Assumptions!$D$7,"Other Services"))),"Other Services"))</f>
        <v/>
      </c>
    </row>
    <row r="1489" customFormat="false" ht="15" hidden="false" customHeight="false" outlineLevel="0" collapsed="false">
      <c r="G1489" s="41" t="str">
        <f aca="false">IF(E1489="","",IFERROR(IF(ISNUMBER(SEARCH(Assumptions!$C$5,E1489)),Assumptions!$D$5,IF(ISNUMBER(SEARCH(Assumptions!$C$6,E1489)),Assumptions!$D$6,IF(ISNUMBER(SEARCH(Assumptions!$C$7,E1489)),Assumptions!$D$7,"Other Services"))),"Other Services"))</f>
        <v/>
      </c>
    </row>
    <row r="1490" customFormat="false" ht="15" hidden="false" customHeight="false" outlineLevel="0" collapsed="false">
      <c r="G1490" s="41" t="str">
        <f aca="false">IF(E1490="","",IFERROR(IF(ISNUMBER(SEARCH(Assumptions!$C$5,E1490)),Assumptions!$D$5,IF(ISNUMBER(SEARCH(Assumptions!$C$6,E1490)),Assumptions!$D$6,IF(ISNUMBER(SEARCH(Assumptions!$C$7,E1490)),Assumptions!$D$7,"Other Services"))),"Other Services"))</f>
        <v/>
      </c>
    </row>
    <row r="1491" customFormat="false" ht="15" hidden="false" customHeight="false" outlineLevel="0" collapsed="false">
      <c r="G1491" s="41" t="str">
        <f aca="false">IF(E1491="","",IFERROR(IF(ISNUMBER(SEARCH(Assumptions!$C$5,E1491)),Assumptions!$D$5,IF(ISNUMBER(SEARCH(Assumptions!$C$6,E1491)),Assumptions!$D$6,IF(ISNUMBER(SEARCH(Assumptions!$C$7,E1491)),Assumptions!$D$7,"Other Services"))),"Other Services"))</f>
        <v/>
      </c>
    </row>
    <row r="1492" customFormat="false" ht="15" hidden="false" customHeight="false" outlineLevel="0" collapsed="false">
      <c r="G1492" s="41" t="str">
        <f aca="false">IF(E1492="","",IFERROR(IF(ISNUMBER(SEARCH(Assumptions!$C$5,E1492)),Assumptions!$D$5,IF(ISNUMBER(SEARCH(Assumptions!$C$6,E1492)),Assumptions!$D$6,IF(ISNUMBER(SEARCH(Assumptions!$C$7,E1492)),Assumptions!$D$7,"Other Services"))),"Other Services"))</f>
        <v/>
      </c>
    </row>
    <row r="1493" customFormat="false" ht="15" hidden="false" customHeight="false" outlineLevel="0" collapsed="false">
      <c r="G1493" s="41" t="str">
        <f aca="false">IF(E1493="","",IFERROR(IF(ISNUMBER(SEARCH(Assumptions!$C$5,E1493)),Assumptions!$D$5,IF(ISNUMBER(SEARCH(Assumptions!$C$6,E1493)),Assumptions!$D$6,IF(ISNUMBER(SEARCH(Assumptions!$C$7,E1493)),Assumptions!$D$7,"Other Services"))),"Other Services"))</f>
        <v/>
      </c>
    </row>
    <row r="1494" customFormat="false" ht="15" hidden="false" customHeight="false" outlineLevel="0" collapsed="false">
      <c r="G1494" s="41" t="str">
        <f aca="false">IF(E1494="","",IFERROR(IF(ISNUMBER(SEARCH(Assumptions!$C$5,E1494)),Assumptions!$D$5,IF(ISNUMBER(SEARCH(Assumptions!$C$6,E1494)),Assumptions!$D$6,IF(ISNUMBER(SEARCH(Assumptions!$C$7,E1494)),Assumptions!$D$7,"Other Services"))),"Other Services"))</f>
        <v/>
      </c>
    </row>
    <row r="1495" customFormat="false" ht="15" hidden="false" customHeight="false" outlineLevel="0" collapsed="false">
      <c r="G1495" s="41" t="str">
        <f aca="false">IF(E1495="","",IFERROR(IF(ISNUMBER(SEARCH(Assumptions!$C$5,E1495)),Assumptions!$D$5,IF(ISNUMBER(SEARCH(Assumptions!$C$6,E1495)),Assumptions!$D$6,IF(ISNUMBER(SEARCH(Assumptions!$C$7,E1495)),Assumptions!$D$7,"Other Services"))),"Other Services"))</f>
        <v/>
      </c>
    </row>
    <row r="1496" customFormat="false" ht="15" hidden="false" customHeight="false" outlineLevel="0" collapsed="false">
      <c r="G1496" s="41" t="str">
        <f aca="false">IF(E1496="","",IFERROR(IF(ISNUMBER(SEARCH(Assumptions!$C$5,E1496)),Assumptions!$D$5,IF(ISNUMBER(SEARCH(Assumptions!$C$6,E1496)),Assumptions!$D$6,IF(ISNUMBER(SEARCH(Assumptions!$C$7,E1496)),Assumptions!$D$7,"Other Services"))),"Other Services"))</f>
        <v/>
      </c>
    </row>
    <row r="1497" customFormat="false" ht="15" hidden="false" customHeight="false" outlineLevel="0" collapsed="false">
      <c r="G1497" s="41" t="str">
        <f aca="false">IF(E1497="","",IFERROR(IF(ISNUMBER(SEARCH(Assumptions!$C$5,E1497)),Assumptions!$D$5,IF(ISNUMBER(SEARCH(Assumptions!$C$6,E1497)),Assumptions!$D$6,IF(ISNUMBER(SEARCH(Assumptions!$C$7,E1497)),Assumptions!$D$7,"Other Services"))),"Other Services"))</f>
        <v/>
      </c>
    </row>
    <row r="1498" customFormat="false" ht="15" hidden="false" customHeight="false" outlineLevel="0" collapsed="false">
      <c r="G1498" s="41" t="str">
        <f aca="false">IF(E1498="","",IFERROR(IF(ISNUMBER(SEARCH(Assumptions!$C$5,E1498)),Assumptions!$D$5,IF(ISNUMBER(SEARCH(Assumptions!$C$6,E1498)),Assumptions!$D$6,IF(ISNUMBER(SEARCH(Assumptions!$C$7,E1498)),Assumptions!$D$7,"Other Services"))),"Other Services"))</f>
        <v/>
      </c>
    </row>
    <row r="1499" customFormat="false" ht="15" hidden="false" customHeight="false" outlineLevel="0" collapsed="false">
      <c r="G1499" s="41" t="str">
        <f aca="false">IF(E1499="","",IFERROR(IF(ISNUMBER(SEARCH(Assumptions!$C$5,E1499)),Assumptions!$D$5,IF(ISNUMBER(SEARCH(Assumptions!$C$6,E1499)),Assumptions!$D$6,IF(ISNUMBER(SEARCH(Assumptions!$C$7,E1499)),Assumptions!$D$7,"Other Services"))),"Other Services"))</f>
        <v/>
      </c>
    </row>
    <row r="1500" customFormat="false" ht="15" hidden="false" customHeight="false" outlineLevel="0" collapsed="false">
      <c r="G1500" s="41" t="str">
        <f aca="false">IF(E1500="","",IFERROR(IF(ISNUMBER(SEARCH(Assumptions!$C$5,E1500)),Assumptions!$D$5,IF(ISNUMBER(SEARCH(Assumptions!$C$6,E1500)),Assumptions!$D$6,IF(ISNUMBER(SEARCH(Assumptions!$C$7,E1500)),Assumptions!$D$7,"Other Services"))),"Other Services"))</f>
        <v/>
      </c>
    </row>
    <row r="1501" customFormat="false" ht="15" hidden="false" customHeight="false" outlineLevel="0" collapsed="false">
      <c r="G1501" s="41" t="str">
        <f aca="false">IF(E1501="","",IFERROR(IF(ISNUMBER(SEARCH(Assumptions!$C$5,E1501)),Assumptions!$D$5,IF(ISNUMBER(SEARCH(Assumptions!$C$6,E1501)),Assumptions!$D$6,IF(ISNUMBER(SEARCH(Assumptions!$C$7,E1501)),Assumptions!$D$7,"Other Services"))),"Other Services"))</f>
        <v/>
      </c>
    </row>
    <row r="1502" customFormat="false" ht="15" hidden="false" customHeight="false" outlineLevel="0" collapsed="false">
      <c r="G1502" s="41" t="str">
        <f aca="false">IF(E1502="","",IFERROR(IF(ISNUMBER(SEARCH(Assumptions!$C$5,E1502)),Assumptions!$D$5,IF(ISNUMBER(SEARCH(Assumptions!$C$6,E1502)),Assumptions!$D$6,IF(ISNUMBER(SEARCH(Assumptions!$C$7,E1502)),Assumptions!$D$7,"Other Services"))),"Other Services"))</f>
        <v/>
      </c>
    </row>
    <row r="1503" customFormat="false" ht="15" hidden="false" customHeight="false" outlineLevel="0" collapsed="false">
      <c r="G1503" s="41" t="str">
        <f aca="false">IF(E1503="","",IFERROR(IF(ISNUMBER(SEARCH(Assumptions!$C$5,E1503)),Assumptions!$D$5,IF(ISNUMBER(SEARCH(Assumptions!$C$6,E1503)),Assumptions!$D$6,IF(ISNUMBER(SEARCH(Assumptions!$C$7,E1503)),Assumptions!$D$7,"Other Services"))),"Other Services"))</f>
        <v/>
      </c>
    </row>
    <row r="1504" customFormat="false" ht="15" hidden="false" customHeight="false" outlineLevel="0" collapsed="false">
      <c r="G1504" s="41" t="str">
        <f aca="false">IF(E1504="","",IFERROR(IF(ISNUMBER(SEARCH(Assumptions!$C$5,E1504)),Assumptions!$D$5,IF(ISNUMBER(SEARCH(Assumptions!$C$6,E1504)),Assumptions!$D$6,IF(ISNUMBER(SEARCH(Assumptions!$C$7,E1504)),Assumptions!$D$7,"Other Services"))),"Other Services"))</f>
        <v/>
      </c>
    </row>
    <row r="1505" customFormat="false" ht="15" hidden="false" customHeight="false" outlineLevel="0" collapsed="false">
      <c r="G1505" s="41" t="str">
        <f aca="false">IF(E1505="","",IFERROR(IF(ISNUMBER(SEARCH(Assumptions!$C$5,E1505)),Assumptions!$D$5,IF(ISNUMBER(SEARCH(Assumptions!$C$6,E1505)),Assumptions!$D$6,IF(ISNUMBER(SEARCH(Assumptions!$C$7,E1505)),Assumptions!$D$7,"Other Services"))),"Other Services"))</f>
        <v/>
      </c>
    </row>
    <row r="1506" customFormat="false" ht="15" hidden="false" customHeight="false" outlineLevel="0" collapsed="false">
      <c r="G1506" s="41" t="str">
        <f aca="false">IF(E1506="","",IFERROR(IF(ISNUMBER(SEARCH(Assumptions!$C$5,E1506)),Assumptions!$D$5,IF(ISNUMBER(SEARCH(Assumptions!$C$6,E1506)),Assumptions!$D$6,IF(ISNUMBER(SEARCH(Assumptions!$C$7,E1506)),Assumptions!$D$7,"Other Services"))),"Other Services"))</f>
        <v/>
      </c>
    </row>
    <row r="1507" customFormat="false" ht="15" hidden="false" customHeight="false" outlineLevel="0" collapsed="false">
      <c r="G1507" s="41" t="str">
        <f aca="false">IF(E1507="","",IFERROR(IF(ISNUMBER(SEARCH(Assumptions!$C$5,E1507)),Assumptions!$D$5,IF(ISNUMBER(SEARCH(Assumptions!$C$6,E1507)),Assumptions!$D$6,IF(ISNUMBER(SEARCH(Assumptions!$C$7,E1507)),Assumptions!$D$7,"Other Services"))),"Other Services"))</f>
        <v/>
      </c>
    </row>
    <row r="1508" customFormat="false" ht="15" hidden="false" customHeight="false" outlineLevel="0" collapsed="false">
      <c r="G1508" s="41" t="str">
        <f aca="false">IF(E1508="","",IFERROR(IF(ISNUMBER(SEARCH(Assumptions!$C$5,E1508)),Assumptions!$D$5,IF(ISNUMBER(SEARCH(Assumptions!$C$6,E1508)),Assumptions!$D$6,IF(ISNUMBER(SEARCH(Assumptions!$C$7,E1508)),Assumptions!$D$7,"Other Services"))),"Other Services"))</f>
        <v/>
      </c>
    </row>
    <row r="1509" customFormat="false" ht="15" hidden="false" customHeight="false" outlineLevel="0" collapsed="false">
      <c r="G1509" s="41" t="str">
        <f aca="false">IF(E1509="","",IFERROR(IF(ISNUMBER(SEARCH(Assumptions!$C$5,E1509)),Assumptions!$D$5,IF(ISNUMBER(SEARCH(Assumptions!$C$6,E1509)),Assumptions!$D$6,IF(ISNUMBER(SEARCH(Assumptions!$C$7,E1509)),Assumptions!$D$7,"Other Services"))),"Other Services"))</f>
        <v/>
      </c>
    </row>
    <row r="1510" customFormat="false" ht="15" hidden="false" customHeight="false" outlineLevel="0" collapsed="false">
      <c r="G1510" s="41" t="str">
        <f aca="false">IF(E1510="","",IFERROR(IF(ISNUMBER(SEARCH(Assumptions!$C$5,E1510)),Assumptions!$D$5,IF(ISNUMBER(SEARCH(Assumptions!$C$6,E1510)),Assumptions!$D$6,IF(ISNUMBER(SEARCH(Assumptions!$C$7,E1510)),Assumptions!$D$7,"Other Services"))),"Other Services"))</f>
        <v/>
      </c>
    </row>
    <row r="1511" customFormat="false" ht="15" hidden="false" customHeight="false" outlineLevel="0" collapsed="false">
      <c r="G1511" s="41" t="str">
        <f aca="false">IF(E1511="","",IFERROR(IF(ISNUMBER(SEARCH(Assumptions!$C$5,E1511)),Assumptions!$D$5,IF(ISNUMBER(SEARCH(Assumptions!$C$6,E1511)),Assumptions!$D$6,IF(ISNUMBER(SEARCH(Assumptions!$C$7,E1511)),Assumptions!$D$7,"Other Services"))),"Other Services"))</f>
        <v/>
      </c>
    </row>
    <row r="1512" customFormat="false" ht="15" hidden="false" customHeight="false" outlineLevel="0" collapsed="false">
      <c r="G1512" s="41" t="str">
        <f aca="false">IF(E1512="","",IFERROR(IF(ISNUMBER(SEARCH(Assumptions!$C$5,E1512)),Assumptions!$D$5,IF(ISNUMBER(SEARCH(Assumptions!$C$6,E1512)),Assumptions!$D$6,IF(ISNUMBER(SEARCH(Assumptions!$C$7,E1512)),Assumptions!$D$7,"Other Services"))),"Other Services"))</f>
        <v/>
      </c>
    </row>
    <row r="1513" customFormat="false" ht="15" hidden="false" customHeight="false" outlineLevel="0" collapsed="false">
      <c r="G1513" s="41" t="str">
        <f aca="false">IF(E1513="","",IFERROR(IF(ISNUMBER(SEARCH(Assumptions!$C$5,E1513)),Assumptions!$D$5,IF(ISNUMBER(SEARCH(Assumptions!$C$6,E1513)),Assumptions!$D$6,IF(ISNUMBER(SEARCH(Assumptions!$C$7,E1513)),Assumptions!$D$7,"Other Services"))),"Other Services"))</f>
        <v/>
      </c>
    </row>
    <row r="1514" customFormat="false" ht="15" hidden="false" customHeight="false" outlineLevel="0" collapsed="false">
      <c r="G1514" s="41" t="str">
        <f aca="false">IF(E1514="","",IFERROR(IF(ISNUMBER(SEARCH(Assumptions!$C$5,E1514)),Assumptions!$D$5,IF(ISNUMBER(SEARCH(Assumptions!$C$6,E1514)),Assumptions!$D$6,IF(ISNUMBER(SEARCH(Assumptions!$C$7,E1514)),Assumptions!$D$7,"Other Services"))),"Other Services"))</f>
        <v/>
      </c>
    </row>
    <row r="1515" customFormat="false" ht="15" hidden="false" customHeight="false" outlineLevel="0" collapsed="false">
      <c r="G1515" s="41" t="str">
        <f aca="false">IF(E1515="","",IFERROR(IF(ISNUMBER(SEARCH(Assumptions!$C$5,E1515)),Assumptions!$D$5,IF(ISNUMBER(SEARCH(Assumptions!$C$6,E1515)),Assumptions!$D$6,IF(ISNUMBER(SEARCH(Assumptions!$C$7,E1515)),Assumptions!$D$7,"Other Services"))),"Other Services"))</f>
        <v/>
      </c>
    </row>
    <row r="1516" customFormat="false" ht="15" hidden="false" customHeight="false" outlineLevel="0" collapsed="false">
      <c r="G1516" s="41" t="str">
        <f aca="false">IF(E1516="","",IFERROR(IF(ISNUMBER(SEARCH(Assumptions!$C$5,E1516)),Assumptions!$D$5,IF(ISNUMBER(SEARCH(Assumptions!$C$6,E1516)),Assumptions!$D$6,IF(ISNUMBER(SEARCH(Assumptions!$C$7,E1516)),Assumptions!$D$7,"Other Services"))),"Other Services"))</f>
        <v/>
      </c>
    </row>
    <row r="1517" customFormat="false" ht="15" hidden="false" customHeight="false" outlineLevel="0" collapsed="false">
      <c r="G1517" s="41" t="str">
        <f aca="false">IF(E1517="","",IFERROR(IF(ISNUMBER(SEARCH(Assumptions!$C$5,E1517)),Assumptions!$D$5,IF(ISNUMBER(SEARCH(Assumptions!$C$6,E1517)),Assumptions!$D$6,IF(ISNUMBER(SEARCH(Assumptions!$C$7,E1517)),Assumptions!$D$7,"Other Services"))),"Other Services"))</f>
        <v/>
      </c>
    </row>
    <row r="1518" customFormat="false" ht="15" hidden="false" customHeight="false" outlineLevel="0" collapsed="false">
      <c r="G1518" s="41" t="str">
        <f aca="false">IF(E1518="","",IFERROR(IF(ISNUMBER(SEARCH(Assumptions!$C$5,E1518)),Assumptions!$D$5,IF(ISNUMBER(SEARCH(Assumptions!$C$6,E1518)),Assumptions!$D$6,IF(ISNUMBER(SEARCH(Assumptions!$C$7,E1518)),Assumptions!$D$7,"Other Services"))),"Other Services"))</f>
        <v/>
      </c>
    </row>
    <row r="1519" customFormat="false" ht="15" hidden="false" customHeight="false" outlineLevel="0" collapsed="false">
      <c r="G1519" s="41" t="str">
        <f aca="false">IF(E1519="","",IFERROR(IF(ISNUMBER(SEARCH(Assumptions!$C$5,E1519)),Assumptions!$D$5,IF(ISNUMBER(SEARCH(Assumptions!$C$6,E1519)),Assumptions!$D$6,IF(ISNUMBER(SEARCH(Assumptions!$C$7,E1519)),Assumptions!$D$7,"Other Services"))),"Other Services"))</f>
        <v/>
      </c>
    </row>
    <row r="1520" customFormat="false" ht="15" hidden="false" customHeight="false" outlineLevel="0" collapsed="false">
      <c r="G1520" s="41" t="str">
        <f aca="false">IF(E1520="","",IFERROR(IF(ISNUMBER(SEARCH(Assumptions!$C$5,E1520)),Assumptions!$D$5,IF(ISNUMBER(SEARCH(Assumptions!$C$6,E1520)),Assumptions!$D$6,IF(ISNUMBER(SEARCH(Assumptions!$C$7,E1520)),Assumptions!$D$7,"Other Services"))),"Other Services"))</f>
        <v/>
      </c>
    </row>
    <row r="1521" customFormat="false" ht="15" hidden="false" customHeight="false" outlineLevel="0" collapsed="false">
      <c r="G1521" s="41" t="str">
        <f aca="false">IF(E1521="","",IFERROR(IF(ISNUMBER(SEARCH(Assumptions!$C$5,E1521)),Assumptions!$D$5,IF(ISNUMBER(SEARCH(Assumptions!$C$6,E1521)),Assumptions!$D$6,IF(ISNUMBER(SEARCH(Assumptions!$C$7,E1521)),Assumptions!$D$7,"Other Services"))),"Other Services"))</f>
        <v/>
      </c>
    </row>
    <row r="1522" customFormat="false" ht="15" hidden="false" customHeight="false" outlineLevel="0" collapsed="false">
      <c r="G1522" s="41" t="str">
        <f aca="false">IF(E1522="","",IFERROR(IF(ISNUMBER(SEARCH(Assumptions!$C$5,E1522)),Assumptions!$D$5,IF(ISNUMBER(SEARCH(Assumptions!$C$6,E1522)),Assumptions!$D$6,IF(ISNUMBER(SEARCH(Assumptions!$C$7,E1522)),Assumptions!$D$7,"Other Services"))),"Other Services"))</f>
        <v/>
      </c>
    </row>
    <row r="1523" customFormat="false" ht="15" hidden="false" customHeight="false" outlineLevel="0" collapsed="false">
      <c r="G1523" s="41" t="str">
        <f aca="false">IF(E1523="","",IFERROR(IF(ISNUMBER(SEARCH(Assumptions!$C$5,E1523)),Assumptions!$D$5,IF(ISNUMBER(SEARCH(Assumptions!$C$6,E1523)),Assumptions!$D$6,IF(ISNUMBER(SEARCH(Assumptions!$C$7,E1523)),Assumptions!$D$7,"Other Services"))),"Other Services"))</f>
        <v/>
      </c>
    </row>
    <row r="1524" customFormat="false" ht="15" hidden="false" customHeight="false" outlineLevel="0" collapsed="false">
      <c r="G1524" s="41" t="str">
        <f aca="false">IF(E1524="","",IFERROR(IF(ISNUMBER(SEARCH(Assumptions!$C$5,E1524)),Assumptions!$D$5,IF(ISNUMBER(SEARCH(Assumptions!$C$6,E1524)),Assumptions!$D$6,IF(ISNUMBER(SEARCH(Assumptions!$C$7,E1524)),Assumptions!$D$7,"Other Services"))),"Other Services"))</f>
        <v/>
      </c>
    </row>
    <row r="1525" customFormat="false" ht="15" hidden="false" customHeight="false" outlineLevel="0" collapsed="false">
      <c r="G1525" s="41" t="str">
        <f aca="false">IF(E1525="","",IFERROR(IF(ISNUMBER(SEARCH(Assumptions!$C$5,E1525)),Assumptions!$D$5,IF(ISNUMBER(SEARCH(Assumptions!$C$6,E1525)),Assumptions!$D$6,IF(ISNUMBER(SEARCH(Assumptions!$C$7,E1525)),Assumptions!$D$7,"Other Services"))),"Other Services"))</f>
        <v/>
      </c>
    </row>
    <row r="1526" customFormat="false" ht="15" hidden="false" customHeight="false" outlineLevel="0" collapsed="false">
      <c r="G1526" s="41" t="str">
        <f aca="false">IF(E1526="","",IFERROR(IF(ISNUMBER(SEARCH(Assumptions!$C$5,E1526)),Assumptions!$D$5,IF(ISNUMBER(SEARCH(Assumptions!$C$6,E1526)),Assumptions!$D$6,IF(ISNUMBER(SEARCH(Assumptions!$C$7,E1526)),Assumptions!$D$7,"Other Services"))),"Other Services"))</f>
        <v/>
      </c>
    </row>
    <row r="1527" customFormat="false" ht="15" hidden="false" customHeight="false" outlineLevel="0" collapsed="false">
      <c r="G1527" s="41" t="str">
        <f aca="false">IF(E1527="","",IFERROR(IF(ISNUMBER(SEARCH(Assumptions!$C$5,E1527)),Assumptions!$D$5,IF(ISNUMBER(SEARCH(Assumptions!$C$6,E1527)),Assumptions!$D$6,IF(ISNUMBER(SEARCH(Assumptions!$C$7,E1527)),Assumptions!$D$7,"Other Services"))),"Other Services"))</f>
        <v/>
      </c>
    </row>
    <row r="1528" customFormat="false" ht="15" hidden="false" customHeight="false" outlineLevel="0" collapsed="false">
      <c r="G1528" s="41" t="str">
        <f aca="false">IF(E1528="","",IFERROR(IF(ISNUMBER(SEARCH(Assumptions!$C$5,E1528)),Assumptions!$D$5,IF(ISNUMBER(SEARCH(Assumptions!$C$6,E1528)),Assumptions!$D$6,IF(ISNUMBER(SEARCH(Assumptions!$C$7,E1528)),Assumptions!$D$7,"Other Services"))),"Other Services"))</f>
        <v/>
      </c>
    </row>
    <row r="1529" customFormat="false" ht="15" hidden="false" customHeight="false" outlineLevel="0" collapsed="false">
      <c r="G1529" s="41" t="str">
        <f aca="false">IF(E1529="","",IFERROR(IF(ISNUMBER(SEARCH(Assumptions!$C$5,E1529)),Assumptions!$D$5,IF(ISNUMBER(SEARCH(Assumptions!$C$6,E1529)),Assumptions!$D$6,IF(ISNUMBER(SEARCH(Assumptions!$C$7,E1529)),Assumptions!$D$7,"Other Services"))),"Other Services"))</f>
        <v/>
      </c>
    </row>
    <row r="1530" customFormat="false" ht="15" hidden="false" customHeight="false" outlineLevel="0" collapsed="false">
      <c r="G1530" s="41" t="str">
        <f aca="false">IF(E1530="","",IFERROR(IF(ISNUMBER(SEARCH(Assumptions!$C$5,E1530)),Assumptions!$D$5,IF(ISNUMBER(SEARCH(Assumptions!$C$6,E1530)),Assumptions!$D$6,IF(ISNUMBER(SEARCH(Assumptions!$C$7,E1530)),Assumptions!$D$7,"Other Services"))),"Other Services"))</f>
        <v/>
      </c>
    </row>
    <row r="1531" customFormat="false" ht="15" hidden="false" customHeight="false" outlineLevel="0" collapsed="false">
      <c r="G1531" s="41" t="str">
        <f aca="false">IF(E1531="","",IFERROR(IF(ISNUMBER(SEARCH(Assumptions!$C$5,E1531)),Assumptions!$D$5,IF(ISNUMBER(SEARCH(Assumptions!$C$6,E1531)),Assumptions!$D$6,IF(ISNUMBER(SEARCH(Assumptions!$C$7,E1531)),Assumptions!$D$7,"Other Services"))),"Other Services"))</f>
        <v/>
      </c>
    </row>
    <row r="1532" customFormat="false" ht="15" hidden="false" customHeight="false" outlineLevel="0" collapsed="false">
      <c r="G1532" s="41" t="str">
        <f aca="false">IF(E1532="","",IFERROR(IF(ISNUMBER(SEARCH(Assumptions!$C$5,E1532)),Assumptions!$D$5,IF(ISNUMBER(SEARCH(Assumptions!$C$6,E1532)),Assumptions!$D$6,IF(ISNUMBER(SEARCH(Assumptions!$C$7,E1532)),Assumptions!$D$7,"Other Services"))),"Other Services"))</f>
        <v/>
      </c>
    </row>
    <row r="1533" customFormat="false" ht="15" hidden="false" customHeight="false" outlineLevel="0" collapsed="false">
      <c r="G1533" s="41" t="str">
        <f aca="false">IF(E1533="","",IFERROR(IF(ISNUMBER(SEARCH(Assumptions!$C$5,E1533)),Assumptions!$D$5,IF(ISNUMBER(SEARCH(Assumptions!$C$6,E1533)),Assumptions!$D$6,IF(ISNUMBER(SEARCH(Assumptions!$C$7,E1533)),Assumptions!$D$7,"Other Services"))),"Other Services"))</f>
        <v/>
      </c>
    </row>
    <row r="1534" customFormat="false" ht="15" hidden="false" customHeight="false" outlineLevel="0" collapsed="false">
      <c r="G1534" s="41" t="str">
        <f aca="false">IF(E1534="","",IFERROR(IF(ISNUMBER(SEARCH(Assumptions!$C$5,E1534)),Assumptions!$D$5,IF(ISNUMBER(SEARCH(Assumptions!$C$6,E1534)),Assumptions!$D$6,IF(ISNUMBER(SEARCH(Assumptions!$C$7,E1534)),Assumptions!$D$7,"Other Services"))),"Other Services"))</f>
        <v/>
      </c>
    </row>
    <row r="1535" customFormat="false" ht="15" hidden="false" customHeight="false" outlineLevel="0" collapsed="false">
      <c r="G1535" s="41" t="str">
        <f aca="false">IF(E1535="","",IFERROR(IF(ISNUMBER(SEARCH(Assumptions!$C$5,E1535)),Assumptions!$D$5,IF(ISNUMBER(SEARCH(Assumptions!$C$6,E1535)),Assumptions!$D$6,IF(ISNUMBER(SEARCH(Assumptions!$C$7,E1535)),Assumptions!$D$7,"Other Services"))),"Other Services"))</f>
        <v/>
      </c>
    </row>
    <row r="1536" customFormat="false" ht="15" hidden="false" customHeight="false" outlineLevel="0" collapsed="false">
      <c r="G1536" s="41" t="str">
        <f aca="false">IF(E1536="","",IFERROR(IF(ISNUMBER(SEARCH(Assumptions!$C$5,E1536)),Assumptions!$D$5,IF(ISNUMBER(SEARCH(Assumptions!$C$6,E1536)),Assumptions!$D$6,IF(ISNUMBER(SEARCH(Assumptions!$C$7,E1536)),Assumptions!$D$7,"Other Services"))),"Other Services"))</f>
        <v/>
      </c>
    </row>
    <row r="1537" customFormat="false" ht="15" hidden="false" customHeight="false" outlineLevel="0" collapsed="false">
      <c r="G1537" s="41" t="str">
        <f aca="false">IF(E1537="","",IFERROR(IF(ISNUMBER(SEARCH(Assumptions!$C$5,E1537)),Assumptions!$D$5,IF(ISNUMBER(SEARCH(Assumptions!$C$6,E1537)),Assumptions!$D$6,IF(ISNUMBER(SEARCH(Assumptions!$C$7,E1537)),Assumptions!$D$7,"Other Services"))),"Other Services"))</f>
        <v/>
      </c>
    </row>
    <row r="1538" customFormat="false" ht="15" hidden="false" customHeight="false" outlineLevel="0" collapsed="false">
      <c r="G1538" s="41" t="str">
        <f aca="false">IF(E1538="","",IFERROR(IF(ISNUMBER(SEARCH(Assumptions!$C$5,E1538)),Assumptions!$D$5,IF(ISNUMBER(SEARCH(Assumptions!$C$6,E1538)),Assumptions!$D$6,IF(ISNUMBER(SEARCH(Assumptions!$C$7,E1538)),Assumptions!$D$7,"Other Services"))),"Other Services"))</f>
        <v/>
      </c>
    </row>
    <row r="1539" customFormat="false" ht="15" hidden="false" customHeight="false" outlineLevel="0" collapsed="false">
      <c r="G1539" s="41" t="str">
        <f aca="false">IF(E1539="","",IFERROR(IF(ISNUMBER(SEARCH(Assumptions!$C$5,E1539)),Assumptions!$D$5,IF(ISNUMBER(SEARCH(Assumptions!$C$6,E1539)),Assumptions!$D$6,IF(ISNUMBER(SEARCH(Assumptions!$C$7,E1539)),Assumptions!$D$7,"Other Services"))),"Other Services"))</f>
        <v/>
      </c>
    </row>
    <row r="1540" customFormat="false" ht="15" hidden="false" customHeight="false" outlineLevel="0" collapsed="false">
      <c r="G1540" s="41" t="str">
        <f aca="false">IF(E1540="","",IFERROR(IF(ISNUMBER(SEARCH(Assumptions!$C$5,E1540)),Assumptions!$D$5,IF(ISNUMBER(SEARCH(Assumptions!$C$6,E1540)),Assumptions!$D$6,IF(ISNUMBER(SEARCH(Assumptions!$C$7,E1540)),Assumptions!$D$7,"Other Services"))),"Other Services"))</f>
        <v/>
      </c>
    </row>
    <row r="1541" customFormat="false" ht="15" hidden="false" customHeight="false" outlineLevel="0" collapsed="false">
      <c r="G1541" s="41" t="str">
        <f aca="false">IF(E1541="","",IFERROR(IF(ISNUMBER(SEARCH(Assumptions!$C$5,E1541)),Assumptions!$D$5,IF(ISNUMBER(SEARCH(Assumptions!$C$6,E1541)),Assumptions!$D$6,IF(ISNUMBER(SEARCH(Assumptions!$C$7,E1541)),Assumptions!$D$7,"Other Services"))),"Other Services"))</f>
        <v/>
      </c>
    </row>
    <row r="1542" customFormat="false" ht="15" hidden="false" customHeight="false" outlineLevel="0" collapsed="false">
      <c r="G1542" s="41" t="str">
        <f aca="false">IF(E1542="","",IFERROR(IF(ISNUMBER(SEARCH(Assumptions!$C$5,E1542)),Assumptions!$D$5,IF(ISNUMBER(SEARCH(Assumptions!$C$6,E1542)),Assumptions!$D$6,IF(ISNUMBER(SEARCH(Assumptions!$C$7,E1542)),Assumptions!$D$7,"Other Services"))),"Other Services"))</f>
        <v/>
      </c>
    </row>
    <row r="1543" customFormat="false" ht="15" hidden="false" customHeight="false" outlineLevel="0" collapsed="false">
      <c r="G1543" s="41" t="str">
        <f aca="false">IF(E1543="","",IFERROR(IF(ISNUMBER(SEARCH(Assumptions!$C$5,E1543)),Assumptions!$D$5,IF(ISNUMBER(SEARCH(Assumptions!$C$6,E1543)),Assumptions!$D$6,IF(ISNUMBER(SEARCH(Assumptions!$C$7,E1543)),Assumptions!$D$7,"Other Services"))),"Other Services"))</f>
        <v/>
      </c>
    </row>
    <row r="1544" customFormat="false" ht="15" hidden="false" customHeight="false" outlineLevel="0" collapsed="false">
      <c r="G1544" s="41" t="str">
        <f aca="false">IF(E1544="","",IFERROR(IF(ISNUMBER(SEARCH(Assumptions!$C$5,E1544)),Assumptions!$D$5,IF(ISNUMBER(SEARCH(Assumptions!$C$6,E1544)),Assumptions!$D$6,IF(ISNUMBER(SEARCH(Assumptions!$C$7,E1544)),Assumptions!$D$7,"Other Services"))),"Other Services"))</f>
        <v/>
      </c>
    </row>
    <row r="1545" customFormat="false" ht="15" hidden="false" customHeight="false" outlineLevel="0" collapsed="false">
      <c r="G1545" s="41" t="str">
        <f aca="false">IF(E1545="","",IFERROR(IF(ISNUMBER(SEARCH(Assumptions!$C$5,E1545)),Assumptions!$D$5,IF(ISNUMBER(SEARCH(Assumptions!$C$6,E1545)),Assumptions!$D$6,IF(ISNUMBER(SEARCH(Assumptions!$C$7,E1545)),Assumptions!$D$7,"Other Services"))),"Other Services"))</f>
        <v/>
      </c>
    </row>
    <row r="1546" customFormat="false" ht="15" hidden="false" customHeight="false" outlineLevel="0" collapsed="false">
      <c r="G1546" s="41" t="str">
        <f aca="false">IF(E1546="","",IFERROR(IF(ISNUMBER(SEARCH(Assumptions!$C$5,E1546)),Assumptions!$D$5,IF(ISNUMBER(SEARCH(Assumptions!$C$6,E1546)),Assumptions!$D$6,IF(ISNUMBER(SEARCH(Assumptions!$C$7,E1546)),Assumptions!$D$7,"Other Services"))),"Other Services"))</f>
        <v/>
      </c>
    </row>
    <row r="1547" customFormat="false" ht="15" hidden="false" customHeight="false" outlineLevel="0" collapsed="false">
      <c r="G1547" s="41" t="str">
        <f aca="false">IF(E1547="","",IFERROR(IF(ISNUMBER(SEARCH(Assumptions!$C$5,E1547)),Assumptions!$D$5,IF(ISNUMBER(SEARCH(Assumptions!$C$6,E1547)),Assumptions!$D$6,IF(ISNUMBER(SEARCH(Assumptions!$C$7,E1547)),Assumptions!$D$7,"Other Services"))),"Other Services"))</f>
        <v/>
      </c>
    </row>
    <row r="1548" customFormat="false" ht="15" hidden="false" customHeight="false" outlineLevel="0" collapsed="false">
      <c r="G1548" s="41" t="str">
        <f aca="false">IF(E1548="","",IFERROR(IF(ISNUMBER(SEARCH(Assumptions!$C$5,E1548)),Assumptions!$D$5,IF(ISNUMBER(SEARCH(Assumptions!$C$6,E1548)),Assumptions!$D$6,IF(ISNUMBER(SEARCH(Assumptions!$C$7,E1548)),Assumptions!$D$7,"Other Services"))),"Other Services"))</f>
        <v/>
      </c>
    </row>
    <row r="1549" customFormat="false" ht="15" hidden="false" customHeight="false" outlineLevel="0" collapsed="false">
      <c r="G1549" s="41" t="str">
        <f aca="false">IF(E1549="","",IFERROR(IF(ISNUMBER(SEARCH(Assumptions!$C$5,E1549)),Assumptions!$D$5,IF(ISNUMBER(SEARCH(Assumptions!$C$6,E1549)),Assumptions!$D$6,IF(ISNUMBER(SEARCH(Assumptions!$C$7,E1549)),Assumptions!$D$7,"Other Services"))),"Other Services"))</f>
        <v/>
      </c>
    </row>
    <row r="1550" customFormat="false" ht="15" hidden="false" customHeight="false" outlineLevel="0" collapsed="false">
      <c r="G1550" s="41" t="str">
        <f aca="false">IF(E1550="","",IFERROR(IF(ISNUMBER(SEARCH(Assumptions!$C$5,E1550)),Assumptions!$D$5,IF(ISNUMBER(SEARCH(Assumptions!$C$6,E1550)),Assumptions!$D$6,IF(ISNUMBER(SEARCH(Assumptions!$C$7,E1550)),Assumptions!$D$7,"Other Services"))),"Other Services"))</f>
        <v/>
      </c>
    </row>
    <row r="1551" customFormat="false" ht="15" hidden="false" customHeight="false" outlineLevel="0" collapsed="false">
      <c r="G1551" s="41" t="str">
        <f aca="false">IF(E1551="","",IFERROR(IF(ISNUMBER(SEARCH(Assumptions!$C$5,E1551)),Assumptions!$D$5,IF(ISNUMBER(SEARCH(Assumptions!$C$6,E1551)),Assumptions!$D$6,IF(ISNUMBER(SEARCH(Assumptions!$C$7,E1551)),Assumptions!$D$7,"Other Services"))),"Other Services"))</f>
        <v/>
      </c>
    </row>
    <row r="1552" customFormat="false" ht="15" hidden="false" customHeight="false" outlineLevel="0" collapsed="false">
      <c r="G1552" s="41" t="str">
        <f aca="false">IF(E1552="","",IFERROR(IF(ISNUMBER(SEARCH(Assumptions!$C$5,E1552)),Assumptions!$D$5,IF(ISNUMBER(SEARCH(Assumptions!$C$6,E1552)),Assumptions!$D$6,IF(ISNUMBER(SEARCH(Assumptions!$C$7,E1552)),Assumptions!$D$7,"Other Services"))),"Other Services"))</f>
        <v/>
      </c>
    </row>
    <row r="1553" customFormat="false" ht="15" hidden="false" customHeight="false" outlineLevel="0" collapsed="false">
      <c r="G1553" s="41" t="str">
        <f aca="false">IF(E1553="","",IFERROR(IF(ISNUMBER(SEARCH(Assumptions!$C$5,E1553)),Assumptions!$D$5,IF(ISNUMBER(SEARCH(Assumptions!$C$6,E1553)),Assumptions!$D$6,IF(ISNUMBER(SEARCH(Assumptions!$C$7,E1553)),Assumptions!$D$7,"Other Services"))),"Other Services"))</f>
        <v/>
      </c>
    </row>
    <row r="1554" customFormat="false" ht="15" hidden="false" customHeight="false" outlineLevel="0" collapsed="false">
      <c r="G1554" s="41" t="str">
        <f aca="false">IF(E1554="","",IFERROR(IF(ISNUMBER(SEARCH(Assumptions!$C$5,E1554)),Assumptions!$D$5,IF(ISNUMBER(SEARCH(Assumptions!$C$6,E1554)),Assumptions!$D$6,IF(ISNUMBER(SEARCH(Assumptions!$C$7,E1554)),Assumptions!$D$7,"Other Services"))),"Other Services"))</f>
        <v/>
      </c>
    </row>
    <row r="1555" customFormat="false" ht="15" hidden="false" customHeight="false" outlineLevel="0" collapsed="false">
      <c r="G1555" s="41" t="str">
        <f aca="false">IF(E1555="","",IFERROR(IF(ISNUMBER(SEARCH(Assumptions!$C$5,E1555)),Assumptions!$D$5,IF(ISNUMBER(SEARCH(Assumptions!$C$6,E1555)),Assumptions!$D$6,IF(ISNUMBER(SEARCH(Assumptions!$C$7,E1555)),Assumptions!$D$7,"Other Services"))),"Other Services"))</f>
        <v/>
      </c>
    </row>
    <row r="1556" customFormat="false" ht="15" hidden="false" customHeight="false" outlineLevel="0" collapsed="false">
      <c r="G1556" s="41" t="str">
        <f aca="false">IF(E1556="","",IFERROR(IF(ISNUMBER(SEARCH(Assumptions!$C$5,E1556)),Assumptions!$D$5,IF(ISNUMBER(SEARCH(Assumptions!$C$6,E1556)),Assumptions!$D$6,IF(ISNUMBER(SEARCH(Assumptions!$C$7,E1556)),Assumptions!$D$7,"Other Services"))),"Other Services"))</f>
        <v/>
      </c>
    </row>
    <row r="1557" customFormat="false" ht="15" hidden="false" customHeight="false" outlineLevel="0" collapsed="false">
      <c r="G1557" s="41" t="str">
        <f aca="false">IF(E1557="","",IFERROR(IF(ISNUMBER(SEARCH(Assumptions!$C$5,E1557)),Assumptions!$D$5,IF(ISNUMBER(SEARCH(Assumptions!$C$6,E1557)),Assumptions!$D$6,IF(ISNUMBER(SEARCH(Assumptions!$C$7,E1557)),Assumptions!$D$7,"Other Services"))),"Other Services"))</f>
        <v/>
      </c>
    </row>
    <row r="1558" customFormat="false" ht="15" hidden="false" customHeight="false" outlineLevel="0" collapsed="false">
      <c r="G1558" s="41" t="str">
        <f aca="false">IF(E1558="","",IFERROR(IF(ISNUMBER(SEARCH(Assumptions!$C$5,E1558)),Assumptions!$D$5,IF(ISNUMBER(SEARCH(Assumptions!$C$6,E1558)),Assumptions!$D$6,IF(ISNUMBER(SEARCH(Assumptions!$C$7,E1558)),Assumptions!$D$7,"Other Services"))),"Other Services"))</f>
        <v/>
      </c>
    </row>
    <row r="1559" customFormat="false" ht="15" hidden="false" customHeight="false" outlineLevel="0" collapsed="false">
      <c r="G1559" s="41" t="str">
        <f aca="false">IF(E1559="","",IFERROR(IF(ISNUMBER(SEARCH(Assumptions!$C$5,E1559)),Assumptions!$D$5,IF(ISNUMBER(SEARCH(Assumptions!$C$6,E1559)),Assumptions!$D$6,IF(ISNUMBER(SEARCH(Assumptions!$C$7,E1559)),Assumptions!$D$7,"Other Services"))),"Other Services"))</f>
        <v/>
      </c>
    </row>
    <row r="1560" customFormat="false" ht="15" hidden="false" customHeight="false" outlineLevel="0" collapsed="false">
      <c r="G1560" s="41" t="str">
        <f aca="false">IF(E1560="","",IFERROR(IF(ISNUMBER(SEARCH(Assumptions!$C$5,E1560)),Assumptions!$D$5,IF(ISNUMBER(SEARCH(Assumptions!$C$6,E1560)),Assumptions!$D$6,IF(ISNUMBER(SEARCH(Assumptions!$C$7,E1560)),Assumptions!$D$7,"Other Services"))),"Other Services"))</f>
        <v/>
      </c>
    </row>
    <row r="1561" customFormat="false" ht="15" hidden="false" customHeight="false" outlineLevel="0" collapsed="false">
      <c r="G1561" s="41" t="str">
        <f aca="false">IF(E1561="","",IFERROR(IF(ISNUMBER(SEARCH(Assumptions!$C$5,E1561)),Assumptions!$D$5,IF(ISNUMBER(SEARCH(Assumptions!$C$6,E1561)),Assumptions!$D$6,IF(ISNUMBER(SEARCH(Assumptions!$C$7,E1561)),Assumptions!$D$7,"Other Services"))),"Other Services"))</f>
        <v/>
      </c>
    </row>
    <row r="1562" customFormat="false" ht="15" hidden="false" customHeight="false" outlineLevel="0" collapsed="false">
      <c r="G1562" s="41" t="str">
        <f aca="false">IF(E1562="","",IFERROR(IF(ISNUMBER(SEARCH(Assumptions!$C$5,E1562)),Assumptions!$D$5,IF(ISNUMBER(SEARCH(Assumptions!$C$6,E1562)),Assumptions!$D$6,IF(ISNUMBER(SEARCH(Assumptions!$C$7,E1562)),Assumptions!$D$7,"Other Services"))),"Other Services"))</f>
        <v/>
      </c>
    </row>
    <row r="1563" customFormat="false" ht="15" hidden="false" customHeight="false" outlineLevel="0" collapsed="false">
      <c r="G1563" s="41" t="str">
        <f aca="false">IF(E1563="","",IFERROR(IF(ISNUMBER(SEARCH(Assumptions!$C$5,E1563)),Assumptions!$D$5,IF(ISNUMBER(SEARCH(Assumptions!$C$6,E1563)),Assumptions!$D$6,IF(ISNUMBER(SEARCH(Assumptions!$C$7,E1563)),Assumptions!$D$7,"Other Services"))),"Other Services"))</f>
        <v/>
      </c>
    </row>
    <row r="1564" customFormat="false" ht="15" hidden="false" customHeight="false" outlineLevel="0" collapsed="false">
      <c r="G1564" s="41" t="str">
        <f aca="false">IF(E1564="","",IFERROR(IF(ISNUMBER(SEARCH(Assumptions!$C$5,E1564)),Assumptions!$D$5,IF(ISNUMBER(SEARCH(Assumptions!$C$6,E1564)),Assumptions!$D$6,IF(ISNUMBER(SEARCH(Assumptions!$C$7,E1564)),Assumptions!$D$7,"Other Services"))),"Other Services"))</f>
        <v/>
      </c>
    </row>
    <row r="1565" customFormat="false" ht="15" hidden="false" customHeight="false" outlineLevel="0" collapsed="false">
      <c r="G1565" s="41" t="str">
        <f aca="false">IF(E1565="","",IFERROR(IF(ISNUMBER(SEARCH(Assumptions!$C$5,E1565)),Assumptions!$D$5,IF(ISNUMBER(SEARCH(Assumptions!$C$6,E1565)),Assumptions!$D$6,IF(ISNUMBER(SEARCH(Assumptions!$C$7,E1565)),Assumptions!$D$7,"Other Services"))),"Other Services"))</f>
        <v/>
      </c>
    </row>
    <row r="1566" customFormat="false" ht="15" hidden="false" customHeight="false" outlineLevel="0" collapsed="false">
      <c r="G1566" s="41" t="str">
        <f aca="false">IF(E1566="","",IFERROR(IF(ISNUMBER(SEARCH(Assumptions!$C$5,E1566)),Assumptions!$D$5,IF(ISNUMBER(SEARCH(Assumptions!$C$6,E1566)),Assumptions!$D$6,IF(ISNUMBER(SEARCH(Assumptions!$C$7,E1566)),Assumptions!$D$7,"Other Services"))),"Other Services"))</f>
        <v/>
      </c>
    </row>
    <row r="1567" customFormat="false" ht="15" hidden="false" customHeight="false" outlineLevel="0" collapsed="false">
      <c r="G1567" s="41" t="str">
        <f aca="false">IF(E1567="","",IFERROR(IF(ISNUMBER(SEARCH(Assumptions!$C$5,E1567)),Assumptions!$D$5,IF(ISNUMBER(SEARCH(Assumptions!$C$6,E1567)),Assumptions!$D$6,IF(ISNUMBER(SEARCH(Assumptions!$C$7,E1567)),Assumptions!$D$7,"Other Services"))),"Other Services"))</f>
        <v/>
      </c>
    </row>
    <row r="1568" customFormat="false" ht="15" hidden="false" customHeight="false" outlineLevel="0" collapsed="false">
      <c r="G1568" s="41" t="str">
        <f aca="false">IF(E1568="","",IFERROR(IF(ISNUMBER(SEARCH(Assumptions!$C$5,E1568)),Assumptions!$D$5,IF(ISNUMBER(SEARCH(Assumptions!$C$6,E1568)),Assumptions!$D$6,IF(ISNUMBER(SEARCH(Assumptions!$C$7,E1568)),Assumptions!$D$7,"Other Services"))),"Other Services"))</f>
        <v/>
      </c>
    </row>
    <row r="1569" customFormat="false" ht="15" hidden="false" customHeight="false" outlineLevel="0" collapsed="false">
      <c r="G1569" s="41" t="str">
        <f aca="false">IF(E1569="","",IFERROR(IF(ISNUMBER(SEARCH(Assumptions!$C$5,E1569)),Assumptions!$D$5,IF(ISNUMBER(SEARCH(Assumptions!$C$6,E1569)),Assumptions!$D$6,IF(ISNUMBER(SEARCH(Assumptions!$C$7,E1569)),Assumptions!$D$7,"Other Services"))),"Other Services"))</f>
        <v/>
      </c>
    </row>
    <row r="1570" customFormat="false" ht="15" hidden="false" customHeight="false" outlineLevel="0" collapsed="false">
      <c r="G1570" s="41" t="str">
        <f aca="false">IF(E1570="","",IFERROR(IF(ISNUMBER(SEARCH(Assumptions!$C$5,E1570)),Assumptions!$D$5,IF(ISNUMBER(SEARCH(Assumptions!$C$6,E1570)),Assumptions!$D$6,IF(ISNUMBER(SEARCH(Assumptions!$C$7,E1570)),Assumptions!$D$7,"Other Services"))),"Other Services"))</f>
        <v/>
      </c>
    </row>
    <row r="1571" customFormat="false" ht="15" hidden="false" customHeight="false" outlineLevel="0" collapsed="false">
      <c r="G1571" s="41" t="str">
        <f aca="false">IF(E1571="","",IFERROR(IF(ISNUMBER(SEARCH(Assumptions!$C$5,E1571)),Assumptions!$D$5,IF(ISNUMBER(SEARCH(Assumptions!$C$6,E1571)),Assumptions!$D$6,IF(ISNUMBER(SEARCH(Assumptions!$C$7,E1571)),Assumptions!$D$7,"Other Services"))),"Other Services"))</f>
        <v/>
      </c>
    </row>
    <row r="1572" customFormat="false" ht="15" hidden="false" customHeight="false" outlineLevel="0" collapsed="false">
      <c r="G1572" s="41" t="str">
        <f aca="false">IF(E1572="","",IFERROR(IF(ISNUMBER(SEARCH(Assumptions!$C$5,E1572)),Assumptions!$D$5,IF(ISNUMBER(SEARCH(Assumptions!$C$6,E1572)),Assumptions!$D$6,IF(ISNUMBER(SEARCH(Assumptions!$C$7,E1572)),Assumptions!$D$7,"Other Services"))),"Other Services"))</f>
        <v/>
      </c>
    </row>
    <row r="1573" customFormat="false" ht="15" hidden="false" customHeight="false" outlineLevel="0" collapsed="false">
      <c r="G1573" s="41" t="str">
        <f aca="false">IF(E1573="","",IFERROR(IF(ISNUMBER(SEARCH(Assumptions!$C$5,E1573)),Assumptions!$D$5,IF(ISNUMBER(SEARCH(Assumptions!$C$6,E1573)),Assumptions!$D$6,IF(ISNUMBER(SEARCH(Assumptions!$C$7,E1573)),Assumptions!$D$7,"Other Services"))),"Other Services"))</f>
        <v/>
      </c>
    </row>
    <row r="1574" customFormat="false" ht="15" hidden="false" customHeight="false" outlineLevel="0" collapsed="false">
      <c r="G1574" s="41" t="str">
        <f aca="false">IF(E1574="","",IFERROR(IF(ISNUMBER(SEARCH(Assumptions!$C$5,E1574)),Assumptions!$D$5,IF(ISNUMBER(SEARCH(Assumptions!$C$6,E1574)),Assumptions!$D$6,IF(ISNUMBER(SEARCH(Assumptions!$C$7,E1574)),Assumptions!$D$7,"Other Services"))),"Other Services"))</f>
        <v/>
      </c>
    </row>
    <row r="1575" customFormat="false" ht="15" hidden="false" customHeight="false" outlineLevel="0" collapsed="false">
      <c r="G1575" s="41" t="str">
        <f aca="false">IF(E1575="","",IFERROR(IF(ISNUMBER(SEARCH(Assumptions!$C$5,E1575)),Assumptions!$D$5,IF(ISNUMBER(SEARCH(Assumptions!$C$6,E1575)),Assumptions!$D$6,IF(ISNUMBER(SEARCH(Assumptions!$C$7,E1575)),Assumptions!$D$7,"Other Services"))),"Other Services"))</f>
        <v/>
      </c>
    </row>
    <row r="1576" customFormat="false" ht="15" hidden="false" customHeight="false" outlineLevel="0" collapsed="false">
      <c r="G1576" s="41" t="str">
        <f aca="false">IF(E1576="","",IFERROR(IF(ISNUMBER(SEARCH(Assumptions!$C$5,E1576)),Assumptions!$D$5,IF(ISNUMBER(SEARCH(Assumptions!$C$6,E1576)),Assumptions!$D$6,IF(ISNUMBER(SEARCH(Assumptions!$C$7,E1576)),Assumptions!$D$7,"Other Services"))),"Other Services"))</f>
        <v/>
      </c>
    </row>
    <row r="1577" customFormat="false" ht="15" hidden="false" customHeight="false" outlineLevel="0" collapsed="false">
      <c r="G1577" s="41" t="str">
        <f aca="false">IF(E1577="","",IFERROR(IF(ISNUMBER(SEARCH(Assumptions!$C$5,E1577)),Assumptions!$D$5,IF(ISNUMBER(SEARCH(Assumptions!$C$6,E1577)),Assumptions!$D$6,IF(ISNUMBER(SEARCH(Assumptions!$C$7,E1577)),Assumptions!$D$7,"Other Services"))),"Other Services"))</f>
        <v/>
      </c>
    </row>
    <row r="1578" customFormat="false" ht="15" hidden="false" customHeight="false" outlineLevel="0" collapsed="false">
      <c r="G1578" s="41" t="str">
        <f aca="false">IF(E1578="","",IFERROR(IF(ISNUMBER(SEARCH(Assumptions!$C$5,E1578)),Assumptions!$D$5,IF(ISNUMBER(SEARCH(Assumptions!$C$6,E1578)),Assumptions!$D$6,IF(ISNUMBER(SEARCH(Assumptions!$C$7,E1578)),Assumptions!$D$7,"Other Services"))),"Other Services"))</f>
        <v/>
      </c>
    </row>
    <row r="1579" customFormat="false" ht="15" hidden="false" customHeight="false" outlineLevel="0" collapsed="false">
      <c r="G1579" s="41" t="str">
        <f aca="false">IF(E1579="","",IFERROR(IF(ISNUMBER(SEARCH(Assumptions!$C$5,E1579)),Assumptions!$D$5,IF(ISNUMBER(SEARCH(Assumptions!$C$6,E1579)),Assumptions!$D$6,IF(ISNUMBER(SEARCH(Assumptions!$C$7,E1579)),Assumptions!$D$7,"Other Services"))),"Other Services"))</f>
        <v/>
      </c>
    </row>
    <row r="1580" customFormat="false" ht="15" hidden="false" customHeight="false" outlineLevel="0" collapsed="false">
      <c r="G1580" s="41" t="str">
        <f aca="false">IF(E1580="","",IFERROR(IF(ISNUMBER(SEARCH(Assumptions!$C$5,E1580)),Assumptions!$D$5,IF(ISNUMBER(SEARCH(Assumptions!$C$6,E1580)),Assumptions!$D$6,IF(ISNUMBER(SEARCH(Assumptions!$C$7,E1580)),Assumptions!$D$7,"Other Services"))),"Other Services"))</f>
        <v/>
      </c>
    </row>
    <row r="1581" customFormat="false" ht="15" hidden="false" customHeight="false" outlineLevel="0" collapsed="false">
      <c r="G1581" s="41" t="str">
        <f aca="false">IF(E1581="","",IFERROR(IF(ISNUMBER(SEARCH(Assumptions!$C$5,E1581)),Assumptions!$D$5,IF(ISNUMBER(SEARCH(Assumptions!$C$6,E1581)),Assumptions!$D$6,IF(ISNUMBER(SEARCH(Assumptions!$C$7,E1581)),Assumptions!$D$7,"Other Services"))),"Other Services"))</f>
        <v/>
      </c>
    </row>
    <row r="1582" customFormat="false" ht="15" hidden="false" customHeight="false" outlineLevel="0" collapsed="false">
      <c r="G1582" s="41" t="str">
        <f aca="false">IF(E1582="","",IFERROR(IF(ISNUMBER(SEARCH(Assumptions!$C$5,E1582)),Assumptions!$D$5,IF(ISNUMBER(SEARCH(Assumptions!$C$6,E1582)),Assumptions!$D$6,IF(ISNUMBER(SEARCH(Assumptions!$C$7,E1582)),Assumptions!$D$7,"Other Services"))),"Other Services"))</f>
        <v/>
      </c>
    </row>
    <row r="1583" customFormat="false" ht="15" hidden="false" customHeight="false" outlineLevel="0" collapsed="false">
      <c r="G1583" s="41" t="str">
        <f aca="false">IF(E1583="","",IFERROR(IF(ISNUMBER(SEARCH(Assumptions!$C$5,E1583)),Assumptions!$D$5,IF(ISNUMBER(SEARCH(Assumptions!$C$6,E1583)),Assumptions!$D$6,IF(ISNUMBER(SEARCH(Assumptions!$C$7,E1583)),Assumptions!$D$7,"Other Services"))),"Other Services"))</f>
        <v/>
      </c>
    </row>
    <row r="1584" customFormat="false" ht="15" hidden="false" customHeight="false" outlineLevel="0" collapsed="false">
      <c r="G1584" s="41" t="str">
        <f aca="false">IF(E1584="","",IFERROR(IF(ISNUMBER(SEARCH(Assumptions!$C$5,E1584)),Assumptions!$D$5,IF(ISNUMBER(SEARCH(Assumptions!$C$6,E1584)),Assumptions!$D$6,IF(ISNUMBER(SEARCH(Assumptions!$C$7,E1584)),Assumptions!$D$7,"Other Services"))),"Other Services"))</f>
        <v/>
      </c>
    </row>
    <row r="1585" customFormat="false" ht="15" hidden="false" customHeight="false" outlineLevel="0" collapsed="false">
      <c r="G1585" s="41" t="str">
        <f aca="false">IF(E1585="","",IFERROR(IF(ISNUMBER(SEARCH(Assumptions!$C$5,E1585)),Assumptions!$D$5,IF(ISNUMBER(SEARCH(Assumptions!$C$6,E1585)),Assumptions!$D$6,IF(ISNUMBER(SEARCH(Assumptions!$C$7,E1585)),Assumptions!$D$7,"Other Services"))),"Other Services"))</f>
        <v/>
      </c>
    </row>
    <row r="1586" customFormat="false" ht="15" hidden="false" customHeight="false" outlineLevel="0" collapsed="false">
      <c r="G1586" s="41" t="str">
        <f aca="false">IF(E1586="","",IFERROR(IF(ISNUMBER(SEARCH(Assumptions!$C$5,E1586)),Assumptions!$D$5,IF(ISNUMBER(SEARCH(Assumptions!$C$6,E1586)),Assumptions!$D$6,IF(ISNUMBER(SEARCH(Assumptions!$C$7,E1586)),Assumptions!$D$7,"Other Services"))),"Other Services"))</f>
        <v/>
      </c>
    </row>
    <row r="1587" customFormat="false" ht="15" hidden="false" customHeight="false" outlineLevel="0" collapsed="false">
      <c r="G1587" s="41" t="str">
        <f aca="false">IF(E1587="","",IFERROR(IF(ISNUMBER(SEARCH(Assumptions!$C$5,E1587)),Assumptions!$D$5,IF(ISNUMBER(SEARCH(Assumptions!$C$6,E1587)),Assumptions!$D$6,IF(ISNUMBER(SEARCH(Assumptions!$C$7,E1587)),Assumptions!$D$7,"Other Services"))),"Other Services"))</f>
        <v/>
      </c>
    </row>
    <row r="1588" customFormat="false" ht="15" hidden="false" customHeight="false" outlineLevel="0" collapsed="false">
      <c r="G1588" s="41" t="str">
        <f aca="false">IF(E1588="","",IFERROR(IF(ISNUMBER(SEARCH(Assumptions!$C$5,E1588)),Assumptions!$D$5,IF(ISNUMBER(SEARCH(Assumptions!$C$6,E1588)),Assumptions!$D$6,IF(ISNUMBER(SEARCH(Assumptions!$C$7,E1588)),Assumptions!$D$7,"Other Services"))),"Other Services"))</f>
        <v/>
      </c>
    </row>
    <row r="1589" customFormat="false" ht="15" hidden="false" customHeight="false" outlineLevel="0" collapsed="false">
      <c r="G1589" s="41" t="str">
        <f aca="false">IF(E1589="","",IFERROR(IF(ISNUMBER(SEARCH(Assumptions!$C$5,E1589)),Assumptions!$D$5,IF(ISNUMBER(SEARCH(Assumptions!$C$6,E1589)),Assumptions!$D$6,IF(ISNUMBER(SEARCH(Assumptions!$C$7,E1589)),Assumptions!$D$7,"Other Services"))),"Other Services"))</f>
        <v/>
      </c>
    </row>
    <row r="1590" customFormat="false" ht="15" hidden="false" customHeight="false" outlineLevel="0" collapsed="false">
      <c r="G1590" s="41" t="str">
        <f aca="false">IF(E1590="","",IFERROR(IF(ISNUMBER(SEARCH(Assumptions!$C$5,E1590)),Assumptions!$D$5,IF(ISNUMBER(SEARCH(Assumptions!$C$6,E1590)),Assumptions!$D$6,IF(ISNUMBER(SEARCH(Assumptions!$C$7,E1590)),Assumptions!$D$7,"Other Services"))),"Other Services"))</f>
        <v/>
      </c>
    </row>
    <row r="1591" customFormat="false" ht="15" hidden="false" customHeight="false" outlineLevel="0" collapsed="false">
      <c r="G1591" s="41" t="str">
        <f aca="false">IF(E1591="","",IFERROR(IF(ISNUMBER(SEARCH(Assumptions!$C$5,E1591)),Assumptions!$D$5,IF(ISNUMBER(SEARCH(Assumptions!$C$6,E1591)),Assumptions!$D$6,IF(ISNUMBER(SEARCH(Assumptions!$C$7,E1591)),Assumptions!$D$7,"Other Services"))),"Other Services"))</f>
        <v/>
      </c>
    </row>
    <row r="1592" customFormat="false" ht="15" hidden="false" customHeight="false" outlineLevel="0" collapsed="false">
      <c r="G1592" s="41" t="str">
        <f aca="false">IF(E1592="","",IFERROR(IF(ISNUMBER(SEARCH(Assumptions!$C$5,E1592)),Assumptions!$D$5,IF(ISNUMBER(SEARCH(Assumptions!$C$6,E1592)),Assumptions!$D$6,IF(ISNUMBER(SEARCH(Assumptions!$C$7,E1592)),Assumptions!$D$7,"Other Services"))),"Other Services"))</f>
        <v/>
      </c>
    </row>
    <row r="1593" customFormat="false" ht="15" hidden="false" customHeight="false" outlineLevel="0" collapsed="false">
      <c r="G1593" s="41" t="str">
        <f aca="false">IF(E1593="","",IFERROR(IF(ISNUMBER(SEARCH(Assumptions!$C$5,E1593)),Assumptions!$D$5,IF(ISNUMBER(SEARCH(Assumptions!$C$6,E1593)),Assumptions!$D$6,IF(ISNUMBER(SEARCH(Assumptions!$C$7,E1593)),Assumptions!$D$7,"Other Services"))),"Other Services"))</f>
        <v/>
      </c>
    </row>
    <row r="1594" customFormat="false" ht="15" hidden="false" customHeight="false" outlineLevel="0" collapsed="false">
      <c r="G1594" s="41" t="str">
        <f aca="false">IF(E1594="","",IFERROR(IF(ISNUMBER(SEARCH(Assumptions!$C$5,E1594)),Assumptions!$D$5,IF(ISNUMBER(SEARCH(Assumptions!$C$6,E1594)),Assumptions!$D$6,IF(ISNUMBER(SEARCH(Assumptions!$C$7,E1594)),Assumptions!$D$7,"Other Services"))),"Other Services"))</f>
        <v/>
      </c>
    </row>
    <row r="1595" customFormat="false" ht="15" hidden="false" customHeight="false" outlineLevel="0" collapsed="false">
      <c r="G1595" s="41" t="str">
        <f aca="false">IF(E1595="","",IFERROR(IF(ISNUMBER(SEARCH(Assumptions!$C$5,E1595)),Assumptions!$D$5,IF(ISNUMBER(SEARCH(Assumptions!$C$6,E1595)),Assumptions!$D$6,IF(ISNUMBER(SEARCH(Assumptions!$C$7,E1595)),Assumptions!$D$7,"Other Services"))),"Other Services"))</f>
        <v/>
      </c>
    </row>
    <row r="1596" customFormat="false" ht="15" hidden="false" customHeight="false" outlineLevel="0" collapsed="false">
      <c r="G1596" s="41" t="str">
        <f aca="false">IF(E1596="","",IFERROR(IF(ISNUMBER(SEARCH(Assumptions!$C$5,E1596)),Assumptions!$D$5,IF(ISNUMBER(SEARCH(Assumptions!$C$6,E1596)),Assumptions!$D$6,IF(ISNUMBER(SEARCH(Assumptions!$C$7,E1596)),Assumptions!$D$7,"Other Services"))),"Other Services"))</f>
        <v/>
      </c>
    </row>
    <row r="1597" customFormat="false" ht="15" hidden="false" customHeight="false" outlineLevel="0" collapsed="false">
      <c r="G1597" s="41" t="str">
        <f aca="false">IF(E1597="","",IFERROR(IF(ISNUMBER(SEARCH(Assumptions!$C$5,E1597)),Assumptions!$D$5,IF(ISNUMBER(SEARCH(Assumptions!$C$6,E1597)),Assumptions!$D$6,IF(ISNUMBER(SEARCH(Assumptions!$C$7,E1597)),Assumptions!$D$7,"Other Services"))),"Other Services"))</f>
        <v/>
      </c>
    </row>
    <row r="1598" customFormat="false" ht="15" hidden="false" customHeight="false" outlineLevel="0" collapsed="false">
      <c r="G1598" s="41" t="str">
        <f aca="false">IF(E1598="","",IFERROR(IF(ISNUMBER(SEARCH(Assumptions!$C$5,E1598)),Assumptions!$D$5,IF(ISNUMBER(SEARCH(Assumptions!$C$6,E1598)),Assumptions!$D$6,IF(ISNUMBER(SEARCH(Assumptions!$C$7,E1598)),Assumptions!$D$7,"Other Services"))),"Other Services"))</f>
        <v/>
      </c>
    </row>
    <row r="1599" customFormat="false" ht="15" hidden="false" customHeight="false" outlineLevel="0" collapsed="false">
      <c r="G1599" s="41" t="str">
        <f aca="false">IF(E1599="","",IFERROR(IF(ISNUMBER(SEARCH(Assumptions!$C$5,E1599)),Assumptions!$D$5,IF(ISNUMBER(SEARCH(Assumptions!$C$6,E1599)),Assumptions!$D$6,IF(ISNUMBER(SEARCH(Assumptions!$C$7,E1599)),Assumptions!$D$7,"Other Services"))),"Other Services"))</f>
        <v/>
      </c>
    </row>
    <row r="1600" customFormat="false" ht="15" hidden="false" customHeight="false" outlineLevel="0" collapsed="false">
      <c r="G1600" s="41" t="str">
        <f aca="false">IF(E1600="","",IFERROR(IF(ISNUMBER(SEARCH(Assumptions!$C$5,E1600)),Assumptions!$D$5,IF(ISNUMBER(SEARCH(Assumptions!$C$6,E1600)),Assumptions!$D$6,IF(ISNUMBER(SEARCH(Assumptions!$C$7,E1600)),Assumptions!$D$7,"Other Services"))),"Other Services"))</f>
        <v/>
      </c>
    </row>
    <row r="1601" customFormat="false" ht="15" hidden="false" customHeight="false" outlineLevel="0" collapsed="false">
      <c r="G1601" s="41" t="str">
        <f aca="false">IF(E1601="","",IFERROR(IF(ISNUMBER(SEARCH(Assumptions!$C$5,E1601)),Assumptions!$D$5,IF(ISNUMBER(SEARCH(Assumptions!$C$6,E1601)),Assumptions!$D$6,IF(ISNUMBER(SEARCH(Assumptions!$C$7,E1601)),Assumptions!$D$7,"Other Services"))),"Other Services"))</f>
        <v/>
      </c>
    </row>
    <row r="1602" customFormat="false" ht="15" hidden="false" customHeight="false" outlineLevel="0" collapsed="false">
      <c r="G1602" s="41" t="str">
        <f aca="false">IF(E1602="","",IFERROR(IF(ISNUMBER(SEARCH(Assumptions!$C$5,E1602)),Assumptions!$D$5,IF(ISNUMBER(SEARCH(Assumptions!$C$6,E1602)),Assumptions!$D$6,IF(ISNUMBER(SEARCH(Assumptions!$C$7,E1602)),Assumptions!$D$7,"Other Services"))),"Other Services"))</f>
        <v/>
      </c>
    </row>
    <row r="1603" customFormat="false" ht="15" hidden="false" customHeight="false" outlineLevel="0" collapsed="false">
      <c r="G1603" s="41" t="str">
        <f aca="false">IF(E1603="","",IFERROR(IF(ISNUMBER(SEARCH(Assumptions!$C$5,E1603)),Assumptions!$D$5,IF(ISNUMBER(SEARCH(Assumptions!$C$6,E1603)),Assumptions!$D$6,IF(ISNUMBER(SEARCH(Assumptions!$C$7,E1603)),Assumptions!$D$7,"Other Services"))),"Other Services"))</f>
        <v/>
      </c>
    </row>
    <row r="1604" customFormat="false" ht="15" hidden="false" customHeight="false" outlineLevel="0" collapsed="false">
      <c r="G1604" s="41" t="str">
        <f aca="false">IF(E1604="","",IFERROR(IF(ISNUMBER(SEARCH(Assumptions!$C$5,E1604)),Assumptions!$D$5,IF(ISNUMBER(SEARCH(Assumptions!$C$6,E1604)),Assumptions!$D$6,IF(ISNUMBER(SEARCH(Assumptions!$C$7,E1604)),Assumptions!$D$7,"Other Services"))),"Other Services"))</f>
        <v/>
      </c>
    </row>
    <row r="1605" customFormat="false" ht="15" hidden="false" customHeight="false" outlineLevel="0" collapsed="false">
      <c r="G1605" s="41" t="str">
        <f aca="false">IF(E1605="","",IFERROR(IF(ISNUMBER(SEARCH(Assumptions!$C$5,E1605)),Assumptions!$D$5,IF(ISNUMBER(SEARCH(Assumptions!$C$6,E1605)),Assumptions!$D$6,IF(ISNUMBER(SEARCH(Assumptions!$C$7,E1605)),Assumptions!$D$7,"Other Services"))),"Other Services"))</f>
        <v/>
      </c>
    </row>
    <row r="1606" customFormat="false" ht="15" hidden="false" customHeight="false" outlineLevel="0" collapsed="false">
      <c r="G1606" s="41" t="str">
        <f aca="false">IF(E1606="","",IFERROR(IF(ISNUMBER(SEARCH(Assumptions!$C$5,E1606)),Assumptions!$D$5,IF(ISNUMBER(SEARCH(Assumptions!$C$6,E1606)),Assumptions!$D$6,IF(ISNUMBER(SEARCH(Assumptions!$C$7,E1606)),Assumptions!$D$7,"Other Services"))),"Other Services"))</f>
        <v/>
      </c>
    </row>
    <row r="1607" customFormat="false" ht="15" hidden="false" customHeight="false" outlineLevel="0" collapsed="false">
      <c r="G1607" s="41" t="str">
        <f aca="false">IF(E1607="","",IFERROR(IF(ISNUMBER(SEARCH(Assumptions!$C$5,E1607)),Assumptions!$D$5,IF(ISNUMBER(SEARCH(Assumptions!$C$6,E1607)),Assumptions!$D$6,IF(ISNUMBER(SEARCH(Assumptions!$C$7,E1607)),Assumptions!$D$7,"Other Services"))),"Other Services"))</f>
        <v/>
      </c>
    </row>
    <row r="1608" customFormat="false" ht="15" hidden="false" customHeight="false" outlineLevel="0" collapsed="false">
      <c r="G1608" s="41" t="str">
        <f aca="false">IF(E1608="","",IFERROR(IF(ISNUMBER(SEARCH(Assumptions!$C$5,E1608)),Assumptions!$D$5,IF(ISNUMBER(SEARCH(Assumptions!$C$6,E1608)),Assumptions!$D$6,IF(ISNUMBER(SEARCH(Assumptions!$C$7,E1608)),Assumptions!$D$7,"Other Services"))),"Other Services"))</f>
        <v/>
      </c>
    </row>
    <row r="1609" customFormat="false" ht="15" hidden="false" customHeight="false" outlineLevel="0" collapsed="false">
      <c r="G1609" s="41" t="str">
        <f aca="false">IF(E1609="","",IFERROR(IF(ISNUMBER(SEARCH(Assumptions!$C$5,E1609)),Assumptions!$D$5,IF(ISNUMBER(SEARCH(Assumptions!$C$6,E1609)),Assumptions!$D$6,IF(ISNUMBER(SEARCH(Assumptions!$C$7,E1609)),Assumptions!$D$7,"Other Services"))),"Other Services"))</f>
        <v/>
      </c>
    </row>
    <row r="1610" customFormat="false" ht="15" hidden="false" customHeight="false" outlineLevel="0" collapsed="false">
      <c r="G1610" s="41" t="str">
        <f aca="false">IF(E1610="","",IFERROR(IF(ISNUMBER(SEARCH(Assumptions!$C$5,E1610)),Assumptions!$D$5,IF(ISNUMBER(SEARCH(Assumptions!$C$6,E1610)),Assumptions!$D$6,IF(ISNUMBER(SEARCH(Assumptions!$C$7,E1610)),Assumptions!$D$7,"Other Services"))),"Other Services"))</f>
        <v/>
      </c>
    </row>
    <row r="1611" customFormat="false" ht="15" hidden="false" customHeight="false" outlineLevel="0" collapsed="false">
      <c r="G1611" s="41" t="str">
        <f aca="false">IF(E1611="","",IFERROR(IF(ISNUMBER(SEARCH(Assumptions!$C$5,E1611)),Assumptions!$D$5,IF(ISNUMBER(SEARCH(Assumptions!$C$6,E1611)),Assumptions!$D$6,IF(ISNUMBER(SEARCH(Assumptions!$C$7,E1611)),Assumptions!$D$7,"Other Services"))),"Other Services"))</f>
        <v/>
      </c>
    </row>
    <row r="1612" customFormat="false" ht="15" hidden="false" customHeight="false" outlineLevel="0" collapsed="false">
      <c r="G1612" s="41" t="str">
        <f aca="false">IF(E1612="","",IFERROR(IF(ISNUMBER(SEARCH(Assumptions!$C$5,E1612)),Assumptions!$D$5,IF(ISNUMBER(SEARCH(Assumptions!$C$6,E1612)),Assumptions!$D$6,IF(ISNUMBER(SEARCH(Assumptions!$C$7,E1612)),Assumptions!$D$7,"Other Services"))),"Other Services"))</f>
        <v/>
      </c>
    </row>
    <row r="1613" customFormat="false" ht="15" hidden="false" customHeight="false" outlineLevel="0" collapsed="false">
      <c r="G1613" s="41" t="str">
        <f aca="false">IF(E1613="","",IFERROR(IF(ISNUMBER(SEARCH(Assumptions!$C$5,E1613)),Assumptions!$D$5,IF(ISNUMBER(SEARCH(Assumptions!$C$6,E1613)),Assumptions!$D$6,IF(ISNUMBER(SEARCH(Assumptions!$C$7,E1613)),Assumptions!$D$7,"Other Services"))),"Other Services"))</f>
        <v/>
      </c>
    </row>
    <row r="1614" customFormat="false" ht="15" hidden="false" customHeight="false" outlineLevel="0" collapsed="false">
      <c r="G1614" s="41" t="str">
        <f aca="false">IF(E1614="","",IFERROR(IF(ISNUMBER(SEARCH(Assumptions!$C$5,E1614)),Assumptions!$D$5,IF(ISNUMBER(SEARCH(Assumptions!$C$6,E1614)),Assumptions!$D$6,IF(ISNUMBER(SEARCH(Assumptions!$C$7,E1614)),Assumptions!$D$7,"Other Services"))),"Other Services"))</f>
        <v/>
      </c>
    </row>
    <row r="1615" customFormat="false" ht="15" hidden="false" customHeight="false" outlineLevel="0" collapsed="false">
      <c r="G1615" s="41" t="str">
        <f aca="false">IF(E1615="","",IFERROR(IF(ISNUMBER(SEARCH(Assumptions!$C$5,E1615)),Assumptions!$D$5,IF(ISNUMBER(SEARCH(Assumptions!$C$6,E1615)),Assumptions!$D$6,IF(ISNUMBER(SEARCH(Assumptions!$C$7,E1615)),Assumptions!$D$7,"Other Services"))),"Other Services"))</f>
        <v/>
      </c>
    </row>
    <row r="1616" customFormat="false" ht="15" hidden="false" customHeight="false" outlineLevel="0" collapsed="false">
      <c r="G1616" s="41" t="str">
        <f aca="false">IF(E1616="","",IFERROR(IF(ISNUMBER(SEARCH(Assumptions!$C$5,E1616)),Assumptions!$D$5,IF(ISNUMBER(SEARCH(Assumptions!$C$6,E1616)),Assumptions!$D$6,IF(ISNUMBER(SEARCH(Assumptions!$C$7,E1616)),Assumptions!$D$7,"Other Services"))),"Other Services"))</f>
        <v/>
      </c>
    </row>
    <row r="1617" customFormat="false" ht="15" hidden="false" customHeight="false" outlineLevel="0" collapsed="false">
      <c r="G1617" s="41" t="str">
        <f aca="false">IF(E1617="","",IFERROR(IF(ISNUMBER(SEARCH(Assumptions!$C$5,E1617)),Assumptions!$D$5,IF(ISNUMBER(SEARCH(Assumptions!$C$6,E1617)),Assumptions!$D$6,IF(ISNUMBER(SEARCH(Assumptions!$C$7,E1617)),Assumptions!$D$7,"Other Services"))),"Other Services"))</f>
        <v/>
      </c>
    </row>
    <row r="1618" customFormat="false" ht="15" hidden="false" customHeight="false" outlineLevel="0" collapsed="false">
      <c r="G1618" s="41" t="str">
        <f aca="false">IF(E1618="","",IFERROR(IF(ISNUMBER(SEARCH(Assumptions!$C$5,E1618)),Assumptions!$D$5,IF(ISNUMBER(SEARCH(Assumptions!$C$6,E1618)),Assumptions!$D$6,IF(ISNUMBER(SEARCH(Assumptions!$C$7,E1618)),Assumptions!$D$7,"Other Services"))),"Other Services"))</f>
        <v/>
      </c>
    </row>
    <row r="1619" customFormat="false" ht="15" hidden="false" customHeight="false" outlineLevel="0" collapsed="false">
      <c r="G1619" s="41" t="str">
        <f aca="false">IF(E1619="","",IFERROR(IF(ISNUMBER(SEARCH(Assumptions!$C$5,E1619)),Assumptions!$D$5,IF(ISNUMBER(SEARCH(Assumptions!$C$6,E1619)),Assumptions!$D$6,IF(ISNUMBER(SEARCH(Assumptions!$C$7,E1619)),Assumptions!$D$7,"Other Services"))),"Other Services"))</f>
        <v/>
      </c>
    </row>
    <row r="1620" customFormat="false" ht="15" hidden="false" customHeight="false" outlineLevel="0" collapsed="false">
      <c r="G1620" s="41" t="str">
        <f aca="false">IF(E1620="","",IFERROR(IF(ISNUMBER(SEARCH(Assumptions!$C$5,E1620)),Assumptions!$D$5,IF(ISNUMBER(SEARCH(Assumptions!$C$6,E1620)),Assumptions!$D$6,IF(ISNUMBER(SEARCH(Assumptions!$C$7,E1620)),Assumptions!$D$7,"Other Services"))),"Other Services"))</f>
        <v/>
      </c>
    </row>
    <row r="1621" customFormat="false" ht="15" hidden="false" customHeight="false" outlineLevel="0" collapsed="false">
      <c r="G1621" s="41" t="str">
        <f aca="false">IF(E1621="","",IFERROR(IF(ISNUMBER(SEARCH(Assumptions!$C$5,E1621)),Assumptions!$D$5,IF(ISNUMBER(SEARCH(Assumptions!$C$6,E1621)),Assumptions!$D$6,IF(ISNUMBER(SEARCH(Assumptions!$C$7,E1621)),Assumptions!$D$7,"Other Services"))),"Other Services"))</f>
        <v/>
      </c>
    </row>
    <row r="1622" customFormat="false" ht="15" hidden="false" customHeight="false" outlineLevel="0" collapsed="false">
      <c r="G1622" s="41" t="str">
        <f aca="false">IF(E1622="","",IFERROR(IF(ISNUMBER(SEARCH(Assumptions!$C$5,E1622)),Assumptions!$D$5,IF(ISNUMBER(SEARCH(Assumptions!$C$6,E1622)),Assumptions!$D$6,IF(ISNUMBER(SEARCH(Assumptions!$C$7,E1622)),Assumptions!$D$7,"Other Services"))),"Other Services"))</f>
        <v/>
      </c>
    </row>
    <row r="1623" customFormat="false" ht="15" hidden="false" customHeight="false" outlineLevel="0" collapsed="false">
      <c r="G1623" s="41" t="str">
        <f aca="false">IF(E1623="","",IFERROR(IF(ISNUMBER(SEARCH(Assumptions!$C$5,E1623)),Assumptions!$D$5,IF(ISNUMBER(SEARCH(Assumptions!$C$6,E1623)),Assumptions!$D$6,IF(ISNUMBER(SEARCH(Assumptions!$C$7,E1623)),Assumptions!$D$7,"Other Services"))),"Other Services"))</f>
        <v/>
      </c>
    </row>
    <row r="1624" customFormat="false" ht="15" hidden="false" customHeight="false" outlineLevel="0" collapsed="false">
      <c r="G1624" s="41" t="str">
        <f aca="false">IF(E1624="","",IFERROR(IF(ISNUMBER(SEARCH(Assumptions!$C$5,E1624)),Assumptions!$D$5,IF(ISNUMBER(SEARCH(Assumptions!$C$6,E1624)),Assumptions!$D$6,IF(ISNUMBER(SEARCH(Assumptions!$C$7,E1624)),Assumptions!$D$7,"Other Services"))),"Other Services"))</f>
        <v/>
      </c>
    </row>
    <row r="1625" customFormat="false" ht="15" hidden="false" customHeight="false" outlineLevel="0" collapsed="false">
      <c r="G1625" s="41" t="str">
        <f aca="false">IF(E1625="","",IFERROR(IF(ISNUMBER(SEARCH(Assumptions!$C$5,E1625)),Assumptions!$D$5,IF(ISNUMBER(SEARCH(Assumptions!$C$6,E1625)),Assumptions!$D$6,IF(ISNUMBER(SEARCH(Assumptions!$C$7,E1625)),Assumptions!$D$7,"Other Services"))),"Other Services"))</f>
        <v/>
      </c>
    </row>
    <row r="1626" customFormat="false" ht="15" hidden="false" customHeight="false" outlineLevel="0" collapsed="false">
      <c r="G1626" s="41" t="str">
        <f aca="false">IF(E1626="","",IFERROR(IF(ISNUMBER(SEARCH(Assumptions!$C$5,E1626)),Assumptions!$D$5,IF(ISNUMBER(SEARCH(Assumptions!$C$6,E1626)),Assumptions!$D$6,IF(ISNUMBER(SEARCH(Assumptions!$C$7,E1626)),Assumptions!$D$7,"Other Services"))),"Other Services"))</f>
        <v/>
      </c>
    </row>
    <row r="1627" customFormat="false" ht="15" hidden="false" customHeight="false" outlineLevel="0" collapsed="false">
      <c r="G1627" s="41" t="str">
        <f aca="false">IF(E1627="","",IFERROR(IF(ISNUMBER(SEARCH(Assumptions!$C$5,E1627)),Assumptions!$D$5,IF(ISNUMBER(SEARCH(Assumptions!$C$6,E1627)),Assumptions!$D$6,IF(ISNUMBER(SEARCH(Assumptions!$C$7,E1627)),Assumptions!$D$7,"Other Services"))),"Other Services"))</f>
        <v/>
      </c>
    </row>
    <row r="1628" customFormat="false" ht="15" hidden="false" customHeight="false" outlineLevel="0" collapsed="false">
      <c r="G1628" s="41" t="str">
        <f aca="false">IF(E1628="","",IFERROR(IF(ISNUMBER(SEARCH(Assumptions!$C$5,E1628)),Assumptions!$D$5,IF(ISNUMBER(SEARCH(Assumptions!$C$6,E1628)),Assumptions!$D$6,IF(ISNUMBER(SEARCH(Assumptions!$C$7,E1628)),Assumptions!$D$7,"Other Services"))),"Other Services"))</f>
        <v/>
      </c>
    </row>
    <row r="1629" customFormat="false" ht="15" hidden="false" customHeight="false" outlineLevel="0" collapsed="false">
      <c r="G1629" s="41" t="str">
        <f aca="false">IF(E1629="","",IFERROR(IF(ISNUMBER(SEARCH(Assumptions!$C$5,E1629)),Assumptions!$D$5,IF(ISNUMBER(SEARCH(Assumptions!$C$6,E1629)),Assumptions!$D$6,IF(ISNUMBER(SEARCH(Assumptions!$C$7,E1629)),Assumptions!$D$7,"Other Services"))),"Other Services"))</f>
        <v/>
      </c>
    </row>
    <row r="1630" customFormat="false" ht="15" hidden="false" customHeight="false" outlineLevel="0" collapsed="false">
      <c r="G1630" s="41" t="str">
        <f aca="false">IF(E1630="","",IFERROR(IF(ISNUMBER(SEARCH(Assumptions!$C$5,E1630)),Assumptions!$D$5,IF(ISNUMBER(SEARCH(Assumptions!$C$6,E1630)),Assumptions!$D$6,IF(ISNUMBER(SEARCH(Assumptions!$C$7,E1630)),Assumptions!$D$7,"Other Services"))),"Other Services"))</f>
        <v/>
      </c>
    </row>
    <row r="1631" customFormat="false" ht="15" hidden="false" customHeight="false" outlineLevel="0" collapsed="false">
      <c r="G1631" s="41" t="str">
        <f aca="false">IF(E1631="","",IFERROR(IF(ISNUMBER(SEARCH(Assumptions!$C$5,E1631)),Assumptions!$D$5,IF(ISNUMBER(SEARCH(Assumptions!$C$6,E1631)),Assumptions!$D$6,IF(ISNUMBER(SEARCH(Assumptions!$C$7,E1631)),Assumptions!$D$7,"Other Services"))),"Other Services"))</f>
        <v/>
      </c>
    </row>
    <row r="1632" customFormat="false" ht="15" hidden="false" customHeight="false" outlineLevel="0" collapsed="false">
      <c r="G1632" s="41" t="str">
        <f aca="false">IF(E1632="","",IFERROR(IF(ISNUMBER(SEARCH(Assumptions!$C$5,E1632)),Assumptions!$D$5,IF(ISNUMBER(SEARCH(Assumptions!$C$6,E1632)),Assumptions!$D$6,IF(ISNUMBER(SEARCH(Assumptions!$C$7,E1632)),Assumptions!$D$7,"Other Services"))),"Other Services"))</f>
        <v/>
      </c>
    </row>
    <row r="1633" customFormat="false" ht="15" hidden="false" customHeight="false" outlineLevel="0" collapsed="false">
      <c r="G1633" s="41" t="str">
        <f aca="false">IF(E1633="","",IFERROR(IF(ISNUMBER(SEARCH(Assumptions!$C$5,E1633)),Assumptions!$D$5,IF(ISNUMBER(SEARCH(Assumptions!$C$6,E1633)),Assumptions!$D$6,IF(ISNUMBER(SEARCH(Assumptions!$C$7,E1633)),Assumptions!$D$7,"Other Services"))),"Other Services"))</f>
        <v/>
      </c>
    </row>
    <row r="1634" customFormat="false" ht="15" hidden="false" customHeight="false" outlineLevel="0" collapsed="false">
      <c r="G1634" s="41" t="str">
        <f aca="false">IF(E1634="","",IFERROR(IF(ISNUMBER(SEARCH(Assumptions!$C$5,E1634)),Assumptions!$D$5,IF(ISNUMBER(SEARCH(Assumptions!$C$6,E1634)),Assumptions!$D$6,IF(ISNUMBER(SEARCH(Assumptions!$C$7,E1634)),Assumptions!$D$7,"Other Services"))),"Other Services"))</f>
        <v/>
      </c>
    </row>
    <row r="1635" customFormat="false" ht="15" hidden="false" customHeight="false" outlineLevel="0" collapsed="false">
      <c r="G1635" s="41" t="str">
        <f aca="false">IF(E1635="","",IFERROR(IF(ISNUMBER(SEARCH(Assumptions!$C$5,E1635)),Assumptions!$D$5,IF(ISNUMBER(SEARCH(Assumptions!$C$6,E1635)),Assumptions!$D$6,IF(ISNUMBER(SEARCH(Assumptions!$C$7,E1635)),Assumptions!$D$7,"Other Services"))),"Other Services"))</f>
        <v/>
      </c>
    </row>
    <row r="1636" customFormat="false" ht="15" hidden="false" customHeight="false" outlineLevel="0" collapsed="false">
      <c r="G1636" s="41" t="str">
        <f aca="false">IF(E1636="","",IFERROR(IF(ISNUMBER(SEARCH(Assumptions!$C$5,E1636)),Assumptions!$D$5,IF(ISNUMBER(SEARCH(Assumptions!$C$6,E1636)),Assumptions!$D$6,IF(ISNUMBER(SEARCH(Assumptions!$C$7,E1636)),Assumptions!$D$7,"Other Services"))),"Other Services"))</f>
        <v/>
      </c>
    </row>
    <row r="1637" customFormat="false" ht="15" hidden="false" customHeight="false" outlineLevel="0" collapsed="false">
      <c r="G1637" s="41" t="str">
        <f aca="false">IF(E1637="","",IFERROR(IF(ISNUMBER(SEARCH(Assumptions!$C$5,E1637)),Assumptions!$D$5,IF(ISNUMBER(SEARCH(Assumptions!$C$6,E1637)),Assumptions!$D$6,IF(ISNUMBER(SEARCH(Assumptions!$C$7,E1637)),Assumptions!$D$7,"Other Services"))),"Other Services"))</f>
        <v/>
      </c>
    </row>
    <row r="1638" customFormat="false" ht="15" hidden="false" customHeight="false" outlineLevel="0" collapsed="false">
      <c r="G1638" s="41" t="str">
        <f aca="false">IF(E1638="","",IFERROR(IF(ISNUMBER(SEARCH(Assumptions!$C$5,E1638)),Assumptions!$D$5,IF(ISNUMBER(SEARCH(Assumptions!$C$6,E1638)),Assumptions!$D$6,IF(ISNUMBER(SEARCH(Assumptions!$C$7,E1638)),Assumptions!$D$7,"Other Services"))),"Other Services"))</f>
        <v/>
      </c>
    </row>
    <row r="1639" customFormat="false" ht="15" hidden="false" customHeight="false" outlineLevel="0" collapsed="false">
      <c r="G1639" s="41" t="str">
        <f aca="false">IF(E1639="","",IFERROR(IF(ISNUMBER(SEARCH(Assumptions!$C$5,E1639)),Assumptions!$D$5,IF(ISNUMBER(SEARCH(Assumptions!$C$6,E1639)),Assumptions!$D$6,IF(ISNUMBER(SEARCH(Assumptions!$C$7,E1639)),Assumptions!$D$7,"Other Services"))),"Other Services"))</f>
        <v/>
      </c>
    </row>
    <row r="1640" customFormat="false" ht="15" hidden="false" customHeight="false" outlineLevel="0" collapsed="false">
      <c r="G1640" s="41" t="str">
        <f aca="false">IF(E1640="","",IFERROR(IF(ISNUMBER(SEARCH(Assumptions!$C$5,E1640)),Assumptions!$D$5,IF(ISNUMBER(SEARCH(Assumptions!$C$6,E1640)),Assumptions!$D$6,IF(ISNUMBER(SEARCH(Assumptions!$C$7,E1640)),Assumptions!$D$7,"Other Services"))),"Other Services"))</f>
        <v/>
      </c>
    </row>
    <row r="1641" customFormat="false" ht="15" hidden="false" customHeight="false" outlineLevel="0" collapsed="false">
      <c r="G1641" s="41" t="str">
        <f aca="false">IF(E1641="","",IFERROR(IF(ISNUMBER(SEARCH(Assumptions!$C$5,E1641)),Assumptions!$D$5,IF(ISNUMBER(SEARCH(Assumptions!$C$6,E1641)),Assumptions!$D$6,IF(ISNUMBER(SEARCH(Assumptions!$C$7,E1641)),Assumptions!$D$7,"Other Services"))),"Other Services"))</f>
        <v/>
      </c>
    </row>
    <row r="1642" customFormat="false" ht="15" hidden="false" customHeight="false" outlineLevel="0" collapsed="false">
      <c r="G1642" s="41" t="str">
        <f aca="false">IF(E1642="","",IFERROR(IF(ISNUMBER(SEARCH(Assumptions!$C$5,E1642)),Assumptions!$D$5,IF(ISNUMBER(SEARCH(Assumptions!$C$6,E1642)),Assumptions!$D$6,IF(ISNUMBER(SEARCH(Assumptions!$C$7,E1642)),Assumptions!$D$7,"Other Services"))),"Other Services"))</f>
        <v/>
      </c>
    </row>
    <row r="1643" customFormat="false" ht="15" hidden="false" customHeight="false" outlineLevel="0" collapsed="false">
      <c r="G1643" s="41" t="str">
        <f aca="false">IF(E1643="","",IFERROR(IF(ISNUMBER(SEARCH(Assumptions!$C$5,E1643)),Assumptions!$D$5,IF(ISNUMBER(SEARCH(Assumptions!$C$6,E1643)),Assumptions!$D$6,IF(ISNUMBER(SEARCH(Assumptions!$C$7,E1643)),Assumptions!$D$7,"Other Services"))),"Other Services"))</f>
        <v/>
      </c>
    </row>
    <row r="1644" customFormat="false" ht="15" hidden="false" customHeight="false" outlineLevel="0" collapsed="false">
      <c r="G1644" s="41" t="str">
        <f aca="false">IF(E1644="","",IFERROR(IF(ISNUMBER(SEARCH(Assumptions!$C$5,E1644)),Assumptions!$D$5,IF(ISNUMBER(SEARCH(Assumptions!$C$6,E1644)),Assumptions!$D$6,IF(ISNUMBER(SEARCH(Assumptions!$C$7,E1644)),Assumptions!$D$7,"Other Services"))),"Other Services"))</f>
        <v/>
      </c>
    </row>
    <row r="1645" customFormat="false" ht="15" hidden="false" customHeight="false" outlineLevel="0" collapsed="false">
      <c r="G1645" s="41" t="str">
        <f aca="false">IF(E1645="","",IFERROR(IF(ISNUMBER(SEARCH(Assumptions!$C$5,E1645)),Assumptions!$D$5,IF(ISNUMBER(SEARCH(Assumptions!$C$6,E1645)),Assumptions!$D$6,IF(ISNUMBER(SEARCH(Assumptions!$C$7,E1645)),Assumptions!$D$7,"Other Services"))),"Other Services"))</f>
        <v/>
      </c>
    </row>
    <row r="1646" customFormat="false" ht="15" hidden="false" customHeight="false" outlineLevel="0" collapsed="false">
      <c r="G1646" s="41" t="str">
        <f aca="false">IF(E1646="","",IFERROR(IF(ISNUMBER(SEARCH(Assumptions!$C$5,E1646)),Assumptions!$D$5,IF(ISNUMBER(SEARCH(Assumptions!$C$6,E1646)),Assumptions!$D$6,IF(ISNUMBER(SEARCH(Assumptions!$C$7,E1646)),Assumptions!$D$7,"Other Services"))),"Other Services"))</f>
        <v/>
      </c>
    </row>
    <row r="1647" customFormat="false" ht="15" hidden="false" customHeight="false" outlineLevel="0" collapsed="false">
      <c r="G1647" s="41" t="str">
        <f aca="false">IF(E1647="","",IFERROR(IF(ISNUMBER(SEARCH(Assumptions!$C$5,E1647)),Assumptions!$D$5,IF(ISNUMBER(SEARCH(Assumptions!$C$6,E1647)),Assumptions!$D$6,IF(ISNUMBER(SEARCH(Assumptions!$C$7,E1647)),Assumptions!$D$7,"Other Services"))),"Other Services"))</f>
        <v/>
      </c>
    </row>
    <row r="1648" customFormat="false" ht="15" hidden="false" customHeight="false" outlineLevel="0" collapsed="false">
      <c r="G1648" s="41" t="str">
        <f aca="false">IF(E1648="","",IFERROR(IF(ISNUMBER(SEARCH(Assumptions!$C$5,E1648)),Assumptions!$D$5,IF(ISNUMBER(SEARCH(Assumptions!$C$6,E1648)),Assumptions!$D$6,IF(ISNUMBER(SEARCH(Assumptions!$C$7,E1648)),Assumptions!$D$7,"Other Services"))),"Other Services"))</f>
        <v/>
      </c>
    </row>
    <row r="1649" customFormat="false" ht="15" hidden="false" customHeight="false" outlineLevel="0" collapsed="false">
      <c r="G1649" s="41" t="str">
        <f aca="false">IF(E1649="","",IFERROR(IF(ISNUMBER(SEARCH(Assumptions!$C$5,E1649)),Assumptions!$D$5,IF(ISNUMBER(SEARCH(Assumptions!$C$6,E1649)),Assumptions!$D$6,IF(ISNUMBER(SEARCH(Assumptions!$C$7,E1649)),Assumptions!$D$7,"Other Services"))),"Other Services"))</f>
        <v/>
      </c>
    </row>
    <row r="1650" customFormat="false" ht="15" hidden="false" customHeight="false" outlineLevel="0" collapsed="false">
      <c r="G1650" s="41" t="str">
        <f aca="false">IF(E1650="","",IFERROR(IF(ISNUMBER(SEARCH(Assumptions!$C$5,E1650)),Assumptions!$D$5,IF(ISNUMBER(SEARCH(Assumptions!$C$6,E1650)),Assumptions!$D$6,IF(ISNUMBER(SEARCH(Assumptions!$C$7,E1650)),Assumptions!$D$7,"Other Services"))),"Other Services"))</f>
        <v/>
      </c>
    </row>
    <row r="1651" customFormat="false" ht="15" hidden="false" customHeight="false" outlineLevel="0" collapsed="false">
      <c r="G1651" s="41" t="str">
        <f aca="false">IF(E1651="","",IFERROR(IF(ISNUMBER(SEARCH(Assumptions!$C$5,E1651)),Assumptions!$D$5,IF(ISNUMBER(SEARCH(Assumptions!$C$6,E1651)),Assumptions!$D$6,IF(ISNUMBER(SEARCH(Assumptions!$C$7,E1651)),Assumptions!$D$7,"Other Services"))),"Other Services"))</f>
        <v/>
      </c>
    </row>
    <row r="1652" customFormat="false" ht="15" hidden="false" customHeight="false" outlineLevel="0" collapsed="false">
      <c r="G1652" s="41" t="str">
        <f aca="false">IF(E1652="","",IFERROR(IF(ISNUMBER(SEARCH(Assumptions!$C$5,E1652)),Assumptions!$D$5,IF(ISNUMBER(SEARCH(Assumptions!$C$6,E1652)),Assumptions!$D$6,IF(ISNUMBER(SEARCH(Assumptions!$C$7,E1652)),Assumptions!$D$7,"Other Services"))),"Other Services"))</f>
        <v/>
      </c>
    </row>
    <row r="1653" customFormat="false" ht="15" hidden="false" customHeight="false" outlineLevel="0" collapsed="false">
      <c r="G1653" s="41" t="str">
        <f aca="false">IF(E1653="","",IFERROR(IF(ISNUMBER(SEARCH(Assumptions!$C$5,E1653)),Assumptions!$D$5,IF(ISNUMBER(SEARCH(Assumptions!$C$6,E1653)),Assumptions!$D$6,IF(ISNUMBER(SEARCH(Assumptions!$C$7,E1653)),Assumptions!$D$7,"Other Services"))),"Other Services"))</f>
        <v/>
      </c>
    </row>
    <row r="1654" customFormat="false" ht="15" hidden="false" customHeight="false" outlineLevel="0" collapsed="false">
      <c r="G1654" s="41" t="str">
        <f aca="false">IF(E1654="","",IFERROR(IF(ISNUMBER(SEARCH(Assumptions!$C$5,E1654)),Assumptions!$D$5,IF(ISNUMBER(SEARCH(Assumptions!$C$6,E1654)),Assumptions!$D$6,IF(ISNUMBER(SEARCH(Assumptions!$C$7,E1654)),Assumptions!$D$7,"Other Services"))),"Other Services"))</f>
        <v/>
      </c>
    </row>
    <row r="1655" customFormat="false" ht="15" hidden="false" customHeight="false" outlineLevel="0" collapsed="false">
      <c r="G1655" s="41" t="str">
        <f aca="false">IF(E1655="","",IFERROR(IF(ISNUMBER(SEARCH(Assumptions!$C$5,E1655)),Assumptions!$D$5,IF(ISNUMBER(SEARCH(Assumptions!$C$6,E1655)),Assumptions!$D$6,IF(ISNUMBER(SEARCH(Assumptions!$C$7,E1655)),Assumptions!$D$7,"Other Services"))),"Other Services"))</f>
        <v/>
      </c>
    </row>
    <row r="1656" customFormat="false" ht="15" hidden="false" customHeight="false" outlineLevel="0" collapsed="false">
      <c r="G1656" s="41" t="str">
        <f aca="false">IF(E1656="","",IFERROR(IF(ISNUMBER(SEARCH(Assumptions!$C$5,E1656)),Assumptions!$D$5,IF(ISNUMBER(SEARCH(Assumptions!$C$6,E1656)),Assumptions!$D$6,IF(ISNUMBER(SEARCH(Assumptions!$C$7,E1656)),Assumptions!$D$7,"Other Services"))),"Other Services"))</f>
        <v/>
      </c>
    </row>
    <row r="1657" customFormat="false" ht="15" hidden="false" customHeight="false" outlineLevel="0" collapsed="false">
      <c r="G1657" s="41" t="str">
        <f aca="false">IF(E1657="","",IFERROR(IF(ISNUMBER(SEARCH(Assumptions!$C$5,E1657)),Assumptions!$D$5,IF(ISNUMBER(SEARCH(Assumptions!$C$6,E1657)),Assumptions!$D$6,IF(ISNUMBER(SEARCH(Assumptions!$C$7,E1657)),Assumptions!$D$7,"Other Services"))),"Other Services"))</f>
        <v/>
      </c>
    </row>
    <row r="1658" customFormat="false" ht="15" hidden="false" customHeight="false" outlineLevel="0" collapsed="false">
      <c r="G1658" s="41" t="str">
        <f aca="false">IF(E1658="","",IFERROR(IF(ISNUMBER(SEARCH(Assumptions!$C$5,E1658)),Assumptions!$D$5,IF(ISNUMBER(SEARCH(Assumptions!$C$6,E1658)),Assumptions!$D$6,IF(ISNUMBER(SEARCH(Assumptions!$C$7,E1658)),Assumptions!$D$7,"Other Services"))),"Other Services"))</f>
        <v/>
      </c>
    </row>
    <row r="1659" customFormat="false" ht="15" hidden="false" customHeight="false" outlineLevel="0" collapsed="false">
      <c r="G1659" s="41" t="str">
        <f aca="false">IF(E1659="","",IFERROR(IF(ISNUMBER(SEARCH(Assumptions!$C$5,E1659)),Assumptions!$D$5,IF(ISNUMBER(SEARCH(Assumptions!$C$6,E1659)),Assumptions!$D$6,IF(ISNUMBER(SEARCH(Assumptions!$C$7,E1659)),Assumptions!$D$7,"Other Services"))),"Other Services"))</f>
        <v/>
      </c>
    </row>
    <row r="1660" customFormat="false" ht="15" hidden="false" customHeight="false" outlineLevel="0" collapsed="false">
      <c r="G1660" s="41" t="str">
        <f aca="false">IF(E1660="","",IFERROR(IF(ISNUMBER(SEARCH(Assumptions!$C$5,E1660)),Assumptions!$D$5,IF(ISNUMBER(SEARCH(Assumptions!$C$6,E1660)),Assumptions!$D$6,IF(ISNUMBER(SEARCH(Assumptions!$C$7,E1660)),Assumptions!$D$7,"Other Services"))),"Other Services"))</f>
        <v/>
      </c>
    </row>
    <row r="1661" customFormat="false" ht="15" hidden="false" customHeight="false" outlineLevel="0" collapsed="false">
      <c r="G1661" s="41" t="str">
        <f aca="false">IF(E1661="","",IFERROR(IF(ISNUMBER(SEARCH(Assumptions!$C$5,E1661)),Assumptions!$D$5,IF(ISNUMBER(SEARCH(Assumptions!$C$6,E1661)),Assumptions!$D$6,IF(ISNUMBER(SEARCH(Assumptions!$C$7,E1661)),Assumptions!$D$7,"Other Services"))),"Other Services"))</f>
        <v/>
      </c>
    </row>
    <row r="1662" customFormat="false" ht="15" hidden="false" customHeight="false" outlineLevel="0" collapsed="false">
      <c r="G1662" s="41" t="str">
        <f aca="false">IF(E1662="","",IFERROR(IF(ISNUMBER(SEARCH(Assumptions!$C$5,E1662)),Assumptions!$D$5,IF(ISNUMBER(SEARCH(Assumptions!$C$6,E1662)),Assumptions!$D$6,IF(ISNUMBER(SEARCH(Assumptions!$C$7,E1662)),Assumptions!$D$7,"Other Services"))),"Other Services"))</f>
        <v/>
      </c>
    </row>
    <row r="1663" customFormat="false" ht="15" hidden="false" customHeight="false" outlineLevel="0" collapsed="false">
      <c r="G1663" s="41" t="str">
        <f aca="false">IF(E1663="","",IFERROR(IF(ISNUMBER(SEARCH(Assumptions!$C$5,E1663)),Assumptions!$D$5,IF(ISNUMBER(SEARCH(Assumptions!$C$6,E1663)),Assumptions!$D$6,IF(ISNUMBER(SEARCH(Assumptions!$C$7,E1663)),Assumptions!$D$7,"Other Services"))),"Other Services"))</f>
        <v/>
      </c>
    </row>
    <row r="1664" customFormat="false" ht="15" hidden="false" customHeight="false" outlineLevel="0" collapsed="false">
      <c r="G1664" s="41" t="str">
        <f aca="false">IF(E1664="","",IFERROR(IF(ISNUMBER(SEARCH(Assumptions!$C$5,E1664)),Assumptions!$D$5,IF(ISNUMBER(SEARCH(Assumptions!$C$6,E1664)),Assumptions!$D$6,IF(ISNUMBER(SEARCH(Assumptions!$C$7,E1664)),Assumptions!$D$7,"Other Services"))),"Other Services"))</f>
        <v/>
      </c>
    </row>
    <row r="1665" customFormat="false" ht="15" hidden="false" customHeight="false" outlineLevel="0" collapsed="false">
      <c r="G1665" s="41" t="str">
        <f aca="false">IF(E1665="","",IFERROR(IF(ISNUMBER(SEARCH(Assumptions!$C$5,E1665)),Assumptions!$D$5,IF(ISNUMBER(SEARCH(Assumptions!$C$6,E1665)),Assumptions!$D$6,IF(ISNUMBER(SEARCH(Assumptions!$C$7,E1665)),Assumptions!$D$7,"Other Services"))),"Other Services"))</f>
        <v/>
      </c>
    </row>
    <row r="1666" customFormat="false" ht="15" hidden="false" customHeight="false" outlineLevel="0" collapsed="false">
      <c r="G1666" s="41" t="str">
        <f aca="false">IF(E1666="","",IFERROR(IF(ISNUMBER(SEARCH(Assumptions!$C$5,E1666)),Assumptions!$D$5,IF(ISNUMBER(SEARCH(Assumptions!$C$6,E1666)),Assumptions!$D$6,IF(ISNUMBER(SEARCH(Assumptions!$C$7,E1666)),Assumptions!$D$7,"Other Services"))),"Other Services"))</f>
        <v/>
      </c>
    </row>
    <row r="1667" customFormat="false" ht="15" hidden="false" customHeight="false" outlineLevel="0" collapsed="false">
      <c r="G1667" s="41" t="str">
        <f aca="false">IF(E1667="","",IFERROR(IF(ISNUMBER(SEARCH(Assumptions!$C$5,E1667)),Assumptions!$D$5,IF(ISNUMBER(SEARCH(Assumptions!$C$6,E1667)),Assumptions!$D$6,IF(ISNUMBER(SEARCH(Assumptions!$C$7,E1667)),Assumptions!$D$7,"Other Services"))),"Other Services"))</f>
        <v/>
      </c>
    </row>
    <row r="1668" customFormat="false" ht="15" hidden="false" customHeight="false" outlineLevel="0" collapsed="false">
      <c r="G1668" s="41" t="str">
        <f aca="false">IF(E1668="","",IFERROR(IF(ISNUMBER(SEARCH(Assumptions!$C$5,E1668)),Assumptions!$D$5,IF(ISNUMBER(SEARCH(Assumptions!$C$6,E1668)),Assumptions!$D$6,IF(ISNUMBER(SEARCH(Assumptions!$C$7,E1668)),Assumptions!$D$7,"Other Services"))),"Other Services"))</f>
        <v/>
      </c>
    </row>
    <row r="1669" customFormat="false" ht="15" hidden="false" customHeight="false" outlineLevel="0" collapsed="false">
      <c r="G1669" s="41" t="str">
        <f aca="false">IF(E1669="","",IFERROR(IF(ISNUMBER(SEARCH(Assumptions!$C$5,E1669)),Assumptions!$D$5,IF(ISNUMBER(SEARCH(Assumptions!$C$6,E1669)),Assumptions!$D$6,IF(ISNUMBER(SEARCH(Assumptions!$C$7,E1669)),Assumptions!$D$7,"Other Services"))),"Other Services"))</f>
        <v/>
      </c>
    </row>
    <row r="1670" customFormat="false" ht="15" hidden="false" customHeight="false" outlineLevel="0" collapsed="false">
      <c r="G1670" s="41" t="str">
        <f aca="false">IF(E1670="","",IFERROR(IF(ISNUMBER(SEARCH(Assumptions!$C$5,E1670)),Assumptions!$D$5,IF(ISNUMBER(SEARCH(Assumptions!$C$6,E1670)),Assumptions!$D$6,IF(ISNUMBER(SEARCH(Assumptions!$C$7,E1670)),Assumptions!$D$7,"Other Services"))),"Other Services"))</f>
        <v/>
      </c>
    </row>
    <row r="1671" customFormat="false" ht="15" hidden="false" customHeight="false" outlineLevel="0" collapsed="false">
      <c r="G1671" s="41" t="str">
        <f aca="false">IF(E1671="","",IFERROR(IF(ISNUMBER(SEARCH(Assumptions!$C$5,E1671)),Assumptions!$D$5,IF(ISNUMBER(SEARCH(Assumptions!$C$6,E1671)),Assumptions!$D$6,IF(ISNUMBER(SEARCH(Assumptions!$C$7,E1671)),Assumptions!$D$7,"Other Services"))),"Other Services"))</f>
        <v/>
      </c>
    </row>
    <row r="1672" customFormat="false" ht="15" hidden="false" customHeight="false" outlineLevel="0" collapsed="false">
      <c r="G1672" s="41" t="str">
        <f aca="false">IF(E1672="","",IFERROR(IF(ISNUMBER(SEARCH(Assumptions!$C$5,E1672)),Assumptions!$D$5,IF(ISNUMBER(SEARCH(Assumptions!$C$6,E1672)),Assumptions!$D$6,IF(ISNUMBER(SEARCH(Assumptions!$C$7,E1672)),Assumptions!$D$7,"Other Services"))),"Other Services"))</f>
        <v/>
      </c>
    </row>
    <row r="1673" customFormat="false" ht="15" hidden="false" customHeight="false" outlineLevel="0" collapsed="false">
      <c r="G1673" s="41" t="str">
        <f aca="false">IF(E1673="","",IFERROR(IF(ISNUMBER(SEARCH(Assumptions!$C$5,E1673)),Assumptions!$D$5,IF(ISNUMBER(SEARCH(Assumptions!$C$6,E1673)),Assumptions!$D$6,IF(ISNUMBER(SEARCH(Assumptions!$C$7,E1673)),Assumptions!$D$7,"Other Services"))),"Other Services"))</f>
        <v/>
      </c>
    </row>
    <row r="1674" customFormat="false" ht="15" hidden="false" customHeight="false" outlineLevel="0" collapsed="false">
      <c r="G1674" s="41" t="str">
        <f aca="false">IF(E1674="","",IFERROR(IF(ISNUMBER(SEARCH(Assumptions!$C$5,E1674)),Assumptions!$D$5,IF(ISNUMBER(SEARCH(Assumptions!$C$6,E1674)),Assumptions!$D$6,IF(ISNUMBER(SEARCH(Assumptions!$C$7,E1674)),Assumptions!$D$7,"Other Services"))),"Other Services"))</f>
        <v/>
      </c>
    </row>
    <row r="1675" customFormat="false" ht="15" hidden="false" customHeight="false" outlineLevel="0" collapsed="false">
      <c r="G1675" s="41" t="str">
        <f aca="false">IF(E1675="","",IFERROR(IF(ISNUMBER(SEARCH(Assumptions!$C$5,E1675)),Assumptions!$D$5,IF(ISNUMBER(SEARCH(Assumptions!$C$6,E1675)),Assumptions!$D$6,IF(ISNUMBER(SEARCH(Assumptions!$C$7,E1675)),Assumptions!$D$7,"Other Services"))),"Other Services"))</f>
        <v/>
      </c>
    </row>
    <row r="1676" customFormat="false" ht="15" hidden="false" customHeight="false" outlineLevel="0" collapsed="false">
      <c r="G1676" s="41" t="str">
        <f aca="false">IF(E1676="","",IFERROR(IF(ISNUMBER(SEARCH(Assumptions!$C$5,E1676)),Assumptions!$D$5,IF(ISNUMBER(SEARCH(Assumptions!$C$6,E1676)),Assumptions!$D$6,IF(ISNUMBER(SEARCH(Assumptions!$C$7,E1676)),Assumptions!$D$7,"Other Services"))),"Other Services"))</f>
        <v/>
      </c>
    </row>
    <row r="1677" customFormat="false" ht="15" hidden="false" customHeight="false" outlineLevel="0" collapsed="false">
      <c r="G1677" s="41" t="str">
        <f aca="false">IF(E1677="","",IFERROR(IF(ISNUMBER(SEARCH(Assumptions!$C$5,E1677)),Assumptions!$D$5,IF(ISNUMBER(SEARCH(Assumptions!$C$6,E1677)),Assumptions!$D$6,IF(ISNUMBER(SEARCH(Assumptions!$C$7,E1677)),Assumptions!$D$7,"Other Services"))),"Other Services"))</f>
        <v/>
      </c>
    </row>
    <row r="1678" customFormat="false" ht="15" hidden="false" customHeight="false" outlineLevel="0" collapsed="false">
      <c r="G1678" s="41" t="str">
        <f aca="false">IF(E1678="","",IFERROR(IF(ISNUMBER(SEARCH(Assumptions!$C$5,E1678)),Assumptions!$D$5,IF(ISNUMBER(SEARCH(Assumptions!$C$6,E1678)),Assumptions!$D$6,IF(ISNUMBER(SEARCH(Assumptions!$C$7,E1678)),Assumptions!$D$7,"Other Services"))),"Other Services"))</f>
        <v/>
      </c>
    </row>
    <row r="1679" customFormat="false" ht="15" hidden="false" customHeight="false" outlineLevel="0" collapsed="false">
      <c r="G1679" s="41" t="str">
        <f aca="false">IF(E1679="","",IFERROR(IF(ISNUMBER(SEARCH(Assumptions!$C$5,E1679)),Assumptions!$D$5,IF(ISNUMBER(SEARCH(Assumptions!$C$6,E1679)),Assumptions!$D$6,IF(ISNUMBER(SEARCH(Assumptions!$C$7,E1679)),Assumptions!$D$7,"Other Services"))),"Other Services"))</f>
        <v/>
      </c>
    </row>
    <row r="1680" customFormat="false" ht="15" hidden="false" customHeight="false" outlineLevel="0" collapsed="false">
      <c r="G1680" s="41" t="str">
        <f aca="false">IF(E1680="","",IFERROR(IF(ISNUMBER(SEARCH(Assumptions!$C$5,E1680)),Assumptions!$D$5,IF(ISNUMBER(SEARCH(Assumptions!$C$6,E1680)),Assumptions!$D$6,IF(ISNUMBER(SEARCH(Assumptions!$C$7,E1680)),Assumptions!$D$7,"Other Services"))),"Other Services"))</f>
        <v/>
      </c>
    </row>
    <row r="1681" customFormat="false" ht="15" hidden="false" customHeight="false" outlineLevel="0" collapsed="false">
      <c r="G1681" s="41" t="str">
        <f aca="false">IF(E1681="","",IFERROR(IF(ISNUMBER(SEARCH(Assumptions!$C$5,E1681)),Assumptions!$D$5,IF(ISNUMBER(SEARCH(Assumptions!$C$6,E1681)),Assumptions!$D$6,IF(ISNUMBER(SEARCH(Assumptions!$C$7,E1681)),Assumptions!$D$7,"Other Services"))),"Other Services"))</f>
        <v/>
      </c>
    </row>
    <row r="1682" customFormat="false" ht="15" hidden="false" customHeight="false" outlineLevel="0" collapsed="false">
      <c r="G1682" s="41" t="str">
        <f aca="false">IF(E1682="","",IFERROR(IF(ISNUMBER(SEARCH(Assumptions!$C$5,E1682)),Assumptions!$D$5,IF(ISNUMBER(SEARCH(Assumptions!$C$6,E1682)),Assumptions!$D$6,IF(ISNUMBER(SEARCH(Assumptions!$C$7,E1682)),Assumptions!$D$7,"Other Services"))),"Other Services"))</f>
        <v/>
      </c>
    </row>
    <row r="1683" customFormat="false" ht="15" hidden="false" customHeight="false" outlineLevel="0" collapsed="false">
      <c r="G1683" s="41" t="str">
        <f aca="false">IF(E1683="","",IFERROR(IF(ISNUMBER(SEARCH(Assumptions!$C$5,E1683)),Assumptions!$D$5,IF(ISNUMBER(SEARCH(Assumptions!$C$6,E1683)),Assumptions!$D$6,IF(ISNUMBER(SEARCH(Assumptions!$C$7,E1683)),Assumptions!$D$7,"Other Services"))),"Other Services"))</f>
        <v/>
      </c>
    </row>
    <row r="1684" customFormat="false" ht="15" hidden="false" customHeight="false" outlineLevel="0" collapsed="false">
      <c r="G1684" s="41" t="str">
        <f aca="false">IF(E1684="","",IFERROR(IF(ISNUMBER(SEARCH(Assumptions!$C$5,E1684)),Assumptions!$D$5,IF(ISNUMBER(SEARCH(Assumptions!$C$6,E1684)),Assumptions!$D$6,IF(ISNUMBER(SEARCH(Assumptions!$C$7,E1684)),Assumptions!$D$7,"Other Services"))),"Other Services"))</f>
        <v/>
      </c>
    </row>
    <row r="1685" customFormat="false" ht="15" hidden="false" customHeight="false" outlineLevel="0" collapsed="false">
      <c r="G1685" s="41" t="str">
        <f aca="false">IF(E1685="","",IFERROR(IF(ISNUMBER(SEARCH(Assumptions!$C$5,E1685)),Assumptions!$D$5,IF(ISNUMBER(SEARCH(Assumptions!$C$6,E1685)),Assumptions!$D$6,IF(ISNUMBER(SEARCH(Assumptions!$C$7,E1685)),Assumptions!$D$7,"Other Services"))),"Other Services"))</f>
        <v/>
      </c>
    </row>
    <row r="1686" customFormat="false" ht="15" hidden="false" customHeight="false" outlineLevel="0" collapsed="false">
      <c r="G1686" s="41" t="str">
        <f aca="false">IF(E1686="","",IFERROR(IF(ISNUMBER(SEARCH(Assumptions!$C$5,E1686)),Assumptions!$D$5,IF(ISNUMBER(SEARCH(Assumptions!$C$6,E1686)),Assumptions!$D$6,IF(ISNUMBER(SEARCH(Assumptions!$C$7,E1686)),Assumptions!$D$7,"Other Services"))),"Other Services"))</f>
        <v/>
      </c>
    </row>
    <row r="1687" customFormat="false" ht="15" hidden="false" customHeight="false" outlineLevel="0" collapsed="false">
      <c r="G1687" s="41" t="str">
        <f aca="false">IF(E1687="","",IFERROR(IF(ISNUMBER(SEARCH(Assumptions!$C$5,E1687)),Assumptions!$D$5,IF(ISNUMBER(SEARCH(Assumptions!$C$6,E1687)),Assumptions!$D$6,IF(ISNUMBER(SEARCH(Assumptions!$C$7,E1687)),Assumptions!$D$7,"Other Services"))),"Other Services"))</f>
        <v/>
      </c>
    </row>
    <row r="1688" customFormat="false" ht="15" hidden="false" customHeight="false" outlineLevel="0" collapsed="false">
      <c r="G1688" s="41" t="str">
        <f aca="false">IF(E1688="","",IFERROR(IF(ISNUMBER(SEARCH(Assumptions!$C$5,E1688)),Assumptions!$D$5,IF(ISNUMBER(SEARCH(Assumptions!$C$6,E1688)),Assumptions!$D$6,IF(ISNUMBER(SEARCH(Assumptions!$C$7,E1688)),Assumptions!$D$7,"Other Services"))),"Other Services"))</f>
        <v/>
      </c>
    </row>
    <row r="1689" customFormat="false" ht="15" hidden="false" customHeight="false" outlineLevel="0" collapsed="false">
      <c r="G1689" s="41" t="str">
        <f aca="false">IF(E1689="","",IFERROR(IF(ISNUMBER(SEARCH(Assumptions!$C$5,E1689)),Assumptions!$D$5,IF(ISNUMBER(SEARCH(Assumptions!$C$6,E1689)),Assumptions!$D$6,IF(ISNUMBER(SEARCH(Assumptions!$C$7,E1689)),Assumptions!$D$7,"Other Services"))),"Other Services"))</f>
        <v/>
      </c>
    </row>
    <row r="1690" customFormat="false" ht="15" hidden="false" customHeight="false" outlineLevel="0" collapsed="false">
      <c r="G1690" s="41" t="str">
        <f aca="false">IF(E1690="","",IFERROR(IF(ISNUMBER(SEARCH(Assumptions!$C$5,E1690)),Assumptions!$D$5,IF(ISNUMBER(SEARCH(Assumptions!$C$6,E1690)),Assumptions!$D$6,IF(ISNUMBER(SEARCH(Assumptions!$C$7,E1690)),Assumptions!$D$7,"Other Services"))),"Other Services"))</f>
        <v/>
      </c>
    </row>
    <row r="1691" customFormat="false" ht="15" hidden="false" customHeight="false" outlineLevel="0" collapsed="false">
      <c r="G1691" s="41" t="str">
        <f aca="false">IF(E1691="","",IFERROR(IF(ISNUMBER(SEARCH(Assumptions!$C$5,E1691)),Assumptions!$D$5,IF(ISNUMBER(SEARCH(Assumptions!$C$6,E1691)),Assumptions!$D$6,IF(ISNUMBER(SEARCH(Assumptions!$C$7,E1691)),Assumptions!$D$7,"Other Services"))),"Other Services"))</f>
        <v/>
      </c>
    </row>
    <row r="1692" customFormat="false" ht="15" hidden="false" customHeight="false" outlineLevel="0" collapsed="false">
      <c r="G1692" s="41" t="str">
        <f aca="false">IF(E1692="","",IFERROR(IF(ISNUMBER(SEARCH(Assumptions!$C$5,E1692)),Assumptions!$D$5,IF(ISNUMBER(SEARCH(Assumptions!$C$6,E1692)),Assumptions!$D$6,IF(ISNUMBER(SEARCH(Assumptions!$C$7,E1692)),Assumptions!$D$7,"Other Services"))),"Other Services"))</f>
        <v/>
      </c>
    </row>
    <row r="1693" customFormat="false" ht="15" hidden="false" customHeight="false" outlineLevel="0" collapsed="false">
      <c r="G1693" s="41" t="str">
        <f aca="false">IF(E1693="","",IFERROR(IF(ISNUMBER(SEARCH(Assumptions!$C$5,E1693)),Assumptions!$D$5,IF(ISNUMBER(SEARCH(Assumptions!$C$6,E1693)),Assumptions!$D$6,IF(ISNUMBER(SEARCH(Assumptions!$C$7,E1693)),Assumptions!$D$7,"Other Services"))),"Other Services"))</f>
        <v/>
      </c>
    </row>
    <row r="1694" customFormat="false" ht="15" hidden="false" customHeight="false" outlineLevel="0" collapsed="false">
      <c r="G1694" s="41" t="str">
        <f aca="false">IF(E1694="","",IFERROR(IF(ISNUMBER(SEARCH(Assumptions!$C$5,E1694)),Assumptions!$D$5,IF(ISNUMBER(SEARCH(Assumptions!$C$6,E1694)),Assumptions!$D$6,IF(ISNUMBER(SEARCH(Assumptions!$C$7,E1694)),Assumptions!$D$7,"Other Services"))),"Other Services"))</f>
        <v/>
      </c>
    </row>
    <row r="1695" customFormat="false" ht="15" hidden="false" customHeight="false" outlineLevel="0" collapsed="false">
      <c r="G1695" s="41" t="str">
        <f aca="false">IF(E1695="","",IFERROR(IF(ISNUMBER(SEARCH(Assumptions!$C$5,E1695)),Assumptions!$D$5,IF(ISNUMBER(SEARCH(Assumptions!$C$6,E1695)),Assumptions!$D$6,IF(ISNUMBER(SEARCH(Assumptions!$C$7,E1695)),Assumptions!$D$7,"Other Services"))),"Other Services"))</f>
        <v/>
      </c>
    </row>
    <row r="1696" customFormat="false" ht="15" hidden="false" customHeight="false" outlineLevel="0" collapsed="false">
      <c r="G1696" s="41" t="str">
        <f aca="false">IF(E1696="","",IFERROR(IF(ISNUMBER(SEARCH(Assumptions!$C$5,E1696)),Assumptions!$D$5,IF(ISNUMBER(SEARCH(Assumptions!$C$6,E1696)),Assumptions!$D$6,IF(ISNUMBER(SEARCH(Assumptions!$C$7,E1696)),Assumptions!$D$7,"Other Services"))),"Other Services"))</f>
        <v/>
      </c>
    </row>
    <row r="1697" customFormat="false" ht="15" hidden="false" customHeight="false" outlineLevel="0" collapsed="false">
      <c r="G1697" s="41" t="str">
        <f aca="false">IF(E1697="","",IFERROR(IF(ISNUMBER(SEARCH(Assumptions!$C$5,E1697)),Assumptions!$D$5,IF(ISNUMBER(SEARCH(Assumptions!$C$6,E1697)),Assumptions!$D$6,IF(ISNUMBER(SEARCH(Assumptions!$C$7,E1697)),Assumptions!$D$7,"Other Services"))),"Other Services"))</f>
        <v/>
      </c>
    </row>
    <row r="1698" customFormat="false" ht="15" hidden="false" customHeight="false" outlineLevel="0" collapsed="false">
      <c r="G1698" s="41" t="str">
        <f aca="false">IF(E1698="","",IFERROR(IF(ISNUMBER(SEARCH(Assumptions!$C$5,E1698)),Assumptions!$D$5,IF(ISNUMBER(SEARCH(Assumptions!$C$6,E1698)),Assumptions!$D$6,IF(ISNUMBER(SEARCH(Assumptions!$C$7,E1698)),Assumptions!$D$7,"Other Services"))),"Other Services"))</f>
        <v/>
      </c>
    </row>
    <row r="1699" customFormat="false" ht="15" hidden="false" customHeight="false" outlineLevel="0" collapsed="false">
      <c r="G1699" s="41" t="str">
        <f aca="false">IF(E1699="","",IFERROR(IF(ISNUMBER(SEARCH(Assumptions!$C$5,E1699)),Assumptions!$D$5,IF(ISNUMBER(SEARCH(Assumptions!$C$6,E1699)),Assumptions!$D$6,IF(ISNUMBER(SEARCH(Assumptions!$C$7,E1699)),Assumptions!$D$7,"Other Services"))),"Other Services"))</f>
        <v/>
      </c>
    </row>
    <row r="1700" customFormat="false" ht="15" hidden="false" customHeight="false" outlineLevel="0" collapsed="false">
      <c r="G1700" s="41" t="str">
        <f aca="false">IF(E1700="","",IFERROR(IF(ISNUMBER(SEARCH(Assumptions!$C$5,E1700)),Assumptions!$D$5,IF(ISNUMBER(SEARCH(Assumptions!$C$6,E1700)),Assumptions!$D$6,IF(ISNUMBER(SEARCH(Assumptions!$C$7,E1700)),Assumptions!$D$7,"Other Services"))),"Other Services"))</f>
        <v/>
      </c>
    </row>
    <row r="1701" customFormat="false" ht="15" hidden="false" customHeight="false" outlineLevel="0" collapsed="false">
      <c r="G1701" s="41" t="str">
        <f aca="false">IF(E1701="","",IFERROR(IF(ISNUMBER(SEARCH(Assumptions!$C$5,E1701)),Assumptions!$D$5,IF(ISNUMBER(SEARCH(Assumptions!$C$6,E1701)),Assumptions!$D$6,IF(ISNUMBER(SEARCH(Assumptions!$C$7,E1701)),Assumptions!$D$7,"Other Services"))),"Other Services"))</f>
        <v/>
      </c>
    </row>
    <row r="1702" customFormat="false" ht="15" hidden="false" customHeight="false" outlineLevel="0" collapsed="false">
      <c r="G1702" s="41" t="str">
        <f aca="false">IF(E1702="","",IFERROR(IF(ISNUMBER(SEARCH(Assumptions!$C$5,E1702)),Assumptions!$D$5,IF(ISNUMBER(SEARCH(Assumptions!$C$6,E1702)),Assumptions!$D$6,IF(ISNUMBER(SEARCH(Assumptions!$C$7,E1702)),Assumptions!$D$7,"Other Services"))),"Other Services"))</f>
        <v/>
      </c>
    </row>
    <row r="1703" customFormat="false" ht="15" hidden="false" customHeight="false" outlineLevel="0" collapsed="false">
      <c r="G1703" s="41" t="str">
        <f aca="false">IF(E1703="","",IFERROR(IF(ISNUMBER(SEARCH(Assumptions!$C$5,E1703)),Assumptions!$D$5,IF(ISNUMBER(SEARCH(Assumptions!$C$6,E1703)),Assumptions!$D$6,IF(ISNUMBER(SEARCH(Assumptions!$C$7,E1703)),Assumptions!$D$7,"Other Services"))),"Other Services"))</f>
        <v/>
      </c>
    </row>
    <row r="1704" customFormat="false" ht="15" hidden="false" customHeight="false" outlineLevel="0" collapsed="false">
      <c r="G1704" s="41" t="str">
        <f aca="false">IF(E1704="","",IFERROR(IF(ISNUMBER(SEARCH(Assumptions!$C$5,E1704)),Assumptions!$D$5,IF(ISNUMBER(SEARCH(Assumptions!$C$6,E1704)),Assumptions!$D$6,IF(ISNUMBER(SEARCH(Assumptions!$C$7,E1704)),Assumptions!$D$7,"Other Services"))),"Other Services"))</f>
        <v/>
      </c>
    </row>
    <row r="1705" customFormat="false" ht="15" hidden="false" customHeight="false" outlineLevel="0" collapsed="false">
      <c r="G1705" s="41" t="str">
        <f aca="false">IF(E1705="","",IFERROR(IF(ISNUMBER(SEARCH(Assumptions!$C$5,E1705)),Assumptions!$D$5,IF(ISNUMBER(SEARCH(Assumptions!$C$6,E1705)),Assumptions!$D$6,IF(ISNUMBER(SEARCH(Assumptions!$C$7,E1705)),Assumptions!$D$7,"Other Services"))),"Other Services"))</f>
        <v/>
      </c>
    </row>
    <row r="1706" customFormat="false" ht="15" hidden="false" customHeight="false" outlineLevel="0" collapsed="false">
      <c r="G1706" s="41" t="str">
        <f aca="false">IF(E1706="","",IFERROR(IF(ISNUMBER(SEARCH(Assumptions!$C$5,E1706)),Assumptions!$D$5,IF(ISNUMBER(SEARCH(Assumptions!$C$6,E1706)),Assumptions!$D$6,IF(ISNUMBER(SEARCH(Assumptions!$C$7,E1706)),Assumptions!$D$7,"Other Services"))),"Other Services"))</f>
        <v/>
      </c>
    </row>
    <row r="1707" customFormat="false" ht="15" hidden="false" customHeight="false" outlineLevel="0" collapsed="false">
      <c r="G1707" s="41" t="str">
        <f aca="false">IF(E1707="","",IFERROR(IF(ISNUMBER(SEARCH(Assumptions!$C$5,E1707)),Assumptions!$D$5,IF(ISNUMBER(SEARCH(Assumptions!$C$6,E1707)),Assumptions!$D$6,IF(ISNUMBER(SEARCH(Assumptions!$C$7,E1707)),Assumptions!$D$7,"Other Services"))),"Other Services"))</f>
        <v/>
      </c>
    </row>
    <row r="1708" customFormat="false" ht="15" hidden="false" customHeight="false" outlineLevel="0" collapsed="false">
      <c r="G1708" s="41" t="str">
        <f aca="false">IF(E1708="","",IFERROR(IF(ISNUMBER(SEARCH(Assumptions!$C$5,E1708)),Assumptions!$D$5,IF(ISNUMBER(SEARCH(Assumptions!$C$6,E1708)),Assumptions!$D$6,IF(ISNUMBER(SEARCH(Assumptions!$C$7,E1708)),Assumptions!$D$7,"Other Services"))),"Other Services"))</f>
        <v/>
      </c>
    </row>
    <row r="1709" customFormat="false" ht="15" hidden="false" customHeight="false" outlineLevel="0" collapsed="false">
      <c r="G1709" s="41" t="str">
        <f aca="false">IF(E1709="","",IFERROR(IF(ISNUMBER(SEARCH(Assumptions!$C$5,E1709)),Assumptions!$D$5,IF(ISNUMBER(SEARCH(Assumptions!$C$6,E1709)),Assumptions!$D$6,IF(ISNUMBER(SEARCH(Assumptions!$C$7,E1709)),Assumptions!$D$7,"Other Services"))),"Other Services"))</f>
        <v/>
      </c>
    </row>
    <row r="1710" customFormat="false" ht="15" hidden="false" customHeight="false" outlineLevel="0" collapsed="false">
      <c r="G1710" s="41" t="str">
        <f aca="false">IF(E1710="","",IFERROR(IF(ISNUMBER(SEARCH(Assumptions!$C$5,E1710)),Assumptions!$D$5,IF(ISNUMBER(SEARCH(Assumptions!$C$6,E1710)),Assumptions!$D$6,IF(ISNUMBER(SEARCH(Assumptions!$C$7,E1710)),Assumptions!$D$7,"Other Services"))),"Other Services"))</f>
        <v/>
      </c>
    </row>
    <row r="1711" customFormat="false" ht="15" hidden="false" customHeight="false" outlineLevel="0" collapsed="false">
      <c r="G1711" s="41" t="str">
        <f aca="false">IF(E1711="","",IFERROR(IF(ISNUMBER(SEARCH(Assumptions!$C$5,E1711)),Assumptions!$D$5,IF(ISNUMBER(SEARCH(Assumptions!$C$6,E1711)),Assumptions!$D$6,IF(ISNUMBER(SEARCH(Assumptions!$C$7,E1711)),Assumptions!$D$7,"Other Services"))),"Other Services"))</f>
        <v/>
      </c>
    </row>
    <row r="1712" customFormat="false" ht="15" hidden="false" customHeight="false" outlineLevel="0" collapsed="false">
      <c r="G1712" s="41" t="str">
        <f aca="false">IF(E1712="","",IFERROR(IF(ISNUMBER(SEARCH(Assumptions!$C$5,E1712)),Assumptions!$D$5,IF(ISNUMBER(SEARCH(Assumptions!$C$6,E1712)),Assumptions!$D$6,IF(ISNUMBER(SEARCH(Assumptions!$C$7,E1712)),Assumptions!$D$7,"Other Services"))),"Other Services"))</f>
        <v/>
      </c>
    </row>
    <row r="1713" customFormat="false" ht="15" hidden="false" customHeight="false" outlineLevel="0" collapsed="false">
      <c r="G1713" s="41" t="str">
        <f aca="false">IF(E1713="","",IFERROR(IF(ISNUMBER(SEARCH(Assumptions!$C$5,E1713)),Assumptions!$D$5,IF(ISNUMBER(SEARCH(Assumptions!$C$6,E1713)),Assumptions!$D$6,IF(ISNUMBER(SEARCH(Assumptions!$C$7,E1713)),Assumptions!$D$7,"Other Services"))),"Other Services"))</f>
        <v/>
      </c>
    </row>
    <row r="1714" customFormat="false" ht="15" hidden="false" customHeight="false" outlineLevel="0" collapsed="false">
      <c r="G1714" s="41" t="str">
        <f aca="false">IF(E1714="","",IFERROR(IF(ISNUMBER(SEARCH(Assumptions!$C$5,E1714)),Assumptions!$D$5,IF(ISNUMBER(SEARCH(Assumptions!$C$6,E1714)),Assumptions!$D$6,IF(ISNUMBER(SEARCH(Assumptions!$C$7,E1714)),Assumptions!$D$7,"Other Services"))),"Other Services"))</f>
        <v/>
      </c>
    </row>
    <row r="1715" customFormat="false" ht="15" hidden="false" customHeight="false" outlineLevel="0" collapsed="false">
      <c r="G1715" s="41" t="str">
        <f aca="false">IF(E1715="","",IFERROR(IF(ISNUMBER(SEARCH(Assumptions!$C$5,E1715)),Assumptions!$D$5,IF(ISNUMBER(SEARCH(Assumptions!$C$6,E1715)),Assumptions!$D$6,IF(ISNUMBER(SEARCH(Assumptions!$C$7,E1715)),Assumptions!$D$7,"Other Services"))),"Other Services"))</f>
        <v/>
      </c>
    </row>
    <row r="1716" customFormat="false" ht="15" hidden="false" customHeight="false" outlineLevel="0" collapsed="false">
      <c r="G1716" s="41" t="str">
        <f aca="false">IF(E1716="","",IFERROR(IF(ISNUMBER(SEARCH(Assumptions!$C$5,E1716)),Assumptions!$D$5,IF(ISNUMBER(SEARCH(Assumptions!$C$6,E1716)),Assumptions!$D$6,IF(ISNUMBER(SEARCH(Assumptions!$C$7,E1716)),Assumptions!$D$7,"Other Services"))),"Other Services"))</f>
        <v/>
      </c>
    </row>
    <row r="1717" customFormat="false" ht="15" hidden="false" customHeight="false" outlineLevel="0" collapsed="false">
      <c r="G1717" s="41" t="str">
        <f aca="false">IF(E1717="","",IFERROR(IF(ISNUMBER(SEARCH(Assumptions!$C$5,E1717)),Assumptions!$D$5,IF(ISNUMBER(SEARCH(Assumptions!$C$6,E1717)),Assumptions!$D$6,IF(ISNUMBER(SEARCH(Assumptions!$C$7,E1717)),Assumptions!$D$7,"Other Services"))),"Other Services"))</f>
        <v/>
      </c>
    </row>
    <row r="1718" customFormat="false" ht="15" hidden="false" customHeight="false" outlineLevel="0" collapsed="false">
      <c r="G1718" s="41" t="str">
        <f aca="false">IF(E1718="","",IFERROR(IF(ISNUMBER(SEARCH(Assumptions!$C$5,E1718)),Assumptions!$D$5,IF(ISNUMBER(SEARCH(Assumptions!$C$6,E1718)),Assumptions!$D$6,IF(ISNUMBER(SEARCH(Assumptions!$C$7,E1718)),Assumptions!$D$7,"Other Services"))),"Other Services"))</f>
        <v/>
      </c>
    </row>
    <row r="1719" customFormat="false" ht="15" hidden="false" customHeight="false" outlineLevel="0" collapsed="false">
      <c r="G1719" s="41" t="str">
        <f aca="false">IF(E1719="","",IFERROR(IF(ISNUMBER(SEARCH(Assumptions!$C$5,E1719)),Assumptions!$D$5,IF(ISNUMBER(SEARCH(Assumptions!$C$6,E1719)),Assumptions!$D$6,IF(ISNUMBER(SEARCH(Assumptions!$C$7,E1719)),Assumptions!$D$7,"Other Services"))),"Other Services"))</f>
        <v/>
      </c>
    </row>
    <row r="1720" customFormat="false" ht="15" hidden="false" customHeight="false" outlineLevel="0" collapsed="false">
      <c r="G1720" s="41" t="str">
        <f aca="false">IF(E1720="","",IFERROR(IF(ISNUMBER(SEARCH(Assumptions!$C$5,E1720)),Assumptions!$D$5,IF(ISNUMBER(SEARCH(Assumptions!$C$6,E1720)),Assumptions!$D$6,IF(ISNUMBER(SEARCH(Assumptions!$C$7,E1720)),Assumptions!$D$7,"Other Services"))),"Other Services"))</f>
        <v/>
      </c>
    </row>
    <row r="1721" customFormat="false" ht="15" hidden="false" customHeight="false" outlineLevel="0" collapsed="false">
      <c r="G1721" s="41" t="str">
        <f aca="false">IF(E1721="","",IFERROR(IF(ISNUMBER(SEARCH(Assumptions!$C$5,E1721)),Assumptions!$D$5,IF(ISNUMBER(SEARCH(Assumptions!$C$6,E1721)),Assumptions!$D$6,IF(ISNUMBER(SEARCH(Assumptions!$C$7,E1721)),Assumptions!$D$7,"Other Services"))),"Other Services"))</f>
        <v/>
      </c>
    </row>
    <row r="1722" customFormat="false" ht="15" hidden="false" customHeight="false" outlineLevel="0" collapsed="false">
      <c r="G1722" s="41" t="str">
        <f aca="false">IF(E1722="","",IFERROR(IF(ISNUMBER(SEARCH(Assumptions!$C$5,E1722)),Assumptions!$D$5,IF(ISNUMBER(SEARCH(Assumptions!$C$6,E1722)),Assumptions!$D$6,IF(ISNUMBER(SEARCH(Assumptions!$C$7,E1722)),Assumptions!$D$7,"Other Services"))),"Other Services"))</f>
        <v/>
      </c>
    </row>
    <row r="1723" customFormat="false" ht="15" hidden="false" customHeight="false" outlineLevel="0" collapsed="false">
      <c r="G1723" s="41" t="str">
        <f aca="false">IF(E1723="","",IFERROR(IF(ISNUMBER(SEARCH(Assumptions!$C$5,E1723)),Assumptions!$D$5,IF(ISNUMBER(SEARCH(Assumptions!$C$6,E1723)),Assumptions!$D$6,IF(ISNUMBER(SEARCH(Assumptions!$C$7,E1723)),Assumptions!$D$7,"Other Services"))),"Other Services"))</f>
        <v/>
      </c>
    </row>
    <row r="1724" customFormat="false" ht="15" hidden="false" customHeight="false" outlineLevel="0" collapsed="false">
      <c r="G1724" s="41" t="str">
        <f aca="false">IF(E1724="","",IFERROR(IF(ISNUMBER(SEARCH(Assumptions!$C$5,E1724)),Assumptions!$D$5,IF(ISNUMBER(SEARCH(Assumptions!$C$6,E1724)),Assumptions!$D$6,IF(ISNUMBER(SEARCH(Assumptions!$C$7,E1724)),Assumptions!$D$7,"Other Services"))),"Other Services"))</f>
        <v/>
      </c>
    </row>
    <row r="1725" customFormat="false" ht="15" hidden="false" customHeight="false" outlineLevel="0" collapsed="false">
      <c r="G1725" s="41" t="str">
        <f aca="false">IF(E1725="","",IFERROR(IF(ISNUMBER(SEARCH(Assumptions!$C$5,E1725)),Assumptions!$D$5,IF(ISNUMBER(SEARCH(Assumptions!$C$6,E1725)),Assumptions!$D$6,IF(ISNUMBER(SEARCH(Assumptions!$C$7,E1725)),Assumptions!$D$7,"Other Services"))),"Other Services"))</f>
        <v/>
      </c>
    </row>
    <row r="1726" customFormat="false" ht="15" hidden="false" customHeight="false" outlineLevel="0" collapsed="false">
      <c r="G1726" s="41" t="str">
        <f aca="false">IF(E1726="","",IFERROR(IF(ISNUMBER(SEARCH(Assumptions!$C$5,E1726)),Assumptions!$D$5,IF(ISNUMBER(SEARCH(Assumptions!$C$6,E1726)),Assumptions!$D$6,IF(ISNUMBER(SEARCH(Assumptions!$C$7,E1726)),Assumptions!$D$7,"Other Services"))),"Other Services"))</f>
        <v/>
      </c>
    </row>
    <row r="1727" customFormat="false" ht="15" hidden="false" customHeight="false" outlineLevel="0" collapsed="false">
      <c r="G1727" s="41" t="str">
        <f aca="false">IF(E1727="","",IFERROR(IF(ISNUMBER(SEARCH(Assumptions!$C$5,E1727)),Assumptions!$D$5,IF(ISNUMBER(SEARCH(Assumptions!$C$6,E1727)),Assumptions!$D$6,IF(ISNUMBER(SEARCH(Assumptions!$C$7,E1727)),Assumptions!$D$7,"Other Services"))),"Other Services"))</f>
        <v/>
      </c>
    </row>
    <row r="1728" customFormat="false" ht="15" hidden="false" customHeight="false" outlineLevel="0" collapsed="false">
      <c r="G1728" s="41" t="str">
        <f aca="false">IF(E1728="","",IFERROR(IF(ISNUMBER(SEARCH(Assumptions!$C$5,E1728)),Assumptions!$D$5,IF(ISNUMBER(SEARCH(Assumptions!$C$6,E1728)),Assumptions!$D$6,IF(ISNUMBER(SEARCH(Assumptions!$C$7,E1728)),Assumptions!$D$7,"Other Services"))),"Other Services"))</f>
        <v/>
      </c>
    </row>
    <row r="1729" customFormat="false" ht="15" hidden="false" customHeight="false" outlineLevel="0" collapsed="false">
      <c r="G1729" s="41" t="str">
        <f aca="false">IF(E1729="","",IFERROR(IF(ISNUMBER(SEARCH(Assumptions!$C$5,E1729)),Assumptions!$D$5,IF(ISNUMBER(SEARCH(Assumptions!$C$6,E1729)),Assumptions!$D$6,IF(ISNUMBER(SEARCH(Assumptions!$C$7,E1729)),Assumptions!$D$7,"Other Services"))),"Other Services"))</f>
        <v/>
      </c>
    </row>
    <row r="1730" customFormat="false" ht="15" hidden="false" customHeight="false" outlineLevel="0" collapsed="false">
      <c r="G1730" s="41" t="str">
        <f aca="false">IF(E1730="","",IFERROR(IF(ISNUMBER(SEARCH(Assumptions!$C$5,E1730)),Assumptions!$D$5,IF(ISNUMBER(SEARCH(Assumptions!$C$6,E1730)),Assumptions!$D$6,IF(ISNUMBER(SEARCH(Assumptions!$C$7,E1730)),Assumptions!$D$7,"Other Services"))),"Other Services"))</f>
        <v/>
      </c>
    </row>
    <row r="1731" customFormat="false" ht="15" hidden="false" customHeight="false" outlineLevel="0" collapsed="false">
      <c r="G1731" s="41" t="str">
        <f aca="false">IF(E1731="","",IFERROR(IF(ISNUMBER(SEARCH(Assumptions!$C$5,E1731)),Assumptions!$D$5,IF(ISNUMBER(SEARCH(Assumptions!$C$6,E1731)),Assumptions!$D$6,IF(ISNUMBER(SEARCH(Assumptions!$C$7,E1731)),Assumptions!$D$7,"Other Services"))),"Other Services"))</f>
        <v/>
      </c>
    </row>
    <row r="1732" customFormat="false" ht="15" hidden="false" customHeight="false" outlineLevel="0" collapsed="false">
      <c r="G1732" s="41" t="str">
        <f aca="false">IF(E1732="","",IFERROR(IF(ISNUMBER(SEARCH(Assumptions!$C$5,E1732)),Assumptions!$D$5,IF(ISNUMBER(SEARCH(Assumptions!$C$6,E1732)),Assumptions!$D$6,IF(ISNUMBER(SEARCH(Assumptions!$C$7,E1732)),Assumptions!$D$7,"Other Services"))),"Other Services"))</f>
        <v/>
      </c>
    </row>
    <row r="1733" customFormat="false" ht="15" hidden="false" customHeight="false" outlineLevel="0" collapsed="false">
      <c r="G1733" s="41" t="str">
        <f aca="false">IF(E1733="","",IFERROR(IF(ISNUMBER(SEARCH(Assumptions!$C$5,E1733)),Assumptions!$D$5,IF(ISNUMBER(SEARCH(Assumptions!$C$6,E1733)),Assumptions!$D$6,IF(ISNUMBER(SEARCH(Assumptions!$C$7,E1733)),Assumptions!$D$7,"Other Services"))),"Other Services"))</f>
        <v/>
      </c>
    </row>
    <row r="1734" customFormat="false" ht="15" hidden="false" customHeight="false" outlineLevel="0" collapsed="false">
      <c r="G1734" s="41" t="str">
        <f aca="false">IF(E1734="","",IFERROR(IF(ISNUMBER(SEARCH(Assumptions!$C$5,E1734)),Assumptions!$D$5,IF(ISNUMBER(SEARCH(Assumptions!$C$6,E1734)),Assumptions!$D$6,IF(ISNUMBER(SEARCH(Assumptions!$C$7,E1734)),Assumptions!$D$7,"Other Services"))),"Other Services"))</f>
        <v/>
      </c>
    </row>
    <row r="1735" customFormat="false" ht="15" hidden="false" customHeight="false" outlineLevel="0" collapsed="false">
      <c r="G1735" s="41" t="str">
        <f aca="false">IF(E1735="","",IFERROR(IF(ISNUMBER(SEARCH(Assumptions!$C$5,E1735)),Assumptions!$D$5,IF(ISNUMBER(SEARCH(Assumptions!$C$6,E1735)),Assumptions!$D$6,IF(ISNUMBER(SEARCH(Assumptions!$C$7,E1735)),Assumptions!$D$7,"Other Services"))),"Other Services"))</f>
        <v/>
      </c>
    </row>
    <row r="1736" customFormat="false" ht="15" hidden="false" customHeight="false" outlineLevel="0" collapsed="false">
      <c r="G1736" s="41" t="str">
        <f aca="false">IF(E1736="","",IFERROR(IF(ISNUMBER(SEARCH(Assumptions!$C$5,E1736)),Assumptions!$D$5,IF(ISNUMBER(SEARCH(Assumptions!$C$6,E1736)),Assumptions!$D$6,IF(ISNUMBER(SEARCH(Assumptions!$C$7,E1736)),Assumptions!$D$7,"Other Services"))),"Other Services"))</f>
        <v/>
      </c>
    </row>
    <row r="1737" customFormat="false" ht="15" hidden="false" customHeight="false" outlineLevel="0" collapsed="false">
      <c r="G1737" s="41" t="str">
        <f aca="false">IF(E1737="","",IFERROR(IF(ISNUMBER(SEARCH(Assumptions!$C$5,E1737)),Assumptions!$D$5,IF(ISNUMBER(SEARCH(Assumptions!$C$6,E1737)),Assumptions!$D$6,IF(ISNUMBER(SEARCH(Assumptions!$C$7,E1737)),Assumptions!$D$7,"Other Services"))),"Other Services"))</f>
        <v/>
      </c>
    </row>
    <row r="1738" customFormat="false" ht="15" hidden="false" customHeight="false" outlineLevel="0" collapsed="false">
      <c r="G1738" s="41" t="str">
        <f aca="false">IF(E1738="","",IFERROR(IF(ISNUMBER(SEARCH(Assumptions!$C$5,E1738)),Assumptions!$D$5,IF(ISNUMBER(SEARCH(Assumptions!$C$6,E1738)),Assumptions!$D$6,IF(ISNUMBER(SEARCH(Assumptions!$C$7,E1738)),Assumptions!$D$7,"Other Services"))),"Other Services"))</f>
        <v/>
      </c>
    </row>
    <row r="1739" customFormat="false" ht="15" hidden="false" customHeight="false" outlineLevel="0" collapsed="false">
      <c r="G1739" s="41" t="str">
        <f aca="false">IF(E1739="","",IFERROR(IF(ISNUMBER(SEARCH(Assumptions!$C$5,E1739)),Assumptions!$D$5,IF(ISNUMBER(SEARCH(Assumptions!$C$6,E1739)),Assumptions!$D$6,IF(ISNUMBER(SEARCH(Assumptions!$C$7,E1739)),Assumptions!$D$7,"Other Services"))),"Other Services"))</f>
        <v/>
      </c>
    </row>
    <row r="1740" customFormat="false" ht="15" hidden="false" customHeight="false" outlineLevel="0" collapsed="false">
      <c r="G1740" s="41" t="str">
        <f aca="false">IF(E1740="","",IFERROR(IF(ISNUMBER(SEARCH(Assumptions!$C$5,E1740)),Assumptions!$D$5,IF(ISNUMBER(SEARCH(Assumptions!$C$6,E1740)),Assumptions!$D$6,IF(ISNUMBER(SEARCH(Assumptions!$C$7,E1740)),Assumptions!$D$7,"Other Services"))),"Other Services"))</f>
        <v/>
      </c>
    </row>
    <row r="1741" customFormat="false" ht="15" hidden="false" customHeight="false" outlineLevel="0" collapsed="false">
      <c r="G1741" s="41" t="str">
        <f aca="false">IF(E1741="","",IFERROR(IF(ISNUMBER(SEARCH(Assumptions!$C$5,E1741)),Assumptions!$D$5,IF(ISNUMBER(SEARCH(Assumptions!$C$6,E1741)),Assumptions!$D$6,IF(ISNUMBER(SEARCH(Assumptions!$C$7,E1741)),Assumptions!$D$7,"Other Services"))),"Other Services"))</f>
        <v/>
      </c>
    </row>
    <row r="1742" customFormat="false" ht="15" hidden="false" customHeight="false" outlineLevel="0" collapsed="false">
      <c r="G1742" s="41" t="str">
        <f aca="false">IF(E1742="","",IFERROR(IF(ISNUMBER(SEARCH(Assumptions!$C$5,E1742)),Assumptions!$D$5,IF(ISNUMBER(SEARCH(Assumptions!$C$6,E1742)),Assumptions!$D$6,IF(ISNUMBER(SEARCH(Assumptions!$C$7,E1742)),Assumptions!$D$7,"Other Services"))),"Other Services"))</f>
        <v/>
      </c>
    </row>
    <row r="1743" customFormat="false" ht="15" hidden="false" customHeight="false" outlineLevel="0" collapsed="false">
      <c r="G1743" s="41" t="str">
        <f aca="false">IF(E1743="","",IFERROR(IF(ISNUMBER(SEARCH(Assumptions!$C$5,E1743)),Assumptions!$D$5,IF(ISNUMBER(SEARCH(Assumptions!$C$6,E1743)),Assumptions!$D$6,IF(ISNUMBER(SEARCH(Assumptions!$C$7,E1743)),Assumptions!$D$7,"Other Services"))),"Other Services"))</f>
        <v/>
      </c>
    </row>
    <row r="1744" customFormat="false" ht="15" hidden="false" customHeight="false" outlineLevel="0" collapsed="false">
      <c r="G1744" s="41" t="str">
        <f aca="false">IF(E1744="","",IFERROR(IF(ISNUMBER(SEARCH(Assumptions!$C$5,E1744)),Assumptions!$D$5,IF(ISNUMBER(SEARCH(Assumptions!$C$6,E1744)),Assumptions!$D$6,IF(ISNUMBER(SEARCH(Assumptions!$C$7,E1744)),Assumptions!$D$7,"Other Services"))),"Other Services"))</f>
        <v/>
      </c>
    </row>
    <row r="1745" customFormat="false" ht="15" hidden="false" customHeight="false" outlineLevel="0" collapsed="false">
      <c r="G1745" s="41" t="str">
        <f aca="false">IF(E1745="","",IFERROR(IF(ISNUMBER(SEARCH(Assumptions!$C$5,E1745)),Assumptions!$D$5,IF(ISNUMBER(SEARCH(Assumptions!$C$6,E1745)),Assumptions!$D$6,IF(ISNUMBER(SEARCH(Assumptions!$C$7,E1745)),Assumptions!$D$7,"Other Services"))),"Other Services"))</f>
        <v/>
      </c>
    </row>
    <row r="1746" customFormat="false" ht="15" hidden="false" customHeight="false" outlineLevel="0" collapsed="false">
      <c r="G1746" s="41" t="str">
        <f aca="false">IF(E1746="","",IFERROR(IF(ISNUMBER(SEARCH(Assumptions!$C$5,E1746)),Assumptions!$D$5,IF(ISNUMBER(SEARCH(Assumptions!$C$6,E1746)),Assumptions!$D$6,IF(ISNUMBER(SEARCH(Assumptions!$C$7,E1746)),Assumptions!$D$7,"Other Services"))),"Other Services"))</f>
        <v/>
      </c>
    </row>
    <row r="1747" customFormat="false" ht="15" hidden="false" customHeight="false" outlineLevel="0" collapsed="false">
      <c r="G1747" s="41" t="str">
        <f aca="false">IF(E1747="","",IFERROR(IF(ISNUMBER(SEARCH(Assumptions!$C$5,E1747)),Assumptions!$D$5,IF(ISNUMBER(SEARCH(Assumptions!$C$6,E1747)),Assumptions!$D$6,IF(ISNUMBER(SEARCH(Assumptions!$C$7,E1747)),Assumptions!$D$7,"Other Services"))),"Other Services"))</f>
        <v/>
      </c>
    </row>
    <row r="1748" customFormat="false" ht="15" hidden="false" customHeight="false" outlineLevel="0" collapsed="false">
      <c r="G1748" s="41" t="str">
        <f aca="false">IF(E1748="","",IFERROR(IF(ISNUMBER(SEARCH(Assumptions!$C$5,E1748)),Assumptions!$D$5,IF(ISNUMBER(SEARCH(Assumptions!$C$6,E1748)),Assumptions!$D$6,IF(ISNUMBER(SEARCH(Assumptions!$C$7,E1748)),Assumptions!$D$7,"Other Services"))),"Other Services"))</f>
        <v/>
      </c>
    </row>
    <row r="1749" customFormat="false" ht="15" hidden="false" customHeight="false" outlineLevel="0" collapsed="false">
      <c r="G1749" s="41" t="str">
        <f aca="false">IF(E1749="","",IFERROR(IF(ISNUMBER(SEARCH(Assumptions!$C$5,E1749)),Assumptions!$D$5,IF(ISNUMBER(SEARCH(Assumptions!$C$6,E1749)),Assumptions!$D$6,IF(ISNUMBER(SEARCH(Assumptions!$C$7,E1749)),Assumptions!$D$7,"Other Services"))),"Other Services"))</f>
        <v/>
      </c>
    </row>
    <row r="1750" customFormat="false" ht="15" hidden="false" customHeight="false" outlineLevel="0" collapsed="false">
      <c r="G1750" s="41" t="str">
        <f aca="false">IF(E1750="","",IFERROR(IF(ISNUMBER(SEARCH(Assumptions!$C$5,E1750)),Assumptions!$D$5,IF(ISNUMBER(SEARCH(Assumptions!$C$6,E1750)),Assumptions!$D$6,IF(ISNUMBER(SEARCH(Assumptions!$C$7,E1750)),Assumptions!$D$7,"Other Services"))),"Other Services"))</f>
        <v/>
      </c>
    </row>
    <row r="1751" customFormat="false" ht="15" hidden="false" customHeight="false" outlineLevel="0" collapsed="false">
      <c r="G1751" s="41" t="str">
        <f aca="false">IF(E1751="","",IFERROR(IF(ISNUMBER(SEARCH(Assumptions!$C$5,E1751)),Assumptions!$D$5,IF(ISNUMBER(SEARCH(Assumptions!$C$6,E1751)),Assumptions!$D$6,IF(ISNUMBER(SEARCH(Assumptions!$C$7,E1751)),Assumptions!$D$7,"Other Services"))),"Other Services"))</f>
        <v/>
      </c>
    </row>
    <row r="1752" customFormat="false" ht="15" hidden="false" customHeight="false" outlineLevel="0" collapsed="false">
      <c r="G1752" s="41" t="str">
        <f aca="false">IF(E1752="","",IFERROR(IF(ISNUMBER(SEARCH(Assumptions!$C$5,E1752)),Assumptions!$D$5,IF(ISNUMBER(SEARCH(Assumptions!$C$6,E1752)),Assumptions!$D$6,IF(ISNUMBER(SEARCH(Assumptions!$C$7,E1752)),Assumptions!$D$7,"Other Services"))),"Other Services"))</f>
        <v/>
      </c>
    </row>
    <row r="1753" customFormat="false" ht="15" hidden="false" customHeight="false" outlineLevel="0" collapsed="false">
      <c r="G1753" s="41" t="str">
        <f aca="false">IF(E1753="","",IFERROR(IF(ISNUMBER(SEARCH(Assumptions!$C$5,E1753)),Assumptions!$D$5,IF(ISNUMBER(SEARCH(Assumptions!$C$6,E1753)),Assumptions!$D$6,IF(ISNUMBER(SEARCH(Assumptions!$C$7,E1753)),Assumptions!$D$7,"Other Services"))),"Other Services"))</f>
        <v/>
      </c>
    </row>
    <row r="1754" customFormat="false" ht="15" hidden="false" customHeight="false" outlineLevel="0" collapsed="false">
      <c r="G1754" s="41" t="str">
        <f aca="false">IF(E1754="","",IFERROR(IF(ISNUMBER(SEARCH(Assumptions!$C$5,E1754)),Assumptions!$D$5,IF(ISNUMBER(SEARCH(Assumptions!$C$6,E1754)),Assumptions!$D$6,IF(ISNUMBER(SEARCH(Assumptions!$C$7,E1754)),Assumptions!$D$7,"Other Services"))),"Other Services"))</f>
        <v/>
      </c>
    </row>
    <row r="1755" customFormat="false" ht="15" hidden="false" customHeight="false" outlineLevel="0" collapsed="false">
      <c r="G1755" s="41" t="str">
        <f aca="false">IF(E1755="","",IFERROR(IF(ISNUMBER(SEARCH(Assumptions!$C$5,E1755)),Assumptions!$D$5,IF(ISNUMBER(SEARCH(Assumptions!$C$6,E1755)),Assumptions!$D$6,IF(ISNUMBER(SEARCH(Assumptions!$C$7,E1755)),Assumptions!$D$7,"Other Services"))),"Other Services"))</f>
        <v/>
      </c>
    </row>
    <row r="1756" customFormat="false" ht="15" hidden="false" customHeight="false" outlineLevel="0" collapsed="false">
      <c r="G1756" s="41" t="str">
        <f aca="false">IF(E1756="","",IFERROR(IF(ISNUMBER(SEARCH(Assumptions!$C$5,E1756)),Assumptions!$D$5,IF(ISNUMBER(SEARCH(Assumptions!$C$6,E1756)),Assumptions!$D$6,IF(ISNUMBER(SEARCH(Assumptions!$C$7,E1756)),Assumptions!$D$7,"Other Services"))),"Other Services"))</f>
        <v/>
      </c>
    </row>
    <row r="1757" customFormat="false" ht="15" hidden="false" customHeight="false" outlineLevel="0" collapsed="false">
      <c r="G1757" s="41" t="str">
        <f aca="false">IF(E1757="","",IFERROR(IF(ISNUMBER(SEARCH(Assumptions!$C$5,E1757)),Assumptions!$D$5,IF(ISNUMBER(SEARCH(Assumptions!$C$6,E1757)),Assumptions!$D$6,IF(ISNUMBER(SEARCH(Assumptions!$C$7,E1757)),Assumptions!$D$7,"Other Services"))),"Other Services"))</f>
        <v/>
      </c>
    </row>
    <row r="1758" customFormat="false" ht="15" hidden="false" customHeight="false" outlineLevel="0" collapsed="false">
      <c r="G1758" s="41" t="str">
        <f aca="false">IF(E1758="","",IFERROR(IF(ISNUMBER(SEARCH(Assumptions!$C$5,E1758)),Assumptions!$D$5,IF(ISNUMBER(SEARCH(Assumptions!$C$6,E1758)),Assumptions!$D$6,IF(ISNUMBER(SEARCH(Assumptions!$C$7,E1758)),Assumptions!$D$7,"Other Services"))),"Other Services"))</f>
        <v/>
      </c>
    </row>
    <row r="1759" customFormat="false" ht="15" hidden="false" customHeight="false" outlineLevel="0" collapsed="false">
      <c r="G1759" s="41" t="str">
        <f aca="false">IF(E1759="","",IFERROR(IF(ISNUMBER(SEARCH(Assumptions!$C$5,E1759)),Assumptions!$D$5,IF(ISNUMBER(SEARCH(Assumptions!$C$6,E1759)),Assumptions!$D$6,IF(ISNUMBER(SEARCH(Assumptions!$C$7,E1759)),Assumptions!$D$7,"Other Services"))),"Other Services"))</f>
        <v/>
      </c>
    </row>
    <row r="1760" customFormat="false" ht="15" hidden="false" customHeight="false" outlineLevel="0" collapsed="false">
      <c r="G1760" s="41" t="str">
        <f aca="false">IF(E1760="","",IFERROR(IF(ISNUMBER(SEARCH(Assumptions!$C$5,E1760)),Assumptions!$D$5,IF(ISNUMBER(SEARCH(Assumptions!$C$6,E1760)),Assumptions!$D$6,IF(ISNUMBER(SEARCH(Assumptions!$C$7,E1760)),Assumptions!$D$7,"Other Services"))),"Other Services"))</f>
        <v/>
      </c>
    </row>
    <row r="1761" customFormat="false" ht="15" hidden="false" customHeight="false" outlineLevel="0" collapsed="false">
      <c r="G1761" s="41" t="str">
        <f aca="false">IF(E1761="","",IFERROR(IF(ISNUMBER(SEARCH(Assumptions!$C$5,E1761)),Assumptions!$D$5,IF(ISNUMBER(SEARCH(Assumptions!$C$6,E1761)),Assumptions!$D$6,IF(ISNUMBER(SEARCH(Assumptions!$C$7,E1761)),Assumptions!$D$7,"Other Services"))),"Other Services"))</f>
        <v/>
      </c>
    </row>
    <row r="1762" customFormat="false" ht="15" hidden="false" customHeight="false" outlineLevel="0" collapsed="false">
      <c r="G1762" s="41" t="str">
        <f aca="false">IF(E1762="","",IFERROR(IF(ISNUMBER(SEARCH(Assumptions!$C$5,E1762)),Assumptions!$D$5,IF(ISNUMBER(SEARCH(Assumptions!$C$6,E1762)),Assumptions!$D$6,IF(ISNUMBER(SEARCH(Assumptions!$C$7,E1762)),Assumptions!$D$7,"Other Services"))),"Other Services"))</f>
        <v/>
      </c>
    </row>
    <row r="1763" customFormat="false" ht="15" hidden="false" customHeight="false" outlineLevel="0" collapsed="false">
      <c r="G1763" s="41" t="str">
        <f aca="false">IF(E1763="","",IFERROR(IF(ISNUMBER(SEARCH(Assumptions!$C$5,E1763)),Assumptions!$D$5,IF(ISNUMBER(SEARCH(Assumptions!$C$6,E1763)),Assumptions!$D$6,IF(ISNUMBER(SEARCH(Assumptions!$C$7,E1763)),Assumptions!$D$7,"Other Services"))),"Other Services"))</f>
        <v/>
      </c>
    </row>
    <row r="1764" customFormat="false" ht="15" hidden="false" customHeight="false" outlineLevel="0" collapsed="false">
      <c r="G1764" s="41" t="str">
        <f aca="false">IF(E1764="","",IFERROR(IF(ISNUMBER(SEARCH(Assumptions!$C$5,E1764)),Assumptions!$D$5,IF(ISNUMBER(SEARCH(Assumptions!$C$6,E1764)),Assumptions!$D$6,IF(ISNUMBER(SEARCH(Assumptions!$C$7,E1764)),Assumptions!$D$7,"Other Services"))),"Other Services"))</f>
        <v/>
      </c>
    </row>
    <row r="1765" customFormat="false" ht="15" hidden="false" customHeight="false" outlineLevel="0" collapsed="false">
      <c r="G1765" s="41" t="str">
        <f aca="false">IF(E1765="","",IFERROR(IF(ISNUMBER(SEARCH(Assumptions!$C$5,E1765)),Assumptions!$D$5,IF(ISNUMBER(SEARCH(Assumptions!$C$6,E1765)),Assumptions!$D$6,IF(ISNUMBER(SEARCH(Assumptions!$C$7,E1765)),Assumptions!$D$7,"Other Services"))),"Other Services"))</f>
        <v/>
      </c>
    </row>
    <row r="1766" customFormat="false" ht="15" hidden="false" customHeight="false" outlineLevel="0" collapsed="false">
      <c r="G1766" s="41" t="str">
        <f aca="false">IF(E1766="","",IFERROR(IF(ISNUMBER(SEARCH(Assumptions!$C$5,E1766)),Assumptions!$D$5,IF(ISNUMBER(SEARCH(Assumptions!$C$6,E1766)),Assumptions!$D$6,IF(ISNUMBER(SEARCH(Assumptions!$C$7,E1766)),Assumptions!$D$7,"Other Services"))),"Other Services"))</f>
        <v/>
      </c>
    </row>
    <row r="1767" customFormat="false" ht="15" hidden="false" customHeight="false" outlineLevel="0" collapsed="false">
      <c r="G1767" s="41" t="str">
        <f aca="false">IF(E1767="","",IFERROR(IF(ISNUMBER(SEARCH(Assumptions!$C$5,E1767)),Assumptions!$D$5,IF(ISNUMBER(SEARCH(Assumptions!$C$6,E1767)),Assumptions!$D$6,IF(ISNUMBER(SEARCH(Assumptions!$C$7,E1767)),Assumptions!$D$7,"Other Services"))),"Other Services"))</f>
        <v/>
      </c>
    </row>
    <row r="1768" customFormat="false" ht="15" hidden="false" customHeight="false" outlineLevel="0" collapsed="false">
      <c r="G1768" s="41" t="str">
        <f aca="false">IF(E1768="","",IFERROR(IF(ISNUMBER(SEARCH(Assumptions!$C$5,E1768)),Assumptions!$D$5,IF(ISNUMBER(SEARCH(Assumptions!$C$6,E1768)),Assumptions!$D$6,IF(ISNUMBER(SEARCH(Assumptions!$C$7,E1768)),Assumptions!$D$7,"Other Services"))),"Other Services"))</f>
        <v/>
      </c>
    </row>
    <row r="1769" customFormat="false" ht="15" hidden="false" customHeight="false" outlineLevel="0" collapsed="false">
      <c r="G1769" s="41" t="str">
        <f aca="false">IF(E1769="","",IFERROR(IF(ISNUMBER(SEARCH(Assumptions!$C$5,E1769)),Assumptions!$D$5,IF(ISNUMBER(SEARCH(Assumptions!$C$6,E1769)),Assumptions!$D$6,IF(ISNUMBER(SEARCH(Assumptions!$C$7,E1769)),Assumptions!$D$7,"Other Services"))),"Other Services"))</f>
        <v/>
      </c>
    </row>
    <row r="1770" customFormat="false" ht="15" hidden="false" customHeight="false" outlineLevel="0" collapsed="false">
      <c r="G1770" s="41" t="str">
        <f aca="false">IF(E1770="","",IFERROR(IF(ISNUMBER(SEARCH(Assumptions!$C$5,E1770)),Assumptions!$D$5,IF(ISNUMBER(SEARCH(Assumptions!$C$6,E1770)),Assumptions!$D$6,IF(ISNUMBER(SEARCH(Assumptions!$C$7,E1770)),Assumptions!$D$7,"Other Services"))),"Other Services"))</f>
        <v/>
      </c>
    </row>
    <row r="1771" customFormat="false" ht="15" hidden="false" customHeight="false" outlineLevel="0" collapsed="false">
      <c r="G1771" s="41" t="str">
        <f aca="false">IF(E1771="","",IFERROR(IF(ISNUMBER(SEARCH(Assumptions!$C$5,E1771)),Assumptions!$D$5,IF(ISNUMBER(SEARCH(Assumptions!$C$6,E1771)),Assumptions!$D$6,IF(ISNUMBER(SEARCH(Assumptions!$C$7,E1771)),Assumptions!$D$7,"Other Services"))),"Other Services"))</f>
        <v/>
      </c>
    </row>
    <row r="1772" customFormat="false" ht="15" hidden="false" customHeight="false" outlineLevel="0" collapsed="false">
      <c r="G1772" s="41" t="str">
        <f aca="false">IF(E1772="","",IFERROR(IF(ISNUMBER(SEARCH(Assumptions!$C$5,E1772)),Assumptions!$D$5,IF(ISNUMBER(SEARCH(Assumptions!$C$6,E1772)),Assumptions!$D$6,IF(ISNUMBER(SEARCH(Assumptions!$C$7,E1772)),Assumptions!$D$7,"Other Services"))),"Other Services"))</f>
        <v/>
      </c>
    </row>
    <row r="1773" customFormat="false" ht="15" hidden="false" customHeight="false" outlineLevel="0" collapsed="false">
      <c r="G1773" s="41" t="str">
        <f aca="false">IF(E1773="","",IFERROR(IF(ISNUMBER(SEARCH(Assumptions!$C$5,E1773)),Assumptions!$D$5,IF(ISNUMBER(SEARCH(Assumptions!$C$6,E1773)),Assumptions!$D$6,IF(ISNUMBER(SEARCH(Assumptions!$C$7,E1773)),Assumptions!$D$7,"Other Services"))),"Other Services"))</f>
        <v/>
      </c>
    </row>
    <row r="1774" customFormat="false" ht="15" hidden="false" customHeight="false" outlineLevel="0" collapsed="false">
      <c r="G1774" s="41" t="str">
        <f aca="false">IF(E1774="","",IFERROR(IF(ISNUMBER(SEARCH(Assumptions!$C$5,E1774)),Assumptions!$D$5,IF(ISNUMBER(SEARCH(Assumptions!$C$6,E1774)),Assumptions!$D$6,IF(ISNUMBER(SEARCH(Assumptions!$C$7,E1774)),Assumptions!$D$7,"Other Services"))),"Other Services"))</f>
        <v/>
      </c>
    </row>
    <row r="1775" customFormat="false" ht="15" hidden="false" customHeight="false" outlineLevel="0" collapsed="false">
      <c r="G1775" s="41" t="str">
        <f aca="false">IF(E1775="","",IFERROR(IF(ISNUMBER(SEARCH(Assumptions!$C$5,E1775)),Assumptions!$D$5,IF(ISNUMBER(SEARCH(Assumptions!$C$6,E1775)),Assumptions!$D$6,IF(ISNUMBER(SEARCH(Assumptions!$C$7,E1775)),Assumptions!$D$7,"Other Services"))),"Other Services"))</f>
        <v/>
      </c>
    </row>
    <row r="1776" customFormat="false" ht="15" hidden="false" customHeight="false" outlineLevel="0" collapsed="false">
      <c r="G1776" s="41" t="str">
        <f aca="false">IF(E1776="","",IFERROR(IF(ISNUMBER(SEARCH(Assumptions!$C$5,E1776)),Assumptions!$D$5,IF(ISNUMBER(SEARCH(Assumptions!$C$6,E1776)),Assumptions!$D$6,IF(ISNUMBER(SEARCH(Assumptions!$C$7,E1776)),Assumptions!$D$7,"Other Services"))),"Other Services"))</f>
        <v/>
      </c>
    </row>
    <row r="1777" customFormat="false" ht="15" hidden="false" customHeight="false" outlineLevel="0" collapsed="false">
      <c r="G1777" s="41" t="str">
        <f aca="false">IF(E1777="","",IFERROR(IF(ISNUMBER(SEARCH(Assumptions!$C$5,E1777)),Assumptions!$D$5,IF(ISNUMBER(SEARCH(Assumptions!$C$6,E1777)),Assumptions!$D$6,IF(ISNUMBER(SEARCH(Assumptions!$C$7,E1777)),Assumptions!$D$7,"Other Services"))),"Other Services"))</f>
        <v/>
      </c>
    </row>
    <row r="1778" customFormat="false" ht="15" hidden="false" customHeight="false" outlineLevel="0" collapsed="false">
      <c r="G1778" s="41" t="str">
        <f aca="false">IF(E1778="","",IFERROR(IF(ISNUMBER(SEARCH(Assumptions!$C$5,E1778)),Assumptions!$D$5,IF(ISNUMBER(SEARCH(Assumptions!$C$6,E1778)),Assumptions!$D$6,IF(ISNUMBER(SEARCH(Assumptions!$C$7,E1778)),Assumptions!$D$7,"Other Services"))),"Other Services"))</f>
        <v/>
      </c>
    </row>
    <row r="1779" customFormat="false" ht="15" hidden="false" customHeight="false" outlineLevel="0" collapsed="false">
      <c r="G1779" s="41" t="str">
        <f aca="false">IF(E1779="","",IFERROR(IF(ISNUMBER(SEARCH(Assumptions!$C$5,E1779)),Assumptions!$D$5,IF(ISNUMBER(SEARCH(Assumptions!$C$6,E1779)),Assumptions!$D$6,IF(ISNUMBER(SEARCH(Assumptions!$C$7,E1779)),Assumptions!$D$7,"Other Services"))),"Other Services"))</f>
        <v/>
      </c>
    </row>
    <row r="1780" customFormat="false" ht="15" hidden="false" customHeight="false" outlineLevel="0" collapsed="false">
      <c r="G1780" s="41" t="str">
        <f aca="false">IF(E1780="","",IFERROR(IF(ISNUMBER(SEARCH(Assumptions!$C$5,E1780)),Assumptions!$D$5,IF(ISNUMBER(SEARCH(Assumptions!$C$6,E1780)),Assumptions!$D$6,IF(ISNUMBER(SEARCH(Assumptions!$C$7,E1780)),Assumptions!$D$7,"Other Services"))),"Other Services"))</f>
        <v/>
      </c>
    </row>
    <row r="1781" customFormat="false" ht="15" hidden="false" customHeight="false" outlineLevel="0" collapsed="false">
      <c r="G1781" s="41" t="str">
        <f aca="false">IF(E1781="","",IFERROR(IF(ISNUMBER(SEARCH(Assumptions!$C$5,E1781)),Assumptions!$D$5,IF(ISNUMBER(SEARCH(Assumptions!$C$6,E1781)),Assumptions!$D$6,IF(ISNUMBER(SEARCH(Assumptions!$C$7,E1781)),Assumptions!$D$7,"Other Services"))),"Other Services"))</f>
        <v/>
      </c>
    </row>
    <row r="1782" customFormat="false" ht="15" hidden="false" customHeight="false" outlineLevel="0" collapsed="false">
      <c r="G1782" s="41" t="str">
        <f aca="false">IF(E1782="","",IFERROR(IF(ISNUMBER(SEARCH(Assumptions!$C$5,E1782)),Assumptions!$D$5,IF(ISNUMBER(SEARCH(Assumptions!$C$6,E1782)),Assumptions!$D$6,IF(ISNUMBER(SEARCH(Assumptions!$C$7,E1782)),Assumptions!$D$7,"Other Services"))),"Other Services"))</f>
        <v/>
      </c>
    </row>
    <row r="1783" customFormat="false" ht="15" hidden="false" customHeight="false" outlineLevel="0" collapsed="false">
      <c r="G1783" s="41" t="str">
        <f aca="false">IF(E1783="","",IFERROR(IF(ISNUMBER(SEARCH(Assumptions!$C$5,E1783)),Assumptions!$D$5,IF(ISNUMBER(SEARCH(Assumptions!$C$6,E1783)),Assumptions!$D$6,IF(ISNUMBER(SEARCH(Assumptions!$C$7,E1783)),Assumptions!$D$7,"Other Services"))),"Other Services"))</f>
        <v/>
      </c>
    </row>
    <row r="1784" customFormat="false" ht="15" hidden="false" customHeight="false" outlineLevel="0" collapsed="false">
      <c r="G1784" s="41" t="str">
        <f aca="false">IF(E1784="","",IFERROR(IF(ISNUMBER(SEARCH(Assumptions!$C$5,E1784)),Assumptions!$D$5,IF(ISNUMBER(SEARCH(Assumptions!$C$6,E1784)),Assumptions!$D$6,IF(ISNUMBER(SEARCH(Assumptions!$C$7,E1784)),Assumptions!$D$7,"Other Services"))),"Other Services"))</f>
        <v/>
      </c>
    </row>
    <row r="1785" customFormat="false" ht="15" hidden="false" customHeight="false" outlineLevel="0" collapsed="false">
      <c r="G1785" s="41" t="str">
        <f aca="false">IF(E1785="","",IFERROR(IF(ISNUMBER(SEARCH(Assumptions!$C$5,E1785)),Assumptions!$D$5,IF(ISNUMBER(SEARCH(Assumptions!$C$6,E1785)),Assumptions!$D$6,IF(ISNUMBER(SEARCH(Assumptions!$C$7,E1785)),Assumptions!$D$7,"Other Services"))),"Other Services"))</f>
        <v/>
      </c>
    </row>
    <row r="1786" customFormat="false" ht="15" hidden="false" customHeight="false" outlineLevel="0" collapsed="false">
      <c r="G1786" s="41" t="str">
        <f aca="false">IF(E1786="","",IFERROR(IF(ISNUMBER(SEARCH(Assumptions!$C$5,E1786)),Assumptions!$D$5,IF(ISNUMBER(SEARCH(Assumptions!$C$6,E1786)),Assumptions!$D$6,IF(ISNUMBER(SEARCH(Assumptions!$C$7,E1786)),Assumptions!$D$7,"Other Services"))),"Other Services"))</f>
        <v/>
      </c>
    </row>
    <row r="1787" customFormat="false" ht="15" hidden="false" customHeight="false" outlineLevel="0" collapsed="false">
      <c r="G1787" s="41" t="str">
        <f aca="false">IF(E1787="","",IFERROR(IF(ISNUMBER(SEARCH(Assumptions!$C$5,E1787)),Assumptions!$D$5,IF(ISNUMBER(SEARCH(Assumptions!$C$6,E1787)),Assumptions!$D$6,IF(ISNUMBER(SEARCH(Assumptions!$C$7,E1787)),Assumptions!$D$7,"Other Services"))),"Other Services"))</f>
        <v/>
      </c>
    </row>
    <row r="1788" customFormat="false" ht="15" hidden="false" customHeight="false" outlineLevel="0" collapsed="false">
      <c r="G1788" s="41" t="str">
        <f aca="false">IF(E1788="","",IFERROR(IF(ISNUMBER(SEARCH(Assumptions!$C$5,E1788)),Assumptions!$D$5,IF(ISNUMBER(SEARCH(Assumptions!$C$6,E1788)),Assumptions!$D$6,IF(ISNUMBER(SEARCH(Assumptions!$C$7,E1788)),Assumptions!$D$7,"Other Services"))),"Other Services"))</f>
        <v/>
      </c>
    </row>
    <row r="1789" customFormat="false" ht="15" hidden="false" customHeight="false" outlineLevel="0" collapsed="false">
      <c r="G1789" s="41" t="str">
        <f aca="false">IF(E1789="","",IFERROR(IF(ISNUMBER(SEARCH(Assumptions!$C$5,E1789)),Assumptions!$D$5,IF(ISNUMBER(SEARCH(Assumptions!$C$6,E1789)),Assumptions!$D$6,IF(ISNUMBER(SEARCH(Assumptions!$C$7,E1789)),Assumptions!$D$7,"Other Services"))),"Other Services"))</f>
        <v/>
      </c>
    </row>
    <row r="1790" customFormat="false" ht="15" hidden="false" customHeight="false" outlineLevel="0" collapsed="false">
      <c r="G1790" s="41" t="str">
        <f aca="false">IF(E1790="","",IFERROR(IF(ISNUMBER(SEARCH(Assumptions!$C$5,E1790)),Assumptions!$D$5,IF(ISNUMBER(SEARCH(Assumptions!$C$6,E1790)),Assumptions!$D$6,IF(ISNUMBER(SEARCH(Assumptions!$C$7,E1790)),Assumptions!$D$7,"Other Services"))),"Other Services"))</f>
        <v/>
      </c>
    </row>
    <row r="1791" customFormat="false" ht="15" hidden="false" customHeight="false" outlineLevel="0" collapsed="false">
      <c r="G1791" s="41" t="str">
        <f aca="false">IF(E1791="","",IFERROR(IF(ISNUMBER(SEARCH(Assumptions!$C$5,E1791)),Assumptions!$D$5,IF(ISNUMBER(SEARCH(Assumptions!$C$6,E1791)),Assumptions!$D$6,IF(ISNUMBER(SEARCH(Assumptions!$C$7,E1791)),Assumptions!$D$7,"Other Services"))),"Other Services"))</f>
        <v/>
      </c>
    </row>
    <row r="1792" customFormat="false" ht="15" hidden="false" customHeight="false" outlineLevel="0" collapsed="false">
      <c r="G1792" s="41" t="str">
        <f aca="false">IF(E1792="","",IFERROR(IF(ISNUMBER(SEARCH(Assumptions!$C$5,E1792)),Assumptions!$D$5,IF(ISNUMBER(SEARCH(Assumptions!$C$6,E1792)),Assumptions!$D$6,IF(ISNUMBER(SEARCH(Assumptions!$C$7,E1792)),Assumptions!$D$7,"Other Services"))),"Other Services"))</f>
        <v/>
      </c>
    </row>
    <row r="1793" customFormat="false" ht="15" hidden="false" customHeight="false" outlineLevel="0" collapsed="false">
      <c r="G1793" s="41" t="str">
        <f aca="false">IF(E1793="","",IFERROR(IF(ISNUMBER(SEARCH(Assumptions!$C$5,E1793)),Assumptions!$D$5,IF(ISNUMBER(SEARCH(Assumptions!$C$6,E1793)),Assumptions!$D$6,IF(ISNUMBER(SEARCH(Assumptions!$C$7,E1793)),Assumptions!$D$7,"Other Services"))),"Other Services"))</f>
        <v/>
      </c>
    </row>
    <row r="1794" customFormat="false" ht="15" hidden="false" customHeight="false" outlineLevel="0" collapsed="false">
      <c r="G1794" s="41" t="str">
        <f aca="false">IF(E1794="","",IFERROR(IF(ISNUMBER(SEARCH(Assumptions!$C$5,E1794)),Assumptions!$D$5,IF(ISNUMBER(SEARCH(Assumptions!$C$6,E1794)),Assumptions!$D$6,IF(ISNUMBER(SEARCH(Assumptions!$C$7,E1794)),Assumptions!$D$7,"Other Services"))),"Other Services"))</f>
        <v/>
      </c>
    </row>
    <row r="1795" customFormat="false" ht="15" hidden="false" customHeight="false" outlineLevel="0" collapsed="false">
      <c r="G1795" s="41" t="str">
        <f aca="false">IF(E1795="","",IFERROR(IF(ISNUMBER(SEARCH(Assumptions!$C$5,E1795)),Assumptions!$D$5,IF(ISNUMBER(SEARCH(Assumptions!$C$6,E1795)),Assumptions!$D$6,IF(ISNUMBER(SEARCH(Assumptions!$C$7,E1795)),Assumptions!$D$7,"Other Services"))),"Other Services"))</f>
        <v/>
      </c>
    </row>
    <row r="1796" customFormat="false" ht="15" hidden="false" customHeight="false" outlineLevel="0" collapsed="false">
      <c r="G1796" s="41" t="str">
        <f aca="false">IF(E1796="","",IFERROR(IF(ISNUMBER(SEARCH(Assumptions!$C$5,E1796)),Assumptions!$D$5,IF(ISNUMBER(SEARCH(Assumptions!$C$6,E1796)),Assumptions!$D$6,IF(ISNUMBER(SEARCH(Assumptions!$C$7,E1796)),Assumptions!$D$7,"Other Services"))),"Other Services"))</f>
        <v/>
      </c>
    </row>
    <row r="1797" customFormat="false" ht="15" hidden="false" customHeight="false" outlineLevel="0" collapsed="false">
      <c r="G1797" s="41" t="str">
        <f aca="false">IF(E1797="","",IFERROR(IF(ISNUMBER(SEARCH(Assumptions!$C$5,E1797)),Assumptions!$D$5,IF(ISNUMBER(SEARCH(Assumptions!$C$6,E1797)),Assumptions!$D$6,IF(ISNUMBER(SEARCH(Assumptions!$C$7,E1797)),Assumptions!$D$7,"Other Services"))),"Other Services"))</f>
        <v/>
      </c>
    </row>
    <row r="1798" customFormat="false" ht="15" hidden="false" customHeight="false" outlineLevel="0" collapsed="false">
      <c r="G1798" s="41" t="str">
        <f aca="false">IF(E1798="","",IFERROR(IF(ISNUMBER(SEARCH(Assumptions!$C$5,E1798)),Assumptions!$D$5,IF(ISNUMBER(SEARCH(Assumptions!$C$6,E1798)),Assumptions!$D$6,IF(ISNUMBER(SEARCH(Assumptions!$C$7,E1798)),Assumptions!$D$7,"Other Services"))),"Other Services"))</f>
        <v/>
      </c>
    </row>
    <row r="1799" customFormat="false" ht="15" hidden="false" customHeight="false" outlineLevel="0" collapsed="false">
      <c r="G1799" s="41" t="str">
        <f aca="false">IF(E1799="","",IFERROR(IF(ISNUMBER(SEARCH(Assumptions!$C$5,E1799)),Assumptions!$D$5,IF(ISNUMBER(SEARCH(Assumptions!$C$6,E1799)),Assumptions!$D$6,IF(ISNUMBER(SEARCH(Assumptions!$C$7,E1799)),Assumptions!$D$7,"Other Services"))),"Other Services"))</f>
        <v/>
      </c>
    </row>
    <row r="1800" customFormat="false" ht="15" hidden="false" customHeight="false" outlineLevel="0" collapsed="false">
      <c r="G1800" s="41" t="str">
        <f aca="false">IF(E1800="","",IFERROR(IF(ISNUMBER(SEARCH(Assumptions!$C$5,E1800)),Assumptions!$D$5,IF(ISNUMBER(SEARCH(Assumptions!$C$6,E1800)),Assumptions!$D$6,IF(ISNUMBER(SEARCH(Assumptions!$C$7,E1800)),Assumptions!$D$7,"Other Services"))),"Other Services"))</f>
        <v/>
      </c>
    </row>
    <row r="1801" customFormat="false" ht="15" hidden="false" customHeight="false" outlineLevel="0" collapsed="false">
      <c r="G1801" s="41" t="str">
        <f aca="false">IF(E1801="","",IFERROR(IF(ISNUMBER(SEARCH(Assumptions!$C$5,E1801)),Assumptions!$D$5,IF(ISNUMBER(SEARCH(Assumptions!$C$6,E1801)),Assumptions!$D$6,IF(ISNUMBER(SEARCH(Assumptions!$C$7,E1801)),Assumptions!$D$7,"Other Services"))),"Other Services"))</f>
        <v/>
      </c>
    </row>
    <row r="1802" customFormat="false" ht="15" hidden="false" customHeight="false" outlineLevel="0" collapsed="false">
      <c r="G1802" s="41" t="str">
        <f aca="false">IF(E1802="","",IFERROR(IF(ISNUMBER(SEARCH(Assumptions!$C$5,E1802)),Assumptions!$D$5,IF(ISNUMBER(SEARCH(Assumptions!$C$6,E1802)),Assumptions!$D$6,IF(ISNUMBER(SEARCH(Assumptions!$C$7,E1802)),Assumptions!$D$7,"Other Services"))),"Other Services"))</f>
        <v/>
      </c>
    </row>
    <row r="1803" customFormat="false" ht="15" hidden="false" customHeight="false" outlineLevel="0" collapsed="false">
      <c r="G1803" s="41" t="str">
        <f aca="false">IF(E1803="","",IFERROR(IF(ISNUMBER(SEARCH(Assumptions!$C$5,E1803)),Assumptions!$D$5,IF(ISNUMBER(SEARCH(Assumptions!$C$6,E1803)),Assumptions!$D$6,IF(ISNUMBER(SEARCH(Assumptions!$C$7,E1803)),Assumptions!$D$7,"Other Services"))),"Other Services"))</f>
        <v/>
      </c>
    </row>
    <row r="1804" customFormat="false" ht="15" hidden="false" customHeight="false" outlineLevel="0" collapsed="false">
      <c r="G1804" s="41" t="str">
        <f aca="false">IF(E1804="","",IFERROR(IF(ISNUMBER(SEARCH(Assumptions!$C$5,E1804)),Assumptions!$D$5,IF(ISNUMBER(SEARCH(Assumptions!$C$6,E1804)),Assumptions!$D$6,IF(ISNUMBER(SEARCH(Assumptions!$C$7,E1804)),Assumptions!$D$7,"Other Services"))),"Other Services"))</f>
        <v/>
      </c>
    </row>
    <row r="1805" customFormat="false" ht="15" hidden="false" customHeight="false" outlineLevel="0" collapsed="false">
      <c r="G1805" s="41" t="str">
        <f aca="false">IF(E1805="","",IFERROR(IF(ISNUMBER(SEARCH(Assumptions!$C$5,E1805)),Assumptions!$D$5,IF(ISNUMBER(SEARCH(Assumptions!$C$6,E1805)),Assumptions!$D$6,IF(ISNUMBER(SEARCH(Assumptions!$C$7,E1805)),Assumptions!$D$7,"Other Services"))),"Other Services"))</f>
        <v/>
      </c>
    </row>
    <row r="1806" customFormat="false" ht="15" hidden="false" customHeight="false" outlineLevel="0" collapsed="false">
      <c r="G1806" s="41" t="str">
        <f aca="false">IF(E1806="","",IFERROR(IF(ISNUMBER(SEARCH(Assumptions!$C$5,E1806)),Assumptions!$D$5,IF(ISNUMBER(SEARCH(Assumptions!$C$6,E1806)),Assumptions!$D$6,IF(ISNUMBER(SEARCH(Assumptions!$C$7,E1806)),Assumptions!$D$7,"Other Services"))),"Other Services"))</f>
        <v/>
      </c>
    </row>
    <row r="1807" customFormat="false" ht="15" hidden="false" customHeight="false" outlineLevel="0" collapsed="false">
      <c r="G1807" s="41" t="str">
        <f aca="false">IF(E1807="","",IFERROR(IF(ISNUMBER(SEARCH(Assumptions!$C$5,E1807)),Assumptions!$D$5,IF(ISNUMBER(SEARCH(Assumptions!$C$6,E1807)),Assumptions!$D$6,IF(ISNUMBER(SEARCH(Assumptions!$C$7,E1807)),Assumptions!$D$7,"Other Services"))),"Other Services"))</f>
        <v/>
      </c>
    </row>
    <row r="1808" customFormat="false" ht="15" hidden="false" customHeight="false" outlineLevel="0" collapsed="false">
      <c r="G1808" s="41" t="str">
        <f aca="false">IF(E1808="","",IFERROR(IF(ISNUMBER(SEARCH(Assumptions!$C$5,E1808)),Assumptions!$D$5,IF(ISNUMBER(SEARCH(Assumptions!$C$6,E1808)),Assumptions!$D$6,IF(ISNUMBER(SEARCH(Assumptions!$C$7,E1808)),Assumptions!$D$7,"Other Services"))),"Other Services"))</f>
        <v/>
      </c>
    </row>
    <row r="1809" customFormat="false" ht="15" hidden="false" customHeight="false" outlineLevel="0" collapsed="false">
      <c r="G1809" s="41" t="str">
        <f aca="false">IF(E1809="","",IFERROR(IF(ISNUMBER(SEARCH(Assumptions!$C$5,E1809)),Assumptions!$D$5,IF(ISNUMBER(SEARCH(Assumptions!$C$6,E1809)),Assumptions!$D$6,IF(ISNUMBER(SEARCH(Assumptions!$C$7,E1809)),Assumptions!$D$7,"Other Services"))),"Other Services"))</f>
        <v/>
      </c>
    </row>
    <row r="1810" customFormat="false" ht="15" hidden="false" customHeight="false" outlineLevel="0" collapsed="false">
      <c r="G1810" s="41" t="str">
        <f aca="false">IF(E1810="","",IFERROR(IF(ISNUMBER(SEARCH(Assumptions!$C$5,E1810)),Assumptions!$D$5,IF(ISNUMBER(SEARCH(Assumptions!$C$6,E1810)),Assumptions!$D$6,IF(ISNUMBER(SEARCH(Assumptions!$C$7,E1810)),Assumptions!$D$7,"Other Services"))),"Other Services"))</f>
        <v/>
      </c>
    </row>
    <row r="1811" customFormat="false" ht="15" hidden="false" customHeight="false" outlineLevel="0" collapsed="false">
      <c r="G1811" s="41" t="str">
        <f aca="false">IF(E1811="","",IFERROR(IF(ISNUMBER(SEARCH(Assumptions!$C$5,E1811)),Assumptions!$D$5,IF(ISNUMBER(SEARCH(Assumptions!$C$6,E1811)),Assumptions!$D$6,IF(ISNUMBER(SEARCH(Assumptions!$C$7,E1811)),Assumptions!$D$7,"Other Services"))),"Other Services"))</f>
        <v/>
      </c>
    </row>
    <row r="1812" customFormat="false" ht="15" hidden="false" customHeight="false" outlineLevel="0" collapsed="false">
      <c r="G1812" s="41" t="str">
        <f aca="false">IF(E1812="","",IFERROR(IF(ISNUMBER(SEARCH(Assumptions!$C$5,E1812)),Assumptions!$D$5,IF(ISNUMBER(SEARCH(Assumptions!$C$6,E1812)),Assumptions!$D$6,IF(ISNUMBER(SEARCH(Assumptions!$C$7,E1812)),Assumptions!$D$7,"Other Services"))),"Other Services"))</f>
        <v/>
      </c>
    </row>
    <row r="1813" customFormat="false" ht="15" hidden="false" customHeight="false" outlineLevel="0" collapsed="false">
      <c r="G1813" s="41" t="str">
        <f aca="false">IF(E1813="","",IFERROR(IF(ISNUMBER(SEARCH(Assumptions!$C$5,E1813)),Assumptions!$D$5,IF(ISNUMBER(SEARCH(Assumptions!$C$6,E1813)),Assumptions!$D$6,IF(ISNUMBER(SEARCH(Assumptions!$C$7,E1813)),Assumptions!$D$7,"Other Services"))),"Other Services"))</f>
        <v/>
      </c>
    </row>
    <row r="1814" customFormat="false" ht="15" hidden="false" customHeight="false" outlineLevel="0" collapsed="false">
      <c r="G1814" s="41" t="str">
        <f aca="false">IF(E1814="","",IFERROR(IF(ISNUMBER(SEARCH(Assumptions!$C$5,E1814)),Assumptions!$D$5,IF(ISNUMBER(SEARCH(Assumptions!$C$6,E1814)),Assumptions!$D$6,IF(ISNUMBER(SEARCH(Assumptions!$C$7,E1814)),Assumptions!$D$7,"Other Services"))),"Other Services"))</f>
        <v/>
      </c>
    </row>
    <row r="1815" customFormat="false" ht="15" hidden="false" customHeight="false" outlineLevel="0" collapsed="false">
      <c r="G1815" s="41" t="str">
        <f aca="false">IF(E1815="","",IFERROR(IF(ISNUMBER(SEARCH(Assumptions!$C$5,E1815)),Assumptions!$D$5,IF(ISNUMBER(SEARCH(Assumptions!$C$6,E1815)),Assumptions!$D$6,IF(ISNUMBER(SEARCH(Assumptions!$C$7,E1815)),Assumptions!$D$7,"Other Services"))),"Other Services"))</f>
        <v/>
      </c>
    </row>
    <row r="1816" customFormat="false" ht="15" hidden="false" customHeight="false" outlineLevel="0" collapsed="false">
      <c r="G1816" s="41" t="str">
        <f aca="false">IF(E1816="","",IFERROR(IF(ISNUMBER(SEARCH(Assumptions!$C$5,E1816)),Assumptions!$D$5,IF(ISNUMBER(SEARCH(Assumptions!$C$6,E1816)),Assumptions!$D$6,IF(ISNUMBER(SEARCH(Assumptions!$C$7,E1816)),Assumptions!$D$7,"Other Services"))),"Other Services"))</f>
        <v/>
      </c>
    </row>
    <row r="1817" customFormat="false" ht="15" hidden="false" customHeight="false" outlineLevel="0" collapsed="false">
      <c r="G1817" s="41" t="str">
        <f aca="false">IF(E1817="","",IFERROR(IF(ISNUMBER(SEARCH(Assumptions!$C$5,E1817)),Assumptions!$D$5,IF(ISNUMBER(SEARCH(Assumptions!$C$6,E1817)),Assumptions!$D$6,IF(ISNUMBER(SEARCH(Assumptions!$C$7,E1817)),Assumptions!$D$7,"Other Services"))),"Other Services"))</f>
        <v/>
      </c>
    </row>
    <row r="1818" customFormat="false" ht="15" hidden="false" customHeight="false" outlineLevel="0" collapsed="false">
      <c r="G1818" s="41" t="str">
        <f aca="false">IF(E1818="","",IFERROR(IF(ISNUMBER(SEARCH(Assumptions!$C$5,E1818)),Assumptions!$D$5,IF(ISNUMBER(SEARCH(Assumptions!$C$6,E1818)),Assumptions!$D$6,IF(ISNUMBER(SEARCH(Assumptions!$C$7,E1818)),Assumptions!$D$7,"Other Services"))),"Other Services"))</f>
        <v/>
      </c>
    </row>
    <row r="1819" customFormat="false" ht="15" hidden="false" customHeight="false" outlineLevel="0" collapsed="false">
      <c r="G1819" s="41" t="str">
        <f aca="false">IF(E1819="","",IFERROR(IF(ISNUMBER(SEARCH(Assumptions!$C$5,E1819)),Assumptions!$D$5,IF(ISNUMBER(SEARCH(Assumptions!$C$6,E1819)),Assumptions!$D$6,IF(ISNUMBER(SEARCH(Assumptions!$C$7,E1819)),Assumptions!$D$7,"Other Services"))),"Other Services"))</f>
        <v/>
      </c>
    </row>
    <row r="1820" customFormat="false" ht="15" hidden="false" customHeight="false" outlineLevel="0" collapsed="false">
      <c r="G1820" s="41" t="str">
        <f aca="false">IF(E1820="","",IFERROR(IF(ISNUMBER(SEARCH(Assumptions!$C$5,E1820)),Assumptions!$D$5,IF(ISNUMBER(SEARCH(Assumptions!$C$6,E1820)),Assumptions!$D$6,IF(ISNUMBER(SEARCH(Assumptions!$C$7,E1820)),Assumptions!$D$7,"Other Services"))),"Other Services"))</f>
        <v/>
      </c>
    </row>
    <row r="1821" customFormat="false" ht="15" hidden="false" customHeight="false" outlineLevel="0" collapsed="false">
      <c r="G1821" s="41" t="str">
        <f aca="false">IF(E1821="","",IFERROR(IF(ISNUMBER(SEARCH(Assumptions!$C$5,E1821)),Assumptions!$D$5,IF(ISNUMBER(SEARCH(Assumptions!$C$6,E1821)),Assumptions!$D$6,IF(ISNUMBER(SEARCH(Assumptions!$C$7,E1821)),Assumptions!$D$7,"Other Services"))),"Other Services"))</f>
        <v/>
      </c>
    </row>
    <row r="1822" customFormat="false" ht="15" hidden="false" customHeight="false" outlineLevel="0" collapsed="false">
      <c r="G1822" s="41" t="str">
        <f aca="false">IF(E1822="","",IFERROR(IF(ISNUMBER(SEARCH(Assumptions!$C$5,E1822)),Assumptions!$D$5,IF(ISNUMBER(SEARCH(Assumptions!$C$6,E1822)),Assumptions!$D$6,IF(ISNUMBER(SEARCH(Assumptions!$C$7,E1822)),Assumptions!$D$7,"Other Services"))),"Other Services"))</f>
        <v/>
      </c>
    </row>
    <row r="1823" customFormat="false" ht="15" hidden="false" customHeight="false" outlineLevel="0" collapsed="false">
      <c r="G1823" s="41" t="str">
        <f aca="false">IF(E1823="","",IFERROR(IF(ISNUMBER(SEARCH(Assumptions!$C$5,E1823)),Assumptions!$D$5,IF(ISNUMBER(SEARCH(Assumptions!$C$6,E1823)),Assumptions!$D$6,IF(ISNUMBER(SEARCH(Assumptions!$C$7,E1823)),Assumptions!$D$7,"Other Services"))),"Other Services"))</f>
        <v/>
      </c>
    </row>
    <row r="1824" customFormat="false" ht="15" hidden="false" customHeight="false" outlineLevel="0" collapsed="false">
      <c r="G1824" s="41" t="str">
        <f aca="false">IF(E1824="","",IFERROR(IF(ISNUMBER(SEARCH(Assumptions!$C$5,E1824)),Assumptions!$D$5,IF(ISNUMBER(SEARCH(Assumptions!$C$6,E1824)),Assumptions!$D$6,IF(ISNUMBER(SEARCH(Assumptions!$C$7,E1824)),Assumptions!$D$7,"Other Services"))),"Other Services"))</f>
        <v/>
      </c>
    </row>
    <row r="1825" customFormat="false" ht="15" hidden="false" customHeight="false" outlineLevel="0" collapsed="false">
      <c r="G1825" s="41" t="str">
        <f aca="false">IF(E1825="","",IFERROR(IF(ISNUMBER(SEARCH(Assumptions!$C$5,E1825)),Assumptions!$D$5,IF(ISNUMBER(SEARCH(Assumptions!$C$6,E1825)),Assumptions!$D$6,IF(ISNUMBER(SEARCH(Assumptions!$C$7,E1825)),Assumptions!$D$7,"Other Services"))),"Other Services"))</f>
        <v/>
      </c>
    </row>
    <row r="1826" customFormat="false" ht="15" hidden="false" customHeight="false" outlineLevel="0" collapsed="false">
      <c r="G1826" s="41" t="str">
        <f aca="false">IF(E1826="","",IFERROR(IF(ISNUMBER(SEARCH(Assumptions!$C$5,E1826)),Assumptions!$D$5,IF(ISNUMBER(SEARCH(Assumptions!$C$6,E1826)),Assumptions!$D$6,IF(ISNUMBER(SEARCH(Assumptions!$C$7,E1826)),Assumptions!$D$7,"Other Services"))),"Other Services"))</f>
        <v/>
      </c>
    </row>
    <row r="1827" customFormat="false" ht="15" hidden="false" customHeight="false" outlineLevel="0" collapsed="false">
      <c r="G1827" s="41" t="str">
        <f aca="false">IF(E1827="","",IFERROR(IF(ISNUMBER(SEARCH(Assumptions!$C$5,E1827)),Assumptions!$D$5,IF(ISNUMBER(SEARCH(Assumptions!$C$6,E1827)),Assumptions!$D$6,IF(ISNUMBER(SEARCH(Assumptions!$C$7,E1827)),Assumptions!$D$7,"Other Services"))),"Other Services"))</f>
        <v/>
      </c>
    </row>
    <row r="1828" customFormat="false" ht="15" hidden="false" customHeight="false" outlineLevel="0" collapsed="false">
      <c r="G1828" s="41" t="str">
        <f aca="false">IF(E1828="","",IFERROR(IF(ISNUMBER(SEARCH(Assumptions!$C$5,E1828)),Assumptions!$D$5,IF(ISNUMBER(SEARCH(Assumptions!$C$6,E1828)),Assumptions!$D$6,IF(ISNUMBER(SEARCH(Assumptions!$C$7,E1828)),Assumptions!$D$7,"Other Services"))),"Other Services"))</f>
        <v/>
      </c>
    </row>
    <row r="1829" customFormat="false" ht="15" hidden="false" customHeight="false" outlineLevel="0" collapsed="false">
      <c r="G1829" s="41" t="str">
        <f aca="false">IF(E1829="","",IFERROR(IF(ISNUMBER(SEARCH(Assumptions!$C$5,E1829)),Assumptions!$D$5,IF(ISNUMBER(SEARCH(Assumptions!$C$6,E1829)),Assumptions!$D$6,IF(ISNUMBER(SEARCH(Assumptions!$C$7,E1829)),Assumptions!$D$7,"Other Services"))),"Other Services"))</f>
        <v/>
      </c>
    </row>
    <row r="1830" customFormat="false" ht="15" hidden="false" customHeight="false" outlineLevel="0" collapsed="false">
      <c r="G1830" s="41" t="str">
        <f aca="false">IF(E1830="","",IFERROR(IF(ISNUMBER(SEARCH(Assumptions!$C$5,E1830)),Assumptions!$D$5,IF(ISNUMBER(SEARCH(Assumptions!$C$6,E1830)),Assumptions!$D$6,IF(ISNUMBER(SEARCH(Assumptions!$C$7,E1830)),Assumptions!$D$7,"Other Services"))),"Other Services"))</f>
        <v/>
      </c>
    </row>
    <row r="1831" customFormat="false" ht="15" hidden="false" customHeight="false" outlineLevel="0" collapsed="false">
      <c r="G1831" s="41" t="str">
        <f aca="false">IF(E1831="","",IFERROR(IF(ISNUMBER(SEARCH(Assumptions!$C$5,E1831)),Assumptions!$D$5,IF(ISNUMBER(SEARCH(Assumptions!$C$6,E1831)),Assumptions!$D$6,IF(ISNUMBER(SEARCH(Assumptions!$C$7,E1831)),Assumptions!$D$7,"Other Services"))),"Other Services"))</f>
        <v/>
      </c>
    </row>
    <row r="1832" customFormat="false" ht="15" hidden="false" customHeight="false" outlineLevel="0" collapsed="false">
      <c r="G1832" s="41" t="str">
        <f aca="false">IF(E1832="","",IFERROR(IF(ISNUMBER(SEARCH(Assumptions!$C$5,E1832)),Assumptions!$D$5,IF(ISNUMBER(SEARCH(Assumptions!$C$6,E1832)),Assumptions!$D$6,IF(ISNUMBER(SEARCH(Assumptions!$C$7,E1832)),Assumptions!$D$7,"Other Services"))),"Other Services"))</f>
        <v/>
      </c>
    </row>
    <row r="1833" customFormat="false" ht="15" hidden="false" customHeight="false" outlineLevel="0" collapsed="false">
      <c r="G1833" s="41" t="str">
        <f aca="false">IF(E1833="","",IFERROR(IF(ISNUMBER(SEARCH(Assumptions!$C$5,E1833)),Assumptions!$D$5,IF(ISNUMBER(SEARCH(Assumptions!$C$6,E1833)),Assumptions!$D$6,IF(ISNUMBER(SEARCH(Assumptions!$C$7,E1833)),Assumptions!$D$7,"Other Services"))),"Other Services"))</f>
        <v/>
      </c>
    </row>
    <row r="1834" customFormat="false" ht="15" hidden="false" customHeight="false" outlineLevel="0" collapsed="false">
      <c r="G1834" s="41" t="str">
        <f aca="false">IF(E1834="","",IFERROR(IF(ISNUMBER(SEARCH(Assumptions!$C$5,E1834)),Assumptions!$D$5,IF(ISNUMBER(SEARCH(Assumptions!$C$6,E1834)),Assumptions!$D$6,IF(ISNUMBER(SEARCH(Assumptions!$C$7,E1834)),Assumptions!$D$7,"Other Services"))),"Other Services"))</f>
        <v/>
      </c>
    </row>
    <row r="1835" customFormat="false" ht="15" hidden="false" customHeight="false" outlineLevel="0" collapsed="false">
      <c r="G1835" s="41" t="str">
        <f aca="false">IF(E1835="","",IFERROR(IF(ISNUMBER(SEARCH(Assumptions!$C$5,E1835)),Assumptions!$D$5,IF(ISNUMBER(SEARCH(Assumptions!$C$6,E1835)),Assumptions!$D$6,IF(ISNUMBER(SEARCH(Assumptions!$C$7,E1835)),Assumptions!$D$7,"Other Services"))),"Other Services"))</f>
        <v/>
      </c>
    </row>
    <row r="1836" customFormat="false" ht="15" hidden="false" customHeight="false" outlineLevel="0" collapsed="false">
      <c r="G1836" s="41" t="str">
        <f aca="false">IF(E1836="","",IFERROR(IF(ISNUMBER(SEARCH(Assumptions!$C$5,E1836)),Assumptions!$D$5,IF(ISNUMBER(SEARCH(Assumptions!$C$6,E1836)),Assumptions!$D$6,IF(ISNUMBER(SEARCH(Assumptions!$C$7,E1836)),Assumptions!$D$7,"Other Services"))),"Other Services"))</f>
        <v/>
      </c>
    </row>
    <row r="1837" customFormat="false" ht="15" hidden="false" customHeight="false" outlineLevel="0" collapsed="false">
      <c r="G1837" s="41" t="str">
        <f aca="false">IF(E1837="","",IFERROR(IF(ISNUMBER(SEARCH(Assumptions!$C$5,E1837)),Assumptions!$D$5,IF(ISNUMBER(SEARCH(Assumptions!$C$6,E1837)),Assumptions!$D$6,IF(ISNUMBER(SEARCH(Assumptions!$C$7,E1837)),Assumptions!$D$7,"Other Services"))),"Other Services"))</f>
        <v/>
      </c>
    </row>
    <row r="1838" customFormat="false" ht="15" hidden="false" customHeight="false" outlineLevel="0" collapsed="false">
      <c r="G1838" s="41" t="str">
        <f aca="false">IF(E1838="","",IFERROR(IF(ISNUMBER(SEARCH(Assumptions!$C$5,E1838)),Assumptions!$D$5,IF(ISNUMBER(SEARCH(Assumptions!$C$6,E1838)),Assumptions!$D$6,IF(ISNUMBER(SEARCH(Assumptions!$C$7,E1838)),Assumptions!$D$7,"Other Services"))),"Other Services"))</f>
        <v/>
      </c>
    </row>
    <row r="1839" customFormat="false" ht="15" hidden="false" customHeight="false" outlineLevel="0" collapsed="false">
      <c r="G1839" s="41" t="str">
        <f aca="false">IF(E1839="","",IFERROR(IF(ISNUMBER(SEARCH(Assumptions!$C$5,E1839)),Assumptions!$D$5,IF(ISNUMBER(SEARCH(Assumptions!$C$6,E1839)),Assumptions!$D$6,IF(ISNUMBER(SEARCH(Assumptions!$C$7,E1839)),Assumptions!$D$7,"Other Services"))),"Other Services"))</f>
        <v/>
      </c>
    </row>
    <row r="1840" customFormat="false" ht="15" hidden="false" customHeight="false" outlineLevel="0" collapsed="false">
      <c r="G1840" s="41" t="str">
        <f aca="false">IF(E1840="","",IFERROR(IF(ISNUMBER(SEARCH(Assumptions!$C$5,E1840)),Assumptions!$D$5,IF(ISNUMBER(SEARCH(Assumptions!$C$6,E1840)),Assumptions!$D$6,IF(ISNUMBER(SEARCH(Assumptions!$C$7,E1840)),Assumptions!$D$7,"Other Services"))),"Other Services"))</f>
        <v/>
      </c>
    </row>
    <row r="1841" customFormat="false" ht="15" hidden="false" customHeight="false" outlineLevel="0" collapsed="false">
      <c r="G1841" s="41" t="str">
        <f aca="false">IF(E1841="","",IFERROR(IF(ISNUMBER(SEARCH(Assumptions!$C$5,E1841)),Assumptions!$D$5,IF(ISNUMBER(SEARCH(Assumptions!$C$6,E1841)),Assumptions!$D$6,IF(ISNUMBER(SEARCH(Assumptions!$C$7,E1841)),Assumptions!$D$7,"Other Services"))),"Other Services"))</f>
        <v/>
      </c>
    </row>
    <row r="1842" customFormat="false" ht="15" hidden="false" customHeight="false" outlineLevel="0" collapsed="false">
      <c r="G1842" s="41" t="str">
        <f aca="false">IF(E1842="","",IFERROR(IF(ISNUMBER(SEARCH(Assumptions!$C$5,E1842)),Assumptions!$D$5,IF(ISNUMBER(SEARCH(Assumptions!$C$6,E1842)),Assumptions!$D$6,IF(ISNUMBER(SEARCH(Assumptions!$C$7,E1842)),Assumptions!$D$7,"Other Services"))),"Other Services"))</f>
        <v/>
      </c>
    </row>
    <row r="1843" customFormat="false" ht="15" hidden="false" customHeight="false" outlineLevel="0" collapsed="false">
      <c r="G1843" s="41" t="str">
        <f aca="false">IF(E1843="","",IFERROR(IF(ISNUMBER(SEARCH(Assumptions!$C$5,E1843)),Assumptions!$D$5,IF(ISNUMBER(SEARCH(Assumptions!$C$6,E1843)),Assumptions!$D$6,IF(ISNUMBER(SEARCH(Assumptions!$C$7,E1843)),Assumptions!$D$7,"Other Services"))),"Other Services"))</f>
        <v/>
      </c>
    </row>
    <row r="1844" customFormat="false" ht="15" hidden="false" customHeight="false" outlineLevel="0" collapsed="false">
      <c r="G1844" s="41" t="str">
        <f aca="false">IF(E1844="","",IFERROR(IF(ISNUMBER(SEARCH(Assumptions!$C$5,E1844)),Assumptions!$D$5,IF(ISNUMBER(SEARCH(Assumptions!$C$6,E1844)),Assumptions!$D$6,IF(ISNUMBER(SEARCH(Assumptions!$C$7,E1844)),Assumptions!$D$7,"Other Services"))),"Other Services"))</f>
        <v/>
      </c>
    </row>
    <row r="1845" customFormat="false" ht="15" hidden="false" customHeight="false" outlineLevel="0" collapsed="false">
      <c r="G1845" s="41" t="str">
        <f aca="false">IF(E1845="","",IFERROR(IF(ISNUMBER(SEARCH(Assumptions!$C$5,E1845)),Assumptions!$D$5,IF(ISNUMBER(SEARCH(Assumptions!$C$6,E1845)),Assumptions!$D$6,IF(ISNUMBER(SEARCH(Assumptions!$C$7,E1845)),Assumptions!$D$7,"Other Services"))),"Other Services"))</f>
        <v/>
      </c>
    </row>
    <row r="1846" customFormat="false" ht="15" hidden="false" customHeight="false" outlineLevel="0" collapsed="false">
      <c r="G1846" s="41" t="str">
        <f aca="false">IF(E1846="","",IFERROR(IF(ISNUMBER(SEARCH(Assumptions!$C$5,E1846)),Assumptions!$D$5,IF(ISNUMBER(SEARCH(Assumptions!$C$6,E1846)),Assumptions!$D$6,IF(ISNUMBER(SEARCH(Assumptions!$C$7,E1846)),Assumptions!$D$7,"Other Services"))),"Other Services"))</f>
        <v/>
      </c>
    </row>
    <row r="1847" customFormat="false" ht="15" hidden="false" customHeight="false" outlineLevel="0" collapsed="false">
      <c r="G1847" s="41" t="str">
        <f aca="false">IF(E1847="","",IFERROR(IF(ISNUMBER(SEARCH(Assumptions!$C$5,E1847)),Assumptions!$D$5,IF(ISNUMBER(SEARCH(Assumptions!$C$6,E1847)),Assumptions!$D$6,IF(ISNUMBER(SEARCH(Assumptions!$C$7,E1847)),Assumptions!$D$7,"Other Services"))),"Other Services"))</f>
        <v/>
      </c>
    </row>
    <row r="1848" customFormat="false" ht="15" hidden="false" customHeight="false" outlineLevel="0" collapsed="false">
      <c r="G1848" s="41" t="str">
        <f aca="false">IF(E1848="","",IFERROR(IF(ISNUMBER(SEARCH(Assumptions!$C$5,E1848)),Assumptions!$D$5,IF(ISNUMBER(SEARCH(Assumptions!$C$6,E1848)),Assumptions!$D$6,IF(ISNUMBER(SEARCH(Assumptions!$C$7,E1848)),Assumptions!$D$7,"Other Services"))),"Other Services"))</f>
        <v/>
      </c>
    </row>
    <row r="1849" customFormat="false" ht="15" hidden="false" customHeight="false" outlineLevel="0" collapsed="false">
      <c r="G1849" s="41" t="str">
        <f aca="false">IF(E1849="","",IFERROR(IF(ISNUMBER(SEARCH(Assumptions!$C$5,E1849)),Assumptions!$D$5,IF(ISNUMBER(SEARCH(Assumptions!$C$6,E1849)),Assumptions!$D$6,IF(ISNUMBER(SEARCH(Assumptions!$C$7,E1849)),Assumptions!$D$7,"Other Services"))),"Other Services"))</f>
        <v/>
      </c>
    </row>
    <row r="1850" customFormat="false" ht="15" hidden="false" customHeight="false" outlineLevel="0" collapsed="false">
      <c r="G1850" s="41" t="str">
        <f aca="false">IF(E1850="","",IFERROR(IF(ISNUMBER(SEARCH(Assumptions!$C$5,E1850)),Assumptions!$D$5,IF(ISNUMBER(SEARCH(Assumptions!$C$6,E1850)),Assumptions!$D$6,IF(ISNUMBER(SEARCH(Assumptions!$C$7,E1850)),Assumptions!$D$7,"Other Services"))),"Other Services"))</f>
        <v/>
      </c>
    </row>
    <row r="1851" customFormat="false" ht="15" hidden="false" customHeight="false" outlineLevel="0" collapsed="false">
      <c r="G1851" s="41" t="str">
        <f aca="false">IF(E1851="","",IFERROR(IF(ISNUMBER(SEARCH(Assumptions!$C$5,E1851)),Assumptions!$D$5,IF(ISNUMBER(SEARCH(Assumptions!$C$6,E1851)),Assumptions!$D$6,IF(ISNUMBER(SEARCH(Assumptions!$C$7,E1851)),Assumptions!$D$7,"Other Services"))),"Other Services"))</f>
        <v/>
      </c>
    </row>
    <row r="1852" customFormat="false" ht="15" hidden="false" customHeight="false" outlineLevel="0" collapsed="false">
      <c r="G1852" s="41" t="str">
        <f aca="false">IF(E1852="","",IFERROR(IF(ISNUMBER(SEARCH(Assumptions!$C$5,E1852)),Assumptions!$D$5,IF(ISNUMBER(SEARCH(Assumptions!$C$6,E1852)),Assumptions!$D$6,IF(ISNUMBER(SEARCH(Assumptions!$C$7,E1852)),Assumptions!$D$7,"Other Services"))),"Other Services"))</f>
        <v/>
      </c>
    </row>
    <row r="1853" customFormat="false" ht="15" hidden="false" customHeight="false" outlineLevel="0" collapsed="false">
      <c r="G1853" s="41" t="str">
        <f aca="false">IF(E1853="","",IFERROR(IF(ISNUMBER(SEARCH(Assumptions!$C$5,E1853)),Assumptions!$D$5,IF(ISNUMBER(SEARCH(Assumptions!$C$6,E1853)),Assumptions!$D$6,IF(ISNUMBER(SEARCH(Assumptions!$C$7,E1853)),Assumptions!$D$7,"Other Services"))),"Other Services"))</f>
        <v/>
      </c>
    </row>
    <row r="1854" customFormat="false" ht="15" hidden="false" customHeight="false" outlineLevel="0" collapsed="false">
      <c r="G1854" s="41" t="str">
        <f aca="false">IF(E1854="","",IFERROR(IF(ISNUMBER(SEARCH(Assumptions!$C$5,E1854)),Assumptions!$D$5,IF(ISNUMBER(SEARCH(Assumptions!$C$6,E1854)),Assumptions!$D$6,IF(ISNUMBER(SEARCH(Assumptions!$C$7,E1854)),Assumptions!$D$7,"Other Services"))),"Other Services"))</f>
        <v/>
      </c>
    </row>
    <row r="1855" customFormat="false" ht="15" hidden="false" customHeight="false" outlineLevel="0" collapsed="false">
      <c r="G1855" s="41" t="str">
        <f aca="false">IF(E1855="","",IFERROR(IF(ISNUMBER(SEARCH(Assumptions!$C$5,E1855)),Assumptions!$D$5,IF(ISNUMBER(SEARCH(Assumptions!$C$6,E1855)),Assumptions!$D$6,IF(ISNUMBER(SEARCH(Assumptions!$C$7,E1855)),Assumptions!$D$7,"Other Services"))),"Other Services"))</f>
        <v/>
      </c>
    </row>
    <row r="1856" customFormat="false" ht="15" hidden="false" customHeight="false" outlineLevel="0" collapsed="false">
      <c r="G1856" s="41" t="str">
        <f aca="false">IF(E1856="","",IFERROR(IF(ISNUMBER(SEARCH(Assumptions!$C$5,E1856)),Assumptions!$D$5,IF(ISNUMBER(SEARCH(Assumptions!$C$6,E1856)),Assumptions!$D$6,IF(ISNUMBER(SEARCH(Assumptions!$C$7,E1856)),Assumptions!$D$7,"Other Services"))),"Other Services"))</f>
        <v/>
      </c>
    </row>
    <row r="1857" customFormat="false" ht="15" hidden="false" customHeight="false" outlineLevel="0" collapsed="false">
      <c r="G1857" s="41" t="str">
        <f aca="false">IF(E1857="","",IFERROR(IF(ISNUMBER(SEARCH(Assumptions!$C$5,E1857)),Assumptions!$D$5,IF(ISNUMBER(SEARCH(Assumptions!$C$6,E1857)),Assumptions!$D$6,IF(ISNUMBER(SEARCH(Assumptions!$C$7,E1857)),Assumptions!$D$7,"Other Services"))),"Other Services"))</f>
        <v/>
      </c>
    </row>
    <row r="1858" customFormat="false" ht="15" hidden="false" customHeight="false" outlineLevel="0" collapsed="false">
      <c r="G1858" s="41" t="str">
        <f aca="false">IF(E1858="","",IFERROR(IF(ISNUMBER(SEARCH(Assumptions!$C$5,E1858)),Assumptions!$D$5,IF(ISNUMBER(SEARCH(Assumptions!$C$6,E1858)),Assumptions!$D$6,IF(ISNUMBER(SEARCH(Assumptions!$C$7,E1858)),Assumptions!$D$7,"Other Services"))),"Other Services"))</f>
        <v/>
      </c>
    </row>
    <row r="1859" customFormat="false" ht="15" hidden="false" customHeight="false" outlineLevel="0" collapsed="false">
      <c r="G1859" s="41" t="str">
        <f aca="false">IF(E1859="","",IFERROR(IF(ISNUMBER(SEARCH(Assumptions!$C$5,E1859)),Assumptions!$D$5,IF(ISNUMBER(SEARCH(Assumptions!$C$6,E1859)),Assumptions!$D$6,IF(ISNUMBER(SEARCH(Assumptions!$C$7,E1859)),Assumptions!$D$7,"Other Services"))),"Other Services"))</f>
        <v/>
      </c>
    </row>
    <row r="1860" customFormat="false" ht="15" hidden="false" customHeight="false" outlineLevel="0" collapsed="false">
      <c r="G1860" s="41" t="str">
        <f aca="false">IF(E1860="","",IFERROR(IF(ISNUMBER(SEARCH(Assumptions!$C$5,E1860)),Assumptions!$D$5,IF(ISNUMBER(SEARCH(Assumptions!$C$6,E1860)),Assumptions!$D$6,IF(ISNUMBER(SEARCH(Assumptions!$C$7,E1860)),Assumptions!$D$7,"Other Services"))),"Other Services"))</f>
        <v/>
      </c>
    </row>
    <row r="1861" customFormat="false" ht="15" hidden="false" customHeight="false" outlineLevel="0" collapsed="false">
      <c r="G1861" s="41" t="str">
        <f aca="false">IF(E1861="","",IFERROR(IF(ISNUMBER(SEARCH(Assumptions!$C$5,E1861)),Assumptions!$D$5,IF(ISNUMBER(SEARCH(Assumptions!$C$6,E1861)),Assumptions!$D$6,IF(ISNUMBER(SEARCH(Assumptions!$C$7,E1861)),Assumptions!$D$7,"Other Services"))),"Other Services"))</f>
        <v/>
      </c>
    </row>
    <row r="1862" customFormat="false" ht="15" hidden="false" customHeight="false" outlineLevel="0" collapsed="false">
      <c r="G1862" s="41" t="str">
        <f aca="false">IF(E1862="","",IFERROR(IF(ISNUMBER(SEARCH(Assumptions!$C$5,E1862)),Assumptions!$D$5,IF(ISNUMBER(SEARCH(Assumptions!$C$6,E1862)),Assumptions!$D$6,IF(ISNUMBER(SEARCH(Assumptions!$C$7,E1862)),Assumptions!$D$7,"Other Services"))),"Other Services"))</f>
        <v/>
      </c>
    </row>
    <row r="1863" customFormat="false" ht="15" hidden="false" customHeight="false" outlineLevel="0" collapsed="false">
      <c r="G1863" s="41" t="str">
        <f aca="false">IF(E1863="","",IFERROR(IF(ISNUMBER(SEARCH(Assumptions!$C$5,E1863)),Assumptions!$D$5,IF(ISNUMBER(SEARCH(Assumptions!$C$6,E1863)),Assumptions!$D$6,IF(ISNUMBER(SEARCH(Assumptions!$C$7,E1863)),Assumptions!$D$7,"Other Services"))),"Other Services"))</f>
        <v/>
      </c>
    </row>
    <row r="1864" customFormat="false" ht="15" hidden="false" customHeight="false" outlineLevel="0" collapsed="false">
      <c r="G1864" s="41" t="str">
        <f aca="false">IF(E1864="","",IFERROR(IF(ISNUMBER(SEARCH(Assumptions!$C$5,E1864)),Assumptions!$D$5,IF(ISNUMBER(SEARCH(Assumptions!$C$6,E1864)),Assumptions!$D$6,IF(ISNUMBER(SEARCH(Assumptions!$C$7,E1864)),Assumptions!$D$7,"Other Services"))),"Other Services"))</f>
        <v/>
      </c>
    </row>
    <row r="1865" customFormat="false" ht="15" hidden="false" customHeight="false" outlineLevel="0" collapsed="false">
      <c r="G1865" s="41" t="str">
        <f aca="false">IF(E1865="","",IFERROR(IF(ISNUMBER(SEARCH(Assumptions!$C$5,E1865)),Assumptions!$D$5,IF(ISNUMBER(SEARCH(Assumptions!$C$6,E1865)),Assumptions!$D$6,IF(ISNUMBER(SEARCH(Assumptions!$C$7,E1865)),Assumptions!$D$7,"Other Services"))),"Other Services"))</f>
        <v/>
      </c>
    </row>
    <row r="1866" customFormat="false" ht="15" hidden="false" customHeight="false" outlineLevel="0" collapsed="false">
      <c r="G1866" s="41" t="str">
        <f aca="false">IF(E1866="","",IFERROR(IF(ISNUMBER(SEARCH(Assumptions!$C$5,E1866)),Assumptions!$D$5,IF(ISNUMBER(SEARCH(Assumptions!$C$6,E1866)),Assumptions!$D$6,IF(ISNUMBER(SEARCH(Assumptions!$C$7,E1866)),Assumptions!$D$7,"Other Services"))),"Other Services"))</f>
        <v/>
      </c>
    </row>
    <row r="1867" customFormat="false" ht="15" hidden="false" customHeight="false" outlineLevel="0" collapsed="false">
      <c r="G1867" s="41" t="str">
        <f aca="false">IF(E1867="","",IFERROR(IF(ISNUMBER(SEARCH(Assumptions!$C$5,E1867)),Assumptions!$D$5,IF(ISNUMBER(SEARCH(Assumptions!$C$6,E1867)),Assumptions!$D$6,IF(ISNUMBER(SEARCH(Assumptions!$C$7,E1867)),Assumptions!$D$7,"Other Services"))),"Other Services"))</f>
        <v/>
      </c>
    </row>
    <row r="1868" customFormat="false" ht="15" hidden="false" customHeight="false" outlineLevel="0" collapsed="false">
      <c r="G1868" s="41" t="str">
        <f aca="false">IF(E1868="","",IFERROR(IF(ISNUMBER(SEARCH(Assumptions!$C$5,E1868)),Assumptions!$D$5,IF(ISNUMBER(SEARCH(Assumptions!$C$6,E1868)),Assumptions!$D$6,IF(ISNUMBER(SEARCH(Assumptions!$C$7,E1868)),Assumptions!$D$7,"Other Services"))),"Other Services"))</f>
        <v/>
      </c>
    </row>
    <row r="1869" customFormat="false" ht="15" hidden="false" customHeight="false" outlineLevel="0" collapsed="false">
      <c r="G1869" s="41" t="str">
        <f aca="false">IF(E1869="","",IFERROR(IF(ISNUMBER(SEARCH(Assumptions!$C$5,E1869)),Assumptions!$D$5,IF(ISNUMBER(SEARCH(Assumptions!$C$6,E1869)),Assumptions!$D$6,IF(ISNUMBER(SEARCH(Assumptions!$C$7,E1869)),Assumptions!$D$7,"Other Services"))),"Other Services"))</f>
        <v/>
      </c>
    </row>
    <row r="1870" customFormat="false" ht="15" hidden="false" customHeight="false" outlineLevel="0" collapsed="false">
      <c r="G1870" s="41" t="str">
        <f aca="false">IF(E1870="","",IFERROR(IF(ISNUMBER(SEARCH(Assumptions!$C$5,E1870)),Assumptions!$D$5,IF(ISNUMBER(SEARCH(Assumptions!$C$6,E1870)),Assumptions!$D$6,IF(ISNUMBER(SEARCH(Assumptions!$C$7,E1870)),Assumptions!$D$7,"Other Services"))),"Other Services"))</f>
        <v/>
      </c>
    </row>
    <row r="1871" customFormat="false" ht="15" hidden="false" customHeight="false" outlineLevel="0" collapsed="false">
      <c r="G1871" s="41" t="str">
        <f aca="false">IF(E1871="","",IFERROR(IF(ISNUMBER(SEARCH(Assumptions!$C$5,E1871)),Assumptions!$D$5,IF(ISNUMBER(SEARCH(Assumptions!$C$6,E1871)),Assumptions!$D$6,IF(ISNUMBER(SEARCH(Assumptions!$C$7,E1871)),Assumptions!$D$7,"Other Services"))),"Other Services"))</f>
        <v/>
      </c>
    </row>
    <row r="1872" customFormat="false" ht="15" hidden="false" customHeight="false" outlineLevel="0" collapsed="false">
      <c r="G1872" s="41" t="str">
        <f aca="false">IF(E1872="","",IFERROR(IF(ISNUMBER(SEARCH(Assumptions!$C$5,E1872)),Assumptions!$D$5,IF(ISNUMBER(SEARCH(Assumptions!$C$6,E1872)),Assumptions!$D$6,IF(ISNUMBER(SEARCH(Assumptions!$C$7,E1872)),Assumptions!$D$7,"Other Services"))),"Other Services"))</f>
        <v/>
      </c>
    </row>
    <row r="1873" customFormat="false" ht="15" hidden="false" customHeight="false" outlineLevel="0" collapsed="false">
      <c r="G1873" s="41" t="str">
        <f aca="false">IF(E1873="","",IFERROR(IF(ISNUMBER(SEARCH(Assumptions!$C$5,E1873)),Assumptions!$D$5,IF(ISNUMBER(SEARCH(Assumptions!$C$6,E1873)),Assumptions!$D$6,IF(ISNUMBER(SEARCH(Assumptions!$C$7,E1873)),Assumptions!$D$7,"Other Services"))),"Other Services"))</f>
        <v/>
      </c>
    </row>
    <row r="1874" customFormat="false" ht="15" hidden="false" customHeight="false" outlineLevel="0" collapsed="false">
      <c r="G1874" s="41" t="str">
        <f aca="false">IF(E1874="","",IFERROR(IF(ISNUMBER(SEARCH(Assumptions!$C$5,E1874)),Assumptions!$D$5,IF(ISNUMBER(SEARCH(Assumptions!$C$6,E1874)),Assumptions!$D$6,IF(ISNUMBER(SEARCH(Assumptions!$C$7,E1874)),Assumptions!$D$7,"Other Services"))),"Other Services"))</f>
        <v/>
      </c>
    </row>
    <row r="1875" customFormat="false" ht="15" hidden="false" customHeight="false" outlineLevel="0" collapsed="false">
      <c r="G1875" s="41" t="str">
        <f aca="false">IF(E1875="","",IFERROR(IF(ISNUMBER(SEARCH(Assumptions!$C$5,E1875)),Assumptions!$D$5,IF(ISNUMBER(SEARCH(Assumptions!$C$6,E1875)),Assumptions!$D$6,IF(ISNUMBER(SEARCH(Assumptions!$C$7,E1875)),Assumptions!$D$7,"Other Services"))),"Other Services"))</f>
        <v/>
      </c>
    </row>
    <row r="1876" customFormat="false" ht="15" hidden="false" customHeight="false" outlineLevel="0" collapsed="false">
      <c r="G1876" s="41" t="str">
        <f aca="false">IF(E1876="","",IFERROR(IF(ISNUMBER(SEARCH(Assumptions!$C$5,E1876)),Assumptions!$D$5,IF(ISNUMBER(SEARCH(Assumptions!$C$6,E1876)),Assumptions!$D$6,IF(ISNUMBER(SEARCH(Assumptions!$C$7,E1876)),Assumptions!$D$7,"Other Services"))),"Other Services"))</f>
        <v/>
      </c>
    </row>
    <row r="1877" customFormat="false" ht="15" hidden="false" customHeight="false" outlineLevel="0" collapsed="false">
      <c r="G1877" s="41" t="str">
        <f aca="false">IF(E1877="","",IFERROR(IF(ISNUMBER(SEARCH(Assumptions!$C$5,E1877)),Assumptions!$D$5,IF(ISNUMBER(SEARCH(Assumptions!$C$6,E1877)),Assumptions!$D$6,IF(ISNUMBER(SEARCH(Assumptions!$C$7,E1877)),Assumptions!$D$7,"Other Services"))),"Other Services"))</f>
        <v/>
      </c>
    </row>
    <row r="1878" customFormat="false" ht="15" hidden="false" customHeight="false" outlineLevel="0" collapsed="false">
      <c r="G1878" s="41" t="str">
        <f aca="false">IF(E1878="","",IFERROR(IF(ISNUMBER(SEARCH(Assumptions!$C$5,E1878)),Assumptions!$D$5,IF(ISNUMBER(SEARCH(Assumptions!$C$6,E1878)),Assumptions!$D$6,IF(ISNUMBER(SEARCH(Assumptions!$C$7,E1878)),Assumptions!$D$7,"Other Services"))),"Other Services"))</f>
        <v/>
      </c>
    </row>
    <row r="1879" customFormat="false" ht="15" hidden="false" customHeight="false" outlineLevel="0" collapsed="false">
      <c r="G1879" s="41" t="str">
        <f aca="false">IF(E1879="","",IFERROR(IF(ISNUMBER(SEARCH(Assumptions!$C$5,E1879)),Assumptions!$D$5,IF(ISNUMBER(SEARCH(Assumptions!$C$6,E1879)),Assumptions!$D$6,IF(ISNUMBER(SEARCH(Assumptions!$C$7,E1879)),Assumptions!$D$7,"Other Services"))),"Other Services"))</f>
        <v/>
      </c>
    </row>
    <row r="1880" customFormat="false" ht="15" hidden="false" customHeight="false" outlineLevel="0" collapsed="false">
      <c r="G1880" s="41" t="str">
        <f aca="false">IF(E1880="","",IFERROR(IF(ISNUMBER(SEARCH(Assumptions!$C$5,E1880)),Assumptions!$D$5,IF(ISNUMBER(SEARCH(Assumptions!$C$6,E1880)),Assumptions!$D$6,IF(ISNUMBER(SEARCH(Assumptions!$C$7,E1880)),Assumptions!$D$7,"Other Services"))),"Other Services"))</f>
        <v/>
      </c>
    </row>
    <row r="1881" customFormat="false" ht="15" hidden="false" customHeight="false" outlineLevel="0" collapsed="false">
      <c r="G1881" s="41" t="str">
        <f aca="false">IF(E1881="","",IFERROR(IF(ISNUMBER(SEARCH(Assumptions!$C$5,E1881)),Assumptions!$D$5,IF(ISNUMBER(SEARCH(Assumptions!$C$6,E1881)),Assumptions!$D$6,IF(ISNUMBER(SEARCH(Assumptions!$C$7,E1881)),Assumptions!$D$7,"Other Services"))),"Other Services"))</f>
        <v/>
      </c>
    </row>
    <row r="1882" customFormat="false" ht="15" hidden="false" customHeight="false" outlineLevel="0" collapsed="false">
      <c r="G1882" s="41" t="str">
        <f aca="false">IF(E1882="","",IFERROR(IF(ISNUMBER(SEARCH(Assumptions!$C$5,E1882)),Assumptions!$D$5,IF(ISNUMBER(SEARCH(Assumptions!$C$6,E1882)),Assumptions!$D$6,IF(ISNUMBER(SEARCH(Assumptions!$C$7,E1882)),Assumptions!$D$7,"Other Services"))),"Other Services"))</f>
        <v/>
      </c>
    </row>
    <row r="1883" customFormat="false" ht="15" hidden="false" customHeight="false" outlineLevel="0" collapsed="false">
      <c r="G1883" s="41" t="str">
        <f aca="false">IF(E1883="","",IFERROR(IF(ISNUMBER(SEARCH(Assumptions!$C$5,E1883)),Assumptions!$D$5,IF(ISNUMBER(SEARCH(Assumptions!$C$6,E1883)),Assumptions!$D$6,IF(ISNUMBER(SEARCH(Assumptions!$C$7,E1883)),Assumptions!$D$7,"Other Services"))),"Other Services"))</f>
        <v/>
      </c>
    </row>
    <row r="1884" customFormat="false" ht="15" hidden="false" customHeight="false" outlineLevel="0" collapsed="false">
      <c r="G1884" s="41" t="str">
        <f aca="false">IF(E1884="","",IFERROR(IF(ISNUMBER(SEARCH(Assumptions!$C$5,E1884)),Assumptions!$D$5,IF(ISNUMBER(SEARCH(Assumptions!$C$6,E1884)),Assumptions!$D$6,IF(ISNUMBER(SEARCH(Assumptions!$C$7,E1884)),Assumptions!$D$7,"Other Services"))),"Other Services"))</f>
        <v/>
      </c>
    </row>
    <row r="1885" customFormat="false" ht="15" hidden="false" customHeight="false" outlineLevel="0" collapsed="false">
      <c r="G1885" s="41" t="str">
        <f aca="false">IF(E1885="","",IFERROR(IF(ISNUMBER(SEARCH(Assumptions!$C$5,E1885)),Assumptions!$D$5,IF(ISNUMBER(SEARCH(Assumptions!$C$6,E1885)),Assumptions!$D$6,IF(ISNUMBER(SEARCH(Assumptions!$C$7,E1885)),Assumptions!$D$7,"Other Services"))),"Other Services"))</f>
        <v/>
      </c>
    </row>
    <row r="1886" customFormat="false" ht="15" hidden="false" customHeight="false" outlineLevel="0" collapsed="false">
      <c r="G1886" s="41" t="str">
        <f aca="false">IF(E1886="","",IFERROR(IF(ISNUMBER(SEARCH(Assumptions!$C$5,E1886)),Assumptions!$D$5,IF(ISNUMBER(SEARCH(Assumptions!$C$6,E1886)),Assumptions!$D$6,IF(ISNUMBER(SEARCH(Assumptions!$C$7,E1886)),Assumptions!$D$7,"Other Services"))),"Other Services"))</f>
        <v/>
      </c>
    </row>
    <row r="1887" customFormat="false" ht="15" hidden="false" customHeight="false" outlineLevel="0" collapsed="false">
      <c r="G1887" s="41" t="str">
        <f aca="false">IF(E1887="","",IFERROR(IF(ISNUMBER(SEARCH(Assumptions!$C$5,E1887)),Assumptions!$D$5,IF(ISNUMBER(SEARCH(Assumptions!$C$6,E1887)),Assumptions!$D$6,IF(ISNUMBER(SEARCH(Assumptions!$C$7,E1887)),Assumptions!$D$7,"Other Services"))),"Other Services"))</f>
        <v/>
      </c>
    </row>
    <row r="1888" customFormat="false" ht="15" hidden="false" customHeight="false" outlineLevel="0" collapsed="false">
      <c r="G1888" s="41" t="str">
        <f aca="false">IF(E1888="","",IFERROR(IF(ISNUMBER(SEARCH(Assumptions!$C$5,E1888)),Assumptions!$D$5,IF(ISNUMBER(SEARCH(Assumptions!$C$6,E1888)),Assumptions!$D$6,IF(ISNUMBER(SEARCH(Assumptions!$C$7,E1888)),Assumptions!$D$7,"Other Services"))),"Other Services"))</f>
        <v/>
      </c>
    </row>
    <row r="1889" customFormat="false" ht="15" hidden="false" customHeight="false" outlineLevel="0" collapsed="false">
      <c r="G1889" s="41" t="str">
        <f aca="false">IF(E1889="","",IFERROR(IF(ISNUMBER(SEARCH(Assumptions!$C$5,E1889)),Assumptions!$D$5,IF(ISNUMBER(SEARCH(Assumptions!$C$6,E1889)),Assumptions!$D$6,IF(ISNUMBER(SEARCH(Assumptions!$C$7,E1889)),Assumptions!$D$7,"Other Services"))),"Other Services"))</f>
        <v/>
      </c>
    </row>
    <row r="1890" customFormat="false" ht="15" hidden="false" customHeight="false" outlineLevel="0" collapsed="false">
      <c r="G1890" s="41" t="str">
        <f aca="false">IF(E1890="","",IFERROR(IF(ISNUMBER(SEARCH(Assumptions!$C$5,E1890)),Assumptions!$D$5,IF(ISNUMBER(SEARCH(Assumptions!$C$6,E1890)),Assumptions!$D$6,IF(ISNUMBER(SEARCH(Assumptions!$C$7,E1890)),Assumptions!$D$7,"Other Services"))),"Other Services"))</f>
        <v/>
      </c>
    </row>
    <row r="1891" customFormat="false" ht="15" hidden="false" customHeight="false" outlineLevel="0" collapsed="false">
      <c r="G1891" s="41" t="str">
        <f aca="false">IF(E1891="","",IFERROR(IF(ISNUMBER(SEARCH(Assumptions!$C$5,E1891)),Assumptions!$D$5,IF(ISNUMBER(SEARCH(Assumptions!$C$6,E1891)),Assumptions!$D$6,IF(ISNUMBER(SEARCH(Assumptions!$C$7,E1891)),Assumptions!$D$7,"Other Services"))),"Other Services"))</f>
        <v/>
      </c>
    </row>
    <row r="1892" customFormat="false" ht="15" hidden="false" customHeight="false" outlineLevel="0" collapsed="false">
      <c r="G1892" s="41" t="str">
        <f aca="false">IF(E1892="","",IFERROR(IF(ISNUMBER(SEARCH(Assumptions!$C$5,E1892)),Assumptions!$D$5,IF(ISNUMBER(SEARCH(Assumptions!$C$6,E1892)),Assumptions!$D$6,IF(ISNUMBER(SEARCH(Assumptions!$C$7,E1892)),Assumptions!$D$7,"Other Services"))),"Other Services"))</f>
        <v/>
      </c>
    </row>
    <row r="1893" customFormat="false" ht="15" hidden="false" customHeight="false" outlineLevel="0" collapsed="false">
      <c r="G1893" s="41" t="str">
        <f aca="false">IF(E1893="","",IFERROR(IF(ISNUMBER(SEARCH(Assumptions!$C$5,E1893)),Assumptions!$D$5,IF(ISNUMBER(SEARCH(Assumptions!$C$6,E1893)),Assumptions!$D$6,IF(ISNUMBER(SEARCH(Assumptions!$C$7,E1893)),Assumptions!$D$7,"Other Services"))),"Other Services"))</f>
        <v/>
      </c>
    </row>
    <row r="1894" customFormat="false" ht="15" hidden="false" customHeight="false" outlineLevel="0" collapsed="false">
      <c r="G1894" s="41" t="str">
        <f aca="false">IF(E1894="","",IFERROR(IF(ISNUMBER(SEARCH(Assumptions!$C$5,E1894)),Assumptions!$D$5,IF(ISNUMBER(SEARCH(Assumptions!$C$6,E1894)),Assumptions!$D$6,IF(ISNUMBER(SEARCH(Assumptions!$C$7,E1894)),Assumptions!$D$7,"Other Services"))),"Other Services"))</f>
        <v/>
      </c>
    </row>
    <row r="1895" customFormat="false" ht="15" hidden="false" customHeight="false" outlineLevel="0" collapsed="false">
      <c r="G1895" s="41" t="str">
        <f aca="false">IF(E1895="","",IFERROR(IF(ISNUMBER(SEARCH(Assumptions!$C$5,E1895)),Assumptions!$D$5,IF(ISNUMBER(SEARCH(Assumptions!$C$6,E1895)),Assumptions!$D$6,IF(ISNUMBER(SEARCH(Assumptions!$C$7,E1895)),Assumptions!$D$7,"Other Services"))),"Other Services"))</f>
        <v/>
      </c>
    </row>
    <row r="1896" customFormat="false" ht="15" hidden="false" customHeight="false" outlineLevel="0" collapsed="false">
      <c r="G1896" s="41" t="str">
        <f aca="false">IF(E1896="","",IFERROR(IF(ISNUMBER(SEARCH(Assumptions!$C$5,E1896)),Assumptions!$D$5,IF(ISNUMBER(SEARCH(Assumptions!$C$6,E1896)),Assumptions!$D$6,IF(ISNUMBER(SEARCH(Assumptions!$C$7,E1896)),Assumptions!$D$7,"Other Services"))),"Other Services"))</f>
        <v/>
      </c>
    </row>
    <row r="1897" customFormat="false" ht="15" hidden="false" customHeight="false" outlineLevel="0" collapsed="false">
      <c r="G1897" s="41" t="str">
        <f aca="false">IF(E1897="","",IFERROR(IF(ISNUMBER(SEARCH(Assumptions!$C$5,E1897)),Assumptions!$D$5,IF(ISNUMBER(SEARCH(Assumptions!$C$6,E1897)),Assumptions!$D$6,IF(ISNUMBER(SEARCH(Assumptions!$C$7,E1897)),Assumptions!$D$7,"Other Services"))),"Other Services"))</f>
        <v/>
      </c>
    </row>
    <row r="1898" customFormat="false" ht="15" hidden="false" customHeight="false" outlineLevel="0" collapsed="false">
      <c r="G1898" s="41" t="str">
        <f aca="false">IF(E1898="","",IFERROR(IF(ISNUMBER(SEARCH(Assumptions!$C$5,E1898)),Assumptions!$D$5,IF(ISNUMBER(SEARCH(Assumptions!$C$6,E1898)),Assumptions!$D$6,IF(ISNUMBER(SEARCH(Assumptions!$C$7,E1898)),Assumptions!$D$7,"Other Services"))),"Other Services"))</f>
        <v/>
      </c>
    </row>
    <row r="1899" customFormat="false" ht="15" hidden="false" customHeight="false" outlineLevel="0" collapsed="false">
      <c r="G1899" s="41" t="str">
        <f aca="false">IF(E1899="","",IFERROR(IF(ISNUMBER(SEARCH(Assumptions!$C$5,E1899)),Assumptions!$D$5,IF(ISNUMBER(SEARCH(Assumptions!$C$6,E1899)),Assumptions!$D$6,IF(ISNUMBER(SEARCH(Assumptions!$C$7,E1899)),Assumptions!$D$7,"Other Services"))),"Other Services"))</f>
        <v/>
      </c>
    </row>
    <row r="1900" customFormat="false" ht="15" hidden="false" customHeight="false" outlineLevel="0" collapsed="false">
      <c r="G1900" s="41" t="str">
        <f aca="false">IF(E1900="","",IFERROR(IF(ISNUMBER(SEARCH(Assumptions!$C$5,E1900)),Assumptions!$D$5,IF(ISNUMBER(SEARCH(Assumptions!$C$6,E1900)),Assumptions!$D$6,IF(ISNUMBER(SEARCH(Assumptions!$C$7,E1900)),Assumptions!$D$7,"Other Services"))),"Other Services"))</f>
        <v/>
      </c>
    </row>
    <row r="1901" customFormat="false" ht="15" hidden="false" customHeight="false" outlineLevel="0" collapsed="false">
      <c r="G1901" s="41" t="str">
        <f aca="false">IF(E1901="","",IFERROR(IF(ISNUMBER(SEARCH(Assumptions!$C$5,E1901)),Assumptions!$D$5,IF(ISNUMBER(SEARCH(Assumptions!$C$6,E1901)),Assumptions!$D$6,IF(ISNUMBER(SEARCH(Assumptions!$C$7,E1901)),Assumptions!$D$7,"Other Services"))),"Other Services"))</f>
        <v/>
      </c>
    </row>
    <row r="1902" customFormat="false" ht="15" hidden="false" customHeight="false" outlineLevel="0" collapsed="false">
      <c r="G1902" s="41" t="str">
        <f aca="false">IF(E1902="","",IFERROR(IF(ISNUMBER(SEARCH(Assumptions!$C$5,E1902)),Assumptions!$D$5,IF(ISNUMBER(SEARCH(Assumptions!$C$6,E1902)),Assumptions!$D$6,IF(ISNUMBER(SEARCH(Assumptions!$C$7,E1902)),Assumptions!$D$7,"Other Services"))),"Other Services"))</f>
        <v/>
      </c>
    </row>
    <row r="1903" customFormat="false" ht="15" hidden="false" customHeight="false" outlineLevel="0" collapsed="false">
      <c r="G1903" s="41" t="str">
        <f aca="false">IF(E1903="","",IFERROR(IF(ISNUMBER(SEARCH(Assumptions!$C$5,E1903)),Assumptions!$D$5,IF(ISNUMBER(SEARCH(Assumptions!$C$6,E1903)),Assumptions!$D$6,IF(ISNUMBER(SEARCH(Assumptions!$C$7,E1903)),Assumptions!$D$7,"Other Services"))),"Other Services"))</f>
        <v/>
      </c>
    </row>
    <row r="1904" customFormat="false" ht="15" hidden="false" customHeight="false" outlineLevel="0" collapsed="false">
      <c r="G1904" s="41" t="str">
        <f aca="false">IF(E1904="","",IFERROR(IF(ISNUMBER(SEARCH(Assumptions!$C$5,E1904)),Assumptions!$D$5,IF(ISNUMBER(SEARCH(Assumptions!$C$6,E1904)),Assumptions!$D$6,IF(ISNUMBER(SEARCH(Assumptions!$C$7,E1904)),Assumptions!$D$7,"Other Services"))),"Other Services"))</f>
        <v/>
      </c>
    </row>
    <row r="1905" customFormat="false" ht="15" hidden="false" customHeight="false" outlineLevel="0" collapsed="false">
      <c r="G1905" s="41" t="str">
        <f aca="false">IF(E1905="","",IFERROR(IF(ISNUMBER(SEARCH(Assumptions!$C$5,E1905)),Assumptions!$D$5,IF(ISNUMBER(SEARCH(Assumptions!$C$6,E1905)),Assumptions!$D$6,IF(ISNUMBER(SEARCH(Assumptions!$C$7,E1905)),Assumptions!$D$7,"Other Services"))),"Other Services"))</f>
        <v/>
      </c>
    </row>
    <row r="1906" customFormat="false" ht="15" hidden="false" customHeight="false" outlineLevel="0" collapsed="false">
      <c r="G1906" s="41" t="str">
        <f aca="false">IF(E1906="","",IFERROR(IF(ISNUMBER(SEARCH(Assumptions!$C$5,E1906)),Assumptions!$D$5,IF(ISNUMBER(SEARCH(Assumptions!$C$6,E1906)),Assumptions!$D$6,IF(ISNUMBER(SEARCH(Assumptions!$C$7,E1906)),Assumptions!$D$7,"Other Services"))),"Other Services"))</f>
        <v/>
      </c>
    </row>
    <row r="1907" customFormat="false" ht="15" hidden="false" customHeight="false" outlineLevel="0" collapsed="false">
      <c r="G1907" s="41" t="str">
        <f aca="false">IF(E1907="","",IFERROR(IF(ISNUMBER(SEARCH(Assumptions!$C$5,E1907)),Assumptions!$D$5,IF(ISNUMBER(SEARCH(Assumptions!$C$6,E1907)),Assumptions!$D$6,IF(ISNUMBER(SEARCH(Assumptions!$C$7,E1907)),Assumptions!$D$7,"Other Services"))),"Other Services"))</f>
        <v/>
      </c>
    </row>
    <row r="1908" customFormat="false" ht="15" hidden="false" customHeight="false" outlineLevel="0" collapsed="false">
      <c r="G1908" s="41" t="str">
        <f aca="false">IF(E1908="","",IFERROR(IF(ISNUMBER(SEARCH(Assumptions!$C$5,E1908)),Assumptions!$D$5,IF(ISNUMBER(SEARCH(Assumptions!$C$6,E1908)),Assumptions!$D$6,IF(ISNUMBER(SEARCH(Assumptions!$C$7,E1908)),Assumptions!$D$7,"Other Services"))),"Other Services"))</f>
        <v/>
      </c>
    </row>
    <row r="1909" customFormat="false" ht="15" hidden="false" customHeight="false" outlineLevel="0" collapsed="false">
      <c r="G1909" s="41" t="str">
        <f aca="false">IF(E1909="","",IFERROR(IF(ISNUMBER(SEARCH(Assumptions!$C$5,E1909)),Assumptions!$D$5,IF(ISNUMBER(SEARCH(Assumptions!$C$6,E1909)),Assumptions!$D$6,IF(ISNUMBER(SEARCH(Assumptions!$C$7,E1909)),Assumptions!$D$7,"Other Services"))),"Other Services"))</f>
        <v/>
      </c>
    </row>
    <row r="1910" customFormat="false" ht="15" hidden="false" customHeight="false" outlineLevel="0" collapsed="false">
      <c r="G1910" s="41" t="str">
        <f aca="false">IF(E1910="","",IFERROR(IF(ISNUMBER(SEARCH(Assumptions!$C$5,E1910)),Assumptions!$D$5,IF(ISNUMBER(SEARCH(Assumptions!$C$6,E1910)),Assumptions!$D$6,IF(ISNUMBER(SEARCH(Assumptions!$C$7,E1910)),Assumptions!$D$7,"Other Services"))),"Other Services"))</f>
        <v/>
      </c>
    </row>
    <row r="1911" customFormat="false" ht="15" hidden="false" customHeight="false" outlineLevel="0" collapsed="false">
      <c r="G1911" s="41" t="str">
        <f aca="false">IF(E1911="","",IFERROR(IF(ISNUMBER(SEARCH(Assumptions!$C$5,E1911)),Assumptions!$D$5,IF(ISNUMBER(SEARCH(Assumptions!$C$6,E1911)),Assumptions!$D$6,IF(ISNUMBER(SEARCH(Assumptions!$C$7,E1911)),Assumptions!$D$7,"Other Services"))),"Other Services"))</f>
        <v/>
      </c>
    </row>
    <row r="1912" customFormat="false" ht="15" hidden="false" customHeight="false" outlineLevel="0" collapsed="false">
      <c r="G1912" s="41" t="str">
        <f aca="false">IF(E1912="","",IFERROR(IF(ISNUMBER(SEARCH(Assumptions!$C$5,E1912)),Assumptions!$D$5,IF(ISNUMBER(SEARCH(Assumptions!$C$6,E1912)),Assumptions!$D$6,IF(ISNUMBER(SEARCH(Assumptions!$C$7,E1912)),Assumptions!$D$7,"Other Services"))),"Other Services"))</f>
        <v/>
      </c>
    </row>
    <row r="1913" customFormat="false" ht="15" hidden="false" customHeight="false" outlineLevel="0" collapsed="false">
      <c r="G1913" s="41" t="str">
        <f aca="false">IF(E1913="","",IFERROR(IF(ISNUMBER(SEARCH(Assumptions!$C$5,E1913)),Assumptions!$D$5,IF(ISNUMBER(SEARCH(Assumptions!$C$6,E1913)),Assumptions!$D$6,IF(ISNUMBER(SEARCH(Assumptions!$C$7,E1913)),Assumptions!$D$7,"Other Services"))),"Other Services"))</f>
        <v/>
      </c>
    </row>
    <row r="1914" customFormat="false" ht="15" hidden="false" customHeight="false" outlineLevel="0" collapsed="false">
      <c r="G1914" s="41" t="str">
        <f aca="false">IF(E1914="","",IFERROR(IF(ISNUMBER(SEARCH(Assumptions!$C$5,E1914)),Assumptions!$D$5,IF(ISNUMBER(SEARCH(Assumptions!$C$6,E1914)),Assumptions!$D$6,IF(ISNUMBER(SEARCH(Assumptions!$C$7,E1914)),Assumptions!$D$7,"Other Services"))),"Other Services"))</f>
        <v/>
      </c>
    </row>
    <row r="1915" customFormat="false" ht="15" hidden="false" customHeight="false" outlineLevel="0" collapsed="false">
      <c r="G1915" s="41" t="str">
        <f aca="false">IF(E1915="","",IFERROR(IF(ISNUMBER(SEARCH(Assumptions!$C$5,E1915)),Assumptions!$D$5,IF(ISNUMBER(SEARCH(Assumptions!$C$6,E1915)),Assumptions!$D$6,IF(ISNUMBER(SEARCH(Assumptions!$C$7,E1915)),Assumptions!$D$7,"Other Services"))),"Other Services"))</f>
        <v/>
      </c>
    </row>
    <row r="1916" customFormat="false" ht="15" hidden="false" customHeight="false" outlineLevel="0" collapsed="false">
      <c r="G1916" s="41" t="str">
        <f aca="false">IF(E1916="","",IFERROR(IF(ISNUMBER(SEARCH(Assumptions!$C$5,E1916)),Assumptions!$D$5,IF(ISNUMBER(SEARCH(Assumptions!$C$6,E1916)),Assumptions!$D$6,IF(ISNUMBER(SEARCH(Assumptions!$C$7,E1916)),Assumptions!$D$7,"Other Services"))),"Other Services"))</f>
        <v/>
      </c>
    </row>
    <row r="1917" customFormat="false" ht="15" hidden="false" customHeight="false" outlineLevel="0" collapsed="false">
      <c r="G1917" s="41" t="str">
        <f aca="false">IF(E1917="","",IFERROR(IF(ISNUMBER(SEARCH(Assumptions!$C$5,E1917)),Assumptions!$D$5,IF(ISNUMBER(SEARCH(Assumptions!$C$6,E1917)),Assumptions!$D$6,IF(ISNUMBER(SEARCH(Assumptions!$C$7,E1917)),Assumptions!$D$7,"Other Services"))),"Other Services"))</f>
        <v/>
      </c>
    </row>
    <row r="1918" customFormat="false" ht="15" hidden="false" customHeight="false" outlineLevel="0" collapsed="false">
      <c r="G1918" s="41" t="str">
        <f aca="false">IF(E1918="","",IFERROR(IF(ISNUMBER(SEARCH(Assumptions!$C$5,E1918)),Assumptions!$D$5,IF(ISNUMBER(SEARCH(Assumptions!$C$6,E1918)),Assumptions!$D$6,IF(ISNUMBER(SEARCH(Assumptions!$C$7,E1918)),Assumptions!$D$7,"Other Services"))),"Other Services"))</f>
        <v/>
      </c>
    </row>
    <row r="1919" customFormat="false" ht="15" hidden="false" customHeight="false" outlineLevel="0" collapsed="false">
      <c r="G1919" s="41" t="str">
        <f aca="false">IF(E1919="","",IFERROR(IF(ISNUMBER(SEARCH(Assumptions!$C$5,E1919)),Assumptions!$D$5,IF(ISNUMBER(SEARCH(Assumptions!$C$6,E1919)),Assumptions!$D$6,IF(ISNUMBER(SEARCH(Assumptions!$C$7,E1919)),Assumptions!$D$7,"Other Services"))),"Other Services"))</f>
        <v/>
      </c>
    </row>
    <row r="1920" customFormat="false" ht="15" hidden="false" customHeight="false" outlineLevel="0" collapsed="false">
      <c r="G1920" s="41" t="str">
        <f aca="false">IF(E1920="","",IFERROR(IF(ISNUMBER(SEARCH(Assumptions!$C$5,E1920)),Assumptions!$D$5,IF(ISNUMBER(SEARCH(Assumptions!$C$6,E1920)),Assumptions!$D$6,IF(ISNUMBER(SEARCH(Assumptions!$C$7,E1920)),Assumptions!$D$7,"Other Services"))),"Other Services"))</f>
        <v/>
      </c>
    </row>
    <row r="1921" customFormat="false" ht="15" hidden="false" customHeight="false" outlineLevel="0" collapsed="false">
      <c r="G1921" s="41" t="str">
        <f aca="false">IF(E1921="","",IFERROR(IF(ISNUMBER(SEARCH(Assumptions!$C$5,E1921)),Assumptions!$D$5,IF(ISNUMBER(SEARCH(Assumptions!$C$6,E1921)),Assumptions!$D$6,IF(ISNUMBER(SEARCH(Assumptions!$C$7,E1921)),Assumptions!$D$7,"Other Services"))),"Other Services"))</f>
        <v/>
      </c>
    </row>
    <row r="1922" customFormat="false" ht="15" hidden="false" customHeight="false" outlineLevel="0" collapsed="false">
      <c r="G1922" s="41" t="str">
        <f aca="false">IF(E1922="","",IFERROR(IF(ISNUMBER(SEARCH(Assumptions!$C$5,E1922)),Assumptions!$D$5,IF(ISNUMBER(SEARCH(Assumptions!$C$6,E1922)),Assumptions!$D$6,IF(ISNUMBER(SEARCH(Assumptions!$C$7,E1922)),Assumptions!$D$7,"Other Services"))),"Other Services"))</f>
        <v/>
      </c>
    </row>
    <row r="1923" customFormat="false" ht="15" hidden="false" customHeight="false" outlineLevel="0" collapsed="false">
      <c r="G1923" s="41" t="str">
        <f aca="false">IF(E1923="","",IFERROR(IF(ISNUMBER(SEARCH(Assumptions!$C$5,E1923)),Assumptions!$D$5,IF(ISNUMBER(SEARCH(Assumptions!$C$6,E1923)),Assumptions!$D$6,IF(ISNUMBER(SEARCH(Assumptions!$C$7,E1923)),Assumptions!$D$7,"Other Services"))),"Other Services"))</f>
        <v/>
      </c>
    </row>
    <row r="1924" customFormat="false" ht="15" hidden="false" customHeight="false" outlineLevel="0" collapsed="false">
      <c r="G1924" s="41" t="str">
        <f aca="false">IF(E1924="","",IFERROR(IF(ISNUMBER(SEARCH(Assumptions!$C$5,E1924)),Assumptions!$D$5,IF(ISNUMBER(SEARCH(Assumptions!$C$6,E1924)),Assumptions!$D$6,IF(ISNUMBER(SEARCH(Assumptions!$C$7,E1924)),Assumptions!$D$7,"Other Services"))),"Other Services"))</f>
        <v/>
      </c>
    </row>
    <row r="1925" customFormat="false" ht="15" hidden="false" customHeight="false" outlineLevel="0" collapsed="false">
      <c r="G1925" s="41" t="str">
        <f aca="false">IF(E1925="","",IFERROR(IF(ISNUMBER(SEARCH(Assumptions!$C$5,E1925)),Assumptions!$D$5,IF(ISNUMBER(SEARCH(Assumptions!$C$6,E1925)),Assumptions!$D$6,IF(ISNUMBER(SEARCH(Assumptions!$C$7,E1925)),Assumptions!$D$7,"Other Services"))),"Other Services"))</f>
        <v/>
      </c>
    </row>
    <row r="1926" customFormat="false" ht="15" hidden="false" customHeight="false" outlineLevel="0" collapsed="false">
      <c r="G1926" s="41" t="str">
        <f aca="false">IF(E1926="","",IFERROR(IF(ISNUMBER(SEARCH(Assumptions!$C$5,E1926)),Assumptions!$D$5,IF(ISNUMBER(SEARCH(Assumptions!$C$6,E1926)),Assumptions!$D$6,IF(ISNUMBER(SEARCH(Assumptions!$C$7,E1926)),Assumptions!$D$7,"Other Services"))),"Other Services"))</f>
        <v/>
      </c>
    </row>
    <row r="1927" customFormat="false" ht="15" hidden="false" customHeight="false" outlineLevel="0" collapsed="false">
      <c r="G1927" s="41" t="str">
        <f aca="false">IF(E1927="","",IFERROR(IF(ISNUMBER(SEARCH(Assumptions!$C$5,E1927)),Assumptions!$D$5,IF(ISNUMBER(SEARCH(Assumptions!$C$6,E1927)),Assumptions!$D$6,IF(ISNUMBER(SEARCH(Assumptions!$C$7,E1927)),Assumptions!$D$7,"Other Services"))),"Other Services"))</f>
        <v/>
      </c>
    </row>
    <row r="1928" customFormat="false" ht="15" hidden="false" customHeight="false" outlineLevel="0" collapsed="false">
      <c r="G1928" s="41" t="str">
        <f aca="false">IF(E1928="","",IFERROR(IF(ISNUMBER(SEARCH(Assumptions!$C$5,E1928)),Assumptions!$D$5,IF(ISNUMBER(SEARCH(Assumptions!$C$6,E1928)),Assumptions!$D$6,IF(ISNUMBER(SEARCH(Assumptions!$C$7,E1928)),Assumptions!$D$7,"Other Services"))),"Other Services"))</f>
        <v/>
      </c>
    </row>
    <row r="1929" customFormat="false" ht="15" hidden="false" customHeight="false" outlineLevel="0" collapsed="false">
      <c r="G1929" s="41" t="str">
        <f aca="false">IF(E1929="","",IFERROR(IF(ISNUMBER(SEARCH(Assumptions!$C$5,E1929)),Assumptions!$D$5,IF(ISNUMBER(SEARCH(Assumptions!$C$6,E1929)),Assumptions!$D$6,IF(ISNUMBER(SEARCH(Assumptions!$C$7,E1929)),Assumptions!$D$7,"Other Services"))),"Other Services"))</f>
        <v/>
      </c>
    </row>
    <row r="1930" customFormat="false" ht="15" hidden="false" customHeight="false" outlineLevel="0" collapsed="false">
      <c r="G1930" s="41" t="str">
        <f aca="false">IF(E1930="","",IFERROR(IF(ISNUMBER(SEARCH(Assumptions!$C$5,E1930)),Assumptions!$D$5,IF(ISNUMBER(SEARCH(Assumptions!$C$6,E1930)),Assumptions!$D$6,IF(ISNUMBER(SEARCH(Assumptions!$C$7,E1930)),Assumptions!$D$7,"Other Services"))),"Other Services"))</f>
        <v/>
      </c>
    </row>
    <row r="1931" customFormat="false" ht="15" hidden="false" customHeight="false" outlineLevel="0" collapsed="false">
      <c r="G1931" s="41" t="str">
        <f aca="false">IF(E1931="","",IFERROR(IF(ISNUMBER(SEARCH(Assumptions!$C$5,E1931)),Assumptions!$D$5,IF(ISNUMBER(SEARCH(Assumptions!$C$6,E1931)),Assumptions!$D$6,IF(ISNUMBER(SEARCH(Assumptions!$C$7,E1931)),Assumptions!$D$7,"Other Services"))),"Other Services"))</f>
        <v/>
      </c>
    </row>
    <row r="1932" customFormat="false" ht="15" hidden="false" customHeight="false" outlineLevel="0" collapsed="false">
      <c r="G1932" s="41" t="str">
        <f aca="false">IF(E1932="","",IFERROR(IF(ISNUMBER(SEARCH(Assumptions!$C$5,E1932)),Assumptions!$D$5,IF(ISNUMBER(SEARCH(Assumptions!$C$6,E1932)),Assumptions!$D$6,IF(ISNUMBER(SEARCH(Assumptions!$C$7,E1932)),Assumptions!$D$7,"Other Services"))),"Other Services"))</f>
        <v/>
      </c>
    </row>
    <row r="1933" customFormat="false" ht="15" hidden="false" customHeight="false" outlineLevel="0" collapsed="false">
      <c r="G1933" s="41" t="str">
        <f aca="false">IF(E1933="","",IFERROR(IF(ISNUMBER(SEARCH(Assumptions!$C$5,E1933)),Assumptions!$D$5,IF(ISNUMBER(SEARCH(Assumptions!$C$6,E1933)),Assumptions!$D$6,IF(ISNUMBER(SEARCH(Assumptions!$C$7,E1933)),Assumptions!$D$7,"Other Services"))),"Other Services"))</f>
        <v/>
      </c>
    </row>
    <row r="1934" customFormat="false" ht="15" hidden="false" customHeight="false" outlineLevel="0" collapsed="false">
      <c r="G1934" s="41" t="str">
        <f aca="false">IF(E1934="","",IFERROR(IF(ISNUMBER(SEARCH(Assumptions!$C$5,E1934)),Assumptions!$D$5,IF(ISNUMBER(SEARCH(Assumptions!$C$6,E1934)),Assumptions!$D$6,IF(ISNUMBER(SEARCH(Assumptions!$C$7,E1934)),Assumptions!$D$7,"Other Services"))),"Other Services"))</f>
        <v/>
      </c>
    </row>
    <row r="1935" customFormat="false" ht="15" hidden="false" customHeight="false" outlineLevel="0" collapsed="false">
      <c r="G1935" s="41" t="str">
        <f aca="false">IF(E1935="","",IFERROR(IF(ISNUMBER(SEARCH(Assumptions!$C$5,E1935)),Assumptions!$D$5,IF(ISNUMBER(SEARCH(Assumptions!$C$6,E1935)),Assumptions!$D$6,IF(ISNUMBER(SEARCH(Assumptions!$C$7,E1935)),Assumptions!$D$7,"Other Services"))),"Other Services"))</f>
        <v/>
      </c>
    </row>
    <row r="1936" customFormat="false" ht="15" hidden="false" customHeight="false" outlineLevel="0" collapsed="false">
      <c r="G1936" s="41" t="str">
        <f aca="false">IF(E1936="","",IFERROR(IF(ISNUMBER(SEARCH(Assumptions!$C$5,E1936)),Assumptions!$D$5,IF(ISNUMBER(SEARCH(Assumptions!$C$6,E1936)),Assumptions!$D$6,IF(ISNUMBER(SEARCH(Assumptions!$C$7,E1936)),Assumptions!$D$7,"Other Services"))),"Other Services"))</f>
        <v/>
      </c>
    </row>
    <row r="1937" customFormat="false" ht="15" hidden="false" customHeight="false" outlineLevel="0" collapsed="false">
      <c r="G1937" s="41" t="str">
        <f aca="false">IF(E1937="","",IFERROR(IF(ISNUMBER(SEARCH(Assumptions!$C$5,E1937)),Assumptions!$D$5,IF(ISNUMBER(SEARCH(Assumptions!$C$6,E1937)),Assumptions!$D$6,IF(ISNUMBER(SEARCH(Assumptions!$C$7,E1937)),Assumptions!$D$7,"Other Services"))),"Other Services"))</f>
        <v/>
      </c>
    </row>
    <row r="1938" customFormat="false" ht="15" hidden="false" customHeight="false" outlineLevel="0" collapsed="false">
      <c r="G1938" s="41" t="str">
        <f aca="false">IF(E1938="","",IFERROR(IF(ISNUMBER(SEARCH(Assumptions!$C$5,E1938)),Assumptions!$D$5,IF(ISNUMBER(SEARCH(Assumptions!$C$6,E1938)),Assumptions!$D$6,IF(ISNUMBER(SEARCH(Assumptions!$C$7,E1938)),Assumptions!$D$7,"Other Services"))),"Other Services"))</f>
        <v/>
      </c>
    </row>
    <row r="1939" customFormat="false" ht="15" hidden="false" customHeight="false" outlineLevel="0" collapsed="false">
      <c r="G1939" s="41" t="str">
        <f aca="false">IF(E1939="","",IFERROR(IF(ISNUMBER(SEARCH(Assumptions!$C$5,E1939)),Assumptions!$D$5,IF(ISNUMBER(SEARCH(Assumptions!$C$6,E1939)),Assumptions!$D$6,IF(ISNUMBER(SEARCH(Assumptions!$C$7,E1939)),Assumptions!$D$7,"Other Services"))),"Other Services"))</f>
        <v/>
      </c>
    </row>
    <row r="1940" customFormat="false" ht="15" hidden="false" customHeight="false" outlineLevel="0" collapsed="false">
      <c r="G1940" s="41" t="str">
        <f aca="false">IF(E1940="","",IFERROR(IF(ISNUMBER(SEARCH(Assumptions!$C$5,E1940)),Assumptions!$D$5,IF(ISNUMBER(SEARCH(Assumptions!$C$6,E1940)),Assumptions!$D$6,IF(ISNUMBER(SEARCH(Assumptions!$C$7,E1940)),Assumptions!$D$7,"Other Services"))),"Other Services"))</f>
        <v/>
      </c>
    </row>
    <row r="1941" customFormat="false" ht="15" hidden="false" customHeight="false" outlineLevel="0" collapsed="false">
      <c r="G1941" s="41" t="str">
        <f aca="false">IF(E1941="","",IFERROR(IF(ISNUMBER(SEARCH(Assumptions!$C$5,E1941)),Assumptions!$D$5,IF(ISNUMBER(SEARCH(Assumptions!$C$6,E1941)),Assumptions!$D$6,IF(ISNUMBER(SEARCH(Assumptions!$C$7,E1941)),Assumptions!$D$7,"Other Services"))),"Other Services"))</f>
        <v/>
      </c>
    </row>
    <row r="1942" customFormat="false" ht="15" hidden="false" customHeight="false" outlineLevel="0" collapsed="false">
      <c r="G1942" s="41" t="str">
        <f aca="false">IF(E1942="","",IFERROR(IF(ISNUMBER(SEARCH(Assumptions!$C$5,E1942)),Assumptions!$D$5,IF(ISNUMBER(SEARCH(Assumptions!$C$6,E1942)),Assumptions!$D$6,IF(ISNUMBER(SEARCH(Assumptions!$C$7,E1942)),Assumptions!$D$7,"Other Services"))),"Other Services"))</f>
        <v/>
      </c>
    </row>
    <row r="1943" customFormat="false" ht="15" hidden="false" customHeight="false" outlineLevel="0" collapsed="false">
      <c r="G1943" s="41" t="str">
        <f aca="false">IF(E1943="","",IFERROR(IF(ISNUMBER(SEARCH(Assumptions!$C$5,E1943)),Assumptions!$D$5,IF(ISNUMBER(SEARCH(Assumptions!$C$6,E1943)),Assumptions!$D$6,IF(ISNUMBER(SEARCH(Assumptions!$C$7,E1943)),Assumptions!$D$7,"Other Services"))),"Other Services"))</f>
        <v/>
      </c>
    </row>
    <row r="1944" customFormat="false" ht="15" hidden="false" customHeight="false" outlineLevel="0" collapsed="false">
      <c r="G1944" s="41" t="str">
        <f aca="false">IF(E1944="","",IFERROR(IF(ISNUMBER(SEARCH(Assumptions!$C$5,E1944)),Assumptions!$D$5,IF(ISNUMBER(SEARCH(Assumptions!$C$6,E1944)),Assumptions!$D$6,IF(ISNUMBER(SEARCH(Assumptions!$C$7,E1944)),Assumptions!$D$7,"Other Services"))),"Other Services"))</f>
        <v/>
      </c>
    </row>
    <row r="1945" customFormat="false" ht="15" hidden="false" customHeight="false" outlineLevel="0" collapsed="false">
      <c r="G1945" s="41" t="str">
        <f aca="false">IF(E1945="","",IFERROR(IF(ISNUMBER(SEARCH(Assumptions!$C$5,E1945)),Assumptions!$D$5,IF(ISNUMBER(SEARCH(Assumptions!$C$6,E1945)),Assumptions!$D$6,IF(ISNUMBER(SEARCH(Assumptions!$C$7,E1945)),Assumptions!$D$7,"Other Services"))),"Other Services"))</f>
        <v/>
      </c>
    </row>
    <row r="1946" customFormat="false" ht="15" hidden="false" customHeight="false" outlineLevel="0" collapsed="false">
      <c r="G1946" s="41" t="str">
        <f aca="false">IF(E1946="","",IFERROR(IF(ISNUMBER(SEARCH(Assumptions!$C$5,E1946)),Assumptions!$D$5,IF(ISNUMBER(SEARCH(Assumptions!$C$6,E1946)),Assumptions!$D$6,IF(ISNUMBER(SEARCH(Assumptions!$C$7,E1946)),Assumptions!$D$7,"Other Services"))),"Other Services"))</f>
        <v/>
      </c>
    </row>
    <row r="1947" customFormat="false" ht="15" hidden="false" customHeight="false" outlineLevel="0" collapsed="false">
      <c r="G1947" s="41" t="str">
        <f aca="false">IF(E1947="","",IFERROR(IF(ISNUMBER(SEARCH(Assumptions!$C$5,E1947)),Assumptions!$D$5,IF(ISNUMBER(SEARCH(Assumptions!$C$6,E1947)),Assumptions!$D$6,IF(ISNUMBER(SEARCH(Assumptions!$C$7,E1947)),Assumptions!$D$7,"Other Services"))),"Other Services"))</f>
        <v/>
      </c>
    </row>
    <row r="1948" customFormat="false" ht="15" hidden="false" customHeight="false" outlineLevel="0" collapsed="false">
      <c r="G1948" s="41" t="str">
        <f aca="false">IF(E1948="","",IFERROR(IF(ISNUMBER(SEARCH(Assumptions!$C$5,E1948)),Assumptions!$D$5,IF(ISNUMBER(SEARCH(Assumptions!$C$6,E1948)),Assumptions!$D$6,IF(ISNUMBER(SEARCH(Assumptions!$C$7,E1948)),Assumptions!$D$7,"Other Services"))),"Other Services"))</f>
        <v/>
      </c>
    </row>
    <row r="1949" customFormat="false" ht="15" hidden="false" customHeight="false" outlineLevel="0" collapsed="false">
      <c r="G1949" s="41" t="str">
        <f aca="false">IF(E1949="","",IFERROR(IF(ISNUMBER(SEARCH(Assumptions!$C$5,E1949)),Assumptions!$D$5,IF(ISNUMBER(SEARCH(Assumptions!$C$6,E1949)),Assumptions!$D$6,IF(ISNUMBER(SEARCH(Assumptions!$C$7,E1949)),Assumptions!$D$7,"Other Services"))),"Other Services"))</f>
        <v/>
      </c>
    </row>
    <row r="1950" customFormat="false" ht="15" hidden="false" customHeight="false" outlineLevel="0" collapsed="false">
      <c r="G1950" s="41" t="str">
        <f aca="false">IF(E1950="","",IFERROR(IF(ISNUMBER(SEARCH(Assumptions!$C$5,E1950)),Assumptions!$D$5,IF(ISNUMBER(SEARCH(Assumptions!$C$6,E1950)),Assumptions!$D$6,IF(ISNUMBER(SEARCH(Assumptions!$C$7,E1950)),Assumptions!$D$7,"Other Services"))),"Other Services"))</f>
        <v/>
      </c>
    </row>
    <row r="1951" customFormat="false" ht="15" hidden="false" customHeight="false" outlineLevel="0" collapsed="false">
      <c r="G1951" s="41" t="str">
        <f aca="false">IF(E1951="","",IFERROR(IF(ISNUMBER(SEARCH(Assumptions!$C$5,E1951)),Assumptions!$D$5,IF(ISNUMBER(SEARCH(Assumptions!$C$6,E1951)),Assumptions!$D$6,IF(ISNUMBER(SEARCH(Assumptions!$C$7,E1951)),Assumptions!$D$7,"Other Services"))),"Other Services"))</f>
        <v/>
      </c>
    </row>
    <row r="1952" customFormat="false" ht="15" hidden="false" customHeight="false" outlineLevel="0" collapsed="false">
      <c r="G1952" s="41" t="str">
        <f aca="false">IF(E1952="","",IFERROR(IF(ISNUMBER(SEARCH(Assumptions!$C$5,E1952)),Assumptions!$D$5,IF(ISNUMBER(SEARCH(Assumptions!$C$6,E1952)),Assumptions!$D$6,IF(ISNUMBER(SEARCH(Assumptions!$C$7,E1952)),Assumptions!$D$7,"Other Services"))),"Other Services"))</f>
        <v/>
      </c>
    </row>
    <row r="1953" customFormat="false" ht="15" hidden="false" customHeight="false" outlineLevel="0" collapsed="false">
      <c r="G1953" s="41" t="str">
        <f aca="false">IF(E1953="","",IFERROR(IF(ISNUMBER(SEARCH(Assumptions!$C$5,E1953)),Assumptions!$D$5,IF(ISNUMBER(SEARCH(Assumptions!$C$6,E1953)),Assumptions!$D$6,IF(ISNUMBER(SEARCH(Assumptions!$C$7,E1953)),Assumptions!$D$7,"Other Services"))),"Other Services"))</f>
        <v/>
      </c>
    </row>
    <row r="1954" customFormat="false" ht="15" hidden="false" customHeight="false" outlineLevel="0" collapsed="false">
      <c r="G1954" s="41" t="str">
        <f aca="false">IF(E1954="","",IFERROR(IF(ISNUMBER(SEARCH(Assumptions!$C$5,E1954)),Assumptions!$D$5,IF(ISNUMBER(SEARCH(Assumptions!$C$6,E1954)),Assumptions!$D$6,IF(ISNUMBER(SEARCH(Assumptions!$C$7,E1954)),Assumptions!$D$7,"Other Services"))),"Other Services"))</f>
        <v/>
      </c>
    </row>
    <row r="1955" customFormat="false" ht="15" hidden="false" customHeight="false" outlineLevel="0" collapsed="false">
      <c r="G1955" s="41" t="str">
        <f aca="false">IF(E1955="","",IFERROR(IF(ISNUMBER(SEARCH(Assumptions!$C$5,E1955)),Assumptions!$D$5,IF(ISNUMBER(SEARCH(Assumptions!$C$6,E1955)),Assumptions!$D$6,IF(ISNUMBER(SEARCH(Assumptions!$C$7,E1955)),Assumptions!$D$7,"Other Services"))),"Other Services"))</f>
        <v/>
      </c>
    </row>
    <row r="1956" customFormat="false" ht="15" hidden="false" customHeight="false" outlineLevel="0" collapsed="false">
      <c r="G1956" s="41" t="str">
        <f aca="false">IF(E1956="","",IFERROR(IF(ISNUMBER(SEARCH(Assumptions!$C$5,E1956)),Assumptions!$D$5,IF(ISNUMBER(SEARCH(Assumptions!$C$6,E1956)),Assumptions!$D$6,IF(ISNUMBER(SEARCH(Assumptions!$C$7,E1956)),Assumptions!$D$7,"Other Services"))),"Other Services"))</f>
        <v/>
      </c>
    </row>
    <row r="1957" customFormat="false" ht="15" hidden="false" customHeight="false" outlineLevel="0" collapsed="false">
      <c r="G1957" s="41" t="str">
        <f aca="false">IF(E1957="","",IFERROR(IF(ISNUMBER(SEARCH(Assumptions!$C$5,E1957)),Assumptions!$D$5,IF(ISNUMBER(SEARCH(Assumptions!$C$6,E1957)),Assumptions!$D$6,IF(ISNUMBER(SEARCH(Assumptions!$C$7,E1957)),Assumptions!$D$7,"Other Services"))),"Other Services"))</f>
        <v/>
      </c>
    </row>
    <row r="1958" customFormat="false" ht="15" hidden="false" customHeight="false" outlineLevel="0" collapsed="false">
      <c r="G1958" s="41" t="str">
        <f aca="false">IF(E1958="","",IFERROR(IF(ISNUMBER(SEARCH(Assumptions!$C$5,E1958)),Assumptions!$D$5,IF(ISNUMBER(SEARCH(Assumptions!$C$6,E1958)),Assumptions!$D$6,IF(ISNUMBER(SEARCH(Assumptions!$C$7,E1958)),Assumptions!$D$7,"Other Services"))),"Other Services"))</f>
        <v/>
      </c>
    </row>
    <row r="1959" customFormat="false" ht="15" hidden="false" customHeight="false" outlineLevel="0" collapsed="false">
      <c r="G1959" s="41" t="str">
        <f aca="false">IF(E1959="","",IFERROR(IF(ISNUMBER(SEARCH(Assumptions!$C$5,E1959)),Assumptions!$D$5,IF(ISNUMBER(SEARCH(Assumptions!$C$6,E1959)),Assumptions!$D$6,IF(ISNUMBER(SEARCH(Assumptions!$C$7,E1959)),Assumptions!$D$7,"Other Services"))),"Other Services"))</f>
        <v/>
      </c>
    </row>
    <row r="1960" customFormat="false" ht="15" hidden="false" customHeight="false" outlineLevel="0" collapsed="false">
      <c r="G1960" s="41" t="str">
        <f aca="false">IF(E1960="","",IFERROR(IF(ISNUMBER(SEARCH(Assumptions!$C$5,E1960)),Assumptions!$D$5,IF(ISNUMBER(SEARCH(Assumptions!$C$6,E1960)),Assumptions!$D$6,IF(ISNUMBER(SEARCH(Assumptions!$C$7,E1960)),Assumptions!$D$7,"Other Services"))),"Other Services"))</f>
        <v/>
      </c>
    </row>
    <row r="1961" customFormat="false" ht="15" hidden="false" customHeight="false" outlineLevel="0" collapsed="false">
      <c r="G1961" s="41" t="str">
        <f aca="false">IF(E1961="","",IFERROR(IF(ISNUMBER(SEARCH(Assumptions!$C$5,E1961)),Assumptions!$D$5,IF(ISNUMBER(SEARCH(Assumptions!$C$6,E1961)),Assumptions!$D$6,IF(ISNUMBER(SEARCH(Assumptions!$C$7,E1961)),Assumptions!$D$7,"Other Services"))),"Other Services"))</f>
        <v/>
      </c>
    </row>
    <row r="1962" customFormat="false" ht="15" hidden="false" customHeight="false" outlineLevel="0" collapsed="false">
      <c r="G1962" s="41" t="str">
        <f aca="false">IF(E1962="","",IFERROR(IF(ISNUMBER(SEARCH(Assumptions!$C$5,E1962)),Assumptions!$D$5,IF(ISNUMBER(SEARCH(Assumptions!$C$6,E1962)),Assumptions!$D$6,IF(ISNUMBER(SEARCH(Assumptions!$C$7,E1962)),Assumptions!$D$7,"Other Services"))),"Other Services"))</f>
        <v/>
      </c>
    </row>
    <row r="1963" customFormat="false" ht="15" hidden="false" customHeight="false" outlineLevel="0" collapsed="false">
      <c r="G1963" s="41" t="str">
        <f aca="false">IF(E1963="","",IFERROR(IF(ISNUMBER(SEARCH(Assumptions!$C$5,E1963)),Assumptions!$D$5,IF(ISNUMBER(SEARCH(Assumptions!$C$6,E1963)),Assumptions!$D$6,IF(ISNUMBER(SEARCH(Assumptions!$C$7,E1963)),Assumptions!$D$7,"Other Services"))),"Other Services"))</f>
        <v/>
      </c>
    </row>
    <row r="1964" customFormat="false" ht="15" hidden="false" customHeight="false" outlineLevel="0" collapsed="false">
      <c r="G1964" s="41" t="str">
        <f aca="false">IF(E1964="","",IFERROR(IF(ISNUMBER(SEARCH(Assumptions!$C$5,E1964)),Assumptions!$D$5,IF(ISNUMBER(SEARCH(Assumptions!$C$6,E1964)),Assumptions!$D$6,IF(ISNUMBER(SEARCH(Assumptions!$C$7,E1964)),Assumptions!$D$7,"Other Services"))),"Other Services"))</f>
        <v/>
      </c>
    </row>
    <row r="1965" customFormat="false" ht="15" hidden="false" customHeight="false" outlineLevel="0" collapsed="false">
      <c r="G1965" s="41" t="str">
        <f aca="false">IF(E1965="","",IFERROR(IF(ISNUMBER(SEARCH(Assumptions!$C$5,E1965)),Assumptions!$D$5,IF(ISNUMBER(SEARCH(Assumptions!$C$6,E1965)),Assumptions!$D$6,IF(ISNUMBER(SEARCH(Assumptions!$C$7,E1965)),Assumptions!$D$7,"Other Services"))),"Other Services"))</f>
        <v/>
      </c>
    </row>
    <row r="1966" customFormat="false" ht="15" hidden="false" customHeight="false" outlineLevel="0" collapsed="false">
      <c r="G1966" s="41" t="str">
        <f aca="false">IF(E1966="","",IFERROR(IF(ISNUMBER(SEARCH(Assumptions!$C$5,E1966)),Assumptions!$D$5,IF(ISNUMBER(SEARCH(Assumptions!$C$6,E1966)),Assumptions!$D$6,IF(ISNUMBER(SEARCH(Assumptions!$C$7,E1966)),Assumptions!$D$7,"Other Services"))),"Other Services"))</f>
        <v/>
      </c>
    </row>
    <row r="1967" customFormat="false" ht="15" hidden="false" customHeight="false" outlineLevel="0" collapsed="false">
      <c r="G1967" s="41" t="str">
        <f aca="false">IF(E1967="","",IFERROR(IF(ISNUMBER(SEARCH(Assumptions!$C$5,E1967)),Assumptions!$D$5,IF(ISNUMBER(SEARCH(Assumptions!$C$6,E1967)),Assumptions!$D$6,IF(ISNUMBER(SEARCH(Assumptions!$C$7,E1967)),Assumptions!$D$7,"Other Services"))),"Other Services"))</f>
        <v/>
      </c>
    </row>
    <row r="1968" customFormat="false" ht="15" hidden="false" customHeight="false" outlineLevel="0" collapsed="false">
      <c r="G1968" s="41" t="str">
        <f aca="false">IF(E1968="","",IFERROR(IF(ISNUMBER(SEARCH(Assumptions!$C$5,E1968)),Assumptions!$D$5,IF(ISNUMBER(SEARCH(Assumptions!$C$6,E1968)),Assumptions!$D$6,IF(ISNUMBER(SEARCH(Assumptions!$C$7,E1968)),Assumptions!$D$7,"Other Services"))),"Other Services"))</f>
        <v/>
      </c>
    </row>
    <row r="1969" customFormat="false" ht="15" hidden="false" customHeight="false" outlineLevel="0" collapsed="false">
      <c r="G1969" s="41" t="str">
        <f aca="false">IF(E1969="","",IFERROR(IF(ISNUMBER(SEARCH(Assumptions!$C$5,E1969)),Assumptions!$D$5,IF(ISNUMBER(SEARCH(Assumptions!$C$6,E1969)),Assumptions!$D$6,IF(ISNUMBER(SEARCH(Assumptions!$C$7,E1969)),Assumptions!$D$7,"Other Services"))),"Other Services"))</f>
        <v/>
      </c>
    </row>
    <row r="1970" customFormat="false" ht="15" hidden="false" customHeight="false" outlineLevel="0" collapsed="false">
      <c r="G1970" s="41" t="str">
        <f aca="false">IF(E1970="","",IFERROR(IF(ISNUMBER(SEARCH(Assumptions!$C$5,E1970)),Assumptions!$D$5,IF(ISNUMBER(SEARCH(Assumptions!$C$6,E1970)),Assumptions!$D$6,IF(ISNUMBER(SEARCH(Assumptions!$C$7,E1970)),Assumptions!$D$7,"Other Services"))),"Other Services"))</f>
        <v/>
      </c>
    </row>
    <row r="1971" customFormat="false" ht="15" hidden="false" customHeight="false" outlineLevel="0" collapsed="false">
      <c r="G1971" s="41" t="str">
        <f aca="false">IF(E1971="","",IFERROR(IF(ISNUMBER(SEARCH(Assumptions!$C$5,E1971)),Assumptions!$D$5,IF(ISNUMBER(SEARCH(Assumptions!$C$6,E1971)),Assumptions!$D$6,IF(ISNUMBER(SEARCH(Assumptions!$C$7,E1971)),Assumptions!$D$7,"Other Services"))),"Other Services"))</f>
        <v/>
      </c>
    </row>
    <row r="1972" customFormat="false" ht="15" hidden="false" customHeight="false" outlineLevel="0" collapsed="false">
      <c r="G1972" s="41" t="str">
        <f aca="false">IF(E1972="","",IFERROR(IF(ISNUMBER(SEARCH(Assumptions!$C$5,E1972)),Assumptions!$D$5,IF(ISNUMBER(SEARCH(Assumptions!$C$6,E1972)),Assumptions!$D$6,IF(ISNUMBER(SEARCH(Assumptions!$C$7,E1972)),Assumptions!$D$7,"Other Services"))),"Other Services"))</f>
        <v/>
      </c>
    </row>
    <row r="1973" customFormat="false" ht="15" hidden="false" customHeight="false" outlineLevel="0" collapsed="false">
      <c r="G1973" s="41" t="str">
        <f aca="false">IF(E1973="","",IFERROR(IF(ISNUMBER(SEARCH(Assumptions!$C$5,E1973)),Assumptions!$D$5,IF(ISNUMBER(SEARCH(Assumptions!$C$6,E1973)),Assumptions!$D$6,IF(ISNUMBER(SEARCH(Assumptions!$C$7,E1973)),Assumptions!$D$7,"Other Services"))),"Other Services"))</f>
        <v/>
      </c>
    </row>
    <row r="1974" customFormat="false" ht="15" hidden="false" customHeight="false" outlineLevel="0" collapsed="false">
      <c r="G1974" s="41" t="str">
        <f aca="false">IF(E1974="","",IFERROR(IF(ISNUMBER(SEARCH(Assumptions!$C$5,E1974)),Assumptions!$D$5,IF(ISNUMBER(SEARCH(Assumptions!$C$6,E1974)),Assumptions!$D$6,IF(ISNUMBER(SEARCH(Assumptions!$C$7,E1974)),Assumptions!$D$7,"Other Services"))),"Other Services"))</f>
        <v/>
      </c>
    </row>
    <row r="1975" customFormat="false" ht="15" hidden="false" customHeight="false" outlineLevel="0" collapsed="false">
      <c r="G1975" s="41" t="str">
        <f aca="false">IF(E1975="","",IFERROR(IF(ISNUMBER(SEARCH(Assumptions!$C$5,E1975)),Assumptions!$D$5,IF(ISNUMBER(SEARCH(Assumptions!$C$6,E1975)),Assumptions!$D$6,IF(ISNUMBER(SEARCH(Assumptions!$C$7,E1975)),Assumptions!$D$7,"Other Services"))),"Other Services"))</f>
        <v/>
      </c>
    </row>
    <row r="1976" customFormat="false" ht="15" hidden="false" customHeight="false" outlineLevel="0" collapsed="false">
      <c r="G1976" s="41" t="str">
        <f aca="false">IF(E1976="","",IFERROR(IF(ISNUMBER(SEARCH(Assumptions!$C$5,E1976)),Assumptions!$D$5,IF(ISNUMBER(SEARCH(Assumptions!$C$6,E1976)),Assumptions!$D$6,IF(ISNUMBER(SEARCH(Assumptions!$C$7,E1976)),Assumptions!$D$7,"Other Services"))),"Other Services"))</f>
        <v/>
      </c>
    </row>
    <row r="1977" customFormat="false" ht="15" hidden="false" customHeight="false" outlineLevel="0" collapsed="false">
      <c r="G1977" s="41" t="str">
        <f aca="false">IF(E1977="","",IFERROR(IF(ISNUMBER(SEARCH(Assumptions!$C$5,E1977)),Assumptions!$D$5,IF(ISNUMBER(SEARCH(Assumptions!$C$6,E1977)),Assumptions!$D$6,IF(ISNUMBER(SEARCH(Assumptions!$C$7,E1977)),Assumptions!$D$7,"Other Services"))),"Other Services"))</f>
        <v/>
      </c>
    </row>
    <row r="1978" customFormat="false" ht="15" hidden="false" customHeight="false" outlineLevel="0" collapsed="false">
      <c r="G1978" s="41" t="str">
        <f aca="false">IF(E1978="","",IFERROR(IF(ISNUMBER(SEARCH(Assumptions!$C$5,E1978)),Assumptions!$D$5,IF(ISNUMBER(SEARCH(Assumptions!$C$6,E1978)),Assumptions!$D$6,IF(ISNUMBER(SEARCH(Assumptions!$C$7,E1978)),Assumptions!$D$7,"Other Services"))),"Other Services"))</f>
        <v/>
      </c>
    </row>
    <row r="1979" customFormat="false" ht="15" hidden="false" customHeight="false" outlineLevel="0" collapsed="false">
      <c r="G1979" s="41" t="str">
        <f aca="false">IF(E1979="","",IFERROR(IF(ISNUMBER(SEARCH(Assumptions!$C$5,E1979)),Assumptions!$D$5,IF(ISNUMBER(SEARCH(Assumptions!$C$6,E1979)),Assumptions!$D$6,IF(ISNUMBER(SEARCH(Assumptions!$C$7,E1979)),Assumptions!$D$7,"Other Services"))),"Other Services"))</f>
        <v/>
      </c>
    </row>
    <row r="1980" customFormat="false" ht="15" hidden="false" customHeight="false" outlineLevel="0" collapsed="false">
      <c r="G1980" s="41" t="str">
        <f aca="false">IF(E1980="","",IFERROR(IF(ISNUMBER(SEARCH(Assumptions!$C$5,E1980)),Assumptions!$D$5,IF(ISNUMBER(SEARCH(Assumptions!$C$6,E1980)),Assumptions!$D$6,IF(ISNUMBER(SEARCH(Assumptions!$C$7,E1980)),Assumptions!$D$7,"Other Services"))),"Other Services"))</f>
        <v/>
      </c>
    </row>
    <row r="1981" customFormat="false" ht="15" hidden="false" customHeight="false" outlineLevel="0" collapsed="false">
      <c r="G1981" s="41" t="str">
        <f aca="false">IF(E1981="","",IFERROR(IF(ISNUMBER(SEARCH(Assumptions!$C$5,E1981)),Assumptions!$D$5,IF(ISNUMBER(SEARCH(Assumptions!$C$6,E1981)),Assumptions!$D$6,IF(ISNUMBER(SEARCH(Assumptions!$C$7,E1981)),Assumptions!$D$7,"Other Services"))),"Other Services"))</f>
        <v/>
      </c>
    </row>
    <row r="1982" customFormat="false" ht="15" hidden="false" customHeight="false" outlineLevel="0" collapsed="false">
      <c r="G1982" s="41" t="str">
        <f aca="false">IF(E1982="","",IFERROR(IF(ISNUMBER(SEARCH(Assumptions!$C$5,E1982)),Assumptions!$D$5,IF(ISNUMBER(SEARCH(Assumptions!$C$6,E1982)),Assumptions!$D$6,IF(ISNUMBER(SEARCH(Assumptions!$C$7,E1982)),Assumptions!$D$7,"Other Services"))),"Other Services"))</f>
        <v/>
      </c>
    </row>
    <row r="1983" customFormat="false" ht="15" hidden="false" customHeight="false" outlineLevel="0" collapsed="false">
      <c r="G1983" s="41" t="str">
        <f aca="false">IF(E1983="","",IFERROR(IF(ISNUMBER(SEARCH(Assumptions!$C$5,E1983)),Assumptions!$D$5,IF(ISNUMBER(SEARCH(Assumptions!$C$6,E1983)),Assumptions!$D$6,IF(ISNUMBER(SEARCH(Assumptions!$C$7,E1983)),Assumptions!$D$7,"Other Services"))),"Other Services"))</f>
        <v/>
      </c>
    </row>
    <row r="1984" customFormat="false" ht="15" hidden="false" customHeight="false" outlineLevel="0" collapsed="false">
      <c r="G1984" s="41" t="str">
        <f aca="false">IF(E1984="","",IFERROR(IF(ISNUMBER(SEARCH(Assumptions!$C$5,E1984)),Assumptions!$D$5,IF(ISNUMBER(SEARCH(Assumptions!$C$6,E1984)),Assumptions!$D$6,IF(ISNUMBER(SEARCH(Assumptions!$C$7,E1984)),Assumptions!$D$7,"Other Services"))),"Other Services"))</f>
        <v/>
      </c>
    </row>
    <row r="1985" customFormat="false" ht="15" hidden="false" customHeight="false" outlineLevel="0" collapsed="false">
      <c r="G1985" s="41" t="str">
        <f aca="false">IF(E1985="","",IFERROR(IF(ISNUMBER(SEARCH(Assumptions!$C$5,E1985)),Assumptions!$D$5,IF(ISNUMBER(SEARCH(Assumptions!$C$6,E1985)),Assumptions!$D$6,IF(ISNUMBER(SEARCH(Assumptions!$C$7,E1985)),Assumptions!$D$7,"Other Services"))),"Other Services"))</f>
        <v/>
      </c>
    </row>
    <row r="1986" customFormat="false" ht="15" hidden="false" customHeight="false" outlineLevel="0" collapsed="false">
      <c r="G1986" s="41" t="str">
        <f aca="false">IF(E1986="","",IFERROR(IF(ISNUMBER(SEARCH(Assumptions!$C$5,E1986)),Assumptions!$D$5,IF(ISNUMBER(SEARCH(Assumptions!$C$6,E1986)),Assumptions!$D$6,IF(ISNUMBER(SEARCH(Assumptions!$C$7,E1986)),Assumptions!$D$7,"Other Services"))),"Other Services"))</f>
        <v/>
      </c>
    </row>
    <row r="1987" customFormat="false" ht="15" hidden="false" customHeight="false" outlineLevel="0" collapsed="false">
      <c r="G1987" s="41" t="str">
        <f aca="false">IF(E1987="","",IFERROR(IF(ISNUMBER(SEARCH(Assumptions!$C$5,E1987)),Assumptions!$D$5,IF(ISNUMBER(SEARCH(Assumptions!$C$6,E1987)),Assumptions!$D$6,IF(ISNUMBER(SEARCH(Assumptions!$C$7,E1987)),Assumptions!$D$7,"Other Services"))),"Other Services"))</f>
        <v/>
      </c>
    </row>
    <row r="1988" customFormat="false" ht="15" hidden="false" customHeight="false" outlineLevel="0" collapsed="false">
      <c r="G1988" s="41" t="str">
        <f aca="false">IF(E1988="","",IFERROR(IF(ISNUMBER(SEARCH(Assumptions!$C$5,E1988)),Assumptions!$D$5,IF(ISNUMBER(SEARCH(Assumptions!$C$6,E1988)),Assumptions!$D$6,IF(ISNUMBER(SEARCH(Assumptions!$C$7,E1988)),Assumptions!$D$7,"Other Services"))),"Other Services"))</f>
        <v/>
      </c>
    </row>
    <row r="1989" customFormat="false" ht="15" hidden="false" customHeight="false" outlineLevel="0" collapsed="false">
      <c r="G1989" s="41" t="str">
        <f aca="false">IF(E1989="","",IFERROR(IF(ISNUMBER(SEARCH(Assumptions!$C$5,E1989)),Assumptions!$D$5,IF(ISNUMBER(SEARCH(Assumptions!$C$6,E1989)),Assumptions!$D$6,IF(ISNUMBER(SEARCH(Assumptions!$C$7,E1989)),Assumptions!$D$7,"Other Services"))),"Other Services"))</f>
        <v/>
      </c>
    </row>
    <row r="1990" customFormat="false" ht="15" hidden="false" customHeight="false" outlineLevel="0" collapsed="false">
      <c r="G1990" s="41" t="str">
        <f aca="false">IF(E1990="","",IFERROR(IF(ISNUMBER(SEARCH(Assumptions!$C$5,E1990)),Assumptions!$D$5,IF(ISNUMBER(SEARCH(Assumptions!$C$6,E1990)),Assumptions!$D$6,IF(ISNUMBER(SEARCH(Assumptions!$C$7,E1990)),Assumptions!$D$7,"Other Services"))),"Other Services"))</f>
        <v/>
      </c>
    </row>
    <row r="1991" customFormat="false" ht="15" hidden="false" customHeight="false" outlineLevel="0" collapsed="false">
      <c r="G1991" s="41" t="str">
        <f aca="false">IF(E1991="","",IFERROR(IF(ISNUMBER(SEARCH(Assumptions!$C$5,E1991)),Assumptions!$D$5,IF(ISNUMBER(SEARCH(Assumptions!$C$6,E1991)),Assumptions!$D$6,IF(ISNUMBER(SEARCH(Assumptions!$C$7,E1991)),Assumptions!$D$7,"Other Services"))),"Other Services"))</f>
        <v/>
      </c>
    </row>
    <row r="1992" customFormat="false" ht="15" hidden="false" customHeight="false" outlineLevel="0" collapsed="false">
      <c r="G1992" s="41" t="str">
        <f aca="false">IF(E1992="","",IFERROR(IF(ISNUMBER(SEARCH(Assumptions!$C$5,E1992)),Assumptions!$D$5,IF(ISNUMBER(SEARCH(Assumptions!$C$6,E1992)),Assumptions!$D$6,IF(ISNUMBER(SEARCH(Assumptions!$C$7,E1992)),Assumptions!$D$7,"Other Services"))),"Other Services"))</f>
        <v/>
      </c>
    </row>
    <row r="1993" customFormat="false" ht="15" hidden="false" customHeight="false" outlineLevel="0" collapsed="false">
      <c r="G1993" s="41" t="str">
        <f aca="false">IF(E1993="","",IFERROR(IF(ISNUMBER(SEARCH(Assumptions!$C$5,E1993)),Assumptions!$D$5,IF(ISNUMBER(SEARCH(Assumptions!$C$6,E1993)),Assumptions!$D$6,IF(ISNUMBER(SEARCH(Assumptions!$C$7,E1993)),Assumptions!$D$7,"Other Services"))),"Other Services"))</f>
        <v/>
      </c>
    </row>
    <row r="1994" customFormat="false" ht="15" hidden="false" customHeight="false" outlineLevel="0" collapsed="false">
      <c r="G1994" s="41" t="str">
        <f aca="false">IF(E1994="","",IFERROR(IF(ISNUMBER(SEARCH(Assumptions!$C$5,E1994)),Assumptions!$D$5,IF(ISNUMBER(SEARCH(Assumptions!$C$6,E1994)),Assumptions!$D$6,IF(ISNUMBER(SEARCH(Assumptions!$C$7,E1994)),Assumptions!$D$7,"Other Services"))),"Other Services"))</f>
        <v/>
      </c>
    </row>
    <row r="1995" customFormat="false" ht="15" hidden="false" customHeight="false" outlineLevel="0" collapsed="false">
      <c r="G1995" s="41" t="str">
        <f aca="false">IF(E1995="","",IFERROR(IF(ISNUMBER(SEARCH(Assumptions!$C$5,E1995)),Assumptions!$D$5,IF(ISNUMBER(SEARCH(Assumptions!$C$6,E1995)),Assumptions!$D$6,IF(ISNUMBER(SEARCH(Assumptions!$C$7,E1995)),Assumptions!$D$7,"Other Services"))),"Other Services"))</f>
        <v/>
      </c>
    </row>
    <row r="1996" customFormat="false" ht="15" hidden="false" customHeight="false" outlineLevel="0" collapsed="false">
      <c r="G1996" s="41" t="str">
        <f aca="false">IF(E1996="","",IFERROR(IF(ISNUMBER(SEARCH(Assumptions!$C$5,E1996)),Assumptions!$D$5,IF(ISNUMBER(SEARCH(Assumptions!$C$6,E1996)),Assumptions!$D$6,IF(ISNUMBER(SEARCH(Assumptions!$C$7,E1996)),Assumptions!$D$7,"Other Services"))),"Other Services"))</f>
        <v/>
      </c>
    </row>
    <row r="1997" customFormat="false" ht="15" hidden="false" customHeight="false" outlineLevel="0" collapsed="false">
      <c r="G1997" s="41" t="str">
        <f aca="false">IF(E1997="","",IFERROR(IF(ISNUMBER(SEARCH(Assumptions!$C$5,E1997)),Assumptions!$D$5,IF(ISNUMBER(SEARCH(Assumptions!$C$6,E1997)),Assumptions!$D$6,IF(ISNUMBER(SEARCH(Assumptions!$C$7,E1997)),Assumptions!$D$7,"Other Services"))),"Other Services"))</f>
        <v/>
      </c>
    </row>
    <row r="1998" customFormat="false" ht="15" hidden="false" customHeight="false" outlineLevel="0" collapsed="false">
      <c r="G1998" s="41" t="str">
        <f aca="false">IF(E1998="","",IFERROR(IF(ISNUMBER(SEARCH(Assumptions!$C$5,E1998)),Assumptions!$D$5,IF(ISNUMBER(SEARCH(Assumptions!$C$6,E1998)),Assumptions!$D$6,IF(ISNUMBER(SEARCH(Assumptions!$C$7,E1998)),Assumptions!$D$7,"Other Services"))),"Other Services"))</f>
        <v/>
      </c>
    </row>
    <row r="1999" customFormat="false" ht="15" hidden="false" customHeight="false" outlineLevel="0" collapsed="false">
      <c r="G1999" s="41" t="str">
        <f aca="false">IF(E1999="","",IFERROR(IF(ISNUMBER(SEARCH(Assumptions!$C$5,E1999)),Assumptions!$D$5,IF(ISNUMBER(SEARCH(Assumptions!$C$6,E1999)),Assumptions!$D$6,IF(ISNUMBER(SEARCH(Assumptions!$C$7,E1999)),Assumptions!$D$7,"Other Services"))),"Other Services"))</f>
        <v/>
      </c>
    </row>
    <row r="2000" customFormat="false" ht="15" hidden="false" customHeight="false" outlineLevel="0" collapsed="false">
      <c r="G2000" s="41" t="str">
        <f aca="false">IF(E2000="","",IFERROR(IF(ISNUMBER(SEARCH(Assumptions!$C$5,E2000)),Assumptions!$D$5,IF(ISNUMBER(SEARCH(Assumptions!$C$6,E2000)),Assumptions!$D$6,IF(ISNUMBER(SEARCH(Assumptions!$C$7,E2000)),Assumptions!$D$7,"Other Services"))),"Other Services"))</f>
        <v/>
      </c>
    </row>
    <row r="2001" customFormat="false" ht="15" hidden="false" customHeight="false" outlineLevel="0" collapsed="false">
      <c r="G2001" s="41" t="str">
        <f aca="false">IF(E2001="","",IFERROR(IF(ISNUMBER(SEARCH(Assumptions!$C$5,E2001)),Assumptions!$D$5,IF(ISNUMBER(SEARCH(Assumptions!$C$6,E2001)),Assumptions!$D$6,IF(ISNUMBER(SEARCH(Assumptions!$C$7,E2001)),Assumptions!$D$7,"Other Services"))),"Other Services"))</f>
        <v/>
      </c>
    </row>
    <row r="2002" customFormat="false" ht="15" hidden="false" customHeight="false" outlineLevel="0" collapsed="false">
      <c r="G2002" s="41" t="str">
        <f aca="false">IF(E2002="","",IFERROR(IF(ISNUMBER(SEARCH(Assumptions!$C$5,E2002)),Assumptions!$D$5,IF(ISNUMBER(SEARCH(Assumptions!$C$6,E2002)),Assumptions!$D$6,IF(ISNUMBER(SEARCH(Assumptions!$C$7,E2002)),Assumptions!$D$7,"Other Services"))),"Other Services"))</f>
        <v/>
      </c>
    </row>
    <row r="2003" customFormat="false" ht="15" hidden="false" customHeight="false" outlineLevel="0" collapsed="false">
      <c r="G2003" s="41" t="str">
        <f aca="false">IF(E2003="","",IFERROR(IF(ISNUMBER(SEARCH(Assumptions!$C$5,E2003)),Assumptions!$D$5,IF(ISNUMBER(SEARCH(Assumptions!$C$6,E2003)),Assumptions!$D$6,IF(ISNUMBER(SEARCH(Assumptions!$C$7,E2003)),Assumptions!$D$7,"Other Services"))),"Other Services"))</f>
        <v/>
      </c>
    </row>
    <row r="2004" customFormat="false" ht="15" hidden="false" customHeight="false" outlineLevel="0" collapsed="false">
      <c r="G2004" s="41" t="str">
        <f aca="false">IF(E2004="","",IFERROR(IF(ISNUMBER(SEARCH(Assumptions!$C$5,E2004)),Assumptions!$D$5,IF(ISNUMBER(SEARCH(Assumptions!$C$6,E2004)),Assumptions!$D$6,IF(ISNUMBER(SEARCH(Assumptions!$C$7,E2004)),Assumptions!$D$7,"Other Services"))),"Other Services"))</f>
        <v/>
      </c>
    </row>
    <row r="2005" customFormat="false" ht="15" hidden="false" customHeight="false" outlineLevel="0" collapsed="false">
      <c r="G2005" s="41" t="str">
        <f aca="false">IF(E2005="","",IFERROR(IF(ISNUMBER(SEARCH(Assumptions!$C$5,E2005)),Assumptions!$D$5,IF(ISNUMBER(SEARCH(Assumptions!$C$6,E2005)),Assumptions!$D$6,IF(ISNUMBER(SEARCH(Assumptions!$C$7,E2005)),Assumptions!$D$7,"Other Services"))),"Other Services"))</f>
        <v/>
      </c>
    </row>
    <row r="2006" customFormat="false" ht="15" hidden="false" customHeight="false" outlineLevel="0" collapsed="false">
      <c r="G2006" s="41" t="str">
        <f aca="false">IF(E2006="","",IFERROR(IF(ISNUMBER(SEARCH(Assumptions!$C$5,E2006)),Assumptions!$D$5,IF(ISNUMBER(SEARCH(Assumptions!$C$6,E2006)),Assumptions!$D$6,IF(ISNUMBER(SEARCH(Assumptions!$C$7,E2006)),Assumptions!$D$7,"Other Services"))),"Other Services"))</f>
        <v/>
      </c>
    </row>
    <row r="2007" customFormat="false" ht="15" hidden="false" customHeight="false" outlineLevel="0" collapsed="false">
      <c r="G2007" s="41" t="str">
        <f aca="false">IF(E2007="","",IFERROR(IF(ISNUMBER(SEARCH(Assumptions!$C$5,E2007)),Assumptions!$D$5,IF(ISNUMBER(SEARCH(Assumptions!$C$6,E2007)),Assumptions!$D$6,IF(ISNUMBER(SEARCH(Assumptions!$C$7,E2007)),Assumptions!$D$7,"Other Services"))),"Other Services"))</f>
        <v/>
      </c>
    </row>
    <row r="2008" customFormat="false" ht="15" hidden="false" customHeight="false" outlineLevel="0" collapsed="false">
      <c r="G2008" s="41" t="str">
        <f aca="false">IF(E2008="","",IFERROR(IF(ISNUMBER(SEARCH(Assumptions!$C$5,E2008)),Assumptions!$D$5,IF(ISNUMBER(SEARCH(Assumptions!$C$6,E2008)),Assumptions!$D$6,IF(ISNUMBER(SEARCH(Assumptions!$C$7,E2008)),Assumptions!$D$7,"Other Services"))),"Other Services"))</f>
        <v/>
      </c>
    </row>
    <row r="2009" customFormat="false" ht="15" hidden="false" customHeight="false" outlineLevel="0" collapsed="false">
      <c r="G2009" s="41" t="str">
        <f aca="false">IF(E2009="","",IFERROR(IF(ISNUMBER(SEARCH(Assumptions!$C$5,E2009)),Assumptions!$D$5,IF(ISNUMBER(SEARCH(Assumptions!$C$6,E2009)),Assumptions!$D$6,IF(ISNUMBER(SEARCH(Assumptions!$C$7,E2009)),Assumptions!$D$7,"Other Services"))),"Other Services"))</f>
        <v/>
      </c>
    </row>
    <row r="2010" customFormat="false" ht="15" hidden="false" customHeight="false" outlineLevel="0" collapsed="false">
      <c r="G2010" s="41" t="str">
        <f aca="false">IF(E2010="","",IFERROR(IF(ISNUMBER(SEARCH(Assumptions!$C$5,E2010)),Assumptions!$D$5,IF(ISNUMBER(SEARCH(Assumptions!$C$6,E2010)),Assumptions!$D$6,IF(ISNUMBER(SEARCH(Assumptions!$C$7,E2010)),Assumptions!$D$7,"Other Services"))),"Other Services"))</f>
        <v/>
      </c>
    </row>
    <row r="2011" customFormat="false" ht="15" hidden="false" customHeight="false" outlineLevel="0" collapsed="false">
      <c r="G2011" s="41" t="str">
        <f aca="false">IF(E2011="","",IFERROR(IF(ISNUMBER(SEARCH(Assumptions!$C$5,E2011)),Assumptions!$D$5,IF(ISNUMBER(SEARCH(Assumptions!$C$6,E2011)),Assumptions!$D$6,IF(ISNUMBER(SEARCH(Assumptions!$C$7,E2011)),Assumptions!$D$7,"Other Services"))),"Other Services"))</f>
        <v/>
      </c>
    </row>
    <row r="2012" customFormat="false" ht="15" hidden="false" customHeight="false" outlineLevel="0" collapsed="false">
      <c r="G2012" s="41" t="str">
        <f aca="false">IF(E2012="","",IFERROR(IF(ISNUMBER(SEARCH(Assumptions!$C$5,E2012)),Assumptions!$D$5,IF(ISNUMBER(SEARCH(Assumptions!$C$6,E2012)),Assumptions!$D$6,IF(ISNUMBER(SEARCH(Assumptions!$C$7,E2012)),Assumptions!$D$7,"Other Services"))),"Other Services"))</f>
        <v/>
      </c>
    </row>
    <row r="2013" customFormat="false" ht="15" hidden="false" customHeight="false" outlineLevel="0" collapsed="false">
      <c r="G2013" s="41" t="str">
        <f aca="false">IF(E2013="","",IFERROR(IF(ISNUMBER(SEARCH(Assumptions!$C$5,E2013)),Assumptions!$D$5,IF(ISNUMBER(SEARCH(Assumptions!$C$6,E2013)),Assumptions!$D$6,IF(ISNUMBER(SEARCH(Assumptions!$C$7,E2013)),Assumptions!$D$7,"Other Services"))),"Other Services"))</f>
        <v/>
      </c>
    </row>
    <row r="2014" customFormat="false" ht="15" hidden="false" customHeight="false" outlineLevel="0" collapsed="false">
      <c r="G2014" s="41" t="str">
        <f aca="false">IF(E2014="","",IFERROR(IF(ISNUMBER(SEARCH(Assumptions!$C$5,E2014)),Assumptions!$D$5,IF(ISNUMBER(SEARCH(Assumptions!$C$6,E2014)),Assumptions!$D$6,IF(ISNUMBER(SEARCH(Assumptions!$C$7,E2014)),Assumptions!$D$7,"Other Services"))),"Other Services"))</f>
        <v/>
      </c>
    </row>
    <row r="2015" customFormat="false" ht="15" hidden="false" customHeight="false" outlineLevel="0" collapsed="false">
      <c r="G2015" s="41" t="str">
        <f aca="false">IF(E2015="","",IFERROR(IF(ISNUMBER(SEARCH(Assumptions!$C$5,E2015)),Assumptions!$D$5,IF(ISNUMBER(SEARCH(Assumptions!$C$6,E2015)),Assumptions!$D$6,IF(ISNUMBER(SEARCH(Assumptions!$C$7,E2015)),Assumptions!$D$7,"Other Services"))),"Other Services"))</f>
        <v/>
      </c>
    </row>
    <row r="2016" customFormat="false" ht="15" hidden="false" customHeight="false" outlineLevel="0" collapsed="false">
      <c r="G2016" s="41" t="str">
        <f aca="false">IF(E2016="","",IFERROR(IF(ISNUMBER(SEARCH(Assumptions!$C$5,E2016)),Assumptions!$D$5,IF(ISNUMBER(SEARCH(Assumptions!$C$6,E2016)),Assumptions!$D$6,IF(ISNUMBER(SEARCH(Assumptions!$C$7,E2016)),Assumptions!$D$7,"Other Services"))),"Other Services"))</f>
        <v/>
      </c>
    </row>
    <row r="2017" customFormat="false" ht="15" hidden="false" customHeight="false" outlineLevel="0" collapsed="false">
      <c r="G2017" s="41" t="str">
        <f aca="false">IF(E2017="","",IFERROR(IF(ISNUMBER(SEARCH(Assumptions!$C$5,E2017)),Assumptions!$D$5,IF(ISNUMBER(SEARCH(Assumptions!$C$6,E2017)),Assumptions!$D$6,IF(ISNUMBER(SEARCH(Assumptions!$C$7,E2017)),Assumptions!$D$7,"Other Services"))),"Other Services"))</f>
        <v/>
      </c>
    </row>
    <row r="2018" customFormat="false" ht="15" hidden="false" customHeight="false" outlineLevel="0" collapsed="false">
      <c r="G2018" s="41" t="str">
        <f aca="false">IF(E2018="","",IFERROR(IF(ISNUMBER(SEARCH(Assumptions!$C$5,E2018)),Assumptions!$D$5,IF(ISNUMBER(SEARCH(Assumptions!$C$6,E2018)),Assumptions!$D$6,IF(ISNUMBER(SEARCH(Assumptions!$C$7,E2018)),Assumptions!$D$7,"Other Services"))),"Other Services"))</f>
        <v/>
      </c>
    </row>
    <row r="2019" customFormat="false" ht="15" hidden="false" customHeight="false" outlineLevel="0" collapsed="false">
      <c r="G2019" s="41" t="str">
        <f aca="false">IF(E2019="","",IFERROR(IF(ISNUMBER(SEARCH(Assumptions!$C$5,E2019)),Assumptions!$D$5,IF(ISNUMBER(SEARCH(Assumptions!$C$6,E2019)),Assumptions!$D$6,IF(ISNUMBER(SEARCH(Assumptions!$C$7,E2019)),Assumptions!$D$7,"Other Services"))),"Other Services"))</f>
        <v/>
      </c>
    </row>
    <row r="2020" customFormat="false" ht="15" hidden="false" customHeight="false" outlineLevel="0" collapsed="false">
      <c r="G2020" s="41" t="str">
        <f aca="false">IF(E2020="","",IFERROR(IF(ISNUMBER(SEARCH(Assumptions!$C$5,E2020)),Assumptions!$D$5,IF(ISNUMBER(SEARCH(Assumptions!$C$6,E2020)),Assumptions!$D$6,IF(ISNUMBER(SEARCH(Assumptions!$C$7,E2020)),Assumptions!$D$7,"Other Services"))),"Other Services"))</f>
        <v/>
      </c>
    </row>
    <row r="2021" customFormat="false" ht="15" hidden="false" customHeight="false" outlineLevel="0" collapsed="false">
      <c r="G2021" s="41" t="str">
        <f aca="false">IF(E2021="","",IFERROR(IF(ISNUMBER(SEARCH(Assumptions!$C$5,E2021)),Assumptions!$D$5,IF(ISNUMBER(SEARCH(Assumptions!$C$6,E2021)),Assumptions!$D$6,IF(ISNUMBER(SEARCH(Assumptions!$C$7,E2021)),Assumptions!$D$7,"Other Services"))),"Other Services"))</f>
        <v/>
      </c>
    </row>
    <row r="2022" customFormat="false" ht="15" hidden="false" customHeight="false" outlineLevel="0" collapsed="false">
      <c r="G2022" s="41" t="str">
        <f aca="false">IF(E2022="","",IFERROR(IF(ISNUMBER(SEARCH(Assumptions!$C$5,E2022)),Assumptions!$D$5,IF(ISNUMBER(SEARCH(Assumptions!$C$6,E2022)),Assumptions!$D$6,IF(ISNUMBER(SEARCH(Assumptions!$C$7,E2022)),Assumptions!$D$7,"Other Services"))),"Other Services"))</f>
        <v/>
      </c>
    </row>
    <row r="2023" customFormat="false" ht="15" hidden="false" customHeight="false" outlineLevel="0" collapsed="false">
      <c r="G2023" s="41" t="str">
        <f aca="false">IF(E2023="","",IFERROR(IF(ISNUMBER(SEARCH(Assumptions!$C$5,E2023)),Assumptions!$D$5,IF(ISNUMBER(SEARCH(Assumptions!$C$6,E2023)),Assumptions!$D$6,IF(ISNUMBER(SEARCH(Assumptions!$C$7,E2023)),Assumptions!$D$7,"Other Services"))),"Other Services"))</f>
        <v/>
      </c>
    </row>
    <row r="2024" customFormat="false" ht="15" hidden="false" customHeight="false" outlineLevel="0" collapsed="false">
      <c r="G2024" s="41" t="str">
        <f aca="false">IF(E2024="","",IFERROR(IF(ISNUMBER(SEARCH(Assumptions!$C$5,E2024)),Assumptions!$D$5,IF(ISNUMBER(SEARCH(Assumptions!$C$6,E2024)),Assumptions!$D$6,IF(ISNUMBER(SEARCH(Assumptions!$C$7,E2024)),Assumptions!$D$7,"Other Services"))),"Other Services"))</f>
        <v/>
      </c>
    </row>
    <row r="2025" customFormat="false" ht="15" hidden="false" customHeight="false" outlineLevel="0" collapsed="false">
      <c r="G2025" s="41" t="str">
        <f aca="false">IF(E2025="","",IFERROR(IF(ISNUMBER(SEARCH(Assumptions!$C$5,E2025)),Assumptions!$D$5,IF(ISNUMBER(SEARCH(Assumptions!$C$6,E2025)),Assumptions!$D$6,IF(ISNUMBER(SEARCH(Assumptions!$C$7,E2025)),Assumptions!$D$7,"Other Services"))),"Other Services"))</f>
        <v/>
      </c>
    </row>
    <row r="2026" customFormat="false" ht="15" hidden="false" customHeight="false" outlineLevel="0" collapsed="false">
      <c r="G2026" s="41" t="str">
        <f aca="false">IF(E2026="","",IFERROR(IF(ISNUMBER(SEARCH(Assumptions!$C$5,E2026)),Assumptions!$D$5,IF(ISNUMBER(SEARCH(Assumptions!$C$6,E2026)),Assumptions!$D$6,IF(ISNUMBER(SEARCH(Assumptions!$C$7,E2026)),Assumptions!$D$7,"Other Services"))),"Other Services"))</f>
        <v/>
      </c>
    </row>
    <row r="2027" customFormat="false" ht="15" hidden="false" customHeight="false" outlineLevel="0" collapsed="false">
      <c r="G2027" s="41" t="str">
        <f aca="false">IF(E2027="","",IFERROR(IF(ISNUMBER(SEARCH(Assumptions!$C$5,E2027)),Assumptions!$D$5,IF(ISNUMBER(SEARCH(Assumptions!$C$6,E2027)),Assumptions!$D$6,IF(ISNUMBER(SEARCH(Assumptions!$C$7,E2027)),Assumptions!$D$7,"Other Services"))),"Other Services"))</f>
        <v/>
      </c>
    </row>
    <row r="2028" customFormat="false" ht="15" hidden="false" customHeight="false" outlineLevel="0" collapsed="false">
      <c r="G2028" s="41" t="str">
        <f aca="false">IF(E2028="","",IFERROR(IF(ISNUMBER(SEARCH(Assumptions!$C$5,E2028)),Assumptions!$D$5,IF(ISNUMBER(SEARCH(Assumptions!$C$6,E2028)),Assumptions!$D$6,IF(ISNUMBER(SEARCH(Assumptions!$C$7,E2028)),Assumptions!$D$7,"Other Services"))),"Other Services"))</f>
        <v/>
      </c>
    </row>
    <row r="2029" customFormat="false" ht="15" hidden="false" customHeight="false" outlineLevel="0" collapsed="false">
      <c r="G2029" s="41" t="str">
        <f aca="false">IF(E2029="","",IFERROR(IF(ISNUMBER(SEARCH(Assumptions!$C$5,E2029)),Assumptions!$D$5,IF(ISNUMBER(SEARCH(Assumptions!$C$6,E2029)),Assumptions!$D$6,IF(ISNUMBER(SEARCH(Assumptions!$C$7,E2029)),Assumptions!$D$7,"Other Services"))),"Other Services"))</f>
        <v/>
      </c>
    </row>
    <row r="2030" customFormat="false" ht="15" hidden="false" customHeight="false" outlineLevel="0" collapsed="false">
      <c r="G2030" s="41" t="str">
        <f aca="false">IF(E2030="","",IFERROR(IF(ISNUMBER(SEARCH(Assumptions!$C$5,E2030)),Assumptions!$D$5,IF(ISNUMBER(SEARCH(Assumptions!$C$6,E2030)),Assumptions!$D$6,IF(ISNUMBER(SEARCH(Assumptions!$C$7,E2030)),Assumptions!$D$7,"Other Services"))),"Other Services"))</f>
        <v/>
      </c>
    </row>
    <row r="2031" customFormat="false" ht="15" hidden="false" customHeight="false" outlineLevel="0" collapsed="false">
      <c r="G2031" s="41" t="str">
        <f aca="false">IF(E2031="","",IFERROR(IF(ISNUMBER(SEARCH(Assumptions!$C$5,E2031)),Assumptions!$D$5,IF(ISNUMBER(SEARCH(Assumptions!$C$6,E2031)),Assumptions!$D$6,IF(ISNUMBER(SEARCH(Assumptions!$C$7,E2031)),Assumptions!$D$7,"Other Services"))),"Other Services"))</f>
        <v/>
      </c>
    </row>
    <row r="2032" customFormat="false" ht="15" hidden="false" customHeight="false" outlineLevel="0" collapsed="false">
      <c r="G2032" s="41" t="str">
        <f aca="false">IF(E2032="","",IFERROR(IF(ISNUMBER(SEARCH(Assumptions!$C$5,E2032)),Assumptions!$D$5,IF(ISNUMBER(SEARCH(Assumptions!$C$6,E2032)),Assumptions!$D$6,IF(ISNUMBER(SEARCH(Assumptions!$C$7,E2032)),Assumptions!$D$7,"Other Services"))),"Other Services"))</f>
        <v/>
      </c>
    </row>
    <row r="2033" customFormat="false" ht="15" hidden="false" customHeight="false" outlineLevel="0" collapsed="false">
      <c r="G2033" s="41" t="str">
        <f aca="false">IF(E2033="","",IFERROR(IF(ISNUMBER(SEARCH(Assumptions!$C$5,E2033)),Assumptions!$D$5,IF(ISNUMBER(SEARCH(Assumptions!$C$6,E2033)),Assumptions!$D$6,IF(ISNUMBER(SEARCH(Assumptions!$C$7,E2033)),Assumptions!$D$7,"Other Services"))),"Other Services"))</f>
        <v/>
      </c>
    </row>
    <row r="2034" customFormat="false" ht="15" hidden="false" customHeight="false" outlineLevel="0" collapsed="false">
      <c r="G2034" s="41" t="str">
        <f aca="false">IF(E2034="","",IFERROR(IF(ISNUMBER(SEARCH(Assumptions!$C$5,E2034)),Assumptions!$D$5,IF(ISNUMBER(SEARCH(Assumptions!$C$6,E2034)),Assumptions!$D$6,IF(ISNUMBER(SEARCH(Assumptions!$C$7,E2034)),Assumptions!$D$7,"Other Services"))),"Other Services"))</f>
        <v/>
      </c>
    </row>
    <row r="2035" customFormat="false" ht="15" hidden="false" customHeight="false" outlineLevel="0" collapsed="false">
      <c r="G2035" s="41" t="str">
        <f aca="false">IF(E2035="","",IFERROR(IF(ISNUMBER(SEARCH(Assumptions!$C$5,E2035)),Assumptions!$D$5,IF(ISNUMBER(SEARCH(Assumptions!$C$6,E2035)),Assumptions!$D$6,IF(ISNUMBER(SEARCH(Assumptions!$C$7,E2035)),Assumptions!$D$7,"Other Services"))),"Other Services"))</f>
        <v/>
      </c>
    </row>
    <row r="2036" customFormat="false" ht="15" hidden="false" customHeight="false" outlineLevel="0" collapsed="false">
      <c r="G2036" s="41" t="str">
        <f aca="false">IF(E2036="","",IFERROR(IF(ISNUMBER(SEARCH(Assumptions!$C$5,E2036)),Assumptions!$D$5,IF(ISNUMBER(SEARCH(Assumptions!$C$6,E2036)),Assumptions!$D$6,IF(ISNUMBER(SEARCH(Assumptions!$C$7,E2036)),Assumptions!$D$7,"Other Services"))),"Other Services"))</f>
        <v/>
      </c>
    </row>
    <row r="2037" customFormat="false" ht="15" hidden="false" customHeight="false" outlineLevel="0" collapsed="false">
      <c r="G2037" s="41" t="str">
        <f aca="false">IF(E2037="","",IFERROR(IF(ISNUMBER(SEARCH(Assumptions!$C$5,E2037)),Assumptions!$D$5,IF(ISNUMBER(SEARCH(Assumptions!$C$6,E2037)),Assumptions!$D$6,IF(ISNUMBER(SEARCH(Assumptions!$C$7,E2037)),Assumptions!$D$7,"Other Services"))),"Other Services"))</f>
        <v/>
      </c>
    </row>
    <row r="2038" customFormat="false" ht="15" hidden="false" customHeight="false" outlineLevel="0" collapsed="false">
      <c r="G2038" s="41" t="str">
        <f aca="false">IF(E2038="","",IFERROR(IF(ISNUMBER(SEARCH(Assumptions!$C$5,E2038)),Assumptions!$D$5,IF(ISNUMBER(SEARCH(Assumptions!$C$6,E2038)),Assumptions!$D$6,IF(ISNUMBER(SEARCH(Assumptions!$C$7,E2038)),Assumptions!$D$7,"Other Services"))),"Other Services"))</f>
        <v/>
      </c>
    </row>
    <row r="2039" customFormat="false" ht="15" hidden="false" customHeight="false" outlineLevel="0" collapsed="false">
      <c r="G2039" s="41" t="str">
        <f aca="false">IF(E2039="","",IFERROR(IF(ISNUMBER(SEARCH(Assumptions!$C$5,E2039)),Assumptions!$D$5,IF(ISNUMBER(SEARCH(Assumptions!$C$6,E2039)),Assumptions!$D$6,IF(ISNUMBER(SEARCH(Assumptions!$C$7,E2039)),Assumptions!$D$7,"Other Services"))),"Other Services"))</f>
        <v/>
      </c>
    </row>
    <row r="2040" customFormat="false" ht="15" hidden="false" customHeight="false" outlineLevel="0" collapsed="false">
      <c r="G2040" s="41" t="str">
        <f aca="false">IF(E2040="","",IFERROR(IF(ISNUMBER(SEARCH(Assumptions!$C$5,E2040)),Assumptions!$D$5,IF(ISNUMBER(SEARCH(Assumptions!$C$6,E2040)),Assumptions!$D$6,IF(ISNUMBER(SEARCH(Assumptions!$C$7,E2040)),Assumptions!$D$7,"Other Services"))),"Other Services"))</f>
        <v/>
      </c>
    </row>
    <row r="2041" customFormat="false" ht="15" hidden="false" customHeight="false" outlineLevel="0" collapsed="false">
      <c r="G2041" s="41" t="str">
        <f aca="false">IF(E2041="","",IFERROR(IF(ISNUMBER(SEARCH(Assumptions!$C$5,E2041)),Assumptions!$D$5,IF(ISNUMBER(SEARCH(Assumptions!$C$6,E2041)),Assumptions!$D$6,IF(ISNUMBER(SEARCH(Assumptions!$C$7,E2041)),Assumptions!$D$7,"Other Services"))),"Other Services"))</f>
        <v/>
      </c>
    </row>
    <row r="2042" customFormat="false" ht="15" hidden="false" customHeight="false" outlineLevel="0" collapsed="false">
      <c r="G2042" s="41" t="str">
        <f aca="false">IF(E2042="","",IFERROR(IF(ISNUMBER(SEARCH(Assumptions!$C$5,E2042)),Assumptions!$D$5,IF(ISNUMBER(SEARCH(Assumptions!$C$6,E2042)),Assumptions!$D$6,IF(ISNUMBER(SEARCH(Assumptions!$C$7,E2042)),Assumptions!$D$7,"Other Services"))),"Other Services"))</f>
        <v/>
      </c>
    </row>
    <row r="2043" customFormat="false" ht="15" hidden="false" customHeight="false" outlineLevel="0" collapsed="false">
      <c r="G2043" s="41" t="str">
        <f aca="false">IF(E2043="","",IFERROR(IF(ISNUMBER(SEARCH(Assumptions!$C$5,E2043)),Assumptions!$D$5,IF(ISNUMBER(SEARCH(Assumptions!$C$6,E2043)),Assumptions!$D$6,IF(ISNUMBER(SEARCH(Assumptions!$C$7,E2043)),Assumptions!$D$7,"Other Services"))),"Other Services"))</f>
        <v/>
      </c>
    </row>
    <row r="2044" customFormat="false" ht="15" hidden="false" customHeight="false" outlineLevel="0" collapsed="false">
      <c r="G2044" s="41" t="str">
        <f aca="false">IF(E2044="","",IFERROR(IF(ISNUMBER(SEARCH(Assumptions!$C$5,E2044)),Assumptions!$D$5,IF(ISNUMBER(SEARCH(Assumptions!$C$6,E2044)),Assumptions!$D$6,IF(ISNUMBER(SEARCH(Assumptions!$C$7,E2044)),Assumptions!$D$7,"Other Services"))),"Other Services"))</f>
        <v/>
      </c>
    </row>
    <row r="2045" customFormat="false" ht="15" hidden="false" customHeight="false" outlineLevel="0" collapsed="false">
      <c r="G2045" s="41" t="str">
        <f aca="false">IF(E2045="","",IFERROR(IF(ISNUMBER(SEARCH(Assumptions!$C$5,E2045)),Assumptions!$D$5,IF(ISNUMBER(SEARCH(Assumptions!$C$6,E2045)),Assumptions!$D$6,IF(ISNUMBER(SEARCH(Assumptions!$C$7,E2045)),Assumptions!$D$7,"Other Services"))),"Other Services"))</f>
        <v/>
      </c>
    </row>
    <row r="2046" customFormat="false" ht="15" hidden="false" customHeight="false" outlineLevel="0" collapsed="false">
      <c r="G2046" s="41" t="str">
        <f aca="false">IF(E2046="","",IFERROR(IF(ISNUMBER(SEARCH(Assumptions!$C$5,E2046)),Assumptions!$D$5,IF(ISNUMBER(SEARCH(Assumptions!$C$6,E2046)),Assumptions!$D$6,IF(ISNUMBER(SEARCH(Assumptions!$C$7,E2046)),Assumptions!$D$7,"Other Services"))),"Other Services"))</f>
        <v/>
      </c>
    </row>
    <row r="2047" customFormat="false" ht="15" hidden="false" customHeight="false" outlineLevel="0" collapsed="false">
      <c r="G2047" s="41" t="str">
        <f aca="false">IF(E2047="","",IFERROR(IF(ISNUMBER(SEARCH(Assumptions!$C$5,E2047)),Assumptions!$D$5,IF(ISNUMBER(SEARCH(Assumptions!$C$6,E2047)),Assumptions!$D$6,IF(ISNUMBER(SEARCH(Assumptions!$C$7,E2047)),Assumptions!$D$7,"Other Services"))),"Other Services"))</f>
        <v/>
      </c>
    </row>
    <row r="2048" customFormat="false" ht="15" hidden="false" customHeight="false" outlineLevel="0" collapsed="false">
      <c r="G2048" s="41" t="str">
        <f aca="false">IF(E2048="","",IFERROR(IF(ISNUMBER(SEARCH(Assumptions!$C$5,E2048)),Assumptions!$D$5,IF(ISNUMBER(SEARCH(Assumptions!$C$6,E2048)),Assumptions!$D$6,IF(ISNUMBER(SEARCH(Assumptions!$C$7,E2048)),Assumptions!$D$7,"Other Services"))),"Other Services"))</f>
        <v/>
      </c>
    </row>
    <row r="2049" customFormat="false" ht="15" hidden="false" customHeight="false" outlineLevel="0" collapsed="false">
      <c r="G2049" s="41" t="str">
        <f aca="false">IF(E2049="","",IFERROR(IF(ISNUMBER(SEARCH(Assumptions!$C$5,E2049)),Assumptions!$D$5,IF(ISNUMBER(SEARCH(Assumptions!$C$6,E2049)),Assumptions!$D$6,IF(ISNUMBER(SEARCH(Assumptions!$C$7,E2049)),Assumptions!$D$7,"Other Services"))),"Other Services"))</f>
        <v/>
      </c>
    </row>
    <row r="2050" customFormat="false" ht="15" hidden="false" customHeight="false" outlineLevel="0" collapsed="false">
      <c r="G2050" s="41" t="str">
        <f aca="false">IF(E2050="","",IFERROR(IF(ISNUMBER(SEARCH(Assumptions!$C$5,E2050)),Assumptions!$D$5,IF(ISNUMBER(SEARCH(Assumptions!$C$6,E2050)),Assumptions!$D$6,IF(ISNUMBER(SEARCH(Assumptions!$C$7,E2050)),Assumptions!$D$7,"Other Services"))),"Other Services"))</f>
        <v/>
      </c>
    </row>
    <row r="2051" customFormat="false" ht="15" hidden="false" customHeight="false" outlineLevel="0" collapsed="false">
      <c r="G2051" s="41" t="str">
        <f aca="false">IF(E2051="","",IFERROR(IF(ISNUMBER(SEARCH(Assumptions!$C$5,E2051)),Assumptions!$D$5,IF(ISNUMBER(SEARCH(Assumptions!$C$6,E2051)),Assumptions!$D$6,IF(ISNUMBER(SEARCH(Assumptions!$C$7,E2051)),Assumptions!$D$7,"Other Services"))),"Other Services"))</f>
        <v/>
      </c>
    </row>
    <row r="2052" customFormat="false" ht="15" hidden="false" customHeight="false" outlineLevel="0" collapsed="false">
      <c r="G2052" s="41" t="str">
        <f aca="false">IF(E2052="","",IFERROR(IF(ISNUMBER(SEARCH(Assumptions!$C$5,E2052)),Assumptions!$D$5,IF(ISNUMBER(SEARCH(Assumptions!$C$6,E2052)),Assumptions!$D$6,IF(ISNUMBER(SEARCH(Assumptions!$C$7,E2052)),Assumptions!$D$7,"Other Services"))),"Other Services"))</f>
        <v/>
      </c>
    </row>
    <row r="2053" customFormat="false" ht="15" hidden="false" customHeight="false" outlineLevel="0" collapsed="false">
      <c r="G2053" s="41" t="str">
        <f aca="false">IF(E2053="","",IFERROR(IF(ISNUMBER(SEARCH(Assumptions!$C$5,E2053)),Assumptions!$D$5,IF(ISNUMBER(SEARCH(Assumptions!$C$6,E2053)),Assumptions!$D$6,IF(ISNUMBER(SEARCH(Assumptions!$C$7,E2053)),Assumptions!$D$7,"Other Services"))),"Other Services"))</f>
        <v/>
      </c>
    </row>
    <row r="2054" customFormat="false" ht="15" hidden="false" customHeight="false" outlineLevel="0" collapsed="false">
      <c r="G2054" s="41" t="str">
        <f aca="false">IF(E2054="","",IFERROR(IF(ISNUMBER(SEARCH(Assumptions!$C$5,E2054)),Assumptions!$D$5,IF(ISNUMBER(SEARCH(Assumptions!$C$6,E2054)),Assumptions!$D$6,IF(ISNUMBER(SEARCH(Assumptions!$C$7,E2054)),Assumptions!$D$7,"Other Services"))),"Other Services"))</f>
        <v/>
      </c>
    </row>
    <row r="2055" customFormat="false" ht="15" hidden="false" customHeight="false" outlineLevel="0" collapsed="false">
      <c r="G2055" s="41" t="str">
        <f aca="false">IF(E2055="","",IFERROR(IF(ISNUMBER(SEARCH(Assumptions!$C$5,E2055)),Assumptions!$D$5,IF(ISNUMBER(SEARCH(Assumptions!$C$6,E2055)),Assumptions!$D$6,IF(ISNUMBER(SEARCH(Assumptions!$C$7,E2055)),Assumptions!$D$7,"Other Services"))),"Other Services"))</f>
        <v/>
      </c>
    </row>
    <row r="2056" customFormat="false" ht="15" hidden="false" customHeight="false" outlineLevel="0" collapsed="false">
      <c r="G2056" s="41" t="str">
        <f aca="false">IF(E2056="","",IFERROR(IF(ISNUMBER(SEARCH(Assumptions!$C$5,E2056)),Assumptions!$D$5,IF(ISNUMBER(SEARCH(Assumptions!$C$6,E2056)),Assumptions!$D$6,IF(ISNUMBER(SEARCH(Assumptions!$C$7,E2056)),Assumptions!$D$7,"Other Services"))),"Other Services"))</f>
        <v/>
      </c>
    </row>
    <row r="2057" customFormat="false" ht="15" hidden="false" customHeight="false" outlineLevel="0" collapsed="false">
      <c r="G2057" s="41" t="str">
        <f aca="false">IF(E2057="","",IFERROR(IF(ISNUMBER(SEARCH(Assumptions!$C$5,E2057)),Assumptions!$D$5,IF(ISNUMBER(SEARCH(Assumptions!$C$6,E2057)),Assumptions!$D$6,IF(ISNUMBER(SEARCH(Assumptions!$C$7,E2057)),Assumptions!$D$7,"Other Services"))),"Other Services"))</f>
        <v/>
      </c>
    </row>
    <row r="2058" customFormat="false" ht="15" hidden="false" customHeight="false" outlineLevel="0" collapsed="false">
      <c r="G2058" s="41" t="str">
        <f aca="false">IF(E2058="","",IFERROR(IF(ISNUMBER(SEARCH(Assumptions!$C$5,E2058)),Assumptions!$D$5,IF(ISNUMBER(SEARCH(Assumptions!$C$6,E2058)),Assumptions!$D$6,IF(ISNUMBER(SEARCH(Assumptions!$C$7,E2058)),Assumptions!$D$7,"Other Services"))),"Other Services"))</f>
        <v/>
      </c>
    </row>
    <row r="2059" customFormat="false" ht="15" hidden="false" customHeight="false" outlineLevel="0" collapsed="false">
      <c r="G2059" s="41" t="str">
        <f aca="false">IF(E2059="","",IFERROR(IF(ISNUMBER(SEARCH(Assumptions!$C$5,E2059)),Assumptions!$D$5,IF(ISNUMBER(SEARCH(Assumptions!$C$6,E2059)),Assumptions!$D$6,IF(ISNUMBER(SEARCH(Assumptions!$C$7,E2059)),Assumptions!$D$7,"Other Services"))),"Other Services"))</f>
        <v/>
      </c>
    </row>
    <row r="2060" customFormat="false" ht="15" hidden="false" customHeight="false" outlineLevel="0" collapsed="false">
      <c r="G2060" s="41" t="str">
        <f aca="false">IF(E2060="","",IFERROR(IF(ISNUMBER(SEARCH(Assumptions!$C$5,E2060)),Assumptions!$D$5,IF(ISNUMBER(SEARCH(Assumptions!$C$6,E2060)),Assumptions!$D$6,IF(ISNUMBER(SEARCH(Assumptions!$C$7,E2060)),Assumptions!$D$7,"Other Services"))),"Other Services"))</f>
        <v/>
      </c>
    </row>
    <row r="2061" customFormat="false" ht="15" hidden="false" customHeight="false" outlineLevel="0" collapsed="false">
      <c r="G2061" s="41" t="str">
        <f aca="false">IF(E2061="","",IFERROR(IF(ISNUMBER(SEARCH(Assumptions!$C$5,E2061)),Assumptions!$D$5,IF(ISNUMBER(SEARCH(Assumptions!$C$6,E2061)),Assumptions!$D$6,IF(ISNUMBER(SEARCH(Assumptions!$C$7,E2061)),Assumptions!$D$7,"Other Services"))),"Other Services"))</f>
        <v/>
      </c>
    </row>
    <row r="2062" customFormat="false" ht="15" hidden="false" customHeight="false" outlineLevel="0" collapsed="false">
      <c r="G2062" s="41" t="str">
        <f aca="false">IF(E2062="","",IFERROR(IF(ISNUMBER(SEARCH(Assumptions!$C$5,E2062)),Assumptions!$D$5,IF(ISNUMBER(SEARCH(Assumptions!$C$6,E2062)),Assumptions!$D$6,IF(ISNUMBER(SEARCH(Assumptions!$C$7,E2062)),Assumptions!$D$7,"Other Services"))),"Other Services"))</f>
        <v/>
      </c>
    </row>
    <row r="2063" customFormat="false" ht="15" hidden="false" customHeight="false" outlineLevel="0" collapsed="false">
      <c r="G2063" s="41" t="str">
        <f aca="false">IF(E2063="","",IFERROR(IF(ISNUMBER(SEARCH(Assumptions!$C$5,E2063)),Assumptions!$D$5,IF(ISNUMBER(SEARCH(Assumptions!$C$6,E2063)),Assumptions!$D$6,IF(ISNUMBER(SEARCH(Assumptions!$C$7,E2063)),Assumptions!$D$7,"Other Services"))),"Other Services"))</f>
        <v/>
      </c>
    </row>
    <row r="2064" customFormat="false" ht="15" hidden="false" customHeight="false" outlineLevel="0" collapsed="false">
      <c r="G2064" s="41" t="str">
        <f aca="false">IF(E2064="","",IFERROR(IF(ISNUMBER(SEARCH(Assumptions!$C$5,E2064)),Assumptions!$D$5,IF(ISNUMBER(SEARCH(Assumptions!$C$6,E2064)),Assumptions!$D$6,IF(ISNUMBER(SEARCH(Assumptions!$C$7,E2064)),Assumptions!$D$7,"Other Services"))),"Other Services"))</f>
        <v/>
      </c>
    </row>
    <row r="2065" customFormat="false" ht="15" hidden="false" customHeight="false" outlineLevel="0" collapsed="false">
      <c r="G2065" s="41" t="str">
        <f aca="false">IF(E2065="","",IFERROR(IF(ISNUMBER(SEARCH(Assumptions!$C$5,E2065)),Assumptions!$D$5,IF(ISNUMBER(SEARCH(Assumptions!$C$6,E2065)),Assumptions!$D$6,IF(ISNUMBER(SEARCH(Assumptions!$C$7,E2065)),Assumptions!$D$7,"Other Services"))),"Other Services"))</f>
        <v/>
      </c>
    </row>
    <row r="2066" customFormat="false" ht="15" hidden="false" customHeight="false" outlineLevel="0" collapsed="false">
      <c r="G2066" s="41" t="str">
        <f aca="false">IF(E2066="","",IFERROR(IF(ISNUMBER(SEARCH(Assumptions!$C$5,E2066)),Assumptions!$D$5,IF(ISNUMBER(SEARCH(Assumptions!$C$6,E2066)),Assumptions!$D$6,IF(ISNUMBER(SEARCH(Assumptions!$C$7,E2066)),Assumptions!$D$7,"Other Services"))),"Other Services"))</f>
        <v/>
      </c>
    </row>
    <row r="2067" customFormat="false" ht="15" hidden="false" customHeight="false" outlineLevel="0" collapsed="false">
      <c r="G2067" s="41" t="str">
        <f aca="false">IF(E2067="","",IFERROR(IF(ISNUMBER(SEARCH(Assumptions!$C$5,E2067)),Assumptions!$D$5,IF(ISNUMBER(SEARCH(Assumptions!$C$6,E2067)),Assumptions!$D$6,IF(ISNUMBER(SEARCH(Assumptions!$C$7,E2067)),Assumptions!$D$7,"Other Services"))),"Other Services"))</f>
        <v/>
      </c>
    </row>
    <row r="2068" customFormat="false" ht="15" hidden="false" customHeight="false" outlineLevel="0" collapsed="false">
      <c r="G2068" s="41" t="str">
        <f aca="false">IF(E2068="","",IFERROR(IF(ISNUMBER(SEARCH(Assumptions!$C$5,E2068)),Assumptions!$D$5,IF(ISNUMBER(SEARCH(Assumptions!$C$6,E2068)),Assumptions!$D$6,IF(ISNUMBER(SEARCH(Assumptions!$C$7,E2068)),Assumptions!$D$7,"Other Services"))),"Other Services"))</f>
        <v/>
      </c>
    </row>
    <row r="2069" customFormat="false" ht="15" hidden="false" customHeight="false" outlineLevel="0" collapsed="false">
      <c r="G2069" s="41" t="str">
        <f aca="false">IF(E2069="","",IFERROR(IF(ISNUMBER(SEARCH(Assumptions!$C$5,E2069)),Assumptions!$D$5,IF(ISNUMBER(SEARCH(Assumptions!$C$6,E2069)),Assumptions!$D$6,IF(ISNUMBER(SEARCH(Assumptions!$C$7,E2069)),Assumptions!$D$7,"Other Services"))),"Other Services"))</f>
        <v/>
      </c>
    </row>
    <row r="2070" customFormat="false" ht="15" hidden="false" customHeight="false" outlineLevel="0" collapsed="false">
      <c r="G2070" s="41" t="str">
        <f aca="false">IF(E2070="","",IFERROR(IF(ISNUMBER(SEARCH(Assumptions!$C$5,E2070)),Assumptions!$D$5,IF(ISNUMBER(SEARCH(Assumptions!$C$6,E2070)),Assumptions!$D$6,IF(ISNUMBER(SEARCH(Assumptions!$C$7,E2070)),Assumptions!$D$7,"Other Services"))),"Other Services"))</f>
        <v/>
      </c>
    </row>
    <row r="2071" customFormat="false" ht="15" hidden="false" customHeight="false" outlineLevel="0" collapsed="false">
      <c r="G2071" s="41" t="str">
        <f aca="false">IF(E2071="","",IFERROR(IF(ISNUMBER(SEARCH(Assumptions!$C$5,E2071)),Assumptions!$D$5,IF(ISNUMBER(SEARCH(Assumptions!$C$6,E2071)),Assumptions!$D$6,IF(ISNUMBER(SEARCH(Assumptions!$C$7,E2071)),Assumptions!$D$7,"Other Services"))),"Other Services"))</f>
        <v/>
      </c>
    </row>
    <row r="2072" customFormat="false" ht="15" hidden="false" customHeight="false" outlineLevel="0" collapsed="false">
      <c r="G2072" s="41" t="str">
        <f aca="false">IF(E2072="","",IFERROR(IF(ISNUMBER(SEARCH(Assumptions!$C$5,E2072)),Assumptions!$D$5,IF(ISNUMBER(SEARCH(Assumptions!$C$6,E2072)),Assumptions!$D$6,IF(ISNUMBER(SEARCH(Assumptions!$C$7,E2072)),Assumptions!$D$7,"Other Services"))),"Other Services"))</f>
        <v/>
      </c>
    </row>
    <row r="2073" customFormat="false" ht="15" hidden="false" customHeight="false" outlineLevel="0" collapsed="false">
      <c r="G2073" s="41" t="str">
        <f aca="false">IF(E2073="","",IFERROR(IF(ISNUMBER(SEARCH(Assumptions!$C$5,E2073)),Assumptions!$D$5,IF(ISNUMBER(SEARCH(Assumptions!$C$6,E2073)),Assumptions!$D$6,IF(ISNUMBER(SEARCH(Assumptions!$C$7,E2073)),Assumptions!$D$7,"Other Services"))),"Other Services"))</f>
        <v/>
      </c>
    </row>
    <row r="2074" customFormat="false" ht="15" hidden="false" customHeight="false" outlineLevel="0" collapsed="false">
      <c r="G2074" s="41" t="str">
        <f aca="false">IF(E2074="","",IFERROR(IF(ISNUMBER(SEARCH(Assumptions!$C$5,E2074)),Assumptions!$D$5,IF(ISNUMBER(SEARCH(Assumptions!$C$6,E2074)),Assumptions!$D$6,IF(ISNUMBER(SEARCH(Assumptions!$C$7,E2074)),Assumptions!$D$7,"Other Services"))),"Other Services"))</f>
        <v/>
      </c>
    </row>
    <row r="2075" customFormat="false" ht="15" hidden="false" customHeight="false" outlineLevel="0" collapsed="false">
      <c r="G2075" s="41" t="str">
        <f aca="false">IF(E2075="","",IFERROR(IF(ISNUMBER(SEARCH(Assumptions!$C$5,E2075)),Assumptions!$D$5,IF(ISNUMBER(SEARCH(Assumptions!$C$6,E2075)),Assumptions!$D$6,IF(ISNUMBER(SEARCH(Assumptions!$C$7,E2075)),Assumptions!$D$7,"Other Services"))),"Other Services"))</f>
        <v/>
      </c>
    </row>
    <row r="2076" customFormat="false" ht="15" hidden="false" customHeight="false" outlineLevel="0" collapsed="false">
      <c r="G2076" s="41" t="str">
        <f aca="false">IF(E2076="","",IFERROR(IF(ISNUMBER(SEARCH(Assumptions!$C$5,E2076)),Assumptions!$D$5,IF(ISNUMBER(SEARCH(Assumptions!$C$6,E2076)),Assumptions!$D$6,IF(ISNUMBER(SEARCH(Assumptions!$C$7,E2076)),Assumptions!$D$7,"Other Services"))),"Other Services"))</f>
        <v/>
      </c>
    </row>
    <row r="2077" customFormat="false" ht="15" hidden="false" customHeight="false" outlineLevel="0" collapsed="false">
      <c r="G2077" s="41" t="str">
        <f aca="false">IF(E2077="","",IFERROR(IF(ISNUMBER(SEARCH(Assumptions!$C$5,E2077)),Assumptions!$D$5,IF(ISNUMBER(SEARCH(Assumptions!$C$6,E2077)),Assumptions!$D$6,IF(ISNUMBER(SEARCH(Assumptions!$C$7,E2077)),Assumptions!$D$7,"Other Services"))),"Other Services"))</f>
        <v/>
      </c>
    </row>
    <row r="2078" customFormat="false" ht="15" hidden="false" customHeight="false" outlineLevel="0" collapsed="false">
      <c r="G2078" s="41" t="str">
        <f aca="false">IF(E2078="","",IFERROR(IF(ISNUMBER(SEARCH(Assumptions!$C$5,E2078)),Assumptions!$D$5,IF(ISNUMBER(SEARCH(Assumptions!$C$6,E2078)),Assumptions!$D$6,IF(ISNUMBER(SEARCH(Assumptions!$C$7,E2078)),Assumptions!$D$7,"Other Services"))),"Other Services"))</f>
        <v/>
      </c>
    </row>
    <row r="2079" customFormat="false" ht="15" hidden="false" customHeight="false" outlineLevel="0" collapsed="false">
      <c r="G2079" s="41" t="str">
        <f aca="false">IF(E2079="","",IFERROR(IF(ISNUMBER(SEARCH(Assumptions!$C$5,E2079)),Assumptions!$D$5,IF(ISNUMBER(SEARCH(Assumptions!$C$6,E2079)),Assumptions!$D$6,IF(ISNUMBER(SEARCH(Assumptions!$C$7,E2079)),Assumptions!$D$7,"Other Services"))),"Other Services"))</f>
        <v/>
      </c>
    </row>
    <row r="2080" customFormat="false" ht="15" hidden="false" customHeight="false" outlineLevel="0" collapsed="false">
      <c r="G2080" s="41" t="str">
        <f aca="false">IF(E2080="","",IFERROR(IF(ISNUMBER(SEARCH(Assumptions!$C$5,E2080)),Assumptions!$D$5,IF(ISNUMBER(SEARCH(Assumptions!$C$6,E2080)),Assumptions!$D$6,IF(ISNUMBER(SEARCH(Assumptions!$C$7,E2080)),Assumptions!$D$7,"Other Services"))),"Other Services"))</f>
        <v/>
      </c>
    </row>
    <row r="2081" customFormat="false" ht="15" hidden="false" customHeight="false" outlineLevel="0" collapsed="false">
      <c r="G2081" s="41" t="str">
        <f aca="false">IF(E2081="","",IFERROR(IF(ISNUMBER(SEARCH(Assumptions!$C$5,E2081)),Assumptions!$D$5,IF(ISNUMBER(SEARCH(Assumptions!$C$6,E2081)),Assumptions!$D$6,IF(ISNUMBER(SEARCH(Assumptions!$C$7,E2081)),Assumptions!$D$7,"Other Services"))),"Other Services"))</f>
        <v/>
      </c>
    </row>
    <row r="2082" customFormat="false" ht="15" hidden="false" customHeight="false" outlineLevel="0" collapsed="false">
      <c r="G2082" s="41" t="str">
        <f aca="false">IF(E2082="","",IFERROR(IF(ISNUMBER(SEARCH(Assumptions!$C$5,E2082)),Assumptions!$D$5,IF(ISNUMBER(SEARCH(Assumptions!$C$6,E2082)),Assumptions!$D$6,IF(ISNUMBER(SEARCH(Assumptions!$C$7,E2082)),Assumptions!$D$7,"Other Services"))),"Other Services"))</f>
        <v/>
      </c>
    </row>
    <row r="2083" customFormat="false" ht="15" hidden="false" customHeight="false" outlineLevel="0" collapsed="false">
      <c r="G2083" s="41" t="str">
        <f aca="false">IF(E2083="","",IFERROR(IF(ISNUMBER(SEARCH(Assumptions!$C$5,E2083)),Assumptions!$D$5,IF(ISNUMBER(SEARCH(Assumptions!$C$6,E2083)),Assumptions!$D$6,IF(ISNUMBER(SEARCH(Assumptions!$C$7,E2083)),Assumptions!$D$7,"Other Services"))),"Other Services"))</f>
        <v/>
      </c>
    </row>
    <row r="2084" customFormat="false" ht="15" hidden="false" customHeight="false" outlineLevel="0" collapsed="false">
      <c r="G2084" s="41" t="str">
        <f aca="false">IF(E2084="","",IFERROR(IF(ISNUMBER(SEARCH(Assumptions!$C$5,E2084)),Assumptions!$D$5,IF(ISNUMBER(SEARCH(Assumptions!$C$6,E2084)),Assumptions!$D$6,IF(ISNUMBER(SEARCH(Assumptions!$C$7,E2084)),Assumptions!$D$7,"Other Services"))),"Other Services"))</f>
        <v/>
      </c>
    </row>
    <row r="2085" customFormat="false" ht="15" hidden="false" customHeight="false" outlineLevel="0" collapsed="false">
      <c r="G2085" s="41" t="str">
        <f aca="false">IF(E2085="","",IFERROR(IF(ISNUMBER(SEARCH(Assumptions!$C$5,E2085)),Assumptions!$D$5,IF(ISNUMBER(SEARCH(Assumptions!$C$6,E2085)),Assumptions!$D$6,IF(ISNUMBER(SEARCH(Assumptions!$C$7,E2085)),Assumptions!$D$7,"Other Services"))),"Other Services"))</f>
        <v/>
      </c>
    </row>
    <row r="2086" customFormat="false" ht="15" hidden="false" customHeight="false" outlineLevel="0" collapsed="false">
      <c r="G2086" s="41" t="str">
        <f aca="false">IF(E2086="","",IFERROR(IF(ISNUMBER(SEARCH(Assumptions!$C$5,E2086)),Assumptions!$D$5,IF(ISNUMBER(SEARCH(Assumptions!$C$6,E2086)),Assumptions!$D$6,IF(ISNUMBER(SEARCH(Assumptions!$C$7,E2086)),Assumptions!$D$7,"Other Services"))),"Other Services"))</f>
        <v/>
      </c>
    </row>
    <row r="2087" customFormat="false" ht="15" hidden="false" customHeight="false" outlineLevel="0" collapsed="false">
      <c r="G2087" s="41" t="str">
        <f aca="false">IF(E2087="","",IFERROR(IF(ISNUMBER(SEARCH(Assumptions!$C$5,E2087)),Assumptions!$D$5,IF(ISNUMBER(SEARCH(Assumptions!$C$6,E2087)),Assumptions!$D$6,IF(ISNUMBER(SEARCH(Assumptions!$C$7,E2087)),Assumptions!$D$7,"Other Services"))),"Other Services"))</f>
        <v/>
      </c>
    </row>
    <row r="2088" customFormat="false" ht="15" hidden="false" customHeight="false" outlineLevel="0" collapsed="false">
      <c r="G2088" s="41" t="str">
        <f aca="false">IF(E2088="","",IFERROR(IF(ISNUMBER(SEARCH(Assumptions!$C$5,E2088)),Assumptions!$D$5,IF(ISNUMBER(SEARCH(Assumptions!$C$6,E2088)),Assumptions!$D$6,IF(ISNUMBER(SEARCH(Assumptions!$C$7,E2088)),Assumptions!$D$7,"Other Services"))),"Other Services"))</f>
        <v/>
      </c>
    </row>
    <row r="2089" customFormat="false" ht="15" hidden="false" customHeight="false" outlineLevel="0" collapsed="false">
      <c r="G2089" s="41" t="str">
        <f aca="false">IF(E2089="","",IFERROR(IF(ISNUMBER(SEARCH(Assumptions!$C$5,E2089)),Assumptions!$D$5,IF(ISNUMBER(SEARCH(Assumptions!$C$6,E2089)),Assumptions!$D$6,IF(ISNUMBER(SEARCH(Assumptions!$C$7,E2089)),Assumptions!$D$7,"Other Services"))),"Other Services"))</f>
        <v/>
      </c>
    </row>
    <row r="2090" customFormat="false" ht="15" hidden="false" customHeight="false" outlineLevel="0" collapsed="false">
      <c r="G2090" s="41" t="str">
        <f aca="false">IF(E2090="","",IFERROR(IF(ISNUMBER(SEARCH(Assumptions!$C$5,E2090)),Assumptions!$D$5,IF(ISNUMBER(SEARCH(Assumptions!$C$6,E2090)),Assumptions!$D$6,IF(ISNUMBER(SEARCH(Assumptions!$C$7,E2090)),Assumptions!$D$7,"Other Services"))),"Other Services"))</f>
        <v/>
      </c>
    </row>
    <row r="2091" customFormat="false" ht="15" hidden="false" customHeight="false" outlineLevel="0" collapsed="false">
      <c r="G2091" s="41" t="str">
        <f aca="false">IF(E2091="","",IFERROR(IF(ISNUMBER(SEARCH(Assumptions!$C$5,E2091)),Assumptions!$D$5,IF(ISNUMBER(SEARCH(Assumptions!$C$6,E2091)),Assumptions!$D$6,IF(ISNUMBER(SEARCH(Assumptions!$C$7,E2091)),Assumptions!$D$7,"Other Services"))),"Other Services"))</f>
        <v/>
      </c>
    </row>
    <row r="2092" customFormat="false" ht="15" hidden="false" customHeight="false" outlineLevel="0" collapsed="false">
      <c r="G2092" s="41" t="str">
        <f aca="false">IF(E2092="","",IFERROR(IF(ISNUMBER(SEARCH(Assumptions!$C$5,E2092)),Assumptions!$D$5,IF(ISNUMBER(SEARCH(Assumptions!$C$6,E2092)),Assumptions!$D$6,IF(ISNUMBER(SEARCH(Assumptions!$C$7,E2092)),Assumptions!$D$7,"Other Services"))),"Other Services"))</f>
        <v/>
      </c>
    </row>
    <row r="2093" customFormat="false" ht="15" hidden="false" customHeight="false" outlineLevel="0" collapsed="false">
      <c r="G2093" s="41" t="str">
        <f aca="false">IF(E2093="","",IFERROR(IF(ISNUMBER(SEARCH(Assumptions!$C$5,E2093)),Assumptions!$D$5,IF(ISNUMBER(SEARCH(Assumptions!$C$6,E2093)),Assumptions!$D$6,IF(ISNUMBER(SEARCH(Assumptions!$C$7,E2093)),Assumptions!$D$7,"Other Services"))),"Other Services"))</f>
        <v/>
      </c>
    </row>
    <row r="2094" customFormat="false" ht="15" hidden="false" customHeight="false" outlineLevel="0" collapsed="false">
      <c r="G2094" s="41" t="str">
        <f aca="false">IF(E2094="","",IFERROR(IF(ISNUMBER(SEARCH(Assumptions!$C$5,E2094)),Assumptions!$D$5,IF(ISNUMBER(SEARCH(Assumptions!$C$6,E2094)),Assumptions!$D$6,IF(ISNUMBER(SEARCH(Assumptions!$C$7,E2094)),Assumptions!$D$7,"Other Services"))),"Other Services"))</f>
        <v/>
      </c>
    </row>
    <row r="2095" customFormat="false" ht="15" hidden="false" customHeight="false" outlineLevel="0" collapsed="false">
      <c r="G2095" s="41" t="str">
        <f aca="false">IF(E2095="","",IFERROR(IF(ISNUMBER(SEARCH(Assumptions!$C$5,E2095)),Assumptions!$D$5,IF(ISNUMBER(SEARCH(Assumptions!$C$6,E2095)),Assumptions!$D$6,IF(ISNUMBER(SEARCH(Assumptions!$C$7,E2095)),Assumptions!$D$7,"Other Services"))),"Other Services"))</f>
        <v/>
      </c>
    </row>
    <row r="2096" customFormat="false" ht="15" hidden="false" customHeight="false" outlineLevel="0" collapsed="false">
      <c r="G2096" s="41" t="str">
        <f aca="false">IF(E2096="","",IFERROR(IF(ISNUMBER(SEARCH(Assumptions!$C$5,E2096)),Assumptions!$D$5,IF(ISNUMBER(SEARCH(Assumptions!$C$6,E2096)),Assumptions!$D$6,IF(ISNUMBER(SEARCH(Assumptions!$C$7,E2096)),Assumptions!$D$7,"Other Services"))),"Other Services"))</f>
        <v/>
      </c>
    </row>
    <row r="2097" customFormat="false" ht="15" hidden="false" customHeight="false" outlineLevel="0" collapsed="false">
      <c r="G2097" s="41" t="str">
        <f aca="false">IF(E2097="","",IFERROR(IF(ISNUMBER(SEARCH(Assumptions!$C$5,E2097)),Assumptions!$D$5,IF(ISNUMBER(SEARCH(Assumptions!$C$6,E2097)),Assumptions!$D$6,IF(ISNUMBER(SEARCH(Assumptions!$C$7,E2097)),Assumptions!$D$7,"Other Services"))),"Other Services"))</f>
        <v/>
      </c>
    </row>
    <row r="2098" customFormat="false" ht="15" hidden="false" customHeight="false" outlineLevel="0" collapsed="false">
      <c r="G2098" s="41" t="str">
        <f aca="false">IF(E2098="","",IFERROR(IF(ISNUMBER(SEARCH(Assumptions!$C$5,E2098)),Assumptions!$D$5,IF(ISNUMBER(SEARCH(Assumptions!$C$6,E2098)),Assumptions!$D$6,IF(ISNUMBER(SEARCH(Assumptions!$C$7,E2098)),Assumptions!$D$7,"Other Services"))),"Other Services"))</f>
        <v/>
      </c>
    </row>
    <row r="2099" customFormat="false" ht="15" hidden="false" customHeight="false" outlineLevel="0" collapsed="false">
      <c r="G2099" s="41" t="str">
        <f aca="false">IF(E2099="","",IFERROR(IF(ISNUMBER(SEARCH(Assumptions!$C$5,E2099)),Assumptions!$D$5,IF(ISNUMBER(SEARCH(Assumptions!$C$6,E2099)),Assumptions!$D$6,IF(ISNUMBER(SEARCH(Assumptions!$C$7,E2099)),Assumptions!$D$7,"Other Services"))),"Other Services"))</f>
        <v/>
      </c>
    </row>
    <row r="2100" customFormat="false" ht="15" hidden="false" customHeight="false" outlineLevel="0" collapsed="false">
      <c r="G2100" s="41" t="str">
        <f aca="false">IF(E2100="","",IFERROR(IF(ISNUMBER(SEARCH(Assumptions!$C$5,E2100)),Assumptions!$D$5,IF(ISNUMBER(SEARCH(Assumptions!$C$6,E2100)),Assumptions!$D$6,IF(ISNUMBER(SEARCH(Assumptions!$C$7,E2100)),Assumptions!$D$7,"Other Services"))),"Other Services"))</f>
        <v/>
      </c>
    </row>
    <row r="2101" customFormat="false" ht="15" hidden="false" customHeight="false" outlineLevel="0" collapsed="false">
      <c r="G2101" s="41" t="str">
        <f aca="false">IF(E2101="","",IFERROR(IF(ISNUMBER(SEARCH(Assumptions!$C$5,E2101)),Assumptions!$D$5,IF(ISNUMBER(SEARCH(Assumptions!$C$6,E2101)),Assumptions!$D$6,IF(ISNUMBER(SEARCH(Assumptions!$C$7,E2101)),Assumptions!$D$7,"Other Services"))),"Other Services"))</f>
        <v/>
      </c>
    </row>
    <row r="2102" customFormat="false" ht="15" hidden="false" customHeight="false" outlineLevel="0" collapsed="false">
      <c r="G2102" s="41" t="str">
        <f aca="false">IF(E2102="","",IFERROR(IF(ISNUMBER(SEARCH(Assumptions!$C$5,E2102)),Assumptions!$D$5,IF(ISNUMBER(SEARCH(Assumptions!$C$6,E2102)),Assumptions!$D$6,IF(ISNUMBER(SEARCH(Assumptions!$C$7,E2102)),Assumptions!$D$7,"Other Services"))),"Other Services"))</f>
        <v/>
      </c>
    </row>
    <row r="2103" customFormat="false" ht="15" hidden="false" customHeight="false" outlineLevel="0" collapsed="false">
      <c r="G2103" s="41" t="str">
        <f aca="false">IF(E2103="","",IFERROR(IF(ISNUMBER(SEARCH(Assumptions!$C$5,E2103)),Assumptions!$D$5,IF(ISNUMBER(SEARCH(Assumptions!$C$6,E2103)),Assumptions!$D$6,IF(ISNUMBER(SEARCH(Assumptions!$C$7,E2103)),Assumptions!$D$7,"Other Services"))),"Other Services"))</f>
        <v/>
      </c>
    </row>
    <row r="2104" customFormat="false" ht="15" hidden="false" customHeight="false" outlineLevel="0" collapsed="false">
      <c r="G2104" s="41" t="str">
        <f aca="false">IF(E2104="","",IFERROR(IF(ISNUMBER(SEARCH(Assumptions!$C$5,E2104)),Assumptions!$D$5,IF(ISNUMBER(SEARCH(Assumptions!$C$6,E2104)),Assumptions!$D$6,IF(ISNUMBER(SEARCH(Assumptions!$C$7,E2104)),Assumptions!$D$7,"Other Services"))),"Other Services"))</f>
        <v/>
      </c>
    </row>
    <row r="2105" customFormat="false" ht="15" hidden="false" customHeight="false" outlineLevel="0" collapsed="false">
      <c r="G2105" s="41" t="str">
        <f aca="false">IF(E2105="","",IFERROR(IF(ISNUMBER(SEARCH(Assumptions!$C$5,E2105)),Assumptions!$D$5,IF(ISNUMBER(SEARCH(Assumptions!$C$6,E2105)),Assumptions!$D$6,IF(ISNUMBER(SEARCH(Assumptions!$C$7,E2105)),Assumptions!$D$7,"Other Services"))),"Other Services"))</f>
        <v/>
      </c>
    </row>
    <row r="2106" customFormat="false" ht="15" hidden="false" customHeight="false" outlineLevel="0" collapsed="false">
      <c r="G2106" s="41" t="str">
        <f aca="false">IF(E2106="","",IFERROR(IF(ISNUMBER(SEARCH(Assumptions!$C$5,E2106)),Assumptions!$D$5,IF(ISNUMBER(SEARCH(Assumptions!$C$6,E2106)),Assumptions!$D$6,IF(ISNUMBER(SEARCH(Assumptions!$C$7,E2106)),Assumptions!$D$7,"Other Services"))),"Other Services"))</f>
        <v/>
      </c>
    </row>
    <row r="2107" customFormat="false" ht="15" hidden="false" customHeight="false" outlineLevel="0" collapsed="false">
      <c r="G2107" s="41" t="str">
        <f aca="false">IF(E2107="","",IFERROR(IF(ISNUMBER(SEARCH(Assumptions!$C$5,E2107)),Assumptions!$D$5,IF(ISNUMBER(SEARCH(Assumptions!$C$6,E2107)),Assumptions!$D$6,IF(ISNUMBER(SEARCH(Assumptions!$C$7,E2107)),Assumptions!$D$7,"Other Services"))),"Other Services"))</f>
        <v/>
      </c>
    </row>
    <row r="2108" customFormat="false" ht="15" hidden="false" customHeight="false" outlineLevel="0" collapsed="false">
      <c r="G2108" s="41" t="str">
        <f aca="false">IF(E2108="","",IFERROR(IF(ISNUMBER(SEARCH(Assumptions!$C$5,E2108)),Assumptions!$D$5,IF(ISNUMBER(SEARCH(Assumptions!$C$6,E2108)),Assumptions!$D$6,IF(ISNUMBER(SEARCH(Assumptions!$C$7,E2108)),Assumptions!$D$7,"Other Services"))),"Other Services"))</f>
        <v/>
      </c>
    </row>
    <row r="2109" customFormat="false" ht="15" hidden="false" customHeight="false" outlineLevel="0" collapsed="false">
      <c r="G2109" s="41" t="str">
        <f aca="false">IF(E2109="","",IFERROR(IF(ISNUMBER(SEARCH(Assumptions!$C$5,E2109)),Assumptions!$D$5,IF(ISNUMBER(SEARCH(Assumptions!$C$6,E2109)),Assumptions!$D$6,IF(ISNUMBER(SEARCH(Assumptions!$C$7,E2109)),Assumptions!$D$7,"Other Services"))),"Other Services"))</f>
        <v/>
      </c>
    </row>
    <row r="2110" customFormat="false" ht="15" hidden="false" customHeight="false" outlineLevel="0" collapsed="false">
      <c r="G2110" s="41" t="str">
        <f aca="false">IF(E2110="","",IFERROR(IF(ISNUMBER(SEARCH(Assumptions!$C$5,E2110)),Assumptions!$D$5,IF(ISNUMBER(SEARCH(Assumptions!$C$6,E2110)),Assumptions!$D$6,IF(ISNUMBER(SEARCH(Assumptions!$C$7,E2110)),Assumptions!$D$7,"Other Services"))),"Other Services"))</f>
        <v/>
      </c>
    </row>
    <row r="2111" customFormat="false" ht="15" hidden="false" customHeight="false" outlineLevel="0" collapsed="false">
      <c r="G2111" s="41" t="str">
        <f aca="false">IF(E2111="","",IFERROR(IF(ISNUMBER(SEARCH(Assumptions!$C$5,E2111)),Assumptions!$D$5,IF(ISNUMBER(SEARCH(Assumptions!$C$6,E2111)),Assumptions!$D$6,IF(ISNUMBER(SEARCH(Assumptions!$C$7,E2111)),Assumptions!$D$7,"Other Services"))),"Other Services"))</f>
        <v/>
      </c>
    </row>
    <row r="2112" customFormat="false" ht="15" hidden="false" customHeight="false" outlineLevel="0" collapsed="false">
      <c r="G2112" s="41" t="str">
        <f aca="false">IF(E2112="","",IFERROR(IF(ISNUMBER(SEARCH(Assumptions!$C$5,E2112)),Assumptions!$D$5,IF(ISNUMBER(SEARCH(Assumptions!$C$6,E2112)),Assumptions!$D$6,IF(ISNUMBER(SEARCH(Assumptions!$C$7,E2112)),Assumptions!$D$7,"Other Services"))),"Other Services"))</f>
        <v/>
      </c>
    </row>
    <row r="2113" customFormat="false" ht="15" hidden="false" customHeight="false" outlineLevel="0" collapsed="false">
      <c r="G2113" s="41" t="str">
        <f aca="false">IF(E2113="","",IFERROR(IF(ISNUMBER(SEARCH(Assumptions!$C$5,E2113)),Assumptions!$D$5,IF(ISNUMBER(SEARCH(Assumptions!$C$6,E2113)),Assumptions!$D$6,IF(ISNUMBER(SEARCH(Assumptions!$C$7,E2113)),Assumptions!$D$7,"Other Services"))),"Other Services"))</f>
        <v/>
      </c>
    </row>
    <row r="2114" customFormat="false" ht="15" hidden="false" customHeight="false" outlineLevel="0" collapsed="false">
      <c r="G2114" s="41" t="str">
        <f aca="false">IF(E2114="","",IFERROR(IF(ISNUMBER(SEARCH(Assumptions!$C$5,E2114)),Assumptions!$D$5,IF(ISNUMBER(SEARCH(Assumptions!$C$6,E2114)),Assumptions!$D$6,IF(ISNUMBER(SEARCH(Assumptions!$C$7,E2114)),Assumptions!$D$7,"Other Services"))),"Other Services"))</f>
        <v/>
      </c>
    </row>
    <row r="2115" customFormat="false" ht="15" hidden="false" customHeight="false" outlineLevel="0" collapsed="false">
      <c r="G2115" s="41" t="str">
        <f aca="false">IF(E2115="","",IFERROR(IF(ISNUMBER(SEARCH(Assumptions!$C$5,E2115)),Assumptions!$D$5,IF(ISNUMBER(SEARCH(Assumptions!$C$6,E2115)),Assumptions!$D$6,IF(ISNUMBER(SEARCH(Assumptions!$C$7,E2115)),Assumptions!$D$7,"Other Services"))),"Other Services"))</f>
        <v/>
      </c>
    </row>
    <row r="2116" customFormat="false" ht="15" hidden="false" customHeight="false" outlineLevel="0" collapsed="false">
      <c r="G2116" s="41" t="str">
        <f aca="false">IF(E2116="","",IFERROR(IF(ISNUMBER(SEARCH(Assumptions!$C$5,E2116)),Assumptions!$D$5,IF(ISNUMBER(SEARCH(Assumptions!$C$6,E2116)),Assumptions!$D$6,IF(ISNUMBER(SEARCH(Assumptions!$C$7,E2116)),Assumptions!$D$7,"Other Services"))),"Other Services"))</f>
        <v/>
      </c>
    </row>
    <row r="2117" customFormat="false" ht="15" hidden="false" customHeight="false" outlineLevel="0" collapsed="false">
      <c r="G2117" s="41" t="str">
        <f aca="false">IF(E2117="","",IFERROR(IF(ISNUMBER(SEARCH(Assumptions!$C$5,E2117)),Assumptions!$D$5,IF(ISNUMBER(SEARCH(Assumptions!$C$6,E2117)),Assumptions!$D$6,IF(ISNUMBER(SEARCH(Assumptions!$C$7,E2117)),Assumptions!$D$7,"Other Services"))),"Other Services"))</f>
        <v/>
      </c>
    </row>
    <row r="2118" customFormat="false" ht="15" hidden="false" customHeight="false" outlineLevel="0" collapsed="false">
      <c r="G2118" s="41" t="str">
        <f aca="false">IF(E2118="","",IFERROR(IF(ISNUMBER(SEARCH(Assumptions!$C$5,E2118)),Assumptions!$D$5,IF(ISNUMBER(SEARCH(Assumptions!$C$6,E2118)),Assumptions!$D$6,IF(ISNUMBER(SEARCH(Assumptions!$C$7,E2118)),Assumptions!$D$7,"Other Services"))),"Other Services"))</f>
        <v/>
      </c>
    </row>
    <row r="2119" customFormat="false" ht="15" hidden="false" customHeight="false" outlineLevel="0" collapsed="false">
      <c r="G2119" s="41" t="str">
        <f aca="false">IF(E2119="","",IFERROR(IF(ISNUMBER(SEARCH(Assumptions!$C$5,E2119)),Assumptions!$D$5,IF(ISNUMBER(SEARCH(Assumptions!$C$6,E2119)),Assumptions!$D$6,IF(ISNUMBER(SEARCH(Assumptions!$C$7,E2119)),Assumptions!$D$7,"Other Services"))),"Other Services"))</f>
        <v/>
      </c>
    </row>
    <row r="2120" customFormat="false" ht="15" hidden="false" customHeight="false" outlineLevel="0" collapsed="false">
      <c r="G2120" s="41" t="str">
        <f aca="false">IF(E2120="","",IFERROR(IF(ISNUMBER(SEARCH(Assumptions!$C$5,E2120)),Assumptions!$D$5,IF(ISNUMBER(SEARCH(Assumptions!$C$6,E2120)),Assumptions!$D$6,IF(ISNUMBER(SEARCH(Assumptions!$C$7,E2120)),Assumptions!$D$7,"Other Services"))),"Other Services"))</f>
        <v/>
      </c>
    </row>
    <row r="2121" customFormat="false" ht="15" hidden="false" customHeight="false" outlineLevel="0" collapsed="false">
      <c r="G2121" s="41" t="str">
        <f aca="false">IF(E2121="","",IFERROR(IF(ISNUMBER(SEARCH(Assumptions!$C$5,E2121)),Assumptions!$D$5,IF(ISNUMBER(SEARCH(Assumptions!$C$6,E2121)),Assumptions!$D$6,IF(ISNUMBER(SEARCH(Assumptions!$C$7,E2121)),Assumptions!$D$7,"Other Services"))),"Other Services"))</f>
        <v/>
      </c>
    </row>
    <row r="2122" customFormat="false" ht="15" hidden="false" customHeight="false" outlineLevel="0" collapsed="false">
      <c r="G2122" s="41" t="str">
        <f aca="false">IF(E2122="","",IFERROR(IF(ISNUMBER(SEARCH(Assumptions!$C$5,E2122)),Assumptions!$D$5,IF(ISNUMBER(SEARCH(Assumptions!$C$6,E2122)),Assumptions!$D$6,IF(ISNUMBER(SEARCH(Assumptions!$C$7,E2122)),Assumptions!$D$7,"Other Services"))),"Other Services"))</f>
        <v/>
      </c>
    </row>
    <row r="2123" customFormat="false" ht="15" hidden="false" customHeight="false" outlineLevel="0" collapsed="false">
      <c r="G2123" s="41" t="str">
        <f aca="false">IF(E2123="","",IFERROR(IF(ISNUMBER(SEARCH(Assumptions!$C$5,E2123)),Assumptions!$D$5,IF(ISNUMBER(SEARCH(Assumptions!$C$6,E2123)),Assumptions!$D$6,IF(ISNUMBER(SEARCH(Assumptions!$C$7,E2123)),Assumptions!$D$7,"Other Services"))),"Other Services"))</f>
        <v/>
      </c>
    </row>
    <row r="2124" customFormat="false" ht="15" hidden="false" customHeight="false" outlineLevel="0" collapsed="false">
      <c r="G2124" s="41" t="str">
        <f aca="false">IF(E2124="","",IFERROR(IF(ISNUMBER(SEARCH(Assumptions!$C$5,E2124)),Assumptions!$D$5,IF(ISNUMBER(SEARCH(Assumptions!$C$6,E2124)),Assumptions!$D$6,IF(ISNUMBER(SEARCH(Assumptions!$C$7,E2124)),Assumptions!$D$7,"Other Services"))),"Other Services"))</f>
        <v/>
      </c>
    </row>
    <row r="2125" customFormat="false" ht="15" hidden="false" customHeight="false" outlineLevel="0" collapsed="false">
      <c r="G2125" s="41" t="str">
        <f aca="false">IF(E2125="","",IFERROR(IF(ISNUMBER(SEARCH(Assumptions!$C$5,E2125)),Assumptions!$D$5,IF(ISNUMBER(SEARCH(Assumptions!$C$6,E2125)),Assumptions!$D$6,IF(ISNUMBER(SEARCH(Assumptions!$C$7,E2125)),Assumptions!$D$7,"Other Services"))),"Other Services"))</f>
        <v/>
      </c>
    </row>
    <row r="2126" customFormat="false" ht="15" hidden="false" customHeight="false" outlineLevel="0" collapsed="false">
      <c r="G2126" s="41" t="str">
        <f aca="false">IF(E2126="","",IFERROR(IF(ISNUMBER(SEARCH(Assumptions!$C$5,E2126)),Assumptions!$D$5,IF(ISNUMBER(SEARCH(Assumptions!$C$6,E2126)),Assumptions!$D$6,IF(ISNUMBER(SEARCH(Assumptions!$C$7,E2126)),Assumptions!$D$7,"Other Services"))),"Other Services"))</f>
        <v/>
      </c>
    </row>
    <row r="2127" customFormat="false" ht="15" hidden="false" customHeight="false" outlineLevel="0" collapsed="false">
      <c r="G2127" s="41" t="str">
        <f aca="false">IF(E2127="","",IFERROR(IF(ISNUMBER(SEARCH(Assumptions!$C$5,E2127)),Assumptions!$D$5,IF(ISNUMBER(SEARCH(Assumptions!$C$6,E2127)),Assumptions!$D$6,IF(ISNUMBER(SEARCH(Assumptions!$C$7,E2127)),Assumptions!$D$7,"Other Services"))),"Other Services"))</f>
        <v/>
      </c>
    </row>
    <row r="2128" customFormat="false" ht="15" hidden="false" customHeight="false" outlineLevel="0" collapsed="false">
      <c r="G2128" s="41" t="str">
        <f aca="false">IF(E2128="","",IFERROR(IF(ISNUMBER(SEARCH(Assumptions!$C$5,E2128)),Assumptions!$D$5,IF(ISNUMBER(SEARCH(Assumptions!$C$6,E2128)),Assumptions!$D$6,IF(ISNUMBER(SEARCH(Assumptions!$C$7,E2128)),Assumptions!$D$7,"Other Services"))),"Other Services"))</f>
        <v/>
      </c>
    </row>
    <row r="2129" customFormat="false" ht="15" hidden="false" customHeight="false" outlineLevel="0" collapsed="false">
      <c r="G2129" s="41" t="str">
        <f aca="false">IF(E2129="","",IFERROR(IF(ISNUMBER(SEARCH(Assumptions!$C$5,E2129)),Assumptions!$D$5,IF(ISNUMBER(SEARCH(Assumptions!$C$6,E2129)),Assumptions!$D$6,IF(ISNUMBER(SEARCH(Assumptions!$C$7,E2129)),Assumptions!$D$7,"Other Services"))),"Other Services"))</f>
        <v/>
      </c>
    </row>
    <row r="2130" customFormat="false" ht="15" hidden="false" customHeight="false" outlineLevel="0" collapsed="false">
      <c r="G2130" s="41" t="str">
        <f aca="false">IF(E2130="","",IFERROR(IF(ISNUMBER(SEARCH(Assumptions!$C$5,E2130)),Assumptions!$D$5,IF(ISNUMBER(SEARCH(Assumptions!$C$6,E2130)),Assumptions!$D$6,IF(ISNUMBER(SEARCH(Assumptions!$C$7,E2130)),Assumptions!$D$7,"Other Services"))),"Other Services"))</f>
        <v/>
      </c>
    </row>
    <row r="2131" customFormat="false" ht="15" hidden="false" customHeight="false" outlineLevel="0" collapsed="false">
      <c r="G2131" s="41" t="str">
        <f aca="false">IF(E2131="","",IFERROR(IF(ISNUMBER(SEARCH(Assumptions!$C$5,E2131)),Assumptions!$D$5,IF(ISNUMBER(SEARCH(Assumptions!$C$6,E2131)),Assumptions!$D$6,IF(ISNUMBER(SEARCH(Assumptions!$C$7,E2131)),Assumptions!$D$7,"Other Services"))),"Other Services"))</f>
        <v/>
      </c>
    </row>
    <row r="2132" customFormat="false" ht="15" hidden="false" customHeight="false" outlineLevel="0" collapsed="false">
      <c r="G2132" s="41" t="str">
        <f aca="false">IF(E2132="","",IFERROR(IF(ISNUMBER(SEARCH(Assumptions!$C$5,E2132)),Assumptions!$D$5,IF(ISNUMBER(SEARCH(Assumptions!$C$6,E2132)),Assumptions!$D$6,IF(ISNUMBER(SEARCH(Assumptions!$C$7,E2132)),Assumptions!$D$7,"Other Services"))),"Other Services"))</f>
        <v/>
      </c>
    </row>
    <row r="2133" customFormat="false" ht="15" hidden="false" customHeight="false" outlineLevel="0" collapsed="false">
      <c r="G2133" s="41" t="str">
        <f aca="false">IF(E2133="","",IFERROR(IF(ISNUMBER(SEARCH(Assumptions!$C$5,E2133)),Assumptions!$D$5,IF(ISNUMBER(SEARCH(Assumptions!$C$6,E2133)),Assumptions!$D$6,IF(ISNUMBER(SEARCH(Assumptions!$C$7,E2133)),Assumptions!$D$7,"Other Services"))),"Other Services"))</f>
        <v/>
      </c>
    </row>
    <row r="2134" customFormat="false" ht="15" hidden="false" customHeight="false" outlineLevel="0" collapsed="false">
      <c r="G2134" s="41" t="str">
        <f aca="false">IF(E2134="","",IFERROR(IF(ISNUMBER(SEARCH(Assumptions!$C$5,E2134)),Assumptions!$D$5,IF(ISNUMBER(SEARCH(Assumptions!$C$6,E2134)),Assumptions!$D$6,IF(ISNUMBER(SEARCH(Assumptions!$C$7,E2134)),Assumptions!$D$7,"Other Services"))),"Other Services"))</f>
        <v/>
      </c>
    </row>
    <row r="2135" customFormat="false" ht="15" hidden="false" customHeight="false" outlineLevel="0" collapsed="false">
      <c r="G2135" s="41" t="str">
        <f aca="false">IF(E2135="","",IFERROR(IF(ISNUMBER(SEARCH(Assumptions!$C$5,E2135)),Assumptions!$D$5,IF(ISNUMBER(SEARCH(Assumptions!$C$6,E2135)),Assumptions!$D$6,IF(ISNUMBER(SEARCH(Assumptions!$C$7,E2135)),Assumptions!$D$7,"Other Services"))),"Other Services"))</f>
        <v/>
      </c>
    </row>
    <row r="2136" customFormat="false" ht="15" hidden="false" customHeight="false" outlineLevel="0" collapsed="false">
      <c r="G2136" s="41" t="str">
        <f aca="false">IF(E2136="","",IFERROR(IF(ISNUMBER(SEARCH(Assumptions!$C$5,E2136)),Assumptions!$D$5,IF(ISNUMBER(SEARCH(Assumptions!$C$6,E2136)),Assumptions!$D$6,IF(ISNUMBER(SEARCH(Assumptions!$C$7,E2136)),Assumptions!$D$7,"Other Services"))),"Other Services"))</f>
        <v/>
      </c>
    </row>
    <row r="2137" customFormat="false" ht="15" hidden="false" customHeight="false" outlineLevel="0" collapsed="false">
      <c r="G2137" s="41" t="str">
        <f aca="false">IF(E2137="","",IFERROR(IF(ISNUMBER(SEARCH(Assumptions!$C$5,E2137)),Assumptions!$D$5,IF(ISNUMBER(SEARCH(Assumptions!$C$6,E2137)),Assumptions!$D$6,IF(ISNUMBER(SEARCH(Assumptions!$C$7,E2137)),Assumptions!$D$7,"Other Services"))),"Other Services"))</f>
        <v/>
      </c>
    </row>
    <row r="2138" customFormat="false" ht="15" hidden="false" customHeight="false" outlineLevel="0" collapsed="false">
      <c r="G2138" s="41" t="str">
        <f aca="false">IF(E2138="","",IFERROR(IF(ISNUMBER(SEARCH(Assumptions!$C$5,E2138)),Assumptions!$D$5,IF(ISNUMBER(SEARCH(Assumptions!$C$6,E2138)),Assumptions!$D$6,IF(ISNUMBER(SEARCH(Assumptions!$C$7,E2138)),Assumptions!$D$7,"Other Services"))),"Other Services"))</f>
        <v/>
      </c>
    </row>
    <row r="2139" customFormat="false" ht="15" hidden="false" customHeight="false" outlineLevel="0" collapsed="false">
      <c r="G2139" s="41" t="str">
        <f aca="false">IF(E2139="","",IFERROR(IF(ISNUMBER(SEARCH(Assumptions!$C$5,E2139)),Assumptions!$D$5,IF(ISNUMBER(SEARCH(Assumptions!$C$6,E2139)),Assumptions!$D$6,IF(ISNUMBER(SEARCH(Assumptions!$C$7,E2139)),Assumptions!$D$7,"Other Services"))),"Other Services"))</f>
        <v/>
      </c>
    </row>
    <row r="2140" customFormat="false" ht="15" hidden="false" customHeight="false" outlineLevel="0" collapsed="false">
      <c r="G2140" s="41" t="str">
        <f aca="false">IF(E2140="","",IFERROR(IF(ISNUMBER(SEARCH(Assumptions!$C$5,E2140)),Assumptions!$D$5,IF(ISNUMBER(SEARCH(Assumptions!$C$6,E2140)),Assumptions!$D$6,IF(ISNUMBER(SEARCH(Assumptions!$C$7,E2140)),Assumptions!$D$7,"Other Services"))),"Other Services"))</f>
        <v/>
      </c>
    </row>
    <row r="2141" customFormat="false" ht="15" hidden="false" customHeight="false" outlineLevel="0" collapsed="false">
      <c r="G2141" s="41" t="str">
        <f aca="false">IF(E2141="","",IFERROR(IF(ISNUMBER(SEARCH(Assumptions!$C$5,E2141)),Assumptions!$D$5,IF(ISNUMBER(SEARCH(Assumptions!$C$6,E2141)),Assumptions!$D$6,IF(ISNUMBER(SEARCH(Assumptions!$C$7,E2141)),Assumptions!$D$7,"Other Services"))),"Other Services"))</f>
        <v/>
      </c>
    </row>
    <row r="2142" customFormat="false" ht="15" hidden="false" customHeight="false" outlineLevel="0" collapsed="false">
      <c r="G2142" s="41" t="str">
        <f aca="false">IF(E2142="","",IFERROR(IF(ISNUMBER(SEARCH(Assumptions!$C$5,E2142)),Assumptions!$D$5,IF(ISNUMBER(SEARCH(Assumptions!$C$6,E2142)),Assumptions!$D$6,IF(ISNUMBER(SEARCH(Assumptions!$C$7,E2142)),Assumptions!$D$7,"Other Services"))),"Other Services"))</f>
        <v/>
      </c>
    </row>
    <row r="2143" customFormat="false" ht="15" hidden="false" customHeight="false" outlineLevel="0" collapsed="false">
      <c r="G2143" s="41" t="str">
        <f aca="false">IF(E2143="","",IFERROR(IF(ISNUMBER(SEARCH(Assumptions!$C$5,E2143)),Assumptions!$D$5,IF(ISNUMBER(SEARCH(Assumptions!$C$6,E2143)),Assumptions!$D$6,IF(ISNUMBER(SEARCH(Assumptions!$C$7,E2143)),Assumptions!$D$7,"Other Services"))),"Other Services"))</f>
        <v/>
      </c>
    </row>
    <row r="2144" customFormat="false" ht="15" hidden="false" customHeight="false" outlineLevel="0" collapsed="false">
      <c r="G2144" s="41" t="str">
        <f aca="false">IF(E2144="","",IFERROR(IF(ISNUMBER(SEARCH(Assumptions!$C$5,E2144)),Assumptions!$D$5,IF(ISNUMBER(SEARCH(Assumptions!$C$6,E2144)),Assumptions!$D$6,IF(ISNUMBER(SEARCH(Assumptions!$C$7,E2144)),Assumptions!$D$7,"Other Services"))),"Other Services"))</f>
        <v/>
      </c>
    </row>
    <row r="2145" customFormat="false" ht="15" hidden="false" customHeight="false" outlineLevel="0" collapsed="false">
      <c r="G2145" s="41" t="str">
        <f aca="false">IF(E2145="","",IFERROR(IF(ISNUMBER(SEARCH(Assumptions!$C$5,E2145)),Assumptions!$D$5,IF(ISNUMBER(SEARCH(Assumptions!$C$6,E2145)),Assumptions!$D$6,IF(ISNUMBER(SEARCH(Assumptions!$C$7,E2145)),Assumptions!$D$7,"Other Services"))),"Other Services"))</f>
        <v/>
      </c>
    </row>
    <row r="2146" customFormat="false" ht="15" hidden="false" customHeight="false" outlineLevel="0" collapsed="false">
      <c r="G2146" s="41" t="str">
        <f aca="false">IF(E2146="","",IFERROR(IF(ISNUMBER(SEARCH(Assumptions!$C$5,E2146)),Assumptions!$D$5,IF(ISNUMBER(SEARCH(Assumptions!$C$6,E2146)),Assumptions!$D$6,IF(ISNUMBER(SEARCH(Assumptions!$C$7,E2146)),Assumptions!$D$7,"Other Services"))),"Other Services"))</f>
        <v/>
      </c>
    </row>
    <row r="2147" customFormat="false" ht="15" hidden="false" customHeight="false" outlineLevel="0" collapsed="false">
      <c r="G2147" s="41" t="str">
        <f aca="false">IF(E2147="","",IFERROR(IF(ISNUMBER(SEARCH(Assumptions!$C$5,E2147)),Assumptions!$D$5,IF(ISNUMBER(SEARCH(Assumptions!$C$6,E2147)),Assumptions!$D$6,IF(ISNUMBER(SEARCH(Assumptions!$C$7,E2147)),Assumptions!$D$7,"Other Services"))),"Other Services"))</f>
        <v/>
      </c>
    </row>
    <row r="2148" customFormat="false" ht="15" hidden="false" customHeight="false" outlineLevel="0" collapsed="false">
      <c r="G2148" s="41" t="str">
        <f aca="false">IF(E2148="","",IFERROR(IF(ISNUMBER(SEARCH(Assumptions!$C$5,E2148)),Assumptions!$D$5,IF(ISNUMBER(SEARCH(Assumptions!$C$6,E2148)),Assumptions!$D$6,IF(ISNUMBER(SEARCH(Assumptions!$C$7,E2148)),Assumptions!$D$7,"Other Services"))),"Other Services"))</f>
        <v/>
      </c>
    </row>
    <row r="2149" customFormat="false" ht="15" hidden="false" customHeight="false" outlineLevel="0" collapsed="false">
      <c r="G2149" s="41" t="str">
        <f aca="false">IF(E2149="","",IFERROR(IF(ISNUMBER(SEARCH(Assumptions!$C$5,E2149)),Assumptions!$D$5,IF(ISNUMBER(SEARCH(Assumptions!$C$6,E2149)),Assumptions!$D$6,IF(ISNUMBER(SEARCH(Assumptions!$C$7,E2149)),Assumptions!$D$7,"Other Services"))),"Other Services"))</f>
        <v/>
      </c>
    </row>
    <row r="2150" customFormat="false" ht="15" hidden="false" customHeight="false" outlineLevel="0" collapsed="false">
      <c r="G2150" s="41" t="str">
        <f aca="false">IF(E2150="","",IFERROR(IF(ISNUMBER(SEARCH(Assumptions!$C$5,E2150)),Assumptions!$D$5,IF(ISNUMBER(SEARCH(Assumptions!$C$6,E2150)),Assumptions!$D$6,IF(ISNUMBER(SEARCH(Assumptions!$C$7,E2150)),Assumptions!$D$7,"Other Services"))),"Other Services"))</f>
        <v/>
      </c>
    </row>
    <row r="2151" customFormat="false" ht="15" hidden="false" customHeight="false" outlineLevel="0" collapsed="false">
      <c r="G2151" s="41" t="str">
        <f aca="false">IF(E2151="","",IFERROR(IF(ISNUMBER(SEARCH(Assumptions!$C$5,E2151)),Assumptions!$D$5,IF(ISNUMBER(SEARCH(Assumptions!$C$6,E2151)),Assumptions!$D$6,IF(ISNUMBER(SEARCH(Assumptions!$C$7,E2151)),Assumptions!$D$7,"Other Services"))),"Other Services"))</f>
        <v/>
      </c>
    </row>
    <row r="2152" customFormat="false" ht="15" hidden="false" customHeight="false" outlineLevel="0" collapsed="false">
      <c r="G2152" s="41" t="str">
        <f aca="false">IF(E2152="","",IFERROR(IF(ISNUMBER(SEARCH(Assumptions!$C$5,E2152)),Assumptions!$D$5,IF(ISNUMBER(SEARCH(Assumptions!$C$6,E2152)),Assumptions!$D$6,IF(ISNUMBER(SEARCH(Assumptions!$C$7,E2152)),Assumptions!$D$7,"Other Services"))),"Other Services"))</f>
        <v/>
      </c>
    </row>
    <row r="2153" customFormat="false" ht="15" hidden="false" customHeight="false" outlineLevel="0" collapsed="false">
      <c r="G2153" s="41" t="str">
        <f aca="false">IF(E2153="","",IFERROR(IF(ISNUMBER(SEARCH(Assumptions!$C$5,E2153)),Assumptions!$D$5,IF(ISNUMBER(SEARCH(Assumptions!$C$6,E2153)),Assumptions!$D$6,IF(ISNUMBER(SEARCH(Assumptions!$C$7,E2153)),Assumptions!$D$7,"Other Services"))),"Other Services"))</f>
        <v/>
      </c>
    </row>
    <row r="2154" customFormat="false" ht="15" hidden="false" customHeight="false" outlineLevel="0" collapsed="false">
      <c r="G2154" s="41" t="str">
        <f aca="false">IF(E2154="","",IFERROR(IF(ISNUMBER(SEARCH(Assumptions!$C$5,E2154)),Assumptions!$D$5,IF(ISNUMBER(SEARCH(Assumptions!$C$6,E2154)),Assumptions!$D$6,IF(ISNUMBER(SEARCH(Assumptions!$C$7,E2154)),Assumptions!$D$7,"Other Services"))),"Other Services"))</f>
        <v/>
      </c>
    </row>
    <row r="2155" customFormat="false" ht="15" hidden="false" customHeight="false" outlineLevel="0" collapsed="false">
      <c r="G2155" s="41" t="str">
        <f aca="false">IF(E2155="","",IFERROR(IF(ISNUMBER(SEARCH(Assumptions!$C$5,E2155)),Assumptions!$D$5,IF(ISNUMBER(SEARCH(Assumptions!$C$6,E2155)),Assumptions!$D$6,IF(ISNUMBER(SEARCH(Assumptions!$C$7,E2155)),Assumptions!$D$7,"Other Services"))),"Other Services"))</f>
        <v/>
      </c>
    </row>
    <row r="2156" customFormat="false" ht="15" hidden="false" customHeight="false" outlineLevel="0" collapsed="false">
      <c r="G2156" s="41" t="str">
        <f aca="false">IF(E2156="","",IFERROR(IF(ISNUMBER(SEARCH(Assumptions!$C$5,E2156)),Assumptions!$D$5,IF(ISNUMBER(SEARCH(Assumptions!$C$6,E2156)),Assumptions!$D$6,IF(ISNUMBER(SEARCH(Assumptions!$C$7,E2156)),Assumptions!$D$7,"Other Services"))),"Other Services"))</f>
        <v/>
      </c>
    </row>
    <row r="2157" customFormat="false" ht="15" hidden="false" customHeight="false" outlineLevel="0" collapsed="false">
      <c r="G2157" s="41" t="str">
        <f aca="false">IF(E2157="","",IFERROR(IF(ISNUMBER(SEARCH(Assumptions!$C$5,E2157)),Assumptions!$D$5,IF(ISNUMBER(SEARCH(Assumptions!$C$6,E2157)),Assumptions!$D$6,IF(ISNUMBER(SEARCH(Assumptions!$C$7,E2157)),Assumptions!$D$7,"Other Services"))),"Other Services"))</f>
        <v/>
      </c>
    </row>
    <row r="2158" customFormat="false" ht="15" hidden="false" customHeight="false" outlineLevel="0" collapsed="false">
      <c r="G2158" s="41" t="str">
        <f aca="false">IF(E2158="","",IFERROR(IF(ISNUMBER(SEARCH(Assumptions!$C$5,E2158)),Assumptions!$D$5,IF(ISNUMBER(SEARCH(Assumptions!$C$6,E2158)),Assumptions!$D$6,IF(ISNUMBER(SEARCH(Assumptions!$C$7,E2158)),Assumptions!$D$7,"Other Services"))),"Other Services"))</f>
        <v/>
      </c>
    </row>
    <row r="2159" customFormat="false" ht="15" hidden="false" customHeight="false" outlineLevel="0" collapsed="false">
      <c r="G2159" s="41" t="str">
        <f aca="false">IF(E2159="","",IFERROR(IF(ISNUMBER(SEARCH(Assumptions!$C$5,E2159)),Assumptions!$D$5,IF(ISNUMBER(SEARCH(Assumptions!$C$6,E2159)),Assumptions!$D$6,IF(ISNUMBER(SEARCH(Assumptions!$C$7,E2159)),Assumptions!$D$7,"Other Services"))),"Other Services"))</f>
        <v/>
      </c>
    </row>
    <row r="2160" customFormat="false" ht="15" hidden="false" customHeight="false" outlineLevel="0" collapsed="false">
      <c r="G2160" s="41" t="str">
        <f aca="false">IF(E2160="","",IFERROR(IF(ISNUMBER(SEARCH(Assumptions!$C$5,E2160)),Assumptions!$D$5,IF(ISNUMBER(SEARCH(Assumptions!$C$6,E2160)),Assumptions!$D$6,IF(ISNUMBER(SEARCH(Assumptions!$C$7,E2160)),Assumptions!$D$7,"Other Services"))),"Other Services"))</f>
        <v/>
      </c>
    </row>
    <row r="2161" customFormat="false" ht="15" hidden="false" customHeight="false" outlineLevel="0" collapsed="false">
      <c r="G2161" s="41" t="str">
        <f aca="false">IF(E2161="","",IFERROR(IF(ISNUMBER(SEARCH(Assumptions!$C$5,E2161)),Assumptions!$D$5,IF(ISNUMBER(SEARCH(Assumptions!$C$6,E2161)),Assumptions!$D$6,IF(ISNUMBER(SEARCH(Assumptions!$C$7,E2161)),Assumptions!$D$7,"Other Services"))),"Other Services"))</f>
        <v/>
      </c>
    </row>
    <row r="2162" customFormat="false" ht="15" hidden="false" customHeight="false" outlineLevel="0" collapsed="false">
      <c r="G2162" s="41" t="str">
        <f aca="false">IF(E2162="","",IFERROR(IF(ISNUMBER(SEARCH(Assumptions!$C$5,E2162)),Assumptions!$D$5,IF(ISNUMBER(SEARCH(Assumptions!$C$6,E2162)),Assumptions!$D$6,IF(ISNUMBER(SEARCH(Assumptions!$C$7,E2162)),Assumptions!$D$7,"Other Services"))),"Other Services"))</f>
        <v/>
      </c>
    </row>
    <row r="2163" customFormat="false" ht="15" hidden="false" customHeight="false" outlineLevel="0" collapsed="false">
      <c r="G2163" s="41" t="str">
        <f aca="false">IF(E2163="","",IFERROR(IF(ISNUMBER(SEARCH(Assumptions!$C$5,E2163)),Assumptions!$D$5,IF(ISNUMBER(SEARCH(Assumptions!$C$6,E2163)),Assumptions!$D$6,IF(ISNUMBER(SEARCH(Assumptions!$C$7,E2163)),Assumptions!$D$7,"Other Services"))),"Other Services"))</f>
        <v/>
      </c>
    </row>
    <row r="2164" customFormat="false" ht="15" hidden="false" customHeight="false" outlineLevel="0" collapsed="false">
      <c r="G2164" s="41" t="str">
        <f aca="false">IF(E2164="","",IFERROR(IF(ISNUMBER(SEARCH(Assumptions!$C$5,E2164)),Assumptions!$D$5,IF(ISNUMBER(SEARCH(Assumptions!$C$6,E2164)),Assumptions!$D$6,IF(ISNUMBER(SEARCH(Assumptions!$C$7,E2164)),Assumptions!$D$7,"Other Services"))),"Other Services"))</f>
        <v/>
      </c>
    </row>
    <row r="2165" customFormat="false" ht="15" hidden="false" customHeight="false" outlineLevel="0" collapsed="false">
      <c r="G2165" s="41" t="str">
        <f aca="false">IF(E2165="","",IFERROR(IF(ISNUMBER(SEARCH(Assumptions!$C$5,E2165)),Assumptions!$D$5,IF(ISNUMBER(SEARCH(Assumptions!$C$6,E2165)),Assumptions!$D$6,IF(ISNUMBER(SEARCH(Assumptions!$C$7,E2165)),Assumptions!$D$7,"Other Services"))),"Other Services"))</f>
        <v/>
      </c>
    </row>
    <row r="2166" customFormat="false" ht="15" hidden="false" customHeight="false" outlineLevel="0" collapsed="false">
      <c r="G2166" s="41" t="str">
        <f aca="false">IF(E2166="","",IFERROR(IF(ISNUMBER(SEARCH(Assumptions!$C$5,E2166)),Assumptions!$D$5,IF(ISNUMBER(SEARCH(Assumptions!$C$6,E2166)),Assumptions!$D$6,IF(ISNUMBER(SEARCH(Assumptions!$C$7,E2166)),Assumptions!$D$7,"Other Services"))),"Other Services"))</f>
        <v/>
      </c>
    </row>
    <row r="2167" customFormat="false" ht="15" hidden="false" customHeight="false" outlineLevel="0" collapsed="false">
      <c r="G2167" s="41" t="str">
        <f aca="false">IF(E2167="","",IFERROR(IF(ISNUMBER(SEARCH(Assumptions!$C$5,E2167)),Assumptions!$D$5,IF(ISNUMBER(SEARCH(Assumptions!$C$6,E2167)),Assumptions!$D$6,IF(ISNUMBER(SEARCH(Assumptions!$C$7,E2167)),Assumptions!$D$7,"Other Services"))),"Other Services"))</f>
        <v/>
      </c>
    </row>
    <row r="2168" customFormat="false" ht="15" hidden="false" customHeight="false" outlineLevel="0" collapsed="false">
      <c r="G2168" s="41" t="str">
        <f aca="false">IF(E2168="","",IFERROR(IF(ISNUMBER(SEARCH(Assumptions!$C$5,E2168)),Assumptions!$D$5,IF(ISNUMBER(SEARCH(Assumptions!$C$6,E2168)),Assumptions!$D$6,IF(ISNUMBER(SEARCH(Assumptions!$C$7,E2168)),Assumptions!$D$7,"Other Services"))),"Other Services"))</f>
        <v/>
      </c>
    </row>
    <row r="2169" customFormat="false" ht="15" hidden="false" customHeight="false" outlineLevel="0" collapsed="false">
      <c r="G2169" s="41" t="str">
        <f aca="false">IF(E2169="","",IFERROR(IF(ISNUMBER(SEARCH(Assumptions!$C$5,E2169)),Assumptions!$D$5,IF(ISNUMBER(SEARCH(Assumptions!$C$6,E2169)),Assumptions!$D$6,IF(ISNUMBER(SEARCH(Assumptions!$C$7,E2169)),Assumptions!$D$7,"Other Services"))),"Other Services"))</f>
        <v/>
      </c>
    </row>
    <row r="2170" customFormat="false" ht="15" hidden="false" customHeight="false" outlineLevel="0" collapsed="false">
      <c r="G2170" s="41" t="str">
        <f aca="false">IF(E2170="","",IFERROR(IF(ISNUMBER(SEARCH(Assumptions!$C$5,E2170)),Assumptions!$D$5,IF(ISNUMBER(SEARCH(Assumptions!$C$6,E2170)),Assumptions!$D$6,IF(ISNUMBER(SEARCH(Assumptions!$C$7,E2170)),Assumptions!$D$7,"Other Services"))),"Other Services"))</f>
        <v/>
      </c>
    </row>
    <row r="2171" customFormat="false" ht="15" hidden="false" customHeight="false" outlineLevel="0" collapsed="false">
      <c r="G2171" s="41" t="str">
        <f aca="false">IF(E2171="","",IFERROR(IF(ISNUMBER(SEARCH(Assumptions!$C$5,E2171)),Assumptions!$D$5,IF(ISNUMBER(SEARCH(Assumptions!$C$6,E2171)),Assumptions!$D$6,IF(ISNUMBER(SEARCH(Assumptions!$C$7,E2171)),Assumptions!$D$7,"Other Services"))),"Other Services"))</f>
        <v/>
      </c>
    </row>
    <row r="2172" customFormat="false" ht="15" hidden="false" customHeight="false" outlineLevel="0" collapsed="false">
      <c r="G2172" s="41" t="str">
        <f aca="false">IF(E2172="","",IFERROR(IF(ISNUMBER(SEARCH(Assumptions!$C$5,E2172)),Assumptions!$D$5,IF(ISNUMBER(SEARCH(Assumptions!$C$6,E2172)),Assumptions!$D$6,IF(ISNUMBER(SEARCH(Assumptions!$C$7,E2172)),Assumptions!$D$7,"Other Services"))),"Other Services"))</f>
        <v/>
      </c>
    </row>
    <row r="2173" customFormat="false" ht="15" hidden="false" customHeight="false" outlineLevel="0" collapsed="false">
      <c r="G2173" s="41" t="str">
        <f aca="false">IF(E2173="","",IFERROR(IF(ISNUMBER(SEARCH(Assumptions!$C$5,E2173)),Assumptions!$D$5,IF(ISNUMBER(SEARCH(Assumptions!$C$6,E2173)),Assumptions!$D$6,IF(ISNUMBER(SEARCH(Assumptions!$C$7,E2173)),Assumptions!$D$7,"Other Services"))),"Other Services"))</f>
        <v/>
      </c>
    </row>
    <row r="2174" customFormat="false" ht="15" hidden="false" customHeight="false" outlineLevel="0" collapsed="false">
      <c r="G2174" s="41" t="str">
        <f aca="false">IF(E2174="","",IFERROR(IF(ISNUMBER(SEARCH(Assumptions!$C$5,E2174)),Assumptions!$D$5,IF(ISNUMBER(SEARCH(Assumptions!$C$6,E2174)),Assumptions!$D$6,IF(ISNUMBER(SEARCH(Assumptions!$C$7,E2174)),Assumptions!$D$7,"Other Services"))),"Other Services"))</f>
        <v/>
      </c>
    </row>
    <row r="2175" customFormat="false" ht="15" hidden="false" customHeight="false" outlineLevel="0" collapsed="false">
      <c r="G2175" s="41" t="str">
        <f aca="false">IF(E2175="","",IFERROR(IF(ISNUMBER(SEARCH(Assumptions!$C$5,E2175)),Assumptions!$D$5,IF(ISNUMBER(SEARCH(Assumptions!$C$6,E2175)),Assumptions!$D$6,IF(ISNUMBER(SEARCH(Assumptions!$C$7,E2175)),Assumptions!$D$7,"Other Services"))),"Other Services"))</f>
        <v/>
      </c>
    </row>
    <row r="2176" customFormat="false" ht="15" hidden="false" customHeight="false" outlineLevel="0" collapsed="false">
      <c r="G2176" s="41" t="str">
        <f aca="false">IF(E2176="","",IFERROR(IF(ISNUMBER(SEARCH(Assumptions!$C$5,E2176)),Assumptions!$D$5,IF(ISNUMBER(SEARCH(Assumptions!$C$6,E2176)),Assumptions!$D$6,IF(ISNUMBER(SEARCH(Assumptions!$C$7,E2176)),Assumptions!$D$7,"Other Services"))),"Other Services"))</f>
        <v/>
      </c>
    </row>
    <row r="2177" customFormat="false" ht="15" hidden="false" customHeight="false" outlineLevel="0" collapsed="false">
      <c r="G2177" s="41" t="str">
        <f aca="false">IF(E2177="","",IFERROR(IF(ISNUMBER(SEARCH(Assumptions!$C$5,E2177)),Assumptions!$D$5,IF(ISNUMBER(SEARCH(Assumptions!$C$6,E2177)),Assumptions!$D$6,IF(ISNUMBER(SEARCH(Assumptions!$C$7,E2177)),Assumptions!$D$7,"Other Services"))),"Other Services"))</f>
        <v/>
      </c>
    </row>
    <row r="2178" customFormat="false" ht="15" hidden="false" customHeight="false" outlineLevel="0" collapsed="false">
      <c r="G2178" s="41" t="str">
        <f aca="false">IF(E2178="","",IFERROR(IF(ISNUMBER(SEARCH(Assumptions!$C$5,E2178)),Assumptions!$D$5,IF(ISNUMBER(SEARCH(Assumptions!$C$6,E2178)),Assumptions!$D$6,IF(ISNUMBER(SEARCH(Assumptions!$C$7,E2178)),Assumptions!$D$7,"Other Services"))),"Other Services"))</f>
        <v/>
      </c>
    </row>
    <row r="2179" customFormat="false" ht="15" hidden="false" customHeight="false" outlineLevel="0" collapsed="false">
      <c r="G2179" s="41" t="str">
        <f aca="false">IF(E2179="","",IFERROR(IF(ISNUMBER(SEARCH(Assumptions!$C$5,E2179)),Assumptions!$D$5,IF(ISNUMBER(SEARCH(Assumptions!$C$6,E2179)),Assumptions!$D$6,IF(ISNUMBER(SEARCH(Assumptions!$C$7,E2179)),Assumptions!$D$7,"Other Services"))),"Other Services"))</f>
        <v/>
      </c>
    </row>
    <row r="2180" customFormat="false" ht="15" hidden="false" customHeight="false" outlineLevel="0" collapsed="false">
      <c r="G2180" s="41" t="str">
        <f aca="false">IF(E2180="","",IFERROR(IF(ISNUMBER(SEARCH(Assumptions!$C$5,E2180)),Assumptions!$D$5,IF(ISNUMBER(SEARCH(Assumptions!$C$6,E2180)),Assumptions!$D$6,IF(ISNUMBER(SEARCH(Assumptions!$C$7,E2180)),Assumptions!$D$7,"Other Services"))),"Other Services"))</f>
        <v/>
      </c>
    </row>
    <row r="2181" customFormat="false" ht="15" hidden="false" customHeight="false" outlineLevel="0" collapsed="false">
      <c r="G2181" s="41" t="str">
        <f aca="false">IF(E2181="","",IFERROR(IF(ISNUMBER(SEARCH(Assumptions!$C$5,E2181)),Assumptions!$D$5,IF(ISNUMBER(SEARCH(Assumptions!$C$6,E2181)),Assumptions!$D$6,IF(ISNUMBER(SEARCH(Assumptions!$C$7,E2181)),Assumptions!$D$7,"Other Services"))),"Other Services"))</f>
        <v/>
      </c>
    </row>
    <row r="2182" customFormat="false" ht="15" hidden="false" customHeight="false" outlineLevel="0" collapsed="false">
      <c r="G2182" s="41" t="str">
        <f aca="false">IF(E2182="","",IFERROR(IF(ISNUMBER(SEARCH(Assumptions!$C$5,E2182)),Assumptions!$D$5,IF(ISNUMBER(SEARCH(Assumptions!$C$6,E2182)),Assumptions!$D$6,IF(ISNUMBER(SEARCH(Assumptions!$C$7,E2182)),Assumptions!$D$7,"Other Services"))),"Other Services"))</f>
        <v/>
      </c>
    </row>
    <row r="2183" customFormat="false" ht="15" hidden="false" customHeight="false" outlineLevel="0" collapsed="false">
      <c r="G2183" s="41" t="str">
        <f aca="false">IF(E2183="","",IFERROR(IF(ISNUMBER(SEARCH(Assumptions!$C$5,E2183)),Assumptions!$D$5,IF(ISNUMBER(SEARCH(Assumptions!$C$6,E2183)),Assumptions!$D$6,IF(ISNUMBER(SEARCH(Assumptions!$C$7,E2183)),Assumptions!$D$7,"Other Services"))),"Other Services"))</f>
        <v/>
      </c>
    </row>
    <row r="2184" customFormat="false" ht="15" hidden="false" customHeight="false" outlineLevel="0" collapsed="false">
      <c r="G2184" s="41" t="str">
        <f aca="false">IF(E2184="","",IFERROR(IF(ISNUMBER(SEARCH(Assumptions!$C$5,E2184)),Assumptions!$D$5,IF(ISNUMBER(SEARCH(Assumptions!$C$6,E2184)),Assumptions!$D$6,IF(ISNUMBER(SEARCH(Assumptions!$C$7,E2184)),Assumptions!$D$7,"Other Services"))),"Other Services"))</f>
        <v/>
      </c>
    </row>
    <row r="2185" customFormat="false" ht="15" hidden="false" customHeight="false" outlineLevel="0" collapsed="false">
      <c r="G2185" s="41" t="str">
        <f aca="false">IF(E2185="","",IFERROR(IF(ISNUMBER(SEARCH(Assumptions!$C$5,E2185)),Assumptions!$D$5,IF(ISNUMBER(SEARCH(Assumptions!$C$6,E2185)),Assumptions!$D$6,IF(ISNUMBER(SEARCH(Assumptions!$C$7,E2185)),Assumptions!$D$7,"Other Services"))),"Other Services"))</f>
        <v/>
      </c>
    </row>
    <row r="2186" customFormat="false" ht="15" hidden="false" customHeight="false" outlineLevel="0" collapsed="false">
      <c r="G2186" s="41" t="str">
        <f aca="false">IF(E2186="","",IFERROR(IF(ISNUMBER(SEARCH(Assumptions!$C$5,E2186)),Assumptions!$D$5,IF(ISNUMBER(SEARCH(Assumptions!$C$6,E2186)),Assumptions!$D$6,IF(ISNUMBER(SEARCH(Assumptions!$C$7,E2186)),Assumptions!$D$7,"Other Services"))),"Other Services"))</f>
        <v/>
      </c>
    </row>
    <row r="2187" customFormat="false" ht="15" hidden="false" customHeight="false" outlineLevel="0" collapsed="false">
      <c r="G2187" s="41" t="str">
        <f aca="false">IF(E2187="","",IFERROR(IF(ISNUMBER(SEARCH(Assumptions!$C$5,E2187)),Assumptions!$D$5,IF(ISNUMBER(SEARCH(Assumptions!$C$6,E2187)),Assumptions!$D$6,IF(ISNUMBER(SEARCH(Assumptions!$C$7,E2187)),Assumptions!$D$7,"Other Services"))),"Other Services"))</f>
        <v/>
      </c>
    </row>
    <row r="2188" customFormat="false" ht="15" hidden="false" customHeight="false" outlineLevel="0" collapsed="false">
      <c r="G2188" s="41" t="str">
        <f aca="false">IF(E2188="","",IFERROR(IF(ISNUMBER(SEARCH(Assumptions!$C$5,E2188)),Assumptions!$D$5,IF(ISNUMBER(SEARCH(Assumptions!$C$6,E2188)),Assumptions!$D$6,IF(ISNUMBER(SEARCH(Assumptions!$C$7,E2188)),Assumptions!$D$7,"Other Services"))),"Other Services"))</f>
        <v/>
      </c>
    </row>
    <row r="2189" customFormat="false" ht="15" hidden="false" customHeight="false" outlineLevel="0" collapsed="false">
      <c r="G2189" s="41" t="str">
        <f aca="false">IF(E2189="","",IFERROR(IF(ISNUMBER(SEARCH(Assumptions!$C$5,E2189)),Assumptions!$D$5,IF(ISNUMBER(SEARCH(Assumptions!$C$6,E2189)),Assumptions!$D$6,IF(ISNUMBER(SEARCH(Assumptions!$C$7,E2189)),Assumptions!$D$7,"Other Services"))),"Other Services"))</f>
        <v/>
      </c>
    </row>
    <row r="2190" customFormat="false" ht="15" hidden="false" customHeight="false" outlineLevel="0" collapsed="false">
      <c r="G2190" s="41" t="str">
        <f aca="false">IF(E2190="","",IFERROR(IF(ISNUMBER(SEARCH(Assumptions!$C$5,E2190)),Assumptions!$D$5,IF(ISNUMBER(SEARCH(Assumptions!$C$6,E2190)),Assumptions!$D$6,IF(ISNUMBER(SEARCH(Assumptions!$C$7,E2190)),Assumptions!$D$7,"Other Services"))),"Other Services"))</f>
        <v/>
      </c>
    </row>
    <row r="2191" customFormat="false" ht="15" hidden="false" customHeight="false" outlineLevel="0" collapsed="false">
      <c r="G2191" s="41" t="str">
        <f aca="false">IF(E2191="","",IFERROR(IF(ISNUMBER(SEARCH(Assumptions!$C$5,E2191)),Assumptions!$D$5,IF(ISNUMBER(SEARCH(Assumptions!$C$6,E2191)),Assumptions!$D$6,IF(ISNUMBER(SEARCH(Assumptions!$C$7,E2191)),Assumptions!$D$7,"Other Services"))),"Other Services"))</f>
        <v/>
      </c>
    </row>
    <row r="2192" customFormat="false" ht="15" hidden="false" customHeight="false" outlineLevel="0" collapsed="false">
      <c r="G2192" s="41" t="str">
        <f aca="false">IF(E2192="","",IFERROR(IF(ISNUMBER(SEARCH(Assumptions!$C$5,E2192)),Assumptions!$D$5,IF(ISNUMBER(SEARCH(Assumptions!$C$6,E2192)),Assumptions!$D$6,IF(ISNUMBER(SEARCH(Assumptions!$C$7,E2192)),Assumptions!$D$7,"Other Services"))),"Other Services"))</f>
        <v/>
      </c>
    </row>
    <row r="2193" customFormat="false" ht="15" hidden="false" customHeight="false" outlineLevel="0" collapsed="false">
      <c r="G2193" s="41" t="str">
        <f aca="false">IF(E2193="","",IFERROR(IF(ISNUMBER(SEARCH(Assumptions!$C$5,E2193)),Assumptions!$D$5,IF(ISNUMBER(SEARCH(Assumptions!$C$6,E2193)),Assumptions!$D$6,IF(ISNUMBER(SEARCH(Assumptions!$C$7,E2193)),Assumptions!$D$7,"Other Services"))),"Other Services"))</f>
        <v/>
      </c>
    </row>
    <row r="2194" customFormat="false" ht="15" hidden="false" customHeight="false" outlineLevel="0" collapsed="false">
      <c r="G2194" s="41" t="str">
        <f aca="false">IF(E2194="","",IFERROR(IF(ISNUMBER(SEARCH(Assumptions!$C$5,E2194)),Assumptions!$D$5,IF(ISNUMBER(SEARCH(Assumptions!$C$6,E2194)),Assumptions!$D$6,IF(ISNUMBER(SEARCH(Assumptions!$C$7,E2194)),Assumptions!$D$7,"Other Services"))),"Other Services"))</f>
        <v/>
      </c>
    </row>
    <row r="2195" customFormat="false" ht="15" hidden="false" customHeight="false" outlineLevel="0" collapsed="false">
      <c r="G2195" s="41" t="str">
        <f aca="false">IF(E2195="","",IFERROR(IF(ISNUMBER(SEARCH(Assumptions!$C$5,E2195)),Assumptions!$D$5,IF(ISNUMBER(SEARCH(Assumptions!$C$6,E2195)),Assumptions!$D$6,IF(ISNUMBER(SEARCH(Assumptions!$C$7,E2195)),Assumptions!$D$7,"Other Services"))),"Other Services"))</f>
        <v/>
      </c>
    </row>
    <row r="2196" customFormat="false" ht="15" hidden="false" customHeight="false" outlineLevel="0" collapsed="false">
      <c r="G2196" s="41" t="str">
        <f aca="false">IF(E2196="","",IFERROR(IF(ISNUMBER(SEARCH(Assumptions!$C$5,E2196)),Assumptions!$D$5,IF(ISNUMBER(SEARCH(Assumptions!$C$6,E2196)),Assumptions!$D$6,IF(ISNUMBER(SEARCH(Assumptions!$C$7,E2196)),Assumptions!$D$7,"Other Services"))),"Other Services"))</f>
        <v/>
      </c>
    </row>
    <row r="2197" customFormat="false" ht="15" hidden="false" customHeight="false" outlineLevel="0" collapsed="false">
      <c r="G2197" s="41" t="str">
        <f aca="false">IF(E2197="","",IFERROR(IF(ISNUMBER(SEARCH(Assumptions!$C$5,E2197)),Assumptions!$D$5,IF(ISNUMBER(SEARCH(Assumptions!$C$6,E2197)),Assumptions!$D$6,IF(ISNUMBER(SEARCH(Assumptions!$C$7,E2197)),Assumptions!$D$7,"Other Services"))),"Other Services"))</f>
        <v/>
      </c>
    </row>
    <row r="2198" customFormat="false" ht="15" hidden="false" customHeight="false" outlineLevel="0" collapsed="false">
      <c r="G2198" s="41" t="str">
        <f aca="false">IF(E2198="","",IFERROR(IF(ISNUMBER(SEARCH(Assumptions!$C$5,E2198)),Assumptions!$D$5,IF(ISNUMBER(SEARCH(Assumptions!$C$6,E2198)),Assumptions!$D$6,IF(ISNUMBER(SEARCH(Assumptions!$C$7,E2198)),Assumptions!$D$7,"Other Services"))),"Other Services"))</f>
        <v/>
      </c>
    </row>
    <row r="2199" customFormat="false" ht="15" hidden="false" customHeight="false" outlineLevel="0" collapsed="false">
      <c r="G2199" s="41" t="str">
        <f aca="false">IF(E2199="","",IFERROR(IF(ISNUMBER(SEARCH(Assumptions!$C$5,E2199)),Assumptions!$D$5,IF(ISNUMBER(SEARCH(Assumptions!$C$6,E2199)),Assumptions!$D$6,IF(ISNUMBER(SEARCH(Assumptions!$C$7,E2199)),Assumptions!$D$7,"Other Services"))),"Other Services"))</f>
        <v/>
      </c>
    </row>
    <row r="2200" customFormat="false" ht="15" hidden="false" customHeight="false" outlineLevel="0" collapsed="false">
      <c r="G2200" s="41" t="str">
        <f aca="false">IF(E2200="","",IFERROR(IF(ISNUMBER(SEARCH(Assumptions!$C$5,E2200)),Assumptions!$D$5,IF(ISNUMBER(SEARCH(Assumptions!$C$6,E2200)),Assumptions!$D$6,IF(ISNUMBER(SEARCH(Assumptions!$C$7,E2200)),Assumptions!$D$7,"Other Services"))),"Other Services"))</f>
        <v/>
      </c>
    </row>
    <row r="2201" customFormat="false" ht="15" hidden="false" customHeight="false" outlineLevel="0" collapsed="false">
      <c r="G2201" s="41" t="str">
        <f aca="false">IF(E2201="","",IFERROR(IF(ISNUMBER(SEARCH(Assumptions!$C$5,E2201)),Assumptions!$D$5,IF(ISNUMBER(SEARCH(Assumptions!$C$6,E2201)),Assumptions!$D$6,IF(ISNUMBER(SEARCH(Assumptions!$C$7,E2201)),Assumptions!$D$7,"Other Services"))),"Other Services"))</f>
        <v/>
      </c>
    </row>
    <row r="2202" customFormat="false" ht="15" hidden="false" customHeight="false" outlineLevel="0" collapsed="false">
      <c r="G2202" s="41" t="str">
        <f aca="false">IF(E2202="","",IFERROR(IF(ISNUMBER(SEARCH(Assumptions!$C$5,E2202)),Assumptions!$D$5,IF(ISNUMBER(SEARCH(Assumptions!$C$6,E2202)),Assumptions!$D$6,IF(ISNUMBER(SEARCH(Assumptions!$C$7,E2202)),Assumptions!$D$7,"Other Services"))),"Other Services"))</f>
        <v/>
      </c>
    </row>
    <row r="2203" customFormat="false" ht="15" hidden="false" customHeight="false" outlineLevel="0" collapsed="false">
      <c r="G2203" s="41" t="str">
        <f aca="false">IF(E2203="","",IFERROR(IF(ISNUMBER(SEARCH(Assumptions!$C$5,E2203)),Assumptions!$D$5,IF(ISNUMBER(SEARCH(Assumptions!$C$6,E2203)),Assumptions!$D$6,IF(ISNUMBER(SEARCH(Assumptions!$C$7,E2203)),Assumptions!$D$7,"Other Services"))),"Other Services"))</f>
        <v/>
      </c>
    </row>
    <row r="2204" customFormat="false" ht="15" hidden="false" customHeight="false" outlineLevel="0" collapsed="false">
      <c r="G2204" s="41" t="str">
        <f aca="false">IF(E2204="","",IFERROR(IF(ISNUMBER(SEARCH(Assumptions!$C$5,E2204)),Assumptions!$D$5,IF(ISNUMBER(SEARCH(Assumptions!$C$6,E2204)),Assumptions!$D$6,IF(ISNUMBER(SEARCH(Assumptions!$C$7,E2204)),Assumptions!$D$7,"Other Services"))),"Other Services"))</f>
        <v/>
      </c>
    </row>
    <row r="2205" customFormat="false" ht="15" hidden="false" customHeight="false" outlineLevel="0" collapsed="false">
      <c r="G2205" s="41" t="str">
        <f aca="false">IF(E2205="","",IFERROR(IF(ISNUMBER(SEARCH(Assumptions!$C$5,E2205)),Assumptions!$D$5,IF(ISNUMBER(SEARCH(Assumptions!$C$6,E2205)),Assumptions!$D$6,IF(ISNUMBER(SEARCH(Assumptions!$C$7,E2205)),Assumptions!$D$7,"Other Services"))),"Other Services"))</f>
        <v/>
      </c>
    </row>
    <row r="2206" customFormat="false" ht="15" hidden="false" customHeight="false" outlineLevel="0" collapsed="false">
      <c r="G2206" s="41" t="str">
        <f aca="false">IF(E2206="","",IFERROR(IF(ISNUMBER(SEARCH(Assumptions!$C$5,E2206)),Assumptions!$D$5,IF(ISNUMBER(SEARCH(Assumptions!$C$6,E2206)),Assumptions!$D$6,IF(ISNUMBER(SEARCH(Assumptions!$C$7,E2206)),Assumptions!$D$7,"Other Services"))),"Other Services"))</f>
        <v/>
      </c>
    </row>
    <row r="2207" customFormat="false" ht="15" hidden="false" customHeight="false" outlineLevel="0" collapsed="false">
      <c r="G2207" s="41" t="str">
        <f aca="false">IF(E2207="","",IFERROR(IF(ISNUMBER(SEARCH(Assumptions!$C$5,E2207)),Assumptions!$D$5,IF(ISNUMBER(SEARCH(Assumptions!$C$6,E2207)),Assumptions!$D$6,IF(ISNUMBER(SEARCH(Assumptions!$C$7,E2207)),Assumptions!$D$7,"Other Services"))),"Other Services"))</f>
        <v/>
      </c>
    </row>
    <row r="2208" customFormat="false" ht="15" hidden="false" customHeight="false" outlineLevel="0" collapsed="false">
      <c r="G2208" s="41" t="str">
        <f aca="false">IF(E2208="","",IFERROR(IF(ISNUMBER(SEARCH(Assumptions!$C$5,E2208)),Assumptions!$D$5,IF(ISNUMBER(SEARCH(Assumptions!$C$6,E2208)),Assumptions!$D$6,IF(ISNUMBER(SEARCH(Assumptions!$C$7,E2208)),Assumptions!$D$7,"Other Services"))),"Other Services"))</f>
        <v/>
      </c>
    </row>
    <row r="2209" customFormat="false" ht="15" hidden="false" customHeight="false" outlineLevel="0" collapsed="false">
      <c r="G2209" s="41" t="str">
        <f aca="false">IF(E2209="","",IFERROR(IF(ISNUMBER(SEARCH(Assumptions!$C$5,E2209)),Assumptions!$D$5,IF(ISNUMBER(SEARCH(Assumptions!$C$6,E2209)),Assumptions!$D$6,IF(ISNUMBER(SEARCH(Assumptions!$C$7,E2209)),Assumptions!$D$7,"Other Services"))),"Other Services"))</f>
        <v/>
      </c>
    </row>
    <row r="2210" customFormat="false" ht="15" hidden="false" customHeight="false" outlineLevel="0" collapsed="false">
      <c r="G2210" s="41" t="str">
        <f aca="false">IF(E2210="","",IFERROR(IF(ISNUMBER(SEARCH(Assumptions!$C$5,E2210)),Assumptions!$D$5,IF(ISNUMBER(SEARCH(Assumptions!$C$6,E2210)),Assumptions!$D$6,IF(ISNUMBER(SEARCH(Assumptions!$C$7,E2210)),Assumptions!$D$7,"Other Services"))),"Other Services"))</f>
        <v/>
      </c>
    </row>
    <row r="2211" customFormat="false" ht="15" hidden="false" customHeight="false" outlineLevel="0" collapsed="false">
      <c r="G2211" s="41" t="str">
        <f aca="false">IF(E2211="","",IFERROR(IF(ISNUMBER(SEARCH(Assumptions!$C$5,E2211)),Assumptions!$D$5,IF(ISNUMBER(SEARCH(Assumptions!$C$6,E2211)),Assumptions!$D$6,IF(ISNUMBER(SEARCH(Assumptions!$C$7,E2211)),Assumptions!$D$7,"Other Services"))),"Other Services"))</f>
        <v/>
      </c>
    </row>
    <row r="2212" customFormat="false" ht="15" hidden="false" customHeight="false" outlineLevel="0" collapsed="false">
      <c r="G2212" s="41" t="str">
        <f aca="false">IF(E2212="","",IFERROR(IF(ISNUMBER(SEARCH(Assumptions!$C$5,E2212)),Assumptions!$D$5,IF(ISNUMBER(SEARCH(Assumptions!$C$6,E2212)),Assumptions!$D$6,IF(ISNUMBER(SEARCH(Assumptions!$C$7,E2212)),Assumptions!$D$7,"Other Services"))),"Other Services"))</f>
        <v/>
      </c>
    </row>
    <row r="2213" customFormat="false" ht="15" hidden="false" customHeight="false" outlineLevel="0" collapsed="false">
      <c r="G2213" s="41" t="str">
        <f aca="false">IF(E2213="","",IFERROR(IF(ISNUMBER(SEARCH(Assumptions!$C$5,E2213)),Assumptions!$D$5,IF(ISNUMBER(SEARCH(Assumptions!$C$6,E2213)),Assumptions!$D$6,IF(ISNUMBER(SEARCH(Assumptions!$C$7,E2213)),Assumptions!$D$7,"Other Services"))),"Other Services"))</f>
        <v/>
      </c>
    </row>
    <row r="2214" customFormat="false" ht="15" hidden="false" customHeight="false" outlineLevel="0" collapsed="false">
      <c r="G2214" s="41" t="str">
        <f aca="false">IF(E2214="","",IFERROR(IF(ISNUMBER(SEARCH(Assumptions!$C$5,E2214)),Assumptions!$D$5,IF(ISNUMBER(SEARCH(Assumptions!$C$6,E2214)),Assumptions!$D$6,IF(ISNUMBER(SEARCH(Assumptions!$C$7,E2214)),Assumptions!$D$7,"Other Services"))),"Other Services"))</f>
        <v/>
      </c>
    </row>
    <row r="2215" customFormat="false" ht="15" hidden="false" customHeight="false" outlineLevel="0" collapsed="false">
      <c r="G2215" s="41" t="str">
        <f aca="false">IF(E2215="","",IFERROR(IF(ISNUMBER(SEARCH(Assumptions!$C$5,E2215)),Assumptions!$D$5,IF(ISNUMBER(SEARCH(Assumptions!$C$6,E2215)),Assumptions!$D$6,IF(ISNUMBER(SEARCH(Assumptions!$C$7,E2215)),Assumptions!$D$7,"Other Services"))),"Other Services"))</f>
        <v/>
      </c>
    </row>
    <row r="2216" customFormat="false" ht="15" hidden="false" customHeight="false" outlineLevel="0" collapsed="false">
      <c r="G2216" s="41" t="str">
        <f aca="false">IF(E2216="","",IFERROR(IF(ISNUMBER(SEARCH(Assumptions!$C$5,E2216)),Assumptions!$D$5,IF(ISNUMBER(SEARCH(Assumptions!$C$6,E2216)),Assumptions!$D$6,IF(ISNUMBER(SEARCH(Assumptions!$C$7,E2216)),Assumptions!$D$7,"Other Services"))),"Other Services"))</f>
        <v/>
      </c>
    </row>
    <row r="2217" customFormat="false" ht="15" hidden="false" customHeight="false" outlineLevel="0" collapsed="false">
      <c r="G2217" s="41" t="str">
        <f aca="false">IF(E2217="","",IFERROR(IF(ISNUMBER(SEARCH(Assumptions!$C$5,E2217)),Assumptions!$D$5,IF(ISNUMBER(SEARCH(Assumptions!$C$6,E2217)),Assumptions!$D$6,IF(ISNUMBER(SEARCH(Assumptions!$C$7,E2217)),Assumptions!$D$7,"Other Services"))),"Other Services"))</f>
        <v/>
      </c>
    </row>
    <row r="2218" customFormat="false" ht="15" hidden="false" customHeight="false" outlineLevel="0" collapsed="false">
      <c r="G2218" s="41" t="str">
        <f aca="false">IF(E2218="","",IFERROR(IF(ISNUMBER(SEARCH(Assumptions!$C$5,E2218)),Assumptions!$D$5,IF(ISNUMBER(SEARCH(Assumptions!$C$6,E2218)),Assumptions!$D$6,IF(ISNUMBER(SEARCH(Assumptions!$C$7,E2218)),Assumptions!$D$7,"Other Services"))),"Other Services"))</f>
        <v/>
      </c>
    </row>
    <row r="2219" customFormat="false" ht="15" hidden="false" customHeight="false" outlineLevel="0" collapsed="false">
      <c r="G2219" s="41" t="str">
        <f aca="false">IF(E2219="","",IFERROR(IF(ISNUMBER(SEARCH(Assumptions!$C$5,E2219)),Assumptions!$D$5,IF(ISNUMBER(SEARCH(Assumptions!$C$6,E2219)),Assumptions!$D$6,IF(ISNUMBER(SEARCH(Assumptions!$C$7,E2219)),Assumptions!$D$7,"Other Services"))),"Other Services"))</f>
        <v/>
      </c>
    </row>
    <row r="2220" customFormat="false" ht="15" hidden="false" customHeight="false" outlineLevel="0" collapsed="false">
      <c r="G2220" s="41" t="str">
        <f aca="false">IF(E2220="","",IFERROR(IF(ISNUMBER(SEARCH(Assumptions!$C$5,E2220)),Assumptions!$D$5,IF(ISNUMBER(SEARCH(Assumptions!$C$6,E2220)),Assumptions!$D$6,IF(ISNUMBER(SEARCH(Assumptions!$C$7,E2220)),Assumptions!$D$7,"Other Services"))),"Other Services"))</f>
        <v/>
      </c>
    </row>
    <row r="2221" customFormat="false" ht="15" hidden="false" customHeight="false" outlineLevel="0" collapsed="false">
      <c r="G2221" s="41" t="str">
        <f aca="false">IF(E2221="","",IFERROR(IF(ISNUMBER(SEARCH(Assumptions!$C$5,E2221)),Assumptions!$D$5,IF(ISNUMBER(SEARCH(Assumptions!$C$6,E2221)),Assumptions!$D$6,IF(ISNUMBER(SEARCH(Assumptions!$C$7,E2221)),Assumptions!$D$7,"Other Services"))),"Other Services"))</f>
        <v/>
      </c>
    </row>
    <row r="2222" customFormat="false" ht="15" hidden="false" customHeight="false" outlineLevel="0" collapsed="false">
      <c r="G2222" s="41" t="str">
        <f aca="false">IF(E2222="","",IFERROR(IF(ISNUMBER(SEARCH(Assumptions!$C$5,E2222)),Assumptions!$D$5,IF(ISNUMBER(SEARCH(Assumptions!$C$6,E2222)),Assumptions!$D$6,IF(ISNUMBER(SEARCH(Assumptions!$C$7,E2222)),Assumptions!$D$7,"Other Services"))),"Other Services"))</f>
        <v/>
      </c>
    </row>
    <row r="2223" customFormat="false" ht="15" hidden="false" customHeight="false" outlineLevel="0" collapsed="false">
      <c r="G2223" s="41" t="str">
        <f aca="false">IF(E2223="","",IFERROR(IF(ISNUMBER(SEARCH(Assumptions!$C$5,E2223)),Assumptions!$D$5,IF(ISNUMBER(SEARCH(Assumptions!$C$6,E2223)),Assumptions!$D$6,IF(ISNUMBER(SEARCH(Assumptions!$C$7,E2223)),Assumptions!$D$7,"Other Services"))),"Other Services"))</f>
        <v/>
      </c>
    </row>
    <row r="2224" customFormat="false" ht="15" hidden="false" customHeight="false" outlineLevel="0" collapsed="false">
      <c r="G2224" s="41" t="str">
        <f aca="false">IF(E2224="","",IFERROR(IF(ISNUMBER(SEARCH(Assumptions!$C$5,E2224)),Assumptions!$D$5,IF(ISNUMBER(SEARCH(Assumptions!$C$6,E2224)),Assumptions!$D$6,IF(ISNUMBER(SEARCH(Assumptions!$C$7,E2224)),Assumptions!$D$7,"Other Services"))),"Other Services"))</f>
        <v/>
      </c>
    </row>
    <row r="2225" customFormat="false" ht="15" hidden="false" customHeight="false" outlineLevel="0" collapsed="false">
      <c r="G2225" s="41" t="str">
        <f aca="false">IF(E2225="","",IFERROR(IF(ISNUMBER(SEARCH(Assumptions!$C$5,E2225)),Assumptions!$D$5,IF(ISNUMBER(SEARCH(Assumptions!$C$6,E2225)),Assumptions!$D$6,IF(ISNUMBER(SEARCH(Assumptions!$C$7,E2225)),Assumptions!$D$7,"Other Services"))),"Other Services"))</f>
        <v/>
      </c>
    </row>
    <row r="2226" customFormat="false" ht="15" hidden="false" customHeight="false" outlineLevel="0" collapsed="false">
      <c r="G2226" s="41" t="str">
        <f aca="false">IF(E2226="","",IFERROR(IF(ISNUMBER(SEARCH(Assumptions!$C$5,E2226)),Assumptions!$D$5,IF(ISNUMBER(SEARCH(Assumptions!$C$6,E2226)),Assumptions!$D$6,IF(ISNUMBER(SEARCH(Assumptions!$C$7,E2226)),Assumptions!$D$7,"Other Services"))),"Other Services"))</f>
        <v/>
      </c>
    </row>
    <row r="2227" customFormat="false" ht="15" hidden="false" customHeight="false" outlineLevel="0" collapsed="false">
      <c r="G2227" s="41" t="str">
        <f aca="false">IF(E2227="","",IFERROR(IF(ISNUMBER(SEARCH(Assumptions!$C$5,E2227)),Assumptions!$D$5,IF(ISNUMBER(SEARCH(Assumptions!$C$6,E2227)),Assumptions!$D$6,IF(ISNUMBER(SEARCH(Assumptions!$C$7,E2227)),Assumptions!$D$7,"Other Services"))),"Other Services"))</f>
        <v/>
      </c>
    </row>
    <row r="2228" customFormat="false" ht="15" hidden="false" customHeight="false" outlineLevel="0" collapsed="false">
      <c r="G2228" s="41" t="str">
        <f aca="false">IF(E2228="","",IFERROR(IF(ISNUMBER(SEARCH(Assumptions!$C$5,E2228)),Assumptions!$D$5,IF(ISNUMBER(SEARCH(Assumptions!$C$6,E2228)),Assumptions!$D$6,IF(ISNUMBER(SEARCH(Assumptions!$C$7,E2228)),Assumptions!$D$7,"Other Services"))),"Other Services"))</f>
        <v/>
      </c>
    </row>
    <row r="2229" customFormat="false" ht="15" hidden="false" customHeight="false" outlineLevel="0" collapsed="false">
      <c r="G2229" s="41" t="str">
        <f aca="false">IF(E2229="","",IFERROR(IF(ISNUMBER(SEARCH(Assumptions!$C$5,E2229)),Assumptions!$D$5,IF(ISNUMBER(SEARCH(Assumptions!$C$6,E2229)),Assumptions!$D$6,IF(ISNUMBER(SEARCH(Assumptions!$C$7,E2229)),Assumptions!$D$7,"Other Services"))),"Other Services"))</f>
        <v/>
      </c>
    </row>
    <row r="2230" customFormat="false" ht="15" hidden="false" customHeight="false" outlineLevel="0" collapsed="false">
      <c r="G2230" s="41" t="str">
        <f aca="false">IF(E2230="","",IFERROR(IF(ISNUMBER(SEARCH(Assumptions!$C$5,E2230)),Assumptions!$D$5,IF(ISNUMBER(SEARCH(Assumptions!$C$6,E2230)),Assumptions!$D$6,IF(ISNUMBER(SEARCH(Assumptions!$C$7,E2230)),Assumptions!$D$7,"Other Services"))),"Other Services"))</f>
        <v/>
      </c>
    </row>
    <row r="2231" customFormat="false" ht="15" hidden="false" customHeight="false" outlineLevel="0" collapsed="false">
      <c r="G2231" s="41" t="str">
        <f aca="false">IF(E2231="","",IFERROR(IF(ISNUMBER(SEARCH(Assumptions!$C$5,E2231)),Assumptions!$D$5,IF(ISNUMBER(SEARCH(Assumptions!$C$6,E2231)),Assumptions!$D$6,IF(ISNUMBER(SEARCH(Assumptions!$C$7,E2231)),Assumptions!$D$7,"Other Services"))),"Other Services"))</f>
        <v/>
      </c>
    </row>
    <row r="2232" customFormat="false" ht="15" hidden="false" customHeight="false" outlineLevel="0" collapsed="false">
      <c r="G2232" s="41" t="str">
        <f aca="false">IF(E2232="","",IFERROR(IF(ISNUMBER(SEARCH(Assumptions!$C$5,E2232)),Assumptions!$D$5,IF(ISNUMBER(SEARCH(Assumptions!$C$6,E2232)),Assumptions!$D$6,IF(ISNUMBER(SEARCH(Assumptions!$C$7,E2232)),Assumptions!$D$7,"Other Services"))),"Other Services"))</f>
        <v/>
      </c>
    </row>
    <row r="2233" customFormat="false" ht="15" hidden="false" customHeight="false" outlineLevel="0" collapsed="false">
      <c r="G2233" s="41" t="str">
        <f aca="false">IF(E2233="","",IFERROR(IF(ISNUMBER(SEARCH(Assumptions!$C$5,E2233)),Assumptions!$D$5,IF(ISNUMBER(SEARCH(Assumptions!$C$6,E2233)),Assumptions!$D$6,IF(ISNUMBER(SEARCH(Assumptions!$C$7,E2233)),Assumptions!$D$7,"Other Services"))),"Other Services"))</f>
        <v/>
      </c>
    </row>
    <row r="2234" customFormat="false" ht="15" hidden="false" customHeight="false" outlineLevel="0" collapsed="false">
      <c r="G2234" s="41" t="str">
        <f aca="false">IF(E2234="","",IFERROR(IF(ISNUMBER(SEARCH(Assumptions!$C$5,E2234)),Assumptions!$D$5,IF(ISNUMBER(SEARCH(Assumptions!$C$6,E2234)),Assumptions!$D$6,IF(ISNUMBER(SEARCH(Assumptions!$C$7,E2234)),Assumptions!$D$7,"Other Services"))),"Other Services"))</f>
        <v/>
      </c>
    </row>
    <row r="2235" customFormat="false" ht="15" hidden="false" customHeight="false" outlineLevel="0" collapsed="false">
      <c r="G2235" s="41" t="str">
        <f aca="false">IF(E2235="","",IFERROR(IF(ISNUMBER(SEARCH(Assumptions!$C$5,E2235)),Assumptions!$D$5,IF(ISNUMBER(SEARCH(Assumptions!$C$6,E2235)),Assumptions!$D$6,IF(ISNUMBER(SEARCH(Assumptions!$C$7,E2235)),Assumptions!$D$7,"Other Services"))),"Other Services"))</f>
        <v/>
      </c>
    </row>
    <row r="2236" customFormat="false" ht="15" hidden="false" customHeight="false" outlineLevel="0" collapsed="false">
      <c r="G2236" s="41" t="str">
        <f aca="false">IF(E2236="","",IFERROR(IF(ISNUMBER(SEARCH(Assumptions!$C$5,E2236)),Assumptions!$D$5,IF(ISNUMBER(SEARCH(Assumptions!$C$6,E2236)),Assumptions!$D$6,IF(ISNUMBER(SEARCH(Assumptions!$C$7,E2236)),Assumptions!$D$7,"Other Services"))),"Other Services"))</f>
        <v/>
      </c>
    </row>
    <row r="2237" customFormat="false" ht="15" hidden="false" customHeight="false" outlineLevel="0" collapsed="false">
      <c r="G2237" s="41" t="str">
        <f aca="false">IF(E2237="","",IFERROR(IF(ISNUMBER(SEARCH(Assumptions!$C$5,E2237)),Assumptions!$D$5,IF(ISNUMBER(SEARCH(Assumptions!$C$6,E2237)),Assumptions!$D$6,IF(ISNUMBER(SEARCH(Assumptions!$C$7,E2237)),Assumptions!$D$7,"Other Services"))),"Other Services"))</f>
        <v/>
      </c>
    </row>
    <row r="2238" customFormat="false" ht="15" hidden="false" customHeight="false" outlineLevel="0" collapsed="false">
      <c r="G2238" s="41" t="str">
        <f aca="false">IF(E2238="","",IFERROR(IF(ISNUMBER(SEARCH(Assumptions!$C$5,E2238)),Assumptions!$D$5,IF(ISNUMBER(SEARCH(Assumptions!$C$6,E2238)),Assumptions!$D$6,IF(ISNUMBER(SEARCH(Assumptions!$C$7,E2238)),Assumptions!$D$7,"Other Services"))),"Other Services"))</f>
        <v/>
      </c>
    </row>
    <row r="2239" customFormat="false" ht="15" hidden="false" customHeight="false" outlineLevel="0" collapsed="false">
      <c r="G2239" s="41" t="str">
        <f aca="false">IF(E2239="","",IFERROR(IF(ISNUMBER(SEARCH(Assumptions!$C$5,E2239)),Assumptions!$D$5,IF(ISNUMBER(SEARCH(Assumptions!$C$6,E2239)),Assumptions!$D$6,IF(ISNUMBER(SEARCH(Assumptions!$C$7,E2239)),Assumptions!$D$7,"Other Services"))),"Other Services"))</f>
        <v/>
      </c>
    </row>
    <row r="2240" customFormat="false" ht="15" hidden="false" customHeight="false" outlineLevel="0" collapsed="false">
      <c r="G2240" s="41" t="str">
        <f aca="false">IF(E2240="","",IFERROR(IF(ISNUMBER(SEARCH(Assumptions!$C$5,E2240)),Assumptions!$D$5,IF(ISNUMBER(SEARCH(Assumptions!$C$6,E2240)),Assumptions!$D$6,IF(ISNUMBER(SEARCH(Assumptions!$C$7,E2240)),Assumptions!$D$7,"Other Services"))),"Other Services"))</f>
        <v/>
      </c>
    </row>
    <row r="2241" customFormat="false" ht="15" hidden="false" customHeight="false" outlineLevel="0" collapsed="false">
      <c r="G2241" s="41" t="str">
        <f aca="false">IF(E2241="","",IFERROR(IF(ISNUMBER(SEARCH(Assumptions!$C$5,E2241)),Assumptions!$D$5,IF(ISNUMBER(SEARCH(Assumptions!$C$6,E2241)),Assumptions!$D$6,IF(ISNUMBER(SEARCH(Assumptions!$C$7,E2241)),Assumptions!$D$7,"Other Services"))),"Other Services"))</f>
        <v/>
      </c>
    </row>
    <row r="2242" customFormat="false" ht="15" hidden="false" customHeight="false" outlineLevel="0" collapsed="false">
      <c r="G2242" s="41" t="str">
        <f aca="false">IF(E2242="","",IFERROR(IF(ISNUMBER(SEARCH(Assumptions!$C$5,E2242)),Assumptions!$D$5,IF(ISNUMBER(SEARCH(Assumptions!$C$6,E2242)),Assumptions!$D$6,IF(ISNUMBER(SEARCH(Assumptions!$C$7,E2242)),Assumptions!$D$7,"Other Services"))),"Other Services"))</f>
        <v/>
      </c>
    </row>
    <row r="2243" customFormat="false" ht="15" hidden="false" customHeight="false" outlineLevel="0" collapsed="false">
      <c r="G2243" s="41" t="str">
        <f aca="false">IF(E2243="","",IFERROR(IF(ISNUMBER(SEARCH(Assumptions!$C$5,E2243)),Assumptions!$D$5,IF(ISNUMBER(SEARCH(Assumptions!$C$6,E2243)),Assumptions!$D$6,IF(ISNUMBER(SEARCH(Assumptions!$C$7,E2243)),Assumptions!$D$7,"Other Services"))),"Other Services"))</f>
        <v/>
      </c>
    </row>
    <row r="2244" customFormat="false" ht="15" hidden="false" customHeight="false" outlineLevel="0" collapsed="false">
      <c r="G2244" s="41" t="str">
        <f aca="false">IF(E2244="","",IFERROR(IF(ISNUMBER(SEARCH(Assumptions!$C$5,E2244)),Assumptions!$D$5,IF(ISNUMBER(SEARCH(Assumptions!$C$6,E2244)),Assumptions!$D$6,IF(ISNUMBER(SEARCH(Assumptions!$C$7,E2244)),Assumptions!$D$7,"Other Services"))),"Other Services"))</f>
        <v/>
      </c>
    </row>
    <row r="2245" customFormat="false" ht="15" hidden="false" customHeight="false" outlineLevel="0" collapsed="false">
      <c r="G2245" s="41" t="str">
        <f aca="false">IF(E2245="","",IFERROR(IF(ISNUMBER(SEARCH(Assumptions!$C$5,E2245)),Assumptions!$D$5,IF(ISNUMBER(SEARCH(Assumptions!$C$6,E2245)),Assumptions!$D$6,IF(ISNUMBER(SEARCH(Assumptions!$C$7,E2245)),Assumptions!$D$7,"Other Services"))),"Other Services"))</f>
        <v/>
      </c>
    </row>
    <row r="2246" customFormat="false" ht="15" hidden="false" customHeight="false" outlineLevel="0" collapsed="false">
      <c r="G2246" s="41" t="str">
        <f aca="false">IF(E2246="","",IFERROR(IF(ISNUMBER(SEARCH(Assumptions!$C$5,E2246)),Assumptions!$D$5,IF(ISNUMBER(SEARCH(Assumptions!$C$6,E2246)),Assumptions!$D$6,IF(ISNUMBER(SEARCH(Assumptions!$C$7,E2246)),Assumptions!$D$7,"Other Services"))),"Other Services"))</f>
        <v/>
      </c>
    </row>
    <row r="2247" customFormat="false" ht="15" hidden="false" customHeight="false" outlineLevel="0" collapsed="false">
      <c r="G2247" s="41" t="str">
        <f aca="false">IF(E2247="","",IFERROR(IF(ISNUMBER(SEARCH(Assumptions!$C$5,E2247)),Assumptions!$D$5,IF(ISNUMBER(SEARCH(Assumptions!$C$6,E2247)),Assumptions!$D$6,IF(ISNUMBER(SEARCH(Assumptions!$C$7,E2247)),Assumptions!$D$7,"Other Services"))),"Other Services"))</f>
        <v/>
      </c>
    </row>
    <row r="2248" customFormat="false" ht="15" hidden="false" customHeight="false" outlineLevel="0" collapsed="false">
      <c r="G2248" s="41" t="str">
        <f aca="false">IF(E2248="","",IFERROR(IF(ISNUMBER(SEARCH(Assumptions!$C$5,E2248)),Assumptions!$D$5,IF(ISNUMBER(SEARCH(Assumptions!$C$6,E2248)),Assumptions!$D$6,IF(ISNUMBER(SEARCH(Assumptions!$C$7,E2248)),Assumptions!$D$7,"Other Services"))),"Other Services"))</f>
        <v/>
      </c>
    </row>
    <row r="2249" customFormat="false" ht="15" hidden="false" customHeight="false" outlineLevel="0" collapsed="false">
      <c r="G2249" s="41" t="str">
        <f aca="false">IF(E2249="","",IFERROR(IF(ISNUMBER(SEARCH(Assumptions!$C$5,E2249)),Assumptions!$D$5,IF(ISNUMBER(SEARCH(Assumptions!$C$6,E2249)),Assumptions!$D$6,IF(ISNUMBER(SEARCH(Assumptions!$C$7,E2249)),Assumptions!$D$7,"Other Services"))),"Other Services"))</f>
        <v/>
      </c>
    </row>
    <row r="2250" customFormat="false" ht="15" hidden="false" customHeight="false" outlineLevel="0" collapsed="false">
      <c r="G2250" s="41" t="str">
        <f aca="false">IF(E2250="","",IFERROR(IF(ISNUMBER(SEARCH(Assumptions!$C$5,E2250)),Assumptions!$D$5,IF(ISNUMBER(SEARCH(Assumptions!$C$6,E2250)),Assumptions!$D$6,IF(ISNUMBER(SEARCH(Assumptions!$C$7,E2250)),Assumptions!$D$7,"Other Services"))),"Other Services"))</f>
        <v/>
      </c>
    </row>
    <row r="2251" customFormat="false" ht="15" hidden="false" customHeight="false" outlineLevel="0" collapsed="false">
      <c r="G2251" s="41" t="str">
        <f aca="false">IF(E2251="","",IFERROR(IF(ISNUMBER(SEARCH(Assumptions!$C$5,E2251)),Assumptions!$D$5,IF(ISNUMBER(SEARCH(Assumptions!$C$6,E2251)),Assumptions!$D$6,IF(ISNUMBER(SEARCH(Assumptions!$C$7,E2251)),Assumptions!$D$7,"Other Services"))),"Other Services"))</f>
        <v/>
      </c>
    </row>
    <row r="2252" customFormat="false" ht="15" hidden="false" customHeight="false" outlineLevel="0" collapsed="false">
      <c r="G2252" s="41" t="str">
        <f aca="false">IF(E2252="","",IFERROR(IF(ISNUMBER(SEARCH(Assumptions!$C$5,E2252)),Assumptions!$D$5,IF(ISNUMBER(SEARCH(Assumptions!$C$6,E2252)),Assumptions!$D$6,IF(ISNUMBER(SEARCH(Assumptions!$C$7,E2252)),Assumptions!$D$7,"Other Services"))),"Other Services"))</f>
        <v/>
      </c>
    </row>
    <row r="2253" customFormat="false" ht="15" hidden="false" customHeight="false" outlineLevel="0" collapsed="false">
      <c r="G2253" s="41" t="str">
        <f aca="false">IF(E2253="","",IFERROR(IF(ISNUMBER(SEARCH(Assumptions!$C$5,E2253)),Assumptions!$D$5,IF(ISNUMBER(SEARCH(Assumptions!$C$6,E2253)),Assumptions!$D$6,IF(ISNUMBER(SEARCH(Assumptions!$C$7,E2253)),Assumptions!$D$7,"Other Services"))),"Other Services"))</f>
        <v/>
      </c>
    </row>
    <row r="2254" customFormat="false" ht="15" hidden="false" customHeight="false" outlineLevel="0" collapsed="false">
      <c r="G2254" s="41" t="str">
        <f aca="false">IF(E2254="","",IFERROR(IF(ISNUMBER(SEARCH(Assumptions!$C$5,E2254)),Assumptions!$D$5,IF(ISNUMBER(SEARCH(Assumptions!$C$6,E2254)),Assumptions!$D$6,IF(ISNUMBER(SEARCH(Assumptions!$C$7,E2254)),Assumptions!$D$7,"Other Services"))),"Other Services"))</f>
        <v/>
      </c>
    </row>
    <row r="2255" customFormat="false" ht="15" hidden="false" customHeight="false" outlineLevel="0" collapsed="false">
      <c r="G2255" s="41" t="str">
        <f aca="false">IF(E2255="","",IFERROR(IF(ISNUMBER(SEARCH(Assumptions!$C$5,E2255)),Assumptions!$D$5,IF(ISNUMBER(SEARCH(Assumptions!$C$6,E2255)),Assumptions!$D$6,IF(ISNUMBER(SEARCH(Assumptions!$C$7,E2255)),Assumptions!$D$7,"Other Services"))),"Other Services"))</f>
        <v/>
      </c>
    </row>
    <row r="2256" customFormat="false" ht="15" hidden="false" customHeight="false" outlineLevel="0" collapsed="false">
      <c r="G2256" s="41" t="str">
        <f aca="false">IF(E2256="","",IFERROR(IF(ISNUMBER(SEARCH(Assumptions!$C$5,E2256)),Assumptions!$D$5,IF(ISNUMBER(SEARCH(Assumptions!$C$6,E2256)),Assumptions!$D$6,IF(ISNUMBER(SEARCH(Assumptions!$C$7,E2256)),Assumptions!$D$7,"Other Services"))),"Other Services"))</f>
        <v/>
      </c>
    </row>
    <row r="2257" customFormat="false" ht="15" hidden="false" customHeight="false" outlineLevel="0" collapsed="false">
      <c r="G2257" s="41" t="str">
        <f aca="false">IF(E2257="","",IFERROR(IF(ISNUMBER(SEARCH(Assumptions!$C$5,E2257)),Assumptions!$D$5,IF(ISNUMBER(SEARCH(Assumptions!$C$6,E2257)),Assumptions!$D$6,IF(ISNUMBER(SEARCH(Assumptions!$C$7,E2257)),Assumptions!$D$7,"Other Services"))),"Other Services"))</f>
        <v/>
      </c>
    </row>
    <row r="2258" customFormat="false" ht="15" hidden="false" customHeight="false" outlineLevel="0" collapsed="false">
      <c r="G2258" s="41" t="str">
        <f aca="false">IF(E2258="","",IFERROR(IF(ISNUMBER(SEARCH(Assumptions!$C$5,E2258)),Assumptions!$D$5,IF(ISNUMBER(SEARCH(Assumptions!$C$6,E2258)),Assumptions!$D$6,IF(ISNUMBER(SEARCH(Assumptions!$C$7,E2258)),Assumptions!$D$7,"Other Services"))),"Other Services"))</f>
        <v/>
      </c>
    </row>
    <row r="2259" customFormat="false" ht="15" hidden="false" customHeight="false" outlineLevel="0" collapsed="false">
      <c r="G2259" s="41" t="str">
        <f aca="false">IF(E2259="","",IFERROR(IF(ISNUMBER(SEARCH(Assumptions!$C$5,E2259)),Assumptions!$D$5,IF(ISNUMBER(SEARCH(Assumptions!$C$6,E2259)),Assumptions!$D$6,IF(ISNUMBER(SEARCH(Assumptions!$C$7,E2259)),Assumptions!$D$7,"Other Services"))),"Other Services"))</f>
        <v/>
      </c>
    </row>
    <row r="2260" customFormat="false" ht="15" hidden="false" customHeight="false" outlineLevel="0" collapsed="false">
      <c r="G2260" s="41" t="str">
        <f aca="false">IF(E2260="","",IFERROR(IF(ISNUMBER(SEARCH(Assumptions!$C$5,E2260)),Assumptions!$D$5,IF(ISNUMBER(SEARCH(Assumptions!$C$6,E2260)),Assumptions!$D$6,IF(ISNUMBER(SEARCH(Assumptions!$C$7,E2260)),Assumptions!$D$7,"Other Services"))),"Other Services"))</f>
        <v/>
      </c>
    </row>
    <row r="2261" customFormat="false" ht="15" hidden="false" customHeight="false" outlineLevel="0" collapsed="false">
      <c r="G2261" s="41" t="str">
        <f aca="false">IF(E2261="","",IFERROR(IF(ISNUMBER(SEARCH(Assumptions!$C$5,E2261)),Assumptions!$D$5,IF(ISNUMBER(SEARCH(Assumptions!$C$6,E2261)),Assumptions!$D$6,IF(ISNUMBER(SEARCH(Assumptions!$C$7,E2261)),Assumptions!$D$7,"Other Services"))),"Other Services"))</f>
        <v/>
      </c>
    </row>
    <row r="2262" customFormat="false" ht="15" hidden="false" customHeight="false" outlineLevel="0" collapsed="false">
      <c r="G2262" s="41" t="str">
        <f aca="false">IF(E2262="","",IFERROR(IF(ISNUMBER(SEARCH(Assumptions!$C$5,E2262)),Assumptions!$D$5,IF(ISNUMBER(SEARCH(Assumptions!$C$6,E2262)),Assumptions!$D$6,IF(ISNUMBER(SEARCH(Assumptions!$C$7,E2262)),Assumptions!$D$7,"Other Services"))),"Other Services"))</f>
        <v/>
      </c>
    </row>
    <row r="2263" customFormat="false" ht="15" hidden="false" customHeight="false" outlineLevel="0" collapsed="false">
      <c r="G2263" s="41" t="str">
        <f aca="false">IF(E2263="","",IFERROR(IF(ISNUMBER(SEARCH(Assumptions!$C$5,E2263)),Assumptions!$D$5,IF(ISNUMBER(SEARCH(Assumptions!$C$6,E2263)),Assumptions!$D$6,IF(ISNUMBER(SEARCH(Assumptions!$C$7,E2263)),Assumptions!$D$7,"Other Services"))),"Other Services"))</f>
        <v/>
      </c>
    </row>
    <row r="2264" customFormat="false" ht="15" hidden="false" customHeight="false" outlineLevel="0" collapsed="false">
      <c r="G2264" s="41" t="str">
        <f aca="false">IF(E2264="","",IFERROR(IF(ISNUMBER(SEARCH(Assumptions!$C$5,E2264)),Assumptions!$D$5,IF(ISNUMBER(SEARCH(Assumptions!$C$6,E2264)),Assumptions!$D$6,IF(ISNUMBER(SEARCH(Assumptions!$C$7,E2264)),Assumptions!$D$7,"Other Services"))),"Other Services"))</f>
        <v/>
      </c>
    </row>
    <row r="2265" customFormat="false" ht="15" hidden="false" customHeight="false" outlineLevel="0" collapsed="false">
      <c r="G2265" s="41" t="str">
        <f aca="false">IF(E2265="","",IFERROR(IF(ISNUMBER(SEARCH(Assumptions!$C$5,E2265)),Assumptions!$D$5,IF(ISNUMBER(SEARCH(Assumptions!$C$6,E2265)),Assumptions!$D$6,IF(ISNUMBER(SEARCH(Assumptions!$C$7,E2265)),Assumptions!$D$7,"Other Services"))),"Other Services"))</f>
        <v/>
      </c>
    </row>
    <row r="2266" customFormat="false" ht="15" hidden="false" customHeight="false" outlineLevel="0" collapsed="false">
      <c r="G2266" s="41" t="str">
        <f aca="false">IF(E2266="","",IFERROR(IF(ISNUMBER(SEARCH(Assumptions!$C$5,E2266)),Assumptions!$D$5,IF(ISNUMBER(SEARCH(Assumptions!$C$6,E2266)),Assumptions!$D$6,IF(ISNUMBER(SEARCH(Assumptions!$C$7,E2266)),Assumptions!$D$7,"Other Services"))),"Other Services"))</f>
        <v/>
      </c>
    </row>
    <row r="2267" customFormat="false" ht="15" hidden="false" customHeight="false" outlineLevel="0" collapsed="false">
      <c r="G2267" s="41" t="str">
        <f aca="false">IF(E2267="","",IFERROR(IF(ISNUMBER(SEARCH(Assumptions!$C$5,E2267)),Assumptions!$D$5,IF(ISNUMBER(SEARCH(Assumptions!$C$6,E2267)),Assumptions!$D$6,IF(ISNUMBER(SEARCH(Assumptions!$C$7,E2267)),Assumptions!$D$7,"Other Services"))),"Other Services"))</f>
        <v/>
      </c>
    </row>
    <row r="2268" customFormat="false" ht="15" hidden="false" customHeight="false" outlineLevel="0" collapsed="false">
      <c r="G2268" s="41" t="str">
        <f aca="false">IF(E2268="","",IFERROR(IF(ISNUMBER(SEARCH(Assumptions!$C$5,E2268)),Assumptions!$D$5,IF(ISNUMBER(SEARCH(Assumptions!$C$6,E2268)),Assumptions!$D$6,IF(ISNUMBER(SEARCH(Assumptions!$C$7,E2268)),Assumptions!$D$7,"Other Services"))),"Other Services"))</f>
        <v/>
      </c>
    </row>
    <row r="2269" customFormat="false" ht="15" hidden="false" customHeight="false" outlineLevel="0" collapsed="false">
      <c r="G2269" s="41" t="str">
        <f aca="false">IF(E2269="","",IFERROR(IF(ISNUMBER(SEARCH(Assumptions!$C$5,E2269)),Assumptions!$D$5,IF(ISNUMBER(SEARCH(Assumptions!$C$6,E2269)),Assumptions!$D$6,IF(ISNUMBER(SEARCH(Assumptions!$C$7,E2269)),Assumptions!$D$7,"Other Services"))),"Other Services"))</f>
        <v/>
      </c>
    </row>
    <row r="2270" customFormat="false" ht="15" hidden="false" customHeight="false" outlineLevel="0" collapsed="false">
      <c r="G2270" s="41" t="str">
        <f aca="false">IF(E2270="","",IFERROR(IF(ISNUMBER(SEARCH(Assumptions!$C$5,E2270)),Assumptions!$D$5,IF(ISNUMBER(SEARCH(Assumptions!$C$6,E2270)),Assumptions!$D$6,IF(ISNUMBER(SEARCH(Assumptions!$C$7,E2270)),Assumptions!$D$7,"Other Services"))),"Other Services"))</f>
        <v/>
      </c>
    </row>
    <row r="2271" customFormat="false" ht="15" hidden="false" customHeight="false" outlineLevel="0" collapsed="false">
      <c r="G2271" s="41" t="str">
        <f aca="false">IF(E2271="","",IFERROR(IF(ISNUMBER(SEARCH(Assumptions!$C$5,E2271)),Assumptions!$D$5,IF(ISNUMBER(SEARCH(Assumptions!$C$6,E2271)),Assumptions!$D$6,IF(ISNUMBER(SEARCH(Assumptions!$C$7,E2271)),Assumptions!$D$7,"Other Services"))),"Other Services"))</f>
        <v/>
      </c>
    </row>
    <row r="2272" customFormat="false" ht="15" hidden="false" customHeight="false" outlineLevel="0" collapsed="false">
      <c r="G2272" s="41" t="str">
        <f aca="false">IF(E2272="","",IFERROR(IF(ISNUMBER(SEARCH(Assumptions!$C$5,E2272)),Assumptions!$D$5,IF(ISNUMBER(SEARCH(Assumptions!$C$6,E2272)),Assumptions!$D$6,IF(ISNUMBER(SEARCH(Assumptions!$C$7,E2272)),Assumptions!$D$7,"Other Services"))),"Other Services"))</f>
        <v/>
      </c>
    </row>
    <row r="2273" customFormat="false" ht="15" hidden="false" customHeight="false" outlineLevel="0" collapsed="false">
      <c r="G2273" s="41" t="str">
        <f aca="false">IF(E2273="","",IFERROR(IF(ISNUMBER(SEARCH(Assumptions!$C$5,E2273)),Assumptions!$D$5,IF(ISNUMBER(SEARCH(Assumptions!$C$6,E2273)),Assumptions!$D$6,IF(ISNUMBER(SEARCH(Assumptions!$C$7,E2273)),Assumptions!$D$7,"Other Services"))),"Other Services"))</f>
        <v/>
      </c>
    </row>
    <row r="2274" customFormat="false" ht="15" hidden="false" customHeight="false" outlineLevel="0" collapsed="false">
      <c r="G2274" s="41" t="str">
        <f aca="false">IF(E2274="","",IFERROR(IF(ISNUMBER(SEARCH(Assumptions!$C$5,E2274)),Assumptions!$D$5,IF(ISNUMBER(SEARCH(Assumptions!$C$6,E2274)),Assumptions!$D$6,IF(ISNUMBER(SEARCH(Assumptions!$C$7,E2274)),Assumptions!$D$7,"Other Services"))),"Other Services"))</f>
        <v/>
      </c>
    </row>
    <row r="2275" customFormat="false" ht="15" hidden="false" customHeight="false" outlineLevel="0" collapsed="false">
      <c r="G2275" s="41" t="str">
        <f aca="false">IF(E2275="","",IFERROR(IF(ISNUMBER(SEARCH(Assumptions!$C$5,E2275)),Assumptions!$D$5,IF(ISNUMBER(SEARCH(Assumptions!$C$6,E2275)),Assumptions!$D$6,IF(ISNUMBER(SEARCH(Assumptions!$C$7,E2275)),Assumptions!$D$7,"Other Services"))),"Other Services"))</f>
        <v/>
      </c>
    </row>
    <row r="2276" customFormat="false" ht="15" hidden="false" customHeight="false" outlineLevel="0" collapsed="false">
      <c r="G2276" s="41" t="str">
        <f aca="false">IF(E2276="","",IFERROR(IF(ISNUMBER(SEARCH(Assumptions!$C$5,E2276)),Assumptions!$D$5,IF(ISNUMBER(SEARCH(Assumptions!$C$6,E2276)),Assumptions!$D$6,IF(ISNUMBER(SEARCH(Assumptions!$C$7,E2276)),Assumptions!$D$7,"Other Services"))),"Other Services"))</f>
        <v/>
      </c>
    </row>
    <row r="2277" customFormat="false" ht="15" hidden="false" customHeight="false" outlineLevel="0" collapsed="false">
      <c r="G2277" s="41" t="str">
        <f aca="false">IF(E2277="","",IFERROR(IF(ISNUMBER(SEARCH(Assumptions!$C$5,E2277)),Assumptions!$D$5,IF(ISNUMBER(SEARCH(Assumptions!$C$6,E2277)),Assumptions!$D$6,IF(ISNUMBER(SEARCH(Assumptions!$C$7,E2277)),Assumptions!$D$7,"Other Services"))),"Other Services"))</f>
        <v/>
      </c>
    </row>
    <row r="2278" customFormat="false" ht="15" hidden="false" customHeight="false" outlineLevel="0" collapsed="false">
      <c r="G2278" s="41" t="str">
        <f aca="false">IF(E2278="","",IFERROR(IF(ISNUMBER(SEARCH(Assumptions!$C$5,E2278)),Assumptions!$D$5,IF(ISNUMBER(SEARCH(Assumptions!$C$6,E2278)),Assumptions!$D$6,IF(ISNUMBER(SEARCH(Assumptions!$C$7,E2278)),Assumptions!$D$7,"Other Services"))),"Other Services"))</f>
        <v/>
      </c>
    </row>
    <row r="2279" customFormat="false" ht="15" hidden="false" customHeight="false" outlineLevel="0" collapsed="false">
      <c r="G2279" s="41" t="str">
        <f aca="false">IF(E2279="","",IFERROR(IF(ISNUMBER(SEARCH(Assumptions!$C$5,E2279)),Assumptions!$D$5,IF(ISNUMBER(SEARCH(Assumptions!$C$6,E2279)),Assumptions!$D$6,IF(ISNUMBER(SEARCH(Assumptions!$C$7,E2279)),Assumptions!$D$7,"Other Services"))),"Other Services"))</f>
        <v/>
      </c>
    </row>
    <row r="2280" customFormat="false" ht="15" hidden="false" customHeight="false" outlineLevel="0" collapsed="false">
      <c r="G2280" s="41" t="str">
        <f aca="false">IF(E2280="","",IFERROR(IF(ISNUMBER(SEARCH(Assumptions!$C$5,E2280)),Assumptions!$D$5,IF(ISNUMBER(SEARCH(Assumptions!$C$6,E2280)),Assumptions!$D$6,IF(ISNUMBER(SEARCH(Assumptions!$C$7,E2280)),Assumptions!$D$7,"Other Services"))),"Other Services"))</f>
        <v/>
      </c>
    </row>
    <row r="2281" customFormat="false" ht="15" hidden="false" customHeight="false" outlineLevel="0" collapsed="false">
      <c r="G2281" s="41" t="str">
        <f aca="false">IF(E2281="","",IFERROR(IF(ISNUMBER(SEARCH(Assumptions!$C$5,E2281)),Assumptions!$D$5,IF(ISNUMBER(SEARCH(Assumptions!$C$6,E2281)),Assumptions!$D$6,IF(ISNUMBER(SEARCH(Assumptions!$C$7,E2281)),Assumptions!$D$7,"Other Services"))),"Other Services"))</f>
        <v/>
      </c>
    </row>
    <row r="2282" customFormat="false" ht="15" hidden="false" customHeight="false" outlineLevel="0" collapsed="false">
      <c r="G2282" s="41" t="str">
        <f aca="false">IF(E2282="","",IFERROR(IF(ISNUMBER(SEARCH(Assumptions!$C$5,E2282)),Assumptions!$D$5,IF(ISNUMBER(SEARCH(Assumptions!$C$6,E2282)),Assumptions!$D$6,IF(ISNUMBER(SEARCH(Assumptions!$C$7,E2282)),Assumptions!$D$7,"Other Services"))),"Other Services"))</f>
        <v/>
      </c>
    </row>
    <row r="2283" customFormat="false" ht="15" hidden="false" customHeight="false" outlineLevel="0" collapsed="false">
      <c r="G2283" s="41" t="str">
        <f aca="false">IF(E2283="","",IFERROR(IF(ISNUMBER(SEARCH(Assumptions!$C$5,E2283)),Assumptions!$D$5,IF(ISNUMBER(SEARCH(Assumptions!$C$6,E2283)),Assumptions!$D$6,IF(ISNUMBER(SEARCH(Assumptions!$C$7,E2283)),Assumptions!$D$7,"Other Services"))),"Other Services"))</f>
        <v/>
      </c>
    </row>
    <row r="2284" customFormat="false" ht="15" hidden="false" customHeight="false" outlineLevel="0" collapsed="false">
      <c r="G2284" s="41" t="str">
        <f aca="false">IF(E2284="","",IFERROR(IF(ISNUMBER(SEARCH(Assumptions!$C$5,E2284)),Assumptions!$D$5,IF(ISNUMBER(SEARCH(Assumptions!$C$6,E2284)),Assumptions!$D$6,IF(ISNUMBER(SEARCH(Assumptions!$C$7,E2284)),Assumptions!$D$7,"Other Services"))),"Other Services"))</f>
        <v/>
      </c>
    </row>
    <row r="2285" customFormat="false" ht="15" hidden="false" customHeight="false" outlineLevel="0" collapsed="false">
      <c r="G2285" s="41" t="str">
        <f aca="false">IF(E2285="","",IFERROR(IF(ISNUMBER(SEARCH(Assumptions!$C$5,E2285)),Assumptions!$D$5,IF(ISNUMBER(SEARCH(Assumptions!$C$6,E2285)),Assumptions!$D$6,IF(ISNUMBER(SEARCH(Assumptions!$C$7,E2285)),Assumptions!$D$7,"Other Services"))),"Other Services"))</f>
        <v/>
      </c>
    </row>
    <row r="2286" customFormat="false" ht="15" hidden="false" customHeight="false" outlineLevel="0" collapsed="false">
      <c r="G2286" s="41" t="str">
        <f aca="false">IF(E2286="","",IFERROR(IF(ISNUMBER(SEARCH(Assumptions!$C$5,E2286)),Assumptions!$D$5,IF(ISNUMBER(SEARCH(Assumptions!$C$6,E2286)),Assumptions!$D$6,IF(ISNUMBER(SEARCH(Assumptions!$C$7,E2286)),Assumptions!$D$7,"Other Services"))),"Other Services"))</f>
        <v/>
      </c>
    </row>
    <row r="2287" customFormat="false" ht="15" hidden="false" customHeight="false" outlineLevel="0" collapsed="false">
      <c r="G2287" s="41" t="str">
        <f aca="false">IF(E2287="","",IFERROR(IF(ISNUMBER(SEARCH(Assumptions!$C$5,E2287)),Assumptions!$D$5,IF(ISNUMBER(SEARCH(Assumptions!$C$6,E2287)),Assumptions!$D$6,IF(ISNUMBER(SEARCH(Assumptions!$C$7,E2287)),Assumptions!$D$7,"Other Services"))),"Other Services"))</f>
        <v/>
      </c>
    </row>
    <row r="2288" customFormat="false" ht="15" hidden="false" customHeight="false" outlineLevel="0" collapsed="false">
      <c r="G2288" s="41" t="str">
        <f aca="false">IF(E2288="","",IFERROR(IF(ISNUMBER(SEARCH(Assumptions!$C$5,E2288)),Assumptions!$D$5,IF(ISNUMBER(SEARCH(Assumptions!$C$6,E2288)),Assumptions!$D$6,IF(ISNUMBER(SEARCH(Assumptions!$C$7,E2288)),Assumptions!$D$7,"Other Services"))),"Other Services"))</f>
        <v/>
      </c>
    </row>
    <row r="2289" customFormat="false" ht="15" hidden="false" customHeight="false" outlineLevel="0" collapsed="false">
      <c r="G2289" s="41" t="str">
        <f aca="false">IF(E2289="","",IFERROR(IF(ISNUMBER(SEARCH(Assumptions!$C$5,E2289)),Assumptions!$D$5,IF(ISNUMBER(SEARCH(Assumptions!$C$6,E2289)),Assumptions!$D$6,IF(ISNUMBER(SEARCH(Assumptions!$C$7,E2289)),Assumptions!$D$7,"Other Services"))),"Other Services"))</f>
        <v/>
      </c>
    </row>
    <row r="2290" customFormat="false" ht="15" hidden="false" customHeight="false" outlineLevel="0" collapsed="false">
      <c r="G2290" s="41" t="str">
        <f aca="false">IF(E2290="","",IFERROR(IF(ISNUMBER(SEARCH(Assumptions!$C$5,E2290)),Assumptions!$D$5,IF(ISNUMBER(SEARCH(Assumptions!$C$6,E2290)),Assumptions!$D$6,IF(ISNUMBER(SEARCH(Assumptions!$C$7,E2290)),Assumptions!$D$7,"Other Services"))),"Other Services"))</f>
        <v/>
      </c>
    </row>
    <row r="2291" customFormat="false" ht="15" hidden="false" customHeight="false" outlineLevel="0" collapsed="false">
      <c r="G2291" s="41" t="str">
        <f aca="false">IF(E2291="","",IFERROR(IF(ISNUMBER(SEARCH(Assumptions!$C$5,E2291)),Assumptions!$D$5,IF(ISNUMBER(SEARCH(Assumptions!$C$6,E2291)),Assumptions!$D$6,IF(ISNUMBER(SEARCH(Assumptions!$C$7,E2291)),Assumptions!$D$7,"Other Services"))),"Other Services"))</f>
        <v/>
      </c>
    </row>
    <row r="2292" customFormat="false" ht="15" hidden="false" customHeight="false" outlineLevel="0" collapsed="false">
      <c r="G2292" s="41" t="str">
        <f aca="false">IF(E2292="","",IFERROR(IF(ISNUMBER(SEARCH(Assumptions!$C$5,E2292)),Assumptions!$D$5,IF(ISNUMBER(SEARCH(Assumptions!$C$6,E2292)),Assumptions!$D$6,IF(ISNUMBER(SEARCH(Assumptions!$C$7,E2292)),Assumptions!$D$7,"Other Services"))),"Other Services"))</f>
        <v/>
      </c>
    </row>
    <row r="2293" customFormat="false" ht="15" hidden="false" customHeight="false" outlineLevel="0" collapsed="false">
      <c r="G2293" s="41" t="str">
        <f aca="false">IF(E2293="","",IFERROR(IF(ISNUMBER(SEARCH(Assumptions!$C$5,E2293)),Assumptions!$D$5,IF(ISNUMBER(SEARCH(Assumptions!$C$6,E2293)),Assumptions!$D$6,IF(ISNUMBER(SEARCH(Assumptions!$C$7,E2293)),Assumptions!$D$7,"Other Services"))),"Other Services"))</f>
        <v/>
      </c>
    </row>
    <row r="2294" customFormat="false" ht="15" hidden="false" customHeight="false" outlineLevel="0" collapsed="false">
      <c r="G2294" s="41" t="str">
        <f aca="false">IF(E2294="","",IFERROR(IF(ISNUMBER(SEARCH(Assumptions!$C$5,E2294)),Assumptions!$D$5,IF(ISNUMBER(SEARCH(Assumptions!$C$6,E2294)),Assumptions!$D$6,IF(ISNUMBER(SEARCH(Assumptions!$C$7,E2294)),Assumptions!$D$7,"Other Services"))),"Other Services"))</f>
        <v/>
      </c>
    </row>
    <row r="2295" customFormat="false" ht="15" hidden="false" customHeight="false" outlineLevel="0" collapsed="false">
      <c r="G2295" s="41" t="str">
        <f aca="false">IF(E2295="","",IFERROR(IF(ISNUMBER(SEARCH(Assumptions!$C$5,E2295)),Assumptions!$D$5,IF(ISNUMBER(SEARCH(Assumptions!$C$6,E2295)),Assumptions!$D$6,IF(ISNUMBER(SEARCH(Assumptions!$C$7,E2295)),Assumptions!$D$7,"Other Services"))),"Other Services"))</f>
        <v/>
      </c>
    </row>
    <row r="2296" customFormat="false" ht="15" hidden="false" customHeight="false" outlineLevel="0" collapsed="false">
      <c r="G2296" s="41" t="str">
        <f aca="false">IF(E2296="","",IFERROR(IF(ISNUMBER(SEARCH(Assumptions!$C$5,E2296)),Assumptions!$D$5,IF(ISNUMBER(SEARCH(Assumptions!$C$6,E2296)),Assumptions!$D$6,IF(ISNUMBER(SEARCH(Assumptions!$C$7,E2296)),Assumptions!$D$7,"Other Services"))),"Other Services"))</f>
        <v/>
      </c>
    </row>
    <row r="2297" customFormat="false" ht="15" hidden="false" customHeight="false" outlineLevel="0" collapsed="false">
      <c r="G2297" s="41" t="str">
        <f aca="false">IF(E2297="","",IFERROR(IF(ISNUMBER(SEARCH(Assumptions!$C$5,E2297)),Assumptions!$D$5,IF(ISNUMBER(SEARCH(Assumptions!$C$6,E2297)),Assumptions!$D$6,IF(ISNUMBER(SEARCH(Assumptions!$C$7,E2297)),Assumptions!$D$7,"Other Services"))),"Other Services"))</f>
        <v/>
      </c>
    </row>
    <row r="2298" customFormat="false" ht="15" hidden="false" customHeight="false" outlineLevel="0" collapsed="false">
      <c r="G2298" s="41" t="str">
        <f aca="false">IF(E2298="","",IFERROR(IF(ISNUMBER(SEARCH(Assumptions!$C$5,E2298)),Assumptions!$D$5,IF(ISNUMBER(SEARCH(Assumptions!$C$6,E2298)),Assumptions!$D$6,IF(ISNUMBER(SEARCH(Assumptions!$C$7,E2298)),Assumptions!$D$7,"Other Services"))),"Other Services"))</f>
        <v/>
      </c>
    </row>
    <row r="2299" customFormat="false" ht="15" hidden="false" customHeight="false" outlineLevel="0" collapsed="false">
      <c r="G2299" s="41" t="str">
        <f aca="false">IF(E2299="","",IFERROR(IF(ISNUMBER(SEARCH(Assumptions!$C$5,E2299)),Assumptions!$D$5,IF(ISNUMBER(SEARCH(Assumptions!$C$6,E2299)),Assumptions!$D$6,IF(ISNUMBER(SEARCH(Assumptions!$C$7,E2299)),Assumptions!$D$7,"Other Services"))),"Other Services"))</f>
        <v/>
      </c>
    </row>
    <row r="2300" customFormat="false" ht="15" hidden="false" customHeight="false" outlineLevel="0" collapsed="false">
      <c r="G2300" s="41" t="str">
        <f aca="false">IF(E2300="","",IFERROR(IF(ISNUMBER(SEARCH(Assumptions!$C$5,E2300)),Assumptions!$D$5,IF(ISNUMBER(SEARCH(Assumptions!$C$6,E2300)),Assumptions!$D$6,IF(ISNUMBER(SEARCH(Assumptions!$C$7,E2300)),Assumptions!$D$7,"Other Services"))),"Other Services"))</f>
        <v/>
      </c>
    </row>
    <row r="2301" customFormat="false" ht="15" hidden="false" customHeight="false" outlineLevel="0" collapsed="false">
      <c r="G2301" s="41" t="str">
        <f aca="false">IF(E2301="","",IFERROR(IF(ISNUMBER(SEARCH(Assumptions!$C$5,E2301)),Assumptions!$D$5,IF(ISNUMBER(SEARCH(Assumptions!$C$6,E2301)),Assumptions!$D$6,IF(ISNUMBER(SEARCH(Assumptions!$C$7,E2301)),Assumptions!$D$7,"Other Services"))),"Other Services"))</f>
        <v/>
      </c>
    </row>
    <row r="2302" customFormat="false" ht="15" hidden="false" customHeight="false" outlineLevel="0" collapsed="false">
      <c r="G2302" s="41" t="str">
        <f aca="false">IF(E2302="","",IFERROR(IF(ISNUMBER(SEARCH(Assumptions!$C$5,E2302)),Assumptions!$D$5,IF(ISNUMBER(SEARCH(Assumptions!$C$6,E2302)),Assumptions!$D$6,IF(ISNUMBER(SEARCH(Assumptions!$C$7,E2302)),Assumptions!$D$7,"Other Services"))),"Other Services"))</f>
        <v/>
      </c>
    </row>
    <row r="2303" customFormat="false" ht="15" hidden="false" customHeight="false" outlineLevel="0" collapsed="false">
      <c r="G2303" s="41" t="str">
        <f aca="false">IF(E2303="","",IFERROR(IF(ISNUMBER(SEARCH(Assumptions!$C$5,E2303)),Assumptions!$D$5,IF(ISNUMBER(SEARCH(Assumptions!$C$6,E2303)),Assumptions!$D$6,IF(ISNUMBER(SEARCH(Assumptions!$C$7,E2303)),Assumptions!$D$7,"Other Services"))),"Other Services"))</f>
        <v/>
      </c>
    </row>
    <row r="2304" customFormat="false" ht="15" hidden="false" customHeight="false" outlineLevel="0" collapsed="false">
      <c r="G2304" s="41" t="str">
        <f aca="false">IF(E2304="","",IFERROR(IF(ISNUMBER(SEARCH(Assumptions!$C$5,E2304)),Assumptions!$D$5,IF(ISNUMBER(SEARCH(Assumptions!$C$6,E2304)),Assumptions!$D$6,IF(ISNUMBER(SEARCH(Assumptions!$C$7,E2304)),Assumptions!$D$7,"Other Services"))),"Other Services"))</f>
        <v/>
      </c>
    </row>
    <row r="2305" customFormat="false" ht="15" hidden="false" customHeight="false" outlineLevel="0" collapsed="false">
      <c r="G2305" s="41" t="str">
        <f aca="false">IF(E2305="","",IFERROR(IF(ISNUMBER(SEARCH(Assumptions!$C$5,E2305)),Assumptions!$D$5,IF(ISNUMBER(SEARCH(Assumptions!$C$6,E2305)),Assumptions!$D$6,IF(ISNUMBER(SEARCH(Assumptions!$C$7,E2305)),Assumptions!$D$7,"Other Services"))),"Other Services"))</f>
        <v/>
      </c>
    </row>
    <row r="2306" customFormat="false" ht="15" hidden="false" customHeight="false" outlineLevel="0" collapsed="false">
      <c r="G2306" s="41" t="str">
        <f aca="false">IF(E2306="","",IFERROR(IF(ISNUMBER(SEARCH(Assumptions!$C$5,E2306)),Assumptions!$D$5,IF(ISNUMBER(SEARCH(Assumptions!$C$6,E2306)),Assumptions!$D$6,IF(ISNUMBER(SEARCH(Assumptions!$C$7,E2306)),Assumptions!$D$7,"Other Services"))),"Other Services"))</f>
        <v/>
      </c>
    </row>
    <row r="2307" customFormat="false" ht="15" hidden="false" customHeight="false" outlineLevel="0" collapsed="false">
      <c r="G2307" s="41" t="str">
        <f aca="false">IF(E2307="","",IFERROR(IF(ISNUMBER(SEARCH(Assumptions!$C$5,E2307)),Assumptions!$D$5,IF(ISNUMBER(SEARCH(Assumptions!$C$6,E2307)),Assumptions!$D$6,IF(ISNUMBER(SEARCH(Assumptions!$C$7,E2307)),Assumptions!$D$7,"Other Services"))),"Other Services"))</f>
        <v/>
      </c>
    </row>
    <row r="2308" customFormat="false" ht="15" hidden="false" customHeight="false" outlineLevel="0" collapsed="false">
      <c r="G2308" s="41" t="str">
        <f aca="false">IF(E2308="","",IFERROR(IF(ISNUMBER(SEARCH(Assumptions!$C$5,E2308)),Assumptions!$D$5,IF(ISNUMBER(SEARCH(Assumptions!$C$6,E2308)),Assumptions!$D$6,IF(ISNUMBER(SEARCH(Assumptions!$C$7,E2308)),Assumptions!$D$7,"Other Services"))),"Other Services"))</f>
        <v/>
      </c>
    </row>
    <row r="2309" customFormat="false" ht="15" hidden="false" customHeight="false" outlineLevel="0" collapsed="false">
      <c r="G2309" s="41" t="str">
        <f aca="false">IF(E2309="","",IFERROR(IF(ISNUMBER(SEARCH(Assumptions!$C$5,E2309)),Assumptions!$D$5,IF(ISNUMBER(SEARCH(Assumptions!$C$6,E2309)),Assumptions!$D$6,IF(ISNUMBER(SEARCH(Assumptions!$C$7,E2309)),Assumptions!$D$7,"Other Services"))),"Other Services"))</f>
        <v/>
      </c>
    </row>
    <row r="2310" customFormat="false" ht="15" hidden="false" customHeight="false" outlineLevel="0" collapsed="false">
      <c r="G2310" s="41" t="str">
        <f aca="false">IF(E2310="","",IFERROR(IF(ISNUMBER(SEARCH(Assumptions!$C$5,E2310)),Assumptions!$D$5,IF(ISNUMBER(SEARCH(Assumptions!$C$6,E2310)),Assumptions!$D$6,IF(ISNUMBER(SEARCH(Assumptions!$C$7,E2310)),Assumptions!$D$7,"Other Services"))),"Other Services"))</f>
        <v/>
      </c>
    </row>
    <row r="2311" customFormat="false" ht="15" hidden="false" customHeight="false" outlineLevel="0" collapsed="false">
      <c r="G2311" s="41" t="str">
        <f aca="false">IF(E2311="","",IFERROR(IF(ISNUMBER(SEARCH(Assumptions!$C$5,E2311)),Assumptions!$D$5,IF(ISNUMBER(SEARCH(Assumptions!$C$6,E2311)),Assumptions!$D$6,IF(ISNUMBER(SEARCH(Assumptions!$C$7,E2311)),Assumptions!$D$7,"Other Services"))),"Other Services"))</f>
        <v/>
      </c>
    </row>
    <row r="2312" customFormat="false" ht="15" hidden="false" customHeight="false" outlineLevel="0" collapsed="false">
      <c r="G2312" s="41" t="str">
        <f aca="false">IF(E2312="","",IFERROR(IF(ISNUMBER(SEARCH(Assumptions!$C$5,E2312)),Assumptions!$D$5,IF(ISNUMBER(SEARCH(Assumptions!$C$6,E2312)),Assumptions!$D$6,IF(ISNUMBER(SEARCH(Assumptions!$C$7,E2312)),Assumptions!$D$7,"Other Services"))),"Other Services"))</f>
        <v/>
      </c>
    </row>
    <row r="2313" customFormat="false" ht="15" hidden="false" customHeight="false" outlineLevel="0" collapsed="false">
      <c r="G2313" s="41" t="str">
        <f aca="false">IF(E2313="","",IFERROR(IF(ISNUMBER(SEARCH(Assumptions!$C$5,E2313)),Assumptions!$D$5,IF(ISNUMBER(SEARCH(Assumptions!$C$6,E2313)),Assumptions!$D$6,IF(ISNUMBER(SEARCH(Assumptions!$C$7,E2313)),Assumptions!$D$7,"Other Services"))),"Other Services"))</f>
        <v/>
      </c>
    </row>
    <row r="2314" customFormat="false" ht="15" hidden="false" customHeight="false" outlineLevel="0" collapsed="false">
      <c r="G2314" s="41" t="str">
        <f aca="false">IF(E2314="","",IFERROR(IF(ISNUMBER(SEARCH(Assumptions!$C$5,E2314)),Assumptions!$D$5,IF(ISNUMBER(SEARCH(Assumptions!$C$6,E2314)),Assumptions!$D$6,IF(ISNUMBER(SEARCH(Assumptions!$C$7,E2314)),Assumptions!$D$7,"Other Services"))),"Other Services"))</f>
        <v/>
      </c>
    </row>
    <row r="2315" customFormat="false" ht="15" hidden="false" customHeight="false" outlineLevel="0" collapsed="false">
      <c r="G2315" s="41" t="str">
        <f aca="false">IF(E2315="","",IFERROR(IF(ISNUMBER(SEARCH(Assumptions!$C$5,E2315)),Assumptions!$D$5,IF(ISNUMBER(SEARCH(Assumptions!$C$6,E2315)),Assumptions!$D$6,IF(ISNUMBER(SEARCH(Assumptions!$C$7,E2315)),Assumptions!$D$7,"Other Services"))),"Other Services"))</f>
        <v/>
      </c>
    </row>
    <row r="2316" customFormat="false" ht="15" hidden="false" customHeight="false" outlineLevel="0" collapsed="false">
      <c r="G2316" s="41" t="str">
        <f aca="false">IF(E2316="","",IFERROR(IF(ISNUMBER(SEARCH(Assumptions!$C$5,E2316)),Assumptions!$D$5,IF(ISNUMBER(SEARCH(Assumptions!$C$6,E2316)),Assumptions!$D$6,IF(ISNUMBER(SEARCH(Assumptions!$C$7,E2316)),Assumptions!$D$7,"Other Services"))),"Other Services"))</f>
        <v/>
      </c>
    </row>
    <row r="2317" customFormat="false" ht="15" hidden="false" customHeight="false" outlineLevel="0" collapsed="false">
      <c r="G2317" s="41" t="str">
        <f aca="false">IF(E2317="","",IFERROR(IF(ISNUMBER(SEARCH(Assumptions!$C$5,E2317)),Assumptions!$D$5,IF(ISNUMBER(SEARCH(Assumptions!$C$6,E2317)),Assumptions!$D$6,IF(ISNUMBER(SEARCH(Assumptions!$C$7,E2317)),Assumptions!$D$7,"Other Services"))),"Other Services"))</f>
        <v/>
      </c>
    </row>
    <row r="2318" customFormat="false" ht="15" hidden="false" customHeight="false" outlineLevel="0" collapsed="false">
      <c r="G2318" s="41" t="str">
        <f aca="false">IF(E2318="","",IFERROR(IF(ISNUMBER(SEARCH(Assumptions!$C$5,E2318)),Assumptions!$D$5,IF(ISNUMBER(SEARCH(Assumptions!$C$6,E2318)),Assumptions!$D$6,IF(ISNUMBER(SEARCH(Assumptions!$C$7,E2318)),Assumptions!$D$7,"Other Services"))),"Other Services"))</f>
        <v/>
      </c>
    </row>
    <row r="2319" customFormat="false" ht="15" hidden="false" customHeight="false" outlineLevel="0" collapsed="false">
      <c r="G2319" s="41" t="str">
        <f aca="false">IF(E2319="","",IFERROR(IF(ISNUMBER(SEARCH(Assumptions!$C$5,E2319)),Assumptions!$D$5,IF(ISNUMBER(SEARCH(Assumptions!$C$6,E2319)),Assumptions!$D$6,IF(ISNUMBER(SEARCH(Assumptions!$C$7,E2319)),Assumptions!$D$7,"Other Services"))),"Other Services"))</f>
        <v/>
      </c>
    </row>
    <row r="2320" customFormat="false" ht="15" hidden="false" customHeight="false" outlineLevel="0" collapsed="false">
      <c r="G2320" s="41" t="str">
        <f aca="false">IF(E2320="","",IFERROR(IF(ISNUMBER(SEARCH(Assumptions!$C$5,E2320)),Assumptions!$D$5,IF(ISNUMBER(SEARCH(Assumptions!$C$6,E2320)),Assumptions!$D$6,IF(ISNUMBER(SEARCH(Assumptions!$C$7,E2320)),Assumptions!$D$7,"Other Services"))),"Other Services"))</f>
        <v/>
      </c>
    </row>
    <row r="2321" customFormat="false" ht="15" hidden="false" customHeight="false" outlineLevel="0" collapsed="false">
      <c r="G2321" s="41" t="str">
        <f aca="false">IF(E2321="","",IFERROR(IF(ISNUMBER(SEARCH(Assumptions!$C$5,E2321)),Assumptions!$D$5,IF(ISNUMBER(SEARCH(Assumptions!$C$6,E2321)),Assumptions!$D$6,IF(ISNUMBER(SEARCH(Assumptions!$C$7,E2321)),Assumptions!$D$7,"Other Services"))),"Other Services"))</f>
        <v/>
      </c>
    </row>
    <row r="2322" customFormat="false" ht="15" hidden="false" customHeight="false" outlineLevel="0" collapsed="false">
      <c r="G2322" s="41" t="str">
        <f aca="false">IF(E2322="","",IFERROR(IF(ISNUMBER(SEARCH(Assumptions!$C$5,E2322)),Assumptions!$D$5,IF(ISNUMBER(SEARCH(Assumptions!$C$6,E2322)),Assumptions!$D$6,IF(ISNUMBER(SEARCH(Assumptions!$C$7,E2322)),Assumptions!$D$7,"Other Services"))),"Other Services"))</f>
        <v/>
      </c>
    </row>
    <row r="2323" customFormat="false" ht="15" hidden="false" customHeight="false" outlineLevel="0" collapsed="false">
      <c r="G2323" s="41" t="str">
        <f aca="false">IF(E2323="","",IFERROR(IF(ISNUMBER(SEARCH(Assumptions!$C$5,E2323)),Assumptions!$D$5,IF(ISNUMBER(SEARCH(Assumptions!$C$6,E2323)),Assumptions!$D$6,IF(ISNUMBER(SEARCH(Assumptions!$C$7,E2323)),Assumptions!$D$7,"Other Services"))),"Other Services"))</f>
        <v/>
      </c>
    </row>
    <row r="2324" customFormat="false" ht="15" hidden="false" customHeight="false" outlineLevel="0" collapsed="false">
      <c r="G2324" s="41" t="str">
        <f aca="false">IF(E2324="","",IFERROR(IF(ISNUMBER(SEARCH(Assumptions!$C$5,E2324)),Assumptions!$D$5,IF(ISNUMBER(SEARCH(Assumptions!$C$6,E2324)),Assumptions!$D$6,IF(ISNUMBER(SEARCH(Assumptions!$C$7,E2324)),Assumptions!$D$7,"Other Services"))),"Other Services"))</f>
        <v/>
      </c>
    </row>
    <row r="2325" customFormat="false" ht="15" hidden="false" customHeight="false" outlineLevel="0" collapsed="false">
      <c r="G2325" s="41" t="str">
        <f aca="false">IF(E2325="","",IFERROR(IF(ISNUMBER(SEARCH(Assumptions!$C$5,E2325)),Assumptions!$D$5,IF(ISNUMBER(SEARCH(Assumptions!$C$6,E2325)),Assumptions!$D$6,IF(ISNUMBER(SEARCH(Assumptions!$C$7,E2325)),Assumptions!$D$7,"Other Services"))),"Other Services"))</f>
        <v/>
      </c>
    </row>
    <row r="2326" customFormat="false" ht="15" hidden="false" customHeight="false" outlineLevel="0" collapsed="false">
      <c r="G2326" s="41" t="str">
        <f aca="false">IF(E2326="","",IFERROR(IF(ISNUMBER(SEARCH(Assumptions!$C$5,E2326)),Assumptions!$D$5,IF(ISNUMBER(SEARCH(Assumptions!$C$6,E2326)),Assumptions!$D$6,IF(ISNUMBER(SEARCH(Assumptions!$C$7,E2326)),Assumptions!$D$7,"Other Services"))),"Other Services"))</f>
        <v/>
      </c>
    </row>
    <row r="2327" customFormat="false" ht="15" hidden="false" customHeight="false" outlineLevel="0" collapsed="false">
      <c r="G2327" s="41" t="str">
        <f aca="false">IF(E2327="","",IFERROR(IF(ISNUMBER(SEARCH(Assumptions!$C$5,E2327)),Assumptions!$D$5,IF(ISNUMBER(SEARCH(Assumptions!$C$6,E2327)),Assumptions!$D$6,IF(ISNUMBER(SEARCH(Assumptions!$C$7,E2327)),Assumptions!$D$7,"Other Services"))),"Other Services"))</f>
        <v/>
      </c>
    </row>
    <row r="2328" customFormat="false" ht="15" hidden="false" customHeight="false" outlineLevel="0" collapsed="false">
      <c r="G2328" s="41" t="str">
        <f aca="false">IF(E2328="","",IFERROR(IF(ISNUMBER(SEARCH(Assumptions!$C$5,E2328)),Assumptions!$D$5,IF(ISNUMBER(SEARCH(Assumptions!$C$6,E2328)),Assumptions!$D$6,IF(ISNUMBER(SEARCH(Assumptions!$C$7,E2328)),Assumptions!$D$7,"Other Services"))),"Other Services"))</f>
        <v/>
      </c>
    </row>
    <row r="2329" customFormat="false" ht="15" hidden="false" customHeight="false" outlineLevel="0" collapsed="false">
      <c r="G2329" s="41" t="str">
        <f aca="false">IF(E2329="","",IFERROR(IF(ISNUMBER(SEARCH(Assumptions!$C$5,E2329)),Assumptions!$D$5,IF(ISNUMBER(SEARCH(Assumptions!$C$6,E2329)),Assumptions!$D$6,IF(ISNUMBER(SEARCH(Assumptions!$C$7,E2329)),Assumptions!$D$7,"Other Services"))),"Other Services"))</f>
        <v/>
      </c>
    </row>
    <row r="2330" customFormat="false" ht="15" hidden="false" customHeight="false" outlineLevel="0" collapsed="false">
      <c r="G2330" s="41" t="str">
        <f aca="false">IF(E2330="","",IFERROR(IF(ISNUMBER(SEARCH(Assumptions!$C$5,E2330)),Assumptions!$D$5,IF(ISNUMBER(SEARCH(Assumptions!$C$6,E2330)),Assumptions!$D$6,IF(ISNUMBER(SEARCH(Assumptions!$C$7,E2330)),Assumptions!$D$7,"Other Services"))),"Other Services"))</f>
        <v/>
      </c>
    </row>
    <row r="2331" customFormat="false" ht="15" hidden="false" customHeight="false" outlineLevel="0" collapsed="false">
      <c r="G2331" s="41" t="str">
        <f aca="false">IF(E2331="","",IFERROR(IF(ISNUMBER(SEARCH(Assumptions!$C$5,E2331)),Assumptions!$D$5,IF(ISNUMBER(SEARCH(Assumptions!$C$6,E2331)),Assumptions!$D$6,IF(ISNUMBER(SEARCH(Assumptions!$C$7,E2331)),Assumptions!$D$7,"Other Services"))),"Other Services"))</f>
        <v/>
      </c>
    </row>
    <row r="2332" customFormat="false" ht="15" hidden="false" customHeight="false" outlineLevel="0" collapsed="false">
      <c r="G2332" s="41" t="str">
        <f aca="false">IF(E2332="","",IFERROR(IF(ISNUMBER(SEARCH(Assumptions!$C$5,E2332)),Assumptions!$D$5,IF(ISNUMBER(SEARCH(Assumptions!$C$6,E2332)),Assumptions!$D$6,IF(ISNUMBER(SEARCH(Assumptions!$C$7,E2332)),Assumptions!$D$7,"Other Services"))),"Other Services"))</f>
        <v/>
      </c>
    </row>
    <row r="2333" customFormat="false" ht="15" hidden="false" customHeight="false" outlineLevel="0" collapsed="false">
      <c r="G2333" s="41" t="str">
        <f aca="false">IF(E2333="","",IFERROR(IF(ISNUMBER(SEARCH(Assumptions!$C$5,E2333)),Assumptions!$D$5,IF(ISNUMBER(SEARCH(Assumptions!$C$6,E2333)),Assumptions!$D$6,IF(ISNUMBER(SEARCH(Assumptions!$C$7,E2333)),Assumptions!$D$7,"Other Services"))),"Other Services"))</f>
        <v/>
      </c>
    </row>
    <row r="2334" customFormat="false" ht="15" hidden="false" customHeight="false" outlineLevel="0" collapsed="false">
      <c r="G2334" s="41" t="str">
        <f aca="false">IF(E2334="","",IFERROR(IF(ISNUMBER(SEARCH(Assumptions!$C$5,E2334)),Assumptions!$D$5,IF(ISNUMBER(SEARCH(Assumptions!$C$6,E2334)),Assumptions!$D$6,IF(ISNUMBER(SEARCH(Assumptions!$C$7,E2334)),Assumptions!$D$7,"Other Services"))),"Other Services"))</f>
        <v/>
      </c>
    </row>
    <row r="2335" customFormat="false" ht="15" hidden="false" customHeight="false" outlineLevel="0" collapsed="false">
      <c r="G2335" s="41" t="str">
        <f aca="false">IF(E2335="","",IFERROR(IF(ISNUMBER(SEARCH(Assumptions!$C$5,E2335)),Assumptions!$D$5,IF(ISNUMBER(SEARCH(Assumptions!$C$6,E2335)),Assumptions!$D$6,IF(ISNUMBER(SEARCH(Assumptions!$C$7,E2335)),Assumptions!$D$7,"Other Services"))),"Other Services"))</f>
        <v/>
      </c>
    </row>
    <row r="2336" customFormat="false" ht="15" hidden="false" customHeight="false" outlineLevel="0" collapsed="false">
      <c r="G2336" s="41" t="str">
        <f aca="false">IF(E2336="","",IFERROR(IF(ISNUMBER(SEARCH(Assumptions!$C$5,E2336)),Assumptions!$D$5,IF(ISNUMBER(SEARCH(Assumptions!$C$6,E2336)),Assumptions!$D$6,IF(ISNUMBER(SEARCH(Assumptions!$C$7,E2336)),Assumptions!$D$7,"Other Services"))),"Other Services"))</f>
        <v/>
      </c>
    </row>
    <row r="2337" customFormat="false" ht="15" hidden="false" customHeight="false" outlineLevel="0" collapsed="false">
      <c r="G2337" s="41" t="str">
        <f aca="false">IF(E2337="","",IFERROR(IF(ISNUMBER(SEARCH(Assumptions!$C$5,E2337)),Assumptions!$D$5,IF(ISNUMBER(SEARCH(Assumptions!$C$6,E2337)),Assumptions!$D$6,IF(ISNUMBER(SEARCH(Assumptions!$C$7,E2337)),Assumptions!$D$7,"Other Services"))),"Other Services"))</f>
        <v/>
      </c>
    </row>
    <row r="2338" customFormat="false" ht="15" hidden="false" customHeight="false" outlineLevel="0" collapsed="false">
      <c r="G2338" s="41" t="str">
        <f aca="false">IF(E2338="","",IFERROR(IF(ISNUMBER(SEARCH(Assumptions!$C$5,E2338)),Assumptions!$D$5,IF(ISNUMBER(SEARCH(Assumptions!$C$6,E2338)),Assumptions!$D$6,IF(ISNUMBER(SEARCH(Assumptions!$C$7,E2338)),Assumptions!$D$7,"Other Services"))),"Other Services"))</f>
        <v/>
      </c>
    </row>
    <row r="2339" customFormat="false" ht="15" hidden="false" customHeight="false" outlineLevel="0" collapsed="false">
      <c r="G2339" s="41" t="str">
        <f aca="false">IF(E2339="","",IFERROR(IF(ISNUMBER(SEARCH(Assumptions!$C$5,E2339)),Assumptions!$D$5,IF(ISNUMBER(SEARCH(Assumptions!$C$6,E2339)),Assumptions!$D$6,IF(ISNUMBER(SEARCH(Assumptions!$C$7,E2339)),Assumptions!$D$7,"Other Services"))),"Other Services"))</f>
        <v/>
      </c>
    </row>
    <row r="2340" customFormat="false" ht="15" hidden="false" customHeight="false" outlineLevel="0" collapsed="false">
      <c r="G2340" s="41" t="str">
        <f aca="false">IF(E2340="","",IFERROR(IF(ISNUMBER(SEARCH(Assumptions!$C$5,E2340)),Assumptions!$D$5,IF(ISNUMBER(SEARCH(Assumptions!$C$6,E2340)),Assumptions!$D$6,IF(ISNUMBER(SEARCH(Assumptions!$C$7,E2340)),Assumptions!$D$7,"Other Services"))),"Other Services"))</f>
        <v/>
      </c>
    </row>
    <row r="2341" customFormat="false" ht="15" hidden="false" customHeight="false" outlineLevel="0" collapsed="false">
      <c r="G2341" s="41" t="str">
        <f aca="false">IF(E2341="","",IFERROR(IF(ISNUMBER(SEARCH(Assumptions!$C$5,E2341)),Assumptions!$D$5,IF(ISNUMBER(SEARCH(Assumptions!$C$6,E2341)),Assumptions!$D$6,IF(ISNUMBER(SEARCH(Assumptions!$C$7,E2341)),Assumptions!$D$7,"Other Services"))),"Other Services"))</f>
        <v/>
      </c>
    </row>
    <row r="2342" customFormat="false" ht="15" hidden="false" customHeight="false" outlineLevel="0" collapsed="false">
      <c r="G2342" s="41" t="str">
        <f aca="false">IF(E2342="","",IFERROR(IF(ISNUMBER(SEARCH(Assumptions!$C$5,E2342)),Assumptions!$D$5,IF(ISNUMBER(SEARCH(Assumptions!$C$6,E2342)),Assumptions!$D$6,IF(ISNUMBER(SEARCH(Assumptions!$C$7,E2342)),Assumptions!$D$7,"Other Services"))),"Other Services"))</f>
        <v/>
      </c>
    </row>
    <row r="2343" customFormat="false" ht="15" hidden="false" customHeight="false" outlineLevel="0" collapsed="false">
      <c r="G2343" s="41" t="str">
        <f aca="false">IF(E2343="","",IFERROR(IF(ISNUMBER(SEARCH(Assumptions!$C$5,E2343)),Assumptions!$D$5,IF(ISNUMBER(SEARCH(Assumptions!$C$6,E2343)),Assumptions!$D$6,IF(ISNUMBER(SEARCH(Assumptions!$C$7,E2343)),Assumptions!$D$7,"Other Services"))),"Other Services"))</f>
        <v/>
      </c>
    </row>
    <row r="2344" customFormat="false" ht="15" hidden="false" customHeight="false" outlineLevel="0" collapsed="false">
      <c r="G2344" s="41" t="str">
        <f aca="false">IF(E2344="","",IFERROR(IF(ISNUMBER(SEARCH(Assumptions!$C$5,E2344)),Assumptions!$D$5,IF(ISNUMBER(SEARCH(Assumptions!$C$6,E2344)),Assumptions!$D$6,IF(ISNUMBER(SEARCH(Assumptions!$C$7,E2344)),Assumptions!$D$7,"Other Services"))),"Other Services"))</f>
        <v/>
      </c>
    </row>
    <row r="2345" customFormat="false" ht="15" hidden="false" customHeight="false" outlineLevel="0" collapsed="false">
      <c r="G2345" s="41" t="str">
        <f aca="false">IF(E2345="","",IFERROR(IF(ISNUMBER(SEARCH(Assumptions!$C$5,E2345)),Assumptions!$D$5,IF(ISNUMBER(SEARCH(Assumptions!$C$6,E2345)),Assumptions!$D$6,IF(ISNUMBER(SEARCH(Assumptions!$C$7,E2345)),Assumptions!$D$7,"Other Services"))),"Other Services"))</f>
        <v/>
      </c>
    </row>
    <row r="2346" customFormat="false" ht="15" hidden="false" customHeight="false" outlineLevel="0" collapsed="false">
      <c r="G2346" s="41" t="str">
        <f aca="false">IF(E2346="","",IFERROR(IF(ISNUMBER(SEARCH(Assumptions!$C$5,E2346)),Assumptions!$D$5,IF(ISNUMBER(SEARCH(Assumptions!$C$6,E2346)),Assumptions!$D$6,IF(ISNUMBER(SEARCH(Assumptions!$C$7,E2346)),Assumptions!$D$7,"Other Services"))),"Other Services"))</f>
        <v/>
      </c>
    </row>
    <row r="2347" customFormat="false" ht="15" hidden="false" customHeight="false" outlineLevel="0" collapsed="false">
      <c r="G2347" s="41" t="str">
        <f aca="false">IF(E2347="","",IFERROR(IF(ISNUMBER(SEARCH(Assumptions!$C$5,E2347)),Assumptions!$D$5,IF(ISNUMBER(SEARCH(Assumptions!$C$6,E2347)),Assumptions!$D$6,IF(ISNUMBER(SEARCH(Assumptions!$C$7,E2347)),Assumptions!$D$7,"Other Services"))),"Other Services"))</f>
        <v/>
      </c>
    </row>
    <row r="2348" customFormat="false" ht="15" hidden="false" customHeight="false" outlineLevel="0" collapsed="false">
      <c r="G2348" s="41" t="str">
        <f aca="false">IF(E2348="","",IFERROR(IF(ISNUMBER(SEARCH(Assumptions!$C$5,E2348)),Assumptions!$D$5,IF(ISNUMBER(SEARCH(Assumptions!$C$6,E2348)),Assumptions!$D$6,IF(ISNUMBER(SEARCH(Assumptions!$C$7,E2348)),Assumptions!$D$7,"Other Services"))),"Other Services"))</f>
        <v/>
      </c>
    </row>
    <row r="2349" customFormat="false" ht="15" hidden="false" customHeight="false" outlineLevel="0" collapsed="false">
      <c r="G2349" s="41" t="str">
        <f aca="false">IF(E2349="","",IFERROR(IF(ISNUMBER(SEARCH(Assumptions!$C$5,E2349)),Assumptions!$D$5,IF(ISNUMBER(SEARCH(Assumptions!$C$6,E2349)),Assumptions!$D$6,IF(ISNUMBER(SEARCH(Assumptions!$C$7,E2349)),Assumptions!$D$7,"Other Services"))),"Other Services"))</f>
        <v/>
      </c>
    </row>
    <row r="2350" customFormat="false" ht="15" hidden="false" customHeight="false" outlineLevel="0" collapsed="false">
      <c r="G2350" s="41" t="str">
        <f aca="false">IF(E2350="","",IFERROR(IF(ISNUMBER(SEARCH(Assumptions!$C$5,E2350)),Assumptions!$D$5,IF(ISNUMBER(SEARCH(Assumptions!$C$6,E2350)),Assumptions!$D$6,IF(ISNUMBER(SEARCH(Assumptions!$C$7,E2350)),Assumptions!$D$7,"Other Services"))),"Other Services"))</f>
        <v/>
      </c>
    </row>
    <row r="2351" customFormat="false" ht="15" hidden="false" customHeight="false" outlineLevel="0" collapsed="false">
      <c r="G2351" s="41" t="str">
        <f aca="false">IF(E2351="","",IFERROR(IF(ISNUMBER(SEARCH(Assumptions!$C$5,E2351)),Assumptions!$D$5,IF(ISNUMBER(SEARCH(Assumptions!$C$6,E2351)),Assumptions!$D$6,IF(ISNUMBER(SEARCH(Assumptions!$C$7,E2351)),Assumptions!$D$7,"Other Services"))),"Other Services"))</f>
        <v/>
      </c>
    </row>
    <row r="2352" customFormat="false" ht="15" hidden="false" customHeight="false" outlineLevel="0" collapsed="false">
      <c r="G2352" s="41" t="str">
        <f aca="false">IF(E2352="","",IFERROR(IF(ISNUMBER(SEARCH(Assumptions!$C$5,E2352)),Assumptions!$D$5,IF(ISNUMBER(SEARCH(Assumptions!$C$6,E2352)),Assumptions!$D$6,IF(ISNUMBER(SEARCH(Assumptions!$C$7,E2352)),Assumptions!$D$7,"Other Services"))),"Other Services"))</f>
        <v/>
      </c>
    </row>
    <row r="2353" customFormat="false" ht="15" hidden="false" customHeight="false" outlineLevel="0" collapsed="false">
      <c r="G2353" s="41" t="str">
        <f aca="false">IF(E2353="","",IFERROR(IF(ISNUMBER(SEARCH(Assumptions!$C$5,E2353)),Assumptions!$D$5,IF(ISNUMBER(SEARCH(Assumptions!$C$6,E2353)),Assumptions!$D$6,IF(ISNUMBER(SEARCH(Assumptions!$C$7,E2353)),Assumptions!$D$7,"Other Services"))),"Other Services"))</f>
        <v/>
      </c>
    </row>
    <row r="2354" customFormat="false" ht="15" hidden="false" customHeight="false" outlineLevel="0" collapsed="false">
      <c r="G2354" s="41" t="str">
        <f aca="false">IF(E2354="","",IFERROR(IF(ISNUMBER(SEARCH(Assumptions!$C$5,E2354)),Assumptions!$D$5,IF(ISNUMBER(SEARCH(Assumptions!$C$6,E2354)),Assumptions!$D$6,IF(ISNUMBER(SEARCH(Assumptions!$C$7,E2354)),Assumptions!$D$7,"Other Services"))),"Other Services"))</f>
        <v/>
      </c>
    </row>
    <row r="2355" customFormat="false" ht="15" hidden="false" customHeight="false" outlineLevel="0" collapsed="false">
      <c r="G2355" s="41" t="str">
        <f aca="false">IF(E2355="","",IFERROR(IF(ISNUMBER(SEARCH(Assumptions!$C$5,E2355)),Assumptions!$D$5,IF(ISNUMBER(SEARCH(Assumptions!$C$6,E2355)),Assumptions!$D$6,IF(ISNUMBER(SEARCH(Assumptions!$C$7,E2355)),Assumptions!$D$7,"Other Services"))),"Other Services"))</f>
        <v/>
      </c>
    </row>
    <row r="2356" customFormat="false" ht="15" hidden="false" customHeight="false" outlineLevel="0" collapsed="false">
      <c r="G2356" s="41" t="str">
        <f aca="false">IF(E2356="","",IFERROR(IF(ISNUMBER(SEARCH(Assumptions!$C$5,E2356)),Assumptions!$D$5,IF(ISNUMBER(SEARCH(Assumptions!$C$6,E2356)),Assumptions!$D$6,IF(ISNUMBER(SEARCH(Assumptions!$C$7,E2356)),Assumptions!$D$7,"Other Services"))),"Other Services"))</f>
        <v/>
      </c>
    </row>
    <row r="2357" customFormat="false" ht="15" hidden="false" customHeight="false" outlineLevel="0" collapsed="false">
      <c r="G2357" s="41" t="str">
        <f aca="false">IF(E2357="","",IFERROR(IF(ISNUMBER(SEARCH(Assumptions!$C$5,E2357)),Assumptions!$D$5,IF(ISNUMBER(SEARCH(Assumptions!$C$6,E2357)),Assumptions!$D$6,IF(ISNUMBER(SEARCH(Assumptions!$C$7,E2357)),Assumptions!$D$7,"Other Services"))),"Other Services"))</f>
        <v/>
      </c>
    </row>
    <row r="2358" customFormat="false" ht="15" hidden="false" customHeight="false" outlineLevel="0" collapsed="false">
      <c r="G2358" s="41" t="str">
        <f aca="false">IF(E2358="","",IFERROR(IF(ISNUMBER(SEARCH(Assumptions!$C$5,E2358)),Assumptions!$D$5,IF(ISNUMBER(SEARCH(Assumptions!$C$6,E2358)),Assumptions!$D$6,IF(ISNUMBER(SEARCH(Assumptions!$C$7,E2358)),Assumptions!$D$7,"Other Services"))),"Other Services"))</f>
        <v/>
      </c>
    </row>
    <row r="2359" customFormat="false" ht="15" hidden="false" customHeight="false" outlineLevel="0" collapsed="false">
      <c r="G2359" s="41" t="str">
        <f aca="false">IF(E2359="","",IFERROR(IF(ISNUMBER(SEARCH(Assumptions!$C$5,E2359)),Assumptions!$D$5,IF(ISNUMBER(SEARCH(Assumptions!$C$6,E2359)),Assumptions!$D$6,IF(ISNUMBER(SEARCH(Assumptions!$C$7,E2359)),Assumptions!$D$7,"Other Services"))),"Other Services"))</f>
        <v/>
      </c>
    </row>
    <row r="2360" customFormat="false" ht="15" hidden="false" customHeight="false" outlineLevel="0" collapsed="false">
      <c r="G2360" s="41" t="str">
        <f aca="false">IF(E2360="","",IFERROR(IF(ISNUMBER(SEARCH(Assumptions!$C$5,E2360)),Assumptions!$D$5,IF(ISNUMBER(SEARCH(Assumptions!$C$6,E2360)),Assumptions!$D$6,IF(ISNUMBER(SEARCH(Assumptions!$C$7,E2360)),Assumptions!$D$7,"Other Services"))),"Other Services"))</f>
        <v/>
      </c>
    </row>
    <row r="2361" customFormat="false" ht="15" hidden="false" customHeight="false" outlineLevel="0" collapsed="false">
      <c r="G2361" s="41" t="str">
        <f aca="false">IF(E2361="","",IFERROR(IF(ISNUMBER(SEARCH(Assumptions!$C$5,E2361)),Assumptions!$D$5,IF(ISNUMBER(SEARCH(Assumptions!$C$6,E2361)),Assumptions!$D$6,IF(ISNUMBER(SEARCH(Assumptions!$C$7,E2361)),Assumptions!$D$7,"Other Services"))),"Other Services"))</f>
        <v/>
      </c>
    </row>
    <row r="2362" customFormat="false" ht="15" hidden="false" customHeight="false" outlineLevel="0" collapsed="false">
      <c r="G2362" s="41" t="str">
        <f aca="false">IF(E2362="","",IFERROR(IF(ISNUMBER(SEARCH(Assumptions!$C$5,E2362)),Assumptions!$D$5,IF(ISNUMBER(SEARCH(Assumptions!$C$6,E2362)),Assumptions!$D$6,IF(ISNUMBER(SEARCH(Assumptions!$C$7,E2362)),Assumptions!$D$7,"Other Services"))),"Other Services"))</f>
        <v/>
      </c>
    </row>
    <row r="2363" customFormat="false" ht="15" hidden="false" customHeight="false" outlineLevel="0" collapsed="false">
      <c r="G2363" s="41" t="str">
        <f aca="false">IF(E2363="","",IFERROR(IF(ISNUMBER(SEARCH(Assumptions!$C$5,E2363)),Assumptions!$D$5,IF(ISNUMBER(SEARCH(Assumptions!$C$6,E2363)),Assumptions!$D$6,IF(ISNUMBER(SEARCH(Assumptions!$C$7,E2363)),Assumptions!$D$7,"Other Services"))),"Other Services"))</f>
        <v/>
      </c>
    </row>
    <row r="2364" customFormat="false" ht="15" hidden="false" customHeight="false" outlineLevel="0" collapsed="false">
      <c r="G2364" s="41" t="str">
        <f aca="false">IF(E2364="","",IFERROR(IF(ISNUMBER(SEARCH(Assumptions!$C$5,E2364)),Assumptions!$D$5,IF(ISNUMBER(SEARCH(Assumptions!$C$6,E2364)),Assumptions!$D$6,IF(ISNUMBER(SEARCH(Assumptions!$C$7,E2364)),Assumptions!$D$7,"Other Services"))),"Other Services"))</f>
        <v/>
      </c>
    </row>
    <row r="2365" customFormat="false" ht="15" hidden="false" customHeight="false" outlineLevel="0" collapsed="false">
      <c r="G2365" s="41" t="str">
        <f aca="false">IF(E2365="","",IFERROR(IF(ISNUMBER(SEARCH(Assumptions!$C$5,E2365)),Assumptions!$D$5,IF(ISNUMBER(SEARCH(Assumptions!$C$6,E2365)),Assumptions!$D$6,IF(ISNUMBER(SEARCH(Assumptions!$C$7,E2365)),Assumptions!$D$7,"Other Services"))),"Other Services"))</f>
        <v/>
      </c>
    </row>
    <row r="2366" customFormat="false" ht="15" hidden="false" customHeight="false" outlineLevel="0" collapsed="false">
      <c r="G2366" s="41" t="str">
        <f aca="false">IF(E2366="","",IFERROR(IF(ISNUMBER(SEARCH(Assumptions!$C$5,E2366)),Assumptions!$D$5,IF(ISNUMBER(SEARCH(Assumptions!$C$6,E2366)),Assumptions!$D$6,IF(ISNUMBER(SEARCH(Assumptions!$C$7,E2366)),Assumptions!$D$7,"Other Services"))),"Other Services"))</f>
        <v/>
      </c>
    </row>
    <row r="2367" customFormat="false" ht="15" hidden="false" customHeight="false" outlineLevel="0" collapsed="false">
      <c r="G2367" s="41" t="str">
        <f aca="false">IF(E2367="","",IFERROR(IF(ISNUMBER(SEARCH(Assumptions!$C$5,E2367)),Assumptions!$D$5,IF(ISNUMBER(SEARCH(Assumptions!$C$6,E2367)),Assumptions!$D$6,IF(ISNUMBER(SEARCH(Assumptions!$C$7,E2367)),Assumptions!$D$7,"Other Services"))),"Other Services"))</f>
        <v/>
      </c>
    </row>
    <row r="2368" customFormat="false" ht="15" hidden="false" customHeight="false" outlineLevel="0" collapsed="false">
      <c r="G2368" s="41" t="str">
        <f aca="false">IF(E2368="","",IFERROR(IF(ISNUMBER(SEARCH(Assumptions!$C$5,E2368)),Assumptions!$D$5,IF(ISNUMBER(SEARCH(Assumptions!$C$6,E2368)),Assumptions!$D$6,IF(ISNUMBER(SEARCH(Assumptions!$C$7,E2368)),Assumptions!$D$7,"Other Services"))),"Other Services"))</f>
        <v/>
      </c>
    </row>
    <row r="2369" customFormat="false" ht="15" hidden="false" customHeight="false" outlineLevel="0" collapsed="false">
      <c r="G2369" s="41" t="str">
        <f aca="false">IF(E2369="","",IFERROR(IF(ISNUMBER(SEARCH(Assumptions!$C$5,E2369)),Assumptions!$D$5,IF(ISNUMBER(SEARCH(Assumptions!$C$6,E2369)),Assumptions!$D$6,IF(ISNUMBER(SEARCH(Assumptions!$C$7,E2369)),Assumptions!$D$7,"Other Services"))),"Other Services"))</f>
        <v/>
      </c>
    </row>
    <row r="2370" customFormat="false" ht="15" hidden="false" customHeight="false" outlineLevel="0" collapsed="false">
      <c r="G2370" s="41" t="str">
        <f aca="false">IF(E2370="","",IFERROR(IF(ISNUMBER(SEARCH(Assumptions!$C$5,E2370)),Assumptions!$D$5,IF(ISNUMBER(SEARCH(Assumptions!$C$6,E2370)),Assumptions!$D$6,IF(ISNUMBER(SEARCH(Assumptions!$C$7,E2370)),Assumptions!$D$7,"Other Services"))),"Other Services"))</f>
        <v/>
      </c>
    </row>
    <row r="2371" customFormat="false" ht="15" hidden="false" customHeight="false" outlineLevel="0" collapsed="false">
      <c r="G2371" s="41" t="str">
        <f aca="false">IF(E2371="","",IFERROR(IF(ISNUMBER(SEARCH(Assumptions!$C$5,E2371)),Assumptions!$D$5,IF(ISNUMBER(SEARCH(Assumptions!$C$6,E2371)),Assumptions!$D$6,IF(ISNUMBER(SEARCH(Assumptions!$C$7,E2371)),Assumptions!$D$7,"Other Services"))),"Other Services"))</f>
        <v/>
      </c>
    </row>
    <row r="2372" customFormat="false" ht="15" hidden="false" customHeight="false" outlineLevel="0" collapsed="false">
      <c r="G2372" s="41" t="str">
        <f aca="false">IF(E2372="","",IFERROR(IF(ISNUMBER(SEARCH(Assumptions!$C$5,E2372)),Assumptions!$D$5,IF(ISNUMBER(SEARCH(Assumptions!$C$6,E2372)),Assumptions!$D$6,IF(ISNUMBER(SEARCH(Assumptions!$C$7,E2372)),Assumptions!$D$7,"Other Services"))),"Other Services"))</f>
        <v/>
      </c>
    </row>
    <row r="2373" customFormat="false" ht="15" hidden="false" customHeight="false" outlineLevel="0" collapsed="false">
      <c r="G2373" s="41" t="str">
        <f aca="false">IF(E2373="","",IFERROR(IF(ISNUMBER(SEARCH(Assumptions!$C$5,E2373)),Assumptions!$D$5,IF(ISNUMBER(SEARCH(Assumptions!$C$6,E2373)),Assumptions!$D$6,IF(ISNUMBER(SEARCH(Assumptions!$C$7,E2373)),Assumptions!$D$7,"Other Services"))),"Other Services"))</f>
        <v/>
      </c>
    </row>
    <row r="2374" customFormat="false" ht="15" hidden="false" customHeight="false" outlineLevel="0" collapsed="false">
      <c r="G2374" s="41" t="str">
        <f aca="false">IF(E2374="","",IFERROR(IF(ISNUMBER(SEARCH(Assumptions!$C$5,E2374)),Assumptions!$D$5,IF(ISNUMBER(SEARCH(Assumptions!$C$6,E2374)),Assumptions!$D$6,IF(ISNUMBER(SEARCH(Assumptions!$C$7,E2374)),Assumptions!$D$7,"Other Services"))),"Other Services"))</f>
        <v/>
      </c>
    </row>
    <row r="2375" customFormat="false" ht="15" hidden="false" customHeight="false" outlineLevel="0" collapsed="false">
      <c r="G2375" s="41" t="str">
        <f aca="false">IF(E2375="","",IFERROR(IF(ISNUMBER(SEARCH(Assumptions!$C$5,E2375)),Assumptions!$D$5,IF(ISNUMBER(SEARCH(Assumptions!$C$6,E2375)),Assumptions!$D$6,IF(ISNUMBER(SEARCH(Assumptions!$C$7,E2375)),Assumptions!$D$7,"Other Services"))),"Other Services"))</f>
        <v/>
      </c>
    </row>
    <row r="2376" customFormat="false" ht="15" hidden="false" customHeight="false" outlineLevel="0" collapsed="false">
      <c r="G2376" s="41" t="str">
        <f aca="false">IF(E2376="","",IFERROR(IF(ISNUMBER(SEARCH(Assumptions!$C$5,E2376)),Assumptions!$D$5,IF(ISNUMBER(SEARCH(Assumptions!$C$6,E2376)),Assumptions!$D$6,IF(ISNUMBER(SEARCH(Assumptions!$C$7,E2376)),Assumptions!$D$7,"Other Services"))),"Other Services"))</f>
        <v/>
      </c>
    </row>
    <row r="2377" customFormat="false" ht="15" hidden="false" customHeight="false" outlineLevel="0" collapsed="false">
      <c r="G2377" s="41" t="str">
        <f aca="false">IF(E2377="","",IFERROR(IF(ISNUMBER(SEARCH(Assumptions!$C$5,E2377)),Assumptions!$D$5,IF(ISNUMBER(SEARCH(Assumptions!$C$6,E2377)),Assumptions!$D$6,IF(ISNUMBER(SEARCH(Assumptions!$C$7,E2377)),Assumptions!$D$7,"Other Services"))),"Other Services"))</f>
        <v/>
      </c>
    </row>
    <row r="2378" customFormat="false" ht="15" hidden="false" customHeight="false" outlineLevel="0" collapsed="false">
      <c r="G2378" s="41" t="str">
        <f aca="false">IF(E2378="","",IFERROR(IF(ISNUMBER(SEARCH(Assumptions!$C$5,E2378)),Assumptions!$D$5,IF(ISNUMBER(SEARCH(Assumptions!$C$6,E2378)),Assumptions!$D$6,IF(ISNUMBER(SEARCH(Assumptions!$C$7,E2378)),Assumptions!$D$7,"Other Services"))),"Other Services"))</f>
        <v/>
      </c>
    </row>
    <row r="2379" customFormat="false" ht="15" hidden="false" customHeight="false" outlineLevel="0" collapsed="false">
      <c r="G2379" s="41" t="str">
        <f aca="false">IF(E2379="","",IFERROR(IF(ISNUMBER(SEARCH(Assumptions!$C$5,E2379)),Assumptions!$D$5,IF(ISNUMBER(SEARCH(Assumptions!$C$6,E2379)),Assumptions!$D$6,IF(ISNUMBER(SEARCH(Assumptions!$C$7,E2379)),Assumptions!$D$7,"Other Services"))),"Other Services"))</f>
        <v/>
      </c>
    </row>
    <row r="2380" customFormat="false" ht="15" hidden="false" customHeight="false" outlineLevel="0" collapsed="false">
      <c r="G2380" s="41" t="str">
        <f aca="false">IF(E2380="","",IFERROR(IF(ISNUMBER(SEARCH(Assumptions!$C$5,E2380)),Assumptions!$D$5,IF(ISNUMBER(SEARCH(Assumptions!$C$6,E2380)),Assumptions!$D$6,IF(ISNUMBER(SEARCH(Assumptions!$C$7,E2380)),Assumptions!$D$7,"Other Services"))),"Other Services"))</f>
        <v/>
      </c>
    </row>
    <row r="2381" customFormat="false" ht="15" hidden="false" customHeight="false" outlineLevel="0" collapsed="false">
      <c r="G2381" s="41" t="str">
        <f aca="false">IF(E2381="","",IFERROR(IF(ISNUMBER(SEARCH(Assumptions!$C$5,E2381)),Assumptions!$D$5,IF(ISNUMBER(SEARCH(Assumptions!$C$6,E2381)),Assumptions!$D$6,IF(ISNUMBER(SEARCH(Assumptions!$C$7,E2381)),Assumptions!$D$7,"Other Services"))),"Other Services"))</f>
        <v/>
      </c>
    </row>
    <row r="2382" customFormat="false" ht="15" hidden="false" customHeight="false" outlineLevel="0" collapsed="false">
      <c r="G2382" s="41" t="str">
        <f aca="false">IF(E2382="","",IFERROR(IF(ISNUMBER(SEARCH(Assumptions!$C$5,E2382)),Assumptions!$D$5,IF(ISNUMBER(SEARCH(Assumptions!$C$6,E2382)),Assumptions!$D$6,IF(ISNUMBER(SEARCH(Assumptions!$C$7,E2382)),Assumptions!$D$7,"Other Services"))),"Other Services"))</f>
        <v/>
      </c>
    </row>
    <row r="2383" customFormat="false" ht="15" hidden="false" customHeight="false" outlineLevel="0" collapsed="false">
      <c r="G2383" s="41" t="str">
        <f aca="false">IF(E2383="","",IFERROR(IF(ISNUMBER(SEARCH(Assumptions!$C$5,E2383)),Assumptions!$D$5,IF(ISNUMBER(SEARCH(Assumptions!$C$6,E2383)),Assumptions!$D$6,IF(ISNUMBER(SEARCH(Assumptions!$C$7,E2383)),Assumptions!$D$7,"Other Services"))),"Other Services"))</f>
        <v/>
      </c>
    </row>
    <row r="2384" customFormat="false" ht="15" hidden="false" customHeight="false" outlineLevel="0" collapsed="false">
      <c r="G2384" s="41" t="str">
        <f aca="false">IF(E2384="","",IFERROR(IF(ISNUMBER(SEARCH(Assumptions!$C$5,E2384)),Assumptions!$D$5,IF(ISNUMBER(SEARCH(Assumptions!$C$6,E2384)),Assumptions!$D$6,IF(ISNUMBER(SEARCH(Assumptions!$C$7,E2384)),Assumptions!$D$7,"Other Services"))),"Other Services"))</f>
        <v/>
      </c>
    </row>
    <row r="2385" customFormat="false" ht="15" hidden="false" customHeight="false" outlineLevel="0" collapsed="false">
      <c r="G2385" s="41" t="str">
        <f aca="false">IF(E2385="","",IFERROR(IF(ISNUMBER(SEARCH(Assumptions!$C$5,E2385)),Assumptions!$D$5,IF(ISNUMBER(SEARCH(Assumptions!$C$6,E2385)),Assumptions!$D$6,IF(ISNUMBER(SEARCH(Assumptions!$C$7,E2385)),Assumptions!$D$7,"Other Services"))),"Other Services"))</f>
        <v/>
      </c>
    </row>
    <row r="2386" customFormat="false" ht="15" hidden="false" customHeight="false" outlineLevel="0" collapsed="false">
      <c r="G2386" s="41" t="str">
        <f aca="false">IF(E2386="","",IFERROR(IF(ISNUMBER(SEARCH(Assumptions!$C$5,E2386)),Assumptions!$D$5,IF(ISNUMBER(SEARCH(Assumptions!$C$6,E2386)),Assumptions!$D$6,IF(ISNUMBER(SEARCH(Assumptions!$C$7,E2386)),Assumptions!$D$7,"Other Services"))),"Other Services"))</f>
        <v/>
      </c>
    </row>
    <row r="2387" customFormat="false" ht="15" hidden="false" customHeight="false" outlineLevel="0" collapsed="false">
      <c r="G2387" s="41" t="str">
        <f aca="false">IF(E2387="","",IFERROR(IF(ISNUMBER(SEARCH(Assumptions!$C$5,E2387)),Assumptions!$D$5,IF(ISNUMBER(SEARCH(Assumptions!$C$6,E2387)),Assumptions!$D$6,IF(ISNUMBER(SEARCH(Assumptions!$C$7,E2387)),Assumptions!$D$7,"Other Services"))),"Other Services"))</f>
        <v/>
      </c>
    </row>
    <row r="2388" customFormat="false" ht="15" hidden="false" customHeight="false" outlineLevel="0" collapsed="false">
      <c r="G2388" s="41" t="str">
        <f aca="false">IF(E2388="","",IFERROR(IF(ISNUMBER(SEARCH(Assumptions!$C$5,E2388)),Assumptions!$D$5,IF(ISNUMBER(SEARCH(Assumptions!$C$6,E2388)),Assumptions!$D$6,IF(ISNUMBER(SEARCH(Assumptions!$C$7,E2388)),Assumptions!$D$7,"Other Services"))),"Other Services"))</f>
        <v/>
      </c>
    </row>
    <row r="2389" customFormat="false" ht="15" hidden="false" customHeight="false" outlineLevel="0" collapsed="false">
      <c r="G2389" s="41" t="str">
        <f aca="false">IF(E2389="","",IFERROR(IF(ISNUMBER(SEARCH(Assumptions!$C$5,E2389)),Assumptions!$D$5,IF(ISNUMBER(SEARCH(Assumptions!$C$6,E2389)),Assumptions!$D$6,IF(ISNUMBER(SEARCH(Assumptions!$C$7,E2389)),Assumptions!$D$7,"Other Services"))),"Other Services"))</f>
        <v/>
      </c>
    </row>
    <row r="2390" customFormat="false" ht="15" hidden="false" customHeight="false" outlineLevel="0" collapsed="false">
      <c r="G2390" s="41" t="str">
        <f aca="false">IF(E2390="","",IFERROR(IF(ISNUMBER(SEARCH(Assumptions!$C$5,E2390)),Assumptions!$D$5,IF(ISNUMBER(SEARCH(Assumptions!$C$6,E2390)),Assumptions!$D$6,IF(ISNUMBER(SEARCH(Assumptions!$C$7,E2390)),Assumptions!$D$7,"Other Services"))),"Other Services"))</f>
        <v/>
      </c>
    </row>
    <row r="2391" customFormat="false" ht="15" hidden="false" customHeight="false" outlineLevel="0" collapsed="false">
      <c r="G2391" s="41" t="str">
        <f aca="false">IF(E2391="","",IFERROR(IF(ISNUMBER(SEARCH(Assumptions!$C$5,E2391)),Assumptions!$D$5,IF(ISNUMBER(SEARCH(Assumptions!$C$6,E2391)),Assumptions!$D$6,IF(ISNUMBER(SEARCH(Assumptions!$C$7,E2391)),Assumptions!$D$7,"Other Services"))),"Other Services"))</f>
        <v/>
      </c>
    </row>
    <row r="2392" customFormat="false" ht="15" hidden="false" customHeight="false" outlineLevel="0" collapsed="false">
      <c r="G2392" s="41" t="str">
        <f aca="false">IF(E2392="","",IFERROR(IF(ISNUMBER(SEARCH(Assumptions!$C$5,E2392)),Assumptions!$D$5,IF(ISNUMBER(SEARCH(Assumptions!$C$6,E2392)),Assumptions!$D$6,IF(ISNUMBER(SEARCH(Assumptions!$C$7,E2392)),Assumptions!$D$7,"Other Services"))),"Other Services"))</f>
        <v/>
      </c>
    </row>
    <row r="2393" customFormat="false" ht="15" hidden="false" customHeight="false" outlineLevel="0" collapsed="false">
      <c r="G2393" s="41" t="str">
        <f aca="false">IF(E2393="","",IFERROR(IF(ISNUMBER(SEARCH(Assumptions!$C$5,E2393)),Assumptions!$D$5,IF(ISNUMBER(SEARCH(Assumptions!$C$6,E2393)),Assumptions!$D$6,IF(ISNUMBER(SEARCH(Assumptions!$C$7,E2393)),Assumptions!$D$7,"Other Services"))),"Other Services"))</f>
        <v/>
      </c>
    </row>
    <row r="2394" customFormat="false" ht="15" hidden="false" customHeight="false" outlineLevel="0" collapsed="false">
      <c r="G2394" s="41" t="str">
        <f aca="false">IF(E2394="","",IFERROR(IF(ISNUMBER(SEARCH(Assumptions!$C$5,E2394)),Assumptions!$D$5,IF(ISNUMBER(SEARCH(Assumptions!$C$6,E2394)),Assumptions!$D$6,IF(ISNUMBER(SEARCH(Assumptions!$C$7,E2394)),Assumptions!$D$7,"Other Services"))),"Other Services"))</f>
        <v/>
      </c>
    </row>
    <row r="2395" customFormat="false" ht="15" hidden="false" customHeight="false" outlineLevel="0" collapsed="false">
      <c r="G2395" s="41" t="str">
        <f aca="false">IF(E2395="","",IFERROR(IF(ISNUMBER(SEARCH(Assumptions!$C$5,E2395)),Assumptions!$D$5,IF(ISNUMBER(SEARCH(Assumptions!$C$6,E2395)),Assumptions!$D$6,IF(ISNUMBER(SEARCH(Assumptions!$C$7,E2395)),Assumptions!$D$7,"Other Services"))),"Other Services"))</f>
        <v/>
      </c>
    </row>
    <row r="2396" customFormat="false" ht="15" hidden="false" customHeight="false" outlineLevel="0" collapsed="false">
      <c r="G2396" s="41" t="str">
        <f aca="false">IF(E2396="","",IFERROR(IF(ISNUMBER(SEARCH(Assumptions!$C$5,E2396)),Assumptions!$D$5,IF(ISNUMBER(SEARCH(Assumptions!$C$6,E2396)),Assumptions!$D$6,IF(ISNUMBER(SEARCH(Assumptions!$C$7,E2396)),Assumptions!$D$7,"Other Services"))),"Other Services"))</f>
        <v/>
      </c>
    </row>
    <row r="2397" customFormat="false" ht="15" hidden="false" customHeight="false" outlineLevel="0" collapsed="false">
      <c r="G2397" s="41" t="str">
        <f aca="false">IF(E2397="","",IFERROR(IF(ISNUMBER(SEARCH(Assumptions!$C$5,E2397)),Assumptions!$D$5,IF(ISNUMBER(SEARCH(Assumptions!$C$6,E2397)),Assumptions!$D$6,IF(ISNUMBER(SEARCH(Assumptions!$C$7,E2397)),Assumptions!$D$7,"Other Services"))),"Other Services"))</f>
        <v/>
      </c>
    </row>
    <row r="2398" customFormat="false" ht="15" hidden="false" customHeight="false" outlineLevel="0" collapsed="false">
      <c r="G2398" s="41" t="str">
        <f aca="false">IF(E2398="","",IFERROR(IF(ISNUMBER(SEARCH(Assumptions!$C$5,E2398)),Assumptions!$D$5,IF(ISNUMBER(SEARCH(Assumptions!$C$6,E2398)),Assumptions!$D$6,IF(ISNUMBER(SEARCH(Assumptions!$C$7,E2398)),Assumptions!$D$7,"Other Services"))),"Other Services"))</f>
        <v/>
      </c>
    </row>
    <row r="2399" customFormat="false" ht="15" hidden="false" customHeight="false" outlineLevel="0" collapsed="false">
      <c r="G2399" s="41" t="str">
        <f aca="false">IF(E2399="","",IFERROR(IF(ISNUMBER(SEARCH(Assumptions!$C$5,E2399)),Assumptions!$D$5,IF(ISNUMBER(SEARCH(Assumptions!$C$6,E2399)),Assumptions!$D$6,IF(ISNUMBER(SEARCH(Assumptions!$C$7,E2399)),Assumptions!$D$7,"Other Services"))),"Other Services"))</f>
        <v/>
      </c>
    </row>
    <row r="2400" customFormat="false" ht="15" hidden="false" customHeight="false" outlineLevel="0" collapsed="false">
      <c r="G2400" s="41" t="str">
        <f aca="false">IF(E2400="","",IFERROR(IF(ISNUMBER(SEARCH(Assumptions!$C$5,E2400)),Assumptions!$D$5,IF(ISNUMBER(SEARCH(Assumptions!$C$6,E2400)),Assumptions!$D$6,IF(ISNUMBER(SEARCH(Assumptions!$C$7,E2400)),Assumptions!$D$7,"Other Services"))),"Other Services"))</f>
        <v/>
      </c>
    </row>
    <row r="2401" customFormat="false" ht="15" hidden="false" customHeight="false" outlineLevel="0" collapsed="false">
      <c r="G2401" s="41" t="str">
        <f aca="false">IF(E2401="","",IFERROR(IF(ISNUMBER(SEARCH(Assumptions!$C$5,E2401)),Assumptions!$D$5,IF(ISNUMBER(SEARCH(Assumptions!$C$6,E2401)),Assumptions!$D$6,IF(ISNUMBER(SEARCH(Assumptions!$C$7,E2401)),Assumptions!$D$7,"Other Services"))),"Other Services"))</f>
        <v/>
      </c>
    </row>
    <row r="2402" customFormat="false" ht="15" hidden="false" customHeight="false" outlineLevel="0" collapsed="false">
      <c r="G2402" s="41" t="str">
        <f aca="false">IF(E2402="","",IFERROR(IF(ISNUMBER(SEARCH(Assumptions!$C$5,E2402)),Assumptions!$D$5,IF(ISNUMBER(SEARCH(Assumptions!$C$6,E2402)),Assumptions!$D$6,IF(ISNUMBER(SEARCH(Assumptions!$C$7,E2402)),Assumptions!$D$7,"Other Services"))),"Other Services"))</f>
        <v/>
      </c>
    </row>
    <row r="2403" customFormat="false" ht="15" hidden="false" customHeight="false" outlineLevel="0" collapsed="false">
      <c r="G2403" s="41" t="str">
        <f aca="false">IF(E2403="","",IFERROR(IF(ISNUMBER(SEARCH(Assumptions!$C$5,E2403)),Assumptions!$D$5,IF(ISNUMBER(SEARCH(Assumptions!$C$6,E2403)),Assumptions!$D$6,IF(ISNUMBER(SEARCH(Assumptions!$C$7,E2403)),Assumptions!$D$7,"Other Services"))),"Other Services"))</f>
        <v/>
      </c>
    </row>
    <row r="2404" customFormat="false" ht="15" hidden="false" customHeight="false" outlineLevel="0" collapsed="false">
      <c r="G2404" s="41" t="str">
        <f aca="false">IF(E2404="","",IFERROR(IF(ISNUMBER(SEARCH(Assumptions!$C$5,E2404)),Assumptions!$D$5,IF(ISNUMBER(SEARCH(Assumptions!$C$6,E2404)),Assumptions!$D$6,IF(ISNUMBER(SEARCH(Assumptions!$C$7,E2404)),Assumptions!$D$7,"Other Services"))),"Other Services"))</f>
        <v/>
      </c>
    </row>
    <row r="2405" customFormat="false" ht="15" hidden="false" customHeight="false" outlineLevel="0" collapsed="false">
      <c r="G2405" s="41" t="str">
        <f aca="false">IF(E2405="","",IFERROR(IF(ISNUMBER(SEARCH(Assumptions!$C$5,E2405)),Assumptions!$D$5,IF(ISNUMBER(SEARCH(Assumptions!$C$6,E2405)),Assumptions!$D$6,IF(ISNUMBER(SEARCH(Assumptions!$C$7,E2405)),Assumptions!$D$7,"Other Services"))),"Other Services"))</f>
        <v/>
      </c>
    </row>
    <row r="2406" customFormat="false" ht="15" hidden="false" customHeight="false" outlineLevel="0" collapsed="false">
      <c r="G2406" s="41" t="str">
        <f aca="false">IF(E2406="","",IFERROR(IF(ISNUMBER(SEARCH(Assumptions!$C$5,E2406)),Assumptions!$D$5,IF(ISNUMBER(SEARCH(Assumptions!$C$6,E2406)),Assumptions!$D$6,IF(ISNUMBER(SEARCH(Assumptions!$C$7,E2406)),Assumptions!$D$7,"Other Services"))),"Other Services"))</f>
        <v/>
      </c>
    </row>
    <row r="2407" customFormat="false" ht="15" hidden="false" customHeight="false" outlineLevel="0" collapsed="false">
      <c r="G2407" s="41" t="str">
        <f aca="false">IF(E2407="","",IFERROR(IF(ISNUMBER(SEARCH(Assumptions!$C$5,E2407)),Assumptions!$D$5,IF(ISNUMBER(SEARCH(Assumptions!$C$6,E2407)),Assumptions!$D$6,IF(ISNUMBER(SEARCH(Assumptions!$C$7,E2407)),Assumptions!$D$7,"Other Services"))),"Other Services"))</f>
        <v/>
      </c>
    </row>
    <row r="2408" customFormat="false" ht="15" hidden="false" customHeight="false" outlineLevel="0" collapsed="false">
      <c r="G2408" s="41" t="str">
        <f aca="false">IF(E2408="","",IFERROR(IF(ISNUMBER(SEARCH(Assumptions!$C$5,E2408)),Assumptions!$D$5,IF(ISNUMBER(SEARCH(Assumptions!$C$6,E2408)),Assumptions!$D$6,IF(ISNUMBER(SEARCH(Assumptions!$C$7,E2408)),Assumptions!$D$7,"Other Services"))),"Other Services"))</f>
        <v/>
      </c>
    </row>
    <row r="2409" customFormat="false" ht="15" hidden="false" customHeight="false" outlineLevel="0" collapsed="false">
      <c r="G2409" s="41" t="str">
        <f aca="false">IF(E2409="","",IFERROR(IF(ISNUMBER(SEARCH(Assumptions!$C$5,E2409)),Assumptions!$D$5,IF(ISNUMBER(SEARCH(Assumptions!$C$6,E2409)),Assumptions!$D$6,IF(ISNUMBER(SEARCH(Assumptions!$C$7,E2409)),Assumptions!$D$7,"Other Services"))),"Other Services"))</f>
        <v/>
      </c>
    </row>
    <row r="2410" customFormat="false" ht="15" hidden="false" customHeight="false" outlineLevel="0" collapsed="false">
      <c r="G2410" s="41" t="str">
        <f aca="false">IF(E2410="","",IFERROR(IF(ISNUMBER(SEARCH(Assumptions!$C$5,E2410)),Assumptions!$D$5,IF(ISNUMBER(SEARCH(Assumptions!$C$6,E2410)),Assumptions!$D$6,IF(ISNUMBER(SEARCH(Assumptions!$C$7,E2410)),Assumptions!$D$7,"Other Services"))),"Other Services"))</f>
        <v/>
      </c>
    </row>
    <row r="2411" customFormat="false" ht="15" hidden="false" customHeight="false" outlineLevel="0" collapsed="false">
      <c r="G2411" s="41" t="str">
        <f aca="false">IF(E2411="","",IFERROR(IF(ISNUMBER(SEARCH(Assumptions!$C$5,E2411)),Assumptions!$D$5,IF(ISNUMBER(SEARCH(Assumptions!$C$6,E2411)),Assumptions!$D$6,IF(ISNUMBER(SEARCH(Assumptions!$C$7,E2411)),Assumptions!$D$7,"Other Services"))),"Other Services"))</f>
        <v/>
      </c>
    </row>
    <row r="2412" customFormat="false" ht="15" hidden="false" customHeight="false" outlineLevel="0" collapsed="false">
      <c r="G2412" s="41" t="str">
        <f aca="false">IF(E2412="","",IFERROR(IF(ISNUMBER(SEARCH(Assumptions!$C$5,E2412)),Assumptions!$D$5,IF(ISNUMBER(SEARCH(Assumptions!$C$6,E2412)),Assumptions!$D$6,IF(ISNUMBER(SEARCH(Assumptions!$C$7,E2412)),Assumptions!$D$7,"Other Services"))),"Other Services"))</f>
        <v/>
      </c>
    </row>
    <row r="2413" customFormat="false" ht="15" hidden="false" customHeight="false" outlineLevel="0" collapsed="false">
      <c r="G2413" s="41" t="str">
        <f aca="false">IF(E2413="","",IFERROR(IF(ISNUMBER(SEARCH(Assumptions!$C$5,E2413)),Assumptions!$D$5,IF(ISNUMBER(SEARCH(Assumptions!$C$6,E2413)),Assumptions!$D$6,IF(ISNUMBER(SEARCH(Assumptions!$C$7,E2413)),Assumptions!$D$7,"Other Services"))),"Other Services"))</f>
        <v/>
      </c>
    </row>
    <row r="2414" customFormat="false" ht="15" hidden="false" customHeight="false" outlineLevel="0" collapsed="false">
      <c r="G2414" s="41" t="str">
        <f aca="false">IF(E2414="","",IFERROR(IF(ISNUMBER(SEARCH(Assumptions!$C$5,E2414)),Assumptions!$D$5,IF(ISNUMBER(SEARCH(Assumptions!$C$6,E2414)),Assumptions!$D$6,IF(ISNUMBER(SEARCH(Assumptions!$C$7,E2414)),Assumptions!$D$7,"Other Services"))),"Other Services"))</f>
        <v/>
      </c>
    </row>
    <row r="2415" customFormat="false" ht="15" hidden="false" customHeight="false" outlineLevel="0" collapsed="false">
      <c r="G2415" s="41" t="str">
        <f aca="false">IF(E2415="","",IFERROR(IF(ISNUMBER(SEARCH(Assumptions!$C$5,E2415)),Assumptions!$D$5,IF(ISNUMBER(SEARCH(Assumptions!$C$6,E2415)),Assumptions!$D$6,IF(ISNUMBER(SEARCH(Assumptions!$C$7,E2415)),Assumptions!$D$7,"Other Services"))),"Other Services"))</f>
        <v/>
      </c>
    </row>
    <row r="2416" customFormat="false" ht="15" hidden="false" customHeight="false" outlineLevel="0" collapsed="false">
      <c r="G2416" s="41" t="str">
        <f aca="false">IF(E2416="","",IFERROR(IF(ISNUMBER(SEARCH(Assumptions!$C$5,E2416)),Assumptions!$D$5,IF(ISNUMBER(SEARCH(Assumptions!$C$6,E2416)),Assumptions!$D$6,IF(ISNUMBER(SEARCH(Assumptions!$C$7,E2416)),Assumptions!$D$7,"Other Services"))),"Other Services"))</f>
        <v/>
      </c>
    </row>
    <row r="2417" customFormat="false" ht="15" hidden="false" customHeight="false" outlineLevel="0" collapsed="false">
      <c r="G2417" s="41" t="str">
        <f aca="false">IF(E2417="","",IFERROR(IF(ISNUMBER(SEARCH(Assumptions!$C$5,E2417)),Assumptions!$D$5,IF(ISNUMBER(SEARCH(Assumptions!$C$6,E2417)),Assumptions!$D$6,IF(ISNUMBER(SEARCH(Assumptions!$C$7,E2417)),Assumptions!$D$7,"Other Services"))),"Other Services"))</f>
        <v/>
      </c>
    </row>
    <row r="2418" customFormat="false" ht="15" hidden="false" customHeight="false" outlineLevel="0" collapsed="false">
      <c r="G2418" s="41" t="str">
        <f aca="false">IF(E2418="","",IFERROR(IF(ISNUMBER(SEARCH(Assumptions!$C$5,E2418)),Assumptions!$D$5,IF(ISNUMBER(SEARCH(Assumptions!$C$6,E2418)),Assumptions!$D$6,IF(ISNUMBER(SEARCH(Assumptions!$C$7,E2418)),Assumptions!$D$7,"Other Services"))),"Other Services"))</f>
        <v/>
      </c>
    </row>
    <row r="2419" customFormat="false" ht="15" hidden="false" customHeight="false" outlineLevel="0" collapsed="false">
      <c r="G2419" s="41" t="str">
        <f aca="false">IF(E2419="","",IFERROR(IF(ISNUMBER(SEARCH(Assumptions!$C$5,E2419)),Assumptions!$D$5,IF(ISNUMBER(SEARCH(Assumptions!$C$6,E2419)),Assumptions!$D$6,IF(ISNUMBER(SEARCH(Assumptions!$C$7,E2419)),Assumptions!$D$7,"Other Services"))),"Other Services"))</f>
        <v/>
      </c>
    </row>
    <row r="2420" customFormat="false" ht="15" hidden="false" customHeight="false" outlineLevel="0" collapsed="false">
      <c r="G2420" s="41" t="str">
        <f aca="false">IF(E2420="","",IFERROR(IF(ISNUMBER(SEARCH(Assumptions!$C$5,E2420)),Assumptions!$D$5,IF(ISNUMBER(SEARCH(Assumptions!$C$6,E2420)),Assumptions!$D$6,IF(ISNUMBER(SEARCH(Assumptions!$C$7,E2420)),Assumptions!$D$7,"Other Services"))),"Other Services"))</f>
        <v/>
      </c>
    </row>
    <row r="2421" customFormat="false" ht="15" hidden="false" customHeight="false" outlineLevel="0" collapsed="false">
      <c r="G2421" s="41" t="str">
        <f aca="false">IF(E2421="","",IFERROR(IF(ISNUMBER(SEARCH(Assumptions!$C$5,E2421)),Assumptions!$D$5,IF(ISNUMBER(SEARCH(Assumptions!$C$6,E2421)),Assumptions!$D$6,IF(ISNUMBER(SEARCH(Assumptions!$C$7,E2421)),Assumptions!$D$7,"Other Services"))),"Other Services"))</f>
        <v/>
      </c>
    </row>
    <row r="2422" customFormat="false" ht="15" hidden="false" customHeight="false" outlineLevel="0" collapsed="false">
      <c r="G2422" s="41" t="str">
        <f aca="false">IF(E2422="","",IFERROR(IF(ISNUMBER(SEARCH(Assumptions!$C$5,E2422)),Assumptions!$D$5,IF(ISNUMBER(SEARCH(Assumptions!$C$6,E2422)),Assumptions!$D$6,IF(ISNUMBER(SEARCH(Assumptions!$C$7,E2422)),Assumptions!$D$7,"Other Services"))),"Other Services"))</f>
        <v/>
      </c>
    </row>
    <row r="2423" customFormat="false" ht="15" hidden="false" customHeight="false" outlineLevel="0" collapsed="false">
      <c r="G2423" s="41" t="str">
        <f aca="false">IF(E2423="","",IFERROR(IF(ISNUMBER(SEARCH(Assumptions!$C$5,E2423)),Assumptions!$D$5,IF(ISNUMBER(SEARCH(Assumptions!$C$6,E2423)),Assumptions!$D$6,IF(ISNUMBER(SEARCH(Assumptions!$C$7,E2423)),Assumptions!$D$7,"Other Services"))),"Other Services"))</f>
        <v/>
      </c>
    </row>
    <row r="2424" customFormat="false" ht="15" hidden="false" customHeight="false" outlineLevel="0" collapsed="false">
      <c r="G2424" s="41" t="str">
        <f aca="false">IF(E2424="","",IFERROR(IF(ISNUMBER(SEARCH(Assumptions!$C$5,E2424)),Assumptions!$D$5,IF(ISNUMBER(SEARCH(Assumptions!$C$6,E2424)),Assumptions!$D$6,IF(ISNUMBER(SEARCH(Assumptions!$C$7,E2424)),Assumptions!$D$7,"Other Services"))),"Other Services"))</f>
        <v/>
      </c>
    </row>
    <row r="2425" customFormat="false" ht="15" hidden="false" customHeight="false" outlineLevel="0" collapsed="false">
      <c r="G2425" s="41" t="str">
        <f aca="false">IF(E2425="","",IFERROR(IF(ISNUMBER(SEARCH(Assumptions!$C$5,E2425)),Assumptions!$D$5,IF(ISNUMBER(SEARCH(Assumptions!$C$6,E2425)),Assumptions!$D$6,IF(ISNUMBER(SEARCH(Assumptions!$C$7,E2425)),Assumptions!$D$7,"Other Services"))),"Other Services"))</f>
        <v/>
      </c>
    </row>
    <row r="2426" customFormat="false" ht="15" hidden="false" customHeight="false" outlineLevel="0" collapsed="false">
      <c r="G2426" s="41" t="str">
        <f aca="false">IF(E2426="","",IFERROR(IF(ISNUMBER(SEARCH(Assumptions!$C$5,E2426)),Assumptions!$D$5,IF(ISNUMBER(SEARCH(Assumptions!$C$6,E2426)),Assumptions!$D$6,IF(ISNUMBER(SEARCH(Assumptions!$C$7,E2426)),Assumptions!$D$7,"Other Services"))),"Other Services"))</f>
        <v/>
      </c>
    </row>
    <row r="2427" customFormat="false" ht="15" hidden="false" customHeight="false" outlineLevel="0" collapsed="false">
      <c r="G2427" s="41" t="str">
        <f aca="false">IF(E2427="","",IFERROR(IF(ISNUMBER(SEARCH(Assumptions!$C$5,E2427)),Assumptions!$D$5,IF(ISNUMBER(SEARCH(Assumptions!$C$6,E2427)),Assumptions!$D$6,IF(ISNUMBER(SEARCH(Assumptions!$C$7,E2427)),Assumptions!$D$7,"Other Services"))),"Other Services"))</f>
        <v/>
      </c>
    </row>
    <row r="2428" customFormat="false" ht="15" hidden="false" customHeight="false" outlineLevel="0" collapsed="false">
      <c r="G2428" s="41" t="str">
        <f aca="false">IF(E2428="","",IFERROR(IF(ISNUMBER(SEARCH(Assumptions!$C$5,E2428)),Assumptions!$D$5,IF(ISNUMBER(SEARCH(Assumptions!$C$6,E2428)),Assumptions!$D$6,IF(ISNUMBER(SEARCH(Assumptions!$C$7,E2428)),Assumptions!$D$7,"Other Services"))),"Other Services"))</f>
        <v/>
      </c>
    </row>
    <row r="2429" customFormat="false" ht="15" hidden="false" customHeight="false" outlineLevel="0" collapsed="false">
      <c r="G2429" s="41" t="str">
        <f aca="false">IF(E2429="","",IFERROR(IF(ISNUMBER(SEARCH(Assumptions!$C$5,E2429)),Assumptions!$D$5,IF(ISNUMBER(SEARCH(Assumptions!$C$6,E2429)),Assumptions!$D$6,IF(ISNUMBER(SEARCH(Assumptions!$C$7,E2429)),Assumptions!$D$7,"Other Services"))),"Other Services"))</f>
        <v/>
      </c>
    </row>
    <row r="2430" customFormat="false" ht="15" hidden="false" customHeight="false" outlineLevel="0" collapsed="false">
      <c r="G2430" s="41" t="str">
        <f aca="false">IF(E2430="","",IFERROR(IF(ISNUMBER(SEARCH(Assumptions!$C$5,E2430)),Assumptions!$D$5,IF(ISNUMBER(SEARCH(Assumptions!$C$6,E2430)),Assumptions!$D$6,IF(ISNUMBER(SEARCH(Assumptions!$C$7,E2430)),Assumptions!$D$7,"Other Services"))),"Other Services"))</f>
        <v/>
      </c>
    </row>
    <row r="2431" customFormat="false" ht="15" hidden="false" customHeight="false" outlineLevel="0" collapsed="false">
      <c r="G2431" s="41" t="str">
        <f aca="false">IF(E2431="","",IFERROR(IF(ISNUMBER(SEARCH(Assumptions!$C$5,E2431)),Assumptions!$D$5,IF(ISNUMBER(SEARCH(Assumptions!$C$6,E2431)),Assumptions!$D$6,IF(ISNUMBER(SEARCH(Assumptions!$C$7,E2431)),Assumptions!$D$7,"Other Services"))),"Other Services"))</f>
        <v/>
      </c>
    </row>
    <row r="2432" customFormat="false" ht="15" hidden="false" customHeight="false" outlineLevel="0" collapsed="false">
      <c r="G2432" s="41" t="str">
        <f aca="false">IF(E2432="","",IFERROR(IF(ISNUMBER(SEARCH(Assumptions!$C$5,E2432)),Assumptions!$D$5,IF(ISNUMBER(SEARCH(Assumptions!$C$6,E2432)),Assumptions!$D$6,IF(ISNUMBER(SEARCH(Assumptions!$C$7,E2432)),Assumptions!$D$7,"Other Services"))),"Other Services"))</f>
        <v/>
      </c>
    </row>
    <row r="2433" customFormat="false" ht="15" hidden="false" customHeight="false" outlineLevel="0" collapsed="false">
      <c r="G2433" s="41" t="str">
        <f aca="false">IF(E2433="","",IFERROR(IF(ISNUMBER(SEARCH(Assumptions!$C$5,E2433)),Assumptions!$D$5,IF(ISNUMBER(SEARCH(Assumptions!$C$6,E2433)),Assumptions!$D$6,IF(ISNUMBER(SEARCH(Assumptions!$C$7,E2433)),Assumptions!$D$7,"Other Services"))),"Other Services"))</f>
        <v/>
      </c>
    </row>
    <row r="2434" customFormat="false" ht="15" hidden="false" customHeight="false" outlineLevel="0" collapsed="false">
      <c r="G2434" s="41" t="str">
        <f aca="false">IF(E2434="","",IFERROR(IF(ISNUMBER(SEARCH(Assumptions!$C$5,E2434)),Assumptions!$D$5,IF(ISNUMBER(SEARCH(Assumptions!$C$6,E2434)),Assumptions!$D$6,IF(ISNUMBER(SEARCH(Assumptions!$C$7,E2434)),Assumptions!$D$7,"Other Services"))),"Other Services"))</f>
        <v/>
      </c>
    </row>
    <row r="2435" customFormat="false" ht="15" hidden="false" customHeight="false" outlineLevel="0" collapsed="false">
      <c r="G2435" s="41" t="str">
        <f aca="false">IF(E2435="","",IFERROR(IF(ISNUMBER(SEARCH(Assumptions!$C$5,E2435)),Assumptions!$D$5,IF(ISNUMBER(SEARCH(Assumptions!$C$6,E2435)),Assumptions!$D$6,IF(ISNUMBER(SEARCH(Assumptions!$C$7,E2435)),Assumptions!$D$7,"Other Services"))),"Other Services"))</f>
        <v/>
      </c>
    </row>
    <row r="2436" customFormat="false" ht="15" hidden="false" customHeight="false" outlineLevel="0" collapsed="false">
      <c r="G2436" s="41" t="str">
        <f aca="false">IF(E2436="","",IFERROR(IF(ISNUMBER(SEARCH(Assumptions!$C$5,E2436)),Assumptions!$D$5,IF(ISNUMBER(SEARCH(Assumptions!$C$6,E2436)),Assumptions!$D$6,IF(ISNUMBER(SEARCH(Assumptions!$C$7,E2436)),Assumptions!$D$7,"Other Services"))),"Other Services"))</f>
        <v/>
      </c>
    </row>
    <row r="2437" customFormat="false" ht="15" hidden="false" customHeight="false" outlineLevel="0" collapsed="false">
      <c r="G2437" s="41" t="str">
        <f aca="false">IF(E2437="","",IFERROR(IF(ISNUMBER(SEARCH(Assumptions!$C$5,E2437)),Assumptions!$D$5,IF(ISNUMBER(SEARCH(Assumptions!$C$6,E2437)),Assumptions!$D$6,IF(ISNUMBER(SEARCH(Assumptions!$C$7,E2437)),Assumptions!$D$7,"Other Services"))),"Other Services"))</f>
        <v/>
      </c>
    </row>
    <row r="2438" customFormat="false" ht="15" hidden="false" customHeight="false" outlineLevel="0" collapsed="false">
      <c r="G2438" s="41" t="str">
        <f aca="false">IF(E2438="","",IFERROR(IF(ISNUMBER(SEARCH(Assumptions!$C$5,E2438)),Assumptions!$D$5,IF(ISNUMBER(SEARCH(Assumptions!$C$6,E2438)),Assumptions!$D$6,IF(ISNUMBER(SEARCH(Assumptions!$C$7,E2438)),Assumptions!$D$7,"Other Services"))),"Other Services"))</f>
        <v/>
      </c>
    </row>
    <row r="2439" customFormat="false" ht="15" hidden="false" customHeight="false" outlineLevel="0" collapsed="false">
      <c r="G2439" s="41" t="str">
        <f aca="false">IF(E2439="","",IFERROR(IF(ISNUMBER(SEARCH(Assumptions!$C$5,E2439)),Assumptions!$D$5,IF(ISNUMBER(SEARCH(Assumptions!$C$6,E2439)),Assumptions!$D$6,IF(ISNUMBER(SEARCH(Assumptions!$C$7,E2439)),Assumptions!$D$7,"Other Services"))),"Other Services"))</f>
        <v/>
      </c>
    </row>
    <row r="2440" customFormat="false" ht="15" hidden="false" customHeight="false" outlineLevel="0" collapsed="false">
      <c r="G2440" s="41" t="str">
        <f aca="false">IF(E2440="","",IFERROR(IF(ISNUMBER(SEARCH(Assumptions!$C$5,E2440)),Assumptions!$D$5,IF(ISNUMBER(SEARCH(Assumptions!$C$6,E2440)),Assumptions!$D$6,IF(ISNUMBER(SEARCH(Assumptions!$C$7,E2440)),Assumptions!$D$7,"Other Services"))),"Other Services"))</f>
        <v/>
      </c>
    </row>
    <row r="2441" customFormat="false" ht="15" hidden="false" customHeight="false" outlineLevel="0" collapsed="false">
      <c r="G2441" s="41" t="str">
        <f aca="false">IF(E2441="","",IFERROR(IF(ISNUMBER(SEARCH(Assumptions!$C$5,E2441)),Assumptions!$D$5,IF(ISNUMBER(SEARCH(Assumptions!$C$6,E2441)),Assumptions!$D$6,IF(ISNUMBER(SEARCH(Assumptions!$C$7,E2441)),Assumptions!$D$7,"Other Services"))),"Other Services"))</f>
        <v/>
      </c>
    </row>
    <row r="2442" customFormat="false" ht="15" hidden="false" customHeight="false" outlineLevel="0" collapsed="false">
      <c r="G2442" s="41" t="str">
        <f aca="false">IF(E2442="","",IFERROR(IF(ISNUMBER(SEARCH(Assumptions!$C$5,E2442)),Assumptions!$D$5,IF(ISNUMBER(SEARCH(Assumptions!$C$6,E2442)),Assumptions!$D$6,IF(ISNUMBER(SEARCH(Assumptions!$C$7,E2442)),Assumptions!$D$7,"Other Services"))),"Other Services"))</f>
        <v/>
      </c>
    </row>
    <row r="2443" customFormat="false" ht="15" hidden="false" customHeight="false" outlineLevel="0" collapsed="false">
      <c r="G2443" s="41" t="str">
        <f aca="false">IF(E2443="","",IFERROR(IF(ISNUMBER(SEARCH(Assumptions!$C$5,E2443)),Assumptions!$D$5,IF(ISNUMBER(SEARCH(Assumptions!$C$6,E2443)),Assumptions!$D$6,IF(ISNUMBER(SEARCH(Assumptions!$C$7,E2443)),Assumptions!$D$7,"Other Services"))),"Other Services"))</f>
        <v/>
      </c>
    </row>
    <row r="2444" customFormat="false" ht="15" hidden="false" customHeight="false" outlineLevel="0" collapsed="false">
      <c r="G2444" s="41" t="str">
        <f aca="false">IF(E2444="","",IFERROR(IF(ISNUMBER(SEARCH(Assumptions!$C$5,E2444)),Assumptions!$D$5,IF(ISNUMBER(SEARCH(Assumptions!$C$6,E2444)),Assumptions!$D$6,IF(ISNUMBER(SEARCH(Assumptions!$C$7,E2444)),Assumptions!$D$7,"Other Services"))),"Other Services"))</f>
        <v/>
      </c>
    </row>
    <row r="2445" customFormat="false" ht="15" hidden="false" customHeight="false" outlineLevel="0" collapsed="false">
      <c r="G2445" s="41" t="str">
        <f aca="false">IF(E2445="","",IFERROR(IF(ISNUMBER(SEARCH(Assumptions!$C$5,E2445)),Assumptions!$D$5,IF(ISNUMBER(SEARCH(Assumptions!$C$6,E2445)),Assumptions!$D$6,IF(ISNUMBER(SEARCH(Assumptions!$C$7,E2445)),Assumptions!$D$7,"Other Services"))),"Other Services"))</f>
        <v/>
      </c>
    </row>
    <row r="2446" customFormat="false" ht="15" hidden="false" customHeight="false" outlineLevel="0" collapsed="false">
      <c r="G2446" s="41" t="str">
        <f aca="false">IF(E2446="","",IFERROR(IF(ISNUMBER(SEARCH(Assumptions!$C$5,E2446)),Assumptions!$D$5,IF(ISNUMBER(SEARCH(Assumptions!$C$6,E2446)),Assumptions!$D$6,IF(ISNUMBER(SEARCH(Assumptions!$C$7,E2446)),Assumptions!$D$7,"Other Services"))),"Other Services"))</f>
        <v/>
      </c>
    </row>
    <row r="2447" customFormat="false" ht="15" hidden="false" customHeight="false" outlineLevel="0" collapsed="false">
      <c r="G2447" s="41" t="str">
        <f aca="false">IF(E2447="","",IFERROR(IF(ISNUMBER(SEARCH(Assumptions!$C$5,E2447)),Assumptions!$D$5,IF(ISNUMBER(SEARCH(Assumptions!$C$6,E2447)),Assumptions!$D$6,IF(ISNUMBER(SEARCH(Assumptions!$C$7,E2447)),Assumptions!$D$7,"Other Services"))),"Other Services"))</f>
        <v/>
      </c>
    </row>
    <row r="2448" customFormat="false" ht="15" hidden="false" customHeight="false" outlineLevel="0" collapsed="false">
      <c r="G2448" s="41" t="str">
        <f aca="false">IF(E2448="","",IFERROR(IF(ISNUMBER(SEARCH(Assumptions!$C$5,E2448)),Assumptions!$D$5,IF(ISNUMBER(SEARCH(Assumptions!$C$6,E2448)),Assumptions!$D$6,IF(ISNUMBER(SEARCH(Assumptions!$C$7,E2448)),Assumptions!$D$7,"Other Services"))),"Other Services"))</f>
        <v/>
      </c>
    </row>
    <row r="2449" customFormat="false" ht="15" hidden="false" customHeight="false" outlineLevel="0" collapsed="false">
      <c r="G2449" s="41" t="str">
        <f aca="false">IF(E2449="","",IFERROR(IF(ISNUMBER(SEARCH(Assumptions!$C$5,E2449)),Assumptions!$D$5,IF(ISNUMBER(SEARCH(Assumptions!$C$6,E2449)),Assumptions!$D$6,IF(ISNUMBER(SEARCH(Assumptions!$C$7,E2449)),Assumptions!$D$7,"Other Services"))),"Other Services"))</f>
        <v/>
      </c>
    </row>
    <row r="2450" customFormat="false" ht="15" hidden="false" customHeight="false" outlineLevel="0" collapsed="false">
      <c r="G2450" s="41" t="str">
        <f aca="false">IF(E2450="","",IFERROR(IF(ISNUMBER(SEARCH(Assumptions!$C$5,E2450)),Assumptions!$D$5,IF(ISNUMBER(SEARCH(Assumptions!$C$6,E2450)),Assumptions!$D$6,IF(ISNUMBER(SEARCH(Assumptions!$C$7,E2450)),Assumptions!$D$7,"Other Services"))),"Other Services"))</f>
        <v/>
      </c>
    </row>
    <row r="2451" customFormat="false" ht="15" hidden="false" customHeight="false" outlineLevel="0" collapsed="false">
      <c r="G2451" s="41" t="str">
        <f aca="false">IF(E2451="","",IFERROR(IF(ISNUMBER(SEARCH(Assumptions!$C$5,E2451)),Assumptions!$D$5,IF(ISNUMBER(SEARCH(Assumptions!$C$6,E2451)),Assumptions!$D$6,IF(ISNUMBER(SEARCH(Assumptions!$C$7,E2451)),Assumptions!$D$7,"Other Services"))),"Other Services"))</f>
        <v/>
      </c>
    </row>
    <row r="2452" customFormat="false" ht="15" hidden="false" customHeight="false" outlineLevel="0" collapsed="false">
      <c r="G2452" s="41" t="str">
        <f aca="false">IF(E2452="","",IFERROR(IF(ISNUMBER(SEARCH(Assumptions!$C$5,E2452)),Assumptions!$D$5,IF(ISNUMBER(SEARCH(Assumptions!$C$6,E2452)),Assumptions!$D$6,IF(ISNUMBER(SEARCH(Assumptions!$C$7,E2452)),Assumptions!$D$7,"Other Services"))),"Other Services"))</f>
        <v/>
      </c>
    </row>
    <row r="2453" customFormat="false" ht="15" hidden="false" customHeight="false" outlineLevel="0" collapsed="false">
      <c r="G2453" s="41" t="str">
        <f aca="false">IF(E2453="","",IFERROR(IF(ISNUMBER(SEARCH(Assumptions!$C$5,E2453)),Assumptions!$D$5,IF(ISNUMBER(SEARCH(Assumptions!$C$6,E2453)),Assumptions!$D$6,IF(ISNUMBER(SEARCH(Assumptions!$C$7,E2453)),Assumptions!$D$7,"Other Services"))),"Other Services"))</f>
        <v/>
      </c>
    </row>
    <row r="2454" customFormat="false" ht="15" hidden="false" customHeight="false" outlineLevel="0" collapsed="false">
      <c r="G2454" s="41" t="str">
        <f aca="false">IF(E2454="","",IFERROR(IF(ISNUMBER(SEARCH(Assumptions!$C$5,E2454)),Assumptions!$D$5,IF(ISNUMBER(SEARCH(Assumptions!$C$6,E2454)),Assumptions!$D$6,IF(ISNUMBER(SEARCH(Assumptions!$C$7,E2454)),Assumptions!$D$7,"Other Services"))),"Other Services"))</f>
        <v/>
      </c>
    </row>
    <row r="2455" customFormat="false" ht="15" hidden="false" customHeight="false" outlineLevel="0" collapsed="false">
      <c r="G2455" s="41" t="str">
        <f aca="false">IF(E2455="","",IFERROR(IF(ISNUMBER(SEARCH(Assumptions!$C$5,E2455)),Assumptions!$D$5,IF(ISNUMBER(SEARCH(Assumptions!$C$6,E2455)),Assumptions!$D$6,IF(ISNUMBER(SEARCH(Assumptions!$C$7,E2455)),Assumptions!$D$7,"Other Services"))),"Other Services"))</f>
        <v/>
      </c>
    </row>
    <row r="2456" customFormat="false" ht="15" hidden="false" customHeight="false" outlineLevel="0" collapsed="false">
      <c r="G2456" s="41" t="str">
        <f aca="false">IF(E2456="","",IFERROR(IF(ISNUMBER(SEARCH(Assumptions!$C$5,E2456)),Assumptions!$D$5,IF(ISNUMBER(SEARCH(Assumptions!$C$6,E2456)),Assumptions!$D$6,IF(ISNUMBER(SEARCH(Assumptions!$C$7,E2456)),Assumptions!$D$7,"Other Services"))),"Other Services"))</f>
        <v/>
      </c>
    </row>
    <row r="2457" customFormat="false" ht="15" hidden="false" customHeight="false" outlineLevel="0" collapsed="false">
      <c r="G2457" s="41" t="str">
        <f aca="false">IF(E2457="","",IFERROR(IF(ISNUMBER(SEARCH(Assumptions!$C$5,E2457)),Assumptions!$D$5,IF(ISNUMBER(SEARCH(Assumptions!$C$6,E2457)),Assumptions!$D$6,IF(ISNUMBER(SEARCH(Assumptions!$C$7,E2457)),Assumptions!$D$7,"Other Services"))),"Other Services"))</f>
        <v/>
      </c>
    </row>
    <row r="2458" customFormat="false" ht="15" hidden="false" customHeight="false" outlineLevel="0" collapsed="false">
      <c r="G2458" s="41" t="str">
        <f aca="false">IF(E2458="","",IFERROR(IF(ISNUMBER(SEARCH(Assumptions!$C$5,E2458)),Assumptions!$D$5,IF(ISNUMBER(SEARCH(Assumptions!$C$6,E2458)),Assumptions!$D$6,IF(ISNUMBER(SEARCH(Assumptions!$C$7,E2458)),Assumptions!$D$7,"Other Services"))),"Other Services"))</f>
        <v/>
      </c>
    </row>
    <row r="2459" customFormat="false" ht="15" hidden="false" customHeight="false" outlineLevel="0" collapsed="false">
      <c r="G2459" s="41" t="str">
        <f aca="false">IF(E2459="","",IFERROR(IF(ISNUMBER(SEARCH(Assumptions!$C$5,E2459)),Assumptions!$D$5,IF(ISNUMBER(SEARCH(Assumptions!$C$6,E2459)),Assumptions!$D$6,IF(ISNUMBER(SEARCH(Assumptions!$C$7,E2459)),Assumptions!$D$7,"Other Services"))),"Other Services"))</f>
        <v/>
      </c>
    </row>
    <row r="2460" customFormat="false" ht="15" hidden="false" customHeight="false" outlineLevel="0" collapsed="false">
      <c r="G2460" s="41" t="str">
        <f aca="false">IF(E2460="","",IFERROR(IF(ISNUMBER(SEARCH(Assumptions!$C$5,E2460)),Assumptions!$D$5,IF(ISNUMBER(SEARCH(Assumptions!$C$6,E2460)),Assumptions!$D$6,IF(ISNUMBER(SEARCH(Assumptions!$C$7,E2460)),Assumptions!$D$7,"Other Services"))),"Other Services"))</f>
        <v/>
      </c>
    </row>
    <row r="2461" customFormat="false" ht="15" hidden="false" customHeight="false" outlineLevel="0" collapsed="false">
      <c r="G2461" s="41" t="str">
        <f aca="false">IF(E2461="","",IFERROR(IF(ISNUMBER(SEARCH(Assumptions!$C$5,E2461)),Assumptions!$D$5,IF(ISNUMBER(SEARCH(Assumptions!$C$6,E2461)),Assumptions!$D$6,IF(ISNUMBER(SEARCH(Assumptions!$C$7,E2461)),Assumptions!$D$7,"Other Services"))),"Other Services"))</f>
        <v/>
      </c>
    </row>
    <row r="2462" customFormat="false" ht="15" hidden="false" customHeight="false" outlineLevel="0" collapsed="false">
      <c r="G2462" s="41" t="str">
        <f aca="false">IF(E2462="","",IFERROR(IF(ISNUMBER(SEARCH(Assumptions!$C$5,E2462)),Assumptions!$D$5,IF(ISNUMBER(SEARCH(Assumptions!$C$6,E2462)),Assumptions!$D$6,IF(ISNUMBER(SEARCH(Assumptions!$C$7,E2462)),Assumptions!$D$7,"Other Services"))),"Other Services"))</f>
        <v/>
      </c>
    </row>
    <row r="2463" customFormat="false" ht="15" hidden="false" customHeight="false" outlineLevel="0" collapsed="false">
      <c r="G2463" s="41" t="str">
        <f aca="false">IF(E2463="","",IFERROR(IF(ISNUMBER(SEARCH(Assumptions!$C$5,E2463)),Assumptions!$D$5,IF(ISNUMBER(SEARCH(Assumptions!$C$6,E2463)),Assumptions!$D$6,IF(ISNUMBER(SEARCH(Assumptions!$C$7,E2463)),Assumptions!$D$7,"Other Services"))),"Other Services"))</f>
        <v/>
      </c>
    </row>
    <row r="2464" customFormat="false" ht="15" hidden="false" customHeight="false" outlineLevel="0" collapsed="false">
      <c r="G2464" s="41" t="str">
        <f aca="false">IF(E2464="","",IFERROR(IF(ISNUMBER(SEARCH(Assumptions!$C$5,E2464)),Assumptions!$D$5,IF(ISNUMBER(SEARCH(Assumptions!$C$6,E2464)),Assumptions!$D$6,IF(ISNUMBER(SEARCH(Assumptions!$C$7,E2464)),Assumptions!$D$7,"Other Services"))),"Other Services"))</f>
        <v/>
      </c>
    </row>
    <row r="2465" customFormat="false" ht="15" hidden="false" customHeight="false" outlineLevel="0" collapsed="false">
      <c r="G2465" s="41" t="str">
        <f aca="false">IF(E2465="","",IFERROR(IF(ISNUMBER(SEARCH(Assumptions!$C$5,E2465)),Assumptions!$D$5,IF(ISNUMBER(SEARCH(Assumptions!$C$6,E2465)),Assumptions!$D$6,IF(ISNUMBER(SEARCH(Assumptions!$C$7,E2465)),Assumptions!$D$7,"Other Services"))),"Other Services"))</f>
        <v/>
      </c>
    </row>
    <row r="2466" customFormat="false" ht="15" hidden="false" customHeight="false" outlineLevel="0" collapsed="false">
      <c r="G2466" s="41" t="str">
        <f aca="false">IF(E2466="","",IFERROR(IF(ISNUMBER(SEARCH(Assumptions!$C$5,E2466)),Assumptions!$D$5,IF(ISNUMBER(SEARCH(Assumptions!$C$6,E2466)),Assumptions!$D$6,IF(ISNUMBER(SEARCH(Assumptions!$C$7,E2466)),Assumptions!$D$7,"Other Services"))),"Other Services"))</f>
        <v/>
      </c>
    </row>
    <row r="2467" customFormat="false" ht="15" hidden="false" customHeight="false" outlineLevel="0" collapsed="false">
      <c r="G2467" s="41" t="str">
        <f aca="false">IF(E2467="","",IFERROR(IF(ISNUMBER(SEARCH(Assumptions!$C$5,E2467)),Assumptions!$D$5,IF(ISNUMBER(SEARCH(Assumptions!$C$6,E2467)),Assumptions!$D$6,IF(ISNUMBER(SEARCH(Assumptions!$C$7,E2467)),Assumptions!$D$7,"Other Services"))),"Other Services"))</f>
        <v/>
      </c>
    </row>
    <row r="2468" customFormat="false" ht="15" hidden="false" customHeight="false" outlineLevel="0" collapsed="false">
      <c r="G2468" s="41" t="str">
        <f aca="false">IF(E2468="","",IFERROR(IF(ISNUMBER(SEARCH(Assumptions!$C$5,E2468)),Assumptions!$D$5,IF(ISNUMBER(SEARCH(Assumptions!$C$6,E2468)),Assumptions!$D$6,IF(ISNUMBER(SEARCH(Assumptions!$C$7,E2468)),Assumptions!$D$7,"Other Services"))),"Other Services"))</f>
        <v/>
      </c>
    </row>
    <row r="2469" customFormat="false" ht="15" hidden="false" customHeight="false" outlineLevel="0" collapsed="false">
      <c r="G2469" s="41" t="str">
        <f aca="false">IF(E2469="","",IFERROR(IF(ISNUMBER(SEARCH(Assumptions!$C$5,E2469)),Assumptions!$D$5,IF(ISNUMBER(SEARCH(Assumptions!$C$6,E2469)),Assumptions!$D$6,IF(ISNUMBER(SEARCH(Assumptions!$C$7,E2469)),Assumptions!$D$7,"Other Services"))),"Other Services"))</f>
        <v/>
      </c>
    </row>
    <row r="2470" customFormat="false" ht="15" hidden="false" customHeight="false" outlineLevel="0" collapsed="false">
      <c r="G2470" s="41" t="str">
        <f aca="false">IF(E2470="","",IFERROR(IF(ISNUMBER(SEARCH(Assumptions!$C$5,E2470)),Assumptions!$D$5,IF(ISNUMBER(SEARCH(Assumptions!$C$6,E2470)),Assumptions!$D$6,IF(ISNUMBER(SEARCH(Assumptions!$C$7,E2470)),Assumptions!$D$7,"Other Services"))),"Other Services"))</f>
        <v/>
      </c>
    </row>
    <row r="2471" customFormat="false" ht="15" hidden="false" customHeight="false" outlineLevel="0" collapsed="false">
      <c r="G2471" s="41" t="str">
        <f aca="false">IF(E2471="","",IFERROR(IF(ISNUMBER(SEARCH(Assumptions!$C$5,E2471)),Assumptions!$D$5,IF(ISNUMBER(SEARCH(Assumptions!$C$6,E2471)),Assumptions!$D$6,IF(ISNUMBER(SEARCH(Assumptions!$C$7,E2471)),Assumptions!$D$7,"Other Services"))),"Other Services"))</f>
        <v/>
      </c>
    </row>
    <row r="2472" customFormat="false" ht="15" hidden="false" customHeight="false" outlineLevel="0" collapsed="false">
      <c r="G2472" s="41" t="str">
        <f aca="false">IF(E2472="","",IFERROR(IF(ISNUMBER(SEARCH(Assumptions!$C$5,E2472)),Assumptions!$D$5,IF(ISNUMBER(SEARCH(Assumptions!$C$6,E2472)),Assumptions!$D$6,IF(ISNUMBER(SEARCH(Assumptions!$C$7,E2472)),Assumptions!$D$7,"Other Services"))),"Other Services"))</f>
        <v/>
      </c>
    </row>
    <row r="2473" customFormat="false" ht="15" hidden="false" customHeight="false" outlineLevel="0" collapsed="false">
      <c r="G2473" s="41" t="str">
        <f aca="false">IF(E2473="","",IFERROR(IF(ISNUMBER(SEARCH(Assumptions!$C$5,E2473)),Assumptions!$D$5,IF(ISNUMBER(SEARCH(Assumptions!$C$6,E2473)),Assumptions!$D$6,IF(ISNUMBER(SEARCH(Assumptions!$C$7,E2473)),Assumptions!$D$7,"Other Services"))),"Other Services"))</f>
        <v/>
      </c>
    </row>
    <row r="2474" customFormat="false" ht="15" hidden="false" customHeight="false" outlineLevel="0" collapsed="false">
      <c r="G2474" s="41" t="str">
        <f aca="false">IF(E2474="","",IFERROR(IF(ISNUMBER(SEARCH(Assumptions!$C$5,E2474)),Assumptions!$D$5,IF(ISNUMBER(SEARCH(Assumptions!$C$6,E2474)),Assumptions!$D$6,IF(ISNUMBER(SEARCH(Assumptions!$C$7,E2474)),Assumptions!$D$7,"Other Services"))),"Other Services"))</f>
        <v/>
      </c>
    </row>
    <row r="2475" customFormat="false" ht="15" hidden="false" customHeight="false" outlineLevel="0" collapsed="false">
      <c r="G2475" s="41" t="str">
        <f aca="false">IF(E2475="","",IFERROR(IF(ISNUMBER(SEARCH(Assumptions!$C$5,E2475)),Assumptions!$D$5,IF(ISNUMBER(SEARCH(Assumptions!$C$6,E2475)),Assumptions!$D$6,IF(ISNUMBER(SEARCH(Assumptions!$C$7,E2475)),Assumptions!$D$7,"Other Services"))),"Other Services"))</f>
        <v/>
      </c>
    </row>
    <row r="2476" customFormat="false" ht="15" hidden="false" customHeight="false" outlineLevel="0" collapsed="false">
      <c r="G2476" s="41" t="str">
        <f aca="false">IF(E2476="","",IFERROR(IF(ISNUMBER(SEARCH(Assumptions!$C$5,E2476)),Assumptions!$D$5,IF(ISNUMBER(SEARCH(Assumptions!$C$6,E2476)),Assumptions!$D$6,IF(ISNUMBER(SEARCH(Assumptions!$C$7,E2476)),Assumptions!$D$7,"Other Services"))),"Other Services"))</f>
        <v/>
      </c>
    </row>
    <row r="2477" customFormat="false" ht="15" hidden="false" customHeight="false" outlineLevel="0" collapsed="false">
      <c r="G2477" s="41" t="str">
        <f aca="false">IF(E2477="","",IFERROR(IF(ISNUMBER(SEARCH(Assumptions!$C$5,E2477)),Assumptions!$D$5,IF(ISNUMBER(SEARCH(Assumptions!$C$6,E2477)),Assumptions!$D$6,IF(ISNUMBER(SEARCH(Assumptions!$C$7,E2477)),Assumptions!$D$7,"Other Services"))),"Other Services"))</f>
        <v/>
      </c>
    </row>
    <row r="2478" customFormat="false" ht="15" hidden="false" customHeight="false" outlineLevel="0" collapsed="false">
      <c r="G2478" s="41" t="str">
        <f aca="false">IF(E2478="","",IFERROR(IF(ISNUMBER(SEARCH(Assumptions!$C$5,E2478)),Assumptions!$D$5,IF(ISNUMBER(SEARCH(Assumptions!$C$6,E2478)),Assumptions!$D$6,IF(ISNUMBER(SEARCH(Assumptions!$C$7,E2478)),Assumptions!$D$7,"Other Services"))),"Other Services"))</f>
        <v/>
      </c>
    </row>
    <row r="2479" customFormat="false" ht="15" hidden="false" customHeight="false" outlineLevel="0" collapsed="false">
      <c r="G2479" s="41" t="str">
        <f aca="false">IF(E2479="","",IFERROR(IF(ISNUMBER(SEARCH(Assumptions!$C$5,E2479)),Assumptions!$D$5,IF(ISNUMBER(SEARCH(Assumptions!$C$6,E2479)),Assumptions!$D$6,IF(ISNUMBER(SEARCH(Assumptions!$C$7,E2479)),Assumptions!$D$7,"Other Services"))),"Other Services"))</f>
        <v/>
      </c>
    </row>
    <row r="2480" customFormat="false" ht="15" hidden="false" customHeight="false" outlineLevel="0" collapsed="false">
      <c r="G2480" s="41" t="str">
        <f aca="false">IF(E2480="","",IFERROR(IF(ISNUMBER(SEARCH(Assumptions!$C$5,E2480)),Assumptions!$D$5,IF(ISNUMBER(SEARCH(Assumptions!$C$6,E2480)),Assumptions!$D$6,IF(ISNUMBER(SEARCH(Assumptions!$C$7,E2480)),Assumptions!$D$7,"Other Services"))),"Other Services"))</f>
        <v/>
      </c>
    </row>
    <row r="2481" customFormat="false" ht="15" hidden="false" customHeight="false" outlineLevel="0" collapsed="false">
      <c r="G2481" s="41" t="str">
        <f aca="false">IF(E2481="","",IFERROR(IF(ISNUMBER(SEARCH(Assumptions!$C$5,E2481)),Assumptions!$D$5,IF(ISNUMBER(SEARCH(Assumptions!$C$6,E2481)),Assumptions!$D$6,IF(ISNUMBER(SEARCH(Assumptions!$C$7,E2481)),Assumptions!$D$7,"Other Services"))),"Other Services"))</f>
        <v/>
      </c>
    </row>
    <row r="2482" customFormat="false" ht="15" hidden="false" customHeight="false" outlineLevel="0" collapsed="false">
      <c r="G2482" s="41" t="str">
        <f aca="false">IF(E2482="","",IFERROR(IF(ISNUMBER(SEARCH(Assumptions!$C$5,E2482)),Assumptions!$D$5,IF(ISNUMBER(SEARCH(Assumptions!$C$6,E2482)),Assumptions!$D$6,IF(ISNUMBER(SEARCH(Assumptions!$C$7,E2482)),Assumptions!$D$7,"Other Services"))),"Other Services"))</f>
        <v/>
      </c>
    </row>
    <row r="2483" customFormat="false" ht="15" hidden="false" customHeight="false" outlineLevel="0" collapsed="false">
      <c r="G2483" s="41" t="str">
        <f aca="false">IF(E2483="","",IFERROR(IF(ISNUMBER(SEARCH(Assumptions!$C$5,E2483)),Assumptions!$D$5,IF(ISNUMBER(SEARCH(Assumptions!$C$6,E2483)),Assumptions!$D$6,IF(ISNUMBER(SEARCH(Assumptions!$C$7,E2483)),Assumptions!$D$7,"Other Services"))),"Other Services"))</f>
        <v/>
      </c>
    </row>
    <row r="2484" customFormat="false" ht="15" hidden="false" customHeight="false" outlineLevel="0" collapsed="false">
      <c r="G2484" s="41" t="str">
        <f aca="false">IF(E2484="","",IFERROR(IF(ISNUMBER(SEARCH(Assumptions!$C$5,E2484)),Assumptions!$D$5,IF(ISNUMBER(SEARCH(Assumptions!$C$6,E2484)),Assumptions!$D$6,IF(ISNUMBER(SEARCH(Assumptions!$C$7,E2484)),Assumptions!$D$7,"Other Services"))),"Other Services"))</f>
        <v/>
      </c>
    </row>
    <row r="2485" customFormat="false" ht="15" hidden="false" customHeight="false" outlineLevel="0" collapsed="false">
      <c r="G2485" s="41" t="str">
        <f aca="false">IF(E2485="","",IFERROR(IF(ISNUMBER(SEARCH(Assumptions!$C$5,E2485)),Assumptions!$D$5,IF(ISNUMBER(SEARCH(Assumptions!$C$6,E2485)),Assumptions!$D$6,IF(ISNUMBER(SEARCH(Assumptions!$C$7,E2485)),Assumptions!$D$7,"Other Services"))),"Other Services"))</f>
        <v/>
      </c>
    </row>
    <row r="2486" customFormat="false" ht="15" hidden="false" customHeight="false" outlineLevel="0" collapsed="false">
      <c r="G2486" s="41" t="str">
        <f aca="false">IF(E2486="","",IFERROR(IF(ISNUMBER(SEARCH(Assumptions!$C$5,E2486)),Assumptions!$D$5,IF(ISNUMBER(SEARCH(Assumptions!$C$6,E2486)),Assumptions!$D$6,IF(ISNUMBER(SEARCH(Assumptions!$C$7,E2486)),Assumptions!$D$7,"Other Services"))),"Other Services"))</f>
        <v/>
      </c>
    </row>
    <row r="2487" customFormat="false" ht="15" hidden="false" customHeight="false" outlineLevel="0" collapsed="false">
      <c r="G2487" s="41" t="str">
        <f aca="false">IF(E2487="","",IFERROR(IF(ISNUMBER(SEARCH(Assumptions!$C$5,E2487)),Assumptions!$D$5,IF(ISNUMBER(SEARCH(Assumptions!$C$6,E2487)),Assumptions!$D$6,IF(ISNUMBER(SEARCH(Assumptions!$C$7,E2487)),Assumptions!$D$7,"Other Services"))),"Other Services"))</f>
        <v/>
      </c>
    </row>
    <row r="2488" customFormat="false" ht="15" hidden="false" customHeight="false" outlineLevel="0" collapsed="false">
      <c r="G2488" s="41" t="str">
        <f aca="false">IF(E2488="","",IFERROR(IF(ISNUMBER(SEARCH(Assumptions!$C$5,E2488)),Assumptions!$D$5,IF(ISNUMBER(SEARCH(Assumptions!$C$6,E2488)),Assumptions!$D$6,IF(ISNUMBER(SEARCH(Assumptions!$C$7,E2488)),Assumptions!$D$7,"Other Services"))),"Other Services"))</f>
        <v/>
      </c>
    </row>
    <row r="2489" customFormat="false" ht="15" hidden="false" customHeight="false" outlineLevel="0" collapsed="false">
      <c r="G2489" s="41" t="str">
        <f aca="false">IF(E2489="","",IFERROR(IF(ISNUMBER(SEARCH(Assumptions!$C$5,E2489)),Assumptions!$D$5,IF(ISNUMBER(SEARCH(Assumptions!$C$6,E2489)),Assumptions!$D$6,IF(ISNUMBER(SEARCH(Assumptions!$C$7,E2489)),Assumptions!$D$7,"Other Services"))),"Other Services"))</f>
        <v/>
      </c>
    </row>
    <row r="2490" customFormat="false" ht="15" hidden="false" customHeight="false" outlineLevel="0" collapsed="false">
      <c r="G2490" s="41" t="str">
        <f aca="false">IF(E2490="","",IFERROR(IF(ISNUMBER(SEARCH(Assumptions!$C$5,E2490)),Assumptions!$D$5,IF(ISNUMBER(SEARCH(Assumptions!$C$6,E2490)),Assumptions!$D$6,IF(ISNUMBER(SEARCH(Assumptions!$C$7,E2490)),Assumptions!$D$7,"Other Services"))),"Other Services"))</f>
        <v/>
      </c>
    </row>
    <row r="2491" customFormat="false" ht="15" hidden="false" customHeight="false" outlineLevel="0" collapsed="false">
      <c r="G2491" s="41" t="str">
        <f aca="false">IF(E2491="","",IFERROR(IF(ISNUMBER(SEARCH(Assumptions!$C$5,E2491)),Assumptions!$D$5,IF(ISNUMBER(SEARCH(Assumptions!$C$6,E2491)),Assumptions!$D$6,IF(ISNUMBER(SEARCH(Assumptions!$C$7,E2491)),Assumptions!$D$7,"Other Services"))),"Other Services"))</f>
        <v/>
      </c>
    </row>
    <row r="2492" customFormat="false" ht="15" hidden="false" customHeight="false" outlineLevel="0" collapsed="false">
      <c r="G2492" s="41" t="str">
        <f aca="false">IF(E2492="","",IFERROR(IF(ISNUMBER(SEARCH(Assumptions!$C$5,E2492)),Assumptions!$D$5,IF(ISNUMBER(SEARCH(Assumptions!$C$6,E2492)),Assumptions!$D$6,IF(ISNUMBER(SEARCH(Assumptions!$C$7,E2492)),Assumptions!$D$7,"Other Services"))),"Other Services"))</f>
        <v/>
      </c>
    </row>
    <row r="2493" customFormat="false" ht="15" hidden="false" customHeight="false" outlineLevel="0" collapsed="false">
      <c r="G2493" s="41" t="str">
        <f aca="false">IF(E2493="","",IFERROR(IF(ISNUMBER(SEARCH(Assumptions!$C$5,E2493)),Assumptions!$D$5,IF(ISNUMBER(SEARCH(Assumptions!$C$6,E2493)),Assumptions!$D$6,IF(ISNUMBER(SEARCH(Assumptions!$C$7,E2493)),Assumptions!$D$7,"Other Services"))),"Other Services"))</f>
        <v/>
      </c>
    </row>
    <row r="2494" customFormat="false" ht="15" hidden="false" customHeight="false" outlineLevel="0" collapsed="false">
      <c r="G2494" s="41" t="str">
        <f aca="false">IF(E2494="","",IFERROR(IF(ISNUMBER(SEARCH(Assumptions!$C$5,E2494)),Assumptions!$D$5,IF(ISNUMBER(SEARCH(Assumptions!$C$6,E2494)),Assumptions!$D$6,IF(ISNUMBER(SEARCH(Assumptions!$C$7,E2494)),Assumptions!$D$7,"Other Services"))),"Other Services"))</f>
        <v/>
      </c>
    </row>
    <row r="2495" customFormat="false" ht="15" hidden="false" customHeight="false" outlineLevel="0" collapsed="false">
      <c r="G2495" s="41" t="str">
        <f aca="false">IF(E2495="","",IFERROR(IF(ISNUMBER(SEARCH(Assumptions!$C$5,E2495)),Assumptions!$D$5,IF(ISNUMBER(SEARCH(Assumptions!$C$6,E2495)),Assumptions!$D$6,IF(ISNUMBER(SEARCH(Assumptions!$C$7,E2495)),Assumptions!$D$7,"Other Services"))),"Other Services"))</f>
        <v/>
      </c>
    </row>
    <row r="2496" customFormat="false" ht="15" hidden="false" customHeight="false" outlineLevel="0" collapsed="false">
      <c r="G2496" s="41" t="str">
        <f aca="false">IF(E2496="","",IFERROR(IF(ISNUMBER(SEARCH(Assumptions!$C$5,E2496)),Assumptions!$D$5,IF(ISNUMBER(SEARCH(Assumptions!$C$6,E2496)),Assumptions!$D$6,IF(ISNUMBER(SEARCH(Assumptions!$C$7,E2496)),Assumptions!$D$7,"Other Services"))),"Other Services"))</f>
        <v/>
      </c>
    </row>
    <row r="2497" customFormat="false" ht="15" hidden="false" customHeight="false" outlineLevel="0" collapsed="false">
      <c r="G2497" s="41" t="str">
        <f aca="false">IF(E2497="","",IFERROR(IF(ISNUMBER(SEARCH(Assumptions!$C$5,E2497)),Assumptions!$D$5,IF(ISNUMBER(SEARCH(Assumptions!$C$6,E2497)),Assumptions!$D$6,IF(ISNUMBER(SEARCH(Assumptions!$C$7,E2497)),Assumptions!$D$7,"Other Services"))),"Other Services"))</f>
        <v/>
      </c>
    </row>
    <row r="2498" customFormat="false" ht="15" hidden="false" customHeight="false" outlineLevel="0" collapsed="false">
      <c r="G2498" s="41" t="str">
        <f aca="false">IF(E2498="","",IFERROR(IF(ISNUMBER(SEARCH(Assumptions!$C$5,E2498)),Assumptions!$D$5,IF(ISNUMBER(SEARCH(Assumptions!$C$6,E2498)),Assumptions!$D$6,IF(ISNUMBER(SEARCH(Assumptions!$C$7,E2498)),Assumptions!$D$7,"Other Services"))),"Other Services"))</f>
        <v/>
      </c>
    </row>
    <row r="2499" customFormat="false" ht="15" hidden="false" customHeight="false" outlineLevel="0" collapsed="false">
      <c r="G2499" s="41" t="str">
        <f aca="false">IF(E2499="","",IFERROR(IF(ISNUMBER(SEARCH(Assumptions!$C$5,E2499)),Assumptions!$D$5,IF(ISNUMBER(SEARCH(Assumptions!$C$6,E2499)),Assumptions!$D$6,IF(ISNUMBER(SEARCH(Assumptions!$C$7,E2499)),Assumptions!$D$7,"Other Services"))),"Other Services"))</f>
        <v/>
      </c>
    </row>
    <row r="2500" customFormat="false" ht="15" hidden="false" customHeight="false" outlineLevel="0" collapsed="false">
      <c r="G2500" s="41" t="str">
        <f aca="false">IF(E2500="","",IFERROR(IF(ISNUMBER(SEARCH(Assumptions!$C$5,E2500)),Assumptions!$D$5,IF(ISNUMBER(SEARCH(Assumptions!$C$6,E2500)),Assumptions!$D$6,IF(ISNUMBER(SEARCH(Assumptions!$C$7,E2500)),Assumptions!$D$7,"Other Services"))),"Other Services"))</f>
        <v/>
      </c>
    </row>
    <row r="2501" customFormat="false" ht="15" hidden="false" customHeight="false" outlineLevel="0" collapsed="false">
      <c r="G2501" s="41" t="str">
        <f aca="false">IF(E2501="","",IFERROR(IF(ISNUMBER(SEARCH(Assumptions!$C$5,E2501)),Assumptions!$D$5,IF(ISNUMBER(SEARCH(Assumptions!$C$6,E2501)),Assumptions!$D$6,IF(ISNUMBER(SEARCH(Assumptions!$C$7,E2501)),Assumptions!$D$7,"Other Services"))),"Other Services"))</f>
        <v/>
      </c>
    </row>
    <row r="2502" customFormat="false" ht="15" hidden="false" customHeight="false" outlineLevel="0" collapsed="false">
      <c r="G2502" s="41" t="str">
        <f aca="false">IF(E2502="","",IFERROR(IF(ISNUMBER(SEARCH(Assumptions!$C$5,E2502)),Assumptions!$D$5,IF(ISNUMBER(SEARCH(Assumptions!$C$6,E2502)),Assumptions!$D$6,IF(ISNUMBER(SEARCH(Assumptions!$C$7,E2502)),Assumptions!$D$7,"Other Services"))),"Other Services"))</f>
        <v/>
      </c>
    </row>
    <row r="2503" customFormat="false" ht="15" hidden="false" customHeight="false" outlineLevel="0" collapsed="false">
      <c r="G2503" s="41" t="str">
        <f aca="false">IF(E2503="","",IFERROR(IF(ISNUMBER(SEARCH(Assumptions!$C$5,E2503)),Assumptions!$D$5,IF(ISNUMBER(SEARCH(Assumptions!$C$6,E2503)),Assumptions!$D$6,IF(ISNUMBER(SEARCH(Assumptions!$C$7,E2503)),Assumptions!$D$7,"Other Services"))),"Other Services"))</f>
        <v/>
      </c>
    </row>
    <row r="2504" customFormat="false" ht="15" hidden="false" customHeight="false" outlineLevel="0" collapsed="false">
      <c r="G2504" s="41" t="str">
        <f aca="false">IF(E2504="","",IFERROR(IF(ISNUMBER(SEARCH(Assumptions!$C$5,E2504)),Assumptions!$D$5,IF(ISNUMBER(SEARCH(Assumptions!$C$6,E2504)),Assumptions!$D$6,IF(ISNUMBER(SEARCH(Assumptions!$C$7,E2504)),Assumptions!$D$7,"Other Services"))),"Other Services"))</f>
        <v/>
      </c>
    </row>
    <row r="2505" customFormat="false" ht="15" hidden="false" customHeight="false" outlineLevel="0" collapsed="false">
      <c r="G2505" s="41" t="str">
        <f aca="false">IF(E2505="","",IFERROR(IF(ISNUMBER(SEARCH(Assumptions!$C$5,E2505)),Assumptions!$D$5,IF(ISNUMBER(SEARCH(Assumptions!$C$6,E2505)),Assumptions!$D$6,IF(ISNUMBER(SEARCH(Assumptions!$C$7,E2505)),Assumptions!$D$7,"Other Services"))),"Other Services"))</f>
        <v/>
      </c>
    </row>
    <row r="2506" customFormat="false" ht="15" hidden="false" customHeight="false" outlineLevel="0" collapsed="false">
      <c r="G2506" s="41" t="str">
        <f aca="false">IF(E2506="","",IFERROR(IF(ISNUMBER(SEARCH(Assumptions!$C$5,E2506)),Assumptions!$D$5,IF(ISNUMBER(SEARCH(Assumptions!$C$6,E2506)),Assumptions!$D$6,IF(ISNUMBER(SEARCH(Assumptions!$C$7,E2506)),Assumptions!$D$7,"Other Services"))),"Other Services"))</f>
        <v/>
      </c>
    </row>
    <row r="2507" customFormat="false" ht="15" hidden="false" customHeight="false" outlineLevel="0" collapsed="false">
      <c r="G2507" s="41" t="str">
        <f aca="false">IF(E2507="","",IFERROR(IF(ISNUMBER(SEARCH(Assumptions!$C$5,E2507)),Assumptions!$D$5,IF(ISNUMBER(SEARCH(Assumptions!$C$6,E2507)),Assumptions!$D$6,IF(ISNUMBER(SEARCH(Assumptions!$C$7,E2507)),Assumptions!$D$7,"Other Services"))),"Other Services"))</f>
        <v/>
      </c>
    </row>
    <row r="2508" customFormat="false" ht="15" hidden="false" customHeight="false" outlineLevel="0" collapsed="false">
      <c r="G2508" s="41" t="str">
        <f aca="false">IF(E2508="","",IFERROR(IF(ISNUMBER(SEARCH(Assumptions!$C$5,E2508)),Assumptions!$D$5,IF(ISNUMBER(SEARCH(Assumptions!$C$6,E2508)),Assumptions!$D$6,IF(ISNUMBER(SEARCH(Assumptions!$C$7,E2508)),Assumptions!$D$7,"Other Services"))),"Other Services"))</f>
        <v/>
      </c>
    </row>
    <row r="2509" customFormat="false" ht="15" hidden="false" customHeight="false" outlineLevel="0" collapsed="false">
      <c r="G2509" s="41" t="str">
        <f aca="false">IF(E2509="","",IFERROR(IF(ISNUMBER(SEARCH(Assumptions!$C$5,E2509)),Assumptions!$D$5,IF(ISNUMBER(SEARCH(Assumptions!$C$6,E2509)),Assumptions!$D$6,IF(ISNUMBER(SEARCH(Assumptions!$C$7,E2509)),Assumptions!$D$7,"Other Services"))),"Other Services"))</f>
        <v/>
      </c>
    </row>
    <row r="2510" customFormat="false" ht="15" hidden="false" customHeight="false" outlineLevel="0" collapsed="false">
      <c r="G2510" s="41" t="str">
        <f aca="false">IF(E2510="","",IFERROR(IF(ISNUMBER(SEARCH(Assumptions!$C$5,E2510)),Assumptions!$D$5,IF(ISNUMBER(SEARCH(Assumptions!$C$6,E2510)),Assumptions!$D$6,IF(ISNUMBER(SEARCH(Assumptions!$C$7,E2510)),Assumptions!$D$7,"Other Services"))),"Other Services"))</f>
        <v/>
      </c>
    </row>
    <row r="2511" customFormat="false" ht="15" hidden="false" customHeight="false" outlineLevel="0" collapsed="false">
      <c r="G2511" s="41" t="str">
        <f aca="false">IF(E2511="","",IFERROR(IF(ISNUMBER(SEARCH(Assumptions!$C$5,E2511)),Assumptions!$D$5,IF(ISNUMBER(SEARCH(Assumptions!$C$6,E2511)),Assumptions!$D$6,IF(ISNUMBER(SEARCH(Assumptions!$C$7,E2511)),Assumptions!$D$7,"Other Services"))),"Other Services"))</f>
        <v/>
      </c>
    </row>
    <row r="2512" customFormat="false" ht="15" hidden="false" customHeight="false" outlineLevel="0" collapsed="false">
      <c r="G2512" s="41" t="str">
        <f aca="false">IF(E2512="","",IFERROR(IF(ISNUMBER(SEARCH(Assumptions!$C$5,E2512)),Assumptions!$D$5,IF(ISNUMBER(SEARCH(Assumptions!$C$6,E2512)),Assumptions!$D$6,IF(ISNUMBER(SEARCH(Assumptions!$C$7,E2512)),Assumptions!$D$7,"Other Services"))),"Other Services"))</f>
        <v/>
      </c>
    </row>
    <row r="2513" customFormat="false" ht="15" hidden="false" customHeight="false" outlineLevel="0" collapsed="false">
      <c r="G2513" s="41" t="str">
        <f aca="false">IF(E2513="","",IFERROR(IF(ISNUMBER(SEARCH(Assumptions!$C$5,E2513)),Assumptions!$D$5,IF(ISNUMBER(SEARCH(Assumptions!$C$6,E2513)),Assumptions!$D$6,IF(ISNUMBER(SEARCH(Assumptions!$C$7,E2513)),Assumptions!$D$7,"Other Services"))),"Other Services"))</f>
        <v/>
      </c>
    </row>
    <row r="2514" customFormat="false" ht="15" hidden="false" customHeight="false" outlineLevel="0" collapsed="false">
      <c r="G2514" s="41" t="str">
        <f aca="false">IF(E2514="","",IFERROR(IF(ISNUMBER(SEARCH(Assumptions!$C$5,E2514)),Assumptions!$D$5,IF(ISNUMBER(SEARCH(Assumptions!$C$6,E2514)),Assumptions!$D$6,IF(ISNUMBER(SEARCH(Assumptions!$C$7,E2514)),Assumptions!$D$7,"Other Services"))),"Other Services"))</f>
        <v/>
      </c>
    </row>
    <row r="2515" customFormat="false" ht="15" hidden="false" customHeight="false" outlineLevel="0" collapsed="false">
      <c r="G2515" s="41" t="str">
        <f aca="false">IF(E2515="","",IFERROR(IF(ISNUMBER(SEARCH(Assumptions!$C$5,E2515)),Assumptions!$D$5,IF(ISNUMBER(SEARCH(Assumptions!$C$6,E2515)),Assumptions!$D$6,IF(ISNUMBER(SEARCH(Assumptions!$C$7,E2515)),Assumptions!$D$7,"Other Services"))),"Other Services"))</f>
        <v/>
      </c>
    </row>
    <row r="2516" customFormat="false" ht="15" hidden="false" customHeight="false" outlineLevel="0" collapsed="false">
      <c r="G2516" s="41" t="str">
        <f aca="false">IF(E2516="","",IFERROR(IF(ISNUMBER(SEARCH(Assumptions!$C$5,E2516)),Assumptions!$D$5,IF(ISNUMBER(SEARCH(Assumptions!$C$6,E2516)),Assumptions!$D$6,IF(ISNUMBER(SEARCH(Assumptions!$C$7,E2516)),Assumptions!$D$7,"Other Services"))),"Other Services"))</f>
        <v/>
      </c>
    </row>
    <row r="2517" customFormat="false" ht="15" hidden="false" customHeight="false" outlineLevel="0" collapsed="false">
      <c r="G2517" s="41" t="str">
        <f aca="false">IF(E2517="","",IFERROR(IF(ISNUMBER(SEARCH(Assumptions!$C$5,E2517)),Assumptions!$D$5,IF(ISNUMBER(SEARCH(Assumptions!$C$6,E2517)),Assumptions!$D$6,IF(ISNUMBER(SEARCH(Assumptions!$C$7,E2517)),Assumptions!$D$7,"Other Services"))),"Other Services"))</f>
        <v/>
      </c>
    </row>
    <row r="2518" customFormat="false" ht="15" hidden="false" customHeight="false" outlineLevel="0" collapsed="false">
      <c r="G2518" s="41" t="str">
        <f aca="false">IF(E2518="","",IFERROR(IF(ISNUMBER(SEARCH(Assumptions!$C$5,E2518)),Assumptions!$D$5,IF(ISNUMBER(SEARCH(Assumptions!$C$6,E2518)),Assumptions!$D$6,IF(ISNUMBER(SEARCH(Assumptions!$C$7,E2518)),Assumptions!$D$7,"Other Services"))),"Other Services"))</f>
        <v/>
      </c>
    </row>
    <row r="2519" customFormat="false" ht="15" hidden="false" customHeight="false" outlineLevel="0" collapsed="false">
      <c r="G2519" s="41" t="str">
        <f aca="false">IF(E2519="","",IFERROR(IF(ISNUMBER(SEARCH(Assumptions!$C$5,E2519)),Assumptions!$D$5,IF(ISNUMBER(SEARCH(Assumptions!$C$6,E2519)),Assumptions!$D$6,IF(ISNUMBER(SEARCH(Assumptions!$C$7,E2519)),Assumptions!$D$7,"Other Services"))),"Other Services"))</f>
        <v/>
      </c>
    </row>
    <row r="2520" customFormat="false" ht="15" hidden="false" customHeight="false" outlineLevel="0" collapsed="false">
      <c r="G2520" s="41" t="str">
        <f aca="false">IF(E2520="","",IFERROR(IF(ISNUMBER(SEARCH(Assumptions!$C$5,E2520)),Assumptions!$D$5,IF(ISNUMBER(SEARCH(Assumptions!$C$6,E2520)),Assumptions!$D$6,IF(ISNUMBER(SEARCH(Assumptions!$C$7,E2520)),Assumptions!$D$7,"Other Services"))),"Other Services"))</f>
        <v/>
      </c>
    </row>
    <row r="2521" customFormat="false" ht="15" hidden="false" customHeight="false" outlineLevel="0" collapsed="false">
      <c r="G2521" s="41" t="str">
        <f aca="false">IF(E2521="","",IFERROR(IF(ISNUMBER(SEARCH(Assumptions!$C$5,E2521)),Assumptions!$D$5,IF(ISNUMBER(SEARCH(Assumptions!$C$6,E2521)),Assumptions!$D$6,IF(ISNUMBER(SEARCH(Assumptions!$C$7,E2521)),Assumptions!$D$7,"Other Services"))),"Other Services"))</f>
        <v/>
      </c>
    </row>
    <row r="2522" customFormat="false" ht="15" hidden="false" customHeight="false" outlineLevel="0" collapsed="false">
      <c r="G2522" s="41" t="str">
        <f aca="false">IF(E2522="","",IFERROR(IF(ISNUMBER(SEARCH(Assumptions!$C$5,E2522)),Assumptions!$D$5,IF(ISNUMBER(SEARCH(Assumptions!$C$6,E2522)),Assumptions!$D$6,IF(ISNUMBER(SEARCH(Assumptions!$C$7,E2522)),Assumptions!$D$7,"Other Services"))),"Other Services"))</f>
        <v/>
      </c>
    </row>
    <row r="2523" customFormat="false" ht="15" hidden="false" customHeight="false" outlineLevel="0" collapsed="false">
      <c r="G2523" s="41" t="str">
        <f aca="false">IF(E2523="","",IFERROR(IF(ISNUMBER(SEARCH(Assumptions!$C$5,E2523)),Assumptions!$D$5,IF(ISNUMBER(SEARCH(Assumptions!$C$6,E2523)),Assumptions!$D$6,IF(ISNUMBER(SEARCH(Assumptions!$C$7,E2523)),Assumptions!$D$7,"Other Services"))),"Other Services"))</f>
        <v/>
      </c>
    </row>
    <row r="2524" customFormat="false" ht="15" hidden="false" customHeight="false" outlineLevel="0" collapsed="false">
      <c r="G2524" s="41" t="str">
        <f aca="false">IF(E2524="","",IFERROR(IF(ISNUMBER(SEARCH(Assumptions!$C$5,E2524)),Assumptions!$D$5,IF(ISNUMBER(SEARCH(Assumptions!$C$6,E2524)),Assumptions!$D$6,IF(ISNUMBER(SEARCH(Assumptions!$C$7,E2524)),Assumptions!$D$7,"Other Services"))),"Other Services"))</f>
        <v/>
      </c>
    </row>
    <row r="2525" customFormat="false" ht="15" hidden="false" customHeight="false" outlineLevel="0" collapsed="false">
      <c r="G2525" s="41" t="str">
        <f aca="false">IF(E2525="","",IFERROR(IF(ISNUMBER(SEARCH(Assumptions!$C$5,E2525)),Assumptions!$D$5,IF(ISNUMBER(SEARCH(Assumptions!$C$6,E2525)),Assumptions!$D$6,IF(ISNUMBER(SEARCH(Assumptions!$C$7,E2525)),Assumptions!$D$7,"Other Services"))),"Other Services"))</f>
        <v/>
      </c>
    </row>
    <row r="2526" customFormat="false" ht="15" hidden="false" customHeight="false" outlineLevel="0" collapsed="false">
      <c r="G2526" s="41" t="str">
        <f aca="false">IF(E2526="","",IFERROR(IF(ISNUMBER(SEARCH(Assumptions!$C$5,E2526)),Assumptions!$D$5,IF(ISNUMBER(SEARCH(Assumptions!$C$6,E2526)),Assumptions!$D$6,IF(ISNUMBER(SEARCH(Assumptions!$C$7,E2526)),Assumptions!$D$7,"Other Services"))),"Other Services"))</f>
        <v/>
      </c>
    </row>
    <row r="2527" customFormat="false" ht="15" hidden="false" customHeight="false" outlineLevel="0" collapsed="false">
      <c r="G2527" s="41" t="str">
        <f aca="false">IF(E2527="","",IFERROR(IF(ISNUMBER(SEARCH(Assumptions!$C$5,E2527)),Assumptions!$D$5,IF(ISNUMBER(SEARCH(Assumptions!$C$6,E2527)),Assumptions!$D$6,IF(ISNUMBER(SEARCH(Assumptions!$C$7,E2527)),Assumptions!$D$7,"Other Services"))),"Other Services"))</f>
        <v/>
      </c>
    </row>
    <row r="2528" customFormat="false" ht="15" hidden="false" customHeight="false" outlineLevel="0" collapsed="false">
      <c r="G2528" s="41" t="str">
        <f aca="false">IF(E2528="","",IFERROR(IF(ISNUMBER(SEARCH(Assumptions!$C$5,E2528)),Assumptions!$D$5,IF(ISNUMBER(SEARCH(Assumptions!$C$6,E2528)),Assumptions!$D$6,IF(ISNUMBER(SEARCH(Assumptions!$C$7,E2528)),Assumptions!$D$7,"Other Services"))),"Other Services"))</f>
        <v/>
      </c>
    </row>
    <row r="2529" customFormat="false" ht="15" hidden="false" customHeight="false" outlineLevel="0" collapsed="false">
      <c r="G2529" s="41" t="str">
        <f aca="false">IF(E2529="","",IFERROR(IF(ISNUMBER(SEARCH(Assumptions!$C$5,E2529)),Assumptions!$D$5,IF(ISNUMBER(SEARCH(Assumptions!$C$6,E2529)),Assumptions!$D$6,IF(ISNUMBER(SEARCH(Assumptions!$C$7,E2529)),Assumptions!$D$7,"Other Services"))),"Other Services"))</f>
        <v/>
      </c>
    </row>
    <row r="2530" customFormat="false" ht="15" hidden="false" customHeight="false" outlineLevel="0" collapsed="false">
      <c r="G2530" s="41" t="str">
        <f aca="false">IF(E2530="","",IFERROR(IF(ISNUMBER(SEARCH(Assumptions!$C$5,E2530)),Assumptions!$D$5,IF(ISNUMBER(SEARCH(Assumptions!$C$6,E2530)),Assumptions!$D$6,IF(ISNUMBER(SEARCH(Assumptions!$C$7,E2530)),Assumptions!$D$7,"Other Services"))),"Other Services"))</f>
        <v/>
      </c>
    </row>
    <row r="2531" customFormat="false" ht="15" hidden="false" customHeight="false" outlineLevel="0" collapsed="false">
      <c r="G2531" s="41" t="str">
        <f aca="false">IF(E2531="","",IFERROR(IF(ISNUMBER(SEARCH(Assumptions!$C$5,E2531)),Assumptions!$D$5,IF(ISNUMBER(SEARCH(Assumptions!$C$6,E2531)),Assumptions!$D$6,IF(ISNUMBER(SEARCH(Assumptions!$C$7,E2531)),Assumptions!$D$7,"Other Services"))),"Other Services"))</f>
        <v/>
      </c>
    </row>
    <row r="2532" customFormat="false" ht="15" hidden="false" customHeight="false" outlineLevel="0" collapsed="false">
      <c r="G2532" s="41" t="str">
        <f aca="false">IF(E2532="","",IFERROR(IF(ISNUMBER(SEARCH(Assumptions!$C$5,E2532)),Assumptions!$D$5,IF(ISNUMBER(SEARCH(Assumptions!$C$6,E2532)),Assumptions!$D$6,IF(ISNUMBER(SEARCH(Assumptions!$C$7,E2532)),Assumptions!$D$7,"Other Services"))),"Other Services"))</f>
        <v/>
      </c>
    </row>
    <row r="2533" customFormat="false" ht="15" hidden="false" customHeight="false" outlineLevel="0" collapsed="false">
      <c r="G2533" s="41" t="str">
        <f aca="false">IF(E2533="","",IFERROR(IF(ISNUMBER(SEARCH(Assumptions!$C$5,E2533)),Assumptions!$D$5,IF(ISNUMBER(SEARCH(Assumptions!$C$6,E2533)),Assumptions!$D$6,IF(ISNUMBER(SEARCH(Assumptions!$C$7,E2533)),Assumptions!$D$7,"Other Services"))),"Other Services"))</f>
        <v/>
      </c>
    </row>
    <row r="2534" customFormat="false" ht="15" hidden="false" customHeight="false" outlineLevel="0" collapsed="false">
      <c r="G2534" s="41" t="str">
        <f aca="false">IF(E2534="","",IFERROR(IF(ISNUMBER(SEARCH(Assumptions!$C$5,E2534)),Assumptions!$D$5,IF(ISNUMBER(SEARCH(Assumptions!$C$6,E2534)),Assumptions!$D$6,IF(ISNUMBER(SEARCH(Assumptions!$C$7,E2534)),Assumptions!$D$7,"Other Services"))),"Other Services"))</f>
        <v/>
      </c>
    </row>
    <row r="2535" customFormat="false" ht="15" hidden="false" customHeight="false" outlineLevel="0" collapsed="false">
      <c r="G2535" s="41" t="str">
        <f aca="false">IF(E2535="","",IFERROR(IF(ISNUMBER(SEARCH(Assumptions!$C$5,E2535)),Assumptions!$D$5,IF(ISNUMBER(SEARCH(Assumptions!$C$6,E2535)),Assumptions!$D$6,IF(ISNUMBER(SEARCH(Assumptions!$C$7,E2535)),Assumptions!$D$7,"Other Services"))),"Other Services"))</f>
        <v/>
      </c>
    </row>
    <row r="2536" customFormat="false" ht="15" hidden="false" customHeight="false" outlineLevel="0" collapsed="false">
      <c r="G2536" s="41" t="str">
        <f aca="false">IF(E2536="","",IFERROR(IF(ISNUMBER(SEARCH(Assumptions!$C$5,E2536)),Assumptions!$D$5,IF(ISNUMBER(SEARCH(Assumptions!$C$6,E2536)),Assumptions!$D$6,IF(ISNUMBER(SEARCH(Assumptions!$C$7,E2536)),Assumptions!$D$7,"Other Services"))),"Other Services"))</f>
        <v/>
      </c>
    </row>
    <row r="2537" customFormat="false" ht="15" hidden="false" customHeight="false" outlineLevel="0" collapsed="false">
      <c r="G2537" s="41" t="str">
        <f aca="false">IF(E2537="","",IFERROR(IF(ISNUMBER(SEARCH(Assumptions!$C$5,E2537)),Assumptions!$D$5,IF(ISNUMBER(SEARCH(Assumptions!$C$6,E2537)),Assumptions!$D$6,IF(ISNUMBER(SEARCH(Assumptions!$C$7,E2537)),Assumptions!$D$7,"Other Services"))),"Other Services"))</f>
        <v/>
      </c>
    </row>
    <row r="2538" customFormat="false" ht="15" hidden="false" customHeight="false" outlineLevel="0" collapsed="false">
      <c r="G2538" s="41" t="str">
        <f aca="false">IF(E2538="","",IFERROR(IF(ISNUMBER(SEARCH(Assumptions!$C$5,E2538)),Assumptions!$D$5,IF(ISNUMBER(SEARCH(Assumptions!$C$6,E2538)),Assumptions!$D$6,IF(ISNUMBER(SEARCH(Assumptions!$C$7,E2538)),Assumptions!$D$7,"Other Services"))),"Other Services"))</f>
        <v/>
      </c>
    </row>
    <row r="2539" customFormat="false" ht="15" hidden="false" customHeight="false" outlineLevel="0" collapsed="false">
      <c r="G2539" s="41" t="str">
        <f aca="false">IF(E2539="","",IFERROR(IF(ISNUMBER(SEARCH(Assumptions!$C$5,E2539)),Assumptions!$D$5,IF(ISNUMBER(SEARCH(Assumptions!$C$6,E2539)),Assumptions!$D$6,IF(ISNUMBER(SEARCH(Assumptions!$C$7,E2539)),Assumptions!$D$7,"Other Services"))),"Other Services"))</f>
        <v/>
      </c>
    </row>
    <row r="2540" customFormat="false" ht="15" hidden="false" customHeight="false" outlineLevel="0" collapsed="false">
      <c r="G2540" s="41" t="str">
        <f aca="false">IF(E2540="","",IFERROR(IF(ISNUMBER(SEARCH(Assumptions!$C$5,E2540)),Assumptions!$D$5,IF(ISNUMBER(SEARCH(Assumptions!$C$6,E2540)),Assumptions!$D$6,IF(ISNUMBER(SEARCH(Assumptions!$C$7,E2540)),Assumptions!$D$7,"Other Services"))),"Other Services"))</f>
        <v/>
      </c>
    </row>
    <row r="2541" customFormat="false" ht="15" hidden="false" customHeight="false" outlineLevel="0" collapsed="false">
      <c r="G2541" s="41" t="str">
        <f aca="false">IF(E2541="","",IFERROR(IF(ISNUMBER(SEARCH(Assumptions!$C$5,E2541)),Assumptions!$D$5,IF(ISNUMBER(SEARCH(Assumptions!$C$6,E2541)),Assumptions!$D$6,IF(ISNUMBER(SEARCH(Assumptions!$C$7,E2541)),Assumptions!$D$7,"Other Services"))),"Other Services"))</f>
        <v/>
      </c>
    </row>
    <row r="2542" customFormat="false" ht="15" hidden="false" customHeight="false" outlineLevel="0" collapsed="false">
      <c r="G2542" s="41" t="str">
        <f aca="false">IF(E2542="","",IFERROR(IF(ISNUMBER(SEARCH(Assumptions!$C$5,E2542)),Assumptions!$D$5,IF(ISNUMBER(SEARCH(Assumptions!$C$6,E2542)),Assumptions!$D$6,IF(ISNUMBER(SEARCH(Assumptions!$C$7,E2542)),Assumptions!$D$7,"Other Services"))),"Other Services"))</f>
        <v/>
      </c>
    </row>
    <row r="2543" customFormat="false" ht="15" hidden="false" customHeight="false" outlineLevel="0" collapsed="false">
      <c r="G2543" s="41" t="str">
        <f aca="false">IF(E2543="","",IFERROR(IF(ISNUMBER(SEARCH(Assumptions!$C$5,E2543)),Assumptions!$D$5,IF(ISNUMBER(SEARCH(Assumptions!$C$6,E2543)),Assumptions!$D$6,IF(ISNUMBER(SEARCH(Assumptions!$C$7,E2543)),Assumptions!$D$7,"Other Services"))),"Other Services"))</f>
        <v/>
      </c>
    </row>
    <row r="2544" customFormat="false" ht="15" hidden="false" customHeight="false" outlineLevel="0" collapsed="false">
      <c r="G2544" s="41" t="str">
        <f aca="false">IF(E2544="","",IFERROR(IF(ISNUMBER(SEARCH(Assumptions!$C$5,E2544)),Assumptions!$D$5,IF(ISNUMBER(SEARCH(Assumptions!$C$6,E2544)),Assumptions!$D$6,IF(ISNUMBER(SEARCH(Assumptions!$C$7,E2544)),Assumptions!$D$7,"Other Services"))),"Other Services"))</f>
        <v/>
      </c>
    </row>
    <row r="2545" customFormat="false" ht="15" hidden="false" customHeight="false" outlineLevel="0" collapsed="false">
      <c r="G2545" s="41" t="str">
        <f aca="false">IF(E2545="","",IFERROR(IF(ISNUMBER(SEARCH(Assumptions!$C$5,E2545)),Assumptions!$D$5,IF(ISNUMBER(SEARCH(Assumptions!$C$6,E2545)),Assumptions!$D$6,IF(ISNUMBER(SEARCH(Assumptions!$C$7,E2545)),Assumptions!$D$7,"Other Services"))),"Other Services"))</f>
        <v/>
      </c>
    </row>
    <row r="2546" customFormat="false" ht="15" hidden="false" customHeight="false" outlineLevel="0" collapsed="false">
      <c r="G2546" s="41" t="str">
        <f aca="false">IF(E2546="","",IFERROR(IF(ISNUMBER(SEARCH(Assumptions!$C$5,E2546)),Assumptions!$D$5,IF(ISNUMBER(SEARCH(Assumptions!$C$6,E2546)),Assumptions!$D$6,IF(ISNUMBER(SEARCH(Assumptions!$C$7,E2546)),Assumptions!$D$7,"Other Services"))),"Other Services"))</f>
        <v/>
      </c>
    </row>
    <row r="2547" customFormat="false" ht="15" hidden="false" customHeight="false" outlineLevel="0" collapsed="false">
      <c r="G2547" s="41" t="str">
        <f aca="false">IF(E2547="","",IFERROR(IF(ISNUMBER(SEARCH(Assumptions!$C$5,E2547)),Assumptions!$D$5,IF(ISNUMBER(SEARCH(Assumptions!$C$6,E2547)),Assumptions!$D$6,IF(ISNUMBER(SEARCH(Assumptions!$C$7,E2547)),Assumptions!$D$7,"Other Services"))),"Other Services"))</f>
        <v/>
      </c>
    </row>
    <row r="2548" customFormat="false" ht="15" hidden="false" customHeight="false" outlineLevel="0" collapsed="false">
      <c r="G2548" s="41" t="str">
        <f aca="false">IF(E2548="","",IFERROR(IF(ISNUMBER(SEARCH(Assumptions!$C$5,E2548)),Assumptions!$D$5,IF(ISNUMBER(SEARCH(Assumptions!$C$6,E2548)),Assumptions!$D$6,IF(ISNUMBER(SEARCH(Assumptions!$C$7,E2548)),Assumptions!$D$7,"Other Services"))),"Other Services"))</f>
        <v/>
      </c>
    </row>
    <row r="2549" customFormat="false" ht="15" hidden="false" customHeight="false" outlineLevel="0" collapsed="false">
      <c r="G2549" s="41" t="str">
        <f aca="false">IF(E2549="","",IFERROR(IF(ISNUMBER(SEARCH(Assumptions!$C$5,E2549)),Assumptions!$D$5,IF(ISNUMBER(SEARCH(Assumptions!$C$6,E2549)),Assumptions!$D$6,IF(ISNUMBER(SEARCH(Assumptions!$C$7,E2549)),Assumptions!$D$7,"Other Services"))),"Other Services"))</f>
        <v/>
      </c>
    </row>
    <row r="2550" customFormat="false" ht="15" hidden="false" customHeight="false" outlineLevel="0" collapsed="false">
      <c r="G2550" s="41" t="str">
        <f aca="false">IF(E2550="","",IFERROR(IF(ISNUMBER(SEARCH(Assumptions!$C$5,E2550)),Assumptions!$D$5,IF(ISNUMBER(SEARCH(Assumptions!$C$6,E2550)),Assumptions!$D$6,IF(ISNUMBER(SEARCH(Assumptions!$C$7,E2550)),Assumptions!$D$7,"Other Services"))),"Other Services"))</f>
        <v/>
      </c>
    </row>
    <row r="2551" customFormat="false" ht="15" hidden="false" customHeight="false" outlineLevel="0" collapsed="false">
      <c r="G2551" s="41" t="str">
        <f aca="false">IF(E2551="","",IFERROR(IF(ISNUMBER(SEARCH(Assumptions!$C$5,E2551)),Assumptions!$D$5,IF(ISNUMBER(SEARCH(Assumptions!$C$6,E2551)),Assumptions!$D$6,IF(ISNUMBER(SEARCH(Assumptions!$C$7,E2551)),Assumptions!$D$7,"Other Services"))),"Other Services"))</f>
        <v/>
      </c>
    </row>
    <row r="2552" customFormat="false" ht="15" hidden="false" customHeight="false" outlineLevel="0" collapsed="false">
      <c r="G2552" s="41" t="str">
        <f aca="false">IF(E2552="","",IFERROR(IF(ISNUMBER(SEARCH(Assumptions!$C$5,E2552)),Assumptions!$D$5,IF(ISNUMBER(SEARCH(Assumptions!$C$6,E2552)),Assumptions!$D$6,IF(ISNUMBER(SEARCH(Assumptions!$C$7,E2552)),Assumptions!$D$7,"Other Services"))),"Other Services"))</f>
        <v/>
      </c>
    </row>
    <row r="2553" customFormat="false" ht="15" hidden="false" customHeight="false" outlineLevel="0" collapsed="false">
      <c r="G2553" s="41" t="str">
        <f aca="false">IF(E2553="","",IFERROR(IF(ISNUMBER(SEARCH(Assumptions!$C$5,E2553)),Assumptions!$D$5,IF(ISNUMBER(SEARCH(Assumptions!$C$6,E2553)),Assumptions!$D$6,IF(ISNUMBER(SEARCH(Assumptions!$C$7,E2553)),Assumptions!$D$7,"Other Services"))),"Other Services"))</f>
        <v/>
      </c>
    </row>
    <row r="2554" customFormat="false" ht="15" hidden="false" customHeight="false" outlineLevel="0" collapsed="false">
      <c r="G2554" s="41" t="str">
        <f aca="false">IF(E2554="","",IFERROR(IF(ISNUMBER(SEARCH(Assumptions!$C$5,E2554)),Assumptions!$D$5,IF(ISNUMBER(SEARCH(Assumptions!$C$6,E2554)),Assumptions!$D$6,IF(ISNUMBER(SEARCH(Assumptions!$C$7,E2554)),Assumptions!$D$7,"Other Services"))),"Other Services"))</f>
        <v/>
      </c>
    </row>
    <row r="2555" customFormat="false" ht="15" hidden="false" customHeight="false" outlineLevel="0" collapsed="false">
      <c r="G2555" s="41" t="str">
        <f aca="false">IF(E2555="","",IFERROR(IF(ISNUMBER(SEARCH(Assumptions!$C$5,E2555)),Assumptions!$D$5,IF(ISNUMBER(SEARCH(Assumptions!$C$6,E2555)),Assumptions!$D$6,IF(ISNUMBER(SEARCH(Assumptions!$C$7,E2555)),Assumptions!$D$7,"Other Services"))),"Other Services"))</f>
        <v/>
      </c>
    </row>
    <row r="2556" customFormat="false" ht="15" hidden="false" customHeight="false" outlineLevel="0" collapsed="false">
      <c r="G2556" s="41" t="str">
        <f aca="false">IF(E2556="","",IFERROR(IF(ISNUMBER(SEARCH(Assumptions!$C$5,E2556)),Assumptions!$D$5,IF(ISNUMBER(SEARCH(Assumptions!$C$6,E2556)),Assumptions!$D$6,IF(ISNUMBER(SEARCH(Assumptions!$C$7,E2556)),Assumptions!$D$7,"Other Services"))),"Other Services"))</f>
        <v/>
      </c>
    </row>
    <row r="2557" customFormat="false" ht="15" hidden="false" customHeight="false" outlineLevel="0" collapsed="false">
      <c r="G2557" s="41" t="str">
        <f aca="false">IF(E2557="","",IFERROR(IF(ISNUMBER(SEARCH(Assumptions!$C$5,E2557)),Assumptions!$D$5,IF(ISNUMBER(SEARCH(Assumptions!$C$6,E2557)),Assumptions!$D$6,IF(ISNUMBER(SEARCH(Assumptions!$C$7,E2557)),Assumptions!$D$7,"Other Services"))),"Other Services"))</f>
        <v/>
      </c>
    </row>
    <row r="2558" customFormat="false" ht="15" hidden="false" customHeight="false" outlineLevel="0" collapsed="false">
      <c r="G2558" s="41" t="str">
        <f aca="false">IF(E2558="","",IFERROR(IF(ISNUMBER(SEARCH(Assumptions!$C$5,E2558)),Assumptions!$D$5,IF(ISNUMBER(SEARCH(Assumptions!$C$6,E2558)),Assumptions!$D$6,IF(ISNUMBER(SEARCH(Assumptions!$C$7,E2558)),Assumptions!$D$7,"Other Services"))),"Other Services"))</f>
        <v/>
      </c>
    </row>
    <row r="2559" customFormat="false" ht="15" hidden="false" customHeight="false" outlineLevel="0" collapsed="false">
      <c r="G2559" s="41" t="str">
        <f aca="false">IF(E2559="","",IFERROR(IF(ISNUMBER(SEARCH(Assumptions!$C$5,E2559)),Assumptions!$D$5,IF(ISNUMBER(SEARCH(Assumptions!$C$6,E2559)),Assumptions!$D$6,IF(ISNUMBER(SEARCH(Assumptions!$C$7,E2559)),Assumptions!$D$7,"Other Services"))),"Other Services"))</f>
        <v/>
      </c>
    </row>
    <row r="2560" customFormat="false" ht="15" hidden="false" customHeight="false" outlineLevel="0" collapsed="false">
      <c r="G2560" s="41" t="str">
        <f aca="false">IF(E2560="","",IFERROR(IF(ISNUMBER(SEARCH(Assumptions!$C$5,E2560)),Assumptions!$D$5,IF(ISNUMBER(SEARCH(Assumptions!$C$6,E2560)),Assumptions!$D$6,IF(ISNUMBER(SEARCH(Assumptions!$C$7,E2560)),Assumptions!$D$7,"Other Services"))),"Other Services"))</f>
        <v/>
      </c>
    </row>
    <row r="2561" customFormat="false" ht="15" hidden="false" customHeight="false" outlineLevel="0" collapsed="false">
      <c r="G2561" s="41" t="str">
        <f aca="false">IF(E2561="","",IFERROR(IF(ISNUMBER(SEARCH(Assumptions!$C$5,E2561)),Assumptions!$D$5,IF(ISNUMBER(SEARCH(Assumptions!$C$6,E2561)),Assumptions!$D$6,IF(ISNUMBER(SEARCH(Assumptions!$C$7,E2561)),Assumptions!$D$7,"Other Services"))),"Other Services"))</f>
        <v/>
      </c>
    </row>
    <row r="2562" customFormat="false" ht="15" hidden="false" customHeight="false" outlineLevel="0" collapsed="false">
      <c r="G2562" s="41" t="str">
        <f aca="false">IF(E2562="","",IFERROR(IF(ISNUMBER(SEARCH(Assumptions!$C$5,E2562)),Assumptions!$D$5,IF(ISNUMBER(SEARCH(Assumptions!$C$6,E2562)),Assumptions!$D$6,IF(ISNUMBER(SEARCH(Assumptions!$C$7,E2562)),Assumptions!$D$7,"Other Services"))),"Other Services"))</f>
        <v/>
      </c>
    </row>
    <row r="2563" customFormat="false" ht="15" hidden="false" customHeight="false" outlineLevel="0" collapsed="false">
      <c r="G2563" s="41" t="str">
        <f aca="false">IF(E2563="","",IFERROR(IF(ISNUMBER(SEARCH(Assumptions!$C$5,E2563)),Assumptions!$D$5,IF(ISNUMBER(SEARCH(Assumptions!$C$6,E2563)),Assumptions!$D$6,IF(ISNUMBER(SEARCH(Assumptions!$C$7,E2563)),Assumptions!$D$7,"Other Services"))),"Other Services"))</f>
        <v/>
      </c>
    </row>
    <row r="2564" customFormat="false" ht="15" hidden="false" customHeight="false" outlineLevel="0" collapsed="false">
      <c r="G2564" s="41" t="str">
        <f aca="false">IF(E2564="","",IFERROR(IF(ISNUMBER(SEARCH(Assumptions!$C$5,E2564)),Assumptions!$D$5,IF(ISNUMBER(SEARCH(Assumptions!$C$6,E2564)),Assumptions!$D$6,IF(ISNUMBER(SEARCH(Assumptions!$C$7,E2564)),Assumptions!$D$7,"Other Services"))),"Other Services"))</f>
        <v/>
      </c>
    </row>
    <row r="2565" customFormat="false" ht="15" hidden="false" customHeight="false" outlineLevel="0" collapsed="false">
      <c r="G2565" s="41" t="str">
        <f aca="false">IF(E2565="","",IFERROR(IF(ISNUMBER(SEARCH(Assumptions!$C$5,E2565)),Assumptions!$D$5,IF(ISNUMBER(SEARCH(Assumptions!$C$6,E2565)),Assumptions!$D$6,IF(ISNUMBER(SEARCH(Assumptions!$C$7,E2565)),Assumptions!$D$7,"Other Services"))),"Other Services"))</f>
        <v/>
      </c>
    </row>
    <row r="2566" customFormat="false" ht="15" hidden="false" customHeight="false" outlineLevel="0" collapsed="false">
      <c r="G2566" s="41" t="str">
        <f aca="false">IF(E2566="","",IFERROR(IF(ISNUMBER(SEARCH(Assumptions!$C$5,E2566)),Assumptions!$D$5,IF(ISNUMBER(SEARCH(Assumptions!$C$6,E2566)),Assumptions!$D$6,IF(ISNUMBER(SEARCH(Assumptions!$C$7,E2566)),Assumptions!$D$7,"Other Services"))),"Other Services"))</f>
        <v/>
      </c>
    </row>
    <row r="2567" customFormat="false" ht="15" hidden="false" customHeight="false" outlineLevel="0" collapsed="false">
      <c r="G2567" s="41" t="str">
        <f aca="false">IF(E2567="","",IFERROR(IF(ISNUMBER(SEARCH(Assumptions!$C$5,E2567)),Assumptions!$D$5,IF(ISNUMBER(SEARCH(Assumptions!$C$6,E2567)),Assumptions!$D$6,IF(ISNUMBER(SEARCH(Assumptions!$C$7,E2567)),Assumptions!$D$7,"Other Services"))),"Other Services"))</f>
        <v/>
      </c>
    </row>
    <row r="2568" customFormat="false" ht="15" hidden="false" customHeight="false" outlineLevel="0" collapsed="false">
      <c r="G2568" s="41" t="str">
        <f aca="false">IF(E2568="","",IFERROR(IF(ISNUMBER(SEARCH(Assumptions!$C$5,E2568)),Assumptions!$D$5,IF(ISNUMBER(SEARCH(Assumptions!$C$6,E2568)),Assumptions!$D$6,IF(ISNUMBER(SEARCH(Assumptions!$C$7,E2568)),Assumptions!$D$7,"Other Services"))),"Other Services"))</f>
        <v/>
      </c>
    </row>
    <row r="2569" customFormat="false" ht="15" hidden="false" customHeight="false" outlineLevel="0" collapsed="false">
      <c r="G2569" s="41" t="str">
        <f aca="false">IF(E2569="","",IFERROR(IF(ISNUMBER(SEARCH(Assumptions!$C$5,E2569)),Assumptions!$D$5,IF(ISNUMBER(SEARCH(Assumptions!$C$6,E2569)),Assumptions!$D$6,IF(ISNUMBER(SEARCH(Assumptions!$C$7,E2569)),Assumptions!$D$7,"Other Services"))),"Other Services"))</f>
        <v/>
      </c>
    </row>
    <row r="2570" customFormat="false" ht="15" hidden="false" customHeight="false" outlineLevel="0" collapsed="false">
      <c r="G2570" s="41" t="str">
        <f aca="false">IF(E2570="","",IFERROR(IF(ISNUMBER(SEARCH(Assumptions!$C$5,E2570)),Assumptions!$D$5,IF(ISNUMBER(SEARCH(Assumptions!$C$6,E2570)),Assumptions!$D$6,IF(ISNUMBER(SEARCH(Assumptions!$C$7,E2570)),Assumptions!$D$7,"Other Services"))),"Other Services"))</f>
        <v/>
      </c>
    </row>
    <row r="2571" customFormat="false" ht="15" hidden="false" customHeight="false" outlineLevel="0" collapsed="false">
      <c r="G2571" s="41" t="str">
        <f aca="false">IF(E2571="","",IFERROR(IF(ISNUMBER(SEARCH(Assumptions!$C$5,E2571)),Assumptions!$D$5,IF(ISNUMBER(SEARCH(Assumptions!$C$6,E2571)),Assumptions!$D$6,IF(ISNUMBER(SEARCH(Assumptions!$C$7,E2571)),Assumptions!$D$7,"Other Services"))),"Other Services"))</f>
        <v/>
      </c>
    </row>
    <row r="2572" customFormat="false" ht="15" hidden="false" customHeight="false" outlineLevel="0" collapsed="false">
      <c r="G2572" s="41" t="str">
        <f aca="false">IF(E2572="","",IFERROR(IF(ISNUMBER(SEARCH(Assumptions!$C$5,E2572)),Assumptions!$D$5,IF(ISNUMBER(SEARCH(Assumptions!$C$6,E2572)),Assumptions!$D$6,IF(ISNUMBER(SEARCH(Assumptions!$C$7,E2572)),Assumptions!$D$7,"Other Services"))),"Other Services"))</f>
        <v/>
      </c>
    </row>
    <row r="2573" customFormat="false" ht="15" hidden="false" customHeight="false" outlineLevel="0" collapsed="false">
      <c r="G2573" s="41" t="str">
        <f aca="false">IF(E2573="","",IFERROR(IF(ISNUMBER(SEARCH(Assumptions!$C$5,E2573)),Assumptions!$D$5,IF(ISNUMBER(SEARCH(Assumptions!$C$6,E2573)),Assumptions!$D$6,IF(ISNUMBER(SEARCH(Assumptions!$C$7,E2573)),Assumptions!$D$7,"Other Services"))),"Other Services"))</f>
        <v/>
      </c>
    </row>
    <row r="2574" customFormat="false" ht="15" hidden="false" customHeight="false" outlineLevel="0" collapsed="false">
      <c r="G2574" s="41" t="str">
        <f aca="false">IF(E2574="","",IFERROR(IF(ISNUMBER(SEARCH(Assumptions!$C$5,E2574)),Assumptions!$D$5,IF(ISNUMBER(SEARCH(Assumptions!$C$6,E2574)),Assumptions!$D$6,IF(ISNUMBER(SEARCH(Assumptions!$C$7,E2574)),Assumptions!$D$7,"Other Services"))),"Other Services"))</f>
        <v/>
      </c>
    </row>
    <row r="2575" customFormat="false" ht="15" hidden="false" customHeight="false" outlineLevel="0" collapsed="false">
      <c r="G2575" s="41" t="str">
        <f aca="false">IF(E2575="","",IFERROR(IF(ISNUMBER(SEARCH(Assumptions!$C$5,E2575)),Assumptions!$D$5,IF(ISNUMBER(SEARCH(Assumptions!$C$6,E2575)),Assumptions!$D$6,IF(ISNUMBER(SEARCH(Assumptions!$C$7,E2575)),Assumptions!$D$7,"Other Services"))),"Other Services"))</f>
        <v/>
      </c>
    </row>
    <row r="2576" customFormat="false" ht="15" hidden="false" customHeight="false" outlineLevel="0" collapsed="false">
      <c r="G2576" s="41" t="str">
        <f aca="false">IF(E2576="","",IFERROR(IF(ISNUMBER(SEARCH(Assumptions!$C$5,E2576)),Assumptions!$D$5,IF(ISNUMBER(SEARCH(Assumptions!$C$6,E2576)),Assumptions!$D$6,IF(ISNUMBER(SEARCH(Assumptions!$C$7,E2576)),Assumptions!$D$7,"Other Services"))),"Other Services"))</f>
        <v/>
      </c>
    </row>
    <row r="2577" customFormat="false" ht="15" hidden="false" customHeight="false" outlineLevel="0" collapsed="false">
      <c r="G2577" s="41" t="str">
        <f aca="false">IF(E2577="","",IFERROR(IF(ISNUMBER(SEARCH(Assumptions!$C$5,E2577)),Assumptions!$D$5,IF(ISNUMBER(SEARCH(Assumptions!$C$6,E2577)),Assumptions!$D$6,IF(ISNUMBER(SEARCH(Assumptions!$C$7,E2577)),Assumptions!$D$7,"Other Services"))),"Other Services"))</f>
        <v/>
      </c>
    </row>
    <row r="2578" customFormat="false" ht="15" hidden="false" customHeight="false" outlineLevel="0" collapsed="false">
      <c r="G2578" s="41" t="str">
        <f aca="false">IF(E2578="","",IFERROR(IF(ISNUMBER(SEARCH(Assumptions!$C$5,E2578)),Assumptions!$D$5,IF(ISNUMBER(SEARCH(Assumptions!$C$6,E2578)),Assumptions!$D$6,IF(ISNUMBER(SEARCH(Assumptions!$C$7,E2578)),Assumptions!$D$7,"Other Services"))),"Other Services"))</f>
        <v/>
      </c>
    </row>
    <row r="2579" customFormat="false" ht="15" hidden="false" customHeight="false" outlineLevel="0" collapsed="false">
      <c r="G2579" s="41" t="str">
        <f aca="false">IF(E2579="","",IFERROR(IF(ISNUMBER(SEARCH(Assumptions!$C$5,E2579)),Assumptions!$D$5,IF(ISNUMBER(SEARCH(Assumptions!$C$6,E2579)),Assumptions!$D$6,IF(ISNUMBER(SEARCH(Assumptions!$C$7,E2579)),Assumptions!$D$7,"Other Services"))),"Other Services"))</f>
        <v/>
      </c>
    </row>
    <row r="2580" customFormat="false" ht="15" hidden="false" customHeight="false" outlineLevel="0" collapsed="false">
      <c r="G2580" s="41" t="str">
        <f aca="false">IF(E2580="","",IFERROR(IF(ISNUMBER(SEARCH(Assumptions!$C$5,E2580)),Assumptions!$D$5,IF(ISNUMBER(SEARCH(Assumptions!$C$6,E2580)),Assumptions!$D$6,IF(ISNUMBER(SEARCH(Assumptions!$C$7,E2580)),Assumptions!$D$7,"Other Services"))),"Other Services"))</f>
        <v/>
      </c>
    </row>
    <row r="2581" customFormat="false" ht="15" hidden="false" customHeight="false" outlineLevel="0" collapsed="false">
      <c r="G2581" s="41" t="str">
        <f aca="false">IF(E2581="","",IFERROR(IF(ISNUMBER(SEARCH(Assumptions!$C$5,E2581)),Assumptions!$D$5,IF(ISNUMBER(SEARCH(Assumptions!$C$6,E2581)),Assumptions!$D$6,IF(ISNUMBER(SEARCH(Assumptions!$C$7,E2581)),Assumptions!$D$7,"Other Services"))),"Other Services"))</f>
        <v/>
      </c>
    </row>
    <row r="2582" customFormat="false" ht="15" hidden="false" customHeight="false" outlineLevel="0" collapsed="false">
      <c r="G2582" s="41" t="str">
        <f aca="false">IF(E2582="","",IFERROR(IF(ISNUMBER(SEARCH(Assumptions!$C$5,E2582)),Assumptions!$D$5,IF(ISNUMBER(SEARCH(Assumptions!$C$6,E2582)),Assumptions!$D$6,IF(ISNUMBER(SEARCH(Assumptions!$C$7,E2582)),Assumptions!$D$7,"Other Services"))),"Other Services"))</f>
        <v/>
      </c>
    </row>
    <row r="2583" customFormat="false" ht="15" hidden="false" customHeight="false" outlineLevel="0" collapsed="false">
      <c r="G2583" s="41" t="str">
        <f aca="false">IF(E2583="","",IFERROR(IF(ISNUMBER(SEARCH(Assumptions!$C$5,E2583)),Assumptions!$D$5,IF(ISNUMBER(SEARCH(Assumptions!$C$6,E2583)),Assumptions!$D$6,IF(ISNUMBER(SEARCH(Assumptions!$C$7,E2583)),Assumptions!$D$7,"Other Services"))),"Other Services"))</f>
        <v/>
      </c>
    </row>
    <row r="2584" customFormat="false" ht="15" hidden="false" customHeight="false" outlineLevel="0" collapsed="false">
      <c r="G2584" s="41" t="str">
        <f aca="false">IF(E2584="","",IFERROR(IF(ISNUMBER(SEARCH(Assumptions!$C$5,E2584)),Assumptions!$D$5,IF(ISNUMBER(SEARCH(Assumptions!$C$6,E2584)),Assumptions!$D$6,IF(ISNUMBER(SEARCH(Assumptions!$C$7,E2584)),Assumptions!$D$7,"Other Services"))),"Other Services"))</f>
        <v/>
      </c>
    </row>
    <row r="2585" customFormat="false" ht="15" hidden="false" customHeight="false" outlineLevel="0" collapsed="false">
      <c r="G2585" s="41" t="str">
        <f aca="false">IF(E2585="","",IFERROR(IF(ISNUMBER(SEARCH(Assumptions!$C$5,E2585)),Assumptions!$D$5,IF(ISNUMBER(SEARCH(Assumptions!$C$6,E2585)),Assumptions!$D$6,IF(ISNUMBER(SEARCH(Assumptions!$C$7,E2585)),Assumptions!$D$7,"Other Services"))),"Other Services"))</f>
        <v/>
      </c>
    </row>
    <row r="2586" customFormat="false" ht="15" hidden="false" customHeight="false" outlineLevel="0" collapsed="false">
      <c r="G2586" s="41" t="str">
        <f aca="false">IF(E2586="","",IFERROR(IF(ISNUMBER(SEARCH(Assumptions!$C$5,E2586)),Assumptions!$D$5,IF(ISNUMBER(SEARCH(Assumptions!$C$6,E2586)),Assumptions!$D$6,IF(ISNUMBER(SEARCH(Assumptions!$C$7,E2586)),Assumptions!$D$7,"Other Services"))),"Other Services"))</f>
        <v/>
      </c>
    </row>
    <row r="2587" customFormat="false" ht="15" hidden="false" customHeight="false" outlineLevel="0" collapsed="false">
      <c r="G2587" s="41" t="str">
        <f aca="false">IF(E2587="","",IFERROR(IF(ISNUMBER(SEARCH(Assumptions!$C$5,E2587)),Assumptions!$D$5,IF(ISNUMBER(SEARCH(Assumptions!$C$6,E2587)),Assumptions!$D$6,IF(ISNUMBER(SEARCH(Assumptions!$C$7,E2587)),Assumptions!$D$7,"Other Services"))),"Other Services"))</f>
        <v/>
      </c>
    </row>
    <row r="2588" customFormat="false" ht="15" hidden="false" customHeight="false" outlineLevel="0" collapsed="false">
      <c r="G2588" s="41" t="str">
        <f aca="false">IF(E2588="","",IFERROR(IF(ISNUMBER(SEARCH(Assumptions!$C$5,E2588)),Assumptions!$D$5,IF(ISNUMBER(SEARCH(Assumptions!$C$6,E2588)),Assumptions!$D$6,IF(ISNUMBER(SEARCH(Assumptions!$C$7,E2588)),Assumptions!$D$7,"Other Services"))),"Other Services"))</f>
        <v/>
      </c>
    </row>
    <row r="2589" customFormat="false" ht="15" hidden="false" customHeight="false" outlineLevel="0" collapsed="false">
      <c r="G2589" s="41" t="str">
        <f aca="false">IF(E2589="","",IFERROR(IF(ISNUMBER(SEARCH(Assumptions!$C$5,E2589)),Assumptions!$D$5,IF(ISNUMBER(SEARCH(Assumptions!$C$6,E2589)),Assumptions!$D$6,IF(ISNUMBER(SEARCH(Assumptions!$C$7,E2589)),Assumptions!$D$7,"Other Services"))),"Other Services"))</f>
        <v/>
      </c>
    </row>
    <row r="2590" customFormat="false" ht="15" hidden="false" customHeight="false" outlineLevel="0" collapsed="false">
      <c r="G2590" s="41" t="str">
        <f aca="false">IF(E2590="","",IFERROR(IF(ISNUMBER(SEARCH(Assumptions!$C$5,E2590)),Assumptions!$D$5,IF(ISNUMBER(SEARCH(Assumptions!$C$6,E2590)),Assumptions!$D$6,IF(ISNUMBER(SEARCH(Assumptions!$C$7,E2590)),Assumptions!$D$7,"Other Services"))),"Other Services"))</f>
        <v/>
      </c>
    </row>
    <row r="2591" customFormat="false" ht="15" hidden="false" customHeight="false" outlineLevel="0" collapsed="false">
      <c r="G2591" s="41" t="str">
        <f aca="false">IF(E2591="","",IFERROR(IF(ISNUMBER(SEARCH(Assumptions!$C$5,E2591)),Assumptions!$D$5,IF(ISNUMBER(SEARCH(Assumptions!$C$6,E2591)),Assumptions!$D$6,IF(ISNUMBER(SEARCH(Assumptions!$C$7,E2591)),Assumptions!$D$7,"Other Services"))),"Other Services"))</f>
        <v/>
      </c>
    </row>
    <row r="2592" customFormat="false" ht="15" hidden="false" customHeight="false" outlineLevel="0" collapsed="false">
      <c r="G2592" s="41" t="str">
        <f aca="false">IF(E2592="","",IFERROR(IF(ISNUMBER(SEARCH(Assumptions!$C$5,E2592)),Assumptions!$D$5,IF(ISNUMBER(SEARCH(Assumptions!$C$6,E2592)),Assumptions!$D$6,IF(ISNUMBER(SEARCH(Assumptions!$C$7,E2592)),Assumptions!$D$7,"Other Services"))),"Other Services"))</f>
        <v/>
      </c>
    </row>
    <row r="2593" customFormat="false" ht="15" hidden="false" customHeight="false" outlineLevel="0" collapsed="false">
      <c r="G2593" s="41" t="str">
        <f aca="false">IF(E2593="","",IFERROR(IF(ISNUMBER(SEARCH(Assumptions!$C$5,E2593)),Assumptions!$D$5,IF(ISNUMBER(SEARCH(Assumptions!$C$6,E2593)),Assumptions!$D$6,IF(ISNUMBER(SEARCH(Assumptions!$C$7,E2593)),Assumptions!$D$7,"Other Services"))),"Other Services"))</f>
        <v/>
      </c>
    </row>
    <row r="2594" customFormat="false" ht="15" hidden="false" customHeight="false" outlineLevel="0" collapsed="false">
      <c r="G2594" s="41" t="str">
        <f aca="false">IF(E2594="","",IFERROR(IF(ISNUMBER(SEARCH(Assumptions!$C$5,E2594)),Assumptions!$D$5,IF(ISNUMBER(SEARCH(Assumptions!$C$6,E2594)),Assumptions!$D$6,IF(ISNUMBER(SEARCH(Assumptions!$C$7,E2594)),Assumptions!$D$7,"Other Services"))),"Other Services"))</f>
        <v/>
      </c>
    </row>
    <row r="2595" customFormat="false" ht="15" hidden="false" customHeight="false" outlineLevel="0" collapsed="false">
      <c r="G2595" s="41" t="str">
        <f aca="false">IF(E2595="","",IFERROR(IF(ISNUMBER(SEARCH(Assumptions!$C$5,E2595)),Assumptions!$D$5,IF(ISNUMBER(SEARCH(Assumptions!$C$6,E2595)),Assumptions!$D$6,IF(ISNUMBER(SEARCH(Assumptions!$C$7,E2595)),Assumptions!$D$7,"Other Services"))),"Other Services"))</f>
        <v/>
      </c>
    </row>
    <row r="2596" customFormat="false" ht="15" hidden="false" customHeight="false" outlineLevel="0" collapsed="false">
      <c r="G2596" s="41" t="str">
        <f aca="false">IF(E2596="","",IFERROR(IF(ISNUMBER(SEARCH(Assumptions!$C$5,E2596)),Assumptions!$D$5,IF(ISNUMBER(SEARCH(Assumptions!$C$6,E2596)),Assumptions!$D$6,IF(ISNUMBER(SEARCH(Assumptions!$C$7,E2596)),Assumptions!$D$7,"Other Services"))),"Other Services"))</f>
        <v/>
      </c>
    </row>
    <row r="2597" customFormat="false" ht="15" hidden="false" customHeight="false" outlineLevel="0" collapsed="false">
      <c r="G2597" s="41" t="str">
        <f aca="false">IF(E2597="","",IFERROR(IF(ISNUMBER(SEARCH(Assumptions!$C$5,E2597)),Assumptions!$D$5,IF(ISNUMBER(SEARCH(Assumptions!$C$6,E2597)),Assumptions!$D$6,IF(ISNUMBER(SEARCH(Assumptions!$C$7,E2597)),Assumptions!$D$7,"Other Services"))),"Other Services"))</f>
        <v/>
      </c>
    </row>
    <row r="2598" customFormat="false" ht="15" hidden="false" customHeight="false" outlineLevel="0" collapsed="false">
      <c r="G2598" s="41" t="str">
        <f aca="false">IF(E2598="","",IFERROR(IF(ISNUMBER(SEARCH(Assumptions!$C$5,E2598)),Assumptions!$D$5,IF(ISNUMBER(SEARCH(Assumptions!$C$6,E2598)),Assumptions!$D$6,IF(ISNUMBER(SEARCH(Assumptions!$C$7,E2598)),Assumptions!$D$7,"Other Services"))),"Other Services"))</f>
        <v/>
      </c>
    </row>
    <row r="2599" customFormat="false" ht="15" hidden="false" customHeight="false" outlineLevel="0" collapsed="false">
      <c r="G2599" s="41" t="str">
        <f aca="false">IF(E2599="","",IFERROR(IF(ISNUMBER(SEARCH(Assumptions!$C$5,E2599)),Assumptions!$D$5,IF(ISNUMBER(SEARCH(Assumptions!$C$6,E2599)),Assumptions!$D$6,IF(ISNUMBER(SEARCH(Assumptions!$C$7,E2599)),Assumptions!$D$7,"Other Services"))),"Other Services"))</f>
        <v/>
      </c>
    </row>
    <row r="2600" customFormat="false" ht="15" hidden="false" customHeight="false" outlineLevel="0" collapsed="false">
      <c r="G2600" s="41" t="str">
        <f aca="false">IF(E2600="","",IFERROR(IF(ISNUMBER(SEARCH(Assumptions!$C$5,E2600)),Assumptions!$D$5,IF(ISNUMBER(SEARCH(Assumptions!$C$6,E2600)),Assumptions!$D$6,IF(ISNUMBER(SEARCH(Assumptions!$C$7,E2600)),Assumptions!$D$7,"Other Services"))),"Other Services"))</f>
        <v/>
      </c>
    </row>
    <row r="2601" customFormat="false" ht="15" hidden="false" customHeight="false" outlineLevel="0" collapsed="false">
      <c r="G2601" s="41" t="str">
        <f aca="false">IF(E2601="","",IFERROR(IF(ISNUMBER(SEARCH(Assumptions!$C$5,E2601)),Assumptions!$D$5,IF(ISNUMBER(SEARCH(Assumptions!$C$6,E2601)),Assumptions!$D$6,IF(ISNUMBER(SEARCH(Assumptions!$C$7,E2601)),Assumptions!$D$7,"Other Services"))),"Other Services"))</f>
        <v/>
      </c>
    </row>
    <row r="2602" customFormat="false" ht="15" hidden="false" customHeight="false" outlineLevel="0" collapsed="false">
      <c r="G2602" s="41" t="str">
        <f aca="false">IF(E2602="","",IFERROR(IF(ISNUMBER(SEARCH(Assumptions!$C$5,E2602)),Assumptions!$D$5,IF(ISNUMBER(SEARCH(Assumptions!$C$6,E2602)),Assumptions!$D$6,IF(ISNUMBER(SEARCH(Assumptions!$C$7,E2602)),Assumptions!$D$7,"Other Services"))),"Other Services"))</f>
        <v/>
      </c>
    </row>
    <row r="2603" customFormat="false" ht="15" hidden="false" customHeight="false" outlineLevel="0" collapsed="false">
      <c r="G2603" s="41" t="str">
        <f aca="false">IF(E2603="","",IFERROR(IF(ISNUMBER(SEARCH(Assumptions!$C$5,E2603)),Assumptions!$D$5,IF(ISNUMBER(SEARCH(Assumptions!$C$6,E2603)),Assumptions!$D$6,IF(ISNUMBER(SEARCH(Assumptions!$C$7,E2603)),Assumptions!$D$7,"Other Services"))),"Other Services"))</f>
        <v/>
      </c>
    </row>
    <row r="2604" customFormat="false" ht="15" hidden="false" customHeight="false" outlineLevel="0" collapsed="false">
      <c r="G2604" s="41" t="str">
        <f aca="false">IF(E2604="","",IFERROR(IF(ISNUMBER(SEARCH(Assumptions!$C$5,E2604)),Assumptions!$D$5,IF(ISNUMBER(SEARCH(Assumptions!$C$6,E2604)),Assumptions!$D$6,IF(ISNUMBER(SEARCH(Assumptions!$C$7,E2604)),Assumptions!$D$7,"Other Services"))),"Other Services"))</f>
        <v/>
      </c>
    </row>
    <row r="2605" customFormat="false" ht="15" hidden="false" customHeight="false" outlineLevel="0" collapsed="false">
      <c r="G2605" s="41" t="str">
        <f aca="false">IF(E2605="","",IFERROR(IF(ISNUMBER(SEARCH(Assumptions!$C$5,E2605)),Assumptions!$D$5,IF(ISNUMBER(SEARCH(Assumptions!$C$6,E2605)),Assumptions!$D$6,IF(ISNUMBER(SEARCH(Assumptions!$C$7,E2605)),Assumptions!$D$7,"Other Services"))),"Other Services"))</f>
        <v/>
      </c>
    </row>
    <row r="2606" customFormat="false" ht="15" hidden="false" customHeight="false" outlineLevel="0" collapsed="false">
      <c r="G2606" s="41" t="str">
        <f aca="false">IF(E2606="","",IFERROR(IF(ISNUMBER(SEARCH(Assumptions!$C$5,E2606)),Assumptions!$D$5,IF(ISNUMBER(SEARCH(Assumptions!$C$6,E2606)),Assumptions!$D$6,IF(ISNUMBER(SEARCH(Assumptions!$C$7,E2606)),Assumptions!$D$7,"Other Services"))),"Other Services"))</f>
        <v/>
      </c>
    </row>
    <row r="2607" customFormat="false" ht="15" hidden="false" customHeight="false" outlineLevel="0" collapsed="false">
      <c r="G2607" s="41" t="str">
        <f aca="false">IF(E2607="","",IFERROR(IF(ISNUMBER(SEARCH(Assumptions!$C$5,E2607)),Assumptions!$D$5,IF(ISNUMBER(SEARCH(Assumptions!$C$6,E2607)),Assumptions!$D$6,IF(ISNUMBER(SEARCH(Assumptions!$C$7,E2607)),Assumptions!$D$7,"Other Services"))),"Other Services"))</f>
        <v/>
      </c>
    </row>
    <row r="2608" customFormat="false" ht="15" hidden="false" customHeight="false" outlineLevel="0" collapsed="false">
      <c r="G2608" s="41" t="str">
        <f aca="false">IF(E2608="","",IFERROR(IF(ISNUMBER(SEARCH(Assumptions!$C$5,E2608)),Assumptions!$D$5,IF(ISNUMBER(SEARCH(Assumptions!$C$6,E2608)),Assumptions!$D$6,IF(ISNUMBER(SEARCH(Assumptions!$C$7,E2608)),Assumptions!$D$7,"Other Services"))),"Other Services"))</f>
        <v/>
      </c>
    </row>
    <row r="2609" customFormat="false" ht="15" hidden="false" customHeight="false" outlineLevel="0" collapsed="false">
      <c r="G2609" s="41" t="str">
        <f aca="false">IF(E2609="","",IFERROR(IF(ISNUMBER(SEARCH(Assumptions!$C$5,E2609)),Assumptions!$D$5,IF(ISNUMBER(SEARCH(Assumptions!$C$6,E2609)),Assumptions!$D$6,IF(ISNUMBER(SEARCH(Assumptions!$C$7,E2609)),Assumptions!$D$7,"Other Services"))),"Other Services"))</f>
        <v/>
      </c>
    </row>
    <row r="2610" customFormat="false" ht="15" hidden="false" customHeight="false" outlineLevel="0" collapsed="false">
      <c r="G2610" s="41" t="str">
        <f aca="false">IF(E2610="","",IFERROR(IF(ISNUMBER(SEARCH(Assumptions!$C$5,E2610)),Assumptions!$D$5,IF(ISNUMBER(SEARCH(Assumptions!$C$6,E2610)),Assumptions!$D$6,IF(ISNUMBER(SEARCH(Assumptions!$C$7,E2610)),Assumptions!$D$7,"Other Services"))),"Other Services"))</f>
        <v/>
      </c>
    </row>
    <row r="2611" customFormat="false" ht="15" hidden="false" customHeight="false" outlineLevel="0" collapsed="false">
      <c r="G2611" s="41" t="str">
        <f aca="false">IF(E2611="","",IFERROR(IF(ISNUMBER(SEARCH(Assumptions!$C$5,E2611)),Assumptions!$D$5,IF(ISNUMBER(SEARCH(Assumptions!$C$6,E2611)),Assumptions!$D$6,IF(ISNUMBER(SEARCH(Assumptions!$C$7,E2611)),Assumptions!$D$7,"Other Services"))),"Other Services"))</f>
        <v/>
      </c>
    </row>
    <row r="2612" customFormat="false" ht="15" hidden="false" customHeight="false" outlineLevel="0" collapsed="false">
      <c r="G2612" s="41" t="str">
        <f aca="false">IF(E2612="","",IFERROR(IF(ISNUMBER(SEARCH(Assumptions!$C$5,E2612)),Assumptions!$D$5,IF(ISNUMBER(SEARCH(Assumptions!$C$6,E2612)),Assumptions!$D$6,IF(ISNUMBER(SEARCH(Assumptions!$C$7,E2612)),Assumptions!$D$7,"Other Services"))),"Other Services"))</f>
        <v/>
      </c>
    </row>
    <row r="2613" customFormat="false" ht="15" hidden="false" customHeight="false" outlineLevel="0" collapsed="false">
      <c r="G2613" s="41" t="str">
        <f aca="false">IF(E2613="","",IFERROR(IF(ISNUMBER(SEARCH(Assumptions!$C$5,E2613)),Assumptions!$D$5,IF(ISNUMBER(SEARCH(Assumptions!$C$6,E2613)),Assumptions!$D$6,IF(ISNUMBER(SEARCH(Assumptions!$C$7,E2613)),Assumptions!$D$7,"Other Services"))),"Other Services"))</f>
        <v/>
      </c>
    </row>
    <row r="2614" customFormat="false" ht="15" hidden="false" customHeight="false" outlineLevel="0" collapsed="false">
      <c r="G2614" s="41" t="str">
        <f aca="false">IF(E2614="","",IFERROR(IF(ISNUMBER(SEARCH(Assumptions!$C$5,E2614)),Assumptions!$D$5,IF(ISNUMBER(SEARCH(Assumptions!$C$6,E2614)),Assumptions!$D$6,IF(ISNUMBER(SEARCH(Assumptions!$C$7,E2614)),Assumptions!$D$7,"Other Services"))),"Other Services"))</f>
        <v/>
      </c>
    </row>
    <row r="2615" customFormat="false" ht="15" hidden="false" customHeight="false" outlineLevel="0" collapsed="false">
      <c r="G2615" s="41" t="str">
        <f aca="false">IF(E2615="","",IFERROR(IF(ISNUMBER(SEARCH(Assumptions!$C$5,E2615)),Assumptions!$D$5,IF(ISNUMBER(SEARCH(Assumptions!$C$6,E2615)),Assumptions!$D$6,IF(ISNUMBER(SEARCH(Assumptions!$C$7,E2615)),Assumptions!$D$7,"Other Services"))),"Other Services"))</f>
        <v/>
      </c>
    </row>
    <row r="2616" customFormat="false" ht="15" hidden="false" customHeight="false" outlineLevel="0" collapsed="false">
      <c r="G2616" s="41" t="str">
        <f aca="false">IF(E2616="","",IFERROR(IF(ISNUMBER(SEARCH(Assumptions!$C$5,E2616)),Assumptions!$D$5,IF(ISNUMBER(SEARCH(Assumptions!$C$6,E2616)),Assumptions!$D$6,IF(ISNUMBER(SEARCH(Assumptions!$C$7,E2616)),Assumptions!$D$7,"Other Services"))),"Other Services"))</f>
        <v/>
      </c>
    </row>
    <row r="2617" customFormat="false" ht="15" hidden="false" customHeight="false" outlineLevel="0" collapsed="false">
      <c r="G2617" s="41" t="str">
        <f aca="false">IF(E2617="","",IFERROR(IF(ISNUMBER(SEARCH(Assumptions!$C$5,E2617)),Assumptions!$D$5,IF(ISNUMBER(SEARCH(Assumptions!$C$6,E2617)),Assumptions!$D$6,IF(ISNUMBER(SEARCH(Assumptions!$C$7,E2617)),Assumptions!$D$7,"Other Services"))),"Other Services"))</f>
        <v/>
      </c>
    </row>
    <row r="2618" customFormat="false" ht="15" hidden="false" customHeight="false" outlineLevel="0" collapsed="false">
      <c r="G2618" s="41" t="str">
        <f aca="false">IF(E2618="","",IFERROR(IF(ISNUMBER(SEARCH(Assumptions!$C$5,E2618)),Assumptions!$D$5,IF(ISNUMBER(SEARCH(Assumptions!$C$6,E2618)),Assumptions!$D$6,IF(ISNUMBER(SEARCH(Assumptions!$C$7,E2618)),Assumptions!$D$7,"Other Services"))),"Other Services"))</f>
        <v/>
      </c>
    </row>
    <row r="2619" customFormat="false" ht="15" hidden="false" customHeight="false" outlineLevel="0" collapsed="false">
      <c r="G2619" s="41" t="str">
        <f aca="false">IF(E2619="","",IFERROR(IF(ISNUMBER(SEARCH(Assumptions!$C$5,E2619)),Assumptions!$D$5,IF(ISNUMBER(SEARCH(Assumptions!$C$6,E2619)),Assumptions!$D$6,IF(ISNUMBER(SEARCH(Assumptions!$C$7,E2619)),Assumptions!$D$7,"Other Services"))),"Other Services"))</f>
        <v/>
      </c>
    </row>
    <row r="2620" customFormat="false" ht="15" hidden="false" customHeight="false" outlineLevel="0" collapsed="false">
      <c r="G2620" s="41" t="str">
        <f aca="false">IF(E2620="","",IFERROR(IF(ISNUMBER(SEARCH(Assumptions!$C$5,E2620)),Assumptions!$D$5,IF(ISNUMBER(SEARCH(Assumptions!$C$6,E2620)),Assumptions!$D$6,IF(ISNUMBER(SEARCH(Assumptions!$C$7,E2620)),Assumptions!$D$7,"Other Services"))),"Other Services"))</f>
        <v/>
      </c>
    </row>
    <row r="2621" customFormat="false" ht="15" hidden="false" customHeight="false" outlineLevel="0" collapsed="false">
      <c r="G2621" s="41" t="str">
        <f aca="false">IF(E2621="","",IFERROR(IF(ISNUMBER(SEARCH(Assumptions!$C$5,E2621)),Assumptions!$D$5,IF(ISNUMBER(SEARCH(Assumptions!$C$6,E2621)),Assumptions!$D$6,IF(ISNUMBER(SEARCH(Assumptions!$C$7,E2621)),Assumptions!$D$7,"Other Services"))),"Other Services"))</f>
        <v/>
      </c>
    </row>
    <row r="2622" customFormat="false" ht="15" hidden="false" customHeight="false" outlineLevel="0" collapsed="false">
      <c r="G2622" s="41" t="str">
        <f aca="false">IF(E2622="","",IFERROR(IF(ISNUMBER(SEARCH(Assumptions!$C$5,E2622)),Assumptions!$D$5,IF(ISNUMBER(SEARCH(Assumptions!$C$6,E2622)),Assumptions!$D$6,IF(ISNUMBER(SEARCH(Assumptions!$C$7,E2622)),Assumptions!$D$7,"Other Services"))),"Other Services"))</f>
        <v/>
      </c>
    </row>
    <row r="2623" customFormat="false" ht="15" hidden="false" customHeight="false" outlineLevel="0" collapsed="false">
      <c r="G2623" s="41" t="str">
        <f aca="false">IF(E2623="","",IFERROR(IF(ISNUMBER(SEARCH(Assumptions!$C$5,E2623)),Assumptions!$D$5,IF(ISNUMBER(SEARCH(Assumptions!$C$6,E2623)),Assumptions!$D$6,IF(ISNUMBER(SEARCH(Assumptions!$C$7,E2623)),Assumptions!$D$7,"Other Services"))),"Other Services"))</f>
        <v/>
      </c>
    </row>
    <row r="2624" customFormat="false" ht="15" hidden="false" customHeight="false" outlineLevel="0" collapsed="false">
      <c r="G2624" s="41" t="str">
        <f aca="false">IF(E2624="","",IFERROR(IF(ISNUMBER(SEARCH(Assumptions!$C$5,E2624)),Assumptions!$D$5,IF(ISNUMBER(SEARCH(Assumptions!$C$6,E2624)),Assumptions!$D$6,IF(ISNUMBER(SEARCH(Assumptions!$C$7,E2624)),Assumptions!$D$7,"Other Services"))),"Other Services"))</f>
        <v/>
      </c>
    </row>
    <row r="2625" customFormat="false" ht="15" hidden="false" customHeight="false" outlineLevel="0" collapsed="false">
      <c r="G2625" s="41" t="str">
        <f aca="false">IF(E2625="","",IFERROR(IF(ISNUMBER(SEARCH(Assumptions!$C$5,E2625)),Assumptions!$D$5,IF(ISNUMBER(SEARCH(Assumptions!$C$6,E2625)),Assumptions!$D$6,IF(ISNUMBER(SEARCH(Assumptions!$C$7,E2625)),Assumptions!$D$7,"Other Services"))),"Other Services"))</f>
        <v/>
      </c>
    </row>
    <row r="2626" customFormat="false" ht="15" hidden="false" customHeight="false" outlineLevel="0" collapsed="false">
      <c r="G2626" s="41" t="str">
        <f aca="false">IF(E2626="","",IFERROR(IF(ISNUMBER(SEARCH(Assumptions!$C$5,E2626)),Assumptions!$D$5,IF(ISNUMBER(SEARCH(Assumptions!$C$6,E2626)),Assumptions!$D$6,IF(ISNUMBER(SEARCH(Assumptions!$C$7,E2626)),Assumptions!$D$7,"Other Services"))),"Other Services"))</f>
        <v/>
      </c>
    </row>
    <row r="2627" customFormat="false" ht="15" hidden="false" customHeight="false" outlineLevel="0" collapsed="false">
      <c r="G2627" s="41" t="str">
        <f aca="false">IF(E2627="","",IFERROR(IF(ISNUMBER(SEARCH(Assumptions!$C$5,E2627)),Assumptions!$D$5,IF(ISNUMBER(SEARCH(Assumptions!$C$6,E2627)),Assumptions!$D$6,IF(ISNUMBER(SEARCH(Assumptions!$C$7,E2627)),Assumptions!$D$7,"Other Services"))),"Other Services"))</f>
        <v/>
      </c>
    </row>
    <row r="2628" customFormat="false" ht="15" hidden="false" customHeight="false" outlineLevel="0" collapsed="false">
      <c r="G2628" s="41" t="str">
        <f aca="false">IF(E2628="","",IFERROR(IF(ISNUMBER(SEARCH(Assumptions!$C$5,E2628)),Assumptions!$D$5,IF(ISNUMBER(SEARCH(Assumptions!$C$6,E2628)),Assumptions!$D$6,IF(ISNUMBER(SEARCH(Assumptions!$C$7,E2628)),Assumptions!$D$7,"Other Services"))),"Other Services"))</f>
        <v/>
      </c>
    </row>
    <row r="2629" customFormat="false" ht="15" hidden="false" customHeight="false" outlineLevel="0" collapsed="false">
      <c r="G2629" s="41" t="str">
        <f aca="false">IF(E2629="","",IFERROR(IF(ISNUMBER(SEARCH(Assumptions!$C$5,E2629)),Assumptions!$D$5,IF(ISNUMBER(SEARCH(Assumptions!$C$6,E2629)),Assumptions!$D$6,IF(ISNUMBER(SEARCH(Assumptions!$C$7,E2629)),Assumptions!$D$7,"Other Services"))),"Other Services"))</f>
        <v/>
      </c>
    </row>
    <row r="2630" customFormat="false" ht="15" hidden="false" customHeight="false" outlineLevel="0" collapsed="false">
      <c r="G2630" s="41" t="str">
        <f aca="false">IF(E2630="","",IFERROR(IF(ISNUMBER(SEARCH(Assumptions!$C$5,E2630)),Assumptions!$D$5,IF(ISNUMBER(SEARCH(Assumptions!$C$6,E2630)),Assumptions!$D$6,IF(ISNUMBER(SEARCH(Assumptions!$C$7,E2630)),Assumptions!$D$7,"Other Services"))),"Other Services"))</f>
        <v/>
      </c>
    </row>
    <row r="2631" customFormat="false" ht="15" hidden="false" customHeight="false" outlineLevel="0" collapsed="false">
      <c r="G2631" s="41" t="str">
        <f aca="false">IF(E2631="","",IFERROR(IF(ISNUMBER(SEARCH(Assumptions!$C$5,E2631)),Assumptions!$D$5,IF(ISNUMBER(SEARCH(Assumptions!$C$6,E2631)),Assumptions!$D$6,IF(ISNUMBER(SEARCH(Assumptions!$C$7,E2631)),Assumptions!$D$7,"Other Services"))),"Other Services"))</f>
        <v/>
      </c>
    </row>
    <row r="2632" customFormat="false" ht="15" hidden="false" customHeight="false" outlineLevel="0" collapsed="false">
      <c r="G2632" s="41" t="str">
        <f aca="false">IF(E2632="","",IFERROR(IF(ISNUMBER(SEARCH(Assumptions!$C$5,E2632)),Assumptions!$D$5,IF(ISNUMBER(SEARCH(Assumptions!$C$6,E2632)),Assumptions!$D$6,IF(ISNUMBER(SEARCH(Assumptions!$C$7,E2632)),Assumptions!$D$7,"Other Services"))),"Other Services"))</f>
        <v/>
      </c>
    </row>
    <row r="2633" customFormat="false" ht="15" hidden="false" customHeight="false" outlineLevel="0" collapsed="false">
      <c r="G2633" s="41" t="str">
        <f aca="false">IF(E2633="","",IFERROR(IF(ISNUMBER(SEARCH(Assumptions!$C$5,E2633)),Assumptions!$D$5,IF(ISNUMBER(SEARCH(Assumptions!$C$6,E2633)),Assumptions!$D$6,IF(ISNUMBER(SEARCH(Assumptions!$C$7,E2633)),Assumptions!$D$7,"Other Services"))),"Other Services"))</f>
        <v/>
      </c>
    </row>
    <row r="2634" customFormat="false" ht="15" hidden="false" customHeight="false" outlineLevel="0" collapsed="false">
      <c r="G2634" s="41" t="str">
        <f aca="false">IF(E2634="","",IFERROR(IF(ISNUMBER(SEARCH(Assumptions!$C$5,E2634)),Assumptions!$D$5,IF(ISNUMBER(SEARCH(Assumptions!$C$6,E2634)),Assumptions!$D$6,IF(ISNUMBER(SEARCH(Assumptions!$C$7,E2634)),Assumptions!$D$7,"Other Services"))),"Other Services"))</f>
        <v/>
      </c>
    </row>
    <row r="2635" customFormat="false" ht="15" hidden="false" customHeight="false" outlineLevel="0" collapsed="false">
      <c r="G2635" s="41" t="str">
        <f aca="false">IF(E2635="","",IFERROR(IF(ISNUMBER(SEARCH(Assumptions!$C$5,E2635)),Assumptions!$D$5,IF(ISNUMBER(SEARCH(Assumptions!$C$6,E2635)),Assumptions!$D$6,IF(ISNUMBER(SEARCH(Assumptions!$C$7,E2635)),Assumptions!$D$7,"Other Services"))),"Other Services"))</f>
        <v/>
      </c>
    </row>
    <row r="2636" customFormat="false" ht="15" hidden="false" customHeight="false" outlineLevel="0" collapsed="false">
      <c r="G2636" s="41" t="str">
        <f aca="false">IF(E2636="","",IFERROR(IF(ISNUMBER(SEARCH(Assumptions!$C$5,E2636)),Assumptions!$D$5,IF(ISNUMBER(SEARCH(Assumptions!$C$6,E2636)),Assumptions!$D$6,IF(ISNUMBER(SEARCH(Assumptions!$C$7,E2636)),Assumptions!$D$7,"Other Services"))),"Other Services"))</f>
        <v/>
      </c>
    </row>
    <row r="2637" customFormat="false" ht="15" hidden="false" customHeight="false" outlineLevel="0" collapsed="false">
      <c r="G2637" s="41" t="str">
        <f aca="false">IF(E2637="","",IFERROR(IF(ISNUMBER(SEARCH(Assumptions!$C$5,E2637)),Assumptions!$D$5,IF(ISNUMBER(SEARCH(Assumptions!$C$6,E2637)),Assumptions!$D$6,IF(ISNUMBER(SEARCH(Assumptions!$C$7,E2637)),Assumptions!$D$7,"Other Services"))),"Other Services"))</f>
        <v/>
      </c>
    </row>
    <row r="2638" customFormat="false" ht="15" hidden="false" customHeight="false" outlineLevel="0" collapsed="false">
      <c r="G2638" s="41" t="str">
        <f aca="false">IF(E2638="","",IFERROR(IF(ISNUMBER(SEARCH(Assumptions!$C$5,E2638)),Assumptions!$D$5,IF(ISNUMBER(SEARCH(Assumptions!$C$6,E2638)),Assumptions!$D$6,IF(ISNUMBER(SEARCH(Assumptions!$C$7,E2638)),Assumptions!$D$7,"Other Services"))),"Other Services"))</f>
        <v/>
      </c>
    </row>
    <row r="2639" customFormat="false" ht="15" hidden="false" customHeight="false" outlineLevel="0" collapsed="false">
      <c r="G2639" s="41" t="str">
        <f aca="false">IF(E2639="","",IFERROR(IF(ISNUMBER(SEARCH(Assumptions!$C$5,E2639)),Assumptions!$D$5,IF(ISNUMBER(SEARCH(Assumptions!$C$6,E2639)),Assumptions!$D$6,IF(ISNUMBER(SEARCH(Assumptions!$C$7,E2639)),Assumptions!$D$7,"Other Services"))),"Other Services"))</f>
        <v/>
      </c>
    </row>
    <row r="2640" customFormat="false" ht="15" hidden="false" customHeight="false" outlineLevel="0" collapsed="false">
      <c r="G2640" s="41" t="str">
        <f aca="false">IF(E2640="","",IFERROR(IF(ISNUMBER(SEARCH(Assumptions!$C$5,E2640)),Assumptions!$D$5,IF(ISNUMBER(SEARCH(Assumptions!$C$6,E2640)),Assumptions!$D$6,IF(ISNUMBER(SEARCH(Assumptions!$C$7,E2640)),Assumptions!$D$7,"Other Services"))),"Other Services"))</f>
        <v/>
      </c>
    </row>
    <row r="2641" customFormat="false" ht="15" hidden="false" customHeight="false" outlineLevel="0" collapsed="false">
      <c r="G2641" s="41" t="str">
        <f aca="false">IF(E2641="","",IFERROR(IF(ISNUMBER(SEARCH(Assumptions!$C$5,E2641)),Assumptions!$D$5,IF(ISNUMBER(SEARCH(Assumptions!$C$6,E2641)),Assumptions!$D$6,IF(ISNUMBER(SEARCH(Assumptions!$C$7,E2641)),Assumptions!$D$7,"Other Services"))),"Other Services"))</f>
        <v/>
      </c>
    </row>
    <row r="2642" customFormat="false" ht="15" hidden="false" customHeight="false" outlineLevel="0" collapsed="false">
      <c r="G2642" s="41" t="str">
        <f aca="false">IF(E2642="","",IFERROR(IF(ISNUMBER(SEARCH(Assumptions!$C$5,E2642)),Assumptions!$D$5,IF(ISNUMBER(SEARCH(Assumptions!$C$6,E2642)),Assumptions!$D$6,IF(ISNUMBER(SEARCH(Assumptions!$C$7,E2642)),Assumptions!$D$7,"Other Services"))),"Other Services"))</f>
        <v/>
      </c>
    </row>
    <row r="2643" customFormat="false" ht="15" hidden="false" customHeight="false" outlineLevel="0" collapsed="false">
      <c r="G2643" s="41" t="str">
        <f aca="false">IF(E2643="","",IFERROR(IF(ISNUMBER(SEARCH(Assumptions!$C$5,E2643)),Assumptions!$D$5,IF(ISNUMBER(SEARCH(Assumptions!$C$6,E2643)),Assumptions!$D$6,IF(ISNUMBER(SEARCH(Assumptions!$C$7,E2643)),Assumptions!$D$7,"Other Services"))),"Other Services"))</f>
        <v/>
      </c>
    </row>
    <row r="2644" customFormat="false" ht="15" hidden="false" customHeight="false" outlineLevel="0" collapsed="false">
      <c r="G2644" s="41" t="str">
        <f aca="false">IF(E2644="","",IFERROR(IF(ISNUMBER(SEARCH(Assumptions!$C$5,E2644)),Assumptions!$D$5,IF(ISNUMBER(SEARCH(Assumptions!$C$6,E2644)),Assumptions!$D$6,IF(ISNUMBER(SEARCH(Assumptions!$C$7,E2644)),Assumptions!$D$7,"Other Services"))),"Other Services"))</f>
        <v/>
      </c>
    </row>
    <row r="2645" customFormat="false" ht="15" hidden="false" customHeight="false" outlineLevel="0" collapsed="false">
      <c r="G2645" s="41" t="str">
        <f aca="false">IF(E2645="","",IFERROR(IF(ISNUMBER(SEARCH(Assumptions!$C$5,E2645)),Assumptions!$D$5,IF(ISNUMBER(SEARCH(Assumptions!$C$6,E2645)),Assumptions!$D$6,IF(ISNUMBER(SEARCH(Assumptions!$C$7,E2645)),Assumptions!$D$7,"Other Services"))),"Other Services"))</f>
        <v/>
      </c>
    </row>
    <row r="2646" customFormat="false" ht="15" hidden="false" customHeight="false" outlineLevel="0" collapsed="false">
      <c r="G2646" s="41" t="str">
        <f aca="false">IF(E2646="","",IFERROR(IF(ISNUMBER(SEARCH(Assumptions!$C$5,E2646)),Assumptions!$D$5,IF(ISNUMBER(SEARCH(Assumptions!$C$6,E2646)),Assumptions!$D$6,IF(ISNUMBER(SEARCH(Assumptions!$C$7,E2646)),Assumptions!$D$7,"Other Services"))),"Other Services"))</f>
        <v/>
      </c>
    </row>
    <row r="2647" customFormat="false" ht="15" hidden="false" customHeight="false" outlineLevel="0" collapsed="false">
      <c r="G2647" s="41" t="str">
        <f aca="false">IF(E2647="","",IFERROR(IF(ISNUMBER(SEARCH(Assumptions!$C$5,E2647)),Assumptions!$D$5,IF(ISNUMBER(SEARCH(Assumptions!$C$6,E2647)),Assumptions!$D$6,IF(ISNUMBER(SEARCH(Assumptions!$C$7,E2647)),Assumptions!$D$7,"Other Services"))),"Other Services"))</f>
        <v/>
      </c>
    </row>
    <row r="2648" customFormat="false" ht="15" hidden="false" customHeight="false" outlineLevel="0" collapsed="false">
      <c r="G2648" s="41" t="str">
        <f aca="false">IF(E2648="","",IFERROR(IF(ISNUMBER(SEARCH(Assumptions!$C$5,E2648)),Assumptions!$D$5,IF(ISNUMBER(SEARCH(Assumptions!$C$6,E2648)),Assumptions!$D$6,IF(ISNUMBER(SEARCH(Assumptions!$C$7,E2648)),Assumptions!$D$7,"Other Services"))),"Other Services"))</f>
        <v/>
      </c>
    </row>
    <row r="2649" customFormat="false" ht="15" hidden="false" customHeight="false" outlineLevel="0" collapsed="false">
      <c r="G2649" s="41" t="str">
        <f aca="false">IF(E2649="","",IFERROR(IF(ISNUMBER(SEARCH(Assumptions!$C$5,E2649)),Assumptions!$D$5,IF(ISNUMBER(SEARCH(Assumptions!$C$6,E2649)),Assumptions!$D$6,IF(ISNUMBER(SEARCH(Assumptions!$C$7,E2649)),Assumptions!$D$7,"Other Services"))),"Other Services"))</f>
        <v/>
      </c>
    </row>
    <row r="2650" customFormat="false" ht="15" hidden="false" customHeight="false" outlineLevel="0" collapsed="false">
      <c r="G2650" s="41" t="str">
        <f aca="false">IF(E2650="","",IFERROR(IF(ISNUMBER(SEARCH(Assumptions!$C$5,E2650)),Assumptions!$D$5,IF(ISNUMBER(SEARCH(Assumptions!$C$6,E2650)),Assumptions!$D$6,IF(ISNUMBER(SEARCH(Assumptions!$C$7,E2650)),Assumptions!$D$7,"Other Services"))),"Other Services"))</f>
        <v/>
      </c>
    </row>
    <row r="2651" customFormat="false" ht="15" hidden="false" customHeight="false" outlineLevel="0" collapsed="false">
      <c r="G2651" s="41" t="str">
        <f aca="false">IF(E2651="","",IFERROR(IF(ISNUMBER(SEARCH(Assumptions!$C$5,E2651)),Assumptions!$D$5,IF(ISNUMBER(SEARCH(Assumptions!$C$6,E2651)),Assumptions!$D$6,IF(ISNUMBER(SEARCH(Assumptions!$C$7,E2651)),Assumptions!$D$7,"Other Services"))),"Other Services"))</f>
        <v/>
      </c>
    </row>
    <row r="2652" customFormat="false" ht="15" hidden="false" customHeight="false" outlineLevel="0" collapsed="false">
      <c r="G2652" s="41" t="str">
        <f aca="false">IF(E2652="","",IFERROR(IF(ISNUMBER(SEARCH(Assumptions!$C$5,E2652)),Assumptions!$D$5,IF(ISNUMBER(SEARCH(Assumptions!$C$6,E2652)),Assumptions!$D$6,IF(ISNUMBER(SEARCH(Assumptions!$C$7,E2652)),Assumptions!$D$7,"Other Services"))),"Other Services"))</f>
        <v/>
      </c>
    </row>
    <row r="2653" customFormat="false" ht="15" hidden="false" customHeight="false" outlineLevel="0" collapsed="false">
      <c r="G2653" s="41" t="str">
        <f aca="false">IF(E2653="","",IFERROR(IF(ISNUMBER(SEARCH(Assumptions!$C$5,E2653)),Assumptions!$D$5,IF(ISNUMBER(SEARCH(Assumptions!$C$6,E2653)),Assumptions!$D$6,IF(ISNUMBER(SEARCH(Assumptions!$C$7,E2653)),Assumptions!$D$7,"Other Services"))),"Other Services"))</f>
        <v/>
      </c>
    </row>
    <row r="2654" customFormat="false" ht="15" hidden="false" customHeight="false" outlineLevel="0" collapsed="false">
      <c r="G2654" s="41" t="str">
        <f aca="false">IF(E2654="","",IFERROR(IF(ISNUMBER(SEARCH(Assumptions!$C$5,E2654)),Assumptions!$D$5,IF(ISNUMBER(SEARCH(Assumptions!$C$6,E2654)),Assumptions!$D$6,IF(ISNUMBER(SEARCH(Assumptions!$C$7,E2654)),Assumptions!$D$7,"Other Services"))),"Other Services"))</f>
        <v/>
      </c>
    </row>
    <row r="2655" customFormat="false" ht="15" hidden="false" customHeight="false" outlineLevel="0" collapsed="false">
      <c r="G2655" s="41" t="str">
        <f aca="false">IF(E2655="","",IFERROR(IF(ISNUMBER(SEARCH(Assumptions!$C$5,E2655)),Assumptions!$D$5,IF(ISNUMBER(SEARCH(Assumptions!$C$6,E2655)),Assumptions!$D$6,IF(ISNUMBER(SEARCH(Assumptions!$C$7,E2655)),Assumptions!$D$7,"Other Services"))),"Other Services"))</f>
        <v/>
      </c>
    </row>
    <row r="2656" customFormat="false" ht="15" hidden="false" customHeight="false" outlineLevel="0" collapsed="false">
      <c r="G2656" s="41" t="str">
        <f aca="false">IF(E2656="","",IFERROR(IF(ISNUMBER(SEARCH(Assumptions!$C$5,E2656)),Assumptions!$D$5,IF(ISNUMBER(SEARCH(Assumptions!$C$6,E2656)),Assumptions!$D$6,IF(ISNUMBER(SEARCH(Assumptions!$C$7,E2656)),Assumptions!$D$7,"Other Services"))),"Other Services"))</f>
        <v/>
      </c>
    </row>
    <row r="2657" customFormat="false" ht="15" hidden="false" customHeight="false" outlineLevel="0" collapsed="false">
      <c r="G2657" s="41" t="str">
        <f aca="false">IF(E2657="","",IFERROR(IF(ISNUMBER(SEARCH(Assumptions!$C$5,E2657)),Assumptions!$D$5,IF(ISNUMBER(SEARCH(Assumptions!$C$6,E2657)),Assumptions!$D$6,IF(ISNUMBER(SEARCH(Assumptions!$C$7,E2657)),Assumptions!$D$7,"Other Services"))),"Other Services"))</f>
        <v/>
      </c>
    </row>
    <row r="2658" customFormat="false" ht="15" hidden="false" customHeight="false" outlineLevel="0" collapsed="false">
      <c r="G2658" s="41" t="str">
        <f aca="false">IF(E2658="","",IFERROR(IF(ISNUMBER(SEARCH(Assumptions!$C$5,E2658)),Assumptions!$D$5,IF(ISNUMBER(SEARCH(Assumptions!$C$6,E2658)),Assumptions!$D$6,IF(ISNUMBER(SEARCH(Assumptions!$C$7,E2658)),Assumptions!$D$7,"Other Services"))),"Other Services"))</f>
        <v/>
      </c>
    </row>
    <row r="2659" customFormat="false" ht="15" hidden="false" customHeight="false" outlineLevel="0" collapsed="false">
      <c r="G2659" s="41" t="str">
        <f aca="false">IF(E2659="","",IFERROR(IF(ISNUMBER(SEARCH(Assumptions!$C$5,E2659)),Assumptions!$D$5,IF(ISNUMBER(SEARCH(Assumptions!$C$6,E2659)),Assumptions!$D$6,IF(ISNUMBER(SEARCH(Assumptions!$C$7,E2659)),Assumptions!$D$7,"Other Services"))),"Other Services"))</f>
        <v/>
      </c>
    </row>
    <row r="2660" customFormat="false" ht="15" hidden="false" customHeight="false" outlineLevel="0" collapsed="false">
      <c r="G2660" s="41" t="str">
        <f aca="false">IF(E2660="","",IFERROR(IF(ISNUMBER(SEARCH(Assumptions!$C$5,E2660)),Assumptions!$D$5,IF(ISNUMBER(SEARCH(Assumptions!$C$6,E2660)),Assumptions!$D$6,IF(ISNUMBER(SEARCH(Assumptions!$C$7,E2660)),Assumptions!$D$7,"Other Services"))),"Other Services"))</f>
        <v/>
      </c>
    </row>
    <row r="2661" customFormat="false" ht="15" hidden="false" customHeight="false" outlineLevel="0" collapsed="false">
      <c r="G2661" s="41" t="str">
        <f aca="false">IF(E2661="","",IFERROR(IF(ISNUMBER(SEARCH(Assumptions!$C$5,E2661)),Assumptions!$D$5,IF(ISNUMBER(SEARCH(Assumptions!$C$6,E2661)),Assumptions!$D$6,IF(ISNUMBER(SEARCH(Assumptions!$C$7,E2661)),Assumptions!$D$7,"Other Services"))),"Other Services"))</f>
        <v/>
      </c>
    </row>
    <row r="2662" customFormat="false" ht="15" hidden="false" customHeight="false" outlineLevel="0" collapsed="false">
      <c r="G2662" s="41" t="str">
        <f aca="false">IF(E2662="","",IFERROR(IF(ISNUMBER(SEARCH(Assumptions!$C$5,E2662)),Assumptions!$D$5,IF(ISNUMBER(SEARCH(Assumptions!$C$6,E2662)),Assumptions!$D$6,IF(ISNUMBER(SEARCH(Assumptions!$C$7,E2662)),Assumptions!$D$7,"Other Services"))),"Other Services"))</f>
        <v/>
      </c>
    </row>
    <row r="2663" customFormat="false" ht="15" hidden="false" customHeight="false" outlineLevel="0" collapsed="false">
      <c r="G2663" s="41" t="str">
        <f aca="false">IF(E2663="","",IFERROR(IF(ISNUMBER(SEARCH(Assumptions!$C$5,E2663)),Assumptions!$D$5,IF(ISNUMBER(SEARCH(Assumptions!$C$6,E2663)),Assumptions!$D$6,IF(ISNUMBER(SEARCH(Assumptions!$C$7,E2663)),Assumptions!$D$7,"Other Services"))),"Other Services"))</f>
        <v/>
      </c>
    </row>
    <row r="2664" customFormat="false" ht="15" hidden="false" customHeight="false" outlineLevel="0" collapsed="false">
      <c r="G2664" s="41" t="str">
        <f aca="false">IF(E2664="","",IFERROR(IF(ISNUMBER(SEARCH(Assumptions!$C$5,E2664)),Assumptions!$D$5,IF(ISNUMBER(SEARCH(Assumptions!$C$6,E2664)),Assumptions!$D$6,IF(ISNUMBER(SEARCH(Assumptions!$C$7,E2664)),Assumptions!$D$7,"Other Services"))),"Other Services"))</f>
        <v/>
      </c>
    </row>
    <row r="2665" customFormat="false" ht="15" hidden="false" customHeight="false" outlineLevel="0" collapsed="false">
      <c r="G2665" s="41" t="str">
        <f aca="false">IF(E2665="","",IFERROR(IF(ISNUMBER(SEARCH(Assumptions!$C$5,E2665)),Assumptions!$D$5,IF(ISNUMBER(SEARCH(Assumptions!$C$6,E2665)),Assumptions!$D$6,IF(ISNUMBER(SEARCH(Assumptions!$C$7,E2665)),Assumptions!$D$7,"Other Services"))),"Other Services"))</f>
        <v/>
      </c>
    </row>
    <row r="2666" customFormat="false" ht="15" hidden="false" customHeight="false" outlineLevel="0" collapsed="false">
      <c r="G2666" s="41" t="str">
        <f aca="false">IF(E2666="","",IFERROR(IF(ISNUMBER(SEARCH(Assumptions!$C$5,E2666)),Assumptions!$D$5,IF(ISNUMBER(SEARCH(Assumptions!$C$6,E2666)),Assumptions!$D$6,IF(ISNUMBER(SEARCH(Assumptions!$C$7,E2666)),Assumptions!$D$7,"Other Services"))),"Other Services"))</f>
        <v/>
      </c>
    </row>
    <row r="2667" customFormat="false" ht="15" hidden="false" customHeight="false" outlineLevel="0" collapsed="false">
      <c r="G2667" s="41" t="str">
        <f aca="false">IF(E2667="","",IFERROR(IF(ISNUMBER(SEARCH(Assumptions!$C$5,E2667)),Assumptions!$D$5,IF(ISNUMBER(SEARCH(Assumptions!$C$6,E2667)),Assumptions!$D$6,IF(ISNUMBER(SEARCH(Assumptions!$C$7,E2667)),Assumptions!$D$7,"Other Services"))),"Other Services"))</f>
        <v/>
      </c>
    </row>
    <row r="2668" customFormat="false" ht="15" hidden="false" customHeight="false" outlineLevel="0" collapsed="false">
      <c r="G2668" s="41" t="str">
        <f aca="false">IF(E2668="","",IFERROR(IF(ISNUMBER(SEARCH(Assumptions!$C$5,E2668)),Assumptions!$D$5,IF(ISNUMBER(SEARCH(Assumptions!$C$6,E2668)),Assumptions!$D$6,IF(ISNUMBER(SEARCH(Assumptions!$C$7,E2668)),Assumptions!$D$7,"Other Services"))),"Other Services"))</f>
        <v/>
      </c>
    </row>
    <row r="2669" customFormat="false" ht="15" hidden="false" customHeight="false" outlineLevel="0" collapsed="false">
      <c r="G2669" s="41" t="str">
        <f aca="false">IF(E2669="","",IFERROR(IF(ISNUMBER(SEARCH(Assumptions!$C$5,E2669)),Assumptions!$D$5,IF(ISNUMBER(SEARCH(Assumptions!$C$6,E2669)),Assumptions!$D$6,IF(ISNUMBER(SEARCH(Assumptions!$C$7,E2669)),Assumptions!$D$7,"Other Services"))),"Other Services"))</f>
        <v/>
      </c>
    </row>
    <row r="2670" customFormat="false" ht="15" hidden="false" customHeight="false" outlineLevel="0" collapsed="false">
      <c r="G2670" s="41" t="str">
        <f aca="false">IF(E2670="","",IFERROR(IF(ISNUMBER(SEARCH(Assumptions!$C$5,E2670)),Assumptions!$D$5,IF(ISNUMBER(SEARCH(Assumptions!$C$6,E2670)),Assumptions!$D$6,IF(ISNUMBER(SEARCH(Assumptions!$C$7,E2670)),Assumptions!$D$7,"Other Services"))),"Other Services"))</f>
        <v/>
      </c>
    </row>
    <row r="2671" customFormat="false" ht="15" hidden="false" customHeight="false" outlineLevel="0" collapsed="false">
      <c r="G2671" s="41" t="str">
        <f aca="false">IF(E2671="","",IFERROR(IF(ISNUMBER(SEARCH(Assumptions!$C$5,E2671)),Assumptions!$D$5,IF(ISNUMBER(SEARCH(Assumptions!$C$6,E2671)),Assumptions!$D$6,IF(ISNUMBER(SEARCH(Assumptions!$C$7,E2671)),Assumptions!$D$7,"Other Services"))),"Other Services"))</f>
        <v/>
      </c>
    </row>
    <row r="2672" customFormat="false" ht="15" hidden="false" customHeight="false" outlineLevel="0" collapsed="false">
      <c r="G2672" s="41" t="str">
        <f aca="false">IF(E2672="","",IFERROR(IF(ISNUMBER(SEARCH(Assumptions!$C$5,E2672)),Assumptions!$D$5,IF(ISNUMBER(SEARCH(Assumptions!$C$6,E2672)),Assumptions!$D$6,IF(ISNUMBER(SEARCH(Assumptions!$C$7,E2672)),Assumptions!$D$7,"Other Services"))),"Other Services"))</f>
        <v/>
      </c>
    </row>
    <row r="2673" customFormat="false" ht="15" hidden="false" customHeight="false" outlineLevel="0" collapsed="false">
      <c r="G2673" s="41" t="str">
        <f aca="false">IF(E2673="","",IFERROR(IF(ISNUMBER(SEARCH(Assumptions!$C$5,E2673)),Assumptions!$D$5,IF(ISNUMBER(SEARCH(Assumptions!$C$6,E2673)),Assumptions!$D$6,IF(ISNUMBER(SEARCH(Assumptions!$C$7,E2673)),Assumptions!$D$7,"Other Services"))),"Other Services"))</f>
        <v/>
      </c>
    </row>
    <row r="2674" customFormat="false" ht="15" hidden="false" customHeight="false" outlineLevel="0" collapsed="false">
      <c r="G2674" s="41" t="str">
        <f aca="false">IF(E2674="","",IFERROR(IF(ISNUMBER(SEARCH(Assumptions!$C$5,E2674)),Assumptions!$D$5,IF(ISNUMBER(SEARCH(Assumptions!$C$6,E2674)),Assumptions!$D$6,IF(ISNUMBER(SEARCH(Assumptions!$C$7,E2674)),Assumptions!$D$7,"Other Services"))),"Other Services"))</f>
        <v/>
      </c>
    </row>
    <row r="2675" customFormat="false" ht="15" hidden="false" customHeight="false" outlineLevel="0" collapsed="false">
      <c r="G2675" s="41" t="str">
        <f aca="false">IF(E2675="","",IFERROR(IF(ISNUMBER(SEARCH(Assumptions!$C$5,E2675)),Assumptions!$D$5,IF(ISNUMBER(SEARCH(Assumptions!$C$6,E2675)),Assumptions!$D$6,IF(ISNUMBER(SEARCH(Assumptions!$C$7,E2675)),Assumptions!$D$7,"Other Services"))),"Other Services"))</f>
        <v/>
      </c>
    </row>
    <row r="2676" customFormat="false" ht="15" hidden="false" customHeight="false" outlineLevel="0" collapsed="false">
      <c r="G2676" s="41" t="str">
        <f aca="false">IF(E2676="","",IFERROR(IF(ISNUMBER(SEARCH(Assumptions!$C$5,E2676)),Assumptions!$D$5,IF(ISNUMBER(SEARCH(Assumptions!$C$6,E2676)),Assumptions!$D$6,IF(ISNUMBER(SEARCH(Assumptions!$C$7,E2676)),Assumptions!$D$7,"Other Services"))),"Other Services"))</f>
        <v/>
      </c>
    </row>
    <row r="2677" customFormat="false" ht="15" hidden="false" customHeight="false" outlineLevel="0" collapsed="false">
      <c r="G2677" s="41" t="str">
        <f aca="false">IF(E2677="","",IFERROR(IF(ISNUMBER(SEARCH(Assumptions!$C$5,E2677)),Assumptions!$D$5,IF(ISNUMBER(SEARCH(Assumptions!$C$6,E2677)),Assumptions!$D$6,IF(ISNUMBER(SEARCH(Assumptions!$C$7,E2677)),Assumptions!$D$7,"Other Services"))),"Other Services"))</f>
        <v/>
      </c>
    </row>
    <row r="2678" customFormat="false" ht="15" hidden="false" customHeight="false" outlineLevel="0" collapsed="false">
      <c r="G2678" s="41" t="str">
        <f aca="false">IF(E2678="","",IFERROR(IF(ISNUMBER(SEARCH(Assumptions!$C$5,E2678)),Assumptions!$D$5,IF(ISNUMBER(SEARCH(Assumptions!$C$6,E2678)),Assumptions!$D$6,IF(ISNUMBER(SEARCH(Assumptions!$C$7,E2678)),Assumptions!$D$7,"Other Services"))),"Other Services"))</f>
        <v/>
      </c>
    </row>
    <row r="2679" customFormat="false" ht="15" hidden="false" customHeight="false" outlineLevel="0" collapsed="false">
      <c r="G2679" s="41" t="str">
        <f aca="false">IF(E2679="","",IFERROR(IF(ISNUMBER(SEARCH(Assumptions!$C$5,E2679)),Assumptions!$D$5,IF(ISNUMBER(SEARCH(Assumptions!$C$6,E2679)),Assumptions!$D$6,IF(ISNUMBER(SEARCH(Assumptions!$C$7,E2679)),Assumptions!$D$7,"Other Services"))),"Other Services"))</f>
        <v/>
      </c>
    </row>
    <row r="2680" customFormat="false" ht="15" hidden="false" customHeight="false" outlineLevel="0" collapsed="false">
      <c r="G2680" s="41" t="str">
        <f aca="false">IF(E2680="","",IFERROR(IF(ISNUMBER(SEARCH(Assumptions!$C$5,E2680)),Assumptions!$D$5,IF(ISNUMBER(SEARCH(Assumptions!$C$6,E2680)),Assumptions!$D$6,IF(ISNUMBER(SEARCH(Assumptions!$C$7,E2680)),Assumptions!$D$7,"Other Services"))),"Other Services"))</f>
        <v/>
      </c>
    </row>
    <row r="2681" customFormat="false" ht="15" hidden="false" customHeight="false" outlineLevel="0" collapsed="false">
      <c r="G2681" s="41" t="str">
        <f aca="false">IF(E2681="","",IFERROR(IF(ISNUMBER(SEARCH(Assumptions!$C$5,E2681)),Assumptions!$D$5,IF(ISNUMBER(SEARCH(Assumptions!$C$6,E2681)),Assumptions!$D$6,IF(ISNUMBER(SEARCH(Assumptions!$C$7,E2681)),Assumptions!$D$7,"Other Services"))),"Other Services"))</f>
        <v/>
      </c>
    </row>
    <row r="2682" customFormat="false" ht="15" hidden="false" customHeight="false" outlineLevel="0" collapsed="false">
      <c r="G2682" s="41" t="str">
        <f aca="false">IF(E2682="","",IFERROR(IF(ISNUMBER(SEARCH(Assumptions!$C$5,E2682)),Assumptions!$D$5,IF(ISNUMBER(SEARCH(Assumptions!$C$6,E2682)),Assumptions!$D$6,IF(ISNUMBER(SEARCH(Assumptions!$C$7,E2682)),Assumptions!$D$7,"Other Services"))),"Other Services"))</f>
        <v/>
      </c>
    </row>
    <row r="2683" customFormat="false" ht="15" hidden="false" customHeight="false" outlineLevel="0" collapsed="false">
      <c r="G2683" s="41" t="str">
        <f aca="false">IF(E2683="","",IFERROR(IF(ISNUMBER(SEARCH(Assumptions!$C$5,E2683)),Assumptions!$D$5,IF(ISNUMBER(SEARCH(Assumptions!$C$6,E2683)),Assumptions!$D$6,IF(ISNUMBER(SEARCH(Assumptions!$C$7,E2683)),Assumptions!$D$7,"Other Services"))),"Other Services"))</f>
        <v/>
      </c>
    </row>
    <row r="2684" customFormat="false" ht="15" hidden="false" customHeight="false" outlineLevel="0" collapsed="false">
      <c r="G2684" s="41" t="str">
        <f aca="false">IF(E2684="","",IFERROR(IF(ISNUMBER(SEARCH(Assumptions!$C$5,E2684)),Assumptions!$D$5,IF(ISNUMBER(SEARCH(Assumptions!$C$6,E2684)),Assumptions!$D$6,IF(ISNUMBER(SEARCH(Assumptions!$C$7,E2684)),Assumptions!$D$7,"Other Services"))),"Other Services"))</f>
        <v/>
      </c>
    </row>
    <row r="2685" customFormat="false" ht="15" hidden="false" customHeight="false" outlineLevel="0" collapsed="false">
      <c r="G2685" s="41" t="str">
        <f aca="false">IF(E2685="","",IFERROR(IF(ISNUMBER(SEARCH(Assumptions!$C$5,E2685)),Assumptions!$D$5,IF(ISNUMBER(SEARCH(Assumptions!$C$6,E2685)),Assumptions!$D$6,IF(ISNUMBER(SEARCH(Assumptions!$C$7,E2685)),Assumptions!$D$7,"Other Services"))),"Other Services"))</f>
        <v/>
      </c>
    </row>
    <row r="2686" customFormat="false" ht="15" hidden="false" customHeight="false" outlineLevel="0" collapsed="false">
      <c r="G2686" s="41" t="str">
        <f aca="false">IF(E2686="","",IFERROR(IF(ISNUMBER(SEARCH(Assumptions!$C$5,E2686)),Assumptions!$D$5,IF(ISNUMBER(SEARCH(Assumptions!$C$6,E2686)),Assumptions!$D$6,IF(ISNUMBER(SEARCH(Assumptions!$C$7,E2686)),Assumptions!$D$7,"Other Services"))),"Other Services"))</f>
        <v/>
      </c>
    </row>
    <row r="2687" customFormat="false" ht="15" hidden="false" customHeight="false" outlineLevel="0" collapsed="false">
      <c r="G2687" s="41" t="str">
        <f aca="false">IF(E2687="","",IFERROR(IF(ISNUMBER(SEARCH(Assumptions!$C$5,E2687)),Assumptions!$D$5,IF(ISNUMBER(SEARCH(Assumptions!$C$6,E2687)),Assumptions!$D$6,IF(ISNUMBER(SEARCH(Assumptions!$C$7,E2687)),Assumptions!$D$7,"Other Services"))),"Other Services"))</f>
        <v/>
      </c>
    </row>
    <row r="2688" customFormat="false" ht="15" hidden="false" customHeight="false" outlineLevel="0" collapsed="false">
      <c r="G2688" s="41" t="str">
        <f aca="false">IF(E2688="","",IFERROR(IF(ISNUMBER(SEARCH(Assumptions!$C$5,E2688)),Assumptions!$D$5,IF(ISNUMBER(SEARCH(Assumptions!$C$6,E2688)),Assumptions!$D$6,IF(ISNUMBER(SEARCH(Assumptions!$C$7,E2688)),Assumptions!$D$7,"Other Services"))),"Other Services"))</f>
        <v/>
      </c>
    </row>
    <row r="2689" customFormat="false" ht="15" hidden="false" customHeight="false" outlineLevel="0" collapsed="false">
      <c r="G2689" s="41" t="str">
        <f aca="false">IF(E2689="","",IFERROR(IF(ISNUMBER(SEARCH(Assumptions!$C$5,E2689)),Assumptions!$D$5,IF(ISNUMBER(SEARCH(Assumptions!$C$6,E2689)),Assumptions!$D$6,IF(ISNUMBER(SEARCH(Assumptions!$C$7,E2689)),Assumptions!$D$7,"Other Services"))),"Other Services"))</f>
        <v/>
      </c>
    </row>
    <row r="2690" customFormat="false" ht="15" hidden="false" customHeight="false" outlineLevel="0" collapsed="false">
      <c r="G2690" s="41" t="str">
        <f aca="false">IF(E2690="","",IFERROR(IF(ISNUMBER(SEARCH(Assumptions!$C$5,E2690)),Assumptions!$D$5,IF(ISNUMBER(SEARCH(Assumptions!$C$6,E2690)),Assumptions!$D$6,IF(ISNUMBER(SEARCH(Assumptions!$C$7,E2690)),Assumptions!$D$7,"Other Services"))),"Other Services"))</f>
        <v/>
      </c>
    </row>
    <row r="2691" customFormat="false" ht="15" hidden="false" customHeight="false" outlineLevel="0" collapsed="false">
      <c r="G2691" s="41" t="str">
        <f aca="false">IF(E2691="","",IFERROR(IF(ISNUMBER(SEARCH(Assumptions!$C$5,E2691)),Assumptions!$D$5,IF(ISNUMBER(SEARCH(Assumptions!$C$6,E2691)),Assumptions!$D$6,IF(ISNUMBER(SEARCH(Assumptions!$C$7,E2691)),Assumptions!$D$7,"Other Services"))),"Other Services"))</f>
        <v/>
      </c>
    </row>
    <row r="2692" customFormat="false" ht="15" hidden="false" customHeight="false" outlineLevel="0" collapsed="false">
      <c r="G2692" s="41" t="str">
        <f aca="false">IF(E2692="","",IFERROR(IF(ISNUMBER(SEARCH(Assumptions!$C$5,E2692)),Assumptions!$D$5,IF(ISNUMBER(SEARCH(Assumptions!$C$6,E2692)),Assumptions!$D$6,IF(ISNUMBER(SEARCH(Assumptions!$C$7,E2692)),Assumptions!$D$7,"Other Services"))),"Other Services"))</f>
        <v/>
      </c>
    </row>
    <row r="2693" customFormat="false" ht="15" hidden="false" customHeight="false" outlineLevel="0" collapsed="false">
      <c r="G2693" s="41" t="str">
        <f aca="false">IF(E2693="","",IFERROR(IF(ISNUMBER(SEARCH(Assumptions!$C$5,E2693)),Assumptions!$D$5,IF(ISNUMBER(SEARCH(Assumptions!$C$6,E2693)),Assumptions!$D$6,IF(ISNUMBER(SEARCH(Assumptions!$C$7,E2693)),Assumptions!$D$7,"Other Services"))),"Other Services"))</f>
        <v/>
      </c>
    </row>
    <row r="2694" customFormat="false" ht="15" hidden="false" customHeight="false" outlineLevel="0" collapsed="false">
      <c r="G2694" s="41" t="str">
        <f aca="false">IF(E2694="","",IFERROR(IF(ISNUMBER(SEARCH(Assumptions!$C$5,E2694)),Assumptions!$D$5,IF(ISNUMBER(SEARCH(Assumptions!$C$6,E2694)),Assumptions!$D$6,IF(ISNUMBER(SEARCH(Assumptions!$C$7,E2694)),Assumptions!$D$7,"Other Services"))),"Other Services"))</f>
        <v/>
      </c>
    </row>
    <row r="2695" customFormat="false" ht="15" hidden="false" customHeight="false" outlineLevel="0" collapsed="false">
      <c r="G2695" s="41" t="str">
        <f aca="false">IF(E2695="","",IFERROR(IF(ISNUMBER(SEARCH(Assumptions!$C$5,E2695)),Assumptions!$D$5,IF(ISNUMBER(SEARCH(Assumptions!$C$6,E2695)),Assumptions!$D$6,IF(ISNUMBER(SEARCH(Assumptions!$C$7,E2695)),Assumptions!$D$7,"Other Services"))),"Other Services"))</f>
        <v/>
      </c>
    </row>
    <row r="2696" customFormat="false" ht="15" hidden="false" customHeight="false" outlineLevel="0" collapsed="false">
      <c r="G2696" s="41" t="str">
        <f aca="false">IF(E2696="","",IFERROR(IF(ISNUMBER(SEARCH(Assumptions!$C$5,E2696)),Assumptions!$D$5,IF(ISNUMBER(SEARCH(Assumptions!$C$6,E2696)),Assumptions!$D$6,IF(ISNUMBER(SEARCH(Assumptions!$C$7,E2696)),Assumptions!$D$7,"Other Services"))),"Other Services"))</f>
        <v/>
      </c>
    </row>
    <row r="2697" customFormat="false" ht="15" hidden="false" customHeight="false" outlineLevel="0" collapsed="false">
      <c r="G2697" s="41" t="str">
        <f aca="false">IF(E2697="","",IFERROR(IF(ISNUMBER(SEARCH(Assumptions!$C$5,E2697)),Assumptions!$D$5,IF(ISNUMBER(SEARCH(Assumptions!$C$6,E2697)),Assumptions!$D$6,IF(ISNUMBER(SEARCH(Assumptions!$C$7,E2697)),Assumptions!$D$7,"Other Services"))),"Other Services"))</f>
        <v/>
      </c>
    </row>
    <row r="2698" customFormat="false" ht="15" hidden="false" customHeight="false" outlineLevel="0" collapsed="false">
      <c r="G2698" s="41" t="str">
        <f aca="false">IF(E2698="","",IFERROR(IF(ISNUMBER(SEARCH(Assumptions!$C$5,E2698)),Assumptions!$D$5,IF(ISNUMBER(SEARCH(Assumptions!$C$6,E2698)),Assumptions!$D$6,IF(ISNUMBER(SEARCH(Assumptions!$C$7,E2698)),Assumptions!$D$7,"Other Services"))),"Other Services"))</f>
        <v/>
      </c>
    </row>
    <row r="2699" customFormat="false" ht="15" hidden="false" customHeight="false" outlineLevel="0" collapsed="false">
      <c r="G2699" s="41" t="str">
        <f aca="false">IF(E2699="","",IFERROR(IF(ISNUMBER(SEARCH(Assumptions!$C$5,E2699)),Assumptions!$D$5,IF(ISNUMBER(SEARCH(Assumptions!$C$6,E2699)),Assumptions!$D$6,IF(ISNUMBER(SEARCH(Assumptions!$C$7,E2699)),Assumptions!$D$7,"Other Services"))),"Other Services"))</f>
        <v/>
      </c>
    </row>
    <row r="2700" customFormat="false" ht="15" hidden="false" customHeight="false" outlineLevel="0" collapsed="false">
      <c r="G2700" s="41" t="str">
        <f aca="false">IF(E2700="","",IFERROR(IF(ISNUMBER(SEARCH(Assumptions!$C$5,E2700)),Assumptions!$D$5,IF(ISNUMBER(SEARCH(Assumptions!$C$6,E2700)),Assumptions!$D$6,IF(ISNUMBER(SEARCH(Assumptions!$C$7,E2700)),Assumptions!$D$7,"Other Services"))),"Other Services"))</f>
        <v/>
      </c>
    </row>
    <row r="2701" customFormat="false" ht="15" hidden="false" customHeight="false" outlineLevel="0" collapsed="false">
      <c r="G2701" s="41" t="str">
        <f aca="false">IF(E2701="","",IFERROR(IF(ISNUMBER(SEARCH(Assumptions!$C$5,E2701)),Assumptions!$D$5,IF(ISNUMBER(SEARCH(Assumptions!$C$6,E2701)),Assumptions!$D$6,IF(ISNUMBER(SEARCH(Assumptions!$C$7,E2701)),Assumptions!$D$7,"Other Services"))),"Other Services"))</f>
        <v/>
      </c>
    </row>
    <row r="2702" customFormat="false" ht="15" hidden="false" customHeight="false" outlineLevel="0" collapsed="false">
      <c r="G2702" s="41" t="str">
        <f aca="false">IF(E2702="","",IFERROR(IF(ISNUMBER(SEARCH(Assumptions!$C$5,E2702)),Assumptions!$D$5,IF(ISNUMBER(SEARCH(Assumptions!$C$6,E2702)),Assumptions!$D$6,IF(ISNUMBER(SEARCH(Assumptions!$C$7,E2702)),Assumptions!$D$7,"Other Services"))),"Other Services"))</f>
        <v/>
      </c>
    </row>
    <row r="2703" customFormat="false" ht="15" hidden="false" customHeight="false" outlineLevel="0" collapsed="false">
      <c r="G2703" s="41" t="str">
        <f aca="false">IF(E2703="","",IFERROR(IF(ISNUMBER(SEARCH(Assumptions!$C$5,E2703)),Assumptions!$D$5,IF(ISNUMBER(SEARCH(Assumptions!$C$6,E2703)),Assumptions!$D$6,IF(ISNUMBER(SEARCH(Assumptions!$C$7,E2703)),Assumptions!$D$7,"Other Services"))),"Other Services"))</f>
        <v/>
      </c>
    </row>
    <row r="2704" customFormat="false" ht="15" hidden="false" customHeight="false" outlineLevel="0" collapsed="false">
      <c r="G2704" s="41" t="str">
        <f aca="false">IF(E2704="","",IFERROR(IF(ISNUMBER(SEARCH(Assumptions!$C$5,E2704)),Assumptions!$D$5,IF(ISNUMBER(SEARCH(Assumptions!$C$6,E2704)),Assumptions!$D$6,IF(ISNUMBER(SEARCH(Assumptions!$C$7,E2704)),Assumptions!$D$7,"Other Services"))),"Other Services"))</f>
        <v/>
      </c>
    </row>
    <row r="2705" customFormat="false" ht="15" hidden="false" customHeight="false" outlineLevel="0" collapsed="false">
      <c r="G2705" s="41" t="str">
        <f aca="false">IF(E2705="","",IFERROR(IF(ISNUMBER(SEARCH(Assumptions!$C$5,E2705)),Assumptions!$D$5,IF(ISNUMBER(SEARCH(Assumptions!$C$6,E2705)),Assumptions!$D$6,IF(ISNUMBER(SEARCH(Assumptions!$C$7,E2705)),Assumptions!$D$7,"Other Services"))),"Other Services"))</f>
        <v/>
      </c>
    </row>
    <row r="2706" customFormat="false" ht="15" hidden="false" customHeight="false" outlineLevel="0" collapsed="false">
      <c r="G2706" s="41" t="str">
        <f aca="false">IF(E2706="","",IFERROR(IF(ISNUMBER(SEARCH(Assumptions!$C$5,E2706)),Assumptions!$D$5,IF(ISNUMBER(SEARCH(Assumptions!$C$6,E2706)),Assumptions!$D$6,IF(ISNUMBER(SEARCH(Assumptions!$C$7,E2706)),Assumptions!$D$7,"Other Services"))),"Other Services"))</f>
        <v/>
      </c>
    </row>
    <row r="2707" customFormat="false" ht="15" hidden="false" customHeight="false" outlineLevel="0" collapsed="false">
      <c r="G2707" s="41" t="str">
        <f aca="false">IF(E2707="","",IFERROR(IF(ISNUMBER(SEARCH(Assumptions!$C$5,E2707)),Assumptions!$D$5,IF(ISNUMBER(SEARCH(Assumptions!$C$6,E2707)),Assumptions!$D$6,IF(ISNUMBER(SEARCH(Assumptions!$C$7,E2707)),Assumptions!$D$7,"Other Services"))),"Other Services"))</f>
        <v/>
      </c>
    </row>
    <row r="2708" customFormat="false" ht="15" hidden="false" customHeight="false" outlineLevel="0" collapsed="false">
      <c r="G2708" s="41" t="str">
        <f aca="false">IF(E2708="","",IFERROR(IF(ISNUMBER(SEARCH(Assumptions!$C$5,E2708)),Assumptions!$D$5,IF(ISNUMBER(SEARCH(Assumptions!$C$6,E2708)),Assumptions!$D$6,IF(ISNUMBER(SEARCH(Assumptions!$C$7,E2708)),Assumptions!$D$7,"Other Services"))),"Other Services"))</f>
        <v/>
      </c>
    </row>
    <row r="2709" customFormat="false" ht="15" hidden="false" customHeight="false" outlineLevel="0" collapsed="false">
      <c r="G2709" s="41" t="str">
        <f aca="false">IF(E2709="","",IFERROR(IF(ISNUMBER(SEARCH(Assumptions!$C$5,E2709)),Assumptions!$D$5,IF(ISNUMBER(SEARCH(Assumptions!$C$6,E2709)),Assumptions!$D$6,IF(ISNUMBER(SEARCH(Assumptions!$C$7,E2709)),Assumptions!$D$7,"Other Services"))),"Other Services"))</f>
        <v/>
      </c>
    </row>
    <row r="2710" customFormat="false" ht="15" hidden="false" customHeight="false" outlineLevel="0" collapsed="false">
      <c r="G2710" s="41" t="str">
        <f aca="false">IF(E2710="","",IFERROR(IF(ISNUMBER(SEARCH(Assumptions!$C$5,E2710)),Assumptions!$D$5,IF(ISNUMBER(SEARCH(Assumptions!$C$6,E2710)),Assumptions!$D$6,IF(ISNUMBER(SEARCH(Assumptions!$C$7,E2710)),Assumptions!$D$7,"Other Services"))),"Other Services"))</f>
        <v/>
      </c>
    </row>
    <row r="2711" customFormat="false" ht="15" hidden="false" customHeight="false" outlineLevel="0" collapsed="false">
      <c r="G2711" s="41" t="str">
        <f aca="false">IF(E2711="","",IFERROR(IF(ISNUMBER(SEARCH(Assumptions!$C$5,E2711)),Assumptions!$D$5,IF(ISNUMBER(SEARCH(Assumptions!$C$6,E2711)),Assumptions!$D$6,IF(ISNUMBER(SEARCH(Assumptions!$C$7,E2711)),Assumptions!$D$7,"Other Services"))),"Other Services"))</f>
        <v/>
      </c>
    </row>
    <row r="2712" customFormat="false" ht="15" hidden="false" customHeight="false" outlineLevel="0" collapsed="false">
      <c r="G2712" s="41" t="str">
        <f aca="false">IF(E2712="","",IFERROR(IF(ISNUMBER(SEARCH(Assumptions!$C$5,E2712)),Assumptions!$D$5,IF(ISNUMBER(SEARCH(Assumptions!$C$6,E2712)),Assumptions!$D$6,IF(ISNUMBER(SEARCH(Assumptions!$C$7,E2712)),Assumptions!$D$7,"Other Services"))),"Other Services"))</f>
        <v/>
      </c>
    </row>
    <row r="2713" customFormat="false" ht="15" hidden="false" customHeight="false" outlineLevel="0" collapsed="false">
      <c r="G2713" s="41" t="str">
        <f aca="false">IF(E2713="","",IFERROR(IF(ISNUMBER(SEARCH(Assumptions!$C$5,E2713)),Assumptions!$D$5,IF(ISNUMBER(SEARCH(Assumptions!$C$6,E2713)),Assumptions!$D$6,IF(ISNUMBER(SEARCH(Assumptions!$C$7,E2713)),Assumptions!$D$7,"Other Services"))),"Other Services"))</f>
        <v/>
      </c>
    </row>
    <row r="2714" customFormat="false" ht="15" hidden="false" customHeight="false" outlineLevel="0" collapsed="false">
      <c r="G2714" s="41" t="str">
        <f aca="false">IF(E2714="","",IFERROR(IF(ISNUMBER(SEARCH(Assumptions!$C$5,E2714)),Assumptions!$D$5,IF(ISNUMBER(SEARCH(Assumptions!$C$6,E2714)),Assumptions!$D$6,IF(ISNUMBER(SEARCH(Assumptions!$C$7,E2714)),Assumptions!$D$7,"Other Services"))),"Other Services"))</f>
        <v/>
      </c>
    </row>
    <row r="2715" customFormat="false" ht="15" hidden="false" customHeight="false" outlineLevel="0" collapsed="false">
      <c r="G2715" s="41" t="str">
        <f aca="false">IF(E2715="","",IFERROR(IF(ISNUMBER(SEARCH(Assumptions!$C$5,E2715)),Assumptions!$D$5,IF(ISNUMBER(SEARCH(Assumptions!$C$6,E2715)),Assumptions!$D$6,IF(ISNUMBER(SEARCH(Assumptions!$C$7,E2715)),Assumptions!$D$7,"Other Services"))),"Other Services"))</f>
        <v/>
      </c>
    </row>
    <row r="2716" customFormat="false" ht="15" hidden="false" customHeight="false" outlineLevel="0" collapsed="false">
      <c r="G2716" s="41" t="str">
        <f aca="false">IF(E2716="","",IFERROR(IF(ISNUMBER(SEARCH(Assumptions!$C$5,E2716)),Assumptions!$D$5,IF(ISNUMBER(SEARCH(Assumptions!$C$6,E2716)),Assumptions!$D$6,IF(ISNUMBER(SEARCH(Assumptions!$C$7,E2716)),Assumptions!$D$7,"Other Services"))),"Other Services"))</f>
        <v/>
      </c>
    </row>
    <row r="2717" customFormat="false" ht="15" hidden="false" customHeight="false" outlineLevel="0" collapsed="false">
      <c r="G2717" s="41" t="str">
        <f aca="false">IF(E2717="","",IFERROR(IF(ISNUMBER(SEARCH(Assumptions!$C$5,E2717)),Assumptions!$D$5,IF(ISNUMBER(SEARCH(Assumptions!$C$6,E2717)),Assumptions!$D$6,IF(ISNUMBER(SEARCH(Assumptions!$C$7,E2717)),Assumptions!$D$7,"Other Services"))),"Other Services"))</f>
        <v/>
      </c>
    </row>
    <row r="2718" customFormat="false" ht="15" hidden="false" customHeight="false" outlineLevel="0" collapsed="false">
      <c r="G2718" s="41" t="str">
        <f aca="false">IF(E2718="","",IFERROR(IF(ISNUMBER(SEARCH(Assumptions!$C$5,E2718)),Assumptions!$D$5,IF(ISNUMBER(SEARCH(Assumptions!$C$6,E2718)),Assumptions!$D$6,IF(ISNUMBER(SEARCH(Assumptions!$C$7,E2718)),Assumptions!$D$7,"Other Services"))),"Other Services"))</f>
        <v/>
      </c>
    </row>
    <row r="2719" customFormat="false" ht="15" hidden="false" customHeight="false" outlineLevel="0" collapsed="false">
      <c r="G2719" s="41" t="str">
        <f aca="false">IF(E2719="","",IFERROR(IF(ISNUMBER(SEARCH(Assumptions!$C$5,E2719)),Assumptions!$D$5,IF(ISNUMBER(SEARCH(Assumptions!$C$6,E2719)),Assumptions!$D$6,IF(ISNUMBER(SEARCH(Assumptions!$C$7,E2719)),Assumptions!$D$7,"Other Services"))),"Other Services"))</f>
        <v/>
      </c>
    </row>
    <row r="2720" customFormat="false" ht="15" hidden="false" customHeight="false" outlineLevel="0" collapsed="false">
      <c r="G2720" s="41" t="str">
        <f aca="false">IF(E2720="","",IFERROR(IF(ISNUMBER(SEARCH(Assumptions!$C$5,E2720)),Assumptions!$D$5,IF(ISNUMBER(SEARCH(Assumptions!$C$6,E2720)),Assumptions!$D$6,IF(ISNUMBER(SEARCH(Assumptions!$C$7,E2720)),Assumptions!$D$7,"Other Services"))),"Other Services"))</f>
        <v/>
      </c>
    </row>
    <row r="2721" customFormat="false" ht="15" hidden="false" customHeight="false" outlineLevel="0" collapsed="false">
      <c r="G2721" s="41" t="str">
        <f aca="false">IF(E2721="","",IFERROR(IF(ISNUMBER(SEARCH(Assumptions!$C$5,E2721)),Assumptions!$D$5,IF(ISNUMBER(SEARCH(Assumptions!$C$6,E2721)),Assumptions!$D$6,IF(ISNUMBER(SEARCH(Assumptions!$C$7,E2721)),Assumptions!$D$7,"Other Services"))),"Other Services"))</f>
        <v/>
      </c>
    </row>
    <row r="2722" customFormat="false" ht="15" hidden="false" customHeight="false" outlineLevel="0" collapsed="false">
      <c r="G2722" s="41" t="str">
        <f aca="false">IF(E2722="","",IFERROR(IF(ISNUMBER(SEARCH(Assumptions!$C$5,E2722)),Assumptions!$D$5,IF(ISNUMBER(SEARCH(Assumptions!$C$6,E2722)),Assumptions!$D$6,IF(ISNUMBER(SEARCH(Assumptions!$C$7,E2722)),Assumptions!$D$7,"Other Services"))),"Other Services"))</f>
        <v/>
      </c>
    </row>
    <row r="2723" customFormat="false" ht="15" hidden="false" customHeight="false" outlineLevel="0" collapsed="false">
      <c r="G2723" s="41" t="str">
        <f aca="false">IF(E2723="","",IFERROR(IF(ISNUMBER(SEARCH(Assumptions!$C$5,E2723)),Assumptions!$D$5,IF(ISNUMBER(SEARCH(Assumptions!$C$6,E2723)),Assumptions!$D$6,IF(ISNUMBER(SEARCH(Assumptions!$C$7,E2723)),Assumptions!$D$7,"Other Services"))),"Other Services"))</f>
        <v/>
      </c>
    </row>
    <row r="2724" customFormat="false" ht="15" hidden="false" customHeight="false" outlineLevel="0" collapsed="false">
      <c r="G2724" s="41" t="str">
        <f aca="false">IF(E2724="","",IFERROR(IF(ISNUMBER(SEARCH(Assumptions!$C$5,E2724)),Assumptions!$D$5,IF(ISNUMBER(SEARCH(Assumptions!$C$6,E2724)),Assumptions!$D$6,IF(ISNUMBER(SEARCH(Assumptions!$C$7,E2724)),Assumptions!$D$7,"Other Services"))),"Other Services"))</f>
        <v/>
      </c>
    </row>
    <row r="2725" customFormat="false" ht="15" hidden="false" customHeight="false" outlineLevel="0" collapsed="false">
      <c r="G2725" s="41" t="str">
        <f aca="false">IF(E2725="","",IFERROR(IF(ISNUMBER(SEARCH(Assumptions!$C$5,E2725)),Assumptions!$D$5,IF(ISNUMBER(SEARCH(Assumptions!$C$6,E2725)),Assumptions!$D$6,IF(ISNUMBER(SEARCH(Assumptions!$C$7,E2725)),Assumptions!$D$7,"Other Services"))),"Other Services"))</f>
        <v/>
      </c>
    </row>
    <row r="2726" customFormat="false" ht="15" hidden="false" customHeight="false" outlineLevel="0" collapsed="false">
      <c r="G2726" s="41" t="str">
        <f aca="false">IF(E2726="","",IFERROR(IF(ISNUMBER(SEARCH(Assumptions!$C$5,E2726)),Assumptions!$D$5,IF(ISNUMBER(SEARCH(Assumptions!$C$6,E2726)),Assumptions!$D$6,IF(ISNUMBER(SEARCH(Assumptions!$C$7,E2726)),Assumptions!$D$7,"Other Services"))),"Other Services"))</f>
        <v/>
      </c>
    </row>
    <row r="2727" customFormat="false" ht="15" hidden="false" customHeight="false" outlineLevel="0" collapsed="false">
      <c r="G2727" s="41" t="str">
        <f aca="false">IF(E2727="","",IFERROR(IF(ISNUMBER(SEARCH(Assumptions!$C$5,E2727)),Assumptions!$D$5,IF(ISNUMBER(SEARCH(Assumptions!$C$6,E2727)),Assumptions!$D$6,IF(ISNUMBER(SEARCH(Assumptions!$C$7,E2727)),Assumptions!$D$7,"Other Services"))),"Other Services"))</f>
        <v/>
      </c>
    </row>
    <row r="2728" customFormat="false" ht="15" hidden="false" customHeight="false" outlineLevel="0" collapsed="false">
      <c r="G2728" s="41" t="str">
        <f aca="false">IF(E2728="","",IFERROR(IF(ISNUMBER(SEARCH(Assumptions!$C$5,E2728)),Assumptions!$D$5,IF(ISNUMBER(SEARCH(Assumptions!$C$6,E2728)),Assumptions!$D$6,IF(ISNUMBER(SEARCH(Assumptions!$C$7,E2728)),Assumptions!$D$7,"Other Services"))),"Other Services"))</f>
        <v/>
      </c>
    </row>
    <row r="2729" customFormat="false" ht="15" hidden="false" customHeight="false" outlineLevel="0" collapsed="false">
      <c r="G2729" s="41" t="str">
        <f aca="false">IF(E2729="","",IFERROR(IF(ISNUMBER(SEARCH(Assumptions!$C$5,E2729)),Assumptions!$D$5,IF(ISNUMBER(SEARCH(Assumptions!$C$6,E2729)),Assumptions!$D$6,IF(ISNUMBER(SEARCH(Assumptions!$C$7,E2729)),Assumptions!$D$7,"Other Services"))),"Other Services"))</f>
        <v/>
      </c>
    </row>
    <row r="2730" customFormat="false" ht="15" hidden="false" customHeight="false" outlineLevel="0" collapsed="false">
      <c r="G2730" s="41" t="str">
        <f aca="false">IF(E2730="","",IFERROR(IF(ISNUMBER(SEARCH(Assumptions!$C$5,E2730)),Assumptions!$D$5,IF(ISNUMBER(SEARCH(Assumptions!$C$6,E2730)),Assumptions!$D$6,IF(ISNUMBER(SEARCH(Assumptions!$C$7,E2730)),Assumptions!$D$7,"Other Services"))),"Other Services"))</f>
        <v/>
      </c>
    </row>
    <row r="2731" customFormat="false" ht="15" hidden="false" customHeight="false" outlineLevel="0" collapsed="false">
      <c r="G2731" s="41" t="str">
        <f aca="false">IF(E2731="","",IFERROR(IF(ISNUMBER(SEARCH(Assumptions!$C$5,E2731)),Assumptions!$D$5,IF(ISNUMBER(SEARCH(Assumptions!$C$6,E2731)),Assumptions!$D$6,IF(ISNUMBER(SEARCH(Assumptions!$C$7,E2731)),Assumptions!$D$7,"Other Services"))),"Other Services"))</f>
        <v/>
      </c>
    </row>
    <row r="2732" customFormat="false" ht="15" hidden="false" customHeight="false" outlineLevel="0" collapsed="false">
      <c r="G2732" s="41" t="str">
        <f aca="false">IF(E2732="","",IFERROR(IF(ISNUMBER(SEARCH(Assumptions!$C$5,E2732)),Assumptions!$D$5,IF(ISNUMBER(SEARCH(Assumptions!$C$6,E2732)),Assumptions!$D$6,IF(ISNUMBER(SEARCH(Assumptions!$C$7,E2732)),Assumptions!$D$7,"Other Services"))),"Other Services"))</f>
        <v/>
      </c>
    </row>
    <row r="2733" customFormat="false" ht="15" hidden="false" customHeight="false" outlineLevel="0" collapsed="false">
      <c r="G2733" s="41" t="str">
        <f aca="false">IF(E2733="","",IFERROR(IF(ISNUMBER(SEARCH(Assumptions!$C$5,E2733)),Assumptions!$D$5,IF(ISNUMBER(SEARCH(Assumptions!$C$6,E2733)),Assumptions!$D$6,IF(ISNUMBER(SEARCH(Assumptions!$C$7,E2733)),Assumptions!$D$7,"Other Services"))),"Other Services"))</f>
        <v/>
      </c>
    </row>
    <row r="2734" customFormat="false" ht="15" hidden="false" customHeight="false" outlineLevel="0" collapsed="false">
      <c r="G2734" s="41" t="str">
        <f aca="false">IF(E2734="","",IFERROR(IF(ISNUMBER(SEARCH(Assumptions!$C$5,E2734)),Assumptions!$D$5,IF(ISNUMBER(SEARCH(Assumptions!$C$6,E2734)),Assumptions!$D$6,IF(ISNUMBER(SEARCH(Assumptions!$C$7,E2734)),Assumptions!$D$7,"Other Services"))),"Other Services"))</f>
        <v/>
      </c>
    </row>
    <row r="2735" customFormat="false" ht="15" hidden="false" customHeight="false" outlineLevel="0" collapsed="false">
      <c r="G2735" s="41" t="str">
        <f aca="false">IF(E2735="","",IFERROR(IF(ISNUMBER(SEARCH(Assumptions!$C$5,E2735)),Assumptions!$D$5,IF(ISNUMBER(SEARCH(Assumptions!$C$6,E2735)),Assumptions!$D$6,IF(ISNUMBER(SEARCH(Assumptions!$C$7,E2735)),Assumptions!$D$7,"Other Services"))),"Other Services"))</f>
        <v/>
      </c>
    </row>
    <row r="2736" customFormat="false" ht="15" hidden="false" customHeight="false" outlineLevel="0" collapsed="false">
      <c r="G2736" s="41" t="str">
        <f aca="false">IF(E2736="","",IFERROR(IF(ISNUMBER(SEARCH(Assumptions!$C$5,E2736)),Assumptions!$D$5,IF(ISNUMBER(SEARCH(Assumptions!$C$6,E2736)),Assumptions!$D$6,IF(ISNUMBER(SEARCH(Assumptions!$C$7,E2736)),Assumptions!$D$7,"Other Services"))),"Other Services"))</f>
        <v/>
      </c>
    </row>
    <row r="2737" customFormat="false" ht="15" hidden="false" customHeight="false" outlineLevel="0" collapsed="false">
      <c r="G2737" s="41" t="str">
        <f aca="false">IF(E2737="","",IFERROR(IF(ISNUMBER(SEARCH(Assumptions!$C$5,E2737)),Assumptions!$D$5,IF(ISNUMBER(SEARCH(Assumptions!$C$6,E2737)),Assumptions!$D$6,IF(ISNUMBER(SEARCH(Assumptions!$C$7,E2737)),Assumptions!$D$7,"Other Services"))),"Other Services"))</f>
        <v/>
      </c>
    </row>
    <row r="2738" customFormat="false" ht="15" hidden="false" customHeight="false" outlineLevel="0" collapsed="false">
      <c r="G2738" s="41" t="str">
        <f aca="false">IF(E2738="","",IFERROR(IF(ISNUMBER(SEARCH(Assumptions!$C$5,E2738)),Assumptions!$D$5,IF(ISNUMBER(SEARCH(Assumptions!$C$6,E2738)),Assumptions!$D$6,IF(ISNUMBER(SEARCH(Assumptions!$C$7,E2738)),Assumptions!$D$7,"Other Services"))),"Other Services"))</f>
        <v/>
      </c>
    </row>
    <row r="2739" customFormat="false" ht="15" hidden="false" customHeight="false" outlineLevel="0" collapsed="false">
      <c r="G2739" s="41" t="str">
        <f aca="false">IF(E2739="","",IFERROR(IF(ISNUMBER(SEARCH(Assumptions!$C$5,E2739)),Assumptions!$D$5,IF(ISNUMBER(SEARCH(Assumptions!$C$6,E2739)),Assumptions!$D$6,IF(ISNUMBER(SEARCH(Assumptions!$C$7,E2739)),Assumptions!$D$7,"Other Services"))),"Other Services"))</f>
        <v/>
      </c>
    </row>
    <row r="2740" customFormat="false" ht="15" hidden="false" customHeight="false" outlineLevel="0" collapsed="false">
      <c r="G2740" s="41" t="str">
        <f aca="false">IF(E2740="","",IFERROR(IF(ISNUMBER(SEARCH(Assumptions!$C$5,E2740)),Assumptions!$D$5,IF(ISNUMBER(SEARCH(Assumptions!$C$6,E2740)),Assumptions!$D$6,IF(ISNUMBER(SEARCH(Assumptions!$C$7,E2740)),Assumptions!$D$7,"Other Services"))),"Other Services"))</f>
        <v/>
      </c>
    </row>
    <row r="2741" customFormat="false" ht="15" hidden="false" customHeight="false" outlineLevel="0" collapsed="false">
      <c r="G2741" s="41" t="str">
        <f aca="false">IF(E2741="","",IFERROR(IF(ISNUMBER(SEARCH(Assumptions!$C$5,E2741)),Assumptions!$D$5,IF(ISNUMBER(SEARCH(Assumptions!$C$6,E2741)),Assumptions!$D$6,IF(ISNUMBER(SEARCH(Assumptions!$C$7,E2741)),Assumptions!$D$7,"Other Services"))),"Other Services"))</f>
        <v/>
      </c>
    </row>
    <row r="2742" customFormat="false" ht="15" hidden="false" customHeight="false" outlineLevel="0" collapsed="false">
      <c r="G2742" s="41" t="str">
        <f aca="false">IF(E2742="","",IFERROR(IF(ISNUMBER(SEARCH(Assumptions!$C$5,E2742)),Assumptions!$D$5,IF(ISNUMBER(SEARCH(Assumptions!$C$6,E2742)),Assumptions!$D$6,IF(ISNUMBER(SEARCH(Assumptions!$C$7,E2742)),Assumptions!$D$7,"Other Services"))),"Other Services"))</f>
        <v/>
      </c>
    </row>
    <row r="2743" customFormat="false" ht="15" hidden="false" customHeight="false" outlineLevel="0" collapsed="false">
      <c r="G2743" s="41" t="str">
        <f aca="false">IF(E2743="","",IFERROR(IF(ISNUMBER(SEARCH(Assumptions!$C$5,E2743)),Assumptions!$D$5,IF(ISNUMBER(SEARCH(Assumptions!$C$6,E2743)),Assumptions!$D$6,IF(ISNUMBER(SEARCH(Assumptions!$C$7,E2743)),Assumptions!$D$7,"Other Services"))),"Other Services"))</f>
        <v/>
      </c>
    </row>
    <row r="2744" customFormat="false" ht="15" hidden="false" customHeight="false" outlineLevel="0" collapsed="false">
      <c r="G2744" s="41" t="str">
        <f aca="false">IF(E2744="","",IFERROR(IF(ISNUMBER(SEARCH(Assumptions!$C$5,E2744)),Assumptions!$D$5,IF(ISNUMBER(SEARCH(Assumptions!$C$6,E2744)),Assumptions!$D$6,IF(ISNUMBER(SEARCH(Assumptions!$C$7,E2744)),Assumptions!$D$7,"Other Services"))),"Other Services"))</f>
        <v/>
      </c>
    </row>
    <row r="2745" customFormat="false" ht="15" hidden="false" customHeight="false" outlineLevel="0" collapsed="false">
      <c r="G2745" s="41" t="str">
        <f aca="false">IF(E2745="","",IFERROR(IF(ISNUMBER(SEARCH(Assumptions!$C$5,E2745)),Assumptions!$D$5,IF(ISNUMBER(SEARCH(Assumptions!$C$6,E2745)),Assumptions!$D$6,IF(ISNUMBER(SEARCH(Assumptions!$C$7,E2745)),Assumptions!$D$7,"Other Services"))),"Other Services"))</f>
        <v/>
      </c>
    </row>
    <row r="2746" customFormat="false" ht="15" hidden="false" customHeight="false" outlineLevel="0" collapsed="false">
      <c r="G2746" s="41" t="str">
        <f aca="false">IF(E2746="","",IFERROR(IF(ISNUMBER(SEARCH(Assumptions!$C$5,E2746)),Assumptions!$D$5,IF(ISNUMBER(SEARCH(Assumptions!$C$6,E2746)),Assumptions!$D$6,IF(ISNUMBER(SEARCH(Assumptions!$C$7,E2746)),Assumptions!$D$7,"Other Services"))),"Other Services"))</f>
        <v/>
      </c>
    </row>
    <row r="2747" customFormat="false" ht="15" hidden="false" customHeight="false" outlineLevel="0" collapsed="false">
      <c r="G2747" s="41" t="str">
        <f aca="false">IF(E2747="","",IFERROR(IF(ISNUMBER(SEARCH(Assumptions!$C$5,E2747)),Assumptions!$D$5,IF(ISNUMBER(SEARCH(Assumptions!$C$6,E2747)),Assumptions!$D$6,IF(ISNUMBER(SEARCH(Assumptions!$C$7,E2747)),Assumptions!$D$7,"Other Services"))),"Other Services"))</f>
        <v/>
      </c>
    </row>
    <row r="2748" customFormat="false" ht="15" hidden="false" customHeight="false" outlineLevel="0" collapsed="false">
      <c r="G2748" s="41" t="str">
        <f aca="false">IF(E2748="","",IFERROR(IF(ISNUMBER(SEARCH(Assumptions!$C$5,E2748)),Assumptions!$D$5,IF(ISNUMBER(SEARCH(Assumptions!$C$6,E2748)),Assumptions!$D$6,IF(ISNUMBER(SEARCH(Assumptions!$C$7,E2748)),Assumptions!$D$7,"Other Services"))),"Other Services"))</f>
        <v/>
      </c>
    </row>
    <row r="2749" customFormat="false" ht="15" hidden="false" customHeight="false" outlineLevel="0" collapsed="false">
      <c r="G2749" s="41" t="str">
        <f aca="false">IF(E2749="","",IFERROR(IF(ISNUMBER(SEARCH(Assumptions!$C$5,E2749)),Assumptions!$D$5,IF(ISNUMBER(SEARCH(Assumptions!$C$6,E2749)),Assumptions!$D$6,IF(ISNUMBER(SEARCH(Assumptions!$C$7,E2749)),Assumptions!$D$7,"Other Services"))),"Other Services"))</f>
        <v/>
      </c>
    </row>
    <row r="2750" customFormat="false" ht="15" hidden="false" customHeight="false" outlineLevel="0" collapsed="false">
      <c r="G2750" s="41" t="str">
        <f aca="false">IF(E2750="","",IFERROR(IF(ISNUMBER(SEARCH(Assumptions!$C$5,E2750)),Assumptions!$D$5,IF(ISNUMBER(SEARCH(Assumptions!$C$6,E2750)),Assumptions!$D$6,IF(ISNUMBER(SEARCH(Assumptions!$C$7,E2750)),Assumptions!$D$7,"Other Services"))),"Other Services"))</f>
        <v/>
      </c>
    </row>
    <row r="2751" customFormat="false" ht="15" hidden="false" customHeight="false" outlineLevel="0" collapsed="false">
      <c r="G2751" s="41" t="str">
        <f aca="false">IF(E2751="","",IFERROR(IF(ISNUMBER(SEARCH(Assumptions!$C$5,E2751)),Assumptions!$D$5,IF(ISNUMBER(SEARCH(Assumptions!$C$6,E2751)),Assumptions!$D$6,IF(ISNUMBER(SEARCH(Assumptions!$C$7,E2751)),Assumptions!$D$7,"Other Services"))),"Other Services"))</f>
        <v/>
      </c>
    </row>
    <row r="2752" customFormat="false" ht="15" hidden="false" customHeight="false" outlineLevel="0" collapsed="false">
      <c r="G2752" s="41" t="str">
        <f aca="false">IF(E2752="","",IFERROR(IF(ISNUMBER(SEARCH(Assumptions!$C$5,E2752)),Assumptions!$D$5,IF(ISNUMBER(SEARCH(Assumptions!$C$6,E2752)),Assumptions!$D$6,IF(ISNUMBER(SEARCH(Assumptions!$C$7,E2752)),Assumptions!$D$7,"Other Services"))),"Other Services"))</f>
        <v/>
      </c>
    </row>
    <row r="2753" customFormat="false" ht="15" hidden="false" customHeight="false" outlineLevel="0" collapsed="false">
      <c r="G2753" s="41" t="str">
        <f aca="false">IF(E2753="","",IFERROR(IF(ISNUMBER(SEARCH(Assumptions!$C$5,E2753)),Assumptions!$D$5,IF(ISNUMBER(SEARCH(Assumptions!$C$6,E2753)),Assumptions!$D$6,IF(ISNUMBER(SEARCH(Assumptions!$C$7,E2753)),Assumptions!$D$7,"Other Services"))),"Other Services"))</f>
        <v/>
      </c>
    </row>
    <row r="2754" customFormat="false" ht="15" hidden="false" customHeight="false" outlineLevel="0" collapsed="false">
      <c r="G2754" s="41" t="str">
        <f aca="false">IF(E2754="","",IFERROR(IF(ISNUMBER(SEARCH(Assumptions!$C$5,E2754)),Assumptions!$D$5,IF(ISNUMBER(SEARCH(Assumptions!$C$6,E2754)),Assumptions!$D$6,IF(ISNUMBER(SEARCH(Assumptions!$C$7,E2754)),Assumptions!$D$7,"Other Services"))),"Other Services"))</f>
        <v/>
      </c>
    </row>
    <row r="2755" customFormat="false" ht="15" hidden="false" customHeight="false" outlineLevel="0" collapsed="false">
      <c r="G2755" s="41" t="str">
        <f aca="false">IF(E2755="","",IFERROR(IF(ISNUMBER(SEARCH(Assumptions!$C$5,E2755)),Assumptions!$D$5,IF(ISNUMBER(SEARCH(Assumptions!$C$6,E2755)),Assumptions!$D$6,IF(ISNUMBER(SEARCH(Assumptions!$C$7,E2755)),Assumptions!$D$7,"Other Services"))),"Other Services"))</f>
        <v/>
      </c>
    </row>
    <row r="2756" customFormat="false" ht="15" hidden="false" customHeight="false" outlineLevel="0" collapsed="false">
      <c r="G2756" s="41" t="str">
        <f aca="false">IF(E2756="","",IFERROR(IF(ISNUMBER(SEARCH(Assumptions!$C$5,E2756)),Assumptions!$D$5,IF(ISNUMBER(SEARCH(Assumptions!$C$6,E2756)),Assumptions!$D$6,IF(ISNUMBER(SEARCH(Assumptions!$C$7,E2756)),Assumptions!$D$7,"Other Services"))),"Other Services"))</f>
        <v/>
      </c>
    </row>
    <row r="2757" customFormat="false" ht="15" hidden="false" customHeight="false" outlineLevel="0" collapsed="false">
      <c r="G2757" s="41" t="str">
        <f aca="false">IF(E2757="","",IFERROR(IF(ISNUMBER(SEARCH(Assumptions!$C$5,E2757)),Assumptions!$D$5,IF(ISNUMBER(SEARCH(Assumptions!$C$6,E2757)),Assumptions!$D$6,IF(ISNUMBER(SEARCH(Assumptions!$C$7,E2757)),Assumptions!$D$7,"Other Services"))),"Other Services"))</f>
        <v/>
      </c>
    </row>
    <row r="2758" customFormat="false" ht="15" hidden="false" customHeight="false" outlineLevel="0" collapsed="false">
      <c r="G2758" s="41" t="str">
        <f aca="false">IF(E2758="","",IFERROR(IF(ISNUMBER(SEARCH(Assumptions!$C$5,E2758)),Assumptions!$D$5,IF(ISNUMBER(SEARCH(Assumptions!$C$6,E2758)),Assumptions!$D$6,IF(ISNUMBER(SEARCH(Assumptions!$C$7,E2758)),Assumptions!$D$7,"Other Services"))),"Other Services"))</f>
        <v/>
      </c>
    </row>
    <row r="2759" customFormat="false" ht="15" hidden="false" customHeight="false" outlineLevel="0" collapsed="false">
      <c r="G2759" s="41" t="str">
        <f aca="false">IF(E2759="","",IFERROR(IF(ISNUMBER(SEARCH(Assumptions!$C$5,E2759)),Assumptions!$D$5,IF(ISNUMBER(SEARCH(Assumptions!$C$6,E2759)),Assumptions!$D$6,IF(ISNUMBER(SEARCH(Assumptions!$C$7,E2759)),Assumptions!$D$7,"Other Services"))),"Other Services"))</f>
        <v/>
      </c>
    </row>
    <row r="2760" customFormat="false" ht="15" hidden="false" customHeight="false" outlineLevel="0" collapsed="false">
      <c r="G2760" s="41" t="str">
        <f aca="false">IF(E2760="","",IFERROR(IF(ISNUMBER(SEARCH(Assumptions!$C$5,E2760)),Assumptions!$D$5,IF(ISNUMBER(SEARCH(Assumptions!$C$6,E2760)),Assumptions!$D$6,IF(ISNUMBER(SEARCH(Assumptions!$C$7,E2760)),Assumptions!$D$7,"Other Services"))),"Other Services"))</f>
        <v/>
      </c>
    </row>
    <row r="2761" customFormat="false" ht="15" hidden="false" customHeight="false" outlineLevel="0" collapsed="false">
      <c r="G2761" s="41" t="str">
        <f aca="false">IF(E2761="","",IFERROR(IF(ISNUMBER(SEARCH(Assumptions!$C$5,E2761)),Assumptions!$D$5,IF(ISNUMBER(SEARCH(Assumptions!$C$6,E2761)),Assumptions!$D$6,IF(ISNUMBER(SEARCH(Assumptions!$C$7,E2761)),Assumptions!$D$7,"Other Services"))),"Other Services"))</f>
        <v/>
      </c>
    </row>
    <row r="2762" customFormat="false" ht="15" hidden="false" customHeight="false" outlineLevel="0" collapsed="false">
      <c r="G2762" s="41" t="str">
        <f aca="false">IF(E2762="","",IFERROR(IF(ISNUMBER(SEARCH(Assumptions!$C$5,E2762)),Assumptions!$D$5,IF(ISNUMBER(SEARCH(Assumptions!$C$6,E2762)),Assumptions!$D$6,IF(ISNUMBER(SEARCH(Assumptions!$C$7,E2762)),Assumptions!$D$7,"Other Services"))),"Other Services"))</f>
        <v/>
      </c>
    </row>
    <row r="2763" customFormat="false" ht="15" hidden="false" customHeight="false" outlineLevel="0" collapsed="false">
      <c r="G2763" s="41" t="str">
        <f aca="false">IF(E2763="","",IFERROR(IF(ISNUMBER(SEARCH(Assumptions!$C$5,E2763)),Assumptions!$D$5,IF(ISNUMBER(SEARCH(Assumptions!$C$6,E2763)),Assumptions!$D$6,IF(ISNUMBER(SEARCH(Assumptions!$C$7,E2763)),Assumptions!$D$7,"Other Services"))),"Other Services"))</f>
        <v/>
      </c>
    </row>
    <row r="2764" customFormat="false" ht="15" hidden="false" customHeight="false" outlineLevel="0" collapsed="false">
      <c r="G2764" s="41" t="str">
        <f aca="false">IF(E2764="","",IFERROR(IF(ISNUMBER(SEARCH(Assumptions!$C$5,E2764)),Assumptions!$D$5,IF(ISNUMBER(SEARCH(Assumptions!$C$6,E2764)),Assumptions!$D$6,IF(ISNUMBER(SEARCH(Assumptions!$C$7,E2764)),Assumptions!$D$7,"Other Services"))),"Other Services"))</f>
        <v/>
      </c>
    </row>
    <row r="2765" customFormat="false" ht="15" hidden="false" customHeight="false" outlineLevel="0" collapsed="false">
      <c r="G2765" s="41" t="str">
        <f aca="false">IF(E2765="","",IFERROR(IF(ISNUMBER(SEARCH(Assumptions!$C$5,E2765)),Assumptions!$D$5,IF(ISNUMBER(SEARCH(Assumptions!$C$6,E2765)),Assumptions!$D$6,IF(ISNUMBER(SEARCH(Assumptions!$C$7,E2765)),Assumptions!$D$7,"Other Services"))),"Other Services"))</f>
        <v/>
      </c>
    </row>
    <row r="2766" customFormat="false" ht="15" hidden="false" customHeight="false" outlineLevel="0" collapsed="false">
      <c r="G2766" s="41" t="str">
        <f aca="false">IF(E2766="","",IFERROR(IF(ISNUMBER(SEARCH(Assumptions!$C$5,E2766)),Assumptions!$D$5,IF(ISNUMBER(SEARCH(Assumptions!$C$6,E2766)),Assumptions!$D$6,IF(ISNUMBER(SEARCH(Assumptions!$C$7,E2766)),Assumptions!$D$7,"Other Services"))),"Other Services"))</f>
        <v/>
      </c>
    </row>
    <row r="2767" customFormat="false" ht="15" hidden="false" customHeight="false" outlineLevel="0" collapsed="false">
      <c r="G2767" s="41" t="str">
        <f aca="false">IF(E2767="","",IFERROR(IF(ISNUMBER(SEARCH(Assumptions!$C$5,E2767)),Assumptions!$D$5,IF(ISNUMBER(SEARCH(Assumptions!$C$6,E2767)),Assumptions!$D$6,IF(ISNUMBER(SEARCH(Assumptions!$C$7,E2767)),Assumptions!$D$7,"Other Services"))),"Other Services"))</f>
        <v/>
      </c>
    </row>
    <row r="2768" customFormat="false" ht="15" hidden="false" customHeight="false" outlineLevel="0" collapsed="false">
      <c r="G2768" s="41" t="str">
        <f aca="false">IF(E2768="","",IFERROR(IF(ISNUMBER(SEARCH(Assumptions!$C$5,E2768)),Assumptions!$D$5,IF(ISNUMBER(SEARCH(Assumptions!$C$6,E2768)),Assumptions!$D$6,IF(ISNUMBER(SEARCH(Assumptions!$C$7,E2768)),Assumptions!$D$7,"Other Services"))),"Other Services"))</f>
        <v/>
      </c>
    </row>
    <row r="2769" customFormat="false" ht="15" hidden="false" customHeight="false" outlineLevel="0" collapsed="false">
      <c r="G2769" s="41" t="str">
        <f aca="false">IF(E2769="","",IFERROR(IF(ISNUMBER(SEARCH(Assumptions!$C$5,E2769)),Assumptions!$D$5,IF(ISNUMBER(SEARCH(Assumptions!$C$6,E2769)),Assumptions!$D$6,IF(ISNUMBER(SEARCH(Assumptions!$C$7,E2769)),Assumptions!$D$7,"Other Services"))),"Other Services"))</f>
        <v/>
      </c>
    </row>
    <row r="2770" customFormat="false" ht="15" hidden="false" customHeight="false" outlineLevel="0" collapsed="false">
      <c r="G2770" s="41" t="str">
        <f aca="false">IF(E2770="","",IFERROR(IF(ISNUMBER(SEARCH(Assumptions!$C$5,E2770)),Assumptions!$D$5,IF(ISNUMBER(SEARCH(Assumptions!$C$6,E2770)),Assumptions!$D$6,IF(ISNUMBER(SEARCH(Assumptions!$C$7,E2770)),Assumptions!$D$7,"Other Services"))),"Other Services"))</f>
        <v/>
      </c>
    </row>
    <row r="2771" customFormat="false" ht="15" hidden="false" customHeight="false" outlineLevel="0" collapsed="false">
      <c r="G2771" s="41" t="str">
        <f aca="false">IF(E2771="","",IFERROR(IF(ISNUMBER(SEARCH(Assumptions!$C$5,E2771)),Assumptions!$D$5,IF(ISNUMBER(SEARCH(Assumptions!$C$6,E2771)),Assumptions!$D$6,IF(ISNUMBER(SEARCH(Assumptions!$C$7,E2771)),Assumptions!$D$7,"Other Services"))),"Other Services"))</f>
        <v/>
      </c>
    </row>
    <row r="2772" customFormat="false" ht="15" hidden="false" customHeight="false" outlineLevel="0" collapsed="false">
      <c r="G2772" s="41" t="str">
        <f aca="false">IF(E2772="","",IFERROR(IF(ISNUMBER(SEARCH(Assumptions!$C$5,E2772)),Assumptions!$D$5,IF(ISNUMBER(SEARCH(Assumptions!$C$6,E2772)),Assumptions!$D$6,IF(ISNUMBER(SEARCH(Assumptions!$C$7,E2772)),Assumptions!$D$7,"Other Services"))),"Other Services"))</f>
        <v/>
      </c>
    </row>
    <row r="2773" customFormat="false" ht="15" hidden="false" customHeight="false" outlineLevel="0" collapsed="false">
      <c r="G2773" s="41" t="str">
        <f aca="false">IF(E2773="","",IFERROR(IF(ISNUMBER(SEARCH(Assumptions!$C$5,E2773)),Assumptions!$D$5,IF(ISNUMBER(SEARCH(Assumptions!$C$6,E2773)),Assumptions!$D$6,IF(ISNUMBER(SEARCH(Assumptions!$C$7,E2773)),Assumptions!$D$7,"Other Services"))),"Other Services"))</f>
        <v/>
      </c>
    </row>
    <row r="2774" customFormat="false" ht="15" hidden="false" customHeight="false" outlineLevel="0" collapsed="false">
      <c r="G2774" s="41" t="str">
        <f aca="false">IF(E2774="","",IFERROR(IF(ISNUMBER(SEARCH(Assumptions!$C$5,E2774)),Assumptions!$D$5,IF(ISNUMBER(SEARCH(Assumptions!$C$6,E2774)),Assumptions!$D$6,IF(ISNUMBER(SEARCH(Assumptions!$C$7,E2774)),Assumptions!$D$7,"Other Services"))),"Other Services"))</f>
        <v/>
      </c>
    </row>
    <row r="2775" customFormat="false" ht="15" hidden="false" customHeight="false" outlineLevel="0" collapsed="false">
      <c r="G2775" s="41" t="str">
        <f aca="false">IF(E2775="","",IFERROR(IF(ISNUMBER(SEARCH(Assumptions!$C$5,E2775)),Assumptions!$D$5,IF(ISNUMBER(SEARCH(Assumptions!$C$6,E2775)),Assumptions!$D$6,IF(ISNUMBER(SEARCH(Assumptions!$C$7,E2775)),Assumptions!$D$7,"Other Services"))),"Other Services"))</f>
        <v/>
      </c>
    </row>
    <row r="2776" customFormat="false" ht="15" hidden="false" customHeight="false" outlineLevel="0" collapsed="false">
      <c r="G2776" s="41" t="str">
        <f aca="false">IF(E2776="","",IFERROR(IF(ISNUMBER(SEARCH(Assumptions!$C$5,E2776)),Assumptions!$D$5,IF(ISNUMBER(SEARCH(Assumptions!$C$6,E2776)),Assumptions!$D$6,IF(ISNUMBER(SEARCH(Assumptions!$C$7,E2776)),Assumptions!$D$7,"Other Services"))),"Other Services"))</f>
        <v/>
      </c>
    </row>
    <row r="2777" customFormat="false" ht="15" hidden="false" customHeight="false" outlineLevel="0" collapsed="false">
      <c r="G2777" s="41" t="str">
        <f aca="false">IF(E2777="","",IFERROR(IF(ISNUMBER(SEARCH(Assumptions!$C$5,E2777)),Assumptions!$D$5,IF(ISNUMBER(SEARCH(Assumptions!$C$6,E2777)),Assumptions!$D$6,IF(ISNUMBER(SEARCH(Assumptions!$C$7,E2777)),Assumptions!$D$7,"Other Services"))),"Other Services"))</f>
        <v/>
      </c>
    </row>
    <row r="2778" customFormat="false" ht="15" hidden="false" customHeight="false" outlineLevel="0" collapsed="false">
      <c r="G2778" s="41" t="str">
        <f aca="false">IF(E2778="","",IFERROR(IF(ISNUMBER(SEARCH(Assumptions!$C$5,E2778)),Assumptions!$D$5,IF(ISNUMBER(SEARCH(Assumptions!$C$6,E2778)),Assumptions!$D$6,IF(ISNUMBER(SEARCH(Assumptions!$C$7,E2778)),Assumptions!$D$7,"Other Services"))),"Other Services"))</f>
        <v/>
      </c>
    </row>
    <row r="2779" customFormat="false" ht="15" hidden="false" customHeight="false" outlineLevel="0" collapsed="false">
      <c r="G2779" s="41" t="str">
        <f aca="false">IF(E2779="","",IFERROR(IF(ISNUMBER(SEARCH(Assumptions!$C$5,E2779)),Assumptions!$D$5,IF(ISNUMBER(SEARCH(Assumptions!$C$6,E2779)),Assumptions!$D$6,IF(ISNUMBER(SEARCH(Assumptions!$C$7,E2779)),Assumptions!$D$7,"Other Services"))),"Other Services"))</f>
        <v/>
      </c>
    </row>
    <row r="2780" customFormat="false" ht="15" hidden="false" customHeight="false" outlineLevel="0" collapsed="false">
      <c r="G2780" s="41" t="str">
        <f aca="false">IF(E2780="","",IFERROR(IF(ISNUMBER(SEARCH(Assumptions!$C$5,E2780)),Assumptions!$D$5,IF(ISNUMBER(SEARCH(Assumptions!$C$6,E2780)),Assumptions!$D$6,IF(ISNUMBER(SEARCH(Assumptions!$C$7,E2780)),Assumptions!$D$7,"Other Services"))),"Other Services"))</f>
        <v/>
      </c>
    </row>
    <row r="2781" customFormat="false" ht="15" hidden="false" customHeight="false" outlineLevel="0" collapsed="false">
      <c r="G2781" s="41" t="str">
        <f aca="false">IF(E2781="","",IFERROR(IF(ISNUMBER(SEARCH(Assumptions!$C$5,E2781)),Assumptions!$D$5,IF(ISNUMBER(SEARCH(Assumptions!$C$6,E2781)),Assumptions!$D$6,IF(ISNUMBER(SEARCH(Assumptions!$C$7,E2781)),Assumptions!$D$7,"Other Services"))),"Other Services"))</f>
        <v/>
      </c>
    </row>
    <row r="2782" customFormat="false" ht="15" hidden="false" customHeight="false" outlineLevel="0" collapsed="false">
      <c r="G2782" s="41" t="str">
        <f aca="false">IF(E2782="","",IFERROR(IF(ISNUMBER(SEARCH(Assumptions!$C$5,E2782)),Assumptions!$D$5,IF(ISNUMBER(SEARCH(Assumptions!$C$6,E2782)),Assumptions!$D$6,IF(ISNUMBER(SEARCH(Assumptions!$C$7,E2782)),Assumptions!$D$7,"Other Services"))),"Other Services"))</f>
        <v/>
      </c>
    </row>
    <row r="2783" customFormat="false" ht="15" hidden="false" customHeight="false" outlineLevel="0" collapsed="false">
      <c r="G2783" s="41" t="str">
        <f aca="false">IF(E2783="","",IFERROR(IF(ISNUMBER(SEARCH(Assumptions!$C$5,E2783)),Assumptions!$D$5,IF(ISNUMBER(SEARCH(Assumptions!$C$6,E2783)),Assumptions!$D$6,IF(ISNUMBER(SEARCH(Assumptions!$C$7,E2783)),Assumptions!$D$7,"Other Services"))),"Other Services"))</f>
        <v/>
      </c>
    </row>
    <row r="2784" customFormat="false" ht="15" hidden="false" customHeight="false" outlineLevel="0" collapsed="false">
      <c r="G2784" s="41" t="str">
        <f aca="false">IF(E2784="","",IFERROR(IF(ISNUMBER(SEARCH(Assumptions!$C$5,E2784)),Assumptions!$D$5,IF(ISNUMBER(SEARCH(Assumptions!$C$6,E2784)),Assumptions!$D$6,IF(ISNUMBER(SEARCH(Assumptions!$C$7,E2784)),Assumptions!$D$7,"Other Services"))),"Other Services"))</f>
        <v/>
      </c>
    </row>
    <row r="2785" customFormat="false" ht="15" hidden="false" customHeight="false" outlineLevel="0" collapsed="false">
      <c r="G2785" s="41" t="str">
        <f aca="false">IF(E2785="","",IFERROR(IF(ISNUMBER(SEARCH(Assumptions!$C$5,E2785)),Assumptions!$D$5,IF(ISNUMBER(SEARCH(Assumptions!$C$6,E2785)),Assumptions!$D$6,IF(ISNUMBER(SEARCH(Assumptions!$C$7,E2785)),Assumptions!$D$7,"Other Services"))),"Other Services"))</f>
        <v/>
      </c>
    </row>
    <row r="2786" customFormat="false" ht="15" hidden="false" customHeight="false" outlineLevel="0" collapsed="false">
      <c r="G2786" s="41" t="str">
        <f aca="false">IF(E2786="","",IFERROR(IF(ISNUMBER(SEARCH(Assumptions!$C$5,E2786)),Assumptions!$D$5,IF(ISNUMBER(SEARCH(Assumptions!$C$6,E2786)),Assumptions!$D$6,IF(ISNUMBER(SEARCH(Assumptions!$C$7,E2786)),Assumptions!$D$7,"Other Services"))),"Other Services"))</f>
        <v/>
      </c>
    </row>
    <row r="2787" customFormat="false" ht="15" hidden="false" customHeight="false" outlineLevel="0" collapsed="false">
      <c r="G2787" s="41" t="str">
        <f aca="false">IF(E2787="","",IFERROR(IF(ISNUMBER(SEARCH(Assumptions!$C$5,E2787)),Assumptions!$D$5,IF(ISNUMBER(SEARCH(Assumptions!$C$6,E2787)),Assumptions!$D$6,IF(ISNUMBER(SEARCH(Assumptions!$C$7,E2787)),Assumptions!$D$7,"Other Services"))),"Other Services"))</f>
        <v/>
      </c>
    </row>
    <row r="2788" customFormat="false" ht="15" hidden="false" customHeight="false" outlineLevel="0" collapsed="false">
      <c r="G2788" s="41" t="str">
        <f aca="false">IF(E2788="","",IFERROR(IF(ISNUMBER(SEARCH(Assumptions!$C$5,E2788)),Assumptions!$D$5,IF(ISNUMBER(SEARCH(Assumptions!$C$6,E2788)),Assumptions!$D$6,IF(ISNUMBER(SEARCH(Assumptions!$C$7,E2788)),Assumptions!$D$7,"Other Services"))),"Other Services"))</f>
        <v/>
      </c>
    </row>
    <row r="2789" customFormat="false" ht="15" hidden="false" customHeight="false" outlineLevel="0" collapsed="false">
      <c r="G2789" s="41" t="str">
        <f aca="false">IF(E2789="","",IFERROR(IF(ISNUMBER(SEARCH(Assumptions!$C$5,E2789)),Assumptions!$D$5,IF(ISNUMBER(SEARCH(Assumptions!$C$6,E2789)),Assumptions!$D$6,IF(ISNUMBER(SEARCH(Assumptions!$C$7,E2789)),Assumptions!$D$7,"Other Services"))),"Other Services"))</f>
        <v/>
      </c>
    </row>
    <row r="2790" customFormat="false" ht="15" hidden="false" customHeight="false" outlineLevel="0" collapsed="false">
      <c r="G2790" s="41" t="str">
        <f aca="false">IF(E2790="","",IFERROR(IF(ISNUMBER(SEARCH(Assumptions!$C$5,E2790)),Assumptions!$D$5,IF(ISNUMBER(SEARCH(Assumptions!$C$6,E2790)),Assumptions!$D$6,IF(ISNUMBER(SEARCH(Assumptions!$C$7,E2790)),Assumptions!$D$7,"Other Services"))),"Other Services"))</f>
        <v/>
      </c>
    </row>
    <row r="2791" customFormat="false" ht="15" hidden="false" customHeight="false" outlineLevel="0" collapsed="false">
      <c r="G2791" s="41" t="str">
        <f aca="false">IF(E2791="","",IFERROR(IF(ISNUMBER(SEARCH(Assumptions!$C$5,E2791)),Assumptions!$D$5,IF(ISNUMBER(SEARCH(Assumptions!$C$6,E2791)),Assumptions!$D$6,IF(ISNUMBER(SEARCH(Assumptions!$C$7,E2791)),Assumptions!$D$7,"Other Services"))),"Other Services"))</f>
        <v/>
      </c>
    </row>
    <row r="2792" customFormat="false" ht="15" hidden="false" customHeight="false" outlineLevel="0" collapsed="false">
      <c r="G2792" s="41" t="str">
        <f aca="false">IF(E2792="","",IFERROR(IF(ISNUMBER(SEARCH(Assumptions!$C$5,E2792)),Assumptions!$D$5,IF(ISNUMBER(SEARCH(Assumptions!$C$6,E2792)),Assumptions!$D$6,IF(ISNUMBER(SEARCH(Assumptions!$C$7,E2792)),Assumptions!$D$7,"Other Services"))),"Other Services"))</f>
        <v/>
      </c>
    </row>
    <row r="2793" customFormat="false" ht="15" hidden="false" customHeight="false" outlineLevel="0" collapsed="false">
      <c r="G2793" s="41" t="str">
        <f aca="false">IF(E2793="","",IFERROR(IF(ISNUMBER(SEARCH(Assumptions!$C$5,E2793)),Assumptions!$D$5,IF(ISNUMBER(SEARCH(Assumptions!$C$6,E2793)),Assumptions!$D$6,IF(ISNUMBER(SEARCH(Assumptions!$C$7,E2793)),Assumptions!$D$7,"Other Services"))),"Other Services"))</f>
        <v/>
      </c>
    </row>
    <row r="2794" customFormat="false" ht="15" hidden="false" customHeight="false" outlineLevel="0" collapsed="false">
      <c r="G2794" s="41" t="str">
        <f aca="false">IF(E2794="","",IFERROR(IF(ISNUMBER(SEARCH(Assumptions!$C$5,E2794)),Assumptions!$D$5,IF(ISNUMBER(SEARCH(Assumptions!$C$6,E2794)),Assumptions!$D$6,IF(ISNUMBER(SEARCH(Assumptions!$C$7,E2794)),Assumptions!$D$7,"Other Services"))),"Other Services"))</f>
        <v/>
      </c>
    </row>
    <row r="2795" customFormat="false" ht="15" hidden="false" customHeight="false" outlineLevel="0" collapsed="false">
      <c r="G2795" s="41" t="str">
        <f aca="false">IF(E2795="","",IFERROR(IF(ISNUMBER(SEARCH(Assumptions!$C$5,E2795)),Assumptions!$D$5,IF(ISNUMBER(SEARCH(Assumptions!$C$6,E2795)),Assumptions!$D$6,IF(ISNUMBER(SEARCH(Assumptions!$C$7,E2795)),Assumptions!$D$7,"Other Services"))),"Other Services"))</f>
        <v/>
      </c>
    </row>
    <row r="2796" customFormat="false" ht="15" hidden="false" customHeight="false" outlineLevel="0" collapsed="false">
      <c r="G2796" s="41" t="str">
        <f aca="false">IF(E2796="","",IFERROR(IF(ISNUMBER(SEARCH(Assumptions!$C$5,E2796)),Assumptions!$D$5,IF(ISNUMBER(SEARCH(Assumptions!$C$6,E2796)),Assumptions!$D$6,IF(ISNUMBER(SEARCH(Assumptions!$C$7,E2796)),Assumptions!$D$7,"Other Services"))),"Other Services"))</f>
        <v/>
      </c>
    </row>
    <row r="2797" customFormat="false" ht="15" hidden="false" customHeight="false" outlineLevel="0" collapsed="false">
      <c r="G2797" s="41" t="str">
        <f aca="false">IF(E2797="","",IFERROR(IF(ISNUMBER(SEARCH(Assumptions!$C$5,E2797)),Assumptions!$D$5,IF(ISNUMBER(SEARCH(Assumptions!$C$6,E2797)),Assumptions!$D$6,IF(ISNUMBER(SEARCH(Assumptions!$C$7,E2797)),Assumptions!$D$7,"Other Services"))),"Other Services"))</f>
        <v/>
      </c>
    </row>
    <row r="2798" customFormat="false" ht="15" hidden="false" customHeight="false" outlineLevel="0" collapsed="false">
      <c r="G2798" s="41" t="str">
        <f aca="false">IF(E2798="","",IFERROR(IF(ISNUMBER(SEARCH(Assumptions!$C$5,E2798)),Assumptions!$D$5,IF(ISNUMBER(SEARCH(Assumptions!$C$6,E2798)),Assumptions!$D$6,IF(ISNUMBER(SEARCH(Assumptions!$C$7,E2798)),Assumptions!$D$7,"Other Services"))),"Other Services"))</f>
        <v/>
      </c>
    </row>
    <row r="2799" customFormat="false" ht="15" hidden="false" customHeight="false" outlineLevel="0" collapsed="false">
      <c r="G2799" s="41" t="str">
        <f aca="false">IF(E2799="","",IFERROR(IF(ISNUMBER(SEARCH(Assumptions!$C$5,E2799)),Assumptions!$D$5,IF(ISNUMBER(SEARCH(Assumptions!$C$6,E2799)),Assumptions!$D$6,IF(ISNUMBER(SEARCH(Assumptions!$C$7,E2799)),Assumptions!$D$7,"Other Services"))),"Other Services"))</f>
        <v/>
      </c>
    </row>
    <row r="2800" customFormat="false" ht="15" hidden="false" customHeight="false" outlineLevel="0" collapsed="false">
      <c r="G2800" s="41" t="str">
        <f aca="false">IF(E2800="","",IFERROR(IF(ISNUMBER(SEARCH(Assumptions!$C$5,E2800)),Assumptions!$D$5,IF(ISNUMBER(SEARCH(Assumptions!$C$6,E2800)),Assumptions!$D$6,IF(ISNUMBER(SEARCH(Assumptions!$C$7,E2800)),Assumptions!$D$7,"Other Services"))),"Other Services"))</f>
        <v/>
      </c>
    </row>
    <row r="2801" customFormat="false" ht="15" hidden="false" customHeight="false" outlineLevel="0" collapsed="false">
      <c r="G2801" s="41" t="str">
        <f aca="false">IF(E2801="","",IFERROR(IF(ISNUMBER(SEARCH(Assumptions!$C$5,E2801)),Assumptions!$D$5,IF(ISNUMBER(SEARCH(Assumptions!$C$6,E2801)),Assumptions!$D$6,IF(ISNUMBER(SEARCH(Assumptions!$C$7,E2801)),Assumptions!$D$7,"Other Services"))),"Other Services"))</f>
        <v/>
      </c>
    </row>
    <row r="2802" customFormat="false" ht="15" hidden="false" customHeight="false" outlineLevel="0" collapsed="false">
      <c r="G2802" s="41" t="str">
        <f aca="false">IF(E2802="","",IFERROR(IF(ISNUMBER(SEARCH(Assumptions!$C$5,E2802)),Assumptions!$D$5,IF(ISNUMBER(SEARCH(Assumptions!$C$6,E2802)),Assumptions!$D$6,IF(ISNUMBER(SEARCH(Assumptions!$C$7,E2802)),Assumptions!$D$7,"Other Services"))),"Other Services"))</f>
        <v/>
      </c>
    </row>
    <row r="2803" customFormat="false" ht="15" hidden="false" customHeight="false" outlineLevel="0" collapsed="false">
      <c r="G2803" s="41" t="str">
        <f aca="false">IF(E2803="","",IFERROR(IF(ISNUMBER(SEARCH(Assumptions!$C$5,E2803)),Assumptions!$D$5,IF(ISNUMBER(SEARCH(Assumptions!$C$6,E2803)),Assumptions!$D$6,IF(ISNUMBER(SEARCH(Assumptions!$C$7,E2803)),Assumptions!$D$7,"Other Services"))),"Other Services"))</f>
        <v/>
      </c>
    </row>
    <row r="2804" customFormat="false" ht="15" hidden="false" customHeight="false" outlineLevel="0" collapsed="false">
      <c r="G2804" s="41" t="str">
        <f aca="false">IF(E2804="","",IFERROR(IF(ISNUMBER(SEARCH(Assumptions!$C$5,E2804)),Assumptions!$D$5,IF(ISNUMBER(SEARCH(Assumptions!$C$6,E2804)),Assumptions!$D$6,IF(ISNUMBER(SEARCH(Assumptions!$C$7,E2804)),Assumptions!$D$7,"Other Services"))),"Other Services"))</f>
        <v/>
      </c>
    </row>
    <row r="2805" customFormat="false" ht="15" hidden="false" customHeight="false" outlineLevel="0" collapsed="false">
      <c r="G2805" s="41" t="str">
        <f aca="false">IF(E2805="","",IFERROR(IF(ISNUMBER(SEARCH(Assumptions!$C$5,E2805)),Assumptions!$D$5,IF(ISNUMBER(SEARCH(Assumptions!$C$6,E2805)),Assumptions!$D$6,IF(ISNUMBER(SEARCH(Assumptions!$C$7,E2805)),Assumptions!$D$7,"Other Services"))),"Other Services"))</f>
        <v/>
      </c>
    </row>
    <row r="2806" customFormat="false" ht="15" hidden="false" customHeight="false" outlineLevel="0" collapsed="false">
      <c r="G2806" s="41" t="str">
        <f aca="false">IF(E2806="","",IFERROR(IF(ISNUMBER(SEARCH(Assumptions!$C$5,E2806)),Assumptions!$D$5,IF(ISNUMBER(SEARCH(Assumptions!$C$6,E2806)),Assumptions!$D$6,IF(ISNUMBER(SEARCH(Assumptions!$C$7,E2806)),Assumptions!$D$7,"Other Services"))),"Other Services"))</f>
        <v/>
      </c>
    </row>
    <row r="2807" customFormat="false" ht="15" hidden="false" customHeight="false" outlineLevel="0" collapsed="false">
      <c r="G2807" s="41" t="str">
        <f aca="false">IF(E2807="","",IFERROR(IF(ISNUMBER(SEARCH(Assumptions!$C$5,E2807)),Assumptions!$D$5,IF(ISNUMBER(SEARCH(Assumptions!$C$6,E2807)),Assumptions!$D$6,IF(ISNUMBER(SEARCH(Assumptions!$C$7,E2807)),Assumptions!$D$7,"Other Services"))),"Other Services"))</f>
        <v/>
      </c>
    </row>
    <row r="2808" customFormat="false" ht="15" hidden="false" customHeight="false" outlineLevel="0" collapsed="false">
      <c r="G2808" s="41" t="str">
        <f aca="false">IF(E2808="","",IFERROR(IF(ISNUMBER(SEARCH(Assumptions!$C$5,E2808)),Assumptions!$D$5,IF(ISNUMBER(SEARCH(Assumptions!$C$6,E2808)),Assumptions!$D$6,IF(ISNUMBER(SEARCH(Assumptions!$C$7,E2808)),Assumptions!$D$7,"Other Services"))),"Other Services"))</f>
        <v/>
      </c>
    </row>
    <row r="2809" customFormat="false" ht="15" hidden="false" customHeight="false" outlineLevel="0" collapsed="false">
      <c r="G2809" s="41" t="str">
        <f aca="false">IF(E2809="","",IFERROR(IF(ISNUMBER(SEARCH(Assumptions!$C$5,E2809)),Assumptions!$D$5,IF(ISNUMBER(SEARCH(Assumptions!$C$6,E2809)),Assumptions!$D$6,IF(ISNUMBER(SEARCH(Assumptions!$C$7,E2809)),Assumptions!$D$7,"Other Services"))),"Other Services"))</f>
        <v/>
      </c>
    </row>
    <row r="2810" customFormat="false" ht="15" hidden="false" customHeight="false" outlineLevel="0" collapsed="false">
      <c r="G2810" s="41" t="str">
        <f aca="false">IF(E2810="","",IFERROR(IF(ISNUMBER(SEARCH(Assumptions!$C$5,E2810)),Assumptions!$D$5,IF(ISNUMBER(SEARCH(Assumptions!$C$6,E2810)),Assumptions!$D$6,IF(ISNUMBER(SEARCH(Assumptions!$C$7,E2810)),Assumptions!$D$7,"Other Services"))),"Other Services"))</f>
        <v/>
      </c>
    </row>
    <row r="2811" customFormat="false" ht="15" hidden="false" customHeight="false" outlineLevel="0" collapsed="false">
      <c r="G2811" s="41" t="str">
        <f aca="false">IF(E2811="","",IFERROR(IF(ISNUMBER(SEARCH(Assumptions!$C$5,E2811)),Assumptions!$D$5,IF(ISNUMBER(SEARCH(Assumptions!$C$6,E2811)),Assumptions!$D$6,IF(ISNUMBER(SEARCH(Assumptions!$C$7,E2811)),Assumptions!$D$7,"Other Services"))),"Other Services"))</f>
        <v/>
      </c>
    </row>
    <row r="2812" customFormat="false" ht="15" hidden="false" customHeight="false" outlineLevel="0" collapsed="false">
      <c r="G2812" s="41" t="str">
        <f aca="false">IF(E2812="","",IFERROR(IF(ISNUMBER(SEARCH(Assumptions!$C$5,E2812)),Assumptions!$D$5,IF(ISNUMBER(SEARCH(Assumptions!$C$6,E2812)),Assumptions!$D$6,IF(ISNUMBER(SEARCH(Assumptions!$C$7,E2812)),Assumptions!$D$7,"Other Services"))),"Other Services"))</f>
        <v/>
      </c>
    </row>
    <row r="2813" customFormat="false" ht="15" hidden="false" customHeight="false" outlineLevel="0" collapsed="false">
      <c r="G2813" s="41" t="str">
        <f aca="false">IF(E2813="","",IFERROR(IF(ISNUMBER(SEARCH(Assumptions!$C$5,E2813)),Assumptions!$D$5,IF(ISNUMBER(SEARCH(Assumptions!$C$6,E2813)),Assumptions!$D$6,IF(ISNUMBER(SEARCH(Assumptions!$C$7,E2813)),Assumptions!$D$7,"Other Services"))),"Other Services"))</f>
        <v/>
      </c>
    </row>
    <row r="2814" customFormat="false" ht="15" hidden="false" customHeight="false" outlineLevel="0" collapsed="false">
      <c r="G2814" s="41" t="str">
        <f aca="false">IF(E2814="","",IFERROR(IF(ISNUMBER(SEARCH(Assumptions!$C$5,E2814)),Assumptions!$D$5,IF(ISNUMBER(SEARCH(Assumptions!$C$6,E2814)),Assumptions!$D$6,IF(ISNUMBER(SEARCH(Assumptions!$C$7,E2814)),Assumptions!$D$7,"Other Services"))),"Other Services"))</f>
        <v/>
      </c>
    </row>
    <row r="2815" customFormat="false" ht="15" hidden="false" customHeight="false" outlineLevel="0" collapsed="false">
      <c r="G2815" s="41" t="str">
        <f aca="false">IF(E2815="","",IFERROR(IF(ISNUMBER(SEARCH(Assumptions!$C$5,E2815)),Assumptions!$D$5,IF(ISNUMBER(SEARCH(Assumptions!$C$6,E2815)),Assumptions!$D$6,IF(ISNUMBER(SEARCH(Assumptions!$C$7,E2815)),Assumptions!$D$7,"Other Services"))),"Other Services"))</f>
        <v/>
      </c>
    </row>
    <row r="2816" customFormat="false" ht="15" hidden="false" customHeight="false" outlineLevel="0" collapsed="false">
      <c r="G2816" s="41" t="str">
        <f aca="false">IF(E2816="","",IFERROR(IF(ISNUMBER(SEARCH(Assumptions!$C$5,E2816)),Assumptions!$D$5,IF(ISNUMBER(SEARCH(Assumptions!$C$6,E2816)),Assumptions!$D$6,IF(ISNUMBER(SEARCH(Assumptions!$C$7,E2816)),Assumptions!$D$7,"Other Services"))),"Other Services"))</f>
        <v/>
      </c>
    </row>
    <row r="2817" customFormat="false" ht="15" hidden="false" customHeight="false" outlineLevel="0" collapsed="false">
      <c r="G2817" s="41" t="str">
        <f aca="false">IF(E2817="","",IFERROR(IF(ISNUMBER(SEARCH(Assumptions!$C$5,E2817)),Assumptions!$D$5,IF(ISNUMBER(SEARCH(Assumptions!$C$6,E2817)),Assumptions!$D$6,IF(ISNUMBER(SEARCH(Assumptions!$C$7,E2817)),Assumptions!$D$7,"Other Services"))),"Other Services"))</f>
        <v/>
      </c>
    </row>
    <row r="2818" customFormat="false" ht="15" hidden="false" customHeight="false" outlineLevel="0" collapsed="false">
      <c r="G2818" s="41" t="str">
        <f aca="false">IF(E2818="","",IFERROR(IF(ISNUMBER(SEARCH(Assumptions!$C$5,E2818)),Assumptions!$D$5,IF(ISNUMBER(SEARCH(Assumptions!$C$6,E2818)),Assumptions!$D$6,IF(ISNUMBER(SEARCH(Assumptions!$C$7,E2818)),Assumptions!$D$7,"Other Services"))),"Other Services"))</f>
        <v/>
      </c>
    </row>
    <row r="2819" customFormat="false" ht="15" hidden="false" customHeight="false" outlineLevel="0" collapsed="false">
      <c r="G2819" s="41" t="str">
        <f aca="false">IF(E2819="","",IFERROR(IF(ISNUMBER(SEARCH(Assumptions!$C$5,E2819)),Assumptions!$D$5,IF(ISNUMBER(SEARCH(Assumptions!$C$6,E2819)),Assumptions!$D$6,IF(ISNUMBER(SEARCH(Assumptions!$C$7,E2819)),Assumptions!$D$7,"Other Services"))),"Other Services"))</f>
        <v/>
      </c>
    </row>
    <row r="2820" customFormat="false" ht="15" hidden="false" customHeight="false" outlineLevel="0" collapsed="false">
      <c r="G2820" s="41" t="str">
        <f aca="false">IF(E2820="","",IFERROR(IF(ISNUMBER(SEARCH(Assumptions!$C$5,E2820)),Assumptions!$D$5,IF(ISNUMBER(SEARCH(Assumptions!$C$6,E2820)),Assumptions!$D$6,IF(ISNUMBER(SEARCH(Assumptions!$C$7,E2820)),Assumptions!$D$7,"Other Services"))),"Other Services"))</f>
        <v/>
      </c>
    </row>
    <row r="2821" customFormat="false" ht="15" hidden="false" customHeight="false" outlineLevel="0" collapsed="false">
      <c r="G2821" s="41" t="str">
        <f aca="false">IF(E2821="","",IFERROR(IF(ISNUMBER(SEARCH(Assumptions!$C$5,E2821)),Assumptions!$D$5,IF(ISNUMBER(SEARCH(Assumptions!$C$6,E2821)),Assumptions!$D$6,IF(ISNUMBER(SEARCH(Assumptions!$C$7,E2821)),Assumptions!$D$7,"Other Services"))),"Other Services"))</f>
        <v/>
      </c>
    </row>
    <row r="2822" customFormat="false" ht="15" hidden="false" customHeight="false" outlineLevel="0" collapsed="false">
      <c r="G2822" s="41" t="str">
        <f aca="false">IF(E2822="","",IFERROR(IF(ISNUMBER(SEARCH(Assumptions!$C$5,E2822)),Assumptions!$D$5,IF(ISNUMBER(SEARCH(Assumptions!$C$6,E2822)),Assumptions!$D$6,IF(ISNUMBER(SEARCH(Assumptions!$C$7,E2822)),Assumptions!$D$7,"Other Services"))),"Other Services"))</f>
        <v/>
      </c>
    </row>
    <row r="2823" customFormat="false" ht="15" hidden="false" customHeight="false" outlineLevel="0" collapsed="false">
      <c r="G2823" s="41" t="str">
        <f aca="false">IF(E2823="","",IFERROR(IF(ISNUMBER(SEARCH(Assumptions!$C$5,E2823)),Assumptions!$D$5,IF(ISNUMBER(SEARCH(Assumptions!$C$6,E2823)),Assumptions!$D$6,IF(ISNUMBER(SEARCH(Assumptions!$C$7,E2823)),Assumptions!$D$7,"Other Services"))),"Other Services"))</f>
        <v/>
      </c>
    </row>
    <row r="2824" customFormat="false" ht="15" hidden="false" customHeight="false" outlineLevel="0" collapsed="false">
      <c r="G2824" s="41" t="str">
        <f aca="false">IF(E2824="","",IFERROR(IF(ISNUMBER(SEARCH(Assumptions!$C$5,E2824)),Assumptions!$D$5,IF(ISNUMBER(SEARCH(Assumptions!$C$6,E2824)),Assumptions!$D$6,IF(ISNUMBER(SEARCH(Assumptions!$C$7,E2824)),Assumptions!$D$7,"Other Services"))),"Other Services"))</f>
        <v/>
      </c>
    </row>
    <row r="2825" customFormat="false" ht="15" hidden="false" customHeight="false" outlineLevel="0" collapsed="false">
      <c r="G2825" s="41" t="str">
        <f aca="false">IF(E2825="","",IFERROR(IF(ISNUMBER(SEARCH(Assumptions!$C$5,E2825)),Assumptions!$D$5,IF(ISNUMBER(SEARCH(Assumptions!$C$6,E2825)),Assumptions!$D$6,IF(ISNUMBER(SEARCH(Assumptions!$C$7,E2825)),Assumptions!$D$7,"Other Services"))),"Other Services"))</f>
        <v/>
      </c>
    </row>
    <row r="2826" customFormat="false" ht="15" hidden="false" customHeight="false" outlineLevel="0" collapsed="false">
      <c r="G2826" s="41" t="str">
        <f aca="false">IF(E2826="","",IFERROR(IF(ISNUMBER(SEARCH(Assumptions!$C$5,E2826)),Assumptions!$D$5,IF(ISNUMBER(SEARCH(Assumptions!$C$6,E2826)),Assumptions!$D$6,IF(ISNUMBER(SEARCH(Assumptions!$C$7,E2826)),Assumptions!$D$7,"Other Services"))),"Other Services"))</f>
        <v/>
      </c>
    </row>
    <row r="2827" customFormat="false" ht="15" hidden="false" customHeight="false" outlineLevel="0" collapsed="false">
      <c r="G2827" s="41" t="str">
        <f aca="false">IF(E2827="","",IFERROR(IF(ISNUMBER(SEARCH(Assumptions!$C$5,E2827)),Assumptions!$D$5,IF(ISNUMBER(SEARCH(Assumptions!$C$6,E2827)),Assumptions!$D$6,IF(ISNUMBER(SEARCH(Assumptions!$C$7,E2827)),Assumptions!$D$7,"Other Services"))),"Other Services"))</f>
        <v/>
      </c>
    </row>
    <row r="2828" customFormat="false" ht="15" hidden="false" customHeight="false" outlineLevel="0" collapsed="false">
      <c r="G2828" s="41" t="str">
        <f aca="false">IF(E2828="","",IFERROR(IF(ISNUMBER(SEARCH(Assumptions!$C$5,E2828)),Assumptions!$D$5,IF(ISNUMBER(SEARCH(Assumptions!$C$6,E2828)),Assumptions!$D$6,IF(ISNUMBER(SEARCH(Assumptions!$C$7,E2828)),Assumptions!$D$7,"Other Services"))),"Other Services"))</f>
        <v/>
      </c>
    </row>
    <row r="2829" customFormat="false" ht="15" hidden="false" customHeight="false" outlineLevel="0" collapsed="false">
      <c r="G2829" s="41" t="str">
        <f aca="false">IF(E2829="","",IFERROR(IF(ISNUMBER(SEARCH(Assumptions!$C$5,E2829)),Assumptions!$D$5,IF(ISNUMBER(SEARCH(Assumptions!$C$6,E2829)),Assumptions!$D$6,IF(ISNUMBER(SEARCH(Assumptions!$C$7,E2829)),Assumptions!$D$7,"Other Services"))),"Other Services"))</f>
        <v/>
      </c>
    </row>
    <row r="2830" customFormat="false" ht="15" hidden="false" customHeight="false" outlineLevel="0" collapsed="false">
      <c r="G2830" s="41" t="str">
        <f aca="false">IF(E2830="","",IFERROR(IF(ISNUMBER(SEARCH(Assumptions!$C$5,E2830)),Assumptions!$D$5,IF(ISNUMBER(SEARCH(Assumptions!$C$6,E2830)),Assumptions!$D$6,IF(ISNUMBER(SEARCH(Assumptions!$C$7,E2830)),Assumptions!$D$7,"Other Services"))),"Other Services"))</f>
        <v/>
      </c>
    </row>
    <row r="2831" customFormat="false" ht="15" hidden="false" customHeight="false" outlineLevel="0" collapsed="false">
      <c r="G2831" s="41" t="str">
        <f aca="false">IF(E2831="","",IFERROR(IF(ISNUMBER(SEARCH(Assumptions!$C$5,E2831)),Assumptions!$D$5,IF(ISNUMBER(SEARCH(Assumptions!$C$6,E2831)),Assumptions!$D$6,IF(ISNUMBER(SEARCH(Assumptions!$C$7,E2831)),Assumptions!$D$7,"Other Services"))),"Other Services"))</f>
        <v/>
      </c>
    </row>
    <row r="2832" customFormat="false" ht="15" hidden="false" customHeight="false" outlineLevel="0" collapsed="false">
      <c r="G2832" s="41" t="str">
        <f aca="false">IF(E2832="","",IFERROR(IF(ISNUMBER(SEARCH(Assumptions!$C$5,E2832)),Assumptions!$D$5,IF(ISNUMBER(SEARCH(Assumptions!$C$6,E2832)),Assumptions!$D$6,IF(ISNUMBER(SEARCH(Assumptions!$C$7,E2832)),Assumptions!$D$7,"Other Services"))),"Other Services"))</f>
        <v/>
      </c>
    </row>
    <row r="2833" customFormat="false" ht="15" hidden="false" customHeight="false" outlineLevel="0" collapsed="false">
      <c r="G2833" s="41" t="str">
        <f aca="false">IF(E2833="","",IFERROR(IF(ISNUMBER(SEARCH(Assumptions!$C$5,E2833)),Assumptions!$D$5,IF(ISNUMBER(SEARCH(Assumptions!$C$6,E2833)),Assumptions!$D$6,IF(ISNUMBER(SEARCH(Assumptions!$C$7,E2833)),Assumptions!$D$7,"Other Services"))),"Other Services"))</f>
        <v/>
      </c>
    </row>
    <row r="2834" customFormat="false" ht="15" hidden="false" customHeight="false" outlineLevel="0" collapsed="false">
      <c r="G2834" s="41" t="str">
        <f aca="false">IF(E2834="","",IFERROR(IF(ISNUMBER(SEARCH(Assumptions!$C$5,E2834)),Assumptions!$D$5,IF(ISNUMBER(SEARCH(Assumptions!$C$6,E2834)),Assumptions!$D$6,IF(ISNUMBER(SEARCH(Assumptions!$C$7,E2834)),Assumptions!$D$7,"Other Services"))),"Other Services"))</f>
        <v/>
      </c>
    </row>
    <row r="2835" customFormat="false" ht="15" hidden="false" customHeight="false" outlineLevel="0" collapsed="false">
      <c r="G2835" s="41" t="str">
        <f aca="false">IF(E2835="","",IFERROR(IF(ISNUMBER(SEARCH(Assumptions!$C$5,E2835)),Assumptions!$D$5,IF(ISNUMBER(SEARCH(Assumptions!$C$6,E2835)),Assumptions!$D$6,IF(ISNUMBER(SEARCH(Assumptions!$C$7,E2835)),Assumptions!$D$7,"Other Services"))),"Other Services"))</f>
        <v/>
      </c>
    </row>
    <row r="2836" customFormat="false" ht="15" hidden="false" customHeight="false" outlineLevel="0" collapsed="false">
      <c r="G2836" s="41" t="str">
        <f aca="false">IF(E2836="","",IFERROR(IF(ISNUMBER(SEARCH(Assumptions!$C$5,E2836)),Assumptions!$D$5,IF(ISNUMBER(SEARCH(Assumptions!$C$6,E2836)),Assumptions!$D$6,IF(ISNUMBER(SEARCH(Assumptions!$C$7,E2836)),Assumptions!$D$7,"Other Services"))),"Other Services"))</f>
        <v/>
      </c>
    </row>
    <row r="2837" customFormat="false" ht="15" hidden="false" customHeight="false" outlineLevel="0" collapsed="false">
      <c r="G2837" s="41" t="str">
        <f aca="false">IF(E2837="","",IFERROR(IF(ISNUMBER(SEARCH(Assumptions!$C$5,E2837)),Assumptions!$D$5,IF(ISNUMBER(SEARCH(Assumptions!$C$6,E2837)),Assumptions!$D$6,IF(ISNUMBER(SEARCH(Assumptions!$C$7,E2837)),Assumptions!$D$7,"Other Services"))),"Other Services"))</f>
        <v/>
      </c>
    </row>
    <row r="2838" customFormat="false" ht="15" hidden="false" customHeight="false" outlineLevel="0" collapsed="false">
      <c r="G2838" s="41" t="str">
        <f aca="false">IF(E2838="","",IFERROR(IF(ISNUMBER(SEARCH(Assumptions!$C$5,E2838)),Assumptions!$D$5,IF(ISNUMBER(SEARCH(Assumptions!$C$6,E2838)),Assumptions!$D$6,IF(ISNUMBER(SEARCH(Assumptions!$C$7,E2838)),Assumptions!$D$7,"Other Services"))),"Other Services"))</f>
        <v/>
      </c>
    </row>
    <row r="2839" customFormat="false" ht="15" hidden="false" customHeight="false" outlineLevel="0" collapsed="false">
      <c r="G2839" s="41" t="str">
        <f aca="false">IF(E2839="","",IFERROR(IF(ISNUMBER(SEARCH(Assumptions!$C$5,E2839)),Assumptions!$D$5,IF(ISNUMBER(SEARCH(Assumptions!$C$6,E2839)),Assumptions!$D$6,IF(ISNUMBER(SEARCH(Assumptions!$C$7,E2839)),Assumptions!$D$7,"Other Services"))),"Other Services"))</f>
        <v/>
      </c>
    </row>
    <row r="2840" customFormat="false" ht="15" hidden="false" customHeight="false" outlineLevel="0" collapsed="false">
      <c r="G2840" s="41" t="str">
        <f aca="false">IF(E2840="","",IFERROR(IF(ISNUMBER(SEARCH(Assumptions!$C$5,E2840)),Assumptions!$D$5,IF(ISNUMBER(SEARCH(Assumptions!$C$6,E2840)),Assumptions!$D$6,IF(ISNUMBER(SEARCH(Assumptions!$C$7,E2840)),Assumptions!$D$7,"Other Services"))),"Other Services"))</f>
        <v/>
      </c>
    </row>
    <row r="2841" customFormat="false" ht="15" hidden="false" customHeight="false" outlineLevel="0" collapsed="false">
      <c r="G2841" s="41" t="str">
        <f aca="false">IF(E2841="","",IFERROR(IF(ISNUMBER(SEARCH(Assumptions!$C$5,E2841)),Assumptions!$D$5,IF(ISNUMBER(SEARCH(Assumptions!$C$6,E2841)),Assumptions!$D$6,IF(ISNUMBER(SEARCH(Assumptions!$C$7,E2841)),Assumptions!$D$7,"Other Services"))),"Other Services"))</f>
        <v/>
      </c>
    </row>
    <row r="2842" customFormat="false" ht="15" hidden="false" customHeight="false" outlineLevel="0" collapsed="false">
      <c r="G2842" s="41" t="str">
        <f aca="false">IF(E2842="","",IFERROR(IF(ISNUMBER(SEARCH(Assumptions!$C$5,E2842)),Assumptions!$D$5,IF(ISNUMBER(SEARCH(Assumptions!$C$6,E2842)),Assumptions!$D$6,IF(ISNUMBER(SEARCH(Assumptions!$C$7,E2842)),Assumptions!$D$7,"Other Services"))),"Other Services"))</f>
        <v/>
      </c>
    </row>
    <row r="2843" customFormat="false" ht="15" hidden="false" customHeight="false" outlineLevel="0" collapsed="false">
      <c r="G2843" s="41" t="str">
        <f aca="false">IF(E2843="","",IFERROR(IF(ISNUMBER(SEARCH(Assumptions!$C$5,E2843)),Assumptions!$D$5,IF(ISNUMBER(SEARCH(Assumptions!$C$6,E2843)),Assumptions!$D$6,IF(ISNUMBER(SEARCH(Assumptions!$C$7,E2843)),Assumptions!$D$7,"Other Services"))),"Other Services"))</f>
        <v/>
      </c>
    </row>
    <row r="2844" customFormat="false" ht="15" hidden="false" customHeight="false" outlineLevel="0" collapsed="false">
      <c r="G2844" s="41" t="str">
        <f aca="false">IF(E2844="","",IFERROR(IF(ISNUMBER(SEARCH(Assumptions!$C$5,E2844)),Assumptions!$D$5,IF(ISNUMBER(SEARCH(Assumptions!$C$6,E2844)),Assumptions!$D$6,IF(ISNUMBER(SEARCH(Assumptions!$C$7,E2844)),Assumptions!$D$7,"Other Services"))),"Other Services"))</f>
        <v/>
      </c>
    </row>
    <row r="2845" customFormat="false" ht="15" hidden="false" customHeight="false" outlineLevel="0" collapsed="false">
      <c r="G2845" s="41" t="str">
        <f aca="false">IF(E2845="","",IFERROR(IF(ISNUMBER(SEARCH(Assumptions!$C$5,E2845)),Assumptions!$D$5,IF(ISNUMBER(SEARCH(Assumptions!$C$6,E2845)),Assumptions!$D$6,IF(ISNUMBER(SEARCH(Assumptions!$C$7,E2845)),Assumptions!$D$7,"Other Services"))),"Other Services"))</f>
        <v/>
      </c>
    </row>
    <row r="2846" customFormat="false" ht="15" hidden="false" customHeight="false" outlineLevel="0" collapsed="false">
      <c r="G2846" s="41" t="str">
        <f aca="false">IF(E2846="","",IFERROR(IF(ISNUMBER(SEARCH(Assumptions!$C$5,E2846)),Assumptions!$D$5,IF(ISNUMBER(SEARCH(Assumptions!$C$6,E2846)),Assumptions!$D$6,IF(ISNUMBER(SEARCH(Assumptions!$C$7,E2846)),Assumptions!$D$7,"Other Services"))),"Other Services"))</f>
        <v/>
      </c>
    </row>
    <row r="2847" customFormat="false" ht="15" hidden="false" customHeight="false" outlineLevel="0" collapsed="false">
      <c r="G2847" s="41" t="str">
        <f aca="false">IF(E2847="","",IFERROR(IF(ISNUMBER(SEARCH(Assumptions!$C$5,E2847)),Assumptions!$D$5,IF(ISNUMBER(SEARCH(Assumptions!$C$6,E2847)),Assumptions!$D$6,IF(ISNUMBER(SEARCH(Assumptions!$C$7,E2847)),Assumptions!$D$7,"Other Services"))),"Other Services"))</f>
        <v/>
      </c>
    </row>
    <row r="2848" customFormat="false" ht="15" hidden="false" customHeight="false" outlineLevel="0" collapsed="false">
      <c r="G2848" s="41" t="str">
        <f aca="false">IF(E2848="","",IFERROR(IF(ISNUMBER(SEARCH(Assumptions!$C$5,E2848)),Assumptions!$D$5,IF(ISNUMBER(SEARCH(Assumptions!$C$6,E2848)),Assumptions!$D$6,IF(ISNUMBER(SEARCH(Assumptions!$C$7,E2848)),Assumptions!$D$7,"Other Services"))),"Other Services"))</f>
        <v/>
      </c>
    </row>
    <row r="2849" customFormat="false" ht="15" hidden="false" customHeight="false" outlineLevel="0" collapsed="false">
      <c r="G2849" s="41" t="str">
        <f aca="false">IF(E2849="","",IFERROR(IF(ISNUMBER(SEARCH(Assumptions!$C$5,E2849)),Assumptions!$D$5,IF(ISNUMBER(SEARCH(Assumptions!$C$6,E2849)),Assumptions!$D$6,IF(ISNUMBER(SEARCH(Assumptions!$C$7,E2849)),Assumptions!$D$7,"Other Services"))),"Other Services"))</f>
        <v/>
      </c>
    </row>
    <row r="2850" customFormat="false" ht="15" hidden="false" customHeight="false" outlineLevel="0" collapsed="false">
      <c r="G2850" s="41" t="str">
        <f aca="false">IF(E2850="","",IFERROR(IF(ISNUMBER(SEARCH(Assumptions!$C$5,E2850)),Assumptions!$D$5,IF(ISNUMBER(SEARCH(Assumptions!$C$6,E2850)),Assumptions!$D$6,IF(ISNUMBER(SEARCH(Assumptions!$C$7,E2850)),Assumptions!$D$7,"Other Services"))),"Other Services"))</f>
        <v/>
      </c>
    </row>
    <row r="2851" customFormat="false" ht="15" hidden="false" customHeight="false" outlineLevel="0" collapsed="false">
      <c r="G2851" s="41" t="str">
        <f aca="false">IF(E2851="","",IFERROR(IF(ISNUMBER(SEARCH(Assumptions!$C$5,E2851)),Assumptions!$D$5,IF(ISNUMBER(SEARCH(Assumptions!$C$6,E2851)),Assumptions!$D$6,IF(ISNUMBER(SEARCH(Assumptions!$C$7,E2851)),Assumptions!$D$7,"Other Services"))),"Other Services"))</f>
        <v/>
      </c>
    </row>
    <row r="2852" customFormat="false" ht="15" hidden="false" customHeight="false" outlineLevel="0" collapsed="false">
      <c r="G2852" s="41" t="str">
        <f aca="false">IF(E2852="","",IFERROR(IF(ISNUMBER(SEARCH(Assumptions!$C$5,E2852)),Assumptions!$D$5,IF(ISNUMBER(SEARCH(Assumptions!$C$6,E2852)),Assumptions!$D$6,IF(ISNUMBER(SEARCH(Assumptions!$C$7,E2852)),Assumptions!$D$7,"Other Services"))),"Other Services"))</f>
        <v/>
      </c>
    </row>
    <row r="2853" customFormat="false" ht="15" hidden="false" customHeight="false" outlineLevel="0" collapsed="false">
      <c r="G2853" s="41" t="str">
        <f aca="false">IF(E2853="","",IFERROR(IF(ISNUMBER(SEARCH(Assumptions!$C$5,E2853)),Assumptions!$D$5,IF(ISNUMBER(SEARCH(Assumptions!$C$6,E2853)),Assumptions!$D$6,IF(ISNUMBER(SEARCH(Assumptions!$C$7,E2853)),Assumptions!$D$7,"Other Services"))),"Other Services"))</f>
        <v/>
      </c>
    </row>
    <row r="2854" customFormat="false" ht="15" hidden="false" customHeight="false" outlineLevel="0" collapsed="false">
      <c r="G2854" s="41" t="str">
        <f aca="false">IF(E2854="","",IFERROR(IF(ISNUMBER(SEARCH(Assumptions!$C$5,E2854)),Assumptions!$D$5,IF(ISNUMBER(SEARCH(Assumptions!$C$6,E2854)),Assumptions!$D$6,IF(ISNUMBER(SEARCH(Assumptions!$C$7,E2854)),Assumptions!$D$7,"Other Services"))),"Other Services"))</f>
        <v/>
      </c>
    </row>
    <row r="2855" customFormat="false" ht="15" hidden="false" customHeight="false" outlineLevel="0" collapsed="false">
      <c r="G2855" s="41" t="str">
        <f aca="false">IF(E2855="","",IFERROR(IF(ISNUMBER(SEARCH(Assumptions!$C$5,E2855)),Assumptions!$D$5,IF(ISNUMBER(SEARCH(Assumptions!$C$6,E2855)),Assumptions!$D$6,IF(ISNUMBER(SEARCH(Assumptions!$C$7,E2855)),Assumptions!$D$7,"Other Services"))),"Other Services"))</f>
        <v/>
      </c>
    </row>
    <row r="2856" customFormat="false" ht="15" hidden="false" customHeight="false" outlineLevel="0" collapsed="false">
      <c r="G2856" s="41" t="str">
        <f aca="false">IF(E2856="","",IFERROR(IF(ISNUMBER(SEARCH(Assumptions!$C$5,E2856)),Assumptions!$D$5,IF(ISNUMBER(SEARCH(Assumptions!$C$6,E2856)),Assumptions!$D$6,IF(ISNUMBER(SEARCH(Assumptions!$C$7,E2856)),Assumptions!$D$7,"Other Services"))),"Other Services"))</f>
        <v/>
      </c>
    </row>
    <row r="2857" customFormat="false" ht="15" hidden="false" customHeight="false" outlineLevel="0" collapsed="false">
      <c r="G2857" s="41" t="str">
        <f aca="false">IF(E2857="","",IFERROR(IF(ISNUMBER(SEARCH(Assumptions!$C$5,E2857)),Assumptions!$D$5,IF(ISNUMBER(SEARCH(Assumptions!$C$6,E2857)),Assumptions!$D$6,IF(ISNUMBER(SEARCH(Assumptions!$C$7,E2857)),Assumptions!$D$7,"Other Services"))),"Other Services"))</f>
        <v/>
      </c>
    </row>
    <row r="2858" customFormat="false" ht="15" hidden="false" customHeight="false" outlineLevel="0" collapsed="false">
      <c r="G2858" s="41" t="str">
        <f aca="false">IF(E2858="","",IFERROR(IF(ISNUMBER(SEARCH(Assumptions!$C$5,E2858)),Assumptions!$D$5,IF(ISNUMBER(SEARCH(Assumptions!$C$6,E2858)),Assumptions!$D$6,IF(ISNUMBER(SEARCH(Assumptions!$C$7,E2858)),Assumptions!$D$7,"Other Services"))),"Other Services"))</f>
        <v/>
      </c>
    </row>
    <row r="2859" customFormat="false" ht="15" hidden="false" customHeight="false" outlineLevel="0" collapsed="false">
      <c r="G2859" s="41" t="str">
        <f aca="false">IF(E2859="","",IFERROR(IF(ISNUMBER(SEARCH(Assumptions!$C$5,E2859)),Assumptions!$D$5,IF(ISNUMBER(SEARCH(Assumptions!$C$6,E2859)),Assumptions!$D$6,IF(ISNUMBER(SEARCH(Assumptions!$C$7,E2859)),Assumptions!$D$7,"Other Services"))),"Other Services"))</f>
        <v/>
      </c>
    </row>
    <row r="2860" customFormat="false" ht="15" hidden="false" customHeight="false" outlineLevel="0" collapsed="false">
      <c r="G2860" s="41" t="str">
        <f aca="false">IF(E2860="","",IFERROR(IF(ISNUMBER(SEARCH(Assumptions!$C$5,E2860)),Assumptions!$D$5,IF(ISNUMBER(SEARCH(Assumptions!$C$6,E2860)),Assumptions!$D$6,IF(ISNUMBER(SEARCH(Assumptions!$C$7,E2860)),Assumptions!$D$7,"Other Services"))),"Other Services"))</f>
        <v/>
      </c>
    </row>
    <row r="2861" customFormat="false" ht="15" hidden="false" customHeight="false" outlineLevel="0" collapsed="false">
      <c r="G2861" s="41" t="str">
        <f aca="false">IF(E2861="","",IFERROR(IF(ISNUMBER(SEARCH(Assumptions!$C$5,E2861)),Assumptions!$D$5,IF(ISNUMBER(SEARCH(Assumptions!$C$6,E2861)),Assumptions!$D$6,IF(ISNUMBER(SEARCH(Assumptions!$C$7,E2861)),Assumptions!$D$7,"Other Services"))),"Other Services"))</f>
        <v/>
      </c>
    </row>
    <row r="2862" customFormat="false" ht="15" hidden="false" customHeight="false" outlineLevel="0" collapsed="false">
      <c r="G2862" s="41" t="str">
        <f aca="false">IF(E2862="","",IFERROR(IF(ISNUMBER(SEARCH(Assumptions!$C$5,E2862)),Assumptions!$D$5,IF(ISNUMBER(SEARCH(Assumptions!$C$6,E2862)),Assumptions!$D$6,IF(ISNUMBER(SEARCH(Assumptions!$C$7,E2862)),Assumptions!$D$7,"Other Services"))),"Other Services"))</f>
        <v/>
      </c>
    </row>
    <row r="2863" customFormat="false" ht="15" hidden="false" customHeight="false" outlineLevel="0" collapsed="false">
      <c r="G2863" s="41" t="str">
        <f aca="false">IF(E2863="","",IFERROR(IF(ISNUMBER(SEARCH(Assumptions!$C$5,E2863)),Assumptions!$D$5,IF(ISNUMBER(SEARCH(Assumptions!$C$6,E2863)),Assumptions!$D$6,IF(ISNUMBER(SEARCH(Assumptions!$C$7,E2863)),Assumptions!$D$7,"Other Services"))),"Other Services"))</f>
        <v/>
      </c>
    </row>
    <row r="2864" customFormat="false" ht="15" hidden="false" customHeight="false" outlineLevel="0" collapsed="false">
      <c r="G2864" s="41" t="str">
        <f aca="false">IF(E2864="","",IFERROR(IF(ISNUMBER(SEARCH(Assumptions!$C$5,E2864)),Assumptions!$D$5,IF(ISNUMBER(SEARCH(Assumptions!$C$6,E2864)),Assumptions!$D$6,IF(ISNUMBER(SEARCH(Assumptions!$C$7,E2864)),Assumptions!$D$7,"Other Services"))),"Other Services"))</f>
        <v/>
      </c>
    </row>
    <row r="2865" customFormat="false" ht="15" hidden="false" customHeight="false" outlineLevel="0" collapsed="false">
      <c r="G2865" s="41" t="str">
        <f aca="false">IF(E2865="","",IFERROR(IF(ISNUMBER(SEARCH(Assumptions!$C$5,E2865)),Assumptions!$D$5,IF(ISNUMBER(SEARCH(Assumptions!$C$6,E2865)),Assumptions!$D$6,IF(ISNUMBER(SEARCH(Assumptions!$C$7,E2865)),Assumptions!$D$7,"Other Services"))),"Other Services"))</f>
        <v/>
      </c>
    </row>
    <row r="2866" customFormat="false" ht="15" hidden="false" customHeight="false" outlineLevel="0" collapsed="false">
      <c r="G2866" s="41" t="str">
        <f aca="false">IF(E2866="","",IFERROR(IF(ISNUMBER(SEARCH(Assumptions!$C$5,E2866)),Assumptions!$D$5,IF(ISNUMBER(SEARCH(Assumptions!$C$6,E2866)),Assumptions!$D$6,IF(ISNUMBER(SEARCH(Assumptions!$C$7,E2866)),Assumptions!$D$7,"Other Services"))),"Other Services"))</f>
        <v/>
      </c>
    </row>
    <row r="2867" customFormat="false" ht="15" hidden="false" customHeight="false" outlineLevel="0" collapsed="false">
      <c r="G2867" s="41" t="str">
        <f aca="false">IF(E2867="","",IFERROR(IF(ISNUMBER(SEARCH(Assumptions!$C$5,E2867)),Assumptions!$D$5,IF(ISNUMBER(SEARCH(Assumptions!$C$6,E2867)),Assumptions!$D$6,IF(ISNUMBER(SEARCH(Assumptions!$C$7,E2867)),Assumptions!$D$7,"Other Services"))),"Other Services"))</f>
        <v/>
      </c>
    </row>
    <row r="2868" customFormat="false" ht="15" hidden="false" customHeight="false" outlineLevel="0" collapsed="false">
      <c r="G2868" s="41" t="str">
        <f aca="false">IF(E2868="","",IFERROR(IF(ISNUMBER(SEARCH(Assumptions!$C$5,E2868)),Assumptions!$D$5,IF(ISNUMBER(SEARCH(Assumptions!$C$6,E2868)),Assumptions!$D$6,IF(ISNUMBER(SEARCH(Assumptions!$C$7,E2868)),Assumptions!$D$7,"Other Services"))),"Other Services"))</f>
        <v/>
      </c>
    </row>
    <row r="2869" customFormat="false" ht="15" hidden="false" customHeight="false" outlineLevel="0" collapsed="false">
      <c r="G2869" s="41" t="str">
        <f aca="false">IF(E2869="","",IFERROR(IF(ISNUMBER(SEARCH(Assumptions!$C$5,E2869)),Assumptions!$D$5,IF(ISNUMBER(SEARCH(Assumptions!$C$6,E2869)),Assumptions!$D$6,IF(ISNUMBER(SEARCH(Assumptions!$C$7,E2869)),Assumptions!$D$7,"Other Services"))),"Other Services"))</f>
        <v/>
      </c>
    </row>
    <row r="2870" customFormat="false" ht="15" hidden="false" customHeight="false" outlineLevel="0" collapsed="false">
      <c r="G2870" s="41" t="str">
        <f aca="false">IF(E2870="","",IFERROR(IF(ISNUMBER(SEARCH(Assumptions!$C$5,E2870)),Assumptions!$D$5,IF(ISNUMBER(SEARCH(Assumptions!$C$6,E2870)),Assumptions!$D$6,IF(ISNUMBER(SEARCH(Assumptions!$C$7,E2870)),Assumptions!$D$7,"Other Services"))),"Other Services"))</f>
        <v/>
      </c>
    </row>
    <row r="2871" customFormat="false" ht="15" hidden="false" customHeight="false" outlineLevel="0" collapsed="false">
      <c r="G2871" s="41" t="str">
        <f aca="false">IF(E2871="","",IFERROR(IF(ISNUMBER(SEARCH(Assumptions!$C$5,E2871)),Assumptions!$D$5,IF(ISNUMBER(SEARCH(Assumptions!$C$6,E2871)),Assumptions!$D$6,IF(ISNUMBER(SEARCH(Assumptions!$C$7,E2871)),Assumptions!$D$7,"Other Services"))),"Other Services"))</f>
        <v/>
      </c>
    </row>
    <row r="2872" customFormat="false" ht="15" hidden="false" customHeight="false" outlineLevel="0" collapsed="false">
      <c r="G2872" s="41" t="str">
        <f aca="false">IF(E2872="","",IFERROR(IF(ISNUMBER(SEARCH(Assumptions!$C$5,E2872)),Assumptions!$D$5,IF(ISNUMBER(SEARCH(Assumptions!$C$6,E2872)),Assumptions!$D$6,IF(ISNUMBER(SEARCH(Assumptions!$C$7,E2872)),Assumptions!$D$7,"Other Services"))),"Other Services"))</f>
        <v/>
      </c>
    </row>
    <row r="2873" customFormat="false" ht="15" hidden="false" customHeight="false" outlineLevel="0" collapsed="false">
      <c r="G2873" s="41" t="str">
        <f aca="false">IF(E2873="","",IFERROR(IF(ISNUMBER(SEARCH(Assumptions!$C$5,E2873)),Assumptions!$D$5,IF(ISNUMBER(SEARCH(Assumptions!$C$6,E2873)),Assumptions!$D$6,IF(ISNUMBER(SEARCH(Assumptions!$C$7,E2873)),Assumptions!$D$7,"Other Services"))),"Other Services"))</f>
        <v/>
      </c>
    </row>
    <row r="2874" customFormat="false" ht="15" hidden="false" customHeight="false" outlineLevel="0" collapsed="false">
      <c r="G2874" s="41" t="str">
        <f aca="false">IF(E2874="","",IFERROR(IF(ISNUMBER(SEARCH(Assumptions!$C$5,E2874)),Assumptions!$D$5,IF(ISNUMBER(SEARCH(Assumptions!$C$6,E2874)),Assumptions!$D$6,IF(ISNUMBER(SEARCH(Assumptions!$C$7,E2874)),Assumptions!$D$7,"Other Services"))),"Other Services"))</f>
        <v/>
      </c>
    </row>
    <row r="2875" customFormat="false" ht="15" hidden="false" customHeight="false" outlineLevel="0" collapsed="false">
      <c r="G2875" s="41" t="str">
        <f aca="false">IF(E2875="","",IFERROR(IF(ISNUMBER(SEARCH(Assumptions!$C$5,E2875)),Assumptions!$D$5,IF(ISNUMBER(SEARCH(Assumptions!$C$6,E2875)),Assumptions!$D$6,IF(ISNUMBER(SEARCH(Assumptions!$C$7,E2875)),Assumptions!$D$7,"Other Services"))),"Other Services"))</f>
        <v/>
      </c>
    </row>
    <row r="2876" customFormat="false" ht="15" hidden="false" customHeight="false" outlineLevel="0" collapsed="false">
      <c r="G2876" s="41" t="str">
        <f aca="false">IF(E2876="","",IFERROR(IF(ISNUMBER(SEARCH(Assumptions!$C$5,E2876)),Assumptions!$D$5,IF(ISNUMBER(SEARCH(Assumptions!$C$6,E2876)),Assumptions!$D$6,IF(ISNUMBER(SEARCH(Assumptions!$C$7,E2876)),Assumptions!$D$7,"Other Services"))),"Other Services"))</f>
        <v/>
      </c>
    </row>
    <row r="2877" customFormat="false" ht="15" hidden="false" customHeight="false" outlineLevel="0" collapsed="false">
      <c r="G2877" s="41" t="str">
        <f aca="false">IF(E2877="","",IFERROR(IF(ISNUMBER(SEARCH(Assumptions!$C$5,E2877)),Assumptions!$D$5,IF(ISNUMBER(SEARCH(Assumptions!$C$6,E2877)),Assumptions!$D$6,IF(ISNUMBER(SEARCH(Assumptions!$C$7,E2877)),Assumptions!$D$7,"Other Services"))),"Other Services"))</f>
        <v/>
      </c>
    </row>
    <row r="2878" customFormat="false" ht="15" hidden="false" customHeight="false" outlineLevel="0" collapsed="false">
      <c r="G2878" s="41" t="str">
        <f aca="false">IF(E2878="","",IFERROR(IF(ISNUMBER(SEARCH(Assumptions!$C$5,E2878)),Assumptions!$D$5,IF(ISNUMBER(SEARCH(Assumptions!$C$6,E2878)),Assumptions!$D$6,IF(ISNUMBER(SEARCH(Assumptions!$C$7,E2878)),Assumptions!$D$7,"Other Services"))),"Other Services"))</f>
        <v/>
      </c>
    </row>
    <row r="2879" customFormat="false" ht="15" hidden="false" customHeight="false" outlineLevel="0" collapsed="false">
      <c r="G2879" s="41" t="str">
        <f aca="false">IF(E2879="","",IFERROR(IF(ISNUMBER(SEARCH(Assumptions!$C$5,E2879)),Assumptions!$D$5,IF(ISNUMBER(SEARCH(Assumptions!$C$6,E2879)),Assumptions!$D$6,IF(ISNUMBER(SEARCH(Assumptions!$C$7,E2879)),Assumptions!$D$7,"Other Services"))),"Other Services"))</f>
        <v/>
      </c>
    </row>
    <row r="2880" customFormat="false" ht="15" hidden="false" customHeight="false" outlineLevel="0" collapsed="false">
      <c r="G2880" s="41" t="str">
        <f aca="false">IF(E2880="","",IFERROR(IF(ISNUMBER(SEARCH(Assumptions!$C$5,E2880)),Assumptions!$D$5,IF(ISNUMBER(SEARCH(Assumptions!$C$6,E2880)),Assumptions!$D$6,IF(ISNUMBER(SEARCH(Assumptions!$C$7,E2880)),Assumptions!$D$7,"Other Services"))),"Other Services"))</f>
        <v/>
      </c>
    </row>
    <row r="2881" customFormat="false" ht="15" hidden="false" customHeight="false" outlineLevel="0" collapsed="false">
      <c r="G2881" s="41" t="str">
        <f aca="false">IF(E2881="","",IFERROR(IF(ISNUMBER(SEARCH(Assumptions!$C$5,E2881)),Assumptions!$D$5,IF(ISNUMBER(SEARCH(Assumptions!$C$6,E2881)),Assumptions!$D$6,IF(ISNUMBER(SEARCH(Assumptions!$C$7,E2881)),Assumptions!$D$7,"Other Services"))),"Other Services"))</f>
        <v/>
      </c>
    </row>
    <row r="2882" customFormat="false" ht="15" hidden="false" customHeight="false" outlineLevel="0" collapsed="false">
      <c r="G2882" s="41" t="str">
        <f aca="false">IF(E2882="","",IFERROR(IF(ISNUMBER(SEARCH(Assumptions!$C$5,E2882)),Assumptions!$D$5,IF(ISNUMBER(SEARCH(Assumptions!$C$6,E2882)),Assumptions!$D$6,IF(ISNUMBER(SEARCH(Assumptions!$C$7,E2882)),Assumptions!$D$7,"Other Services"))),"Other Services"))</f>
        <v/>
      </c>
    </row>
    <row r="2883" customFormat="false" ht="15" hidden="false" customHeight="false" outlineLevel="0" collapsed="false">
      <c r="G2883" s="41" t="str">
        <f aca="false">IF(E2883="","",IFERROR(IF(ISNUMBER(SEARCH(Assumptions!$C$5,E2883)),Assumptions!$D$5,IF(ISNUMBER(SEARCH(Assumptions!$C$6,E2883)),Assumptions!$D$6,IF(ISNUMBER(SEARCH(Assumptions!$C$7,E2883)),Assumptions!$D$7,"Other Services"))),"Other Services"))</f>
        <v/>
      </c>
    </row>
    <row r="2884" customFormat="false" ht="15" hidden="false" customHeight="false" outlineLevel="0" collapsed="false">
      <c r="G2884" s="41" t="str">
        <f aca="false">IF(E2884="","",IFERROR(IF(ISNUMBER(SEARCH(Assumptions!$C$5,E2884)),Assumptions!$D$5,IF(ISNUMBER(SEARCH(Assumptions!$C$6,E2884)),Assumptions!$D$6,IF(ISNUMBER(SEARCH(Assumptions!$C$7,E2884)),Assumptions!$D$7,"Other Services"))),"Other Services"))</f>
        <v/>
      </c>
    </row>
    <row r="2885" customFormat="false" ht="15" hidden="false" customHeight="false" outlineLevel="0" collapsed="false">
      <c r="G2885" s="41" t="str">
        <f aca="false">IF(E2885="","",IFERROR(IF(ISNUMBER(SEARCH(Assumptions!$C$5,E2885)),Assumptions!$D$5,IF(ISNUMBER(SEARCH(Assumptions!$C$6,E2885)),Assumptions!$D$6,IF(ISNUMBER(SEARCH(Assumptions!$C$7,E2885)),Assumptions!$D$7,"Other Services"))),"Other Services"))</f>
        <v/>
      </c>
    </row>
    <row r="2886" customFormat="false" ht="15" hidden="false" customHeight="false" outlineLevel="0" collapsed="false">
      <c r="G2886" s="41" t="str">
        <f aca="false">IF(E2886="","",IFERROR(IF(ISNUMBER(SEARCH(Assumptions!$C$5,E2886)),Assumptions!$D$5,IF(ISNUMBER(SEARCH(Assumptions!$C$6,E2886)),Assumptions!$D$6,IF(ISNUMBER(SEARCH(Assumptions!$C$7,E2886)),Assumptions!$D$7,"Other Services"))),"Other Services"))</f>
        <v/>
      </c>
    </row>
    <row r="2887" customFormat="false" ht="15" hidden="false" customHeight="false" outlineLevel="0" collapsed="false">
      <c r="G2887" s="41" t="str">
        <f aca="false">IF(E2887="","",IFERROR(IF(ISNUMBER(SEARCH(Assumptions!$C$5,E2887)),Assumptions!$D$5,IF(ISNUMBER(SEARCH(Assumptions!$C$6,E2887)),Assumptions!$D$6,IF(ISNUMBER(SEARCH(Assumptions!$C$7,E2887)),Assumptions!$D$7,"Other Services"))),"Other Services"))</f>
        <v/>
      </c>
    </row>
    <row r="2888" customFormat="false" ht="15" hidden="false" customHeight="false" outlineLevel="0" collapsed="false">
      <c r="G2888" s="41" t="str">
        <f aca="false">IF(E2888="","",IFERROR(IF(ISNUMBER(SEARCH(Assumptions!$C$5,E2888)),Assumptions!$D$5,IF(ISNUMBER(SEARCH(Assumptions!$C$6,E2888)),Assumptions!$D$6,IF(ISNUMBER(SEARCH(Assumptions!$C$7,E2888)),Assumptions!$D$7,"Other Services"))),"Other Services"))</f>
        <v/>
      </c>
    </row>
    <row r="2889" customFormat="false" ht="15" hidden="false" customHeight="false" outlineLevel="0" collapsed="false">
      <c r="G2889" s="41" t="str">
        <f aca="false">IF(E2889="","",IFERROR(IF(ISNUMBER(SEARCH(Assumptions!$C$5,E2889)),Assumptions!$D$5,IF(ISNUMBER(SEARCH(Assumptions!$C$6,E2889)),Assumptions!$D$6,IF(ISNUMBER(SEARCH(Assumptions!$C$7,E2889)),Assumptions!$D$7,"Other Services"))),"Other Services"))</f>
        <v/>
      </c>
    </row>
    <row r="2890" customFormat="false" ht="15" hidden="false" customHeight="false" outlineLevel="0" collapsed="false">
      <c r="G2890" s="41" t="str">
        <f aca="false">IF(E2890="","",IFERROR(IF(ISNUMBER(SEARCH(Assumptions!$C$5,E2890)),Assumptions!$D$5,IF(ISNUMBER(SEARCH(Assumptions!$C$6,E2890)),Assumptions!$D$6,IF(ISNUMBER(SEARCH(Assumptions!$C$7,E2890)),Assumptions!$D$7,"Other Services"))),"Other Services"))</f>
        <v/>
      </c>
    </row>
    <row r="2891" customFormat="false" ht="15" hidden="false" customHeight="false" outlineLevel="0" collapsed="false">
      <c r="G2891" s="41" t="str">
        <f aca="false">IF(E2891="","",IFERROR(IF(ISNUMBER(SEARCH(Assumptions!$C$5,E2891)),Assumptions!$D$5,IF(ISNUMBER(SEARCH(Assumptions!$C$6,E2891)),Assumptions!$D$6,IF(ISNUMBER(SEARCH(Assumptions!$C$7,E2891)),Assumptions!$D$7,"Other Services"))),"Other Services"))</f>
        <v/>
      </c>
    </row>
    <row r="2892" customFormat="false" ht="15" hidden="false" customHeight="false" outlineLevel="0" collapsed="false">
      <c r="G2892" s="41" t="str">
        <f aca="false">IF(E2892="","",IFERROR(IF(ISNUMBER(SEARCH(Assumptions!$C$5,E2892)),Assumptions!$D$5,IF(ISNUMBER(SEARCH(Assumptions!$C$6,E2892)),Assumptions!$D$6,IF(ISNUMBER(SEARCH(Assumptions!$C$7,E2892)),Assumptions!$D$7,"Other Services"))),"Other Services"))</f>
        <v/>
      </c>
    </row>
    <row r="2893" customFormat="false" ht="15" hidden="false" customHeight="false" outlineLevel="0" collapsed="false">
      <c r="G2893" s="41" t="str">
        <f aca="false">IF(E2893="","",IFERROR(IF(ISNUMBER(SEARCH(Assumptions!$C$5,E2893)),Assumptions!$D$5,IF(ISNUMBER(SEARCH(Assumptions!$C$6,E2893)),Assumptions!$D$6,IF(ISNUMBER(SEARCH(Assumptions!$C$7,E2893)),Assumptions!$D$7,"Other Services"))),"Other Services"))</f>
        <v/>
      </c>
    </row>
    <row r="2894" customFormat="false" ht="15" hidden="false" customHeight="false" outlineLevel="0" collapsed="false">
      <c r="G2894" s="41" t="str">
        <f aca="false">IF(E2894="","",IFERROR(IF(ISNUMBER(SEARCH(Assumptions!$C$5,E2894)),Assumptions!$D$5,IF(ISNUMBER(SEARCH(Assumptions!$C$6,E2894)),Assumptions!$D$6,IF(ISNUMBER(SEARCH(Assumptions!$C$7,E2894)),Assumptions!$D$7,"Other Services"))),"Other Services"))</f>
        <v/>
      </c>
    </row>
    <row r="2895" customFormat="false" ht="15" hidden="false" customHeight="false" outlineLevel="0" collapsed="false">
      <c r="G2895" s="41" t="str">
        <f aca="false">IF(E2895="","",IFERROR(IF(ISNUMBER(SEARCH(Assumptions!$C$5,E2895)),Assumptions!$D$5,IF(ISNUMBER(SEARCH(Assumptions!$C$6,E2895)),Assumptions!$D$6,IF(ISNUMBER(SEARCH(Assumptions!$C$7,E2895)),Assumptions!$D$7,"Other Services"))),"Other Services"))</f>
        <v/>
      </c>
    </row>
    <row r="2896" customFormat="false" ht="15" hidden="false" customHeight="false" outlineLevel="0" collapsed="false">
      <c r="G2896" s="41" t="str">
        <f aca="false">IF(E2896="","",IFERROR(IF(ISNUMBER(SEARCH(Assumptions!$C$5,E2896)),Assumptions!$D$5,IF(ISNUMBER(SEARCH(Assumptions!$C$6,E2896)),Assumptions!$D$6,IF(ISNUMBER(SEARCH(Assumptions!$C$7,E2896)),Assumptions!$D$7,"Other Services"))),"Other Services"))</f>
        <v/>
      </c>
    </row>
    <row r="2897" customFormat="false" ht="15" hidden="false" customHeight="false" outlineLevel="0" collapsed="false">
      <c r="G2897" s="41" t="str">
        <f aca="false">IF(E2897="","",IFERROR(IF(ISNUMBER(SEARCH(Assumptions!$C$5,E2897)),Assumptions!$D$5,IF(ISNUMBER(SEARCH(Assumptions!$C$6,E2897)),Assumptions!$D$6,IF(ISNUMBER(SEARCH(Assumptions!$C$7,E2897)),Assumptions!$D$7,"Other Services"))),"Other Services"))</f>
        <v/>
      </c>
    </row>
    <row r="2898" customFormat="false" ht="15" hidden="false" customHeight="false" outlineLevel="0" collapsed="false">
      <c r="G2898" s="41" t="str">
        <f aca="false">IF(E2898="","",IFERROR(IF(ISNUMBER(SEARCH(Assumptions!$C$5,E2898)),Assumptions!$D$5,IF(ISNUMBER(SEARCH(Assumptions!$C$6,E2898)),Assumptions!$D$6,IF(ISNUMBER(SEARCH(Assumptions!$C$7,E2898)),Assumptions!$D$7,"Other Services"))),"Other Services"))</f>
        <v/>
      </c>
    </row>
    <row r="2899" customFormat="false" ht="15" hidden="false" customHeight="false" outlineLevel="0" collapsed="false">
      <c r="G2899" s="41" t="str">
        <f aca="false">IF(E2899="","",IFERROR(IF(ISNUMBER(SEARCH(Assumptions!$C$5,E2899)),Assumptions!$D$5,IF(ISNUMBER(SEARCH(Assumptions!$C$6,E2899)),Assumptions!$D$6,IF(ISNUMBER(SEARCH(Assumptions!$C$7,E2899)),Assumptions!$D$7,"Other Services"))),"Other Services"))</f>
        <v/>
      </c>
    </row>
    <row r="2900" customFormat="false" ht="15" hidden="false" customHeight="false" outlineLevel="0" collapsed="false">
      <c r="G2900" s="41" t="str">
        <f aca="false">IF(E2900="","",IFERROR(IF(ISNUMBER(SEARCH(Assumptions!$C$5,E2900)),Assumptions!$D$5,IF(ISNUMBER(SEARCH(Assumptions!$C$6,E2900)),Assumptions!$D$6,IF(ISNUMBER(SEARCH(Assumptions!$C$7,E2900)),Assumptions!$D$7,"Other Services"))),"Other Services"))</f>
        <v/>
      </c>
    </row>
    <row r="2901" customFormat="false" ht="15" hidden="false" customHeight="false" outlineLevel="0" collapsed="false">
      <c r="G2901" s="41" t="str">
        <f aca="false">IF(E2901="","",IFERROR(IF(ISNUMBER(SEARCH(Assumptions!$C$5,E2901)),Assumptions!$D$5,IF(ISNUMBER(SEARCH(Assumptions!$C$6,E2901)),Assumptions!$D$6,IF(ISNUMBER(SEARCH(Assumptions!$C$7,E2901)),Assumptions!$D$7,"Other Services"))),"Other Services"))</f>
        <v/>
      </c>
    </row>
    <row r="2902" customFormat="false" ht="15" hidden="false" customHeight="false" outlineLevel="0" collapsed="false">
      <c r="G2902" s="41" t="str">
        <f aca="false">IF(E2902="","",IFERROR(IF(ISNUMBER(SEARCH(Assumptions!$C$5,E2902)),Assumptions!$D$5,IF(ISNUMBER(SEARCH(Assumptions!$C$6,E2902)),Assumptions!$D$6,IF(ISNUMBER(SEARCH(Assumptions!$C$7,E2902)),Assumptions!$D$7,"Other Services"))),"Other Services"))</f>
        <v/>
      </c>
    </row>
    <row r="2903" customFormat="false" ht="15" hidden="false" customHeight="false" outlineLevel="0" collapsed="false">
      <c r="G2903" s="41" t="str">
        <f aca="false">IF(E2903="","",IFERROR(IF(ISNUMBER(SEARCH(Assumptions!$C$5,E2903)),Assumptions!$D$5,IF(ISNUMBER(SEARCH(Assumptions!$C$6,E2903)),Assumptions!$D$6,IF(ISNUMBER(SEARCH(Assumptions!$C$7,E2903)),Assumptions!$D$7,"Other Services"))),"Other Services"))</f>
        <v/>
      </c>
    </row>
    <row r="2904" customFormat="false" ht="15" hidden="false" customHeight="false" outlineLevel="0" collapsed="false">
      <c r="G2904" s="41" t="str">
        <f aca="false">IF(E2904="","",IFERROR(IF(ISNUMBER(SEARCH(Assumptions!$C$5,E2904)),Assumptions!$D$5,IF(ISNUMBER(SEARCH(Assumptions!$C$6,E2904)),Assumptions!$D$6,IF(ISNUMBER(SEARCH(Assumptions!$C$7,E2904)),Assumptions!$D$7,"Other Services"))),"Other Services"))</f>
        <v/>
      </c>
    </row>
    <row r="2905" customFormat="false" ht="15" hidden="false" customHeight="false" outlineLevel="0" collapsed="false">
      <c r="G2905" s="41" t="str">
        <f aca="false">IF(E2905="","",IFERROR(IF(ISNUMBER(SEARCH(Assumptions!$C$5,E2905)),Assumptions!$D$5,IF(ISNUMBER(SEARCH(Assumptions!$C$6,E2905)),Assumptions!$D$6,IF(ISNUMBER(SEARCH(Assumptions!$C$7,E2905)),Assumptions!$D$7,"Other Services"))),"Other Services"))</f>
        <v/>
      </c>
    </row>
    <row r="2906" customFormat="false" ht="15" hidden="false" customHeight="false" outlineLevel="0" collapsed="false">
      <c r="G2906" s="41" t="str">
        <f aca="false">IF(E2906="","",IFERROR(IF(ISNUMBER(SEARCH(Assumptions!$C$5,E2906)),Assumptions!$D$5,IF(ISNUMBER(SEARCH(Assumptions!$C$6,E2906)),Assumptions!$D$6,IF(ISNUMBER(SEARCH(Assumptions!$C$7,E2906)),Assumptions!$D$7,"Other Services"))),"Other Services"))</f>
        <v/>
      </c>
    </row>
    <row r="2907" customFormat="false" ht="15" hidden="false" customHeight="false" outlineLevel="0" collapsed="false">
      <c r="G2907" s="41" t="str">
        <f aca="false">IF(E2907="","",IFERROR(IF(ISNUMBER(SEARCH(Assumptions!$C$5,E2907)),Assumptions!$D$5,IF(ISNUMBER(SEARCH(Assumptions!$C$6,E2907)),Assumptions!$D$6,IF(ISNUMBER(SEARCH(Assumptions!$C$7,E2907)),Assumptions!$D$7,"Other Services"))),"Other Services"))</f>
        <v/>
      </c>
    </row>
    <row r="2908" customFormat="false" ht="15" hidden="false" customHeight="false" outlineLevel="0" collapsed="false">
      <c r="G2908" s="41" t="str">
        <f aca="false">IF(E2908="","",IFERROR(IF(ISNUMBER(SEARCH(Assumptions!$C$5,E2908)),Assumptions!$D$5,IF(ISNUMBER(SEARCH(Assumptions!$C$6,E2908)),Assumptions!$D$6,IF(ISNUMBER(SEARCH(Assumptions!$C$7,E2908)),Assumptions!$D$7,"Other Services"))),"Other Services"))</f>
        <v/>
      </c>
    </row>
    <row r="2909" customFormat="false" ht="15" hidden="false" customHeight="false" outlineLevel="0" collapsed="false">
      <c r="G2909" s="41" t="str">
        <f aca="false">IF(E2909="","",IFERROR(IF(ISNUMBER(SEARCH(Assumptions!$C$5,E2909)),Assumptions!$D$5,IF(ISNUMBER(SEARCH(Assumptions!$C$6,E2909)),Assumptions!$D$6,IF(ISNUMBER(SEARCH(Assumptions!$C$7,E2909)),Assumptions!$D$7,"Other Services"))),"Other Services"))</f>
        <v/>
      </c>
    </row>
    <row r="2910" customFormat="false" ht="15" hidden="false" customHeight="false" outlineLevel="0" collapsed="false">
      <c r="G2910" s="41" t="str">
        <f aca="false">IF(E2910="","",IFERROR(IF(ISNUMBER(SEARCH(Assumptions!$C$5,E2910)),Assumptions!$D$5,IF(ISNUMBER(SEARCH(Assumptions!$C$6,E2910)),Assumptions!$D$6,IF(ISNUMBER(SEARCH(Assumptions!$C$7,E2910)),Assumptions!$D$7,"Other Services"))),"Other Services"))</f>
        <v/>
      </c>
    </row>
    <row r="2911" customFormat="false" ht="15" hidden="false" customHeight="false" outlineLevel="0" collapsed="false">
      <c r="G2911" s="41" t="str">
        <f aca="false">IF(E2911="","",IFERROR(IF(ISNUMBER(SEARCH(Assumptions!$C$5,E2911)),Assumptions!$D$5,IF(ISNUMBER(SEARCH(Assumptions!$C$6,E2911)),Assumptions!$D$6,IF(ISNUMBER(SEARCH(Assumptions!$C$7,E2911)),Assumptions!$D$7,"Other Services"))),"Other Services"))</f>
        <v/>
      </c>
    </row>
    <row r="2912" customFormat="false" ht="15" hidden="false" customHeight="false" outlineLevel="0" collapsed="false">
      <c r="G2912" s="41" t="str">
        <f aca="false">IF(E2912="","",IFERROR(IF(ISNUMBER(SEARCH(Assumptions!$C$5,E2912)),Assumptions!$D$5,IF(ISNUMBER(SEARCH(Assumptions!$C$6,E2912)),Assumptions!$D$6,IF(ISNUMBER(SEARCH(Assumptions!$C$7,E2912)),Assumptions!$D$7,"Other Services"))),"Other Services"))</f>
        <v/>
      </c>
    </row>
    <row r="2913" customFormat="false" ht="15" hidden="false" customHeight="false" outlineLevel="0" collapsed="false">
      <c r="G2913" s="41" t="str">
        <f aca="false">IF(E2913="","",IFERROR(IF(ISNUMBER(SEARCH(Assumptions!$C$5,E2913)),Assumptions!$D$5,IF(ISNUMBER(SEARCH(Assumptions!$C$6,E2913)),Assumptions!$D$6,IF(ISNUMBER(SEARCH(Assumptions!$C$7,E2913)),Assumptions!$D$7,"Other Services"))),"Other Services"))</f>
        <v/>
      </c>
    </row>
    <row r="2914" customFormat="false" ht="15" hidden="false" customHeight="false" outlineLevel="0" collapsed="false">
      <c r="G2914" s="41" t="str">
        <f aca="false">IF(E2914="","",IFERROR(IF(ISNUMBER(SEARCH(Assumptions!$C$5,E2914)),Assumptions!$D$5,IF(ISNUMBER(SEARCH(Assumptions!$C$6,E2914)),Assumptions!$D$6,IF(ISNUMBER(SEARCH(Assumptions!$C$7,E2914)),Assumptions!$D$7,"Other Services"))),"Other Services"))</f>
        <v/>
      </c>
    </row>
    <row r="2915" customFormat="false" ht="15" hidden="false" customHeight="false" outlineLevel="0" collapsed="false">
      <c r="G2915" s="41" t="str">
        <f aca="false">IF(E2915="","",IFERROR(IF(ISNUMBER(SEARCH(Assumptions!$C$5,E2915)),Assumptions!$D$5,IF(ISNUMBER(SEARCH(Assumptions!$C$6,E2915)),Assumptions!$D$6,IF(ISNUMBER(SEARCH(Assumptions!$C$7,E2915)),Assumptions!$D$7,"Other Services"))),"Other Services"))</f>
        <v/>
      </c>
    </row>
    <row r="2916" customFormat="false" ht="15" hidden="false" customHeight="false" outlineLevel="0" collapsed="false">
      <c r="G2916" s="41" t="str">
        <f aca="false">IF(E2916="","",IFERROR(IF(ISNUMBER(SEARCH(Assumptions!$C$5,E2916)),Assumptions!$D$5,IF(ISNUMBER(SEARCH(Assumptions!$C$6,E2916)),Assumptions!$D$6,IF(ISNUMBER(SEARCH(Assumptions!$C$7,E2916)),Assumptions!$D$7,"Other Services"))),"Other Services"))</f>
        <v/>
      </c>
    </row>
    <row r="2917" customFormat="false" ht="15" hidden="false" customHeight="false" outlineLevel="0" collapsed="false">
      <c r="G2917" s="41" t="str">
        <f aca="false">IF(E2917="","",IFERROR(IF(ISNUMBER(SEARCH(Assumptions!$C$5,E2917)),Assumptions!$D$5,IF(ISNUMBER(SEARCH(Assumptions!$C$6,E2917)),Assumptions!$D$6,IF(ISNUMBER(SEARCH(Assumptions!$C$7,E2917)),Assumptions!$D$7,"Other Services"))),"Other Services"))</f>
        <v/>
      </c>
    </row>
    <row r="2918" customFormat="false" ht="15" hidden="false" customHeight="false" outlineLevel="0" collapsed="false">
      <c r="G2918" s="41" t="str">
        <f aca="false">IF(E2918="","",IFERROR(IF(ISNUMBER(SEARCH(Assumptions!$C$5,E2918)),Assumptions!$D$5,IF(ISNUMBER(SEARCH(Assumptions!$C$6,E2918)),Assumptions!$D$6,IF(ISNUMBER(SEARCH(Assumptions!$C$7,E2918)),Assumptions!$D$7,"Other Services"))),"Other Services"))</f>
        <v/>
      </c>
    </row>
    <row r="2919" customFormat="false" ht="15" hidden="false" customHeight="false" outlineLevel="0" collapsed="false">
      <c r="G2919" s="41" t="str">
        <f aca="false">IF(E2919="","",IFERROR(IF(ISNUMBER(SEARCH(Assumptions!$C$5,E2919)),Assumptions!$D$5,IF(ISNUMBER(SEARCH(Assumptions!$C$6,E2919)),Assumptions!$D$6,IF(ISNUMBER(SEARCH(Assumptions!$C$7,E2919)),Assumptions!$D$7,"Other Services"))),"Other Services"))</f>
        <v/>
      </c>
    </row>
    <row r="2920" customFormat="false" ht="15" hidden="false" customHeight="false" outlineLevel="0" collapsed="false">
      <c r="G2920" s="41" t="str">
        <f aca="false">IF(E2920="","",IFERROR(IF(ISNUMBER(SEARCH(Assumptions!$C$5,E2920)),Assumptions!$D$5,IF(ISNUMBER(SEARCH(Assumptions!$C$6,E2920)),Assumptions!$D$6,IF(ISNUMBER(SEARCH(Assumptions!$C$7,E2920)),Assumptions!$D$7,"Other Services"))),"Other Services"))</f>
        <v/>
      </c>
    </row>
    <row r="2921" customFormat="false" ht="15" hidden="false" customHeight="false" outlineLevel="0" collapsed="false">
      <c r="G2921" s="41" t="str">
        <f aca="false">IF(E2921="","",IFERROR(IF(ISNUMBER(SEARCH(Assumptions!$C$5,E2921)),Assumptions!$D$5,IF(ISNUMBER(SEARCH(Assumptions!$C$6,E2921)),Assumptions!$D$6,IF(ISNUMBER(SEARCH(Assumptions!$C$7,E2921)),Assumptions!$D$7,"Other Services"))),"Other Services"))</f>
        <v/>
      </c>
    </row>
    <row r="2922" customFormat="false" ht="15" hidden="false" customHeight="false" outlineLevel="0" collapsed="false">
      <c r="G2922" s="41" t="str">
        <f aca="false">IF(E2922="","",IFERROR(IF(ISNUMBER(SEARCH(Assumptions!$C$5,E2922)),Assumptions!$D$5,IF(ISNUMBER(SEARCH(Assumptions!$C$6,E2922)),Assumptions!$D$6,IF(ISNUMBER(SEARCH(Assumptions!$C$7,E2922)),Assumptions!$D$7,"Other Services"))),"Other Services"))</f>
        <v/>
      </c>
    </row>
    <row r="2923" customFormat="false" ht="15" hidden="false" customHeight="false" outlineLevel="0" collapsed="false">
      <c r="G2923" s="41" t="str">
        <f aca="false">IF(E2923="","",IFERROR(IF(ISNUMBER(SEARCH(Assumptions!$C$5,E2923)),Assumptions!$D$5,IF(ISNUMBER(SEARCH(Assumptions!$C$6,E2923)),Assumptions!$D$6,IF(ISNUMBER(SEARCH(Assumptions!$C$7,E2923)),Assumptions!$D$7,"Other Services"))),"Other Services"))</f>
        <v/>
      </c>
    </row>
    <row r="2924" customFormat="false" ht="15" hidden="false" customHeight="false" outlineLevel="0" collapsed="false">
      <c r="G2924" s="41" t="str">
        <f aca="false">IF(E2924="","",IFERROR(IF(ISNUMBER(SEARCH(Assumptions!$C$5,E2924)),Assumptions!$D$5,IF(ISNUMBER(SEARCH(Assumptions!$C$6,E2924)),Assumptions!$D$6,IF(ISNUMBER(SEARCH(Assumptions!$C$7,E2924)),Assumptions!$D$7,"Other Services"))),"Other Services"))</f>
        <v/>
      </c>
    </row>
    <row r="2925" customFormat="false" ht="15" hidden="false" customHeight="false" outlineLevel="0" collapsed="false">
      <c r="G2925" s="41" t="str">
        <f aca="false">IF(E2925="","",IFERROR(IF(ISNUMBER(SEARCH(Assumptions!$C$5,E2925)),Assumptions!$D$5,IF(ISNUMBER(SEARCH(Assumptions!$C$6,E2925)),Assumptions!$D$6,IF(ISNUMBER(SEARCH(Assumptions!$C$7,E2925)),Assumptions!$D$7,"Other Services"))),"Other Services"))</f>
        <v/>
      </c>
    </row>
    <row r="2926" customFormat="false" ht="15" hidden="false" customHeight="false" outlineLevel="0" collapsed="false">
      <c r="G2926" s="41" t="str">
        <f aca="false">IF(E2926="","",IFERROR(IF(ISNUMBER(SEARCH(Assumptions!$C$5,E2926)),Assumptions!$D$5,IF(ISNUMBER(SEARCH(Assumptions!$C$6,E2926)),Assumptions!$D$6,IF(ISNUMBER(SEARCH(Assumptions!$C$7,E2926)),Assumptions!$D$7,"Other Services"))),"Other Services"))</f>
        <v/>
      </c>
    </row>
    <row r="2927" customFormat="false" ht="15" hidden="false" customHeight="false" outlineLevel="0" collapsed="false">
      <c r="G2927" s="41" t="str">
        <f aca="false">IF(E2927="","",IFERROR(IF(ISNUMBER(SEARCH(Assumptions!$C$5,E2927)),Assumptions!$D$5,IF(ISNUMBER(SEARCH(Assumptions!$C$6,E2927)),Assumptions!$D$6,IF(ISNUMBER(SEARCH(Assumptions!$C$7,E2927)),Assumptions!$D$7,"Other Services"))),"Other Services"))</f>
        <v/>
      </c>
    </row>
    <row r="2928" customFormat="false" ht="15" hidden="false" customHeight="false" outlineLevel="0" collapsed="false">
      <c r="G2928" s="41" t="str">
        <f aca="false">IF(E2928="","",IFERROR(IF(ISNUMBER(SEARCH(Assumptions!$C$5,E2928)),Assumptions!$D$5,IF(ISNUMBER(SEARCH(Assumptions!$C$6,E2928)),Assumptions!$D$6,IF(ISNUMBER(SEARCH(Assumptions!$C$7,E2928)),Assumptions!$D$7,"Other Services"))),"Other Services"))</f>
        <v/>
      </c>
    </row>
    <row r="2929" customFormat="false" ht="15" hidden="false" customHeight="false" outlineLevel="0" collapsed="false">
      <c r="G2929" s="41" t="str">
        <f aca="false">IF(E2929="","",IFERROR(IF(ISNUMBER(SEARCH(Assumptions!$C$5,E2929)),Assumptions!$D$5,IF(ISNUMBER(SEARCH(Assumptions!$C$6,E2929)),Assumptions!$D$6,IF(ISNUMBER(SEARCH(Assumptions!$C$7,E2929)),Assumptions!$D$7,"Other Services"))),"Other Services"))</f>
        <v/>
      </c>
    </row>
    <row r="2930" customFormat="false" ht="15" hidden="false" customHeight="false" outlineLevel="0" collapsed="false">
      <c r="G2930" s="41" t="str">
        <f aca="false">IF(E2930="","",IFERROR(IF(ISNUMBER(SEARCH(Assumptions!$C$5,E2930)),Assumptions!$D$5,IF(ISNUMBER(SEARCH(Assumptions!$C$6,E2930)),Assumptions!$D$6,IF(ISNUMBER(SEARCH(Assumptions!$C$7,E2930)),Assumptions!$D$7,"Other Services"))),"Other Services"))</f>
        <v/>
      </c>
    </row>
    <row r="2931" customFormat="false" ht="15" hidden="false" customHeight="false" outlineLevel="0" collapsed="false">
      <c r="G2931" s="41" t="str">
        <f aca="false">IF(E2931="","",IFERROR(IF(ISNUMBER(SEARCH(Assumptions!$C$5,E2931)),Assumptions!$D$5,IF(ISNUMBER(SEARCH(Assumptions!$C$6,E2931)),Assumptions!$D$6,IF(ISNUMBER(SEARCH(Assumptions!$C$7,E2931)),Assumptions!$D$7,"Other Services"))),"Other Services"))</f>
        <v/>
      </c>
    </row>
    <row r="2932" customFormat="false" ht="15" hidden="false" customHeight="false" outlineLevel="0" collapsed="false">
      <c r="G2932" s="41" t="str">
        <f aca="false">IF(E2932="","",IFERROR(IF(ISNUMBER(SEARCH(Assumptions!$C$5,E2932)),Assumptions!$D$5,IF(ISNUMBER(SEARCH(Assumptions!$C$6,E2932)),Assumptions!$D$6,IF(ISNUMBER(SEARCH(Assumptions!$C$7,E2932)),Assumptions!$D$7,"Other Services"))),"Other Services"))</f>
        <v/>
      </c>
    </row>
    <row r="2933" customFormat="false" ht="15" hidden="false" customHeight="false" outlineLevel="0" collapsed="false">
      <c r="G2933" s="41" t="str">
        <f aca="false">IF(E2933="","",IFERROR(IF(ISNUMBER(SEARCH(Assumptions!$C$5,E2933)),Assumptions!$D$5,IF(ISNUMBER(SEARCH(Assumptions!$C$6,E2933)),Assumptions!$D$6,IF(ISNUMBER(SEARCH(Assumptions!$C$7,E2933)),Assumptions!$D$7,"Other Services"))),"Other Services"))</f>
        <v/>
      </c>
    </row>
    <row r="2934" customFormat="false" ht="15" hidden="false" customHeight="false" outlineLevel="0" collapsed="false">
      <c r="G2934" s="41" t="str">
        <f aca="false">IF(E2934="","",IFERROR(IF(ISNUMBER(SEARCH(Assumptions!$C$5,E2934)),Assumptions!$D$5,IF(ISNUMBER(SEARCH(Assumptions!$C$6,E2934)),Assumptions!$D$6,IF(ISNUMBER(SEARCH(Assumptions!$C$7,E2934)),Assumptions!$D$7,"Other Services"))),"Other Services"))</f>
        <v/>
      </c>
    </row>
    <row r="2935" customFormat="false" ht="15" hidden="false" customHeight="false" outlineLevel="0" collapsed="false">
      <c r="G2935" s="41" t="str">
        <f aca="false">IF(E2935="","",IFERROR(IF(ISNUMBER(SEARCH(Assumptions!$C$5,E2935)),Assumptions!$D$5,IF(ISNUMBER(SEARCH(Assumptions!$C$6,E2935)),Assumptions!$D$6,IF(ISNUMBER(SEARCH(Assumptions!$C$7,E2935)),Assumptions!$D$7,"Other Services"))),"Other Services"))</f>
        <v/>
      </c>
    </row>
    <row r="2936" customFormat="false" ht="15" hidden="false" customHeight="false" outlineLevel="0" collapsed="false">
      <c r="G2936" s="41" t="str">
        <f aca="false">IF(E2936="","",IFERROR(IF(ISNUMBER(SEARCH(Assumptions!$C$5,E2936)),Assumptions!$D$5,IF(ISNUMBER(SEARCH(Assumptions!$C$6,E2936)),Assumptions!$D$6,IF(ISNUMBER(SEARCH(Assumptions!$C$7,E2936)),Assumptions!$D$7,"Other Services"))),"Other Services"))</f>
        <v/>
      </c>
    </row>
    <row r="2937" customFormat="false" ht="15" hidden="false" customHeight="false" outlineLevel="0" collapsed="false">
      <c r="G2937" s="41" t="str">
        <f aca="false">IF(E2937="","",IFERROR(IF(ISNUMBER(SEARCH(Assumptions!$C$5,E2937)),Assumptions!$D$5,IF(ISNUMBER(SEARCH(Assumptions!$C$6,E2937)),Assumptions!$D$6,IF(ISNUMBER(SEARCH(Assumptions!$C$7,E2937)),Assumptions!$D$7,"Other Services"))),"Other Services"))</f>
        <v/>
      </c>
    </row>
    <row r="2938" customFormat="false" ht="15" hidden="false" customHeight="false" outlineLevel="0" collapsed="false">
      <c r="G2938" s="41" t="str">
        <f aca="false">IF(E2938="","",IFERROR(IF(ISNUMBER(SEARCH(Assumptions!$C$5,E2938)),Assumptions!$D$5,IF(ISNUMBER(SEARCH(Assumptions!$C$6,E2938)),Assumptions!$D$6,IF(ISNUMBER(SEARCH(Assumptions!$C$7,E2938)),Assumptions!$D$7,"Other Services"))),"Other Services"))</f>
        <v/>
      </c>
    </row>
    <row r="2939" customFormat="false" ht="15" hidden="false" customHeight="false" outlineLevel="0" collapsed="false">
      <c r="G2939" s="41" t="str">
        <f aca="false">IF(E2939="","",IFERROR(IF(ISNUMBER(SEARCH(Assumptions!$C$5,E2939)),Assumptions!$D$5,IF(ISNUMBER(SEARCH(Assumptions!$C$6,E2939)),Assumptions!$D$6,IF(ISNUMBER(SEARCH(Assumptions!$C$7,E2939)),Assumptions!$D$7,"Other Services"))),"Other Services"))</f>
        <v/>
      </c>
    </row>
    <row r="2940" customFormat="false" ht="15" hidden="false" customHeight="false" outlineLevel="0" collapsed="false">
      <c r="G2940" s="41" t="str">
        <f aca="false">IF(E2940="","",IFERROR(IF(ISNUMBER(SEARCH(Assumptions!$C$5,E2940)),Assumptions!$D$5,IF(ISNUMBER(SEARCH(Assumptions!$C$6,E2940)),Assumptions!$D$6,IF(ISNUMBER(SEARCH(Assumptions!$C$7,E2940)),Assumptions!$D$7,"Other Services"))),"Other Services"))</f>
        <v/>
      </c>
    </row>
    <row r="2941" customFormat="false" ht="15" hidden="false" customHeight="false" outlineLevel="0" collapsed="false">
      <c r="G2941" s="41" t="str">
        <f aca="false">IF(E2941="","",IFERROR(IF(ISNUMBER(SEARCH(Assumptions!$C$5,E2941)),Assumptions!$D$5,IF(ISNUMBER(SEARCH(Assumptions!$C$6,E2941)),Assumptions!$D$6,IF(ISNUMBER(SEARCH(Assumptions!$C$7,E2941)),Assumptions!$D$7,"Other Services"))),"Other Services"))</f>
        <v/>
      </c>
    </row>
    <row r="2942" customFormat="false" ht="15" hidden="false" customHeight="false" outlineLevel="0" collapsed="false">
      <c r="G2942" s="41" t="str">
        <f aca="false">IF(E2942="","",IFERROR(IF(ISNUMBER(SEARCH(Assumptions!$C$5,E2942)),Assumptions!$D$5,IF(ISNUMBER(SEARCH(Assumptions!$C$6,E2942)),Assumptions!$D$6,IF(ISNUMBER(SEARCH(Assumptions!$C$7,E2942)),Assumptions!$D$7,"Other Services"))),"Other Services"))</f>
        <v/>
      </c>
    </row>
    <row r="2943" customFormat="false" ht="15" hidden="false" customHeight="false" outlineLevel="0" collapsed="false">
      <c r="G2943" s="41" t="str">
        <f aca="false">IF(E2943="","",IFERROR(IF(ISNUMBER(SEARCH(Assumptions!$C$5,E2943)),Assumptions!$D$5,IF(ISNUMBER(SEARCH(Assumptions!$C$6,E2943)),Assumptions!$D$6,IF(ISNUMBER(SEARCH(Assumptions!$C$7,E2943)),Assumptions!$D$7,"Other Services"))),"Other Services"))</f>
        <v/>
      </c>
    </row>
    <row r="2944" customFormat="false" ht="15" hidden="false" customHeight="false" outlineLevel="0" collapsed="false">
      <c r="G2944" s="41" t="str">
        <f aca="false">IF(E2944="","",IFERROR(IF(ISNUMBER(SEARCH(Assumptions!$C$5,E2944)),Assumptions!$D$5,IF(ISNUMBER(SEARCH(Assumptions!$C$6,E2944)),Assumptions!$D$6,IF(ISNUMBER(SEARCH(Assumptions!$C$7,E2944)),Assumptions!$D$7,"Other Services"))),"Other Services"))</f>
        <v/>
      </c>
    </row>
    <row r="2945" customFormat="false" ht="15" hidden="false" customHeight="false" outlineLevel="0" collapsed="false">
      <c r="G2945" s="41" t="str">
        <f aca="false">IF(E2945="","",IFERROR(IF(ISNUMBER(SEARCH(Assumptions!$C$5,E2945)),Assumptions!$D$5,IF(ISNUMBER(SEARCH(Assumptions!$C$6,E2945)),Assumptions!$D$6,IF(ISNUMBER(SEARCH(Assumptions!$C$7,E2945)),Assumptions!$D$7,"Other Services"))),"Other Services"))</f>
        <v/>
      </c>
    </row>
    <row r="2946" customFormat="false" ht="15" hidden="false" customHeight="false" outlineLevel="0" collapsed="false">
      <c r="G2946" s="41" t="str">
        <f aca="false">IF(E2946="","",IFERROR(IF(ISNUMBER(SEARCH(Assumptions!$C$5,E2946)),Assumptions!$D$5,IF(ISNUMBER(SEARCH(Assumptions!$C$6,E2946)),Assumptions!$D$6,IF(ISNUMBER(SEARCH(Assumptions!$C$7,E2946)),Assumptions!$D$7,"Other Services"))),"Other Services"))</f>
        <v/>
      </c>
    </row>
    <row r="2947" customFormat="false" ht="15" hidden="false" customHeight="false" outlineLevel="0" collapsed="false">
      <c r="G2947" s="41" t="str">
        <f aca="false">IF(E2947="","",IFERROR(IF(ISNUMBER(SEARCH(Assumptions!$C$5,E2947)),Assumptions!$D$5,IF(ISNUMBER(SEARCH(Assumptions!$C$6,E2947)),Assumptions!$D$6,IF(ISNUMBER(SEARCH(Assumptions!$C$7,E2947)),Assumptions!$D$7,"Other Services"))),"Other Services"))</f>
        <v/>
      </c>
    </row>
    <row r="2948" customFormat="false" ht="15" hidden="false" customHeight="false" outlineLevel="0" collapsed="false">
      <c r="G2948" s="41" t="str">
        <f aca="false">IF(E2948="","",IFERROR(IF(ISNUMBER(SEARCH(Assumptions!$C$5,E2948)),Assumptions!$D$5,IF(ISNUMBER(SEARCH(Assumptions!$C$6,E2948)),Assumptions!$D$6,IF(ISNUMBER(SEARCH(Assumptions!$C$7,E2948)),Assumptions!$D$7,"Other Services"))),"Other Services"))</f>
        <v/>
      </c>
    </row>
    <row r="2949" customFormat="false" ht="15" hidden="false" customHeight="false" outlineLevel="0" collapsed="false">
      <c r="G2949" s="41" t="str">
        <f aca="false">IF(E2949="","",IFERROR(IF(ISNUMBER(SEARCH(Assumptions!$C$5,E2949)),Assumptions!$D$5,IF(ISNUMBER(SEARCH(Assumptions!$C$6,E2949)),Assumptions!$D$6,IF(ISNUMBER(SEARCH(Assumptions!$C$7,E2949)),Assumptions!$D$7,"Other Services"))),"Other Services"))</f>
        <v/>
      </c>
    </row>
    <row r="2950" customFormat="false" ht="15" hidden="false" customHeight="false" outlineLevel="0" collapsed="false">
      <c r="G2950" s="41" t="str">
        <f aca="false">IF(E2950="","",IFERROR(IF(ISNUMBER(SEARCH(Assumptions!$C$5,E2950)),Assumptions!$D$5,IF(ISNUMBER(SEARCH(Assumptions!$C$6,E2950)),Assumptions!$D$6,IF(ISNUMBER(SEARCH(Assumptions!$C$7,E2950)),Assumptions!$D$7,"Other Services"))),"Other Services"))</f>
        <v/>
      </c>
    </row>
    <row r="2951" customFormat="false" ht="15" hidden="false" customHeight="false" outlineLevel="0" collapsed="false">
      <c r="G2951" s="41" t="str">
        <f aca="false">IF(E2951="","",IFERROR(IF(ISNUMBER(SEARCH(Assumptions!$C$5,E2951)),Assumptions!$D$5,IF(ISNUMBER(SEARCH(Assumptions!$C$6,E2951)),Assumptions!$D$6,IF(ISNUMBER(SEARCH(Assumptions!$C$7,E2951)),Assumptions!$D$7,"Other Services"))),"Other Services"))</f>
        <v/>
      </c>
    </row>
    <row r="2952" customFormat="false" ht="15" hidden="false" customHeight="false" outlineLevel="0" collapsed="false">
      <c r="G2952" s="41" t="str">
        <f aca="false">IF(E2952="","",IFERROR(IF(ISNUMBER(SEARCH(Assumptions!$C$5,E2952)),Assumptions!$D$5,IF(ISNUMBER(SEARCH(Assumptions!$C$6,E2952)),Assumptions!$D$6,IF(ISNUMBER(SEARCH(Assumptions!$C$7,E2952)),Assumptions!$D$7,"Other Services"))),"Other Services"))</f>
        <v/>
      </c>
    </row>
    <row r="2953" customFormat="false" ht="15" hidden="false" customHeight="false" outlineLevel="0" collapsed="false">
      <c r="G2953" s="41" t="str">
        <f aca="false">IF(E2953="","",IFERROR(IF(ISNUMBER(SEARCH(Assumptions!$C$5,E2953)),Assumptions!$D$5,IF(ISNUMBER(SEARCH(Assumptions!$C$6,E2953)),Assumptions!$D$6,IF(ISNUMBER(SEARCH(Assumptions!$C$7,E2953)),Assumptions!$D$7,"Other Services"))),"Other Services"))</f>
        <v/>
      </c>
    </row>
    <row r="2954" customFormat="false" ht="15" hidden="false" customHeight="false" outlineLevel="0" collapsed="false">
      <c r="G2954" s="41" t="str">
        <f aca="false">IF(E2954="","",IFERROR(IF(ISNUMBER(SEARCH(Assumptions!$C$5,E2954)),Assumptions!$D$5,IF(ISNUMBER(SEARCH(Assumptions!$C$6,E2954)),Assumptions!$D$6,IF(ISNUMBER(SEARCH(Assumptions!$C$7,E2954)),Assumptions!$D$7,"Other Services"))),"Other Services"))</f>
        <v/>
      </c>
    </row>
    <row r="2955" customFormat="false" ht="15" hidden="false" customHeight="false" outlineLevel="0" collapsed="false">
      <c r="G2955" s="41" t="str">
        <f aca="false">IF(E2955="","",IFERROR(IF(ISNUMBER(SEARCH(Assumptions!$C$5,E2955)),Assumptions!$D$5,IF(ISNUMBER(SEARCH(Assumptions!$C$6,E2955)),Assumptions!$D$6,IF(ISNUMBER(SEARCH(Assumptions!$C$7,E2955)),Assumptions!$D$7,"Other Services"))),"Other Services"))</f>
        <v/>
      </c>
    </row>
    <row r="2956" customFormat="false" ht="15" hidden="false" customHeight="false" outlineLevel="0" collapsed="false">
      <c r="G2956" s="41" t="str">
        <f aca="false">IF(E2956="","",IFERROR(IF(ISNUMBER(SEARCH(Assumptions!$C$5,E2956)),Assumptions!$D$5,IF(ISNUMBER(SEARCH(Assumptions!$C$6,E2956)),Assumptions!$D$6,IF(ISNUMBER(SEARCH(Assumptions!$C$7,E2956)),Assumptions!$D$7,"Other Services"))),"Other Services"))</f>
        <v/>
      </c>
    </row>
    <row r="2957" customFormat="false" ht="15" hidden="false" customHeight="false" outlineLevel="0" collapsed="false">
      <c r="G2957" s="41" t="str">
        <f aca="false">IF(E2957="","",IFERROR(IF(ISNUMBER(SEARCH(Assumptions!$C$5,E2957)),Assumptions!$D$5,IF(ISNUMBER(SEARCH(Assumptions!$C$6,E2957)),Assumptions!$D$6,IF(ISNUMBER(SEARCH(Assumptions!$C$7,E2957)),Assumptions!$D$7,"Other Services"))),"Other Services"))</f>
        <v/>
      </c>
    </row>
    <row r="2958" customFormat="false" ht="15" hidden="false" customHeight="false" outlineLevel="0" collapsed="false">
      <c r="G2958" s="41" t="str">
        <f aca="false">IF(E2958="","",IFERROR(IF(ISNUMBER(SEARCH(Assumptions!$C$5,E2958)),Assumptions!$D$5,IF(ISNUMBER(SEARCH(Assumptions!$C$6,E2958)),Assumptions!$D$6,IF(ISNUMBER(SEARCH(Assumptions!$C$7,E2958)),Assumptions!$D$7,"Other Services"))),"Other Services"))</f>
        <v/>
      </c>
    </row>
    <row r="2959" customFormat="false" ht="15" hidden="false" customHeight="false" outlineLevel="0" collapsed="false">
      <c r="G2959" s="41" t="str">
        <f aca="false">IF(E2959="","",IFERROR(IF(ISNUMBER(SEARCH(Assumptions!$C$5,E2959)),Assumptions!$D$5,IF(ISNUMBER(SEARCH(Assumptions!$C$6,E2959)),Assumptions!$D$6,IF(ISNUMBER(SEARCH(Assumptions!$C$7,E2959)),Assumptions!$D$7,"Other Services"))),"Other Services"))</f>
        <v/>
      </c>
    </row>
    <row r="2960" customFormat="false" ht="15" hidden="false" customHeight="false" outlineLevel="0" collapsed="false">
      <c r="G2960" s="41" t="str">
        <f aca="false">IF(E2960="","",IFERROR(IF(ISNUMBER(SEARCH(Assumptions!$C$5,E2960)),Assumptions!$D$5,IF(ISNUMBER(SEARCH(Assumptions!$C$6,E2960)),Assumptions!$D$6,IF(ISNUMBER(SEARCH(Assumptions!$C$7,E2960)),Assumptions!$D$7,"Other Services"))),"Other Services"))</f>
        <v/>
      </c>
    </row>
    <row r="2961" customFormat="false" ht="15" hidden="false" customHeight="false" outlineLevel="0" collapsed="false">
      <c r="G2961" s="41" t="str">
        <f aca="false">IF(E2961="","",IFERROR(IF(ISNUMBER(SEARCH(Assumptions!$C$5,E2961)),Assumptions!$D$5,IF(ISNUMBER(SEARCH(Assumptions!$C$6,E2961)),Assumptions!$D$6,IF(ISNUMBER(SEARCH(Assumptions!$C$7,E2961)),Assumptions!$D$7,"Other Services"))),"Other Services"))</f>
        <v/>
      </c>
    </row>
    <row r="2962" customFormat="false" ht="15" hidden="false" customHeight="false" outlineLevel="0" collapsed="false">
      <c r="G2962" s="41" t="str">
        <f aca="false">IF(E2962="","",IFERROR(IF(ISNUMBER(SEARCH(Assumptions!$C$5,E2962)),Assumptions!$D$5,IF(ISNUMBER(SEARCH(Assumptions!$C$6,E2962)),Assumptions!$D$6,IF(ISNUMBER(SEARCH(Assumptions!$C$7,E2962)),Assumptions!$D$7,"Other Services"))),"Other Services"))</f>
        <v/>
      </c>
    </row>
    <row r="2963" customFormat="false" ht="15" hidden="false" customHeight="false" outlineLevel="0" collapsed="false">
      <c r="G2963" s="41" t="str">
        <f aca="false">IF(E2963="","",IFERROR(IF(ISNUMBER(SEARCH(Assumptions!$C$5,E2963)),Assumptions!$D$5,IF(ISNUMBER(SEARCH(Assumptions!$C$6,E2963)),Assumptions!$D$6,IF(ISNUMBER(SEARCH(Assumptions!$C$7,E2963)),Assumptions!$D$7,"Other Services"))),"Other Services"))</f>
        <v/>
      </c>
    </row>
    <row r="2964" customFormat="false" ht="15" hidden="false" customHeight="false" outlineLevel="0" collapsed="false">
      <c r="G2964" s="41" t="str">
        <f aca="false">IF(E2964="","",IFERROR(IF(ISNUMBER(SEARCH(Assumptions!$C$5,E2964)),Assumptions!$D$5,IF(ISNUMBER(SEARCH(Assumptions!$C$6,E2964)),Assumptions!$D$6,IF(ISNUMBER(SEARCH(Assumptions!$C$7,E2964)),Assumptions!$D$7,"Other Services"))),"Other Services"))</f>
        <v/>
      </c>
    </row>
    <row r="2965" customFormat="false" ht="15" hidden="false" customHeight="false" outlineLevel="0" collapsed="false">
      <c r="G2965" s="41" t="str">
        <f aca="false">IF(E2965="","",IFERROR(IF(ISNUMBER(SEARCH(Assumptions!$C$5,E2965)),Assumptions!$D$5,IF(ISNUMBER(SEARCH(Assumptions!$C$6,E2965)),Assumptions!$D$6,IF(ISNUMBER(SEARCH(Assumptions!$C$7,E2965)),Assumptions!$D$7,"Other Services"))),"Other Services"))</f>
        <v/>
      </c>
    </row>
    <row r="2966" customFormat="false" ht="15" hidden="false" customHeight="false" outlineLevel="0" collapsed="false">
      <c r="G2966" s="41" t="str">
        <f aca="false">IF(E2966="","",IFERROR(IF(ISNUMBER(SEARCH(Assumptions!$C$5,E2966)),Assumptions!$D$5,IF(ISNUMBER(SEARCH(Assumptions!$C$6,E2966)),Assumptions!$D$6,IF(ISNUMBER(SEARCH(Assumptions!$C$7,E2966)),Assumptions!$D$7,"Other Services"))),"Other Services"))</f>
        <v/>
      </c>
    </row>
    <row r="2967" customFormat="false" ht="15" hidden="false" customHeight="false" outlineLevel="0" collapsed="false">
      <c r="G2967" s="41" t="str">
        <f aca="false">IF(E2967="","",IFERROR(IF(ISNUMBER(SEARCH(Assumptions!$C$5,E2967)),Assumptions!$D$5,IF(ISNUMBER(SEARCH(Assumptions!$C$6,E2967)),Assumptions!$D$6,IF(ISNUMBER(SEARCH(Assumptions!$C$7,E2967)),Assumptions!$D$7,"Other Services"))),"Other Services"))</f>
        <v/>
      </c>
    </row>
    <row r="2968" customFormat="false" ht="15" hidden="false" customHeight="false" outlineLevel="0" collapsed="false">
      <c r="G2968" s="41" t="str">
        <f aca="false">IF(E2968="","",IFERROR(IF(ISNUMBER(SEARCH(Assumptions!$C$5,E2968)),Assumptions!$D$5,IF(ISNUMBER(SEARCH(Assumptions!$C$6,E2968)),Assumptions!$D$6,IF(ISNUMBER(SEARCH(Assumptions!$C$7,E2968)),Assumptions!$D$7,"Other Services"))),"Other Services"))</f>
        <v/>
      </c>
    </row>
    <row r="2969" customFormat="false" ht="15" hidden="false" customHeight="false" outlineLevel="0" collapsed="false">
      <c r="G2969" s="41" t="str">
        <f aca="false">IF(E2969="","",IFERROR(IF(ISNUMBER(SEARCH(Assumptions!$C$5,E2969)),Assumptions!$D$5,IF(ISNUMBER(SEARCH(Assumptions!$C$6,E2969)),Assumptions!$D$6,IF(ISNUMBER(SEARCH(Assumptions!$C$7,E2969)),Assumptions!$D$7,"Other Services"))),"Other Services"))</f>
        <v/>
      </c>
    </row>
    <row r="2970" customFormat="false" ht="15" hidden="false" customHeight="false" outlineLevel="0" collapsed="false">
      <c r="G2970" s="41" t="str">
        <f aca="false">IF(E2970="","",IFERROR(IF(ISNUMBER(SEARCH(Assumptions!$C$5,E2970)),Assumptions!$D$5,IF(ISNUMBER(SEARCH(Assumptions!$C$6,E2970)),Assumptions!$D$6,IF(ISNUMBER(SEARCH(Assumptions!$C$7,E2970)),Assumptions!$D$7,"Other Services"))),"Other Services"))</f>
        <v/>
      </c>
    </row>
    <row r="2971" customFormat="false" ht="15" hidden="false" customHeight="false" outlineLevel="0" collapsed="false">
      <c r="G2971" s="41" t="str">
        <f aca="false">IF(E2971="","",IFERROR(IF(ISNUMBER(SEARCH(Assumptions!$C$5,E2971)),Assumptions!$D$5,IF(ISNUMBER(SEARCH(Assumptions!$C$6,E2971)),Assumptions!$D$6,IF(ISNUMBER(SEARCH(Assumptions!$C$7,E2971)),Assumptions!$D$7,"Other Services"))),"Other Services"))</f>
        <v/>
      </c>
    </row>
    <row r="2972" customFormat="false" ht="15" hidden="false" customHeight="false" outlineLevel="0" collapsed="false">
      <c r="G2972" s="41" t="str">
        <f aca="false">IF(E2972="","",IFERROR(IF(ISNUMBER(SEARCH(Assumptions!$C$5,E2972)),Assumptions!$D$5,IF(ISNUMBER(SEARCH(Assumptions!$C$6,E2972)),Assumptions!$D$6,IF(ISNUMBER(SEARCH(Assumptions!$C$7,E2972)),Assumptions!$D$7,"Other Services"))),"Other Services"))</f>
        <v/>
      </c>
    </row>
    <row r="2973" customFormat="false" ht="15" hidden="false" customHeight="false" outlineLevel="0" collapsed="false">
      <c r="G2973" s="41" t="str">
        <f aca="false">IF(E2973="","",IFERROR(IF(ISNUMBER(SEARCH(Assumptions!$C$5,E2973)),Assumptions!$D$5,IF(ISNUMBER(SEARCH(Assumptions!$C$6,E2973)),Assumptions!$D$6,IF(ISNUMBER(SEARCH(Assumptions!$C$7,E2973)),Assumptions!$D$7,"Other Services"))),"Other Services"))</f>
        <v/>
      </c>
    </row>
    <row r="2974" customFormat="false" ht="15" hidden="false" customHeight="false" outlineLevel="0" collapsed="false">
      <c r="G2974" s="41" t="str">
        <f aca="false">IF(E2974="","",IFERROR(IF(ISNUMBER(SEARCH(Assumptions!$C$5,E2974)),Assumptions!$D$5,IF(ISNUMBER(SEARCH(Assumptions!$C$6,E2974)),Assumptions!$D$6,IF(ISNUMBER(SEARCH(Assumptions!$C$7,E2974)),Assumptions!$D$7,"Other Services"))),"Other Services"))</f>
        <v/>
      </c>
    </row>
    <row r="2975" customFormat="false" ht="15" hidden="false" customHeight="false" outlineLevel="0" collapsed="false">
      <c r="G2975" s="41" t="str">
        <f aca="false">IF(E2975="","",IFERROR(IF(ISNUMBER(SEARCH(Assumptions!$C$5,E2975)),Assumptions!$D$5,IF(ISNUMBER(SEARCH(Assumptions!$C$6,E2975)),Assumptions!$D$6,IF(ISNUMBER(SEARCH(Assumptions!$C$7,E2975)),Assumptions!$D$7,"Other Services"))),"Other Services"))</f>
        <v/>
      </c>
    </row>
    <row r="2976" customFormat="false" ht="15" hidden="false" customHeight="false" outlineLevel="0" collapsed="false">
      <c r="G2976" s="41" t="str">
        <f aca="false">IF(E2976="","",IFERROR(IF(ISNUMBER(SEARCH(Assumptions!$C$5,E2976)),Assumptions!$D$5,IF(ISNUMBER(SEARCH(Assumptions!$C$6,E2976)),Assumptions!$D$6,IF(ISNUMBER(SEARCH(Assumptions!$C$7,E2976)),Assumptions!$D$7,"Other Services"))),"Other Services"))</f>
        <v/>
      </c>
    </row>
    <row r="2977" customFormat="false" ht="15" hidden="false" customHeight="false" outlineLevel="0" collapsed="false">
      <c r="G2977" s="41" t="str">
        <f aca="false">IF(E2977="","",IFERROR(IF(ISNUMBER(SEARCH(Assumptions!$C$5,E2977)),Assumptions!$D$5,IF(ISNUMBER(SEARCH(Assumptions!$C$6,E2977)),Assumptions!$D$6,IF(ISNUMBER(SEARCH(Assumptions!$C$7,E2977)),Assumptions!$D$7,"Other Services"))),"Other Services"))</f>
        <v/>
      </c>
    </row>
    <row r="2978" customFormat="false" ht="15" hidden="false" customHeight="false" outlineLevel="0" collapsed="false">
      <c r="G2978" s="41" t="str">
        <f aca="false">IF(E2978="","",IFERROR(IF(ISNUMBER(SEARCH(Assumptions!$C$5,E2978)),Assumptions!$D$5,IF(ISNUMBER(SEARCH(Assumptions!$C$6,E2978)),Assumptions!$D$6,IF(ISNUMBER(SEARCH(Assumptions!$C$7,E2978)),Assumptions!$D$7,"Other Services"))),"Other Services"))</f>
        <v/>
      </c>
    </row>
    <row r="2979" customFormat="false" ht="15" hidden="false" customHeight="false" outlineLevel="0" collapsed="false">
      <c r="G2979" s="41" t="str">
        <f aca="false">IF(E2979="","",IFERROR(IF(ISNUMBER(SEARCH(Assumptions!$C$5,E2979)),Assumptions!$D$5,IF(ISNUMBER(SEARCH(Assumptions!$C$6,E2979)),Assumptions!$D$6,IF(ISNUMBER(SEARCH(Assumptions!$C$7,E2979)),Assumptions!$D$7,"Other Services"))),"Other Services"))</f>
        <v/>
      </c>
    </row>
    <row r="2980" customFormat="false" ht="15" hidden="false" customHeight="false" outlineLevel="0" collapsed="false">
      <c r="G2980" s="41" t="str">
        <f aca="false">IF(E2980="","",IFERROR(IF(ISNUMBER(SEARCH(Assumptions!$C$5,E2980)),Assumptions!$D$5,IF(ISNUMBER(SEARCH(Assumptions!$C$6,E2980)),Assumptions!$D$6,IF(ISNUMBER(SEARCH(Assumptions!$C$7,E2980)),Assumptions!$D$7,"Other Services"))),"Other Services"))</f>
        <v/>
      </c>
    </row>
    <row r="2981" customFormat="false" ht="15" hidden="false" customHeight="false" outlineLevel="0" collapsed="false">
      <c r="G2981" s="41" t="str">
        <f aca="false">IF(E2981="","",IFERROR(IF(ISNUMBER(SEARCH(Assumptions!$C$5,E2981)),Assumptions!$D$5,IF(ISNUMBER(SEARCH(Assumptions!$C$6,E2981)),Assumptions!$D$6,IF(ISNUMBER(SEARCH(Assumptions!$C$7,E2981)),Assumptions!$D$7,"Other Services"))),"Other Services"))</f>
        <v/>
      </c>
    </row>
    <row r="2982" customFormat="false" ht="15" hidden="false" customHeight="false" outlineLevel="0" collapsed="false">
      <c r="G2982" s="41" t="str">
        <f aca="false">IF(E2982="","",IFERROR(IF(ISNUMBER(SEARCH(Assumptions!$C$5,E2982)),Assumptions!$D$5,IF(ISNUMBER(SEARCH(Assumptions!$C$6,E2982)),Assumptions!$D$6,IF(ISNUMBER(SEARCH(Assumptions!$C$7,E2982)),Assumptions!$D$7,"Other Services"))),"Other Services"))</f>
        <v/>
      </c>
    </row>
    <row r="2983" customFormat="false" ht="15" hidden="false" customHeight="false" outlineLevel="0" collapsed="false">
      <c r="G2983" s="41" t="str">
        <f aca="false">IF(E2983="","",IFERROR(IF(ISNUMBER(SEARCH(Assumptions!$C$5,E2983)),Assumptions!$D$5,IF(ISNUMBER(SEARCH(Assumptions!$C$6,E2983)),Assumptions!$D$6,IF(ISNUMBER(SEARCH(Assumptions!$C$7,E2983)),Assumptions!$D$7,"Other Services"))),"Other Services"))</f>
        <v/>
      </c>
    </row>
    <row r="2984" customFormat="false" ht="15" hidden="false" customHeight="false" outlineLevel="0" collapsed="false">
      <c r="G2984" s="41" t="str">
        <f aca="false">IF(E2984="","",IFERROR(IF(ISNUMBER(SEARCH(Assumptions!$C$5,E2984)),Assumptions!$D$5,IF(ISNUMBER(SEARCH(Assumptions!$C$6,E2984)),Assumptions!$D$6,IF(ISNUMBER(SEARCH(Assumptions!$C$7,E2984)),Assumptions!$D$7,"Other Services"))),"Other Services"))</f>
        <v/>
      </c>
    </row>
    <row r="2985" customFormat="false" ht="15" hidden="false" customHeight="false" outlineLevel="0" collapsed="false">
      <c r="G2985" s="41" t="str">
        <f aca="false">IF(E2985="","",IFERROR(IF(ISNUMBER(SEARCH(Assumptions!$C$5,E2985)),Assumptions!$D$5,IF(ISNUMBER(SEARCH(Assumptions!$C$6,E2985)),Assumptions!$D$6,IF(ISNUMBER(SEARCH(Assumptions!$C$7,E2985)),Assumptions!$D$7,"Other Services"))),"Other Services"))</f>
        <v/>
      </c>
    </row>
    <row r="2986" customFormat="false" ht="15" hidden="false" customHeight="false" outlineLevel="0" collapsed="false">
      <c r="G2986" s="41" t="str">
        <f aca="false">IF(E2986="","",IFERROR(IF(ISNUMBER(SEARCH(Assumptions!$C$5,E2986)),Assumptions!$D$5,IF(ISNUMBER(SEARCH(Assumptions!$C$6,E2986)),Assumptions!$D$6,IF(ISNUMBER(SEARCH(Assumptions!$C$7,E2986)),Assumptions!$D$7,"Other Services"))),"Other Services"))</f>
        <v/>
      </c>
    </row>
    <row r="2987" customFormat="false" ht="15" hidden="false" customHeight="false" outlineLevel="0" collapsed="false">
      <c r="G2987" s="41" t="str">
        <f aca="false">IF(E2987="","",IFERROR(IF(ISNUMBER(SEARCH(Assumptions!$C$5,E2987)),Assumptions!$D$5,IF(ISNUMBER(SEARCH(Assumptions!$C$6,E2987)),Assumptions!$D$6,IF(ISNUMBER(SEARCH(Assumptions!$C$7,E2987)),Assumptions!$D$7,"Other Services"))),"Other Services"))</f>
        <v/>
      </c>
    </row>
    <row r="2988" customFormat="false" ht="15" hidden="false" customHeight="false" outlineLevel="0" collapsed="false">
      <c r="G2988" s="41" t="str">
        <f aca="false">IF(E2988="","",IFERROR(IF(ISNUMBER(SEARCH(Assumptions!$C$5,E2988)),Assumptions!$D$5,IF(ISNUMBER(SEARCH(Assumptions!$C$6,E2988)),Assumptions!$D$6,IF(ISNUMBER(SEARCH(Assumptions!$C$7,E2988)),Assumptions!$D$7,"Other Services"))),"Other Services"))</f>
        <v/>
      </c>
    </row>
    <row r="2989" customFormat="false" ht="15" hidden="false" customHeight="false" outlineLevel="0" collapsed="false">
      <c r="G2989" s="41" t="str">
        <f aca="false">IF(E2989="","",IFERROR(IF(ISNUMBER(SEARCH(Assumptions!$C$5,E2989)),Assumptions!$D$5,IF(ISNUMBER(SEARCH(Assumptions!$C$6,E2989)),Assumptions!$D$6,IF(ISNUMBER(SEARCH(Assumptions!$C$7,E2989)),Assumptions!$D$7,"Other Services"))),"Other Services"))</f>
        <v/>
      </c>
    </row>
    <row r="2990" customFormat="false" ht="15" hidden="false" customHeight="false" outlineLevel="0" collapsed="false">
      <c r="G2990" s="41" t="str">
        <f aca="false">IF(E2990="","",IFERROR(IF(ISNUMBER(SEARCH(Assumptions!$C$5,E2990)),Assumptions!$D$5,IF(ISNUMBER(SEARCH(Assumptions!$C$6,E2990)),Assumptions!$D$6,IF(ISNUMBER(SEARCH(Assumptions!$C$7,E2990)),Assumptions!$D$7,"Other Services"))),"Other Services"))</f>
        <v/>
      </c>
    </row>
    <row r="2991" customFormat="false" ht="15" hidden="false" customHeight="false" outlineLevel="0" collapsed="false">
      <c r="G2991" s="41" t="str">
        <f aca="false">IF(E2991="","",IFERROR(IF(ISNUMBER(SEARCH(Assumptions!$C$5,E2991)),Assumptions!$D$5,IF(ISNUMBER(SEARCH(Assumptions!$C$6,E2991)),Assumptions!$D$6,IF(ISNUMBER(SEARCH(Assumptions!$C$7,E2991)),Assumptions!$D$7,"Other Services"))),"Other Services"))</f>
        <v/>
      </c>
    </row>
    <row r="2992" customFormat="false" ht="15" hidden="false" customHeight="false" outlineLevel="0" collapsed="false">
      <c r="G2992" s="41" t="str">
        <f aca="false">IF(E2992="","",IFERROR(IF(ISNUMBER(SEARCH(Assumptions!$C$5,E2992)),Assumptions!$D$5,IF(ISNUMBER(SEARCH(Assumptions!$C$6,E2992)),Assumptions!$D$6,IF(ISNUMBER(SEARCH(Assumptions!$C$7,E2992)),Assumptions!$D$7,"Other Services"))),"Other Services"))</f>
        <v/>
      </c>
    </row>
    <row r="2993" customFormat="false" ht="15" hidden="false" customHeight="false" outlineLevel="0" collapsed="false">
      <c r="G2993" s="41" t="str">
        <f aca="false">IF(E2993="","",IFERROR(IF(ISNUMBER(SEARCH(Assumptions!$C$5,E2993)),Assumptions!$D$5,IF(ISNUMBER(SEARCH(Assumptions!$C$6,E2993)),Assumptions!$D$6,IF(ISNUMBER(SEARCH(Assumptions!$C$7,E2993)),Assumptions!$D$7,"Other Services"))),"Other Services"))</f>
        <v/>
      </c>
    </row>
    <row r="2994" customFormat="false" ht="15" hidden="false" customHeight="false" outlineLevel="0" collapsed="false">
      <c r="G2994" s="41" t="str">
        <f aca="false">IF(E2994="","",IFERROR(IF(ISNUMBER(SEARCH(Assumptions!$C$5,E2994)),Assumptions!$D$5,IF(ISNUMBER(SEARCH(Assumptions!$C$6,E2994)),Assumptions!$D$6,IF(ISNUMBER(SEARCH(Assumptions!$C$7,E2994)),Assumptions!$D$7,"Other Services"))),"Other Services"))</f>
        <v/>
      </c>
    </row>
    <row r="2995" customFormat="false" ht="15" hidden="false" customHeight="false" outlineLevel="0" collapsed="false">
      <c r="G2995" s="41" t="str">
        <f aca="false">IF(E2995="","",IFERROR(IF(ISNUMBER(SEARCH(Assumptions!$C$5,E2995)),Assumptions!$D$5,IF(ISNUMBER(SEARCH(Assumptions!$C$6,E2995)),Assumptions!$D$6,IF(ISNUMBER(SEARCH(Assumptions!$C$7,E2995)),Assumptions!$D$7,"Other Services"))),"Other Services"))</f>
        <v/>
      </c>
    </row>
    <row r="2996" customFormat="false" ht="15" hidden="false" customHeight="false" outlineLevel="0" collapsed="false">
      <c r="G2996" s="41" t="str">
        <f aca="false">IF(E2996="","",IFERROR(IF(ISNUMBER(SEARCH(Assumptions!$C$5,E2996)),Assumptions!$D$5,IF(ISNUMBER(SEARCH(Assumptions!$C$6,E2996)),Assumptions!$D$6,IF(ISNUMBER(SEARCH(Assumptions!$C$7,E2996)),Assumptions!$D$7,"Other Services"))),"Other Services"))</f>
        <v/>
      </c>
    </row>
    <row r="2997" customFormat="false" ht="15" hidden="false" customHeight="false" outlineLevel="0" collapsed="false">
      <c r="G2997" s="41" t="str">
        <f aca="false">IF(E2997="","",IFERROR(IF(ISNUMBER(SEARCH(Assumptions!$C$5,E2997)),Assumptions!$D$5,IF(ISNUMBER(SEARCH(Assumptions!$C$6,E2997)),Assumptions!$D$6,IF(ISNUMBER(SEARCH(Assumptions!$C$7,E2997)),Assumptions!$D$7,"Other Services"))),"Other Services"))</f>
        <v/>
      </c>
    </row>
    <row r="2998" customFormat="false" ht="15" hidden="false" customHeight="false" outlineLevel="0" collapsed="false">
      <c r="G2998" s="41" t="str">
        <f aca="false">IF(E2998="","",IFERROR(IF(ISNUMBER(SEARCH(Assumptions!$C$5,E2998)),Assumptions!$D$5,IF(ISNUMBER(SEARCH(Assumptions!$C$6,E2998)),Assumptions!$D$6,IF(ISNUMBER(SEARCH(Assumptions!$C$7,E2998)),Assumptions!$D$7,"Other Services"))),"Other Services"))</f>
        <v/>
      </c>
    </row>
    <row r="2999" customFormat="false" ht="15" hidden="false" customHeight="false" outlineLevel="0" collapsed="false">
      <c r="G2999" s="41" t="str">
        <f aca="false">IF(E2999="","",IFERROR(IF(ISNUMBER(SEARCH(Assumptions!$C$5,E2999)),Assumptions!$D$5,IF(ISNUMBER(SEARCH(Assumptions!$C$6,E2999)),Assumptions!$D$6,IF(ISNUMBER(SEARCH(Assumptions!$C$7,E2999)),Assumptions!$D$7,"Other Services"))),"Other Services"))</f>
        <v/>
      </c>
    </row>
    <row r="3000" customFormat="false" ht="15" hidden="false" customHeight="false" outlineLevel="0" collapsed="false">
      <c r="G3000" s="41" t="str">
        <f aca="false">IF(E3000="","",IFERROR(IF(ISNUMBER(SEARCH(Assumptions!$C$5,E3000)),Assumptions!$D$5,IF(ISNUMBER(SEARCH(Assumptions!$C$6,E3000)),Assumptions!$D$6,IF(ISNUMBER(SEARCH(Assumptions!$C$7,E3000)),Assumptions!$D$7,"Other Services"))),"Other Services"))</f>
        <v/>
      </c>
    </row>
    <row r="3001" customFormat="false" ht="15" hidden="false" customHeight="false" outlineLevel="0" collapsed="false">
      <c r="G3001" s="41" t="str">
        <f aca="false">IF(E3001="","",IFERROR(IF(ISNUMBER(SEARCH(Assumptions!$C$5,E3001)),Assumptions!$D$5,IF(ISNUMBER(SEARCH(Assumptions!$C$6,E3001)),Assumptions!$D$6,IF(ISNUMBER(SEARCH(Assumptions!$C$7,E3001)),Assumptions!$D$7,"Other Services"))),"Other Services"))</f>
        <v/>
      </c>
    </row>
    <row r="3002" customFormat="false" ht="15" hidden="false" customHeight="false" outlineLevel="0" collapsed="false">
      <c r="G3002" s="41" t="str">
        <f aca="false">IF(E3002="","",IFERROR(IF(ISNUMBER(SEARCH(Assumptions!$C$5,E3002)),Assumptions!$D$5,IF(ISNUMBER(SEARCH(Assumptions!$C$6,E3002)),Assumptions!$D$6,IF(ISNUMBER(SEARCH(Assumptions!$C$7,E3002)),Assumptions!$D$7,"Other Services"))),"Other Services"))</f>
        <v/>
      </c>
    </row>
    <row r="3003" customFormat="false" ht="15" hidden="false" customHeight="false" outlineLevel="0" collapsed="false">
      <c r="G3003" s="41" t="str">
        <f aca="false">IF(E3003="","",IFERROR(IF(ISNUMBER(SEARCH(Assumptions!$C$5,E3003)),Assumptions!$D$5,IF(ISNUMBER(SEARCH(Assumptions!$C$6,E3003)),Assumptions!$D$6,IF(ISNUMBER(SEARCH(Assumptions!$C$7,E3003)),Assumptions!$D$7,"Other Services"))),"Other Services"))</f>
        <v/>
      </c>
    </row>
    <row r="3004" customFormat="false" ht="15" hidden="false" customHeight="false" outlineLevel="0" collapsed="false">
      <c r="G3004" s="41" t="str">
        <f aca="false">IF(E3004="","",IFERROR(IF(ISNUMBER(SEARCH(Assumptions!$C$5,E3004)),Assumptions!$D$5,IF(ISNUMBER(SEARCH(Assumptions!$C$6,E3004)),Assumptions!$D$6,IF(ISNUMBER(SEARCH(Assumptions!$C$7,E3004)),Assumptions!$D$7,"Other Services"))),"Other Services"))</f>
        <v/>
      </c>
    </row>
    <row r="3005" customFormat="false" ht="15" hidden="false" customHeight="false" outlineLevel="0" collapsed="false">
      <c r="G3005" s="41" t="str">
        <f aca="false">IF(E3005="","",IFERROR(IF(ISNUMBER(SEARCH(Assumptions!$C$5,E3005)),Assumptions!$D$5,IF(ISNUMBER(SEARCH(Assumptions!$C$6,E3005)),Assumptions!$D$6,IF(ISNUMBER(SEARCH(Assumptions!$C$7,E3005)),Assumptions!$D$7,"Other Services"))),"Other Services"))</f>
        <v/>
      </c>
    </row>
    <row r="3006" customFormat="false" ht="15" hidden="false" customHeight="false" outlineLevel="0" collapsed="false">
      <c r="G3006" s="41" t="str">
        <f aca="false">IF(E3006="","",IFERROR(IF(ISNUMBER(SEARCH(Assumptions!$C$5,E3006)),Assumptions!$D$5,IF(ISNUMBER(SEARCH(Assumptions!$C$6,E3006)),Assumptions!$D$6,IF(ISNUMBER(SEARCH(Assumptions!$C$7,E3006)),Assumptions!$D$7,"Other Services"))),"Other Services"))</f>
        <v/>
      </c>
    </row>
    <row r="3007" customFormat="false" ht="15" hidden="false" customHeight="false" outlineLevel="0" collapsed="false">
      <c r="G3007" s="41" t="str">
        <f aca="false">IF(E3007="","",IFERROR(IF(ISNUMBER(SEARCH(Assumptions!$C$5,E3007)),Assumptions!$D$5,IF(ISNUMBER(SEARCH(Assumptions!$C$6,E3007)),Assumptions!$D$6,IF(ISNUMBER(SEARCH(Assumptions!$C$7,E3007)),Assumptions!$D$7,"Other Services"))),"Other Services"))</f>
        <v/>
      </c>
    </row>
    <row r="3008" customFormat="false" ht="15" hidden="false" customHeight="false" outlineLevel="0" collapsed="false">
      <c r="G3008" s="41" t="str">
        <f aca="false">IF(E3008="","",IFERROR(IF(ISNUMBER(SEARCH(Assumptions!$C$5,E3008)),Assumptions!$D$5,IF(ISNUMBER(SEARCH(Assumptions!$C$6,E3008)),Assumptions!$D$6,IF(ISNUMBER(SEARCH(Assumptions!$C$7,E3008)),Assumptions!$D$7,"Other Services"))),"Other Services"))</f>
        <v/>
      </c>
    </row>
    <row r="3009" customFormat="false" ht="15" hidden="false" customHeight="false" outlineLevel="0" collapsed="false">
      <c r="G3009" s="41" t="str">
        <f aca="false">IF(E3009="","",IFERROR(IF(ISNUMBER(SEARCH(Assumptions!$C$5,E3009)),Assumptions!$D$5,IF(ISNUMBER(SEARCH(Assumptions!$C$6,E3009)),Assumptions!$D$6,IF(ISNUMBER(SEARCH(Assumptions!$C$7,E3009)),Assumptions!$D$7,"Other Services"))),"Other Services"))</f>
        <v/>
      </c>
    </row>
    <row r="3010" customFormat="false" ht="15" hidden="false" customHeight="false" outlineLevel="0" collapsed="false">
      <c r="G3010" s="41" t="str">
        <f aca="false">IF(E3010="","",IFERROR(IF(ISNUMBER(SEARCH(Assumptions!$C$5,E3010)),Assumptions!$D$5,IF(ISNUMBER(SEARCH(Assumptions!$C$6,E3010)),Assumptions!$D$6,IF(ISNUMBER(SEARCH(Assumptions!$C$7,E3010)),Assumptions!$D$7,"Other Services"))),"Other Services"))</f>
        <v/>
      </c>
    </row>
    <row r="3011" customFormat="false" ht="15" hidden="false" customHeight="false" outlineLevel="0" collapsed="false">
      <c r="G3011" s="41" t="str">
        <f aca="false">IF(E3011="","",IFERROR(IF(ISNUMBER(SEARCH(Assumptions!$C$5,E3011)),Assumptions!$D$5,IF(ISNUMBER(SEARCH(Assumptions!$C$6,E3011)),Assumptions!$D$6,IF(ISNUMBER(SEARCH(Assumptions!$C$7,E3011)),Assumptions!$D$7,"Other Services"))),"Other Services"))</f>
        <v/>
      </c>
    </row>
    <row r="3012" customFormat="false" ht="15" hidden="false" customHeight="false" outlineLevel="0" collapsed="false">
      <c r="G3012" s="41" t="str">
        <f aca="false">IF(E3012="","",IFERROR(IF(ISNUMBER(SEARCH(Assumptions!$C$5,E3012)),Assumptions!$D$5,IF(ISNUMBER(SEARCH(Assumptions!$C$6,E3012)),Assumptions!$D$6,IF(ISNUMBER(SEARCH(Assumptions!$C$7,E3012)),Assumptions!$D$7,"Other Services"))),"Other Services"))</f>
        <v/>
      </c>
    </row>
    <row r="3013" customFormat="false" ht="15" hidden="false" customHeight="false" outlineLevel="0" collapsed="false">
      <c r="G3013" s="41" t="str">
        <f aca="false">IF(E3013="","",IFERROR(IF(ISNUMBER(SEARCH(Assumptions!$C$5,E3013)),Assumptions!$D$5,IF(ISNUMBER(SEARCH(Assumptions!$C$6,E3013)),Assumptions!$D$6,IF(ISNUMBER(SEARCH(Assumptions!$C$7,E3013)),Assumptions!$D$7,"Other Services"))),"Other Services"))</f>
        <v/>
      </c>
    </row>
    <row r="3014" customFormat="false" ht="15" hidden="false" customHeight="false" outlineLevel="0" collapsed="false">
      <c r="G3014" s="41" t="str">
        <f aca="false">IF(E3014="","",IFERROR(IF(ISNUMBER(SEARCH(Assumptions!$C$5,E3014)),Assumptions!$D$5,IF(ISNUMBER(SEARCH(Assumptions!$C$6,E3014)),Assumptions!$D$6,IF(ISNUMBER(SEARCH(Assumptions!$C$7,E3014)),Assumptions!$D$7,"Other Services"))),"Other Services"))</f>
        <v/>
      </c>
    </row>
    <row r="3015" customFormat="false" ht="15" hidden="false" customHeight="false" outlineLevel="0" collapsed="false">
      <c r="G3015" s="41" t="str">
        <f aca="false">IF(E3015="","",IFERROR(IF(ISNUMBER(SEARCH(Assumptions!$C$5,E3015)),Assumptions!$D$5,IF(ISNUMBER(SEARCH(Assumptions!$C$6,E3015)),Assumptions!$D$6,IF(ISNUMBER(SEARCH(Assumptions!$C$7,E3015)),Assumptions!$D$7,"Other Services"))),"Other Services"))</f>
        <v/>
      </c>
    </row>
    <row r="3016" customFormat="false" ht="15" hidden="false" customHeight="false" outlineLevel="0" collapsed="false">
      <c r="G3016" s="41" t="str">
        <f aca="false">IF(E3016="","",IFERROR(IF(ISNUMBER(SEARCH(Assumptions!$C$5,E3016)),Assumptions!$D$5,IF(ISNUMBER(SEARCH(Assumptions!$C$6,E3016)),Assumptions!$D$6,IF(ISNUMBER(SEARCH(Assumptions!$C$7,E3016)),Assumptions!$D$7,"Other Services"))),"Other Services"))</f>
        <v/>
      </c>
    </row>
    <row r="3017" customFormat="false" ht="15" hidden="false" customHeight="false" outlineLevel="0" collapsed="false">
      <c r="G3017" s="41" t="str">
        <f aca="false">IF(E3017="","",IFERROR(IF(ISNUMBER(SEARCH(Assumptions!$C$5,E3017)),Assumptions!$D$5,IF(ISNUMBER(SEARCH(Assumptions!$C$6,E3017)),Assumptions!$D$6,IF(ISNUMBER(SEARCH(Assumptions!$C$7,E3017)),Assumptions!$D$7,"Other Services"))),"Other Services"))</f>
        <v/>
      </c>
    </row>
    <row r="3018" customFormat="false" ht="15" hidden="false" customHeight="false" outlineLevel="0" collapsed="false">
      <c r="G3018" s="41" t="str">
        <f aca="false">IF(E3018="","",IFERROR(IF(ISNUMBER(SEARCH(Assumptions!$C$5,E3018)),Assumptions!$D$5,IF(ISNUMBER(SEARCH(Assumptions!$C$6,E3018)),Assumptions!$D$6,IF(ISNUMBER(SEARCH(Assumptions!$C$7,E3018)),Assumptions!$D$7,"Other Services"))),"Other Services"))</f>
        <v/>
      </c>
    </row>
    <row r="3019" customFormat="false" ht="15" hidden="false" customHeight="false" outlineLevel="0" collapsed="false">
      <c r="G3019" s="41" t="str">
        <f aca="false">IF(E3019="","",IFERROR(IF(ISNUMBER(SEARCH(Assumptions!$C$5,E3019)),Assumptions!$D$5,IF(ISNUMBER(SEARCH(Assumptions!$C$6,E3019)),Assumptions!$D$6,IF(ISNUMBER(SEARCH(Assumptions!$C$7,E3019)),Assumptions!$D$7,"Other Services"))),"Other Services"))</f>
        <v/>
      </c>
    </row>
    <row r="3020" customFormat="false" ht="15" hidden="false" customHeight="false" outlineLevel="0" collapsed="false">
      <c r="G3020" s="41" t="str">
        <f aca="false">IF(E3020="","",IFERROR(IF(ISNUMBER(SEARCH(Assumptions!$C$5,E3020)),Assumptions!$D$5,IF(ISNUMBER(SEARCH(Assumptions!$C$6,E3020)),Assumptions!$D$6,IF(ISNUMBER(SEARCH(Assumptions!$C$7,E3020)),Assumptions!$D$7,"Other Services"))),"Other Services"))</f>
        <v/>
      </c>
    </row>
    <row r="3021" customFormat="false" ht="15" hidden="false" customHeight="false" outlineLevel="0" collapsed="false">
      <c r="G3021" s="41" t="str">
        <f aca="false">IF(E3021="","",IFERROR(IF(ISNUMBER(SEARCH(Assumptions!$C$5,E3021)),Assumptions!$D$5,IF(ISNUMBER(SEARCH(Assumptions!$C$6,E3021)),Assumptions!$D$6,IF(ISNUMBER(SEARCH(Assumptions!$C$7,E3021)),Assumptions!$D$7,"Other Services"))),"Other Services"))</f>
        <v/>
      </c>
    </row>
    <row r="3022" customFormat="false" ht="15" hidden="false" customHeight="false" outlineLevel="0" collapsed="false">
      <c r="G3022" s="41" t="str">
        <f aca="false">IF(E3022="","",IFERROR(IF(ISNUMBER(SEARCH(Assumptions!$C$5,E3022)),Assumptions!$D$5,IF(ISNUMBER(SEARCH(Assumptions!$C$6,E3022)),Assumptions!$D$6,IF(ISNUMBER(SEARCH(Assumptions!$C$7,E3022)),Assumptions!$D$7,"Other Services"))),"Other Services"))</f>
        <v/>
      </c>
    </row>
    <row r="3023" customFormat="false" ht="15" hidden="false" customHeight="false" outlineLevel="0" collapsed="false">
      <c r="G3023" s="41" t="str">
        <f aca="false">IF(E3023="","",IFERROR(IF(ISNUMBER(SEARCH(Assumptions!$C$5,E3023)),Assumptions!$D$5,IF(ISNUMBER(SEARCH(Assumptions!$C$6,E3023)),Assumptions!$D$6,IF(ISNUMBER(SEARCH(Assumptions!$C$7,E3023)),Assumptions!$D$7,"Other Services"))),"Other Services"))</f>
        <v/>
      </c>
    </row>
    <row r="3024" customFormat="false" ht="15" hidden="false" customHeight="false" outlineLevel="0" collapsed="false">
      <c r="G3024" s="41" t="str">
        <f aca="false">IF(E3024="","",IFERROR(IF(ISNUMBER(SEARCH(Assumptions!$C$5,E3024)),Assumptions!$D$5,IF(ISNUMBER(SEARCH(Assumptions!$C$6,E3024)),Assumptions!$D$6,IF(ISNUMBER(SEARCH(Assumptions!$C$7,E3024)),Assumptions!$D$7,"Other Services"))),"Other Services"))</f>
        <v/>
      </c>
    </row>
    <row r="3025" customFormat="false" ht="15" hidden="false" customHeight="false" outlineLevel="0" collapsed="false">
      <c r="G3025" s="41" t="str">
        <f aca="false">IF(E3025="","",IFERROR(IF(ISNUMBER(SEARCH(Assumptions!$C$5,E3025)),Assumptions!$D$5,IF(ISNUMBER(SEARCH(Assumptions!$C$6,E3025)),Assumptions!$D$6,IF(ISNUMBER(SEARCH(Assumptions!$C$7,E3025)),Assumptions!$D$7,"Other Services"))),"Other Services"))</f>
        <v/>
      </c>
    </row>
    <row r="3026" customFormat="false" ht="15" hidden="false" customHeight="false" outlineLevel="0" collapsed="false">
      <c r="G3026" s="41" t="str">
        <f aca="false">IF(E3026="","",IFERROR(IF(ISNUMBER(SEARCH(Assumptions!$C$5,E3026)),Assumptions!$D$5,IF(ISNUMBER(SEARCH(Assumptions!$C$6,E3026)),Assumptions!$D$6,IF(ISNUMBER(SEARCH(Assumptions!$C$7,E3026)),Assumptions!$D$7,"Other Services"))),"Other Services"))</f>
        <v/>
      </c>
    </row>
    <row r="3027" customFormat="false" ht="15" hidden="false" customHeight="false" outlineLevel="0" collapsed="false">
      <c r="G3027" s="41" t="str">
        <f aca="false">IF(E3027="","",IFERROR(IF(ISNUMBER(SEARCH(Assumptions!$C$5,E3027)),Assumptions!$D$5,IF(ISNUMBER(SEARCH(Assumptions!$C$6,E3027)),Assumptions!$D$6,IF(ISNUMBER(SEARCH(Assumptions!$C$7,E3027)),Assumptions!$D$7,"Other Services"))),"Other Services"))</f>
        <v/>
      </c>
    </row>
    <row r="3028" customFormat="false" ht="15" hidden="false" customHeight="false" outlineLevel="0" collapsed="false">
      <c r="G3028" s="41" t="str">
        <f aca="false">IF(E3028="","",IFERROR(IF(ISNUMBER(SEARCH(Assumptions!$C$5,E3028)),Assumptions!$D$5,IF(ISNUMBER(SEARCH(Assumptions!$C$6,E3028)),Assumptions!$D$6,IF(ISNUMBER(SEARCH(Assumptions!$C$7,E3028)),Assumptions!$D$7,"Other Services"))),"Other Services"))</f>
        <v/>
      </c>
    </row>
    <row r="3029" customFormat="false" ht="15" hidden="false" customHeight="false" outlineLevel="0" collapsed="false">
      <c r="G3029" s="41" t="str">
        <f aca="false">IF(E3029="","",IFERROR(IF(ISNUMBER(SEARCH(Assumptions!$C$5,E3029)),Assumptions!$D$5,IF(ISNUMBER(SEARCH(Assumptions!$C$6,E3029)),Assumptions!$D$6,IF(ISNUMBER(SEARCH(Assumptions!$C$7,E3029)),Assumptions!$D$7,"Other Services"))),"Other Services"))</f>
        <v/>
      </c>
    </row>
    <row r="3030" customFormat="false" ht="15" hidden="false" customHeight="false" outlineLevel="0" collapsed="false">
      <c r="G3030" s="41" t="str">
        <f aca="false">IF(E3030="","",IFERROR(IF(ISNUMBER(SEARCH(Assumptions!$C$5,E3030)),Assumptions!$D$5,IF(ISNUMBER(SEARCH(Assumptions!$C$6,E3030)),Assumptions!$D$6,IF(ISNUMBER(SEARCH(Assumptions!$C$7,E3030)),Assumptions!$D$7,"Other Services"))),"Other Services"))</f>
        <v/>
      </c>
    </row>
    <row r="3031" customFormat="false" ht="15" hidden="false" customHeight="false" outlineLevel="0" collapsed="false">
      <c r="G3031" s="41" t="str">
        <f aca="false">IF(E3031="","",IFERROR(IF(ISNUMBER(SEARCH(Assumptions!$C$5,E3031)),Assumptions!$D$5,IF(ISNUMBER(SEARCH(Assumptions!$C$6,E3031)),Assumptions!$D$6,IF(ISNUMBER(SEARCH(Assumptions!$C$7,E3031)),Assumptions!$D$7,"Other Services"))),"Other Services"))</f>
        <v/>
      </c>
    </row>
    <row r="3032" customFormat="false" ht="15" hidden="false" customHeight="false" outlineLevel="0" collapsed="false">
      <c r="G3032" s="41" t="str">
        <f aca="false">IF(E3032="","",IFERROR(IF(ISNUMBER(SEARCH(Assumptions!$C$5,E3032)),Assumptions!$D$5,IF(ISNUMBER(SEARCH(Assumptions!$C$6,E3032)),Assumptions!$D$6,IF(ISNUMBER(SEARCH(Assumptions!$C$7,E3032)),Assumptions!$D$7,"Other Services"))),"Other Services"))</f>
        <v/>
      </c>
    </row>
    <row r="3033" customFormat="false" ht="15" hidden="false" customHeight="false" outlineLevel="0" collapsed="false">
      <c r="G3033" s="41" t="str">
        <f aca="false">IF(E3033="","",IFERROR(IF(ISNUMBER(SEARCH(Assumptions!$C$5,E3033)),Assumptions!$D$5,IF(ISNUMBER(SEARCH(Assumptions!$C$6,E3033)),Assumptions!$D$6,IF(ISNUMBER(SEARCH(Assumptions!$C$7,E3033)),Assumptions!$D$7,"Other Services"))),"Other Services"))</f>
        <v/>
      </c>
    </row>
    <row r="3034" customFormat="false" ht="15" hidden="false" customHeight="false" outlineLevel="0" collapsed="false">
      <c r="G3034" s="41" t="str">
        <f aca="false">IF(E3034="","",IFERROR(IF(ISNUMBER(SEARCH(Assumptions!$C$5,E3034)),Assumptions!$D$5,IF(ISNUMBER(SEARCH(Assumptions!$C$6,E3034)),Assumptions!$D$6,IF(ISNUMBER(SEARCH(Assumptions!$C$7,E3034)),Assumptions!$D$7,"Other Services"))),"Other Services"))</f>
        <v/>
      </c>
    </row>
    <row r="3035" customFormat="false" ht="15" hidden="false" customHeight="false" outlineLevel="0" collapsed="false">
      <c r="G3035" s="41" t="str">
        <f aca="false">IF(E3035="","",IFERROR(IF(ISNUMBER(SEARCH(Assumptions!$C$5,E3035)),Assumptions!$D$5,IF(ISNUMBER(SEARCH(Assumptions!$C$6,E3035)),Assumptions!$D$6,IF(ISNUMBER(SEARCH(Assumptions!$C$7,E3035)),Assumptions!$D$7,"Other Services"))),"Other Services"))</f>
        <v/>
      </c>
    </row>
    <row r="3036" customFormat="false" ht="15" hidden="false" customHeight="false" outlineLevel="0" collapsed="false">
      <c r="G3036" s="41" t="str">
        <f aca="false">IF(E3036="","",IFERROR(IF(ISNUMBER(SEARCH(Assumptions!$C$5,E3036)),Assumptions!$D$5,IF(ISNUMBER(SEARCH(Assumptions!$C$6,E3036)),Assumptions!$D$6,IF(ISNUMBER(SEARCH(Assumptions!$C$7,E3036)),Assumptions!$D$7,"Other Services"))),"Other Services"))</f>
        <v/>
      </c>
    </row>
    <row r="3037" customFormat="false" ht="15" hidden="false" customHeight="false" outlineLevel="0" collapsed="false">
      <c r="G3037" s="41" t="str">
        <f aca="false">IF(E3037="","",IFERROR(IF(ISNUMBER(SEARCH(Assumptions!$C$5,E3037)),Assumptions!$D$5,IF(ISNUMBER(SEARCH(Assumptions!$C$6,E3037)),Assumptions!$D$6,IF(ISNUMBER(SEARCH(Assumptions!$C$7,E3037)),Assumptions!$D$7,"Other Services"))),"Other Services"))</f>
        <v/>
      </c>
    </row>
    <row r="3038" customFormat="false" ht="15" hidden="false" customHeight="false" outlineLevel="0" collapsed="false">
      <c r="G3038" s="41" t="str">
        <f aca="false">IF(E3038="","",IFERROR(IF(ISNUMBER(SEARCH(Assumptions!$C$5,E3038)),Assumptions!$D$5,IF(ISNUMBER(SEARCH(Assumptions!$C$6,E3038)),Assumptions!$D$6,IF(ISNUMBER(SEARCH(Assumptions!$C$7,E3038)),Assumptions!$D$7,"Other Services"))),"Other Services"))</f>
        <v/>
      </c>
    </row>
    <row r="3039" customFormat="false" ht="15" hidden="false" customHeight="false" outlineLevel="0" collapsed="false">
      <c r="G3039" s="41" t="str">
        <f aca="false">IF(E3039="","",IFERROR(IF(ISNUMBER(SEARCH(Assumptions!$C$5,E3039)),Assumptions!$D$5,IF(ISNUMBER(SEARCH(Assumptions!$C$6,E3039)),Assumptions!$D$6,IF(ISNUMBER(SEARCH(Assumptions!$C$7,E3039)),Assumptions!$D$7,"Other Services"))),"Other Services"))</f>
        <v/>
      </c>
    </row>
    <row r="3040" customFormat="false" ht="15" hidden="false" customHeight="false" outlineLevel="0" collapsed="false">
      <c r="G3040" s="41" t="str">
        <f aca="false">IF(E3040="","",IFERROR(IF(ISNUMBER(SEARCH(Assumptions!$C$5,E3040)),Assumptions!$D$5,IF(ISNUMBER(SEARCH(Assumptions!$C$6,E3040)),Assumptions!$D$6,IF(ISNUMBER(SEARCH(Assumptions!$C$7,E3040)),Assumptions!$D$7,"Other Services"))),"Other Services"))</f>
        <v/>
      </c>
    </row>
    <row r="3041" customFormat="false" ht="15" hidden="false" customHeight="false" outlineLevel="0" collapsed="false">
      <c r="G3041" s="41" t="str">
        <f aca="false">IF(E3041="","",IFERROR(IF(ISNUMBER(SEARCH(Assumptions!$C$5,E3041)),Assumptions!$D$5,IF(ISNUMBER(SEARCH(Assumptions!$C$6,E3041)),Assumptions!$D$6,IF(ISNUMBER(SEARCH(Assumptions!$C$7,E3041)),Assumptions!$D$7,"Other Services"))),"Other Services"))</f>
        <v/>
      </c>
    </row>
    <row r="3042" customFormat="false" ht="15" hidden="false" customHeight="false" outlineLevel="0" collapsed="false">
      <c r="G3042" s="41" t="str">
        <f aca="false">IF(E3042="","",IFERROR(IF(ISNUMBER(SEARCH(Assumptions!$C$5,E3042)),Assumptions!$D$5,IF(ISNUMBER(SEARCH(Assumptions!$C$6,E3042)),Assumptions!$D$6,IF(ISNUMBER(SEARCH(Assumptions!$C$7,E3042)),Assumptions!$D$7,"Other Services"))),"Other Services"))</f>
        <v/>
      </c>
    </row>
    <row r="3043" customFormat="false" ht="15" hidden="false" customHeight="false" outlineLevel="0" collapsed="false">
      <c r="G3043" s="41" t="str">
        <f aca="false">IF(E3043="","",IFERROR(IF(ISNUMBER(SEARCH(Assumptions!$C$5,E3043)),Assumptions!$D$5,IF(ISNUMBER(SEARCH(Assumptions!$C$6,E3043)),Assumptions!$D$6,IF(ISNUMBER(SEARCH(Assumptions!$C$7,E3043)),Assumptions!$D$7,"Other Services"))),"Other Services"))</f>
        <v/>
      </c>
    </row>
    <row r="3044" customFormat="false" ht="15" hidden="false" customHeight="false" outlineLevel="0" collapsed="false">
      <c r="G3044" s="41" t="str">
        <f aca="false">IF(E3044="","",IFERROR(IF(ISNUMBER(SEARCH(Assumptions!$C$5,E3044)),Assumptions!$D$5,IF(ISNUMBER(SEARCH(Assumptions!$C$6,E3044)),Assumptions!$D$6,IF(ISNUMBER(SEARCH(Assumptions!$C$7,E3044)),Assumptions!$D$7,"Other Services"))),"Other Services"))</f>
        <v/>
      </c>
    </row>
    <row r="3045" customFormat="false" ht="15" hidden="false" customHeight="false" outlineLevel="0" collapsed="false">
      <c r="G3045" s="41" t="str">
        <f aca="false">IF(E3045="","",IFERROR(IF(ISNUMBER(SEARCH(Assumptions!$C$5,E3045)),Assumptions!$D$5,IF(ISNUMBER(SEARCH(Assumptions!$C$6,E3045)),Assumptions!$D$6,IF(ISNUMBER(SEARCH(Assumptions!$C$7,E3045)),Assumptions!$D$7,"Other Services"))),"Other Services"))</f>
        <v/>
      </c>
    </row>
    <row r="3046" customFormat="false" ht="15" hidden="false" customHeight="false" outlineLevel="0" collapsed="false">
      <c r="G3046" s="41" t="str">
        <f aca="false">IF(E3046="","",IFERROR(IF(ISNUMBER(SEARCH(Assumptions!$C$5,E3046)),Assumptions!$D$5,IF(ISNUMBER(SEARCH(Assumptions!$C$6,E3046)),Assumptions!$D$6,IF(ISNUMBER(SEARCH(Assumptions!$C$7,E3046)),Assumptions!$D$7,"Other Services"))),"Other Services"))</f>
        <v/>
      </c>
    </row>
    <row r="3047" customFormat="false" ht="15" hidden="false" customHeight="false" outlineLevel="0" collapsed="false">
      <c r="G3047" s="41" t="str">
        <f aca="false">IF(E3047="","",IFERROR(IF(ISNUMBER(SEARCH(Assumptions!$C$5,E3047)),Assumptions!$D$5,IF(ISNUMBER(SEARCH(Assumptions!$C$6,E3047)),Assumptions!$D$6,IF(ISNUMBER(SEARCH(Assumptions!$C$7,E3047)),Assumptions!$D$7,"Other Services"))),"Other Services"))</f>
        <v/>
      </c>
    </row>
    <row r="3048" customFormat="false" ht="15" hidden="false" customHeight="false" outlineLevel="0" collapsed="false">
      <c r="G3048" s="41" t="str">
        <f aca="false">IF(E3048="","",IFERROR(IF(ISNUMBER(SEARCH(Assumptions!$C$5,E3048)),Assumptions!$D$5,IF(ISNUMBER(SEARCH(Assumptions!$C$6,E3048)),Assumptions!$D$6,IF(ISNUMBER(SEARCH(Assumptions!$C$7,E3048)),Assumptions!$D$7,"Other Services"))),"Other Services"))</f>
        <v/>
      </c>
    </row>
    <row r="3049" customFormat="false" ht="15" hidden="false" customHeight="false" outlineLevel="0" collapsed="false">
      <c r="G3049" s="41" t="str">
        <f aca="false">IF(E3049="","",IFERROR(IF(ISNUMBER(SEARCH(Assumptions!$C$5,E3049)),Assumptions!$D$5,IF(ISNUMBER(SEARCH(Assumptions!$C$6,E3049)),Assumptions!$D$6,IF(ISNUMBER(SEARCH(Assumptions!$C$7,E3049)),Assumptions!$D$7,"Other Services"))),"Other Services"))</f>
        <v/>
      </c>
    </row>
    <row r="3050" customFormat="false" ht="15" hidden="false" customHeight="false" outlineLevel="0" collapsed="false">
      <c r="G3050" s="41" t="str">
        <f aca="false">IF(E3050="","",IFERROR(IF(ISNUMBER(SEARCH(Assumptions!$C$5,E3050)),Assumptions!$D$5,IF(ISNUMBER(SEARCH(Assumptions!$C$6,E3050)),Assumptions!$D$6,IF(ISNUMBER(SEARCH(Assumptions!$C$7,E3050)),Assumptions!$D$7,"Other Services"))),"Other Services"))</f>
        <v/>
      </c>
    </row>
    <row r="3051" customFormat="false" ht="15" hidden="false" customHeight="false" outlineLevel="0" collapsed="false">
      <c r="G3051" s="41" t="str">
        <f aca="false">IF(E3051="","",IFERROR(IF(ISNUMBER(SEARCH(Assumptions!$C$5,E3051)),Assumptions!$D$5,IF(ISNUMBER(SEARCH(Assumptions!$C$6,E3051)),Assumptions!$D$6,IF(ISNUMBER(SEARCH(Assumptions!$C$7,E3051)),Assumptions!$D$7,"Other Services"))),"Other Services"))</f>
        <v/>
      </c>
    </row>
    <row r="3052" customFormat="false" ht="15" hidden="false" customHeight="false" outlineLevel="0" collapsed="false">
      <c r="G3052" s="41" t="str">
        <f aca="false">IF(E3052="","",IFERROR(IF(ISNUMBER(SEARCH(Assumptions!$C$5,E3052)),Assumptions!$D$5,IF(ISNUMBER(SEARCH(Assumptions!$C$6,E3052)),Assumptions!$D$6,IF(ISNUMBER(SEARCH(Assumptions!$C$7,E3052)),Assumptions!$D$7,"Other Services"))),"Other Services"))</f>
        <v/>
      </c>
    </row>
    <row r="3053" customFormat="false" ht="15" hidden="false" customHeight="false" outlineLevel="0" collapsed="false">
      <c r="G3053" s="41" t="str">
        <f aca="false">IF(E3053="","",IFERROR(IF(ISNUMBER(SEARCH(Assumptions!$C$5,E3053)),Assumptions!$D$5,IF(ISNUMBER(SEARCH(Assumptions!$C$6,E3053)),Assumptions!$D$6,IF(ISNUMBER(SEARCH(Assumptions!$C$7,E3053)),Assumptions!$D$7,"Other Services"))),"Other Services"))</f>
        <v/>
      </c>
    </row>
    <row r="3054" customFormat="false" ht="15" hidden="false" customHeight="false" outlineLevel="0" collapsed="false">
      <c r="G3054" s="41" t="str">
        <f aca="false">IF(E3054="","",IFERROR(IF(ISNUMBER(SEARCH(Assumptions!$C$5,E3054)),Assumptions!$D$5,IF(ISNUMBER(SEARCH(Assumptions!$C$6,E3054)),Assumptions!$D$6,IF(ISNUMBER(SEARCH(Assumptions!$C$7,E3054)),Assumptions!$D$7,"Other Services"))),"Other Services"))</f>
        <v/>
      </c>
    </row>
    <row r="3055" customFormat="false" ht="15" hidden="false" customHeight="false" outlineLevel="0" collapsed="false">
      <c r="G3055" s="41" t="str">
        <f aca="false">IF(E3055="","",IFERROR(IF(ISNUMBER(SEARCH(Assumptions!$C$5,E3055)),Assumptions!$D$5,IF(ISNUMBER(SEARCH(Assumptions!$C$6,E3055)),Assumptions!$D$6,IF(ISNUMBER(SEARCH(Assumptions!$C$7,E3055)),Assumptions!$D$7,"Other Services"))),"Other Services"))</f>
        <v/>
      </c>
    </row>
    <row r="3056" customFormat="false" ht="15" hidden="false" customHeight="false" outlineLevel="0" collapsed="false">
      <c r="G3056" s="41" t="str">
        <f aca="false">IF(E3056="","",IFERROR(IF(ISNUMBER(SEARCH(Assumptions!$C$5,E3056)),Assumptions!$D$5,IF(ISNUMBER(SEARCH(Assumptions!$C$6,E3056)),Assumptions!$D$6,IF(ISNUMBER(SEARCH(Assumptions!$C$7,E3056)),Assumptions!$D$7,"Other Services"))),"Other Services"))</f>
        <v/>
      </c>
    </row>
    <row r="3057" customFormat="false" ht="15" hidden="false" customHeight="false" outlineLevel="0" collapsed="false">
      <c r="G3057" s="41" t="str">
        <f aca="false">IF(E3057="","",IFERROR(IF(ISNUMBER(SEARCH(Assumptions!$C$5,E3057)),Assumptions!$D$5,IF(ISNUMBER(SEARCH(Assumptions!$C$6,E3057)),Assumptions!$D$6,IF(ISNUMBER(SEARCH(Assumptions!$C$7,E3057)),Assumptions!$D$7,"Other Services"))),"Other Services"))</f>
        <v/>
      </c>
    </row>
    <row r="3058" customFormat="false" ht="15" hidden="false" customHeight="false" outlineLevel="0" collapsed="false">
      <c r="G3058" s="41" t="str">
        <f aca="false">IF(E3058="","",IFERROR(IF(ISNUMBER(SEARCH(Assumptions!$C$5,E3058)),Assumptions!$D$5,IF(ISNUMBER(SEARCH(Assumptions!$C$6,E3058)),Assumptions!$D$6,IF(ISNUMBER(SEARCH(Assumptions!$C$7,E3058)),Assumptions!$D$7,"Other Services"))),"Other Services"))</f>
        <v/>
      </c>
    </row>
    <row r="3059" customFormat="false" ht="15" hidden="false" customHeight="false" outlineLevel="0" collapsed="false">
      <c r="G3059" s="41" t="str">
        <f aca="false">IF(E3059="","",IFERROR(IF(ISNUMBER(SEARCH(Assumptions!$C$5,E3059)),Assumptions!$D$5,IF(ISNUMBER(SEARCH(Assumptions!$C$6,E3059)),Assumptions!$D$6,IF(ISNUMBER(SEARCH(Assumptions!$C$7,E3059)),Assumptions!$D$7,"Other Services"))),"Other Services"))</f>
        <v/>
      </c>
    </row>
    <row r="3060" customFormat="false" ht="15" hidden="false" customHeight="false" outlineLevel="0" collapsed="false">
      <c r="G3060" s="41" t="str">
        <f aca="false">IF(E3060="","",IFERROR(IF(ISNUMBER(SEARCH(Assumptions!$C$5,E3060)),Assumptions!$D$5,IF(ISNUMBER(SEARCH(Assumptions!$C$6,E3060)),Assumptions!$D$6,IF(ISNUMBER(SEARCH(Assumptions!$C$7,E3060)),Assumptions!$D$7,"Other Services"))),"Other Services"))</f>
        <v/>
      </c>
    </row>
    <row r="3061" customFormat="false" ht="15" hidden="false" customHeight="false" outlineLevel="0" collapsed="false">
      <c r="G3061" s="41" t="str">
        <f aca="false">IF(E3061="","",IFERROR(IF(ISNUMBER(SEARCH(Assumptions!$C$5,E3061)),Assumptions!$D$5,IF(ISNUMBER(SEARCH(Assumptions!$C$6,E3061)),Assumptions!$D$6,IF(ISNUMBER(SEARCH(Assumptions!$C$7,E3061)),Assumptions!$D$7,"Other Services"))),"Other Services"))</f>
        <v/>
      </c>
    </row>
    <row r="3062" customFormat="false" ht="15" hidden="false" customHeight="false" outlineLevel="0" collapsed="false">
      <c r="G3062" s="41" t="str">
        <f aca="false">IF(E3062="","",IFERROR(IF(ISNUMBER(SEARCH(Assumptions!$C$5,E3062)),Assumptions!$D$5,IF(ISNUMBER(SEARCH(Assumptions!$C$6,E3062)),Assumptions!$D$6,IF(ISNUMBER(SEARCH(Assumptions!$C$7,E3062)),Assumptions!$D$7,"Other Services"))),"Other Services"))</f>
        <v/>
      </c>
    </row>
    <row r="3063" customFormat="false" ht="15" hidden="false" customHeight="false" outlineLevel="0" collapsed="false">
      <c r="G3063" s="41" t="str">
        <f aca="false">IF(E3063="","",IFERROR(IF(ISNUMBER(SEARCH(Assumptions!$C$5,E3063)),Assumptions!$D$5,IF(ISNUMBER(SEARCH(Assumptions!$C$6,E3063)),Assumptions!$D$6,IF(ISNUMBER(SEARCH(Assumptions!$C$7,E3063)),Assumptions!$D$7,"Other Services"))),"Other Services"))</f>
        <v/>
      </c>
    </row>
    <row r="3064" customFormat="false" ht="15" hidden="false" customHeight="false" outlineLevel="0" collapsed="false">
      <c r="G3064" s="41" t="str">
        <f aca="false">IF(E3064="","",IFERROR(IF(ISNUMBER(SEARCH(Assumptions!$C$5,E3064)),Assumptions!$D$5,IF(ISNUMBER(SEARCH(Assumptions!$C$6,E3064)),Assumptions!$D$6,IF(ISNUMBER(SEARCH(Assumptions!$C$7,E3064)),Assumptions!$D$7,"Other Services"))),"Other Services"))</f>
        <v/>
      </c>
    </row>
    <row r="3065" customFormat="false" ht="15" hidden="false" customHeight="false" outlineLevel="0" collapsed="false">
      <c r="G3065" s="41" t="str">
        <f aca="false">IF(E3065="","",IFERROR(IF(ISNUMBER(SEARCH(Assumptions!$C$5,E3065)),Assumptions!$D$5,IF(ISNUMBER(SEARCH(Assumptions!$C$6,E3065)),Assumptions!$D$6,IF(ISNUMBER(SEARCH(Assumptions!$C$7,E3065)),Assumptions!$D$7,"Other Services"))),"Other Services"))</f>
        <v/>
      </c>
    </row>
    <row r="3066" customFormat="false" ht="15" hidden="false" customHeight="false" outlineLevel="0" collapsed="false">
      <c r="G3066" s="41" t="str">
        <f aca="false">IF(E3066="","",IFERROR(IF(ISNUMBER(SEARCH(Assumptions!$C$5,E3066)),Assumptions!$D$5,IF(ISNUMBER(SEARCH(Assumptions!$C$6,E3066)),Assumptions!$D$6,IF(ISNUMBER(SEARCH(Assumptions!$C$7,E3066)),Assumptions!$D$7,"Other Services"))),"Other Services"))</f>
        <v/>
      </c>
    </row>
    <row r="3067" customFormat="false" ht="15" hidden="false" customHeight="false" outlineLevel="0" collapsed="false">
      <c r="G3067" s="41" t="str">
        <f aca="false">IF(E3067="","",IFERROR(IF(ISNUMBER(SEARCH(Assumptions!$C$5,E3067)),Assumptions!$D$5,IF(ISNUMBER(SEARCH(Assumptions!$C$6,E3067)),Assumptions!$D$6,IF(ISNUMBER(SEARCH(Assumptions!$C$7,E3067)),Assumptions!$D$7,"Other Services"))),"Other Services"))</f>
        <v/>
      </c>
    </row>
    <row r="3068" customFormat="false" ht="15" hidden="false" customHeight="false" outlineLevel="0" collapsed="false">
      <c r="G3068" s="41" t="str">
        <f aca="false">IF(E3068="","",IFERROR(IF(ISNUMBER(SEARCH(Assumptions!$C$5,E3068)),Assumptions!$D$5,IF(ISNUMBER(SEARCH(Assumptions!$C$6,E3068)),Assumptions!$D$6,IF(ISNUMBER(SEARCH(Assumptions!$C$7,E3068)),Assumptions!$D$7,"Other Services"))),"Other Services"))</f>
        <v/>
      </c>
    </row>
    <row r="3069" customFormat="false" ht="15" hidden="false" customHeight="false" outlineLevel="0" collapsed="false">
      <c r="G3069" s="41" t="str">
        <f aca="false">IF(E3069="","",IFERROR(IF(ISNUMBER(SEARCH(Assumptions!$C$5,E3069)),Assumptions!$D$5,IF(ISNUMBER(SEARCH(Assumptions!$C$6,E3069)),Assumptions!$D$6,IF(ISNUMBER(SEARCH(Assumptions!$C$7,E3069)),Assumptions!$D$7,"Other Services"))),"Other Services"))</f>
        <v/>
      </c>
    </row>
    <row r="3070" customFormat="false" ht="15" hidden="false" customHeight="false" outlineLevel="0" collapsed="false">
      <c r="G3070" s="41" t="str">
        <f aca="false">IF(E3070="","",IFERROR(IF(ISNUMBER(SEARCH(Assumptions!$C$5,E3070)),Assumptions!$D$5,IF(ISNUMBER(SEARCH(Assumptions!$C$6,E3070)),Assumptions!$D$6,IF(ISNUMBER(SEARCH(Assumptions!$C$7,E3070)),Assumptions!$D$7,"Other Services"))),"Other Services"))</f>
        <v/>
      </c>
    </row>
    <row r="3071" customFormat="false" ht="15" hidden="false" customHeight="false" outlineLevel="0" collapsed="false">
      <c r="G3071" s="41" t="str">
        <f aca="false">IF(E3071="","",IFERROR(IF(ISNUMBER(SEARCH(Assumptions!$C$5,E3071)),Assumptions!$D$5,IF(ISNUMBER(SEARCH(Assumptions!$C$6,E3071)),Assumptions!$D$6,IF(ISNUMBER(SEARCH(Assumptions!$C$7,E3071)),Assumptions!$D$7,"Other Services"))),"Other Services"))</f>
        <v/>
      </c>
    </row>
    <row r="3072" customFormat="false" ht="15" hidden="false" customHeight="false" outlineLevel="0" collapsed="false">
      <c r="G3072" s="41" t="str">
        <f aca="false">IF(E3072="","",IFERROR(IF(ISNUMBER(SEARCH(Assumptions!$C$5,E3072)),Assumptions!$D$5,IF(ISNUMBER(SEARCH(Assumptions!$C$6,E3072)),Assumptions!$D$6,IF(ISNUMBER(SEARCH(Assumptions!$C$7,E3072)),Assumptions!$D$7,"Other Services"))),"Other Services"))</f>
        <v/>
      </c>
    </row>
    <row r="3073" customFormat="false" ht="15" hidden="false" customHeight="false" outlineLevel="0" collapsed="false">
      <c r="G3073" s="41" t="str">
        <f aca="false">IF(E3073="","",IFERROR(IF(ISNUMBER(SEARCH(Assumptions!$C$5,E3073)),Assumptions!$D$5,IF(ISNUMBER(SEARCH(Assumptions!$C$6,E3073)),Assumptions!$D$6,IF(ISNUMBER(SEARCH(Assumptions!$C$7,E3073)),Assumptions!$D$7,"Other Services"))),"Other Services"))</f>
        <v/>
      </c>
    </row>
    <row r="3074" customFormat="false" ht="15" hidden="false" customHeight="false" outlineLevel="0" collapsed="false">
      <c r="G3074" s="41" t="str">
        <f aca="false">IF(E3074="","",IFERROR(IF(ISNUMBER(SEARCH(Assumptions!$C$5,E3074)),Assumptions!$D$5,IF(ISNUMBER(SEARCH(Assumptions!$C$6,E3074)),Assumptions!$D$6,IF(ISNUMBER(SEARCH(Assumptions!$C$7,E3074)),Assumptions!$D$7,"Other Services"))),"Other Services"))</f>
        <v/>
      </c>
    </row>
    <row r="3075" customFormat="false" ht="15" hidden="false" customHeight="false" outlineLevel="0" collapsed="false">
      <c r="G3075" s="41" t="str">
        <f aca="false">IF(E3075="","",IFERROR(IF(ISNUMBER(SEARCH(Assumptions!$C$5,E3075)),Assumptions!$D$5,IF(ISNUMBER(SEARCH(Assumptions!$C$6,E3075)),Assumptions!$D$6,IF(ISNUMBER(SEARCH(Assumptions!$C$7,E3075)),Assumptions!$D$7,"Other Services"))),"Other Services"))</f>
        <v/>
      </c>
    </row>
    <row r="3076" customFormat="false" ht="15" hidden="false" customHeight="false" outlineLevel="0" collapsed="false">
      <c r="G3076" s="41" t="str">
        <f aca="false">IF(E3076="","",IFERROR(IF(ISNUMBER(SEARCH(Assumptions!$C$5,E3076)),Assumptions!$D$5,IF(ISNUMBER(SEARCH(Assumptions!$C$6,E3076)),Assumptions!$D$6,IF(ISNUMBER(SEARCH(Assumptions!$C$7,E3076)),Assumptions!$D$7,"Other Services"))),"Other Services"))</f>
        <v/>
      </c>
    </row>
    <row r="3077" customFormat="false" ht="15" hidden="false" customHeight="false" outlineLevel="0" collapsed="false">
      <c r="G3077" s="41" t="str">
        <f aca="false">IF(E3077="","",IFERROR(IF(ISNUMBER(SEARCH(Assumptions!$C$5,E3077)),Assumptions!$D$5,IF(ISNUMBER(SEARCH(Assumptions!$C$6,E3077)),Assumptions!$D$6,IF(ISNUMBER(SEARCH(Assumptions!$C$7,E3077)),Assumptions!$D$7,"Other Services"))),"Other Services"))</f>
        <v/>
      </c>
    </row>
    <row r="3078" customFormat="false" ht="15" hidden="false" customHeight="false" outlineLevel="0" collapsed="false">
      <c r="G3078" s="41" t="str">
        <f aca="false">IF(E3078="","",IFERROR(IF(ISNUMBER(SEARCH(Assumptions!$C$5,E3078)),Assumptions!$D$5,IF(ISNUMBER(SEARCH(Assumptions!$C$6,E3078)),Assumptions!$D$6,IF(ISNUMBER(SEARCH(Assumptions!$C$7,E3078)),Assumptions!$D$7,"Other Services"))),"Other Services"))</f>
        <v/>
      </c>
    </row>
    <row r="3079" customFormat="false" ht="15" hidden="false" customHeight="false" outlineLevel="0" collapsed="false">
      <c r="G3079" s="41" t="str">
        <f aca="false">IF(E3079="","",IFERROR(IF(ISNUMBER(SEARCH(Assumptions!$C$5,E3079)),Assumptions!$D$5,IF(ISNUMBER(SEARCH(Assumptions!$C$6,E3079)),Assumptions!$D$6,IF(ISNUMBER(SEARCH(Assumptions!$C$7,E3079)),Assumptions!$D$7,"Other Services"))),"Other Services"))</f>
        <v/>
      </c>
    </row>
    <row r="3080" customFormat="false" ht="15" hidden="false" customHeight="false" outlineLevel="0" collapsed="false">
      <c r="G3080" s="41" t="str">
        <f aca="false">IF(E3080="","",IFERROR(IF(ISNUMBER(SEARCH(Assumptions!$C$5,E3080)),Assumptions!$D$5,IF(ISNUMBER(SEARCH(Assumptions!$C$6,E3080)),Assumptions!$D$6,IF(ISNUMBER(SEARCH(Assumptions!$C$7,E3080)),Assumptions!$D$7,"Other Services"))),"Other Services"))</f>
        <v/>
      </c>
    </row>
    <row r="3081" customFormat="false" ht="15" hidden="false" customHeight="false" outlineLevel="0" collapsed="false">
      <c r="G3081" s="41" t="str">
        <f aca="false">IF(E3081="","",IFERROR(IF(ISNUMBER(SEARCH(Assumptions!$C$5,E3081)),Assumptions!$D$5,IF(ISNUMBER(SEARCH(Assumptions!$C$6,E3081)),Assumptions!$D$6,IF(ISNUMBER(SEARCH(Assumptions!$C$7,E3081)),Assumptions!$D$7,"Other Services"))),"Other Services"))</f>
        <v/>
      </c>
    </row>
    <row r="3082" customFormat="false" ht="15" hidden="false" customHeight="false" outlineLevel="0" collapsed="false">
      <c r="G3082" s="41" t="str">
        <f aca="false">IF(E3082="","",IFERROR(IF(ISNUMBER(SEARCH(Assumptions!$C$5,E3082)),Assumptions!$D$5,IF(ISNUMBER(SEARCH(Assumptions!$C$6,E3082)),Assumptions!$D$6,IF(ISNUMBER(SEARCH(Assumptions!$C$7,E3082)),Assumptions!$D$7,"Other Services"))),"Other Services"))</f>
        <v/>
      </c>
    </row>
    <row r="3083" customFormat="false" ht="15" hidden="false" customHeight="false" outlineLevel="0" collapsed="false">
      <c r="G3083" s="41" t="str">
        <f aca="false">IF(E3083="","",IFERROR(IF(ISNUMBER(SEARCH(Assumptions!$C$5,E3083)),Assumptions!$D$5,IF(ISNUMBER(SEARCH(Assumptions!$C$6,E3083)),Assumptions!$D$6,IF(ISNUMBER(SEARCH(Assumptions!$C$7,E3083)),Assumptions!$D$7,"Other Services"))),"Other Services"))</f>
        <v/>
      </c>
    </row>
    <row r="3084" customFormat="false" ht="15" hidden="false" customHeight="false" outlineLevel="0" collapsed="false">
      <c r="G3084" s="41" t="str">
        <f aca="false">IF(E3084="","",IFERROR(IF(ISNUMBER(SEARCH(Assumptions!$C$5,E3084)),Assumptions!$D$5,IF(ISNUMBER(SEARCH(Assumptions!$C$6,E3084)),Assumptions!$D$6,IF(ISNUMBER(SEARCH(Assumptions!$C$7,E3084)),Assumptions!$D$7,"Other Services"))),"Other Services"))</f>
        <v/>
      </c>
    </row>
    <row r="3085" customFormat="false" ht="15" hidden="false" customHeight="false" outlineLevel="0" collapsed="false">
      <c r="G3085" s="41" t="str">
        <f aca="false">IF(E3085="","",IFERROR(IF(ISNUMBER(SEARCH(Assumptions!$C$5,E3085)),Assumptions!$D$5,IF(ISNUMBER(SEARCH(Assumptions!$C$6,E3085)),Assumptions!$D$6,IF(ISNUMBER(SEARCH(Assumptions!$C$7,E3085)),Assumptions!$D$7,"Other Services"))),"Other Services"))</f>
        <v/>
      </c>
    </row>
    <row r="3086" customFormat="false" ht="15" hidden="false" customHeight="false" outlineLevel="0" collapsed="false">
      <c r="G3086" s="41" t="str">
        <f aca="false">IF(E3086="","",IFERROR(IF(ISNUMBER(SEARCH(Assumptions!$C$5,E3086)),Assumptions!$D$5,IF(ISNUMBER(SEARCH(Assumptions!$C$6,E3086)),Assumptions!$D$6,IF(ISNUMBER(SEARCH(Assumptions!$C$7,E3086)),Assumptions!$D$7,"Other Services"))),"Other Services"))</f>
        <v/>
      </c>
    </row>
    <row r="3087" customFormat="false" ht="15" hidden="false" customHeight="false" outlineLevel="0" collapsed="false">
      <c r="G3087" s="41" t="str">
        <f aca="false">IF(E3087="","",IFERROR(IF(ISNUMBER(SEARCH(Assumptions!$C$5,E3087)),Assumptions!$D$5,IF(ISNUMBER(SEARCH(Assumptions!$C$6,E3087)),Assumptions!$D$6,IF(ISNUMBER(SEARCH(Assumptions!$C$7,E3087)),Assumptions!$D$7,"Other Services"))),"Other Services"))</f>
        <v/>
      </c>
    </row>
    <row r="3088" customFormat="false" ht="15" hidden="false" customHeight="false" outlineLevel="0" collapsed="false">
      <c r="G3088" s="41" t="str">
        <f aca="false">IF(E3088="","",IFERROR(IF(ISNUMBER(SEARCH(Assumptions!$C$5,E3088)),Assumptions!$D$5,IF(ISNUMBER(SEARCH(Assumptions!$C$6,E3088)),Assumptions!$D$6,IF(ISNUMBER(SEARCH(Assumptions!$C$7,E3088)),Assumptions!$D$7,"Other Services"))),"Other Services"))</f>
        <v/>
      </c>
    </row>
    <row r="3089" customFormat="false" ht="15" hidden="false" customHeight="false" outlineLevel="0" collapsed="false">
      <c r="G3089" s="41" t="str">
        <f aca="false">IF(E3089="","",IFERROR(IF(ISNUMBER(SEARCH(Assumptions!$C$5,E3089)),Assumptions!$D$5,IF(ISNUMBER(SEARCH(Assumptions!$C$6,E3089)),Assumptions!$D$6,IF(ISNUMBER(SEARCH(Assumptions!$C$7,E3089)),Assumptions!$D$7,"Other Services"))),"Other Services"))</f>
        <v/>
      </c>
    </row>
    <row r="3090" customFormat="false" ht="15" hidden="false" customHeight="false" outlineLevel="0" collapsed="false">
      <c r="G3090" s="41" t="str">
        <f aca="false">IF(E3090="","",IFERROR(IF(ISNUMBER(SEARCH(Assumptions!$C$5,E3090)),Assumptions!$D$5,IF(ISNUMBER(SEARCH(Assumptions!$C$6,E3090)),Assumptions!$D$6,IF(ISNUMBER(SEARCH(Assumptions!$C$7,E3090)),Assumptions!$D$7,"Other Services"))),"Other Services"))</f>
        <v/>
      </c>
    </row>
    <row r="3091" customFormat="false" ht="15" hidden="false" customHeight="false" outlineLevel="0" collapsed="false">
      <c r="G3091" s="41" t="str">
        <f aca="false">IF(E3091="","",IFERROR(IF(ISNUMBER(SEARCH(Assumptions!$C$5,E3091)),Assumptions!$D$5,IF(ISNUMBER(SEARCH(Assumptions!$C$6,E3091)),Assumptions!$D$6,IF(ISNUMBER(SEARCH(Assumptions!$C$7,E3091)),Assumptions!$D$7,"Other Services"))),"Other Services"))</f>
        <v/>
      </c>
    </row>
    <row r="3092" customFormat="false" ht="15" hidden="false" customHeight="false" outlineLevel="0" collapsed="false">
      <c r="G3092" s="41" t="str">
        <f aca="false">IF(E3092="","",IFERROR(IF(ISNUMBER(SEARCH(Assumptions!$C$5,E3092)),Assumptions!$D$5,IF(ISNUMBER(SEARCH(Assumptions!$C$6,E3092)),Assumptions!$D$6,IF(ISNUMBER(SEARCH(Assumptions!$C$7,E3092)),Assumptions!$D$7,"Other Services"))),"Other Services"))</f>
        <v/>
      </c>
    </row>
    <row r="3093" customFormat="false" ht="15" hidden="false" customHeight="false" outlineLevel="0" collapsed="false">
      <c r="G3093" s="41" t="str">
        <f aca="false">IF(E3093="","",IFERROR(IF(ISNUMBER(SEARCH(Assumptions!$C$5,E3093)),Assumptions!$D$5,IF(ISNUMBER(SEARCH(Assumptions!$C$6,E3093)),Assumptions!$D$6,IF(ISNUMBER(SEARCH(Assumptions!$C$7,E3093)),Assumptions!$D$7,"Other Services"))),"Other Services"))</f>
        <v/>
      </c>
    </row>
    <row r="3094" customFormat="false" ht="15" hidden="false" customHeight="false" outlineLevel="0" collapsed="false">
      <c r="G3094" s="41" t="str">
        <f aca="false">IF(E3094="","",IFERROR(IF(ISNUMBER(SEARCH(Assumptions!$C$5,E3094)),Assumptions!$D$5,IF(ISNUMBER(SEARCH(Assumptions!$C$6,E3094)),Assumptions!$D$6,IF(ISNUMBER(SEARCH(Assumptions!$C$7,E3094)),Assumptions!$D$7,"Other Services"))),"Other Services"))</f>
        <v/>
      </c>
    </row>
    <row r="3095" customFormat="false" ht="15" hidden="false" customHeight="false" outlineLevel="0" collapsed="false">
      <c r="G3095" s="41" t="str">
        <f aca="false">IF(E3095="","",IFERROR(IF(ISNUMBER(SEARCH(Assumptions!$C$5,E3095)),Assumptions!$D$5,IF(ISNUMBER(SEARCH(Assumptions!$C$6,E3095)),Assumptions!$D$6,IF(ISNUMBER(SEARCH(Assumptions!$C$7,E3095)),Assumptions!$D$7,"Other Services"))),"Other Services"))</f>
        <v/>
      </c>
    </row>
    <row r="3096" customFormat="false" ht="15" hidden="false" customHeight="false" outlineLevel="0" collapsed="false">
      <c r="G3096" s="41" t="str">
        <f aca="false">IF(E3096="","",IFERROR(IF(ISNUMBER(SEARCH(Assumptions!$C$5,E3096)),Assumptions!$D$5,IF(ISNUMBER(SEARCH(Assumptions!$C$6,E3096)),Assumptions!$D$6,IF(ISNUMBER(SEARCH(Assumptions!$C$7,E3096)),Assumptions!$D$7,"Other Services"))),"Other Services"))</f>
        <v/>
      </c>
    </row>
    <row r="3097" customFormat="false" ht="15" hidden="false" customHeight="false" outlineLevel="0" collapsed="false">
      <c r="G3097" s="41" t="str">
        <f aca="false">IF(E3097="","",IFERROR(IF(ISNUMBER(SEARCH(Assumptions!$C$5,E3097)),Assumptions!$D$5,IF(ISNUMBER(SEARCH(Assumptions!$C$6,E3097)),Assumptions!$D$6,IF(ISNUMBER(SEARCH(Assumptions!$C$7,E3097)),Assumptions!$D$7,"Other Services"))),"Other Services"))</f>
        <v/>
      </c>
    </row>
    <row r="3098" customFormat="false" ht="15" hidden="false" customHeight="false" outlineLevel="0" collapsed="false">
      <c r="G3098" s="41" t="str">
        <f aca="false">IF(E3098="","",IFERROR(IF(ISNUMBER(SEARCH(Assumptions!$C$5,E3098)),Assumptions!$D$5,IF(ISNUMBER(SEARCH(Assumptions!$C$6,E3098)),Assumptions!$D$6,IF(ISNUMBER(SEARCH(Assumptions!$C$7,E3098)),Assumptions!$D$7,"Other Services"))),"Other Services"))</f>
        <v/>
      </c>
    </row>
    <row r="3099" customFormat="false" ht="15" hidden="false" customHeight="false" outlineLevel="0" collapsed="false">
      <c r="G3099" s="41" t="str">
        <f aca="false">IF(E3099="","",IFERROR(IF(ISNUMBER(SEARCH(Assumptions!$C$5,E3099)),Assumptions!$D$5,IF(ISNUMBER(SEARCH(Assumptions!$C$6,E3099)),Assumptions!$D$6,IF(ISNUMBER(SEARCH(Assumptions!$C$7,E3099)),Assumptions!$D$7,"Other Services"))),"Other Services"))</f>
        <v/>
      </c>
    </row>
    <row r="3100" customFormat="false" ht="15" hidden="false" customHeight="false" outlineLevel="0" collapsed="false">
      <c r="G3100" s="41" t="str">
        <f aca="false">IF(E3100="","",IFERROR(IF(ISNUMBER(SEARCH(Assumptions!$C$5,E3100)),Assumptions!$D$5,IF(ISNUMBER(SEARCH(Assumptions!$C$6,E3100)),Assumptions!$D$6,IF(ISNUMBER(SEARCH(Assumptions!$C$7,E3100)),Assumptions!$D$7,"Other Services"))),"Other Services"))</f>
        <v/>
      </c>
    </row>
    <row r="3101" customFormat="false" ht="15" hidden="false" customHeight="false" outlineLevel="0" collapsed="false">
      <c r="G3101" s="41" t="str">
        <f aca="false">IF(E3101="","",IFERROR(IF(ISNUMBER(SEARCH(Assumptions!$C$5,E3101)),Assumptions!$D$5,IF(ISNUMBER(SEARCH(Assumptions!$C$6,E3101)),Assumptions!$D$6,IF(ISNUMBER(SEARCH(Assumptions!$C$7,E3101)),Assumptions!$D$7,"Other Services"))),"Other Services"))</f>
        <v/>
      </c>
    </row>
    <row r="3102" customFormat="false" ht="15" hidden="false" customHeight="false" outlineLevel="0" collapsed="false">
      <c r="G3102" s="41" t="str">
        <f aca="false">IF(E3102="","",IFERROR(IF(ISNUMBER(SEARCH(Assumptions!$C$5,E3102)),Assumptions!$D$5,IF(ISNUMBER(SEARCH(Assumptions!$C$6,E3102)),Assumptions!$D$6,IF(ISNUMBER(SEARCH(Assumptions!$C$7,E3102)),Assumptions!$D$7,"Other Services"))),"Other Services"))</f>
        <v/>
      </c>
    </row>
    <row r="3103" customFormat="false" ht="15" hidden="false" customHeight="false" outlineLevel="0" collapsed="false">
      <c r="G3103" s="41" t="str">
        <f aca="false">IF(E3103="","",IFERROR(IF(ISNUMBER(SEARCH(Assumptions!$C$5,E3103)),Assumptions!$D$5,IF(ISNUMBER(SEARCH(Assumptions!$C$6,E3103)),Assumptions!$D$6,IF(ISNUMBER(SEARCH(Assumptions!$C$7,E3103)),Assumptions!$D$7,"Other Services"))),"Other Services"))</f>
        <v/>
      </c>
    </row>
    <row r="3104" customFormat="false" ht="15" hidden="false" customHeight="false" outlineLevel="0" collapsed="false">
      <c r="G3104" s="41" t="str">
        <f aca="false">IF(E3104="","",IFERROR(IF(ISNUMBER(SEARCH(Assumptions!$C$5,E3104)),Assumptions!$D$5,IF(ISNUMBER(SEARCH(Assumptions!$C$6,E3104)),Assumptions!$D$6,IF(ISNUMBER(SEARCH(Assumptions!$C$7,E3104)),Assumptions!$D$7,"Other Services"))),"Other Services"))</f>
        <v/>
      </c>
    </row>
    <row r="3105" customFormat="false" ht="15" hidden="false" customHeight="false" outlineLevel="0" collapsed="false">
      <c r="G3105" s="41" t="str">
        <f aca="false">IF(E3105="","",IFERROR(IF(ISNUMBER(SEARCH(Assumptions!$C$5,E3105)),Assumptions!$D$5,IF(ISNUMBER(SEARCH(Assumptions!$C$6,E3105)),Assumptions!$D$6,IF(ISNUMBER(SEARCH(Assumptions!$C$7,E3105)),Assumptions!$D$7,"Other Services"))),"Other Services"))</f>
        <v/>
      </c>
    </row>
    <row r="3106" customFormat="false" ht="15" hidden="false" customHeight="false" outlineLevel="0" collapsed="false">
      <c r="G3106" s="41" t="str">
        <f aca="false">IF(E3106="","",IFERROR(IF(ISNUMBER(SEARCH(Assumptions!$C$5,E3106)),Assumptions!$D$5,IF(ISNUMBER(SEARCH(Assumptions!$C$6,E3106)),Assumptions!$D$6,IF(ISNUMBER(SEARCH(Assumptions!$C$7,E3106)),Assumptions!$D$7,"Other Services"))),"Other Services"))</f>
        <v/>
      </c>
    </row>
    <row r="3107" customFormat="false" ht="15" hidden="false" customHeight="false" outlineLevel="0" collapsed="false">
      <c r="G3107" s="41" t="str">
        <f aca="false">IF(E3107="","",IFERROR(IF(ISNUMBER(SEARCH(Assumptions!$C$5,E3107)),Assumptions!$D$5,IF(ISNUMBER(SEARCH(Assumptions!$C$6,E3107)),Assumptions!$D$6,IF(ISNUMBER(SEARCH(Assumptions!$C$7,E3107)),Assumptions!$D$7,"Other Services"))),"Other Services"))</f>
        <v/>
      </c>
    </row>
    <row r="3108" customFormat="false" ht="15" hidden="false" customHeight="false" outlineLevel="0" collapsed="false">
      <c r="G3108" s="41" t="str">
        <f aca="false">IF(E3108="","",IFERROR(IF(ISNUMBER(SEARCH(Assumptions!$C$5,E3108)),Assumptions!$D$5,IF(ISNUMBER(SEARCH(Assumptions!$C$6,E3108)),Assumptions!$D$6,IF(ISNUMBER(SEARCH(Assumptions!$C$7,E3108)),Assumptions!$D$7,"Other Services"))),"Other Services"))</f>
        <v/>
      </c>
    </row>
    <row r="3109" customFormat="false" ht="15" hidden="false" customHeight="false" outlineLevel="0" collapsed="false">
      <c r="G3109" s="41" t="str">
        <f aca="false">IF(E3109="","",IFERROR(IF(ISNUMBER(SEARCH(Assumptions!$C$5,E3109)),Assumptions!$D$5,IF(ISNUMBER(SEARCH(Assumptions!$C$6,E3109)),Assumptions!$D$6,IF(ISNUMBER(SEARCH(Assumptions!$C$7,E3109)),Assumptions!$D$7,"Other Services"))),"Other Services"))</f>
        <v/>
      </c>
    </row>
    <row r="3110" customFormat="false" ht="15" hidden="false" customHeight="false" outlineLevel="0" collapsed="false">
      <c r="G3110" s="41" t="str">
        <f aca="false">IF(E3110="","",IFERROR(IF(ISNUMBER(SEARCH(Assumptions!$C$5,E3110)),Assumptions!$D$5,IF(ISNUMBER(SEARCH(Assumptions!$C$6,E3110)),Assumptions!$D$6,IF(ISNUMBER(SEARCH(Assumptions!$C$7,E3110)),Assumptions!$D$7,"Other Services"))),"Other Services"))</f>
        <v/>
      </c>
    </row>
    <row r="3111" customFormat="false" ht="15" hidden="false" customHeight="false" outlineLevel="0" collapsed="false">
      <c r="G3111" s="41" t="str">
        <f aca="false">IF(E3111="","",IFERROR(IF(ISNUMBER(SEARCH(Assumptions!$C$5,E3111)),Assumptions!$D$5,IF(ISNUMBER(SEARCH(Assumptions!$C$6,E3111)),Assumptions!$D$6,IF(ISNUMBER(SEARCH(Assumptions!$C$7,E3111)),Assumptions!$D$7,"Other Services"))),"Other Services"))</f>
        <v/>
      </c>
    </row>
    <row r="3112" customFormat="false" ht="15" hidden="false" customHeight="false" outlineLevel="0" collapsed="false">
      <c r="G3112" s="41" t="str">
        <f aca="false">IF(E3112="","",IFERROR(IF(ISNUMBER(SEARCH(Assumptions!$C$5,E3112)),Assumptions!$D$5,IF(ISNUMBER(SEARCH(Assumptions!$C$6,E3112)),Assumptions!$D$6,IF(ISNUMBER(SEARCH(Assumptions!$C$7,E3112)),Assumptions!$D$7,"Other Services"))),"Other Services"))</f>
        <v/>
      </c>
    </row>
    <row r="3113" customFormat="false" ht="15" hidden="false" customHeight="false" outlineLevel="0" collapsed="false">
      <c r="G3113" s="41" t="str">
        <f aca="false">IF(E3113="","",IFERROR(IF(ISNUMBER(SEARCH(Assumptions!$C$5,E3113)),Assumptions!$D$5,IF(ISNUMBER(SEARCH(Assumptions!$C$6,E3113)),Assumptions!$D$6,IF(ISNUMBER(SEARCH(Assumptions!$C$7,E3113)),Assumptions!$D$7,"Other Services"))),"Other Services"))</f>
        <v/>
      </c>
    </row>
    <row r="3114" customFormat="false" ht="15" hidden="false" customHeight="false" outlineLevel="0" collapsed="false">
      <c r="G3114" s="41" t="str">
        <f aca="false">IF(E3114="","",IFERROR(IF(ISNUMBER(SEARCH(Assumptions!$C$5,E3114)),Assumptions!$D$5,IF(ISNUMBER(SEARCH(Assumptions!$C$6,E3114)),Assumptions!$D$6,IF(ISNUMBER(SEARCH(Assumptions!$C$7,E3114)),Assumptions!$D$7,"Other Services"))),"Other Services"))</f>
        <v/>
      </c>
    </row>
    <row r="3115" customFormat="false" ht="15" hidden="false" customHeight="false" outlineLevel="0" collapsed="false">
      <c r="G3115" s="41" t="str">
        <f aca="false">IF(E3115="","",IFERROR(IF(ISNUMBER(SEARCH(Assumptions!$C$5,E3115)),Assumptions!$D$5,IF(ISNUMBER(SEARCH(Assumptions!$C$6,E3115)),Assumptions!$D$6,IF(ISNUMBER(SEARCH(Assumptions!$C$7,E3115)),Assumptions!$D$7,"Other Services"))),"Other Services"))</f>
        <v/>
      </c>
    </row>
    <row r="3116" customFormat="false" ht="15" hidden="false" customHeight="false" outlineLevel="0" collapsed="false">
      <c r="G3116" s="41" t="str">
        <f aca="false">IF(E3116="","",IFERROR(IF(ISNUMBER(SEARCH(Assumptions!$C$5,E3116)),Assumptions!$D$5,IF(ISNUMBER(SEARCH(Assumptions!$C$6,E3116)),Assumptions!$D$6,IF(ISNUMBER(SEARCH(Assumptions!$C$7,E3116)),Assumptions!$D$7,"Other Services"))),"Other Services"))</f>
        <v/>
      </c>
    </row>
    <row r="3117" customFormat="false" ht="15" hidden="false" customHeight="false" outlineLevel="0" collapsed="false">
      <c r="G3117" s="41" t="str">
        <f aca="false">IF(E3117="","",IFERROR(IF(ISNUMBER(SEARCH(Assumptions!$C$5,E3117)),Assumptions!$D$5,IF(ISNUMBER(SEARCH(Assumptions!$C$6,E3117)),Assumptions!$D$6,IF(ISNUMBER(SEARCH(Assumptions!$C$7,E3117)),Assumptions!$D$7,"Other Services"))),"Other Services"))</f>
        <v/>
      </c>
    </row>
    <row r="3118" customFormat="false" ht="15" hidden="false" customHeight="false" outlineLevel="0" collapsed="false">
      <c r="G3118" s="41" t="str">
        <f aca="false">IF(E3118="","",IFERROR(IF(ISNUMBER(SEARCH(Assumptions!$C$5,E3118)),Assumptions!$D$5,IF(ISNUMBER(SEARCH(Assumptions!$C$6,E3118)),Assumptions!$D$6,IF(ISNUMBER(SEARCH(Assumptions!$C$7,E3118)),Assumptions!$D$7,"Other Services"))),"Other Services"))</f>
        <v/>
      </c>
    </row>
    <row r="3119" customFormat="false" ht="15" hidden="false" customHeight="false" outlineLevel="0" collapsed="false">
      <c r="G3119" s="41" t="str">
        <f aca="false">IF(E3119="","",IFERROR(IF(ISNUMBER(SEARCH(Assumptions!$C$5,E3119)),Assumptions!$D$5,IF(ISNUMBER(SEARCH(Assumptions!$C$6,E3119)),Assumptions!$D$6,IF(ISNUMBER(SEARCH(Assumptions!$C$7,E3119)),Assumptions!$D$7,"Other Services"))),"Other Services"))</f>
        <v/>
      </c>
    </row>
    <row r="3120" customFormat="false" ht="15" hidden="false" customHeight="false" outlineLevel="0" collapsed="false">
      <c r="G3120" s="41" t="str">
        <f aca="false">IF(E3120="","",IFERROR(IF(ISNUMBER(SEARCH(Assumptions!$C$5,E3120)),Assumptions!$D$5,IF(ISNUMBER(SEARCH(Assumptions!$C$6,E3120)),Assumptions!$D$6,IF(ISNUMBER(SEARCH(Assumptions!$C$7,E3120)),Assumptions!$D$7,"Other Services"))),"Other Services"))</f>
        <v/>
      </c>
    </row>
    <row r="3121" customFormat="false" ht="15" hidden="false" customHeight="false" outlineLevel="0" collapsed="false">
      <c r="G3121" s="41" t="str">
        <f aca="false">IF(E3121="","",IFERROR(IF(ISNUMBER(SEARCH(Assumptions!$C$5,E3121)),Assumptions!$D$5,IF(ISNUMBER(SEARCH(Assumptions!$C$6,E3121)),Assumptions!$D$6,IF(ISNUMBER(SEARCH(Assumptions!$C$7,E3121)),Assumptions!$D$7,"Other Services"))),"Other Services"))</f>
        <v/>
      </c>
    </row>
    <row r="3122" customFormat="false" ht="15" hidden="false" customHeight="false" outlineLevel="0" collapsed="false">
      <c r="G3122" s="41" t="str">
        <f aca="false">IF(E3122="","",IFERROR(IF(ISNUMBER(SEARCH(Assumptions!$C$5,E3122)),Assumptions!$D$5,IF(ISNUMBER(SEARCH(Assumptions!$C$6,E3122)),Assumptions!$D$6,IF(ISNUMBER(SEARCH(Assumptions!$C$7,E3122)),Assumptions!$D$7,"Other Services"))),"Other Services"))</f>
        <v/>
      </c>
    </row>
    <row r="3123" customFormat="false" ht="15" hidden="false" customHeight="false" outlineLevel="0" collapsed="false">
      <c r="G3123" s="41" t="str">
        <f aca="false">IF(E3123="","",IFERROR(IF(ISNUMBER(SEARCH(Assumptions!$C$5,E3123)),Assumptions!$D$5,IF(ISNUMBER(SEARCH(Assumptions!$C$6,E3123)),Assumptions!$D$6,IF(ISNUMBER(SEARCH(Assumptions!$C$7,E3123)),Assumptions!$D$7,"Other Services"))),"Other Services"))</f>
        <v/>
      </c>
    </row>
    <row r="3124" customFormat="false" ht="15" hidden="false" customHeight="false" outlineLevel="0" collapsed="false">
      <c r="G3124" s="41" t="str">
        <f aca="false">IF(E3124="","",IFERROR(IF(ISNUMBER(SEARCH(Assumptions!$C$5,E3124)),Assumptions!$D$5,IF(ISNUMBER(SEARCH(Assumptions!$C$6,E3124)),Assumptions!$D$6,IF(ISNUMBER(SEARCH(Assumptions!$C$7,E3124)),Assumptions!$D$7,"Other Services"))),"Other Services"))</f>
        <v/>
      </c>
    </row>
    <row r="3125" customFormat="false" ht="15" hidden="false" customHeight="false" outlineLevel="0" collapsed="false">
      <c r="G3125" s="41" t="str">
        <f aca="false">IF(E3125="","",IFERROR(IF(ISNUMBER(SEARCH(Assumptions!$C$5,E3125)),Assumptions!$D$5,IF(ISNUMBER(SEARCH(Assumptions!$C$6,E3125)),Assumptions!$D$6,IF(ISNUMBER(SEARCH(Assumptions!$C$7,E3125)),Assumptions!$D$7,"Other Services"))),"Other Services"))</f>
        <v/>
      </c>
    </row>
    <row r="3126" customFormat="false" ht="15" hidden="false" customHeight="false" outlineLevel="0" collapsed="false">
      <c r="G3126" s="41" t="str">
        <f aca="false">IF(E3126="","",IFERROR(IF(ISNUMBER(SEARCH(Assumptions!$C$5,E3126)),Assumptions!$D$5,IF(ISNUMBER(SEARCH(Assumptions!$C$6,E3126)),Assumptions!$D$6,IF(ISNUMBER(SEARCH(Assumptions!$C$7,E3126)),Assumptions!$D$7,"Other Services"))),"Other Services"))</f>
        <v/>
      </c>
    </row>
    <row r="3127" customFormat="false" ht="15" hidden="false" customHeight="false" outlineLevel="0" collapsed="false">
      <c r="G3127" s="41" t="str">
        <f aca="false">IF(E3127="","",IFERROR(IF(ISNUMBER(SEARCH(Assumptions!$C$5,E3127)),Assumptions!$D$5,IF(ISNUMBER(SEARCH(Assumptions!$C$6,E3127)),Assumptions!$D$6,IF(ISNUMBER(SEARCH(Assumptions!$C$7,E3127)),Assumptions!$D$7,"Other Services"))),"Other Services"))</f>
        <v/>
      </c>
    </row>
    <row r="3128" customFormat="false" ht="15" hidden="false" customHeight="false" outlineLevel="0" collapsed="false">
      <c r="G3128" s="41" t="str">
        <f aca="false">IF(E3128="","",IFERROR(IF(ISNUMBER(SEARCH(Assumptions!$C$5,E3128)),Assumptions!$D$5,IF(ISNUMBER(SEARCH(Assumptions!$C$6,E3128)),Assumptions!$D$6,IF(ISNUMBER(SEARCH(Assumptions!$C$7,E3128)),Assumptions!$D$7,"Other Services"))),"Other Services"))</f>
        <v/>
      </c>
    </row>
    <row r="3129" customFormat="false" ht="15" hidden="false" customHeight="false" outlineLevel="0" collapsed="false">
      <c r="G3129" s="41" t="str">
        <f aca="false">IF(E3129="","",IFERROR(IF(ISNUMBER(SEARCH(Assumptions!$C$5,E3129)),Assumptions!$D$5,IF(ISNUMBER(SEARCH(Assumptions!$C$6,E3129)),Assumptions!$D$6,IF(ISNUMBER(SEARCH(Assumptions!$C$7,E3129)),Assumptions!$D$7,"Other Services"))),"Other Services"))</f>
        <v/>
      </c>
    </row>
    <row r="3130" customFormat="false" ht="15" hidden="false" customHeight="false" outlineLevel="0" collapsed="false">
      <c r="G3130" s="41" t="str">
        <f aca="false">IF(E3130="","",IFERROR(IF(ISNUMBER(SEARCH(Assumptions!$C$5,E3130)),Assumptions!$D$5,IF(ISNUMBER(SEARCH(Assumptions!$C$6,E3130)),Assumptions!$D$6,IF(ISNUMBER(SEARCH(Assumptions!$C$7,E3130)),Assumptions!$D$7,"Other Services"))),"Other Services"))</f>
        <v/>
      </c>
    </row>
    <row r="3131" customFormat="false" ht="15" hidden="false" customHeight="false" outlineLevel="0" collapsed="false">
      <c r="G3131" s="41" t="str">
        <f aca="false">IF(E3131="","",IFERROR(IF(ISNUMBER(SEARCH(Assumptions!$C$5,E3131)),Assumptions!$D$5,IF(ISNUMBER(SEARCH(Assumptions!$C$6,E3131)),Assumptions!$D$6,IF(ISNUMBER(SEARCH(Assumptions!$C$7,E3131)),Assumptions!$D$7,"Other Services"))),"Other Services"))</f>
        <v/>
      </c>
    </row>
    <row r="3132" customFormat="false" ht="15" hidden="false" customHeight="false" outlineLevel="0" collapsed="false">
      <c r="G3132" s="41" t="str">
        <f aca="false">IF(E3132="","",IFERROR(IF(ISNUMBER(SEARCH(Assumptions!$C$5,E3132)),Assumptions!$D$5,IF(ISNUMBER(SEARCH(Assumptions!$C$6,E3132)),Assumptions!$D$6,IF(ISNUMBER(SEARCH(Assumptions!$C$7,E3132)),Assumptions!$D$7,"Other Services"))),"Other Services"))</f>
        <v/>
      </c>
    </row>
    <row r="3133" customFormat="false" ht="15" hidden="false" customHeight="false" outlineLevel="0" collapsed="false">
      <c r="G3133" s="41" t="str">
        <f aca="false">IF(E3133="","",IFERROR(IF(ISNUMBER(SEARCH(Assumptions!$C$5,E3133)),Assumptions!$D$5,IF(ISNUMBER(SEARCH(Assumptions!$C$6,E3133)),Assumptions!$D$6,IF(ISNUMBER(SEARCH(Assumptions!$C$7,E3133)),Assumptions!$D$7,"Other Services"))),"Other Services"))</f>
        <v/>
      </c>
    </row>
    <row r="3134" customFormat="false" ht="15" hidden="false" customHeight="false" outlineLevel="0" collapsed="false">
      <c r="G3134" s="41" t="str">
        <f aca="false">IF(E3134="","",IFERROR(IF(ISNUMBER(SEARCH(Assumptions!$C$5,E3134)),Assumptions!$D$5,IF(ISNUMBER(SEARCH(Assumptions!$C$6,E3134)),Assumptions!$D$6,IF(ISNUMBER(SEARCH(Assumptions!$C$7,E3134)),Assumptions!$D$7,"Other Services"))),"Other Services"))</f>
        <v/>
      </c>
    </row>
    <row r="3135" customFormat="false" ht="15" hidden="false" customHeight="false" outlineLevel="0" collapsed="false">
      <c r="G3135" s="41" t="str">
        <f aca="false">IF(E3135="","",IFERROR(IF(ISNUMBER(SEARCH(Assumptions!$C$5,E3135)),Assumptions!$D$5,IF(ISNUMBER(SEARCH(Assumptions!$C$6,E3135)),Assumptions!$D$6,IF(ISNUMBER(SEARCH(Assumptions!$C$7,E3135)),Assumptions!$D$7,"Other Services"))),"Other Services"))</f>
        <v/>
      </c>
    </row>
    <row r="3136" customFormat="false" ht="15" hidden="false" customHeight="false" outlineLevel="0" collapsed="false">
      <c r="G3136" s="41" t="str">
        <f aca="false">IF(E3136="","",IFERROR(IF(ISNUMBER(SEARCH(Assumptions!$C$5,E3136)),Assumptions!$D$5,IF(ISNUMBER(SEARCH(Assumptions!$C$6,E3136)),Assumptions!$D$6,IF(ISNUMBER(SEARCH(Assumptions!$C$7,E3136)),Assumptions!$D$7,"Other Services"))),"Other Services"))</f>
        <v/>
      </c>
    </row>
    <row r="3137" customFormat="false" ht="15" hidden="false" customHeight="false" outlineLevel="0" collapsed="false">
      <c r="G3137" s="41" t="str">
        <f aca="false">IF(E3137="","",IFERROR(IF(ISNUMBER(SEARCH(Assumptions!$C$5,E3137)),Assumptions!$D$5,IF(ISNUMBER(SEARCH(Assumptions!$C$6,E3137)),Assumptions!$D$6,IF(ISNUMBER(SEARCH(Assumptions!$C$7,E3137)),Assumptions!$D$7,"Other Services"))),"Other Services"))</f>
        <v/>
      </c>
    </row>
    <row r="3138" customFormat="false" ht="15" hidden="false" customHeight="false" outlineLevel="0" collapsed="false">
      <c r="G3138" s="41" t="str">
        <f aca="false">IF(E3138="","",IFERROR(IF(ISNUMBER(SEARCH(Assumptions!$C$5,E3138)),Assumptions!$D$5,IF(ISNUMBER(SEARCH(Assumptions!$C$6,E3138)),Assumptions!$D$6,IF(ISNUMBER(SEARCH(Assumptions!$C$7,E3138)),Assumptions!$D$7,"Other Services"))),"Other Services"))</f>
        <v/>
      </c>
    </row>
    <row r="3139" customFormat="false" ht="15" hidden="false" customHeight="false" outlineLevel="0" collapsed="false">
      <c r="G3139" s="41" t="str">
        <f aca="false">IF(E3139="","",IFERROR(IF(ISNUMBER(SEARCH(Assumptions!$C$5,E3139)),Assumptions!$D$5,IF(ISNUMBER(SEARCH(Assumptions!$C$6,E3139)),Assumptions!$D$6,IF(ISNUMBER(SEARCH(Assumptions!$C$7,E3139)),Assumptions!$D$7,"Other Services"))),"Other Services"))</f>
        <v/>
      </c>
    </row>
    <row r="3140" customFormat="false" ht="15" hidden="false" customHeight="false" outlineLevel="0" collapsed="false">
      <c r="G3140" s="41" t="str">
        <f aca="false">IF(E3140="","",IFERROR(IF(ISNUMBER(SEARCH(Assumptions!$C$5,E3140)),Assumptions!$D$5,IF(ISNUMBER(SEARCH(Assumptions!$C$6,E3140)),Assumptions!$D$6,IF(ISNUMBER(SEARCH(Assumptions!$C$7,E3140)),Assumptions!$D$7,"Other Services"))),"Other Services"))</f>
        <v/>
      </c>
    </row>
    <row r="3141" customFormat="false" ht="15" hidden="false" customHeight="false" outlineLevel="0" collapsed="false">
      <c r="G3141" s="41" t="str">
        <f aca="false">IF(E3141="","",IFERROR(IF(ISNUMBER(SEARCH(Assumptions!$C$5,E3141)),Assumptions!$D$5,IF(ISNUMBER(SEARCH(Assumptions!$C$6,E3141)),Assumptions!$D$6,IF(ISNUMBER(SEARCH(Assumptions!$C$7,E3141)),Assumptions!$D$7,"Other Services"))),"Other Services"))</f>
        <v/>
      </c>
    </row>
    <row r="3142" customFormat="false" ht="15" hidden="false" customHeight="false" outlineLevel="0" collapsed="false">
      <c r="G3142" s="41" t="str">
        <f aca="false">IF(E3142="","",IFERROR(IF(ISNUMBER(SEARCH(Assumptions!$C$5,E3142)),Assumptions!$D$5,IF(ISNUMBER(SEARCH(Assumptions!$C$6,E3142)),Assumptions!$D$6,IF(ISNUMBER(SEARCH(Assumptions!$C$7,E3142)),Assumptions!$D$7,"Other Services"))),"Other Services"))</f>
        <v/>
      </c>
    </row>
    <row r="3143" customFormat="false" ht="15" hidden="false" customHeight="false" outlineLevel="0" collapsed="false">
      <c r="G3143" s="41" t="str">
        <f aca="false">IF(E3143="","",IFERROR(IF(ISNUMBER(SEARCH(Assumptions!$C$5,E3143)),Assumptions!$D$5,IF(ISNUMBER(SEARCH(Assumptions!$C$6,E3143)),Assumptions!$D$6,IF(ISNUMBER(SEARCH(Assumptions!$C$7,E3143)),Assumptions!$D$7,"Other Services"))),"Other Services"))</f>
        <v/>
      </c>
    </row>
    <row r="3144" customFormat="false" ht="15" hidden="false" customHeight="false" outlineLevel="0" collapsed="false">
      <c r="G3144" s="41" t="str">
        <f aca="false">IF(E3144="","",IFERROR(IF(ISNUMBER(SEARCH(Assumptions!$C$5,E3144)),Assumptions!$D$5,IF(ISNUMBER(SEARCH(Assumptions!$C$6,E3144)),Assumptions!$D$6,IF(ISNUMBER(SEARCH(Assumptions!$C$7,E3144)),Assumptions!$D$7,"Other Services"))),"Other Services"))</f>
        <v/>
      </c>
    </row>
    <row r="3145" customFormat="false" ht="15" hidden="false" customHeight="false" outlineLevel="0" collapsed="false">
      <c r="G3145" s="41" t="str">
        <f aca="false">IF(E3145="","",IFERROR(IF(ISNUMBER(SEARCH(Assumptions!$C$5,E3145)),Assumptions!$D$5,IF(ISNUMBER(SEARCH(Assumptions!$C$6,E3145)),Assumptions!$D$6,IF(ISNUMBER(SEARCH(Assumptions!$C$7,E3145)),Assumptions!$D$7,"Other Services"))),"Other Services"))</f>
        <v/>
      </c>
    </row>
    <row r="3146" customFormat="false" ht="15" hidden="false" customHeight="false" outlineLevel="0" collapsed="false">
      <c r="G3146" s="41" t="str">
        <f aca="false">IF(E3146="","",IFERROR(IF(ISNUMBER(SEARCH(Assumptions!$C$5,E3146)),Assumptions!$D$5,IF(ISNUMBER(SEARCH(Assumptions!$C$6,E3146)),Assumptions!$D$6,IF(ISNUMBER(SEARCH(Assumptions!$C$7,E3146)),Assumptions!$D$7,"Other Services"))),"Other Services"))</f>
        <v/>
      </c>
    </row>
    <row r="3147" customFormat="false" ht="15" hidden="false" customHeight="false" outlineLevel="0" collapsed="false">
      <c r="G3147" s="41" t="str">
        <f aca="false">IF(E3147="","",IFERROR(IF(ISNUMBER(SEARCH(Assumptions!$C$5,E3147)),Assumptions!$D$5,IF(ISNUMBER(SEARCH(Assumptions!$C$6,E3147)),Assumptions!$D$6,IF(ISNUMBER(SEARCH(Assumptions!$C$7,E3147)),Assumptions!$D$7,"Other Services"))),"Other Services"))</f>
        <v/>
      </c>
    </row>
    <row r="3148" customFormat="false" ht="15" hidden="false" customHeight="false" outlineLevel="0" collapsed="false">
      <c r="G3148" s="41" t="str">
        <f aca="false">IF(E3148="","",IFERROR(IF(ISNUMBER(SEARCH(Assumptions!$C$5,E3148)),Assumptions!$D$5,IF(ISNUMBER(SEARCH(Assumptions!$C$6,E3148)),Assumptions!$D$6,IF(ISNUMBER(SEARCH(Assumptions!$C$7,E3148)),Assumptions!$D$7,"Other Services"))),"Other Services"))</f>
        <v/>
      </c>
    </row>
    <row r="3149" customFormat="false" ht="15" hidden="false" customHeight="false" outlineLevel="0" collapsed="false">
      <c r="G3149" s="41" t="str">
        <f aca="false">IF(E3149="","",IFERROR(IF(ISNUMBER(SEARCH(Assumptions!$C$5,E3149)),Assumptions!$D$5,IF(ISNUMBER(SEARCH(Assumptions!$C$6,E3149)),Assumptions!$D$6,IF(ISNUMBER(SEARCH(Assumptions!$C$7,E3149)),Assumptions!$D$7,"Other Services"))),"Other Services"))</f>
        <v/>
      </c>
    </row>
    <row r="3150" customFormat="false" ht="15" hidden="false" customHeight="false" outlineLevel="0" collapsed="false">
      <c r="G3150" s="41" t="str">
        <f aca="false">IF(E3150="","",IFERROR(IF(ISNUMBER(SEARCH(Assumptions!$C$5,E3150)),Assumptions!$D$5,IF(ISNUMBER(SEARCH(Assumptions!$C$6,E3150)),Assumptions!$D$6,IF(ISNUMBER(SEARCH(Assumptions!$C$7,E3150)),Assumptions!$D$7,"Other Services"))),"Other Services"))</f>
        <v/>
      </c>
    </row>
    <row r="3151" customFormat="false" ht="15" hidden="false" customHeight="false" outlineLevel="0" collapsed="false">
      <c r="G3151" s="41" t="str">
        <f aca="false">IF(E3151="","",IFERROR(IF(ISNUMBER(SEARCH(Assumptions!$C$5,E3151)),Assumptions!$D$5,IF(ISNUMBER(SEARCH(Assumptions!$C$6,E3151)),Assumptions!$D$6,IF(ISNUMBER(SEARCH(Assumptions!$C$7,E3151)),Assumptions!$D$7,"Other Services"))),"Other Services"))</f>
        <v/>
      </c>
    </row>
    <row r="3152" customFormat="false" ht="15" hidden="false" customHeight="false" outlineLevel="0" collapsed="false">
      <c r="G3152" s="41" t="str">
        <f aca="false">IF(E3152="","",IFERROR(IF(ISNUMBER(SEARCH(Assumptions!$C$5,E3152)),Assumptions!$D$5,IF(ISNUMBER(SEARCH(Assumptions!$C$6,E3152)),Assumptions!$D$6,IF(ISNUMBER(SEARCH(Assumptions!$C$7,E3152)),Assumptions!$D$7,"Other Services"))),"Other Services"))</f>
        <v/>
      </c>
    </row>
    <row r="3153" customFormat="false" ht="15" hidden="false" customHeight="false" outlineLevel="0" collapsed="false">
      <c r="G3153" s="41" t="str">
        <f aca="false">IF(E3153="","",IFERROR(IF(ISNUMBER(SEARCH(Assumptions!$C$5,E3153)),Assumptions!$D$5,IF(ISNUMBER(SEARCH(Assumptions!$C$6,E3153)),Assumptions!$D$6,IF(ISNUMBER(SEARCH(Assumptions!$C$7,E3153)),Assumptions!$D$7,"Other Services"))),"Other Services"))</f>
        <v/>
      </c>
    </row>
    <row r="3154" customFormat="false" ht="15" hidden="false" customHeight="false" outlineLevel="0" collapsed="false">
      <c r="G3154" s="41" t="str">
        <f aca="false">IF(E3154="","",IFERROR(IF(ISNUMBER(SEARCH(Assumptions!$C$5,E3154)),Assumptions!$D$5,IF(ISNUMBER(SEARCH(Assumptions!$C$6,E3154)),Assumptions!$D$6,IF(ISNUMBER(SEARCH(Assumptions!$C$7,E3154)),Assumptions!$D$7,"Other Services"))),"Other Services"))</f>
        <v/>
      </c>
    </row>
    <row r="3155" customFormat="false" ht="15" hidden="false" customHeight="false" outlineLevel="0" collapsed="false">
      <c r="G3155" s="41" t="str">
        <f aca="false">IF(E3155="","",IFERROR(IF(ISNUMBER(SEARCH(Assumptions!$C$5,E3155)),Assumptions!$D$5,IF(ISNUMBER(SEARCH(Assumptions!$C$6,E3155)),Assumptions!$D$6,IF(ISNUMBER(SEARCH(Assumptions!$C$7,E3155)),Assumptions!$D$7,"Other Services"))),"Other Services"))</f>
        <v/>
      </c>
    </row>
    <row r="3156" customFormat="false" ht="15" hidden="false" customHeight="false" outlineLevel="0" collapsed="false">
      <c r="G3156" s="41" t="str">
        <f aca="false">IF(E3156="","",IFERROR(IF(ISNUMBER(SEARCH(Assumptions!$C$5,E3156)),Assumptions!$D$5,IF(ISNUMBER(SEARCH(Assumptions!$C$6,E3156)),Assumptions!$D$6,IF(ISNUMBER(SEARCH(Assumptions!$C$7,E3156)),Assumptions!$D$7,"Other Services"))),"Other Services"))</f>
        <v/>
      </c>
    </row>
    <row r="3157" customFormat="false" ht="15" hidden="false" customHeight="false" outlineLevel="0" collapsed="false">
      <c r="G3157" s="41" t="str">
        <f aca="false">IF(E3157="","",IFERROR(IF(ISNUMBER(SEARCH(Assumptions!$C$5,E3157)),Assumptions!$D$5,IF(ISNUMBER(SEARCH(Assumptions!$C$6,E3157)),Assumptions!$D$6,IF(ISNUMBER(SEARCH(Assumptions!$C$7,E3157)),Assumptions!$D$7,"Other Services"))),"Other Services"))</f>
        <v/>
      </c>
    </row>
    <row r="3158" customFormat="false" ht="15" hidden="false" customHeight="false" outlineLevel="0" collapsed="false">
      <c r="G3158" s="41" t="str">
        <f aca="false">IF(E3158="","",IFERROR(IF(ISNUMBER(SEARCH(Assumptions!$C$5,E3158)),Assumptions!$D$5,IF(ISNUMBER(SEARCH(Assumptions!$C$6,E3158)),Assumptions!$D$6,IF(ISNUMBER(SEARCH(Assumptions!$C$7,E3158)),Assumptions!$D$7,"Other Services"))),"Other Services"))</f>
        <v/>
      </c>
    </row>
    <row r="3159" customFormat="false" ht="15" hidden="false" customHeight="false" outlineLevel="0" collapsed="false">
      <c r="G3159" s="41" t="str">
        <f aca="false">IF(E3159="","",IFERROR(IF(ISNUMBER(SEARCH(Assumptions!$C$5,E3159)),Assumptions!$D$5,IF(ISNUMBER(SEARCH(Assumptions!$C$6,E3159)),Assumptions!$D$6,IF(ISNUMBER(SEARCH(Assumptions!$C$7,E3159)),Assumptions!$D$7,"Other Services"))),"Other Services"))</f>
        <v/>
      </c>
    </row>
    <row r="3160" customFormat="false" ht="15" hidden="false" customHeight="false" outlineLevel="0" collapsed="false">
      <c r="G3160" s="41" t="str">
        <f aca="false">IF(E3160="","",IFERROR(IF(ISNUMBER(SEARCH(Assumptions!$C$5,E3160)),Assumptions!$D$5,IF(ISNUMBER(SEARCH(Assumptions!$C$6,E3160)),Assumptions!$D$6,IF(ISNUMBER(SEARCH(Assumptions!$C$7,E3160)),Assumptions!$D$7,"Other Services"))),"Other Services"))</f>
        <v/>
      </c>
    </row>
    <row r="3161" customFormat="false" ht="15" hidden="false" customHeight="false" outlineLevel="0" collapsed="false">
      <c r="G3161" s="41" t="str">
        <f aca="false">IF(E3161="","",IFERROR(IF(ISNUMBER(SEARCH(Assumptions!$C$5,E3161)),Assumptions!$D$5,IF(ISNUMBER(SEARCH(Assumptions!$C$6,E3161)),Assumptions!$D$6,IF(ISNUMBER(SEARCH(Assumptions!$C$7,E3161)),Assumptions!$D$7,"Other Services"))),"Other Services"))</f>
        <v/>
      </c>
    </row>
    <row r="3162" customFormat="false" ht="15" hidden="false" customHeight="false" outlineLevel="0" collapsed="false">
      <c r="G3162" s="41" t="str">
        <f aca="false">IF(E3162="","",IFERROR(IF(ISNUMBER(SEARCH(Assumptions!$C$5,E3162)),Assumptions!$D$5,IF(ISNUMBER(SEARCH(Assumptions!$C$6,E3162)),Assumptions!$D$6,IF(ISNUMBER(SEARCH(Assumptions!$C$7,E3162)),Assumptions!$D$7,"Other Services"))),"Other Services"))</f>
        <v/>
      </c>
    </row>
    <row r="3163" customFormat="false" ht="15" hidden="false" customHeight="false" outlineLevel="0" collapsed="false">
      <c r="G3163" s="41" t="str">
        <f aca="false">IF(E3163="","",IFERROR(IF(ISNUMBER(SEARCH(Assumptions!$C$5,E3163)),Assumptions!$D$5,IF(ISNUMBER(SEARCH(Assumptions!$C$6,E3163)),Assumptions!$D$6,IF(ISNUMBER(SEARCH(Assumptions!$C$7,E3163)),Assumptions!$D$7,"Other Services"))),"Other Services"))</f>
        <v/>
      </c>
    </row>
    <row r="3164" customFormat="false" ht="15" hidden="false" customHeight="false" outlineLevel="0" collapsed="false">
      <c r="G3164" s="41" t="str">
        <f aca="false">IF(E3164="","",IFERROR(IF(ISNUMBER(SEARCH(Assumptions!$C$5,E3164)),Assumptions!$D$5,IF(ISNUMBER(SEARCH(Assumptions!$C$6,E3164)),Assumptions!$D$6,IF(ISNUMBER(SEARCH(Assumptions!$C$7,E3164)),Assumptions!$D$7,"Other Services"))),"Other Services"))</f>
        <v/>
      </c>
    </row>
    <row r="3165" customFormat="false" ht="15" hidden="false" customHeight="false" outlineLevel="0" collapsed="false">
      <c r="G3165" s="41" t="str">
        <f aca="false">IF(E3165="","",IFERROR(IF(ISNUMBER(SEARCH(Assumptions!$C$5,E3165)),Assumptions!$D$5,IF(ISNUMBER(SEARCH(Assumptions!$C$6,E3165)),Assumptions!$D$6,IF(ISNUMBER(SEARCH(Assumptions!$C$7,E3165)),Assumptions!$D$7,"Other Services"))),"Other Services"))</f>
        <v/>
      </c>
    </row>
    <row r="3166" customFormat="false" ht="15" hidden="false" customHeight="false" outlineLevel="0" collapsed="false">
      <c r="G3166" s="41" t="str">
        <f aca="false">IF(E3166="","",IFERROR(IF(ISNUMBER(SEARCH(Assumptions!$C$5,E3166)),Assumptions!$D$5,IF(ISNUMBER(SEARCH(Assumptions!$C$6,E3166)),Assumptions!$D$6,IF(ISNUMBER(SEARCH(Assumptions!$C$7,E3166)),Assumptions!$D$7,"Other Services"))),"Other Services"))</f>
        <v/>
      </c>
    </row>
    <row r="3167" customFormat="false" ht="15" hidden="false" customHeight="false" outlineLevel="0" collapsed="false">
      <c r="G3167" s="41" t="str">
        <f aca="false">IF(E3167="","",IFERROR(IF(ISNUMBER(SEARCH(Assumptions!$C$5,E3167)),Assumptions!$D$5,IF(ISNUMBER(SEARCH(Assumptions!$C$6,E3167)),Assumptions!$D$6,IF(ISNUMBER(SEARCH(Assumptions!$C$7,E3167)),Assumptions!$D$7,"Other Services"))),"Other Services"))</f>
        <v/>
      </c>
    </row>
    <row r="3168" customFormat="false" ht="15" hidden="false" customHeight="false" outlineLevel="0" collapsed="false">
      <c r="G3168" s="41" t="str">
        <f aca="false">IF(E3168="","",IFERROR(IF(ISNUMBER(SEARCH(Assumptions!$C$5,E3168)),Assumptions!$D$5,IF(ISNUMBER(SEARCH(Assumptions!$C$6,E3168)),Assumptions!$D$6,IF(ISNUMBER(SEARCH(Assumptions!$C$7,E3168)),Assumptions!$D$7,"Other Services"))),"Other Services"))</f>
        <v/>
      </c>
    </row>
    <row r="3169" customFormat="false" ht="15" hidden="false" customHeight="false" outlineLevel="0" collapsed="false">
      <c r="G3169" s="41" t="str">
        <f aca="false">IF(E3169="","",IFERROR(IF(ISNUMBER(SEARCH(Assumptions!$C$5,E3169)),Assumptions!$D$5,IF(ISNUMBER(SEARCH(Assumptions!$C$6,E3169)),Assumptions!$D$6,IF(ISNUMBER(SEARCH(Assumptions!$C$7,E3169)),Assumptions!$D$7,"Other Services"))),"Other Services"))</f>
        <v/>
      </c>
    </row>
    <row r="3170" customFormat="false" ht="15" hidden="false" customHeight="false" outlineLevel="0" collapsed="false">
      <c r="G3170" s="41" t="str">
        <f aca="false">IF(E3170="","",IFERROR(IF(ISNUMBER(SEARCH(Assumptions!$C$5,E3170)),Assumptions!$D$5,IF(ISNUMBER(SEARCH(Assumptions!$C$6,E3170)),Assumptions!$D$6,IF(ISNUMBER(SEARCH(Assumptions!$C$7,E3170)),Assumptions!$D$7,"Other Services"))),"Other Services"))</f>
        <v/>
      </c>
    </row>
    <row r="3171" customFormat="false" ht="15" hidden="false" customHeight="false" outlineLevel="0" collapsed="false">
      <c r="G3171" s="41" t="str">
        <f aca="false">IF(E3171="","",IFERROR(IF(ISNUMBER(SEARCH(Assumptions!$C$5,E3171)),Assumptions!$D$5,IF(ISNUMBER(SEARCH(Assumptions!$C$6,E3171)),Assumptions!$D$6,IF(ISNUMBER(SEARCH(Assumptions!$C$7,E3171)),Assumptions!$D$7,"Other Services"))),"Other Services"))</f>
        <v/>
      </c>
    </row>
    <row r="3172" customFormat="false" ht="15" hidden="false" customHeight="false" outlineLevel="0" collapsed="false">
      <c r="G3172" s="41" t="str">
        <f aca="false">IF(E3172="","",IFERROR(IF(ISNUMBER(SEARCH(Assumptions!$C$5,E3172)),Assumptions!$D$5,IF(ISNUMBER(SEARCH(Assumptions!$C$6,E3172)),Assumptions!$D$6,IF(ISNUMBER(SEARCH(Assumptions!$C$7,E3172)),Assumptions!$D$7,"Other Services"))),"Other Services"))</f>
        <v/>
      </c>
    </row>
    <row r="3173" customFormat="false" ht="15" hidden="false" customHeight="false" outlineLevel="0" collapsed="false">
      <c r="G3173" s="41" t="str">
        <f aca="false">IF(E3173="","",IFERROR(IF(ISNUMBER(SEARCH(Assumptions!$C$5,E3173)),Assumptions!$D$5,IF(ISNUMBER(SEARCH(Assumptions!$C$6,E3173)),Assumptions!$D$6,IF(ISNUMBER(SEARCH(Assumptions!$C$7,E3173)),Assumptions!$D$7,"Other Services"))),"Other Services"))</f>
        <v/>
      </c>
    </row>
    <row r="3174" customFormat="false" ht="15" hidden="false" customHeight="false" outlineLevel="0" collapsed="false">
      <c r="G3174" s="41" t="str">
        <f aca="false">IF(E3174="","",IFERROR(IF(ISNUMBER(SEARCH(Assumptions!$C$5,E3174)),Assumptions!$D$5,IF(ISNUMBER(SEARCH(Assumptions!$C$6,E3174)),Assumptions!$D$6,IF(ISNUMBER(SEARCH(Assumptions!$C$7,E3174)),Assumptions!$D$7,"Other Services"))),"Other Services"))</f>
        <v/>
      </c>
    </row>
    <row r="3175" customFormat="false" ht="15" hidden="false" customHeight="false" outlineLevel="0" collapsed="false">
      <c r="G3175" s="41" t="str">
        <f aca="false">IF(E3175="","",IFERROR(IF(ISNUMBER(SEARCH(Assumptions!$C$5,E3175)),Assumptions!$D$5,IF(ISNUMBER(SEARCH(Assumptions!$C$6,E3175)),Assumptions!$D$6,IF(ISNUMBER(SEARCH(Assumptions!$C$7,E3175)),Assumptions!$D$7,"Other Services"))),"Other Services"))</f>
        <v/>
      </c>
    </row>
    <row r="3176" customFormat="false" ht="15" hidden="false" customHeight="false" outlineLevel="0" collapsed="false">
      <c r="G3176" s="41" t="str">
        <f aca="false">IF(E3176="","",IFERROR(IF(ISNUMBER(SEARCH(Assumptions!$C$5,E3176)),Assumptions!$D$5,IF(ISNUMBER(SEARCH(Assumptions!$C$6,E3176)),Assumptions!$D$6,IF(ISNUMBER(SEARCH(Assumptions!$C$7,E3176)),Assumptions!$D$7,"Other Services"))),"Other Services"))</f>
        <v/>
      </c>
    </row>
    <row r="3177" customFormat="false" ht="15" hidden="false" customHeight="false" outlineLevel="0" collapsed="false">
      <c r="G3177" s="41" t="str">
        <f aca="false">IF(E3177="","",IFERROR(IF(ISNUMBER(SEARCH(Assumptions!$C$5,E3177)),Assumptions!$D$5,IF(ISNUMBER(SEARCH(Assumptions!$C$6,E3177)),Assumptions!$D$6,IF(ISNUMBER(SEARCH(Assumptions!$C$7,E3177)),Assumptions!$D$7,"Other Services"))),"Other Services"))</f>
        <v/>
      </c>
    </row>
    <row r="3178" customFormat="false" ht="15" hidden="false" customHeight="false" outlineLevel="0" collapsed="false">
      <c r="G3178" s="41" t="str">
        <f aca="false">IF(E3178="","",IFERROR(IF(ISNUMBER(SEARCH(Assumptions!$C$5,E3178)),Assumptions!$D$5,IF(ISNUMBER(SEARCH(Assumptions!$C$6,E3178)),Assumptions!$D$6,IF(ISNUMBER(SEARCH(Assumptions!$C$7,E3178)),Assumptions!$D$7,"Other Services"))),"Other Services"))</f>
        <v/>
      </c>
    </row>
    <row r="3179" customFormat="false" ht="15" hidden="false" customHeight="false" outlineLevel="0" collapsed="false">
      <c r="G3179" s="41" t="str">
        <f aca="false">IF(E3179="","",IFERROR(IF(ISNUMBER(SEARCH(Assumptions!$C$5,E3179)),Assumptions!$D$5,IF(ISNUMBER(SEARCH(Assumptions!$C$6,E3179)),Assumptions!$D$6,IF(ISNUMBER(SEARCH(Assumptions!$C$7,E3179)),Assumptions!$D$7,"Other Services"))),"Other Services"))</f>
        <v/>
      </c>
    </row>
    <row r="3180" customFormat="false" ht="15" hidden="false" customHeight="false" outlineLevel="0" collapsed="false">
      <c r="G3180" s="41" t="str">
        <f aca="false">IF(E3180="","",IFERROR(IF(ISNUMBER(SEARCH(Assumptions!$C$5,E3180)),Assumptions!$D$5,IF(ISNUMBER(SEARCH(Assumptions!$C$6,E3180)),Assumptions!$D$6,IF(ISNUMBER(SEARCH(Assumptions!$C$7,E3180)),Assumptions!$D$7,"Other Services"))),"Other Services"))</f>
        <v/>
      </c>
    </row>
    <row r="3181" customFormat="false" ht="15" hidden="false" customHeight="false" outlineLevel="0" collapsed="false">
      <c r="G3181" s="41" t="str">
        <f aca="false">IF(E3181="","",IFERROR(IF(ISNUMBER(SEARCH(Assumptions!$C$5,E3181)),Assumptions!$D$5,IF(ISNUMBER(SEARCH(Assumptions!$C$6,E3181)),Assumptions!$D$6,IF(ISNUMBER(SEARCH(Assumptions!$C$7,E3181)),Assumptions!$D$7,"Other Services"))),"Other Services"))</f>
        <v/>
      </c>
    </row>
    <row r="3182" customFormat="false" ht="15" hidden="false" customHeight="false" outlineLevel="0" collapsed="false">
      <c r="G3182" s="41" t="str">
        <f aca="false">IF(E3182="","",IFERROR(IF(ISNUMBER(SEARCH(Assumptions!$C$5,E3182)),Assumptions!$D$5,IF(ISNUMBER(SEARCH(Assumptions!$C$6,E3182)),Assumptions!$D$6,IF(ISNUMBER(SEARCH(Assumptions!$C$7,E3182)),Assumptions!$D$7,"Other Services"))),"Other Services"))</f>
        <v/>
      </c>
    </row>
    <row r="3183" customFormat="false" ht="15" hidden="false" customHeight="false" outlineLevel="0" collapsed="false">
      <c r="G3183" s="41" t="str">
        <f aca="false">IF(E3183="","",IFERROR(IF(ISNUMBER(SEARCH(Assumptions!$C$5,E3183)),Assumptions!$D$5,IF(ISNUMBER(SEARCH(Assumptions!$C$6,E3183)),Assumptions!$D$6,IF(ISNUMBER(SEARCH(Assumptions!$C$7,E3183)),Assumptions!$D$7,"Other Services"))),"Other Services"))</f>
        <v/>
      </c>
    </row>
    <row r="3184" customFormat="false" ht="15" hidden="false" customHeight="false" outlineLevel="0" collapsed="false">
      <c r="G3184" s="41" t="str">
        <f aca="false">IF(E3184="","",IFERROR(IF(ISNUMBER(SEARCH(Assumptions!$C$5,E3184)),Assumptions!$D$5,IF(ISNUMBER(SEARCH(Assumptions!$C$6,E3184)),Assumptions!$D$6,IF(ISNUMBER(SEARCH(Assumptions!$C$7,E3184)),Assumptions!$D$7,"Other Services"))),"Other Services"))</f>
        <v/>
      </c>
    </row>
    <row r="3185" customFormat="false" ht="15" hidden="false" customHeight="false" outlineLevel="0" collapsed="false">
      <c r="G3185" s="41" t="str">
        <f aca="false">IF(E3185="","",IFERROR(IF(ISNUMBER(SEARCH(Assumptions!$C$5,E3185)),Assumptions!$D$5,IF(ISNUMBER(SEARCH(Assumptions!$C$6,E3185)),Assumptions!$D$6,IF(ISNUMBER(SEARCH(Assumptions!$C$7,E3185)),Assumptions!$D$7,"Other Services"))),"Other Services"))</f>
        <v/>
      </c>
    </row>
    <row r="3186" customFormat="false" ht="15" hidden="false" customHeight="false" outlineLevel="0" collapsed="false">
      <c r="G3186" s="41" t="str">
        <f aca="false">IF(E3186="","",IFERROR(IF(ISNUMBER(SEARCH(Assumptions!$C$5,E3186)),Assumptions!$D$5,IF(ISNUMBER(SEARCH(Assumptions!$C$6,E3186)),Assumptions!$D$6,IF(ISNUMBER(SEARCH(Assumptions!$C$7,E3186)),Assumptions!$D$7,"Other Services"))),"Other Services"))</f>
        <v/>
      </c>
    </row>
    <row r="3187" customFormat="false" ht="15" hidden="false" customHeight="false" outlineLevel="0" collapsed="false">
      <c r="G3187" s="41" t="str">
        <f aca="false">IF(E3187="","",IFERROR(IF(ISNUMBER(SEARCH(Assumptions!$C$5,E3187)),Assumptions!$D$5,IF(ISNUMBER(SEARCH(Assumptions!$C$6,E3187)),Assumptions!$D$6,IF(ISNUMBER(SEARCH(Assumptions!$C$7,E3187)),Assumptions!$D$7,"Other Services"))),"Other Services"))</f>
        <v/>
      </c>
    </row>
    <row r="3188" customFormat="false" ht="15" hidden="false" customHeight="false" outlineLevel="0" collapsed="false">
      <c r="G3188" s="41" t="str">
        <f aca="false">IF(E3188="","",IFERROR(IF(ISNUMBER(SEARCH(Assumptions!$C$5,E3188)),Assumptions!$D$5,IF(ISNUMBER(SEARCH(Assumptions!$C$6,E3188)),Assumptions!$D$6,IF(ISNUMBER(SEARCH(Assumptions!$C$7,E3188)),Assumptions!$D$7,"Other Services"))),"Other Services"))</f>
        <v/>
      </c>
    </row>
    <row r="3189" customFormat="false" ht="15" hidden="false" customHeight="false" outlineLevel="0" collapsed="false">
      <c r="G3189" s="41" t="str">
        <f aca="false">IF(E3189="","",IFERROR(IF(ISNUMBER(SEARCH(Assumptions!$C$5,E3189)),Assumptions!$D$5,IF(ISNUMBER(SEARCH(Assumptions!$C$6,E3189)),Assumptions!$D$6,IF(ISNUMBER(SEARCH(Assumptions!$C$7,E3189)),Assumptions!$D$7,"Other Services"))),"Other Services"))</f>
        <v/>
      </c>
    </row>
    <row r="3190" customFormat="false" ht="15" hidden="false" customHeight="false" outlineLevel="0" collapsed="false">
      <c r="G3190" s="41" t="str">
        <f aca="false">IF(E3190="","",IFERROR(IF(ISNUMBER(SEARCH(Assumptions!$C$5,E3190)),Assumptions!$D$5,IF(ISNUMBER(SEARCH(Assumptions!$C$6,E3190)),Assumptions!$D$6,IF(ISNUMBER(SEARCH(Assumptions!$C$7,E3190)),Assumptions!$D$7,"Other Services"))),"Other Services"))</f>
        <v/>
      </c>
    </row>
    <row r="3191" customFormat="false" ht="15" hidden="false" customHeight="false" outlineLevel="0" collapsed="false">
      <c r="G3191" s="41" t="str">
        <f aca="false">IF(E3191="","",IFERROR(IF(ISNUMBER(SEARCH(Assumptions!$C$5,E3191)),Assumptions!$D$5,IF(ISNUMBER(SEARCH(Assumptions!$C$6,E3191)),Assumptions!$D$6,IF(ISNUMBER(SEARCH(Assumptions!$C$7,E3191)),Assumptions!$D$7,"Other Services"))),"Other Services"))</f>
        <v/>
      </c>
    </row>
    <row r="3192" customFormat="false" ht="15" hidden="false" customHeight="false" outlineLevel="0" collapsed="false">
      <c r="G3192" s="41" t="str">
        <f aca="false">IF(E3192="","",IFERROR(IF(ISNUMBER(SEARCH(Assumptions!$C$5,E3192)),Assumptions!$D$5,IF(ISNUMBER(SEARCH(Assumptions!$C$6,E3192)),Assumptions!$D$6,IF(ISNUMBER(SEARCH(Assumptions!$C$7,E3192)),Assumptions!$D$7,"Other Services"))),"Other Services"))</f>
        <v/>
      </c>
    </row>
    <row r="3193" customFormat="false" ht="15" hidden="false" customHeight="false" outlineLevel="0" collapsed="false">
      <c r="G3193" s="41" t="str">
        <f aca="false">IF(E3193="","",IFERROR(IF(ISNUMBER(SEARCH(Assumptions!$C$5,E3193)),Assumptions!$D$5,IF(ISNUMBER(SEARCH(Assumptions!$C$6,E3193)),Assumptions!$D$6,IF(ISNUMBER(SEARCH(Assumptions!$C$7,E3193)),Assumptions!$D$7,"Other Services"))),"Other Services"))</f>
        <v/>
      </c>
    </row>
    <row r="3194" customFormat="false" ht="15" hidden="false" customHeight="false" outlineLevel="0" collapsed="false">
      <c r="G3194" s="41" t="str">
        <f aca="false">IF(E3194="","",IFERROR(IF(ISNUMBER(SEARCH(Assumptions!$C$5,E3194)),Assumptions!$D$5,IF(ISNUMBER(SEARCH(Assumptions!$C$6,E3194)),Assumptions!$D$6,IF(ISNUMBER(SEARCH(Assumptions!$C$7,E3194)),Assumptions!$D$7,"Other Services"))),"Other Services"))</f>
        <v/>
      </c>
    </row>
    <row r="3195" customFormat="false" ht="15" hidden="false" customHeight="false" outlineLevel="0" collapsed="false">
      <c r="G3195" s="41" t="str">
        <f aca="false">IF(E3195="","",IFERROR(IF(ISNUMBER(SEARCH(Assumptions!$C$5,E3195)),Assumptions!$D$5,IF(ISNUMBER(SEARCH(Assumptions!$C$6,E3195)),Assumptions!$D$6,IF(ISNUMBER(SEARCH(Assumptions!$C$7,E3195)),Assumptions!$D$7,"Other Services"))),"Other Services"))</f>
        <v/>
      </c>
    </row>
    <row r="3196" customFormat="false" ht="15" hidden="false" customHeight="false" outlineLevel="0" collapsed="false">
      <c r="G3196" s="41" t="str">
        <f aca="false">IF(E3196="","",IFERROR(IF(ISNUMBER(SEARCH(Assumptions!$C$5,E3196)),Assumptions!$D$5,IF(ISNUMBER(SEARCH(Assumptions!$C$6,E3196)),Assumptions!$D$6,IF(ISNUMBER(SEARCH(Assumptions!$C$7,E3196)),Assumptions!$D$7,"Other Services"))),"Other Services"))</f>
        <v/>
      </c>
    </row>
    <row r="3197" customFormat="false" ht="15" hidden="false" customHeight="false" outlineLevel="0" collapsed="false">
      <c r="G3197" s="41" t="str">
        <f aca="false">IF(E3197="","",IFERROR(IF(ISNUMBER(SEARCH(Assumptions!$C$5,E3197)),Assumptions!$D$5,IF(ISNUMBER(SEARCH(Assumptions!$C$6,E3197)),Assumptions!$D$6,IF(ISNUMBER(SEARCH(Assumptions!$C$7,E3197)),Assumptions!$D$7,"Other Services"))),"Other Services"))</f>
        <v/>
      </c>
    </row>
    <row r="3198" customFormat="false" ht="15" hidden="false" customHeight="false" outlineLevel="0" collapsed="false">
      <c r="G3198" s="41" t="str">
        <f aca="false">IF(E3198="","",IFERROR(IF(ISNUMBER(SEARCH(Assumptions!$C$5,E3198)),Assumptions!$D$5,IF(ISNUMBER(SEARCH(Assumptions!$C$6,E3198)),Assumptions!$D$6,IF(ISNUMBER(SEARCH(Assumptions!$C$7,E3198)),Assumptions!$D$7,"Other Services"))),"Other Services"))</f>
        <v/>
      </c>
    </row>
    <row r="3199" customFormat="false" ht="15" hidden="false" customHeight="false" outlineLevel="0" collapsed="false">
      <c r="G3199" s="41" t="str">
        <f aca="false">IF(E3199="","",IFERROR(IF(ISNUMBER(SEARCH(Assumptions!$C$5,E3199)),Assumptions!$D$5,IF(ISNUMBER(SEARCH(Assumptions!$C$6,E3199)),Assumptions!$D$6,IF(ISNUMBER(SEARCH(Assumptions!$C$7,E3199)),Assumptions!$D$7,"Other Services"))),"Other Services"))</f>
        <v/>
      </c>
    </row>
    <row r="3200" customFormat="false" ht="15" hidden="false" customHeight="false" outlineLevel="0" collapsed="false">
      <c r="G3200" s="41" t="str">
        <f aca="false">IF(E3200="","",IFERROR(IF(ISNUMBER(SEARCH(Assumptions!$C$5,E3200)),Assumptions!$D$5,IF(ISNUMBER(SEARCH(Assumptions!$C$6,E3200)),Assumptions!$D$6,IF(ISNUMBER(SEARCH(Assumptions!$C$7,E3200)),Assumptions!$D$7,"Other Services"))),"Other Services"))</f>
        <v/>
      </c>
    </row>
    <row r="3201" customFormat="false" ht="15" hidden="false" customHeight="false" outlineLevel="0" collapsed="false">
      <c r="G3201" s="41" t="str">
        <f aca="false">IF(E3201="","",IFERROR(IF(ISNUMBER(SEARCH(Assumptions!$C$5,E3201)),Assumptions!$D$5,IF(ISNUMBER(SEARCH(Assumptions!$C$6,E3201)),Assumptions!$D$6,IF(ISNUMBER(SEARCH(Assumptions!$C$7,E3201)),Assumptions!$D$7,"Other Services"))),"Other Services"))</f>
        <v/>
      </c>
    </row>
    <row r="3202" customFormat="false" ht="15" hidden="false" customHeight="false" outlineLevel="0" collapsed="false">
      <c r="G3202" s="41" t="str">
        <f aca="false">IF(E3202="","",IFERROR(IF(ISNUMBER(SEARCH(Assumptions!$C$5,E3202)),Assumptions!$D$5,IF(ISNUMBER(SEARCH(Assumptions!$C$6,E3202)),Assumptions!$D$6,IF(ISNUMBER(SEARCH(Assumptions!$C$7,E3202)),Assumptions!$D$7,"Other Services"))),"Other Services"))</f>
        <v/>
      </c>
    </row>
    <row r="3203" customFormat="false" ht="15" hidden="false" customHeight="false" outlineLevel="0" collapsed="false">
      <c r="G3203" s="41" t="str">
        <f aca="false">IF(E3203="","",IFERROR(IF(ISNUMBER(SEARCH(Assumptions!$C$5,E3203)),Assumptions!$D$5,IF(ISNUMBER(SEARCH(Assumptions!$C$6,E3203)),Assumptions!$D$6,IF(ISNUMBER(SEARCH(Assumptions!$C$7,E3203)),Assumptions!$D$7,"Other Services"))),"Other Services"))</f>
        <v/>
      </c>
    </row>
    <row r="3204" customFormat="false" ht="15" hidden="false" customHeight="false" outlineLevel="0" collapsed="false">
      <c r="G3204" s="41" t="str">
        <f aca="false">IF(E3204="","",IFERROR(IF(ISNUMBER(SEARCH(Assumptions!$C$5,E3204)),Assumptions!$D$5,IF(ISNUMBER(SEARCH(Assumptions!$C$6,E3204)),Assumptions!$D$6,IF(ISNUMBER(SEARCH(Assumptions!$C$7,E3204)),Assumptions!$D$7,"Other Services"))),"Other Services"))</f>
        <v/>
      </c>
    </row>
    <row r="3205" customFormat="false" ht="15" hidden="false" customHeight="false" outlineLevel="0" collapsed="false">
      <c r="G3205" s="41" t="str">
        <f aca="false">IF(E3205="","",IFERROR(IF(ISNUMBER(SEARCH(Assumptions!$C$5,E3205)),Assumptions!$D$5,IF(ISNUMBER(SEARCH(Assumptions!$C$6,E3205)),Assumptions!$D$6,IF(ISNUMBER(SEARCH(Assumptions!$C$7,E3205)),Assumptions!$D$7,"Other Services"))),"Other Services"))</f>
        <v/>
      </c>
    </row>
    <row r="3206" customFormat="false" ht="15" hidden="false" customHeight="false" outlineLevel="0" collapsed="false">
      <c r="G3206" s="41" t="str">
        <f aca="false">IF(E3206="","",IFERROR(IF(ISNUMBER(SEARCH(Assumptions!$C$5,E3206)),Assumptions!$D$5,IF(ISNUMBER(SEARCH(Assumptions!$C$6,E3206)),Assumptions!$D$6,IF(ISNUMBER(SEARCH(Assumptions!$C$7,E3206)),Assumptions!$D$7,"Other Services"))),"Other Services"))</f>
        <v/>
      </c>
    </row>
    <row r="3207" customFormat="false" ht="15" hidden="false" customHeight="false" outlineLevel="0" collapsed="false">
      <c r="G3207" s="41" t="str">
        <f aca="false">IF(E3207="","",IFERROR(IF(ISNUMBER(SEARCH(Assumptions!$C$5,E3207)),Assumptions!$D$5,IF(ISNUMBER(SEARCH(Assumptions!$C$6,E3207)),Assumptions!$D$6,IF(ISNUMBER(SEARCH(Assumptions!$C$7,E3207)),Assumptions!$D$7,"Other Services"))),"Other Services"))</f>
        <v/>
      </c>
    </row>
    <row r="3208" customFormat="false" ht="15" hidden="false" customHeight="false" outlineLevel="0" collapsed="false">
      <c r="G3208" s="41" t="str">
        <f aca="false">IF(E3208="","",IFERROR(IF(ISNUMBER(SEARCH(Assumptions!$C$5,E3208)),Assumptions!$D$5,IF(ISNUMBER(SEARCH(Assumptions!$C$6,E3208)),Assumptions!$D$6,IF(ISNUMBER(SEARCH(Assumptions!$C$7,E3208)),Assumptions!$D$7,"Other Services"))),"Other Services"))</f>
        <v/>
      </c>
    </row>
    <row r="3209" customFormat="false" ht="15" hidden="false" customHeight="false" outlineLevel="0" collapsed="false">
      <c r="G3209" s="41" t="str">
        <f aca="false">IF(E3209="","",IFERROR(IF(ISNUMBER(SEARCH(Assumptions!$C$5,E3209)),Assumptions!$D$5,IF(ISNUMBER(SEARCH(Assumptions!$C$6,E3209)),Assumptions!$D$6,IF(ISNUMBER(SEARCH(Assumptions!$C$7,E3209)),Assumptions!$D$7,"Other Services"))),"Other Services"))</f>
        <v/>
      </c>
    </row>
    <row r="3210" customFormat="false" ht="15" hidden="false" customHeight="false" outlineLevel="0" collapsed="false">
      <c r="G3210" s="41" t="str">
        <f aca="false">IF(E3210="","",IFERROR(IF(ISNUMBER(SEARCH(Assumptions!$C$5,E3210)),Assumptions!$D$5,IF(ISNUMBER(SEARCH(Assumptions!$C$6,E3210)),Assumptions!$D$6,IF(ISNUMBER(SEARCH(Assumptions!$C$7,E3210)),Assumptions!$D$7,"Other Services"))),"Other Services"))</f>
        <v/>
      </c>
    </row>
    <row r="3211" customFormat="false" ht="15" hidden="false" customHeight="false" outlineLevel="0" collapsed="false">
      <c r="G3211" s="41" t="str">
        <f aca="false">IF(E3211="","",IFERROR(IF(ISNUMBER(SEARCH(Assumptions!$C$5,E3211)),Assumptions!$D$5,IF(ISNUMBER(SEARCH(Assumptions!$C$6,E3211)),Assumptions!$D$6,IF(ISNUMBER(SEARCH(Assumptions!$C$7,E3211)),Assumptions!$D$7,"Other Services"))),"Other Services"))</f>
        <v/>
      </c>
    </row>
    <row r="3212" customFormat="false" ht="15" hidden="false" customHeight="false" outlineLevel="0" collapsed="false">
      <c r="G3212" s="41" t="str">
        <f aca="false">IF(E3212="","",IFERROR(IF(ISNUMBER(SEARCH(Assumptions!$C$5,E3212)),Assumptions!$D$5,IF(ISNUMBER(SEARCH(Assumptions!$C$6,E3212)),Assumptions!$D$6,IF(ISNUMBER(SEARCH(Assumptions!$C$7,E3212)),Assumptions!$D$7,"Other Services"))),"Other Services"))</f>
        <v/>
      </c>
    </row>
    <row r="3213" customFormat="false" ht="15" hidden="false" customHeight="false" outlineLevel="0" collapsed="false">
      <c r="G3213" s="41" t="str">
        <f aca="false">IF(E3213="","",IFERROR(IF(ISNUMBER(SEARCH(Assumptions!$C$5,E3213)),Assumptions!$D$5,IF(ISNUMBER(SEARCH(Assumptions!$C$6,E3213)),Assumptions!$D$6,IF(ISNUMBER(SEARCH(Assumptions!$C$7,E3213)),Assumptions!$D$7,"Other Services"))),"Other Services"))</f>
        <v/>
      </c>
    </row>
    <row r="3214" customFormat="false" ht="15" hidden="false" customHeight="false" outlineLevel="0" collapsed="false">
      <c r="G3214" s="41" t="str">
        <f aca="false">IF(E3214="","",IFERROR(IF(ISNUMBER(SEARCH(Assumptions!$C$5,E3214)),Assumptions!$D$5,IF(ISNUMBER(SEARCH(Assumptions!$C$6,E3214)),Assumptions!$D$6,IF(ISNUMBER(SEARCH(Assumptions!$C$7,E3214)),Assumptions!$D$7,"Other Services"))),"Other Services"))</f>
        <v/>
      </c>
    </row>
    <row r="3215" customFormat="false" ht="15" hidden="false" customHeight="false" outlineLevel="0" collapsed="false">
      <c r="G3215" s="41" t="str">
        <f aca="false">IF(E3215="","",IFERROR(IF(ISNUMBER(SEARCH(Assumptions!$C$5,E3215)),Assumptions!$D$5,IF(ISNUMBER(SEARCH(Assumptions!$C$6,E3215)),Assumptions!$D$6,IF(ISNUMBER(SEARCH(Assumptions!$C$7,E3215)),Assumptions!$D$7,"Other Services"))),"Other Services"))</f>
        <v/>
      </c>
    </row>
    <row r="3216" customFormat="false" ht="15" hidden="false" customHeight="false" outlineLevel="0" collapsed="false">
      <c r="G3216" s="41" t="str">
        <f aca="false">IF(E3216="","",IFERROR(IF(ISNUMBER(SEARCH(Assumptions!$C$5,E3216)),Assumptions!$D$5,IF(ISNUMBER(SEARCH(Assumptions!$C$6,E3216)),Assumptions!$D$6,IF(ISNUMBER(SEARCH(Assumptions!$C$7,E3216)),Assumptions!$D$7,"Other Services"))),"Other Services"))</f>
        <v/>
      </c>
    </row>
    <row r="3217" customFormat="false" ht="15" hidden="false" customHeight="false" outlineLevel="0" collapsed="false">
      <c r="G3217" s="41" t="str">
        <f aca="false">IF(E3217="","",IFERROR(IF(ISNUMBER(SEARCH(Assumptions!$C$5,E3217)),Assumptions!$D$5,IF(ISNUMBER(SEARCH(Assumptions!$C$6,E3217)),Assumptions!$D$6,IF(ISNUMBER(SEARCH(Assumptions!$C$7,E3217)),Assumptions!$D$7,"Other Services"))),"Other Services"))</f>
        <v/>
      </c>
    </row>
    <row r="3218" customFormat="false" ht="15" hidden="false" customHeight="false" outlineLevel="0" collapsed="false">
      <c r="G3218" s="41" t="str">
        <f aca="false">IF(E3218="","",IFERROR(IF(ISNUMBER(SEARCH(Assumptions!$C$5,E3218)),Assumptions!$D$5,IF(ISNUMBER(SEARCH(Assumptions!$C$6,E3218)),Assumptions!$D$6,IF(ISNUMBER(SEARCH(Assumptions!$C$7,E3218)),Assumptions!$D$7,"Other Services"))),"Other Services"))</f>
        <v/>
      </c>
    </row>
    <row r="3219" customFormat="false" ht="15" hidden="false" customHeight="false" outlineLevel="0" collapsed="false">
      <c r="G3219" s="41" t="str">
        <f aca="false">IF(E3219="","",IFERROR(IF(ISNUMBER(SEARCH(Assumptions!$C$5,E3219)),Assumptions!$D$5,IF(ISNUMBER(SEARCH(Assumptions!$C$6,E3219)),Assumptions!$D$6,IF(ISNUMBER(SEARCH(Assumptions!$C$7,E3219)),Assumptions!$D$7,"Other Services"))),"Other Services"))</f>
        <v/>
      </c>
    </row>
    <row r="3220" customFormat="false" ht="15" hidden="false" customHeight="false" outlineLevel="0" collapsed="false">
      <c r="G3220" s="41" t="str">
        <f aca="false">IF(E3220="","",IFERROR(IF(ISNUMBER(SEARCH(Assumptions!$C$5,E3220)),Assumptions!$D$5,IF(ISNUMBER(SEARCH(Assumptions!$C$6,E3220)),Assumptions!$D$6,IF(ISNUMBER(SEARCH(Assumptions!$C$7,E3220)),Assumptions!$D$7,"Other Services"))),"Other Services"))</f>
        <v/>
      </c>
    </row>
    <row r="3221" customFormat="false" ht="15" hidden="false" customHeight="false" outlineLevel="0" collapsed="false">
      <c r="G3221" s="41" t="str">
        <f aca="false">IF(E3221="","",IFERROR(IF(ISNUMBER(SEARCH(Assumptions!$C$5,E3221)),Assumptions!$D$5,IF(ISNUMBER(SEARCH(Assumptions!$C$6,E3221)),Assumptions!$D$6,IF(ISNUMBER(SEARCH(Assumptions!$C$7,E3221)),Assumptions!$D$7,"Other Services"))),"Other Services"))</f>
        <v/>
      </c>
    </row>
    <row r="3222" customFormat="false" ht="15" hidden="false" customHeight="false" outlineLevel="0" collapsed="false">
      <c r="G3222" s="41" t="str">
        <f aca="false">IF(E3222="","",IFERROR(IF(ISNUMBER(SEARCH(Assumptions!$C$5,E3222)),Assumptions!$D$5,IF(ISNUMBER(SEARCH(Assumptions!$C$6,E3222)),Assumptions!$D$6,IF(ISNUMBER(SEARCH(Assumptions!$C$7,E3222)),Assumptions!$D$7,"Other Services"))),"Other Services"))</f>
        <v/>
      </c>
    </row>
    <row r="3223" customFormat="false" ht="15" hidden="false" customHeight="false" outlineLevel="0" collapsed="false">
      <c r="G3223" s="41" t="str">
        <f aca="false">IF(E3223="","",IFERROR(IF(ISNUMBER(SEARCH(Assumptions!$C$5,E3223)),Assumptions!$D$5,IF(ISNUMBER(SEARCH(Assumptions!$C$6,E3223)),Assumptions!$D$6,IF(ISNUMBER(SEARCH(Assumptions!$C$7,E3223)),Assumptions!$D$7,"Other Services"))),"Other Services"))</f>
        <v/>
      </c>
    </row>
    <row r="3224" customFormat="false" ht="15" hidden="false" customHeight="false" outlineLevel="0" collapsed="false">
      <c r="G3224" s="41" t="str">
        <f aca="false">IF(E3224="","",IFERROR(IF(ISNUMBER(SEARCH(Assumptions!$C$5,E3224)),Assumptions!$D$5,IF(ISNUMBER(SEARCH(Assumptions!$C$6,E3224)),Assumptions!$D$6,IF(ISNUMBER(SEARCH(Assumptions!$C$7,E3224)),Assumptions!$D$7,"Other Services"))),"Other Services"))</f>
        <v/>
      </c>
    </row>
    <row r="3225" customFormat="false" ht="15" hidden="false" customHeight="false" outlineLevel="0" collapsed="false">
      <c r="G3225" s="41" t="str">
        <f aca="false">IF(E3225="","",IFERROR(IF(ISNUMBER(SEARCH(Assumptions!$C$5,E3225)),Assumptions!$D$5,IF(ISNUMBER(SEARCH(Assumptions!$C$6,E3225)),Assumptions!$D$6,IF(ISNUMBER(SEARCH(Assumptions!$C$7,E3225)),Assumptions!$D$7,"Other Services"))),"Other Services"))</f>
        <v/>
      </c>
    </row>
    <row r="3226" customFormat="false" ht="15" hidden="false" customHeight="false" outlineLevel="0" collapsed="false">
      <c r="G3226" s="41" t="str">
        <f aca="false">IF(E3226="","",IFERROR(IF(ISNUMBER(SEARCH(Assumptions!$C$5,E3226)),Assumptions!$D$5,IF(ISNUMBER(SEARCH(Assumptions!$C$6,E3226)),Assumptions!$D$6,IF(ISNUMBER(SEARCH(Assumptions!$C$7,E3226)),Assumptions!$D$7,"Other Services"))),"Other Services"))</f>
        <v/>
      </c>
    </row>
    <row r="3227" customFormat="false" ht="15" hidden="false" customHeight="false" outlineLevel="0" collapsed="false">
      <c r="G3227" s="41" t="str">
        <f aca="false">IF(E3227="","",IFERROR(IF(ISNUMBER(SEARCH(Assumptions!$C$5,E3227)),Assumptions!$D$5,IF(ISNUMBER(SEARCH(Assumptions!$C$6,E3227)),Assumptions!$D$6,IF(ISNUMBER(SEARCH(Assumptions!$C$7,E3227)),Assumptions!$D$7,"Other Services"))),"Other Services"))</f>
        <v/>
      </c>
    </row>
    <row r="3228" customFormat="false" ht="15" hidden="false" customHeight="false" outlineLevel="0" collapsed="false">
      <c r="G3228" s="41" t="str">
        <f aca="false">IF(E3228="","",IFERROR(IF(ISNUMBER(SEARCH(Assumptions!$C$5,E3228)),Assumptions!$D$5,IF(ISNUMBER(SEARCH(Assumptions!$C$6,E3228)),Assumptions!$D$6,IF(ISNUMBER(SEARCH(Assumptions!$C$7,E3228)),Assumptions!$D$7,"Other Services"))),"Other Services"))</f>
        <v/>
      </c>
    </row>
    <row r="3229" customFormat="false" ht="15" hidden="false" customHeight="false" outlineLevel="0" collapsed="false">
      <c r="G3229" s="41" t="str">
        <f aca="false">IF(E3229="","",IFERROR(IF(ISNUMBER(SEARCH(Assumptions!$C$5,E3229)),Assumptions!$D$5,IF(ISNUMBER(SEARCH(Assumptions!$C$6,E3229)),Assumptions!$D$6,IF(ISNUMBER(SEARCH(Assumptions!$C$7,E3229)),Assumptions!$D$7,"Other Services"))),"Other Services"))</f>
        <v/>
      </c>
    </row>
    <row r="3230" customFormat="false" ht="15" hidden="false" customHeight="false" outlineLevel="0" collapsed="false">
      <c r="G3230" s="41" t="str">
        <f aca="false">IF(E3230="","",IFERROR(IF(ISNUMBER(SEARCH(Assumptions!$C$5,E3230)),Assumptions!$D$5,IF(ISNUMBER(SEARCH(Assumptions!$C$6,E3230)),Assumptions!$D$6,IF(ISNUMBER(SEARCH(Assumptions!$C$7,E3230)),Assumptions!$D$7,"Other Services"))),"Other Services"))</f>
        <v/>
      </c>
    </row>
    <row r="3231" customFormat="false" ht="15" hidden="false" customHeight="false" outlineLevel="0" collapsed="false">
      <c r="G3231" s="41" t="str">
        <f aca="false">IF(E3231="","",IFERROR(IF(ISNUMBER(SEARCH(Assumptions!$C$5,E3231)),Assumptions!$D$5,IF(ISNUMBER(SEARCH(Assumptions!$C$6,E3231)),Assumptions!$D$6,IF(ISNUMBER(SEARCH(Assumptions!$C$7,E3231)),Assumptions!$D$7,"Other Services"))),"Other Services"))</f>
        <v/>
      </c>
    </row>
    <row r="3232" customFormat="false" ht="15" hidden="false" customHeight="false" outlineLevel="0" collapsed="false">
      <c r="G3232" s="41" t="str">
        <f aca="false">IF(E3232="","",IFERROR(IF(ISNUMBER(SEARCH(Assumptions!$C$5,E3232)),Assumptions!$D$5,IF(ISNUMBER(SEARCH(Assumptions!$C$6,E3232)),Assumptions!$D$6,IF(ISNUMBER(SEARCH(Assumptions!$C$7,E3232)),Assumptions!$D$7,"Other Services"))),"Other Services"))</f>
        <v/>
      </c>
    </row>
    <row r="3233" customFormat="false" ht="15" hidden="false" customHeight="false" outlineLevel="0" collapsed="false">
      <c r="G3233" s="41" t="str">
        <f aca="false">IF(E3233="","",IFERROR(IF(ISNUMBER(SEARCH(Assumptions!$C$5,E3233)),Assumptions!$D$5,IF(ISNUMBER(SEARCH(Assumptions!$C$6,E3233)),Assumptions!$D$6,IF(ISNUMBER(SEARCH(Assumptions!$C$7,E3233)),Assumptions!$D$7,"Other Services"))),"Other Services"))</f>
        <v/>
      </c>
    </row>
    <row r="3234" customFormat="false" ht="15" hidden="false" customHeight="false" outlineLevel="0" collapsed="false">
      <c r="G3234" s="41" t="str">
        <f aca="false">IF(E3234="","",IFERROR(IF(ISNUMBER(SEARCH(Assumptions!$C$5,E3234)),Assumptions!$D$5,IF(ISNUMBER(SEARCH(Assumptions!$C$6,E3234)),Assumptions!$D$6,IF(ISNUMBER(SEARCH(Assumptions!$C$7,E3234)),Assumptions!$D$7,"Other Services"))),"Other Services"))</f>
        <v/>
      </c>
    </row>
    <row r="3235" customFormat="false" ht="15" hidden="false" customHeight="false" outlineLevel="0" collapsed="false">
      <c r="G3235" s="41" t="str">
        <f aca="false">IF(E3235="","",IFERROR(IF(ISNUMBER(SEARCH(Assumptions!$C$5,E3235)),Assumptions!$D$5,IF(ISNUMBER(SEARCH(Assumptions!$C$6,E3235)),Assumptions!$D$6,IF(ISNUMBER(SEARCH(Assumptions!$C$7,E3235)),Assumptions!$D$7,"Other Services"))),"Other Services"))</f>
        <v/>
      </c>
    </row>
    <row r="3236" customFormat="false" ht="15" hidden="false" customHeight="false" outlineLevel="0" collapsed="false">
      <c r="G3236" s="41" t="str">
        <f aca="false">IF(E3236="","",IFERROR(IF(ISNUMBER(SEARCH(Assumptions!$C$5,E3236)),Assumptions!$D$5,IF(ISNUMBER(SEARCH(Assumptions!$C$6,E3236)),Assumptions!$D$6,IF(ISNUMBER(SEARCH(Assumptions!$C$7,E3236)),Assumptions!$D$7,"Other Services"))),"Other Services"))</f>
        <v/>
      </c>
    </row>
    <row r="3237" customFormat="false" ht="15" hidden="false" customHeight="false" outlineLevel="0" collapsed="false">
      <c r="G3237" s="41" t="str">
        <f aca="false">IF(E3237="","",IFERROR(IF(ISNUMBER(SEARCH(Assumptions!$C$5,E3237)),Assumptions!$D$5,IF(ISNUMBER(SEARCH(Assumptions!$C$6,E3237)),Assumptions!$D$6,IF(ISNUMBER(SEARCH(Assumptions!$C$7,E3237)),Assumptions!$D$7,"Other Services"))),"Other Services"))</f>
        <v/>
      </c>
    </row>
    <row r="3238" customFormat="false" ht="15" hidden="false" customHeight="false" outlineLevel="0" collapsed="false">
      <c r="G3238" s="41" t="str">
        <f aca="false">IF(E3238="","",IFERROR(IF(ISNUMBER(SEARCH(Assumptions!$C$5,E3238)),Assumptions!$D$5,IF(ISNUMBER(SEARCH(Assumptions!$C$6,E3238)),Assumptions!$D$6,IF(ISNUMBER(SEARCH(Assumptions!$C$7,E3238)),Assumptions!$D$7,"Other Services"))),"Other Services"))</f>
        <v/>
      </c>
    </row>
    <row r="3239" customFormat="false" ht="15" hidden="false" customHeight="false" outlineLevel="0" collapsed="false">
      <c r="G3239" s="41" t="str">
        <f aca="false">IF(E3239="","",IFERROR(IF(ISNUMBER(SEARCH(Assumptions!$C$5,E3239)),Assumptions!$D$5,IF(ISNUMBER(SEARCH(Assumptions!$C$6,E3239)),Assumptions!$D$6,IF(ISNUMBER(SEARCH(Assumptions!$C$7,E3239)),Assumptions!$D$7,"Other Services"))),"Other Services"))</f>
        <v/>
      </c>
    </row>
    <row r="3240" customFormat="false" ht="15" hidden="false" customHeight="false" outlineLevel="0" collapsed="false">
      <c r="G3240" s="41" t="str">
        <f aca="false">IF(E3240="","",IFERROR(IF(ISNUMBER(SEARCH(Assumptions!$C$5,E3240)),Assumptions!$D$5,IF(ISNUMBER(SEARCH(Assumptions!$C$6,E3240)),Assumptions!$D$6,IF(ISNUMBER(SEARCH(Assumptions!$C$7,E3240)),Assumptions!$D$7,"Other Services"))),"Other Services"))</f>
        <v/>
      </c>
    </row>
    <row r="3241" customFormat="false" ht="15" hidden="false" customHeight="false" outlineLevel="0" collapsed="false">
      <c r="G3241" s="41" t="str">
        <f aca="false">IF(E3241="","",IFERROR(IF(ISNUMBER(SEARCH(Assumptions!$C$5,E3241)),Assumptions!$D$5,IF(ISNUMBER(SEARCH(Assumptions!$C$6,E3241)),Assumptions!$D$6,IF(ISNUMBER(SEARCH(Assumptions!$C$7,E3241)),Assumptions!$D$7,"Other Services"))),"Other Services"))</f>
        <v/>
      </c>
    </row>
    <row r="3242" customFormat="false" ht="15" hidden="false" customHeight="false" outlineLevel="0" collapsed="false">
      <c r="G3242" s="41" t="str">
        <f aca="false">IF(E3242="","",IFERROR(IF(ISNUMBER(SEARCH(Assumptions!$C$5,E3242)),Assumptions!$D$5,IF(ISNUMBER(SEARCH(Assumptions!$C$6,E3242)),Assumptions!$D$6,IF(ISNUMBER(SEARCH(Assumptions!$C$7,E3242)),Assumptions!$D$7,"Other Services"))),"Other Services"))</f>
        <v/>
      </c>
    </row>
    <row r="3243" customFormat="false" ht="15" hidden="false" customHeight="false" outlineLevel="0" collapsed="false">
      <c r="G3243" s="41" t="str">
        <f aca="false">IF(E3243="","",IFERROR(IF(ISNUMBER(SEARCH(Assumptions!$C$5,E3243)),Assumptions!$D$5,IF(ISNUMBER(SEARCH(Assumptions!$C$6,E3243)),Assumptions!$D$6,IF(ISNUMBER(SEARCH(Assumptions!$C$7,E3243)),Assumptions!$D$7,"Other Services"))),"Other Services"))</f>
        <v/>
      </c>
    </row>
    <row r="3244" customFormat="false" ht="15" hidden="false" customHeight="false" outlineLevel="0" collapsed="false">
      <c r="G3244" s="41" t="str">
        <f aca="false">IF(E3244="","",IFERROR(IF(ISNUMBER(SEARCH(Assumptions!$C$5,E3244)),Assumptions!$D$5,IF(ISNUMBER(SEARCH(Assumptions!$C$6,E3244)),Assumptions!$D$6,IF(ISNUMBER(SEARCH(Assumptions!$C$7,E3244)),Assumptions!$D$7,"Other Services"))),"Other Services"))</f>
        <v/>
      </c>
    </row>
    <row r="3245" customFormat="false" ht="15" hidden="false" customHeight="false" outlineLevel="0" collapsed="false">
      <c r="G3245" s="41" t="str">
        <f aca="false">IF(E3245="","",IFERROR(IF(ISNUMBER(SEARCH(Assumptions!$C$5,E3245)),Assumptions!$D$5,IF(ISNUMBER(SEARCH(Assumptions!$C$6,E3245)),Assumptions!$D$6,IF(ISNUMBER(SEARCH(Assumptions!$C$7,E3245)),Assumptions!$D$7,"Other Services"))),"Other Services"))</f>
        <v/>
      </c>
    </row>
    <row r="3246" customFormat="false" ht="15" hidden="false" customHeight="false" outlineLevel="0" collapsed="false">
      <c r="G3246" s="41" t="str">
        <f aca="false">IF(E3246="","",IFERROR(IF(ISNUMBER(SEARCH(Assumptions!$C$5,E3246)),Assumptions!$D$5,IF(ISNUMBER(SEARCH(Assumptions!$C$6,E3246)),Assumptions!$D$6,IF(ISNUMBER(SEARCH(Assumptions!$C$7,E3246)),Assumptions!$D$7,"Other Services"))),"Other Services"))</f>
        <v/>
      </c>
    </row>
    <row r="3247" customFormat="false" ht="15" hidden="false" customHeight="false" outlineLevel="0" collapsed="false">
      <c r="G3247" s="41" t="str">
        <f aca="false">IF(E3247="","",IFERROR(IF(ISNUMBER(SEARCH(Assumptions!$C$5,E3247)),Assumptions!$D$5,IF(ISNUMBER(SEARCH(Assumptions!$C$6,E3247)),Assumptions!$D$6,IF(ISNUMBER(SEARCH(Assumptions!$C$7,E3247)),Assumptions!$D$7,"Other Services"))),"Other Services"))</f>
        <v/>
      </c>
    </row>
    <row r="3248" customFormat="false" ht="15" hidden="false" customHeight="false" outlineLevel="0" collapsed="false">
      <c r="G3248" s="41" t="str">
        <f aca="false">IF(E3248="","",IFERROR(IF(ISNUMBER(SEARCH(Assumptions!$C$5,E3248)),Assumptions!$D$5,IF(ISNUMBER(SEARCH(Assumptions!$C$6,E3248)),Assumptions!$D$6,IF(ISNUMBER(SEARCH(Assumptions!$C$7,E3248)),Assumptions!$D$7,"Other Services"))),"Other Services"))</f>
        <v/>
      </c>
    </row>
    <row r="3249" customFormat="false" ht="15" hidden="false" customHeight="false" outlineLevel="0" collapsed="false">
      <c r="G3249" s="41" t="str">
        <f aca="false">IF(E3249="","",IFERROR(IF(ISNUMBER(SEARCH(Assumptions!$C$5,E3249)),Assumptions!$D$5,IF(ISNUMBER(SEARCH(Assumptions!$C$6,E3249)),Assumptions!$D$6,IF(ISNUMBER(SEARCH(Assumptions!$C$7,E3249)),Assumptions!$D$7,"Other Services"))),"Other Services"))</f>
        <v/>
      </c>
    </row>
    <row r="3250" customFormat="false" ht="15" hidden="false" customHeight="false" outlineLevel="0" collapsed="false">
      <c r="G3250" s="41" t="str">
        <f aca="false">IF(E3250="","",IFERROR(IF(ISNUMBER(SEARCH(Assumptions!$C$5,E3250)),Assumptions!$D$5,IF(ISNUMBER(SEARCH(Assumptions!$C$6,E3250)),Assumptions!$D$6,IF(ISNUMBER(SEARCH(Assumptions!$C$7,E3250)),Assumptions!$D$7,"Other Services"))),"Other Services"))</f>
        <v/>
      </c>
    </row>
    <row r="3251" customFormat="false" ht="15" hidden="false" customHeight="false" outlineLevel="0" collapsed="false">
      <c r="G3251" s="41" t="str">
        <f aca="false">IF(E3251="","",IFERROR(IF(ISNUMBER(SEARCH(Assumptions!$C$5,E3251)),Assumptions!$D$5,IF(ISNUMBER(SEARCH(Assumptions!$C$6,E3251)),Assumptions!$D$6,IF(ISNUMBER(SEARCH(Assumptions!$C$7,E3251)),Assumptions!$D$7,"Other Services"))),"Other Services"))</f>
        <v/>
      </c>
    </row>
    <row r="3252" customFormat="false" ht="15" hidden="false" customHeight="false" outlineLevel="0" collapsed="false">
      <c r="G3252" s="41" t="str">
        <f aca="false">IF(E3252="","",IFERROR(IF(ISNUMBER(SEARCH(Assumptions!$C$5,E3252)),Assumptions!$D$5,IF(ISNUMBER(SEARCH(Assumptions!$C$6,E3252)),Assumptions!$D$6,IF(ISNUMBER(SEARCH(Assumptions!$C$7,E3252)),Assumptions!$D$7,"Other Services"))),"Other Services"))</f>
        <v/>
      </c>
    </row>
    <row r="3253" customFormat="false" ht="15" hidden="false" customHeight="false" outlineLevel="0" collapsed="false">
      <c r="G3253" s="41" t="str">
        <f aca="false">IF(E3253="","",IFERROR(IF(ISNUMBER(SEARCH(Assumptions!$C$5,E3253)),Assumptions!$D$5,IF(ISNUMBER(SEARCH(Assumptions!$C$6,E3253)),Assumptions!$D$6,IF(ISNUMBER(SEARCH(Assumptions!$C$7,E3253)),Assumptions!$D$7,"Other Services"))),"Other Services"))</f>
        <v/>
      </c>
    </row>
    <row r="3254" customFormat="false" ht="15" hidden="false" customHeight="false" outlineLevel="0" collapsed="false">
      <c r="G3254" s="41" t="str">
        <f aca="false">IF(E3254="","",IFERROR(IF(ISNUMBER(SEARCH(Assumptions!$C$5,E3254)),Assumptions!$D$5,IF(ISNUMBER(SEARCH(Assumptions!$C$6,E3254)),Assumptions!$D$6,IF(ISNUMBER(SEARCH(Assumptions!$C$7,E3254)),Assumptions!$D$7,"Other Services"))),"Other Services"))</f>
        <v/>
      </c>
    </row>
    <row r="3255" customFormat="false" ht="15" hidden="false" customHeight="false" outlineLevel="0" collapsed="false">
      <c r="G3255" s="41" t="str">
        <f aca="false">IF(E3255="","",IFERROR(IF(ISNUMBER(SEARCH(Assumptions!$C$5,E3255)),Assumptions!$D$5,IF(ISNUMBER(SEARCH(Assumptions!$C$6,E3255)),Assumptions!$D$6,IF(ISNUMBER(SEARCH(Assumptions!$C$7,E3255)),Assumptions!$D$7,"Other Services"))),"Other Services"))</f>
        <v/>
      </c>
    </row>
    <row r="3256" customFormat="false" ht="15" hidden="false" customHeight="false" outlineLevel="0" collapsed="false">
      <c r="G3256" s="41" t="str">
        <f aca="false">IF(E3256="","",IFERROR(IF(ISNUMBER(SEARCH(Assumptions!$C$5,E3256)),Assumptions!$D$5,IF(ISNUMBER(SEARCH(Assumptions!$C$6,E3256)),Assumptions!$D$6,IF(ISNUMBER(SEARCH(Assumptions!$C$7,E3256)),Assumptions!$D$7,"Other Services"))),"Other Services"))</f>
        <v/>
      </c>
    </row>
    <row r="3257" customFormat="false" ht="15" hidden="false" customHeight="false" outlineLevel="0" collapsed="false">
      <c r="G3257" s="41" t="str">
        <f aca="false">IF(E3257="","",IFERROR(IF(ISNUMBER(SEARCH(Assumptions!$C$5,E3257)),Assumptions!$D$5,IF(ISNUMBER(SEARCH(Assumptions!$C$6,E3257)),Assumptions!$D$6,IF(ISNUMBER(SEARCH(Assumptions!$C$7,E3257)),Assumptions!$D$7,"Other Services"))),"Other Services"))</f>
        <v/>
      </c>
    </row>
    <row r="3258" customFormat="false" ht="15" hidden="false" customHeight="false" outlineLevel="0" collapsed="false">
      <c r="G3258" s="41" t="str">
        <f aca="false">IF(E3258="","",IFERROR(IF(ISNUMBER(SEARCH(Assumptions!$C$5,E3258)),Assumptions!$D$5,IF(ISNUMBER(SEARCH(Assumptions!$C$6,E3258)),Assumptions!$D$6,IF(ISNUMBER(SEARCH(Assumptions!$C$7,E3258)),Assumptions!$D$7,"Other Services"))),"Other Services"))</f>
        <v/>
      </c>
    </row>
    <row r="3259" customFormat="false" ht="15" hidden="false" customHeight="false" outlineLevel="0" collapsed="false">
      <c r="G3259" s="41" t="str">
        <f aca="false">IF(E3259="","",IFERROR(IF(ISNUMBER(SEARCH(Assumptions!$C$5,E3259)),Assumptions!$D$5,IF(ISNUMBER(SEARCH(Assumptions!$C$6,E3259)),Assumptions!$D$6,IF(ISNUMBER(SEARCH(Assumptions!$C$7,E3259)),Assumptions!$D$7,"Other Services"))),"Other Services"))</f>
        <v/>
      </c>
    </row>
    <row r="3260" customFormat="false" ht="15" hidden="false" customHeight="false" outlineLevel="0" collapsed="false">
      <c r="G3260" s="41" t="str">
        <f aca="false">IF(E3260="","",IFERROR(IF(ISNUMBER(SEARCH(Assumptions!$C$5,E3260)),Assumptions!$D$5,IF(ISNUMBER(SEARCH(Assumptions!$C$6,E3260)),Assumptions!$D$6,IF(ISNUMBER(SEARCH(Assumptions!$C$7,E3260)),Assumptions!$D$7,"Other Services"))),"Other Services"))</f>
        <v/>
      </c>
    </row>
    <row r="3261" customFormat="false" ht="15" hidden="false" customHeight="false" outlineLevel="0" collapsed="false">
      <c r="G3261" s="41" t="str">
        <f aca="false">IF(E3261="","",IFERROR(IF(ISNUMBER(SEARCH(Assumptions!$C$5,E3261)),Assumptions!$D$5,IF(ISNUMBER(SEARCH(Assumptions!$C$6,E3261)),Assumptions!$D$6,IF(ISNUMBER(SEARCH(Assumptions!$C$7,E3261)),Assumptions!$D$7,"Other Services"))),"Other Services"))</f>
        <v/>
      </c>
    </row>
    <row r="3262" customFormat="false" ht="15" hidden="false" customHeight="false" outlineLevel="0" collapsed="false">
      <c r="G3262" s="41" t="str">
        <f aca="false">IF(E3262="","",IFERROR(IF(ISNUMBER(SEARCH(Assumptions!$C$5,E3262)),Assumptions!$D$5,IF(ISNUMBER(SEARCH(Assumptions!$C$6,E3262)),Assumptions!$D$6,IF(ISNUMBER(SEARCH(Assumptions!$C$7,E3262)),Assumptions!$D$7,"Other Services"))),"Other Services"))</f>
        <v/>
      </c>
    </row>
    <row r="3263" customFormat="false" ht="15" hidden="false" customHeight="false" outlineLevel="0" collapsed="false">
      <c r="G3263" s="41" t="str">
        <f aca="false">IF(E3263="","",IFERROR(IF(ISNUMBER(SEARCH(Assumptions!$C$5,E3263)),Assumptions!$D$5,IF(ISNUMBER(SEARCH(Assumptions!$C$6,E3263)),Assumptions!$D$6,IF(ISNUMBER(SEARCH(Assumptions!$C$7,E3263)),Assumptions!$D$7,"Other Services"))),"Other Services"))</f>
        <v/>
      </c>
    </row>
    <row r="3264" customFormat="false" ht="15" hidden="false" customHeight="false" outlineLevel="0" collapsed="false">
      <c r="G3264" s="41" t="str">
        <f aca="false">IF(E3264="","",IFERROR(IF(ISNUMBER(SEARCH(Assumptions!$C$5,E3264)),Assumptions!$D$5,IF(ISNUMBER(SEARCH(Assumptions!$C$6,E3264)),Assumptions!$D$6,IF(ISNUMBER(SEARCH(Assumptions!$C$7,E3264)),Assumptions!$D$7,"Other Services"))),"Other Services"))</f>
        <v/>
      </c>
    </row>
    <row r="3265" customFormat="false" ht="15" hidden="false" customHeight="false" outlineLevel="0" collapsed="false">
      <c r="G3265" s="41" t="str">
        <f aca="false">IF(E3265="","",IFERROR(IF(ISNUMBER(SEARCH(Assumptions!$C$5,E3265)),Assumptions!$D$5,IF(ISNUMBER(SEARCH(Assumptions!$C$6,E3265)),Assumptions!$D$6,IF(ISNUMBER(SEARCH(Assumptions!$C$7,E3265)),Assumptions!$D$7,"Other Services"))),"Other Services"))</f>
        <v/>
      </c>
    </row>
    <row r="3266" customFormat="false" ht="15" hidden="false" customHeight="false" outlineLevel="0" collapsed="false">
      <c r="G3266" s="41" t="str">
        <f aca="false">IF(E3266="","",IFERROR(IF(ISNUMBER(SEARCH(Assumptions!$C$5,E3266)),Assumptions!$D$5,IF(ISNUMBER(SEARCH(Assumptions!$C$6,E3266)),Assumptions!$D$6,IF(ISNUMBER(SEARCH(Assumptions!$C$7,E3266)),Assumptions!$D$7,"Other Services"))),"Other Services"))</f>
        <v/>
      </c>
    </row>
    <row r="3267" customFormat="false" ht="15" hidden="false" customHeight="false" outlineLevel="0" collapsed="false">
      <c r="G3267" s="41" t="str">
        <f aca="false">IF(E3267="","",IFERROR(IF(ISNUMBER(SEARCH(Assumptions!$C$5,E3267)),Assumptions!$D$5,IF(ISNUMBER(SEARCH(Assumptions!$C$6,E3267)),Assumptions!$D$6,IF(ISNUMBER(SEARCH(Assumptions!$C$7,E3267)),Assumptions!$D$7,"Other Services"))),"Other Services"))</f>
        <v/>
      </c>
    </row>
    <row r="3268" customFormat="false" ht="15" hidden="false" customHeight="false" outlineLevel="0" collapsed="false">
      <c r="G3268" s="41" t="str">
        <f aca="false">IF(E3268="","",IFERROR(IF(ISNUMBER(SEARCH(Assumptions!$C$5,E3268)),Assumptions!$D$5,IF(ISNUMBER(SEARCH(Assumptions!$C$6,E3268)),Assumptions!$D$6,IF(ISNUMBER(SEARCH(Assumptions!$C$7,E3268)),Assumptions!$D$7,"Other Services"))),"Other Services"))</f>
        <v/>
      </c>
    </row>
    <row r="3269" customFormat="false" ht="15" hidden="false" customHeight="false" outlineLevel="0" collapsed="false">
      <c r="G3269" s="41" t="str">
        <f aca="false">IF(E3269="","",IFERROR(IF(ISNUMBER(SEARCH(Assumptions!$C$5,E3269)),Assumptions!$D$5,IF(ISNUMBER(SEARCH(Assumptions!$C$6,E3269)),Assumptions!$D$6,IF(ISNUMBER(SEARCH(Assumptions!$C$7,E3269)),Assumptions!$D$7,"Other Services"))),"Other Services"))</f>
        <v/>
      </c>
    </row>
    <row r="3270" customFormat="false" ht="15" hidden="false" customHeight="false" outlineLevel="0" collapsed="false">
      <c r="G3270" s="41" t="str">
        <f aca="false">IF(E3270="","",IFERROR(IF(ISNUMBER(SEARCH(Assumptions!$C$5,E3270)),Assumptions!$D$5,IF(ISNUMBER(SEARCH(Assumptions!$C$6,E3270)),Assumptions!$D$6,IF(ISNUMBER(SEARCH(Assumptions!$C$7,E3270)),Assumptions!$D$7,"Other Services"))),"Other Services"))</f>
        <v/>
      </c>
    </row>
    <row r="3271" customFormat="false" ht="15" hidden="false" customHeight="false" outlineLevel="0" collapsed="false">
      <c r="G3271" s="41" t="str">
        <f aca="false">IF(E3271="","",IFERROR(IF(ISNUMBER(SEARCH(Assumptions!$C$5,E3271)),Assumptions!$D$5,IF(ISNUMBER(SEARCH(Assumptions!$C$6,E3271)),Assumptions!$D$6,IF(ISNUMBER(SEARCH(Assumptions!$C$7,E3271)),Assumptions!$D$7,"Other Services"))),"Other Services"))</f>
        <v/>
      </c>
    </row>
    <row r="3272" customFormat="false" ht="15" hidden="false" customHeight="false" outlineLevel="0" collapsed="false">
      <c r="G3272" s="41" t="str">
        <f aca="false">IF(E3272="","",IFERROR(IF(ISNUMBER(SEARCH(Assumptions!$C$5,E3272)),Assumptions!$D$5,IF(ISNUMBER(SEARCH(Assumptions!$C$6,E3272)),Assumptions!$D$6,IF(ISNUMBER(SEARCH(Assumptions!$C$7,E3272)),Assumptions!$D$7,"Other Services"))),"Other Services"))</f>
        <v/>
      </c>
    </row>
    <row r="3273" customFormat="false" ht="15" hidden="false" customHeight="false" outlineLevel="0" collapsed="false">
      <c r="G3273" s="41" t="str">
        <f aca="false">IF(E3273="","",IFERROR(IF(ISNUMBER(SEARCH(Assumptions!$C$5,E3273)),Assumptions!$D$5,IF(ISNUMBER(SEARCH(Assumptions!$C$6,E3273)),Assumptions!$D$6,IF(ISNUMBER(SEARCH(Assumptions!$C$7,E3273)),Assumptions!$D$7,"Other Services"))),"Other Services"))</f>
        <v/>
      </c>
    </row>
    <row r="3274" customFormat="false" ht="15" hidden="false" customHeight="false" outlineLevel="0" collapsed="false">
      <c r="G3274" s="41" t="str">
        <f aca="false">IF(E3274="","",IFERROR(IF(ISNUMBER(SEARCH(Assumptions!$C$5,E3274)),Assumptions!$D$5,IF(ISNUMBER(SEARCH(Assumptions!$C$6,E3274)),Assumptions!$D$6,IF(ISNUMBER(SEARCH(Assumptions!$C$7,E3274)),Assumptions!$D$7,"Other Services"))),"Other Services"))</f>
        <v/>
      </c>
    </row>
    <row r="3275" customFormat="false" ht="15" hidden="false" customHeight="false" outlineLevel="0" collapsed="false">
      <c r="G3275" s="41" t="str">
        <f aca="false">IF(E3275="","",IFERROR(IF(ISNUMBER(SEARCH(Assumptions!$C$5,E3275)),Assumptions!$D$5,IF(ISNUMBER(SEARCH(Assumptions!$C$6,E3275)),Assumptions!$D$6,IF(ISNUMBER(SEARCH(Assumptions!$C$7,E3275)),Assumptions!$D$7,"Other Services"))),"Other Services"))</f>
        <v/>
      </c>
    </row>
    <row r="3276" customFormat="false" ht="15" hidden="false" customHeight="false" outlineLevel="0" collapsed="false">
      <c r="G3276" s="41" t="str">
        <f aca="false">IF(E3276="","",IFERROR(IF(ISNUMBER(SEARCH(Assumptions!$C$5,E3276)),Assumptions!$D$5,IF(ISNUMBER(SEARCH(Assumptions!$C$6,E3276)),Assumptions!$D$6,IF(ISNUMBER(SEARCH(Assumptions!$C$7,E3276)),Assumptions!$D$7,"Other Services"))),"Other Services"))</f>
        <v/>
      </c>
    </row>
    <row r="3277" customFormat="false" ht="15" hidden="false" customHeight="false" outlineLevel="0" collapsed="false">
      <c r="G3277" s="41" t="str">
        <f aca="false">IF(E3277="","",IFERROR(IF(ISNUMBER(SEARCH(Assumptions!$C$5,E3277)),Assumptions!$D$5,IF(ISNUMBER(SEARCH(Assumptions!$C$6,E3277)),Assumptions!$D$6,IF(ISNUMBER(SEARCH(Assumptions!$C$7,E3277)),Assumptions!$D$7,"Other Services"))),"Other Services"))</f>
        <v/>
      </c>
    </row>
    <row r="3278" customFormat="false" ht="15" hidden="false" customHeight="false" outlineLevel="0" collapsed="false">
      <c r="G3278" s="41" t="str">
        <f aca="false">IF(E3278="","",IFERROR(IF(ISNUMBER(SEARCH(Assumptions!$C$5,E3278)),Assumptions!$D$5,IF(ISNUMBER(SEARCH(Assumptions!$C$6,E3278)),Assumptions!$D$6,IF(ISNUMBER(SEARCH(Assumptions!$C$7,E3278)),Assumptions!$D$7,"Other Services"))),"Other Services"))</f>
        <v/>
      </c>
    </row>
    <row r="3279" customFormat="false" ht="15" hidden="false" customHeight="false" outlineLevel="0" collapsed="false">
      <c r="G3279" s="41" t="str">
        <f aca="false">IF(E3279="","",IFERROR(IF(ISNUMBER(SEARCH(Assumptions!$C$5,E3279)),Assumptions!$D$5,IF(ISNUMBER(SEARCH(Assumptions!$C$6,E3279)),Assumptions!$D$6,IF(ISNUMBER(SEARCH(Assumptions!$C$7,E3279)),Assumptions!$D$7,"Other Services"))),"Other Services"))</f>
        <v/>
      </c>
    </row>
    <row r="3280" customFormat="false" ht="15" hidden="false" customHeight="false" outlineLevel="0" collapsed="false">
      <c r="G3280" s="41" t="str">
        <f aca="false">IF(E3280="","",IFERROR(IF(ISNUMBER(SEARCH(Assumptions!$C$5,E3280)),Assumptions!$D$5,IF(ISNUMBER(SEARCH(Assumptions!$C$6,E3280)),Assumptions!$D$6,IF(ISNUMBER(SEARCH(Assumptions!$C$7,E3280)),Assumptions!$D$7,"Other Services"))),"Other Services"))</f>
        <v/>
      </c>
    </row>
    <row r="3281" customFormat="false" ht="15" hidden="false" customHeight="false" outlineLevel="0" collapsed="false">
      <c r="G3281" s="41" t="str">
        <f aca="false">IF(E3281="","",IFERROR(IF(ISNUMBER(SEARCH(Assumptions!$C$5,E3281)),Assumptions!$D$5,IF(ISNUMBER(SEARCH(Assumptions!$C$6,E3281)),Assumptions!$D$6,IF(ISNUMBER(SEARCH(Assumptions!$C$7,E3281)),Assumptions!$D$7,"Other Services"))),"Other Services"))</f>
        <v/>
      </c>
    </row>
    <row r="3282" customFormat="false" ht="15" hidden="false" customHeight="false" outlineLevel="0" collapsed="false">
      <c r="G3282" s="41" t="str">
        <f aca="false">IF(E3282="","",IFERROR(IF(ISNUMBER(SEARCH(Assumptions!$C$5,E3282)),Assumptions!$D$5,IF(ISNUMBER(SEARCH(Assumptions!$C$6,E3282)),Assumptions!$D$6,IF(ISNUMBER(SEARCH(Assumptions!$C$7,E3282)),Assumptions!$D$7,"Other Services"))),"Other Services"))</f>
        <v/>
      </c>
    </row>
    <row r="3283" customFormat="false" ht="15" hidden="false" customHeight="false" outlineLevel="0" collapsed="false">
      <c r="G3283" s="41" t="str">
        <f aca="false">IF(E3283="","",IFERROR(IF(ISNUMBER(SEARCH(Assumptions!$C$5,E3283)),Assumptions!$D$5,IF(ISNUMBER(SEARCH(Assumptions!$C$6,E3283)),Assumptions!$D$6,IF(ISNUMBER(SEARCH(Assumptions!$C$7,E3283)),Assumptions!$D$7,"Other Services"))),"Other Services"))</f>
        <v/>
      </c>
    </row>
    <row r="3284" customFormat="false" ht="15" hidden="false" customHeight="false" outlineLevel="0" collapsed="false">
      <c r="G3284" s="41" t="str">
        <f aca="false">IF(E3284="","",IFERROR(IF(ISNUMBER(SEARCH(Assumptions!$C$5,E3284)),Assumptions!$D$5,IF(ISNUMBER(SEARCH(Assumptions!$C$6,E3284)),Assumptions!$D$6,IF(ISNUMBER(SEARCH(Assumptions!$C$7,E3284)),Assumptions!$D$7,"Other Services"))),"Other Services"))</f>
        <v/>
      </c>
    </row>
    <row r="3285" customFormat="false" ht="15" hidden="false" customHeight="false" outlineLevel="0" collapsed="false">
      <c r="G3285" s="41" t="str">
        <f aca="false">IF(E3285="","",IFERROR(IF(ISNUMBER(SEARCH(Assumptions!$C$5,E3285)),Assumptions!$D$5,IF(ISNUMBER(SEARCH(Assumptions!$C$6,E3285)),Assumptions!$D$6,IF(ISNUMBER(SEARCH(Assumptions!$C$7,E3285)),Assumptions!$D$7,"Other Services"))),"Other Services"))</f>
        <v/>
      </c>
    </row>
    <row r="3286" customFormat="false" ht="15" hidden="false" customHeight="false" outlineLevel="0" collapsed="false">
      <c r="G3286" s="41" t="str">
        <f aca="false">IF(E3286="","",IFERROR(IF(ISNUMBER(SEARCH(Assumptions!$C$5,E3286)),Assumptions!$D$5,IF(ISNUMBER(SEARCH(Assumptions!$C$6,E3286)),Assumptions!$D$6,IF(ISNUMBER(SEARCH(Assumptions!$C$7,E3286)),Assumptions!$D$7,"Other Services"))),"Other Services"))</f>
        <v/>
      </c>
    </row>
    <row r="3287" customFormat="false" ht="15" hidden="false" customHeight="false" outlineLevel="0" collapsed="false">
      <c r="G3287" s="41" t="str">
        <f aca="false">IF(E3287="","",IFERROR(IF(ISNUMBER(SEARCH(Assumptions!$C$5,E3287)),Assumptions!$D$5,IF(ISNUMBER(SEARCH(Assumptions!$C$6,E3287)),Assumptions!$D$6,IF(ISNUMBER(SEARCH(Assumptions!$C$7,E3287)),Assumptions!$D$7,"Other Services"))),"Other Services"))</f>
        <v/>
      </c>
    </row>
    <row r="3288" customFormat="false" ht="15" hidden="false" customHeight="false" outlineLevel="0" collapsed="false">
      <c r="G3288" s="41" t="str">
        <f aca="false">IF(E3288="","",IFERROR(IF(ISNUMBER(SEARCH(Assumptions!$C$5,E3288)),Assumptions!$D$5,IF(ISNUMBER(SEARCH(Assumptions!$C$6,E3288)),Assumptions!$D$6,IF(ISNUMBER(SEARCH(Assumptions!$C$7,E3288)),Assumptions!$D$7,"Other Services"))),"Other Services"))</f>
        <v/>
      </c>
    </row>
    <row r="3289" customFormat="false" ht="15" hidden="false" customHeight="false" outlineLevel="0" collapsed="false">
      <c r="G3289" s="41" t="str">
        <f aca="false">IF(E3289="","",IFERROR(IF(ISNUMBER(SEARCH(Assumptions!$C$5,E3289)),Assumptions!$D$5,IF(ISNUMBER(SEARCH(Assumptions!$C$6,E3289)),Assumptions!$D$6,IF(ISNUMBER(SEARCH(Assumptions!$C$7,E3289)),Assumptions!$D$7,"Other Services"))),"Other Services"))</f>
        <v/>
      </c>
    </row>
    <row r="3290" customFormat="false" ht="15" hidden="false" customHeight="false" outlineLevel="0" collapsed="false">
      <c r="G3290" s="41" t="str">
        <f aca="false">IF(E3290="","",IFERROR(IF(ISNUMBER(SEARCH(Assumptions!$C$5,E3290)),Assumptions!$D$5,IF(ISNUMBER(SEARCH(Assumptions!$C$6,E3290)),Assumptions!$D$6,IF(ISNUMBER(SEARCH(Assumptions!$C$7,E3290)),Assumptions!$D$7,"Other Services"))),"Other Services"))</f>
        <v/>
      </c>
    </row>
    <row r="3291" customFormat="false" ht="15" hidden="false" customHeight="false" outlineLevel="0" collapsed="false">
      <c r="G3291" s="41" t="str">
        <f aca="false">IF(E3291="","",IFERROR(IF(ISNUMBER(SEARCH(Assumptions!$C$5,E3291)),Assumptions!$D$5,IF(ISNUMBER(SEARCH(Assumptions!$C$6,E3291)),Assumptions!$D$6,IF(ISNUMBER(SEARCH(Assumptions!$C$7,E3291)),Assumptions!$D$7,"Other Services"))),"Other Services"))</f>
        <v/>
      </c>
    </row>
    <row r="3292" customFormat="false" ht="15" hidden="false" customHeight="false" outlineLevel="0" collapsed="false">
      <c r="G3292" s="41" t="str">
        <f aca="false">IF(E3292="","",IFERROR(IF(ISNUMBER(SEARCH(Assumptions!$C$5,E3292)),Assumptions!$D$5,IF(ISNUMBER(SEARCH(Assumptions!$C$6,E3292)),Assumptions!$D$6,IF(ISNUMBER(SEARCH(Assumptions!$C$7,E3292)),Assumptions!$D$7,"Other Services"))),"Other Services"))</f>
        <v/>
      </c>
    </row>
    <row r="3293" customFormat="false" ht="15" hidden="false" customHeight="false" outlineLevel="0" collapsed="false">
      <c r="G3293" s="41" t="str">
        <f aca="false">IF(E3293="","",IFERROR(IF(ISNUMBER(SEARCH(Assumptions!$C$5,E3293)),Assumptions!$D$5,IF(ISNUMBER(SEARCH(Assumptions!$C$6,E3293)),Assumptions!$D$6,IF(ISNUMBER(SEARCH(Assumptions!$C$7,E3293)),Assumptions!$D$7,"Other Services"))),"Other Services"))</f>
        <v/>
      </c>
    </row>
    <row r="3294" customFormat="false" ht="15" hidden="false" customHeight="false" outlineLevel="0" collapsed="false">
      <c r="G3294" s="41" t="str">
        <f aca="false">IF(E3294="","",IFERROR(IF(ISNUMBER(SEARCH(Assumptions!$C$5,E3294)),Assumptions!$D$5,IF(ISNUMBER(SEARCH(Assumptions!$C$6,E3294)),Assumptions!$D$6,IF(ISNUMBER(SEARCH(Assumptions!$C$7,E3294)),Assumptions!$D$7,"Other Services"))),"Other Services"))</f>
        <v/>
      </c>
    </row>
    <row r="3295" customFormat="false" ht="15" hidden="false" customHeight="false" outlineLevel="0" collapsed="false">
      <c r="G3295" s="41" t="str">
        <f aca="false">IF(E3295="","",IFERROR(IF(ISNUMBER(SEARCH(Assumptions!$C$5,E3295)),Assumptions!$D$5,IF(ISNUMBER(SEARCH(Assumptions!$C$6,E3295)),Assumptions!$D$6,IF(ISNUMBER(SEARCH(Assumptions!$C$7,E3295)),Assumptions!$D$7,"Other Services"))),"Other Services"))</f>
        <v/>
      </c>
    </row>
    <row r="3296" customFormat="false" ht="15" hidden="false" customHeight="false" outlineLevel="0" collapsed="false">
      <c r="G3296" s="41" t="str">
        <f aca="false">IF(E3296="","",IFERROR(IF(ISNUMBER(SEARCH(Assumptions!$C$5,E3296)),Assumptions!$D$5,IF(ISNUMBER(SEARCH(Assumptions!$C$6,E3296)),Assumptions!$D$6,IF(ISNUMBER(SEARCH(Assumptions!$C$7,E3296)),Assumptions!$D$7,"Other Services"))),"Other Services"))</f>
        <v/>
      </c>
    </row>
    <row r="3297" customFormat="false" ht="15" hidden="false" customHeight="false" outlineLevel="0" collapsed="false">
      <c r="G3297" s="41" t="str">
        <f aca="false">IF(E3297="","",IFERROR(IF(ISNUMBER(SEARCH(Assumptions!$C$5,E3297)),Assumptions!$D$5,IF(ISNUMBER(SEARCH(Assumptions!$C$6,E3297)),Assumptions!$D$6,IF(ISNUMBER(SEARCH(Assumptions!$C$7,E3297)),Assumptions!$D$7,"Other Services"))),"Other Services"))</f>
        <v/>
      </c>
    </row>
    <row r="3298" customFormat="false" ht="15" hidden="false" customHeight="false" outlineLevel="0" collapsed="false">
      <c r="G3298" s="41" t="str">
        <f aca="false">IF(E3298="","",IFERROR(IF(ISNUMBER(SEARCH(Assumptions!$C$5,E3298)),Assumptions!$D$5,IF(ISNUMBER(SEARCH(Assumptions!$C$6,E3298)),Assumptions!$D$6,IF(ISNUMBER(SEARCH(Assumptions!$C$7,E3298)),Assumptions!$D$7,"Other Services"))),"Other Services"))</f>
        <v/>
      </c>
    </row>
    <row r="3299" customFormat="false" ht="15" hidden="false" customHeight="false" outlineLevel="0" collapsed="false">
      <c r="G3299" s="41" t="str">
        <f aca="false">IF(E3299="","",IFERROR(IF(ISNUMBER(SEARCH(Assumptions!$C$5,E3299)),Assumptions!$D$5,IF(ISNUMBER(SEARCH(Assumptions!$C$6,E3299)),Assumptions!$D$6,IF(ISNUMBER(SEARCH(Assumptions!$C$7,E3299)),Assumptions!$D$7,"Other Services"))),"Other Services"))</f>
        <v/>
      </c>
    </row>
    <row r="3300" customFormat="false" ht="15" hidden="false" customHeight="false" outlineLevel="0" collapsed="false">
      <c r="G3300" s="41" t="str">
        <f aca="false">IF(E3300="","",IFERROR(IF(ISNUMBER(SEARCH(Assumptions!$C$5,E3300)),Assumptions!$D$5,IF(ISNUMBER(SEARCH(Assumptions!$C$6,E3300)),Assumptions!$D$6,IF(ISNUMBER(SEARCH(Assumptions!$C$7,E3300)),Assumptions!$D$7,"Other Services"))),"Other Services"))</f>
        <v/>
      </c>
    </row>
    <row r="3301" customFormat="false" ht="15" hidden="false" customHeight="false" outlineLevel="0" collapsed="false">
      <c r="G3301" s="41" t="str">
        <f aca="false">IF(E3301="","",IFERROR(IF(ISNUMBER(SEARCH(Assumptions!$C$5,E3301)),Assumptions!$D$5,IF(ISNUMBER(SEARCH(Assumptions!$C$6,E3301)),Assumptions!$D$6,IF(ISNUMBER(SEARCH(Assumptions!$C$7,E3301)),Assumptions!$D$7,"Other Services"))),"Other Services"))</f>
        <v/>
      </c>
    </row>
    <row r="3302" customFormat="false" ht="15" hidden="false" customHeight="false" outlineLevel="0" collapsed="false">
      <c r="G3302" s="41" t="str">
        <f aca="false">IF(E3302="","",IFERROR(IF(ISNUMBER(SEARCH(Assumptions!$C$5,E3302)),Assumptions!$D$5,IF(ISNUMBER(SEARCH(Assumptions!$C$6,E3302)),Assumptions!$D$6,IF(ISNUMBER(SEARCH(Assumptions!$C$7,E3302)),Assumptions!$D$7,"Other Services"))),"Other Services"))</f>
        <v/>
      </c>
    </row>
    <row r="3303" customFormat="false" ht="15" hidden="false" customHeight="false" outlineLevel="0" collapsed="false">
      <c r="G3303" s="41" t="str">
        <f aca="false">IF(E3303="","",IFERROR(IF(ISNUMBER(SEARCH(Assumptions!$C$5,E3303)),Assumptions!$D$5,IF(ISNUMBER(SEARCH(Assumptions!$C$6,E3303)),Assumptions!$D$6,IF(ISNUMBER(SEARCH(Assumptions!$C$7,E3303)),Assumptions!$D$7,"Other Services"))),"Other Services"))</f>
        <v/>
      </c>
    </row>
    <row r="3304" customFormat="false" ht="15" hidden="false" customHeight="false" outlineLevel="0" collapsed="false">
      <c r="G3304" s="41" t="str">
        <f aca="false">IF(E3304="","",IFERROR(IF(ISNUMBER(SEARCH(Assumptions!$C$5,E3304)),Assumptions!$D$5,IF(ISNUMBER(SEARCH(Assumptions!$C$6,E3304)),Assumptions!$D$6,IF(ISNUMBER(SEARCH(Assumptions!$C$7,E3304)),Assumptions!$D$7,"Other Services"))),"Other Services"))</f>
        <v/>
      </c>
    </row>
    <row r="3305" customFormat="false" ht="15" hidden="false" customHeight="false" outlineLevel="0" collapsed="false">
      <c r="G3305" s="41" t="str">
        <f aca="false">IF(E3305="","",IFERROR(IF(ISNUMBER(SEARCH(Assumptions!$C$5,E3305)),Assumptions!$D$5,IF(ISNUMBER(SEARCH(Assumptions!$C$6,E3305)),Assumptions!$D$6,IF(ISNUMBER(SEARCH(Assumptions!$C$7,E3305)),Assumptions!$D$7,"Other Services"))),"Other Services"))</f>
        <v/>
      </c>
    </row>
    <row r="3306" customFormat="false" ht="15" hidden="false" customHeight="false" outlineLevel="0" collapsed="false">
      <c r="G3306" s="41" t="str">
        <f aca="false">IF(E3306="","",IFERROR(IF(ISNUMBER(SEARCH(Assumptions!$C$5,E3306)),Assumptions!$D$5,IF(ISNUMBER(SEARCH(Assumptions!$C$6,E3306)),Assumptions!$D$6,IF(ISNUMBER(SEARCH(Assumptions!$C$7,E3306)),Assumptions!$D$7,"Other Services"))),"Other Services"))</f>
        <v/>
      </c>
    </row>
    <row r="3307" customFormat="false" ht="15" hidden="false" customHeight="false" outlineLevel="0" collapsed="false">
      <c r="G3307" s="41" t="str">
        <f aca="false">IF(E3307="","",IFERROR(IF(ISNUMBER(SEARCH(Assumptions!$C$5,E3307)),Assumptions!$D$5,IF(ISNUMBER(SEARCH(Assumptions!$C$6,E3307)),Assumptions!$D$6,IF(ISNUMBER(SEARCH(Assumptions!$C$7,E3307)),Assumptions!$D$7,"Other Services"))),"Other Services"))</f>
        <v/>
      </c>
    </row>
    <row r="3308" customFormat="false" ht="15" hidden="false" customHeight="false" outlineLevel="0" collapsed="false">
      <c r="G3308" s="41" t="str">
        <f aca="false">IF(E3308="","",IFERROR(IF(ISNUMBER(SEARCH(Assumptions!$C$5,E3308)),Assumptions!$D$5,IF(ISNUMBER(SEARCH(Assumptions!$C$6,E3308)),Assumptions!$D$6,IF(ISNUMBER(SEARCH(Assumptions!$C$7,E3308)),Assumptions!$D$7,"Other Services"))),"Other Services"))</f>
        <v/>
      </c>
    </row>
    <row r="3309" customFormat="false" ht="15" hidden="false" customHeight="false" outlineLevel="0" collapsed="false">
      <c r="G3309" s="41" t="str">
        <f aca="false">IF(E3309="","",IFERROR(IF(ISNUMBER(SEARCH(Assumptions!$C$5,E3309)),Assumptions!$D$5,IF(ISNUMBER(SEARCH(Assumptions!$C$6,E3309)),Assumptions!$D$6,IF(ISNUMBER(SEARCH(Assumptions!$C$7,E3309)),Assumptions!$D$7,"Other Services"))),"Other Services"))</f>
        <v/>
      </c>
    </row>
    <row r="3310" customFormat="false" ht="15" hidden="false" customHeight="false" outlineLevel="0" collapsed="false">
      <c r="G3310" s="41" t="str">
        <f aca="false">IF(E3310="","",IFERROR(IF(ISNUMBER(SEARCH(Assumptions!$C$5,E3310)),Assumptions!$D$5,IF(ISNUMBER(SEARCH(Assumptions!$C$6,E3310)),Assumptions!$D$6,IF(ISNUMBER(SEARCH(Assumptions!$C$7,E3310)),Assumptions!$D$7,"Other Services"))),"Other Services"))</f>
        <v/>
      </c>
    </row>
    <row r="3311" customFormat="false" ht="15" hidden="false" customHeight="false" outlineLevel="0" collapsed="false">
      <c r="G3311" s="41" t="str">
        <f aca="false">IF(E3311="","",IFERROR(IF(ISNUMBER(SEARCH(Assumptions!$C$5,E3311)),Assumptions!$D$5,IF(ISNUMBER(SEARCH(Assumptions!$C$6,E3311)),Assumptions!$D$6,IF(ISNUMBER(SEARCH(Assumptions!$C$7,E3311)),Assumptions!$D$7,"Other Services"))),"Other Services"))</f>
        <v/>
      </c>
    </row>
    <row r="3312" customFormat="false" ht="15" hidden="false" customHeight="false" outlineLevel="0" collapsed="false">
      <c r="G3312" s="41" t="str">
        <f aca="false">IF(E3312="","",IFERROR(IF(ISNUMBER(SEARCH(Assumptions!$C$5,E3312)),Assumptions!$D$5,IF(ISNUMBER(SEARCH(Assumptions!$C$6,E3312)),Assumptions!$D$6,IF(ISNUMBER(SEARCH(Assumptions!$C$7,E3312)),Assumptions!$D$7,"Other Services"))),"Other Services"))</f>
        <v/>
      </c>
    </row>
    <row r="3313" customFormat="false" ht="15" hidden="false" customHeight="false" outlineLevel="0" collapsed="false">
      <c r="G3313" s="41" t="str">
        <f aca="false">IF(E3313="","",IFERROR(IF(ISNUMBER(SEARCH(Assumptions!$C$5,E3313)),Assumptions!$D$5,IF(ISNUMBER(SEARCH(Assumptions!$C$6,E3313)),Assumptions!$D$6,IF(ISNUMBER(SEARCH(Assumptions!$C$7,E3313)),Assumptions!$D$7,"Other Services"))),"Other Services"))</f>
        <v/>
      </c>
    </row>
    <row r="3314" customFormat="false" ht="15" hidden="false" customHeight="false" outlineLevel="0" collapsed="false">
      <c r="G3314" s="41" t="str">
        <f aca="false">IF(E3314="","",IFERROR(IF(ISNUMBER(SEARCH(Assumptions!$C$5,E3314)),Assumptions!$D$5,IF(ISNUMBER(SEARCH(Assumptions!$C$6,E3314)),Assumptions!$D$6,IF(ISNUMBER(SEARCH(Assumptions!$C$7,E3314)),Assumptions!$D$7,"Other Services"))),"Other Services"))</f>
        <v/>
      </c>
    </row>
    <row r="3315" customFormat="false" ht="15" hidden="false" customHeight="false" outlineLevel="0" collapsed="false">
      <c r="G3315" s="41" t="str">
        <f aca="false">IF(E3315="","",IFERROR(IF(ISNUMBER(SEARCH(Assumptions!$C$5,E3315)),Assumptions!$D$5,IF(ISNUMBER(SEARCH(Assumptions!$C$6,E3315)),Assumptions!$D$6,IF(ISNUMBER(SEARCH(Assumptions!$C$7,E3315)),Assumptions!$D$7,"Other Services"))),"Other Services"))</f>
        <v/>
      </c>
    </row>
    <row r="3316" customFormat="false" ht="15" hidden="false" customHeight="false" outlineLevel="0" collapsed="false">
      <c r="G3316" s="41" t="str">
        <f aca="false">IF(E3316="","",IFERROR(IF(ISNUMBER(SEARCH(Assumptions!$C$5,E3316)),Assumptions!$D$5,IF(ISNUMBER(SEARCH(Assumptions!$C$6,E3316)),Assumptions!$D$6,IF(ISNUMBER(SEARCH(Assumptions!$C$7,E3316)),Assumptions!$D$7,"Other Services"))),"Other Services"))</f>
        <v/>
      </c>
    </row>
    <row r="3317" customFormat="false" ht="15" hidden="false" customHeight="false" outlineLevel="0" collapsed="false">
      <c r="G3317" s="41" t="str">
        <f aca="false">IF(E3317="","",IFERROR(IF(ISNUMBER(SEARCH(Assumptions!$C$5,E3317)),Assumptions!$D$5,IF(ISNUMBER(SEARCH(Assumptions!$C$6,E3317)),Assumptions!$D$6,IF(ISNUMBER(SEARCH(Assumptions!$C$7,E3317)),Assumptions!$D$7,"Other Services"))),"Other Services"))</f>
        <v/>
      </c>
    </row>
    <row r="3318" customFormat="false" ht="15" hidden="false" customHeight="false" outlineLevel="0" collapsed="false">
      <c r="G3318" s="41" t="str">
        <f aca="false">IF(E3318="","",IFERROR(IF(ISNUMBER(SEARCH(Assumptions!$C$5,E3318)),Assumptions!$D$5,IF(ISNUMBER(SEARCH(Assumptions!$C$6,E3318)),Assumptions!$D$6,IF(ISNUMBER(SEARCH(Assumptions!$C$7,E3318)),Assumptions!$D$7,"Other Services"))),"Other Services"))</f>
        <v/>
      </c>
    </row>
    <row r="3319" customFormat="false" ht="15" hidden="false" customHeight="false" outlineLevel="0" collapsed="false">
      <c r="G3319" s="41" t="str">
        <f aca="false">IF(E3319="","",IFERROR(IF(ISNUMBER(SEARCH(Assumptions!$C$5,E3319)),Assumptions!$D$5,IF(ISNUMBER(SEARCH(Assumptions!$C$6,E3319)),Assumptions!$D$6,IF(ISNUMBER(SEARCH(Assumptions!$C$7,E3319)),Assumptions!$D$7,"Other Services"))),"Other Services"))</f>
        <v/>
      </c>
    </row>
    <row r="3320" customFormat="false" ht="15" hidden="false" customHeight="false" outlineLevel="0" collapsed="false">
      <c r="G3320" s="41" t="str">
        <f aca="false">IF(E3320="","",IFERROR(IF(ISNUMBER(SEARCH(Assumptions!$C$5,E3320)),Assumptions!$D$5,IF(ISNUMBER(SEARCH(Assumptions!$C$6,E3320)),Assumptions!$D$6,IF(ISNUMBER(SEARCH(Assumptions!$C$7,E3320)),Assumptions!$D$7,"Other Services"))),"Other Services"))</f>
        <v/>
      </c>
    </row>
    <row r="3321" customFormat="false" ht="15" hidden="false" customHeight="false" outlineLevel="0" collapsed="false">
      <c r="G3321" s="41" t="str">
        <f aca="false">IF(E3321="","",IFERROR(IF(ISNUMBER(SEARCH(Assumptions!$C$5,E3321)),Assumptions!$D$5,IF(ISNUMBER(SEARCH(Assumptions!$C$6,E3321)),Assumptions!$D$6,IF(ISNUMBER(SEARCH(Assumptions!$C$7,E3321)),Assumptions!$D$7,"Other Services"))),"Other Services"))</f>
        <v/>
      </c>
    </row>
    <row r="3322" customFormat="false" ht="15" hidden="false" customHeight="false" outlineLevel="0" collapsed="false">
      <c r="G3322" s="41" t="str">
        <f aca="false">IF(E3322="","",IFERROR(IF(ISNUMBER(SEARCH(Assumptions!$C$5,E3322)),Assumptions!$D$5,IF(ISNUMBER(SEARCH(Assumptions!$C$6,E3322)),Assumptions!$D$6,IF(ISNUMBER(SEARCH(Assumptions!$C$7,E3322)),Assumptions!$D$7,"Other Services"))),"Other Services"))</f>
        <v/>
      </c>
    </row>
    <row r="3323" customFormat="false" ht="15" hidden="false" customHeight="false" outlineLevel="0" collapsed="false">
      <c r="G3323" s="41" t="str">
        <f aca="false">IF(E3323="","",IFERROR(IF(ISNUMBER(SEARCH(Assumptions!$C$5,E3323)),Assumptions!$D$5,IF(ISNUMBER(SEARCH(Assumptions!$C$6,E3323)),Assumptions!$D$6,IF(ISNUMBER(SEARCH(Assumptions!$C$7,E3323)),Assumptions!$D$7,"Other Services"))),"Other Services"))</f>
        <v/>
      </c>
    </row>
    <row r="3324" customFormat="false" ht="15" hidden="false" customHeight="false" outlineLevel="0" collapsed="false">
      <c r="G3324" s="41" t="str">
        <f aca="false">IF(E3324="","",IFERROR(IF(ISNUMBER(SEARCH(Assumptions!$C$5,E3324)),Assumptions!$D$5,IF(ISNUMBER(SEARCH(Assumptions!$C$6,E3324)),Assumptions!$D$6,IF(ISNUMBER(SEARCH(Assumptions!$C$7,E3324)),Assumptions!$D$7,"Other Services"))),"Other Services"))</f>
        <v/>
      </c>
    </row>
    <row r="3325" customFormat="false" ht="15" hidden="false" customHeight="false" outlineLevel="0" collapsed="false">
      <c r="G3325" s="41" t="str">
        <f aca="false">IF(E3325="","",IFERROR(IF(ISNUMBER(SEARCH(Assumptions!$C$5,E3325)),Assumptions!$D$5,IF(ISNUMBER(SEARCH(Assumptions!$C$6,E3325)),Assumptions!$D$6,IF(ISNUMBER(SEARCH(Assumptions!$C$7,E3325)),Assumptions!$D$7,"Other Services"))),"Other Services"))</f>
        <v/>
      </c>
    </row>
    <row r="3326" customFormat="false" ht="15" hidden="false" customHeight="false" outlineLevel="0" collapsed="false">
      <c r="G3326" s="41" t="str">
        <f aca="false">IF(E3326="","",IFERROR(IF(ISNUMBER(SEARCH(Assumptions!$C$5,E3326)),Assumptions!$D$5,IF(ISNUMBER(SEARCH(Assumptions!$C$6,E3326)),Assumptions!$D$6,IF(ISNUMBER(SEARCH(Assumptions!$C$7,E3326)),Assumptions!$D$7,"Other Services"))),"Other Services"))</f>
        <v/>
      </c>
    </row>
    <row r="3327" customFormat="false" ht="15" hidden="false" customHeight="false" outlineLevel="0" collapsed="false">
      <c r="G3327" s="41" t="str">
        <f aca="false">IF(E3327="","",IFERROR(IF(ISNUMBER(SEARCH(Assumptions!$C$5,E3327)),Assumptions!$D$5,IF(ISNUMBER(SEARCH(Assumptions!$C$6,E3327)),Assumptions!$D$6,IF(ISNUMBER(SEARCH(Assumptions!$C$7,E3327)),Assumptions!$D$7,"Other Services"))),"Other Services"))</f>
        <v/>
      </c>
    </row>
    <row r="3328" customFormat="false" ht="15" hidden="false" customHeight="false" outlineLevel="0" collapsed="false">
      <c r="G3328" s="41" t="str">
        <f aca="false">IF(E3328="","",IFERROR(IF(ISNUMBER(SEARCH(Assumptions!$C$5,E3328)),Assumptions!$D$5,IF(ISNUMBER(SEARCH(Assumptions!$C$6,E3328)),Assumptions!$D$6,IF(ISNUMBER(SEARCH(Assumptions!$C$7,E3328)),Assumptions!$D$7,"Other Services"))),"Other Services"))</f>
        <v/>
      </c>
    </row>
    <row r="3329" customFormat="false" ht="15" hidden="false" customHeight="false" outlineLevel="0" collapsed="false">
      <c r="G3329" s="41" t="str">
        <f aca="false">IF(E3329="","",IFERROR(IF(ISNUMBER(SEARCH(Assumptions!$C$5,E3329)),Assumptions!$D$5,IF(ISNUMBER(SEARCH(Assumptions!$C$6,E3329)),Assumptions!$D$6,IF(ISNUMBER(SEARCH(Assumptions!$C$7,E3329)),Assumptions!$D$7,"Other Services"))),"Other Services"))</f>
        <v/>
      </c>
    </row>
    <row r="3330" customFormat="false" ht="15" hidden="false" customHeight="false" outlineLevel="0" collapsed="false">
      <c r="G3330" s="41" t="str">
        <f aca="false">IF(E3330="","",IFERROR(IF(ISNUMBER(SEARCH(Assumptions!$C$5,E3330)),Assumptions!$D$5,IF(ISNUMBER(SEARCH(Assumptions!$C$6,E3330)),Assumptions!$D$6,IF(ISNUMBER(SEARCH(Assumptions!$C$7,E3330)),Assumptions!$D$7,"Other Services"))),"Other Services"))</f>
        <v/>
      </c>
    </row>
    <row r="3331" customFormat="false" ht="15" hidden="false" customHeight="false" outlineLevel="0" collapsed="false">
      <c r="G3331" s="41" t="str">
        <f aca="false">IF(E3331="","",IFERROR(IF(ISNUMBER(SEARCH(Assumptions!$C$5,E3331)),Assumptions!$D$5,IF(ISNUMBER(SEARCH(Assumptions!$C$6,E3331)),Assumptions!$D$6,IF(ISNUMBER(SEARCH(Assumptions!$C$7,E3331)),Assumptions!$D$7,"Other Services"))),"Other Services"))</f>
        <v/>
      </c>
    </row>
    <row r="3332" customFormat="false" ht="15" hidden="false" customHeight="false" outlineLevel="0" collapsed="false">
      <c r="G3332" s="41" t="str">
        <f aca="false">IF(E3332="","",IFERROR(IF(ISNUMBER(SEARCH(Assumptions!$C$5,E3332)),Assumptions!$D$5,IF(ISNUMBER(SEARCH(Assumptions!$C$6,E3332)),Assumptions!$D$6,IF(ISNUMBER(SEARCH(Assumptions!$C$7,E3332)),Assumptions!$D$7,"Other Services"))),"Other Services"))</f>
        <v/>
      </c>
    </row>
    <row r="3333" customFormat="false" ht="15" hidden="false" customHeight="false" outlineLevel="0" collapsed="false">
      <c r="G3333" s="41" t="str">
        <f aca="false">IF(E3333="","",IFERROR(IF(ISNUMBER(SEARCH(Assumptions!$C$5,E3333)),Assumptions!$D$5,IF(ISNUMBER(SEARCH(Assumptions!$C$6,E3333)),Assumptions!$D$6,IF(ISNUMBER(SEARCH(Assumptions!$C$7,E3333)),Assumptions!$D$7,"Other Services"))),"Other Services"))</f>
        <v/>
      </c>
    </row>
    <row r="3334" customFormat="false" ht="15" hidden="false" customHeight="false" outlineLevel="0" collapsed="false">
      <c r="G3334" s="41" t="str">
        <f aca="false">IF(E3334="","",IFERROR(IF(ISNUMBER(SEARCH(Assumptions!$C$5,E3334)),Assumptions!$D$5,IF(ISNUMBER(SEARCH(Assumptions!$C$6,E3334)),Assumptions!$D$6,IF(ISNUMBER(SEARCH(Assumptions!$C$7,E3334)),Assumptions!$D$7,"Other Services"))),"Other Services"))</f>
        <v/>
      </c>
    </row>
    <row r="3335" customFormat="false" ht="15" hidden="false" customHeight="false" outlineLevel="0" collapsed="false">
      <c r="G3335" s="41" t="str">
        <f aca="false">IF(E3335="","",IFERROR(IF(ISNUMBER(SEARCH(Assumptions!$C$5,E3335)),Assumptions!$D$5,IF(ISNUMBER(SEARCH(Assumptions!$C$6,E3335)),Assumptions!$D$6,IF(ISNUMBER(SEARCH(Assumptions!$C$7,E3335)),Assumptions!$D$7,"Other Services"))),"Other Services"))</f>
        <v/>
      </c>
    </row>
    <row r="3336" customFormat="false" ht="15" hidden="false" customHeight="false" outlineLevel="0" collapsed="false">
      <c r="G3336" s="41" t="str">
        <f aca="false">IF(E3336="","",IFERROR(IF(ISNUMBER(SEARCH(Assumptions!$C$5,E3336)),Assumptions!$D$5,IF(ISNUMBER(SEARCH(Assumptions!$C$6,E3336)),Assumptions!$D$6,IF(ISNUMBER(SEARCH(Assumptions!$C$7,E3336)),Assumptions!$D$7,"Other Services"))),"Other Services"))</f>
        <v/>
      </c>
    </row>
    <row r="3337" customFormat="false" ht="15" hidden="false" customHeight="false" outlineLevel="0" collapsed="false">
      <c r="G3337" s="41" t="str">
        <f aca="false">IF(E3337="","",IFERROR(IF(ISNUMBER(SEARCH(Assumptions!$C$5,E3337)),Assumptions!$D$5,IF(ISNUMBER(SEARCH(Assumptions!$C$6,E3337)),Assumptions!$D$6,IF(ISNUMBER(SEARCH(Assumptions!$C$7,E3337)),Assumptions!$D$7,"Other Services"))),"Other Services"))</f>
        <v/>
      </c>
    </row>
    <row r="3338" customFormat="false" ht="15" hidden="false" customHeight="false" outlineLevel="0" collapsed="false">
      <c r="G3338" s="41" t="str">
        <f aca="false">IF(E3338="","",IFERROR(IF(ISNUMBER(SEARCH(Assumptions!$C$5,E3338)),Assumptions!$D$5,IF(ISNUMBER(SEARCH(Assumptions!$C$6,E3338)),Assumptions!$D$6,IF(ISNUMBER(SEARCH(Assumptions!$C$7,E3338)),Assumptions!$D$7,"Other Services"))),"Other Services"))</f>
        <v/>
      </c>
    </row>
    <row r="3339" customFormat="false" ht="15" hidden="false" customHeight="false" outlineLevel="0" collapsed="false">
      <c r="G3339" s="41" t="str">
        <f aca="false">IF(E3339="","",IFERROR(IF(ISNUMBER(SEARCH(Assumptions!$C$5,E3339)),Assumptions!$D$5,IF(ISNUMBER(SEARCH(Assumptions!$C$6,E3339)),Assumptions!$D$6,IF(ISNUMBER(SEARCH(Assumptions!$C$7,E3339)),Assumptions!$D$7,"Other Services"))),"Other Services"))</f>
        <v/>
      </c>
    </row>
    <row r="3340" customFormat="false" ht="15" hidden="false" customHeight="false" outlineLevel="0" collapsed="false">
      <c r="G3340" s="41" t="str">
        <f aca="false">IF(E3340="","",IFERROR(IF(ISNUMBER(SEARCH(Assumptions!$C$5,E3340)),Assumptions!$D$5,IF(ISNUMBER(SEARCH(Assumptions!$C$6,E3340)),Assumptions!$D$6,IF(ISNUMBER(SEARCH(Assumptions!$C$7,E3340)),Assumptions!$D$7,"Other Services"))),"Other Services"))</f>
        <v/>
      </c>
    </row>
    <row r="3341" customFormat="false" ht="15" hidden="false" customHeight="false" outlineLevel="0" collapsed="false">
      <c r="G3341" s="41" t="str">
        <f aca="false">IF(E3341="","",IFERROR(IF(ISNUMBER(SEARCH(Assumptions!$C$5,E3341)),Assumptions!$D$5,IF(ISNUMBER(SEARCH(Assumptions!$C$6,E3341)),Assumptions!$D$6,IF(ISNUMBER(SEARCH(Assumptions!$C$7,E3341)),Assumptions!$D$7,"Other Services"))),"Other Services"))</f>
        <v/>
      </c>
    </row>
    <row r="3342" customFormat="false" ht="15" hidden="false" customHeight="false" outlineLevel="0" collapsed="false">
      <c r="G3342" s="41" t="str">
        <f aca="false">IF(E3342="","",IFERROR(IF(ISNUMBER(SEARCH(Assumptions!$C$5,E3342)),Assumptions!$D$5,IF(ISNUMBER(SEARCH(Assumptions!$C$6,E3342)),Assumptions!$D$6,IF(ISNUMBER(SEARCH(Assumptions!$C$7,E3342)),Assumptions!$D$7,"Other Services"))),"Other Services"))</f>
        <v/>
      </c>
    </row>
    <row r="3343" customFormat="false" ht="15" hidden="false" customHeight="false" outlineLevel="0" collapsed="false">
      <c r="G3343" s="41" t="str">
        <f aca="false">IF(E3343="","",IFERROR(IF(ISNUMBER(SEARCH(Assumptions!$C$5,E3343)),Assumptions!$D$5,IF(ISNUMBER(SEARCH(Assumptions!$C$6,E3343)),Assumptions!$D$6,IF(ISNUMBER(SEARCH(Assumptions!$C$7,E3343)),Assumptions!$D$7,"Other Services"))),"Other Services"))</f>
        <v/>
      </c>
    </row>
    <row r="3344" customFormat="false" ht="15" hidden="false" customHeight="false" outlineLevel="0" collapsed="false">
      <c r="G3344" s="41" t="str">
        <f aca="false">IF(E3344="","",IFERROR(IF(ISNUMBER(SEARCH(Assumptions!$C$5,E3344)),Assumptions!$D$5,IF(ISNUMBER(SEARCH(Assumptions!$C$6,E3344)),Assumptions!$D$6,IF(ISNUMBER(SEARCH(Assumptions!$C$7,E3344)),Assumptions!$D$7,"Other Services"))),"Other Services"))</f>
        <v/>
      </c>
    </row>
    <row r="3345" customFormat="false" ht="15" hidden="false" customHeight="false" outlineLevel="0" collapsed="false">
      <c r="G3345" s="41" t="str">
        <f aca="false">IF(E3345="","",IFERROR(IF(ISNUMBER(SEARCH(Assumptions!$C$5,E3345)),Assumptions!$D$5,IF(ISNUMBER(SEARCH(Assumptions!$C$6,E3345)),Assumptions!$D$6,IF(ISNUMBER(SEARCH(Assumptions!$C$7,E3345)),Assumptions!$D$7,"Other Services"))),"Other Services"))</f>
        <v/>
      </c>
    </row>
    <row r="3346" customFormat="false" ht="15" hidden="false" customHeight="false" outlineLevel="0" collapsed="false">
      <c r="G3346" s="41" t="str">
        <f aca="false">IF(E3346="","",IFERROR(IF(ISNUMBER(SEARCH(Assumptions!$C$5,E3346)),Assumptions!$D$5,IF(ISNUMBER(SEARCH(Assumptions!$C$6,E3346)),Assumptions!$D$6,IF(ISNUMBER(SEARCH(Assumptions!$C$7,E3346)),Assumptions!$D$7,"Other Services"))),"Other Services"))</f>
        <v/>
      </c>
    </row>
    <row r="3347" customFormat="false" ht="15" hidden="false" customHeight="false" outlineLevel="0" collapsed="false">
      <c r="G3347" s="41" t="str">
        <f aca="false">IF(E3347="","",IFERROR(IF(ISNUMBER(SEARCH(Assumptions!$C$5,E3347)),Assumptions!$D$5,IF(ISNUMBER(SEARCH(Assumptions!$C$6,E3347)),Assumptions!$D$6,IF(ISNUMBER(SEARCH(Assumptions!$C$7,E3347)),Assumptions!$D$7,"Other Services"))),"Other Services"))</f>
        <v/>
      </c>
    </row>
    <row r="3348" customFormat="false" ht="15" hidden="false" customHeight="false" outlineLevel="0" collapsed="false">
      <c r="G3348" s="41" t="str">
        <f aca="false">IF(E3348="","",IFERROR(IF(ISNUMBER(SEARCH(Assumptions!$C$5,E3348)),Assumptions!$D$5,IF(ISNUMBER(SEARCH(Assumptions!$C$6,E3348)),Assumptions!$D$6,IF(ISNUMBER(SEARCH(Assumptions!$C$7,E3348)),Assumptions!$D$7,"Other Services"))),"Other Services"))</f>
        <v/>
      </c>
    </row>
    <row r="3349" customFormat="false" ht="15" hidden="false" customHeight="false" outlineLevel="0" collapsed="false">
      <c r="G3349" s="41" t="str">
        <f aca="false">IF(E3349="","",IFERROR(IF(ISNUMBER(SEARCH(Assumptions!$C$5,E3349)),Assumptions!$D$5,IF(ISNUMBER(SEARCH(Assumptions!$C$6,E3349)),Assumptions!$D$6,IF(ISNUMBER(SEARCH(Assumptions!$C$7,E3349)),Assumptions!$D$7,"Other Services"))),"Other Services"))</f>
        <v/>
      </c>
    </row>
    <row r="3350" customFormat="false" ht="15" hidden="false" customHeight="false" outlineLevel="0" collapsed="false">
      <c r="G3350" s="41" t="str">
        <f aca="false">IF(E3350="","",IFERROR(IF(ISNUMBER(SEARCH(Assumptions!$C$5,E3350)),Assumptions!$D$5,IF(ISNUMBER(SEARCH(Assumptions!$C$6,E3350)),Assumptions!$D$6,IF(ISNUMBER(SEARCH(Assumptions!$C$7,E3350)),Assumptions!$D$7,"Other Services"))),"Other Services"))</f>
        <v/>
      </c>
    </row>
    <row r="3351" customFormat="false" ht="15" hidden="false" customHeight="false" outlineLevel="0" collapsed="false">
      <c r="G3351" s="41" t="str">
        <f aca="false">IF(E3351="","",IFERROR(IF(ISNUMBER(SEARCH(Assumptions!$C$5,E3351)),Assumptions!$D$5,IF(ISNUMBER(SEARCH(Assumptions!$C$6,E3351)),Assumptions!$D$6,IF(ISNUMBER(SEARCH(Assumptions!$C$7,E3351)),Assumptions!$D$7,"Other Services"))),"Other Services"))</f>
        <v/>
      </c>
    </row>
    <row r="3352" customFormat="false" ht="15" hidden="false" customHeight="false" outlineLevel="0" collapsed="false">
      <c r="G3352" s="41" t="str">
        <f aca="false">IF(E3352="","",IFERROR(IF(ISNUMBER(SEARCH(Assumptions!$C$5,E3352)),Assumptions!$D$5,IF(ISNUMBER(SEARCH(Assumptions!$C$6,E3352)),Assumptions!$D$6,IF(ISNUMBER(SEARCH(Assumptions!$C$7,E3352)),Assumptions!$D$7,"Other Services"))),"Other Services"))</f>
        <v/>
      </c>
    </row>
    <row r="3353" customFormat="false" ht="15" hidden="false" customHeight="false" outlineLevel="0" collapsed="false">
      <c r="G3353" s="41" t="str">
        <f aca="false">IF(E3353="","",IFERROR(IF(ISNUMBER(SEARCH(Assumptions!$C$5,E3353)),Assumptions!$D$5,IF(ISNUMBER(SEARCH(Assumptions!$C$6,E3353)),Assumptions!$D$6,IF(ISNUMBER(SEARCH(Assumptions!$C$7,E3353)),Assumptions!$D$7,"Other Services"))),"Other Services"))</f>
        <v/>
      </c>
    </row>
    <row r="3354" customFormat="false" ht="15" hidden="false" customHeight="false" outlineLevel="0" collapsed="false">
      <c r="G3354" s="41" t="str">
        <f aca="false">IF(E3354="","",IFERROR(IF(ISNUMBER(SEARCH(Assumptions!$C$5,E3354)),Assumptions!$D$5,IF(ISNUMBER(SEARCH(Assumptions!$C$6,E3354)),Assumptions!$D$6,IF(ISNUMBER(SEARCH(Assumptions!$C$7,E3354)),Assumptions!$D$7,"Other Services"))),"Other Services"))</f>
        <v/>
      </c>
    </row>
    <row r="3355" customFormat="false" ht="15" hidden="false" customHeight="false" outlineLevel="0" collapsed="false">
      <c r="G3355" s="41" t="str">
        <f aca="false">IF(E3355="","",IFERROR(IF(ISNUMBER(SEARCH(Assumptions!$C$5,E3355)),Assumptions!$D$5,IF(ISNUMBER(SEARCH(Assumptions!$C$6,E3355)),Assumptions!$D$6,IF(ISNUMBER(SEARCH(Assumptions!$C$7,E3355)),Assumptions!$D$7,"Other Services"))),"Other Services"))</f>
        <v/>
      </c>
    </row>
    <row r="3356" customFormat="false" ht="15" hidden="false" customHeight="false" outlineLevel="0" collapsed="false">
      <c r="G3356" s="41" t="str">
        <f aca="false">IF(E3356="","",IFERROR(IF(ISNUMBER(SEARCH(Assumptions!$C$5,E3356)),Assumptions!$D$5,IF(ISNUMBER(SEARCH(Assumptions!$C$6,E3356)),Assumptions!$D$6,IF(ISNUMBER(SEARCH(Assumptions!$C$7,E3356)),Assumptions!$D$7,"Other Services"))),"Other Services"))</f>
        <v/>
      </c>
    </row>
    <row r="3357" customFormat="false" ht="15" hidden="false" customHeight="false" outlineLevel="0" collapsed="false">
      <c r="G3357" s="41" t="str">
        <f aca="false">IF(E3357="","",IFERROR(IF(ISNUMBER(SEARCH(Assumptions!$C$5,E3357)),Assumptions!$D$5,IF(ISNUMBER(SEARCH(Assumptions!$C$6,E3357)),Assumptions!$D$6,IF(ISNUMBER(SEARCH(Assumptions!$C$7,E3357)),Assumptions!$D$7,"Other Services"))),"Other Services"))</f>
        <v/>
      </c>
    </row>
    <row r="3358" customFormat="false" ht="15" hidden="false" customHeight="false" outlineLevel="0" collapsed="false">
      <c r="G3358" s="41" t="str">
        <f aca="false">IF(E3358="","",IFERROR(IF(ISNUMBER(SEARCH(Assumptions!$C$5,E3358)),Assumptions!$D$5,IF(ISNUMBER(SEARCH(Assumptions!$C$6,E3358)),Assumptions!$D$6,IF(ISNUMBER(SEARCH(Assumptions!$C$7,E3358)),Assumptions!$D$7,"Other Services"))),"Other Services"))</f>
        <v/>
      </c>
    </row>
    <row r="3359" customFormat="false" ht="15" hidden="false" customHeight="false" outlineLevel="0" collapsed="false">
      <c r="G3359" s="41" t="str">
        <f aca="false">IF(E3359="","",IFERROR(IF(ISNUMBER(SEARCH(Assumptions!$C$5,E3359)),Assumptions!$D$5,IF(ISNUMBER(SEARCH(Assumptions!$C$6,E3359)),Assumptions!$D$6,IF(ISNUMBER(SEARCH(Assumptions!$C$7,E3359)),Assumptions!$D$7,"Other Services"))),"Other Services"))</f>
        <v/>
      </c>
    </row>
    <row r="3360" customFormat="false" ht="15" hidden="false" customHeight="false" outlineLevel="0" collapsed="false">
      <c r="G3360" s="41" t="str">
        <f aca="false">IF(E3360="","",IFERROR(IF(ISNUMBER(SEARCH(Assumptions!$C$5,E3360)),Assumptions!$D$5,IF(ISNUMBER(SEARCH(Assumptions!$C$6,E3360)),Assumptions!$D$6,IF(ISNUMBER(SEARCH(Assumptions!$C$7,E3360)),Assumptions!$D$7,"Other Services"))),"Other Services"))</f>
        <v/>
      </c>
    </row>
    <row r="3361" customFormat="false" ht="15" hidden="false" customHeight="false" outlineLevel="0" collapsed="false">
      <c r="G3361" s="41" t="str">
        <f aca="false">IF(E3361="","",IFERROR(IF(ISNUMBER(SEARCH(Assumptions!$C$5,E3361)),Assumptions!$D$5,IF(ISNUMBER(SEARCH(Assumptions!$C$6,E3361)),Assumptions!$D$6,IF(ISNUMBER(SEARCH(Assumptions!$C$7,E3361)),Assumptions!$D$7,"Other Services"))),"Other Services"))</f>
        <v/>
      </c>
    </row>
    <row r="3362" customFormat="false" ht="15" hidden="false" customHeight="false" outlineLevel="0" collapsed="false">
      <c r="G3362" s="41" t="str">
        <f aca="false">IF(E3362="","",IFERROR(IF(ISNUMBER(SEARCH(Assumptions!$C$5,E3362)),Assumptions!$D$5,IF(ISNUMBER(SEARCH(Assumptions!$C$6,E3362)),Assumptions!$D$6,IF(ISNUMBER(SEARCH(Assumptions!$C$7,E3362)),Assumptions!$D$7,"Other Services"))),"Other Services"))</f>
        <v/>
      </c>
    </row>
    <row r="3363" customFormat="false" ht="15" hidden="false" customHeight="false" outlineLevel="0" collapsed="false">
      <c r="G3363" s="41" t="str">
        <f aca="false">IF(E3363="","",IFERROR(IF(ISNUMBER(SEARCH(Assumptions!$C$5,E3363)),Assumptions!$D$5,IF(ISNUMBER(SEARCH(Assumptions!$C$6,E3363)),Assumptions!$D$6,IF(ISNUMBER(SEARCH(Assumptions!$C$7,E3363)),Assumptions!$D$7,"Other Services"))),"Other Services"))</f>
        <v/>
      </c>
    </row>
    <row r="3364" customFormat="false" ht="15" hidden="false" customHeight="false" outlineLevel="0" collapsed="false">
      <c r="G3364" s="41" t="str">
        <f aca="false">IF(E3364="","",IFERROR(IF(ISNUMBER(SEARCH(Assumptions!$C$5,E3364)),Assumptions!$D$5,IF(ISNUMBER(SEARCH(Assumptions!$C$6,E3364)),Assumptions!$D$6,IF(ISNUMBER(SEARCH(Assumptions!$C$7,E3364)),Assumptions!$D$7,"Other Services"))),"Other Services"))</f>
        <v/>
      </c>
    </row>
    <row r="3365" customFormat="false" ht="15" hidden="false" customHeight="false" outlineLevel="0" collapsed="false">
      <c r="G3365" s="41" t="str">
        <f aca="false">IF(E3365="","",IFERROR(IF(ISNUMBER(SEARCH(Assumptions!$C$5,E3365)),Assumptions!$D$5,IF(ISNUMBER(SEARCH(Assumptions!$C$6,E3365)),Assumptions!$D$6,IF(ISNUMBER(SEARCH(Assumptions!$C$7,E3365)),Assumptions!$D$7,"Other Services"))),"Other Services"))</f>
        <v/>
      </c>
    </row>
    <row r="3366" customFormat="false" ht="15" hidden="false" customHeight="false" outlineLevel="0" collapsed="false">
      <c r="G3366" s="41" t="str">
        <f aca="false">IF(E3366="","",IFERROR(IF(ISNUMBER(SEARCH(Assumptions!$C$5,E3366)),Assumptions!$D$5,IF(ISNUMBER(SEARCH(Assumptions!$C$6,E3366)),Assumptions!$D$6,IF(ISNUMBER(SEARCH(Assumptions!$C$7,E3366)),Assumptions!$D$7,"Other Services"))),"Other Services"))</f>
        <v/>
      </c>
    </row>
    <row r="3367" customFormat="false" ht="15" hidden="false" customHeight="false" outlineLevel="0" collapsed="false">
      <c r="G3367" s="41" t="str">
        <f aca="false">IF(E3367="","",IFERROR(IF(ISNUMBER(SEARCH(Assumptions!$C$5,E3367)),Assumptions!$D$5,IF(ISNUMBER(SEARCH(Assumptions!$C$6,E3367)),Assumptions!$D$6,IF(ISNUMBER(SEARCH(Assumptions!$C$7,E3367)),Assumptions!$D$7,"Other Services"))),"Other Services"))</f>
        <v/>
      </c>
    </row>
    <row r="3368" customFormat="false" ht="15" hidden="false" customHeight="false" outlineLevel="0" collapsed="false">
      <c r="G3368" s="41" t="str">
        <f aca="false">IF(E3368="","",IFERROR(IF(ISNUMBER(SEARCH(Assumptions!$C$5,E3368)),Assumptions!$D$5,IF(ISNUMBER(SEARCH(Assumptions!$C$6,E3368)),Assumptions!$D$6,IF(ISNUMBER(SEARCH(Assumptions!$C$7,E3368)),Assumptions!$D$7,"Other Services"))),"Other Services"))</f>
        <v/>
      </c>
    </row>
    <row r="3369" customFormat="false" ht="15" hidden="false" customHeight="false" outlineLevel="0" collapsed="false">
      <c r="G3369" s="41" t="str">
        <f aca="false">IF(E3369="","",IFERROR(IF(ISNUMBER(SEARCH(Assumptions!$C$5,E3369)),Assumptions!$D$5,IF(ISNUMBER(SEARCH(Assumptions!$C$6,E3369)),Assumptions!$D$6,IF(ISNUMBER(SEARCH(Assumptions!$C$7,E3369)),Assumptions!$D$7,"Other Services"))),"Other Services"))</f>
        <v/>
      </c>
    </row>
    <row r="3370" customFormat="false" ht="15" hidden="false" customHeight="false" outlineLevel="0" collapsed="false">
      <c r="G3370" s="41" t="str">
        <f aca="false">IF(E3370="","",IFERROR(IF(ISNUMBER(SEARCH(Assumptions!$C$5,E3370)),Assumptions!$D$5,IF(ISNUMBER(SEARCH(Assumptions!$C$6,E3370)),Assumptions!$D$6,IF(ISNUMBER(SEARCH(Assumptions!$C$7,E3370)),Assumptions!$D$7,"Other Services"))),"Other Services"))</f>
        <v/>
      </c>
    </row>
    <row r="3371" customFormat="false" ht="15" hidden="false" customHeight="false" outlineLevel="0" collapsed="false">
      <c r="G3371" s="41" t="str">
        <f aca="false">IF(E3371="","",IFERROR(IF(ISNUMBER(SEARCH(Assumptions!$C$5,E3371)),Assumptions!$D$5,IF(ISNUMBER(SEARCH(Assumptions!$C$6,E3371)),Assumptions!$D$6,IF(ISNUMBER(SEARCH(Assumptions!$C$7,E3371)),Assumptions!$D$7,"Other Services"))),"Other Services"))</f>
        <v/>
      </c>
    </row>
    <row r="3372" customFormat="false" ht="15" hidden="false" customHeight="false" outlineLevel="0" collapsed="false">
      <c r="G3372" s="41" t="str">
        <f aca="false">IF(E3372="","",IFERROR(IF(ISNUMBER(SEARCH(Assumptions!$C$5,E3372)),Assumptions!$D$5,IF(ISNUMBER(SEARCH(Assumptions!$C$6,E3372)),Assumptions!$D$6,IF(ISNUMBER(SEARCH(Assumptions!$C$7,E3372)),Assumptions!$D$7,"Other Services"))),"Other Services"))</f>
        <v/>
      </c>
    </row>
    <row r="3373" customFormat="false" ht="15" hidden="false" customHeight="false" outlineLevel="0" collapsed="false">
      <c r="G3373" s="41" t="str">
        <f aca="false">IF(E3373="","",IFERROR(IF(ISNUMBER(SEARCH(Assumptions!$C$5,E3373)),Assumptions!$D$5,IF(ISNUMBER(SEARCH(Assumptions!$C$6,E3373)),Assumptions!$D$6,IF(ISNUMBER(SEARCH(Assumptions!$C$7,E3373)),Assumptions!$D$7,"Other Services"))),"Other Services"))</f>
        <v/>
      </c>
    </row>
    <row r="3374" customFormat="false" ht="15" hidden="false" customHeight="false" outlineLevel="0" collapsed="false">
      <c r="G3374" s="41" t="str">
        <f aca="false">IF(E3374="","",IFERROR(IF(ISNUMBER(SEARCH(Assumptions!$C$5,E3374)),Assumptions!$D$5,IF(ISNUMBER(SEARCH(Assumptions!$C$6,E3374)),Assumptions!$D$6,IF(ISNUMBER(SEARCH(Assumptions!$C$7,E3374)),Assumptions!$D$7,"Other Services"))),"Other Services"))</f>
        <v/>
      </c>
    </row>
    <row r="3375" customFormat="false" ht="15" hidden="false" customHeight="false" outlineLevel="0" collapsed="false">
      <c r="G3375" s="41" t="str">
        <f aca="false">IF(E3375="","",IFERROR(IF(ISNUMBER(SEARCH(Assumptions!$C$5,E3375)),Assumptions!$D$5,IF(ISNUMBER(SEARCH(Assumptions!$C$6,E3375)),Assumptions!$D$6,IF(ISNUMBER(SEARCH(Assumptions!$C$7,E3375)),Assumptions!$D$7,"Other Services"))),"Other Services"))</f>
        <v/>
      </c>
    </row>
    <row r="3376" customFormat="false" ht="15" hidden="false" customHeight="false" outlineLevel="0" collapsed="false">
      <c r="G3376" s="41" t="str">
        <f aca="false">IF(E3376="","",IFERROR(IF(ISNUMBER(SEARCH(Assumptions!$C$5,E3376)),Assumptions!$D$5,IF(ISNUMBER(SEARCH(Assumptions!$C$6,E3376)),Assumptions!$D$6,IF(ISNUMBER(SEARCH(Assumptions!$C$7,E3376)),Assumptions!$D$7,"Other Services"))),"Other Services"))</f>
        <v/>
      </c>
    </row>
    <row r="3377" customFormat="false" ht="15" hidden="false" customHeight="false" outlineLevel="0" collapsed="false">
      <c r="G3377" s="41" t="str">
        <f aca="false">IF(E3377="","",IFERROR(IF(ISNUMBER(SEARCH(Assumptions!$C$5,E3377)),Assumptions!$D$5,IF(ISNUMBER(SEARCH(Assumptions!$C$6,E3377)),Assumptions!$D$6,IF(ISNUMBER(SEARCH(Assumptions!$C$7,E3377)),Assumptions!$D$7,"Other Services"))),"Other Services"))</f>
        <v/>
      </c>
    </row>
    <row r="3378" customFormat="false" ht="15" hidden="false" customHeight="false" outlineLevel="0" collapsed="false">
      <c r="G3378" s="41" t="str">
        <f aca="false">IF(E3378="","",IFERROR(IF(ISNUMBER(SEARCH(Assumptions!$C$5,E3378)),Assumptions!$D$5,IF(ISNUMBER(SEARCH(Assumptions!$C$6,E3378)),Assumptions!$D$6,IF(ISNUMBER(SEARCH(Assumptions!$C$7,E3378)),Assumptions!$D$7,"Other Services"))),"Other Services"))</f>
        <v/>
      </c>
    </row>
    <row r="3379" customFormat="false" ht="15" hidden="false" customHeight="false" outlineLevel="0" collapsed="false">
      <c r="G3379" s="41" t="str">
        <f aca="false">IF(E3379="","",IFERROR(IF(ISNUMBER(SEARCH(Assumptions!$C$5,E3379)),Assumptions!$D$5,IF(ISNUMBER(SEARCH(Assumptions!$C$6,E3379)),Assumptions!$D$6,IF(ISNUMBER(SEARCH(Assumptions!$C$7,E3379)),Assumptions!$D$7,"Other Services"))),"Other Services"))</f>
        <v/>
      </c>
    </row>
    <row r="3380" customFormat="false" ht="15" hidden="false" customHeight="false" outlineLevel="0" collapsed="false">
      <c r="G3380" s="41" t="str">
        <f aca="false">IF(E3380="","",IFERROR(IF(ISNUMBER(SEARCH(Assumptions!$C$5,E3380)),Assumptions!$D$5,IF(ISNUMBER(SEARCH(Assumptions!$C$6,E3380)),Assumptions!$D$6,IF(ISNUMBER(SEARCH(Assumptions!$C$7,E3380)),Assumptions!$D$7,"Other Services"))),"Other Services"))</f>
        <v/>
      </c>
    </row>
    <row r="3381" customFormat="false" ht="15" hidden="false" customHeight="false" outlineLevel="0" collapsed="false">
      <c r="G3381" s="41" t="str">
        <f aca="false">IF(E3381="","",IFERROR(IF(ISNUMBER(SEARCH(Assumptions!$C$5,E3381)),Assumptions!$D$5,IF(ISNUMBER(SEARCH(Assumptions!$C$6,E3381)),Assumptions!$D$6,IF(ISNUMBER(SEARCH(Assumptions!$C$7,E3381)),Assumptions!$D$7,"Other Services"))),"Other Services"))</f>
        <v/>
      </c>
    </row>
    <row r="3382" customFormat="false" ht="15" hidden="false" customHeight="false" outlineLevel="0" collapsed="false">
      <c r="G3382" s="41" t="str">
        <f aca="false">IF(E3382="","",IFERROR(IF(ISNUMBER(SEARCH(Assumptions!$C$5,E3382)),Assumptions!$D$5,IF(ISNUMBER(SEARCH(Assumptions!$C$6,E3382)),Assumptions!$D$6,IF(ISNUMBER(SEARCH(Assumptions!$C$7,E3382)),Assumptions!$D$7,"Other Services"))),"Other Services"))</f>
        <v/>
      </c>
    </row>
    <row r="3383" customFormat="false" ht="15" hidden="false" customHeight="false" outlineLevel="0" collapsed="false">
      <c r="G3383" s="41" t="str">
        <f aca="false">IF(E3383="","",IFERROR(IF(ISNUMBER(SEARCH(Assumptions!$C$5,E3383)),Assumptions!$D$5,IF(ISNUMBER(SEARCH(Assumptions!$C$6,E3383)),Assumptions!$D$6,IF(ISNUMBER(SEARCH(Assumptions!$C$7,E3383)),Assumptions!$D$7,"Other Services"))),"Other Services"))</f>
        <v/>
      </c>
    </row>
    <row r="3384" customFormat="false" ht="15" hidden="false" customHeight="false" outlineLevel="0" collapsed="false">
      <c r="G3384" s="41" t="str">
        <f aca="false">IF(E3384="","",IFERROR(IF(ISNUMBER(SEARCH(Assumptions!$C$5,E3384)),Assumptions!$D$5,IF(ISNUMBER(SEARCH(Assumptions!$C$6,E3384)),Assumptions!$D$6,IF(ISNUMBER(SEARCH(Assumptions!$C$7,E3384)),Assumptions!$D$7,"Other Services"))),"Other Services"))</f>
        <v/>
      </c>
    </row>
    <row r="3385" customFormat="false" ht="15" hidden="false" customHeight="false" outlineLevel="0" collapsed="false">
      <c r="G3385" s="41" t="str">
        <f aca="false">IF(E3385="","",IFERROR(IF(ISNUMBER(SEARCH(Assumptions!$C$5,E3385)),Assumptions!$D$5,IF(ISNUMBER(SEARCH(Assumptions!$C$6,E3385)),Assumptions!$D$6,IF(ISNUMBER(SEARCH(Assumptions!$C$7,E3385)),Assumptions!$D$7,"Other Services"))),"Other Services"))</f>
        <v/>
      </c>
    </row>
    <row r="3386" customFormat="false" ht="15" hidden="false" customHeight="false" outlineLevel="0" collapsed="false">
      <c r="G3386" s="41" t="str">
        <f aca="false">IF(E3386="","",IFERROR(IF(ISNUMBER(SEARCH(Assumptions!$C$5,E3386)),Assumptions!$D$5,IF(ISNUMBER(SEARCH(Assumptions!$C$6,E3386)),Assumptions!$D$6,IF(ISNUMBER(SEARCH(Assumptions!$C$7,E3386)),Assumptions!$D$7,"Other Services"))),"Other Services"))</f>
        <v/>
      </c>
    </row>
    <row r="3387" customFormat="false" ht="15" hidden="false" customHeight="false" outlineLevel="0" collapsed="false">
      <c r="G3387" s="41" t="str">
        <f aca="false">IF(E3387="","",IFERROR(IF(ISNUMBER(SEARCH(Assumptions!$C$5,E3387)),Assumptions!$D$5,IF(ISNUMBER(SEARCH(Assumptions!$C$6,E3387)),Assumptions!$D$6,IF(ISNUMBER(SEARCH(Assumptions!$C$7,E3387)),Assumptions!$D$7,"Other Services"))),"Other Services"))</f>
        <v/>
      </c>
    </row>
    <row r="3388" customFormat="false" ht="15" hidden="false" customHeight="false" outlineLevel="0" collapsed="false">
      <c r="G3388" s="41" t="str">
        <f aca="false">IF(E3388="","",IFERROR(IF(ISNUMBER(SEARCH(Assumptions!$C$5,E3388)),Assumptions!$D$5,IF(ISNUMBER(SEARCH(Assumptions!$C$6,E3388)),Assumptions!$D$6,IF(ISNUMBER(SEARCH(Assumptions!$C$7,E3388)),Assumptions!$D$7,"Other Services"))),"Other Services"))</f>
        <v/>
      </c>
    </row>
    <row r="3389" customFormat="false" ht="15" hidden="false" customHeight="false" outlineLevel="0" collapsed="false">
      <c r="G3389" s="41" t="str">
        <f aca="false">IF(E3389="","",IFERROR(IF(ISNUMBER(SEARCH(Assumptions!$C$5,E3389)),Assumptions!$D$5,IF(ISNUMBER(SEARCH(Assumptions!$C$6,E3389)),Assumptions!$D$6,IF(ISNUMBER(SEARCH(Assumptions!$C$7,E3389)),Assumptions!$D$7,"Other Services"))),"Other Services"))</f>
        <v/>
      </c>
    </row>
    <row r="3390" customFormat="false" ht="15" hidden="false" customHeight="false" outlineLevel="0" collapsed="false">
      <c r="G3390" s="41" t="str">
        <f aca="false">IF(E3390="","",IFERROR(IF(ISNUMBER(SEARCH(Assumptions!$C$5,E3390)),Assumptions!$D$5,IF(ISNUMBER(SEARCH(Assumptions!$C$6,E3390)),Assumptions!$D$6,IF(ISNUMBER(SEARCH(Assumptions!$C$7,E3390)),Assumptions!$D$7,"Other Services"))),"Other Services"))</f>
        <v/>
      </c>
    </row>
    <row r="3391" customFormat="false" ht="15" hidden="false" customHeight="false" outlineLevel="0" collapsed="false">
      <c r="G3391" s="41" t="str">
        <f aca="false">IF(E3391="","",IFERROR(IF(ISNUMBER(SEARCH(Assumptions!$C$5,E3391)),Assumptions!$D$5,IF(ISNUMBER(SEARCH(Assumptions!$C$6,E3391)),Assumptions!$D$6,IF(ISNUMBER(SEARCH(Assumptions!$C$7,E3391)),Assumptions!$D$7,"Other Services"))),"Other Services"))</f>
        <v/>
      </c>
    </row>
    <row r="3392" customFormat="false" ht="15" hidden="false" customHeight="false" outlineLevel="0" collapsed="false">
      <c r="G3392" s="41" t="str">
        <f aca="false">IF(E3392="","",IFERROR(IF(ISNUMBER(SEARCH(Assumptions!$C$5,E3392)),Assumptions!$D$5,IF(ISNUMBER(SEARCH(Assumptions!$C$6,E3392)),Assumptions!$D$6,IF(ISNUMBER(SEARCH(Assumptions!$C$7,E3392)),Assumptions!$D$7,"Other Services"))),"Other Services"))</f>
        <v/>
      </c>
    </row>
    <row r="3393" customFormat="false" ht="15" hidden="false" customHeight="false" outlineLevel="0" collapsed="false">
      <c r="G3393" s="41" t="str">
        <f aca="false">IF(E3393="","",IFERROR(IF(ISNUMBER(SEARCH(Assumptions!$C$5,E3393)),Assumptions!$D$5,IF(ISNUMBER(SEARCH(Assumptions!$C$6,E3393)),Assumptions!$D$6,IF(ISNUMBER(SEARCH(Assumptions!$C$7,E3393)),Assumptions!$D$7,"Other Services"))),"Other Services"))</f>
        <v/>
      </c>
    </row>
    <row r="3394" customFormat="false" ht="15" hidden="false" customHeight="false" outlineLevel="0" collapsed="false">
      <c r="G3394" s="41" t="str">
        <f aca="false">IF(E3394="","",IFERROR(IF(ISNUMBER(SEARCH(Assumptions!$C$5,E3394)),Assumptions!$D$5,IF(ISNUMBER(SEARCH(Assumptions!$C$6,E3394)),Assumptions!$D$6,IF(ISNUMBER(SEARCH(Assumptions!$C$7,E3394)),Assumptions!$D$7,"Other Services"))),"Other Services"))</f>
        <v/>
      </c>
    </row>
    <row r="3395" customFormat="false" ht="15" hidden="false" customHeight="false" outlineLevel="0" collapsed="false">
      <c r="G3395" s="41" t="str">
        <f aca="false">IF(E3395="","",IFERROR(IF(ISNUMBER(SEARCH(Assumptions!$C$5,E3395)),Assumptions!$D$5,IF(ISNUMBER(SEARCH(Assumptions!$C$6,E3395)),Assumptions!$D$6,IF(ISNUMBER(SEARCH(Assumptions!$C$7,E3395)),Assumptions!$D$7,"Other Services"))),"Other Services"))</f>
        <v/>
      </c>
    </row>
    <row r="3396" customFormat="false" ht="15" hidden="false" customHeight="false" outlineLevel="0" collapsed="false">
      <c r="G3396" s="41" t="str">
        <f aca="false">IF(E3396="","",IFERROR(IF(ISNUMBER(SEARCH(Assumptions!$C$5,E3396)),Assumptions!$D$5,IF(ISNUMBER(SEARCH(Assumptions!$C$6,E3396)),Assumptions!$D$6,IF(ISNUMBER(SEARCH(Assumptions!$C$7,E3396)),Assumptions!$D$7,"Other Services"))),"Other Services"))</f>
        <v/>
      </c>
    </row>
    <row r="3397" customFormat="false" ht="15" hidden="false" customHeight="false" outlineLevel="0" collapsed="false">
      <c r="G3397" s="41" t="str">
        <f aca="false">IF(E3397="","",IFERROR(IF(ISNUMBER(SEARCH(Assumptions!$C$5,E3397)),Assumptions!$D$5,IF(ISNUMBER(SEARCH(Assumptions!$C$6,E3397)),Assumptions!$D$6,IF(ISNUMBER(SEARCH(Assumptions!$C$7,E3397)),Assumptions!$D$7,"Other Services"))),"Other Services"))</f>
        <v/>
      </c>
    </row>
    <row r="3398" customFormat="false" ht="15" hidden="false" customHeight="false" outlineLevel="0" collapsed="false">
      <c r="G3398" s="41" t="str">
        <f aca="false">IF(E3398="","",IFERROR(IF(ISNUMBER(SEARCH(Assumptions!$C$5,E3398)),Assumptions!$D$5,IF(ISNUMBER(SEARCH(Assumptions!$C$6,E3398)),Assumptions!$D$6,IF(ISNUMBER(SEARCH(Assumptions!$C$7,E3398)),Assumptions!$D$7,"Other Services"))),"Other Services"))</f>
        <v/>
      </c>
    </row>
    <row r="3399" customFormat="false" ht="15" hidden="false" customHeight="false" outlineLevel="0" collapsed="false">
      <c r="G3399" s="41" t="str">
        <f aca="false">IF(E3399="","",IFERROR(IF(ISNUMBER(SEARCH(Assumptions!$C$5,E3399)),Assumptions!$D$5,IF(ISNUMBER(SEARCH(Assumptions!$C$6,E3399)),Assumptions!$D$6,IF(ISNUMBER(SEARCH(Assumptions!$C$7,E3399)),Assumptions!$D$7,"Other Services"))),"Other Services"))</f>
        <v/>
      </c>
    </row>
    <row r="3400" customFormat="false" ht="15" hidden="false" customHeight="false" outlineLevel="0" collapsed="false">
      <c r="G3400" s="41" t="str">
        <f aca="false">IF(E3400="","",IFERROR(IF(ISNUMBER(SEARCH(Assumptions!$C$5,E3400)),Assumptions!$D$5,IF(ISNUMBER(SEARCH(Assumptions!$C$6,E3400)),Assumptions!$D$6,IF(ISNUMBER(SEARCH(Assumptions!$C$7,E3400)),Assumptions!$D$7,"Other Services"))),"Other Services"))</f>
        <v/>
      </c>
    </row>
    <row r="3401" customFormat="false" ht="15" hidden="false" customHeight="false" outlineLevel="0" collapsed="false">
      <c r="G3401" s="41" t="str">
        <f aca="false">IF(E3401="","",IFERROR(IF(ISNUMBER(SEARCH(Assumptions!$C$5,E3401)),Assumptions!$D$5,IF(ISNUMBER(SEARCH(Assumptions!$C$6,E3401)),Assumptions!$D$6,IF(ISNUMBER(SEARCH(Assumptions!$C$7,E3401)),Assumptions!$D$7,"Other Services"))),"Other Services"))</f>
        <v/>
      </c>
    </row>
    <row r="3402" customFormat="false" ht="15" hidden="false" customHeight="false" outlineLevel="0" collapsed="false">
      <c r="G3402" s="41" t="str">
        <f aca="false">IF(E3402="","",IFERROR(IF(ISNUMBER(SEARCH(Assumptions!$C$5,E3402)),Assumptions!$D$5,IF(ISNUMBER(SEARCH(Assumptions!$C$6,E3402)),Assumptions!$D$6,IF(ISNUMBER(SEARCH(Assumptions!$C$7,E3402)),Assumptions!$D$7,"Other Services"))),"Other Services"))</f>
        <v/>
      </c>
    </row>
    <row r="3403" customFormat="false" ht="15" hidden="false" customHeight="false" outlineLevel="0" collapsed="false">
      <c r="G3403" s="41" t="str">
        <f aca="false">IF(E3403="","",IFERROR(IF(ISNUMBER(SEARCH(Assumptions!$C$5,E3403)),Assumptions!$D$5,IF(ISNUMBER(SEARCH(Assumptions!$C$6,E3403)),Assumptions!$D$6,IF(ISNUMBER(SEARCH(Assumptions!$C$7,E3403)),Assumptions!$D$7,"Other Services"))),"Other Services"))</f>
        <v/>
      </c>
    </row>
    <row r="3404" customFormat="false" ht="15" hidden="false" customHeight="false" outlineLevel="0" collapsed="false">
      <c r="G3404" s="41" t="str">
        <f aca="false">IF(E3404="","",IFERROR(IF(ISNUMBER(SEARCH(Assumptions!$C$5,E3404)),Assumptions!$D$5,IF(ISNUMBER(SEARCH(Assumptions!$C$6,E3404)),Assumptions!$D$6,IF(ISNUMBER(SEARCH(Assumptions!$C$7,E3404)),Assumptions!$D$7,"Other Services"))),"Other Services"))</f>
        <v/>
      </c>
    </row>
    <row r="3405" customFormat="false" ht="15" hidden="false" customHeight="false" outlineLevel="0" collapsed="false">
      <c r="G3405" s="41" t="str">
        <f aca="false">IF(E3405="","",IFERROR(IF(ISNUMBER(SEARCH(Assumptions!$C$5,E3405)),Assumptions!$D$5,IF(ISNUMBER(SEARCH(Assumptions!$C$6,E3405)),Assumptions!$D$6,IF(ISNUMBER(SEARCH(Assumptions!$C$7,E3405)),Assumptions!$D$7,"Other Services"))),"Other Services"))</f>
        <v/>
      </c>
    </row>
    <row r="3406" customFormat="false" ht="15" hidden="false" customHeight="false" outlineLevel="0" collapsed="false">
      <c r="G3406" s="41" t="str">
        <f aca="false">IF(E3406="","",IFERROR(IF(ISNUMBER(SEARCH(Assumptions!$C$5,E3406)),Assumptions!$D$5,IF(ISNUMBER(SEARCH(Assumptions!$C$6,E3406)),Assumptions!$D$6,IF(ISNUMBER(SEARCH(Assumptions!$C$7,E3406)),Assumptions!$D$7,"Other Services"))),"Other Services"))</f>
        <v/>
      </c>
    </row>
    <row r="3407" customFormat="false" ht="15" hidden="false" customHeight="false" outlineLevel="0" collapsed="false">
      <c r="G3407" s="41" t="str">
        <f aca="false">IF(E3407="","",IFERROR(IF(ISNUMBER(SEARCH(Assumptions!$C$5,E3407)),Assumptions!$D$5,IF(ISNUMBER(SEARCH(Assumptions!$C$6,E3407)),Assumptions!$D$6,IF(ISNUMBER(SEARCH(Assumptions!$C$7,E3407)),Assumptions!$D$7,"Other Services"))),"Other Services"))</f>
        <v/>
      </c>
    </row>
    <row r="3408" customFormat="false" ht="15" hidden="false" customHeight="false" outlineLevel="0" collapsed="false">
      <c r="G3408" s="41" t="str">
        <f aca="false">IF(E3408="","",IFERROR(IF(ISNUMBER(SEARCH(Assumptions!$C$5,E3408)),Assumptions!$D$5,IF(ISNUMBER(SEARCH(Assumptions!$C$6,E3408)),Assumptions!$D$6,IF(ISNUMBER(SEARCH(Assumptions!$C$7,E3408)),Assumptions!$D$7,"Other Services"))),"Other Services"))</f>
        <v/>
      </c>
    </row>
    <row r="3409" customFormat="false" ht="15" hidden="false" customHeight="false" outlineLevel="0" collapsed="false">
      <c r="G3409" s="41" t="str">
        <f aca="false">IF(E3409="","",IFERROR(IF(ISNUMBER(SEARCH(Assumptions!$C$5,E3409)),Assumptions!$D$5,IF(ISNUMBER(SEARCH(Assumptions!$C$6,E3409)),Assumptions!$D$6,IF(ISNUMBER(SEARCH(Assumptions!$C$7,E3409)),Assumptions!$D$7,"Other Services"))),"Other Services"))</f>
        <v/>
      </c>
    </row>
    <row r="3410" customFormat="false" ht="15" hidden="false" customHeight="false" outlineLevel="0" collapsed="false">
      <c r="G3410" s="41" t="str">
        <f aca="false">IF(E3410="","",IFERROR(IF(ISNUMBER(SEARCH(Assumptions!$C$5,E3410)),Assumptions!$D$5,IF(ISNUMBER(SEARCH(Assumptions!$C$6,E3410)),Assumptions!$D$6,IF(ISNUMBER(SEARCH(Assumptions!$C$7,E3410)),Assumptions!$D$7,"Other Services"))),"Other Services"))</f>
        <v/>
      </c>
    </row>
    <row r="3411" customFormat="false" ht="15" hidden="false" customHeight="false" outlineLevel="0" collapsed="false">
      <c r="G3411" s="41" t="str">
        <f aca="false">IF(E3411="","",IFERROR(IF(ISNUMBER(SEARCH(Assumptions!$C$5,E3411)),Assumptions!$D$5,IF(ISNUMBER(SEARCH(Assumptions!$C$6,E3411)),Assumptions!$D$6,IF(ISNUMBER(SEARCH(Assumptions!$C$7,E3411)),Assumptions!$D$7,"Other Services"))),"Other Services"))</f>
        <v/>
      </c>
    </row>
    <row r="3412" customFormat="false" ht="15" hidden="false" customHeight="false" outlineLevel="0" collapsed="false">
      <c r="G3412" s="41" t="str">
        <f aca="false">IF(E3412="","",IFERROR(IF(ISNUMBER(SEARCH(Assumptions!$C$5,E3412)),Assumptions!$D$5,IF(ISNUMBER(SEARCH(Assumptions!$C$6,E3412)),Assumptions!$D$6,IF(ISNUMBER(SEARCH(Assumptions!$C$7,E3412)),Assumptions!$D$7,"Other Services"))),"Other Services"))</f>
        <v/>
      </c>
    </row>
    <row r="3413" customFormat="false" ht="15" hidden="false" customHeight="false" outlineLevel="0" collapsed="false">
      <c r="G3413" s="41" t="str">
        <f aca="false">IF(E3413="","",IFERROR(IF(ISNUMBER(SEARCH(Assumptions!$C$5,E3413)),Assumptions!$D$5,IF(ISNUMBER(SEARCH(Assumptions!$C$6,E3413)),Assumptions!$D$6,IF(ISNUMBER(SEARCH(Assumptions!$C$7,E3413)),Assumptions!$D$7,"Other Services"))),"Other Services"))</f>
        <v/>
      </c>
    </row>
    <row r="3414" customFormat="false" ht="15" hidden="false" customHeight="false" outlineLevel="0" collapsed="false">
      <c r="G3414" s="41" t="str">
        <f aca="false">IF(E3414="","",IFERROR(IF(ISNUMBER(SEARCH(Assumptions!$C$5,E3414)),Assumptions!$D$5,IF(ISNUMBER(SEARCH(Assumptions!$C$6,E3414)),Assumptions!$D$6,IF(ISNUMBER(SEARCH(Assumptions!$C$7,E3414)),Assumptions!$D$7,"Other Services"))),"Other Services"))</f>
        <v/>
      </c>
    </row>
    <row r="3415" customFormat="false" ht="15" hidden="false" customHeight="false" outlineLevel="0" collapsed="false">
      <c r="G3415" s="41" t="str">
        <f aca="false">IF(E3415="","",IFERROR(IF(ISNUMBER(SEARCH(Assumptions!$C$5,E3415)),Assumptions!$D$5,IF(ISNUMBER(SEARCH(Assumptions!$C$6,E3415)),Assumptions!$D$6,IF(ISNUMBER(SEARCH(Assumptions!$C$7,E3415)),Assumptions!$D$7,"Other Services"))),"Other Services"))</f>
        <v/>
      </c>
    </row>
    <row r="3416" customFormat="false" ht="15" hidden="false" customHeight="false" outlineLevel="0" collapsed="false">
      <c r="G3416" s="41" t="str">
        <f aca="false">IF(E3416="","",IFERROR(IF(ISNUMBER(SEARCH(Assumptions!$C$5,E3416)),Assumptions!$D$5,IF(ISNUMBER(SEARCH(Assumptions!$C$6,E3416)),Assumptions!$D$6,IF(ISNUMBER(SEARCH(Assumptions!$C$7,E3416)),Assumptions!$D$7,"Other Services"))),"Other Services"))</f>
        <v/>
      </c>
    </row>
    <row r="3417" customFormat="false" ht="15" hidden="false" customHeight="false" outlineLevel="0" collapsed="false">
      <c r="G3417" s="41" t="str">
        <f aca="false">IF(E3417="","",IFERROR(IF(ISNUMBER(SEARCH(Assumptions!$C$5,E3417)),Assumptions!$D$5,IF(ISNUMBER(SEARCH(Assumptions!$C$6,E3417)),Assumptions!$D$6,IF(ISNUMBER(SEARCH(Assumptions!$C$7,E3417)),Assumptions!$D$7,"Other Services"))),"Other Services"))</f>
        <v/>
      </c>
    </row>
    <row r="3418" customFormat="false" ht="15" hidden="false" customHeight="false" outlineLevel="0" collapsed="false">
      <c r="G3418" s="41" t="str">
        <f aca="false">IF(E3418="","",IFERROR(IF(ISNUMBER(SEARCH(Assumptions!$C$5,E3418)),Assumptions!$D$5,IF(ISNUMBER(SEARCH(Assumptions!$C$6,E3418)),Assumptions!$D$6,IF(ISNUMBER(SEARCH(Assumptions!$C$7,E3418)),Assumptions!$D$7,"Other Services"))),"Other Services"))</f>
        <v/>
      </c>
    </row>
    <row r="3419" customFormat="false" ht="15" hidden="false" customHeight="false" outlineLevel="0" collapsed="false">
      <c r="G3419" s="41" t="str">
        <f aca="false">IF(E3419="","",IFERROR(IF(ISNUMBER(SEARCH(Assumptions!$C$5,E3419)),Assumptions!$D$5,IF(ISNUMBER(SEARCH(Assumptions!$C$6,E3419)),Assumptions!$D$6,IF(ISNUMBER(SEARCH(Assumptions!$C$7,E3419)),Assumptions!$D$7,"Other Services"))),"Other Services"))</f>
        <v/>
      </c>
    </row>
    <row r="3420" customFormat="false" ht="15" hidden="false" customHeight="false" outlineLevel="0" collapsed="false">
      <c r="G3420" s="41" t="str">
        <f aca="false">IF(E3420="","",IFERROR(IF(ISNUMBER(SEARCH(Assumptions!$C$5,E3420)),Assumptions!$D$5,IF(ISNUMBER(SEARCH(Assumptions!$C$6,E3420)),Assumptions!$D$6,IF(ISNUMBER(SEARCH(Assumptions!$C$7,E3420)),Assumptions!$D$7,"Other Services"))),"Other Services"))</f>
        <v/>
      </c>
    </row>
    <row r="3421" customFormat="false" ht="15" hidden="false" customHeight="false" outlineLevel="0" collapsed="false">
      <c r="G3421" s="41" t="str">
        <f aca="false">IF(E3421="","",IFERROR(IF(ISNUMBER(SEARCH(Assumptions!$C$5,E3421)),Assumptions!$D$5,IF(ISNUMBER(SEARCH(Assumptions!$C$6,E3421)),Assumptions!$D$6,IF(ISNUMBER(SEARCH(Assumptions!$C$7,E3421)),Assumptions!$D$7,"Other Services"))),"Other Services"))</f>
        <v/>
      </c>
    </row>
    <row r="3422" customFormat="false" ht="15" hidden="false" customHeight="false" outlineLevel="0" collapsed="false">
      <c r="G3422" s="41" t="str">
        <f aca="false">IF(E3422="","",IFERROR(IF(ISNUMBER(SEARCH(Assumptions!$C$5,E3422)),Assumptions!$D$5,IF(ISNUMBER(SEARCH(Assumptions!$C$6,E3422)),Assumptions!$D$6,IF(ISNUMBER(SEARCH(Assumptions!$C$7,E3422)),Assumptions!$D$7,"Other Services"))),"Other Services"))</f>
        <v/>
      </c>
    </row>
    <row r="3423" customFormat="false" ht="15" hidden="false" customHeight="false" outlineLevel="0" collapsed="false">
      <c r="G3423" s="41" t="str">
        <f aca="false">IF(E3423="","",IFERROR(IF(ISNUMBER(SEARCH(Assumptions!$C$5,E3423)),Assumptions!$D$5,IF(ISNUMBER(SEARCH(Assumptions!$C$6,E3423)),Assumptions!$D$6,IF(ISNUMBER(SEARCH(Assumptions!$C$7,E3423)),Assumptions!$D$7,"Other Services"))),"Other Services"))</f>
        <v/>
      </c>
    </row>
    <row r="3424" customFormat="false" ht="15" hidden="false" customHeight="false" outlineLevel="0" collapsed="false">
      <c r="G3424" s="41" t="str">
        <f aca="false">IF(E3424="","",IFERROR(IF(ISNUMBER(SEARCH(Assumptions!$C$5,E3424)),Assumptions!$D$5,IF(ISNUMBER(SEARCH(Assumptions!$C$6,E3424)),Assumptions!$D$6,IF(ISNUMBER(SEARCH(Assumptions!$C$7,E3424)),Assumptions!$D$7,"Other Services"))),"Other Services"))</f>
        <v/>
      </c>
    </row>
    <row r="3425" customFormat="false" ht="15" hidden="false" customHeight="false" outlineLevel="0" collapsed="false">
      <c r="G3425" s="41" t="str">
        <f aca="false">IF(E3425="","",IFERROR(IF(ISNUMBER(SEARCH(Assumptions!$C$5,E3425)),Assumptions!$D$5,IF(ISNUMBER(SEARCH(Assumptions!$C$6,E3425)),Assumptions!$D$6,IF(ISNUMBER(SEARCH(Assumptions!$C$7,E3425)),Assumptions!$D$7,"Other Services"))),"Other Services"))</f>
        <v/>
      </c>
    </row>
    <row r="3426" customFormat="false" ht="15" hidden="false" customHeight="false" outlineLevel="0" collapsed="false">
      <c r="G3426" s="41" t="str">
        <f aca="false">IF(E3426="","",IFERROR(IF(ISNUMBER(SEARCH(Assumptions!$C$5,E3426)),Assumptions!$D$5,IF(ISNUMBER(SEARCH(Assumptions!$C$6,E3426)),Assumptions!$D$6,IF(ISNUMBER(SEARCH(Assumptions!$C$7,E3426)),Assumptions!$D$7,"Other Services"))),"Other Services"))</f>
        <v/>
      </c>
    </row>
    <row r="3427" customFormat="false" ht="15" hidden="false" customHeight="false" outlineLevel="0" collapsed="false">
      <c r="G3427" s="41" t="str">
        <f aca="false">IF(E3427="","",IFERROR(IF(ISNUMBER(SEARCH(Assumptions!$C$5,E3427)),Assumptions!$D$5,IF(ISNUMBER(SEARCH(Assumptions!$C$6,E3427)),Assumptions!$D$6,IF(ISNUMBER(SEARCH(Assumptions!$C$7,E3427)),Assumptions!$D$7,"Other Services"))),"Other Services"))</f>
        <v/>
      </c>
    </row>
    <row r="3428" customFormat="false" ht="15" hidden="false" customHeight="false" outlineLevel="0" collapsed="false">
      <c r="G3428" s="41" t="str">
        <f aca="false">IF(E3428="","",IFERROR(IF(ISNUMBER(SEARCH(Assumptions!$C$5,E3428)),Assumptions!$D$5,IF(ISNUMBER(SEARCH(Assumptions!$C$6,E3428)),Assumptions!$D$6,IF(ISNUMBER(SEARCH(Assumptions!$C$7,E3428)),Assumptions!$D$7,"Other Services"))),"Other Services"))</f>
        <v/>
      </c>
    </row>
    <row r="3429" customFormat="false" ht="15" hidden="false" customHeight="false" outlineLevel="0" collapsed="false">
      <c r="G3429" s="41" t="str">
        <f aca="false">IF(E3429="","",IFERROR(IF(ISNUMBER(SEARCH(Assumptions!$C$5,E3429)),Assumptions!$D$5,IF(ISNUMBER(SEARCH(Assumptions!$C$6,E3429)),Assumptions!$D$6,IF(ISNUMBER(SEARCH(Assumptions!$C$7,E3429)),Assumptions!$D$7,"Other Services"))),"Other Services"))</f>
        <v/>
      </c>
    </row>
    <row r="3430" customFormat="false" ht="15" hidden="false" customHeight="false" outlineLevel="0" collapsed="false">
      <c r="G3430" s="41" t="str">
        <f aca="false">IF(E3430="","",IFERROR(IF(ISNUMBER(SEARCH(Assumptions!$C$5,E3430)),Assumptions!$D$5,IF(ISNUMBER(SEARCH(Assumptions!$C$6,E3430)),Assumptions!$D$6,IF(ISNUMBER(SEARCH(Assumptions!$C$7,E3430)),Assumptions!$D$7,"Other Services"))),"Other Services"))</f>
        <v/>
      </c>
    </row>
    <row r="3431" customFormat="false" ht="15" hidden="false" customHeight="false" outlineLevel="0" collapsed="false">
      <c r="G3431" s="41" t="str">
        <f aca="false">IF(E3431="","",IFERROR(IF(ISNUMBER(SEARCH(Assumptions!$C$5,E3431)),Assumptions!$D$5,IF(ISNUMBER(SEARCH(Assumptions!$C$6,E3431)),Assumptions!$D$6,IF(ISNUMBER(SEARCH(Assumptions!$C$7,E3431)),Assumptions!$D$7,"Other Services"))),"Other Services"))</f>
        <v/>
      </c>
    </row>
    <row r="3432" customFormat="false" ht="15" hidden="false" customHeight="false" outlineLevel="0" collapsed="false">
      <c r="G3432" s="41" t="str">
        <f aca="false">IF(E3432="","",IFERROR(IF(ISNUMBER(SEARCH(Assumptions!$C$5,E3432)),Assumptions!$D$5,IF(ISNUMBER(SEARCH(Assumptions!$C$6,E3432)),Assumptions!$D$6,IF(ISNUMBER(SEARCH(Assumptions!$C$7,E3432)),Assumptions!$D$7,"Other Services"))),"Other Services"))</f>
        <v/>
      </c>
    </row>
    <row r="3433" customFormat="false" ht="15" hidden="false" customHeight="false" outlineLevel="0" collapsed="false">
      <c r="G3433" s="41" t="str">
        <f aca="false">IF(E3433="","",IFERROR(IF(ISNUMBER(SEARCH(Assumptions!$C$5,E3433)),Assumptions!$D$5,IF(ISNUMBER(SEARCH(Assumptions!$C$6,E3433)),Assumptions!$D$6,IF(ISNUMBER(SEARCH(Assumptions!$C$7,E3433)),Assumptions!$D$7,"Other Services"))),"Other Services"))</f>
        <v/>
      </c>
    </row>
    <row r="3434" customFormat="false" ht="15" hidden="false" customHeight="false" outlineLevel="0" collapsed="false">
      <c r="G3434" s="41" t="str">
        <f aca="false">IF(E3434="","",IFERROR(IF(ISNUMBER(SEARCH(Assumptions!$C$5,E3434)),Assumptions!$D$5,IF(ISNUMBER(SEARCH(Assumptions!$C$6,E3434)),Assumptions!$D$6,IF(ISNUMBER(SEARCH(Assumptions!$C$7,E3434)),Assumptions!$D$7,"Other Services"))),"Other Services"))</f>
        <v/>
      </c>
    </row>
    <row r="3435" customFormat="false" ht="15" hidden="false" customHeight="false" outlineLevel="0" collapsed="false">
      <c r="G3435" s="41" t="str">
        <f aca="false">IF(E3435="","",IFERROR(IF(ISNUMBER(SEARCH(Assumptions!$C$5,E3435)),Assumptions!$D$5,IF(ISNUMBER(SEARCH(Assumptions!$C$6,E3435)),Assumptions!$D$6,IF(ISNUMBER(SEARCH(Assumptions!$C$7,E3435)),Assumptions!$D$7,"Other Services"))),"Other Services"))</f>
        <v/>
      </c>
    </row>
    <row r="3436" customFormat="false" ht="15" hidden="false" customHeight="false" outlineLevel="0" collapsed="false">
      <c r="G3436" s="41" t="str">
        <f aca="false">IF(E3436="","",IFERROR(IF(ISNUMBER(SEARCH(Assumptions!$C$5,E3436)),Assumptions!$D$5,IF(ISNUMBER(SEARCH(Assumptions!$C$6,E3436)),Assumptions!$D$6,IF(ISNUMBER(SEARCH(Assumptions!$C$7,E3436)),Assumptions!$D$7,"Other Services"))),"Other Services"))</f>
        <v/>
      </c>
    </row>
    <row r="3437" customFormat="false" ht="15" hidden="false" customHeight="false" outlineLevel="0" collapsed="false">
      <c r="G3437" s="41" t="str">
        <f aca="false">IF(E3437="","",IFERROR(IF(ISNUMBER(SEARCH(Assumptions!$C$5,E3437)),Assumptions!$D$5,IF(ISNUMBER(SEARCH(Assumptions!$C$6,E3437)),Assumptions!$D$6,IF(ISNUMBER(SEARCH(Assumptions!$C$7,E3437)),Assumptions!$D$7,"Other Services"))),"Other Services"))</f>
        <v/>
      </c>
    </row>
    <row r="3438" customFormat="false" ht="15" hidden="false" customHeight="false" outlineLevel="0" collapsed="false">
      <c r="G3438" s="41" t="str">
        <f aca="false">IF(E3438="","",IFERROR(IF(ISNUMBER(SEARCH(Assumptions!$C$5,E3438)),Assumptions!$D$5,IF(ISNUMBER(SEARCH(Assumptions!$C$6,E3438)),Assumptions!$D$6,IF(ISNUMBER(SEARCH(Assumptions!$C$7,E3438)),Assumptions!$D$7,"Other Services"))),"Other Services"))</f>
        <v/>
      </c>
    </row>
    <row r="3439" customFormat="false" ht="15" hidden="false" customHeight="false" outlineLevel="0" collapsed="false">
      <c r="G3439" s="41" t="str">
        <f aca="false">IF(E3439="","",IFERROR(IF(ISNUMBER(SEARCH(Assumptions!$C$5,E3439)),Assumptions!$D$5,IF(ISNUMBER(SEARCH(Assumptions!$C$6,E3439)),Assumptions!$D$6,IF(ISNUMBER(SEARCH(Assumptions!$C$7,E3439)),Assumptions!$D$7,"Other Services"))),"Other Services"))</f>
        <v/>
      </c>
    </row>
    <row r="3440" customFormat="false" ht="15" hidden="false" customHeight="false" outlineLevel="0" collapsed="false">
      <c r="G3440" s="41" t="str">
        <f aca="false">IF(E3440="","",IFERROR(IF(ISNUMBER(SEARCH(Assumptions!$C$5,E3440)),Assumptions!$D$5,IF(ISNUMBER(SEARCH(Assumptions!$C$6,E3440)),Assumptions!$D$6,IF(ISNUMBER(SEARCH(Assumptions!$C$7,E3440)),Assumptions!$D$7,"Other Services"))),"Other Services"))</f>
        <v/>
      </c>
    </row>
    <row r="3441" customFormat="false" ht="15" hidden="false" customHeight="false" outlineLevel="0" collapsed="false">
      <c r="G3441" s="41" t="str">
        <f aca="false">IF(E3441="","",IFERROR(IF(ISNUMBER(SEARCH(Assumptions!$C$5,E3441)),Assumptions!$D$5,IF(ISNUMBER(SEARCH(Assumptions!$C$6,E3441)),Assumptions!$D$6,IF(ISNUMBER(SEARCH(Assumptions!$C$7,E3441)),Assumptions!$D$7,"Other Services"))),"Other Services"))</f>
        <v/>
      </c>
    </row>
    <row r="3442" customFormat="false" ht="15" hidden="false" customHeight="false" outlineLevel="0" collapsed="false">
      <c r="G3442" s="41" t="str">
        <f aca="false">IF(E3442="","",IFERROR(IF(ISNUMBER(SEARCH(Assumptions!$C$5,E3442)),Assumptions!$D$5,IF(ISNUMBER(SEARCH(Assumptions!$C$6,E3442)),Assumptions!$D$6,IF(ISNUMBER(SEARCH(Assumptions!$C$7,E3442)),Assumptions!$D$7,"Other Services"))),"Other Services"))</f>
        <v/>
      </c>
    </row>
    <row r="3443" customFormat="false" ht="15" hidden="false" customHeight="false" outlineLevel="0" collapsed="false">
      <c r="G3443" s="41" t="str">
        <f aca="false">IF(E3443="","",IFERROR(IF(ISNUMBER(SEARCH(Assumptions!$C$5,E3443)),Assumptions!$D$5,IF(ISNUMBER(SEARCH(Assumptions!$C$6,E3443)),Assumptions!$D$6,IF(ISNUMBER(SEARCH(Assumptions!$C$7,E3443)),Assumptions!$D$7,"Other Services"))),"Other Services"))</f>
        <v/>
      </c>
    </row>
    <row r="3444" customFormat="false" ht="15" hidden="false" customHeight="false" outlineLevel="0" collapsed="false">
      <c r="G3444" s="41" t="str">
        <f aca="false">IF(E3444="","",IFERROR(IF(ISNUMBER(SEARCH(Assumptions!$C$5,E3444)),Assumptions!$D$5,IF(ISNUMBER(SEARCH(Assumptions!$C$6,E3444)),Assumptions!$D$6,IF(ISNUMBER(SEARCH(Assumptions!$C$7,E3444)),Assumptions!$D$7,"Other Services"))),"Other Services"))</f>
        <v/>
      </c>
    </row>
    <row r="3445" customFormat="false" ht="15" hidden="false" customHeight="false" outlineLevel="0" collapsed="false">
      <c r="G3445" s="41" t="str">
        <f aca="false">IF(E3445="","",IFERROR(IF(ISNUMBER(SEARCH(Assumptions!$C$5,E3445)),Assumptions!$D$5,IF(ISNUMBER(SEARCH(Assumptions!$C$6,E3445)),Assumptions!$D$6,IF(ISNUMBER(SEARCH(Assumptions!$C$7,E3445)),Assumptions!$D$7,"Other Services"))),"Other Services"))</f>
        <v/>
      </c>
    </row>
    <row r="3446" customFormat="false" ht="15" hidden="false" customHeight="false" outlineLevel="0" collapsed="false">
      <c r="G3446" s="41" t="str">
        <f aca="false">IF(E3446="","",IFERROR(IF(ISNUMBER(SEARCH(Assumptions!$C$5,E3446)),Assumptions!$D$5,IF(ISNUMBER(SEARCH(Assumptions!$C$6,E3446)),Assumptions!$D$6,IF(ISNUMBER(SEARCH(Assumptions!$C$7,E3446)),Assumptions!$D$7,"Other Services"))),"Other Services"))</f>
        <v/>
      </c>
    </row>
    <row r="3447" customFormat="false" ht="15" hidden="false" customHeight="false" outlineLevel="0" collapsed="false">
      <c r="G3447" s="41" t="str">
        <f aca="false">IF(E3447="","",IFERROR(IF(ISNUMBER(SEARCH(Assumptions!$C$5,E3447)),Assumptions!$D$5,IF(ISNUMBER(SEARCH(Assumptions!$C$6,E3447)),Assumptions!$D$6,IF(ISNUMBER(SEARCH(Assumptions!$C$7,E3447)),Assumptions!$D$7,"Other Services"))),"Other Services"))</f>
        <v/>
      </c>
    </row>
    <row r="3448" customFormat="false" ht="15" hidden="false" customHeight="false" outlineLevel="0" collapsed="false">
      <c r="G3448" s="41" t="str">
        <f aca="false">IF(E3448="","",IFERROR(IF(ISNUMBER(SEARCH(Assumptions!$C$5,E3448)),Assumptions!$D$5,IF(ISNUMBER(SEARCH(Assumptions!$C$6,E3448)),Assumptions!$D$6,IF(ISNUMBER(SEARCH(Assumptions!$C$7,E3448)),Assumptions!$D$7,"Other Services"))),"Other Services"))</f>
        <v/>
      </c>
    </row>
    <row r="3449" customFormat="false" ht="15" hidden="false" customHeight="false" outlineLevel="0" collapsed="false">
      <c r="G3449" s="41" t="str">
        <f aca="false">IF(E3449="","",IFERROR(IF(ISNUMBER(SEARCH(Assumptions!$C$5,E3449)),Assumptions!$D$5,IF(ISNUMBER(SEARCH(Assumptions!$C$6,E3449)),Assumptions!$D$6,IF(ISNUMBER(SEARCH(Assumptions!$C$7,E3449)),Assumptions!$D$7,"Other Services"))),"Other Services"))</f>
        <v/>
      </c>
    </row>
    <row r="3450" customFormat="false" ht="15" hidden="false" customHeight="false" outlineLevel="0" collapsed="false">
      <c r="G3450" s="41" t="str">
        <f aca="false">IF(E3450="","",IFERROR(IF(ISNUMBER(SEARCH(Assumptions!$C$5,E3450)),Assumptions!$D$5,IF(ISNUMBER(SEARCH(Assumptions!$C$6,E3450)),Assumptions!$D$6,IF(ISNUMBER(SEARCH(Assumptions!$C$7,E3450)),Assumptions!$D$7,"Other Services"))),"Other Services"))</f>
        <v/>
      </c>
    </row>
    <row r="3451" customFormat="false" ht="15" hidden="false" customHeight="false" outlineLevel="0" collapsed="false">
      <c r="G3451" s="41" t="str">
        <f aca="false">IF(E3451="","",IFERROR(IF(ISNUMBER(SEARCH(Assumptions!$C$5,E3451)),Assumptions!$D$5,IF(ISNUMBER(SEARCH(Assumptions!$C$6,E3451)),Assumptions!$D$6,IF(ISNUMBER(SEARCH(Assumptions!$C$7,E3451)),Assumptions!$D$7,"Other Services"))),"Other Services"))</f>
        <v/>
      </c>
    </row>
    <row r="3452" customFormat="false" ht="15" hidden="false" customHeight="false" outlineLevel="0" collapsed="false">
      <c r="G3452" s="41" t="str">
        <f aca="false">IF(E3452="","",IFERROR(IF(ISNUMBER(SEARCH(Assumptions!$C$5,E3452)),Assumptions!$D$5,IF(ISNUMBER(SEARCH(Assumptions!$C$6,E3452)),Assumptions!$D$6,IF(ISNUMBER(SEARCH(Assumptions!$C$7,E3452)),Assumptions!$D$7,"Other Services"))),"Other Services"))</f>
        <v/>
      </c>
    </row>
    <row r="3453" customFormat="false" ht="15" hidden="false" customHeight="false" outlineLevel="0" collapsed="false">
      <c r="G3453" s="41" t="str">
        <f aca="false">IF(E3453="","",IFERROR(IF(ISNUMBER(SEARCH(Assumptions!$C$5,E3453)),Assumptions!$D$5,IF(ISNUMBER(SEARCH(Assumptions!$C$6,E3453)),Assumptions!$D$6,IF(ISNUMBER(SEARCH(Assumptions!$C$7,E3453)),Assumptions!$D$7,"Other Services"))),"Other Services"))</f>
        <v/>
      </c>
    </row>
    <row r="3454" customFormat="false" ht="15" hidden="false" customHeight="false" outlineLevel="0" collapsed="false">
      <c r="G3454" s="41" t="str">
        <f aca="false">IF(E3454="","",IFERROR(IF(ISNUMBER(SEARCH(Assumptions!$C$5,E3454)),Assumptions!$D$5,IF(ISNUMBER(SEARCH(Assumptions!$C$6,E3454)),Assumptions!$D$6,IF(ISNUMBER(SEARCH(Assumptions!$C$7,E3454)),Assumptions!$D$7,"Other Services"))),"Other Services"))</f>
        <v/>
      </c>
    </row>
    <row r="3455" customFormat="false" ht="15" hidden="false" customHeight="false" outlineLevel="0" collapsed="false">
      <c r="G3455" s="41" t="str">
        <f aca="false">IF(E3455="","",IFERROR(IF(ISNUMBER(SEARCH(Assumptions!$C$5,E3455)),Assumptions!$D$5,IF(ISNUMBER(SEARCH(Assumptions!$C$6,E3455)),Assumptions!$D$6,IF(ISNUMBER(SEARCH(Assumptions!$C$7,E3455)),Assumptions!$D$7,"Other Services"))),"Other Services"))</f>
        <v/>
      </c>
    </row>
    <row r="3456" customFormat="false" ht="15" hidden="false" customHeight="false" outlineLevel="0" collapsed="false">
      <c r="G3456" s="41" t="str">
        <f aca="false">IF(E3456="","",IFERROR(IF(ISNUMBER(SEARCH(Assumptions!$C$5,E3456)),Assumptions!$D$5,IF(ISNUMBER(SEARCH(Assumptions!$C$6,E3456)),Assumptions!$D$6,IF(ISNUMBER(SEARCH(Assumptions!$C$7,E3456)),Assumptions!$D$7,"Other Services"))),"Other Services"))</f>
        <v/>
      </c>
    </row>
    <row r="3457" customFormat="false" ht="15" hidden="false" customHeight="false" outlineLevel="0" collapsed="false">
      <c r="G3457" s="41" t="str">
        <f aca="false">IF(E3457="","",IFERROR(IF(ISNUMBER(SEARCH(Assumptions!$C$5,E3457)),Assumptions!$D$5,IF(ISNUMBER(SEARCH(Assumptions!$C$6,E3457)),Assumptions!$D$6,IF(ISNUMBER(SEARCH(Assumptions!$C$7,E3457)),Assumptions!$D$7,"Other Services"))),"Other Services"))</f>
        <v/>
      </c>
    </row>
    <row r="3458" customFormat="false" ht="15" hidden="false" customHeight="false" outlineLevel="0" collapsed="false">
      <c r="G3458" s="41" t="str">
        <f aca="false">IF(E3458="","",IFERROR(IF(ISNUMBER(SEARCH(Assumptions!$C$5,E3458)),Assumptions!$D$5,IF(ISNUMBER(SEARCH(Assumptions!$C$6,E3458)),Assumptions!$D$6,IF(ISNUMBER(SEARCH(Assumptions!$C$7,E3458)),Assumptions!$D$7,"Other Services"))),"Other Services"))</f>
        <v/>
      </c>
    </row>
    <row r="3459" customFormat="false" ht="15" hidden="false" customHeight="false" outlineLevel="0" collapsed="false">
      <c r="G3459" s="41" t="str">
        <f aca="false">IF(E3459="","",IFERROR(IF(ISNUMBER(SEARCH(Assumptions!$C$5,E3459)),Assumptions!$D$5,IF(ISNUMBER(SEARCH(Assumptions!$C$6,E3459)),Assumptions!$D$6,IF(ISNUMBER(SEARCH(Assumptions!$C$7,E3459)),Assumptions!$D$7,"Other Services"))),"Other Services"))</f>
        <v/>
      </c>
    </row>
    <row r="3460" customFormat="false" ht="15" hidden="false" customHeight="false" outlineLevel="0" collapsed="false">
      <c r="G3460" s="41" t="str">
        <f aca="false">IF(E3460="","",IFERROR(IF(ISNUMBER(SEARCH(Assumptions!$C$5,E3460)),Assumptions!$D$5,IF(ISNUMBER(SEARCH(Assumptions!$C$6,E3460)),Assumptions!$D$6,IF(ISNUMBER(SEARCH(Assumptions!$C$7,E3460)),Assumptions!$D$7,"Other Services"))),"Other Services"))</f>
        <v/>
      </c>
    </row>
    <row r="3461" customFormat="false" ht="15" hidden="false" customHeight="false" outlineLevel="0" collapsed="false">
      <c r="G3461" s="41" t="str">
        <f aca="false">IF(E3461="","",IFERROR(IF(ISNUMBER(SEARCH(Assumptions!$C$5,E3461)),Assumptions!$D$5,IF(ISNUMBER(SEARCH(Assumptions!$C$6,E3461)),Assumptions!$D$6,IF(ISNUMBER(SEARCH(Assumptions!$C$7,E3461)),Assumptions!$D$7,"Other Services"))),"Other Services"))</f>
        <v/>
      </c>
    </row>
    <row r="3462" customFormat="false" ht="15" hidden="false" customHeight="false" outlineLevel="0" collapsed="false">
      <c r="G3462" s="41" t="str">
        <f aca="false">IF(E3462="","",IFERROR(IF(ISNUMBER(SEARCH(Assumptions!$C$5,E3462)),Assumptions!$D$5,IF(ISNUMBER(SEARCH(Assumptions!$C$6,E3462)),Assumptions!$D$6,IF(ISNUMBER(SEARCH(Assumptions!$C$7,E3462)),Assumptions!$D$7,"Other Services"))),"Other Services"))</f>
        <v/>
      </c>
    </row>
    <row r="3463" customFormat="false" ht="15" hidden="false" customHeight="false" outlineLevel="0" collapsed="false">
      <c r="G3463" s="41" t="str">
        <f aca="false">IF(E3463="","",IFERROR(IF(ISNUMBER(SEARCH(Assumptions!$C$5,E3463)),Assumptions!$D$5,IF(ISNUMBER(SEARCH(Assumptions!$C$6,E3463)),Assumptions!$D$6,IF(ISNUMBER(SEARCH(Assumptions!$C$7,E3463)),Assumptions!$D$7,"Other Services"))),"Other Services"))</f>
        <v/>
      </c>
    </row>
    <row r="3464" customFormat="false" ht="15" hidden="false" customHeight="false" outlineLevel="0" collapsed="false">
      <c r="G3464" s="41" t="str">
        <f aca="false">IF(E3464="","",IFERROR(IF(ISNUMBER(SEARCH(Assumptions!$C$5,E3464)),Assumptions!$D$5,IF(ISNUMBER(SEARCH(Assumptions!$C$6,E3464)),Assumptions!$D$6,IF(ISNUMBER(SEARCH(Assumptions!$C$7,E3464)),Assumptions!$D$7,"Other Services"))),"Other Services"))</f>
        <v/>
      </c>
    </row>
    <row r="3465" customFormat="false" ht="15" hidden="false" customHeight="false" outlineLevel="0" collapsed="false">
      <c r="G3465" s="41" t="str">
        <f aca="false">IF(E3465="","",IFERROR(IF(ISNUMBER(SEARCH(Assumptions!$C$5,E3465)),Assumptions!$D$5,IF(ISNUMBER(SEARCH(Assumptions!$C$6,E3465)),Assumptions!$D$6,IF(ISNUMBER(SEARCH(Assumptions!$C$7,E3465)),Assumptions!$D$7,"Other Services"))),"Other Services"))</f>
        <v/>
      </c>
    </row>
    <row r="3466" customFormat="false" ht="15" hidden="false" customHeight="false" outlineLevel="0" collapsed="false">
      <c r="G3466" s="41" t="str">
        <f aca="false">IF(E3466="","",IFERROR(IF(ISNUMBER(SEARCH(Assumptions!$C$5,E3466)),Assumptions!$D$5,IF(ISNUMBER(SEARCH(Assumptions!$C$6,E3466)),Assumptions!$D$6,IF(ISNUMBER(SEARCH(Assumptions!$C$7,E3466)),Assumptions!$D$7,"Other Services"))),"Other Services"))</f>
        <v/>
      </c>
    </row>
    <row r="3467" customFormat="false" ht="15" hidden="false" customHeight="false" outlineLevel="0" collapsed="false">
      <c r="G3467" s="41" t="str">
        <f aca="false">IF(E3467="","",IFERROR(IF(ISNUMBER(SEARCH(Assumptions!$C$5,E3467)),Assumptions!$D$5,IF(ISNUMBER(SEARCH(Assumptions!$C$6,E3467)),Assumptions!$D$6,IF(ISNUMBER(SEARCH(Assumptions!$C$7,E3467)),Assumptions!$D$7,"Other Services"))),"Other Services"))</f>
        <v/>
      </c>
    </row>
    <row r="3468" customFormat="false" ht="15" hidden="false" customHeight="false" outlineLevel="0" collapsed="false">
      <c r="G3468" s="41" t="str">
        <f aca="false">IF(E3468="","",IFERROR(IF(ISNUMBER(SEARCH(Assumptions!$C$5,E3468)),Assumptions!$D$5,IF(ISNUMBER(SEARCH(Assumptions!$C$6,E3468)),Assumptions!$D$6,IF(ISNUMBER(SEARCH(Assumptions!$C$7,E3468)),Assumptions!$D$7,"Other Services"))),"Other Services"))</f>
        <v/>
      </c>
    </row>
    <row r="3469" customFormat="false" ht="15" hidden="false" customHeight="false" outlineLevel="0" collapsed="false">
      <c r="G3469" s="41" t="str">
        <f aca="false">IF(E3469="","",IFERROR(IF(ISNUMBER(SEARCH(Assumptions!$C$5,E3469)),Assumptions!$D$5,IF(ISNUMBER(SEARCH(Assumptions!$C$6,E3469)),Assumptions!$D$6,IF(ISNUMBER(SEARCH(Assumptions!$C$7,E3469)),Assumptions!$D$7,"Other Services"))),"Other Services"))</f>
        <v/>
      </c>
    </row>
    <row r="3470" customFormat="false" ht="15" hidden="false" customHeight="false" outlineLevel="0" collapsed="false">
      <c r="G3470" s="41" t="str">
        <f aca="false">IF(E3470="","",IFERROR(IF(ISNUMBER(SEARCH(Assumptions!$C$5,E3470)),Assumptions!$D$5,IF(ISNUMBER(SEARCH(Assumptions!$C$6,E3470)),Assumptions!$D$6,IF(ISNUMBER(SEARCH(Assumptions!$C$7,E3470)),Assumptions!$D$7,"Other Services"))),"Other Services"))</f>
        <v/>
      </c>
    </row>
    <row r="3471" customFormat="false" ht="15" hidden="false" customHeight="false" outlineLevel="0" collapsed="false">
      <c r="G3471" s="41" t="str">
        <f aca="false">IF(E3471="","",IFERROR(IF(ISNUMBER(SEARCH(Assumptions!$C$5,E3471)),Assumptions!$D$5,IF(ISNUMBER(SEARCH(Assumptions!$C$6,E3471)),Assumptions!$D$6,IF(ISNUMBER(SEARCH(Assumptions!$C$7,E3471)),Assumptions!$D$7,"Other Services"))),"Other Services"))</f>
        <v/>
      </c>
    </row>
    <row r="3472" customFormat="false" ht="15" hidden="false" customHeight="false" outlineLevel="0" collapsed="false">
      <c r="G3472" s="41" t="str">
        <f aca="false">IF(E3472="","",IFERROR(IF(ISNUMBER(SEARCH(Assumptions!$C$5,E3472)),Assumptions!$D$5,IF(ISNUMBER(SEARCH(Assumptions!$C$6,E3472)),Assumptions!$D$6,IF(ISNUMBER(SEARCH(Assumptions!$C$7,E3472)),Assumptions!$D$7,"Other Services"))),"Other Services"))</f>
        <v/>
      </c>
    </row>
    <row r="3473" customFormat="false" ht="15" hidden="false" customHeight="false" outlineLevel="0" collapsed="false">
      <c r="G3473" s="41" t="str">
        <f aca="false">IF(E3473="","",IFERROR(IF(ISNUMBER(SEARCH(Assumptions!$C$5,E3473)),Assumptions!$D$5,IF(ISNUMBER(SEARCH(Assumptions!$C$6,E3473)),Assumptions!$D$6,IF(ISNUMBER(SEARCH(Assumptions!$C$7,E3473)),Assumptions!$D$7,"Other Services"))),"Other Services"))</f>
        <v/>
      </c>
    </row>
    <row r="3474" customFormat="false" ht="15" hidden="false" customHeight="false" outlineLevel="0" collapsed="false">
      <c r="G3474" s="41" t="str">
        <f aca="false">IF(E3474="","",IFERROR(IF(ISNUMBER(SEARCH(Assumptions!$C$5,E3474)),Assumptions!$D$5,IF(ISNUMBER(SEARCH(Assumptions!$C$6,E3474)),Assumptions!$D$6,IF(ISNUMBER(SEARCH(Assumptions!$C$7,E3474)),Assumptions!$D$7,"Other Services"))),"Other Services"))</f>
        <v/>
      </c>
    </row>
    <row r="3475" customFormat="false" ht="15" hidden="false" customHeight="false" outlineLevel="0" collapsed="false">
      <c r="G3475" s="41" t="str">
        <f aca="false">IF(E3475="","",IFERROR(IF(ISNUMBER(SEARCH(Assumptions!$C$5,E3475)),Assumptions!$D$5,IF(ISNUMBER(SEARCH(Assumptions!$C$6,E3475)),Assumptions!$D$6,IF(ISNUMBER(SEARCH(Assumptions!$C$7,E3475)),Assumptions!$D$7,"Other Services"))),"Other Services"))</f>
        <v/>
      </c>
    </row>
    <row r="3476" customFormat="false" ht="15" hidden="false" customHeight="false" outlineLevel="0" collapsed="false">
      <c r="G3476" s="41" t="str">
        <f aca="false">IF(E3476="","",IFERROR(IF(ISNUMBER(SEARCH(Assumptions!$C$5,E3476)),Assumptions!$D$5,IF(ISNUMBER(SEARCH(Assumptions!$C$6,E3476)),Assumptions!$D$6,IF(ISNUMBER(SEARCH(Assumptions!$C$7,E3476)),Assumptions!$D$7,"Other Services"))),"Other Services"))</f>
        <v/>
      </c>
    </row>
    <row r="3477" customFormat="false" ht="15" hidden="false" customHeight="false" outlineLevel="0" collapsed="false">
      <c r="G3477" s="41" t="str">
        <f aca="false">IF(E3477="","",IFERROR(IF(ISNUMBER(SEARCH(Assumptions!$C$5,E3477)),Assumptions!$D$5,IF(ISNUMBER(SEARCH(Assumptions!$C$6,E3477)),Assumptions!$D$6,IF(ISNUMBER(SEARCH(Assumptions!$C$7,E3477)),Assumptions!$D$7,"Other Services"))),"Other Services"))</f>
        <v/>
      </c>
    </row>
    <row r="3478" customFormat="false" ht="15" hidden="false" customHeight="false" outlineLevel="0" collapsed="false">
      <c r="G3478" s="41" t="str">
        <f aca="false">IF(E3478="","",IFERROR(IF(ISNUMBER(SEARCH(Assumptions!$C$5,E3478)),Assumptions!$D$5,IF(ISNUMBER(SEARCH(Assumptions!$C$6,E3478)),Assumptions!$D$6,IF(ISNUMBER(SEARCH(Assumptions!$C$7,E3478)),Assumptions!$D$7,"Other Services"))),"Other Services"))</f>
        <v/>
      </c>
    </row>
    <row r="3479" customFormat="false" ht="15" hidden="false" customHeight="false" outlineLevel="0" collapsed="false">
      <c r="G3479" s="41" t="str">
        <f aca="false">IF(E3479="","",IFERROR(IF(ISNUMBER(SEARCH(Assumptions!$C$5,E3479)),Assumptions!$D$5,IF(ISNUMBER(SEARCH(Assumptions!$C$6,E3479)),Assumptions!$D$6,IF(ISNUMBER(SEARCH(Assumptions!$C$7,E3479)),Assumptions!$D$7,"Other Services"))),"Other Services"))</f>
        <v/>
      </c>
    </row>
    <row r="3480" customFormat="false" ht="15" hidden="false" customHeight="false" outlineLevel="0" collapsed="false">
      <c r="G3480" s="41" t="str">
        <f aca="false">IF(E3480="","",IFERROR(IF(ISNUMBER(SEARCH(Assumptions!$C$5,E3480)),Assumptions!$D$5,IF(ISNUMBER(SEARCH(Assumptions!$C$6,E3480)),Assumptions!$D$6,IF(ISNUMBER(SEARCH(Assumptions!$C$7,E3480)),Assumptions!$D$7,"Other Services"))),"Other Services"))</f>
        <v/>
      </c>
    </row>
    <row r="3481" customFormat="false" ht="15" hidden="false" customHeight="false" outlineLevel="0" collapsed="false">
      <c r="G3481" s="41" t="str">
        <f aca="false">IF(E3481="","",IFERROR(IF(ISNUMBER(SEARCH(Assumptions!$C$5,E3481)),Assumptions!$D$5,IF(ISNUMBER(SEARCH(Assumptions!$C$6,E3481)),Assumptions!$D$6,IF(ISNUMBER(SEARCH(Assumptions!$C$7,E3481)),Assumptions!$D$7,"Other Services"))),"Other Services"))</f>
        <v/>
      </c>
    </row>
    <row r="3482" customFormat="false" ht="15" hidden="false" customHeight="false" outlineLevel="0" collapsed="false">
      <c r="G3482" s="41" t="str">
        <f aca="false">IF(E3482="","",IFERROR(IF(ISNUMBER(SEARCH(Assumptions!$C$5,E3482)),Assumptions!$D$5,IF(ISNUMBER(SEARCH(Assumptions!$C$6,E3482)),Assumptions!$D$6,IF(ISNUMBER(SEARCH(Assumptions!$C$7,E3482)),Assumptions!$D$7,"Other Services"))),"Other Services"))</f>
        <v/>
      </c>
    </row>
    <row r="3483" customFormat="false" ht="15" hidden="false" customHeight="false" outlineLevel="0" collapsed="false">
      <c r="G3483" s="41" t="str">
        <f aca="false">IF(E3483="","",IFERROR(IF(ISNUMBER(SEARCH(Assumptions!$C$5,E3483)),Assumptions!$D$5,IF(ISNUMBER(SEARCH(Assumptions!$C$6,E3483)),Assumptions!$D$6,IF(ISNUMBER(SEARCH(Assumptions!$C$7,E3483)),Assumptions!$D$7,"Other Services"))),"Other Services"))</f>
        <v/>
      </c>
    </row>
    <row r="3484" customFormat="false" ht="15" hidden="false" customHeight="false" outlineLevel="0" collapsed="false">
      <c r="G3484" s="41" t="str">
        <f aca="false">IF(E3484="","",IFERROR(IF(ISNUMBER(SEARCH(Assumptions!$C$5,E3484)),Assumptions!$D$5,IF(ISNUMBER(SEARCH(Assumptions!$C$6,E3484)),Assumptions!$D$6,IF(ISNUMBER(SEARCH(Assumptions!$C$7,E3484)),Assumptions!$D$7,"Other Services"))),"Other Services"))</f>
        <v/>
      </c>
    </row>
    <row r="3485" customFormat="false" ht="15" hidden="false" customHeight="false" outlineLevel="0" collapsed="false">
      <c r="G3485" s="41" t="str">
        <f aca="false">IF(E3485="","",IFERROR(IF(ISNUMBER(SEARCH(Assumptions!$C$5,E3485)),Assumptions!$D$5,IF(ISNUMBER(SEARCH(Assumptions!$C$6,E3485)),Assumptions!$D$6,IF(ISNUMBER(SEARCH(Assumptions!$C$7,E3485)),Assumptions!$D$7,"Other Services"))),"Other Services"))</f>
        <v/>
      </c>
    </row>
    <row r="3486" customFormat="false" ht="15" hidden="false" customHeight="false" outlineLevel="0" collapsed="false">
      <c r="G3486" s="41" t="str">
        <f aca="false">IF(E3486="","",IFERROR(IF(ISNUMBER(SEARCH(Assumptions!$C$5,E3486)),Assumptions!$D$5,IF(ISNUMBER(SEARCH(Assumptions!$C$6,E3486)),Assumptions!$D$6,IF(ISNUMBER(SEARCH(Assumptions!$C$7,E3486)),Assumptions!$D$7,"Other Services"))),"Other Services"))</f>
        <v/>
      </c>
    </row>
    <row r="3487" customFormat="false" ht="15" hidden="false" customHeight="false" outlineLevel="0" collapsed="false">
      <c r="G3487" s="41" t="str">
        <f aca="false">IF(E3487="","",IFERROR(IF(ISNUMBER(SEARCH(Assumptions!$C$5,E3487)),Assumptions!$D$5,IF(ISNUMBER(SEARCH(Assumptions!$C$6,E3487)),Assumptions!$D$6,IF(ISNUMBER(SEARCH(Assumptions!$C$7,E3487)),Assumptions!$D$7,"Other Services"))),"Other Services"))</f>
        <v/>
      </c>
    </row>
    <row r="3488" customFormat="false" ht="15" hidden="false" customHeight="false" outlineLevel="0" collapsed="false">
      <c r="G3488" s="41" t="str">
        <f aca="false">IF(E3488="","",IFERROR(IF(ISNUMBER(SEARCH(Assumptions!$C$5,E3488)),Assumptions!$D$5,IF(ISNUMBER(SEARCH(Assumptions!$C$6,E3488)),Assumptions!$D$6,IF(ISNUMBER(SEARCH(Assumptions!$C$7,E3488)),Assumptions!$D$7,"Other Services"))),"Other Services"))</f>
        <v/>
      </c>
    </row>
    <row r="3489" customFormat="false" ht="15" hidden="false" customHeight="false" outlineLevel="0" collapsed="false">
      <c r="G3489" s="41" t="str">
        <f aca="false">IF(E3489="","",IFERROR(IF(ISNUMBER(SEARCH(Assumptions!$C$5,E3489)),Assumptions!$D$5,IF(ISNUMBER(SEARCH(Assumptions!$C$6,E3489)),Assumptions!$D$6,IF(ISNUMBER(SEARCH(Assumptions!$C$7,E3489)),Assumptions!$D$7,"Other Services"))),"Other Services"))</f>
        <v/>
      </c>
    </row>
    <row r="3490" customFormat="false" ht="15" hidden="false" customHeight="false" outlineLevel="0" collapsed="false">
      <c r="G3490" s="41" t="str">
        <f aca="false">IF(E3490="","",IFERROR(IF(ISNUMBER(SEARCH(Assumptions!$C$5,E3490)),Assumptions!$D$5,IF(ISNUMBER(SEARCH(Assumptions!$C$6,E3490)),Assumptions!$D$6,IF(ISNUMBER(SEARCH(Assumptions!$C$7,E3490)),Assumptions!$D$7,"Other Services"))),"Other Services"))</f>
        <v/>
      </c>
    </row>
    <row r="3491" customFormat="false" ht="15" hidden="false" customHeight="false" outlineLevel="0" collapsed="false">
      <c r="G3491" s="41" t="str">
        <f aca="false">IF(E3491="","",IFERROR(IF(ISNUMBER(SEARCH(Assumptions!$C$5,E3491)),Assumptions!$D$5,IF(ISNUMBER(SEARCH(Assumptions!$C$6,E3491)),Assumptions!$D$6,IF(ISNUMBER(SEARCH(Assumptions!$C$7,E3491)),Assumptions!$D$7,"Other Services"))),"Other Services"))</f>
        <v/>
      </c>
    </row>
    <row r="3492" customFormat="false" ht="15" hidden="false" customHeight="false" outlineLevel="0" collapsed="false">
      <c r="G3492" s="41" t="str">
        <f aca="false">IF(E3492="","",IFERROR(IF(ISNUMBER(SEARCH(Assumptions!$C$5,E3492)),Assumptions!$D$5,IF(ISNUMBER(SEARCH(Assumptions!$C$6,E3492)),Assumptions!$D$6,IF(ISNUMBER(SEARCH(Assumptions!$C$7,E3492)),Assumptions!$D$7,"Other Services"))),"Other Services"))</f>
        <v/>
      </c>
    </row>
    <row r="3493" customFormat="false" ht="15" hidden="false" customHeight="false" outlineLevel="0" collapsed="false">
      <c r="G3493" s="41" t="str">
        <f aca="false">IF(E3493="","",IFERROR(IF(ISNUMBER(SEARCH(Assumptions!$C$5,E3493)),Assumptions!$D$5,IF(ISNUMBER(SEARCH(Assumptions!$C$6,E3493)),Assumptions!$D$6,IF(ISNUMBER(SEARCH(Assumptions!$C$7,E3493)),Assumptions!$D$7,"Other Services"))),"Other Services"))</f>
        <v/>
      </c>
    </row>
    <row r="3494" customFormat="false" ht="15" hidden="false" customHeight="false" outlineLevel="0" collapsed="false">
      <c r="G3494" s="41" t="str">
        <f aca="false">IF(E3494="","",IFERROR(IF(ISNUMBER(SEARCH(Assumptions!$C$5,E3494)),Assumptions!$D$5,IF(ISNUMBER(SEARCH(Assumptions!$C$6,E3494)),Assumptions!$D$6,IF(ISNUMBER(SEARCH(Assumptions!$C$7,E3494)),Assumptions!$D$7,"Other Services"))),"Other Services"))</f>
        <v/>
      </c>
    </row>
    <row r="3495" customFormat="false" ht="15" hidden="false" customHeight="false" outlineLevel="0" collapsed="false">
      <c r="G3495" s="41" t="str">
        <f aca="false">IF(E3495="","",IFERROR(IF(ISNUMBER(SEARCH(Assumptions!$C$5,E3495)),Assumptions!$D$5,IF(ISNUMBER(SEARCH(Assumptions!$C$6,E3495)),Assumptions!$D$6,IF(ISNUMBER(SEARCH(Assumptions!$C$7,E3495)),Assumptions!$D$7,"Other Services"))),"Other Services"))</f>
        <v/>
      </c>
    </row>
    <row r="3496" customFormat="false" ht="15" hidden="false" customHeight="false" outlineLevel="0" collapsed="false">
      <c r="G3496" s="41" t="str">
        <f aca="false">IF(E3496="","",IFERROR(IF(ISNUMBER(SEARCH(Assumptions!$C$5,E3496)),Assumptions!$D$5,IF(ISNUMBER(SEARCH(Assumptions!$C$6,E3496)),Assumptions!$D$6,IF(ISNUMBER(SEARCH(Assumptions!$C$7,E3496)),Assumptions!$D$7,"Other Services"))),"Other Services"))</f>
        <v/>
      </c>
    </row>
    <row r="3497" customFormat="false" ht="15" hidden="false" customHeight="false" outlineLevel="0" collapsed="false">
      <c r="G3497" s="41" t="str">
        <f aca="false">IF(E3497="","",IFERROR(IF(ISNUMBER(SEARCH(Assumptions!$C$5,E3497)),Assumptions!$D$5,IF(ISNUMBER(SEARCH(Assumptions!$C$6,E3497)),Assumptions!$D$6,IF(ISNUMBER(SEARCH(Assumptions!$C$7,E3497)),Assumptions!$D$7,"Other Services"))),"Other Services"))</f>
        <v/>
      </c>
    </row>
    <row r="3498" customFormat="false" ht="15" hidden="false" customHeight="false" outlineLevel="0" collapsed="false">
      <c r="G3498" s="41" t="str">
        <f aca="false">IF(E3498="","",IFERROR(IF(ISNUMBER(SEARCH(Assumptions!$C$5,E3498)),Assumptions!$D$5,IF(ISNUMBER(SEARCH(Assumptions!$C$6,E3498)),Assumptions!$D$6,IF(ISNUMBER(SEARCH(Assumptions!$C$7,E3498)),Assumptions!$D$7,"Other Services"))),"Other Services"))</f>
        <v/>
      </c>
    </row>
    <row r="3499" customFormat="false" ht="15" hidden="false" customHeight="false" outlineLevel="0" collapsed="false">
      <c r="G3499" s="41" t="str">
        <f aca="false">IF(E3499="","",IFERROR(IF(ISNUMBER(SEARCH(Assumptions!$C$5,E3499)),Assumptions!$D$5,IF(ISNUMBER(SEARCH(Assumptions!$C$6,E3499)),Assumptions!$D$6,IF(ISNUMBER(SEARCH(Assumptions!$C$7,E3499)),Assumptions!$D$7,"Other Services"))),"Other Services"))</f>
        <v/>
      </c>
    </row>
    <row r="3500" customFormat="false" ht="15" hidden="false" customHeight="false" outlineLevel="0" collapsed="false">
      <c r="G3500" s="41" t="str">
        <f aca="false">IF(E3500="","",IFERROR(IF(ISNUMBER(SEARCH(Assumptions!$C$5,E3500)),Assumptions!$D$5,IF(ISNUMBER(SEARCH(Assumptions!$C$6,E3500)),Assumptions!$D$6,IF(ISNUMBER(SEARCH(Assumptions!$C$7,E3500)),Assumptions!$D$7,"Other Services"))),"Other Services"))</f>
        <v/>
      </c>
    </row>
    <row r="3501" customFormat="false" ht="15" hidden="false" customHeight="false" outlineLevel="0" collapsed="false">
      <c r="G3501" s="41" t="str">
        <f aca="false">IF(E3501="","",IFERROR(IF(ISNUMBER(SEARCH(Assumptions!$C$5,E3501)),Assumptions!$D$5,IF(ISNUMBER(SEARCH(Assumptions!$C$6,E3501)),Assumptions!$D$6,IF(ISNUMBER(SEARCH(Assumptions!$C$7,E3501)),Assumptions!$D$7,"Other Services"))),"Other Services"))</f>
        <v/>
      </c>
    </row>
    <row r="3502" customFormat="false" ht="15" hidden="false" customHeight="false" outlineLevel="0" collapsed="false">
      <c r="G3502" s="41" t="str">
        <f aca="false">IF(E3502="","",IFERROR(IF(ISNUMBER(SEARCH(Assumptions!$C$5,E3502)),Assumptions!$D$5,IF(ISNUMBER(SEARCH(Assumptions!$C$6,E3502)),Assumptions!$D$6,IF(ISNUMBER(SEARCH(Assumptions!$C$7,E3502)),Assumptions!$D$7,"Other Services"))),"Other Services"))</f>
        <v/>
      </c>
    </row>
    <row r="3503" customFormat="false" ht="15" hidden="false" customHeight="false" outlineLevel="0" collapsed="false">
      <c r="G3503" s="41" t="str">
        <f aca="false">IF(E3503="","",IFERROR(IF(ISNUMBER(SEARCH(Assumptions!$C$5,E3503)),Assumptions!$D$5,IF(ISNUMBER(SEARCH(Assumptions!$C$6,E3503)),Assumptions!$D$6,IF(ISNUMBER(SEARCH(Assumptions!$C$7,E3503)),Assumptions!$D$7,"Other Services"))),"Other Services"))</f>
        <v/>
      </c>
    </row>
    <row r="3504" customFormat="false" ht="15" hidden="false" customHeight="false" outlineLevel="0" collapsed="false">
      <c r="G3504" s="41" t="str">
        <f aca="false">IF(E3504="","",IFERROR(IF(ISNUMBER(SEARCH(Assumptions!$C$5,E3504)),Assumptions!$D$5,IF(ISNUMBER(SEARCH(Assumptions!$C$6,E3504)),Assumptions!$D$6,IF(ISNUMBER(SEARCH(Assumptions!$C$7,E3504)),Assumptions!$D$7,"Other Services"))),"Other Services"))</f>
        <v/>
      </c>
    </row>
    <row r="3505" customFormat="false" ht="15" hidden="false" customHeight="false" outlineLevel="0" collapsed="false">
      <c r="G3505" s="41" t="str">
        <f aca="false">IF(E3505="","",IFERROR(IF(ISNUMBER(SEARCH(Assumptions!$C$5,E3505)),Assumptions!$D$5,IF(ISNUMBER(SEARCH(Assumptions!$C$6,E3505)),Assumptions!$D$6,IF(ISNUMBER(SEARCH(Assumptions!$C$7,E3505)),Assumptions!$D$7,"Other Services"))),"Other Services"))</f>
        <v/>
      </c>
    </row>
    <row r="3506" customFormat="false" ht="15" hidden="false" customHeight="false" outlineLevel="0" collapsed="false">
      <c r="G3506" s="41" t="str">
        <f aca="false">IF(E3506="","",IFERROR(IF(ISNUMBER(SEARCH(Assumptions!$C$5,E3506)),Assumptions!$D$5,IF(ISNUMBER(SEARCH(Assumptions!$C$6,E3506)),Assumptions!$D$6,IF(ISNUMBER(SEARCH(Assumptions!$C$7,E3506)),Assumptions!$D$7,"Other Services"))),"Other Services"))</f>
        <v/>
      </c>
    </row>
    <row r="3507" customFormat="false" ht="15" hidden="false" customHeight="false" outlineLevel="0" collapsed="false">
      <c r="G3507" s="41" t="str">
        <f aca="false">IF(E3507="","",IFERROR(IF(ISNUMBER(SEARCH(Assumptions!$C$5,E3507)),Assumptions!$D$5,IF(ISNUMBER(SEARCH(Assumptions!$C$6,E3507)),Assumptions!$D$6,IF(ISNUMBER(SEARCH(Assumptions!$C$7,E3507)),Assumptions!$D$7,"Other Services"))),"Other Services"))</f>
        <v/>
      </c>
    </row>
    <row r="3508" customFormat="false" ht="15" hidden="false" customHeight="false" outlineLevel="0" collapsed="false">
      <c r="G3508" s="41" t="str">
        <f aca="false">IF(E3508="","",IFERROR(IF(ISNUMBER(SEARCH(Assumptions!$C$5,E3508)),Assumptions!$D$5,IF(ISNUMBER(SEARCH(Assumptions!$C$6,E3508)),Assumptions!$D$6,IF(ISNUMBER(SEARCH(Assumptions!$C$7,E3508)),Assumptions!$D$7,"Other Services"))),"Other Services"))</f>
        <v/>
      </c>
    </row>
    <row r="3509" customFormat="false" ht="15" hidden="false" customHeight="false" outlineLevel="0" collapsed="false">
      <c r="G3509" s="41" t="str">
        <f aca="false">IF(E3509="","",IFERROR(IF(ISNUMBER(SEARCH(Assumptions!$C$5,E3509)),Assumptions!$D$5,IF(ISNUMBER(SEARCH(Assumptions!$C$6,E3509)),Assumptions!$D$6,IF(ISNUMBER(SEARCH(Assumptions!$C$7,E3509)),Assumptions!$D$7,"Other Services"))),"Other Services"))</f>
        <v/>
      </c>
    </row>
    <row r="3510" customFormat="false" ht="15" hidden="false" customHeight="false" outlineLevel="0" collapsed="false">
      <c r="G3510" s="41" t="str">
        <f aca="false">IF(E3510="","",IFERROR(IF(ISNUMBER(SEARCH(Assumptions!$C$5,E3510)),Assumptions!$D$5,IF(ISNUMBER(SEARCH(Assumptions!$C$6,E3510)),Assumptions!$D$6,IF(ISNUMBER(SEARCH(Assumptions!$C$7,E3510)),Assumptions!$D$7,"Other Services"))),"Other Services"))</f>
        <v/>
      </c>
    </row>
    <row r="3511" customFormat="false" ht="15" hidden="false" customHeight="false" outlineLevel="0" collapsed="false">
      <c r="G3511" s="41" t="str">
        <f aca="false">IF(E3511="","",IFERROR(IF(ISNUMBER(SEARCH(Assumptions!$C$5,E3511)),Assumptions!$D$5,IF(ISNUMBER(SEARCH(Assumptions!$C$6,E3511)),Assumptions!$D$6,IF(ISNUMBER(SEARCH(Assumptions!$C$7,E3511)),Assumptions!$D$7,"Other Services"))),"Other Services"))</f>
        <v/>
      </c>
    </row>
    <row r="3512" customFormat="false" ht="15" hidden="false" customHeight="false" outlineLevel="0" collapsed="false">
      <c r="G3512" s="41" t="str">
        <f aca="false">IF(E3512="","",IFERROR(IF(ISNUMBER(SEARCH(Assumptions!$C$5,E3512)),Assumptions!$D$5,IF(ISNUMBER(SEARCH(Assumptions!$C$6,E3512)),Assumptions!$D$6,IF(ISNUMBER(SEARCH(Assumptions!$C$7,E3512)),Assumptions!$D$7,"Other Services"))),"Other Services"))</f>
        <v/>
      </c>
    </row>
    <row r="3513" customFormat="false" ht="15" hidden="false" customHeight="false" outlineLevel="0" collapsed="false">
      <c r="G3513" s="41" t="str">
        <f aca="false">IF(E3513="","",IFERROR(IF(ISNUMBER(SEARCH(Assumptions!$C$5,E3513)),Assumptions!$D$5,IF(ISNUMBER(SEARCH(Assumptions!$C$6,E3513)),Assumptions!$D$6,IF(ISNUMBER(SEARCH(Assumptions!$C$7,E3513)),Assumptions!$D$7,"Other Services"))),"Other Services"))</f>
        <v/>
      </c>
    </row>
    <row r="3514" customFormat="false" ht="15" hidden="false" customHeight="false" outlineLevel="0" collapsed="false">
      <c r="G3514" s="41" t="str">
        <f aca="false">IF(E3514="","",IFERROR(IF(ISNUMBER(SEARCH(Assumptions!$C$5,E3514)),Assumptions!$D$5,IF(ISNUMBER(SEARCH(Assumptions!$C$6,E3514)),Assumptions!$D$6,IF(ISNUMBER(SEARCH(Assumptions!$C$7,E3514)),Assumptions!$D$7,"Other Services"))),"Other Services"))</f>
        <v/>
      </c>
    </row>
    <row r="3515" customFormat="false" ht="15" hidden="false" customHeight="false" outlineLevel="0" collapsed="false">
      <c r="G3515" s="41" t="str">
        <f aca="false">IF(E3515="","",IFERROR(IF(ISNUMBER(SEARCH(Assumptions!$C$5,E3515)),Assumptions!$D$5,IF(ISNUMBER(SEARCH(Assumptions!$C$6,E3515)),Assumptions!$D$6,IF(ISNUMBER(SEARCH(Assumptions!$C$7,E3515)),Assumptions!$D$7,"Other Services"))),"Other Services"))</f>
        <v/>
      </c>
    </row>
    <row r="3516" customFormat="false" ht="15" hidden="false" customHeight="false" outlineLevel="0" collapsed="false">
      <c r="G3516" s="41" t="str">
        <f aca="false">IF(E3516="","",IFERROR(IF(ISNUMBER(SEARCH(Assumptions!$C$5,E3516)),Assumptions!$D$5,IF(ISNUMBER(SEARCH(Assumptions!$C$6,E3516)),Assumptions!$D$6,IF(ISNUMBER(SEARCH(Assumptions!$C$7,E3516)),Assumptions!$D$7,"Other Services"))),"Other Services"))</f>
        <v/>
      </c>
    </row>
    <row r="3517" customFormat="false" ht="15" hidden="false" customHeight="false" outlineLevel="0" collapsed="false">
      <c r="G3517" s="41" t="str">
        <f aca="false">IF(E3517="","",IFERROR(IF(ISNUMBER(SEARCH(Assumptions!$C$5,E3517)),Assumptions!$D$5,IF(ISNUMBER(SEARCH(Assumptions!$C$6,E3517)),Assumptions!$D$6,IF(ISNUMBER(SEARCH(Assumptions!$C$7,E3517)),Assumptions!$D$7,"Other Services"))),"Other Services"))</f>
        <v/>
      </c>
    </row>
    <row r="3518" customFormat="false" ht="15" hidden="false" customHeight="false" outlineLevel="0" collapsed="false">
      <c r="G3518" s="41" t="str">
        <f aca="false">IF(E3518="","",IFERROR(IF(ISNUMBER(SEARCH(Assumptions!$C$5,E3518)),Assumptions!$D$5,IF(ISNUMBER(SEARCH(Assumptions!$C$6,E3518)),Assumptions!$D$6,IF(ISNUMBER(SEARCH(Assumptions!$C$7,E3518)),Assumptions!$D$7,"Other Services"))),"Other Services"))</f>
        <v/>
      </c>
    </row>
    <row r="3519" customFormat="false" ht="15" hidden="false" customHeight="false" outlineLevel="0" collapsed="false">
      <c r="G3519" s="41" t="str">
        <f aca="false">IF(E3519="","",IFERROR(IF(ISNUMBER(SEARCH(Assumptions!$C$5,E3519)),Assumptions!$D$5,IF(ISNUMBER(SEARCH(Assumptions!$C$6,E3519)),Assumptions!$D$6,IF(ISNUMBER(SEARCH(Assumptions!$C$7,E3519)),Assumptions!$D$7,"Other Services"))),"Other Services"))</f>
        <v/>
      </c>
    </row>
    <row r="3520" customFormat="false" ht="15" hidden="false" customHeight="false" outlineLevel="0" collapsed="false">
      <c r="G3520" s="41" t="str">
        <f aca="false">IF(E3520="","",IFERROR(IF(ISNUMBER(SEARCH(Assumptions!$C$5,E3520)),Assumptions!$D$5,IF(ISNUMBER(SEARCH(Assumptions!$C$6,E3520)),Assumptions!$D$6,IF(ISNUMBER(SEARCH(Assumptions!$C$7,E3520)),Assumptions!$D$7,"Other Services"))),"Other Services"))</f>
        <v/>
      </c>
    </row>
    <row r="3521" customFormat="false" ht="15" hidden="false" customHeight="false" outlineLevel="0" collapsed="false">
      <c r="G3521" s="41" t="str">
        <f aca="false">IF(E3521="","",IFERROR(IF(ISNUMBER(SEARCH(Assumptions!$C$5,E3521)),Assumptions!$D$5,IF(ISNUMBER(SEARCH(Assumptions!$C$6,E3521)),Assumptions!$D$6,IF(ISNUMBER(SEARCH(Assumptions!$C$7,E3521)),Assumptions!$D$7,"Other Services"))),"Other Services"))</f>
        <v/>
      </c>
    </row>
    <row r="3522" customFormat="false" ht="15" hidden="false" customHeight="false" outlineLevel="0" collapsed="false">
      <c r="G3522" s="41" t="str">
        <f aca="false">IF(E3522="","",IFERROR(IF(ISNUMBER(SEARCH(Assumptions!$C$5,E3522)),Assumptions!$D$5,IF(ISNUMBER(SEARCH(Assumptions!$C$6,E3522)),Assumptions!$D$6,IF(ISNUMBER(SEARCH(Assumptions!$C$7,E3522)),Assumptions!$D$7,"Other Services"))),"Other Services"))</f>
        <v/>
      </c>
    </row>
    <row r="3523" customFormat="false" ht="15" hidden="false" customHeight="false" outlineLevel="0" collapsed="false">
      <c r="G3523" s="41" t="str">
        <f aca="false">IF(E3523="","",IFERROR(IF(ISNUMBER(SEARCH(Assumptions!$C$5,E3523)),Assumptions!$D$5,IF(ISNUMBER(SEARCH(Assumptions!$C$6,E3523)),Assumptions!$D$6,IF(ISNUMBER(SEARCH(Assumptions!$C$7,E3523)),Assumptions!$D$7,"Other Services"))),"Other Services"))</f>
        <v/>
      </c>
    </row>
    <row r="3524" customFormat="false" ht="15" hidden="false" customHeight="false" outlineLevel="0" collapsed="false">
      <c r="G3524" s="41" t="str">
        <f aca="false">IF(E3524="","",IFERROR(IF(ISNUMBER(SEARCH(Assumptions!$C$5,E3524)),Assumptions!$D$5,IF(ISNUMBER(SEARCH(Assumptions!$C$6,E3524)),Assumptions!$D$6,IF(ISNUMBER(SEARCH(Assumptions!$C$7,E3524)),Assumptions!$D$7,"Other Services"))),"Other Services"))</f>
        <v/>
      </c>
    </row>
    <row r="3525" customFormat="false" ht="15" hidden="false" customHeight="false" outlineLevel="0" collapsed="false">
      <c r="G3525" s="41" t="str">
        <f aca="false">IF(E3525="","",IFERROR(IF(ISNUMBER(SEARCH(Assumptions!$C$5,E3525)),Assumptions!$D$5,IF(ISNUMBER(SEARCH(Assumptions!$C$6,E3525)),Assumptions!$D$6,IF(ISNUMBER(SEARCH(Assumptions!$C$7,E3525)),Assumptions!$D$7,"Other Services"))),"Other Services"))</f>
        <v/>
      </c>
    </row>
    <row r="3526" customFormat="false" ht="15" hidden="false" customHeight="false" outlineLevel="0" collapsed="false">
      <c r="G3526" s="41" t="str">
        <f aca="false">IF(E3526="","",IFERROR(IF(ISNUMBER(SEARCH(Assumptions!$C$5,E3526)),Assumptions!$D$5,IF(ISNUMBER(SEARCH(Assumptions!$C$6,E3526)),Assumptions!$D$6,IF(ISNUMBER(SEARCH(Assumptions!$C$7,E3526)),Assumptions!$D$7,"Other Services"))),"Other Services"))</f>
        <v/>
      </c>
    </row>
    <row r="3527" customFormat="false" ht="15" hidden="false" customHeight="false" outlineLevel="0" collapsed="false">
      <c r="G3527" s="41" t="str">
        <f aca="false">IF(E3527="","",IFERROR(IF(ISNUMBER(SEARCH(Assumptions!$C$5,E3527)),Assumptions!$D$5,IF(ISNUMBER(SEARCH(Assumptions!$C$6,E3527)),Assumptions!$D$6,IF(ISNUMBER(SEARCH(Assumptions!$C$7,E3527)),Assumptions!$D$7,"Other Services"))),"Other Services"))</f>
        <v/>
      </c>
    </row>
    <row r="3528" customFormat="false" ht="15" hidden="false" customHeight="false" outlineLevel="0" collapsed="false">
      <c r="G3528" s="41" t="str">
        <f aca="false">IF(E3528="","",IFERROR(IF(ISNUMBER(SEARCH(Assumptions!$C$5,E3528)),Assumptions!$D$5,IF(ISNUMBER(SEARCH(Assumptions!$C$6,E3528)),Assumptions!$D$6,IF(ISNUMBER(SEARCH(Assumptions!$C$7,E3528)),Assumptions!$D$7,"Other Services"))),"Other Services"))</f>
        <v/>
      </c>
    </row>
    <row r="3529" customFormat="false" ht="15" hidden="false" customHeight="false" outlineLevel="0" collapsed="false">
      <c r="G3529" s="41" t="str">
        <f aca="false">IF(E3529="","",IFERROR(IF(ISNUMBER(SEARCH(Assumptions!$C$5,E3529)),Assumptions!$D$5,IF(ISNUMBER(SEARCH(Assumptions!$C$6,E3529)),Assumptions!$D$6,IF(ISNUMBER(SEARCH(Assumptions!$C$7,E3529)),Assumptions!$D$7,"Other Services"))),"Other Services"))</f>
        <v/>
      </c>
    </row>
    <row r="3530" customFormat="false" ht="15" hidden="false" customHeight="false" outlineLevel="0" collapsed="false">
      <c r="G3530" s="41" t="str">
        <f aca="false">IF(E3530="","",IFERROR(IF(ISNUMBER(SEARCH(Assumptions!$C$5,E3530)),Assumptions!$D$5,IF(ISNUMBER(SEARCH(Assumptions!$C$6,E3530)),Assumptions!$D$6,IF(ISNUMBER(SEARCH(Assumptions!$C$7,E3530)),Assumptions!$D$7,"Other Services"))),"Other Services"))</f>
        <v/>
      </c>
    </row>
    <row r="3531" customFormat="false" ht="15" hidden="false" customHeight="false" outlineLevel="0" collapsed="false">
      <c r="G3531" s="41" t="str">
        <f aca="false">IF(E3531="","",IFERROR(IF(ISNUMBER(SEARCH(Assumptions!$C$5,E3531)),Assumptions!$D$5,IF(ISNUMBER(SEARCH(Assumptions!$C$6,E3531)),Assumptions!$D$6,IF(ISNUMBER(SEARCH(Assumptions!$C$7,E3531)),Assumptions!$D$7,"Other Services"))),"Other Services"))</f>
        <v/>
      </c>
    </row>
    <row r="3532" customFormat="false" ht="15" hidden="false" customHeight="false" outlineLevel="0" collapsed="false">
      <c r="G3532" s="41" t="str">
        <f aca="false">IF(E3532="","",IFERROR(IF(ISNUMBER(SEARCH(Assumptions!$C$5,E3532)),Assumptions!$D$5,IF(ISNUMBER(SEARCH(Assumptions!$C$6,E3532)),Assumptions!$D$6,IF(ISNUMBER(SEARCH(Assumptions!$C$7,E3532)),Assumptions!$D$7,"Other Services"))),"Other Services"))</f>
        <v/>
      </c>
    </row>
    <row r="3533" customFormat="false" ht="15" hidden="false" customHeight="false" outlineLevel="0" collapsed="false">
      <c r="G3533" s="41" t="str">
        <f aca="false">IF(E3533="","",IFERROR(IF(ISNUMBER(SEARCH(Assumptions!$C$5,E3533)),Assumptions!$D$5,IF(ISNUMBER(SEARCH(Assumptions!$C$6,E3533)),Assumptions!$D$6,IF(ISNUMBER(SEARCH(Assumptions!$C$7,E3533)),Assumptions!$D$7,"Other Services"))),"Other Services"))</f>
        <v/>
      </c>
    </row>
    <row r="3534" customFormat="false" ht="15" hidden="false" customHeight="false" outlineLevel="0" collapsed="false">
      <c r="G3534" s="41" t="str">
        <f aca="false">IF(E3534="","",IFERROR(IF(ISNUMBER(SEARCH(Assumptions!$C$5,E3534)),Assumptions!$D$5,IF(ISNUMBER(SEARCH(Assumptions!$C$6,E3534)),Assumptions!$D$6,IF(ISNUMBER(SEARCH(Assumptions!$C$7,E3534)),Assumptions!$D$7,"Other Services"))),"Other Services"))</f>
        <v/>
      </c>
    </row>
    <row r="3535" customFormat="false" ht="15" hidden="false" customHeight="false" outlineLevel="0" collapsed="false">
      <c r="G3535" s="41" t="str">
        <f aca="false">IF(E3535="","",IFERROR(IF(ISNUMBER(SEARCH(Assumptions!$C$5,E3535)),Assumptions!$D$5,IF(ISNUMBER(SEARCH(Assumptions!$C$6,E3535)),Assumptions!$D$6,IF(ISNUMBER(SEARCH(Assumptions!$C$7,E3535)),Assumptions!$D$7,"Other Services"))),"Other Services"))</f>
        <v/>
      </c>
    </row>
    <row r="3536" customFormat="false" ht="15" hidden="false" customHeight="false" outlineLevel="0" collapsed="false">
      <c r="G3536" s="41" t="str">
        <f aca="false">IF(E3536="","",IFERROR(IF(ISNUMBER(SEARCH(Assumptions!$C$5,E3536)),Assumptions!$D$5,IF(ISNUMBER(SEARCH(Assumptions!$C$6,E3536)),Assumptions!$D$6,IF(ISNUMBER(SEARCH(Assumptions!$C$7,E3536)),Assumptions!$D$7,"Other Services"))),"Other Services"))</f>
        <v/>
      </c>
    </row>
    <row r="3537" customFormat="false" ht="15" hidden="false" customHeight="false" outlineLevel="0" collapsed="false">
      <c r="G3537" s="41" t="str">
        <f aca="false">IF(E3537="","",IFERROR(IF(ISNUMBER(SEARCH(Assumptions!$C$5,E3537)),Assumptions!$D$5,IF(ISNUMBER(SEARCH(Assumptions!$C$6,E3537)),Assumptions!$D$6,IF(ISNUMBER(SEARCH(Assumptions!$C$7,E3537)),Assumptions!$D$7,"Other Services"))),"Other Services"))</f>
        <v/>
      </c>
    </row>
    <row r="3538" customFormat="false" ht="15" hidden="false" customHeight="false" outlineLevel="0" collapsed="false">
      <c r="G3538" s="41" t="str">
        <f aca="false">IF(E3538="","",IFERROR(IF(ISNUMBER(SEARCH(Assumptions!$C$5,E3538)),Assumptions!$D$5,IF(ISNUMBER(SEARCH(Assumptions!$C$6,E3538)),Assumptions!$D$6,IF(ISNUMBER(SEARCH(Assumptions!$C$7,E3538)),Assumptions!$D$7,"Other Services"))),"Other Services"))</f>
        <v/>
      </c>
    </row>
    <row r="3539" customFormat="false" ht="15" hidden="false" customHeight="false" outlineLevel="0" collapsed="false">
      <c r="G3539" s="41" t="str">
        <f aca="false">IF(E3539="","",IFERROR(IF(ISNUMBER(SEARCH(Assumptions!$C$5,E3539)),Assumptions!$D$5,IF(ISNUMBER(SEARCH(Assumptions!$C$6,E3539)),Assumptions!$D$6,IF(ISNUMBER(SEARCH(Assumptions!$C$7,E3539)),Assumptions!$D$7,"Other Services"))),"Other Services"))</f>
        <v/>
      </c>
    </row>
    <row r="3540" customFormat="false" ht="15" hidden="false" customHeight="false" outlineLevel="0" collapsed="false">
      <c r="G3540" s="41" t="str">
        <f aca="false">IF(E3540="","",IFERROR(IF(ISNUMBER(SEARCH(Assumptions!$C$5,E3540)),Assumptions!$D$5,IF(ISNUMBER(SEARCH(Assumptions!$C$6,E3540)),Assumptions!$D$6,IF(ISNUMBER(SEARCH(Assumptions!$C$7,E3540)),Assumptions!$D$7,"Other Services"))),"Other Services"))</f>
        <v/>
      </c>
    </row>
    <row r="3541" customFormat="false" ht="15" hidden="false" customHeight="false" outlineLevel="0" collapsed="false">
      <c r="G3541" s="41" t="str">
        <f aca="false">IF(E3541="","",IFERROR(IF(ISNUMBER(SEARCH(Assumptions!$C$5,E3541)),Assumptions!$D$5,IF(ISNUMBER(SEARCH(Assumptions!$C$6,E3541)),Assumptions!$D$6,IF(ISNUMBER(SEARCH(Assumptions!$C$7,E3541)),Assumptions!$D$7,"Other Services"))),"Other Services"))</f>
        <v/>
      </c>
    </row>
    <row r="3542" customFormat="false" ht="15" hidden="false" customHeight="false" outlineLevel="0" collapsed="false">
      <c r="G3542" s="41" t="str">
        <f aca="false">IF(E3542="","",IFERROR(IF(ISNUMBER(SEARCH(Assumptions!$C$5,E3542)),Assumptions!$D$5,IF(ISNUMBER(SEARCH(Assumptions!$C$6,E3542)),Assumptions!$D$6,IF(ISNUMBER(SEARCH(Assumptions!$C$7,E3542)),Assumptions!$D$7,"Other Services"))),"Other Services"))</f>
        <v/>
      </c>
    </row>
    <row r="3543" customFormat="false" ht="15" hidden="false" customHeight="false" outlineLevel="0" collapsed="false">
      <c r="G3543" s="41" t="str">
        <f aca="false">IF(E3543="","",IFERROR(IF(ISNUMBER(SEARCH(Assumptions!$C$5,E3543)),Assumptions!$D$5,IF(ISNUMBER(SEARCH(Assumptions!$C$6,E3543)),Assumptions!$D$6,IF(ISNUMBER(SEARCH(Assumptions!$C$7,E3543)),Assumptions!$D$7,"Other Services"))),"Other Services"))</f>
        <v/>
      </c>
    </row>
    <row r="3544" customFormat="false" ht="15" hidden="false" customHeight="false" outlineLevel="0" collapsed="false">
      <c r="G3544" s="41" t="str">
        <f aca="false">IF(E3544="","",IFERROR(IF(ISNUMBER(SEARCH(Assumptions!$C$5,E3544)),Assumptions!$D$5,IF(ISNUMBER(SEARCH(Assumptions!$C$6,E3544)),Assumptions!$D$6,IF(ISNUMBER(SEARCH(Assumptions!$C$7,E3544)),Assumptions!$D$7,"Other Services"))),"Other Services"))</f>
        <v/>
      </c>
    </row>
    <row r="3545" customFormat="false" ht="15" hidden="false" customHeight="false" outlineLevel="0" collapsed="false">
      <c r="G3545" s="41" t="str">
        <f aca="false">IF(E3545="","",IFERROR(IF(ISNUMBER(SEARCH(Assumptions!$C$5,E3545)),Assumptions!$D$5,IF(ISNUMBER(SEARCH(Assumptions!$C$6,E3545)),Assumptions!$D$6,IF(ISNUMBER(SEARCH(Assumptions!$C$7,E3545)),Assumptions!$D$7,"Other Services"))),"Other Services"))</f>
        <v/>
      </c>
    </row>
    <row r="3546" customFormat="false" ht="15" hidden="false" customHeight="false" outlineLevel="0" collapsed="false">
      <c r="G3546" s="41" t="str">
        <f aca="false">IF(E3546="","",IFERROR(IF(ISNUMBER(SEARCH(Assumptions!$C$5,E3546)),Assumptions!$D$5,IF(ISNUMBER(SEARCH(Assumptions!$C$6,E3546)),Assumptions!$D$6,IF(ISNUMBER(SEARCH(Assumptions!$C$7,E3546)),Assumptions!$D$7,"Other Services"))),"Other Services"))</f>
        <v/>
      </c>
    </row>
    <row r="3547" customFormat="false" ht="15" hidden="false" customHeight="false" outlineLevel="0" collapsed="false">
      <c r="G3547" s="41" t="str">
        <f aca="false">IF(E3547="","",IFERROR(IF(ISNUMBER(SEARCH(Assumptions!$C$5,E3547)),Assumptions!$D$5,IF(ISNUMBER(SEARCH(Assumptions!$C$6,E3547)),Assumptions!$D$6,IF(ISNUMBER(SEARCH(Assumptions!$C$7,E3547)),Assumptions!$D$7,"Other Services"))),"Other Services"))</f>
        <v/>
      </c>
    </row>
    <row r="3548" customFormat="false" ht="15" hidden="false" customHeight="false" outlineLevel="0" collapsed="false">
      <c r="G3548" s="41" t="str">
        <f aca="false">IF(E3548="","",IFERROR(IF(ISNUMBER(SEARCH(Assumptions!$C$5,E3548)),Assumptions!$D$5,IF(ISNUMBER(SEARCH(Assumptions!$C$6,E3548)),Assumptions!$D$6,IF(ISNUMBER(SEARCH(Assumptions!$C$7,E3548)),Assumptions!$D$7,"Other Services"))),"Other Services"))</f>
        <v/>
      </c>
    </row>
    <row r="3549" customFormat="false" ht="15" hidden="false" customHeight="false" outlineLevel="0" collapsed="false">
      <c r="G3549" s="41" t="str">
        <f aca="false">IF(E3549="","",IFERROR(IF(ISNUMBER(SEARCH(Assumptions!$C$5,E3549)),Assumptions!$D$5,IF(ISNUMBER(SEARCH(Assumptions!$C$6,E3549)),Assumptions!$D$6,IF(ISNUMBER(SEARCH(Assumptions!$C$7,E3549)),Assumptions!$D$7,"Other Services"))),"Other Services"))</f>
        <v/>
      </c>
    </row>
    <row r="3550" customFormat="false" ht="15" hidden="false" customHeight="false" outlineLevel="0" collapsed="false">
      <c r="G3550" s="41" t="str">
        <f aca="false">IF(E3550="","",IFERROR(IF(ISNUMBER(SEARCH(Assumptions!$C$5,E3550)),Assumptions!$D$5,IF(ISNUMBER(SEARCH(Assumptions!$C$6,E3550)),Assumptions!$D$6,IF(ISNUMBER(SEARCH(Assumptions!$C$7,E3550)),Assumptions!$D$7,"Other Services"))),"Other Services"))</f>
        <v/>
      </c>
    </row>
    <row r="3551" customFormat="false" ht="15" hidden="false" customHeight="false" outlineLevel="0" collapsed="false">
      <c r="G3551" s="41" t="str">
        <f aca="false">IF(E3551="","",IFERROR(IF(ISNUMBER(SEARCH(Assumptions!$C$5,E3551)),Assumptions!$D$5,IF(ISNUMBER(SEARCH(Assumptions!$C$6,E3551)),Assumptions!$D$6,IF(ISNUMBER(SEARCH(Assumptions!$C$7,E3551)),Assumptions!$D$7,"Other Services"))),"Other Services"))</f>
        <v/>
      </c>
    </row>
    <row r="3552" customFormat="false" ht="15" hidden="false" customHeight="false" outlineLevel="0" collapsed="false">
      <c r="G3552" s="41" t="str">
        <f aca="false">IF(E3552="","",IFERROR(IF(ISNUMBER(SEARCH(Assumptions!$C$5,E3552)),Assumptions!$D$5,IF(ISNUMBER(SEARCH(Assumptions!$C$6,E3552)),Assumptions!$D$6,IF(ISNUMBER(SEARCH(Assumptions!$C$7,E3552)),Assumptions!$D$7,"Other Services"))),"Other Services"))</f>
        <v/>
      </c>
    </row>
    <row r="3553" customFormat="false" ht="15" hidden="false" customHeight="false" outlineLevel="0" collapsed="false">
      <c r="G3553" s="41" t="str">
        <f aca="false">IF(E3553="","",IFERROR(IF(ISNUMBER(SEARCH(Assumptions!$C$5,E3553)),Assumptions!$D$5,IF(ISNUMBER(SEARCH(Assumptions!$C$6,E3553)),Assumptions!$D$6,IF(ISNUMBER(SEARCH(Assumptions!$C$7,E3553)),Assumptions!$D$7,"Other Services"))),"Other Services"))</f>
        <v/>
      </c>
    </row>
    <row r="3554" customFormat="false" ht="15" hidden="false" customHeight="false" outlineLevel="0" collapsed="false">
      <c r="G3554" s="41" t="str">
        <f aca="false">IF(E3554="","",IFERROR(IF(ISNUMBER(SEARCH(Assumptions!$C$5,E3554)),Assumptions!$D$5,IF(ISNUMBER(SEARCH(Assumptions!$C$6,E3554)),Assumptions!$D$6,IF(ISNUMBER(SEARCH(Assumptions!$C$7,E3554)),Assumptions!$D$7,"Other Services"))),"Other Services"))</f>
        <v/>
      </c>
    </row>
    <row r="3555" customFormat="false" ht="15" hidden="false" customHeight="false" outlineLevel="0" collapsed="false">
      <c r="G3555" s="41" t="str">
        <f aca="false">IF(E3555="","",IFERROR(IF(ISNUMBER(SEARCH(Assumptions!$C$5,E3555)),Assumptions!$D$5,IF(ISNUMBER(SEARCH(Assumptions!$C$6,E3555)),Assumptions!$D$6,IF(ISNUMBER(SEARCH(Assumptions!$C$7,E3555)),Assumptions!$D$7,"Other Services"))),"Other Services"))</f>
        <v/>
      </c>
    </row>
    <row r="3556" customFormat="false" ht="15" hidden="false" customHeight="false" outlineLevel="0" collapsed="false">
      <c r="G3556" s="41" t="str">
        <f aca="false">IF(E3556="","",IFERROR(IF(ISNUMBER(SEARCH(Assumptions!$C$5,E3556)),Assumptions!$D$5,IF(ISNUMBER(SEARCH(Assumptions!$C$6,E3556)),Assumptions!$D$6,IF(ISNUMBER(SEARCH(Assumptions!$C$7,E3556)),Assumptions!$D$7,"Other Services"))),"Other Services"))</f>
        <v/>
      </c>
    </row>
    <row r="3557" customFormat="false" ht="15" hidden="false" customHeight="false" outlineLevel="0" collapsed="false">
      <c r="G3557" s="41" t="str">
        <f aca="false">IF(E3557="","",IFERROR(IF(ISNUMBER(SEARCH(Assumptions!$C$5,E3557)),Assumptions!$D$5,IF(ISNUMBER(SEARCH(Assumptions!$C$6,E3557)),Assumptions!$D$6,IF(ISNUMBER(SEARCH(Assumptions!$C$7,E3557)),Assumptions!$D$7,"Other Services"))),"Other Services"))</f>
        <v/>
      </c>
    </row>
    <row r="3558" customFormat="false" ht="15" hidden="false" customHeight="false" outlineLevel="0" collapsed="false">
      <c r="G3558" s="41" t="str">
        <f aca="false">IF(E3558="","",IFERROR(IF(ISNUMBER(SEARCH(Assumptions!$C$5,E3558)),Assumptions!$D$5,IF(ISNUMBER(SEARCH(Assumptions!$C$6,E3558)),Assumptions!$D$6,IF(ISNUMBER(SEARCH(Assumptions!$C$7,E3558)),Assumptions!$D$7,"Other Services"))),"Other Services"))</f>
        <v/>
      </c>
    </row>
    <row r="3559" customFormat="false" ht="15" hidden="false" customHeight="false" outlineLevel="0" collapsed="false">
      <c r="G3559" s="41" t="str">
        <f aca="false">IF(E3559="","",IFERROR(IF(ISNUMBER(SEARCH(Assumptions!$C$5,E3559)),Assumptions!$D$5,IF(ISNUMBER(SEARCH(Assumptions!$C$6,E3559)),Assumptions!$D$6,IF(ISNUMBER(SEARCH(Assumptions!$C$7,E3559)),Assumptions!$D$7,"Other Services"))),"Other Services"))</f>
        <v/>
      </c>
    </row>
    <row r="3560" customFormat="false" ht="15" hidden="false" customHeight="false" outlineLevel="0" collapsed="false">
      <c r="G3560" s="41" t="str">
        <f aca="false">IF(E3560="","",IFERROR(IF(ISNUMBER(SEARCH(Assumptions!$C$5,E3560)),Assumptions!$D$5,IF(ISNUMBER(SEARCH(Assumptions!$C$6,E3560)),Assumptions!$D$6,IF(ISNUMBER(SEARCH(Assumptions!$C$7,E3560)),Assumptions!$D$7,"Other Services"))),"Other Services"))</f>
        <v/>
      </c>
    </row>
    <row r="3561" customFormat="false" ht="15" hidden="false" customHeight="false" outlineLevel="0" collapsed="false">
      <c r="G3561" s="41" t="str">
        <f aca="false">IF(E3561="","",IFERROR(IF(ISNUMBER(SEARCH(Assumptions!$C$5,E3561)),Assumptions!$D$5,IF(ISNUMBER(SEARCH(Assumptions!$C$6,E3561)),Assumptions!$D$6,IF(ISNUMBER(SEARCH(Assumptions!$C$7,E3561)),Assumptions!$D$7,"Other Services"))),"Other Services"))</f>
        <v/>
      </c>
    </row>
    <row r="3562" customFormat="false" ht="15" hidden="false" customHeight="false" outlineLevel="0" collapsed="false">
      <c r="G3562" s="41" t="str">
        <f aca="false">IF(E3562="","",IFERROR(IF(ISNUMBER(SEARCH(Assumptions!$C$5,E3562)),Assumptions!$D$5,IF(ISNUMBER(SEARCH(Assumptions!$C$6,E3562)),Assumptions!$D$6,IF(ISNUMBER(SEARCH(Assumptions!$C$7,E3562)),Assumptions!$D$7,"Other Services"))),"Other Services"))</f>
        <v/>
      </c>
    </row>
    <row r="3563" customFormat="false" ht="15" hidden="false" customHeight="false" outlineLevel="0" collapsed="false">
      <c r="G3563" s="41" t="str">
        <f aca="false">IF(E3563="","",IFERROR(IF(ISNUMBER(SEARCH(Assumptions!$C$5,E3563)),Assumptions!$D$5,IF(ISNUMBER(SEARCH(Assumptions!$C$6,E3563)),Assumptions!$D$6,IF(ISNUMBER(SEARCH(Assumptions!$C$7,E3563)),Assumptions!$D$7,"Other Services"))),"Other Services"))</f>
        <v/>
      </c>
    </row>
    <row r="3564" customFormat="false" ht="15" hidden="false" customHeight="false" outlineLevel="0" collapsed="false">
      <c r="G3564" s="41" t="str">
        <f aca="false">IF(E3564="","",IFERROR(IF(ISNUMBER(SEARCH(Assumptions!$C$5,E3564)),Assumptions!$D$5,IF(ISNUMBER(SEARCH(Assumptions!$C$6,E3564)),Assumptions!$D$6,IF(ISNUMBER(SEARCH(Assumptions!$C$7,E3564)),Assumptions!$D$7,"Other Services"))),"Other Services"))</f>
        <v/>
      </c>
    </row>
    <row r="3565" customFormat="false" ht="15" hidden="false" customHeight="false" outlineLevel="0" collapsed="false">
      <c r="G3565" s="41" t="str">
        <f aca="false">IF(E3565="","",IFERROR(IF(ISNUMBER(SEARCH(Assumptions!$C$5,E3565)),Assumptions!$D$5,IF(ISNUMBER(SEARCH(Assumptions!$C$6,E3565)),Assumptions!$D$6,IF(ISNUMBER(SEARCH(Assumptions!$C$7,E3565)),Assumptions!$D$7,"Other Services"))),"Other Services"))</f>
        <v/>
      </c>
    </row>
    <row r="3566" customFormat="false" ht="15" hidden="false" customHeight="false" outlineLevel="0" collapsed="false">
      <c r="G3566" s="41" t="str">
        <f aca="false">IF(E3566="","",IFERROR(IF(ISNUMBER(SEARCH(Assumptions!$C$5,E3566)),Assumptions!$D$5,IF(ISNUMBER(SEARCH(Assumptions!$C$6,E3566)),Assumptions!$D$6,IF(ISNUMBER(SEARCH(Assumptions!$C$7,E3566)),Assumptions!$D$7,"Other Services"))),"Other Services"))</f>
        <v/>
      </c>
    </row>
    <row r="3567" customFormat="false" ht="15" hidden="false" customHeight="false" outlineLevel="0" collapsed="false">
      <c r="G3567" s="41" t="str">
        <f aca="false">IF(E3567="","",IFERROR(IF(ISNUMBER(SEARCH(Assumptions!$C$5,E3567)),Assumptions!$D$5,IF(ISNUMBER(SEARCH(Assumptions!$C$6,E3567)),Assumptions!$D$6,IF(ISNUMBER(SEARCH(Assumptions!$C$7,E3567)),Assumptions!$D$7,"Other Services"))),"Other Services"))</f>
        <v/>
      </c>
    </row>
    <row r="3568" customFormat="false" ht="15" hidden="false" customHeight="false" outlineLevel="0" collapsed="false">
      <c r="G3568" s="41" t="str">
        <f aca="false">IF(E3568="","",IFERROR(IF(ISNUMBER(SEARCH(Assumptions!$C$5,E3568)),Assumptions!$D$5,IF(ISNUMBER(SEARCH(Assumptions!$C$6,E3568)),Assumptions!$D$6,IF(ISNUMBER(SEARCH(Assumptions!$C$7,E3568)),Assumptions!$D$7,"Other Services"))),"Other Services"))</f>
        <v/>
      </c>
    </row>
    <row r="3569" customFormat="false" ht="15" hidden="false" customHeight="false" outlineLevel="0" collapsed="false">
      <c r="G3569" s="41" t="str">
        <f aca="false">IF(E3569="","",IFERROR(IF(ISNUMBER(SEARCH(Assumptions!$C$5,E3569)),Assumptions!$D$5,IF(ISNUMBER(SEARCH(Assumptions!$C$6,E3569)),Assumptions!$D$6,IF(ISNUMBER(SEARCH(Assumptions!$C$7,E3569)),Assumptions!$D$7,"Other Services"))),"Other Services"))</f>
        <v/>
      </c>
    </row>
    <row r="3570" customFormat="false" ht="15" hidden="false" customHeight="false" outlineLevel="0" collapsed="false">
      <c r="G3570" s="41" t="str">
        <f aca="false">IF(E3570="","",IFERROR(IF(ISNUMBER(SEARCH(Assumptions!$C$5,E3570)),Assumptions!$D$5,IF(ISNUMBER(SEARCH(Assumptions!$C$6,E3570)),Assumptions!$D$6,IF(ISNUMBER(SEARCH(Assumptions!$C$7,E3570)),Assumptions!$D$7,"Other Services"))),"Other Services"))</f>
        <v/>
      </c>
    </row>
    <row r="3571" customFormat="false" ht="15" hidden="false" customHeight="false" outlineLevel="0" collapsed="false">
      <c r="G3571" s="41" t="str">
        <f aca="false">IF(E3571="","",IFERROR(IF(ISNUMBER(SEARCH(Assumptions!$C$5,E3571)),Assumptions!$D$5,IF(ISNUMBER(SEARCH(Assumptions!$C$6,E3571)),Assumptions!$D$6,IF(ISNUMBER(SEARCH(Assumptions!$C$7,E3571)),Assumptions!$D$7,"Other Services"))),"Other Services"))</f>
        <v/>
      </c>
    </row>
    <row r="3572" customFormat="false" ht="15" hidden="false" customHeight="false" outlineLevel="0" collapsed="false">
      <c r="G3572" s="41" t="str">
        <f aca="false">IF(E3572="","",IFERROR(IF(ISNUMBER(SEARCH(Assumptions!$C$5,E3572)),Assumptions!$D$5,IF(ISNUMBER(SEARCH(Assumptions!$C$6,E3572)),Assumptions!$D$6,IF(ISNUMBER(SEARCH(Assumptions!$C$7,E3572)),Assumptions!$D$7,"Other Services"))),"Other Services"))</f>
        <v/>
      </c>
    </row>
    <row r="3573" customFormat="false" ht="15" hidden="false" customHeight="false" outlineLevel="0" collapsed="false">
      <c r="G3573" s="41" t="str">
        <f aca="false">IF(E3573="","",IFERROR(IF(ISNUMBER(SEARCH(Assumptions!$C$5,E3573)),Assumptions!$D$5,IF(ISNUMBER(SEARCH(Assumptions!$C$6,E3573)),Assumptions!$D$6,IF(ISNUMBER(SEARCH(Assumptions!$C$7,E3573)),Assumptions!$D$7,"Other Services"))),"Other Services"))</f>
        <v/>
      </c>
    </row>
    <row r="3574" customFormat="false" ht="15" hidden="false" customHeight="false" outlineLevel="0" collapsed="false">
      <c r="G3574" s="41" t="str">
        <f aca="false">IF(E3574="","",IFERROR(IF(ISNUMBER(SEARCH(Assumptions!$C$5,E3574)),Assumptions!$D$5,IF(ISNUMBER(SEARCH(Assumptions!$C$6,E3574)),Assumptions!$D$6,IF(ISNUMBER(SEARCH(Assumptions!$C$7,E3574)),Assumptions!$D$7,"Other Services"))),"Other Services"))</f>
        <v/>
      </c>
    </row>
    <row r="3575" customFormat="false" ht="15" hidden="false" customHeight="false" outlineLevel="0" collapsed="false">
      <c r="G3575" s="41" t="str">
        <f aca="false">IF(E3575="","",IFERROR(IF(ISNUMBER(SEARCH(Assumptions!$C$5,E3575)),Assumptions!$D$5,IF(ISNUMBER(SEARCH(Assumptions!$C$6,E3575)),Assumptions!$D$6,IF(ISNUMBER(SEARCH(Assumptions!$C$7,E3575)),Assumptions!$D$7,"Other Services"))),"Other Services"))</f>
        <v/>
      </c>
    </row>
    <row r="3576" customFormat="false" ht="15" hidden="false" customHeight="false" outlineLevel="0" collapsed="false">
      <c r="G3576" s="41" t="str">
        <f aca="false">IF(E3576="","",IFERROR(IF(ISNUMBER(SEARCH(Assumptions!$C$5,E3576)),Assumptions!$D$5,IF(ISNUMBER(SEARCH(Assumptions!$C$6,E3576)),Assumptions!$D$6,IF(ISNUMBER(SEARCH(Assumptions!$C$7,E3576)),Assumptions!$D$7,"Other Services"))),"Other Services"))</f>
        <v/>
      </c>
    </row>
    <row r="3577" customFormat="false" ht="15" hidden="false" customHeight="false" outlineLevel="0" collapsed="false">
      <c r="G3577" s="41" t="str">
        <f aca="false">IF(E3577="","",IFERROR(IF(ISNUMBER(SEARCH(Assumptions!$C$5,E3577)),Assumptions!$D$5,IF(ISNUMBER(SEARCH(Assumptions!$C$6,E3577)),Assumptions!$D$6,IF(ISNUMBER(SEARCH(Assumptions!$C$7,E3577)),Assumptions!$D$7,"Other Services"))),"Other Services"))</f>
        <v/>
      </c>
    </row>
    <row r="3578" customFormat="false" ht="15" hidden="false" customHeight="false" outlineLevel="0" collapsed="false">
      <c r="G3578" s="41" t="str">
        <f aca="false">IF(E3578="","",IFERROR(IF(ISNUMBER(SEARCH(Assumptions!$C$5,E3578)),Assumptions!$D$5,IF(ISNUMBER(SEARCH(Assumptions!$C$6,E3578)),Assumptions!$D$6,IF(ISNUMBER(SEARCH(Assumptions!$C$7,E3578)),Assumptions!$D$7,"Other Services"))),"Other Services"))</f>
        <v/>
      </c>
    </row>
    <row r="3579" customFormat="false" ht="15" hidden="false" customHeight="false" outlineLevel="0" collapsed="false">
      <c r="G3579" s="41" t="str">
        <f aca="false">IF(E3579="","",IFERROR(IF(ISNUMBER(SEARCH(Assumptions!$C$5,E3579)),Assumptions!$D$5,IF(ISNUMBER(SEARCH(Assumptions!$C$6,E3579)),Assumptions!$D$6,IF(ISNUMBER(SEARCH(Assumptions!$C$7,E3579)),Assumptions!$D$7,"Other Services"))),"Other Services"))</f>
        <v/>
      </c>
    </row>
    <row r="3580" customFormat="false" ht="15" hidden="false" customHeight="false" outlineLevel="0" collapsed="false">
      <c r="G3580" s="41" t="str">
        <f aca="false">IF(E3580="","",IFERROR(IF(ISNUMBER(SEARCH(Assumptions!$C$5,E3580)),Assumptions!$D$5,IF(ISNUMBER(SEARCH(Assumptions!$C$6,E3580)),Assumptions!$D$6,IF(ISNUMBER(SEARCH(Assumptions!$C$7,E3580)),Assumptions!$D$7,"Other Services"))),"Other Services"))</f>
        <v/>
      </c>
    </row>
    <row r="3581" customFormat="false" ht="15" hidden="false" customHeight="false" outlineLevel="0" collapsed="false">
      <c r="G3581" s="41" t="str">
        <f aca="false">IF(E3581="","",IFERROR(IF(ISNUMBER(SEARCH(Assumptions!$C$5,E3581)),Assumptions!$D$5,IF(ISNUMBER(SEARCH(Assumptions!$C$6,E3581)),Assumptions!$D$6,IF(ISNUMBER(SEARCH(Assumptions!$C$7,E3581)),Assumptions!$D$7,"Other Services"))),"Other Services"))</f>
        <v/>
      </c>
    </row>
    <row r="3582" customFormat="false" ht="15" hidden="false" customHeight="false" outlineLevel="0" collapsed="false">
      <c r="G3582" s="41" t="str">
        <f aca="false">IF(E3582="","",IFERROR(IF(ISNUMBER(SEARCH(Assumptions!$C$5,E3582)),Assumptions!$D$5,IF(ISNUMBER(SEARCH(Assumptions!$C$6,E3582)),Assumptions!$D$6,IF(ISNUMBER(SEARCH(Assumptions!$C$7,E3582)),Assumptions!$D$7,"Other Services"))),"Other Services"))</f>
        <v/>
      </c>
    </row>
    <row r="3583" customFormat="false" ht="15" hidden="false" customHeight="false" outlineLevel="0" collapsed="false">
      <c r="G3583" s="41" t="str">
        <f aca="false">IF(E3583="","",IFERROR(IF(ISNUMBER(SEARCH(Assumptions!$C$5,E3583)),Assumptions!$D$5,IF(ISNUMBER(SEARCH(Assumptions!$C$6,E3583)),Assumptions!$D$6,IF(ISNUMBER(SEARCH(Assumptions!$C$7,E3583)),Assumptions!$D$7,"Other Services"))),"Other Services"))</f>
        <v/>
      </c>
    </row>
    <row r="3584" customFormat="false" ht="15" hidden="false" customHeight="false" outlineLevel="0" collapsed="false">
      <c r="G3584" s="41" t="str">
        <f aca="false">IF(E3584="","",IFERROR(IF(ISNUMBER(SEARCH(Assumptions!$C$5,E3584)),Assumptions!$D$5,IF(ISNUMBER(SEARCH(Assumptions!$C$6,E3584)),Assumptions!$D$6,IF(ISNUMBER(SEARCH(Assumptions!$C$7,E3584)),Assumptions!$D$7,"Other Services"))),"Other Services"))</f>
        <v/>
      </c>
    </row>
    <row r="3585" customFormat="false" ht="15" hidden="false" customHeight="false" outlineLevel="0" collapsed="false">
      <c r="G3585" s="41" t="str">
        <f aca="false">IF(E3585="","",IFERROR(IF(ISNUMBER(SEARCH(Assumptions!$C$5,E3585)),Assumptions!$D$5,IF(ISNUMBER(SEARCH(Assumptions!$C$6,E3585)),Assumptions!$D$6,IF(ISNUMBER(SEARCH(Assumptions!$C$7,E3585)),Assumptions!$D$7,"Other Services"))),"Other Services"))</f>
        <v/>
      </c>
    </row>
    <row r="3586" customFormat="false" ht="15" hidden="false" customHeight="false" outlineLevel="0" collapsed="false">
      <c r="G3586" s="41" t="str">
        <f aca="false">IF(E3586="","",IFERROR(IF(ISNUMBER(SEARCH(Assumptions!$C$5,E3586)),Assumptions!$D$5,IF(ISNUMBER(SEARCH(Assumptions!$C$6,E3586)),Assumptions!$D$6,IF(ISNUMBER(SEARCH(Assumptions!$C$7,E3586)),Assumptions!$D$7,"Other Services"))),"Other Services"))</f>
        <v/>
      </c>
    </row>
    <row r="3587" customFormat="false" ht="15" hidden="false" customHeight="false" outlineLevel="0" collapsed="false">
      <c r="G3587" s="41" t="str">
        <f aca="false">IF(E3587="","",IFERROR(IF(ISNUMBER(SEARCH(Assumptions!$C$5,E3587)),Assumptions!$D$5,IF(ISNUMBER(SEARCH(Assumptions!$C$6,E3587)),Assumptions!$D$6,IF(ISNUMBER(SEARCH(Assumptions!$C$7,E3587)),Assumptions!$D$7,"Other Services"))),"Other Services"))</f>
        <v/>
      </c>
    </row>
    <row r="3588" customFormat="false" ht="15" hidden="false" customHeight="false" outlineLevel="0" collapsed="false">
      <c r="G3588" s="41" t="str">
        <f aca="false">IF(E3588="","",IFERROR(IF(ISNUMBER(SEARCH(Assumptions!$C$5,E3588)),Assumptions!$D$5,IF(ISNUMBER(SEARCH(Assumptions!$C$6,E3588)),Assumptions!$D$6,IF(ISNUMBER(SEARCH(Assumptions!$C$7,E3588)),Assumptions!$D$7,"Other Services"))),"Other Services"))</f>
        <v/>
      </c>
    </row>
    <row r="3589" customFormat="false" ht="15" hidden="false" customHeight="false" outlineLevel="0" collapsed="false">
      <c r="G3589" s="41" t="str">
        <f aca="false">IF(E3589="","",IFERROR(IF(ISNUMBER(SEARCH(Assumptions!$C$5,E3589)),Assumptions!$D$5,IF(ISNUMBER(SEARCH(Assumptions!$C$6,E3589)),Assumptions!$D$6,IF(ISNUMBER(SEARCH(Assumptions!$C$7,E3589)),Assumptions!$D$7,"Other Services"))),"Other Services"))</f>
        <v/>
      </c>
    </row>
    <row r="3590" customFormat="false" ht="15" hidden="false" customHeight="false" outlineLevel="0" collapsed="false">
      <c r="G3590" s="41" t="str">
        <f aca="false">IF(E3590="","",IFERROR(IF(ISNUMBER(SEARCH(Assumptions!$C$5,E3590)),Assumptions!$D$5,IF(ISNUMBER(SEARCH(Assumptions!$C$6,E3590)),Assumptions!$D$6,IF(ISNUMBER(SEARCH(Assumptions!$C$7,E3590)),Assumptions!$D$7,"Other Services"))),"Other Services"))</f>
        <v/>
      </c>
    </row>
    <row r="3591" customFormat="false" ht="15" hidden="false" customHeight="false" outlineLevel="0" collapsed="false">
      <c r="G3591" s="41" t="str">
        <f aca="false">IF(E3591="","",IFERROR(IF(ISNUMBER(SEARCH(Assumptions!$C$5,E3591)),Assumptions!$D$5,IF(ISNUMBER(SEARCH(Assumptions!$C$6,E3591)),Assumptions!$D$6,IF(ISNUMBER(SEARCH(Assumptions!$C$7,E3591)),Assumptions!$D$7,"Other Services"))),"Other Services"))</f>
        <v/>
      </c>
    </row>
    <row r="3592" customFormat="false" ht="15" hidden="false" customHeight="false" outlineLevel="0" collapsed="false">
      <c r="G3592" s="41" t="str">
        <f aca="false">IF(E3592="","",IFERROR(IF(ISNUMBER(SEARCH(Assumptions!$C$5,E3592)),Assumptions!$D$5,IF(ISNUMBER(SEARCH(Assumptions!$C$6,E3592)),Assumptions!$D$6,IF(ISNUMBER(SEARCH(Assumptions!$C$7,E3592)),Assumptions!$D$7,"Other Services"))),"Other Services"))</f>
        <v/>
      </c>
    </row>
    <row r="3593" customFormat="false" ht="15" hidden="false" customHeight="false" outlineLevel="0" collapsed="false">
      <c r="G3593" s="41" t="str">
        <f aca="false">IF(E3593="","",IFERROR(IF(ISNUMBER(SEARCH(Assumptions!$C$5,E3593)),Assumptions!$D$5,IF(ISNUMBER(SEARCH(Assumptions!$C$6,E3593)),Assumptions!$D$6,IF(ISNUMBER(SEARCH(Assumptions!$C$7,E3593)),Assumptions!$D$7,"Other Services"))),"Other Services"))</f>
        <v/>
      </c>
    </row>
    <row r="3594" customFormat="false" ht="15" hidden="false" customHeight="false" outlineLevel="0" collapsed="false">
      <c r="G3594" s="41" t="str">
        <f aca="false">IF(E3594="","",IFERROR(IF(ISNUMBER(SEARCH(Assumptions!$C$5,E3594)),Assumptions!$D$5,IF(ISNUMBER(SEARCH(Assumptions!$C$6,E3594)),Assumptions!$D$6,IF(ISNUMBER(SEARCH(Assumptions!$C$7,E3594)),Assumptions!$D$7,"Other Services"))),"Other Services"))</f>
        <v/>
      </c>
    </row>
    <row r="3595" customFormat="false" ht="15" hidden="false" customHeight="false" outlineLevel="0" collapsed="false">
      <c r="G3595" s="41" t="str">
        <f aca="false">IF(E3595="","",IFERROR(IF(ISNUMBER(SEARCH(Assumptions!$C$5,E3595)),Assumptions!$D$5,IF(ISNUMBER(SEARCH(Assumptions!$C$6,E3595)),Assumptions!$D$6,IF(ISNUMBER(SEARCH(Assumptions!$C$7,E3595)),Assumptions!$D$7,"Other Services"))),"Other Services"))</f>
        <v/>
      </c>
    </row>
    <row r="3596" customFormat="false" ht="15" hidden="false" customHeight="false" outlineLevel="0" collapsed="false">
      <c r="G3596" s="41" t="str">
        <f aca="false">IF(E3596="","",IFERROR(IF(ISNUMBER(SEARCH(Assumptions!$C$5,E3596)),Assumptions!$D$5,IF(ISNUMBER(SEARCH(Assumptions!$C$6,E3596)),Assumptions!$D$6,IF(ISNUMBER(SEARCH(Assumptions!$C$7,E3596)),Assumptions!$D$7,"Other Services"))),"Other Services"))</f>
        <v/>
      </c>
    </row>
    <row r="3597" customFormat="false" ht="15" hidden="false" customHeight="false" outlineLevel="0" collapsed="false">
      <c r="G3597" s="41" t="str">
        <f aca="false">IF(E3597="","",IFERROR(IF(ISNUMBER(SEARCH(Assumptions!$C$5,E3597)),Assumptions!$D$5,IF(ISNUMBER(SEARCH(Assumptions!$C$6,E3597)),Assumptions!$D$6,IF(ISNUMBER(SEARCH(Assumptions!$C$7,E3597)),Assumptions!$D$7,"Other Services"))),"Other Services"))</f>
        <v/>
      </c>
    </row>
    <row r="3598" customFormat="false" ht="15" hidden="false" customHeight="false" outlineLevel="0" collapsed="false">
      <c r="G3598" s="41" t="str">
        <f aca="false">IF(E3598="","",IFERROR(IF(ISNUMBER(SEARCH(Assumptions!$C$5,E3598)),Assumptions!$D$5,IF(ISNUMBER(SEARCH(Assumptions!$C$6,E3598)),Assumptions!$D$6,IF(ISNUMBER(SEARCH(Assumptions!$C$7,E3598)),Assumptions!$D$7,"Other Services"))),"Other Services"))</f>
        <v/>
      </c>
    </row>
    <row r="3599" customFormat="false" ht="15" hidden="false" customHeight="false" outlineLevel="0" collapsed="false">
      <c r="G3599" s="41" t="str">
        <f aca="false">IF(E3599="","",IFERROR(IF(ISNUMBER(SEARCH(Assumptions!$C$5,E3599)),Assumptions!$D$5,IF(ISNUMBER(SEARCH(Assumptions!$C$6,E3599)),Assumptions!$D$6,IF(ISNUMBER(SEARCH(Assumptions!$C$7,E3599)),Assumptions!$D$7,"Other Services"))),"Other Services"))</f>
        <v/>
      </c>
    </row>
    <row r="3600" customFormat="false" ht="15" hidden="false" customHeight="false" outlineLevel="0" collapsed="false">
      <c r="G3600" s="41" t="str">
        <f aca="false">IF(E3600="","",IFERROR(IF(ISNUMBER(SEARCH(Assumptions!$C$5,E3600)),Assumptions!$D$5,IF(ISNUMBER(SEARCH(Assumptions!$C$6,E3600)),Assumptions!$D$6,IF(ISNUMBER(SEARCH(Assumptions!$C$7,E3600)),Assumptions!$D$7,"Other Services"))),"Other Services"))</f>
        <v/>
      </c>
    </row>
    <row r="3601" customFormat="false" ht="15" hidden="false" customHeight="false" outlineLevel="0" collapsed="false">
      <c r="G3601" s="41" t="str">
        <f aca="false">IF(E3601="","",IFERROR(IF(ISNUMBER(SEARCH(Assumptions!$C$5,E3601)),Assumptions!$D$5,IF(ISNUMBER(SEARCH(Assumptions!$C$6,E3601)),Assumptions!$D$6,IF(ISNUMBER(SEARCH(Assumptions!$C$7,E3601)),Assumptions!$D$7,"Other Services"))),"Other Services"))</f>
        <v/>
      </c>
    </row>
    <row r="3602" customFormat="false" ht="15" hidden="false" customHeight="false" outlineLevel="0" collapsed="false">
      <c r="G3602" s="41" t="str">
        <f aca="false">IF(E3602="","",IFERROR(IF(ISNUMBER(SEARCH(Assumptions!$C$5,E3602)),Assumptions!$D$5,IF(ISNUMBER(SEARCH(Assumptions!$C$6,E3602)),Assumptions!$D$6,IF(ISNUMBER(SEARCH(Assumptions!$C$7,E3602)),Assumptions!$D$7,"Other Services"))),"Other Services"))</f>
        <v/>
      </c>
    </row>
    <row r="3603" customFormat="false" ht="15" hidden="false" customHeight="false" outlineLevel="0" collapsed="false">
      <c r="G3603" s="41" t="str">
        <f aca="false">IF(E3603="","",IFERROR(IF(ISNUMBER(SEARCH(Assumptions!$C$5,E3603)),Assumptions!$D$5,IF(ISNUMBER(SEARCH(Assumptions!$C$6,E3603)),Assumptions!$D$6,IF(ISNUMBER(SEARCH(Assumptions!$C$7,E3603)),Assumptions!$D$7,"Other Services"))),"Other Services"))</f>
        <v/>
      </c>
    </row>
    <row r="3604" customFormat="false" ht="15" hidden="false" customHeight="false" outlineLevel="0" collapsed="false">
      <c r="G3604" s="41" t="str">
        <f aca="false">IF(E3604="","",IFERROR(IF(ISNUMBER(SEARCH(Assumptions!$C$5,E3604)),Assumptions!$D$5,IF(ISNUMBER(SEARCH(Assumptions!$C$6,E3604)),Assumptions!$D$6,IF(ISNUMBER(SEARCH(Assumptions!$C$7,E3604)),Assumptions!$D$7,"Other Services"))),"Other Services"))</f>
        <v/>
      </c>
    </row>
    <row r="3605" customFormat="false" ht="15" hidden="false" customHeight="false" outlineLevel="0" collapsed="false">
      <c r="G3605" s="41" t="str">
        <f aca="false">IF(E3605="","",IFERROR(IF(ISNUMBER(SEARCH(Assumptions!$C$5,E3605)),Assumptions!$D$5,IF(ISNUMBER(SEARCH(Assumptions!$C$6,E3605)),Assumptions!$D$6,IF(ISNUMBER(SEARCH(Assumptions!$C$7,E3605)),Assumptions!$D$7,"Other Services"))),"Other Services"))</f>
        <v/>
      </c>
    </row>
    <row r="3606" customFormat="false" ht="15" hidden="false" customHeight="false" outlineLevel="0" collapsed="false">
      <c r="G3606" s="41" t="str">
        <f aca="false">IF(E3606="","",IFERROR(IF(ISNUMBER(SEARCH(Assumptions!$C$5,E3606)),Assumptions!$D$5,IF(ISNUMBER(SEARCH(Assumptions!$C$6,E3606)),Assumptions!$D$6,IF(ISNUMBER(SEARCH(Assumptions!$C$7,E3606)),Assumptions!$D$7,"Other Services"))),"Other Services"))</f>
        <v/>
      </c>
    </row>
    <row r="3607" customFormat="false" ht="15" hidden="false" customHeight="false" outlineLevel="0" collapsed="false">
      <c r="G3607" s="41" t="str">
        <f aca="false">IF(E3607="","",IFERROR(IF(ISNUMBER(SEARCH(Assumptions!$C$5,E3607)),Assumptions!$D$5,IF(ISNUMBER(SEARCH(Assumptions!$C$6,E3607)),Assumptions!$D$6,IF(ISNUMBER(SEARCH(Assumptions!$C$7,E3607)),Assumptions!$D$7,"Other Services"))),"Other Services"))</f>
        <v/>
      </c>
    </row>
    <row r="3608" customFormat="false" ht="15" hidden="false" customHeight="false" outlineLevel="0" collapsed="false">
      <c r="G3608" s="41" t="str">
        <f aca="false">IF(E3608="","",IFERROR(IF(ISNUMBER(SEARCH(Assumptions!$C$5,E3608)),Assumptions!$D$5,IF(ISNUMBER(SEARCH(Assumptions!$C$6,E3608)),Assumptions!$D$6,IF(ISNUMBER(SEARCH(Assumptions!$C$7,E3608)),Assumptions!$D$7,"Other Services"))),"Other Services"))</f>
        <v/>
      </c>
    </row>
    <row r="3609" customFormat="false" ht="15" hidden="false" customHeight="false" outlineLevel="0" collapsed="false">
      <c r="G3609" s="41" t="str">
        <f aca="false">IF(E3609="","",IFERROR(IF(ISNUMBER(SEARCH(Assumptions!$C$5,E3609)),Assumptions!$D$5,IF(ISNUMBER(SEARCH(Assumptions!$C$6,E3609)),Assumptions!$D$6,IF(ISNUMBER(SEARCH(Assumptions!$C$7,E3609)),Assumptions!$D$7,"Other Services"))),"Other Services"))</f>
        <v/>
      </c>
    </row>
    <row r="3610" customFormat="false" ht="15" hidden="false" customHeight="false" outlineLevel="0" collapsed="false">
      <c r="G3610" s="41" t="str">
        <f aca="false">IF(E3610="","",IFERROR(IF(ISNUMBER(SEARCH(Assumptions!$C$5,E3610)),Assumptions!$D$5,IF(ISNUMBER(SEARCH(Assumptions!$C$6,E3610)),Assumptions!$D$6,IF(ISNUMBER(SEARCH(Assumptions!$C$7,E3610)),Assumptions!$D$7,"Other Services"))),"Other Services"))</f>
        <v/>
      </c>
    </row>
    <row r="3611" customFormat="false" ht="15" hidden="false" customHeight="false" outlineLevel="0" collapsed="false">
      <c r="G3611" s="41" t="str">
        <f aca="false">IF(E3611="","",IFERROR(IF(ISNUMBER(SEARCH(Assumptions!$C$5,E3611)),Assumptions!$D$5,IF(ISNUMBER(SEARCH(Assumptions!$C$6,E3611)),Assumptions!$D$6,IF(ISNUMBER(SEARCH(Assumptions!$C$7,E3611)),Assumptions!$D$7,"Other Services"))),"Other Services"))</f>
        <v/>
      </c>
    </row>
    <row r="3612" customFormat="false" ht="15" hidden="false" customHeight="false" outlineLevel="0" collapsed="false">
      <c r="G3612" s="41" t="str">
        <f aca="false">IF(E3612="","",IFERROR(IF(ISNUMBER(SEARCH(Assumptions!$C$5,E3612)),Assumptions!$D$5,IF(ISNUMBER(SEARCH(Assumptions!$C$6,E3612)),Assumptions!$D$6,IF(ISNUMBER(SEARCH(Assumptions!$C$7,E3612)),Assumptions!$D$7,"Other Services"))),"Other Services"))</f>
        <v/>
      </c>
    </row>
    <row r="3613" customFormat="false" ht="15" hidden="false" customHeight="false" outlineLevel="0" collapsed="false">
      <c r="G3613" s="41" t="str">
        <f aca="false">IF(E3613="","",IFERROR(IF(ISNUMBER(SEARCH(Assumptions!$C$5,E3613)),Assumptions!$D$5,IF(ISNUMBER(SEARCH(Assumptions!$C$6,E3613)),Assumptions!$D$6,IF(ISNUMBER(SEARCH(Assumptions!$C$7,E3613)),Assumptions!$D$7,"Other Services"))),"Other Services"))</f>
        <v/>
      </c>
    </row>
    <row r="3614" customFormat="false" ht="15" hidden="false" customHeight="false" outlineLevel="0" collapsed="false">
      <c r="G3614" s="41" t="str">
        <f aca="false">IF(E3614="","",IFERROR(IF(ISNUMBER(SEARCH(Assumptions!$C$5,E3614)),Assumptions!$D$5,IF(ISNUMBER(SEARCH(Assumptions!$C$6,E3614)),Assumptions!$D$6,IF(ISNUMBER(SEARCH(Assumptions!$C$7,E3614)),Assumptions!$D$7,"Other Services"))),"Other Services"))</f>
        <v/>
      </c>
    </row>
    <row r="3615" customFormat="false" ht="15" hidden="false" customHeight="false" outlineLevel="0" collapsed="false">
      <c r="G3615" s="41" t="str">
        <f aca="false">IF(E3615="","",IFERROR(IF(ISNUMBER(SEARCH(Assumptions!$C$5,E3615)),Assumptions!$D$5,IF(ISNUMBER(SEARCH(Assumptions!$C$6,E3615)),Assumptions!$D$6,IF(ISNUMBER(SEARCH(Assumptions!$C$7,E3615)),Assumptions!$D$7,"Other Services"))),"Other Services"))</f>
        <v/>
      </c>
    </row>
    <row r="3616" customFormat="false" ht="15" hidden="false" customHeight="false" outlineLevel="0" collapsed="false">
      <c r="G3616" s="41" t="str">
        <f aca="false">IF(E3616="","",IFERROR(IF(ISNUMBER(SEARCH(Assumptions!$C$5,E3616)),Assumptions!$D$5,IF(ISNUMBER(SEARCH(Assumptions!$C$6,E3616)),Assumptions!$D$6,IF(ISNUMBER(SEARCH(Assumptions!$C$7,E3616)),Assumptions!$D$7,"Other Services"))),"Other Services"))</f>
        <v/>
      </c>
    </row>
    <row r="3617" customFormat="false" ht="15" hidden="false" customHeight="false" outlineLevel="0" collapsed="false">
      <c r="G3617" s="41" t="str">
        <f aca="false">IF(E3617="","",IFERROR(IF(ISNUMBER(SEARCH(Assumptions!$C$5,E3617)),Assumptions!$D$5,IF(ISNUMBER(SEARCH(Assumptions!$C$6,E3617)),Assumptions!$D$6,IF(ISNUMBER(SEARCH(Assumptions!$C$7,E3617)),Assumptions!$D$7,"Other Services"))),"Other Services"))</f>
        <v/>
      </c>
    </row>
    <row r="3618" customFormat="false" ht="15" hidden="false" customHeight="false" outlineLevel="0" collapsed="false">
      <c r="G3618" s="41" t="str">
        <f aca="false">IF(E3618="","",IFERROR(IF(ISNUMBER(SEARCH(Assumptions!$C$5,E3618)),Assumptions!$D$5,IF(ISNUMBER(SEARCH(Assumptions!$C$6,E3618)),Assumptions!$D$6,IF(ISNUMBER(SEARCH(Assumptions!$C$7,E3618)),Assumptions!$D$7,"Other Services"))),"Other Services"))</f>
        <v/>
      </c>
    </row>
    <row r="3619" customFormat="false" ht="15" hidden="false" customHeight="false" outlineLevel="0" collapsed="false">
      <c r="G3619" s="41" t="str">
        <f aca="false">IF(E3619="","",IFERROR(IF(ISNUMBER(SEARCH(Assumptions!$C$5,E3619)),Assumptions!$D$5,IF(ISNUMBER(SEARCH(Assumptions!$C$6,E3619)),Assumptions!$D$6,IF(ISNUMBER(SEARCH(Assumptions!$C$7,E3619)),Assumptions!$D$7,"Other Services"))),"Other Services"))</f>
        <v/>
      </c>
    </row>
    <row r="3620" customFormat="false" ht="15" hidden="false" customHeight="false" outlineLevel="0" collapsed="false">
      <c r="G3620" s="41" t="str">
        <f aca="false">IF(E3620="","",IFERROR(IF(ISNUMBER(SEARCH(Assumptions!$C$5,E3620)),Assumptions!$D$5,IF(ISNUMBER(SEARCH(Assumptions!$C$6,E3620)),Assumptions!$D$6,IF(ISNUMBER(SEARCH(Assumptions!$C$7,E3620)),Assumptions!$D$7,"Other Services"))),"Other Services"))</f>
        <v/>
      </c>
    </row>
    <row r="3621" customFormat="false" ht="15" hidden="false" customHeight="false" outlineLevel="0" collapsed="false">
      <c r="G3621" s="41" t="str">
        <f aca="false">IF(E3621="","",IFERROR(IF(ISNUMBER(SEARCH(Assumptions!$C$5,E3621)),Assumptions!$D$5,IF(ISNUMBER(SEARCH(Assumptions!$C$6,E3621)),Assumptions!$D$6,IF(ISNUMBER(SEARCH(Assumptions!$C$7,E3621)),Assumptions!$D$7,"Other Services"))),"Other Services"))</f>
        <v/>
      </c>
    </row>
    <row r="3622" customFormat="false" ht="15" hidden="false" customHeight="false" outlineLevel="0" collapsed="false">
      <c r="G3622" s="41" t="str">
        <f aca="false">IF(E3622="","",IFERROR(IF(ISNUMBER(SEARCH(Assumptions!$C$5,E3622)),Assumptions!$D$5,IF(ISNUMBER(SEARCH(Assumptions!$C$6,E3622)),Assumptions!$D$6,IF(ISNUMBER(SEARCH(Assumptions!$C$7,E3622)),Assumptions!$D$7,"Other Services"))),"Other Services"))</f>
        <v/>
      </c>
    </row>
    <row r="3623" customFormat="false" ht="15" hidden="false" customHeight="false" outlineLevel="0" collapsed="false">
      <c r="G3623" s="41" t="str">
        <f aca="false">IF(E3623="","",IFERROR(IF(ISNUMBER(SEARCH(Assumptions!$C$5,E3623)),Assumptions!$D$5,IF(ISNUMBER(SEARCH(Assumptions!$C$6,E3623)),Assumptions!$D$6,IF(ISNUMBER(SEARCH(Assumptions!$C$7,E3623)),Assumptions!$D$7,"Other Services"))),"Other Services"))</f>
        <v/>
      </c>
    </row>
    <row r="3624" customFormat="false" ht="15" hidden="false" customHeight="false" outlineLevel="0" collapsed="false">
      <c r="G3624" s="41" t="str">
        <f aca="false">IF(E3624="","",IFERROR(IF(ISNUMBER(SEARCH(Assumptions!$C$5,E3624)),Assumptions!$D$5,IF(ISNUMBER(SEARCH(Assumptions!$C$6,E3624)),Assumptions!$D$6,IF(ISNUMBER(SEARCH(Assumptions!$C$7,E3624)),Assumptions!$D$7,"Other Services"))),"Other Services"))</f>
        <v/>
      </c>
    </row>
    <row r="3625" customFormat="false" ht="15" hidden="false" customHeight="false" outlineLevel="0" collapsed="false">
      <c r="G3625" s="41" t="str">
        <f aca="false">IF(E3625="","",IFERROR(IF(ISNUMBER(SEARCH(Assumptions!$C$5,E3625)),Assumptions!$D$5,IF(ISNUMBER(SEARCH(Assumptions!$C$6,E3625)),Assumptions!$D$6,IF(ISNUMBER(SEARCH(Assumptions!$C$7,E3625)),Assumptions!$D$7,"Other Services"))),"Other Services"))</f>
        <v/>
      </c>
    </row>
    <row r="3626" customFormat="false" ht="15" hidden="false" customHeight="false" outlineLevel="0" collapsed="false">
      <c r="G3626" s="41" t="str">
        <f aca="false">IF(E3626="","",IFERROR(IF(ISNUMBER(SEARCH(Assumptions!$C$5,E3626)),Assumptions!$D$5,IF(ISNUMBER(SEARCH(Assumptions!$C$6,E3626)),Assumptions!$D$6,IF(ISNUMBER(SEARCH(Assumptions!$C$7,E3626)),Assumptions!$D$7,"Other Services"))),"Other Services"))</f>
        <v/>
      </c>
    </row>
    <row r="3627" customFormat="false" ht="15" hidden="false" customHeight="false" outlineLevel="0" collapsed="false">
      <c r="G3627" s="41" t="str">
        <f aca="false">IF(E3627="","",IFERROR(IF(ISNUMBER(SEARCH(Assumptions!$C$5,E3627)),Assumptions!$D$5,IF(ISNUMBER(SEARCH(Assumptions!$C$6,E3627)),Assumptions!$D$6,IF(ISNUMBER(SEARCH(Assumptions!$C$7,E3627)),Assumptions!$D$7,"Other Services"))),"Other Services"))</f>
        <v/>
      </c>
    </row>
    <row r="3628" customFormat="false" ht="15" hidden="false" customHeight="false" outlineLevel="0" collapsed="false">
      <c r="G3628" s="41" t="str">
        <f aca="false">IF(E3628="","",IFERROR(IF(ISNUMBER(SEARCH(Assumptions!$C$5,E3628)),Assumptions!$D$5,IF(ISNUMBER(SEARCH(Assumptions!$C$6,E3628)),Assumptions!$D$6,IF(ISNUMBER(SEARCH(Assumptions!$C$7,E3628)),Assumptions!$D$7,"Other Services"))),"Other Services"))</f>
        <v/>
      </c>
    </row>
    <row r="3629" customFormat="false" ht="15" hidden="false" customHeight="false" outlineLevel="0" collapsed="false">
      <c r="G3629" s="41" t="str">
        <f aca="false">IF(E3629="","",IFERROR(IF(ISNUMBER(SEARCH(Assumptions!$C$5,E3629)),Assumptions!$D$5,IF(ISNUMBER(SEARCH(Assumptions!$C$6,E3629)),Assumptions!$D$6,IF(ISNUMBER(SEARCH(Assumptions!$C$7,E3629)),Assumptions!$D$7,"Other Services"))),"Other Services"))</f>
        <v/>
      </c>
    </row>
    <row r="3630" customFormat="false" ht="15" hidden="false" customHeight="false" outlineLevel="0" collapsed="false">
      <c r="G3630" s="41" t="str">
        <f aca="false">IF(E3630="","",IFERROR(IF(ISNUMBER(SEARCH(Assumptions!$C$5,E3630)),Assumptions!$D$5,IF(ISNUMBER(SEARCH(Assumptions!$C$6,E3630)),Assumptions!$D$6,IF(ISNUMBER(SEARCH(Assumptions!$C$7,E3630)),Assumptions!$D$7,"Other Services"))),"Other Services"))</f>
        <v/>
      </c>
    </row>
    <row r="3631" customFormat="false" ht="15" hidden="false" customHeight="false" outlineLevel="0" collapsed="false">
      <c r="G3631" s="41" t="str">
        <f aca="false">IF(E3631="","",IFERROR(IF(ISNUMBER(SEARCH(Assumptions!$C$5,E3631)),Assumptions!$D$5,IF(ISNUMBER(SEARCH(Assumptions!$C$6,E3631)),Assumptions!$D$6,IF(ISNUMBER(SEARCH(Assumptions!$C$7,E3631)),Assumptions!$D$7,"Other Services"))),"Other Services"))</f>
        <v/>
      </c>
    </row>
    <row r="3632" customFormat="false" ht="15" hidden="false" customHeight="false" outlineLevel="0" collapsed="false">
      <c r="G3632" s="41" t="str">
        <f aca="false">IF(E3632="","",IFERROR(IF(ISNUMBER(SEARCH(Assumptions!$C$5,E3632)),Assumptions!$D$5,IF(ISNUMBER(SEARCH(Assumptions!$C$6,E3632)),Assumptions!$D$6,IF(ISNUMBER(SEARCH(Assumptions!$C$7,E3632)),Assumptions!$D$7,"Other Services"))),"Other Services"))</f>
        <v/>
      </c>
    </row>
    <row r="3633" customFormat="false" ht="15" hidden="false" customHeight="false" outlineLevel="0" collapsed="false">
      <c r="G3633" s="41" t="str">
        <f aca="false">IF(E3633="","",IFERROR(IF(ISNUMBER(SEARCH(Assumptions!$C$5,E3633)),Assumptions!$D$5,IF(ISNUMBER(SEARCH(Assumptions!$C$6,E3633)),Assumptions!$D$6,IF(ISNUMBER(SEARCH(Assumptions!$C$7,E3633)),Assumptions!$D$7,"Other Services"))),"Other Services"))</f>
        <v/>
      </c>
    </row>
    <row r="3634" customFormat="false" ht="15" hidden="false" customHeight="false" outlineLevel="0" collapsed="false">
      <c r="G3634" s="41" t="str">
        <f aca="false">IF(E3634="","",IFERROR(IF(ISNUMBER(SEARCH(Assumptions!$C$5,E3634)),Assumptions!$D$5,IF(ISNUMBER(SEARCH(Assumptions!$C$6,E3634)),Assumptions!$D$6,IF(ISNUMBER(SEARCH(Assumptions!$C$7,E3634)),Assumptions!$D$7,"Other Services"))),"Other Services"))</f>
        <v/>
      </c>
    </row>
    <row r="3635" customFormat="false" ht="15" hidden="false" customHeight="false" outlineLevel="0" collapsed="false">
      <c r="G3635" s="41" t="str">
        <f aca="false">IF(E3635="","",IFERROR(IF(ISNUMBER(SEARCH(Assumptions!$C$5,E3635)),Assumptions!$D$5,IF(ISNUMBER(SEARCH(Assumptions!$C$6,E3635)),Assumptions!$D$6,IF(ISNUMBER(SEARCH(Assumptions!$C$7,E3635)),Assumptions!$D$7,"Other Services"))),"Other Services"))</f>
        <v/>
      </c>
    </row>
    <row r="3636" customFormat="false" ht="15" hidden="false" customHeight="false" outlineLevel="0" collapsed="false">
      <c r="G3636" s="41" t="str">
        <f aca="false">IF(E3636="","",IFERROR(IF(ISNUMBER(SEARCH(Assumptions!$C$5,E3636)),Assumptions!$D$5,IF(ISNUMBER(SEARCH(Assumptions!$C$6,E3636)),Assumptions!$D$6,IF(ISNUMBER(SEARCH(Assumptions!$C$7,E3636)),Assumptions!$D$7,"Other Services"))),"Other Services"))</f>
        <v/>
      </c>
    </row>
    <row r="3637" customFormat="false" ht="15" hidden="false" customHeight="false" outlineLevel="0" collapsed="false">
      <c r="G3637" s="41" t="str">
        <f aca="false">IF(E3637="","",IFERROR(IF(ISNUMBER(SEARCH(Assumptions!$C$5,E3637)),Assumptions!$D$5,IF(ISNUMBER(SEARCH(Assumptions!$C$6,E3637)),Assumptions!$D$6,IF(ISNUMBER(SEARCH(Assumptions!$C$7,E3637)),Assumptions!$D$7,"Other Services"))),"Other Services"))</f>
        <v/>
      </c>
    </row>
    <row r="3638" customFormat="false" ht="15" hidden="false" customHeight="false" outlineLevel="0" collapsed="false">
      <c r="G3638" s="41" t="str">
        <f aca="false">IF(E3638="","",IFERROR(IF(ISNUMBER(SEARCH(Assumptions!$C$5,E3638)),Assumptions!$D$5,IF(ISNUMBER(SEARCH(Assumptions!$C$6,E3638)),Assumptions!$D$6,IF(ISNUMBER(SEARCH(Assumptions!$C$7,E3638)),Assumptions!$D$7,"Other Services"))),"Other Services"))</f>
        <v/>
      </c>
    </row>
    <row r="3639" customFormat="false" ht="15" hidden="false" customHeight="false" outlineLevel="0" collapsed="false">
      <c r="G3639" s="41" t="str">
        <f aca="false">IF(E3639="","",IFERROR(IF(ISNUMBER(SEARCH(Assumptions!$C$5,E3639)),Assumptions!$D$5,IF(ISNUMBER(SEARCH(Assumptions!$C$6,E3639)),Assumptions!$D$6,IF(ISNUMBER(SEARCH(Assumptions!$C$7,E3639)),Assumptions!$D$7,"Other Services"))),"Other Services"))</f>
        <v/>
      </c>
    </row>
    <row r="3640" customFormat="false" ht="15" hidden="false" customHeight="false" outlineLevel="0" collapsed="false">
      <c r="G3640" s="41" t="str">
        <f aca="false">IF(E3640="","",IFERROR(IF(ISNUMBER(SEARCH(Assumptions!$C$5,E3640)),Assumptions!$D$5,IF(ISNUMBER(SEARCH(Assumptions!$C$6,E3640)),Assumptions!$D$6,IF(ISNUMBER(SEARCH(Assumptions!$C$7,E3640)),Assumptions!$D$7,"Other Services"))),"Other Services"))</f>
        <v/>
      </c>
    </row>
    <row r="3641" customFormat="false" ht="15" hidden="false" customHeight="false" outlineLevel="0" collapsed="false">
      <c r="G3641" s="41" t="str">
        <f aca="false">IF(E3641="","",IFERROR(IF(ISNUMBER(SEARCH(Assumptions!$C$5,E3641)),Assumptions!$D$5,IF(ISNUMBER(SEARCH(Assumptions!$C$6,E3641)),Assumptions!$D$6,IF(ISNUMBER(SEARCH(Assumptions!$C$7,E3641)),Assumptions!$D$7,"Other Services"))),"Other Services"))</f>
        <v/>
      </c>
    </row>
    <row r="3642" customFormat="false" ht="15" hidden="false" customHeight="false" outlineLevel="0" collapsed="false">
      <c r="G3642" s="41" t="str">
        <f aca="false">IF(E3642="","",IFERROR(IF(ISNUMBER(SEARCH(Assumptions!$C$5,E3642)),Assumptions!$D$5,IF(ISNUMBER(SEARCH(Assumptions!$C$6,E3642)),Assumptions!$D$6,IF(ISNUMBER(SEARCH(Assumptions!$C$7,E3642)),Assumptions!$D$7,"Other Services"))),"Other Services"))</f>
        <v/>
      </c>
    </row>
    <row r="3643" customFormat="false" ht="15" hidden="false" customHeight="false" outlineLevel="0" collapsed="false">
      <c r="G3643" s="41" t="str">
        <f aca="false">IF(E3643="","",IFERROR(IF(ISNUMBER(SEARCH(Assumptions!$C$5,E3643)),Assumptions!$D$5,IF(ISNUMBER(SEARCH(Assumptions!$C$6,E3643)),Assumptions!$D$6,IF(ISNUMBER(SEARCH(Assumptions!$C$7,E3643)),Assumptions!$D$7,"Other Services"))),"Other Services"))</f>
        <v/>
      </c>
    </row>
    <row r="3644" customFormat="false" ht="15" hidden="false" customHeight="false" outlineLevel="0" collapsed="false">
      <c r="G3644" s="41" t="str">
        <f aca="false">IF(E3644="","",IFERROR(IF(ISNUMBER(SEARCH(Assumptions!$C$5,E3644)),Assumptions!$D$5,IF(ISNUMBER(SEARCH(Assumptions!$C$6,E3644)),Assumptions!$D$6,IF(ISNUMBER(SEARCH(Assumptions!$C$7,E3644)),Assumptions!$D$7,"Other Services"))),"Other Services"))</f>
        <v/>
      </c>
    </row>
    <row r="3645" customFormat="false" ht="15" hidden="false" customHeight="false" outlineLevel="0" collapsed="false">
      <c r="G3645" s="41" t="str">
        <f aca="false">IF(E3645="","",IFERROR(IF(ISNUMBER(SEARCH(Assumptions!$C$5,E3645)),Assumptions!$D$5,IF(ISNUMBER(SEARCH(Assumptions!$C$6,E3645)),Assumptions!$D$6,IF(ISNUMBER(SEARCH(Assumptions!$C$7,E3645)),Assumptions!$D$7,"Other Services"))),"Other Services"))</f>
        <v/>
      </c>
    </row>
    <row r="3646" customFormat="false" ht="15" hidden="false" customHeight="false" outlineLevel="0" collapsed="false">
      <c r="G3646" s="41" t="str">
        <f aca="false">IF(E3646="","",IFERROR(IF(ISNUMBER(SEARCH(Assumptions!$C$5,E3646)),Assumptions!$D$5,IF(ISNUMBER(SEARCH(Assumptions!$C$6,E3646)),Assumptions!$D$6,IF(ISNUMBER(SEARCH(Assumptions!$C$7,E3646)),Assumptions!$D$7,"Other Services"))),"Other Services"))</f>
        <v/>
      </c>
    </row>
    <row r="3647" customFormat="false" ht="15" hidden="false" customHeight="false" outlineLevel="0" collapsed="false">
      <c r="G3647" s="41" t="str">
        <f aca="false">IF(E3647="","",IFERROR(IF(ISNUMBER(SEARCH(Assumptions!$C$5,E3647)),Assumptions!$D$5,IF(ISNUMBER(SEARCH(Assumptions!$C$6,E3647)),Assumptions!$D$6,IF(ISNUMBER(SEARCH(Assumptions!$C$7,E3647)),Assumptions!$D$7,"Other Services"))),"Other Services"))</f>
        <v/>
      </c>
    </row>
    <row r="3648" customFormat="false" ht="15" hidden="false" customHeight="false" outlineLevel="0" collapsed="false">
      <c r="G3648" s="41" t="str">
        <f aca="false">IF(E3648="","",IFERROR(IF(ISNUMBER(SEARCH(Assumptions!$C$5,E3648)),Assumptions!$D$5,IF(ISNUMBER(SEARCH(Assumptions!$C$6,E3648)),Assumptions!$D$6,IF(ISNUMBER(SEARCH(Assumptions!$C$7,E3648)),Assumptions!$D$7,"Other Services"))),"Other Services"))</f>
        <v/>
      </c>
    </row>
    <row r="3649" customFormat="false" ht="15" hidden="false" customHeight="false" outlineLevel="0" collapsed="false">
      <c r="G3649" s="41" t="str">
        <f aca="false">IF(E3649="","",IFERROR(IF(ISNUMBER(SEARCH(Assumptions!$C$5,E3649)),Assumptions!$D$5,IF(ISNUMBER(SEARCH(Assumptions!$C$6,E3649)),Assumptions!$D$6,IF(ISNUMBER(SEARCH(Assumptions!$C$7,E3649)),Assumptions!$D$7,"Other Services"))),"Other Services"))</f>
        <v/>
      </c>
    </row>
    <row r="3650" customFormat="false" ht="15" hidden="false" customHeight="false" outlineLevel="0" collapsed="false">
      <c r="G3650" s="41" t="str">
        <f aca="false">IF(E3650="","",IFERROR(IF(ISNUMBER(SEARCH(Assumptions!$C$5,E3650)),Assumptions!$D$5,IF(ISNUMBER(SEARCH(Assumptions!$C$6,E3650)),Assumptions!$D$6,IF(ISNUMBER(SEARCH(Assumptions!$C$7,E3650)),Assumptions!$D$7,"Other Services"))),"Other Services"))</f>
        <v/>
      </c>
    </row>
    <row r="3651" customFormat="false" ht="15" hidden="false" customHeight="false" outlineLevel="0" collapsed="false">
      <c r="G3651" s="41" t="str">
        <f aca="false">IF(E3651="","",IFERROR(IF(ISNUMBER(SEARCH(Assumptions!$C$5,E3651)),Assumptions!$D$5,IF(ISNUMBER(SEARCH(Assumptions!$C$6,E3651)),Assumptions!$D$6,IF(ISNUMBER(SEARCH(Assumptions!$C$7,E3651)),Assumptions!$D$7,"Other Services"))),"Other Services"))</f>
        <v/>
      </c>
    </row>
    <row r="3652" customFormat="false" ht="15" hidden="false" customHeight="false" outlineLevel="0" collapsed="false">
      <c r="G3652" s="41" t="str">
        <f aca="false">IF(E3652="","",IFERROR(IF(ISNUMBER(SEARCH(Assumptions!$C$5,E3652)),Assumptions!$D$5,IF(ISNUMBER(SEARCH(Assumptions!$C$6,E3652)),Assumptions!$D$6,IF(ISNUMBER(SEARCH(Assumptions!$C$7,E3652)),Assumptions!$D$7,"Other Services"))),"Other Services"))</f>
        <v/>
      </c>
    </row>
    <row r="3653" customFormat="false" ht="15" hidden="false" customHeight="false" outlineLevel="0" collapsed="false">
      <c r="G3653" s="41" t="str">
        <f aca="false">IF(E3653="","",IFERROR(IF(ISNUMBER(SEARCH(Assumptions!$C$5,E3653)),Assumptions!$D$5,IF(ISNUMBER(SEARCH(Assumptions!$C$6,E3653)),Assumptions!$D$6,IF(ISNUMBER(SEARCH(Assumptions!$C$7,E3653)),Assumptions!$D$7,"Other Services"))),"Other Services"))</f>
        <v/>
      </c>
    </row>
    <row r="3654" customFormat="false" ht="15" hidden="false" customHeight="false" outlineLevel="0" collapsed="false">
      <c r="G3654" s="41" t="str">
        <f aca="false">IF(E3654="","",IFERROR(IF(ISNUMBER(SEARCH(Assumptions!$C$5,E3654)),Assumptions!$D$5,IF(ISNUMBER(SEARCH(Assumptions!$C$6,E3654)),Assumptions!$D$6,IF(ISNUMBER(SEARCH(Assumptions!$C$7,E3654)),Assumptions!$D$7,"Other Services"))),"Other Services"))</f>
        <v/>
      </c>
    </row>
    <row r="3655" customFormat="false" ht="15" hidden="false" customHeight="false" outlineLevel="0" collapsed="false">
      <c r="G3655" s="41" t="str">
        <f aca="false">IF(E3655="","",IFERROR(IF(ISNUMBER(SEARCH(Assumptions!$C$5,E3655)),Assumptions!$D$5,IF(ISNUMBER(SEARCH(Assumptions!$C$6,E3655)),Assumptions!$D$6,IF(ISNUMBER(SEARCH(Assumptions!$C$7,E3655)),Assumptions!$D$7,"Other Services"))),"Other Services"))</f>
        <v/>
      </c>
    </row>
    <row r="3656" customFormat="false" ht="15" hidden="false" customHeight="false" outlineLevel="0" collapsed="false">
      <c r="G3656" s="41" t="str">
        <f aca="false">IF(E3656="","",IFERROR(IF(ISNUMBER(SEARCH(Assumptions!$C$5,E3656)),Assumptions!$D$5,IF(ISNUMBER(SEARCH(Assumptions!$C$6,E3656)),Assumptions!$D$6,IF(ISNUMBER(SEARCH(Assumptions!$C$7,E3656)),Assumptions!$D$7,"Other Services"))),"Other Services"))</f>
        <v/>
      </c>
    </row>
    <row r="3657" customFormat="false" ht="15" hidden="false" customHeight="false" outlineLevel="0" collapsed="false">
      <c r="G3657" s="41" t="str">
        <f aca="false">IF(E3657="","",IFERROR(IF(ISNUMBER(SEARCH(Assumptions!$C$5,E3657)),Assumptions!$D$5,IF(ISNUMBER(SEARCH(Assumptions!$C$6,E3657)),Assumptions!$D$6,IF(ISNUMBER(SEARCH(Assumptions!$C$7,E3657)),Assumptions!$D$7,"Other Services"))),"Other Services"))</f>
        <v/>
      </c>
    </row>
    <row r="3658" customFormat="false" ht="15" hidden="false" customHeight="false" outlineLevel="0" collapsed="false">
      <c r="G3658" s="41" t="str">
        <f aca="false">IF(E3658="","",IFERROR(IF(ISNUMBER(SEARCH(Assumptions!$C$5,E3658)),Assumptions!$D$5,IF(ISNUMBER(SEARCH(Assumptions!$C$6,E3658)),Assumptions!$D$6,IF(ISNUMBER(SEARCH(Assumptions!$C$7,E3658)),Assumptions!$D$7,"Other Services"))),"Other Services"))</f>
        <v/>
      </c>
    </row>
    <row r="3659" customFormat="false" ht="15" hidden="false" customHeight="false" outlineLevel="0" collapsed="false">
      <c r="G3659" s="41" t="str">
        <f aca="false">IF(E3659="","",IFERROR(IF(ISNUMBER(SEARCH(Assumptions!$C$5,E3659)),Assumptions!$D$5,IF(ISNUMBER(SEARCH(Assumptions!$C$6,E3659)),Assumptions!$D$6,IF(ISNUMBER(SEARCH(Assumptions!$C$7,E3659)),Assumptions!$D$7,"Other Services"))),"Other Services"))</f>
        <v/>
      </c>
    </row>
    <row r="3660" customFormat="false" ht="15" hidden="false" customHeight="false" outlineLevel="0" collapsed="false">
      <c r="G3660" s="41" t="str">
        <f aca="false">IF(E3660="","",IFERROR(IF(ISNUMBER(SEARCH(Assumptions!$C$5,E3660)),Assumptions!$D$5,IF(ISNUMBER(SEARCH(Assumptions!$C$6,E3660)),Assumptions!$D$6,IF(ISNUMBER(SEARCH(Assumptions!$C$7,E3660)),Assumptions!$D$7,"Other Services"))),"Other Services"))</f>
        <v/>
      </c>
    </row>
    <row r="3661" customFormat="false" ht="15" hidden="false" customHeight="false" outlineLevel="0" collapsed="false">
      <c r="G3661" s="41" t="str">
        <f aca="false">IF(E3661="","",IFERROR(IF(ISNUMBER(SEARCH(Assumptions!$C$5,E3661)),Assumptions!$D$5,IF(ISNUMBER(SEARCH(Assumptions!$C$6,E3661)),Assumptions!$D$6,IF(ISNUMBER(SEARCH(Assumptions!$C$7,E3661)),Assumptions!$D$7,"Other Services"))),"Other Services"))</f>
        <v/>
      </c>
    </row>
    <row r="3662" customFormat="false" ht="15" hidden="false" customHeight="false" outlineLevel="0" collapsed="false">
      <c r="G3662" s="41" t="str">
        <f aca="false">IF(E3662="","",IFERROR(IF(ISNUMBER(SEARCH(Assumptions!$C$5,E3662)),Assumptions!$D$5,IF(ISNUMBER(SEARCH(Assumptions!$C$6,E3662)),Assumptions!$D$6,IF(ISNUMBER(SEARCH(Assumptions!$C$7,E3662)),Assumptions!$D$7,"Other Services"))),"Other Services"))</f>
        <v/>
      </c>
    </row>
    <row r="3663" customFormat="false" ht="15" hidden="false" customHeight="false" outlineLevel="0" collapsed="false">
      <c r="G3663" s="41" t="str">
        <f aca="false">IF(E3663="","",IFERROR(IF(ISNUMBER(SEARCH(Assumptions!$C$5,E3663)),Assumptions!$D$5,IF(ISNUMBER(SEARCH(Assumptions!$C$6,E3663)),Assumptions!$D$6,IF(ISNUMBER(SEARCH(Assumptions!$C$7,E3663)),Assumptions!$D$7,"Other Services"))),"Other Services"))</f>
        <v/>
      </c>
    </row>
    <row r="3664" customFormat="false" ht="15" hidden="false" customHeight="false" outlineLevel="0" collapsed="false">
      <c r="G3664" s="41" t="str">
        <f aca="false">IF(E3664="","",IFERROR(IF(ISNUMBER(SEARCH(Assumptions!$C$5,E3664)),Assumptions!$D$5,IF(ISNUMBER(SEARCH(Assumptions!$C$6,E3664)),Assumptions!$D$6,IF(ISNUMBER(SEARCH(Assumptions!$C$7,E3664)),Assumptions!$D$7,"Other Services"))),"Other Services"))</f>
        <v/>
      </c>
    </row>
    <row r="3665" customFormat="false" ht="15" hidden="false" customHeight="false" outlineLevel="0" collapsed="false">
      <c r="G3665" s="41" t="str">
        <f aca="false">IF(E3665="","",IFERROR(IF(ISNUMBER(SEARCH(Assumptions!$C$5,E3665)),Assumptions!$D$5,IF(ISNUMBER(SEARCH(Assumptions!$C$6,E3665)),Assumptions!$D$6,IF(ISNUMBER(SEARCH(Assumptions!$C$7,E3665)),Assumptions!$D$7,"Other Services"))),"Other Services"))</f>
        <v/>
      </c>
    </row>
    <row r="3666" customFormat="false" ht="15" hidden="false" customHeight="false" outlineLevel="0" collapsed="false">
      <c r="G3666" s="41" t="str">
        <f aca="false">IF(E3666="","",IFERROR(IF(ISNUMBER(SEARCH(Assumptions!$C$5,E3666)),Assumptions!$D$5,IF(ISNUMBER(SEARCH(Assumptions!$C$6,E3666)),Assumptions!$D$6,IF(ISNUMBER(SEARCH(Assumptions!$C$7,E3666)),Assumptions!$D$7,"Other Services"))),"Other Services"))</f>
        <v/>
      </c>
    </row>
    <row r="3667" customFormat="false" ht="15" hidden="false" customHeight="false" outlineLevel="0" collapsed="false">
      <c r="G3667" s="41" t="str">
        <f aca="false">IF(E3667="","",IFERROR(IF(ISNUMBER(SEARCH(Assumptions!$C$5,E3667)),Assumptions!$D$5,IF(ISNUMBER(SEARCH(Assumptions!$C$6,E3667)),Assumptions!$D$6,IF(ISNUMBER(SEARCH(Assumptions!$C$7,E3667)),Assumptions!$D$7,"Other Services"))),"Other Services"))</f>
        <v/>
      </c>
    </row>
    <row r="3668" customFormat="false" ht="15" hidden="false" customHeight="false" outlineLevel="0" collapsed="false">
      <c r="G3668" s="41" t="str">
        <f aca="false">IF(E3668="","",IFERROR(IF(ISNUMBER(SEARCH(Assumptions!$C$5,E3668)),Assumptions!$D$5,IF(ISNUMBER(SEARCH(Assumptions!$C$6,E3668)),Assumptions!$D$6,IF(ISNUMBER(SEARCH(Assumptions!$C$7,E3668)),Assumptions!$D$7,"Other Services"))),"Other Services"))</f>
        <v/>
      </c>
    </row>
    <row r="3669" customFormat="false" ht="15" hidden="false" customHeight="false" outlineLevel="0" collapsed="false">
      <c r="G3669" s="41" t="str">
        <f aca="false">IF(E3669="","",IFERROR(IF(ISNUMBER(SEARCH(Assumptions!$C$5,E3669)),Assumptions!$D$5,IF(ISNUMBER(SEARCH(Assumptions!$C$6,E3669)),Assumptions!$D$6,IF(ISNUMBER(SEARCH(Assumptions!$C$7,E3669)),Assumptions!$D$7,"Other Services"))),"Other Services"))</f>
        <v/>
      </c>
    </row>
    <row r="3670" customFormat="false" ht="15" hidden="false" customHeight="false" outlineLevel="0" collapsed="false">
      <c r="G3670" s="41" t="str">
        <f aca="false">IF(E3670="","",IFERROR(IF(ISNUMBER(SEARCH(Assumptions!$C$5,E3670)),Assumptions!$D$5,IF(ISNUMBER(SEARCH(Assumptions!$C$6,E3670)),Assumptions!$D$6,IF(ISNUMBER(SEARCH(Assumptions!$C$7,E3670)),Assumptions!$D$7,"Other Services"))),"Other Services"))</f>
        <v/>
      </c>
    </row>
    <row r="3671" customFormat="false" ht="15" hidden="false" customHeight="false" outlineLevel="0" collapsed="false">
      <c r="G3671" s="41" t="str">
        <f aca="false">IF(E3671="","",IFERROR(IF(ISNUMBER(SEARCH(Assumptions!$C$5,E3671)),Assumptions!$D$5,IF(ISNUMBER(SEARCH(Assumptions!$C$6,E3671)),Assumptions!$D$6,IF(ISNUMBER(SEARCH(Assumptions!$C$7,E3671)),Assumptions!$D$7,"Other Services"))),"Other Services"))</f>
        <v/>
      </c>
    </row>
    <row r="3672" customFormat="false" ht="15" hidden="false" customHeight="false" outlineLevel="0" collapsed="false">
      <c r="G3672" s="41" t="str">
        <f aca="false">IF(E3672="","",IFERROR(IF(ISNUMBER(SEARCH(Assumptions!$C$5,E3672)),Assumptions!$D$5,IF(ISNUMBER(SEARCH(Assumptions!$C$6,E3672)),Assumptions!$D$6,IF(ISNUMBER(SEARCH(Assumptions!$C$7,E3672)),Assumptions!$D$7,"Other Services"))),"Other Services"))</f>
        <v/>
      </c>
    </row>
    <row r="3673" customFormat="false" ht="15" hidden="false" customHeight="false" outlineLevel="0" collapsed="false">
      <c r="G3673" s="41" t="str">
        <f aca="false">IF(E3673="","",IFERROR(IF(ISNUMBER(SEARCH(Assumptions!$C$5,E3673)),Assumptions!$D$5,IF(ISNUMBER(SEARCH(Assumptions!$C$6,E3673)),Assumptions!$D$6,IF(ISNUMBER(SEARCH(Assumptions!$C$7,E3673)),Assumptions!$D$7,"Other Services"))),"Other Services"))</f>
        <v/>
      </c>
    </row>
    <row r="3674" customFormat="false" ht="15" hidden="false" customHeight="false" outlineLevel="0" collapsed="false">
      <c r="G3674" s="41" t="str">
        <f aca="false">IF(E3674="","",IFERROR(IF(ISNUMBER(SEARCH(Assumptions!$C$5,E3674)),Assumptions!$D$5,IF(ISNUMBER(SEARCH(Assumptions!$C$6,E3674)),Assumptions!$D$6,IF(ISNUMBER(SEARCH(Assumptions!$C$7,E3674)),Assumptions!$D$7,"Other Services"))),"Other Services"))</f>
        <v/>
      </c>
    </row>
    <row r="3675" customFormat="false" ht="15" hidden="false" customHeight="false" outlineLevel="0" collapsed="false">
      <c r="G3675" s="41" t="str">
        <f aca="false">IF(E3675="","",IFERROR(IF(ISNUMBER(SEARCH(Assumptions!$C$5,E3675)),Assumptions!$D$5,IF(ISNUMBER(SEARCH(Assumptions!$C$6,E3675)),Assumptions!$D$6,IF(ISNUMBER(SEARCH(Assumptions!$C$7,E3675)),Assumptions!$D$7,"Other Services"))),"Other Services"))</f>
        <v/>
      </c>
    </row>
    <row r="3676" customFormat="false" ht="15" hidden="false" customHeight="false" outlineLevel="0" collapsed="false">
      <c r="G3676" s="41" t="str">
        <f aca="false">IF(E3676="","",IFERROR(IF(ISNUMBER(SEARCH(Assumptions!$C$5,E3676)),Assumptions!$D$5,IF(ISNUMBER(SEARCH(Assumptions!$C$6,E3676)),Assumptions!$D$6,IF(ISNUMBER(SEARCH(Assumptions!$C$7,E3676)),Assumptions!$D$7,"Other Services"))),"Other Services"))</f>
        <v/>
      </c>
    </row>
    <row r="3677" customFormat="false" ht="15" hidden="false" customHeight="false" outlineLevel="0" collapsed="false">
      <c r="G3677" s="41" t="str">
        <f aca="false">IF(E3677="","",IFERROR(IF(ISNUMBER(SEARCH(Assumptions!$C$5,E3677)),Assumptions!$D$5,IF(ISNUMBER(SEARCH(Assumptions!$C$6,E3677)),Assumptions!$D$6,IF(ISNUMBER(SEARCH(Assumptions!$C$7,E3677)),Assumptions!$D$7,"Other Services"))),"Other Services"))</f>
        <v/>
      </c>
    </row>
    <row r="3678" customFormat="false" ht="15" hidden="false" customHeight="false" outlineLevel="0" collapsed="false">
      <c r="G3678" s="41" t="str">
        <f aca="false">IF(E3678="","",IFERROR(IF(ISNUMBER(SEARCH(Assumptions!$C$5,E3678)),Assumptions!$D$5,IF(ISNUMBER(SEARCH(Assumptions!$C$6,E3678)),Assumptions!$D$6,IF(ISNUMBER(SEARCH(Assumptions!$C$7,E3678)),Assumptions!$D$7,"Other Services"))),"Other Services"))</f>
        <v/>
      </c>
    </row>
    <row r="3679" customFormat="false" ht="15" hidden="false" customHeight="false" outlineLevel="0" collapsed="false">
      <c r="G3679" s="41" t="str">
        <f aca="false">IF(E3679="","",IFERROR(IF(ISNUMBER(SEARCH(Assumptions!$C$5,E3679)),Assumptions!$D$5,IF(ISNUMBER(SEARCH(Assumptions!$C$6,E3679)),Assumptions!$D$6,IF(ISNUMBER(SEARCH(Assumptions!$C$7,E3679)),Assumptions!$D$7,"Other Services"))),"Other Services"))</f>
        <v/>
      </c>
    </row>
    <row r="3680" customFormat="false" ht="15" hidden="false" customHeight="false" outlineLevel="0" collapsed="false">
      <c r="G3680" s="41" t="str">
        <f aca="false">IF(E3680="","",IFERROR(IF(ISNUMBER(SEARCH(Assumptions!$C$5,E3680)),Assumptions!$D$5,IF(ISNUMBER(SEARCH(Assumptions!$C$6,E3680)),Assumptions!$D$6,IF(ISNUMBER(SEARCH(Assumptions!$C$7,E3680)),Assumptions!$D$7,"Other Services"))),"Other Services"))</f>
        <v/>
      </c>
    </row>
    <row r="3681" customFormat="false" ht="15" hidden="false" customHeight="false" outlineLevel="0" collapsed="false">
      <c r="G3681" s="41" t="str">
        <f aca="false">IF(E3681="","",IFERROR(IF(ISNUMBER(SEARCH(Assumptions!$C$5,E3681)),Assumptions!$D$5,IF(ISNUMBER(SEARCH(Assumptions!$C$6,E3681)),Assumptions!$D$6,IF(ISNUMBER(SEARCH(Assumptions!$C$7,E3681)),Assumptions!$D$7,"Other Services"))),"Other Services"))</f>
        <v/>
      </c>
    </row>
    <row r="3682" customFormat="false" ht="15" hidden="false" customHeight="false" outlineLevel="0" collapsed="false">
      <c r="G3682" s="41" t="str">
        <f aca="false">IF(E3682="","",IFERROR(IF(ISNUMBER(SEARCH(Assumptions!$C$5,E3682)),Assumptions!$D$5,IF(ISNUMBER(SEARCH(Assumptions!$C$6,E3682)),Assumptions!$D$6,IF(ISNUMBER(SEARCH(Assumptions!$C$7,E3682)),Assumptions!$D$7,"Other Services"))),"Other Services"))</f>
        <v/>
      </c>
    </row>
    <row r="3683" customFormat="false" ht="15" hidden="false" customHeight="false" outlineLevel="0" collapsed="false">
      <c r="G3683" s="41" t="str">
        <f aca="false">IF(E3683="","",IFERROR(IF(ISNUMBER(SEARCH(Assumptions!$C$5,E3683)),Assumptions!$D$5,IF(ISNUMBER(SEARCH(Assumptions!$C$6,E3683)),Assumptions!$D$6,IF(ISNUMBER(SEARCH(Assumptions!$C$7,E3683)),Assumptions!$D$7,"Other Services"))),"Other Services"))</f>
        <v/>
      </c>
    </row>
    <row r="3684" customFormat="false" ht="15" hidden="false" customHeight="false" outlineLevel="0" collapsed="false">
      <c r="G3684" s="41" t="str">
        <f aca="false">IF(E3684="","",IFERROR(IF(ISNUMBER(SEARCH(Assumptions!$C$5,E3684)),Assumptions!$D$5,IF(ISNUMBER(SEARCH(Assumptions!$C$6,E3684)),Assumptions!$D$6,IF(ISNUMBER(SEARCH(Assumptions!$C$7,E3684)),Assumptions!$D$7,"Other Services"))),"Other Services"))</f>
        <v/>
      </c>
    </row>
    <row r="3685" customFormat="false" ht="15" hidden="false" customHeight="false" outlineLevel="0" collapsed="false">
      <c r="G3685" s="41" t="str">
        <f aca="false">IF(E3685="","",IFERROR(IF(ISNUMBER(SEARCH(Assumptions!$C$5,E3685)),Assumptions!$D$5,IF(ISNUMBER(SEARCH(Assumptions!$C$6,E3685)),Assumptions!$D$6,IF(ISNUMBER(SEARCH(Assumptions!$C$7,E3685)),Assumptions!$D$7,"Other Services"))),"Other Services"))</f>
        <v/>
      </c>
    </row>
    <row r="3686" customFormat="false" ht="15" hidden="false" customHeight="false" outlineLevel="0" collapsed="false">
      <c r="G3686" s="41" t="str">
        <f aca="false">IF(E3686="","",IFERROR(IF(ISNUMBER(SEARCH(Assumptions!$C$5,E3686)),Assumptions!$D$5,IF(ISNUMBER(SEARCH(Assumptions!$C$6,E3686)),Assumptions!$D$6,IF(ISNUMBER(SEARCH(Assumptions!$C$7,E3686)),Assumptions!$D$7,"Other Services"))),"Other Services"))</f>
        <v/>
      </c>
    </row>
    <row r="3687" customFormat="false" ht="15" hidden="false" customHeight="false" outlineLevel="0" collapsed="false">
      <c r="G3687" s="41" t="str">
        <f aca="false">IF(E3687="","",IFERROR(IF(ISNUMBER(SEARCH(Assumptions!$C$5,E3687)),Assumptions!$D$5,IF(ISNUMBER(SEARCH(Assumptions!$C$6,E3687)),Assumptions!$D$6,IF(ISNUMBER(SEARCH(Assumptions!$C$7,E3687)),Assumptions!$D$7,"Other Services"))),"Other Services"))</f>
        <v/>
      </c>
    </row>
    <row r="3688" customFormat="false" ht="15" hidden="false" customHeight="false" outlineLevel="0" collapsed="false">
      <c r="G3688" s="41" t="str">
        <f aca="false">IF(E3688="","",IFERROR(IF(ISNUMBER(SEARCH(Assumptions!$C$5,E3688)),Assumptions!$D$5,IF(ISNUMBER(SEARCH(Assumptions!$C$6,E3688)),Assumptions!$D$6,IF(ISNUMBER(SEARCH(Assumptions!$C$7,E3688)),Assumptions!$D$7,"Other Services"))),"Other Services"))</f>
        <v/>
      </c>
    </row>
    <row r="3689" customFormat="false" ht="15" hidden="false" customHeight="false" outlineLevel="0" collapsed="false">
      <c r="G3689" s="41" t="str">
        <f aca="false">IF(E3689="","",IFERROR(IF(ISNUMBER(SEARCH(Assumptions!$C$5,E3689)),Assumptions!$D$5,IF(ISNUMBER(SEARCH(Assumptions!$C$6,E3689)),Assumptions!$D$6,IF(ISNUMBER(SEARCH(Assumptions!$C$7,E3689)),Assumptions!$D$7,"Other Services"))),"Other Services"))</f>
        <v/>
      </c>
    </row>
    <row r="3690" customFormat="false" ht="15" hidden="false" customHeight="false" outlineLevel="0" collapsed="false">
      <c r="G3690" s="41" t="str">
        <f aca="false">IF(E3690="","",IFERROR(IF(ISNUMBER(SEARCH(Assumptions!$C$5,E3690)),Assumptions!$D$5,IF(ISNUMBER(SEARCH(Assumptions!$C$6,E3690)),Assumptions!$D$6,IF(ISNUMBER(SEARCH(Assumptions!$C$7,E3690)),Assumptions!$D$7,"Other Services"))),"Other Services"))</f>
        <v/>
      </c>
    </row>
    <row r="3691" customFormat="false" ht="15" hidden="false" customHeight="false" outlineLevel="0" collapsed="false">
      <c r="G3691" s="41" t="str">
        <f aca="false">IF(E3691="","",IFERROR(IF(ISNUMBER(SEARCH(Assumptions!$C$5,E3691)),Assumptions!$D$5,IF(ISNUMBER(SEARCH(Assumptions!$C$6,E3691)),Assumptions!$D$6,IF(ISNUMBER(SEARCH(Assumptions!$C$7,E3691)),Assumptions!$D$7,"Other Services"))),"Other Services"))</f>
        <v/>
      </c>
    </row>
    <row r="3692" customFormat="false" ht="15" hidden="false" customHeight="false" outlineLevel="0" collapsed="false">
      <c r="G3692" s="41" t="str">
        <f aca="false">IF(E3692="","",IFERROR(IF(ISNUMBER(SEARCH(Assumptions!$C$5,E3692)),Assumptions!$D$5,IF(ISNUMBER(SEARCH(Assumptions!$C$6,E3692)),Assumptions!$D$6,IF(ISNUMBER(SEARCH(Assumptions!$C$7,E3692)),Assumptions!$D$7,"Other Services"))),"Other Services"))</f>
        <v/>
      </c>
    </row>
    <row r="3693" customFormat="false" ht="15" hidden="false" customHeight="false" outlineLevel="0" collapsed="false">
      <c r="G3693" s="41" t="str">
        <f aca="false">IF(E3693="","",IFERROR(IF(ISNUMBER(SEARCH(Assumptions!$C$5,E3693)),Assumptions!$D$5,IF(ISNUMBER(SEARCH(Assumptions!$C$6,E3693)),Assumptions!$D$6,IF(ISNUMBER(SEARCH(Assumptions!$C$7,E3693)),Assumptions!$D$7,"Other Services"))),"Other Services"))</f>
        <v/>
      </c>
    </row>
    <row r="3694" customFormat="false" ht="15" hidden="false" customHeight="false" outlineLevel="0" collapsed="false">
      <c r="G3694" s="41" t="str">
        <f aca="false">IF(E3694="","",IFERROR(IF(ISNUMBER(SEARCH(Assumptions!$C$5,E3694)),Assumptions!$D$5,IF(ISNUMBER(SEARCH(Assumptions!$C$6,E3694)),Assumptions!$D$6,IF(ISNUMBER(SEARCH(Assumptions!$C$7,E3694)),Assumptions!$D$7,"Other Services"))),"Other Services"))</f>
        <v/>
      </c>
    </row>
    <row r="3695" customFormat="false" ht="15" hidden="false" customHeight="false" outlineLevel="0" collapsed="false">
      <c r="G3695" s="41" t="str">
        <f aca="false">IF(E3695="","",IFERROR(IF(ISNUMBER(SEARCH(Assumptions!$C$5,E3695)),Assumptions!$D$5,IF(ISNUMBER(SEARCH(Assumptions!$C$6,E3695)),Assumptions!$D$6,IF(ISNUMBER(SEARCH(Assumptions!$C$7,E3695)),Assumptions!$D$7,"Other Services"))),"Other Services"))</f>
        <v/>
      </c>
    </row>
    <row r="3696" customFormat="false" ht="15" hidden="false" customHeight="false" outlineLevel="0" collapsed="false">
      <c r="G3696" s="41" t="str">
        <f aca="false">IF(E3696="","",IFERROR(IF(ISNUMBER(SEARCH(Assumptions!$C$5,E3696)),Assumptions!$D$5,IF(ISNUMBER(SEARCH(Assumptions!$C$6,E3696)),Assumptions!$D$6,IF(ISNUMBER(SEARCH(Assumptions!$C$7,E3696)),Assumptions!$D$7,"Other Services"))),"Other Services"))</f>
        <v/>
      </c>
    </row>
    <row r="3697" customFormat="false" ht="15" hidden="false" customHeight="false" outlineLevel="0" collapsed="false">
      <c r="G3697" s="41" t="str">
        <f aca="false">IF(E3697="","",IFERROR(IF(ISNUMBER(SEARCH(Assumptions!$C$5,E3697)),Assumptions!$D$5,IF(ISNUMBER(SEARCH(Assumptions!$C$6,E3697)),Assumptions!$D$6,IF(ISNUMBER(SEARCH(Assumptions!$C$7,E3697)),Assumptions!$D$7,"Other Services"))),"Other Services"))</f>
        <v/>
      </c>
    </row>
    <row r="3698" customFormat="false" ht="15" hidden="false" customHeight="false" outlineLevel="0" collapsed="false">
      <c r="G3698" s="41" t="str">
        <f aca="false">IF(E3698="","",IFERROR(IF(ISNUMBER(SEARCH(Assumptions!$C$5,E3698)),Assumptions!$D$5,IF(ISNUMBER(SEARCH(Assumptions!$C$6,E3698)),Assumptions!$D$6,IF(ISNUMBER(SEARCH(Assumptions!$C$7,E3698)),Assumptions!$D$7,"Other Services"))),"Other Services"))</f>
        <v/>
      </c>
    </row>
    <row r="3699" customFormat="false" ht="15" hidden="false" customHeight="false" outlineLevel="0" collapsed="false">
      <c r="G3699" s="41" t="str">
        <f aca="false">IF(E3699="","",IFERROR(IF(ISNUMBER(SEARCH(Assumptions!$C$5,E3699)),Assumptions!$D$5,IF(ISNUMBER(SEARCH(Assumptions!$C$6,E3699)),Assumptions!$D$6,IF(ISNUMBER(SEARCH(Assumptions!$C$7,E3699)),Assumptions!$D$7,"Other Services"))),"Other Services"))</f>
        <v/>
      </c>
    </row>
    <row r="3700" customFormat="false" ht="15" hidden="false" customHeight="false" outlineLevel="0" collapsed="false">
      <c r="G3700" s="41" t="str">
        <f aca="false">IF(E3700="","",IFERROR(IF(ISNUMBER(SEARCH(Assumptions!$C$5,E3700)),Assumptions!$D$5,IF(ISNUMBER(SEARCH(Assumptions!$C$6,E3700)),Assumptions!$D$6,IF(ISNUMBER(SEARCH(Assumptions!$C$7,E3700)),Assumptions!$D$7,"Other Services"))),"Other Services"))</f>
        <v/>
      </c>
    </row>
    <row r="3701" customFormat="false" ht="15" hidden="false" customHeight="false" outlineLevel="0" collapsed="false">
      <c r="G3701" s="41" t="str">
        <f aca="false">IF(E3701="","",IFERROR(IF(ISNUMBER(SEARCH(Assumptions!$C$5,E3701)),Assumptions!$D$5,IF(ISNUMBER(SEARCH(Assumptions!$C$6,E3701)),Assumptions!$D$6,IF(ISNUMBER(SEARCH(Assumptions!$C$7,E3701)),Assumptions!$D$7,"Other Services"))),"Other Services"))</f>
        <v/>
      </c>
    </row>
    <row r="3702" customFormat="false" ht="15" hidden="false" customHeight="false" outlineLevel="0" collapsed="false">
      <c r="G3702" s="41" t="str">
        <f aca="false">IF(E3702="","",IFERROR(IF(ISNUMBER(SEARCH(Assumptions!$C$5,E3702)),Assumptions!$D$5,IF(ISNUMBER(SEARCH(Assumptions!$C$6,E3702)),Assumptions!$D$6,IF(ISNUMBER(SEARCH(Assumptions!$C$7,E3702)),Assumptions!$D$7,"Other Services"))),"Other Services"))</f>
        <v/>
      </c>
    </row>
    <row r="3703" customFormat="false" ht="15" hidden="false" customHeight="false" outlineLevel="0" collapsed="false">
      <c r="G3703" s="41" t="str">
        <f aca="false">IF(E3703="","",IFERROR(IF(ISNUMBER(SEARCH(Assumptions!$C$5,E3703)),Assumptions!$D$5,IF(ISNUMBER(SEARCH(Assumptions!$C$6,E3703)),Assumptions!$D$6,IF(ISNUMBER(SEARCH(Assumptions!$C$7,E3703)),Assumptions!$D$7,"Other Services"))),"Other Services"))</f>
        <v/>
      </c>
    </row>
    <row r="3704" customFormat="false" ht="15" hidden="false" customHeight="false" outlineLevel="0" collapsed="false">
      <c r="G3704" s="41" t="str">
        <f aca="false">IF(E3704="","",IFERROR(IF(ISNUMBER(SEARCH(Assumptions!$C$5,E3704)),Assumptions!$D$5,IF(ISNUMBER(SEARCH(Assumptions!$C$6,E3704)),Assumptions!$D$6,IF(ISNUMBER(SEARCH(Assumptions!$C$7,E3704)),Assumptions!$D$7,"Other Services"))),"Other Services"))</f>
        <v/>
      </c>
    </row>
    <row r="3705" customFormat="false" ht="15" hidden="false" customHeight="false" outlineLevel="0" collapsed="false">
      <c r="G3705" s="41" t="str">
        <f aca="false">IF(E3705="","",IFERROR(IF(ISNUMBER(SEARCH(Assumptions!$C$5,E3705)),Assumptions!$D$5,IF(ISNUMBER(SEARCH(Assumptions!$C$6,E3705)),Assumptions!$D$6,IF(ISNUMBER(SEARCH(Assumptions!$C$7,E3705)),Assumptions!$D$7,"Other Services"))),"Other Services"))</f>
        <v/>
      </c>
    </row>
    <row r="3706" customFormat="false" ht="15" hidden="false" customHeight="false" outlineLevel="0" collapsed="false">
      <c r="G3706" s="41" t="str">
        <f aca="false">IF(E3706="","",IFERROR(IF(ISNUMBER(SEARCH(Assumptions!$C$5,E3706)),Assumptions!$D$5,IF(ISNUMBER(SEARCH(Assumptions!$C$6,E3706)),Assumptions!$D$6,IF(ISNUMBER(SEARCH(Assumptions!$C$7,E3706)),Assumptions!$D$7,"Other Services"))),"Other Services"))</f>
        <v/>
      </c>
    </row>
    <row r="3707" customFormat="false" ht="15" hidden="false" customHeight="false" outlineLevel="0" collapsed="false">
      <c r="G3707" s="41" t="str">
        <f aca="false">IF(E3707="","",IFERROR(IF(ISNUMBER(SEARCH(Assumptions!$C$5,E3707)),Assumptions!$D$5,IF(ISNUMBER(SEARCH(Assumptions!$C$6,E3707)),Assumptions!$D$6,IF(ISNUMBER(SEARCH(Assumptions!$C$7,E3707)),Assumptions!$D$7,"Other Services"))),"Other Services"))</f>
        <v/>
      </c>
    </row>
    <row r="3708" customFormat="false" ht="15" hidden="false" customHeight="false" outlineLevel="0" collapsed="false">
      <c r="G3708" s="41" t="str">
        <f aca="false">IF(E3708="","",IFERROR(IF(ISNUMBER(SEARCH(Assumptions!$C$5,E3708)),Assumptions!$D$5,IF(ISNUMBER(SEARCH(Assumptions!$C$6,E3708)),Assumptions!$D$6,IF(ISNUMBER(SEARCH(Assumptions!$C$7,E3708)),Assumptions!$D$7,"Other Services"))),"Other Services"))</f>
        <v/>
      </c>
    </row>
    <row r="3709" customFormat="false" ht="15" hidden="false" customHeight="false" outlineLevel="0" collapsed="false">
      <c r="G3709" s="41" t="str">
        <f aca="false">IF(E3709="","",IFERROR(IF(ISNUMBER(SEARCH(Assumptions!$C$5,E3709)),Assumptions!$D$5,IF(ISNUMBER(SEARCH(Assumptions!$C$6,E3709)),Assumptions!$D$6,IF(ISNUMBER(SEARCH(Assumptions!$C$7,E3709)),Assumptions!$D$7,"Other Services"))),"Other Services"))</f>
        <v/>
      </c>
    </row>
    <row r="3710" customFormat="false" ht="15" hidden="false" customHeight="false" outlineLevel="0" collapsed="false">
      <c r="G3710" s="41" t="str">
        <f aca="false">IF(E3710="","",IFERROR(IF(ISNUMBER(SEARCH(Assumptions!$C$5,E3710)),Assumptions!$D$5,IF(ISNUMBER(SEARCH(Assumptions!$C$6,E3710)),Assumptions!$D$6,IF(ISNUMBER(SEARCH(Assumptions!$C$7,E3710)),Assumptions!$D$7,"Other Services"))),"Other Services"))</f>
        <v/>
      </c>
    </row>
    <row r="3711" customFormat="false" ht="15" hidden="false" customHeight="false" outlineLevel="0" collapsed="false">
      <c r="G3711" s="41" t="str">
        <f aca="false">IF(E3711="","",IFERROR(IF(ISNUMBER(SEARCH(Assumptions!$C$5,E3711)),Assumptions!$D$5,IF(ISNUMBER(SEARCH(Assumptions!$C$6,E3711)),Assumptions!$D$6,IF(ISNUMBER(SEARCH(Assumptions!$C$7,E3711)),Assumptions!$D$7,"Other Services"))),"Other Services"))</f>
        <v/>
      </c>
    </row>
    <row r="3712" customFormat="false" ht="15" hidden="false" customHeight="false" outlineLevel="0" collapsed="false">
      <c r="G3712" s="41" t="str">
        <f aca="false">IF(E3712="","",IFERROR(IF(ISNUMBER(SEARCH(Assumptions!$C$5,E3712)),Assumptions!$D$5,IF(ISNUMBER(SEARCH(Assumptions!$C$6,E3712)),Assumptions!$D$6,IF(ISNUMBER(SEARCH(Assumptions!$C$7,E3712)),Assumptions!$D$7,"Other Services"))),"Other Services"))</f>
        <v/>
      </c>
    </row>
    <row r="3713" customFormat="false" ht="15" hidden="false" customHeight="false" outlineLevel="0" collapsed="false">
      <c r="G3713" s="41" t="str">
        <f aca="false">IF(E3713="","",IFERROR(IF(ISNUMBER(SEARCH(Assumptions!$C$5,E3713)),Assumptions!$D$5,IF(ISNUMBER(SEARCH(Assumptions!$C$6,E3713)),Assumptions!$D$6,IF(ISNUMBER(SEARCH(Assumptions!$C$7,E3713)),Assumptions!$D$7,"Other Services"))),"Other Services"))</f>
        <v/>
      </c>
    </row>
    <row r="3714" customFormat="false" ht="15" hidden="false" customHeight="false" outlineLevel="0" collapsed="false">
      <c r="G3714" s="41" t="str">
        <f aca="false">IF(E3714="","",IFERROR(IF(ISNUMBER(SEARCH(Assumptions!$C$5,E3714)),Assumptions!$D$5,IF(ISNUMBER(SEARCH(Assumptions!$C$6,E3714)),Assumptions!$D$6,IF(ISNUMBER(SEARCH(Assumptions!$C$7,E3714)),Assumptions!$D$7,"Other Services"))),"Other Services"))</f>
        <v/>
      </c>
    </row>
    <row r="3715" customFormat="false" ht="15" hidden="false" customHeight="false" outlineLevel="0" collapsed="false">
      <c r="G3715" s="41" t="str">
        <f aca="false">IF(E3715="","",IFERROR(IF(ISNUMBER(SEARCH(Assumptions!$C$5,E3715)),Assumptions!$D$5,IF(ISNUMBER(SEARCH(Assumptions!$C$6,E3715)),Assumptions!$D$6,IF(ISNUMBER(SEARCH(Assumptions!$C$7,E3715)),Assumptions!$D$7,"Other Services"))),"Other Services"))</f>
        <v/>
      </c>
    </row>
    <row r="3716" customFormat="false" ht="15" hidden="false" customHeight="false" outlineLevel="0" collapsed="false">
      <c r="G3716" s="41" t="str">
        <f aca="false">IF(E3716="","",IFERROR(IF(ISNUMBER(SEARCH(Assumptions!$C$5,E3716)),Assumptions!$D$5,IF(ISNUMBER(SEARCH(Assumptions!$C$6,E3716)),Assumptions!$D$6,IF(ISNUMBER(SEARCH(Assumptions!$C$7,E3716)),Assumptions!$D$7,"Other Services"))),"Other Services"))</f>
        <v/>
      </c>
    </row>
    <row r="3717" customFormat="false" ht="15" hidden="false" customHeight="false" outlineLevel="0" collapsed="false">
      <c r="G3717" s="41" t="str">
        <f aca="false">IF(E3717="","",IFERROR(IF(ISNUMBER(SEARCH(Assumptions!$C$5,E3717)),Assumptions!$D$5,IF(ISNUMBER(SEARCH(Assumptions!$C$6,E3717)),Assumptions!$D$6,IF(ISNUMBER(SEARCH(Assumptions!$C$7,E3717)),Assumptions!$D$7,"Other Services"))),"Other Services"))</f>
        <v/>
      </c>
    </row>
    <row r="3718" customFormat="false" ht="15" hidden="false" customHeight="false" outlineLevel="0" collapsed="false">
      <c r="G3718" s="41" t="str">
        <f aca="false">IF(E3718="","",IFERROR(IF(ISNUMBER(SEARCH(Assumptions!$C$5,E3718)),Assumptions!$D$5,IF(ISNUMBER(SEARCH(Assumptions!$C$6,E3718)),Assumptions!$D$6,IF(ISNUMBER(SEARCH(Assumptions!$C$7,E3718)),Assumptions!$D$7,"Other Services"))),"Other Services"))</f>
        <v/>
      </c>
    </row>
    <row r="3719" customFormat="false" ht="15" hidden="false" customHeight="false" outlineLevel="0" collapsed="false">
      <c r="G3719" s="41" t="str">
        <f aca="false">IF(E3719="","",IFERROR(IF(ISNUMBER(SEARCH(Assumptions!$C$5,E3719)),Assumptions!$D$5,IF(ISNUMBER(SEARCH(Assumptions!$C$6,E3719)),Assumptions!$D$6,IF(ISNUMBER(SEARCH(Assumptions!$C$7,E3719)),Assumptions!$D$7,"Other Services"))),"Other Services"))</f>
        <v/>
      </c>
    </row>
    <row r="3720" customFormat="false" ht="15" hidden="false" customHeight="false" outlineLevel="0" collapsed="false">
      <c r="G3720" s="41" t="str">
        <f aca="false">IF(E3720="","",IFERROR(IF(ISNUMBER(SEARCH(Assumptions!$C$5,E3720)),Assumptions!$D$5,IF(ISNUMBER(SEARCH(Assumptions!$C$6,E3720)),Assumptions!$D$6,IF(ISNUMBER(SEARCH(Assumptions!$C$7,E3720)),Assumptions!$D$7,"Other Services"))),"Other Services"))</f>
        <v/>
      </c>
    </row>
    <row r="3721" customFormat="false" ht="15" hidden="false" customHeight="false" outlineLevel="0" collapsed="false">
      <c r="G3721" s="41" t="str">
        <f aca="false">IF(E3721="","",IFERROR(IF(ISNUMBER(SEARCH(Assumptions!$C$5,E3721)),Assumptions!$D$5,IF(ISNUMBER(SEARCH(Assumptions!$C$6,E3721)),Assumptions!$D$6,IF(ISNUMBER(SEARCH(Assumptions!$C$7,E3721)),Assumptions!$D$7,"Other Services"))),"Other Services"))</f>
        <v/>
      </c>
    </row>
    <row r="3722" customFormat="false" ht="15" hidden="false" customHeight="false" outlineLevel="0" collapsed="false">
      <c r="G3722" s="41" t="str">
        <f aca="false">IF(E3722="","",IFERROR(IF(ISNUMBER(SEARCH(Assumptions!$C$5,E3722)),Assumptions!$D$5,IF(ISNUMBER(SEARCH(Assumptions!$C$6,E3722)),Assumptions!$D$6,IF(ISNUMBER(SEARCH(Assumptions!$C$7,E3722)),Assumptions!$D$7,"Other Services"))),"Other Services"))</f>
        <v/>
      </c>
    </row>
    <row r="3723" customFormat="false" ht="15" hidden="false" customHeight="false" outlineLevel="0" collapsed="false">
      <c r="G3723" s="41" t="str">
        <f aca="false">IF(E3723="","",IFERROR(IF(ISNUMBER(SEARCH(Assumptions!$C$5,E3723)),Assumptions!$D$5,IF(ISNUMBER(SEARCH(Assumptions!$C$6,E3723)),Assumptions!$D$6,IF(ISNUMBER(SEARCH(Assumptions!$C$7,E3723)),Assumptions!$D$7,"Other Services"))),"Other Services"))</f>
        <v/>
      </c>
    </row>
    <row r="3724" customFormat="false" ht="15" hidden="false" customHeight="false" outlineLevel="0" collapsed="false">
      <c r="G3724" s="41" t="str">
        <f aca="false">IF(E3724="","",IFERROR(IF(ISNUMBER(SEARCH(Assumptions!$C$5,E3724)),Assumptions!$D$5,IF(ISNUMBER(SEARCH(Assumptions!$C$6,E3724)),Assumptions!$D$6,IF(ISNUMBER(SEARCH(Assumptions!$C$7,E3724)),Assumptions!$D$7,"Other Services"))),"Other Services"))</f>
        <v/>
      </c>
    </row>
    <row r="3725" customFormat="false" ht="15" hidden="false" customHeight="false" outlineLevel="0" collapsed="false">
      <c r="G3725" s="41" t="str">
        <f aca="false">IF(E3725="","",IFERROR(IF(ISNUMBER(SEARCH(Assumptions!$C$5,E3725)),Assumptions!$D$5,IF(ISNUMBER(SEARCH(Assumptions!$C$6,E3725)),Assumptions!$D$6,IF(ISNUMBER(SEARCH(Assumptions!$C$7,E3725)),Assumptions!$D$7,"Other Services"))),"Other Services"))</f>
        <v/>
      </c>
    </row>
    <row r="3726" customFormat="false" ht="15" hidden="false" customHeight="false" outlineLevel="0" collapsed="false">
      <c r="G3726" s="41" t="str">
        <f aca="false">IF(E3726="","",IFERROR(IF(ISNUMBER(SEARCH(Assumptions!$C$5,E3726)),Assumptions!$D$5,IF(ISNUMBER(SEARCH(Assumptions!$C$6,E3726)),Assumptions!$D$6,IF(ISNUMBER(SEARCH(Assumptions!$C$7,E3726)),Assumptions!$D$7,"Other Services"))),"Other Services"))</f>
        <v/>
      </c>
    </row>
    <row r="3727" customFormat="false" ht="15" hidden="false" customHeight="false" outlineLevel="0" collapsed="false">
      <c r="G3727" s="41" t="str">
        <f aca="false">IF(E3727="","",IFERROR(IF(ISNUMBER(SEARCH(Assumptions!$C$5,E3727)),Assumptions!$D$5,IF(ISNUMBER(SEARCH(Assumptions!$C$6,E3727)),Assumptions!$D$6,IF(ISNUMBER(SEARCH(Assumptions!$C$7,E3727)),Assumptions!$D$7,"Other Services"))),"Other Services"))</f>
        <v/>
      </c>
    </row>
    <row r="3728" customFormat="false" ht="15" hidden="false" customHeight="false" outlineLevel="0" collapsed="false">
      <c r="G3728" s="41" t="str">
        <f aca="false">IF(E3728="","",IFERROR(IF(ISNUMBER(SEARCH(Assumptions!$C$5,E3728)),Assumptions!$D$5,IF(ISNUMBER(SEARCH(Assumptions!$C$6,E3728)),Assumptions!$D$6,IF(ISNUMBER(SEARCH(Assumptions!$C$7,E3728)),Assumptions!$D$7,"Other Services"))),"Other Services"))</f>
        <v/>
      </c>
    </row>
    <row r="3729" customFormat="false" ht="15" hidden="false" customHeight="false" outlineLevel="0" collapsed="false">
      <c r="G3729" s="41" t="str">
        <f aca="false">IF(E3729="","",IFERROR(IF(ISNUMBER(SEARCH(Assumptions!$C$5,E3729)),Assumptions!$D$5,IF(ISNUMBER(SEARCH(Assumptions!$C$6,E3729)),Assumptions!$D$6,IF(ISNUMBER(SEARCH(Assumptions!$C$7,E3729)),Assumptions!$D$7,"Other Services"))),"Other Services"))</f>
        <v/>
      </c>
    </row>
    <row r="3730" customFormat="false" ht="15" hidden="false" customHeight="false" outlineLevel="0" collapsed="false">
      <c r="G3730" s="41" t="str">
        <f aca="false">IF(E3730="","",IFERROR(IF(ISNUMBER(SEARCH(Assumptions!$C$5,E3730)),Assumptions!$D$5,IF(ISNUMBER(SEARCH(Assumptions!$C$6,E3730)),Assumptions!$D$6,IF(ISNUMBER(SEARCH(Assumptions!$C$7,E3730)),Assumptions!$D$7,"Other Services"))),"Other Services"))</f>
        <v/>
      </c>
    </row>
    <row r="3731" customFormat="false" ht="15" hidden="false" customHeight="false" outlineLevel="0" collapsed="false">
      <c r="G3731" s="41" t="str">
        <f aca="false">IF(E3731="","",IFERROR(IF(ISNUMBER(SEARCH(Assumptions!$C$5,E3731)),Assumptions!$D$5,IF(ISNUMBER(SEARCH(Assumptions!$C$6,E3731)),Assumptions!$D$6,IF(ISNUMBER(SEARCH(Assumptions!$C$7,E3731)),Assumptions!$D$7,"Other Services"))),"Other Services"))</f>
        <v/>
      </c>
    </row>
    <row r="3732" customFormat="false" ht="15" hidden="false" customHeight="false" outlineLevel="0" collapsed="false">
      <c r="G3732" s="41" t="str">
        <f aca="false">IF(E3732="","",IFERROR(IF(ISNUMBER(SEARCH(Assumptions!$C$5,E3732)),Assumptions!$D$5,IF(ISNUMBER(SEARCH(Assumptions!$C$6,E3732)),Assumptions!$D$6,IF(ISNUMBER(SEARCH(Assumptions!$C$7,E3732)),Assumptions!$D$7,"Other Services"))),"Other Services"))</f>
        <v/>
      </c>
    </row>
    <row r="3733" customFormat="false" ht="15" hidden="false" customHeight="false" outlineLevel="0" collapsed="false">
      <c r="G3733" s="41" t="str">
        <f aca="false">IF(E3733="","",IFERROR(IF(ISNUMBER(SEARCH(Assumptions!$C$5,E3733)),Assumptions!$D$5,IF(ISNUMBER(SEARCH(Assumptions!$C$6,E3733)),Assumptions!$D$6,IF(ISNUMBER(SEARCH(Assumptions!$C$7,E3733)),Assumptions!$D$7,"Other Services"))),"Other Services"))</f>
        <v/>
      </c>
    </row>
    <row r="3734" customFormat="false" ht="15" hidden="false" customHeight="false" outlineLevel="0" collapsed="false">
      <c r="G3734" s="41" t="str">
        <f aca="false">IF(E3734="","",IFERROR(IF(ISNUMBER(SEARCH(Assumptions!$C$5,E3734)),Assumptions!$D$5,IF(ISNUMBER(SEARCH(Assumptions!$C$6,E3734)),Assumptions!$D$6,IF(ISNUMBER(SEARCH(Assumptions!$C$7,E3734)),Assumptions!$D$7,"Other Services"))),"Other Services"))</f>
        <v/>
      </c>
    </row>
    <row r="3735" customFormat="false" ht="15" hidden="false" customHeight="false" outlineLevel="0" collapsed="false">
      <c r="G3735" s="41" t="str">
        <f aca="false">IF(E3735="","",IFERROR(IF(ISNUMBER(SEARCH(Assumptions!$C$5,E3735)),Assumptions!$D$5,IF(ISNUMBER(SEARCH(Assumptions!$C$6,E3735)),Assumptions!$D$6,IF(ISNUMBER(SEARCH(Assumptions!$C$7,E3735)),Assumptions!$D$7,"Other Services"))),"Other Services"))</f>
        <v/>
      </c>
    </row>
    <row r="3736" customFormat="false" ht="15" hidden="false" customHeight="false" outlineLevel="0" collapsed="false">
      <c r="G3736" s="41" t="str">
        <f aca="false">IF(E3736="","",IFERROR(IF(ISNUMBER(SEARCH(Assumptions!$C$5,E3736)),Assumptions!$D$5,IF(ISNUMBER(SEARCH(Assumptions!$C$6,E3736)),Assumptions!$D$6,IF(ISNUMBER(SEARCH(Assumptions!$C$7,E3736)),Assumptions!$D$7,"Other Services"))),"Other Services"))</f>
        <v/>
      </c>
    </row>
    <row r="3737" customFormat="false" ht="15" hidden="false" customHeight="false" outlineLevel="0" collapsed="false">
      <c r="G3737" s="41" t="str">
        <f aca="false">IF(E3737="","",IFERROR(IF(ISNUMBER(SEARCH(Assumptions!$C$5,E3737)),Assumptions!$D$5,IF(ISNUMBER(SEARCH(Assumptions!$C$6,E3737)),Assumptions!$D$6,IF(ISNUMBER(SEARCH(Assumptions!$C$7,E3737)),Assumptions!$D$7,"Other Services"))),"Other Services"))</f>
        <v/>
      </c>
    </row>
    <row r="3738" customFormat="false" ht="15" hidden="false" customHeight="false" outlineLevel="0" collapsed="false">
      <c r="G3738" s="41" t="str">
        <f aca="false">IF(E3738="","",IFERROR(IF(ISNUMBER(SEARCH(Assumptions!$C$5,E3738)),Assumptions!$D$5,IF(ISNUMBER(SEARCH(Assumptions!$C$6,E3738)),Assumptions!$D$6,IF(ISNUMBER(SEARCH(Assumptions!$C$7,E3738)),Assumptions!$D$7,"Other Services"))),"Other Services"))</f>
        <v/>
      </c>
    </row>
    <row r="3739" customFormat="false" ht="15" hidden="false" customHeight="false" outlineLevel="0" collapsed="false">
      <c r="G3739" s="41" t="str">
        <f aca="false">IF(E3739="","",IFERROR(IF(ISNUMBER(SEARCH(Assumptions!$C$5,E3739)),Assumptions!$D$5,IF(ISNUMBER(SEARCH(Assumptions!$C$6,E3739)),Assumptions!$D$6,IF(ISNUMBER(SEARCH(Assumptions!$C$7,E3739)),Assumptions!$D$7,"Other Services"))),"Other Services"))</f>
        <v/>
      </c>
    </row>
    <row r="3740" customFormat="false" ht="15" hidden="false" customHeight="false" outlineLevel="0" collapsed="false">
      <c r="G3740" s="41" t="str">
        <f aca="false">IF(E3740="","",IFERROR(IF(ISNUMBER(SEARCH(Assumptions!$C$5,E3740)),Assumptions!$D$5,IF(ISNUMBER(SEARCH(Assumptions!$C$6,E3740)),Assumptions!$D$6,IF(ISNUMBER(SEARCH(Assumptions!$C$7,E3740)),Assumptions!$D$7,"Other Services"))),"Other Services"))</f>
        <v/>
      </c>
    </row>
    <row r="3741" customFormat="false" ht="15" hidden="false" customHeight="false" outlineLevel="0" collapsed="false">
      <c r="G3741" s="41" t="str">
        <f aca="false">IF(E3741="","",IFERROR(IF(ISNUMBER(SEARCH(Assumptions!$C$5,E3741)),Assumptions!$D$5,IF(ISNUMBER(SEARCH(Assumptions!$C$6,E3741)),Assumptions!$D$6,IF(ISNUMBER(SEARCH(Assumptions!$C$7,E3741)),Assumptions!$D$7,"Other Services"))),"Other Services"))</f>
        <v/>
      </c>
    </row>
    <row r="3742" customFormat="false" ht="15" hidden="false" customHeight="false" outlineLevel="0" collapsed="false">
      <c r="G3742" s="41" t="str">
        <f aca="false">IF(E3742="","",IFERROR(IF(ISNUMBER(SEARCH(Assumptions!$C$5,E3742)),Assumptions!$D$5,IF(ISNUMBER(SEARCH(Assumptions!$C$6,E3742)),Assumptions!$D$6,IF(ISNUMBER(SEARCH(Assumptions!$C$7,E3742)),Assumptions!$D$7,"Other Services"))),"Other Services"))</f>
        <v/>
      </c>
    </row>
    <row r="3743" customFormat="false" ht="15" hidden="false" customHeight="false" outlineLevel="0" collapsed="false">
      <c r="G3743" s="41" t="str">
        <f aca="false">IF(E3743="","",IFERROR(IF(ISNUMBER(SEARCH(Assumptions!$C$5,E3743)),Assumptions!$D$5,IF(ISNUMBER(SEARCH(Assumptions!$C$6,E3743)),Assumptions!$D$6,IF(ISNUMBER(SEARCH(Assumptions!$C$7,E3743)),Assumptions!$D$7,"Other Services"))),"Other Services"))</f>
        <v/>
      </c>
    </row>
    <row r="3744" customFormat="false" ht="15" hidden="false" customHeight="false" outlineLevel="0" collapsed="false">
      <c r="G3744" s="41" t="str">
        <f aca="false">IF(E3744="","",IFERROR(IF(ISNUMBER(SEARCH(Assumptions!$C$5,E3744)),Assumptions!$D$5,IF(ISNUMBER(SEARCH(Assumptions!$C$6,E3744)),Assumptions!$D$6,IF(ISNUMBER(SEARCH(Assumptions!$C$7,E3744)),Assumptions!$D$7,"Other Services"))),"Other Services"))</f>
        <v/>
      </c>
    </row>
    <row r="3745" customFormat="false" ht="15" hidden="false" customHeight="false" outlineLevel="0" collapsed="false">
      <c r="G3745" s="41" t="str">
        <f aca="false">IF(E3745="","",IFERROR(IF(ISNUMBER(SEARCH(Assumptions!$C$5,E3745)),Assumptions!$D$5,IF(ISNUMBER(SEARCH(Assumptions!$C$6,E3745)),Assumptions!$D$6,IF(ISNUMBER(SEARCH(Assumptions!$C$7,E3745)),Assumptions!$D$7,"Other Services"))),"Other Services"))</f>
        <v/>
      </c>
    </row>
    <row r="3746" customFormat="false" ht="15" hidden="false" customHeight="false" outlineLevel="0" collapsed="false">
      <c r="G3746" s="41" t="str">
        <f aca="false">IF(E3746="","",IFERROR(IF(ISNUMBER(SEARCH(Assumptions!$C$5,E3746)),Assumptions!$D$5,IF(ISNUMBER(SEARCH(Assumptions!$C$6,E3746)),Assumptions!$D$6,IF(ISNUMBER(SEARCH(Assumptions!$C$7,E3746)),Assumptions!$D$7,"Other Services"))),"Other Services"))</f>
        <v/>
      </c>
    </row>
    <row r="3747" customFormat="false" ht="15" hidden="false" customHeight="false" outlineLevel="0" collapsed="false">
      <c r="G3747" s="41" t="str">
        <f aca="false">IF(E3747="","",IFERROR(IF(ISNUMBER(SEARCH(Assumptions!$C$5,E3747)),Assumptions!$D$5,IF(ISNUMBER(SEARCH(Assumptions!$C$6,E3747)),Assumptions!$D$6,IF(ISNUMBER(SEARCH(Assumptions!$C$7,E3747)),Assumptions!$D$7,"Other Services"))),"Other Services"))</f>
        <v/>
      </c>
    </row>
    <row r="3748" customFormat="false" ht="15" hidden="false" customHeight="false" outlineLevel="0" collapsed="false">
      <c r="G3748" s="41" t="str">
        <f aca="false">IF(E3748="","",IFERROR(IF(ISNUMBER(SEARCH(Assumptions!$C$5,E3748)),Assumptions!$D$5,IF(ISNUMBER(SEARCH(Assumptions!$C$6,E3748)),Assumptions!$D$6,IF(ISNUMBER(SEARCH(Assumptions!$C$7,E3748)),Assumptions!$D$7,"Other Services"))),"Other Services"))</f>
        <v/>
      </c>
    </row>
    <row r="3749" customFormat="false" ht="15" hidden="false" customHeight="false" outlineLevel="0" collapsed="false">
      <c r="G3749" s="41" t="str">
        <f aca="false">IF(E3749="","",IFERROR(IF(ISNUMBER(SEARCH(Assumptions!$C$5,E3749)),Assumptions!$D$5,IF(ISNUMBER(SEARCH(Assumptions!$C$6,E3749)),Assumptions!$D$6,IF(ISNUMBER(SEARCH(Assumptions!$C$7,E3749)),Assumptions!$D$7,"Other Services"))),"Other Services"))</f>
        <v/>
      </c>
    </row>
    <row r="3750" customFormat="false" ht="15" hidden="false" customHeight="false" outlineLevel="0" collapsed="false">
      <c r="G3750" s="41" t="str">
        <f aca="false">IF(E3750="","",IFERROR(IF(ISNUMBER(SEARCH(Assumptions!$C$5,E3750)),Assumptions!$D$5,IF(ISNUMBER(SEARCH(Assumptions!$C$6,E3750)),Assumptions!$D$6,IF(ISNUMBER(SEARCH(Assumptions!$C$7,E3750)),Assumptions!$D$7,"Other Services"))),"Other Services"))</f>
        <v/>
      </c>
    </row>
    <row r="3751" customFormat="false" ht="15" hidden="false" customHeight="false" outlineLevel="0" collapsed="false">
      <c r="G3751" s="41" t="str">
        <f aca="false">IF(E3751="","",IFERROR(IF(ISNUMBER(SEARCH(Assumptions!$C$5,E3751)),Assumptions!$D$5,IF(ISNUMBER(SEARCH(Assumptions!$C$6,E3751)),Assumptions!$D$6,IF(ISNUMBER(SEARCH(Assumptions!$C$7,E3751)),Assumptions!$D$7,"Other Services"))),"Other Services"))</f>
        <v/>
      </c>
    </row>
    <row r="3752" customFormat="false" ht="15" hidden="false" customHeight="false" outlineLevel="0" collapsed="false">
      <c r="G3752" s="41" t="str">
        <f aca="false">IF(E3752="","",IFERROR(IF(ISNUMBER(SEARCH(Assumptions!$C$5,E3752)),Assumptions!$D$5,IF(ISNUMBER(SEARCH(Assumptions!$C$6,E3752)),Assumptions!$D$6,IF(ISNUMBER(SEARCH(Assumptions!$C$7,E3752)),Assumptions!$D$7,"Other Services"))),"Other Services"))</f>
        <v/>
      </c>
    </row>
    <row r="3753" customFormat="false" ht="15" hidden="false" customHeight="false" outlineLevel="0" collapsed="false">
      <c r="G3753" s="41" t="str">
        <f aca="false">IF(E3753="","",IFERROR(IF(ISNUMBER(SEARCH(Assumptions!$C$5,E3753)),Assumptions!$D$5,IF(ISNUMBER(SEARCH(Assumptions!$C$6,E3753)),Assumptions!$D$6,IF(ISNUMBER(SEARCH(Assumptions!$C$7,E3753)),Assumptions!$D$7,"Other Services"))),"Other Services"))</f>
        <v/>
      </c>
    </row>
    <row r="3754" customFormat="false" ht="15" hidden="false" customHeight="false" outlineLevel="0" collapsed="false">
      <c r="G3754" s="41" t="str">
        <f aca="false">IF(E3754="","",IFERROR(IF(ISNUMBER(SEARCH(Assumptions!$C$5,E3754)),Assumptions!$D$5,IF(ISNUMBER(SEARCH(Assumptions!$C$6,E3754)),Assumptions!$D$6,IF(ISNUMBER(SEARCH(Assumptions!$C$7,E3754)),Assumptions!$D$7,"Other Services"))),"Other Services"))</f>
        <v/>
      </c>
    </row>
    <row r="3755" customFormat="false" ht="15" hidden="false" customHeight="false" outlineLevel="0" collapsed="false">
      <c r="G3755" s="41" t="str">
        <f aca="false">IF(E3755="","",IFERROR(IF(ISNUMBER(SEARCH(Assumptions!$C$5,E3755)),Assumptions!$D$5,IF(ISNUMBER(SEARCH(Assumptions!$C$6,E3755)),Assumptions!$D$6,IF(ISNUMBER(SEARCH(Assumptions!$C$7,E3755)),Assumptions!$D$7,"Other Services"))),"Other Services"))</f>
        <v/>
      </c>
    </row>
    <row r="3756" customFormat="false" ht="15" hidden="false" customHeight="false" outlineLevel="0" collapsed="false">
      <c r="G3756" s="41" t="str">
        <f aca="false">IF(E3756="","",IFERROR(IF(ISNUMBER(SEARCH(Assumptions!$C$5,E3756)),Assumptions!$D$5,IF(ISNUMBER(SEARCH(Assumptions!$C$6,E3756)),Assumptions!$D$6,IF(ISNUMBER(SEARCH(Assumptions!$C$7,E3756)),Assumptions!$D$7,"Other Services"))),"Other Services"))</f>
        <v/>
      </c>
    </row>
    <row r="3757" customFormat="false" ht="15" hidden="false" customHeight="false" outlineLevel="0" collapsed="false">
      <c r="G3757" s="41" t="str">
        <f aca="false">IF(E3757="","",IFERROR(IF(ISNUMBER(SEARCH(Assumptions!$C$5,E3757)),Assumptions!$D$5,IF(ISNUMBER(SEARCH(Assumptions!$C$6,E3757)),Assumptions!$D$6,IF(ISNUMBER(SEARCH(Assumptions!$C$7,E3757)),Assumptions!$D$7,"Other Services"))),"Other Services"))</f>
        <v/>
      </c>
    </row>
    <row r="3758" customFormat="false" ht="15" hidden="false" customHeight="false" outlineLevel="0" collapsed="false">
      <c r="G3758" s="41" t="str">
        <f aca="false">IF(E3758="","",IFERROR(IF(ISNUMBER(SEARCH(Assumptions!$C$5,E3758)),Assumptions!$D$5,IF(ISNUMBER(SEARCH(Assumptions!$C$6,E3758)),Assumptions!$D$6,IF(ISNUMBER(SEARCH(Assumptions!$C$7,E3758)),Assumptions!$D$7,"Other Services"))),"Other Services"))</f>
        <v/>
      </c>
    </row>
    <row r="3759" customFormat="false" ht="15" hidden="false" customHeight="false" outlineLevel="0" collapsed="false">
      <c r="G3759" s="41" t="str">
        <f aca="false">IF(E3759="","",IFERROR(IF(ISNUMBER(SEARCH(Assumptions!$C$5,E3759)),Assumptions!$D$5,IF(ISNUMBER(SEARCH(Assumptions!$C$6,E3759)),Assumptions!$D$6,IF(ISNUMBER(SEARCH(Assumptions!$C$7,E3759)),Assumptions!$D$7,"Other Services"))),"Other Services"))</f>
        <v/>
      </c>
    </row>
    <row r="3760" customFormat="false" ht="15" hidden="false" customHeight="false" outlineLevel="0" collapsed="false">
      <c r="G3760" s="41" t="str">
        <f aca="false">IF(E3760="","",IFERROR(IF(ISNUMBER(SEARCH(Assumptions!$C$5,E3760)),Assumptions!$D$5,IF(ISNUMBER(SEARCH(Assumptions!$C$6,E3760)),Assumptions!$D$6,IF(ISNUMBER(SEARCH(Assumptions!$C$7,E3760)),Assumptions!$D$7,"Other Services"))),"Other Services"))</f>
        <v/>
      </c>
    </row>
    <row r="3761" customFormat="false" ht="15" hidden="false" customHeight="false" outlineLevel="0" collapsed="false">
      <c r="G3761" s="41" t="str">
        <f aca="false">IF(E3761="","",IFERROR(IF(ISNUMBER(SEARCH(Assumptions!$C$5,E3761)),Assumptions!$D$5,IF(ISNUMBER(SEARCH(Assumptions!$C$6,E3761)),Assumptions!$D$6,IF(ISNUMBER(SEARCH(Assumptions!$C$7,E3761)),Assumptions!$D$7,"Other Services"))),"Other Services"))</f>
        <v/>
      </c>
    </row>
    <row r="3762" customFormat="false" ht="15" hidden="false" customHeight="false" outlineLevel="0" collapsed="false">
      <c r="G3762" s="41" t="str">
        <f aca="false">IF(E3762="","",IFERROR(IF(ISNUMBER(SEARCH(Assumptions!$C$5,E3762)),Assumptions!$D$5,IF(ISNUMBER(SEARCH(Assumptions!$C$6,E3762)),Assumptions!$D$6,IF(ISNUMBER(SEARCH(Assumptions!$C$7,E3762)),Assumptions!$D$7,"Other Services"))),"Other Services"))</f>
        <v/>
      </c>
    </row>
    <row r="3763" customFormat="false" ht="15" hidden="false" customHeight="false" outlineLevel="0" collapsed="false">
      <c r="G3763" s="41" t="str">
        <f aca="false">IF(E3763="","",IFERROR(IF(ISNUMBER(SEARCH(Assumptions!$C$5,E3763)),Assumptions!$D$5,IF(ISNUMBER(SEARCH(Assumptions!$C$6,E3763)),Assumptions!$D$6,IF(ISNUMBER(SEARCH(Assumptions!$C$7,E3763)),Assumptions!$D$7,"Other Services"))),"Other Services"))</f>
        <v/>
      </c>
    </row>
    <row r="3764" customFormat="false" ht="15" hidden="false" customHeight="false" outlineLevel="0" collapsed="false">
      <c r="G3764" s="41" t="str">
        <f aca="false">IF(E3764="","",IFERROR(IF(ISNUMBER(SEARCH(Assumptions!$C$5,E3764)),Assumptions!$D$5,IF(ISNUMBER(SEARCH(Assumptions!$C$6,E3764)),Assumptions!$D$6,IF(ISNUMBER(SEARCH(Assumptions!$C$7,E3764)),Assumptions!$D$7,"Other Services"))),"Other Services"))</f>
        <v/>
      </c>
    </row>
    <row r="3765" customFormat="false" ht="15" hidden="false" customHeight="false" outlineLevel="0" collapsed="false">
      <c r="G3765" s="41" t="str">
        <f aca="false">IF(E3765="","",IFERROR(IF(ISNUMBER(SEARCH(Assumptions!$C$5,E3765)),Assumptions!$D$5,IF(ISNUMBER(SEARCH(Assumptions!$C$6,E3765)),Assumptions!$D$6,IF(ISNUMBER(SEARCH(Assumptions!$C$7,E3765)),Assumptions!$D$7,"Other Services"))),"Other Services"))</f>
        <v/>
      </c>
    </row>
    <row r="3766" customFormat="false" ht="15" hidden="false" customHeight="false" outlineLevel="0" collapsed="false">
      <c r="G3766" s="41" t="str">
        <f aca="false">IF(E3766="","",IFERROR(IF(ISNUMBER(SEARCH(Assumptions!$C$5,E3766)),Assumptions!$D$5,IF(ISNUMBER(SEARCH(Assumptions!$C$6,E3766)),Assumptions!$D$6,IF(ISNUMBER(SEARCH(Assumptions!$C$7,E3766)),Assumptions!$D$7,"Other Services"))),"Other Services"))</f>
        <v/>
      </c>
    </row>
    <row r="3767" customFormat="false" ht="15" hidden="false" customHeight="false" outlineLevel="0" collapsed="false">
      <c r="G3767" s="41" t="str">
        <f aca="false">IF(E3767="","",IFERROR(IF(ISNUMBER(SEARCH(Assumptions!$C$5,E3767)),Assumptions!$D$5,IF(ISNUMBER(SEARCH(Assumptions!$C$6,E3767)),Assumptions!$D$6,IF(ISNUMBER(SEARCH(Assumptions!$C$7,E3767)),Assumptions!$D$7,"Other Services"))),"Other Services"))</f>
        <v/>
      </c>
    </row>
    <row r="3768" customFormat="false" ht="15" hidden="false" customHeight="false" outlineLevel="0" collapsed="false">
      <c r="G3768" s="41" t="str">
        <f aca="false">IF(E3768="","",IFERROR(IF(ISNUMBER(SEARCH(Assumptions!$C$5,E3768)),Assumptions!$D$5,IF(ISNUMBER(SEARCH(Assumptions!$C$6,E3768)),Assumptions!$D$6,IF(ISNUMBER(SEARCH(Assumptions!$C$7,E3768)),Assumptions!$D$7,"Other Services"))),"Other Services"))</f>
        <v/>
      </c>
    </row>
    <row r="3769" customFormat="false" ht="15" hidden="false" customHeight="false" outlineLevel="0" collapsed="false">
      <c r="G3769" s="41" t="str">
        <f aca="false">IF(E3769="","",IFERROR(IF(ISNUMBER(SEARCH(Assumptions!$C$5,E3769)),Assumptions!$D$5,IF(ISNUMBER(SEARCH(Assumptions!$C$6,E3769)),Assumptions!$D$6,IF(ISNUMBER(SEARCH(Assumptions!$C$7,E3769)),Assumptions!$D$7,"Other Services"))),"Other Services"))</f>
        <v/>
      </c>
    </row>
    <row r="3770" customFormat="false" ht="15" hidden="false" customHeight="false" outlineLevel="0" collapsed="false">
      <c r="G3770" s="41" t="str">
        <f aca="false">IF(E3770="","",IFERROR(IF(ISNUMBER(SEARCH(Assumptions!$C$5,E3770)),Assumptions!$D$5,IF(ISNUMBER(SEARCH(Assumptions!$C$6,E3770)),Assumptions!$D$6,IF(ISNUMBER(SEARCH(Assumptions!$C$7,E3770)),Assumptions!$D$7,"Other Services"))),"Other Services"))</f>
        <v/>
      </c>
    </row>
    <row r="3771" customFormat="false" ht="15" hidden="false" customHeight="false" outlineLevel="0" collapsed="false">
      <c r="G3771" s="41" t="str">
        <f aca="false">IF(E3771="","",IFERROR(IF(ISNUMBER(SEARCH(Assumptions!$C$5,E3771)),Assumptions!$D$5,IF(ISNUMBER(SEARCH(Assumptions!$C$6,E3771)),Assumptions!$D$6,IF(ISNUMBER(SEARCH(Assumptions!$C$7,E3771)),Assumptions!$D$7,"Other Services"))),"Other Services"))</f>
        <v/>
      </c>
    </row>
    <row r="3772" customFormat="false" ht="15" hidden="false" customHeight="false" outlineLevel="0" collapsed="false">
      <c r="G3772" s="41" t="str">
        <f aca="false">IF(E3772="","",IFERROR(IF(ISNUMBER(SEARCH(Assumptions!$C$5,E3772)),Assumptions!$D$5,IF(ISNUMBER(SEARCH(Assumptions!$C$6,E3772)),Assumptions!$D$6,IF(ISNUMBER(SEARCH(Assumptions!$C$7,E3772)),Assumptions!$D$7,"Other Services"))),"Other Services"))</f>
        <v/>
      </c>
    </row>
    <row r="3773" customFormat="false" ht="15" hidden="false" customHeight="false" outlineLevel="0" collapsed="false">
      <c r="G3773" s="41" t="str">
        <f aca="false">IF(E3773="","",IFERROR(IF(ISNUMBER(SEARCH(Assumptions!$C$5,E3773)),Assumptions!$D$5,IF(ISNUMBER(SEARCH(Assumptions!$C$6,E3773)),Assumptions!$D$6,IF(ISNUMBER(SEARCH(Assumptions!$C$7,E3773)),Assumptions!$D$7,"Other Services"))),"Other Services"))</f>
        <v/>
      </c>
    </row>
    <row r="3774" customFormat="false" ht="15" hidden="false" customHeight="false" outlineLevel="0" collapsed="false">
      <c r="G3774" s="41" t="str">
        <f aca="false">IF(E3774="","",IFERROR(IF(ISNUMBER(SEARCH(Assumptions!$C$5,E3774)),Assumptions!$D$5,IF(ISNUMBER(SEARCH(Assumptions!$C$6,E3774)),Assumptions!$D$6,IF(ISNUMBER(SEARCH(Assumptions!$C$7,E3774)),Assumptions!$D$7,"Other Services"))),"Other Services"))</f>
        <v/>
      </c>
    </row>
    <row r="3775" customFormat="false" ht="15" hidden="false" customHeight="false" outlineLevel="0" collapsed="false">
      <c r="G3775" s="41" t="str">
        <f aca="false">IF(E3775="","",IFERROR(IF(ISNUMBER(SEARCH(Assumptions!$C$5,E3775)),Assumptions!$D$5,IF(ISNUMBER(SEARCH(Assumptions!$C$6,E3775)),Assumptions!$D$6,IF(ISNUMBER(SEARCH(Assumptions!$C$7,E3775)),Assumptions!$D$7,"Other Services"))),"Other Services"))</f>
        <v/>
      </c>
    </row>
    <row r="3776" customFormat="false" ht="15" hidden="false" customHeight="false" outlineLevel="0" collapsed="false">
      <c r="G3776" s="41" t="str">
        <f aca="false">IF(E3776="","",IFERROR(IF(ISNUMBER(SEARCH(Assumptions!$C$5,E3776)),Assumptions!$D$5,IF(ISNUMBER(SEARCH(Assumptions!$C$6,E3776)),Assumptions!$D$6,IF(ISNUMBER(SEARCH(Assumptions!$C$7,E3776)),Assumptions!$D$7,"Other Services"))),"Other Services"))</f>
        <v/>
      </c>
    </row>
    <row r="3777" customFormat="false" ht="15" hidden="false" customHeight="false" outlineLevel="0" collapsed="false">
      <c r="G3777" s="41" t="str">
        <f aca="false">IF(E3777="","",IFERROR(IF(ISNUMBER(SEARCH(Assumptions!$C$5,E3777)),Assumptions!$D$5,IF(ISNUMBER(SEARCH(Assumptions!$C$6,E3777)),Assumptions!$D$6,IF(ISNUMBER(SEARCH(Assumptions!$C$7,E3777)),Assumptions!$D$7,"Other Services"))),"Other Services"))</f>
        <v/>
      </c>
    </row>
    <row r="3778" customFormat="false" ht="15" hidden="false" customHeight="false" outlineLevel="0" collapsed="false">
      <c r="G3778" s="41" t="str">
        <f aca="false">IF(E3778="","",IFERROR(IF(ISNUMBER(SEARCH(Assumptions!$C$5,E3778)),Assumptions!$D$5,IF(ISNUMBER(SEARCH(Assumptions!$C$6,E3778)),Assumptions!$D$6,IF(ISNUMBER(SEARCH(Assumptions!$C$7,E3778)),Assumptions!$D$7,"Other Services"))),"Other Services"))</f>
        <v/>
      </c>
    </row>
    <row r="3779" customFormat="false" ht="15" hidden="false" customHeight="false" outlineLevel="0" collapsed="false">
      <c r="G3779" s="41" t="str">
        <f aca="false">IF(E3779="","",IFERROR(IF(ISNUMBER(SEARCH(Assumptions!$C$5,E3779)),Assumptions!$D$5,IF(ISNUMBER(SEARCH(Assumptions!$C$6,E3779)),Assumptions!$D$6,IF(ISNUMBER(SEARCH(Assumptions!$C$7,E3779)),Assumptions!$D$7,"Other Services"))),"Other Services"))</f>
        <v/>
      </c>
    </row>
    <row r="3780" customFormat="false" ht="15" hidden="false" customHeight="false" outlineLevel="0" collapsed="false">
      <c r="G3780" s="41" t="str">
        <f aca="false">IF(E3780="","",IFERROR(IF(ISNUMBER(SEARCH(Assumptions!$C$5,E3780)),Assumptions!$D$5,IF(ISNUMBER(SEARCH(Assumptions!$C$6,E3780)),Assumptions!$D$6,IF(ISNUMBER(SEARCH(Assumptions!$C$7,E3780)),Assumptions!$D$7,"Other Services"))),"Other Services"))</f>
        <v/>
      </c>
    </row>
    <row r="3781" customFormat="false" ht="15" hidden="false" customHeight="false" outlineLevel="0" collapsed="false">
      <c r="G3781" s="41" t="str">
        <f aca="false">IF(E3781="","",IFERROR(IF(ISNUMBER(SEARCH(Assumptions!$C$5,E3781)),Assumptions!$D$5,IF(ISNUMBER(SEARCH(Assumptions!$C$6,E3781)),Assumptions!$D$6,IF(ISNUMBER(SEARCH(Assumptions!$C$7,E3781)),Assumptions!$D$7,"Other Services"))),"Other Services"))</f>
        <v/>
      </c>
    </row>
    <row r="3782" customFormat="false" ht="15" hidden="false" customHeight="false" outlineLevel="0" collapsed="false">
      <c r="G3782" s="41" t="str">
        <f aca="false">IF(E3782="","",IFERROR(IF(ISNUMBER(SEARCH(Assumptions!$C$5,E3782)),Assumptions!$D$5,IF(ISNUMBER(SEARCH(Assumptions!$C$6,E3782)),Assumptions!$D$6,IF(ISNUMBER(SEARCH(Assumptions!$C$7,E3782)),Assumptions!$D$7,"Other Services"))),"Other Services"))</f>
        <v/>
      </c>
    </row>
    <row r="3783" customFormat="false" ht="15" hidden="false" customHeight="false" outlineLevel="0" collapsed="false">
      <c r="G3783" s="41" t="str">
        <f aca="false">IF(E3783="","",IFERROR(IF(ISNUMBER(SEARCH(Assumptions!$C$5,E3783)),Assumptions!$D$5,IF(ISNUMBER(SEARCH(Assumptions!$C$6,E3783)),Assumptions!$D$6,IF(ISNUMBER(SEARCH(Assumptions!$C$7,E3783)),Assumptions!$D$7,"Other Services"))),"Other Services"))</f>
        <v/>
      </c>
    </row>
    <row r="3784" customFormat="false" ht="15" hidden="false" customHeight="false" outlineLevel="0" collapsed="false">
      <c r="G3784" s="41" t="str">
        <f aca="false">IF(E3784="","",IFERROR(IF(ISNUMBER(SEARCH(Assumptions!$C$5,E3784)),Assumptions!$D$5,IF(ISNUMBER(SEARCH(Assumptions!$C$6,E3784)),Assumptions!$D$6,IF(ISNUMBER(SEARCH(Assumptions!$C$7,E3784)),Assumptions!$D$7,"Other Services"))),"Other Services"))</f>
        <v/>
      </c>
    </row>
    <row r="3785" customFormat="false" ht="15" hidden="false" customHeight="false" outlineLevel="0" collapsed="false">
      <c r="G3785" s="41" t="str">
        <f aca="false">IF(E3785="","",IFERROR(IF(ISNUMBER(SEARCH(Assumptions!$C$5,E3785)),Assumptions!$D$5,IF(ISNUMBER(SEARCH(Assumptions!$C$6,E3785)),Assumptions!$D$6,IF(ISNUMBER(SEARCH(Assumptions!$C$7,E3785)),Assumptions!$D$7,"Other Services"))),"Other Services"))</f>
        <v/>
      </c>
    </row>
    <row r="3786" customFormat="false" ht="15" hidden="false" customHeight="false" outlineLevel="0" collapsed="false">
      <c r="G3786" s="41" t="str">
        <f aca="false">IF(E3786="","",IFERROR(IF(ISNUMBER(SEARCH(Assumptions!$C$5,E3786)),Assumptions!$D$5,IF(ISNUMBER(SEARCH(Assumptions!$C$6,E3786)),Assumptions!$D$6,IF(ISNUMBER(SEARCH(Assumptions!$C$7,E3786)),Assumptions!$D$7,"Other Services"))),"Other Services"))</f>
        <v/>
      </c>
    </row>
    <row r="3787" customFormat="false" ht="15" hidden="false" customHeight="false" outlineLevel="0" collapsed="false">
      <c r="G3787" s="41" t="str">
        <f aca="false">IF(E3787="","",IFERROR(IF(ISNUMBER(SEARCH(Assumptions!$C$5,E3787)),Assumptions!$D$5,IF(ISNUMBER(SEARCH(Assumptions!$C$6,E3787)),Assumptions!$D$6,IF(ISNUMBER(SEARCH(Assumptions!$C$7,E3787)),Assumptions!$D$7,"Other Services"))),"Other Services"))</f>
        <v/>
      </c>
    </row>
    <row r="3788" customFormat="false" ht="15" hidden="false" customHeight="false" outlineLevel="0" collapsed="false">
      <c r="G3788" s="41" t="str">
        <f aca="false">IF(E3788="","",IFERROR(IF(ISNUMBER(SEARCH(Assumptions!$C$5,E3788)),Assumptions!$D$5,IF(ISNUMBER(SEARCH(Assumptions!$C$6,E3788)),Assumptions!$D$6,IF(ISNUMBER(SEARCH(Assumptions!$C$7,E3788)),Assumptions!$D$7,"Other Services"))),"Other Services"))</f>
        <v/>
      </c>
    </row>
    <row r="3789" customFormat="false" ht="15" hidden="false" customHeight="false" outlineLevel="0" collapsed="false">
      <c r="G3789" s="41" t="str">
        <f aca="false">IF(E3789="","",IFERROR(IF(ISNUMBER(SEARCH(Assumptions!$C$5,E3789)),Assumptions!$D$5,IF(ISNUMBER(SEARCH(Assumptions!$C$6,E3789)),Assumptions!$D$6,IF(ISNUMBER(SEARCH(Assumptions!$C$7,E3789)),Assumptions!$D$7,"Other Services"))),"Other Services"))</f>
        <v/>
      </c>
    </row>
    <row r="3790" customFormat="false" ht="15" hidden="false" customHeight="false" outlineLevel="0" collapsed="false">
      <c r="G3790" s="41" t="str">
        <f aca="false">IF(E3790="","",IFERROR(IF(ISNUMBER(SEARCH(Assumptions!$C$5,E3790)),Assumptions!$D$5,IF(ISNUMBER(SEARCH(Assumptions!$C$6,E3790)),Assumptions!$D$6,IF(ISNUMBER(SEARCH(Assumptions!$C$7,E3790)),Assumptions!$D$7,"Other Services"))),"Other Services"))</f>
        <v/>
      </c>
    </row>
    <row r="3791" customFormat="false" ht="15" hidden="false" customHeight="false" outlineLevel="0" collapsed="false">
      <c r="G3791" s="41" t="str">
        <f aca="false">IF(E3791="","",IFERROR(IF(ISNUMBER(SEARCH(Assumptions!$C$5,E3791)),Assumptions!$D$5,IF(ISNUMBER(SEARCH(Assumptions!$C$6,E3791)),Assumptions!$D$6,IF(ISNUMBER(SEARCH(Assumptions!$C$7,E3791)),Assumptions!$D$7,"Other Services"))),"Other Services"))</f>
        <v/>
      </c>
    </row>
    <row r="3792" customFormat="false" ht="15" hidden="false" customHeight="false" outlineLevel="0" collapsed="false">
      <c r="G3792" s="41" t="str">
        <f aca="false">IF(E3792="","",IFERROR(IF(ISNUMBER(SEARCH(Assumptions!$C$5,E3792)),Assumptions!$D$5,IF(ISNUMBER(SEARCH(Assumptions!$C$6,E3792)),Assumptions!$D$6,IF(ISNUMBER(SEARCH(Assumptions!$C$7,E3792)),Assumptions!$D$7,"Other Services"))),"Other Services"))</f>
        <v/>
      </c>
    </row>
    <row r="3793" customFormat="false" ht="15" hidden="false" customHeight="false" outlineLevel="0" collapsed="false">
      <c r="G3793" s="41" t="str">
        <f aca="false">IF(E3793="","",IFERROR(IF(ISNUMBER(SEARCH(Assumptions!$C$5,E3793)),Assumptions!$D$5,IF(ISNUMBER(SEARCH(Assumptions!$C$6,E3793)),Assumptions!$D$6,IF(ISNUMBER(SEARCH(Assumptions!$C$7,E3793)),Assumptions!$D$7,"Other Services"))),"Other Services"))</f>
        <v/>
      </c>
    </row>
    <row r="3794" customFormat="false" ht="15" hidden="false" customHeight="false" outlineLevel="0" collapsed="false">
      <c r="G3794" s="41" t="str">
        <f aca="false">IF(E3794="","",IFERROR(IF(ISNUMBER(SEARCH(Assumptions!$C$5,E3794)),Assumptions!$D$5,IF(ISNUMBER(SEARCH(Assumptions!$C$6,E3794)),Assumptions!$D$6,IF(ISNUMBER(SEARCH(Assumptions!$C$7,E3794)),Assumptions!$D$7,"Other Services"))),"Other Services"))</f>
        <v/>
      </c>
    </row>
    <row r="3795" customFormat="false" ht="15" hidden="false" customHeight="false" outlineLevel="0" collapsed="false">
      <c r="G3795" s="41" t="str">
        <f aca="false">IF(E3795="","",IFERROR(IF(ISNUMBER(SEARCH(Assumptions!$C$5,E3795)),Assumptions!$D$5,IF(ISNUMBER(SEARCH(Assumptions!$C$6,E3795)),Assumptions!$D$6,IF(ISNUMBER(SEARCH(Assumptions!$C$7,E3795)),Assumptions!$D$7,"Other Services"))),"Other Services"))</f>
        <v/>
      </c>
    </row>
    <row r="3796" customFormat="false" ht="15" hidden="false" customHeight="false" outlineLevel="0" collapsed="false">
      <c r="G3796" s="41" t="str">
        <f aca="false">IF(E3796="","",IFERROR(IF(ISNUMBER(SEARCH(Assumptions!$C$5,E3796)),Assumptions!$D$5,IF(ISNUMBER(SEARCH(Assumptions!$C$6,E3796)),Assumptions!$D$6,IF(ISNUMBER(SEARCH(Assumptions!$C$7,E3796)),Assumptions!$D$7,"Other Services"))),"Other Services"))</f>
        <v/>
      </c>
    </row>
    <row r="3797" customFormat="false" ht="15" hidden="false" customHeight="false" outlineLevel="0" collapsed="false">
      <c r="G3797" s="41" t="str">
        <f aca="false">IF(E3797="","",IFERROR(IF(ISNUMBER(SEARCH(Assumptions!$C$5,E3797)),Assumptions!$D$5,IF(ISNUMBER(SEARCH(Assumptions!$C$6,E3797)),Assumptions!$D$6,IF(ISNUMBER(SEARCH(Assumptions!$C$7,E3797)),Assumptions!$D$7,"Other Services"))),"Other Services"))</f>
        <v/>
      </c>
    </row>
    <row r="3798" customFormat="false" ht="15" hidden="false" customHeight="false" outlineLevel="0" collapsed="false">
      <c r="G3798" s="41" t="str">
        <f aca="false">IF(E3798="","",IFERROR(IF(ISNUMBER(SEARCH(Assumptions!$C$5,E3798)),Assumptions!$D$5,IF(ISNUMBER(SEARCH(Assumptions!$C$6,E3798)),Assumptions!$D$6,IF(ISNUMBER(SEARCH(Assumptions!$C$7,E3798)),Assumptions!$D$7,"Other Services"))),"Other Services"))</f>
        <v/>
      </c>
    </row>
    <row r="3799" customFormat="false" ht="15" hidden="false" customHeight="false" outlineLevel="0" collapsed="false">
      <c r="G3799" s="41" t="str">
        <f aca="false">IF(E3799="","",IFERROR(IF(ISNUMBER(SEARCH(Assumptions!$C$5,E3799)),Assumptions!$D$5,IF(ISNUMBER(SEARCH(Assumptions!$C$6,E3799)),Assumptions!$D$6,IF(ISNUMBER(SEARCH(Assumptions!$C$7,E3799)),Assumptions!$D$7,"Other Services"))),"Other Services"))</f>
        <v/>
      </c>
    </row>
    <row r="3800" customFormat="false" ht="15" hidden="false" customHeight="false" outlineLevel="0" collapsed="false">
      <c r="G3800" s="41" t="str">
        <f aca="false">IF(E3800="","",IFERROR(IF(ISNUMBER(SEARCH(Assumptions!$C$5,E3800)),Assumptions!$D$5,IF(ISNUMBER(SEARCH(Assumptions!$C$6,E3800)),Assumptions!$D$6,IF(ISNUMBER(SEARCH(Assumptions!$C$7,E3800)),Assumptions!$D$7,"Other Services"))),"Other Services"))</f>
        <v/>
      </c>
    </row>
    <row r="3801" customFormat="false" ht="15" hidden="false" customHeight="false" outlineLevel="0" collapsed="false">
      <c r="G3801" s="41" t="str">
        <f aca="false">IF(E3801="","",IFERROR(IF(ISNUMBER(SEARCH(Assumptions!$C$5,E3801)),Assumptions!$D$5,IF(ISNUMBER(SEARCH(Assumptions!$C$6,E3801)),Assumptions!$D$6,IF(ISNUMBER(SEARCH(Assumptions!$C$7,E3801)),Assumptions!$D$7,"Other Services"))),"Other Services"))</f>
        <v/>
      </c>
    </row>
    <row r="3802" customFormat="false" ht="15" hidden="false" customHeight="false" outlineLevel="0" collapsed="false">
      <c r="G3802" s="41" t="str">
        <f aca="false">IF(E3802="","",IFERROR(IF(ISNUMBER(SEARCH(Assumptions!$C$5,E3802)),Assumptions!$D$5,IF(ISNUMBER(SEARCH(Assumptions!$C$6,E3802)),Assumptions!$D$6,IF(ISNUMBER(SEARCH(Assumptions!$C$7,E3802)),Assumptions!$D$7,"Other Services"))),"Other Services"))</f>
        <v/>
      </c>
    </row>
    <row r="3803" customFormat="false" ht="15" hidden="false" customHeight="false" outlineLevel="0" collapsed="false">
      <c r="G3803" s="41" t="str">
        <f aca="false">IF(E3803="","",IFERROR(IF(ISNUMBER(SEARCH(Assumptions!$C$5,E3803)),Assumptions!$D$5,IF(ISNUMBER(SEARCH(Assumptions!$C$6,E3803)),Assumptions!$D$6,IF(ISNUMBER(SEARCH(Assumptions!$C$7,E3803)),Assumptions!$D$7,"Other Services"))),"Other Services"))</f>
        <v/>
      </c>
    </row>
    <row r="3804" customFormat="false" ht="15" hidden="false" customHeight="false" outlineLevel="0" collapsed="false">
      <c r="G3804" s="41" t="str">
        <f aca="false">IF(E3804="","",IFERROR(IF(ISNUMBER(SEARCH(Assumptions!$C$5,E3804)),Assumptions!$D$5,IF(ISNUMBER(SEARCH(Assumptions!$C$6,E3804)),Assumptions!$D$6,IF(ISNUMBER(SEARCH(Assumptions!$C$7,E3804)),Assumptions!$D$7,"Other Services"))),"Other Services"))</f>
        <v/>
      </c>
    </row>
    <row r="3805" customFormat="false" ht="15" hidden="false" customHeight="false" outlineLevel="0" collapsed="false">
      <c r="G3805" s="41" t="str">
        <f aca="false">IF(E3805="","",IFERROR(IF(ISNUMBER(SEARCH(Assumptions!$C$5,E3805)),Assumptions!$D$5,IF(ISNUMBER(SEARCH(Assumptions!$C$6,E3805)),Assumptions!$D$6,IF(ISNUMBER(SEARCH(Assumptions!$C$7,E3805)),Assumptions!$D$7,"Other Services"))),"Other Services"))</f>
        <v/>
      </c>
    </row>
    <row r="3806" customFormat="false" ht="15" hidden="false" customHeight="false" outlineLevel="0" collapsed="false">
      <c r="G3806" s="41" t="str">
        <f aca="false">IF(E3806="","",IFERROR(IF(ISNUMBER(SEARCH(Assumptions!$C$5,E3806)),Assumptions!$D$5,IF(ISNUMBER(SEARCH(Assumptions!$C$6,E3806)),Assumptions!$D$6,IF(ISNUMBER(SEARCH(Assumptions!$C$7,E3806)),Assumptions!$D$7,"Other Services"))),"Other Services"))</f>
        <v/>
      </c>
    </row>
    <row r="3807" customFormat="false" ht="15" hidden="false" customHeight="false" outlineLevel="0" collapsed="false">
      <c r="G3807" s="41" t="str">
        <f aca="false">IF(E3807="","",IFERROR(IF(ISNUMBER(SEARCH(Assumptions!$C$5,E3807)),Assumptions!$D$5,IF(ISNUMBER(SEARCH(Assumptions!$C$6,E3807)),Assumptions!$D$6,IF(ISNUMBER(SEARCH(Assumptions!$C$7,E3807)),Assumptions!$D$7,"Other Services"))),"Other Services"))</f>
        <v/>
      </c>
    </row>
    <row r="3808" customFormat="false" ht="15" hidden="false" customHeight="false" outlineLevel="0" collapsed="false">
      <c r="G3808" s="41" t="str">
        <f aca="false">IF(E3808="","",IFERROR(IF(ISNUMBER(SEARCH(Assumptions!$C$5,E3808)),Assumptions!$D$5,IF(ISNUMBER(SEARCH(Assumptions!$C$6,E3808)),Assumptions!$D$6,IF(ISNUMBER(SEARCH(Assumptions!$C$7,E3808)),Assumptions!$D$7,"Other Services"))),"Other Services"))</f>
        <v/>
      </c>
    </row>
    <row r="3809" customFormat="false" ht="15" hidden="false" customHeight="false" outlineLevel="0" collapsed="false">
      <c r="G3809" s="41" t="str">
        <f aca="false">IF(E3809="","",IFERROR(IF(ISNUMBER(SEARCH(Assumptions!$C$5,E3809)),Assumptions!$D$5,IF(ISNUMBER(SEARCH(Assumptions!$C$6,E3809)),Assumptions!$D$6,IF(ISNUMBER(SEARCH(Assumptions!$C$7,E3809)),Assumptions!$D$7,"Other Services"))),"Other Services"))</f>
        <v/>
      </c>
    </row>
    <row r="3810" customFormat="false" ht="15" hidden="false" customHeight="false" outlineLevel="0" collapsed="false">
      <c r="G3810" s="41" t="str">
        <f aca="false">IF(E3810="","",IFERROR(IF(ISNUMBER(SEARCH(Assumptions!$C$5,E3810)),Assumptions!$D$5,IF(ISNUMBER(SEARCH(Assumptions!$C$6,E3810)),Assumptions!$D$6,IF(ISNUMBER(SEARCH(Assumptions!$C$7,E3810)),Assumptions!$D$7,"Other Services"))),"Other Services"))</f>
        <v/>
      </c>
    </row>
    <row r="3811" customFormat="false" ht="15" hidden="false" customHeight="false" outlineLevel="0" collapsed="false">
      <c r="G3811" s="41" t="str">
        <f aca="false">IF(E3811="","",IFERROR(IF(ISNUMBER(SEARCH(Assumptions!$C$5,E3811)),Assumptions!$D$5,IF(ISNUMBER(SEARCH(Assumptions!$C$6,E3811)),Assumptions!$D$6,IF(ISNUMBER(SEARCH(Assumptions!$C$7,E3811)),Assumptions!$D$7,"Other Services"))),"Other Services"))</f>
        <v/>
      </c>
    </row>
    <row r="3812" customFormat="false" ht="15" hidden="false" customHeight="false" outlineLevel="0" collapsed="false">
      <c r="G3812" s="41" t="str">
        <f aca="false">IF(E3812="","",IFERROR(IF(ISNUMBER(SEARCH(Assumptions!$C$5,E3812)),Assumptions!$D$5,IF(ISNUMBER(SEARCH(Assumptions!$C$6,E3812)),Assumptions!$D$6,IF(ISNUMBER(SEARCH(Assumptions!$C$7,E3812)),Assumptions!$D$7,"Other Services"))),"Other Services"))</f>
        <v/>
      </c>
    </row>
    <row r="3813" customFormat="false" ht="15" hidden="false" customHeight="false" outlineLevel="0" collapsed="false">
      <c r="G3813" s="41" t="str">
        <f aca="false">IF(E3813="","",IFERROR(IF(ISNUMBER(SEARCH(Assumptions!$C$5,E3813)),Assumptions!$D$5,IF(ISNUMBER(SEARCH(Assumptions!$C$6,E3813)),Assumptions!$D$6,IF(ISNUMBER(SEARCH(Assumptions!$C$7,E3813)),Assumptions!$D$7,"Other Services"))),"Other Services"))</f>
        <v/>
      </c>
    </row>
    <row r="3814" customFormat="false" ht="15" hidden="false" customHeight="false" outlineLevel="0" collapsed="false">
      <c r="G3814" s="41" t="str">
        <f aca="false">IF(E3814="","",IFERROR(IF(ISNUMBER(SEARCH(Assumptions!$C$5,E3814)),Assumptions!$D$5,IF(ISNUMBER(SEARCH(Assumptions!$C$6,E3814)),Assumptions!$D$6,IF(ISNUMBER(SEARCH(Assumptions!$C$7,E3814)),Assumptions!$D$7,"Other Services"))),"Other Services"))</f>
        <v/>
      </c>
    </row>
    <row r="3815" customFormat="false" ht="15" hidden="false" customHeight="false" outlineLevel="0" collapsed="false">
      <c r="G3815" s="41" t="str">
        <f aca="false">IF(E3815="","",IFERROR(IF(ISNUMBER(SEARCH(Assumptions!$C$5,E3815)),Assumptions!$D$5,IF(ISNUMBER(SEARCH(Assumptions!$C$6,E3815)),Assumptions!$D$6,IF(ISNUMBER(SEARCH(Assumptions!$C$7,E3815)),Assumptions!$D$7,"Other Services"))),"Other Services"))</f>
        <v/>
      </c>
    </row>
    <row r="3816" customFormat="false" ht="15" hidden="false" customHeight="false" outlineLevel="0" collapsed="false">
      <c r="G3816" s="41" t="str">
        <f aca="false">IF(E3816="","",IFERROR(IF(ISNUMBER(SEARCH(Assumptions!$C$5,E3816)),Assumptions!$D$5,IF(ISNUMBER(SEARCH(Assumptions!$C$6,E3816)),Assumptions!$D$6,IF(ISNUMBER(SEARCH(Assumptions!$C$7,E3816)),Assumptions!$D$7,"Other Services"))),"Other Services"))</f>
        <v/>
      </c>
    </row>
    <row r="3817" customFormat="false" ht="15" hidden="false" customHeight="false" outlineLevel="0" collapsed="false">
      <c r="G3817" s="41" t="str">
        <f aca="false">IF(E3817="","",IFERROR(IF(ISNUMBER(SEARCH(Assumptions!$C$5,E3817)),Assumptions!$D$5,IF(ISNUMBER(SEARCH(Assumptions!$C$6,E3817)),Assumptions!$D$6,IF(ISNUMBER(SEARCH(Assumptions!$C$7,E3817)),Assumptions!$D$7,"Other Services"))),"Other Services"))</f>
        <v/>
      </c>
    </row>
    <row r="3818" customFormat="false" ht="15" hidden="false" customHeight="false" outlineLevel="0" collapsed="false">
      <c r="G3818" s="41" t="str">
        <f aca="false">IF(E3818="","",IFERROR(IF(ISNUMBER(SEARCH(Assumptions!$C$5,E3818)),Assumptions!$D$5,IF(ISNUMBER(SEARCH(Assumptions!$C$6,E3818)),Assumptions!$D$6,IF(ISNUMBER(SEARCH(Assumptions!$C$7,E3818)),Assumptions!$D$7,"Other Services"))),"Other Services"))</f>
        <v/>
      </c>
    </row>
    <row r="3819" customFormat="false" ht="15" hidden="false" customHeight="false" outlineLevel="0" collapsed="false">
      <c r="G3819" s="41" t="str">
        <f aca="false">IF(E3819="","",IFERROR(IF(ISNUMBER(SEARCH(Assumptions!$C$5,E3819)),Assumptions!$D$5,IF(ISNUMBER(SEARCH(Assumptions!$C$6,E3819)),Assumptions!$D$6,IF(ISNUMBER(SEARCH(Assumptions!$C$7,E3819)),Assumptions!$D$7,"Other Services"))),"Other Services"))</f>
        <v/>
      </c>
    </row>
    <row r="3820" customFormat="false" ht="15" hidden="false" customHeight="false" outlineLevel="0" collapsed="false">
      <c r="G3820" s="41" t="str">
        <f aca="false">IF(E3820="","",IFERROR(IF(ISNUMBER(SEARCH(Assumptions!$C$5,E3820)),Assumptions!$D$5,IF(ISNUMBER(SEARCH(Assumptions!$C$6,E3820)),Assumptions!$D$6,IF(ISNUMBER(SEARCH(Assumptions!$C$7,E3820)),Assumptions!$D$7,"Other Services"))),"Other Services"))</f>
        <v/>
      </c>
    </row>
    <row r="3821" customFormat="false" ht="15" hidden="false" customHeight="false" outlineLevel="0" collapsed="false">
      <c r="G3821" s="41" t="str">
        <f aca="false">IF(E3821="","",IFERROR(IF(ISNUMBER(SEARCH(Assumptions!$C$5,E3821)),Assumptions!$D$5,IF(ISNUMBER(SEARCH(Assumptions!$C$6,E3821)),Assumptions!$D$6,IF(ISNUMBER(SEARCH(Assumptions!$C$7,E3821)),Assumptions!$D$7,"Other Services"))),"Other Services"))</f>
        <v/>
      </c>
    </row>
    <row r="3822" customFormat="false" ht="15" hidden="false" customHeight="false" outlineLevel="0" collapsed="false">
      <c r="G3822" s="41" t="str">
        <f aca="false">IF(E3822="","",IFERROR(IF(ISNUMBER(SEARCH(Assumptions!$C$5,E3822)),Assumptions!$D$5,IF(ISNUMBER(SEARCH(Assumptions!$C$6,E3822)),Assumptions!$D$6,IF(ISNUMBER(SEARCH(Assumptions!$C$7,E3822)),Assumptions!$D$7,"Other Services"))),"Other Services"))</f>
        <v/>
      </c>
    </row>
    <row r="3823" customFormat="false" ht="15" hidden="false" customHeight="false" outlineLevel="0" collapsed="false">
      <c r="G3823" s="41" t="str">
        <f aca="false">IF(E3823="","",IFERROR(IF(ISNUMBER(SEARCH(Assumptions!$C$5,E3823)),Assumptions!$D$5,IF(ISNUMBER(SEARCH(Assumptions!$C$6,E3823)),Assumptions!$D$6,IF(ISNUMBER(SEARCH(Assumptions!$C$7,E3823)),Assumptions!$D$7,"Other Services"))),"Other Services"))</f>
        <v/>
      </c>
    </row>
    <row r="3824" customFormat="false" ht="15" hidden="false" customHeight="false" outlineLevel="0" collapsed="false">
      <c r="G3824" s="41" t="str">
        <f aca="false">IF(E3824="","",IFERROR(IF(ISNUMBER(SEARCH(Assumptions!$C$5,E3824)),Assumptions!$D$5,IF(ISNUMBER(SEARCH(Assumptions!$C$6,E3824)),Assumptions!$D$6,IF(ISNUMBER(SEARCH(Assumptions!$C$7,E3824)),Assumptions!$D$7,"Other Services"))),"Other Services"))</f>
        <v/>
      </c>
    </row>
    <row r="3825" customFormat="false" ht="15" hidden="false" customHeight="false" outlineLevel="0" collapsed="false">
      <c r="G3825" s="41" t="str">
        <f aca="false">IF(E3825="","",IFERROR(IF(ISNUMBER(SEARCH(Assumptions!$C$5,E3825)),Assumptions!$D$5,IF(ISNUMBER(SEARCH(Assumptions!$C$6,E3825)),Assumptions!$D$6,IF(ISNUMBER(SEARCH(Assumptions!$C$7,E3825)),Assumptions!$D$7,"Other Services"))),"Other Services"))</f>
        <v/>
      </c>
    </row>
    <row r="3826" customFormat="false" ht="15" hidden="false" customHeight="false" outlineLevel="0" collapsed="false">
      <c r="G3826" s="41" t="str">
        <f aca="false">IF(E3826="","",IFERROR(IF(ISNUMBER(SEARCH(Assumptions!$C$5,E3826)),Assumptions!$D$5,IF(ISNUMBER(SEARCH(Assumptions!$C$6,E3826)),Assumptions!$D$6,IF(ISNUMBER(SEARCH(Assumptions!$C$7,E3826)),Assumptions!$D$7,"Other Services"))),"Other Services"))</f>
        <v/>
      </c>
    </row>
    <row r="3827" customFormat="false" ht="15" hidden="false" customHeight="false" outlineLevel="0" collapsed="false">
      <c r="G3827" s="41" t="str">
        <f aca="false">IF(E3827="","",IFERROR(IF(ISNUMBER(SEARCH(Assumptions!$C$5,E3827)),Assumptions!$D$5,IF(ISNUMBER(SEARCH(Assumptions!$C$6,E3827)),Assumptions!$D$6,IF(ISNUMBER(SEARCH(Assumptions!$C$7,E3827)),Assumptions!$D$7,"Other Services"))),"Other Services"))</f>
        <v/>
      </c>
    </row>
    <row r="3828" customFormat="false" ht="15" hidden="false" customHeight="false" outlineLevel="0" collapsed="false">
      <c r="G3828" s="41" t="str">
        <f aca="false">IF(E3828="","",IFERROR(IF(ISNUMBER(SEARCH(Assumptions!$C$5,E3828)),Assumptions!$D$5,IF(ISNUMBER(SEARCH(Assumptions!$C$6,E3828)),Assumptions!$D$6,IF(ISNUMBER(SEARCH(Assumptions!$C$7,E3828)),Assumptions!$D$7,"Other Services"))),"Other Services"))</f>
        <v/>
      </c>
    </row>
    <row r="3829" customFormat="false" ht="15" hidden="false" customHeight="false" outlineLevel="0" collapsed="false">
      <c r="G3829" s="41" t="str">
        <f aca="false">IF(E3829="","",IFERROR(IF(ISNUMBER(SEARCH(Assumptions!$C$5,E3829)),Assumptions!$D$5,IF(ISNUMBER(SEARCH(Assumptions!$C$6,E3829)),Assumptions!$D$6,IF(ISNUMBER(SEARCH(Assumptions!$C$7,E3829)),Assumptions!$D$7,"Other Services"))),"Other Services"))</f>
        <v/>
      </c>
    </row>
    <row r="3830" customFormat="false" ht="15" hidden="false" customHeight="false" outlineLevel="0" collapsed="false">
      <c r="G3830" s="41" t="str">
        <f aca="false">IF(E3830="","",IFERROR(IF(ISNUMBER(SEARCH(Assumptions!$C$5,E3830)),Assumptions!$D$5,IF(ISNUMBER(SEARCH(Assumptions!$C$6,E3830)),Assumptions!$D$6,IF(ISNUMBER(SEARCH(Assumptions!$C$7,E3830)),Assumptions!$D$7,"Other Services"))),"Other Services"))</f>
        <v/>
      </c>
    </row>
    <row r="3831" customFormat="false" ht="15" hidden="false" customHeight="false" outlineLevel="0" collapsed="false">
      <c r="G3831" s="41" t="str">
        <f aca="false">IF(E3831="","",IFERROR(IF(ISNUMBER(SEARCH(Assumptions!$C$5,E3831)),Assumptions!$D$5,IF(ISNUMBER(SEARCH(Assumptions!$C$6,E3831)),Assumptions!$D$6,IF(ISNUMBER(SEARCH(Assumptions!$C$7,E3831)),Assumptions!$D$7,"Other Services"))),"Other Services"))</f>
        <v/>
      </c>
    </row>
    <row r="3832" customFormat="false" ht="15" hidden="false" customHeight="false" outlineLevel="0" collapsed="false">
      <c r="G3832" s="41" t="str">
        <f aca="false">IF(E3832="","",IFERROR(IF(ISNUMBER(SEARCH(Assumptions!$C$5,E3832)),Assumptions!$D$5,IF(ISNUMBER(SEARCH(Assumptions!$C$6,E3832)),Assumptions!$D$6,IF(ISNUMBER(SEARCH(Assumptions!$C$7,E3832)),Assumptions!$D$7,"Other Services"))),"Other Services"))</f>
        <v/>
      </c>
    </row>
    <row r="3833" customFormat="false" ht="15" hidden="false" customHeight="false" outlineLevel="0" collapsed="false">
      <c r="G3833" s="41" t="str">
        <f aca="false">IF(E3833="","",IFERROR(IF(ISNUMBER(SEARCH(Assumptions!$C$5,E3833)),Assumptions!$D$5,IF(ISNUMBER(SEARCH(Assumptions!$C$6,E3833)),Assumptions!$D$6,IF(ISNUMBER(SEARCH(Assumptions!$C$7,E3833)),Assumptions!$D$7,"Other Services"))),"Other Services"))</f>
        <v/>
      </c>
    </row>
    <row r="3834" customFormat="false" ht="15" hidden="false" customHeight="false" outlineLevel="0" collapsed="false">
      <c r="G3834" s="41" t="str">
        <f aca="false">IF(E3834="","",IFERROR(IF(ISNUMBER(SEARCH(Assumptions!$C$5,E3834)),Assumptions!$D$5,IF(ISNUMBER(SEARCH(Assumptions!$C$6,E3834)),Assumptions!$D$6,IF(ISNUMBER(SEARCH(Assumptions!$C$7,E3834)),Assumptions!$D$7,"Other Services"))),"Other Services"))</f>
        <v/>
      </c>
    </row>
    <row r="3835" customFormat="false" ht="15" hidden="false" customHeight="false" outlineLevel="0" collapsed="false">
      <c r="G3835" s="41" t="str">
        <f aca="false">IF(E3835="","",IFERROR(IF(ISNUMBER(SEARCH(Assumptions!$C$5,E3835)),Assumptions!$D$5,IF(ISNUMBER(SEARCH(Assumptions!$C$6,E3835)),Assumptions!$D$6,IF(ISNUMBER(SEARCH(Assumptions!$C$7,E3835)),Assumptions!$D$7,"Other Services"))),"Other Services"))</f>
        <v/>
      </c>
    </row>
    <row r="3836" customFormat="false" ht="15" hidden="false" customHeight="false" outlineLevel="0" collapsed="false">
      <c r="G3836" s="41" t="str">
        <f aca="false">IF(E3836="","",IFERROR(IF(ISNUMBER(SEARCH(Assumptions!$C$5,E3836)),Assumptions!$D$5,IF(ISNUMBER(SEARCH(Assumptions!$C$6,E3836)),Assumptions!$D$6,IF(ISNUMBER(SEARCH(Assumptions!$C$7,E3836)),Assumptions!$D$7,"Other Services"))),"Other Services"))</f>
        <v/>
      </c>
    </row>
    <row r="3837" customFormat="false" ht="15" hidden="false" customHeight="false" outlineLevel="0" collapsed="false">
      <c r="G3837" s="41" t="str">
        <f aca="false">IF(E3837="","",IFERROR(IF(ISNUMBER(SEARCH(Assumptions!$C$5,E3837)),Assumptions!$D$5,IF(ISNUMBER(SEARCH(Assumptions!$C$6,E3837)),Assumptions!$D$6,IF(ISNUMBER(SEARCH(Assumptions!$C$7,E3837)),Assumptions!$D$7,"Other Services"))),"Other Services"))</f>
        <v/>
      </c>
    </row>
    <row r="3838" customFormat="false" ht="15" hidden="false" customHeight="false" outlineLevel="0" collapsed="false">
      <c r="G3838" s="41" t="str">
        <f aca="false">IF(E3838="","",IFERROR(IF(ISNUMBER(SEARCH(Assumptions!$C$5,E3838)),Assumptions!$D$5,IF(ISNUMBER(SEARCH(Assumptions!$C$6,E3838)),Assumptions!$D$6,IF(ISNUMBER(SEARCH(Assumptions!$C$7,E3838)),Assumptions!$D$7,"Other Services"))),"Other Services"))</f>
        <v/>
      </c>
    </row>
    <row r="3839" customFormat="false" ht="15" hidden="false" customHeight="false" outlineLevel="0" collapsed="false">
      <c r="G3839" s="41" t="str">
        <f aca="false">IF(E3839="","",IFERROR(IF(ISNUMBER(SEARCH(Assumptions!$C$5,E3839)),Assumptions!$D$5,IF(ISNUMBER(SEARCH(Assumptions!$C$6,E3839)),Assumptions!$D$6,IF(ISNUMBER(SEARCH(Assumptions!$C$7,E3839)),Assumptions!$D$7,"Other Services"))),"Other Services"))</f>
        <v/>
      </c>
    </row>
    <row r="3840" customFormat="false" ht="15" hidden="false" customHeight="false" outlineLevel="0" collapsed="false">
      <c r="G3840" s="41" t="str">
        <f aca="false">IF(E3840="","",IFERROR(IF(ISNUMBER(SEARCH(Assumptions!$C$5,E3840)),Assumptions!$D$5,IF(ISNUMBER(SEARCH(Assumptions!$C$6,E3840)),Assumptions!$D$6,IF(ISNUMBER(SEARCH(Assumptions!$C$7,E3840)),Assumptions!$D$7,"Other Services"))),"Other Services"))</f>
        <v/>
      </c>
    </row>
    <row r="3841" customFormat="false" ht="15" hidden="false" customHeight="false" outlineLevel="0" collapsed="false">
      <c r="G3841" s="41" t="str">
        <f aca="false">IF(E3841="","",IFERROR(IF(ISNUMBER(SEARCH(Assumptions!$C$5,E3841)),Assumptions!$D$5,IF(ISNUMBER(SEARCH(Assumptions!$C$6,E3841)),Assumptions!$D$6,IF(ISNUMBER(SEARCH(Assumptions!$C$7,E3841)),Assumptions!$D$7,"Other Services"))),"Other Services"))</f>
        <v/>
      </c>
    </row>
    <row r="3842" customFormat="false" ht="15" hidden="false" customHeight="false" outlineLevel="0" collapsed="false">
      <c r="G3842" s="41" t="str">
        <f aca="false">IF(E3842="","",IFERROR(IF(ISNUMBER(SEARCH(Assumptions!$C$5,E3842)),Assumptions!$D$5,IF(ISNUMBER(SEARCH(Assumptions!$C$6,E3842)),Assumptions!$D$6,IF(ISNUMBER(SEARCH(Assumptions!$C$7,E3842)),Assumptions!$D$7,"Other Services"))),"Other Services"))</f>
        <v/>
      </c>
    </row>
    <row r="3843" customFormat="false" ht="15" hidden="false" customHeight="false" outlineLevel="0" collapsed="false">
      <c r="G3843" s="41" t="str">
        <f aca="false">IF(E3843="","",IFERROR(IF(ISNUMBER(SEARCH(Assumptions!$C$5,E3843)),Assumptions!$D$5,IF(ISNUMBER(SEARCH(Assumptions!$C$6,E3843)),Assumptions!$D$6,IF(ISNUMBER(SEARCH(Assumptions!$C$7,E3843)),Assumptions!$D$7,"Other Services"))),"Other Services"))</f>
        <v/>
      </c>
    </row>
    <row r="3844" customFormat="false" ht="15" hidden="false" customHeight="false" outlineLevel="0" collapsed="false">
      <c r="G3844" s="41" t="str">
        <f aca="false">IF(E3844="","",IFERROR(IF(ISNUMBER(SEARCH(Assumptions!$C$5,E3844)),Assumptions!$D$5,IF(ISNUMBER(SEARCH(Assumptions!$C$6,E3844)),Assumptions!$D$6,IF(ISNUMBER(SEARCH(Assumptions!$C$7,E3844)),Assumptions!$D$7,"Other Services"))),"Other Services"))</f>
        <v/>
      </c>
    </row>
    <row r="3845" customFormat="false" ht="15" hidden="false" customHeight="false" outlineLevel="0" collapsed="false">
      <c r="G3845" s="41" t="str">
        <f aca="false">IF(E3845="","",IFERROR(IF(ISNUMBER(SEARCH(Assumptions!$C$5,E3845)),Assumptions!$D$5,IF(ISNUMBER(SEARCH(Assumptions!$C$6,E3845)),Assumptions!$D$6,IF(ISNUMBER(SEARCH(Assumptions!$C$7,E3845)),Assumptions!$D$7,"Other Services"))),"Other Services"))</f>
        <v/>
      </c>
    </row>
    <row r="3846" customFormat="false" ht="15" hidden="false" customHeight="false" outlineLevel="0" collapsed="false">
      <c r="G3846" s="41" t="str">
        <f aca="false">IF(E3846="","",IFERROR(IF(ISNUMBER(SEARCH(Assumptions!$C$5,E3846)),Assumptions!$D$5,IF(ISNUMBER(SEARCH(Assumptions!$C$6,E3846)),Assumptions!$D$6,IF(ISNUMBER(SEARCH(Assumptions!$C$7,E3846)),Assumptions!$D$7,"Other Services"))),"Other Services"))</f>
        <v/>
      </c>
    </row>
    <row r="3847" customFormat="false" ht="15" hidden="false" customHeight="false" outlineLevel="0" collapsed="false">
      <c r="G3847" s="41" t="str">
        <f aca="false">IF(E3847="","",IFERROR(IF(ISNUMBER(SEARCH(Assumptions!$C$5,E3847)),Assumptions!$D$5,IF(ISNUMBER(SEARCH(Assumptions!$C$6,E3847)),Assumptions!$D$6,IF(ISNUMBER(SEARCH(Assumptions!$C$7,E3847)),Assumptions!$D$7,"Other Services"))),"Other Services"))</f>
        <v/>
      </c>
    </row>
    <row r="3848" customFormat="false" ht="15" hidden="false" customHeight="false" outlineLevel="0" collapsed="false">
      <c r="G3848" s="41" t="str">
        <f aca="false">IF(E3848="","",IFERROR(IF(ISNUMBER(SEARCH(Assumptions!$C$5,E3848)),Assumptions!$D$5,IF(ISNUMBER(SEARCH(Assumptions!$C$6,E3848)),Assumptions!$D$6,IF(ISNUMBER(SEARCH(Assumptions!$C$7,E3848)),Assumptions!$D$7,"Other Services"))),"Other Services"))</f>
        <v/>
      </c>
    </row>
    <row r="3849" customFormat="false" ht="15" hidden="false" customHeight="false" outlineLevel="0" collapsed="false">
      <c r="G3849" s="41" t="str">
        <f aca="false">IF(E3849="","",IFERROR(IF(ISNUMBER(SEARCH(Assumptions!$C$5,E3849)),Assumptions!$D$5,IF(ISNUMBER(SEARCH(Assumptions!$C$6,E3849)),Assumptions!$D$6,IF(ISNUMBER(SEARCH(Assumptions!$C$7,E3849)),Assumptions!$D$7,"Other Services"))),"Other Services"))</f>
        <v/>
      </c>
    </row>
    <row r="3850" customFormat="false" ht="15" hidden="false" customHeight="false" outlineLevel="0" collapsed="false">
      <c r="G3850" s="41" t="str">
        <f aca="false">IF(E3850="","",IFERROR(IF(ISNUMBER(SEARCH(Assumptions!$C$5,E3850)),Assumptions!$D$5,IF(ISNUMBER(SEARCH(Assumptions!$C$6,E3850)),Assumptions!$D$6,IF(ISNUMBER(SEARCH(Assumptions!$C$7,E3850)),Assumptions!$D$7,"Other Services"))),"Other Services"))</f>
        <v/>
      </c>
    </row>
    <row r="3851" customFormat="false" ht="15" hidden="false" customHeight="false" outlineLevel="0" collapsed="false">
      <c r="G3851" s="41" t="str">
        <f aca="false">IF(E3851="","",IFERROR(IF(ISNUMBER(SEARCH(Assumptions!$C$5,E3851)),Assumptions!$D$5,IF(ISNUMBER(SEARCH(Assumptions!$C$6,E3851)),Assumptions!$D$6,IF(ISNUMBER(SEARCH(Assumptions!$C$7,E3851)),Assumptions!$D$7,"Other Services"))),"Other Services"))</f>
        <v/>
      </c>
    </row>
    <row r="3852" customFormat="false" ht="15" hidden="false" customHeight="false" outlineLevel="0" collapsed="false">
      <c r="G3852" s="41" t="str">
        <f aca="false">IF(E3852="","",IFERROR(IF(ISNUMBER(SEARCH(Assumptions!$C$5,E3852)),Assumptions!$D$5,IF(ISNUMBER(SEARCH(Assumptions!$C$6,E3852)),Assumptions!$D$6,IF(ISNUMBER(SEARCH(Assumptions!$C$7,E3852)),Assumptions!$D$7,"Other Services"))),"Other Services"))</f>
        <v/>
      </c>
    </row>
    <row r="3853" customFormat="false" ht="15" hidden="false" customHeight="false" outlineLevel="0" collapsed="false">
      <c r="G3853" s="41" t="str">
        <f aca="false">IF(E3853="","",IFERROR(IF(ISNUMBER(SEARCH(Assumptions!$C$5,E3853)),Assumptions!$D$5,IF(ISNUMBER(SEARCH(Assumptions!$C$6,E3853)),Assumptions!$D$6,IF(ISNUMBER(SEARCH(Assumptions!$C$7,E3853)),Assumptions!$D$7,"Other Services"))),"Other Services"))</f>
        <v/>
      </c>
    </row>
    <row r="3854" customFormat="false" ht="15" hidden="false" customHeight="false" outlineLevel="0" collapsed="false">
      <c r="G3854" s="41" t="str">
        <f aca="false">IF(E3854="","",IFERROR(IF(ISNUMBER(SEARCH(Assumptions!$C$5,E3854)),Assumptions!$D$5,IF(ISNUMBER(SEARCH(Assumptions!$C$6,E3854)),Assumptions!$D$6,IF(ISNUMBER(SEARCH(Assumptions!$C$7,E3854)),Assumptions!$D$7,"Other Services"))),"Other Services"))</f>
        <v/>
      </c>
    </row>
    <row r="3855" customFormat="false" ht="15" hidden="false" customHeight="false" outlineLevel="0" collapsed="false">
      <c r="G3855" s="41" t="str">
        <f aca="false">IF(E3855="","",IFERROR(IF(ISNUMBER(SEARCH(Assumptions!$C$5,E3855)),Assumptions!$D$5,IF(ISNUMBER(SEARCH(Assumptions!$C$6,E3855)),Assumptions!$D$6,IF(ISNUMBER(SEARCH(Assumptions!$C$7,E3855)),Assumptions!$D$7,"Other Services"))),"Other Services"))</f>
        <v/>
      </c>
    </row>
    <row r="3856" customFormat="false" ht="15" hidden="false" customHeight="false" outlineLevel="0" collapsed="false">
      <c r="G3856" s="41" t="str">
        <f aca="false">IF(E3856="","",IFERROR(IF(ISNUMBER(SEARCH(Assumptions!$C$5,E3856)),Assumptions!$D$5,IF(ISNUMBER(SEARCH(Assumptions!$C$6,E3856)),Assumptions!$D$6,IF(ISNUMBER(SEARCH(Assumptions!$C$7,E3856)),Assumptions!$D$7,"Other Services"))),"Other Services"))</f>
        <v/>
      </c>
    </row>
    <row r="3857" customFormat="false" ht="15" hidden="false" customHeight="false" outlineLevel="0" collapsed="false">
      <c r="G3857" s="41" t="str">
        <f aca="false">IF(E3857="","",IFERROR(IF(ISNUMBER(SEARCH(Assumptions!$C$5,E3857)),Assumptions!$D$5,IF(ISNUMBER(SEARCH(Assumptions!$C$6,E3857)),Assumptions!$D$6,IF(ISNUMBER(SEARCH(Assumptions!$C$7,E3857)),Assumptions!$D$7,"Other Services"))),"Other Services"))</f>
        <v/>
      </c>
    </row>
    <row r="3858" customFormat="false" ht="15" hidden="false" customHeight="false" outlineLevel="0" collapsed="false">
      <c r="G3858" s="41" t="str">
        <f aca="false">IF(E3858="","",IFERROR(IF(ISNUMBER(SEARCH(Assumptions!$C$5,E3858)),Assumptions!$D$5,IF(ISNUMBER(SEARCH(Assumptions!$C$6,E3858)),Assumptions!$D$6,IF(ISNUMBER(SEARCH(Assumptions!$C$7,E3858)),Assumptions!$D$7,"Other Services"))),"Other Services"))</f>
        <v/>
      </c>
    </row>
    <row r="3859" customFormat="false" ht="15" hidden="false" customHeight="false" outlineLevel="0" collapsed="false">
      <c r="G3859" s="41" t="str">
        <f aca="false">IF(E3859="","",IFERROR(IF(ISNUMBER(SEARCH(Assumptions!$C$5,E3859)),Assumptions!$D$5,IF(ISNUMBER(SEARCH(Assumptions!$C$6,E3859)),Assumptions!$D$6,IF(ISNUMBER(SEARCH(Assumptions!$C$7,E3859)),Assumptions!$D$7,"Other Services"))),"Other Services"))</f>
        <v/>
      </c>
    </row>
    <row r="3860" customFormat="false" ht="15" hidden="false" customHeight="false" outlineLevel="0" collapsed="false">
      <c r="G3860" s="41" t="str">
        <f aca="false">IF(E3860="","",IFERROR(IF(ISNUMBER(SEARCH(Assumptions!$C$5,E3860)),Assumptions!$D$5,IF(ISNUMBER(SEARCH(Assumptions!$C$6,E3860)),Assumptions!$D$6,IF(ISNUMBER(SEARCH(Assumptions!$C$7,E3860)),Assumptions!$D$7,"Other Services"))),"Other Services"))</f>
        <v/>
      </c>
    </row>
    <row r="3861" customFormat="false" ht="15" hidden="false" customHeight="false" outlineLevel="0" collapsed="false">
      <c r="G3861" s="41" t="str">
        <f aca="false">IF(E3861="","",IFERROR(IF(ISNUMBER(SEARCH(Assumptions!$C$5,E3861)),Assumptions!$D$5,IF(ISNUMBER(SEARCH(Assumptions!$C$6,E3861)),Assumptions!$D$6,IF(ISNUMBER(SEARCH(Assumptions!$C$7,E3861)),Assumptions!$D$7,"Other Services"))),"Other Services"))</f>
        <v/>
      </c>
    </row>
    <row r="3862" customFormat="false" ht="15" hidden="false" customHeight="false" outlineLevel="0" collapsed="false">
      <c r="G3862" s="41" t="str">
        <f aca="false">IF(E3862="","",IFERROR(IF(ISNUMBER(SEARCH(Assumptions!$C$5,E3862)),Assumptions!$D$5,IF(ISNUMBER(SEARCH(Assumptions!$C$6,E3862)),Assumptions!$D$6,IF(ISNUMBER(SEARCH(Assumptions!$C$7,E3862)),Assumptions!$D$7,"Other Services"))),"Other Services"))</f>
        <v/>
      </c>
    </row>
    <row r="3863" customFormat="false" ht="15" hidden="false" customHeight="false" outlineLevel="0" collapsed="false">
      <c r="G3863" s="41" t="str">
        <f aca="false">IF(E3863="","",IFERROR(IF(ISNUMBER(SEARCH(Assumptions!$C$5,E3863)),Assumptions!$D$5,IF(ISNUMBER(SEARCH(Assumptions!$C$6,E3863)),Assumptions!$D$6,IF(ISNUMBER(SEARCH(Assumptions!$C$7,E3863)),Assumptions!$D$7,"Other Services"))),"Other Services"))</f>
        <v/>
      </c>
    </row>
    <row r="3864" customFormat="false" ht="15" hidden="false" customHeight="false" outlineLevel="0" collapsed="false">
      <c r="G3864" s="41" t="str">
        <f aca="false">IF(E3864="","",IFERROR(IF(ISNUMBER(SEARCH(Assumptions!$C$5,E3864)),Assumptions!$D$5,IF(ISNUMBER(SEARCH(Assumptions!$C$6,E3864)),Assumptions!$D$6,IF(ISNUMBER(SEARCH(Assumptions!$C$7,E3864)),Assumptions!$D$7,"Other Services"))),"Other Services"))</f>
        <v/>
      </c>
    </row>
    <row r="3865" customFormat="false" ht="15" hidden="false" customHeight="false" outlineLevel="0" collapsed="false">
      <c r="G3865" s="41" t="str">
        <f aca="false">IF(E3865="","",IFERROR(IF(ISNUMBER(SEARCH(Assumptions!$C$5,E3865)),Assumptions!$D$5,IF(ISNUMBER(SEARCH(Assumptions!$C$6,E3865)),Assumptions!$D$6,IF(ISNUMBER(SEARCH(Assumptions!$C$7,E3865)),Assumptions!$D$7,"Other Services"))),"Other Services"))</f>
        <v/>
      </c>
    </row>
    <row r="3866" customFormat="false" ht="15" hidden="false" customHeight="false" outlineLevel="0" collapsed="false">
      <c r="G3866" s="41" t="str">
        <f aca="false">IF(E3866="","",IFERROR(IF(ISNUMBER(SEARCH(Assumptions!$C$5,E3866)),Assumptions!$D$5,IF(ISNUMBER(SEARCH(Assumptions!$C$6,E3866)),Assumptions!$D$6,IF(ISNUMBER(SEARCH(Assumptions!$C$7,E3866)),Assumptions!$D$7,"Other Services"))),"Other Services"))</f>
        <v/>
      </c>
    </row>
    <row r="3867" customFormat="false" ht="15" hidden="false" customHeight="false" outlineLevel="0" collapsed="false">
      <c r="G3867" s="41" t="str">
        <f aca="false">IF(E3867="","",IFERROR(IF(ISNUMBER(SEARCH(Assumptions!$C$5,E3867)),Assumptions!$D$5,IF(ISNUMBER(SEARCH(Assumptions!$C$6,E3867)),Assumptions!$D$6,IF(ISNUMBER(SEARCH(Assumptions!$C$7,E3867)),Assumptions!$D$7,"Other Services"))),"Other Services"))</f>
        <v/>
      </c>
    </row>
    <row r="3868" customFormat="false" ht="15" hidden="false" customHeight="false" outlineLevel="0" collapsed="false">
      <c r="G3868" s="41" t="str">
        <f aca="false">IF(E3868="","",IFERROR(IF(ISNUMBER(SEARCH(Assumptions!$C$5,E3868)),Assumptions!$D$5,IF(ISNUMBER(SEARCH(Assumptions!$C$6,E3868)),Assumptions!$D$6,IF(ISNUMBER(SEARCH(Assumptions!$C$7,E3868)),Assumptions!$D$7,"Other Services"))),"Other Services"))</f>
        <v/>
      </c>
    </row>
    <row r="3869" customFormat="false" ht="15" hidden="false" customHeight="false" outlineLevel="0" collapsed="false">
      <c r="G3869" s="41" t="str">
        <f aca="false">IF(E3869="","",IFERROR(IF(ISNUMBER(SEARCH(Assumptions!$C$5,E3869)),Assumptions!$D$5,IF(ISNUMBER(SEARCH(Assumptions!$C$6,E3869)),Assumptions!$D$6,IF(ISNUMBER(SEARCH(Assumptions!$C$7,E3869)),Assumptions!$D$7,"Other Services"))),"Other Services"))</f>
        <v/>
      </c>
    </row>
    <row r="3870" customFormat="false" ht="15" hidden="false" customHeight="false" outlineLevel="0" collapsed="false">
      <c r="G3870" s="41" t="str">
        <f aca="false">IF(E3870="","",IFERROR(IF(ISNUMBER(SEARCH(Assumptions!$C$5,E3870)),Assumptions!$D$5,IF(ISNUMBER(SEARCH(Assumptions!$C$6,E3870)),Assumptions!$D$6,IF(ISNUMBER(SEARCH(Assumptions!$C$7,E3870)),Assumptions!$D$7,"Other Services"))),"Other Services"))</f>
        <v/>
      </c>
    </row>
    <row r="3871" customFormat="false" ht="15" hidden="false" customHeight="false" outlineLevel="0" collapsed="false">
      <c r="G3871" s="41" t="str">
        <f aca="false">IF(E3871="","",IFERROR(IF(ISNUMBER(SEARCH(Assumptions!$C$5,E3871)),Assumptions!$D$5,IF(ISNUMBER(SEARCH(Assumptions!$C$6,E3871)),Assumptions!$D$6,IF(ISNUMBER(SEARCH(Assumptions!$C$7,E3871)),Assumptions!$D$7,"Other Services"))),"Other Services"))</f>
        <v/>
      </c>
    </row>
    <row r="3872" customFormat="false" ht="15" hidden="false" customHeight="false" outlineLevel="0" collapsed="false">
      <c r="G3872" s="41" t="str">
        <f aca="false">IF(E3872="","",IFERROR(IF(ISNUMBER(SEARCH(Assumptions!$C$5,E3872)),Assumptions!$D$5,IF(ISNUMBER(SEARCH(Assumptions!$C$6,E3872)),Assumptions!$D$6,IF(ISNUMBER(SEARCH(Assumptions!$C$7,E3872)),Assumptions!$D$7,"Other Services"))),"Other Services"))</f>
        <v/>
      </c>
    </row>
    <row r="3873" customFormat="false" ht="15" hidden="false" customHeight="false" outlineLevel="0" collapsed="false">
      <c r="G3873" s="41" t="str">
        <f aca="false">IF(E3873="","",IFERROR(IF(ISNUMBER(SEARCH(Assumptions!$C$5,E3873)),Assumptions!$D$5,IF(ISNUMBER(SEARCH(Assumptions!$C$6,E3873)),Assumptions!$D$6,IF(ISNUMBER(SEARCH(Assumptions!$C$7,E3873)),Assumptions!$D$7,"Other Services"))),"Other Services"))</f>
        <v/>
      </c>
    </row>
    <row r="3874" customFormat="false" ht="15" hidden="false" customHeight="false" outlineLevel="0" collapsed="false">
      <c r="G3874" s="41" t="str">
        <f aca="false">IF(E3874="","",IFERROR(IF(ISNUMBER(SEARCH(Assumptions!$C$5,E3874)),Assumptions!$D$5,IF(ISNUMBER(SEARCH(Assumptions!$C$6,E3874)),Assumptions!$D$6,IF(ISNUMBER(SEARCH(Assumptions!$C$7,E3874)),Assumptions!$D$7,"Other Services"))),"Other Services"))</f>
        <v/>
      </c>
    </row>
    <row r="3875" customFormat="false" ht="15" hidden="false" customHeight="false" outlineLevel="0" collapsed="false">
      <c r="G3875" s="41" t="str">
        <f aca="false">IF(E3875="","",IFERROR(IF(ISNUMBER(SEARCH(Assumptions!$C$5,E3875)),Assumptions!$D$5,IF(ISNUMBER(SEARCH(Assumptions!$C$6,E3875)),Assumptions!$D$6,IF(ISNUMBER(SEARCH(Assumptions!$C$7,E3875)),Assumptions!$D$7,"Other Services"))),"Other Services"))</f>
        <v/>
      </c>
    </row>
    <row r="3876" customFormat="false" ht="15" hidden="false" customHeight="false" outlineLevel="0" collapsed="false">
      <c r="G3876" s="41" t="str">
        <f aca="false">IF(E3876="","",IFERROR(IF(ISNUMBER(SEARCH(Assumptions!$C$5,E3876)),Assumptions!$D$5,IF(ISNUMBER(SEARCH(Assumptions!$C$6,E3876)),Assumptions!$D$6,IF(ISNUMBER(SEARCH(Assumptions!$C$7,E3876)),Assumptions!$D$7,"Other Services"))),"Other Services"))</f>
        <v/>
      </c>
    </row>
    <row r="3877" customFormat="false" ht="15" hidden="false" customHeight="false" outlineLevel="0" collapsed="false">
      <c r="G3877" s="41" t="str">
        <f aca="false">IF(E3877="","",IFERROR(IF(ISNUMBER(SEARCH(Assumptions!$C$5,E3877)),Assumptions!$D$5,IF(ISNUMBER(SEARCH(Assumptions!$C$6,E3877)),Assumptions!$D$6,IF(ISNUMBER(SEARCH(Assumptions!$C$7,E3877)),Assumptions!$D$7,"Other Services"))),"Other Services"))</f>
        <v/>
      </c>
    </row>
    <row r="3878" customFormat="false" ht="15" hidden="false" customHeight="false" outlineLevel="0" collapsed="false">
      <c r="G3878" s="41" t="str">
        <f aca="false">IF(E3878="","",IFERROR(IF(ISNUMBER(SEARCH(Assumptions!$C$5,E3878)),Assumptions!$D$5,IF(ISNUMBER(SEARCH(Assumptions!$C$6,E3878)),Assumptions!$D$6,IF(ISNUMBER(SEARCH(Assumptions!$C$7,E3878)),Assumptions!$D$7,"Other Services"))),"Other Services"))</f>
        <v/>
      </c>
    </row>
    <row r="3879" customFormat="false" ht="15" hidden="false" customHeight="false" outlineLevel="0" collapsed="false">
      <c r="G3879" s="41" t="str">
        <f aca="false">IF(E3879="","",IFERROR(IF(ISNUMBER(SEARCH(Assumptions!$C$5,E3879)),Assumptions!$D$5,IF(ISNUMBER(SEARCH(Assumptions!$C$6,E3879)),Assumptions!$D$6,IF(ISNUMBER(SEARCH(Assumptions!$C$7,E3879)),Assumptions!$D$7,"Other Services"))),"Other Services"))</f>
        <v/>
      </c>
    </row>
    <row r="3880" customFormat="false" ht="15" hidden="false" customHeight="false" outlineLevel="0" collapsed="false">
      <c r="G3880" s="41" t="str">
        <f aca="false">IF(E3880="","",IFERROR(IF(ISNUMBER(SEARCH(Assumptions!$C$5,E3880)),Assumptions!$D$5,IF(ISNUMBER(SEARCH(Assumptions!$C$6,E3880)),Assumptions!$D$6,IF(ISNUMBER(SEARCH(Assumptions!$C$7,E3880)),Assumptions!$D$7,"Other Services"))),"Other Services"))</f>
        <v/>
      </c>
    </row>
    <row r="3881" customFormat="false" ht="15" hidden="false" customHeight="false" outlineLevel="0" collapsed="false">
      <c r="G3881" s="41" t="str">
        <f aca="false">IF(E3881="","",IFERROR(IF(ISNUMBER(SEARCH(Assumptions!$C$5,E3881)),Assumptions!$D$5,IF(ISNUMBER(SEARCH(Assumptions!$C$6,E3881)),Assumptions!$D$6,IF(ISNUMBER(SEARCH(Assumptions!$C$7,E3881)),Assumptions!$D$7,"Other Services"))),"Other Services"))</f>
        <v/>
      </c>
    </row>
    <row r="3882" customFormat="false" ht="15" hidden="false" customHeight="false" outlineLevel="0" collapsed="false">
      <c r="G3882" s="41" t="str">
        <f aca="false">IF(E3882="","",IFERROR(IF(ISNUMBER(SEARCH(Assumptions!$C$5,E3882)),Assumptions!$D$5,IF(ISNUMBER(SEARCH(Assumptions!$C$6,E3882)),Assumptions!$D$6,IF(ISNUMBER(SEARCH(Assumptions!$C$7,E3882)),Assumptions!$D$7,"Other Services"))),"Other Services"))</f>
        <v/>
      </c>
    </row>
    <row r="3883" customFormat="false" ht="15" hidden="false" customHeight="false" outlineLevel="0" collapsed="false">
      <c r="G3883" s="41" t="str">
        <f aca="false">IF(E3883="","",IFERROR(IF(ISNUMBER(SEARCH(Assumptions!$C$5,E3883)),Assumptions!$D$5,IF(ISNUMBER(SEARCH(Assumptions!$C$6,E3883)),Assumptions!$D$6,IF(ISNUMBER(SEARCH(Assumptions!$C$7,E3883)),Assumptions!$D$7,"Other Services"))),"Other Services"))</f>
        <v/>
      </c>
    </row>
    <row r="3884" customFormat="false" ht="15" hidden="false" customHeight="false" outlineLevel="0" collapsed="false">
      <c r="G3884" s="41" t="str">
        <f aca="false">IF(E3884="","",IFERROR(IF(ISNUMBER(SEARCH(Assumptions!$C$5,E3884)),Assumptions!$D$5,IF(ISNUMBER(SEARCH(Assumptions!$C$6,E3884)),Assumptions!$D$6,IF(ISNUMBER(SEARCH(Assumptions!$C$7,E3884)),Assumptions!$D$7,"Other Services"))),"Other Services"))</f>
        <v/>
      </c>
    </row>
    <row r="3885" customFormat="false" ht="15" hidden="false" customHeight="false" outlineLevel="0" collapsed="false">
      <c r="G3885" s="41" t="str">
        <f aca="false">IF(E3885="","",IFERROR(IF(ISNUMBER(SEARCH(Assumptions!$C$5,E3885)),Assumptions!$D$5,IF(ISNUMBER(SEARCH(Assumptions!$C$6,E3885)),Assumptions!$D$6,IF(ISNUMBER(SEARCH(Assumptions!$C$7,E3885)),Assumptions!$D$7,"Other Services"))),"Other Services"))</f>
        <v/>
      </c>
    </row>
    <row r="3886" customFormat="false" ht="15" hidden="false" customHeight="false" outlineLevel="0" collapsed="false">
      <c r="G3886" s="41" t="str">
        <f aca="false">IF(E3886="","",IFERROR(IF(ISNUMBER(SEARCH(Assumptions!$C$5,E3886)),Assumptions!$D$5,IF(ISNUMBER(SEARCH(Assumptions!$C$6,E3886)),Assumptions!$D$6,IF(ISNUMBER(SEARCH(Assumptions!$C$7,E3886)),Assumptions!$D$7,"Other Services"))),"Other Services"))</f>
        <v/>
      </c>
    </row>
    <row r="3887" customFormat="false" ht="15" hidden="false" customHeight="false" outlineLevel="0" collapsed="false">
      <c r="G3887" s="41" t="str">
        <f aca="false">IF(E3887="","",IFERROR(IF(ISNUMBER(SEARCH(Assumptions!$C$5,E3887)),Assumptions!$D$5,IF(ISNUMBER(SEARCH(Assumptions!$C$6,E3887)),Assumptions!$D$6,IF(ISNUMBER(SEARCH(Assumptions!$C$7,E3887)),Assumptions!$D$7,"Other Services"))),"Other Services"))</f>
        <v/>
      </c>
    </row>
    <row r="3888" customFormat="false" ht="15" hidden="false" customHeight="false" outlineLevel="0" collapsed="false">
      <c r="G3888" s="41" t="str">
        <f aca="false">IF(E3888="","",IFERROR(IF(ISNUMBER(SEARCH(Assumptions!$C$5,E3888)),Assumptions!$D$5,IF(ISNUMBER(SEARCH(Assumptions!$C$6,E3888)),Assumptions!$D$6,IF(ISNUMBER(SEARCH(Assumptions!$C$7,E3888)),Assumptions!$D$7,"Other Services"))),"Other Services"))</f>
        <v/>
      </c>
    </row>
    <row r="3889" customFormat="false" ht="15" hidden="false" customHeight="false" outlineLevel="0" collapsed="false">
      <c r="G3889" s="41" t="str">
        <f aca="false">IF(E3889="","",IFERROR(IF(ISNUMBER(SEARCH(Assumptions!$C$5,E3889)),Assumptions!$D$5,IF(ISNUMBER(SEARCH(Assumptions!$C$6,E3889)),Assumptions!$D$6,IF(ISNUMBER(SEARCH(Assumptions!$C$7,E3889)),Assumptions!$D$7,"Other Services"))),"Other Services"))</f>
        <v/>
      </c>
    </row>
    <row r="3890" customFormat="false" ht="15" hidden="false" customHeight="false" outlineLevel="0" collapsed="false">
      <c r="G3890" s="41" t="str">
        <f aca="false">IF(E3890="","",IFERROR(IF(ISNUMBER(SEARCH(Assumptions!$C$5,E3890)),Assumptions!$D$5,IF(ISNUMBER(SEARCH(Assumptions!$C$6,E3890)),Assumptions!$D$6,IF(ISNUMBER(SEARCH(Assumptions!$C$7,E3890)),Assumptions!$D$7,"Other Services"))),"Other Services"))</f>
        <v/>
      </c>
    </row>
    <row r="3891" customFormat="false" ht="15" hidden="false" customHeight="false" outlineLevel="0" collapsed="false">
      <c r="G3891" s="41" t="str">
        <f aca="false">IF(E3891="","",IFERROR(IF(ISNUMBER(SEARCH(Assumptions!$C$5,E3891)),Assumptions!$D$5,IF(ISNUMBER(SEARCH(Assumptions!$C$6,E3891)),Assumptions!$D$6,IF(ISNUMBER(SEARCH(Assumptions!$C$7,E3891)),Assumptions!$D$7,"Other Services"))),"Other Services"))</f>
        <v/>
      </c>
    </row>
    <row r="3892" customFormat="false" ht="15" hidden="false" customHeight="false" outlineLevel="0" collapsed="false">
      <c r="G3892" s="41" t="str">
        <f aca="false">IF(E3892="","",IFERROR(IF(ISNUMBER(SEARCH(Assumptions!$C$5,E3892)),Assumptions!$D$5,IF(ISNUMBER(SEARCH(Assumptions!$C$6,E3892)),Assumptions!$D$6,IF(ISNUMBER(SEARCH(Assumptions!$C$7,E3892)),Assumptions!$D$7,"Other Services"))),"Other Services"))</f>
        <v/>
      </c>
    </row>
    <row r="3893" customFormat="false" ht="15" hidden="false" customHeight="false" outlineLevel="0" collapsed="false">
      <c r="G3893" s="41" t="str">
        <f aca="false">IF(E3893="","",IFERROR(IF(ISNUMBER(SEARCH(Assumptions!$C$5,E3893)),Assumptions!$D$5,IF(ISNUMBER(SEARCH(Assumptions!$C$6,E3893)),Assumptions!$D$6,IF(ISNUMBER(SEARCH(Assumptions!$C$7,E3893)),Assumptions!$D$7,"Other Services"))),"Other Services"))</f>
        <v/>
      </c>
    </row>
    <row r="3894" customFormat="false" ht="15" hidden="false" customHeight="false" outlineLevel="0" collapsed="false">
      <c r="G3894" s="41" t="str">
        <f aca="false">IF(E3894="","",IFERROR(IF(ISNUMBER(SEARCH(Assumptions!$C$5,E3894)),Assumptions!$D$5,IF(ISNUMBER(SEARCH(Assumptions!$C$6,E3894)),Assumptions!$D$6,IF(ISNUMBER(SEARCH(Assumptions!$C$7,E3894)),Assumptions!$D$7,"Other Services"))),"Other Services"))</f>
        <v/>
      </c>
    </row>
    <row r="3895" customFormat="false" ht="15" hidden="false" customHeight="false" outlineLevel="0" collapsed="false">
      <c r="G3895" s="41" t="str">
        <f aca="false">IF(E3895="","",IFERROR(IF(ISNUMBER(SEARCH(Assumptions!$C$5,E3895)),Assumptions!$D$5,IF(ISNUMBER(SEARCH(Assumptions!$C$6,E3895)),Assumptions!$D$6,IF(ISNUMBER(SEARCH(Assumptions!$C$7,E3895)),Assumptions!$D$7,"Other Services"))),"Other Services"))</f>
        <v/>
      </c>
    </row>
    <row r="3896" customFormat="false" ht="15" hidden="false" customHeight="false" outlineLevel="0" collapsed="false">
      <c r="G3896" s="41" t="str">
        <f aca="false">IF(E3896="","",IFERROR(IF(ISNUMBER(SEARCH(Assumptions!$C$5,E3896)),Assumptions!$D$5,IF(ISNUMBER(SEARCH(Assumptions!$C$6,E3896)),Assumptions!$D$6,IF(ISNUMBER(SEARCH(Assumptions!$C$7,E3896)),Assumptions!$D$7,"Other Services"))),"Other Services"))</f>
        <v/>
      </c>
    </row>
    <row r="3897" customFormat="false" ht="15" hidden="false" customHeight="false" outlineLevel="0" collapsed="false">
      <c r="G3897" s="41" t="str">
        <f aca="false">IF(E3897="","",IFERROR(IF(ISNUMBER(SEARCH(Assumptions!$C$5,E3897)),Assumptions!$D$5,IF(ISNUMBER(SEARCH(Assumptions!$C$6,E3897)),Assumptions!$D$6,IF(ISNUMBER(SEARCH(Assumptions!$C$7,E3897)),Assumptions!$D$7,"Other Services"))),"Other Services"))</f>
        <v/>
      </c>
    </row>
    <row r="3898" customFormat="false" ht="15" hidden="false" customHeight="false" outlineLevel="0" collapsed="false">
      <c r="G3898" s="41" t="str">
        <f aca="false">IF(E3898="","",IFERROR(IF(ISNUMBER(SEARCH(Assumptions!$C$5,E3898)),Assumptions!$D$5,IF(ISNUMBER(SEARCH(Assumptions!$C$6,E3898)),Assumptions!$D$6,IF(ISNUMBER(SEARCH(Assumptions!$C$7,E3898)),Assumptions!$D$7,"Other Services"))),"Other Services"))</f>
        <v/>
      </c>
    </row>
    <row r="3899" customFormat="false" ht="15" hidden="false" customHeight="false" outlineLevel="0" collapsed="false">
      <c r="G3899" s="41" t="str">
        <f aca="false">IF(E3899="","",IFERROR(IF(ISNUMBER(SEARCH(Assumptions!$C$5,E3899)),Assumptions!$D$5,IF(ISNUMBER(SEARCH(Assumptions!$C$6,E3899)),Assumptions!$D$6,IF(ISNUMBER(SEARCH(Assumptions!$C$7,E3899)),Assumptions!$D$7,"Other Services"))),"Other Services"))</f>
        <v/>
      </c>
    </row>
    <row r="3900" customFormat="false" ht="15" hidden="false" customHeight="false" outlineLevel="0" collapsed="false">
      <c r="G3900" s="41" t="str">
        <f aca="false">IF(E3900="","",IFERROR(IF(ISNUMBER(SEARCH(Assumptions!$C$5,E3900)),Assumptions!$D$5,IF(ISNUMBER(SEARCH(Assumptions!$C$6,E3900)),Assumptions!$D$6,IF(ISNUMBER(SEARCH(Assumptions!$C$7,E3900)),Assumptions!$D$7,"Other Services"))),"Other Services"))</f>
        <v/>
      </c>
    </row>
    <row r="3901" customFormat="false" ht="15" hidden="false" customHeight="false" outlineLevel="0" collapsed="false">
      <c r="G3901" s="41" t="str">
        <f aca="false">IF(E3901="","",IFERROR(IF(ISNUMBER(SEARCH(Assumptions!$C$5,E3901)),Assumptions!$D$5,IF(ISNUMBER(SEARCH(Assumptions!$C$6,E3901)),Assumptions!$D$6,IF(ISNUMBER(SEARCH(Assumptions!$C$7,E3901)),Assumptions!$D$7,"Other Services"))),"Other Services"))</f>
        <v/>
      </c>
    </row>
    <row r="3902" customFormat="false" ht="15" hidden="false" customHeight="false" outlineLevel="0" collapsed="false">
      <c r="G3902" s="41" t="str">
        <f aca="false">IF(E3902="","",IFERROR(IF(ISNUMBER(SEARCH(Assumptions!$C$5,E3902)),Assumptions!$D$5,IF(ISNUMBER(SEARCH(Assumptions!$C$6,E3902)),Assumptions!$D$6,IF(ISNUMBER(SEARCH(Assumptions!$C$7,E3902)),Assumptions!$D$7,"Other Services"))),"Other Services"))</f>
        <v/>
      </c>
    </row>
    <row r="3903" customFormat="false" ht="15" hidden="false" customHeight="false" outlineLevel="0" collapsed="false">
      <c r="G3903" s="41" t="str">
        <f aca="false">IF(E3903="","",IFERROR(IF(ISNUMBER(SEARCH(Assumptions!$C$5,E3903)),Assumptions!$D$5,IF(ISNUMBER(SEARCH(Assumptions!$C$6,E3903)),Assumptions!$D$6,IF(ISNUMBER(SEARCH(Assumptions!$C$7,E3903)),Assumptions!$D$7,"Other Services"))),"Other Services"))</f>
        <v/>
      </c>
    </row>
    <row r="3904" customFormat="false" ht="15" hidden="false" customHeight="false" outlineLevel="0" collapsed="false">
      <c r="G3904" s="41" t="str">
        <f aca="false">IF(E3904="","",IFERROR(IF(ISNUMBER(SEARCH(Assumptions!$C$5,E3904)),Assumptions!$D$5,IF(ISNUMBER(SEARCH(Assumptions!$C$6,E3904)),Assumptions!$D$6,IF(ISNUMBER(SEARCH(Assumptions!$C$7,E3904)),Assumptions!$D$7,"Other Services"))),"Other Services"))</f>
        <v/>
      </c>
    </row>
    <row r="3905" customFormat="false" ht="15" hidden="false" customHeight="false" outlineLevel="0" collapsed="false">
      <c r="G3905" s="41" t="str">
        <f aca="false">IF(E3905="","",IFERROR(IF(ISNUMBER(SEARCH(Assumptions!$C$5,E3905)),Assumptions!$D$5,IF(ISNUMBER(SEARCH(Assumptions!$C$6,E3905)),Assumptions!$D$6,IF(ISNUMBER(SEARCH(Assumptions!$C$7,E3905)),Assumptions!$D$7,"Other Services"))),"Other Services"))</f>
        <v/>
      </c>
    </row>
    <row r="3906" customFormat="false" ht="15" hidden="false" customHeight="false" outlineLevel="0" collapsed="false">
      <c r="G3906" s="41" t="str">
        <f aca="false">IF(E3906="","",IFERROR(IF(ISNUMBER(SEARCH(Assumptions!$C$5,E3906)),Assumptions!$D$5,IF(ISNUMBER(SEARCH(Assumptions!$C$6,E3906)),Assumptions!$D$6,IF(ISNUMBER(SEARCH(Assumptions!$C$7,E3906)),Assumptions!$D$7,"Other Services"))),"Other Services"))</f>
        <v/>
      </c>
    </row>
    <row r="3907" customFormat="false" ht="15" hidden="false" customHeight="false" outlineLevel="0" collapsed="false">
      <c r="G3907" s="41" t="str">
        <f aca="false">IF(E3907="","",IFERROR(IF(ISNUMBER(SEARCH(Assumptions!$C$5,E3907)),Assumptions!$D$5,IF(ISNUMBER(SEARCH(Assumptions!$C$6,E3907)),Assumptions!$D$6,IF(ISNUMBER(SEARCH(Assumptions!$C$7,E3907)),Assumptions!$D$7,"Other Services"))),"Other Services"))</f>
        <v/>
      </c>
    </row>
    <row r="3908" customFormat="false" ht="15" hidden="false" customHeight="false" outlineLevel="0" collapsed="false">
      <c r="G3908" s="41" t="str">
        <f aca="false">IF(E3908="","",IFERROR(IF(ISNUMBER(SEARCH(Assumptions!$C$5,E3908)),Assumptions!$D$5,IF(ISNUMBER(SEARCH(Assumptions!$C$6,E3908)),Assumptions!$D$6,IF(ISNUMBER(SEARCH(Assumptions!$C$7,E3908)),Assumptions!$D$7,"Other Services"))),"Other Services"))</f>
        <v/>
      </c>
    </row>
    <row r="3909" customFormat="false" ht="15" hidden="false" customHeight="false" outlineLevel="0" collapsed="false">
      <c r="G3909" s="41" t="str">
        <f aca="false">IF(E3909="","",IFERROR(IF(ISNUMBER(SEARCH(Assumptions!$C$5,E3909)),Assumptions!$D$5,IF(ISNUMBER(SEARCH(Assumptions!$C$6,E3909)),Assumptions!$D$6,IF(ISNUMBER(SEARCH(Assumptions!$C$7,E3909)),Assumptions!$D$7,"Other Services"))),"Other Services"))</f>
        <v/>
      </c>
    </row>
    <row r="3910" customFormat="false" ht="15" hidden="false" customHeight="false" outlineLevel="0" collapsed="false">
      <c r="G3910" s="41" t="str">
        <f aca="false">IF(E3910="","",IFERROR(IF(ISNUMBER(SEARCH(Assumptions!$C$5,E3910)),Assumptions!$D$5,IF(ISNUMBER(SEARCH(Assumptions!$C$6,E3910)),Assumptions!$D$6,IF(ISNUMBER(SEARCH(Assumptions!$C$7,E3910)),Assumptions!$D$7,"Other Services"))),"Other Services"))</f>
        <v/>
      </c>
    </row>
    <row r="3911" customFormat="false" ht="15" hidden="false" customHeight="false" outlineLevel="0" collapsed="false">
      <c r="G3911" s="41" t="str">
        <f aca="false">IF(E3911="","",IFERROR(IF(ISNUMBER(SEARCH(Assumptions!$C$5,E3911)),Assumptions!$D$5,IF(ISNUMBER(SEARCH(Assumptions!$C$6,E3911)),Assumptions!$D$6,IF(ISNUMBER(SEARCH(Assumptions!$C$7,E3911)),Assumptions!$D$7,"Other Services"))),"Other Services"))</f>
        <v/>
      </c>
    </row>
    <row r="3912" customFormat="false" ht="15" hidden="false" customHeight="false" outlineLevel="0" collapsed="false">
      <c r="G3912" s="41" t="str">
        <f aca="false">IF(E3912="","",IFERROR(IF(ISNUMBER(SEARCH(Assumptions!$C$5,E3912)),Assumptions!$D$5,IF(ISNUMBER(SEARCH(Assumptions!$C$6,E3912)),Assumptions!$D$6,IF(ISNUMBER(SEARCH(Assumptions!$C$7,E3912)),Assumptions!$D$7,"Other Services"))),"Other Services"))</f>
        <v/>
      </c>
    </row>
    <row r="3913" customFormat="false" ht="15" hidden="false" customHeight="false" outlineLevel="0" collapsed="false">
      <c r="G3913" s="41" t="str">
        <f aca="false">IF(E3913="","",IFERROR(IF(ISNUMBER(SEARCH(Assumptions!$C$5,E3913)),Assumptions!$D$5,IF(ISNUMBER(SEARCH(Assumptions!$C$6,E3913)),Assumptions!$D$6,IF(ISNUMBER(SEARCH(Assumptions!$C$7,E3913)),Assumptions!$D$7,"Other Services"))),"Other Services"))</f>
        <v/>
      </c>
    </row>
    <row r="3914" customFormat="false" ht="15" hidden="false" customHeight="false" outlineLevel="0" collapsed="false">
      <c r="G3914" s="41" t="str">
        <f aca="false">IF(E3914="","",IFERROR(IF(ISNUMBER(SEARCH(Assumptions!$C$5,E3914)),Assumptions!$D$5,IF(ISNUMBER(SEARCH(Assumptions!$C$6,E3914)),Assumptions!$D$6,IF(ISNUMBER(SEARCH(Assumptions!$C$7,E3914)),Assumptions!$D$7,"Other Services"))),"Other Services"))</f>
        <v/>
      </c>
    </row>
    <row r="3915" customFormat="false" ht="15" hidden="false" customHeight="false" outlineLevel="0" collapsed="false">
      <c r="G3915" s="41" t="str">
        <f aca="false">IF(E3915="","",IFERROR(IF(ISNUMBER(SEARCH(Assumptions!$C$5,E3915)),Assumptions!$D$5,IF(ISNUMBER(SEARCH(Assumptions!$C$6,E3915)),Assumptions!$D$6,IF(ISNUMBER(SEARCH(Assumptions!$C$7,E3915)),Assumptions!$D$7,"Other Services"))),"Other Services"))</f>
        <v/>
      </c>
    </row>
    <row r="3916" customFormat="false" ht="15" hidden="false" customHeight="false" outlineLevel="0" collapsed="false">
      <c r="G3916" s="41" t="str">
        <f aca="false">IF(E3916="","",IFERROR(IF(ISNUMBER(SEARCH(Assumptions!$C$5,E3916)),Assumptions!$D$5,IF(ISNUMBER(SEARCH(Assumptions!$C$6,E3916)),Assumptions!$D$6,IF(ISNUMBER(SEARCH(Assumptions!$C$7,E3916)),Assumptions!$D$7,"Other Services"))),"Other Services"))</f>
        <v/>
      </c>
    </row>
    <row r="3917" customFormat="false" ht="15" hidden="false" customHeight="false" outlineLevel="0" collapsed="false">
      <c r="G3917" s="41" t="str">
        <f aca="false">IF(E3917="","",IFERROR(IF(ISNUMBER(SEARCH(Assumptions!$C$5,E3917)),Assumptions!$D$5,IF(ISNUMBER(SEARCH(Assumptions!$C$6,E3917)),Assumptions!$D$6,IF(ISNUMBER(SEARCH(Assumptions!$C$7,E3917)),Assumptions!$D$7,"Other Services"))),"Other Services"))</f>
        <v/>
      </c>
    </row>
    <row r="3918" customFormat="false" ht="15" hidden="false" customHeight="false" outlineLevel="0" collapsed="false">
      <c r="G3918" s="41" t="str">
        <f aca="false">IF(E3918="","",IFERROR(IF(ISNUMBER(SEARCH(Assumptions!$C$5,E3918)),Assumptions!$D$5,IF(ISNUMBER(SEARCH(Assumptions!$C$6,E3918)),Assumptions!$D$6,IF(ISNUMBER(SEARCH(Assumptions!$C$7,E3918)),Assumptions!$D$7,"Other Services"))),"Other Services"))</f>
        <v/>
      </c>
    </row>
    <row r="3919" customFormat="false" ht="15" hidden="false" customHeight="false" outlineLevel="0" collapsed="false">
      <c r="G3919" s="41" t="str">
        <f aca="false">IF(E3919="","",IFERROR(IF(ISNUMBER(SEARCH(Assumptions!$C$5,E3919)),Assumptions!$D$5,IF(ISNUMBER(SEARCH(Assumptions!$C$6,E3919)),Assumptions!$D$6,IF(ISNUMBER(SEARCH(Assumptions!$C$7,E3919)),Assumptions!$D$7,"Other Services"))),"Other Services"))</f>
        <v/>
      </c>
    </row>
    <row r="3920" customFormat="false" ht="15" hidden="false" customHeight="false" outlineLevel="0" collapsed="false">
      <c r="G3920" s="41" t="str">
        <f aca="false">IF(E3920="","",IFERROR(IF(ISNUMBER(SEARCH(Assumptions!$C$5,E3920)),Assumptions!$D$5,IF(ISNUMBER(SEARCH(Assumptions!$C$6,E3920)),Assumptions!$D$6,IF(ISNUMBER(SEARCH(Assumptions!$C$7,E3920)),Assumptions!$D$7,"Other Services"))),"Other Services"))</f>
        <v/>
      </c>
    </row>
    <row r="3921" customFormat="false" ht="15" hidden="false" customHeight="false" outlineLevel="0" collapsed="false">
      <c r="G3921" s="41" t="str">
        <f aca="false">IF(E3921="","",IFERROR(IF(ISNUMBER(SEARCH(Assumptions!$C$5,E3921)),Assumptions!$D$5,IF(ISNUMBER(SEARCH(Assumptions!$C$6,E3921)),Assumptions!$D$6,IF(ISNUMBER(SEARCH(Assumptions!$C$7,E3921)),Assumptions!$D$7,"Other Services"))),"Other Services"))</f>
        <v/>
      </c>
    </row>
    <row r="3922" customFormat="false" ht="15" hidden="false" customHeight="false" outlineLevel="0" collapsed="false">
      <c r="G3922" s="41" t="str">
        <f aca="false">IF(E3922="","",IFERROR(IF(ISNUMBER(SEARCH(Assumptions!$C$5,E3922)),Assumptions!$D$5,IF(ISNUMBER(SEARCH(Assumptions!$C$6,E3922)),Assumptions!$D$6,IF(ISNUMBER(SEARCH(Assumptions!$C$7,E3922)),Assumptions!$D$7,"Other Services"))),"Other Services"))</f>
        <v/>
      </c>
    </row>
    <row r="3923" customFormat="false" ht="15" hidden="false" customHeight="false" outlineLevel="0" collapsed="false">
      <c r="G3923" s="41" t="str">
        <f aca="false">IF(E3923="","",IFERROR(IF(ISNUMBER(SEARCH(Assumptions!$C$5,E3923)),Assumptions!$D$5,IF(ISNUMBER(SEARCH(Assumptions!$C$6,E3923)),Assumptions!$D$6,IF(ISNUMBER(SEARCH(Assumptions!$C$7,E3923)),Assumptions!$D$7,"Other Services"))),"Other Services"))</f>
        <v/>
      </c>
    </row>
    <row r="3924" customFormat="false" ht="15" hidden="false" customHeight="false" outlineLevel="0" collapsed="false">
      <c r="G3924" s="41" t="str">
        <f aca="false">IF(E3924="","",IFERROR(IF(ISNUMBER(SEARCH(Assumptions!$C$5,E3924)),Assumptions!$D$5,IF(ISNUMBER(SEARCH(Assumptions!$C$6,E3924)),Assumptions!$D$6,IF(ISNUMBER(SEARCH(Assumptions!$C$7,E3924)),Assumptions!$D$7,"Other Services"))),"Other Services"))</f>
        <v/>
      </c>
    </row>
    <row r="3925" customFormat="false" ht="15" hidden="false" customHeight="false" outlineLevel="0" collapsed="false">
      <c r="G3925" s="41" t="str">
        <f aca="false">IF(E3925="","",IFERROR(IF(ISNUMBER(SEARCH(Assumptions!$C$5,E3925)),Assumptions!$D$5,IF(ISNUMBER(SEARCH(Assumptions!$C$6,E3925)),Assumptions!$D$6,IF(ISNUMBER(SEARCH(Assumptions!$C$7,E3925)),Assumptions!$D$7,"Other Services"))),"Other Services"))</f>
        <v/>
      </c>
    </row>
    <row r="3926" customFormat="false" ht="15" hidden="false" customHeight="false" outlineLevel="0" collapsed="false">
      <c r="G3926" s="41" t="str">
        <f aca="false">IF(E3926="","",IFERROR(IF(ISNUMBER(SEARCH(Assumptions!$C$5,E3926)),Assumptions!$D$5,IF(ISNUMBER(SEARCH(Assumptions!$C$6,E3926)),Assumptions!$D$6,IF(ISNUMBER(SEARCH(Assumptions!$C$7,E3926)),Assumptions!$D$7,"Other Services"))),"Other Services"))</f>
        <v/>
      </c>
    </row>
    <row r="3927" customFormat="false" ht="15" hidden="false" customHeight="false" outlineLevel="0" collapsed="false">
      <c r="G3927" s="41" t="str">
        <f aca="false">IF(E3927="","",IFERROR(IF(ISNUMBER(SEARCH(Assumptions!$C$5,E3927)),Assumptions!$D$5,IF(ISNUMBER(SEARCH(Assumptions!$C$6,E3927)),Assumptions!$D$6,IF(ISNUMBER(SEARCH(Assumptions!$C$7,E3927)),Assumptions!$D$7,"Other Services"))),"Other Services"))</f>
        <v/>
      </c>
    </row>
    <row r="3928" customFormat="false" ht="15" hidden="false" customHeight="false" outlineLevel="0" collapsed="false">
      <c r="G3928" s="41" t="str">
        <f aca="false">IF(E3928="","",IFERROR(IF(ISNUMBER(SEARCH(Assumptions!$C$5,E3928)),Assumptions!$D$5,IF(ISNUMBER(SEARCH(Assumptions!$C$6,E3928)),Assumptions!$D$6,IF(ISNUMBER(SEARCH(Assumptions!$C$7,E3928)),Assumptions!$D$7,"Other Services"))),"Other Services"))</f>
        <v/>
      </c>
    </row>
    <row r="3929" customFormat="false" ht="15" hidden="false" customHeight="false" outlineLevel="0" collapsed="false">
      <c r="G3929" s="41" t="str">
        <f aca="false">IF(E3929="","",IFERROR(IF(ISNUMBER(SEARCH(Assumptions!$C$5,E3929)),Assumptions!$D$5,IF(ISNUMBER(SEARCH(Assumptions!$C$6,E3929)),Assumptions!$D$6,IF(ISNUMBER(SEARCH(Assumptions!$C$7,E3929)),Assumptions!$D$7,"Other Services"))),"Other Services"))</f>
        <v/>
      </c>
    </row>
    <row r="3930" customFormat="false" ht="15" hidden="false" customHeight="false" outlineLevel="0" collapsed="false">
      <c r="G3930" s="41" t="str">
        <f aca="false">IF(E3930="","",IFERROR(IF(ISNUMBER(SEARCH(Assumptions!$C$5,E3930)),Assumptions!$D$5,IF(ISNUMBER(SEARCH(Assumptions!$C$6,E3930)),Assumptions!$D$6,IF(ISNUMBER(SEARCH(Assumptions!$C$7,E3930)),Assumptions!$D$7,"Other Services"))),"Other Services"))</f>
        <v/>
      </c>
    </row>
    <row r="3931" customFormat="false" ht="15" hidden="false" customHeight="false" outlineLevel="0" collapsed="false">
      <c r="G3931" s="41" t="str">
        <f aca="false">IF(E3931="","",IFERROR(IF(ISNUMBER(SEARCH(Assumptions!$C$5,E3931)),Assumptions!$D$5,IF(ISNUMBER(SEARCH(Assumptions!$C$6,E3931)),Assumptions!$D$6,IF(ISNUMBER(SEARCH(Assumptions!$C$7,E3931)),Assumptions!$D$7,"Other Services"))),"Other Services"))</f>
        <v/>
      </c>
    </row>
    <row r="3932" customFormat="false" ht="15" hidden="false" customHeight="false" outlineLevel="0" collapsed="false">
      <c r="G3932" s="41" t="str">
        <f aca="false">IF(E3932="","",IFERROR(IF(ISNUMBER(SEARCH(Assumptions!$C$5,E3932)),Assumptions!$D$5,IF(ISNUMBER(SEARCH(Assumptions!$C$6,E3932)),Assumptions!$D$6,IF(ISNUMBER(SEARCH(Assumptions!$C$7,E3932)),Assumptions!$D$7,"Other Services"))),"Other Services"))</f>
        <v/>
      </c>
    </row>
    <row r="3933" customFormat="false" ht="15" hidden="false" customHeight="false" outlineLevel="0" collapsed="false">
      <c r="G3933" s="41" t="str">
        <f aca="false">IF(E3933="","",IFERROR(IF(ISNUMBER(SEARCH(Assumptions!$C$5,E3933)),Assumptions!$D$5,IF(ISNUMBER(SEARCH(Assumptions!$C$6,E3933)),Assumptions!$D$6,IF(ISNUMBER(SEARCH(Assumptions!$C$7,E3933)),Assumptions!$D$7,"Other Services"))),"Other Services"))</f>
        <v/>
      </c>
    </row>
    <row r="3934" customFormat="false" ht="15" hidden="false" customHeight="false" outlineLevel="0" collapsed="false">
      <c r="G3934" s="41" t="str">
        <f aca="false">IF(E3934="","",IFERROR(IF(ISNUMBER(SEARCH(Assumptions!$C$5,E3934)),Assumptions!$D$5,IF(ISNUMBER(SEARCH(Assumptions!$C$6,E3934)),Assumptions!$D$6,IF(ISNUMBER(SEARCH(Assumptions!$C$7,E3934)),Assumptions!$D$7,"Other Services"))),"Other Services"))</f>
        <v/>
      </c>
    </row>
    <row r="3935" customFormat="false" ht="15" hidden="false" customHeight="false" outlineLevel="0" collapsed="false">
      <c r="G3935" s="41" t="str">
        <f aca="false">IF(E3935="","",IFERROR(IF(ISNUMBER(SEARCH(Assumptions!$C$5,E3935)),Assumptions!$D$5,IF(ISNUMBER(SEARCH(Assumptions!$C$6,E3935)),Assumptions!$D$6,IF(ISNUMBER(SEARCH(Assumptions!$C$7,E3935)),Assumptions!$D$7,"Other Services"))),"Other Services"))</f>
        <v/>
      </c>
    </row>
    <row r="3936" customFormat="false" ht="15" hidden="false" customHeight="false" outlineLevel="0" collapsed="false">
      <c r="G3936" s="41" t="str">
        <f aca="false">IF(E3936="","",IFERROR(IF(ISNUMBER(SEARCH(Assumptions!$C$5,E3936)),Assumptions!$D$5,IF(ISNUMBER(SEARCH(Assumptions!$C$6,E3936)),Assumptions!$D$6,IF(ISNUMBER(SEARCH(Assumptions!$C$7,E3936)),Assumptions!$D$7,"Other Services"))),"Other Services"))</f>
        <v/>
      </c>
    </row>
    <row r="3937" customFormat="false" ht="15" hidden="false" customHeight="false" outlineLevel="0" collapsed="false">
      <c r="G3937" s="41" t="str">
        <f aca="false">IF(E3937="","",IFERROR(IF(ISNUMBER(SEARCH(Assumptions!$C$5,E3937)),Assumptions!$D$5,IF(ISNUMBER(SEARCH(Assumptions!$C$6,E3937)),Assumptions!$D$6,IF(ISNUMBER(SEARCH(Assumptions!$C$7,E3937)),Assumptions!$D$7,"Other Services"))),"Other Services"))</f>
        <v/>
      </c>
    </row>
    <row r="3938" customFormat="false" ht="15" hidden="false" customHeight="false" outlineLevel="0" collapsed="false">
      <c r="G3938" s="41" t="str">
        <f aca="false">IF(E3938="","",IFERROR(IF(ISNUMBER(SEARCH(Assumptions!$C$5,E3938)),Assumptions!$D$5,IF(ISNUMBER(SEARCH(Assumptions!$C$6,E3938)),Assumptions!$D$6,IF(ISNUMBER(SEARCH(Assumptions!$C$7,E3938)),Assumptions!$D$7,"Other Services"))),"Other Services"))</f>
        <v/>
      </c>
    </row>
    <row r="3939" customFormat="false" ht="15" hidden="false" customHeight="false" outlineLevel="0" collapsed="false">
      <c r="G3939" s="41" t="str">
        <f aca="false">IF(E3939="","",IFERROR(IF(ISNUMBER(SEARCH(Assumptions!$C$5,E3939)),Assumptions!$D$5,IF(ISNUMBER(SEARCH(Assumptions!$C$6,E3939)),Assumptions!$D$6,IF(ISNUMBER(SEARCH(Assumptions!$C$7,E3939)),Assumptions!$D$7,"Other Services"))),"Other Services"))</f>
        <v/>
      </c>
    </row>
    <row r="3940" customFormat="false" ht="15" hidden="false" customHeight="false" outlineLevel="0" collapsed="false">
      <c r="G3940" s="41" t="str">
        <f aca="false">IF(E3940="","",IFERROR(IF(ISNUMBER(SEARCH(Assumptions!$C$5,E3940)),Assumptions!$D$5,IF(ISNUMBER(SEARCH(Assumptions!$C$6,E3940)),Assumptions!$D$6,IF(ISNUMBER(SEARCH(Assumptions!$C$7,E3940)),Assumptions!$D$7,"Other Services"))),"Other Services"))</f>
        <v/>
      </c>
    </row>
    <row r="3941" customFormat="false" ht="15" hidden="false" customHeight="false" outlineLevel="0" collapsed="false">
      <c r="G3941" s="41" t="str">
        <f aca="false">IF(E3941="","",IFERROR(IF(ISNUMBER(SEARCH(Assumptions!$C$5,E3941)),Assumptions!$D$5,IF(ISNUMBER(SEARCH(Assumptions!$C$6,E3941)),Assumptions!$D$6,IF(ISNUMBER(SEARCH(Assumptions!$C$7,E3941)),Assumptions!$D$7,"Other Services"))),"Other Services"))</f>
        <v/>
      </c>
    </row>
    <row r="3942" customFormat="false" ht="15" hidden="false" customHeight="false" outlineLevel="0" collapsed="false">
      <c r="G3942" s="41" t="str">
        <f aca="false">IF(E3942="","",IFERROR(IF(ISNUMBER(SEARCH(Assumptions!$C$5,E3942)),Assumptions!$D$5,IF(ISNUMBER(SEARCH(Assumptions!$C$6,E3942)),Assumptions!$D$6,IF(ISNUMBER(SEARCH(Assumptions!$C$7,E3942)),Assumptions!$D$7,"Other Services"))),"Other Services"))</f>
        <v/>
      </c>
    </row>
    <row r="3943" customFormat="false" ht="15" hidden="false" customHeight="false" outlineLevel="0" collapsed="false">
      <c r="G3943" s="41" t="str">
        <f aca="false">IF(E3943="","",IFERROR(IF(ISNUMBER(SEARCH(Assumptions!$C$5,E3943)),Assumptions!$D$5,IF(ISNUMBER(SEARCH(Assumptions!$C$6,E3943)),Assumptions!$D$6,IF(ISNUMBER(SEARCH(Assumptions!$C$7,E3943)),Assumptions!$D$7,"Other Services"))),"Other Services"))</f>
        <v/>
      </c>
    </row>
    <row r="3944" customFormat="false" ht="15" hidden="false" customHeight="false" outlineLevel="0" collapsed="false">
      <c r="G3944" s="41" t="str">
        <f aca="false">IF(E3944="","",IFERROR(IF(ISNUMBER(SEARCH(Assumptions!$C$5,E3944)),Assumptions!$D$5,IF(ISNUMBER(SEARCH(Assumptions!$C$6,E3944)),Assumptions!$D$6,IF(ISNUMBER(SEARCH(Assumptions!$C$7,E3944)),Assumptions!$D$7,"Other Services"))),"Other Services"))</f>
        <v/>
      </c>
    </row>
    <row r="3945" customFormat="false" ht="15" hidden="false" customHeight="false" outlineLevel="0" collapsed="false">
      <c r="G3945" s="41" t="str">
        <f aca="false">IF(E3945="","",IFERROR(IF(ISNUMBER(SEARCH(Assumptions!$C$5,E3945)),Assumptions!$D$5,IF(ISNUMBER(SEARCH(Assumptions!$C$6,E3945)),Assumptions!$D$6,IF(ISNUMBER(SEARCH(Assumptions!$C$7,E3945)),Assumptions!$D$7,"Other Services"))),"Other Services"))</f>
        <v/>
      </c>
    </row>
    <row r="3946" customFormat="false" ht="15" hidden="false" customHeight="false" outlineLevel="0" collapsed="false">
      <c r="G3946" s="41" t="str">
        <f aca="false">IF(E3946="","",IFERROR(IF(ISNUMBER(SEARCH(Assumptions!$C$5,E3946)),Assumptions!$D$5,IF(ISNUMBER(SEARCH(Assumptions!$C$6,E3946)),Assumptions!$D$6,IF(ISNUMBER(SEARCH(Assumptions!$C$7,E3946)),Assumptions!$D$7,"Other Services"))),"Other Services"))</f>
        <v/>
      </c>
    </row>
    <row r="3947" customFormat="false" ht="15" hidden="false" customHeight="false" outlineLevel="0" collapsed="false">
      <c r="G3947" s="41" t="str">
        <f aca="false">IF(E3947="","",IFERROR(IF(ISNUMBER(SEARCH(Assumptions!$C$5,E3947)),Assumptions!$D$5,IF(ISNUMBER(SEARCH(Assumptions!$C$6,E3947)),Assumptions!$D$6,IF(ISNUMBER(SEARCH(Assumptions!$C$7,E3947)),Assumptions!$D$7,"Other Services"))),"Other Services"))</f>
        <v/>
      </c>
    </row>
    <row r="3948" customFormat="false" ht="15" hidden="false" customHeight="false" outlineLevel="0" collapsed="false">
      <c r="G3948" s="41" t="str">
        <f aca="false">IF(E3948="","",IFERROR(IF(ISNUMBER(SEARCH(Assumptions!$C$5,E3948)),Assumptions!$D$5,IF(ISNUMBER(SEARCH(Assumptions!$C$6,E3948)),Assumptions!$D$6,IF(ISNUMBER(SEARCH(Assumptions!$C$7,E3948)),Assumptions!$D$7,"Other Services"))),"Other Services"))</f>
        <v/>
      </c>
    </row>
    <row r="3949" customFormat="false" ht="15" hidden="false" customHeight="false" outlineLevel="0" collapsed="false">
      <c r="G3949" s="41" t="str">
        <f aca="false">IF(E3949="","",IFERROR(IF(ISNUMBER(SEARCH(Assumptions!$C$5,E3949)),Assumptions!$D$5,IF(ISNUMBER(SEARCH(Assumptions!$C$6,E3949)),Assumptions!$D$6,IF(ISNUMBER(SEARCH(Assumptions!$C$7,E3949)),Assumptions!$D$7,"Other Services"))),"Other Services"))</f>
        <v/>
      </c>
    </row>
    <row r="3950" customFormat="false" ht="15" hidden="false" customHeight="false" outlineLevel="0" collapsed="false">
      <c r="G3950" s="41" t="str">
        <f aca="false">IF(E3950="","",IFERROR(IF(ISNUMBER(SEARCH(Assumptions!$C$5,E3950)),Assumptions!$D$5,IF(ISNUMBER(SEARCH(Assumptions!$C$6,E3950)),Assumptions!$D$6,IF(ISNUMBER(SEARCH(Assumptions!$C$7,E3950)),Assumptions!$D$7,"Other Services"))),"Other Services"))</f>
        <v/>
      </c>
    </row>
    <row r="3951" customFormat="false" ht="15" hidden="false" customHeight="false" outlineLevel="0" collapsed="false">
      <c r="G3951" s="41" t="str">
        <f aca="false">IF(E3951="","",IFERROR(IF(ISNUMBER(SEARCH(Assumptions!$C$5,E3951)),Assumptions!$D$5,IF(ISNUMBER(SEARCH(Assumptions!$C$6,E3951)),Assumptions!$D$6,IF(ISNUMBER(SEARCH(Assumptions!$C$7,E3951)),Assumptions!$D$7,"Other Services"))),"Other Services"))</f>
        <v/>
      </c>
    </row>
    <row r="3952" customFormat="false" ht="15" hidden="false" customHeight="false" outlineLevel="0" collapsed="false">
      <c r="G3952" s="41" t="str">
        <f aca="false">IF(E3952="","",IFERROR(IF(ISNUMBER(SEARCH(Assumptions!$C$5,E3952)),Assumptions!$D$5,IF(ISNUMBER(SEARCH(Assumptions!$C$6,E3952)),Assumptions!$D$6,IF(ISNUMBER(SEARCH(Assumptions!$C$7,E3952)),Assumptions!$D$7,"Other Services"))),"Other Services"))</f>
        <v/>
      </c>
    </row>
    <row r="3953" customFormat="false" ht="15" hidden="false" customHeight="false" outlineLevel="0" collapsed="false">
      <c r="G3953" s="41" t="str">
        <f aca="false">IF(E3953="","",IFERROR(IF(ISNUMBER(SEARCH(Assumptions!$C$5,E3953)),Assumptions!$D$5,IF(ISNUMBER(SEARCH(Assumptions!$C$6,E3953)),Assumptions!$D$6,IF(ISNUMBER(SEARCH(Assumptions!$C$7,E3953)),Assumptions!$D$7,"Other Services"))),"Other Services"))</f>
        <v/>
      </c>
    </row>
    <row r="3954" customFormat="false" ht="15" hidden="false" customHeight="false" outlineLevel="0" collapsed="false">
      <c r="G3954" s="41" t="str">
        <f aca="false">IF(E3954="","",IFERROR(IF(ISNUMBER(SEARCH(Assumptions!$C$5,E3954)),Assumptions!$D$5,IF(ISNUMBER(SEARCH(Assumptions!$C$6,E3954)),Assumptions!$D$6,IF(ISNUMBER(SEARCH(Assumptions!$C$7,E3954)),Assumptions!$D$7,"Other Services"))),"Other Services"))</f>
        <v/>
      </c>
    </row>
    <row r="3955" customFormat="false" ht="15" hidden="false" customHeight="false" outlineLevel="0" collapsed="false">
      <c r="G3955" s="41" t="str">
        <f aca="false">IF(E3955="","",IFERROR(IF(ISNUMBER(SEARCH(Assumptions!$C$5,E3955)),Assumptions!$D$5,IF(ISNUMBER(SEARCH(Assumptions!$C$6,E3955)),Assumptions!$D$6,IF(ISNUMBER(SEARCH(Assumptions!$C$7,E3955)),Assumptions!$D$7,"Other Services"))),"Other Services"))</f>
        <v/>
      </c>
    </row>
    <row r="3956" customFormat="false" ht="15" hidden="false" customHeight="false" outlineLevel="0" collapsed="false">
      <c r="G3956" s="41" t="str">
        <f aca="false">IF(E3956="","",IFERROR(IF(ISNUMBER(SEARCH(Assumptions!$C$5,E3956)),Assumptions!$D$5,IF(ISNUMBER(SEARCH(Assumptions!$C$6,E3956)),Assumptions!$D$6,IF(ISNUMBER(SEARCH(Assumptions!$C$7,E3956)),Assumptions!$D$7,"Other Services"))),"Other Services"))</f>
        <v/>
      </c>
    </row>
    <row r="3957" customFormat="false" ht="15" hidden="false" customHeight="false" outlineLevel="0" collapsed="false">
      <c r="G3957" s="41" t="str">
        <f aca="false">IF(E3957="","",IFERROR(IF(ISNUMBER(SEARCH(Assumptions!$C$5,E3957)),Assumptions!$D$5,IF(ISNUMBER(SEARCH(Assumptions!$C$6,E3957)),Assumptions!$D$6,IF(ISNUMBER(SEARCH(Assumptions!$C$7,E3957)),Assumptions!$D$7,"Other Services"))),"Other Services"))</f>
        <v/>
      </c>
    </row>
    <row r="3958" customFormat="false" ht="15" hidden="false" customHeight="false" outlineLevel="0" collapsed="false">
      <c r="G3958" s="41" t="str">
        <f aca="false">IF(E3958="","",IFERROR(IF(ISNUMBER(SEARCH(Assumptions!$C$5,E3958)),Assumptions!$D$5,IF(ISNUMBER(SEARCH(Assumptions!$C$6,E3958)),Assumptions!$D$6,IF(ISNUMBER(SEARCH(Assumptions!$C$7,E3958)),Assumptions!$D$7,"Other Services"))),"Other Services"))</f>
        <v/>
      </c>
    </row>
    <row r="3959" customFormat="false" ht="15" hidden="false" customHeight="false" outlineLevel="0" collapsed="false">
      <c r="G3959" s="41" t="str">
        <f aca="false">IF(E3959="","",IFERROR(IF(ISNUMBER(SEARCH(Assumptions!$C$5,E3959)),Assumptions!$D$5,IF(ISNUMBER(SEARCH(Assumptions!$C$6,E3959)),Assumptions!$D$6,IF(ISNUMBER(SEARCH(Assumptions!$C$7,E3959)),Assumptions!$D$7,"Other Services"))),"Other Services"))</f>
        <v/>
      </c>
    </row>
    <row r="3960" customFormat="false" ht="15" hidden="false" customHeight="false" outlineLevel="0" collapsed="false">
      <c r="G3960" s="41" t="str">
        <f aca="false">IF(E3960="","",IFERROR(IF(ISNUMBER(SEARCH(Assumptions!$C$5,E3960)),Assumptions!$D$5,IF(ISNUMBER(SEARCH(Assumptions!$C$6,E3960)),Assumptions!$D$6,IF(ISNUMBER(SEARCH(Assumptions!$C$7,E3960)),Assumptions!$D$7,"Other Services"))),"Other Services"))</f>
        <v/>
      </c>
    </row>
    <row r="3961" customFormat="false" ht="15" hidden="false" customHeight="false" outlineLevel="0" collapsed="false">
      <c r="G3961" s="41" t="str">
        <f aca="false">IF(E3961="","",IFERROR(IF(ISNUMBER(SEARCH(Assumptions!$C$5,E3961)),Assumptions!$D$5,IF(ISNUMBER(SEARCH(Assumptions!$C$6,E3961)),Assumptions!$D$6,IF(ISNUMBER(SEARCH(Assumptions!$C$7,E3961)),Assumptions!$D$7,"Other Services"))),"Other Services"))</f>
        <v/>
      </c>
    </row>
    <row r="3962" customFormat="false" ht="15" hidden="false" customHeight="false" outlineLevel="0" collapsed="false">
      <c r="G3962" s="41" t="str">
        <f aca="false">IF(E3962="","",IFERROR(IF(ISNUMBER(SEARCH(Assumptions!$C$5,E3962)),Assumptions!$D$5,IF(ISNUMBER(SEARCH(Assumptions!$C$6,E3962)),Assumptions!$D$6,IF(ISNUMBER(SEARCH(Assumptions!$C$7,E3962)),Assumptions!$D$7,"Other Services"))),"Other Services"))</f>
        <v/>
      </c>
    </row>
    <row r="3963" customFormat="false" ht="15" hidden="false" customHeight="false" outlineLevel="0" collapsed="false">
      <c r="G3963" s="41" t="str">
        <f aca="false">IF(E3963="","",IFERROR(IF(ISNUMBER(SEARCH(Assumptions!$C$5,E3963)),Assumptions!$D$5,IF(ISNUMBER(SEARCH(Assumptions!$C$6,E3963)),Assumptions!$D$6,IF(ISNUMBER(SEARCH(Assumptions!$C$7,E3963)),Assumptions!$D$7,"Other Services"))),"Other Services"))</f>
        <v/>
      </c>
    </row>
    <row r="3964" customFormat="false" ht="15" hidden="false" customHeight="false" outlineLevel="0" collapsed="false">
      <c r="G3964" s="41" t="str">
        <f aca="false">IF(E3964="","",IFERROR(IF(ISNUMBER(SEARCH(Assumptions!$C$5,E3964)),Assumptions!$D$5,IF(ISNUMBER(SEARCH(Assumptions!$C$6,E3964)),Assumptions!$D$6,IF(ISNUMBER(SEARCH(Assumptions!$C$7,E3964)),Assumptions!$D$7,"Other Services"))),"Other Services"))</f>
        <v/>
      </c>
    </row>
    <row r="3965" customFormat="false" ht="15" hidden="false" customHeight="false" outlineLevel="0" collapsed="false">
      <c r="G3965" s="41" t="str">
        <f aca="false">IF(E3965="","",IFERROR(IF(ISNUMBER(SEARCH(Assumptions!$C$5,E3965)),Assumptions!$D$5,IF(ISNUMBER(SEARCH(Assumptions!$C$6,E3965)),Assumptions!$D$6,IF(ISNUMBER(SEARCH(Assumptions!$C$7,E3965)),Assumptions!$D$7,"Other Services"))),"Other Services"))</f>
        <v/>
      </c>
    </row>
    <row r="3966" customFormat="false" ht="15" hidden="false" customHeight="false" outlineLevel="0" collapsed="false">
      <c r="G3966" s="41" t="str">
        <f aca="false">IF(E3966="","",IFERROR(IF(ISNUMBER(SEARCH(Assumptions!$C$5,E3966)),Assumptions!$D$5,IF(ISNUMBER(SEARCH(Assumptions!$C$6,E3966)),Assumptions!$D$6,IF(ISNUMBER(SEARCH(Assumptions!$C$7,E3966)),Assumptions!$D$7,"Other Services"))),"Other Services"))</f>
        <v/>
      </c>
    </row>
    <row r="3967" customFormat="false" ht="15" hidden="false" customHeight="false" outlineLevel="0" collapsed="false">
      <c r="G3967" s="41" t="str">
        <f aca="false">IF(E3967="","",IFERROR(IF(ISNUMBER(SEARCH(Assumptions!$C$5,E3967)),Assumptions!$D$5,IF(ISNUMBER(SEARCH(Assumptions!$C$6,E3967)),Assumptions!$D$6,IF(ISNUMBER(SEARCH(Assumptions!$C$7,E3967)),Assumptions!$D$7,"Other Services"))),"Other Services"))</f>
        <v/>
      </c>
    </row>
    <row r="3968" customFormat="false" ht="15" hidden="false" customHeight="false" outlineLevel="0" collapsed="false">
      <c r="G3968" s="41" t="str">
        <f aca="false">IF(E3968="","",IFERROR(IF(ISNUMBER(SEARCH(Assumptions!$C$5,E3968)),Assumptions!$D$5,IF(ISNUMBER(SEARCH(Assumptions!$C$6,E3968)),Assumptions!$D$6,IF(ISNUMBER(SEARCH(Assumptions!$C$7,E3968)),Assumptions!$D$7,"Other Services"))),"Other Services"))</f>
        <v/>
      </c>
    </row>
    <row r="3969" customFormat="false" ht="15" hidden="false" customHeight="false" outlineLevel="0" collapsed="false">
      <c r="G3969" s="41" t="str">
        <f aca="false">IF(E3969="","",IFERROR(IF(ISNUMBER(SEARCH(Assumptions!$C$5,E3969)),Assumptions!$D$5,IF(ISNUMBER(SEARCH(Assumptions!$C$6,E3969)),Assumptions!$D$6,IF(ISNUMBER(SEARCH(Assumptions!$C$7,E3969)),Assumptions!$D$7,"Other Services"))),"Other Services"))</f>
        <v/>
      </c>
    </row>
    <row r="3970" customFormat="false" ht="15" hidden="false" customHeight="false" outlineLevel="0" collapsed="false">
      <c r="G3970" s="41" t="str">
        <f aca="false">IF(E3970="","",IFERROR(IF(ISNUMBER(SEARCH(Assumptions!$C$5,E3970)),Assumptions!$D$5,IF(ISNUMBER(SEARCH(Assumptions!$C$6,E3970)),Assumptions!$D$6,IF(ISNUMBER(SEARCH(Assumptions!$C$7,E3970)),Assumptions!$D$7,"Other Services"))),"Other Services"))</f>
        <v/>
      </c>
    </row>
    <row r="3971" customFormat="false" ht="15" hidden="false" customHeight="false" outlineLevel="0" collapsed="false">
      <c r="G3971" s="41" t="str">
        <f aca="false">IF(E3971="","",IFERROR(IF(ISNUMBER(SEARCH(Assumptions!$C$5,E3971)),Assumptions!$D$5,IF(ISNUMBER(SEARCH(Assumptions!$C$6,E3971)),Assumptions!$D$6,IF(ISNUMBER(SEARCH(Assumptions!$C$7,E3971)),Assumptions!$D$7,"Other Services"))),"Other Services"))</f>
        <v/>
      </c>
    </row>
    <row r="3972" customFormat="false" ht="15" hidden="false" customHeight="false" outlineLevel="0" collapsed="false">
      <c r="G3972" s="41" t="str">
        <f aca="false">IF(E3972="","",IFERROR(IF(ISNUMBER(SEARCH(Assumptions!$C$5,E3972)),Assumptions!$D$5,IF(ISNUMBER(SEARCH(Assumptions!$C$6,E3972)),Assumptions!$D$6,IF(ISNUMBER(SEARCH(Assumptions!$C$7,E3972)),Assumptions!$D$7,"Other Services"))),"Other Services"))</f>
        <v/>
      </c>
    </row>
    <row r="3973" customFormat="false" ht="15" hidden="false" customHeight="false" outlineLevel="0" collapsed="false">
      <c r="G3973" s="41" t="str">
        <f aca="false">IF(E3973="","",IFERROR(IF(ISNUMBER(SEARCH(Assumptions!$C$5,E3973)),Assumptions!$D$5,IF(ISNUMBER(SEARCH(Assumptions!$C$6,E3973)),Assumptions!$D$6,IF(ISNUMBER(SEARCH(Assumptions!$C$7,E3973)),Assumptions!$D$7,"Other Services"))),"Other Services"))</f>
        <v/>
      </c>
    </row>
    <row r="3974" customFormat="false" ht="15" hidden="false" customHeight="false" outlineLevel="0" collapsed="false">
      <c r="G3974" s="41" t="str">
        <f aca="false">IF(E3974="","",IFERROR(IF(ISNUMBER(SEARCH(Assumptions!$C$5,E3974)),Assumptions!$D$5,IF(ISNUMBER(SEARCH(Assumptions!$C$6,E3974)),Assumptions!$D$6,IF(ISNUMBER(SEARCH(Assumptions!$C$7,E3974)),Assumptions!$D$7,"Other Services"))),"Other Services"))</f>
        <v/>
      </c>
    </row>
    <row r="3975" customFormat="false" ht="15" hidden="false" customHeight="false" outlineLevel="0" collapsed="false">
      <c r="G3975" s="41" t="str">
        <f aca="false">IF(E3975="","",IFERROR(IF(ISNUMBER(SEARCH(Assumptions!$C$5,E3975)),Assumptions!$D$5,IF(ISNUMBER(SEARCH(Assumptions!$C$6,E3975)),Assumptions!$D$6,IF(ISNUMBER(SEARCH(Assumptions!$C$7,E3975)),Assumptions!$D$7,"Other Services"))),"Other Services"))</f>
        <v/>
      </c>
    </row>
    <row r="3976" customFormat="false" ht="15" hidden="false" customHeight="false" outlineLevel="0" collapsed="false">
      <c r="G3976" s="41" t="str">
        <f aca="false">IF(E3976="","",IFERROR(IF(ISNUMBER(SEARCH(Assumptions!$C$5,E3976)),Assumptions!$D$5,IF(ISNUMBER(SEARCH(Assumptions!$C$6,E3976)),Assumptions!$D$6,IF(ISNUMBER(SEARCH(Assumptions!$C$7,E3976)),Assumptions!$D$7,"Other Services"))),"Other Services"))</f>
        <v/>
      </c>
    </row>
    <row r="3977" customFormat="false" ht="15" hidden="false" customHeight="false" outlineLevel="0" collapsed="false">
      <c r="G3977" s="41" t="str">
        <f aca="false">IF(E3977="","",IFERROR(IF(ISNUMBER(SEARCH(Assumptions!$C$5,E3977)),Assumptions!$D$5,IF(ISNUMBER(SEARCH(Assumptions!$C$6,E3977)),Assumptions!$D$6,IF(ISNUMBER(SEARCH(Assumptions!$C$7,E3977)),Assumptions!$D$7,"Other Services"))),"Other Services"))</f>
        <v/>
      </c>
    </row>
    <row r="3978" customFormat="false" ht="15" hidden="false" customHeight="false" outlineLevel="0" collapsed="false">
      <c r="G3978" s="41" t="str">
        <f aca="false">IF(E3978="","",IFERROR(IF(ISNUMBER(SEARCH(Assumptions!$C$5,E3978)),Assumptions!$D$5,IF(ISNUMBER(SEARCH(Assumptions!$C$6,E3978)),Assumptions!$D$6,IF(ISNUMBER(SEARCH(Assumptions!$C$7,E3978)),Assumptions!$D$7,"Other Services"))),"Other Services"))</f>
        <v/>
      </c>
    </row>
    <row r="3979" customFormat="false" ht="15" hidden="false" customHeight="false" outlineLevel="0" collapsed="false">
      <c r="G3979" s="41" t="str">
        <f aca="false">IF(E3979="","",IFERROR(IF(ISNUMBER(SEARCH(Assumptions!$C$5,E3979)),Assumptions!$D$5,IF(ISNUMBER(SEARCH(Assumptions!$C$6,E3979)),Assumptions!$D$6,IF(ISNUMBER(SEARCH(Assumptions!$C$7,E3979)),Assumptions!$D$7,"Other Services"))),"Other Services"))</f>
        <v/>
      </c>
    </row>
    <row r="3980" customFormat="false" ht="15" hidden="false" customHeight="false" outlineLevel="0" collapsed="false">
      <c r="G3980" s="41" t="str">
        <f aca="false">IF(E3980="","",IFERROR(IF(ISNUMBER(SEARCH(Assumptions!$C$5,E3980)),Assumptions!$D$5,IF(ISNUMBER(SEARCH(Assumptions!$C$6,E3980)),Assumptions!$D$6,IF(ISNUMBER(SEARCH(Assumptions!$C$7,E3980)),Assumptions!$D$7,"Other Services"))),"Other Services"))</f>
        <v/>
      </c>
    </row>
    <row r="3981" customFormat="false" ht="15" hidden="false" customHeight="false" outlineLevel="0" collapsed="false">
      <c r="G3981" s="41" t="str">
        <f aca="false">IF(E3981="","",IFERROR(IF(ISNUMBER(SEARCH(Assumptions!$C$5,E3981)),Assumptions!$D$5,IF(ISNUMBER(SEARCH(Assumptions!$C$6,E3981)),Assumptions!$D$6,IF(ISNUMBER(SEARCH(Assumptions!$C$7,E3981)),Assumptions!$D$7,"Other Services"))),"Other Services"))</f>
        <v/>
      </c>
    </row>
    <row r="3982" customFormat="false" ht="15" hidden="false" customHeight="false" outlineLevel="0" collapsed="false">
      <c r="G3982" s="41" t="str">
        <f aca="false">IF(E3982="","",IFERROR(IF(ISNUMBER(SEARCH(Assumptions!$C$5,E3982)),Assumptions!$D$5,IF(ISNUMBER(SEARCH(Assumptions!$C$6,E3982)),Assumptions!$D$6,IF(ISNUMBER(SEARCH(Assumptions!$C$7,E3982)),Assumptions!$D$7,"Other Services"))),"Other Services"))</f>
        <v/>
      </c>
    </row>
    <row r="3983" customFormat="false" ht="15" hidden="false" customHeight="false" outlineLevel="0" collapsed="false">
      <c r="G3983" s="41" t="str">
        <f aca="false">IF(E3983="","",IFERROR(IF(ISNUMBER(SEARCH(Assumptions!$C$5,E3983)),Assumptions!$D$5,IF(ISNUMBER(SEARCH(Assumptions!$C$6,E3983)),Assumptions!$D$6,IF(ISNUMBER(SEARCH(Assumptions!$C$7,E3983)),Assumptions!$D$7,"Other Services"))),"Other Services"))</f>
        <v/>
      </c>
    </row>
    <row r="3984" customFormat="false" ht="15" hidden="false" customHeight="false" outlineLevel="0" collapsed="false">
      <c r="G3984" s="41" t="str">
        <f aca="false">IF(E3984="","",IFERROR(IF(ISNUMBER(SEARCH(Assumptions!$C$5,E3984)),Assumptions!$D$5,IF(ISNUMBER(SEARCH(Assumptions!$C$6,E3984)),Assumptions!$D$6,IF(ISNUMBER(SEARCH(Assumptions!$C$7,E3984)),Assumptions!$D$7,"Other Services"))),"Other Services"))</f>
        <v/>
      </c>
    </row>
    <row r="3985" customFormat="false" ht="15" hidden="false" customHeight="false" outlineLevel="0" collapsed="false">
      <c r="G3985" s="41" t="str">
        <f aca="false">IF(E3985="","",IFERROR(IF(ISNUMBER(SEARCH(Assumptions!$C$5,E3985)),Assumptions!$D$5,IF(ISNUMBER(SEARCH(Assumptions!$C$6,E3985)),Assumptions!$D$6,IF(ISNUMBER(SEARCH(Assumptions!$C$7,E3985)),Assumptions!$D$7,"Other Services"))),"Other Services"))</f>
        <v/>
      </c>
    </row>
    <row r="3986" customFormat="false" ht="15" hidden="false" customHeight="false" outlineLevel="0" collapsed="false">
      <c r="G3986" s="41" t="str">
        <f aca="false">IF(E3986="","",IFERROR(IF(ISNUMBER(SEARCH(Assumptions!$C$5,E3986)),Assumptions!$D$5,IF(ISNUMBER(SEARCH(Assumptions!$C$6,E3986)),Assumptions!$D$6,IF(ISNUMBER(SEARCH(Assumptions!$C$7,E3986)),Assumptions!$D$7,"Other Services"))),"Other Services"))</f>
        <v/>
      </c>
    </row>
    <row r="3987" customFormat="false" ht="15" hidden="false" customHeight="false" outlineLevel="0" collapsed="false">
      <c r="G3987" s="41" t="str">
        <f aca="false">IF(E3987="","",IFERROR(IF(ISNUMBER(SEARCH(Assumptions!$C$5,E3987)),Assumptions!$D$5,IF(ISNUMBER(SEARCH(Assumptions!$C$6,E3987)),Assumptions!$D$6,IF(ISNUMBER(SEARCH(Assumptions!$C$7,E3987)),Assumptions!$D$7,"Other Services"))),"Other Services"))</f>
        <v/>
      </c>
    </row>
    <row r="3988" customFormat="false" ht="15" hidden="false" customHeight="false" outlineLevel="0" collapsed="false">
      <c r="G3988" s="41" t="str">
        <f aca="false">IF(E3988="","",IFERROR(IF(ISNUMBER(SEARCH(Assumptions!$C$5,E3988)),Assumptions!$D$5,IF(ISNUMBER(SEARCH(Assumptions!$C$6,E3988)),Assumptions!$D$6,IF(ISNUMBER(SEARCH(Assumptions!$C$7,E3988)),Assumptions!$D$7,"Other Services"))),"Other Services"))</f>
        <v/>
      </c>
    </row>
    <row r="3989" customFormat="false" ht="15" hidden="false" customHeight="false" outlineLevel="0" collapsed="false">
      <c r="G3989" s="41" t="str">
        <f aca="false">IF(E3989="","",IFERROR(IF(ISNUMBER(SEARCH(Assumptions!$C$5,E3989)),Assumptions!$D$5,IF(ISNUMBER(SEARCH(Assumptions!$C$6,E3989)),Assumptions!$D$6,IF(ISNUMBER(SEARCH(Assumptions!$C$7,E3989)),Assumptions!$D$7,"Other Services"))),"Other Services"))</f>
        <v/>
      </c>
    </row>
    <row r="3990" customFormat="false" ht="15" hidden="false" customHeight="false" outlineLevel="0" collapsed="false">
      <c r="G3990" s="41" t="str">
        <f aca="false">IF(E3990="","",IFERROR(IF(ISNUMBER(SEARCH(Assumptions!$C$5,E3990)),Assumptions!$D$5,IF(ISNUMBER(SEARCH(Assumptions!$C$6,E3990)),Assumptions!$D$6,IF(ISNUMBER(SEARCH(Assumptions!$C$7,E3990)),Assumptions!$D$7,"Other Services"))),"Other Services"))</f>
        <v/>
      </c>
    </row>
    <row r="3991" customFormat="false" ht="15" hidden="false" customHeight="false" outlineLevel="0" collapsed="false">
      <c r="G3991" s="41" t="str">
        <f aca="false">IF(E3991="","",IFERROR(IF(ISNUMBER(SEARCH(Assumptions!$C$5,E3991)),Assumptions!$D$5,IF(ISNUMBER(SEARCH(Assumptions!$C$6,E3991)),Assumptions!$D$6,IF(ISNUMBER(SEARCH(Assumptions!$C$7,E3991)),Assumptions!$D$7,"Other Services"))),"Other Services"))</f>
        <v/>
      </c>
    </row>
    <row r="3992" customFormat="false" ht="15" hidden="false" customHeight="false" outlineLevel="0" collapsed="false">
      <c r="G3992" s="41" t="str">
        <f aca="false">IF(E3992="","",IFERROR(IF(ISNUMBER(SEARCH(Assumptions!$C$5,E3992)),Assumptions!$D$5,IF(ISNUMBER(SEARCH(Assumptions!$C$6,E3992)),Assumptions!$D$6,IF(ISNUMBER(SEARCH(Assumptions!$C$7,E3992)),Assumptions!$D$7,"Other Services"))),"Other Services"))</f>
        <v/>
      </c>
    </row>
    <row r="3993" customFormat="false" ht="15" hidden="false" customHeight="false" outlineLevel="0" collapsed="false">
      <c r="G3993" s="41" t="str">
        <f aca="false">IF(E3993="","",IFERROR(IF(ISNUMBER(SEARCH(Assumptions!$C$5,E3993)),Assumptions!$D$5,IF(ISNUMBER(SEARCH(Assumptions!$C$6,E3993)),Assumptions!$D$6,IF(ISNUMBER(SEARCH(Assumptions!$C$7,E3993)),Assumptions!$D$7,"Other Services"))),"Other Services"))</f>
        <v/>
      </c>
    </row>
    <row r="3994" customFormat="false" ht="15" hidden="false" customHeight="false" outlineLevel="0" collapsed="false">
      <c r="G3994" s="41" t="str">
        <f aca="false">IF(E3994="","",IFERROR(IF(ISNUMBER(SEARCH(Assumptions!$C$5,E3994)),Assumptions!$D$5,IF(ISNUMBER(SEARCH(Assumptions!$C$6,E3994)),Assumptions!$D$6,IF(ISNUMBER(SEARCH(Assumptions!$C$7,E3994)),Assumptions!$D$7,"Other Services"))),"Other Services"))</f>
        <v/>
      </c>
    </row>
    <row r="3995" customFormat="false" ht="15" hidden="false" customHeight="false" outlineLevel="0" collapsed="false">
      <c r="G3995" s="41" t="str">
        <f aca="false">IF(E3995="","",IFERROR(IF(ISNUMBER(SEARCH(Assumptions!$C$5,E3995)),Assumptions!$D$5,IF(ISNUMBER(SEARCH(Assumptions!$C$6,E3995)),Assumptions!$D$6,IF(ISNUMBER(SEARCH(Assumptions!$C$7,E3995)),Assumptions!$D$7,"Other Services"))),"Other Services"))</f>
        <v/>
      </c>
    </row>
    <row r="3996" customFormat="false" ht="15" hidden="false" customHeight="false" outlineLevel="0" collapsed="false">
      <c r="G3996" s="41" t="str">
        <f aca="false">IF(E3996="","",IFERROR(IF(ISNUMBER(SEARCH(Assumptions!$C$5,E3996)),Assumptions!$D$5,IF(ISNUMBER(SEARCH(Assumptions!$C$6,E3996)),Assumptions!$D$6,IF(ISNUMBER(SEARCH(Assumptions!$C$7,E3996)),Assumptions!$D$7,"Other Services"))),"Other Services"))</f>
        <v/>
      </c>
    </row>
    <row r="3997" customFormat="false" ht="15" hidden="false" customHeight="false" outlineLevel="0" collapsed="false">
      <c r="G3997" s="41" t="str">
        <f aca="false">IF(E3997="","",IFERROR(IF(ISNUMBER(SEARCH(Assumptions!$C$5,E3997)),Assumptions!$D$5,IF(ISNUMBER(SEARCH(Assumptions!$C$6,E3997)),Assumptions!$D$6,IF(ISNUMBER(SEARCH(Assumptions!$C$7,E3997)),Assumptions!$D$7,"Other Services"))),"Other Services"))</f>
        <v/>
      </c>
    </row>
    <row r="3998" customFormat="false" ht="15" hidden="false" customHeight="false" outlineLevel="0" collapsed="false">
      <c r="G3998" s="41" t="str">
        <f aca="false">IF(E3998="","",IFERROR(IF(ISNUMBER(SEARCH(Assumptions!$C$5,E3998)),Assumptions!$D$5,IF(ISNUMBER(SEARCH(Assumptions!$C$6,E3998)),Assumptions!$D$6,IF(ISNUMBER(SEARCH(Assumptions!$C$7,E3998)),Assumptions!$D$7,"Other Services"))),"Other Services"))</f>
        <v/>
      </c>
    </row>
    <row r="3999" customFormat="false" ht="15" hidden="false" customHeight="false" outlineLevel="0" collapsed="false">
      <c r="G3999" s="41" t="str">
        <f aca="false">IF(E3999="","",IFERROR(IF(ISNUMBER(SEARCH(Assumptions!$C$5,E3999)),Assumptions!$D$5,IF(ISNUMBER(SEARCH(Assumptions!$C$6,E3999)),Assumptions!$D$6,IF(ISNUMBER(SEARCH(Assumptions!$C$7,E3999)),Assumptions!$D$7,"Other Services"))),"Other Services"))</f>
        <v/>
      </c>
    </row>
    <row r="4000" customFormat="false" ht="15" hidden="false" customHeight="false" outlineLevel="0" collapsed="false">
      <c r="G4000" s="41" t="str">
        <f aca="false">IF(E4000="","",IFERROR(IF(ISNUMBER(SEARCH(Assumptions!$C$5,E4000)),Assumptions!$D$5,IF(ISNUMBER(SEARCH(Assumptions!$C$6,E4000)),Assumptions!$D$6,IF(ISNUMBER(SEARCH(Assumptions!$C$7,E4000)),Assumptions!$D$7,"Other Services"))),"Other Services"))</f>
        <v/>
      </c>
    </row>
    <row r="4001" customFormat="false" ht="15" hidden="false" customHeight="false" outlineLevel="0" collapsed="false">
      <c r="G4001" s="41" t="str">
        <f aca="false">IF(E4001="","",IFERROR(IF(ISNUMBER(SEARCH(Assumptions!$C$5,E4001)),Assumptions!$D$5,IF(ISNUMBER(SEARCH(Assumptions!$C$6,E4001)),Assumptions!$D$6,IF(ISNUMBER(SEARCH(Assumptions!$C$7,E4001)),Assumptions!$D$7,"Other Services"))),"Other Services"))</f>
        <v/>
      </c>
    </row>
    <row r="4002" customFormat="false" ht="15" hidden="false" customHeight="false" outlineLevel="0" collapsed="false">
      <c r="G4002" s="41" t="str">
        <f aca="false">IF(E4002="","",IFERROR(IF(ISNUMBER(SEARCH(Assumptions!$C$5,E4002)),Assumptions!$D$5,IF(ISNUMBER(SEARCH(Assumptions!$C$6,E4002)),Assumptions!$D$6,IF(ISNUMBER(SEARCH(Assumptions!$C$7,E4002)),Assumptions!$D$7,"Other Services"))),"Other Services"))</f>
        <v/>
      </c>
    </row>
    <row r="4003" customFormat="false" ht="15" hidden="false" customHeight="false" outlineLevel="0" collapsed="false">
      <c r="G4003" s="41" t="str">
        <f aca="false">IF(E4003="","",IFERROR(IF(ISNUMBER(SEARCH(Assumptions!$C$5,E4003)),Assumptions!$D$5,IF(ISNUMBER(SEARCH(Assumptions!$C$6,E4003)),Assumptions!$D$6,IF(ISNUMBER(SEARCH(Assumptions!$C$7,E4003)),Assumptions!$D$7,"Other Services"))),"Other Services"))</f>
        <v/>
      </c>
    </row>
    <row r="4004" customFormat="false" ht="15" hidden="false" customHeight="false" outlineLevel="0" collapsed="false">
      <c r="G4004" s="41" t="str">
        <f aca="false">IF(E4004="","",IFERROR(IF(ISNUMBER(SEARCH(Assumptions!$C$5,E4004)),Assumptions!$D$5,IF(ISNUMBER(SEARCH(Assumptions!$C$6,E4004)),Assumptions!$D$6,IF(ISNUMBER(SEARCH(Assumptions!$C$7,E4004)),Assumptions!$D$7,"Other Services"))),"Other Services"))</f>
        <v/>
      </c>
    </row>
    <row r="4005" customFormat="false" ht="15" hidden="false" customHeight="false" outlineLevel="0" collapsed="false">
      <c r="G4005" s="41" t="str">
        <f aca="false">IF(E4005="","",IFERROR(IF(ISNUMBER(SEARCH(Assumptions!$C$5,E4005)),Assumptions!$D$5,IF(ISNUMBER(SEARCH(Assumptions!$C$6,E4005)),Assumptions!$D$6,IF(ISNUMBER(SEARCH(Assumptions!$C$7,E4005)),Assumptions!$D$7,"Other Services"))),"Other Services"))</f>
        <v/>
      </c>
    </row>
    <row r="4006" customFormat="false" ht="15" hidden="false" customHeight="false" outlineLevel="0" collapsed="false">
      <c r="G4006" s="41" t="str">
        <f aca="false">IF(E4006="","",IFERROR(IF(ISNUMBER(SEARCH(Assumptions!$C$5,E4006)),Assumptions!$D$5,IF(ISNUMBER(SEARCH(Assumptions!$C$6,E4006)),Assumptions!$D$6,IF(ISNUMBER(SEARCH(Assumptions!$C$7,E4006)),Assumptions!$D$7,"Other Services"))),"Other Services"))</f>
        <v/>
      </c>
    </row>
    <row r="4007" customFormat="false" ht="15" hidden="false" customHeight="false" outlineLevel="0" collapsed="false">
      <c r="G4007" s="41" t="str">
        <f aca="false">IF(E4007="","",IFERROR(IF(ISNUMBER(SEARCH(Assumptions!$C$5,E4007)),Assumptions!$D$5,IF(ISNUMBER(SEARCH(Assumptions!$C$6,E4007)),Assumptions!$D$6,IF(ISNUMBER(SEARCH(Assumptions!$C$7,E4007)),Assumptions!$D$7,"Other Services"))),"Other Services"))</f>
        <v/>
      </c>
    </row>
    <row r="4008" customFormat="false" ht="15" hidden="false" customHeight="false" outlineLevel="0" collapsed="false">
      <c r="G4008" s="41" t="str">
        <f aca="false">IF(E4008="","",IFERROR(IF(ISNUMBER(SEARCH(Assumptions!$C$5,E4008)),Assumptions!$D$5,IF(ISNUMBER(SEARCH(Assumptions!$C$6,E4008)),Assumptions!$D$6,IF(ISNUMBER(SEARCH(Assumptions!$C$7,E4008)),Assumptions!$D$7,"Other Services"))),"Other Services"))</f>
        <v/>
      </c>
    </row>
    <row r="4009" customFormat="false" ht="15" hidden="false" customHeight="false" outlineLevel="0" collapsed="false">
      <c r="G4009" s="41" t="str">
        <f aca="false">IF(E4009="","",IFERROR(IF(ISNUMBER(SEARCH(Assumptions!$C$5,E4009)),Assumptions!$D$5,IF(ISNUMBER(SEARCH(Assumptions!$C$6,E4009)),Assumptions!$D$6,IF(ISNUMBER(SEARCH(Assumptions!$C$7,E4009)),Assumptions!$D$7,"Other Services"))),"Other Services"))</f>
        <v/>
      </c>
    </row>
    <row r="4010" customFormat="false" ht="15" hidden="false" customHeight="false" outlineLevel="0" collapsed="false">
      <c r="G4010" s="41" t="str">
        <f aca="false">IF(E4010="","",IFERROR(IF(ISNUMBER(SEARCH(Assumptions!$C$5,E4010)),Assumptions!$D$5,IF(ISNUMBER(SEARCH(Assumptions!$C$6,E4010)),Assumptions!$D$6,IF(ISNUMBER(SEARCH(Assumptions!$C$7,E4010)),Assumptions!$D$7,"Other Services"))),"Other Services"))</f>
        <v/>
      </c>
    </row>
    <row r="4011" customFormat="false" ht="15" hidden="false" customHeight="false" outlineLevel="0" collapsed="false">
      <c r="G4011" s="41" t="str">
        <f aca="false">IF(E4011="","",IFERROR(IF(ISNUMBER(SEARCH(Assumptions!$C$5,E4011)),Assumptions!$D$5,IF(ISNUMBER(SEARCH(Assumptions!$C$6,E4011)),Assumptions!$D$6,IF(ISNUMBER(SEARCH(Assumptions!$C$7,E4011)),Assumptions!$D$7,"Other Services"))),"Other Services"))</f>
        <v/>
      </c>
    </row>
    <row r="4012" customFormat="false" ht="15" hidden="false" customHeight="false" outlineLevel="0" collapsed="false">
      <c r="G4012" s="41" t="str">
        <f aca="false">IF(E4012="","",IFERROR(IF(ISNUMBER(SEARCH(Assumptions!$C$5,E4012)),Assumptions!$D$5,IF(ISNUMBER(SEARCH(Assumptions!$C$6,E4012)),Assumptions!$D$6,IF(ISNUMBER(SEARCH(Assumptions!$C$7,E4012)),Assumptions!$D$7,"Other Services"))),"Other Services"))</f>
        <v/>
      </c>
    </row>
    <row r="4013" customFormat="false" ht="15" hidden="false" customHeight="false" outlineLevel="0" collapsed="false">
      <c r="G4013" s="41" t="str">
        <f aca="false">IF(E4013="","",IFERROR(IF(ISNUMBER(SEARCH(Assumptions!$C$5,E4013)),Assumptions!$D$5,IF(ISNUMBER(SEARCH(Assumptions!$C$6,E4013)),Assumptions!$D$6,IF(ISNUMBER(SEARCH(Assumptions!$C$7,E4013)),Assumptions!$D$7,"Other Services"))),"Other Services"))</f>
        <v/>
      </c>
    </row>
    <row r="4014" customFormat="false" ht="15" hidden="false" customHeight="false" outlineLevel="0" collapsed="false">
      <c r="G4014" s="41" t="str">
        <f aca="false">IF(E4014="","",IFERROR(IF(ISNUMBER(SEARCH(Assumptions!$C$5,E4014)),Assumptions!$D$5,IF(ISNUMBER(SEARCH(Assumptions!$C$6,E4014)),Assumptions!$D$6,IF(ISNUMBER(SEARCH(Assumptions!$C$7,E4014)),Assumptions!$D$7,"Other Services"))),"Other Services"))</f>
        <v/>
      </c>
    </row>
    <row r="4015" customFormat="false" ht="15" hidden="false" customHeight="false" outlineLevel="0" collapsed="false">
      <c r="G4015" s="41" t="str">
        <f aca="false">IF(E4015="","",IFERROR(IF(ISNUMBER(SEARCH(Assumptions!$C$5,E4015)),Assumptions!$D$5,IF(ISNUMBER(SEARCH(Assumptions!$C$6,E4015)),Assumptions!$D$6,IF(ISNUMBER(SEARCH(Assumptions!$C$7,E4015)),Assumptions!$D$7,"Other Services"))),"Other Services"))</f>
        <v/>
      </c>
    </row>
    <row r="4016" customFormat="false" ht="15" hidden="false" customHeight="false" outlineLevel="0" collapsed="false">
      <c r="G4016" s="41" t="str">
        <f aca="false">IF(E4016="","",IFERROR(IF(ISNUMBER(SEARCH(Assumptions!$C$5,E4016)),Assumptions!$D$5,IF(ISNUMBER(SEARCH(Assumptions!$C$6,E4016)),Assumptions!$D$6,IF(ISNUMBER(SEARCH(Assumptions!$C$7,E4016)),Assumptions!$D$7,"Other Services"))),"Other Services"))</f>
        <v/>
      </c>
    </row>
    <row r="4017" customFormat="false" ht="15" hidden="false" customHeight="false" outlineLevel="0" collapsed="false">
      <c r="G4017" s="41" t="str">
        <f aca="false">IF(E4017="","",IFERROR(IF(ISNUMBER(SEARCH(Assumptions!$C$5,E4017)),Assumptions!$D$5,IF(ISNUMBER(SEARCH(Assumptions!$C$6,E4017)),Assumptions!$D$6,IF(ISNUMBER(SEARCH(Assumptions!$C$7,E4017)),Assumptions!$D$7,"Other Services"))),"Other Services"))</f>
        <v/>
      </c>
    </row>
    <row r="4018" customFormat="false" ht="15" hidden="false" customHeight="false" outlineLevel="0" collapsed="false">
      <c r="G4018" s="41" t="str">
        <f aca="false">IF(E4018="","",IFERROR(IF(ISNUMBER(SEARCH(Assumptions!$C$5,E4018)),Assumptions!$D$5,IF(ISNUMBER(SEARCH(Assumptions!$C$6,E4018)),Assumptions!$D$6,IF(ISNUMBER(SEARCH(Assumptions!$C$7,E4018)),Assumptions!$D$7,"Other Services"))),"Other Services"))</f>
        <v/>
      </c>
    </row>
    <row r="4019" customFormat="false" ht="15" hidden="false" customHeight="false" outlineLevel="0" collapsed="false">
      <c r="G4019" s="41" t="str">
        <f aca="false">IF(E4019="","",IFERROR(IF(ISNUMBER(SEARCH(Assumptions!$C$5,E4019)),Assumptions!$D$5,IF(ISNUMBER(SEARCH(Assumptions!$C$6,E4019)),Assumptions!$D$6,IF(ISNUMBER(SEARCH(Assumptions!$C$7,E4019)),Assumptions!$D$7,"Other Services"))),"Other Services"))</f>
        <v/>
      </c>
    </row>
    <row r="4020" customFormat="false" ht="15" hidden="false" customHeight="false" outlineLevel="0" collapsed="false">
      <c r="G4020" s="41" t="str">
        <f aca="false">IF(E4020="","",IFERROR(IF(ISNUMBER(SEARCH(Assumptions!$C$5,E4020)),Assumptions!$D$5,IF(ISNUMBER(SEARCH(Assumptions!$C$6,E4020)),Assumptions!$D$6,IF(ISNUMBER(SEARCH(Assumptions!$C$7,E4020)),Assumptions!$D$7,"Other Services"))),"Other Services"))</f>
        <v/>
      </c>
    </row>
    <row r="4021" customFormat="false" ht="15" hidden="false" customHeight="false" outlineLevel="0" collapsed="false">
      <c r="G4021" s="41" t="str">
        <f aca="false">IF(E4021="","",IFERROR(IF(ISNUMBER(SEARCH(Assumptions!$C$5,E4021)),Assumptions!$D$5,IF(ISNUMBER(SEARCH(Assumptions!$C$6,E4021)),Assumptions!$D$6,IF(ISNUMBER(SEARCH(Assumptions!$C$7,E4021)),Assumptions!$D$7,"Other Services"))),"Other Services"))</f>
        <v/>
      </c>
    </row>
    <row r="4022" customFormat="false" ht="15" hidden="false" customHeight="false" outlineLevel="0" collapsed="false">
      <c r="G4022" s="41" t="str">
        <f aca="false">IF(E4022="","",IFERROR(IF(ISNUMBER(SEARCH(Assumptions!$C$5,E4022)),Assumptions!$D$5,IF(ISNUMBER(SEARCH(Assumptions!$C$6,E4022)),Assumptions!$D$6,IF(ISNUMBER(SEARCH(Assumptions!$C$7,E4022)),Assumptions!$D$7,"Other Services"))),"Other Services"))</f>
        <v/>
      </c>
    </row>
    <row r="4023" customFormat="false" ht="15" hidden="false" customHeight="false" outlineLevel="0" collapsed="false">
      <c r="G4023" s="41" t="str">
        <f aca="false">IF(E4023="","",IFERROR(IF(ISNUMBER(SEARCH(Assumptions!$C$5,E4023)),Assumptions!$D$5,IF(ISNUMBER(SEARCH(Assumptions!$C$6,E4023)),Assumptions!$D$6,IF(ISNUMBER(SEARCH(Assumptions!$C$7,E4023)),Assumptions!$D$7,"Other Services"))),"Other Services"))</f>
        <v/>
      </c>
    </row>
    <row r="4024" customFormat="false" ht="15" hidden="false" customHeight="false" outlineLevel="0" collapsed="false">
      <c r="G4024" s="41" t="str">
        <f aca="false">IF(E4024="","",IFERROR(IF(ISNUMBER(SEARCH(Assumptions!$C$5,E4024)),Assumptions!$D$5,IF(ISNUMBER(SEARCH(Assumptions!$C$6,E4024)),Assumptions!$D$6,IF(ISNUMBER(SEARCH(Assumptions!$C$7,E4024)),Assumptions!$D$7,"Other Services"))),"Other Services"))</f>
        <v/>
      </c>
    </row>
    <row r="4025" customFormat="false" ht="15" hidden="false" customHeight="false" outlineLevel="0" collapsed="false">
      <c r="G4025" s="41" t="str">
        <f aca="false">IF(E4025="","",IFERROR(IF(ISNUMBER(SEARCH(Assumptions!$C$5,E4025)),Assumptions!$D$5,IF(ISNUMBER(SEARCH(Assumptions!$C$6,E4025)),Assumptions!$D$6,IF(ISNUMBER(SEARCH(Assumptions!$C$7,E4025)),Assumptions!$D$7,"Other Services"))),"Other Services"))</f>
        <v/>
      </c>
    </row>
    <row r="4026" customFormat="false" ht="15" hidden="false" customHeight="false" outlineLevel="0" collapsed="false">
      <c r="G4026" s="41" t="str">
        <f aca="false">IF(E4026="","",IFERROR(IF(ISNUMBER(SEARCH(Assumptions!$C$5,E4026)),Assumptions!$D$5,IF(ISNUMBER(SEARCH(Assumptions!$C$6,E4026)),Assumptions!$D$6,IF(ISNUMBER(SEARCH(Assumptions!$C$7,E4026)),Assumptions!$D$7,"Other Services"))),"Other Services"))</f>
        <v/>
      </c>
    </row>
    <row r="4027" customFormat="false" ht="15" hidden="false" customHeight="false" outlineLevel="0" collapsed="false">
      <c r="G4027" s="41" t="str">
        <f aca="false">IF(E4027="","",IFERROR(IF(ISNUMBER(SEARCH(Assumptions!$C$5,E4027)),Assumptions!$D$5,IF(ISNUMBER(SEARCH(Assumptions!$C$6,E4027)),Assumptions!$D$6,IF(ISNUMBER(SEARCH(Assumptions!$C$7,E4027)),Assumptions!$D$7,"Other Services"))),"Other Services"))</f>
        <v/>
      </c>
    </row>
    <row r="4028" customFormat="false" ht="15" hidden="false" customHeight="false" outlineLevel="0" collapsed="false">
      <c r="G4028" s="41" t="str">
        <f aca="false">IF(E4028="","",IFERROR(IF(ISNUMBER(SEARCH(Assumptions!$C$5,E4028)),Assumptions!$D$5,IF(ISNUMBER(SEARCH(Assumptions!$C$6,E4028)),Assumptions!$D$6,IF(ISNUMBER(SEARCH(Assumptions!$C$7,E4028)),Assumptions!$D$7,"Other Services"))),"Other Services"))</f>
        <v/>
      </c>
    </row>
    <row r="4029" customFormat="false" ht="15" hidden="false" customHeight="false" outlineLevel="0" collapsed="false">
      <c r="G4029" s="41" t="str">
        <f aca="false">IF(E4029="","",IFERROR(IF(ISNUMBER(SEARCH(Assumptions!$C$5,E4029)),Assumptions!$D$5,IF(ISNUMBER(SEARCH(Assumptions!$C$6,E4029)),Assumptions!$D$6,IF(ISNUMBER(SEARCH(Assumptions!$C$7,E4029)),Assumptions!$D$7,"Other Services"))),"Other Services"))</f>
        <v/>
      </c>
    </row>
    <row r="4030" customFormat="false" ht="15" hidden="false" customHeight="false" outlineLevel="0" collapsed="false">
      <c r="G4030" s="41" t="str">
        <f aca="false">IF(E4030="","",IFERROR(IF(ISNUMBER(SEARCH(Assumptions!$C$5,E4030)),Assumptions!$D$5,IF(ISNUMBER(SEARCH(Assumptions!$C$6,E4030)),Assumptions!$D$6,IF(ISNUMBER(SEARCH(Assumptions!$C$7,E4030)),Assumptions!$D$7,"Other Services"))),"Other Services"))</f>
        <v/>
      </c>
    </row>
    <row r="4031" customFormat="false" ht="15" hidden="false" customHeight="false" outlineLevel="0" collapsed="false">
      <c r="G4031" s="41" t="str">
        <f aca="false">IF(E4031="","",IFERROR(IF(ISNUMBER(SEARCH(Assumptions!$C$5,E4031)),Assumptions!$D$5,IF(ISNUMBER(SEARCH(Assumptions!$C$6,E4031)),Assumptions!$D$6,IF(ISNUMBER(SEARCH(Assumptions!$C$7,E4031)),Assumptions!$D$7,"Other Services"))),"Other Services"))</f>
        <v/>
      </c>
    </row>
    <row r="4032" customFormat="false" ht="15" hidden="false" customHeight="false" outlineLevel="0" collapsed="false">
      <c r="G4032" s="41" t="str">
        <f aca="false">IF(E4032="","",IFERROR(IF(ISNUMBER(SEARCH(Assumptions!$C$5,E4032)),Assumptions!$D$5,IF(ISNUMBER(SEARCH(Assumptions!$C$6,E4032)),Assumptions!$D$6,IF(ISNUMBER(SEARCH(Assumptions!$C$7,E4032)),Assumptions!$D$7,"Other Services"))),"Other Services"))</f>
        <v/>
      </c>
    </row>
    <row r="4033" customFormat="false" ht="15" hidden="false" customHeight="false" outlineLevel="0" collapsed="false">
      <c r="G4033" s="41" t="str">
        <f aca="false">IF(E4033="","",IFERROR(IF(ISNUMBER(SEARCH(Assumptions!$C$5,E4033)),Assumptions!$D$5,IF(ISNUMBER(SEARCH(Assumptions!$C$6,E4033)),Assumptions!$D$6,IF(ISNUMBER(SEARCH(Assumptions!$C$7,E4033)),Assumptions!$D$7,"Other Services"))),"Other Services"))</f>
        <v/>
      </c>
    </row>
    <row r="4034" customFormat="false" ht="15" hidden="false" customHeight="false" outlineLevel="0" collapsed="false">
      <c r="G4034" s="41" t="str">
        <f aca="false">IF(E4034="","",IFERROR(IF(ISNUMBER(SEARCH(Assumptions!$C$5,E4034)),Assumptions!$D$5,IF(ISNUMBER(SEARCH(Assumptions!$C$6,E4034)),Assumptions!$D$6,IF(ISNUMBER(SEARCH(Assumptions!$C$7,E4034)),Assumptions!$D$7,"Other Services"))),"Other Services"))</f>
        <v/>
      </c>
    </row>
    <row r="4035" customFormat="false" ht="15" hidden="false" customHeight="false" outlineLevel="0" collapsed="false">
      <c r="G4035" s="41" t="str">
        <f aca="false">IF(E4035="","",IFERROR(IF(ISNUMBER(SEARCH(Assumptions!$C$5,E4035)),Assumptions!$D$5,IF(ISNUMBER(SEARCH(Assumptions!$C$6,E4035)),Assumptions!$D$6,IF(ISNUMBER(SEARCH(Assumptions!$C$7,E4035)),Assumptions!$D$7,"Other Services"))),"Other Services"))</f>
        <v/>
      </c>
    </row>
    <row r="4036" customFormat="false" ht="15" hidden="false" customHeight="false" outlineLevel="0" collapsed="false">
      <c r="G4036" s="41" t="str">
        <f aca="false">IF(E4036="","",IFERROR(IF(ISNUMBER(SEARCH(Assumptions!$C$5,E4036)),Assumptions!$D$5,IF(ISNUMBER(SEARCH(Assumptions!$C$6,E4036)),Assumptions!$D$6,IF(ISNUMBER(SEARCH(Assumptions!$C$7,E4036)),Assumptions!$D$7,"Other Services"))),"Other Services"))</f>
        <v/>
      </c>
    </row>
    <row r="4037" customFormat="false" ht="15" hidden="false" customHeight="false" outlineLevel="0" collapsed="false">
      <c r="G4037" s="41" t="str">
        <f aca="false">IF(E4037="","",IFERROR(IF(ISNUMBER(SEARCH(Assumptions!$C$5,E4037)),Assumptions!$D$5,IF(ISNUMBER(SEARCH(Assumptions!$C$6,E4037)),Assumptions!$D$6,IF(ISNUMBER(SEARCH(Assumptions!$C$7,E4037)),Assumptions!$D$7,"Other Services"))),"Other Services"))</f>
        <v/>
      </c>
    </row>
    <row r="4038" customFormat="false" ht="15" hidden="false" customHeight="false" outlineLevel="0" collapsed="false">
      <c r="G4038" s="41" t="str">
        <f aca="false">IF(E4038="","",IFERROR(IF(ISNUMBER(SEARCH(Assumptions!$C$5,E4038)),Assumptions!$D$5,IF(ISNUMBER(SEARCH(Assumptions!$C$6,E4038)),Assumptions!$D$6,IF(ISNUMBER(SEARCH(Assumptions!$C$7,E4038)),Assumptions!$D$7,"Other Services"))),"Other Services"))</f>
        <v/>
      </c>
    </row>
    <row r="4039" customFormat="false" ht="15" hidden="false" customHeight="false" outlineLevel="0" collapsed="false">
      <c r="G4039" s="41" t="str">
        <f aca="false">IF(E4039="","",IFERROR(IF(ISNUMBER(SEARCH(Assumptions!$C$5,E4039)),Assumptions!$D$5,IF(ISNUMBER(SEARCH(Assumptions!$C$6,E4039)),Assumptions!$D$6,IF(ISNUMBER(SEARCH(Assumptions!$C$7,E4039)),Assumptions!$D$7,"Other Services"))),"Other Services"))</f>
        <v/>
      </c>
    </row>
    <row r="4040" customFormat="false" ht="15" hidden="false" customHeight="false" outlineLevel="0" collapsed="false">
      <c r="G4040" s="41" t="str">
        <f aca="false">IF(E4040="","",IFERROR(IF(ISNUMBER(SEARCH(Assumptions!$C$5,E4040)),Assumptions!$D$5,IF(ISNUMBER(SEARCH(Assumptions!$C$6,E4040)),Assumptions!$D$6,IF(ISNUMBER(SEARCH(Assumptions!$C$7,E4040)),Assumptions!$D$7,"Other Services"))),"Other Services"))</f>
        <v/>
      </c>
    </row>
    <row r="4041" customFormat="false" ht="15" hidden="false" customHeight="false" outlineLevel="0" collapsed="false">
      <c r="G4041" s="41" t="str">
        <f aca="false">IF(E4041="","",IFERROR(IF(ISNUMBER(SEARCH(Assumptions!$C$5,E4041)),Assumptions!$D$5,IF(ISNUMBER(SEARCH(Assumptions!$C$6,E4041)),Assumptions!$D$6,IF(ISNUMBER(SEARCH(Assumptions!$C$7,E4041)),Assumptions!$D$7,"Other Services"))),"Other Services"))</f>
        <v/>
      </c>
    </row>
    <row r="4042" customFormat="false" ht="15" hidden="false" customHeight="false" outlineLevel="0" collapsed="false">
      <c r="G4042" s="41" t="str">
        <f aca="false">IF(E4042="","",IFERROR(IF(ISNUMBER(SEARCH(Assumptions!$C$5,E4042)),Assumptions!$D$5,IF(ISNUMBER(SEARCH(Assumptions!$C$6,E4042)),Assumptions!$D$6,IF(ISNUMBER(SEARCH(Assumptions!$C$7,E4042)),Assumptions!$D$7,"Other Services"))),"Other Services"))</f>
        <v/>
      </c>
    </row>
    <row r="4043" customFormat="false" ht="15" hidden="false" customHeight="false" outlineLevel="0" collapsed="false">
      <c r="G4043" s="41" t="str">
        <f aca="false">IF(E4043="","",IFERROR(IF(ISNUMBER(SEARCH(Assumptions!$C$5,E4043)),Assumptions!$D$5,IF(ISNUMBER(SEARCH(Assumptions!$C$6,E4043)),Assumptions!$D$6,IF(ISNUMBER(SEARCH(Assumptions!$C$7,E4043)),Assumptions!$D$7,"Other Services"))),"Other Services"))</f>
        <v/>
      </c>
    </row>
    <row r="4044" customFormat="false" ht="15" hidden="false" customHeight="false" outlineLevel="0" collapsed="false">
      <c r="G4044" s="41" t="str">
        <f aca="false">IF(E4044="","",IFERROR(IF(ISNUMBER(SEARCH(Assumptions!$C$5,E4044)),Assumptions!$D$5,IF(ISNUMBER(SEARCH(Assumptions!$C$6,E4044)),Assumptions!$D$6,IF(ISNUMBER(SEARCH(Assumptions!$C$7,E4044)),Assumptions!$D$7,"Other Services"))),"Other Services"))</f>
        <v/>
      </c>
    </row>
    <row r="4045" customFormat="false" ht="15" hidden="false" customHeight="false" outlineLevel="0" collapsed="false">
      <c r="G4045" s="41" t="str">
        <f aca="false">IF(E4045="","",IFERROR(IF(ISNUMBER(SEARCH(Assumptions!$C$5,E4045)),Assumptions!$D$5,IF(ISNUMBER(SEARCH(Assumptions!$C$6,E4045)),Assumptions!$D$6,IF(ISNUMBER(SEARCH(Assumptions!$C$7,E4045)),Assumptions!$D$7,"Other Services"))),"Other Services"))</f>
        <v/>
      </c>
    </row>
    <row r="4046" customFormat="false" ht="15" hidden="false" customHeight="false" outlineLevel="0" collapsed="false">
      <c r="G4046" s="41" t="str">
        <f aca="false">IF(E4046="","",IFERROR(IF(ISNUMBER(SEARCH(Assumptions!$C$5,E4046)),Assumptions!$D$5,IF(ISNUMBER(SEARCH(Assumptions!$C$6,E4046)),Assumptions!$D$6,IF(ISNUMBER(SEARCH(Assumptions!$C$7,E4046)),Assumptions!$D$7,"Other Services"))),"Other Services"))</f>
        <v/>
      </c>
    </row>
    <row r="4047" customFormat="false" ht="15" hidden="false" customHeight="false" outlineLevel="0" collapsed="false">
      <c r="G4047" s="41" t="str">
        <f aca="false">IF(E4047="","",IFERROR(IF(ISNUMBER(SEARCH(Assumptions!$C$5,E4047)),Assumptions!$D$5,IF(ISNUMBER(SEARCH(Assumptions!$C$6,E4047)),Assumptions!$D$6,IF(ISNUMBER(SEARCH(Assumptions!$C$7,E4047)),Assumptions!$D$7,"Other Services"))),"Other Services"))</f>
        <v/>
      </c>
    </row>
    <row r="4048" customFormat="false" ht="15" hidden="false" customHeight="false" outlineLevel="0" collapsed="false">
      <c r="G4048" s="41" t="str">
        <f aca="false">IF(E4048="","",IFERROR(IF(ISNUMBER(SEARCH(Assumptions!$C$5,E4048)),Assumptions!$D$5,IF(ISNUMBER(SEARCH(Assumptions!$C$6,E4048)),Assumptions!$D$6,IF(ISNUMBER(SEARCH(Assumptions!$C$7,E4048)),Assumptions!$D$7,"Other Services"))),"Other Services"))</f>
        <v/>
      </c>
    </row>
    <row r="4049" customFormat="false" ht="15" hidden="false" customHeight="false" outlineLevel="0" collapsed="false">
      <c r="G4049" s="41" t="str">
        <f aca="false">IF(E4049="","",IFERROR(IF(ISNUMBER(SEARCH(Assumptions!$C$5,E4049)),Assumptions!$D$5,IF(ISNUMBER(SEARCH(Assumptions!$C$6,E4049)),Assumptions!$D$6,IF(ISNUMBER(SEARCH(Assumptions!$C$7,E4049)),Assumptions!$D$7,"Other Services"))),"Other Services"))</f>
        <v/>
      </c>
    </row>
    <row r="4050" customFormat="false" ht="15" hidden="false" customHeight="false" outlineLevel="0" collapsed="false">
      <c r="G4050" s="41" t="str">
        <f aca="false">IF(E4050="","",IFERROR(IF(ISNUMBER(SEARCH(Assumptions!$C$5,E4050)),Assumptions!$D$5,IF(ISNUMBER(SEARCH(Assumptions!$C$6,E4050)),Assumptions!$D$6,IF(ISNUMBER(SEARCH(Assumptions!$C$7,E4050)),Assumptions!$D$7,"Other Services"))),"Other Services"))</f>
        <v/>
      </c>
    </row>
    <row r="4051" customFormat="false" ht="15" hidden="false" customHeight="false" outlineLevel="0" collapsed="false">
      <c r="G4051" s="41" t="str">
        <f aca="false">IF(E4051="","",IFERROR(IF(ISNUMBER(SEARCH(Assumptions!$C$5,E4051)),Assumptions!$D$5,IF(ISNUMBER(SEARCH(Assumptions!$C$6,E4051)),Assumptions!$D$6,IF(ISNUMBER(SEARCH(Assumptions!$C$7,E4051)),Assumptions!$D$7,"Other Services"))),"Other Services"))</f>
        <v/>
      </c>
    </row>
    <row r="4052" customFormat="false" ht="15" hidden="false" customHeight="false" outlineLevel="0" collapsed="false">
      <c r="G4052" s="41" t="str">
        <f aca="false">IF(E4052="","",IFERROR(IF(ISNUMBER(SEARCH(Assumptions!$C$5,E4052)),Assumptions!$D$5,IF(ISNUMBER(SEARCH(Assumptions!$C$6,E4052)),Assumptions!$D$6,IF(ISNUMBER(SEARCH(Assumptions!$C$7,E4052)),Assumptions!$D$7,"Other Services"))),"Other Services"))</f>
        <v/>
      </c>
    </row>
    <row r="4053" customFormat="false" ht="15" hidden="false" customHeight="false" outlineLevel="0" collapsed="false">
      <c r="G4053" s="41" t="str">
        <f aca="false">IF(E4053="","",IFERROR(IF(ISNUMBER(SEARCH(Assumptions!$C$5,E4053)),Assumptions!$D$5,IF(ISNUMBER(SEARCH(Assumptions!$C$6,E4053)),Assumptions!$D$6,IF(ISNUMBER(SEARCH(Assumptions!$C$7,E4053)),Assumptions!$D$7,"Other Services"))),"Other Services"))</f>
        <v/>
      </c>
    </row>
    <row r="4054" customFormat="false" ht="15" hidden="false" customHeight="false" outlineLevel="0" collapsed="false">
      <c r="G4054" s="41" t="str">
        <f aca="false">IF(E4054="","",IFERROR(IF(ISNUMBER(SEARCH(Assumptions!$C$5,E4054)),Assumptions!$D$5,IF(ISNUMBER(SEARCH(Assumptions!$C$6,E4054)),Assumptions!$D$6,IF(ISNUMBER(SEARCH(Assumptions!$C$7,E4054)),Assumptions!$D$7,"Other Services"))),"Other Services"))</f>
        <v/>
      </c>
    </row>
    <row r="4055" customFormat="false" ht="15" hidden="false" customHeight="false" outlineLevel="0" collapsed="false">
      <c r="G4055" s="41" t="str">
        <f aca="false">IF(E4055="","",IFERROR(IF(ISNUMBER(SEARCH(Assumptions!$C$5,E4055)),Assumptions!$D$5,IF(ISNUMBER(SEARCH(Assumptions!$C$6,E4055)),Assumptions!$D$6,IF(ISNUMBER(SEARCH(Assumptions!$C$7,E4055)),Assumptions!$D$7,"Other Services"))),"Other Services"))</f>
        <v/>
      </c>
    </row>
    <row r="4056" customFormat="false" ht="15" hidden="false" customHeight="false" outlineLevel="0" collapsed="false">
      <c r="G4056" s="41" t="str">
        <f aca="false">IF(E4056="","",IFERROR(IF(ISNUMBER(SEARCH(Assumptions!$C$5,E4056)),Assumptions!$D$5,IF(ISNUMBER(SEARCH(Assumptions!$C$6,E4056)),Assumptions!$D$6,IF(ISNUMBER(SEARCH(Assumptions!$C$7,E4056)),Assumptions!$D$7,"Other Services"))),"Other Services"))</f>
        <v/>
      </c>
    </row>
    <row r="4057" customFormat="false" ht="15" hidden="false" customHeight="false" outlineLevel="0" collapsed="false">
      <c r="G4057" s="41" t="str">
        <f aca="false">IF(E4057="","",IFERROR(IF(ISNUMBER(SEARCH(Assumptions!$C$5,E4057)),Assumptions!$D$5,IF(ISNUMBER(SEARCH(Assumptions!$C$6,E4057)),Assumptions!$D$6,IF(ISNUMBER(SEARCH(Assumptions!$C$7,E4057)),Assumptions!$D$7,"Other Services"))),"Other Services"))</f>
        <v/>
      </c>
    </row>
    <row r="4058" customFormat="false" ht="15" hidden="false" customHeight="false" outlineLevel="0" collapsed="false">
      <c r="G4058" s="41" t="str">
        <f aca="false">IF(E4058="","",IFERROR(IF(ISNUMBER(SEARCH(Assumptions!$C$5,E4058)),Assumptions!$D$5,IF(ISNUMBER(SEARCH(Assumptions!$C$6,E4058)),Assumptions!$D$6,IF(ISNUMBER(SEARCH(Assumptions!$C$7,E4058)),Assumptions!$D$7,"Other Services"))),"Other Services"))</f>
        <v/>
      </c>
    </row>
    <row r="4059" customFormat="false" ht="15" hidden="false" customHeight="false" outlineLevel="0" collapsed="false">
      <c r="G4059" s="41" t="str">
        <f aca="false">IF(E4059="","",IFERROR(IF(ISNUMBER(SEARCH(Assumptions!$C$5,E4059)),Assumptions!$D$5,IF(ISNUMBER(SEARCH(Assumptions!$C$6,E4059)),Assumptions!$D$6,IF(ISNUMBER(SEARCH(Assumptions!$C$7,E4059)),Assumptions!$D$7,"Other Services"))),"Other Services"))</f>
        <v/>
      </c>
    </row>
    <row r="4060" customFormat="false" ht="15" hidden="false" customHeight="false" outlineLevel="0" collapsed="false">
      <c r="G4060" s="41" t="str">
        <f aca="false">IF(E4060="","",IFERROR(IF(ISNUMBER(SEARCH(Assumptions!$C$5,E4060)),Assumptions!$D$5,IF(ISNUMBER(SEARCH(Assumptions!$C$6,E4060)),Assumptions!$D$6,IF(ISNUMBER(SEARCH(Assumptions!$C$7,E4060)),Assumptions!$D$7,"Other Services"))),"Other Services"))</f>
        <v/>
      </c>
    </row>
    <row r="4061" customFormat="false" ht="15" hidden="false" customHeight="false" outlineLevel="0" collapsed="false">
      <c r="G4061" s="41" t="str">
        <f aca="false">IF(E4061="","",IFERROR(IF(ISNUMBER(SEARCH(Assumptions!$C$5,E4061)),Assumptions!$D$5,IF(ISNUMBER(SEARCH(Assumptions!$C$6,E4061)),Assumptions!$D$6,IF(ISNUMBER(SEARCH(Assumptions!$C$7,E4061)),Assumptions!$D$7,"Other Services"))),"Other Services"))</f>
        <v/>
      </c>
    </row>
    <row r="4062" customFormat="false" ht="15" hidden="false" customHeight="false" outlineLevel="0" collapsed="false">
      <c r="G4062" s="41" t="str">
        <f aca="false">IF(E4062="","",IFERROR(IF(ISNUMBER(SEARCH(Assumptions!$C$5,E4062)),Assumptions!$D$5,IF(ISNUMBER(SEARCH(Assumptions!$C$6,E4062)),Assumptions!$D$6,IF(ISNUMBER(SEARCH(Assumptions!$C$7,E4062)),Assumptions!$D$7,"Other Services"))),"Other Services"))</f>
        <v/>
      </c>
    </row>
    <row r="4063" customFormat="false" ht="15" hidden="false" customHeight="false" outlineLevel="0" collapsed="false">
      <c r="G4063" s="41" t="str">
        <f aca="false">IF(E4063="","",IFERROR(IF(ISNUMBER(SEARCH(Assumptions!$C$5,E4063)),Assumptions!$D$5,IF(ISNUMBER(SEARCH(Assumptions!$C$6,E4063)),Assumptions!$D$6,IF(ISNUMBER(SEARCH(Assumptions!$C$7,E4063)),Assumptions!$D$7,"Other Services"))),"Other Services"))</f>
        <v/>
      </c>
    </row>
    <row r="4064" customFormat="false" ht="15" hidden="false" customHeight="false" outlineLevel="0" collapsed="false">
      <c r="G4064" s="41" t="str">
        <f aca="false">IF(E4064="","",IFERROR(IF(ISNUMBER(SEARCH(Assumptions!$C$5,E4064)),Assumptions!$D$5,IF(ISNUMBER(SEARCH(Assumptions!$C$6,E4064)),Assumptions!$D$6,IF(ISNUMBER(SEARCH(Assumptions!$C$7,E4064)),Assumptions!$D$7,"Other Services"))),"Other Services"))</f>
        <v/>
      </c>
    </row>
    <row r="4065" customFormat="false" ht="15" hidden="false" customHeight="false" outlineLevel="0" collapsed="false">
      <c r="G4065" s="41" t="str">
        <f aca="false">IF(E4065="","",IFERROR(IF(ISNUMBER(SEARCH(Assumptions!$C$5,E4065)),Assumptions!$D$5,IF(ISNUMBER(SEARCH(Assumptions!$C$6,E4065)),Assumptions!$D$6,IF(ISNUMBER(SEARCH(Assumptions!$C$7,E4065)),Assumptions!$D$7,"Other Services"))),"Other Services"))</f>
        <v/>
      </c>
    </row>
    <row r="4066" customFormat="false" ht="15" hidden="false" customHeight="false" outlineLevel="0" collapsed="false">
      <c r="G4066" s="41" t="str">
        <f aca="false">IF(E4066="","",IFERROR(IF(ISNUMBER(SEARCH(Assumptions!$C$5,E4066)),Assumptions!$D$5,IF(ISNUMBER(SEARCH(Assumptions!$C$6,E4066)),Assumptions!$D$6,IF(ISNUMBER(SEARCH(Assumptions!$C$7,E4066)),Assumptions!$D$7,"Other Services"))),"Other Services"))</f>
        <v/>
      </c>
    </row>
    <row r="4067" customFormat="false" ht="15" hidden="false" customHeight="false" outlineLevel="0" collapsed="false">
      <c r="G4067" s="41" t="str">
        <f aca="false">IF(E4067="","",IFERROR(IF(ISNUMBER(SEARCH(Assumptions!$C$5,E4067)),Assumptions!$D$5,IF(ISNUMBER(SEARCH(Assumptions!$C$6,E4067)),Assumptions!$D$6,IF(ISNUMBER(SEARCH(Assumptions!$C$7,E4067)),Assumptions!$D$7,"Other Services"))),"Other Services"))</f>
        <v/>
      </c>
    </row>
    <row r="4068" customFormat="false" ht="15" hidden="false" customHeight="false" outlineLevel="0" collapsed="false">
      <c r="G4068" s="41" t="str">
        <f aca="false">IF(E4068="","",IFERROR(IF(ISNUMBER(SEARCH(Assumptions!$C$5,E4068)),Assumptions!$D$5,IF(ISNUMBER(SEARCH(Assumptions!$C$6,E4068)),Assumptions!$D$6,IF(ISNUMBER(SEARCH(Assumptions!$C$7,E4068)),Assumptions!$D$7,"Other Services"))),"Other Services"))</f>
        <v/>
      </c>
    </row>
    <row r="4069" customFormat="false" ht="15" hidden="false" customHeight="false" outlineLevel="0" collapsed="false">
      <c r="G4069" s="41" t="str">
        <f aca="false">IF(E4069="","",IFERROR(IF(ISNUMBER(SEARCH(Assumptions!$C$5,E4069)),Assumptions!$D$5,IF(ISNUMBER(SEARCH(Assumptions!$C$6,E4069)),Assumptions!$D$6,IF(ISNUMBER(SEARCH(Assumptions!$C$7,E4069)),Assumptions!$D$7,"Other Services"))),"Other Services"))</f>
        <v/>
      </c>
    </row>
    <row r="4070" customFormat="false" ht="15" hidden="false" customHeight="false" outlineLevel="0" collapsed="false">
      <c r="G4070" s="41" t="str">
        <f aca="false">IF(E4070="","",IFERROR(IF(ISNUMBER(SEARCH(Assumptions!$C$5,E4070)),Assumptions!$D$5,IF(ISNUMBER(SEARCH(Assumptions!$C$6,E4070)),Assumptions!$D$6,IF(ISNUMBER(SEARCH(Assumptions!$C$7,E4070)),Assumptions!$D$7,"Other Services"))),"Other Services"))</f>
        <v/>
      </c>
    </row>
    <row r="4071" customFormat="false" ht="15" hidden="false" customHeight="false" outlineLevel="0" collapsed="false">
      <c r="G4071" s="41" t="str">
        <f aca="false">IF(E4071="","",IFERROR(IF(ISNUMBER(SEARCH(Assumptions!$C$5,E4071)),Assumptions!$D$5,IF(ISNUMBER(SEARCH(Assumptions!$C$6,E4071)),Assumptions!$D$6,IF(ISNUMBER(SEARCH(Assumptions!$C$7,E4071)),Assumptions!$D$7,"Other Services"))),"Other Services"))</f>
        <v/>
      </c>
    </row>
    <row r="4072" customFormat="false" ht="15" hidden="false" customHeight="false" outlineLevel="0" collapsed="false">
      <c r="G4072" s="41" t="str">
        <f aca="false">IF(E4072="","",IFERROR(IF(ISNUMBER(SEARCH(Assumptions!$C$5,E4072)),Assumptions!$D$5,IF(ISNUMBER(SEARCH(Assumptions!$C$6,E4072)),Assumptions!$D$6,IF(ISNUMBER(SEARCH(Assumptions!$C$7,E4072)),Assumptions!$D$7,"Other Services"))),"Other Services"))</f>
        <v/>
      </c>
    </row>
    <row r="4073" customFormat="false" ht="15" hidden="false" customHeight="false" outlineLevel="0" collapsed="false">
      <c r="G4073" s="41" t="str">
        <f aca="false">IF(E4073="","",IFERROR(IF(ISNUMBER(SEARCH(Assumptions!$C$5,E4073)),Assumptions!$D$5,IF(ISNUMBER(SEARCH(Assumptions!$C$6,E4073)),Assumptions!$D$6,IF(ISNUMBER(SEARCH(Assumptions!$C$7,E4073)),Assumptions!$D$7,"Other Services"))),"Other Services"))</f>
        <v/>
      </c>
    </row>
    <row r="4074" customFormat="false" ht="15" hidden="false" customHeight="false" outlineLevel="0" collapsed="false">
      <c r="G4074" s="41" t="str">
        <f aca="false">IF(E4074="","",IFERROR(IF(ISNUMBER(SEARCH(Assumptions!$C$5,E4074)),Assumptions!$D$5,IF(ISNUMBER(SEARCH(Assumptions!$C$6,E4074)),Assumptions!$D$6,IF(ISNUMBER(SEARCH(Assumptions!$C$7,E4074)),Assumptions!$D$7,"Other Services"))),"Other Services"))</f>
        <v/>
      </c>
    </row>
    <row r="4075" customFormat="false" ht="15" hidden="false" customHeight="false" outlineLevel="0" collapsed="false">
      <c r="G4075" s="41" t="str">
        <f aca="false">IF(E4075="","",IFERROR(IF(ISNUMBER(SEARCH(Assumptions!$C$5,E4075)),Assumptions!$D$5,IF(ISNUMBER(SEARCH(Assumptions!$C$6,E4075)),Assumptions!$D$6,IF(ISNUMBER(SEARCH(Assumptions!$C$7,E4075)),Assumptions!$D$7,"Other Services"))),"Other Services"))</f>
        <v/>
      </c>
    </row>
    <row r="4076" customFormat="false" ht="15" hidden="false" customHeight="false" outlineLevel="0" collapsed="false">
      <c r="G4076" s="41" t="str">
        <f aca="false">IF(E4076="","",IFERROR(IF(ISNUMBER(SEARCH(Assumptions!$C$5,E4076)),Assumptions!$D$5,IF(ISNUMBER(SEARCH(Assumptions!$C$6,E4076)),Assumptions!$D$6,IF(ISNUMBER(SEARCH(Assumptions!$C$7,E4076)),Assumptions!$D$7,"Other Services"))),"Other Services"))</f>
        <v/>
      </c>
    </row>
    <row r="4077" customFormat="false" ht="15" hidden="false" customHeight="false" outlineLevel="0" collapsed="false">
      <c r="G4077" s="41" t="str">
        <f aca="false">IF(E4077="","",IFERROR(IF(ISNUMBER(SEARCH(Assumptions!$C$5,E4077)),Assumptions!$D$5,IF(ISNUMBER(SEARCH(Assumptions!$C$6,E4077)),Assumptions!$D$6,IF(ISNUMBER(SEARCH(Assumptions!$C$7,E4077)),Assumptions!$D$7,"Other Services"))),"Other Services"))</f>
        <v/>
      </c>
    </row>
    <row r="4078" customFormat="false" ht="15" hidden="false" customHeight="false" outlineLevel="0" collapsed="false">
      <c r="G4078" s="41" t="str">
        <f aca="false">IF(E4078="","",IFERROR(IF(ISNUMBER(SEARCH(Assumptions!$C$5,E4078)),Assumptions!$D$5,IF(ISNUMBER(SEARCH(Assumptions!$C$6,E4078)),Assumptions!$D$6,IF(ISNUMBER(SEARCH(Assumptions!$C$7,E4078)),Assumptions!$D$7,"Other Services"))),"Other Services"))</f>
        <v/>
      </c>
    </row>
    <row r="4079" customFormat="false" ht="15" hidden="false" customHeight="false" outlineLevel="0" collapsed="false">
      <c r="G4079" s="41" t="str">
        <f aca="false">IF(E4079="","",IFERROR(IF(ISNUMBER(SEARCH(Assumptions!$C$5,E4079)),Assumptions!$D$5,IF(ISNUMBER(SEARCH(Assumptions!$C$6,E4079)),Assumptions!$D$6,IF(ISNUMBER(SEARCH(Assumptions!$C$7,E4079)),Assumptions!$D$7,"Other Services"))),"Other Services"))</f>
        <v/>
      </c>
    </row>
    <row r="4080" customFormat="false" ht="15" hidden="false" customHeight="false" outlineLevel="0" collapsed="false">
      <c r="G4080" s="41" t="str">
        <f aca="false">IF(E4080="","",IFERROR(IF(ISNUMBER(SEARCH(Assumptions!$C$5,E4080)),Assumptions!$D$5,IF(ISNUMBER(SEARCH(Assumptions!$C$6,E4080)),Assumptions!$D$6,IF(ISNUMBER(SEARCH(Assumptions!$C$7,E4080)),Assumptions!$D$7,"Other Services"))),"Other Services"))</f>
        <v/>
      </c>
    </row>
    <row r="4081" customFormat="false" ht="15" hidden="false" customHeight="false" outlineLevel="0" collapsed="false">
      <c r="G4081" s="41" t="str">
        <f aca="false">IF(E4081="","",IFERROR(IF(ISNUMBER(SEARCH(Assumptions!$C$5,E4081)),Assumptions!$D$5,IF(ISNUMBER(SEARCH(Assumptions!$C$6,E4081)),Assumptions!$D$6,IF(ISNUMBER(SEARCH(Assumptions!$C$7,E4081)),Assumptions!$D$7,"Other Services"))),"Other Services"))</f>
        <v/>
      </c>
    </row>
    <row r="4082" customFormat="false" ht="15" hidden="false" customHeight="false" outlineLevel="0" collapsed="false">
      <c r="G4082" s="41" t="str">
        <f aca="false">IF(E4082="","",IFERROR(IF(ISNUMBER(SEARCH(Assumptions!$C$5,E4082)),Assumptions!$D$5,IF(ISNUMBER(SEARCH(Assumptions!$C$6,E4082)),Assumptions!$D$6,IF(ISNUMBER(SEARCH(Assumptions!$C$7,E4082)),Assumptions!$D$7,"Other Services"))),"Other Services"))</f>
        <v/>
      </c>
    </row>
    <row r="4083" customFormat="false" ht="15" hidden="false" customHeight="false" outlineLevel="0" collapsed="false">
      <c r="G4083" s="41" t="str">
        <f aca="false">IF(E4083="","",IFERROR(IF(ISNUMBER(SEARCH(Assumptions!$C$5,E4083)),Assumptions!$D$5,IF(ISNUMBER(SEARCH(Assumptions!$C$6,E4083)),Assumptions!$D$6,IF(ISNUMBER(SEARCH(Assumptions!$C$7,E4083)),Assumptions!$D$7,"Other Services"))),"Other Services"))</f>
        <v/>
      </c>
    </row>
    <row r="4084" customFormat="false" ht="15" hidden="false" customHeight="false" outlineLevel="0" collapsed="false">
      <c r="G4084" s="41" t="str">
        <f aca="false">IF(E4084="","",IFERROR(IF(ISNUMBER(SEARCH(Assumptions!$C$5,E4084)),Assumptions!$D$5,IF(ISNUMBER(SEARCH(Assumptions!$C$6,E4084)),Assumptions!$D$6,IF(ISNUMBER(SEARCH(Assumptions!$C$7,E4084)),Assumptions!$D$7,"Other Services"))),"Other Services"))</f>
        <v/>
      </c>
    </row>
    <row r="4085" customFormat="false" ht="15" hidden="false" customHeight="false" outlineLevel="0" collapsed="false">
      <c r="G4085" s="41" t="str">
        <f aca="false">IF(E4085="","",IFERROR(IF(ISNUMBER(SEARCH(Assumptions!$C$5,E4085)),Assumptions!$D$5,IF(ISNUMBER(SEARCH(Assumptions!$C$6,E4085)),Assumptions!$D$6,IF(ISNUMBER(SEARCH(Assumptions!$C$7,E4085)),Assumptions!$D$7,"Other Services"))),"Other Services"))</f>
        <v/>
      </c>
    </row>
    <row r="4086" customFormat="false" ht="15" hidden="false" customHeight="false" outlineLevel="0" collapsed="false">
      <c r="G4086" s="41" t="str">
        <f aca="false">IF(E4086="","",IFERROR(IF(ISNUMBER(SEARCH(Assumptions!$C$5,E4086)),Assumptions!$D$5,IF(ISNUMBER(SEARCH(Assumptions!$C$6,E4086)),Assumptions!$D$6,IF(ISNUMBER(SEARCH(Assumptions!$C$7,E4086)),Assumptions!$D$7,"Other Services"))),"Other Services"))</f>
        <v/>
      </c>
    </row>
    <row r="4087" customFormat="false" ht="15" hidden="false" customHeight="false" outlineLevel="0" collapsed="false">
      <c r="G4087" s="41" t="str">
        <f aca="false">IF(E4087="","",IFERROR(IF(ISNUMBER(SEARCH(Assumptions!$C$5,E4087)),Assumptions!$D$5,IF(ISNUMBER(SEARCH(Assumptions!$C$6,E4087)),Assumptions!$D$6,IF(ISNUMBER(SEARCH(Assumptions!$C$7,E4087)),Assumptions!$D$7,"Other Services"))),"Other Services"))</f>
        <v/>
      </c>
    </row>
    <row r="4088" customFormat="false" ht="15" hidden="false" customHeight="false" outlineLevel="0" collapsed="false">
      <c r="G4088" s="41" t="str">
        <f aca="false">IF(E4088="","",IFERROR(IF(ISNUMBER(SEARCH(Assumptions!$C$5,E4088)),Assumptions!$D$5,IF(ISNUMBER(SEARCH(Assumptions!$C$6,E4088)),Assumptions!$D$6,IF(ISNUMBER(SEARCH(Assumptions!$C$7,E4088)),Assumptions!$D$7,"Other Services"))),"Other Services"))</f>
        <v/>
      </c>
    </row>
    <row r="4089" customFormat="false" ht="15" hidden="false" customHeight="false" outlineLevel="0" collapsed="false">
      <c r="G4089" s="41" t="str">
        <f aca="false">IF(E4089="","",IFERROR(IF(ISNUMBER(SEARCH(Assumptions!$C$5,E4089)),Assumptions!$D$5,IF(ISNUMBER(SEARCH(Assumptions!$C$6,E4089)),Assumptions!$D$6,IF(ISNUMBER(SEARCH(Assumptions!$C$7,E4089)),Assumptions!$D$7,"Other Services"))),"Other Services"))</f>
        <v/>
      </c>
    </row>
    <row r="4090" customFormat="false" ht="15" hidden="false" customHeight="false" outlineLevel="0" collapsed="false">
      <c r="G4090" s="41" t="str">
        <f aca="false">IF(E4090="","",IFERROR(IF(ISNUMBER(SEARCH(Assumptions!$C$5,E4090)),Assumptions!$D$5,IF(ISNUMBER(SEARCH(Assumptions!$C$6,E4090)),Assumptions!$D$6,IF(ISNUMBER(SEARCH(Assumptions!$C$7,E4090)),Assumptions!$D$7,"Other Services"))),"Other Services"))</f>
        <v/>
      </c>
    </row>
    <row r="4091" customFormat="false" ht="15" hidden="false" customHeight="false" outlineLevel="0" collapsed="false">
      <c r="G4091" s="41" t="str">
        <f aca="false">IF(E4091="","",IFERROR(IF(ISNUMBER(SEARCH(Assumptions!$C$5,E4091)),Assumptions!$D$5,IF(ISNUMBER(SEARCH(Assumptions!$C$6,E4091)),Assumptions!$D$6,IF(ISNUMBER(SEARCH(Assumptions!$C$7,E4091)),Assumptions!$D$7,"Other Services"))),"Other Services"))</f>
        <v/>
      </c>
    </row>
    <row r="4092" customFormat="false" ht="15" hidden="false" customHeight="false" outlineLevel="0" collapsed="false">
      <c r="G4092" s="41" t="str">
        <f aca="false">IF(E4092="","",IFERROR(IF(ISNUMBER(SEARCH(Assumptions!$C$5,E4092)),Assumptions!$D$5,IF(ISNUMBER(SEARCH(Assumptions!$C$6,E4092)),Assumptions!$D$6,IF(ISNUMBER(SEARCH(Assumptions!$C$7,E4092)),Assumptions!$D$7,"Other Services"))),"Other Services"))</f>
        <v/>
      </c>
    </row>
    <row r="4093" customFormat="false" ht="15" hidden="false" customHeight="false" outlineLevel="0" collapsed="false">
      <c r="G4093" s="41" t="str">
        <f aca="false">IF(E4093="","",IFERROR(IF(ISNUMBER(SEARCH(Assumptions!$C$5,E4093)),Assumptions!$D$5,IF(ISNUMBER(SEARCH(Assumptions!$C$6,E4093)),Assumptions!$D$6,IF(ISNUMBER(SEARCH(Assumptions!$C$7,E4093)),Assumptions!$D$7,"Other Services"))),"Other Services"))</f>
        <v/>
      </c>
    </row>
    <row r="4094" customFormat="false" ht="15" hidden="false" customHeight="false" outlineLevel="0" collapsed="false">
      <c r="G4094" s="41" t="str">
        <f aca="false">IF(E4094="","",IFERROR(IF(ISNUMBER(SEARCH(Assumptions!$C$5,E4094)),Assumptions!$D$5,IF(ISNUMBER(SEARCH(Assumptions!$C$6,E4094)),Assumptions!$D$6,IF(ISNUMBER(SEARCH(Assumptions!$C$7,E4094)),Assumptions!$D$7,"Other Services"))),"Other Services"))</f>
        <v/>
      </c>
    </row>
    <row r="4095" customFormat="false" ht="15" hidden="false" customHeight="false" outlineLevel="0" collapsed="false">
      <c r="G4095" s="41" t="str">
        <f aca="false">IF(E4095="","",IFERROR(IF(ISNUMBER(SEARCH(Assumptions!$C$5,E4095)),Assumptions!$D$5,IF(ISNUMBER(SEARCH(Assumptions!$C$6,E4095)),Assumptions!$D$6,IF(ISNUMBER(SEARCH(Assumptions!$C$7,E4095)),Assumptions!$D$7,"Other Services"))),"Other Services"))</f>
        <v/>
      </c>
    </row>
    <row r="4096" customFormat="false" ht="15" hidden="false" customHeight="false" outlineLevel="0" collapsed="false">
      <c r="G4096" s="41" t="str">
        <f aca="false">IF(E4096="","",IFERROR(IF(ISNUMBER(SEARCH(Assumptions!$C$5,E4096)),Assumptions!$D$5,IF(ISNUMBER(SEARCH(Assumptions!$C$6,E4096)),Assumptions!$D$6,IF(ISNUMBER(SEARCH(Assumptions!$C$7,E4096)),Assumptions!$D$7,"Other Services"))),"Other Services"))</f>
        <v/>
      </c>
    </row>
    <row r="4097" customFormat="false" ht="15" hidden="false" customHeight="false" outlineLevel="0" collapsed="false">
      <c r="G4097" s="41" t="str">
        <f aca="false">IF(E4097="","",IFERROR(IF(ISNUMBER(SEARCH(Assumptions!$C$5,E4097)),Assumptions!$D$5,IF(ISNUMBER(SEARCH(Assumptions!$C$6,E4097)),Assumptions!$D$6,IF(ISNUMBER(SEARCH(Assumptions!$C$7,E4097)),Assumptions!$D$7,"Other Services"))),"Other Services"))</f>
        <v/>
      </c>
    </row>
    <row r="4098" customFormat="false" ht="15" hidden="false" customHeight="false" outlineLevel="0" collapsed="false">
      <c r="G4098" s="41" t="str">
        <f aca="false">IF(E4098="","",IFERROR(IF(ISNUMBER(SEARCH(Assumptions!$C$5,E4098)),Assumptions!$D$5,IF(ISNUMBER(SEARCH(Assumptions!$C$6,E4098)),Assumptions!$D$6,IF(ISNUMBER(SEARCH(Assumptions!$C$7,E4098)),Assumptions!$D$7,"Other Services"))),"Other Services"))</f>
        <v/>
      </c>
    </row>
    <row r="4099" customFormat="false" ht="15" hidden="false" customHeight="false" outlineLevel="0" collapsed="false">
      <c r="G4099" s="41" t="str">
        <f aca="false">IF(E4099="","",IFERROR(IF(ISNUMBER(SEARCH(Assumptions!$C$5,E4099)),Assumptions!$D$5,IF(ISNUMBER(SEARCH(Assumptions!$C$6,E4099)),Assumptions!$D$6,IF(ISNUMBER(SEARCH(Assumptions!$C$7,E4099)),Assumptions!$D$7,"Other Services"))),"Other Services"))</f>
        <v/>
      </c>
    </row>
    <row r="4100" customFormat="false" ht="15" hidden="false" customHeight="false" outlineLevel="0" collapsed="false">
      <c r="G4100" s="41" t="str">
        <f aca="false">IF(E4100="","",IFERROR(IF(ISNUMBER(SEARCH(Assumptions!$C$5,E4100)),Assumptions!$D$5,IF(ISNUMBER(SEARCH(Assumptions!$C$6,E4100)),Assumptions!$D$6,IF(ISNUMBER(SEARCH(Assumptions!$C$7,E4100)),Assumptions!$D$7,"Other Services"))),"Other Services"))</f>
        <v/>
      </c>
    </row>
    <row r="4101" customFormat="false" ht="15" hidden="false" customHeight="false" outlineLevel="0" collapsed="false">
      <c r="G4101" s="41" t="str">
        <f aca="false">IF(E4101="","",IFERROR(IF(ISNUMBER(SEARCH(Assumptions!$C$5,E4101)),Assumptions!$D$5,IF(ISNUMBER(SEARCH(Assumptions!$C$6,E4101)),Assumptions!$D$6,IF(ISNUMBER(SEARCH(Assumptions!$C$7,E4101)),Assumptions!$D$7,"Other Services"))),"Other Services"))</f>
        <v/>
      </c>
    </row>
    <row r="4102" customFormat="false" ht="15" hidden="false" customHeight="false" outlineLevel="0" collapsed="false">
      <c r="G4102" s="41" t="str">
        <f aca="false">IF(E4102="","",IFERROR(IF(ISNUMBER(SEARCH(Assumptions!$C$5,E4102)),Assumptions!$D$5,IF(ISNUMBER(SEARCH(Assumptions!$C$6,E4102)),Assumptions!$D$6,IF(ISNUMBER(SEARCH(Assumptions!$C$7,E4102)),Assumptions!$D$7,"Other Services"))),"Other Services"))</f>
        <v/>
      </c>
    </row>
    <row r="4103" customFormat="false" ht="15" hidden="false" customHeight="false" outlineLevel="0" collapsed="false">
      <c r="G4103" s="41" t="str">
        <f aca="false">IF(E4103="","",IFERROR(IF(ISNUMBER(SEARCH(Assumptions!$C$5,E4103)),Assumptions!$D$5,IF(ISNUMBER(SEARCH(Assumptions!$C$6,E4103)),Assumptions!$D$6,IF(ISNUMBER(SEARCH(Assumptions!$C$7,E4103)),Assumptions!$D$7,"Other Services"))),"Other Services"))</f>
        <v/>
      </c>
    </row>
    <row r="4104" customFormat="false" ht="15" hidden="false" customHeight="false" outlineLevel="0" collapsed="false">
      <c r="G4104" s="41" t="str">
        <f aca="false">IF(E4104="","",IFERROR(IF(ISNUMBER(SEARCH(Assumptions!$C$5,E4104)),Assumptions!$D$5,IF(ISNUMBER(SEARCH(Assumptions!$C$6,E4104)),Assumptions!$D$6,IF(ISNUMBER(SEARCH(Assumptions!$C$7,E4104)),Assumptions!$D$7,"Other Services"))),"Other Services"))</f>
        <v/>
      </c>
    </row>
    <row r="4105" customFormat="false" ht="15" hidden="false" customHeight="false" outlineLevel="0" collapsed="false">
      <c r="G4105" s="41" t="str">
        <f aca="false">IF(E4105="","",IFERROR(IF(ISNUMBER(SEARCH(Assumptions!$C$5,E4105)),Assumptions!$D$5,IF(ISNUMBER(SEARCH(Assumptions!$C$6,E4105)),Assumptions!$D$6,IF(ISNUMBER(SEARCH(Assumptions!$C$7,E4105)),Assumptions!$D$7,"Other Services"))),"Other Services"))</f>
        <v/>
      </c>
    </row>
    <row r="4106" customFormat="false" ht="15" hidden="false" customHeight="false" outlineLevel="0" collapsed="false">
      <c r="G4106" s="41" t="str">
        <f aca="false">IF(E4106="","",IFERROR(IF(ISNUMBER(SEARCH(Assumptions!$C$5,E4106)),Assumptions!$D$5,IF(ISNUMBER(SEARCH(Assumptions!$C$6,E4106)),Assumptions!$D$6,IF(ISNUMBER(SEARCH(Assumptions!$C$7,E4106)),Assumptions!$D$7,"Other Services"))),"Other Services"))</f>
        <v/>
      </c>
    </row>
    <row r="4107" customFormat="false" ht="15" hidden="false" customHeight="false" outlineLevel="0" collapsed="false">
      <c r="G4107" s="41" t="str">
        <f aca="false">IF(E4107="","",IFERROR(IF(ISNUMBER(SEARCH(Assumptions!$C$5,E4107)),Assumptions!$D$5,IF(ISNUMBER(SEARCH(Assumptions!$C$6,E4107)),Assumptions!$D$6,IF(ISNUMBER(SEARCH(Assumptions!$C$7,E4107)),Assumptions!$D$7,"Other Services"))),"Other Services"))</f>
        <v/>
      </c>
    </row>
    <row r="4108" customFormat="false" ht="15" hidden="false" customHeight="false" outlineLevel="0" collapsed="false">
      <c r="G4108" s="41" t="str">
        <f aca="false">IF(E4108="","",IFERROR(IF(ISNUMBER(SEARCH(Assumptions!$C$5,E4108)),Assumptions!$D$5,IF(ISNUMBER(SEARCH(Assumptions!$C$6,E4108)),Assumptions!$D$6,IF(ISNUMBER(SEARCH(Assumptions!$C$7,E4108)),Assumptions!$D$7,"Other Services"))),"Other Services"))</f>
        <v/>
      </c>
    </row>
    <row r="4109" customFormat="false" ht="15" hidden="false" customHeight="false" outlineLevel="0" collapsed="false">
      <c r="G4109" s="41" t="str">
        <f aca="false">IF(E4109="","",IFERROR(IF(ISNUMBER(SEARCH(Assumptions!$C$5,E4109)),Assumptions!$D$5,IF(ISNUMBER(SEARCH(Assumptions!$C$6,E4109)),Assumptions!$D$6,IF(ISNUMBER(SEARCH(Assumptions!$C$7,E4109)),Assumptions!$D$7,"Other Services"))),"Other Services"))</f>
        <v/>
      </c>
    </row>
    <row r="4110" customFormat="false" ht="15" hidden="false" customHeight="false" outlineLevel="0" collapsed="false">
      <c r="G4110" s="41" t="str">
        <f aca="false">IF(E4110="","",IFERROR(IF(ISNUMBER(SEARCH(Assumptions!$C$5,E4110)),Assumptions!$D$5,IF(ISNUMBER(SEARCH(Assumptions!$C$6,E4110)),Assumptions!$D$6,IF(ISNUMBER(SEARCH(Assumptions!$C$7,E4110)),Assumptions!$D$7,"Other Services"))),"Other Services"))</f>
        <v/>
      </c>
    </row>
    <row r="4111" customFormat="false" ht="15" hidden="false" customHeight="false" outlineLevel="0" collapsed="false">
      <c r="G4111" s="41" t="str">
        <f aca="false">IF(E4111="","",IFERROR(IF(ISNUMBER(SEARCH(Assumptions!$C$5,E4111)),Assumptions!$D$5,IF(ISNUMBER(SEARCH(Assumptions!$C$6,E4111)),Assumptions!$D$6,IF(ISNUMBER(SEARCH(Assumptions!$C$7,E4111)),Assumptions!$D$7,"Other Services"))),"Other Services"))</f>
        <v/>
      </c>
    </row>
    <row r="4112" customFormat="false" ht="15" hidden="false" customHeight="false" outlineLevel="0" collapsed="false">
      <c r="G4112" s="41" t="str">
        <f aca="false">IF(E4112="","",IFERROR(IF(ISNUMBER(SEARCH(Assumptions!$C$5,E4112)),Assumptions!$D$5,IF(ISNUMBER(SEARCH(Assumptions!$C$6,E4112)),Assumptions!$D$6,IF(ISNUMBER(SEARCH(Assumptions!$C$7,E4112)),Assumptions!$D$7,"Other Services"))),"Other Services"))</f>
        <v/>
      </c>
    </row>
    <row r="4113" customFormat="false" ht="15" hidden="false" customHeight="false" outlineLevel="0" collapsed="false">
      <c r="G4113" s="41" t="str">
        <f aca="false">IF(E4113="","",IFERROR(IF(ISNUMBER(SEARCH(Assumptions!$C$5,E4113)),Assumptions!$D$5,IF(ISNUMBER(SEARCH(Assumptions!$C$6,E4113)),Assumptions!$D$6,IF(ISNUMBER(SEARCH(Assumptions!$C$7,E4113)),Assumptions!$D$7,"Other Services"))),"Other Services"))</f>
        <v/>
      </c>
    </row>
    <row r="4114" customFormat="false" ht="15" hidden="false" customHeight="false" outlineLevel="0" collapsed="false">
      <c r="G4114" s="41" t="str">
        <f aca="false">IF(E4114="","",IFERROR(IF(ISNUMBER(SEARCH(Assumptions!$C$5,E4114)),Assumptions!$D$5,IF(ISNUMBER(SEARCH(Assumptions!$C$6,E4114)),Assumptions!$D$6,IF(ISNUMBER(SEARCH(Assumptions!$C$7,E4114)),Assumptions!$D$7,"Other Services"))),"Other Services"))</f>
        <v/>
      </c>
    </row>
    <row r="4115" customFormat="false" ht="15" hidden="false" customHeight="false" outlineLevel="0" collapsed="false">
      <c r="G4115" s="41" t="str">
        <f aca="false">IF(E4115="","",IFERROR(IF(ISNUMBER(SEARCH(Assumptions!$C$5,E4115)),Assumptions!$D$5,IF(ISNUMBER(SEARCH(Assumptions!$C$6,E4115)),Assumptions!$D$6,IF(ISNUMBER(SEARCH(Assumptions!$C$7,E4115)),Assumptions!$D$7,"Other Services"))),"Other Services"))</f>
        <v/>
      </c>
    </row>
    <row r="4116" customFormat="false" ht="15" hidden="false" customHeight="false" outlineLevel="0" collapsed="false">
      <c r="G4116" s="41" t="str">
        <f aca="false">IF(E4116="","",IFERROR(IF(ISNUMBER(SEARCH(Assumptions!$C$5,E4116)),Assumptions!$D$5,IF(ISNUMBER(SEARCH(Assumptions!$C$6,E4116)),Assumptions!$D$6,IF(ISNUMBER(SEARCH(Assumptions!$C$7,E4116)),Assumptions!$D$7,"Other Services"))),"Other Services"))</f>
        <v/>
      </c>
    </row>
    <row r="4117" customFormat="false" ht="15" hidden="false" customHeight="false" outlineLevel="0" collapsed="false">
      <c r="G4117" s="41" t="str">
        <f aca="false">IF(E4117="","",IFERROR(IF(ISNUMBER(SEARCH(Assumptions!$C$5,E4117)),Assumptions!$D$5,IF(ISNUMBER(SEARCH(Assumptions!$C$6,E4117)),Assumptions!$D$6,IF(ISNUMBER(SEARCH(Assumptions!$C$7,E4117)),Assumptions!$D$7,"Other Services"))),"Other Services"))</f>
        <v/>
      </c>
    </row>
    <row r="4118" customFormat="false" ht="15" hidden="false" customHeight="false" outlineLevel="0" collapsed="false">
      <c r="G4118" s="41" t="str">
        <f aca="false">IF(E4118="","",IFERROR(IF(ISNUMBER(SEARCH(Assumptions!$C$5,E4118)),Assumptions!$D$5,IF(ISNUMBER(SEARCH(Assumptions!$C$6,E4118)),Assumptions!$D$6,IF(ISNUMBER(SEARCH(Assumptions!$C$7,E4118)),Assumptions!$D$7,"Other Services"))),"Other Services"))</f>
        <v/>
      </c>
    </row>
    <row r="4119" customFormat="false" ht="15" hidden="false" customHeight="false" outlineLevel="0" collapsed="false">
      <c r="G4119" s="41" t="str">
        <f aca="false">IF(E4119="","",IFERROR(IF(ISNUMBER(SEARCH(Assumptions!$C$5,E4119)),Assumptions!$D$5,IF(ISNUMBER(SEARCH(Assumptions!$C$6,E4119)),Assumptions!$D$6,IF(ISNUMBER(SEARCH(Assumptions!$C$7,E4119)),Assumptions!$D$7,"Other Services"))),"Other Services"))</f>
        <v/>
      </c>
    </row>
    <row r="4120" customFormat="false" ht="15" hidden="false" customHeight="false" outlineLevel="0" collapsed="false">
      <c r="G4120" s="41" t="str">
        <f aca="false">IF(E4120="","",IFERROR(IF(ISNUMBER(SEARCH(Assumptions!$C$5,E4120)),Assumptions!$D$5,IF(ISNUMBER(SEARCH(Assumptions!$C$6,E4120)),Assumptions!$D$6,IF(ISNUMBER(SEARCH(Assumptions!$C$7,E4120)),Assumptions!$D$7,"Other Services"))),"Other Services"))</f>
        <v/>
      </c>
    </row>
    <row r="4121" customFormat="false" ht="15" hidden="false" customHeight="false" outlineLevel="0" collapsed="false">
      <c r="G4121" s="41" t="str">
        <f aca="false">IF(E4121="","",IFERROR(IF(ISNUMBER(SEARCH(Assumptions!$C$5,E4121)),Assumptions!$D$5,IF(ISNUMBER(SEARCH(Assumptions!$C$6,E4121)),Assumptions!$D$6,IF(ISNUMBER(SEARCH(Assumptions!$C$7,E4121)),Assumptions!$D$7,"Other Services"))),"Other Services"))</f>
        <v/>
      </c>
    </row>
    <row r="4122" customFormat="false" ht="15" hidden="false" customHeight="false" outlineLevel="0" collapsed="false">
      <c r="G4122" s="41" t="str">
        <f aca="false">IF(E4122="","",IFERROR(IF(ISNUMBER(SEARCH(Assumptions!$C$5,E4122)),Assumptions!$D$5,IF(ISNUMBER(SEARCH(Assumptions!$C$6,E4122)),Assumptions!$D$6,IF(ISNUMBER(SEARCH(Assumptions!$C$7,E4122)),Assumptions!$D$7,"Other Services"))),"Other Services"))</f>
        <v/>
      </c>
    </row>
    <row r="4123" customFormat="false" ht="15" hidden="false" customHeight="false" outlineLevel="0" collapsed="false">
      <c r="G4123" s="41" t="str">
        <f aca="false">IF(E4123="","",IFERROR(IF(ISNUMBER(SEARCH(Assumptions!$C$5,E4123)),Assumptions!$D$5,IF(ISNUMBER(SEARCH(Assumptions!$C$6,E4123)),Assumptions!$D$6,IF(ISNUMBER(SEARCH(Assumptions!$C$7,E4123)),Assumptions!$D$7,"Other Services"))),"Other Services"))</f>
        <v/>
      </c>
    </row>
    <row r="4124" customFormat="false" ht="15" hidden="false" customHeight="false" outlineLevel="0" collapsed="false">
      <c r="G4124" s="41" t="str">
        <f aca="false">IF(E4124="","",IFERROR(IF(ISNUMBER(SEARCH(Assumptions!$C$5,E4124)),Assumptions!$D$5,IF(ISNUMBER(SEARCH(Assumptions!$C$6,E4124)),Assumptions!$D$6,IF(ISNUMBER(SEARCH(Assumptions!$C$7,E4124)),Assumptions!$D$7,"Other Services"))),"Other Services"))</f>
        <v/>
      </c>
    </row>
    <row r="4125" customFormat="false" ht="15" hidden="false" customHeight="false" outlineLevel="0" collapsed="false">
      <c r="G4125" s="41" t="str">
        <f aca="false">IF(E4125="","",IFERROR(IF(ISNUMBER(SEARCH(Assumptions!$C$5,E4125)),Assumptions!$D$5,IF(ISNUMBER(SEARCH(Assumptions!$C$6,E4125)),Assumptions!$D$6,IF(ISNUMBER(SEARCH(Assumptions!$C$7,E4125)),Assumptions!$D$7,"Other Services"))),"Other Services"))</f>
        <v/>
      </c>
    </row>
    <row r="4126" customFormat="false" ht="15" hidden="false" customHeight="false" outlineLevel="0" collapsed="false">
      <c r="G4126" s="41" t="str">
        <f aca="false">IF(E4126="","",IFERROR(IF(ISNUMBER(SEARCH(Assumptions!$C$5,E4126)),Assumptions!$D$5,IF(ISNUMBER(SEARCH(Assumptions!$C$6,E4126)),Assumptions!$D$6,IF(ISNUMBER(SEARCH(Assumptions!$C$7,E4126)),Assumptions!$D$7,"Other Services"))),"Other Services"))</f>
        <v/>
      </c>
    </row>
    <row r="4127" customFormat="false" ht="15" hidden="false" customHeight="false" outlineLevel="0" collapsed="false">
      <c r="G4127" s="41" t="str">
        <f aca="false">IF(E4127="","",IFERROR(IF(ISNUMBER(SEARCH(Assumptions!$C$5,E4127)),Assumptions!$D$5,IF(ISNUMBER(SEARCH(Assumptions!$C$6,E4127)),Assumptions!$D$6,IF(ISNUMBER(SEARCH(Assumptions!$C$7,E4127)),Assumptions!$D$7,"Other Services"))),"Other Services"))</f>
        <v/>
      </c>
    </row>
    <row r="4128" customFormat="false" ht="15" hidden="false" customHeight="false" outlineLevel="0" collapsed="false">
      <c r="G4128" s="41" t="str">
        <f aca="false">IF(E4128="","",IFERROR(IF(ISNUMBER(SEARCH(Assumptions!$C$5,E4128)),Assumptions!$D$5,IF(ISNUMBER(SEARCH(Assumptions!$C$6,E4128)),Assumptions!$D$6,IF(ISNUMBER(SEARCH(Assumptions!$C$7,E4128)),Assumptions!$D$7,"Other Services"))),"Other Services"))</f>
        <v/>
      </c>
    </row>
    <row r="4129" customFormat="false" ht="15" hidden="false" customHeight="false" outlineLevel="0" collapsed="false">
      <c r="G4129" s="41" t="str">
        <f aca="false">IF(E4129="","",IFERROR(IF(ISNUMBER(SEARCH(Assumptions!$C$5,E4129)),Assumptions!$D$5,IF(ISNUMBER(SEARCH(Assumptions!$C$6,E4129)),Assumptions!$D$6,IF(ISNUMBER(SEARCH(Assumptions!$C$7,E4129)),Assumptions!$D$7,"Other Services"))),"Other Services"))</f>
        <v/>
      </c>
    </row>
    <row r="4130" customFormat="false" ht="15" hidden="false" customHeight="false" outlineLevel="0" collapsed="false">
      <c r="G4130" s="41" t="str">
        <f aca="false">IF(E4130="","",IFERROR(IF(ISNUMBER(SEARCH(Assumptions!$C$5,E4130)),Assumptions!$D$5,IF(ISNUMBER(SEARCH(Assumptions!$C$6,E4130)),Assumptions!$D$6,IF(ISNUMBER(SEARCH(Assumptions!$C$7,E4130)),Assumptions!$D$7,"Other Services"))),"Other Services"))</f>
        <v/>
      </c>
    </row>
    <row r="4131" customFormat="false" ht="15" hidden="false" customHeight="false" outlineLevel="0" collapsed="false">
      <c r="G4131" s="41" t="str">
        <f aca="false">IF(E4131="","",IFERROR(IF(ISNUMBER(SEARCH(Assumptions!$C$5,E4131)),Assumptions!$D$5,IF(ISNUMBER(SEARCH(Assumptions!$C$6,E4131)),Assumptions!$D$6,IF(ISNUMBER(SEARCH(Assumptions!$C$7,E4131)),Assumptions!$D$7,"Other Services"))),"Other Services"))</f>
        <v/>
      </c>
    </row>
    <row r="4132" customFormat="false" ht="15" hidden="false" customHeight="false" outlineLevel="0" collapsed="false">
      <c r="G4132" s="41" t="str">
        <f aca="false">IF(E4132="","",IFERROR(IF(ISNUMBER(SEARCH(Assumptions!$C$5,E4132)),Assumptions!$D$5,IF(ISNUMBER(SEARCH(Assumptions!$C$6,E4132)),Assumptions!$D$6,IF(ISNUMBER(SEARCH(Assumptions!$C$7,E4132)),Assumptions!$D$7,"Other Services"))),"Other Services"))</f>
        <v/>
      </c>
    </row>
    <row r="4133" customFormat="false" ht="15" hidden="false" customHeight="false" outlineLevel="0" collapsed="false">
      <c r="G4133" s="41" t="str">
        <f aca="false">IF(E4133="","",IFERROR(IF(ISNUMBER(SEARCH(Assumptions!$C$5,E4133)),Assumptions!$D$5,IF(ISNUMBER(SEARCH(Assumptions!$C$6,E4133)),Assumptions!$D$6,IF(ISNUMBER(SEARCH(Assumptions!$C$7,E4133)),Assumptions!$D$7,"Other Services"))),"Other Services"))</f>
        <v/>
      </c>
    </row>
    <row r="4134" customFormat="false" ht="15" hidden="false" customHeight="false" outlineLevel="0" collapsed="false">
      <c r="G4134" s="41" t="str">
        <f aca="false">IF(E4134="","",IFERROR(IF(ISNUMBER(SEARCH(Assumptions!$C$5,E4134)),Assumptions!$D$5,IF(ISNUMBER(SEARCH(Assumptions!$C$6,E4134)),Assumptions!$D$6,IF(ISNUMBER(SEARCH(Assumptions!$C$7,E4134)),Assumptions!$D$7,"Other Services"))),"Other Services"))</f>
        <v/>
      </c>
    </row>
    <row r="4135" customFormat="false" ht="15" hidden="false" customHeight="false" outlineLevel="0" collapsed="false">
      <c r="G4135" s="41" t="str">
        <f aca="false">IF(E4135="","",IFERROR(IF(ISNUMBER(SEARCH(Assumptions!$C$5,E4135)),Assumptions!$D$5,IF(ISNUMBER(SEARCH(Assumptions!$C$6,E4135)),Assumptions!$D$6,IF(ISNUMBER(SEARCH(Assumptions!$C$7,E4135)),Assumptions!$D$7,"Other Services"))),"Other Services"))</f>
        <v/>
      </c>
    </row>
    <row r="4136" customFormat="false" ht="15" hidden="false" customHeight="false" outlineLevel="0" collapsed="false">
      <c r="G4136" s="41" t="str">
        <f aca="false">IF(E4136="","",IFERROR(IF(ISNUMBER(SEARCH(Assumptions!$C$5,E4136)),Assumptions!$D$5,IF(ISNUMBER(SEARCH(Assumptions!$C$6,E4136)),Assumptions!$D$6,IF(ISNUMBER(SEARCH(Assumptions!$C$7,E4136)),Assumptions!$D$7,"Other Services"))),"Other Services"))</f>
        <v/>
      </c>
    </row>
    <row r="4137" customFormat="false" ht="15" hidden="false" customHeight="false" outlineLevel="0" collapsed="false">
      <c r="G4137" s="41" t="str">
        <f aca="false">IF(E4137="","",IFERROR(IF(ISNUMBER(SEARCH(Assumptions!$C$5,E4137)),Assumptions!$D$5,IF(ISNUMBER(SEARCH(Assumptions!$C$6,E4137)),Assumptions!$D$6,IF(ISNUMBER(SEARCH(Assumptions!$C$7,E4137)),Assumptions!$D$7,"Other Services"))),"Other Services"))</f>
        <v/>
      </c>
    </row>
    <row r="4138" customFormat="false" ht="15" hidden="false" customHeight="false" outlineLevel="0" collapsed="false">
      <c r="G4138" s="41" t="str">
        <f aca="false">IF(E4138="","",IFERROR(IF(ISNUMBER(SEARCH(Assumptions!$C$5,E4138)),Assumptions!$D$5,IF(ISNUMBER(SEARCH(Assumptions!$C$6,E4138)),Assumptions!$D$6,IF(ISNUMBER(SEARCH(Assumptions!$C$7,E4138)),Assumptions!$D$7,"Other Services"))),"Other Services"))</f>
        <v/>
      </c>
    </row>
    <row r="4139" customFormat="false" ht="15" hidden="false" customHeight="false" outlineLevel="0" collapsed="false">
      <c r="G4139" s="41" t="str">
        <f aca="false">IF(E4139="","",IFERROR(IF(ISNUMBER(SEARCH(Assumptions!$C$5,E4139)),Assumptions!$D$5,IF(ISNUMBER(SEARCH(Assumptions!$C$6,E4139)),Assumptions!$D$6,IF(ISNUMBER(SEARCH(Assumptions!$C$7,E4139)),Assumptions!$D$7,"Other Services"))),"Other Services"))</f>
        <v/>
      </c>
    </row>
    <row r="4140" customFormat="false" ht="15" hidden="false" customHeight="false" outlineLevel="0" collapsed="false">
      <c r="G4140" s="41" t="str">
        <f aca="false">IF(E4140="","",IFERROR(IF(ISNUMBER(SEARCH(Assumptions!$C$5,E4140)),Assumptions!$D$5,IF(ISNUMBER(SEARCH(Assumptions!$C$6,E4140)),Assumptions!$D$6,IF(ISNUMBER(SEARCH(Assumptions!$C$7,E4140)),Assumptions!$D$7,"Other Services"))),"Other Services"))</f>
        <v/>
      </c>
    </row>
    <row r="4141" customFormat="false" ht="15" hidden="false" customHeight="false" outlineLevel="0" collapsed="false">
      <c r="G4141" s="41" t="str">
        <f aca="false">IF(E4141="","",IFERROR(IF(ISNUMBER(SEARCH(Assumptions!$C$5,E4141)),Assumptions!$D$5,IF(ISNUMBER(SEARCH(Assumptions!$C$6,E4141)),Assumptions!$D$6,IF(ISNUMBER(SEARCH(Assumptions!$C$7,E4141)),Assumptions!$D$7,"Other Services"))),"Other Services"))</f>
        <v/>
      </c>
    </row>
    <row r="4142" customFormat="false" ht="15" hidden="false" customHeight="false" outlineLevel="0" collapsed="false">
      <c r="G4142" s="41" t="str">
        <f aca="false">IF(E4142="","",IFERROR(IF(ISNUMBER(SEARCH(Assumptions!$C$5,E4142)),Assumptions!$D$5,IF(ISNUMBER(SEARCH(Assumptions!$C$6,E4142)),Assumptions!$D$6,IF(ISNUMBER(SEARCH(Assumptions!$C$7,E4142)),Assumptions!$D$7,"Other Services"))),"Other Services"))</f>
        <v/>
      </c>
    </row>
    <row r="4143" customFormat="false" ht="15" hidden="false" customHeight="false" outlineLevel="0" collapsed="false">
      <c r="G4143" s="41" t="str">
        <f aca="false">IF(E4143="","",IFERROR(IF(ISNUMBER(SEARCH(Assumptions!$C$5,E4143)),Assumptions!$D$5,IF(ISNUMBER(SEARCH(Assumptions!$C$6,E4143)),Assumptions!$D$6,IF(ISNUMBER(SEARCH(Assumptions!$C$7,E4143)),Assumptions!$D$7,"Other Services"))),"Other Services"))</f>
        <v/>
      </c>
    </row>
    <row r="4144" customFormat="false" ht="15" hidden="false" customHeight="false" outlineLevel="0" collapsed="false">
      <c r="G4144" s="41" t="str">
        <f aca="false">IF(E4144="","",IFERROR(IF(ISNUMBER(SEARCH(Assumptions!$C$5,E4144)),Assumptions!$D$5,IF(ISNUMBER(SEARCH(Assumptions!$C$6,E4144)),Assumptions!$D$6,IF(ISNUMBER(SEARCH(Assumptions!$C$7,E4144)),Assumptions!$D$7,"Other Services"))),"Other Services"))</f>
        <v/>
      </c>
    </row>
    <row r="4145" customFormat="false" ht="15" hidden="false" customHeight="false" outlineLevel="0" collapsed="false">
      <c r="G4145" s="41" t="str">
        <f aca="false">IF(E4145="","",IFERROR(IF(ISNUMBER(SEARCH(Assumptions!$C$5,E4145)),Assumptions!$D$5,IF(ISNUMBER(SEARCH(Assumptions!$C$6,E4145)),Assumptions!$D$6,IF(ISNUMBER(SEARCH(Assumptions!$C$7,E4145)),Assumptions!$D$7,"Other Services"))),"Other Services"))</f>
        <v/>
      </c>
    </row>
    <row r="4146" customFormat="false" ht="15" hidden="false" customHeight="false" outlineLevel="0" collapsed="false">
      <c r="G4146" s="41" t="str">
        <f aca="false">IF(E4146="","",IFERROR(IF(ISNUMBER(SEARCH(Assumptions!$C$5,E4146)),Assumptions!$D$5,IF(ISNUMBER(SEARCH(Assumptions!$C$6,E4146)),Assumptions!$D$6,IF(ISNUMBER(SEARCH(Assumptions!$C$7,E4146)),Assumptions!$D$7,"Other Services"))),"Other Services"))</f>
        <v/>
      </c>
    </row>
    <row r="4147" customFormat="false" ht="15" hidden="false" customHeight="false" outlineLevel="0" collapsed="false">
      <c r="G4147" s="41" t="str">
        <f aca="false">IF(E4147="","",IFERROR(IF(ISNUMBER(SEARCH(Assumptions!$C$5,E4147)),Assumptions!$D$5,IF(ISNUMBER(SEARCH(Assumptions!$C$6,E4147)),Assumptions!$D$6,IF(ISNUMBER(SEARCH(Assumptions!$C$7,E4147)),Assumptions!$D$7,"Other Services"))),"Other Services"))</f>
        <v/>
      </c>
    </row>
    <row r="4148" customFormat="false" ht="15" hidden="false" customHeight="false" outlineLevel="0" collapsed="false">
      <c r="G4148" s="41" t="str">
        <f aca="false">IF(E4148="","",IFERROR(IF(ISNUMBER(SEARCH(Assumptions!$C$5,E4148)),Assumptions!$D$5,IF(ISNUMBER(SEARCH(Assumptions!$C$6,E4148)),Assumptions!$D$6,IF(ISNUMBER(SEARCH(Assumptions!$C$7,E4148)),Assumptions!$D$7,"Other Services"))),"Other Services"))</f>
        <v/>
      </c>
    </row>
    <row r="4149" customFormat="false" ht="15" hidden="false" customHeight="false" outlineLevel="0" collapsed="false">
      <c r="G4149" s="41" t="str">
        <f aca="false">IF(E4149="","",IFERROR(IF(ISNUMBER(SEARCH(Assumptions!$C$5,E4149)),Assumptions!$D$5,IF(ISNUMBER(SEARCH(Assumptions!$C$6,E4149)),Assumptions!$D$6,IF(ISNUMBER(SEARCH(Assumptions!$C$7,E4149)),Assumptions!$D$7,"Other Services"))),"Other Services"))</f>
        <v/>
      </c>
    </row>
    <row r="4150" customFormat="false" ht="15" hidden="false" customHeight="false" outlineLevel="0" collapsed="false">
      <c r="G4150" s="41" t="str">
        <f aca="false">IF(E4150="","",IFERROR(IF(ISNUMBER(SEARCH(Assumptions!$C$5,E4150)),Assumptions!$D$5,IF(ISNUMBER(SEARCH(Assumptions!$C$6,E4150)),Assumptions!$D$6,IF(ISNUMBER(SEARCH(Assumptions!$C$7,E4150)),Assumptions!$D$7,"Other Services"))),"Other Services"))</f>
        <v/>
      </c>
    </row>
    <row r="4151" customFormat="false" ht="15" hidden="false" customHeight="false" outlineLevel="0" collapsed="false">
      <c r="G4151" s="41" t="str">
        <f aca="false">IF(E4151="","",IFERROR(IF(ISNUMBER(SEARCH(Assumptions!$C$5,E4151)),Assumptions!$D$5,IF(ISNUMBER(SEARCH(Assumptions!$C$6,E4151)),Assumptions!$D$6,IF(ISNUMBER(SEARCH(Assumptions!$C$7,E4151)),Assumptions!$D$7,"Other Services"))),"Other Services"))</f>
        <v/>
      </c>
    </row>
    <row r="4152" customFormat="false" ht="15" hidden="false" customHeight="false" outlineLevel="0" collapsed="false">
      <c r="G4152" s="41" t="str">
        <f aca="false">IF(E4152="","",IFERROR(IF(ISNUMBER(SEARCH(Assumptions!$C$5,E4152)),Assumptions!$D$5,IF(ISNUMBER(SEARCH(Assumptions!$C$6,E4152)),Assumptions!$D$6,IF(ISNUMBER(SEARCH(Assumptions!$C$7,E4152)),Assumptions!$D$7,"Other Services"))),"Other Services"))</f>
        <v/>
      </c>
    </row>
    <row r="4153" customFormat="false" ht="15" hidden="false" customHeight="false" outlineLevel="0" collapsed="false">
      <c r="G4153" s="41" t="str">
        <f aca="false">IF(E4153="","",IFERROR(IF(ISNUMBER(SEARCH(Assumptions!$C$5,E4153)),Assumptions!$D$5,IF(ISNUMBER(SEARCH(Assumptions!$C$6,E4153)),Assumptions!$D$6,IF(ISNUMBER(SEARCH(Assumptions!$C$7,E4153)),Assumptions!$D$7,"Other Services"))),"Other Services"))</f>
        <v/>
      </c>
    </row>
    <row r="4154" customFormat="false" ht="15" hidden="false" customHeight="false" outlineLevel="0" collapsed="false">
      <c r="G4154" s="41" t="str">
        <f aca="false">IF(E4154="","",IFERROR(IF(ISNUMBER(SEARCH(Assumptions!$C$5,E4154)),Assumptions!$D$5,IF(ISNUMBER(SEARCH(Assumptions!$C$6,E4154)),Assumptions!$D$6,IF(ISNUMBER(SEARCH(Assumptions!$C$7,E4154)),Assumptions!$D$7,"Other Services"))),"Other Services"))</f>
        <v/>
      </c>
    </row>
    <row r="4155" customFormat="false" ht="15" hidden="false" customHeight="false" outlineLevel="0" collapsed="false">
      <c r="G4155" s="41" t="str">
        <f aca="false">IF(E4155="","",IFERROR(IF(ISNUMBER(SEARCH(Assumptions!$C$5,E4155)),Assumptions!$D$5,IF(ISNUMBER(SEARCH(Assumptions!$C$6,E4155)),Assumptions!$D$6,IF(ISNUMBER(SEARCH(Assumptions!$C$7,E4155)),Assumptions!$D$7,"Other Services"))),"Other Services"))</f>
        <v/>
      </c>
    </row>
    <row r="4156" customFormat="false" ht="15" hidden="false" customHeight="false" outlineLevel="0" collapsed="false">
      <c r="G4156" s="41" t="str">
        <f aca="false">IF(E4156="","",IFERROR(IF(ISNUMBER(SEARCH(Assumptions!$C$5,E4156)),Assumptions!$D$5,IF(ISNUMBER(SEARCH(Assumptions!$C$6,E4156)),Assumptions!$D$6,IF(ISNUMBER(SEARCH(Assumptions!$C$7,E4156)),Assumptions!$D$7,"Other Services"))),"Other Services"))</f>
        <v/>
      </c>
    </row>
    <row r="4157" customFormat="false" ht="15" hidden="false" customHeight="false" outlineLevel="0" collapsed="false">
      <c r="G4157" s="41" t="str">
        <f aca="false">IF(E4157="","",IFERROR(IF(ISNUMBER(SEARCH(Assumptions!$C$5,E4157)),Assumptions!$D$5,IF(ISNUMBER(SEARCH(Assumptions!$C$6,E4157)),Assumptions!$D$6,IF(ISNUMBER(SEARCH(Assumptions!$C$7,E4157)),Assumptions!$D$7,"Other Services"))),"Other Services"))</f>
        <v/>
      </c>
    </row>
    <row r="4158" customFormat="false" ht="15" hidden="false" customHeight="false" outlineLevel="0" collapsed="false">
      <c r="G4158" s="41" t="str">
        <f aca="false">IF(E4158="","",IFERROR(IF(ISNUMBER(SEARCH(Assumptions!$C$5,E4158)),Assumptions!$D$5,IF(ISNUMBER(SEARCH(Assumptions!$C$6,E4158)),Assumptions!$D$6,IF(ISNUMBER(SEARCH(Assumptions!$C$7,E4158)),Assumptions!$D$7,"Other Services"))),"Other Services"))</f>
        <v/>
      </c>
    </row>
    <row r="4159" customFormat="false" ht="15" hidden="false" customHeight="false" outlineLevel="0" collapsed="false">
      <c r="G4159" s="41" t="str">
        <f aca="false">IF(E4159="","",IFERROR(IF(ISNUMBER(SEARCH(Assumptions!$C$5,E4159)),Assumptions!$D$5,IF(ISNUMBER(SEARCH(Assumptions!$C$6,E4159)),Assumptions!$D$6,IF(ISNUMBER(SEARCH(Assumptions!$C$7,E4159)),Assumptions!$D$7,"Other Services"))),"Other Services"))</f>
        <v/>
      </c>
    </row>
    <row r="4160" customFormat="false" ht="15" hidden="false" customHeight="false" outlineLevel="0" collapsed="false">
      <c r="G4160" s="41" t="str">
        <f aca="false">IF(E4160="","",IFERROR(IF(ISNUMBER(SEARCH(Assumptions!$C$5,E4160)),Assumptions!$D$5,IF(ISNUMBER(SEARCH(Assumptions!$C$6,E4160)),Assumptions!$D$6,IF(ISNUMBER(SEARCH(Assumptions!$C$7,E4160)),Assumptions!$D$7,"Other Services"))),"Other Services"))</f>
        <v/>
      </c>
    </row>
    <row r="4161" customFormat="false" ht="15" hidden="false" customHeight="false" outlineLevel="0" collapsed="false">
      <c r="G4161" s="41" t="str">
        <f aca="false">IF(E4161="","",IFERROR(IF(ISNUMBER(SEARCH(Assumptions!$C$5,E4161)),Assumptions!$D$5,IF(ISNUMBER(SEARCH(Assumptions!$C$6,E4161)),Assumptions!$D$6,IF(ISNUMBER(SEARCH(Assumptions!$C$7,E4161)),Assumptions!$D$7,"Other Services"))),"Other Services"))</f>
        <v/>
      </c>
    </row>
    <row r="4162" customFormat="false" ht="15" hidden="false" customHeight="false" outlineLevel="0" collapsed="false">
      <c r="G4162" s="41" t="str">
        <f aca="false">IF(E4162="","",IFERROR(IF(ISNUMBER(SEARCH(Assumptions!$C$5,E4162)),Assumptions!$D$5,IF(ISNUMBER(SEARCH(Assumptions!$C$6,E4162)),Assumptions!$D$6,IF(ISNUMBER(SEARCH(Assumptions!$C$7,E4162)),Assumptions!$D$7,"Other Services"))),"Other Services"))</f>
        <v/>
      </c>
    </row>
    <row r="4163" customFormat="false" ht="15" hidden="false" customHeight="false" outlineLevel="0" collapsed="false">
      <c r="G4163" s="41" t="str">
        <f aca="false">IF(E4163="","",IFERROR(IF(ISNUMBER(SEARCH(Assumptions!$C$5,E4163)),Assumptions!$D$5,IF(ISNUMBER(SEARCH(Assumptions!$C$6,E4163)),Assumptions!$D$6,IF(ISNUMBER(SEARCH(Assumptions!$C$7,E4163)),Assumptions!$D$7,"Other Services"))),"Other Services"))</f>
        <v/>
      </c>
    </row>
    <row r="4164" customFormat="false" ht="15" hidden="false" customHeight="false" outlineLevel="0" collapsed="false">
      <c r="G4164" s="41" t="str">
        <f aca="false">IF(E4164="","",IFERROR(IF(ISNUMBER(SEARCH(Assumptions!$C$5,E4164)),Assumptions!$D$5,IF(ISNUMBER(SEARCH(Assumptions!$C$6,E4164)),Assumptions!$D$6,IF(ISNUMBER(SEARCH(Assumptions!$C$7,E4164)),Assumptions!$D$7,"Other Services"))),"Other Services"))</f>
        <v/>
      </c>
    </row>
    <row r="4165" customFormat="false" ht="15" hidden="false" customHeight="false" outlineLevel="0" collapsed="false">
      <c r="G4165" s="41" t="str">
        <f aca="false">IF(E4165="","",IFERROR(IF(ISNUMBER(SEARCH(Assumptions!$C$5,E4165)),Assumptions!$D$5,IF(ISNUMBER(SEARCH(Assumptions!$C$6,E4165)),Assumptions!$D$6,IF(ISNUMBER(SEARCH(Assumptions!$C$7,E4165)),Assumptions!$D$7,"Other Services"))),"Other Services"))</f>
        <v/>
      </c>
    </row>
    <row r="4166" customFormat="false" ht="15" hidden="false" customHeight="false" outlineLevel="0" collapsed="false">
      <c r="G4166" s="41" t="str">
        <f aca="false">IF(E4166="","",IFERROR(IF(ISNUMBER(SEARCH(Assumptions!$C$5,E4166)),Assumptions!$D$5,IF(ISNUMBER(SEARCH(Assumptions!$C$6,E4166)),Assumptions!$D$6,IF(ISNUMBER(SEARCH(Assumptions!$C$7,E4166)),Assumptions!$D$7,"Other Services"))),"Other Services"))</f>
        <v/>
      </c>
    </row>
    <row r="4167" customFormat="false" ht="15" hidden="false" customHeight="false" outlineLevel="0" collapsed="false">
      <c r="G4167" s="41" t="str">
        <f aca="false">IF(E4167="","",IFERROR(IF(ISNUMBER(SEARCH(Assumptions!$C$5,E4167)),Assumptions!$D$5,IF(ISNUMBER(SEARCH(Assumptions!$C$6,E4167)),Assumptions!$D$6,IF(ISNUMBER(SEARCH(Assumptions!$C$7,E4167)),Assumptions!$D$7,"Other Services"))),"Other Services"))</f>
        <v/>
      </c>
    </row>
    <row r="4168" customFormat="false" ht="15" hidden="false" customHeight="false" outlineLevel="0" collapsed="false">
      <c r="G4168" s="41" t="str">
        <f aca="false">IF(E4168="","",IFERROR(IF(ISNUMBER(SEARCH(Assumptions!$C$5,E4168)),Assumptions!$D$5,IF(ISNUMBER(SEARCH(Assumptions!$C$6,E4168)),Assumptions!$D$6,IF(ISNUMBER(SEARCH(Assumptions!$C$7,E4168)),Assumptions!$D$7,"Other Services"))),"Other Services"))</f>
        <v/>
      </c>
    </row>
    <row r="4169" customFormat="false" ht="15" hidden="false" customHeight="false" outlineLevel="0" collapsed="false">
      <c r="G4169" s="41" t="str">
        <f aca="false">IF(E4169="","",IFERROR(IF(ISNUMBER(SEARCH(Assumptions!$C$5,E4169)),Assumptions!$D$5,IF(ISNUMBER(SEARCH(Assumptions!$C$6,E4169)),Assumptions!$D$6,IF(ISNUMBER(SEARCH(Assumptions!$C$7,E4169)),Assumptions!$D$7,"Other Services"))),"Other Services"))</f>
        <v/>
      </c>
    </row>
    <row r="4170" customFormat="false" ht="15" hidden="false" customHeight="false" outlineLevel="0" collapsed="false">
      <c r="G4170" s="41" t="str">
        <f aca="false">IF(E4170="","",IFERROR(IF(ISNUMBER(SEARCH(Assumptions!$C$5,E4170)),Assumptions!$D$5,IF(ISNUMBER(SEARCH(Assumptions!$C$6,E4170)),Assumptions!$D$6,IF(ISNUMBER(SEARCH(Assumptions!$C$7,E4170)),Assumptions!$D$7,"Other Services"))),"Other Services"))</f>
        <v/>
      </c>
    </row>
    <row r="4171" customFormat="false" ht="15" hidden="false" customHeight="false" outlineLevel="0" collapsed="false">
      <c r="G4171" s="41" t="str">
        <f aca="false">IF(E4171="","",IFERROR(IF(ISNUMBER(SEARCH(Assumptions!$C$5,E4171)),Assumptions!$D$5,IF(ISNUMBER(SEARCH(Assumptions!$C$6,E4171)),Assumptions!$D$6,IF(ISNUMBER(SEARCH(Assumptions!$C$7,E4171)),Assumptions!$D$7,"Other Services"))),"Other Services"))</f>
        <v/>
      </c>
    </row>
    <row r="4172" customFormat="false" ht="15" hidden="false" customHeight="false" outlineLevel="0" collapsed="false">
      <c r="G4172" s="41" t="str">
        <f aca="false">IF(E4172="","",IFERROR(IF(ISNUMBER(SEARCH(Assumptions!$C$5,E4172)),Assumptions!$D$5,IF(ISNUMBER(SEARCH(Assumptions!$C$6,E4172)),Assumptions!$D$6,IF(ISNUMBER(SEARCH(Assumptions!$C$7,E4172)),Assumptions!$D$7,"Other Services"))),"Other Services"))</f>
        <v/>
      </c>
    </row>
    <row r="4173" customFormat="false" ht="15" hidden="false" customHeight="false" outlineLevel="0" collapsed="false">
      <c r="G4173" s="41" t="str">
        <f aca="false">IF(E4173="","",IFERROR(IF(ISNUMBER(SEARCH(Assumptions!$C$5,E4173)),Assumptions!$D$5,IF(ISNUMBER(SEARCH(Assumptions!$C$6,E4173)),Assumptions!$D$6,IF(ISNUMBER(SEARCH(Assumptions!$C$7,E4173)),Assumptions!$D$7,"Other Services"))),"Other Services"))</f>
        <v/>
      </c>
    </row>
    <row r="4174" customFormat="false" ht="15" hidden="false" customHeight="false" outlineLevel="0" collapsed="false">
      <c r="G4174" s="41" t="str">
        <f aca="false">IF(E4174="","",IFERROR(IF(ISNUMBER(SEARCH(Assumptions!$C$5,E4174)),Assumptions!$D$5,IF(ISNUMBER(SEARCH(Assumptions!$C$6,E4174)),Assumptions!$D$6,IF(ISNUMBER(SEARCH(Assumptions!$C$7,E4174)),Assumptions!$D$7,"Other Services"))),"Other Services"))</f>
        <v/>
      </c>
    </row>
    <row r="4175" customFormat="false" ht="15" hidden="false" customHeight="false" outlineLevel="0" collapsed="false">
      <c r="G4175" s="41" t="str">
        <f aca="false">IF(E4175="","",IFERROR(IF(ISNUMBER(SEARCH(Assumptions!$C$5,E4175)),Assumptions!$D$5,IF(ISNUMBER(SEARCH(Assumptions!$C$6,E4175)),Assumptions!$D$6,IF(ISNUMBER(SEARCH(Assumptions!$C$7,E4175)),Assumptions!$D$7,"Other Services"))),"Other Services"))</f>
        <v/>
      </c>
    </row>
    <row r="4176" customFormat="false" ht="15" hidden="false" customHeight="false" outlineLevel="0" collapsed="false">
      <c r="G4176" s="41" t="str">
        <f aca="false">IF(E4176="","",IFERROR(IF(ISNUMBER(SEARCH(Assumptions!$C$5,E4176)),Assumptions!$D$5,IF(ISNUMBER(SEARCH(Assumptions!$C$6,E4176)),Assumptions!$D$6,IF(ISNUMBER(SEARCH(Assumptions!$C$7,E4176)),Assumptions!$D$7,"Other Services"))),"Other Services"))</f>
        <v/>
      </c>
    </row>
    <row r="4177" customFormat="false" ht="15" hidden="false" customHeight="false" outlineLevel="0" collapsed="false">
      <c r="G4177" s="41" t="str">
        <f aca="false">IF(E4177="","",IFERROR(IF(ISNUMBER(SEARCH(Assumptions!$C$5,E4177)),Assumptions!$D$5,IF(ISNUMBER(SEARCH(Assumptions!$C$6,E4177)),Assumptions!$D$6,IF(ISNUMBER(SEARCH(Assumptions!$C$7,E4177)),Assumptions!$D$7,"Other Services"))),"Other Services"))</f>
        <v/>
      </c>
    </row>
    <row r="4178" customFormat="false" ht="15" hidden="false" customHeight="false" outlineLevel="0" collapsed="false">
      <c r="G4178" s="41" t="str">
        <f aca="false">IF(E4178="","",IFERROR(IF(ISNUMBER(SEARCH(Assumptions!$C$5,E4178)),Assumptions!$D$5,IF(ISNUMBER(SEARCH(Assumptions!$C$6,E4178)),Assumptions!$D$6,IF(ISNUMBER(SEARCH(Assumptions!$C$7,E4178)),Assumptions!$D$7,"Other Services"))),"Other Services"))</f>
        <v/>
      </c>
    </row>
    <row r="4179" customFormat="false" ht="15" hidden="false" customHeight="false" outlineLevel="0" collapsed="false">
      <c r="G4179" s="41" t="str">
        <f aca="false">IF(E4179="","",IFERROR(IF(ISNUMBER(SEARCH(Assumptions!$C$5,E4179)),Assumptions!$D$5,IF(ISNUMBER(SEARCH(Assumptions!$C$6,E4179)),Assumptions!$D$6,IF(ISNUMBER(SEARCH(Assumptions!$C$7,E4179)),Assumptions!$D$7,"Other Services"))),"Other Services"))</f>
        <v/>
      </c>
    </row>
    <row r="4180" customFormat="false" ht="15" hidden="false" customHeight="false" outlineLevel="0" collapsed="false">
      <c r="G4180" s="41" t="str">
        <f aca="false">IF(E4180="","",IFERROR(IF(ISNUMBER(SEARCH(Assumptions!$C$5,E4180)),Assumptions!$D$5,IF(ISNUMBER(SEARCH(Assumptions!$C$6,E4180)),Assumptions!$D$6,IF(ISNUMBER(SEARCH(Assumptions!$C$7,E4180)),Assumptions!$D$7,"Other Services"))),"Other Services"))</f>
        <v/>
      </c>
    </row>
    <row r="4181" customFormat="false" ht="15" hidden="false" customHeight="false" outlineLevel="0" collapsed="false">
      <c r="G4181" s="41" t="str">
        <f aca="false">IF(E4181="","",IFERROR(IF(ISNUMBER(SEARCH(Assumptions!$C$5,E4181)),Assumptions!$D$5,IF(ISNUMBER(SEARCH(Assumptions!$C$6,E4181)),Assumptions!$D$6,IF(ISNUMBER(SEARCH(Assumptions!$C$7,E4181)),Assumptions!$D$7,"Other Services"))),"Other Services"))</f>
        <v/>
      </c>
    </row>
    <row r="4182" customFormat="false" ht="15" hidden="false" customHeight="false" outlineLevel="0" collapsed="false">
      <c r="G4182" s="41" t="str">
        <f aca="false">IF(E4182="","",IFERROR(IF(ISNUMBER(SEARCH(Assumptions!$C$5,E4182)),Assumptions!$D$5,IF(ISNUMBER(SEARCH(Assumptions!$C$6,E4182)),Assumptions!$D$6,IF(ISNUMBER(SEARCH(Assumptions!$C$7,E4182)),Assumptions!$D$7,"Other Services"))),"Other Services"))</f>
        <v/>
      </c>
    </row>
    <row r="4183" customFormat="false" ht="15" hidden="false" customHeight="false" outlineLevel="0" collapsed="false">
      <c r="G4183" s="41" t="str">
        <f aca="false">IF(E4183="","",IFERROR(IF(ISNUMBER(SEARCH(Assumptions!$C$5,E4183)),Assumptions!$D$5,IF(ISNUMBER(SEARCH(Assumptions!$C$6,E4183)),Assumptions!$D$6,IF(ISNUMBER(SEARCH(Assumptions!$C$7,E4183)),Assumptions!$D$7,"Other Services"))),"Other Services"))</f>
        <v/>
      </c>
    </row>
    <row r="4184" customFormat="false" ht="15" hidden="false" customHeight="false" outlineLevel="0" collapsed="false">
      <c r="G4184" s="41" t="str">
        <f aca="false">IF(E4184="","",IFERROR(IF(ISNUMBER(SEARCH(Assumptions!$C$5,E4184)),Assumptions!$D$5,IF(ISNUMBER(SEARCH(Assumptions!$C$6,E4184)),Assumptions!$D$6,IF(ISNUMBER(SEARCH(Assumptions!$C$7,E4184)),Assumptions!$D$7,"Other Services"))),"Other Services"))</f>
        <v/>
      </c>
    </row>
    <row r="4185" customFormat="false" ht="15" hidden="false" customHeight="false" outlineLevel="0" collapsed="false">
      <c r="G4185" s="41" t="str">
        <f aca="false">IF(E4185="","",IFERROR(IF(ISNUMBER(SEARCH(Assumptions!$C$5,E4185)),Assumptions!$D$5,IF(ISNUMBER(SEARCH(Assumptions!$C$6,E4185)),Assumptions!$D$6,IF(ISNUMBER(SEARCH(Assumptions!$C$7,E4185)),Assumptions!$D$7,"Other Services"))),"Other Services"))</f>
        <v/>
      </c>
    </row>
    <row r="4186" customFormat="false" ht="15" hidden="false" customHeight="false" outlineLevel="0" collapsed="false">
      <c r="G4186" s="41" t="str">
        <f aca="false">IF(E4186="","",IFERROR(IF(ISNUMBER(SEARCH(Assumptions!$C$5,E4186)),Assumptions!$D$5,IF(ISNUMBER(SEARCH(Assumptions!$C$6,E4186)),Assumptions!$D$6,IF(ISNUMBER(SEARCH(Assumptions!$C$7,E4186)),Assumptions!$D$7,"Other Services"))),"Other Services"))</f>
        <v/>
      </c>
    </row>
    <row r="4187" customFormat="false" ht="15" hidden="false" customHeight="false" outlineLevel="0" collapsed="false">
      <c r="G4187" s="41" t="str">
        <f aca="false">IF(E4187="","",IFERROR(IF(ISNUMBER(SEARCH(Assumptions!$C$5,E4187)),Assumptions!$D$5,IF(ISNUMBER(SEARCH(Assumptions!$C$6,E4187)),Assumptions!$D$6,IF(ISNUMBER(SEARCH(Assumptions!$C$7,E4187)),Assumptions!$D$7,"Other Services"))),"Other Services"))</f>
        <v/>
      </c>
    </row>
    <row r="4188" customFormat="false" ht="15" hidden="false" customHeight="false" outlineLevel="0" collapsed="false">
      <c r="G4188" s="41" t="str">
        <f aca="false">IF(E4188="","",IFERROR(IF(ISNUMBER(SEARCH(Assumptions!$C$5,E4188)),Assumptions!$D$5,IF(ISNUMBER(SEARCH(Assumptions!$C$6,E4188)),Assumptions!$D$6,IF(ISNUMBER(SEARCH(Assumptions!$C$7,E4188)),Assumptions!$D$7,"Other Services"))),"Other Services"))</f>
        <v/>
      </c>
    </row>
    <row r="4189" customFormat="false" ht="15" hidden="false" customHeight="false" outlineLevel="0" collapsed="false">
      <c r="G4189" s="41" t="str">
        <f aca="false">IF(E4189="","",IFERROR(IF(ISNUMBER(SEARCH(Assumptions!$C$5,E4189)),Assumptions!$D$5,IF(ISNUMBER(SEARCH(Assumptions!$C$6,E4189)),Assumptions!$D$6,IF(ISNUMBER(SEARCH(Assumptions!$C$7,E4189)),Assumptions!$D$7,"Other Services"))),"Other Services"))</f>
        <v/>
      </c>
    </row>
    <row r="4190" customFormat="false" ht="15" hidden="false" customHeight="false" outlineLevel="0" collapsed="false">
      <c r="G4190" s="41" t="str">
        <f aca="false">IF(E4190="","",IFERROR(IF(ISNUMBER(SEARCH(Assumptions!$C$5,E4190)),Assumptions!$D$5,IF(ISNUMBER(SEARCH(Assumptions!$C$6,E4190)),Assumptions!$D$6,IF(ISNUMBER(SEARCH(Assumptions!$C$7,E4190)),Assumptions!$D$7,"Other Services"))),"Other Services"))</f>
        <v/>
      </c>
    </row>
    <row r="4191" customFormat="false" ht="15" hidden="false" customHeight="false" outlineLevel="0" collapsed="false">
      <c r="G4191" s="41" t="str">
        <f aca="false">IF(E4191="","",IFERROR(IF(ISNUMBER(SEARCH(Assumptions!$C$5,E4191)),Assumptions!$D$5,IF(ISNUMBER(SEARCH(Assumptions!$C$6,E4191)),Assumptions!$D$6,IF(ISNUMBER(SEARCH(Assumptions!$C$7,E4191)),Assumptions!$D$7,"Other Services"))),"Other Services"))</f>
        <v/>
      </c>
    </row>
    <row r="4192" customFormat="false" ht="15" hidden="false" customHeight="false" outlineLevel="0" collapsed="false">
      <c r="G4192" s="41" t="str">
        <f aca="false">IF(E4192="","",IFERROR(IF(ISNUMBER(SEARCH(Assumptions!$C$5,E4192)),Assumptions!$D$5,IF(ISNUMBER(SEARCH(Assumptions!$C$6,E4192)),Assumptions!$D$6,IF(ISNUMBER(SEARCH(Assumptions!$C$7,E4192)),Assumptions!$D$7,"Other Services"))),"Other Services"))</f>
        <v/>
      </c>
    </row>
    <row r="4193" customFormat="false" ht="15" hidden="false" customHeight="false" outlineLevel="0" collapsed="false">
      <c r="G4193" s="41" t="str">
        <f aca="false">IF(E4193="","",IFERROR(IF(ISNUMBER(SEARCH(Assumptions!$C$5,E4193)),Assumptions!$D$5,IF(ISNUMBER(SEARCH(Assumptions!$C$6,E4193)),Assumptions!$D$6,IF(ISNUMBER(SEARCH(Assumptions!$C$7,E4193)),Assumptions!$D$7,"Other Services"))),"Other Services"))</f>
        <v/>
      </c>
    </row>
    <row r="4194" customFormat="false" ht="15" hidden="false" customHeight="false" outlineLevel="0" collapsed="false">
      <c r="G4194" s="41" t="str">
        <f aca="false">IF(E4194="","",IFERROR(IF(ISNUMBER(SEARCH(Assumptions!$C$5,E4194)),Assumptions!$D$5,IF(ISNUMBER(SEARCH(Assumptions!$C$6,E4194)),Assumptions!$D$6,IF(ISNUMBER(SEARCH(Assumptions!$C$7,E4194)),Assumptions!$D$7,"Other Services"))),"Other Services"))</f>
        <v/>
      </c>
    </row>
    <row r="4195" customFormat="false" ht="15" hidden="false" customHeight="false" outlineLevel="0" collapsed="false">
      <c r="G4195" s="41" t="str">
        <f aca="false">IF(E4195="","",IFERROR(IF(ISNUMBER(SEARCH(Assumptions!$C$5,E4195)),Assumptions!$D$5,IF(ISNUMBER(SEARCH(Assumptions!$C$6,E4195)),Assumptions!$D$6,IF(ISNUMBER(SEARCH(Assumptions!$C$7,E4195)),Assumptions!$D$7,"Other Services"))),"Other Services"))</f>
        <v/>
      </c>
    </row>
    <row r="4196" customFormat="false" ht="15" hidden="false" customHeight="false" outlineLevel="0" collapsed="false">
      <c r="G4196" s="41" t="str">
        <f aca="false">IF(E4196="","",IFERROR(IF(ISNUMBER(SEARCH(Assumptions!$C$5,E4196)),Assumptions!$D$5,IF(ISNUMBER(SEARCH(Assumptions!$C$6,E4196)),Assumptions!$D$6,IF(ISNUMBER(SEARCH(Assumptions!$C$7,E4196)),Assumptions!$D$7,"Other Services"))),"Other Services"))</f>
        <v/>
      </c>
    </row>
    <row r="4197" customFormat="false" ht="15" hidden="false" customHeight="false" outlineLevel="0" collapsed="false">
      <c r="G4197" s="41" t="str">
        <f aca="false">IF(E4197="","",IFERROR(IF(ISNUMBER(SEARCH(Assumptions!$C$5,E4197)),Assumptions!$D$5,IF(ISNUMBER(SEARCH(Assumptions!$C$6,E4197)),Assumptions!$D$6,IF(ISNUMBER(SEARCH(Assumptions!$C$7,E4197)),Assumptions!$D$7,"Other Services"))),"Other Services"))</f>
        <v/>
      </c>
    </row>
    <row r="4198" customFormat="false" ht="15" hidden="false" customHeight="false" outlineLevel="0" collapsed="false">
      <c r="G4198" s="41" t="str">
        <f aca="false">IF(E4198="","",IFERROR(IF(ISNUMBER(SEARCH(Assumptions!$C$5,E4198)),Assumptions!$D$5,IF(ISNUMBER(SEARCH(Assumptions!$C$6,E4198)),Assumptions!$D$6,IF(ISNUMBER(SEARCH(Assumptions!$C$7,E4198)),Assumptions!$D$7,"Other Services"))),"Other Services"))</f>
        <v/>
      </c>
    </row>
    <row r="4199" customFormat="false" ht="15" hidden="false" customHeight="false" outlineLevel="0" collapsed="false">
      <c r="G4199" s="41" t="str">
        <f aca="false">IF(E4199="","",IFERROR(IF(ISNUMBER(SEARCH(Assumptions!$C$5,E4199)),Assumptions!$D$5,IF(ISNUMBER(SEARCH(Assumptions!$C$6,E4199)),Assumptions!$D$6,IF(ISNUMBER(SEARCH(Assumptions!$C$7,E4199)),Assumptions!$D$7,"Other Services"))),"Other Services"))</f>
        <v/>
      </c>
    </row>
    <row r="4200" customFormat="false" ht="15" hidden="false" customHeight="false" outlineLevel="0" collapsed="false">
      <c r="G4200" s="41" t="str">
        <f aca="false">IF(E4200="","",IFERROR(IF(ISNUMBER(SEARCH(Assumptions!$C$5,E4200)),Assumptions!$D$5,IF(ISNUMBER(SEARCH(Assumptions!$C$6,E4200)),Assumptions!$D$6,IF(ISNUMBER(SEARCH(Assumptions!$C$7,E4200)),Assumptions!$D$7,"Other Services"))),"Other Services"))</f>
        <v/>
      </c>
    </row>
    <row r="4201" customFormat="false" ht="15" hidden="false" customHeight="false" outlineLevel="0" collapsed="false">
      <c r="G4201" s="41" t="str">
        <f aca="false">IF(E4201="","",IFERROR(IF(ISNUMBER(SEARCH(Assumptions!$C$5,E4201)),Assumptions!$D$5,IF(ISNUMBER(SEARCH(Assumptions!$C$6,E4201)),Assumptions!$D$6,IF(ISNUMBER(SEARCH(Assumptions!$C$7,E4201)),Assumptions!$D$7,"Other Services"))),"Other Services"))</f>
        <v/>
      </c>
    </row>
    <row r="4202" customFormat="false" ht="15" hidden="false" customHeight="false" outlineLevel="0" collapsed="false">
      <c r="G4202" s="41" t="str">
        <f aca="false">IF(E4202="","",IFERROR(IF(ISNUMBER(SEARCH(Assumptions!$C$5,E4202)),Assumptions!$D$5,IF(ISNUMBER(SEARCH(Assumptions!$C$6,E4202)),Assumptions!$D$6,IF(ISNUMBER(SEARCH(Assumptions!$C$7,E4202)),Assumptions!$D$7,"Other Services"))),"Other Services"))</f>
        <v/>
      </c>
    </row>
    <row r="4203" customFormat="false" ht="15" hidden="false" customHeight="false" outlineLevel="0" collapsed="false">
      <c r="G4203" s="41" t="str">
        <f aca="false">IF(E4203="","",IFERROR(IF(ISNUMBER(SEARCH(Assumptions!$C$5,E4203)),Assumptions!$D$5,IF(ISNUMBER(SEARCH(Assumptions!$C$6,E4203)),Assumptions!$D$6,IF(ISNUMBER(SEARCH(Assumptions!$C$7,E4203)),Assumptions!$D$7,"Other Services"))),"Other Services"))</f>
        <v/>
      </c>
    </row>
    <row r="4204" customFormat="false" ht="15" hidden="false" customHeight="false" outlineLevel="0" collapsed="false">
      <c r="G4204" s="41" t="str">
        <f aca="false">IF(E4204="","",IFERROR(IF(ISNUMBER(SEARCH(Assumptions!$C$5,E4204)),Assumptions!$D$5,IF(ISNUMBER(SEARCH(Assumptions!$C$6,E4204)),Assumptions!$D$6,IF(ISNUMBER(SEARCH(Assumptions!$C$7,E4204)),Assumptions!$D$7,"Other Services"))),"Other Services"))</f>
        <v/>
      </c>
    </row>
    <row r="4205" customFormat="false" ht="15" hidden="false" customHeight="false" outlineLevel="0" collapsed="false">
      <c r="G4205" s="41" t="str">
        <f aca="false">IF(E4205="","",IFERROR(IF(ISNUMBER(SEARCH(Assumptions!$C$5,E4205)),Assumptions!$D$5,IF(ISNUMBER(SEARCH(Assumptions!$C$6,E4205)),Assumptions!$D$6,IF(ISNUMBER(SEARCH(Assumptions!$C$7,E4205)),Assumptions!$D$7,"Other Services"))),"Other Services"))</f>
        <v/>
      </c>
    </row>
    <row r="4206" customFormat="false" ht="15" hidden="false" customHeight="false" outlineLevel="0" collapsed="false">
      <c r="G4206" s="41" t="str">
        <f aca="false">IF(E4206="","",IFERROR(IF(ISNUMBER(SEARCH(Assumptions!$C$5,E4206)),Assumptions!$D$5,IF(ISNUMBER(SEARCH(Assumptions!$C$6,E4206)),Assumptions!$D$6,IF(ISNUMBER(SEARCH(Assumptions!$C$7,E4206)),Assumptions!$D$7,"Other Services"))),"Other Services"))</f>
        <v/>
      </c>
    </row>
    <row r="4207" customFormat="false" ht="15" hidden="false" customHeight="false" outlineLevel="0" collapsed="false">
      <c r="G4207" s="41" t="str">
        <f aca="false">IF(E4207="","",IFERROR(IF(ISNUMBER(SEARCH(Assumptions!$C$5,E4207)),Assumptions!$D$5,IF(ISNUMBER(SEARCH(Assumptions!$C$6,E4207)),Assumptions!$D$6,IF(ISNUMBER(SEARCH(Assumptions!$C$7,E4207)),Assumptions!$D$7,"Other Services"))),"Other Services"))</f>
        <v/>
      </c>
    </row>
    <row r="4208" customFormat="false" ht="15" hidden="false" customHeight="false" outlineLevel="0" collapsed="false">
      <c r="G4208" s="41" t="str">
        <f aca="false">IF(E4208="","",IFERROR(IF(ISNUMBER(SEARCH(Assumptions!$C$5,E4208)),Assumptions!$D$5,IF(ISNUMBER(SEARCH(Assumptions!$C$6,E4208)),Assumptions!$D$6,IF(ISNUMBER(SEARCH(Assumptions!$C$7,E4208)),Assumptions!$D$7,"Other Services"))),"Other Services"))</f>
        <v/>
      </c>
    </row>
    <row r="4209" customFormat="false" ht="15" hidden="false" customHeight="false" outlineLevel="0" collapsed="false">
      <c r="G4209" s="41" t="str">
        <f aca="false">IF(E4209="","",IFERROR(IF(ISNUMBER(SEARCH(Assumptions!$C$5,E4209)),Assumptions!$D$5,IF(ISNUMBER(SEARCH(Assumptions!$C$6,E4209)),Assumptions!$D$6,IF(ISNUMBER(SEARCH(Assumptions!$C$7,E4209)),Assumptions!$D$7,"Other Services"))),"Other Services"))</f>
        <v/>
      </c>
    </row>
    <row r="4210" customFormat="false" ht="15" hidden="false" customHeight="false" outlineLevel="0" collapsed="false">
      <c r="G4210" s="41" t="str">
        <f aca="false">IF(E4210="","",IFERROR(IF(ISNUMBER(SEARCH(Assumptions!$C$5,E4210)),Assumptions!$D$5,IF(ISNUMBER(SEARCH(Assumptions!$C$6,E4210)),Assumptions!$D$6,IF(ISNUMBER(SEARCH(Assumptions!$C$7,E4210)),Assumptions!$D$7,"Other Services"))),"Other Services"))</f>
        <v/>
      </c>
    </row>
    <row r="4211" customFormat="false" ht="15" hidden="false" customHeight="false" outlineLevel="0" collapsed="false">
      <c r="G4211" s="41" t="str">
        <f aca="false">IF(E4211="","",IFERROR(IF(ISNUMBER(SEARCH(Assumptions!$C$5,E4211)),Assumptions!$D$5,IF(ISNUMBER(SEARCH(Assumptions!$C$6,E4211)),Assumptions!$D$6,IF(ISNUMBER(SEARCH(Assumptions!$C$7,E4211)),Assumptions!$D$7,"Other Services"))),"Other Services"))</f>
        <v/>
      </c>
    </row>
    <row r="4212" customFormat="false" ht="15" hidden="false" customHeight="false" outlineLevel="0" collapsed="false">
      <c r="G4212" s="41" t="str">
        <f aca="false">IF(E4212="","",IFERROR(IF(ISNUMBER(SEARCH(Assumptions!$C$5,E4212)),Assumptions!$D$5,IF(ISNUMBER(SEARCH(Assumptions!$C$6,E4212)),Assumptions!$D$6,IF(ISNUMBER(SEARCH(Assumptions!$C$7,E4212)),Assumptions!$D$7,"Other Services"))),"Other Services"))</f>
        <v/>
      </c>
    </row>
    <row r="4213" customFormat="false" ht="15" hidden="false" customHeight="false" outlineLevel="0" collapsed="false">
      <c r="G4213" s="41" t="str">
        <f aca="false">IF(E4213="","",IFERROR(IF(ISNUMBER(SEARCH(Assumptions!$C$5,E4213)),Assumptions!$D$5,IF(ISNUMBER(SEARCH(Assumptions!$C$6,E4213)),Assumptions!$D$6,IF(ISNUMBER(SEARCH(Assumptions!$C$7,E4213)),Assumptions!$D$7,"Other Services"))),"Other Services"))</f>
        <v/>
      </c>
    </row>
    <row r="4214" customFormat="false" ht="15" hidden="false" customHeight="false" outlineLevel="0" collapsed="false">
      <c r="G4214" s="41" t="str">
        <f aca="false">IF(E4214="","",IFERROR(IF(ISNUMBER(SEARCH(Assumptions!$C$5,E4214)),Assumptions!$D$5,IF(ISNUMBER(SEARCH(Assumptions!$C$6,E4214)),Assumptions!$D$6,IF(ISNUMBER(SEARCH(Assumptions!$C$7,E4214)),Assumptions!$D$7,"Other Services"))),"Other Services"))</f>
        <v/>
      </c>
    </row>
    <row r="4215" customFormat="false" ht="15" hidden="false" customHeight="false" outlineLevel="0" collapsed="false">
      <c r="G4215" s="41" t="str">
        <f aca="false">IF(E4215="","",IFERROR(IF(ISNUMBER(SEARCH(Assumptions!$C$5,E4215)),Assumptions!$D$5,IF(ISNUMBER(SEARCH(Assumptions!$C$6,E4215)),Assumptions!$D$6,IF(ISNUMBER(SEARCH(Assumptions!$C$7,E4215)),Assumptions!$D$7,"Other Services"))),"Other Services"))</f>
        <v/>
      </c>
    </row>
    <row r="4216" customFormat="false" ht="15" hidden="false" customHeight="false" outlineLevel="0" collapsed="false">
      <c r="G4216" s="41" t="str">
        <f aca="false">IF(E4216="","",IFERROR(IF(ISNUMBER(SEARCH(Assumptions!$C$5,E4216)),Assumptions!$D$5,IF(ISNUMBER(SEARCH(Assumptions!$C$6,E4216)),Assumptions!$D$6,IF(ISNUMBER(SEARCH(Assumptions!$C$7,E4216)),Assumptions!$D$7,"Other Services"))),"Other Services"))</f>
        <v/>
      </c>
    </row>
    <row r="4217" customFormat="false" ht="15" hidden="false" customHeight="false" outlineLevel="0" collapsed="false">
      <c r="G4217" s="41" t="str">
        <f aca="false">IF(E4217="","",IFERROR(IF(ISNUMBER(SEARCH(Assumptions!$C$5,E4217)),Assumptions!$D$5,IF(ISNUMBER(SEARCH(Assumptions!$C$6,E4217)),Assumptions!$D$6,IF(ISNUMBER(SEARCH(Assumptions!$C$7,E4217)),Assumptions!$D$7,"Other Services"))),"Other Services"))</f>
        <v/>
      </c>
    </row>
    <row r="4218" customFormat="false" ht="15" hidden="false" customHeight="false" outlineLevel="0" collapsed="false">
      <c r="G4218" s="41" t="str">
        <f aca="false">IF(E4218="","",IFERROR(IF(ISNUMBER(SEARCH(Assumptions!$C$5,E4218)),Assumptions!$D$5,IF(ISNUMBER(SEARCH(Assumptions!$C$6,E4218)),Assumptions!$D$6,IF(ISNUMBER(SEARCH(Assumptions!$C$7,E4218)),Assumptions!$D$7,"Other Services"))),"Other Services"))</f>
        <v/>
      </c>
    </row>
    <row r="4219" customFormat="false" ht="15" hidden="false" customHeight="false" outlineLevel="0" collapsed="false">
      <c r="G4219" s="41" t="str">
        <f aca="false">IF(E4219="","",IFERROR(IF(ISNUMBER(SEARCH(Assumptions!$C$5,E4219)),Assumptions!$D$5,IF(ISNUMBER(SEARCH(Assumptions!$C$6,E4219)),Assumptions!$D$6,IF(ISNUMBER(SEARCH(Assumptions!$C$7,E4219)),Assumptions!$D$7,"Other Services"))),"Other Services"))</f>
        <v/>
      </c>
    </row>
    <row r="4220" customFormat="false" ht="15" hidden="false" customHeight="false" outlineLevel="0" collapsed="false">
      <c r="G4220" s="41" t="str">
        <f aca="false">IF(E4220="","",IFERROR(IF(ISNUMBER(SEARCH(Assumptions!$C$5,E4220)),Assumptions!$D$5,IF(ISNUMBER(SEARCH(Assumptions!$C$6,E4220)),Assumptions!$D$6,IF(ISNUMBER(SEARCH(Assumptions!$C$7,E4220)),Assumptions!$D$7,"Other Services"))),"Other Services"))</f>
        <v/>
      </c>
    </row>
    <row r="4221" customFormat="false" ht="15" hidden="false" customHeight="false" outlineLevel="0" collapsed="false">
      <c r="G4221" s="41" t="str">
        <f aca="false">IF(E4221="","",IFERROR(IF(ISNUMBER(SEARCH(Assumptions!$C$5,E4221)),Assumptions!$D$5,IF(ISNUMBER(SEARCH(Assumptions!$C$6,E4221)),Assumptions!$D$6,IF(ISNUMBER(SEARCH(Assumptions!$C$7,E4221)),Assumptions!$D$7,"Other Services"))),"Other Services"))</f>
        <v/>
      </c>
    </row>
    <row r="4222" customFormat="false" ht="15" hidden="false" customHeight="false" outlineLevel="0" collapsed="false">
      <c r="G4222" s="41" t="str">
        <f aca="false">IF(E4222="","",IFERROR(IF(ISNUMBER(SEARCH(Assumptions!$C$5,E4222)),Assumptions!$D$5,IF(ISNUMBER(SEARCH(Assumptions!$C$6,E4222)),Assumptions!$D$6,IF(ISNUMBER(SEARCH(Assumptions!$C$7,E4222)),Assumptions!$D$7,"Other Services"))),"Other Services"))</f>
        <v/>
      </c>
    </row>
    <row r="4223" customFormat="false" ht="15" hidden="false" customHeight="false" outlineLevel="0" collapsed="false">
      <c r="G4223" s="41" t="str">
        <f aca="false">IF(E4223="","",IFERROR(IF(ISNUMBER(SEARCH(Assumptions!$C$5,E4223)),Assumptions!$D$5,IF(ISNUMBER(SEARCH(Assumptions!$C$6,E4223)),Assumptions!$D$6,IF(ISNUMBER(SEARCH(Assumptions!$C$7,E4223)),Assumptions!$D$7,"Other Services"))),"Other Services"))</f>
        <v/>
      </c>
    </row>
    <row r="4224" customFormat="false" ht="15" hidden="false" customHeight="false" outlineLevel="0" collapsed="false">
      <c r="G4224" s="41" t="str">
        <f aca="false">IF(E4224="","",IFERROR(IF(ISNUMBER(SEARCH(Assumptions!$C$5,E4224)),Assumptions!$D$5,IF(ISNUMBER(SEARCH(Assumptions!$C$6,E4224)),Assumptions!$D$6,IF(ISNUMBER(SEARCH(Assumptions!$C$7,E4224)),Assumptions!$D$7,"Other Services"))),"Other Services"))</f>
        <v/>
      </c>
    </row>
    <row r="4225" customFormat="false" ht="15" hidden="false" customHeight="false" outlineLevel="0" collapsed="false">
      <c r="G4225" s="41" t="str">
        <f aca="false">IF(E4225="","",IFERROR(IF(ISNUMBER(SEARCH(Assumptions!$C$5,E4225)),Assumptions!$D$5,IF(ISNUMBER(SEARCH(Assumptions!$C$6,E4225)),Assumptions!$D$6,IF(ISNUMBER(SEARCH(Assumptions!$C$7,E4225)),Assumptions!$D$7,"Other Services"))),"Other Services"))</f>
        <v/>
      </c>
    </row>
    <row r="4226" customFormat="false" ht="15" hidden="false" customHeight="false" outlineLevel="0" collapsed="false">
      <c r="G4226" s="41" t="str">
        <f aca="false">IF(E4226="","",IFERROR(IF(ISNUMBER(SEARCH(Assumptions!$C$5,E4226)),Assumptions!$D$5,IF(ISNUMBER(SEARCH(Assumptions!$C$6,E4226)),Assumptions!$D$6,IF(ISNUMBER(SEARCH(Assumptions!$C$7,E4226)),Assumptions!$D$7,"Other Services"))),"Other Services"))</f>
        <v/>
      </c>
    </row>
    <row r="4227" customFormat="false" ht="15" hidden="false" customHeight="false" outlineLevel="0" collapsed="false">
      <c r="G4227" s="41" t="str">
        <f aca="false">IF(E4227="","",IFERROR(IF(ISNUMBER(SEARCH(Assumptions!$C$5,E4227)),Assumptions!$D$5,IF(ISNUMBER(SEARCH(Assumptions!$C$6,E4227)),Assumptions!$D$6,IF(ISNUMBER(SEARCH(Assumptions!$C$7,E4227)),Assumptions!$D$7,"Other Services"))),"Other Services"))</f>
        <v/>
      </c>
    </row>
    <row r="4228" customFormat="false" ht="15" hidden="false" customHeight="false" outlineLevel="0" collapsed="false">
      <c r="G4228" s="41" t="str">
        <f aca="false">IF(E4228="","",IFERROR(IF(ISNUMBER(SEARCH(Assumptions!$C$5,E4228)),Assumptions!$D$5,IF(ISNUMBER(SEARCH(Assumptions!$C$6,E4228)),Assumptions!$D$6,IF(ISNUMBER(SEARCH(Assumptions!$C$7,E4228)),Assumptions!$D$7,"Other Services"))),"Other Services"))</f>
        <v/>
      </c>
    </row>
    <row r="4229" customFormat="false" ht="15" hidden="false" customHeight="false" outlineLevel="0" collapsed="false">
      <c r="G4229" s="41" t="str">
        <f aca="false">IF(E4229="","",IFERROR(IF(ISNUMBER(SEARCH(Assumptions!$C$5,E4229)),Assumptions!$D$5,IF(ISNUMBER(SEARCH(Assumptions!$C$6,E4229)),Assumptions!$D$6,IF(ISNUMBER(SEARCH(Assumptions!$C$7,E4229)),Assumptions!$D$7,"Other Services"))),"Other Services"))</f>
        <v/>
      </c>
    </row>
    <row r="4230" customFormat="false" ht="15" hidden="false" customHeight="false" outlineLevel="0" collapsed="false">
      <c r="G4230" s="41" t="str">
        <f aca="false">IF(E4230="","",IFERROR(IF(ISNUMBER(SEARCH(Assumptions!$C$5,E4230)),Assumptions!$D$5,IF(ISNUMBER(SEARCH(Assumptions!$C$6,E4230)),Assumptions!$D$6,IF(ISNUMBER(SEARCH(Assumptions!$C$7,E4230)),Assumptions!$D$7,"Other Services"))),"Other Services"))</f>
        <v/>
      </c>
    </row>
    <row r="4231" customFormat="false" ht="15" hidden="false" customHeight="false" outlineLevel="0" collapsed="false">
      <c r="G4231" s="41" t="str">
        <f aca="false">IF(E4231="","",IFERROR(IF(ISNUMBER(SEARCH(Assumptions!$C$5,E4231)),Assumptions!$D$5,IF(ISNUMBER(SEARCH(Assumptions!$C$6,E4231)),Assumptions!$D$6,IF(ISNUMBER(SEARCH(Assumptions!$C$7,E4231)),Assumptions!$D$7,"Other Services"))),"Other Services"))</f>
        <v/>
      </c>
    </row>
    <row r="4232" customFormat="false" ht="15" hidden="false" customHeight="false" outlineLevel="0" collapsed="false">
      <c r="G4232" s="41" t="str">
        <f aca="false">IF(E4232="","",IFERROR(IF(ISNUMBER(SEARCH(Assumptions!$C$5,E4232)),Assumptions!$D$5,IF(ISNUMBER(SEARCH(Assumptions!$C$6,E4232)),Assumptions!$D$6,IF(ISNUMBER(SEARCH(Assumptions!$C$7,E4232)),Assumptions!$D$7,"Other Services"))),"Other Services"))</f>
        <v/>
      </c>
    </row>
    <row r="4233" customFormat="false" ht="15" hidden="false" customHeight="false" outlineLevel="0" collapsed="false">
      <c r="G4233" s="41" t="str">
        <f aca="false">IF(E4233="","",IFERROR(IF(ISNUMBER(SEARCH(Assumptions!$C$5,E4233)),Assumptions!$D$5,IF(ISNUMBER(SEARCH(Assumptions!$C$6,E4233)),Assumptions!$D$6,IF(ISNUMBER(SEARCH(Assumptions!$C$7,E4233)),Assumptions!$D$7,"Other Services"))),"Other Services"))</f>
        <v/>
      </c>
    </row>
    <row r="4234" customFormat="false" ht="15" hidden="false" customHeight="false" outlineLevel="0" collapsed="false">
      <c r="G4234" s="41" t="str">
        <f aca="false">IF(E4234="","",IFERROR(IF(ISNUMBER(SEARCH(Assumptions!$C$5,E4234)),Assumptions!$D$5,IF(ISNUMBER(SEARCH(Assumptions!$C$6,E4234)),Assumptions!$D$6,IF(ISNUMBER(SEARCH(Assumptions!$C$7,E4234)),Assumptions!$D$7,"Other Services"))),"Other Services"))</f>
        <v/>
      </c>
    </row>
    <row r="4235" customFormat="false" ht="15" hidden="false" customHeight="false" outlineLevel="0" collapsed="false">
      <c r="G4235" s="41" t="str">
        <f aca="false">IF(E4235="","",IFERROR(IF(ISNUMBER(SEARCH(Assumptions!$C$5,E4235)),Assumptions!$D$5,IF(ISNUMBER(SEARCH(Assumptions!$C$6,E4235)),Assumptions!$D$6,IF(ISNUMBER(SEARCH(Assumptions!$C$7,E4235)),Assumptions!$D$7,"Other Services"))),"Other Services"))</f>
        <v/>
      </c>
    </row>
    <row r="4236" customFormat="false" ht="15" hidden="false" customHeight="false" outlineLevel="0" collapsed="false">
      <c r="G4236" s="41" t="str">
        <f aca="false">IF(E4236="","",IFERROR(IF(ISNUMBER(SEARCH(Assumptions!$C$5,E4236)),Assumptions!$D$5,IF(ISNUMBER(SEARCH(Assumptions!$C$6,E4236)),Assumptions!$D$6,IF(ISNUMBER(SEARCH(Assumptions!$C$7,E4236)),Assumptions!$D$7,"Other Services"))),"Other Services"))</f>
        <v/>
      </c>
    </row>
    <row r="4237" customFormat="false" ht="15" hidden="false" customHeight="false" outlineLevel="0" collapsed="false">
      <c r="G4237" s="41" t="str">
        <f aca="false">IF(E4237="","",IFERROR(IF(ISNUMBER(SEARCH(Assumptions!$C$5,E4237)),Assumptions!$D$5,IF(ISNUMBER(SEARCH(Assumptions!$C$6,E4237)),Assumptions!$D$6,IF(ISNUMBER(SEARCH(Assumptions!$C$7,E4237)),Assumptions!$D$7,"Other Services"))),"Other Services"))</f>
        <v/>
      </c>
    </row>
    <row r="4238" customFormat="false" ht="15" hidden="false" customHeight="false" outlineLevel="0" collapsed="false">
      <c r="G4238" s="41" t="str">
        <f aca="false">IF(E4238="","",IFERROR(IF(ISNUMBER(SEARCH(Assumptions!$C$5,E4238)),Assumptions!$D$5,IF(ISNUMBER(SEARCH(Assumptions!$C$6,E4238)),Assumptions!$D$6,IF(ISNUMBER(SEARCH(Assumptions!$C$7,E4238)),Assumptions!$D$7,"Other Services"))),"Other Services"))</f>
        <v/>
      </c>
    </row>
    <row r="4239" customFormat="false" ht="15" hidden="false" customHeight="false" outlineLevel="0" collapsed="false">
      <c r="G4239" s="41" t="str">
        <f aca="false">IF(E4239="","",IFERROR(IF(ISNUMBER(SEARCH(Assumptions!$C$5,E4239)),Assumptions!$D$5,IF(ISNUMBER(SEARCH(Assumptions!$C$6,E4239)),Assumptions!$D$6,IF(ISNUMBER(SEARCH(Assumptions!$C$7,E4239)),Assumptions!$D$7,"Other Services"))),"Other Services"))</f>
        <v/>
      </c>
    </row>
    <row r="4240" customFormat="false" ht="15" hidden="false" customHeight="false" outlineLevel="0" collapsed="false">
      <c r="G4240" s="41" t="str">
        <f aca="false">IF(E4240="","",IFERROR(IF(ISNUMBER(SEARCH(Assumptions!$C$5,E4240)),Assumptions!$D$5,IF(ISNUMBER(SEARCH(Assumptions!$C$6,E4240)),Assumptions!$D$6,IF(ISNUMBER(SEARCH(Assumptions!$C$7,E4240)),Assumptions!$D$7,"Other Services"))),"Other Services"))</f>
        <v/>
      </c>
    </row>
    <row r="4241" customFormat="false" ht="15" hidden="false" customHeight="false" outlineLevel="0" collapsed="false">
      <c r="G4241" s="41" t="str">
        <f aca="false">IF(E4241="","",IFERROR(IF(ISNUMBER(SEARCH(Assumptions!$C$5,E4241)),Assumptions!$D$5,IF(ISNUMBER(SEARCH(Assumptions!$C$6,E4241)),Assumptions!$D$6,IF(ISNUMBER(SEARCH(Assumptions!$C$7,E4241)),Assumptions!$D$7,"Other Services"))),"Other Services"))</f>
        <v/>
      </c>
    </row>
    <row r="4242" customFormat="false" ht="15" hidden="false" customHeight="false" outlineLevel="0" collapsed="false">
      <c r="G4242" s="41" t="str">
        <f aca="false">IF(E4242="","",IFERROR(IF(ISNUMBER(SEARCH(Assumptions!$C$5,E4242)),Assumptions!$D$5,IF(ISNUMBER(SEARCH(Assumptions!$C$6,E4242)),Assumptions!$D$6,IF(ISNUMBER(SEARCH(Assumptions!$C$7,E4242)),Assumptions!$D$7,"Other Services"))),"Other Services"))</f>
        <v/>
      </c>
    </row>
    <row r="4243" customFormat="false" ht="15" hidden="false" customHeight="false" outlineLevel="0" collapsed="false">
      <c r="G4243" s="41" t="str">
        <f aca="false">IF(E4243="","",IFERROR(IF(ISNUMBER(SEARCH(Assumptions!$C$5,E4243)),Assumptions!$D$5,IF(ISNUMBER(SEARCH(Assumptions!$C$6,E4243)),Assumptions!$D$6,IF(ISNUMBER(SEARCH(Assumptions!$C$7,E4243)),Assumptions!$D$7,"Other Services"))),"Other Services"))</f>
        <v/>
      </c>
    </row>
    <row r="4244" customFormat="false" ht="15" hidden="false" customHeight="false" outlineLevel="0" collapsed="false">
      <c r="G4244" s="41" t="str">
        <f aca="false">IF(E4244="","",IFERROR(IF(ISNUMBER(SEARCH(Assumptions!$C$5,E4244)),Assumptions!$D$5,IF(ISNUMBER(SEARCH(Assumptions!$C$6,E4244)),Assumptions!$D$6,IF(ISNUMBER(SEARCH(Assumptions!$C$7,E4244)),Assumptions!$D$7,"Other Services"))),"Other Services"))</f>
        <v/>
      </c>
    </row>
    <row r="4245" customFormat="false" ht="15" hidden="false" customHeight="false" outlineLevel="0" collapsed="false">
      <c r="G4245" s="41" t="str">
        <f aca="false">IF(E4245="","",IFERROR(IF(ISNUMBER(SEARCH(Assumptions!$C$5,E4245)),Assumptions!$D$5,IF(ISNUMBER(SEARCH(Assumptions!$C$6,E4245)),Assumptions!$D$6,IF(ISNUMBER(SEARCH(Assumptions!$C$7,E4245)),Assumptions!$D$7,"Other Services"))),"Other Services"))</f>
        <v/>
      </c>
    </row>
    <row r="4246" customFormat="false" ht="15" hidden="false" customHeight="false" outlineLevel="0" collapsed="false">
      <c r="G4246" s="41" t="str">
        <f aca="false">IF(E4246="","",IFERROR(IF(ISNUMBER(SEARCH(Assumptions!$C$5,E4246)),Assumptions!$D$5,IF(ISNUMBER(SEARCH(Assumptions!$C$6,E4246)),Assumptions!$D$6,IF(ISNUMBER(SEARCH(Assumptions!$C$7,E4246)),Assumptions!$D$7,"Other Services"))),"Other Services"))</f>
        <v/>
      </c>
    </row>
    <row r="4247" customFormat="false" ht="15" hidden="false" customHeight="false" outlineLevel="0" collapsed="false">
      <c r="G4247" s="41" t="str">
        <f aca="false">IF(E4247="","",IFERROR(IF(ISNUMBER(SEARCH(Assumptions!$C$5,E4247)),Assumptions!$D$5,IF(ISNUMBER(SEARCH(Assumptions!$C$6,E4247)),Assumptions!$D$6,IF(ISNUMBER(SEARCH(Assumptions!$C$7,E4247)),Assumptions!$D$7,"Other Services"))),"Other Services"))</f>
        <v/>
      </c>
    </row>
    <row r="4248" customFormat="false" ht="15" hidden="false" customHeight="false" outlineLevel="0" collapsed="false">
      <c r="G4248" s="41" t="str">
        <f aca="false">IF(E4248="","",IFERROR(IF(ISNUMBER(SEARCH(Assumptions!$C$5,E4248)),Assumptions!$D$5,IF(ISNUMBER(SEARCH(Assumptions!$C$6,E4248)),Assumptions!$D$6,IF(ISNUMBER(SEARCH(Assumptions!$C$7,E4248)),Assumptions!$D$7,"Other Services"))),"Other Services"))</f>
        <v/>
      </c>
    </row>
    <row r="4249" customFormat="false" ht="15" hidden="false" customHeight="false" outlineLevel="0" collapsed="false">
      <c r="G4249" s="41" t="str">
        <f aca="false">IF(E4249="","",IFERROR(IF(ISNUMBER(SEARCH(Assumptions!$C$5,E4249)),Assumptions!$D$5,IF(ISNUMBER(SEARCH(Assumptions!$C$6,E4249)),Assumptions!$D$6,IF(ISNUMBER(SEARCH(Assumptions!$C$7,E4249)),Assumptions!$D$7,"Other Services"))),"Other Services"))</f>
        <v/>
      </c>
    </row>
    <row r="4250" customFormat="false" ht="15" hidden="false" customHeight="false" outlineLevel="0" collapsed="false">
      <c r="G4250" s="41" t="str">
        <f aca="false">IF(E4250="","",IFERROR(IF(ISNUMBER(SEARCH(Assumptions!$C$5,E4250)),Assumptions!$D$5,IF(ISNUMBER(SEARCH(Assumptions!$C$6,E4250)),Assumptions!$D$6,IF(ISNUMBER(SEARCH(Assumptions!$C$7,E4250)),Assumptions!$D$7,"Other Services"))),"Other Services"))</f>
        <v/>
      </c>
    </row>
    <row r="4251" customFormat="false" ht="15" hidden="false" customHeight="false" outlineLevel="0" collapsed="false">
      <c r="G4251" s="41" t="str">
        <f aca="false">IF(E4251="","",IFERROR(IF(ISNUMBER(SEARCH(Assumptions!$C$5,E4251)),Assumptions!$D$5,IF(ISNUMBER(SEARCH(Assumptions!$C$6,E4251)),Assumptions!$D$6,IF(ISNUMBER(SEARCH(Assumptions!$C$7,E4251)),Assumptions!$D$7,"Other Services"))),"Other Services"))</f>
        <v/>
      </c>
    </row>
    <row r="4252" customFormat="false" ht="15" hidden="false" customHeight="false" outlineLevel="0" collapsed="false">
      <c r="G4252" s="41" t="str">
        <f aca="false">IF(E4252="","",IFERROR(IF(ISNUMBER(SEARCH(Assumptions!$C$5,E4252)),Assumptions!$D$5,IF(ISNUMBER(SEARCH(Assumptions!$C$6,E4252)),Assumptions!$D$6,IF(ISNUMBER(SEARCH(Assumptions!$C$7,E4252)),Assumptions!$D$7,"Other Services"))),"Other Services"))</f>
        <v/>
      </c>
    </row>
    <row r="4253" customFormat="false" ht="15" hidden="false" customHeight="false" outlineLevel="0" collapsed="false">
      <c r="G4253" s="41" t="str">
        <f aca="false">IF(E4253="","",IFERROR(IF(ISNUMBER(SEARCH(Assumptions!$C$5,E4253)),Assumptions!$D$5,IF(ISNUMBER(SEARCH(Assumptions!$C$6,E4253)),Assumptions!$D$6,IF(ISNUMBER(SEARCH(Assumptions!$C$7,E4253)),Assumptions!$D$7,"Other Services"))),"Other Services"))</f>
        <v/>
      </c>
    </row>
    <row r="4254" customFormat="false" ht="15" hidden="false" customHeight="false" outlineLevel="0" collapsed="false">
      <c r="G4254" s="41" t="str">
        <f aca="false">IF(E4254="","",IFERROR(IF(ISNUMBER(SEARCH(Assumptions!$C$5,E4254)),Assumptions!$D$5,IF(ISNUMBER(SEARCH(Assumptions!$C$6,E4254)),Assumptions!$D$6,IF(ISNUMBER(SEARCH(Assumptions!$C$7,E4254)),Assumptions!$D$7,"Other Services"))),"Other Services"))</f>
        <v/>
      </c>
    </row>
    <row r="4255" customFormat="false" ht="15" hidden="false" customHeight="false" outlineLevel="0" collapsed="false">
      <c r="G4255" s="41" t="str">
        <f aca="false">IF(E4255="","",IFERROR(IF(ISNUMBER(SEARCH(Assumptions!$C$5,E4255)),Assumptions!$D$5,IF(ISNUMBER(SEARCH(Assumptions!$C$6,E4255)),Assumptions!$D$6,IF(ISNUMBER(SEARCH(Assumptions!$C$7,E4255)),Assumptions!$D$7,"Other Services"))),"Other Services"))</f>
        <v/>
      </c>
    </row>
    <row r="4256" customFormat="false" ht="15" hidden="false" customHeight="false" outlineLevel="0" collapsed="false">
      <c r="G4256" s="41" t="str">
        <f aca="false">IF(E4256="","",IFERROR(IF(ISNUMBER(SEARCH(Assumptions!$C$5,E4256)),Assumptions!$D$5,IF(ISNUMBER(SEARCH(Assumptions!$C$6,E4256)),Assumptions!$D$6,IF(ISNUMBER(SEARCH(Assumptions!$C$7,E4256)),Assumptions!$D$7,"Other Services"))),"Other Services"))</f>
        <v/>
      </c>
    </row>
    <row r="4257" customFormat="false" ht="15" hidden="false" customHeight="false" outlineLevel="0" collapsed="false">
      <c r="G4257" s="41" t="str">
        <f aca="false">IF(E4257="","",IFERROR(IF(ISNUMBER(SEARCH(Assumptions!$C$5,E4257)),Assumptions!$D$5,IF(ISNUMBER(SEARCH(Assumptions!$C$6,E4257)),Assumptions!$D$6,IF(ISNUMBER(SEARCH(Assumptions!$C$7,E4257)),Assumptions!$D$7,"Other Services"))),"Other Services"))</f>
        <v/>
      </c>
    </row>
    <row r="4258" customFormat="false" ht="15" hidden="false" customHeight="false" outlineLevel="0" collapsed="false">
      <c r="G4258" s="41" t="str">
        <f aca="false">IF(E4258="","",IFERROR(IF(ISNUMBER(SEARCH(Assumptions!$C$5,E4258)),Assumptions!$D$5,IF(ISNUMBER(SEARCH(Assumptions!$C$6,E4258)),Assumptions!$D$6,IF(ISNUMBER(SEARCH(Assumptions!$C$7,E4258)),Assumptions!$D$7,"Other Services"))),"Other Services"))</f>
        <v/>
      </c>
    </row>
    <row r="4259" customFormat="false" ht="15" hidden="false" customHeight="false" outlineLevel="0" collapsed="false">
      <c r="G4259" s="41" t="str">
        <f aca="false">IF(E4259="","",IFERROR(IF(ISNUMBER(SEARCH(Assumptions!$C$5,E4259)),Assumptions!$D$5,IF(ISNUMBER(SEARCH(Assumptions!$C$6,E4259)),Assumptions!$D$6,IF(ISNUMBER(SEARCH(Assumptions!$C$7,E4259)),Assumptions!$D$7,"Other Services"))),"Other Services"))</f>
        <v/>
      </c>
    </row>
    <row r="4260" customFormat="false" ht="15" hidden="false" customHeight="false" outlineLevel="0" collapsed="false">
      <c r="G4260" s="41" t="str">
        <f aca="false">IF(E4260="","",IFERROR(IF(ISNUMBER(SEARCH(Assumptions!$C$5,E4260)),Assumptions!$D$5,IF(ISNUMBER(SEARCH(Assumptions!$C$6,E4260)),Assumptions!$D$6,IF(ISNUMBER(SEARCH(Assumptions!$C$7,E4260)),Assumptions!$D$7,"Other Services"))),"Other Services"))</f>
        <v/>
      </c>
    </row>
    <row r="4261" customFormat="false" ht="15" hidden="false" customHeight="false" outlineLevel="0" collapsed="false">
      <c r="G4261" s="41" t="str">
        <f aca="false">IF(E4261="","",IFERROR(IF(ISNUMBER(SEARCH(Assumptions!$C$5,E4261)),Assumptions!$D$5,IF(ISNUMBER(SEARCH(Assumptions!$C$6,E4261)),Assumptions!$D$6,IF(ISNUMBER(SEARCH(Assumptions!$C$7,E4261)),Assumptions!$D$7,"Other Services"))),"Other Services"))</f>
        <v/>
      </c>
    </row>
    <row r="4262" customFormat="false" ht="15" hidden="false" customHeight="false" outlineLevel="0" collapsed="false">
      <c r="G4262" s="41" t="str">
        <f aca="false">IF(E4262="","",IFERROR(IF(ISNUMBER(SEARCH(Assumptions!$C$5,E4262)),Assumptions!$D$5,IF(ISNUMBER(SEARCH(Assumptions!$C$6,E4262)),Assumptions!$D$6,IF(ISNUMBER(SEARCH(Assumptions!$C$7,E4262)),Assumptions!$D$7,"Other Services"))),"Other Services"))</f>
        <v/>
      </c>
    </row>
    <row r="4263" customFormat="false" ht="15" hidden="false" customHeight="false" outlineLevel="0" collapsed="false">
      <c r="G4263" s="41" t="str">
        <f aca="false">IF(E4263="","",IFERROR(IF(ISNUMBER(SEARCH(Assumptions!$C$5,E4263)),Assumptions!$D$5,IF(ISNUMBER(SEARCH(Assumptions!$C$6,E4263)),Assumptions!$D$6,IF(ISNUMBER(SEARCH(Assumptions!$C$7,E4263)),Assumptions!$D$7,"Other Services"))),"Other Services"))</f>
        <v/>
      </c>
    </row>
    <row r="4264" customFormat="false" ht="15" hidden="false" customHeight="false" outlineLevel="0" collapsed="false">
      <c r="G4264" s="41" t="str">
        <f aca="false">IF(E4264="","",IFERROR(IF(ISNUMBER(SEARCH(Assumptions!$C$5,E4264)),Assumptions!$D$5,IF(ISNUMBER(SEARCH(Assumptions!$C$6,E4264)),Assumptions!$D$6,IF(ISNUMBER(SEARCH(Assumptions!$C$7,E4264)),Assumptions!$D$7,"Other Services"))),"Other Services"))</f>
        <v/>
      </c>
    </row>
    <row r="4265" customFormat="false" ht="15" hidden="false" customHeight="false" outlineLevel="0" collapsed="false">
      <c r="G4265" s="41" t="str">
        <f aca="false">IF(E4265="","",IFERROR(IF(ISNUMBER(SEARCH(Assumptions!$C$5,E4265)),Assumptions!$D$5,IF(ISNUMBER(SEARCH(Assumptions!$C$6,E4265)),Assumptions!$D$6,IF(ISNUMBER(SEARCH(Assumptions!$C$7,E4265)),Assumptions!$D$7,"Other Services"))),"Other Services"))</f>
        <v/>
      </c>
    </row>
    <row r="4266" customFormat="false" ht="15" hidden="false" customHeight="false" outlineLevel="0" collapsed="false">
      <c r="G4266" s="41" t="str">
        <f aca="false">IF(E4266="","",IFERROR(IF(ISNUMBER(SEARCH(Assumptions!$C$5,E4266)),Assumptions!$D$5,IF(ISNUMBER(SEARCH(Assumptions!$C$6,E4266)),Assumptions!$D$6,IF(ISNUMBER(SEARCH(Assumptions!$C$7,E4266)),Assumptions!$D$7,"Other Services"))),"Other Services"))</f>
        <v/>
      </c>
    </row>
    <row r="4267" customFormat="false" ht="15" hidden="false" customHeight="false" outlineLevel="0" collapsed="false">
      <c r="G4267" s="41" t="str">
        <f aca="false">IF(E4267="","",IFERROR(IF(ISNUMBER(SEARCH(Assumptions!$C$5,E4267)),Assumptions!$D$5,IF(ISNUMBER(SEARCH(Assumptions!$C$6,E4267)),Assumptions!$D$6,IF(ISNUMBER(SEARCH(Assumptions!$C$7,E4267)),Assumptions!$D$7,"Other Services"))),"Other Services"))</f>
        <v/>
      </c>
    </row>
    <row r="4268" customFormat="false" ht="15" hidden="false" customHeight="false" outlineLevel="0" collapsed="false">
      <c r="G4268" s="41" t="str">
        <f aca="false">IF(E4268="","",IFERROR(IF(ISNUMBER(SEARCH(Assumptions!$C$5,E4268)),Assumptions!$D$5,IF(ISNUMBER(SEARCH(Assumptions!$C$6,E4268)),Assumptions!$D$6,IF(ISNUMBER(SEARCH(Assumptions!$C$7,E4268)),Assumptions!$D$7,"Other Services"))),"Other Services"))</f>
        <v/>
      </c>
    </row>
    <row r="4269" customFormat="false" ht="15" hidden="false" customHeight="false" outlineLevel="0" collapsed="false">
      <c r="G4269" s="41" t="str">
        <f aca="false">IF(E4269="","",IFERROR(IF(ISNUMBER(SEARCH(Assumptions!$C$5,E4269)),Assumptions!$D$5,IF(ISNUMBER(SEARCH(Assumptions!$C$6,E4269)),Assumptions!$D$6,IF(ISNUMBER(SEARCH(Assumptions!$C$7,E4269)),Assumptions!$D$7,"Other Services"))),"Other Services"))</f>
        <v/>
      </c>
    </row>
    <row r="4270" customFormat="false" ht="15" hidden="false" customHeight="false" outlineLevel="0" collapsed="false">
      <c r="G4270" s="41" t="str">
        <f aca="false">IF(E4270="","",IFERROR(IF(ISNUMBER(SEARCH(Assumptions!$C$5,E4270)),Assumptions!$D$5,IF(ISNUMBER(SEARCH(Assumptions!$C$6,E4270)),Assumptions!$D$6,IF(ISNUMBER(SEARCH(Assumptions!$C$7,E4270)),Assumptions!$D$7,"Other Services"))),"Other Services"))</f>
        <v/>
      </c>
    </row>
    <row r="4271" customFormat="false" ht="15" hidden="false" customHeight="false" outlineLevel="0" collapsed="false">
      <c r="G4271" s="41" t="str">
        <f aca="false">IF(E4271="","",IFERROR(IF(ISNUMBER(SEARCH(Assumptions!$C$5,E4271)),Assumptions!$D$5,IF(ISNUMBER(SEARCH(Assumptions!$C$6,E4271)),Assumptions!$D$6,IF(ISNUMBER(SEARCH(Assumptions!$C$7,E4271)),Assumptions!$D$7,"Other Services"))),"Other Services"))</f>
        <v/>
      </c>
    </row>
    <row r="4272" customFormat="false" ht="15" hidden="false" customHeight="false" outlineLevel="0" collapsed="false">
      <c r="G4272" s="41" t="str">
        <f aca="false">IF(E4272="","",IFERROR(IF(ISNUMBER(SEARCH(Assumptions!$C$5,E4272)),Assumptions!$D$5,IF(ISNUMBER(SEARCH(Assumptions!$C$6,E4272)),Assumptions!$D$6,IF(ISNUMBER(SEARCH(Assumptions!$C$7,E4272)),Assumptions!$D$7,"Other Services"))),"Other Services"))</f>
        <v/>
      </c>
    </row>
    <row r="4273" customFormat="false" ht="15" hidden="false" customHeight="false" outlineLevel="0" collapsed="false">
      <c r="G4273" s="41" t="str">
        <f aca="false">IF(E4273="","",IFERROR(IF(ISNUMBER(SEARCH(Assumptions!$C$5,E4273)),Assumptions!$D$5,IF(ISNUMBER(SEARCH(Assumptions!$C$6,E4273)),Assumptions!$D$6,IF(ISNUMBER(SEARCH(Assumptions!$C$7,E4273)),Assumptions!$D$7,"Other Services"))),"Other Services"))</f>
        <v/>
      </c>
    </row>
    <row r="4274" customFormat="false" ht="15" hidden="false" customHeight="false" outlineLevel="0" collapsed="false">
      <c r="G4274" s="41" t="str">
        <f aca="false">IF(E4274="","",IFERROR(IF(ISNUMBER(SEARCH(Assumptions!$C$5,E4274)),Assumptions!$D$5,IF(ISNUMBER(SEARCH(Assumptions!$C$6,E4274)),Assumptions!$D$6,IF(ISNUMBER(SEARCH(Assumptions!$C$7,E4274)),Assumptions!$D$7,"Other Services"))),"Other Services"))</f>
        <v/>
      </c>
    </row>
    <row r="4275" customFormat="false" ht="15" hidden="false" customHeight="false" outlineLevel="0" collapsed="false">
      <c r="G4275" s="41" t="str">
        <f aca="false">IF(E4275="","",IFERROR(IF(ISNUMBER(SEARCH(Assumptions!$C$5,E4275)),Assumptions!$D$5,IF(ISNUMBER(SEARCH(Assumptions!$C$6,E4275)),Assumptions!$D$6,IF(ISNUMBER(SEARCH(Assumptions!$C$7,E4275)),Assumptions!$D$7,"Other Services"))),"Other Services"))</f>
        <v/>
      </c>
    </row>
    <row r="4276" customFormat="false" ht="15" hidden="false" customHeight="false" outlineLevel="0" collapsed="false">
      <c r="G4276" s="41" t="str">
        <f aca="false">IF(E4276="","",IFERROR(IF(ISNUMBER(SEARCH(Assumptions!$C$5,E4276)),Assumptions!$D$5,IF(ISNUMBER(SEARCH(Assumptions!$C$6,E4276)),Assumptions!$D$6,IF(ISNUMBER(SEARCH(Assumptions!$C$7,E4276)),Assumptions!$D$7,"Other Services"))),"Other Services"))</f>
        <v/>
      </c>
    </row>
    <row r="4277" customFormat="false" ht="15" hidden="false" customHeight="false" outlineLevel="0" collapsed="false">
      <c r="G4277" s="41" t="str">
        <f aca="false">IF(E4277="","",IFERROR(IF(ISNUMBER(SEARCH(Assumptions!$C$5,E4277)),Assumptions!$D$5,IF(ISNUMBER(SEARCH(Assumptions!$C$6,E4277)),Assumptions!$D$6,IF(ISNUMBER(SEARCH(Assumptions!$C$7,E4277)),Assumptions!$D$7,"Other Services"))),"Other Services"))</f>
        <v/>
      </c>
    </row>
    <row r="4278" customFormat="false" ht="15" hidden="false" customHeight="false" outlineLevel="0" collapsed="false">
      <c r="G4278" s="41" t="str">
        <f aca="false">IF(E4278="","",IFERROR(IF(ISNUMBER(SEARCH(Assumptions!$C$5,E4278)),Assumptions!$D$5,IF(ISNUMBER(SEARCH(Assumptions!$C$6,E4278)),Assumptions!$D$6,IF(ISNUMBER(SEARCH(Assumptions!$C$7,E4278)),Assumptions!$D$7,"Other Services"))),"Other Services"))</f>
        <v/>
      </c>
    </row>
    <row r="4279" customFormat="false" ht="15" hidden="false" customHeight="false" outlineLevel="0" collapsed="false">
      <c r="G4279" s="41" t="str">
        <f aca="false">IF(E4279="","",IFERROR(IF(ISNUMBER(SEARCH(Assumptions!$C$5,E4279)),Assumptions!$D$5,IF(ISNUMBER(SEARCH(Assumptions!$C$6,E4279)),Assumptions!$D$6,IF(ISNUMBER(SEARCH(Assumptions!$C$7,E4279)),Assumptions!$D$7,"Other Services"))),"Other Services"))</f>
        <v/>
      </c>
    </row>
    <row r="4280" customFormat="false" ht="15" hidden="false" customHeight="false" outlineLevel="0" collapsed="false">
      <c r="G4280" s="41" t="str">
        <f aca="false">IF(E4280="","",IFERROR(IF(ISNUMBER(SEARCH(Assumptions!$C$5,E4280)),Assumptions!$D$5,IF(ISNUMBER(SEARCH(Assumptions!$C$6,E4280)),Assumptions!$D$6,IF(ISNUMBER(SEARCH(Assumptions!$C$7,E4280)),Assumptions!$D$7,"Other Services"))),"Other Services"))</f>
        <v/>
      </c>
    </row>
    <row r="4281" customFormat="false" ht="15" hidden="false" customHeight="false" outlineLevel="0" collapsed="false">
      <c r="G4281" s="41" t="str">
        <f aca="false">IF(E4281="","",IFERROR(IF(ISNUMBER(SEARCH(Assumptions!$C$5,E4281)),Assumptions!$D$5,IF(ISNUMBER(SEARCH(Assumptions!$C$6,E4281)),Assumptions!$D$6,IF(ISNUMBER(SEARCH(Assumptions!$C$7,E4281)),Assumptions!$D$7,"Other Services"))),"Other Services"))</f>
        <v/>
      </c>
    </row>
    <row r="4282" customFormat="false" ht="15" hidden="false" customHeight="false" outlineLevel="0" collapsed="false">
      <c r="G4282" s="41" t="str">
        <f aca="false">IF(E4282="","",IFERROR(IF(ISNUMBER(SEARCH(Assumptions!$C$5,E4282)),Assumptions!$D$5,IF(ISNUMBER(SEARCH(Assumptions!$C$6,E4282)),Assumptions!$D$6,IF(ISNUMBER(SEARCH(Assumptions!$C$7,E4282)),Assumptions!$D$7,"Other Services"))),"Other Services"))</f>
        <v/>
      </c>
    </row>
    <row r="4283" customFormat="false" ht="15" hidden="false" customHeight="false" outlineLevel="0" collapsed="false">
      <c r="G4283" s="41" t="str">
        <f aca="false">IF(E4283="","",IFERROR(IF(ISNUMBER(SEARCH(Assumptions!$C$5,E4283)),Assumptions!$D$5,IF(ISNUMBER(SEARCH(Assumptions!$C$6,E4283)),Assumptions!$D$6,IF(ISNUMBER(SEARCH(Assumptions!$C$7,E4283)),Assumptions!$D$7,"Other Services"))),"Other Services"))</f>
        <v/>
      </c>
    </row>
    <row r="4284" customFormat="false" ht="15" hidden="false" customHeight="false" outlineLevel="0" collapsed="false">
      <c r="G4284" s="41" t="str">
        <f aca="false">IF(E4284="","",IFERROR(IF(ISNUMBER(SEARCH(Assumptions!$C$5,E4284)),Assumptions!$D$5,IF(ISNUMBER(SEARCH(Assumptions!$C$6,E4284)),Assumptions!$D$6,IF(ISNUMBER(SEARCH(Assumptions!$C$7,E4284)),Assumptions!$D$7,"Other Services"))),"Other Services"))</f>
        <v/>
      </c>
    </row>
    <row r="4285" customFormat="false" ht="15" hidden="false" customHeight="false" outlineLevel="0" collapsed="false">
      <c r="G4285" s="41" t="str">
        <f aca="false">IF(E4285="","",IFERROR(IF(ISNUMBER(SEARCH(Assumptions!$C$5,E4285)),Assumptions!$D$5,IF(ISNUMBER(SEARCH(Assumptions!$C$6,E4285)),Assumptions!$D$6,IF(ISNUMBER(SEARCH(Assumptions!$C$7,E4285)),Assumptions!$D$7,"Other Services"))),"Other Services"))</f>
        <v/>
      </c>
    </row>
    <row r="4286" customFormat="false" ht="15" hidden="false" customHeight="false" outlineLevel="0" collapsed="false">
      <c r="G4286" s="41" t="str">
        <f aca="false">IF(E4286="","",IFERROR(IF(ISNUMBER(SEARCH(Assumptions!$C$5,E4286)),Assumptions!$D$5,IF(ISNUMBER(SEARCH(Assumptions!$C$6,E4286)),Assumptions!$D$6,IF(ISNUMBER(SEARCH(Assumptions!$C$7,E4286)),Assumptions!$D$7,"Other Services"))),"Other Services"))</f>
        <v/>
      </c>
    </row>
    <row r="4287" customFormat="false" ht="15" hidden="false" customHeight="false" outlineLevel="0" collapsed="false">
      <c r="G4287" s="41" t="str">
        <f aca="false">IF(E4287="","",IFERROR(IF(ISNUMBER(SEARCH(Assumptions!$C$5,E4287)),Assumptions!$D$5,IF(ISNUMBER(SEARCH(Assumptions!$C$6,E4287)),Assumptions!$D$6,IF(ISNUMBER(SEARCH(Assumptions!$C$7,E4287)),Assumptions!$D$7,"Other Services"))),"Other Services"))</f>
        <v/>
      </c>
    </row>
    <row r="4288" customFormat="false" ht="15" hidden="false" customHeight="false" outlineLevel="0" collapsed="false">
      <c r="G4288" s="41" t="str">
        <f aca="false">IF(E4288="","",IFERROR(IF(ISNUMBER(SEARCH(Assumptions!$C$5,E4288)),Assumptions!$D$5,IF(ISNUMBER(SEARCH(Assumptions!$C$6,E4288)),Assumptions!$D$6,IF(ISNUMBER(SEARCH(Assumptions!$C$7,E4288)),Assumptions!$D$7,"Other Services"))),"Other Services"))</f>
        <v/>
      </c>
    </row>
    <row r="4289" customFormat="false" ht="15" hidden="false" customHeight="false" outlineLevel="0" collapsed="false">
      <c r="G4289" s="41" t="str">
        <f aca="false">IF(E4289="","",IFERROR(IF(ISNUMBER(SEARCH(Assumptions!$C$5,E4289)),Assumptions!$D$5,IF(ISNUMBER(SEARCH(Assumptions!$C$6,E4289)),Assumptions!$D$6,IF(ISNUMBER(SEARCH(Assumptions!$C$7,E4289)),Assumptions!$D$7,"Other Services"))),"Other Services"))</f>
        <v/>
      </c>
    </row>
    <row r="4290" customFormat="false" ht="15" hidden="false" customHeight="false" outlineLevel="0" collapsed="false">
      <c r="G4290" s="41" t="str">
        <f aca="false">IF(E4290="","",IFERROR(IF(ISNUMBER(SEARCH(Assumptions!$C$5,E4290)),Assumptions!$D$5,IF(ISNUMBER(SEARCH(Assumptions!$C$6,E4290)),Assumptions!$D$6,IF(ISNUMBER(SEARCH(Assumptions!$C$7,E4290)),Assumptions!$D$7,"Other Services"))),"Other Services"))</f>
        <v/>
      </c>
    </row>
    <row r="4291" customFormat="false" ht="15" hidden="false" customHeight="false" outlineLevel="0" collapsed="false">
      <c r="G4291" s="41" t="str">
        <f aca="false">IF(E4291="","",IFERROR(IF(ISNUMBER(SEARCH(Assumptions!$C$5,E4291)),Assumptions!$D$5,IF(ISNUMBER(SEARCH(Assumptions!$C$6,E4291)),Assumptions!$D$6,IF(ISNUMBER(SEARCH(Assumptions!$C$7,E4291)),Assumptions!$D$7,"Other Services"))),"Other Services"))</f>
        <v/>
      </c>
    </row>
    <row r="4292" customFormat="false" ht="15" hidden="false" customHeight="false" outlineLevel="0" collapsed="false">
      <c r="G4292" s="41" t="str">
        <f aca="false">IF(E4292="","",IFERROR(IF(ISNUMBER(SEARCH(Assumptions!$C$5,E4292)),Assumptions!$D$5,IF(ISNUMBER(SEARCH(Assumptions!$C$6,E4292)),Assumptions!$D$6,IF(ISNUMBER(SEARCH(Assumptions!$C$7,E4292)),Assumptions!$D$7,"Other Services"))),"Other Services"))</f>
        <v/>
      </c>
    </row>
    <row r="4293" customFormat="false" ht="15" hidden="false" customHeight="false" outlineLevel="0" collapsed="false">
      <c r="G4293" s="41" t="str">
        <f aca="false">IF(E4293="","",IFERROR(IF(ISNUMBER(SEARCH(Assumptions!$C$5,E4293)),Assumptions!$D$5,IF(ISNUMBER(SEARCH(Assumptions!$C$6,E4293)),Assumptions!$D$6,IF(ISNUMBER(SEARCH(Assumptions!$C$7,E4293)),Assumptions!$D$7,"Other Services"))),"Other Services"))</f>
        <v/>
      </c>
    </row>
    <row r="4294" customFormat="false" ht="15" hidden="false" customHeight="false" outlineLevel="0" collapsed="false">
      <c r="G4294" s="41" t="str">
        <f aca="false">IF(E4294="","",IFERROR(IF(ISNUMBER(SEARCH(Assumptions!$C$5,E4294)),Assumptions!$D$5,IF(ISNUMBER(SEARCH(Assumptions!$C$6,E4294)),Assumptions!$D$6,IF(ISNUMBER(SEARCH(Assumptions!$C$7,E4294)),Assumptions!$D$7,"Other Services"))),"Other Services"))</f>
        <v/>
      </c>
    </row>
    <row r="4295" customFormat="false" ht="15" hidden="false" customHeight="false" outlineLevel="0" collapsed="false">
      <c r="G4295" s="41" t="str">
        <f aca="false">IF(E4295="","",IFERROR(IF(ISNUMBER(SEARCH(Assumptions!$C$5,E4295)),Assumptions!$D$5,IF(ISNUMBER(SEARCH(Assumptions!$C$6,E4295)),Assumptions!$D$6,IF(ISNUMBER(SEARCH(Assumptions!$C$7,E4295)),Assumptions!$D$7,"Other Services"))),"Other Services"))</f>
        <v/>
      </c>
    </row>
    <row r="4296" customFormat="false" ht="15" hidden="false" customHeight="false" outlineLevel="0" collapsed="false">
      <c r="G4296" s="41" t="str">
        <f aca="false">IF(E4296="","",IFERROR(IF(ISNUMBER(SEARCH(Assumptions!$C$5,E4296)),Assumptions!$D$5,IF(ISNUMBER(SEARCH(Assumptions!$C$6,E4296)),Assumptions!$D$6,IF(ISNUMBER(SEARCH(Assumptions!$C$7,E4296)),Assumptions!$D$7,"Other Services"))),"Other Services"))</f>
        <v/>
      </c>
    </row>
    <row r="4297" customFormat="false" ht="15" hidden="false" customHeight="false" outlineLevel="0" collapsed="false">
      <c r="G4297" s="41" t="str">
        <f aca="false">IF(E4297="","",IFERROR(IF(ISNUMBER(SEARCH(Assumptions!$C$5,E4297)),Assumptions!$D$5,IF(ISNUMBER(SEARCH(Assumptions!$C$6,E4297)),Assumptions!$D$6,IF(ISNUMBER(SEARCH(Assumptions!$C$7,E4297)),Assumptions!$D$7,"Other Services"))),"Other Services"))</f>
        <v/>
      </c>
    </row>
    <row r="4298" customFormat="false" ht="15" hidden="false" customHeight="false" outlineLevel="0" collapsed="false">
      <c r="G4298" s="41" t="str">
        <f aca="false">IF(E4298="","",IFERROR(IF(ISNUMBER(SEARCH(Assumptions!$C$5,E4298)),Assumptions!$D$5,IF(ISNUMBER(SEARCH(Assumptions!$C$6,E4298)),Assumptions!$D$6,IF(ISNUMBER(SEARCH(Assumptions!$C$7,E4298)),Assumptions!$D$7,"Other Services"))),"Other Services"))</f>
        <v/>
      </c>
    </row>
    <row r="4299" customFormat="false" ht="15" hidden="false" customHeight="false" outlineLevel="0" collapsed="false">
      <c r="G4299" s="41" t="str">
        <f aca="false">IF(E4299="","",IFERROR(IF(ISNUMBER(SEARCH(Assumptions!$C$5,E4299)),Assumptions!$D$5,IF(ISNUMBER(SEARCH(Assumptions!$C$6,E4299)),Assumptions!$D$6,IF(ISNUMBER(SEARCH(Assumptions!$C$7,E4299)),Assumptions!$D$7,"Other Services"))),"Other Services"))</f>
        <v/>
      </c>
    </row>
    <row r="4300" customFormat="false" ht="15" hidden="false" customHeight="false" outlineLevel="0" collapsed="false">
      <c r="G4300" s="41" t="str">
        <f aca="false">IF(E4300="","",IFERROR(IF(ISNUMBER(SEARCH(Assumptions!$C$5,E4300)),Assumptions!$D$5,IF(ISNUMBER(SEARCH(Assumptions!$C$6,E4300)),Assumptions!$D$6,IF(ISNUMBER(SEARCH(Assumptions!$C$7,E4300)),Assumptions!$D$7,"Other Services"))),"Other Services"))</f>
        <v/>
      </c>
    </row>
    <row r="4301" customFormat="false" ht="15" hidden="false" customHeight="false" outlineLevel="0" collapsed="false">
      <c r="G4301" s="41" t="str">
        <f aca="false">IF(E4301="","",IFERROR(IF(ISNUMBER(SEARCH(Assumptions!$C$5,E4301)),Assumptions!$D$5,IF(ISNUMBER(SEARCH(Assumptions!$C$6,E4301)),Assumptions!$D$6,IF(ISNUMBER(SEARCH(Assumptions!$C$7,E4301)),Assumptions!$D$7,"Other Services"))),"Other Services"))</f>
        <v/>
      </c>
    </row>
    <row r="4302" customFormat="false" ht="15" hidden="false" customHeight="false" outlineLevel="0" collapsed="false">
      <c r="G4302" s="41" t="str">
        <f aca="false">IF(E4302="","",IFERROR(IF(ISNUMBER(SEARCH(Assumptions!$C$5,E4302)),Assumptions!$D$5,IF(ISNUMBER(SEARCH(Assumptions!$C$6,E4302)),Assumptions!$D$6,IF(ISNUMBER(SEARCH(Assumptions!$C$7,E4302)),Assumptions!$D$7,"Other Services"))),"Other Services"))</f>
        <v/>
      </c>
    </row>
    <row r="4303" customFormat="false" ht="15" hidden="false" customHeight="false" outlineLevel="0" collapsed="false">
      <c r="G4303" s="41" t="str">
        <f aca="false">IF(E4303="","",IFERROR(IF(ISNUMBER(SEARCH(Assumptions!$C$5,E4303)),Assumptions!$D$5,IF(ISNUMBER(SEARCH(Assumptions!$C$6,E4303)),Assumptions!$D$6,IF(ISNUMBER(SEARCH(Assumptions!$C$7,E4303)),Assumptions!$D$7,"Other Services"))),"Other Services"))</f>
        <v/>
      </c>
    </row>
    <row r="4304" customFormat="false" ht="15" hidden="false" customHeight="false" outlineLevel="0" collapsed="false">
      <c r="G4304" s="41" t="str">
        <f aca="false">IF(E4304="","",IFERROR(IF(ISNUMBER(SEARCH(Assumptions!$C$5,E4304)),Assumptions!$D$5,IF(ISNUMBER(SEARCH(Assumptions!$C$6,E4304)),Assumptions!$D$6,IF(ISNUMBER(SEARCH(Assumptions!$C$7,E4304)),Assumptions!$D$7,"Other Services"))),"Other Services"))</f>
        <v/>
      </c>
    </row>
    <row r="4305" customFormat="false" ht="15" hidden="false" customHeight="false" outlineLevel="0" collapsed="false">
      <c r="G4305" s="41" t="str">
        <f aca="false">IF(E4305="","",IFERROR(IF(ISNUMBER(SEARCH(Assumptions!$C$5,E4305)),Assumptions!$D$5,IF(ISNUMBER(SEARCH(Assumptions!$C$6,E4305)),Assumptions!$D$6,IF(ISNUMBER(SEARCH(Assumptions!$C$7,E4305)),Assumptions!$D$7,"Other Services"))),"Other Services"))</f>
        <v/>
      </c>
    </row>
    <row r="4306" customFormat="false" ht="15" hidden="false" customHeight="false" outlineLevel="0" collapsed="false">
      <c r="G4306" s="41" t="str">
        <f aca="false">IF(E4306="","",IFERROR(IF(ISNUMBER(SEARCH(Assumptions!$C$5,E4306)),Assumptions!$D$5,IF(ISNUMBER(SEARCH(Assumptions!$C$6,E4306)),Assumptions!$D$6,IF(ISNUMBER(SEARCH(Assumptions!$C$7,E4306)),Assumptions!$D$7,"Other Services"))),"Other Services"))</f>
        <v/>
      </c>
    </row>
    <row r="4307" customFormat="false" ht="15" hidden="false" customHeight="false" outlineLevel="0" collapsed="false">
      <c r="G4307" s="41" t="str">
        <f aca="false">IF(E4307="","",IFERROR(IF(ISNUMBER(SEARCH(Assumptions!$C$5,E4307)),Assumptions!$D$5,IF(ISNUMBER(SEARCH(Assumptions!$C$6,E4307)),Assumptions!$D$6,IF(ISNUMBER(SEARCH(Assumptions!$C$7,E4307)),Assumptions!$D$7,"Other Services"))),"Other Services"))</f>
        <v/>
      </c>
    </row>
    <row r="4308" customFormat="false" ht="15" hidden="false" customHeight="false" outlineLevel="0" collapsed="false">
      <c r="G4308" s="41" t="str">
        <f aca="false">IF(E4308="","",IFERROR(IF(ISNUMBER(SEARCH(Assumptions!$C$5,E4308)),Assumptions!$D$5,IF(ISNUMBER(SEARCH(Assumptions!$C$6,E4308)),Assumptions!$D$6,IF(ISNUMBER(SEARCH(Assumptions!$C$7,E4308)),Assumptions!$D$7,"Other Services"))),"Other Services"))</f>
        <v/>
      </c>
    </row>
    <row r="4309" customFormat="false" ht="15" hidden="false" customHeight="false" outlineLevel="0" collapsed="false">
      <c r="G4309" s="41" t="str">
        <f aca="false">IF(E4309="","",IFERROR(IF(ISNUMBER(SEARCH(Assumptions!$C$5,E4309)),Assumptions!$D$5,IF(ISNUMBER(SEARCH(Assumptions!$C$6,E4309)),Assumptions!$D$6,IF(ISNUMBER(SEARCH(Assumptions!$C$7,E4309)),Assumptions!$D$7,"Other Services"))),"Other Services"))</f>
        <v/>
      </c>
    </row>
    <row r="4310" customFormat="false" ht="15" hidden="false" customHeight="false" outlineLevel="0" collapsed="false">
      <c r="G4310" s="41" t="str">
        <f aca="false">IF(E4310="","",IFERROR(IF(ISNUMBER(SEARCH(Assumptions!$C$5,E4310)),Assumptions!$D$5,IF(ISNUMBER(SEARCH(Assumptions!$C$6,E4310)),Assumptions!$D$6,IF(ISNUMBER(SEARCH(Assumptions!$C$7,E4310)),Assumptions!$D$7,"Other Services"))),"Other Services"))</f>
        <v/>
      </c>
    </row>
    <row r="4311" customFormat="false" ht="15" hidden="false" customHeight="false" outlineLevel="0" collapsed="false">
      <c r="G4311" s="41" t="str">
        <f aca="false">IF(E4311="","",IFERROR(IF(ISNUMBER(SEARCH(Assumptions!$C$5,E4311)),Assumptions!$D$5,IF(ISNUMBER(SEARCH(Assumptions!$C$6,E4311)),Assumptions!$D$6,IF(ISNUMBER(SEARCH(Assumptions!$C$7,E4311)),Assumptions!$D$7,"Other Services"))),"Other Services"))</f>
        <v/>
      </c>
    </row>
    <row r="4312" customFormat="false" ht="15" hidden="false" customHeight="false" outlineLevel="0" collapsed="false">
      <c r="G4312" s="41" t="str">
        <f aca="false">IF(E4312="","",IFERROR(IF(ISNUMBER(SEARCH(Assumptions!$C$5,E4312)),Assumptions!$D$5,IF(ISNUMBER(SEARCH(Assumptions!$C$6,E4312)),Assumptions!$D$6,IF(ISNUMBER(SEARCH(Assumptions!$C$7,E4312)),Assumptions!$D$7,"Other Services"))),"Other Services"))</f>
        <v/>
      </c>
    </row>
    <row r="4313" customFormat="false" ht="15" hidden="false" customHeight="false" outlineLevel="0" collapsed="false">
      <c r="G4313" s="41" t="str">
        <f aca="false">IF(E4313="","",IFERROR(IF(ISNUMBER(SEARCH(Assumptions!$C$5,E4313)),Assumptions!$D$5,IF(ISNUMBER(SEARCH(Assumptions!$C$6,E4313)),Assumptions!$D$6,IF(ISNUMBER(SEARCH(Assumptions!$C$7,E4313)),Assumptions!$D$7,"Other Services"))),"Other Services"))</f>
        <v/>
      </c>
    </row>
    <row r="4314" customFormat="false" ht="15" hidden="false" customHeight="false" outlineLevel="0" collapsed="false">
      <c r="G4314" s="41" t="str">
        <f aca="false">IF(E4314="","",IFERROR(IF(ISNUMBER(SEARCH(Assumptions!$C$5,E4314)),Assumptions!$D$5,IF(ISNUMBER(SEARCH(Assumptions!$C$6,E4314)),Assumptions!$D$6,IF(ISNUMBER(SEARCH(Assumptions!$C$7,E4314)),Assumptions!$D$7,"Other Services"))),"Other Services"))</f>
        <v/>
      </c>
    </row>
    <row r="4315" customFormat="false" ht="15" hidden="false" customHeight="false" outlineLevel="0" collapsed="false">
      <c r="G4315" s="41" t="str">
        <f aca="false">IF(E4315="","",IFERROR(IF(ISNUMBER(SEARCH(Assumptions!$C$5,E4315)),Assumptions!$D$5,IF(ISNUMBER(SEARCH(Assumptions!$C$6,E4315)),Assumptions!$D$6,IF(ISNUMBER(SEARCH(Assumptions!$C$7,E4315)),Assumptions!$D$7,"Other Services"))),"Other Services"))</f>
        <v/>
      </c>
    </row>
    <row r="4316" customFormat="false" ht="15" hidden="false" customHeight="false" outlineLevel="0" collapsed="false">
      <c r="G4316" s="41" t="str">
        <f aca="false">IF(E4316="","",IFERROR(IF(ISNUMBER(SEARCH(Assumptions!$C$5,E4316)),Assumptions!$D$5,IF(ISNUMBER(SEARCH(Assumptions!$C$6,E4316)),Assumptions!$D$6,IF(ISNUMBER(SEARCH(Assumptions!$C$7,E4316)),Assumptions!$D$7,"Other Services"))),"Other Services"))</f>
        <v/>
      </c>
    </row>
    <row r="4317" customFormat="false" ht="15" hidden="false" customHeight="false" outlineLevel="0" collapsed="false">
      <c r="G4317" s="41" t="str">
        <f aca="false">IF(E4317="","",IFERROR(IF(ISNUMBER(SEARCH(Assumptions!$C$5,E4317)),Assumptions!$D$5,IF(ISNUMBER(SEARCH(Assumptions!$C$6,E4317)),Assumptions!$D$6,IF(ISNUMBER(SEARCH(Assumptions!$C$7,E4317)),Assumptions!$D$7,"Other Services"))),"Other Services"))</f>
        <v/>
      </c>
    </row>
    <row r="4318" customFormat="false" ht="15" hidden="false" customHeight="false" outlineLevel="0" collapsed="false">
      <c r="G4318" s="41" t="str">
        <f aca="false">IF(E4318="","",IFERROR(IF(ISNUMBER(SEARCH(Assumptions!$C$5,E4318)),Assumptions!$D$5,IF(ISNUMBER(SEARCH(Assumptions!$C$6,E4318)),Assumptions!$D$6,IF(ISNUMBER(SEARCH(Assumptions!$C$7,E4318)),Assumptions!$D$7,"Other Services"))),"Other Services"))</f>
        <v/>
      </c>
    </row>
    <row r="4319" customFormat="false" ht="15" hidden="false" customHeight="false" outlineLevel="0" collapsed="false">
      <c r="G4319" s="41" t="str">
        <f aca="false">IF(E4319="","",IFERROR(IF(ISNUMBER(SEARCH(Assumptions!$C$5,E4319)),Assumptions!$D$5,IF(ISNUMBER(SEARCH(Assumptions!$C$6,E4319)),Assumptions!$D$6,IF(ISNUMBER(SEARCH(Assumptions!$C$7,E4319)),Assumptions!$D$7,"Other Services"))),"Other Services"))</f>
        <v/>
      </c>
    </row>
    <row r="4320" customFormat="false" ht="15" hidden="false" customHeight="false" outlineLevel="0" collapsed="false">
      <c r="G4320" s="41" t="str">
        <f aca="false">IF(E4320="","",IFERROR(IF(ISNUMBER(SEARCH(Assumptions!$C$5,E4320)),Assumptions!$D$5,IF(ISNUMBER(SEARCH(Assumptions!$C$6,E4320)),Assumptions!$D$6,IF(ISNUMBER(SEARCH(Assumptions!$C$7,E4320)),Assumptions!$D$7,"Other Services"))),"Other Services"))</f>
        <v/>
      </c>
    </row>
    <row r="4321" customFormat="false" ht="15" hidden="false" customHeight="false" outlineLevel="0" collapsed="false">
      <c r="G4321" s="41" t="str">
        <f aca="false">IF(E4321="","",IFERROR(IF(ISNUMBER(SEARCH(Assumptions!$C$5,E4321)),Assumptions!$D$5,IF(ISNUMBER(SEARCH(Assumptions!$C$6,E4321)),Assumptions!$D$6,IF(ISNUMBER(SEARCH(Assumptions!$C$7,E4321)),Assumptions!$D$7,"Other Services"))),"Other Services"))</f>
        <v/>
      </c>
    </row>
    <row r="4322" customFormat="false" ht="15" hidden="false" customHeight="false" outlineLevel="0" collapsed="false">
      <c r="G4322" s="41" t="str">
        <f aca="false">IF(E4322="","",IFERROR(IF(ISNUMBER(SEARCH(Assumptions!$C$5,E4322)),Assumptions!$D$5,IF(ISNUMBER(SEARCH(Assumptions!$C$6,E4322)),Assumptions!$D$6,IF(ISNUMBER(SEARCH(Assumptions!$C$7,E4322)),Assumptions!$D$7,"Other Services"))),"Other Services"))</f>
        <v/>
      </c>
    </row>
    <row r="4323" customFormat="false" ht="15" hidden="false" customHeight="false" outlineLevel="0" collapsed="false">
      <c r="G4323" s="41" t="str">
        <f aca="false">IF(E4323="","",IFERROR(IF(ISNUMBER(SEARCH(Assumptions!$C$5,E4323)),Assumptions!$D$5,IF(ISNUMBER(SEARCH(Assumptions!$C$6,E4323)),Assumptions!$D$6,IF(ISNUMBER(SEARCH(Assumptions!$C$7,E4323)),Assumptions!$D$7,"Other Services"))),"Other Services"))</f>
        <v/>
      </c>
    </row>
    <row r="4324" customFormat="false" ht="15" hidden="false" customHeight="false" outlineLevel="0" collapsed="false">
      <c r="G4324" s="41" t="str">
        <f aca="false">IF(E4324="","",IFERROR(IF(ISNUMBER(SEARCH(Assumptions!$C$5,E4324)),Assumptions!$D$5,IF(ISNUMBER(SEARCH(Assumptions!$C$6,E4324)),Assumptions!$D$6,IF(ISNUMBER(SEARCH(Assumptions!$C$7,E4324)),Assumptions!$D$7,"Other Services"))),"Other Services"))</f>
        <v/>
      </c>
    </row>
    <row r="4325" customFormat="false" ht="15" hidden="false" customHeight="false" outlineLevel="0" collapsed="false">
      <c r="G4325" s="41" t="str">
        <f aca="false">IF(E4325="","",IFERROR(IF(ISNUMBER(SEARCH(Assumptions!$C$5,E4325)),Assumptions!$D$5,IF(ISNUMBER(SEARCH(Assumptions!$C$6,E4325)),Assumptions!$D$6,IF(ISNUMBER(SEARCH(Assumptions!$C$7,E4325)),Assumptions!$D$7,"Other Services"))),"Other Services"))</f>
        <v/>
      </c>
    </row>
    <row r="4326" customFormat="false" ht="15" hidden="false" customHeight="false" outlineLevel="0" collapsed="false">
      <c r="G4326" s="41" t="str">
        <f aca="false">IF(E4326="","",IFERROR(IF(ISNUMBER(SEARCH(Assumptions!$C$5,E4326)),Assumptions!$D$5,IF(ISNUMBER(SEARCH(Assumptions!$C$6,E4326)),Assumptions!$D$6,IF(ISNUMBER(SEARCH(Assumptions!$C$7,E4326)),Assumptions!$D$7,"Other Services"))),"Other Services"))</f>
        <v/>
      </c>
    </row>
    <row r="4327" customFormat="false" ht="15" hidden="false" customHeight="false" outlineLevel="0" collapsed="false">
      <c r="G4327" s="41" t="str">
        <f aca="false">IF(E4327="","",IFERROR(IF(ISNUMBER(SEARCH(Assumptions!$C$5,E4327)),Assumptions!$D$5,IF(ISNUMBER(SEARCH(Assumptions!$C$6,E4327)),Assumptions!$D$6,IF(ISNUMBER(SEARCH(Assumptions!$C$7,E4327)),Assumptions!$D$7,"Other Services"))),"Other Services"))</f>
        <v/>
      </c>
    </row>
    <row r="4328" customFormat="false" ht="15" hidden="false" customHeight="false" outlineLevel="0" collapsed="false">
      <c r="G4328" s="41" t="str">
        <f aca="false">IF(E4328="","",IFERROR(IF(ISNUMBER(SEARCH(Assumptions!$C$5,E4328)),Assumptions!$D$5,IF(ISNUMBER(SEARCH(Assumptions!$C$6,E4328)),Assumptions!$D$6,IF(ISNUMBER(SEARCH(Assumptions!$C$7,E4328)),Assumptions!$D$7,"Other Services"))),"Other Services"))</f>
        <v/>
      </c>
    </row>
    <row r="4329" customFormat="false" ht="15" hidden="false" customHeight="false" outlineLevel="0" collapsed="false">
      <c r="G4329" s="41" t="str">
        <f aca="false">IF(E4329="","",IFERROR(IF(ISNUMBER(SEARCH(Assumptions!$C$5,E4329)),Assumptions!$D$5,IF(ISNUMBER(SEARCH(Assumptions!$C$6,E4329)),Assumptions!$D$6,IF(ISNUMBER(SEARCH(Assumptions!$C$7,E4329)),Assumptions!$D$7,"Other Services"))),"Other Services"))</f>
        <v/>
      </c>
    </row>
    <row r="4330" customFormat="false" ht="15" hidden="false" customHeight="false" outlineLevel="0" collapsed="false">
      <c r="G4330" s="41" t="str">
        <f aca="false">IF(E4330="","",IFERROR(IF(ISNUMBER(SEARCH(Assumptions!$C$5,E4330)),Assumptions!$D$5,IF(ISNUMBER(SEARCH(Assumptions!$C$6,E4330)),Assumptions!$D$6,IF(ISNUMBER(SEARCH(Assumptions!$C$7,E4330)),Assumptions!$D$7,"Other Services"))),"Other Services"))</f>
        <v/>
      </c>
    </row>
    <row r="4331" customFormat="false" ht="15" hidden="false" customHeight="false" outlineLevel="0" collapsed="false">
      <c r="G4331" s="41" t="str">
        <f aca="false">IF(E4331="","",IFERROR(IF(ISNUMBER(SEARCH(Assumptions!$C$5,E4331)),Assumptions!$D$5,IF(ISNUMBER(SEARCH(Assumptions!$C$6,E4331)),Assumptions!$D$6,IF(ISNUMBER(SEARCH(Assumptions!$C$7,E4331)),Assumptions!$D$7,"Other Services"))),"Other Services"))</f>
        <v/>
      </c>
    </row>
    <row r="4332" customFormat="false" ht="15" hidden="false" customHeight="false" outlineLevel="0" collapsed="false">
      <c r="G4332" s="41" t="str">
        <f aca="false">IF(E4332="","",IFERROR(IF(ISNUMBER(SEARCH(Assumptions!$C$5,E4332)),Assumptions!$D$5,IF(ISNUMBER(SEARCH(Assumptions!$C$6,E4332)),Assumptions!$D$6,IF(ISNUMBER(SEARCH(Assumptions!$C$7,E4332)),Assumptions!$D$7,"Other Services"))),"Other Services"))</f>
        <v/>
      </c>
    </row>
    <row r="4333" customFormat="false" ht="15" hidden="false" customHeight="false" outlineLevel="0" collapsed="false">
      <c r="G4333" s="41" t="str">
        <f aca="false">IF(E4333="","",IFERROR(IF(ISNUMBER(SEARCH(Assumptions!$C$5,E4333)),Assumptions!$D$5,IF(ISNUMBER(SEARCH(Assumptions!$C$6,E4333)),Assumptions!$D$6,IF(ISNUMBER(SEARCH(Assumptions!$C$7,E4333)),Assumptions!$D$7,"Other Services"))),"Other Services"))</f>
        <v/>
      </c>
    </row>
    <row r="4334" customFormat="false" ht="15" hidden="false" customHeight="false" outlineLevel="0" collapsed="false">
      <c r="G4334" s="41" t="str">
        <f aca="false">IF(E4334="","",IFERROR(IF(ISNUMBER(SEARCH(Assumptions!$C$5,E4334)),Assumptions!$D$5,IF(ISNUMBER(SEARCH(Assumptions!$C$6,E4334)),Assumptions!$D$6,IF(ISNUMBER(SEARCH(Assumptions!$C$7,E4334)),Assumptions!$D$7,"Other Services"))),"Other Services"))</f>
        <v/>
      </c>
    </row>
    <row r="4335" customFormat="false" ht="15" hidden="false" customHeight="false" outlineLevel="0" collapsed="false">
      <c r="G4335" s="41" t="str">
        <f aca="false">IF(E4335="","",IFERROR(IF(ISNUMBER(SEARCH(Assumptions!$C$5,E4335)),Assumptions!$D$5,IF(ISNUMBER(SEARCH(Assumptions!$C$6,E4335)),Assumptions!$D$6,IF(ISNUMBER(SEARCH(Assumptions!$C$7,E4335)),Assumptions!$D$7,"Other Services"))),"Other Services"))</f>
        <v/>
      </c>
    </row>
    <row r="4336" customFormat="false" ht="15" hidden="false" customHeight="false" outlineLevel="0" collapsed="false">
      <c r="G4336" s="41" t="str">
        <f aca="false">IF(E4336="","",IFERROR(IF(ISNUMBER(SEARCH(Assumptions!$C$5,E4336)),Assumptions!$D$5,IF(ISNUMBER(SEARCH(Assumptions!$C$6,E4336)),Assumptions!$D$6,IF(ISNUMBER(SEARCH(Assumptions!$C$7,E4336)),Assumptions!$D$7,"Other Services"))),"Other Services"))</f>
        <v/>
      </c>
    </row>
    <row r="4337" customFormat="false" ht="15" hidden="false" customHeight="false" outlineLevel="0" collapsed="false">
      <c r="G4337" s="41" t="str">
        <f aca="false">IF(E4337="","",IFERROR(IF(ISNUMBER(SEARCH(Assumptions!$C$5,E4337)),Assumptions!$D$5,IF(ISNUMBER(SEARCH(Assumptions!$C$6,E4337)),Assumptions!$D$6,IF(ISNUMBER(SEARCH(Assumptions!$C$7,E4337)),Assumptions!$D$7,"Other Services"))),"Other Services"))</f>
        <v/>
      </c>
    </row>
    <row r="4338" customFormat="false" ht="15" hidden="false" customHeight="false" outlineLevel="0" collapsed="false">
      <c r="G4338" s="41" t="str">
        <f aca="false">IF(E4338="","",IFERROR(IF(ISNUMBER(SEARCH(Assumptions!$C$5,E4338)),Assumptions!$D$5,IF(ISNUMBER(SEARCH(Assumptions!$C$6,E4338)),Assumptions!$D$6,IF(ISNUMBER(SEARCH(Assumptions!$C$7,E4338)),Assumptions!$D$7,"Other Services"))),"Other Services"))</f>
        <v/>
      </c>
    </row>
    <row r="4339" customFormat="false" ht="15" hidden="false" customHeight="false" outlineLevel="0" collapsed="false">
      <c r="G4339" s="41" t="str">
        <f aca="false">IF(E4339="","",IFERROR(IF(ISNUMBER(SEARCH(Assumptions!$C$5,E4339)),Assumptions!$D$5,IF(ISNUMBER(SEARCH(Assumptions!$C$6,E4339)),Assumptions!$D$6,IF(ISNUMBER(SEARCH(Assumptions!$C$7,E4339)),Assumptions!$D$7,"Other Services"))),"Other Services"))</f>
        <v/>
      </c>
    </row>
    <row r="4340" customFormat="false" ht="15" hidden="false" customHeight="false" outlineLevel="0" collapsed="false">
      <c r="G4340" s="41" t="str">
        <f aca="false">IF(E4340="","",IFERROR(IF(ISNUMBER(SEARCH(Assumptions!$C$5,E4340)),Assumptions!$D$5,IF(ISNUMBER(SEARCH(Assumptions!$C$6,E4340)),Assumptions!$D$6,IF(ISNUMBER(SEARCH(Assumptions!$C$7,E4340)),Assumptions!$D$7,"Other Services"))),"Other Services"))</f>
        <v/>
      </c>
    </row>
    <row r="4341" customFormat="false" ht="15" hidden="false" customHeight="false" outlineLevel="0" collapsed="false">
      <c r="G4341" s="41" t="str">
        <f aca="false">IF(E4341="","",IFERROR(IF(ISNUMBER(SEARCH(Assumptions!$C$5,E4341)),Assumptions!$D$5,IF(ISNUMBER(SEARCH(Assumptions!$C$6,E4341)),Assumptions!$D$6,IF(ISNUMBER(SEARCH(Assumptions!$C$7,E4341)),Assumptions!$D$7,"Other Services"))),"Other Services"))</f>
        <v/>
      </c>
    </row>
    <row r="4342" customFormat="false" ht="15" hidden="false" customHeight="false" outlineLevel="0" collapsed="false">
      <c r="G4342" s="41" t="str">
        <f aca="false">IF(E4342="","",IFERROR(IF(ISNUMBER(SEARCH(Assumptions!$C$5,E4342)),Assumptions!$D$5,IF(ISNUMBER(SEARCH(Assumptions!$C$6,E4342)),Assumptions!$D$6,IF(ISNUMBER(SEARCH(Assumptions!$C$7,E4342)),Assumptions!$D$7,"Other Services"))),"Other Services"))</f>
        <v/>
      </c>
    </row>
    <row r="4343" customFormat="false" ht="15" hidden="false" customHeight="false" outlineLevel="0" collapsed="false">
      <c r="G4343" s="41" t="str">
        <f aca="false">IF(E4343="","",IFERROR(IF(ISNUMBER(SEARCH(Assumptions!$C$5,E4343)),Assumptions!$D$5,IF(ISNUMBER(SEARCH(Assumptions!$C$6,E4343)),Assumptions!$D$6,IF(ISNUMBER(SEARCH(Assumptions!$C$7,E4343)),Assumptions!$D$7,"Other Services"))),"Other Services"))</f>
        <v/>
      </c>
    </row>
    <row r="4344" customFormat="false" ht="15" hidden="false" customHeight="false" outlineLevel="0" collapsed="false">
      <c r="G4344" s="41" t="str">
        <f aca="false">IF(E4344="","",IFERROR(IF(ISNUMBER(SEARCH(Assumptions!$C$5,E4344)),Assumptions!$D$5,IF(ISNUMBER(SEARCH(Assumptions!$C$6,E4344)),Assumptions!$D$6,IF(ISNUMBER(SEARCH(Assumptions!$C$7,E4344)),Assumptions!$D$7,"Other Services"))),"Other Services"))</f>
        <v/>
      </c>
    </row>
    <row r="4345" customFormat="false" ht="15" hidden="false" customHeight="false" outlineLevel="0" collapsed="false">
      <c r="G4345" s="41" t="str">
        <f aca="false">IF(E4345="","",IFERROR(IF(ISNUMBER(SEARCH(Assumptions!$C$5,E4345)),Assumptions!$D$5,IF(ISNUMBER(SEARCH(Assumptions!$C$6,E4345)),Assumptions!$D$6,IF(ISNUMBER(SEARCH(Assumptions!$C$7,E4345)),Assumptions!$D$7,"Other Services"))),"Other Services"))</f>
        <v/>
      </c>
    </row>
    <row r="4346" customFormat="false" ht="15" hidden="false" customHeight="false" outlineLevel="0" collapsed="false">
      <c r="G4346" s="41" t="str">
        <f aca="false">IF(E4346="","",IFERROR(IF(ISNUMBER(SEARCH(Assumptions!$C$5,E4346)),Assumptions!$D$5,IF(ISNUMBER(SEARCH(Assumptions!$C$6,E4346)),Assumptions!$D$6,IF(ISNUMBER(SEARCH(Assumptions!$C$7,E4346)),Assumptions!$D$7,"Other Services"))),"Other Services"))</f>
        <v/>
      </c>
    </row>
    <row r="4347" customFormat="false" ht="15" hidden="false" customHeight="false" outlineLevel="0" collapsed="false">
      <c r="G4347" s="41" t="str">
        <f aca="false">IF(E4347="","",IFERROR(IF(ISNUMBER(SEARCH(Assumptions!$C$5,E4347)),Assumptions!$D$5,IF(ISNUMBER(SEARCH(Assumptions!$C$6,E4347)),Assumptions!$D$6,IF(ISNUMBER(SEARCH(Assumptions!$C$7,E4347)),Assumptions!$D$7,"Other Services"))),"Other Services"))</f>
        <v/>
      </c>
    </row>
    <row r="4348" customFormat="false" ht="15" hidden="false" customHeight="false" outlineLevel="0" collapsed="false">
      <c r="G4348" s="41" t="str">
        <f aca="false">IF(E4348="","",IFERROR(IF(ISNUMBER(SEARCH(Assumptions!$C$5,E4348)),Assumptions!$D$5,IF(ISNUMBER(SEARCH(Assumptions!$C$6,E4348)),Assumptions!$D$6,IF(ISNUMBER(SEARCH(Assumptions!$C$7,E4348)),Assumptions!$D$7,"Other Services"))),"Other Services"))</f>
        <v/>
      </c>
    </row>
    <row r="4349" customFormat="false" ht="15" hidden="false" customHeight="false" outlineLevel="0" collapsed="false">
      <c r="G4349" s="41" t="str">
        <f aca="false">IF(E4349="","",IFERROR(IF(ISNUMBER(SEARCH(Assumptions!$C$5,E4349)),Assumptions!$D$5,IF(ISNUMBER(SEARCH(Assumptions!$C$6,E4349)),Assumptions!$D$6,IF(ISNUMBER(SEARCH(Assumptions!$C$7,E4349)),Assumptions!$D$7,"Other Services"))),"Other Services"))</f>
        <v/>
      </c>
    </row>
    <row r="4350" customFormat="false" ht="15" hidden="false" customHeight="false" outlineLevel="0" collapsed="false">
      <c r="G4350" s="41" t="str">
        <f aca="false">IF(E4350="","",IFERROR(IF(ISNUMBER(SEARCH(Assumptions!$C$5,E4350)),Assumptions!$D$5,IF(ISNUMBER(SEARCH(Assumptions!$C$6,E4350)),Assumptions!$D$6,IF(ISNUMBER(SEARCH(Assumptions!$C$7,E4350)),Assumptions!$D$7,"Other Services"))),"Other Services"))</f>
        <v/>
      </c>
    </row>
    <row r="4351" customFormat="false" ht="15" hidden="false" customHeight="false" outlineLevel="0" collapsed="false">
      <c r="G4351" s="41" t="str">
        <f aca="false">IF(E4351="","",IFERROR(IF(ISNUMBER(SEARCH(Assumptions!$C$5,E4351)),Assumptions!$D$5,IF(ISNUMBER(SEARCH(Assumptions!$C$6,E4351)),Assumptions!$D$6,IF(ISNUMBER(SEARCH(Assumptions!$C$7,E4351)),Assumptions!$D$7,"Other Services"))),"Other Services"))</f>
        <v/>
      </c>
    </row>
    <row r="4352" customFormat="false" ht="15" hidden="false" customHeight="false" outlineLevel="0" collapsed="false">
      <c r="G4352" s="41" t="str">
        <f aca="false">IF(E4352="","",IFERROR(IF(ISNUMBER(SEARCH(Assumptions!$C$5,E4352)),Assumptions!$D$5,IF(ISNUMBER(SEARCH(Assumptions!$C$6,E4352)),Assumptions!$D$6,IF(ISNUMBER(SEARCH(Assumptions!$C$7,E4352)),Assumptions!$D$7,"Other Services"))),"Other Services"))</f>
        <v/>
      </c>
    </row>
    <row r="4353" customFormat="false" ht="15" hidden="false" customHeight="false" outlineLevel="0" collapsed="false">
      <c r="G4353" s="41" t="str">
        <f aca="false">IF(E4353="","",IFERROR(IF(ISNUMBER(SEARCH(Assumptions!$C$5,E4353)),Assumptions!$D$5,IF(ISNUMBER(SEARCH(Assumptions!$C$6,E4353)),Assumptions!$D$6,IF(ISNUMBER(SEARCH(Assumptions!$C$7,E4353)),Assumptions!$D$7,"Other Services"))),"Other Services"))</f>
        <v/>
      </c>
    </row>
    <row r="4354" customFormat="false" ht="15" hidden="false" customHeight="false" outlineLevel="0" collapsed="false">
      <c r="G4354" s="41" t="str">
        <f aca="false">IF(E4354="","",IFERROR(IF(ISNUMBER(SEARCH(Assumptions!$C$5,E4354)),Assumptions!$D$5,IF(ISNUMBER(SEARCH(Assumptions!$C$6,E4354)),Assumptions!$D$6,IF(ISNUMBER(SEARCH(Assumptions!$C$7,E4354)),Assumptions!$D$7,"Other Services"))),"Other Services"))</f>
        <v/>
      </c>
    </row>
    <row r="4355" customFormat="false" ht="15" hidden="false" customHeight="false" outlineLevel="0" collapsed="false">
      <c r="G4355" s="41" t="str">
        <f aca="false">IF(E4355="","",IFERROR(IF(ISNUMBER(SEARCH(Assumptions!$C$5,E4355)),Assumptions!$D$5,IF(ISNUMBER(SEARCH(Assumptions!$C$6,E4355)),Assumptions!$D$6,IF(ISNUMBER(SEARCH(Assumptions!$C$7,E4355)),Assumptions!$D$7,"Other Services"))),"Other Services"))</f>
        <v/>
      </c>
    </row>
    <row r="4356" customFormat="false" ht="15" hidden="false" customHeight="false" outlineLevel="0" collapsed="false">
      <c r="G4356" s="41" t="str">
        <f aca="false">IF(E4356="","",IFERROR(IF(ISNUMBER(SEARCH(Assumptions!$C$5,E4356)),Assumptions!$D$5,IF(ISNUMBER(SEARCH(Assumptions!$C$6,E4356)),Assumptions!$D$6,IF(ISNUMBER(SEARCH(Assumptions!$C$7,E4356)),Assumptions!$D$7,"Other Services"))),"Other Services"))</f>
        <v/>
      </c>
    </row>
    <row r="4357" customFormat="false" ht="15" hidden="false" customHeight="false" outlineLevel="0" collapsed="false">
      <c r="G4357" s="41" t="str">
        <f aca="false">IF(E4357="","",IFERROR(IF(ISNUMBER(SEARCH(Assumptions!$C$5,E4357)),Assumptions!$D$5,IF(ISNUMBER(SEARCH(Assumptions!$C$6,E4357)),Assumptions!$D$6,IF(ISNUMBER(SEARCH(Assumptions!$C$7,E4357)),Assumptions!$D$7,"Other Services"))),"Other Services"))</f>
        <v/>
      </c>
    </row>
    <row r="4358" customFormat="false" ht="15" hidden="false" customHeight="false" outlineLevel="0" collapsed="false">
      <c r="G4358" s="41" t="str">
        <f aca="false">IF(E4358="","",IFERROR(IF(ISNUMBER(SEARCH(Assumptions!$C$5,E4358)),Assumptions!$D$5,IF(ISNUMBER(SEARCH(Assumptions!$C$6,E4358)),Assumptions!$D$6,IF(ISNUMBER(SEARCH(Assumptions!$C$7,E4358)),Assumptions!$D$7,"Other Services"))),"Other Services"))</f>
        <v/>
      </c>
    </row>
    <row r="4359" customFormat="false" ht="15" hidden="false" customHeight="false" outlineLevel="0" collapsed="false">
      <c r="G4359" s="41" t="str">
        <f aca="false">IF(E4359="","",IFERROR(IF(ISNUMBER(SEARCH(Assumptions!$C$5,E4359)),Assumptions!$D$5,IF(ISNUMBER(SEARCH(Assumptions!$C$6,E4359)),Assumptions!$D$6,IF(ISNUMBER(SEARCH(Assumptions!$C$7,E4359)),Assumptions!$D$7,"Other Services"))),"Other Services"))</f>
        <v/>
      </c>
    </row>
    <row r="4360" customFormat="false" ht="15" hidden="false" customHeight="false" outlineLevel="0" collapsed="false">
      <c r="G4360" s="41" t="str">
        <f aca="false">IF(E4360="","",IFERROR(IF(ISNUMBER(SEARCH(Assumptions!$C$5,E4360)),Assumptions!$D$5,IF(ISNUMBER(SEARCH(Assumptions!$C$6,E4360)),Assumptions!$D$6,IF(ISNUMBER(SEARCH(Assumptions!$C$7,E4360)),Assumptions!$D$7,"Other Services"))),"Other Services"))</f>
        <v/>
      </c>
    </row>
    <row r="4361" customFormat="false" ht="15" hidden="false" customHeight="false" outlineLevel="0" collapsed="false">
      <c r="G4361" s="41" t="str">
        <f aca="false">IF(E4361="","",IFERROR(IF(ISNUMBER(SEARCH(Assumptions!$C$5,E4361)),Assumptions!$D$5,IF(ISNUMBER(SEARCH(Assumptions!$C$6,E4361)),Assumptions!$D$6,IF(ISNUMBER(SEARCH(Assumptions!$C$7,E4361)),Assumptions!$D$7,"Other Services"))),"Other Services"))</f>
        <v/>
      </c>
    </row>
    <row r="4362" customFormat="false" ht="15" hidden="false" customHeight="false" outlineLevel="0" collapsed="false">
      <c r="G4362" s="41" t="str">
        <f aca="false">IF(E4362="","",IFERROR(IF(ISNUMBER(SEARCH(Assumptions!$C$5,E4362)),Assumptions!$D$5,IF(ISNUMBER(SEARCH(Assumptions!$C$6,E4362)),Assumptions!$D$6,IF(ISNUMBER(SEARCH(Assumptions!$C$7,E4362)),Assumptions!$D$7,"Other Services"))),"Other Services"))</f>
        <v/>
      </c>
    </row>
    <row r="4363" customFormat="false" ht="15" hidden="false" customHeight="false" outlineLevel="0" collapsed="false">
      <c r="G4363" s="41" t="str">
        <f aca="false">IF(E4363="","",IFERROR(IF(ISNUMBER(SEARCH(Assumptions!$C$5,E4363)),Assumptions!$D$5,IF(ISNUMBER(SEARCH(Assumptions!$C$6,E4363)),Assumptions!$D$6,IF(ISNUMBER(SEARCH(Assumptions!$C$7,E4363)),Assumptions!$D$7,"Other Services"))),"Other Services"))</f>
        <v/>
      </c>
    </row>
    <row r="4364" customFormat="false" ht="15" hidden="false" customHeight="false" outlineLevel="0" collapsed="false">
      <c r="G4364" s="41" t="str">
        <f aca="false">IF(E4364="","",IFERROR(IF(ISNUMBER(SEARCH(Assumptions!$C$5,E4364)),Assumptions!$D$5,IF(ISNUMBER(SEARCH(Assumptions!$C$6,E4364)),Assumptions!$D$6,IF(ISNUMBER(SEARCH(Assumptions!$C$7,E4364)),Assumptions!$D$7,"Other Services"))),"Other Services"))</f>
        <v/>
      </c>
    </row>
    <row r="4365" customFormat="false" ht="15" hidden="false" customHeight="false" outlineLevel="0" collapsed="false">
      <c r="G4365" s="41" t="str">
        <f aca="false">IF(E4365="","",IFERROR(IF(ISNUMBER(SEARCH(Assumptions!$C$5,E4365)),Assumptions!$D$5,IF(ISNUMBER(SEARCH(Assumptions!$C$6,E4365)),Assumptions!$D$6,IF(ISNUMBER(SEARCH(Assumptions!$C$7,E4365)),Assumptions!$D$7,"Other Services"))),"Other Services"))</f>
        <v/>
      </c>
    </row>
    <row r="4366" customFormat="false" ht="15" hidden="false" customHeight="false" outlineLevel="0" collapsed="false">
      <c r="G4366" s="41" t="str">
        <f aca="false">IF(E4366="","",IFERROR(IF(ISNUMBER(SEARCH(Assumptions!$C$5,E4366)),Assumptions!$D$5,IF(ISNUMBER(SEARCH(Assumptions!$C$6,E4366)),Assumptions!$D$6,IF(ISNUMBER(SEARCH(Assumptions!$C$7,E4366)),Assumptions!$D$7,"Other Services"))),"Other Services"))</f>
        <v/>
      </c>
    </row>
    <row r="4367" customFormat="false" ht="15" hidden="false" customHeight="false" outlineLevel="0" collapsed="false">
      <c r="G4367" s="41" t="str">
        <f aca="false">IF(E4367="","",IFERROR(IF(ISNUMBER(SEARCH(Assumptions!$C$5,E4367)),Assumptions!$D$5,IF(ISNUMBER(SEARCH(Assumptions!$C$6,E4367)),Assumptions!$D$6,IF(ISNUMBER(SEARCH(Assumptions!$C$7,E4367)),Assumptions!$D$7,"Other Services"))),"Other Services"))</f>
        <v/>
      </c>
    </row>
    <row r="4368" customFormat="false" ht="15" hidden="false" customHeight="false" outlineLevel="0" collapsed="false">
      <c r="G4368" s="41" t="str">
        <f aca="false">IF(E4368="","",IFERROR(IF(ISNUMBER(SEARCH(Assumptions!$C$5,E4368)),Assumptions!$D$5,IF(ISNUMBER(SEARCH(Assumptions!$C$6,E4368)),Assumptions!$D$6,IF(ISNUMBER(SEARCH(Assumptions!$C$7,E4368)),Assumptions!$D$7,"Other Services"))),"Other Services"))</f>
        <v/>
      </c>
    </row>
    <row r="4369" customFormat="false" ht="15" hidden="false" customHeight="false" outlineLevel="0" collapsed="false">
      <c r="G4369" s="41" t="str">
        <f aca="false">IF(E4369="","",IFERROR(IF(ISNUMBER(SEARCH(Assumptions!$C$5,E4369)),Assumptions!$D$5,IF(ISNUMBER(SEARCH(Assumptions!$C$6,E4369)),Assumptions!$D$6,IF(ISNUMBER(SEARCH(Assumptions!$C$7,E4369)),Assumptions!$D$7,"Other Services"))),"Other Services"))</f>
        <v/>
      </c>
    </row>
    <row r="4370" customFormat="false" ht="15" hidden="false" customHeight="false" outlineLevel="0" collapsed="false">
      <c r="G4370" s="41" t="str">
        <f aca="false">IF(E4370="","",IFERROR(IF(ISNUMBER(SEARCH(Assumptions!$C$5,E4370)),Assumptions!$D$5,IF(ISNUMBER(SEARCH(Assumptions!$C$6,E4370)),Assumptions!$D$6,IF(ISNUMBER(SEARCH(Assumptions!$C$7,E4370)),Assumptions!$D$7,"Other Services"))),"Other Services"))</f>
        <v/>
      </c>
    </row>
    <row r="4371" customFormat="false" ht="15" hidden="false" customHeight="false" outlineLevel="0" collapsed="false">
      <c r="G4371" s="41" t="str">
        <f aca="false">IF(E4371="","",IFERROR(IF(ISNUMBER(SEARCH(Assumptions!$C$5,E4371)),Assumptions!$D$5,IF(ISNUMBER(SEARCH(Assumptions!$C$6,E4371)),Assumptions!$D$6,IF(ISNUMBER(SEARCH(Assumptions!$C$7,E4371)),Assumptions!$D$7,"Other Services"))),"Other Services"))</f>
        <v/>
      </c>
    </row>
    <row r="4372" customFormat="false" ht="15" hidden="false" customHeight="false" outlineLevel="0" collapsed="false">
      <c r="G4372" s="41" t="str">
        <f aca="false">IF(E4372="","",IFERROR(IF(ISNUMBER(SEARCH(Assumptions!$C$5,E4372)),Assumptions!$D$5,IF(ISNUMBER(SEARCH(Assumptions!$C$6,E4372)),Assumptions!$D$6,IF(ISNUMBER(SEARCH(Assumptions!$C$7,E4372)),Assumptions!$D$7,"Other Services"))),"Other Services"))</f>
        <v/>
      </c>
    </row>
    <row r="4373" customFormat="false" ht="15" hidden="false" customHeight="false" outlineLevel="0" collapsed="false">
      <c r="G4373" s="41" t="str">
        <f aca="false">IF(E4373="","",IFERROR(IF(ISNUMBER(SEARCH(Assumptions!$C$5,E4373)),Assumptions!$D$5,IF(ISNUMBER(SEARCH(Assumptions!$C$6,E4373)),Assumptions!$D$6,IF(ISNUMBER(SEARCH(Assumptions!$C$7,E4373)),Assumptions!$D$7,"Other Services"))),"Other Services"))</f>
        <v/>
      </c>
    </row>
    <row r="4374" customFormat="false" ht="15" hidden="false" customHeight="false" outlineLevel="0" collapsed="false">
      <c r="G4374" s="41" t="str">
        <f aca="false">IF(E4374="","",IFERROR(IF(ISNUMBER(SEARCH(Assumptions!$C$5,E4374)),Assumptions!$D$5,IF(ISNUMBER(SEARCH(Assumptions!$C$6,E4374)),Assumptions!$D$6,IF(ISNUMBER(SEARCH(Assumptions!$C$7,E4374)),Assumptions!$D$7,"Other Services"))),"Other Services"))</f>
        <v/>
      </c>
    </row>
    <row r="4375" customFormat="false" ht="15" hidden="false" customHeight="false" outlineLevel="0" collapsed="false">
      <c r="G4375" s="41" t="str">
        <f aca="false">IF(E4375="","",IFERROR(IF(ISNUMBER(SEARCH(Assumptions!$C$5,E4375)),Assumptions!$D$5,IF(ISNUMBER(SEARCH(Assumptions!$C$6,E4375)),Assumptions!$D$6,IF(ISNUMBER(SEARCH(Assumptions!$C$7,E4375)),Assumptions!$D$7,"Other Services"))),"Other Services"))</f>
        <v/>
      </c>
    </row>
    <row r="4376" customFormat="false" ht="15" hidden="false" customHeight="false" outlineLevel="0" collapsed="false">
      <c r="G4376" s="41" t="str">
        <f aca="false">IF(E4376="","",IFERROR(IF(ISNUMBER(SEARCH(Assumptions!$C$5,E4376)),Assumptions!$D$5,IF(ISNUMBER(SEARCH(Assumptions!$C$6,E4376)),Assumptions!$D$6,IF(ISNUMBER(SEARCH(Assumptions!$C$7,E4376)),Assumptions!$D$7,"Other Services"))),"Other Services"))</f>
        <v/>
      </c>
    </row>
    <row r="4377" customFormat="false" ht="15" hidden="false" customHeight="false" outlineLevel="0" collapsed="false">
      <c r="G4377" s="41" t="str">
        <f aca="false">IF(E4377="","",IFERROR(IF(ISNUMBER(SEARCH(Assumptions!$C$5,E4377)),Assumptions!$D$5,IF(ISNUMBER(SEARCH(Assumptions!$C$6,E4377)),Assumptions!$D$6,IF(ISNUMBER(SEARCH(Assumptions!$C$7,E4377)),Assumptions!$D$7,"Other Services"))),"Other Services"))</f>
        <v/>
      </c>
    </row>
    <row r="4378" customFormat="false" ht="15" hidden="false" customHeight="false" outlineLevel="0" collapsed="false">
      <c r="G4378" s="41" t="str">
        <f aca="false">IF(E4378="","",IFERROR(IF(ISNUMBER(SEARCH(Assumptions!$C$5,E4378)),Assumptions!$D$5,IF(ISNUMBER(SEARCH(Assumptions!$C$6,E4378)),Assumptions!$D$6,IF(ISNUMBER(SEARCH(Assumptions!$C$7,E4378)),Assumptions!$D$7,"Other Services"))),"Other Services"))</f>
        <v/>
      </c>
    </row>
    <row r="4379" customFormat="false" ht="15" hidden="false" customHeight="false" outlineLevel="0" collapsed="false">
      <c r="G4379" s="41" t="str">
        <f aca="false">IF(E4379="","",IFERROR(IF(ISNUMBER(SEARCH(Assumptions!$C$5,E4379)),Assumptions!$D$5,IF(ISNUMBER(SEARCH(Assumptions!$C$6,E4379)),Assumptions!$D$6,IF(ISNUMBER(SEARCH(Assumptions!$C$7,E4379)),Assumptions!$D$7,"Other Services"))),"Other Services"))</f>
        <v/>
      </c>
    </row>
    <row r="4380" customFormat="false" ht="15" hidden="false" customHeight="false" outlineLevel="0" collapsed="false">
      <c r="G4380" s="41" t="str">
        <f aca="false">IF(E4380="","",IFERROR(IF(ISNUMBER(SEARCH(Assumptions!$C$5,E4380)),Assumptions!$D$5,IF(ISNUMBER(SEARCH(Assumptions!$C$6,E4380)),Assumptions!$D$6,IF(ISNUMBER(SEARCH(Assumptions!$C$7,E4380)),Assumptions!$D$7,"Other Services"))),"Other Services"))</f>
        <v/>
      </c>
    </row>
    <row r="4381" customFormat="false" ht="15" hidden="false" customHeight="false" outlineLevel="0" collapsed="false">
      <c r="G4381" s="41" t="str">
        <f aca="false">IF(E4381="","",IFERROR(IF(ISNUMBER(SEARCH(Assumptions!$C$5,E4381)),Assumptions!$D$5,IF(ISNUMBER(SEARCH(Assumptions!$C$6,E4381)),Assumptions!$D$6,IF(ISNUMBER(SEARCH(Assumptions!$C$7,E4381)),Assumptions!$D$7,"Other Services"))),"Other Services"))</f>
        <v/>
      </c>
    </row>
    <row r="4382" customFormat="false" ht="15" hidden="false" customHeight="false" outlineLevel="0" collapsed="false">
      <c r="G4382" s="41" t="str">
        <f aca="false">IF(E4382="","",IFERROR(IF(ISNUMBER(SEARCH(Assumptions!$C$5,E4382)),Assumptions!$D$5,IF(ISNUMBER(SEARCH(Assumptions!$C$6,E4382)),Assumptions!$D$6,IF(ISNUMBER(SEARCH(Assumptions!$C$7,E4382)),Assumptions!$D$7,"Other Services"))),"Other Services"))</f>
        <v/>
      </c>
    </row>
    <row r="4383" customFormat="false" ht="15" hidden="false" customHeight="false" outlineLevel="0" collapsed="false">
      <c r="G4383" s="41" t="str">
        <f aca="false">IF(E4383="","",IFERROR(IF(ISNUMBER(SEARCH(Assumptions!$C$5,E4383)),Assumptions!$D$5,IF(ISNUMBER(SEARCH(Assumptions!$C$6,E4383)),Assumptions!$D$6,IF(ISNUMBER(SEARCH(Assumptions!$C$7,E4383)),Assumptions!$D$7,"Other Services"))),"Other Services"))</f>
        <v/>
      </c>
    </row>
    <row r="4384" customFormat="false" ht="15" hidden="false" customHeight="false" outlineLevel="0" collapsed="false">
      <c r="G4384" s="41" t="str">
        <f aca="false">IF(E4384="","",IFERROR(IF(ISNUMBER(SEARCH(Assumptions!$C$5,E4384)),Assumptions!$D$5,IF(ISNUMBER(SEARCH(Assumptions!$C$6,E4384)),Assumptions!$D$6,IF(ISNUMBER(SEARCH(Assumptions!$C$7,E4384)),Assumptions!$D$7,"Other Services"))),"Other Services"))</f>
        <v/>
      </c>
    </row>
    <row r="4385" customFormat="false" ht="15" hidden="false" customHeight="false" outlineLevel="0" collapsed="false">
      <c r="G4385" s="41" t="str">
        <f aca="false">IF(E4385="","",IFERROR(IF(ISNUMBER(SEARCH(Assumptions!$C$5,E4385)),Assumptions!$D$5,IF(ISNUMBER(SEARCH(Assumptions!$C$6,E4385)),Assumptions!$D$6,IF(ISNUMBER(SEARCH(Assumptions!$C$7,E4385)),Assumptions!$D$7,"Other Services"))),"Other Services"))</f>
        <v/>
      </c>
    </row>
    <row r="4386" customFormat="false" ht="15" hidden="false" customHeight="false" outlineLevel="0" collapsed="false">
      <c r="G4386" s="41" t="str">
        <f aca="false">IF(E4386="","",IFERROR(IF(ISNUMBER(SEARCH(Assumptions!$C$5,E4386)),Assumptions!$D$5,IF(ISNUMBER(SEARCH(Assumptions!$C$6,E4386)),Assumptions!$D$6,IF(ISNUMBER(SEARCH(Assumptions!$C$7,E4386)),Assumptions!$D$7,"Other Services"))),"Other Services"))</f>
        <v/>
      </c>
    </row>
    <row r="4387" customFormat="false" ht="15" hidden="false" customHeight="false" outlineLevel="0" collapsed="false">
      <c r="G4387" s="41" t="str">
        <f aca="false">IF(E4387="","",IFERROR(IF(ISNUMBER(SEARCH(Assumptions!$C$5,E4387)),Assumptions!$D$5,IF(ISNUMBER(SEARCH(Assumptions!$C$6,E4387)),Assumptions!$D$6,IF(ISNUMBER(SEARCH(Assumptions!$C$7,E4387)),Assumptions!$D$7,"Other Services"))),"Other Services"))</f>
        <v/>
      </c>
    </row>
    <row r="4388" customFormat="false" ht="15" hidden="false" customHeight="false" outlineLevel="0" collapsed="false">
      <c r="G4388" s="41" t="str">
        <f aca="false">IF(E4388="","",IFERROR(IF(ISNUMBER(SEARCH(Assumptions!$C$5,E4388)),Assumptions!$D$5,IF(ISNUMBER(SEARCH(Assumptions!$C$6,E4388)),Assumptions!$D$6,IF(ISNUMBER(SEARCH(Assumptions!$C$7,E4388)),Assumptions!$D$7,"Other Services"))),"Other Services"))</f>
        <v/>
      </c>
    </row>
    <row r="4389" customFormat="false" ht="15" hidden="false" customHeight="false" outlineLevel="0" collapsed="false">
      <c r="G4389" s="41" t="str">
        <f aca="false">IF(E4389="","",IFERROR(IF(ISNUMBER(SEARCH(Assumptions!$C$5,E4389)),Assumptions!$D$5,IF(ISNUMBER(SEARCH(Assumptions!$C$6,E4389)),Assumptions!$D$6,IF(ISNUMBER(SEARCH(Assumptions!$C$7,E4389)),Assumptions!$D$7,"Other Services"))),"Other Services"))</f>
        <v/>
      </c>
    </row>
    <row r="4390" customFormat="false" ht="15" hidden="false" customHeight="false" outlineLevel="0" collapsed="false">
      <c r="G4390" s="41" t="str">
        <f aca="false">IF(E4390="","",IFERROR(IF(ISNUMBER(SEARCH(Assumptions!$C$5,E4390)),Assumptions!$D$5,IF(ISNUMBER(SEARCH(Assumptions!$C$6,E4390)),Assumptions!$D$6,IF(ISNUMBER(SEARCH(Assumptions!$C$7,E4390)),Assumptions!$D$7,"Other Services"))),"Other Services"))</f>
        <v/>
      </c>
    </row>
    <row r="4391" customFormat="false" ht="15" hidden="false" customHeight="false" outlineLevel="0" collapsed="false">
      <c r="G4391" s="41" t="str">
        <f aca="false">IF(E4391="","",IFERROR(IF(ISNUMBER(SEARCH(Assumptions!$C$5,E4391)),Assumptions!$D$5,IF(ISNUMBER(SEARCH(Assumptions!$C$6,E4391)),Assumptions!$D$6,IF(ISNUMBER(SEARCH(Assumptions!$C$7,E4391)),Assumptions!$D$7,"Other Services"))),"Other Services"))</f>
        <v/>
      </c>
    </row>
    <row r="4392" customFormat="false" ht="15" hidden="false" customHeight="false" outlineLevel="0" collapsed="false">
      <c r="G4392" s="41" t="str">
        <f aca="false">IF(E4392="","",IFERROR(IF(ISNUMBER(SEARCH(Assumptions!$C$5,E4392)),Assumptions!$D$5,IF(ISNUMBER(SEARCH(Assumptions!$C$6,E4392)),Assumptions!$D$6,IF(ISNUMBER(SEARCH(Assumptions!$C$7,E4392)),Assumptions!$D$7,"Other Services"))),"Other Services"))</f>
        <v/>
      </c>
    </row>
    <row r="4393" customFormat="false" ht="15" hidden="false" customHeight="false" outlineLevel="0" collapsed="false">
      <c r="G4393" s="41" t="str">
        <f aca="false">IF(E4393="","",IFERROR(IF(ISNUMBER(SEARCH(Assumptions!$C$5,E4393)),Assumptions!$D$5,IF(ISNUMBER(SEARCH(Assumptions!$C$6,E4393)),Assumptions!$D$6,IF(ISNUMBER(SEARCH(Assumptions!$C$7,E4393)),Assumptions!$D$7,"Other Services"))),"Other Services"))</f>
        <v/>
      </c>
    </row>
    <row r="4394" customFormat="false" ht="15" hidden="false" customHeight="false" outlineLevel="0" collapsed="false">
      <c r="G4394" s="41" t="str">
        <f aca="false">IF(E4394="","",IFERROR(IF(ISNUMBER(SEARCH(Assumptions!$C$5,E4394)),Assumptions!$D$5,IF(ISNUMBER(SEARCH(Assumptions!$C$6,E4394)),Assumptions!$D$6,IF(ISNUMBER(SEARCH(Assumptions!$C$7,E4394)),Assumptions!$D$7,"Other Services"))),"Other Services"))</f>
        <v/>
      </c>
    </row>
    <row r="4395" customFormat="false" ht="15" hidden="false" customHeight="false" outlineLevel="0" collapsed="false">
      <c r="G4395" s="41" t="str">
        <f aca="false">IF(E4395="","",IFERROR(IF(ISNUMBER(SEARCH(Assumptions!$C$5,E4395)),Assumptions!$D$5,IF(ISNUMBER(SEARCH(Assumptions!$C$6,E4395)),Assumptions!$D$6,IF(ISNUMBER(SEARCH(Assumptions!$C$7,E4395)),Assumptions!$D$7,"Other Services"))),"Other Services"))</f>
        <v/>
      </c>
    </row>
    <row r="4396" customFormat="false" ht="15" hidden="false" customHeight="false" outlineLevel="0" collapsed="false">
      <c r="G4396" s="41" t="str">
        <f aca="false">IF(E4396="","",IFERROR(IF(ISNUMBER(SEARCH(Assumptions!$C$5,E4396)),Assumptions!$D$5,IF(ISNUMBER(SEARCH(Assumptions!$C$6,E4396)),Assumptions!$D$6,IF(ISNUMBER(SEARCH(Assumptions!$C$7,E4396)),Assumptions!$D$7,"Other Services"))),"Other Services"))</f>
        <v/>
      </c>
    </row>
    <row r="4397" customFormat="false" ht="15" hidden="false" customHeight="false" outlineLevel="0" collapsed="false">
      <c r="G4397" s="41" t="str">
        <f aca="false">IF(E4397="","",IFERROR(IF(ISNUMBER(SEARCH(Assumptions!$C$5,E4397)),Assumptions!$D$5,IF(ISNUMBER(SEARCH(Assumptions!$C$6,E4397)),Assumptions!$D$6,IF(ISNUMBER(SEARCH(Assumptions!$C$7,E4397)),Assumptions!$D$7,"Other Services"))),"Other Services"))</f>
        <v/>
      </c>
    </row>
    <row r="4398" customFormat="false" ht="15" hidden="false" customHeight="false" outlineLevel="0" collapsed="false">
      <c r="G4398" s="41" t="str">
        <f aca="false">IF(E4398="","",IFERROR(IF(ISNUMBER(SEARCH(Assumptions!$C$5,E4398)),Assumptions!$D$5,IF(ISNUMBER(SEARCH(Assumptions!$C$6,E4398)),Assumptions!$D$6,IF(ISNUMBER(SEARCH(Assumptions!$C$7,E4398)),Assumptions!$D$7,"Other Services"))),"Other Services"))</f>
        <v/>
      </c>
    </row>
    <row r="4399" customFormat="false" ht="15" hidden="false" customHeight="false" outlineLevel="0" collapsed="false">
      <c r="G4399" s="41" t="str">
        <f aca="false">IF(E4399="","",IFERROR(IF(ISNUMBER(SEARCH(Assumptions!$C$5,E4399)),Assumptions!$D$5,IF(ISNUMBER(SEARCH(Assumptions!$C$6,E4399)),Assumptions!$D$6,IF(ISNUMBER(SEARCH(Assumptions!$C$7,E4399)),Assumptions!$D$7,"Other Services"))),"Other Services"))</f>
        <v/>
      </c>
    </row>
    <row r="4400" customFormat="false" ht="15" hidden="false" customHeight="false" outlineLevel="0" collapsed="false">
      <c r="G4400" s="41" t="str">
        <f aca="false">IF(E4400="","",IFERROR(IF(ISNUMBER(SEARCH(Assumptions!$C$5,E4400)),Assumptions!$D$5,IF(ISNUMBER(SEARCH(Assumptions!$C$6,E4400)),Assumptions!$D$6,IF(ISNUMBER(SEARCH(Assumptions!$C$7,E4400)),Assumptions!$D$7,"Other Services"))),"Other Services"))</f>
        <v/>
      </c>
    </row>
    <row r="4401" customFormat="false" ht="15" hidden="false" customHeight="false" outlineLevel="0" collapsed="false">
      <c r="G4401" s="41" t="str">
        <f aca="false">IF(E4401="","",IFERROR(IF(ISNUMBER(SEARCH(Assumptions!$C$5,E4401)),Assumptions!$D$5,IF(ISNUMBER(SEARCH(Assumptions!$C$6,E4401)),Assumptions!$D$6,IF(ISNUMBER(SEARCH(Assumptions!$C$7,E4401)),Assumptions!$D$7,"Other Services"))),"Other Services"))</f>
        <v/>
      </c>
    </row>
    <row r="4402" customFormat="false" ht="15" hidden="false" customHeight="false" outlineLevel="0" collapsed="false">
      <c r="G4402" s="41" t="str">
        <f aca="false">IF(E4402="","",IFERROR(IF(ISNUMBER(SEARCH(Assumptions!$C$5,E4402)),Assumptions!$D$5,IF(ISNUMBER(SEARCH(Assumptions!$C$6,E4402)),Assumptions!$D$6,IF(ISNUMBER(SEARCH(Assumptions!$C$7,E4402)),Assumptions!$D$7,"Other Services"))),"Other Services"))</f>
        <v/>
      </c>
    </row>
    <row r="4403" customFormat="false" ht="15" hidden="false" customHeight="false" outlineLevel="0" collapsed="false">
      <c r="G4403" s="41" t="str">
        <f aca="false">IF(E4403="","",IFERROR(IF(ISNUMBER(SEARCH(Assumptions!$C$5,E4403)),Assumptions!$D$5,IF(ISNUMBER(SEARCH(Assumptions!$C$6,E4403)),Assumptions!$D$6,IF(ISNUMBER(SEARCH(Assumptions!$C$7,E4403)),Assumptions!$D$7,"Other Services"))),"Other Services"))</f>
        <v/>
      </c>
    </row>
    <row r="4404" customFormat="false" ht="15" hidden="false" customHeight="false" outlineLevel="0" collapsed="false">
      <c r="G4404" s="41" t="str">
        <f aca="false">IF(E4404="","",IFERROR(IF(ISNUMBER(SEARCH(Assumptions!$C$5,E4404)),Assumptions!$D$5,IF(ISNUMBER(SEARCH(Assumptions!$C$6,E4404)),Assumptions!$D$6,IF(ISNUMBER(SEARCH(Assumptions!$C$7,E4404)),Assumptions!$D$7,"Other Services"))),"Other Services"))</f>
        <v/>
      </c>
    </row>
    <row r="4405" customFormat="false" ht="15" hidden="false" customHeight="false" outlineLevel="0" collapsed="false">
      <c r="G4405" s="41" t="str">
        <f aca="false">IF(E4405="","",IFERROR(IF(ISNUMBER(SEARCH(Assumptions!$C$5,E4405)),Assumptions!$D$5,IF(ISNUMBER(SEARCH(Assumptions!$C$6,E4405)),Assumptions!$D$6,IF(ISNUMBER(SEARCH(Assumptions!$C$7,E4405)),Assumptions!$D$7,"Other Services"))),"Other Services"))</f>
        <v/>
      </c>
    </row>
    <row r="4406" customFormat="false" ht="15" hidden="false" customHeight="false" outlineLevel="0" collapsed="false">
      <c r="G4406" s="41" t="str">
        <f aca="false">IF(E4406="","",IFERROR(IF(ISNUMBER(SEARCH(Assumptions!$C$5,E4406)),Assumptions!$D$5,IF(ISNUMBER(SEARCH(Assumptions!$C$6,E4406)),Assumptions!$D$6,IF(ISNUMBER(SEARCH(Assumptions!$C$7,E4406)),Assumptions!$D$7,"Other Services"))),"Other Services"))</f>
        <v/>
      </c>
    </row>
    <row r="4407" customFormat="false" ht="15" hidden="false" customHeight="false" outlineLevel="0" collapsed="false">
      <c r="G4407" s="41" t="str">
        <f aca="false">IF(E4407="","",IFERROR(IF(ISNUMBER(SEARCH(Assumptions!$C$5,E4407)),Assumptions!$D$5,IF(ISNUMBER(SEARCH(Assumptions!$C$6,E4407)),Assumptions!$D$6,IF(ISNUMBER(SEARCH(Assumptions!$C$7,E4407)),Assumptions!$D$7,"Other Services"))),"Other Services"))</f>
        <v/>
      </c>
    </row>
    <row r="4408" customFormat="false" ht="15" hidden="false" customHeight="false" outlineLevel="0" collapsed="false">
      <c r="G4408" s="41" t="str">
        <f aca="false">IF(E4408="","",IFERROR(IF(ISNUMBER(SEARCH(Assumptions!$C$5,E4408)),Assumptions!$D$5,IF(ISNUMBER(SEARCH(Assumptions!$C$6,E4408)),Assumptions!$D$6,IF(ISNUMBER(SEARCH(Assumptions!$C$7,E4408)),Assumptions!$D$7,"Other Services"))),"Other Services"))</f>
        <v/>
      </c>
    </row>
    <row r="4409" customFormat="false" ht="15" hidden="false" customHeight="false" outlineLevel="0" collapsed="false">
      <c r="G4409" s="41" t="str">
        <f aca="false">IF(E4409="","",IFERROR(IF(ISNUMBER(SEARCH(Assumptions!$C$5,E4409)),Assumptions!$D$5,IF(ISNUMBER(SEARCH(Assumptions!$C$6,E4409)),Assumptions!$D$6,IF(ISNUMBER(SEARCH(Assumptions!$C$7,E4409)),Assumptions!$D$7,"Other Services"))),"Other Services"))</f>
        <v/>
      </c>
    </row>
    <row r="4410" customFormat="false" ht="15" hidden="false" customHeight="false" outlineLevel="0" collapsed="false">
      <c r="G4410" s="41" t="str">
        <f aca="false">IF(E4410="","",IFERROR(IF(ISNUMBER(SEARCH(Assumptions!$C$5,E4410)),Assumptions!$D$5,IF(ISNUMBER(SEARCH(Assumptions!$C$6,E4410)),Assumptions!$D$6,IF(ISNUMBER(SEARCH(Assumptions!$C$7,E4410)),Assumptions!$D$7,"Other Services"))),"Other Services"))</f>
        <v/>
      </c>
    </row>
    <row r="4411" customFormat="false" ht="15" hidden="false" customHeight="false" outlineLevel="0" collapsed="false">
      <c r="G4411" s="41" t="str">
        <f aca="false">IF(E4411="","",IFERROR(IF(ISNUMBER(SEARCH(Assumptions!$C$5,E4411)),Assumptions!$D$5,IF(ISNUMBER(SEARCH(Assumptions!$C$6,E4411)),Assumptions!$D$6,IF(ISNUMBER(SEARCH(Assumptions!$C$7,E4411)),Assumptions!$D$7,"Other Services"))),"Other Services"))</f>
        <v/>
      </c>
    </row>
    <row r="4412" customFormat="false" ht="15" hidden="false" customHeight="false" outlineLevel="0" collapsed="false">
      <c r="G4412" s="41" t="str">
        <f aca="false">IF(E4412="","",IFERROR(IF(ISNUMBER(SEARCH(Assumptions!$C$5,E4412)),Assumptions!$D$5,IF(ISNUMBER(SEARCH(Assumptions!$C$6,E4412)),Assumptions!$D$6,IF(ISNUMBER(SEARCH(Assumptions!$C$7,E4412)),Assumptions!$D$7,"Other Services"))),"Other Services"))</f>
        <v/>
      </c>
    </row>
    <row r="4413" customFormat="false" ht="15" hidden="false" customHeight="false" outlineLevel="0" collapsed="false">
      <c r="G4413" s="41" t="str">
        <f aca="false">IF(E4413="","",IFERROR(IF(ISNUMBER(SEARCH(Assumptions!$C$5,E4413)),Assumptions!$D$5,IF(ISNUMBER(SEARCH(Assumptions!$C$6,E4413)),Assumptions!$D$6,IF(ISNUMBER(SEARCH(Assumptions!$C$7,E4413)),Assumptions!$D$7,"Other Services"))),"Other Services"))</f>
        <v/>
      </c>
    </row>
    <row r="4414" customFormat="false" ht="15" hidden="false" customHeight="false" outlineLevel="0" collapsed="false">
      <c r="G4414" s="41" t="str">
        <f aca="false">IF(E4414="","",IFERROR(IF(ISNUMBER(SEARCH(Assumptions!$C$5,E4414)),Assumptions!$D$5,IF(ISNUMBER(SEARCH(Assumptions!$C$6,E4414)),Assumptions!$D$6,IF(ISNUMBER(SEARCH(Assumptions!$C$7,E4414)),Assumptions!$D$7,"Other Services"))),"Other Services"))</f>
        <v/>
      </c>
    </row>
    <row r="4415" customFormat="false" ht="15" hidden="false" customHeight="false" outlineLevel="0" collapsed="false">
      <c r="G4415" s="41" t="str">
        <f aca="false">IF(E4415="","",IFERROR(IF(ISNUMBER(SEARCH(Assumptions!$C$5,E4415)),Assumptions!$D$5,IF(ISNUMBER(SEARCH(Assumptions!$C$6,E4415)),Assumptions!$D$6,IF(ISNUMBER(SEARCH(Assumptions!$C$7,E4415)),Assumptions!$D$7,"Other Services"))),"Other Services"))</f>
        <v/>
      </c>
    </row>
    <row r="4416" customFormat="false" ht="15" hidden="false" customHeight="false" outlineLevel="0" collapsed="false">
      <c r="G4416" s="41" t="str">
        <f aca="false">IF(E4416="","",IFERROR(IF(ISNUMBER(SEARCH(Assumptions!$C$5,E4416)),Assumptions!$D$5,IF(ISNUMBER(SEARCH(Assumptions!$C$6,E4416)),Assumptions!$D$6,IF(ISNUMBER(SEARCH(Assumptions!$C$7,E4416)),Assumptions!$D$7,"Other Services"))),"Other Services"))</f>
        <v/>
      </c>
    </row>
    <row r="4417" customFormat="false" ht="15" hidden="false" customHeight="false" outlineLevel="0" collapsed="false">
      <c r="G4417" s="41" t="str">
        <f aca="false">IF(E4417="","",IFERROR(IF(ISNUMBER(SEARCH(Assumptions!$C$5,E4417)),Assumptions!$D$5,IF(ISNUMBER(SEARCH(Assumptions!$C$6,E4417)),Assumptions!$D$6,IF(ISNUMBER(SEARCH(Assumptions!$C$7,E4417)),Assumptions!$D$7,"Other Services"))),"Other Services"))</f>
        <v/>
      </c>
    </row>
    <row r="4418" customFormat="false" ht="15" hidden="false" customHeight="false" outlineLevel="0" collapsed="false">
      <c r="G4418" s="41" t="str">
        <f aca="false">IF(E4418="","",IFERROR(IF(ISNUMBER(SEARCH(Assumptions!$C$5,E4418)),Assumptions!$D$5,IF(ISNUMBER(SEARCH(Assumptions!$C$6,E4418)),Assumptions!$D$6,IF(ISNUMBER(SEARCH(Assumptions!$C$7,E4418)),Assumptions!$D$7,"Other Services"))),"Other Services"))</f>
        <v/>
      </c>
    </row>
    <row r="4419" customFormat="false" ht="15" hidden="false" customHeight="false" outlineLevel="0" collapsed="false">
      <c r="G4419" s="41" t="str">
        <f aca="false">IF(E4419="","",IFERROR(IF(ISNUMBER(SEARCH(Assumptions!$C$5,E4419)),Assumptions!$D$5,IF(ISNUMBER(SEARCH(Assumptions!$C$6,E4419)),Assumptions!$D$6,IF(ISNUMBER(SEARCH(Assumptions!$C$7,E4419)),Assumptions!$D$7,"Other Services"))),"Other Services"))</f>
        <v/>
      </c>
    </row>
    <row r="4420" customFormat="false" ht="15" hidden="false" customHeight="false" outlineLevel="0" collapsed="false">
      <c r="G4420" s="41" t="str">
        <f aca="false">IF(E4420="","",IFERROR(IF(ISNUMBER(SEARCH(Assumptions!$C$5,E4420)),Assumptions!$D$5,IF(ISNUMBER(SEARCH(Assumptions!$C$6,E4420)),Assumptions!$D$6,IF(ISNUMBER(SEARCH(Assumptions!$C$7,E4420)),Assumptions!$D$7,"Other Services"))),"Other Services"))</f>
        <v/>
      </c>
    </row>
    <row r="4421" customFormat="false" ht="15" hidden="false" customHeight="false" outlineLevel="0" collapsed="false">
      <c r="G4421" s="41" t="str">
        <f aca="false">IF(E4421="","",IFERROR(IF(ISNUMBER(SEARCH(Assumptions!$C$5,E4421)),Assumptions!$D$5,IF(ISNUMBER(SEARCH(Assumptions!$C$6,E4421)),Assumptions!$D$6,IF(ISNUMBER(SEARCH(Assumptions!$C$7,E4421)),Assumptions!$D$7,"Other Services"))),"Other Services"))</f>
        <v/>
      </c>
    </row>
    <row r="4422" customFormat="false" ht="15" hidden="false" customHeight="false" outlineLevel="0" collapsed="false">
      <c r="G4422" s="41" t="str">
        <f aca="false">IF(E4422="","",IFERROR(IF(ISNUMBER(SEARCH(Assumptions!$C$5,E4422)),Assumptions!$D$5,IF(ISNUMBER(SEARCH(Assumptions!$C$6,E4422)),Assumptions!$D$6,IF(ISNUMBER(SEARCH(Assumptions!$C$7,E4422)),Assumptions!$D$7,"Other Services"))),"Other Services"))</f>
        <v/>
      </c>
    </row>
    <row r="4423" customFormat="false" ht="15" hidden="false" customHeight="false" outlineLevel="0" collapsed="false">
      <c r="G4423" s="41" t="str">
        <f aca="false">IF(E4423="","",IFERROR(IF(ISNUMBER(SEARCH(Assumptions!$C$5,E4423)),Assumptions!$D$5,IF(ISNUMBER(SEARCH(Assumptions!$C$6,E4423)),Assumptions!$D$6,IF(ISNUMBER(SEARCH(Assumptions!$C$7,E4423)),Assumptions!$D$7,"Other Services"))),"Other Services"))</f>
        <v/>
      </c>
    </row>
    <row r="4424" customFormat="false" ht="15" hidden="false" customHeight="false" outlineLevel="0" collapsed="false">
      <c r="G4424" s="41" t="str">
        <f aca="false">IF(E4424="","",IFERROR(IF(ISNUMBER(SEARCH(Assumptions!$C$5,E4424)),Assumptions!$D$5,IF(ISNUMBER(SEARCH(Assumptions!$C$6,E4424)),Assumptions!$D$6,IF(ISNUMBER(SEARCH(Assumptions!$C$7,E4424)),Assumptions!$D$7,"Other Services"))),"Other Services"))</f>
        <v/>
      </c>
    </row>
    <row r="4425" customFormat="false" ht="15" hidden="false" customHeight="false" outlineLevel="0" collapsed="false">
      <c r="G4425" s="41" t="str">
        <f aca="false">IF(E4425="","",IFERROR(IF(ISNUMBER(SEARCH(Assumptions!$C$5,E4425)),Assumptions!$D$5,IF(ISNUMBER(SEARCH(Assumptions!$C$6,E4425)),Assumptions!$D$6,IF(ISNUMBER(SEARCH(Assumptions!$C$7,E4425)),Assumptions!$D$7,"Other Services"))),"Other Services"))</f>
        <v/>
      </c>
    </row>
    <row r="4426" customFormat="false" ht="15" hidden="false" customHeight="false" outlineLevel="0" collapsed="false">
      <c r="G4426" s="41" t="str">
        <f aca="false">IF(E4426="","",IFERROR(IF(ISNUMBER(SEARCH(Assumptions!$C$5,E4426)),Assumptions!$D$5,IF(ISNUMBER(SEARCH(Assumptions!$C$6,E4426)),Assumptions!$D$6,IF(ISNUMBER(SEARCH(Assumptions!$C$7,E4426)),Assumptions!$D$7,"Other Services"))),"Other Services"))</f>
        <v/>
      </c>
    </row>
    <row r="4427" customFormat="false" ht="15" hidden="false" customHeight="false" outlineLevel="0" collapsed="false">
      <c r="G4427" s="41" t="str">
        <f aca="false">IF(E4427="","",IFERROR(IF(ISNUMBER(SEARCH(Assumptions!$C$5,E4427)),Assumptions!$D$5,IF(ISNUMBER(SEARCH(Assumptions!$C$6,E4427)),Assumptions!$D$6,IF(ISNUMBER(SEARCH(Assumptions!$C$7,E4427)),Assumptions!$D$7,"Other Services"))),"Other Services"))</f>
        <v/>
      </c>
    </row>
    <row r="4428" customFormat="false" ht="15" hidden="false" customHeight="false" outlineLevel="0" collapsed="false">
      <c r="G4428" s="41" t="str">
        <f aca="false">IF(E4428="","",IFERROR(IF(ISNUMBER(SEARCH(Assumptions!$C$5,E4428)),Assumptions!$D$5,IF(ISNUMBER(SEARCH(Assumptions!$C$6,E4428)),Assumptions!$D$6,IF(ISNUMBER(SEARCH(Assumptions!$C$7,E4428)),Assumptions!$D$7,"Other Services"))),"Other Services"))</f>
        <v/>
      </c>
    </row>
    <row r="4429" customFormat="false" ht="15" hidden="false" customHeight="false" outlineLevel="0" collapsed="false">
      <c r="G4429" s="41" t="str">
        <f aca="false">IF(E4429="","",IFERROR(IF(ISNUMBER(SEARCH(Assumptions!$C$5,E4429)),Assumptions!$D$5,IF(ISNUMBER(SEARCH(Assumptions!$C$6,E4429)),Assumptions!$D$6,IF(ISNUMBER(SEARCH(Assumptions!$C$7,E4429)),Assumptions!$D$7,"Other Services"))),"Other Services"))</f>
        <v/>
      </c>
    </row>
    <row r="4430" customFormat="false" ht="15" hidden="false" customHeight="false" outlineLevel="0" collapsed="false">
      <c r="G4430" s="41" t="str">
        <f aca="false">IF(E4430="","",IFERROR(IF(ISNUMBER(SEARCH(Assumptions!$C$5,E4430)),Assumptions!$D$5,IF(ISNUMBER(SEARCH(Assumptions!$C$6,E4430)),Assumptions!$D$6,IF(ISNUMBER(SEARCH(Assumptions!$C$7,E4430)),Assumptions!$D$7,"Other Services"))),"Other Services"))</f>
        <v/>
      </c>
    </row>
    <row r="4431" customFormat="false" ht="15" hidden="false" customHeight="false" outlineLevel="0" collapsed="false">
      <c r="G4431" s="41" t="str">
        <f aca="false">IF(E4431="","",IFERROR(IF(ISNUMBER(SEARCH(Assumptions!$C$5,E4431)),Assumptions!$D$5,IF(ISNUMBER(SEARCH(Assumptions!$C$6,E4431)),Assumptions!$D$6,IF(ISNUMBER(SEARCH(Assumptions!$C$7,E4431)),Assumptions!$D$7,"Other Services"))),"Other Services"))</f>
        <v/>
      </c>
    </row>
    <row r="4432" customFormat="false" ht="15" hidden="false" customHeight="false" outlineLevel="0" collapsed="false">
      <c r="G4432" s="41" t="str">
        <f aca="false">IF(E4432="","",IFERROR(IF(ISNUMBER(SEARCH(Assumptions!$C$5,E4432)),Assumptions!$D$5,IF(ISNUMBER(SEARCH(Assumptions!$C$6,E4432)),Assumptions!$D$6,IF(ISNUMBER(SEARCH(Assumptions!$C$7,E4432)),Assumptions!$D$7,"Other Services"))),"Other Services"))</f>
        <v/>
      </c>
    </row>
    <row r="4433" customFormat="false" ht="15" hidden="false" customHeight="false" outlineLevel="0" collapsed="false">
      <c r="G4433" s="41" t="str">
        <f aca="false">IF(E4433="","",IFERROR(IF(ISNUMBER(SEARCH(Assumptions!$C$5,E4433)),Assumptions!$D$5,IF(ISNUMBER(SEARCH(Assumptions!$C$6,E4433)),Assumptions!$D$6,IF(ISNUMBER(SEARCH(Assumptions!$C$7,E4433)),Assumptions!$D$7,"Other Services"))),"Other Services"))</f>
        <v/>
      </c>
    </row>
    <row r="4434" customFormat="false" ht="15" hidden="false" customHeight="false" outlineLevel="0" collapsed="false">
      <c r="G4434" s="41" t="str">
        <f aca="false">IF(E4434="","",IFERROR(IF(ISNUMBER(SEARCH(Assumptions!$C$5,E4434)),Assumptions!$D$5,IF(ISNUMBER(SEARCH(Assumptions!$C$6,E4434)),Assumptions!$D$6,IF(ISNUMBER(SEARCH(Assumptions!$C$7,E4434)),Assumptions!$D$7,"Other Services"))),"Other Services"))</f>
        <v/>
      </c>
    </row>
    <row r="4435" customFormat="false" ht="15" hidden="false" customHeight="false" outlineLevel="0" collapsed="false">
      <c r="G4435" s="41" t="str">
        <f aca="false">IF(E4435="","",IFERROR(IF(ISNUMBER(SEARCH(Assumptions!$C$5,E4435)),Assumptions!$D$5,IF(ISNUMBER(SEARCH(Assumptions!$C$6,E4435)),Assumptions!$D$6,IF(ISNUMBER(SEARCH(Assumptions!$C$7,E4435)),Assumptions!$D$7,"Other Services"))),"Other Services"))</f>
        <v/>
      </c>
    </row>
    <row r="4436" customFormat="false" ht="15" hidden="false" customHeight="false" outlineLevel="0" collapsed="false">
      <c r="G4436" s="41" t="str">
        <f aca="false">IF(E4436="","",IFERROR(IF(ISNUMBER(SEARCH(Assumptions!$C$5,E4436)),Assumptions!$D$5,IF(ISNUMBER(SEARCH(Assumptions!$C$6,E4436)),Assumptions!$D$6,IF(ISNUMBER(SEARCH(Assumptions!$C$7,E4436)),Assumptions!$D$7,"Other Services"))),"Other Services"))</f>
        <v/>
      </c>
    </row>
    <row r="4437" customFormat="false" ht="15" hidden="false" customHeight="false" outlineLevel="0" collapsed="false">
      <c r="G4437" s="41" t="str">
        <f aca="false">IF(E4437="","",IFERROR(IF(ISNUMBER(SEARCH(Assumptions!$C$5,E4437)),Assumptions!$D$5,IF(ISNUMBER(SEARCH(Assumptions!$C$6,E4437)),Assumptions!$D$6,IF(ISNUMBER(SEARCH(Assumptions!$C$7,E4437)),Assumptions!$D$7,"Other Services"))),"Other Services"))</f>
        <v/>
      </c>
    </row>
    <row r="4438" customFormat="false" ht="15" hidden="false" customHeight="false" outlineLevel="0" collapsed="false">
      <c r="G4438" s="41" t="str">
        <f aca="false">IF(E4438="","",IFERROR(IF(ISNUMBER(SEARCH(Assumptions!$C$5,E4438)),Assumptions!$D$5,IF(ISNUMBER(SEARCH(Assumptions!$C$6,E4438)),Assumptions!$D$6,IF(ISNUMBER(SEARCH(Assumptions!$C$7,E4438)),Assumptions!$D$7,"Other Services"))),"Other Services"))</f>
        <v/>
      </c>
    </row>
    <row r="4439" customFormat="false" ht="15" hidden="false" customHeight="false" outlineLevel="0" collapsed="false">
      <c r="G4439" s="41" t="str">
        <f aca="false">IF(E4439="","",IFERROR(IF(ISNUMBER(SEARCH(Assumptions!$C$5,E4439)),Assumptions!$D$5,IF(ISNUMBER(SEARCH(Assumptions!$C$6,E4439)),Assumptions!$D$6,IF(ISNUMBER(SEARCH(Assumptions!$C$7,E4439)),Assumptions!$D$7,"Other Services"))),"Other Services"))</f>
        <v/>
      </c>
    </row>
    <row r="4440" customFormat="false" ht="15" hidden="false" customHeight="false" outlineLevel="0" collapsed="false">
      <c r="G4440" s="41" t="str">
        <f aca="false">IF(E4440="","",IFERROR(IF(ISNUMBER(SEARCH(Assumptions!$C$5,E4440)),Assumptions!$D$5,IF(ISNUMBER(SEARCH(Assumptions!$C$6,E4440)),Assumptions!$D$6,IF(ISNUMBER(SEARCH(Assumptions!$C$7,E4440)),Assumptions!$D$7,"Other Services"))),"Other Services"))</f>
        <v/>
      </c>
    </row>
    <row r="4441" customFormat="false" ht="15" hidden="false" customHeight="false" outlineLevel="0" collapsed="false">
      <c r="G4441" s="41" t="str">
        <f aca="false">IF(E4441="","",IFERROR(IF(ISNUMBER(SEARCH(Assumptions!$C$5,E4441)),Assumptions!$D$5,IF(ISNUMBER(SEARCH(Assumptions!$C$6,E4441)),Assumptions!$D$6,IF(ISNUMBER(SEARCH(Assumptions!$C$7,E4441)),Assumptions!$D$7,"Other Services"))),"Other Services"))</f>
        <v/>
      </c>
    </row>
    <row r="4442" customFormat="false" ht="15" hidden="false" customHeight="false" outlineLevel="0" collapsed="false">
      <c r="G4442" s="41" t="str">
        <f aca="false">IF(E4442="","",IFERROR(IF(ISNUMBER(SEARCH(Assumptions!$C$5,E4442)),Assumptions!$D$5,IF(ISNUMBER(SEARCH(Assumptions!$C$6,E4442)),Assumptions!$D$6,IF(ISNUMBER(SEARCH(Assumptions!$C$7,E4442)),Assumptions!$D$7,"Other Services"))),"Other Services"))</f>
        <v/>
      </c>
    </row>
    <row r="4443" customFormat="false" ht="15" hidden="false" customHeight="false" outlineLevel="0" collapsed="false">
      <c r="G4443" s="41" t="str">
        <f aca="false">IF(E4443="","",IFERROR(IF(ISNUMBER(SEARCH(Assumptions!$C$5,E4443)),Assumptions!$D$5,IF(ISNUMBER(SEARCH(Assumptions!$C$6,E4443)),Assumptions!$D$6,IF(ISNUMBER(SEARCH(Assumptions!$C$7,E4443)),Assumptions!$D$7,"Other Services"))),"Other Services"))</f>
        <v/>
      </c>
    </row>
    <row r="4444" customFormat="false" ht="15" hidden="false" customHeight="false" outlineLevel="0" collapsed="false">
      <c r="G4444" s="41" t="str">
        <f aca="false">IF(E4444="","",IFERROR(IF(ISNUMBER(SEARCH(Assumptions!$C$5,E4444)),Assumptions!$D$5,IF(ISNUMBER(SEARCH(Assumptions!$C$6,E4444)),Assumptions!$D$6,IF(ISNUMBER(SEARCH(Assumptions!$C$7,E4444)),Assumptions!$D$7,"Other Services"))),"Other Services"))</f>
        <v/>
      </c>
    </row>
    <row r="4445" customFormat="false" ht="15" hidden="false" customHeight="false" outlineLevel="0" collapsed="false">
      <c r="G4445" s="41" t="str">
        <f aca="false">IF(E4445="","",IFERROR(IF(ISNUMBER(SEARCH(Assumptions!$C$5,E4445)),Assumptions!$D$5,IF(ISNUMBER(SEARCH(Assumptions!$C$6,E4445)),Assumptions!$D$6,IF(ISNUMBER(SEARCH(Assumptions!$C$7,E4445)),Assumptions!$D$7,"Other Services"))),"Other Services"))</f>
        <v/>
      </c>
    </row>
    <row r="4446" customFormat="false" ht="15" hidden="false" customHeight="false" outlineLevel="0" collapsed="false">
      <c r="G4446" s="41" t="str">
        <f aca="false">IF(E4446="","",IFERROR(IF(ISNUMBER(SEARCH(Assumptions!$C$5,E4446)),Assumptions!$D$5,IF(ISNUMBER(SEARCH(Assumptions!$C$6,E4446)),Assumptions!$D$6,IF(ISNUMBER(SEARCH(Assumptions!$C$7,E4446)),Assumptions!$D$7,"Other Services"))),"Other Services"))</f>
        <v/>
      </c>
    </row>
    <row r="4447" customFormat="false" ht="15" hidden="false" customHeight="false" outlineLevel="0" collapsed="false">
      <c r="G4447" s="41" t="str">
        <f aca="false">IF(E4447="","",IFERROR(IF(ISNUMBER(SEARCH(Assumptions!$C$5,E4447)),Assumptions!$D$5,IF(ISNUMBER(SEARCH(Assumptions!$C$6,E4447)),Assumptions!$D$6,IF(ISNUMBER(SEARCH(Assumptions!$C$7,E4447)),Assumptions!$D$7,"Other Services"))),"Other Services"))</f>
        <v/>
      </c>
    </row>
    <row r="4448" customFormat="false" ht="15" hidden="false" customHeight="false" outlineLevel="0" collapsed="false">
      <c r="G4448" s="41" t="str">
        <f aca="false">IF(E4448="","",IFERROR(IF(ISNUMBER(SEARCH(Assumptions!$C$5,E4448)),Assumptions!$D$5,IF(ISNUMBER(SEARCH(Assumptions!$C$6,E4448)),Assumptions!$D$6,IF(ISNUMBER(SEARCH(Assumptions!$C$7,E4448)),Assumptions!$D$7,"Other Services"))),"Other Services"))</f>
        <v/>
      </c>
    </row>
    <row r="4449" customFormat="false" ht="15" hidden="false" customHeight="false" outlineLevel="0" collapsed="false">
      <c r="G4449" s="41" t="str">
        <f aca="false">IF(E4449="","",IFERROR(IF(ISNUMBER(SEARCH(Assumptions!$C$5,E4449)),Assumptions!$D$5,IF(ISNUMBER(SEARCH(Assumptions!$C$6,E4449)),Assumptions!$D$6,IF(ISNUMBER(SEARCH(Assumptions!$C$7,E4449)),Assumptions!$D$7,"Other Services"))),"Other Services"))</f>
        <v/>
      </c>
    </row>
    <row r="4450" customFormat="false" ht="15" hidden="false" customHeight="false" outlineLevel="0" collapsed="false">
      <c r="G4450" s="41" t="str">
        <f aca="false">IF(E4450="","",IFERROR(IF(ISNUMBER(SEARCH(Assumptions!$C$5,E4450)),Assumptions!$D$5,IF(ISNUMBER(SEARCH(Assumptions!$C$6,E4450)),Assumptions!$D$6,IF(ISNUMBER(SEARCH(Assumptions!$C$7,E4450)),Assumptions!$D$7,"Other Services"))),"Other Services"))</f>
        <v/>
      </c>
    </row>
    <row r="4451" customFormat="false" ht="15" hidden="false" customHeight="false" outlineLevel="0" collapsed="false">
      <c r="G4451" s="41" t="str">
        <f aca="false">IF(E4451="","",IFERROR(IF(ISNUMBER(SEARCH(Assumptions!$C$5,E4451)),Assumptions!$D$5,IF(ISNUMBER(SEARCH(Assumptions!$C$6,E4451)),Assumptions!$D$6,IF(ISNUMBER(SEARCH(Assumptions!$C$7,E4451)),Assumptions!$D$7,"Other Services"))),"Other Services"))</f>
        <v/>
      </c>
    </row>
    <row r="4452" customFormat="false" ht="15" hidden="false" customHeight="false" outlineLevel="0" collapsed="false">
      <c r="G4452" s="41" t="str">
        <f aca="false">IF(E4452="","",IFERROR(IF(ISNUMBER(SEARCH(Assumptions!$C$5,E4452)),Assumptions!$D$5,IF(ISNUMBER(SEARCH(Assumptions!$C$6,E4452)),Assumptions!$D$6,IF(ISNUMBER(SEARCH(Assumptions!$C$7,E4452)),Assumptions!$D$7,"Other Services"))),"Other Services"))</f>
        <v/>
      </c>
    </row>
    <row r="4453" customFormat="false" ht="15" hidden="false" customHeight="false" outlineLevel="0" collapsed="false">
      <c r="G4453" s="41" t="str">
        <f aca="false">IF(E4453="","",IFERROR(IF(ISNUMBER(SEARCH(Assumptions!$C$5,E4453)),Assumptions!$D$5,IF(ISNUMBER(SEARCH(Assumptions!$C$6,E4453)),Assumptions!$D$6,IF(ISNUMBER(SEARCH(Assumptions!$C$7,E4453)),Assumptions!$D$7,"Other Services"))),"Other Services"))</f>
        <v/>
      </c>
    </row>
    <row r="4454" customFormat="false" ht="15" hidden="false" customHeight="false" outlineLevel="0" collapsed="false">
      <c r="G4454" s="41" t="str">
        <f aca="false">IF(E4454="","",IFERROR(IF(ISNUMBER(SEARCH(Assumptions!$C$5,E4454)),Assumptions!$D$5,IF(ISNUMBER(SEARCH(Assumptions!$C$6,E4454)),Assumptions!$D$6,IF(ISNUMBER(SEARCH(Assumptions!$C$7,E4454)),Assumptions!$D$7,"Other Services"))),"Other Services"))</f>
        <v/>
      </c>
    </row>
    <row r="4455" customFormat="false" ht="15" hidden="false" customHeight="false" outlineLevel="0" collapsed="false">
      <c r="G4455" s="41" t="str">
        <f aca="false">IF(E4455="","",IFERROR(IF(ISNUMBER(SEARCH(Assumptions!$C$5,E4455)),Assumptions!$D$5,IF(ISNUMBER(SEARCH(Assumptions!$C$6,E4455)),Assumptions!$D$6,IF(ISNUMBER(SEARCH(Assumptions!$C$7,E4455)),Assumptions!$D$7,"Other Services"))),"Other Services"))</f>
        <v/>
      </c>
    </row>
    <row r="4456" customFormat="false" ht="15" hidden="false" customHeight="false" outlineLevel="0" collapsed="false">
      <c r="G4456" s="41" t="str">
        <f aca="false">IF(E4456="","",IFERROR(IF(ISNUMBER(SEARCH(Assumptions!$C$5,E4456)),Assumptions!$D$5,IF(ISNUMBER(SEARCH(Assumptions!$C$6,E4456)),Assumptions!$D$6,IF(ISNUMBER(SEARCH(Assumptions!$C$7,E4456)),Assumptions!$D$7,"Other Services"))),"Other Services"))</f>
        <v/>
      </c>
    </row>
    <row r="4457" customFormat="false" ht="15" hidden="false" customHeight="false" outlineLevel="0" collapsed="false">
      <c r="G4457" s="41" t="str">
        <f aca="false">IF(E4457="","",IFERROR(IF(ISNUMBER(SEARCH(Assumptions!$C$5,E4457)),Assumptions!$D$5,IF(ISNUMBER(SEARCH(Assumptions!$C$6,E4457)),Assumptions!$D$6,IF(ISNUMBER(SEARCH(Assumptions!$C$7,E4457)),Assumptions!$D$7,"Other Services"))),"Other Services"))</f>
        <v/>
      </c>
    </row>
    <row r="4458" customFormat="false" ht="15" hidden="false" customHeight="false" outlineLevel="0" collapsed="false">
      <c r="G4458" s="41" t="str">
        <f aca="false">IF(E4458="","",IFERROR(IF(ISNUMBER(SEARCH(Assumptions!$C$5,E4458)),Assumptions!$D$5,IF(ISNUMBER(SEARCH(Assumptions!$C$6,E4458)),Assumptions!$D$6,IF(ISNUMBER(SEARCH(Assumptions!$C$7,E4458)),Assumptions!$D$7,"Other Services"))),"Other Services"))</f>
        <v/>
      </c>
    </row>
    <row r="4459" customFormat="false" ht="15" hidden="false" customHeight="false" outlineLevel="0" collapsed="false">
      <c r="G4459" s="41" t="str">
        <f aca="false">IF(E4459="","",IFERROR(IF(ISNUMBER(SEARCH(Assumptions!$C$5,E4459)),Assumptions!$D$5,IF(ISNUMBER(SEARCH(Assumptions!$C$6,E4459)),Assumptions!$D$6,IF(ISNUMBER(SEARCH(Assumptions!$C$7,E4459)),Assumptions!$D$7,"Other Services"))),"Other Services"))</f>
        <v/>
      </c>
    </row>
    <row r="4460" customFormat="false" ht="15" hidden="false" customHeight="false" outlineLevel="0" collapsed="false">
      <c r="G4460" s="41" t="str">
        <f aca="false">IF(E4460="","",IFERROR(IF(ISNUMBER(SEARCH(Assumptions!$C$5,E4460)),Assumptions!$D$5,IF(ISNUMBER(SEARCH(Assumptions!$C$6,E4460)),Assumptions!$D$6,IF(ISNUMBER(SEARCH(Assumptions!$C$7,E4460)),Assumptions!$D$7,"Other Services"))),"Other Services"))</f>
        <v/>
      </c>
    </row>
    <row r="4461" customFormat="false" ht="15" hidden="false" customHeight="false" outlineLevel="0" collapsed="false">
      <c r="G4461" s="41" t="str">
        <f aca="false">IF(E4461="","",IFERROR(IF(ISNUMBER(SEARCH(Assumptions!$C$5,E4461)),Assumptions!$D$5,IF(ISNUMBER(SEARCH(Assumptions!$C$6,E4461)),Assumptions!$D$6,IF(ISNUMBER(SEARCH(Assumptions!$C$7,E4461)),Assumptions!$D$7,"Other Services"))),"Other Services"))</f>
        <v/>
      </c>
    </row>
    <row r="4462" customFormat="false" ht="15" hidden="false" customHeight="false" outlineLevel="0" collapsed="false">
      <c r="G4462" s="41" t="str">
        <f aca="false">IF(E4462="","",IFERROR(IF(ISNUMBER(SEARCH(Assumptions!$C$5,E4462)),Assumptions!$D$5,IF(ISNUMBER(SEARCH(Assumptions!$C$6,E4462)),Assumptions!$D$6,IF(ISNUMBER(SEARCH(Assumptions!$C$7,E4462)),Assumptions!$D$7,"Other Services"))),"Other Services"))</f>
        <v/>
      </c>
    </row>
    <row r="4463" customFormat="false" ht="15" hidden="false" customHeight="false" outlineLevel="0" collapsed="false">
      <c r="G4463" s="41" t="str">
        <f aca="false">IF(E4463="","",IFERROR(IF(ISNUMBER(SEARCH(Assumptions!$C$5,E4463)),Assumptions!$D$5,IF(ISNUMBER(SEARCH(Assumptions!$C$6,E4463)),Assumptions!$D$6,IF(ISNUMBER(SEARCH(Assumptions!$C$7,E4463)),Assumptions!$D$7,"Other Services"))),"Other Services"))</f>
        <v/>
      </c>
    </row>
    <row r="4464" customFormat="false" ht="15" hidden="false" customHeight="false" outlineLevel="0" collapsed="false">
      <c r="G4464" s="41" t="str">
        <f aca="false">IF(E4464="","",IFERROR(IF(ISNUMBER(SEARCH(Assumptions!$C$5,E4464)),Assumptions!$D$5,IF(ISNUMBER(SEARCH(Assumptions!$C$6,E4464)),Assumptions!$D$6,IF(ISNUMBER(SEARCH(Assumptions!$C$7,E4464)),Assumptions!$D$7,"Other Services"))),"Other Services"))</f>
        <v/>
      </c>
    </row>
    <row r="4465" customFormat="false" ht="15" hidden="false" customHeight="false" outlineLevel="0" collapsed="false">
      <c r="G4465" s="41" t="str">
        <f aca="false">IF(E4465="","",IFERROR(IF(ISNUMBER(SEARCH(Assumptions!$C$5,E4465)),Assumptions!$D$5,IF(ISNUMBER(SEARCH(Assumptions!$C$6,E4465)),Assumptions!$D$6,IF(ISNUMBER(SEARCH(Assumptions!$C$7,E4465)),Assumptions!$D$7,"Other Services"))),"Other Services"))</f>
        <v/>
      </c>
    </row>
    <row r="4466" customFormat="false" ht="15" hidden="false" customHeight="false" outlineLevel="0" collapsed="false">
      <c r="G4466" s="41" t="str">
        <f aca="false">IF(E4466="","",IFERROR(IF(ISNUMBER(SEARCH(Assumptions!$C$5,E4466)),Assumptions!$D$5,IF(ISNUMBER(SEARCH(Assumptions!$C$6,E4466)),Assumptions!$D$6,IF(ISNUMBER(SEARCH(Assumptions!$C$7,E4466)),Assumptions!$D$7,"Other Services"))),"Other Services"))</f>
        <v/>
      </c>
    </row>
    <row r="4467" customFormat="false" ht="15" hidden="false" customHeight="false" outlineLevel="0" collapsed="false">
      <c r="G4467" s="41" t="str">
        <f aca="false">IF(E4467="","",IFERROR(IF(ISNUMBER(SEARCH(Assumptions!$C$5,E4467)),Assumptions!$D$5,IF(ISNUMBER(SEARCH(Assumptions!$C$6,E4467)),Assumptions!$D$6,IF(ISNUMBER(SEARCH(Assumptions!$C$7,E4467)),Assumptions!$D$7,"Other Services"))),"Other Services"))</f>
        <v/>
      </c>
    </row>
    <row r="4468" customFormat="false" ht="15" hidden="false" customHeight="false" outlineLevel="0" collapsed="false">
      <c r="G4468" s="41" t="str">
        <f aca="false">IF(E4468="","",IFERROR(IF(ISNUMBER(SEARCH(Assumptions!$C$5,E4468)),Assumptions!$D$5,IF(ISNUMBER(SEARCH(Assumptions!$C$6,E4468)),Assumptions!$D$6,IF(ISNUMBER(SEARCH(Assumptions!$C$7,E4468)),Assumptions!$D$7,"Other Services"))),"Other Services"))</f>
        <v/>
      </c>
    </row>
    <row r="4469" customFormat="false" ht="15" hidden="false" customHeight="false" outlineLevel="0" collapsed="false">
      <c r="G4469" s="41" t="str">
        <f aca="false">IF(E4469="","",IFERROR(IF(ISNUMBER(SEARCH(Assumptions!$C$5,E4469)),Assumptions!$D$5,IF(ISNUMBER(SEARCH(Assumptions!$C$6,E4469)),Assumptions!$D$6,IF(ISNUMBER(SEARCH(Assumptions!$C$7,E4469)),Assumptions!$D$7,"Other Services"))),"Other Services"))</f>
        <v/>
      </c>
    </row>
    <row r="4470" customFormat="false" ht="15" hidden="false" customHeight="false" outlineLevel="0" collapsed="false">
      <c r="G4470" s="41" t="str">
        <f aca="false">IF(E4470="","",IFERROR(IF(ISNUMBER(SEARCH(Assumptions!$C$5,E4470)),Assumptions!$D$5,IF(ISNUMBER(SEARCH(Assumptions!$C$6,E4470)),Assumptions!$D$6,IF(ISNUMBER(SEARCH(Assumptions!$C$7,E4470)),Assumptions!$D$7,"Other Services"))),"Other Services"))</f>
        <v/>
      </c>
    </row>
    <row r="4471" customFormat="false" ht="15" hidden="false" customHeight="false" outlineLevel="0" collapsed="false">
      <c r="G4471" s="41" t="str">
        <f aca="false">IF(E4471="","",IFERROR(IF(ISNUMBER(SEARCH(Assumptions!$C$5,E4471)),Assumptions!$D$5,IF(ISNUMBER(SEARCH(Assumptions!$C$6,E4471)),Assumptions!$D$6,IF(ISNUMBER(SEARCH(Assumptions!$C$7,E4471)),Assumptions!$D$7,"Other Services"))),"Other Services"))</f>
        <v/>
      </c>
    </row>
    <row r="4472" customFormat="false" ht="15" hidden="false" customHeight="false" outlineLevel="0" collapsed="false">
      <c r="G4472" s="41" t="str">
        <f aca="false">IF(E4472="","",IFERROR(IF(ISNUMBER(SEARCH(Assumptions!$C$5,E4472)),Assumptions!$D$5,IF(ISNUMBER(SEARCH(Assumptions!$C$6,E4472)),Assumptions!$D$6,IF(ISNUMBER(SEARCH(Assumptions!$C$7,E4472)),Assumptions!$D$7,"Other Services"))),"Other Services"))</f>
        <v/>
      </c>
    </row>
    <row r="4473" customFormat="false" ht="15" hidden="false" customHeight="false" outlineLevel="0" collapsed="false">
      <c r="G4473" s="41" t="str">
        <f aca="false">IF(E4473="","",IFERROR(IF(ISNUMBER(SEARCH(Assumptions!$C$5,E4473)),Assumptions!$D$5,IF(ISNUMBER(SEARCH(Assumptions!$C$6,E4473)),Assumptions!$D$6,IF(ISNUMBER(SEARCH(Assumptions!$C$7,E4473)),Assumptions!$D$7,"Other Services"))),"Other Services"))</f>
        <v/>
      </c>
    </row>
    <row r="4474" customFormat="false" ht="15" hidden="false" customHeight="false" outlineLevel="0" collapsed="false">
      <c r="G4474" s="41" t="str">
        <f aca="false">IF(E4474="","",IFERROR(IF(ISNUMBER(SEARCH(Assumptions!$C$5,E4474)),Assumptions!$D$5,IF(ISNUMBER(SEARCH(Assumptions!$C$6,E4474)),Assumptions!$D$6,IF(ISNUMBER(SEARCH(Assumptions!$C$7,E4474)),Assumptions!$D$7,"Other Services"))),"Other Services"))</f>
        <v/>
      </c>
    </row>
    <row r="4475" customFormat="false" ht="15" hidden="false" customHeight="false" outlineLevel="0" collapsed="false">
      <c r="G4475" s="41" t="str">
        <f aca="false">IF(E4475="","",IFERROR(IF(ISNUMBER(SEARCH(Assumptions!$C$5,E4475)),Assumptions!$D$5,IF(ISNUMBER(SEARCH(Assumptions!$C$6,E4475)),Assumptions!$D$6,IF(ISNUMBER(SEARCH(Assumptions!$C$7,E4475)),Assumptions!$D$7,"Other Services"))),"Other Services"))</f>
        <v/>
      </c>
    </row>
    <row r="4476" customFormat="false" ht="15" hidden="false" customHeight="false" outlineLevel="0" collapsed="false">
      <c r="G4476" s="41" t="str">
        <f aca="false">IF(E4476="","",IFERROR(IF(ISNUMBER(SEARCH(Assumptions!$C$5,E4476)),Assumptions!$D$5,IF(ISNUMBER(SEARCH(Assumptions!$C$6,E4476)),Assumptions!$D$6,IF(ISNUMBER(SEARCH(Assumptions!$C$7,E4476)),Assumptions!$D$7,"Other Services"))),"Other Services"))</f>
        <v/>
      </c>
    </row>
    <row r="4477" customFormat="false" ht="15" hidden="false" customHeight="false" outlineLevel="0" collapsed="false">
      <c r="G4477" s="41" t="str">
        <f aca="false">IF(E4477="","",IFERROR(IF(ISNUMBER(SEARCH(Assumptions!$C$5,E4477)),Assumptions!$D$5,IF(ISNUMBER(SEARCH(Assumptions!$C$6,E4477)),Assumptions!$D$6,IF(ISNUMBER(SEARCH(Assumptions!$C$7,E4477)),Assumptions!$D$7,"Other Services"))),"Other Services"))</f>
        <v/>
      </c>
    </row>
    <row r="4478" customFormat="false" ht="15" hidden="false" customHeight="false" outlineLevel="0" collapsed="false">
      <c r="G4478" s="41" t="str">
        <f aca="false">IF(E4478="","",IFERROR(IF(ISNUMBER(SEARCH(Assumptions!$C$5,E4478)),Assumptions!$D$5,IF(ISNUMBER(SEARCH(Assumptions!$C$6,E4478)),Assumptions!$D$6,IF(ISNUMBER(SEARCH(Assumptions!$C$7,E4478)),Assumptions!$D$7,"Other Services"))),"Other Services"))</f>
        <v/>
      </c>
    </row>
    <row r="4479" customFormat="false" ht="15" hidden="false" customHeight="false" outlineLevel="0" collapsed="false">
      <c r="G4479" s="41" t="str">
        <f aca="false">IF(E4479="","",IFERROR(IF(ISNUMBER(SEARCH(Assumptions!$C$5,E4479)),Assumptions!$D$5,IF(ISNUMBER(SEARCH(Assumptions!$C$6,E4479)),Assumptions!$D$6,IF(ISNUMBER(SEARCH(Assumptions!$C$7,E4479)),Assumptions!$D$7,"Other Services"))),"Other Services"))</f>
        <v/>
      </c>
    </row>
    <row r="4480" customFormat="false" ht="15" hidden="false" customHeight="false" outlineLevel="0" collapsed="false">
      <c r="G4480" s="41" t="str">
        <f aca="false">IF(E4480="","",IFERROR(IF(ISNUMBER(SEARCH(Assumptions!$C$5,E4480)),Assumptions!$D$5,IF(ISNUMBER(SEARCH(Assumptions!$C$6,E4480)),Assumptions!$D$6,IF(ISNUMBER(SEARCH(Assumptions!$C$7,E4480)),Assumptions!$D$7,"Other Services"))),"Other Services"))</f>
        <v/>
      </c>
    </row>
    <row r="4481" customFormat="false" ht="15" hidden="false" customHeight="false" outlineLevel="0" collapsed="false">
      <c r="G4481" s="41" t="str">
        <f aca="false">IF(E4481="","",IFERROR(IF(ISNUMBER(SEARCH(Assumptions!$C$5,E4481)),Assumptions!$D$5,IF(ISNUMBER(SEARCH(Assumptions!$C$6,E4481)),Assumptions!$D$6,IF(ISNUMBER(SEARCH(Assumptions!$C$7,E4481)),Assumptions!$D$7,"Other Services"))),"Other Services"))</f>
        <v/>
      </c>
    </row>
    <row r="4482" customFormat="false" ht="15" hidden="false" customHeight="false" outlineLevel="0" collapsed="false">
      <c r="G4482" s="41" t="str">
        <f aca="false">IF(E4482="","",IFERROR(IF(ISNUMBER(SEARCH(Assumptions!$C$5,E4482)),Assumptions!$D$5,IF(ISNUMBER(SEARCH(Assumptions!$C$6,E4482)),Assumptions!$D$6,IF(ISNUMBER(SEARCH(Assumptions!$C$7,E4482)),Assumptions!$D$7,"Other Services"))),"Other Services"))</f>
        <v/>
      </c>
    </row>
    <row r="4483" customFormat="false" ht="15" hidden="false" customHeight="false" outlineLevel="0" collapsed="false">
      <c r="G4483" s="41" t="str">
        <f aca="false">IF(E4483="","",IFERROR(IF(ISNUMBER(SEARCH(Assumptions!$C$5,E4483)),Assumptions!$D$5,IF(ISNUMBER(SEARCH(Assumptions!$C$6,E4483)),Assumptions!$D$6,IF(ISNUMBER(SEARCH(Assumptions!$C$7,E4483)),Assumptions!$D$7,"Other Services"))),"Other Services"))</f>
        <v/>
      </c>
    </row>
    <row r="4484" customFormat="false" ht="15" hidden="false" customHeight="false" outlineLevel="0" collapsed="false">
      <c r="G4484" s="41" t="str">
        <f aca="false">IF(E4484="","",IFERROR(IF(ISNUMBER(SEARCH(Assumptions!$C$5,E4484)),Assumptions!$D$5,IF(ISNUMBER(SEARCH(Assumptions!$C$6,E4484)),Assumptions!$D$6,IF(ISNUMBER(SEARCH(Assumptions!$C$7,E4484)),Assumptions!$D$7,"Other Services"))),"Other Services"))</f>
        <v/>
      </c>
    </row>
    <row r="4485" customFormat="false" ht="15" hidden="false" customHeight="false" outlineLevel="0" collapsed="false">
      <c r="G4485" s="41" t="str">
        <f aca="false">IF(E4485="","",IFERROR(IF(ISNUMBER(SEARCH(Assumptions!$C$5,E4485)),Assumptions!$D$5,IF(ISNUMBER(SEARCH(Assumptions!$C$6,E4485)),Assumptions!$D$6,IF(ISNUMBER(SEARCH(Assumptions!$C$7,E4485)),Assumptions!$D$7,"Other Services"))),"Other Services"))</f>
        <v/>
      </c>
    </row>
    <row r="4486" customFormat="false" ht="15" hidden="false" customHeight="false" outlineLevel="0" collapsed="false">
      <c r="G4486" s="41" t="str">
        <f aca="false">IF(E4486="","",IFERROR(IF(ISNUMBER(SEARCH(Assumptions!$C$5,E4486)),Assumptions!$D$5,IF(ISNUMBER(SEARCH(Assumptions!$C$6,E4486)),Assumptions!$D$6,IF(ISNUMBER(SEARCH(Assumptions!$C$7,E4486)),Assumptions!$D$7,"Other Services"))),"Other Services"))</f>
        <v/>
      </c>
    </row>
    <row r="4487" customFormat="false" ht="15" hidden="false" customHeight="false" outlineLevel="0" collapsed="false">
      <c r="G4487" s="41" t="str">
        <f aca="false">IF(E4487="","",IFERROR(IF(ISNUMBER(SEARCH(Assumptions!$C$5,E4487)),Assumptions!$D$5,IF(ISNUMBER(SEARCH(Assumptions!$C$6,E4487)),Assumptions!$D$6,IF(ISNUMBER(SEARCH(Assumptions!$C$7,E4487)),Assumptions!$D$7,"Other Services"))),"Other Services"))</f>
        <v/>
      </c>
    </row>
    <row r="4488" customFormat="false" ht="15" hidden="false" customHeight="false" outlineLevel="0" collapsed="false">
      <c r="G4488" s="41" t="str">
        <f aca="false">IF(E4488="","",IFERROR(IF(ISNUMBER(SEARCH(Assumptions!$C$5,E4488)),Assumptions!$D$5,IF(ISNUMBER(SEARCH(Assumptions!$C$6,E4488)),Assumptions!$D$6,IF(ISNUMBER(SEARCH(Assumptions!$C$7,E4488)),Assumptions!$D$7,"Other Services"))),"Other Services"))</f>
        <v/>
      </c>
    </row>
    <row r="4489" customFormat="false" ht="15" hidden="false" customHeight="false" outlineLevel="0" collapsed="false">
      <c r="G4489" s="41" t="str">
        <f aca="false">IF(E4489="","",IFERROR(IF(ISNUMBER(SEARCH(Assumptions!$C$5,E4489)),Assumptions!$D$5,IF(ISNUMBER(SEARCH(Assumptions!$C$6,E4489)),Assumptions!$D$6,IF(ISNUMBER(SEARCH(Assumptions!$C$7,E4489)),Assumptions!$D$7,"Other Services"))),"Other Services"))</f>
        <v/>
      </c>
    </row>
    <row r="4490" customFormat="false" ht="15" hidden="false" customHeight="false" outlineLevel="0" collapsed="false">
      <c r="G4490" s="41" t="str">
        <f aca="false">IF(E4490="","",IFERROR(IF(ISNUMBER(SEARCH(Assumptions!$C$5,E4490)),Assumptions!$D$5,IF(ISNUMBER(SEARCH(Assumptions!$C$6,E4490)),Assumptions!$D$6,IF(ISNUMBER(SEARCH(Assumptions!$C$7,E4490)),Assumptions!$D$7,"Other Services"))),"Other Services"))</f>
        <v/>
      </c>
    </row>
    <row r="4491" customFormat="false" ht="15" hidden="false" customHeight="false" outlineLevel="0" collapsed="false">
      <c r="G4491" s="41" t="str">
        <f aca="false">IF(E4491="","",IFERROR(IF(ISNUMBER(SEARCH(Assumptions!$C$5,E4491)),Assumptions!$D$5,IF(ISNUMBER(SEARCH(Assumptions!$C$6,E4491)),Assumptions!$D$6,IF(ISNUMBER(SEARCH(Assumptions!$C$7,E4491)),Assumptions!$D$7,"Other Services"))),"Other Services"))</f>
        <v/>
      </c>
    </row>
    <row r="4492" customFormat="false" ht="15" hidden="false" customHeight="false" outlineLevel="0" collapsed="false">
      <c r="G4492" s="41" t="str">
        <f aca="false">IF(E4492="","",IFERROR(IF(ISNUMBER(SEARCH(Assumptions!$C$5,E4492)),Assumptions!$D$5,IF(ISNUMBER(SEARCH(Assumptions!$C$6,E4492)),Assumptions!$D$6,IF(ISNUMBER(SEARCH(Assumptions!$C$7,E4492)),Assumptions!$D$7,"Other Services"))),"Other Services"))</f>
        <v/>
      </c>
    </row>
    <row r="4493" customFormat="false" ht="15" hidden="false" customHeight="false" outlineLevel="0" collapsed="false">
      <c r="G4493" s="41" t="str">
        <f aca="false">IF(E4493="","",IFERROR(IF(ISNUMBER(SEARCH(Assumptions!$C$5,E4493)),Assumptions!$D$5,IF(ISNUMBER(SEARCH(Assumptions!$C$6,E4493)),Assumptions!$D$6,IF(ISNUMBER(SEARCH(Assumptions!$C$7,E4493)),Assumptions!$D$7,"Other Services"))),"Other Services"))</f>
        <v/>
      </c>
    </row>
    <row r="4494" customFormat="false" ht="15" hidden="false" customHeight="false" outlineLevel="0" collapsed="false">
      <c r="G4494" s="41" t="str">
        <f aca="false">IF(E4494="","",IFERROR(IF(ISNUMBER(SEARCH(Assumptions!$C$5,E4494)),Assumptions!$D$5,IF(ISNUMBER(SEARCH(Assumptions!$C$6,E4494)),Assumptions!$D$6,IF(ISNUMBER(SEARCH(Assumptions!$C$7,E4494)),Assumptions!$D$7,"Other Services"))),"Other Services"))</f>
        <v/>
      </c>
    </row>
    <row r="4495" customFormat="false" ht="15" hidden="false" customHeight="false" outlineLevel="0" collapsed="false">
      <c r="G4495" s="41" t="str">
        <f aca="false">IF(E4495="","",IFERROR(IF(ISNUMBER(SEARCH(Assumptions!$C$5,E4495)),Assumptions!$D$5,IF(ISNUMBER(SEARCH(Assumptions!$C$6,E4495)),Assumptions!$D$6,IF(ISNUMBER(SEARCH(Assumptions!$C$7,E4495)),Assumptions!$D$7,"Other Services"))),"Other Services"))</f>
        <v/>
      </c>
    </row>
    <row r="4496" customFormat="false" ht="15" hidden="false" customHeight="false" outlineLevel="0" collapsed="false">
      <c r="G4496" s="41" t="str">
        <f aca="false">IF(E4496="","",IFERROR(IF(ISNUMBER(SEARCH(Assumptions!$C$5,E4496)),Assumptions!$D$5,IF(ISNUMBER(SEARCH(Assumptions!$C$6,E4496)),Assumptions!$D$6,IF(ISNUMBER(SEARCH(Assumptions!$C$7,E4496)),Assumptions!$D$7,"Other Services"))),"Other Services"))</f>
        <v/>
      </c>
    </row>
    <row r="4497" customFormat="false" ht="15" hidden="false" customHeight="false" outlineLevel="0" collapsed="false">
      <c r="G4497" s="41" t="str">
        <f aca="false">IF(E4497="","",IFERROR(IF(ISNUMBER(SEARCH(Assumptions!$C$5,E4497)),Assumptions!$D$5,IF(ISNUMBER(SEARCH(Assumptions!$C$6,E4497)),Assumptions!$D$6,IF(ISNUMBER(SEARCH(Assumptions!$C$7,E4497)),Assumptions!$D$7,"Other Services"))),"Other Services"))</f>
        <v/>
      </c>
    </row>
    <row r="4498" customFormat="false" ht="15" hidden="false" customHeight="false" outlineLevel="0" collapsed="false">
      <c r="G4498" s="41" t="str">
        <f aca="false">IF(E4498="","",IFERROR(IF(ISNUMBER(SEARCH(Assumptions!$C$5,E4498)),Assumptions!$D$5,IF(ISNUMBER(SEARCH(Assumptions!$C$6,E4498)),Assumptions!$D$6,IF(ISNUMBER(SEARCH(Assumptions!$C$7,E4498)),Assumptions!$D$7,"Other Services"))),"Other Services"))</f>
        <v/>
      </c>
    </row>
    <row r="4499" customFormat="false" ht="15" hidden="false" customHeight="false" outlineLevel="0" collapsed="false">
      <c r="G4499" s="41" t="str">
        <f aca="false">IF(E4499="","",IFERROR(IF(ISNUMBER(SEARCH(Assumptions!$C$5,E4499)),Assumptions!$D$5,IF(ISNUMBER(SEARCH(Assumptions!$C$6,E4499)),Assumptions!$D$6,IF(ISNUMBER(SEARCH(Assumptions!$C$7,E4499)),Assumptions!$D$7,"Other Services"))),"Other Services"))</f>
        <v/>
      </c>
    </row>
    <row r="4500" customFormat="false" ht="15" hidden="false" customHeight="false" outlineLevel="0" collapsed="false">
      <c r="G4500" s="41" t="str">
        <f aca="false">IF(E4500="","",IFERROR(IF(ISNUMBER(SEARCH(Assumptions!$C$5,E4500)),Assumptions!$D$5,IF(ISNUMBER(SEARCH(Assumptions!$C$6,E4500)),Assumptions!$D$6,IF(ISNUMBER(SEARCH(Assumptions!$C$7,E4500)),Assumptions!$D$7,"Other Services"))),"Other Services"))</f>
        <v/>
      </c>
    </row>
    <row r="4501" customFormat="false" ht="15" hidden="false" customHeight="false" outlineLevel="0" collapsed="false">
      <c r="G4501" s="41" t="str">
        <f aca="false">IF(E4501="","",IFERROR(IF(ISNUMBER(SEARCH(Assumptions!$C$5,E4501)),Assumptions!$D$5,IF(ISNUMBER(SEARCH(Assumptions!$C$6,E4501)),Assumptions!$D$6,IF(ISNUMBER(SEARCH(Assumptions!$C$7,E4501)),Assumptions!$D$7,"Other Services"))),"Other Services"))</f>
        <v/>
      </c>
    </row>
    <row r="4502" customFormat="false" ht="15" hidden="false" customHeight="false" outlineLevel="0" collapsed="false">
      <c r="G4502" s="41" t="str">
        <f aca="false">IF(E4502="","",IFERROR(IF(ISNUMBER(SEARCH(Assumptions!$C$5,E4502)),Assumptions!$D$5,IF(ISNUMBER(SEARCH(Assumptions!$C$6,E4502)),Assumptions!$D$6,IF(ISNUMBER(SEARCH(Assumptions!$C$7,E4502)),Assumptions!$D$7,"Other Services"))),"Other Services"))</f>
        <v/>
      </c>
    </row>
    <row r="4503" customFormat="false" ht="15" hidden="false" customHeight="false" outlineLevel="0" collapsed="false">
      <c r="G4503" s="41" t="str">
        <f aca="false">IF(E4503="","",IFERROR(IF(ISNUMBER(SEARCH(Assumptions!$C$5,E4503)),Assumptions!$D$5,IF(ISNUMBER(SEARCH(Assumptions!$C$6,E4503)),Assumptions!$D$6,IF(ISNUMBER(SEARCH(Assumptions!$C$7,E4503)),Assumptions!$D$7,"Other Services"))),"Other Services"))</f>
        <v/>
      </c>
    </row>
    <row r="4504" customFormat="false" ht="15" hidden="false" customHeight="false" outlineLevel="0" collapsed="false">
      <c r="G4504" s="41" t="str">
        <f aca="false">IF(E4504="","",IFERROR(IF(ISNUMBER(SEARCH(Assumptions!$C$5,E4504)),Assumptions!$D$5,IF(ISNUMBER(SEARCH(Assumptions!$C$6,E4504)),Assumptions!$D$6,IF(ISNUMBER(SEARCH(Assumptions!$C$7,E4504)),Assumptions!$D$7,"Other Services"))),"Other Services"))</f>
        <v/>
      </c>
    </row>
    <row r="4505" customFormat="false" ht="15" hidden="false" customHeight="false" outlineLevel="0" collapsed="false">
      <c r="G4505" s="41" t="str">
        <f aca="false">IF(E4505="","",IFERROR(IF(ISNUMBER(SEARCH(Assumptions!$C$5,E4505)),Assumptions!$D$5,IF(ISNUMBER(SEARCH(Assumptions!$C$6,E4505)),Assumptions!$D$6,IF(ISNUMBER(SEARCH(Assumptions!$C$7,E4505)),Assumptions!$D$7,"Other Services"))),"Other Services"))</f>
        <v/>
      </c>
    </row>
    <row r="4506" customFormat="false" ht="15" hidden="false" customHeight="false" outlineLevel="0" collapsed="false">
      <c r="G4506" s="41" t="str">
        <f aca="false">IF(E4506="","",IFERROR(IF(ISNUMBER(SEARCH(Assumptions!$C$5,E4506)),Assumptions!$D$5,IF(ISNUMBER(SEARCH(Assumptions!$C$6,E4506)),Assumptions!$D$6,IF(ISNUMBER(SEARCH(Assumptions!$C$7,E4506)),Assumptions!$D$7,"Other Services"))),"Other Services"))</f>
        <v/>
      </c>
    </row>
    <row r="4507" customFormat="false" ht="15" hidden="false" customHeight="false" outlineLevel="0" collapsed="false">
      <c r="G4507" s="41" t="str">
        <f aca="false">IF(E4507="","",IFERROR(IF(ISNUMBER(SEARCH(Assumptions!$C$5,E4507)),Assumptions!$D$5,IF(ISNUMBER(SEARCH(Assumptions!$C$6,E4507)),Assumptions!$D$6,IF(ISNUMBER(SEARCH(Assumptions!$C$7,E4507)),Assumptions!$D$7,"Other Services"))),"Other Services"))</f>
        <v/>
      </c>
    </row>
    <row r="4508" customFormat="false" ht="15" hidden="false" customHeight="false" outlineLevel="0" collapsed="false">
      <c r="G4508" s="41" t="str">
        <f aca="false">IF(E4508="","",IFERROR(IF(ISNUMBER(SEARCH(Assumptions!$C$5,E4508)),Assumptions!$D$5,IF(ISNUMBER(SEARCH(Assumptions!$C$6,E4508)),Assumptions!$D$6,IF(ISNUMBER(SEARCH(Assumptions!$C$7,E4508)),Assumptions!$D$7,"Other Services"))),"Other Services"))</f>
        <v/>
      </c>
    </row>
    <row r="4509" customFormat="false" ht="15" hidden="false" customHeight="false" outlineLevel="0" collapsed="false">
      <c r="G4509" s="41" t="str">
        <f aca="false">IF(E4509="","",IFERROR(IF(ISNUMBER(SEARCH(Assumptions!$C$5,E4509)),Assumptions!$D$5,IF(ISNUMBER(SEARCH(Assumptions!$C$6,E4509)),Assumptions!$D$6,IF(ISNUMBER(SEARCH(Assumptions!$C$7,E4509)),Assumptions!$D$7,"Other Services"))),"Other Services"))</f>
        <v/>
      </c>
    </row>
    <row r="4510" customFormat="false" ht="15" hidden="false" customHeight="false" outlineLevel="0" collapsed="false">
      <c r="G4510" s="41" t="str">
        <f aca="false">IF(E4510="","",IFERROR(IF(ISNUMBER(SEARCH(Assumptions!$C$5,E4510)),Assumptions!$D$5,IF(ISNUMBER(SEARCH(Assumptions!$C$6,E4510)),Assumptions!$D$6,IF(ISNUMBER(SEARCH(Assumptions!$C$7,E4510)),Assumptions!$D$7,"Other Services"))),"Other Services"))</f>
        <v/>
      </c>
    </row>
    <row r="4511" customFormat="false" ht="15" hidden="false" customHeight="false" outlineLevel="0" collapsed="false">
      <c r="G4511" s="41" t="str">
        <f aca="false">IF(E4511="","",IFERROR(IF(ISNUMBER(SEARCH(Assumptions!$C$5,E4511)),Assumptions!$D$5,IF(ISNUMBER(SEARCH(Assumptions!$C$6,E4511)),Assumptions!$D$6,IF(ISNUMBER(SEARCH(Assumptions!$C$7,E4511)),Assumptions!$D$7,"Other Services"))),"Other Services"))</f>
        <v/>
      </c>
    </row>
    <row r="4512" customFormat="false" ht="15" hidden="false" customHeight="false" outlineLevel="0" collapsed="false">
      <c r="G4512" s="41" t="str">
        <f aca="false">IF(E4512="","",IFERROR(IF(ISNUMBER(SEARCH(Assumptions!$C$5,E4512)),Assumptions!$D$5,IF(ISNUMBER(SEARCH(Assumptions!$C$6,E4512)),Assumptions!$D$6,IF(ISNUMBER(SEARCH(Assumptions!$C$7,E4512)),Assumptions!$D$7,"Other Services"))),"Other Services"))</f>
        <v/>
      </c>
    </row>
    <row r="4513" customFormat="false" ht="15" hidden="false" customHeight="false" outlineLevel="0" collapsed="false">
      <c r="G4513" s="41" t="str">
        <f aca="false">IF(E4513="","",IFERROR(IF(ISNUMBER(SEARCH(Assumptions!$C$5,E4513)),Assumptions!$D$5,IF(ISNUMBER(SEARCH(Assumptions!$C$6,E4513)),Assumptions!$D$6,IF(ISNUMBER(SEARCH(Assumptions!$C$7,E4513)),Assumptions!$D$7,"Other Services"))),"Other Services"))</f>
        <v/>
      </c>
    </row>
    <row r="4514" customFormat="false" ht="15" hidden="false" customHeight="false" outlineLevel="0" collapsed="false">
      <c r="G4514" s="41" t="str">
        <f aca="false">IF(E4514="","",IFERROR(IF(ISNUMBER(SEARCH(Assumptions!$C$5,E4514)),Assumptions!$D$5,IF(ISNUMBER(SEARCH(Assumptions!$C$6,E4514)),Assumptions!$D$6,IF(ISNUMBER(SEARCH(Assumptions!$C$7,E4514)),Assumptions!$D$7,"Other Services"))),"Other Services"))</f>
        <v/>
      </c>
    </row>
    <row r="4515" customFormat="false" ht="15" hidden="false" customHeight="false" outlineLevel="0" collapsed="false">
      <c r="G4515" s="41" t="str">
        <f aca="false">IF(E4515="","",IFERROR(IF(ISNUMBER(SEARCH(Assumptions!$C$5,E4515)),Assumptions!$D$5,IF(ISNUMBER(SEARCH(Assumptions!$C$6,E4515)),Assumptions!$D$6,IF(ISNUMBER(SEARCH(Assumptions!$C$7,E4515)),Assumptions!$D$7,"Other Services"))),"Other Services"))</f>
        <v/>
      </c>
    </row>
    <row r="4516" customFormat="false" ht="15" hidden="false" customHeight="false" outlineLevel="0" collapsed="false">
      <c r="G4516" s="41" t="str">
        <f aca="false">IF(E4516="","",IFERROR(IF(ISNUMBER(SEARCH(Assumptions!$C$5,E4516)),Assumptions!$D$5,IF(ISNUMBER(SEARCH(Assumptions!$C$6,E4516)),Assumptions!$D$6,IF(ISNUMBER(SEARCH(Assumptions!$C$7,E4516)),Assumptions!$D$7,"Other Services"))),"Other Services"))</f>
        <v/>
      </c>
    </row>
    <row r="4517" customFormat="false" ht="15" hidden="false" customHeight="false" outlineLevel="0" collapsed="false">
      <c r="G4517" s="41" t="str">
        <f aca="false">IF(E4517="","",IFERROR(IF(ISNUMBER(SEARCH(Assumptions!$C$5,E4517)),Assumptions!$D$5,IF(ISNUMBER(SEARCH(Assumptions!$C$6,E4517)),Assumptions!$D$6,IF(ISNUMBER(SEARCH(Assumptions!$C$7,E4517)),Assumptions!$D$7,"Other Services"))),"Other Services"))</f>
        <v/>
      </c>
    </row>
    <row r="4518" customFormat="false" ht="15" hidden="false" customHeight="false" outlineLevel="0" collapsed="false">
      <c r="G4518" s="41" t="str">
        <f aca="false">IF(E4518="","",IFERROR(IF(ISNUMBER(SEARCH(Assumptions!$C$5,E4518)),Assumptions!$D$5,IF(ISNUMBER(SEARCH(Assumptions!$C$6,E4518)),Assumptions!$D$6,IF(ISNUMBER(SEARCH(Assumptions!$C$7,E4518)),Assumptions!$D$7,"Other Services"))),"Other Services"))</f>
        <v/>
      </c>
    </row>
    <row r="4519" customFormat="false" ht="15" hidden="false" customHeight="false" outlineLevel="0" collapsed="false">
      <c r="G4519" s="41" t="str">
        <f aca="false">IF(E4519="","",IFERROR(IF(ISNUMBER(SEARCH(Assumptions!$C$5,E4519)),Assumptions!$D$5,IF(ISNUMBER(SEARCH(Assumptions!$C$6,E4519)),Assumptions!$D$6,IF(ISNUMBER(SEARCH(Assumptions!$C$7,E4519)),Assumptions!$D$7,"Other Services"))),"Other Services"))</f>
        <v/>
      </c>
    </row>
    <row r="4520" customFormat="false" ht="15" hidden="false" customHeight="false" outlineLevel="0" collapsed="false">
      <c r="G4520" s="41" t="str">
        <f aca="false">IF(E4520="","",IFERROR(IF(ISNUMBER(SEARCH(Assumptions!$C$5,E4520)),Assumptions!$D$5,IF(ISNUMBER(SEARCH(Assumptions!$C$6,E4520)),Assumptions!$D$6,IF(ISNUMBER(SEARCH(Assumptions!$C$7,E4520)),Assumptions!$D$7,"Other Services"))),"Other Services"))</f>
        <v/>
      </c>
    </row>
    <row r="4521" customFormat="false" ht="15" hidden="false" customHeight="false" outlineLevel="0" collapsed="false">
      <c r="G4521" s="41" t="str">
        <f aca="false">IF(E4521="","",IFERROR(IF(ISNUMBER(SEARCH(Assumptions!$C$5,E4521)),Assumptions!$D$5,IF(ISNUMBER(SEARCH(Assumptions!$C$6,E4521)),Assumptions!$D$6,IF(ISNUMBER(SEARCH(Assumptions!$C$7,E4521)),Assumptions!$D$7,"Other Services"))),"Other Services"))</f>
        <v/>
      </c>
    </row>
    <row r="4522" customFormat="false" ht="15" hidden="false" customHeight="false" outlineLevel="0" collapsed="false">
      <c r="G4522" s="41" t="str">
        <f aca="false">IF(E4522="","",IFERROR(IF(ISNUMBER(SEARCH(Assumptions!$C$5,E4522)),Assumptions!$D$5,IF(ISNUMBER(SEARCH(Assumptions!$C$6,E4522)),Assumptions!$D$6,IF(ISNUMBER(SEARCH(Assumptions!$C$7,E4522)),Assumptions!$D$7,"Other Services"))),"Other Services"))</f>
        <v/>
      </c>
    </row>
    <row r="4523" customFormat="false" ht="15" hidden="false" customHeight="false" outlineLevel="0" collapsed="false">
      <c r="G4523" s="41" t="str">
        <f aca="false">IF(E4523="","",IFERROR(IF(ISNUMBER(SEARCH(Assumptions!$C$5,E4523)),Assumptions!$D$5,IF(ISNUMBER(SEARCH(Assumptions!$C$6,E4523)),Assumptions!$D$6,IF(ISNUMBER(SEARCH(Assumptions!$C$7,E4523)),Assumptions!$D$7,"Other Services"))),"Other Services"))</f>
        <v/>
      </c>
    </row>
    <row r="4524" customFormat="false" ht="15" hidden="false" customHeight="false" outlineLevel="0" collapsed="false">
      <c r="G4524" s="41" t="str">
        <f aca="false">IF(E4524="","",IFERROR(IF(ISNUMBER(SEARCH(Assumptions!$C$5,E4524)),Assumptions!$D$5,IF(ISNUMBER(SEARCH(Assumptions!$C$6,E4524)),Assumptions!$D$6,IF(ISNUMBER(SEARCH(Assumptions!$C$7,E4524)),Assumptions!$D$7,"Other Services"))),"Other Services"))</f>
        <v/>
      </c>
    </row>
    <row r="4525" customFormat="false" ht="15" hidden="false" customHeight="false" outlineLevel="0" collapsed="false">
      <c r="G4525" s="41" t="str">
        <f aca="false">IF(E4525="","",IFERROR(IF(ISNUMBER(SEARCH(Assumptions!$C$5,E4525)),Assumptions!$D$5,IF(ISNUMBER(SEARCH(Assumptions!$C$6,E4525)),Assumptions!$D$6,IF(ISNUMBER(SEARCH(Assumptions!$C$7,E4525)),Assumptions!$D$7,"Other Services"))),"Other Services"))</f>
        <v/>
      </c>
    </row>
    <row r="4526" customFormat="false" ht="15" hidden="false" customHeight="false" outlineLevel="0" collapsed="false">
      <c r="G4526" s="41" t="str">
        <f aca="false">IF(E4526="","",IFERROR(IF(ISNUMBER(SEARCH(Assumptions!$C$5,E4526)),Assumptions!$D$5,IF(ISNUMBER(SEARCH(Assumptions!$C$6,E4526)),Assumptions!$D$6,IF(ISNUMBER(SEARCH(Assumptions!$C$7,E4526)),Assumptions!$D$7,"Other Services"))),"Other Services"))</f>
        <v/>
      </c>
    </row>
    <row r="4527" customFormat="false" ht="15" hidden="false" customHeight="false" outlineLevel="0" collapsed="false">
      <c r="G4527" s="41" t="str">
        <f aca="false">IF(E4527="","",IFERROR(IF(ISNUMBER(SEARCH(Assumptions!$C$5,E4527)),Assumptions!$D$5,IF(ISNUMBER(SEARCH(Assumptions!$C$6,E4527)),Assumptions!$D$6,IF(ISNUMBER(SEARCH(Assumptions!$C$7,E4527)),Assumptions!$D$7,"Other Services"))),"Other Services"))</f>
        <v/>
      </c>
    </row>
    <row r="4528" customFormat="false" ht="15" hidden="false" customHeight="false" outlineLevel="0" collapsed="false">
      <c r="G4528" s="41" t="str">
        <f aca="false">IF(E4528="","",IFERROR(IF(ISNUMBER(SEARCH(Assumptions!$C$5,E4528)),Assumptions!$D$5,IF(ISNUMBER(SEARCH(Assumptions!$C$6,E4528)),Assumptions!$D$6,IF(ISNUMBER(SEARCH(Assumptions!$C$7,E4528)),Assumptions!$D$7,"Other Services"))),"Other Services"))</f>
        <v/>
      </c>
    </row>
    <row r="4529" customFormat="false" ht="15" hidden="false" customHeight="false" outlineLevel="0" collapsed="false">
      <c r="G4529" s="41" t="str">
        <f aca="false">IF(E4529="","",IFERROR(IF(ISNUMBER(SEARCH(Assumptions!$C$5,E4529)),Assumptions!$D$5,IF(ISNUMBER(SEARCH(Assumptions!$C$6,E4529)),Assumptions!$D$6,IF(ISNUMBER(SEARCH(Assumptions!$C$7,E4529)),Assumptions!$D$7,"Other Services"))),"Other Services"))</f>
        <v/>
      </c>
    </row>
    <row r="4530" customFormat="false" ht="15" hidden="false" customHeight="false" outlineLevel="0" collapsed="false">
      <c r="G4530" s="41" t="str">
        <f aca="false">IF(E4530="","",IFERROR(IF(ISNUMBER(SEARCH(Assumptions!$C$5,E4530)),Assumptions!$D$5,IF(ISNUMBER(SEARCH(Assumptions!$C$6,E4530)),Assumptions!$D$6,IF(ISNUMBER(SEARCH(Assumptions!$C$7,E4530)),Assumptions!$D$7,"Other Services"))),"Other Services"))</f>
        <v/>
      </c>
    </row>
    <row r="4531" customFormat="false" ht="15" hidden="false" customHeight="false" outlineLevel="0" collapsed="false">
      <c r="G4531" s="41" t="str">
        <f aca="false">IF(E4531="","",IFERROR(IF(ISNUMBER(SEARCH(Assumptions!$C$5,E4531)),Assumptions!$D$5,IF(ISNUMBER(SEARCH(Assumptions!$C$6,E4531)),Assumptions!$D$6,IF(ISNUMBER(SEARCH(Assumptions!$C$7,E4531)),Assumptions!$D$7,"Other Services"))),"Other Services"))</f>
        <v/>
      </c>
    </row>
    <row r="4532" customFormat="false" ht="15" hidden="false" customHeight="false" outlineLevel="0" collapsed="false">
      <c r="G4532" s="41" t="str">
        <f aca="false">IF(E4532="","",IFERROR(IF(ISNUMBER(SEARCH(Assumptions!$C$5,E4532)),Assumptions!$D$5,IF(ISNUMBER(SEARCH(Assumptions!$C$6,E4532)),Assumptions!$D$6,IF(ISNUMBER(SEARCH(Assumptions!$C$7,E4532)),Assumptions!$D$7,"Other Services"))),"Other Services"))</f>
        <v/>
      </c>
    </row>
    <row r="4533" customFormat="false" ht="15" hidden="false" customHeight="false" outlineLevel="0" collapsed="false">
      <c r="G4533" s="41" t="str">
        <f aca="false">IF(E4533="","",IFERROR(IF(ISNUMBER(SEARCH(Assumptions!$C$5,E4533)),Assumptions!$D$5,IF(ISNUMBER(SEARCH(Assumptions!$C$6,E4533)),Assumptions!$D$6,IF(ISNUMBER(SEARCH(Assumptions!$C$7,E4533)),Assumptions!$D$7,"Other Services"))),"Other Services"))</f>
        <v/>
      </c>
    </row>
    <row r="4534" customFormat="false" ht="15" hidden="false" customHeight="false" outlineLevel="0" collapsed="false">
      <c r="G4534" s="41" t="str">
        <f aca="false">IF(E4534="","",IFERROR(IF(ISNUMBER(SEARCH(Assumptions!$C$5,E4534)),Assumptions!$D$5,IF(ISNUMBER(SEARCH(Assumptions!$C$6,E4534)),Assumptions!$D$6,IF(ISNUMBER(SEARCH(Assumptions!$C$7,E4534)),Assumptions!$D$7,"Other Services"))),"Other Services"))</f>
        <v/>
      </c>
    </row>
    <row r="4535" customFormat="false" ht="15" hidden="false" customHeight="false" outlineLevel="0" collapsed="false">
      <c r="G4535" s="41" t="str">
        <f aca="false">IF(E4535="","",IFERROR(IF(ISNUMBER(SEARCH(Assumptions!$C$5,E4535)),Assumptions!$D$5,IF(ISNUMBER(SEARCH(Assumptions!$C$6,E4535)),Assumptions!$D$6,IF(ISNUMBER(SEARCH(Assumptions!$C$7,E4535)),Assumptions!$D$7,"Other Services"))),"Other Services"))</f>
        <v/>
      </c>
    </row>
    <row r="4536" customFormat="false" ht="15" hidden="false" customHeight="false" outlineLevel="0" collapsed="false">
      <c r="G4536" s="41" t="str">
        <f aca="false">IF(E4536="","",IFERROR(IF(ISNUMBER(SEARCH(Assumptions!$C$5,E4536)),Assumptions!$D$5,IF(ISNUMBER(SEARCH(Assumptions!$C$6,E4536)),Assumptions!$D$6,IF(ISNUMBER(SEARCH(Assumptions!$C$7,E4536)),Assumptions!$D$7,"Other Services"))),"Other Services"))</f>
        <v/>
      </c>
    </row>
    <row r="4537" customFormat="false" ht="15" hidden="false" customHeight="false" outlineLevel="0" collapsed="false">
      <c r="G4537" s="41" t="str">
        <f aca="false">IF(E4537="","",IFERROR(IF(ISNUMBER(SEARCH(Assumptions!$C$5,E4537)),Assumptions!$D$5,IF(ISNUMBER(SEARCH(Assumptions!$C$6,E4537)),Assumptions!$D$6,IF(ISNUMBER(SEARCH(Assumptions!$C$7,E4537)),Assumptions!$D$7,"Other Services"))),"Other Services"))</f>
        <v/>
      </c>
    </row>
    <row r="4538" customFormat="false" ht="15" hidden="false" customHeight="false" outlineLevel="0" collapsed="false">
      <c r="G4538" s="41" t="str">
        <f aca="false">IF(E4538="","",IFERROR(IF(ISNUMBER(SEARCH(Assumptions!$C$5,E4538)),Assumptions!$D$5,IF(ISNUMBER(SEARCH(Assumptions!$C$6,E4538)),Assumptions!$D$6,IF(ISNUMBER(SEARCH(Assumptions!$C$7,E4538)),Assumptions!$D$7,"Other Services"))),"Other Services"))</f>
        <v/>
      </c>
    </row>
    <row r="4539" customFormat="false" ht="15" hidden="false" customHeight="false" outlineLevel="0" collapsed="false">
      <c r="G4539" s="41" t="str">
        <f aca="false">IF(E4539="","",IFERROR(IF(ISNUMBER(SEARCH(Assumptions!$C$5,E4539)),Assumptions!$D$5,IF(ISNUMBER(SEARCH(Assumptions!$C$6,E4539)),Assumptions!$D$6,IF(ISNUMBER(SEARCH(Assumptions!$C$7,E4539)),Assumptions!$D$7,"Other Services"))),"Other Services"))</f>
        <v/>
      </c>
    </row>
    <row r="4540" customFormat="false" ht="15" hidden="false" customHeight="false" outlineLevel="0" collapsed="false">
      <c r="G4540" s="41" t="str">
        <f aca="false">IF(E4540="","",IFERROR(IF(ISNUMBER(SEARCH(Assumptions!$C$5,E4540)),Assumptions!$D$5,IF(ISNUMBER(SEARCH(Assumptions!$C$6,E4540)),Assumptions!$D$6,IF(ISNUMBER(SEARCH(Assumptions!$C$7,E4540)),Assumptions!$D$7,"Other Services"))),"Other Services"))</f>
        <v/>
      </c>
    </row>
    <row r="4541" customFormat="false" ht="15" hidden="false" customHeight="false" outlineLevel="0" collapsed="false">
      <c r="G4541" s="41" t="str">
        <f aca="false">IF(E4541="","",IFERROR(IF(ISNUMBER(SEARCH(Assumptions!$C$5,E4541)),Assumptions!$D$5,IF(ISNUMBER(SEARCH(Assumptions!$C$6,E4541)),Assumptions!$D$6,IF(ISNUMBER(SEARCH(Assumptions!$C$7,E4541)),Assumptions!$D$7,"Other Services"))),"Other Services"))</f>
        <v/>
      </c>
    </row>
    <row r="4542" customFormat="false" ht="15" hidden="false" customHeight="false" outlineLevel="0" collapsed="false">
      <c r="G4542" s="41" t="str">
        <f aca="false">IF(E4542="","",IFERROR(IF(ISNUMBER(SEARCH(Assumptions!$C$5,E4542)),Assumptions!$D$5,IF(ISNUMBER(SEARCH(Assumptions!$C$6,E4542)),Assumptions!$D$6,IF(ISNUMBER(SEARCH(Assumptions!$C$7,E4542)),Assumptions!$D$7,"Other Services"))),"Other Services"))</f>
        <v/>
      </c>
    </row>
    <row r="4543" customFormat="false" ht="15" hidden="false" customHeight="false" outlineLevel="0" collapsed="false">
      <c r="G4543" s="41" t="str">
        <f aca="false">IF(E4543="","",IFERROR(IF(ISNUMBER(SEARCH(Assumptions!$C$5,E4543)),Assumptions!$D$5,IF(ISNUMBER(SEARCH(Assumptions!$C$6,E4543)),Assumptions!$D$6,IF(ISNUMBER(SEARCH(Assumptions!$C$7,E4543)),Assumptions!$D$7,"Other Services"))),"Other Services"))</f>
        <v/>
      </c>
    </row>
    <row r="4544" customFormat="false" ht="15" hidden="false" customHeight="false" outlineLevel="0" collapsed="false">
      <c r="G4544" s="41" t="str">
        <f aca="false">IF(E4544="","",IFERROR(IF(ISNUMBER(SEARCH(Assumptions!$C$5,E4544)),Assumptions!$D$5,IF(ISNUMBER(SEARCH(Assumptions!$C$6,E4544)),Assumptions!$D$6,IF(ISNUMBER(SEARCH(Assumptions!$C$7,E4544)),Assumptions!$D$7,"Other Services"))),"Other Services"))</f>
        <v/>
      </c>
    </row>
    <row r="4545" customFormat="false" ht="15" hidden="false" customHeight="false" outlineLevel="0" collapsed="false">
      <c r="G4545" s="41" t="str">
        <f aca="false">IF(E4545="","",IFERROR(IF(ISNUMBER(SEARCH(Assumptions!$C$5,E4545)),Assumptions!$D$5,IF(ISNUMBER(SEARCH(Assumptions!$C$6,E4545)),Assumptions!$D$6,IF(ISNUMBER(SEARCH(Assumptions!$C$7,E4545)),Assumptions!$D$7,"Other Services"))),"Other Services"))</f>
        <v/>
      </c>
    </row>
    <row r="4546" customFormat="false" ht="15" hidden="false" customHeight="false" outlineLevel="0" collapsed="false">
      <c r="G4546" s="41" t="str">
        <f aca="false">IF(E4546="","",IFERROR(IF(ISNUMBER(SEARCH(Assumptions!$C$5,E4546)),Assumptions!$D$5,IF(ISNUMBER(SEARCH(Assumptions!$C$6,E4546)),Assumptions!$D$6,IF(ISNUMBER(SEARCH(Assumptions!$C$7,E4546)),Assumptions!$D$7,"Other Services"))),"Other Services"))</f>
        <v/>
      </c>
    </row>
    <row r="4547" customFormat="false" ht="15" hidden="false" customHeight="false" outlineLevel="0" collapsed="false">
      <c r="G4547" s="41" t="str">
        <f aca="false">IF(E4547="","",IFERROR(IF(ISNUMBER(SEARCH(Assumptions!$C$5,E4547)),Assumptions!$D$5,IF(ISNUMBER(SEARCH(Assumptions!$C$6,E4547)),Assumptions!$D$6,IF(ISNUMBER(SEARCH(Assumptions!$C$7,E4547)),Assumptions!$D$7,"Other Services"))),"Other Services"))</f>
        <v/>
      </c>
    </row>
    <row r="4548" customFormat="false" ht="15" hidden="false" customHeight="false" outlineLevel="0" collapsed="false">
      <c r="G4548" s="41" t="str">
        <f aca="false">IF(E4548="","",IFERROR(IF(ISNUMBER(SEARCH(Assumptions!$C$5,E4548)),Assumptions!$D$5,IF(ISNUMBER(SEARCH(Assumptions!$C$6,E4548)),Assumptions!$D$6,IF(ISNUMBER(SEARCH(Assumptions!$C$7,E4548)),Assumptions!$D$7,"Other Services"))),"Other Services"))</f>
        <v/>
      </c>
    </row>
    <row r="4549" customFormat="false" ht="15" hidden="false" customHeight="false" outlineLevel="0" collapsed="false">
      <c r="G4549" s="41" t="str">
        <f aca="false">IF(E4549="","",IFERROR(IF(ISNUMBER(SEARCH(Assumptions!$C$5,E4549)),Assumptions!$D$5,IF(ISNUMBER(SEARCH(Assumptions!$C$6,E4549)),Assumptions!$D$6,IF(ISNUMBER(SEARCH(Assumptions!$C$7,E4549)),Assumptions!$D$7,"Other Services"))),"Other Services"))</f>
        <v/>
      </c>
    </row>
    <row r="4550" customFormat="false" ht="15" hidden="false" customHeight="false" outlineLevel="0" collapsed="false">
      <c r="G4550" s="41" t="str">
        <f aca="false">IF(E4550="","",IFERROR(IF(ISNUMBER(SEARCH(Assumptions!$C$5,E4550)),Assumptions!$D$5,IF(ISNUMBER(SEARCH(Assumptions!$C$6,E4550)),Assumptions!$D$6,IF(ISNUMBER(SEARCH(Assumptions!$C$7,E4550)),Assumptions!$D$7,"Other Services"))),"Other Services"))</f>
        <v/>
      </c>
    </row>
    <row r="4551" customFormat="false" ht="15" hidden="false" customHeight="false" outlineLevel="0" collapsed="false">
      <c r="G4551" s="41" t="str">
        <f aca="false">IF(E4551="","",IFERROR(IF(ISNUMBER(SEARCH(Assumptions!$C$5,E4551)),Assumptions!$D$5,IF(ISNUMBER(SEARCH(Assumptions!$C$6,E4551)),Assumptions!$D$6,IF(ISNUMBER(SEARCH(Assumptions!$C$7,E4551)),Assumptions!$D$7,"Other Services"))),"Other Services"))</f>
        <v/>
      </c>
    </row>
    <row r="4552" customFormat="false" ht="15" hidden="false" customHeight="false" outlineLevel="0" collapsed="false">
      <c r="G4552" s="41" t="str">
        <f aca="false">IF(E4552="","",IFERROR(IF(ISNUMBER(SEARCH(Assumptions!$C$5,E4552)),Assumptions!$D$5,IF(ISNUMBER(SEARCH(Assumptions!$C$6,E4552)),Assumptions!$D$6,IF(ISNUMBER(SEARCH(Assumptions!$C$7,E4552)),Assumptions!$D$7,"Other Services"))),"Other Services"))</f>
        <v/>
      </c>
    </row>
    <row r="4553" customFormat="false" ht="15" hidden="false" customHeight="false" outlineLevel="0" collapsed="false">
      <c r="G4553" s="41" t="str">
        <f aca="false">IF(E4553="","",IFERROR(IF(ISNUMBER(SEARCH(Assumptions!$C$5,E4553)),Assumptions!$D$5,IF(ISNUMBER(SEARCH(Assumptions!$C$6,E4553)),Assumptions!$D$6,IF(ISNUMBER(SEARCH(Assumptions!$C$7,E4553)),Assumptions!$D$7,"Other Services"))),"Other Services"))</f>
        <v/>
      </c>
    </row>
    <row r="4554" customFormat="false" ht="15" hidden="false" customHeight="false" outlineLevel="0" collapsed="false">
      <c r="G4554" s="41" t="str">
        <f aca="false">IF(E4554="","",IFERROR(IF(ISNUMBER(SEARCH(Assumptions!$C$5,E4554)),Assumptions!$D$5,IF(ISNUMBER(SEARCH(Assumptions!$C$6,E4554)),Assumptions!$D$6,IF(ISNUMBER(SEARCH(Assumptions!$C$7,E4554)),Assumptions!$D$7,"Other Services"))),"Other Services"))</f>
        <v/>
      </c>
    </row>
    <row r="4555" customFormat="false" ht="15" hidden="false" customHeight="false" outlineLevel="0" collapsed="false">
      <c r="G4555" s="41" t="str">
        <f aca="false">IF(E4555="","",IFERROR(IF(ISNUMBER(SEARCH(Assumptions!$C$5,E4555)),Assumptions!$D$5,IF(ISNUMBER(SEARCH(Assumptions!$C$6,E4555)),Assumptions!$D$6,IF(ISNUMBER(SEARCH(Assumptions!$C$7,E4555)),Assumptions!$D$7,"Other Services"))),"Other Services"))</f>
        <v/>
      </c>
    </row>
    <row r="4556" customFormat="false" ht="15" hidden="false" customHeight="false" outlineLevel="0" collapsed="false">
      <c r="G4556" s="41" t="str">
        <f aca="false">IF(E4556="","",IFERROR(IF(ISNUMBER(SEARCH(Assumptions!$C$5,E4556)),Assumptions!$D$5,IF(ISNUMBER(SEARCH(Assumptions!$C$6,E4556)),Assumptions!$D$6,IF(ISNUMBER(SEARCH(Assumptions!$C$7,E4556)),Assumptions!$D$7,"Other Services"))),"Other Services"))</f>
        <v/>
      </c>
    </row>
    <row r="4557" customFormat="false" ht="15" hidden="false" customHeight="false" outlineLevel="0" collapsed="false">
      <c r="G4557" s="41" t="str">
        <f aca="false">IF(E4557="","",IFERROR(IF(ISNUMBER(SEARCH(Assumptions!$C$5,E4557)),Assumptions!$D$5,IF(ISNUMBER(SEARCH(Assumptions!$C$6,E4557)),Assumptions!$D$6,IF(ISNUMBER(SEARCH(Assumptions!$C$7,E4557)),Assumptions!$D$7,"Other Services"))),"Other Services"))</f>
        <v/>
      </c>
    </row>
    <row r="4558" customFormat="false" ht="15" hidden="false" customHeight="false" outlineLevel="0" collapsed="false">
      <c r="G4558" s="41" t="str">
        <f aca="false">IF(E4558="","",IFERROR(IF(ISNUMBER(SEARCH(Assumptions!$C$5,E4558)),Assumptions!$D$5,IF(ISNUMBER(SEARCH(Assumptions!$C$6,E4558)),Assumptions!$D$6,IF(ISNUMBER(SEARCH(Assumptions!$C$7,E4558)),Assumptions!$D$7,"Other Services"))),"Other Services"))</f>
        <v/>
      </c>
    </row>
    <row r="4559" customFormat="false" ht="15" hidden="false" customHeight="false" outlineLevel="0" collapsed="false">
      <c r="G4559" s="41" t="str">
        <f aca="false">IF(E4559="","",IFERROR(IF(ISNUMBER(SEARCH(Assumptions!$C$5,E4559)),Assumptions!$D$5,IF(ISNUMBER(SEARCH(Assumptions!$C$6,E4559)),Assumptions!$D$6,IF(ISNUMBER(SEARCH(Assumptions!$C$7,E4559)),Assumptions!$D$7,"Other Services"))),"Other Services"))</f>
        <v/>
      </c>
    </row>
    <row r="4560" customFormat="false" ht="15" hidden="false" customHeight="false" outlineLevel="0" collapsed="false">
      <c r="G4560" s="41" t="str">
        <f aca="false">IF(E4560="","",IFERROR(IF(ISNUMBER(SEARCH(Assumptions!$C$5,E4560)),Assumptions!$D$5,IF(ISNUMBER(SEARCH(Assumptions!$C$6,E4560)),Assumptions!$D$6,IF(ISNUMBER(SEARCH(Assumptions!$C$7,E4560)),Assumptions!$D$7,"Other Services"))),"Other Services"))</f>
        <v/>
      </c>
    </row>
    <row r="4561" customFormat="false" ht="15" hidden="false" customHeight="false" outlineLevel="0" collapsed="false">
      <c r="G4561" s="41" t="str">
        <f aca="false">IF(E4561="","",IFERROR(IF(ISNUMBER(SEARCH(Assumptions!$C$5,E4561)),Assumptions!$D$5,IF(ISNUMBER(SEARCH(Assumptions!$C$6,E4561)),Assumptions!$D$6,IF(ISNUMBER(SEARCH(Assumptions!$C$7,E4561)),Assumptions!$D$7,"Other Services"))),"Other Services"))</f>
        <v/>
      </c>
    </row>
    <row r="4562" customFormat="false" ht="15" hidden="false" customHeight="false" outlineLevel="0" collapsed="false">
      <c r="G4562" s="41" t="str">
        <f aca="false">IF(E4562="","",IFERROR(IF(ISNUMBER(SEARCH(Assumptions!$C$5,E4562)),Assumptions!$D$5,IF(ISNUMBER(SEARCH(Assumptions!$C$6,E4562)),Assumptions!$D$6,IF(ISNUMBER(SEARCH(Assumptions!$C$7,E4562)),Assumptions!$D$7,"Other Services"))),"Other Services"))</f>
        <v/>
      </c>
    </row>
    <row r="4563" customFormat="false" ht="15" hidden="false" customHeight="false" outlineLevel="0" collapsed="false">
      <c r="G4563" s="41" t="str">
        <f aca="false">IF(E4563="","",IFERROR(IF(ISNUMBER(SEARCH(Assumptions!$C$5,E4563)),Assumptions!$D$5,IF(ISNUMBER(SEARCH(Assumptions!$C$6,E4563)),Assumptions!$D$6,IF(ISNUMBER(SEARCH(Assumptions!$C$7,E4563)),Assumptions!$D$7,"Other Services"))),"Other Services"))</f>
        <v/>
      </c>
    </row>
    <row r="4564" customFormat="false" ht="15" hidden="false" customHeight="false" outlineLevel="0" collapsed="false">
      <c r="G4564" s="41" t="str">
        <f aca="false">IF(E4564="","",IFERROR(IF(ISNUMBER(SEARCH(Assumptions!$C$5,E4564)),Assumptions!$D$5,IF(ISNUMBER(SEARCH(Assumptions!$C$6,E4564)),Assumptions!$D$6,IF(ISNUMBER(SEARCH(Assumptions!$C$7,E4564)),Assumptions!$D$7,"Other Services"))),"Other Services"))</f>
        <v/>
      </c>
    </row>
    <row r="4565" customFormat="false" ht="15" hidden="false" customHeight="false" outlineLevel="0" collapsed="false">
      <c r="G4565" s="41" t="str">
        <f aca="false">IF(E4565="","",IFERROR(IF(ISNUMBER(SEARCH(Assumptions!$C$5,E4565)),Assumptions!$D$5,IF(ISNUMBER(SEARCH(Assumptions!$C$6,E4565)),Assumptions!$D$6,IF(ISNUMBER(SEARCH(Assumptions!$C$7,E4565)),Assumptions!$D$7,"Other Services"))),"Other Services"))</f>
        <v/>
      </c>
    </row>
    <row r="4566" customFormat="false" ht="15" hidden="false" customHeight="false" outlineLevel="0" collapsed="false">
      <c r="G4566" s="41" t="str">
        <f aca="false">IF(E4566="","",IFERROR(IF(ISNUMBER(SEARCH(Assumptions!$C$5,E4566)),Assumptions!$D$5,IF(ISNUMBER(SEARCH(Assumptions!$C$6,E4566)),Assumptions!$D$6,IF(ISNUMBER(SEARCH(Assumptions!$C$7,E4566)),Assumptions!$D$7,"Other Services"))),"Other Services"))</f>
        <v/>
      </c>
    </row>
    <row r="4567" customFormat="false" ht="15" hidden="false" customHeight="false" outlineLevel="0" collapsed="false">
      <c r="G4567" s="41" t="str">
        <f aca="false">IF(E4567="","",IFERROR(IF(ISNUMBER(SEARCH(Assumptions!$C$5,E4567)),Assumptions!$D$5,IF(ISNUMBER(SEARCH(Assumptions!$C$6,E4567)),Assumptions!$D$6,IF(ISNUMBER(SEARCH(Assumptions!$C$7,E4567)),Assumptions!$D$7,"Other Services"))),"Other Services"))</f>
        <v/>
      </c>
    </row>
    <row r="4568" customFormat="false" ht="15" hidden="false" customHeight="false" outlineLevel="0" collapsed="false">
      <c r="G4568" s="41" t="str">
        <f aca="false">IF(E4568="","",IFERROR(IF(ISNUMBER(SEARCH(Assumptions!$C$5,E4568)),Assumptions!$D$5,IF(ISNUMBER(SEARCH(Assumptions!$C$6,E4568)),Assumptions!$D$6,IF(ISNUMBER(SEARCH(Assumptions!$C$7,E4568)),Assumptions!$D$7,"Other Services"))),"Other Services"))</f>
        <v/>
      </c>
    </row>
    <row r="4569" customFormat="false" ht="15" hidden="false" customHeight="false" outlineLevel="0" collapsed="false">
      <c r="G4569" s="41" t="str">
        <f aca="false">IF(E4569="","",IFERROR(IF(ISNUMBER(SEARCH(Assumptions!$C$5,E4569)),Assumptions!$D$5,IF(ISNUMBER(SEARCH(Assumptions!$C$6,E4569)),Assumptions!$D$6,IF(ISNUMBER(SEARCH(Assumptions!$C$7,E4569)),Assumptions!$D$7,"Other Services"))),"Other Services"))</f>
        <v/>
      </c>
    </row>
    <row r="4570" customFormat="false" ht="15" hidden="false" customHeight="false" outlineLevel="0" collapsed="false">
      <c r="G4570" s="41" t="str">
        <f aca="false">IF(E4570="","",IFERROR(IF(ISNUMBER(SEARCH(Assumptions!$C$5,E4570)),Assumptions!$D$5,IF(ISNUMBER(SEARCH(Assumptions!$C$6,E4570)),Assumptions!$D$6,IF(ISNUMBER(SEARCH(Assumptions!$C$7,E4570)),Assumptions!$D$7,"Other Services"))),"Other Services"))</f>
        <v/>
      </c>
    </row>
    <row r="4571" customFormat="false" ht="15" hidden="false" customHeight="false" outlineLevel="0" collapsed="false">
      <c r="G4571" s="41" t="str">
        <f aca="false">IF(E4571="","",IFERROR(IF(ISNUMBER(SEARCH(Assumptions!$C$5,E4571)),Assumptions!$D$5,IF(ISNUMBER(SEARCH(Assumptions!$C$6,E4571)),Assumptions!$D$6,IF(ISNUMBER(SEARCH(Assumptions!$C$7,E4571)),Assumptions!$D$7,"Other Services"))),"Other Services"))</f>
        <v/>
      </c>
    </row>
    <row r="4572" customFormat="false" ht="15" hidden="false" customHeight="false" outlineLevel="0" collapsed="false">
      <c r="G4572" s="41" t="str">
        <f aca="false">IF(E4572="","",IFERROR(IF(ISNUMBER(SEARCH(Assumptions!$C$5,E4572)),Assumptions!$D$5,IF(ISNUMBER(SEARCH(Assumptions!$C$6,E4572)),Assumptions!$D$6,IF(ISNUMBER(SEARCH(Assumptions!$C$7,E4572)),Assumptions!$D$7,"Other Services"))),"Other Services"))</f>
        <v/>
      </c>
    </row>
    <row r="4573" customFormat="false" ht="15" hidden="false" customHeight="false" outlineLevel="0" collapsed="false">
      <c r="G4573" s="41" t="str">
        <f aca="false">IF(E4573="","",IFERROR(IF(ISNUMBER(SEARCH(Assumptions!$C$5,E4573)),Assumptions!$D$5,IF(ISNUMBER(SEARCH(Assumptions!$C$6,E4573)),Assumptions!$D$6,IF(ISNUMBER(SEARCH(Assumptions!$C$7,E4573)),Assumptions!$D$7,"Other Services"))),"Other Services"))</f>
        <v/>
      </c>
    </row>
    <row r="4574" customFormat="false" ht="15" hidden="false" customHeight="false" outlineLevel="0" collapsed="false">
      <c r="G4574" s="41" t="str">
        <f aca="false">IF(E4574="","",IFERROR(IF(ISNUMBER(SEARCH(Assumptions!$C$5,E4574)),Assumptions!$D$5,IF(ISNUMBER(SEARCH(Assumptions!$C$6,E4574)),Assumptions!$D$6,IF(ISNUMBER(SEARCH(Assumptions!$C$7,E4574)),Assumptions!$D$7,"Other Services"))),"Other Services"))</f>
        <v/>
      </c>
    </row>
    <row r="4575" customFormat="false" ht="15" hidden="false" customHeight="false" outlineLevel="0" collapsed="false">
      <c r="G4575" s="41" t="str">
        <f aca="false">IF(E4575="","",IFERROR(IF(ISNUMBER(SEARCH(Assumptions!$C$5,E4575)),Assumptions!$D$5,IF(ISNUMBER(SEARCH(Assumptions!$C$6,E4575)),Assumptions!$D$6,IF(ISNUMBER(SEARCH(Assumptions!$C$7,E4575)),Assumptions!$D$7,"Other Services"))),"Other Services"))</f>
        <v/>
      </c>
    </row>
    <row r="4576" customFormat="false" ht="15" hidden="false" customHeight="false" outlineLevel="0" collapsed="false">
      <c r="G4576" s="41" t="str">
        <f aca="false">IF(E4576="","",IFERROR(IF(ISNUMBER(SEARCH(Assumptions!$C$5,E4576)),Assumptions!$D$5,IF(ISNUMBER(SEARCH(Assumptions!$C$6,E4576)),Assumptions!$D$6,IF(ISNUMBER(SEARCH(Assumptions!$C$7,E4576)),Assumptions!$D$7,"Other Services"))),"Other Services"))</f>
        <v/>
      </c>
    </row>
    <row r="4577" customFormat="false" ht="15" hidden="false" customHeight="false" outlineLevel="0" collapsed="false">
      <c r="G4577" s="41" t="str">
        <f aca="false">IF(E4577="","",IFERROR(IF(ISNUMBER(SEARCH(Assumptions!$C$5,E4577)),Assumptions!$D$5,IF(ISNUMBER(SEARCH(Assumptions!$C$6,E4577)),Assumptions!$D$6,IF(ISNUMBER(SEARCH(Assumptions!$C$7,E4577)),Assumptions!$D$7,"Other Services"))),"Other Services"))</f>
        <v/>
      </c>
    </row>
    <row r="4578" customFormat="false" ht="15" hidden="false" customHeight="false" outlineLevel="0" collapsed="false">
      <c r="G4578" s="41" t="str">
        <f aca="false">IF(E4578="","",IFERROR(IF(ISNUMBER(SEARCH(Assumptions!$C$5,E4578)),Assumptions!$D$5,IF(ISNUMBER(SEARCH(Assumptions!$C$6,E4578)),Assumptions!$D$6,IF(ISNUMBER(SEARCH(Assumptions!$C$7,E4578)),Assumptions!$D$7,"Other Services"))),"Other Services"))</f>
        <v/>
      </c>
    </row>
    <row r="4579" customFormat="false" ht="15" hidden="false" customHeight="false" outlineLevel="0" collapsed="false">
      <c r="G4579" s="41" t="str">
        <f aca="false">IF(E4579="","",IFERROR(IF(ISNUMBER(SEARCH(Assumptions!$C$5,E4579)),Assumptions!$D$5,IF(ISNUMBER(SEARCH(Assumptions!$C$6,E4579)),Assumptions!$D$6,IF(ISNUMBER(SEARCH(Assumptions!$C$7,E4579)),Assumptions!$D$7,"Other Services"))),"Other Services"))</f>
        <v/>
      </c>
    </row>
    <row r="4580" customFormat="false" ht="15" hidden="false" customHeight="false" outlineLevel="0" collapsed="false">
      <c r="G4580" s="41" t="str">
        <f aca="false">IF(E4580="","",IFERROR(IF(ISNUMBER(SEARCH(Assumptions!$C$5,E4580)),Assumptions!$D$5,IF(ISNUMBER(SEARCH(Assumptions!$C$6,E4580)),Assumptions!$D$6,IF(ISNUMBER(SEARCH(Assumptions!$C$7,E4580)),Assumptions!$D$7,"Other Services"))),"Other Services"))</f>
        <v/>
      </c>
    </row>
    <row r="4581" customFormat="false" ht="15" hidden="false" customHeight="false" outlineLevel="0" collapsed="false">
      <c r="G4581" s="41" t="str">
        <f aca="false">IF(E4581="","",IFERROR(IF(ISNUMBER(SEARCH(Assumptions!$C$5,E4581)),Assumptions!$D$5,IF(ISNUMBER(SEARCH(Assumptions!$C$6,E4581)),Assumptions!$D$6,IF(ISNUMBER(SEARCH(Assumptions!$C$7,E4581)),Assumptions!$D$7,"Other Services"))),"Other Services"))</f>
        <v/>
      </c>
    </row>
    <row r="4582" customFormat="false" ht="15" hidden="false" customHeight="false" outlineLevel="0" collapsed="false">
      <c r="G4582" s="41" t="str">
        <f aca="false">IF(E4582="","",IFERROR(IF(ISNUMBER(SEARCH(Assumptions!$C$5,E4582)),Assumptions!$D$5,IF(ISNUMBER(SEARCH(Assumptions!$C$6,E4582)),Assumptions!$D$6,IF(ISNUMBER(SEARCH(Assumptions!$C$7,E4582)),Assumptions!$D$7,"Other Services"))),"Other Services"))</f>
        <v/>
      </c>
    </row>
    <row r="4583" customFormat="false" ht="15" hidden="false" customHeight="false" outlineLevel="0" collapsed="false">
      <c r="G4583" s="41" t="str">
        <f aca="false">IF(E4583="","",IFERROR(IF(ISNUMBER(SEARCH(Assumptions!$C$5,E4583)),Assumptions!$D$5,IF(ISNUMBER(SEARCH(Assumptions!$C$6,E4583)),Assumptions!$D$6,IF(ISNUMBER(SEARCH(Assumptions!$C$7,E4583)),Assumptions!$D$7,"Other Services"))),"Other Services"))</f>
        <v/>
      </c>
    </row>
    <row r="4584" customFormat="false" ht="15" hidden="false" customHeight="false" outlineLevel="0" collapsed="false">
      <c r="G4584" s="41" t="str">
        <f aca="false">IF(E4584="","",IFERROR(IF(ISNUMBER(SEARCH(Assumptions!$C$5,E4584)),Assumptions!$D$5,IF(ISNUMBER(SEARCH(Assumptions!$C$6,E4584)),Assumptions!$D$6,IF(ISNUMBER(SEARCH(Assumptions!$C$7,E4584)),Assumptions!$D$7,"Other Services"))),"Other Services"))</f>
        <v/>
      </c>
    </row>
    <row r="4585" customFormat="false" ht="15" hidden="false" customHeight="false" outlineLevel="0" collapsed="false">
      <c r="G4585" s="41" t="str">
        <f aca="false">IF(E4585="","",IFERROR(IF(ISNUMBER(SEARCH(Assumptions!$C$5,E4585)),Assumptions!$D$5,IF(ISNUMBER(SEARCH(Assumptions!$C$6,E4585)),Assumptions!$D$6,IF(ISNUMBER(SEARCH(Assumptions!$C$7,E4585)),Assumptions!$D$7,"Other Services"))),"Other Services"))</f>
        <v/>
      </c>
    </row>
    <row r="4586" customFormat="false" ht="15" hidden="false" customHeight="false" outlineLevel="0" collapsed="false">
      <c r="G4586" s="41" t="str">
        <f aca="false">IF(E4586="","",IFERROR(IF(ISNUMBER(SEARCH(Assumptions!$C$5,E4586)),Assumptions!$D$5,IF(ISNUMBER(SEARCH(Assumptions!$C$6,E4586)),Assumptions!$D$6,IF(ISNUMBER(SEARCH(Assumptions!$C$7,E4586)),Assumptions!$D$7,"Other Services"))),"Other Services"))</f>
        <v/>
      </c>
    </row>
    <row r="4587" customFormat="false" ht="15" hidden="false" customHeight="false" outlineLevel="0" collapsed="false">
      <c r="G4587" s="41" t="str">
        <f aca="false">IF(E4587="","",IFERROR(IF(ISNUMBER(SEARCH(Assumptions!$C$5,E4587)),Assumptions!$D$5,IF(ISNUMBER(SEARCH(Assumptions!$C$6,E4587)),Assumptions!$D$6,IF(ISNUMBER(SEARCH(Assumptions!$C$7,E4587)),Assumptions!$D$7,"Other Services"))),"Other Services"))</f>
        <v/>
      </c>
    </row>
    <row r="4588" customFormat="false" ht="15" hidden="false" customHeight="false" outlineLevel="0" collapsed="false">
      <c r="G4588" s="41" t="str">
        <f aca="false">IF(E4588="","",IFERROR(IF(ISNUMBER(SEARCH(Assumptions!$C$5,E4588)),Assumptions!$D$5,IF(ISNUMBER(SEARCH(Assumptions!$C$6,E4588)),Assumptions!$D$6,IF(ISNUMBER(SEARCH(Assumptions!$C$7,E4588)),Assumptions!$D$7,"Other Services"))),"Other Services"))</f>
        <v/>
      </c>
    </row>
    <row r="4589" customFormat="false" ht="15" hidden="false" customHeight="false" outlineLevel="0" collapsed="false">
      <c r="G4589" s="41" t="str">
        <f aca="false">IF(E4589="","",IFERROR(IF(ISNUMBER(SEARCH(Assumptions!$C$5,E4589)),Assumptions!$D$5,IF(ISNUMBER(SEARCH(Assumptions!$C$6,E4589)),Assumptions!$D$6,IF(ISNUMBER(SEARCH(Assumptions!$C$7,E4589)),Assumptions!$D$7,"Other Services"))),"Other Services"))</f>
        <v/>
      </c>
    </row>
    <row r="4590" customFormat="false" ht="15" hidden="false" customHeight="false" outlineLevel="0" collapsed="false">
      <c r="G4590" s="41" t="str">
        <f aca="false">IF(E4590="","",IFERROR(IF(ISNUMBER(SEARCH(Assumptions!$C$5,E4590)),Assumptions!$D$5,IF(ISNUMBER(SEARCH(Assumptions!$C$6,E4590)),Assumptions!$D$6,IF(ISNUMBER(SEARCH(Assumptions!$C$7,E4590)),Assumptions!$D$7,"Other Services"))),"Other Services"))</f>
        <v/>
      </c>
    </row>
    <row r="4591" customFormat="false" ht="15" hidden="false" customHeight="false" outlineLevel="0" collapsed="false">
      <c r="G4591" s="41" t="str">
        <f aca="false">IF(E4591="","",IFERROR(IF(ISNUMBER(SEARCH(Assumptions!$C$5,E4591)),Assumptions!$D$5,IF(ISNUMBER(SEARCH(Assumptions!$C$6,E4591)),Assumptions!$D$6,IF(ISNUMBER(SEARCH(Assumptions!$C$7,E4591)),Assumptions!$D$7,"Other Services"))),"Other Services"))</f>
        <v/>
      </c>
    </row>
    <row r="4592" customFormat="false" ht="15" hidden="false" customHeight="false" outlineLevel="0" collapsed="false">
      <c r="G4592" s="41" t="str">
        <f aca="false">IF(E4592="","",IFERROR(IF(ISNUMBER(SEARCH(Assumptions!$C$5,E4592)),Assumptions!$D$5,IF(ISNUMBER(SEARCH(Assumptions!$C$6,E4592)),Assumptions!$D$6,IF(ISNUMBER(SEARCH(Assumptions!$C$7,E4592)),Assumptions!$D$7,"Other Services"))),"Other Services"))</f>
        <v/>
      </c>
    </row>
    <row r="4593" customFormat="false" ht="15" hidden="false" customHeight="false" outlineLevel="0" collapsed="false">
      <c r="G4593" s="41" t="str">
        <f aca="false">IF(E4593="","",IFERROR(IF(ISNUMBER(SEARCH(Assumptions!$C$5,E4593)),Assumptions!$D$5,IF(ISNUMBER(SEARCH(Assumptions!$C$6,E4593)),Assumptions!$D$6,IF(ISNUMBER(SEARCH(Assumptions!$C$7,E4593)),Assumptions!$D$7,"Other Services"))),"Other Services"))</f>
        <v/>
      </c>
    </row>
    <row r="4594" customFormat="false" ht="15" hidden="false" customHeight="false" outlineLevel="0" collapsed="false">
      <c r="G4594" s="41" t="str">
        <f aca="false">IF(E4594="","",IFERROR(IF(ISNUMBER(SEARCH(Assumptions!$C$5,E4594)),Assumptions!$D$5,IF(ISNUMBER(SEARCH(Assumptions!$C$6,E4594)),Assumptions!$D$6,IF(ISNUMBER(SEARCH(Assumptions!$C$7,E4594)),Assumptions!$D$7,"Other Services"))),"Other Services"))</f>
        <v/>
      </c>
    </row>
    <row r="4595" customFormat="false" ht="15" hidden="false" customHeight="false" outlineLevel="0" collapsed="false">
      <c r="G4595" s="41" t="str">
        <f aca="false">IF(E4595="","",IFERROR(IF(ISNUMBER(SEARCH(Assumptions!$C$5,E4595)),Assumptions!$D$5,IF(ISNUMBER(SEARCH(Assumptions!$C$6,E4595)),Assumptions!$D$6,IF(ISNUMBER(SEARCH(Assumptions!$C$7,E4595)),Assumptions!$D$7,"Other Services"))),"Other Services"))</f>
        <v/>
      </c>
    </row>
    <row r="4596" customFormat="false" ht="15" hidden="false" customHeight="false" outlineLevel="0" collapsed="false">
      <c r="G4596" s="41" t="str">
        <f aca="false">IF(E4596="","",IFERROR(IF(ISNUMBER(SEARCH(Assumptions!$C$5,E4596)),Assumptions!$D$5,IF(ISNUMBER(SEARCH(Assumptions!$C$6,E4596)),Assumptions!$D$6,IF(ISNUMBER(SEARCH(Assumptions!$C$7,E4596)),Assumptions!$D$7,"Other Services"))),"Other Services"))</f>
        <v/>
      </c>
    </row>
    <row r="4597" customFormat="false" ht="15" hidden="false" customHeight="false" outlineLevel="0" collapsed="false">
      <c r="G4597" s="41" t="str">
        <f aca="false">IF(E4597="","",IFERROR(IF(ISNUMBER(SEARCH(Assumptions!$C$5,E4597)),Assumptions!$D$5,IF(ISNUMBER(SEARCH(Assumptions!$C$6,E4597)),Assumptions!$D$6,IF(ISNUMBER(SEARCH(Assumptions!$C$7,E4597)),Assumptions!$D$7,"Other Services"))),"Other Services"))</f>
        <v/>
      </c>
    </row>
    <row r="4598" customFormat="false" ht="15" hidden="false" customHeight="false" outlineLevel="0" collapsed="false">
      <c r="G4598" s="41" t="str">
        <f aca="false">IF(E4598="","",IFERROR(IF(ISNUMBER(SEARCH(Assumptions!$C$5,E4598)),Assumptions!$D$5,IF(ISNUMBER(SEARCH(Assumptions!$C$6,E4598)),Assumptions!$D$6,IF(ISNUMBER(SEARCH(Assumptions!$C$7,E4598)),Assumptions!$D$7,"Other Services"))),"Other Services"))</f>
        <v/>
      </c>
    </row>
    <row r="4599" customFormat="false" ht="15" hidden="false" customHeight="false" outlineLevel="0" collapsed="false">
      <c r="G4599" s="41" t="str">
        <f aca="false">IF(E4599="","",IFERROR(IF(ISNUMBER(SEARCH(Assumptions!$C$5,E4599)),Assumptions!$D$5,IF(ISNUMBER(SEARCH(Assumptions!$C$6,E4599)),Assumptions!$D$6,IF(ISNUMBER(SEARCH(Assumptions!$C$7,E4599)),Assumptions!$D$7,"Other Services"))),"Other Services"))</f>
        <v/>
      </c>
    </row>
    <row r="4600" customFormat="false" ht="15" hidden="false" customHeight="false" outlineLevel="0" collapsed="false">
      <c r="G4600" s="41" t="str">
        <f aca="false">IF(E4600="","",IFERROR(IF(ISNUMBER(SEARCH(Assumptions!$C$5,E4600)),Assumptions!$D$5,IF(ISNUMBER(SEARCH(Assumptions!$C$6,E4600)),Assumptions!$D$6,IF(ISNUMBER(SEARCH(Assumptions!$C$7,E4600)),Assumptions!$D$7,"Other Services"))),"Other Services"))</f>
        <v/>
      </c>
    </row>
    <row r="4601" customFormat="false" ht="15" hidden="false" customHeight="false" outlineLevel="0" collapsed="false">
      <c r="G4601" s="41" t="str">
        <f aca="false">IF(E4601="","",IFERROR(IF(ISNUMBER(SEARCH(Assumptions!$C$5,E4601)),Assumptions!$D$5,IF(ISNUMBER(SEARCH(Assumptions!$C$6,E4601)),Assumptions!$D$6,IF(ISNUMBER(SEARCH(Assumptions!$C$7,E4601)),Assumptions!$D$7,"Other Services"))),"Other Services"))</f>
        <v/>
      </c>
    </row>
    <row r="4602" customFormat="false" ht="15" hidden="false" customHeight="false" outlineLevel="0" collapsed="false">
      <c r="G4602" s="41" t="str">
        <f aca="false">IF(E4602="","",IFERROR(IF(ISNUMBER(SEARCH(Assumptions!$C$5,E4602)),Assumptions!$D$5,IF(ISNUMBER(SEARCH(Assumptions!$C$6,E4602)),Assumptions!$D$6,IF(ISNUMBER(SEARCH(Assumptions!$C$7,E4602)),Assumptions!$D$7,"Other Services"))),"Other Services"))</f>
        <v/>
      </c>
    </row>
    <row r="4603" customFormat="false" ht="15" hidden="false" customHeight="false" outlineLevel="0" collapsed="false">
      <c r="G4603" s="41" t="str">
        <f aca="false">IF(E4603="","",IFERROR(IF(ISNUMBER(SEARCH(Assumptions!$C$5,E4603)),Assumptions!$D$5,IF(ISNUMBER(SEARCH(Assumptions!$C$6,E4603)),Assumptions!$D$6,IF(ISNUMBER(SEARCH(Assumptions!$C$7,E4603)),Assumptions!$D$7,"Other Services"))),"Other Services"))</f>
        <v/>
      </c>
    </row>
    <row r="4604" customFormat="false" ht="15" hidden="false" customHeight="false" outlineLevel="0" collapsed="false">
      <c r="G4604" s="41" t="str">
        <f aca="false">IF(E4604="","",IFERROR(IF(ISNUMBER(SEARCH(Assumptions!$C$5,E4604)),Assumptions!$D$5,IF(ISNUMBER(SEARCH(Assumptions!$C$6,E4604)),Assumptions!$D$6,IF(ISNUMBER(SEARCH(Assumptions!$C$7,E4604)),Assumptions!$D$7,"Other Services"))),"Other Services"))</f>
        <v/>
      </c>
    </row>
    <row r="4605" customFormat="false" ht="15" hidden="false" customHeight="false" outlineLevel="0" collapsed="false">
      <c r="G4605" s="41" t="str">
        <f aca="false">IF(E4605="","",IFERROR(IF(ISNUMBER(SEARCH(Assumptions!$C$5,E4605)),Assumptions!$D$5,IF(ISNUMBER(SEARCH(Assumptions!$C$6,E4605)),Assumptions!$D$6,IF(ISNUMBER(SEARCH(Assumptions!$C$7,E4605)),Assumptions!$D$7,"Other Services"))),"Other Services"))</f>
        <v/>
      </c>
    </row>
    <row r="4606" customFormat="false" ht="15" hidden="false" customHeight="false" outlineLevel="0" collapsed="false">
      <c r="G4606" s="41" t="str">
        <f aca="false">IF(E4606="","",IFERROR(IF(ISNUMBER(SEARCH(Assumptions!$C$5,E4606)),Assumptions!$D$5,IF(ISNUMBER(SEARCH(Assumptions!$C$6,E4606)),Assumptions!$D$6,IF(ISNUMBER(SEARCH(Assumptions!$C$7,E4606)),Assumptions!$D$7,"Other Services"))),"Other Services"))</f>
        <v/>
      </c>
    </row>
    <row r="4607" customFormat="false" ht="15" hidden="false" customHeight="false" outlineLevel="0" collapsed="false">
      <c r="G4607" s="41" t="str">
        <f aca="false">IF(E4607="","",IFERROR(IF(ISNUMBER(SEARCH(Assumptions!$C$5,E4607)),Assumptions!$D$5,IF(ISNUMBER(SEARCH(Assumptions!$C$6,E4607)),Assumptions!$D$6,IF(ISNUMBER(SEARCH(Assumptions!$C$7,E4607)),Assumptions!$D$7,"Other Services"))),"Other Services"))</f>
        <v/>
      </c>
    </row>
    <row r="4608" customFormat="false" ht="15" hidden="false" customHeight="false" outlineLevel="0" collapsed="false">
      <c r="G4608" s="41" t="str">
        <f aca="false">IF(E4608="","",IFERROR(IF(ISNUMBER(SEARCH(Assumptions!$C$5,E4608)),Assumptions!$D$5,IF(ISNUMBER(SEARCH(Assumptions!$C$6,E4608)),Assumptions!$D$6,IF(ISNUMBER(SEARCH(Assumptions!$C$7,E4608)),Assumptions!$D$7,"Other Services"))),"Other Services"))</f>
        <v/>
      </c>
    </row>
    <row r="4609" customFormat="false" ht="15" hidden="false" customHeight="false" outlineLevel="0" collapsed="false">
      <c r="G4609" s="41" t="str">
        <f aca="false">IF(E4609="","",IFERROR(IF(ISNUMBER(SEARCH(Assumptions!$C$5,E4609)),Assumptions!$D$5,IF(ISNUMBER(SEARCH(Assumptions!$C$6,E4609)),Assumptions!$D$6,IF(ISNUMBER(SEARCH(Assumptions!$C$7,E4609)),Assumptions!$D$7,"Other Services"))),"Other Services"))</f>
        <v/>
      </c>
    </row>
    <row r="4610" customFormat="false" ht="15" hidden="false" customHeight="false" outlineLevel="0" collapsed="false">
      <c r="G4610" s="41" t="str">
        <f aca="false">IF(E4610="","",IFERROR(IF(ISNUMBER(SEARCH(Assumptions!$C$5,E4610)),Assumptions!$D$5,IF(ISNUMBER(SEARCH(Assumptions!$C$6,E4610)),Assumptions!$D$6,IF(ISNUMBER(SEARCH(Assumptions!$C$7,E4610)),Assumptions!$D$7,"Other Services"))),"Other Services"))</f>
        <v/>
      </c>
    </row>
    <row r="4611" customFormat="false" ht="15" hidden="false" customHeight="false" outlineLevel="0" collapsed="false">
      <c r="G4611" s="41" t="str">
        <f aca="false">IF(E4611="","",IFERROR(IF(ISNUMBER(SEARCH(Assumptions!$C$5,E4611)),Assumptions!$D$5,IF(ISNUMBER(SEARCH(Assumptions!$C$6,E4611)),Assumptions!$D$6,IF(ISNUMBER(SEARCH(Assumptions!$C$7,E4611)),Assumptions!$D$7,"Other Services"))),"Other Services"))</f>
        <v/>
      </c>
    </row>
    <row r="4612" customFormat="false" ht="15" hidden="false" customHeight="false" outlineLevel="0" collapsed="false">
      <c r="G4612" s="41" t="str">
        <f aca="false">IF(E4612="","",IFERROR(IF(ISNUMBER(SEARCH(Assumptions!$C$5,E4612)),Assumptions!$D$5,IF(ISNUMBER(SEARCH(Assumptions!$C$6,E4612)),Assumptions!$D$6,IF(ISNUMBER(SEARCH(Assumptions!$C$7,E4612)),Assumptions!$D$7,"Other Services"))),"Other Services"))</f>
        <v/>
      </c>
    </row>
    <row r="4613" customFormat="false" ht="15" hidden="false" customHeight="false" outlineLevel="0" collapsed="false">
      <c r="G4613" s="41" t="str">
        <f aca="false">IF(E4613="","",IFERROR(IF(ISNUMBER(SEARCH(Assumptions!$C$5,E4613)),Assumptions!$D$5,IF(ISNUMBER(SEARCH(Assumptions!$C$6,E4613)),Assumptions!$D$6,IF(ISNUMBER(SEARCH(Assumptions!$C$7,E4613)),Assumptions!$D$7,"Other Services"))),"Other Services"))</f>
        <v/>
      </c>
    </row>
    <row r="4614" customFormat="false" ht="15" hidden="false" customHeight="false" outlineLevel="0" collapsed="false">
      <c r="G4614" s="41" t="str">
        <f aca="false">IF(E4614="","",IFERROR(IF(ISNUMBER(SEARCH(Assumptions!$C$5,E4614)),Assumptions!$D$5,IF(ISNUMBER(SEARCH(Assumptions!$C$6,E4614)),Assumptions!$D$6,IF(ISNUMBER(SEARCH(Assumptions!$C$7,E4614)),Assumptions!$D$7,"Other Services"))),"Other Services"))</f>
        <v/>
      </c>
    </row>
    <row r="4615" customFormat="false" ht="15" hidden="false" customHeight="false" outlineLevel="0" collapsed="false">
      <c r="G4615" s="41" t="str">
        <f aca="false">IF(E4615="","",IFERROR(IF(ISNUMBER(SEARCH(Assumptions!$C$5,E4615)),Assumptions!$D$5,IF(ISNUMBER(SEARCH(Assumptions!$C$6,E4615)),Assumptions!$D$6,IF(ISNUMBER(SEARCH(Assumptions!$C$7,E4615)),Assumptions!$D$7,"Other Services"))),"Other Services"))</f>
        <v/>
      </c>
    </row>
    <row r="4616" customFormat="false" ht="15" hidden="false" customHeight="false" outlineLevel="0" collapsed="false">
      <c r="G4616" s="41" t="str">
        <f aca="false">IF(E4616="","",IFERROR(IF(ISNUMBER(SEARCH(Assumptions!$C$5,E4616)),Assumptions!$D$5,IF(ISNUMBER(SEARCH(Assumptions!$C$6,E4616)),Assumptions!$D$6,IF(ISNUMBER(SEARCH(Assumptions!$C$7,E4616)),Assumptions!$D$7,"Other Services"))),"Other Services"))</f>
        <v/>
      </c>
    </row>
    <row r="4617" customFormat="false" ht="15" hidden="false" customHeight="false" outlineLevel="0" collapsed="false">
      <c r="G4617" s="41" t="str">
        <f aca="false">IF(E4617="","",IFERROR(IF(ISNUMBER(SEARCH(Assumptions!$C$5,E4617)),Assumptions!$D$5,IF(ISNUMBER(SEARCH(Assumptions!$C$6,E4617)),Assumptions!$D$6,IF(ISNUMBER(SEARCH(Assumptions!$C$7,E4617)),Assumptions!$D$7,"Other Services"))),"Other Services"))</f>
        <v/>
      </c>
    </row>
    <row r="4618" customFormat="false" ht="15" hidden="false" customHeight="false" outlineLevel="0" collapsed="false">
      <c r="G4618" s="41" t="str">
        <f aca="false">IF(E4618="","",IFERROR(IF(ISNUMBER(SEARCH(Assumptions!$C$5,E4618)),Assumptions!$D$5,IF(ISNUMBER(SEARCH(Assumptions!$C$6,E4618)),Assumptions!$D$6,IF(ISNUMBER(SEARCH(Assumptions!$C$7,E4618)),Assumptions!$D$7,"Other Services"))),"Other Services"))</f>
        <v/>
      </c>
    </row>
    <row r="4619" customFormat="false" ht="15" hidden="false" customHeight="false" outlineLevel="0" collapsed="false">
      <c r="G4619" s="41" t="str">
        <f aca="false">IF(E4619="","",IFERROR(IF(ISNUMBER(SEARCH(Assumptions!$C$5,E4619)),Assumptions!$D$5,IF(ISNUMBER(SEARCH(Assumptions!$C$6,E4619)),Assumptions!$D$6,IF(ISNUMBER(SEARCH(Assumptions!$C$7,E4619)),Assumptions!$D$7,"Other Services"))),"Other Services"))</f>
        <v/>
      </c>
    </row>
    <row r="4620" customFormat="false" ht="15" hidden="false" customHeight="false" outlineLevel="0" collapsed="false">
      <c r="G4620" s="41" t="str">
        <f aca="false">IF(E4620="","",IFERROR(IF(ISNUMBER(SEARCH(Assumptions!$C$5,E4620)),Assumptions!$D$5,IF(ISNUMBER(SEARCH(Assumptions!$C$6,E4620)),Assumptions!$D$6,IF(ISNUMBER(SEARCH(Assumptions!$C$7,E4620)),Assumptions!$D$7,"Other Services"))),"Other Services"))</f>
        <v/>
      </c>
    </row>
    <row r="4621" customFormat="false" ht="15" hidden="false" customHeight="false" outlineLevel="0" collapsed="false">
      <c r="G4621" s="41" t="str">
        <f aca="false">IF(E4621="","",IFERROR(IF(ISNUMBER(SEARCH(Assumptions!$C$5,E4621)),Assumptions!$D$5,IF(ISNUMBER(SEARCH(Assumptions!$C$6,E4621)),Assumptions!$D$6,IF(ISNUMBER(SEARCH(Assumptions!$C$7,E4621)),Assumptions!$D$7,"Other Services"))),"Other Services"))</f>
        <v/>
      </c>
    </row>
    <row r="4622" customFormat="false" ht="15" hidden="false" customHeight="false" outlineLevel="0" collapsed="false">
      <c r="G4622" s="41" t="str">
        <f aca="false">IF(E4622="","",IFERROR(IF(ISNUMBER(SEARCH(Assumptions!$C$5,E4622)),Assumptions!$D$5,IF(ISNUMBER(SEARCH(Assumptions!$C$6,E4622)),Assumptions!$D$6,IF(ISNUMBER(SEARCH(Assumptions!$C$7,E4622)),Assumptions!$D$7,"Other Services"))),"Other Services"))</f>
        <v/>
      </c>
    </row>
    <row r="4623" customFormat="false" ht="15" hidden="false" customHeight="false" outlineLevel="0" collapsed="false">
      <c r="G4623" s="41" t="str">
        <f aca="false">IF(E4623="","",IFERROR(IF(ISNUMBER(SEARCH(Assumptions!$C$5,E4623)),Assumptions!$D$5,IF(ISNUMBER(SEARCH(Assumptions!$C$6,E4623)),Assumptions!$D$6,IF(ISNUMBER(SEARCH(Assumptions!$C$7,E4623)),Assumptions!$D$7,"Other Services"))),"Other Services"))</f>
        <v/>
      </c>
    </row>
    <row r="4624" customFormat="false" ht="15" hidden="false" customHeight="false" outlineLevel="0" collapsed="false">
      <c r="G4624" s="41" t="str">
        <f aca="false">IF(E4624="","",IFERROR(IF(ISNUMBER(SEARCH(Assumptions!$C$5,E4624)),Assumptions!$D$5,IF(ISNUMBER(SEARCH(Assumptions!$C$6,E4624)),Assumptions!$D$6,IF(ISNUMBER(SEARCH(Assumptions!$C$7,E4624)),Assumptions!$D$7,"Other Services"))),"Other Services"))</f>
        <v/>
      </c>
    </row>
    <row r="4625" customFormat="false" ht="15" hidden="false" customHeight="false" outlineLevel="0" collapsed="false">
      <c r="G4625" s="41" t="str">
        <f aca="false">IF(E4625="","",IFERROR(IF(ISNUMBER(SEARCH(Assumptions!$C$5,E4625)),Assumptions!$D$5,IF(ISNUMBER(SEARCH(Assumptions!$C$6,E4625)),Assumptions!$D$6,IF(ISNUMBER(SEARCH(Assumptions!$C$7,E4625)),Assumptions!$D$7,"Other Services"))),"Other Services"))</f>
        <v/>
      </c>
    </row>
    <row r="4626" customFormat="false" ht="15" hidden="false" customHeight="false" outlineLevel="0" collapsed="false">
      <c r="G4626" s="41" t="str">
        <f aca="false">IF(E4626="","",IFERROR(IF(ISNUMBER(SEARCH(Assumptions!$C$5,E4626)),Assumptions!$D$5,IF(ISNUMBER(SEARCH(Assumptions!$C$6,E4626)),Assumptions!$D$6,IF(ISNUMBER(SEARCH(Assumptions!$C$7,E4626)),Assumptions!$D$7,"Other Services"))),"Other Services"))</f>
        <v/>
      </c>
    </row>
    <row r="4627" customFormat="false" ht="15" hidden="false" customHeight="false" outlineLevel="0" collapsed="false">
      <c r="G4627" s="41" t="str">
        <f aca="false">IF(E4627="","",IFERROR(IF(ISNUMBER(SEARCH(Assumptions!$C$5,E4627)),Assumptions!$D$5,IF(ISNUMBER(SEARCH(Assumptions!$C$6,E4627)),Assumptions!$D$6,IF(ISNUMBER(SEARCH(Assumptions!$C$7,E4627)),Assumptions!$D$7,"Other Services"))),"Other Services"))</f>
        <v/>
      </c>
    </row>
    <row r="4628" customFormat="false" ht="15" hidden="false" customHeight="false" outlineLevel="0" collapsed="false">
      <c r="G4628" s="41" t="str">
        <f aca="false">IF(E4628="","",IFERROR(IF(ISNUMBER(SEARCH(Assumptions!$C$5,E4628)),Assumptions!$D$5,IF(ISNUMBER(SEARCH(Assumptions!$C$6,E4628)),Assumptions!$D$6,IF(ISNUMBER(SEARCH(Assumptions!$C$7,E4628)),Assumptions!$D$7,"Other Services"))),"Other Services"))</f>
        <v/>
      </c>
    </row>
    <row r="4629" customFormat="false" ht="15" hidden="false" customHeight="false" outlineLevel="0" collapsed="false">
      <c r="G4629" s="41" t="str">
        <f aca="false">IF(E4629="","",IFERROR(IF(ISNUMBER(SEARCH(Assumptions!$C$5,E4629)),Assumptions!$D$5,IF(ISNUMBER(SEARCH(Assumptions!$C$6,E4629)),Assumptions!$D$6,IF(ISNUMBER(SEARCH(Assumptions!$C$7,E4629)),Assumptions!$D$7,"Other Services"))),"Other Services"))</f>
        <v/>
      </c>
    </row>
    <row r="4630" customFormat="false" ht="15" hidden="false" customHeight="false" outlineLevel="0" collapsed="false">
      <c r="G4630" s="41" t="str">
        <f aca="false">IF(E4630="","",IFERROR(IF(ISNUMBER(SEARCH(Assumptions!$C$5,E4630)),Assumptions!$D$5,IF(ISNUMBER(SEARCH(Assumptions!$C$6,E4630)),Assumptions!$D$6,IF(ISNUMBER(SEARCH(Assumptions!$C$7,E4630)),Assumptions!$D$7,"Other Services"))),"Other Services"))</f>
        <v/>
      </c>
    </row>
    <row r="4631" customFormat="false" ht="15" hidden="false" customHeight="false" outlineLevel="0" collapsed="false">
      <c r="G4631" s="41" t="str">
        <f aca="false">IF(E4631="","",IFERROR(IF(ISNUMBER(SEARCH(Assumptions!$C$5,E4631)),Assumptions!$D$5,IF(ISNUMBER(SEARCH(Assumptions!$C$6,E4631)),Assumptions!$D$6,IF(ISNUMBER(SEARCH(Assumptions!$C$7,E4631)),Assumptions!$D$7,"Other Services"))),"Other Services"))</f>
        <v/>
      </c>
    </row>
    <row r="4632" customFormat="false" ht="15" hidden="false" customHeight="false" outlineLevel="0" collapsed="false">
      <c r="G4632" s="41" t="str">
        <f aca="false">IF(E4632="","",IFERROR(IF(ISNUMBER(SEARCH(Assumptions!$C$5,E4632)),Assumptions!$D$5,IF(ISNUMBER(SEARCH(Assumptions!$C$6,E4632)),Assumptions!$D$6,IF(ISNUMBER(SEARCH(Assumptions!$C$7,E4632)),Assumptions!$D$7,"Other Services"))),"Other Services"))</f>
        <v/>
      </c>
    </row>
    <row r="4633" customFormat="false" ht="15" hidden="false" customHeight="false" outlineLevel="0" collapsed="false">
      <c r="G4633" s="41" t="str">
        <f aca="false">IF(E4633="","",IFERROR(IF(ISNUMBER(SEARCH(Assumptions!$C$5,E4633)),Assumptions!$D$5,IF(ISNUMBER(SEARCH(Assumptions!$C$6,E4633)),Assumptions!$D$6,IF(ISNUMBER(SEARCH(Assumptions!$C$7,E4633)),Assumptions!$D$7,"Other Services"))),"Other Services"))</f>
        <v/>
      </c>
    </row>
    <row r="4634" customFormat="false" ht="15" hidden="false" customHeight="false" outlineLevel="0" collapsed="false">
      <c r="G4634" s="41" t="str">
        <f aca="false">IF(E4634="","",IFERROR(IF(ISNUMBER(SEARCH(Assumptions!$C$5,E4634)),Assumptions!$D$5,IF(ISNUMBER(SEARCH(Assumptions!$C$6,E4634)),Assumptions!$D$6,IF(ISNUMBER(SEARCH(Assumptions!$C$7,E4634)),Assumptions!$D$7,"Other Services"))),"Other Services"))</f>
        <v/>
      </c>
    </row>
    <row r="4635" customFormat="false" ht="15" hidden="false" customHeight="false" outlineLevel="0" collapsed="false">
      <c r="G4635" s="41" t="str">
        <f aca="false">IF(E4635="","",IFERROR(IF(ISNUMBER(SEARCH(Assumptions!$C$5,E4635)),Assumptions!$D$5,IF(ISNUMBER(SEARCH(Assumptions!$C$6,E4635)),Assumptions!$D$6,IF(ISNUMBER(SEARCH(Assumptions!$C$7,E4635)),Assumptions!$D$7,"Other Services"))),"Other Services"))</f>
        <v/>
      </c>
    </row>
    <row r="4636" customFormat="false" ht="15" hidden="false" customHeight="false" outlineLevel="0" collapsed="false">
      <c r="G4636" s="41" t="str">
        <f aca="false">IF(E4636="","",IFERROR(IF(ISNUMBER(SEARCH(Assumptions!$C$5,E4636)),Assumptions!$D$5,IF(ISNUMBER(SEARCH(Assumptions!$C$6,E4636)),Assumptions!$D$6,IF(ISNUMBER(SEARCH(Assumptions!$C$7,E4636)),Assumptions!$D$7,"Other Services"))),"Other Services"))</f>
        <v/>
      </c>
    </row>
    <row r="4637" customFormat="false" ht="15" hidden="false" customHeight="false" outlineLevel="0" collapsed="false">
      <c r="G4637" s="41" t="str">
        <f aca="false">IF(E4637="","",IFERROR(IF(ISNUMBER(SEARCH(Assumptions!$C$5,E4637)),Assumptions!$D$5,IF(ISNUMBER(SEARCH(Assumptions!$C$6,E4637)),Assumptions!$D$6,IF(ISNUMBER(SEARCH(Assumptions!$C$7,E4637)),Assumptions!$D$7,"Other Services"))),"Other Services"))</f>
        <v/>
      </c>
    </row>
    <row r="4638" customFormat="false" ht="15" hidden="false" customHeight="false" outlineLevel="0" collapsed="false">
      <c r="G4638" s="41" t="str">
        <f aca="false">IF(E4638="","",IFERROR(IF(ISNUMBER(SEARCH(Assumptions!$C$5,E4638)),Assumptions!$D$5,IF(ISNUMBER(SEARCH(Assumptions!$C$6,E4638)),Assumptions!$D$6,IF(ISNUMBER(SEARCH(Assumptions!$C$7,E4638)),Assumptions!$D$7,"Other Services"))),"Other Services"))</f>
        <v/>
      </c>
    </row>
    <row r="4639" customFormat="false" ht="15" hidden="false" customHeight="false" outlineLevel="0" collapsed="false">
      <c r="G4639" s="41" t="str">
        <f aca="false">IF(E4639="","",IFERROR(IF(ISNUMBER(SEARCH(Assumptions!$C$5,E4639)),Assumptions!$D$5,IF(ISNUMBER(SEARCH(Assumptions!$C$6,E4639)),Assumptions!$D$6,IF(ISNUMBER(SEARCH(Assumptions!$C$7,E4639)),Assumptions!$D$7,"Other Services"))),"Other Services"))</f>
        <v/>
      </c>
    </row>
    <row r="4640" customFormat="false" ht="15" hidden="false" customHeight="false" outlineLevel="0" collapsed="false">
      <c r="G4640" s="41" t="str">
        <f aca="false">IF(E4640="","",IFERROR(IF(ISNUMBER(SEARCH(Assumptions!$C$5,E4640)),Assumptions!$D$5,IF(ISNUMBER(SEARCH(Assumptions!$C$6,E4640)),Assumptions!$D$6,IF(ISNUMBER(SEARCH(Assumptions!$C$7,E4640)),Assumptions!$D$7,"Other Services"))),"Other Services"))</f>
        <v/>
      </c>
    </row>
    <row r="4641" customFormat="false" ht="15" hidden="false" customHeight="false" outlineLevel="0" collapsed="false">
      <c r="G4641" s="41" t="str">
        <f aca="false">IF(E4641="","",IFERROR(IF(ISNUMBER(SEARCH(Assumptions!$C$5,E4641)),Assumptions!$D$5,IF(ISNUMBER(SEARCH(Assumptions!$C$6,E4641)),Assumptions!$D$6,IF(ISNUMBER(SEARCH(Assumptions!$C$7,E4641)),Assumptions!$D$7,"Other Services"))),"Other Services"))</f>
        <v/>
      </c>
    </row>
    <row r="4642" customFormat="false" ht="15" hidden="false" customHeight="false" outlineLevel="0" collapsed="false">
      <c r="G4642" s="41" t="str">
        <f aca="false">IF(E4642="","",IFERROR(IF(ISNUMBER(SEARCH(Assumptions!$C$5,E4642)),Assumptions!$D$5,IF(ISNUMBER(SEARCH(Assumptions!$C$6,E4642)),Assumptions!$D$6,IF(ISNUMBER(SEARCH(Assumptions!$C$7,E4642)),Assumptions!$D$7,"Other Services"))),"Other Services"))</f>
        <v/>
      </c>
    </row>
    <row r="4643" customFormat="false" ht="15" hidden="false" customHeight="false" outlineLevel="0" collapsed="false">
      <c r="G4643" s="41" t="str">
        <f aca="false">IF(E4643="","",IFERROR(IF(ISNUMBER(SEARCH(Assumptions!$C$5,E4643)),Assumptions!$D$5,IF(ISNUMBER(SEARCH(Assumptions!$C$6,E4643)),Assumptions!$D$6,IF(ISNUMBER(SEARCH(Assumptions!$C$7,E4643)),Assumptions!$D$7,"Other Services"))),"Other Services"))</f>
        <v/>
      </c>
    </row>
    <row r="4644" customFormat="false" ht="15" hidden="false" customHeight="false" outlineLevel="0" collapsed="false">
      <c r="G4644" s="41" t="str">
        <f aca="false">IF(E4644="","",IFERROR(IF(ISNUMBER(SEARCH(Assumptions!$C$5,E4644)),Assumptions!$D$5,IF(ISNUMBER(SEARCH(Assumptions!$C$6,E4644)),Assumptions!$D$6,IF(ISNUMBER(SEARCH(Assumptions!$C$7,E4644)),Assumptions!$D$7,"Other Services"))),"Other Services"))</f>
        <v/>
      </c>
    </row>
    <row r="4645" customFormat="false" ht="15" hidden="false" customHeight="false" outlineLevel="0" collapsed="false">
      <c r="G4645" s="41" t="str">
        <f aca="false">IF(E4645="","",IFERROR(IF(ISNUMBER(SEARCH(Assumptions!$C$5,E4645)),Assumptions!$D$5,IF(ISNUMBER(SEARCH(Assumptions!$C$6,E4645)),Assumptions!$D$6,IF(ISNUMBER(SEARCH(Assumptions!$C$7,E4645)),Assumptions!$D$7,"Other Services"))),"Other Services"))</f>
        <v/>
      </c>
    </row>
    <row r="4646" customFormat="false" ht="15" hidden="false" customHeight="false" outlineLevel="0" collapsed="false">
      <c r="G4646" s="41" t="str">
        <f aca="false">IF(E4646="","",IFERROR(IF(ISNUMBER(SEARCH(Assumptions!$C$5,E4646)),Assumptions!$D$5,IF(ISNUMBER(SEARCH(Assumptions!$C$6,E4646)),Assumptions!$D$6,IF(ISNUMBER(SEARCH(Assumptions!$C$7,E4646)),Assumptions!$D$7,"Other Services"))),"Other Services"))</f>
        <v/>
      </c>
    </row>
    <row r="4647" customFormat="false" ht="15" hidden="false" customHeight="false" outlineLevel="0" collapsed="false">
      <c r="G4647" s="41" t="str">
        <f aca="false">IF(E4647="","",IFERROR(IF(ISNUMBER(SEARCH(Assumptions!$C$5,E4647)),Assumptions!$D$5,IF(ISNUMBER(SEARCH(Assumptions!$C$6,E4647)),Assumptions!$D$6,IF(ISNUMBER(SEARCH(Assumptions!$C$7,E4647)),Assumptions!$D$7,"Other Services"))),"Other Services"))</f>
        <v/>
      </c>
    </row>
    <row r="4648" customFormat="false" ht="15" hidden="false" customHeight="false" outlineLevel="0" collapsed="false">
      <c r="G4648" s="41" t="str">
        <f aca="false">IF(E4648="","",IFERROR(IF(ISNUMBER(SEARCH(Assumptions!$C$5,E4648)),Assumptions!$D$5,IF(ISNUMBER(SEARCH(Assumptions!$C$6,E4648)),Assumptions!$D$6,IF(ISNUMBER(SEARCH(Assumptions!$C$7,E4648)),Assumptions!$D$7,"Other Services"))),"Other Services"))</f>
        <v/>
      </c>
    </row>
    <row r="4649" customFormat="false" ht="15" hidden="false" customHeight="false" outlineLevel="0" collapsed="false">
      <c r="G4649" s="41" t="str">
        <f aca="false">IF(E4649="","",IFERROR(IF(ISNUMBER(SEARCH(Assumptions!$C$5,E4649)),Assumptions!$D$5,IF(ISNUMBER(SEARCH(Assumptions!$C$6,E4649)),Assumptions!$D$6,IF(ISNUMBER(SEARCH(Assumptions!$C$7,E4649)),Assumptions!$D$7,"Other Services"))),"Other Services"))</f>
        <v/>
      </c>
    </row>
    <row r="4650" customFormat="false" ht="15" hidden="false" customHeight="false" outlineLevel="0" collapsed="false">
      <c r="G4650" s="41" t="str">
        <f aca="false">IF(E4650="","",IFERROR(IF(ISNUMBER(SEARCH(Assumptions!$C$5,E4650)),Assumptions!$D$5,IF(ISNUMBER(SEARCH(Assumptions!$C$6,E4650)),Assumptions!$D$6,IF(ISNUMBER(SEARCH(Assumptions!$C$7,E4650)),Assumptions!$D$7,"Other Services"))),"Other Services"))</f>
        <v/>
      </c>
    </row>
    <row r="4651" customFormat="false" ht="15" hidden="false" customHeight="false" outlineLevel="0" collapsed="false">
      <c r="G4651" s="41" t="str">
        <f aca="false">IF(E4651="","",IFERROR(IF(ISNUMBER(SEARCH(Assumptions!$C$5,E4651)),Assumptions!$D$5,IF(ISNUMBER(SEARCH(Assumptions!$C$6,E4651)),Assumptions!$D$6,IF(ISNUMBER(SEARCH(Assumptions!$C$7,E4651)),Assumptions!$D$7,"Other Services"))),"Other Services"))</f>
        <v/>
      </c>
    </row>
    <row r="4652" customFormat="false" ht="15" hidden="false" customHeight="false" outlineLevel="0" collapsed="false">
      <c r="G4652" s="41" t="str">
        <f aca="false">IF(E4652="","",IFERROR(IF(ISNUMBER(SEARCH(Assumptions!$C$5,E4652)),Assumptions!$D$5,IF(ISNUMBER(SEARCH(Assumptions!$C$6,E4652)),Assumptions!$D$6,IF(ISNUMBER(SEARCH(Assumptions!$C$7,E4652)),Assumptions!$D$7,"Other Services"))),"Other Services"))</f>
        <v/>
      </c>
    </row>
    <row r="4653" customFormat="false" ht="15" hidden="false" customHeight="false" outlineLevel="0" collapsed="false">
      <c r="G4653" s="41" t="str">
        <f aca="false">IF(E4653="","",IFERROR(IF(ISNUMBER(SEARCH(Assumptions!$C$5,E4653)),Assumptions!$D$5,IF(ISNUMBER(SEARCH(Assumptions!$C$6,E4653)),Assumptions!$D$6,IF(ISNUMBER(SEARCH(Assumptions!$C$7,E4653)),Assumptions!$D$7,"Other Services"))),"Other Services"))</f>
        <v/>
      </c>
    </row>
    <row r="4654" customFormat="false" ht="15" hidden="false" customHeight="false" outlineLevel="0" collapsed="false">
      <c r="G4654" s="41" t="str">
        <f aca="false">IF(E4654="","",IFERROR(IF(ISNUMBER(SEARCH(Assumptions!$C$5,E4654)),Assumptions!$D$5,IF(ISNUMBER(SEARCH(Assumptions!$C$6,E4654)),Assumptions!$D$6,IF(ISNUMBER(SEARCH(Assumptions!$C$7,E4654)),Assumptions!$D$7,"Other Services"))),"Other Services"))</f>
        <v/>
      </c>
    </row>
    <row r="4655" customFormat="false" ht="15" hidden="false" customHeight="false" outlineLevel="0" collapsed="false">
      <c r="G4655" s="41" t="str">
        <f aca="false">IF(E4655="","",IFERROR(IF(ISNUMBER(SEARCH(Assumptions!$C$5,E4655)),Assumptions!$D$5,IF(ISNUMBER(SEARCH(Assumptions!$C$6,E4655)),Assumptions!$D$6,IF(ISNUMBER(SEARCH(Assumptions!$C$7,E4655)),Assumptions!$D$7,"Other Services"))),"Other Services"))</f>
        <v/>
      </c>
    </row>
    <row r="4656" customFormat="false" ht="15" hidden="false" customHeight="false" outlineLevel="0" collapsed="false">
      <c r="G4656" s="41" t="str">
        <f aca="false">IF(E4656="","",IFERROR(IF(ISNUMBER(SEARCH(Assumptions!$C$5,E4656)),Assumptions!$D$5,IF(ISNUMBER(SEARCH(Assumptions!$C$6,E4656)),Assumptions!$D$6,IF(ISNUMBER(SEARCH(Assumptions!$C$7,E4656)),Assumptions!$D$7,"Other Services"))),"Other Services"))</f>
        <v/>
      </c>
    </row>
    <row r="4657" customFormat="false" ht="15" hidden="false" customHeight="false" outlineLevel="0" collapsed="false">
      <c r="G4657" s="41" t="str">
        <f aca="false">IF(E4657="","",IFERROR(IF(ISNUMBER(SEARCH(Assumptions!$C$5,E4657)),Assumptions!$D$5,IF(ISNUMBER(SEARCH(Assumptions!$C$6,E4657)),Assumptions!$D$6,IF(ISNUMBER(SEARCH(Assumptions!$C$7,E4657)),Assumptions!$D$7,"Other Services"))),"Other Services"))</f>
        <v/>
      </c>
    </row>
    <row r="4658" customFormat="false" ht="15" hidden="false" customHeight="false" outlineLevel="0" collapsed="false">
      <c r="G4658" s="41" t="str">
        <f aca="false">IF(E4658="","",IFERROR(IF(ISNUMBER(SEARCH(Assumptions!$C$5,E4658)),Assumptions!$D$5,IF(ISNUMBER(SEARCH(Assumptions!$C$6,E4658)),Assumptions!$D$6,IF(ISNUMBER(SEARCH(Assumptions!$C$7,E4658)),Assumptions!$D$7,"Other Services"))),"Other Services"))</f>
        <v/>
      </c>
    </row>
    <row r="4659" customFormat="false" ht="15" hidden="false" customHeight="false" outlineLevel="0" collapsed="false">
      <c r="G4659" s="41" t="str">
        <f aca="false">IF(E4659="","",IFERROR(IF(ISNUMBER(SEARCH(Assumptions!$C$5,E4659)),Assumptions!$D$5,IF(ISNUMBER(SEARCH(Assumptions!$C$6,E4659)),Assumptions!$D$6,IF(ISNUMBER(SEARCH(Assumptions!$C$7,E4659)),Assumptions!$D$7,"Other Services"))),"Other Services"))</f>
        <v/>
      </c>
    </row>
    <row r="4660" customFormat="false" ht="15" hidden="false" customHeight="false" outlineLevel="0" collapsed="false">
      <c r="G4660" s="41" t="str">
        <f aca="false">IF(E4660="","",IFERROR(IF(ISNUMBER(SEARCH(Assumptions!$C$5,E4660)),Assumptions!$D$5,IF(ISNUMBER(SEARCH(Assumptions!$C$6,E4660)),Assumptions!$D$6,IF(ISNUMBER(SEARCH(Assumptions!$C$7,E4660)),Assumptions!$D$7,"Other Services"))),"Other Services"))</f>
        <v/>
      </c>
    </row>
    <row r="4661" customFormat="false" ht="15" hidden="false" customHeight="false" outlineLevel="0" collapsed="false">
      <c r="G4661" s="41" t="str">
        <f aca="false">IF(E4661="","",IFERROR(IF(ISNUMBER(SEARCH(Assumptions!$C$5,E4661)),Assumptions!$D$5,IF(ISNUMBER(SEARCH(Assumptions!$C$6,E4661)),Assumptions!$D$6,IF(ISNUMBER(SEARCH(Assumptions!$C$7,E4661)),Assumptions!$D$7,"Other Services"))),"Other Services"))</f>
        <v/>
      </c>
    </row>
    <row r="4662" customFormat="false" ht="15" hidden="false" customHeight="false" outlineLevel="0" collapsed="false">
      <c r="G4662" s="41" t="str">
        <f aca="false">IF(E4662="","",IFERROR(IF(ISNUMBER(SEARCH(Assumptions!$C$5,E4662)),Assumptions!$D$5,IF(ISNUMBER(SEARCH(Assumptions!$C$6,E4662)),Assumptions!$D$6,IF(ISNUMBER(SEARCH(Assumptions!$C$7,E4662)),Assumptions!$D$7,"Other Services"))),"Other Services"))</f>
        <v/>
      </c>
    </row>
    <row r="4663" customFormat="false" ht="15" hidden="false" customHeight="false" outlineLevel="0" collapsed="false">
      <c r="G4663" s="41" t="str">
        <f aca="false">IF(E4663="","",IFERROR(IF(ISNUMBER(SEARCH(Assumptions!$C$5,E4663)),Assumptions!$D$5,IF(ISNUMBER(SEARCH(Assumptions!$C$6,E4663)),Assumptions!$D$6,IF(ISNUMBER(SEARCH(Assumptions!$C$7,E4663)),Assumptions!$D$7,"Other Services"))),"Other Services"))</f>
        <v/>
      </c>
    </row>
    <row r="4664" customFormat="false" ht="15" hidden="false" customHeight="false" outlineLevel="0" collapsed="false">
      <c r="G4664" s="41" t="str">
        <f aca="false">IF(E4664="","",IFERROR(IF(ISNUMBER(SEARCH(Assumptions!$C$5,E4664)),Assumptions!$D$5,IF(ISNUMBER(SEARCH(Assumptions!$C$6,E4664)),Assumptions!$D$6,IF(ISNUMBER(SEARCH(Assumptions!$C$7,E4664)),Assumptions!$D$7,"Other Services"))),"Other Services"))</f>
        <v/>
      </c>
    </row>
    <row r="4665" customFormat="false" ht="15" hidden="false" customHeight="false" outlineLevel="0" collapsed="false">
      <c r="G4665" s="41" t="str">
        <f aca="false">IF(E4665="","",IFERROR(IF(ISNUMBER(SEARCH(Assumptions!$C$5,E4665)),Assumptions!$D$5,IF(ISNUMBER(SEARCH(Assumptions!$C$6,E4665)),Assumptions!$D$6,IF(ISNUMBER(SEARCH(Assumptions!$C$7,E4665)),Assumptions!$D$7,"Other Services"))),"Other Services"))</f>
        <v/>
      </c>
    </row>
    <row r="4666" customFormat="false" ht="15" hidden="false" customHeight="false" outlineLevel="0" collapsed="false">
      <c r="G4666" s="41" t="str">
        <f aca="false">IF(E4666="","",IFERROR(IF(ISNUMBER(SEARCH(Assumptions!$C$5,E4666)),Assumptions!$D$5,IF(ISNUMBER(SEARCH(Assumptions!$C$6,E4666)),Assumptions!$D$6,IF(ISNUMBER(SEARCH(Assumptions!$C$7,E4666)),Assumptions!$D$7,"Other Services"))),"Other Services"))</f>
        <v/>
      </c>
    </row>
    <row r="4667" customFormat="false" ht="15" hidden="false" customHeight="false" outlineLevel="0" collapsed="false">
      <c r="G4667" s="41" t="str">
        <f aca="false">IF(E4667="","",IFERROR(IF(ISNUMBER(SEARCH(Assumptions!$C$5,E4667)),Assumptions!$D$5,IF(ISNUMBER(SEARCH(Assumptions!$C$6,E4667)),Assumptions!$D$6,IF(ISNUMBER(SEARCH(Assumptions!$C$7,E4667)),Assumptions!$D$7,"Other Services"))),"Other Services"))</f>
        <v/>
      </c>
    </row>
    <row r="4668" customFormat="false" ht="15" hidden="false" customHeight="false" outlineLevel="0" collapsed="false">
      <c r="G4668" s="41" t="str">
        <f aca="false">IF(E4668="","",IFERROR(IF(ISNUMBER(SEARCH(Assumptions!$C$5,E4668)),Assumptions!$D$5,IF(ISNUMBER(SEARCH(Assumptions!$C$6,E4668)),Assumptions!$D$6,IF(ISNUMBER(SEARCH(Assumptions!$C$7,E4668)),Assumptions!$D$7,"Other Services"))),"Other Services"))</f>
        <v/>
      </c>
    </row>
    <row r="4669" customFormat="false" ht="15" hidden="false" customHeight="false" outlineLevel="0" collapsed="false">
      <c r="G4669" s="41" t="str">
        <f aca="false">IF(E4669="","",IFERROR(IF(ISNUMBER(SEARCH(Assumptions!$C$5,E4669)),Assumptions!$D$5,IF(ISNUMBER(SEARCH(Assumptions!$C$6,E4669)),Assumptions!$D$6,IF(ISNUMBER(SEARCH(Assumptions!$C$7,E4669)),Assumptions!$D$7,"Other Services"))),"Other Services"))</f>
        <v/>
      </c>
    </row>
    <row r="4670" customFormat="false" ht="15" hidden="false" customHeight="false" outlineLevel="0" collapsed="false">
      <c r="G4670" s="41" t="str">
        <f aca="false">IF(E4670="","",IFERROR(IF(ISNUMBER(SEARCH(Assumptions!$C$5,E4670)),Assumptions!$D$5,IF(ISNUMBER(SEARCH(Assumptions!$C$6,E4670)),Assumptions!$D$6,IF(ISNUMBER(SEARCH(Assumptions!$C$7,E4670)),Assumptions!$D$7,"Other Services"))),"Other Services"))</f>
        <v/>
      </c>
    </row>
    <row r="4671" customFormat="false" ht="15" hidden="false" customHeight="false" outlineLevel="0" collapsed="false">
      <c r="G4671" s="41" t="str">
        <f aca="false">IF(E4671="","",IFERROR(IF(ISNUMBER(SEARCH(Assumptions!$C$5,E4671)),Assumptions!$D$5,IF(ISNUMBER(SEARCH(Assumptions!$C$6,E4671)),Assumptions!$D$6,IF(ISNUMBER(SEARCH(Assumptions!$C$7,E4671)),Assumptions!$D$7,"Other Services"))),"Other Services"))</f>
        <v/>
      </c>
    </row>
    <row r="4672" customFormat="false" ht="15" hidden="false" customHeight="false" outlineLevel="0" collapsed="false">
      <c r="G4672" s="41" t="str">
        <f aca="false">IF(E4672="","",IFERROR(IF(ISNUMBER(SEARCH(Assumptions!$C$5,E4672)),Assumptions!$D$5,IF(ISNUMBER(SEARCH(Assumptions!$C$6,E4672)),Assumptions!$D$6,IF(ISNUMBER(SEARCH(Assumptions!$C$7,E4672)),Assumptions!$D$7,"Other Services"))),"Other Services"))</f>
        <v/>
      </c>
    </row>
    <row r="4673" customFormat="false" ht="15" hidden="false" customHeight="false" outlineLevel="0" collapsed="false">
      <c r="G4673" s="41" t="str">
        <f aca="false">IF(E4673="","",IFERROR(IF(ISNUMBER(SEARCH(Assumptions!$C$5,E4673)),Assumptions!$D$5,IF(ISNUMBER(SEARCH(Assumptions!$C$6,E4673)),Assumptions!$D$6,IF(ISNUMBER(SEARCH(Assumptions!$C$7,E4673)),Assumptions!$D$7,"Other Services"))),"Other Services"))</f>
        <v/>
      </c>
    </row>
    <row r="4674" customFormat="false" ht="15" hidden="false" customHeight="false" outlineLevel="0" collapsed="false">
      <c r="G4674" s="41" t="str">
        <f aca="false">IF(E4674="","",IFERROR(IF(ISNUMBER(SEARCH(Assumptions!$C$5,E4674)),Assumptions!$D$5,IF(ISNUMBER(SEARCH(Assumptions!$C$6,E4674)),Assumptions!$D$6,IF(ISNUMBER(SEARCH(Assumptions!$C$7,E4674)),Assumptions!$D$7,"Other Services"))),"Other Services"))</f>
        <v/>
      </c>
    </row>
    <row r="4675" customFormat="false" ht="15" hidden="false" customHeight="false" outlineLevel="0" collapsed="false">
      <c r="G4675" s="41" t="str">
        <f aca="false">IF(E4675="","",IFERROR(IF(ISNUMBER(SEARCH(Assumptions!$C$5,E4675)),Assumptions!$D$5,IF(ISNUMBER(SEARCH(Assumptions!$C$6,E4675)),Assumptions!$D$6,IF(ISNUMBER(SEARCH(Assumptions!$C$7,E4675)),Assumptions!$D$7,"Other Services"))),"Other Services"))</f>
        <v/>
      </c>
    </row>
    <row r="4676" customFormat="false" ht="15" hidden="false" customHeight="false" outlineLevel="0" collapsed="false">
      <c r="G4676" s="41" t="str">
        <f aca="false">IF(E4676="","",IFERROR(IF(ISNUMBER(SEARCH(Assumptions!$C$5,E4676)),Assumptions!$D$5,IF(ISNUMBER(SEARCH(Assumptions!$C$6,E4676)),Assumptions!$D$6,IF(ISNUMBER(SEARCH(Assumptions!$C$7,E4676)),Assumptions!$D$7,"Other Services"))),"Other Services"))</f>
        <v/>
      </c>
    </row>
    <row r="4677" customFormat="false" ht="15" hidden="false" customHeight="false" outlineLevel="0" collapsed="false">
      <c r="G4677" s="41" t="str">
        <f aca="false">IF(E4677="","",IFERROR(IF(ISNUMBER(SEARCH(Assumptions!$C$5,E4677)),Assumptions!$D$5,IF(ISNUMBER(SEARCH(Assumptions!$C$6,E4677)),Assumptions!$D$6,IF(ISNUMBER(SEARCH(Assumptions!$C$7,E4677)),Assumptions!$D$7,"Other Services"))),"Other Services"))</f>
        <v/>
      </c>
    </row>
    <row r="4678" customFormat="false" ht="15" hidden="false" customHeight="false" outlineLevel="0" collapsed="false">
      <c r="G4678" s="41" t="str">
        <f aca="false">IF(E4678="","",IFERROR(IF(ISNUMBER(SEARCH(Assumptions!$C$5,E4678)),Assumptions!$D$5,IF(ISNUMBER(SEARCH(Assumptions!$C$6,E4678)),Assumptions!$D$6,IF(ISNUMBER(SEARCH(Assumptions!$C$7,E4678)),Assumptions!$D$7,"Other Services"))),"Other Services"))</f>
        <v/>
      </c>
    </row>
    <row r="4679" customFormat="false" ht="15" hidden="false" customHeight="false" outlineLevel="0" collapsed="false">
      <c r="G4679" s="41" t="str">
        <f aca="false">IF(E4679="","",IFERROR(IF(ISNUMBER(SEARCH(Assumptions!$C$5,E4679)),Assumptions!$D$5,IF(ISNUMBER(SEARCH(Assumptions!$C$6,E4679)),Assumptions!$D$6,IF(ISNUMBER(SEARCH(Assumptions!$C$7,E4679)),Assumptions!$D$7,"Other Services"))),"Other Services"))</f>
        <v/>
      </c>
    </row>
    <row r="4680" customFormat="false" ht="15" hidden="false" customHeight="false" outlineLevel="0" collapsed="false">
      <c r="G4680" s="41" t="str">
        <f aca="false">IF(E4680="","",IFERROR(IF(ISNUMBER(SEARCH(Assumptions!$C$5,E4680)),Assumptions!$D$5,IF(ISNUMBER(SEARCH(Assumptions!$C$6,E4680)),Assumptions!$D$6,IF(ISNUMBER(SEARCH(Assumptions!$C$7,E4680)),Assumptions!$D$7,"Other Services"))),"Other Services"))</f>
        <v/>
      </c>
    </row>
    <row r="4681" customFormat="false" ht="15" hidden="false" customHeight="false" outlineLevel="0" collapsed="false">
      <c r="G4681" s="41" t="str">
        <f aca="false">IF(E4681="","",IFERROR(IF(ISNUMBER(SEARCH(Assumptions!$C$5,E4681)),Assumptions!$D$5,IF(ISNUMBER(SEARCH(Assumptions!$C$6,E4681)),Assumptions!$D$6,IF(ISNUMBER(SEARCH(Assumptions!$C$7,E4681)),Assumptions!$D$7,"Other Services"))),"Other Services"))</f>
        <v/>
      </c>
    </row>
    <row r="4682" customFormat="false" ht="15" hidden="false" customHeight="false" outlineLevel="0" collapsed="false">
      <c r="G4682" s="41" t="str">
        <f aca="false">IF(E4682="","",IFERROR(IF(ISNUMBER(SEARCH(Assumptions!$C$5,E4682)),Assumptions!$D$5,IF(ISNUMBER(SEARCH(Assumptions!$C$6,E4682)),Assumptions!$D$6,IF(ISNUMBER(SEARCH(Assumptions!$C$7,E4682)),Assumptions!$D$7,"Other Services"))),"Other Services"))</f>
        <v/>
      </c>
    </row>
    <row r="4683" customFormat="false" ht="15" hidden="false" customHeight="false" outlineLevel="0" collapsed="false">
      <c r="G4683" s="41" t="str">
        <f aca="false">IF(E4683="","",IFERROR(IF(ISNUMBER(SEARCH(Assumptions!$C$5,E4683)),Assumptions!$D$5,IF(ISNUMBER(SEARCH(Assumptions!$C$6,E4683)),Assumptions!$D$6,IF(ISNUMBER(SEARCH(Assumptions!$C$7,E4683)),Assumptions!$D$7,"Other Services"))),"Other Services"))</f>
        <v/>
      </c>
    </row>
    <row r="4684" customFormat="false" ht="15" hidden="false" customHeight="false" outlineLevel="0" collapsed="false">
      <c r="G4684" s="41" t="str">
        <f aca="false">IF(E4684="","",IFERROR(IF(ISNUMBER(SEARCH(Assumptions!$C$5,E4684)),Assumptions!$D$5,IF(ISNUMBER(SEARCH(Assumptions!$C$6,E4684)),Assumptions!$D$6,IF(ISNUMBER(SEARCH(Assumptions!$C$7,E4684)),Assumptions!$D$7,"Other Services"))),"Other Services"))</f>
        <v/>
      </c>
    </row>
    <row r="4685" customFormat="false" ht="15" hidden="false" customHeight="false" outlineLevel="0" collapsed="false">
      <c r="G4685" s="41" t="str">
        <f aca="false">IF(E4685="","",IFERROR(IF(ISNUMBER(SEARCH(Assumptions!$C$5,E4685)),Assumptions!$D$5,IF(ISNUMBER(SEARCH(Assumptions!$C$6,E4685)),Assumptions!$D$6,IF(ISNUMBER(SEARCH(Assumptions!$C$7,E4685)),Assumptions!$D$7,"Other Services"))),"Other Services"))</f>
        <v/>
      </c>
    </row>
    <row r="4686" customFormat="false" ht="15" hidden="false" customHeight="false" outlineLevel="0" collapsed="false">
      <c r="G4686" s="41" t="str">
        <f aca="false">IF(E4686="","",IFERROR(IF(ISNUMBER(SEARCH(Assumptions!$C$5,E4686)),Assumptions!$D$5,IF(ISNUMBER(SEARCH(Assumptions!$C$6,E4686)),Assumptions!$D$6,IF(ISNUMBER(SEARCH(Assumptions!$C$7,E4686)),Assumptions!$D$7,"Other Services"))),"Other Services"))</f>
        <v/>
      </c>
    </row>
    <row r="4687" customFormat="false" ht="15" hidden="false" customHeight="false" outlineLevel="0" collapsed="false">
      <c r="G4687" s="41" t="str">
        <f aca="false">IF(E4687="","",IFERROR(IF(ISNUMBER(SEARCH(Assumptions!$C$5,E4687)),Assumptions!$D$5,IF(ISNUMBER(SEARCH(Assumptions!$C$6,E4687)),Assumptions!$D$6,IF(ISNUMBER(SEARCH(Assumptions!$C$7,E4687)),Assumptions!$D$7,"Other Services"))),"Other Services"))</f>
        <v/>
      </c>
    </row>
    <row r="4688" customFormat="false" ht="15" hidden="false" customHeight="false" outlineLevel="0" collapsed="false">
      <c r="G4688" s="41" t="str">
        <f aca="false">IF(E4688="","",IFERROR(IF(ISNUMBER(SEARCH(Assumptions!$C$5,E4688)),Assumptions!$D$5,IF(ISNUMBER(SEARCH(Assumptions!$C$6,E4688)),Assumptions!$D$6,IF(ISNUMBER(SEARCH(Assumptions!$C$7,E4688)),Assumptions!$D$7,"Other Services"))),"Other Services"))</f>
        <v/>
      </c>
    </row>
    <row r="4689" customFormat="false" ht="15" hidden="false" customHeight="false" outlineLevel="0" collapsed="false">
      <c r="G4689" s="41" t="str">
        <f aca="false">IF(E4689="","",IFERROR(IF(ISNUMBER(SEARCH(Assumptions!$C$5,E4689)),Assumptions!$D$5,IF(ISNUMBER(SEARCH(Assumptions!$C$6,E4689)),Assumptions!$D$6,IF(ISNUMBER(SEARCH(Assumptions!$C$7,E4689)),Assumptions!$D$7,"Other Services"))),"Other Services"))</f>
        <v/>
      </c>
    </row>
    <row r="4690" customFormat="false" ht="15" hidden="false" customHeight="false" outlineLevel="0" collapsed="false">
      <c r="G4690" s="41" t="str">
        <f aca="false">IF(E4690="","",IFERROR(IF(ISNUMBER(SEARCH(Assumptions!$C$5,E4690)),Assumptions!$D$5,IF(ISNUMBER(SEARCH(Assumptions!$C$6,E4690)),Assumptions!$D$6,IF(ISNUMBER(SEARCH(Assumptions!$C$7,E4690)),Assumptions!$D$7,"Other Services"))),"Other Services"))</f>
        <v/>
      </c>
    </row>
    <row r="4691" customFormat="false" ht="15" hidden="false" customHeight="false" outlineLevel="0" collapsed="false">
      <c r="G4691" s="41" t="str">
        <f aca="false">IF(E4691="","",IFERROR(IF(ISNUMBER(SEARCH(Assumptions!$C$5,E4691)),Assumptions!$D$5,IF(ISNUMBER(SEARCH(Assumptions!$C$6,E4691)),Assumptions!$D$6,IF(ISNUMBER(SEARCH(Assumptions!$C$7,E4691)),Assumptions!$D$7,"Other Services"))),"Other Services"))</f>
        <v/>
      </c>
    </row>
    <row r="4692" customFormat="false" ht="15" hidden="false" customHeight="false" outlineLevel="0" collapsed="false">
      <c r="G4692" s="41" t="str">
        <f aca="false">IF(E4692="","",IFERROR(IF(ISNUMBER(SEARCH(Assumptions!$C$5,E4692)),Assumptions!$D$5,IF(ISNUMBER(SEARCH(Assumptions!$C$6,E4692)),Assumptions!$D$6,IF(ISNUMBER(SEARCH(Assumptions!$C$7,E4692)),Assumptions!$D$7,"Other Services"))),"Other Services"))</f>
        <v/>
      </c>
    </row>
    <row r="4693" customFormat="false" ht="15" hidden="false" customHeight="false" outlineLevel="0" collapsed="false">
      <c r="G4693" s="41" t="str">
        <f aca="false">IF(E4693="","",IFERROR(IF(ISNUMBER(SEARCH(Assumptions!$C$5,E4693)),Assumptions!$D$5,IF(ISNUMBER(SEARCH(Assumptions!$C$6,E4693)),Assumptions!$D$6,IF(ISNUMBER(SEARCH(Assumptions!$C$7,E4693)),Assumptions!$D$7,"Other Services"))),"Other Services"))</f>
        <v/>
      </c>
    </row>
    <row r="4694" customFormat="false" ht="15" hidden="false" customHeight="false" outlineLevel="0" collapsed="false">
      <c r="G4694" s="41" t="str">
        <f aca="false">IF(E4694="","",IFERROR(IF(ISNUMBER(SEARCH(Assumptions!$C$5,E4694)),Assumptions!$D$5,IF(ISNUMBER(SEARCH(Assumptions!$C$6,E4694)),Assumptions!$D$6,IF(ISNUMBER(SEARCH(Assumptions!$C$7,E4694)),Assumptions!$D$7,"Other Services"))),"Other Services"))</f>
        <v/>
      </c>
    </row>
    <row r="4695" customFormat="false" ht="15" hidden="false" customHeight="false" outlineLevel="0" collapsed="false">
      <c r="G4695" s="41" t="str">
        <f aca="false">IF(E4695="","",IFERROR(IF(ISNUMBER(SEARCH(Assumptions!$C$5,E4695)),Assumptions!$D$5,IF(ISNUMBER(SEARCH(Assumptions!$C$6,E4695)),Assumptions!$D$6,IF(ISNUMBER(SEARCH(Assumptions!$C$7,E4695)),Assumptions!$D$7,"Other Services"))),"Other Services"))</f>
        <v/>
      </c>
    </row>
    <row r="4696" customFormat="false" ht="15" hidden="false" customHeight="false" outlineLevel="0" collapsed="false">
      <c r="G4696" s="41" t="str">
        <f aca="false">IF(E4696="","",IFERROR(IF(ISNUMBER(SEARCH(Assumptions!$C$5,E4696)),Assumptions!$D$5,IF(ISNUMBER(SEARCH(Assumptions!$C$6,E4696)),Assumptions!$D$6,IF(ISNUMBER(SEARCH(Assumptions!$C$7,E4696)),Assumptions!$D$7,"Other Services"))),"Other Services"))</f>
        <v/>
      </c>
    </row>
    <row r="4697" customFormat="false" ht="15" hidden="false" customHeight="false" outlineLevel="0" collapsed="false">
      <c r="G4697" s="41" t="str">
        <f aca="false">IF(E4697="","",IFERROR(IF(ISNUMBER(SEARCH(Assumptions!$C$5,E4697)),Assumptions!$D$5,IF(ISNUMBER(SEARCH(Assumptions!$C$6,E4697)),Assumptions!$D$6,IF(ISNUMBER(SEARCH(Assumptions!$C$7,E4697)),Assumptions!$D$7,"Other Services"))),"Other Services"))</f>
        <v/>
      </c>
    </row>
    <row r="4698" customFormat="false" ht="15" hidden="false" customHeight="false" outlineLevel="0" collapsed="false">
      <c r="G4698" s="41" t="str">
        <f aca="false">IF(E4698="","",IFERROR(IF(ISNUMBER(SEARCH(Assumptions!$C$5,E4698)),Assumptions!$D$5,IF(ISNUMBER(SEARCH(Assumptions!$C$6,E4698)),Assumptions!$D$6,IF(ISNUMBER(SEARCH(Assumptions!$C$7,E4698)),Assumptions!$D$7,"Other Services"))),"Other Services"))</f>
        <v/>
      </c>
    </row>
    <row r="4699" customFormat="false" ht="15" hidden="false" customHeight="false" outlineLevel="0" collapsed="false">
      <c r="G4699" s="41" t="str">
        <f aca="false">IF(E4699="","",IFERROR(IF(ISNUMBER(SEARCH(Assumptions!$C$5,E4699)),Assumptions!$D$5,IF(ISNUMBER(SEARCH(Assumptions!$C$6,E4699)),Assumptions!$D$6,IF(ISNUMBER(SEARCH(Assumptions!$C$7,E4699)),Assumptions!$D$7,"Other Services"))),"Other Services"))</f>
        <v/>
      </c>
    </row>
    <row r="4700" customFormat="false" ht="15" hidden="false" customHeight="false" outlineLevel="0" collapsed="false">
      <c r="G4700" s="41" t="str">
        <f aca="false">IF(E4700="","",IFERROR(IF(ISNUMBER(SEARCH(Assumptions!$C$5,E4700)),Assumptions!$D$5,IF(ISNUMBER(SEARCH(Assumptions!$C$6,E4700)),Assumptions!$D$6,IF(ISNUMBER(SEARCH(Assumptions!$C$7,E4700)),Assumptions!$D$7,"Other Services"))),"Other Services"))</f>
        <v/>
      </c>
    </row>
    <row r="4701" customFormat="false" ht="15" hidden="false" customHeight="false" outlineLevel="0" collapsed="false">
      <c r="G4701" s="41" t="str">
        <f aca="false">IF(E4701="","",IFERROR(IF(ISNUMBER(SEARCH(Assumptions!$C$5,E4701)),Assumptions!$D$5,IF(ISNUMBER(SEARCH(Assumptions!$C$6,E4701)),Assumptions!$D$6,IF(ISNUMBER(SEARCH(Assumptions!$C$7,E4701)),Assumptions!$D$7,"Other Services"))),"Other Services"))</f>
        <v/>
      </c>
    </row>
    <row r="4702" customFormat="false" ht="15" hidden="false" customHeight="false" outlineLevel="0" collapsed="false">
      <c r="G4702" s="41" t="str">
        <f aca="false">IF(E4702="","",IFERROR(IF(ISNUMBER(SEARCH(Assumptions!$C$5,E4702)),Assumptions!$D$5,IF(ISNUMBER(SEARCH(Assumptions!$C$6,E4702)),Assumptions!$D$6,IF(ISNUMBER(SEARCH(Assumptions!$C$7,E4702)),Assumptions!$D$7,"Other Services"))),"Other Services"))</f>
        <v/>
      </c>
    </row>
    <row r="4703" customFormat="false" ht="15" hidden="false" customHeight="false" outlineLevel="0" collapsed="false">
      <c r="G4703" s="41" t="str">
        <f aca="false">IF(E4703="","",IFERROR(IF(ISNUMBER(SEARCH(Assumptions!$C$5,E4703)),Assumptions!$D$5,IF(ISNUMBER(SEARCH(Assumptions!$C$6,E4703)),Assumptions!$D$6,IF(ISNUMBER(SEARCH(Assumptions!$C$7,E4703)),Assumptions!$D$7,"Other Services"))),"Other Services"))</f>
        <v/>
      </c>
    </row>
    <row r="4704" customFormat="false" ht="15" hidden="false" customHeight="false" outlineLevel="0" collapsed="false">
      <c r="G4704" s="41" t="str">
        <f aca="false">IF(E4704="","",IFERROR(IF(ISNUMBER(SEARCH(Assumptions!$C$5,E4704)),Assumptions!$D$5,IF(ISNUMBER(SEARCH(Assumptions!$C$6,E4704)),Assumptions!$D$6,IF(ISNUMBER(SEARCH(Assumptions!$C$7,E4704)),Assumptions!$D$7,"Other Services"))),"Other Services"))</f>
        <v/>
      </c>
    </row>
    <row r="4705" customFormat="false" ht="15" hidden="false" customHeight="false" outlineLevel="0" collapsed="false">
      <c r="G4705" s="41" t="str">
        <f aca="false">IF(E4705="","",IFERROR(IF(ISNUMBER(SEARCH(Assumptions!$C$5,E4705)),Assumptions!$D$5,IF(ISNUMBER(SEARCH(Assumptions!$C$6,E4705)),Assumptions!$D$6,IF(ISNUMBER(SEARCH(Assumptions!$C$7,E4705)),Assumptions!$D$7,"Other Services"))),"Other Services"))</f>
        <v/>
      </c>
    </row>
    <row r="4706" customFormat="false" ht="15" hidden="false" customHeight="false" outlineLevel="0" collapsed="false">
      <c r="G4706" s="41" t="str">
        <f aca="false">IF(E4706="","",IFERROR(IF(ISNUMBER(SEARCH(Assumptions!$C$5,E4706)),Assumptions!$D$5,IF(ISNUMBER(SEARCH(Assumptions!$C$6,E4706)),Assumptions!$D$6,IF(ISNUMBER(SEARCH(Assumptions!$C$7,E4706)),Assumptions!$D$7,"Other Services"))),"Other Services"))</f>
        <v/>
      </c>
    </row>
    <row r="4707" customFormat="false" ht="15" hidden="false" customHeight="false" outlineLevel="0" collapsed="false">
      <c r="G4707" s="41" t="str">
        <f aca="false">IF(E4707="","",IFERROR(IF(ISNUMBER(SEARCH(Assumptions!$C$5,E4707)),Assumptions!$D$5,IF(ISNUMBER(SEARCH(Assumptions!$C$6,E4707)),Assumptions!$D$6,IF(ISNUMBER(SEARCH(Assumptions!$C$7,E4707)),Assumptions!$D$7,"Other Services"))),"Other Services"))</f>
        <v/>
      </c>
    </row>
    <row r="4708" customFormat="false" ht="15" hidden="false" customHeight="false" outlineLevel="0" collapsed="false">
      <c r="G4708" s="41" t="str">
        <f aca="false">IF(E4708="","",IFERROR(IF(ISNUMBER(SEARCH(Assumptions!$C$5,E4708)),Assumptions!$D$5,IF(ISNUMBER(SEARCH(Assumptions!$C$6,E4708)),Assumptions!$D$6,IF(ISNUMBER(SEARCH(Assumptions!$C$7,E4708)),Assumptions!$D$7,"Other Services"))),"Other Services"))</f>
        <v/>
      </c>
    </row>
    <row r="4709" customFormat="false" ht="15" hidden="false" customHeight="false" outlineLevel="0" collapsed="false">
      <c r="G4709" s="41" t="str">
        <f aca="false">IF(E4709="","",IFERROR(IF(ISNUMBER(SEARCH(Assumptions!$C$5,E4709)),Assumptions!$D$5,IF(ISNUMBER(SEARCH(Assumptions!$C$6,E4709)),Assumptions!$D$6,IF(ISNUMBER(SEARCH(Assumptions!$C$7,E4709)),Assumptions!$D$7,"Other Services"))),"Other Services"))</f>
        <v/>
      </c>
    </row>
    <row r="4710" customFormat="false" ht="15" hidden="false" customHeight="false" outlineLevel="0" collapsed="false">
      <c r="G4710" s="41" t="str">
        <f aca="false">IF(E4710="","",IFERROR(IF(ISNUMBER(SEARCH(Assumptions!$C$5,E4710)),Assumptions!$D$5,IF(ISNUMBER(SEARCH(Assumptions!$C$6,E4710)),Assumptions!$D$6,IF(ISNUMBER(SEARCH(Assumptions!$C$7,E4710)),Assumptions!$D$7,"Other Services"))),"Other Services"))</f>
        <v/>
      </c>
    </row>
    <row r="4711" customFormat="false" ht="15" hidden="false" customHeight="false" outlineLevel="0" collapsed="false">
      <c r="G4711" s="41" t="str">
        <f aca="false">IF(E4711="","",IFERROR(IF(ISNUMBER(SEARCH(Assumptions!$C$5,E4711)),Assumptions!$D$5,IF(ISNUMBER(SEARCH(Assumptions!$C$6,E4711)),Assumptions!$D$6,IF(ISNUMBER(SEARCH(Assumptions!$C$7,E4711)),Assumptions!$D$7,"Other Services"))),"Other Services"))</f>
        <v/>
      </c>
    </row>
    <row r="4712" customFormat="false" ht="15" hidden="false" customHeight="false" outlineLevel="0" collapsed="false">
      <c r="G4712" s="41" t="str">
        <f aca="false">IF(E4712="","",IFERROR(IF(ISNUMBER(SEARCH(Assumptions!$C$5,E4712)),Assumptions!$D$5,IF(ISNUMBER(SEARCH(Assumptions!$C$6,E4712)),Assumptions!$D$6,IF(ISNUMBER(SEARCH(Assumptions!$C$7,E4712)),Assumptions!$D$7,"Other Services"))),"Other Services"))</f>
        <v/>
      </c>
    </row>
    <row r="4713" customFormat="false" ht="15" hidden="false" customHeight="false" outlineLevel="0" collapsed="false">
      <c r="G4713" s="41" t="str">
        <f aca="false">IF(E4713="","",IFERROR(IF(ISNUMBER(SEARCH(Assumptions!$C$5,E4713)),Assumptions!$D$5,IF(ISNUMBER(SEARCH(Assumptions!$C$6,E4713)),Assumptions!$D$6,IF(ISNUMBER(SEARCH(Assumptions!$C$7,E4713)),Assumptions!$D$7,"Other Services"))),"Other Services"))</f>
        <v/>
      </c>
    </row>
    <row r="4714" customFormat="false" ht="15" hidden="false" customHeight="false" outlineLevel="0" collapsed="false">
      <c r="G4714" s="41" t="str">
        <f aca="false">IF(E4714="","",IFERROR(IF(ISNUMBER(SEARCH(Assumptions!$C$5,E4714)),Assumptions!$D$5,IF(ISNUMBER(SEARCH(Assumptions!$C$6,E4714)),Assumptions!$D$6,IF(ISNUMBER(SEARCH(Assumptions!$C$7,E4714)),Assumptions!$D$7,"Other Services"))),"Other Services"))</f>
        <v/>
      </c>
    </row>
    <row r="4715" customFormat="false" ht="15" hidden="false" customHeight="false" outlineLevel="0" collapsed="false">
      <c r="G4715" s="41" t="str">
        <f aca="false">IF(E4715="","",IFERROR(IF(ISNUMBER(SEARCH(Assumptions!$C$5,E4715)),Assumptions!$D$5,IF(ISNUMBER(SEARCH(Assumptions!$C$6,E4715)),Assumptions!$D$6,IF(ISNUMBER(SEARCH(Assumptions!$C$7,E4715)),Assumptions!$D$7,"Other Services"))),"Other Services"))</f>
        <v/>
      </c>
    </row>
    <row r="4716" customFormat="false" ht="15" hidden="false" customHeight="false" outlineLevel="0" collapsed="false">
      <c r="G4716" s="41" t="str">
        <f aca="false">IF(E4716="","",IFERROR(IF(ISNUMBER(SEARCH(Assumptions!$C$5,E4716)),Assumptions!$D$5,IF(ISNUMBER(SEARCH(Assumptions!$C$6,E4716)),Assumptions!$D$6,IF(ISNUMBER(SEARCH(Assumptions!$C$7,E4716)),Assumptions!$D$7,"Other Services"))),"Other Services"))</f>
        <v/>
      </c>
    </row>
    <row r="4717" customFormat="false" ht="15" hidden="false" customHeight="false" outlineLevel="0" collapsed="false">
      <c r="G4717" s="41" t="str">
        <f aca="false">IF(E4717="","",IFERROR(IF(ISNUMBER(SEARCH(Assumptions!$C$5,E4717)),Assumptions!$D$5,IF(ISNUMBER(SEARCH(Assumptions!$C$6,E4717)),Assumptions!$D$6,IF(ISNUMBER(SEARCH(Assumptions!$C$7,E4717)),Assumptions!$D$7,"Other Services"))),"Other Services"))</f>
        <v/>
      </c>
    </row>
    <row r="4718" customFormat="false" ht="15" hidden="false" customHeight="false" outlineLevel="0" collapsed="false">
      <c r="G4718" s="41" t="str">
        <f aca="false">IF(E4718="","",IFERROR(IF(ISNUMBER(SEARCH(Assumptions!$C$5,E4718)),Assumptions!$D$5,IF(ISNUMBER(SEARCH(Assumptions!$C$6,E4718)),Assumptions!$D$6,IF(ISNUMBER(SEARCH(Assumptions!$C$7,E4718)),Assumptions!$D$7,"Other Services"))),"Other Services"))</f>
        <v/>
      </c>
    </row>
    <row r="4719" customFormat="false" ht="15" hidden="false" customHeight="false" outlineLevel="0" collapsed="false">
      <c r="G4719" s="41" t="str">
        <f aca="false">IF(E4719="","",IFERROR(IF(ISNUMBER(SEARCH(Assumptions!$C$5,E4719)),Assumptions!$D$5,IF(ISNUMBER(SEARCH(Assumptions!$C$6,E4719)),Assumptions!$D$6,IF(ISNUMBER(SEARCH(Assumptions!$C$7,E4719)),Assumptions!$D$7,"Other Services"))),"Other Services"))</f>
        <v/>
      </c>
    </row>
    <row r="4720" customFormat="false" ht="15" hidden="false" customHeight="false" outlineLevel="0" collapsed="false">
      <c r="G4720" s="41" t="str">
        <f aca="false">IF(E4720="","",IFERROR(IF(ISNUMBER(SEARCH(Assumptions!$C$5,E4720)),Assumptions!$D$5,IF(ISNUMBER(SEARCH(Assumptions!$C$6,E4720)),Assumptions!$D$6,IF(ISNUMBER(SEARCH(Assumptions!$C$7,E4720)),Assumptions!$D$7,"Other Services"))),"Other Services"))</f>
        <v/>
      </c>
    </row>
    <row r="4721" customFormat="false" ht="15" hidden="false" customHeight="false" outlineLevel="0" collapsed="false">
      <c r="G4721" s="41" t="str">
        <f aca="false">IF(E4721="","",IFERROR(IF(ISNUMBER(SEARCH(Assumptions!$C$5,E4721)),Assumptions!$D$5,IF(ISNUMBER(SEARCH(Assumptions!$C$6,E4721)),Assumptions!$D$6,IF(ISNUMBER(SEARCH(Assumptions!$C$7,E4721)),Assumptions!$D$7,"Other Services"))),"Other Services"))</f>
        <v/>
      </c>
    </row>
    <row r="4722" customFormat="false" ht="15" hidden="false" customHeight="false" outlineLevel="0" collapsed="false">
      <c r="G4722" s="41" t="str">
        <f aca="false">IF(E4722="","",IFERROR(IF(ISNUMBER(SEARCH(Assumptions!$C$5,E4722)),Assumptions!$D$5,IF(ISNUMBER(SEARCH(Assumptions!$C$6,E4722)),Assumptions!$D$6,IF(ISNUMBER(SEARCH(Assumptions!$C$7,E4722)),Assumptions!$D$7,"Other Services"))),"Other Services"))</f>
        <v/>
      </c>
    </row>
    <row r="4723" customFormat="false" ht="15" hidden="false" customHeight="false" outlineLevel="0" collapsed="false">
      <c r="G4723" s="41" t="str">
        <f aca="false">IF(E4723="","",IFERROR(IF(ISNUMBER(SEARCH(Assumptions!$C$5,E4723)),Assumptions!$D$5,IF(ISNUMBER(SEARCH(Assumptions!$C$6,E4723)),Assumptions!$D$6,IF(ISNUMBER(SEARCH(Assumptions!$C$7,E4723)),Assumptions!$D$7,"Other Services"))),"Other Services"))</f>
        <v/>
      </c>
    </row>
    <row r="4724" customFormat="false" ht="15" hidden="false" customHeight="false" outlineLevel="0" collapsed="false">
      <c r="G4724" s="41" t="str">
        <f aca="false">IF(E4724="","",IFERROR(IF(ISNUMBER(SEARCH(Assumptions!$C$5,E4724)),Assumptions!$D$5,IF(ISNUMBER(SEARCH(Assumptions!$C$6,E4724)),Assumptions!$D$6,IF(ISNUMBER(SEARCH(Assumptions!$C$7,E4724)),Assumptions!$D$7,"Other Services"))),"Other Services"))</f>
        <v/>
      </c>
    </row>
    <row r="4725" customFormat="false" ht="15" hidden="false" customHeight="false" outlineLevel="0" collapsed="false">
      <c r="G4725" s="41" t="str">
        <f aca="false">IF(E4725="","",IFERROR(IF(ISNUMBER(SEARCH(Assumptions!$C$5,E4725)),Assumptions!$D$5,IF(ISNUMBER(SEARCH(Assumptions!$C$6,E4725)),Assumptions!$D$6,IF(ISNUMBER(SEARCH(Assumptions!$C$7,E4725)),Assumptions!$D$7,"Other Services"))),"Other Services"))</f>
        <v/>
      </c>
    </row>
    <row r="4726" customFormat="false" ht="15" hidden="false" customHeight="false" outlineLevel="0" collapsed="false">
      <c r="G4726" s="41" t="str">
        <f aca="false">IF(E4726="","",IFERROR(IF(ISNUMBER(SEARCH(Assumptions!$C$5,E4726)),Assumptions!$D$5,IF(ISNUMBER(SEARCH(Assumptions!$C$6,E4726)),Assumptions!$D$6,IF(ISNUMBER(SEARCH(Assumptions!$C$7,E4726)),Assumptions!$D$7,"Other Services"))),"Other Services"))</f>
        <v/>
      </c>
    </row>
    <row r="4727" customFormat="false" ht="15" hidden="false" customHeight="false" outlineLevel="0" collapsed="false">
      <c r="G4727" s="41" t="str">
        <f aca="false">IF(E4727="","",IFERROR(IF(ISNUMBER(SEARCH(Assumptions!$C$5,E4727)),Assumptions!$D$5,IF(ISNUMBER(SEARCH(Assumptions!$C$6,E4727)),Assumptions!$D$6,IF(ISNUMBER(SEARCH(Assumptions!$C$7,E4727)),Assumptions!$D$7,"Other Services"))),"Other Services"))</f>
        <v/>
      </c>
    </row>
    <row r="4728" customFormat="false" ht="15" hidden="false" customHeight="false" outlineLevel="0" collapsed="false">
      <c r="G4728" s="41" t="str">
        <f aca="false">IF(E4728="","",IFERROR(IF(ISNUMBER(SEARCH(Assumptions!$C$5,E4728)),Assumptions!$D$5,IF(ISNUMBER(SEARCH(Assumptions!$C$6,E4728)),Assumptions!$D$6,IF(ISNUMBER(SEARCH(Assumptions!$C$7,E4728)),Assumptions!$D$7,"Other Services"))),"Other Services"))</f>
        <v/>
      </c>
    </row>
    <row r="4729" customFormat="false" ht="15" hidden="false" customHeight="false" outlineLevel="0" collapsed="false">
      <c r="G4729" s="41" t="str">
        <f aca="false">IF(E4729="","",IFERROR(IF(ISNUMBER(SEARCH(Assumptions!$C$5,E4729)),Assumptions!$D$5,IF(ISNUMBER(SEARCH(Assumptions!$C$6,E4729)),Assumptions!$D$6,IF(ISNUMBER(SEARCH(Assumptions!$C$7,E4729)),Assumptions!$D$7,"Other Services"))),"Other Services"))</f>
        <v/>
      </c>
    </row>
    <row r="4730" customFormat="false" ht="15" hidden="false" customHeight="false" outlineLevel="0" collapsed="false">
      <c r="G4730" s="41" t="str">
        <f aca="false">IF(E4730="","",IFERROR(IF(ISNUMBER(SEARCH(Assumptions!$C$5,E4730)),Assumptions!$D$5,IF(ISNUMBER(SEARCH(Assumptions!$C$6,E4730)),Assumptions!$D$6,IF(ISNUMBER(SEARCH(Assumptions!$C$7,E4730)),Assumptions!$D$7,"Other Services"))),"Other Services"))</f>
        <v/>
      </c>
    </row>
    <row r="4731" customFormat="false" ht="15" hidden="false" customHeight="false" outlineLevel="0" collapsed="false">
      <c r="G4731" s="41" t="str">
        <f aca="false">IF(E4731="","",IFERROR(IF(ISNUMBER(SEARCH(Assumptions!$C$5,E4731)),Assumptions!$D$5,IF(ISNUMBER(SEARCH(Assumptions!$C$6,E4731)),Assumptions!$D$6,IF(ISNUMBER(SEARCH(Assumptions!$C$7,E4731)),Assumptions!$D$7,"Other Services"))),"Other Services"))</f>
        <v/>
      </c>
    </row>
    <row r="4732" customFormat="false" ht="15" hidden="false" customHeight="false" outlineLevel="0" collapsed="false">
      <c r="G4732" s="41" t="str">
        <f aca="false">IF(E4732="","",IFERROR(IF(ISNUMBER(SEARCH(Assumptions!$C$5,E4732)),Assumptions!$D$5,IF(ISNUMBER(SEARCH(Assumptions!$C$6,E4732)),Assumptions!$D$6,IF(ISNUMBER(SEARCH(Assumptions!$C$7,E4732)),Assumptions!$D$7,"Other Services"))),"Other Services"))</f>
        <v/>
      </c>
    </row>
    <row r="4733" customFormat="false" ht="15" hidden="false" customHeight="false" outlineLevel="0" collapsed="false">
      <c r="G4733" s="41" t="str">
        <f aca="false">IF(E4733="","",IFERROR(IF(ISNUMBER(SEARCH(Assumptions!$C$5,E4733)),Assumptions!$D$5,IF(ISNUMBER(SEARCH(Assumptions!$C$6,E4733)),Assumptions!$D$6,IF(ISNUMBER(SEARCH(Assumptions!$C$7,E4733)),Assumptions!$D$7,"Other Services"))),"Other Services"))</f>
        <v/>
      </c>
    </row>
    <row r="4734" customFormat="false" ht="15" hidden="false" customHeight="false" outlineLevel="0" collapsed="false">
      <c r="G4734" s="41" t="str">
        <f aca="false">IF(E4734="","",IFERROR(IF(ISNUMBER(SEARCH(Assumptions!$C$5,E4734)),Assumptions!$D$5,IF(ISNUMBER(SEARCH(Assumptions!$C$6,E4734)),Assumptions!$D$6,IF(ISNUMBER(SEARCH(Assumptions!$C$7,E4734)),Assumptions!$D$7,"Other Services"))),"Other Services"))</f>
        <v/>
      </c>
    </row>
    <row r="4735" customFormat="false" ht="15" hidden="false" customHeight="false" outlineLevel="0" collapsed="false">
      <c r="G4735" s="41" t="str">
        <f aca="false">IF(E4735="","",IFERROR(IF(ISNUMBER(SEARCH(Assumptions!$C$5,E4735)),Assumptions!$D$5,IF(ISNUMBER(SEARCH(Assumptions!$C$6,E4735)),Assumptions!$D$6,IF(ISNUMBER(SEARCH(Assumptions!$C$7,E4735)),Assumptions!$D$7,"Other Services"))),"Other Services"))</f>
        <v/>
      </c>
    </row>
    <row r="4736" customFormat="false" ht="15" hidden="false" customHeight="false" outlineLevel="0" collapsed="false">
      <c r="G4736" s="41" t="str">
        <f aca="false">IF(E4736="","",IFERROR(IF(ISNUMBER(SEARCH(Assumptions!$C$5,E4736)),Assumptions!$D$5,IF(ISNUMBER(SEARCH(Assumptions!$C$6,E4736)),Assumptions!$D$6,IF(ISNUMBER(SEARCH(Assumptions!$C$7,E4736)),Assumptions!$D$7,"Other Services"))),"Other Services"))</f>
        <v/>
      </c>
    </row>
    <row r="4737" customFormat="false" ht="15" hidden="false" customHeight="false" outlineLevel="0" collapsed="false">
      <c r="G4737" s="41" t="str">
        <f aca="false">IF(E4737="","",IFERROR(IF(ISNUMBER(SEARCH(Assumptions!$C$5,E4737)),Assumptions!$D$5,IF(ISNUMBER(SEARCH(Assumptions!$C$6,E4737)),Assumptions!$D$6,IF(ISNUMBER(SEARCH(Assumptions!$C$7,E4737)),Assumptions!$D$7,"Other Services"))),"Other Services"))</f>
        <v/>
      </c>
    </row>
    <row r="4738" customFormat="false" ht="15" hidden="false" customHeight="false" outlineLevel="0" collapsed="false">
      <c r="G4738" s="41" t="str">
        <f aca="false">IF(E4738="","",IFERROR(IF(ISNUMBER(SEARCH(Assumptions!$C$5,E4738)),Assumptions!$D$5,IF(ISNUMBER(SEARCH(Assumptions!$C$6,E4738)),Assumptions!$D$6,IF(ISNUMBER(SEARCH(Assumptions!$C$7,E4738)),Assumptions!$D$7,"Other Services"))),"Other Services"))</f>
        <v/>
      </c>
    </row>
    <row r="4739" customFormat="false" ht="15" hidden="false" customHeight="false" outlineLevel="0" collapsed="false">
      <c r="G4739" s="41" t="str">
        <f aca="false">IF(E4739="","",IFERROR(IF(ISNUMBER(SEARCH(Assumptions!$C$5,E4739)),Assumptions!$D$5,IF(ISNUMBER(SEARCH(Assumptions!$C$6,E4739)),Assumptions!$D$6,IF(ISNUMBER(SEARCH(Assumptions!$C$7,E4739)),Assumptions!$D$7,"Other Services"))),"Other Services"))</f>
        <v/>
      </c>
    </row>
    <row r="4740" customFormat="false" ht="15" hidden="false" customHeight="false" outlineLevel="0" collapsed="false">
      <c r="G4740" s="41" t="str">
        <f aca="false">IF(E4740="","",IFERROR(IF(ISNUMBER(SEARCH(Assumptions!$C$5,E4740)),Assumptions!$D$5,IF(ISNUMBER(SEARCH(Assumptions!$C$6,E4740)),Assumptions!$D$6,IF(ISNUMBER(SEARCH(Assumptions!$C$7,E4740)),Assumptions!$D$7,"Other Services"))),"Other Services"))</f>
        <v/>
      </c>
    </row>
    <row r="4741" customFormat="false" ht="15" hidden="false" customHeight="false" outlineLevel="0" collapsed="false">
      <c r="G4741" s="41" t="str">
        <f aca="false">IF(E4741="","",IFERROR(IF(ISNUMBER(SEARCH(Assumptions!$C$5,E4741)),Assumptions!$D$5,IF(ISNUMBER(SEARCH(Assumptions!$C$6,E4741)),Assumptions!$D$6,IF(ISNUMBER(SEARCH(Assumptions!$C$7,E4741)),Assumptions!$D$7,"Other Services"))),"Other Services"))</f>
        <v/>
      </c>
    </row>
    <row r="4742" customFormat="false" ht="15" hidden="false" customHeight="false" outlineLevel="0" collapsed="false">
      <c r="G4742" s="41" t="str">
        <f aca="false">IF(E4742="","",IFERROR(IF(ISNUMBER(SEARCH(Assumptions!$C$5,E4742)),Assumptions!$D$5,IF(ISNUMBER(SEARCH(Assumptions!$C$6,E4742)),Assumptions!$D$6,IF(ISNUMBER(SEARCH(Assumptions!$C$7,E4742)),Assumptions!$D$7,"Other Services"))),"Other Services"))</f>
        <v/>
      </c>
    </row>
    <row r="4743" customFormat="false" ht="15" hidden="false" customHeight="false" outlineLevel="0" collapsed="false">
      <c r="G4743" s="41" t="str">
        <f aca="false">IF(E4743="","",IFERROR(IF(ISNUMBER(SEARCH(Assumptions!$C$5,E4743)),Assumptions!$D$5,IF(ISNUMBER(SEARCH(Assumptions!$C$6,E4743)),Assumptions!$D$6,IF(ISNUMBER(SEARCH(Assumptions!$C$7,E4743)),Assumptions!$D$7,"Other Services"))),"Other Services"))</f>
        <v/>
      </c>
    </row>
    <row r="4744" customFormat="false" ht="15" hidden="false" customHeight="false" outlineLevel="0" collapsed="false">
      <c r="G4744" s="41" t="str">
        <f aca="false">IF(E4744="","",IFERROR(IF(ISNUMBER(SEARCH(Assumptions!$C$5,E4744)),Assumptions!$D$5,IF(ISNUMBER(SEARCH(Assumptions!$C$6,E4744)),Assumptions!$D$6,IF(ISNUMBER(SEARCH(Assumptions!$C$7,E4744)),Assumptions!$D$7,"Other Services"))),"Other Services"))</f>
        <v/>
      </c>
    </row>
    <row r="4745" customFormat="false" ht="15" hidden="false" customHeight="false" outlineLevel="0" collapsed="false">
      <c r="G4745" s="41" t="str">
        <f aca="false">IF(E4745="","",IFERROR(IF(ISNUMBER(SEARCH(Assumptions!$C$5,E4745)),Assumptions!$D$5,IF(ISNUMBER(SEARCH(Assumptions!$C$6,E4745)),Assumptions!$D$6,IF(ISNUMBER(SEARCH(Assumptions!$C$7,E4745)),Assumptions!$D$7,"Other Services"))),"Other Services"))</f>
        <v/>
      </c>
    </row>
    <row r="4746" customFormat="false" ht="15" hidden="false" customHeight="false" outlineLevel="0" collapsed="false">
      <c r="G4746" s="41" t="str">
        <f aca="false">IF(E4746="","",IFERROR(IF(ISNUMBER(SEARCH(Assumptions!$C$5,E4746)),Assumptions!$D$5,IF(ISNUMBER(SEARCH(Assumptions!$C$6,E4746)),Assumptions!$D$6,IF(ISNUMBER(SEARCH(Assumptions!$C$7,E4746)),Assumptions!$D$7,"Other Services"))),"Other Services"))</f>
        <v/>
      </c>
    </row>
    <row r="4747" customFormat="false" ht="15" hidden="false" customHeight="false" outlineLevel="0" collapsed="false">
      <c r="G4747" s="41" t="str">
        <f aca="false">IF(E4747="","",IFERROR(IF(ISNUMBER(SEARCH(Assumptions!$C$5,E4747)),Assumptions!$D$5,IF(ISNUMBER(SEARCH(Assumptions!$C$6,E4747)),Assumptions!$D$6,IF(ISNUMBER(SEARCH(Assumptions!$C$7,E4747)),Assumptions!$D$7,"Other Services"))),"Other Services"))</f>
        <v/>
      </c>
    </row>
    <row r="4748" customFormat="false" ht="15" hidden="false" customHeight="false" outlineLevel="0" collapsed="false">
      <c r="G4748" s="41" t="str">
        <f aca="false">IF(E4748="","",IFERROR(IF(ISNUMBER(SEARCH(Assumptions!$C$5,E4748)),Assumptions!$D$5,IF(ISNUMBER(SEARCH(Assumptions!$C$6,E4748)),Assumptions!$D$6,IF(ISNUMBER(SEARCH(Assumptions!$C$7,E4748)),Assumptions!$D$7,"Other Services"))),"Other Services"))</f>
        <v/>
      </c>
    </row>
    <row r="4749" customFormat="false" ht="15" hidden="false" customHeight="false" outlineLevel="0" collapsed="false">
      <c r="G4749" s="41" t="str">
        <f aca="false">IF(E4749="","",IFERROR(IF(ISNUMBER(SEARCH(Assumptions!$C$5,E4749)),Assumptions!$D$5,IF(ISNUMBER(SEARCH(Assumptions!$C$6,E4749)),Assumptions!$D$6,IF(ISNUMBER(SEARCH(Assumptions!$C$7,E4749)),Assumptions!$D$7,"Other Services"))),"Other Services"))</f>
        <v/>
      </c>
    </row>
    <row r="4750" customFormat="false" ht="15" hidden="false" customHeight="false" outlineLevel="0" collapsed="false">
      <c r="G4750" s="41" t="str">
        <f aca="false">IF(E4750="","",IFERROR(IF(ISNUMBER(SEARCH(Assumptions!$C$5,E4750)),Assumptions!$D$5,IF(ISNUMBER(SEARCH(Assumptions!$C$6,E4750)),Assumptions!$D$6,IF(ISNUMBER(SEARCH(Assumptions!$C$7,E4750)),Assumptions!$D$7,"Other Services"))),"Other Services"))</f>
        <v/>
      </c>
    </row>
    <row r="4751" customFormat="false" ht="15" hidden="false" customHeight="false" outlineLevel="0" collapsed="false">
      <c r="G4751" s="41" t="str">
        <f aca="false">IF(E4751="","",IFERROR(IF(ISNUMBER(SEARCH(Assumptions!$C$5,E4751)),Assumptions!$D$5,IF(ISNUMBER(SEARCH(Assumptions!$C$6,E4751)),Assumptions!$D$6,IF(ISNUMBER(SEARCH(Assumptions!$C$7,E4751)),Assumptions!$D$7,"Other Services"))),"Other Services"))</f>
        <v/>
      </c>
    </row>
    <row r="4752" customFormat="false" ht="15" hidden="false" customHeight="false" outlineLevel="0" collapsed="false">
      <c r="G4752" s="41" t="str">
        <f aca="false">IF(E4752="","",IFERROR(IF(ISNUMBER(SEARCH(Assumptions!$C$5,E4752)),Assumptions!$D$5,IF(ISNUMBER(SEARCH(Assumptions!$C$6,E4752)),Assumptions!$D$6,IF(ISNUMBER(SEARCH(Assumptions!$C$7,E4752)),Assumptions!$D$7,"Other Services"))),"Other Services"))</f>
        <v/>
      </c>
    </row>
    <row r="4753" customFormat="false" ht="15" hidden="false" customHeight="false" outlineLevel="0" collapsed="false">
      <c r="G4753" s="41" t="str">
        <f aca="false">IF(E4753="","",IFERROR(IF(ISNUMBER(SEARCH(Assumptions!$C$5,E4753)),Assumptions!$D$5,IF(ISNUMBER(SEARCH(Assumptions!$C$6,E4753)),Assumptions!$D$6,IF(ISNUMBER(SEARCH(Assumptions!$C$7,E4753)),Assumptions!$D$7,"Other Services"))),"Other Services"))</f>
        <v/>
      </c>
    </row>
    <row r="4754" customFormat="false" ht="15" hidden="false" customHeight="false" outlineLevel="0" collapsed="false">
      <c r="G4754" s="41" t="str">
        <f aca="false">IF(E4754="","",IFERROR(IF(ISNUMBER(SEARCH(Assumptions!$C$5,E4754)),Assumptions!$D$5,IF(ISNUMBER(SEARCH(Assumptions!$C$6,E4754)),Assumptions!$D$6,IF(ISNUMBER(SEARCH(Assumptions!$C$7,E4754)),Assumptions!$D$7,"Other Services"))),"Other Services"))</f>
        <v/>
      </c>
    </row>
    <row r="4755" customFormat="false" ht="15" hidden="false" customHeight="false" outlineLevel="0" collapsed="false">
      <c r="G4755" s="41" t="str">
        <f aca="false">IF(E4755="","",IFERROR(IF(ISNUMBER(SEARCH(Assumptions!$C$5,E4755)),Assumptions!$D$5,IF(ISNUMBER(SEARCH(Assumptions!$C$6,E4755)),Assumptions!$D$6,IF(ISNUMBER(SEARCH(Assumptions!$C$7,E4755)),Assumptions!$D$7,"Other Services"))),"Other Services"))</f>
        <v/>
      </c>
    </row>
    <row r="4756" customFormat="false" ht="15" hidden="false" customHeight="false" outlineLevel="0" collapsed="false">
      <c r="G4756" s="41" t="str">
        <f aca="false">IF(E4756="","",IFERROR(IF(ISNUMBER(SEARCH(Assumptions!$C$5,E4756)),Assumptions!$D$5,IF(ISNUMBER(SEARCH(Assumptions!$C$6,E4756)),Assumptions!$D$6,IF(ISNUMBER(SEARCH(Assumptions!$C$7,E4756)),Assumptions!$D$7,"Other Services"))),"Other Services"))</f>
        <v/>
      </c>
    </row>
    <row r="4757" customFormat="false" ht="15" hidden="false" customHeight="false" outlineLevel="0" collapsed="false">
      <c r="G4757" s="41" t="str">
        <f aca="false">IF(E4757="","",IFERROR(IF(ISNUMBER(SEARCH(Assumptions!$C$5,E4757)),Assumptions!$D$5,IF(ISNUMBER(SEARCH(Assumptions!$C$6,E4757)),Assumptions!$D$6,IF(ISNUMBER(SEARCH(Assumptions!$C$7,E4757)),Assumptions!$D$7,"Other Services"))),"Other Services"))</f>
        <v/>
      </c>
    </row>
    <row r="4758" customFormat="false" ht="15" hidden="false" customHeight="false" outlineLevel="0" collapsed="false">
      <c r="G4758" s="41" t="str">
        <f aca="false">IF(E4758="","",IFERROR(IF(ISNUMBER(SEARCH(Assumptions!$C$5,E4758)),Assumptions!$D$5,IF(ISNUMBER(SEARCH(Assumptions!$C$6,E4758)),Assumptions!$D$6,IF(ISNUMBER(SEARCH(Assumptions!$C$7,E4758)),Assumptions!$D$7,"Other Services"))),"Other Services"))</f>
        <v/>
      </c>
    </row>
    <row r="4759" customFormat="false" ht="15" hidden="false" customHeight="false" outlineLevel="0" collapsed="false">
      <c r="G4759" s="41" t="str">
        <f aca="false">IF(E4759="","",IFERROR(IF(ISNUMBER(SEARCH(Assumptions!$C$5,E4759)),Assumptions!$D$5,IF(ISNUMBER(SEARCH(Assumptions!$C$6,E4759)),Assumptions!$D$6,IF(ISNUMBER(SEARCH(Assumptions!$C$7,E4759)),Assumptions!$D$7,"Other Services"))),"Other Services"))</f>
        <v/>
      </c>
    </row>
    <row r="4760" customFormat="false" ht="15" hidden="false" customHeight="false" outlineLevel="0" collapsed="false">
      <c r="G4760" s="41" t="str">
        <f aca="false">IF(E4760="","",IFERROR(IF(ISNUMBER(SEARCH(Assumptions!$C$5,E4760)),Assumptions!$D$5,IF(ISNUMBER(SEARCH(Assumptions!$C$6,E4760)),Assumptions!$D$6,IF(ISNUMBER(SEARCH(Assumptions!$C$7,E4760)),Assumptions!$D$7,"Other Services"))),"Other Services"))</f>
        <v/>
      </c>
    </row>
    <row r="4761" customFormat="false" ht="15" hidden="false" customHeight="false" outlineLevel="0" collapsed="false">
      <c r="G4761" s="41" t="str">
        <f aca="false">IF(E4761="","",IFERROR(IF(ISNUMBER(SEARCH(Assumptions!$C$5,E4761)),Assumptions!$D$5,IF(ISNUMBER(SEARCH(Assumptions!$C$6,E4761)),Assumptions!$D$6,IF(ISNUMBER(SEARCH(Assumptions!$C$7,E4761)),Assumptions!$D$7,"Other Services"))),"Other Services"))</f>
        <v/>
      </c>
    </row>
    <row r="4762" customFormat="false" ht="15" hidden="false" customHeight="false" outlineLevel="0" collapsed="false">
      <c r="G4762" s="41" t="str">
        <f aca="false">IF(E4762="","",IFERROR(IF(ISNUMBER(SEARCH(Assumptions!$C$5,E4762)),Assumptions!$D$5,IF(ISNUMBER(SEARCH(Assumptions!$C$6,E4762)),Assumptions!$D$6,IF(ISNUMBER(SEARCH(Assumptions!$C$7,E4762)),Assumptions!$D$7,"Other Services"))),"Other Services"))</f>
        <v/>
      </c>
    </row>
    <row r="4763" customFormat="false" ht="15" hidden="false" customHeight="false" outlineLevel="0" collapsed="false">
      <c r="G4763" s="41" t="str">
        <f aca="false">IF(E4763="","",IFERROR(IF(ISNUMBER(SEARCH(Assumptions!$C$5,E4763)),Assumptions!$D$5,IF(ISNUMBER(SEARCH(Assumptions!$C$6,E4763)),Assumptions!$D$6,IF(ISNUMBER(SEARCH(Assumptions!$C$7,E4763)),Assumptions!$D$7,"Other Services"))),"Other Services"))</f>
        <v/>
      </c>
    </row>
    <row r="4764" customFormat="false" ht="15" hidden="false" customHeight="false" outlineLevel="0" collapsed="false">
      <c r="G4764" s="41" t="str">
        <f aca="false">IF(E4764="","",IFERROR(IF(ISNUMBER(SEARCH(Assumptions!$C$5,E4764)),Assumptions!$D$5,IF(ISNUMBER(SEARCH(Assumptions!$C$6,E4764)),Assumptions!$D$6,IF(ISNUMBER(SEARCH(Assumptions!$C$7,E4764)),Assumptions!$D$7,"Other Services"))),"Other Services"))</f>
        <v/>
      </c>
    </row>
    <row r="4765" customFormat="false" ht="15" hidden="false" customHeight="false" outlineLevel="0" collapsed="false">
      <c r="G4765" s="41" t="str">
        <f aca="false">IF(E4765="","",IFERROR(IF(ISNUMBER(SEARCH(Assumptions!$C$5,E4765)),Assumptions!$D$5,IF(ISNUMBER(SEARCH(Assumptions!$C$6,E4765)),Assumptions!$D$6,IF(ISNUMBER(SEARCH(Assumptions!$C$7,E4765)),Assumptions!$D$7,"Other Services"))),"Other Services"))</f>
        <v/>
      </c>
    </row>
    <row r="4766" customFormat="false" ht="15" hidden="false" customHeight="false" outlineLevel="0" collapsed="false">
      <c r="G4766" s="41" t="str">
        <f aca="false">IF(E4766="","",IFERROR(IF(ISNUMBER(SEARCH(Assumptions!$C$5,E4766)),Assumptions!$D$5,IF(ISNUMBER(SEARCH(Assumptions!$C$6,E4766)),Assumptions!$D$6,IF(ISNUMBER(SEARCH(Assumptions!$C$7,E4766)),Assumptions!$D$7,"Other Services"))),"Other Services"))</f>
        <v/>
      </c>
    </row>
    <row r="4767" customFormat="false" ht="15" hidden="false" customHeight="false" outlineLevel="0" collapsed="false">
      <c r="G4767" s="41" t="str">
        <f aca="false">IF(E4767="","",IFERROR(IF(ISNUMBER(SEARCH(Assumptions!$C$5,E4767)),Assumptions!$D$5,IF(ISNUMBER(SEARCH(Assumptions!$C$6,E4767)),Assumptions!$D$6,IF(ISNUMBER(SEARCH(Assumptions!$C$7,E4767)),Assumptions!$D$7,"Other Services"))),"Other Services"))</f>
        <v/>
      </c>
    </row>
    <row r="4768" customFormat="false" ht="15" hidden="false" customHeight="false" outlineLevel="0" collapsed="false">
      <c r="G4768" s="41" t="str">
        <f aca="false">IF(E4768="","",IFERROR(IF(ISNUMBER(SEARCH(Assumptions!$C$5,E4768)),Assumptions!$D$5,IF(ISNUMBER(SEARCH(Assumptions!$C$6,E4768)),Assumptions!$D$6,IF(ISNUMBER(SEARCH(Assumptions!$C$7,E4768)),Assumptions!$D$7,"Other Services"))),"Other Services"))</f>
        <v/>
      </c>
    </row>
    <row r="4769" customFormat="false" ht="15" hidden="false" customHeight="false" outlineLevel="0" collapsed="false">
      <c r="G4769" s="41" t="str">
        <f aca="false">IF(E4769="","",IFERROR(IF(ISNUMBER(SEARCH(Assumptions!$C$5,E4769)),Assumptions!$D$5,IF(ISNUMBER(SEARCH(Assumptions!$C$6,E4769)),Assumptions!$D$6,IF(ISNUMBER(SEARCH(Assumptions!$C$7,E4769)),Assumptions!$D$7,"Other Services"))),"Other Services"))</f>
        <v/>
      </c>
    </row>
    <row r="4770" customFormat="false" ht="15" hidden="false" customHeight="false" outlineLevel="0" collapsed="false">
      <c r="G4770" s="41" t="str">
        <f aca="false">IF(E4770="","",IFERROR(IF(ISNUMBER(SEARCH(Assumptions!$C$5,E4770)),Assumptions!$D$5,IF(ISNUMBER(SEARCH(Assumptions!$C$6,E4770)),Assumptions!$D$6,IF(ISNUMBER(SEARCH(Assumptions!$C$7,E4770)),Assumptions!$D$7,"Other Services"))),"Other Services"))</f>
        <v/>
      </c>
    </row>
    <row r="4771" customFormat="false" ht="15" hidden="false" customHeight="false" outlineLevel="0" collapsed="false">
      <c r="G4771" s="41" t="str">
        <f aca="false">IF(E4771="","",IFERROR(IF(ISNUMBER(SEARCH(Assumptions!$C$5,E4771)),Assumptions!$D$5,IF(ISNUMBER(SEARCH(Assumptions!$C$6,E4771)),Assumptions!$D$6,IF(ISNUMBER(SEARCH(Assumptions!$C$7,E4771)),Assumptions!$D$7,"Other Services"))),"Other Services"))</f>
        <v/>
      </c>
    </row>
    <row r="4772" customFormat="false" ht="15" hidden="false" customHeight="false" outlineLevel="0" collapsed="false">
      <c r="G4772" s="41" t="str">
        <f aca="false">IF(E4772="","",IFERROR(IF(ISNUMBER(SEARCH(Assumptions!$C$5,E4772)),Assumptions!$D$5,IF(ISNUMBER(SEARCH(Assumptions!$C$6,E4772)),Assumptions!$D$6,IF(ISNUMBER(SEARCH(Assumptions!$C$7,E4772)),Assumptions!$D$7,"Other Services"))),"Other Services"))</f>
        <v/>
      </c>
    </row>
    <row r="4773" customFormat="false" ht="15" hidden="false" customHeight="false" outlineLevel="0" collapsed="false">
      <c r="G4773" s="41" t="str">
        <f aca="false">IF(E4773="","",IFERROR(IF(ISNUMBER(SEARCH(Assumptions!$C$5,E4773)),Assumptions!$D$5,IF(ISNUMBER(SEARCH(Assumptions!$C$6,E4773)),Assumptions!$D$6,IF(ISNUMBER(SEARCH(Assumptions!$C$7,E4773)),Assumptions!$D$7,"Other Services"))),"Other Services"))</f>
        <v/>
      </c>
    </row>
    <row r="4774" customFormat="false" ht="15" hidden="false" customHeight="false" outlineLevel="0" collapsed="false">
      <c r="G4774" s="41" t="str">
        <f aca="false">IF(E4774="","",IFERROR(IF(ISNUMBER(SEARCH(Assumptions!$C$5,E4774)),Assumptions!$D$5,IF(ISNUMBER(SEARCH(Assumptions!$C$6,E4774)),Assumptions!$D$6,IF(ISNUMBER(SEARCH(Assumptions!$C$7,E4774)),Assumptions!$D$7,"Other Services"))),"Other Services"))</f>
        <v/>
      </c>
    </row>
    <row r="4775" customFormat="false" ht="15" hidden="false" customHeight="false" outlineLevel="0" collapsed="false">
      <c r="G4775" s="41" t="str">
        <f aca="false">IF(E4775="","",IFERROR(IF(ISNUMBER(SEARCH(Assumptions!$C$5,E4775)),Assumptions!$D$5,IF(ISNUMBER(SEARCH(Assumptions!$C$6,E4775)),Assumptions!$D$6,IF(ISNUMBER(SEARCH(Assumptions!$C$7,E4775)),Assumptions!$D$7,"Other Services"))),"Other Services"))</f>
        <v/>
      </c>
    </row>
    <row r="4776" customFormat="false" ht="15" hidden="false" customHeight="false" outlineLevel="0" collapsed="false">
      <c r="G4776" s="41" t="str">
        <f aca="false">IF(E4776="","",IFERROR(IF(ISNUMBER(SEARCH(Assumptions!$C$5,E4776)),Assumptions!$D$5,IF(ISNUMBER(SEARCH(Assumptions!$C$6,E4776)),Assumptions!$D$6,IF(ISNUMBER(SEARCH(Assumptions!$C$7,E4776)),Assumptions!$D$7,"Other Services"))),"Other Services"))</f>
        <v/>
      </c>
    </row>
    <row r="4777" customFormat="false" ht="15" hidden="false" customHeight="false" outlineLevel="0" collapsed="false">
      <c r="G4777" s="41" t="str">
        <f aca="false">IF(E4777="","",IFERROR(IF(ISNUMBER(SEARCH(Assumptions!$C$5,E4777)),Assumptions!$D$5,IF(ISNUMBER(SEARCH(Assumptions!$C$6,E4777)),Assumptions!$D$6,IF(ISNUMBER(SEARCH(Assumptions!$C$7,E4777)),Assumptions!$D$7,"Other Services"))),"Other Services"))</f>
        <v/>
      </c>
    </row>
    <row r="4778" customFormat="false" ht="15" hidden="false" customHeight="false" outlineLevel="0" collapsed="false">
      <c r="G4778" s="41" t="str">
        <f aca="false">IF(E4778="","",IFERROR(IF(ISNUMBER(SEARCH(Assumptions!$C$5,E4778)),Assumptions!$D$5,IF(ISNUMBER(SEARCH(Assumptions!$C$6,E4778)),Assumptions!$D$6,IF(ISNUMBER(SEARCH(Assumptions!$C$7,E4778)),Assumptions!$D$7,"Other Services"))),"Other Services"))</f>
        <v/>
      </c>
    </row>
    <row r="4779" customFormat="false" ht="15" hidden="false" customHeight="false" outlineLevel="0" collapsed="false">
      <c r="G4779" s="41" t="str">
        <f aca="false">IF(E4779="","",IFERROR(IF(ISNUMBER(SEARCH(Assumptions!$C$5,E4779)),Assumptions!$D$5,IF(ISNUMBER(SEARCH(Assumptions!$C$6,E4779)),Assumptions!$D$6,IF(ISNUMBER(SEARCH(Assumptions!$C$7,E4779)),Assumptions!$D$7,"Other Services"))),"Other Services"))</f>
        <v/>
      </c>
    </row>
    <row r="4780" customFormat="false" ht="15" hidden="false" customHeight="false" outlineLevel="0" collapsed="false">
      <c r="G4780" s="41" t="str">
        <f aca="false">IF(E4780="","",IFERROR(IF(ISNUMBER(SEARCH(Assumptions!$C$5,E4780)),Assumptions!$D$5,IF(ISNUMBER(SEARCH(Assumptions!$C$6,E4780)),Assumptions!$D$6,IF(ISNUMBER(SEARCH(Assumptions!$C$7,E4780)),Assumptions!$D$7,"Other Services"))),"Other Services"))</f>
        <v/>
      </c>
    </row>
    <row r="4781" customFormat="false" ht="15" hidden="false" customHeight="false" outlineLevel="0" collapsed="false">
      <c r="G4781" s="41" t="str">
        <f aca="false">IF(E4781="","",IFERROR(IF(ISNUMBER(SEARCH(Assumptions!$C$5,E4781)),Assumptions!$D$5,IF(ISNUMBER(SEARCH(Assumptions!$C$6,E4781)),Assumptions!$D$6,IF(ISNUMBER(SEARCH(Assumptions!$C$7,E4781)),Assumptions!$D$7,"Other Services"))),"Other Services"))</f>
        <v/>
      </c>
    </row>
    <row r="4782" customFormat="false" ht="15" hidden="false" customHeight="false" outlineLevel="0" collapsed="false">
      <c r="G4782" s="41" t="str">
        <f aca="false">IF(E4782="","",IFERROR(IF(ISNUMBER(SEARCH(Assumptions!$C$5,E4782)),Assumptions!$D$5,IF(ISNUMBER(SEARCH(Assumptions!$C$6,E4782)),Assumptions!$D$6,IF(ISNUMBER(SEARCH(Assumptions!$C$7,E4782)),Assumptions!$D$7,"Other Services"))),"Other Services"))</f>
        <v/>
      </c>
    </row>
    <row r="4783" customFormat="false" ht="15" hidden="false" customHeight="false" outlineLevel="0" collapsed="false">
      <c r="G4783" s="41" t="str">
        <f aca="false">IF(E4783="","",IFERROR(IF(ISNUMBER(SEARCH(Assumptions!$C$5,E4783)),Assumptions!$D$5,IF(ISNUMBER(SEARCH(Assumptions!$C$6,E4783)),Assumptions!$D$6,IF(ISNUMBER(SEARCH(Assumptions!$C$7,E4783)),Assumptions!$D$7,"Other Services"))),"Other Services"))</f>
        <v/>
      </c>
    </row>
    <row r="4784" customFormat="false" ht="15" hidden="false" customHeight="false" outlineLevel="0" collapsed="false">
      <c r="G4784" s="41" t="str">
        <f aca="false">IF(E4784="","",IFERROR(IF(ISNUMBER(SEARCH(Assumptions!$C$5,E4784)),Assumptions!$D$5,IF(ISNUMBER(SEARCH(Assumptions!$C$6,E4784)),Assumptions!$D$6,IF(ISNUMBER(SEARCH(Assumptions!$C$7,E4784)),Assumptions!$D$7,"Other Services"))),"Other Services"))</f>
        <v/>
      </c>
    </row>
    <row r="4785" customFormat="false" ht="15" hidden="false" customHeight="false" outlineLevel="0" collapsed="false">
      <c r="G4785" s="41" t="str">
        <f aca="false">IF(E4785="","",IFERROR(IF(ISNUMBER(SEARCH(Assumptions!$C$5,E4785)),Assumptions!$D$5,IF(ISNUMBER(SEARCH(Assumptions!$C$6,E4785)),Assumptions!$D$6,IF(ISNUMBER(SEARCH(Assumptions!$C$7,E4785)),Assumptions!$D$7,"Other Services"))),"Other Services"))</f>
        <v/>
      </c>
    </row>
    <row r="4786" customFormat="false" ht="15" hidden="false" customHeight="false" outlineLevel="0" collapsed="false">
      <c r="G4786" s="41" t="str">
        <f aca="false">IF(E4786="","",IFERROR(IF(ISNUMBER(SEARCH(Assumptions!$C$5,E4786)),Assumptions!$D$5,IF(ISNUMBER(SEARCH(Assumptions!$C$6,E4786)),Assumptions!$D$6,IF(ISNUMBER(SEARCH(Assumptions!$C$7,E4786)),Assumptions!$D$7,"Other Services"))),"Other Services"))</f>
        <v/>
      </c>
    </row>
    <row r="4787" customFormat="false" ht="15" hidden="false" customHeight="false" outlineLevel="0" collapsed="false">
      <c r="G4787" s="41" t="str">
        <f aca="false">IF(E4787="","",IFERROR(IF(ISNUMBER(SEARCH(Assumptions!$C$5,E4787)),Assumptions!$D$5,IF(ISNUMBER(SEARCH(Assumptions!$C$6,E4787)),Assumptions!$D$6,IF(ISNUMBER(SEARCH(Assumptions!$C$7,E4787)),Assumptions!$D$7,"Other Services"))),"Other Services"))</f>
        <v/>
      </c>
    </row>
    <row r="4788" customFormat="false" ht="15" hidden="false" customHeight="false" outlineLevel="0" collapsed="false">
      <c r="G4788" s="41" t="str">
        <f aca="false">IF(E4788="","",IFERROR(IF(ISNUMBER(SEARCH(Assumptions!$C$5,E4788)),Assumptions!$D$5,IF(ISNUMBER(SEARCH(Assumptions!$C$6,E4788)),Assumptions!$D$6,IF(ISNUMBER(SEARCH(Assumptions!$C$7,E4788)),Assumptions!$D$7,"Other Services"))),"Other Services"))</f>
        <v/>
      </c>
    </row>
    <row r="4789" customFormat="false" ht="15" hidden="false" customHeight="false" outlineLevel="0" collapsed="false">
      <c r="G4789" s="41" t="str">
        <f aca="false">IF(E4789="","",IFERROR(IF(ISNUMBER(SEARCH(Assumptions!$C$5,E4789)),Assumptions!$D$5,IF(ISNUMBER(SEARCH(Assumptions!$C$6,E4789)),Assumptions!$D$6,IF(ISNUMBER(SEARCH(Assumptions!$C$7,E4789)),Assumptions!$D$7,"Other Services"))),"Other Services"))</f>
        <v/>
      </c>
    </row>
    <row r="4790" customFormat="false" ht="15" hidden="false" customHeight="false" outlineLevel="0" collapsed="false">
      <c r="G4790" s="41" t="str">
        <f aca="false">IF(E4790="","",IFERROR(IF(ISNUMBER(SEARCH(Assumptions!$C$5,E4790)),Assumptions!$D$5,IF(ISNUMBER(SEARCH(Assumptions!$C$6,E4790)),Assumptions!$D$6,IF(ISNUMBER(SEARCH(Assumptions!$C$7,E4790)),Assumptions!$D$7,"Other Services"))),"Other Services"))</f>
        <v/>
      </c>
    </row>
    <row r="4791" customFormat="false" ht="15" hidden="false" customHeight="false" outlineLevel="0" collapsed="false">
      <c r="G4791" s="41" t="str">
        <f aca="false">IF(E4791="","",IFERROR(IF(ISNUMBER(SEARCH(Assumptions!$C$5,E4791)),Assumptions!$D$5,IF(ISNUMBER(SEARCH(Assumptions!$C$6,E4791)),Assumptions!$D$6,IF(ISNUMBER(SEARCH(Assumptions!$C$7,E4791)),Assumptions!$D$7,"Other Services"))),"Other Services"))</f>
        <v/>
      </c>
    </row>
    <row r="4792" customFormat="false" ht="15" hidden="false" customHeight="false" outlineLevel="0" collapsed="false">
      <c r="G4792" s="41" t="str">
        <f aca="false">IF(E4792="","",IFERROR(IF(ISNUMBER(SEARCH(Assumptions!$C$5,E4792)),Assumptions!$D$5,IF(ISNUMBER(SEARCH(Assumptions!$C$6,E4792)),Assumptions!$D$6,IF(ISNUMBER(SEARCH(Assumptions!$C$7,E4792)),Assumptions!$D$7,"Other Services"))),"Other Services"))</f>
        <v/>
      </c>
    </row>
    <row r="4793" customFormat="false" ht="15" hidden="false" customHeight="false" outlineLevel="0" collapsed="false">
      <c r="G4793" s="41" t="str">
        <f aca="false">IF(E4793="","",IFERROR(IF(ISNUMBER(SEARCH(Assumptions!$C$5,E4793)),Assumptions!$D$5,IF(ISNUMBER(SEARCH(Assumptions!$C$6,E4793)),Assumptions!$D$6,IF(ISNUMBER(SEARCH(Assumptions!$C$7,E4793)),Assumptions!$D$7,"Other Services"))),"Other Services"))</f>
        <v/>
      </c>
    </row>
    <row r="4794" customFormat="false" ht="15" hidden="false" customHeight="false" outlineLevel="0" collapsed="false">
      <c r="G4794" s="41" t="str">
        <f aca="false">IF(E4794="","",IFERROR(IF(ISNUMBER(SEARCH(Assumptions!$C$5,E4794)),Assumptions!$D$5,IF(ISNUMBER(SEARCH(Assumptions!$C$6,E4794)),Assumptions!$D$6,IF(ISNUMBER(SEARCH(Assumptions!$C$7,E4794)),Assumptions!$D$7,"Other Services"))),"Other Services"))</f>
        <v/>
      </c>
    </row>
    <row r="4795" customFormat="false" ht="15" hidden="false" customHeight="false" outlineLevel="0" collapsed="false">
      <c r="G4795" s="41" t="str">
        <f aca="false">IF(E4795="","",IFERROR(IF(ISNUMBER(SEARCH(Assumptions!$C$5,E4795)),Assumptions!$D$5,IF(ISNUMBER(SEARCH(Assumptions!$C$6,E4795)),Assumptions!$D$6,IF(ISNUMBER(SEARCH(Assumptions!$C$7,E4795)),Assumptions!$D$7,"Other Services"))),"Other Services"))</f>
        <v/>
      </c>
    </row>
    <row r="4796" customFormat="false" ht="15" hidden="false" customHeight="false" outlineLevel="0" collapsed="false">
      <c r="G4796" s="41" t="str">
        <f aca="false">IF(E4796="","",IFERROR(IF(ISNUMBER(SEARCH(Assumptions!$C$5,E4796)),Assumptions!$D$5,IF(ISNUMBER(SEARCH(Assumptions!$C$6,E4796)),Assumptions!$D$6,IF(ISNUMBER(SEARCH(Assumptions!$C$7,E4796)),Assumptions!$D$7,"Other Services"))),"Other Services"))</f>
        <v/>
      </c>
    </row>
    <row r="4797" customFormat="false" ht="15" hidden="false" customHeight="false" outlineLevel="0" collapsed="false">
      <c r="G4797" s="41" t="str">
        <f aca="false">IF(E4797="","",IFERROR(IF(ISNUMBER(SEARCH(Assumptions!$C$5,E4797)),Assumptions!$D$5,IF(ISNUMBER(SEARCH(Assumptions!$C$6,E4797)),Assumptions!$D$6,IF(ISNUMBER(SEARCH(Assumptions!$C$7,E4797)),Assumptions!$D$7,"Other Services"))),"Other Services"))</f>
        <v/>
      </c>
    </row>
    <row r="4798" customFormat="false" ht="15" hidden="false" customHeight="false" outlineLevel="0" collapsed="false">
      <c r="G4798" s="41" t="str">
        <f aca="false">IF(E4798="","",IFERROR(IF(ISNUMBER(SEARCH(Assumptions!$C$5,E4798)),Assumptions!$D$5,IF(ISNUMBER(SEARCH(Assumptions!$C$6,E4798)),Assumptions!$D$6,IF(ISNUMBER(SEARCH(Assumptions!$C$7,E4798)),Assumptions!$D$7,"Other Services"))),"Other Services"))</f>
        <v/>
      </c>
    </row>
    <row r="4799" customFormat="false" ht="15" hidden="false" customHeight="false" outlineLevel="0" collapsed="false">
      <c r="G4799" s="41" t="str">
        <f aca="false">IF(E4799="","",IFERROR(IF(ISNUMBER(SEARCH(Assumptions!$C$5,E4799)),Assumptions!$D$5,IF(ISNUMBER(SEARCH(Assumptions!$C$6,E4799)),Assumptions!$D$6,IF(ISNUMBER(SEARCH(Assumptions!$C$7,E4799)),Assumptions!$D$7,"Other Services"))),"Other Services"))</f>
        <v/>
      </c>
    </row>
    <row r="4800" customFormat="false" ht="15" hidden="false" customHeight="false" outlineLevel="0" collapsed="false">
      <c r="G4800" s="41" t="str">
        <f aca="false">IF(E4800="","",IFERROR(IF(ISNUMBER(SEARCH(Assumptions!$C$5,E4800)),Assumptions!$D$5,IF(ISNUMBER(SEARCH(Assumptions!$C$6,E4800)),Assumptions!$D$6,IF(ISNUMBER(SEARCH(Assumptions!$C$7,E4800)),Assumptions!$D$7,"Other Services"))),"Other Services"))</f>
        <v/>
      </c>
    </row>
    <row r="4801" customFormat="false" ht="15" hidden="false" customHeight="false" outlineLevel="0" collapsed="false">
      <c r="G4801" s="41" t="str">
        <f aca="false">IF(E4801="","",IFERROR(IF(ISNUMBER(SEARCH(Assumptions!$C$5,E4801)),Assumptions!$D$5,IF(ISNUMBER(SEARCH(Assumptions!$C$6,E4801)),Assumptions!$D$6,IF(ISNUMBER(SEARCH(Assumptions!$C$7,E4801)),Assumptions!$D$7,"Other Services"))),"Other Services"))</f>
        <v/>
      </c>
    </row>
    <row r="4802" customFormat="false" ht="15" hidden="false" customHeight="false" outlineLevel="0" collapsed="false">
      <c r="G4802" s="41" t="str">
        <f aca="false">IF(E4802="","",IFERROR(IF(ISNUMBER(SEARCH(Assumptions!$C$5,E4802)),Assumptions!$D$5,IF(ISNUMBER(SEARCH(Assumptions!$C$6,E4802)),Assumptions!$D$6,IF(ISNUMBER(SEARCH(Assumptions!$C$7,E4802)),Assumptions!$D$7,"Other Services"))),"Other Services"))</f>
        <v/>
      </c>
    </row>
    <row r="4803" customFormat="false" ht="15" hidden="false" customHeight="false" outlineLevel="0" collapsed="false">
      <c r="G4803" s="41" t="str">
        <f aca="false">IF(E4803="","",IFERROR(IF(ISNUMBER(SEARCH(Assumptions!$C$5,E4803)),Assumptions!$D$5,IF(ISNUMBER(SEARCH(Assumptions!$C$6,E4803)),Assumptions!$D$6,IF(ISNUMBER(SEARCH(Assumptions!$C$7,E4803)),Assumptions!$D$7,"Other Services"))),"Other Services"))</f>
        <v/>
      </c>
    </row>
    <row r="4804" customFormat="false" ht="15" hidden="false" customHeight="false" outlineLevel="0" collapsed="false">
      <c r="G4804" s="41" t="str">
        <f aca="false">IF(E4804="","",IFERROR(IF(ISNUMBER(SEARCH(Assumptions!$C$5,E4804)),Assumptions!$D$5,IF(ISNUMBER(SEARCH(Assumptions!$C$6,E4804)),Assumptions!$D$6,IF(ISNUMBER(SEARCH(Assumptions!$C$7,E4804)),Assumptions!$D$7,"Other Services"))),"Other Services"))</f>
        <v/>
      </c>
    </row>
    <row r="4805" customFormat="false" ht="15" hidden="false" customHeight="false" outlineLevel="0" collapsed="false">
      <c r="G4805" s="41" t="str">
        <f aca="false">IF(E4805="","",IFERROR(IF(ISNUMBER(SEARCH(Assumptions!$C$5,E4805)),Assumptions!$D$5,IF(ISNUMBER(SEARCH(Assumptions!$C$6,E4805)),Assumptions!$D$6,IF(ISNUMBER(SEARCH(Assumptions!$C$7,E4805)),Assumptions!$D$7,"Other Services"))),"Other Services"))</f>
        <v/>
      </c>
    </row>
    <row r="4806" customFormat="false" ht="15" hidden="false" customHeight="false" outlineLevel="0" collapsed="false">
      <c r="G4806" s="41" t="str">
        <f aca="false">IF(E4806="","",IFERROR(IF(ISNUMBER(SEARCH(Assumptions!$C$5,E4806)),Assumptions!$D$5,IF(ISNUMBER(SEARCH(Assumptions!$C$6,E4806)),Assumptions!$D$6,IF(ISNUMBER(SEARCH(Assumptions!$C$7,E4806)),Assumptions!$D$7,"Other Services"))),"Other Services"))</f>
        <v/>
      </c>
    </row>
    <row r="4807" customFormat="false" ht="15" hidden="false" customHeight="false" outlineLevel="0" collapsed="false">
      <c r="G4807" s="41" t="str">
        <f aca="false">IF(E4807="","",IFERROR(IF(ISNUMBER(SEARCH(Assumptions!$C$5,E4807)),Assumptions!$D$5,IF(ISNUMBER(SEARCH(Assumptions!$C$6,E4807)),Assumptions!$D$6,IF(ISNUMBER(SEARCH(Assumptions!$C$7,E4807)),Assumptions!$D$7,"Other Services"))),"Other Services"))</f>
        <v/>
      </c>
    </row>
    <row r="4808" customFormat="false" ht="15" hidden="false" customHeight="false" outlineLevel="0" collapsed="false">
      <c r="G4808" s="41" t="str">
        <f aca="false">IF(E4808="","",IFERROR(IF(ISNUMBER(SEARCH(Assumptions!$C$5,E4808)),Assumptions!$D$5,IF(ISNUMBER(SEARCH(Assumptions!$C$6,E4808)),Assumptions!$D$6,IF(ISNUMBER(SEARCH(Assumptions!$C$7,E4808)),Assumptions!$D$7,"Other Services"))),"Other Services"))</f>
        <v/>
      </c>
    </row>
    <row r="4809" customFormat="false" ht="15" hidden="false" customHeight="false" outlineLevel="0" collapsed="false">
      <c r="G4809" s="41" t="str">
        <f aca="false">IF(E4809="","",IFERROR(IF(ISNUMBER(SEARCH(Assumptions!$C$5,E4809)),Assumptions!$D$5,IF(ISNUMBER(SEARCH(Assumptions!$C$6,E4809)),Assumptions!$D$6,IF(ISNUMBER(SEARCH(Assumptions!$C$7,E4809)),Assumptions!$D$7,"Other Services"))),"Other Services"))</f>
        <v/>
      </c>
    </row>
    <row r="4810" customFormat="false" ht="15" hidden="false" customHeight="false" outlineLevel="0" collapsed="false">
      <c r="G4810" s="41" t="str">
        <f aca="false">IF(E4810="","",IFERROR(IF(ISNUMBER(SEARCH(Assumptions!$C$5,E4810)),Assumptions!$D$5,IF(ISNUMBER(SEARCH(Assumptions!$C$6,E4810)),Assumptions!$D$6,IF(ISNUMBER(SEARCH(Assumptions!$C$7,E4810)),Assumptions!$D$7,"Other Services"))),"Other Services"))</f>
        <v/>
      </c>
    </row>
    <row r="4811" customFormat="false" ht="15" hidden="false" customHeight="false" outlineLevel="0" collapsed="false">
      <c r="G4811" s="41" t="str">
        <f aca="false">IF(E4811="","",IFERROR(IF(ISNUMBER(SEARCH(Assumptions!$C$5,E4811)),Assumptions!$D$5,IF(ISNUMBER(SEARCH(Assumptions!$C$6,E4811)),Assumptions!$D$6,IF(ISNUMBER(SEARCH(Assumptions!$C$7,E4811)),Assumptions!$D$7,"Other Services"))),"Other Services"))</f>
        <v/>
      </c>
    </row>
    <row r="4812" customFormat="false" ht="15" hidden="false" customHeight="false" outlineLevel="0" collapsed="false">
      <c r="G4812" s="41" t="str">
        <f aca="false">IF(E4812="","",IFERROR(IF(ISNUMBER(SEARCH(Assumptions!$C$5,E4812)),Assumptions!$D$5,IF(ISNUMBER(SEARCH(Assumptions!$C$6,E4812)),Assumptions!$D$6,IF(ISNUMBER(SEARCH(Assumptions!$C$7,E4812)),Assumptions!$D$7,"Other Services"))),"Other Services"))</f>
        <v/>
      </c>
    </row>
    <row r="4813" customFormat="false" ht="15" hidden="false" customHeight="false" outlineLevel="0" collapsed="false">
      <c r="G4813" s="41" t="str">
        <f aca="false">IF(E4813="","",IFERROR(IF(ISNUMBER(SEARCH(Assumptions!$C$5,E4813)),Assumptions!$D$5,IF(ISNUMBER(SEARCH(Assumptions!$C$6,E4813)),Assumptions!$D$6,IF(ISNUMBER(SEARCH(Assumptions!$C$7,E4813)),Assumptions!$D$7,"Other Services"))),"Other Services"))</f>
        <v/>
      </c>
    </row>
    <row r="4814" customFormat="false" ht="15" hidden="false" customHeight="false" outlineLevel="0" collapsed="false">
      <c r="G4814" s="41" t="str">
        <f aca="false">IF(E4814="","",IFERROR(IF(ISNUMBER(SEARCH(Assumptions!$C$5,E4814)),Assumptions!$D$5,IF(ISNUMBER(SEARCH(Assumptions!$C$6,E4814)),Assumptions!$D$6,IF(ISNUMBER(SEARCH(Assumptions!$C$7,E4814)),Assumptions!$D$7,"Other Services"))),"Other Services"))</f>
        <v/>
      </c>
    </row>
    <row r="4815" customFormat="false" ht="15" hidden="false" customHeight="false" outlineLevel="0" collapsed="false">
      <c r="G4815" s="41" t="str">
        <f aca="false">IF(E4815="","",IFERROR(IF(ISNUMBER(SEARCH(Assumptions!$C$5,E4815)),Assumptions!$D$5,IF(ISNUMBER(SEARCH(Assumptions!$C$6,E4815)),Assumptions!$D$6,IF(ISNUMBER(SEARCH(Assumptions!$C$7,E4815)),Assumptions!$D$7,"Other Services"))),"Other Services"))</f>
        <v/>
      </c>
    </row>
    <row r="4816" customFormat="false" ht="15" hidden="false" customHeight="false" outlineLevel="0" collapsed="false">
      <c r="G4816" s="41" t="str">
        <f aca="false">IF(E4816="","",IFERROR(IF(ISNUMBER(SEARCH(Assumptions!$C$5,E4816)),Assumptions!$D$5,IF(ISNUMBER(SEARCH(Assumptions!$C$6,E4816)),Assumptions!$D$6,IF(ISNUMBER(SEARCH(Assumptions!$C$7,E4816)),Assumptions!$D$7,"Other Services"))),"Other Services"))</f>
        <v/>
      </c>
    </row>
    <row r="4817" customFormat="false" ht="15" hidden="false" customHeight="false" outlineLevel="0" collapsed="false">
      <c r="G4817" s="41" t="str">
        <f aca="false">IF(E4817="","",IFERROR(IF(ISNUMBER(SEARCH(Assumptions!$C$5,E4817)),Assumptions!$D$5,IF(ISNUMBER(SEARCH(Assumptions!$C$6,E4817)),Assumptions!$D$6,IF(ISNUMBER(SEARCH(Assumptions!$C$7,E4817)),Assumptions!$D$7,"Other Services"))),"Other Services"))</f>
        <v/>
      </c>
    </row>
    <row r="4818" customFormat="false" ht="15" hidden="false" customHeight="false" outlineLevel="0" collapsed="false">
      <c r="G4818" s="41" t="str">
        <f aca="false">IF(E4818="","",IFERROR(IF(ISNUMBER(SEARCH(Assumptions!$C$5,E4818)),Assumptions!$D$5,IF(ISNUMBER(SEARCH(Assumptions!$C$6,E4818)),Assumptions!$D$6,IF(ISNUMBER(SEARCH(Assumptions!$C$7,E4818)),Assumptions!$D$7,"Other Services"))),"Other Services"))</f>
        <v/>
      </c>
    </row>
    <row r="4819" customFormat="false" ht="15" hidden="false" customHeight="false" outlineLevel="0" collapsed="false">
      <c r="G4819" s="41" t="str">
        <f aca="false">IF(E4819="","",IFERROR(IF(ISNUMBER(SEARCH(Assumptions!$C$5,E4819)),Assumptions!$D$5,IF(ISNUMBER(SEARCH(Assumptions!$C$6,E4819)),Assumptions!$D$6,IF(ISNUMBER(SEARCH(Assumptions!$C$7,E4819)),Assumptions!$D$7,"Other Services"))),"Other Services"))</f>
        <v/>
      </c>
    </row>
    <row r="4820" customFormat="false" ht="15" hidden="false" customHeight="false" outlineLevel="0" collapsed="false">
      <c r="G4820" s="41" t="str">
        <f aca="false">IF(E4820="","",IFERROR(IF(ISNUMBER(SEARCH(Assumptions!$C$5,E4820)),Assumptions!$D$5,IF(ISNUMBER(SEARCH(Assumptions!$C$6,E4820)),Assumptions!$D$6,IF(ISNUMBER(SEARCH(Assumptions!$C$7,E4820)),Assumptions!$D$7,"Other Services"))),"Other Services"))</f>
        <v/>
      </c>
    </row>
    <row r="4821" customFormat="false" ht="15" hidden="false" customHeight="false" outlineLevel="0" collapsed="false">
      <c r="G4821" s="41" t="str">
        <f aca="false">IF(E4821="","",IFERROR(IF(ISNUMBER(SEARCH(Assumptions!$C$5,E4821)),Assumptions!$D$5,IF(ISNUMBER(SEARCH(Assumptions!$C$6,E4821)),Assumptions!$D$6,IF(ISNUMBER(SEARCH(Assumptions!$C$7,E4821)),Assumptions!$D$7,"Other Services"))),"Other Services"))</f>
        <v/>
      </c>
    </row>
    <row r="4822" customFormat="false" ht="15" hidden="false" customHeight="false" outlineLevel="0" collapsed="false">
      <c r="G4822" s="41" t="str">
        <f aca="false">IF(E4822="","",IFERROR(IF(ISNUMBER(SEARCH(Assumptions!$C$5,E4822)),Assumptions!$D$5,IF(ISNUMBER(SEARCH(Assumptions!$C$6,E4822)),Assumptions!$D$6,IF(ISNUMBER(SEARCH(Assumptions!$C$7,E4822)),Assumptions!$D$7,"Other Services"))),"Other Services"))</f>
        <v/>
      </c>
    </row>
    <row r="4823" customFormat="false" ht="15" hidden="false" customHeight="false" outlineLevel="0" collapsed="false">
      <c r="G4823" s="41" t="str">
        <f aca="false">IF(E4823="","",IFERROR(IF(ISNUMBER(SEARCH(Assumptions!$C$5,E4823)),Assumptions!$D$5,IF(ISNUMBER(SEARCH(Assumptions!$C$6,E4823)),Assumptions!$D$6,IF(ISNUMBER(SEARCH(Assumptions!$C$7,E4823)),Assumptions!$D$7,"Other Services"))),"Other Services"))</f>
        <v/>
      </c>
    </row>
    <row r="4824" customFormat="false" ht="15" hidden="false" customHeight="false" outlineLevel="0" collapsed="false">
      <c r="G4824" s="41" t="str">
        <f aca="false">IF(E4824="","",IFERROR(IF(ISNUMBER(SEARCH(Assumptions!$C$5,E4824)),Assumptions!$D$5,IF(ISNUMBER(SEARCH(Assumptions!$C$6,E4824)),Assumptions!$D$6,IF(ISNUMBER(SEARCH(Assumptions!$C$7,E4824)),Assumptions!$D$7,"Other Services"))),"Other Services"))</f>
        <v/>
      </c>
    </row>
    <row r="4825" customFormat="false" ht="15" hidden="false" customHeight="false" outlineLevel="0" collapsed="false">
      <c r="G4825" s="41" t="str">
        <f aca="false">IF(E4825="","",IFERROR(IF(ISNUMBER(SEARCH(Assumptions!$C$5,E4825)),Assumptions!$D$5,IF(ISNUMBER(SEARCH(Assumptions!$C$6,E4825)),Assumptions!$D$6,IF(ISNUMBER(SEARCH(Assumptions!$C$7,E4825)),Assumptions!$D$7,"Other Services"))),"Other Services"))</f>
        <v/>
      </c>
    </row>
    <row r="4826" customFormat="false" ht="15" hidden="false" customHeight="false" outlineLevel="0" collapsed="false">
      <c r="G4826" s="41" t="str">
        <f aca="false">IF(E4826="","",IFERROR(IF(ISNUMBER(SEARCH(Assumptions!$C$5,E4826)),Assumptions!$D$5,IF(ISNUMBER(SEARCH(Assumptions!$C$6,E4826)),Assumptions!$D$6,IF(ISNUMBER(SEARCH(Assumptions!$C$7,E4826)),Assumptions!$D$7,"Other Services"))),"Other Services"))</f>
        <v/>
      </c>
    </row>
    <row r="4827" customFormat="false" ht="15" hidden="false" customHeight="false" outlineLevel="0" collapsed="false">
      <c r="G4827" s="41" t="str">
        <f aca="false">IF(E4827="","",IFERROR(IF(ISNUMBER(SEARCH(Assumptions!$C$5,E4827)),Assumptions!$D$5,IF(ISNUMBER(SEARCH(Assumptions!$C$6,E4827)),Assumptions!$D$6,IF(ISNUMBER(SEARCH(Assumptions!$C$7,E4827)),Assumptions!$D$7,"Other Services"))),"Other Services"))</f>
        <v/>
      </c>
    </row>
    <row r="4828" customFormat="false" ht="15" hidden="false" customHeight="false" outlineLevel="0" collapsed="false">
      <c r="G4828" s="41" t="str">
        <f aca="false">IF(E4828="","",IFERROR(IF(ISNUMBER(SEARCH(Assumptions!$C$5,E4828)),Assumptions!$D$5,IF(ISNUMBER(SEARCH(Assumptions!$C$6,E4828)),Assumptions!$D$6,IF(ISNUMBER(SEARCH(Assumptions!$C$7,E4828)),Assumptions!$D$7,"Other Services"))),"Other Services"))</f>
        <v/>
      </c>
    </row>
    <row r="4829" customFormat="false" ht="15" hidden="false" customHeight="false" outlineLevel="0" collapsed="false">
      <c r="G4829" s="41" t="str">
        <f aca="false">IF(E4829="","",IFERROR(IF(ISNUMBER(SEARCH(Assumptions!$C$5,E4829)),Assumptions!$D$5,IF(ISNUMBER(SEARCH(Assumptions!$C$6,E4829)),Assumptions!$D$6,IF(ISNUMBER(SEARCH(Assumptions!$C$7,E4829)),Assumptions!$D$7,"Other Services"))),"Other Services"))</f>
        <v/>
      </c>
    </row>
    <row r="4830" customFormat="false" ht="15" hidden="false" customHeight="false" outlineLevel="0" collapsed="false">
      <c r="G4830" s="41" t="str">
        <f aca="false">IF(E4830="","",IFERROR(IF(ISNUMBER(SEARCH(Assumptions!$C$5,E4830)),Assumptions!$D$5,IF(ISNUMBER(SEARCH(Assumptions!$C$6,E4830)),Assumptions!$D$6,IF(ISNUMBER(SEARCH(Assumptions!$C$7,E4830)),Assumptions!$D$7,"Other Services"))),"Other Services"))</f>
        <v/>
      </c>
    </row>
    <row r="4831" customFormat="false" ht="15" hidden="false" customHeight="false" outlineLevel="0" collapsed="false">
      <c r="G4831" s="41" t="str">
        <f aca="false">IF(E4831="","",IFERROR(IF(ISNUMBER(SEARCH(Assumptions!$C$5,E4831)),Assumptions!$D$5,IF(ISNUMBER(SEARCH(Assumptions!$C$6,E4831)),Assumptions!$D$6,IF(ISNUMBER(SEARCH(Assumptions!$C$7,E4831)),Assumptions!$D$7,"Other Services"))),"Other Services"))</f>
        <v/>
      </c>
    </row>
    <row r="4832" customFormat="false" ht="15" hidden="false" customHeight="false" outlineLevel="0" collapsed="false">
      <c r="G4832" s="41" t="str">
        <f aca="false">IF(E4832="","",IFERROR(IF(ISNUMBER(SEARCH(Assumptions!$C$5,E4832)),Assumptions!$D$5,IF(ISNUMBER(SEARCH(Assumptions!$C$6,E4832)),Assumptions!$D$6,IF(ISNUMBER(SEARCH(Assumptions!$C$7,E4832)),Assumptions!$D$7,"Other Services"))),"Other Services"))</f>
        <v/>
      </c>
    </row>
    <row r="4833" customFormat="false" ht="15" hidden="false" customHeight="false" outlineLevel="0" collapsed="false">
      <c r="G4833" s="41" t="str">
        <f aca="false">IF(E4833="","",IFERROR(IF(ISNUMBER(SEARCH(Assumptions!$C$5,E4833)),Assumptions!$D$5,IF(ISNUMBER(SEARCH(Assumptions!$C$6,E4833)),Assumptions!$D$6,IF(ISNUMBER(SEARCH(Assumptions!$C$7,E4833)),Assumptions!$D$7,"Other Services"))),"Other Services"))</f>
        <v/>
      </c>
    </row>
    <row r="4834" customFormat="false" ht="15" hidden="false" customHeight="false" outlineLevel="0" collapsed="false">
      <c r="G4834" s="41" t="str">
        <f aca="false">IF(E4834="","",IFERROR(IF(ISNUMBER(SEARCH(Assumptions!$C$5,E4834)),Assumptions!$D$5,IF(ISNUMBER(SEARCH(Assumptions!$C$6,E4834)),Assumptions!$D$6,IF(ISNUMBER(SEARCH(Assumptions!$C$7,E4834)),Assumptions!$D$7,"Other Services"))),"Other Services"))</f>
        <v/>
      </c>
    </row>
    <row r="4835" customFormat="false" ht="15" hidden="false" customHeight="false" outlineLevel="0" collapsed="false">
      <c r="G4835" s="41" t="str">
        <f aca="false">IF(E4835="","",IFERROR(IF(ISNUMBER(SEARCH(Assumptions!$C$5,E4835)),Assumptions!$D$5,IF(ISNUMBER(SEARCH(Assumptions!$C$6,E4835)),Assumptions!$D$6,IF(ISNUMBER(SEARCH(Assumptions!$C$7,E4835)),Assumptions!$D$7,"Other Services"))),"Other Services"))</f>
        <v/>
      </c>
    </row>
    <row r="4836" customFormat="false" ht="15" hidden="false" customHeight="false" outlineLevel="0" collapsed="false">
      <c r="G4836" s="41" t="str">
        <f aca="false">IF(E4836="","",IFERROR(IF(ISNUMBER(SEARCH(Assumptions!$C$5,E4836)),Assumptions!$D$5,IF(ISNUMBER(SEARCH(Assumptions!$C$6,E4836)),Assumptions!$D$6,IF(ISNUMBER(SEARCH(Assumptions!$C$7,E4836)),Assumptions!$D$7,"Other Services"))),"Other Services"))</f>
        <v/>
      </c>
    </row>
    <row r="4837" customFormat="false" ht="15" hidden="false" customHeight="false" outlineLevel="0" collapsed="false">
      <c r="G4837" s="41" t="str">
        <f aca="false">IF(E4837="","",IFERROR(IF(ISNUMBER(SEARCH(Assumptions!$C$5,E4837)),Assumptions!$D$5,IF(ISNUMBER(SEARCH(Assumptions!$C$6,E4837)),Assumptions!$D$6,IF(ISNUMBER(SEARCH(Assumptions!$C$7,E4837)),Assumptions!$D$7,"Other Services"))),"Other Services"))</f>
        <v/>
      </c>
    </row>
    <row r="4838" customFormat="false" ht="15" hidden="false" customHeight="false" outlineLevel="0" collapsed="false">
      <c r="G4838" s="41" t="str">
        <f aca="false">IF(E4838="","",IFERROR(IF(ISNUMBER(SEARCH(Assumptions!$C$5,E4838)),Assumptions!$D$5,IF(ISNUMBER(SEARCH(Assumptions!$C$6,E4838)),Assumptions!$D$6,IF(ISNUMBER(SEARCH(Assumptions!$C$7,E4838)),Assumptions!$D$7,"Other Services"))),"Other Services"))</f>
        <v/>
      </c>
    </row>
    <row r="4839" customFormat="false" ht="15" hidden="false" customHeight="false" outlineLevel="0" collapsed="false">
      <c r="G4839" s="41" t="str">
        <f aca="false">IF(E4839="","",IFERROR(IF(ISNUMBER(SEARCH(Assumptions!$C$5,E4839)),Assumptions!$D$5,IF(ISNUMBER(SEARCH(Assumptions!$C$6,E4839)),Assumptions!$D$6,IF(ISNUMBER(SEARCH(Assumptions!$C$7,E4839)),Assumptions!$D$7,"Other Services"))),"Other Services"))</f>
        <v/>
      </c>
    </row>
    <row r="4840" customFormat="false" ht="15" hidden="false" customHeight="false" outlineLevel="0" collapsed="false">
      <c r="G4840" s="41" t="str">
        <f aca="false">IF(E4840="","",IFERROR(IF(ISNUMBER(SEARCH(Assumptions!$C$5,E4840)),Assumptions!$D$5,IF(ISNUMBER(SEARCH(Assumptions!$C$6,E4840)),Assumptions!$D$6,IF(ISNUMBER(SEARCH(Assumptions!$C$7,E4840)),Assumptions!$D$7,"Other Services"))),"Other Services"))</f>
        <v/>
      </c>
    </row>
    <row r="4841" customFormat="false" ht="15" hidden="false" customHeight="false" outlineLevel="0" collapsed="false">
      <c r="G4841" s="41" t="str">
        <f aca="false">IF(E4841="","",IFERROR(IF(ISNUMBER(SEARCH(Assumptions!$C$5,E4841)),Assumptions!$D$5,IF(ISNUMBER(SEARCH(Assumptions!$C$6,E4841)),Assumptions!$D$6,IF(ISNUMBER(SEARCH(Assumptions!$C$7,E4841)),Assumptions!$D$7,"Other Services"))),"Other Services"))</f>
        <v/>
      </c>
    </row>
    <row r="4842" customFormat="false" ht="15" hidden="false" customHeight="false" outlineLevel="0" collapsed="false">
      <c r="G4842" s="41" t="str">
        <f aca="false">IF(E4842="","",IFERROR(IF(ISNUMBER(SEARCH(Assumptions!$C$5,E4842)),Assumptions!$D$5,IF(ISNUMBER(SEARCH(Assumptions!$C$6,E4842)),Assumptions!$D$6,IF(ISNUMBER(SEARCH(Assumptions!$C$7,E4842)),Assumptions!$D$7,"Other Services"))),"Other Services"))</f>
        <v/>
      </c>
    </row>
    <row r="4843" customFormat="false" ht="15" hidden="false" customHeight="false" outlineLevel="0" collapsed="false">
      <c r="G4843" s="41" t="str">
        <f aca="false">IF(E4843="","",IFERROR(IF(ISNUMBER(SEARCH(Assumptions!$C$5,E4843)),Assumptions!$D$5,IF(ISNUMBER(SEARCH(Assumptions!$C$6,E4843)),Assumptions!$D$6,IF(ISNUMBER(SEARCH(Assumptions!$C$7,E4843)),Assumptions!$D$7,"Other Services"))),"Other Services"))</f>
        <v/>
      </c>
    </row>
    <row r="4844" customFormat="false" ht="15" hidden="false" customHeight="false" outlineLevel="0" collapsed="false">
      <c r="G4844" s="41" t="str">
        <f aca="false">IF(E4844="","",IFERROR(IF(ISNUMBER(SEARCH(Assumptions!$C$5,E4844)),Assumptions!$D$5,IF(ISNUMBER(SEARCH(Assumptions!$C$6,E4844)),Assumptions!$D$6,IF(ISNUMBER(SEARCH(Assumptions!$C$7,E4844)),Assumptions!$D$7,"Other Services"))),"Other Services"))</f>
        <v/>
      </c>
    </row>
    <row r="4845" customFormat="false" ht="15" hidden="false" customHeight="false" outlineLevel="0" collapsed="false">
      <c r="G4845" s="41" t="str">
        <f aca="false">IF(E4845="","",IFERROR(IF(ISNUMBER(SEARCH(Assumptions!$C$5,E4845)),Assumptions!$D$5,IF(ISNUMBER(SEARCH(Assumptions!$C$6,E4845)),Assumptions!$D$6,IF(ISNUMBER(SEARCH(Assumptions!$C$7,E4845)),Assumptions!$D$7,"Other Services"))),"Other Services"))</f>
        <v/>
      </c>
    </row>
    <row r="4846" customFormat="false" ht="15" hidden="false" customHeight="false" outlineLevel="0" collapsed="false">
      <c r="G4846" s="41" t="str">
        <f aca="false">IF(E4846="","",IFERROR(IF(ISNUMBER(SEARCH(Assumptions!$C$5,E4846)),Assumptions!$D$5,IF(ISNUMBER(SEARCH(Assumptions!$C$6,E4846)),Assumptions!$D$6,IF(ISNUMBER(SEARCH(Assumptions!$C$7,E4846)),Assumptions!$D$7,"Other Services"))),"Other Services"))</f>
        <v/>
      </c>
    </row>
    <row r="4847" customFormat="false" ht="15" hidden="false" customHeight="false" outlineLevel="0" collapsed="false">
      <c r="G4847" s="41" t="str">
        <f aca="false">IF(E4847="","",IFERROR(IF(ISNUMBER(SEARCH(Assumptions!$C$5,E4847)),Assumptions!$D$5,IF(ISNUMBER(SEARCH(Assumptions!$C$6,E4847)),Assumptions!$D$6,IF(ISNUMBER(SEARCH(Assumptions!$C$7,E4847)),Assumptions!$D$7,"Other Services"))),"Other Services"))</f>
        <v/>
      </c>
    </row>
    <row r="4848" customFormat="false" ht="15" hidden="false" customHeight="false" outlineLevel="0" collapsed="false">
      <c r="G4848" s="41" t="str">
        <f aca="false">IF(E4848="","",IFERROR(IF(ISNUMBER(SEARCH(Assumptions!$C$5,E4848)),Assumptions!$D$5,IF(ISNUMBER(SEARCH(Assumptions!$C$6,E4848)),Assumptions!$D$6,IF(ISNUMBER(SEARCH(Assumptions!$C$7,E4848)),Assumptions!$D$7,"Other Services"))),"Other Services"))</f>
        <v/>
      </c>
    </row>
    <row r="4849" customFormat="false" ht="15" hidden="false" customHeight="false" outlineLevel="0" collapsed="false">
      <c r="G4849" s="41" t="str">
        <f aca="false">IF(E4849="","",IFERROR(IF(ISNUMBER(SEARCH(Assumptions!$C$5,E4849)),Assumptions!$D$5,IF(ISNUMBER(SEARCH(Assumptions!$C$6,E4849)),Assumptions!$D$6,IF(ISNUMBER(SEARCH(Assumptions!$C$7,E4849)),Assumptions!$D$7,"Other Services"))),"Other Services"))</f>
        <v/>
      </c>
    </row>
    <row r="4850" customFormat="false" ht="15" hidden="false" customHeight="false" outlineLevel="0" collapsed="false">
      <c r="G4850" s="41" t="str">
        <f aca="false">IF(E4850="","",IFERROR(IF(ISNUMBER(SEARCH(Assumptions!$C$5,E4850)),Assumptions!$D$5,IF(ISNUMBER(SEARCH(Assumptions!$C$6,E4850)),Assumptions!$D$6,IF(ISNUMBER(SEARCH(Assumptions!$C$7,E4850)),Assumptions!$D$7,"Other Services"))),"Other Services"))</f>
        <v/>
      </c>
    </row>
    <row r="4851" customFormat="false" ht="15" hidden="false" customHeight="false" outlineLevel="0" collapsed="false">
      <c r="G4851" s="41" t="str">
        <f aca="false">IF(E4851="","",IFERROR(IF(ISNUMBER(SEARCH(Assumptions!$C$5,E4851)),Assumptions!$D$5,IF(ISNUMBER(SEARCH(Assumptions!$C$6,E4851)),Assumptions!$D$6,IF(ISNUMBER(SEARCH(Assumptions!$C$7,E4851)),Assumptions!$D$7,"Other Services"))),"Other Services"))</f>
        <v/>
      </c>
    </row>
    <row r="4852" customFormat="false" ht="15" hidden="false" customHeight="false" outlineLevel="0" collapsed="false">
      <c r="G4852" s="41" t="str">
        <f aca="false">IF(E4852="","",IFERROR(IF(ISNUMBER(SEARCH(Assumptions!$C$5,E4852)),Assumptions!$D$5,IF(ISNUMBER(SEARCH(Assumptions!$C$6,E4852)),Assumptions!$D$6,IF(ISNUMBER(SEARCH(Assumptions!$C$7,E4852)),Assumptions!$D$7,"Other Services"))),"Other Services"))</f>
        <v/>
      </c>
    </row>
    <row r="4853" customFormat="false" ht="15" hidden="false" customHeight="false" outlineLevel="0" collapsed="false">
      <c r="G4853" s="41" t="str">
        <f aca="false">IF(E4853="","",IFERROR(IF(ISNUMBER(SEARCH(Assumptions!$C$5,E4853)),Assumptions!$D$5,IF(ISNUMBER(SEARCH(Assumptions!$C$6,E4853)),Assumptions!$D$6,IF(ISNUMBER(SEARCH(Assumptions!$C$7,E4853)),Assumptions!$D$7,"Other Services"))),"Other Services"))</f>
        <v/>
      </c>
    </row>
    <row r="4854" customFormat="false" ht="15" hidden="false" customHeight="false" outlineLevel="0" collapsed="false">
      <c r="G4854" s="41" t="str">
        <f aca="false">IF(E4854="","",IFERROR(IF(ISNUMBER(SEARCH(Assumptions!$C$5,E4854)),Assumptions!$D$5,IF(ISNUMBER(SEARCH(Assumptions!$C$6,E4854)),Assumptions!$D$6,IF(ISNUMBER(SEARCH(Assumptions!$C$7,E4854)),Assumptions!$D$7,"Other Services"))),"Other Services"))</f>
        <v/>
      </c>
    </row>
    <row r="4855" customFormat="false" ht="15" hidden="false" customHeight="false" outlineLevel="0" collapsed="false">
      <c r="G4855" s="41" t="str">
        <f aca="false">IF(E4855="","",IFERROR(IF(ISNUMBER(SEARCH(Assumptions!$C$5,E4855)),Assumptions!$D$5,IF(ISNUMBER(SEARCH(Assumptions!$C$6,E4855)),Assumptions!$D$6,IF(ISNUMBER(SEARCH(Assumptions!$C$7,E4855)),Assumptions!$D$7,"Other Services"))),"Other Services"))</f>
        <v/>
      </c>
    </row>
    <row r="4856" customFormat="false" ht="15" hidden="false" customHeight="false" outlineLevel="0" collapsed="false">
      <c r="G4856" s="41" t="str">
        <f aca="false">IF(E4856="","",IFERROR(IF(ISNUMBER(SEARCH(Assumptions!$C$5,E4856)),Assumptions!$D$5,IF(ISNUMBER(SEARCH(Assumptions!$C$6,E4856)),Assumptions!$D$6,IF(ISNUMBER(SEARCH(Assumptions!$C$7,E4856)),Assumptions!$D$7,"Other Services"))),"Other Services"))</f>
        <v/>
      </c>
    </row>
    <row r="4857" customFormat="false" ht="15" hidden="false" customHeight="false" outlineLevel="0" collapsed="false">
      <c r="G4857" s="41" t="str">
        <f aca="false">IF(E4857="","",IFERROR(IF(ISNUMBER(SEARCH(Assumptions!$C$5,E4857)),Assumptions!$D$5,IF(ISNUMBER(SEARCH(Assumptions!$C$6,E4857)),Assumptions!$D$6,IF(ISNUMBER(SEARCH(Assumptions!$C$7,E4857)),Assumptions!$D$7,"Other Services"))),"Other Services"))</f>
        <v/>
      </c>
    </row>
    <row r="4858" customFormat="false" ht="15" hidden="false" customHeight="false" outlineLevel="0" collapsed="false">
      <c r="G4858" s="41" t="str">
        <f aca="false">IF(E4858="","",IFERROR(IF(ISNUMBER(SEARCH(Assumptions!$C$5,E4858)),Assumptions!$D$5,IF(ISNUMBER(SEARCH(Assumptions!$C$6,E4858)),Assumptions!$D$6,IF(ISNUMBER(SEARCH(Assumptions!$C$7,E4858)),Assumptions!$D$7,"Other Services"))),"Other Services"))</f>
        <v/>
      </c>
    </row>
    <row r="4859" customFormat="false" ht="15" hidden="false" customHeight="false" outlineLevel="0" collapsed="false">
      <c r="G4859" s="41" t="str">
        <f aca="false">IF(E4859="","",IFERROR(IF(ISNUMBER(SEARCH(Assumptions!$C$5,E4859)),Assumptions!$D$5,IF(ISNUMBER(SEARCH(Assumptions!$C$6,E4859)),Assumptions!$D$6,IF(ISNUMBER(SEARCH(Assumptions!$C$7,E4859)),Assumptions!$D$7,"Other Services"))),"Other Services"))</f>
        <v/>
      </c>
    </row>
    <row r="4860" customFormat="false" ht="15" hidden="false" customHeight="false" outlineLevel="0" collapsed="false">
      <c r="G4860" s="41" t="str">
        <f aca="false">IF(E4860="","",IFERROR(IF(ISNUMBER(SEARCH(Assumptions!$C$5,E4860)),Assumptions!$D$5,IF(ISNUMBER(SEARCH(Assumptions!$C$6,E4860)),Assumptions!$D$6,IF(ISNUMBER(SEARCH(Assumptions!$C$7,E4860)),Assumptions!$D$7,"Other Services"))),"Other Services"))</f>
        <v/>
      </c>
    </row>
    <row r="4861" customFormat="false" ht="15" hidden="false" customHeight="false" outlineLevel="0" collapsed="false">
      <c r="G4861" s="41" t="str">
        <f aca="false">IF(E4861="","",IFERROR(IF(ISNUMBER(SEARCH(Assumptions!$C$5,E4861)),Assumptions!$D$5,IF(ISNUMBER(SEARCH(Assumptions!$C$6,E4861)),Assumptions!$D$6,IF(ISNUMBER(SEARCH(Assumptions!$C$7,E4861)),Assumptions!$D$7,"Other Services"))),"Other Services"))</f>
        <v/>
      </c>
    </row>
    <row r="4862" customFormat="false" ht="15" hidden="false" customHeight="false" outlineLevel="0" collapsed="false">
      <c r="G4862" s="41" t="str">
        <f aca="false">IF(E4862="","",IFERROR(IF(ISNUMBER(SEARCH(Assumptions!$C$5,E4862)),Assumptions!$D$5,IF(ISNUMBER(SEARCH(Assumptions!$C$6,E4862)),Assumptions!$D$6,IF(ISNUMBER(SEARCH(Assumptions!$C$7,E4862)),Assumptions!$D$7,"Other Services"))),"Other Services"))</f>
        <v/>
      </c>
    </row>
    <row r="4863" customFormat="false" ht="15" hidden="false" customHeight="false" outlineLevel="0" collapsed="false">
      <c r="G4863" s="41" t="str">
        <f aca="false">IF(E4863="","",IFERROR(IF(ISNUMBER(SEARCH(Assumptions!$C$5,E4863)),Assumptions!$D$5,IF(ISNUMBER(SEARCH(Assumptions!$C$6,E4863)),Assumptions!$D$6,IF(ISNUMBER(SEARCH(Assumptions!$C$7,E4863)),Assumptions!$D$7,"Other Services"))),"Other Services"))</f>
        <v/>
      </c>
    </row>
    <row r="4864" customFormat="false" ht="15" hidden="false" customHeight="false" outlineLevel="0" collapsed="false">
      <c r="G4864" s="41" t="str">
        <f aca="false">IF(E4864="","",IFERROR(IF(ISNUMBER(SEARCH(Assumptions!$C$5,E4864)),Assumptions!$D$5,IF(ISNUMBER(SEARCH(Assumptions!$C$6,E4864)),Assumptions!$D$6,IF(ISNUMBER(SEARCH(Assumptions!$C$7,E4864)),Assumptions!$D$7,"Other Services"))),"Other Services"))</f>
        <v/>
      </c>
    </row>
    <row r="4865" customFormat="false" ht="15" hidden="false" customHeight="false" outlineLevel="0" collapsed="false">
      <c r="G4865" s="41" t="str">
        <f aca="false">IF(E4865="","",IFERROR(IF(ISNUMBER(SEARCH(Assumptions!$C$5,E4865)),Assumptions!$D$5,IF(ISNUMBER(SEARCH(Assumptions!$C$6,E4865)),Assumptions!$D$6,IF(ISNUMBER(SEARCH(Assumptions!$C$7,E4865)),Assumptions!$D$7,"Other Services"))),"Other Services"))</f>
        <v/>
      </c>
    </row>
    <row r="4866" customFormat="false" ht="15" hidden="false" customHeight="false" outlineLevel="0" collapsed="false">
      <c r="G4866" s="41" t="str">
        <f aca="false">IF(E4866="","",IFERROR(IF(ISNUMBER(SEARCH(Assumptions!$C$5,E4866)),Assumptions!$D$5,IF(ISNUMBER(SEARCH(Assumptions!$C$6,E4866)),Assumptions!$D$6,IF(ISNUMBER(SEARCH(Assumptions!$C$7,E4866)),Assumptions!$D$7,"Other Services"))),"Other Services"))</f>
        <v/>
      </c>
    </row>
    <row r="4867" customFormat="false" ht="15" hidden="false" customHeight="false" outlineLevel="0" collapsed="false">
      <c r="G4867" s="41" t="str">
        <f aca="false">IF(E4867="","",IFERROR(IF(ISNUMBER(SEARCH(Assumptions!$C$5,E4867)),Assumptions!$D$5,IF(ISNUMBER(SEARCH(Assumptions!$C$6,E4867)),Assumptions!$D$6,IF(ISNUMBER(SEARCH(Assumptions!$C$7,E4867)),Assumptions!$D$7,"Other Services"))),"Other Services"))</f>
        <v/>
      </c>
    </row>
    <row r="4868" customFormat="false" ht="15" hidden="false" customHeight="false" outlineLevel="0" collapsed="false">
      <c r="G4868" s="41" t="str">
        <f aca="false">IF(E4868="","",IFERROR(IF(ISNUMBER(SEARCH(Assumptions!$C$5,E4868)),Assumptions!$D$5,IF(ISNUMBER(SEARCH(Assumptions!$C$6,E4868)),Assumptions!$D$6,IF(ISNUMBER(SEARCH(Assumptions!$C$7,E4868)),Assumptions!$D$7,"Other Services"))),"Other Services"))</f>
        <v/>
      </c>
    </row>
    <row r="4869" customFormat="false" ht="15" hidden="false" customHeight="false" outlineLevel="0" collapsed="false">
      <c r="G4869" s="41" t="str">
        <f aca="false">IF(E4869="","",IFERROR(IF(ISNUMBER(SEARCH(Assumptions!$C$5,E4869)),Assumptions!$D$5,IF(ISNUMBER(SEARCH(Assumptions!$C$6,E4869)),Assumptions!$D$6,IF(ISNUMBER(SEARCH(Assumptions!$C$7,E4869)),Assumptions!$D$7,"Other Services"))),"Other Services"))</f>
        <v/>
      </c>
    </row>
    <row r="4870" customFormat="false" ht="15" hidden="false" customHeight="false" outlineLevel="0" collapsed="false">
      <c r="G4870" s="41" t="str">
        <f aca="false">IF(E4870="","",IFERROR(IF(ISNUMBER(SEARCH(Assumptions!$C$5,E4870)),Assumptions!$D$5,IF(ISNUMBER(SEARCH(Assumptions!$C$6,E4870)),Assumptions!$D$6,IF(ISNUMBER(SEARCH(Assumptions!$C$7,E4870)),Assumptions!$D$7,"Other Services"))),"Other Services"))</f>
        <v/>
      </c>
    </row>
    <row r="4871" customFormat="false" ht="15" hidden="false" customHeight="false" outlineLevel="0" collapsed="false">
      <c r="G4871" s="41" t="str">
        <f aca="false">IF(E4871="","",IFERROR(IF(ISNUMBER(SEARCH(Assumptions!$C$5,E4871)),Assumptions!$D$5,IF(ISNUMBER(SEARCH(Assumptions!$C$6,E4871)),Assumptions!$D$6,IF(ISNUMBER(SEARCH(Assumptions!$C$7,E4871)),Assumptions!$D$7,"Other Services"))),"Other Services"))</f>
        <v/>
      </c>
    </row>
    <row r="4872" customFormat="false" ht="15" hidden="false" customHeight="false" outlineLevel="0" collapsed="false">
      <c r="G4872" s="41" t="str">
        <f aca="false">IF(E4872="","",IFERROR(IF(ISNUMBER(SEARCH(Assumptions!$C$5,E4872)),Assumptions!$D$5,IF(ISNUMBER(SEARCH(Assumptions!$C$6,E4872)),Assumptions!$D$6,IF(ISNUMBER(SEARCH(Assumptions!$C$7,E4872)),Assumptions!$D$7,"Other Services"))),"Other Services"))</f>
        <v/>
      </c>
    </row>
    <row r="4873" customFormat="false" ht="15" hidden="false" customHeight="false" outlineLevel="0" collapsed="false">
      <c r="G4873" s="41" t="str">
        <f aca="false">IF(E4873="","",IFERROR(IF(ISNUMBER(SEARCH(Assumptions!$C$5,E4873)),Assumptions!$D$5,IF(ISNUMBER(SEARCH(Assumptions!$C$6,E4873)),Assumptions!$D$6,IF(ISNUMBER(SEARCH(Assumptions!$C$7,E4873)),Assumptions!$D$7,"Other Services"))),"Other Services"))</f>
        <v/>
      </c>
    </row>
    <row r="4874" customFormat="false" ht="15" hidden="false" customHeight="false" outlineLevel="0" collapsed="false">
      <c r="G4874" s="41" t="str">
        <f aca="false">IF(E4874="","",IFERROR(IF(ISNUMBER(SEARCH(Assumptions!$C$5,E4874)),Assumptions!$D$5,IF(ISNUMBER(SEARCH(Assumptions!$C$6,E4874)),Assumptions!$D$6,IF(ISNUMBER(SEARCH(Assumptions!$C$7,E4874)),Assumptions!$D$7,"Other Services"))),"Other Services"))</f>
        <v/>
      </c>
    </row>
    <row r="4875" customFormat="false" ht="15" hidden="false" customHeight="false" outlineLevel="0" collapsed="false">
      <c r="G4875" s="41" t="str">
        <f aca="false">IF(E4875="","",IFERROR(IF(ISNUMBER(SEARCH(Assumptions!$C$5,E4875)),Assumptions!$D$5,IF(ISNUMBER(SEARCH(Assumptions!$C$6,E4875)),Assumptions!$D$6,IF(ISNUMBER(SEARCH(Assumptions!$C$7,E4875)),Assumptions!$D$7,"Other Services"))),"Other Services"))</f>
        <v/>
      </c>
    </row>
    <row r="4876" customFormat="false" ht="15" hidden="false" customHeight="false" outlineLevel="0" collapsed="false">
      <c r="G4876" s="41" t="str">
        <f aca="false">IF(E4876="","",IFERROR(IF(ISNUMBER(SEARCH(Assumptions!$C$5,E4876)),Assumptions!$D$5,IF(ISNUMBER(SEARCH(Assumptions!$C$6,E4876)),Assumptions!$D$6,IF(ISNUMBER(SEARCH(Assumptions!$C$7,E4876)),Assumptions!$D$7,"Other Services"))),"Other Services"))</f>
        <v/>
      </c>
    </row>
    <row r="4877" customFormat="false" ht="15" hidden="false" customHeight="false" outlineLevel="0" collapsed="false">
      <c r="G4877" s="41" t="str">
        <f aca="false">IF(E4877="","",IFERROR(IF(ISNUMBER(SEARCH(Assumptions!$C$5,E4877)),Assumptions!$D$5,IF(ISNUMBER(SEARCH(Assumptions!$C$6,E4877)),Assumptions!$D$6,IF(ISNUMBER(SEARCH(Assumptions!$C$7,E4877)),Assumptions!$D$7,"Other Services"))),"Other Services"))</f>
        <v/>
      </c>
    </row>
    <row r="4878" customFormat="false" ht="15" hidden="false" customHeight="false" outlineLevel="0" collapsed="false">
      <c r="G4878" s="41" t="str">
        <f aca="false">IF(E4878="","",IFERROR(IF(ISNUMBER(SEARCH(Assumptions!$C$5,E4878)),Assumptions!$D$5,IF(ISNUMBER(SEARCH(Assumptions!$C$6,E4878)),Assumptions!$D$6,IF(ISNUMBER(SEARCH(Assumptions!$C$7,E4878)),Assumptions!$D$7,"Other Services"))),"Other Services"))</f>
        <v/>
      </c>
    </row>
    <row r="4879" customFormat="false" ht="15" hidden="false" customHeight="false" outlineLevel="0" collapsed="false">
      <c r="G4879" s="41" t="str">
        <f aca="false">IF(E4879="","",IFERROR(IF(ISNUMBER(SEARCH(Assumptions!$C$5,E4879)),Assumptions!$D$5,IF(ISNUMBER(SEARCH(Assumptions!$C$6,E4879)),Assumptions!$D$6,IF(ISNUMBER(SEARCH(Assumptions!$C$7,E4879)),Assumptions!$D$7,"Other Services"))),"Other Services"))</f>
        <v/>
      </c>
    </row>
    <row r="4880" customFormat="false" ht="15" hidden="false" customHeight="false" outlineLevel="0" collapsed="false">
      <c r="G4880" s="41" t="str">
        <f aca="false">IF(E4880="","",IFERROR(IF(ISNUMBER(SEARCH(Assumptions!$C$5,E4880)),Assumptions!$D$5,IF(ISNUMBER(SEARCH(Assumptions!$C$6,E4880)),Assumptions!$D$6,IF(ISNUMBER(SEARCH(Assumptions!$C$7,E4880)),Assumptions!$D$7,"Other Services"))),"Other Services"))</f>
        <v/>
      </c>
    </row>
    <row r="4881" customFormat="false" ht="15" hidden="false" customHeight="false" outlineLevel="0" collapsed="false">
      <c r="G4881" s="41" t="str">
        <f aca="false">IF(E4881="","",IFERROR(IF(ISNUMBER(SEARCH(Assumptions!$C$5,E4881)),Assumptions!$D$5,IF(ISNUMBER(SEARCH(Assumptions!$C$6,E4881)),Assumptions!$D$6,IF(ISNUMBER(SEARCH(Assumptions!$C$7,E4881)),Assumptions!$D$7,"Other Services"))),"Other Services"))</f>
        <v/>
      </c>
    </row>
    <row r="4882" customFormat="false" ht="15" hidden="false" customHeight="false" outlineLevel="0" collapsed="false">
      <c r="G4882" s="41" t="str">
        <f aca="false">IF(E4882="","",IFERROR(IF(ISNUMBER(SEARCH(Assumptions!$C$5,E4882)),Assumptions!$D$5,IF(ISNUMBER(SEARCH(Assumptions!$C$6,E4882)),Assumptions!$D$6,IF(ISNUMBER(SEARCH(Assumptions!$C$7,E4882)),Assumptions!$D$7,"Other Services"))),"Other Services"))</f>
        <v/>
      </c>
    </row>
    <row r="4883" customFormat="false" ht="15" hidden="false" customHeight="false" outlineLevel="0" collapsed="false">
      <c r="G4883" s="41" t="str">
        <f aca="false">IF(E4883="","",IFERROR(IF(ISNUMBER(SEARCH(Assumptions!$C$5,E4883)),Assumptions!$D$5,IF(ISNUMBER(SEARCH(Assumptions!$C$6,E4883)),Assumptions!$D$6,IF(ISNUMBER(SEARCH(Assumptions!$C$7,E4883)),Assumptions!$D$7,"Other Services"))),"Other Services"))</f>
        <v/>
      </c>
    </row>
    <row r="4884" customFormat="false" ht="15" hidden="false" customHeight="false" outlineLevel="0" collapsed="false">
      <c r="G4884" s="41" t="str">
        <f aca="false">IF(E4884="","",IFERROR(IF(ISNUMBER(SEARCH(Assumptions!$C$5,E4884)),Assumptions!$D$5,IF(ISNUMBER(SEARCH(Assumptions!$C$6,E4884)),Assumptions!$D$6,IF(ISNUMBER(SEARCH(Assumptions!$C$7,E4884)),Assumptions!$D$7,"Other Services"))),"Other Services"))</f>
        <v/>
      </c>
    </row>
    <row r="4885" customFormat="false" ht="15" hidden="false" customHeight="false" outlineLevel="0" collapsed="false">
      <c r="G4885" s="41" t="str">
        <f aca="false">IF(E4885="","",IFERROR(IF(ISNUMBER(SEARCH(Assumptions!$C$5,E4885)),Assumptions!$D$5,IF(ISNUMBER(SEARCH(Assumptions!$C$6,E4885)),Assumptions!$D$6,IF(ISNUMBER(SEARCH(Assumptions!$C$7,E4885)),Assumptions!$D$7,"Other Services"))),"Other Services"))</f>
        <v/>
      </c>
    </row>
    <row r="4886" customFormat="false" ht="15" hidden="false" customHeight="false" outlineLevel="0" collapsed="false">
      <c r="G4886" s="41" t="str">
        <f aca="false">IF(E4886="","",IFERROR(IF(ISNUMBER(SEARCH(Assumptions!$C$5,E4886)),Assumptions!$D$5,IF(ISNUMBER(SEARCH(Assumptions!$C$6,E4886)),Assumptions!$D$6,IF(ISNUMBER(SEARCH(Assumptions!$C$7,E4886)),Assumptions!$D$7,"Other Services"))),"Other Services"))</f>
        <v/>
      </c>
    </row>
    <row r="4887" customFormat="false" ht="15" hidden="false" customHeight="false" outlineLevel="0" collapsed="false">
      <c r="G4887" s="41" t="str">
        <f aca="false">IF(E4887="","",IFERROR(IF(ISNUMBER(SEARCH(Assumptions!$C$5,E4887)),Assumptions!$D$5,IF(ISNUMBER(SEARCH(Assumptions!$C$6,E4887)),Assumptions!$D$6,IF(ISNUMBER(SEARCH(Assumptions!$C$7,E4887)),Assumptions!$D$7,"Other Services"))),"Other Services"))</f>
        <v/>
      </c>
    </row>
    <row r="4888" customFormat="false" ht="15" hidden="false" customHeight="false" outlineLevel="0" collapsed="false">
      <c r="G4888" s="41" t="str">
        <f aca="false">IF(E4888="","",IFERROR(IF(ISNUMBER(SEARCH(Assumptions!$C$5,E4888)),Assumptions!$D$5,IF(ISNUMBER(SEARCH(Assumptions!$C$6,E4888)),Assumptions!$D$6,IF(ISNUMBER(SEARCH(Assumptions!$C$7,E4888)),Assumptions!$D$7,"Other Services"))),"Other Services"))</f>
        <v/>
      </c>
    </row>
    <row r="4889" customFormat="false" ht="15" hidden="false" customHeight="false" outlineLevel="0" collapsed="false">
      <c r="G4889" s="41" t="str">
        <f aca="false">IF(E4889="","",IFERROR(IF(ISNUMBER(SEARCH(Assumptions!$C$5,E4889)),Assumptions!$D$5,IF(ISNUMBER(SEARCH(Assumptions!$C$6,E4889)),Assumptions!$D$6,IF(ISNUMBER(SEARCH(Assumptions!$C$7,E4889)),Assumptions!$D$7,"Other Services"))),"Other Services"))</f>
        <v/>
      </c>
    </row>
    <row r="4890" customFormat="false" ht="15" hidden="false" customHeight="false" outlineLevel="0" collapsed="false">
      <c r="G4890" s="41" t="str">
        <f aca="false">IF(E4890="","",IFERROR(IF(ISNUMBER(SEARCH(Assumptions!$C$5,E4890)),Assumptions!$D$5,IF(ISNUMBER(SEARCH(Assumptions!$C$6,E4890)),Assumptions!$D$6,IF(ISNUMBER(SEARCH(Assumptions!$C$7,E4890)),Assumptions!$D$7,"Other Services"))),"Other Services"))</f>
        <v/>
      </c>
    </row>
    <row r="4891" customFormat="false" ht="15" hidden="false" customHeight="false" outlineLevel="0" collapsed="false">
      <c r="G4891" s="41" t="str">
        <f aca="false">IF(E4891="","",IFERROR(IF(ISNUMBER(SEARCH(Assumptions!$C$5,E4891)),Assumptions!$D$5,IF(ISNUMBER(SEARCH(Assumptions!$C$6,E4891)),Assumptions!$D$6,IF(ISNUMBER(SEARCH(Assumptions!$C$7,E4891)),Assumptions!$D$7,"Other Services"))),"Other Services"))</f>
        <v/>
      </c>
    </row>
    <row r="4892" customFormat="false" ht="15" hidden="false" customHeight="false" outlineLevel="0" collapsed="false">
      <c r="G4892" s="41" t="str">
        <f aca="false">IF(E4892="","",IFERROR(IF(ISNUMBER(SEARCH(Assumptions!$C$5,E4892)),Assumptions!$D$5,IF(ISNUMBER(SEARCH(Assumptions!$C$6,E4892)),Assumptions!$D$6,IF(ISNUMBER(SEARCH(Assumptions!$C$7,E4892)),Assumptions!$D$7,"Other Services"))),"Other Services"))</f>
        <v/>
      </c>
    </row>
    <row r="4893" customFormat="false" ht="15" hidden="false" customHeight="false" outlineLevel="0" collapsed="false">
      <c r="G4893" s="41" t="str">
        <f aca="false">IF(E4893="","",IFERROR(IF(ISNUMBER(SEARCH(Assumptions!$C$5,E4893)),Assumptions!$D$5,IF(ISNUMBER(SEARCH(Assumptions!$C$6,E4893)),Assumptions!$D$6,IF(ISNUMBER(SEARCH(Assumptions!$C$7,E4893)),Assumptions!$D$7,"Other Services"))),"Other Services"))</f>
        <v/>
      </c>
    </row>
    <row r="4894" customFormat="false" ht="15" hidden="false" customHeight="false" outlineLevel="0" collapsed="false">
      <c r="G4894" s="41" t="str">
        <f aca="false">IF(E4894="","",IFERROR(IF(ISNUMBER(SEARCH(Assumptions!$C$5,E4894)),Assumptions!$D$5,IF(ISNUMBER(SEARCH(Assumptions!$C$6,E4894)),Assumptions!$D$6,IF(ISNUMBER(SEARCH(Assumptions!$C$7,E4894)),Assumptions!$D$7,"Other Services"))),"Other Services"))</f>
        <v/>
      </c>
    </row>
    <row r="4895" customFormat="false" ht="15" hidden="false" customHeight="false" outlineLevel="0" collapsed="false">
      <c r="G4895" s="41" t="str">
        <f aca="false">IF(E4895="","",IFERROR(IF(ISNUMBER(SEARCH(Assumptions!$C$5,E4895)),Assumptions!$D$5,IF(ISNUMBER(SEARCH(Assumptions!$C$6,E4895)),Assumptions!$D$6,IF(ISNUMBER(SEARCH(Assumptions!$C$7,E4895)),Assumptions!$D$7,"Other Services"))),"Other Services"))</f>
        <v/>
      </c>
    </row>
    <row r="4896" customFormat="false" ht="15" hidden="false" customHeight="false" outlineLevel="0" collapsed="false">
      <c r="G4896" s="41" t="str">
        <f aca="false">IF(E4896="","",IFERROR(IF(ISNUMBER(SEARCH(Assumptions!$C$5,E4896)),Assumptions!$D$5,IF(ISNUMBER(SEARCH(Assumptions!$C$6,E4896)),Assumptions!$D$6,IF(ISNUMBER(SEARCH(Assumptions!$C$7,E4896)),Assumptions!$D$7,"Other Services"))),"Other Services"))</f>
        <v/>
      </c>
    </row>
    <row r="4897" customFormat="false" ht="15" hidden="false" customHeight="false" outlineLevel="0" collapsed="false">
      <c r="G4897" s="41" t="str">
        <f aca="false">IF(E4897="","",IFERROR(IF(ISNUMBER(SEARCH(Assumptions!$C$5,E4897)),Assumptions!$D$5,IF(ISNUMBER(SEARCH(Assumptions!$C$6,E4897)),Assumptions!$D$6,IF(ISNUMBER(SEARCH(Assumptions!$C$7,E4897)),Assumptions!$D$7,"Other Services"))),"Other Services"))</f>
        <v/>
      </c>
    </row>
    <row r="4898" customFormat="false" ht="15" hidden="false" customHeight="false" outlineLevel="0" collapsed="false">
      <c r="G4898" s="41" t="str">
        <f aca="false">IF(E4898="","",IFERROR(IF(ISNUMBER(SEARCH(Assumptions!$C$5,E4898)),Assumptions!$D$5,IF(ISNUMBER(SEARCH(Assumptions!$C$6,E4898)),Assumptions!$D$6,IF(ISNUMBER(SEARCH(Assumptions!$C$7,E4898)),Assumptions!$D$7,"Other Services"))),"Other Services"))</f>
        <v/>
      </c>
    </row>
    <row r="4899" customFormat="false" ht="15" hidden="false" customHeight="false" outlineLevel="0" collapsed="false">
      <c r="G4899" s="41" t="str">
        <f aca="false">IF(E4899="","",IFERROR(IF(ISNUMBER(SEARCH(Assumptions!$C$5,E4899)),Assumptions!$D$5,IF(ISNUMBER(SEARCH(Assumptions!$C$6,E4899)),Assumptions!$D$6,IF(ISNUMBER(SEARCH(Assumptions!$C$7,E4899)),Assumptions!$D$7,"Other Services"))),"Other Services"))</f>
        <v/>
      </c>
    </row>
    <row r="4900" customFormat="false" ht="15" hidden="false" customHeight="false" outlineLevel="0" collapsed="false">
      <c r="G4900" s="41" t="str">
        <f aca="false">IF(E4900="","",IFERROR(IF(ISNUMBER(SEARCH(Assumptions!$C$5,E4900)),Assumptions!$D$5,IF(ISNUMBER(SEARCH(Assumptions!$C$6,E4900)),Assumptions!$D$6,IF(ISNUMBER(SEARCH(Assumptions!$C$7,E4900)),Assumptions!$D$7,"Other Services"))),"Other Services"))</f>
        <v/>
      </c>
    </row>
    <row r="4901" customFormat="false" ht="15" hidden="false" customHeight="false" outlineLevel="0" collapsed="false">
      <c r="G4901" s="41" t="str">
        <f aca="false">IF(E4901="","",IFERROR(IF(ISNUMBER(SEARCH(Assumptions!$C$5,E4901)),Assumptions!$D$5,IF(ISNUMBER(SEARCH(Assumptions!$C$6,E4901)),Assumptions!$D$6,IF(ISNUMBER(SEARCH(Assumptions!$C$7,E4901)),Assumptions!$D$7,"Other Services"))),"Other Services"))</f>
        <v/>
      </c>
    </row>
    <row r="4902" customFormat="false" ht="15" hidden="false" customHeight="false" outlineLevel="0" collapsed="false">
      <c r="G4902" s="41" t="str">
        <f aca="false">IF(E4902="","",IFERROR(IF(ISNUMBER(SEARCH(Assumptions!$C$5,E4902)),Assumptions!$D$5,IF(ISNUMBER(SEARCH(Assumptions!$C$6,E4902)),Assumptions!$D$6,IF(ISNUMBER(SEARCH(Assumptions!$C$7,E4902)),Assumptions!$D$7,"Other Services"))),"Other Services"))</f>
        <v/>
      </c>
    </row>
    <row r="4903" customFormat="false" ht="15" hidden="false" customHeight="false" outlineLevel="0" collapsed="false">
      <c r="G4903" s="41" t="str">
        <f aca="false">IF(E4903="","",IFERROR(IF(ISNUMBER(SEARCH(Assumptions!$C$5,E4903)),Assumptions!$D$5,IF(ISNUMBER(SEARCH(Assumptions!$C$6,E4903)),Assumptions!$D$6,IF(ISNUMBER(SEARCH(Assumptions!$C$7,E4903)),Assumptions!$D$7,"Other Services"))),"Other Services"))</f>
        <v/>
      </c>
    </row>
    <row r="4904" customFormat="false" ht="15" hidden="false" customHeight="false" outlineLevel="0" collapsed="false">
      <c r="G4904" s="41" t="str">
        <f aca="false">IF(E4904="","",IFERROR(IF(ISNUMBER(SEARCH(Assumptions!$C$5,E4904)),Assumptions!$D$5,IF(ISNUMBER(SEARCH(Assumptions!$C$6,E4904)),Assumptions!$D$6,IF(ISNUMBER(SEARCH(Assumptions!$C$7,E4904)),Assumptions!$D$7,"Other Services"))),"Other Services"))</f>
        <v/>
      </c>
    </row>
    <row r="4905" customFormat="false" ht="15" hidden="false" customHeight="false" outlineLevel="0" collapsed="false">
      <c r="G4905" s="41" t="str">
        <f aca="false">IF(E4905="","",IFERROR(IF(ISNUMBER(SEARCH(Assumptions!$C$5,E4905)),Assumptions!$D$5,IF(ISNUMBER(SEARCH(Assumptions!$C$6,E4905)),Assumptions!$D$6,IF(ISNUMBER(SEARCH(Assumptions!$C$7,E4905)),Assumptions!$D$7,"Other Services"))),"Other Services"))</f>
        <v/>
      </c>
    </row>
    <row r="4906" customFormat="false" ht="15" hidden="false" customHeight="false" outlineLevel="0" collapsed="false">
      <c r="G4906" s="41" t="str">
        <f aca="false">IF(E4906="","",IFERROR(IF(ISNUMBER(SEARCH(Assumptions!$C$5,E4906)),Assumptions!$D$5,IF(ISNUMBER(SEARCH(Assumptions!$C$6,E4906)),Assumptions!$D$6,IF(ISNUMBER(SEARCH(Assumptions!$C$7,E4906)),Assumptions!$D$7,"Other Services"))),"Other Services"))</f>
        <v/>
      </c>
    </row>
    <row r="4907" customFormat="false" ht="15" hidden="false" customHeight="false" outlineLevel="0" collapsed="false">
      <c r="G4907" s="41" t="str">
        <f aca="false">IF(E4907="","",IFERROR(IF(ISNUMBER(SEARCH(Assumptions!$C$5,E4907)),Assumptions!$D$5,IF(ISNUMBER(SEARCH(Assumptions!$C$6,E4907)),Assumptions!$D$6,IF(ISNUMBER(SEARCH(Assumptions!$C$7,E4907)),Assumptions!$D$7,"Other Services"))),"Other Services"))</f>
        <v/>
      </c>
    </row>
    <row r="4908" customFormat="false" ht="15" hidden="false" customHeight="false" outlineLevel="0" collapsed="false">
      <c r="G4908" s="41" t="str">
        <f aca="false">IF(E4908="","",IFERROR(IF(ISNUMBER(SEARCH(Assumptions!$C$5,E4908)),Assumptions!$D$5,IF(ISNUMBER(SEARCH(Assumptions!$C$6,E4908)),Assumptions!$D$6,IF(ISNUMBER(SEARCH(Assumptions!$C$7,E4908)),Assumptions!$D$7,"Other Services"))),"Other Services"))</f>
        <v/>
      </c>
    </row>
    <row r="4909" customFormat="false" ht="15" hidden="false" customHeight="false" outlineLevel="0" collapsed="false">
      <c r="G4909" s="41" t="str">
        <f aca="false">IF(E4909="","",IFERROR(IF(ISNUMBER(SEARCH(Assumptions!$C$5,E4909)),Assumptions!$D$5,IF(ISNUMBER(SEARCH(Assumptions!$C$6,E4909)),Assumptions!$D$6,IF(ISNUMBER(SEARCH(Assumptions!$C$7,E4909)),Assumptions!$D$7,"Other Services"))),"Other Services"))</f>
        <v/>
      </c>
    </row>
    <row r="4910" customFormat="false" ht="15" hidden="false" customHeight="false" outlineLevel="0" collapsed="false">
      <c r="G4910" s="41" t="str">
        <f aca="false">IF(E4910="","",IFERROR(IF(ISNUMBER(SEARCH(Assumptions!$C$5,E4910)),Assumptions!$D$5,IF(ISNUMBER(SEARCH(Assumptions!$C$6,E4910)),Assumptions!$D$6,IF(ISNUMBER(SEARCH(Assumptions!$C$7,E4910)),Assumptions!$D$7,"Other Services"))),"Other Services"))</f>
        <v/>
      </c>
    </row>
    <row r="4911" customFormat="false" ht="15" hidden="false" customHeight="false" outlineLevel="0" collapsed="false">
      <c r="G4911" s="41" t="str">
        <f aca="false">IF(E4911="","",IFERROR(IF(ISNUMBER(SEARCH(Assumptions!$C$5,E4911)),Assumptions!$D$5,IF(ISNUMBER(SEARCH(Assumptions!$C$6,E4911)),Assumptions!$D$6,IF(ISNUMBER(SEARCH(Assumptions!$C$7,E4911)),Assumptions!$D$7,"Other Services"))),"Other Services"))</f>
        <v/>
      </c>
    </row>
    <row r="4912" customFormat="false" ht="15" hidden="false" customHeight="false" outlineLevel="0" collapsed="false">
      <c r="G4912" s="41" t="str">
        <f aca="false">IF(E4912="","",IFERROR(IF(ISNUMBER(SEARCH(Assumptions!$C$5,E4912)),Assumptions!$D$5,IF(ISNUMBER(SEARCH(Assumptions!$C$6,E4912)),Assumptions!$D$6,IF(ISNUMBER(SEARCH(Assumptions!$C$7,E4912)),Assumptions!$D$7,"Other Services"))),"Other Services"))</f>
        <v/>
      </c>
    </row>
    <row r="4913" customFormat="false" ht="15" hidden="false" customHeight="false" outlineLevel="0" collapsed="false">
      <c r="G4913" s="41" t="str">
        <f aca="false">IF(E4913="","",IFERROR(IF(ISNUMBER(SEARCH(Assumptions!$C$5,E4913)),Assumptions!$D$5,IF(ISNUMBER(SEARCH(Assumptions!$C$6,E4913)),Assumptions!$D$6,IF(ISNUMBER(SEARCH(Assumptions!$C$7,E4913)),Assumptions!$D$7,"Other Services"))),"Other Services"))</f>
        <v/>
      </c>
    </row>
    <row r="4914" customFormat="false" ht="15" hidden="false" customHeight="false" outlineLevel="0" collapsed="false">
      <c r="G4914" s="41" t="str">
        <f aca="false">IF(E4914="","",IFERROR(IF(ISNUMBER(SEARCH(Assumptions!$C$5,E4914)),Assumptions!$D$5,IF(ISNUMBER(SEARCH(Assumptions!$C$6,E4914)),Assumptions!$D$6,IF(ISNUMBER(SEARCH(Assumptions!$C$7,E4914)),Assumptions!$D$7,"Other Services"))),"Other Services"))</f>
        <v/>
      </c>
    </row>
    <row r="4915" customFormat="false" ht="15" hidden="false" customHeight="false" outlineLevel="0" collapsed="false">
      <c r="G4915" s="41" t="str">
        <f aca="false">IF(E4915="","",IFERROR(IF(ISNUMBER(SEARCH(Assumptions!$C$5,E4915)),Assumptions!$D$5,IF(ISNUMBER(SEARCH(Assumptions!$C$6,E4915)),Assumptions!$D$6,IF(ISNUMBER(SEARCH(Assumptions!$C$7,E4915)),Assumptions!$D$7,"Other Services"))),"Other Services"))</f>
        <v/>
      </c>
    </row>
    <row r="4916" customFormat="false" ht="15" hidden="false" customHeight="false" outlineLevel="0" collapsed="false">
      <c r="G4916" s="41" t="str">
        <f aca="false">IF(E4916="","",IFERROR(IF(ISNUMBER(SEARCH(Assumptions!$C$5,E4916)),Assumptions!$D$5,IF(ISNUMBER(SEARCH(Assumptions!$C$6,E4916)),Assumptions!$D$6,IF(ISNUMBER(SEARCH(Assumptions!$C$7,E4916)),Assumptions!$D$7,"Other Services"))),"Other Services"))</f>
        <v/>
      </c>
    </row>
    <row r="4917" customFormat="false" ht="15" hidden="false" customHeight="false" outlineLevel="0" collapsed="false">
      <c r="G4917" s="41" t="str">
        <f aca="false">IF(E4917="","",IFERROR(IF(ISNUMBER(SEARCH(Assumptions!$C$5,E4917)),Assumptions!$D$5,IF(ISNUMBER(SEARCH(Assumptions!$C$6,E4917)),Assumptions!$D$6,IF(ISNUMBER(SEARCH(Assumptions!$C$7,E4917)),Assumptions!$D$7,"Other Services"))),"Other Services"))</f>
        <v/>
      </c>
    </row>
    <row r="4918" customFormat="false" ht="15" hidden="false" customHeight="false" outlineLevel="0" collapsed="false">
      <c r="G4918" s="41" t="str">
        <f aca="false">IF(E4918="","",IFERROR(IF(ISNUMBER(SEARCH(Assumptions!$C$5,E4918)),Assumptions!$D$5,IF(ISNUMBER(SEARCH(Assumptions!$C$6,E4918)),Assumptions!$D$6,IF(ISNUMBER(SEARCH(Assumptions!$C$7,E4918)),Assumptions!$D$7,"Other Services"))),"Other Services"))</f>
        <v/>
      </c>
    </row>
    <row r="4919" customFormat="false" ht="15" hidden="false" customHeight="false" outlineLevel="0" collapsed="false">
      <c r="G4919" s="41" t="str">
        <f aca="false">IF(E4919="","",IFERROR(IF(ISNUMBER(SEARCH(Assumptions!$C$5,E4919)),Assumptions!$D$5,IF(ISNUMBER(SEARCH(Assumptions!$C$6,E4919)),Assumptions!$D$6,IF(ISNUMBER(SEARCH(Assumptions!$C$7,E4919)),Assumptions!$D$7,"Other Services"))),"Other Services"))</f>
        <v/>
      </c>
    </row>
    <row r="4920" customFormat="false" ht="15" hidden="false" customHeight="false" outlineLevel="0" collapsed="false">
      <c r="G4920" s="41" t="str">
        <f aca="false">IF(E4920="","",IFERROR(IF(ISNUMBER(SEARCH(Assumptions!$C$5,E4920)),Assumptions!$D$5,IF(ISNUMBER(SEARCH(Assumptions!$C$6,E4920)),Assumptions!$D$6,IF(ISNUMBER(SEARCH(Assumptions!$C$7,E4920)),Assumptions!$D$7,"Other Services"))),"Other Services"))</f>
        <v/>
      </c>
    </row>
    <row r="4921" customFormat="false" ht="15" hidden="false" customHeight="false" outlineLevel="0" collapsed="false">
      <c r="G4921" s="41" t="str">
        <f aca="false">IF(E4921="","",IFERROR(IF(ISNUMBER(SEARCH(Assumptions!$C$5,E4921)),Assumptions!$D$5,IF(ISNUMBER(SEARCH(Assumptions!$C$6,E4921)),Assumptions!$D$6,IF(ISNUMBER(SEARCH(Assumptions!$C$7,E4921)),Assumptions!$D$7,"Other Services"))),"Other Services"))</f>
        <v/>
      </c>
    </row>
    <row r="4922" customFormat="false" ht="15" hidden="false" customHeight="false" outlineLevel="0" collapsed="false">
      <c r="G4922" s="41" t="str">
        <f aca="false">IF(E4922="","",IFERROR(IF(ISNUMBER(SEARCH(Assumptions!$C$5,E4922)),Assumptions!$D$5,IF(ISNUMBER(SEARCH(Assumptions!$C$6,E4922)),Assumptions!$D$6,IF(ISNUMBER(SEARCH(Assumptions!$C$7,E4922)),Assumptions!$D$7,"Other Services"))),"Other Services"))</f>
        <v/>
      </c>
    </row>
    <row r="4923" customFormat="false" ht="15" hidden="false" customHeight="false" outlineLevel="0" collapsed="false">
      <c r="G4923" s="41" t="str">
        <f aca="false">IF(E4923="","",IFERROR(IF(ISNUMBER(SEARCH(Assumptions!$C$5,E4923)),Assumptions!$D$5,IF(ISNUMBER(SEARCH(Assumptions!$C$6,E4923)),Assumptions!$D$6,IF(ISNUMBER(SEARCH(Assumptions!$C$7,E4923)),Assumptions!$D$7,"Other Services"))),"Other Services"))</f>
        <v/>
      </c>
    </row>
    <row r="4924" customFormat="false" ht="15" hidden="false" customHeight="false" outlineLevel="0" collapsed="false">
      <c r="G4924" s="41" t="str">
        <f aca="false">IF(E4924="","",IFERROR(IF(ISNUMBER(SEARCH(Assumptions!$C$5,E4924)),Assumptions!$D$5,IF(ISNUMBER(SEARCH(Assumptions!$C$6,E4924)),Assumptions!$D$6,IF(ISNUMBER(SEARCH(Assumptions!$C$7,E4924)),Assumptions!$D$7,"Other Services"))),"Other Services"))</f>
        <v/>
      </c>
    </row>
    <row r="4925" customFormat="false" ht="15" hidden="false" customHeight="false" outlineLevel="0" collapsed="false">
      <c r="G4925" s="41" t="str">
        <f aca="false">IF(E4925="","",IFERROR(IF(ISNUMBER(SEARCH(Assumptions!$C$5,E4925)),Assumptions!$D$5,IF(ISNUMBER(SEARCH(Assumptions!$C$6,E4925)),Assumptions!$D$6,IF(ISNUMBER(SEARCH(Assumptions!$C$7,E4925)),Assumptions!$D$7,"Other Services"))),"Other Services"))</f>
        <v/>
      </c>
    </row>
    <row r="4926" customFormat="false" ht="15" hidden="false" customHeight="false" outlineLevel="0" collapsed="false">
      <c r="G4926" s="41" t="str">
        <f aca="false">IF(E4926="","",IFERROR(IF(ISNUMBER(SEARCH(Assumptions!$C$5,E4926)),Assumptions!$D$5,IF(ISNUMBER(SEARCH(Assumptions!$C$6,E4926)),Assumptions!$D$6,IF(ISNUMBER(SEARCH(Assumptions!$C$7,E4926)),Assumptions!$D$7,"Other Services"))),"Other Services"))</f>
        <v/>
      </c>
    </row>
    <row r="4927" customFormat="false" ht="15" hidden="false" customHeight="false" outlineLevel="0" collapsed="false">
      <c r="G4927" s="41" t="str">
        <f aca="false">IF(E4927="","",IFERROR(IF(ISNUMBER(SEARCH(Assumptions!$C$5,E4927)),Assumptions!$D$5,IF(ISNUMBER(SEARCH(Assumptions!$C$6,E4927)),Assumptions!$D$6,IF(ISNUMBER(SEARCH(Assumptions!$C$7,E4927)),Assumptions!$D$7,"Other Services"))),"Other Services"))</f>
        <v/>
      </c>
    </row>
    <row r="4928" customFormat="false" ht="15" hidden="false" customHeight="false" outlineLevel="0" collapsed="false">
      <c r="G4928" s="41" t="str">
        <f aca="false">IF(E4928="","",IFERROR(IF(ISNUMBER(SEARCH(Assumptions!$C$5,E4928)),Assumptions!$D$5,IF(ISNUMBER(SEARCH(Assumptions!$C$6,E4928)),Assumptions!$D$6,IF(ISNUMBER(SEARCH(Assumptions!$C$7,E4928)),Assumptions!$D$7,"Other Services"))),"Other Services"))</f>
        <v/>
      </c>
    </row>
    <row r="4929" customFormat="false" ht="15" hidden="false" customHeight="false" outlineLevel="0" collapsed="false">
      <c r="G4929" s="41" t="str">
        <f aca="false">IF(E4929="","",IFERROR(IF(ISNUMBER(SEARCH(Assumptions!$C$5,E4929)),Assumptions!$D$5,IF(ISNUMBER(SEARCH(Assumptions!$C$6,E4929)),Assumptions!$D$6,IF(ISNUMBER(SEARCH(Assumptions!$C$7,E4929)),Assumptions!$D$7,"Other Services"))),"Other Services"))</f>
        <v/>
      </c>
    </row>
    <row r="4930" customFormat="false" ht="15" hidden="false" customHeight="false" outlineLevel="0" collapsed="false">
      <c r="G4930" s="41" t="str">
        <f aca="false">IF(E4930="","",IFERROR(IF(ISNUMBER(SEARCH(Assumptions!$C$5,E4930)),Assumptions!$D$5,IF(ISNUMBER(SEARCH(Assumptions!$C$6,E4930)),Assumptions!$D$6,IF(ISNUMBER(SEARCH(Assumptions!$C$7,E4930)),Assumptions!$D$7,"Other Services"))),"Other Services"))</f>
        <v/>
      </c>
    </row>
    <row r="4931" customFormat="false" ht="15" hidden="false" customHeight="false" outlineLevel="0" collapsed="false">
      <c r="G4931" s="41" t="str">
        <f aca="false">IF(E4931="","",IFERROR(IF(ISNUMBER(SEARCH(Assumptions!$C$5,E4931)),Assumptions!$D$5,IF(ISNUMBER(SEARCH(Assumptions!$C$6,E4931)),Assumptions!$D$6,IF(ISNUMBER(SEARCH(Assumptions!$C$7,E4931)),Assumptions!$D$7,"Other Services"))),"Other Services"))</f>
        <v/>
      </c>
    </row>
    <row r="4932" customFormat="false" ht="15" hidden="false" customHeight="false" outlineLevel="0" collapsed="false">
      <c r="G4932" s="41" t="str">
        <f aca="false">IF(E4932="","",IFERROR(IF(ISNUMBER(SEARCH(Assumptions!$C$5,E4932)),Assumptions!$D$5,IF(ISNUMBER(SEARCH(Assumptions!$C$6,E4932)),Assumptions!$D$6,IF(ISNUMBER(SEARCH(Assumptions!$C$7,E4932)),Assumptions!$D$7,"Other Services"))),"Other Services"))</f>
        <v/>
      </c>
    </row>
    <row r="4933" customFormat="false" ht="15" hidden="false" customHeight="false" outlineLevel="0" collapsed="false">
      <c r="G4933" s="41" t="str">
        <f aca="false">IF(E4933="","",IFERROR(IF(ISNUMBER(SEARCH(Assumptions!$C$5,E4933)),Assumptions!$D$5,IF(ISNUMBER(SEARCH(Assumptions!$C$6,E4933)),Assumptions!$D$6,IF(ISNUMBER(SEARCH(Assumptions!$C$7,E4933)),Assumptions!$D$7,"Other Services"))),"Other Services"))</f>
        <v/>
      </c>
    </row>
    <row r="4934" customFormat="false" ht="15" hidden="false" customHeight="false" outlineLevel="0" collapsed="false">
      <c r="G4934" s="41" t="str">
        <f aca="false">IF(E4934="","",IFERROR(IF(ISNUMBER(SEARCH(Assumptions!$C$5,E4934)),Assumptions!$D$5,IF(ISNUMBER(SEARCH(Assumptions!$C$6,E4934)),Assumptions!$D$6,IF(ISNUMBER(SEARCH(Assumptions!$C$7,E4934)),Assumptions!$D$7,"Other Services"))),"Other Services"))</f>
        <v/>
      </c>
    </row>
    <row r="4935" customFormat="false" ht="15" hidden="false" customHeight="false" outlineLevel="0" collapsed="false">
      <c r="G4935" s="41" t="str">
        <f aca="false">IF(E4935="","",IFERROR(IF(ISNUMBER(SEARCH(Assumptions!$C$5,E4935)),Assumptions!$D$5,IF(ISNUMBER(SEARCH(Assumptions!$C$6,E4935)),Assumptions!$D$6,IF(ISNUMBER(SEARCH(Assumptions!$C$7,E4935)),Assumptions!$D$7,"Other Services"))),"Other Services"))</f>
        <v/>
      </c>
    </row>
    <row r="4936" customFormat="false" ht="15" hidden="false" customHeight="false" outlineLevel="0" collapsed="false">
      <c r="G4936" s="41" t="str">
        <f aca="false">IF(E4936="","",IFERROR(IF(ISNUMBER(SEARCH(Assumptions!$C$5,E4936)),Assumptions!$D$5,IF(ISNUMBER(SEARCH(Assumptions!$C$6,E4936)),Assumptions!$D$6,IF(ISNUMBER(SEARCH(Assumptions!$C$7,E4936)),Assumptions!$D$7,"Other Services"))),"Other Services"))</f>
        <v/>
      </c>
    </row>
    <row r="4937" customFormat="false" ht="15" hidden="false" customHeight="false" outlineLevel="0" collapsed="false">
      <c r="G4937" s="41" t="str">
        <f aca="false">IF(E4937="","",IFERROR(IF(ISNUMBER(SEARCH(Assumptions!$C$5,E4937)),Assumptions!$D$5,IF(ISNUMBER(SEARCH(Assumptions!$C$6,E4937)),Assumptions!$D$6,IF(ISNUMBER(SEARCH(Assumptions!$C$7,E4937)),Assumptions!$D$7,"Other Services"))),"Other Services"))</f>
        <v/>
      </c>
    </row>
    <row r="4938" customFormat="false" ht="15" hidden="false" customHeight="false" outlineLevel="0" collapsed="false">
      <c r="G4938" s="41" t="str">
        <f aca="false">IF(E4938="","",IFERROR(IF(ISNUMBER(SEARCH(Assumptions!$C$5,E4938)),Assumptions!$D$5,IF(ISNUMBER(SEARCH(Assumptions!$C$6,E4938)),Assumptions!$D$6,IF(ISNUMBER(SEARCH(Assumptions!$C$7,E4938)),Assumptions!$D$7,"Other Services"))),"Other Services"))</f>
        <v/>
      </c>
    </row>
    <row r="4939" customFormat="false" ht="15" hidden="false" customHeight="false" outlineLevel="0" collapsed="false">
      <c r="G4939" s="41" t="str">
        <f aca="false">IF(E4939="","",IFERROR(IF(ISNUMBER(SEARCH(Assumptions!$C$5,E4939)),Assumptions!$D$5,IF(ISNUMBER(SEARCH(Assumptions!$C$6,E4939)),Assumptions!$D$6,IF(ISNUMBER(SEARCH(Assumptions!$C$7,E4939)),Assumptions!$D$7,"Other Services"))),"Other Services"))</f>
        <v/>
      </c>
    </row>
    <row r="4940" customFormat="false" ht="15" hidden="false" customHeight="false" outlineLevel="0" collapsed="false">
      <c r="G4940" s="41" t="str">
        <f aca="false">IF(E4940="","",IFERROR(IF(ISNUMBER(SEARCH(Assumptions!$C$5,E4940)),Assumptions!$D$5,IF(ISNUMBER(SEARCH(Assumptions!$C$6,E4940)),Assumptions!$D$6,IF(ISNUMBER(SEARCH(Assumptions!$C$7,E4940)),Assumptions!$D$7,"Other Services"))),"Other Services"))</f>
        <v/>
      </c>
    </row>
    <row r="4941" customFormat="false" ht="15" hidden="false" customHeight="false" outlineLevel="0" collapsed="false">
      <c r="G4941" s="41" t="str">
        <f aca="false">IF(E4941="","",IFERROR(IF(ISNUMBER(SEARCH(Assumptions!$C$5,E4941)),Assumptions!$D$5,IF(ISNUMBER(SEARCH(Assumptions!$C$6,E4941)),Assumptions!$D$6,IF(ISNUMBER(SEARCH(Assumptions!$C$7,E4941)),Assumptions!$D$7,"Other Services"))),"Other Services"))</f>
        <v/>
      </c>
    </row>
    <row r="4942" customFormat="false" ht="15" hidden="false" customHeight="false" outlineLevel="0" collapsed="false">
      <c r="G4942" s="41" t="str">
        <f aca="false">IF(E4942="","",IFERROR(IF(ISNUMBER(SEARCH(Assumptions!$C$5,E4942)),Assumptions!$D$5,IF(ISNUMBER(SEARCH(Assumptions!$C$6,E4942)),Assumptions!$D$6,IF(ISNUMBER(SEARCH(Assumptions!$C$7,E4942)),Assumptions!$D$7,"Other Services"))),"Other Services"))</f>
        <v/>
      </c>
    </row>
    <row r="4943" customFormat="false" ht="15" hidden="false" customHeight="false" outlineLevel="0" collapsed="false">
      <c r="G4943" s="41" t="str">
        <f aca="false">IF(E4943="","",IFERROR(IF(ISNUMBER(SEARCH(Assumptions!$C$5,E4943)),Assumptions!$D$5,IF(ISNUMBER(SEARCH(Assumptions!$C$6,E4943)),Assumptions!$D$6,IF(ISNUMBER(SEARCH(Assumptions!$C$7,E4943)),Assumptions!$D$7,"Other Services"))),"Other Services"))</f>
        <v/>
      </c>
    </row>
    <row r="4944" customFormat="false" ht="15" hidden="false" customHeight="false" outlineLevel="0" collapsed="false">
      <c r="G4944" s="41" t="str">
        <f aca="false">IF(E4944="","",IFERROR(IF(ISNUMBER(SEARCH(Assumptions!$C$5,E4944)),Assumptions!$D$5,IF(ISNUMBER(SEARCH(Assumptions!$C$6,E4944)),Assumptions!$D$6,IF(ISNUMBER(SEARCH(Assumptions!$C$7,E4944)),Assumptions!$D$7,"Other Services"))),"Other Services"))</f>
        <v/>
      </c>
    </row>
    <row r="4945" customFormat="false" ht="15" hidden="false" customHeight="false" outlineLevel="0" collapsed="false">
      <c r="G4945" s="41" t="str">
        <f aca="false">IF(E4945="","",IFERROR(IF(ISNUMBER(SEARCH(Assumptions!$C$5,E4945)),Assumptions!$D$5,IF(ISNUMBER(SEARCH(Assumptions!$C$6,E4945)),Assumptions!$D$6,IF(ISNUMBER(SEARCH(Assumptions!$C$7,E4945)),Assumptions!$D$7,"Other Services"))),"Other Services"))</f>
        <v/>
      </c>
    </row>
    <row r="4946" customFormat="false" ht="15" hidden="false" customHeight="false" outlineLevel="0" collapsed="false">
      <c r="G4946" s="41" t="str">
        <f aca="false">IF(E4946="","",IFERROR(IF(ISNUMBER(SEARCH(Assumptions!$C$5,E4946)),Assumptions!$D$5,IF(ISNUMBER(SEARCH(Assumptions!$C$6,E4946)),Assumptions!$D$6,IF(ISNUMBER(SEARCH(Assumptions!$C$7,E4946)),Assumptions!$D$7,"Other Services"))),"Other Services"))</f>
        <v/>
      </c>
    </row>
    <row r="4947" customFormat="false" ht="15" hidden="false" customHeight="false" outlineLevel="0" collapsed="false">
      <c r="G4947" s="41" t="str">
        <f aca="false">IF(E4947="","",IFERROR(IF(ISNUMBER(SEARCH(Assumptions!$C$5,E4947)),Assumptions!$D$5,IF(ISNUMBER(SEARCH(Assumptions!$C$6,E4947)),Assumptions!$D$6,IF(ISNUMBER(SEARCH(Assumptions!$C$7,E4947)),Assumptions!$D$7,"Other Services"))),"Other Services"))</f>
        <v/>
      </c>
    </row>
    <row r="4948" customFormat="false" ht="15" hidden="false" customHeight="false" outlineLevel="0" collapsed="false">
      <c r="G4948" s="41" t="str">
        <f aca="false">IF(E4948="","",IFERROR(IF(ISNUMBER(SEARCH(Assumptions!$C$5,E4948)),Assumptions!$D$5,IF(ISNUMBER(SEARCH(Assumptions!$C$6,E4948)),Assumptions!$D$6,IF(ISNUMBER(SEARCH(Assumptions!$C$7,E4948)),Assumptions!$D$7,"Other Services"))),"Other Services"))</f>
        <v/>
      </c>
    </row>
    <row r="4949" customFormat="false" ht="15" hidden="false" customHeight="false" outlineLevel="0" collapsed="false">
      <c r="G4949" s="41" t="str">
        <f aca="false">IF(E4949="","",IFERROR(IF(ISNUMBER(SEARCH(Assumptions!$C$5,E4949)),Assumptions!$D$5,IF(ISNUMBER(SEARCH(Assumptions!$C$6,E4949)),Assumptions!$D$6,IF(ISNUMBER(SEARCH(Assumptions!$C$7,E4949)),Assumptions!$D$7,"Other Services"))),"Other Services"))</f>
        <v/>
      </c>
    </row>
    <row r="4950" customFormat="false" ht="15" hidden="false" customHeight="false" outlineLevel="0" collapsed="false">
      <c r="G4950" s="41" t="str">
        <f aca="false">IF(E4950="","",IFERROR(IF(ISNUMBER(SEARCH(Assumptions!$C$5,E4950)),Assumptions!$D$5,IF(ISNUMBER(SEARCH(Assumptions!$C$6,E4950)),Assumptions!$D$6,IF(ISNUMBER(SEARCH(Assumptions!$C$7,E4950)),Assumptions!$D$7,"Other Services"))),"Other Services"))</f>
        <v/>
      </c>
    </row>
    <row r="4951" customFormat="false" ht="15" hidden="false" customHeight="false" outlineLevel="0" collapsed="false">
      <c r="G4951" s="41" t="str">
        <f aca="false">IF(E4951="","",IFERROR(IF(ISNUMBER(SEARCH(Assumptions!$C$5,E4951)),Assumptions!$D$5,IF(ISNUMBER(SEARCH(Assumptions!$C$6,E4951)),Assumptions!$D$6,IF(ISNUMBER(SEARCH(Assumptions!$C$7,E4951)),Assumptions!$D$7,"Other Services"))),"Other Services"))</f>
        <v/>
      </c>
    </row>
    <row r="4952" customFormat="false" ht="15" hidden="false" customHeight="false" outlineLevel="0" collapsed="false">
      <c r="G4952" s="41" t="str">
        <f aca="false">IF(E4952="","",IFERROR(IF(ISNUMBER(SEARCH(Assumptions!$C$5,E4952)),Assumptions!$D$5,IF(ISNUMBER(SEARCH(Assumptions!$C$6,E4952)),Assumptions!$D$6,IF(ISNUMBER(SEARCH(Assumptions!$C$7,E4952)),Assumptions!$D$7,"Other Services"))),"Other Services"))</f>
        <v/>
      </c>
    </row>
    <row r="4953" customFormat="false" ht="15" hidden="false" customHeight="false" outlineLevel="0" collapsed="false">
      <c r="G4953" s="41" t="str">
        <f aca="false">IF(E4953="","",IFERROR(IF(ISNUMBER(SEARCH(Assumptions!$C$5,E4953)),Assumptions!$D$5,IF(ISNUMBER(SEARCH(Assumptions!$C$6,E4953)),Assumptions!$D$6,IF(ISNUMBER(SEARCH(Assumptions!$C$7,E4953)),Assumptions!$D$7,"Other Services"))),"Other Services"))</f>
        <v/>
      </c>
    </row>
    <row r="4954" customFormat="false" ht="15" hidden="false" customHeight="false" outlineLevel="0" collapsed="false">
      <c r="G4954" s="41" t="str">
        <f aca="false">IF(E4954="","",IFERROR(IF(ISNUMBER(SEARCH(Assumptions!$C$5,E4954)),Assumptions!$D$5,IF(ISNUMBER(SEARCH(Assumptions!$C$6,E4954)),Assumptions!$D$6,IF(ISNUMBER(SEARCH(Assumptions!$C$7,E4954)),Assumptions!$D$7,"Other Services"))),"Other Services"))</f>
        <v/>
      </c>
    </row>
    <row r="4955" customFormat="false" ht="15" hidden="false" customHeight="false" outlineLevel="0" collapsed="false">
      <c r="G4955" s="41" t="str">
        <f aca="false">IF(E4955="","",IFERROR(IF(ISNUMBER(SEARCH(Assumptions!$C$5,E4955)),Assumptions!$D$5,IF(ISNUMBER(SEARCH(Assumptions!$C$6,E4955)),Assumptions!$D$6,IF(ISNUMBER(SEARCH(Assumptions!$C$7,E4955)),Assumptions!$D$7,"Other Services"))),"Other Services"))</f>
        <v/>
      </c>
    </row>
    <row r="4956" customFormat="false" ht="15" hidden="false" customHeight="false" outlineLevel="0" collapsed="false">
      <c r="G4956" s="41" t="str">
        <f aca="false">IF(E4956="","",IFERROR(IF(ISNUMBER(SEARCH(Assumptions!$C$5,E4956)),Assumptions!$D$5,IF(ISNUMBER(SEARCH(Assumptions!$C$6,E4956)),Assumptions!$D$6,IF(ISNUMBER(SEARCH(Assumptions!$C$7,E4956)),Assumptions!$D$7,"Other Services"))),"Other Services"))</f>
        <v/>
      </c>
    </row>
    <row r="4957" customFormat="false" ht="15" hidden="false" customHeight="false" outlineLevel="0" collapsed="false">
      <c r="G4957" s="41" t="str">
        <f aca="false">IF(E4957="","",IFERROR(IF(ISNUMBER(SEARCH(Assumptions!$C$5,E4957)),Assumptions!$D$5,IF(ISNUMBER(SEARCH(Assumptions!$C$6,E4957)),Assumptions!$D$6,IF(ISNUMBER(SEARCH(Assumptions!$C$7,E4957)),Assumptions!$D$7,"Other Services"))),"Other Services"))</f>
        <v/>
      </c>
    </row>
    <row r="4958" customFormat="false" ht="15" hidden="false" customHeight="false" outlineLevel="0" collapsed="false">
      <c r="G4958" s="41" t="str">
        <f aca="false">IF(E4958="","",IFERROR(IF(ISNUMBER(SEARCH(Assumptions!$C$5,E4958)),Assumptions!$D$5,IF(ISNUMBER(SEARCH(Assumptions!$C$6,E4958)),Assumptions!$D$6,IF(ISNUMBER(SEARCH(Assumptions!$C$7,E4958)),Assumptions!$D$7,"Other Services"))),"Other Services"))</f>
        <v/>
      </c>
    </row>
    <row r="4959" customFormat="false" ht="15" hidden="false" customHeight="false" outlineLevel="0" collapsed="false">
      <c r="G4959" s="41" t="str">
        <f aca="false">IF(E4959="","",IFERROR(IF(ISNUMBER(SEARCH(Assumptions!$C$5,E4959)),Assumptions!$D$5,IF(ISNUMBER(SEARCH(Assumptions!$C$6,E4959)),Assumptions!$D$6,IF(ISNUMBER(SEARCH(Assumptions!$C$7,E4959)),Assumptions!$D$7,"Other Services"))),"Other Services"))</f>
        <v/>
      </c>
    </row>
    <row r="4960" customFormat="false" ht="15" hidden="false" customHeight="false" outlineLevel="0" collapsed="false">
      <c r="G4960" s="41" t="str">
        <f aca="false">IF(E4960="","",IFERROR(IF(ISNUMBER(SEARCH(Assumptions!$C$5,E4960)),Assumptions!$D$5,IF(ISNUMBER(SEARCH(Assumptions!$C$6,E4960)),Assumptions!$D$6,IF(ISNUMBER(SEARCH(Assumptions!$C$7,E4960)),Assumptions!$D$7,"Other Services"))),"Other Services"))</f>
        <v/>
      </c>
    </row>
    <row r="4961" customFormat="false" ht="15" hidden="false" customHeight="false" outlineLevel="0" collapsed="false">
      <c r="G4961" s="41" t="str">
        <f aca="false">IF(E4961="","",IFERROR(IF(ISNUMBER(SEARCH(Assumptions!$C$5,E4961)),Assumptions!$D$5,IF(ISNUMBER(SEARCH(Assumptions!$C$6,E4961)),Assumptions!$D$6,IF(ISNUMBER(SEARCH(Assumptions!$C$7,E4961)),Assumptions!$D$7,"Other Services"))),"Other Services"))</f>
        <v/>
      </c>
    </row>
    <row r="4962" customFormat="false" ht="15" hidden="false" customHeight="false" outlineLevel="0" collapsed="false">
      <c r="G4962" s="41" t="str">
        <f aca="false">IF(E4962="","",IFERROR(IF(ISNUMBER(SEARCH(Assumptions!$C$5,E4962)),Assumptions!$D$5,IF(ISNUMBER(SEARCH(Assumptions!$C$6,E4962)),Assumptions!$D$6,IF(ISNUMBER(SEARCH(Assumptions!$C$7,E4962)),Assumptions!$D$7,"Other Services"))),"Other Services"))</f>
        <v/>
      </c>
    </row>
    <row r="4963" customFormat="false" ht="15" hidden="false" customHeight="false" outlineLevel="0" collapsed="false">
      <c r="G4963" s="41" t="str">
        <f aca="false">IF(E4963="","",IFERROR(IF(ISNUMBER(SEARCH(Assumptions!$C$5,E4963)),Assumptions!$D$5,IF(ISNUMBER(SEARCH(Assumptions!$C$6,E4963)),Assumptions!$D$6,IF(ISNUMBER(SEARCH(Assumptions!$C$7,E4963)),Assumptions!$D$7,"Other Services"))),"Other Services"))</f>
        <v/>
      </c>
    </row>
    <row r="4964" customFormat="false" ht="15" hidden="false" customHeight="false" outlineLevel="0" collapsed="false">
      <c r="G4964" s="41" t="str">
        <f aca="false">IF(E4964="","",IFERROR(IF(ISNUMBER(SEARCH(Assumptions!$C$5,E4964)),Assumptions!$D$5,IF(ISNUMBER(SEARCH(Assumptions!$C$6,E4964)),Assumptions!$D$6,IF(ISNUMBER(SEARCH(Assumptions!$C$7,E4964)),Assumptions!$D$7,"Other Services"))),"Other Services"))</f>
        <v/>
      </c>
    </row>
    <row r="4965" customFormat="false" ht="15" hidden="false" customHeight="false" outlineLevel="0" collapsed="false">
      <c r="G4965" s="41" t="str">
        <f aca="false">IF(E4965="","",IFERROR(IF(ISNUMBER(SEARCH(Assumptions!$C$5,E4965)),Assumptions!$D$5,IF(ISNUMBER(SEARCH(Assumptions!$C$6,E4965)),Assumptions!$D$6,IF(ISNUMBER(SEARCH(Assumptions!$C$7,E4965)),Assumptions!$D$7,"Other Services"))),"Other Services"))</f>
        <v/>
      </c>
    </row>
    <row r="4966" customFormat="false" ht="15" hidden="false" customHeight="false" outlineLevel="0" collapsed="false">
      <c r="G4966" s="41" t="str">
        <f aca="false">IF(E4966="","",IFERROR(IF(ISNUMBER(SEARCH(Assumptions!$C$5,E4966)),Assumptions!$D$5,IF(ISNUMBER(SEARCH(Assumptions!$C$6,E4966)),Assumptions!$D$6,IF(ISNUMBER(SEARCH(Assumptions!$C$7,E4966)),Assumptions!$D$7,"Other Services"))),"Other Services"))</f>
        <v/>
      </c>
    </row>
    <row r="4967" customFormat="false" ht="15" hidden="false" customHeight="false" outlineLevel="0" collapsed="false">
      <c r="G4967" s="41" t="str">
        <f aca="false">IF(E4967="","",IFERROR(IF(ISNUMBER(SEARCH(Assumptions!$C$5,E4967)),Assumptions!$D$5,IF(ISNUMBER(SEARCH(Assumptions!$C$6,E4967)),Assumptions!$D$6,IF(ISNUMBER(SEARCH(Assumptions!$C$7,E4967)),Assumptions!$D$7,"Other Services"))),"Other Services"))</f>
        <v/>
      </c>
    </row>
    <row r="4968" customFormat="false" ht="15" hidden="false" customHeight="false" outlineLevel="0" collapsed="false">
      <c r="G4968" s="41" t="str">
        <f aca="false">IF(E4968="","",IFERROR(IF(ISNUMBER(SEARCH(Assumptions!$C$5,E4968)),Assumptions!$D$5,IF(ISNUMBER(SEARCH(Assumptions!$C$6,E4968)),Assumptions!$D$6,IF(ISNUMBER(SEARCH(Assumptions!$C$7,E4968)),Assumptions!$D$7,"Other Services"))),"Other Services"))</f>
        <v/>
      </c>
    </row>
    <row r="4969" customFormat="false" ht="15" hidden="false" customHeight="false" outlineLevel="0" collapsed="false">
      <c r="G4969" s="41" t="str">
        <f aca="false">IF(E4969="","",IFERROR(IF(ISNUMBER(SEARCH(Assumptions!$C$5,E4969)),Assumptions!$D$5,IF(ISNUMBER(SEARCH(Assumptions!$C$6,E4969)),Assumptions!$D$6,IF(ISNUMBER(SEARCH(Assumptions!$C$7,E4969)),Assumptions!$D$7,"Other Services"))),"Other Services"))</f>
        <v/>
      </c>
    </row>
    <row r="4970" customFormat="false" ht="15" hidden="false" customHeight="false" outlineLevel="0" collapsed="false">
      <c r="G4970" s="41" t="str">
        <f aca="false">IF(E4970="","",IFERROR(IF(ISNUMBER(SEARCH(Assumptions!$C$5,E4970)),Assumptions!$D$5,IF(ISNUMBER(SEARCH(Assumptions!$C$6,E4970)),Assumptions!$D$6,IF(ISNUMBER(SEARCH(Assumptions!$C$7,E4970)),Assumptions!$D$7,"Other Services"))),"Other Services"))</f>
        <v/>
      </c>
    </row>
    <row r="4971" customFormat="false" ht="15" hidden="false" customHeight="false" outlineLevel="0" collapsed="false">
      <c r="G4971" s="41" t="str">
        <f aca="false">IF(E4971="","",IFERROR(IF(ISNUMBER(SEARCH(Assumptions!$C$5,E4971)),Assumptions!$D$5,IF(ISNUMBER(SEARCH(Assumptions!$C$6,E4971)),Assumptions!$D$6,IF(ISNUMBER(SEARCH(Assumptions!$C$7,E4971)),Assumptions!$D$7,"Other Services"))),"Other Services"))</f>
        <v/>
      </c>
    </row>
    <row r="4972" customFormat="false" ht="15" hidden="false" customHeight="false" outlineLevel="0" collapsed="false">
      <c r="G4972" s="41" t="str">
        <f aca="false">IF(E4972="","",IFERROR(IF(ISNUMBER(SEARCH(Assumptions!$C$5,E4972)),Assumptions!$D$5,IF(ISNUMBER(SEARCH(Assumptions!$C$6,E4972)),Assumptions!$D$6,IF(ISNUMBER(SEARCH(Assumptions!$C$7,E4972)),Assumptions!$D$7,"Other Services"))),"Other Services"))</f>
        <v/>
      </c>
    </row>
    <row r="4973" customFormat="false" ht="15" hidden="false" customHeight="false" outlineLevel="0" collapsed="false">
      <c r="G4973" s="41" t="str">
        <f aca="false">IF(E4973="","",IFERROR(IF(ISNUMBER(SEARCH(Assumptions!$C$5,E4973)),Assumptions!$D$5,IF(ISNUMBER(SEARCH(Assumptions!$C$6,E4973)),Assumptions!$D$6,IF(ISNUMBER(SEARCH(Assumptions!$C$7,E4973)),Assumptions!$D$7,"Other Services"))),"Other Services"))</f>
        <v/>
      </c>
    </row>
    <row r="4974" customFormat="false" ht="15" hidden="false" customHeight="false" outlineLevel="0" collapsed="false">
      <c r="G4974" s="41" t="str">
        <f aca="false">IF(E4974="","",IFERROR(IF(ISNUMBER(SEARCH(Assumptions!$C$5,E4974)),Assumptions!$D$5,IF(ISNUMBER(SEARCH(Assumptions!$C$6,E4974)),Assumptions!$D$6,IF(ISNUMBER(SEARCH(Assumptions!$C$7,E4974)),Assumptions!$D$7,"Other Services"))),"Other Services"))</f>
        <v/>
      </c>
    </row>
    <row r="4975" customFormat="false" ht="15" hidden="false" customHeight="false" outlineLevel="0" collapsed="false">
      <c r="G4975" s="41" t="str">
        <f aca="false">IF(E4975="","",IFERROR(IF(ISNUMBER(SEARCH(Assumptions!$C$5,E4975)),Assumptions!$D$5,IF(ISNUMBER(SEARCH(Assumptions!$C$6,E4975)),Assumptions!$D$6,IF(ISNUMBER(SEARCH(Assumptions!$C$7,E4975)),Assumptions!$D$7,"Other Services"))),"Other Services"))</f>
        <v/>
      </c>
    </row>
    <row r="4976" customFormat="false" ht="15" hidden="false" customHeight="false" outlineLevel="0" collapsed="false">
      <c r="G4976" s="41" t="str">
        <f aca="false">IF(E4976="","",IFERROR(IF(ISNUMBER(SEARCH(Assumptions!$C$5,E4976)),Assumptions!$D$5,IF(ISNUMBER(SEARCH(Assumptions!$C$6,E4976)),Assumptions!$D$6,IF(ISNUMBER(SEARCH(Assumptions!$C$7,E4976)),Assumptions!$D$7,"Other Services"))),"Other Services"))</f>
        <v/>
      </c>
    </row>
    <row r="4977" customFormat="false" ht="15" hidden="false" customHeight="false" outlineLevel="0" collapsed="false">
      <c r="G4977" s="41" t="str">
        <f aca="false">IF(E4977="","",IFERROR(IF(ISNUMBER(SEARCH(Assumptions!$C$5,E4977)),Assumptions!$D$5,IF(ISNUMBER(SEARCH(Assumptions!$C$6,E4977)),Assumptions!$D$6,IF(ISNUMBER(SEARCH(Assumptions!$C$7,E4977)),Assumptions!$D$7,"Other Services"))),"Other Services"))</f>
        <v/>
      </c>
    </row>
    <row r="4978" customFormat="false" ht="15" hidden="false" customHeight="false" outlineLevel="0" collapsed="false">
      <c r="G4978" s="41" t="str">
        <f aca="false">IF(E4978="","",IFERROR(IF(ISNUMBER(SEARCH(Assumptions!$C$5,E4978)),Assumptions!$D$5,IF(ISNUMBER(SEARCH(Assumptions!$C$6,E4978)),Assumptions!$D$6,IF(ISNUMBER(SEARCH(Assumptions!$C$7,E4978)),Assumptions!$D$7,"Other Services"))),"Other Services"))</f>
        <v/>
      </c>
    </row>
    <row r="4979" customFormat="false" ht="15" hidden="false" customHeight="false" outlineLevel="0" collapsed="false">
      <c r="G4979" s="41" t="str">
        <f aca="false">IF(E4979="","",IFERROR(IF(ISNUMBER(SEARCH(Assumptions!$C$5,E4979)),Assumptions!$D$5,IF(ISNUMBER(SEARCH(Assumptions!$C$6,E4979)),Assumptions!$D$6,IF(ISNUMBER(SEARCH(Assumptions!$C$7,E4979)),Assumptions!$D$7,"Other Services"))),"Other Services"))</f>
        <v/>
      </c>
    </row>
    <row r="4980" customFormat="false" ht="15" hidden="false" customHeight="false" outlineLevel="0" collapsed="false">
      <c r="G4980" s="41" t="str">
        <f aca="false">IF(E4980="","",IFERROR(IF(ISNUMBER(SEARCH(Assumptions!$C$5,E4980)),Assumptions!$D$5,IF(ISNUMBER(SEARCH(Assumptions!$C$6,E4980)),Assumptions!$D$6,IF(ISNUMBER(SEARCH(Assumptions!$C$7,E4980)),Assumptions!$D$7,"Other Services"))),"Other Services"))</f>
        <v/>
      </c>
    </row>
    <row r="4981" customFormat="false" ht="15" hidden="false" customHeight="false" outlineLevel="0" collapsed="false">
      <c r="G4981" s="41" t="str">
        <f aca="false">IF(E4981="","",IFERROR(IF(ISNUMBER(SEARCH(Assumptions!$C$5,E4981)),Assumptions!$D$5,IF(ISNUMBER(SEARCH(Assumptions!$C$6,E4981)),Assumptions!$D$6,IF(ISNUMBER(SEARCH(Assumptions!$C$7,E4981)),Assumptions!$D$7,"Other Services"))),"Other Services"))</f>
        <v/>
      </c>
    </row>
    <row r="4982" customFormat="false" ht="15" hidden="false" customHeight="false" outlineLevel="0" collapsed="false">
      <c r="G4982" s="41" t="str">
        <f aca="false">IF(E4982="","",IFERROR(IF(ISNUMBER(SEARCH(Assumptions!$C$5,E4982)),Assumptions!$D$5,IF(ISNUMBER(SEARCH(Assumptions!$C$6,E4982)),Assumptions!$D$6,IF(ISNUMBER(SEARCH(Assumptions!$C$7,E4982)),Assumptions!$D$7,"Other Services"))),"Other Services"))</f>
        <v/>
      </c>
    </row>
    <row r="4983" customFormat="false" ht="15" hidden="false" customHeight="false" outlineLevel="0" collapsed="false">
      <c r="G4983" s="41" t="str">
        <f aca="false">IF(E4983="","",IFERROR(IF(ISNUMBER(SEARCH(Assumptions!$C$5,E4983)),Assumptions!$D$5,IF(ISNUMBER(SEARCH(Assumptions!$C$6,E4983)),Assumptions!$D$6,IF(ISNUMBER(SEARCH(Assumptions!$C$7,E4983)),Assumptions!$D$7,"Other Services"))),"Other Services"))</f>
        <v/>
      </c>
    </row>
    <row r="4984" customFormat="false" ht="15" hidden="false" customHeight="false" outlineLevel="0" collapsed="false">
      <c r="G4984" s="41" t="str">
        <f aca="false">IF(E4984="","",IFERROR(IF(ISNUMBER(SEARCH(Assumptions!$C$5,E4984)),Assumptions!$D$5,IF(ISNUMBER(SEARCH(Assumptions!$C$6,E4984)),Assumptions!$D$6,IF(ISNUMBER(SEARCH(Assumptions!$C$7,E4984)),Assumptions!$D$7,"Other Services"))),"Other Services"))</f>
        <v/>
      </c>
    </row>
    <row r="4985" customFormat="false" ht="15" hidden="false" customHeight="false" outlineLevel="0" collapsed="false">
      <c r="G4985" s="41" t="str">
        <f aca="false">IF(E4985="","",IFERROR(IF(ISNUMBER(SEARCH(Assumptions!$C$5,E4985)),Assumptions!$D$5,IF(ISNUMBER(SEARCH(Assumptions!$C$6,E4985)),Assumptions!$D$6,IF(ISNUMBER(SEARCH(Assumptions!$C$7,E4985)),Assumptions!$D$7,"Other Services"))),"Other Services"))</f>
        <v/>
      </c>
    </row>
    <row r="4986" customFormat="false" ht="15" hidden="false" customHeight="false" outlineLevel="0" collapsed="false">
      <c r="G4986" s="41" t="str">
        <f aca="false">IF(E4986="","",IFERROR(IF(ISNUMBER(SEARCH(Assumptions!$C$5,E4986)),Assumptions!$D$5,IF(ISNUMBER(SEARCH(Assumptions!$C$6,E4986)),Assumptions!$D$6,IF(ISNUMBER(SEARCH(Assumptions!$C$7,E4986)),Assumptions!$D$7,"Other Services"))),"Other Services"))</f>
        <v/>
      </c>
    </row>
    <row r="4987" customFormat="false" ht="15" hidden="false" customHeight="false" outlineLevel="0" collapsed="false">
      <c r="G4987" s="41" t="str">
        <f aca="false">IF(E4987="","",IFERROR(IF(ISNUMBER(SEARCH(Assumptions!$C$5,E4987)),Assumptions!$D$5,IF(ISNUMBER(SEARCH(Assumptions!$C$6,E4987)),Assumptions!$D$6,IF(ISNUMBER(SEARCH(Assumptions!$C$7,E4987)),Assumptions!$D$7,"Other Services"))),"Other Services"))</f>
        <v/>
      </c>
    </row>
    <row r="4988" customFormat="false" ht="15" hidden="false" customHeight="false" outlineLevel="0" collapsed="false">
      <c r="G4988" s="41" t="str">
        <f aca="false">IF(E4988="","",IFERROR(IF(ISNUMBER(SEARCH(Assumptions!$C$5,E4988)),Assumptions!$D$5,IF(ISNUMBER(SEARCH(Assumptions!$C$6,E4988)),Assumptions!$D$6,IF(ISNUMBER(SEARCH(Assumptions!$C$7,E4988)),Assumptions!$D$7,"Other Services"))),"Other Services"))</f>
        <v/>
      </c>
    </row>
    <row r="4989" customFormat="false" ht="15" hidden="false" customHeight="false" outlineLevel="0" collapsed="false">
      <c r="G4989" s="41" t="str">
        <f aca="false">IF(E4989="","",IFERROR(IF(ISNUMBER(SEARCH(Assumptions!$C$5,E4989)),Assumptions!$D$5,IF(ISNUMBER(SEARCH(Assumptions!$C$6,E4989)),Assumptions!$D$6,IF(ISNUMBER(SEARCH(Assumptions!$C$7,E4989)),Assumptions!$D$7,"Other Services"))),"Other Services"))</f>
        <v/>
      </c>
    </row>
    <row r="4990" customFormat="false" ht="15" hidden="false" customHeight="false" outlineLevel="0" collapsed="false">
      <c r="G4990" s="41" t="str">
        <f aca="false">IF(E4990="","",IFERROR(IF(ISNUMBER(SEARCH(Assumptions!$C$5,E4990)),Assumptions!$D$5,IF(ISNUMBER(SEARCH(Assumptions!$C$6,E4990)),Assumptions!$D$6,IF(ISNUMBER(SEARCH(Assumptions!$C$7,E4990)),Assumptions!$D$7,"Other Services"))),"Other Services"))</f>
        <v/>
      </c>
    </row>
    <row r="4991" customFormat="false" ht="15" hidden="false" customHeight="false" outlineLevel="0" collapsed="false">
      <c r="G4991" s="41" t="str">
        <f aca="false">IF(E4991="","",IFERROR(IF(ISNUMBER(SEARCH(Assumptions!$C$5,E4991)),Assumptions!$D$5,IF(ISNUMBER(SEARCH(Assumptions!$C$6,E4991)),Assumptions!$D$6,IF(ISNUMBER(SEARCH(Assumptions!$C$7,E4991)),Assumptions!$D$7,"Other Services"))),"Other Services"))</f>
        <v/>
      </c>
    </row>
    <row r="4992" customFormat="false" ht="15" hidden="false" customHeight="false" outlineLevel="0" collapsed="false">
      <c r="G4992" s="41" t="str">
        <f aca="false">IF(E4992="","",IFERROR(IF(ISNUMBER(SEARCH(Assumptions!$C$5,E4992)),Assumptions!$D$5,IF(ISNUMBER(SEARCH(Assumptions!$C$6,E4992)),Assumptions!$D$6,IF(ISNUMBER(SEARCH(Assumptions!$C$7,E4992)),Assumptions!$D$7,"Other Services"))),"Other Services"))</f>
        <v/>
      </c>
    </row>
    <row r="4993" customFormat="false" ht="15" hidden="false" customHeight="false" outlineLevel="0" collapsed="false">
      <c r="G4993" s="41" t="str">
        <f aca="false">IF(E4993="","",IFERROR(IF(ISNUMBER(SEARCH(Assumptions!$C$5,E4993)),Assumptions!$D$5,IF(ISNUMBER(SEARCH(Assumptions!$C$6,E4993)),Assumptions!$D$6,IF(ISNUMBER(SEARCH(Assumptions!$C$7,E4993)),Assumptions!$D$7,"Other Services"))),"Other Services"))</f>
        <v/>
      </c>
    </row>
    <row r="4994" customFormat="false" ht="15" hidden="false" customHeight="false" outlineLevel="0" collapsed="false">
      <c r="G4994" s="41" t="str">
        <f aca="false">IF(E4994="","",IFERROR(IF(ISNUMBER(SEARCH(Assumptions!$C$5,E4994)),Assumptions!$D$5,IF(ISNUMBER(SEARCH(Assumptions!$C$6,E4994)),Assumptions!$D$6,IF(ISNUMBER(SEARCH(Assumptions!$C$7,E4994)),Assumptions!$D$7,"Other Services"))),"Other Services"))</f>
        <v/>
      </c>
    </row>
    <row r="4995" customFormat="false" ht="15" hidden="false" customHeight="false" outlineLevel="0" collapsed="false">
      <c r="G4995" s="41" t="str">
        <f aca="false">IF(E4995="","",IFERROR(IF(ISNUMBER(SEARCH(Assumptions!$C$5,E4995)),Assumptions!$D$5,IF(ISNUMBER(SEARCH(Assumptions!$C$6,E4995)),Assumptions!$D$6,IF(ISNUMBER(SEARCH(Assumptions!$C$7,E4995)),Assumptions!$D$7,"Other Services"))),"Other Services"))</f>
        <v/>
      </c>
    </row>
    <row r="4996" customFormat="false" ht="15" hidden="false" customHeight="false" outlineLevel="0" collapsed="false">
      <c r="G4996" s="41" t="str">
        <f aca="false">IF(E4996="","",IFERROR(IF(ISNUMBER(SEARCH(Assumptions!$C$5,E4996)),Assumptions!$D$5,IF(ISNUMBER(SEARCH(Assumptions!$C$6,E4996)),Assumptions!$D$6,IF(ISNUMBER(SEARCH(Assumptions!$C$7,E4996)),Assumptions!$D$7,"Other Services"))),"Other Services"))</f>
        <v/>
      </c>
    </row>
    <row r="4997" customFormat="false" ht="15" hidden="false" customHeight="false" outlineLevel="0" collapsed="false">
      <c r="G4997" s="41" t="str">
        <f aca="false">IF(E4997="","",IFERROR(IF(ISNUMBER(SEARCH(Assumptions!$C$5,E4997)),Assumptions!$D$5,IF(ISNUMBER(SEARCH(Assumptions!$C$6,E4997)),Assumptions!$D$6,IF(ISNUMBER(SEARCH(Assumptions!$C$7,E4997)),Assumptions!$D$7,"Other Services"))),"Other Services"))</f>
        <v/>
      </c>
    </row>
    <row r="4998" customFormat="false" ht="15" hidden="false" customHeight="false" outlineLevel="0" collapsed="false">
      <c r="G4998" s="41" t="str">
        <f aca="false">IF(E4998="","",IFERROR(IF(ISNUMBER(SEARCH(Assumptions!$C$5,E4998)),Assumptions!$D$5,IF(ISNUMBER(SEARCH(Assumptions!$C$6,E4998)),Assumptions!$D$6,IF(ISNUMBER(SEARCH(Assumptions!$C$7,E4998)),Assumptions!$D$7,"Other Services"))),"Other Services"))</f>
        <v/>
      </c>
    </row>
    <row r="4999" customFormat="false" ht="15" hidden="false" customHeight="false" outlineLevel="0" collapsed="false">
      <c r="G4999" s="41" t="str">
        <f aca="false">IF(E4999="","",IFERROR(IF(ISNUMBER(SEARCH(Assumptions!$C$5,E4999)),Assumptions!$D$5,IF(ISNUMBER(SEARCH(Assumptions!$C$6,E4999)),Assumptions!$D$6,IF(ISNUMBER(SEARCH(Assumptions!$C$7,E4999)),Assumptions!$D$7,"Other Services"))),"Other Services"))</f>
        <v/>
      </c>
    </row>
    <row r="5000" customFormat="false" ht="15" hidden="false" customHeight="false" outlineLevel="0" collapsed="false">
      <c r="G5000" s="41" t="str">
        <f aca="false">IF(E5000="","",IFERROR(IF(ISNUMBER(SEARCH(Assumptions!$C$5,E5000)),Assumptions!$D$5,IF(ISNUMBER(SEARCH(Assumptions!$C$6,E5000)),Assumptions!$D$6,IF(ISNUMBER(SEARCH(Assumptions!$C$7,E5000)),Assumptions!$D$7,"Other Services"))),"Other Services"))</f>
        <v/>
      </c>
    </row>
    <row r="5001" customFormat="false" ht="15" hidden="false" customHeight="false" outlineLevel="0" collapsed="false">
      <c r="G5001" s="41" t="str">
        <f aca="false">IF(E5001="","",IFERROR(IF(ISNUMBER(SEARCH(Assumptions!$C$5,E5001)),Assumptions!$D$5,IF(ISNUMBER(SEARCH(Assumptions!$C$6,E5001)),Assumptions!$D$6,IF(ISNUMBER(SEARCH(Assumptions!$C$7,E5001)),Assumptions!$D$7,"Other Services"))),"Other Services"))</f>
        <v/>
      </c>
    </row>
    <row r="5002" customFormat="false" ht="15" hidden="false" customHeight="false" outlineLevel="0" collapsed="false">
      <c r="G5002" s="41" t="str">
        <f aca="false">IF(E5002="","",IFERROR(IF(ISNUMBER(SEARCH(Assumptions!$C$5,E5002)),Assumptions!$D$5,IF(ISNUMBER(SEARCH(Assumptions!$C$6,E5002)),Assumptions!$D$6,IF(ISNUMBER(SEARCH(Assumptions!$C$7,E5002)),Assumptions!$D$7,"Other Services"))),"Other Services"))</f>
        <v/>
      </c>
    </row>
    <row r="5003" customFormat="false" ht="15" hidden="false" customHeight="false" outlineLevel="0" collapsed="false">
      <c r="G5003" s="41" t="str">
        <f aca="false">IF(E5003="","",IFERROR(IF(ISNUMBER(SEARCH(Assumptions!$C$5,E5003)),Assumptions!$D$5,IF(ISNUMBER(SEARCH(Assumptions!$C$6,E5003)),Assumptions!$D$6,IF(ISNUMBER(SEARCH(Assumptions!$C$7,E5003)),Assumptions!$D$7,"Other Services"))),"Other Services"))</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71"/>
    <pageSetUpPr fitToPage="false"/>
  </sheetPr>
  <dimension ref="A1:K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22"/>
    <col collapsed="false" customWidth="true" hidden="false" outlineLevel="0" max="3" min="2" style="25" width="13"/>
    <col collapsed="false" customWidth="true" hidden="false" outlineLevel="0" max="4" min="4" style="25" width="12"/>
    <col collapsed="false" customWidth="true" hidden="false" outlineLevel="0" max="5" min="5" style="25" width="34"/>
    <col collapsed="false" customWidth="true" hidden="false" outlineLevel="0" max="6" min="6" style="25" width="12"/>
    <col collapsed="false" customWidth="true" hidden="false" outlineLevel="0" max="7" min="7" style="25" width="30"/>
    <col collapsed="false" customWidth="true" hidden="false" outlineLevel="0" max="8" min="8" style="25" width="14"/>
    <col collapsed="false" customWidth="true" hidden="false" outlineLevel="0" max="9" min="9" style="25" width="15"/>
    <col collapsed="false" customWidth="true" hidden="false" outlineLevel="0" max="10" min="10" style="25" width="14"/>
  </cols>
  <sheetData>
    <row r="1" customFormat="false" ht="15" hidden="false" customHeight="true" outlineLevel="0" collapsed="false">
      <c r="A1" s="56" t="s">
        <v>363</v>
      </c>
      <c r="B1" s="56"/>
      <c r="C1" s="56"/>
      <c r="D1" s="56"/>
      <c r="E1" s="56"/>
      <c r="F1" s="56"/>
      <c r="G1" s="56"/>
      <c r="H1" s="56"/>
      <c r="I1" s="56"/>
      <c r="J1" s="56"/>
      <c r="K1" s="56"/>
    </row>
    <row r="2" customFormat="false" ht="30" hidden="false" customHeight="true" outlineLevel="0" collapsed="false">
      <c r="A2" s="66" t="s">
        <v>364</v>
      </c>
      <c r="B2" s="66"/>
      <c r="C2" s="66"/>
      <c r="D2" s="66"/>
      <c r="E2" s="66"/>
      <c r="F2" s="66"/>
      <c r="G2" s="66"/>
      <c r="H2" s="66"/>
      <c r="I2" s="66"/>
      <c r="J2" s="66"/>
      <c r="K2" s="66"/>
    </row>
    <row r="3" customFormat="false" ht="21.75" hidden="false" customHeight="true" outlineLevel="0" collapsed="false">
      <c r="A3" s="33" t="s">
        <v>346</v>
      </c>
      <c r="B3" s="33" t="s">
        <v>257</v>
      </c>
      <c r="C3" s="33" t="s">
        <v>193</v>
      </c>
      <c r="D3" s="33" t="s">
        <v>258</v>
      </c>
      <c r="E3" s="33" t="s">
        <v>127</v>
      </c>
      <c r="F3" s="33" t="s">
        <v>196</v>
      </c>
      <c r="G3" s="33" t="s">
        <v>365</v>
      </c>
      <c r="H3" s="33" t="s">
        <v>198</v>
      </c>
      <c r="I3" s="33" t="s">
        <v>134</v>
      </c>
      <c r="J3" s="33" t="s">
        <v>135</v>
      </c>
    </row>
    <row r="4" customFormat="false" ht="15" hidden="false" customHeight="true" outlineLevel="0" collapsed="false">
      <c r="A4" s="35" t="s">
        <v>366</v>
      </c>
      <c r="B4" s="34" t="n">
        <v>46127</v>
      </c>
      <c r="C4" s="34" t="n">
        <v>46157</v>
      </c>
      <c r="D4" s="35" t="s">
        <v>367</v>
      </c>
      <c r="E4" s="35" t="s">
        <v>178</v>
      </c>
      <c r="F4" s="37" t="str">
        <f aca="false">IFERROR(VLOOKUP(E4,Assumptions!$G$5:$H$16,2,0),"Other")</f>
        <v>Singapore</v>
      </c>
      <c r="G4" s="35" t="s">
        <v>368</v>
      </c>
      <c r="H4" s="36" t="n">
        <v>2862.59</v>
      </c>
      <c r="I4" s="35" t="s">
        <v>220</v>
      </c>
      <c r="J4" s="37" t="str">
        <f aca="false">IFERROR(IF(ISNUMBER(SEARCH(Assumptions!$C$5,G4)),Assumptions!$D$5,IF(ISNUMBER(SEARCH(Assumptions!$C$6,G4)),Assumptions!$D$6,IF(ISNUMBER(SEARCH(Assumptions!$C$7,G4)),Assumptions!$D$7,"Other Services"))),"Other Services")</f>
        <v>WhatsApp</v>
      </c>
    </row>
    <row r="5" customFormat="false" ht="15" hidden="false" customHeight="true" outlineLevel="0" collapsed="false">
      <c r="A5" s="35" t="s">
        <v>369</v>
      </c>
      <c r="B5" s="34" t="n">
        <v>46118</v>
      </c>
      <c r="C5" s="34" t="n">
        <v>46148</v>
      </c>
      <c r="D5" s="35" t="s">
        <v>370</v>
      </c>
      <c r="E5" s="35" t="s">
        <v>150</v>
      </c>
      <c r="F5" s="37" t="str">
        <f aca="false">IF(E5="","",IFERROR(VLOOKUP(E5,Assumptions!$G$5:$H$16,2,0),"Other"))</f>
        <v>UAE</v>
      </c>
      <c r="G5" s="35" t="s">
        <v>368</v>
      </c>
      <c r="H5" s="36" t="n">
        <v>10453.91</v>
      </c>
      <c r="I5" s="35" t="s">
        <v>140</v>
      </c>
      <c r="J5" s="37" t="str">
        <f aca="false">IF(G5="","",IFERROR(IF(ISNUMBER(SEARCH(Assumptions!$C$5,G5)),Assumptions!$D$5,IF(ISNUMBER(SEARCH(Assumptions!$C$6,G5)),Assumptions!$D$6,IF(ISNUMBER(SEARCH(Assumptions!$C$7,G5)),Assumptions!$D$7,"Other Services"))),"Other Services"))</f>
        <v>WhatsApp</v>
      </c>
    </row>
    <row r="6" customFormat="false" ht="15" hidden="false" customHeight="true" outlineLevel="0" collapsed="false">
      <c r="A6" s="35" t="s">
        <v>371</v>
      </c>
      <c r="B6" s="34" t="n">
        <v>46118</v>
      </c>
      <c r="C6" s="34" t="n">
        <v>46148</v>
      </c>
      <c r="D6" s="35" t="s">
        <v>372</v>
      </c>
      <c r="E6" s="35" t="s">
        <v>168</v>
      </c>
      <c r="F6" s="37" t="str">
        <f aca="false">IF(E6="","",IFERROR(VLOOKUP(E6,Assumptions!$G$5:$H$16,2,0),"Other"))</f>
        <v>UAE</v>
      </c>
      <c r="G6" s="35" t="s">
        <v>368</v>
      </c>
      <c r="H6" s="36" t="n">
        <v>10317.27</v>
      </c>
      <c r="I6" s="35" t="s">
        <v>223</v>
      </c>
      <c r="J6" s="37" t="str">
        <f aca="false">IF(G6="","",IFERROR(IF(ISNUMBER(SEARCH(Assumptions!$C$5,G6)),Assumptions!$D$5,IF(ISNUMBER(SEARCH(Assumptions!$C$6,G6)),Assumptions!$D$6,IF(ISNUMBER(SEARCH(Assumptions!$C$7,G6)),Assumptions!$D$7,"Other Services"))),"Other Services"))</f>
        <v>WhatsApp</v>
      </c>
    </row>
    <row r="7" customFormat="false" ht="15" hidden="false" customHeight="true" outlineLevel="0" collapsed="false">
      <c r="A7" s="35" t="s">
        <v>373</v>
      </c>
      <c r="B7" s="34" t="n">
        <v>46132</v>
      </c>
      <c r="C7" s="34" t="n">
        <v>46162</v>
      </c>
      <c r="D7" s="35" t="s">
        <v>374</v>
      </c>
      <c r="E7" s="35" t="s">
        <v>168</v>
      </c>
      <c r="F7" s="37" t="str">
        <f aca="false">IF(E7="","",IFERROR(VLOOKUP(E7,Assumptions!$G$5:$H$16,2,0),"Other"))</f>
        <v>UAE</v>
      </c>
      <c r="G7" s="35" t="s">
        <v>368</v>
      </c>
      <c r="H7" s="36" t="n">
        <v>11128.21</v>
      </c>
      <c r="I7" s="35" t="s">
        <v>223</v>
      </c>
      <c r="J7" s="37" t="str">
        <f aca="false">IF(G7="","",IFERROR(IF(ISNUMBER(SEARCH(Assumptions!$C$5,G7)),Assumptions!$D$5,IF(ISNUMBER(SEARCH(Assumptions!$C$6,G7)),Assumptions!$D$6,IF(ISNUMBER(SEARCH(Assumptions!$C$7,G7)),Assumptions!$D$7,"Other Services"))),"Other Services"))</f>
        <v>WhatsApp</v>
      </c>
    </row>
    <row r="8" customFormat="false" ht="15" hidden="false" customHeight="true" outlineLevel="0" collapsed="false">
      <c r="A8" s="35" t="s">
        <v>375</v>
      </c>
      <c r="B8" s="34" t="n">
        <v>46117</v>
      </c>
      <c r="C8" s="34" t="n">
        <v>46147</v>
      </c>
      <c r="D8" s="35" t="s">
        <v>376</v>
      </c>
      <c r="E8" s="35" t="s">
        <v>168</v>
      </c>
      <c r="F8" s="37" t="str">
        <f aca="false">IF(E8="","",IFERROR(VLOOKUP(E8,Assumptions!$G$5:$H$16,2,0),"Other"))</f>
        <v>UAE</v>
      </c>
      <c r="G8" s="35" t="s">
        <v>200</v>
      </c>
      <c r="H8" s="36" t="n">
        <v>1679.78</v>
      </c>
      <c r="I8" s="35" t="s">
        <v>140</v>
      </c>
      <c r="J8" s="37" t="str">
        <f aca="false">IF(G8="","",IFERROR(IF(ISNUMBER(SEARCH(Assumptions!$C$5,G8)),Assumptions!$D$5,IF(ISNUMBER(SEARCH(Assumptions!$C$6,G8)),Assumptions!$D$6,IF(ISNUMBER(SEARCH(Assumptions!$C$7,G8)),Assumptions!$D$7,"Other Services"))),"Other Services"))</f>
        <v>Subscription</v>
      </c>
    </row>
    <row r="9" customFormat="false" ht="15" hidden="false" customHeight="true" outlineLevel="0" collapsed="false">
      <c r="A9" s="35" t="s">
        <v>377</v>
      </c>
      <c r="B9" s="34" t="n">
        <v>46144</v>
      </c>
      <c r="C9" s="34" t="n">
        <v>46174</v>
      </c>
      <c r="D9" s="35" t="s">
        <v>378</v>
      </c>
      <c r="E9" s="35" t="s">
        <v>150</v>
      </c>
      <c r="F9" s="37" t="str">
        <f aca="false">IF(E9="","",IFERROR(VLOOKUP(E9,Assumptions!$G$5:$H$16,2,0),"Other"))</f>
        <v>UAE</v>
      </c>
      <c r="G9" s="35" t="s">
        <v>219</v>
      </c>
      <c r="H9" s="36" t="n">
        <v>13175.39</v>
      </c>
      <c r="I9" s="35" t="s">
        <v>220</v>
      </c>
      <c r="J9" s="37" t="str">
        <f aca="false">IF(G9="","",IFERROR(IF(ISNUMBER(SEARCH(Assumptions!$C$5,G9)),Assumptions!$D$5,IF(ISNUMBER(SEARCH(Assumptions!$C$6,G9)),Assumptions!$D$6,IF(ISNUMBER(SEARCH(Assumptions!$C$7,G9)),Assumptions!$D$7,"Other Services"))),"Other Services"))</f>
        <v>Subscription</v>
      </c>
    </row>
    <row r="10" customFormat="false" ht="15" hidden="false" customHeight="true" outlineLevel="0" collapsed="false">
      <c r="A10" s="35" t="s">
        <v>379</v>
      </c>
      <c r="B10" s="34" t="n">
        <v>46151</v>
      </c>
      <c r="C10" s="34" t="n">
        <v>46181</v>
      </c>
      <c r="D10" s="35" t="s">
        <v>380</v>
      </c>
      <c r="E10" s="35" t="s">
        <v>152</v>
      </c>
      <c r="F10" s="37" t="str">
        <f aca="false">IF(E10="","",IFERROR(VLOOKUP(E10,Assumptions!$G$5:$H$16,2,0),"Other"))</f>
        <v>Singapore</v>
      </c>
      <c r="G10" s="35" t="s">
        <v>224</v>
      </c>
      <c r="H10" s="36" t="n">
        <v>11937.43</v>
      </c>
      <c r="I10" s="35" t="s">
        <v>140</v>
      </c>
      <c r="J10" s="37" t="str">
        <f aca="false">IF(G10="","",IFERROR(IF(ISNUMBER(SEARCH(Assumptions!$C$5,G10)),Assumptions!$D$5,IF(ISNUMBER(SEARCH(Assumptions!$C$6,G10)),Assumptions!$D$6,IF(ISNUMBER(SEARCH(Assumptions!$C$7,G10)),Assumptions!$D$7,"Other Services"))),"Other Services"))</f>
        <v>WhatsApp</v>
      </c>
    </row>
    <row r="11" customFormat="false" ht="15" hidden="false" customHeight="true" outlineLevel="0" collapsed="false">
      <c r="A11" s="35" t="s">
        <v>381</v>
      </c>
      <c r="B11" s="34" t="n">
        <v>46149</v>
      </c>
      <c r="C11" s="34" t="n">
        <v>46179</v>
      </c>
      <c r="D11" s="35" t="s">
        <v>382</v>
      </c>
      <c r="E11" s="35" t="s">
        <v>152</v>
      </c>
      <c r="F11" s="37" t="str">
        <f aca="false">IF(E11="","",IFERROR(VLOOKUP(E11,Assumptions!$G$5:$H$16,2,0),"Other"))</f>
        <v>Singapore</v>
      </c>
      <c r="G11" s="35" t="s">
        <v>222</v>
      </c>
      <c r="H11" s="36" t="n">
        <v>2815.34</v>
      </c>
      <c r="I11" s="35" t="s">
        <v>140</v>
      </c>
      <c r="J11" s="37" t="str">
        <f aca="false">IF(G11="","",IFERROR(IF(ISNUMBER(SEARCH(Assumptions!$C$5,G11)),Assumptions!$D$5,IF(ISNUMBER(SEARCH(Assumptions!$C$6,G11)),Assumptions!$D$6,IF(ISNUMBER(SEARCH(Assumptions!$C$7,G11)),Assumptions!$D$7,"Other Services"))),"Other Services"))</f>
        <v>Development</v>
      </c>
    </row>
    <row r="12" customFormat="false" ht="15" hidden="false" customHeight="true" outlineLevel="0" collapsed="false">
      <c r="A12" s="35" t="s">
        <v>383</v>
      </c>
      <c r="B12" s="34" t="n">
        <v>46147</v>
      </c>
      <c r="C12" s="34" t="n">
        <v>46177</v>
      </c>
      <c r="D12" s="35" t="s">
        <v>384</v>
      </c>
      <c r="E12" s="35" t="s">
        <v>178</v>
      </c>
      <c r="F12" s="37" t="str">
        <f aca="false">IF(E12="","",IFERROR(VLOOKUP(E12,Assumptions!$G$5:$H$16,2,0),"Other"))</f>
        <v>Singapore</v>
      </c>
      <c r="G12" s="35" t="s">
        <v>222</v>
      </c>
      <c r="H12" s="36" t="n">
        <v>21750.95</v>
      </c>
      <c r="I12" s="35" t="s">
        <v>223</v>
      </c>
      <c r="J12" s="37" t="str">
        <f aca="false">IF(G12="","",IFERROR(IF(ISNUMBER(SEARCH(Assumptions!$C$5,G12)),Assumptions!$D$5,IF(ISNUMBER(SEARCH(Assumptions!$C$6,G12)),Assumptions!$D$6,IF(ISNUMBER(SEARCH(Assumptions!$C$7,G12)),Assumptions!$D$7,"Other Services"))),"Other Services"))</f>
        <v>Development</v>
      </c>
    </row>
    <row r="13" customFormat="false" ht="15" hidden="false" customHeight="true" outlineLevel="0" collapsed="false">
      <c r="A13" s="35" t="s">
        <v>385</v>
      </c>
      <c r="B13" s="34" t="n">
        <v>46152</v>
      </c>
      <c r="C13" s="34" t="n">
        <v>46182</v>
      </c>
      <c r="D13" s="35" t="s">
        <v>386</v>
      </c>
      <c r="E13" s="35" t="s">
        <v>152</v>
      </c>
      <c r="F13" s="37" t="str">
        <f aca="false">IF(E13="","",IFERROR(VLOOKUP(E13,Assumptions!$G$5:$H$16,2,0),"Other"))</f>
        <v>Singapore</v>
      </c>
      <c r="G13" s="35" t="s">
        <v>222</v>
      </c>
      <c r="H13" s="36" t="n">
        <v>14640.03</v>
      </c>
      <c r="I13" s="35" t="s">
        <v>220</v>
      </c>
      <c r="J13" s="37" t="str">
        <f aca="false">IF(G13="","",IFERROR(IF(ISNUMBER(SEARCH(Assumptions!$C$5,G13)),Assumptions!$D$5,IF(ISNUMBER(SEARCH(Assumptions!$C$6,G13)),Assumptions!$D$6,IF(ISNUMBER(SEARCH(Assumptions!$C$7,G13)),Assumptions!$D$7,"Other Services"))),"Other Services"))</f>
        <v>Development</v>
      </c>
    </row>
    <row r="14" customFormat="false" ht="15" hidden="false" customHeight="true" outlineLevel="0" collapsed="false">
      <c r="A14" s="35" t="s">
        <v>387</v>
      </c>
      <c r="B14" s="34" t="n">
        <v>46190</v>
      </c>
      <c r="C14" s="34" t="n">
        <v>46220</v>
      </c>
      <c r="D14" s="35" t="s">
        <v>388</v>
      </c>
      <c r="E14" s="35" t="s">
        <v>152</v>
      </c>
      <c r="F14" s="37" t="str">
        <f aca="false">IF(E14="","",IFERROR(VLOOKUP(E14,Assumptions!$G$5:$H$16,2,0),"Other"))</f>
        <v>Singapore</v>
      </c>
      <c r="G14" s="35" t="s">
        <v>232</v>
      </c>
      <c r="H14" s="36" t="n">
        <v>13168.55</v>
      </c>
      <c r="I14" s="35" t="s">
        <v>223</v>
      </c>
      <c r="J14" s="37" t="str">
        <f aca="false">IF(G14="","",IFERROR(IF(ISNUMBER(SEARCH(Assumptions!$C$5,G14)),Assumptions!$D$5,IF(ISNUMBER(SEARCH(Assumptions!$C$6,G14)),Assumptions!$D$6,IF(ISNUMBER(SEARCH(Assumptions!$C$7,G14)),Assumptions!$D$7,"Other Services"))),"Other Services"))</f>
        <v>Development</v>
      </c>
    </row>
    <row r="15" customFormat="false" ht="15" hidden="false" customHeight="true" outlineLevel="0" collapsed="false">
      <c r="A15" s="35" t="s">
        <v>389</v>
      </c>
      <c r="B15" s="34" t="n">
        <v>46178</v>
      </c>
      <c r="C15" s="34" t="n">
        <v>46208</v>
      </c>
      <c r="D15" s="35" t="s">
        <v>390</v>
      </c>
      <c r="E15" s="35" t="s">
        <v>168</v>
      </c>
      <c r="F15" s="37" t="str">
        <f aca="false">IF(E15="","",IFERROR(VLOOKUP(E15,Assumptions!$G$5:$H$16,2,0),"Other"))</f>
        <v>UAE</v>
      </c>
      <c r="G15" s="35" t="s">
        <v>230</v>
      </c>
      <c r="H15" s="36" t="n">
        <v>2303.99</v>
      </c>
      <c r="I15" s="35" t="s">
        <v>223</v>
      </c>
      <c r="J15" s="37" t="str">
        <f aca="false">IF(G15="","",IFERROR(IF(ISNUMBER(SEARCH(Assumptions!$C$5,G15)),Assumptions!$D$5,IF(ISNUMBER(SEARCH(Assumptions!$C$6,G15)),Assumptions!$D$6,IF(ISNUMBER(SEARCH(Assumptions!$C$7,G15)),Assumptions!$D$7,"Other Services"))),"Other Services"))</f>
        <v>WhatsApp</v>
      </c>
    </row>
    <row r="16" customFormat="false" ht="15" hidden="false" customHeight="true" outlineLevel="0" collapsed="false">
      <c r="A16" s="35" t="s">
        <v>391</v>
      </c>
      <c r="B16" s="34" t="n">
        <v>46192</v>
      </c>
      <c r="C16" s="34" t="n">
        <v>46222</v>
      </c>
      <c r="D16" s="35" t="s">
        <v>392</v>
      </c>
      <c r="E16" s="35" t="s">
        <v>168</v>
      </c>
      <c r="F16" s="37" t="str">
        <f aca="false">IF(E16="","",IFERROR(VLOOKUP(E16,Assumptions!$G$5:$H$16,2,0),"Other"))</f>
        <v>UAE</v>
      </c>
      <c r="G16" s="35" t="s">
        <v>232</v>
      </c>
      <c r="H16" s="36" t="n">
        <v>19304.61</v>
      </c>
      <c r="I16" s="35" t="s">
        <v>140</v>
      </c>
      <c r="J16" s="37" t="str">
        <f aca="false">IF(G16="","",IFERROR(IF(ISNUMBER(SEARCH(Assumptions!$C$5,G16)),Assumptions!$D$5,IF(ISNUMBER(SEARCH(Assumptions!$C$6,G16)),Assumptions!$D$6,IF(ISNUMBER(SEARCH(Assumptions!$C$7,G16)),Assumptions!$D$7,"Other Services"))),"Other Services"))</f>
        <v>Development</v>
      </c>
    </row>
    <row r="17" customFormat="false" ht="15" hidden="false" customHeight="true" outlineLevel="0" collapsed="false">
      <c r="A17" s="35" t="s">
        <v>393</v>
      </c>
      <c r="B17" s="34" t="n">
        <v>46186</v>
      </c>
      <c r="C17" s="34" t="n">
        <v>46216</v>
      </c>
      <c r="D17" s="35" t="s">
        <v>394</v>
      </c>
      <c r="E17" s="35" t="s">
        <v>178</v>
      </c>
      <c r="F17" s="37" t="str">
        <f aca="false">IF(E17="","",IFERROR(VLOOKUP(E17,Assumptions!$G$5:$H$16,2,0),"Other"))</f>
        <v>Singapore</v>
      </c>
      <c r="G17" s="35" t="s">
        <v>232</v>
      </c>
      <c r="H17" s="36" t="n">
        <v>15566.46</v>
      </c>
      <c r="I17" s="35" t="s">
        <v>140</v>
      </c>
      <c r="J17" s="37" t="str">
        <f aca="false">IF(G17="","",IFERROR(IF(ISNUMBER(SEARCH(Assumptions!$C$5,G17)),Assumptions!$D$5,IF(ISNUMBER(SEARCH(Assumptions!$C$6,G17)),Assumptions!$D$6,IF(ISNUMBER(SEARCH(Assumptions!$C$7,G17)),Assumptions!$D$7,"Other Services"))),"Other Services"))</f>
        <v>Development</v>
      </c>
    </row>
    <row r="18" customFormat="false" ht="15" hidden="false" customHeight="true" outlineLevel="0" collapsed="false">
      <c r="A18" s="35" t="s">
        <v>395</v>
      </c>
      <c r="B18" s="34" t="n">
        <v>46184</v>
      </c>
      <c r="C18" s="34" t="n">
        <v>46214</v>
      </c>
      <c r="D18" s="35" t="s">
        <v>396</v>
      </c>
      <c r="E18" s="35" t="s">
        <v>144</v>
      </c>
      <c r="F18" s="37" t="str">
        <f aca="false">IF(E18="","",IFERROR(VLOOKUP(E18,Assumptions!$G$5:$H$16,2,0),"Other"))</f>
        <v>UAE</v>
      </c>
      <c r="G18" s="35" t="s">
        <v>233</v>
      </c>
      <c r="H18" s="36" t="n">
        <v>21404.62</v>
      </c>
      <c r="I18" s="35" t="s">
        <v>140</v>
      </c>
      <c r="J18" s="37" t="str">
        <f aca="false">IF(G18="","",IFERROR(IF(ISNUMBER(SEARCH(Assumptions!$C$5,G18)),Assumptions!$D$5,IF(ISNUMBER(SEARCH(Assumptions!$C$6,G18)),Assumptions!$D$6,IF(ISNUMBER(SEARCH(Assumptions!$C$7,G18)),Assumptions!$D$7,"Other Services"))),"Other Services"))</f>
        <v>Subscription</v>
      </c>
    </row>
    <row r="19" customFormat="false" ht="15" hidden="false" customHeight="false" outlineLevel="0" collapsed="false">
      <c r="F19" s="41" t="str">
        <f aca="false">IF(E19="","",IFERROR(VLOOKUP(E19,Assumptions!$G$5:$H$16,2,0),"Other"))</f>
        <v/>
      </c>
      <c r="J19" s="41" t="str">
        <f aca="false">IF(G19="","",IFERROR(IF(ISNUMBER(SEARCH(Assumptions!$C$5,G19)),Assumptions!$D$5,IF(ISNUMBER(SEARCH(Assumptions!$C$6,G19)),Assumptions!$D$6,IF(ISNUMBER(SEARCH(Assumptions!$C$7,G19)),Assumptions!$D$7,"Other Services"))),"Other Services"))</f>
        <v/>
      </c>
    </row>
    <row r="20" customFormat="false" ht="15" hidden="false" customHeight="false" outlineLevel="0" collapsed="false">
      <c r="F20" s="41" t="str">
        <f aca="false">IF(E20="","",IFERROR(VLOOKUP(E20,Assumptions!$G$5:$H$16,2,0),"Other"))</f>
        <v/>
      </c>
      <c r="J20" s="41" t="str">
        <f aca="false">IF(G20="","",IFERROR(IF(ISNUMBER(SEARCH(Assumptions!$C$5,G20)),Assumptions!$D$5,IF(ISNUMBER(SEARCH(Assumptions!$C$6,G20)),Assumptions!$D$6,IF(ISNUMBER(SEARCH(Assumptions!$C$7,G20)),Assumptions!$D$7,"Other Services"))),"Other Services"))</f>
        <v/>
      </c>
    </row>
    <row r="21" customFormat="false" ht="15" hidden="false" customHeight="false" outlineLevel="0" collapsed="false">
      <c r="F21" s="41" t="str">
        <f aca="false">IF(E21="","",IFERROR(VLOOKUP(E21,Assumptions!$G$5:$H$16,2,0),"Other"))</f>
        <v/>
      </c>
      <c r="J21" s="41" t="str">
        <f aca="false">IF(G21="","",IFERROR(IF(ISNUMBER(SEARCH(Assumptions!$C$5,G21)),Assumptions!$D$5,IF(ISNUMBER(SEARCH(Assumptions!$C$6,G21)),Assumptions!$D$6,IF(ISNUMBER(SEARCH(Assumptions!$C$7,G21)),Assumptions!$D$7,"Other Services"))),"Other Services"))</f>
        <v/>
      </c>
    </row>
    <row r="22" customFormat="false" ht="15" hidden="false" customHeight="false" outlineLevel="0" collapsed="false">
      <c r="F22" s="41" t="str">
        <f aca="false">IF(E22="","",IFERROR(VLOOKUP(E22,Assumptions!$G$5:$H$16,2,0),"Other"))</f>
        <v/>
      </c>
      <c r="J22" s="41" t="str">
        <f aca="false">IF(G22="","",IFERROR(IF(ISNUMBER(SEARCH(Assumptions!$C$5,G22)),Assumptions!$D$5,IF(ISNUMBER(SEARCH(Assumptions!$C$6,G22)),Assumptions!$D$6,IF(ISNUMBER(SEARCH(Assumptions!$C$7,G22)),Assumptions!$D$7,"Other Services"))),"Other Services"))</f>
        <v/>
      </c>
    </row>
    <row r="23" customFormat="false" ht="15" hidden="false" customHeight="false" outlineLevel="0" collapsed="false">
      <c r="F23" s="41" t="str">
        <f aca="false">IF(E23="","",IFERROR(VLOOKUP(E23,Assumptions!$G$5:$H$16,2,0),"Other"))</f>
        <v/>
      </c>
      <c r="J23" s="41" t="str">
        <f aca="false">IF(G23="","",IFERROR(IF(ISNUMBER(SEARCH(Assumptions!$C$5,G23)),Assumptions!$D$5,IF(ISNUMBER(SEARCH(Assumptions!$C$6,G23)),Assumptions!$D$6,IF(ISNUMBER(SEARCH(Assumptions!$C$7,G23)),Assumptions!$D$7,"Other Services"))),"Other Services"))</f>
        <v/>
      </c>
    </row>
    <row r="24" customFormat="false" ht="15" hidden="false" customHeight="false" outlineLevel="0" collapsed="false">
      <c r="F24" s="41" t="str">
        <f aca="false">IF(E24="","",IFERROR(VLOOKUP(E24,Assumptions!$G$5:$H$16,2,0),"Other"))</f>
        <v/>
      </c>
      <c r="J24" s="41" t="str">
        <f aca="false">IF(G24="","",IFERROR(IF(ISNUMBER(SEARCH(Assumptions!$C$5,G24)),Assumptions!$D$5,IF(ISNUMBER(SEARCH(Assumptions!$C$6,G24)),Assumptions!$D$6,IF(ISNUMBER(SEARCH(Assumptions!$C$7,G24)),Assumptions!$D$7,"Other Services"))),"Other Services"))</f>
        <v/>
      </c>
    </row>
    <row r="25" customFormat="false" ht="15" hidden="false" customHeight="false" outlineLevel="0" collapsed="false">
      <c r="F25" s="41" t="str">
        <f aca="false">IF(E25="","",IFERROR(VLOOKUP(E25,Assumptions!$G$5:$H$16,2,0),"Other"))</f>
        <v/>
      </c>
      <c r="J25" s="41" t="str">
        <f aca="false">IF(G25="","",IFERROR(IF(ISNUMBER(SEARCH(Assumptions!$C$5,G25)),Assumptions!$D$5,IF(ISNUMBER(SEARCH(Assumptions!$C$6,G25)),Assumptions!$D$6,IF(ISNUMBER(SEARCH(Assumptions!$C$7,G25)),Assumptions!$D$7,"Other Services"))),"Other Services"))</f>
        <v/>
      </c>
    </row>
    <row r="26" customFormat="false" ht="15" hidden="false" customHeight="false" outlineLevel="0" collapsed="false">
      <c r="F26" s="41" t="str">
        <f aca="false">IF(E26="","",IFERROR(VLOOKUP(E26,Assumptions!$G$5:$H$16,2,0),"Other"))</f>
        <v/>
      </c>
      <c r="J26" s="41" t="str">
        <f aca="false">IF(G26="","",IFERROR(IF(ISNUMBER(SEARCH(Assumptions!$C$5,G26)),Assumptions!$D$5,IF(ISNUMBER(SEARCH(Assumptions!$C$6,G26)),Assumptions!$D$6,IF(ISNUMBER(SEARCH(Assumptions!$C$7,G26)),Assumptions!$D$7,"Other Services"))),"Other Services"))</f>
        <v/>
      </c>
    </row>
    <row r="27" customFormat="false" ht="15" hidden="false" customHeight="false" outlineLevel="0" collapsed="false">
      <c r="F27" s="41" t="str">
        <f aca="false">IF(E27="","",IFERROR(VLOOKUP(E27,Assumptions!$G$5:$H$16,2,0),"Other"))</f>
        <v/>
      </c>
      <c r="J27" s="41" t="str">
        <f aca="false">IF(G27="","",IFERROR(IF(ISNUMBER(SEARCH(Assumptions!$C$5,G27)),Assumptions!$D$5,IF(ISNUMBER(SEARCH(Assumptions!$C$6,G27)),Assumptions!$D$6,IF(ISNUMBER(SEARCH(Assumptions!$C$7,G27)),Assumptions!$D$7,"Other Services"))),"Other Services"))</f>
        <v/>
      </c>
    </row>
    <row r="28" customFormat="false" ht="15" hidden="false" customHeight="false" outlineLevel="0" collapsed="false">
      <c r="F28" s="41" t="str">
        <f aca="false">IF(E28="","",IFERROR(VLOOKUP(E28,Assumptions!$G$5:$H$16,2,0),"Other"))</f>
        <v/>
      </c>
      <c r="J28" s="41" t="str">
        <f aca="false">IF(G28="","",IFERROR(IF(ISNUMBER(SEARCH(Assumptions!$C$5,G28)),Assumptions!$D$5,IF(ISNUMBER(SEARCH(Assumptions!$C$6,G28)),Assumptions!$D$6,IF(ISNUMBER(SEARCH(Assumptions!$C$7,G28)),Assumptions!$D$7,"Other Services"))),"Other Services"))</f>
        <v/>
      </c>
    </row>
    <row r="29" customFormat="false" ht="15" hidden="false" customHeight="false" outlineLevel="0" collapsed="false">
      <c r="F29" s="41" t="str">
        <f aca="false">IF(E29="","",IFERROR(VLOOKUP(E29,Assumptions!$G$5:$H$16,2,0),"Other"))</f>
        <v/>
      </c>
      <c r="J29" s="41" t="str">
        <f aca="false">IF(G29="","",IFERROR(IF(ISNUMBER(SEARCH(Assumptions!$C$5,G29)),Assumptions!$D$5,IF(ISNUMBER(SEARCH(Assumptions!$C$6,G29)),Assumptions!$D$6,IF(ISNUMBER(SEARCH(Assumptions!$C$7,G29)),Assumptions!$D$7,"Other Services"))),"Other Services"))</f>
        <v/>
      </c>
    </row>
    <row r="30" customFormat="false" ht="15" hidden="false" customHeight="false" outlineLevel="0" collapsed="false">
      <c r="F30" s="41" t="str">
        <f aca="false">IF(E30="","",IFERROR(VLOOKUP(E30,Assumptions!$G$5:$H$16,2,0),"Other"))</f>
        <v/>
      </c>
      <c r="J30" s="41" t="str">
        <f aca="false">IF(G30="","",IFERROR(IF(ISNUMBER(SEARCH(Assumptions!$C$5,G30)),Assumptions!$D$5,IF(ISNUMBER(SEARCH(Assumptions!$C$6,G30)),Assumptions!$D$6,IF(ISNUMBER(SEARCH(Assumptions!$C$7,G30)),Assumptions!$D$7,"Other Services"))),"Other Services"))</f>
        <v/>
      </c>
    </row>
    <row r="31" customFormat="false" ht="15" hidden="false" customHeight="false" outlineLevel="0" collapsed="false">
      <c r="F31" s="41" t="str">
        <f aca="false">IF(E31="","",IFERROR(VLOOKUP(E31,Assumptions!$G$5:$H$16,2,0),"Other"))</f>
        <v/>
      </c>
      <c r="J31" s="41" t="str">
        <f aca="false">IF(G31="","",IFERROR(IF(ISNUMBER(SEARCH(Assumptions!$C$5,G31)),Assumptions!$D$5,IF(ISNUMBER(SEARCH(Assumptions!$C$6,G31)),Assumptions!$D$6,IF(ISNUMBER(SEARCH(Assumptions!$C$7,G31)),Assumptions!$D$7,"Other Services"))),"Other Services"))</f>
        <v/>
      </c>
    </row>
    <row r="32" customFormat="false" ht="15" hidden="false" customHeight="false" outlineLevel="0" collapsed="false">
      <c r="F32" s="41" t="str">
        <f aca="false">IF(E32="","",IFERROR(VLOOKUP(E32,Assumptions!$G$5:$H$16,2,0),"Other"))</f>
        <v/>
      </c>
      <c r="J32" s="41" t="str">
        <f aca="false">IF(G32="","",IFERROR(IF(ISNUMBER(SEARCH(Assumptions!$C$5,G32)),Assumptions!$D$5,IF(ISNUMBER(SEARCH(Assumptions!$C$6,G32)),Assumptions!$D$6,IF(ISNUMBER(SEARCH(Assumptions!$C$7,G32)),Assumptions!$D$7,"Other Services"))),"Other Services"))</f>
        <v/>
      </c>
    </row>
    <row r="33" customFormat="false" ht="15" hidden="false" customHeight="false" outlineLevel="0" collapsed="false">
      <c r="F33" s="41" t="str">
        <f aca="false">IF(E33="","",IFERROR(VLOOKUP(E33,Assumptions!$G$5:$H$16,2,0),"Other"))</f>
        <v/>
      </c>
      <c r="J33" s="41" t="str">
        <f aca="false">IF(G33="","",IFERROR(IF(ISNUMBER(SEARCH(Assumptions!$C$5,G33)),Assumptions!$D$5,IF(ISNUMBER(SEARCH(Assumptions!$C$6,G33)),Assumptions!$D$6,IF(ISNUMBER(SEARCH(Assumptions!$C$7,G33)),Assumptions!$D$7,"Other Services"))),"Other Services"))</f>
        <v/>
      </c>
    </row>
    <row r="34" customFormat="false" ht="15" hidden="false" customHeight="false" outlineLevel="0" collapsed="false">
      <c r="F34" s="41" t="str">
        <f aca="false">IF(E34="","",IFERROR(VLOOKUP(E34,Assumptions!$G$5:$H$16,2,0),"Other"))</f>
        <v/>
      </c>
      <c r="J34" s="41" t="str">
        <f aca="false">IF(G34="","",IFERROR(IF(ISNUMBER(SEARCH(Assumptions!$C$5,G34)),Assumptions!$D$5,IF(ISNUMBER(SEARCH(Assumptions!$C$6,G34)),Assumptions!$D$6,IF(ISNUMBER(SEARCH(Assumptions!$C$7,G34)),Assumptions!$D$7,"Other Services"))),"Other Services"))</f>
        <v/>
      </c>
    </row>
    <row r="35" customFormat="false" ht="15" hidden="false" customHeight="false" outlineLevel="0" collapsed="false">
      <c r="F35" s="41" t="str">
        <f aca="false">IF(E35="","",IFERROR(VLOOKUP(E35,Assumptions!$G$5:$H$16,2,0),"Other"))</f>
        <v/>
      </c>
      <c r="J35" s="41" t="str">
        <f aca="false">IF(G35="","",IFERROR(IF(ISNUMBER(SEARCH(Assumptions!$C$5,G35)),Assumptions!$D$5,IF(ISNUMBER(SEARCH(Assumptions!$C$6,G35)),Assumptions!$D$6,IF(ISNUMBER(SEARCH(Assumptions!$C$7,G35)),Assumptions!$D$7,"Other Services"))),"Other Services"))</f>
        <v/>
      </c>
    </row>
    <row r="36" customFormat="false" ht="15" hidden="false" customHeight="false" outlineLevel="0" collapsed="false">
      <c r="F36" s="41" t="str">
        <f aca="false">IF(E36="","",IFERROR(VLOOKUP(E36,Assumptions!$G$5:$H$16,2,0),"Other"))</f>
        <v/>
      </c>
      <c r="J36" s="41" t="str">
        <f aca="false">IF(G36="","",IFERROR(IF(ISNUMBER(SEARCH(Assumptions!$C$5,G36)),Assumptions!$D$5,IF(ISNUMBER(SEARCH(Assumptions!$C$6,G36)),Assumptions!$D$6,IF(ISNUMBER(SEARCH(Assumptions!$C$7,G36)),Assumptions!$D$7,"Other Services"))),"Other Services"))</f>
        <v/>
      </c>
    </row>
    <row r="37" customFormat="false" ht="15" hidden="false" customHeight="false" outlineLevel="0" collapsed="false">
      <c r="F37" s="41" t="str">
        <f aca="false">IF(E37="","",IFERROR(VLOOKUP(E37,Assumptions!$G$5:$H$16,2,0),"Other"))</f>
        <v/>
      </c>
      <c r="J37" s="41" t="str">
        <f aca="false">IF(G37="","",IFERROR(IF(ISNUMBER(SEARCH(Assumptions!$C$5,G37)),Assumptions!$D$5,IF(ISNUMBER(SEARCH(Assumptions!$C$6,G37)),Assumptions!$D$6,IF(ISNUMBER(SEARCH(Assumptions!$C$7,G37)),Assumptions!$D$7,"Other Services"))),"Other Services"))</f>
        <v/>
      </c>
    </row>
    <row r="38" customFormat="false" ht="15" hidden="false" customHeight="false" outlineLevel="0" collapsed="false">
      <c r="F38" s="41" t="str">
        <f aca="false">IF(E38="","",IFERROR(VLOOKUP(E38,Assumptions!$G$5:$H$16,2,0),"Other"))</f>
        <v/>
      </c>
      <c r="J38" s="41" t="str">
        <f aca="false">IF(G38="","",IFERROR(IF(ISNUMBER(SEARCH(Assumptions!$C$5,G38)),Assumptions!$D$5,IF(ISNUMBER(SEARCH(Assumptions!$C$6,G38)),Assumptions!$D$6,IF(ISNUMBER(SEARCH(Assumptions!$C$7,G38)),Assumptions!$D$7,"Other Services"))),"Other Services"))</f>
        <v/>
      </c>
    </row>
    <row r="39" customFormat="false" ht="15" hidden="false" customHeight="false" outlineLevel="0" collapsed="false">
      <c r="F39" s="41" t="str">
        <f aca="false">IF(E39="","",IFERROR(VLOOKUP(E39,Assumptions!$G$5:$H$16,2,0),"Other"))</f>
        <v/>
      </c>
      <c r="J39" s="41" t="str">
        <f aca="false">IF(G39="","",IFERROR(IF(ISNUMBER(SEARCH(Assumptions!$C$5,G39)),Assumptions!$D$5,IF(ISNUMBER(SEARCH(Assumptions!$C$6,G39)),Assumptions!$D$6,IF(ISNUMBER(SEARCH(Assumptions!$C$7,G39)),Assumptions!$D$7,"Other Services"))),"Other Services"))</f>
        <v/>
      </c>
    </row>
    <row r="40" customFormat="false" ht="15" hidden="false" customHeight="false" outlineLevel="0" collapsed="false">
      <c r="F40" s="41" t="str">
        <f aca="false">IF(E40="","",IFERROR(VLOOKUP(E40,Assumptions!$G$5:$H$16,2,0),"Other"))</f>
        <v/>
      </c>
      <c r="J40" s="41" t="str">
        <f aca="false">IF(G40="","",IFERROR(IF(ISNUMBER(SEARCH(Assumptions!$C$5,G40)),Assumptions!$D$5,IF(ISNUMBER(SEARCH(Assumptions!$C$6,G40)),Assumptions!$D$6,IF(ISNUMBER(SEARCH(Assumptions!$C$7,G40)),Assumptions!$D$7,"Other Services"))),"Other Services"))</f>
        <v/>
      </c>
    </row>
    <row r="41" customFormat="false" ht="15" hidden="false" customHeight="false" outlineLevel="0" collapsed="false">
      <c r="F41" s="41" t="str">
        <f aca="false">IF(E41="","",IFERROR(VLOOKUP(E41,Assumptions!$G$5:$H$16,2,0),"Other"))</f>
        <v/>
      </c>
      <c r="J41" s="41" t="str">
        <f aca="false">IF(G41="","",IFERROR(IF(ISNUMBER(SEARCH(Assumptions!$C$5,G41)),Assumptions!$D$5,IF(ISNUMBER(SEARCH(Assumptions!$C$6,G41)),Assumptions!$D$6,IF(ISNUMBER(SEARCH(Assumptions!$C$7,G41)),Assumptions!$D$7,"Other Services"))),"Other Services"))</f>
        <v/>
      </c>
    </row>
    <row r="42" customFormat="false" ht="15" hidden="false" customHeight="false" outlineLevel="0" collapsed="false">
      <c r="F42" s="41" t="str">
        <f aca="false">IF(E42="","",IFERROR(VLOOKUP(E42,Assumptions!$G$5:$H$16,2,0),"Other"))</f>
        <v/>
      </c>
      <c r="J42" s="41" t="str">
        <f aca="false">IF(G42="","",IFERROR(IF(ISNUMBER(SEARCH(Assumptions!$C$5,G42)),Assumptions!$D$5,IF(ISNUMBER(SEARCH(Assumptions!$C$6,G42)),Assumptions!$D$6,IF(ISNUMBER(SEARCH(Assumptions!$C$7,G42)),Assumptions!$D$7,"Other Services"))),"Other Services"))</f>
        <v/>
      </c>
    </row>
    <row r="43" customFormat="false" ht="15" hidden="false" customHeight="false" outlineLevel="0" collapsed="false">
      <c r="F43" s="41" t="str">
        <f aca="false">IF(E43="","",IFERROR(VLOOKUP(E43,Assumptions!$G$5:$H$16,2,0),"Other"))</f>
        <v/>
      </c>
      <c r="J43" s="41" t="str">
        <f aca="false">IF(G43="","",IFERROR(IF(ISNUMBER(SEARCH(Assumptions!$C$5,G43)),Assumptions!$D$5,IF(ISNUMBER(SEARCH(Assumptions!$C$6,G43)),Assumptions!$D$6,IF(ISNUMBER(SEARCH(Assumptions!$C$7,G43)),Assumptions!$D$7,"Other Services"))),"Other Services"))</f>
        <v/>
      </c>
    </row>
    <row r="44" customFormat="false" ht="15" hidden="false" customHeight="false" outlineLevel="0" collapsed="false">
      <c r="F44" s="41" t="str">
        <f aca="false">IF(E44="","",IFERROR(VLOOKUP(E44,Assumptions!$G$5:$H$16,2,0),"Other"))</f>
        <v/>
      </c>
      <c r="J44" s="41" t="str">
        <f aca="false">IF(G44="","",IFERROR(IF(ISNUMBER(SEARCH(Assumptions!$C$5,G44)),Assumptions!$D$5,IF(ISNUMBER(SEARCH(Assumptions!$C$6,G44)),Assumptions!$D$6,IF(ISNUMBER(SEARCH(Assumptions!$C$7,G44)),Assumptions!$D$7,"Other Services"))),"Other Services"))</f>
        <v/>
      </c>
    </row>
    <row r="45" customFormat="false" ht="15" hidden="false" customHeight="false" outlineLevel="0" collapsed="false">
      <c r="F45" s="41" t="str">
        <f aca="false">IF(E45="","",IFERROR(VLOOKUP(E45,Assumptions!$G$5:$H$16,2,0),"Other"))</f>
        <v/>
      </c>
      <c r="J45" s="41" t="str">
        <f aca="false">IF(G45="","",IFERROR(IF(ISNUMBER(SEARCH(Assumptions!$C$5,G45)),Assumptions!$D$5,IF(ISNUMBER(SEARCH(Assumptions!$C$6,G45)),Assumptions!$D$6,IF(ISNUMBER(SEARCH(Assumptions!$C$7,G45)),Assumptions!$D$7,"Other Services"))),"Other Services"))</f>
        <v/>
      </c>
    </row>
    <row r="46" customFormat="false" ht="15" hidden="false" customHeight="false" outlineLevel="0" collapsed="false">
      <c r="F46" s="41" t="str">
        <f aca="false">IF(E46="","",IFERROR(VLOOKUP(E46,Assumptions!$G$5:$H$16,2,0),"Other"))</f>
        <v/>
      </c>
      <c r="J46" s="41" t="str">
        <f aca="false">IF(G46="","",IFERROR(IF(ISNUMBER(SEARCH(Assumptions!$C$5,G46)),Assumptions!$D$5,IF(ISNUMBER(SEARCH(Assumptions!$C$6,G46)),Assumptions!$D$6,IF(ISNUMBER(SEARCH(Assumptions!$C$7,G46)),Assumptions!$D$7,"Other Services"))),"Other Services"))</f>
        <v/>
      </c>
    </row>
    <row r="47" customFormat="false" ht="15" hidden="false" customHeight="false" outlineLevel="0" collapsed="false">
      <c r="F47" s="41" t="str">
        <f aca="false">IF(E47="","",IFERROR(VLOOKUP(E47,Assumptions!$G$5:$H$16,2,0),"Other"))</f>
        <v/>
      </c>
      <c r="J47" s="41" t="str">
        <f aca="false">IF(G47="","",IFERROR(IF(ISNUMBER(SEARCH(Assumptions!$C$5,G47)),Assumptions!$D$5,IF(ISNUMBER(SEARCH(Assumptions!$C$6,G47)),Assumptions!$D$6,IF(ISNUMBER(SEARCH(Assumptions!$C$7,G47)),Assumptions!$D$7,"Other Services"))),"Other Services"))</f>
        <v/>
      </c>
    </row>
    <row r="48" customFormat="false" ht="15" hidden="false" customHeight="false" outlineLevel="0" collapsed="false">
      <c r="F48" s="41" t="str">
        <f aca="false">IF(E48="","",IFERROR(VLOOKUP(E48,Assumptions!$G$5:$H$16,2,0),"Other"))</f>
        <v/>
      </c>
      <c r="J48" s="41" t="str">
        <f aca="false">IF(G48="","",IFERROR(IF(ISNUMBER(SEARCH(Assumptions!$C$5,G48)),Assumptions!$D$5,IF(ISNUMBER(SEARCH(Assumptions!$C$6,G48)),Assumptions!$D$6,IF(ISNUMBER(SEARCH(Assumptions!$C$7,G48)),Assumptions!$D$7,"Other Services"))),"Other Services"))</f>
        <v/>
      </c>
    </row>
    <row r="49" customFormat="false" ht="15" hidden="false" customHeight="false" outlineLevel="0" collapsed="false">
      <c r="F49" s="41" t="str">
        <f aca="false">IF(E49="","",IFERROR(VLOOKUP(E49,Assumptions!$G$5:$H$16,2,0),"Other"))</f>
        <v/>
      </c>
      <c r="J49" s="41" t="str">
        <f aca="false">IF(G49="","",IFERROR(IF(ISNUMBER(SEARCH(Assumptions!$C$5,G49)),Assumptions!$D$5,IF(ISNUMBER(SEARCH(Assumptions!$C$6,G49)),Assumptions!$D$6,IF(ISNUMBER(SEARCH(Assumptions!$C$7,G49)),Assumptions!$D$7,"Other Services"))),"Other Services"))</f>
        <v/>
      </c>
    </row>
    <row r="50" customFormat="false" ht="15" hidden="false" customHeight="false" outlineLevel="0" collapsed="false">
      <c r="F50" s="41" t="str">
        <f aca="false">IF(E50="","",IFERROR(VLOOKUP(E50,Assumptions!$G$5:$H$16,2,0),"Other"))</f>
        <v/>
      </c>
      <c r="J50" s="41" t="str">
        <f aca="false">IF(G50="","",IFERROR(IF(ISNUMBER(SEARCH(Assumptions!$C$5,G50)),Assumptions!$D$5,IF(ISNUMBER(SEARCH(Assumptions!$C$6,G50)),Assumptions!$D$6,IF(ISNUMBER(SEARCH(Assumptions!$C$7,G50)),Assumptions!$D$7,"Other Services"))),"Other Services"))</f>
        <v/>
      </c>
    </row>
    <row r="51" customFormat="false" ht="15" hidden="false" customHeight="false" outlineLevel="0" collapsed="false">
      <c r="F51" s="41" t="str">
        <f aca="false">IF(E51="","",IFERROR(VLOOKUP(E51,Assumptions!$G$5:$H$16,2,0),"Other"))</f>
        <v/>
      </c>
      <c r="J51" s="41" t="str">
        <f aca="false">IF(G51="","",IFERROR(IF(ISNUMBER(SEARCH(Assumptions!$C$5,G51)),Assumptions!$D$5,IF(ISNUMBER(SEARCH(Assumptions!$C$6,G51)),Assumptions!$D$6,IF(ISNUMBER(SEARCH(Assumptions!$C$7,G51)),Assumptions!$D$7,"Other Services"))),"Other Services"))</f>
        <v/>
      </c>
    </row>
    <row r="52" customFormat="false" ht="15" hidden="false" customHeight="false" outlineLevel="0" collapsed="false">
      <c r="F52" s="41" t="str">
        <f aca="false">IF(E52="","",IFERROR(VLOOKUP(E52,Assumptions!$G$5:$H$16,2,0),"Other"))</f>
        <v/>
      </c>
      <c r="J52" s="41" t="str">
        <f aca="false">IF(G52="","",IFERROR(IF(ISNUMBER(SEARCH(Assumptions!$C$5,G52)),Assumptions!$D$5,IF(ISNUMBER(SEARCH(Assumptions!$C$6,G52)),Assumptions!$D$6,IF(ISNUMBER(SEARCH(Assumptions!$C$7,G52)),Assumptions!$D$7,"Other Services"))),"Other Services"))</f>
        <v/>
      </c>
    </row>
    <row r="53" customFormat="false" ht="15" hidden="false" customHeight="false" outlineLevel="0" collapsed="false">
      <c r="F53" s="41" t="str">
        <f aca="false">IF(E53="","",IFERROR(VLOOKUP(E53,Assumptions!$G$5:$H$16,2,0),"Other"))</f>
        <v/>
      </c>
      <c r="J53" s="41" t="str">
        <f aca="false">IF(G53="","",IFERROR(IF(ISNUMBER(SEARCH(Assumptions!$C$5,G53)),Assumptions!$D$5,IF(ISNUMBER(SEARCH(Assumptions!$C$6,G53)),Assumptions!$D$6,IF(ISNUMBER(SEARCH(Assumptions!$C$7,G53)),Assumptions!$D$7,"Other Services"))),"Other Services"))</f>
        <v/>
      </c>
    </row>
    <row r="54" customFormat="false" ht="15" hidden="false" customHeight="false" outlineLevel="0" collapsed="false">
      <c r="F54" s="41" t="str">
        <f aca="false">IF(E54="","",IFERROR(VLOOKUP(E54,Assumptions!$G$5:$H$16,2,0),"Other"))</f>
        <v/>
      </c>
      <c r="J54" s="41" t="str">
        <f aca="false">IF(G54="","",IFERROR(IF(ISNUMBER(SEARCH(Assumptions!$C$5,G54)),Assumptions!$D$5,IF(ISNUMBER(SEARCH(Assumptions!$C$6,G54)),Assumptions!$D$6,IF(ISNUMBER(SEARCH(Assumptions!$C$7,G54)),Assumptions!$D$7,"Other Services"))),"Other Services"))</f>
        <v/>
      </c>
    </row>
    <row r="55" customFormat="false" ht="15" hidden="false" customHeight="false" outlineLevel="0" collapsed="false">
      <c r="F55" s="41" t="str">
        <f aca="false">IF(E55="","",IFERROR(VLOOKUP(E55,Assumptions!$G$5:$H$16,2,0),"Other"))</f>
        <v/>
      </c>
      <c r="J55" s="41" t="str">
        <f aca="false">IF(G55="","",IFERROR(IF(ISNUMBER(SEARCH(Assumptions!$C$5,G55)),Assumptions!$D$5,IF(ISNUMBER(SEARCH(Assumptions!$C$6,G55)),Assumptions!$D$6,IF(ISNUMBER(SEARCH(Assumptions!$C$7,G55)),Assumptions!$D$7,"Other Services"))),"Other Services"))</f>
        <v/>
      </c>
    </row>
    <row r="56" customFormat="false" ht="15" hidden="false" customHeight="false" outlineLevel="0" collapsed="false">
      <c r="F56" s="41" t="str">
        <f aca="false">IF(E56="","",IFERROR(VLOOKUP(E56,Assumptions!$G$5:$H$16,2,0),"Other"))</f>
        <v/>
      </c>
      <c r="J56" s="41" t="str">
        <f aca="false">IF(G56="","",IFERROR(IF(ISNUMBER(SEARCH(Assumptions!$C$5,G56)),Assumptions!$D$5,IF(ISNUMBER(SEARCH(Assumptions!$C$6,G56)),Assumptions!$D$6,IF(ISNUMBER(SEARCH(Assumptions!$C$7,G56)),Assumptions!$D$7,"Other Services"))),"Other Services"))</f>
        <v/>
      </c>
    </row>
    <row r="57" customFormat="false" ht="15" hidden="false" customHeight="false" outlineLevel="0" collapsed="false">
      <c r="F57" s="41" t="str">
        <f aca="false">IF(E57="","",IFERROR(VLOOKUP(E57,Assumptions!$G$5:$H$16,2,0),"Other"))</f>
        <v/>
      </c>
      <c r="J57" s="41" t="str">
        <f aca="false">IF(G57="","",IFERROR(IF(ISNUMBER(SEARCH(Assumptions!$C$5,G57)),Assumptions!$D$5,IF(ISNUMBER(SEARCH(Assumptions!$C$6,G57)),Assumptions!$D$6,IF(ISNUMBER(SEARCH(Assumptions!$C$7,G57)),Assumptions!$D$7,"Other Services"))),"Other Services"))</f>
        <v/>
      </c>
    </row>
    <row r="58" customFormat="false" ht="15" hidden="false" customHeight="false" outlineLevel="0" collapsed="false">
      <c r="F58" s="41" t="str">
        <f aca="false">IF(E58="","",IFERROR(VLOOKUP(E58,Assumptions!$G$5:$H$16,2,0),"Other"))</f>
        <v/>
      </c>
      <c r="J58" s="41" t="str">
        <f aca="false">IF(G58="","",IFERROR(IF(ISNUMBER(SEARCH(Assumptions!$C$5,G58)),Assumptions!$D$5,IF(ISNUMBER(SEARCH(Assumptions!$C$6,G58)),Assumptions!$D$6,IF(ISNUMBER(SEARCH(Assumptions!$C$7,G58)),Assumptions!$D$7,"Other Services"))),"Other Services"))</f>
        <v/>
      </c>
    </row>
    <row r="59" customFormat="false" ht="15" hidden="false" customHeight="false" outlineLevel="0" collapsed="false">
      <c r="F59" s="41" t="str">
        <f aca="false">IF(E59="","",IFERROR(VLOOKUP(E59,Assumptions!$G$5:$H$16,2,0),"Other"))</f>
        <v/>
      </c>
      <c r="J59" s="41" t="str">
        <f aca="false">IF(G59="","",IFERROR(IF(ISNUMBER(SEARCH(Assumptions!$C$5,G59)),Assumptions!$D$5,IF(ISNUMBER(SEARCH(Assumptions!$C$6,G59)),Assumptions!$D$6,IF(ISNUMBER(SEARCH(Assumptions!$C$7,G59)),Assumptions!$D$7,"Other Services"))),"Other Services"))</f>
        <v/>
      </c>
    </row>
    <row r="60" customFormat="false" ht="15" hidden="false" customHeight="false" outlineLevel="0" collapsed="false">
      <c r="F60" s="41" t="str">
        <f aca="false">IF(E60="","",IFERROR(VLOOKUP(E60,Assumptions!$G$5:$H$16,2,0),"Other"))</f>
        <v/>
      </c>
      <c r="J60" s="41" t="str">
        <f aca="false">IF(G60="","",IFERROR(IF(ISNUMBER(SEARCH(Assumptions!$C$5,G60)),Assumptions!$D$5,IF(ISNUMBER(SEARCH(Assumptions!$C$6,G60)),Assumptions!$D$6,IF(ISNUMBER(SEARCH(Assumptions!$C$7,G60)),Assumptions!$D$7,"Other Services"))),"Other Services"))</f>
        <v/>
      </c>
    </row>
    <row r="61" customFormat="false" ht="15" hidden="false" customHeight="false" outlineLevel="0" collapsed="false">
      <c r="F61" s="41" t="str">
        <f aca="false">IF(E61="","",IFERROR(VLOOKUP(E61,Assumptions!$G$5:$H$16,2,0),"Other"))</f>
        <v/>
      </c>
      <c r="J61" s="41" t="str">
        <f aca="false">IF(G61="","",IFERROR(IF(ISNUMBER(SEARCH(Assumptions!$C$5,G61)),Assumptions!$D$5,IF(ISNUMBER(SEARCH(Assumptions!$C$6,G61)),Assumptions!$D$6,IF(ISNUMBER(SEARCH(Assumptions!$C$7,G61)),Assumptions!$D$7,"Other Services"))),"Other Services"))</f>
        <v/>
      </c>
    </row>
    <row r="62" customFormat="false" ht="15" hidden="false" customHeight="false" outlineLevel="0" collapsed="false">
      <c r="F62" s="41" t="str">
        <f aca="false">IF(E62="","",IFERROR(VLOOKUP(E62,Assumptions!$G$5:$H$16,2,0),"Other"))</f>
        <v/>
      </c>
      <c r="J62" s="41" t="str">
        <f aca="false">IF(G62="","",IFERROR(IF(ISNUMBER(SEARCH(Assumptions!$C$5,G62)),Assumptions!$D$5,IF(ISNUMBER(SEARCH(Assumptions!$C$6,G62)),Assumptions!$D$6,IF(ISNUMBER(SEARCH(Assumptions!$C$7,G62)),Assumptions!$D$7,"Other Services"))),"Other Services"))</f>
        <v/>
      </c>
    </row>
    <row r="63" customFormat="false" ht="15" hidden="false" customHeight="false" outlineLevel="0" collapsed="false">
      <c r="F63" s="41" t="str">
        <f aca="false">IF(E63="","",IFERROR(VLOOKUP(E63,Assumptions!$G$5:$H$16,2,0),"Other"))</f>
        <v/>
      </c>
      <c r="J63" s="41" t="str">
        <f aca="false">IF(G63="","",IFERROR(IF(ISNUMBER(SEARCH(Assumptions!$C$5,G63)),Assumptions!$D$5,IF(ISNUMBER(SEARCH(Assumptions!$C$6,G63)),Assumptions!$D$6,IF(ISNUMBER(SEARCH(Assumptions!$C$7,G63)),Assumptions!$D$7,"Other Services"))),"Other Services"))</f>
        <v/>
      </c>
    </row>
    <row r="64" customFormat="false" ht="15" hidden="false" customHeight="false" outlineLevel="0" collapsed="false">
      <c r="F64" s="41" t="str">
        <f aca="false">IF(E64="","",IFERROR(VLOOKUP(E64,Assumptions!$G$5:$H$16,2,0),"Other"))</f>
        <v/>
      </c>
      <c r="J64" s="41" t="str">
        <f aca="false">IF(G64="","",IFERROR(IF(ISNUMBER(SEARCH(Assumptions!$C$5,G64)),Assumptions!$D$5,IF(ISNUMBER(SEARCH(Assumptions!$C$6,G64)),Assumptions!$D$6,IF(ISNUMBER(SEARCH(Assumptions!$C$7,G64)),Assumptions!$D$7,"Other Services"))),"Other Services"))</f>
        <v/>
      </c>
    </row>
    <row r="65" customFormat="false" ht="15" hidden="false" customHeight="false" outlineLevel="0" collapsed="false">
      <c r="F65" s="41" t="str">
        <f aca="false">IF(E65="","",IFERROR(VLOOKUP(E65,Assumptions!$G$5:$H$16,2,0),"Other"))</f>
        <v/>
      </c>
      <c r="J65" s="41" t="str">
        <f aca="false">IF(G65="","",IFERROR(IF(ISNUMBER(SEARCH(Assumptions!$C$5,G65)),Assumptions!$D$5,IF(ISNUMBER(SEARCH(Assumptions!$C$6,G65)),Assumptions!$D$6,IF(ISNUMBER(SEARCH(Assumptions!$C$7,G65)),Assumptions!$D$7,"Other Services"))),"Other Services"))</f>
        <v/>
      </c>
    </row>
    <row r="66" customFormat="false" ht="15" hidden="false" customHeight="false" outlineLevel="0" collapsed="false">
      <c r="F66" s="41" t="str">
        <f aca="false">IF(E66="","",IFERROR(VLOOKUP(E66,Assumptions!$G$5:$H$16,2,0),"Other"))</f>
        <v/>
      </c>
      <c r="J66" s="41" t="str">
        <f aca="false">IF(G66="","",IFERROR(IF(ISNUMBER(SEARCH(Assumptions!$C$5,G66)),Assumptions!$D$5,IF(ISNUMBER(SEARCH(Assumptions!$C$6,G66)),Assumptions!$D$6,IF(ISNUMBER(SEARCH(Assumptions!$C$7,G66)),Assumptions!$D$7,"Other Services"))),"Other Services"))</f>
        <v/>
      </c>
    </row>
    <row r="67" customFormat="false" ht="15" hidden="false" customHeight="false" outlineLevel="0" collapsed="false">
      <c r="F67" s="41" t="str">
        <f aca="false">IF(E67="","",IFERROR(VLOOKUP(E67,Assumptions!$G$5:$H$16,2,0),"Other"))</f>
        <v/>
      </c>
      <c r="J67" s="41" t="str">
        <f aca="false">IF(G67="","",IFERROR(IF(ISNUMBER(SEARCH(Assumptions!$C$5,G67)),Assumptions!$D$5,IF(ISNUMBER(SEARCH(Assumptions!$C$6,G67)),Assumptions!$D$6,IF(ISNUMBER(SEARCH(Assumptions!$C$7,G67)),Assumptions!$D$7,"Other Services"))),"Other Services"))</f>
        <v/>
      </c>
    </row>
    <row r="68" customFormat="false" ht="15" hidden="false" customHeight="false" outlineLevel="0" collapsed="false">
      <c r="F68" s="41" t="str">
        <f aca="false">IF(E68="","",IFERROR(VLOOKUP(E68,Assumptions!$G$5:$H$16,2,0),"Other"))</f>
        <v/>
      </c>
      <c r="J68" s="41" t="str">
        <f aca="false">IF(G68="","",IFERROR(IF(ISNUMBER(SEARCH(Assumptions!$C$5,G68)),Assumptions!$D$5,IF(ISNUMBER(SEARCH(Assumptions!$C$6,G68)),Assumptions!$D$6,IF(ISNUMBER(SEARCH(Assumptions!$C$7,G68)),Assumptions!$D$7,"Other Services"))),"Other Services"))</f>
        <v/>
      </c>
    </row>
    <row r="69" customFormat="false" ht="15" hidden="false" customHeight="false" outlineLevel="0" collapsed="false">
      <c r="F69" s="41" t="str">
        <f aca="false">IF(E69="","",IFERROR(VLOOKUP(E69,Assumptions!$G$5:$H$16,2,0),"Other"))</f>
        <v/>
      </c>
      <c r="J69" s="41" t="str">
        <f aca="false">IF(G69="","",IFERROR(IF(ISNUMBER(SEARCH(Assumptions!$C$5,G69)),Assumptions!$D$5,IF(ISNUMBER(SEARCH(Assumptions!$C$6,G69)),Assumptions!$D$6,IF(ISNUMBER(SEARCH(Assumptions!$C$7,G69)),Assumptions!$D$7,"Other Services"))),"Other Services"))</f>
        <v/>
      </c>
    </row>
    <row r="70" customFormat="false" ht="15" hidden="false" customHeight="false" outlineLevel="0" collapsed="false">
      <c r="F70" s="41" t="str">
        <f aca="false">IF(E70="","",IFERROR(VLOOKUP(E70,Assumptions!$G$5:$H$16,2,0),"Other"))</f>
        <v/>
      </c>
      <c r="J70" s="41" t="str">
        <f aca="false">IF(G70="","",IFERROR(IF(ISNUMBER(SEARCH(Assumptions!$C$5,G70)),Assumptions!$D$5,IF(ISNUMBER(SEARCH(Assumptions!$C$6,G70)),Assumptions!$D$6,IF(ISNUMBER(SEARCH(Assumptions!$C$7,G70)),Assumptions!$D$7,"Other Services"))),"Other Services"))</f>
        <v/>
      </c>
    </row>
    <row r="71" customFormat="false" ht="15" hidden="false" customHeight="false" outlineLevel="0" collapsed="false">
      <c r="F71" s="41" t="str">
        <f aca="false">IF(E71="","",IFERROR(VLOOKUP(E71,Assumptions!$G$5:$H$16,2,0),"Other"))</f>
        <v/>
      </c>
      <c r="J71" s="41" t="str">
        <f aca="false">IF(G71="","",IFERROR(IF(ISNUMBER(SEARCH(Assumptions!$C$5,G71)),Assumptions!$D$5,IF(ISNUMBER(SEARCH(Assumptions!$C$6,G71)),Assumptions!$D$6,IF(ISNUMBER(SEARCH(Assumptions!$C$7,G71)),Assumptions!$D$7,"Other Services"))),"Other Services"))</f>
        <v/>
      </c>
    </row>
    <row r="72" customFormat="false" ht="15" hidden="false" customHeight="false" outlineLevel="0" collapsed="false">
      <c r="F72" s="41" t="str">
        <f aca="false">IF(E72="","",IFERROR(VLOOKUP(E72,Assumptions!$G$5:$H$16,2,0),"Other"))</f>
        <v/>
      </c>
      <c r="J72" s="41" t="str">
        <f aca="false">IF(G72="","",IFERROR(IF(ISNUMBER(SEARCH(Assumptions!$C$5,G72)),Assumptions!$D$5,IF(ISNUMBER(SEARCH(Assumptions!$C$6,G72)),Assumptions!$D$6,IF(ISNUMBER(SEARCH(Assumptions!$C$7,G72)),Assumptions!$D$7,"Other Services"))),"Other Services"))</f>
        <v/>
      </c>
    </row>
    <row r="73" customFormat="false" ht="15" hidden="false" customHeight="false" outlineLevel="0" collapsed="false">
      <c r="F73" s="41" t="str">
        <f aca="false">IF(E73="","",IFERROR(VLOOKUP(E73,Assumptions!$G$5:$H$16,2,0),"Other"))</f>
        <v/>
      </c>
      <c r="J73" s="41" t="str">
        <f aca="false">IF(G73="","",IFERROR(IF(ISNUMBER(SEARCH(Assumptions!$C$5,G73)),Assumptions!$D$5,IF(ISNUMBER(SEARCH(Assumptions!$C$6,G73)),Assumptions!$D$6,IF(ISNUMBER(SEARCH(Assumptions!$C$7,G73)),Assumptions!$D$7,"Other Services"))),"Other Services"))</f>
        <v/>
      </c>
    </row>
    <row r="74" customFormat="false" ht="15" hidden="false" customHeight="false" outlineLevel="0" collapsed="false">
      <c r="F74" s="41" t="str">
        <f aca="false">IF(E74="","",IFERROR(VLOOKUP(E74,Assumptions!$G$5:$H$16,2,0),"Other"))</f>
        <v/>
      </c>
      <c r="J74" s="41" t="str">
        <f aca="false">IF(G74="","",IFERROR(IF(ISNUMBER(SEARCH(Assumptions!$C$5,G74)),Assumptions!$D$5,IF(ISNUMBER(SEARCH(Assumptions!$C$6,G74)),Assumptions!$D$6,IF(ISNUMBER(SEARCH(Assumptions!$C$7,G74)),Assumptions!$D$7,"Other Services"))),"Other Services"))</f>
        <v/>
      </c>
    </row>
    <row r="75" customFormat="false" ht="15" hidden="false" customHeight="false" outlineLevel="0" collapsed="false">
      <c r="F75" s="41" t="str">
        <f aca="false">IF(E75="","",IFERROR(VLOOKUP(E75,Assumptions!$G$5:$H$16,2,0),"Other"))</f>
        <v/>
      </c>
      <c r="J75" s="41" t="str">
        <f aca="false">IF(G75="","",IFERROR(IF(ISNUMBER(SEARCH(Assumptions!$C$5,G75)),Assumptions!$D$5,IF(ISNUMBER(SEARCH(Assumptions!$C$6,G75)),Assumptions!$D$6,IF(ISNUMBER(SEARCH(Assumptions!$C$7,G75)),Assumptions!$D$7,"Other Services"))),"Other Services"))</f>
        <v/>
      </c>
    </row>
    <row r="76" customFormat="false" ht="15" hidden="false" customHeight="false" outlineLevel="0" collapsed="false">
      <c r="F76" s="41" t="str">
        <f aca="false">IF(E76="","",IFERROR(VLOOKUP(E76,Assumptions!$G$5:$H$16,2,0),"Other"))</f>
        <v/>
      </c>
      <c r="J76" s="41" t="str">
        <f aca="false">IF(G76="","",IFERROR(IF(ISNUMBER(SEARCH(Assumptions!$C$5,G76)),Assumptions!$D$5,IF(ISNUMBER(SEARCH(Assumptions!$C$6,G76)),Assumptions!$D$6,IF(ISNUMBER(SEARCH(Assumptions!$C$7,G76)),Assumptions!$D$7,"Other Services"))),"Other Services"))</f>
        <v/>
      </c>
    </row>
    <row r="77" customFormat="false" ht="15" hidden="false" customHeight="false" outlineLevel="0" collapsed="false">
      <c r="F77" s="41" t="str">
        <f aca="false">IF(E77="","",IFERROR(VLOOKUP(E77,Assumptions!$G$5:$H$16,2,0),"Other"))</f>
        <v/>
      </c>
      <c r="J77" s="41" t="str">
        <f aca="false">IF(G77="","",IFERROR(IF(ISNUMBER(SEARCH(Assumptions!$C$5,G77)),Assumptions!$D$5,IF(ISNUMBER(SEARCH(Assumptions!$C$6,G77)),Assumptions!$D$6,IF(ISNUMBER(SEARCH(Assumptions!$C$7,G77)),Assumptions!$D$7,"Other Services"))),"Other Services"))</f>
        <v/>
      </c>
    </row>
    <row r="78" customFormat="false" ht="15" hidden="false" customHeight="false" outlineLevel="0" collapsed="false">
      <c r="F78" s="41" t="str">
        <f aca="false">IF(E78="","",IFERROR(VLOOKUP(E78,Assumptions!$G$5:$H$16,2,0),"Other"))</f>
        <v/>
      </c>
      <c r="J78" s="41" t="str">
        <f aca="false">IF(G78="","",IFERROR(IF(ISNUMBER(SEARCH(Assumptions!$C$5,G78)),Assumptions!$D$5,IF(ISNUMBER(SEARCH(Assumptions!$C$6,G78)),Assumptions!$D$6,IF(ISNUMBER(SEARCH(Assumptions!$C$7,G78)),Assumptions!$D$7,"Other Services"))),"Other Services"))</f>
        <v/>
      </c>
    </row>
    <row r="79" customFormat="false" ht="15" hidden="false" customHeight="false" outlineLevel="0" collapsed="false">
      <c r="F79" s="41" t="str">
        <f aca="false">IF(E79="","",IFERROR(VLOOKUP(E79,Assumptions!$G$5:$H$16,2,0),"Other"))</f>
        <v/>
      </c>
      <c r="J79" s="41" t="str">
        <f aca="false">IF(G79="","",IFERROR(IF(ISNUMBER(SEARCH(Assumptions!$C$5,G79)),Assumptions!$D$5,IF(ISNUMBER(SEARCH(Assumptions!$C$6,G79)),Assumptions!$D$6,IF(ISNUMBER(SEARCH(Assumptions!$C$7,G79)),Assumptions!$D$7,"Other Services"))),"Other Services"))</f>
        <v/>
      </c>
    </row>
    <row r="80" customFormat="false" ht="15" hidden="false" customHeight="false" outlineLevel="0" collapsed="false">
      <c r="F80" s="41" t="str">
        <f aca="false">IF(E80="","",IFERROR(VLOOKUP(E80,Assumptions!$G$5:$H$16,2,0),"Other"))</f>
        <v/>
      </c>
      <c r="J80" s="41" t="str">
        <f aca="false">IF(G80="","",IFERROR(IF(ISNUMBER(SEARCH(Assumptions!$C$5,G80)),Assumptions!$D$5,IF(ISNUMBER(SEARCH(Assumptions!$C$6,G80)),Assumptions!$D$6,IF(ISNUMBER(SEARCH(Assumptions!$C$7,G80)),Assumptions!$D$7,"Other Services"))),"Other Services"))</f>
        <v/>
      </c>
    </row>
    <row r="81" customFormat="false" ht="15" hidden="false" customHeight="false" outlineLevel="0" collapsed="false">
      <c r="F81" s="41" t="str">
        <f aca="false">IF(E81="","",IFERROR(VLOOKUP(E81,Assumptions!$G$5:$H$16,2,0),"Other"))</f>
        <v/>
      </c>
      <c r="J81" s="41" t="str">
        <f aca="false">IF(G81="","",IFERROR(IF(ISNUMBER(SEARCH(Assumptions!$C$5,G81)),Assumptions!$D$5,IF(ISNUMBER(SEARCH(Assumptions!$C$6,G81)),Assumptions!$D$6,IF(ISNUMBER(SEARCH(Assumptions!$C$7,G81)),Assumptions!$D$7,"Other Services"))),"Other Services"))</f>
        <v/>
      </c>
    </row>
    <row r="82" customFormat="false" ht="15" hidden="false" customHeight="false" outlineLevel="0" collapsed="false">
      <c r="F82" s="41" t="str">
        <f aca="false">IF(E82="","",IFERROR(VLOOKUP(E82,Assumptions!$G$5:$H$16,2,0),"Other"))</f>
        <v/>
      </c>
      <c r="J82" s="41" t="str">
        <f aca="false">IF(G82="","",IFERROR(IF(ISNUMBER(SEARCH(Assumptions!$C$5,G82)),Assumptions!$D$5,IF(ISNUMBER(SEARCH(Assumptions!$C$6,G82)),Assumptions!$D$6,IF(ISNUMBER(SEARCH(Assumptions!$C$7,G82)),Assumptions!$D$7,"Other Services"))),"Other Services"))</f>
        <v/>
      </c>
    </row>
    <row r="83" customFormat="false" ht="15" hidden="false" customHeight="false" outlineLevel="0" collapsed="false">
      <c r="F83" s="41" t="str">
        <f aca="false">IF(E83="","",IFERROR(VLOOKUP(E83,Assumptions!$G$5:$H$16,2,0),"Other"))</f>
        <v/>
      </c>
      <c r="J83" s="41" t="str">
        <f aca="false">IF(G83="","",IFERROR(IF(ISNUMBER(SEARCH(Assumptions!$C$5,G83)),Assumptions!$D$5,IF(ISNUMBER(SEARCH(Assumptions!$C$6,G83)),Assumptions!$D$6,IF(ISNUMBER(SEARCH(Assumptions!$C$7,G83)),Assumptions!$D$7,"Other Services"))),"Other Services"))</f>
        <v/>
      </c>
    </row>
    <row r="84" customFormat="false" ht="15" hidden="false" customHeight="false" outlineLevel="0" collapsed="false">
      <c r="F84" s="41" t="str">
        <f aca="false">IF(E84="","",IFERROR(VLOOKUP(E84,Assumptions!$G$5:$H$16,2,0),"Other"))</f>
        <v/>
      </c>
      <c r="J84" s="41" t="str">
        <f aca="false">IF(G84="","",IFERROR(IF(ISNUMBER(SEARCH(Assumptions!$C$5,G84)),Assumptions!$D$5,IF(ISNUMBER(SEARCH(Assumptions!$C$6,G84)),Assumptions!$D$6,IF(ISNUMBER(SEARCH(Assumptions!$C$7,G84)),Assumptions!$D$7,"Other Services"))),"Other Services"))</f>
        <v/>
      </c>
    </row>
    <row r="85" customFormat="false" ht="15" hidden="false" customHeight="false" outlineLevel="0" collapsed="false">
      <c r="F85" s="41" t="str">
        <f aca="false">IF(E85="","",IFERROR(VLOOKUP(E85,Assumptions!$G$5:$H$16,2,0),"Other"))</f>
        <v/>
      </c>
      <c r="J85" s="41" t="str">
        <f aca="false">IF(G85="","",IFERROR(IF(ISNUMBER(SEARCH(Assumptions!$C$5,G85)),Assumptions!$D$5,IF(ISNUMBER(SEARCH(Assumptions!$C$6,G85)),Assumptions!$D$6,IF(ISNUMBER(SEARCH(Assumptions!$C$7,G85)),Assumptions!$D$7,"Other Services"))),"Other Services"))</f>
        <v/>
      </c>
    </row>
    <row r="86" customFormat="false" ht="15" hidden="false" customHeight="false" outlineLevel="0" collapsed="false">
      <c r="F86" s="41" t="str">
        <f aca="false">IF(E86="","",IFERROR(VLOOKUP(E86,Assumptions!$G$5:$H$16,2,0),"Other"))</f>
        <v/>
      </c>
      <c r="J86" s="41" t="str">
        <f aca="false">IF(G86="","",IFERROR(IF(ISNUMBER(SEARCH(Assumptions!$C$5,G86)),Assumptions!$D$5,IF(ISNUMBER(SEARCH(Assumptions!$C$6,G86)),Assumptions!$D$6,IF(ISNUMBER(SEARCH(Assumptions!$C$7,G86)),Assumptions!$D$7,"Other Services"))),"Other Services"))</f>
        <v/>
      </c>
    </row>
    <row r="87" customFormat="false" ht="15" hidden="false" customHeight="false" outlineLevel="0" collapsed="false">
      <c r="F87" s="41" t="str">
        <f aca="false">IF(E87="","",IFERROR(VLOOKUP(E87,Assumptions!$G$5:$H$16,2,0),"Other"))</f>
        <v/>
      </c>
      <c r="J87" s="41" t="str">
        <f aca="false">IF(G87="","",IFERROR(IF(ISNUMBER(SEARCH(Assumptions!$C$5,G87)),Assumptions!$D$5,IF(ISNUMBER(SEARCH(Assumptions!$C$6,G87)),Assumptions!$D$6,IF(ISNUMBER(SEARCH(Assumptions!$C$7,G87)),Assumptions!$D$7,"Other Services"))),"Other Services"))</f>
        <v/>
      </c>
    </row>
    <row r="88" customFormat="false" ht="15" hidden="false" customHeight="false" outlineLevel="0" collapsed="false">
      <c r="F88" s="41" t="str">
        <f aca="false">IF(E88="","",IFERROR(VLOOKUP(E88,Assumptions!$G$5:$H$16,2,0),"Other"))</f>
        <v/>
      </c>
      <c r="J88" s="41" t="str">
        <f aca="false">IF(G88="","",IFERROR(IF(ISNUMBER(SEARCH(Assumptions!$C$5,G88)),Assumptions!$D$5,IF(ISNUMBER(SEARCH(Assumptions!$C$6,G88)),Assumptions!$D$6,IF(ISNUMBER(SEARCH(Assumptions!$C$7,G88)),Assumptions!$D$7,"Other Services"))),"Other Services"))</f>
        <v/>
      </c>
    </row>
    <row r="89" customFormat="false" ht="15" hidden="false" customHeight="false" outlineLevel="0" collapsed="false">
      <c r="F89" s="41" t="str">
        <f aca="false">IF(E89="","",IFERROR(VLOOKUP(E89,Assumptions!$G$5:$H$16,2,0),"Other"))</f>
        <v/>
      </c>
      <c r="J89" s="41" t="str">
        <f aca="false">IF(G89="","",IFERROR(IF(ISNUMBER(SEARCH(Assumptions!$C$5,G89)),Assumptions!$D$5,IF(ISNUMBER(SEARCH(Assumptions!$C$6,G89)),Assumptions!$D$6,IF(ISNUMBER(SEARCH(Assumptions!$C$7,G89)),Assumptions!$D$7,"Other Services"))),"Other Services"))</f>
        <v/>
      </c>
    </row>
    <row r="90" customFormat="false" ht="15" hidden="false" customHeight="false" outlineLevel="0" collapsed="false">
      <c r="F90" s="41" t="str">
        <f aca="false">IF(E90="","",IFERROR(VLOOKUP(E90,Assumptions!$G$5:$H$16,2,0),"Other"))</f>
        <v/>
      </c>
      <c r="J90" s="41" t="str">
        <f aca="false">IF(G90="","",IFERROR(IF(ISNUMBER(SEARCH(Assumptions!$C$5,G90)),Assumptions!$D$5,IF(ISNUMBER(SEARCH(Assumptions!$C$6,G90)),Assumptions!$D$6,IF(ISNUMBER(SEARCH(Assumptions!$C$7,G90)),Assumptions!$D$7,"Other Services"))),"Other Services"))</f>
        <v/>
      </c>
    </row>
    <row r="91" customFormat="false" ht="15" hidden="false" customHeight="false" outlineLevel="0" collapsed="false">
      <c r="F91" s="41" t="str">
        <f aca="false">IF(E91="","",IFERROR(VLOOKUP(E91,Assumptions!$G$5:$H$16,2,0),"Other"))</f>
        <v/>
      </c>
      <c r="J91" s="41" t="str">
        <f aca="false">IF(G91="","",IFERROR(IF(ISNUMBER(SEARCH(Assumptions!$C$5,G91)),Assumptions!$D$5,IF(ISNUMBER(SEARCH(Assumptions!$C$6,G91)),Assumptions!$D$6,IF(ISNUMBER(SEARCH(Assumptions!$C$7,G91)),Assumptions!$D$7,"Other Services"))),"Other Services"))</f>
        <v/>
      </c>
    </row>
    <row r="92" customFormat="false" ht="15" hidden="false" customHeight="false" outlineLevel="0" collapsed="false">
      <c r="F92" s="41" t="str">
        <f aca="false">IF(E92="","",IFERROR(VLOOKUP(E92,Assumptions!$G$5:$H$16,2,0),"Other"))</f>
        <v/>
      </c>
      <c r="J92" s="41" t="str">
        <f aca="false">IF(G92="","",IFERROR(IF(ISNUMBER(SEARCH(Assumptions!$C$5,G92)),Assumptions!$D$5,IF(ISNUMBER(SEARCH(Assumptions!$C$6,G92)),Assumptions!$D$6,IF(ISNUMBER(SEARCH(Assumptions!$C$7,G92)),Assumptions!$D$7,"Other Services"))),"Other Services"))</f>
        <v/>
      </c>
    </row>
    <row r="93" customFormat="false" ht="15" hidden="false" customHeight="false" outlineLevel="0" collapsed="false">
      <c r="F93" s="41" t="str">
        <f aca="false">IF(E93="","",IFERROR(VLOOKUP(E93,Assumptions!$G$5:$H$16,2,0),"Other"))</f>
        <v/>
      </c>
      <c r="J93" s="41" t="str">
        <f aca="false">IF(G93="","",IFERROR(IF(ISNUMBER(SEARCH(Assumptions!$C$5,G93)),Assumptions!$D$5,IF(ISNUMBER(SEARCH(Assumptions!$C$6,G93)),Assumptions!$D$6,IF(ISNUMBER(SEARCH(Assumptions!$C$7,G93)),Assumptions!$D$7,"Other Services"))),"Other Services"))</f>
        <v/>
      </c>
    </row>
    <row r="94" customFormat="false" ht="15" hidden="false" customHeight="false" outlineLevel="0" collapsed="false">
      <c r="F94" s="41" t="str">
        <f aca="false">IF(E94="","",IFERROR(VLOOKUP(E94,Assumptions!$G$5:$H$16,2,0),"Other"))</f>
        <v/>
      </c>
      <c r="J94" s="41" t="str">
        <f aca="false">IF(G94="","",IFERROR(IF(ISNUMBER(SEARCH(Assumptions!$C$5,G94)),Assumptions!$D$5,IF(ISNUMBER(SEARCH(Assumptions!$C$6,G94)),Assumptions!$D$6,IF(ISNUMBER(SEARCH(Assumptions!$C$7,G94)),Assumptions!$D$7,"Other Services"))),"Other Services"))</f>
        <v/>
      </c>
    </row>
    <row r="95" customFormat="false" ht="15" hidden="false" customHeight="false" outlineLevel="0" collapsed="false">
      <c r="F95" s="41" t="str">
        <f aca="false">IF(E95="","",IFERROR(VLOOKUP(E95,Assumptions!$G$5:$H$16,2,0),"Other"))</f>
        <v/>
      </c>
      <c r="J95" s="41" t="str">
        <f aca="false">IF(G95="","",IFERROR(IF(ISNUMBER(SEARCH(Assumptions!$C$5,G95)),Assumptions!$D$5,IF(ISNUMBER(SEARCH(Assumptions!$C$6,G95)),Assumptions!$D$6,IF(ISNUMBER(SEARCH(Assumptions!$C$7,G95)),Assumptions!$D$7,"Other Services"))),"Other Services"))</f>
        <v/>
      </c>
    </row>
    <row r="96" customFormat="false" ht="15" hidden="false" customHeight="false" outlineLevel="0" collapsed="false">
      <c r="F96" s="41" t="str">
        <f aca="false">IF(E96="","",IFERROR(VLOOKUP(E96,Assumptions!$G$5:$H$16,2,0),"Other"))</f>
        <v/>
      </c>
      <c r="J96" s="41" t="str">
        <f aca="false">IF(G96="","",IFERROR(IF(ISNUMBER(SEARCH(Assumptions!$C$5,G96)),Assumptions!$D$5,IF(ISNUMBER(SEARCH(Assumptions!$C$6,G96)),Assumptions!$D$6,IF(ISNUMBER(SEARCH(Assumptions!$C$7,G96)),Assumptions!$D$7,"Other Services"))),"Other Services"))</f>
        <v/>
      </c>
    </row>
    <row r="97" customFormat="false" ht="15" hidden="false" customHeight="false" outlineLevel="0" collapsed="false">
      <c r="F97" s="41" t="str">
        <f aca="false">IF(E97="","",IFERROR(VLOOKUP(E97,Assumptions!$G$5:$H$16,2,0),"Other"))</f>
        <v/>
      </c>
      <c r="J97" s="41" t="str">
        <f aca="false">IF(G97="","",IFERROR(IF(ISNUMBER(SEARCH(Assumptions!$C$5,G97)),Assumptions!$D$5,IF(ISNUMBER(SEARCH(Assumptions!$C$6,G97)),Assumptions!$D$6,IF(ISNUMBER(SEARCH(Assumptions!$C$7,G97)),Assumptions!$D$7,"Other Services"))),"Other Services"))</f>
        <v/>
      </c>
    </row>
    <row r="98" customFormat="false" ht="15" hidden="false" customHeight="false" outlineLevel="0" collapsed="false">
      <c r="F98" s="41" t="str">
        <f aca="false">IF(E98="","",IFERROR(VLOOKUP(E98,Assumptions!$G$5:$H$16,2,0),"Other"))</f>
        <v/>
      </c>
      <c r="J98" s="41" t="str">
        <f aca="false">IF(G98="","",IFERROR(IF(ISNUMBER(SEARCH(Assumptions!$C$5,G98)),Assumptions!$D$5,IF(ISNUMBER(SEARCH(Assumptions!$C$6,G98)),Assumptions!$D$6,IF(ISNUMBER(SEARCH(Assumptions!$C$7,G98)),Assumptions!$D$7,"Other Services"))),"Other Services"))</f>
        <v/>
      </c>
    </row>
    <row r="99" customFormat="false" ht="15" hidden="false" customHeight="false" outlineLevel="0" collapsed="false">
      <c r="F99" s="41" t="str">
        <f aca="false">IF(E99="","",IFERROR(VLOOKUP(E99,Assumptions!$G$5:$H$16,2,0),"Other"))</f>
        <v/>
      </c>
      <c r="J99" s="41" t="str">
        <f aca="false">IF(G99="","",IFERROR(IF(ISNUMBER(SEARCH(Assumptions!$C$5,G99)),Assumptions!$D$5,IF(ISNUMBER(SEARCH(Assumptions!$C$6,G99)),Assumptions!$D$6,IF(ISNUMBER(SEARCH(Assumptions!$C$7,G99)),Assumptions!$D$7,"Other Services"))),"Other Services"))</f>
        <v/>
      </c>
    </row>
    <row r="100" customFormat="false" ht="15" hidden="false" customHeight="false" outlineLevel="0" collapsed="false">
      <c r="F100" s="41" t="str">
        <f aca="false">IF(E100="","",IFERROR(VLOOKUP(E100,Assumptions!$G$5:$H$16,2,0),"Other"))</f>
        <v/>
      </c>
      <c r="J100" s="41" t="str">
        <f aca="false">IF(G100="","",IFERROR(IF(ISNUMBER(SEARCH(Assumptions!$C$5,G100)),Assumptions!$D$5,IF(ISNUMBER(SEARCH(Assumptions!$C$6,G100)),Assumptions!$D$6,IF(ISNUMBER(SEARCH(Assumptions!$C$7,G100)),Assumptions!$D$7,"Other Services"))),"Other Services"))</f>
        <v/>
      </c>
    </row>
    <row r="101" customFormat="false" ht="15" hidden="false" customHeight="false" outlineLevel="0" collapsed="false">
      <c r="F101" s="41" t="str">
        <f aca="false">IF(E101="","",IFERROR(VLOOKUP(E101,Assumptions!$G$5:$H$16,2,0),"Other"))</f>
        <v/>
      </c>
      <c r="J101" s="41" t="str">
        <f aca="false">IF(G101="","",IFERROR(IF(ISNUMBER(SEARCH(Assumptions!$C$5,G101)),Assumptions!$D$5,IF(ISNUMBER(SEARCH(Assumptions!$C$6,G101)),Assumptions!$D$6,IF(ISNUMBER(SEARCH(Assumptions!$C$7,G101)),Assumptions!$D$7,"Other Services"))),"Other Services"))</f>
        <v/>
      </c>
    </row>
    <row r="102" customFormat="false" ht="15" hidden="false" customHeight="false" outlineLevel="0" collapsed="false">
      <c r="F102" s="41" t="str">
        <f aca="false">IF(E102="","",IFERROR(VLOOKUP(E102,Assumptions!$G$5:$H$16,2,0),"Other"))</f>
        <v/>
      </c>
      <c r="J102" s="41" t="str">
        <f aca="false">IF(G102="","",IFERROR(IF(ISNUMBER(SEARCH(Assumptions!$C$5,G102)),Assumptions!$D$5,IF(ISNUMBER(SEARCH(Assumptions!$C$6,G102)),Assumptions!$D$6,IF(ISNUMBER(SEARCH(Assumptions!$C$7,G102)),Assumptions!$D$7,"Other Services"))),"Other Services"))</f>
        <v/>
      </c>
    </row>
    <row r="103" customFormat="false" ht="15" hidden="false" customHeight="false" outlineLevel="0" collapsed="false">
      <c r="F103" s="41" t="str">
        <f aca="false">IF(E103="","",IFERROR(VLOOKUP(E103,Assumptions!$G$5:$H$16,2,0),"Other"))</f>
        <v/>
      </c>
      <c r="J103" s="41" t="str">
        <f aca="false">IF(G103="","",IFERROR(IF(ISNUMBER(SEARCH(Assumptions!$C$5,G103)),Assumptions!$D$5,IF(ISNUMBER(SEARCH(Assumptions!$C$6,G103)),Assumptions!$D$6,IF(ISNUMBER(SEARCH(Assumptions!$C$7,G103)),Assumptions!$D$7,"Other Services"))),"Other Services"))</f>
        <v/>
      </c>
    </row>
    <row r="104" customFormat="false" ht="15" hidden="false" customHeight="false" outlineLevel="0" collapsed="false">
      <c r="F104" s="41" t="str">
        <f aca="false">IF(E104="","",IFERROR(VLOOKUP(E104,Assumptions!$G$5:$H$16,2,0),"Other"))</f>
        <v/>
      </c>
      <c r="J104" s="41" t="str">
        <f aca="false">IF(G104="","",IFERROR(IF(ISNUMBER(SEARCH(Assumptions!$C$5,G104)),Assumptions!$D$5,IF(ISNUMBER(SEARCH(Assumptions!$C$6,G104)),Assumptions!$D$6,IF(ISNUMBER(SEARCH(Assumptions!$C$7,G104)),Assumptions!$D$7,"Other Services"))),"Other Services"))</f>
        <v/>
      </c>
    </row>
    <row r="105" customFormat="false" ht="15" hidden="false" customHeight="false" outlineLevel="0" collapsed="false">
      <c r="F105" s="41" t="str">
        <f aca="false">IF(E105="","",IFERROR(VLOOKUP(E105,Assumptions!$G$5:$H$16,2,0),"Other"))</f>
        <v/>
      </c>
      <c r="J105" s="41" t="str">
        <f aca="false">IF(G105="","",IFERROR(IF(ISNUMBER(SEARCH(Assumptions!$C$5,G105)),Assumptions!$D$5,IF(ISNUMBER(SEARCH(Assumptions!$C$6,G105)),Assumptions!$D$6,IF(ISNUMBER(SEARCH(Assumptions!$C$7,G105)),Assumptions!$D$7,"Other Services"))),"Other Services"))</f>
        <v/>
      </c>
    </row>
    <row r="106" customFormat="false" ht="15" hidden="false" customHeight="false" outlineLevel="0" collapsed="false">
      <c r="F106" s="41" t="str">
        <f aca="false">IF(E106="","",IFERROR(VLOOKUP(E106,Assumptions!$G$5:$H$16,2,0),"Other"))</f>
        <v/>
      </c>
      <c r="J106" s="41" t="str">
        <f aca="false">IF(G106="","",IFERROR(IF(ISNUMBER(SEARCH(Assumptions!$C$5,G106)),Assumptions!$D$5,IF(ISNUMBER(SEARCH(Assumptions!$C$6,G106)),Assumptions!$D$6,IF(ISNUMBER(SEARCH(Assumptions!$C$7,G106)),Assumptions!$D$7,"Other Services"))),"Other Services"))</f>
        <v/>
      </c>
    </row>
    <row r="107" customFormat="false" ht="15" hidden="false" customHeight="false" outlineLevel="0" collapsed="false">
      <c r="F107" s="41" t="str">
        <f aca="false">IF(E107="","",IFERROR(VLOOKUP(E107,Assumptions!$G$5:$H$16,2,0),"Other"))</f>
        <v/>
      </c>
      <c r="J107" s="41" t="str">
        <f aca="false">IF(G107="","",IFERROR(IF(ISNUMBER(SEARCH(Assumptions!$C$5,G107)),Assumptions!$D$5,IF(ISNUMBER(SEARCH(Assumptions!$C$6,G107)),Assumptions!$D$6,IF(ISNUMBER(SEARCH(Assumptions!$C$7,G107)),Assumptions!$D$7,"Other Services"))),"Other Services"))</f>
        <v/>
      </c>
    </row>
    <row r="108" customFormat="false" ht="15" hidden="false" customHeight="false" outlineLevel="0" collapsed="false">
      <c r="F108" s="41" t="str">
        <f aca="false">IF(E108="","",IFERROR(VLOOKUP(E108,Assumptions!$G$5:$H$16,2,0),"Other"))</f>
        <v/>
      </c>
      <c r="J108" s="41" t="str">
        <f aca="false">IF(G108="","",IFERROR(IF(ISNUMBER(SEARCH(Assumptions!$C$5,G108)),Assumptions!$D$5,IF(ISNUMBER(SEARCH(Assumptions!$C$6,G108)),Assumptions!$D$6,IF(ISNUMBER(SEARCH(Assumptions!$C$7,G108)),Assumptions!$D$7,"Other Services"))),"Other Services"))</f>
        <v/>
      </c>
    </row>
    <row r="109" customFormat="false" ht="15" hidden="false" customHeight="false" outlineLevel="0" collapsed="false">
      <c r="F109" s="41" t="str">
        <f aca="false">IF(E109="","",IFERROR(VLOOKUP(E109,Assumptions!$G$5:$H$16,2,0),"Other"))</f>
        <v/>
      </c>
      <c r="J109" s="41" t="str">
        <f aca="false">IF(G109="","",IFERROR(IF(ISNUMBER(SEARCH(Assumptions!$C$5,G109)),Assumptions!$D$5,IF(ISNUMBER(SEARCH(Assumptions!$C$6,G109)),Assumptions!$D$6,IF(ISNUMBER(SEARCH(Assumptions!$C$7,G109)),Assumptions!$D$7,"Other Services"))),"Other Services"))</f>
        <v/>
      </c>
    </row>
    <row r="110" customFormat="false" ht="15" hidden="false" customHeight="false" outlineLevel="0" collapsed="false">
      <c r="F110" s="41" t="str">
        <f aca="false">IF(E110="","",IFERROR(VLOOKUP(E110,Assumptions!$G$5:$H$16,2,0),"Other"))</f>
        <v/>
      </c>
      <c r="J110" s="41" t="str">
        <f aca="false">IF(G110="","",IFERROR(IF(ISNUMBER(SEARCH(Assumptions!$C$5,G110)),Assumptions!$D$5,IF(ISNUMBER(SEARCH(Assumptions!$C$6,G110)),Assumptions!$D$6,IF(ISNUMBER(SEARCH(Assumptions!$C$7,G110)),Assumptions!$D$7,"Other Services"))),"Other Services"))</f>
        <v/>
      </c>
    </row>
    <row r="111" customFormat="false" ht="15" hidden="false" customHeight="false" outlineLevel="0" collapsed="false">
      <c r="F111" s="41" t="str">
        <f aca="false">IF(E111="","",IFERROR(VLOOKUP(E111,Assumptions!$G$5:$H$16,2,0),"Other"))</f>
        <v/>
      </c>
      <c r="J111" s="41" t="str">
        <f aca="false">IF(G111="","",IFERROR(IF(ISNUMBER(SEARCH(Assumptions!$C$5,G111)),Assumptions!$D$5,IF(ISNUMBER(SEARCH(Assumptions!$C$6,G111)),Assumptions!$D$6,IF(ISNUMBER(SEARCH(Assumptions!$C$7,G111)),Assumptions!$D$7,"Other Services"))),"Other Services"))</f>
        <v/>
      </c>
    </row>
    <row r="112" customFormat="false" ht="15" hidden="false" customHeight="false" outlineLevel="0" collapsed="false">
      <c r="F112" s="41" t="str">
        <f aca="false">IF(E112="","",IFERROR(VLOOKUP(E112,Assumptions!$G$5:$H$16,2,0),"Other"))</f>
        <v/>
      </c>
      <c r="J112" s="41" t="str">
        <f aca="false">IF(G112="","",IFERROR(IF(ISNUMBER(SEARCH(Assumptions!$C$5,G112)),Assumptions!$D$5,IF(ISNUMBER(SEARCH(Assumptions!$C$6,G112)),Assumptions!$D$6,IF(ISNUMBER(SEARCH(Assumptions!$C$7,G112)),Assumptions!$D$7,"Other Services"))),"Other Services"))</f>
        <v/>
      </c>
    </row>
    <row r="113" customFormat="false" ht="15" hidden="false" customHeight="false" outlineLevel="0" collapsed="false">
      <c r="F113" s="41" t="str">
        <f aca="false">IF(E113="","",IFERROR(VLOOKUP(E113,Assumptions!$G$5:$H$16,2,0),"Other"))</f>
        <v/>
      </c>
      <c r="J113" s="41" t="str">
        <f aca="false">IF(G113="","",IFERROR(IF(ISNUMBER(SEARCH(Assumptions!$C$5,G113)),Assumptions!$D$5,IF(ISNUMBER(SEARCH(Assumptions!$C$6,G113)),Assumptions!$D$6,IF(ISNUMBER(SEARCH(Assumptions!$C$7,G113)),Assumptions!$D$7,"Other Services"))),"Other Services"))</f>
        <v/>
      </c>
    </row>
    <row r="114" customFormat="false" ht="15" hidden="false" customHeight="false" outlineLevel="0" collapsed="false">
      <c r="F114" s="41" t="str">
        <f aca="false">IF(E114="","",IFERROR(VLOOKUP(E114,Assumptions!$G$5:$H$16,2,0),"Other"))</f>
        <v/>
      </c>
      <c r="J114" s="41" t="str">
        <f aca="false">IF(G114="","",IFERROR(IF(ISNUMBER(SEARCH(Assumptions!$C$5,G114)),Assumptions!$D$5,IF(ISNUMBER(SEARCH(Assumptions!$C$6,G114)),Assumptions!$D$6,IF(ISNUMBER(SEARCH(Assumptions!$C$7,G114)),Assumptions!$D$7,"Other Services"))),"Other Services"))</f>
        <v/>
      </c>
    </row>
    <row r="115" customFormat="false" ht="15" hidden="false" customHeight="false" outlineLevel="0" collapsed="false">
      <c r="F115" s="41" t="str">
        <f aca="false">IF(E115="","",IFERROR(VLOOKUP(E115,Assumptions!$G$5:$H$16,2,0),"Other"))</f>
        <v/>
      </c>
      <c r="J115" s="41" t="str">
        <f aca="false">IF(G115="","",IFERROR(IF(ISNUMBER(SEARCH(Assumptions!$C$5,G115)),Assumptions!$D$5,IF(ISNUMBER(SEARCH(Assumptions!$C$6,G115)),Assumptions!$D$6,IF(ISNUMBER(SEARCH(Assumptions!$C$7,G115)),Assumptions!$D$7,"Other Services"))),"Other Services"))</f>
        <v/>
      </c>
    </row>
    <row r="116" customFormat="false" ht="15" hidden="false" customHeight="false" outlineLevel="0" collapsed="false">
      <c r="F116" s="41" t="str">
        <f aca="false">IF(E116="","",IFERROR(VLOOKUP(E116,Assumptions!$G$5:$H$16,2,0),"Other"))</f>
        <v/>
      </c>
      <c r="J116" s="41" t="str">
        <f aca="false">IF(G116="","",IFERROR(IF(ISNUMBER(SEARCH(Assumptions!$C$5,G116)),Assumptions!$D$5,IF(ISNUMBER(SEARCH(Assumptions!$C$6,G116)),Assumptions!$D$6,IF(ISNUMBER(SEARCH(Assumptions!$C$7,G116)),Assumptions!$D$7,"Other Services"))),"Other Services"))</f>
        <v/>
      </c>
    </row>
    <row r="117" customFormat="false" ht="15" hidden="false" customHeight="false" outlineLevel="0" collapsed="false">
      <c r="F117" s="41" t="str">
        <f aca="false">IF(E117="","",IFERROR(VLOOKUP(E117,Assumptions!$G$5:$H$16,2,0),"Other"))</f>
        <v/>
      </c>
      <c r="J117" s="41" t="str">
        <f aca="false">IF(G117="","",IFERROR(IF(ISNUMBER(SEARCH(Assumptions!$C$5,G117)),Assumptions!$D$5,IF(ISNUMBER(SEARCH(Assumptions!$C$6,G117)),Assumptions!$D$6,IF(ISNUMBER(SEARCH(Assumptions!$C$7,G117)),Assumptions!$D$7,"Other Services"))),"Other Services"))</f>
        <v/>
      </c>
    </row>
    <row r="118" customFormat="false" ht="15" hidden="false" customHeight="false" outlineLevel="0" collapsed="false">
      <c r="F118" s="41" t="str">
        <f aca="false">IF(E118="","",IFERROR(VLOOKUP(E118,Assumptions!$G$5:$H$16,2,0),"Other"))</f>
        <v/>
      </c>
      <c r="J118" s="41" t="str">
        <f aca="false">IF(G118="","",IFERROR(IF(ISNUMBER(SEARCH(Assumptions!$C$5,G118)),Assumptions!$D$5,IF(ISNUMBER(SEARCH(Assumptions!$C$6,G118)),Assumptions!$D$6,IF(ISNUMBER(SEARCH(Assumptions!$C$7,G118)),Assumptions!$D$7,"Other Services"))),"Other Services"))</f>
        <v/>
      </c>
    </row>
    <row r="119" customFormat="false" ht="15" hidden="false" customHeight="false" outlineLevel="0" collapsed="false">
      <c r="F119" s="41" t="str">
        <f aca="false">IF(E119="","",IFERROR(VLOOKUP(E119,Assumptions!$G$5:$H$16,2,0),"Other"))</f>
        <v/>
      </c>
      <c r="J119" s="41" t="str">
        <f aca="false">IF(G119="","",IFERROR(IF(ISNUMBER(SEARCH(Assumptions!$C$5,G119)),Assumptions!$D$5,IF(ISNUMBER(SEARCH(Assumptions!$C$6,G119)),Assumptions!$D$6,IF(ISNUMBER(SEARCH(Assumptions!$C$7,G119)),Assumptions!$D$7,"Other Services"))),"Other Services"))</f>
        <v/>
      </c>
    </row>
    <row r="120" customFormat="false" ht="15" hidden="false" customHeight="false" outlineLevel="0" collapsed="false">
      <c r="F120" s="41" t="str">
        <f aca="false">IF(E120="","",IFERROR(VLOOKUP(E120,Assumptions!$G$5:$H$16,2,0),"Other"))</f>
        <v/>
      </c>
      <c r="J120" s="41" t="str">
        <f aca="false">IF(G120="","",IFERROR(IF(ISNUMBER(SEARCH(Assumptions!$C$5,G120)),Assumptions!$D$5,IF(ISNUMBER(SEARCH(Assumptions!$C$6,G120)),Assumptions!$D$6,IF(ISNUMBER(SEARCH(Assumptions!$C$7,G120)),Assumptions!$D$7,"Other Services"))),"Other Services"))</f>
        <v/>
      </c>
    </row>
    <row r="121" customFormat="false" ht="15" hidden="false" customHeight="false" outlineLevel="0" collapsed="false">
      <c r="F121" s="41" t="str">
        <f aca="false">IF(E121="","",IFERROR(VLOOKUP(E121,Assumptions!$G$5:$H$16,2,0),"Other"))</f>
        <v/>
      </c>
      <c r="J121" s="41" t="str">
        <f aca="false">IF(G121="","",IFERROR(IF(ISNUMBER(SEARCH(Assumptions!$C$5,G121)),Assumptions!$D$5,IF(ISNUMBER(SEARCH(Assumptions!$C$6,G121)),Assumptions!$D$6,IF(ISNUMBER(SEARCH(Assumptions!$C$7,G121)),Assumptions!$D$7,"Other Services"))),"Other Services"))</f>
        <v/>
      </c>
    </row>
    <row r="122" customFormat="false" ht="15" hidden="false" customHeight="false" outlineLevel="0" collapsed="false">
      <c r="F122" s="41" t="str">
        <f aca="false">IF(E122="","",IFERROR(VLOOKUP(E122,Assumptions!$G$5:$H$16,2,0),"Other"))</f>
        <v/>
      </c>
      <c r="J122" s="41" t="str">
        <f aca="false">IF(G122="","",IFERROR(IF(ISNUMBER(SEARCH(Assumptions!$C$5,G122)),Assumptions!$D$5,IF(ISNUMBER(SEARCH(Assumptions!$C$6,G122)),Assumptions!$D$6,IF(ISNUMBER(SEARCH(Assumptions!$C$7,G122)),Assumptions!$D$7,"Other Services"))),"Other Services"))</f>
        <v/>
      </c>
    </row>
    <row r="123" customFormat="false" ht="15" hidden="false" customHeight="false" outlineLevel="0" collapsed="false">
      <c r="F123" s="41" t="str">
        <f aca="false">IF(E123="","",IFERROR(VLOOKUP(E123,Assumptions!$G$5:$H$16,2,0),"Other"))</f>
        <v/>
      </c>
      <c r="J123" s="41" t="str">
        <f aca="false">IF(G123="","",IFERROR(IF(ISNUMBER(SEARCH(Assumptions!$C$5,G123)),Assumptions!$D$5,IF(ISNUMBER(SEARCH(Assumptions!$C$6,G123)),Assumptions!$D$6,IF(ISNUMBER(SEARCH(Assumptions!$C$7,G123)),Assumptions!$D$7,"Other Services"))),"Other Services"))</f>
        <v/>
      </c>
    </row>
    <row r="124" customFormat="false" ht="15" hidden="false" customHeight="false" outlineLevel="0" collapsed="false">
      <c r="F124" s="41" t="str">
        <f aca="false">IF(E124="","",IFERROR(VLOOKUP(E124,Assumptions!$G$5:$H$16,2,0),"Other"))</f>
        <v/>
      </c>
      <c r="J124" s="41" t="str">
        <f aca="false">IF(G124="","",IFERROR(IF(ISNUMBER(SEARCH(Assumptions!$C$5,G124)),Assumptions!$D$5,IF(ISNUMBER(SEARCH(Assumptions!$C$6,G124)),Assumptions!$D$6,IF(ISNUMBER(SEARCH(Assumptions!$C$7,G124)),Assumptions!$D$7,"Other Services"))),"Other Services"))</f>
        <v/>
      </c>
    </row>
    <row r="125" customFormat="false" ht="15" hidden="false" customHeight="false" outlineLevel="0" collapsed="false">
      <c r="F125" s="41" t="str">
        <f aca="false">IF(E125="","",IFERROR(VLOOKUP(E125,Assumptions!$G$5:$H$16,2,0),"Other"))</f>
        <v/>
      </c>
      <c r="J125" s="41" t="str">
        <f aca="false">IF(G125="","",IFERROR(IF(ISNUMBER(SEARCH(Assumptions!$C$5,G125)),Assumptions!$D$5,IF(ISNUMBER(SEARCH(Assumptions!$C$6,G125)),Assumptions!$D$6,IF(ISNUMBER(SEARCH(Assumptions!$C$7,G125)),Assumptions!$D$7,"Other Services"))),"Other Services"))</f>
        <v/>
      </c>
    </row>
    <row r="126" customFormat="false" ht="15" hidden="false" customHeight="false" outlineLevel="0" collapsed="false">
      <c r="F126" s="41" t="str">
        <f aca="false">IF(E126="","",IFERROR(VLOOKUP(E126,Assumptions!$G$5:$H$16,2,0),"Other"))</f>
        <v/>
      </c>
      <c r="J126" s="41" t="str">
        <f aca="false">IF(G126="","",IFERROR(IF(ISNUMBER(SEARCH(Assumptions!$C$5,G126)),Assumptions!$D$5,IF(ISNUMBER(SEARCH(Assumptions!$C$6,G126)),Assumptions!$D$6,IF(ISNUMBER(SEARCH(Assumptions!$C$7,G126)),Assumptions!$D$7,"Other Services"))),"Other Services"))</f>
        <v/>
      </c>
    </row>
    <row r="127" customFormat="false" ht="15" hidden="false" customHeight="false" outlineLevel="0" collapsed="false">
      <c r="F127" s="41" t="str">
        <f aca="false">IF(E127="","",IFERROR(VLOOKUP(E127,Assumptions!$G$5:$H$16,2,0),"Other"))</f>
        <v/>
      </c>
      <c r="J127" s="41" t="str">
        <f aca="false">IF(G127="","",IFERROR(IF(ISNUMBER(SEARCH(Assumptions!$C$5,G127)),Assumptions!$D$5,IF(ISNUMBER(SEARCH(Assumptions!$C$6,G127)),Assumptions!$D$6,IF(ISNUMBER(SEARCH(Assumptions!$C$7,G127)),Assumptions!$D$7,"Other Services"))),"Other Services"))</f>
        <v/>
      </c>
    </row>
    <row r="128" customFormat="false" ht="15" hidden="false" customHeight="false" outlineLevel="0" collapsed="false">
      <c r="F128" s="41" t="str">
        <f aca="false">IF(E128="","",IFERROR(VLOOKUP(E128,Assumptions!$G$5:$H$16,2,0),"Other"))</f>
        <v/>
      </c>
      <c r="J128" s="41" t="str">
        <f aca="false">IF(G128="","",IFERROR(IF(ISNUMBER(SEARCH(Assumptions!$C$5,G128)),Assumptions!$D$5,IF(ISNUMBER(SEARCH(Assumptions!$C$6,G128)),Assumptions!$D$6,IF(ISNUMBER(SEARCH(Assumptions!$C$7,G128)),Assumptions!$D$7,"Other Services"))),"Other Services"))</f>
        <v/>
      </c>
    </row>
    <row r="129" customFormat="false" ht="15" hidden="false" customHeight="false" outlineLevel="0" collapsed="false">
      <c r="F129" s="41" t="str">
        <f aca="false">IF(E129="","",IFERROR(VLOOKUP(E129,Assumptions!$G$5:$H$16,2,0),"Other"))</f>
        <v/>
      </c>
      <c r="J129" s="41" t="str">
        <f aca="false">IF(G129="","",IFERROR(IF(ISNUMBER(SEARCH(Assumptions!$C$5,G129)),Assumptions!$D$5,IF(ISNUMBER(SEARCH(Assumptions!$C$6,G129)),Assumptions!$D$6,IF(ISNUMBER(SEARCH(Assumptions!$C$7,G129)),Assumptions!$D$7,"Other Services"))),"Other Services"))</f>
        <v/>
      </c>
    </row>
    <row r="130" customFormat="false" ht="15" hidden="false" customHeight="false" outlineLevel="0" collapsed="false">
      <c r="F130" s="41" t="str">
        <f aca="false">IF(E130="","",IFERROR(VLOOKUP(E130,Assumptions!$G$5:$H$16,2,0),"Other"))</f>
        <v/>
      </c>
      <c r="J130" s="41" t="str">
        <f aca="false">IF(G130="","",IFERROR(IF(ISNUMBER(SEARCH(Assumptions!$C$5,G130)),Assumptions!$D$5,IF(ISNUMBER(SEARCH(Assumptions!$C$6,G130)),Assumptions!$D$6,IF(ISNUMBER(SEARCH(Assumptions!$C$7,G130)),Assumptions!$D$7,"Other Services"))),"Other Services"))</f>
        <v/>
      </c>
    </row>
    <row r="131" customFormat="false" ht="15" hidden="false" customHeight="false" outlineLevel="0" collapsed="false">
      <c r="F131" s="41" t="str">
        <f aca="false">IF(E131="","",IFERROR(VLOOKUP(E131,Assumptions!$G$5:$H$16,2,0),"Other"))</f>
        <v/>
      </c>
      <c r="J131" s="41" t="str">
        <f aca="false">IF(G131="","",IFERROR(IF(ISNUMBER(SEARCH(Assumptions!$C$5,G131)),Assumptions!$D$5,IF(ISNUMBER(SEARCH(Assumptions!$C$6,G131)),Assumptions!$D$6,IF(ISNUMBER(SEARCH(Assumptions!$C$7,G131)),Assumptions!$D$7,"Other Services"))),"Other Services"))</f>
        <v/>
      </c>
    </row>
    <row r="132" customFormat="false" ht="15" hidden="false" customHeight="false" outlineLevel="0" collapsed="false">
      <c r="F132" s="41" t="str">
        <f aca="false">IF(E132="","",IFERROR(VLOOKUP(E132,Assumptions!$G$5:$H$16,2,0),"Other"))</f>
        <v/>
      </c>
      <c r="J132" s="41" t="str">
        <f aca="false">IF(G132="","",IFERROR(IF(ISNUMBER(SEARCH(Assumptions!$C$5,G132)),Assumptions!$D$5,IF(ISNUMBER(SEARCH(Assumptions!$C$6,G132)),Assumptions!$D$6,IF(ISNUMBER(SEARCH(Assumptions!$C$7,G132)),Assumptions!$D$7,"Other Services"))),"Other Services"))</f>
        <v/>
      </c>
    </row>
    <row r="133" customFormat="false" ht="15" hidden="false" customHeight="false" outlineLevel="0" collapsed="false">
      <c r="F133" s="41" t="str">
        <f aca="false">IF(E133="","",IFERROR(VLOOKUP(E133,Assumptions!$G$5:$H$16,2,0),"Other"))</f>
        <v/>
      </c>
      <c r="J133" s="41" t="str">
        <f aca="false">IF(G133="","",IFERROR(IF(ISNUMBER(SEARCH(Assumptions!$C$5,G133)),Assumptions!$D$5,IF(ISNUMBER(SEARCH(Assumptions!$C$6,G133)),Assumptions!$D$6,IF(ISNUMBER(SEARCH(Assumptions!$C$7,G133)),Assumptions!$D$7,"Other Services"))),"Other Services"))</f>
        <v/>
      </c>
    </row>
    <row r="134" customFormat="false" ht="15" hidden="false" customHeight="false" outlineLevel="0" collapsed="false">
      <c r="F134" s="41" t="str">
        <f aca="false">IF(E134="","",IFERROR(VLOOKUP(E134,Assumptions!$G$5:$H$16,2,0),"Other"))</f>
        <v/>
      </c>
      <c r="J134" s="41" t="str">
        <f aca="false">IF(G134="","",IFERROR(IF(ISNUMBER(SEARCH(Assumptions!$C$5,G134)),Assumptions!$D$5,IF(ISNUMBER(SEARCH(Assumptions!$C$6,G134)),Assumptions!$D$6,IF(ISNUMBER(SEARCH(Assumptions!$C$7,G134)),Assumptions!$D$7,"Other Services"))),"Other Services"))</f>
        <v/>
      </c>
    </row>
    <row r="135" customFormat="false" ht="15" hidden="false" customHeight="false" outlineLevel="0" collapsed="false">
      <c r="F135" s="41" t="str">
        <f aca="false">IF(E135="","",IFERROR(VLOOKUP(E135,Assumptions!$G$5:$H$16,2,0),"Other"))</f>
        <v/>
      </c>
      <c r="J135" s="41" t="str">
        <f aca="false">IF(G135="","",IFERROR(IF(ISNUMBER(SEARCH(Assumptions!$C$5,G135)),Assumptions!$D$5,IF(ISNUMBER(SEARCH(Assumptions!$C$6,G135)),Assumptions!$D$6,IF(ISNUMBER(SEARCH(Assumptions!$C$7,G135)),Assumptions!$D$7,"Other Services"))),"Other Services"))</f>
        <v/>
      </c>
    </row>
    <row r="136" customFormat="false" ht="15" hidden="false" customHeight="false" outlineLevel="0" collapsed="false">
      <c r="F136" s="41" t="str">
        <f aca="false">IF(E136="","",IFERROR(VLOOKUP(E136,Assumptions!$G$5:$H$16,2,0),"Other"))</f>
        <v/>
      </c>
      <c r="J136" s="41" t="str">
        <f aca="false">IF(G136="","",IFERROR(IF(ISNUMBER(SEARCH(Assumptions!$C$5,G136)),Assumptions!$D$5,IF(ISNUMBER(SEARCH(Assumptions!$C$6,G136)),Assumptions!$D$6,IF(ISNUMBER(SEARCH(Assumptions!$C$7,G136)),Assumptions!$D$7,"Other Services"))),"Other Services"))</f>
        <v/>
      </c>
    </row>
    <row r="137" customFormat="false" ht="15" hidden="false" customHeight="false" outlineLevel="0" collapsed="false">
      <c r="F137" s="41" t="str">
        <f aca="false">IF(E137="","",IFERROR(VLOOKUP(E137,Assumptions!$G$5:$H$16,2,0),"Other"))</f>
        <v/>
      </c>
      <c r="J137" s="41" t="str">
        <f aca="false">IF(G137="","",IFERROR(IF(ISNUMBER(SEARCH(Assumptions!$C$5,G137)),Assumptions!$D$5,IF(ISNUMBER(SEARCH(Assumptions!$C$6,G137)),Assumptions!$D$6,IF(ISNUMBER(SEARCH(Assumptions!$C$7,G137)),Assumptions!$D$7,"Other Services"))),"Other Services"))</f>
        <v/>
      </c>
    </row>
    <row r="138" customFormat="false" ht="15" hidden="false" customHeight="false" outlineLevel="0" collapsed="false">
      <c r="F138" s="41" t="str">
        <f aca="false">IF(E138="","",IFERROR(VLOOKUP(E138,Assumptions!$G$5:$H$16,2,0),"Other"))</f>
        <v/>
      </c>
      <c r="J138" s="41" t="str">
        <f aca="false">IF(G138="","",IFERROR(IF(ISNUMBER(SEARCH(Assumptions!$C$5,G138)),Assumptions!$D$5,IF(ISNUMBER(SEARCH(Assumptions!$C$6,G138)),Assumptions!$D$6,IF(ISNUMBER(SEARCH(Assumptions!$C$7,G138)),Assumptions!$D$7,"Other Services"))),"Other Services"))</f>
        <v/>
      </c>
    </row>
    <row r="139" customFormat="false" ht="15" hidden="false" customHeight="false" outlineLevel="0" collapsed="false">
      <c r="F139" s="41" t="str">
        <f aca="false">IF(E139="","",IFERROR(VLOOKUP(E139,Assumptions!$G$5:$H$16,2,0),"Other"))</f>
        <v/>
      </c>
      <c r="J139" s="41" t="str">
        <f aca="false">IF(G139="","",IFERROR(IF(ISNUMBER(SEARCH(Assumptions!$C$5,G139)),Assumptions!$D$5,IF(ISNUMBER(SEARCH(Assumptions!$C$6,G139)),Assumptions!$D$6,IF(ISNUMBER(SEARCH(Assumptions!$C$7,G139)),Assumptions!$D$7,"Other Services"))),"Other Services"))</f>
        <v/>
      </c>
    </row>
    <row r="140" customFormat="false" ht="15" hidden="false" customHeight="false" outlineLevel="0" collapsed="false">
      <c r="F140" s="41" t="str">
        <f aca="false">IF(E140="","",IFERROR(VLOOKUP(E140,Assumptions!$G$5:$H$16,2,0),"Other"))</f>
        <v/>
      </c>
      <c r="J140" s="41" t="str">
        <f aca="false">IF(G140="","",IFERROR(IF(ISNUMBER(SEARCH(Assumptions!$C$5,G140)),Assumptions!$D$5,IF(ISNUMBER(SEARCH(Assumptions!$C$6,G140)),Assumptions!$D$6,IF(ISNUMBER(SEARCH(Assumptions!$C$7,G140)),Assumptions!$D$7,"Other Services"))),"Other Services"))</f>
        <v/>
      </c>
    </row>
    <row r="141" customFormat="false" ht="15" hidden="false" customHeight="false" outlineLevel="0" collapsed="false">
      <c r="F141" s="41" t="str">
        <f aca="false">IF(E141="","",IFERROR(VLOOKUP(E141,Assumptions!$G$5:$H$16,2,0),"Other"))</f>
        <v/>
      </c>
      <c r="J141" s="41" t="str">
        <f aca="false">IF(G141="","",IFERROR(IF(ISNUMBER(SEARCH(Assumptions!$C$5,G141)),Assumptions!$D$5,IF(ISNUMBER(SEARCH(Assumptions!$C$6,G141)),Assumptions!$D$6,IF(ISNUMBER(SEARCH(Assumptions!$C$7,G141)),Assumptions!$D$7,"Other Services"))),"Other Services"))</f>
        <v/>
      </c>
    </row>
    <row r="142" customFormat="false" ht="15" hidden="false" customHeight="false" outlineLevel="0" collapsed="false">
      <c r="F142" s="41" t="str">
        <f aca="false">IF(E142="","",IFERROR(VLOOKUP(E142,Assumptions!$G$5:$H$16,2,0),"Other"))</f>
        <v/>
      </c>
      <c r="J142" s="41" t="str">
        <f aca="false">IF(G142="","",IFERROR(IF(ISNUMBER(SEARCH(Assumptions!$C$5,G142)),Assumptions!$D$5,IF(ISNUMBER(SEARCH(Assumptions!$C$6,G142)),Assumptions!$D$6,IF(ISNUMBER(SEARCH(Assumptions!$C$7,G142)),Assumptions!$D$7,"Other Services"))),"Other Services"))</f>
        <v/>
      </c>
    </row>
    <row r="143" customFormat="false" ht="15" hidden="false" customHeight="false" outlineLevel="0" collapsed="false">
      <c r="F143" s="41" t="str">
        <f aca="false">IF(E143="","",IFERROR(VLOOKUP(E143,Assumptions!$G$5:$H$16,2,0),"Other"))</f>
        <v/>
      </c>
      <c r="J143" s="41" t="str">
        <f aca="false">IF(G143="","",IFERROR(IF(ISNUMBER(SEARCH(Assumptions!$C$5,G143)),Assumptions!$D$5,IF(ISNUMBER(SEARCH(Assumptions!$C$6,G143)),Assumptions!$D$6,IF(ISNUMBER(SEARCH(Assumptions!$C$7,G143)),Assumptions!$D$7,"Other Services"))),"Other Services"))</f>
        <v/>
      </c>
    </row>
    <row r="144" customFormat="false" ht="15" hidden="false" customHeight="false" outlineLevel="0" collapsed="false">
      <c r="F144" s="41" t="str">
        <f aca="false">IF(E144="","",IFERROR(VLOOKUP(E144,Assumptions!$G$5:$H$16,2,0),"Other"))</f>
        <v/>
      </c>
      <c r="J144" s="41" t="str">
        <f aca="false">IF(G144="","",IFERROR(IF(ISNUMBER(SEARCH(Assumptions!$C$5,G144)),Assumptions!$D$5,IF(ISNUMBER(SEARCH(Assumptions!$C$6,G144)),Assumptions!$D$6,IF(ISNUMBER(SEARCH(Assumptions!$C$7,G144)),Assumptions!$D$7,"Other Services"))),"Other Services"))</f>
        <v/>
      </c>
    </row>
    <row r="145" customFormat="false" ht="15" hidden="false" customHeight="false" outlineLevel="0" collapsed="false">
      <c r="F145" s="41" t="str">
        <f aca="false">IF(E145="","",IFERROR(VLOOKUP(E145,Assumptions!$G$5:$H$16,2,0),"Other"))</f>
        <v/>
      </c>
      <c r="J145" s="41" t="str">
        <f aca="false">IF(G145="","",IFERROR(IF(ISNUMBER(SEARCH(Assumptions!$C$5,G145)),Assumptions!$D$5,IF(ISNUMBER(SEARCH(Assumptions!$C$6,G145)),Assumptions!$D$6,IF(ISNUMBER(SEARCH(Assumptions!$C$7,G145)),Assumptions!$D$7,"Other Services"))),"Other Services"))</f>
        <v/>
      </c>
    </row>
    <row r="146" customFormat="false" ht="15" hidden="false" customHeight="false" outlineLevel="0" collapsed="false">
      <c r="F146" s="41" t="str">
        <f aca="false">IF(E146="","",IFERROR(VLOOKUP(E146,Assumptions!$G$5:$H$16,2,0),"Other"))</f>
        <v/>
      </c>
      <c r="J146" s="41" t="str">
        <f aca="false">IF(G146="","",IFERROR(IF(ISNUMBER(SEARCH(Assumptions!$C$5,G146)),Assumptions!$D$5,IF(ISNUMBER(SEARCH(Assumptions!$C$6,G146)),Assumptions!$D$6,IF(ISNUMBER(SEARCH(Assumptions!$C$7,G146)),Assumptions!$D$7,"Other Services"))),"Other Services"))</f>
        <v/>
      </c>
    </row>
    <row r="147" customFormat="false" ht="15" hidden="false" customHeight="false" outlineLevel="0" collapsed="false">
      <c r="F147" s="41" t="str">
        <f aca="false">IF(E147="","",IFERROR(VLOOKUP(E147,Assumptions!$G$5:$H$16,2,0),"Other"))</f>
        <v/>
      </c>
      <c r="J147" s="41" t="str">
        <f aca="false">IF(G147="","",IFERROR(IF(ISNUMBER(SEARCH(Assumptions!$C$5,G147)),Assumptions!$D$5,IF(ISNUMBER(SEARCH(Assumptions!$C$6,G147)),Assumptions!$D$6,IF(ISNUMBER(SEARCH(Assumptions!$C$7,G147)),Assumptions!$D$7,"Other Services"))),"Other Services"))</f>
        <v/>
      </c>
    </row>
    <row r="148" customFormat="false" ht="15" hidden="false" customHeight="false" outlineLevel="0" collapsed="false">
      <c r="F148" s="41" t="str">
        <f aca="false">IF(E148="","",IFERROR(VLOOKUP(E148,Assumptions!$G$5:$H$16,2,0),"Other"))</f>
        <v/>
      </c>
      <c r="J148" s="41" t="str">
        <f aca="false">IF(G148="","",IFERROR(IF(ISNUMBER(SEARCH(Assumptions!$C$5,G148)),Assumptions!$D$5,IF(ISNUMBER(SEARCH(Assumptions!$C$6,G148)),Assumptions!$D$6,IF(ISNUMBER(SEARCH(Assumptions!$C$7,G148)),Assumptions!$D$7,"Other Services"))),"Other Services"))</f>
        <v/>
      </c>
    </row>
    <row r="149" customFormat="false" ht="15" hidden="false" customHeight="false" outlineLevel="0" collapsed="false">
      <c r="F149" s="41" t="str">
        <f aca="false">IF(E149="","",IFERROR(VLOOKUP(E149,Assumptions!$G$5:$H$16,2,0),"Other"))</f>
        <v/>
      </c>
      <c r="J149" s="41" t="str">
        <f aca="false">IF(G149="","",IFERROR(IF(ISNUMBER(SEARCH(Assumptions!$C$5,G149)),Assumptions!$D$5,IF(ISNUMBER(SEARCH(Assumptions!$C$6,G149)),Assumptions!$D$6,IF(ISNUMBER(SEARCH(Assumptions!$C$7,G149)),Assumptions!$D$7,"Other Services"))),"Other Services"))</f>
        <v/>
      </c>
    </row>
    <row r="150" customFormat="false" ht="15" hidden="false" customHeight="false" outlineLevel="0" collapsed="false">
      <c r="F150" s="41" t="str">
        <f aca="false">IF(E150="","",IFERROR(VLOOKUP(E150,Assumptions!$G$5:$H$16,2,0),"Other"))</f>
        <v/>
      </c>
      <c r="J150" s="41" t="str">
        <f aca="false">IF(G150="","",IFERROR(IF(ISNUMBER(SEARCH(Assumptions!$C$5,G150)),Assumptions!$D$5,IF(ISNUMBER(SEARCH(Assumptions!$C$6,G150)),Assumptions!$D$6,IF(ISNUMBER(SEARCH(Assumptions!$C$7,G150)),Assumptions!$D$7,"Other Services"))),"Other Services"))</f>
        <v/>
      </c>
    </row>
    <row r="151" customFormat="false" ht="15" hidden="false" customHeight="false" outlineLevel="0" collapsed="false">
      <c r="F151" s="41" t="str">
        <f aca="false">IF(E151="","",IFERROR(VLOOKUP(E151,Assumptions!$G$5:$H$16,2,0),"Other"))</f>
        <v/>
      </c>
      <c r="J151" s="41" t="str">
        <f aca="false">IF(G151="","",IFERROR(IF(ISNUMBER(SEARCH(Assumptions!$C$5,G151)),Assumptions!$D$5,IF(ISNUMBER(SEARCH(Assumptions!$C$6,G151)),Assumptions!$D$6,IF(ISNUMBER(SEARCH(Assumptions!$C$7,G151)),Assumptions!$D$7,"Other Services"))),"Other Services"))</f>
        <v/>
      </c>
    </row>
    <row r="152" customFormat="false" ht="15" hidden="false" customHeight="false" outlineLevel="0" collapsed="false">
      <c r="F152" s="41" t="str">
        <f aca="false">IF(E152="","",IFERROR(VLOOKUP(E152,Assumptions!$G$5:$H$16,2,0),"Other"))</f>
        <v/>
      </c>
      <c r="J152" s="41" t="str">
        <f aca="false">IF(G152="","",IFERROR(IF(ISNUMBER(SEARCH(Assumptions!$C$5,G152)),Assumptions!$D$5,IF(ISNUMBER(SEARCH(Assumptions!$C$6,G152)),Assumptions!$D$6,IF(ISNUMBER(SEARCH(Assumptions!$C$7,G152)),Assumptions!$D$7,"Other Services"))),"Other Services"))</f>
        <v/>
      </c>
    </row>
    <row r="153" customFormat="false" ht="15" hidden="false" customHeight="false" outlineLevel="0" collapsed="false">
      <c r="F153" s="41" t="str">
        <f aca="false">IF(E153="","",IFERROR(VLOOKUP(E153,Assumptions!$G$5:$H$16,2,0),"Other"))</f>
        <v/>
      </c>
      <c r="J153" s="41" t="str">
        <f aca="false">IF(G153="","",IFERROR(IF(ISNUMBER(SEARCH(Assumptions!$C$5,G153)),Assumptions!$D$5,IF(ISNUMBER(SEARCH(Assumptions!$C$6,G153)),Assumptions!$D$6,IF(ISNUMBER(SEARCH(Assumptions!$C$7,G153)),Assumptions!$D$7,"Other Services"))),"Other Services"))</f>
        <v/>
      </c>
    </row>
    <row r="154" customFormat="false" ht="15" hidden="false" customHeight="false" outlineLevel="0" collapsed="false">
      <c r="F154" s="41" t="str">
        <f aca="false">IF(E154="","",IFERROR(VLOOKUP(E154,Assumptions!$G$5:$H$16,2,0),"Other"))</f>
        <v/>
      </c>
      <c r="J154" s="41" t="str">
        <f aca="false">IF(G154="","",IFERROR(IF(ISNUMBER(SEARCH(Assumptions!$C$5,G154)),Assumptions!$D$5,IF(ISNUMBER(SEARCH(Assumptions!$C$6,G154)),Assumptions!$D$6,IF(ISNUMBER(SEARCH(Assumptions!$C$7,G154)),Assumptions!$D$7,"Other Services"))),"Other Services"))</f>
        <v/>
      </c>
    </row>
    <row r="155" customFormat="false" ht="15" hidden="false" customHeight="false" outlineLevel="0" collapsed="false">
      <c r="F155" s="41" t="str">
        <f aca="false">IF(E155="","",IFERROR(VLOOKUP(E155,Assumptions!$G$5:$H$16,2,0),"Other"))</f>
        <v/>
      </c>
      <c r="J155" s="41" t="str">
        <f aca="false">IF(G155="","",IFERROR(IF(ISNUMBER(SEARCH(Assumptions!$C$5,G155)),Assumptions!$D$5,IF(ISNUMBER(SEARCH(Assumptions!$C$6,G155)),Assumptions!$D$6,IF(ISNUMBER(SEARCH(Assumptions!$C$7,G155)),Assumptions!$D$7,"Other Services"))),"Other Services"))</f>
        <v/>
      </c>
    </row>
    <row r="156" customFormat="false" ht="15" hidden="false" customHeight="false" outlineLevel="0" collapsed="false">
      <c r="F156" s="41" t="str">
        <f aca="false">IF(E156="","",IFERROR(VLOOKUP(E156,Assumptions!$G$5:$H$16,2,0),"Other"))</f>
        <v/>
      </c>
      <c r="J156" s="41" t="str">
        <f aca="false">IF(G156="","",IFERROR(IF(ISNUMBER(SEARCH(Assumptions!$C$5,G156)),Assumptions!$D$5,IF(ISNUMBER(SEARCH(Assumptions!$C$6,G156)),Assumptions!$D$6,IF(ISNUMBER(SEARCH(Assumptions!$C$7,G156)),Assumptions!$D$7,"Other Services"))),"Other Services"))</f>
        <v/>
      </c>
    </row>
    <row r="157" customFormat="false" ht="15" hidden="false" customHeight="false" outlineLevel="0" collapsed="false">
      <c r="F157" s="41" t="str">
        <f aca="false">IF(E157="","",IFERROR(VLOOKUP(E157,Assumptions!$G$5:$H$16,2,0),"Other"))</f>
        <v/>
      </c>
      <c r="J157" s="41" t="str">
        <f aca="false">IF(G157="","",IFERROR(IF(ISNUMBER(SEARCH(Assumptions!$C$5,G157)),Assumptions!$D$5,IF(ISNUMBER(SEARCH(Assumptions!$C$6,G157)),Assumptions!$D$6,IF(ISNUMBER(SEARCH(Assumptions!$C$7,G157)),Assumptions!$D$7,"Other Services"))),"Other Services"))</f>
        <v/>
      </c>
    </row>
    <row r="158" customFormat="false" ht="15" hidden="false" customHeight="false" outlineLevel="0" collapsed="false">
      <c r="F158" s="41" t="str">
        <f aca="false">IF(E158="","",IFERROR(VLOOKUP(E158,Assumptions!$G$5:$H$16,2,0),"Other"))</f>
        <v/>
      </c>
      <c r="J158" s="41" t="str">
        <f aca="false">IF(G158="","",IFERROR(IF(ISNUMBER(SEARCH(Assumptions!$C$5,G158)),Assumptions!$D$5,IF(ISNUMBER(SEARCH(Assumptions!$C$6,G158)),Assumptions!$D$6,IF(ISNUMBER(SEARCH(Assumptions!$C$7,G158)),Assumptions!$D$7,"Other Services"))),"Other Services"))</f>
        <v/>
      </c>
    </row>
    <row r="159" customFormat="false" ht="15" hidden="false" customHeight="false" outlineLevel="0" collapsed="false">
      <c r="F159" s="41" t="str">
        <f aca="false">IF(E159="","",IFERROR(VLOOKUP(E159,Assumptions!$G$5:$H$16,2,0),"Other"))</f>
        <v/>
      </c>
      <c r="J159" s="41" t="str">
        <f aca="false">IF(G159="","",IFERROR(IF(ISNUMBER(SEARCH(Assumptions!$C$5,G159)),Assumptions!$D$5,IF(ISNUMBER(SEARCH(Assumptions!$C$6,G159)),Assumptions!$D$6,IF(ISNUMBER(SEARCH(Assumptions!$C$7,G159)),Assumptions!$D$7,"Other Services"))),"Other Services"))</f>
        <v/>
      </c>
    </row>
    <row r="160" customFormat="false" ht="15" hidden="false" customHeight="false" outlineLevel="0" collapsed="false">
      <c r="F160" s="41" t="str">
        <f aca="false">IF(E160="","",IFERROR(VLOOKUP(E160,Assumptions!$G$5:$H$16,2,0),"Other"))</f>
        <v/>
      </c>
      <c r="J160" s="41" t="str">
        <f aca="false">IF(G160="","",IFERROR(IF(ISNUMBER(SEARCH(Assumptions!$C$5,G160)),Assumptions!$D$5,IF(ISNUMBER(SEARCH(Assumptions!$C$6,G160)),Assumptions!$D$6,IF(ISNUMBER(SEARCH(Assumptions!$C$7,G160)),Assumptions!$D$7,"Other Services"))),"Other Services"))</f>
        <v/>
      </c>
    </row>
    <row r="161" customFormat="false" ht="15" hidden="false" customHeight="false" outlineLevel="0" collapsed="false">
      <c r="F161" s="41" t="str">
        <f aca="false">IF(E161="","",IFERROR(VLOOKUP(E161,Assumptions!$G$5:$H$16,2,0),"Other"))</f>
        <v/>
      </c>
      <c r="J161" s="41" t="str">
        <f aca="false">IF(G161="","",IFERROR(IF(ISNUMBER(SEARCH(Assumptions!$C$5,G161)),Assumptions!$D$5,IF(ISNUMBER(SEARCH(Assumptions!$C$6,G161)),Assumptions!$D$6,IF(ISNUMBER(SEARCH(Assumptions!$C$7,G161)),Assumptions!$D$7,"Other Services"))),"Other Services"))</f>
        <v/>
      </c>
    </row>
    <row r="162" customFormat="false" ht="15" hidden="false" customHeight="false" outlineLevel="0" collapsed="false">
      <c r="F162" s="41" t="str">
        <f aca="false">IF(E162="","",IFERROR(VLOOKUP(E162,Assumptions!$G$5:$H$16,2,0),"Other"))</f>
        <v/>
      </c>
      <c r="J162" s="41" t="str">
        <f aca="false">IF(G162="","",IFERROR(IF(ISNUMBER(SEARCH(Assumptions!$C$5,G162)),Assumptions!$D$5,IF(ISNUMBER(SEARCH(Assumptions!$C$6,G162)),Assumptions!$D$6,IF(ISNUMBER(SEARCH(Assumptions!$C$7,G162)),Assumptions!$D$7,"Other Services"))),"Other Services"))</f>
        <v/>
      </c>
    </row>
    <row r="163" customFormat="false" ht="15" hidden="false" customHeight="false" outlineLevel="0" collapsed="false">
      <c r="F163" s="41" t="str">
        <f aca="false">IF(E163="","",IFERROR(VLOOKUP(E163,Assumptions!$G$5:$H$16,2,0),"Other"))</f>
        <v/>
      </c>
      <c r="J163" s="41" t="str">
        <f aca="false">IF(G163="","",IFERROR(IF(ISNUMBER(SEARCH(Assumptions!$C$5,G163)),Assumptions!$D$5,IF(ISNUMBER(SEARCH(Assumptions!$C$6,G163)),Assumptions!$D$6,IF(ISNUMBER(SEARCH(Assumptions!$C$7,G163)),Assumptions!$D$7,"Other Services"))),"Other Services"))</f>
        <v/>
      </c>
    </row>
    <row r="164" customFormat="false" ht="15" hidden="false" customHeight="false" outlineLevel="0" collapsed="false">
      <c r="F164" s="41" t="str">
        <f aca="false">IF(E164="","",IFERROR(VLOOKUP(E164,Assumptions!$G$5:$H$16,2,0),"Other"))</f>
        <v/>
      </c>
      <c r="J164" s="41" t="str">
        <f aca="false">IF(G164="","",IFERROR(IF(ISNUMBER(SEARCH(Assumptions!$C$5,G164)),Assumptions!$D$5,IF(ISNUMBER(SEARCH(Assumptions!$C$6,G164)),Assumptions!$D$6,IF(ISNUMBER(SEARCH(Assumptions!$C$7,G164)),Assumptions!$D$7,"Other Services"))),"Other Services"))</f>
        <v/>
      </c>
    </row>
    <row r="165" customFormat="false" ht="15" hidden="false" customHeight="false" outlineLevel="0" collapsed="false">
      <c r="F165" s="41" t="str">
        <f aca="false">IF(E165="","",IFERROR(VLOOKUP(E165,Assumptions!$G$5:$H$16,2,0),"Other"))</f>
        <v/>
      </c>
      <c r="J165" s="41" t="str">
        <f aca="false">IF(G165="","",IFERROR(IF(ISNUMBER(SEARCH(Assumptions!$C$5,G165)),Assumptions!$D$5,IF(ISNUMBER(SEARCH(Assumptions!$C$6,G165)),Assumptions!$D$6,IF(ISNUMBER(SEARCH(Assumptions!$C$7,G165)),Assumptions!$D$7,"Other Services"))),"Other Services"))</f>
        <v/>
      </c>
    </row>
    <row r="166" customFormat="false" ht="15" hidden="false" customHeight="false" outlineLevel="0" collapsed="false">
      <c r="F166" s="41" t="str">
        <f aca="false">IF(E166="","",IFERROR(VLOOKUP(E166,Assumptions!$G$5:$H$16,2,0),"Other"))</f>
        <v/>
      </c>
      <c r="J166" s="41" t="str">
        <f aca="false">IF(G166="","",IFERROR(IF(ISNUMBER(SEARCH(Assumptions!$C$5,G166)),Assumptions!$D$5,IF(ISNUMBER(SEARCH(Assumptions!$C$6,G166)),Assumptions!$D$6,IF(ISNUMBER(SEARCH(Assumptions!$C$7,G166)),Assumptions!$D$7,"Other Services"))),"Other Services"))</f>
        <v/>
      </c>
    </row>
    <row r="167" customFormat="false" ht="15" hidden="false" customHeight="false" outlineLevel="0" collapsed="false">
      <c r="F167" s="41" t="str">
        <f aca="false">IF(E167="","",IFERROR(VLOOKUP(E167,Assumptions!$G$5:$H$16,2,0),"Other"))</f>
        <v/>
      </c>
      <c r="J167" s="41" t="str">
        <f aca="false">IF(G167="","",IFERROR(IF(ISNUMBER(SEARCH(Assumptions!$C$5,G167)),Assumptions!$D$5,IF(ISNUMBER(SEARCH(Assumptions!$C$6,G167)),Assumptions!$D$6,IF(ISNUMBER(SEARCH(Assumptions!$C$7,G167)),Assumptions!$D$7,"Other Services"))),"Other Services"))</f>
        <v/>
      </c>
    </row>
    <row r="168" customFormat="false" ht="15" hidden="false" customHeight="false" outlineLevel="0" collapsed="false">
      <c r="F168" s="41" t="str">
        <f aca="false">IF(E168="","",IFERROR(VLOOKUP(E168,Assumptions!$G$5:$H$16,2,0),"Other"))</f>
        <v/>
      </c>
      <c r="J168" s="41" t="str">
        <f aca="false">IF(G168="","",IFERROR(IF(ISNUMBER(SEARCH(Assumptions!$C$5,G168)),Assumptions!$D$5,IF(ISNUMBER(SEARCH(Assumptions!$C$6,G168)),Assumptions!$D$6,IF(ISNUMBER(SEARCH(Assumptions!$C$7,G168)),Assumptions!$D$7,"Other Services"))),"Other Services"))</f>
        <v/>
      </c>
    </row>
    <row r="169" customFormat="false" ht="15" hidden="false" customHeight="false" outlineLevel="0" collapsed="false">
      <c r="F169" s="41" t="str">
        <f aca="false">IF(E169="","",IFERROR(VLOOKUP(E169,Assumptions!$G$5:$H$16,2,0),"Other"))</f>
        <v/>
      </c>
      <c r="J169" s="41" t="str">
        <f aca="false">IF(G169="","",IFERROR(IF(ISNUMBER(SEARCH(Assumptions!$C$5,G169)),Assumptions!$D$5,IF(ISNUMBER(SEARCH(Assumptions!$C$6,G169)),Assumptions!$D$6,IF(ISNUMBER(SEARCH(Assumptions!$C$7,G169)),Assumptions!$D$7,"Other Services"))),"Other Services"))</f>
        <v/>
      </c>
    </row>
    <row r="170" customFormat="false" ht="15" hidden="false" customHeight="false" outlineLevel="0" collapsed="false">
      <c r="F170" s="41" t="str">
        <f aca="false">IF(E170="","",IFERROR(VLOOKUP(E170,Assumptions!$G$5:$H$16,2,0),"Other"))</f>
        <v/>
      </c>
      <c r="J170" s="41" t="str">
        <f aca="false">IF(G170="","",IFERROR(IF(ISNUMBER(SEARCH(Assumptions!$C$5,G170)),Assumptions!$D$5,IF(ISNUMBER(SEARCH(Assumptions!$C$6,G170)),Assumptions!$D$6,IF(ISNUMBER(SEARCH(Assumptions!$C$7,G170)),Assumptions!$D$7,"Other Services"))),"Other Services"))</f>
        <v/>
      </c>
    </row>
    <row r="171" customFormat="false" ht="15" hidden="false" customHeight="false" outlineLevel="0" collapsed="false">
      <c r="F171" s="41" t="str">
        <f aca="false">IF(E171="","",IFERROR(VLOOKUP(E171,Assumptions!$G$5:$H$16,2,0),"Other"))</f>
        <v/>
      </c>
      <c r="J171" s="41" t="str">
        <f aca="false">IF(G171="","",IFERROR(IF(ISNUMBER(SEARCH(Assumptions!$C$5,G171)),Assumptions!$D$5,IF(ISNUMBER(SEARCH(Assumptions!$C$6,G171)),Assumptions!$D$6,IF(ISNUMBER(SEARCH(Assumptions!$C$7,G171)),Assumptions!$D$7,"Other Services"))),"Other Services"))</f>
        <v/>
      </c>
    </row>
    <row r="172" customFormat="false" ht="15" hidden="false" customHeight="false" outlineLevel="0" collapsed="false">
      <c r="F172" s="41" t="str">
        <f aca="false">IF(E172="","",IFERROR(VLOOKUP(E172,Assumptions!$G$5:$H$16,2,0),"Other"))</f>
        <v/>
      </c>
      <c r="J172" s="41" t="str">
        <f aca="false">IF(G172="","",IFERROR(IF(ISNUMBER(SEARCH(Assumptions!$C$5,G172)),Assumptions!$D$5,IF(ISNUMBER(SEARCH(Assumptions!$C$6,G172)),Assumptions!$D$6,IF(ISNUMBER(SEARCH(Assumptions!$C$7,G172)),Assumptions!$D$7,"Other Services"))),"Other Services"))</f>
        <v/>
      </c>
    </row>
    <row r="173" customFormat="false" ht="15" hidden="false" customHeight="false" outlineLevel="0" collapsed="false">
      <c r="F173" s="41" t="str">
        <f aca="false">IF(E173="","",IFERROR(VLOOKUP(E173,Assumptions!$G$5:$H$16,2,0),"Other"))</f>
        <v/>
      </c>
      <c r="J173" s="41" t="str">
        <f aca="false">IF(G173="","",IFERROR(IF(ISNUMBER(SEARCH(Assumptions!$C$5,G173)),Assumptions!$D$5,IF(ISNUMBER(SEARCH(Assumptions!$C$6,G173)),Assumptions!$D$6,IF(ISNUMBER(SEARCH(Assumptions!$C$7,G173)),Assumptions!$D$7,"Other Services"))),"Other Services"))</f>
        <v/>
      </c>
    </row>
    <row r="174" customFormat="false" ht="15" hidden="false" customHeight="false" outlineLevel="0" collapsed="false">
      <c r="F174" s="41" t="str">
        <f aca="false">IF(E174="","",IFERROR(VLOOKUP(E174,Assumptions!$G$5:$H$16,2,0),"Other"))</f>
        <v/>
      </c>
      <c r="J174" s="41" t="str">
        <f aca="false">IF(G174="","",IFERROR(IF(ISNUMBER(SEARCH(Assumptions!$C$5,G174)),Assumptions!$D$5,IF(ISNUMBER(SEARCH(Assumptions!$C$6,G174)),Assumptions!$D$6,IF(ISNUMBER(SEARCH(Assumptions!$C$7,G174)),Assumptions!$D$7,"Other Services"))),"Other Services"))</f>
        <v/>
      </c>
    </row>
    <row r="175" customFormat="false" ht="15" hidden="false" customHeight="false" outlineLevel="0" collapsed="false">
      <c r="F175" s="41" t="str">
        <f aca="false">IF(E175="","",IFERROR(VLOOKUP(E175,Assumptions!$G$5:$H$16,2,0),"Other"))</f>
        <v/>
      </c>
      <c r="J175" s="41" t="str">
        <f aca="false">IF(G175="","",IFERROR(IF(ISNUMBER(SEARCH(Assumptions!$C$5,G175)),Assumptions!$D$5,IF(ISNUMBER(SEARCH(Assumptions!$C$6,G175)),Assumptions!$D$6,IF(ISNUMBER(SEARCH(Assumptions!$C$7,G175)),Assumptions!$D$7,"Other Services"))),"Other Services"))</f>
        <v/>
      </c>
    </row>
    <row r="176" customFormat="false" ht="15" hidden="false" customHeight="false" outlineLevel="0" collapsed="false">
      <c r="F176" s="41" t="str">
        <f aca="false">IF(E176="","",IFERROR(VLOOKUP(E176,Assumptions!$G$5:$H$16,2,0),"Other"))</f>
        <v/>
      </c>
      <c r="J176" s="41" t="str">
        <f aca="false">IF(G176="","",IFERROR(IF(ISNUMBER(SEARCH(Assumptions!$C$5,G176)),Assumptions!$D$5,IF(ISNUMBER(SEARCH(Assumptions!$C$6,G176)),Assumptions!$D$6,IF(ISNUMBER(SEARCH(Assumptions!$C$7,G176)),Assumptions!$D$7,"Other Services"))),"Other Services"))</f>
        <v/>
      </c>
    </row>
    <row r="177" customFormat="false" ht="15" hidden="false" customHeight="false" outlineLevel="0" collapsed="false">
      <c r="F177" s="41" t="str">
        <f aca="false">IF(E177="","",IFERROR(VLOOKUP(E177,Assumptions!$G$5:$H$16,2,0),"Other"))</f>
        <v/>
      </c>
      <c r="J177" s="41" t="str">
        <f aca="false">IF(G177="","",IFERROR(IF(ISNUMBER(SEARCH(Assumptions!$C$5,G177)),Assumptions!$D$5,IF(ISNUMBER(SEARCH(Assumptions!$C$6,G177)),Assumptions!$D$6,IF(ISNUMBER(SEARCH(Assumptions!$C$7,G177)),Assumptions!$D$7,"Other Services"))),"Other Services"))</f>
        <v/>
      </c>
    </row>
    <row r="178" customFormat="false" ht="15" hidden="false" customHeight="false" outlineLevel="0" collapsed="false">
      <c r="F178" s="41" t="str">
        <f aca="false">IF(E178="","",IFERROR(VLOOKUP(E178,Assumptions!$G$5:$H$16,2,0),"Other"))</f>
        <v/>
      </c>
      <c r="J178" s="41" t="str">
        <f aca="false">IF(G178="","",IFERROR(IF(ISNUMBER(SEARCH(Assumptions!$C$5,G178)),Assumptions!$D$5,IF(ISNUMBER(SEARCH(Assumptions!$C$6,G178)),Assumptions!$D$6,IF(ISNUMBER(SEARCH(Assumptions!$C$7,G178)),Assumptions!$D$7,"Other Services"))),"Other Services"))</f>
        <v/>
      </c>
    </row>
    <row r="179" customFormat="false" ht="15" hidden="false" customHeight="false" outlineLevel="0" collapsed="false">
      <c r="F179" s="41" t="str">
        <f aca="false">IF(E179="","",IFERROR(VLOOKUP(E179,Assumptions!$G$5:$H$16,2,0),"Other"))</f>
        <v/>
      </c>
      <c r="J179" s="41" t="str">
        <f aca="false">IF(G179="","",IFERROR(IF(ISNUMBER(SEARCH(Assumptions!$C$5,G179)),Assumptions!$D$5,IF(ISNUMBER(SEARCH(Assumptions!$C$6,G179)),Assumptions!$D$6,IF(ISNUMBER(SEARCH(Assumptions!$C$7,G179)),Assumptions!$D$7,"Other Services"))),"Other Services"))</f>
        <v/>
      </c>
    </row>
    <row r="180" customFormat="false" ht="15" hidden="false" customHeight="false" outlineLevel="0" collapsed="false">
      <c r="F180" s="41" t="str">
        <f aca="false">IF(E180="","",IFERROR(VLOOKUP(E180,Assumptions!$G$5:$H$16,2,0),"Other"))</f>
        <v/>
      </c>
      <c r="J180" s="41" t="str">
        <f aca="false">IF(G180="","",IFERROR(IF(ISNUMBER(SEARCH(Assumptions!$C$5,G180)),Assumptions!$D$5,IF(ISNUMBER(SEARCH(Assumptions!$C$6,G180)),Assumptions!$D$6,IF(ISNUMBER(SEARCH(Assumptions!$C$7,G180)),Assumptions!$D$7,"Other Services"))),"Other Services"))</f>
        <v/>
      </c>
    </row>
    <row r="181" customFormat="false" ht="15" hidden="false" customHeight="false" outlineLevel="0" collapsed="false">
      <c r="F181" s="41" t="str">
        <f aca="false">IF(E181="","",IFERROR(VLOOKUP(E181,Assumptions!$G$5:$H$16,2,0),"Other"))</f>
        <v/>
      </c>
      <c r="J181" s="41" t="str">
        <f aca="false">IF(G181="","",IFERROR(IF(ISNUMBER(SEARCH(Assumptions!$C$5,G181)),Assumptions!$D$5,IF(ISNUMBER(SEARCH(Assumptions!$C$6,G181)),Assumptions!$D$6,IF(ISNUMBER(SEARCH(Assumptions!$C$7,G181)),Assumptions!$D$7,"Other Services"))),"Other Services"))</f>
        <v/>
      </c>
    </row>
    <row r="182" customFormat="false" ht="15" hidden="false" customHeight="false" outlineLevel="0" collapsed="false">
      <c r="F182" s="41" t="str">
        <f aca="false">IF(E182="","",IFERROR(VLOOKUP(E182,Assumptions!$G$5:$H$16,2,0),"Other"))</f>
        <v/>
      </c>
      <c r="J182" s="41" t="str">
        <f aca="false">IF(G182="","",IFERROR(IF(ISNUMBER(SEARCH(Assumptions!$C$5,G182)),Assumptions!$D$5,IF(ISNUMBER(SEARCH(Assumptions!$C$6,G182)),Assumptions!$D$6,IF(ISNUMBER(SEARCH(Assumptions!$C$7,G182)),Assumptions!$D$7,"Other Services"))),"Other Services"))</f>
        <v/>
      </c>
    </row>
    <row r="183" customFormat="false" ht="15" hidden="false" customHeight="false" outlineLevel="0" collapsed="false">
      <c r="F183" s="41" t="str">
        <f aca="false">IF(E183="","",IFERROR(VLOOKUP(E183,Assumptions!$G$5:$H$16,2,0),"Other"))</f>
        <v/>
      </c>
      <c r="J183" s="41" t="str">
        <f aca="false">IF(G183="","",IFERROR(IF(ISNUMBER(SEARCH(Assumptions!$C$5,G183)),Assumptions!$D$5,IF(ISNUMBER(SEARCH(Assumptions!$C$6,G183)),Assumptions!$D$6,IF(ISNUMBER(SEARCH(Assumptions!$C$7,G183)),Assumptions!$D$7,"Other Services"))),"Other Services"))</f>
        <v/>
      </c>
    </row>
    <row r="184" customFormat="false" ht="15" hidden="false" customHeight="false" outlineLevel="0" collapsed="false">
      <c r="F184" s="41" t="str">
        <f aca="false">IF(E184="","",IFERROR(VLOOKUP(E184,Assumptions!$G$5:$H$16,2,0),"Other"))</f>
        <v/>
      </c>
      <c r="J184" s="41" t="str">
        <f aca="false">IF(G184="","",IFERROR(IF(ISNUMBER(SEARCH(Assumptions!$C$5,G184)),Assumptions!$D$5,IF(ISNUMBER(SEARCH(Assumptions!$C$6,G184)),Assumptions!$D$6,IF(ISNUMBER(SEARCH(Assumptions!$C$7,G184)),Assumptions!$D$7,"Other Services"))),"Other Services"))</f>
        <v/>
      </c>
    </row>
    <row r="185" customFormat="false" ht="15" hidden="false" customHeight="false" outlineLevel="0" collapsed="false">
      <c r="F185" s="41" t="str">
        <f aca="false">IF(E185="","",IFERROR(VLOOKUP(E185,Assumptions!$G$5:$H$16,2,0),"Other"))</f>
        <v/>
      </c>
      <c r="J185" s="41" t="str">
        <f aca="false">IF(G185="","",IFERROR(IF(ISNUMBER(SEARCH(Assumptions!$C$5,G185)),Assumptions!$D$5,IF(ISNUMBER(SEARCH(Assumptions!$C$6,G185)),Assumptions!$D$6,IF(ISNUMBER(SEARCH(Assumptions!$C$7,G185)),Assumptions!$D$7,"Other Services"))),"Other Services"))</f>
        <v/>
      </c>
    </row>
    <row r="186" customFormat="false" ht="15" hidden="false" customHeight="false" outlineLevel="0" collapsed="false">
      <c r="F186" s="41" t="str">
        <f aca="false">IF(E186="","",IFERROR(VLOOKUP(E186,Assumptions!$G$5:$H$16,2,0),"Other"))</f>
        <v/>
      </c>
      <c r="J186" s="41" t="str">
        <f aca="false">IF(G186="","",IFERROR(IF(ISNUMBER(SEARCH(Assumptions!$C$5,G186)),Assumptions!$D$5,IF(ISNUMBER(SEARCH(Assumptions!$C$6,G186)),Assumptions!$D$6,IF(ISNUMBER(SEARCH(Assumptions!$C$7,G186)),Assumptions!$D$7,"Other Services"))),"Other Services"))</f>
        <v/>
      </c>
    </row>
    <row r="187" customFormat="false" ht="15" hidden="false" customHeight="false" outlineLevel="0" collapsed="false">
      <c r="F187" s="41" t="str">
        <f aca="false">IF(E187="","",IFERROR(VLOOKUP(E187,Assumptions!$G$5:$H$16,2,0),"Other"))</f>
        <v/>
      </c>
      <c r="J187" s="41" t="str">
        <f aca="false">IF(G187="","",IFERROR(IF(ISNUMBER(SEARCH(Assumptions!$C$5,G187)),Assumptions!$D$5,IF(ISNUMBER(SEARCH(Assumptions!$C$6,G187)),Assumptions!$D$6,IF(ISNUMBER(SEARCH(Assumptions!$C$7,G187)),Assumptions!$D$7,"Other Services"))),"Other Services"))</f>
        <v/>
      </c>
    </row>
    <row r="188" customFormat="false" ht="15" hidden="false" customHeight="false" outlineLevel="0" collapsed="false">
      <c r="F188" s="41" t="str">
        <f aca="false">IF(E188="","",IFERROR(VLOOKUP(E188,Assumptions!$G$5:$H$16,2,0),"Other"))</f>
        <v/>
      </c>
      <c r="J188" s="41" t="str">
        <f aca="false">IF(G188="","",IFERROR(IF(ISNUMBER(SEARCH(Assumptions!$C$5,G188)),Assumptions!$D$5,IF(ISNUMBER(SEARCH(Assumptions!$C$6,G188)),Assumptions!$D$6,IF(ISNUMBER(SEARCH(Assumptions!$C$7,G188)),Assumptions!$D$7,"Other Services"))),"Other Services"))</f>
        <v/>
      </c>
    </row>
    <row r="189" customFormat="false" ht="15" hidden="false" customHeight="false" outlineLevel="0" collapsed="false">
      <c r="F189" s="41" t="str">
        <f aca="false">IF(E189="","",IFERROR(VLOOKUP(E189,Assumptions!$G$5:$H$16,2,0),"Other"))</f>
        <v/>
      </c>
      <c r="J189" s="41" t="str">
        <f aca="false">IF(G189="","",IFERROR(IF(ISNUMBER(SEARCH(Assumptions!$C$5,G189)),Assumptions!$D$5,IF(ISNUMBER(SEARCH(Assumptions!$C$6,G189)),Assumptions!$D$6,IF(ISNUMBER(SEARCH(Assumptions!$C$7,G189)),Assumptions!$D$7,"Other Services"))),"Other Services"))</f>
        <v/>
      </c>
    </row>
    <row r="190" customFormat="false" ht="15" hidden="false" customHeight="false" outlineLevel="0" collapsed="false">
      <c r="F190" s="41" t="str">
        <f aca="false">IF(E190="","",IFERROR(VLOOKUP(E190,Assumptions!$G$5:$H$16,2,0),"Other"))</f>
        <v/>
      </c>
      <c r="J190" s="41" t="str">
        <f aca="false">IF(G190="","",IFERROR(IF(ISNUMBER(SEARCH(Assumptions!$C$5,G190)),Assumptions!$D$5,IF(ISNUMBER(SEARCH(Assumptions!$C$6,G190)),Assumptions!$D$6,IF(ISNUMBER(SEARCH(Assumptions!$C$7,G190)),Assumptions!$D$7,"Other Services"))),"Other Services"))</f>
        <v/>
      </c>
    </row>
    <row r="191" customFormat="false" ht="15" hidden="false" customHeight="false" outlineLevel="0" collapsed="false">
      <c r="F191" s="41" t="str">
        <f aca="false">IF(E191="","",IFERROR(VLOOKUP(E191,Assumptions!$G$5:$H$16,2,0),"Other"))</f>
        <v/>
      </c>
      <c r="J191" s="41" t="str">
        <f aca="false">IF(G191="","",IFERROR(IF(ISNUMBER(SEARCH(Assumptions!$C$5,G191)),Assumptions!$D$5,IF(ISNUMBER(SEARCH(Assumptions!$C$6,G191)),Assumptions!$D$6,IF(ISNUMBER(SEARCH(Assumptions!$C$7,G191)),Assumptions!$D$7,"Other Services"))),"Other Services"))</f>
        <v/>
      </c>
    </row>
    <row r="192" customFormat="false" ht="15" hidden="false" customHeight="false" outlineLevel="0" collapsed="false">
      <c r="F192" s="41" t="str">
        <f aca="false">IF(E192="","",IFERROR(VLOOKUP(E192,Assumptions!$G$5:$H$16,2,0),"Other"))</f>
        <v/>
      </c>
      <c r="J192" s="41" t="str">
        <f aca="false">IF(G192="","",IFERROR(IF(ISNUMBER(SEARCH(Assumptions!$C$5,G192)),Assumptions!$D$5,IF(ISNUMBER(SEARCH(Assumptions!$C$6,G192)),Assumptions!$D$6,IF(ISNUMBER(SEARCH(Assumptions!$C$7,G192)),Assumptions!$D$7,"Other Services"))),"Other Services"))</f>
        <v/>
      </c>
    </row>
    <row r="193" customFormat="false" ht="15" hidden="false" customHeight="false" outlineLevel="0" collapsed="false">
      <c r="F193" s="41" t="str">
        <f aca="false">IF(E193="","",IFERROR(VLOOKUP(E193,Assumptions!$G$5:$H$16,2,0),"Other"))</f>
        <v/>
      </c>
      <c r="J193" s="41" t="str">
        <f aca="false">IF(G193="","",IFERROR(IF(ISNUMBER(SEARCH(Assumptions!$C$5,G193)),Assumptions!$D$5,IF(ISNUMBER(SEARCH(Assumptions!$C$6,G193)),Assumptions!$D$6,IF(ISNUMBER(SEARCH(Assumptions!$C$7,G193)),Assumptions!$D$7,"Other Services"))),"Other Services"))</f>
        <v/>
      </c>
    </row>
    <row r="194" customFormat="false" ht="15" hidden="false" customHeight="false" outlineLevel="0" collapsed="false">
      <c r="F194" s="41" t="str">
        <f aca="false">IF(E194="","",IFERROR(VLOOKUP(E194,Assumptions!$G$5:$H$16,2,0),"Other"))</f>
        <v/>
      </c>
      <c r="J194" s="41" t="str">
        <f aca="false">IF(G194="","",IFERROR(IF(ISNUMBER(SEARCH(Assumptions!$C$5,G194)),Assumptions!$D$5,IF(ISNUMBER(SEARCH(Assumptions!$C$6,G194)),Assumptions!$D$6,IF(ISNUMBER(SEARCH(Assumptions!$C$7,G194)),Assumptions!$D$7,"Other Services"))),"Other Services"))</f>
        <v/>
      </c>
    </row>
    <row r="195" customFormat="false" ht="15" hidden="false" customHeight="false" outlineLevel="0" collapsed="false">
      <c r="F195" s="41" t="str">
        <f aca="false">IF(E195="","",IFERROR(VLOOKUP(E195,Assumptions!$G$5:$H$16,2,0),"Other"))</f>
        <v/>
      </c>
      <c r="J195" s="41" t="str">
        <f aca="false">IF(G195="","",IFERROR(IF(ISNUMBER(SEARCH(Assumptions!$C$5,G195)),Assumptions!$D$5,IF(ISNUMBER(SEARCH(Assumptions!$C$6,G195)),Assumptions!$D$6,IF(ISNUMBER(SEARCH(Assumptions!$C$7,G195)),Assumptions!$D$7,"Other Services"))),"Other Services"))</f>
        <v/>
      </c>
    </row>
    <row r="196" customFormat="false" ht="15" hidden="false" customHeight="false" outlineLevel="0" collapsed="false">
      <c r="F196" s="41" t="str">
        <f aca="false">IF(E196="","",IFERROR(VLOOKUP(E196,Assumptions!$G$5:$H$16,2,0),"Other"))</f>
        <v/>
      </c>
      <c r="J196" s="41" t="str">
        <f aca="false">IF(G196="","",IFERROR(IF(ISNUMBER(SEARCH(Assumptions!$C$5,G196)),Assumptions!$D$5,IF(ISNUMBER(SEARCH(Assumptions!$C$6,G196)),Assumptions!$D$6,IF(ISNUMBER(SEARCH(Assumptions!$C$7,G196)),Assumptions!$D$7,"Other Services"))),"Other Services"))</f>
        <v/>
      </c>
    </row>
    <row r="197" customFormat="false" ht="15" hidden="false" customHeight="false" outlineLevel="0" collapsed="false">
      <c r="F197" s="41" t="str">
        <f aca="false">IF(E197="","",IFERROR(VLOOKUP(E197,Assumptions!$G$5:$H$16,2,0),"Other"))</f>
        <v/>
      </c>
      <c r="J197" s="41" t="str">
        <f aca="false">IF(G197="","",IFERROR(IF(ISNUMBER(SEARCH(Assumptions!$C$5,G197)),Assumptions!$D$5,IF(ISNUMBER(SEARCH(Assumptions!$C$6,G197)),Assumptions!$D$6,IF(ISNUMBER(SEARCH(Assumptions!$C$7,G197)),Assumptions!$D$7,"Other Services"))),"Other Services"))</f>
        <v/>
      </c>
    </row>
    <row r="198" customFormat="false" ht="15" hidden="false" customHeight="false" outlineLevel="0" collapsed="false">
      <c r="F198" s="41" t="str">
        <f aca="false">IF(E198="","",IFERROR(VLOOKUP(E198,Assumptions!$G$5:$H$16,2,0),"Other"))</f>
        <v/>
      </c>
      <c r="J198" s="41" t="str">
        <f aca="false">IF(G198="","",IFERROR(IF(ISNUMBER(SEARCH(Assumptions!$C$5,G198)),Assumptions!$D$5,IF(ISNUMBER(SEARCH(Assumptions!$C$6,G198)),Assumptions!$D$6,IF(ISNUMBER(SEARCH(Assumptions!$C$7,G198)),Assumptions!$D$7,"Other Services"))),"Other Services"))</f>
        <v/>
      </c>
    </row>
    <row r="199" customFormat="false" ht="15" hidden="false" customHeight="false" outlineLevel="0" collapsed="false">
      <c r="F199" s="41" t="str">
        <f aca="false">IF(E199="","",IFERROR(VLOOKUP(E199,Assumptions!$G$5:$H$16,2,0),"Other"))</f>
        <v/>
      </c>
      <c r="J199" s="41" t="str">
        <f aca="false">IF(G199="","",IFERROR(IF(ISNUMBER(SEARCH(Assumptions!$C$5,G199)),Assumptions!$D$5,IF(ISNUMBER(SEARCH(Assumptions!$C$6,G199)),Assumptions!$D$6,IF(ISNUMBER(SEARCH(Assumptions!$C$7,G199)),Assumptions!$D$7,"Other Services"))),"Other Services"))</f>
        <v/>
      </c>
    </row>
    <row r="200" customFormat="false" ht="15" hidden="false" customHeight="false" outlineLevel="0" collapsed="false">
      <c r="F200" s="41" t="str">
        <f aca="false">IF(E200="","",IFERROR(VLOOKUP(E200,Assumptions!$G$5:$H$16,2,0),"Other"))</f>
        <v/>
      </c>
      <c r="J200" s="41" t="str">
        <f aca="false">IF(G200="","",IFERROR(IF(ISNUMBER(SEARCH(Assumptions!$C$5,G200)),Assumptions!$D$5,IF(ISNUMBER(SEARCH(Assumptions!$C$6,G200)),Assumptions!$D$6,IF(ISNUMBER(SEARCH(Assumptions!$C$7,G200)),Assumptions!$D$7,"Other Services"))),"Other Services"))</f>
        <v/>
      </c>
    </row>
    <row r="201" customFormat="false" ht="15" hidden="false" customHeight="false" outlineLevel="0" collapsed="false">
      <c r="F201" s="41" t="str">
        <f aca="false">IF(E201="","",IFERROR(VLOOKUP(E201,Assumptions!$G$5:$H$16,2,0),"Other"))</f>
        <v/>
      </c>
      <c r="J201" s="41" t="str">
        <f aca="false">IF(G201="","",IFERROR(IF(ISNUMBER(SEARCH(Assumptions!$C$5,G201)),Assumptions!$D$5,IF(ISNUMBER(SEARCH(Assumptions!$C$6,G201)),Assumptions!$D$6,IF(ISNUMBER(SEARCH(Assumptions!$C$7,G201)),Assumptions!$D$7,"Other Services"))),"Other Services"))</f>
        <v/>
      </c>
    </row>
    <row r="202" customFormat="false" ht="15" hidden="false" customHeight="false" outlineLevel="0" collapsed="false">
      <c r="F202" s="41" t="str">
        <f aca="false">IF(E202="","",IFERROR(VLOOKUP(E202,Assumptions!$G$5:$H$16,2,0),"Other"))</f>
        <v/>
      </c>
      <c r="J202" s="41" t="str">
        <f aca="false">IF(G202="","",IFERROR(IF(ISNUMBER(SEARCH(Assumptions!$C$5,G202)),Assumptions!$D$5,IF(ISNUMBER(SEARCH(Assumptions!$C$6,G202)),Assumptions!$D$6,IF(ISNUMBER(SEARCH(Assumptions!$C$7,G202)),Assumptions!$D$7,"Other Services"))),"Other Services"))</f>
        <v/>
      </c>
    </row>
    <row r="203" customFormat="false" ht="15" hidden="false" customHeight="false" outlineLevel="0" collapsed="false">
      <c r="F203" s="41" t="str">
        <f aca="false">IF(E203="","",IFERROR(VLOOKUP(E203,Assumptions!$G$5:$H$16,2,0),"Other"))</f>
        <v/>
      </c>
      <c r="J203" s="41" t="str">
        <f aca="false">IF(G203="","",IFERROR(IF(ISNUMBER(SEARCH(Assumptions!$C$5,G203)),Assumptions!$D$5,IF(ISNUMBER(SEARCH(Assumptions!$C$6,G203)),Assumptions!$D$6,IF(ISNUMBER(SEARCH(Assumptions!$C$7,G203)),Assumptions!$D$7,"Other Services"))),"Other Services"))</f>
        <v/>
      </c>
    </row>
    <row r="204" customFormat="false" ht="15" hidden="false" customHeight="false" outlineLevel="0" collapsed="false">
      <c r="F204" s="41" t="str">
        <f aca="false">IF(E204="","",IFERROR(VLOOKUP(E204,Assumptions!$G$5:$H$16,2,0),"Other"))</f>
        <v/>
      </c>
      <c r="J204" s="41" t="str">
        <f aca="false">IF(G204="","",IFERROR(IF(ISNUMBER(SEARCH(Assumptions!$C$5,G204)),Assumptions!$D$5,IF(ISNUMBER(SEARCH(Assumptions!$C$6,G204)),Assumptions!$D$6,IF(ISNUMBER(SEARCH(Assumptions!$C$7,G204)),Assumptions!$D$7,"Other Services"))),"Other Services"))</f>
        <v/>
      </c>
    </row>
    <row r="205" customFormat="false" ht="15" hidden="false" customHeight="false" outlineLevel="0" collapsed="false">
      <c r="F205" s="41" t="str">
        <f aca="false">IF(E205="","",IFERROR(VLOOKUP(E205,Assumptions!$G$5:$H$16,2,0),"Other"))</f>
        <v/>
      </c>
      <c r="J205" s="41" t="str">
        <f aca="false">IF(G205="","",IFERROR(IF(ISNUMBER(SEARCH(Assumptions!$C$5,G205)),Assumptions!$D$5,IF(ISNUMBER(SEARCH(Assumptions!$C$6,G205)),Assumptions!$D$6,IF(ISNUMBER(SEARCH(Assumptions!$C$7,G205)),Assumptions!$D$7,"Other Services"))),"Other Services"))</f>
        <v/>
      </c>
    </row>
    <row r="206" customFormat="false" ht="15" hidden="false" customHeight="false" outlineLevel="0" collapsed="false">
      <c r="F206" s="41" t="str">
        <f aca="false">IF(E206="","",IFERROR(VLOOKUP(E206,Assumptions!$G$5:$H$16,2,0),"Other"))</f>
        <v/>
      </c>
      <c r="J206" s="41" t="str">
        <f aca="false">IF(G206="","",IFERROR(IF(ISNUMBER(SEARCH(Assumptions!$C$5,G206)),Assumptions!$D$5,IF(ISNUMBER(SEARCH(Assumptions!$C$6,G206)),Assumptions!$D$6,IF(ISNUMBER(SEARCH(Assumptions!$C$7,G206)),Assumptions!$D$7,"Other Services"))),"Other Services"))</f>
        <v/>
      </c>
    </row>
    <row r="207" customFormat="false" ht="15" hidden="false" customHeight="false" outlineLevel="0" collapsed="false">
      <c r="F207" s="41" t="str">
        <f aca="false">IF(E207="","",IFERROR(VLOOKUP(E207,Assumptions!$G$5:$H$16,2,0),"Other"))</f>
        <v/>
      </c>
      <c r="J207" s="41" t="str">
        <f aca="false">IF(G207="","",IFERROR(IF(ISNUMBER(SEARCH(Assumptions!$C$5,G207)),Assumptions!$D$5,IF(ISNUMBER(SEARCH(Assumptions!$C$6,G207)),Assumptions!$D$6,IF(ISNUMBER(SEARCH(Assumptions!$C$7,G207)),Assumptions!$D$7,"Other Services"))),"Other Services"))</f>
        <v/>
      </c>
    </row>
    <row r="208" customFormat="false" ht="15" hidden="false" customHeight="false" outlineLevel="0" collapsed="false">
      <c r="F208" s="41" t="str">
        <f aca="false">IF(E208="","",IFERROR(VLOOKUP(E208,Assumptions!$G$5:$H$16,2,0),"Other"))</f>
        <v/>
      </c>
      <c r="J208" s="41" t="str">
        <f aca="false">IF(G208="","",IFERROR(IF(ISNUMBER(SEARCH(Assumptions!$C$5,G208)),Assumptions!$D$5,IF(ISNUMBER(SEARCH(Assumptions!$C$6,G208)),Assumptions!$D$6,IF(ISNUMBER(SEARCH(Assumptions!$C$7,G208)),Assumptions!$D$7,"Other Services"))),"Other Services"))</f>
        <v/>
      </c>
    </row>
    <row r="209" customFormat="false" ht="15" hidden="false" customHeight="false" outlineLevel="0" collapsed="false">
      <c r="F209" s="41" t="str">
        <f aca="false">IF(E209="","",IFERROR(VLOOKUP(E209,Assumptions!$G$5:$H$16,2,0),"Other"))</f>
        <v/>
      </c>
      <c r="J209" s="41" t="str">
        <f aca="false">IF(G209="","",IFERROR(IF(ISNUMBER(SEARCH(Assumptions!$C$5,G209)),Assumptions!$D$5,IF(ISNUMBER(SEARCH(Assumptions!$C$6,G209)),Assumptions!$D$6,IF(ISNUMBER(SEARCH(Assumptions!$C$7,G209)),Assumptions!$D$7,"Other Services"))),"Other Services"))</f>
        <v/>
      </c>
    </row>
    <row r="210" customFormat="false" ht="15" hidden="false" customHeight="false" outlineLevel="0" collapsed="false">
      <c r="F210" s="41" t="str">
        <f aca="false">IF(E210="","",IFERROR(VLOOKUP(E210,Assumptions!$G$5:$H$16,2,0),"Other"))</f>
        <v/>
      </c>
      <c r="J210" s="41" t="str">
        <f aca="false">IF(G210="","",IFERROR(IF(ISNUMBER(SEARCH(Assumptions!$C$5,G210)),Assumptions!$D$5,IF(ISNUMBER(SEARCH(Assumptions!$C$6,G210)),Assumptions!$D$6,IF(ISNUMBER(SEARCH(Assumptions!$C$7,G210)),Assumptions!$D$7,"Other Services"))),"Other Services"))</f>
        <v/>
      </c>
    </row>
    <row r="211" customFormat="false" ht="15" hidden="false" customHeight="false" outlineLevel="0" collapsed="false">
      <c r="F211" s="41" t="str">
        <f aca="false">IF(E211="","",IFERROR(VLOOKUP(E211,Assumptions!$G$5:$H$16,2,0),"Other"))</f>
        <v/>
      </c>
      <c r="J211" s="41" t="str">
        <f aca="false">IF(G211="","",IFERROR(IF(ISNUMBER(SEARCH(Assumptions!$C$5,G211)),Assumptions!$D$5,IF(ISNUMBER(SEARCH(Assumptions!$C$6,G211)),Assumptions!$D$6,IF(ISNUMBER(SEARCH(Assumptions!$C$7,G211)),Assumptions!$D$7,"Other Services"))),"Other Services"))</f>
        <v/>
      </c>
    </row>
    <row r="212" customFormat="false" ht="15" hidden="false" customHeight="false" outlineLevel="0" collapsed="false">
      <c r="F212" s="41" t="str">
        <f aca="false">IF(E212="","",IFERROR(VLOOKUP(E212,Assumptions!$G$5:$H$16,2,0),"Other"))</f>
        <v/>
      </c>
      <c r="J212" s="41" t="str">
        <f aca="false">IF(G212="","",IFERROR(IF(ISNUMBER(SEARCH(Assumptions!$C$5,G212)),Assumptions!$D$5,IF(ISNUMBER(SEARCH(Assumptions!$C$6,G212)),Assumptions!$D$6,IF(ISNUMBER(SEARCH(Assumptions!$C$7,G212)),Assumptions!$D$7,"Other Services"))),"Other Services"))</f>
        <v/>
      </c>
    </row>
    <row r="213" customFormat="false" ht="15" hidden="false" customHeight="false" outlineLevel="0" collapsed="false">
      <c r="F213" s="41" t="str">
        <f aca="false">IF(E213="","",IFERROR(VLOOKUP(E213,Assumptions!$G$5:$H$16,2,0),"Other"))</f>
        <v/>
      </c>
      <c r="J213" s="41" t="str">
        <f aca="false">IF(G213="","",IFERROR(IF(ISNUMBER(SEARCH(Assumptions!$C$5,G213)),Assumptions!$D$5,IF(ISNUMBER(SEARCH(Assumptions!$C$6,G213)),Assumptions!$D$6,IF(ISNUMBER(SEARCH(Assumptions!$C$7,G213)),Assumptions!$D$7,"Other Services"))),"Other Services"))</f>
        <v/>
      </c>
    </row>
    <row r="214" customFormat="false" ht="15" hidden="false" customHeight="false" outlineLevel="0" collapsed="false">
      <c r="F214" s="41" t="str">
        <f aca="false">IF(E214="","",IFERROR(VLOOKUP(E214,Assumptions!$G$5:$H$16,2,0),"Other"))</f>
        <v/>
      </c>
      <c r="J214" s="41" t="str">
        <f aca="false">IF(G214="","",IFERROR(IF(ISNUMBER(SEARCH(Assumptions!$C$5,G214)),Assumptions!$D$5,IF(ISNUMBER(SEARCH(Assumptions!$C$6,G214)),Assumptions!$D$6,IF(ISNUMBER(SEARCH(Assumptions!$C$7,G214)),Assumptions!$D$7,"Other Services"))),"Other Services"))</f>
        <v/>
      </c>
    </row>
    <row r="215" customFormat="false" ht="15" hidden="false" customHeight="false" outlineLevel="0" collapsed="false">
      <c r="F215" s="41" t="str">
        <f aca="false">IF(E215="","",IFERROR(VLOOKUP(E215,Assumptions!$G$5:$H$16,2,0),"Other"))</f>
        <v/>
      </c>
      <c r="J215" s="41" t="str">
        <f aca="false">IF(G215="","",IFERROR(IF(ISNUMBER(SEARCH(Assumptions!$C$5,G215)),Assumptions!$D$5,IF(ISNUMBER(SEARCH(Assumptions!$C$6,G215)),Assumptions!$D$6,IF(ISNUMBER(SEARCH(Assumptions!$C$7,G215)),Assumptions!$D$7,"Other Services"))),"Other Services"))</f>
        <v/>
      </c>
    </row>
    <row r="216" customFormat="false" ht="15" hidden="false" customHeight="false" outlineLevel="0" collapsed="false">
      <c r="F216" s="41" t="str">
        <f aca="false">IF(E216="","",IFERROR(VLOOKUP(E216,Assumptions!$G$5:$H$16,2,0),"Other"))</f>
        <v/>
      </c>
      <c r="J216" s="41" t="str">
        <f aca="false">IF(G216="","",IFERROR(IF(ISNUMBER(SEARCH(Assumptions!$C$5,G216)),Assumptions!$D$5,IF(ISNUMBER(SEARCH(Assumptions!$C$6,G216)),Assumptions!$D$6,IF(ISNUMBER(SEARCH(Assumptions!$C$7,G216)),Assumptions!$D$7,"Other Services"))),"Other Services"))</f>
        <v/>
      </c>
    </row>
    <row r="217" customFormat="false" ht="15" hidden="false" customHeight="false" outlineLevel="0" collapsed="false">
      <c r="F217" s="41" t="str">
        <f aca="false">IF(E217="","",IFERROR(VLOOKUP(E217,Assumptions!$G$5:$H$16,2,0),"Other"))</f>
        <v/>
      </c>
      <c r="J217" s="41" t="str">
        <f aca="false">IF(G217="","",IFERROR(IF(ISNUMBER(SEARCH(Assumptions!$C$5,G217)),Assumptions!$D$5,IF(ISNUMBER(SEARCH(Assumptions!$C$6,G217)),Assumptions!$D$6,IF(ISNUMBER(SEARCH(Assumptions!$C$7,G217)),Assumptions!$D$7,"Other Services"))),"Other Services"))</f>
        <v/>
      </c>
    </row>
    <row r="218" customFormat="false" ht="15" hidden="false" customHeight="false" outlineLevel="0" collapsed="false">
      <c r="F218" s="41" t="str">
        <f aca="false">IF(E218="","",IFERROR(VLOOKUP(E218,Assumptions!$G$5:$H$16,2,0),"Other"))</f>
        <v/>
      </c>
      <c r="J218" s="41" t="str">
        <f aca="false">IF(G218="","",IFERROR(IF(ISNUMBER(SEARCH(Assumptions!$C$5,G218)),Assumptions!$D$5,IF(ISNUMBER(SEARCH(Assumptions!$C$6,G218)),Assumptions!$D$6,IF(ISNUMBER(SEARCH(Assumptions!$C$7,G218)),Assumptions!$D$7,"Other Services"))),"Other Services"))</f>
        <v/>
      </c>
    </row>
    <row r="219" customFormat="false" ht="15" hidden="false" customHeight="false" outlineLevel="0" collapsed="false">
      <c r="F219" s="41" t="str">
        <f aca="false">IF(E219="","",IFERROR(VLOOKUP(E219,Assumptions!$G$5:$H$16,2,0),"Other"))</f>
        <v/>
      </c>
      <c r="J219" s="41" t="str">
        <f aca="false">IF(G219="","",IFERROR(IF(ISNUMBER(SEARCH(Assumptions!$C$5,G219)),Assumptions!$D$5,IF(ISNUMBER(SEARCH(Assumptions!$C$6,G219)),Assumptions!$D$6,IF(ISNUMBER(SEARCH(Assumptions!$C$7,G219)),Assumptions!$D$7,"Other Services"))),"Other Services"))</f>
        <v/>
      </c>
    </row>
    <row r="220" customFormat="false" ht="15" hidden="false" customHeight="false" outlineLevel="0" collapsed="false">
      <c r="F220" s="41" t="str">
        <f aca="false">IF(E220="","",IFERROR(VLOOKUP(E220,Assumptions!$G$5:$H$16,2,0),"Other"))</f>
        <v/>
      </c>
      <c r="J220" s="41" t="str">
        <f aca="false">IF(G220="","",IFERROR(IF(ISNUMBER(SEARCH(Assumptions!$C$5,G220)),Assumptions!$D$5,IF(ISNUMBER(SEARCH(Assumptions!$C$6,G220)),Assumptions!$D$6,IF(ISNUMBER(SEARCH(Assumptions!$C$7,G220)),Assumptions!$D$7,"Other Services"))),"Other Services"))</f>
        <v/>
      </c>
    </row>
    <row r="221" customFormat="false" ht="15" hidden="false" customHeight="false" outlineLevel="0" collapsed="false">
      <c r="F221" s="41" t="str">
        <f aca="false">IF(E221="","",IFERROR(VLOOKUP(E221,Assumptions!$G$5:$H$16,2,0),"Other"))</f>
        <v/>
      </c>
      <c r="J221" s="41" t="str">
        <f aca="false">IF(G221="","",IFERROR(IF(ISNUMBER(SEARCH(Assumptions!$C$5,G221)),Assumptions!$D$5,IF(ISNUMBER(SEARCH(Assumptions!$C$6,G221)),Assumptions!$D$6,IF(ISNUMBER(SEARCH(Assumptions!$C$7,G221)),Assumptions!$D$7,"Other Services"))),"Other Services"))</f>
        <v/>
      </c>
    </row>
    <row r="222" customFormat="false" ht="15" hidden="false" customHeight="false" outlineLevel="0" collapsed="false">
      <c r="F222" s="41" t="str">
        <f aca="false">IF(E222="","",IFERROR(VLOOKUP(E222,Assumptions!$G$5:$H$16,2,0),"Other"))</f>
        <v/>
      </c>
      <c r="J222" s="41" t="str">
        <f aca="false">IF(G222="","",IFERROR(IF(ISNUMBER(SEARCH(Assumptions!$C$5,G222)),Assumptions!$D$5,IF(ISNUMBER(SEARCH(Assumptions!$C$6,G222)),Assumptions!$D$6,IF(ISNUMBER(SEARCH(Assumptions!$C$7,G222)),Assumptions!$D$7,"Other Services"))),"Other Services"))</f>
        <v/>
      </c>
    </row>
    <row r="223" customFormat="false" ht="15" hidden="false" customHeight="false" outlineLevel="0" collapsed="false">
      <c r="F223" s="41" t="str">
        <f aca="false">IF(E223="","",IFERROR(VLOOKUP(E223,Assumptions!$G$5:$H$16,2,0),"Other"))</f>
        <v/>
      </c>
      <c r="J223" s="41" t="str">
        <f aca="false">IF(G223="","",IFERROR(IF(ISNUMBER(SEARCH(Assumptions!$C$5,G223)),Assumptions!$D$5,IF(ISNUMBER(SEARCH(Assumptions!$C$6,G223)),Assumptions!$D$6,IF(ISNUMBER(SEARCH(Assumptions!$C$7,G223)),Assumptions!$D$7,"Other Services"))),"Other Services"))</f>
        <v/>
      </c>
    </row>
    <row r="224" customFormat="false" ht="15" hidden="false" customHeight="false" outlineLevel="0" collapsed="false">
      <c r="F224" s="41" t="str">
        <f aca="false">IF(E224="","",IFERROR(VLOOKUP(E224,Assumptions!$G$5:$H$16,2,0),"Other"))</f>
        <v/>
      </c>
      <c r="J224" s="41" t="str">
        <f aca="false">IF(G224="","",IFERROR(IF(ISNUMBER(SEARCH(Assumptions!$C$5,G224)),Assumptions!$D$5,IF(ISNUMBER(SEARCH(Assumptions!$C$6,G224)),Assumptions!$D$6,IF(ISNUMBER(SEARCH(Assumptions!$C$7,G224)),Assumptions!$D$7,"Other Services"))),"Other Services"))</f>
        <v/>
      </c>
    </row>
    <row r="225" customFormat="false" ht="15" hidden="false" customHeight="false" outlineLevel="0" collapsed="false">
      <c r="F225" s="41" t="str">
        <f aca="false">IF(E225="","",IFERROR(VLOOKUP(E225,Assumptions!$G$5:$H$16,2,0),"Other"))</f>
        <v/>
      </c>
      <c r="J225" s="41" t="str">
        <f aca="false">IF(G225="","",IFERROR(IF(ISNUMBER(SEARCH(Assumptions!$C$5,G225)),Assumptions!$D$5,IF(ISNUMBER(SEARCH(Assumptions!$C$6,G225)),Assumptions!$D$6,IF(ISNUMBER(SEARCH(Assumptions!$C$7,G225)),Assumptions!$D$7,"Other Services"))),"Other Services"))</f>
        <v/>
      </c>
    </row>
    <row r="226" customFormat="false" ht="15" hidden="false" customHeight="false" outlineLevel="0" collapsed="false">
      <c r="F226" s="41" t="str">
        <f aca="false">IF(E226="","",IFERROR(VLOOKUP(E226,Assumptions!$G$5:$H$16,2,0),"Other"))</f>
        <v/>
      </c>
      <c r="J226" s="41" t="str">
        <f aca="false">IF(G226="","",IFERROR(IF(ISNUMBER(SEARCH(Assumptions!$C$5,G226)),Assumptions!$D$5,IF(ISNUMBER(SEARCH(Assumptions!$C$6,G226)),Assumptions!$D$6,IF(ISNUMBER(SEARCH(Assumptions!$C$7,G226)),Assumptions!$D$7,"Other Services"))),"Other Services"))</f>
        <v/>
      </c>
    </row>
    <row r="227" customFormat="false" ht="15" hidden="false" customHeight="false" outlineLevel="0" collapsed="false">
      <c r="F227" s="41" t="str">
        <f aca="false">IF(E227="","",IFERROR(VLOOKUP(E227,Assumptions!$G$5:$H$16,2,0),"Other"))</f>
        <v/>
      </c>
      <c r="J227" s="41" t="str">
        <f aca="false">IF(G227="","",IFERROR(IF(ISNUMBER(SEARCH(Assumptions!$C$5,G227)),Assumptions!$D$5,IF(ISNUMBER(SEARCH(Assumptions!$C$6,G227)),Assumptions!$D$6,IF(ISNUMBER(SEARCH(Assumptions!$C$7,G227)),Assumptions!$D$7,"Other Services"))),"Other Services"))</f>
        <v/>
      </c>
    </row>
    <row r="228" customFormat="false" ht="15" hidden="false" customHeight="false" outlineLevel="0" collapsed="false">
      <c r="F228" s="41" t="str">
        <f aca="false">IF(E228="","",IFERROR(VLOOKUP(E228,Assumptions!$G$5:$H$16,2,0),"Other"))</f>
        <v/>
      </c>
      <c r="J228" s="41" t="str">
        <f aca="false">IF(G228="","",IFERROR(IF(ISNUMBER(SEARCH(Assumptions!$C$5,G228)),Assumptions!$D$5,IF(ISNUMBER(SEARCH(Assumptions!$C$6,G228)),Assumptions!$D$6,IF(ISNUMBER(SEARCH(Assumptions!$C$7,G228)),Assumptions!$D$7,"Other Services"))),"Other Services"))</f>
        <v/>
      </c>
    </row>
    <row r="229" customFormat="false" ht="15" hidden="false" customHeight="false" outlineLevel="0" collapsed="false">
      <c r="F229" s="41" t="str">
        <f aca="false">IF(E229="","",IFERROR(VLOOKUP(E229,Assumptions!$G$5:$H$16,2,0),"Other"))</f>
        <v/>
      </c>
      <c r="J229" s="41" t="str">
        <f aca="false">IF(G229="","",IFERROR(IF(ISNUMBER(SEARCH(Assumptions!$C$5,G229)),Assumptions!$D$5,IF(ISNUMBER(SEARCH(Assumptions!$C$6,G229)),Assumptions!$D$6,IF(ISNUMBER(SEARCH(Assumptions!$C$7,G229)),Assumptions!$D$7,"Other Services"))),"Other Services"))</f>
        <v/>
      </c>
    </row>
    <row r="230" customFormat="false" ht="15" hidden="false" customHeight="false" outlineLevel="0" collapsed="false">
      <c r="F230" s="41" t="str">
        <f aca="false">IF(E230="","",IFERROR(VLOOKUP(E230,Assumptions!$G$5:$H$16,2,0),"Other"))</f>
        <v/>
      </c>
      <c r="J230" s="41" t="str">
        <f aca="false">IF(G230="","",IFERROR(IF(ISNUMBER(SEARCH(Assumptions!$C$5,G230)),Assumptions!$D$5,IF(ISNUMBER(SEARCH(Assumptions!$C$6,G230)),Assumptions!$D$6,IF(ISNUMBER(SEARCH(Assumptions!$C$7,G230)),Assumptions!$D$7,"Other Services"))),"Other Services"))</f>
        <v/>
      </c>
    </row>
    <row r="231" customFormat="false" ht="15" hidden="false" customHeight="false" outlineLevel="0" collapsed="false">
      <c r="F231" s="41" t="str">
        <f aca="false">IF(E231="","",IFERROR(VLOOKUP(E231,Assumptions!$G$5:$H$16,2,0),"Other"))</f>
        <v/>
      </c>
      <c r="J231" s="41" t="str">
        <f aca="false">IF(G231="","",IFERROR(IF(ISNUMBER(SEARCH(Assumptions!$C$5,G231)),Assumptions!$D$5,IF(ISNUMBER(SEARCH(Assumptions!$C$6,G231)),Assumptions!$D$6,IF(ISNUMBER(SEARCH(Assumptions!$C$7,G231)),Assumptions!$D$7,"Other Services"))),"Other Services"))</f>
        <v/>
      </c>
    </row>
    <row r="232" customFormat="false" ht="15" hidden="false" customHeight="false" outlineLevel="0" collapsed="false">
      <c r="F232" s="41" t="str">
        <f aca="false">IF(E232="","",IFERROR(VLOOKUP(E232,Assumptions!$G$5:$H$16,2,0),"Other"))</f>
        <v/>
      </c>
      <c r="J232" s="41" t="str">
        <f aca="false">IF(G232="","",IFERROR(IF(ISNUMBER(SEARCH(Assumptions!$C$5,G232)),Assumptions!$D$5,IF(ISNUMBER(SEARCH(Assumptions!$C$6,G232)),Assumptions!$D$6,IF(ISNUMBER(SEARCH(Assumptions!$C$7,G232)),Assumptions!$D$7,"Other Services"))),"Other Services"))</f>
        <v/>
      </c>
    </row>
    <row r="233" customFormat="false" ht="15" hidden="false" customHeight="false" outlineLevel="0" collapsed="false">
      <c r="F233" s="41" t="str">
        <f aca="false">IF(E233="","",IFERROR(VLOOKUP(E233,Assumptions!$G$5:$H$16,2,0),"Other"))</f>
        <v/>
      </c>
      <c r="J233" s="41" t="str">
        <f aca="false">IF(G233="","",IFERROR(IF(ISNUMBER(SEARCH(Assumptions!$C$5,G233)),Assumptions!$D$5,IF(ISNUMBER(SEARCH(Assumptions!$C$6,G233)),Assumptions!$D$6,IF(ISNUMBER(SEARCH(Assumptions!$C$7,G233)),Assumptions!$D$7,"Other Services"))),"Other Services"))</f>
        <v/>
      </c>
    </row>
    <row r="234" customFormat="false" ht="15" hidden="false" customHeight="false" outlineLevel="0" collapsed="false">
      <c r="F234" s="41" t="str">
        <f aca="false">IF(E234="","",IFERROR(VLOOKUP(E234,Assumptions!$G$5:$H$16,2,0),"Other"))</f>
        <v/>
      </c>
      <c r="J234" s="41" t="str">
        <f aca="false">IF(G234="","",IFERROR(IF(ISNUMBER(SEARCH(Assumptions!$C$5,G234)),Assumptions!$D$5,IF(ISNUMBER(SEARCH(Assumptions!$C$6,G234)),Assumptions!$D$6,IF(ISNUMBER(SEARCH(Assumptions!$C$7,G234)),Assumptions!$D$7,"Other Services"))),"Other Services"))</f>
        <v/>
      </c>
    </row>
    <row r="235" customFormat="false" ht="15" hidden="false" customHeight="false" outlineLevel="0" collapsed="false">
      <c r="F235" s="41" t="str">
        <f aca="false">IF(E235="","",IFERROR(VLOOKUP(E235,Assumptions!$G$5:$H$16,2,0),"Other"))</f>
        <v/>
      </c>
      <c r="J235" s="41" t="str">
        <f aca="false">IF(G235="","",IFERROR(IF(ISNUMBER(SEARCH(Assumptions!$C$5,G235)),Assumptions!$D$5,IF(ISNUMBER(SEARCH(Assumptions!$C$6,G235)),Assumptions!$D$6,IF(ISNUMBER(SEARCH(Assumptions!$C$7,G235)),Assumptions!$D$7,"Other Services"))),"Other Services"))</f>
        <v/>
      </c>
    </row>
    <row r="236" customFormat="false" ht="15" hidden="false" customHeight="false" outlineLevel="0" collapsed="false">
      <c r="F236" s="41" t="str">
        <f aca="false">IF(E236="","",IFERROR(VLOOKUP(E236,Assumptions!$G$5:$H$16,2,0),"Other"))</f>
        <v/>
      </c>
      <c r="J236" s="41" t="str">
        <f aca="false">IF(G236="","",IFERROR(IF(ISNUMBER(SEARCH(Assumptions!$C$5,G236)),Assumptions!$D$5,IF(ISNUMBER(SEARCH(Assumptions!$C$6,G236)),Assumptions!$D$6,IF(ISNUMBER(SEARCH(Assumptions!$C$7,G236)),Assumptions!$D$7,"Other Services"))),"Other Services"))</f>
        <v/>
      </c>
    </row>
    <row r="237" customFormat="false" ht="15" hidden="false" customHeight="false" outlineLevel="0" collapsed="false">
      <c r="F237" s="41" t="str">
        <f aca="false">IF(E237="","",IFERROR(VLOOKUP(E237,Assumptions!$G$5:$H$16,2,0),"Other"))</f>
        <v/>
      </c>
      <c r="J237" s="41" t="str">
        <f aca="false">IF(G237="","",IFERROR(IF(ISNUMBER(SEARCH(Assumptions!$C$5,G237)),Assumptions!$D$5,IF(ISNUMBER(SEARCH(Assumptions!$C$6,G237)),Assumptions!$D$6,IF(ISNUMBER(SEARCH(Assumptions!$C$7,G237)),Assumptions!$D$7,"Other Services"))),"Other Services"))</f>
        <v/>
      </c>
    </row>
    <row r="238" customFormat="false" ht="15" hidden="false" customHeight="false" outlineLevel="0" collapsed="false">
      <c r="F238" s="41" t="str">
        <f aca="false">IF(E238="","",IFERROR(VLOOKUP(E238,Assumptions!$G$5:$H$16,2,0),"Other"))</f>
        <v/>
      </c>
      <c r="J238" s="41" t="str">
        <f aca="false">IF(G238="","",IFERROR(IF(ISNUMBER(SEARCH(Assumptions!$C$5,G238)),Assumptions!$D$5,IF(ISNUMBER(SEARCH(Assumptions!$C$6,G238)),Assumptions!$D$6,IF(ISNUMBER(SEARCH(Assumptions!$C$7,G238)),Assumptions!$D$7,"Other Services"))),"Other Services"))</f>
        <v/>
      </c>
    </row>
    <row r="239" customFormat="false" ht="15" hidden="false" customHeight="false" outlineLevel="0" collapsed="false">
      <c r="F239" s="41" t="str">
        <f aca="false">IF(E239="","",IFERROR(VLOOKUP(E239,Assumptions!$G$5:$H$16,2,0),"Other"))</f>
        <v/>
      </c>
      <c r="J239" s="41" t="str">
        <f aca="false">IF(G239="","",IFERROR(IF(ISNUMBER(SEARCH(Assumptions!$C$5,G239)),Assumptions!$D$5,IF(ISNUMBER(SEARCH(Assumptions!$C$6,G239)),Assumptions!$D$6,IF(ISNUMBER(SEARCH(Assumptions!$C$7,G239)),Assumptions!$D$7,"Other Services"))),"Other Services"))</f>
        <v/>
      </c>
    </row>
    <row r="240" customFormat="false" ht="15" hidden="false" customHeight="false" outlineLevel="0" collapsed="false">
      <c r="F240" s="41" t="str">
        <f aca="false">IF(E240="","",IFERROR(VLOOKUP(E240,Assumptions!$G$5:$H$16,2,0),"Other"))</f>
        <v/>
      </c>
      <c r="J240" s="41" t="str">
        <f aca="false">IF(G240="","",IFERROR(IF(ISNUMBER(SEARCH(Assumptions!$C$5,G240)),Assumptions!$D$5,IF(ISNUMBER(SEARCH(Assumptions!$C$6,G240)),Assumptions!$D$6,IF(ISNUMBER(SEARCH(Assumptions!$C$7,G240)),Assumptions!$D$7,"Other Services"))),"Other Services"))</f>
        <v/>
      </c>
    </row>
    <row r="241" customFormat="false" ht="15" hidden="false" customHeight="false" outlineLevel="0" collapsed="false">
      <c r="F241" s="41" t="str">
        <f aca="false">IF(E241="","",IFERROR(VLOOKUP(E241,Assumptions!$G$5:$H$16,2,0),"Other"))</f>
        <v/>
      </c>
      <c r="J241" s="41" t="str">
        <f aca="false">IF(G241="","",IFERROR(IF(ISNUMBER(SEARCH(Assumptions!$C$5,G241)),Assumptions!$D$5,IF(ISNUMBER(SEARCH(Assumptions!$C$6,G241)),Assumptions!$D$6,IF(ISNUMBER(SEARCH(Assumptions!$C$7,G241)),Assumptions!$D$7,"Other Services"))),"Other Services"))</f>
        <v/>
      </c>
    </row>
    <row r="242" customFormat="false" ht="15" hidden="false" customHeight="false" outlineLevel="0" collapsed="false">
      <c r="F242" s="41" t="str">
        <f aca="false">IF(E242="","",IFERROR(VLOOKUP(E242,Assumptions!$G$5:$H$16,2,0),"Other"))</f>
        <v/>
      </c>
      <c r="J242" s="41" t="str">
        <f aca="false">IF(G242="","",IFERROR(IF(ISNUMBER(SEARCH(Assumptions!$C$5,G242)),Assumptions!$D$5,IF(ISNUMBER(SEARCH(Assumptions!$C$6,G242)),Assumptions!$D$6,IF(ISNUMBER(SEARCH(Assumptions!$C$7,G242)),Assumptions!$D$7,"Other Services"))),"Other Services"))</f>
        <v/>
      </c>
    </row>
    <row r="243" customFormat="false" ht="15" hidden="false" customHeight="false" outlineLevel="0" collapsed="false">
      <c r="F243" s="41" t="str">
        <f aca="false">IF(E243="","",IFERROR(VLOOKUP(E243,Assumptions!$G$5:$H$16,2,0),"Other"))</f>
        <v/>
      </c>
      <c r="J243" s="41" t="str">
        <f aca="false">IF(G243="","",IFERROR(IF(ISNUMBER(SEARCH(Assumptions!$C$5,G243)),Assumptions!$D$5,IF(ISNUMBER(SEARCH(Assumptions!$C$6,G243)),Assumptions!$D$6,IF(ISNUMBER(SEARCH(Assumptions!$C$7,G243)),Assumptions!$D$7,"Other Services"))),"Other Services"))</f>
        <v/>
      </c>
    </row>
    <row r="244" customFormat="false" ht="15" hidden="false" customHeight="false" outlineLevel="0" collapsed="false">
      <c r="F244" s="41" t="str">
        <f aca="false">IF(E244="","",IFERROR(VLOOKUP(E244,Assumptions!$G$5:$H$16,2,0),"Other"))</f>
        <v/>
      </c>
      <c r="J244" s="41" t="str">
        <f aca="false">IF(G244="","",IFERROR(IF(ISNUMBER(SEARCH(Assumptions!$C$5,G244)),Assumptions!$D$5,IF(ISNUMBER(SEARCH(Assumptions!$C$6,G244)),Assumptions!$D$6,IF(ISNUMBER(SEARCH(Assumptions!$C$7,G244)),Assumptions!$D$7,"Other Services"))),"Other Services"))</f>
        <v/>
      </c>
    </row>
    <row r="245" customFormat="false" ht="15" hidden="false" customHeight="false" outlineLevel="0" collapsed="false">
      <c r="F245" s="41" t="str">
        <f aca="false">IF(E245="","",IFERROR(VLOOKUP(E245,Assumptions!$G$5:$H$16,2,0),"Other"))</f>
        <v/>
      </c>
      <c r="J245" s="41" t="str">
        <f aca="false">IF(G245="","",IFERROR(IF(ISNUMBER(SEARCH(Assumptions!$C$5,G245)),Assumptions!$D$5,IF(ISNUMBER(SEARCH(Assumptions!$C$6,G245)),Assumptions!$D$6,IF(ISNUMBER(SEARCH(Assumptions!$C$7,G245)),Assumptions!$D$7,"Other Services"))),"Other Services"))</f>
        <v/>
      </c>
    </row>
    <row r="246" customFormat="false" ht="15" hidden="false" customHeight="false" outlineLevel="0" collapsed="false">
      <c r="F246" s="41" t="str">
        <f aca="false">IF(E246="","",IFERROR(VLOOKUP(E246,Assumptions!$G$5:$H$16,2,0),"Other"))</f>
        <v/>
      </c>
      <c r="J246" s="41" t="str">
        <f aca="false">IF(G246="","",IFERROR(IF(ISNUMBER(SEARCH(Assumptions!$C$5,G246)),Assumptions!$D$5,IF(ISNUMBER(SEARCH(Assumptions!$C$6,G246)),Assumptions!$D$6,IF(ISNUMBER(SEARCH(Assumptions!$C$7,G246)),Assumptions!$D$7,"Other Services"))),"Other Services"))</f>
        <v/>
      </c>
    </row>
    <row r="247" customFormat="false" ht="15" hidden="false" customHeight="false" outlineLevel="0" collapsed="false">
      <c r="F247" s="41" t="str">
        <f aca="false">IF(E247="","",IFERROR(VLOOKUP(E247,Assumptions!$G$5:$H$16,2,0),"Other"))</f>
        <v/>
      </c>
      <c r="J247" s="41" t="str">
        <f aca="false">IF(G247="","",IFERROR(IF(ISNUMBER(SEARCH(Assumptions!$C$5,G247)),Assumptions!$D$5,IF(ISNUMBER(SEARCH(Assumptions!$C$6,G247)),Assumptions!$D$6,IF(ISNUMBER(SEARCH(Assumptions!$C$7,G247)),Assumptions!$D$7,"Other Services"))),"Other Services"))</f>
        <v/>
      </c>
    </row>
    <row r="248" customFormat="false" ht="15" hidden="false" customHeight="false" outlineLevel="0" collapsed="false">
      <c r="F248" s="41" t="str">
        <f aca="false">IF(E248="","",IFERROR(VLOOKUP(E248,Assumptions!$G$5:$H$16,2,0),"Other"))</f>
        <v/>
      </c>
      <c r="J248" s="41" t="str">
        <f aca="false">IF(G248="","",IFERROR(IF(ISNUMBER(SEARCH(Assumptions!$C$5,G248)),Assumptions!$D$5,IF(ISNUMBER(SEARCH(Assumptions!$C$6,G248)),Assumptions!$D$6,IF(ISNUMBER(SEARCH(Assumptions!$C$7,G248)),Assumptions!$D$7,"Other Services"))),"Other Services"))</f>
        <v/>
      </c>
    </row>
    <row r="249" customFormat="false" ht="15" hidden="false" customHeight="false" outlineLevel="0" collapsed="false">
      <c r="F249" s="41" t="str">
        <f aca="false">IF(E249="","",IFERROR(VLOOKUP(E249,Assumptions!$G$5:$H$16,2,0),"Other"))</f>
        <v/>
      </c>
      <c r="J249" s="41" t="str">
        <f aca="false">IF(G249="","",IFERROR(IF(ISNUMBER(SEARCH(Assumptions!$C$5,G249)),Assumptions!$D$5,IF(ISNUMBER(SEARCH(Assumptions!$C$6,G249)),Assumptions!$D$6,IF(ISNUMBER(SEARCH(Assumptions!$C$7,G249)),Assumptions!$D$7,"Other Services"))),"Other Services"))</f>
        <v/>
      </c>
    </row>
    <row r="250" customFormat="false" ht="15" hidden="false" customHeight="false" outlineLevel="0" collapsed="false">
      <c r="F250" s="41" t="str">
        <f aca="false">IF(E250="","",IFERROR(VLOOKUP(E250,Assumptions!$G$5:$H$16,2,0),"Other"))</f>
        <v/>
      </c>
      <c r="J250" s="41" t="str">
        <f aca="false">IF(G250="","",IFERROR(IF(ISNUMBER(SEARCH(Assumptions!$C$5,G250)),Assumptions!$D$5,IF(ISNUMBER(SEARCH(Assumptions!$C$6,G250)),Assumptions!$D$6,IF(ISNUMBER(SEARCH(Assumptions!$C$7,G250)),Assumptions!$D$7,"Other Services"))),"Other Services"))</f>
        <v/>
      </c>
    </row>
    <row r="251" customFormat="false" ht="15" hidden="false" customHeight="false" outlineLevel="0" collapsed="false">
      <c r="F251" s="41" t="str">
        <f aca="false">IF(E251="","",IFERROR(VLOOKUP(E251,Assumptions!$G$5:$H$16,2,0),"Other"))</f>
        <v/>
      </c>
      <c r="J251" s="41" t="str">
        <f aca="false">IF(G251="","",IFERROR(IF(ISNUMBER(SEARCH(Assumptions!$C$5,G251)),Assumptions!$D$5,IF(ISNUMBER(SEARCH(Assumptions!$C$6,G251)),Assumptions!$D$6,IF(ISNUMBER(SEARCH(Assumptions!$C$7,G251)),Assumptions!$D$7,"Other Services"))),"Other Services"))</f>
        <v/>
      </c>
    </row>
    <row r="252" customFormat="false" ht="15" hidden="false" customHeight="false" outlineLevel="0" collapsed="false">
      <c r="F252" s="41" t="str">
        <f aca="false">IF(E252="","",IFERROR(VLOOKUP(E252,Assumptions!$G$5:$H$16,2,0),"Other"))</f>
        <v/>
      </c>
      <c r="J252" s="41" t="str">
        <f aca="false">IF(G252="","",IFERROR(IF(ISNUMBER(SEARCH(Assumptions!$C$5,G252)),Assumptions!$D$5,IF(ISNUMBER(SEARCH(Assumptions!$C$6,G252)),Assumptions!$D$6,IF(ISNUMBER(SEARCH(Assumptions!$C$7,G252)),Assumptions!$D$7,"Other Services"))),"Other Services"))</f>
        <v/>
      </c>
    </row>
    <row r="253" customFormat="false" ht="15" hidden="false" customHeight="false" outlineLevel="0" collapsed="false">
      <c r="F253" s="41" t="str">
        <f aca="false">IF(E253="","",IFERROR(VLOOKUP(E253,Assumptions!$G$5:$H$16,2,0),"Other"))</f>
        <v/>
      </c>
      <c r="J253" s="41" t="str">
        <f aca="false">IF(G253="","",IFERROR(IF(ISNUMBER(SEARCH(Assumptions!$C$5,G253)),Assumptions!$D$5,IF(ISNUMBER(SEARCH(Assumptions!$C$6,G253)),Assumptions!$D$6,IF(ISNUMBER(SEARCH(Assumptions!$C$7,G253)),Assumptions!$D$7,"Other Services"))),"Other Services"))</f>
        <v/>
      </c>
    </row>
    <row r="254" customFormat="false" ht="15" hidden="false" customHeight="false" outlineLevel="0" collapsed="false">
      <c r="F254" s="41" t="str">
        <f aca="false">IF(E254="","",IFERROR(VLOOKUP(E254,Assumptions!$G$5:$H$16,2,0),"Other"))</f>
        <v/>
      </c>
      <c r="J254" s="41" t="str">
        <f aca="false">IF(G254="","",IFERROR(IF(ISNUMBER(SEARCH(Assumptions!$C$5,G254)),Assumptions!$D$5,IF(ISNUMBER(SEARCH(Assumptions!$C$6,G254)),Assumptions!$D$6,IF(ISNUMBER(SEARCH(Assumptions!$C$7,G254)),Assumptions!$D$7,"Other Services"))),"Other Services"))</f>
        <v/>
      </c>
    </row>
    <row r="255" customFormat="false" ht="15" hidden="false" customHeight="false" outlineLevel="0" collapsed="false">
      <c r="F255" s="41" t="str">
        <f aca="false">IF(E255="","",IFERROR(VLOOKUP(E255,Assumptions!$G$5:$H$16,2,0),"Other"))</f>
        <v/>
      </c>
      <c r="J255" s="41" t="str">
        <f aca="false">IF(G255="","",IFERROR(IF(ISNUMBER(SEARCH(Assumptions!$C$5,G255)),Assumptions!$D$5,IF(ISNUMBER(SEARCH(Assumptions!$C$6,G255)),Assumptions!$D$6,IF(ISNUMBER(SEARCH(Assumptions!$C$7,G255)),Assumptions!$D$7,"Other Services"))),"Other Services"))</f>
        <v/>
      </c>
    </row>
    <row r="256" customFormat="false" ht="15" hidden="false" customHeight="false" outlineLevel="0" collapsed="false">
      <c r="F256" s="41" t="str">
        <f aca="false">IF(E256="","",IFERROR(VLOOKUP(E256,Assumptions!$G$5:$H$16,2,0),"Other"))</f>
        <v/>
      </c>
      <c r="J256" s="41" t="str">
        <f aca="false">IF(G256="","",IFERROR(IF(ISNUMBER(SEARCH(Assumptions!$C$5,G256)),Assumptions!$D$5,IF(ISNUMBER(SEARCH(Assumptions!$C$6,G256)),Assumptions!$D$6,IF(ISNUMBER(SEARCH(Assumptions!$C$7,G256)),Assumptions!$D$7,"Other Services"))),"Other Services"))</f>
        <v/>
      </c>
    </row>
    <row r="257" customFormat="false" ht="15" hidden="false" customHeight="false" outlineLevel="0" collapsed="false">
      <c r="F257" s="41" t="str">
        <f aca="false">IF(E257="","",IFERROR(VLOOKUP(E257,Assumptions!$G$5:$H$16,2,0),"Other"))</f>
        <v/>
      </c>
      <c r="J257" s="41" t="str">
        <f aca="false">IF(G257="","",IFERROR(IF(ISNUMBER(SEARCH(Assumptions!$C$5,G257)),Assumptions!$D$5,IF(ISNUMBER(SEARCH(Assumptions!$C$6,G257)),Assumptions!$D$6,IF(ISNUMBER(SEARCH(Assumptions!$C$7,G257)),Assumptions!$D$7,"Other Services"))),"Other Services"))</f>
        <v/>
      </c>
    </row>
    <row r="258" customFormat="false" ht="15" hidden="false" customHeight="false" outlineLevel="0" collapsed="false">
      <c r="F258" s="41" t="str">
        <f aca="false">IF(E258="","",IFERROR(VLOOKUP(E258,Assumptions!$G$5:$H$16,2,0),"Other"))</f>
        <v/>
      </c>
      <c r="J258" s="41" t="str">
        <f aca="false">IF(G258="","",IFERROR(IF(ISNUMBER(SEARCH(Assumptions!$C$5,G258)),Assumptions!$D$5,IF(ISNUMBER(SEARCH(Assumptions!$C$6,G258)),Assumptions!$D$6,IF(ISNUMBER(SEARCH(Assumptions!$C$7,G258)),Assumptions!$D$7,"Other Services"))),"Other Services"))</f>
        <v/>
      </c>
    </row>
    <row r="259" customFormat="false" ht="15" hidden="false" customHeight="false" outlineLevel="0" collapsed="false">
      <c r="F259" s="41" t="str">
        <f aca="false">IF(E259="","",IFERROR(VLOOKUP(E259,Assumptions!$G$5:$H$16,2,0),"Other"))</f>
        <v/>
      </c>
      <c r="J259" s="41" t="str">
        <f aca="false">IF(G259="","",IFERROR(IF(ISNUMBER(SEARCH(Assumptions!$C$5,G259)),Assumptions!$D$5,IF(ISNUMBER(SEARCH(Assumptions!$C$6,G259)),Assumptions!$D$6,IF(ISNUMBER(SEARCH(Assumptions!$C$7,G259)),Assumptions!$D$7,"Other Services"))),"Other Services"))</f>
        <v/>
      </c>
    </row>
    <row r="260" customFormat="false" ht="15" hidden="false" customHeight="false" outlineLevel="0" collapsed="false">
      <c r="F260" s="41" t="str">
        <f aca="false">IF(E260="","",IFERROR(VLOOKUP(E260,Assumptions!$G$5:$H$16,2,0),"Other"))</f>
        <v/>
      </c>
      <c r="J260" s="41" t="str">
        <f aca="false">IF(G260="","",IFERROR(IF(ISNUMBER(SEARCH(Assumptions!$C$5,G260)),Assumptions!$D$5,IF(ISNUMBER(SEARCH(Assumptions!$C$6,G260)),Assumptions!$D$6,IF(ISNUMBER(SEARCH(Assumptions!$C$7,G260)),Assumptions!$D$7,"Other Services"))),"Other Services"))</f>
        <v/>
      </c>
    </row>
    <row r="261" customFormat="false" ht="15" hidden="false" customHeight="false" outlineLevel="0" collapsed="false">
      <c r="F261" s="41" t="str">
        <f aca="false">IF(E261="","",IFERROR(VLOOKUP(E261,Assumptions!$G$5:$H$16,2,0),"Other"))</f>
        <v/>
      </c>
      <c r="J261" s="41" t="str">
        <f aca="false">IF(G261="","",IFERROR(IF(ISNUMBER(SEARCH(Assumptions!$C$5,G261)),Assumptions!$D$5,IF(ISNUMBER(SEARCH(Assumptions!$C$6,G261)),Assumptions!$D$6,IF(ISNUMBER(SEARCH(Assumptions!$C$7,G261)),Assumptions!$D$7,"Other Services"))),"Other Services"))</f>
        <v/>
      </c>
    </row>
    <row r="262" customFormat="false" ht="15" hidden="false" customHeight="false" outlineLevel="0" collapsed="false">
      <c r="F262" s="41" t="str">
        <f aca="false">IF(E262="","",IFERROR(VLOOKUP(E262,Assumptions!$G$5:$H$16,2,0),"Other"))</f>
        <v/>
      </c>
      <c r="J262" s="41" t="str">
        <f aca="false">IF(G262="","",IFERROR(IF(ISNUMBER(SEARCH(Assumptions!$C$5,G262)),Assumptions!$D$5,IF(ISNUMBER(SEARCH(Assumptions!$C$6,G262)),Assumptions!$D$6,IF(ISNUMBER(SEARCH(Assumptions!$C$7,G262)),Assumptions!$D$7,"Other Services"))),"Other Services"))</f>
        <v/>
      </c>
    </row>
    <row r="263" customFormat="false" ht="15" hidden="false" customHeight="false" outlineLevel="0" collapsed="false">
      <c r="F263" s="41" t="str">
        <f aca="false">IF(E263="","",IFERROR(VLOOKUP(E263,Assumptions!$G$5:$H$16,2,0),"Other"))</f>
        <v/>
      </c>
      <c r="J263" s="41" t="str">
        <f aca="false">IF(G263="","",IFERROR(IF(ISNUMBER(SEARCH(Assumptions!$C$5,G263)),Assumptions!$D$5,IF(ISNUMBER(SEARCH(Assumptions!$C$6,G263)),Assumptions!$D$6,IF(ISNUMBER(SEARCH(Assumptions!$C$7,G263)),Assumptions!$D$7,"Other Services"))),"Other Services"))</f>
        <v/>
      </c>
    </row>
    <row r="264" customFormat="false" ht="15" hidden="false" customHeight="false" outlineLevel="0" collapsed="false">
      <c r="F264" s="41" t="str">
        <f aca="false">IF(E264="","",IFERROR(VLOOKUP(E264,Assumptions!$G$5:$H$16,2,0),"Other"))</f>
        <v/>
      </c>
      <c r="J264" s="41" t="str">
        <f aca="false">IF(G264="","",IFERROR(IF(ISNUMBER(SEARCH(Assumptions!$C$5,G264)),Assumptions!$D$5,IF(ISNUMBER(SEARCH(Assumptions!$C$6,G264)),Assumptions!$D$6,IF(ISNUMBER(SEARCH(Assumptions!$C$7,G264)),Assumptions!$D$7,"Other Services"))),"Other Services"))</f>
        <v/>
      </c>
    </row>
    <row r="265" customFormat="false" ht="15" hidden="false" customHeight="false" outlineLevel="0" collapsed="false">
      <c r="F265" s="41" t="str">
        <f aca="false">IF(E265="","",IFERROR(VLOOKUP(E265,Assumptions!$G$5:$H$16,2,0),"Other"))</f>
        <v/>
      </c>
      <c r="J265" s="41" t="str">
        <f aca="false">IF(G265="","",IFERROR(IF(ISNUMBER(SEARCH(Assumptions!$C$5,G265)),Assumptions!$D$5,IF(ISNUMBER(SEARCH(Assumptions!$C$6,G265)),Assumptions!$D$6,IF(ISNUMBER(SEARCH(Assumptions!$C$7,G265)),Assumptions!$D$7,"Other Services"))),"Other Services"))</f>
        <v/>
      </c>
    </row>
    <row r="266" customFormat="false" ht="15" hidden="false" customHeight="false" outlineLevel="0" collapsed="false">
      <c r="F266" s="41" t="str">
        <f aca="false">IF(E266="","",IFERROR(VLOOKUP(E266,Assumptions!$G$5:$H$16,2,0),"Other"))</f>
        <v/>
      </c>
      <c r="J266" s="41" t="str">
        <f aca="false">IF(G266="","",IFERROR(IF(ISNUMBER(SEARCH(Assumptions!$C$5,G266)),Assumptions!$D$5,IF(ISNUMBER(SEARCH(Assumptions!$C$6,G266)),Assumptions!$D$6,IF(ISNUMBER(SEARCH(Assumptions!$C$7,G266)),Assumptions!$D$7,"Other Services"))),"Other Services"))</f>
        <v/>
      </c>
    </row>
    <row r="267" customFormat="false" ht="15" hidden="false" customHeight="false" outlineLevel="0" collapsed="false">
      <c r="F267" s="41" t="str">
        <f aca="false">IF(E267="","",IFERROR(VLOOKUP(E267,Assumptions!$G$5:$H$16,2,0),"Other"))</f>
        <v/>
      </c>
      <c r="J267" s="41" t="str">
        <f aca="false">IF(G267="","",IFERROR(IF(ISNUMBER(SEARCH(Assumptions!$C$5,G267)),Assumptions!$D$5,IF(ISNUMBER(SEARCH(Assumptions!$C$6,G267)),Assumptions!$D$6,IF(ISNUMBER(SEARCH(Assumptions!$C$7,G267)),Assumptions!$D$7,"Other Services"))),"Other Services"))</f>
        <v/>
      </c>
    </row>
    <row r="268" customFormat="false" ht="15" hidden="false" customHeight="false" outlineLevel="0" collapsed="false">
      <c r="F268" s="41" t="str">
        <f aca="false">IF(E268="","",IFERROR(VLOOKUP(E268,Assumptions!$G$5:$H$16,2,0),"Other"))</f>
        <v/>
      </c>
      <c r="J268" s="41" t="str">
        <f aca="false">IF(G268="","",IFERROR(IF(ISNUMBER(SEARCH(Assumptions!$C$5,G268)),Assumptions!$D$5,IF(ISNUMBER(SEARCH(Assumptions!$C$6,G268)),Assumptions!$D$6,IF(ISNUMBER(SEARCH(Assumptions!$C$7,G268)),Assumptions!$D$7,"Other Services"))),"Other Services"))</f>
        <v/>
      </c>
    </row>
    <row r="269" customFormat="false" ht="15" hidden="false" customHeight="false" outlineLevel="0" collapsed="false">
      <c r="F269" s="41" t="str">
        <f aca="false">IF(E269="","",IFERROR(VLOOKUP(E269,Assumptions!$G$5:$H$16,2,0),"Other"))</f>
        <v/>
      </c>
      <c r="J269" s="41" t="str">
        <f aca="false">IF(G269="","",IFERROR(IF(ISNUMBER(SEARCH(Assumptions!$C$5,G269)),Assumptions!$D$5,IF(ISNUMBER(SEARCH(Assumptions!$C$6,G269)),Assumptions!$D$6,IF(ISNUMBER(SEARCH(Assumptions!$C$7,G269)),Assumptions!$D$7,"Other Services"))),"Other Services"))</f>
        <v/>
      </c>
    </row>
    <row r="270" customFormat="false" ht="15" hidden="false" customHeight="false" outlineLevel="0" collapsed="false">
      <c r="F270" s="41" t="str">
        <f aca="false">IF(E270="","",IFERROR(VLOOKUP(E270,Assumptions!$G$5:$H$16,2,0),"Other"))</f>
        <v/>
      </c>
      <c r="J270" s="41" t="str">
        <f aca="false">IF(G270="","",IFERROR(IF(ISNUMBER(SEARCH(Assumptions!$C$5,G270)),Assumptions!$D$5,IF(ISNUMBER(SEARCH(Assumptions!$C$6,G270)),Assumptions!$D$6,IF(ISNUMBER(SEARCH(Assumptions!$C$7,G270)),Assumptions!$D$7,"Other Services"))),"Other Services"))</f>
        <v/>
      </c>
    </row>
    <row r="271" customFormat="false" ht="15" hidden="false" customHeight="false" outlineLevel="0" collapsed="false">
      <c r="F271" s="41" t="str">
        <f aca="false">IF(E271="","",IFERROR(VLOOKUP(E271,Assumptions!$G$5:$H$16,2,0),"Other"))</f>
        <v/>
      </c>
      <c r="J271" s="41" t="str">
        <f aca="false">IF(G271="","",IFERROR(IF(ISNUMBER(SEARCH(Assumptions!$C$5,G271)),Assumptions!$D$5,IF(ISNUMBER(SEARCH(Assumptions!$C$6,G271)),Assumptions!$D$6,IF(ISNUMBER(SEARCH(Assumptions!$C$7,G271)),Assumptions!$D$7,"Other Services"))),"Other Services"))</f>
        <v/>
      </c>
    </row>
    <row r="272" customFormat="false" ht="15" hidden="false" customHeight="false" outlineLevel="0" collapsed="false">
      <c r="F272" s="41" t="str">
        <f aca="false">IF(E272="","",IFERROR(VLOOKUP(E272,Assumptions!$G$5:$H$16,2,0),"Other"))</f>
        <v/>
      </c>
      <c r="J272" s="41" t="str">
        <f aca="false">IF(G272="","",IFERROR(IF(ISNUMBER(SEARCH(Assumptions!$C$5,G272)),Assumptions!$D$5,IF(ISNUMBER(SEARCH(Assumptions!$C$6,G272)),Assumptions!$D$6,IF(ISNUMBER(SEARCH(Assumptions!$C$7,G272)),Assumptions!$D$7,"Other Services"))),"Other Services"))</f>
        <v/>
      </c>
    </row>
    <row r="273" customFormat="false" ht="15" hidden="false" customHeight="false" outlineLevel="0" collapsed="false">
      <c r="F273" s="41" t="str">
        <f aca="false">IF(E273="","",IFERROR(VLOOKUP(E273,Assumptions!$G$5:$H$16,2,0),"Other"))</f>
        <v/>
      </c>
      <c r="J273" s="41" t="str">
        <f aca="false">IF(G273="","",IFERROR(IF(ISNUMBER(SEARCH(Assumptions!$C$5,G273)),Assumptions!$D$5,IF(ISNUMBER(SEARCH(Assumptions!$C$6,G273)),Assumptions!$D$6,IF(ISNUMBER(SEARCH(Assumptions!$C$7,G273)),Assumptions!$D$7,"Other Services"))),"Other Services"))</f>
        <v/>
      </c>
    </row>
    <row r="274" customFormat="false" ht="15" hidden="false" customHeight="false" outlineLevel="0" collapsed="false">
      <c r="F274" s="41" t="str">
        <f aca="false">IF(E274="","",IFERROR(VLOOKUP(E274,Assumptions!$G$5:$H$16,2,0),"Other"))</f>
        <v/>
      </c>
      <c r="J274" s="41" t="str">
        <f aca="false">IF(G274="","",IFERROR(IF(ISNUMBER(SEARCH(Assumptions!$C$5,G274)),Assumptions!$D$5,IF(ISNUMBER(SEARCH(Assumptions!$C$6,G274)),Assumptions!$D$6,IF(ISNUMBER(SEARCH(Assumptions!$C$7,G274)),Assumptions!$D$7,"Other Services"))),"Other Services"))</f>
        <v/>
      </c>
    </row>
    <row r="275" customFormat="false" ht="15" hidden="false" customHeight="false" outlineLevel="0" collapsed="false">
      <c r="F275" s="41" t="str">
        <f aca="false">IF(E275="","",IFERROR(VLOOKUP(E275,Assumptions!$G$5:$H$16,2,0),"Other"))</f>
        <v/>
      </c>
      <c r="J275" s="41" t="str">
        <f aca="false">IF(G275="","",IFERROR(IF(ISNUMBER(SEARCH(Assumptions!$C$5,G275)),Assumptions!$D$5,IF(ISNUMBER(SEARCH(Assumptions!$C$6,G275)),Assumptions!$D$6,IF(ISNUMBER(SEARCH(Assumptions!$C$7,G275)),Assumptions!$D$7,"Other Services"))),"Other Services"))</f>
        <v/>
      </c>
    </row>
    <row r="276" customFormat="false" ht="15" hidden="false" customHeight="false" outlineLevel="0" collapsed="false">
      <c r="F276" s="41" t="str">
        <f aca="false">IF(E276="","",IFERROR(VLOOKUP(E276,Assumptions!$G$5:$H$16,2,0),"Other"))</f>
        <v/>
      </c>
      <c r="J276" s="41" t="str">
        <f aca="false">IF(G276="","",IFERROR(IF(ISNUMBER(SEARCH(Assumptions!$C$5,G276)),Assumptions!$D$5,IF(ISNUMBER(SEARCH(Assumptions!$C$6,G276)),Assumptions!$D$6,IF(ISNUMBER(SEARCH(Assumptions!$C$7,G276)),Assumptions!$D$7,"Other Services"))),"Other Services"))</f>
        <v/>
      </c>
    </row>
    <row r="277" customFormat="false" ht="15" hidden="false" customHeight="false" outlineLevel="0" collapsed="false">
      <c r="F277" s="41" t="str">
        <f aca="false">IF(E277="","",IFERROR(VLOOKUP(E277,Assumptions!$G$5:$H$16,2,0),"Other"))</f>
        <v/>
      </c>
      <c r="J277" s="41" t="str">
        <f aca="false">IF(G277="","",IFERROR(IF(ISNUMBER(SEARCH(Assumptions!$C$5,G277)),Assumptions!$D$5,IF(ISNUMBER(SEARCH(Assumptions!$C$6,G277)),Assumptions!$D$6,IF(ISNUMBER(SEARCH(Assumptions!$C$7,G277)),Assumptions!$D$7,"Other Services"))),"Other Services"))</f>
        <v/>
      </c>
    </row>
    <row r="278" customFormat="false" ht="15" hidden="false" customHeight="false" outlineLevel="0" collapsed="false">
      <c r="F278" s="41" t="str">
        <f aca="false">IF(E278="","",IFERROR(VLOOKUP(E278,Assumptions!$G$5:$H$16,2,0),"Other"))</f>
        <v/>
      </c>
      <c r="J278" s="41" t="str">
        <f aca="false">IF(G278="","",IFERROR(IF(ISNUMBER(SEARCH(Assumptions!$C$5,G278)),Assumptions!$D$5,IF(ISNUMBER(SEARCH(Assumptions!$C$6,G278)),Assumptions!$D$6,IF(ISNUMBER(SEARCH(Assumptions!$C$7,G278)),Assumptions!$D$7,"Other Services"))),"Other Services"))</f>
        <v/>
      </c>
    </row>
    <row r="279" customFormat="false" ht="15" hidden="false" customHeight="false" outlineLevel="0" collapsed="false">
      <c r="F279" s="41" t="str">
        <f aca="false">IF(E279="","",IFERROR(VLOOKUP(E279,Assumptions!$G$5:$H$16,2,0),"Other"))</f>
        <v/>
      </c>
      <c r="J279" s="41" t="str">
        <f aca="false">IF(G279="","",IFERROR(IF(ISNUMBER(SEARCH(Assumptions!$C$5,G279)),Assumptions!$D$5,IF(ISNUMBER(SEARCH(Assumptions!$C$6,G279)),Assumptions!$D$6,IF(ISNUMBER(SEARCH(Assumptions!$C$7,G279)),Assumptions!$D$7,"Other Services"))),"Other Services"))</f>
        <v/>
      </c>
    </row>
    <row r="280" customFormat="false" ht="15" hidden="false" customHeight="false" outlineLevel="0" collapsed="false">
      <c r="F280" s="41" t="str">
        <f aca="false">IF(E280="","",IFERROR(VLOOKUP(E280,Assumptions!$G$5:$H$16,2,0),"Other"))</f>
        <v/>
      </c>
      <c r="J280" s="41" t="str">
        <f aca="false">IF(G280="","",IFERROR(IF(ISNUMBER(SEARCH(Assumptions!$C$5,G280)),Assumptions!$D$5,IF(ISNUMBER(SEARCH(Assumptions!$C$6,G280)),Assumptions!$D$6,IF(ISNUMBER(SEARCH(Assumptions!$C$7,G280)),Assumptions!$D$7,"Other Services"))),"Other Services"))</f>
        <v/>
      </c>
    </row>
    <row r="281" customFormat="false" ht="15" hidden="false" customHeight="false" outlineLevel="0" collapsed="false">
      <c r="F281" s="41" t="str">
        <f aca="false">IF(E281="","",IFERROR(VLOOKUP(E281,Assumptions!$G$5:$H$16,2,0),"Other"))</f>
        <v/>
      </c>
      <c r="J281" s="41" t="str">
        <f aca="false">IF(G281="","",IFERROR(IF(ISNUMBER(SEARCH(Assumptions!$C$5,G281)),Assumptions!$D$5,IF(ISNUMBER(SEARCH(Assumptions!$C$6,G281)),Assumptions!$D$6,IF(ISNUMBER(SEARCH(Assumptions!$C$7,G281)),Assumptions!$D$7,"Other Services"))),"Other Services"))</f>
        <v/>
      </c>
    </row>
    <row r="282" customFormat="false" ht="15" hidden="false" customHeight="false" outlineLevel="0" collapsed="false">
      <c r="F282" s="41" t="str">
        <f aca="false">IF(E282="","",IFERROR(VLOOKUP(E282,Assumptions!$G$5:$H$16,2,0),"Other"))</f>
        <v/>
      </c>
      <c r="J282" s="41" t="str">
        <f aca="false">IF(G282="","",IFERROR(IF(ISNUMBER(SEARCH(Assumptions!$C$5,G282)),Assumptions!$D$5,IF(ISNUMBER(SEARCH(Assumptions!$C$6,G282)),Assumptions!$D$6,IF(ISNUMBER(SEARCH(Assumptions!$C$7,G282)),Assumptions!$D$7,"Other Services"))),"Other Services"))</f>
        <v/>
      </c>
    </row>
    <row r="283" customFormat="false" ht="15" hidden="false" customHeight="false" outlineLevel="0" collapsed="false">
      <c r="F283" s="41" t="str">
        <f aca="false">IF(E283="","",IFERROR(VLOOKUP(E283,Assumptions!$G$5:$H$16,2,0),"Other"))</f>
        <v/>
      </c>
      <c r="J283" s="41" t="str">
        <f aca="false">IF(G283="","",IFERROR(IF(ISNUMBER(SEARCH(Assumptions!$C$5,G283)),Assumptions!$D$5,IF(ISNUMBER(SEARCH(Assumptions!$C$6,G283)),Assumptions!$D$6,IF(ISNUMBER(SEARCH(Assumptions!$C$7,G283)),Assumptions!$D$7,"Other Services"))),"Other Services"))</f>
        <v/>
      </c>
    </row>
    <row r="284" customFormat="false" ht="15" hidden="false" customHeight="false" outlineLevel="0" collapsed="false">
      <c r="F284" s="41" t="str">
        <f aca="false">IF(E284="","",IFERROR(VLOOKUP(E284,Assumptions!$G$5:$H$16,2,0),"Other"))</f>
        <v/>
      </c>
      <c r="J284" s="41" t="str">
        <f aca="false">IF(G284="","",IFERROR(IF(ISNUMBER(SEARCH(Assumptions!$C$5,G284)),Assumptions!$D$5,IF(ISNUMBER(SEARCH(Assumptions!$C$6,G284)),Assumptions!$D$6,IF(ISNUMBER(SEARCH(Assumptions!$C$7,G284)),Assumptions!$D$7,"Other Services"))),"Other Services"))</f>
        <v/>
      </c>
    </row>
    <row r="285" customFormat="false" ht="15" hidden="false" customHeight="false" outlineLevel="0" collapsed="false">
      <c r="F285" s="41" t="str">
        <f aca="false">IF(E285="","",IFERROR(VLOOKUP(E285,Assumptions!$G$5:$H$16,2,0),"Other"))</f>
        <v/>
      </c>
      <c r="J285" s="41" t="str">
        <f aca="false">IF(G285="","",IFERROR(IF(ISNUMBER(SEARCH(Assumptions!$C$5,G285)),Assumptions!$D$5,IF(ISNUMBER(SEARCH(Assumptions!$C$6,G285)),Assumptions!$D$6,IF(ISNUMBER(SEARCH(Assumptions!$C$7,G285)),Assumptions!$D$7,"Other Services"))),"Other Services"))</f>
        <v/>
      </c>
    </row>
    <row r="286" customFormat="false" ht="15" hidden="false" customHeight="false" outlineLevel="0" collapsed="false">
      <c r="F286" s="41" t="str">
        <f aca="false">IF(E286="","",IFERROR(VLOOKUP(E286,Assumptions!$G$5:$H$16,2,0),"Other"))</f>
        <v/>
      </c>
      <c r="J286" s="41" t="str">
        <f aca="false">IF(G286="","",IFERROR(IF(ISNUMBER(SEARCH(Assumptions!$C$5,G286)),Assumptions!$D$5,IF(ISNUMBER(SEARCH(Assumptions!$C$6,G286)),Assumptions!$D$6,IF(ISNUMBER(SEARCH(Assumptions!$C$7,G286)),Assumptions!$D$7,"Other Services"))),"Other Services"))</f>
        <v/>
      </c>
    </row>
    <row r="287" customFormat="false" ht="15" hidden="false" customHeight="false" outlineLevel="0" collapsed="false">
      <c r="F287" s="41" t="str">
        <f aca="false">IF(E287="","",IFERROR(VLOOKUP(E287,Assumptions!$G$5:$H$16,2,0),"Other"))</f>
        <v/>
      </c>
      <c r="J287" s="41" t="str">
        <f aca="false">IF(G287="","",IFERROR(IF(ISNUMBER(SEARCH(Assumptions!$C$5,G287)),Assumptions!$D$5,IF(ISNUMBER(SEARCH(Assumptions!$C$6,G287)),Assumptions!$D$6,IF(ISNUMBER(SEARCH(Assumptions!$C$7,G287)),Assumptions!$D$7,"Other Services"))),"Other Services"))</f>
        <v/>
      </c>
    </row>
    <row r="288" customFormat="false" ht="15" hidden="false" customHeight="false" outlineLevel="0" collapsed="false">
      <c r="F288" s="41" t="str">
        <f aca="false">IF(E288="","",IFERROR(VLOOKUP(E288,Assumptions!$G$5:$H$16,2,0),"Other"))</f>
        <v/>
      </c>
      <c r="J288" s="41" t="str">
        <f aca="false">IF(G288="","",IFERROR(IF(ISNUMBER(SEARCH(Assumptions!$C$5,G288)),Assumptions!$D$5,IF(ISNUMBER(SEARCH(Assumptions!$C$6,G288)),Assumptions!$D$6,IF(ISNUMBER(SEARCH(Assumptions!$C$7,G288)),Assumptions!$D$7,"Other Services"))),"Other Services"))</f>
        <v/>
      </c>
    </row>
    <row r="289" customFormat="false" ht="15" hidden="false" customHeight="false" outlineLevel="0" collapsed="false">
      <c r="F289" s="41" t="str">
        <f aca="false">IF(E289="","",IFERROR(VLOOKUP(E289,Assumptions!$G$5:$H$16,2,0),"Other"))</f>
        <v/>
      </c>
      <c r="J289" s="41" t="str">
        <f aca="false">IF(G289="","",IFERROR(IF(ISNUMBER(SEARCH(Assumptions!$C$5,G289)),Assumptions!$D$5,IF(ISNUMBER(SEARCH(Assumptions!$C$6,G289)),Assumptions!$D$6,IF(ISNUMBER(SEARCH(Assumptions!$C$7,G289)),Assumptions!$D$7,"Other Services"))),"Other Services"))</f>
        <v/>
      </c>
    </row>
    <row r="290" customFormat="false" ht="15" hidden="false" customHeight="false" outlineLevel="0" collapsed="false">
      <c r="F290" s="41" t="str">
        <f aca="false">IF(E290="","",IFERROR(VLOOKUP(E290,Assumptions!$G$5:$H$16,2,0),"Other"))</f>
        <v/>
      </c>
      <c r="J290" s="41" t="str">
        <f aca="false">IF(G290="","",IFERROR(IF(ISNUMBER(SEARCH(Assumptions!$C$5,G290)),Assumptions!$D$5,IF(ISNUMBER(SEARCH(Assumptions!$C$6,G290)),Assumptions!$D$6,IF(ISNUMBER(SEARCH(Assumptions!$C$7,G290)),Assumptions!$D$7,"Other Services"))),"Other Services"))</f>
        <v/>
      </c>
    </row>
    <row r="291" customFormat="false" ht="15" hidden="false" customHeight="false" outlineLevel="0" collapsed="false">
      <c r="F291" s="41" t="str">
        <f aca="false">IF(E291="","",IFERROR(VLOOKUP(E291,Assumptions!$G$5:$H$16,2,0),"Other"))</f>
        <v/>
      </c>
      <c r="J291" s="41" t="str">
        <f aca="false">IF(G291="","",IFERROR(IF(ISNUMBER(SEARCH(Assumptions!$C$5,G291)),Assumptions!$D$5,IF(ISNUMBER(SEARCH(Assumptions!$C$6,G291)),Assumptions!$D$6,IF(ISNUMBER(SEARCH(Assumptions!$C$7,G291)),Assumptions!$D$7,"Other Services"))),"Other Services"))</f>
        <v/>
      </c>
    </row>
    <row r="292" customFormat="false" ht="15" hidden="false" customHeight="false" outlineLevel="0" collapsed="false">
      <c r="F292" s="41" t="str">
        <f aca="false">IF(E292="","",IFERROR(VLOOKUP(E292,Assumptions!$G$5:$H$16,2,0),"Other"))</f>
        <v/>
      </c>
      <c r="J292" s="41" t="str">
        <f aca="false">IF(G292="","",IFERROR(IF(ISNUMBER(SEARCH(Assumptions!$C$5,G292)),Assumptions!$D$5,IF(ISNUMBER(SEARCH(Assumptions!$C$6,G292)),Assumptions!$D$6,IF(ISNUMBER(SEARCH(Assumptions!$C$7,G292)),Assumptions!$D$7,"Other Services"))),"Other Services"))</f>
        <v/>
      </c>
    </row>
    <row r="293" customFormat="false" ht="15" hidden="false" customHeight="false" outlineLevel="0" collapsed="false">
      <c r="F293" s="41" t="str">
        <f aca="false">IF(E293="","",IFERROR(VLOOKUP(E293,Assumptions!$G$5:$H$16,2,0),"Other"))</f>
        <v/>
      </c>
      <c r="J293" s="41" t="str">
        <f aca="false">IF(G293="","",IFERROR(IF(ISNUMBER(SEARCH(Assumptions!$C$5,G293)),Assumptions!$D$5,IF(ISNUMBER(SEARCH(Assumptions!$C$6,G293)),Assumptions!$D$6,IF(ISNUMBER(SEARCH(Assumptions!$C$7,G293)),Assumptions!$D$7,"Other Services"))),"Other Services"))</f>
        <v/>
      </c>
    </row>
    <row r="294" customFormat="false" ht="15" hidden="false" customHeight="false" outlineLevel="0" collapsed="false">
      <c r="F294" s="41" t="str">
        <f aca="false">IF(E294="","",IFERROR(VLOOKUP(E294,Assumptions!$G$5:$H$16,2,0),"Other"))</f>
        <v/>
      </c>
      <c r="J294" s="41" t="str">
        <f aca="false">IF(G294="","",IFERROR(IF(ISNUMBER(SEARCH(Assumptions!$C$5,G294)),Assumptions!$D$5,IF(ISNUMBER(SEARCH(Assumptions!$C$6,G294)),Assumptions!$D$6,IF(ISNUMBER(SEARCH(Assumptions!$C$7,G294)),Assumptions!$D$7,"Other Services"))),"Other Services"))</f>
        <v/>
      </c>
    </row>
    <row r="295" customFormat="false" ht="15" hidden="false" customHeight="false" outlineLevel="0" collapsed="false">
      <c r="F295" s="41" t="str">
        <f aca="false">IF(E295="","",IFERROR(VLOOKUP(E295,Assumptions!$G$5:$H$16,2,0),"Other"))</f>
        <v/>
      </c>
      <c r="J295" s="41" t="str">
        <f aca="false">IF(G295="","",IFERROR(IF(ISNUMBER(SEARCH(Assumptions!$C$5,G295)),Assumptions!$D$5,IF(ISNUMBER(SEARCH(Assumptions!$C$6,G295)),Assumptions!$D$6,IF(ISNUMBER(SEARCH(Assumptions!$C$7,G295)),Assumptions!$D$7,"Other Services"))),"Other Services"))</f>
        <v/>
      </c>
    </row>
    <row r="296" customFormat="false" ht="15" hidden="false" customHeight="false" outlineLevel="0" collapsed="false">
      <c r="F296" s="41" t="str">
        <f aca="false">IF(E296="","",IFERROR(VLOOKUP(E296,Assumptions!$G$5:$H$16,2,0),"Other"))</f>
        <v/>
      </c>
      <c r="J296" s="41" t="str">
        <f aca="false">IF(G296="","",IFERROR(IF(ISNUMBER(SEARCH(Assumptions!$C$5,G296)),Assumptions!$D$5,IF(ISNUMBER(SEARCH(Assumptions!$C$6,G296)),Assumptions!$D$6,IF(ISNUMBER(SEARCH(Assumptions!$C$7,G296)),Assumptions!$D$7,"Other Services"))),"Other Services"))</f>
        <v/>
      </c>
    </row>
    <row r="297" customFormat="false" ht="15" hidden="false" customHeight="false" outlineLevel="0" collapsed="false">
      <c r="F297" s="41" t="str">
        <f aca="false">IF(E297="","",IFERROR(VLOOKUP(E297,Assumptions!$G$5:$H$16,2,0),"Other"))</f>
        <v/>
      </c>
      <c r="J297" s="41" t="str">
        <f aca="false">IF(G297="","",IFERROR(IF(ISNUMBER(SEARCH(Assumptions!$C$5,G297)),Assumptions!$D$5,IF(ISNUMBER(SEARCH(Assumptions!$C$6,G297)),Assumptions!$D$6,IF(ISNUMBER(SEARCH(Assumptions!$C$7,G297)),Assumptions!$D$7,"Other Services"))),"Other Services"))</f>
        <v/>
      </c>
    </row>
    <row r="298" customFormat="false" ht="15" hidden="false" customHeight="false" outlineLevel="0" collapsed="false">
      <c r="F298" s="41" t="str">
        <f aca="false">IF(E298="","",IFERROR(VLOOKUP(E298,Assumptions!$G$5:$H$16,2,0),"Other"))</f>
        <v/>
      </c>
      <c r="J298" s="41" t="str">
        <f aca="false">IF(G298="","",IFERROR(IF(ISNUMBER(SEARCH(Assumptions!$C$5,G298)),Assumptions!$D$5,IF(ISNUMBER(SEARCH(Assumptions!$C$6,G298)),Assumptions!$D$6,IF(ISNUMBER(SEARCH(Assumptions!$C$7,G298)),Assumptions!$D$7,"Other Services"))),"Other Services"))</f>
        <v/>
      </c>
    </row>
    <row r="299" customFormat="false" ht="15" hidden="false" customHeight="false" outlineLevel="0" collapsed="false">
      <c r="F299" s="41" t="str">
        <f aca="false">IF(E299="","",IFERROR(VLOOKUP(E299,Assumptions!$G$5:$H$16,2,0),"Other"))</f>
        <v/>
      </c>
      <c r="J299" s="41" t="str">
        <f aca="false">IF(G299="","",IFERROR(IF(ISNUMBER(SEARCH(Assumptions!$C$5,G299)),Assumptions!$D$5,IF(ISNUMBER(SEARCH(Assumptions!$C$6,G299)),Assumptions!$D$6,IF(ISNUMBER(SEARCH(Assumptions!$C$7,G299)),Assumptions!$D$7,"Other Services"))),"Other Services"))</f>
        <v/>
      </c>
    </row>
    <row r="300" customFormat="false" ht="15" hidden="false" customHeight="false" outlineLevel="0" collapsed="false">
      <c r="F300" s="41" t="str">
        <f aca="false">IF(E300="","",IFERROR(VLOOKUP(E300,Assumptions!$G$5:$H$16,2,0),"Other"))</f>
        <v/>
      </c>
      <c r="J300" s="41" t="str">
        <f aca="false">IF(G300="","",IFERROR(IF(ISNUMBER(SEARCH(Assumptions!$C$5,G300)),Assumptions!$D$5,IF(ISNUMBER(SEARCH(Assumptions!$C$6,G300)),Assumptions!$D$6,IF(ISNUMBER(SEARCH(Assumptions!$C$7,G300)),Assumptions!$D$7,"Other Services"))),"Other Services"))</f>
        <v/>
      </c>
    </row>
    <row r="301" customFormat="false" ht="15" hidden="false" customHeight="false" outlineLevel="0" collapsed="false">
      <c r="F301" s="41" t="str">
        <f aca="false">IF(E301="","",IFERROR(VLOOKUP(E301,Assumptions!$G$5:$H$16,2,0),"Other"))</f>
        <v/>
      </c>
      <c r="J301" s="41" t="str">
        <f aca="false">IF(G301="","",IFERROR(IF(ISNUMBER(SEARCH(Assumptions!$C$5,G301)),Assumptions!$D$5,IF(ISNUMBER(SEARCH(Assumptions!$C$6,G301)),Assumptions!$D$6,IF(ISNUMBER(SEARCH(Assumptions!$C$7,G301)),Assumptions!$D$7,"Other Services"))),"Other Services"))</f>
        <v/>
      </c>
    </row>
    <row r="302" customFormat="false" ht="15" hidden="false" customHeight="false" outlineLevel="0" collapsed="false">
      <c r="F302" s="41" t="str">
        <f aca="false">IF(E302="","",IFERROR(VLOOKUP(E302,Assumptions!$G$5:$H$16,2,0),"Other"))</f>
        <v/>
      </c>
      <c r="J302" s="41" t="str">
        <f aca="false">IF(G302="","",IFERROR(IF(ISNUMBER(SEARCH(Assumptions!$C$5,G302)),Assumptions!$D$5,IF(ISNUMBER(SEARCH(Assumptions!$C$6,G302)),Assumptions!$D$6,IF(ISNUMBER(SEARCH(Assumptions!$C$7,G302)),Assumptions!$D$7,"Other Services"))),"Other Services"))</f>
        <v/>
      </c>
    </row>
    <row r="303" customFormat="false" ht="15" hidden="false" customHeight="false" outlineLevel="0" collapsed="false">
      <c r="F303" s="41" t="str">
        <f aca="false">IF(E303="","",IFERROR(VLOOKUP(E303,Assumptions!$G$5:$H$16,2,0),"Other"))</f>
        <v/>
      </c>
      <c r="J303" s="41" t="str">
        <f aca="false">IF(G303="","",IFERROR(IF(ISNUMBER(SEARCH(Assumptions!$C$5,G303)),Assumptions!$D$5,IF(ISNUMBER(SEARCH(Assumptions!$C$6,G303)),Assumptions!$D$6,IF(ISNUMBER(SEARCH(Assumptions!$C$7,G303)),Assumptions!$D$7,"Other Services"))),"Other Services"))</f>
        <v/>
      </c>
    </row>
    <row r="304" customFormat="false" ht="15" hidden="false" customHeight="false" outlineLevel="0" collapsed="false">
      <c r="F304" s="41" t="str">
        <f aca="false">IF(E304="","",IFERROR(VLOOKUP(E304,Assumptions!$G$5:$H$16,2,0),"Other"))</f>
        <v/>
      </c>
      <c r="J304" s="41" t="str">
        <f aca="false">IF(G304="","",IFERROR(IF(ISNUMBER(SEARCH(Assumptions!$C$5,G304)),Assumptions!$D$5,IF(ISNUMBER(SEARCH(Assumptions!$C$6,G304)),Assumptions!$D$6,IF(ISNUMBER(SEARCH(Assumptions!$C$7,G304)),Assumptions!$D$7,"Other Services"))),"Other Services"))</f>
        <v/>
      </c>
    </row>
    <row r="305" customFormat="false" ht="15" hidden="false" customHeight="false" outlineLevel="0" collapsed="false">
      <c r="F305" s="41" t="str">
        <f aca="false">IF(E305="","",IFERROR(VLOOKUP(E305,Assumptions!$G$5:$H$16,2,0),"Other"))</f>
        <v/>
      </c>
      <c r="J305" s="41" t="str">
        <f aca="false">IF(G305="","",IFERROR(IF(ISNUMBER(SEARCH(Assumptions!$C$5,G305)),Assumptions!$D$5,IF(ISNUMBER(SEARCH(Assumptions!$C$6,G305)),Assumptions!$D$6,IF(ISNUMBER(SEARCH(Assumptions!$C$7,G305)),Assumptions!$D$7,"Other Services"))),"Other Services"))</f>
        <v/>
      </c>
    </row>
    <row r="306" customFormat="false" ht="15" hidden="false" customHeight="false" outlineLevel="0" collapsed="false">
      <c r="F306" s="41" t="str">
        <f aca="false">IF(E306="","",IFERROR(VLOOKUP(E306,Assumptions!$G$5:$H$16,2,0),"Other"))</f>
        <v/>
      </c>
      <c r="J306" s="41" t="str">
        <f aca="false">IF(G306="","",IFERROR(IF(ISNUMBER(SEARCH(Assumptions!$C$5,G306)),Assumptions!$D$5,IF(ISNUMBER(SEARCH(Assumptions!$C$6,G306)),Assumptions!$D$6,IF(ISNUMBER(SEARCH(Assumptions!$C$7,G306)),Assumptions!$D$7,"Other Services"))),"Other Services"))</f>
        <v/>
      </c>
    </row>
    <row r="307" customFormat="false" ht="15" hidden="false" customHeight="false" outlineLevel="0" collapsed="false">
      <c r="F307" s="41" t="str">
        <f aca="false">IF(E307="","",IFERROR(VLOOKUP(E307,Assumptions!$G$5:$H$16,2,0),"Other"))</f>
        <v/>
      </c>
      <c r="J307" s="41" t="str">
        <f aca="false">IF(G307="","",IFERROR(IF(ISNUMBER(SEARCH(Assumptions!$C$5,G307)),Assumptions!$D$5,IF(ISNUMBER(SEARCH(Assumptions!$C$6,G307)),Assumptions!$D$6,IF(ISNUMBER(SEARCH(Assumptions!$C$7,G307)),Assumptions!$D$7,"Other Services"))),"Other Services"))</f>
        <v/>
      </c>
    </row>
    <row r="308" customFormat="false" ht="15" hidden="false" customHeight="false" outlineLevel="0" collapsed="false">
      <c r="F308" s="41" t="str">
        <f aca="false">IF(E308="","",IFERROR(VLOOKUP(E308,Assumptions!$G$5:$H$16,2,0),"Other"))</f>
        <v/>
      </c>
      <c r="J308" s="41" t="str">
        <f aca="false">IF(G308="","",IFERROR(IF(ISNUMBER(SEARCH(Assumptions!$C$5,G308)),Assumptions!$D$5,IF(ISNUMBER(SEARCH(Assumptions!$C$6,G308)),Assumptions!$D$6,IF(ISNUMBER(SEARCH(Assumptions!$C$7,G308)),Assumptions!$D$7,"Other Services"))),"Other Services"))</f>
        <v/>
      </c>
    </row>
    <row r="309" customFormat="false" ht="15" hidden="false" customHeight="false" outlineLevel="0" collapsed="false">
      <c r="F309" s="41" t="str">
        <f aca="false">IF(E309="","",IFERROR(VLOOKUP(E309,Assumptions!$G$5:$H$16,2,0),"Other"))</f>
        <v/>
      </c>
      <c r="J309" s="41" t="str">
        <f aca="false">IF(G309="","",IFERROR(IF(ISNUMBER(SEARCH(Assumptions!$C$5,G309)),Assumptions!$D$5,IF(ISNUMBER(SEARCH(Assumptions!$C$6,G309)),Assumptions!$D$6,IF(ISNUMBER(SEARCH(Assumptions!$C$7,G309)),Assumptions!$D$7,"Other Services"))),"Other Services"))</f>
        <v/>
      </c>
    </row>
    <row r="310" customFormat="false" ht="15" hidden="false" customHeight="false" outlineLevel="0" collapsed="false">
      <c r="F310" s="41" t="str">
        <f aca="false">IF(E310="","",IFERROR(VLOOKUP(E310,Assumptions!$G$5:$H$16,2,0),"Other"))</f>
        <v/>
      </c>
      <c r="J310" s="41" t="str">
        <f aca="false">IF(G310="","",IFERROR(IF(ISNUMBER(SEARCH(Assumptions!$C$5,G310)),Assumptions!$D$5,IF(ISNUMBER(SEARCH(Assumptions!$C$6,G310)),Assumptions!$D$6,IF(ISNUMBER(SEARCH(Assumptions!$C$7,G310)),Assumptions!$D$7,"Other Services"))),"Other Services"))</f>
        <v/>
      </c>
    </row>
    <row r="311" customFormat="false" ht="15" hidden="false" customHeight="false" outlineLevel="0" collapsed="false">
      <c r="F311" s="41" t="str">
        <f aca="false">IF(E311="","",IFERROR(VLOOKUP(E311,Assumptions!$G$5:$H$16,2,0),"Other"))</f>
        <v/>
      </c>
      <c r="J311" s="41" t="str">
        <f aca="false">IF(G311="","",IFERROR(IF(ISNUMBER(SEARCH(Assumptions!$C$5,G311)),Assumptions!$D$5,IF(ISNUMBER(SEARCH(Assumptions!$C$6,G311)),Assumptions!$D$6,IF(ISNUMBER(SEARCH(Assumptions!$C$7,G311)),Assumptions!$D$7,"Other Services"))),"Other Services"))</f>
        <v/>
      </c>
    </row>
    <row r="312" customFormat="false" ht="15" hidden="false" customHeight="false" outlineLevel="0" collapsed="false">
      <c r="F312" s="41" t="str">
        <f aca="false">IF(E312="","",IFERROR(VLOOKUP(E312,Assumptions!$G$5:$H$16,2,0),"Other"))</f>
        <v/>
      </c>
      <c r="J312" s="41" t="str">
        <f aca="false">IF(G312="","",IFERROR(IF(ISNUMBER(SEARCH(Assumptions!$C$5,G312)),Assumptions!$D$5,IF(ISNUMBER(SEARCH(Assumptions!$C$6,G312)),Assumptions!$D$6,IF(ISNUMBER(SEARCH(Assumptions!$C$7,G312)),Assumptions!$D$7,"Other Services"))),"Other Services"))</f>
        <v/>
      </c>
    </row>
    <row r="313" customFormat="false" ht="15" hidden="false" customHeight="false" outlineLevel="0" collapsed="false">
      <c r="F313" s="41" t="str">
        <f aca="false">IF(E313="","",IFERROR(VLOOKUP(E313,Assumptions!$G$5:$H$16,2,0),"Other"))</f>
        <v/>
      </c>
      <c r="J313" s="41" t="str">
        <f aca="false">IF(G313="","",IFERROR(IF(ISNUMBER(SEARCH(Assumptions!$C$5,G313)),Assumptions!$D$5,IF(ISNUMBER(SEARCH(Assumptions!$C$6,G313)),Assumptions!$D$6,IF(ISNUMBER(SEARCH(Assumptions!$C$7,G313)),Assumptions!$D$7,"Other Services"))),"Other Services"))</f>
        <v/>
      </c>
    </row>
    <row r="314" customFormat="false" ht="15" hidden="false" customHeight="false" outlineLevel="0" collapsed="false">
      <c r="F314" s="41" t="str">
        <f aca="false">IF(E314="","",IFERROR(VLOOKUP(E314,Assumptions!$G$5:$H$16,2,0),"Other"))</f>
        <v/>
      </c>
      <c r="J314" s="41" t="str">
        <f aca="false">IF(G314="","",IFERROR(IF(ISNUMBER(SEARCH(Assumptions!$C$5,G314)),Assumptions!$D$5,IF(ISNUMBER(SEARCH(Assumptions!$C$6,G314)),Assumptions!$D$6,IF(ISNUMBER(SEARCH(Assumptions!$C$7,G314)),Assumptions!$D$7,"Other Services"))),"Other Services"))</f>
        <v/>
      </c>
    </row>
    <row r="315" customFormat="false" ht="15" hidden="false" customHeight="false" outlineLevel="0" collapsed="false">
      <c r="F315" s="41" t="str">
        <f aca="false">IF(E315="","",IFERROR(VLOOKUP(E315,Assumptions!$G$5:$H$16,2,0),"Other"))</f>
        <v/>
      </c>
      <c r="J315" s="41" t="str">
        <f aca="false">IF(G315="","",IFERROR(IF(ISNUMBER(SEARCH(Assumptions!$C$5,G315)),Assumptions!$D$5,IF(ISNUMBER(SEARCH(Assumptions!$C$6,G315)),Assumptions!$D$6,IF(ISNUMBER(SEARCH(Assumptions!$C$7,G315)),Assumptions!$D$7,"Other Services"))),"Other Services"))</f>
        <v/>
      </c>
    </row>
    <row r="316" customFormat="false" ht="15" hidden="false" customHeight="false" outlineLevel="0" collapsed="false">
      <c r="F316" s="41" t="str">
        <f aca="false">IF(E316="","",IFERROR(VLOOKUP(E316,Assumptions!$G$5:$H$16,2,0),"Other"))</f>
        <v/>
      </c>
      <c r="J316" s="41" t="str">
        <f aca="false">IF(G316="","",IFERROR(IF(ISNUMBER(SEARCH(Assumptions!$C$5,G316)),Assumptions!$D$5,IF(ISNUMBER(SEARCH(Assumptions!$C$6,G316)),Assumptions!$D$6,IF(ISNUMBER(SEARCH(Assumptions!$C$7,G316)),Assumptions!$D$7,"Other Services"))),"Other Services"))</f>
        <v/>
      </c>
    </row>
    <row r="317" customFormat="false" ht="15" hidden="false" customHeight="false" outlineLevel="0" collapsed="false">
      <c r="F317" s="41" t="str">
        <f aca="false">IF(E317="","",IFERROR(VLOOKUP(E317,Assumptions!$G$5:$H$16,2,0),"Other"))</f>
        <v/>
      </c>
      <c r="J317" s="41" t="str">
        <f aca="false">IF(G317="","",IFERROR(IF(ISNUMBER(SEARCH(Assumptions!$C$5,G317)),Assumptions!$D$5,IF(ISNUMBER(SEARCH(Assumptions!$C$6,G317)),Assumptions!$D$6,IF(ISNUMBER(SEARCH(Assumptions!$C$7,G317)),Assumptions!$D$7,"Other Services"))),"Other Services"))</f>
        <v/>
      </c>
    </row>
    <row r="318" customFormat="false" ht="15" hidden="false" customHeight="false" outlineLevel="0" collapsed="false">
      <c r="F318" s="41" t="str">
        <f aca="false">IF(E318="","",IFERROR(VLOOKUP(E318,Assumptions!$G$5:$H$16,2,0),"Other"))</f>
        <v/>
      </c>
      <c r="J318" s="41" t="str">
        <f aca="false">IF(G318="","",IFERROR(IF(ISNUMBER(SEARCH(Assumptions!$C$5,G318)),Assumptions!$D$5,IF(ISNUMBER(SEARCH(Assumptions!$C$6,G318)),Assumptions!$D$6,IF(ISNUMBER(SEARCH(Assumptions!$C$7,G318)),Assumptions!$D$7,"Other Services"))),"Other Services"))</f>
        <v/>
      </c>
    </row>
    <row r="319" customFormat="false" ht="15" hidden="false" customHeight="false" outlineLevel="0" collapsed="false">
      <c r="F319" s="41" t="str">
        <f aca="false">IF(E319="","",IFERROR(VLOOKUP(E319,Assumptions!$G$5:$H$16,2,0),"Other"))</f>
        <v/>
      </c>
      <c r="J319" s="41" t="str">
        <f aca="false">IF(G319="","",IFERROR(IF(ISNUMBER(SEARCH(Assumptions!$C$5,G319)),Assumptions!$D$5,IF(ISNUMBER(SEARCH(Assumptions!$C$6,G319)),Assumptions!$D$6,IF(ISNUMBER(SEARCH(Assumptions!$C$7,G319)),Assumptions!$D$7,"Other Services"))),"Other Services"))</f>
        <v/>
      </c>
    </row>
    <row r="320" customFormat="false" ht="15" hidden="false" customHeight="false" outlineLevel="0" collapsed="false">
      <c r="F320" s="41" t="str">
        <f aca="false">IF(E320="","",IFERROR(VLOOKUP(E320,Assumptions!$G$5:$H$16,2,0),"Other"))</f>
        <v/>
      </c>
      <c r="J320" s="41" t="str">
        <f aca="false">IF(G320="","",IFERROR(IF(ISNUMBER(SEARCH(Assumptions!$C$5,G320)),Assumptions!$D$5,IF(ISNUMBER(SEARCH(Assumptions!$C$6,G320)),Assumptions!$D$6,IF(ISNUMBER(SEARCH(Assumptions!$C$7,G320)),Assumptions!$D$7,"Other Services"))),"Other Services"))</f>
        <v/>
      </c>
    </row>
    <row r="321" customFormat="false" ht="15" hidden="false" customHeight="false" outlineLevel="0" collapsed="false">
      <c r="F321" s="41" t="str">
        <f aca="false">IF(E321="","",IFERROR(VLOOKUP(E321,Assumptions!$G$5:$H$16,2,0),"Other"))</f>
        <v/>
      </c>
      <c r="J321" s="41" t="str">
        <f aca="false">IF(G321="","",IFERROR(IF(ISNUMBER(SEARCH(Assumptions!$C$5,G321)),Assumptions!$D$5,IF(ISNUMBER(SEARCH(Assumptions!$C$6,G321)),Assumptions!$D$6,IF(ISNUMBER(SEARCH(Assumptions!$C$7,G321)),Assumptions!$D$7,"Other Services"))),"Other Services"))</f>
        <v/>
      </c>
    </row>
    <row r="322" customFormat="false" ht="15" hidden="false" customHeight="false" outlineLevel="0" collapsed="false">
      <c r="F322" s="41" t="str">
        <f aca="false">IF(E322="","",IFERROR(VLOOKUP(E322,Assumptions!$G$5:$H$16,2,0),"Other"))</f>
        <v/>
      </c>
      <c r="J322" s="41" t="str">
        <f aca="false">IF(G322="","",IFERROR(IF(ISNUMBER(SEARCH(Assumptions!$C$5,G322)),Assumptions!$D$5,IF(ISNUMBER(SEARCH(Assumptions!$C$6,G322)),Assumptions!$D$6,IF(ISNUMBER(SEARCH(Assumptions!$C$7,G322)),Assumptions!$D$7,"Other Services"))),"Other Services"))</f>
        <v/>
      </c>
    </row>
    <row r="323" customFormat="false" ht="15" hidden="false" customHeight="false" outlineLevel="0" collapsed="false">
      <c r="F323" s="41" t="str">
        <f aca="false">IF(E323="","",IFERROR(VLOOKUP(E323,Assumptions!$G$5:$H$16,2,0),"Other"))</f>
        <v/>
      </c>
      <c r="J323" s="41" t="str">
        <f aca="false">IF(G323="","",IFERROR(IF(ISNUMBER(SEARCH(Assumptions!$C$5,G323)),Assumptions!$D$5,IF(ISNUMBER(SEARCH(Assumptions!$C$6,G323)),Assumptions!$D$6,IF(ISNUMBER(SEARCH(Assumptions!$C$7,G323)),Assumptions!$D$7,"Other Services"))),"Other Services"))</f>
        <v/>
      </c>
    </row>
    <row r="324" customFormat="false" ht="15" hidden="false" customHeight="false" outlineLevel="0" collapsed="false">
      <c r="F324" s="41" t="str">
        <f aca="false">IF(E324="","",IFERROR(VLOOKUP(E324,Assumptions!$G$5:$H$16,2,0),"Other"))</f>
        <v/>
      </c>
      <c r="J324" s="41" t="str">
        <f aca="false">IF(G324="","",IFERROR(IF(ISNUMBER(SEARCH(Assumptions!$C$5,G324)),Assumptions!$D$5,IF(ISNUMBER(SEARCH(Assumptions!$C$6,G324)),Assumptions!$D$6,IF(ISNUMBER(SEARCH(Assumptions!$C$7,G324)),Assumptions!$D$7,"Other Services"))),"Other Services"))</f>
        <v/>
      </c>
    </row>
    <row r="325" customFormat="false" ht="15" hidden="false" customHeight="false" outlineLevel="0" collapsed="false">
      <c r="F325" s="41" t="str">
        <f aca="false">IF(E325="","",IFERROR(VLOOKUP(E325,Assumptions!$G$5:$H$16,2,0),"Other"))</f>
        <v/>
      </c>
      <c r="J325" s="41" t="str">
        <f aca="false">IF(G325="","",IFERROR(IF(ISNUMBER(SEARCH(Assumptions!$C$5,G325)),Assumptions!$D$5,IF(ISNUMBER(SEARCH(Assumptions!$C$6,G325)),Assumptions!$D$6,IF(ISNUMBER(SEARCH(Assumptions!$C$7,G325)),Assumptions!$D$7,"Other Services"))),"Other Services"))</f>
        <v/>
      </c>
    </row>
    <row r="326" customFormat="false" ht="15" hidden="false" customHeight="false" outlineLevel="0" collapsed="false">
      <c r="F326" s="41" t="str">
        <f aca="false">IF(E326="","",IFERROR(VLOOKUP(E326,Assumptions!$G$5:$H$16,2,0),"Other"))</f>
        <v/>
      </c>
      <c r="J326" s="41" t="str">
        <f aca="false">IF(G326="","",IFERROR(IF(ISNUMBER(SEARCH(Assumptions!$C$5,G326)),Assumptions!$D$5,IF(ISNUMBER(SEARCH(Assumptions!$C$6,G326)),Assumptions!$D$6,IF(ISNUMBER(SEARCH(Assumptions!$C$7,G326)),Assumptions!$D$7,"Other Services"))),"Other Services"))</f>
        <v/>
      </c>
    </row>
    <row r="327" customFormat="false" ht="15" hidden="false" customHeight="false" outlineLevel="0" collapsed="false">
      <c r="F327" s="41" t="str">
        <f aca="false">IF(E327="","",IFERROR(VLOOKUP(E327,Assumptions!$G$5:$H$16,2,0),"Other"))</f>
        <v/>
      </c>
      <c r="J327" s="41" t="str">
        <f aca="false">IF(G327="","",IFERROR(IF(ISNUMBER(SEARCH(Assumptions!$C$5,G327)),Assumptions!$D$5,IF(ISNUMBER(SEARCH(Assumptions!$C$6,G327)),Assumptions!$D$6,IF(ISNUMBER(SEARCH(Assumptions!$C$7,G327)),Assumptions!$D$7,"Other Services"))),"Other Services"))</f>
        <v/>
      </c>
    </row>
    <row r="328" customFormat="false" ht="15" hidden="false" customHeight="false" outlineLevel="0" collapsed="false">
      <c r="F328" s="41" t="str">
        <f aca="false">IF(E328="","",IFERROR(VLOOKUP(E328,Assumptions!$G$5:$H$16,2,0),"Other"))</f>
        <v/>
      </c>
      <c r="J328" s="41" t="str">
        <f aca="false">IF(G328="","",IFERROR(IF(ISNUMBER(SEARCH(Assumptions!$C$5,G328)),Assumptions!$D$5,IF(ISNUMBER(SEARCH(Assumptions!$C$6,G328)),Assumptions!$D$6,IF(ISNUMBER(SEARCH(Assumptions!$C$7,G328)),Assumptions!$D$7,"Other Services"))),"Other Services"))</f>
        <v/>
      </c>
    </row>
    <row r="329" customFormat="false" ht="15" hidden="false" customHeight="false" outlineLevel="0" collapsed="false">
      <c r="F329" s="41" t="str">
        <f aca="false">IF(E329="","",IFERROR(VLOOKUP(E329,Assumptions!$G$5:$H$16,2,0),"Other"))</f>
        <v/>
      </c>
      <c r="J329" s="41" t="str">
        <f aca="false">IF(G329="","",IFERROR(IF(ISNUMBER(SEARCH(Assumptions!$C$5,G329)),Assumptions!$D$5,IF(ISNUMBER(SEARCH(Assumptions!$C$6,G329)),Assumptions!$D$6,IF(ISNUMBER(SEARCH(Assumptions!$C$7,G329)),Assumptions!$D$7,"Other Services"))),"Other Services"))</f>
        <v/>
      </c>
    </row>
    <row r="330" customFormat="false" ht="15" hidden="false" customHeight="false" outlineLevel="0" collapsed="false">
      <c r="F330" s="41" t="str">
        <f aca="false">IF(E330="","",IFERROR(VLOOKUP(E330,Assumptions!$G$5:$H$16,2,0),"Other"))</f>
        <v/>
      </c>
      <c r="J330" s="41" t="str">
        <f aca="false">IF(G330="","",IFERROR(IF(ISNUMBER(SEARCH(Assumptions!$C$5,G330)),Assumptions!$D$5,IF(ISNUMBER(SEARCH(Assumptions!$C$6,G330)),Assumptions!$D$6,IF(ISNUMBER(SEARCH(Assumptions!$C$7,G330)),Assumptions!$D$7,"Other Services"))),"Other Services"))</f>
        <v/>
      </c>
    </row>
    <row r="331" customFormat="false" ht="15" hidden="false" customHeight="false" outlineLevel="0" collapsed="false">
      <c r="F331" s="41" t="str">
        <f aca="false">IF(E331="","",IFERROR(VLOOKUP(E331,Assumptions!$G$5:$H$16,2,0),"Other"))</f>
        <v/>
      </c>
      <c r="J331" s="41" t="str">
        <f aca="false">IF(G331="","",IFERROR(IF(ISNUMBER(SEARCH(Assumptions!$C$5,G331)),Assumptions!$D$5,IF(ISNUMBER(SEARCH(Assumptions!$C$6,G331)),Assumptions!$D$6,IF(ISNUMBER(SEARCH(Assumptions!$C$7,G331)),Assumptions!$D$7,"Other Services"))),"Other Services"))</f>
        <v/>
      </c>
    </row>
    <row r="332" customFormat="false" ht="15" hidden="false" customHeight="false" outlineLevel="0" collapsed="false">
      <c r="F332" s="41" t="str">
        <f aca="false">IF(E332="","",IFERROR(VLOOKUP(E332,Assumptions!$G$5:$H$16,2,0),"Other"))</f>
        <v/>
      </c>
      <c r="J332" s="41" t="str">
        <f aca="false">IF(G332="","",IFERROR(IF(ISNUMBER(SEARCH(Assumptions!$C$5,G332)),Assumptions!$D$5,IF(ISNUMBER(SEARCH(Assumptions!$C$6,G332)),Assumptions!$D$6,IF(ISNUMBER(SEARCH(Assumptions!$C$7,G332)),Assumptions!$D$7,"Other Services"))),"Other Services"))</f>
        <v/>
      </c>
    </row>
    <row r="333" customFormat="false" ht="15" hidden="false" customHeight="false" outlineLevel="0" collapsed="false">
      <c r="F333" s="41" t="str">
        <f aca="false">IF(E333="","",IFERROR(VLOOKUP(E333,Assumptions!$G$5:$H$16,2,0),"Other"))</f>
        <v/>
      </c>
      <c r="J333" s="41" t="str">
        <f aca="false">IF(G333="","",IFERROR(IF(ISNUMBER(SEARCH(Assumptions!$C$5,G333)),Assumptions!$D$5,IF(ISNUMBER(SEARCH(Assumptions!$C$6,G333)),Assumptions!$D$6,IF(ISNUMBER(SEARCH(Assumptions!$C$7,G333)),Assumptions!$D$7,"Other Services"))),"Other Services"))</f>
        <v/>
      </c>
    </row>
    <row r="334" customFormat="false" ht="15" hidden="false" customHeight="false" outlineLevel="0" collapsed="false">
      <c r="F334" s="41" t="str">
        <f aca="false">IF(E334="","",IFERROR(VLOOKUP(E334,Assumptions!$G$5:$H$16,2,0),"Other"))</f>
        <v/>
      </c>
      <c r="J334" s="41" t="str">
        <f aca="false">IF(G334="","",IFERROR(IF(ISNUMBER(SEARCH(Assumptions!$C$5,G334)),Assumptions!$D$5,IF(ISNUMBER(SEARCH(Assumptions!$C$6,G334)),Assumptions!$D$6,IF(ISNUMBER(SEARCH(Assumptions!$C$7,G334)),Assumptions!$D$7,"Other Services"))),"Other Services"))</f>
        <v/>
      </c>
    </row>
    <row r="335" customFormat="false" ht="15" hidden="false" customHeight="false" outlineLevel="0" collapsed="false">
      <c r="F335" s="41" t="str">
        <f aca="false">IF(E335="","",IFERROR(VLOOKUP(E335,Assumptions!$G$5:$H$16,2,0),"Other"))</f>
        <v/>
      </c>
      <c r="J335" s="41" t="str">
        <f aca="false">IF(G335="","",IFERROR(IF(ISNUMBER(SEARCH(Assumptions!$C$5,G335)),Assumptions!$D$5,IF(ISNUMBER(SEARCH(Assumptions!$C$6,G335)),Assumptions!$D$6,IF(ISNUMBER(SEARCH(Assumptions!$C$7,G335)),Assumptions!$D$7,"Other Services"))),"Other Services"))</f>
        <v/>
      </c>
    </row>
    <row r="336" customFormat="false" ht="15" hidden="false" customHeight="false" outlineLevel="0" collapsed="false">
      <c r="F336" s="41" t="str">
        <f aca="false">IF(E336="","",IFERROR(VLOOKUP(E336,Assumptions!$G$5:$H$16,2,0),"Other"))</f>
        <v/>
      </c>
      <c r="J336" s="41" t="str">
        <f aca="false">IF(G336="","",IFERROR(IF(ISNUMBER(SEARCH(Assumptions!$C$5,G336)),Assumptions!$D$5,IF(ISNUMBER(SEARCH(Assumptions!$C$6,G336)),Assumptions!$D$6,IF(ISNUMBER(SEARCH(Assumptions!$C$7,G336)),Assumptions!$D$7,"Other Services"))),"Other Services"))</f>
        <v/>
      </c>
    </row>
    <row r="337" customFormat="false" ht="15" hidden="false" customHeight="false" outlineLevel="0" collapsed="false">
      <c r="F337" s="41" t="str">
        <f aca="false">IF(E337="","",IFERROR(VLOOKUP(E337,Assumptions!$G$5:$H$16,2,0),"Other"))</f>
        <v/>
      </c>
      <c r="J337" s="41" t="str">
        <f aca="false">IF(G337="","",IFERROR(IF(ISNUMBER(SEARCH(Assumptions!$C$5,G337)),Assumptions!$D$5,IF(ISNUMBER(SEARCH(Assumptions!$C$6,G337)),Assumptions!$D$6,IF(ISNUMBER(SEARCH(Assumptions!$C$7,G337)),Assumptions!$D$7,"Other Services"))),"Other Services"))</f>
        <v/>
      </c>
    </row>
    <row r="338" customFormat="false" ht="15" hidden="false" customHeight="false" outlineLevel="0" collapsed="false">
      <c r="F338" s="41" t="str">
        <f aca="false">IF(E338="","",IFERROR(VLOOKUP(E338,Assumptions!$G$5:$H$16,2,0),"Other"))</f>
        <v/>
      </c>
      <c r="J338" s="41" t="str">
        <f aca="false">IF(G338="","",IFERROR(IF(ISNUMBER(SEARCH(Assumptions!$C$5,G338)),Assumptions!$D$5,IF(ISNUMBER(SEARCH(Assumptions!$C$6,G338)),Assumptions!$D$6,IF(ISNUMBER(SEARCH(Assumptions!$C$7,G338)),Assumptions!$D$7,"Other Services"))),"Other Services"))</f>
        <v/>
      </c>
    </row>
    <row r="339" customFormat="false" ht="15" hidden="false" customHeight="false" outlineLevel="0" collapsed="false">
      <c r="F339" s="41" t="str">
        <f aca="false">IF(E339="","",IFERROR(VLOOKUP(E339,Assumptions!$G$5:$H$16,2,0),"Other"))</f>
        <v/>
      </c>
      <c r="J339" s="41" t="str">
        <f aca="false">IF(G339="","",IFERROR(IF(ISNUMBER(SEARCH(Assumptions!$C$5,G339)),Assumptions!$D$5,IF(ISNUMBER(SEARCH(Assumptions!$C$6,G339)),Assumptions!$D$6,IF(ISNUMBER(SEARCH(Assumptions!$C$7,G339)),Assumptions!$D$7,"Other Services"))),"Other Services"))</f>
        <v/>
      </c>
    </row>
    <row r="340" customFormat="false" ht="15" hidden="false" customHeight="false" outlineLevel="0" collapsed="false">
      <c r="F340" s="41" t="str">
        <f aca="false">IF(E340="","",IFERROR(VLOOKUP(E340,Assumptions!$G$5:$H$16,2,0),"Other"))</f>
        <v/>
      </c>
      <c r="J340" s="41" t="str">
        <f aca="false">IF(G340="","",IFERROR(IF(ISNUMBER(SEARCH(Assumptions!$C$5,G340)),Assumptions!$D$5,IF(ISNUMBER(SEARCH(Assumptions!$C$6,G340)),Assumptions!$D$6,IF(ISNUMBER(SEARCH(Assumptions!$C$7,G340)),Assumptions!$D$7,"Other Services"))),"Other Services"))</f>
        <v/>
      </c>
    </row>
    <row r="341" customFormat="false" ht="15" hidden="false" customHeight="false" outlineLevel="0" collapsed="false">
      <c r="F341" s="41" t="str">
        <f aca="false">IF(E341="","",IFERROR(VLOOKUP(E341,Assumptions!$G$5:$H$16,2,0),"Other"))</f>
        <v/>
      </c>
      <c r="J341" s="41" t="str">
        <f aca="false">IF(G341="","",IFERROR(IF(ISNUMBER(SEARCH(Assumptions!$C$5,G341)),Assumptions!$D$5,IF(ISNUMBER(SEARCH(Assumptions!$C$6,G341)),Assumptions!$D$6,IF(ISNUMBER(SEARCH(Assumptions!$C$7,G341)),Assumptions!$D$7,"Other Services"))),"Other Services"))</f>
        <v/>
      </c>
    </row>
    <row r="342" customFormat="false" ht="15" hidden="false" customHeight="false" outlineLevel="0" collapsed="false">
      <c r="F342" s="41" t="str">
        <f aca="false">IF(E342="","",IFERROR(VLOOKUP(E342,Assumptions!$G$5:$H$16,2,0),"Other"))</f>
        <v/>
      </c>
      <c r="J342" s="41" t="str">
        <f aca="false">IF(G342="","",IFERROR(IF(ISNUMBER(SEARCH(Assumptions!$C$5,G342)),Assumptions!$D$5,IF(ISNUMBER(SEARCH(Assumptions!$C$6,G342)),Assumptions!$D$6,IF(ISNUMBER(SEARCH(Assumptions!$C$7,G342)),Assumptions!$D$7,"Other Services"))),"Other Services"))</f>
        <v/>
      </c>
    </row>
    <row r="343" customFormat="false" ht="15" hidden="false" customHeight="false" outlineLevel="0" collapsed="false">
      <c r="F343" s="41" t="str">
        <f aca="false">IF(E343="","",IFERROR(VLOOKUP(E343,Assumptions!$G$5:$H$16,2,0),"Other"))</f>
        <v/>
      </c>
      <c r="J343" s="41" t="str">
        <f aca="false">IF(G343="","",IFERROR(IF(ISNUMBER(SEARCH(Assumptions!$C$5,G343)),Assumptions!$D$5,IF(ISNUMBER(SEARCH(Assumptions!$C$6,G343)),Assumptions!$D$6,IF(ISNUMBER(SEARCH(Assumptions!$C$7,G343)),Assumptions!$D$7,"Other Services"))),"Other Services"))</f>
        <v/>
      </c>
    </row>
    <row r="344" customFormat="false" ht="15" hidden="false" customHeight="false" outlineLevel="0" collapsed="false">
      <c r="F344" s="41" t="str">
        <f aca="false">IF(E344="","",IFERROR(VLOOKUP(E344,Assumptions!$G$5:$H$16,2,0),"Other"))</f>
        <v/>
      </c>
      <c r="J344" s="41" t="str">
        <f aca="false">IF(G344="","",IFERROR(IF(ISNUMBER(SEARCH(Assumptions!$C$5,G344)),Assumptions!$D$5,IF(ISNUMBER(SEARCH(Assumptions!$C$6,G344)),Assumptions!$D$6,IF(ISNUMBER(SEARCH(Assumptions!$C$7,G344)),Assumptions!$D$7,"Other Services"))),"Other Services"))</f>
        <v/>
      </c>
    </row>
    <row r="345" customFormat="false" ht="15" hidden="false" customHeight="false" outlineLevel="0" collapsed="false">
      <c r="F345" s="41" t="str">
        <f aca="false">IF(E345="","",IFERROR(VLOOKUP(E345,Assumptions!$G$5:$H$16,2,0),"Other"))</f>
        <v/>
      </c>
      <c r="J345" s="41" t="str">
        <f aca="false">IF(G345="","",IFERROR(IF(ISNUMBER(SEARCH(Assumptions!$C$5,G345)),Assumptions!$D$5,IF(ISNUMBER(SEARCH(Assumptions!$C$6,G345)),Assumptions!$D$6,IF(ISNUMBER(SEARCH(Assumptions!$C$7,G345)),Assumptions!$D$7,"Other Services"))),"Other Services"))</f>
        <v/>
      </c>
    </row>
    <row r="346" customFormat="false" ht="15" hidden="false" customHeight="false" outlineLevel="0" collapsed="false">
      <c r="F346" s="41" t="str">
        <f aca="false">IF(E346="","",IFERROR(VLOOKUP(E346,Assumptions!$G$5:$H$16,2,0),"Other"))</f>
        <v/>
      </c>
      <c r="J346" s="41" t="str">
        <f aca="false">IF(G346="","",IFERROR(IF(ISNUMBER(SEARCH(Assumptions!$C$5,G346)),Assumptions!$D$5,IF(ISNUMBER(SEARCH(Assumptions!$C$6,G346)),Assumptions!$D$6,IF(ISNUMBER(SEARCH(Assumptions!$C$7,G346)),Assumptions!$D$7,"Other Services"))),"Other Services"))</f>
        <v/>
      </c>
    </row>
    <row r="347" customFormat="false" ht="15" hidden="false" customHeight="false" outlineLevel="0" collapsed="false">
      <c r="F347" s="41" t="str">
        <f aca="false">IF(E347="","",IFERROR(VLOOKUP(E347,Assumptions!$G$5:$H$16,2,0),"Other"))</f>
        <v/>
      </c>
      <c r="J347" s="41" t="str">
        <f aca="false">IF(G347="","",IFERROR(IF(ISNUMBER(SEARCH(Assumptions!$C$5,G347)),Assumptions!$D$5,IF(ISNUMBER(SEARCH(Assumptions!$C$6,G347)),Assumptions!$D$6,IF(ISNUMBER(SEARCH(Assumptions!$C$7,G347)),Assumptions!$D$7,"Other Services"))),"Other Services"))</f>
        <v/>
      </c>
    </row>
    <row r="348" customFormat="false" ht="15" hidden="false" customHeight="false" outlineLevel="0" collapsed="false">
      <c r="F348" s="41" t="str">
        <f aca="false">IF(E348="","",IFERROR(VLOOKUP(E348,Assumptions!$G$5:$H$16,2,0),"Other"))</f>
        <v/>
      </c>
      <c r="J348" s="41" t="str">
        <f aca="false">IF(G348="","",IFERROR(IF(ISNUMBER(SEARCH(Assumptions!$C$5,G348)),Assumptions!$D$5,IF(ISNUMBER(SEARCH(Assumptions!$C$6,G348)),Assumptions!$D$6,IF(ISNUMBER(SEARCH(Assumptions!$C$7,G348)),Assumptions!$D$7,"Other Services"))),"Other Services"))</f>
        <v/>
      </c>
    </row>
    <row r="349" customFormat="false" ht="15" hidden="false" customHeight="false" outlineLevel="0" collapsed="false">
      <c r="F349" s="41" t="str">
        <f aca="false">IF(E349="","",IFERROR(VLOOKUP(E349,Assumptions!$G$5:$H$16,2,0),"Other"))</f>
        <v/>
      </c>
      <c r="J349" s="41" t="str">
        <f aca="false">IF(G349="","",IFERROR(IF(ISNUMBER(SEARCH(Assumptions!$C$5,G349)),Assumptions!$D$5,IF(ISNUMBER(SEARCH(Assumptions!$C$6,G349)),Assumptions!$D$6,IF(ISNUMBER(SEARCH(Assumptions!$C$7,G349)),Assumptions!$D$7,"Other Services"))),"Other Services"))</f>
        <v/>
      </c>
    </row>
    <row r="350" customFormat="false" ht="15" hidden="false" customHeight="false" outlineLevel="0" collapsed="false">
      <c r="F350" s="41" t="str">
        <f aca="false">IF(E350="","",IFERROR(VLOOKUP(E350,Assumptions!$G$5:$H$16,2,0),"Other"))</f>
        <v/>
      </c>
      <c r="J350" s="41" t="str">
        <f aca="false">IF(G350="","",IFERROR(IF(ISNUMBER(SEARCH(Assumptions!$C$5,G350)),Assumptions!$D$5,IF(ISNUMBER(SEARCH(Assumptions!$C$6,G350)),Assumptions!$D$6,IF(ISNUMBER(SEARCH(Assumptions!$C$7,G350)),Assumptions!$D$7,"Other Services"))),"Other Services"))</f>
        <v/>
      </c>
    </row>
    <row r="351" customFormat="false" ht="15" hidden="false" customHeight="false" outlineLevel="0" collapsed="false">
      <c r="F351" s="41" t="str">
        <f aca="false">IF(E351="","",IFERROR(VLOOKUP(E351,Assumptions!$G$5:$H$16,2,0),"Other"))</f>
        <v/>
      </c>
      <c r="J351" s="41" t="str">
        <f aca="false">IF(G351="","",IFERROR(IF(ISNUMBER(SEARCH(Assumptions!$C$5,G351)),Assumptions!$D$5,IF(ISNUMBER(SEARCH(Assumptions!$C$6,G351)),Assumptions!$D$6,IF(ISNUMBER(SEARCH(Assumptions!$C$7,G351)),Assumptions!$D$7,"Other Services"))),"Other Services"))</f>
        <v/>
      </c>
    </row>
    <row r="352" customFormat="false" ht="15" hidden="false" customHeight="false" outlineLevel="0" collapsed="false">
      <c r="F352" s="41" t="str">
        <f aca="false">IF(E352="","",IFERROR(VLOOKUP(E352,Assumptions!$G$5:$H$16,2,0),"Other"))</f>
        <v/>
      </c>
      <c r="J352" s="41" t="str">
        <f aca="false">IF(G352="","",IFERROR(IF(ISNUMBER(SEARCH(Assumptions!$C$5,G352)),Assumptions!$D$5,IF(ISNUMBER(SEARCH(Assumptions!$C$6,G352)),Assumptions!$D$6,IF(ISNUMBER(SEARCH(Assumptions!$C$7,G352)),Assumptions!$D$7,"Other Services"))),"Other Services"))</f>
        <v/>
      </c>
    </row>
    <row r="353" customFormat="false" ht="15" hidden="false" customHeight="false" outlineLevel="0" collapsed="false">
      <c r="F353" s="41" t="str">
        <f aca="false">IF(E353="","",IFERROR(VLOOKUP(E353,Assumptions!$G$5:$H$16,2,0),"Other"))</f>
        <v/>
      </c>
      <c r="J353" s="41" t="str">
        <f aca="false">IF(G353="","",IFERROR(IF(ISNUMBER(SEARCH(Assumptions!$C$5,G353)),Assumptions!$D$5,IF(ISNUMBER(SEARCH(Assumptions!$C$6,G353)),Assumptions!$D$6,IF(ISNUMBER(SEARCH(Assumptions!$C$7,G353)),Assumptions!$D$7,"Other Services"))),"Other Services"))</f>
        <v/>
      </c>
    </row>
    <row r="354" customFormat="false" ht="15" hidden="false" customHeight="false" outlineLevel="0" collapsed="false">
      <c r="F354" s="41" t="str">
        <f aca="false">IF(E354="","",IFERROR(VLOOKUP(E354,Assumptions!$G$5:$H$16,2,0),"Other"))</f>
        <v/>
      </c>
      <c r="J354" s="41" t="str">
        <f aca="false">IF(G354="","",IFERROR(IF(ISNUMBER(SEARCH(Assumptions!$C$5,G354)),Assumptions!$D$5,IF(ISNUMBER(SEARCH(Assumptions!$C$6,G354)),Assumptions!$D$6,IF(ISNUMBER(SEARCH(Assumptions!$C$7,G354)),Assumptions!$D$7,"Other Services"))),"Other Services"))</f>
        <v/>
      </c>
    </row>
    <row r="355" customFormat="false" ht="15" hidden="false" customHeight="false" outlineLevel="0" collapsed="false">
      <c r="F355" s="41" t="str">
        <f aca="false">IF(E355="","",IFERROR(VLOOKUP(E355,Assumptions!$G$5:$H$16,2,0),"Other"))</f>
        <v/>
      </c>
      <c r="J355" s="41" t="str">
        <f aca="false">IF(G355="","",IFERROR(IF(ISNUMBER(SEARCH(Assumptions!$C$5,G355)),Assumptions!$D$5,IF(ISNUMBER(SEARCH(Assumptions!$C$6,G355)),Assumptions!$D$6,IF(ISNUMBER(SEARCH(Assumptions!$C$7,G355)),Assumptions!$D$7,"Other Services"))),"Other Services"))</f>
        <v/>
      </c>
    </row>
    <row r="356" customFormat="false" ht="15" hidden="false" customHeight="false" outlineLevel="0" collapsed="false">
      <c r="F356" s="41" t="str">
        <f aca="false">IF(E356="","",IFERROR(VLOOKUP(E356,Assumptions!$G$5:$H$16,2,0),"Other"))</f>
        <v/>
      </c>
      <c r="J356" s="41" t="str">
        <f aca="false">IF(G356="","",IFERROR(IF(ISNUMBER(SEARCH(Assumptions!$C$5,G356)),Assumptions!$D$5,IF(ISNUMBER(SEARCH(Assumptions!$C$6,G356)),Assumptions!$D$6,IF(ISNUMBER(SEARCH(Assumptions!$C$7,G356)),Assumptions!$D$7,"Other Services"))),"Other Services"))</f>
        <v/>
      </c>
    </row>
    <row r="357" customFormat="false" ht="15" hidden="false" customHeight="false" outlineLevel="0" collapsed="false">
      <c r="F357" s="41" t="str">
        <f aca="false">IF(E357="","",IFERROR(VLOOKUP(E357,Assumptions!$G$5:$H$16,2,0),"Other"))</f>
        <v/>
      </c>
      <c r="J357" s="41" t="str">
        <f aca="false">IF(G357="","",IFERROR(IF(ISNUMBER(SEARCH(Assumptions!$C$5,G357)),Assumptions!$D$5,IF(ISNUMBER(SEARCH(Assumptions!$C$6,G357)),Assumptions!$D$6,IF(ISNUMBER(SEARCH(Assumptions!$C$7,G357)),Assumptions!$D$7,"Other Services"))),"Other Services"))</f>
        <v/>
      </c>
    </row>
    <row r="358" customFormat="false" ht="15" hidden="false" customHeight="false" outlineLevel="0" collapsed="false">
      <c r="F358" s="41" t="str">
        <f aca="false">IF(E358="","",IFERROR(VLOOKUP(E358,Assumptions!$G$5:$H$16,2,0),"Other"))</f>
        <v/>
      </c>
      <c r="J358" s="41" t="str">
        <f aca="false">IF(G358="","",IFERROR(IF(ISNUMBER(SEARCH(Assumptions!$C$5,G358)),Assumptions!$D$5,IF(ISNUMBER(SEARCH(Assumptions!$C$6,G358)),Assumptions!$D$6,IF(ISNUMBER(SEARCH(Assumptions!$C$7,G358)),Assumptions!$D$7,"Other Services"))),"Other Services"))</f>
        <v/>
      </c>
    </row>
    <row r="359" customFormat="false" ht="15" hidden="false" customHeight="false" outlineLevel="0" collapsed="false">
      <c r="F359" s="41" t="str">
        <f aca="false">IF(E359="","",IFERROR(VLOOKUP(E359,Assumptions!$G$5:$H$16,2,0),"Other"))</f>
        <v/>
      </c>
      <c r="J359" s="41" t="str">
        <f aca="false">IF(G359="","",IFERROR(IF(ISNUMBER(SEARCH(Assumptions!$C$5,G359)),Assumptions!$D$5,IF(ISNUMBER(SEARCH(Assumptions!$C$6,G359)),Assumptions!$D$6,IF(ISNUMBER(SEARCH(Assumptions!$C$7,G359)),Assumptions!$D$7,"Other Services"))),"Other Services"))</f>
        <v/>
      </c>
    </row>
    <row r="360" customFormat="false" ht="15" hidden="false" customHeight="false" outlineLevel="0" collapsed="false">
      <c r="F360" s="41" t="str">
        <f aca="false">IF(E360="","",IFERROR(VLOOKUP(E360,Assumptions!$G$5:$H$16,2,0),"Other"))</f>
        <v/>
      </c>
      <c r="J360" s="41" t="str">
        <f aca="false">IF(G360="","",IFERROR(IF(ISNUMBER(SEARCH(Assumptions!$C$5,G360)),Assumptions!$D$5,IF(ISNUMBER(SEARCH(Assumptions!$C$6,G360)),Assumptions!$D$6,IF(ISNUMBER(SEARCH(Assumptions!$C$7,G360)),Assumptions!$D$7,"Other Services"))),"Other Services"))</f>
        <v/>
      </c>
    </row>
    <row r="361" customFormat="false" ht="15" hidden="false" customHeight="false" outlineLevel="0" collapsed="false">
      <c r="F361" s="41" t="str">
        <f aca="false">IF(E361="","",IFERROR(VLOOKUP(E361,Assumptions!$G$5:$H$16,2,0),"Other"))</f>
        <v/>
      </c>
      <c r="J361" s="41" t="str">
        <f aca="false">IF(G361="","",IFERROR(IF(ISNUMBER(SEARCH(Assumptions!$C$5,G361)),Assumptions!$D$5,IF(ISNUMBER(SEARCH(Assumptions!$C$6,G361)),Assumptions!$D$6,IF(ISNUMBER(SEARCH(Assumptions!$C$7,G361)),Assumptions!$D$7,"Other Services"))),"Other Services"))</f>
        <v/>
      </c>
    </row>
    <row r="362" customFormat="false" ht="15" hidden="false" customHeight="false" outlineLevel="0" collapsed="false">
      <c r="F362" s="41" t="str">
        <f aca="false">IF(E362="","",IFERROR(VLOOKUP(E362,Assumptions!$G$5:$H$16,2,0),"Other"))</f>
        <v/>
      </c>
      <c r="J362" s="41" t="str">
        <f aca="false">IF(G362="","",IFERROR(IF(ISNUMBER(SEARCH(Assumptions!$C$5,G362)),Assumptions!$D$5,IF(ISNUMBER(SEARCH(Assumptions!$C$6,G362)),Assumptions!$D$6,IF(ISNUMBER(SEARCH(Assumptions!$C$7,G362)),Assumptions!$D$7,"Other Services"))),"Other Services"))</f>
        <v/>
      </c>
    </row>
    <row r="363" customFormat="false" ht="15" hidden="false" customHeight="false" outlineLevel="0" collapsed="false">
      <c r="F363" s="41" t="str">
        <f aca="false">IF(E363="","",IFERROR(VLOOKUP(E363,Assumptions!$G$5:$H$16,2,0),"Other"))</f>
        <v/>
      </c>
      <c r="J363" s="41" t="str">
        <f aca="false">IF(G363="","",IFERROR(IF(ISNUMBER(SEARCH(Assumptions!$C$5,G363)),Assumptions!$D$5,IF(ISNUMBER(SEARCH(Assumptions!$C$6,G363)),Assumptions!$D$6,IF(ISNUMBER(SEARCH(Assumptions!$C$7,G363)),Assumptions!$D$7,"Other Services"))),"Other Services"))</f>
        <v/>
      </c>
    </row>
    <row r="364" customFormat="false" ht="15" hidden="false" customHeight="false" outlineLevel="0" collapsed="false">
      <c r="F364" s="41" t="str">
        <f aca="false">IF(E364="","",IFERROR(VLOOKUP(E364,Assumptions!$G$5:$H$16,2,0),"Other"))</f>
        <v/>
      </c>
      <c r="J364" s="41" t="str">
        <f aca="false">IF(G364="","",IFERROR(IF(ISNUMBER(SEARCH(Assumptions!$C$5,G364)),Assumptions!$D$5,IF(ISNUMBER(SEARCH(Assumptions!$C$6,G364)),Assumptions!$D$6,IF(ISNUMBER(SEARCH(Assumptions!$C$7,G364)),Assumptions!$D$7,"Other Services"))),"Other Services"))</f>
        <v/>
      </c>
    </row>
    <row r="365" customFormat="false" ht="15" hidden="false" customHeight="false" outlineLevel="0" collapsed="false">
      <c r="F365" s="41" t="str">
        <f aca="false">IF(E365="","",IFERROR(VLOOKUP(E365,Assumptions!$G$5:$H$16,2,0),"Other"))</f>
        <v/>
      </c>
      <c r="J365" s="41" t="str">
        <f aca="false">IF(G365="","",IFERROR(IF(ISNUMBER(SEARCH(Assumptions!$C$5,G365)),Assumptions!$D$5,IF(ISNUMBER(SEARCH(Assumptions!$C$6,G365)),Assumptions!$D$6,IF(ISNUMBER(SEARCH(Assumptions!$C$7,G365)),Assumptions!$D$7,"Other Services"))),"Other Services"))</f>
        <v/>
      </c>
    </row>
    <row r="366" customFormat="false" ht="15" hidden="false" customHeight="false" outlineLevel="0" collapsed="false">
      <c r="F366" s="41" t="str">
        <f aca="false">IF(E366="","",IFERROR(VLOOKUP(E366,Assumptions!$G$5:$H$16,2,0),"Other"))</f>
        <v/>
      </c>
      <c r="J366" s="41" t="str">
        <f aca="false">IF(G366="","",IFERROR(IF(ISNUMBER(SEARCH(Assumptions!$C$5,G366)),Assumptions!$D$5,IF(ISNUMBER(SEARCH(Assumptions!$C$6,G366)),Assumptions!$D$6,IF(ISNUMBER(SEARCH(Assumptions!$C$7,G366)),Assumptions!$D$7,"Other Services"))),"Other Services"))</f>
        <v/>
      </c>
    </row>
    <row r="367" customFormat="false" ht="15" hidden="false" customHeight="false" outlineLevel="0" collapsed="false">
      <c r="F367" s="41" t="str">
        <f aca="false">IF(E367="","",IFERROR(VLOOKUP(E367,Assumptions!$G$5:$H$16,2,0),"Other"))</f>
        <v/>
      </c>
      <c r="J367" s="41" t="str">
        <f aca="false">IF(G367="","",IFERROR(IF(ISNUMBER(SEARCH(Assumptions!$C$5,G367)),Assumptions!$D$5,IF(ISNUMBER(SEARCH(Assumptions!$C$6,G367)),Assumptions!$D$6,IF(ISNUMBER(SEARCH(Assumptions!$C$7,G367)),Assumptions!$D$7,"Other Services"))),"Other Services"))</f>
        <v/>
      </c>
    </row>
    <row r="368" customFormat="false" ht="15" hidden="false" customHeight="false" outlineLevel="0" collapsed="false">
      <c r="F368" s="41" t="str">
        <f aca="false">IF(E368="","",IFERROR(VLOOKUP(E368,Assumptions!$G$5:$H$16,2,0),"Other"))</f>
        <v/>
      </c>
      <c r="J368" s="41" t="str">
        <f aca="false">IF(G368="","",IFERROR(IF(ISNUMBER(SEARCH(Assumptions!$C$5,G368)),Assumptions!$D$5,IF(ISNUMBER(SEARCH(Assumptions!$C$6,G368)),Assumptions!$D$6,IF(ISNUMBER(SEARCH(Assumptions!$C$7,G368)),Assumptions!$D$7,"Other Services"))),"Other Services"))</f>
        <v/>
      </c>
    </row>
    <row r="369" customFormat="false" ht="15" hidden="false" customHeight="false" outlineLevel="0" collapsed="false">
      <c r="F369" s="41" t="str">
        <f aca="false">IF(E369="","",IFERROR(VLOOKUP(E369,Assumptions!$G$5:$H$16,2,0),"Other"))</f>
        <v/>
      </c>
      <c r="J369" s="41" t="str">
        <f aca="false">IF(G369="","",IFERROR(IF(ISNUMBER(SEARCH(Assumptions!$C$5,G369)),Assumptions!$D$5,IF(ISNUMBER(SEARCH(Assumptions!$C$6,G369)),Assumptions!$D$6,IF(ISNUMBER(SEARCH(Assumptions!$C$7,G369)),Assumptions!$D$7,"Other Services"))),"Other Services"))</f>
        <v/>
      </c>
    </row>
    <row r="370" customFormat="false" ht="15" hidden="false" customHeight="false" outlineLevel="0" collapsed="false">
      <c r="F370" s="41" t="str">
        <f aca="false">IF(E370="","",IFERROR(VLOOKUP(E370,Assumptions!$G$5:$H$16,2,0),"Other"))</f>
        <v/>
      </c>
      <c r="J370" s="41" t="str">
        <f aca="false">IF(G370="","",IFERROR(IF(ISNUMBER(SEARCH(Assumptions!$C$5,G370)),Assumptions!$D$5,IF(ISNUMBER(SEARCH(Assumptions!$C$6,G370)),Assumptions!$D$6,IF(ISNUMBER(SEARCH(Assumptions!$C$7,G370)),Assumptions!$D$7,"Other Services"))),"Other Services"))</f>
        <v/>
      </c>
    </row>
    <row r="371" customFormat="false" ht="15" hidden="false" customHeight="false" outlineLevel="0" collapsed="false">
      <c r="F371" s="41" t="str">
        <f aca="false">IF(E371="","",IFERROR(VLOOKUP(E371,Assumptions!$G$5:$H$16,2,0),"Other"))</f>
        <v/>
      </c>
      <c r="J371" s="41" t="str">
        <f aca="false">IF(G371="","",IFERROR(IF(ISNUMBER(SEARCH(Assumptions!$C$5,G371)),Assumptions!$D$5,IF(ISNUMBER(SEARCH(Assumptions!$C$6,G371)),Assumptions!$D$6,IF(ISNUMBER(SEARCH(Assumptions!$C$7,G371)),Assumptions!$D$7,"Other Services"))),"Other Services"))</f>
        <v/>
      </c>
    </row>
    <row r="372" customFormat="false" ht="15" hidden="false" customHeight="false" outlineLevel="0" collapsed="false">
      <c r="F372" s="41" t="str">
        <f aca="false">IF(E372="","",IFERROR(VLOOKUP(E372,Assumptions!$G$5:$H$16,2,0),"Other"))</f>
        <v/>
      </c>
      <c r="J372" s="41" t="str">
        <f aca="false">IF(G372="","",IFERROR(IF(ISNUMBER(SEARCH(Assumptions!$C$5,G372)),Assumptions!$D$5,IF(ISNUMBER(SEARCH(Assumptions!$C$6,G372)),Assumptions!$D$6,IF(ISNUMBER(SEARCH(Assumptions!$C$7,G372)),Assumptions!$D$7,"Other Services"))),"Other Services"))</f>
        <v/>
      </c>
    </row>
    <row r="373" customFormat="false" ht="15" hidden="false" customHeight="false" outlineLevel="0" collapsed="false">
      <c r="F373" s="41" t="str">
        <f aca="false">IF(E373="","",IFERROR(VLOOKUP(E373,Assumptions!$G$5:$H$16,2,0),"Other"))</f>
        <v/>
      </c>
      <c r="J373" s="41" t="str">
        <f aca="false">IF(G373="","",IFERROR(IF(ISNUMBER(SEARCH(Assumptions!$C$5,G373)),Assumptions!$D$5,IF(ISNUMBER(SEARCH(Assumptions!$C$6,G373)),Assumptions!$D$6,IF(ISNUMBER(SEARCH(Assumptions!$C$7,G373)),Assumptions!$D$7,"Other Services"))),"Other Services"))</f>
        <v/>
      </c>
    </row>
    <row r="374" customFormat="false" ht="15" hidden="false" customHeight="false" outlineLevel="0" collapsed="false">
      <c r="F374" s="41" t="str">
        <f aca="false">IF(E374="","",IFERROR(VLOOKUP(E374,Assumptions!$G$5:$H$16,2,0),"Other"))</f>
        <v/>
      </c>
      <c r="J374" s="41" t="str">
        <f aca="false">IF(G374="","",IFERROR(IF(ISNUMBER(SEARCH(Assumptions!$C$5,G374)),Assumptions!$D$5,IF(ISNUMBER(SEARCH(Assumptions!$C$6,G374)),Assumptions!$D$6,IF(ISNUMBER(SEARCH(Assumptions!$C$7,G374)),Assumptions!$D$7,"Other Services"))),"Other Services"))</f>
        <v/>
      </c>
    </row>
    <row r="375" customFormat="false" ht="15" hidden="false" customHeight="false" outlineLevel="0" collapsed="false">
      <c r="F375" s="41" t="str">
        <f aca="false">IF(E375="","",IFERROR(VLOOKUP(E375,Assumptions!$G$5:$H$16,2,0),"Other"))</f>
        <v/>
      </c>
      <c r="J375" s="41" t="str">
        <f aca="false">IF(G375="","",IFERROR(IF(ISNUMBER(SEARCH(Assumptions!$C$5,G375)),Assumptions!$D$5,IF(ISNUMBER(SEARCH(Assumptions!$C$6,G375)),Assumptions!$D$6,IF(ISNUMBER(SEARCH(Assumptions!$C$7,G375)),Assumptions!$D$7,"Other Services"))),"Other Services"))</f>
        <v/>
      </c>
    </row>
    <row r="376" customFormat="false" ht="15" hidden="false" customHeight="false" outlineLevel="0" collapsed="false">
      <c r="F376" s="41" t="str">
        <f aca="false">IF(E376="","",IFERROR(VLOOKUP(E376,Assumptions!$G$5:$H$16,2,0),"Other"))</f>
        <v/>
      </c>
      <c r="J376" s="41" t="str">
        <f aca="false">IF(G376="","",IFERROR(IF(ISNUMBER(SEARCH(Assumptions!$C$5,G376)),Assumptions!$D$5,IF(ISNUMBER(SEARCH(Assumptions!$C$6,G376)),Assumptions!$D$6,IF(ISNUMBER(SEARCH(Assumptions!$C$7,G376)),Assumptions!$D$7,"Other Services"))),"Other Services"))</f>
        <v/>
      </c>
    </row>
    <row r="377" customFormat="false" ht="15" hidden="false" customHeight="false" outlineLevel="0" collapsed="false">
      <c r="F377" s="41" t="str">
        <f aca="false">IF(E377="","",IFERROR(VLOOKUP(E377,Assumptions!$G$5:$H$16,2,0),"Other"))</f>
        <v/>
      </c>
      <c r="J377" s="41" t="str">
        <f aca="false">IF(G377="","",IFERROR(IF(ISNUMBER(SEARCH(Assumptions!$C$5,G377)),Assumptions!$D$5,IF(ISNUMBER(SEARCH(Assumptions!$C$6,G377)),Assumptions!$D$6,IF(ISNUMBER(SEARCH(Assumptions!$C$7,G377)),Assumptions!$D$7,"Other Services"))),"Other Services"))</f>
        <v/>
      </c>
    </row>
    <row r="378" customFormat="false" ht="15" hidden="false" customHeight="false" outlineLevel="0" collapsed="false">
      <c r="F378" s="41" t="str">
        <f aca="false">IF(E378="","",IFERROR(VLOOKUP(E378,Assumptions!$G$5:$H$16,2,0),"Other"))</f>
        <v/>
      </c>
      <c r="J378" s="41" t="str">
        <f aca="false">IF(G378="","",IFERROR(IF(ISNUMBER(SEARCH(Assumptions!$C$5,G378)),Assumptions!$D$5,IF(ISNUMBER(SEARCH(Assumptions!$C$6,G378)),Assumptions!$D$6,IF(ISNUMBER(SEARCH(Assumptions!$C$7,G378)),Assumptions!$D$7,"Other Services"))),"Other Services"))</f>
        <v/>
      </c>
    </row>
    <row r="379" customFormat="false" ht="15" hidden="false" customHeight="false" outlineLevel="0" collapsed="false">
      <c r="F379" s="41" t="str">
        <f aca="false">IF(E379="","",IFERROR(VLOOKUP(E379,Assumptions!$G$5:$H$16,2,0),"Other"))</f>
        <v/>
      </c>
      <c r="J379" s="41" t="str">
        <f aca="false">IF(G379="","",IFERROR(IF(ISNUMBER(SEARCH(Assumptions!$C$5,G379)),Assumptions!$D$5,IF(ISNUMBER(SEARCH(Assumptions!$C$6,G379)),Assumptions!$D$6,IF(ISNUMBER(SEARCH(Assumptions!$C$7,G379)),Assumptions!$D$7,"Other Services"))),"Other Services"))</f>
        <v/>
      </c>
    </row>
    <row r="380" customFormat="false" ht="15" hidden="false" customHeight="false" outlineLevel="0" collapsed="false">
      <c r="F380" s="41" t="str">
        <f aca="false">IF(E380="","",IFERROR(VLOOKUP(E380,Assumptions!$G$5:$H$16,2,0),"Other"))</f>
        <v/>
      </c>
      <c r="J380" s="41" t="str">
        <f aca="false">IF(G380="","",IFERROR(IF(ISNUMBER(SEARCH(Assumptions!$C$5,G380)),Assumptions!$D$5,IF(ISNUMBER(SEARCH(Assumptions!$C$6,G380)),Assumptions!$D$6,IF(ISNUMBER(SEARCH(Assumptions!$C$7,G380)),Assumptions!$D$7,"Other Services"))),"Other Services"))</f>
        <v/>
      </c>
    </row>
    <row r="381" customFormat="false" ht="15" hidden="false" customHeight="false" outlineLevel="0" collapsed="false">
      <c r="F381" s="41" t="str">
        <f aca="false">IF(E381="","",IFERROR(VLOOKUP(E381,Assumptions!$G$5:$H$16,2,0),"Other"))</f>
        <v/>
      </c>
      <c r="J381" s="41" t="str">
        <f aca="false">IF(G381="","",IFERROR(IF(ISNUMBER(SEARCH(Assumptions!$C$5,G381)),Assumptions!$D$5,IF(ISNUMBER(SEARCH(Assumptions!$C$6,G381)),Assumptions!$D$6,IF(ISNUMBER(SEARCH(Assumptions!$C$7,G381)),Assumptions!$D$7,"Other Services"))),"Other Services"))</f>
        <v/>
      </c>
    </row>
    <row r="382" customFormat="false" ht="15" hidden="false" customHeight="false" outlineLevel="0" collapsed="false">
      <c r="F382" s="41" t="str">
        <f aca="false">IF(E382="","",IFERROR(VLOOKUP(E382,Assumptions!$G$5:$H$16,2,0),"Other"))</f>
        <v/>
      </c>
      <c r="J382" s="41" t="str">
        <f aca="false">IF(G382="","",IFERROR(IF(ISNUMBER(SEARCH(Assumptions!$C$5,G382)),Assumptions!$D$5,IF(ISNUMBER(SEARCH(Assumptions!$C$6,G382)),Assumptions!$D$6,IF(ISNUMBER(SEARCH(Assumptions!$C$7,G382)),Assumptions!$D$7,"Other Services"))),"Other Services"))</f>
        <v/>
      </c>
    </row>
    <row r="383" customFormat="false" ht="15" hidden="false" customHeight="false" outlineLevel="0" collapsed="false">
      <c r="F383" s="41" t="str">
        <f aca="false">IF(E383="","",IFERROR(VLOOKUP(E383,Assumptions!$G$5:$H$16,2,0),"Other"))</f>
        <v/>
      </c>
      <c r="J383" s="41" t="str">
        <f aca="false">IF(G383="","",IFERROR(IF(ISNUMBER(SEARCH(Assumptions!$C$5,G383)),Assumptions!$D$5,IF(ISNUMBER(SEARCH(Assumptions!$C$6,G383)),Assumptions!$D$6,IF(ISNUMBER(SEARCH(Assumptions!$C$7,G383)),Assumptions!$D$7,"Other Services"))),"Other Services"))</f>
        <v/>
      </c>
    </row>
    <row r="384" customFormat="false" ht="15" hidden="false" customHeight="false" outlineLevel="0" collapsed="false">
      <c r="F384" s="41" t="str">
        <f aca="false">IF(E384="","",IFERROR(VLOOKUP(E384,Assumptions!$G$5:$H$16,2,0),"Other"))</f>
        <v/>
      </c>
      <c r="J384" s="41" t="str">
        <f aca="false">IF(G384="","",IFERROR(IF(ISNUMBER(SEARCH(Assumptions!$C$5,G384)),Assumptions!$D$5,IF(ISNUMBER(SEARCH(Assumptions!$C$6,G384)),Assumptions!$D$6,IF(ISNUMBER(SEARCH(Assumptions!$C$7,G384)),Assumptions!$D$7,"Other Services"))),"Other Services"))</f>
        <v/>
      </c>
    </row>
    <row r="385" customFormat="false" ht="15" hidden="false" customHeight="false" outlineLevel="0" collapsed="false">
      <c r="F385" s="41" t="str">
        <f aca="false">IF(E385="","",IFERROR(VLOOKUP(E385,Assumptions!$G$5:$H$16,2,0),"Other"))</f>
        <v/>
      </c>
      <c r="J385" s="41" t="str">
        <f aca="false">IF(G385="","",IFERROR(IF(ISNUMBER(SEARCH(Assumptions!$C$5,G385)),Assumptions!$D$5,IF(ISNUMBER(SEARCH(Assumptions!$C$6,G385)),Assumptions!$D$6,IF(ISNUMBER(SEARCH(Assumptions!$C$7,G385)),Assumptions!$D$7,"Other Services"))),"Other Services"))</f>
        <v/>
      </c>
    </row>
    <row r="386" customFormat="false" ht="15" hidden="false" customHeight="false" outlineLevel="0" collapsed="false">
      <c r="F386" s="41" t="str">
        <f aca="false">IF(E386="","",IFERROR(VLOOKUP(E386,Assumptions!$G$5:$H$16,2,0),"Other"))</f>
        <v/>
      </c>
      <c r="J386" s="41" t="str">
        <f aca="false">IF(G386="","",IFERROR(IF(ISNUMBER(SEARCH(Assumptions!$C$5,G386)),Assumptions!$D$5,IF(ISNUMBER(SEARCH(Assumptions!$C$6,G386)),Assumptions!$D$6,IF(ISNUMBER(SEARCH(Assumptions!$C$7,G386)),Assumptions!$D$7,"Other Services"))),"Other Services"))</f>
        <v/>
      </c>
    </row>
    <row r="387" customFormat="false" ht="15" hidden="false" customHeight="false" outlineLevel="0" collapsed="false">
      <c r="F387" s="41" t="str">
        <f aca="false">IF(E387="","",IFERROR(VLOOKUP(E387,Assumptions!$G$5:$H$16,2,0),"Other"))</f>
        <v/>
      </c>
      <c r="J387" s="41" t="str">
        <f aca="false">IF(G387="","",IFERROR(IF(ISNUMBER(SEARCH(Assumptions!$C$5,G387)),Assumptions!$D$5,IF(ISNUMBER(SEARCH(Assumptions!$C$6,G387)),Assumptions!$D$6,IF(ISNUMBER(SEARCH(Assumptions!$C$7,G387)),Assumptions!$D$7,"Other Services"))),"Other Services"))</f>
        <v/>
      </c>
    </row>
    <row r="388" customFormat="false" ht="15" hidden="false" customHeight="false" outlineLevel="0" collapsed="false">
      <c r="F388" s="41" t="str">
        <f aca="false">IF(E388="","",IFERROR(VLOOKUP(E388,Assumptions!$G$5:$H$16,2,0),"Other"))</f>
        <v/>
      </c>
      <c r="J388" s="41" t="str">
        <f aca="false">IF(G388="","",IFERROR(IF(ISNUMBER(SEARCH(Assumptions!$C$5,G388)),Assumptions!$D$5,IF(ISNUMBER(SEARCH(Assumptions!$C$6,G388)),Assumptions!$D$6,IF(ISNUMBER(SEARCH(Assumptions!$C$7,G388)),Assumptions!$D$7,"Other Services"))),"Other Services"))</f>
        <v/>
      </c>
    </row>
    <row r="389" customFormat="false" ht="15" hidden="false" customHeight="false" outlineLevel="0" collapsed="false">
      <c r="F389" s="41" t="str">
        <f aca="false">IF(E389="","",IFERROR(VLOOKUP(E389,Assumptions!$G$5:$H$16,2,0),"Other"))</f>
        <v/>
      </c>
      <c r="J389" s="41" t="str">
        <f aca="false">IF(G389="","",IFERROR(IF(ISNUMBER(SEARCH(Assumptions!$C$5,G389)),Assumptions!$D$5,IF(ISNUMBER(SEARCH(Assumptions!$C$6,G389)),Assumptions!$D$6,IF(ISNUMBER(SEARCH(Assumptions!$C$7,G389)),Assumptions!$D$7,"Other Services"))),"Other Services"))</f>
        <v/>
      </c>
    </row>
    <row r="390" customFormat="false" ht="15" hidden="false" customHeight="false" outlineLevel="0" collapsed="false">
      <c r="F390" s="41" t="str">
        <f aca="false">IF(E390="","",IFERROR(VLOOKUP(E390,Assumptions!$G$5:$H$16,2,0),"Other"))</f>
        <v/>
      </c>
      <c r="J390" s="41" t="str">
        <f aca="false">IF(G390="","",IFERROR(IF(ISNUMBER(SEARCH(Assumptions!$C$5,G390)),Assumptions!$D$5,IF(ISNUMBER(SEARCH(Assumptions!$C$6,G390)),Assumptions!$D$6,IF(ISNUMBER(SEARCH(Assumptions!$C$7,G390)),Assumptions!$D$7,"Other Services"))),"Other Services"))</f>
        <v/>
      </c>
    </row>
    <row r="391" customFormat="false" ht="15" hidden="false" customHeight="false" outlineLevel="0" collapsed="false">
      <c r="F391" s="41" t="str">
        <f aca="false">IF(E391="","",IFERROR(VLOOKUP(E391,Assumptions!$G$5:$H$16,2,0),"Other"))</f>
        <v/>
      </c>
      <c r="J391" s="41" t="str">
        <f aca="false">IF(G391="","",IFERROR(IF(ISNUMBER(SEARCH(Assumptions!$C$5,G391)),Assumptions!$D$5,IF(ISNUMBER(SEARCH(Assumptions!$C$6,G391)),Assumptions!$D$6,IF(ISNUMBER(SEARCH(Assumptions!$C$7,G391)),Assumptions!$D$7,"Other Services"))),"Other Services"))</f>
        <v/>
      </c>
    </row>
    <row r="392" customFormat="false" ht="15" hidden="false" customHeight="false" outlineLevel="0" collapsed="false">
      <c r="F392" s="41" t="str">
        <f aca="false">IF(E392="","",IFERROR(VLOOKUP(E392,Assumptions!$G$5:$H$16,2,0),"Other"))</f>
        <v/>
      </c>
      <c r="J392" s="41" t="str">
        <f aca="false">IF(G392="","",IFERROR(IF(ISNUMBER(SEARCH(Assumptions!$C$5,G392)),Assumptions!$D$5,IF(ISNUMBER(SEARCH(Assumptions!$C$6,G392)),Assumptions!$D$6,IF(ISNUMBER(SEARCH(Assumptions!$C$7,G392)),Assumptions!$D$7,"Other Services"))),"Other Services"))</f>
        <v/>
      </c>
    </row>
    <row r="393" customFormat="false" ht="15" hidden="false" customHeight="false" outlineLevel="0" collapsed="false">
      <c r="F393" s="41" t="str">
        <f aca="false">IF(E393="","",IFERROR(VLOOKUP(E393,Assumptions!$G$5:$H$16,2,0),"Other"))</f>
        <v/>
      </c>
      <c r="J393" s="41" t="str">
        <f aca="false">IF(G393="","",IFERROR(IF(ISNUMBER(SEARCH(Assumptions!$C$5,G393)),Assumptions!$D$5,IF(ISNUMBER(SEARCH(Assumptions!$C$6,G393)),Assumptions!$D$6,IF(ISNUMBER(SEARCH(Assumptions!$C$7,G393)),Assumptions!$D$7,"Other Services"))),"Other Services"))</f>
        <v/>
      </c>
    </row>
    <row r="394" customFormat="false" ht="15" hidden="false" customHeight="false" outlineLevel="0" collapsed="false">
      <c r="F394" s="41" t="str">
        <f aca="false">IF(E394="","",IFERROR(VLOOKUP(E394,Assumptions!$G$5:$H$16,2,0),"Other"))</f>
        <v/>
      </c>
      <c r="J394" s="41" t="str">
        <f aca="false">IF(G394="","",IFERROR(IF(ISNUMBER(SEARCH(Assumptions!$C$5,G394)),Assumptions!$D$5,IF(ISNUMBER(SEARCH(Assumptions!$C$6,G394)),Assumptions!$D$6,IF(ISNUMBER(SEARCH(Assumptions!$C$7,G394)),Assumptions!$D$7,"Other Services"))),"Other Services"))</f>
        <v/>
      </c>
    </row>
    <row r="395" customFormat="false" ht="15" hidden="false" customHeight="false" outlineLevel="0" collapsed="false">
      <c r="F395" s="41" t="str">
        <f aca="false">IF(E395="","",IFERROR(VLOOKUP(E395,Assumptions!$G$5:$H$16,2,0),"Other"))</f>
        <v/>
      </c>
      <c r="J395" s="41" t="str">
        <f aca="false">IF(G395="","",IFERROR(IF(ISNUMBER(SEARCH(Assumptions!$C$5,G395)),Assumptions!$D$5,IF(ISNUMBER(SEARCH(Assumptions!$C$6,G395)),Assumptions!$D$6,IF(ISNUMBER(SEARCH(Assumptions!$C$7,G395)),Assumptions!$D$7,"Other Services"))),"Other Services"))</f>
        <v/>
      </c>
    </row>
    <row r="396" customFormat="false" ht="15" hidden="false" customHeight="false" outlineLevel="0" collapsed="false">
      <c r="F396" s="41" t="str">
        <f aca="false">IF(E396="","",IFERROR(VLOOKUP(E396,Assumptions!$G$5:$H$16,2,0),"Other"))</f>
        <v/>
      </c>
      <c r="J396" s="41" t="str">
        <f aca="false">IF(G396="","",IFERROR(IF(ISNUMBER(SEARCH(Assumptions!$C$5,G396)),Assumptions!$D$5,IF(ISNUMBER(SEARCH(Assumptions!$C$6,G396)),Assumptions!$D$6,IF(ISNUMBER(SEARCH(Assumptions!$C$7,G396)),Assumptions!$D$7,"Other Services"))),"Other Services"))</f>
        <v/>
      </c>
    </row>
    <row r="397" customFormat="false" ht="15" hidden="false" customHeight="false" outlineLevel="0" collapsed="false">
      <c r="F397" s="41" t="str">
        <f aca="false">IF(E397="","",IFERROR(VLOOKUP(E397,Assumptions!$G$5:$H$16,2,0),"Other"))</f>
        <v/>
      </c>
      <c r="J397" s="41" t="str">
        <f aca="false">IF(G397="","",IFERROR(IF(ISNUMBER(SEARCH(Assumptions!$C$5,G397)),Assumptions!$D$5,IF(ISNUMBER(SEARCH(Assumptions!$C$6,G397)),Assumptions!$D$6,IF(ISNUMBER(SEARCH(Assumptions!$C$7,G397)),Assumptions!$D$7,"Other Services"))),"Other Services"))</f>
        <v/>
      </c>
    </row>
    <row r="398" customFormat="false" ht="15" hidden="false" customHeight="false" outlineLevel="0" collapsed="false">
      <c r="F398" s="41" t="str">
        <f aca="false">IF(E398="","",IFERROR(VLOOKUP(E398,Assumptions!$G$5:$H$16,2,0),"Other"))</f>
        <v/>
      </c>
      <c r="J398" s="41" t="str">
        <f aca="false">IF(G398="","",IFERROR(IF(ISNUMBER(SEARCH(Assumptions!$C$5,G398)),Assumptions!$D$5,IF(ISNUMBER(SEARCH(Assumptions!$C$6,G398)),Assumptions!$D$6,IF(ISNUMBER(SEARCH(Assumptions!$C$7,G398)),Assumptions!$D$7,"Other Services"))),"Other Services"))</f>
        <v/>
      </c>
    </row>
    <row r="399" customFormat="false" ht="15" hidden="false" customHeight="false" outlineLevel="0" collapsed="false">
      <c r="F399" s="41" t="str">
        <f aca="false">IF(E399="","",IFERROR(VLOOKUP(E399,Assumptions!$G$5:$H$16,2,0),"Other"))</f>
        <v/>
      </c>
      <c r="J399" s="41" t="str">
        <f aca="false">IF(G399="","",IFERROR(IF(ISNUMBER(SEARCH(Assumptions!$C$5,G399)),Assumptions!$D$5,IF(ISNUMBER(SEARCH(Assumptions!$C$6,G399)),Assumptions!$D$6,IF(ISNUMBER(SEARCH(Assumptions!$C$7,G399)),Assumptions!$D$7,"Other Services"))),"Other Services"))</f>
        <v/>
      </c>
    </row>
    <row r="400" customFormat="false" ht="15" hidden="false" customHeight="false" outlineLevel="0" collapsed="false">
      <c r="F400" s="41" t="str">
        <f aca="false">IF(E400="","",IFERROR(VLOOKUP(E400,Assumptions!$G$5:$H$16,2,0),"Other"))</f>
        <v/>
      </c>
      <c r="J400" s="41" t="str">
        <f aca="false">IF(G400="","",IFERROR(IF(ISNUMBER(SEARCH(Assumptions!$C$5,G400)),Assumptions!$D$5,IF(ISNUMBER(SEARCH(Assumptions!$C$6,G400)),Assumptions!$D$6,IF(ISNUMBER(SEARCH(Assumptions!$C$7,G400)),Assumptions!$D$7,"Other Services"))),"Other Services"))</f>
        <v/>
      </c>
    </row>
    <row r="401" customFormat="false" ht="15" hidden="false" customHeight="false" outlineLevel="0" collapsed="false">
      <c r="F401" s="41" t="str">
        <f aca="false">IF(E401="","",IFERROR(VLOOKUP(E401,Assumptions!$G$5:$H$16,2,0),"Other"))</f>
        <v/>
      </c>
      <c r="J401" s="41" t="str">
        <f aca="false">IF(G401="","",IFERROR(IF(ISNUMBER(SEARCH(Assumptions!$C$5,G401)),Assumptions!$D$5,IF(ISNUMBER(SEARCH(Assumptions!$C$6,G401)),Assumptions!$D$6,IF(ISNUMBER(SEARCH(Assumptions!$C$7,G401)),Assumptions!$D$7,"Other Services"))),"Other Services"))</f>
        <v/>
      </c>
    </row>
    <row r="402" customFormat="false" ht="15" hidden="false" customHeight="false" outlineLevel="0" collapsed="false">
      <c r="F402" s="41" t="str">
        <f aca="false">IF(E402="","",IFERROR(VLOOKUP(E402,Assumptions!$G$5:$H$16,2,0),"Other"))</f>
        <v/>
      </c>
      <c r="J402" s="41" t="str">
        <f aca="false">IF(G402="","",IFERROR(IF(ISNUMBER(SEARCH(Assumptions!$C$5,G402)),Assumptions!$D$5,IF(ISNUMBER(SEARCH(Assumptions!$C$6,G402)),Assumptions!$D$6,IF(ISNUMBER(SEARCH(Assumptions!$C$7,G402)),Assumptions!$D$7,"Other Services"))),"Other Services"))</f>
        <v/>
      </c>
    </row>
    <row r="403" customFormat="false" ht="15" hidden="false" customHeight="false" outlineLevel="0" collapsed="false">
      <c r="F403" s="41" t="str">
        <f aca="false">IF(E403="","",IFERROR(VLOOKUP(E403,Assumptions!$G$5:$H$16,2,0),"Other"))</f>
        <v/>
      </c>
      <c r="J403" s="41" t="str">
        <f aca="false">IF(G403="","",IFERROR(IF(ISNUMBER(SEARCH(Assumptions!$C$5,G403)),Assumptions!$D$5,IF(ISNUMBER(SEARCH(Assumptions!$C$6,G403)),Assumptions!$D$6,IF(ISNUMBER(SEARCH(Assumptions!$C$7,G403)),Assumptions!$D$7,"Other Services"))),"Other Services"))</f>
        <v/>
      </c>
    </row>
    <row r="404" customFormat="false" ht="15" hidden="false" customHeight="false" outlineLevel="0" collapsed="false">
      <c r="F404" s="41" t="str">
        <f aca="false">IF(E404="","",IFERROR(VLOOKUP(E404,Assumptions!$G$5:$H$16,2,0),"Other"))</f>
        <v/>
      </c>
      <c r="J404" s="41" t="str">
        <f aca="false">IF(G404="","",IFERROR(IF(ISNUMBER(SEARCH(Assumptions!$C$5,G404)),Assumptions!$D$5,IF(ISNUMBER(SEARCH(Assumptions!$C$6,G404)),Assumptions!$D$6,IF(ISNUMBER(SEARCH(Assumptions!$C$7,G404)),Assumptions!$D$7,"Other Services"))),"Other Services"))</f>
        <v/>
      </c>
    </row>
    <row r="405" customFormat="false" ht="15" hidden="false" customHeight="false" outlineLevel="0" collapsed="false">
      <c r="F405" s="41" t="str">
        <f aca="false">IF(E405="","",IFERROR(VLOOKUP(E405,Assumptions!$G$5:$H$16,2,0),"Other"))</f>
        <v/>
      </c>
      <c r="J405" s="41" t="str">
        <f aca="false">IF(G405="","",IFERROR(IF(ISNUMBER(SEARCH(Assumptions!$C$5,G405)),Assumptions!$D$5,IF(ISNUMBER(SEARCH(Assumptions!$C$6,G405)),Assumptions!$D$6,IF(ISNUMBER(SEARCH(Assumptions!$C$7,G405)),Assumptions!$D$7,"Other Services"))),"Other Services"))</f>
        <v/>
      </c>
    </row>
    <row r="406" customFormat="false" ht="15" hidden="false" customHeight="false" outlineLevel="0" collapsed="false">
      <c r="F406" s="41" t="str">
        <f aca="false">IF(E406="","",IFERROR(VLOOKUP(E406,Assumptions!$G$5:$H$16,2,0),"Other"))</f>
        <v/>
      </c>
      <c r="J406" s="41" t="str">
        <f aca="false">IF(G406="","",IFERROR(IF(ISNUMBER(SEARCH(Assumptions!$C$5,G406)),Assumptions!$D$5,IF(ISNUMBER(SEARCH(Assumptions!$C$6,G406)),Assumptions!$D$6,IF(ISNUMBER(SEARCH(Assumptions!$C$7,G406)),Assumptions!$D$7,"Other Services"))),"Other Services"))</f>
        <v/>
      </c>
    </row>
    <row r="407" customFormat="false" ht="15" hidden="false" customHeight="false" outlineLevel="0" collapsed="false">
      <c r="F407" s="41" t="str">
        <f aca="false">IF(E407="","",IFERROR(VLOOKUP(E407,Assumptions!$G$5:$H$16,2,0),"Other"))</f>
        <v/>
      </c>
      <c r="J407" s="41" t="str">
        <f aca="false">IF(G407="","",IFERROR(IF(ISNUMBER(SEARCH(Assumptions!$C$5,G407)),Assumptions!$D$5,IF(ISNUMBER(SEARCH(Assumptions!$C$6,G407)),Assumptions!$D$6,IF(ISNUMBER(SEARCH(Assumptions!$C$7,G407)),Assumptions!$D$7,"Other Services"))),"Other Services"))</f>
        <v/>
      </c>
    </row>
    <row r="408" customFormat="false" ht="15" hidden="false" customHeight="false" outlineLevel="0" collapsed="false">
      <c r="F408" s="41" t="str">
        <f aca="false">IF(E408="","",IFERROR(VLOOKUP(E408,Assumptions!$G$5:$H$16,2,0),"Other"))</f>
        <v/>
      </c>
      <c r="J408" s="41" t="str">
        <f aca="false">IF(G408="","",IFERROR(IF(ISNUMBER(SEARCH(Assumptions!$C$5,G408)),Assumptions!$D$5,IF(ISNUMBER(SEARCH(Assumptions!$C$6,G408)),Assumptions!$D$6,IF(ISNUMBER(SEARCH(Assumptions!$C$7,G408)),Assumptions!$D$7,"Other Services"))),"Other Services"))</f>
        <v/>
      </c>
    </row>
    <row r="409" customFormat="false" ht="15" hidden="false" customHeight="false" outlineLevel="0" collapsed="false">
      <c r="F409" s="41" t="str">
        <f aca="false">IF(E409="","",IFERROR(VLOOKUP(E409,Assumptions!$G$5:$H$16,2,0),"Other"))</f>
        <v/>
      </c>
      <c r="J409" s="41" t="str">
        <f aca="false">IF(G409="","",IFERROR(IF(ISNUMBER(SEARCH(Assumptions!$C$5,G409)),Assumptions!$D$5,IF(ISNUMBER(SEARCH(Assumptions!$C$6,G409)),Assumptions!$D$6,IF(ISNUMBER(SEARCH(Assumptions!$C$7,G409)),Assumptions!$D$7,"Other Services"))),"Other Services"))</f>
        <v/>
      </c>
    </row>
    <row r="410" customFormat="false" ht="15" hidden="false" customHeight="false" outlineLevel="0" collapsed="false">
      <c r="F410" s="41" t="str">
        <f aca="false">IF(E410="","",IFERROR(VLOOKUP(E410,Assumptions!$G$5:$H$16,2,0),"Other"))</f>
        <v/>
      </c>
      <c r="J410" s="41" t="str">
        <f aca="false">IF(G410="","",IFERROR(IF(ISNUMBER(SEARCH(Assumptions!$C$5,G410)),Assumptions!$D$5,IF(ISNUMBER(SEARCH(Assumptions!$C$6,G410)),Assumptions!$D$6,IF(ISNUMBER(SEARCH(Assumptions!$C$7,G410)),Assumptions!$D$7,"Other Services"))),"Other Services"))</f>
        <v/>
      </c>
    </row>
    <row r="411" customFormat="false" ht="15" hidden="false" customHeight="false" outlineLevel="0" collapsed="false">
      <c r="F411" s="41" t="str">
        <f aca="false">IF(E411="","",IFERROR(VLOOKUP(E411,Assumptions!$G$5:$H$16,2,0),"Other"))</f>
        <v/>
      </c>
      <c r="J411" s="41" t="str">
        <f aca="false">IF(G411="","",IFERROR(IF(ISNUMBER(SEARCH(Assumptions!$C$5,G411)),Assumptions!$D$5,IF(ISNUMBER(SEARCH(Assumptions!$C$6,G411)),Assumptions!$D$6,IF(ISNUMBER(SEARCH(Assumptions!$C$7,G411)),Assumptions!$D$7,"Other Services"))),"Other Services"))</f>
        <v/>
      </c>
    </row>
    <row r="412" customFormat="false" ht="15" hidden="false" customHeight="false" outlineLevel="0" collapsed="false">
      <c r="F412" s="41" t="str">
        <f aca="false">IF(E412="","",IFERROR(VLOOKUP(E412,Assumptions!$G$5:$H$16,2,0),"Other"))</f>
        <v/>
      </c>
      <c r="J412" s="41" t="str">
        <f aca="false">IF(G412="","",IFERROR(IF(ISNUMBER(SEARCH(Assumptions!$C$5,G412)),Assumptions!$D$5,IF(ISNUMBER(SEARCH(Assumptions!$C$6,G412)),Assumptions!$D$6,IF(ISNUMBER(SEARCH(Assumptions!$C$7,G412)),Assumptions!$D$7,"Other Services"))),"Other Services"))</f>
        <v/>
      </c>
    </row>
    <row r="413" customFormat="false" ht="15" hidden="false" customHeight="false" outlineLevel="0" collapsed="false">
      <c r="F413" s="41" t="str">
        <f aca="false">IF(E413="","",IFERROR(VLOOKUP(E413,Assumptions!$G$5:$H$16,2,0),"Other"))</f>
        <v/>
      </c>
      <c r="J413" s="41" t="str">
        <f aca="false">IF(G413="","",IFERROR(IF(ISNUMBER(SEARCH(Assumptions!$C$5,G413)),Assumptions!$D$5,IF(ISNUMBER(SEARCH(Assumptions!$C$6,G413)),Assumptions!$D$6,IF(ISNUMBER(SEARCH(Assumptions!$C$7,G413)),Assumptions!$D$7,"Other Services"))),"Other Services"))</f>
        <v/>
      </c>
    </row>
    <row r="414" customFormat="false" ht="15" hidden="false" customHeight="false" outlineLevel="0" collapsed="false">
      <c r="F414" s="41" t="str">
        <f aca="false">IF(E414="","",IFERROR(VLOOKUP(E414,Assumptions!$G$5:$H$16,2,0),"Other"))</f>
        <v/>
      </c>
      <c r="J414" s="41" t="str">
        <f aca="false">IF(G414="","",IFERROR(IF(ISNUMBER(SEARCH(Assumptions!$C$5,G414)),Assumptions!$D$5,IF(ISNUMBER(SEARCH(Assumptions!$C$6,G414)),Assumptions!$D$6,IF(ISNUMBER(SEARCH(Assumptions!$C$7,G414)),Assumptions!$D$7,"Other Services"))),"Other Services"))</f>
        <v/>
      </c>
    </row>
    <row r="415" customFormat="false" ht="15" hidden="false" customHeight="false" outlineLevel="0" collapsed="false">
      <c r="F415" s="41" t="str">
        <f aca="false">IF(E415="","",IFERROR(VLOOKUP(E415,Assumptions!$G$5:$H$16,2,0),"Other"))</f>
        <v/>
      </c>
      <c r="J415" s="41" t="str">
        <f aca="false">IF(G415="","",IFERROR(IF(ISNUMBER(SEARCH(Assumptions!$C$5,G415)),Assumptions!$D$5,IF(ISNUMBER(SEARCH(Assumptions!$C$6,G415)),Assumptions!$D$6,IF(ISNUMBER(SEARCH(Assumptions!$C$7,G415)),Assumptions!$D$7,"Other Services"))),"Other Services"))</f>
        <v/>
      </c>
    </row>
    <row r="416" customFormat="false" ht="15" hidden="false" customHeight="false" outlineLevel="0" collapsed="false">
      <c r="F416" s="41" t="str">
        <f aca="false">IF(E416="","",IFERROR(VLOOKUP(E416,Assumptions!$G$5:$H$16,2,0),"Other"))</f>
        <v/>
      </c>
      <c r="J416" s="41" t="str">
        <f aca="false">IF(G416="","",IFERROR(IF(ISNUMBER(SEARCH(Assumptions!$C$5,G416)),Assumptions!$D$5,IF(ISNUMBER(SEARCH(Assumptions!$C$6,G416)),Assumptions!$D$6,IF(ISNUMBER(SEARCH(Assumptions!$C$7,G416)),Assumptions!$D$7,"Other Services"))),"Other Services"))</f>
        <v/>
      </c>
    </row>
    <row r="417" customFormat="false" ht="15" hidden="false" customHeight="false" outlineLevel="0" collapsed="false">
      <c r="F417" s="41" t="str">
        <f aca="false">IF(E417="","",IFERROR(VLOOKUP(E417,Assumptions!$G$5:$H$16,2,0),"Other"))</f>
        <v/>
      </c>
      <c r="J417" s="41" t="str">
        <f aca="false">IF(G417="","",IFERROR(IF(ISNUMBER(SEARCH(Assumptions!$C$5,G417)),Assumptions!$D$5,IF(ISNUMBER(SEARCH(Assumptions!$C$6,G417)),Assumptions!$D$6,IF(ISNUMBER(SEARCH(Assumptions!$C$7,G417)),Assumptions!$D$7,"Other Services"))),"Other Services"))</f>
        <v/>
      </c>
    </row>
    <row r="418" customFormat="false" ht="15" hidden="false" customHeight="false" outlineLevel="0" collapsed="false">
      <c r="F418" s="41" t="str">
        <f aca="false">IF(E418="","",IFERROR(VLOOKUP(E418,Assumptions!$G$5:$H$16,2,0),"Other"))</f>
        <v/>
      </c>
      <c r="J418" s="41" t="str">
        <f aca="false">IF(G418="","",IFERROR(IF(ISNUMBER(SEARCH(Assumptions!$C$5,G418)),Assumptions!$D$5,IF(ISNUMBER(SEARCH(Assumptions!$C$6,G418)),Assumptions!$D$6,IF(ISNUMBER(SEARCH(Assumptions!$C$7,G418)),Assumptions!$D$7,"Other Services"))),"Other Services"))</f>
        <v/>
      </c>
    </row>
    <row r="419" customFormat="false" ht="15" hidden="false" customHeight="false" outlineLevel="0" collapsed="false">
      <c r="F419" s="41" t="str">
        <f aca="false">IF(E419="","",IFERROR(VLOOKUP(E419,Assumptions!$G$5:$H$16,2,0),"Other"))</f>
        <v/>
      </c>
      <c r="J419" s="41" t="str">
        <f aca="false">IF(G419="","",IFERROR(IF(ISNUMBER(SEARCH(Assumptions!$C$5,G419)),Assumptions!$D$5,IF(ISNUMBER(SEARCH(Assumptions!$C$6,G419)),Assumptions!$D$6,IF(ISNUMBER(SEARCH(Assumptions!$C$7,G419)),Assumptions!$D$7,"Other Services"))),"Other Services"))</f>
        <v/>
      </c>
    </row>
    <row r="420" customFormat="false" ht="15" hidden="false" customHeight="false" outlineLevel="0" collapsed="false">
      <c r="F420" s="41" t="str">
        <f aca="false">IF(E420="","",IFERROR(VLOOKUP(E420,Assumptions!$G$5:$H$16,2,0),"Other"))</f>
        <v/>
      </c>
      <c r="J420" s="41" t="str">
        <f aca="false">IF(G420="","",IFERROR(IF(ISNUMBER(SEARCH(Assumptions!$C$5,G420)),Assumptions!$D$5,IF(ISNUMBER(SEARCH(Assumptions!$C$6,G420)),Assumptions!$D$6,IF(ISNUMBER(SEARCH(Assumptions!$C$7,G420)),Assumptions!$D$7,"Other Services"))),"Other Services"))</f>
        <v/>
      </c>
    </row>
    <row r="421" customFormat="false" ht="15" hidden="false" customHeight="false" outlineLevel="0" collapsed="false">
      <c r="F421" s="41" t="str">
        <f aca="false">IF(E421="","",IFERROR(VLOOKUP(E421,Assumptions!$G$5:$H$16,2,0),"Other"))</f>
        <v/>
      </c>
      <c r="J421" s="41" t="str">
        <f aca="false">IF(G421="","",IFERROR(IF(ISNUMBER(SEARCH(Assumptions!$C$5,G421)),Assumptions!$D$5,IF(ISNUMBER(SEARCH(Assumptions!$C$6,G421)),Assumptions!$D$6,IF(ISNUMBER(SEARCH(Assumptions!$C$7,G421)),Assumptions!$D$7,"Other Services"))),"Other Services"))</f>
        <v/>
      </c>
    </row>
    <row r="422" customFormat="false" ht="15" hidden="false" customHeight="false" outlineLevel="0" collapsed="false">
      <c r="F422" s="41" t="str">
        <f aca="false">IF(E422="","",IFERROR(VLOOKUP(E422,Assumptions!$G$5:$H$16,2,0),"Other"))</f>
        <v/>
      </c>
      <c r="J422" s="41" t="str">
        <f aca="false">IF(G422="","",IFERROR(IF(ISNUMBER(SEARCH(Assumptions!$C$5,G422)),Assumptions!$D$5,IF(ISNUMBER(SEARCH(Assumptions!$C$6,G422)),Assumptions!$D$6,IF(ISNUMBER(SEARCH(Assumptions!$C$7,G422)),Assumptions!$D$7,"Other Services"))),"Other Services"))</f>
        <v/>
      </c>
    </row>
    <row r="423" customFormat="false" ht="15" hidden="false" customHeight="false" outlineLevel="0" collapsed="false">
      <c r="F423" s="41" t="str">
        <f aca="false">IF(E423="","",IFERROR(VLOOKUP(E423,Assumptions!$G$5:$H$16,2,0),"Other"))</f>
        <v/>
      </c>
      <c r="J423" s="41" t="str">
        <f aca="false">IF(G423="","",IFERROR(IF(ISNUMBER(SEARCH(Assumptions!$C$5,G423)),Assumptions!$D$5,IF(ISNUMBER(SEARCH(Assumptions!$C$6,G423)),Assumptions!$D$6,IF(ISNUMBER(SEARCH(Assumptions!$C$7,G423)),Assumptions!$D$7,"Other Services"))),"Other Services"))</f>
        <v/>
      </c>
    </row>
    <row r="424" customFormat="false" ht="15" hidden="false" customHeight="false" outlineLevel="0" collapsed="false">
      <c r="F424" s="41" t="str">
        <f aca="false">IF(E424="","",IFERROR(VLOOKUP(E424,Assumptions!$G$5:$H$16,2,0),"Other"))</f>
        <v/>
      </c>
      <c r="J424" s="41" t="str">
        <f aca="false">IF(G424="","",IFERROR(IF(ISNUMBER(SEARCH(Assumptions!$C$5,G424)),Assumptions!$D$5,IF(ISNUMBER(SEARCH(Assumptions!$C$6,G424)),Assumptions!$D$6,IF(ISNUMBER(SEARCH(Assumptions!$C$7,G424)),Assumptions!$D$7,"Other Services"))),"Other Services"))</f>
        <v/>
      </c>
    </row>
    <row r="425" customFormat="false" ht="15" hidden="false" customHeight="false" outlineLevel="0" collapsed="false">
      <c r="F425" s="41" t="str">
        <f aca="false">IF(E425="","",IFERROR(VLOOKUP(E425,Assumptions!$G$5:$H$16,2,0),"Other"))</f>
        <v/>
      </c>
      <c r="J425" s="41" t="str">
        <f aca="false">IF(G425="","",IFERROR(IF(ISNUMBER(SEARCH(Assumptions!$C$5,G425)),Assumptions!$D$5,IF(ISNUMBER(SEARCH(Assumptions!$C$6,G425)),Assumptions!$D$6,IF(ISNUMBER(SEARCH(Assumptions!$C$7,G425)),Assumptions!$D$7,"Other Services"))),"Other Services"))</f>
        <v/>
      </c>
    </row>
    <row r="426" customFormat="false" ht="15" hidden="false" customHeight="false" outlineLevel="0" collapsed="false">
      <c r="F426" s="41" t="str">
        <f aca="false">IF(E426="","",IFERROR(VLOOKUP(E426,Assumptions!$G$5:$H$16,2,0),"Other"))</f>
        <v/>
      </c>
      <c r="J426" s="41" t="str">
        <f aca="false">IF(G426="","",IFERROR(IF(ISNUMBER(SEARCH(Assumptions!$C$5,G426)),Assumptions!$D$5,IF(ISNUMBER(SEARCH(Assumptions!$C$6,G426)),Assumptions!$D$6,IF(ISNUMBER(SEARCH(Assumptions!$C$7,G426)),Assumptions!$D$7,"Other Services"))),"Other Services"))</f>
        <v/>
      </c>
    </row>
    <row r="427" customFormat="false" ht="15" hidden="false" customHeight="false" outlineLevel="0" collapsed="false">
      <c r="F427" s="41" t="str">
        <f aca="false">IF(E427="","",IFERROR(VLOOKUP(E427,Assumptions!$G$5:$H$16,2,0),"Other"))</f>
        <v/>
      </c>
      <c r="J427" s="41" t="str">
        <f aca="false">IF(G427="","",IFERROR(IF(ISNUMBER(SEARCH(Assumptions!$C$5,G427)),Assumptions!$D$5,IF(ISNUMBER(SEARCH(Assumptions!$C$6,G427)),Assumptions!$D$6,IF(ISNUMBER(SEARCH(Assumptions!$C$7,G427)),Assumptions!$D$7,"Other Services"))),"Other Services"))</f>
        <v/>
      </c>
    </row>
    <row r="428" customFormat="false" ht="15" hidden="false" customHeight="false" outlineLevel="0" collapsed="false">
      <c r="F428" s="41" t="str">
        <f aca="false">IF(E428="","",IFERROR(VLOOKUP(E428,Assumptions!$G$5:$H$16,2,0),"Other"))</f>
        <v/>
      </c>
      <c r="J428" s="41" t="str">
        <f aca="false">IF(G428="","",IFERROR(IF(ISNUMBER(SEARCH(Assumptions!$C$5,G428)),Assumptions!$D$5,IF(ISNUMBER(SEARCH(Assumptions!$C$6,G428)),Assumptions!$D$6,IF(ISNUMBER(SEARCH(Assumptions!$C$7,G428)),Assumptions!$D$7,"Other Services"))),"Other Services"))</f>
        <v/>
      </c>
    </row>
    <row r="429" customFormat="false" ht="15" hidden="false" customHeight="false" outlineLevel="0" collapsed="false">
      <c r="F429" s="41" t="str">
        <f aca="false">IF(E429="","",IFERROR(VLOOKUP(E429,Assumptions!$G$5:$H$16,2,0),"Other"))</f>
        <v/>
      </c>
      <c r="J429" s="41" t="str">
        <f aca="false">IF(G429="","",IFERROR(IF(ISNUMBER(SEARCH(Assumptions!$C$5,G429)),Assumptions!$D$5,IF(ISNUMBER(SEARCH(Assumptions!$C$6,G429)),Assumptions!$D$6,IF(ISNUMBER(SEARCH(Assumptions!$C$7,G429)),Assumptions!$D$7,"Other Services"))),"Other Services"))</f>
        <v/>
      </c>
    </row>
    <row r="430" customFormat="false" ht="15" hidden="false" customHeight="false" outlineLevel="0" collapsed="false">
      <c r="F430" s="41" t="str">
        <f aca="false">IF(E430="","",IFERROR(VLOOKUP(E430,Assumptions!$G$5:$H$16,2,0),"Other"))</f>
        <v/>
      </c>
      <c r="J430" s="41" t="str">
        <f aca="false">IF(G430="","",IFERROR(IF(ISNUMBER(SEARCH(Assumptions!$C$5,G430)),Assumptions!$D$5,IF(ISNUMBER(SEARCH(Assumptions!$C$6,G430)),Assumptions!$D$6,IF(ISNUMBER(SEARCH(Assumptions!$C$7,G430)),Assumptions!$D$7,"Other Services"))),"Other Services"))</f>
        <v/>
      </c>
    </row>
    <row r="431" customFormat="false" ht="15" hidden="false" customHeight="false" outlineLevel="0" collapsed="false">
      <c r="F431" s="41" t="str">
        <f aca="false">IF(E431="","",IFERROR(VLOOKUP(E431,Assumptions!$G$5:$H$16,2,0),"Other"))</f>
        <v/>
      </c>
      <c r="J431" s="41" t="str">
        <f aca="false">IF(G431="","",IFERROR(IF(ISNUMBER(SEARCH(Assumptions!$C$5,G431)),Assumptions!$D$5,IF(ISNUMBER(SEARCH(Assumptions!$C$6,G431)),Assumptions!$D$6,IF(ISNUMBER(SEARCH(Assumptions!$C$7,G431)),Assumptions!$D$7,"Other Services"))),"Other Services"))</f>
        <v/>
      </c>
    </row>
    <row r="432" customFormat="false" ht="15" hidden="false" customHeight="false" outlineLevel="0" collapsed="false">
      <c r="F432" s="41" t="str">
        <f aca="false">IF(E432="","",IFERROR(VLOOKUP(E432,Assumptions!$G$5:$H$16,2,0),"Other"))</f>
        <v/>
      </c>
      <c r="J432" s="41" t="str">
        <f aca="false">IF(G432="","",IFERROR(IF(ISNUMBER(SEARCH(Assumptions!$C$5,G432)),Assumptions!$D$5,IF(ISNUMBER(SEARCH(Assumptions!$C$6,G432)),Assumptions!$D$6,IF(ISNUMBER(SEARCH(Assumptions!$C$7,G432)),Assumptions!$D$7,"Other Services"))),"Other Services"))</f>
        <v/>
      </c>
    </row>
    <row r="433" customFormat="false" ht="15" hidden="false" customHeight="false" outlineLevel="0" collapsed="false">
      <c r="F433" s="41" t="str">
        <f aca="false">IF(E433="","",IFERROR(VLOOKUP(E433,Assumptions!$G$5:$H$16,2,0),"Other"))</f>
        <v/>
      </c>
      <c r="J433" s="41" t="str">
        <f aca="false">IF(G433="","",IFERROR(IF(ISNUMBER(SEARCH(Assumptions!$C$5,G433)),Assumptions!$D$5,IF(ISNUMBER(SEARCH(Assumptions!$C$6,G433)),Assumptions!$D$6,IF(ISNUMBER(SEARCH(Assumptions!$C$7,G433)),Assumptions!$D$7,"Other Services"))),"Other Services"))</f>
        <v/>
      </c>
    </row>
    <row r="434" customFormat="false" ht="15" hidden="false" customHeight="false" outlineLevel="0" collapsed="false">
      <c r="F434" s="41" t="str">
        <f aca="false">IF(E434="","",IFERROR(VLOOKUP(E434,Assumptions!$G$5:$H$16,2,0),"Other"))</f>
        <v/>
      </c>
      <c r="J434" s="41" t="str">
        <f aca="false">IF(G434="","",IFERROR(IF(ISNUMBER(SEARCH(Assumptions!$C$5,G434)),Assumptions!$D$5,IF(ISNUMBER(SEARCH(Assumptions!$C$6,G434)),Assumptions!$D$6,IF(ISNUMBER(SEARCH(Assumptions!$C$7,G434)),Assumptions!$D$7,"Other Services"))),"Other Services"))</f>
        <v/>
      </c>
    </row>
    <row r="435" customFormat="false" ht="15" hidden="false" customHeight="false" outlineLevel="0" collapsed="false">
      <c r="F435" s="41" t="str">
        <f aca="false">IF(E435="","",IFERROR(VLOOKUP(E435,Assumptions!$G$5:$H$16,2,0),"Other"))</f>
        <v/>
      </c>
      <c r="J435" s="41" t="str">
        <f aca="false">IF(G435="","",IFERROR(IF(ISNUMBER(SEARCH(Assumptions!$C$5,G435)),Assumptions!$D$5,IF(ISNUMBER(SEARCH(Assumptions!$C$6,G435)),Assumptions!$D$6,IF(ISNUMBER(SEARCH(Assumptions!$C$7,G435)),Assumptions!$D$7,"Other Services"))),"Other Services"))</f>
        <v/>
      </c>
    </row>
    <row r="436" customFormat="false" ht="15" hidden="false" customHeight="false" outlineLevel="0" collapsed="false">
      <c r="F436" s="41" t="str">
        <f aca="false">IF(E436="","",IFERROR(VLOOKUP(E436,Assumptions!$G$5:$H$16,2,0),"Other"))</f>
        <v/>
      </c>
      <c r="J436" s="41" t="str">
        <f aca="false">IF(G436="","",IFERROR(IF(ISNUMBER(SEARCH(Assumptions!$C$5,G436)),Assumptions!$D$5,IF(ISNUMBER(SEARCH(Assumptions!$C$6,G436)),Assumptions!$D$6,IF(ISNUMBER(SEARCH(Assumptions!$C$7,G436)),Assumptions!$D$7,"Other Services"))),"Other Services"))</f>
        <v/>
      </c>
    </row>
    <row r="437" customFormat="false" ht="15" hidden="false" customHeight="false" outlineLevel="0" collapsed="false">
      <c r="F437" s="41" t="str">
        <f aca="false">IF(E437="","",IFERROR(VLOOKUP(E437,Assumptions!$G$5:$H$16,2,0),"Other"))</f>
        <v/>
      </c>
      <c r="J437" s="41" t="str">
        <f aca="false">IF(G437="","",IFERROR(IF(ISNUMBER(SEARCH(Assumptions!$C$5,G437)),Assumptions!$D$5,IF(ISNUMBER(SEARCH(Assumptions!$C$6,G437)),Assumptions!$D$6,IF(ISNUMBER(SEARCH(Assumptions!$C$7,G437)),Assumptions!$D$7,"Other Services"))),"Other Services"))</f>
        <v/>
      </c>
    </row>
    <row r="438" customFormat="false" ht="15" hidden="false" customHeight="false" outlineLevel="0" collapsed="false">
      <c r="F438" s="41" t="str">
        <f aca="false">IF(E438="","",IFERROR(VLOOKUP(E438,Assumptions!$G$5:$H$16,2,0),"Other"))</f>
        <v/>
      </c>
      <c r="J438" s="41" t="str">
        <f aca="false">IF(G438="","",IFERROR(IF(ISNUMBER(SEARCH(Assumptions!$C$5,G438)),Assumptions!$D$5,IF(ISNUMBER(SEARCH(Assumptions!$C$6,G438)),Assumptions!$D$6,IF(ISNUMBER(SEARCH(Assumptions!$C$7,G438)),Assumptions!$D$7,"Other Services"))),"Other Services"))</f>
        <v/>
      </c>
    </row>
    <row r="439" customFormat="false" ht="15" hidden="false" customHeight="false" outlineLevel="0" collapsed="false">
      <c r="F439" s="41" t="str">
        <f aca="false">IF(E439="","",IFERROR(VLOOKUP(E439,Assumptions!$G$5:$H$16,2,0),"Other"))</f>
        <v/>
      </c>
      <c r="J439" s="41" t="str">
        <f aca="false">IF(G439="","",IFERROR(IF(ISNUMBER(SEARCH(Assumptions!$C$5,G439)),Assumptions!$D$5,IF(ISNUMBER(SEARCH(Assumptions!$C$6,G439)),Assumptions!$D$6,IF(ISNUMBER(SEARCH(Assumptions!$C$7,G439)),Assumptions!$D$7,"Other Services"))),"Other Services"))</f>
        <v/>
      </c>
    </row>
    <row r="440" customFormat="false" ht="15" hidden="false" customHeight="false" outlineLevel="0" collapsed="false">
      <c r="F440" s="41" t="str">
        <f aca="false">IF(E440="","",IFERROR(VLOOKUP(E440,Assumptions!$G$5:$H$16,2,0),"Other"))</f>
        <v/>
      </c>
      <c r="J440" s="41" t="str">
        <f aca="false">IF(G440="","",IFERROR(IF(ISNUMBER(SEARCH(Assumptions!$C$5,G440)),Assumptions!$D$5,IF(ISNUMBER(SEARCH(Assumptions!$C$6,G440)),Assumptions!$D$6,IF(ISNUMBER(SEARCH(Assumptions!$C$7,G440)),Assumptions!$D$7,"Other Services"))),"Other Services"))</f>
        <v/>
      </c>
    </row>
    <row r="441" customFormat="false" ht="15" hidden="false" customHeight="false" outlineLevel="0" collapsed="false">
      <c r="F441" s="41" t="str">
        <f aca="false">IF(E441="","",IFERROR(VLOOKUP(E441,Assumptions!$G$5:$H$16,2,0),"Other"))</f>
        <v/>
      </c>
      <c r="J441" s="41" t="str">
        <f aca="false">IF(G441="","",IFERROR(IF(ISNUMBER(SEARCH(Assumptions!$C$5,G441)),Assumptions!$D$5,IF(ISNUMBER(SEARCH(Assumptions!$C$6,G441)),Assumptions!$D$6,IF(ISNUMBER(SEARCH(Assumptions!$C$7,G441)),Assumptions!$D$7,"Other Services"))),"Other Services"))</f>
        <v/>
      </c>
    </row>
    <row r="442" customFormat="false" ht="15" hidden="false" customHeight="false" outlineLevel="0" collapsed="false">
      <c r="F442" s="41" t="str">
        <f aca="false">IF(E442="","",IFERROR(VLOOKUP(E442,Assumptions!$G$5:$H$16,2,0),"Other"))</f>
        <v/>
      </c>
      <c r="J442" s="41" t="str">
        <f aca="false">IF(G442="","",IFERROR(IF(ISNUMBER(SEARCH(Assumptions!$C$5,G442)),Assumptions!$D$5,IF(ISNUMBER(SEARCH(Assumptions!$C$6,G442)),Assumptions!$D$6,IF(ISNUMBER(SEARCH(Assumptions!$C$7,G442)),Assumptions!$D$7,"Other Services"))),"Other Services"))</f>
        <v/>
      </c>
    </row>
    <row r="443" customFormat="false" ht="15" hidden="false" customHeight="false" outlineLevel="0" collapsed="false">
      <c r="F443" s="41" t="str">
        <f aca="false">IF(E443="","",IFERROR(VLOOKUP(E443,Assumptions!$G$5:$H$16,2,0),"Other"))</f>
        <v/>
      </c>
      <c r="J443" s="41" t="str">
        <f aca="false">IF(G443="","",IFERROR(IF(ISNUMBER(SEARCH(Assumptions!$C$5,G443)),Assumptions!$D$5,IF(ISNUMBER(SEARCH(Assumptions!$C$6,G443)),Assumptions!$D$6,IF(ISNUMBER(SEARCH(Assumptions!$C$7,G443)),Assumptions!$D$7,"Other Services"))),"Other Services"))</f>
        <v/>
      </c>
    </row>
    <row r="444" customFormat="false" ht="15" hidden="false" customHeight="false" outlineLevel="0" collapsed="false">
      <c r="F444" s="41" t="str">
        <f aca="false">IF(E444="","",IFERROR(VLOOKUP(E444,Assumptions!$G$5:$H$16,2,0),"Other"))</f>
        <v/>
      </c>
      <c r="J444" s="41" t="str">
        <f aca="false">IF(G444="","",IFERROR(IF(ISNUMBER(SEARCH(Assumptions!$C$5,G444)),Assumptions!$D$5,IF(ISNUMBER(SEARCH(Assumptions!$C$6,G444)),Assumptions!$D$6,IF(ISNUMBER(SEARCH(Assumptions!$C$7,G444)),Assumptions!$D$7,"Other Services"))),"Other Services"))</f>
        <v/>
      </c>
    </row>
    <row r="445" customFormat="false" ht="15" hidden="false" customHeight="false" outlineLevel="0" collapsed="false">
      <c r="F445" s="41" t="str">
        <f aca="false">IF(E445="","",IFERROR(VLOOKUP(E445,Assumptions!$G$5:$H$16,2,0),"Other"))</f>
        <v/>
      </c>
      <c r="J445" s="41" t="str">
        <f aca="false">IF(G445="","",IFERROR(IF(ISNUMBER(SEARCH(Assumptions!$C$5,G445)),Assumptions!$D$5,IF(ISNUMBER(SEARCH(Assumptions!$C$6,G445)),Assumptions!$D$6,IF(ISNUMBER(SEARCH(Assumptions!$C$7,G445)),Assumptions!$D$7,"Other Services"))),"Other Services"))</f>
        <v/>
      </c>
    </row>
    <row r="446" customFormat="false" ht="15" hidden="false" customHeight="false" outlineLevel="0" collapsed="false">
      <c r="F446" s="41" t="str">
        <f aca="false">IF(E446="","",IFERROR(VLOOKUP(E446,Assumptions!$G$5:$H$16,2,0),"Other"))</f>
        <v/>
      </c>
      <c r="J446" s="41" t="str">
        <f aca="false">IF(G446="","",IFERROR(IF(ISNUMBER(SEARCH(Assumptions!$C$5,G446)),Assumptions!$D$5,IF(ISNUMBER(SEARCH(Assumptions!$C$6,G446)),Assumptions!$D$6,IF(ISNUMBER(SEARCH(Assumptions!$C$7,G446)),Assumptions!$D$7,"Other Services"))),"Other Services"))</f>
        <v/>
      </c>
    </row>
    <row r="447" customFormat="false" ht="15" hidden="false" customHeight="false" outlineLevel="0" collapsed="false">
      <c r="F447" s="41" t="str">
        <f aca="false">IF(E447="","",IFERROR(VLOOKUP(E447,Assumptions!$G$5:$H$16,2,0),"Other"))</f>
        <v/>
      </c>
      <c r="J447" s="41" t="str">
        <f aca="false">IF(G447="","",IFERROR(IF(ISNUMBER(SEARCH(Assumptions!$C$5,G447)),Assumptions!$D$5,IF(ISNUMBER(SEARCH(Assumptions!$C$6,G447)),Assumptions!$D$6,IF(ISNUMBER(SEARCH(Assumptions!$C$7,G447)),Assumptions!$D$7,"Other Services"))),"Other Services"))</f>
        <v/>
      </c>
    </row>
    <row r="448" customFormat="false" ht="15" hidden="false" customHeight="false" outlineLevel="0" collapsed="false">
      <c r="F448" s="41" t="str">
        <f aca="false">IF(E448="","",IFERROR(VLOOKUP(E448,Assumptions!$G$5:$H$16,2,0),"Other"))</f>
        <v/>
      </c>
      <c r="J448" s="41" t="str">
        <f aca="false">IF(G448="","",IFERROR(IF(ISNUMBER(SEARCH(Assumptions!$C$5,G448)),Assumptions!$D$5,IF(ISNUMBER(SEARCH(Assumptions!$C$6,G448)),Assumptions!$D$6,IF(ISNUMBER(SEARCH(Assumptions!$C$7,G448)),Assumptions!$D$7,"Other Services"))),"Other Services"))</f>
        <v/>
      </c>
    </row>
    <row r="449" customFormat="false" ht="15" hidden="false" customHeight="false" outlineLevel="0" collapsed="false">
      <c r="F449" s="41" t="str">
        <f aca="false">IF(E449="","",IFERROR(VLOOKUP(E449,Assumptions!$G$5:$H$16,2,0),"Other"))</f>
        <v/>
      </c>
      <c r="J449" s="41" t="str">
        <f aca="false">IF(G449="","",IFERROR(IF(ISNUMBER(SEARCH(Assumptions!$C$5,G449)),Assumptions!$D$5,IF(ISNUMBER(SEARCH(Assumptions!$C$6,G449)),Assumptions!$D$6,IF(ISNUMBER(SEARCH(Assumptions!$C$7,G449)),Assumptions!$D$7,"Other Services"))),"Other Services"))</f>
        <v/>
      </c>
    </row>
    <row r="450" customFormat="false" ht="15" hidden="false" customHeight="false" outlineLevel="0" collapsed="false">
      <c r="F450" s="41" t="str">
        <f aca="false">IF(E450="","",IFERROR(VLOOKUP(E450,Assumptions!$G$5:$H$16,2,0),"Other"))</f>
        <v/>
      </c>
      <c r="J450" s="41" t="str">
        <f aca="false">IF(G450="","",IFERROR(IF(ISNUMBER(SEARCH(Assumptions!$C$5,G450)),Assumptions!$D$5,IF(ISNUMBER(SEARCH(Assumptions!$C$6,G450)),Assumptions!$D$6,IF(ISNUMBER(SEARCH(Assumptions!$C$7,G450)),Assumptions!$D$7,"Other Services"))),"Other Services"))</f>
        <v/>
      </c>
    </row>
    <row r="451" customFormat="false" ht="15" hidden="false" customHeight="false" outlineLevel="0" collapsed="false">
      <c r="F451" s="41" t="str">
        <f aca="false">IF(E451="","",IFERROR(VLOOKUP(E451,Assumptions!$G$5:$H$16,2,0),"Other"))</f>
        <v/>
      </c>
      <c r="J451" s="41" t="str">
        <f aca="false">IF(G451="","",IFERROR(IF(ISNUMBER(SEARCH(Assumptions!$C$5,G451)),Assumptions!$D$5,IF(ISNUMBER(SEARCH(Assumptions!$C$6,G451)),Assumptions!$D$6,IF(ISNUMBER(SEARCH(Assumptions!$C$7,G451)),Assumptions!$D$7,"Other Services"))),"Other Services"))</f>
        <v/>
      </c>
    </row>
    <row r="452" customFormat="false" ht="15" hidden="false" customHeight="false" outlineLevel="0" collapsed="false">
      <c r="F452" s="41" t="str">
        <f aca="false">IF(E452="","",IFERROR(VLOOKUP(E452,Assumptions!$G$5:$H$16,2,0),"Other"))</f>
        <v/>
      </c>
      <c r="J452" s="41" t="str">
        <f aca="false">IF(G452="","",IFERROR(IF(ISNUMBER(SEARCH(Assumptions!$C$5,G452)),Assumptions!$D$5,IF(ISNUMBER(SEARCH(Assumptions!$C$6,G452)),Assumptions!$D$6,IF(ISNUMBER(SEARCH(Assumptions!$C$7,G452)),Assumptions!$D$7,"Other Services"))),"Other Services"))</f>
        <v/>
      </c>
    </row>
    <row r="453" customFormat="false" ht="15" hidden="false" customHeight="false" outlineLevel="0" collapsed="false">
      <c r="F453" s="41" t="str">
        <f aca="false">IF(E453="","",IFERROR(VLOOKUP(E453,Assumptions!$G$5:$H$16,2,0),"Other"))</f>
        <v/>
      </c>
      <c r="J453" s="41" t="str">
        <f aca="false">IF(G453="","",IFERROR(IF(ISNUMBER(SEARCH(Assumptions!$C$5,G453)),Assumptions!$D$5,IF(ISNUMBER(SEARCH(Assumptions!$C$6,G453)),Assumptions!$D$6,IF(ISNUMBER(SEARCH(Assumptions!$C$7,G453)),Assumptions!$D$7,"Other Services"))),"Other Services"))</f>
        <v/>
      </c>
    </row>
    <row r="454" customFormat="false" ht="15" hidden="false" customHeight="false" outlineLevel="0" collapsed="false">
      <c r="F454" s="41" t="str">
        <f aca="false">IF(E454="","",IFERROR(VLOOKUP(E454,Assumptions!$G$5:$H$16,2,0),"Other"))</f>
        <v/>
      </c>
      <c r="J454" s="41" t="str">
        <f aca="false">IF(G454="","",IFERROR(IF(ISNUMBER(SEARCH(Assumptions!$C$5,G454)),Assumptions!$D$5,IF(ISNUMBER(SEARCH(Assumptions!$C$6,G454)),Assumptions!$D$6,IF(ISNUMBER(SEARCH(Assumptions!$C$7,G454)),Assumptions!$D$7,"Other Services"))),"Other Services"))</f>
        <v/>
      </c>
    </row>
    <row r="455" customFormat="false" ht="15" hidden="false" customHeight="false" outlineLevel="0" collapsed="false">
      <c r="F455" s="41" t="str">
        <f aca="false">IF(E455="","",IFERROR(VLOOKUP(E455,Assumptions!$G$5:$H$16,2,0),"Other"))</f>
        <v/>
      </c>
      <c r="J455" s="41" t="str">
        <f aca="false">IF(G455="","",IFERROR(IF(ISNUMBER(SEARCH(Assumptions!$C$5,G455)),Assumptions!$D$5,IF(ISNUMBER(SEARCH(Assumptions!$C$6,G455)),Assumptions!$D$6,IF(ISNUMBER(SEARCH(Assumptions!$C$7,G455)),Assumptions!$D$7,"Other Services"))),"Other Services"))</f>
        <v/>
      </c>
    </row>
    <row r="456" customFormat="false" ht="15" hidden="false" customHeight="false" outlineLevel="0" collapsed="false">
      <c r="F456" s="41" t="str">
        <f aca="false">IF(E456="","",IFERROR(VLOOKUP(E456,Assumptions!$G$5:$H$16,2,0),"Other"))</f>
        <v/>
      </c>
      <c r="J456" s="41" t="str">
        <f aca="false">IF(G456="","",IFERROR(IF(ISNUMBER(SEARCH(Assumptions!$C$5,G456)),Assumptions!$D$5,IF(ISNUMBER(SEARCH(Assumptions!$C$6,G456)),Assumptions!$D$6,IF(ISNUMBER(SEARCH(Assumptions!$C$7,G456)),Assumptions!$D$7,"Other Services"))),"Other Services"))</f>
        <v/>
      </c>
    </row>
    <row r="457" customFormat="false" ht="15" hidden="false" customHeight="false" outlineLevel="0" collapsed="false">
      <c r="F457" s="41" t="str">
        <f aca="false">IF(E457="","",IFERROR(VLOOKUP(E457,Assumptions!$G$5:$H$16,2,0),"Other"))</f>
        <v/>
      </c>
      <c r="J457" s="41" t="str">
        <f aca="false">IF(G457="","",IFERROR(IF(ISNUMBER(SEARCH(Assumptions!$C$5,G457)),Assumptions!$D$5,IF(ISNUMBER(SEARCH(Assumptions!$C$6,G457)),Assumptions!$D$6,IF(ISNUMBER(SEARCH(Assumptions!$C$7,G457)),Assumptions!$D$7,"Other Services"))),"Other Services"))</f>
        <v/>
      </c>
    </row>
    <row r="458" customFormat="false" ht="15" hidden="false" customHeight="false" outlineLevel="0" collapsed="false">
      <c r="F458" s="41" t="str">
        <f aca="false">IF(E458="","",IFERROR(VLOOKUP(E458,Assumptions!$G$5:$H$16,2,0),"Other"))</f>
        <v/>
      </c>
      <c r="J458" s="41" t="str">
        <f aca="false">IF(G458="","",IFERROR(IF(ISNUMBER(SEARCH(Assumptions!$C$5,G458)),Assumptions!$D$5,IF(ISNUMBER(SEARCH(Assumptions!$C$6,G458)),Assumptions!$D$6,IF(ISNUMBER(SEARCH(Assumptions!$C$7,G458)),Assumptions!$D$7,"Other Services"))),"Other Services"))</f>
        <v/>
      </c>
    </row>
    <row r="459" customFormat="false" ht="15" hidden="false" customHeight="false" outlineLevel="0" collapsed="false">
      <c r="F459" s="41" t="str">
        <f aca="false">IF(E459="","",IFERROR(VLOOKUP(E459,Assumptions!$G$5:$H$16,2,0),"Other"))</f>
        <v/>
      </c>
      <c r="J459" s="41" t="str">
        <f aca="false">IF(G459="","",IFERROR(IF(ISNUMBER(SEARCH(Assumptions!$C$5,G459)),Assumptions!$D$5,IF(ISNUMBER(SEARCH(Assumptions!$C$6,G459)),Assumptions!$D$6,IF(ISNUMBER(SEARCH(Assumptions!$C$7,G459)),Assumptions!$D$7,"Other Services"))),"Other Services"))</f>
        <v/>
      </c>
    </row>
    <row r="460" customFormat="false" ht="15" hidden="false" customHeight="false" outlineLevel="0" collapsed="false">
      <c r="F460" s="41" t="str">
        <f aca="false">IF(E460="","",IFERROR(VLOOKUP(E460,Assumptions!$G$5:$H$16,2,0),"Other"))</f>
        <v/>
      </c>
      <c r="J460" s="41" t="str">
        <f aca="false">IF(G460="","",IFERROR(IF(ISNUMBER(SEARCH(Assumptions!$C$5,G460)),Assumptions!$D$5,IF(ISNUMBER(SEARCH(Assumptions!$C$6,G460)),Assumptions!$D$6,IF(ISNUMBER(SEARCH(Assumptions!$C$7,G460)),Assumptions!$D$7,"Other Services"))),"Other Services"))</f>
        <v/>
      </c>
    </row>
    <row r="461" customFormat="false" ht="15" hidden="false" customHeight="false" outlineLevel="0" collapsed="false">
      <c r="F461" s="41" t="str">
        <f aca="false">IF(E461="","",IFERROR(VLOOKUP(E461,Assumptions!$G$5:$H$16,2,0),"Other"))</f>
        <v/>
      </c>
      <c r="J461" s="41" t="str">
        <f aca="false">IF(G461="","",IFERROR(IF(ISNUMBER(SEARCH(Assumptions!$C$5,G461)),Assumptions!$D$5,IF(ISNUMBER(SEARCH(Assumptions!$C$6,G461)),Assumptions!$D$6,IF(ISNUMBER(SEARCH(Assumptions!$C$7,G461)),Assumptions!$D$7,"Other Services"))),"Other Services"))</f>
        <v/>
      </c>
    </row>
    <row r="462" customFormat="false" ht="15" hidden="false" customHeight="false" outlineLevel="0" collapsed="false">
      <c r="F462" s="41" t="str">
        <f aca="false">IF(E462="","",IFERROR(VLOOKUP(E462,Assumptions!$G$5:$H$16,2,0),"Other"))</f>
        <v/>
      </c>
      <c r="J462" s="41" t="str">
        <f aca="false">IF(G462="","",IFERROR(IF(ISNUMBER(SEARCH(Assumptions!$C$5,G462)),Assumptions!$D$5,IF(ISNUMBER(SEARCH(Assumptions!$C$6,G462)),Assumptions!$D$6,IF(ISNUMBER(SEARCH(Assumptions!$C$7,G462)),Assumptions!$D$7,"Other Services"))),"Other Services"))</f>
        <v/>
      </c>
    </row>
    <row r="463" customFormat="false" ht="15" hidden="false" customHeight="false" outlineLevel="0" collapsed="false">
      <c r="F463" s="41" t="str">
        <f aca="false">IF(E463="","",IFERROR(VLOOKUP(E463,Assumptions!$G$5:$H$16,2,0),"Other"))</f>
        <v/>
      </c>
      <c r="J463" s="41" t="str">
        <f aca="false">IF(G463="","",IFERROR(IF(ISNUMBER(SEARCH(Assumptions!$C$5,G463)),Assumptions!$D$5,IF(ISNUMBER(SEARCH(Assumptions!$C$6,G463)),Assumptions!$D$6,IF(ISNUMBER(SEARCH(Assumptions!$C$7,G463)),Assumptions!$D$7,"Other Services"))),"Other Services"))</f>
        <v/>
      </c>
    </row>
    <row r="464" customFormat="false" ht="15" hidden="false" customHeight="false" outlineLevel="0" collapsed="false">
      <c r="F464" s="41" t="str">
        <f aca="false">IF(E464="","",IFERROR(VLOOKUP(E464,Assumptions!$G$5:$H$16,2,0),"Other"))</f>
        <v/>
      </c>
      <c r="J464" s="41" t="str">
        <f aca="false">IF(G464="","",IFERROR(IF(ISNUMBER(SEARCH(Assumptions!$C$5,G464)),Assumptions!$D$5,IF(ISNUMBER(SEARCH(Assumptions!$C$6,G464)),Assumptions!$D$6,IF(ISNUMBER(SEARCH(Assumptions!$C$7,G464)),Assumptions!$D$7,"Other Services"))),"Other Services"))</f>
        <v/>
      </c>
    </row>
    <row r="465" customFormat="false" ht="15" hidden="false" customHeight="false" outlineLevel="0" collapsed="false">
      <c r="F465" s="41" t="str">
        <f aca="false">IF(E465="","",IFERROR(VLOOKUP(E465,Assumptions!$G$5:$H$16,2,0),"Other"))</f>
        <v/>
      </c>
      <c r="J465" s="41" t="str">
        <f aca="false">IF(G465="","",IFERROR(IF(ISNUMBER(SEARCH(Assumptions!$C$5,G465)),Assumptions!$D$5,IF(ISNUMBER(SEARCH(Assumptions!$C$6,G465)),Assumptions!$D$6,IF(ISNUMBER(SEARCH(Assumptions!$C$7,G465)),Assumptions!$D$7,"Other Services"))),"Other Services"))</f>
        <v/>
      </c>
    </row>
    <row r="466" customFormat="false" ht="15" hidden="false" customHeight="false" outlineLevel="0" collapsed="false">
      <c r="F466" s="41" t="str">
        <f aca="false">IF(E466="","",IFERROR(VLOOKUP(E466,Assumptions!$G$5:$H$16,2,0),"Other"))</f>
        <v/>
      </c>
      <c r="J466" s="41" t="str">
        <f aca="false">IF(G466="","",IFERROR(IF(ISNUMBER(SEARCH(Assumptions!$C$5,G466)),Assumptions!$D$5,IF(ISNUMBER(SEARCH(Assumptions!$C$6,G466)),Assumptions!$D$6,IF(ISNUMBER(SEARCH(Assumptions!$C$7,G466)),Assumptions!$D$7,"Other Services"))),"Other Services"))</f>
        <v/>
      </c>
    </row>
    <row r="467" customFormat="false" ht="15" hidden="false" customHeight="false" outlineLevel="0" collapsed="false">
      <c r="F467" s="41" t="str">
        <f aca="false">IF(E467="","",IFERROR(VLOOKUP(E467,Assumptions!$G$5:$H$16,2,0),"Other"))</f>
        <v/>
      </c>
      <c r="J467" s="41" t="str">
        <f aca="false">IF(G467="","",IFERROR(IF(ISNUMBER(SEARCH(Assumptions!$C$5,G467)),Assumptions!$D$5,IF(ISNUMBER(SEARCH(Assumptions!$C$6,G467)),Assumptions!$D$6,IF(ISNUMBER(SEARCH(Assumptions!$C$7,G467)),Assumptions!$D$7,"Other Services"))),"Other Services"))</f>
        <v/>
      </c>
    </row>
    <row r="468" customFormat="false" ht="15" hidden="false" customHeight="false" outlineLevel="0" collapsed="false">
      <c r="F468" s="41" t="str">
        <f aca="false">IF(E468="","",IFERROR(VLOOKUP(E468,Assumptions!$G$5:$H$16,2,0),"Other"))</f>
        <v/>
      </c>
      <c r="J468" s="41" t="str">
        <f aca="false">IF(G468="","",IFERROR(IF(ISNUMBER(SEARCH(Assumptions!$C$5,G468)),Assumptions!$D$5,IF(ISNUMBER(SEARCH(Assumptions!$C$6,G468)),Assumptions!$D$6,IF(ISNUMBER(SEARCH(Assumptions!$C$7,G468)),Assumptions!$D$7,"Other Services"))),"Other Services"))</f>
        <v/>
      </c>
    </row>
    <row r="469" customFormat="false" ht="15" hidden="false" customHeight="false" outlineLevel="0" collapsed="false">
      <c r="F469" s="41" t="str">
        <f aca="false">IF(E469="","",IFERROR(VLOOKUP(E469,Assumptions!$G$5:$H$16,2,0),"Other"))</f>
        <v/>
      </c>
      <c r="J469" s="41" t="str">
        <f aca="false">IF(G469="","",IFERROR(IF(ISNUMBER(SEARCH(Assumptions!$C$5,G469)),Assumptions!$D$5,IF(ISNUMBER(SEARCH(Assumptions!$C$6,G469)),Assumptions!$D$6,IF(ISNUMBER(SEARCH(Assumptions!$C$7,G469)),Assumptions!$D$7,"Other Services"))),"Other Services"))</f>
        <v/>
      </c>
    </row>
    <row r="470" customFormat="false" ht="15" hidden="false" customHeight="false" outlineLevel="0" collapsed="false">
      <c r="F470" s="41" t="str">
        <f aca="false">IF(E470="","",IFERROR(VLOOKUP(E470,Assumptions!$G$5:$H$16,2,0),"Other"))</f>
        <v/>
      </c>
      <c r="J470" s="41" t="str">
        <f aca="false">IF(G470="","",IFERROR(IF(ISNUMBER(SEARCH(Assumptions!$C$5,G470)),Assumptions!$D$5,IF(ISNUMBER(SEARCH(Assumptions!$C$6,G470)),Assumptions!$D$6,IF(ISNUMBER(SEARCH(Assumptions!$C$7,G470)),Assumptions!$D$7,"Other Services"))),"Other Services"))</f>
        <v/>
      </c>
    </row>
    <row r="471" customFormat="false" ht="15" hidden="false" customHeight="false" outlineLevel="0" collapsed="false">
      <c r="F471" s="41" t="str">
        <f aca="false">IF(E471="","",IFERROR(VLOOKUP(E471,Assumptions!$G$5:$H$16,2,0),"Other"))</f>
        <v/>
      </c>
      <c r="J471" s="41" t="str">
        <f aca="false">IF(G471="","",IFERROR(IF(ISNUMBER(SEARCH(Assumptions!$C$5,G471)),Assumptions!$D$5,IF(ISNUMBER(SEARCH(Assumptions!$C$6,G471)),Assumptions!$D$6,IF(ISNUMBER(SEARCH(Assumptions!$C$7,G471)),Assumptions!$D$7,"Other Services"))),"Other Services"))</f>
        <v/>
      </c>
    </row>
    <row r="472" customFormat="false" ht="15" hidden="false" customHeight="false" outlineLevel="0" collapsed="false">
      <c r="F472" s="41" t="str">
        <f aca="false">IF(E472="","",IFERROR(VLOOKUP(E472,Assumptions!$G$5:$H$16,2,0),"Other"))</f>
        <v/>
      </c>
      <c r="J472" s="41" t="str">
        <f aca="false">IF(G472="","",IFERROR(IF(ISNUMBER(SEARCH(Assumptions!$C$5,G472)),Assumptions!$D$5,IF(ISNUMBER(SEARCH(Assumptions!$C$6,G472)),Assumptions!$D$6,IF(ISNUMBER(SEARCH(Assumptions!$C$7,G472)),Assumptions!$D$7,"Other Services"))),"Other Services"))</f>
        <v/>
      </c>
    </row>
    <row r="473" customFormat="false" ht="15" hidden="false" customHeight="false" outlineLevel="0" collapsed="false">
      <c r="F473" s="41" t="str">
        <f aca="false">IF(E473="","",IFERROR(VLOOKUP(E473,Assumptions!$G$5:$H$16,2,0),"Other"))</f>
        <v/>
      </c>
      <c r="J473" s="41" t="str">
        <f aca="false">IF(G473="","",IFERROR(IF(ISNUMBER(SEARCH(Assumptions!$C$5,G473)),Assumptions!$D$5,IF(ISNUMBER(SEARCH(Assumptions!$C$6,G473)),Assumptions!$D$6,IF(ISNUMBER(SEARCH(Assumptions!$C$7,G473)),Assumptions!$D$7,"Other Services"))),"Other Services"))</f>
        <v/>
      </c>
    </row>
    <row r="474" customFormat="false" ht="15" hidden="false" customHeight="false" outlineLevel="0" collapsed="false">
      <c r="F474" s="41" t="str">
        <f aca="false">IF(E474="","",IFERROR(VLOOKUP(E474,Assumptions!$G$5:$H$16,2,0),"Other"))</f>
        <v/>
      </c>
      <c r="J474" s="41" t="str">
        <f aca="false">IF(G474="","",IFERROR(IF(ISNUMBER(SEARCH(Assumptions!$C$5,G474)),Assumptions!$D$5,IF(ISNUMBER(SEARCH(Assumptions!$C$6,G474)),Assumptions!$D$6,IF(ISNUMBER(SEARCH(Assumptions!$C$7,G474)),Assumptions!$D$7,"Other Services"))),"Other Services"))</f>
        <v/>
      </c>
    </row>
    <row r="475" customFormat="false" ht="15" hidden="false" customHeight="false" outlineLevel="0" collapsed="false">
      <c r="F475" s="41" t="str">
        <f aca="false">IF(E475="","",IFERROR(VLOOKUP(E475,Assumptions!$G$5:$H$16,2,0),"Other"))</f>
        <v/>
      </c>
      <c r="J475" s="41" t="str">
        <f aca="false">IF(G475="","",IFERROR(IF(ISNUMBER(SEARCH(Assumptions!$C$5,G475)),Assumptions!$D$5,IF(ISNUMBER(SEARCH(Assumptions!$C$6,G475)),Assumptions!$D$6,IF(ISNUMBER(SEARCH(Assumptions!$C$7,G475)),Assumptions!$D$7,"Other Services"))),"Other Services"))</f>
        <v/>
      </c>
    </row>
    <row r="476" customFormat="false" ht="15" hidden="false" customHeight="false" outlineLevel="0" collapsed="false">
      <c r="F476" s="41" t="str">
        <f aca="false">IF(E476="","",IFERROR(VLOOKUP(E476,Assumptions!$G$5:$H$16,2,0),"Other"))</f>
        <v/>
      </c>
      <c r="J476" s="41" t="str">
        <f aca="false">IF(G476="","",IFERROR(IF(ISNUMBER(SEARCH(Assumptions!$C$5,G476)),Assumptions!$D$5,IF(ISNUMBER(SEARCH(Assumptions!$C$6,G476)),Assumptions!$D$6,IF(ISNUMBER(SEARCH(Assumptions!$C$7,G476)),Assumptions!$D$7,"Other Services"))),"Other Services"))</f>
        <v/>
      </c>
    </row>
    <row r="477" customFormat="false" ht="15" hidden="false" customHeight="false" outlineLevel="0" collapsed="false">
      <c r="F477" s="41" t="str">
        <f aca="false">IF(E477="","",IFERROR(VLOOKUP(E477,Assumptions!$G$5:$H$16,2,0),"Other"))</f>
        <v/>
      </c>
      <c r="J477" s="41" t="str">
        <f aca="false">IF(G477="","",IFERROR(IF(ISNUMBER(SEARCH(Assumptions!$C$5,G477)),Assumptions!$D$5,IF(ISNUMBER(SEARCH(Assumptions!$C$6,G477)),Assumptions!$D$6,IF(ISNUMBER(SEARCH(Assumptions!$C$7,G477)),Assumptions!$D$7,"Other Services"))),"Other Services"))</f>
        <v/>
      </c>
    </row>
    <row r="478" customFormat="false" ht="15" hidden="false" customHeight="false" outlineLevel="0" collapsed="false">
      <c r="F478" s="41" t="str">
        <f aca="false">IF(E478="","",IFERROR(VLOOKUP(E478,Assumptions!$G$5:$H$16,2,0),"Other"))</f>
        <v/>
      </c>
      <c r="J478" s="41" t="str">
        <f aca="false">IF(G478="","",IFERROR(IF(ISNUMBER(SEARCH(Assumptions!$C$5,G478)),Assumptions!$D$5,IF(ISNUMBER(SEARCH(Assumptions!$C$6,G478)),Assumptions!$D$6,IF(ISNUMBER(SEARCH(Assumptions!$C$7,G478)),Assumptions!$D$7,"Other Services"))),"Other Services"))</f>
        <v/>
      </c>
    </row>
    <row r="479" customFormat="false" ht="15" hidden="false" customHeight="false" outlineLevel="0" collapsed="false">
      <c r="F479" s="41" t="str">
        <f aca="false">IF(E479="","",IFERROR(VLOOKUP(E479,Assumptions!$G$5:$H$16,2,0),"Other"))</f>
        <v/>
      </c>
      <c r="J479" s="41" t="str">
        <f aca="false">IF(G479="","",IFERROR(IF(ISNUMBER(SEARCH(Assumptions!$C$5,G479)),Assumptions!$D$5,IF(ISNUMBER(SEARCH(Assumptions!$C$6,G479)),Assumptions!$D$6,IF(ISNUMBER(SEARCH(Assumptions!$C$7,G479)),Assumptions!$D$7,"Other Services"))),"Other Services"))</f>
        <v/>
      </c>
    </row>
    <row r="480" customFormat="false" ht="15" hidden="false" customHeight="false" outlineLevel="0" collapsed="false">
      <c r="F480" s="41" t="str">
        <f aca="false">IF(E480="","",IFERROR(VLOOKUP(E480,Assumptions!$G$5:$H$16,2,0),"Other"))</f>
        <v/>
      </c>
      <c r="J480" s="41" t="str">
        <f aca="false">IF(G480="","",IFERROR(IF(ISNUMBER(SEARCH(Assumptions!$C$5,G480)),Assumptions!$D$5,IF(ISNUMBER(SEARCH(Assumptions!$C$6,G480)),Assumptions!$D$6,IF(ISNUMBER(SEARCH(Assumptions!$C$7,G480)),Assumptions!$D$7,"Other Services"))),"Other Services"))</f>
        <v/>
      </c>
    </row>
    <row r="481" customFormat="false" ht="15" hidden="false" customHeight="false" outlineLevel="0" collapsed="false">
      <c r="F481" s="41" t="str">
        <f aca="false">IF(E481="","",IFERROR(VLOOKUP(E481,Assumptions!$G$5:$H$16,2,0),"Other"))</f>
        <v/>
      </c>
      <c r="J481" s="41" t="str">
        <f aca="false">IF(G481="","",IFERROR(IF(ISNUMBER(SEARCH(Assumptions!$C$5,G481)),Assumptions!$D$5,IF(ISNUMBER(SEARCH(Assumptions!$C$6,G481)),Assumptions!$D$6,IF(ISNUMBER(SEARCH(Assumptions!$C$7,G481)),Assumptions!$D$7,"Other Services"))),"Other Services"))</f>
        <v/>
      </c>
    </row>
    <row r="482" customFormat="false" ht="15" hidden="false" customHeight="false" outlineLevel="0" collapsed="false">
      <c r="F482" s="41" t="str">
        <f aca="false">IF(E482="","",IFERROR(VLOOKUP(E482,Assumptions!$G$5:$H$16,2,0),"Other"))</f>
        <v/>
      </c>
      <c r="J482" s="41" t="str">
        <f aca="false">IF(G482="","",IFERROR(IF(ISNUMBER(SEARCH(Assumptions!$C$5,G482)),Assumptions!$D$5,IF(ISNUMBER(SEARCH(Assumptions!$C$6,G482)),Assumptions!$D$6,IF(ISNUMBER(SEARCH(Assumptions!$C$7,G482)),Assumptions!$D$7,"Other Services"))),"Other Services"))</f>
        <v/>
      </c>
    </row>
    <row r="483" customFormat="false" ht="15" hidden="false" customHeight="false" outlineLevel="0" collapsed="false">
      <c r="F483" s="41" t="str">
        <f aca="false">IF(E483="","",IFERROR(VLOOKUP(E483,Assumptions!$G$5:$H$16,2,0),"Other"))</f>
        <v/>
      </c>
      <c r="J483" s="41" t="str">
        <f aca="false">IF(G483="","",IFERROR(IF(ISNUMBER(SEARCH(Assumptions!$C$5,G483)),Assumptions!$D$5,IF(ISNUMBER(SEARCH(Assumptions!$C$6,G483)),Assumptions!$D$6,IF(ISNUMBER(SEARCH(Assumptions!$C$7,G483)),Assumptions!$D$7,"Other Services"))),"Other Services"))</f>
        <v/>
      </c>
    </row>
    <row r="484" customFormat="false" ht="15" hidden="false" customHeight="false" outlineLevel="0" collapsed="false">
      <c r="F484" s="41" t="str">
        <f aca="false">IF(E484="","",IFERROR(VLOOKUP(E484,Assumptions!$G$5:$H$16,2,0),"Other"))</f>
        <v/>
      </c>
      <c r="J484" s="41" t="str">
        <f aca="false">IF(G484="","",IFERROR(IF(ISNUMBER(SEARCH(Assumptions!$C$5,G484)),Assumptions!$D$5,IF(ISNUMBER(SEARCH(Assumptions!$C$6,G484)),Assumptions!$D$6,IF(ISNUMBER(SEARCH(Assumptions!$C$7,G484)),Assumptions!$D$7,"Other Services"))),"Other Services"))</f>
        <v/>
      </c>
    </row>
    <row r="485" customFormat="false" ht="15" hidden="false" customHeight="false" outlineLevel="0" collapsed="false">
      <c r="F485" s="41" t="str">
        <f aca="false">IF(E485="","",IFERROR(VLOOKUP(E485,Assumptions!$G$5:$H$16,2,0),"Other"))</f>
        <v/>
      </c>
      <c r="J485" s="41" t="str">
        <f aca="false">IF(G485="","",IFERROR(IF(ISNUMBER(SEARCH(Assumptions!$C$5,G485)),Assumptions!$D$5,IF(ISNUMBER(SEARCH(Assumptions!$C$6,G485)),Assumptions!$D$6,IF(ISNUMBER(SEARCH(Assumptions!$C$7,G485)),Assumptions!$D$7,"Other Services"))),"Other Services"))</f>
        <v/>
      </c>
    </row>
    <row r="486" customFormat="false" ht="15" hidden="false" customHeight="false" outlineLevel="0" collapsed="false">
      <c r="F486" s="41" t="str">
        <f aca="false">IF(E486="","",IFERROR(VLOOKUP(E486,Assumptions!$G$5:$H$16,2,0),"Other"))</f>
        <v/>
      </c>
      <c r="J486" s="41" t="str">
        <f aca="false">IF(G486="","",IFERROR(IF(ISNUMBER(SEARCH(Assumptions!$C$5,G486)),Assumptions!$D$5,IF(ISNUMBER(SEARCH(Assumptions!$C$6,G486)),Assumptions!$D$6,IF(ISNUMBER(SEARCH(Assumptions!$C$7,G486)),Assumptions!$D$7,"Other Services"))),"Other Services"))</f>
        <v/>
      </c>
    </row>
    <row r="487" customFormat="false" ht="15" hidden="false" customHeight="false" outlineLevel="0" collapsed="false">
      <c r="F487" s="41" t="str">
        <f aca="false">IF(E487="","",IFERROR(VLOOKUP(E487,Assumptions!$G$5:$H$16,2,0),"Other"))</f>
        <v/>
      </c>
      <c r="J487" s="41" t="str">
        <f aca="false">IF(G487="","",IFERROR(IF(ISNUMBER(SEARCH(Assumptions!$C$5,G487)),Assumptions!$D$5,IF(ISNUMBER(SEARCH(Assumptions!$C$6,G487)),Assumptions!$D$6,IF(ISNUMBER(SEARCH(Assumptions!$C$7,G487)),Assumptions!$D$7,"Other Services"))),"Other Services"))</f>
        <v/>
      </c>
    </row>
    <row r="488" customFormat="false" ht="15" hidden="false" customHeight="false" outlineLevel="0" collapsed="false">
      <c r="F488" s="41" t="str">
        <f aca="false">IF(E488="","",IFERROR(VLOOKUP(E488,Assumptions!$G$5:$H$16,2,0),"Other"))</f>
        <v/>
      </c>
      <c r="J488" s="41" t="str">
        <f aca="false">IF(G488="","",IFERROR(IF(ISNUMBER(SEARCH(Assumptions!$C$5,G488)),Assumptions!$D$5,IF(ISNUMBER(SEARCH(Assumptions!$C$6,G488)),Assumptions!$D$6,IF(ISNUMBER(SEARCH(Assumptions!$C$7,G488)),Assumptions!$D$7,"Other Services"))),"Other Services"))</f>
        <v/>
      </c>
    </row>
    <row r="489" customFormat="false" ht="15" hidden="false" customHeight="false" outlineLevel="0" collapsed="false">
      <c r="F489" s="41" t="str">
        <f aca="false">IF(E489="","",IFERROR(VLOOKUP(E489,Assumptions!$G$5:$H$16,2,0),"Other"))</f>
        <v/>
      </c>
      <c r="J489" s="41" t="str">
        <f aca="false">IF(G489="","",IFERROR(IF(ISNUMBER(SEARCH(Assumptions!$C$5,G489)),Assumptions!$D$5,IF(ISNUMBER(SEARCH(Assumptions!$C$6,G489)),Assumptions!$D$6,IF(ISNUMBER(SEARCH(Assumptions!$C$7,G489)),Assumptions!$D$7,"Other Services"))),"Other Services"))</f>
        <v/>
      </c>
    </row>
    <row r="490" customFormat="false" ht="15" hidden="false" customHeight="false" outlineLevel="0" collapsed="false">
      <c r="F490" s="41" t="str">
        <f aca="false">IF(E490="","",IFERROR(VLOOKUP(E490,Assumptions!$G$5:$H$16,2,0),"Other"))</f>
        <v/>
      </c>
      <c r="J490" s="41" t="str">
        <f aca="false">IF(G490="","",IFERROR(IF(ISNUMBER(SEARCH(Assumptions!$C$5,G490)),Assumptions!$D$5,IF(ISNUMBER(SEARCH(Assumptions!$C$6,G490)),Assumptions!$D$6,IF(ISNUMBER(SEARCH(Assumptions!$C$7,G490)),Assumptions!$D$7,"Other Services"))),"Other Services"))</f>
        <v/>
      </c>
    </row>
    <row r="491" customFormat="false" ht="15" hidden="false" customHeight="false" outlineLevel="0" collapsed="false">
      <c r="F491" s="41" t="str">
        <f aca="false">IF(E491="","",IFERROR(VLOOKUP(E491,Assumptions!$G$5:$H$16,2,0),"Other"))</f>
        <v/>
      </c>
      <c r="J491" s="41" t="str">
        <f aca="false">IF(G491="","",IFERROR(IF(ISNUMBER(SEARCH(Assumptions!$C$5,G491)),Assumptions!$D$5,IF(ISNUMBER(SEARCH(Assumptions!$C$6,G491)),Assumptions!$D$6,IF(ISNUMBER(SEARCH(Assumptions!$C$7,G491)),Assumptions!$D$7,"Other Services"))),"Other Services"))</f>
        <v/>
      </c>
    </row>
    <row r="492" customFormat="false" ht="15" hidden="false" customHeight="false" outlineLevel="0" collapsed="false">
      <c r="F492" s="41" t="str">
        <f aca="false">IF(E492="","",IFERROR(VLOOKUP(E492,Assumptions!$G$5:$H$16,2,0),"Other"))</f>
        <v/>
      </c>
      <c r="J492" s="41" t="str">
        <f aca="false">IF(G492="","",IFERROR(IF(ISNUMBER(SEARCH(Assumptions!$C$5,G492)),Assumptions!$D$5,IF(ISNUMBER(SEARCH(Assumptions!$C$6,G492)),Assumptions!$D$6,IF(ISNUMBER(SEARCH(Assumptions!$C$7,G492)),Assumptions!$D$7,"Other Services"))),"Other Services"))</f>
        <v/>
      </c>
    </row>
    <row r="493" customFormat="false" ht="15" hidden="false" customHeight="false" outlineLevel="0" collapsed="false">
      <c r="F493" s="41" t="str">
        <f aca="false">IF(E493="","",IFERROR(VLOOKUP(E493,Assumptions!$G$5:$H$16,2,0),"Other"))</f>
        <v/>
      </c>
      <c r="J493" s="41" t="str">
        <f aca="false">IF(G493="","",IFERROR(IF(ISNUMBER(SEARCH(Assumptions!$C$5,G493)),Assumptions!$D$5,IF(ISNUMBER(SEARCH(Assumptions!$C$6,G493)),Assumptions!$D$6,IF(ISNUMBER(SEARCH(Assumptions!$C$7,G493)),Assumptions!$D$7,"Other Services"))),"Other Services"))</f>
        <v/>
      </c>
    </row>
    <row r="494" customFormat="false" ht="15" hidden="false" customHeight="false" outlineLevel="0" collapsed="false">
      <c r="F494" s="41" t="str">
        <f aca="false">IF(E494="","",IFERROR(VLOOKUP(E494,Assumptions!$G$5:$H$16,2,0),"Other"))</f>
        <v/>
      </c>
      <c r="J494" s="41" t="str">
        <f aca="false">IF(G494="","",IFERROR(IF(ISNUMBER(SEARCH(Assumptions!$C$5,G494)),Assumptions!$D$5,IF(ISNUMBER(SEARCH(Assumptions!$C$6,G494)),Assumptions!$D$6,IF(ISNUMBER(SEARCH(Assumptions!$C$7,G494)),Assumptions!$D$7,"Other Services"))),"Other Services"))</f>
        <v/>
      </c>
    </row>
    <row r="495" customFormat="false" ht="15" hidden="false" customHeight="false" outlineLevel="0" collapsed="false">
      <c r="F495" s="41" t="str">
        <f aca="false">IF(E495="","",IFERROR(VLOOKUP(E495,Assumptions!$G$5:$H$16,2,0),"Other"))</f>
        <v/>
      </c>
      <c r="J495" s="41" t="str">
        <f aca="false">IF(G495="","",IFERROR(IF(ISNUMBER(SEARCH(Assumptions!$C$5,G495)),Assumptions!$D$5,IF(ISNUMBER(SEARCH(Assumptions!$C$6,G495)),Assumptions!$D$6,IF(ISNUMBER(SEARCH(Assumptions!$C$7,G495)),Assumptions!$D$7,"Other Services"))),"Other Services"))</f>
        <v/>
      </c>
    </row>
    <row r="496" customFormat="false" ht="15" hidden="false" customHeight="false" outlineLevel="0" collapsed="false">
      <c r="F496" s="41" t="str">
        <f aca="false">IF(E496="","",IFERROR(VLOOKUP(E496,Assumptions!$G$5:$H$16,2,0),"Other"))</f>
        <v/>
      </c>
      <c r="J496" s="41" t="str">
        <f aca="false">IF(G496="","",IFERROR(IF(ISNUMBER(SEARCH(Assumptions!$C$5,G496)),Assumptions!$D$5,IF(ISNUMBER(SEARCH(Assumptions!$C$6,G496)),Assumptions!$D$6,IF(ISNUMBER(SEARCH(Assumptions!$C$7,G496)),Assumptions!$D$7,"Other Services"))),"Other Services"))</f>
        <v/>
      </c>
    </row>
    <row r="497" customFormat="false" ht="15" hidden="false" customHeight="false" outlineLevel="0" collapsed="false">
      <c r="F497" s="41" t="str">
        <f aca="false">IF(E497="","",IFERROR(VLOOKUP(E497,Assumptions!$G$5:$H$16,2,0),"Other"))</f>
        <v/>
      </c>
      <c r="J497" s="41" t="str">
        <f aca="false">IF(G497="","",IFERROR(IF(ISNUMBER(SEARCH(Assumptions!$C$5,G497)),Assumptions!$D$5,IF(ISNUMBER(SEARCH(Assumptions!$C$6,G497)),Assumptions!$D$6,IF(ISNUMBER(SEARCH(Assumptions!$C$7,G497)),Assumptions!$D$7,"Other Services"))),"Other Services"))</f>
        <v/>
      </c>
    </row>
    <row r="498" customFormat="false" ht="15" hidden="false" customHeight="false" outlineLevel="0" collapsed="false">
      <c r="F498" s="41" t="str">
        <f aca="false">IF(E498="","",IFERROR(VLOOKUP(E498,Assumptions!$G$5:$H$16,2,0),"Other"))</f>
        <v/>
      </c>
      <c r="J498" s="41" t="str">
        <f aca="false">IF(G498="","",IFERROR(IF(ISNUMBER(SEARCH(Assumptions!$C$5,G498)),Assumptions!$D$5,IF(ISNUMBER(SEARCH(Assumptions!$C$6,G498)),Assumptions!$D$6,IF(ISNUMBER(SEARCH(Assumptions!$C$7,G498)),Assumptions!$D$7,"Other Services"))),"Other Services"))</f>
        <v/>
      </c>
    </row>
    <row r="499" customFormat="false" ht="15" hidden="false" customHeight="false" outlineLevel="0" collapsed="false">
      <c r="F499" s="41" t="str">
        <f aca="false">IF(E499="","",IFERROR(VLOOKUP(E499,Assumptions!$G$5:$H$16,2,0),"Other"))</f>
        <v/>
      </c>
      <c r="J499" s="41" t="str">
        <f aca="false">IF(G499="","",IFERROR(IF(ISNUMBER(SEARCH(Assumptions!$C$5,G499)),Assumptions!$D$5,IF(ISNUMBER(SEARCH(Assumptions!$C$6,G499)),Assumptions!$D$6,IF(ISNUMBER(SEARCH(Assumptions!$C$7,G499)),Assumptions!$D$7,"Other Services"))),"Other Services"))</f>
        <v/>
      </c>
    </row>
    <row r="500" customFormat="false" ht="15" hidden="false" customHeight="false" outlineLevel="0" collapsed="false">
      <c r="F500" s="41" t="str">
        <f aca="false">IF(E500="","",IFERROR(VLOOKUP(E500,Assumptions!$G$5:$H$16,2,0),"Other"))</f>
        <v/>
      </c>
      <c r="J500" s="41" t="str">
        <f aca="false">IF(G500="","",IFERROR(IF(ISNUMBER(SEARCH(Assumptions!$C$5,G500)),Assumptions!$D$5,IF(ISNUMBER(SEARCH(Assumptions!$C$6,G500)),Assumptions!$D$6,IF(ISNUMBER(SEARCH(Assumptions!$C$7,G500)),Assumptions!$D$7,"Other Services"))),"Other Services"))</f>
        <v/>
      </c>
    </row>
    <row r="501" customFormat="false" ht="15" hidden="false" customHeight="false" outlineLevel="0" collapsed="false">
      <c r="F501" s="41" t="str">
        <f aca="false">IF(E501="","",IFERROR(VLOOKUP(E501,Assumptions!$G$5:$H$16,2,0),"Other"))</f>
        <v/>
      </c>
      <c r="J501" s="41" t="str">
        <f aca="false">IF(G501="","",IFERROR(IF(ISNUMBER(SEARCH(Assumptions!$C$5,G501)),Assumptions!$D$5,IF(ISNUMBER(SEARCH(Assumptions!$C$6,G501)),Assumptions!$D$6,IF(ISNUMBER(SEARCH(Assumptions!$C$7,G501)),Assumptions!$D$7,"Other Services"))),"Other Services"))</f>
        <v/>
      </c>
    </row>
    <row r="502" customFormat="false" ht="15" hidden="false" customHeight="false" outlineLevel="0" collapsed="false">
      <c r="F502" s="41" t="str">
        <f aca="false">IF(E502="","",IFERROR(VLOOKUP(E502,Assumptions!$G$5:$H$16,2,0),"Other"))</f>
        <v/>
      </c>
      <c r="J502" s="41" t="str">
        <f aca="false">IF(G502="","",IFERROR(IF(ISNUMBER(SEARCH(Assumptions!$C$5,G502)),Assumptions!$D$5,IF(ISNUMBER(SEARCH(Assumptions!$C$6,G502)),Assumptions!$D$6,IF(ISNUMBER(SEARCH(Assumptions!$C$7,G502)),Assumptions!$D$7,"Other Services"))),"Other Services"))</f>
        <v/>
      </c>
    </row>
    <row r="503" customFormat="false" ht="15" hidden="false" customHeight="false" outlineLevel="0" collapsed="false">
      <c r="F503" s="41" t="str">
        <f aca="false">IF(E503="","",IFERROR(VLOOKUP(E503,Assumptions!$G$5:$H$16,2,0),"Other"))</f>
        <v/>
      </c>
      <c r="J503" s="41" t="str">
        <f aca="false">IF(G503="","",IFERROR(IF(ISNUMBER(SEARCH(Assumptions!$C$5,G503)),Assumptions!$D$5,IF(ISNUMBER(SEARCH(Assumptions!$C$6,G503)),Assumptions!$D$6,IF(ISNUMBER(SEARCH(Assumptions!$C$7,G503)),Assumptions!$D$7,"Other Services"))),"Other Services"))</f>
        <v/>
      </c>
    </row>
    <row r="504" customFormat="false" ht="15" hidden="false" customHeight="false" outlineLevel="0" collapsed="false">
      <c r="F504" s="41" t="str">
        <f aca="false">IF(E504="","",IFERROR(VLOOKUP(E504,Assumptions!$G$5:$H$16,2,0),"Other"))</f>
        <v/>
      </c>
      <c r="J504" s="41" t="str">
        <f aca="false">IF(G504="","",IFERROR(IF(ISNUMBER(SEARCH(Assumptions!$C$5,G504)),Assumptions!$D$5,IF(ISNUMBER(SEARCH(Assumptions!$C$6,G504)),Assumptions!$D$6,IF(ISNUMBER(SEARCH(Assumptions!$C$7,G504)),Assumptions!$D$7,"Other Services"))),"Other Services"))</f>
        <v/>
      </c>
    </row>
    <row r="505" customFormat="false" ht="15" hidden="false" customHeight="false" outlineLevel="0" collapsed="false">
      <c r="F505" s="41" t="str">
        <f aca="false">IF(E505="","",IFERROR(VLOOKUP(E505,Assumptions!$G$5:$H$16,2,0),"Other"))</f>
        <v/>
      </c>
      <c r="J505" s="41" t="str">
        <f aca="false">IF(G505="","",IFERROR(IF(ISNUMBER(SEARCH(Assumptions!$C$5,G505)),Assumptions!$D$5,IF(ISNUMBER(SEARCH(Assumptions!$C$6,G505)),Assumptions!$D$6,IF(ISNUMBER(SEARCH(Assumptions!$C$7,G505)),Assumptions!$D$7,"Other Services"))),"Other Services"))</f>
        <v/>
      </c>
    </row>
    <row r="506" customFormat="false" ht="15" hidden="false" customHeight="false" outlineLevel="0" collapsed="false">
      <c r="F506" s="41" t="str">
        <f aca="false">IF(E506="","",IFERROR(VLOOKUP(E506,Assumptions!$G$5:$H$16,2,0),"Other"))</f>
        <v/>
      </c>
      <c r="J506" s="41" t="str">
        <f aca="false">IF(G506="","",IFERROR(IF(ISNUMBER(SEARCH(Assumptions!$C$5,G506)),Assumptions!$D$5,IF(ISNUMBER(SEARCH(Assumptions!$C$6,G506)),Assumptions!$D$6,IF(ISNUMBER(SEARCH(Assumptions!$C$7,G506)),Assumptions!$D$7,"Other Services"))),"Other Services"))</f>
        <v/>
      </c>
    </row>
    <row r="507" customFormat="false" ht="15" hidden="false" customHeight="false" outlineLevel="0" collapsed="false">
      <c r="F507" s="41" t="str">
        <f aca="false">IF(E507="","",IFERROR(VLOOKUP(E507,Assumptions!$G$5:$H$16,2,0),"Other"))</f>
        <v/>
      </c>
      <c r="J507" s="41" t="str">
        <f aca="false">IF(G507="","",IFERROR(IF(ISNUMBER(SEARCH(Assumptions!$C$5,G507)),Assumptions!$D$5,IF(ISNUMBER(SEARCH(Assumptions!$C$6,G507)),Assumptions!$D$6,IF(ISNUMBER(SEARCH(Assumptions!$C$7,G507)),Assumptions!$D$7,"Other Services"))),"Other Services"))</f>
        <v/>
      </c>
    </row>
    <row r="508" customFormat="false" ht="15" hidden="false" customHeight="false" outlineLevel="0" collapsed="false">
      <c r="F508" s="41" t="str">
        <f aca="false">IF(E508="","",IFERROR(VLOOKUP(E508,Assumptions!$G$5:$H$16,2,0),"Other"))</f>
        <v/>
      </c>
      <c r="J508" s="41" t="str">
        <f aca="false">IF(G508="","",IFERROR(IF(ISNUMBER(SEARCH(Assumptions!$C$5,G508)),Assumptions!$D$5,IF(ISNUMBER(SEARCH(Assumptions!$C$6,G508)),Assumptions!$D$6,IF(ISNUMBER(SEARCH(Assumptions!$C$7,G508)),Assumptions!$D$7,"Other Services"))),"Other Services"))</f>
        <v/>
      </c>
    </row>
    <row r="509" customFormat="false" ht="15" hidden="false" customHeight="false" outlineLevel="0" collapsed="false">
      <c r="F509" s="41" t="str">
        <f aca="false">IF(E509="","",IFERROR(VLOOKUP(E509,Assumptions!$G$5:$H$16,2,0),"Other"))</f>
        <v/>
      </c>
      <c r="J509" s="41" t="str">
        <f aca="false">IF(G509="","",IFERROR(IF(ISNUMBER(SEARCH(Assumptions!$C$5,G509)),Assumptions!$D$5,IF(ISNUMBER(SEARCH(Assumptions!$C$6,G509)),Assumptions!$D$6,IF(ISNUMBER(SEARCH(Assumptions!$C$7,G509)),Assumptions!$D$7,"Other Services"))),"Other Services"))</f>
        <v/>
      </c>
    </row>
    <row r="510" customFormat="false" ht="15" hidden="false" customHeight="false" outlineLevel="0" collapsed="false">
      <c r="F510" s="41" t="str">
        <f aca="false">IF(E510="","",IFERROR(VLOOKUP(E510,Assumptions!$G$5:$H$16,2,0),"Other"))</f>
        <v/>
      </c>
      <c r="J510" s="41" t="str">
        <f aca="false">IF(G510="","",IFERROR(IF(ISNUMBER(SEARCH(Assumptions!$C$5,G510)),Assumptions!$D$5,IF(ISNUMBER(SEARCH(Assumptions!$C$6,G510)),Assumptions!$D$6,IF(ISNUMBER(SEARCH(Assumptions!$C$7,G510)),Assumptions!$D$7,"Other Services"))),"Other Services"))</f>
        <v/>
      </c>
    </row>
    <row r="511" customFormat="false" ht="15" hidden="false" customHeight="false" outlineLevel="0" collapsed="false">
      <c r="F511" s="41" t="str">
        <f aca="false">IF(E511="","",IFERROR(VLOOKUP(E511,Assumptions!$G$5:$H$16,2,0),"Other"))</f>
        <v/>
      </c>
      <c r="J511" s="41" t="str">
        <f aca="false">IF(G511="","",IFERROR(IF(ISNUMBER(SEARCH(Assumptions!$C$5,G511)),Assumptions!$D$5,IF(ISNUMBER(SEARCH(Assumptions!$C$6,G511)),Assumptions!$D$6,IF(ISNUMBER(SEARCH(Assumptions!$C$7,G511)),Assumptions!$D$7,"Other Services"))),"Other Services"))</f>
        <v/>
      </c>
    </row>
    <row r="512" customFormat="false" ht="15" hidden="false" customHeight="false" outlineLevel="0" collapsed="false">
      <c r="F512" s="41" t="str">
        <f aca="false">IF(E512="","",IFERROR(VLOOKUP(E512,Assumptions!$G$5:$H$16,2,0),"Other"))</f>
        <v/>
      </c>
      <c r="J512" s="41" t="str">
        <f aca="false">IF(G512="","",IFERROR(IF(ISNUMBER(SEARCH(Assumptions!$C$5,G512)),Assumptions!$D$5,IF(ISNUMBER(SEARCH(Assumptions!$C$6,G512)),Assumptions!$D$6,IF(ISNUMBER(SEARCH(Assumptions!$C$7,G512)),Assumptions!$D$7,"Other Services"))),"Other Services"))</f>
        <v/>
      </c>
    </row>
    <row r="513" customFormat="false" ht="15" hidden="false" customHeight="false" outlineLevel="0" collapsed="false">
      <c r="F513" s="41" t="str">
        <f aca="false">IF(E513="","",IFERROR(VLOOKUP(E513,Assumptions!$G$5:$H$16,2,0),"Other"))</f>
        <v/>
      </c>
      <c r="J513" s="41" t="str">
        <f aca="false">IF(G513="","",IFERROR(IF(ISNUMBER(SEARCH(Assumptions!$C$5,G513)),Assumptions!$D$5,IF(ISNUMBER(SEARCH(Assumptions!$C$6,G513)),Assumptions!$D$6,IF(ISNUMBER(SEARCH(Assumptions!$C$7,G513)),Assumptions!$D$7,"Other Services"))),"Other Services"))</f>
        <v/>
      </c>
    </row>
    <row r="514" customFormat="false" ht="15" hidden="false" customHeight="false" outlineLevel="0" collapsed="false">
      <c r="F514" s="41" t="str">
        <f aca="false">IF(E514="","",IFERROR(VLOOKUP(E514,Assumptions!$G$5:$H$16,2,0),"Other"))</f>
        <v/>
      </c>
      <c r="J514" s="41" t="str">
        <f aca="false">IF(G514="","",IFERROR(IF(ISNUMBER(SEARCH(Assumptions!$C$5,G514)),Assumptions!$D$5,IF(ISNUMBER(SEARCH(Assumptions!$C$6,G514)),Assumptions!$D$6,IF(ISNUMBER(SEARCH(Assumptions!$C$7,G514)),Assumptions!$D$7,"Other Services"))),"Other Services"))</f>
        <v/>
      </c>
    </row>
    <row r="515" customFormat="false" ht="15" hidden="false" customHeight="false" outlineLevel="0" collapsed="false">
      <c r="F515" s="41" t="str">
        <f aca="false">IF(E515="","",IFERROR(VLOOKUP(E515,Assumptions!$G$5:$H$16,2,0),"Other"))</f>
        <v/>
      </c>
      <c r="J515" s="41" t="str">
        <f aca="false">IF(G515="","",IFERROR(IF(ISNUMBER(SEARCH(Assumptions!$C$5,G515)),Assumptions!$D$5,IF(ISNUMBER(SEARCH(Assumptions!$C$6,G515)),Assumptions!$D$6,IF(ISNUMBER(SEARCH(Assumptions!$C$7,G515)),Assumptions!$D$7,"Other Services"))),"Other Services"))</f>
        <v/>
      </c>
    </row>
    <row r="516" customFormat="false" ht="15" hidden="false" customHeight="false" outlineLevel="0" collapsed="false">
      <c r="F516" s="41" t="str">
        <f aca="false">IF(E516="","",IFERROR(VLOOKUP(E516,Assumptions!$G$5:$H$16,2,0),"Other"))</f>
        <v/>
      </c>
      <c r="J516" s="41" t="str">
        <f aca="false">IF(G516="","",IFERROR(IF(ISNUMBER(SEARCH(Assumptions!$C$5,G516)),Assumptions!$D$5,IF(ISNUMBER(SEARCH(Assumptions!$C$6,G516)),Assumptions!$D$6,IF(ISNUMBER(SEARCH(Assumptions!$C$7,G516)),Assumptions!$D$7,"Other Services"))),"Other Services"))</f>
        <v/>
      </c>
    </row>
    <row r="517" customFormat="false" ht="15" hidden="false" customHeight="false" outlineLevel="0" collapsed="false">
      <c r="F517" s="41" t="str">
        <f aca="false">IF(E517="","",IFERROR(VLOOKUP(E517,Assumptions!$G$5:$H$16,2,0),"Other"))</f>
        <v/>
      </c>
      <c r="J517" s="41" t="str">
        <f aca="false">IF(G517="","",IFERROR(IF(ISNUMBER(SEARCH(Assumptions!$C$5,G517)),Assumptions!$D$5,IF(ISNUMBER(SEARCH(Assumptions!$C$6,G517)),Assumptions!$D$6,IF(ISNUMBER(SEARCH(Assumptions!$C$7,G517)),Assumptions!$D$7,"Other Services"))),"Other Services"))</f>
        <v/>
      </c>
    </row>
    <row r="518" customFormat="false" ht="15" hidden="false" customHeight="false" outlineLevel="0" collapsed="false">
      <c r="F518" s="41" t="str">
        <f aca="false">IF(E518="","",IFERROR(VLOOKUP(E518,Assumptions!$G$5:$H$16,2,0),"Other"))</f>
        <v/>
      </c>
      <c r="J518" s="41" t="str">
        <f aca="false">IF(G518="","",IFERROR(IF(ISNUMBER(SEARCH(Assumptions!$C$5,G518)),Assumptions!$D$5,IF(ISNUMBER(SEARCH(Assumptions!$C$6,G518)),Assumptions!$D$6,IF(ISNUMBER(SEARCH(Assumptions!$C$7,G518)),Assumptions!$D$7,"Other Services"))),"Other Services"))</f>
        <v/>
      </c>
    </row>
    <row r="519" customFormat="false" ht="15" hidden="false" customHeight="false" outlineLevel="0" collapsed="false">
      <c r="F519" s="41" t="str">
        <f aca="false">IF(E519="","",IFERROR(VLOOKUP(E519,Assumptions!$G$5:$H$16,2,0),"Other"))</f>
        <v/>
      </c>
      <c r="J519" s="41" t="str">
        <f aca="false">IF(G519="","",IFERROR(IF(ISNUMBER(SEARCH(Assumptions!$C$5,G519)),Assumptions!$D$5,IF(ISNUMBER(SEARCH(Assumptions!$C$6,G519)),Assumptions!$D$6,IF(ISNUMBER(SEARCH(Assumptions!$C$7,G519)),Assumptions!$D$7,"Other Services"))),"Other Services"))</f>
        <v/>
      </c>
    </row>
    <row r="520" customFormat="false" ht="15" hidden="false" customHeight="false" outlineLevel="0" collapsed="false">
      <c r="F520" s="41" t="str">
        <f aca="false">IF(E520="","",IFERROR(VLOOKUP(E520,Assumptions!$G$5:$H$16,2,0),"Other"))</f>
        <v/>
      </c>
      <c r="J520" s="41" t="str">
        <f aca="false">IF(G520="","",IFERROR(IF(ISNUMBER(SEARCH(Assumptions!$C$5,G520)),Assumptions!$D$5,IF(ISNUMBER(SEARCH(Assumptions!$C$6,G520)),Assumptions!$D$6,IF(ISNUMBER(SEARCH(Assumptions!$C$7,G520)),Assumptions!$D$7,"Other Services"))),"Other Services"))</f>
        <v/>
      </c>
    </row>
    <row r="521" customFormat="false" ht="15" hidden="false" customHeight="false" outlineLevel="0" collapsed="false">
      <c r="F521" s="41" t="str">
        <f aca="false">IF(E521="","",IFERROR(VLOOKUP(E521,Assumptions!$G$5:$H$16,2,0),"Other"))</f>
        <v/>
      </c>
      <c r="J521" s="41" t="str">
        <f aca="false">IF(G521="","",IFERROR(IF(ISNUMBER(SEARCH(Assumptions!$C$5,G521)),Assumptions!$D$5,IF(ISNUMBER(SEARCH(Assumptions!$C$6,G521)),Assumptions!$D$6,IF(ISNUMBER(SEARCH(Assumptions!$C$7,G521)),Assumptions!$D$7,"Other Services"))),"Other Services"))</f>
        <v/>
      </c>
    </row>
    <row r="522" customFormat="false" ht="15" hidden="false" customHeight="false" outlineLevel="0" collapsed="false">
      <c r="F522" s="41" t="str">
        <f aca="false">IF(E522="","",IFERROR(VLOOKUP(E522,Assumptions!$G$5:$H$16,2,0),"Other"))</f>
        <v/>
      </c>
      <c r="J522" s="41" t="str">
        <f aca="false">IF(G522="","",IFERROR(IF(ISNUMBER(SEARCH(Assumptions!$C$5,G522)),Assumptions!$D$5,IF(ISNUMBER(SEARCH(Assumptions!$C$6,G522)),Assumptions!$D$6,IF(ISNUMBER(SEARCH(Assumptions!$C$7,G522)),Assumptions!$D$7,"Other Services"))),"Other Services"))</f>
        <v/>
      </c>
    </row>
    <row r="523" customFormat="false" ht="15" hidden="false" customHeight="false" outlineLevel="0" collapsed="false">
      <c r="F523" s="41" t="str">
        <f aca="false">IF(E523="","",IFERROR(VLOOKUP(E523,Assumptions!$G$5:$H$16,2,0),"Other"))</f>
        <v/>
      </c>
      <c r="J523" s="41" t="str">
        <f aca="false">IF(G523="","",IFERROR(IF(ISNUMBER(SEARCH(Assumptions!$C$5,G523)),Assumptions!$D$5,IF(ISNUMBER(SEARCH(Assumptions!$C$6,G523)),Assumptions!$D$6,IF(ISNUMBER(SEARCH(Assumptions!$C$7,G523)),Assumptions!$D$7,"Other Services"))),"Other Services"))</f>
        <v/>
      </c>
    </row>
    <row r="524" customFormat="false" ht="15" hidden="false" customHeight="false" outlineLevel="0" collapsed="false">
      <c r="F524" s="41" t="str">
        <f aca="false">IF(E524="","",IFERROR(VLOOKUP(E524,Assumptions!$G$5:$H$16,2,0),"Other"))</f>
        <v/>
      </c>
      <c r="J524" s="41" t="str">
        <f aca="false">IF(G524="","",IFERROR(IF(ISNUMBER(SEARCH(Assumptions!$C$5,G524)),Assumptions!$D$5,IF(ISNUMBER(SEARCH(Assumptions!$C$6,G524)),Assumptions!$D$6,IF(ISNUMBER(SEARCH(Assumptions!$C$7,G524)),Assumptions!$D$7,"Other Services"))),"Other Services"))</f>
        <v/>
      </c>
    </row>
    <row r="525" customFormat="false" ht="15" hidden="false" customHeight="false" outlineLevel="0" collapsed="false">
      <c r="F525" s="41" t="str">
        <f aca="false">IF(E525="","",IFERROR(VLOOKUP(E525,Assumptions!$G$5:$H$16,2,0),"Other"))</f>
        <v/>
      </c>
      <c r="J525" s="41" t="str">
        <f aca="false">IF(G525="","",IFERROR(IF(ISNUMBER(SEARCH(Assumptions!$C$5,G525)),Assumptions!$D$5,IF(ISNUMBER(SEARCH(Assumptions!$C$6,G525)),Assumptions!$D$6,IF(ISNUMBER(SEARCH(Assumptions!$C$7,G525)),Assumptions!$D$7,"Other Services"))),"Other Services"))</f>
        <v/>
      </c>
    </row>
    <row r="526" customFormat="false" ht="15" hidden="false" customHeight="false" outlineLevel="0" collapsed="false">
      <c r="F526" s="41" t="str">
        <f aca="false">IF(E526="","",IFERROR(VLOOKUP(E526,Assumptions!$G$5:$H$16,2,0),"Other"))</f>
        <v/>
      </c>
      <c r="J526" s="41" t="str">
        <f aca="false">IF(G526="","",IFERROR(IF(ISNUMBER(SEARCH(Assumptions!$C$5,G526)),Assumptions!$D$5,IF(ISNUMBER(SEARCH(Assumptions!$C$6,G526)),Assumptions!$D$6,IF(ISNUMBER(SEARCH(Assumptions!$C$7,G526)),Assumptions!$D$7,"Other Services"))),"Other Services"))</f>
        <v/>
      </c>
    </row>
    <row r="527" customFormat="false" ht="15" hidden="false" customHeight="false" outlineLevel="0" collapsed="false">
      <c r="F527" s="41" t="str">
        <f aca="false">IF(E527="","",IFERROR(VLOOKUP(E527,Assumptions!$G$5:$H$16,2,0),"Other"))</f>
        <v/>
      </c>
      <c r="J527" s="41" t="str">
        <f aca="false">IF(G527="","",IFERROR(IF(ISNUMBER(SEARCH(Assumptions!$C$5,G527)),Assumptions!$D$5,IF(ISNUMBER(SEARCH(Assumptions!$C$6,G527)),Assumptions!$D$6,IF(ISNUMBER(SEARCH(Assumptions!$C$7,G527)),Assumptions!$D$7,"Other Services"))),"Other Services"))</f>
        <v/>
      </c>
    </row>
    <row r="528" customFormat="false" ht="15" hidden="false" customHeight="false" outlineLevel="0" collapsed="false">
      <c r="F528" s="41" t="str">
        <f aca="false">IF(E528="","",IFERROR(VLOOKUP(E528,Assumptions!$G$5:$H$16,2,0),"Other"))</f>
        <v/>
      </c>
      <c r="J528" s="41" t="str">
        <f aca="false">IF(G528="","",IFERROR(IF(ISNUMBER(SEARCH(Assumptions!$C$5,G528)),Assumptions!$D$5,IF(ISNUMBER(SEARCH(Assumptions!$C$6,G528)),Assumptions!$D$6,IF(ISNUMBER(SEARCH(Assumptions!$C$7,G528)),Assumptions!$D$7,"Other Services"))),"Other Services"))</f>
        <v/>
      </c>
    </row>
    <row r="529" customFormat="false" ht="15" hidden="false" customHeight="false" outlineLevel="0" collapsed="false">
      <c r="F529" s="41" t="str">
        <f aca="false">IF(E529="","",IFERROR(VLOOKUP(E529,Assumptions!$G$5:$H$16,2,0),"Other"))</f>
        <v/>
      </c>
      <c r="J529" s="41" t="str">
        <f aca="false">IF(G529="","",IFERROR(IF(ISNUMBER(SEARCH(Assumptions!$C$5,G529)),Assumptions!$D$5,IF(ISNUMBER(SEARCH(Assumptions!$C$6,G529)),Assumptions!$D$6,IF(ISNUMBER(SEARCH(Assumptions!$C$7,G529)),Assumptions!$D$7,"Other Services"))),"Other Services"))</f>
        <v/>
      </c>
    </row>
    <row r="530" customFormat="false" ht="15" hidden="false" customHeight="false" outlineLevel="0" collapsed="false">
      <c r="F530" s="41" t="str">
        <f aca="false">IF(E530="","",IFERROR(VLOOKUP(E530,Assumptions!$G$5:$H$16,2,0),"Other"))</f>
        <v/>
      </c>
      <c r="J530" s="41" t="str">
        <f aca="false">IF(G530="","",IFERROR(IF(ISNUMBER(SEARCH(Assumptions!$C$5,G530)),Assumptions!$D$5,IF(ISNUMBER(SEARCH(Assumptions!$C$6,G530)),Assumptions!$D$6,IF(ISNUMBER(SEARCH(Assumptions!$C$7,G530)),Assumptions!$D$7,"Other Services"))),"Other Services"))</f>
        <v/>
      </c>
    </row>
    <row r="531" customFormat="false" ht="15" hidden="false" customHeight="false" outlineLevel="0" collapsed="false">
      <c r="F531" s="41" t="str">
        <f aca="false">IF(E531="","",IFERROR(VLOOKUP(E531,Assumptions!$G$5:$H$16,2,0),"Other"))</f>
        <v/>
      </c>
      <c r="J531" s="41" t="str">
        <f aca="false">IF(G531="","",IFERROR(IF(ISNUMBER(SEARCH(Assumptions!$C$5,G531)),Assumptions!$D$5,IF(ISNUMBER(SEARCH(Assumptions!$C$6,G531)),Assumptions!$D$6,IF(ISNUMBER(SEARCH(Assumptions!$C$7,G531)),Assumptions!$D$7,"Other Services"))),"Other Services"))</f>
        <v/>
      </c>
    </row>
    <row r="532" customFormat="false" ht="15" hidden="false" customHeight="false" outlineLevel="0" collapsed="false">
      <c r="F532" s="41" t="str">
        <f aca="false">IF(E532="","",IFERROR(VLOOKUP(E532,Assumptions!$G$5:$H$16,2,0),"Other"))</f>
        <v/>
      </c>
      <c r="J532" s="41" t="str">
        <f aca="false">IF(G532="","",IFERROR(IF(ISNUMBER(SEARCH(Assumptions!$C$5,G532)),Assumptions!$D$5,IF(ISNUMBER(SEARCH(Assumptions!$C$6,G532)),Assumptions!$D$6,IF(ISNUMBER(SEARCH(Assumptions!$C$7,G532)),Assumptions!$D$7,"Other Services"))),"Other Services"))</f>
        <v/>
      </c>
    </row>
    <row r="533" customFormat="false" ht="15" hidden="false" customHeight="false" outlineLevel="0" collapsed="false">
      <c r="F533" s="41" t="str">
        <f aca="false">IF(E533="","",IFERROR(VLOOKUP(E533,Assumptions!$G$5:$H$16,2,0),"Other"))</f>
        <v/>
      </c>
      <c r="J533" s="41" t="str">
        <f aca="false">IF(G533="","",IFERROR(IF(ISNUMBER(SEARCH(Assumptions!$C$5,G533)),Assumptions!$D$5,IF(ISNUMBER(SEARCH(Assumptions!$C$6,G533)),Assumptions!$D$6,IF(ISNUMBER(SEARCH(Assumptions!$C$7,G533)),Assumptions!$D$7,"Other Services"))),"Other Services"))</f>
        <v/>
      </c>
    </row>
    <row r="534" customFormat="false" ht="15" hidden="false" customHeight="false" outlineLevel="0" collapsed="false">
      <c r="F534" s="41" t="str">
        <f aca="false">IF(E534="","",IFERROR(VLOOKUP(E534,Assumptions!$G$5:$H$16,2,0),"Other"))</f>
        <v/>
      </c>
      <c r="J534" s="41" t="str">
        <f aca="false">IF(G534="","",IFERROR(IF(ISNUMBER(SEARCH(Assumptions!$C$5,G534)),Assumptions!$D$5,IF(ISNUMBER(SEARCH(Assumptions!$C$6,G534)),Assumptions!$D$6,IF(ISNUMBER(SEARCH(Assumptions!$C$7,G534)),Assumptions!$D$7,"Other Services"))),"Other Services"))</f>
        <v/>
      </c>
    </row>
    <row r="535" customFormat="false" ht="15" hidden="false" customHeight="false" outlineLevel="0" collapsed="false">
      <c r="F535" s="41" t="str">
        <f aca="false">IF(E535="","",IFERROR(VLOOKUP(E535,Assumptions!$G$5:$H$16,2,0),"Other"))</f>
        <v/>
      </c>
      <c r="J535" s="41" t="str">
        <f aca="false">IF(G535="","",IFERROR(IF(ISNUMBER(SEARCH(Assumptions!$C$5,G535)),Assumptions!$D$5,IF(ISNUMBER(SEARCH(Assumptions!$C$6,G535)),Assumptions!$D$6,IF(ISNUMBER(SEARCH(Assumptions!$C$7,G535)),Assumptions!$D$7,"Other Services"))),"Other Services"))</f>
        <v/>
      </c>
    </row>
    <row r="536" customFormat="false" ht="15" hidden="false" customHeight="false" outlineLevel="0" collapsed="false">
      <c r="F536" s="41" t="str">
        <f aca="false">IF(E536="","",IFERROR(VLOOKUP(E536,Assumptions!$G$5:$H$16,2,0),"Other"))</f>
        <v/>
      </c>
      <c r="J536" s="41" t="str">
        <f aca="false">IF(G536="","",IFERROR(IF(ISNUMBER(SEARCH(Assumptions!$C$5,G536)),Assumptions!$D$5,IF(ISNUMBER(SEARCH(Assumptions!$C$6,G536)),Assumptions!$D$6,IF(ISNUMBER(SEARCH(Assumptions!$C$7,G536)),Assumptions!$D$7,"Other Services"))),"Other Services"))</f>
        <v/>
      </c>
    </row>
    <row r="537" customFormat="false" ht="15" hidden="false" customHeight="false" outlineLevel="0" collapsed="false">
      <c r="F537" s="41" t="str">
        <f aca="false">IF(E537="","",IFERROR(VLOOKUP(E537,Assumptions!$G$5:$H$16,2,0),"Other"))</f>
        <v/>
      </c>
      <c r="J537" s="41" t="str">
        <f aca="false">IF(G537="","",IFERROR(IF(ISNUMBER(SEARCH(Assumptions!$C$5,G537)),Assumptions!$D$5,IF(ISNUMBER(SEARCH(Assumptions!$C$6,G537)),Assumptions!$D$6,IF(ISNUMBER(SEARCH(Assumptions!$C$7,G537)),Assumptions!$D$7,"Other Services"))),"Other Services"))</f>
        <v/>
      </c>
    </row>
    <row r="538" customFormat="false" ht="15" hidden="false" customHeight="false" outlineLevel="0" collapsed="false">
      <c r="F538" s="41" t="str">
        <f aca="false">IF(E538="","",IFERROR(VLOOKUP(E538,Assumptions!$G$5:$H$16,2,0),"Other"))</f>
        <v/>
      </c>
      <c r="J538" s="41" t="str">
        <f aca="false">IF(G538="","",IFERROR(IF(ISNUMBER(SEARCH(Assumptions!$C$5,G538)),Assumptions!$D$5,IF(ISNUMBER(SEARCH(Assumptions!$C$6,G538)),Assumptions!$D$6,IF(ISNUMBER(SEARCH(Assumptions!$C$7,G538)),Assumptions!$D$7,"Other Services"))),"Other Services"))</f>
        <v/>
      </c>
    </row>
    <row r="539" customFormat="false" ht="15" hidden="false" customHeight="false" outlineLevel="0" collapsed="false">
      <c r="F539" s="41" t="str">
        <f aca="false">IF(E539="","",IFERROR(VLOOKUP(E539,Assumptions!$G$5:$H$16,2,0),"Other"))</f>
        <v/>
      </c>
      <c r="J539" s="41" t="str">
        <f aca="false">IF(G539="","",IFERROR(IF(ISNUMBER(SEARCH(Assumptions!$C$5,G539)),Assumptions!$D$5,IF(ISNUMBER(SEARCH(Assumptions!$C$6,G539)),Assumptions!$D$6,IF(ISNUMBER(SEARCH(Assumptions!$C$7,G539)),Assumptions!$D$7,"Other Services"))),"Other Services"))</f>
        <v/>
      </c>
    </row>
    <row r="540" customFormat="false" ht="15" hidden="false" customHeight="false" outlineLevel="0" collapsed="false">
      <c r="F540" s="41" t="str">
        <f aca="false">IF(E540="","",IFERROR(VLOOKUP(E540,Assumptions!$G$5:$H$16,2,0),"Other"))</f>
        <v/>
      </c>
      <c r="J540" s="41" t="str">
        <f aca="false">IF(G540="","",IFERROR(IF(ISNUMBER(SEARCH(Assumptions!$C$5,G540)),Assumptions!$D$5,IF(ISNUMBER(SEARCH(Assumptions!$C$6,G540)),Assumptions!$D$6,IF(ISNUMBER(SEARCH(Assumptions!$C$7,G540)),Assumptions!$D$7,"Other Services"))),"Other Services"))</f>
        <v/>
      </c>
    </row>
    <row r="541" customFormat="false" ht="15" hidden="false" customHeight="false" outlineLevel="0" collapsed="false">
      <c r="F541" s="41" t="str">
        <f aca="false">IF(E541="","",IFERROR(VLOOKUP(E541,Assumptions!$G$5:$H$16,2,0),"Other"))</f>
        <v/>
      </c>
      <c r="J541" s="41" t="str">
        <f aca="false">IF(G541="","",IFERROR(IF(ISNUMBER(SEARCH(Assumptions!$C$5,G541)),Assumptions!$D$5,IF(ISNUMBER(SEARCH(Assumptions!$C$6,G541)),Assumptions!$D$6,IF(ISNUMBER(SEARCH(Assumptions!$C$7,G541)),Assumptions!$D$7,"Other Services"))),"Other Services"))</f>
        <v/>
      </c>
    </row>
    <row r="542" customFormat="false" ht="15" hidden="false" customHeight="false" outlineLevel="0" collapsed="false">
      <c r="F542" s="41" t="str">
        <f aca="false">IF(E542="","",IFERROR(VLOOKUP(E542,Assumptions!$G$5:$H$16,2,0),"Other"))</f>
        <v/>
      </c>
      <c r="J542" s="41" t="str">
        <f aca="false">IF(G542="","",IFERROR(IF(ISNUMBER(SEARCH(Assumptions!$C$5,G542)),Assumptions!$D$5,IF(ISNUMBER(SEARCH(Assumptions!$C$6,G542)),Assumptions!$D$6,IF(ISNUMBER(SEARCH(Assumptions!$C$7,G542)),Assumptions!$D$7,"Other Services"))),"Other Services"))</f>
        <v/>
      </c>
    </row>
    <row r="543" customFormat="false" ht="15" hidden="false" customHeight="false" outlineLevel="0" collapsed="false">
      <c r="F543" s="41" t="str">
        <f aca="false">IF(E543="","",IFERROR(VLOOKUP(E543,Assumptions!$G$5:$H$16,2,0),"Other"))</f>
        <v/>
      </c>
      <c r="J543" s="41" t="str">
        <f aca="false">IF(G543="","",IFERROR(IF(ISNUMBER(SEARCH(Assumptions!$C$5,G543)),Assumptions!$D$5,IF(ISNUMBER(SEARCH(Assumptions!$C$6,G543)),Assumptions!$D$6,IF(ISNUMBER(SEARCH(Assumptions!$C$7,G543)),Assumptions!$D$7,"Other Services"))),"Other Services"))</f>
        <v/>
      </c>
    </row>
    <row r="544" customFormat="false" ht="15" hidden="false" customHeight="false" outlineLevel="0" collapsed="false">
      <c r="F544" s="41" t="str">
        <f aca="false">IF(E544="","",IFERROR(VLOOKUP(E544,Assumptions!$G$5:$H$16,2,0),"Other"))</f>
        <v/>
      </c>
      <c r="J544" s="41" t="str">
        <f aca="false">IF(G544="","",IFERROR(IF(ISNUMBER(SEARCH(Assumptions!$C$5,G544)),Assumptions!$D$5,IF(ISNUMBER(SEARCH(Assumptions!$C$6,G544)),Assumptions!$D$6,IF(ISNUMBER(SEARCH(Assumptions!$C$7,G544)),Assumptions!$D$7,"Other Services"))),"Other Services"))</f>
        <v/>
      </c>
    </row>
    <row r="545" customFormat="false" ht="15" hidden="false" customHeight="false" outlineLevel="0" collapsed="false">
      <c r="F545" s="41" t="str">
        <f aca="false">IF(E545="","",IFERROR(VLOOKUP(E545,Assumptions!$G$5:$H$16,2,0),"Other"))</f>
        <v/>
      </c>
      <c r="J545" s="41" t="str">
        <f aca="false">IF(G545="","",IFERROR(IF(ISNUMBER(SEARCH(Assumptions!$C$5,G545)),Assumptions!$D$5,IF(ISNUMBER(SEARCH(Assumptions!$C$6,G545)),Assumptions!$D$6,IF(ISNUMBER(SEARCH(Assumptions!$C$7,G545)),Assumptions!$D$7,"Other Services"))),"Other Services"))</f>
        <v/>
      </c>
    </row>
    <row r="546" customFormat="false" ht="15" hidden="false" customHeight="false" outlineLevel="0" collapsed="false">
      <c r="F546" s="41" t="str">
        <f aca="false">IF(E546="","",IFERROR(VLOOKUP(E546,Assumptions!$G$5:$H$16,2,0),"Other"))</f>
        <v/>
      </c>
      <c r="J546" s="41" t="str">
        <f aca="false">IF(G546="","",IFERROR(IF(ISNUMBER(SEARCH(Assumptions!$C$5,G546)),Assumptions!$D$5,IF(ISNUMBER(SEARCH(Assumptions!$C$6,G546)),Assumptions!$D$6,IF(ISNUMBER(SEARCH(Assumptions!$C$7,G546)),Assumptions!$D$7,"Other Services"))),"Other Services"))</f>
        <v/>
      </c>
    </row>
    <row r="547" customFormat="false" ht="15" hidden="false" customHeight="false" outlineLevel="0" collapsed="false">
      <c r="F547" s="41" t="str">
        <f aca="false">IF(E547="","",IFERROR(VLOOKUP(E547,Assumptions!$G$5:$H$16,2,0),"Other"))</f>
        <v/>
      </c>
      <c r="J547" s="41" t="str">
        <f aca="false">IF(G547="","",IFERROR(IF(ISNUMBER(SEARCH(Assumptions!$C$5,G547)),Assumptions!$D$5,IF(ISNUMBER(SEARCH(Assumptions!$C$6,G547)),Assumptions!$D$6,IF(ISNUMBER(SEARCH(Assumptions!$C$7,G547)),Assumptions!$D$7,"Other Services"))),"Other Services"))</f>
        <v/>
      </c>
    </row>
    <row r="548" customFormat="false" ht="15" hidden="false" customHeight="false" outlineLevel="0" collapsed="false">
      <c r="F548" s="41" t="str">
        <f aca="false">IF(E548="","",IFERROR(VLOOKUP(E548,Assumptions!$G$5:$H$16,2,0),"Other"))</f>
        <v/>
      </c>
      <c r="J548" s="41" t="str">
        <f aca="false">IF(G548="","",IFERROR(IF(ISNUMBER(SEARCH(Assumptions!$C$5,G548)),Assumptions!$D$5,IF(ISNUMBER(SEARCH(Assumptions!$C$6,G548)),Assumptions!$D$6,IF(ISNUMBER(SEARCH(Assumptions!$C$7,G548)),Assumptions!$D$7,"Other Services"))),"Other Services"))</f>
        <v/>
      </c>
    </row>
    <row r="549" customFormat="false" ht="15" hidden="false" customHeight="false" outlineLevel="0" collapsed="false">
      <c r="F549" s="41" t="str">
        <f aca="false">IF(E549="","",IFERROR(VLOOKUP(E549,Assumptions!$G$5:$H$16,2,0),"Other"))</f>
        <v/>
      </c>
      <c r="J549" s="41" t="str">
        <f aca="false">IF(G549="","",IFERROR(IF(ISNUMBER(SEARCH(Assumptions!$C$5,G549)),Assumptions!$D$5,IF(ISNUMBER(SEARCH(Assumptions!$C$6,G549)),Assumptions!$D$6,IF(ISNUMBER(SEARCH(Assumptions!$C$7,G549)),Assumptions!$D$7,"Other Services"))),"Other Services"))</f>
        <v/>
      </c>
    </row>
    <row r="550" customFormat="false" ht="15" hidden="false" customHeight="false" outlineLevel="0" collapsed="false">
      <c r="F550" s="41" t="str">
        <f aca="false">IF(E550="","",IFERROR(VLOOKUP(E550,Assumptions!$G$5:$H$16,2,0),"Other"))</f>
        <v/>
      </c>
      <c r="J550" s="41" t="str">
        <f aca="false">IF(G550="","",IFERROR(IF(ISNUMBER(SEARCH(Assumptions!$C$5,G550)),Assumptions!$D$5,IF(ISNUMBER(SEARCH(Assumptions!$C$6,G550)),Assumptions!$D$6,IF(ISNUMBER(SEARCH(Assumptions!$C$7,G550)),Assumptions!$D$7,"Other Services"))),"Other Services"))</f>
        <v/>
      </c>
    </row>
    <row r="551" customFormat="false" ht="15" hidden="false" customHeight="false" outlineLevel="0" collapsed="false">
      <c r="F551" s="41" t="str">
        <f aca="false">IF(E551="","",IFERROR(VLOOKUP(E551,Assumptions!$G$5:$H$16,2,0),"Other"))</f>
        <v/>
      </c>
      <c r="J551" s="41" t="str">
        <f aca="false">IF(G551="","",IFERROR(IF(ISNUMBER(SEARCH(Assumptions!$C$5,G551)),Assumptions!$D$5,IF(ISNUMBER(SEARCH(Assumptions!$C$6,G551)),Assumptions!$D$6,IF(ISNUMBER(SEARCH(Assumptions!$C$7,G551)),Assumptions!$D$7,"Other Services"))),"Other Services"))</f>
        <v/>
      </c>
    </row>
    <row r="552" customFormat="false" ht="15" hidden="false" customHeight="false" outlineLevel="0" collapsed="false">
      <c r="F552" s="41" t="str">
        <f aca="false">IF(E552="","",IFERROR(VLOOKUP(E552,Assumptions!$G$5:$H$16,2,0),"Other"))</f>
        <v/>
      </c>
      <c r="J552" s="41" t="str">
        <f aca="false">IF(G552="","",IFERROR(IF(ISNUMBER(SEARCH(Assumptions!$C$5,G552)),Assumptions!$D$5,IF(ISNUMBER(SEARCH(Assumptions!$C$6,G552)),Assumptions!$D$6,IF(ISNUMBER(SEARCH(Assumptions!$C$7,G552)),Assumptions!$D$7,"Other Services"))),"Other Services"))</f>
        <v/>
      </c>
    </row>
    <row r="553" customFormat="false" ht="15" hidden="false" customHeight="false" outlineLevel="0" collapsed="false">
      <c r="F553" s="41" t="str">
        <f aca="false">IF(E553="","",IFERROR(VLOOKUP(E553,Assumptions!$G$5:$H$16,2,0),"Other"))</f>
        <v/>
      </c>
      <c r="J553" s="41" t="str">
        <f aca="false">IF(G553="","",IFERROR(IF(ISNUMBER(SEARCH(Assumptions!$C$5,G553)),Assumptions!$D$5,IF(ISNUMBER(SEARCH(Assumptions!$C$6,G553)),Assumptions!$D$6,IF(ISNUMBER(SEARCH(Assumptions!$C$7,G553)),Assumptions!$D$7,"Other Services"))),"Other Services"))</f>
        <v/>
      </c>
    </row>
    <row r="554" customFormat="false" ht="15" hidden="false" customHeight="false" outlineLevel="0" collapsed="false">
      <c r="F554" s="41" t="str">
        <f aca="false">IF(E554="","",IFERROR(VLOOKUP(E554,Assumptions!$G$5:$H$16,2,0),"Other"))</f>
        <v/>
      </c>
      <c r="J554" s="41" t="str">
        <f aca="false">IF(G554="","",IFERROR(IF(ISNUMBER(SEARCH(Assumptions!$C$5,G554)),Assumptions!$D$5,IF(ISNUMBER(SEARCH(Assumptions!$C$6,G554)),Assumptions!$D$6,IF(ISNUMBER(SEARCH(Assumptions!$C$7,G554)),Assumptions!$D$7,"Other Services"))),"Other Services"))</f>
        <v/>
      </c>
    </row>
    <row r="555" customFormat="false" ht="15" hidden="false" customHeight="false" outlineLevel="0" collapsed="false">
      <c r="F555" s="41" t="str">
        <f aca="false">IF(E555="","",IFERROR(VLOOKUP(E555,Assumptions!$G$5:$H$16,2,0),"Other"))</f>
        <v/>
      </c>
      <c r="J555" s="41" t="str">
        <f aca="false">IF(G555="","",IFERROR(IF(ISNUMBER(SEARCH(Assumptions!$C$5,G555)),Assumptions!$D$5,IF(ISNUMBER(SEARCH(Assumptions!$C$6,G555)),Assumptions!$D$6,IF(ISNUMBER(SEARCH(Assumptions!$C$7,G555)),Assumptions!$D$7,"Other Services"))),"Other Services"))</f>
        <v/>
      </c>
    </row>
    <row r="556" customFormat="false" ht="15" hidden="false" customHeight="false" outlineLevel="0" collapsed="false">
      <c r="F556" s="41" t="str">
        <f aca="false">IF(E556="","",IFERROR(VLOOKUP(E556,Assumptions!$G$5:$H$16,2,0),"Other"))</f>
        <v/>
      </c>
      <c r="J556" s="41" t="str">
        <f aca="false">IF(G556="","",IFERROR(IF(ISNUMBER(SEARCH(Assumptions!$C$5,G556)),Assumptions!$D$5,IF(ISNUMBER(SEARCH(Assumptions!$C$6,G556)),Assumptions!$D$6,IF(ISNUMBER(SEARCH(Assumptions!$C$7,G556)),Assumptions!$D$7,"Other Services"))),"Other Services"))</f>
        <v/>
      </c>
    </row>
    <row r="557" customFormat="false" ht="15" hidden="false" customHeight="false" outlineLevel="0" collapsed="false">
      <c r="F557" s="41" t="str">
        <f aca="false">IF(E557="","",IFERROR(VLOOKUP(E557,Assumptions!$G$5:$H$16,2,0),"Other"))</f>
        <v/>
      </c>
      <c r="J557" s="41" t="str">
        <f aca="false">IF(G557="","",IFERROR(IF(ISNUMBER(SEARCH(Assumptions!$C$5,G557)),Assumptions!$D$5,IF(ISNUMBER(SEARCH(Assumptions!$C$6,G557)),Assumptions!$D$6,IF(ISNUMBER(SEARCH(Assumptions!$C$7,G557)),Assumptions!$D$7,"Other Services"))),"Other Services"))</f>
        <v/>
      </c>
    </row>
    <row r="558" customFormat="false" ht="15" hidden="false" customHeight="false" outlineLevel="0" collapsed="false">
      <c r="F558" s="41" t="str">
        <f aca="false">IF(E558="","",IFERROR(VLOOKUP(E558,Assumptions!$G$5:$H$16,2,0),"Other"))</f>
        <v/>
      </c>
      <c r="J558" s="41" t="str">
        <f aca="false">IF(G558="","",IFERROR(IF(ISNUMBER(SEARCH(Assumptions!$C$5,G558)),Assumptions!$D$5,IF(ISNUMBER(SEARCH(Assumptions!$C$6,G558)),Assumptions!$D$6,IF(ISNUMBER(SEARCH(Assumptions!$C$7,G558)),Assumptions!$D$7,"Other Services"))),"Other Services"))</f>
        <v/>
      </c>
    </row>
    <row r="559" customFormat="false" ht="15" hidden="false" customHeight="false" outlineLevel="0" collapsed="false">
      <c r="F559" s="41" t="str">
        <f aca="false">IF(E559="","",IFERROR(VLOOKUP(E559,Assumptions!$G$5:$H$16,2,0),"Other"))</f>
        <v/>
      </c>
      <c r="J559" s="41" t="str">
        <f aca="false">IF(G559="","",IFERROR(IF(ISNUMBER(SEARCH(Assumptions!$C$5,G559)),Assumptions!$D$5,IF(ISNUMBER(SEARCH(Assumptions!$C$6,G559)),Assumptions!$D$6,IF(ISNUMBER(SEARCH(Assumptions!$C$7,G559)),Assumptions!$D$7,"Other Services"))),"Other Services"))</f>
        <v/>
      </c>
    </row>
    <row r="560" customFormat="false" ht="15" hidden="false" customHeight="false" outlineLevel="0" collapsed="false">
      <c r="F560" s="41" t="str">
        <f aca="false">IF(E560="","",IFERROR(VLOOKUP(E560,Assumptions!$G$5:$H$16,2,0),"Other"))</f>
        <v/>
      </c>
      <c r="J560" s="41" t="str">
        <f aca="false">IF(G560="","",IFERROR(IF(ISNUMBER(SEARCH(Assumptions!$C$5,G560)),Assumptions!$D$5,IF(ISNUMBER(SEARCH(Assumptions!$C$6,G560)),Assumptions!$D$6,IF(ISNUMBER(SEARCH(Assumptions!$C$7,G560)),Assumptions!$D$7,"Other Services"))),"Other Services"))</f>
        <v/>
      </c>
    </row>
    <row r="561" customFormat="false" ht="15" hidden="false" customHeight="false" outlineLevel="0" collapsed="false">
      <c r="F561" s="41" t="str">
        <f aca="false">IF(E561="","",IFERROR(VLOOKUP(E561,Assumptions!$G$5:$H$16,2,0),"Other"))</f>
        <v/>
      </c>
      <c r="J561" s="41" t="str">
        <f aca="false">IF(G561="","",IFERROR(IF(ISNUMBER(SEARCH(Assumptions!$C$5,G561)),Assumptions!$D$5,IF(ISNUMBER(SEARCH(Assumptions!$C$6,G561)),Assumptions!$D$6,IF(ISNUMBER(SEARCH(Assumptions!$C$7,G561)),Assumptions!$D$7,"Other Services"))),"Other Services"))</f>
        <v/>
      </c>
    </row>
    <row r="562" customFormat="false" ht="15" hidden="false" customHeight="false" outlineLevel="0" collapsed="false">
      <c r="F562" s="41" t="str">
        <f aca="false">IF(E562="","",IFERROR(VLOOKUP(E562,Assumptions!$G$5:$H$16,2,0),"Other"))</f>
        <v/>
      </c>
      <c r="J562" s="41" t="str">
        <f aca="false">IF(G562="","",IFERROR(IF(ISNUMBER(SEARCH(Assumptions!$C$5,G562)),Assumptions!$D$5,IF(ISNUMBER(SEARCH(Assumptions!$C$6,G562)),Assumptions!$D$6,IF(ISNUMBER(SEARCH(Assumptions!$C$7,G562)),Assumptions!$D$7,"Other Services"))),"Other Services"))</f>
        <v/>
      </c>
    </row>
    <row r="563" customFormat="false" ht="15" hidden="false" customHeight="false" outlineLevel="0" collapsed="false">
      <c r="F563" s="41" t="str">
        <f aca="false">IF(E563="","",IFERROR(VLOOKUP(E563,Assumptions!$G$5:$H$16,2,0),"Other"))</f>
        <v/>
      </c>
      <c r="J563" s="41" t="str">
        <f aca="false">IF(G563="","",IFERROR(IF(ISNUMBER(SEARCH(Assumptions!$C$5,G563)),Assumptions!$D$5,IF(ISNUMBER(SEARCH(Assumptions!$C$6,G563)),Assumptions!$D$6,IF(ISNUMBER(SEARCH(Assumptions!$C$7,G563)),Assumptions!$D$7,"Other Services"))),"Other Services"))</f>
        <v/>
      </c>
    </row>
    <row r="564" customFormat="false" ht="15" hidden="false" customHeight="false" outlineLevel="0" collapsed="false">
      <c r="F564" s="41" t="str">
        <f aca="false">IF(E564="","",IFERROR(VLOOKUP(E564,Assumptions!$G$5:$H$16,2,0),"Other"))</f>
        <v/>
      </c>
      <c r="J564" s="41" t="str">
        <f aca="false">IF(G564="","",IFERROR(IF(ISNUMBER(SEARCH(Assumptions!$C$5,G564)),Assumptions!$D$5,IF(ISNUMBER(SEARCH(Assumptions!$C$6,G564)),Assumptions!$D$6,IF(ISNUMBER(SEARCH(Assumptions!$C$7,G564)),Assumptions!$D$7,"Other Services"))),"Other Services"))</f>
        <v/>
      </c>
    </row>
    <row r="565" customFormat="false" ht="15" hidden="false" customHeight="false" outlineLevel="0" collapsed="false">
      <c r="F565" s="41" t="str">
        <f aca="false">IF(E565="","",IFERROR(VLOOKUP(E565,Assumptions!$G$5:$H$16,2,0),"Other"))</f>
        <v/>
      </c>
      <c r="J565" s="41" t="str">
        <f aca="false">IF(G565="","",IFERROR(IF(ISNUMBER(SEARCH(Assumptions!$C$5,G565)),Assumptions!$D$5,IF(ISNUMBER(SEARCH(Assumptions!$C$6,G565)),Assumptions!$D$6,IF(ISNUMBER(SEARCH(Assumptions!$C$7,G565)),Assumptions!$D$7,"Other Services"))),"Other Services"))</f>
        <v/>
      </c>
    </row>
    <row r="566" customFormat="false" ht="15" hidden="false" customHeight="false" outlineLevel="0" collapsed="false">
      <c r="F566" s="41" t="str">
        <f aca="false">IF(E566="","",IFERROR(VLOOKUP(E566,Assumptions!$G$5:$H$16,2,0),"Other"))</f>
        <v/>
      </c>
      <c r="J566" s="41" t="str">
        <f aca="false">IF(G566="","",IFERROR(IF(ISNUMBER(SEARCH(Assumptions!$C$5,G566)),Assumptions!$D$5,IF(ISNUMBER(SEARCH(Assumptions!$C$6,G566)),Assumptions!$D$6,IF(ISNUMBER(SEARCH(Assumptions!$C$7,G566)),Assumptions!$D$7,"Other Services"))),"Other Services"))</f>
        <v/>
      </c>
    </row>
    <row r="567" customFormat="false" ht="15" hidden="false" customHeight="false" outlineLevel="0" collapsed="false">
      <c r="F567" s="41" t="str">
        <f aca="false">IF(E567="","",IFERROR(VLOOKUP(E567,Assumptions!$G$5:$H$16,2,0),"Other"))</f>
        <v/>
      </c>
      <c r="J567" s="41" t="str">
        <f aca="false">IF(G567="","",IFERROR(IF(ISNUMBER(SEARCH(Assumptions!$C$5,G567)),Assumptions!$D$5,IF(ISNUMBER(SEARCH(Assumptions!$C$6,G567)),Assumptions!$D$6,IF(ISNUMBER(SEARCH(Assumptions!$C$7,G567)),Assumptions!$D$7,"Other Services"))),"Other Services"))</f>
        <v/>
      </c>
    </row>
    <row r="568" customFormat="false" ht="15" hidden="false" customHeight="false" outlineLevel="0" collapsed="false">
      <c r="F568" s="41" t="str">
        <f aca="false">IF(E568="","",IFERROR(VLOOKUP(E568,Assumptions!$G$5:$H$16,2,0),"Other"))</f>
        <v/>
      </c>
      <c r="J568" s="41" t="str">
        <f aca="false">IF(G568="","",IFERROR(IF(ISNUMBER(SEARCH(Assumptions!$C$5,G568)),Assumptions!$D$5,IF(ISNUMBER(SEARCH(Assumptions!$C$6,G568)),Assumptions!$D$6,IF(ISNUMBER(SEARCH(Assumptions!$C$7,G568)),Assumptions!$D$7,"Other Services"))),"Other Services"))</f>
        <v/>
      </c>
    </row>
    <row r="569" customFormat="false" ht="15" hidden="false" customHeight="false" outlineLevel="0" collapsed="false">
      <c r="F569" s="41" t="str">
        <f aca="false">IF(E569="","",IFERROR(VLOOKUP(E569,Assumptions!$G$5:$H$16,2,0),"Other"))</f>
        <v/>
      </c>
      <c r="J569" s="41" t="str">
        <f aca="false">IF(G569="","",IFERROR(IF(ISNUMBER(SEARCH(Assumptions!$C$5,G569)),Assumptions!$D$5,IF(ISNUMBER(SEARCH(Assumptions!$C$6,G569)),Assumptions!$D$6,IF(ISNUMBER(SEARCH(Assumptions!$C$7,G569)),Assumptions!$D$7,"Other Services"))),"Other Services"))</f>
        <v/>
      </c>
    </row>
    <row r="570" customFormat="false" ht="15" hidden="false" customHeight="false" outlineLevel="0" collapsed="false">
      <c r="F570" s="41" t="str">
        <f aca="false">IF(E570="","",IFERROR(VLOOKUP(E570,Assumptions!$G$5:$H$16,2,0),"Other"))</f>
        <v/>
      </c>
      <c r="J570" s="41" t="str">
        <f aca="false">IF(G570="","",IFERROR(IF(ISNUMBER(SEARCH(Assumptions!$C$5,G570)),Assumptions!$D$5,IF(ISNUMBER(SEARCH(Assumptions!$C$6,G570)),Assumptions!$D$6,IF(ISNUMBER(SEARCH(Assumptions!$C$7,G570)),Assumptions!$D$7,"Other Services"))),"Other Services"))</f>
        <v/>
      </c>
    </row>
    <row r="571" customFormat="false" ht="15" hidden="false" customHeight="false" outlineLevel="0" collapsed="false">
      <c r="F571" s="41" t="str">
        <f aca="false">IF(E571="","",IFERROR(VLOOKUP(E571,Assumptions!$G$5:$H$16,2,0),"Other"))</f>
        <v/>
      </c>
      <c r="J571" s="41" t="str">
        <f aca="false">IF(G571="","",IFERROR(IF(ISNUMBER(SEARCH(Assumptions!$C$5,G571)),Assumptions!$D$5,IF(ISNUMBER(SEARCH(Assumptions!$C$6,G571)),Assumptions!$D$6,IF(ISNUMBER(SEARCH(Assumptions!$C$7,G571)),Assumptions!$D$7,"Other Services"))),"Other Services"))</f>
        <v/>
      </c>
    </row>
    <row r="572" customFormat="false" ht="15" hidden="false" customHeight="false" outlineLevel="0" collapsed="false">
      <c r="F572" s="41" t="str">
        <f aca="false">IF(E572="","",IFERROR(VLOOKUP(E572,Assumptions!$G$5:$H$16,2,0),"Other"))</f>
        <v/>
      </c>
      <c r="J572" s="41" t="str">
        <f aca="false">IF(G572="","",IFERROR(IF(ISNUMBER(SEARCH(Assumptions!$C$5,G572)),Assumptions!$D$5,IF(ISNUMBER(SEARCH(Assumptions!$C$6,G572)),Assumptions!$D$6,IF(ISNUMBER(SEARCH(Assumptions!$C$7,G572)),Assumptions!$D$7,"Other Services"))),"Other Services"))</f>
        <v/>
      </c>
    </row>
    <row r="573" customFormat="false" ht="15" hidden="false" customHeight="false" outlineLevel="0" collapsed="false">
      <c r="F573" s="41" t="str">
        <f aca="false">IF(E573="","",IFERROR(VLOOKUP(E573,Assumptions!$G$5:$H$16,2,0),"Other"))</f>
        <v/>
      </c>
      <c r="J573" s="41" t="str">
        <f aca="false">IF(G573="","",IFERROR(IF(ISNUMBER(SEARCH(Assumptions!$C$5,G573)),Assumptions!$D$5,IF(ISNUMBER(SEARCH(Assumptions!$C$6,G573)),Assumptions!$D$6,IF(ISNUMBER(SEARCH(Assumptions!$C$7,G573)),Assumptions!$D$7,"Other Services"))),"Other Services"))</f>
        <v/>
      </c>
    </row>
    <row r="574" customFormat="false" ht="15" hidden="false" customHeight="false" outlineLevel="0" collapsed="false">
      <c r="F574" s="41" t="str">
        <f aca="false">IF(E574="","",IFERROR(VLOOKUP(E574,Assumptions!$G$5:$H$16,2,0),"Other"))</f>
        <v/>
      </c>
      <c r="J574" s="41" t="str">
        <f aca="false">IF(G574="","",IFERROR(IF(ISNUMBER(SEARCH(Assumptions!$C$5,G574)),Assumptions!$D$5,IF(ISNUMBER(SEARCH(Assumptions!$C$6,G574)),Assumptions!$D$6,IF(ISNUMBER(SEARCH(Assumptions!$C$7,G574)),Assumptions!$D$7,"Other Services"))),"Other Services"))</f>
        <v/>
      </c>
    </row>
    <row r="575" customFormat="false" ht="15" hidden="false" customHeight="false" outlineLevel="0" collapsed="false">
      <c r="F575" s="41" t="str">
        <f aca="false">IF(E575="","",IFERROR(VLOOKUP(E575,Assumptions!$G$5:$H$16,2,0),"Other"))</f>
        <v/>
      </c>
      <c r="J575" s="41" t="str">
        <f aca="false">IF(G575="","",IFERROR(IF(ISNUMBER(SEARCH(Assumptions!$C$5,G575)),Assumptions!$D$5,IF(ISNUMBER(SEARCH(Assumptions!$C$6,G575)),Assumptions!$D$6,IF(ISNUMBER(SEARCH(Assumptions!$C$7,G575)),Assumptions!$D$7,"Other Services"))),"Other Services"))</f>
        <v/>
      </c>
    </row>
    <row r="576" customFormat="false" ht="15" hidden="false" customHeight="false" outlineLevel="0" collapsed="false">
      <c r="F576" s="41" t="str">
        <f aca="false">IF(E576="","",IFERROR(VLOOKUP(E576,Assumptions!$G$5:$H$16,2,0),"Other"))</f>
        <v/>
      </c>
      <c r="J576" s="41" t="str">
        <f aca="false">IF(G576="","",IFERROR(IF(ISNUMBER(SEARCH(Assumptions!$C$5,G576)),Assumptions!$D$5,IF(ISNUMBER(SEARCH(Assumptions!$C$6,G576)),Assumptions!$D$6,IF(ISNUMBER(SEARCH(Assumptions!$C$7,G576)),Assumptions!$D$7,"Other Services"))),"Other Services"))</f>
        <v/>
      </c>
    </row>
    <row r="577" customFormat="false" ht="15" hidden="false" customHeight="false" outlineLevel="0" collapsed="false">
      <c r="F577" s="41" t="str">
        <f aca="false">IF(E577="","",IFERROR(VLOOKUP(E577,Assumptions!$G$5:$H$16,2,0),"Other"))</f>
        <v/>
      </c>
      <c r="J577" s="41" t="str">
        <f aca="false">IF(G577="","",IFERROR(IF(ISNUMBER(SEARCH(Assumptions!$C$5,G577)),Assumptions!$D$5,IF(ISNUMBER(SEARCH(Assumptions!$C$6,G577)),Assumptions!$D$6,IF(ISNUMBER(SEARCH(Assumptions!$C$7,G577)),Assumptions!$D$7,"Other Services"))),"Other Services"))</f>
        <v/>
      </c>
    </row>
    <row r="578" customFormat="false" ht="15" hidden="false" customHeight="false" outlineLevel="0" collapsed="false">
      <c r="F578" s="41" t="str">
        <f aca="false">IF(E578="","",IFERROR(VLOOKUP(E578,Assumptions!$G$5:$H$16,2,0),"Other"))</f>
        <v/>
      </c>
      <c r="J578" s="41" t="str">
        <f aca="false">IF(G578="","",IFERROR(IF(ISNUMBER(SEARCH(Assumptions!$C$5,G578)),Assumptions!$D$5,IF(ISNUMBER(SEARCH(Assumptions!$C$6,G578)),Assumptions!$D$6,IF(ISNUMBER(SEARCH(Assumptions!$C$7,G578)),Assumptions!$D$7,"Other Services"))),"Other Services"))</f>
        <v/>
      </c>
    </row>
    <row r="579" customFormat="false" ht="15" hidden="false" customHeight="false" outlineLevel="0" collapsed="false">
      <c r="F579" s="41" t="str">
        <f aca="false">IF(E579="","",IFERROR(VLOOKUP(E579,Assumptions!$G$5:$H$16,2,0),"Other"))</f>
        <v/>
      </c>
      <c r="J579" s="41" t="str">
        <f aca="false">IF(G579="","",IFERROR(IF(ISNUMBER(SEARCH(Assumptions!$C$5,G579)),Assumptions!$D$5,IF(ISNUMBER(SEARCH(Assumptions!$C$6,G579)),Assumptions!$D$6,IF(ISNUMBER(SEARCH(Assumptions!$C$7,G579)),Assumptions!$D$7,"Other Services"))),"Other Services"))</f>
        <v/>
      </c>
    </row>
    <row r="580" customFormat="false" ht="15" hidden="false" customHeight="false" outlineLevel="0" collapsed="false">
      <c r="F580" s="41" t="str">
        <f aca="false">IF(E580="","",IFERROR(VLOOKUP(E580,Assumptions!$G$5:$H$16,2,0),"Other"))</f>
        <v/>
      </c>
      <c r="J580" s="41" t="str">
        <f aca="false">IF(G580="","",IFERROR(IF(ISNUMBER(SEARCH(Assumptions!$C$5,G580)),Assumptions!$D$5,IF(ISNUMBER(SEARCH(Assumptions!$C$6,G580)),Assumptions!$D$6,IF(ISNUMBER(SEARCH(Assumptions!$C$7,G580)),Assumptions!$D$7,"Other Services"))),"Other Services"))</f>
        <v/>
      </c>
    </row>
    <row r="581" customFormat="false" ht="15" hidden="false" customHeight="false" outlineLevel="0" collapsed="false">
      <c r="F581" s="41" t="str">
        <f aca="false">IF(E581="","",IFERROR(VLOOKUP(E581,Assumptions!$G$5:$H$16,2,0),"Other"))</f>
        <v/>
      </c>
      <c r="J581" s="41" t="str">
        <f aca="false">IF(G581="","",IFERROR(IF(ISNUMBER(SEARCH(Assumptions!$C$5,G581)),Assumptions!$D$5,IF(ISNUMBER(SEARCH(Assumptions!$C$6,G581)),Assumptions!$D$6,IF(ISNUMBER(SEARCH(Assumptions!$C$7,G581)),Assumptions!$D$7,"Other Services"))),"Other Services"))</f>
        <v/>
      </c>
    </row>
    <row r="582" customFormat="false" ht="15" hidden="false" customHeight="false" outlineLevel="0" collapsed="false">
      <c r="F582" s="41" t="str">
        <f aca="false">IF(E582="","",IFERROR(VLOOKUP(E582,Assumptions!$G$5:$H$16,2,0),"Other"))</f>
        <v/>
      </c>
      <c r="J582" s="41" t="str">
        <f aca="false">IF(G582="","",IFERROR(IF(ISNUMBER(SEARCH(Assumptions!$C$5,G582)),Assumptions!$D$5,IF(ISNUMBER(SEARCH(Assumptions!$C$6,G582)),Assumptions!$D$6,IF(ISNUMBER(SEARCH(Assumptions!$C$7,G582)),Assumptions!$D$7,"Other Services"))),"Other Services"))</f>
        <v/>
      </c>
    </row>
    <row r="583" customFormat="false" ht="15" hidden="false" customHeight="false" outlineLevel="0" collapsed="false">
      <c r="F583" s="41" t="str">
        <f aca="false">IF(E583="","",IFERROR(VLOOKUP(E583,Assumptions!$G$5:$H$16,2,0),"Other"))</f>
        <v/>
      </c>
      <c r="J583" s="41" t="str">
        <f aca="false">IF(G583="","",IFERROR(IF(ISNUMBER(SEARCH(Assumptions!$C$5,G583)),Assumptions!$D$5,IF(ISNUMBER(SEARCH(Assumptions!$C$6,G583)),Assumptions!$D$6,IF(ISNUMBER(SEARCH(Assumptions!$C$7,G583)),Assumptions!$D$7,"Other Services"))),"Other Services"))</f>
        <v/>
      </c>
    </row>
    <row r="584" customFormat="false" ht="15" hidden="false" customHeight="false" outlineLevel="0" collapsed="false">
      <c r="F584" s="41" t="str">
        <f aca="false">IF(E584="","",IFERROR(VLOOKUP(E584,Assumptions!$G$5:$H$16,2,0),"Other"))</f>
        <v/>
      </c>
      <c r="J584" s="41" t="str">
        <f aca="false">IF(G584="","",IFERROR(IF(ISNUMBER(SEARCH(Assumptions!$C$5,G584)),Assumptions!$D$5,IF(ISNUMBER(SEARCH(Assumptions!$C$6,G584)),Assumptions!$D$6,IF(ISNUMBER(SEARCH(Assumptions!$C$7,G584)),Assumptions!$D$7,"Other Services"))),"Other Services"))</f>
        <v/>
      </c>
    </row>
    <row r="585" customFormat="false" ht="15" hidden="false" customHeight="false" outlineLevel="0" collapsed="false">
      <c r="F585" s="41" t="str">
        <f aca="false">IF(E585="","",IFERROR(VLOOKUP(E585,Assumptions!$G$5:$H$16,2,0),"Other"))</f>
        <v/>
      </c>
      <c r="J585" s="41" t="str">
        <f aca="false">IF(G585="","",IFERROR(IF(ISNUMBER(SEARCH(Assumptions!$C$5,G585)),Assumptions!$D$5,IF(ISNUMBER(SEARCH(Assumptions!$C$6,G585)),Assumptions!$D$6,IF(ISNUMBER(SEARCH(Assumptions!$C$7,G585)),Assumptions!$D$7,"Other Services"))),"Other Services"))</f>
        <v/>
      </c>
    </row>
    <row r="586" customFormat="false" ht="15" hidden="false" customHeight="false" outlineLevel="0" collapsed="false">
      <c r="F586" s="41" t="str">
        <f aca="false">IF(E586="","",IFERROR(VLOOKUP(E586,Assumptions!$G$5:$H$16,2,0),"Other"))</f>
        <v/>
      </c>
      <c r="J586" s="41" t="str">
        <f aca="false">IF(G586="","",IFERROR(IF(ISNUMBER(SEARCH(Assumptions!$C$5,G586)),Assumptions!$D$5,IF(ISNUMBER(SEARCH(Assumptions!$C$6,G586)),Assumptions!$D$6,IF(ISNUMBER(SEARCH(Assumptions!$C$7,G586)),Assumptions!$D$7,"Other Services"))),"Other Services"))</f>
        <v/>
      </c>
    </row>
    <row r="587" customFormat="false" ht="15" hidden="false" customHeight="false" outlineLevel="0" collapsed="false">
      <c r="F587" s="41" t="str">
        <f aca="false">IF(E587="","",IFERROR(VLOOKUP(E587,Assumptions!$G$5:$H$16,2,0),"Other"))</f>
        <v/>
      </c>
      <c r="J587" s="41" t="str">
        <f aca="false">IF(G587="","",IFERROR(IF(ISNUMBER(SEARCH(Assumptions!$C$5,G587)),Assumptions!$D$5,IF(ISNUMBER(SEARCH(Assumptions!$C$6,G587)),Assumptions!$D$6,IF(ISNUMBER(SEARCH(Assumptions!$C$7,G587)),Assumptions!$D$7,"Other Services"))),"Other Services"))</f>
        <v/>
      </c>
    </row>
    <row r="588" customFormat="false" ht="15" hidden="false" customHeight="false" outlineLevel="0" collapsed="false">
      <c r="F588" s="41" t="str">
        <f aca="false">IF(E588="","",IFERROR(VLOOKUP(E588,Assumptions!$G$5:$H$16,2,0),"Other"))</f>
        <v/>
      </c>
      <c r="J588" s="41" t="str">
        <f aca="false">IF(G588="","",IFERROR(IF(ISNUMBER(SEARCH(Assumptions!$C$5,G588)),Assumptions!$D$5,IF(ISNUMBER(SEARCH(Assumptions!$C$6,G588)),Assumptions!$D$6,IF(ISNUMBER(SEARCH(Assumptions!$C$7,G588)),Assumptions!$D$7,"Other Services"))),"Other Services"))</f>
        <v/>
      </c>
    </row>
    <row r="589" customFormat="false" ht="15" hidden="false" customHeight="false" outlineLevel="0" collapsed="false">
      <c r="F589" s="41" t="str">
        <f aca="false">IF(E589="","",IFERROR(VLOOKUP(E589,Assumptions!$G$5:$H$16,2,0),"Other"))</f>
        <v/>
      </c>
      <c r="J589" s="41" t="str">
        <f aca="false">IF(G589="","",IFERROR(IF(ISNUMBER(SEARCH(Assumptions!$C$5,G589)),Assumptions!$D$5,IF(ISNUMBER(SEARCH(Assumptions!$C$6,G589)),Assumptions!$D$6,IF(ISNUMBER(SEARCH(Assumptions!$C$7,G589)),Assumptions!$D$7,"Other Services"))),"Other Services"))</f>
        <v/>
      </c>
    </row>
    <row r="590" customFormat="false" ht="15" hidden="false" customHeight="false" outlineLevel="0" collapsed="false">
      <c r="F590" s="41" t="str">
        <f aca="false">IF(E590="","",IFERROR(VLOOKUP(E590,Assumptions!$G$5:$H$16,2,0),"Other"))</f>
        <v/>
      </c>
      <c r="J590" s="41" t="str">
        <f aca="false">IF(G590="","",IFERROR(IF(ISNUMBER(SEARCH(Assumptions!$C$5,G590)),Assumptions!$D$5,IF(ISNUMBER(SEARCH(Assumptions!$C$6,G590)),Assumptions!$D$6,IF(ISNUMBER(SEARCH(Assumptions!$C$7,G590)),Assumptions!$D$7,"Other Services"))),"Other Services"))</f>
        <v/>
      </c>
    </row>
    <row r="591" customFormat="false" ht="15" hidden="false" customHeight="false" outlineLevel="0" collapsed="false">
      <c r="F591" s="41" t="str">
        <f aca="false">IF(E591="","",IFERROR(VLOOKUP(E591,Assumptions!$G$5:$H$16,2,0),"Other"))</f>
        <v/>
      </c>
      <c r="J591" s="41" t="str">
        <f aca="false">IF(G591="","",IFERROR(IF(ISNUMBER(SEARCH(Assumptions!$C$5,G591)),Assumptions!$D$5,IF(ISNUMBER(SEARCH(Assumptions!$C$6,G591)),Assumptions!$D$6,IF(ISNUMBER(SEARCH(Assumptions!$C$7,G591)),Assumptions!$D$7,"Other Services"))),"Other Services"))</f>
        <v/>
      </c>
    </row>
    <row r="592" customFormat="false" ht="15" hidden="false" customHeight="false" outlineLevel="0" collapsed="false">
      <c r="F592" s="41" t="str">
        <f aca="false">IF(E592="","",IFERROR(VLOOKUP(E592,Assumptions!$G$5:$H$16,2,0),"Other"))</f>
        <v/>
      </c>
      <c r="J592" s="41" t="str">
        <f aca="false">IF(G592="","",IFERROR(IF(ISNUMBER(SEARCH(Assumptions!$C$5,G592)),Assumptions!$D$5,IF(ISNUMBER(SEARCH(Assumptions!$C$6,G592)),Assumptions!$D$6,IF(ISNUMBER(SEARCH(Assumptions!$C$7,G592)),Assumptions!$D$7,"Other Services"))),"Other Services"))</f>
        <v/>
      </c>
    </row>
    <row r="593" customFormat="false" ht="15" hidden="false" customHeight="false" outlineLevel="0" collapsed="false">
      <c r="F593" s="41" t="str">
        <f aca="false">IF(E593="","",IFERROR(VLOOKUP(E593,Assumptions!$G$5:$H$16,2,0),"Other"))</f>
        <v/>
      </c>
      <c r="J593" s="41" t="str">
        <f aca="false">IF(G593="","",IFERROR(IF(ISNUMBER(SEARCH(Assumptions!$C$5,G593)),Assumptions!$D$5,IF(ISNUMBER(SEARCH(Assumptions!$C$6,G593)),Assumptions!$D$6,IF(ISNUMBER(SEARCH(Assumptions!$C$7,G593)),Assumptions!$D$7,"Other Services"))),"Other Services"))</f>
        <v/>
      </c>
    </row>
    <row r="594" customFormat="false" ht="15" hidden="false" customHeight="false" outlineLevel="0" collapsed="false">
      <c r="F594" s="41" t="str">
        <f aca="false">IF(E594="","",IFERROR(VLOOKUP(E594,Assumptions!$G$5:$H$16,2,0),"Other"))</f>
        <v/>
      </c>
      <c r="J594" s="41" t="str">
        <f aca="false">IF(G594="","",IFERROR(IF(ISNUMBER(SEARCH(Assumptions!$C$5,G594)),Assumptions!$D$5,IF(ISNUMBER(SEARCH(Assumptions!$C$6,G594)),Assumptions!$D$6,IF(ISNUMBER(SEARCH(Assumptions!$C$7,G594)),Assumptions!$D$7,"Other Services"))),"Other Services"))</f>
        <v/>
      </c>
    </row>
    <row r="595" customFormat="false" ht="15" hidden="false" customHeight="false" outlineLevel="0" collapsed="false">
      <c r="F595" s="41" t="str">
        <f aca="false">IF(E595="","",IFERROR(VLOOKUP(E595,Assumptions!$G$5:$H$16,2,0),"Other"))</f>
        <v/>
      </c>
      <c r="J595" s="41" t="str">
        <f aca="false">IF(G595="","",IFERROR(IF(ISNUMBER(SEARCH(Assumptions!$C$5,G595)),Assumptions!$D$5,IF(ISNUMBER(SEARCH(Assumptions!$C$6,G595)),Assumptions!$D$6,IF(ISNUMBER(SEARCH(Assumptions!$C$7,G595)),Assumptions!$D$7,"Other Services"))),"Other Services"))</f>
        <v/>
      </c>
    </row>
    <row r="596" customFormat="false" ht="15" hidden="false" customHeight="false" outlineLevel="0" collapsed="false">
      <c r="F596" s="41" t="str">
        <f aca="false">IF(E596="","",IFERROR(VLOOKUP(E596,Assumptions!$G$5:$H$16,2,0),"Other"))</f>
        <v/>
      </c>
      <c r="J596" s="41" t="str">
        <f aca="false">IF(G596="","",IFERROR(IF(ISNUMBER(SEARCH(Assumptions!$C$5,G596)),Assumptions!$D$5,IF(ISNUMBER(SEARCH(Assumptions!$C$6,G596)),Assumptions!$D$6,IF(ISNUMBER(SEARCH(Assumptions!$C$7,G596)),Assumptions!$D$7,"Other Services"))),"Other Services"))</f>
        <v/>
      </c>
    </row>
    <row r="597" customFormat="false" ht="15" hidden="false" customHeight="false" outlineLevel="0" collapsed="false">
      <c r="F597" s="41" t="str">
        <f aca="false">IF(E597="","",IFERROR(VLOOKUP(E597,Assumptions!$G$5:$H$16,2,0),"Other"))</f>
        <v/>
      </c>
      <c r="J597" s="41" t="str">
        <f aca="false">IF(G597="","",IFERROR(IF(ISNUMBER(SEARCH(Assumptions!$C$5,G597)),Assumptions!$D$5,IF(ISNUMBER(SEARCH(Assumptions!$C$6,G597)),Assumptions!$D$6,IF(ISNUMBER(SEARCH(Assumptions!$C$7,G597)),Assumptions!$D$7,"Other Services"))),"Other Services"))</f>
        <v/>
      </c>
    </row>
    <row r="598" customFormat="false" ht="15" hidden="false" customHeight="false" outlineLevel="0" collapsed="false">
      <c r="F598" s="41" t="str">
        <f aca="false">IF(E598="","",IFERROR(VLOOKUP(E598,Assumptions!$G$5:$H$16,2,0),"Other"))</f>
        <v/>
      </c>
      <c r="J598" s="41" t="str">
        <f aca="false">IF(G598="","",IFERROR(IF(ISNUMBER(SEARCH(Assumptions!$C$5,G598)),Assumptions!$D$5,IF(ISNUMBER(SEARCH(Assumptions!$C$6,G598)),Assumptions!$D$6,IF(ISNUMBER(SEARCH(Assumptions!$C$7,G598)),Assumptions!$D$7,"Other Services"))),"Other Services"))</f>
        <v/>
      </c>
    </row>
    <row r="599" customFormat="false" ht="15" hidden="false" customHeight="false" outlineLevel="0" collapsed="false">
      <c r="F599" s="41" t="str">
        <f aca="false">IF(E599="","",IFERROR(VLOOKUP(E599,Assumptions!$G$5:$H$16,2,0),"Other"))</f>
        <v/>
      </c>
      <c r="J599" s="41" t="str">
        <f aca="false">IF(G599="","",IFERROR(IF(ISNUMBER(SEARCH(Assumptions!$C$5,G599)),Assumptions!$D$5,IF(ISNUMBER(SEARCH(Assumptions!$C$6,G599)),Assumptions!$D$6,IF(ISNUMBER(SEARCH(Assumptions!$C$7,G599)),Assumptions!$D$7,"Other Services"))),"Other Services"))</f>
        <v/>
      </c>
    </row>
    <row r="600" customFormat="false" ht="15" hidden="false" customHeight="false" outlineLevel="0" collapsed="false">
      <c r="F600" s="41" t="str">
        <f aca="false">IF(E600="","",IFERROR(VLOOKUP(E600,Assumptions!$G$5:$H$16,2,0),"Other"))</f>
        <v/>
      </c>
      <c r="J600" s="41" t="str">
        <f aca="false">IF(G600="","",IFERROR(IF(ISNUMBER(SEARCH(Assumptions!$C$5,G600)),Assumptions!$D$5,IF(ISNUMBER(SEARCH(Assumptions!$C$6,G600)),Assumptions!$D$6,IF(ISNUMBER(SEARCH(Assumptions!$C$7,G600)),Assumptions!$D$7,"Other Services"))),"Other Services"))</f>
        <v/>
      </c>
    </row>
    <row r="601" customFormat="false" ht="15" hidden="false" customHeight="false" outlineLevel="0" collapsed="false">
      <c r="F601" s="41" t="str">
        <f aca="false">IF(E601="","",IFERROR(VLOOKUP(E601,Assumptions!$G$5:$H$16,2,0),"Other"))</f>
        <v/>
      </c>
      <c r="J601" s="41" t="str">
        <f aca="false">IF(G601="","",IFERROR(IF(ISNUMBER(SEARCH(Assumptions!$C$5,G601)),Assumptions!$D$5,IF(ISNUMBER(SEARCH(Assumptions!$C$6,G601)),Assumptions!$D$6,IF(ISNUMBER(SEARCH(Assumptions!$C$7,G601)),Assumptions!$D$7,"Other Services"))),"Other Services"))</f>
        <v/>
      </c>
    </row>
    <row r="602" customFormat="false" ht="15" hidden="false" customHeight="false" outlineLevel="0" collapsed="false">
      <c r="F602" s="41" t="str">
        <f aca="false">IF(E602="","",IFERROR(VLOOKUP(E602,Assumptions!$G$5:$H$16,2,0),"Other"))</f>
        <v/>
      </c>
      <c r="J602" s="41" t="str">
        <f aca="false">IF(G602="","",IFERROR(IF(ISNUMBER(SEARCH(Assumptions!$C$5,G602)),Assumptions!$D$5,IF(ISNUMBER(SEARCH(Assumptions!$C$6,G602)),Assumptions!$D$6,IF(ISNUMBER(SEARCH(Assumptions!$C$7,G602)),Assumptions!$D$7,"Other Services"))),"Other Services"))</f>
        <v/>
      </c>
    </row>
    <row r="603" customFormat="false" ht="15" hidden="false" customHeight="false" outlineLevel="0" collapsed="false">
      <c r="F603" s="41" t="str">
        <f aca="false">IF(E603="","",IFERROR(VLOOKUP(E603,Assumptions!$G$5:$H$16,2,0),"Other"))</f>
        <v/>
      </c>
      <c r="J603" s="41" t="str">
        <f aca="false">IF(G603="","",IFERROR(IF(ISNUMBER(SEARCH(Assumptions!$C$5,G603)),Assumptions!$D$5,IF(ISNUMBER(SEARCH(Assumptions!$C$6,G603)),Assumptions!$D$6,IF(ISNUMBER(SEARCH(Assumptions!$C$7,G603)),Assumptions!$D$7,"Other Services"))),"Other Services"))</f>
        <v/>
      </c>
    </row>
    <row r="604" customFormat="false" ht="15" hidden="false" customHeight="false" outlineLevel="0" collapsed="false">
      <c r="F604" s="41" t="str">
        <f aca="false">IF(E604="","",IFERROR(VLOOKUP(E604,Assumptions!$G$5:$H$16,2,0),"Other"))</f>
        <v/>
      </c>
      <c r="J604" s="41" t="str">
        <f aca="false">IF(G604="","",IFERROR(IF(ISNUMBER(SEARCH(Assumptions!$C$5,G604)),Assumptions!$D$5,IF(ISNUMBER(SEARCH(Assumptions!$C$6,G604)),Assumptions!$D$6,IF(ISNUMBER(SEARCH(Assumptions!$C$7,G604)),Assumptions!$D$7,"Other Services"))),"Other Services"))</f>
        <v/>
      </c>
    </row>
    <row r="605" customFormat="false" ht="15" hidden="false" customHeight="false" outlineLevel="0" collapsed="false">
      <c r="F605" s="41" t="str">
        <f aca="false">IF(E605="","",IFERROR(VLOOKUP(E605,Assumptions!$G$5:$H$16,2,0),"Other"))</f>
        <v/>
      </c>
      <c r="J605" s="41" t="str">
        <f aca="false">IF(G605="","",IFERROR(IF(ISNUMBER(SEARCH(Assumptions!$C$5,G605)),Assumptions!$D$5,IF(ISNUMBER(SEARCH(Assumptions!$C$6,G605)),Assumptions!$D$6,IF(ISNUMBER(SEARCH(Assumptions!$C$7,G605)),Assumptions!$D$7,"Other Services"))),"Other Services"))</f>
        <v/>
      </c>
    </row>
    <row r="606" customFormat="false" ht="15" hidden="false" customHeight="false" outlineLevel="0" collapsed="false">
      <c r="F606" s="41" t="str">
        <f aca="false">IF(E606="","",IFERROR(VLOOKUP(E606,Assumptions!$G$5:$H$16,2,0),"Other"))</f>
        <v/>
      </c>
      <c r="J606" s="41" t="str">
        <f aca="false">IF(G606="","",IFERROR(IF(ISNUMBER(SEARCH(Assumptions!$C$5,G606)),Assumptions!$D$5,IF(ISNUMBER(SEARCH(Assumptions!$C$6,G606)),Assumptions!$D$6,IF(ISNUMBER(SEARCH(Assumptions!$C$7,G606)),Assumptions!$D$7,"Other Services"))),"Other Services"))</f>
        <v/>
      </c>
    </row>
    <row r="607" customFormat="false" ht="15" hidden="false" customHeight="false" outlineLevel="0" collapsed="false">
      <c r="F607" s="41" t="str">
        <f aca="false">IF(E607="","",IFERROR(VLOOKUP(E607,Assumptions!$G$5:$H$16,2,0),"Other"))</f>
        <v/>
      </c>
      <c r="J607" s="41" t="str">
        <f aca="false">IF(G607="","",IFERROR(IF(ISNUMBER(SEARCH(Assumptions!$C$5,G607)),Assumptions!$D$5,IF(ISNUMBER(SEARCH(Assumptions!$C$6,G607)),Assumptions!$D$6,IF(ISNUMBER(SEARCH(Assumptions!$C$7,G607)),Assumptions!$D$7,"Other Services"))),"Other Services"))</f>
        <v/>
      </c>
    </row>
    <row r="608" customFormat="false" ht="15" hidden="false" customHeight="false" outlineLevel="0" collapsed="false">
      <c r="F608" s="41" t="str">
        <f aca="false">IF(E608="","",IFERROR(VLOOKUP(E608,Assumptions!$G$5:$H$16,2,0),"Other"))</f>
        <v/>
      </c>
      <c r="J608" s="41" t="str">
        <f aca="false">IF(G608="","",IFERROR(IF(ISNUMBER(SEARCH(Assumptions!$C$5,G608)),Assumptions!$D$5,IF(ISNUMBER(SEARCH(Assumptions!$C$6,G608)),Assumptions!$D$6,IF(ISNUMBER(SEARCH(Assumptions!$C$7,G608)),Assumptions!$D$7,"Other Services"))),"Other Services"))</f>
        <v/>
      </c>
    </row>
    <row r="609" customFormat="false" ht="15" hidden="false" customHeight="false" outlineLevel="0" collapsed="false">
      <c r="F609" s="41" t="str">
        <f aca="false">IF(E609="","",IFERROR(VLOOKUP(E609,Assumptions!$G$5:$H$16,2,0),"Other"))</f>
        <v/>
      </c>
      <c r="J609" s="41" t="str">
        <f aca="false">IF(G609="","",IFERROR(IF(ISNUMBER(SEARCH(Assumptions!$C$5,G609)),Assumptions!$D$5,IF(ISNUMBER(SEARCH(Assumptions!$C$6,G609)),Assumptions!$D$6,IF(ISNUMBER(SEARCH(Assumptions!$C$7,G609)),Assumptions!$D$7,"Other Services"))),"Other Services"))</f>
        <v/>
      </c>
    </row>
    <row r="610" customFormat="false" ht="15" hidden="false" customHeight="false" outlineLevel="0" collapsed="false">
      <c r="F610" s="41" t="str">
        <f aca="false">IF(E610="","",IFERROR(VLOOKUP(E610,Assumptions!$G$5:$H$16,2,0),"Other"))</f>
        <v/>
      </c>
      <c r="J610" s="41" t="str">
        <f aca="false">IF(G610="","",IFERROR(IF(ISNUMBER(SEARCH(Assumptions!$C$5,G610)),Assumptions!$D$5,IF(ISNUMBER(SEARCH(Assumptions!$C$6,G610)),Assumptions!$D$6,IF(ISNUMBER(SEARCH(Assumptions!$C$7,G610)),Assumptions!$D$7,"Other Services"))),"Other Services"))</f>
        <v/>
      </c>
    </row>
    <row r="611" customFormat="false" ht="15" hidden="false" customHeight="false" outlineLevel="0" collapsed="false">
      <c r="F611" s="41" t="str">
        <f aca="false">IF(E611="","",IFERROR(VLOOKUP(E611,Assumptions!$G$5:$H$16,2,0),"Other"))</f>
        <v/>
      </c>
      <c r="J611" s="41" t="str">
        <f aca="false">IF(G611="","",IFERROR(IF(ISNUMBER(SEARCH(Assumptions!$C$5,G611)),Assumptions!$D$5,IF(ISNUMBER(SEARCH(Assumptions!$C$6,G611)),Assumptions!$D$6,IF(ISNUMBER(SEARCH(Assumptions!$C$7,G611)),Assumptions!$D$7,"Other Services"))),"Other Services"))</f>
        <v/>
      </c>
    </row>
    <row r="612" customFormat="false" ht="15" hidden="false" customHeight="false" outlineLevel="0" collapsed="false">
      <c r="F612" s="41" t="str">
        <f aca="false">IF(E612="","",IFERROR(VLOOKUP(E612,Assumptions!$G$5:$H$16,2,0),"Other"))</f>
        <v/>
      </c>
      <c r="J612" s="41" t="str">
        <f aca="false">IF(G612="","",IFERROR(IF(ISNUMBER(SEARCH(Assumptions!$C$5,G612)),Assumptions!$D$5,IF(ISNUMBER(SEARCH(Assumptions!$C$6,G612)),Assumptions!$D$6,IF(ISNUMBER(SEARCH(Assumptions!$C$7,G612)),Assumptions!$D$7,"Other Services"))),"Other Services"))</f>
        <v/>
      </c>
    </row>
    <row r="613" customFormat="false" ht="15" hidden="false" customHeight="false" outlineLevel="0" collapsed="false">
      <c r="F613" s="41" t="str">
        <f aca="false">IF(E613="","",IFERROR(VLOOKUP(E613,Assumptions!$G$5:$H$16,2,0),"Other"))</f>
        <v/>
      </c>
      <c r="J613" s="41" t="str">
        <f aca="false">IF(G613="","",IFERROR(IF(ISNUMBER(SEARCH(Assumptions!$C$5,G613)),Assumptions!$D$5,IF(ISNUMBER(SEARCH(Assumptions!$C$6,G613)),Assumptions!$D$6,IF(ISNUMBER(SEARCH(Assumptions!$C$7,G613)),Assumptions!$D$7,"Other Services"))),"Other Services"))</f>
        <v/>
      </c>
    </row>
    <row r="614" customFormat="false" ht="15" hidden="false" customHeight="false" outlineLevel="0" collapsed="false">
      <c r="F614" s="41" t="str">
        <f aca="false">IF(E614="","",IFERROR(VLOOKUP(E614,Assumptions!$G$5:$H$16,2,0),"Other"))</f>
        <v/>
      </c>
      <c r="J614" s="41" t="str">
        <f aca="false">IF(G614="","",IFERROR(IF(ISNUMBER(SEARCH(Assumptions!$C$5,G614)),Assumptions!$D$5,IF(ISNUMBER(SEARCH(Assumptions!$C$6,G614)),Assumptions!$D$6,IF(ISNUMBER(SEARCH(Assumptions!$C$7,G614)),Assumptions!$D$7,"Other Services"))),"Other Services"))</f>
        <v/>
      </c>
    </row>
    <row r="615" customFormat="false" ht="15" hidden="false" customHeight="false" outlineLevel="0" collapsed="false">
      <c r="F615" s="41" t="str">
        <f aca="false">IF(E615="","",IFERROR(VLOOKUP(E615,Assumptions!$G$5:$H$16,2,0),"Other"))</f>
        <v/>
      </c>
      <c r="J615" s="41" t="str">
        <f aca="false">IF(G615="","",IFERROR(IF(ISNUMBER(SEARCH(Assumptions!$C$5,G615)),Assumptions!$D$5,IF(ISNUMBER(SEARCH(Assumptions!$C$6,G615)),Assumptions!$D$6,IF(ISNUMBER(SEARCH(Assumptions!$C$7,G615)),Assumptions!$D$7,"Other Services"))),"Other Services"))</f>
        <v/>
      </c>
    </row>
    <row r="616" customFormat="false" ht="15" hidden="false" customHeight="false" outlineLevel="0" collapsed="false">
      <c r="F616" s="41" t="str">
        <f aca="false">IF(E616="","",IFERROR(VLOOKUP(E616,Assumptions!$G$5:$H$16,2,0),"Other"))</f>
        <v/>
      </c>
      <c r="J616" s="41" t="str">
        <f aca="false">IF(G616="","",IFERROR(IF(ISNUMBER(SEARCH(Assumptions!$C$5,G616)),Assumptions!$D$5,IF(ISNUMBER(SEARCH(Assumptions!$C$6,G616)),Assumptions!$D$6,IF(ISNUMBER(SEARCH(Assumptions!$C$7,G616)),Assumptions!$D$7,"Other Services"))),"Other Services"))</f>
        <v/>
      </c>
    </row>
    <row r="617" customFormat="false" ht="15" hidden="false" customHeight="false" outlineLevel="0" collapsed="false">
      <c r="F617" s="41" t="str">
        <f aca="false">IF(E617="","",IFERROR(VLOOKUP(E617,Assumptions!$G$5:$H$16,2,0),"Other"))</f>
        <v/>
      </c>
      <c r="J617" s="41" t="str">
        <f aca="false">IF(G617="","",IFERROR(IF(ISNUMBER(SEARCH(Assumptions!$C$5,G617)),Assumptions!$D$5,IF(ISNUMBER(SEARCH(Assumptions!$C$6,G617)),Assumptions!$D$6,IF(ISNUMBER(SEARCH(Assumptions!$C$7,G617)),Assumptions!$D$7,"Other Services"))),"Other Services"))</f>
        <v/>
      </c>
    </row>
    <row r="618" customFormat="false" ht="15" hidden="false" customHeight="false" outlineLevel="0" collapsed="false">
      <c r="F618" s="41" t="str">
        <f aca="false">IF(E618="","",IFERROR(VLOOKUP(E618,Assumptions!$G$5:$H$16,2,0),"Other"))</f>
        <v/>
      </c>
      <c r="J618" s="41" t="str">
        <f aca="false">IF(G618="","",IFERROR(IF(ISNUMBER(SEARCH(Assumptions!$C$5,G618)),Assumptions!$D$5,IF(ISNUMBER(SEARCH(Assumptions!$C$6,G618)),Assumptions!$D$6,IF(ISNUMBER(SEARCH(Assumptions!$C$7,G618)),Assumptions!$D$7,"Other Services"))),"Other Services"))</f>
        <v/>
      </c>
    </row>
    <row r="619" customFormat="false" ht="15" hidden="false" customHeight="false" outlineLevel="0" collapsed="false">
      <c r="F619" s="41" t="str">
        <f aca="false">IF(E619="","",IFERROR(VLOOKUP(E619,Assumptions!$G$5:$H$16,2,0),"Other"))</f>
        <v/>
      </c>
      <c r="J619" s="41" t="str">
        <f aca="false">IF(G619="","",IFERROR(IF(ISNUMBER(SEARCH(Assumptions!$C$5,G619)),Assumptions!$D$5,IF(ISNUMBER(SEARCH(Assumptions!$C$6,G619)),Assumptions!$D$6,IF(ISNUMBER(SEARCH(Assumptions!$C$7,G619)),Assumptions!$D$7,"Other Services"))),"Other Services"))</f>
        <v/>
      </c>
    </row>
    <row r="620" customFormat="false" ht="15" hidden="false" customHeight="false" outlineLevel="0" collapsed="false">
      <c r="F620" s="41" t="str">
        <f aca="false">IF(E620="","",IFERROR(VLOOKUP(E620,Assumptions!$G$5:$H$16,2,0),"Other"))</f>
        <v/>
      </c>
      <c r="J620" s="41" t="str">
        <f aca="false">IF(G620="","",IFERROR(IF(ISNUMBER(SEARCH(Assumptions!$C$5,G620)),Assumptions!$D$5,IF(ISNUMBER(SEARCH(Assumptions!$C$6,G620)),Assumptions!$D$6,IF(ISNUMBER(SEARCH(Assumptions!$C$7,G620)),Assumptions!$D$7,"Other Services"))),"Other Services"))</f>
        <v/>
      </c>
    </row>
    <row r="621" customFormat="false" ht="15" hidden="false" customHeight="false" outlineLevel="0" collapsed="false">
      <c r="F621" s="41" t="str">
        <f aca="false">IF(E621="","",IFERROR(VLOOKUP(E621,Assumptions!$G$5:$H$16,2,0),"Other"))</f>
        <v/>
      </c>
      <c r="J621" s="41" t="str">
        <f aca="false">IF(G621="","",IFERROR(IF(ISNUMBER(SEARCH(Assumptions!$C$5,G621)),Assumptions!$D$5,IF(ISNUMBER(SEARCH(Assumptions!$C$6,G621)),Assumptions!$D$6,IF(ISNUMBER(SEARCH(Assumptions!$C$7,G621)),Assumptions!$D$7,"Other Services"))),"Other Services"))</f>
        <v/>
      </c>
    </row>
    <row r="622" customFormat="false" ht="15" hidden="false" customHeight="false" outlineLevel="0" collapsed="false">
      <c r="F622" s="41" t="str">
        <f aca="false">IF(E622="","",IFERROR(VLOOKUP(E622,Assumptions!$G$5:$H$16,2,0),"Other"))</f>
        <v/>
      </c>
      <c r="J622" s="41" t="str">
        <f aca="false">IF(G622="","",IFERROR(IF(ISNUMBER(SEARCH(Assumptions!$C$5,G622)),Assumptions!$D$5,IF(ISNUMBER(SEARCH(Assumptions!$C$6,G622)),Assumptions!$D$6,IF(ISNUMBER(SEARCH(Assumptions!$C$7,G622)),Assumptions!$D$7,"Other Services"))),"Other Services"))</f>
        <v/>
      </c>
    </row>
    <row r="623" customFormat="false" ht="15" hidden="false" customHeight="false" outlineLevel="0" collapsed="false">
      <c r="F623" s="41" t="str">
        <f aca="false">IF(E623="","",IFERROR(VLOOKUP(E623,Assumptions!$G$5:$H$16,2,0),"Other"))</f>
        <v/>
      </c>
      <c r="J623" s="41" t="str">
        <f aca="false">IF(G623="","",IFERROR(IF(ISNUMBER(SEARCH(Assumptions!$C$5,G623)),Assumptions!$D$5,IF(ISNUMBER(SEARCH(Assumptions!$C$6,G623)),Assumptions!$D$6,IF(ISNUMBER(SEARCH(Assumptions!$C$7,G623)),Assumptions!$D$7,"Other Services"))),"Other Services"))</f>
        <v/>
      </c>
    </row>
    <row r="624" customFormat="false" ht="15" hidden="false" customHeight="false" outlineLevel="0" collapsed="false">
      <c r="F624" s="41" t="str">
        <f aca="false">IF(E624="","",IFERROR(VLOOKUP(E624,Assumptions!$G$5:$H$16,2,0),"Other"))</f>
        <v/>
      </c>
      <c r="J624" s="41" t="str">
        <f aca="false">IF(G624="","",IFERROR(IF(ISNUMBER(SEARCH(Assumptions!$C$5,G624)),Assumptions!$D$5,IF(ISNUMBER(SEARCH(Assumptions!$C$6,G624)),Assumptions!$D$6,IF(ISNUMBER(SEARCH(Assumptions!$C$7,G624)),Assumptions!$D$7,"Other Services"))),"Other Services"))</f>
        <v/>
      </c>
    </row>
    <row r="625" customFormat="false" ht="15" hidden="false" customHeight="false" outlineLevel="0" collapsed="false">
      <c r="F625" s="41" t="str">
        <f aca="false">IF(E625="","",IFERROR(VLOOKUP(E625,Assumptions!$G$5:$H$16,2,0),"Other"))</f>
        <v/>
      </c>
      <c r="J625" s="41" t="str">
        <f aca="false">IF(G625="","",IFERROR(IF(ISNUMBER(SEARCH(Assumptions!$C$5,G625)),Assumptions!$D$5,IF(ISNUMBER(SEARCH(Assumptions!$C$6,G625)),Assumptions!$D$6,IF(ISNUMBER(SEARCH(Assumptions!$C$7,G625)),Assumptions!$D$7,"Other Services"))),"Other Services"))</f>
        <v/>
      </c>
    </row>
    <row r="626" customFormat="false" ht="15" hidden="false" customHeight="false" outlineLevel="0" collapsed="false">
      <c r="F626" s="41" t="str">
        <f aca="false">IF(E626="","",IFERROR(VLOOKUP(E626,Assumptions!$G$5:$H$16,2,0),"Other"))</f>
        <v/>
      </c>
      <c r="J626" s="41" t="str">
        <f aca="false">IF(G626="","",IFERROR(IF(ISNUMBER(SEARCH(Assumptions!$C$5,G626)),Assumptions!$D$5,IF(ISNUMBER(SEARCH(Assumptions!$C$6,G626)),Assumptions!$D$6,IF(ISNUMBER(SEARCH(Assumptions!$C$7,G626)),Assumptions!$D$7,"Other Services"))),"Other Services"))</f>
        <v/>
      </c>
    </row>
    <row r="627" customFormat="false" ht="15" hidden="false" customHeight="false" outlineLevel="0" collapsed="false">
      <c r="F627" s="41" t="str">
        <f aca="false">IF(E627="","",IFERROR(VLOOKUP(E627,Assumptions!$G$5:$H$16,2,0),"Other"))</f>
        <v/>
      </c>
      <c r="J627" s="41" t="str">
        <f aca="false">IF(G627="","",IFERROR(IF(ISNUMBER(SEARCH(Assumptions!$C$5,G627)),Assumptions!$D$5,IF(ISNUMBER(SEARCH(Assumptions!$C$6,G627)),Assumptions!$D$6,IF(ISNUMBER(SEARCH(Assumptions!$C$7,G627)),Assumptions!$D$7,"Other Services"))),"Other Services"))</f>
        <v/>
      </c>
    </row>
    <row r="628" customFormat="false" ht="15" hidden="false" customHeight="false" outlineLevel="0" collapsed="false">
      <c r="F628" s="41" t="str">
        <f aca="false">IF(E628="","",IFERROR(VLOOKUP(E628,Assumptions!$G$5:$H$16,2,0),"Other"))</f>
        <v/>
      </c>
      <c r="J628" s="41" t="str">
        <f aca="false">IF(G628="","",IFERROR(IF(ISNUMBER(SEARCH(Assumptions!$C$5,G628)),Assumptions!$D$5,IF(ISNUMBER(SEARCH(Assumptions!$C$6,G628)),Assumptions!$D$6,IF(ISNUMBER(SEARCH(Assumptions!$C$7,G628)),Assumptions!$D$7,"Other Services"))),"Other Services"))</f>
        <v/>
      </c>
    </row>
    <row r="629" customFormat="false" ht="15" hidden="false" customHeight="false" outlineLevel="0" collapsed="false">
      <c r="F629" s="41" t="str">
        <f aca="false">IF(E629="","",IFERROR(VLOOKUP(E629,Assumptions!$G$5:$H$16,2,0),"Other"))</f>
        <v/>
      </c>
      <c r="J629" s="41" t="str">
        <f aca="false">IF(G629="","",IFERROR(IF(ISNUMBER(SEARCH(Assumptions!$C$5,G629)),Assumptions!$D$5,IF(ISNUMBER(SEARCH(Assumptions!$C$6,G629)),Assumptions!$D$6,IF(ISNUMBER(SEARCH(Assumptions!$C$7,G629)),Assumptions!$D$7,"Other Services"))),"Other Services"))</f>
        <v/>
      </c>
    </row>
    <row r="630" customFormat="false" ht="15" hidden="false" customHeight="false" outlineLevel="0" collapsed="false">
      <c r="F630" s="41" t="str">
        <f aca="false">IF(E630="","",IFERROR(VLOOKUP(E630,Assumptions!$G$5:$H$16,2,0),"Other"))</f>
        <v/>
      </c>
      <c r="J630" s="41" t="str">
        <f aca="false">IF(G630="","",IFERROR(IF(ISNUMBER(SEARCH(Assumptions!$C$5,G630)),Assumptions!$D$5,IF(ISNUMBER(SEARCH(Assumptions!$C$6,G630)),Assumptions!$D$6,IF(ISNUMBER(SEARCH(Assumptions!$C$7,G630)),Assumptions!$D$7,"Other Services"))),"Other Services"))</f>
        <v/>
      </c>
    </row>
    <row r="631" customFormat="false" ht="15" hidden="false" customHeight="false" outlineLevel="0" collapsed="false">
      <c r="F631" s="41" t="str">
        <f aca="false">IF(E631="","",IFERROR(VLOOKUP(E631,Assumptions!$G$5:$H$16,2,0),"Other"))</f>
        <v/>
      </c>
      <c r="J631" s="41" t="str">
        <f aca="false">IF(G631="","",IFERROR(IF(ISNUMBER(SEARCH(Assumptions!$C$5,G631)),Assumptions!$D$5,IF(ISNUMBER(SEARCH(Assumptions!$C$6,G631)),Assumptions!$D$6,IF(ISNUMBER(SEARCH(Assumptions!$C$7,G631)),Assumptions!$D$7,"Other Services"))),"Other Services"))</f>
        <v/>
      </c>
    </row>
    <row r="632" customFormat="false" ht="15" hidden="false" customHeight="false" outlineLevel="0" collapsed="false">
      <c r="F632" s="41" t="str">
        <f aca="false">IF(E632="","",IFERROR(VLOOKUP(E632,Assumptions!$G$5:$H$16,2,0),"Other"))</f>
        <v/>
      </c>
      <c r="J632" s="41" t="str">
        <f aca="false">IF(G632="","",IFERROR(IF(ISNUMBER(SEARCH(Assumptions!$C$5,G632)),Assumptions!$D$5,IF(ISNUMBER(SEARCH(Assumptions!$C$6,G632)),Assumptions!$D$6,IF(ISNUMBER(SEARCH(Assumptions!$C$7,G632)),Assumptions!$D$7,"Other Services"))),"Other Services"))</f>
        <v/>
      </c>
    </row>
    <row r="633" customFormat="false" ht="15" hidden="false" customHeight="false" outlineLevel="0" collapsed="false">
      <c r="F633" s="41" t="str">
        <f aca="false">IF(E633="","",IFERROR(VLOOKUP(E633,Assumptions!$G$5:$H$16,2,0),"Other"))</f>
        <v/>
      </c>
      <c r="J633" s="41" t="str">
        <f aca="false">IF(G633="","",IFERROR(IF(ISNUMBER(SEARCH(Assumptions!$C$5,G633)),Assumptions!$D$5,IF(ISNUMBER(SEARCH(Assumptions!$C$6,G633)),Assumptions!$D$6,IF(ISNUMBER(SEARCH(Assumptions!$C$7,G633)),Assumptions!$D$7,"Other Services"))),"Other Services"))</f>
        <v/>
      </c>
    </row>
    <row r="634" customFormat="false" ht="15" hidden="false" customHeight="false" outlineLevel="0" collapsed="false">
      <c r="F634" s="41" t="str">
        <f aca="false">IF(E634="","",IFERROR(VLOOKUP(E634,Assumptions!$G$5:$H$16,2,0),"Other"))</f>
        <v/>
      </c>
      <c r="J634" s="41" t="str">
        <f aca="false">IF(G634="","",IFERROR(IF(ISNUMBER(SEARCH(Assumptions!$C$5,G634)),Assumptions!$D$5,IF(ISNUMBER(SEARCH(Assumptions!$C$6,G634)),Assumptions!$D$6,IF(ISNUMBER(SEARCH(Assumptions!$C$7,G634)),Assumptions!$D$7,"Other Services"))),"Other Services"))</f>
        <v/>
      </c>
    </row>
    <row r="635" customFormat="false" ht="15" hidden="false" customHeight="false" outlineLevel="0" collapsed="false">
      <c r="F635" s="41" t="str">
        <f aca="false">IF(E635="","",IFERROR(VLOOKUP(E635,Assumptions!$G$5:$H$16,2,0),"Other"))</f>
        <v/>
      </c>
      <c r="J635" s="41" t="str">
        <f aca="false">IF(G635="","",IFERROR(IF(ISNUMBER(SEARCH(Assumptions!$C$5,G635)),Assumptions!$D$5,IF(ISNUMBER(SEARCH(Assumptions!$C$6,G635)),Assumptions!$D$6,IF(ISNUMBER(SEARCH(Assumptions!$C$7,G635)),Assumptions!$D$7,"Other Services"))),"Other Services"))</f>
        <v/>
      </c>
    </row>
    <row r="636" customFormat="false" ht="15" hidden="false" customHeight="false" outlineLevel="0" collapsed="false">
      <c r="F636" s="41" t="str">
        <f aca="false">IF(E636="","",IFERROR(VLOOKUP(E636,Assumptions!$G$5:$H$16,2,0),"Other"))</f>
        <v/>
      </c>
      <c r="J636" s="41" t="str">
        <f aca="false">IF(G636="","",IFERROR(IF(ISNUMBER(SEARCH(Assumptions!$C$5,G636)),Assumptions!$D$5,IF(ISNUMBER(SEARCH(Assumptions!$C$6,G636)),Assumptions!$D$6,IF(ISNUMBER(SEARCH(Assumptions!$C$7,G636)),Assumptions!$D$7,"Other Services"))),"Other Services"))</f>
        <v/>
      </c>
    </row>
    <row r="637" customFormat="false" ht="15" hidden="false" customHeight="false" outlineLevel="0" collapsed="false">
      <c r="F637" s="41" t="str">
        <f aca="false">IF(E637="","",IFERROR(VLOOKUP(E637,Assumptions!$G$5:$H$16,2,0),"Other"))</f>
        <v/>
      </c>
      <c r="J637" s="41" t="str">
        <f aca="false">IF(G637="","",IFERROR(IF(ISNUMBER(SEARCH(Assumptions!$C$5,G637)),Assumptions!$D$5,IF(ISNUMBER(SEARCH(Assumptions!$C$6,G637)),Assumptions!$D$6,IF(ISNUMBER(SEARCH(Assumptions!$C$7,G637)),Assumptions!$D$7,"Other Services"))),"Other Services"))</f>
        <v/>
      </c>
    </row>
    <row r="638" customFormat="false" ht="15" hidden="false" customHeight="false" outlineLevel="0" collapsed="false">
      <c r="F638" s="41" t="str">
        <f aca="false">IF(E638="","",IFERROR(VLOOKUP(E638,Assumptions!$G$5:$H$16,2,0),"Other"))</f>
        <v/>
      </c>
      <c r="J638" s="41" t="str">
        <f aca="false">IF(G638="","",IFERROR(IF(ISNUMBER(SEARCH(Assumptions!$C$5,G638)),Assumptions!$D$5,IF(ISNUMBER(SEARCH(Assumptions!$C$6,G638)),Assumptions!$D$6,IF(ISNUMBER(SEARCH(Assumptions!$C$7,G638)),Assumptions!$D$7,"Other Services"))),"Other Services"))</f>
        <v/>
      </c>
    </row>
    <row r="639" customFormat="false" ht="15" hidden="false" customHeight="false" outlineLevel="0" collapsed="false">
      <c r="F639" s="41" t="str">
        <f aca="false">IF(E639="","",IFERROR(VLOOKUP(E639,Assumptions!$G$5:$H$16,2,0),"Other"))</f>
        <v/>
      </c>
      <c r="J639" s="41" t="str">
        <f aca="false">IF(G639="","",IFERROR(IF(ISNUMBER(SEARCH(Assumptions!$C$5,G639)),Assumptions!$D$5,IF(ISNUMBER(SEARCH(Assumptions!$C$6,G639)),Assumptions!$D$6,IF(ISNUMBER(SEARCH(Assumptions!$C$7,G639)),Assumptions!$D$7,"Other Services"))),"Other Services"))</f>
        <v/>
      </c>
    </row>
    <row r="640" customFormat="false" ht="15" hidden="false" customHeight="false" outlineLevel="0" collapsed="false">
      <c r="F640" s="41" t="str">
        <f aca="false">IF(E640="","",IFERROR(VLOOKUP(E640,Assumptions!$G$5:$H$16,2,0),"Other"))</f>
        <v/>
      </c>
      <c r="J640" s="41" t="str">
        <f aca="false">IF(G640="","",IFERROR(IF(ISNUMBER(SEARCH(Assumptions!$C$5,G640)),Assumptions!$D$5,IF(ISNUMBER(SEARCH(Assumptions!$C$6,G640)),Assumptions!$D$6,IF(ISNUMBER(SEARCH(Assumptions!$C$7,G640)),Assumptions!$D$7,"Other Services"))),"Other Services"))</f>
        <v/>
      </c>
    </row>
    <row r="641" customFormat="false" ht="15" hidden="false" customHeight="false" outlineLevel="0" collapsed="false">
      <c r="F641" s="41" t="str">
        <f aca="false">IF(E641="","",IFERROR(VLOOKUP(E641,Assumptions!$G$5:$H$16,2,0),"Other"))</f>
        <v/>
      </c>
      <c r="J641" s="41" t="str">
        <f aca="false">IF(G641="","",IFERROR(IF(ISNUMBER(SEARCH(Assumptions!$C$5,G641)),Assumptions!$D$5,IF(ISNUMBER(SEARCH(Assumptions!$C$6,G641)),Assumptions!$D$6,IF(ISNUMBER(SEARCH(Assumptions!$C$7,G641)),Assumptions!$D$7,"Other Services"))),"Other Services"))</f>
        <v/>
      </c>
    </row>
    <row r="642" customFormat="false" ht="15" hidden="false" customHeight="false" outlineLevel="0" collapsed="false">
      <c r="F642" s="41" t="str">
        <f aca="false">IF(E642="","",IFERROR(VLOOKUP(E642,Assumptions!$G$5:$H$16,2,0),"Other"))</f>
        <v/>
      </c>
      <c r="J642" s="41" t="str">
        <f aca="false">IF(G642="","",IFERROR(IF(ISNUMBER(SEARCH(Assumptions!$C$5,G642)),Assumptions!$D$5,IF(ISNUMBER(SEARCH(Assumptions!$C$6,G642)),Assumptions!$D$6,IF(ISNUMBER(SEARCH(Assumptions!$C$7,G642)),Assumptions!$D$7,"Other Services"))),"Other Services"))</f>
        <v/>
      </c>
    </row>
    <row r="643" customFormat="false" ht="15" hidden="false" customHeight="false" outlineLevel="0" collapsed="false">
      <c r="F643" s="41" t="str">
        <f aca="false">IF(E643="","",IFERROR(VLOOKUP(E643,Assumptions!$G$5:$H$16,2,0),"Other"))</f>
        <v/>
      </c>
      <c r="J643" s="41" t="str">
        <f aca="false">IF(G643="","",IFERROR(IF(ISNUMBER(SEARCH(Assumptions!$C$5,G643)),Assumptions!$D$5,IF(ISNUMBER(SEARCH(Assumptions!$C$6,G643)),Assumptions!$D$6,IF(ISNUMBER(SEARCH(Assumptions!$C$7,G643)),Assumptions!$D$7,"Other Services"))),"Other Services"))</f>
        <v/>
      </c>
    </row>
    <row r="644" customFormat="false" ht="15" hidden="false" customHeight="false" outlineLevel="0" collapsed="false">
      <c r="F644" s="41" t="str">
        <f aca="false">IF(E644="","",IFERROR(VLOOKUP(E644,Assumptions!$G$5:$H$16,2,0),"Other"))</f>
        <v/>
      </c>
      <c r="J644" s="41" t="str">
        <f aca="false">IF(G644="","",IFERROR(IF(ISNUMBER(SEARCH(Assumptions!$C$5,G644)),Assumptions!$D$5,IF(ISNUMBER(SEARCH(Assumptions!$C$6,G644)),Assumptions!$D$6,IF(ISNUMBER(SEARCH(Assumptions!$C$7,G644)),Assumptions!$D$7,"Other Services"))),"Other Services"))</f>
        <v/>
      </c>
    </row>
    <row r="645" customFormat="false" ht="15" hidden="false" customHeight="false" outlineLevel="0" collapsed="false">
      <c r="F645" s="41" t="str">
        <f aca="false">IF(E645="","",IFERROR(VLOOKUP(E645,Assumptions!$G$5:$H$16,2,0),"Other"))</f>
        <v/>
      </c>
      <c r="J645" s="41" t="str">
        <f aca="false">IF(G645="","",IFERROR(IF(ISNUMBER(SEARCH(Assumptions!$C$5,G645)),Assumptions!$D$5,IF(ISNUMBER(SEARCH(Assumptions!$C$6,G645)),Assumptions!$D$6,IF(ISNUMBER(SEARCH(Assumptions!$C$7,G645)),Assumptions!$D$7,"Other Services"))),"Other Services"))</f>
        <v/>
      </c>
    </row>
    <row r="646" customFormat="false" ht="15" hidden="false" customHeight="false" outlineLevel="0" collapsed="false">
      <c r="F646" s="41" t="str">
        <f aca="false">IF(E646="","",IFERROR(VLOOKUP(E646,Assumptions!$G$5:$H$16,2,0),"Other"))</f>
        <v/>
      </c>
      <c r="J646" s="41" t="str">
        <f aca="false">IF(G646="","",IFERROR(IF(ISNUMBER(SEARCH(Assumptions!$C$5,G646)),Assumptions!$D$5,IF(ISNUMBER(SEARCH(Assumptions!$C$6,G646)),Assumptions!$D$6,IF(ISNUMBER(SEARCH(Assumptions!$C$7,G646)),Assumptions!$D$7,"Other Services"))),"Other Services"))</f>
        <v/>
      </c>
    </row>
    <row r="647" customFormat="false" ht="15" hidden="false" customHeight="false" outlineLevel="0" collapsed="false">
      <c r="F647" s="41" t="str">
        <f aca="false">IF(E647="","",IFERROR(VLOOKUP(E647,Assumptions!$G$5:$H$16,2,0),"Other"))</f>
        <v/>
      </c>
      <c r="J647" s="41" t="str">
        <f aca="false">IF(G647="","",IFERROR(IF(ISNUMBER(SEARCH(Assumptions!$C$5,G647)),Assumptions!$D$5,IF(ISNUMBER(SEARCH(Assumptions!$C$6,G647)),Assumptions!$D$6,IF(ISNUMBER(SEARCH(Assumptions!$C$7,G647)),Assumptions!$D$7,"Other Services"))),"Other Services"))</f>
        <v/>
      </c>
    </row>
    <row r="648" customFormat="false" ht="15" hidden="false" customHeight="false" outlineLevel="0" collapsed="false">
      <c r="F648" s="41" t="str">
        <f aca="false">IF(E648="","",IFERROR(VLOOKUP(E648,Assumptions!$G$5:$H$16,2,0),"Other"))</f>
        <v/>
      </c>
      <c r="J648" s="41" t="str">
        <f aca="false">IF(G648="","",IFERROR(IF(ISNUMBER(SEARCH(Assumptions!$C$5,G648)),Assumptions!$D$5,IF(ISNUMBER(SEARCH(Assumptions!$C$6,G648)),Assumptions!$D$6,IF(ISNUMBER(SEARCH(Assumptions!$C$7,G648)),Assumptions!$D$7,"Other Services"))),"Other Services"))</f>
        <v/>
      </c>
    </row>
    <row r="649" customFormat="false" ht="15" hidden="false" customHeight="false" outlineLevel="0" collapsed="false">
      <c r="F649" s="41" t="str">
        <f aca="false">IF(E649="","",IFERROR(VLOOKUP(E649,Assumptions!$G$5:$H$16,2,0),"Other"))</f>
        <v/>
      </c>
      <c r="J649" s="41" t="str">
        <f aca="false">IF(G649="","",IFERROR(IF(ISNUMBER(SEARCH(Assumptions!$C$5,G649)),Assumptions!$D$5,IF(ISNUMBER(SEARCH(Assumptions!$C$6,G649)),Assumptions!$D$6,IF(ISNUMBER(SEARCH(Assumptions!$C$7,G649)),Assumptions!$D$7,"Other Services"))),"Other Services"))</f>
        <v/>
      </c>
    </row>
    <row r="650" customFormat="false" ht="15" hidden="false" customHeight="false" outlineLevel="0" collapsed="false">
      <c r="F650" s="41" t="str">
        <f aca="false">IF(E650="","",IFERROR(VLOOKUP(E650,Assumptions!$G$5:$H$16,2,0),"Other"))</f>
        <v/>
      </c>
      <c r="J650" s="41" t="str">
        <f aca="false">IF(G650="","",IFERROR(IF(ISNUMBER(SEARCH(Assumptions!$C$5,G650)),Assumptions!$D$5,IF(ISNUMBER(SEARCH(Assumptions!$C$6,G650)),Assumptions!$D$6,IF(ISNUMBER(SEARCH(Assumptions!$C$7,G650)),Assumptions!$D$7,"Other Services"))),"Other Services"))</f>
        <v/>
      </c>
    </row>
    <row r="651" customFormat="false" ht="15" hidden="false" customHeight="false" outlineLevel="0" collapsed="false">
      <c r="F651" s="41" t="str">
        <f aca="false">IF(E651="","",IFERROR(VLOOKUP(E651,Assumptions!$G$5:$H$16,2,0),"Other"))</f>
        <v/>
      </c>
      <c r="J651" s="41" t="str">
        <f aca="false">IF(G651="","",IFERROR(IF(ISNUMBER(SEARCH(Assumptions!$C$5,G651)),Assumptions!$D$5,IF(ISNUMBER(SEARCH(Assumptions!$C$6,G651)),Assumptions!$D$6,IF(ISNUMBER(SEARCH(Assumptions!$C$7,G651)),Assumptions!$D$7,"Other Services"))),"Other Services"))</f>
        <v/>
      </c>
    </row>
    <row r="652" customFormat="false" ht="15" hidden="false" customHeight="false" outlineLevel="0" collapsed="false">
      <c r="F652" s="41" t="str">
        <f aca="false">IF(E652="","",IFERROR(VLOOKUP(E652,Assumptions!$G$5:$H$16,2,0),"Other"))</f>
        <v/>
      </c>
      <c r="J652" s="41" t="str">
        <f aca="false">IF(G652="","",IFERROR(IF(ISNUMBER(SEARCH(Assumptions!$C$5,G652)),Assumptions!$D$5,IF(ISNUMBER(SEARCH(Assumptions!$C$6,G652)),Assumptions!$D$6,IF(ISNUMBER(SEARCH(Assumptions!$C$7,G652)),Assumptions!$D$7,"Other Services"))),"Other Services"))</f>
        <v/>
      </c>
    </row>
    <row r="653" customFormat="false" ht="15" hidden="false" customHeight="false" outlineLevel="0" collapsed="false">
      <c r="F653" s="41" t="str">
        <f aca="false">IF(E653="","",IFERROR(VLOOKUP(E653,Assumptions!$G$5:$H$16,2,0),"Other"))</f>
        <v/>
      </c>
      <c r="J653" s="41" t="str">
        <f aca="false">IF(G653="","",IFERROR(IF(ISNUMBER(SEARCH(Assumptions!$C$5,G653)),Assumptions!$D$5,IF(ISNUMBER(SEARCH(Assumptions!$C$6,G653)),Assumptions!$D$6,IF(ISNUMBER(SEARCH(Assumptions!$C$7,G653)),Assumptions!$D$7,"Other Services"))),"Other Services"))</f>
        <v/>
      </c>
    </row>
    <row r="654" customFormat="false" ht="15" hidden="false" customHeight="false" outlineLevel="0" collapsed="false">
      <c r="F654" s="41" t="str">
        <f aca="false">IF(E654="","",IFERROR(VLOOKUP(E654,Assumptions!$G$5:$H$16,2,0),"Other"))</f>
        <v/>
      </c>
      <c r="J654" s="41" t="str">
        <f aca="false">IF(G654="","",IFERROR(IF(ISNUMBER(SEARCH(Assumptions!$C$5,G654)),Assumptions!$D$5,IF(ISNUMBER(SEARCH(Assumptions!$C$6,G654)),Assumptions!$D$6,IF(ISNUMBER(SEARCH(Assumptions!$C$7,G654)),Assumptions!$D$7,"Other Services"))),"Other Services"))</f>
        <v/>
      </c>
    </row>
    <row r="655" customFormat="false" ht="15" hidden="false" customHeight="false" outlineLevel="0" collapsed="false">
      <c r="F655" s="41" t="str">
        <f aca="false">IF(E655="","",IFERROR(VLOOKUP(E655,Assumptions!$G$5:$H$16,2,0),"Other"))</f>
        <v/>
      </c>
      <c r="J655" s="41" t="str">
        <f aca="false">IF(G655="","",IFERROR(IF(ISNUMBER(SEARCH(Assumptions!$C$5,G655)),Assumptions!$D$5,IF(ISNUMBER(SEARCH(Assumptions!$C$6,G655)),Assumptions!$D$6,IF(ISNUMBER(SEARCH(Assumptions!$C$7,G655)),Assumptions!$D$7,"Other Services"))),"Other Services"))</f>
        <v/>
      </c>
    </row>
    <row r="656" customFormat="false" ht="15" hidden="false" customHeight="false" outlineLevel="0" collapsed="false">
      <c r="F656" s="41" t="str">
        <f aca="false">IF(E656="","",IFERROR(VLOOKUP(E656,Assumptions!$G$5:$H$16,2,0),"Other"))</f>
        <v/>
      </c>
      <c r="J656" s="41" t="str">
        <f aca="false">IF(G656="","",IFERROR(IF(ISNUMBER(SEARCH(Assumptions!$C$5,G656)),Assumptions!$D$5,IF(ISNUMBER(SEARCH(Assumptions!$C$6,G656)),Assumptions!$D$6,IF(ISNUMBER(SEARCH(Assumptions!$C$7,G656)),Assumptions!$D$7,"Other Services"))),"Other Services"))</f>
        <v/>
      </c>
    </row>
    <row r="657" customFormat="false" ht="15" hidden="false" customHeight="false" outlineLevel="0" collapsed="false">
      <c r="F657" s="41" t="str">
        <f aca="false">IF(E657="","",IFERROR(VLOOKUP(E657,Assumptions!$G$5:$H$16,2,0),"Other"))</f>
        <v/>
      </c>
      <c r="J657" s="41" t="str">
        <f aca="false">IF(G657="","",IFERROR(IF(ISNUMBER(SEARCH(Assumptions!$C$5,G657)),Assumptions!$D$5,IF(ISNUMBER(SEARCH(Assumptions!$C$6,G657)),Assumptions!$D$6,IF(ISNUMBER(SEARCH(Assumptions!$C$7,G657)),Assumptions!$D$7,"Other Services"))),"Other Services"))</f>
        <v/>
      </c>
    </row>
    <row r="658" customFormat="false" ht="15" hidden="false" customHeight="false" outlineLevel="0" collapsed="false">
      <c r="F658" s="41" t="str">
        <f aca="false">IF(E658="","",IFERROR(VLOOKUP(E658,Assumptions!$G$5:$H$16,2,0),"Other"))</f>
        <v/>
      </c>
      <c r="J658" s="41" t="str">
        <f aca="false">IF(G658="","",IFERROR(IF(ISNUMBER(SEARCH(Assumptions!$C$5,G658)),Assumptions!$D$5,IF(ISNUMBER(SEARCH(Assumptions!$C$6,G658)),Assumptions!$D$6,IF(ISNUMBER(SEARCH(Assumptions!$C$7,G658)),Assumptions!$D$7,"Other Services"))),"Other Services"))</f>
        <v/>
      </c>
    </row>
    <row r="659" customFormat="false" ht="15" hidden="false" customHeight="false" outlineLevel="0" collapsed="false">
      <c r="F659" s="41" t="str">
        <f aca="false">IF(E659="","",IFERROR(VLOOKUP(E659,Assumptions!$G$5:$H$16,2,0),"Other"))</f>
        <v/>
      </c>
      <c r="J659" s="41" t="str">
        <f aca="false">IF(G659="","",IFERROR(IF(ISNUMBER(SEARCH(Assumptions!$C$5,G659)),Assumptions!$D$5,IF(ISNUMBER(SEARCH(Assumptions!$C$6,G659)),Assumptions!$D$6,IF(ISNUMBER(SEARCH(Assumptions!$C$7,G659)),Assumptions!$D$7,"Other Services"))),"Other Services"))</f>
        <v/>
      </c>
    </row>
    <row r="660" customFormat="false" ht="15" hidden="false" customHeight="false" outlineLevel="0" collapsed="false">
      <c r="F660" s="41" t="str">
        <f aca="false">IF(E660="","",IFERROR(VLOOKUP(E660,Assumptions!$G$5:$H$16,2,0),"Other"))</f>
        <v/>
      </c>
      <c r="J660" s="41" t="str">
        <f aca="false">IF(G660="","",IFERROR(IF(ISNUMBER(SEARCH(Assumptions!$C$5,G660)),Assumptions!$D$5,IF(ISNUMBER(SEARCH(Assumptions!$C$6,G660)),Assumptions!$D$6,IF(ISNUMBER(SEARCH(Assumptions!$C$7,G660)),Assumptions!$D$7,"Other Services"))),"Other Services"))</f>
        <v/>
      </c>
    </row>
    <row r="661" customFormat="false" ht="15" hidden="false" customHeight="false" outlineLevel="0" collapsed="false">
      <c r="F661" s="41" t="str">
        <f aca="false">IF(E661="","",IFERROR(VLOOKUP(E661,Assumptions!$G$5:$H$16,2,0),"Other"))</f>
        <v/>
      </c>
      <c r="J661" s="41" t="str">
        <f aca="false">IF(G661="","",IFERROR(IF(ISNUMBER(SEARCH(Assumptions!$C$5,G661)),Assumptions!$D$5,IF(ISNUMBER(SEARCH(Assumptions!$C$6,G661)),Assumptions!$D$6,IF(ISNUMBER(SEARCH(Assumptions!$C$7,G661)),Assumptions!$D$7,"Other Services"))),"Other Services"))</f>
        <v/>
      </c>
    </row>
    <row r="662" customFormat="false" ht="15" hidden="false" customHeight="false" outlineLevel="0" collapsed="false">
      <c r="F662" s="41" t="str">
        <f aca="false">IF(E662="","",IFERROR(VLOOKUP(E662,Assumptions!$G$5:$H$16,2,0),"Other"))</f>
        <v/>
      </c>
      <c r="J662" s="41" t="str">
        <f aca="false">IF(G662="","",IFERROR(IF(ISNUMBER(SEARCH(Assumptions!$C$5,G662)),Assumptions!$D$5,IF(ISNUMBER(SEARCH(Assumptions!$C$6,G662)),Assumptions!$D$6,IF(ISNUMBER(SEARCH(Assumptions!$C$7,G662)),Assumptions!$D$7,"Other Services"))),"Other Services"))</f>
        <v/>
      </c>
    </row>
    <row r="663" customFormat="false" ht="15" hidden="false" customHeight="false" outlineLevel="0" collapsed="false">
      <c r="F663" s="41" t="str">
        <f aca="false">IF(E663="","",IFERROR(VLOOKUP(E663,Assumptions!$G$5:$H$16,2,0),"Other"))</f>
        <v/>
      </c>
      <c r="J663" s="41" t="str">
        <f aca="false">IF(G663="","",IFERROR(IF(ISNUMBER(SEARCH(Assumptions!$C$5,G663)),Assumptions!$D$5,IF(ISNUMBER(SEARCH(Assumptions!$C$6,G663)),Assumptions!$D$6,IF(ISNUMBER(SEARCH(Assumptions!$C$7,G663)),Assumptions!$D$7,"Other Services"))),"Other Services"))</f>
        <v/>
      </c>
    </row>
    <row r="664" customFormat="false" ht="15" hidden="false" customHeight="false" outlineLevel="0" collapsed="false">
      <c r="F664" s="41" t="str">
        <f aca="false">IF(E664="","",IFERROR(VLOOKUP(E664,Assumptions!$G$5:$H$16,2,0),"Other"))</f>
        <v/>
      </c>
      <c r="J664" s="41" t="str">
        <f aca="false">IF(G664="","",IFERROR(IF(ISNUMBER(SEARCH(Assumptions!$C$5,G664)),Assumptions!$D$5,IF(ISNUMBER(SEARCH(Assumptions!$C$6,G664)),Assumptions!$D$6,IF(ISNUMBER(SEARCH(Assumptions!$C$7,G664)),Assumptions!$D$7,"Other Services"))),"Other Services"))</f>
        <v/>
      </c>
    </row>
    <row r="665" customFormat="false" ht="15" hidden="false" customHeight="false" outlineLevel="0" collapsed="false">
      <c r="F665" s="41" t="str">
        <f aca="false">IF(E665="","",IFERROR(VLOOKUP(E665,Assumptions!$G$5:$H$16,2,0),"Other"))</f>
        <v/>
      </c>
      <c r="J665" s="41" t="str">
        <f aca="false">IF(G665="","",IFERROR(IF(ISNUMBER(SEARCH(Assumptions!$C$5,G665)),Assumptions!$D$5,IF(ISNUMBER(SEARCH(Assumptions!$C$6,G665)),Assumptions!$D$6,IF(ISNUMBER(SEARCH(Assumptions!$C$7,G665)),Assumptions!$D$7,"Other Services"))),"Other Services"))</f>
        <v/>
      </c>
    </row>
    <row r="666" customFormat="false" ht="15" hidden="false" customHeight="false" outlineLevel="0" collapsed="false">
      <c r="F666" s="41" t="str">
        <f aca="false">IF(E666="","",IFERROR(VLOOKUP(E666,Assumptions!$G$5:$H$16,2,0),"Other"))</f>
        <v/>
      </c>
      <c r="J666" s="41" t="str">
        <f aca="false">IF(G666="","",IFERROR(IF(ISNUMBER(SEARCH(Assumptions!$C$5,G666)),Assumptions!$D$5,IF(ISNUMBER(SEARCH(Assumptions!$C$6,G666)),Assumptions!$D$6,IF(ISNUMBER(SEARCH(Assumptions!$C$7,G666)),Assumptions!$D$7,"Other Services"))),"Other Services"))</f>
        <v/>
      </c>
    </row>
    <row r="667" customFormat="false" ht="15" hidden="false" customHeight="false" outlineLevel="0" collapsed="false">
      <c r="F667" s="41" t="str">
        <f aca="false">IF(E667="","",IFERROR(VLOOKUP(E667,Assumptions!$G$5:$H$16,2,0),"Other"))</f>
        <v/>
      </c>
      <c r="J667" s="41" t="str">
        <f aca="false">IF(G667="","",IFERROR(IF(ISNUMBER(SEARCH(Assumptions!$C$5,G667)),Assumptions!$D$5,IF(ISNUMBER(SEARCH(Assumptions!$C$6,G667)),Assumptions!$D$6,IF(ISNUMBER(SEARCH(Assumptions!$C$7,G667)),Assumptions!$D$7,"Other Services"))),"Other Services"))</f>
        <v/>
      </c>
    </row>
    <row r="668" customFormat="false" ht="15" hidden="false" customHeight="false" outlineLevel="0" collapsed="false">
      <c r="F668" s="41" t="str">
        <f aca="false">IF(E668="","",IFERROR(VLOOKUP(E668,Assumptions!$G$5:$H$16,2,0),"Other"))</f>
        <v/>
      </c>
      <c r="J668" s="41" t="str">
        <f aca="false">IF(G668="","",IFERROR(IF(ISNUMBER(SEARCH(Assumptions!$C$5,G668)),Assumptions!$D$5,IF(ISNUMBER(SEARCH(Assumptions!$C$6,G668)),Assumptions!$D$6,IF(ISNUMBER(SEARCH(Assumptions!$C$7,G668)),Assumptions!$D$7,"Other Services"))),"Other Services"))</f>
        <v/>
      </c>
    </row>
    <row r="669" customFormat="false" ht="15" hidden="false" customHeight="false" outlineLevel="0" collapsed="false">
      <c r="F669" s="41" t="str">
        <f aca="false">IF(E669="","",IFERROR(VLOOKUP(E669,Assumptions!$G$5:$H$16,2,0),"Other"))</f>
        <v/>
      </c>
      <c r="J669" s="41" t="str">
        <f aca="false">IF(G669="","",IFERROR(IF(ISNUMBER(SEARCH(Assumptions!$C$5,G669)),Assumptions!$D$5,IF(ISNUMBER(SEARCH(Assumptions!$C$6,G669)),Assumptions!$D$6,IF(ISNUMBER(SEARCH(Assumptions!$C$7,G669)),Assumptions!$D$7,"Other Services"))),"Other Services"))</f>
        <v/>
      </c>
    </row>
    <row r="670" customFormat="false" ht="15" hidden="false" customHeight="false" outlineLevel="0" collapsed="false">
      <c r="F670" s="41" t="str">
        <f aca="false">IF(E670="","",IFERROR(VLOOKUP(E670,Assumptions!$G$5:$H$16,2,0),"Other"))</f>
        <v/>
      </c>
      <c r="J670" s="41" t="str">
        <f aca="false">IF(G670="","",IFERROR(IF(ISNUMBER(SEARCH(Assumptions!$C$5,G670)),Assumptions!$D$5,IF(ISNUMBER(SEARCH(Assumptions!$C$6,G670)),Assumptions!$D$6,IF(ISNUMBER(SEARCH(Assumptions!$C$7,G670)),Assumptions!$D$7,"Other Services"))),"Other Services"))</f>
        <v/>
      </c>
    </row>
    <row r="671" customFormat="false" ht="15" hidden="false" customHeight="false" outlineLevel="0" collapsed="false">
      <c r="F671" s="41" t="str">
        <f aca="false">IF(E671="","",IFERROR(VLOOKUP(E671,Assumptions!$G$5:$H$16,2,0),"Other"))</f>
        <v/>
      </c>
      <c r="J671" s="41" t="str">
        <f aca="false">IF(G671="","",IFERROR(IF(ISNUMBER(SEARCH(Assumptions!$C$5,G671)),Assumptions!$D$5,IF(ISNUMBER(SEARCH(Assumptions!$C$6,G671)),Assumptions!$D$6,IF(ISNUMBER(SEARCH(Assumptions!$C$7,G671)),Assumptions!$D$7,"Other Services"))),"Other Services"))</f>
        <v/>
      </c>
    </row>
    <row r="672" customFormat="false" ht="15" hidden="false" customHeight="false" outlineLevel="0" collapsed="false">
      <c r="F672" s="41" t="str">
        <f aca="false">IF(E672="","",IFERROR(VLOOKUP(E672,Assumptions!$G$5:$H$16,2,0),"Other"))</f>
        <v/>
      </c>
      <c r="J672" s="41" t="str">
        <f aca="false">IF(G672="","",IFERROR(IF(ISNUMBER(SEARCH(Assumptions!$C$5,G672)),Assumptions!$D$5,IF(ISNUMBER(SEARCH(Assumptions!$C$6,G672)),Assumptions!$D$6,IF(ISNUMBER(SEARCH(Assumptions!$C$7,G672)),Assumptions!$D$7,"Other Services"))),"Other Services"))</f>
        <v/>
      </c>
    </row>
    <row r="673" customFormat="false" ht="15" hidden="false" customHeight="false" outlineLevel="0" collapsed="false">
      <c r="F673" s="41" t="str">
        <f aca="false">IF(E673="","",IFERROR(VLOOKUP(E673,Assumptions!$G$5:$H$16,2,0),"Other"))</f>
        <v/>
      </c>
      <c r="J673" s="41" t="str">
        <f aca="false">IF(G673="","",IFERROR(IF(ISNUMBER(SEARCH(Assumptions!$C$5,G673)),Assumptions!$D$5,IF(ISNUMBER(SEARCH(Assumptions!$C$6,G673)),Assumptions!$D$6,IF(ISNUMBER(SEARCH(Assumptions!$C$7,G673)),Assumptions!$D$7,"Other Services"))),"Other Services"))</f>
        <v/>
      </c>
    </row>
    <row r="674" customFormat="false" ht="15" hidden="false" customHeight="false" outlineLevel="0" collapsed="false">
      <c r="F674" s="41" t="str">
        <f aca="false">IF(E674="","",IFERROR(VLOOKUP(E674,Assumptions!$G$5:$H$16,2,0),"Other"))</f>
        <v/>
      </c>
      <c r="J674" s="41" t="str">
        <f aca="false">IF(G674="","",IFERROR(IF(ISNUMBER(SEARCH(Assumptions!$C$5,G674)),Assumptions!$D$5,IF(ISNUMBER(SEARCH(Assumptions!$C$6,G674)),Assumptions!$D$6,IF(ISNUMBER(SEARCH(Assumptions!$C$7,G674)),Assumptions!$D$7,"Other Services"))),"Other Services"))</f>
        <v/>
      </c>
    </row>
    <row r="675" customFormat="false" ht="15" hidden="false" customHeight="false" outlineLevel="0" collapsed="false">
      <c r="F675" s="41" t="str">
        <f aca="false">IF(E675="","",IFERROR(VLOOKUP(E675,Assumptions!$G$5:$H$16,2,0),"Other"))</f>
        <v/>
      </c>
      <c r="J675" s="41" t="str">
        <f aca="false">IF(G675="","",IFERROR(IF(ISNUMBER(SEARCH(Assumptions!$C$5,G675)),Assumptions!$D$5,IF(ISNUMBER(SEARCH(Assumptions!$C$6,G675)),Assumptions!$D$6,IF(ISNUMBER(SEARCH(Assumptions!$C$7,G675)),Assumptions!$D$7,"Other Services"))),"Other Services"))</f>
        <v/>
      </c>
    </row>
    <row r="676" customFormat="false" ht="15" hidden="false" customHeight="false" outlineLevel="0" collapsed="false">
      <c r="F676" s="41" t="str">
        <f aca="false">IF(E676="","",IFERROR(VLOOKUP(E676,Assumptions!$G$5:$H$16,2,0),"Other"))</f>
        <v/>
      </c>
      <c r="J676" s="41" t="str">
        <f aca="false">IF(G676="","",IFERROR(IF(ISNUMBER(SEARCH(Assumptions!$C$5,G676)),Assumptions!$D$5,IF(ISNUMBER(SEARCH(Assumptions!$C$6,G676)),Assumptions!$D$6,IF(ISNUMBER(SEARCH(Assumptions!$C$7,G676)),Assumptions!$D$7,"Other Services"))),"Other Services"))</f>
        <v/>
      </c>
    </row>
    <row r="677" customFormat="false" ht="15" hidden="false" customHeight="false" outlineLevel="0" collapsed="false">
      <c r="F677" s="41" t="str">
        <f aca="false">IF(E677="","",IFERROR(VLOOKUP(E677,Assumptions!$G$5:$H$16,2,0),"Other"))</f>
        <v/>
      </c>
      <c r="J677" s="41" t="str">
        <f aca="false">IF(G677="","",IFERROR(IF(ISNUMBER(SEARCH(Assumptions!$C$5,G677)),Assumptions!$D$5,IF(ISNUMBER(SEARCH(Assumptions!$C$6,G677)),Assumptions!$D$6,IF(ISNUMBER(SEARCH(Assumptions!$C$7,G677)),Assumptions!$D$7,"Other Services"))),"Other Services"))</f>
        <v/>
      </c>
    </row>
    <row r="678" customFormat="false" ht="15" hidden="false" customHeight="false" outlineLevel="0" collapsed="false">
      <c r="F678" s="41" t="str">
        <f aca="false">IF(E678="","",IFERROR(VLOOKUP(E678,Assumptions!$G$5:$H$16,2,0),"Other"))</f>
        <v/>
      </c>
      <c r="J678" s="41" t="str">
        <f aca="false">IF(G678="","",IFERROR(IF(ISNUMBER(SEARCH(Assumptions!$C$5,G678)),Assumptions!$D$5,IF(ISNUMBER(SEARCH(Assumptions!$C$6,G678)),Assumptions!$D$6,IF(ISNUMBER(SEARCH(Assumptions!$C$7,G678)),Assumptions!$D$7,"Other Services"))),"Other Services"))</f>
        <v/>
      </c>
    </row>
    <row r="679" customFormat="false" ht="15" hidden="false" customHeight="false" outlineLevel="0" collapsed="false">
      <c r="F679" s="41" t="str">
        <f aca="false">IF(E679="","",IFERROR(VLOOKUP(E679,Assumptions!$G$5:$H$16,2,0),"Other"))</f>
        <v/>
      </c>
      <c r="J679" s="41" t="str">
        <f aca="false">IF(G679="","",IFERROR(IF(ISNUMBER(SEARCH(Assumptions!$C$5,G679)),Assumptions!$D$5,IF(ISNUMBER(SEARCH(Assumptions!$C$6,G679)),Assumptions!$D$6,IF(ISNUMBER(SEARCH(Assumptions!$C$7,G679)),Assumptions!$D$7,"Other Services"))),"Other Services"))</f>
        <v/>
      </c>
    </row>
    <row r="680" customFormat="false" ht="15" hidden="false" customHeight="false" outlineLevel="0" collapsed="false">
      <c r="F680" s="41" t="str">
        <f aca="false">IF(E680="","",IFERROR(VLOOKUP(E680,Assumptions!$G$5:$H$16,2,0),"Other"))</f>
        <v/>
      </c>
      <c r="J680" s="41" t="str">
        <f aca="false">IF(G680="","",IFERROR(IF(ISNUMBER(SEARCH(Assumptions!$C$5,G680)),Assumptions!$D$5,IF(ISNUMBER(SEARCH(Assumptions!$C$6,G680)),Assumptions!$D$6,IF(ISNUMBER(SEARCH(Assumptions!$C$7,G680)),Assumptions!$D$7,"Other Services"))),"Other Services"))</f>
        <v/>
      </c>
    </row>
    <row r="681" customFormat="false" ht="15" hidden="false" customHeight="false" outlineLevel="0" collapsed="false">
      <c r="F681" s="41" t="str">
        <f aca="false">IF(E681="","",IFERROR(VLOOKUP(E681,Assumptions!$G$5:$H$16,2,0),"Other"))</f>
        <v/>
      </c>
      <c r="J681" s="41" t="str">
        <f aca="false">IF(G681="","",IFERROR(IF(ISNUMBER(SEARCH(Assumptions!$C$5,G681)),Assumptions!$D$5,IF(ISNUMBER(SEARCH(Assumptions!$C$6,G681)),Assumptions!$D$6,IF(ISNUMBER(SEARCH(Assumptions!$C$7,G681)),Assumptions!$D$7,"Other Services"))),"Other Services"))</f>
        <v/>
      </c>
    </row>
    <row r="682" customFormat="false" ht="15" hidden="false" customHeight="false" outlineLevel="0" collapsed="false">
      <c r="F682" s="41" t="str">
        <f aca="false">IF(E682="","",IFERROR(VLOOKUP(E682,Assumptions!$G$5:$H$16,2,0),"Other"))</f>
        <v/>
      </c>
      <c r="J682" s="41" t="str">
        <f aca="false">IF(G682="","",IFERROR(IF(ISNUMBER(SEARCH(Assumptions!$C$5,G682)),Assumptions!$D$5,IF(ISNUMBER(SEARCH(Assumptions!$C$6,G682)),Assumptions!$D$6,IF(ISNUMBER(SEARCH(Assumptions!$C$7,G682)),Assumptions!$D$7,"Other Services"))),"Other Services"))</f>
        <v/>
      </c>
    </row>
    <row r="683" customFormat="false" ht="15" hidden="false" customHeight="false" outlineLevel="0" collapsed="false">
      <c r="F683" s="41" t="str">
        <f aca="false">IF(E683="","",IFERROR(VLOOKUP(E683,Assumptions!$G$5:$H$16,2,0),"Other"))</f>
        <v/>
      </c>
      <c r="J683" s="41" t="str">
        <f aca="false">IF(G683="","",IFERROR(IF(ISNUMBER(SEARCH(Assumptions!$C$5,G683)),Assumptions!$D$5,IF(ISNUMBER(SEARCH(Assumptions!$C$6,G683)),Assumptions!$D$6,IF(ISNUMBER(SEARCH(Assumptions!$C$7,G683)),Assumptions!$D$7,"Other Services"))),"Other Services"))</f>
        <v/>
      </c>
    </row>
    <row r="684" customFormat="false" ht="15" hidden="false" customHeight="false" outlineLevel="0" collapsed="false">
      <c r="F684" s="41" t="str">
        <f aca="false">IF(E684="","",IFERROR(VLOOKUP(E684,Assumptions!$G$5:$H$16,2,0),"Other"))</f>
        <v/>
      </c>
      <c r="J684" s="41" t="str">
        <f aca="false">IF(G684="","",IFERROR(IF(ISNUMBER(SEARCH(Assumptions!$C$5,G684)),Assumptions!$D$5,IF(ISNUMBER(SEARCH(Assumptions!$C$6,G684)),Assumptions!$D$6,IF(ISNUMBER(SEARCH(Assumptions!$C$7,G684)),Assumptions!$D$7,"Other Services"))),"Other Services"))</f>
        <v/>
      </c>
    </row>
    <row r="685" customFormat="false" ht="15" hidden="false" customHeight="false" outlineLevel="0" collapsed="false">
      <c r="F685" s="41" t="str">
        <f aca="false">IF(E685="","",IFERROR(VLOOKUP(E685,Assumptions!$G$5:$H$16,2,0),"Other"))</f>
        <v/>
      </c>
      <c r="J685" s="41" t="str">
        <f aca="false">IF(G685="","",IFERROR(IF(ISNUMBER(SEARCH(Assumptions!$C$5,G685)),Assumptions!$D$5,IF(ISNUMBER(SEARCH(Assumptions!$C$6,G685)),Assumptions!$D$6,IF(ISNUMBER(SEARCH(Assumptions!$C$7,G685)),Assumptions!$D$7,"Other Services"))),"Other Services"))</f>
        <v/>
      </c>
    </row>
    <row r="686" customFormat="false" ht="15" hidden="false" customHeight="false" outlineLevel="0" collapsed="false">
      <c r="F686" s="41" t="str">
        <f aca="false">IF(E686="","",IFERROR(VLOOKUP(E686,Assumptions!$G$5:$H$16,2,0),"Other"))</f>
        <v/>
      </c>
      <c r="J686" s="41" t="str">
        <f aca="false">IF(G686="","",IFERROR(IF(ISNUMBER(SEARCH(Assumptions!$C$5,G686)),Assumptions!$D$5,IF(ISNUMBER(SEARCH(Assumptions!$C$6,G686)),Assumptions!$D$6,IF(ISNUMBER(SEARCH(Assumptions!$C$7,G686)),Assumptions!$D$7,"Other Services"))),"Other Services"))</f>
        <v/>
      </c>
    </row>
    <row r="687" customFormat="false" ht="15" hidden="false" customHeight="false" outlineLevel="0" collapsed="false">
      <c r="F687" s="41" t="str">
        <f aca="false">IF(E687="","",IFERROR(VLOOKUP(E687,Assumptions!$G$5:$H$16,2,0),"Other"))</f>
        <v/>
      </c>
      <c r="J687" s="41" t="str">
        <f aca="false">IF(G687="","",IFERROR(IF(ISNUMBER(SEARCH(Assumptions!$C$5,G687)),Assumptions!$D$5,IF(ISNUMBER(SEARCH(Assumptions!$C$6,G687)),Assumptions!$D$6,IF(ISNUMBER(SEARCH(Assumptions!$C$7,G687)),Assumptions!$D$7,"Other Services"))),"Other Services"))</f>
        <v/>
      </c>
    </row>
    <row r="688" customFormat="false" ht="15" hidden="false" customHeight="false" outlineLevel="0" collapsed="false">
      <c r="F688" s="41" t="str">
        <f aca="false">IF(E688="","",IFERROR(VLOOKUP(E688,Assumptions!$G$5:$H$16,2,0),"Other"))</f>
        <v/>
      </c>
      <c r="J688" s="41" t="str">
        <f aca="false">IF(G688="","",IFERROR(IF(ISNUMBER(SEARCH(Assumptions!$C$5,G688)),Assumptions!$D$5,IF(ISNUMBER(SEARCH(Assumptions!$C$6,G688)),Assumptions!$D$6,IF(ISNUMBER(SEARCH(Assumptions!$C$7,G688)),Assumptions!$D$7,"Other Services"))),"Other Services"))</f>
        <v/>
      </c>
    </row>
    <row r="689" customFormat="false" ht="15" hidden="false" customHeight="false" outlineLevel="0" collapsed="false">
      <c r="F689" s="41" t="str">
        <f aca="false">IF(E689="","",IFERROR(VLOOKUP(E689,Assumptions!$G$5:$H$16,2,0),"Other"))</f>
        <v/>
      </c>
      <c r="J689" s="41" t="str">
        <f aca="false">IF(G689="","",IFERROR(IF(ISNUMBER(SEARCH(Assumptions!$C$5,G689)),Assumptions!$D$5,IF(ISNUMBER(SEARCH(Assumptions!$C$6,G689)),Assumptions!$D$6,IF(ISNUMBER(SEARCH(Assumptions!$C$7,G689)),Assumptions!$D$7,"Other Services"))),"Other Services"))</f>
        <v/>
      </c>
    </row>
    <row r="690" customFormat="false" ht="15" hidden="false" customHeight="false" outlineLevel="0" collapsed="false">
      <c r="F690" s="41" t="str">
        <f aca="false">IF(E690="","",IFERROR(VLOOKUP(E690,Assumptions!$G$5:$H$16,2,0),"Other"))</f>
        <v/>
      </c>
      <c r="J690" s="41" t="str">
        <f aca="false">IF(G690="","",IFERROR(IF(ISNUMBER(SEARCH(Assumptions!$C$5,G690)),Assumptions!$D$5,IF(ISNUMBER(SEARCH(Assumptions!$C$6,G690)),Assumptions!$D$6,IF(ISNUMBER(SEARCH(Assumptions!$C$7,G690)),Assumptions!$D$7,"Other Services"))),"Other Services"))</f>
        <v/>
      </c>
    </row>
    <row r="691" customFormat="false" ht="15" hidden="false" customHeight="false" outlineLevel="0" collapsed="false">
      <c r="F691" s="41" t="str">
        <f aca="false">IF(E691="","",IFERROR(VLOOKUP(E691,Assumptions!$G$5:$H$16,2,0),"Other"))</f>
        <v/>
      </c>
      <c r="J691" s="41" t="str">
        <f aca="false">IF(G691="","",IFERROR(IF(ISNUMBER(SEARCH(Assumptions!$C$5,G691)),Assumptions!$D$5,IF(ISNUMBER(SEARCH(Assumptions!$C$6,G691)),Assumptions!$D$6,IF(ISNUMBER(SEARCH(Assumptions!$C$7,G691)),Assumptions!$D$7,"Other Services"))),"Other Services"))</f>
        <v/>
      </c>
    </row>
    <row r="692" customFormat="false" ht="15" hidden="false" customHeight="false" outlineLevel="0" collapsed="false">
      <c r="F692" s="41" t="str">
        <f aca="false">IF(E692="","",IFERROR(VLOOKUP(E692,Assumptions!$G$5:$H$16,2,0),"Other"))</f>
        <v/>
      </c>
      <c r="J692" s="41" t="str">
        <f aca="false">IF(G692="","",IFERROR(IF(ISNUMBER(SEARCH(Assumptions!$C$5,G692)),Assumptions!$D$5,IF(ISNUMBER(SEARCH(Assumptions!$C$6,G692)),Assumptions!$D$6,IF(ISNUMBER(SEARCH(Assumptions!$C$7,G692)),Assumptions!$D$7,"Other Services"))),"Other Services"))</f>
        <v/>
      </c>
    </row>
    <row r="693" customFormat="false" ht="15" hidden="false" customHeight="false" outlineLevel="0" collapsed="false">
      <c r="F693" s="41" t="str">
        <f aca="false">IF(E693="","",IFERROR(VLOOKUP(E693,Assumptions!$G$5:$H$16,2,0),"Other"))</f>
        <v/>
      </c>
      <c r="J693" s="41" t="str">
        <f aca="false">IF(G693="","",IFERROR(IF(ISNUMBER(SEARCH(Assumptions!$C$5,G693)),Assumptions!$D$5,IF(ISNUMBER(SEARCH(Assumptions!$C$6,G693)),Assumptions!$D$6,IF(ISNUMBER(SEARCH(Assumptions!$C$7,G693)),Assumptions!$D$7,"Other Services"))),"Other Services"))</f>
        <v/>
      </c>
    </row>
    <row r="694" customFormat="false" ht="15" hidden="false" customHeight="false" outlineLevel="0" collapsed="false">
      <c r="F694" s="41" t="str">
        <f aca="false">IF(E694="","",IFERROR(VLOOKUP(E694,Assumptions!$G$5:$H$16,2,0),"Other"))</f>
        <v/>
      </c>
      <c r="J694" s="41" t="str">
        <f aca="false">IF(G694="","",IFERROR(IF(ISNUMBER(SEARCH(Assumptions!$C$5,G694)),Assumptions!$D$5,IF(ISNUMBER(SEARCH(Assumptions!$C$6,G694)),Assumptions!$D$6,IF(ISNUMBER(SEARCH(Assumptions!$C$7,G694)),Assumptions!$D$7,"Other Services"))),"Other Services"))</f>
        <v/>
      </c>
    </row>
    <row r="695" customFormat="false" ht="15" hidden="false" customHeight="false" outlineLevel="0" collapsed="false">
      <c r="F695" s="41" t="str">
        <f aca="false">IF(E695="","",IFERROR(VLOOKUP(E695,Assumptions!$G$5:$H$16,2,0),"Other"))</f>
        <v/>
      </c>
      <c r="J695" s="41" t="str">
        <f aca="false">IF(G695="","",IFERROR(IF(ISNUMBER(SEARCH(Assumptions!$C$5,G695)),Assumptions!$D$5,IF(ISNUMBER(SEARCH(Assumptions!$C$6,G695)),Assumptions!$D$6,IF(ISNUMBER(SEARCH(Assumptions!$C$7,G695)),Assumptions!$D$7,"Other Services"))),"Other Services"))</f>
        <v/>
      </c>
    </row>
    <row r="696" customFormat="false" ht="15" hidden="false" customHeight="false" outlineLevel="0" collapsed="false">
      <c r="F696" s="41" t="str">
        <f aca="false">IF(E696="","",IFERROR(VLOOKUP(E696,Assumptions!$G$5:$H$16,2,0),"Other"))</f>
        <v/>
      </c>
      <c r="J696" s="41" t="str">
        <f aca="false">IF(G696="","",IFERROR(IF(ISNUMBER(SEARCH(Assumptions!$C$5,G696)),Assumptions!$D$5,IF(ISNUMBER(SEARCH(Assumptions!$C$6,G696)),Assumptions!$D$6,IF(ISNUMBER(SEARCH(Assumptions!$C$7,G696)),Assumptions!$D$7,"Other Services"))),"Other Services"))</f>
        <v/>
      </c>
    </row>
    <row r="697" customFormat="false" ht="15" hidden="false" customHeight="false" outlineLevel="0" collapsed="false">
      <c r="F697" s="41" t="str">
        <f aca="false">IF(E697="","",IFERROR(VLOOKUP(E697,Assumptions!$G$5:$H$16,2,0),"Other"))</f>
        <v/>
      </c>
      <c r="J697" s="41" t="str">
        <f aca="false">IF(G697="","",IFERROR(IF(ISNUMBER(SEARCH(Assumptions!$C$5,G697)),Assumptions!$D$5,IF(ISNUMBER(SEARCH(Assumptions!$C$6,G697)),Assumptions!$D$6,IF(ISNUMBER(SEARCH(Assumptions!$C$7,G697)),Assumptions!$D$7,"Other Services"))),"Other Services"))</f>
        <v/>
      </c>
    </row>
    <row r="698" customFormat="false" ht="15" hidden="false" customHeight="false" outlineLevel="0" collapsed="false">
      <c r="F698" s="41" t="str">
        <f aca="false">IF(E698="","",IFERROR(VLOOKUP(E698,Assumptions!$G$5:$H$16,2,0),"Other"))</f>
        <v/>
      </c>
      <c r="J698" s="41" t="str">
        <f aca="false">IF(G698="","",IFERROR(IF(ISNUMBER(SEARCH(Assumptions!$C$5,G698)),Assumptions!$D$5,IF(ISNUMBER(SEARCH(Assumptions!$C$6,G698)),Assumptions!$D$6,IF(ISNUMBER(SEARCH(Assumptions!$C$7,G698)),Assumptions!$D$7,"Other Services"))),"Other Services"))</f>
        <v/>
      </c>
    </row>
    <row r="699" customFormat="false" ht="15" hidden="false" customHeight="false" outlineLevel="0" collapsed="false">
      <c r="F699" s="41" t="str">
        <f aca="false">IF(E699="","",IFERROR(VLOOKUP(E699,Assumptions!$G$5:$H$16,2,0),"Other"))</f>
        <v/>
      </c>
      <c r="J699" s="41" t="str">
        <f aca="false">IF(G699="","",IFERROR(IF(ISNUMBER(SEARCH(Assumptions!$C$5,G699)),Assumptions!$D$5,IF(ISNUMBER(SEARCH(Assumptions!$C$6,G699)),Assumptions!$D$6,IF(ISNUMBER(SEARCH(Assumptions!$C$7,G699)),Assumptions!$D$7,"Other Services"))),"Other Services"))</f>
        <v/>
      </c>
    </row>
    <row r="700" customFormat="false" ht="15" hidden="false" customHeight="false" outlineLevel="0" collapsed="false">
      <c r="F700" s="41" t="str">
        <f aca="false">IF(E700="","",IFERROR(VLOOKUP(E700,Assumptions!$G$5:$H$16,2,0),"Other"))</f>
        <v/>
      </c>
      <c r="J700" s="41" t="str">
        <f aca="false">IF(G700="","",IFERROR(IF(ISNUMBER(SEARCH(Assumptions!$C$5,G700)),Assumptions!$D$5,IF(ISNUMBER(SEARCH(Assumptions!$C$6,G700)),Assumptions!$D$6,IF(ISNUMBER(SEARCH(Assumptions!$C$7,G700)),Assumptions!$D$7,"Other Services"))),"Other Services"))</f>
        <v/>
      </c>
    </row>
    <row r="701" customFormat="false" ht="15" hidden="false" customHeight="false" outlineLevel="0" collapsed="false">
      <c r="F701" s="41" t="str">
        <f aca="false">IF(E701="","",IFERROR(VLOOKUP(E701,Assumptions!$G$5:$H$16,2,0),"Other"))</f>
        <v/>
      </c>
      <c r="J701" s="41" t="str">
        <f aca="false">IF(G701="","",IFERROR(IF(ISNUMBER(SEARCH(Assumptions!$C$5,G701)),Assumptions!$D$5,IF(ISNUMBER(SEARCH(Assumptions!$C$6,G701)),Assumptions!$D$6,IF(ISNUMBER(SEARCH(Assumptions!$C$7,G701)),Assumptions!$D$7,"Other Services"))),"Other Services"))</f>
        <v/>
      </c>
    </row>
    <row r="702" customFormat="false" ht="15" hidden="false" customHeight="false" outlineLevel="0" collapsed="false">
      <c r="F702" s="41" t="str">
        <f aca="false">IF(E702="","",IFERROR(VLOOKUP(E702,Assumptions!$G$5:$H$16,2,0),"Other"))</f>
        <v/>
      </c>
      <c r="J702" s="41" t="str">
        <f aca="false">IF(G702="","",IFERROR(IF(ISNUMBER(SEARCH(Assumptions!$C$5,G702)),Assumptions!$D$5,IF(ISNUMBER(SEARCH(Assumptions!$C$6,G702)),Assumptions!$D$6,IF(ISNUMBER(SEARCH(Assumptions!$C$7,G702)),Assumptions!$D$7,"Other Services"))),"Other Services"))</f>
        <v/>
      </c>
    </row>
    <row r="703" customFormat="false" ht="15" hidden="false" customHeight="false" outlineLevel="0" collapsed="false">
      <c r="F703" s="41" t="str">
        <f aca="false">IF(E703="","",IFERROR(VLOOKUP(E703,Assumptions!$G$5:$H$16,2,0),"Other"))</f>
        <v/>
      </c>
      <c r="J703" s="41" t="str">
        <f aca="false">IF(G703="","",IFERROR(IF(ISNUMBER(SEARCH(Assumptions!$C$5,G703)),Assumptions!$D$5,IF(ISNUMBER(SEARCH(Assumptions!$C$6,G703)),Assumptions!$D$6,IF(ISNUMBER(SEARCH(Assumptions!$C$7,G703)),Assumptions!$D$7,"Other Services"))),"Other Services"))</f>
        <v/>
      </c>
    </row>
    <row r="704" customFormat="false" ht="15" hidden="false" customHeight="false" outlineLevel="0" collapsed="false">
      <c r="F704" s="41" t="str">
        <f aca="false">IF(E704="","",IFERROR(VLOOKUP(E704,Assumptions!$G$5:$H$16,2,0),"Other"))</f>
        <v/>
      </c>
      <c r="J704" s="41" t="str">
        <f aca="false">IF(G704="","",IFERROR(IF(ISNUMBER(SEARCH(Assumptions!$C$5,G704)),Assumptions!$D$5,IF(ISNUMBER(SEARCH(Assumptions!$C$6,G704)),Assumptions!$D$6,IF(ISNUMBER(SEARCH(Assumptions!$C$7,G704)),Assumptions!$D$7,"Other Services"))),"Other Services"))</f>
        <v/>
      </c>
    </row>
    <row r="705" customFormat="false" ht="15" hidden="false" customHeight="false" outlineLevel="0" collapsed="false">
      <c r="F705" s="41" t="str">
        <f aca="false">IF(E705="","",IFERROR(VLOOKUP(E705,Assumptions!$G$5:$H$16,2,0),"Other"))</f>
        <v/>
      </c>
      <c r="J705" s="41" t="str">
        <f aca="false">IF(G705="","",IFERROR(IF(ISNUMBER(SEARCH(Assumptions!$C$5,G705)),Assumptions!$D$5,IF(ISNUMBER(SEARCH(Assumptions!$C$6,G705)),Assumptions!$D$6,IF(ISNUMBER(SEARCH(Assumptions!$C$7,G705)),Assumptions!$D$7,"Other Services"))),"Other Services"))</f>
        <v/>
      </c>
    </row>
    <row r="706" customFormat="false" ht="15" hidden="false" customHeight="false" outlineLevel="0" collapsed="false">
      <c r="F706" s="41" t="str">
        <f aca="false">IF(E706="","",IFERROR(VLOOKUP(E706,Assumptions!$G$5:$H$16,2,0),"Other"))</f>
        <v/>
      </c>
      <c r="J706" s="41" t="str">
        <f aca="false">IF(G706="","",IFERROR(IF(ISNUMBER(SEARCH(Assumptions!$C$5,G706)),Assumptions!$D$5,IF(ISNUMBER(SEARCH(Assumptions!$C$6,G706)),Assumptions!$D$6,IF(ISNUMBER(SEARCH(Assumptions!$C$7,G706)),Assumptions!$D$7,"Other Services"))),"Other Services"))</f>
        <v/>
      </c>
    </row>
    <row r="707" customFormat="false" ht="15" hidden="false" customHeight="false" outlineLevel="0" collapsed="false">
      <c r="F707" s="41" t="str">
        <f aca="false">IF(E707="","",IFERROR(VLOOKUP(E707,Assumptions!$G$5:$H$16,2,0),"Other"))</f>
        <v/>
      </c>
      <c r="J707" s="41" t="str">
        <f aca="false">IF(G707="","",IFERROR(IF(ISNUMBER(SEARCH(Assumptions!$C$5,G707)),Assumptions!$D$5,IF(ISNUMBER(SEARCH(Assumptions!$C$6,G707)),Assumptions!$D$6,IF(ISNUMBER(SEARCH(Assumptions!$C$7,G707)),Assumptions!$D$7,"Other Services"))),"Other Services"))</f>
        <v/>
      </c>
    </row>
    <row r="708" customFormat="false" ht="15" hidden="false" customHeight="false" outlineLevel="0" collapsed="false">
      <c r="F708" s="41" t="str">
        <f aca="false">IF(E708="","",IFERROR(VLOOKUP(E708,Assumptions!$G$5:$H$16,2,0),"Other"))</f>
        <v/>
      </c>
      <c r="J708" s="41" t="str">
        <f aca="false">IF(G708="","",IFERROR(IF(ISNUMBER(SEARCH(Assumptions!$C$5,G708)),Assumptions!$D$5,IF(ISNUMBER(SEARCH(Assumptions!$C$6,G708)),Assumptions!$D$6,IF(ISNUMBER(SEARCH(Assumptions!$C$7,G708)),Assumptions!$D$7,"Other Services"))),"Other Services"))</f>
        <v/>
      </c>
    </row>
    <row r="709" customFormat="false" ht="15" hidden="false" customHeight="false" outlineLevel="0" collapsed="false">
      <c r="F709" s="41" t="str">
        <f aca="false">IF(E709="","",IFERROR(VLOOKUP(E709,Assumptions!$G$5:$H$16,2,0),"Other"))</f>
        <v/>
      </c>
      <c r="J709" s="41" t="str">
        <f aca="false">IF(G709="","",IFERROR(IF(ISNUMBER(SEARCH(Assumptions!$C$5,G709)),Assumptions!$D$5,IF(ISNUMBER(SEARCH(Assumptions!$C$6,G709)),Assumptions!$D$6,IF(ISNUMBER(SEARCH(Assumptions!$C$7,G709)),Assumptions!$D$7,"Other Services"))),"Other Services"))</f>
        <v/>
      </c>
    </row>
    <row r="710" customFormat="false" ht="15" hidden="false" customHeight="false" outlineLevel="0" collapsed="false">
      <c r="F710" s="41" t="str">
        <f aca="false">IF(E710="","",IFERROR(VLOOKUP(E710,Assumptions!$G$5:$H$16,2,0),"Other"))</f>
        <v/>
      </c>
      <c r="J710" s="41" t="str">
        <f aca="false">IF(G710="","",IFERROR(IF(ISNUMBER(SEARCH(Assumptions!$C$5,G710)),Assumptions!$D$5,IF(ISNUMBER(SEARCH(Assumptions!$C$6,G710)),Assumptions!$D$6,IF(ISNUMBER(SEARCH(Assumptions!$C$7,G710)),Assumptions!$D$7,"Other Services"))),"Other Services"))</f>
        <v/>
      </c>
    </row>
    <row r="711" customFormat="false" ht="15" hidden="false" customHeight="false" outlineLevel="0" collapsed="false">
      <c r="F711" s="41" t="str">
        <f aca="false">IF(E711="","",IFERROR(VLOOKUP(E711,Assumptions!$G$5:$H$16,2,0),"Other"))</f>
        <v/>
      </c>
      <c r="J711" s="41" t="str">
        <f aca="false">IF(G711="","",IFERROR(IF(ISNUMBER(SEARCH(Assumptions!$C$5,G711)),Assumptions!$D$5,IF(ISNUMBER(SEARCH(Assumptions!$C$6,G711)),Assumptions!$D$6,IF(ISNUMBER(SEARCH(Assumptions!$C$7,G711)),Assumptions!$D$7,"Other Services"))),"Other Services"))</f>
        <v/>
      </c>
    </row>
    <row r="712" customFormat="false" ht="15" hidden="false" customHeight="false" outlineLevel="0" collapsed="false">
      <c r="F712" s="41" t="str">
        <f aca="false">IF(E712="","",IFERROR(VLOOKUP(E712,Assumptions!$G$5:$H$16,2,0),"Other"))</f>
        <v/>
      </c>
      <c r="J712" s="41" t="str">
        <f aca="false">IF(G712="","",IFERROR(IF(ISNUMBER(SEARCH(Assumptions!$C$5,G712)),Assumptions!$D$5,IF(ISNUMBER(SEARCH(Assumptions!$C$6,G712)),Assumptions!$D$6,IF(ISNUMBER(SEARCH(Assumptions!$C$7,G712)),Assumptions!$D$7,"Other Services"))),"Other Services"))</f>
        <v/>
      </c>
    </row>
    <row r="713" customFormat="false" ht="15" hidden="false" customHeight="false" outlineLevel="0" collapsed="false">
      <c r="F713" s="41" t="str">
        <f aca="false">IF(E713="","",IFERROR(VLOOKUP(E713,Assumptions!$G$5:$H$16,2,0),"Other"))</f>
        <v/>
      </c>
      <c r="J713" s="41" t="str">
        <f aca="false">IF(G713="","",IFERROR(IF(ISNUMBER(SEARCH(Assumptions!$C$5,G713)),Assumptions!$D$5,IF(ISNUMBER(SEARCH(Assumptions!$C$6,G713)),Assumptions!$D$6,IF(ISNUMBER(SEARCH(Assumptions!$C$7,G713)),Assumptions!$D$7,"Other Services"))),"Other Services"))</f>
        <v/>
      </c>
    </row>
    <row r="714" customFormat="false" ht="15" hidden="false" customHeight="false" outlineLevel="0" collapsed="false">
      <c r="F714" s="41" t="str">
        <f aca="false">IF(E714="","",IFERROR(VLOOKUP(E714,Assumptions!$G$5:$H$16,2,0),"Other"))</f>
        <v/>
      </c>
      <c r="J714" s="41" t="str">
        <f aca="false">IF(G714="","",IFERROR(IF(ISNUMBER(SEARCH(Assumptions!$C$5,G714)),Assumptions!$D$5,IF(ISNUMBER(SEARCH(Assumptions!$C$6,G714)),Assumptions!$D$6,IF(ISNUMBER(SEARCH(Assumptions!$C$7,G714)),Assumptions!$D$7,"Other Services"))),"Other Services"))</f>
        <v/>
      </c>
    </row>
    <row r="715" customFormat="false" ht="15" hidden="false" customHeight="false" outlineLevel="0" collapsed="false">
      <c r="F715" s="41" t="str">
        <f aca="false">IF(E715="","",IFERROR(VLOOKUP(E715,Assumptions!$G$5:$H$16,2,0),"Other"))</f>
        <v/>
      </c>
      <c r="J715" s="41" t="str">
        <f aca="false">IF(G715="","",IFERROR(IF(ISNUMBER(SEARCH(Assumptions!$C$5,G715)),Assumptions!$D$5,IF(ISNUMBER(SEARCH(Assumptions!$C$6,G715)),Assumptions!$D$6,IF(ISNUMBER(SEARCH(Assumptions!$C$7,G715)),Assumptions!$D$7,"Other Services"))),"Other Services"))</f>
        <v/>
      </c>
    </row>
    <row r="716" customFormat="false" ht="15" hidden="false" customHeight="false" outlineLevel="0" collapsed="false">
      <c r="F716" s="41" t="str">
        <f aca="false">IF(E716="","",IFERROR(VLOOKUP(E716,Assumptions!$G$5:$H$16,2,0),"Other"))</f>
        <v/>
      </c>
      <c r="J716" s="41" t="str">
        <f aca="false">IF(G716="","",IFERROR(IF(ISNUMBER(SEARCH(Assumptions!$C$5,G716)),Assumptions!$D$5,IF(ISNUMBER(SEARCH(Assumptions!$C$6,G716)),Assumptions!$D$6,IF(ISNUMBER(SEARCH(Assumptions!$C$7,G716)),Assumptions!$D$7,"Other Services"))),"Other Services"))</f>
        <v/>
      </c>
    </row>
    <row r="717" customFormat="false" ht="15" hidden="false" customHeight="false" outlineLevel="0" collapsed="false">
      <c r="F717" s="41" t="str">
        <f aca="false">IF(E717="","",IFERROR(VLOOKUP(E717,Assumptions!$G$5:$H$16,2,0),"Other"))</f>
        <v/>
      </c>
      <c r="J717" s="41" t="str">
        <f aca="false">IF(G717="","",IFERROR(IF(ISNUMBER(SEARCH(Assumptions!$C$5,G717)),Assumptions!$D$5,IF(ISNUMBER(SEARCH(Assumptions!$C$6,G717)),Assumptions!$D$6,IF(ISNUMBER(SEARCH(Assumptions!$C$7,G717)),Assumptions!$D$7,"Other Services"))),"Other Services"))</f>
        <v/>
      </c>
    </row>
    <row r="718" customFormat="false" ht="15" hidden="false" customHeight="false" outlineLevel="0" collapsed="false">
      <c r="F718" s="41" t="str">
        <f aca="false">IF(E718="","",IFERROR(VLOOKUP(E718,Assumptions!$G$5:$H$16,2,0),"Other"))</f>
        <v/>
      </c>
      <c r="J718" s="41" t="str">
        <f aca="false">IF(G718="","",IFERROR(IF(ISNUMBER(SEARCH(Assumptions!$C$5,G718)),Assumptions!$D$5,IF(ISNUMBER(SEARCH(Assumptions!$C$6,G718)),Assumptions!$D$6,IF(ISNUMBER(SEARCH(Assumptions!$C$7,G718)),Assumptions!$D$7,"Other Services"))),"Other Services"))</f>
        <v/>
      </c>
    </row>
    <row r="719" customFormat="false" ht="15" hidden="false" customHeight="false" outlineLevel="0" collapsed="false">
      <c r="F719" s="41" t="str">
        <f aca="false">IF(E719="","",IFERROR(VLOOKUP(E719,Assumptions!$G$5:$H$16,2,0),"Other"))</f>
        <v/>
      </c>
      <c r="J719" s="41" t="str">
        <f aca="false">IF(G719="","",IFERROR(IF(ISNUMBER(SEARCH(Assumptions!$C$5,G719)),Assumptions!$D$5,IF(ISNUMBER(SEARCH(Assumptions!$C$6,G719)),Assumptions!$D$6,IF(ISNUMBER(SEARCH(Assumptions!$C$7,G719)),Assumptions!$D$7,"Other Services"))),"Other Services"))</f>
        <v/>
      </c>
    </row>
    <row r="720" customFormat="false" ht="15" hidden="false" customHeight="false" outlineLevel="0" collapsed="false">
      <c r="F720" s="41" t="str">
        <f aca="false">IF(E720="","",IFERROR(VLOOKUP(E720,Assumptions!$G$5:$H$16,2,0),"Other"))</f>
        <v/>
      </c>
      <c r="J720" s="41" t="str">
        <f aca="false">IF(G720="","",IFERROR(IF(ISNUMBER(SEARCH(Assumptions!$C$5,G720)),Assumptions!$D$5,IF(ISNUMBER(SEARCH(Assumptions!$C$6,G720)),Assumptions!$D$6,IF(ISNUMBER(SEARCH(Assumptions!$C$7,G720)),Assumptions!$D$7,"Other Services"))),"Other Services"))</f>
        <v/>
      </c>
    </row>
    <row r="721" customFormat="false" ht="15" hidden="false" customHeight="false" outlineLevel="0" collapsed="false">
      <c r="F721" s="41" t="str">
        <f aca="false">IF(E721="","",IFERROR(VLOOKUP(E721,Assumptions!$G$5:$H$16,2,0),"Other"))</f>
        <v/>
      </c>
      <c r="J721" s="41" t="str">
        <f aca="false">IF(G721="","",IFERROR(IF(ISNUMBER(SEARCH(Assumptions!$C$5,G721)),Assumptions!$D$5,IF(ISNUMBER(SEARCH(Assumptions!$C$6,G721)),Assumptions!$D$6,IF(ISNUMBER(SEARCH(Assumptions!$C$7,G721)),Assumptions!$D$7,"Other Services"))),"Other Services"))</f>
        <v/>
      </c>
    </row>
    <row r="722" customFormat="false" ht="15" hidden="false" customHeight="false" outlineLevel="0" collapsed="false">
      <c r="F722" s="41" t="str">
        <f aca="false">IF(E722="","",IFERROR(VLOOKUP(E722,Assumptions!$G$5:$H$16,2,0),"Other"))</f>
        <v/>
      </c>
      <c r="J722" s="41" t="str">
        <f aca="false">IF(G722="","",IFERROR(IF(ISNUMBER(SEARCH(Assumptions!$C$5,G722)),Assumptions!$D$5,IF(ISNUMBER(SEARCH(Assumptions!$C$6,G722)),Assumptions!$D$6,IF(ISNUMBER(SEARCH(Assumptions!$C$7,G722)),Assumptions!$D$7,"Other Services"))),"Other Services"))</f>
        <v/>
      </c>
    </row>
    <row r="723" customFormat="false" ht="15" hidden="false" customHeight="false" outlineLevel="0" collapsed="false">
      <c r="F723" s="41" t="str">
        <f aca="false">IF(E723="","",IFERROR(VLOOKUP(E723,Assumptions!$G$5:$H$16,2,0),"Other"))</f>
        <v/>
      </c>
      <c r="J723" s="41" t="str">
        <f aca="false">IF(G723="","",IFERROR(IF(ISNUMBER(SEARCH(Assumptions!$C$5,G723)),Assumptions!$D$5,IF(ISNUMBER(SEARCH(Assumptions!$C$6,G723)),Assumptions!$D$6,IF(ISNUMBER(SEARCH(Assumptions!$C$7,G723)),Assumptions!$D$7,"Other Services"))),"Other Services"))</f>
        <v/>
      </c>
    </row>
    <row r="724" customFormat="false" ht="15" hidden="false" customHeight="false" outlineLevel="0" collapsed="false">
      <c r="F724" s="41" t="str">
        <f aca="false">IF(E724="","",IFERROR(VLOOKUP(E724,Assumptions!$G$5:$H$16,2,0),"Other"))</f>
        <v/>
      </c>
      <c r="J724" s="41" t="str">
        <f aca="false">IF(G724="","",IFERROR(IF(ISNUMBER(SEARCH(Assumptions!$C$5,G724)),Assumptions!$D$5,IF(ISNUMBER(SEARCH(Assumptions!$C$6,G724)),Assumptions!$D$6,IF(ISNUMBER(SEARCH(Assumptions!$C$7,G724)),Assumptions!$D$7,"Other Services"))),"Other Services"))</f>
        <v/>
      </c>
    </row>
    <row r="725" customFormat="false" ht="15" hidden="false" customHeight="false" outlineLevel="0" collapsed="false">
      <c r="F725" s="41" t="str">
        <f aca="false">IF(E725="","",IFERROR(VLOOKUP(E725,Assumptions!$G$5:$H$16,2,0),"Other"))</f>
        <v/>
      </c>
      <c r="J725" s="41" t="str">
        <f aca="false">IF(G725="","",IFERROR(IF(ISNUMBER(SEARCH(Assumptions!$C$5,G725)),Assumptions!$D$5,IF(ISNUMBER(SEARCH(Assumptions!$C$6,G725)),Assumptions!$D$6,IF(ISNUMBER(SEARCH(Assumptions!$C$7,G725)),Assumptions!$D$7,"Other Services"))),"Other Services"))</f>
        <v/>
      </c>
    </row>
    <row r="726" customFormat="false" ht="15" hidden="false" customHeight="false" outlineLevel="0" collapsed="false">
      <c r="F726" s="41" t="str">
        <f aca="false">IF(E726="","",IFERROR(VLOOKUP(E726,Assumptions!$G$5:$H$16,2,0),"Other"))</f>
        <v/>
      </c>
      <c r="J726" s="41" t="str">
        <f aca="false">IF(G726="","",IFERROR(IF(ISNUMBER(SEARCH(Assumptions!$C$5,G726)),Assumptions!$D$5,IF(ISNUMBER(SEARCH(Assumptions!$C$6,G726)),Assumptions!$D$6,IF(ISNUMBER(SEARCH(Assumptions!$C$7,G726)),Assumptions!$D$7,"Other Services"))),"Other Services"))</f>
        <v/>
      </c>
    </row>
    <row r="727" customFormat="false" ht="15" hidden="false" customHeight="false" outlineLevel="0" collapsed="false">
      <c r="F727" s="41" t="str">
        <f aca="false">IF(E727="","",IFERROR(VLOOKUP(E727,Assumptions!$G$5:$H$16,2,0),"Other"))</f>
        <v/>
      </c>
      <c r="J727" s="41" t="str">
        <f aca="false">IF(G727="","",IFERROR(IF(ISNUMBER(SEARCH(Assumptions!$C$5,G727)),Assumptions!$D$5,IF(ISNUMBER(SEARCH(Assumptions!$C$6,G727)),Assumptions!$D$6,IF(ISNUMBER(SEARCH(Assumptions!$C$7,G727)),Assumptions!$D$7,"Other Services"))),"Other Services"))</f>
        <v/>
      </c>
    </row>
    <row r="728" customFormat="false" ht="15" hidden="false" customHeight="false" outlineLevel="0" collapsed="false">
      <c r="F728" s="41" t="str">
        <f aca="false">IF(E728="","",IFERROR(VLOOKUP(E728,Assumptions!$G$5:$H$16,2,0),"Other"))</f>
        <v/>
      </c>
      <c r="J728" s="41" t="str">
        <f aca="false">IF(G728="","",IFERROR(IF(ISNUMBER(SEARCH(Assumptions!$C$5,G728)),Assumptions!$D$5,IF(ISNUMBER(SEARCH(Assumptions!$C$6,G728)),Assumptions!$D$6,IF(ISNUMBER(SEARCH(Assumptions!$C$7,G728)),Assumptions!$D$7,"Other Services"))),"Other Services"))</f>
        <v/>
      </c>
    </row>
    <row r="729" customFormat="false" ht="15" hidden="false" customHeight="false" outlineLevel="0" collapsed="false">
      <c r="F729" s="41" t="str">
        <f aca="false">IF(E729="","",IFERROR(VLOOKUP(E729,Assumptions!$G$5:$H$16,2,0),"Other"))</f>
        <v/>
      </c>
      <c r="J729" s="41" t="str">
        <f aca="false">IF(G729="","",IFERROR(IF(ISNUMBER(SEARCH(Assumptions!$C$5,G729)),Assumptions!$D$5,IF(ISNUMBER(SEARCH(Assumptions!$C$6,G729)),Assumptions!$D$6,IF(ISNUMBER(SEARCH(Assumptions!$C$7,G729)),Assumptions!$D$7,"Other Services"))),"Other Services"))</f>
        <v/>
      </c>
    </row>
    <row r="730" customFormat="false" ht="15" hidden="false" customHeight="false" outlineLevel="0" collapsed="false">
      <c r="F730" s="41" t="str">
        <f aca="false">IF(E730="","",IFERROR(VLOOKUP(E730,Assumptions!$G$5:$H$16,2,0),"Other"))</f>
        <v/>
      </c>
      <c r="J730" s="41" t="str">
        <f aca="false">IF(G730="","",IFERROR(IF(ISNUMBER(SEARCH(Assumptions!$C$5,G730)),Assumptions!$D$5,IF(ISNUMBER(SEARCH(Assumptions!$C$6,G730)),Assumptions!$D$6,IF(ISNUMBER(SEARCH(Assumptions!$C$7,G730)),Assumptions!$D$7,"Other Services"))),"Other Services"))</f>
        <v/>
      </c>
    </row>
    <row r="731" customFormat="false" ht="15" hidden="false" customHeight="false" outlineLevel="0" collapsed="false">
      <c r="F731" s="41" t="str">
        <f aca="false">IF(E731="","",IFERROR(VLOOKUP(E731,Assumptions!$G$5:$H$16,2,0),"Other"))</f>
        <v/>
      </c>
      <c r="J731" s="41" t="str">
        <f aca="false">IF(G731="","",IFERROR(IF(ISNUMBER(SEARCH(Assumptions!$C$5,G731)),Assumptions!$D$5,IF(ISNUMBER(SEARCH(Assumptions!$C$6,G731)),Assumptions!$D$6,IF(ISNUMBER(SEARCH(Assumptions!$C$7,G731)),Assumptions!$D$7,"Other Services"))),"Other Services"))</f>
        <v/>
      </c>
    </row>
    <row r="732" customFormat="false" ht="15" hidden="false" customHeight="false" outlineLevel="0" collapsed="false">
      <c r="F732" s="41" t="str">
        <f aca="false">IF(E732="","",IFERROR(VLOOKUP(E732,Assumptions!$G$5:$H$16,2,0),"Other"))</f>
        <v/>
      </c>
      <c r="J732" s="41" t="str">
        <f aca="false">IF(G732="","",IFERROR(IF(ISNUMBER(SEARCH(Assumptions!$C$5,G732)),Assumptions!$D$5,IF(ISNUMBER(SEARCH(Assumptions!$C$6,G732)),Assumptions!$D$6,IF(ISNUMBER(SEARCH(Assumptions!$C$7,G732)),Assumptions!$D$7,"Other Services"))),"Other Services"))</f>
        <v/>
      </c>
    </row>
    <row r="733" customFormat="false" ht="15" hidden="false" customHeight="false" outlineLevel="0" collapsed="false">
      <c r="F733" s="41" t="str">
        <f aca="false">IF(E733="","",IFERROR(VLOOKUP(E733,Assumptions!$G$5:$H$16,2,0),"Other"))</f>
        <v/>
      </c>
      <c r="J733" s="41" t="str">
        <f aca="false">IF(G733="","",IFERROR(IF(ISNUMBER(SEARCH(Assumptions!$C$5,G733)),Assumptions!$D$5,IF(ISNUMBER(SEARCH(Assumptions!$C$6,G733)),Assumptions!$D$6,IF(ISNUMBER(SEARCH(Assumptions!$C$7,G733)),Assumptions!$D$7,"Other Services"))),"Other Services"))</f>
        <v/>
      </c>
    </row>
    <row r="734" customFormat="false" ht="15" hidden="false" customHeight="false" outlineLevel="0" collapsed="false">
      <c r="F734" s="41" t="str">
        <f aca="false">IF(E734="","",IFERROR(VLOOKUP(E734,Assumptions!$G$5:$H$16,2,0),"Other"))</f>
        <v/>
      </c>
      <c r="J734" s="41" t="str">
        <f aca="false">IF(G734="","",IFERROR(IF(ISNUMBER(SEARCH(Assumptions!$C$5,G734)),Assumptions!$D$5,IF(ISNUMBER(SEARCH(Assumptions!$C$6,G734)),Assumptions!$D$6,IF(ISNUMBER(SEARCH(Assumptions!$C$7,G734)),Assumptions!$D$7,"Other Services"))),"Other Services"))</f>
        <v/>
      </c>
    </row>
    <row r="735" customFormat="false" ht="15" hidden="false" customHeight="false" outlineLevel="0" collapsed="false">
      <c r="F735" s="41" t="str">
        <f aca="false">IF(E735="","",IFERROR(VLOOKUP(E735,Assumptions!$G$5:$H$16,2,0),"Other"))</f>
        <v/>
      </c>
      <c r="J735" s="41" t="str">
        <f aca="false">IF(G735="","",IFERROR(IF(ISNUMBER(SEARCH(Assumptions!$C$5,G735)),Assumptions!$D$5,IF(ISNUMBER(SEARCH(Assumptions!$C$6,G735)),Assumptions!$D$6,IF(ISNUMBER(SEARCH(Assumptions!$C$7,G735)),Assumptions!$D$7,"Other Services"))),"Other Services"))</f>
        <v/>
      </c>
    </row>
    <row r="736" customFormat="false" ht="15" hidden="false" customHeight="false" outlineLevel="0" collapsed="false">
      <c r="F736" s="41" t="str">
        <f aca="false">IF(E736="","",IFERROR(VLOOKUP(E736,Assumptions!$G$5:$H$16,2,0),"Other"))</f>
        <v/>
      </c>
      <c r="J736" s="41" t="str">
        <f aca="false">IF(G736="","",IFERROR(IF(ISNUMBER(SEARCH(Assumptions!$C$5,G736)),Assumptions!$D$5,IF(ISNUMBER(SEARCH(Assumptions!$C$6,G736)),Assumptions!$D$6,IF(ISNUMBER(SEARCH(Assumptions!$C$7,G736)),Assumptions!$D$7,"Other Services"))),"Other Services"))</f>
        <v/>
      </c>
    </row>
    <row r="737" customFormat="false" ht="15" hidden="false" customHeight="false" outlineLevel="0" collapsed="false">
      <c r="F737" s="41" t="str">
        <f aca="false">IF(E737="","",IFERROR(VLOOKUP(E737,Assumptions!$G$5:$H$16,2,0),"Other"))</f>
        <v/>
      </c>
      <c r="J737" s="41" t="str">
        <f aca="false">IF(G737="","",IFERROR(IF(ISNUMBER(SEARCH(Assumptions!$C$5,G737)),Assumptions!$D$5,IF(ISNUMBER(SEARCH(Assumptions!$C$6,G737)),Assumptions!$D$6,IF(ISNUMBER(SEARCH(Assumptions!$C$7,G737)),Assumptions!$D$7,"Other Services"))),"Other Services"))</f>
        <v/>
      </c>
    </row>
    <row r="738" customFormat="false" ht="15" hidden="false" customHeight="false" outlineLevel="0" collapsed="false">
      <c r="F738" s="41" t="str">
        <f aca="false">IF(E738="","",IFERROR(VLOOKUP(E738,Assumptions!$G$5:$H$16,2,0),"Other"))</f>
        <v/>
      </c>
      <c r="J738" s="41" t="str">
        <f aca="false">IF(G738="","",IFERROR(IF(ISNUMBER(SEARCH(Assumptions!$C$5,G738)),Assumptions!$D$5,IF(ISNUMBER(SEARCH(Assumptions!$C$6,G738)),Assumptions!$D$6,IF(ISNUMBER(SEARCH(Assumptions!$C$7,G738)),Assumptions!$D$7,"Other Services"))),"Other Services"))</f>
        <v/>
      </c>
    </row>
    <row r="739" customFormat="false" ht="15" hidden="false" customHeight="false" outlineLevel="0" collapsed="false">
      <c r="F739" s="41" t="str">
        <f aca="false">IF(E739="","",IFERROR(VLOOKUP(E739,Assumptions!$G$5:$H$16,2,0),"Other"))</f>
        <v/>
      </c>
      <c r="J739" s="41" t="str">
        <f aca="false">IF(G739="","",IFERROR(IF(ISNUMBER(SEARCH(Assumptions!$C$5,G739)),Assumptions!$D$5,IF(ISNUMBER(SEARCH(Assumptions!$C$6,G739)),Assumptions!$D$6,IF(ISNUMBER(SEARCH(Assumptions!$C$7,G739)),Assumptions!$D$7,"Other Services"))),"Other Services"))</f>
        <v/>
      </c>
    </row>
    <row r="740" customFormat="false" ht="15" hidden="false" customHeight="false" outlineLevel="0" collapsed="false">
      <c r="F740" s="41" t="str">
        <f aca="false">IF(E740="","",IFERROR(VLOOKUP(E740,Assumptions!$G$5:$H$16,2,0),"Other"))</f>
        <v/>
      </c>
      <c r="J740" s="41" t="str">
        <f aca="false">IF(G740="","",IFERROR(IF(ISNUMBER(SEARCH(Assumptions!$C$5,G740)),Assumptions!$D$5,IF(ISNUMBER(SEARCH(Assumptions!$C$6,G740)),Assumptions!$D$6,IF(ISNUMBER(SEARCH(Assumptions!$C$7,G740)),Assumptions!$D$7,"Other Services"))),"Other Services"))</f>
        <v/>
      </c>
    </row>
    <row r="741" customFormat="false" ht="15" hidden="false" customHeight="false" outlineLevel="0" collapsed="false">
      <c r="F741" s="41" t="str">
        <f aca="false">IF(E741="","",IFERROR(VLOOKUP(E741,Assumptions!$G$5:$H$16,2,0),"Other"))</f>
        <v/>
      </c>
      <c r="J741" s="41" t="str">
        <f aca="false">IF(G741="","",IFERROR(IF(ISNUMBER(SEARCH(Assumptions!$C$5,G741)),Assumptions!$D$5,IF(ISNUMBER(SEARCH(Assumptions!$C$6,G741)),Assumptions!$D$6,IF(ISNUMBER(SEARCH(Assumptions!$C$7,G741)),Assumptions!$D$7,"Other Services"))),"Other Services"))</f>
        <v/>
      </c>
    </row>
    <row r="742" customFormat="false" ht="15" hidden="false" customHeight="false" outlineLevel="0" collapsed="false">
      <c r="F742" s="41" t="str">
        <f aca="false">IF(E742="","",IFERROR(VLOOKUP(E742,Assumptions!$G$5:$H$16,2,0),"Other"))</f>
        <v/>
      </c>
      <c r="J742" s="41" t="str">
        <f aca="false">IF(G742="","",IFERROR(IF(ISNUMBER(SEARCH(Assumptions!$C$5,G742)),Assumptions!$D$5,IF(ISNUMBER(SEARCH(Assumptions!$C$6,G742)),Assumptions!$D$6,IF(ISNUMBER(SEARCH(Assumptions!$C$7,G742)),Assumptions!$D$7,"Other Services"))),"Other Services"))</f>
        <v/>
      </c>
    </row>
    <row r="743" customFormat="false" ht="15" hidden="false" customHeight="false" outlineLevel="0" collapsed="false">
      <c r="F743" s="41" t="str">
        <f aca="false">IF(E743="","",IFERROR(VLOOKUP(E743,Assumptions!$G$5:$H$16,2,0),"Other"))</f>
        <v/>
      </c>
      <c r="J743" s="41" t="str">
        <f aca="false">IF(G743="","",IFERROR(IF(ISNUMBER(SEARCH(Assumptions!$C$5,G743)),Assumptions!$D$5,IF(ISNUMBER(SEARCH(Assumptions!$C$6,G743)),Assumptions!$D$6,IF(ISNUMBER(SEARCH(Assumptions!$C$7,G743)),Assumptions!$D$7,"Other Services"))),"Other Services"))</f>
        <v/>
      </c>
    </row>
    <row r="744" customFormat="false" ht="15" hidden="false" customHeight="false" outlineLevel="0" collapsed="false">
      <c r="F744" s="41" t="str">
        <f aca="false">IF(E744="","",IFERROR(VLOOKUP(E744,Assumptions!$G$5:$H$16,2,0),"Other"))</f>
        <v/>
      </c>
      <c r="J744" s="41" t="str">
        <f aca="false">IF(G744="","",IFERROR(IF(ISNUMBER(SEARCH(Assumptions!$C$5,G744)),Assumptions!$D$5,IF(ISNUMBER(SEARCH(Assumptions!$C$6,G744)),Assumptions!$D$6,IF(ISNUMBER(SEARCH(Assumptions!$C$7,G744)),Assumptions!$D$7,"Other Services"))),"Other Services"))</f>
        <v/>
      </c>
    </row>
    <row r="745" customFormat="false" ht="15" hidden="false" customHeight="false" outlineLevel="0" collapsed="false">
      <c r="F745" s="41" t="str">
        <f aca="false">IF(E745="","",IFERROR(VLOOKUP(E745,Assumptions!$G$5:$H$16,2,0),"Other"))</f>
        <v/>
      </c>
      <c r="J745" s="41" t="str">
        <f aca="false">IF(G745="","",IFERROR(IF(ISNUMBER(SEARCH(Assumptions!$C$5,G745)),Assumptions!$D$5,IF(ISNUMBER(SEARCH(Assumptions!$C$6,G745)),Assumptions!$D$6,IF(ISNUMBER(SEARCH(Assumptions!$C$7,G745)),Assumptions!$D$7,"Other Services"))),"Other Services"))</f>
        <v/>
      </c>
    </row>
    <row r="746" customFormat="false" ht="15" hidden="false" customHeight="false" outlineLevel="0" collapsed="false">
      <c r="F746" s="41" t="str">
        <f aca="false">IF(E746="","",IFERROR(VLOOKUP(E746,Assumptions!$G$5:$H$16,2,0),"Other"))</f>
        <v/>
      </c>
      <c r="J746" s="41" t="str">
        <f aca="false">IF(G746="","",IFERROR(IF(ISNUMBER(SEARCH(Assumptions!$C$5,G746)),Assumptions!$D$5,IF(ISNUMBER(SEARCH(Assumptions!$C$6,G746)),Assumptions!$D$6,IF(ISNUMBER(SEARCH(Assumptions!$C$7,G746)),Assumptions!$D$7,"Other Services"))),"Other Services"))</f>
        <v/>
      </c>
    </row>
    <row r="747" customFormat="false" ht="15" hidden="false" customHeight="false" outlineLevel="0" collapsed="false">
      <c r="F747" s="41" t="str">
        <f aca="false">IF(E747="","",IFERROR(VLOOKUP(E747,Assumptions!$G$5:$H$16,2,0),"Other"))</f>
        <v/>
      </c>
      <c r="J747" s="41" t="str">
        <f aca="false">IF(G747="","",IFERROR(IF(ISNUMBER(SEARCH(Assumptions!$C$5,G747)),Assumptions!$D$5,IF(ISNUMBER(SEARCH(Assumptions!$C$6,G747)),Assumptions!$D$6,IF(ISNUMBER(SEARCH(Assumptions!$C$7,G747)),Assumptions!$D$7,"Other Services"))),"Other Services"))</f>
        <v/>
      </c>
    </row>
    <row r="748" customFormat="false" ht="15" hidden="false" customHeight="false" outlineLevel="0" collapsed="false">
      <c r="F748" s="41" t="str">
        <f aca="false">IF(E748="","",IFERROR(VLOOKUP(E748,Assumptions!$G$5:$H$16,2,0),"Other"))</f>
        <v/>
      </c>
      <c r="J748" s="41" t="str">
        <f aca="false">IF(G748="","",IFERROR(IF(ISNUMBER(SEARCH(Assumptions!$C$5,G748)),Assumptions!$D$5,IF(ISNUMBER(SEARCH(Assumptions!$C$6,G748)),Assumptions!$D$6,IF(ISNUMBER(SEARCH(Assumptions!$C$7,G748)),Assumptions!$D$7,"Other Services"))),"Other Services"))</f>
        <v/>
      </c>
    </row>
    <row r="749" customFormat="false" ht="15" hidden="false" customHeight="false" outlineLevel="0" collapsed="false">
      <c r="F749" s="41" t="str">
        <f aca="false">IF(E749="","",IFERROR(VLOOKUP(E749,Assumptions!$G$5:$H$16,2,0),"Other"))</f>
        <v/>
      </c>
      <c r="J749" s="41" t="str">
        <f aca="false">IF(G749="","",IFERROR(IF(ISNUMBER(SEARCH(Assumptions!$C$5,G749)),Assumptions!$D$5,IF(ISNUMBER(SEARCH(Assumptions!$C$6,G749)),Assumptions!$D$6,IF(ISNUMBER(SEARCH(Assumptions!$C$7,G749)),Assumptions!$D$7,"Other Services"))),"Other Services"))</f>
        <v/>
      </c>
    </row>
    <row r="750" customFormat="false" ht="15" hidden="false" customHeight="false" outlineLevel="0" collapsed="false">
      <c r="F750" s="41" t="str">
        <f aca="false">IF(E750="","",IFERROR(VLOOKUP(E750,Assumptions!$G$5:$H$16,2,0),"Other"))</f>
        <v/>
      </c>
      <c r="J750" s="41" t="str">
        <f aca="false">IF(G750="","",IFERROR(IF(ISNUMBER(SEARCH(Assumptions!$C$5,G750)),Assumptions!$D$5,IF(ISNUMBER(SEARCH(Assumptions!$C$6,G750)),Assumptions!$D$6,IF(ISNUMBER(SEARCH(Assumptions!$C$7,G750)),Assumptions!$D$7,"Other Services"))),"Other Services"))</f>
        <v/>
      </c>
    </row>
    <row r="751" customFormat="false" ht="15" hidden="false" customHeight="false" outlineLevel="0" collapsed="false">
      <c r="F751" s="41" t="str">
        <f aca="false">IF(E751="","",IFERROR(VLOOKUP(E751,Assumptions!$G$5:$H$16,2,0),"Other"))</f>
        <v/>
      </c>
      <c r="J751" s="41" t="str">
        <f aca="false">IF(G751="","",IFERROR(IF(ISNUMBER(SEARCH(Assumptions!$C$5,G751)),Assumptions!$D$5,IF(ISNUMBER(SEARCH(Assumptions!$C$6,G751)),Assumptions!$D$6,IF(ISNUMBER(SEARCH(Assumptions!$C$7,G751)),Assumptions!$D$7,"Other Services"))),"Other Services"))</f>
        <v/>
      </c>
    </row>
    <row r="752" customFormat="false" ht="15" hidden="false" customHeight="false" outlineLevel="0" collapsed="false">
      <c r="F752" s="41" t="str">
        <f aca="false">IF(E752="","",IFERROR(VLOOKUP(E752,Assumptions!$G$5:$H$16,2,0),"Other"))</f>
        <v/>
      </c>
      <c r="J752" s="41" t="str">
        <f aca="false">IF(G752="","",IFERROR(IF(ISNUMBER(SEARCH(Assumptions!$C$5,G752)),Assumptions!$D$5,IF(ISNUMBER(SEARCH(Assumptions!$C$6,G752)),Assumptions!$D$6,IF(ISNUMBER(SEARCH(Assumptions!$C$7,G752)),Assumptions!$D$7,"Other Services"))),"Other Services"))</f>
        <v/>
      </c>
    </row>
    <row r="753" customFormat="false" ht="15" hidden="false" customHeight="false" outlineLevel="0" collapsed="false">
      <c r="F753" s="41" t="str">
        <f aca="false">IF(E753="","",IFERROR(VLOOKUP(E753,Assumptions!$G$5:$H$16,2,0),"Other"))</f>
        <v/>
      </c>
      <c r="J753" s="41" t="str">
        <f aca="false">IF(G753="","",IFERROR(IF(ISNUMBER(SEARCH(Assumptions!$C$5,G753)),Assumptions!$D$5,IF(ISNUMBER(SEARCH(Assumptions!$C$6,G753)),Assumptions!$D$6,IF(ISNUMBER(SEARCH(Assumptions!$C$7,G753)),Assumptions!$D$7,"Other Services"))),"Other Services"))</f>
        <v/>
      </c>
    </row>
    <row r="754" customFormat="false" ht="15" hidden="false" customHeight="false" outlineLevel="0" collapsed="false">
      <c r="F754" s="41" t="str">
        <f aca="false">IF(E754="","",IFERROR(VLOOKUP(E754,Assumptions!$G$5:$H$16,2,0),"Other"))</f>
        <v/>
      </c>
      <c r="J754" s="41" t="str">
        <f aca="false">IF(G754="","",IFERROR(IF(ISNUMBER(SEARCH(Assumptions!$C$5,G754)),Assumptions!$D$5,IF(ISNUMBER(SEARCH(Assumptions!$C$6,G754)),Assumptions!$D$6,IF(ISNUMBER(SEARCH(Assumptions!$C$7,G754)),Assumptions!$D$7,"Other Services"))),"Other Services"))</f>
        <v/>
      </c>
    </row>
    <row r="755" customFormat="false" ht="15" hidden="false" customHeight="false" outlineLevel="0" collapsed="false">
      <c r="F755" s="41" t="str">
        <f aca="false">IF(E755="","",IFERROR(VLOOKUP(E755,Assumptions!$G$5:$H$16,2,0),"Other"))</f>
        <v/>
      </c>
      <c r="J755" s="41" t="str">
        <f aca="false">IF(G755="","",IFERROR(IF(ISNUMBER(SEARCH(Assumptions!$C$5,G755)),Assumptions!$D$5,IF(ISNUMBER(SEARCH(Assumptions!$C$6,G755)),Assumptions!$D$6,IF(ISNUMBER(SEARCH(Assumptions!$C$7,G755)),Assumptions!$D$7,"Other Services"))),"Other Services"))</f>
        <v/>
      </c>
    </row>
    <row r="756" customFormat="false" ht="15" hidden="false" customHeight="false" outlineLevel="0" collapsed="false">
      <c r="F756" s="41" t="str">
        <f aca="false">IF(E756="","",IFERROR(VLOOKUP(E756,Assumptions!$G$5:$H$16,2,0),"Other"))</f>
        <v/>
      </c>
      <c r="J756" s="41" t="str">
        <f aca="false">IF(G756="","",IFERROR(IF(ISNUMBER(SEARCH(Assumptions!$C$5,G756)),Assumptions!$D$5,IF(ISNUMBER(SEARCH(Assumptions!$C$6,G756)),Assumptions!$D$6,IF(ISNUMBER(SEARCH(Assumptions!$C$7,G756)),Assumptions!$D$7,"Other Services"))),"Other Services"))</f>
        <v/>
      </c>
    </row>
    <row r="757" customFormat="false" ht="15" hidden="false" customHeight="false" outlineLevel="0" collapsed="false">
      <c r="F757" s="41" t="str">
        <f aca="false">IF(E757="","",IFERROR(VLOOKUP(E757,Assumptions!$G$5:$H$16,2,0),"Other"))</f>
        <v/>
      </c>
      <c r="J757" s="41" t="str">
        <f aca="false">IF(G757="","",IFERROR(IF(ISNUMBER(SEARCH(Assumptions!$C$5,G757)),Assumptions!$D$5,IF(ISNUMBER(SEARCH(Assumptions!$C$6,G757)),Assumptions!$D$6,IF(ISNUMBER(SEARCH(Assumptions!$C$7,G757)),Assumptions!$D$7,"Other Services"))),"Other Services"))</f>
        <v/>
      </c>
    </row>
    <row r="758" customFormat="false" ht="15" hidden="false" customHeight="false" outlineLevel="0" collapsed="false">
      <c r="F758" s="41" t="str">
        <f aca="false">IF(E758="","",IFERROR(VLOOKUP(E758,Assumptions!$G$5:$H$16,2,0),"Other"))</f>
        <v/>
      </c>
      <c r="J758" s="41" t="str">
        <f aca="false">IF(G758="","",IFERROR(IF(ISNUMBER(SEARCH(Assumptions!$C$5,G758)),Assumptions!$D$5,IF(ISNUMBER(SEARCH(Assumptions!$C$6,G758)),Assumptions!$D$6,IF(ISNUMBER(SEARCH(Assumptions!$C$7,G758)),Assumptions!$D$7,"Other Services"))),"Other Services"))</f>
        <v/>
      </c>
    </row>
    <row r="759" customFormat="false" ht="15" hidden="false" customHeight="false" outlineLevel="0" collapsed="false">
      <c r="F759" s="41" t="str">
        <f aca="false">IF(E759="","",IFERROR(VLOOKUP(E759,Assumptions!$G$5:$H$16,2,0),"Other"))</f>
        <v/>
      </c>
      <c r="J759" s="41" t="str">
        <f aca="false">IF(G759="","",IFERROR(IF(ISNUMBER(SEARCH(Assumptions!$C$5,G759)),Assumptions!$D$5,IF(ISNUMBER(SEARCH(Assumptions!$C$6,G759)),Assumptions!$D$6,IF(ISNUMBER(SEARCH(Assumptions!$C$7,G759)),Assumptions!$D$7,"Other Services"))),"Other Services"))</f>
        <v/>
      </c>
    </row>
    <row r="760" customFormat="false" ht="15" hidden="false" customHeight="false" outlineLevel="0" collapsed="false">
      <c r="F760" s="41" t="str">
        <f aca="false">IF(E760="","",IFERROR(VLOOKUP(E760,Assumptions!$G$5:$H$16,2,0),"Other"))</f>
        <v/>
      </c>
      <c r="J760" s="41" t="str">
        <f aca="false">IF(G760="","",IFERROR(IF(ISNUMBER(SEARCH(Assumptions!$C$5,G760)),Assumptions!$D$5,IF(ISNUMBER(SEARCH(Assumptions!$C$6,G760)),Assumptions!$D$6,IF(ISNUMBER(SEARCH(Assumptions!$C$7,G760)),Assumptions!$D$7,"Other Services"))),"Other Services"))</f>
        <v/>
      </c>
    </row>
    <row r="761" customFormat="false" ht="15" hidden="false" customHeight="false" outlineLevel="0" collapsed="false">
      <c r="F761" s="41" t="str">
        <f aca="false">IF(E761="","",IFERROR(VLOOKUP(E761,Assumptions!$G$5:$H$16,2,0),"Other"))</f>
        <v/>
      </c>
      <c r="J761" s="41" t="str">
        <f aca="false">IF(G761="","",IFERROR(IF(ISNUMBER(SEARCH(Assumptions!$C$5,G761)),Assumptions!$D$5,IF(ISNUMBER(SEARCH(Assumptions!$C$6,G761)),Assumptions!$D$6,IF(ISNUMBER(SEARCH(Assumptions!$C$7,G761)),Assumptions!$D$7,"Other Services"))),"Other Services"))</f>
        <v/>
      </c>
    </row>
    <row r="762" customFormat="false" ht="15" hidden="false" customHeight="false" outlineLevel="0" collapsed="false">
      <c r="F762" s="41" t="str">
        <f aca="false">IF(E762="","",IFERROR(VLOOKUP(E762,Assumptions!$G$5:$H$16,2,0),"Other"))</f>
        <v/>
      </c>
      <c r="J762" s="41" t="str">
        <f aca="false">IF(G762="","",IFERROR(IF(ISNUMBER(SEARCH(Assumptions!$C$5,G762)),Assumptions!$D$5,IF(ISNUMBER(SEARCH(Assumptions!$C$6,G762)),Assumptions!$D$6,IF(ISNUMBER(SEARCH(Assumptions!$C$7,G762)),Assumptions!$D$7,"Other Services"))),"Other Services"))</f>
        <v/>
      </c>
    </row>
    <row r="763" customFormat="false" ht="15" hidden="false" customHeight="false" outlineLevel="0" collapsed="false">
      <c r="F763" s="41" t="str">
        <f aca="false">IF(E763="","",IFERROR(VLOOKUP(E763,Assumptions!$G$5:$H$16,2,0),"Other"))</f>
        <v/>
      </c>
      <c r="J763" s="41" t="str">
        <f aca="false">IF(G763="","",IFERROR(IF(ISNUMBER(SEARCH(Assumptions!$C$5,G763)),Assumptions!$D$5,IF(ISNUMBER(SEARCH(Assumptions!$C$6,G763)),Assumptions!$D$6,IF(ISNUMBER(SEARCH(Assumptions!$C$7,G763)),Assumptions!$D$7,"Other Services"))),"Other Services"))</f>
        <v/>
      </c>
    </row>
    <row r="764" customFormat="false" ht="15" hidden="false" customHeight="false" outlineLevel="0" collapsed="false">
      <c r="F764" s="41" t="str">
        <f aca="false">IF(E764="","",IFERROR(VLOOKUP(E764,Assumptions!$G$5:$H$16,2,0),"Other"))</f>
        <v/>
      </c>
      <c r="J764" s="41" t="str">
        <f aca="false">IF(G764="","",IFERROR(IF(ISNUMBER(SEARCH(Assumptions!$C$5,G764)),Assumptions!$D$5,IF(ISNUMBER(SEARCH(Assumptions!$C$6,G764)),Assumptions!$D$6,IF(ISNUMBER(SEARCH(Assumptions!$C$7,G764)),Assumptions!$D$7,"Other Services"))),"Other Services"))</f>
        <v/>
      </c>
    </row>
    <row r="765" customFormat="false" ht="15" hidden="false" customHeight="false" outlineLevel="0" collapsed="false">
      <c r="F765" s="41" t="str">
        <f aca="false">IF(E765="","",IFERROR(VLOOKUP(E765,Assumptions!$G$5:$H$16,2,0),"Other"))</f>
        <v/>
      </c>
      <c r="J765" s="41" t="str">
        <f aca="false">IF(G765="","",IFERROR(IF(ISNUMBER(SEARCH(Assumptions!$C$5,G765)),Assumptions!$D$5,IF(ISNUMBER(SEARCH(Assumptions!$C$6,G765)),Assumptions!$D$6,IF(ISNUMBER(SEARCH(Assumptions!$C$7,G765)),Assumptions!$D$7,"Other Services"))),"Other Services"))</f>
        <v/>
      </c>
    </row>
    <row r="766" customFormat="false" ht="15" hidden="false" customHeight="false" outlineLevel="0" collapsed="false">
      <c r="F766" s="41" t="str">
        <f aca="false">IF(E766="","",IFERROR(VLOOKUP(E766,Assumptions!$G$5:$H$16,2,0),"Other"))</f>
        <v/>
      </c>
      <c r="J766" s="41" t="str">
        <f aca="false">IF(G766="","",IFERROR(IF(ISNUMBER(SEARCH(Assumptions!$C$5,G766)),Assumptions!$D$5,IF(ISNUMBER(SEARCH(Assumptions!$C$6,G766)),Assumptions!$D$6,IF(ISNUMBER(SEARCH(Assumptions!$C$7,G766)),Assumptions!$D$7,"Other Services"))),"Other Services"))</f>
        <v/>
      </c>
    </row>
    <row r="767" customFormat="false" ht="15" hidden="false" customHeight="false" outlineLevel="0" collapsed="false">
      <c r="F767" s="41" t="str">
        <f aca="false">IF(E767="","",IFERROR(VLOOKUP(E767,Assumptions!$G$5:$H$16,2,0),"Other"))</f>
        <v/>
      </c>
      <c r="J767" s="41" t="str">
        <f aca="false">IF(G767="","",IFERROR(IF(ISNUMBER(SEARCH(Assumptions!$C$5,G767)),Assumptions!$D$5,IF(ISNUMBER(SEARCH(Assumptions!$C$6,G767)),Assumptions!$D$6,IF(ISNUMBER(SEARCH(Assumptions!$C$7,G767)),Assumptions!$D$7,"Other Services"))),"Other Services"))</f>
        <v/>
      </c>
    </row>
    <row r="768" customFormat="false" ht="15" hidden="false" customHeight="false" outlineLevel="0" collapsed="false">
      <c r="F768" s="41" t="str">
        <f aca="false">IF(E768="","",IFERROR(VLOOKUP(E768,Assumptions!$G$5:$H$16,2,0),"Other"))</f>
        <v/>
      </c>
      <c r="J768" s="41" t="str">
        <f aca="false">IF(G768="","",IFERROR(IF(ISNUMBER(SEARCH(Assumptions!$C$5,G768)),Assumptions!$D$5,IF(ISNUMBER(SEARCH(Assumptions!$C$6,G768)),Assumptions!$D$6,IF(ISNUMBER(SEARCH(Assumptions!$C$7,G768)),Assumptions!$D$7,"Other Services"))),"Other Services"))</f>
        <v/>
      </c>
    </row>
    <row r="769" customFormat="false" ht="15" hidden="false" customHeight="false" outlineLevel="0" collapsed="false">
      <c r="F769" s="41" t="str">
        <f aca="false">IF(E769="","",IFERROR(VLOOKUP(E769,Assumptions!$G$5:$H$16,2,0),"Other"))</f>
        <v/>
      </c>
      <c r="J769" s="41" t="str">
        <f aca="false">IF(G769="","",IFERROR(IF(ISNUMBER(SEARCH(Assumptions!$C$5,G769)),Assumptions!$D$5,IF(ISNUMBER(SEARCH(Assumptions!$C$6,G769)),Assumptions!$D$6,IF(ISNUMBER(SEARCH(Assumptions!$C$7,G769)),Assumptions!$D$7,"Other Services"))),"Other Services"))</f>
        <v/>
      </c>
    </row>
    <row r="770" customFormat="false" ht="15" hidden="false" customHeight="false" outlineLevel="0" collapsed="false">
      <c r="F770" s="41" t="str">
        <f aca="false">IF(E770="","",IFERROR(VLOOKUP(E770,Assumptions!$G$5:$H$16,2,0),"Other"))</f>
        <v/>
      </c>
      <c r="J770" s="41" t="str">
        <f aca="false">IF(G770="","",IFERROR(IF(ISNUMBER(SEARCH(Assumptions!$C$5,G770)),Assumptions!$D$5,IF(ISNUMBER(SEARCH(Assumptions!$C$6,G770)),Assumptions!$D$6,IF(ISNUMBER(SEARCH(Assumptions!$C$7,G770)),Assumptions!$D$7,"Other Services"))),"Other Services"))</f>
        <v/>
      </c>
    </row>
    <row r="771" customFormat="false" ht="15" hidden="false" customHeight="false" outlineLevel="0" collapsed="false">
      <c r="F771" s="41" t="str">
        <f aca="false">IF(E771="","",IFERROR(VLOOKUP(E771,Assumptions!$G$5:$H$16,2,0),"Other"))</f>
        <v/>
      </c>
      <c r="J771" s="41" t="str">
        <f aca="false">IF(G771="","",IFERROR(IF(ISNUMBER(SEARCH(Assumptions!$C$5,G771)),Assumptions!$D$5,IF(ISNUMBER(SEARCH(Assumptions!$C$6,G771)),Assumptions!$D$6,IF(ISNUMBER(SEARCH(Assumptions!$C$7,G771)),Assumptions!$D$7,"Other Services"))),"Other Services"))</f>
        <v/>
      </c>
    </row>
    <row r="772" customFormat="false" ht="15" hidden="false" customHeight="false" outlineLevel="0" collapsed="false">
      <c r="F772" s="41" t="str">
        <f aca="false">IF(E772="","",IFERROR(VLOOKUP(E772,Assumptions!$G$5:$H$16,2,0),"Other"))</f>
        <v/>
      </c>
      <c r="J772" s="41" t="str">
        <f aca="false">IF(G772="","",IFERROR(IF(ISNUMBER(SEARCH(Assumptions!$C$5,G772)),Assumptions!$D$5,IF(ISNUMBER(SEARCH(Assumptions!$C$6,G772)),Assumptions!$D$6,IF(ISNUMBER(SEARCH(Assumptions!$C$7,G772)),Assumptions!$D$7,"Other Services"))),"Other Services"))</f>
        <v/>
      </c>
    </row>
    <row r="773" customFormat="false" ht="15" hidden="false" customHeight="false" outlineLevel="0" collapsed="false">
      <c r="F773" s="41" t="str">
        <f aca="false">IF(E773="","",IFERROR(VLOOKUP(E773,Assumptions!$G$5:$H$16,2,0),"Other"))</f>
        <v/>
      </c>
      <c r="J773" s="41" t="str">
        <f aca="false">IF(G773="","",IFERROR(IF(ISNUMBER(SEARCH(Assumptions!$C$5,G773)),Assumptions!$D$5,IF(ISNUMBER(SEARCH(Assumptions!$C$6,G773)),Assumptions!$D$6,IF(ISNUMBER(SEARCH(Assumptions!$C$7,G773)),Assumptions!$D$7,"Other Services"))),"Other Services"))</f>
        <v/>
      </c>
    </row>
    <row r="774" customFormat="false" ht="15" hidden="false" customHeight="false" outlineLevel="0" collapsed="false">
      <c r="F774" s="41" t="str">
        <f aca="false">IF(E774="","",IFERROR(VLOOKUP(E774,Assumptions!$G$5:$H$16,2,0),"Other"))</f>
        <v/>
      </c>
      <c r="J774" s="41" t="str">
        <f aca="false">IF(G774="","",IFERROR(IF(ISNUMBER(SEARCH(Assumptions!$C$5,G774)),Assumptions!$D$5,IF(ISNUMBER(SEARCH(Assumptions!$C$6,G774)),Assumptions!$D$6,IF(ISNUMBER(SEARCH(Assumptions!$C$7,G774)),Assumptions!$D$7,"Other Services"))),"Other Services"))</f>
        <v/>
      </c>
    </row>
    <row r="775" customFormat="false" ht="15" hidden="false" customHeight="false" outlineLevel="0" collapsed="false">
      <c r="F775" s="41" t="str">
        <f aca="false">IF(E775="","",IFERROR(VLOOKUP(E775,Assumptions!$G$5:$H$16,2,0),"Other"))</f>
        <v/>
      </c>
      <c r="J775" s="41" t="str">
        <f aca="false">IF(G775="","",IFERROR(IF(ISNUMBER(SEARCH(Assumptions!$C$5,G775)),Assumptions!$D$5,IF(ISNUMBER(SEARCH(Assumptions!$C$6,G775)),Assumptions!$D$6,IF(ISNUMBER(SEARCH(Assumptions!$C$7,G775)),Assumptions!$D$7,"Other Services"))),"Other Services"))</f>
        <v/>
      </c>
    </row>
    <row r="776" customFormat="false" ht="15" hidden="false" customHeight="false" outlineLevel="0" collapsed="false">
      <c r="F776" s="41" t="str">
        <f aca="false">IF(E776="","",IFERROR(VLOOKUP(E776,Assumptions!$G$5:$H$16,2,0),"Other"))</f>
        <v/>
      </c>
      <c r="J776" s="41" t="str">
        <f aca="false">IF(G776="","",IFERROR(IF(ISNUMBER(SEARCH(Assumptions!$C$5,G776)),Assumptions!$D$5,IF(ISNUMBER(SEARCH(Assumptions!$C$6,G776)),Assumptions!$D$6,IF(ISNUMBER(SEARCH(Assumptions!$C$7,G776)),Assumptions!$D$7,"Other Services"))),"Other Services"))</f>
        <v/>
      </c>
    </row>
    <row r="777" customFormat="false" ht="15" hidden="false" customHeight="false" outlineLevel="0" collapsed="false">
      <c r="F777" s="41" t="str">
        <f aca="false">IF(E777="","",IFERROR(VLOOKUP(E777,Assumptions!$G$5:$H$16,2,0),"Other"))</f>
        <v/>
      </c>
      <c r="J777" s="41" t="str">
        <f aca="false">IF(G777="","",IFERROR(IF(ISNUMBER(SEARCH(Assumptions!$C$5,G777)),Assumptions!$D$5,IF(ISNUMBER(SEARCH(Assumptions!$C$6,G777)),Assumptions!$D$6,IF(ISNUMBER(SEARCH(Assumptions!$C$7,G777)),Assumptions!$D$7,"Other Services"))),"Other Services"))</f>
        <v/>
      </c>
    </row>
    <row r="778" customFormat="false" ht="15" hidden="false" customHeight="false" outlineLevel="0" collapsed="false">
      <c r="F778" s="41" t="str">
        <f aca="false">IF(E778="","",IFERROR(VLOOKUP(E778,Assumptions!$G$5:$H$16,2,0),"Other"))</f>
        <v/>
      </c>
      <c r="J778" s="41" t="str">
        <f aca="false">IF(G778="","",IFERROR(IF(ISNUMBER(SEARCH(Assumptions!$C$5,G778)),Assumptions!$D$5,IF(ISNUMBER(SEARCH(Assumptions!$C$6,G778)),Assumptions!$D$6,IF(ISNUMBER(SEARCH(Assumptions!$C$7,G778)),Assumptions!$D$7,"Other Services"))),"Other Services"))</f>
        <v/>
      </c>
    </row>
    <row r="779" customFormat="false" ht="15" hidden="false" customHeight="false" outlineLevel="0" collapsed="false">
      <c r="F779" s="41" t="str">
        <f aca="false">IF(E779="","",IFERROR(VLOOKUP(E779,Assumptions!$G$5:$H$16,2,0),"Other"))</f>
        <v/>
      </c>
      <c r="J779" s="41" t="str">
        <f aca="false">IF(G779="","",IFERROR(IF(ISNUMBER(SEARCH(Assumptions!$C$5,G779)),Assumptions!$D$5,IF(ISNUMBER(SEARCH(Assumptions!$C$6,G779)),Assumptions!$D$6,IF(ISNUMBER(SEARCH(Assumptions!$C$7,G779)),Assumptions!$D$7,"Other Services"))),"Other Services"))</f>
        <v/>
      </c>
    </row>
    <row r="780" customFormat="false" ht="15" hidden="false" customHeight="false" outlineLevel="0" collapsed="false">
      <c r="F780" s="41" t="str">
        <f aca="false">IF(E780="","",IFERROR(VLOOKUP(E780,Assumptions!$G$5:$H$16,2,0),"Other"))</f>
        <v/>
      </c>
      <c r="J780" s="41" t="str">
        <f aca="false">IF(G780="","",IFERROR(IF(ISNUMBER(SEARCH(Assumptions!$C$5,G780)),Assumptions!$D$5,IF(ISNUMBER(SEARCH(Assumptions!$C$6,G780)),Assumptions!$D$6,IF(ISNUMBER(SEARCH(Assumptions!$C$7,G780)),Assumptions!$D$7,"Other Services"))),"Other Services"))</f>
        <v/>
      </c>
    </row>
    <row r="781" customFormat="false" ht="15" hidden="false" customHeight="false" outlineLevel="0" collapsed="false">
      <c r="F781" s="41" t="str">
        <f aca="false">IF(E781="","",IFERROR(VLOOKUP(E781,Assumptions!$G$5:$H$16,2,0),"Other"))</f>
        <v/>
      </c>
      <c r="J781" s="41" t="str">
        <f aca="false">IF(G781="","",IFERROR(IF(ISNUMBER(SEARCH(Assumptions!$C$5,G781)),Assumptions!$D$5,IF(ISNUMBER(SEARCH(Assumptions!$C$6,G781)),Assumptions!$D$6,IF(ISNUMBER(SEARCH(Assumptions!$C$7,G781)),Assumptions!$D$7,"Other Services"))),"Other Services"))</f>
        <v/>
      </c>
    </row>
    <row r="782" customFormat="false" ht="15" hidden="false" customHeight="false" outlineLevel="0" collapsed="false">
      <c r="F782" s="41" t="str">
        <f aca="false">IF(E782="","",IFERROR(VLOOKUP(E782,Assumptions!$G$5:$H$16,2,0),"Other"))</f>
        <v/>
      </c>
      <c r="J782" s="41" t="str">
        <f aca="false">IF(G782="","",IFERROR(IF(ISNUMBER(SEARCH(Assumptions!$C$5,G782)),Assumptions!$D$5,IF(ISNUMBER(SEARCH(Assumptions!$C$6,G782)),Assumptions!$D$6,IF(ISNUMBER(SEARCH(Assumptions!$C$7,G782)),Assumptions!$D$7,"Other Services"))),"Other Services"))</f>
        <v/>
      </c>
    </row>
    <row r="783" customFormat="false" ht="15" hidden="false" customHeight="false" outlineLevel="0" collapsed="false">
      <c r="F783" s="41" t="str">
        <f aca="false">IF(E783="","",IFERROR(VLOOKUP(E783,Assumptions!$G$5:$H$16,2,0),"Other"))</f>
        <v/>
      </c>
      <c r="J783" s="41" t="str">
        <f aca="false">IF(G783="","",IFERROR(IF(ISNUMBER(SEARCH(Assumptions!$C$5,G783)),Assumptions!$D$5,IF(ISNUMBER(SEARCH(Assumptions!$C$6,G783)),Assumptions!$D$6,IF(ISNUMBER(SEARCH(Assumptions!$C$7,G783)),Assumptions!$D$7,"Other Services"))),"Other Services"))</f>
        <v/>
      </c>
    </row>
    <row r="784" customFormat="false" ht="15" hidden="false" customHeight="false" outlineLevel="0" collapsed="false">
      <c r="F784" s="41" t="str">
        <f aca="false">IF(E784="","",IFERROR(VLOOKUP(E784,Assumptions!$G$5:$H$16,2,0),"Other"))</f>
        <v/>
      </c>
      <c r="J784" s="41" t="str">
        <f aca="false">IF(G784="","",IFERROR(IF(ISNUMBER(SEARCH(Assumptions!$C$5,G784)),Assumptions!$D$5,IF(ISNUMBER(SEARCH(Assumptions!$C$6,G784)),Assumptions!$D$6,IF(ISNUMBER(SEARCH(Assumptions!$C$7,G784)),Assumptions!$D$7,"Other Services"))),"Other Services"))</f>
        <v/>
      </c>
    </row>
    <row r="785" customFormat="false" ht="15" hidden="false" customHeight="false" outlineLevel="0" collapsed="false">
      <c r="F785" s="41" t="str">
        <f aca="false">IF(E785="","",IFERROR(VLOOKUP(E785,Assumptions!$G$5:$H$16,2,0),"Other"))</f>
        <v/>
      </c>
      <c r="J785" s="41" t="str">
        <f aca="false">IF(G785="","",IFERROR(IF(ISNUMBER(SEARCH(Assumptions!$C$5,G785)),Assumptions!$D$5,IF(ISNUMBER(SEARCH(Assumptions!$C$6,G785)),Assumptions!$D$6,IF(ISNUMBER(SEARCH(Assumptions!$C$7,G785)),Assumptions!$D$7,"Other Services"))),"Other Services"))</f>
        <v/>
      </c>
    </row>
    <row r="786" customFormat="false" ht="15" hidden="false" customHeight="false" outlineLevel="0" collapsed="false">
      <c r="F786" s="41" t="str">
        <f aca="false">IF(E786="","",IFERROR(VLOOKUP(E786,Assumptions!$G$5:$H$16,2,0),"Other"))</f>
        <v/>
      </c>
      <c r="J786" s="41" t="str">
        <f aca="false">IF(G786="","",IFERROR(IF(ISNUMBER(SEARCH(Assumptions!$C$5,G786)),Assumptions!$D$5,IF(ISNUMBER(SEARCH(Assumptions!$C$6,G786)),Assumptions!$D$6,IF(ISNUMBER(SEARCH(Assumptions!$C$7,G786)),Assumptions!$D$7,"Other Services"))),"Other Services"))</f>
        <v/>
      </c>
    </row>
    <row r="787" customFormat="false" ht="15" hidden="false" customHeight="false" outlineLevel="0" collapsed="false">
      <c r="F787" s="41" t="str">
        <f aca="false">IF(E787="","",IFERROR(VLOOKUP(E787,Assumptions!$G$5:$H$16,2,0),"Other"))</f>
        <v/>
      </c>
      <c r="J787" s="41" t="str">
        <f aca="false">IF(G787="","",IFERROR(IF(ISNUMBER(SEARCH(Assumptions!$C$5,G787)),Assumptions!$D$5,IF(ISNUMBER(SEARCH(Assumptions!$C$6,G787)),Assumptions!$D$6,IF(ISNUMBER(SEARCH(Assumptions!$C$7,G787)),Assumptions!$D$7,"Other Services"))),"Other Services"))</f>
        <v/>
      </c>
    </row>
    <row r="788" customFormat="false" ht="15" hidden="false" customHeight="false" outlineLevel="0" collapsed="false">
      <c r="F788" s="41" t="str">
        <f aca="false">IF(E788="","",IFERROR(VLOOKUP(E788,Assumptions!$G$5:$H$16,2,0),"Other"))</f>
        <v/>
      </c>
      <c r="J788" s="41" t="str">
        <f aca="false">IF(G788="","",IFERROR(IF(ISNUMBER(SEARCH(Assumptions!$C$5,G788)),Assumptions!$D$5,IF(ISNUMBER(SEARCH(Assumptions!$C$6,G788)),Assumptions!$D$6,IF(ISNUMBER(SEARCH(Assumptions!$C$7,G788)),Assumptions!$D$7,"Other Services"))),"Other Services"))</f>
        <v/>
      </c>
    </row>
    <row r="789" customFormat="false" ht="15" hidden="false" customHeight="false" outlineLevel="0" collapsed="false">
      <c r="F789" s="41" t="str">
        <f aca="false">IF(E789="","",IFERROR(VLOOKUP(E789,Assumptions!$G$5:$H$16,2,0),"Other"))</f>
        <v/>
      </c>
      <c r="J789" s="41" t="str">
        <f aca="false">IF(G789="","",IFERROR(IF(ISNUMBER(SEARCH(Assumptions!$C$5,G789)),Assumptions!$D$5,IF(ISNUMBER(SEARCH(Assumptions!$C$6,G789)),Assumptions!$D$6,IF(ISNUMBER(SEARCH(Assumptions!$C$7,G789)),Assumptions!$D$7,"Other Services"))),"Other Services"))</f>
        <v/>
      </c>
    </row>
    <row r="790" customFormat="false" ht="15" hidden="false" customHeight="false" outlineLevel="0" collapsed="false">
      <c r="F790" s="41" t="str">
        <f aca="false">IF(E790="","",IFERROR(VLOOKUP(E790,Assumptions!$G$5:$H$16,2,0),"Other"))</f>
        <v/>
      </c>
      <c r="J790" s="41" t="str">
        <f aca="false">IF(G790="","",IFERROR(IF(ISNUMBER(SEARCH(Assumptions!$C$5,G790)),Assumptions!$D$5,IF(ISNUMBER(SEARCH(Assumptions!$C$6,G790)),Assumptions!$D$6,IF(ISNUMBER(SEARCH(Assumptions!$C$7,G790)),Assumptions!$D$7,"Other Services"))),"Other Services"))</f>
        <v/>
      </c>
    </row>
    <row r="791" customFormat="false" ht="15" hidden="false" customHeight="false" outlineLevel="0" collapsed="false">
      <c r="F791" s="41" t="str">
        <f aca="false">IF(E791="","",IFERROR(VLOOKUP(E791,Assumptions!$G$5:$H$16,2,0),"Other"))</f>
        <v/>
      </c>
      <c r="J791" s="41" t="str">
        <f aca="false">IF(G791="","",IFERROR(IF(ISNUMBER(SEARCH(Assumptions!$C$5,G791)),Assumptions!$D$5,IF(ISNUMBER(SEARCH(Assumptions!$C$6,G791)),Assumptions!$D$6,IF(ISNUMBER(SEARCH(Assumptions!$C$7,G791)),Assumptions!$D$7,"Other Services"))),"Other Services"))</f>
        <v/>
      </c>
    </row>
    <row r="792" customFormat="false" ht="15" hidden="false" customHeight="false" outlineLevel="0" collapsed="false">
      <c r="F792" s="41" t="str">
        <f aca="false">IF(E792="","",IFERROR(VLOOKUP(E792,Assumptions!$G$5:$H$16,2,0),"Other"))</f>
        <v/>
      </c>
      <c r="J792" s="41" t="str">
        <f aca="false">IF(G792="","",IFERROR(IF(ISNUMBER(SEARCH(Assumptions!$C$5,G792)),Assumptions!$D$5,IF(ISNUMBER(SEARCH(Assumptions!$C$6,G792)),Assumptions!$D$6,IF(ISNUMBER(SEARCH(Assumptions!$C$7,G792)),Assumptions!$D$7,"Other Services"))),"Other Services"))</f>
        <v/>
      </c>
    </row>
    <row r="793" customFormat="false" ht="15" hidden="false" customHeight="false" outlineLevel="0" collapsed="false">
      <c r="F793" s="41" t="str">
        <f aca="false">IF(E793="","",IFERROR(VLOOKUP(E793,Assumptions!$G$5:$H$16,2,0),"Other"))</f>
        <v/>
      </c>
      <c r="J793" s="41" t="str">
        <f aca="false">IF(G793="","",IFERROR(IF(ISNUMBER(SEARCH(Assumptions!$C$5,G793)),Assumptions!$D$5,IF(ISNUMBER(SEARCH(Assumptions!$C$6,G793)),Assumptions!$D$6,IF(ISNUMBER(SEARCH(Assumptions!$C$7,G793)),Assumptions!$D$7,"Other Services"))),"Other Services"))</f>
        <v/>
      </c>
    </row>
    <row r="794" customFormat="false" ht="15" hidden="false" customHeight="false" outlineLevel="0" collapsed="false">
      <c r="F794" s="41" t="str">
        <f aca="false">IF(E794="","",IFERROR(VLOOKUP(E794,Assumptions!$G$5:$H$16,2,0),"Other"))</f>
        <v/>
      </c>
      <c r="J794" s="41" t="str">
        <f aca="false">IF(G794="","",IFERROR(IF(ISNUMBER(SEARCH(Assumptions!$C$5,G794)),Assumptions!$D$5,IF(ISNUMBER(SEARCH(Assumptions!$C$6,G794)),Assumptions!$D$6,IF(ISNUMBER(SEARCH(Assumptions!$C$7,G794)),Assumptions!$D$7,"Other Services"))),"Other Services"))</f>
        <v/>
      </c>
    </row>
    <row r="795" customFormat="false" ht="15" hidden="false" customHeight="false" outlineLevel="0" collapsed="false">
      <c r="F795" s="41" t="str">
        <f aca="false">IF(E795="","",IFERROR(VLOOKUP(E795,Assumptions!$G$5:$H$16,2,0),"Other"))</f>
        <v/>
      </c>
      <c r="J795" s="41" t="str">
        <f aca="false">IF(G795="","",IFERROR(IF(ISNUMBER(SEARCH(Assumptions!$C$5,G795)),Assumptions!$D$5,IF(ISNUMBER(SEARCH(Assumptions!$C$6,G795)),Assumptions!$D$6,IF(ISNUMBER(SEARCH(Assumptions!$C$7,G795)),Assumptions!$D$7,"Other Services"))),"Other Services"))</f>
        <v/>
      </c>
    </row>
    <row r="796" customFormat="false" ht="15" hidden="false" customHeight="false" outlineLevel="0" collapsed="false">
      <c r="F796" s="41" t="str">
        <f aca="false">IF(E796="","",IFERROR(VLOOKUP(E796,Assumptions!$G$5:$H$16,2,0),"Other"))</f>
        <v/>
      </c>
      <c r="J796" s="41" t="str">
        <f aca="false">IF(G796="","",IFERROR(IF(ISNUMBER(SEARCH(Assumptions!$C$5,G796)),Assumptions!$D$5,IF(ISNUMBER(SEARCH(Assumptions!$C$6,G796)),Assumptions!$D$6,IF(ISNUMBER(SEARCH(Assumptions!$C$7,G796)),Assumptions!$D$7,"Other Services"))),"Other Services"))</f>
        <v/>
      </c>
    </row>
    <row r="797" customFormat="false" ht="15" hidden="false" customHeight="false" outlineLevel="0" collapsed="false">
      <c r="F797" s="41" t="str">
        <f aca="false">IF(E797="","",IFERROR(VLOOKUP(E797,Assumptions!$G$5:$H$16,2,0),"Other"))</f>
        <v/>
      </c>
      <c r="J797" s="41" t="str">
        <f aca="false">IF(G797="","",IFERROR(IF(ISNUMBER(SEARCH(Assumptions!$C$5,G797)),Assumptions!$D$5,IF(ISNUMBER(SEARCH(Assumptions!$C$6,G797)),Assumptions!$D$6,IF(ISNUMBER(SEARCH(Assumptions!$C$7,G797)),Assumptions!$D$7,"Other Services"))),"Other Services"))</f>
        <v/>
      </c>
    </row>
    <row r="798" customFormat="false" ht="15" hidden="false" customHeight="false" outlineLevel="0" collapsed="false">
      <c r="F798" s="41" t="str">
        <f aca="false">IF(E798="","",IFERROR(VLOOKUP(E798,Assumptions!$G$5:$H$16,2,0),"Other"))</f>
        <v/>
      </c>
      <c r="J798" s="41" t="str">
        <f aca="false">IF(G798="","",IFERROR(IF(ISNUMBER(SEARCH(Assumptions!$C$5,G798)),Assumptions!$D$5,IF(ISNUMBER(SEARCH(Assumptions!$C$6,G798)),Assumptions!$D$6,IF(ISNUMBER(SEARCH(Assumptions!$C$7,G798)),Assumptions!$D$7,"Other Services"))),"Other Services"))</f>
        <v/>
      </c>
    </row>
    <row r="799" customFormat="false" ht="15" hidden="false" customHeight="false" outlineLevel="0" collapsed="false">
      <c r="F799" s="41" t="str">
        <f aca="false">IF(E799="","",IFERROR(VLOOKUP(E799,Assumptions!$G$5:$H$16,2,0),"Other"))</f>
        <v/>
      </c>
      <c r="J799" s="41" t="str">
        <f aca="false">IF(G799="","",IFERROR(IF(ISNUMBER(SEARCH(Assumptions!$C$5,G799)),Assumptions!$D$5,IF(ISNUMBER(SEARCH(Assumptions!$C$6,G799)),Assumptions!$D$6,IF(ISNUMBER(SEARCH(Assumptions!$C$7,G799)),Assumptions!$D$7,"Other Services"))),"Other Services"))</f>
        <v/>
      </c>
    </row>
    <row r="800" customFormat="false" ht="15" hidden="false" customHeight="false" outlineLevel="0" collapsed="false">
      <c r="F800" s="41" t="str">
        <f aca="false">IF(E800="","",IFERROR(VLOOKUP(E800,Assumptions!$G$5:$H$16,2,0),"Other"))</f>
        <v/>
      </c>
      <c r="J800" s="41" t="str">
        <f aca="false">IF(G800="","",IFERROR(IF(ISNUMBER(SEARCH(Assumptions!$C$5,G800)),Assumptions!$D$5,IF(ISNUMBER(SEARCH(Assumptions!$C$6,G800)),Assumptions!$D$6,IF(ISNUMBER(SEARCH(Assumptions!$C$7,G800)),Assumptions!$D$7,"Other Services"))),"Other Services"))</f>
        <v/>
      </c>
    </row>
    <row r="801" customFormat="false" ht="15" hidden="false" customHeight="false" outlineLevel="0" collapsed="false">
      <c r="F801" s="41" t="str">
        <f aca="false">IF(E801="","",IFERROR(VLOOKUP(E801,Assumptions!$G$5:$H$16,2,0),"Other"))</f>
        <v/>
      </c>
      <c r="J801" s="41" t="str">
        <f aca="false">IF(G801="","",IFERROR(IF(ISNUMBER(SEARCH(Assumptions!$C$5,G801)),Assumptions!$D$5,IF(ISNUMBER(SEARCH(Assumptions!$C$6,G801)),Assumptions!$D$6,IF(ISNUMBER(SEARCH(Assumptions!$C$7,G801)),Assumptions!$D$7,"Other Services"))),"Other Services"))</f>
        <v/>
      </c>
    </row>
    <row r="802" customFormat="false" ht="15" hidden="false" customHeight="false" outlineLevel="0" collapsed="false">
      <c r="F802" s="41" t="str">
        <f aca="false">IF(E802="","",IFERROR(VLOOKUP(E802,Assumptions!$G$5:$H$16,2,0),"Other"))</f>
        <v/>
      </c>
      <c r="J802" s="41" t="str">
        <f aca="false">IF(G802="","",IFERROR(IF(ISNUMBER(SEARCH(Assumptions!$C$5,G802)),Assumptions!$D$5,IF(ISNUMBER(SEARCH(Assumptions!$C$6,G802)),Assumptions!$D$6,IF(ISNUMBER(SEARCH(Assumptions!$C$7,G802)),Assumptions!$D$7,"Other Services"))),"Other Services"))</f>
        <v/>
      </c>
    </row>
    <row r="803" customFormat="false" ht="15" hidden="false" customHeight="false" outlineLevel="0" collapsed="false">
      <c r="F803" s="41" t="str">
        <f aca="false">IF(E803="","",IFERROR(VLOOKUP(E803,Assumptions!$G$5:$H$16,2,0),"Other"))</f>
        <v/>
      </c>
      <c r="J803" s="41" t="str">
        <f aca="false">IF(G803="","",IFERROR(IF(ISNUMBER(SEARCH(Assumptions!$C$5,G803)),Assumptions!$D$5,IF(ISNUMBER(SEARCH(Assumptions!$C$6,G803)),Assumptions!$D$6,IF(ISNUMBER(SEARCH(Assumptions!$C$7,G803)),Assumptions!$D$7,"Other Services"))),"Other Services"))</f>
        <v/>
      </c>
    </row>
    <row r="804" customFormat="false" ht="15" hidden="false" customHeight="false" outlineLevel="0" collapsed="false">
      <c r="F804" s="41" t="str">
        <f aca="false">IF(E804="","",IFERROR(VLOOKUP(E804,Assumptions!$G$5:$H$16,2,0),"Other"))</f>
        <v/>
      </c>
      <c r="J804" s="41" t="str">
        <f aca="false">IF(G804="","",IFERROR(IF(ISNUMBER(SEARCH(Assumptions!$C$5,G804)),Assumptions!$D$5,IF(ISNUMBER(SEARCH(Assumptions!$C$6,G804)),Assumptions!$D$6,IF(ISNUMBER(SEARCH(Assumptions!$C$7,G804)),Assumptions!$D$7,"Other Services"))),"Other Services"))</f>
        <v/>
      </c>
    </row>
    <row r="805" customFormat="false" ht="15" hidden="false" customHeight="false" outlineLevel="0" collapsed="false">
      <c r="F805" s="41" t="str">
        <f aca="false">IF(E805="","",IFERROR(VLOOKUP(E805,Assumptions!$G$5:$H$16,2,0),"Other"))</f>
        <v/>
      </c>
      <c r="J805" s="41" t="str">
        <f aca="false">IF(G805="","",IFERROR(IF(ISNUMBER(SEARCH(Assumptions!$C$5,G805)),Assumptions!$D$5,IF(ISNUMBER(SEARCH(Assumptions!$C$6,G805)),Assumptions!$D$6,IF(ISNUMBER(SEARCH(Assumptions!$C$7,G805)),Assumptions!$D$7,"Other Services"))),"Other Services"))</f>
        <v/>
      </c>
    </row>
    <row r="806" customFormat="false" ht="15" hidden="false" customHeight="false" outlineLevel="0" collapsed="false">
      <c r="F806" s="41" t="str">
        <f aca="false">IF(E806="","",IFERROR(VLOOKUP(E806,Assumptions!$G$5:$H$16,2,0),"Other"))</f>
        <v/>
      </c>
      <c r="J806" s="41" t="str">
        <f aca="false">IF(G806="","",IFERROR(IF(ISNUMBER(SEARCH(Assumptions!$C$5,G806)),Assumptions!$D$5,IF(ISNUMBER(SEARCH(Assumptions!$C$6,G806)),Assumptions!$D$6,IF(ISNUMBER(SEARCH(Assumptions!$C$7,G806)),Assumptions!$D$7,"Other Services"))),"Other Services"))</f>
        <v/>
      </c>
    </row>
    <row r="807" customFormat="false" ht="15" hidden="false" customHeight="false" outlineLevel="0" collapsed="false">
      <c r="F807" s="41" t="str">
        <f aca="false">IF(E807="","",IFERROR(VLOOKUP(E807,Assumptions!$G$5:$H$16,2,0),"Other"))</f>
        <v/>
      </c>
      <c r="J807" s="41" t="str">
        <f aca="false">IF(G807="","",IFERROR(IF(ISNUMBER(SEARCH(Assumptions!$C$5,G807)),Assumptions!$D$5,IF(ISNUMBER(SEARCH(Assumptions!$C$6,G807)),Assumptions!$D$6,IF(ISNUMBER(SEARCH(Assumptions!$C$7,G807)),Assumptions!$D$7,"Other Services"))),"Other Services"))</f>
        <v/>
      </c>
    </row>
    <row r="808" customFormat="false" ht="15" hidden="false" customHeight="false" outlineLevel="0" collapsed="false">
      <c r="F808" s="41" t="str">
        <f aca="false">IF(E808="","",IFERROR(VLOOKUP(E808,Assumptions!$G$5:$H$16,2,0),"Other"))</f>
        <v/>
      </c>
      <c r="J808" s="41" t="str">
        <f aca="false">IF(G808="","",IFERROR(IF(ISNUMBER(SEARCH(Assumptions!$C$5,G808)),Assumptions!$D$5,IF(ISNUMBER(SEARCH(Assumptions!$C$6,G808)),Assumptions!$D$6,IF(ISNUMBER(SEARCH(Assumptions!$C$7,G808)),Assumptions!$D$7,"Other Services"))),"Other Services"))</f>
        <v/>
      </c>
    </row>
    <row r="809" customFormat="false" ht="15" hidden="false" customHeight="false" outlineLevel="0" collapsed="false">
      <c r="F809" s="41" t="str">
        <f aca="false">IF(E809="","",IFERROR(VLOOKUP(E809,Assumptions!$G$5:$H$16,2,0),"Other"))</f>
        <v/>
      </c>
      <c r="J809" s="41" t="str">
        <f aca="false">IF(G809="","",IFERROR(IF(ISNUMBER(SEARCH(Assumptions!$C$5,G809)),Assumptions!$D$5,IF(ISNUMBER(SEARCH(Assumptions!$C$6,G809)),Assumptions!$D$6,IF(ISNUMBER(SEARCH(Assumptions!$C$7,G809)),Assumptions!$D$7,"Other Services"))),"Other Services"))</f>
        <v/>
      </c>
    </row>
    <row r="810" customFormat="false" ht="15" hidden="false" customHeight="false" outlineLevel="0" collapsed="false">
      <c r="F810" s="41" t="str">
        <f aca="false">IF(E810="","",IFERROR(VLOOKUP(E810,Assumptions!$G$5:$H$16,2,0),"Other"))</f>
        <v/>
      </c>
      <c r="J810" s="41" t="str">
        <f aca="false">IF(G810="","",IFERROR(IF(ISNUMBER(SEARCH(Assumptions!$C$5,G810)),Assumptions!$D$5,IF(ISNUMBER(SEARCH(Assumptions!$C$6,G810)),Assumptions!$D$6,IF(ISNUMBER(SEARCH(Assumptions!$C$7,G810)),Assumptions!$D$7,"Other Services"))),"Other Services"))</f>
        <v/>
      </c>
    </row>
    <row r="811" customFormat="false" ht="15" hidden="false" customHeight="false" outlineLevel="0" collapsed="false">
      <c r="F811" s="41" t="str">
        <f aca="false">IF(E811="","",IFERROR(VLOOKUP(E811,Assumptions!$G$5:$H$16,2,0),"Other"))</f>
        <v/>
      </c>
      <c r="J811" s="41" t="str">
        <f aca="false">IF(G811="","",IFERROR(IF(ISNUMBER(SEARCH(Assumptions!$C$5,G811)),Assumptions!$D$5,IF(ISNUMBER(SEARCH(Assumptions!$C$6,G811)),Assumptions!$D$6,IF(ISNUMBER(SEARCH(Assumptions!$C$7,G811)),Assumptions!$D$7,"Other Services"))),"Other Services"))</f>
        <v/>
      </c>
    </row>
    <row r="812" customFormat="false" ht="15" hidden="false" customHeight="false" outlineLevel="0" collapsed="false">
      <c r="F812" s="41" t="str">
        <f aca="false">IF(E812="","",IFERROR(VLOOKUP(E812,Assumptions!$G$5:$H$16,2,0),"Other"))</f>
        <v/>
      </c>
      <c r="J812" s="41" t="str">
        <f aca="false">IF(G812="","",IFERROR(IF(ISNUMBER(SEARCH(Assumptions!$C$5,G812)),Assumptions!$D$5,IF(ISNUMBER(SEARCH(Assumptions!$C$6,G812)),Assumptions!$D$6,IF(ISNUMBER(SEARCH(Assumptions!$C$7,G812)),Assumptions!$D$7,"Other Services"))),"Other Services"))</f>
        <v/>
      </c>
    </row>
    <row r="813" customFormat="false" ht="15" hidden="false" customHeight="false" outlineLevel="0" collapsed="false">
      <c r="F813" s="41" t="str">
        <f aca="false">IF(E813="","",IFERROR(VLOOKUP(E813,Assumptions!$G$5:$H$16,2,0),"Other"))</f>
        <v/>
      </c>
      <c r="J813" s="41" t="str">
        <f aca="false">IF(G813="","",IFERROR(IF(ISNUMBER(SEARCH(Assumptions!$C$5,G813)),Assumptions!$D$5,IF(ISNUMBER(SEARCH(Assumptions!$C$6,G813)),Assumptions!$D$6,IF(ISNUMBER(SEARCH(Assumptions!$C$7,G813)),Assumptions!$D$7,"Other Services"))),"Other Services"))</f>
        <v/>
      </c>
    </row>
    <row r="814" customFormat="false" ht="15" hidden="false" customHeight="false" outlineLevel="0" collapsed="false">
      <c r="F814" s="41" t="str">
        <f aca="false">IF(E814="","",IFERROR(VLOOKUP(E814,Assumptions!$G$5:$H$16,2,0),"Other"))</f>
        <v/>
      </c>
      <c r="J814" s="41" t="str">
        <f aca="false">IF(G814="","",IFERROR(IF(ISNUMBER(SEARCH(Assumptions!$C$5,G814)),Assumptions!$D$5,IF(ISNUMBER(SEARCH(Assumptions!$C$6,G814)),Assumptions!$D$6,IF(ISNUMBER(SEARCH(Assumptions!$C$7,G814)),Assumptions!$D$7,"Other Services"))),"Other Services"))</f>
        <v/>
      </c>
    </row>
    <row r="815" customFormat="false" ht="15" hidden="false" customHeight="false" outlineLevel="0" collapsed="false">
      <c r="F815" s="41" t="str">
        <f aca="false">IF(E815="","",IFERROR(VLOOKUP(E815,Assumptions!$G$5:$H$16,2,0),"Other"))</f>
        <v/>
      </c>
      <c r="J815" s="41" t="str">
        <f aca="false">IF(G815="","",IFERROR(IF(ISNUMBER(SEARCH(Assumptions!$C$5,G815)),Assumptions!$D$5,IF(ISNUMBER(SEARCH(Assumptions!$C$6,G815)),Assumptions!$D$6,IF(ISNUMBER(SEARCH(Assumptions!$C$7,G815)),Assumptions!$D$7,"Other Services"))),"Other Services"))</f>
        <v/>
      </c>
    </row>
    <row r="816" customFormat="false" ht="15" hidden="false" customHeight="false" outlineLevel="0" collapsed="false">
      <c r="F816" s="41" t="str">
        <f aca="false">IF(E816="","",IFERROR(VLOOKUP(E816,Assumptions!$G$5:$H$16,2,0),"Other"))</f>
        <v/>
      </c>
      <c r="J816" s="41" t="str">
        <f aca="false">IF(G816="","",IFERROR(IF(ISNUMBER(SEARCH(Assumptions!$C$5,G816)),Assumptions!$D$5,IF(ISNUMBER(SEARCH(Assumptions!$C$6,G816)),Assumptions!$D$6,IF(ISNUMBER(SEARCH(Assumptions!$C$7,G816)),Assumptions!$D$7,"Other Services"))),"Other Services"))</f>
        <v/>
      </c>
    </row>
    <row r="817" customFormat="false" ht="15" hidden="false" customHeight="false" outlineLevel="0" collapsed="false">
      <c r="F817" s="41" t="str">
        <f aca="false">IF(E817="","",IFERROR(VLOOKUP(E817,Assumptions!$G$5:$H$16,2,0),"Other"))</f>
        <v/>
      </c>
      <c r="J817" s="41" t="str">
        <f aca="false">IF(G817="","",IFERROR(IF(ISNUMBER(SEARCH(Assumptions!$C$5,G817)),Assumptions!$D$5,IF(ISNUMBER(SEARCH(Assumptions!$C$6,G817)),Assumptions!$D$6,IF(ISNUMBER(SEARCH(Assumptions!$C$7,G817)),Assumptions!$D$7,"Other Services"))),"Other Services"))</f>
        <v/>
      </c>
    </row>
    <row r="818" customFormat="false" ht="15" hidden="false" customHeight="false" outlineLevel="0" collapsed="false">
      <c r="F818" s="41" t="str">
        <f aca="false">IF(E818="","",IFERROR(VLOOKUP(E818,Assumptions!$G$5:$H$16,2,0),"Other"))</f>
        <v/>
      </c>
      <c r="J818" s="41" t="str">
        <f aca="false">IF(G818="","",IFERROR(IF(ISNUMBER(SEARCH(Assumptions!$C$5,G818)),Assumptions!$D$5,IF(ISNUMBER(SEARCH(Assumptions!$C$6,G818)),Assumptions!$D$6,IF(ISNUMBER(SEARCH(Assumptions!$C$7,G818)),Assumptions!$D$7,"Other Services"))),"Other Services"))</f>
        <v/>
      </c>
    </row>
    <row r="819" customFormat="false" ht="15" hidden="false" customHeight="false" outlineLevel="0" collapsed="false">
      <c r="F819" s="41" t="str">
        <f aca="false">IF(E819="","",IFERROR(VLOOKUP(E819,Assumptions!$G$5:$H$16,2,0),"Other"))</f>
        <v/>
      </c>
      <c r="J819" s="41" t="str">
        <f aca="false">IF(G819="","",IFERROR(IF(ISNUMBER(SEARCH(Assumptions!$C$5,G819)),Assumptions!$D$5,IF(ISNUMBER(SEARCH(Assumptions!$C$6,G819)),Assumptions!$D$6,IF(ISNUMBER(SEARCH(Assumptions!$C$7,G819)),Assumptions!$D$7,"Other Services"))),"Other Services"))</f>
        <v/>
      </c>
    </row>
    <row r="820" customFormat="false" ht="15" hidden="false" customHeight="false" outlineLevel="0" collapsed="false">
      <c r="F820" s="41" t="str">
        <f aca="false">IF(E820="","",IFERROR(VLOOKUP(E820,Assumptions!$G$5:$H$16,2,0),"Other"))</f>
        <v/>
      </c>
      <c r="J820" s="41" t="str">
        <f aca="false">IF(G820="","",IFERROR(IF(ISNUMBER(SEARCH(Assumptions!$C$5,G820)),Assumptions!$D$5,IF(ISNUMBER(SEARCH(Assumptions!$C$6,G820)),Assumptions!$D$6,IF(ISNUMBER(SEARCH(Assumptions!$C$7,G820)),Assumptions!$D$7,"Other Services"))),"Other Services"))</f>
        <v/>
      </c>
    </row>
    <row r="821" customFormat="false" ht="15" hidden="false" customHeight="false" outlineLevel="0" collapsed="false">
      <c r="F821" s="41" t="str">
        <f aca="false">IF(E821="","",IFERROR(VLOOKUP(E821,Assumptions!$G$5:$H$16,2,0),"Other"))</f>
        <v/>
      </c>
      <c r="J821" s="41" t="str">
        <f aca="false">IF(G821="","",IFERROR(IF(ISNUMBER(SEARCH(Assumptions!$C$5,G821)),Assumptions!$D$5,IF(ISNUMBER(SEARCH(Assumptions!$C$6,G821)),Assumptions!$D$6,IF(ISNUMBER(SEARCH(Assumptions!$C$7,G821)),Assumptions!$D$7,"Other Services"))),"Other Services"))</f>
        <v/>
      </c>
    </row>
    <row r="822" customFormat="false" ht="15" hidden="false" customHeight="false" outlineLevel="0" collapsed="false">
      <c r="F822" s="41" t="str">
        <f aca="false">IF(E822="","",IFERROR(VLOOKUP(E822,Assumptions!$G$5:$H$16,2,0),"Other"))</f>
        <v/>
      </c>
      <c r="J822" s="41" t="str">
        <f aca="false">IF(G822="","",IFERROR(IF(ISNUMBER(SEARCH(Assumptions!$C$5,G822)),Assumptions!$D$5,IF(ISNUMBER(SEARCH(Assumptions!$C$6,G822)),Assumptions!$D$6,IF(ISNUMBER(SEARCH(Assumptions!$C$7,G822)),Assumptions!$D$7,"Other Services"))),"Other Services"))</f>
        <v/>
      </c>
    </row>
    <row r="823" customFormat="false" ht="15" hidden="false" customHeight="false" outlineLevel="0" collapsed="false">
      <c r="F823" s="41" t="str">
        <f aca="false">IF(E823="","",IFERROR(VLOOKUP(E823,Assumptions!$G$5:$H$16,2,0),"Other"))</f>
        <v/>
      </c>
      <c r="J823" s="41" t="str">
        <f aca="false">IF(G823="","",IFERROR(IF(ISNUMBER(SEARCH(Assumptions!$C$5,G823)),Assumptions!$D$5,IF(ISNUMBER(SEARCH(Assumptions!$C$6,G823)),Assumptions!$D$6,IF(ISNUMBER(SEARCH(Assumptions!$C$7,G823)),Assumptions!$D$7,"Other Services"))),"Other Services"))</f>
        <v/>
      </c>
    </row>
    <row r="824" customFormat="false" ht="15" hidden="false" customHeight="false" outlineLevel="0" collapsed="false">
      <c r="F824" s="41" t="str">
        <f aca="false">IF(E824="","",IFERROR(VLOOKUP(E824,Assumptions!$G$5:$H$16,2,0),"Other"))</f>
        <v/>
      </c>
      <c r="J824" s="41" t="str">
        <f aca="false">IF(G824="","",IFERROR(IF(ISNUMBER(SEARCH(Assumptions!$C$5,G824)),Assumptions!$D$5,IF(ISNUMBER(SEARCH(Assumptions!$C$6,G824)),Assumptions!$D$6,IF(ISNUMBER(SEARCH(Assumptions!$C$7,G824)),Assumptions!$D$7,"Other Services"))),"Other Services"))</f>
        <v/>
      </c>
    </row>
    <row r="825" customFormat="false" ht="15" hidden="false" customHeight="false" outlineLevel="0" collapsed="false">
      <c r="F825" s="41" t="str">
        <f aca="false">IF(E825="","",IFERROR(VLOOKUP(E825,Assumptions!$G$5:$H$16,2,0),"Other"))</f>
        <v/>
      </c>
      <c r="J825" s="41" t="str">
        <f aca="false">IF(G825="","",IFERROR(IF(ISNUMBER(SEARCH(Assumptions!$C$5,G825)),Assumptions!$D$5,IF(ISNUMBER(SEARCH(Assumptions!$C$6,G825)),Assumptions!$D$6,IF(ISNUMBER(SEARCH(Assumptions!$C$7,G825)),Assumptions!$D$7,"Other Services"))),"Other Services"))</f>
        <v/>
      </c>
    </row>
    <row r="826" customFormat="false" ht="15" hidden="false" customHeight="false" outlineLevel="0" collapsed="false">
      <c r="F826" s="41" t="str">
        <f aca="false">IF(E826="","",IFERROR(VLOOKUP(E826,Assumptions!$G$5:$H$16,2,0),"Other"))</f>
        <v/>
      </c>
      <c r="J826" s="41" t="str">
        <f aca="false">IF(G826="","",IFERROR(IF(ISNUMBER(SEARCH(Assumptions!$C$5,G826)),Assumptions!$D$5,IF(ISNUMBER(SEARCH(Assumptions!$C$6,G826)),Assumptions!$D$6,IF(ISNUMBER(SEARCH(Assumptions!$C$7,G826)),Assumptions!$D$7,"Other Services"))),"Other Services"))</f>
        <v/>
      </c>
    </row>
    <row r="827" customFormat="false" ht="15" hidden="false" customHeight="false" outlineLevel="0" collapsed="false">
      <c r="F827" s="41" t="str">
        <f aca="false">IF(E827="","",IFERROR(VLOOKUP(E827,Assumptions!$G$5:$H$16,2,0),"Other"))</f>
        <v/>
      </c>
      <c r="J827" s="41" t="str">
        <f aca="false">IF(G827="","",IFERROR(IF(ISNUMBER(SEARCH(Assumptions!$C$5,G827)),Assumptions!$D$5,IF(ISNUMBER(SEARCH(Assumptions!$C$6,G827)),Assumptions!$D$6,IF(ISNUMBER(SEARCH(Assumptions!$C$7,G827)),Assumptions!$D$7,"Other Services"))),"Other Services"))</f>
        <v/>
      </c>
    </row>
    <row r="828" customFormat="false" ht="15" hidden="false" customHeight="false" outlineLevel="0" collapsed="false">
      <c r="F828" s="41" t="str">
        <f aca="false">IF(E828="","",IFERROR(VLOOKUP(E828,Assumptions!$G$5:$H$16,2,0),"Other"))</f>
        <v/>
      </c>
      <c r="J828" s="41" t="str">
        <f aca="false">IF(G828="","",IFERROR(IF(ISNUMBER(SEARCH(Assumptions!$C$5,G828)),Assumptions!$D$5,IF(ISNUMBER(SEARCH(Assumptions!$C$6,G828)),Assumptions!$D$6,IF(ISNUMBER(SEARCH(Assumptions!$C$7,G828)),Assumptions!$D$7,"Other Services"))),"Other Services"))</f>
        <v/>
      </c>
    </row>
    <row r="829" customFormat="false" ht="15" hidden="false" customHeight="false" outlineLevel="0" collapsed="false">
      <c r="F829" s="41" t="str">
        <f aca="false">IF(E829="","",IFERROR(VLOOKUP(E829,Assumptions!$G$5:$H$16,2,0),"Other"))</f>
        <v/>
      </c>
      <c r="J829" s="41" t="str">
        <f aca="false">IF(G829="","",IFERROR(IF(ISNUMBER(SEARCH(Assumptions!$C$5,G829)),Assumptions!$D$5,IF(ISNUMBER(SEARCH(Assumptions!$C$6,G829)),Assumptions!$D$6,IF(ISNUMBER(SEARCH(Assumptions!$C$7,G829)),Assumptions!$D$7,"Other Services"))),"Other Services"))</f>
        <v/>
      </c>
    </row>
    <row r="830" customFormat="false" ht="15" hidden="false" customHeight="false" outlineLevel="0" collapsed="false">
      <c r="F830" s="41" t="str">
        <f aca="false">IF(E830="","",IFERROR(VLOOKUP(E830,Assumptions!$G$5:$H$16,2,0),"Other"))</f>
        <v/>
      </c>
      <c r="J830" s="41" t="str">
        <f aca="false">IF(G830="","",IFERROR(IF(ISNUMBER(SEARCH(Assumptions!$C$5,G830)),Assumptions!$D$5,IF(ISNUMBER(SEARCH(Assumptions!$C$6,G830)),Assumptions!$D$6,IF(ISNUMBER(SEARCH(Assumptions!$C$7,G830)),Assumptions!$D$7,"Other Services"))),"Other Services"))</f>
        <v/>
      </c>
    </row>
    <row r="831" customFormat="false" ht="15" hidden="false" customHeight="false" outlineLevel="0" collapsed="false">
      <c r="F831" s="41" t="str">
        <f aca="false">IF(E831="","",IFERROR(VLOOKUP(E831,Assumptions!$G$5:$H$16,2,0),"Other"))</f>
        <v/>
      </c>
      <c r="J831" s="41" t="str">
        <f aca="false">IF(G831="","",IFERROR(IF(ISNUMBER(SEARCH(Assumptions!$C$5,G831)),Assumptions!$D$5,IF(ISNUMBER(SEARCH(Assumptions!$C$6,G831)),Assumptions!$D$6,IF(ISNUMBER(SEARCH(Assumptions!$C$7,G831)),Assumptions!$D$7,"Other Services"))),"Other Services"))</f>
        <v/>
      </c>
    </row>
    <row r="832" customFormat="false" ht="15" hidden="false" customHeight="false" outlineLevel="0" collapsed="false">
      <c r="F832" s="41" t="str">
        <f aca="false">IF(E832="","",IFERROR(VLOOKUP(E832,Assumptions!$G$5:$H$16,2,0),"Other"))</f>
        <v/>
      </c>
      <c r="J832" s="41" t="str">
        <f aca="false">IF(G832="","",IFERROR(IF(ISNUMBER(SEARCH(Assumptions!$C$5,G832)),Assumptions!$D$5,IF(ISNUMBER(SEARCH(Assumptions!$C$6,G832)),Assumptions!$D$6,IF(ISNUMBER(SEARCH(Assumptions!$C$7,G832)),Assumptions!$D$7,"Other Services"))),"Other Services"))</f>
        <v/>
      </c>
    </row>
    <row r="833" customFormat="false" ht="15" hidden="false" customHeight="false" outlineLevel="0" collapsed="false">
      <c r="F833" s="41" t="str">
        <f aca="false">IF(E833="","",IFERROR(VLOOKUP(E833,Assumptions!$G$5:$H$16,2,0),"Other"))</f>
        <v/>
      </c>
      <c r="J833" s="41" t="str">
        <f aca="false">IF(G833="","",IFERROR(IF(ISNUMBER(SEARCH(Assumptions!$C$5,G833)),Assumptions!$D$5,IF(ISNUMBER(SEARCH(Assumptions!$C$6,G833)),Assumptions!$D$6,IF(ISNUMBER(SEARCH(Assumptions!$C$7,G833)),Assumptions!$D$7,"Other Services"))),"Other Services"))</f>
        <v/>
      </c>
    </row>
    <row r="834" customFormat="false" ht="15" hidden="false" customHeight="false" outlineLevel="0" collapsed="false">
      <c r="F834" s="41" t="str">
        <f aca="false">IF(E834="","",IFERROR(VLOOKUP(E834,Assumptions!$G$5:$H$16,2,0),"Other"))</f>
        <v/>
      </c>
      <c r="J834" s="41" t="str">
        <f aca="false">IF(G834="","",IFERROR(IF(ISNUMBER(SEARCH(Assumptions!$C$5,G834)),Assumptions!$D$5,IF(ISNUMBER(SEARCH(Assumptions!$C$6,G834)),Assumptions!$D$6,IF(ISNUMBER(SEARCH(Assumptions!$C$7,G834)),Assumptions!$D$7,"Other Services"))),"Other Services"))</f>
        <v/>
      </c>
    </row>
    <row r="835" customFormat="false" ht="15" hidden="false" customHeight="false" outlineLevel="0" collapsed="false">
      <c r="F835" s="41" t="str">
        <f aca="false">IF(E835="","",IFERROR(VLOOKUP(E835,Assumptions!$G$5:$H$16,2,0),"Other"))</f>
        <v/>
      </c>
      <c r="J835" s="41" t="str">
        <f aca="false">IF(G835="","",IFERROR(IF(ISNUMBER(SEARCH(Assumptions!$C$5,G835)),Assumptions!$D$5,IF(ISNUMBER(SEARCH(Assumptions!$C$6,G835)),Assumptions!$D$6,IF(ISNUMBER(SEARCH(Assumptions!$C$7,G835)),Assumptions!$D$7,"Other Services"))),"Other Services"))</f>
        <v/>
      </c>
    </row>
    <row r="836" customFormat="false" ht="15" hidden="false" customHeight="false" outlineLevel="0" collapsed="false">
      <c r="F836" s="41" t="str">
        <f aca="false">IF(E836="","",IFERROR(VLOOKUP(E836,Assumptions!$G$5:$H$16,2,0),"Other"))</f>
        <v/>
      </c>
      <c r="J836" s="41" t="str">
        <f aca="false">IF(G836="","",IFERROR(IF(ISNUMBER(SEARCH(Assumptions!$C$5,G836)),Assumptions!$D$5,IF(ISNUMBER(SEARCH(Assumptions!$C$6,G836)),Assumptions!$D$6,IF(ISNUMBER(SEARCH(Assumptions!$C$7,G836)),Assumptions!$D$7,"Other Services"))),"Other Services"))</f>
        <v/>
      </c>
    </row>
    <row r="837" customFormat="false" ht="15" hidden="false" customHeight="false" outlineLevel="0" collapsed="false">
      <c r="F837" s="41" t="str">
        <f aca="false">IF(E837="","",IFERROR(VLOOKUP(E837,Assumptions!$G$5:$H$16,2,0),"Other"))</f>
        <v/>
      </c>
      <c r="J837" s="41" t="str">
        <f aca="false">IF(G837="","",IFERROR(IF(ISNUMBER(SEARCH(Assumptions!$C$5,G837)),Assumptions!$D$5,IF(ISNUMBER(SEARCH(Assumptions!$C$6,G837)),Assumptions!$D$6,IF(ISNUMBER(SEARCH(Assumptions!$C$7,G837)),Assumptions!$D$7,"Other Services"))),"Other Services"))</f>
        <v/>
      </c>
    </row>
    <row r="838" customFormat="false" ht="15" hidden="false" customHeight="false" outlineLevel="0" collapsed="false">
      <c r="F838" s="41" t="str">
        <f aca="false">IF(E838="","",IFERROR(VLOOKUP(E838,Assumptions!$G$5:$H$16,2,0),"Other"))</f>
        <v/>
      </c>
      <c r="J838" s="41" t="str">
        <f aca="false">IF(G838="","",IFERROR(IF(ISNUMBER(SEARCH(Assumptions!$C$5,G838)),Assumptions!$D$5,IF(ISNUMBER(SEARCH(Assumptions!$C$6,G838)),Assumptions!$D$6,IF(ISNUMBER(SEARCH(Assumptions!$C$7,G838)),Assumptions!$D$7,"Other Services"))),"Other Services"))</f>
        <v/>
      </c>
    </row>
    <row r="839" customFormat="false" ht="15" hidden="false" customHeight="false" outlineLevel="0" collapsed="false">
      <c r="F839" s="41" t="str">
        <f aca="false">IF(E839="","",IFERROR(VLOOKUP(E839,Assumptions!$G$5:$H$16,2,0),"Other"))</f>
        <v/>
      </c>
      <c r="J839" s="41" t="str">
        <f aca="false">IF(G839="","",IFERROR(IF(ISNUMBER(SEARCH(Assumptions!$C$5,G839)),Assumptions!$D$5,IF(ISNUMBER(SEARCH(Assumptions!$C$6,G839)),Assumptions!$D$6,IF(ISNUMBER(SEARCH(Assumptions!$C$7,G839)),Assumptions!$D$7,"Other Services"))),"Other Services"))</f>
        <v/>
      </c>
    </row>
    <row r="840" customFormat="false" ht="15" hidden="false" customHeight="false" outlineLevel="0" collapsed="false">
      <c r="F840" s="41" t="str">
        <f aca="false">IF(E840="","",IFERROR(VLOOKUP(E840,Assumptions!$G$5:$H$16,2,0),"Other"))</f>
        <v/>
      </c>
      <c r="J840" s="41" t="str">
        <f aca="false">IF(G840="","",IFERROR(IF(ISNUMBER(SEARCH(Assumptions!$C$5,G840)),Assumptions!$D$5,IF(ISNUMBER(SEARCH(Assumptions!$C$6,G840)),Assumptions!$D$6,IF(ISNUMBER(SEARCH(Assumptions!$C$7,G840)),Assumptions!$D$7,"Other Services"))),"Other Services"))</f>
        <v/>
      </c>
    </row>
    <row r="841" customFormat="false" ht="15" hidden="false" customHeight="false" outlineLevel="0" collapsed="false">
      <c r="F841" s="41" t="str">
        <f aca="false">IF(E841="","",IFERROR(VLOOKUP(E841,Assumptions!$G$5:$H$16,2,0),"Other"))</f>
        <v/>
      </c>
      <c r="J841" s="41" t="str">
        <f aca="false">IF(G841="","",IFERROR(IF(ISNUMBER(SEARCH(Assumptions!$C$5,G841)),Assumptions!$D$5,IF(ISNUMBER(SEARCH(Assumptions!$C$6,G841)),Assumptions!$D$6,IF(ISNUMBER(SEARCH(Assumptions!$C$7,G841)),Assumptions!$D$7,"Other Services"))),"Other Services"))</f>
        <v/>
      </c>
    </row>
    <row r="842" customFormat="false" ht="15" hidden="false" customHeight="false" outlineLevel="0" collapsed="false">
      <c r="F842" s="41" t="str">
        <f aca="false">IF(E842="","",IFERROR(VLOOKUP(E842,Assumptions!$G$5:$H$16,2,0),"Other"))</f>
        <v/>
      </c>
      <c r="J842" s="41" t="str">
        <f aca="false">IF(G842="","",IFERROR(IF(ISNUMBER(SEARCH(Assumptions!$C$5,G842)),Assumptions!$D$5,IF(ISNUMBER(SEARCH(Assumptions!$C$6,G842)),Assumptions!$D$6,IF(ISNUMBER(SEARCH(Assumptions!$C$7,G842)),Assumptions!$D$7,"Other Services"))),"Other Services"))</f>
        <v/>
      </c>
    </row>
    <row r="843" customFormat="false" ht="15" hidden="false" customHeight="false" outlineLevel="0" collapsed="false">
      <c r="F843" s="41" t="str">
        <f aca="false">IF(E843="","",IFERROR(VLOOKUP(E843,Assumptions!$G$5:$H$16,2,0),"Other"))</f>
        <v/>
      </c>
      <c r="J843" s="41" t="str">
        <f aca="false">IF(G843="","",IFERROR(IF(ISNUMBER(SEARCH(Assumptions!$C$5,G843)),Assumptions!$D$5,IF(ISNUMBER(SEARCH(Assumptions!$C$6,G843)),Assumptions!$D$6,IF(ISNUMBER(SEARCH(Assumptions!$C$7,G843)),Assumptions!$D$7,"Other Services"))),"Other Services"))</f>
        <v/>
      </c>
    </row>
    <row r="844" customFormat="false" ht="15" hidden="false" customHeight="false" outlineLevel="0" collapsed="false">
      <c r="F844" s="41" t="str">
        <f aca="false">IF(E844="","",IFERROR(VLOOKUP(E844,Assumptions!$G$5:$H$16,2,0),"Other"))</f>
        <v/>
      </c>
      <c r="J844" s="41" t="str">
        <f aca="false">IF(G844="","",IFERROR(IF(ISNUMBER(SEARCH(Assumptions!$C$5,G844)),Assumptions!$D$5,IF(ISNUMBER(SEARCH(Assumptions!$C$6,G844)),Assumptions!$D$6,IF(ISNUMBER(SEARCH(Assumptions!$C$7,G844)),Assumptions!$D$7,"Other Services"))),"Other Services"))</f>
        <v/>
      </c>
    </row>
    <row r="845" customFormat="false" ht="15" hidden="false" customHeight="false" outlineLevel="0" collapsed="false">
      <c r="F845" s="41" t="str">
        <f aca="false">IF(E845="","",IFERROR(VLOOKUP(E845,Assumptions!$G$5:$H$16,2,0),"Other"))</f>
        <v/>
      </c>
      <c r="J845" s="41" t="str">
        <f aca="false">IF(G845="","",IFERROR(IF(ISNUMBER(SEARCH(Assumptions!$C$5,G845)),Assumptions!$D$5,IF(ISNUMBER(SEARCH(Assumptions!$C$6,G845)),Assumptions!$D$6,IF(ISNUMBER(SEARCH(Assumptions!$C$7,G845)),Assumptions!$D$7,"Other Services"))),"Other Services"))</f>
        <v/>
      </c>
    </row>
    <row r="846" customFormat="false" ht="15" hidden="false" customHeight="false" outlineLevel="0" collapsed="false">
      <c r="F846" s="41" t="str">
        <f aca="false">IF(E846="","",IFERROR(VLOOKUP(E846,Assumptions!$G$5:$H$16,2,0),"Other"))</f>
        <v/>
      </c>
      <c r="J846" s="41" t="str">
        <f aca="false">IF(G846="","",IFERROR(IF(ISNUMBER(SEARCH(Assumptions!$C$5,G846)),Assumptions!$D$5,IF(ISNUMBER(SEARCH(Assumptions!$C$6,G846)),Assumptions!$D$6,IF(ISNUMBER(SEARCH(Assumptions!$C$7,G846)),Assumptions!$D$7,"Other Services"))),"Other Services"))</f>
        <v/>
      </c>
    </row>
    <row r="847" customFormat="false" ht="15" hidden="false" customHeight="false" outlineLevel="0" collapsed="false">
      <c r="F847" s="41" t="str">
        <f aca="false">IF(E847="","",IFERROR(VLOOKUP(E847,Assumptions!$G$5:$H$16,2,0),"Other"))</f>
        <v/>
      </c>
      <c r="J847" s="41" t="str">
        <f aca="false">IF(G847="","",IFERROR(IF(ISNUMBER(SEARCH(Assumptions!$C$5,G847)),Assumptions!$D$5,IF(ISNUMBER(SEARCH(Assumptions!$C$6,G847)),Assumptions!$D$6,IF(ISNUMBER(SEARCH(Assumptions!$C$7,G847)),Assumptions!$D$7,"Other Services"))),"Other Services"))</f>
        <v/>
      </c>
    </row>
    <row r="848" customFormat="false" ht="15" hidden="false" customHeight="false" outlineLevel="0" collapsed="false">
      <c r="F848" s="41" t="str">
        <f aca="false">IF(E848="","",IFERROR(VLOOKUP(E848,Assumptions!$G$5:$H$16,2,0),"Other"))</f>
        <v/>
      </c>
      <c r="J848" s="41" t="str">
        <f aca="false">IF(G848="","",IFERROR(IF(ISNUMBER(SEARCH(Assumptions!$C$5,G848)),Assumptions!$D$5,IF(ISNUMBER(SEARCH(Assumptions!$C$6,G848)),Assumptions!$D$6,IF(ISNUMBER(SEARCH(Assumptions!$C$7,G848)),Assumptions!$D$7,"Other Services"))),"Other Services"))</f>
        <v/>
      </c>
    </row>
    <row r="849" customFormat="false" ht="15" hidden="false" customHeight="false" outlineLevel="0" collapsed="false">
      <c r="F849" s="41" t="str">
        <f aca="false">IF(E849="","",IFERROR(VLOOKUP(E849,Assumptions!$G$5:$H$16,2,0),"Other"))</f>
        <v/>
      </c>
      <c r="J849" s="41" t="str">
        <f aca="false">IF(G849="","",IFERROR(IF(ISNUMBER(SEARCH(Assumptions!$C$5,G849)),Assumptions!$D$5,IF(ISNUMBER(SEARCH(Assumptions!$C$6,G849)),Assumptions!$D$6,IF(ISNUMBER(SEARCH(Assumptions!$C$7,G849)),Assumptions!$D$7,"Other Services"))),"Other Services"))</f>
        <v/>
      </c>
    </row>
    <row r="850" customFormat="false" ht="15" hidden="false" customHeight="false" outlineLevel="0" collapsed="false">
      <c r="F850" s="41" t="str">
        <f aca="false">IF(E850="","",IFERROR(VLOOKUP(E850,Assumptions!$G$5:$H$16,2,0),"Other"))</f>
        <v/>
      </c>
      <c r="J850" s="41" t="str">
        <f aca="false">IF(G850="","",IFERROR(IF(ISNUMBER(SEARCH(Assumptions!$C$5,G850)),Assumptions!$D$5,IF(ISNUMBER(SEARCH(Assumptions!$C$6,G850)),Assumptions!$D$6,IF(ISNUMBER(SEARCH(Assumptions!$C$7,G850)),Assumptions!$D$7,"Other Services"))),"Other Services"))</f>
        <v/>
      </c>
    </row>
    <row r="851" customFormat="false" ht="15" hidden="false" customHeight="false" outlineLevel="0" collapsed="false">
      <c r="F851" s="41" t="str">
        <f aca="false">IF(E851="","",IFERROR(VLOOKUP(E851,Assumptions!$G$5:$H$16,2,0),"Other"))</f>
        <v/>
      </c>
      <c r="J851" s="41" t="str">
        <f aca="false">IF(G851="","",IFERROR(IF(ISNUMBER(SEARCH(Assumptions!$C$5,G851)),Assumptions!$D$5,IF(ISNUMBER(SEARCH(Assumptions!$C$6,G851)),Assumptions!$D$6,IF(ISNUMBER(SEARCH(Assumptions!$C$7,G851)),Assumptions!$D$7,"Other Services"))),"Other Services"))</f>
        <v/>
      </c>
    </row>
    <row r="852" customFormat="false" ht="15" hidden="false" customHeight="false" outlineLevel="0" collapsed="false">
      <c r="F852" s="41" t="str">
        <f aca="false">IF(E852="","",IFERROR(VLOOKUP(E852,Assumptions!$G$5:$H$16,2,0),"Other"))</f>
        <v/>
      </c>
      <c r="J852" s="41" t="str">
        <f aca="false">IF(G852="","",IFERROR(IF(ISNUMBER(SEARCH(Assumptions!$C$5,G852)),Assumptions!$D$5,IF(ISNUMBER(SEARCH(Assumptions!$C$6,G852)),Assumptions!$D$6,IF(ISNUMBER(SEARCH(Assumptions!$C$7,G852)),Assumptions!$D$7,"Other Services"))),"Other Services"))</f>
        <v/>
      </c>
    </row>
    <row r="853" customFormat="false" ht="15" hidden="false" customHeight="false" outlineLevel="0" collapsed="false">
      <c r="F853" s="41" t="str">
        <f aca="false">IF(E853="","",IFERROR(VLOOKUP(E853,Assumptions!$G$5:$H$16,2,0),"Other"))</f>
        <v/>
      </c>
      <c r="J853" s="41" t="str">
        <f aca="false">IF(G853="","",IFERROR(IF(ISNUMBER(SEARCH(Assumptions!$C$5,G853)),Assumptions!$D$5,IF(ISNUMBER(SEARCH(Assumptions!$C$6,G853)),Assumptions!$D$6,IF(ISNUMBER(SEARCH(Assumptions!$C$7,G853)),Assumptions!$D$7,"Other Services"))),"Other Services"))</f>
        <v/>
      </c>
    </row>
    <row r="854" customFormat="false" ht="15" hidden="false" customHeight="false" outlineLevel="0" collapsed="false">
      <c r="F854" s="41" t="str">
        <f aca="false">IF(E854="","",IFERROR(VLOOKUP(E854,Assumptions!$G$5:$H$16,2,0),"Other"))</f>
        <v/>
      </c>
      <c r="J854" s="41" t="str">
        <f aca="false">IF(G854="","",IFERROR(IF(ISNUMBER(SEARCH(Assumptions!$C$5,G854)),Assumptions!$D$5,IF(ISNUMBER(SEARCH(Assumptions!$C$6,G854)),Assumptions!$D$6,IF(ISNUMBER(SEARCH(Assumptions!$C$7,G854)),Assumptions!$D$7,"Other Services"))),"Other Services"))</f>
        <v/>
      </c>
    </row>
    <row r="855" customFormat="false" ht="15" hidden="false" customHeight="false" outlineLevel="0" collapsed="false">
      <c r="F855" s="41" t="str">
        <f aca="false">IF(E855="","",IFERROR(VLOOKUP(E855,Assumptions!$G$5:$H$16,2,0),"Other"))</f>
        <v/>
      </c>
      <c r="J855" s="41" t="str">
        <f aca="false">IF(G855="","",IFERROR(IF(ISNUMBER(SEARCH(Assumptions!$C$5,G855)),Assumptions!$D$5,IF(ISNUMBER(SEARCH(Assumptions!$C$6,G855)),Assumptions!$D$6,IF(ISNUMBER(SEARCH(Assumptions!$C$7,G855)),Assumptions!$D$7,"Other Services"))),"Other Services"))</f>
        <v/>
      </c>
    </row>
    <row r="856" customFormat="false" ht="15" hidden="false" customHeight="false" outlineLevel="0" collapsed="false">
      <c r="F856" s="41" t="str">
        <f aca="false">IF(E856="","",IFERROR(VLOOKUP(E856,Assumptions!$G$5:$H$16,2,0),"Other"))</f>
        <v/>
      </c>
      <c r="J856" s="41" t="str">
        <f aca="false">IF(G856="","",IFERROR(IF(ISNUMBER(SEARCH(Assumptions!$C$5,G856)),Assumptions!$D$5,IF(ISNUMBER(SEARCH(Assumptions!$C$6,G856)),Assumptions!$D$6,IF(ISNUMBER(SEARCH(Assumptions!$C$7,G856)),Assumptions!$D$7,"Other Services"))),"Other Services"))</f>
        <v/>
      </c>
    </row>
    <row r="857" customFormat="false" ht="15" hidden="false" customHeight="false" outlineLevel="0" collapsed="false">
      <c r="F857" s="41" t="str">
        <f aca="false">IF(E857="","",IFERROR(VLOOKUP(E857,Assumptions!$G$5:$H$16,2,0),"Other"))</f>
        <v/>
      </c>
      <c r="J857" s="41" t="str">
        <f aca="false">IF(G857="","",IFERROR(IF(ISNUMBER(SEARCH(Assumptions!$C$5,G857)),Assumptions!$D$5,IF(ISNUMBER(SEARCH(Assumptions!$C$6,G857)),Assumptions!$D$6,IF(ISNUMBER(SEARCH(Assumptions!$C$7,G857)),Assumptions!$D$7,"Other Services"))),"Other Services"))</f>
        <v/>
      </c>
    </row>
    <row r="858" customFormat="false" ht="15" hidden="false" customHeight="false" outlineLevel="0" collapsed="false">
      <c r="F858" s="41" t="str">
        <f aca="false">IF(E858="","",IFERROR(VLOOKUP(E858,Assumptions!$G$5:$H$16,2,0),"Other"))</f>
        <v/>
      </c>
      <c r="J858" s="41" t="str">
        <f aca="false">IF(G858="","",IFERROR(IF(ISNUMBER(SEARCH(Assumptions!$C$5,G858)),Assumptions!$D$5,IF(ISNUMBER(SEARCH(Assumptions!$C$6,G858)),Assumptions!$D$6,IF(ISNUMBER(SEARCH(Assumptions!$C$7,G858)),Assumptions!$D$7,"Other Services"))),"Other Services"))</f>
        <v/>
      </c>
    </row>
    <row r="859" customFormat="false" ht="15" hidden="false" customHeight="false" outlineLevel="0" collapsed="false">
      <c r="F859" s="41" t="str">
        <f aca="false">IF(E859="","",IFERROR(VLOOKUP(E859,Assumptions!$G$5:$H$16,2,0),"Other"))</f>
        <v/>
      </c>
      <c r="J859" s="41" t="str">
        <f aca="false">IF(G859="","",IFERROR(IF(ISNUMBER(SEARCH(Assumptions!$C$5,G859)),Assumptions!$D$5,IF(ISNUMBER(SEARCH(Assumptions!$C$6,G859)),Assumptions!$D$6,IF(ISNUMBER(SEARCH(Assumptions!$C$7,G859)),Assumptions!$D$7,"Other Services"))),"Other Services"))</f>
        <v/>
      </c>
    </row>
    <row r="860" customFormat="false" ht="15" hidden="false" customHeight="false" outlineLevel="0" collapsed="false">
      <c r="F860" s="41" t="str">
        <f aca="false">IF(E860="","",IFERROR(VLOOKUP(E860,Assumptions!$G$5:$H$16,2,0),"Other"))</f>
        <v/>
      </c>
      <c r="J860" s="41" t="str">
        <f aca="false">IF(G860="","",IFERROR(IF(ISNUMBER(SEARCH(Assumptions!$C$5,G860)),Assumptions!$D$5,IF(ISNUMBER(SEARCH(Assumptions!$C$6,G860)),Assumptions!$D$6,IF(ISNUMBER(SEARCH(Assumptions!$C$7,G860)),Assumptions!$D$7,"Other Services"))),"Other Services"))</f>
        <v/>
      </c>
    </row>
    <row r="861" customFormat="false" ht="15" hidden="false" customHeight="false" outlineLevel="0" collapsed="false">
      <c r="F861" s="41" t="str">
        <f aca="false">IF(E861="","",IFERROR(VLOOKUP(E861,Assumptions!$G$5:$H$16,2,0),"Other"))</f>
        <v/>
      </c>
      <c r="J861" s="41" t="str">
        <f aca="false">IF(G861="","",IFERROR(IF(ISNUMBER(SEARCH(Assumptions!$C$5,G861)),Assumptions!$D$5,IF(ISNUMBER(SEARCH(Assumptions!$C$6,G861)),Assumptions!$D$6,IF(ISNUMBER(SEARCH(Assumptions!$C$7,G861)),Assumptions!$D$7,"Other Services"))),"Other Services"))</f>
        <v/>
      </c>
    </row>
    <row r="862" customFormat="false" ht="15" hidden="false" customHeight="false" outlineLevel="0" collapsed="false">
      <c r="F862" s="41" t="str">
        <f aca="false">IF(E862="","",IFERROR(VLOOKUP(E862,Assumptions!$G$5:$H$16,2,0),"Other"))</f>
        <v/>
      </c>
      <c r="J862" s="41" t="str">
        <f aca="false">IF(G862="","",IFERROR(IF(ISNUMBER(SEARCH(Assumptions!$C$5,G862)),Assumptions!$D$5,IF(ISNUMBER(SEARCH(Assumptions!$C$6,G862)),Assumptions!$D$6,IF(ISNUMBER(SEARCH(Assumptions!$C$7,G862)),Assumptions!$D$7,"Other Services"))),"Other Services"))</f>
        <v/>
      </c>
    </row>
    <row r="863" customFormat="false" ht="15" hidden="false" customHeight="false" outlineLevel="0" collapsed="false">
      <c r="F863" s="41" t="str">
        <f aca="false">IF(E863="","",IFERROR(VLOOKUP(E863,Assumptions!$G$5:$H$16,2,0),"Other"))</f>
        <v/>
      </c>
      <c r="J863" s="41" t="str">
        <f aca="false">IF(G863="","",IFERROR(IF(ISNUMBER(SEARCH(Assumptions!$C$5,G863)),Assumptions!$D$5,IF(ISNUMBER(SEARCH(Assumptions!$C$6,G863)),Assumptions!$D$6,IF(ISNUMBER(SEARCH(Assumptions!$C$7,G863)),Assumptions!$D$7,"Other Services"))),"Other Services"))</f>
        <v/>
      </c>
    </row>
    <row r="864" customFormat="false" ht="15" hidden="false" customHeight="false" outlineLevel="0" collapsed="false">
      <c r="F864" s="41" t="str">
        <f aca="false">IF(E864="","",IFERROR(VLOOKUP(E864,Assumptions!$G$5:$H$16,2,0),"Other"))</f>
        <v/>
      </c>
      <c r="J864" s="41" t="str">
        <f aca="false">IF(G864="","",IFERROR(IF(ISNUMBER(SEARCH(Assumptions!$C$5,G864)),Assumptions!$D$5,IF(ISNUMBER(SEARCH(Assumptions!$C$6,G864)),Assumptions!$D$6,IF(ISNUMBER(SEARCH(Assumptions!$C$7,G864)),Assumptions!$D$7,"Other Services"))),"Other Services"))</f>
        <v/>
      </c>
    </row>
    <row r="865" customFormat="false" ht="15" hidden="false" customHeight="false" outlineLevel="0" collapsed="false">
      <c r="F865" s="41" t="str">
        <f aca="false">IF(E865="","",IFERROR(VLOOKUP(E865,Assumptions!$G$5:$H$16,2,0),"Other"))</f>
        <v/>
      </c>
      <c r="J865" s="41" t="str">
        <f aca="false">IF(G865="","",IFERROR(IF(ISNUMBER(SEARCH(Assumptions!$C$5,G865)),Assumptions!$D$5,IF(ISNUMBER(SEARCH(Assumptions!$C$6,G865)),Assumptions!$D$6,IF(ISNUMBER(SEARCH(Assumptions!$C$7,G865)),Assumptions!$D$7,"Other Services"))),"Other Services"))</f>
        <v/>
      </c>
    </row>
    <row r="866" customFormat="false" ht="15" hidden="false" customHeight="false" outlineLevel="0" collapsed="false">
      <c r="F866" s="41" t="str">
        <f aca="false">IF(E866="","",IFERROR(VLOOKUP(E866,Assumptions!$G$5:$H$16,2,0),"Other"))</f>
        <v/>
      </c>
      <c r="J866" s="41" t="str">
        <f aca="false">IF(G866="","",IFERROR(IF(ISNUMBER(SEARCH(Assumptions!$C$5,G866)),Assumptions!$D$5,IF(ISNUMBER(SEARCH(Assumptions!$C$6,G866)),Assumptions!$D$6,IF(ISNUMBER(SEARCH(Assumptions!$C$7,G866)),Assumptions!$D$7,"Other Services"))),"Other Services"))</f>
        <v/>
      </c>
    </row>
    <row r="867" customFormat="false" ht="15" hidden="false" customHeight="false" outlineLevel="0" collapsed="false">
      <c r="F867" s="41" t="str">
        <f aca="false">IF(E867="","",IFERROR(VLOOKUP(E867,Assumptions!$G$5:$H$16,2,0),"Other"))</f>
        <v/>
      </c>
      <c r="J867" s="41" t="str">
        <f aca="false">IF(G867="","",IFERROR(IF(ISNUMBER(SEARCH(Assumptions!$C$5,G867)),Assumptions!$D$5,IF(ISNUMBER(SEARCH(Assumptions!$C$6,G867)),Assumptions!$D$6,IF(ISNUMBER(SEARCH(Assumptions!$C$7,G867)),Assumptions!$D$7,"Other Services"))),"Other Services"))</f>
        <v/>
      </c>
    </row>
    <row r="868" customFormat="false" ht="15" hidden="false" customHeight="false" outlineLevel="0" collapsed="false">
      <c r="F868" s="41" t="str">
        <f aca="false">IF(E868="","",IFERROR(VLOOKUP(E868,Assumptions!$G$5:$H$16,2,0),"Other"))</f>
        <v/>
      </c>
      <c r="J868" s="41" t="str">
        <f aca="false">IF(G868="","",IFERROR(IF(ISNUMBER(SEARCH(Assumptions!$C$5,G868)),Assumptions!$D$5,IF(ISNUMBER(SEARCH(Assumptions!$C$6,G868)),Assumptions!$D$6,IF(ISNUMBER(SEARCH(Assumptions!$C$7,G868)),Assumptions!$D$7,"Other Services"))),"Other Services"))</f>
        <v/>
      </c>
    </row>
    <row r="869" customFormat="false" ht="15" hidden="false" customHeight="false" outlineLevel="0" collapsed="false">
      <c r="F869" s="41" t="str">
        <f aca="false">IF(E869="","",IFERROR(VLOOKUP(E869,Assumptions!$G$5:$H$16,2,0),"Other"))</f>
        <v/>
      </c>
      <c r="J869" s="41" t="str">
        <f aca="false">IF(G869="","",IFERROR(IF(ISNUMBER(SEARCH(Assumptions!$C$5,G869)),Assumptions!$D$5,IF(ISNUMBER(SEARCH(Assumptions!$C$6,G869)),Assumptions!$D$6,IF(ISNUMBER(SEARCH(Assumptions!$C$7,G869)),Assumptions!$D$7,"Other Services"))),"Other Services"))</f>
        <v/>
      </c>
    </row>
    <row r="870" customFormat="false" ht="15" hidden="false" customHeight="false" outlineLevel="0" collapsed="false">
      <c r="F870" s="41" t="str">
        <f aca="false">IF(E870="","",IFERROR(VLOOKUP(E870,Assumptions!$G$5:$H$16,2,0),"Other"))</f>
        <v/>
      </c>
      <c r="J870" s="41" t="str">
        <f aca="false">IF(G870="","",IFERROR(IF(ISNUMBER(SEARCH(Assumptions!$C$5,G870)),Assumptions!$D$5,IF(ISNUMBER(SEARCH(Assumptions!$C$6,G870)),Assumptions!$D$6,IF(ISNUMBER(SEARCH(Assumptions!$C$7,G870)),Assumptions!$D$7,"Other Services"))),"Other Services"))</f>
        <v/>
      </c>
    </row>
    <row r="871" customFormat="false" ht="15" hidden="false" customHeight="false" outlineLevel="0" collapsed="false">
      <c r="F871" s="41" t="str">
        <f aca="false">IF(E871="","",IFERROR(VLOOKUP(E871,Assumptions!$G$5:$H$16,2,0),"Other"))</f>
        <v/>
      </c>
      <c r="J871" s="41" t="str">
        <f aca="false">IF(G871="","",IFERROR(IF(ISNUMBER(SEARCH(Assumptions!$C$5,G871)),Assumptions!$D$5,IF(ISNUMBER(SEARCH(Assumptions!$C$6,G871)),Assumptions!$D$6,IF(ISNUMBER(SEARCH(Assumptions!$C$7,G871)),Assumptions!$D$7,"Other Services"))),"Other Services"))</f>
        <v/>
      </c>
    </row>
    <row r="872" customFormat="false" ht="15" hidden="false" customHeight="false" outlineLevel="0" collapsed="false">
      <c r="F872" s="41" t="str">
        <f aca="false">IF(E872="","",IFERROR(VLOOKUP(E872,Assumptions!$G$5:$H$16,2,0),"Other"))</f>
        <v/>
      </c>
      <c r="J872" s="41" t="str">
        <f aca="false">IF(G872="","",IFERROR(IF(ISNUMBER(SEARCH(Assumptions!$C$5,G872)),Assumptions!$D$5,IF(ISNUMBER(SEARCH(Assumptions!$C$6,G872)),Assumptions!$D$6,IF(ISNUMBER(SEARCH(Assumptions!$C$7,G872)),Assumptions!$D$7,"Other Services"))),"Other Services"))</f>
        <v/>
      </c>
    </row>
    <row r="873" customFormat="false" ht="15" hidden="false" customHeight="false" outlineLevel="0" collapsed="false">
      <c r="F873" s="41" t="str">
        <f aca="false">IF(E873="","",IFERROR(VLOOKUP(E873,Assumptions!$G$5:$H$16,2,0),"Other"))</f>
        <v/>
      </c>
      <c r="J873" s="41" t="str">
        <f aca="false">IF(G873="","",IFERROR(IF(ISNUMBER(SEARCH(Assumptions!$C$5,G873)),Assumptions!$D$5,IF(ISNUMBER(SEARCH(Assumptions!$C$6,G873)),Assumptions!$D$6,IF(ISNUMBER(SEARCH(Assumptions!$C$7,G873)),Assumptions!$D$7,"Other Services"))),"Other Services"))</f>
        <v/>
      </c>
    </row>
    <row r="874" customFormat="false" ht="15" hidden="false" customHeight="false" outlineLevel="0" collapsed="false">
      <c r="F874" s="41" t="str">
        <f aca="false">IF(E874="","",IFERROR(VLOOKUP(E874,Assumptions!$G$5:$H$16,2,0),"Other"))</f>
        <v/>
      </c>
      <c r="J874" s="41" t="str">
        <f aca="false">IF(G874="","",IFERROR(IF(ISNUMBER(SEARCH(Assumptions!$C$5,G874)),Assumptions!$D$5,IF(ISNUMBER(SEARCH(Assumptions!$C$6,G874)),Assumptions!$D$6,IF(ISNUMBER(SEARCH(Assumptions!$C$7,G874)),Assumptions!$D$7,"Other Services"))),"Other Services"))</f>
        <v/>
      </c>
    </row>
    <row r="875" customFormat="false" ht="15" hidden="false" customHeight="false" outlineLevel="0" collapsed="false">
      <c r="F875" s="41" t="str">
        <f aca="false">IF(E875="","",IFERROR(VLOOKUP(E875,Assumptions!$G$5:$H$16,2,0),"Other"))</f>
        <v/>
      </c>
      <c r="J875" s="41" t="str">
        <f aca="false">IF(G875="","",IFERROR(IF(ISNUMBER(SEARCH(Assumptions!$C$5,G875)),Assumptions!$D$5,IF(ISNUMBER(SEARCH(Assumptions!$C$6,G875)),Assumptions!$D$6,IF(ISNUMBER(SEARCH(Assumptions!$C$7,G875)),Assumptions!$D$7,"Other Services"))),"Other Services"))</f>
        <v/>
      </c>
    </row>
    <row r="876" customFormat="false" ht="15" hidden="false" customHeight="false" outlineLevel="0" collapsed="false">
      <c r="F876" s="41" t="str">
        <f aca="false">IF(E876="","",IFERROR(VLOOKUP(E876,Assumptions!$G$5:$H$16,2,0),"Other"))</f>
        <v/>
      </c>
      <c r="J876" s="41" t="str">
        <f aca="false">IF(G876="","",IFERROR(IF(ISNUMBER(SEARCH(Assumptions!$C$5,G876)),Assumptions!$D$5,IF(ISNUMBER(SEARCH(Assumptions!$C$6,G876)),Assumptions!$D$6,IF(ISNUMBER(SEARCH(Assumptions!$C$7,G876)),Assumptions!$D$7,"Other Services"))),"Other Services"))</f>
        <v/>
      </c>
    </row>
    <row r="877" customFormat="false" ht="15" hidden="false" customHeight="false" outlineLevel="0" collapsed="false">
      <c r="F877" s="41" t="str">
        <f aca="false">IF(E877="","",IFERROR(VLOOKUP(E877,Assumptions!$G$5:$H$16,2,0),"Other"))</f>
        <v/>
      </c>
      <c r="J877" s="41" t="str">
        <f aca="false">IF(G877="","",IFERROR(IF(ISNUMBER(SEARCH(Assumptions!$C$5,G877)),Assumptions!$D$5,IF(ISNUMBER(SEARCH(Assumptions!$C$6,G877)),Assumptions!$D$6,IF(ISNUMBER(SEARCH(Assumptions!$C$7,G877)),Assumptions!$D$7,"Other Services"))),"Other Services"))</f>
        <v/>
      </c>
    </row>
    <row r="878" customFormat="false" ht="15" hidden="false" customHeight="false" outlineLevel="0" collapsed="false">
      <c r="F878" s="41" t="str">
        <f aca="false">IF(E878="","",IFERROR(VLOOKUP(E878,Assumptions!$G$5:$H$16,2,0),"Other"))</f>
        <v/>
      </c>
      <c r="J878" s="41" t="str">
        <f aca="false">IF(G878="","",IFERROR(IF(ISNUMBER(SEARCH(Assumptions!$C$5,G878)),Assumptions!$D$5,IF(ISNUMBER(SEARCH(Assumptions!$C$6,G878)),Assumptions!$D$6,IF(ISNUMBER(SEARCH(Assumptions!$C$7,G878)),Assumptions!$D$7,"Other Services"))),"Other Services"))</f>
        <v/>
      </c>
    </row>
    <row r="879" customFormat="false" ht="15" hidden="false" customHeight="false" outlineLevel="0" collapsed="false">
      <c r="F879" s="41" t="str">
        <f aca="false">IF(E879="","",IFERROR(VLOOKUP(E879,Assumptions!$G$5:$H$16,2,0),"Other"))</f>
        <v/>
      </c>
      <c r="J879" s="41" t="str">
        <f aca="false">IF(G879="","",IFERROR(IF(ISNUMBER(SEARCH(Assumptions!$C$5,G879)),Assumptions!$D$5,IF(ISNUMBER(SEARCH(Assumptions!$C$6,G879)),Assumptions!$D$6,IF(ISNUMBER(SEARCH(Assumptions!$C$7,G879)),Assumptions!$D$7,"Other Services"))),"Other Services"))</f>
        <v/>
      </c>
    </row>
    <row r="880" customFormat="false" ht="15" hidden="false" customHeight="false" outlineLevel="0" collapsed="false">
      <c r="F880" s="41" t="str">
        <f aca="false">IF(E880="","",IFERROR(VLOOKUP(E880,Assumptions!$G$5:$H$16,2,0),"Other"))</f>
        <v/>
      </c>
      <c r="J880" s="41" t="str">
        <f aca="false">IF(G880="","",IFERROR(IF(ISNUMBER(SEARCH(Assumptions!$C$5,G880)),Assumptions!$D$5,IF(ISNUMBER(SEARCH(Assumptions!$C$6,G880)),Assumptions!$D$6,IF(ISNUMBER(SEARCH(Assumptions!$C$7,G880)),Assumptions!$D$7,"Other Services"))),"Other Services"))</f>
        <v/>
      </c>
    </row>
    <row r="881" customFormat="false" ht="15" hidden="false" customHeight="false" outlineLevel="0" collapsed="false">
      <c r="F881" s="41" t="str">
        <f aca="false">IF(E881="","",IFERROR(VLOOKUP(E881,Assumptions!$G$5:$H$16,2,0),"Other"))</f>
        <v/>
      </c>
      <c r="J881" s="41" t="str">
        <f aca="false">IF(G881="","",IFERROR(IF(ISNUMBER(SEARCH(Assumptions!$C$5,G881)),Assumptions!$D$5,IF(ISNUMBER(SEARCH(Assumptions!$C$6,G881)),Assumptions!$D$6,IF(ISNUMBER(SEARCH(Assumptions!$C$7,G881)),Assumptions!$D$7,"Other Services"))),"Other Services"))</f>
        <v/>
      </c>
    </row>
    <row r="882" customFormat="false" ht="15" hidden="false" customHeight="false" outlineLevel="0" collapsed="false">
      <c r="F882" s="41" t="str">
        <f aca="false">IF(E882="","",IFERROR(VLOOKUP(E882,Assumptions!$G$5:$H$16,2,0),"Other"))</f>
        <v/>
      </c>
      <c r="J882" s="41" t="str">
        <f aca="false">IF(G882="","",IFERROR(IF(ISNUMBER(SEARCH(Assumptions!$C$5,G882)),Assumptions!$D$5,IF(ISNUMBER(SEARCH(Assumptions!$C$6,G882)),Assumptions!$D$6,IF(ISNUMBER(SEARCH(Assumptions!$C$7,G882)),Assumptions!$D$7,"Other Services"))),"Other Services"))</f>
        <v/>
      </c>
    </row>
    <row r="883" customFormat="false" ht="15" hidden="false" customHeight="false" outlineLevel="0" collapsed="false">
      <c r="F883" s="41" t="str">
        <f aca="false">IF(E883="","",IFERROR(VLOOKUP(E883,Assumptions!$G$5:$H$16,2,0),"Other"))</f>
        <v/>
      </c>
      <c r="J883" s="41" t="str">
        <f aca="false">IF(G883="","",IFERROR(IF(ISNUMBER(SEARCH(Assumptions!$C$5,G883)),Assumptions!$D$5,IF(ISNUMBER(SEARCH(Assumptions!$C$6,G883)),Assumptions!$D$6,IF(ISNUMBER(SEARCH(Assumptions!$C$7,G883)),Assumptions!$D$7,"Other Services"))),"Other Services"))</f>
        <v/>
      </c>
    </row>
    <row r="884" customFormat="false" ht="15" hidden="false" customHeight="false" outlineLevel="0" collapsed="false">
      <c r="F884" s="41" t="str">
        <f aca="false">IF(E884="","",IFERROR(VLOOKUP(E884,Assumptions!$G$5:$H$16,2,0),"Other"))</f>
        <v/>
      </c>
      <c r="J884" s="41" t="str">
        <f aca="false">IF(G884="","",IFERROR(IF(ISNUMBER(SEARCH(Assumptions!$C$5,G884)),Assumptions!$D$5,IF(ISNUMBER(SEARCH(Assumptions!$C$6,G884)),Assumptions!$D$6,IF(ISNUMBER(SEARCH(Assumptions!$C$7,G884)),Assumptions!$D$7,"Other Services"))),"Other Services"))</f>
        <v/>
      </c>
    </row>
    <row r="885" customFormat="false" ht="15" hidden="false" customHeight="false" outlineLevel="0" collapsed="false">
      <c r="F885" s="41" t="str">
        <f aca="false">IF(E885="","",IFERROR(VLOOKUP(E885,Assumptions!$G$5:$H$16,2,0),"Other"))</f>
        <v/>
      </c>
      <c r="J885" s="41" t="str">
        <f aca="false">IF(G885="","",IFERROR(IF(ISNUMBER(SEARCH(Assumptions!$C$5,G885)),Assumptions!$D$5,IF(ISNUMBER(SEARCH(Assumptions!$C$6,G885)),Assumptions!$D$6,IF(ISNUMBER(SEARCH(Assumptions!$C$7,G885)),Assumptions!$D$7,"Other Services"))),"Other Services"))</f>
        <v/>
      </c>
    </row>
    <row r="886" customFormat="false" ht="15" hidden="false" customHeight="false" outlineLevel="0" collapsed="false">
      <c r="F886" s="41" t="str">
        <f aca="false">IF(E886="","",IFERROR(VLOOKUP(E886,Assumptions!$G$5:$H$16,2,0),"Other"))</f>
        <v/>
      </c>
      <c r="J886" s="41" t="str">
        <f aca="false">IF(G886="","",IFERROR(IF(ISNUMBER(SEARCH(Assumptions!$C$5,G886)),Assumptions!$D$5,IF(ISNUMBER(SEARCH(Assumptions!$C$6,G886)),Assumptions!$D$6,IF(ISNUMBER(SEARCH(Assumptions!$C$7,G886)),Assumptions!$D$7,"Other Services"))),"Other Services"))</f>
        <v/>
      </c>
    </row>
    <row r="887" customFormat="false" ht="15" hidden="false" customHeight="false" outlineLevel="0" collapsed="false">
      <c r="F887" s="41" t="str">
        <f aca="false">IF(E887="","",IFERROR(VLOOKUP(E887,Assumptions!$G$5:$H$16,2,0),"Other"))</f>
        <v/>
      </c>
      <c r="J887" s="41" t="str">
        <f aca="false">IF(G887="","",IFERROR(IF(ISNUMBER(SEARCH(Assumptions!$C$5,G887)),Assumptions!$D$5,IF(ISNUMBER(SEARCH(Assumptions!$C$6,G887)),Assumptions!$D$6,IF(ISNUMBER(SEARCH(Assumptions!$C$7,G887)),Assumptions!$D$7,"Other Services"))),"Other Services"))</f>
        <v/>
      </c>
    </row>
    <row r="888" customFormat="false" ht="15" hidden="false" customHeight="false" outlineLevel="0" collapsed="false">
      <c r="F888" s="41" t="str">
        <f aca="false">IF(E888="","",IFERROR(VLOOKUP(E888,Assumptions!$G$5:$H$16,2,0),"Other"))</f>
        <v/>
      </c>
      <c r="J888" s="41" t="str">
        <f aca="false">IF(G888="","",IFERROR(IF(ISNUMBER(SEARCH(Assumptions!$C$5,G888)),Assumptions!$D$5,IF(ISNUMBER(SEARCH(Assumptions!$C$6,G888)),Assumptions!$D$6,IF(ISNUMBER(SEARCH(Assumptions!$C$7,G888)),Assumptions!$D$7,"Other Services"))),"Other Services"))</f>
        <v/>
      </c>
    </row>
    <row r="889" customFormat="false" ht="15" hidden="false" customHeight="false" outlineLevel="0" collapsed="false">
      <c r="F889" s="41" t="str">
        <f aca="false">IF(E889="","",IFERROR(VLOOKUP(E889,Assumptions!$G$5:$H$16,2,0),"Other"))</f>
        <v/>
      </c>
      <c r="J889" s="41" t="str">
        <f aca="false">IF(G889="","",IFERROR(IF(ISNUMBER(SEARCH(Assumptions!$C$5,G889)),Assumptions!$D$5,IF(ISNUMBER(SEARCH(Assumptions!$C$6,G889)),Assumptions!$D$6,IF(ISNUMBER(SEARCH(Assumptions!$C$7,G889)),Assumptions!$D$7,"Other Services"))),"Other Services"))</f>
        <v/>
      </c>
    </row>
    <row r="890" customFormat="false" ht="15" hidden="false" customHeight="false" outlineLevel="0" collapsed="false">
      <c r="F890" s="41" t="str">
        <f aca="false">IF(E890="","",IFERROR(VLOOKUP(E890,Assumptions!$G$5:$H$16,2,0),"Other"))</f>
        <v/>
      </c>
      <c r="J890" s="41" t="str">
        <f aca="false">IF(G890="","",IFERROR(IF(ISNUMBER(SEARCH(Assumptions!$C$5,G890)),Assumptions!$D$5,IF(ISNUMBER(SEARCH(Assumptions!$C$6,G890)),Assumptions!$D$6,IF(ISNUMBER(SEARCH(Assumptions!$C$7,G890)),Assumptions!$D$7,"Other Services"))),"Other Services"))</f>
        <v/>
      </c>
    </row>
    <row r="891" customFormat="false" ht="15" hidden="false" customHeight="false" outlineLevel="0" collapsed="false">
      <c r="F891" s="41" t="str">
        <f aca="false">IF(E891="","",IFERROR(VLOOKUP(E891,Assumptions!$G$5:$H$16,2,0),"Other"))</f>
        <v/>
      </c>
      <c r="J891" s="41" t="str">
        <f aca="false">IF(G891="","",IFERROR(IF(ISNUMBER(SEARCH(Assumptions!$C$5,G891)),Assumptions!$D$5,IF(ISNUMBER(SEARCH(Assumptions!$C$6,G891)),Assumptions!$D$6,IF(ISNUMBER(SEARCH(Assumptions!$C$7,G891)),Assumptions!$D$7,"Other Services"))),"Other Services"))</f>
        <v/>
      </c>
    </row>
    <row r="892" customFormat="false" ht="15" hidden="false" customHeight="false" outlineLevel="0" collapsed="false">
      <c r="F892" s="41" t="str">
        <f aca="false">IF(E892="","",IFERROR(VLOOKUP(E892,Assumptions!$G$5:$H$16,2,0),"Other"))</f>
        <v/>
      </c>
      <c r="J892" s="41" t="str">
        <f aca="false">IF(G892="","",IFERROR(IF(ISNUMBER(SEARCH(Assumptions!$C$5,G892)),Assumptions!$D$5,IF(ISNUMBER(SEARCH(Assumptions!$C$6,G892)),Assumptions!$D$6,IF(ISNUMBER(SEARCH(Assumptions!$C$7,G892)),Assumptions!$D$7,"Other Services"))),"Other Services"))</f>
        <v/>
      </c>
    </row>
    <row r="893" customFormat="false" ht="15" hidden="false" customHeight="false" outlineLevel="0" collapsed="false">
      <c r="F893" s="41" t="str">
        <f aca="false">IF(E893="","",IFERROR(VLOOKUP(E893,Assumptions!$G$5:$H$16,2,0),"Other"))</f>
        <v/>
      </c>
      <c r="J893" s="41" t="str">
        <f aca="false">IF(G893="","",IFERROR(IF(ISNUMBER(SEARCH(Assumptions!$C$5,G893)),Assumptions!$D$5,IF(ISNUMBER(SEARCH(Assumptions!$C$6,G893)),Assumptions!$D$6,IF(ISNUMBER(SEARCH(Assumptions!$C$7,G893)),Assumptions!$D$7,"Other Services"))),"Other Services"))</f>
        <v/>
      </c>
    </row>
    <row r="894" customFormat="false" ht="15" hidden="false" customHeight="false" outlineLevel="0" collapsed="false">
      <c r="F894" s="41" t="str">
        <f aca="false">IF(E894="","",IFERROR(VLOOKUP(E894,Assumptions!$G$5:$H$16,2,0),"Other"))</f>
        <v/>
      </c>
      <c r="J894" s="41" t="str">
        <f aca="false">IF(G894="","",IFERROR(IF(ISNUMBER(SEARCH(Assumptions!$C$5,G894)),Assumptions!$D$5,IF(ISNUMBER(SEARCH(Assumptions!$C$6,G894)),Assumptions!$D$6,IF(ISNUMBER(SEARCH(Assumptions!$C$7,G894)),Assumptions!$D$7,"Other Services"))),"Other Services"))</f>
        <v/>
      </c>
    </row>
    <row r="895" customFormat="false" ht="15" hidden="false" customHeight="false" outlineLevel="0" collapsed="false">
      <c r="F895" s="41" t="str">
        <f aca="false">IF(E895="","",IFERROR(VLOOKUP(E895,Assumptions!$G$5:$H$16,2,0),"Other"))</f>
        <v/>
      </c>
      <c r="J895" s="41" t="str">
        <f aca="false">IF(G895="","",IFERROR(IF(ISNUMBER(SEARCH(Assumptions!$C$5,G895)),Assumptions!$D$5,IF(ISNUMBER(SEARCH(Assumptions!$C$6,G895)),Assumptions!$D$6,IF(ISNUMBER(SEARCH(Assumptions!$C$7,G895)),Assumptions!$D$7,"Other Services"))),"Other Services"))</f>
        <v/>
      </c>
    </row>
    <row r="896" customFormat="false" ht="15" hidden="false" customHeight="false" outlineLevel="0" collapsed="false">
      <c r="F896" s="41" t="str">
        <f aca="false">IF(E896="","",IFERROR(VLOOKUP(E896,Assumptions!$G$5:$H$16,2,0),"Other"))</f>
        <v/>
      </c>
      <c r="J896" s="41" t="str">
        <f aca="false">IF(G896="","",IFERROR(IF(ISNUMBER(SEARCH(Assumptions!$C$5,G896)),Assumptions!$D$5,IF(ISNUMBER(SEARCH(Assumptions!$C$6,G896)),Assumptions!$D$6,IF(ISNUMBER(SEARCH(Assumptions!$C$7,G896)),Assumptions!$D$7,"Other Services"))),"Other Services"))</f>
        <v/>
      </c>
    </row>
    <row r="897" customFormat="false" ht="15" hidden="false" customHeight="false" outlineLevel="0" collapsed="false">
      <c r="F897" s="41" t="str">
        <f aca="false">IF(E897="","",IFERROR(VLOOKUP(E897,Assumptions!$G$5:$H$16,2,0),"Other"))</f>
        <v/>
      </c>
      <c r="J897" s="41" t="str">
        <f aca="false">IF(G897="","",IFERROR(IF(ISNUMBER(SEARCH(Assumptions!$C$5,G897)),Assumptions!$D$5,IF(ISNUMBER(SEARCH(Assumptions!$C$6,G897)),Assumptions!$D$6,IF(ISNUMBER(SEARCH(Assumptions!$C$7,G897)),Assumptions!$D$7,"Other Services"))),"Other Services"))</f>
        <v/>
      </c>
    </row>
    <row r="898" customFormat="false" ht="15" hidden="false" customHeight="false" outlineLevel="0" collapsed="false">
      <c r="F898" s="41" t="str">
        <f aca="false">IF(E898="","",IFERROR(VLOOKUP(E898,Assumptions!$G$5:$H$16,2,0),"Other"))</f>
        <v/>
      </c>
      <c r="J898" s="41" t="str">
        <f aca="false">IF(G898="","",IFERROR(IF(ISNUMBER(SEARCH(Assumptions!$C$5,G898)),Assumptions!$D$5,IF(ISNUMBER(SEARCH(Assumptions!$C$6,G898)),Assumptions!$D$6,IF(ISNUMBER(SEARCH(Assumptions!$C$7,G898)),Assumptions!$D$7,"Other Services"))),"Other Services"))</f>
        <v/>
      </c>
    </row>
    <row r="899" customFormat="false" ht="15" hidden="false" customHeight="false" outlineLevel="0" collapsed="false">
      <c r="F899" s="41" t="str">
        <f aca="false">IF(E899="","",IFERROR(VLOOKUP(E899,Assumptions!$G$5:$H$16,2,0),"Other"))</f>
        <v/>
      </c>
      <c r="J899" s="41" t="str">
        <f aca="false">IF(G899="","",IFERROR(IF(ISNUMBER(SEARCH(Assumptions!$C$5,G899)),Assumptions!$D$5,IF(ISNUMBER(SEARCH(Assumptions!$C$6,G899)),Assumptions!$D$6,IF(ISNUMBER(SEARCH(Assumptions!$C$7,G899)),Assumptions!$D$7,"Other Services"))),"Other Services"))</f>
        <v/>
      </c>
    </row>
    <row r="900" customFormat="false" ht="15" hidden="false" customHeight="false" outlineLevel="0" collapsed="false">
      <c r="F900" s="41" t="str">
        <f aca="false">IF(E900="","",IFERROR(VLOOKUP(E900,Assumptions!$G$5:$H$16,2,0),"Other"))</f>
        <v/>
      </c>
      <c r="J900" s="41" t="str">
        <f aca="false">IF(G900="","",IFERROR(IF(ISNUMBER(SEARCH(Assumptions!$C$5,G900)),Assumptions!$D$5,IF(ISNUMBER(SEARCH(Assumptions!$C$6,G900)),Assumptions!$D$6,IF(ISNUMBER(SEARCH(Assumptions!$C$7,G900)),Assumptions!$D$7,"Other Services"))),"Other Services"))</f>
        <v/>
      </c>
    </row>
    <row r="901" customFormat="false" ht="15" hidden="false" customHeight="false" outlineLevel="0" collapsed="false">
      <c r="F901" s="41" t="str">
        <f aca="false">IF(E901="","",IFERROR(VLOOKUP(E901,Assumptions!$G$5:$H$16,2,0),"Other"))</f>
        <v/>
      </c>
      <c r="J901" s="41" t="str">
        <f aca="false">IF(G901="","",IFERROR(IF(ISNUMBER(SEARCH(Assumptions!$C$5,G901)),Assumptions!$D$5,IF(ISNUMBER(SEARCH(Assumptions!$C$6,G901)),Assumptions!$D$6,IF(ISNUMBER(SEARCH(Assumptions!$C$7,G901)),Assumptions!$D$7,"Other Services"))),"Other Services"))</f>
        <v/>
      </c>
    </row>
    <row r="902" customFormat="false" ht="15" hidden="false" customHeight="false" outlineLevel="0" collapsed="false">
      <c r="F902" s="41" t="str">
        <f aca="false">IF(E902="","",IFERROR(VLOOKUP(E902,Assumptions!$G$5:$H$16,2,0),"Other"))</f>
        <v/>
      </c>
      <c r="J902" s="41" t="str">
        <f aca="false">IF(G902="","",IFERROR(IF(ISNUMBER(SEARCH(Assumptions!$C$5,G902)),Assumptions!$D$5,IF(ISNUMBER(SEARCH(Assumptions!$C$6,G902)),Assumptions!$D$6,IF(ISNUMBER(SEARCH(Assumptions!$C$7,G902)),Assumptions!$D$7,"Other Services"))),"Other Services"))</f>
        <v/>
      </c>
    </row>
    <row r="903" customFormat="false" ht="15" hidden="false" customHeight="false" outlineLevel="0" collapsed="false">
      <c r="F903" s="41" t="str">
        <f aca="false">IF(E903="","",IFERROR(VLOOKUP(E903,Assumptions!$G$5:$H$16,2,0),"Other"))</f>
        <v/>
      </c>
      <c r="J903" s="41" t="str">
        <f aca="false">IF(G903="","",IFERROR(IF(ISNUMBER(SEARCH(Assumptions!$C$5,G903)),Assumptions!$D$5,IF(ISNUMBER(SEARCH(Assumptions!$C$6,G903)),Assumptions!$D$6,IF(ISNUMBER(SEARCH(Assumptions!$C$7,G903)),Assumptions!$D$7,"Other Services"))),"Other Services"))</f>
        <v/>
      </c>
    </row>
    <row r="904" customFormat="false" ht="15" hidden="false" customHeight="false" outlineLevel="0" collapsed="false">
      <c r="F904" s="41" t="str">
        <f aca="false">IF(E904="","",IFERROR(VLOOKUP(E904,Assumptions!$G$5:$H$16,2,0),"Other"))</f>
        <v/>
      </c>
      <c r="J904" s="41" t="str">
        <f aca="false">IF(G904="","",IFERROR(IF(ISNUMBER(SEARCH(Assumptions!$C$5,G904)),Assumptions!$D$5,IF(ISNUMBER(SEARCH(Assumptions!$C$6,G904)),Assumptions!$D$6,IF(ISNUMBER(SEARCH(Assumptions!$C$7,G904)),Assumptions!$D$7,"Other Services"))),"Other Services"))</f>
        <v/>
      </c>
    </row>
    <row r="905" customFormat="false" ht="15" hidden="false" customHeight="false" outlineLevel="0" collapsed="false">
      <c r="F905" s="41" t="str">
        <f aca="false">IF(E905="","",IFERROR(VLOOKUP(E905,Assumptions!$G$5:$H$16,2,0),"Other"))</f>
        <v/>
      </c>
      <c r="J905" s="41" t="str">
        <f aca="false">IF(G905="","",IFERROR(IF(ISNUMBER(SEARCH(Assumptions!$C$5,G905)),Assumptions!$D$5,IF(ISNUMBER(SEARCH(Assumptions!$C$6,G905)),Assumptions!$D$6,IF(ISNUMBER(SEARCH(Assumptions!$C$7,G905)),Assumptions!$D$7,"Other Services"))),"Other Services"))</f>
        <v/>
      </c>
    </row>
    <row r="906" customFormat="false" ht="15" hidden="false" customHeight="false" outlineLevel="0" collapsed="false">
      <c r="F906" s="41" t="str">
        <f aca="false">IF(E906="","",IFERROR(VLOOKUP(E906,Assumptions!$G$5:$H$16,2,0),"Other"))</f>
        <v/>
      </c>
      <c r="J906" s="41" t="str">
        <f aca="false">IF(G906="","",IFERROR(IF(ISNUMBER(SEARCH(Assumptions!$C$5,G906)),Assumptions!$D$5,IF(ISNUMBER(SEARCH(Assumptions!$C$6,G906)),Assumptions!$D$6,IF(ISNUMBER(SEARCH(Assumptions!$C$7,G906)),Assumptions!$D$7,"Other Services"))),"Other Services"))</f>
        <v/>
      </c>
    </row>
    <row r="907" customFormat="false" ht="15" hidden="false" customHeight="false" outlineLevel="0" collapsed="false">
      <c r="F907" s="41" t="str">
        <f aca="false">IF(E907="","",IFERROR(VLOOKUP(E907,Assumptions!$G$5:$H$16,2,0),"Other"))</f>
        <v/>
      </c>
      <c r="J907" s="41" t="str">
        <f aca="false">IF(G907="","",IFERROR(IF(ISNUMBER(SEARCH(Assumptions!$C$5,G907)),Assumptions!$D$5,IF(ISNUMBER(SEARCH(Assumptions!$C$6,G907)),Assumptions!$D$6,IF(ISNUMBER(SEARCH(Assumptions!$C$7,G907)),Assumptions!$D$7,"Other Services"))),"Other Services"))</f>
        <v/>
      </c>
    </row>
    <row r="908" customFormat="false" ht="15" hidden="false" customHeight="false" outlineLevel="0" collapsed="false">
      <c r="F908" s="41" t="str">
        <f aca="false">IF(E908="","",IFERROR(VLOOKUP(E908,Assumptions!$G$5:$H$16,2,0),"Other"))</f>
        <v/>
      </c>
      <c r="J908" s="41" t="str">
        <f aca="false">IF(G908="","",IFERROR(IF(ISNUMBER(SEARCH(Assumptions!$C$5,G908)),Assumptions!$D$5,IF(ISNUMBER(SEARCH(Assumptions!$C$6,G908)),Assumptions!$D$6,IF(ISNUMBER(SEARCH(Assumptions!$C$7,G908)),Assumptions!$D$7,"Other Services"))),"Other Services"))</f>
        <v/>
      </c>
    </row>
    <row r="909" customFormat="false" ht="15" hidden="false" customHeight="false" outlineLevel="0" collapsed="false">
      <c r="F909" s="41" t="str">
        <f aca="false">IF(E909="","",IFERROR(VLOOKUP(E909,Assumptions!$G$5:$H$16,2,0),"Other"))</f>
        <v/>
      </c>
      <c r="J909" s="41" t="str">
        <f aca="false">IF(G909="","",IFERROR(IF(ISNUMBER(SEARCH(Assumptions!$C$5,G909)),Assumptions!$D$5,IF(ISNUMBER(SEARCH(Assumptions!$C$6,G909)),Assumptions!$D$6,IF(ISNUMBER(SEARCH(Assumptions!$C$7,G909)),Assumptions!$D$7,"Other Services"))),"Other Services"))</f>
        <v/>
      </c>
    </row>
    <row r="910" customFormat="false" ht="15" hidden="false" customHeight="false" outlineLevel="0" collapsed="false">
      <c r="F910" s="41" t="str">
        <f aca="false">IF(E910="","",IFERROR(VLOOKUP(E910,Assumptions!$G$5:$H$16,2,0),"Other"))</f>
        <v/>
      </c>
      <c r="J910" s="41" t="str">
        <f aca="false">IF(G910="","",IFERROR(IF(ISNUMBER(SEARCH(Assumptions!$C$5,G910)),Assumptions!$D$5,IF(ISNUMBER(SEARCH(Assumptions!$C$6,G910)),Assumptions!$D$6,IF(ISNUMBER(SEARCH(Assumptions!$C$7,G910)),Assumptions!$D$7,"Other Services"))),"Other Services"))</f>
        <v/>
      </c>
    </row>
    <row r="911" customFormat="false" ht="15" hidden="false" customHeight="false" outlineLevel="0" collapsed="false">
      <c r="F911" s="41" t="str">
        <f aca="false">IF(E911="","",IFERROR(VLOOKUP(E911,Assumptions!$G$5:$H$16,2,0),"Other"))</f>
        <v/>
      </c>
      <c r="J911" s="41" t="str">
        <f aca="false">IF(G911="","",IFERROR(IF(ISNUMBER(SEARCH(Assumptions!$C$5,G911)),Assumptions!$D$5,IF(ISNUMBER(SEARCH(Assumptions!$C$6,G911)),Assumptions!$D$6,IF(ISNUMBER(SEARCH(Assumptions!$C$7,G911)),Assumptions!$D$7,"Other Services"))),"Other Services"))</f>
        <v/>
      </c>
    </row>
    <row r="912" customFormat="false" ht="15" hidden="false" customHeight="false" outlineLevel="0" collapsed="false">
      <c r="F912" s="41" t="str">
        <f aca="false">IF(E912="","",IFERROR(VLOOKUP(E912,Assumptions!$G$5:$H$16,2,0),"Other"))</f>
        <v/>
      </c>
      <c r="J912" s="41" t="str">
        <f aca="false">IF(G912="","",IFERROR(IF(ISNUMBER(SEARCH(Assumptions!$C$5,G912)),Assumptions!$D$5,IF(ISNUMBER(SEARCH(Assumptions!$C$6,G912)),Assumptions!$D$6,IF(ISNUMBER(SEARCH(Assumptions!$C$7,G912)),Assumptions!$D$7,"Other Services"))),"Other Services"))</f>
        <v/>
      </c>
    </row>
    <row r="913" customFormat="false" ht="15" hidden="false" customHeight="false" outlineLevel="0" collapsed="false">
      <c r="F913" s="41" t="str">
        <f aca="false">IF(E913="","",IFERROR(VLOOKUP(E913,Assumptions!$G$5:$H$16,2,0),"Other"))</f>
        <v/>
      </c>
      <c r="J913" s="41" t="str">
        <f aca="false">IF(G913="","",IFERROR(IF(ISNUMBER(SEARCH(Assumptions!$C$5,G913)),Assumptions!$D$5,IF(ISNUMBER(SEARCH(Assumptions!$C$6,G913)),Assumptions!$D$6,IF(ISNUMBER(SEARCH(Assumptions!$C$7,G913)),Assumptions!$D$7,"Other Services"))),"Other Services"))</f>
        <v/>
      </c>
    </row>
    <row r="914" customFormat="false" ht="15" hidden="false" customHeight="false" outlineLevel="0" collapsed="false">
      <c r="F914" s="41" t="str">
        <f aca="false">IF(E914="","",IFERROR(VLOOKUP(E914,Assumptions!$G$5:$H$16,2,0),"Other"))</f>
        <v/>
      </c>
      <c r="J914" s="41" t="str">
        <f aca="false">IF(G914="","",IFERROR(IF(ISNUMBER(SEARCH(Assumptions!$C$5,G914)),Assumptions!$D$5,IF(ISNUMBER(SEARCH(Assumptions!$C$6,G914)),Assumptions!$D$6,IF(ISNUMBER(SEARCH(Assumptions!$C$7,G914)),Assumptions!$D$7,"Other Services"))),"Other Services"))</f>
        <v/>
      </c>
    </row>
    <row r="915" customFormat="false" ht="15" hidden="false" customHeight="false" outlineLevel="0" collapsed="false">
      <c r="F915" s="41" t="str">
        <f aca="false">IF(E915="","",IFERROR(VLOOKUP(E915,Assumptions!$G$5:$H$16,2,0),"Other"))</f>
        <v/>
      </c>
      <c r="J915" s="41" t="str">
        <f aca="false">IF(G915="","",IFERROR(IF(ISNUMBER(SEARCH(Assumptions!$C$5,G915)),Assumptions!$D$5,IF(ISNUMBER(SEARCH(Assumptions!$C$6,G915)),Assumptions!$D$6,IF(ISNUMBER(SEARCH(Assumptions!$C$7,G915)),Assumptions!$D$7,"Other Services"))),"Other Services"))</f>
        <v/>
      </c>
    </row>
    <row r="916" customFormat="false" ht="15" hidden="false" customHeight="false" outlineLevel="0" collapsed="false">
      <c r="F916" s="41" t="str">
        <f aca="false">IF(E916="","",IFERROR(VLOOKUP(E916,Assumptions!$G$5:$H$16,2,0),"Other"))</f>
        <v/>
      </c>
      <c r="J916" s="41" t="str">
        <f aca="false">IF(G916="","",IFERROR(IF(ISNUMBER(SEARCH(Assumptions!$C$5,G916)),Assumptions!$D$5,IF(ISNUMBER(SEARCH(Assumptions!$C$6,G916)),Assumptions!$D$6,IF(ISNUMBER(SEARCH(Assumptions!$C$7,G916)),Assumptions!$D$7,"Other Services"))),"Other Services"))</f>
        <v/>
      </c>
    </row>
    <row r="917" customFormat="false" ht="15" hidden="false" customHeight="false" outlineLevel="0" collapsed="false">
      <c r="F917" s="41" t="str">
        <f aca="false">IF(E917="","",IFERROR(VLOOKUP(E917,Assumptions!$G$5:$H$16,2,0),"Other"))</f>
        <v/>
      </c>
      <c r="J917" s="41" t="str">
        <f aca="false">IF(G917="","",IFERROR(IF(ISNUMBER(SEARCH(Assumptions!$C$5,G917)),Assumptions!$D$5,IF(ISNUMBER(SEARCH(Assumptions!$C$6,G917)),Assumptions!$D$6,IF(ISNUMBER(SEARCH(Assumptions!$C$7,G917)),Assumptions!$D$7,"Other Services"))),"Other Services"))</f>
        <v/>
      </c>
    </row>
    <row r="918" customFormat="false" ht="15" hidden="false" customHeight="false" outlineLevel="0" collapsed="false">
      <c r="F918" s="41" t="str">
        <f aca="false">IF(E918="","",IFERROR(VLOOKUP(E918,Assumptions!$G$5:$H$16,2,0),"Other"))</f>
        <v/>
      </c>
      <c r="J918" s="41" t="str">
        <f aca="false">IF(G918="","",IFERROR(IF(ISNUMBER(SEARCH(Assumptions!$C$5,G918)),Assumptions!$D$5,IF(ISNUMBER(SEARCH(Assumptions!$C$6,G918)),Assumptions!$D$6,IF(ISNUMBER(SEARCH(Assumptions!$C$7,G918)),Assumptions!$D$7,"Other Services"))),"Other Services"))</f>
        <v/>
      </c>
    </row>
    <row r="919" customFormat="false" ht="15" hidden="false" customHeight="false" outlineLevel="0" collapsed="false">
      <c r="F919" s="41" t="str">
        <f aca="false">IF(E919="","",IFERROR(VLOOKUP(E919,Assumptions!$G$5:$H$16,2,0),"Other"))</f>
        <v/>
      </c>
      <c r="J919" s="41" t="str">
        <f aca="false">IF(G919="","",IFERROR(IF(ISNUMBER(SEARCH(Assumptions!$C$5,G919)),Assumptions!$D$5,IF(ISNUMBER(SEARCH(Assumptions!$C$6,G919)),Assumptions!$D$6,IF(ISNUMBER(SEARCH(Assumptions!$C$7,G919)),Assumptions!$D$7,"Other Services"))),"Other Services"))</f>
        <v/>
      </c>
    </row>
    <row r="920" customFormat="false" ht="15" hidden="false" customHeight="false" outlineLevel="0" collapsed="false">
      <c r="F920" s="41" t="str">
        <f aca="false">IF(E920="","",IFERROR(VLOOKUP(E920,Assumptions!$G$5:$H$16,2,0),"Other"))</f>
        <v/>
      </c>
      <c r="J920" s="41" t="str">
        <f aca="false">IF(G920="","",IFERROR(IF(ISNUMBER(SEARCH(Assumptions!$C$5,G920)),Assumptions!$D$5,IF(ISNUMBER(SEARCH(Assumptions!$C$6,G920)),Assumptions!$D$6,IF(ISNUMBER(SEARCH(Assumptions!$C$7,G920)),Assumptions!$D$7,"Other Services"))),"Other Services"))</f>
        <v/>
      </c>
    </row>
    <row r="921" customFormat="false" ht="15" hidden="false" customHeight="false" outlineLevel="0" collapsed="false">
      <c r="F921" s="41" t="str">
        <f aca="false">IF(E921="","",IFERROR(VLOOKUP(E921,Assumptions!$G$5:$H$16,2,0),"Other"))</f>
        <v/>
      </c>
      <c r="J921" s="41" t="str">
        <f aca="false">IF(G921="","",IFERROR(IF(ISNUMBER(SEARCH(Assumptions!$C$5,G921)),Assumptions!$D$5,IF(ISNUMBER(SEARCH(Assumptions!$C$6,G921)),Assumptions!$D$6,IF(ISNUMBER(SEARCH(Assumptions!$C$7,G921)),Assumptions!$D$7,"Other Services"))),"Other Services"))</f>
        <v/>
      </c>
    </row>
    <row r="922" customFormat="false" ht="15" hidden="false" customHeight="false" outlineLevel="0" collapsed="false">
      <c r="F922" s="41" t="str">
        <f aca="false">IF(E922="","",IFERROR(VLOOKUP(E922,Assumptions!$G$5:$H$16,2,0),"Other"))</f>
        <v/>
      </c>
      <c r="J922" s="41" t="str">
        <f aca="false">IF(G922="","",IFERROR(IF(ISNUMBER(SEARCH(Assumptions!$C$5,G922)),Assumptions!$D$5,IF(ISNUMBER(SEARCH(Assumptions!$C$6,G922)),Assumptions!$D$6,IF(ISNUMBER(SEARCH(Assumptions!$C$7,G922)),Assumptions!$D$7,"Other Services"))),"Other Services"))</f>
        <v/>
      </c>
    </row>
    <row r="923" customFormat="false" ht="15" hidden="false" customHeight="false" outlineLevel="0" collapsed="false">
      <c r="F923" s="41" t="str">
        <f aca="false">IF(E923="","",IFERROR(VLOOKUP(E923,Assumptions!$G$5:$H$16,2,0),"Other"))</f>
        <v/>
      </c>
      <c r="J923" s="41" t="str">
        <f aca="false">IF(G923="","",IFERROR(IF(ISNUMBER(SEARCH(Assumptions!$C$5,G923)),Assumptions!$D$5,IF(ISNUMBER(SEARCH(Assumptions!$C$6,G923)),Assumptions!$D$6,IF(ISNUMBER(SEARCH(Assumptions!$C$7,G923)),Assumptions!$D$7,"Other Services"))),"Other Services"))</f>
        <v/>
      </c>
    </row>
    <row r="924" customFormat="false" ht="15" hidden="false" customHeight="false" outlineLevel="0" collapsed="false">
      <c r="F924" s="41" t="str">
        <f aca="false">IF(E924="","",IFERROR(VLOOKUP(E924,Assumptions!$G$5:$H$16,2,0),"Other"))</f>
        <v/>
      </c>
      <c r="J924" s="41" t="str">
        <f aca="false">IF(G924="","",IFERROR(IF(ISNUMBER(SEARCH(Assumptions!$C$5,G924)),Assumptions!$D$5,IF(ISNUMBER(SEARCH(Assumptions!$C$6,G924)),Assumptions!$D$6,IF(ISNUMBER(SEARCH(Assumptions!$C$7,G924)),Assumptions!$D$7,"Other Services"))),"Other Services"))</f>
        <v/>
      </c>
    </row>
    <row r="925" customFormat="false" ht="15" hidden="false" customHeight="false" outlineLevel="0" collapsed="false">
      <c r="F925" s="41" t="str">
        <f aca="false">IF(E925="","",IFERROR(VLOOKUP(E925,Assumptions!$G$5:$H$16,2,0),"Other"))</f>
        <v/>
      </c>
      <c r="J925" s="41" t="str">
        <f aca="false">IF(G925="","",IFERROR(IF(ISNUMBER(SEARCH(Assumptions!$C$5,G925)),Assumptions!$D$5,IF(ISNUMBER(SEARCH(Assumptions!$C$6,G925)),Assumptions!$D$6,IF(ISNUMBER(SEARCH(Assumptions!$C$7,G925)),Assumptions!$D$7,"Other Services"))),"Other Services"))</f>
        <v/>
      </c>
    </row>
    <row r="926" customFormat="false" ht="15" hidden="false" customHeight="false" outlineLevel="0" collapsed="false">
      <c r="F926" s="41" t="str">
        <f aca="false">IF(E926="","",IFERROR(VLOOKUP(E926,Assumptions!$G$5:$H$16,2,0),"Other"))</f>
        <v/>
      </c>
      <c r="J926" s="41" t="str">
        <f aca="false">IF(G926="","",IFERROR(IF(ISNUMBER(SEARCH(Assumptions!$C$5,G926)),Assumptions!$D$5,IF(ISNUMBER(SEARCH(Assumptions!$C$6,G926)),Assumptions!$D$6,IF(ISNUMBER(SEARCH(Assumptions!$C$7,G926)),Assumptions!$D$7,"Other Services"))),"Other Services"))</f>
        <v/>
      </c>
    </row>
    <row r="927" customFormat="false" ht="15" hidden="false" customHeight="false" outlineLevel="0" collapsed="false">
      <c r="F927" s="41" t="str">
        <f aca="false">IF(E927="","",IFERROR(VLOOKUP(E927,Assumptions!$G$5:$H$16,2,0),"Other"))</f>
        <v/>
      </c>
      <c r="J927" s="41" t="str">
        <f aca="false">IF(G927="","",IFERROR(IF(ISNUMBER(SEARCH(Assumptions!$C$5,G927)),Assumptions!$D$5,IF(ISNUMBER(SEARCH(Assumptions!$C$6,G927)),Assumptions!$D$6,IF(ISNUMBER(SEARCH(Assumptions!$C$7,G927)),Assumptions!$D$7,"Other Services"))),"Other Services"))</f>
        <v/>
      </c>
    </row>
    <row r="928" customFormat="false" ht="15" hidden="false" customHeight="false" outlineLevel="0" collapsed="false">
      <c r="F928" s="41" t="str">
        <f aca="false">IF(E928="","",IFERROR(VLOOKUP(E928,Assumptions!$G$5:$H$16,2,0),"Other"))</f>
        <v/>
      </c>
      <c r="J928" s="41" t="str">
        <f aca="false">IF(G928="","",IFERROR(IF(ISNUMBER(SEARCH(Assumptions!$C$5,G928)),Assumptions!$D$5,IF(ISNUMBER(SEARCH(Assumptions!$C$6,G928)),Assumptions!$D$6,IF(ISNUMBER(SEARCH(Assumptions!$C$7,G928)),Assumptions!$D$7,"Other Services"))),"Other Services"))</f>
        <v/>
      </c>
    </row>
    <row r="929" customFormat="false" ht="15" hidden="false" customHeight="false" outlineLevel="0" collapsed="false">
      <c r="F929" s="41" t="str">
        <f aca="false">IF(E929="","",IFERROR(VLOOKUP(E929,Assumptions!$G$5:$H$16,2,0),"Other"))</f>
        <v/>
      </c>
      <c r="J929" s="41" t="str">
        <f aca="false">IF(G929="","",IFERROR(IF(ISNUMBER(SEARCH(Assumptions!$C$5,G929)),Assumptions!$D$5,IF(ISNUMBER(SEARCH(Assumptions!$C$6,G929)),Assumptions!$D$6,IF(ISNUMBER(SEARCH(Assumptions!$C$7,G929)),Assumptions!$D$7,"Other Services"))),"Other Services"))</f>
        <v/>
      </c>
    </row>
    <row r="930" customFormat="false" ht="15" hidden="false" customHeight="false" outlineLevel="0" collapsed="false">
      <c r="F930" s="41" t="str">
        <f aca="false">IF(E930="","",IFERROR(VLOOKUP(E930,Assumptions!$G$5:$H$16,2,0),"Other"))</f>
        <v/>
      </c>
      <c r="J930" s="41" t="str">
        <f aca="false">IF(G930="","",IFERROR(IF(ISNUMBER(SEARCH(Assumptions!$C$5,G930)),Assumptions!$D$5,IF(ISNUMBER(SEARCH(Assumptions!$C$6,G930)),Assumptions!$D$6,IF(ISNUMBER(SEARCH(Assumptions!$C$7,G930)),Assumptions!$D$7,"Other Services"))),"Other Services"))</f>
        <v/>
      </c>
    </row>
    <row r="931" customFormat="false" ht="15" hidden="false" customHeight="false" outlineLevel="0" collapsed="false">
      <c r="F931" s="41" t="str">
        <f aca="false">IF(E931="","",IFERROR(VLOOKUP(E931,Assumptions!$G$5:$H$16,2,0),"Other"))</f>
        <v/>
      </c>
      <c r="J931" s="41" t="str">
        <f aca="false">IF(G931="","",IFERROR(IF(ISNUMBER(SEARCH(Assumptions!$C$5,G931)),Assumptions!$D$5,IF(ISNUMBER(SEARCH(Assumptions!$C$6,G931)),Assumptions!$D$6,IF(ISNUMBER(SEARCH(Assumptions!$C$7,G931)),Assumptions!$D$7,"Other Services"))),"Other Services"))</f>
        <v/>
      </c>
    </row>
    <row r="932" customFormat="false" ht="15" hidden="false" customHeight="false" outlineLevel="0" collapsed="false">
      <c r="F932" s="41" t="str">
        <f aca="false">IF(E932="","",IFERROR(VLOOKUP(E932,Assumptions!$G$5:$H$16,2,0),"Other"))</f>
        <v/>
      </c>
      <c r="J932" s="41" t="str">
        <f aca="false">IF(G932="","",IFERROR(IF(ISNUMBER(SEARCH(Assumptions!$C$5,G932)),Assumptions!$D$5,IF(ISNUMBER(SEARCH(Assumptions!$C$6,G932)),Assumptions!$D$6,IF(ISNUMBER(SEARCH(Assumptions!$C$7,G932)),Assumptions!$D$7,"Other Services"))),"Other Services"))</f>
        <v/>
      </c>
    </row>
    <row r="933" customFormat="false" ht="15" hidden="false" customHeight="false" outlineLevel="0" collapsed="false">
      <c r="F933" s="41" t="str">
        <f aca="false">IF(E933="","",IFERROR(VLOOKUP(E933,Assumptions!$G$5:$H$16,2,0),"Other"))</f>
        <v/>
      </c>
      <c r="J933" s="41" t="str">
        <f aca="false">IF(G933="","",IFERROR(IF(ISNUMBER(SEARCH(Assumptions!$C$5,G933)),Assumptions!$D$5,IF(ISNUMBER(SEARCH(Assumptions!$C$6,G933)),Assumptions!$D$6,IF(ISNUMBER(SEARCH(Assumptions!$C$7,G933)),Assumptions!$D$7,"Other Services"))),"Other Services"))</f>
        <v/>
      </c>
    </row>
    <row r="934" customFormat="false" ht="15" hidden="false" customHeight="false" outlineLevel="0" collapsed="false">
      <c r="F934" s="41" t="str">
        <f aca="false">IF(E934="","",IFERROR(VLOOKUP(E934,Assumptions!$G$5:$H$16,2,0),"Other"))</f>
        <v/>
      </c>
      <c r="J934" s="41" t="str">
        <f aca="false">IF(G934="","",IFERROR(IF(ISNUMBER(SEARCH(Assumptions!$C$5,G934)),Assumptions!$D$5,IF(ISNUMBER(SEARCH(Assumptions!$C$6,G934)),Assumptions!$D$6,IF(ISNUMBER(SEARCH(Assumptions!$C$7,G934)),Assumptions!$D$7,"Other Services"))),"Other Services"))</f>
        <v/>
      </c>
    </row>
    <row r="935" customFormat="false" ht="15" hidden="false" customHeight="false" outlineLevel="0" collapsed="false">
      <c r="F935" s="41" t="str">
        <f aca="false">IF(E935="","",IFERROR(VLOOKUP(E935,Assumptions!$G$5:$H$16,2,0),"Other"))</f>
        <v/>
      </c>
      <c r="J935" s="41" t="str">
        <f aca="false">IF(G935="","",IFERROR(IF(ISNUMBER(SEARCH(Assumptions!$C$5,G935)),Assumptions!$D$5,IF(ISNUMBER(SEARCH(Assumptions!$C$6,G935)),Assumptions!$D$6,IF(ISNUMBER(SEARCH(Assumptions!$C$7,G935)),Assumptions!$D$7,"Other Services"))),"Other Services"))</f>
        <v/>
      </c>
    </row>
    <row r="936" customFormat="false" ht="15" hidden="false" customHeight="false" outlineLevel="0" collapsed="false">
      <c r="F936" s="41" t="str">
        <f aca="false">IF(E936="","",IFERROR(VLOOKUP(E936,Assumptions!$G$5:$H$16,2,0),"Other"))</f>
        <v/>
      </c>
      <c r="J936" s="41" t="str">
        <f aca="false">IF(G936="","",IFERROR(IF(ISNUMBER(SEARCH(Assumptions!$C$5,G936)),Assumptions!$D$5,IF(ISNUMBER(SEARCH(Assumptions!$C$6,G936)),Assumptions!$D$6,IF(ISNUMBER(SEARCH(Assumptions!$C$7,G936)),Assumptions!$D$7,"Other Services"))),"Other Services"))</f>
        <v/>
      </c>
    </row>
    <row r="937" customFormat="false" ht="15" hidden="false" customHeight="false" outlineLevel="0" collapsed="false">
      <c r="F937" s="41" t="str">
        <f aca="false">IF(E937="","",IFERROR(VLOOKUP(E937,Assumptions!$G$5:$H$16,2,0),"Other"))</f>
        <v/>
      </c>
      <c r="J937" s="41" t="str">
        <f aca="false">IF(G937="","",IFERROR(IF(ISNUMBER(SEARCH(Assumptions!$C$5,G937)),Assumptions!$D$5,IF(ISNUMBER(SEARCH(Assumptions!$C$6,G937)),Assumptions!$D$6,IF(ISNUMBER(SEARCH(Assumptions!$C$7,G937)),Assumptions!$D$7,"Other Services"))),"Other Services"))</f>
        <v/>
      </c>
    </row>
    <row r="938" customFormat="false" ht="15" hidden="false" customHeight="false" outlineLevel="0" collapsed="false">
      <c r="F938" s="41" t="str">
        <f aca="false">IF(E938="","",IFERROR(VLOOKUP(E938,Assumptions!$G$5:$H$16,2,0),"Other"))</f>
        <v/>
      </c>
      <c r="J938" s="41" t="str">
        <f aca="false">IF(G938="","",IFERROR(IF(ISNUMBER(SEARCH(Assumptions!$C$5,G938)),Assumptions!$D$5,IF(ISNUMBER(SEARCH(Assumptions!$C$6,G938)),Assumptions!$D$6,IF(ISNUMBER(SEARCH(Assumptions!$C$7,G938)),Assumptions!$D$7,"Other Services"))),"Other Services"))</f>
        <v/>
      </c>
    </row>
    <row r="939" customFormat="false" ht="15" hidden="false" customHeight="false" outlineLevel="0" collapsed="false">
      <c r="F939" s="41" t="str">
        <f aca="false">IF(E939="","",IFERROR(VLOOKUP(E939,Assumptions!$G$5:$H$16,2,0),"Other"))</f>
        <v/>
      </c>
      <c r="J939" s="41" t="str">
        <f aca="false">IF(G939="","",IFERROR(IF(ISNUMBER(SEARCH(Assumptions!$C$5,G939)),Assumptions!$D$5,IF(ISNUMBER(SEARCH(Assumptions!$C$6,G939)),Assumptions!$D$6,IF(ISNUMBER(SEARCH(Assumptions!$C$7,G939)),Assumptions!$D$7,"Other Services"))),"Other Services"))</f>
        <v/>
      </c>
    </row>
    <row r="940" customFormat="false" ht="15" hidden="false" customHeight="false" outlineLevel="0" collapsed="false">
      <c r="F940" s="41" t="str">
        <f aca="false">IF(E940="","",IFERROR(VLOOKUP(E940,Assumptions!$G$5:$H$16,2,0),"Other"))</f>
        <v/>
      </c>
      <c r="J940" s="41" t="str">
        <f aca="false">IF(G940="","",IFERROR(IF(ISNUMBER(SEARCH(Assumptions!$C$5,G940)),Assumptions!$D$5,IF(ISNUMBER(SEARCH(Assumptions!$C$6,G940)),Assumptions!$D$6,IF(ISNUMBER(SEARCH(Assumptions!$C$7,G940)),Assumptions!$D$7,"Other Services"))),"Other Services"))</f>
        <v/>
      </c>
    </row>
    <row r="941" customFormat="false" ht="15" hidden="false" customHeight="false" outlineLevel="0" collapsed="false">
      <c r="F941" s="41" t="str">
        <f aca="false">IF(E941="","",IFERROR(VLOOKUP(E941,Assumptions!$G$5:$H$16,2,0),"Other"))</f>
        <v/>
      </c>
      <c r="J941" s="41" t="str">
        <f aca="false">IF(G941="","",IFERROR(IF(ISNUMBER(SEARCH(Assumptions!$C$5,G941)),Assumptions!$D$5,IF(ISNUMBER(SEARCH(Assumptions!$C$6,G941)),Assumptions!$D$6,IF(ISNUMBER(SEARCH(Assumptions!$C$7,G941)),Assumptions!$D$7,"Other Services"))),"Other Services"))</f>
        <v/>
      </c>
    </row>
    <row r="942" customFormat="false" ht="15" hidden="false" customHeight="false" outlineLevel="0" collapsed="false">
      <c r="F942" s="41" t="str">
        <f aca="false">IF(E942="","",IFERROR(VLOOKUP(E942,Assumptions!$G$5:$H$16,2,0),"Other"))</f>
        <v/>
      </c>
      <c r="J942" s="41" t="str">
        <f aca="false">IF(G942="","",IFERROR(IF(ISNUMBER(SEARCH(Assumptions!$C$5,G942)),Assumptions!$D$5,IF(ISNUMBER(SEARCH(Assumptions!$C$6,G942)),Assumptions!$D$6,IF(ISNUMBER(SEARCH(Assumptions!$C$7,G942)),Assumptions!$D$7,"Other Services"))),"Other Services"))</f>
        <v/>
      </c>
    </row>
    <row r="943" customFormat="false" ht="15" hidden="false" customHeight="false" outlineLevel="0" collapsed="false">
      <c r="F943" s="41" t="str">
        <f aca="false">IF(E943="","",IFERROR(VLOOKUP(E943,Assumptions!$G$5:$H$16,2,0),"Other"))</f>
        <v/>
      </c>
      <c r="J943" s="41" t="str">
        <f aca="false">IF(G943="","",IFERROR(IF(ISNUMBER(SEARCH(Assumptions!$C$5,G943)),Assumptions!$D$5,IF(ISNUMBER(SEARCH(Assumptions!$C$6,G943)),Assumptions!$D$6,IF(ISNUMBER(SEARCH(Assumptions!$C$7,G943)),Assumptions!$D$7,"Other Services"))),"Other Services"))</f>
        <v/>
      </c>
    </row>
    <row r="944" customFormat="false" ht="15" hidden="false" customHeight="false" outlineLevel="0" collapsed="false">
      <c r="F944" s="41" t="str">
        <f aca="false">IF(E944="","",IFERROR(VLOOKUP(E944,Assumptions!$G$5:$H$16,2,0),"Other"))</f>
        <v/>
      </c>
      <c r="J944" s="41" t="str">
        <f aca="false">IF(G944="","",IFERROR(IF(ISNUMBER(SEARCH(Assumptions!$C$5,G944)),Assumptions!$D$5,IF(ISNUMBER(SEARCH(Assumptions!$C$6,G944)),Assumptions!$D$6,IF(ISNUMBER(SEARCH(Assumptions!$C$7,G944)),Assumptions!$D$7,"Other Services"))),"Other Services"))</f>
        <v/>
      </c>
    </row>
    <row r="945" customFormat="false" ht="15" hidden="false" customHeight="false" outlineLevel="0" collapsed="false">
      <c r="F945" s="41" t="str">
        <f aca="false">IF(E945="","",IFERROR(VLOOKUP(E945,Assumptions!$G$5:$H$16,2,0),"Other"))</f>
        <v/>
      </c>
      <c r="J945" s="41" t="str">
        <f aca="false">IF(G945="","",IFERROR(IF(ISNUMBER(SEARCH(Assumptions!$C$5,G945)),Assumptions!$D$5,IF(ISNUMBER(SEARCH(Assumptions!$C$6,G945)),Assumptions!$D$6,IF(ISNUMBER(SEARCH(Assumptions!$C$7,G945)),Assumptions!$D$7,"Other Services"))),"Other Services"))</f>
        <v/>
      </c>
    </row>
    <row r="946" customFormat="false" ht="15" hidden="false" customHeight="false" outlineLevel="0" collapsed="false">
      <c r="F946" s="41" t="str">
        <f aca="false">IF(E946="","",IFERROR(VLOOKUP(E946,Assumptions!$G$5:$H$16,2,0),"Other"))</f>
        <v/>
      </c>
      <c r="J946" s="41" t="str">
        <f aca="false">IF(G946="","",IFERROR(IF(ISNUMBER(SEARCH(Assumptions!$C$5,G946)),Assumptions!$D$5,IF(ISNUMBER(SEARCH(Assumptions!$C$6,G946)),Assumptions!$D$6,IF(ISNUMBER(SEARCH(Assumptions!$C$7,G946)),Assumptions!$D$7,"Other Services"))),"Other Services"))</f>
        <v/>
      </c>
    </row>
    <row r="947" customFormat="false" ht="15" hidden="false" customHeight="false" outlineLevel="0" collapsed="false">
      <c r="F947" s="41" t="str">
        <f aca="false">IF(E947="","",IFERROR(VLOOKUP(E947,Assumptions!$G$5:$H$16,2,0),"Other"))</f>
        <v/>
      </c>
      <c r="J947" s="41" t="str">
        <f aca="false">IF(G947="","",IFERROR(IF(ISNUMBER(SEARCH(Assumptions!$C$5,G947)),Assumptions!$D$5,IF(ISNUMBER(SEARCH(Assumptions!$C$6,G947)),Assumptions!$D$6,IF(ISNUMBER(SEARCH(Assumptions!$C$7,G947)),Assumptions!$D$7,"Other Services"))),"Other Services"))</f>
        <v/>
      </c>
    </row>
    <row r="948" customFormat="false" ht="15" hidden="false" customHeight="false" outlineLevel="0" collapsed="false">
      <c r="F948" s="41" t="str">
        <f aca="false">IF(E948="","",IFERROR(VLOOKUP(E948,Assumptions!$G$5:$H$16,2,0),"Other"))</f>
        <v/>
      </c>
      <c r="J948" s="41" t="str">
        <f aca="false">IF(G948="","",IFERROR(IF(ISNUMBER(SEARCH(Assumptions!$C$5,G948)),Assumptions!$D$5,IF(ISNUMBER(SEARCH(Assumptions!$C$6,G948)),Assumptions!$D$6,IF(ISNUMBER(SEARCH(Assumptions!$C$7,G948)),Assumptions!$D$7,"Other Services"))),"Other Services"))</f>
        <v/>
      </c>
    </row>
    <row r="949" customFormat="false" ht="15" hidden="false" customHeight="false" outlineLevel="0" collapsed="false">
      <c r="F949" s="41" t="str">
        <f aca="false">IF(E949="","",IFERROR(VLOOKUP(E949,Assumptions!$G$5:$H$16,2,0),"Other"))</f>
        <v/>
      </c>
      <c r="J949" s="41" t="str">
        <f aca="false">IF(G949="","",IFERROR(IF(ISNUMBER(SEARCH(Assumptions!$C$5,G949)),Assumptions!$D$5,IF(ISNUMBER(SEARCH(Assumptions!$C$6,G949)),Assumptions!$D$6,IF(ISNUMBER(SEARCH(Assumptions!$C$7,G949)),Assumptions!$D$7,"Other Services"))),"Other Services"))</f>
        <v/>
      </c>
    </row>
    <row r="950" customFormat="false" ht="15" hidden="false" customHeight="false" outlineLevel="0" collapsed="false">
      <c r="F950" s="41" t="str">
        <f aca="false">IF(E950="","",IFERROR(VLOOKUP(E950,Assumptions!$G$5:$H$16,2,0),"Other"))</f>
        <v/>
      </c>
      <c r="J950" s="41" t="str">
        <f aca="false">IF(G950="","",IFERROR(IF(ISNUMBER(SEARCH(Assumptions!$C$5,G950)),Assumptions!$D$5,IF(ISNUMBER(SEARCH(Assumptions!$C$6,G950)),Assumptions!$D$6,IF(ISNUMBER(SEARCH(Assumptions!$C$7,G950)),Assumptions!$D$7,"Other Services"))),"Other Services"))</f>
        <v/>
      </c>
    </row>
    <row r="951" customFormat="false" ht="15" hidden="false" customHeight="false" outlineLevel="0" collapsed="false">
      <c r="F951" s="41" t="str">
        <f aca="false">IF(E951="","",IFERROR(VLOOKUP(E951,Assumptions!$G$5:$H$16,2,0),"Other"))</f>
        <v/>
      </c>
      <c r="J951" s="41" t="str">
        <f aca="false">IF(G951="","",IFERROR(IF(ISNUMBER(SEARCH(Assumptions!$C$5,G951)),Assumptions!$D$5,IF(ISNUMBER(SEARCH(Assumptions!$C$6,G951)),Assumptions!$D$6,IF(ISNUMBER(SEARCH(Assumptions!$C$7,G951)),Assumptions!$D$7,"Other Services"))),"Other Services"))</f>
        <v/>
      </c>
    </row>
    <row r="952" customFormat="false" ht="15" hidden="false" customHeight="false" outlineLevel="0" collapsed="false">
      <c r="F952" s="41" t="str">
        <f aca="false">IF(E952="","",IFERROR(VLOOKUP(E952,Assumptions!$G$5:$H$16,2,0),"Other"))</f>
        <v/>
      </c>
      <c r="J952" s="41" t="str">
        <f aca="false">IF(G952="","",IFERROR(IF(ISNUMBER(SEARCH(Assumptions!$C$5,G952)),Assumptions!$D$5,IF(ISNUMBER(SEARCH(Assumptions!$C$6,G952)),Assumptions!$D$6,IF(ISNUMBER(SEARCH(Assumptions!$C$7,G952)),Assumptions!$D$7,"Other Services"))),"Other Services"))</f>
        <v/>
      </c>
    </row>
    <row r="953" customFormat="false" ht="15" hidden="false" customHeight="false" outlineLevel="0" collapsed="false">
      <c r="F953" s="41" t="str">
        <f aca="false">IF(E953="","",IFERROR(VLOOKUP(E953,Assumptions!$G$5:$H$16,2,0),"Other"))</f>
        <v/>
      </c>
      <c r="J953" s="41" t="str">
        <f aca="false">IF(G953="","",IFERROR(IF(ISNUMBER(SEARCH(Assumptions!$C$5,G953)),Assumptions!$D$5,IF(ISNUMBER(SEARCH(Assumptions!$C$6,G953)),Assumptions!$D$6,IF(ISNUMBER(SEARCH(Assumptions!$C$7,G953)),Assumptions!$D$7,"Other Services"))),"Other Services"))</f>
        <v/>
      </c>
    </row>
    <row r="954" customFormat="false" ht="15" hidden="false" customHeight="false" outlineLevel="0" collapsed="false">
      <c r="F954" s="41" t="str">
        <f aca="false">IF(E954="","",IFERROR(VLOOKUP(E954,Assumptions!$G$5:$H$16,2,0),"Other"))</f>
        <v/>
      </c>
      <c r="J954" s="41" t="str">
        <f aca="false">IF(G954="","",IFERROR(IF(ISNUMBER(SEARCH(Assumptions!$C$5,G954)),Assumptions!$D$5,IF(ISNUMBER(SEARCH(Assumptions!$C$6,G954)),Assumptions!$D$6,IF(ISNUMBER(SEARCH(Assumptions!$C$7,G954)),Assumptions!$D$7,"Other Services"))),"Other Services"))</f>
        <v/>
      </c>
    </row>
    <row r="955" customFormat="false" ht="15" hidden="false" customHeight="false" outlineLevel="0" collapsed="false">
      <c r="F955" s="41" t="str">
        <f aca="false">IF(E955="","",IFERROR(VLOOKUP(E955,Assumptions!$G$5:$H$16,2,0),"Other"))</f>
        <v/>
      </c>
      <c r="J955" s="41" t="str">
        <f aca="false">IF(G955="","",IFERROR(IF(ISNUMBER(SEARCH(Assumptions!$C$5,G955)),Assumptions!$D$5,IF(ISNUMBER(SEARCH(Assumptions!$C$6,G955)),Assumptions!$D$6,IF(ISNUMBER(SEARCH(Assumptions!$C$7,G955)),Assumptions!$D$7,"Other Services"))),"Other Services"))</f>
        <v/>
      </c>
    </row>
    <row r="956" customFormat="false" ht="15" hidden="false" customHeight="false" outlineLevel="0" collapsed="false">
      <c r="F956" s="41" t="str">
        <f aca="false">IF(E956="","",IFERROR(VLOOKUP(E956,Assumptions!$G$5:$H$16,2,0),"Other"))</f>
        <v/>
      </c>
      <c r="J956" s="41" t="str">
        <f aca="false">IF(G956="","",IFERROR(IF(ISNUMBER(SEARCH(Assumptions!$C$5,G956)),Assumptions!$D$5,IF(ISNUMBER(SEARCH(Assumptions!$C$6,G956)),Assumptions!$D$6,IF(ISNUMBER(SEARCH(Assumptions!$C$7,G956)),Assumptions!$D$7,"Other Services"))),"Other Services"))</f>
        <v/>
      </c>
    </row>
    <row r="957" customFormat="false" ht="15" hidden="false" customHeight="false" outlineLevel="0" collapsed="false">
      <c r="F957" s="41" t="str">
        <f aca="false">IF(E957="","",IFERROR(VLOOKUP(E957,Assumptions!$G$5:$H$16,2,0),"Other"))</f>
        <v/>
      </c>
      <c r="J957" s="41" t="str">
        <f aca="false">IF(G957="","",IFERROR(IF(ISNUMBER(SEARCH(Assumptions!$C$5,G957)),Assumptions!$D$5,IF(ISNUMBER(SEARCH(Assumptions!$C$6,G957)),Assumptions!$D$6,IF(ISNUMBER(SEARCH(Assumptions!$C$7,G957)),Assumptions!$D$7,"Other Services"))),"Other Services"))</f>
        <v/>
      </c>
    </row>
    <row r="958" customFormat="false" ht="15" hidden="false" customHeight="false" outlineLevel="0" collapsed="false">
      <c r="F958" s="41" t="str">
        <f aca="false">IF(E958="","",IFERROR(VLOOKUP(E958,Assumptions!$G$5:$H$16,2,0),"Other"))</f>
        <v/>
      </c>
      <c r="J958" s="41" t="str">
        <f aca="false">IF(G958="","",IFERROR(IF(ISNUMBER(SEARCH(Assumptions!$C$5,G958)),Assumptions!$D$5,IF(ISNUMBER(SEARCH(Assumptions!$C$6,G958)),Assumptions!$D$6,IF(ISNUMBER(SEARCH(Assumptions!$C$7,G958)),Assumptions!$D$7,"Other Services"))),"Other Services"))</f>
        <v/>
      </c>
    </row>
    <row r="959" customFormat="false" ht="15" hidden="false" customHeight="false" outlineLevel="0" collapsed="false">
      <c r="F959" s="41" t="str">
        <f aca="false">IF(E959="","",IFERROR(VLOOKUP(E959,Assumptions!$G$5:$H$16,2,0),"Other"))</f>
        <v/>
      </c>
      <c r="J959" s="41" t="str">
        <f aca="false">IF(G959="","",IFERROR(IF(ISNUMBER(SEARCH(Assumptions!$C$5,G959)),Assumptions!$D$5,IF(ISNUMBER(SEARCH(Assumptions!$C$6,G959)),Assumptions!$D$6,IF(ISNUMBER(SEARCH(Assumptions!$C$7,G959)),Assumptions!$D$7,"Other Services"))),"Other Services"))</f>
        <v/>
      </c>
    </row>
    <row r="960" customFormat="false" ht="15" hidden="false" customHeight="false" outlineLevel="0" collapsed="false">
      <c r="F960" s="41" t="str">
        <f aca="false">IF(E960="","",IFERROR(VLOOKUP(E960,Assumptions!$G$5:$H$16,2,0),"Other"))</f>
        <v/>
      </c>
      <c r="J960" s="41" t="str">
        <f aca="false">IF(G960="","",IFERROR(IF(ISNUMBER(SEARCH(Assumptions!$C$5,G960)),Assumptions!$D$5,IF(ISNUMBER(SEARCH(Assumptions!$C$6,G960)),Assumptions!$D$6,IF(ISNUMBER(SEARCH(Assumptions!$C$7,G960)),Assumptions!$D$7,"Other Services"))),"Other Services"))</f>
        <v/>
      </c>
    </row>
    <row r="961" customFormat="false" ht="15" hidden="false" customHeight="false" outlineLevel="0" collapsed="false">
      <c r="F961" s="41" t="str">
        <f aca="false">IF(E961="","",IFERROR(VLOOKUP(E961,Assumptions!$G$5:$H$16,2,0),"Other"))</f>
        <v/>
      </c>
      <c r="J961" s="41" t="str">
        <f aca="false">IF(G961="","",IFERROR(IF(ISNUMBER(SEARCH(Assumptions!$C$5,G961)),Assumptions!$D$5,IF(ISNUMBER(SEARCH(Assumptions!$C$6,G961)),Assumptions!$D$6,IF(ISNUMBER(SEARCH(Assumptions!$C$7,G961)),Assumptions!$D$7,"Other Services"))),"Other Services"))</f>
        <v/>
      </c>
    </row>
    <row r="962" customFormat="false" ht="15" hidden="false" customHeight="false" outlineLevel="0" collapsed="false">
      <c r="F962" s="41" t="str">
        <f aca="false">IF(E962="","",IFERROR(VLOOKUP(E962,Assumptions!$G$5:$H$16,2,0),"Other"))</f>
        <v/>
      </c>
      <c r="J962" s="41" t="str">
        <f aca="false">IF(G962="","",IFERROR(IF(ISNUMBER(SEARCH(Assumptions!$C$5,G962)),Assumptions!$D$5,IF(ISNUMBER(SEARCH(Assumptions!$C$6,G962)),Assumptions!$D$6,IF(ISNUMBER(SEARCH(Assumptions!$C$7,G962)),Assumptions!$D$7,"Other Services"))),"Other Services"))</f>
        <v/>
      </c>
    </row>
    <row r="963" customFormat="false" ht="15" hidden="false" customHeight="false" outlineLevel="0" collapsed="false">
      <c r="F963" s="41" t="str">
        <f aca="false">IF(E963="","",IFERROR(VLOOKUP(E963,Assumptions!$G$5:$H$16,2,0),"Other"))</f>
        <v/>
      </c>
      <c r="J963" s="41" t="str">
        <f aca="false">IF(G963="","",IFERROR(IF(ISNUMBER(SEARCH(Assumptions!$C$5,G963)),Assumptions!$D$5,IF(ISNUMBER(SEARCH(Assumptions!$C$6,G963)),Assumptions!$D$6,IF(ISNUMBER(SEARCH(Assumptions!$C$7,G963)),Assumptions!$D$7,"Other Services"))),"Other Services"))</f>
        <v/>
      </c>
    </row>
    <row r="964" customFormat="false" ht="15" hidden="false" customHeight="false" outlineLevel="0" collapsed="false">
      <c r="F964" s="41" t="str">
        <f aca="false">IF(E964="","",IFERROR(VLOOKUP(E964,Assumptions!$G$5:$H$16,2,0),"Other"))</f>
        <v/>
      </c>
      <c r="J964" s="41" t="str">
        <f aca="false">IF(G964="","",IFERROR(IF(ISNUMBER(SEARCH(Assumptions!$C$5,G964)),Assumptions!$D$5,IF(ISNUMBER(SEARCH(Assumptions!$C$6,G964)),Assumptions!$D$6,IF(ISNUMBER(SEARCH(Assumptions!$C$7,G964)),Assumptions!$D$7,"Other Services"))),"Other Services"))</f>
        <v/>
      </c>
    </row>
    <row r="965" customFormat="false" ht="15" hidden="false" customHeight="false" outlineLevel="0" collapsed="false">
      <c r="F965" s="41" t="str">
        <f aca="false">IF(E965="","",IFERROR(VLOOKUP(E965,Assumptions!$G$5:$H$16,2,0),"Other"))</f>
        <v/>
      </c>
      <c r="J965" s="41" t="str">
        <f aca="false">IF(G965="","",IFERROR(IF(ISNUMBER(SEARCH(Assumptions!$C$5,G965)),Assumptions!$D$5,IF(ISNUMBER(SEARCH(Assumptions!$C$6,G965)),Assumptions!$D$6,IF(ISNUMBER(SEARCH(Assumptions!$C$7,G965)),Assumptions!$D$7,"Other Services"))),"Other Services"))</f>
        <v/>
      </c>
    </row>
    <row r="966" customFormat="false" ht="15" hidden="false" customHeight="false" outlineLevel="0" collapsed="false">
      <c r="F966" s="41" t="str">
        <f aca="false">IF(E966="","",IFERROR(VLOOKUP(E966,Assumptions!$G$5:$H$16,2,0),"Other"))</f>
        <v/>
      </c>
      <c r="J966" s="41" t="str">
        <f aca="false">IF(G966="","",IFERROR(IF(ISNUMBER(SEARCH(Assumptions!$C$5,G966)),Assumptions!$D$5,IF(ISNUMBER(SEARCH(Assumptions!$C$6,G966)),Assumptions!$D$6,IF(ISNUMBER(SEARCH(Assumptions!$C$7,G966)),Assumptions!$D$7,"Other Services"))),"Other Services"))</f>
        <v/>
      </c>
    </row>
    <row r="967" customFormat="false" ht="15" hidden="false" customHeight="false" outlineLevel="0" collapsed="false">
      <c r="F967" s="41" t="str">
        <f aca="false">IF(E967="","",IFERROR(VLOOKUP(E967,Assumptions!$G$5:$H$16,2,0),"Other"))</f>
        <v/>
      </c>
      <c r="J967" s="41" t="str">
        <f aca="false">IF(G967="","",IFERROR(IF(ISNUMBER(SEARCH(Assumptions!$C$5,G967)),Assumptions!$D$5,IF(ISNUMBER(SEARCH(Assumptions!$C$6,G967)),Assumptions!$D$6,IF(ISNUMBER(SEARCH(Assumptions!$C$7,G967)),Assumptions!$D$7,"Other Services"))),"Other Services"))</f>
        <v/>
      </c>
    </row>
    <row r="968" customFormat="false" ht="15" hidden="false" customHeight="false" outlineLevel="0" collapsed="false">
      <c r="F968" s="41" t="str">
        <f aca="false">IF(E968="","",IFERROR(VLOOKUP(E968,Assumptions!$G$5:$H$16,2,0),"Other"))</f>
        <v/>
      </c>
      <c r="J968" s="41" t="str">
        <f aca="false">IF(G968="","",IFERROR(IF(ISNUMBER(SEARCH(Assumptions!$C$5,G968)),Assumptions!$D$5,IF(ISNUMBER(SEARCH(Assumptions!$C$6,G968)),Assumptions!$D$6,IF(ISNUMBER(SEARCH(Assumptions!$C$7,G968)),Assumptions!$D$7,"Other Services"))),"Other Services"))</f>
        <v/>
      </c>
    </row>
    <row r="969" customFormat="false" ht="15" hidden="false" customHeight="false" outlineLevel="0" collapsed="false">
      <c r="F969" s="41" t="str">
        <f aca="false">IF(E969="","",IFERROR(VLOOKUP(E969,Assumptions!$G$5:$H$16,2,0),"Other"))</f>
        <v/>
      </c>
      <c r="J969" s="41" t="str">
        <f aca="false">IF(G969="","",IFERROR(IF(ISNUMBER(SEARCH(Assumptions!$C$5,G969)),Assumptions!$D$5,IF(ISNUMBER(SEARCH(Assumptions!$C$6,G969)),Assumptions!$D$6,IF(ISNUMBER(SEARCH(Assumptions!$C$7,G969)),Assumptions!$D$7,"Other Services"))),"Other Services"))</f>
        <v/>
      </c>
    </row>
    <row r="970" customFormat="false" ht="15" hidden="false" customHeight="false" outlineLevel="0" collapsed="false">
      <c r="F970" s="41" t="str">
        <f aca="false">IF(E970="","",IFERROR(VLOOKUP(E970,Assumptions!$G$5:$H$16,2,0),"Other"))</f>
        <v/>
      </c>
      <c r="J970" s="41" t="str">
        <f aca="false">IF(G970="","",IFERROR(IF(ISNUMBER(SEARCH(Assumptions!$C$5,G970)),Assumptions!$D$5,IF(ISNUMBER(SEARCH(Assumptions!$C$6,G970)),Assumptions!$D$6,IF(ISNUMBER(SEARCH(Assumptions!$C$7,G970)),Assumptions!$D$7,"Other Services"))),"Other Services"))</f>
        <v/>
      </c>
    </row>
    <row r="971" customFormat="false" ht="15" hidden="false" customHeight="false" outlineLevel="0" collapsed="false">
      <c r="F971" s="41" t="str">
        <f aca="false">IF(E971="","",IFERROR(VLOOKUP(E971,Assumptions!$G$5:$H$16,2,0),"Other"))</f>
        <v/>
      </c>
      <c r="J971" s="41" t="str">
        <f aca="false">IF(G971="","",IFERROR(IF(ISNUMBER(SEARCH(Assumptions!$C$5,G971)),Assumptions!$D$5,IF(ISNUMBER(SEARCH(Assumptions!$C$6,G971)),Assumptions!$D$6,IF(ISNUMBER(SEARCH(Assumptions!$C$7,G971)),Assumptions!$D$7,"Other Services"))),"Other Services"))</f>
        <v/>
      </c>
    </row>
    <row r="972" customFormat="false" ht="15" hidden="false" customHeight="false" outlineLevel="0" collapsed="false">
      <c r="F972" s="41" t="str">
        <f aca="false">IF(E972="","",IFERROR(VLOOKUP(E972,Assumptions!$G$5:$H$16,2,0),"Other"))</f>
        <v/>
      </c>
      <c r="J972" s="41" t="str">
        <f aca="false">IF(G972="","",IFERROR(IF(ISNUMBER(SEARCH(Assumptions!$C$5,G972)),Assumptions!$D$5,IF(ISNUMBER(SEARCH(Assumptions!$C$6,G972)),Assumptions!$D$6,IF(ISNUMBER(SEARCH(Assumptions!$C$7,G972)),Assumptions!$D$7,"Other Services"))),"Other Services"))</f>
        <v/>
      </c>
    </row>
    <row r="973" customFormat="false" ht="15" hidden="false" customHeight="false" outlineLevel="0" collapsed="false">
      <c r="F973" s="41" t="str">
        <f aca="false">IF(E973="","",IFERROR(VLOOKUP(E973,Assumptions!$G$5:$H$16,2,0),"Other"))</f>
        <v/>
      </c>
      <c r="J973" s="41" t="str">
        <f aca="false">IF(G973="","",IFERROR(IF(ISNUMBER(SEARCH(Assumptions!$C$5,G973)),Assumptions!$D$5,IF(ISNUMBER(SEARCH(Assumptions!$C$6,G973)),Assumptions!$D$6,IF(ISNUMBER(SEARCH(Assumptions!$C$7,G973)),Assumptions!$D$7,"Other Services"))),"Other Services"))</f>
        <v/>
      </c>
    </row>
    <row r="974" customFormat="false" ht="15" hidden="false" customHeight="false" outlineLevel="0" collapsed="false">
      <c r="F974" s="41" t="str">
        <f aca="false">IF(E974="","",IFERROR(VLOOKUP(E974,Assumptions!$G$5:$H$16,2,0),"Other"))</f>
        <v/>
      </c>
      <c r="J974" s="41" t="str">
        <f aca="false">IF(G974="","",IFERROR(IF(ISNUMBER(SEARCH(Assumptions!$C$5,G974)),Assumptions!$D$5,IF(ISNUMBER(SEARCH(Assumptions!$C$6,G974)),Assumptions!$D$6,IF(ISNUMBER(SEARCH(Assumptions!$C$7,G974)),Assumptions!$D$7,"Other Services"))),"Other Services"))</f>
        <v/>
      </c>
    </row>
    <row r="975" customFormat="false" ht="15" hidden="false" customHeight="false" outlineLevel="0" collapsed="false">
      <c r="F975" s="41" t="str">
        <f aca="false">IF(E975="","",IFERROR(VLOOKUP(E975,Assumptions!$G$5:$H$16,2,0),"Other"))</f>
        <v/>
      </c>
      <c r="J975" s="41" t="str">
        <f aca="false">IF(G975="","",IFERROR(IF(ISNUMBER(SEARCH(Assumptions!$C$5,G975)),Assumptions!$D$5,IF(ISNUMBER(SEARCH(Assumptions!$C$6,G975)),Assumptions!$D$6,IF(ISNUMBER(SEARCH(Assumptions!$C$7,G975)),Assumptions!$D$7,"Other Services"))),"Other Services"))</f>
        <v/>
      </c>
    </row>
    <row r="976" customFormat="false" ht="15" hidden="false" customHeight="false" outlineLevel="0" collapsed="false">
      <c r="F976" s="41" t="str">
        <f aca="false">IF(E976="","",IFERROR(VLOOKUP(E976,Assumptions!$G$5:$H$16,2,0),"Other"))</f>
        <v/>
      </c>
      <c r="J976" s="41" t="str">
        <f aca="false">IF(G976="","",IFERROR(IF(ISNUMBER(SEARCH(Assumptions!$C$5,G976)),Assumptions!$D$5,IF(ISNUMBER(SEARCH(Assumptions!$C$6,G976)),Assumptions!$D$6,IF(ISNUMBER(SEARCH(Assumptions!$C$7,G976)),Assumptions!$D$7,"Other Services"))),"Other Services"))</f>
        <v/>
      </c>
    </row>
    <row r="977" customFormat="false" ht="15" hidden="false" customHeight="false" outlineLevel="0" collapsed="false">
      <c r="F977" s="41" t="str">
        <f aca="false">IF(E977="","",IFERROR(VLOOKUP(E977,Assumptions!$G$5:$H$16,2,0),"Other"))</f>
        <v/>
      </c>
      <c r="J977" s="41" t="str">
        <f aca="false">IF(G977="","",IFERROR(IF(ISNUMBER(SEARCH(Assumptions!$C$5,G977)),Assumptions!$D$5,IF(ISNUMBER(SEARCH(Assumptions!$C$6,G977)),Assumptions!$D$6,IF(ISNUMBER(SEARCH(Assumptions!$C$7,G977)),Assumptions!$D$7,"Other Services"))),"Other Services"))</f>
        <v/>
      </c>
    </row>
    <row r="978" customFormat="false" ht="15" hidden="false" customHeight="false" outlineLevel="0" collapsed="false">
      <c r="F978" s="41" t="str">
        <f aca="false">IF(E978="","",IFERROR(VLOOKUP(E978,Assumptions!$G$5:$H$16,2,0),"Other"))</f>
        <v/>
      </c>
      <c r="J978" s="41" t="str">
        <f aca="false">IF(G978="","",IFERROR(IF(ISNUMBER(SEARCH(Assumptions!$C$5,G978)),Assumptions!$D$5,IF(ISNUMBER(SEARCH(Assumptions!$C$6,G978)),Assumptions!$D$6,IF(ISNUMBER(SEARCH(Assumptions!$C$7,G978)),Assumptions!$D$7,"Other Services"))),"Other Services"))</f>
        <v/>
      </c>
    </row>
    <row r="979" customFormat="false" ht="15" hidden="false" customHeight="false" outlineLevel="0" collapsed="false">
      <c r="F979" s="41" t="str">
        <f aca="false">IF(E979="","",IFERROR(VLOOKUP(E979,Assumptions!$G$5:$H$16,2,0),"Other"))</f>
        <v/>
      </c>
      <c r="J979" s="41" t="str">
        <f aca="false">IF(G979="","",IFERROR(IF(ISNUMBER(SEARCH(Assumptions!$C$5,G979)),Assumptions!$D$5,IF(ISNUMBER(SEARCH(Assumptions!$C$6,G979)),Assumptions!$D$6,IF(ISNUMBER(SEARCH(Assumptions!$C$7,G979)),Assumptions!$D$7,"Other Services"))),"Other Services"))</f>
        <v/>
      </c>
    </row>
    <row r="980" customFormat="false" ht="15" hidden="false" customHeight="false" outlineLevel="0" collapsed="false">
      <c r="F980" s="41" t="str">
        <f aca="false">IF(E980="","",IFERROR(VLOOKUP(E980,Assumptions!$G$5:$H$16,2,0),"Other"))</f>
        <v/>
      </c>
      <c r="J980" s="41" t="str">
        <f aca="false">IF(G980="","",IFERROR(IF(ISNUMBER(SEARCH(Assumptions!$C$5,G980)),Assumptions!$D$5,IF(ISNUMBER(SEARCH(Assumptions!$C$6,G980)),Assumptions!$D$6,IF(ISNUMBER(SEARCH(Assumptions!$C$7,G980)),Assumptions!$D$7,"Other Services"))),"Other Services"))</f>
        <v/>
      </c>
    </row>
    <row r="981" customFormat="false" ht="15" hidden="false" customHeight="false" outlineLevel="0" collapsed="false">
      <c r="F981" s="41" t="str">
        <f aca="false">IF(E981="","",IFERROR(VLOOKUP(E981,Assumptions!$G$5:$H$16,2,0),"Other"))</f>
        <v/>
      </c>
      <c r="J981" s="41" t="str">
        <f aca="false">IF(G981="","",IFERROR(IF(ISNUMBER(SEARCH(Assumptions!$C$5,G981)),Assumptions!$D$5,IF(ISNUMBER(SEARCH(Assumptions!$C$6,G981)),Assumptions!$D$6,IF(ISNUMBER(SEARCH(Assumptions!$C$7,G981)),Assumptions!$D$7,"Other Services"))),"Other Services"))</f>
        <v/>
      </c>
    </row>
    <row r="982" customFormat="false" ht="15" hidden="false" customHeight="false" outlineLevel="0" collapsed="false">
      <c r="F982" s="41" t="str">
        <f aca="false">IF(E982="","",IFERROR(VLOOKUP(E982,Assumptions!$G$5:$H$16,2,0),"Other"))</f>
        <v/>
      </c>
      <c r="J982" s="41" t="str">
        <f aca="false">IF(G982="","",IFERROR(IF(ISNUMBER(SEARCH(Assumptions!$C$5,G982)),Assumptions!$D$5,IF(ISNUMBER(SEARCH(Assumptions!$C$6,G982)),Assumptions!$D$6,IF(ISNUMBER(SEARCH(Assumptions!$C$7,G982)),Assumptions!$D$7,"Other Services"))),"Other Services"))</f>
        <v/>
      </c>
    </row>
    <row r="983" customFormat="false" ht="15" hidden="false" customHeight="false" outlineLevel="0" collapsed="false">
      <c r="F983" s="41" t="str">
        <f aca="false">IF(E983="","",IFERROR(VLOOKUP(E983,Assumptions!$G$5:$H$16,2,0),"Other"))</f>
        <v/>
      </c>
      <c r="J983" s="41" t="str">
        <f aca="false">IF(G983="","",IFERROR(IF(ISNUMBER(SEARCH(Assumptions!$C$5,G983)),Assumptions!$D$5,IF(ISNUMBER(SEARCH(Assumptions!$C$6,G983)),Assumptions!$D$6,IF(ISNUMBER(SEARCH(Assumptions!$C$7,G983)),Assumptions!$D$7,"Other Services"))),"Other Services"))</f>
        <v/>
      </c>
    </row>
    <row r="984" customFormat="false" ht="15" hidden="false" customHeight="false" outlineLevel="0" collapsed="false">
      <c r="F984" s="41" t="str">
        <f aca="false">IF(E984="","",IFERROR(VLOOKUP(E984,Assumptions!$G$5:$H$16,2,0),"Other"))</f>
        <v/>
      </c>
      <c r="J984" s="41" t="str">
        <f aca="false">IF(G984="","",IFERROR(IF(ISNUMBER(SEARCH(Assumptions!$C$5,G984)),Assumptions!$D$5,IF(ISNUMBER(SEARCH(Assumptions!$C$6,G984)),Assumptions!$D$6,IF(ISNUMBER(SEARCH(Assumptions!$C$7,G984)),Assumptions!$D$7,"Other Services"))),"Other Services"))</f>
        <v/>
      </c>
    </row>
    <row r="985" customFormat="false" ht="15" hidden="false" customHeight="false" outlineLevel="0" collapsed="false">
      <c r="F985" s="41" t="str">
        <f aca="false">IF(E985="","",IFERROR(VLOOKUP(E985,Assumptions!$G$5:$H$16,2,0),"Other"))</f>
        <v/>
      </c>
      <c r="J985" s="41" t="str">
        <f aca="false">IF(G985="","",IFERROR(IF(ISNUMBER(SEARCH(Assumptions!$C$5,G985)),Assumptions!$D$5,IF(ISNUMBER(SEARCH(Assumptions!$C$6,G985)),Assumptions!$D$6,IF(ISNUMBER(SEARCH(Assumptions!$C$7,G985)),Assumptions!$D$7,"Other Services"))),"Other Services"))</f>
        <v/>
      </c>
    </row>
    <row r="986" customFormat="false" ht="15" hidden="false" customHeight="false" outlineLevel="0" collapsed="false">
      <c r="F986" s="41" t="str">
        <f aca="false">IF(E986="","",IFERROR(VLOOKUP(E986,Assumptions!$G$5:$H$16,2,0),"Other"))</f>
        <v/>
      </c>
      <c r="J986" s="41" t="str">
        <f aca="false">IF(G986="","",IFERROR(IF(ISNUMBER(SEARCH(Assumptions!$C$5,G986)),Assumptions!$D$5,IF(ISNUMBER(SEARCH(Assumptions!$C$6,G986)),Assumptions!$D$6,IF(ISNUMBER(SEARCH(Assumptions!$C$7,G986)),Assumptions!$D$7,"Other Services"))),"Other Services"))</f>
        <v/>
      </c>
    </row>
    <row r="987" customFormat="false" ht="15" hidden="false" customHeight="false" outlineLevel="0" collapsed="false">
      <c r="F987" s="41" t="str">
        <f aca="false">IF(E987="","",IFERROR(VLOOKUP(E987,Assumptions!$G$5:$H$16,2,0),"Other"))</f>
        <v/>
      </c>
      <c r="J987" s="41" t="str">
        <f aca="false">IF(G987="","",IFERROR(IF(ISNUMBER(SEARCH(Assumptions!$C$5,G987)),Assumptions!$D$5,IF(ISNUMBER(SEARCH(Assumptions!$C$6,G987)),Assumptions!$D$6,IF(ISNUMBER(SEARCH(Assumptions!$C$7,G987)),Assumptions!$D$7,"Other Services"))),"Other Services"))</f>
        <v/>
      </c>
    </row>
    <row r="988" customFormat="false" ht="15" hidden="false" customHeight="false" outlineLevel="0" collapsed="false">
      <c r="F988" s="41" t="str">
        <f aca="false">IF(E988="","",IFERROR(VLOOKUP(E988,Assumptions!$G$5:$H$16,2,0),"Other"))</f>
        <v/>
      </c>
      <c r="J988" s="41" t="str">
        <f aca="false">IF(G988="","",IFERROR(IF(ISNUMBER(SEARCH(Assumptions!$C$5,G988)),Assumptions!$D$5,IF(ISNUMBER(SEARCH(Assumptions!$C$6,G988)),Assumptions!$D$6,IF(ISNUMBER(SEARCH(Assumptions!$C$7,G988)),Assumptions!$D$7,"Other Services"))),"Other Services"))</f>
        <v/>
      </c>
    </row>
    <row r="989" customFormat="false" ht="15" hidden="false" customHeight="false" outlineLevel="0" collapsed="false">
      <c r="F989" s="41" t="str">
        <f aca="false">IF(E989="","",IFERROR(VLOOKUP(E989,Assumptions!$G$5:$H$16,2,0),"Other"))</f>
        <v/>
      </c>
      <c r="J989" s="41" t="str">
        <f aca="false">IF(G989="","",IFERROR(IF(ISNUMBER(SEARCH(Assumptions!$C$5,G989)),Assumptions!$D$5,IF(ISNUMBER(SEARCH(Assumptions!$C$6,G989)),Assumptions!$D$6,IF(ISNUMBER(SEARCH(Assumptions!$C$7,G989)),Assumptions!$D$7,"Other Services"))),"Other Services"))</f>
        <v/>
      </c>
    </row>
    <row r="990" customFormat="false" ht="15" hidden="false" customHeight="false" outlineLevel="0" collapsed="false">
      <c r="F990" s="41" t="str">
        <f aca="false">IF(E990="","",IFERROR(VLOOKUP(E990,Assumptions!$G$5:$H$16,2,0),"Other"))</f>
        <v/>
      </c>
      <c r="J990" s="41" t="str">
        <f aca="false">IF(G990="","",IFERROR(IF(ISNUMBER(SEARCH(Assumptions!$C$5,G990)),Assumptions!$D$5,IF(ISNUMBER(SEARCH(Assumptions!$C$6,G990)),Assumptions!$D$6,IF(ISNUMBER(SEARCH(Assumptions!$C$7,G990)),Assumptions!$D$7,"Other Services"))),"Other Services"))</f>
        <v/>
      </c>
    </row>
    <row r="991" customFormat="false" ht="15" hidden="false" customHeight="false" outlineLevel="0" collapsed="false">
      <c r="F991" s="41" t="str">
        <f aca="false">IF(E991="","",IFERROR(VLOOKUP(E991,Assumptions!$G$5:$H$16,2,0),"Other"))</f>
        <v/>
      </c>
      <c r="J991" s="41" t="str">
        <f aca="false">IF(G991="","",IFERROR(IF(ISNUMBER(SEARCH(Assumptions!$C$5,G991)),Assumptions!$D$5,IF(ISNUMBER(SEARCH(Assumptions!$C$6,G991)),Assumptions!$D$6,IF(ISNUMBER(SEARCH(Assumptions!$C$7,G991)),Assumptions!$D$7,"Other Services"))),"Other Services"))</f>
        <v/>
      </c>
    </row>
    <row r="992" customFormat="false" ht="15" hidden="false" customHeight="false" outlineLevel="0" collapsed="false">
      <c r="F992" s="41" t="str">
        <f aca="false">IF(E992="","",IFERROR(VLOOKUP(E992,Assumptions!$G$5:$H$16,2,0),"Other"))</f>
        <v/>
      </c>
      <c r="J992" s="41" t="str">
        <f aca="false">IF(G992="","",IFERROR(IF(ISNUMBER(SEARCH(Assumptions!$C$5,G992)),Assumptions!$D$5,IF(ISNUMBER(SEARCH(Assumptions!$C$6,G992)),Assumptions!$D$6,IF(ISNUMBER(SEARCH(Assumptions!$C$7,G992)),Assumptions!$D$7,"Other Services"))),"Other Services"))</f>
        <v/>
      </c>
    </row>
    <row r="993" customFormat="false" ht="15" hidden="false" customHeight="false" outlineLevel="0" collapsed="false">
      <c r="F993" s="41" t="str">
        <f aca="false">IF(E993="","",IFERROR(VLOOKUP(E993,Assumptions!$G$5:$H$16,2,0),"Other"))</f>
        <v/>
      </c>
      <c r="J993" s="41" t="str">
        <f aca="false">IF(G993="","",IFERROR(IF(ISNUMBER(SEARCH(Assumptions!$C$5,G993)),Assumptions!$D$5,IF(ISNUMBER(SEARCH(Assumptions!$C$6,G993)),Assumptions!$D$6,IF(ISNUMBER(SEARCH(Assumptions!$C$7,G993)),Assumptions!$D$7,"Other Services"))),"Other Services"))</f>
        <v/>
      </c>
    </row>
    <row r="994" customFormat="false" ht="15" hidden="false" customHeight="false" outlineLevel="0" collapsed="false">
      <c r="F994" s="41" t="str">
        <f aca="false">IF(E994="","",IFERROR(VLOOKUP(E994,Assumptions!$G$5:$H$16,2,0),"Other"))</f>
        <v/>
      </c>
      <c r="J994" s="41" t="str">
        <f aca="false">IF(G994="","",IFERROR(IF(ISNUMBER(SEARCH(Assumptions!$C$5,G994)),Assumptions!$D$5,IF(ISNUMBER(SEARCH(Assumptions!$C$6,G994)),Assumptions!$D$6,IF(ISNUMBER(SEARCH(Assumptions!$C$7,G994)),Assumptions!$D$7,"Other Services"))),"Other Services"))</f>
        <v/>
      </c>
    </row>
    <row r="995" customFormat="false" ht="15" hidden="false" customHeight="false" outlineLevel="0" collapsed="false">
      <c r="F995" s="41" t="str">
        <f aca="false">IF(E995="","",IFERROR(VLOOKUP(E995,Assumptions!$G$5:$H$16,2,0),"Other"))</f>
        <v/>
      </c>
      <c r="J995" s="41" t="str">
        <f aca="false">IF(G995="","",IFERROR(IF(ISNUMBER(SEARCH(Assumptions!$C$5,G995)),Assumptions!$D$5,IF(ISNUMBER(SEARCH(Assumptions!$C$6,G995)),Assumptions!$D$6,IF(ISNUMBER(SEARCH(Assumptions!$C$7,G995)),Assumptions!$D$7,"Other Services"))),"Other Services"))</f>
        <v/>
      </c>
    </row>
    <row r="996" customFormat="false" ht="15" hidden="false" customHeight="false" outlineLevel="0" collapsed="false">
      <c r="F996" s="41" t="str">
        <f aca="false">IF(E996="","",IFERROR(VLOOKUP(E996,Assumptions!$G$5:$H$16,2,0),"Other"))</f>
        <v/>
      </c>
      <c r="J996" s="41" t="str">
        <f aca="false">IF(G996="","",IFERROR(IF(ISNUMBER(SEARCH(Assumptions!$C$5,G996)),Assumptions!$D$5,IF(ISNUMBER(SEARCH(Assumptions!$C$6,G996)),Assumptions!$D$6,IF(ISNUMBER(SEARCH(Assumptions!$C$7,G996)),Assumptions!$D$7,"Other Services"))),"Other Services"))</f>
        <v/>
      </c>
    </row>
    <row r="997" customFormat="false" ht="15" hidden="false" customHeight="false" outlineLevel="0" collapsed="false">
      <c r="F997" s="41" t="str">
        <f aca="false">IF(E997="","",IFERROR(VLOOKUP(E997,Assumptions!$G$5:$H$16,2,0),"Other"))</f>
        <v/>
      </c>
      <c r="J997" s="41" t="str">
        <f aca="false">IF(G997="","",IFERROR(IF(ISNUMBER(SEARCH(Assumptions!$C$5,G997)),Assumptions!$D$5,IF(ISNUMBER(SEARCH(Assumptions!$C$6,G997)),Assumptions!$D$6,IF(ISNUMBER(SEARCH(Assumptions!$C$7,G997)),Assumptions!$D$7,"Other Services"))),"Other Services"))</f>
        <v/>
      </c>
    </row>
    <row r="998" customFormat="false" ht="15" hidden="false" customHeight="false" outlineLevel="0" collapsed="false">
      <c r="F998" s="41" t="str">
        <f aca="false">IF(E998="","",IFERROR(VLOOKUP(E998,Assumptions!$G$5:$H$16,2,0),"Other"))</f>
        <v/>
      </c>
      <c r="J998" s="41" t="str">
        <f aca="false">IF(G998="","",IFERROR(IF(ISNUMBER(SEARCH(Assumptions!$C$5,G998)),Assumptions!$D$5,IF(ISNUMBER(SEARCH(Assumptions!$C$6,G998)),Assumptions!$D$6,IF(ISNUMBER(SEARCH(Assumptions!$C$7,G998)),Assumptions!$D$7,"Other Services"))),"Other Services"))</f>
        <v/>
      </c>
    </row>
    <row r="999" customFormat="false" ht="15" hidden="false" customHeight="false" outlineLevel="0" collapsed="false">
      <c r="F999" s="41" t="str">
        <f aca="false">IF(E999="","",IFERROR(VLOOKUP(E999,Assumptions!$G$5:$H$16,2,0),"Other"))</f>
        <v/>
      </c>
      <c r="J999" s="41" t="str">
        <f aca="false">IF(G999="","",IFERROR(IF(ISNUMBER(SEARCH(Assumptions!$C$5,G999)),Assumptions!$D$5,IF(ISNUMBER(SEARCH(Assumptions!$C$6,G999)),Assumptions!$D$6,IF(ISNUMBER(SEARCH(Assumptions!$C$7,G999)),Assumptions!$D$7,"Other Services"))),"Other Services"))</f>
        <v/>
      </c>
    </row>
    <row r="1000" customFormat="false" ht="15" hidden="false" customHeight="false" outlineLevel="0" collapsed="false">
      <c r="F1000" s="41" t="str">
        <f aca="false">IF(E1000="","",IFERROR(VLOOKUP(E1000,Assumptions!$G$5:$H$16,2,0),"Other"))</f>
        <v/>
      </c>
      <c r="J1000" s="41" t="str">
        <f aca="false">IF(G1000="","",IFERROR(IF(ISNUMBER(SEARCH(Assumptions!$C$5,G1000)),Assumptions!$D$5,IF(ISNUMBER(SEARCH(Assumptions!$C$6,G1000)),Assumptions!$D$6,IF(ISNUMBER(SEARCH(Assumptions!$C$7,G1000)),Assumptions!$D$7,"Other Services"))),"Other Services"))</f>
        <v/>
      </c>
    </row>
    <row r="1001" customFormat="false" ht="15" hidden="false" customHeight="false" outlineLevel="0" collapsed="false">
      <c r="F1001" s="41" t="str">
        <f aca="false">IF(E1001="","",IFERROR(VLOOKUP(E1001,Assumptions!$G$5:$H$16,2,0),"Other"))</f>
        <v/>
      </c>
      <c r="J1001" s="41" t="str">
        <f aca="false">IF(G1001="","",IFERROR(IF(ISNUMBER(SEARCH(Assumptions!$C$5,G1001)),Assumptions!$D$5,IF(ISNUMBER(SEARCH(Assumptions!$C$6,G1001)),Assumptions!$D$6,IF(ISNUMBER(SEARCH(Assumptions!$C$7,G1001)),Assumptions!$D$7,"Other Services"))),"Other Services"))</f>
        <v/>
      </c>
    </row>
    <row r="1002" customFormat="false" ht="15" hidden="false" customHeight="false" outlineLevel="0" collapsed="false">
      <c r="F1002" s="41" t="str">
        <f aca="false">IF(E1002="","",IFERROR(VLOOKUP(E1002,Assumptions!$G$5:$H$16,2,0),"Other"))</f>
        <v/>
      </c>
      <c r="J1002" s="41" t="str">
        <f aca="false">IF(G1002="","",IFERROR(IF(ISNUMBER(SEARCH(Assumptions!$C$5,G1002)),Assumptions!$D$5,IF(ISNUMBER(SEARCH(Assumptions!$C$6,G1002)),Assumptions!$D$6,IF(ISNUMBER(SEARCH(Assumptions!$C$7,G1002)),Assumptions!$D$7,"Other Services"))),"Other Services"))</f>
        <v/>
      </c>
    </row>
    <row r="1003" customFormat="false" ht="15" hidden="false" customHeight="false" outlineLevel="0" collapsed="false">
      <c r="F1003" s="41" t="str">
        <f aca="false">IF(E1003="","",IFERROR(VLOOKUP(E1003,Assumptions!$G$5:$H$16,2,0),"Other"))</f>
        <v/>
      </c>
      <c r="J1003" s="41" t="str">
        <f aca="false">IF(G1003="","",IFERROR(IF(ISNUMBER(SEARCH(Assumptions!$C$5,G1003)),Assumptions!$D$5,IF(ISNUMBER(SEARCH(Assumptions!$C$6,G1003)),Assumptions!$D$6,IF(ISNUMBER(SEARCH(Assumptions!$C$7,G1003)),Assumptions!$D$7,"Other Services"))),"Other Services"))</f>
        <v/>
      </c>
    </row>
    <row r="1004" customFormat="false" ht="15" hidden="false" customHeight="false" outlineLevel="0" collapsed="false">
      <c r="F1004" s="41" t="str">
        <f aca="false">IF(E1004="","",IFERROR(VLOOKUP(E1004,Assumptions!$G$5:$H$16,2,0),"Other"))</f>
        <v/>
      </c>
      <c r="J1004" s="41" t="str">
        <f aca="false">IF(G1004="","",IFERROR(IF(ISNUMBER(SEARCH(Assumptions!$C$5,G1004)),Assumptions!$D$5,IF(ISNUMBER(SEARCH(Assumptions!$C$6,G1004)),Assumptions!$D$6,IF(ISNUMBER(SEARCH(Assumptions!$C$7,G1004)),Assumptions!$D$7,"Other Services"))),"Other Services"))</f>
        <v/>
      </c>
    </row>
    <row r="1005" customFormat="false" ht="15" hidden="false" customHeight="false" outlineLevel="0" collapsed="false">
      <c r="F1005" s="41" t="str">
        <f aca="false">IF(E1005="","",IFERROR(VLOOKUP(E1005,Assumptions!$G$5:$H$16,2,0),"Other"))</f>
        <v/>
      </c>
      <c r="J1005" s="41" t="str">
        <f aca="false">IF(G1005="","",IFERROR(IF(ISNUMBER(SEARCH(Assumptions!$C$5,G1005)),Assumptions!$D$5,IF(ISNUMBER(SEARCH(Assumptions!$C$6,G1005)),Assumptions!$D$6,IF(ISNUMBER(SEARCH(Assumptions!$C$7,G1005)),Assumptions!$D$7,"Other Services"))),"Other Services"))</f>
        <v/>
      </c>
    </row>
    <row r="1006" customFormat="false" ht="15" hidden="false" customHeight="false" outlineLevel="0" collapsed="false">
      <c r="F1006" s="41" t="str">
        <f aca="false">IF(E1006="","",IFERROR(VLOOKUP(E1006,Assumptions!$G$5:$H$16,2,0),"Other"))</f>
        <v/>
      </c>
      <c r="J1006" s="41" t="str">
        <f aca="false">IF(G1006="","",IFERROR(IF(ISNUMBER(SEARCH(Assumptions!$C$5,G1006)),Assumptions!$D$5,IF(ISNUMBER(SEARCH(Assumptions!$C$6,G1006)),Assumptions!$D$6,IF(ISNUMBER(SEARCH(Assumptions!$C$7,G1006)),Assumptions!$D$7,"Other Services"))),"Other Services"))</f>
        <v/>
      </c>
    </row>
    <row r="1007" customFormat="false" ht="15" hidden="false" customHeight="false" outlineLevel="0" collapsed="false">
      <c r="F1007" s="41" t="str">
        <f aca="false">IF(E1007="","",IFERROR(VLOOKUP(E1007,Assumptions!$G$5:$H$16,2,0),"Other"))</f>
        <v/>
      </c>
      <c r="J1007" s="41" t="str">
        <f aca="false">IF(G1007="","",IFERROR(IF(ISNUMBER(SEARCH(Assumptions!$C$5,G1007)),Assumptions!$D$5,IF(ISNUMBER(SEARCH(Assumptions!$C$6,G1007)),Assumptions!$D$6,IF(ISNUMBER(SEARCH(Assumptions!$C$7,G1007)),Assumptions!$D$7,"Other Services"))),"Other Services"))</f>
        <v/>
      </c>
    </row>
    <row r="1008" customFormat="false" ht="15" hidden="false" customHeight="false" outlineLevel="0" collapsed="false">
      <c r="F1008" s="41" t="str">
        <f aca="false">IF(E1008="","",IFERROR(VLOOKUP(E1008,Assumptions!$G$5:$H$16,2,0),"Other"))</f>
        <v/>
      </c>
      <c r="J1008" s="41" t="str">
        <f aca="false">IF(G1008="","",IFERROR(IF(ISNUMBER(SEARCH(Assumptions!$C$5,G1008)),Assumptions!$D$5,IF(ISNUMBER(SEARCH(Assumptions!$C$6,G1008)),Assumptions!$D$6,IF(ISNUMBER(SEARCH(Assumptions!$C$7,G1008)),Assumptions!$D$7,"Other Services"))),"Other Services"))</f>
        <v/>
      </c>
    </row>
    <row r="1009" customFormat="false" ht="15" hidden="false" customHeight="false" outlineLevel="0" collapsed="false">
      <c r="F1009" s="41" t="str">
        <f aca="false">IF(E1009="","",IFERROR(VLOOKUP(E1009,Assumptions!$G$5:$H$16,2,0),"Other"))</f>
        <v/>
      </c>
      <c r="J1009" s="41" t="str">
        <f aca="false">IF(G1009="","",IFERROR(IF(ISNUMBER(SEARCH(Assumptions!$C$5,G1009)),Assumptions!$D$5,IF(ISNUMBER(SEARCH(Assumptions!$C$6,G1009)),Assumptions!$D$6,IF(ISNUMBER(SEARCH(Assumptions!$C$7,G1009)),Assumptions!$D$7,"Other Services"))),"Other Services"))</f>
        <v/>
      </c>
    </row>
    <row r="1010" customFormat="false" ht="15" hidden="false" customHeight="false" outlineLevel="0" collapsed="false">
      <c r="F1010" s="41" t="str">
        <f aca="false">IF(E1010="","",IFERROR(VLOOKUP(E1010,Assumptions!$G$5:$H$16,2,0),"Other"))</f>
        <v/>
      </c>
      <c r="J1010" s="41" t="str">
        <f aca="false">IF(G1010="","",IFERROR(IF(ISNUMBER(SEARCH(Assumptions!$C$5,G1010)),Assumptions!$D$5,IF(ISNUMBER(SEARCH(Assumptions!$C$6,G1010)),Assumptions!$D$6,IF(ISNUMBER(SEARCH(Assumptions!$C$7,G1010)),Assumptions!$D$7,"Other Services"))),"Other Services"))</f>
        <v/>
      </c>
    </row>
    <row r="1011" customFormat="false" ht="15" hidden="false" customHeight="false" outlineLevel="0" collapsed="false">
      <c r="F1011" s="41" t="str">
        <f aca="false">IF(E1011="","",IFERROR(VLOOKUP(E1011,Assumptions!$G$5:$H$16,2,0),"Other"))</f>
        <v/>
      </c>
      <c r="J1011" s="41" t="str">
        <f aca="false">IF(G1011="","",IFERROR(IF(ISNUMBER(SEARCH(Assumptions!$C$5,G1011)),Assumptions!$D$5,IF(ISNUMBER(SEARCH(Assumptions!$C$6,G1011)),Assumptions!$D$6,IF(ISNUMBER(SEARCH(Assumptions!$C$7,G1011)),Assumptions!$D$7,"Other Services"))),"Other Services"))</f>
        <v/>
      </c>
    </row>
    <row r="1012" customFormat="false" ht="15" hidden="false" customHeight="false" outlineLevel="0" collapsed="false">
      <c r="F1012" s="41" t="str">
        <f aca="false">IF(E1012="","",IFERROR(VLOOKUP(E1012,Assumptions!$G$5:$H$16,2,0),"Other"))</f>
        <v/>
      </c>
      <c r="J1012" s="41" t="str">
        <f aca="false">IF(G1012="","",IFERROR(IF(ISNUMBER(SEARCH(Assumptions!$C$5,G1012)),Assumptions!$D$5,IF(ISNUMBER(SEARCH(Assumptions!$C$6,G1012)),Assumptions!$D$6,IF(ISNUMBER(SEARCH(Assumptions!$C$7,G1012)),Assumptions!$D$7,"Other Services"))),"Other Services"))</f>
        <v/>
      </c>
    </row>
    <row r="1013" customFormat="false" ht="15" hidden="false" customHeight="false" outlineLevel="0" collapsed="false">
      <c r="F1013" s="41" t="str">
        <f aca="false">IF(E1013="","",IFERROR(VLOOKUP(E1013,Assumptions!$G$5:$H$16,2,0),"Other"))</f>
        <v/>
      </c>
      <c r="J1013" s="41" t="str">
        <f aca="false">IF(G1013="","",IFERROR(IF(ISNUMBER(SEARCH(Assumptions!$C$5,G1013)),Assumptions!$D$5,IF(ISNUMBER(SEARCH(Assumptions!$C$6,G1013)),Assumptions!$D$6,IF(ISNUMBER(SEARCH(Assumptions!$C$7,G1013)),Assumptions!$D$7,"Other Services"))),"Other Services"))</f>
        <v/>
      </c>
    </row>
    <row r="1014" customFormat="false" ht="15" hidden="false" customHeight="false" outlineLevel="0" collapsed="false">
      <c r="F1014" s="41" t="str">
        <f aca="false">IF(E1014="","",IFERROR(VLOOKUP(E1014,Assumptions!$G$5:$H$16,2,0),"Other"))</f>
        <v/>
      </c>
      <c r="J1014" s="41" t="str">
        <f aca="false">IF(G1014="","",IFERROR(IF(ISNUMBER(SEARCH(Assumptions!$C$5,G1014)),Assumptions!$D$5,IF(ISNUMBER(SEARCH(Assumptions!$C$6,G1014)),Assumptions!$D$6,IF(ISNUMBER(SEARCH(Assumptions!$C$7,G1014)),Assumptions!$D$7,"Other Services"))),"Other Services"))</f>
        <v/>
      </c>
    </row>
    <row r="1015" customFormat="false" ht="15" hidden="false" customHeight="false" outlineLevel="0" collapsed="false">
      <c r="F1015" s="41" t="str">
        <f aca="false">IF(E1015="","",IFERROR(VLOOKUP(E1015,Assumptions!$G$5:$H$16,2,0),"Other"))</f>
        <v/>
      </c>
      <c r="J1015" s="41" t="str">
        <f aca="false">IF(G1015="","",IFERROR(IF(ISNUMBER(SEARCH(Assumptions!$C$5,G1015)),Assumptions!$D$5,IF(ISNUMBER(SEARCH(Assumptions!$C$6,G1015)),Assumptions!$D$6,IF(ISNUMBER(SEARCH(Assumptions!$C$7,G1015)),Assumptions!$D$7,"Other Services"))),"Other Services"))</f>
        <v/>
      </c>
    </row>
    <row r="1016" customFormat="false" ht="15" hidden="false" customHeight="false" outlineLevel="0" collapsed="false">
      <c r="F1016" s="41" t="str">
        <f aca="false">IF(E1016="","",IFERROR(VLOOKUP(E1016,Assumptions!$G$5:$H$16,2,0),"Other"))</f>
        <v/>
      </c>
      <c r="J1016" s="41" t="str">
        <f aca="false">IF(G1016="","",IFERROR(IF(ISNUMBER(SEARCH(Assumptions!$C$5,G1016)),Assumptions!$D$5,IF(ISNUMBER(SEARCH(Assumptions!$C$6,G1016)),Assumptions!$D$6,IF(ISNUMBER(SEARCH(Assumptions!$C$7,G1016)),Assumptions!$D$7,"Other Services"))),"Other Services"))</f>
        <v/>
      </c>
    </row>
    <row r="1017" customFormat="false" ht="15" hidden="false" customHeight="false" outlineLevel="0" collapsed="false">
      <c r="F1017" s="41" t="str">
        <f aca="false">IF(E1017="","",IFERROR(VLOOKUP(E1017,Assumptions!$G$5:$H$16,2,0),"Other"))</f>
        <v/>
      </c>
      <c r="J1017" s="41" t="str">
        <f aca="false">IF(G1017="","",IFERROR(IF(ISNUMBER(SEARCH(Assumptions!$C$5,G1017)),Assumptions!$D$5,IF(ISNUMBER(SEARCH(Assumptions!$C$6,G1017)),Assumptions!$D$6,IF(ISNUMBER(SEARCH(Assumptions!$C$7,G1017)),Assumptions!$D$7,"Other Services"))),"Other Services"))</f>
        <v/>
      </c>
    </row>
    <row r="1018" customFormat="false" ht="15" hidden="false" customHeight="false" outlineLevel="0" collapsed="false">
      <c r="F1018" s="41" t="str">
        <f aca="false">IF(E1018="","",IFERROR(VLOOKUP(E1018,Assumptions!$G$5:$H$16,2,0),"Other"))</f>
        <v/>
      </c>
      <c r="J1018" s="41" t="str">
        <f aca="false">IF(G1018="","",IFERROR(IF(ISNUMBER(SEARCH(Assumptions!$C$5,G1018)),Assumptions!$D$5,IF(ISNUMBER(SEARCH(Assumptions!$C$6,G1018)),Assumptions!$D$6,IF(ISNUMBER(SEARCH(Assumptions!$C$7,G1018)),Assumptions!$D$7,"Other Services"))),"Other Services"))</f>
        <v/>
      </c>
    </row>
    <row r="1019" customFormat="false" ht="15" hidden="false" customHeight="false" outlineLevel="0" collapsed="false">
      <c r="F1019" s="41" t="str">
        <f aca="false">IF(E1019="","",IFERROR(VLOOKUP(E1019,Assumptions!$G$5:$H$16,2,0),"Other"))</f>
        <v/>
      </c>
      <c r="J1019" s="41" t="str">
        <f aca="false">IF(G1019="","",IFERROR(IF(ISNUMBER(SEARCH(Assumptions!$C$5,G1019)),Assumptions!$D$5,IF(ISNUMBER(SEARCH(Assumptions!$C$6,G1019)),Assumptions!$D$6,IF(ISNUMBER(SEARCH(Assumptions!$C$7,G1019)),Assumptions!$D$7,"Other Services"))),"Other Services"))</f>
        <v/>
      </c>
    </row>
    <row r="1020" customFormat="false" ht="15" hidden="false" customHeight="false" outlineLevel="0" collapsed="false">
      <c r="F1020" s="41" t="str">
        <f aca="false">IF(E1020="","",IFERROR(VLOOKUP(E1020,Assumptions!$G$5:$H$16,2,0),"Other"))</f>
        <v/>
      </c>
      <c r="J1020" s="41" t="str">
        <f aca="false">IF(G1020="","",IFERROR(IF(ISNUMBER(SEARCH(Assumptions!$C$5,G1020)),Assumptions!$D$5,IF(ISNUMBER(SEARCH(Assumptions!$C$6,G1020)),Assumptions!$D$6,IF(ISNUMBER(SEARCH(Assumptions!$C$7,G1020)),Assumptions!$D$7,"Other Services"))),"Other Services"))</f>
        <v/>
      </c>
    </row>
    <row r="1021" customFormat="false" ht="15" hidden="false" customHeight="false" outlineLevel="0" collapsed="false">
      <c r="F1021" s="41" t="str">
        <f aca="false">IF(E1021="","",IFERROR(VLOOKUP(E1021,Assumptions!$G$5:$H$16,2,0),"Other"))</f>
        <v/>
      </c>
      <c r="J1021" s="41" t="str">
        <f aca="false">IF(G1021="","",IFERROR(IF(ISNUMBER(SEARCH(Assumptions!$C$5,G1021)),Assumptions!$D$5,IF(ISNUMBER(SEARCH(Assumptions!$C$6,G1021)),Assumptions!$D$6,IF(ISNUMBER(SEARCH(Assumptions!$C$7,G1021)),Assumptions!$D$7,"Other Services"))),"Other Services"))</f>
        <v/>
      </c>
    </row>
    <row r="1022" customFormat="false" ht="15" hidden="false" customHeight="false" outlineLevel="0" collapsed="false">
      <c r="F1022" s="41" t="str">
        <f aca="false">IF(E1022="","",IFERROR(VLOOKUP(E1022,Assumptions!$G$5:$H$16,2,0),"Other"))</f>
        <v/>
      </c>
      <c r="J1022" s="41" t="str">
        <f aca="false">IF(G1022="","",IFERROR(IF(ISNUMBER(SEARCH(Assumptions!$C$5,G1022)),Assumptions!$D$5,IF(ISNUMBER(SEARCH(Assumptions!$C$6,G1022)),Assumptions!$D$6,IF(ISNUMBER(SEARCH(Assumptions!$C$7,G1022)),Assumptions!$D$7,"Other Services"))),"Other Services"))</f>
        <v/>
      </c>
    </row>
    <row r="1023" customFormat="false" ht="15" hidden="false" customHeight="false" outlineLevel="0" collapsed="false">
      <c r="F1023" s="41" t="str">
        <f aca="false">IF(E1023="","",IFERROR(VLOOKUP(E1023,Assumptions!$G$5:$H$16,2,0),"Other"))</f>
        <v/>
      </c>
      <c r="J1023" s="41" t="str">
        <f aca="false">IF(G1023="","",IFERROR(IF(ISNUMBER(SEARCH(Assumptions!$C$5,G1023)),Assumptions!$D$5,IF(ISNUMBER(SEARCH(Assumptions!$C$6,G1023)),Assumptions!$D$6,IF(ISNUMBER(SEARCH(Assumptions!$C$7,G1023)),Assumptions!$D$7,"Other Services"))),"Other Services"))</f>
        <v/>
      </c>
    </row>
    <row r="1024" customFormat="false" ht="15" hidden="false" customHeight="false" outlineLevel="0" collapsed="false">
      <c r="F1024" s="41" t="str">
        <f aca="false">IF(E1024="","",IFERROR(VLOOKUP(E1024,Assumptions!$G$5:$H$16,2,0),"Other"))</f>
        <v/>
      </c>
      <c r="J1024" s="41" t="str">
        <f aca="false">IF(G1024="","",IFERROR(IF(ISNUMBER(SEARCH(Assumptions!$C$5,G1024)),Assumptions!$D$5,IF(ISNUMBER(SEARCH(Assumptions!$C$6,G1024)),Assumptions!$D$6,IF(ISNUMBER(SEARCH(Assumptions!$C$7,G1024)),Assumptions!$D$7,"Other Services"))),"Other Services"))</f>
        <v/>
      </c>
    </row>
    <row r="1025" customFormat="false" ht="15" hidden="false" customHeight="false" outlineLevel="0" collapsed="false">
      <c r="F1025" s="41" t="str">
        <f aca="false">IF(E1025="","",IFERROR(VLOOKUP(E1025,Assumptions!$G$5:$H$16,2,0),"Other"))</f>
        <v/>
      </c>
      <c r="J1025" s="41" t="str">
        <f aca="false">IF(G1025="","",IFERROR(IF(ISNUMBER(SEARCH(Assumptions!$C$5,G1025)),Assumptions!$D$5,IF(ISNUMBER(SEARCH(Assumptions!$C$6,G1025)),Assumptions!$D$6,IF(ISNUMBER(SEARCH(Assumptions!$C$7,G1025)),Assumptions!$D$7,"Other Services"))),"Other Services"))</f>
        <v/>
      </c>
    </row>
    <row r="1026" customFormat="false" ht="15" hidden="false" customHeight="false" outlineLevel="0" collapsed="false">
      <c r="F1026" s="41" t="str">
        <f aca="false">IF(E1026="","",IFERROR(VLOOKUP(E1026,Assumptions!$G$5:$H$16,2,0),"Other"))</f>
        <v/>
      </c>
      <c r="J1026" s="41" t="str">
        <f aca="false">IF(G1026="","",IFERROR(IF(ISNUMBER(SEARCH(Assumptions!$C$5,G1026)),Assumptions!$D$5,IF(ISNUMBER(SEARCH(Assumptions!$C$6,G1026)),Assumptions!$D$6,IF(ISNUMBER(SEARCH(Assumptions!$C$7,G1026)),Assumptions!$D$7,"Other Services"))),"Other Services"))</f>
        <v/>
      </c>
    </row>
    <row r="1027" customFormat="false" ht="15" hidden="false" customHeight="false" outlineLevel="0" collapsed="false">
      <c r="F1027" s="41" t="str">
        <f aca="false">IF(E1027="","",IFERROR(VLOOKUP(E1027,Assumptions!$G$5:$H$16,2,0),"Other"))</f>
        <v/>
      </c>
      <c r="J1027" s="41" t="str">
        <f aca="false">IF(G1027="","",IFERROR(IF(ISNUMBER(SEARCH(Assumptions!$C$5,G1027)),Assumptions!$D$5,IF(ISNUMBER(SEARCH(Assumptions!$C$6,G1027)),Assumptions!$D$6,IF(ISNUMBER(SEARCH(Assumptions!$C$7,G1027)),Assumptions!$D$7,"Other Services"))),"Other Services"))</f>
        <v/>
      </c>
    </row>
    <row r="1028" customFormat="false" ht="15" hidden="false" customHeight="false" outlineLevel="0" collapsed="false">
      <c r="F1028" s="41" t="str">
        <f aca="false">IF(E1028="","",IFERROR(VLOOKUP(E1028,Assumptions!$G$5:$H$16,2,0),"Other"))</f>
        <v/>
      </c>
      <c r="J1028" s="41" t="str">
        <f aca="false">IF(G1028="","",IFERROR(IF(ISNUMBER(SEARCH(Assumptions!$C$5,G1028)),Assumptions!$D$5,IF(ISNUMBER(SEARCH(Assumptions!$C$6,G1028)),Assumptions!$D$6,IF(ISNUMBER(SEARCH(Assumptions!$C$7,G1028)),Assumptions!$D$7,"Other Services"))),"Other Services"))</f>
        <v/>
      </c>
    </row>
    <row r="1029" customFormat="false" ht="15" hidden="false" customHeight="false" outlineLevel="0" collapsed="false">
      <c r="F1029" s="41" t="str">
        <f aca="false">IF(E1029="","",IFERROR(VLOOKUP(E1029,Assumptions!$G$5:$H$16,2,0),"Other"))</f>
        <v/>
      </c>
      <c r="J1029" s="41" t="str">
        <f aca="false">IF(G1029="","",IFERROR(IF(ISNUMBER(SEARCH(Assumptions!$C$5,G1029)),Assumptions!$D$5,IF(ISNUMBER(SEARCH(Assumptions!$C$6,G1029)),Assumptions!$D$6,IF(ISNUMBER(SEARCH(Assumptions!$C$7,G1029)),Assumptions!$D$7,"Other Services"))),"Other Services"))</f>
        <v/>
      </c>
    </row>
    <row r="1030" customFormat="false" ht="15" hidden="false" customHeight="false" outlineLevel="0" collapsed="false">
      <c r="F1030" s="41" t="str">
        <f aca="false">IF(E1030="","",IFERROR(VLOOKUP(E1030,Assumptions!$G$5:$H$16,2,0),"Other"))</f>
        <v/>
      </c>
      <c r="J1030" s="41" t="str">
        <f aca="false">IF(G1030="","",IFERROR(IF(ISNUMBER(SEARCH(Assumptions!$C$5,G1030)),Assumptions!$D$5,IF(ISNUMBER(SEARCH(Assumptions!$C$6,G1030)),Assumptions!$D$6,IF(ISNUMBER(SEARCH(Assumptions!$C$7,G1030)),Assumptions!$D$7,"Other Services"))),"Other Services"))</f>
        <v/>
      </c>
    </row>
    <row r="1031" customFormat="false" ht="15" hidden="false" customHeight="false" outlineLevel="0" collapsed="false">
      <c r="F1031" s="41" t="str">
        <f aca="false">IF(E1031="","",IFERROR(VLOOKUP(E1031,Assumptions!$G$5:$H$16,2,0),"Other"))</f>
        <v/>
      </c>
      <c r="J1031" s="41" t="str">
        <f aca="false">IF(G1031="","",IFERROR(IF(ISNUMBER(SEARCH(Assumptions!$C$5,G1031)),Assumptions!$D$5,IF(ISNUMBER(SEARCH(Assumptions!$C$6,G1031)),Assumptions!$D$6,IF(ISNUMBER(SEARCH(Assumptions!$C$7,G1031)),Assumptions!$D$7,"Other Services"))),"Other Services"))</f>
        <v/>
      </c>
    </row>
    <row r="1032" customFormat="false" ht="15" hidden="false" customHeight="false" outlineLevel="0" collapsed="false">
      <c r="F1032" s="41" t="str">
        <f aca="false">IF(E1032="","",IFERROR(VLOOKUP(E1032,Assumptions!$G$5:$H$16,2,0),"Other"))</f>
        <v/>
      </c>
      <c r="J1032" s="41" t="str">
        <f aca="false">IF(G1032="","",IFERROR(IF(ISNUMBER(SEARCH(Assumptions!$C$5,G1032)),Assumptions!$D$5,IF(ISNUMBER(SEARCH(Assumptions!$C$6,G1032)),Assumptions!$D$6,IF(ISNUMBER(SEARCH(Assumptions!$C$7,G1032)),Assumptions!$D$7,"Other Services"))),"Other Services"))</f>
        <v/>
      </c>
    </row>
    <row r="1033" customFormat="false" ht="15" hidden="false" customHeight="false" outlineLevel="0" collapsed="false">
      <c r="F1033" s="41" t="str">
        <f aca="false">IF(E1033="","",IFERROR(VLOOKUP(E1033,Assumptions!$G$5:$H$16,2,0),"Other"))</f>
        <v/>
      </c>
      <c r="J1033" s="41" t="str">
        <f aca="false">IF(G1033="","",IFERROR(IF(ISNUMBER(SEARCH(Assumptions!$C$5,G1033)),Assumptions!$D$5,IF(ISNUMBER(SEARCH(Assumptions!$C$6,G1033)),Assumptions!$D$6,IF(ISNUMBER(SEARCH(Assumptions!$C$7,G1033)),Assumptions!$D$7,"Other Services"))),"Other Services"))</f>
        <v/>
      </c>
    </row>
    <row r="1034" customFormat="false" ht="15" hidden="false" customHeight="false" outlineLevel="0" collapsed="false">
      <c r="F1034" s="41" t="str">
        <f aca="false">IF(E1034="","",IFERROR(VLOOKUP(E1034,Assumptions!$G$5:$H$16,2,0),"Other"))</f>
        <v/>
      </c>
      <c r="J1034" s="41" t="str">
        <f aca="false">IF(G1034="","",IFERROR(IF(ISNUMBER(SEARCH(Assumptions!$C$5,G1034)),Assumptions!$D$5,IF(ISNUMBER(SEARCH(Assumptions!$C$6,G1034)),Assumptions!$D$6,IF(ISNUMBER(SEARCH(Assumptions!$C$7,G1034)),Assumptions!$D$7,"Other Services"))),"Other Services"))</f>
        <v/>
      </c>
    </row>
    <row r="1035" customFormat="false" ht="15" hidden="false" customHeight="false" outlineLevel="0" collapsed="false">
      <c r="F1035" s="41" t="str">
        <f aca="false">IF(E1035="","",IFERROR(VLOOKUP(E1035,Assumptions!$G$5:$H$16,2,0),"Other"))</f>
        <v/>
      </c>
      <c r="J1035" s="41" t="str">
        <f aca="false">IF(G1035="","",IFERROR(IF(ISNUMBER(SEARCH(Assumptions!$C$5,G1035)),Assumptions!$D$5,IF(ISNUMBER(SEARCH(Assumptions!$C$6,G1035)),Assumptions!$D$6,IF(ISNUMBER(SEARCH(Assumptions!$C$7,G1035)),Assumptions!$D$7,"Other Services"))),"Other Services"))</f>
        <v/>
      </c>
    </row>
    <row r="1036" customFormat="false" ht="15" hidden="false" customHeight="false" outlineLevel="0" collapsed="false">
      <c r="F1036" s="41" t="str">
        <f aca="false">IF(E1036="","",IFERROR(VLOOKUP(E1036,Assumptions!$G$5:$H$16,2,0),"Other"))</f>
        <v/>
      </c>
      <c r="J1036" s="41" t="str">
        <f aca="false">IF(G1036="","",IFERROR(IF(ISNUMBER(SEARCH(Assumptions!$C$5,G1036)),Assumptions!$D$5,IF(ISNUMBER(SEARCH(Assumptions!$C$6,G1036)),Assumptions!$D$6,IF(ISNUMBER(SEARCH(Assumptions!$C$7,G1036)),Assumptions!$D$7,"Other Services"))),"Other Services"))</f>
        <v/>
      </c>
    </row>
    <row r="1037" customFormat="false" ht="15" hidden="false" customHeight="false" outlineLevel="0" collapsed="false">
      <c r="F1037" s="41" t="str">
        <f aca="false">IF(E1037="","",IFERROR(VLOOKUP(E1037,Assumptions!$G$5:$H$16,2,0),"Other"))</f>
        <v/>
      </c>
      <c r="J1037" s="41" t="str">
        <f aca="false">IF(G1037="","",IFERROR(IF(ISNUMBER(SEARCH(Assumptions!$C$5,G1037)),Assumptions!$D$5,IF(ISNUMBER(SEARCH(Assumptions!$C$6,G1037)),Assumptions!$D$6,IF(ISNUMBER(SEARCH(Assumptions!$C$7,G1037)),Assumptions!$D$7,"Other Services"))),"Other Services"))</f>
        <v/>
      </c>
    </row>
    <row r="1038" customFormat="false" ht="15" hidden="false" customHeight="false" outlineLevel="0" collapsed="false">
      <c r="F1038" s="41" t="str">
        <f aca="false">IF(E1038="","",IFERROR(VLOOKUP(E1038,Assumptions!$G$5:$H$16,2,0),"Other"))</f>
        <v/>
      </c>
      <c r="J1038" s="41" t="str">
        <f aca="false">IF(G1038="","",IFERROR(IF(ISNUMBER(SEARCH(Assumptions!$C$5,G1038)),Assumptions!$D$5,IF(ISNUMBER(SEARCH(Assumptions!$C$6,G1038)),Assumptions!$D$6,IF(ISNUMBER(SEARCH(Assumptions!$C$7,G1038)),Assumptions!$D$7,"Other Services"))),"Other Services"))</f>
        <v/>
      </c>
    </row>
    <row r="1039" customFormat="false" ht="15" hidden="false" customHeight="false" outlineLevel="0" collapsed="false">
      <c r="F1039" s="41" t="str">
        <f aca="false">IF(E1039="","",IFERROR(VLOOKUP(E1039,Assumptions!$G$5:$H$16,2,0),"Other"))</f>
        <v/>
      </c>
      <c r="J1039" s="41" t="str">
        <f aca="false">IF(G1039="","",IFERROR(IF(ISNUMBER(SEARCH(Assumptions!$C$5,G1039)),Assumptions!$D$5,IF(ISNUMBER(SEARCH(Assumptions!$C$6,G1039)),Assumptions!$D$6,IF(ISNUMBER(SEARCH(Assumptions!$C$7,G1039)),Assumptions!$D$7,"Other Services"))),"Other Services"))</f>
        <v/>
      </c>
    </row>
    <row r="1040" customFormat="false" ht="15" hidden="false" customHeight="false" outlineLevel="0" collapsed="false">
      <c r="F1040" s="41" t="str">
        <f aca="false">IF(E1040="","",IFERROR(VLOOKUP(E1040,Assumptions!$G$5:$H$16,2,0),"Other"))</f>
        <v/>
      </c>
      <c r="J1040" s="41" t="str">
        <f aca="false">IF(G1040="","",IFERROR(IF(ISNUMBER(SEARCH(Assumptions!$C$5,G1040)),Assumptions!$D$5,IF(ISNUMBER(SEARCH(Assumptions!$C$6,G1040)),Assumptions!$D$6,IF(ISNUMBER(SEARCH(Assumptions!$C$7,G1040)),Assumptions!$D$7,"Other Services"))),"Other Services"))</f>
        <v/>
      </c>
    </row>
    <row r="1041" customFormat="false" ht="15" hidden="false" customHeight="false" outlineLevel="0" collapsed="false">
      <c r="F1041" s="41" t="str">
        <f aca="false">IF(E1041="","",IFERROR(VLOOKUP(E1041,Assumptions!$G$5:$H$16,2,0),"Other"))</f>
        <v/>
      </c>
      <c r="J1041" s="41" t="str">
        <f aca="false">IF(G1041="","",IFERROR(IF(ISNUMBER(SEARCH(Assumptions!$C$5,G1041)),Assumptions!$D$5,IF(ISNUMBER(SEARCH(Assumptions!$C$6,G1041)),Assumptions!$D$6,IF(ISNUMBER(SEARCH(Assumptions!$C$7,G1041)),Assumptions!$D$7,"Other Services"))),"Other Services"))</f>
        <v/>
      </c>
    </row>
    <row r="1042" customFormat="false" ht="15" hidden="false" customHeight="false" outlineLevel="0" collapsed="false">
      <c r="F1042" s="41" t="str">
        <f aca="false">IF(E1042="","",IFERROR(VLOOKUP(E1042,Assumptions!$G$5:$H$16,2,0),"Other"))</f>
        <v/>
      </c>
      <c r="J1042" s="41" t="str">
        <f aca="false">IF(G1042="","",IFERROR(IF(ISNUMBER(SEARCH(Assumptions!$C$5,G1042)),Assumptions!$D$5,IF(ISNUMBER(SEARCH(Assumptions!$C$6,G1042)),Assumptions!$D$6,IF(ISNUMBER(SEARCH(Assumptions!$C$7,G1042)),Assumptions!$D$7,"Other Services"))),"Other Services"))</f>
        <v/>
      </c>
    </row>
    <row r="1043" customFormat="false" ht="15" hidden="false" customHeight="false" outlineLevel="0" collapsed="false">
      <c r="F1043" s="41" t="str">
        <f aca="false">IF(E1043="","",IFERROR(VLOOKUP(E1043,Assumptions!$G$5:$H$16,2,0),"Other"))</f>
        <v/>
      </c>
      <c r="J1043" s="41" t="str">
        <f aca="false">IF(G1043="","",IFERROR(IF(ISNUMBER(SEARCH(Assumptions!$C$5,G1043)),Assumptions!$D$5,IF(ISNUMBER(SEARCH(Assumptions!$C$6,G1043)),Assumptions!$D$6,IF(ISNUMBER(SEARCH(Assumptions!$C$7,G1043)),Assumptions!$D$7,"Other Services"))),"Other Services"))</f>
        <v/>
      </c>
    </row>
    <row r="1044" customFormat="false" ht="15" hidden="false" customHeight="false" outlineLevel="0" collapsed="false">
      <c r="F1044" s="41" t="str">
        <f aca="false">IF(E1044="","",IFERROR(VLOOKUP(E1044,Assumptions!$G$5:$H$16,2,0),"Other"))</f>
        <v/>
      </c>
      <c r="J1044" s="41" t="str">
        <f aca="false">IF(G1044="","",IFERROR(IF(ISNUMBER(SEARCH(Assumptions!$C$5,G1044)),Assumptions!$D$5,IF(ISNUMBER(SEARCH(Assumptions!$C$6,G1044)),Assumptions!$D$6,IF(ISNUMBER(SEARCH(Assumptions!$C$7,G1044)),Assumptions!$D$7,"Other Services"))),"Other Services"))</f>
        <v/>
      </c>
    </row>
    <row r="1045" customFormat="false" ht="15" hidden="false" customHeight="false" outlineLevel="0" collapsed="false">
      <c r="F1045" s="41" t="str">
        <f aca="false">IF(E1045="","",IFERROR(VLOOKUP(E1045,Assumptions!$G$5:$H$16,2,0),"Other"))</f>
        <v/>
      </c>
      <c r="J1045" s="41" t="str">
        <f aca="false">IF(G1045="","",IFERROR(IF(ISNUMBER(SEARCH(Assumptions!$C$5,G1045)),Assumptions!$D$5,IF(ISNUMBER(SEARCH(Assumptions!$C$6,G1045)),Assumptions!$D$6,IF(ISNUMBER(SEARCH(Assumptions!$C$7,G1045)),Assumptions!$D$7,"Other Services"))),"Other Services"))</f>
        <v/>
      </c>
    </row>
    <row r="1046" customFormat="false" ht="15" hidden="false" customHeight="false" outlineLevel="0" collapsed="false">
      <c r="F1046" s="41" t="str">
        <f aca="false">IF(E1046="","",IFERROR(VLOOKUP(E1046,Assumptions!$G$5:$H$16,2,0),"Other"))</f>
        <v/>
      </c>
      <c r="J1046" s="41" t="str">
        <f aca="false">IF(G1046="","",IFERROR(IF(ISNUMBER(SEARCH(Assumptions!$C$5,G1046)),Assumptions!$D$5,IF(ISNUMBER(SEARCH(Assumptions!$C$6,G1046)),Assumptions!$D$6,IF(ISNUMBER(SEARCH(Assumptions!$C$7,G1046)),Assumptions!$D$7,"Other Services"))),"Other Services"))</f>
        <v/>
      </c>
    </row>
    <row r="1047" customFormat="false" ht="15" hidden="false" customHeight="false" outlineLevel="0" collapsed="false">
      <c r="F1047" s="41" t="str">
        <f aca="false">IF(E1047="","",IFERROR(VLOOKUP(E1047,Assumptions!$G$5:$H$16,2,0),"Other"))</f>
        <v/>
      </c>
      <c r="J1047" s="41" t="str">
        <f aca="false">IF(G1047="","",IFERROR(IF(ISNUMBER(SEARCH(Assumptions!$C$5,G1047)),Assumptions!$D$5,IF(ISNUMBER(SEARCH(Assumptions!$C$6,G1047)),Assumptions!$D$6,IF(ISNUMBER(SEARCH(Assumptions!$C$7,G1047)),Assumptions!$D$7,"Other Services"))),"Other Services"))</f>
        <v/>
      </c>
    </row>
    <row r="1048" customFormat="false" ht="15" hidden="false" customHeight="false" outlineLevel="0" collapsed="false">
      <c r="F1048" s="41" t="str">
        <f aca="false">IF(E1048="","",IFERROR(VLOOKUP(E1048,Assumptions!$G$5:$H$16,2,0),"Other"))</f>
        <v/>
      </c>
      <c r="J1048" s="41" t="str">
        <f aca="false">IF(G1048="","",IFERROR(IF(ISNUMBER(SEARCH(Assumptions!$C$5,G1048)),Assumptions!$D$5,IF(ISNUMBER(SEARCH(Assumptions!$C$6,G1048)),Assumptions!$D$6,IF(ISNUMBER(SEARCH(Assumptions!$C$7,G1048)),Assumptions!$D$7,"Other Services"))),"Other Services"))</f>
        <v/>
      </c>
    </row>
    <row r="1049" customFormat="false" ht="15" hidden="false" customHeight="false" outlineLevel="0" collapsed="false">
      <c r="F1049" s="41" t="str">
        <f aca="false">IF(E1049="","",IFERROR(VLOOKUP(E1049,Assumptions!$G$5:$H$16,2,0),"Other"))</f>
        <v/>
      </c>
      <c r="J1049" s="41" t="str">
        <f aca="false">IF(G1049="","",IFERROR(IF(ISNUMBER(SEARCH(Assumptions!$C$5,G1049)),Assumptions!$D$5,IF(ISNUMBER(SEARCH(Assumptions!$C$6,G1049)),Assumptions!$D$6,IF(ISNUMBER(SEARCH(Assumptions!$C$7,G1049)),Assumptions!$D$7,"Other Services"))),"Other Services"))</f>
        <v/>
      </c>
    </row>
    <row r="1050" customFormat="false" ht="15" hidden="false" customHeight="false" outlineLevel="0" collapsed="false">
      <c r="F1050" s="41" t="str">
        <f aca="false">IF(E1050="","",IFERROR(VLOOKUP(E1050,Assumptions!$G$5:$H$16,2,0),"Other"))</f>
        <v/>
      </c>
      <c r="J1050" s="41" t="str">
        <f aca="false">IF(G1050="","",IFERROR(IF(ISNUMBER(SEARCH(Assumptions!$C$5,G1050)),Assumptions!$D$5,IF(ISNUMBER(SEARCH(Assumptions!$C$6,G1050)),Assumptions!$D$6,IF(ISNUMBER(SEARCH(Assumptions!$C$7,G1050)),Assumptions!$D$7,"Other Services"))),"Other Services"))</f>
        <v/>
      </c>
    </row>
    <row r="1051" customFormat="false" ht="15" hidden="false" customHeight="false" outlineLevel="0" collapsed="false">
      <c r="F1051" s="41" t="str">
        <f aca="false">IF(E1051="","",IFERROR(VLOOKUP(E1051,Assumptions!$G$5:$H$16,2,0),"Other"))</f>
        <v/>
      </c>
      <c r="J1051" s="41" t="str">
        <f aca="false">IF(G1051="","",IFERROR(IF(ISNUMBER(SEARCH(Assumptions!$C$5,G1051)),Assumptions!$D$5,IF(ISNUMBER(SEARCH(Assumptions!$C$6,G1051)),Assumptions!$D$6,IF(ISNUMBER(SEARCH(Assumptions!$C$7,G1051)),Assumptions!$D$7,"Other Services"))),"Other Services"))</f>
        <v/>
      </c>
    </row>
    <row r="1052" customFormat="false" ht="15" hidden="false" customHeight="false" outlineLevel="0" collapsed="false">
      <c r="F1052" s="41" t="str">
        <f aca="false">IF(E1052="","",IFERROR(VLOOKUP(E1052,Assumptions!$G$5:$H$16,2,0),"Other"))</f>
        <v/>
      </c>
      <c r="J1052" s="41" t="str">
        <f aca="false">IF(G1052="","",IFERROR(IF(ISNUMBER(SEARCH(Assumptions!$C$5,G1052)),Assumptions!$D$5,IF(ISNUMBER(SEARCH(Assumptions!$C$6,G1052)),Assumptions!$D$6,IF(ISNUMBER(SEARCH(Assumptions!$C$7,G1052)),Assumptions!$D$7,"Other Services"))),"Other Services"))</f>
        <v/>
      </c>
    </row>
    <row r="1053" customFormat="false" ht="15" hidden="false" customHeight="false" outlineLevel="0" collapsed="false">
      <c r="F1053" s="41" t="str">
        <f aca="false">IF(E1053="","",IFERROR(VLOOKUP(E1053,Assumptions!$G$5:$H$16,2,0),"Other"))</f>
        <v/>
      </c>
      <c r="J1053" s="41" t="str">
        <f aca="false">IF(G1053="","",IFERROR(IF(ISNUMBER(SEARCH(Assumptions!$C$5,G1053)),Assumptions!$D$5,IF(ISNUMBER(SEARCH(Assumptions!$C$6,G1053)),Assumptions!$D$6,IF(ISNUMBER(SEARCH(Assumptions!$C$7,G1053)),Assumptions!$D$7,"Other Services"))),"Other Services"))</f>
        <v/>
      </c>
    </row>
    <row r="1054" customFormat="false" ht="15" hidden="false" customHeight="false" outlineLevel="0" collapsed="false">
      <c r="F1054" s="41" t="str">
        <f aca="false">IF(E1054="","",IFERROR(VLOOKUP(E1054,Assumptions!$G$5:$H$16,2,0),"Other"))</f>
        <v/>
      </c>
      <c r="J1054" s="41" t="str">
        <f aca="false">IF(G1054="","",IFERROR(IF(ISNUMBER(SEARCH(Assumptions!$C$5,G1054)),Assumptions!$D$5,IF(ISNUMBER(SEARCH(Assumptions!$C$6,G1054)),Assumptions!$D$6,IF(ISNUMBER(SEARCH(Assumptions!$C$7,G1054)),Assumptions!$D$7,"Other Services"))),"Other Services"))</f>
        <v/>
      </c>
    </row>
    <row r="1055" customFormat="false" ht="15" hidden="false" customHeight="false" outlineLevel="0" collapsed="false">
      <c r="F1055" s="41" t="str">
        <f aca="false">IF(E1055="","",IFERROR(VLOOKUP(E1055,Assumptions!$G$5:$H$16,2,0),"Other"))</f>
        <v/>
      </c>
      <c r="J1055" s="41" t="str">
        <f aca="false">IF(G1055="","",IFERROR(IF(ISNUMBER(SEARCH(Assumptions!$C$5,G1055)),Assumptions!$D$5,IF(ISNUMBER(SEARCH(Assumptions!$C$6,G1055)),Assumptions!$D$6,IF(ISNUMBER(SEARCH(Assumptions!$C$7,G1055)),Assumptions!$D$7,"Other Services"))),"Other Services"))</f>
        <v/>
      </c>
    </row>
    <row r="1056" customFormat="false" ht="15" hidden="false" customHeight="false" outlineLevel="0" collapsed="false">
      <c r="F1056" s="41" t="str">
        <f aca="false">IF(E1056="","",IFERROR(VLOOKUP(E1056,Assumptions!$G$5:$H$16,2,0),"Other"))</f>
        <v/>
      </c>
      <c r="J1056" s="41" t="str">
        <f aca="false">IF(G1056="","",IFERROR(IF(ISNUMBER(SEARCH(Assumptions!$C$5,G1056)),Assumptions!$D$5,IF(ISNUMBER(SEARCH(Assumptions!$C$6,G1056)),Assumptions!$D$6,IF(ISNUMBER(SEARCH(Assumptions!$C$7,G1056)),Assumptions!$D$7,"Other Services"))),"Other Services"))</f>
        <v/>
      </c>
    </row>
    <row r="1057" customFormat="false" ht="15" hidden="false" customHeight="false" outlineLevel="0" collapsed="false">
      <c r="F1057" s="41" t="str">
        <f aca="false">IF(E1057="","",IFERROR(VLOOKUP(E1057,Assumptions!$G$5:$H$16,2,0),"Other"))</f>
        <v/>
      </c>
      <c r="J1057" s="41" t="str">
        <f aca="false">IF(G1057="","",IFERROR(IF(ISNUMBER(SEARCH(Assumptions!$C$5,G1057)),Assumptions!$D$5,IF(ISNUMBER(SEARCH(Assumptions!$C$6,G1057)),Assumptions!$D$6,IF(ISNUMBER(SEARCH(Assumptions!$C$7,G1057)),Assumptions!$D$7,"Other Services"))),"Other Services"))</f>
        <v/>
      </c>
    </row>
    <row r="1058" customFormat="false" ht="15" hidden="false" customHeight="false" outlineLevel="0" collapsed="false">
      <c r="F1058" s="41" t="str">
        <f aca="false">IF(E1058="","",IFERROR(VLOOKUP(E1058,Assumptions!$G$5:$H$16,2,0),"Other"))</f>
        <v/>
      </c>
      <c r="J1058" s="41" t="str">
        <f aca="false">IF(G1058="","",IFERROR(IF(ISNUMBER(SEARCH(Assumptions!$C$5,G1058)),Assumptions!$D$5,IF(ISNUMBER(SEARCH(Assumptions!$C$6,G1058)),Assumptions!$D$6,IF(ISNUMBER(SEARCH(Assumptions!$C$7,G1058)),Assumptions!$D$7,"Other Services"))),"Other Services"))</f>
        <v/>
      </c>
    </row>
    <row r="1059" customFormat="false" ht="15" hidden="false" customHeight="false" outlineLevel="0" collapsed="false">
      <c r="F1059" s="41" t="str">
        <f aca="false">IF(E1059="","",IFERROR(VLOOKUP(E1059,Assumptions!$G$5:$H$16,2,0),"Other"))</f>
        <v/>
      </c>
      <c r="J1059" s="41" t="str">
        <f aca="false">IF(G1059="","",IFERROR(IF(ISNUMBER(SEARCH(Assumptions!$C$5,G1059)),Assumptions!$D$5,IF(ISNUMBER(SEARCH(Assumptions!$C$6,G1059)),Assumptions!$D$6,IF(ISNUMBER(SEARCH(Assumptions!$C$7,G1059)),Assumptions!$D$7,"Other Services"))),"Other Services"))</f>
        <v/>
      </c>
    </row>
    <row r="1060" customFormat="false" ht="15" hidden="false" customHeight="false" outlineLevel="0" collapsed="false">
      <c r="F1060" s="41" t="str">
        <f aca="false">IF(E1060="","",IFERROR(VLOOKUP(E1060,Assumptions!$G$5:$H$16,2,0),"Other"))</f>
        <v/>
      </c>
      <c r="J1060" s="41" t="str">
        <f aca="false">IF(G1060="","",IFERROR(IF(ISNUMBER(SEARCH(Assumptions!$C$5,G1060)),Assumptions!$D$5,IF(ISNUMBER(SEARCH(Assumptions!$C$6,G1060)),Assumptions!$D$6,IF(ISNUMBER(SEARCH(Assumptions!$C$7,G1060)),Assumptions!$D$7,"Other Services"))),"Other Services"))</f>
        <v/>
      </c>
    </row>
    <row r="1061" customFormat="false" ht="15" hidden="false" customHeight="false" outlineLevel="0" collapsed="false">
      <c r="F1061" s="41" t="str">
        <f aca="false">IF(E1061="","",IFERROR(VLOOKUP(E1061,Assumptions!$G$5:$H$16,2,0),"Other"))</f>
        <v/>
      </c>
      <c r="J1061" s="41" t="str">
        <f aca="false">IF(G1061="","",IFERROR(IF(ISNUMBER(SEARCH(Assumptions!$C$5,G1061)),Assumptions!$D$5,IF(ISNUMBER(SEARCH(Assumptions!$C$6,G1061)),Assumptions!$D$6,IF(ISNUMBER(SEARCH(Assumptions!$C$7,G1061)),Assumptions!$D$7,"Other Services"))),"Other Services"))</f>
        <v/>
      </c>
    </row>
    <row r="1062" customFormat="false" ht="15" hidden="false" customHeight="false" outlineLevel="0" collapsed="false">
      <c r="F1062" s="41" t="str">
        <f aca="false">IF(E1062="","",IFERROR(VLOOKUP(E1062,Assumptions!$G$5:$H$16,2,0),"Other"))</f>
        <v/>
      </c>
      <c r="J1062" s="41" t="str">
        <f aca="false">IF(G1062="","",IFERROR(IF(ISNUMBER(SEARCH(Assumptions!$C$5,G1062)),Assumptions!$D$5,IF(ISNUMBER(SEARCH(Assumptions!$C$6,G1062)),Assumptions!$D$6,IF(ISNUMBER(SEARCH(Assumptions!$C$7,G1062)),Assumptions!$D$7,"Other Services"))),"Other Services"))</f>
        <v/>
      </c>
    </row>
    <row r="1063" customFormat="false" ht="15" hidden="false" customHeight="false" outlineLevel="0" collapsed="false">
      <c r="F1063" s="41" t="str">
        <f aca="false">IF(E1063="","",IFERROR(VLOOKUP(E1063,Assumptions!$G$5:$H$16,2,0),"Other"))</f>
        <v/>
      </c>
      <c r="J1063" s="41" t="str">
        <f aca="false">IF(G1063="","",IFERROR(IF(ISNUMBER(SEARCH(Assumptions!$C$5,G1063)),Assumptions!$D$5,IF(ISNUMBER(SEARCH(Assumptions!$C$6,G1063)),Assumptions!$D$6,IF(ISNUMBER(SEARCH(Assumptions!$C$7,G1063)),Assumptions!$D$7,"Other Services"))),"Other Services"))</f>
        <v/>
      </c>
    </row>
    <row r="1064" customFormat="false" ht="15" hidden="false" customHeight="false" outlineLevel="0" collapsed="false">
      <c r="F1064" s="41" t="str">
        <f aca="false">IF(E1064="","",IFERROR(VLOOKUP(E1064,Assumptions!$G$5:$H$16,2,0),"Other"))</f>
        <v/>
      </c>
      <c r="J1064" s="41" t="str">
        <f aca="false">IF(G1064="","",IFERROR(IF(ISNUMBER(SEARCH(Assumptions!$C$5,G1064)),Assumptions!$D$5,IF(ISNUMBER(SEARCH(Assumptions!$C$6,G1064)),Assumptions!$D$6,IF(ISNUMBER(SEARCH(Assumptions!$C$7,G1064)),Assumptions!$D$7,"Other Services"))),"Other Services"))</f>
        <v/>
      </c>
    </row>
    <row r="1065" customFormat="false" ht="15" hidden="false" customHeight="false" outlineLevel="0" collapsed="false">
      <c r="F1065" s="41" t="str">
        <f aca="false">IF(E1065="","",IFERROR(VLOOKUP(E1065,Assumptions!$G$5:$H$16,2,0),"Other"))</f>
        <v/>
      </c>
      <c r="J1065" s="41" t="str">
        <f aca="false">IF(G1065="","",IFERROR(IF(ISNUMBER(SEARCH(Assumptions!$C$5,G1065)),Assumptions!$D$5,IF(ISNUMBER(SEARCH(Assumptions!$C$6,G1065)),Assumptions!$D$6,IF(ISNUMBER(SEARCH(Assumptions!$C$7,G1065)),Assumptions!$D$7,"Other Services"))),"Other Services"))</f>
        <v/>
      </c>
    </row>
    <row r="1066" customFormat="false" ht="15" hidden="false" customHeight="false" outlineLevel="0" collapsed="false">
      <c r="F1066" s="41" t="str">
        <f aca="false">IF(E1066="","",IFERROR(VLOOKUP(E1066,Assumptions!$G$5:$H$16,2,0),"Other"))</f>
        <v/>
      </c>
      <c r="J1066" s="41" t="str">
        <f aca="false">IF(G1066="","",IFERROR(IF(ISNUMBER(SEARCH(Assumptions!$C$5,G1066)),Assumptions!$D$5,IF(ISNUMBER(SEARCH(Assumptions!$C$6,G1066)),Assumptions!$D$6,IF(ISNUMBER(SEARCH(Assumptions!$C$7,G1066)),Assumptions!$D$7,"Other Services"))),"Other Services"))</f>
        <v/>
      </c>
    </row>
    <row r="1067" customFormat="false" ht="15" hidden="false" customHeight="false" outlineLevel="0" collapsed="false">
      <c r="F1067" s="41" t="str">
        <f aca="false">IF(E1067="","",IFERROR(VLOOKUP(E1067,Assumptions!$G$5:$H$16,2,0),"Other"))</f>
        <v/>
      </c>
      <c r="J1067" s="41" t="str">
        <f aca="false">IF(G1067="","",IFERROR(IF(ISNUMBER(SEARCH(Assumptions!$C$5,G1067)),Assumptions!$D$5,IF(ISNUMBER(SEARCH(Assumptions!$C$6,G1067)),Assumptions!$D$6,IF(ISNUMBER(SEARCH(Assumptions!$C$7,G1067)),Assumptions!$D$7,"Other Services"))),"Other Services"))</f>
        <v/>
      </c>
    </row>
    <row r="1068" customFormat="false" ht="15" hidden="false" customHeight="false" outlineLevel="0" collapsed="false">
      <c r="F1068" s="41" t="str">
        <f aca="false">IF(E1068="","",IFERROR(VLOOKUP(E1068,Assumptions!$G$5:$H$16,2,0),"Other"))</f>
        <v/>
      </c>
      <c r="J1068" s="41" t="str">
        <f aca="false">IF(G1068="","",IFERROR(IF(ISNUMBER(SEARCH(Assumptions!$C$5,G1068)),Assumptions!$D$5,IF(ISNUMBER(SEARCH(Assumptions!$C$6,G1068)),Assumptions!$D$6,IF(ISNUMBER(SEARCH(Assumptions!$C$7,G1068)),Assumptions!$D$7,"Other Services"))),"Other Services"))</f>
        <v/>
      </c>
    </row>
    <row r="1069" customFormat="false" ht="15" hidden="false" customHeight="false" outlineLevel="0" collapsed="false">
      <c r="F1069" s="41" t="str">
        <f aca="false">IF(E1069="","",IFERROR(VLOOKUP(E1069,Assumptions!$G$5:$H$16,2,0),"Other"))</f>
        <v/>
      </c>
      <c r="J1069" s="41" t="str">
        <f aca="false">IF(G1069="","",IFERROR(IF(ISNUMBER(SEARCH(Assumptions!$C$5,G1069)),Assumptions!$D$5,IF(ISNUMBER(SEARCH(Assumptions!$C$6,G1069)),Assumptions!$D$6,IF(ISNUMBER(SEARCH(Assumptions!$C$7,G1069)),Assumptions!$D$7,"Other Services"))),"Other Services"))</f>
        <v/>
      </c>
    </row>
    <row r="1070" customFormat="false" ht="15" hidden="false" customHeight="false" outlineLevel="0" collapsed="false">
      <c r="F1070" s="41" t="str">
        <f aca="false">IF(E1070="","",IFERROR(VLOOKUP(E1070,Assumptions!$G$5:$H$16,2,0),"Other"))</f>
        <v/>
      </c>
      <c r="J1070" s="41" t="str">
        <f aca="false">IF(G1070="","",IFERROR(IF(ISNUMBER(SEARCH(Assumptions!$C$5,G1070)),Assumptions!$D$5,IF(ISNUMBER(SEARCH(Assumptions!$C$6,G1070)),Assumptions!$D$6,IF(ISNUMBER(SEARCH(Assumptions!$C$7,G1070)),Assumptions!$D$7,"Other Services"))),"Other Services"))</f>
        <v/>
      </c>
    </row>
    <row r="1071" customFormat="false" ht="15" hidden="false" customHeight="false" outlineLevel="0" collapsed="false">
      <c r="F1071" s="41" t="str">
        <f aca="false">IF(E1071="","",IFERROR(VLOOKUP(E1071,Assumptions!$G$5:$H$16,2,0),"Other"))</f>
        <v/>
      </c>
      <c r="J1071" s="41" t="str">
        <f aca="false">IF(G1071="","",IFERROR(IF(ISNUMBER(SEARCH(Assumptions!$C$5,G1071)),Assumptions!$D$5,IF(ISNUMBER(SEARCH(Assumptions!$C$6,G1071)),Assumptions!$D$6,IF(ISNUMBER(SEARCH(Assumptions!$C$7,G1071)),Assumptions!$D$7,"Other Services"))),"Other Services"))</f>
        <v/>
      </c>
    </row>
    <row r="1072" customFormat="false" ht="15" hidden="false" customHeight="false" outlineLevel="0" collapsed="false">
      <c r="F1072" s="41" t="str">
        <f aca="false">IF(E1072="","",IFERROR(VLOOKUP(E1072,Assumptions!$G$5:$H$16,2,0),"Other"))</f>
        <v/>
      </c>
      <c r="J1072" s="41" t="str">
        <f aca="false">IF(G1072="","",IFERROR(IF(ISNUMBER(SEARCH(Assumptions!$C$5,G1072)),Assumptions!$D$5,IF(ISNUMBER(SEARCH(Assumptions!$C$6,G1072)),Assumptions!$D$6,IF(ISNUMBER(SEARCH(Assumptions!$C$7,G1072)),Assumptions!$D$7,"Other Services"))),"Other Services"))</f>
        <v/>
      </c>
    </row>
    <row r="1073" customFormat="false" ht="15" hidden="false" customHeight="false" outlineLevel="0" collapsed="false">
      <c r="F1073" s="41" t="str">
        <f aca="false">IF(E1073="","",IFERROR(VLOOKUP(E1073,Assumptions!$G$5:$H$16,2,0),"Other"))</f>
        <v/>
      </c>
      <c r="J1073" s="41" t="str">
        <f aca="false">IF(G1073="","",IFERROR(IF(ISNUMBER(SEARCH(Assumptions!$C$5,G1073)),Assumptions!$D$5,IF(ISNUMBER(SEARCH(Assumptions!$C$6,G1073)),Assumptions!$D$6,IF(ISNUMBER(SEARCH(Assumptions!$C$7,G1073)),Assumptions!$D$7,"Other Services"))),"Other Services"))</f>
        <v/>
      </c>
    </row>
    <row r="1074" customFormat="false" ht="15" hidden="false" customHeight="false" outlineLevel="0" collapsed="false">
      <c r="F1074" s="41" t="str">
        <f aca="false">IF(E1074="","",IFERROR(VLOOKUP(E1074,Assumptions!$G$5:$H$16,2,0),"Other"))</f>
        <v/>
      </c>
      <c r="J1074" s="41" t="str">
        <f aca="false">IF(G1074="","",IFERROR(IF(ISNUMBER(SEARCH(Assumptions!$C$5,G1074)),Assumptions!$D$5,IF(ISNUMBER(SEARCH(Assumptions!$C$6,G1074)),Assumptions!$D$6,IF(ISNUMBER(SEARCH(Assumptions!$C$7,G1074)),Assumptions!$D$7,"Other Services"))),"Other Services"))</f>
        <v/>
      </c>
    </row>
    <row r="1075" customFormat="false" ht="15" hidden="false" customHeight="false" outlineLevel="0" collapsed="false">
      <c r="F1075" s="41" t="str">
        <f aca="false">IF(E1075="","",IFERROR(VLOOKUP(E1075,Assumptions!$G$5:$H$16,2,0),"Other"))</f>
        <v/>
      </c>
      <c r="J1075" s="41" t="str">
        <f aca="false">IF(G1075="","",IFERROR(IF(ISNUMBER(SEARCH(Assumptions!$C$5,G1075)),Assumptions!$D$5,IF(ISNUMBER(SEARCH(Assumptions!$C$6,G1075)),Assumptions!$D$6,IF(ISNUMBER(SEARCH(Assumptions!$C$7,G1075)),Assumptions!$D$7,"Other Services"))),"Other Services"))</f>
        <v/>
      </c>
    </row>
    <row r="1076" customFormat="false" ht="15" hidden="false" customHeight="false" outlineLevel="0" collapsed="false">
      <c r="F1076" s="41" t="str">
        <f aca="false">IF(E1076="","",IFERROR(VLOOKUP(E1076,Assumptions!$G$5:$H$16,2,0),"Other"))</f>
        <v/>
      </c>
      <c r="J1076" s="41" t="str">
        <f aca="false">IF(G1076="","",IFERROR(IF(ISNUMBER(SEARCH(Assumptions!$C$5,G1076)),Assumptions!$D$5,IF(ISNUMBER(SEARCH(Assumptions!$C$6,G1076)),Assumptions!$D$6,IF(ISNUMBER(SEARCH(Assumptions!$C$7,G1076)),Assumptions!$D$7,"Other Services"))),"Other Services"))</f>
        <v/>
      </c>
    </row>
    <row r="1077" customFormat="false" ht="15" hidden="false" customHeight="false" outlineLevel="0" collapsed="false">
      <c r="F1077" s="41" t="str">
        <f aca="false">IF(E1077="","",IFERROR(VLOOKUP(E1077,Assumptions!$G$5:$H$16,2,0),"Other"))</f>
        <v/>
      </c>
      <c r="J1077" s="41" t="str">
        <f aca="false">IF(G1077="","",IFERROR(IF(ISNUMBER(SEARCH(Assumptions!$C$5,G1077)),Assumptions!$D$5,IF(ISNUMBER(SEARCH(Assumptions!$C$6,G1077)),Assumptions!$D$6,IF(ISNUMBER(SEARCH(Assumptions!$C$7,G1077)),Assumptions!$D$7,"Other Services"))),"Other Services"))</f>
        <v/>
      </c>
    </row>
    <row r="1078" customFormat="false" ht="15" hidden="false" customHeight="false" outlineLevel="0" collapsed="false">
      <c r="F1078" s="41" t="str">
        <f aca="false">IF(E1078="","",IFERROR(VLOOKUP(E1078,Assumptions!$G$5:$H$16,2,0),"Other"))</f>
        <v/>
      </c>
      <c r="J1078" s="41" t="str">
        <f aca="false">IF(G1078="","",IFERROR(IF(ISNUMBER(SEARCH(Assumptions!$C$5,G1078)),Assumptions!$D$5,IF(ISNUMBER(SEARCH(Assumptions!$C$6,G1078)),Assumptions!$D$6,IF(ISNUMBER(SEARCH(Assumptions!$C$7,G1078)),Assumptions!$D$7,"Other Services"))),"Other Services"))</f>
        <v/>
      </c>
    </row>
    <row r="1079" customFormat="false" ht="15" hidden="false" customHeight="false" outlineLevel="0" collapsed="false">
      <c r="F1079" s="41" t="str">
        <f aca="false">IF(E1079="","",IFERROR(VLOOKUP(E1079,Assumptions!$G$5:$H$16,2,0),"Other"))</f>
        <v/>
      </c>
      <c r="J1079" s="41" t="str">
        <f aca="false">IF(G1079="","",IFERROR(IF(ISNUMBER(SEARCH(Assumptions!$C$5,G1079)),Assumptions!$D$5,IF(ISNUMBER(SEARCH(Assumptions!$C$6,G1079)),Assumptions!$D$6,IF(ISNUMBER(SEARCH(Assumptions!$C$7,G1079)),Assumptions!$D$7,"Other Services"))),"Other Services"))</f>
        <v/>
      </c>
    </row>
    <row r="1080" customFormat="false" ht="15" hidden="false" customHeight="false" outlineLevel="0" collapsed="false">
      <c r="F1080" s="41" t="str">
        <f aca="false">IF(E1080="","",IFERROR(VLOOKUP(E1080,Assumptions!$G$5:$H$16,2,0),"Other"))</f>
        <v/>
      </c>
      <c r="J1080" s="41" t="str">
        <f aca="false">IF(G1080="","",IFERROR(IF(ISNUMBER(SEARCH(Assumptions!$C$5,G1080)),Assumptions!$D$5,IF(ISNUMBER(SEARCH(Assumptions!$C$6,G1080)),Assumptions!$D$6,IF(ISNUMBER(SEARCH(Assumptions!$C$7,G1080)),Assumptions!$D$7,"Other Services"))),"Other Services"))</f>
        <v/>
      </c>
    </row>
    <row r="1081" customFormat="false" ht="15" hidden="false" customHeight="false" outlineLevel="0" collapsed="false">
      <c r="F1081" s="41" t="str">
        <f aca="false">IF(E1081="","",IFERROR(VLOOKUP(E1081,Assumptions!$G$5:$H$16,2,0),"Other"))</f>
        <v/>
      </c>
      <c r="J1081" s="41" t="str">
        <f aca="false">IF(G1081="","",IFERROR(IF(ISNUMBER(SEARCH(Assumptions!$C$5,G1081)),Assumptions!$D$5,IF(ISNUMBER(SEARCH(Assumptions!$C$6,G1081)),Assumptions!$D$6,IF(ISNUMBER(SEARCH(Assumptions!$C$7,G1081)),Assumptions!$D$7,"Other Services"))),"Other Services"))</f>
        <v/>
      </c>
    </row>
    <row r="1082" customFormat="false" ht="15" hidden="false" customHeight="false" outlineLevel="0" collapsed="false">
      <c r="F1082" s="41" t="str">
        <f aca="false">IF(E1082="","",IFERROR(VLOOKUP(E1082,Assumptions!$G$5:$H$16,2,0),"Other"))</f>
        <v/>
      </c>
      <c r="J1082" s="41" t="str">
        <f aca="false">IF(G1082="","",IFERROR(IF(ISNUMBER(SEARCH(Assumptions!$C$5,G1082)),Assumptions!$D$5,IF(ISNUMBER(SEARCH(Assumptions!$C$6,G1082)),Assumptions!$D$6,IF(ISNUMBER(SEARCH(Assumptions!$C$7,G1082)),Assumptions!$D$7,"Other Services"))),"Other Services"))</f>
        <v/>
      </c>
    </row>
    <row r="1083" customFormat="false" ht="15" hidden="false" customHeight="false" outlineLevel="0" collapsed="false">
      <c r="F1083" s="41" t="str">
        <f aca="false">IF(E1083="","",IFERROR(VLOOKUP(E1083,Assumptions!$G$5:$H$16,2,0),"Other"))</f>
        <v/>
      </c>
      <c r="J1083" s="41" t="str">
        <f aca="false">IF(G1083="","",IFERROR(IF(ISNUMBER(SEARCH(Assumptions!$C$5,G1083)),Assumptions!$D$5,IF(ISNUMBER(SEARCH(Assumptions!$C$6,G1083)),Assumptions!$D$6,IF(ISNUMBER(SEARCH(Assumptions!$C$7,G1083)),Assumptions!$D$7,"Other Services"))),"Other Services"))</f>
        <v/>
      </c>
    </row>
    <row r="1084" customFormat="false" ht="15" hidden="false" customHeight="false" outlineLevel="0" collapsed="false">
      <c r="F1084" s="41" t="str">
        <f aca="false">IF(E1084="","",IFERROR(VLOOKUP(E1084,Assumptions!$G$5:$H$16,2,0),"Other"))</f>
        <v/>
      </c>
      <c r="J1084" s="41" t="str">
        <f aca="false">IF(G1084="","",IFERROR(IF(ISNUMBER(SEARCH(Assumptions!$C$5,G1084)),Assumptions!$D$5,IF(ISNUMBER(SEARCH(Assumptions!$C$6,G1084)),Assumptions!$D$6,IF(ISNUMBER(SEARCH(Assumptions!$C$7,G1084)),Assumptions!$D$7,"Other Services"))),"Other Services"))</f>
        <v/>
      </c>
    </row>
    <row r="1085" customFormat="false" ht="15" hidden="false" customHeight="false" outlineLevel="0" collapsed="false">
      <c r="F1085" s="41" t="str">
        <f aca="false">IF(E1085="","",IFERROR(VLOOKUP(E1085,Assumptions!$G$5:$H$16,2,0),"Other"))</f>
        <v/>
      </c>
      <c r="J1085" s="41" t="str">
        <f aca="false">IF(G1085="","",IFERROR(IF(ISNUMBER(SEARCH(Assumptions!$C$5,G1085)),Assumptions!$D$5,IF(ISNUMBER(SEARCH(Assumptions!$C$6,G1085)),Assumptions!$D$6,IF(ISNUMBER(SEARCH(Assumptions!$C$7,G1085)),Assumptions!$D$7,"Other Services"))),"Other Services"))</f>
        <v/>
      </c>
    </row>
    <row r="1086" customFormat="false" ht="15" hidden="false" customHeight="false" outlineLevel="0" collapsed="false">
      <c r="F1086" s="41" t="str">
        <f aca="false">IF(E1086="","",IFERROR(VLOOKUP(E1086,Assumptions!$G$5:$H$16,2,0),"Other"))</f>
        <v/>
      </c>
      <c r="J1086" s="41" t="str">
        <f aca="false">IF(G1086="","",IFERROR(IF(ISNUMBER(SEARCH(Assumptions!$C$5,G1086)),Assumptions!$D$5,IF(ISNUMBER(SEARCH(Assumptions!$C$6,G1086)),Assumptions!$D$6,IF(ISNUMBER(SEARCH(Assumptions!$C$7,G1086)),Assumptions!$D$7,"Other Services"))),"Other Services"))</f>
        <v/>
      </c>
    </row>
    <row r="1087" customFormat="false" ht="15" hidden="false" customHeight="false" outlineLevel="0" collapsed="false">
      <c r="F1087" s="41" t="str">
        <f aca="false">IF(E1087="","",IFERROR(VLOOKUP(E1087,Assumptions!$G$5:$H$16,2,0),"Other"))</f>
        <v/>
      </c>
      <c r="J1087" s="41" t="str">
        <f aca="false">IF(G1087="","",IFERROR(IF(ISNUMBER(SEARCH(Assumptions!$C$5,G1087)),Assumptions!$D$5,IF(ISNUMBER(SEARCH(Assumptions!$C$6,G1087)),Assumptions!$D$6,IF(ISNUMBER(SEARCH(Assumptions!$C$7,G1087)),Assumptions!$D$7,"Other Services"))),"Other Services"))</f>
        <v/>
      </c>
    </row>
    <row r="1088" customFormat="false" ht="15" hidden="false" customHeight="false" outlineLevel="0" collapsed="false">
      <c r="F1088" s="41" t="str">
        <f aca="false">IF(E1088="","",IFERROR(VLOOKUP(E1088,Assumptions!$G$5:$H$16,2,0),"Other"))</f>
        <v/>
      </c>
      <c r="J1088" s="41" t="str">
        <f aca="false">IF(G1088="","",IFERROR(IF(ISNUMBER(SEARCH(Assumptions!$C$5,G1088)),Assumptions!$D$5,IF(ISNUMBER(SEARCH(Assumptions!$C$6,G1088)),Assumptions!$D$6,IF(ISNUMBER(SEARCH(Assumptions!$C$7,G1088)),Assumptions!$D$7,"Other Services"))),"Other Services"))</f>
        <v/>
      </c>
    </row>
    <row r="1089" customFormat="false" ht="15" hidden="false" customHeight="false" outlineLevel="0" collapsed="false">
      <c r="F1089" s="41" t="str">
        <f aca="false">IF(E1089="","",IFERROR(VLOOKUP(E1089,Assumptions!$G$5:$H$16,2,0),"Other"))</f>
        <v/>
      </c>
      <c r="J1089" s="41" t="str">
        <f aca="false">IF(G1089="","",IFERROR(IF(ISNUMBER(SEARCH(Assumptions!$C$5,G1089)),Assumptions!$D$5,IF(ISNUMBER(SEARCH(Assumptions!$C$6,G1089)),Assumptions!$D$6,IF(ISNUMBER(SEARCH(Assumptions!$C$7,G1089)),Assumptions!$D$7,"Other Services"))),"Other Services"))</f>
        <v/>
      </c>
    </row>
    <row r="1090" customFormat="false" ht="15" hidden="false" customHeight="false" outlineLevel="0" collapsed="false">
      <c r="F1090" s="41" t="str">
        <f aca="false">IF(E1090="","",IFERROR(VLOOKUP(E1090,Assumptions!$G$5:$H$16,2,0),"Other"))</f>
        <v/>
      </c>
      <c r="J1090" s="41" t="str">
        <f aca="false">IF(G1090="","",IFERROR(IF(ISNUMBER(SEARCH(Assumptions!$C$5,G1090)),Assumptions!$D$5,IF(ISNUMBER(SEARCH(Assumptions!$C$6,G1090)),Assumptions!$D$6,IF(ISNUMBER(SEARCH(Assumptions!$C$7,G1090)),Assumptions!$D$7,"Other Services"))),"Other Services"))</f>
        <v/>
      </c>
    </row>
    <row r="1091" customFormat="false" ht="15" hidden="false" customHeight="false" outlineLevel="0" collapsed="false">
      <c r="F1091" s="41" t="str">
        <f aca="false">IF(E1091="","",IFERROR(VLOOKUP(E1091,Assumptions!$G$5:$H$16,2,0),"Other"))</f>
        <v/>
      </c>
      <c r="J1091" s="41" t="str">
        <f aca="false">IF(G1091="","",IFERROR(IF(ISNUMBER(SEARCH(Assumptions!$C$5,G1091)),Assumptions!$D$5,IF(ISNUMBER(SEARCH(Assumptions!$C$6,G1091)),Assumptions!$D$6,IF(ISNUMBER(SEARCH(Assumptions!$C$7,G1091)),Assumptions!$D$7,"Other Services"))),"Other Services"))</f>
        <v/>
      </c>
    </row>
    <row r="1092" customFormat="false" ht="15" hidden="false" customHeight="false" outlineLevel="0" collapsed="false">
      <c r="F1092" s="41" t="str">
        <f aca="false">IF(E1092="","",IFERROR(VLOOKUP(E1092,Assumptions!$G$5:$H$16,2,0),"Other"))</f>
        <v/>
      </c>
      <c r="J1092" s="41" t="str">
        <f aca="false">IF(G1092="","",IFERROR(IF(ISNUMBER(SEARCH(Assumptions!$C$5,G1092)),Assumptions!$D$5,IF(ISNUMBER(SEARCH(Assumptions!$C$6,G1092)),Assumptions!$D$6,IF(ISNUMBER(SEARCH(Assumptions!$C$7,G1092)),Assumptions!$D$7,"Other Services"))),"Other Services"))</f>
        <v/>
      </c>
    </row>
    <row r="1093" customFormat="false" ht="15" hidden="false" customHeight="false" outlineLevel="0" collapsed="false">
      <c r="F1093" s="41" t="str">
        <f aca="false">IF(E1093="","",IFERROR(VLOOKUP(E1093,Assumptions!$G$5:$H$16,2,0),"Other"))</f>
        <v/>
      </c>
      <c r="J1093" s="41" t="str">
        <f aca="false">IF(G1093="","",IFERROR(IF(ISNUMBER(SEARCH(Assumptions!$C$5,G1093)),Assumptions!$D$5,IF(ISNUMBER(SEARCH(Assumptions!$C$6,G1093)),Assumptions!$D$6,IF(ISNUMBER(SEARCH(Assumptions!$C$7,G1093)),Assumptions!$D$7,"Other Services"))),"Other Services"))</f>
        <v/>
      </c>
    </row>
    <row r="1094" customFormat="false" ht="15" hidden="false" customHeight="false" outlineLevel="0" collapsed="false">
      <c r="F1094" s="41" t="str">
        <f aca="false">IF(E1094="","",IFERROR(VLOOKUP(E1094,Assumptions!$G$5:$H$16,2,0),"Other"))</f>
        <v/>
      </c>
      <c r="J1094" s="41" t="str">
        <f aca="false">IF(G1094="","",IFERROR(IF(ISNUMBER(SEARCH(Assumptions!$C$5,G1094)),Assumptions!$D$5,IF(ISNUMBER(SEARCH(Assumptions!$C$6,G1094)),Assumptions!$D$6,IF(ISNUMBER(SEARCH(Assumptions!$C$7,G1094)),Assumptions!$D$7,"Other Services"))),"Other Services"))</f>
        <v/>
      </c>
    </row>
    <row r="1095" customFormat="false" ht="15" hidden="false" customHeight="false" outlineLevel="0" collapsed="false">
      <c r="F1095" s="41" t="str">
        <f aca="false">IF(E1095="","",IFERROR(VLOOKUP(E1095,Assumptions!$G$5:$H$16,2,0),"Other"))</f>
        <v/>
      </c>
      <c r="J1095" s="41" t="str">
        <f aca="false">IF(G1095="","",IFERROR(IF(ISNUMBER(SEARCH(Assumptions!$C$5,G1095)),Assumptions!$D$5,IF(ISNUMBER(SEARCH(Assumptions!$C$6,G1095)),Assumptions!$D$6,IF(ISNUMBER(SEARCH(Assumptions!$C$7,G1095)),Assumptions!$D$7,"Other Services"))),"Other Services"))</f>
        <v/>
      </c>
    </row>
    <row r="1096" customFormat="false" ht="15" hidden="false" customHeight="false" outlineLevel="0" collapsed="false">
      <c r="F1096" s="41" t="str">
        <f aca="false">IF(E1096="","",IFERROR(VLOOKUP(E1096,Assumptions!$G$5:$H$16,2,0),"Other"))</f>
        <v/>
      </c>
      <c r="J1096" s="41" t="str">
        <f aca="false">IF(G1096="","",IFERROR(IF(ISNUMBER(SEARCH(Assumptions!$C$5,G1096)),Assumptions!$D$5,IF(ISNUMBER(SEARCH(Assumptions!$C$6,G1096)),Assumptions!$D$6,IF(ISNUMBER(SEARCH(Assumptions!$C$7,G1096)),Assumptions!$D$7,"Other Services"))),"Other Services"))</f>
        <v/>
      </c>
    </row>
    <row r="1097" customFormat="false" ht="15" hidden="false" customHeight="false" outlineLevel="0" collapsed="false">
      <c r="F1097" s="41" t="str">
        <f aca="false">IF(E1097="","",IFERROR(VLOOKUP(E1097,Assumptions!$G$5:$H$16,2,0),"Other"))</f>
        <v/>
      </c>
      <c r="J1097" s="41" t="str">
        <f aca="false">IF(G1097="","",IFERROR(IF(ISNUMBER(SEARCH(Assumptions!$C$5,G1097)),Assumptions!$D$5,IF(ISNUMBER(SEARCH(Assumptions!$C$6,G1097)),Assumptions!$D$6,IF(ISNUMBER(SEARCH(Assumptions!$C$7,G1097)),Assumptions!$D$7,"Other Services"))),"Other Services"))</f>
        <v/>
      </c>
    </row>
    <row r="1098" customFormat="false" ht="15" hidden="false" customHeight="false" outlineLevel="0" collapsed="false">
      <c r="F1098" s="41" t="str">
        <f aca="false">IF(E1098="","",IFERROR(VLOOKUP(E1098,Assumptions!$G$5:$H$16,2,0),"Other"))</f>
        <v/>
      </c>
      <c r="J1098" s="41" t="str">
        <f aca="false">IF(G1098="","",IFERROR(IF(ISNUMBER(SEARCH(Assumptions!$C$5,G1098)),Assumptions!$D$5,IF(ISNUMBER(SEARCH(Assumptions!$C$6,G1098)),Assumptions!$D$6,IF(ISNUMBER(SEARCH(Assumptions!$C$7,G1098)),Assumptions!$D$7,"Other Services"))),"Other Services"))</f>
        <v/>
      </c>
    </row>
    <row r="1099" customFormat="false" ht="15" hidden="false" customHeight="false" outlineLevel="0" collapsed="false">
      <c r="F1099" s="41" t="str">
        <f aca="false">IF(E1099="","",IFERROR(VLOOKUP(E1099,Assumptions!$G$5:$H$16,2,0),"Other"))</f>
        <v/>
      </c>
      <c r="J1099" s="41" t="str">
        <f aca="false">IF(G1099="","",IFERROR(IF(ISNUMBER(SEARCH(Assumptions!$C$5,G1099)),Assumptions!$D$5,IF(ISNUMBER(SEARCH(Assumptions!$C$6,G1099)),Assumptions!$D$6,IF(ISNUMBER(SEARCH(Assumptions!$C$7,G1099)),Assumptions!$D$7,"Other Services"))),"Other Services"))</f>
        <v/>
      </c>
    </row>
    <row r="1100" customFormat="false" ht="15" hidden="false" customHeight="false" outlineLevel="0" collapsed="false">
      <c r="F1100" s="41" t="str">
        <f aca="false">IF(E1100="","",IFERROR(VLOOKUP(E1100,Assumptions!$G$5:$H$16,2,0),"Other"))</f>
        <v/>
      </c>
      <c r="J1100" s="41" t="str">
        <f aca="false">IF(G1100="","",IFERROR(IF(ISNUMBER(SEARCH(Assumptions!$C$5,G1100)),Assumptions!$D$5,IF(ISNUMBER(SEARCH(Assumptions!$C$6,G1100)),Assumptions!$D$6,IF(ISNUMBER(SEARCH(Assumptions!$C$7,G1100)),Assumptions!$D$7,"Other Services"))),"Other Services"))</f>
        <v/>
      </c>
    </row>
    <row r="1101" customFormat="false" ht="15" hidden="false" customHeight="false" outlineLevel="0" collapsed="false">
      <c r="F1101" s="41" t="str">
        <f aca="false">IF(E1101="","",IFERROR(VLOOKUP(E1101,Assumptions!$G$5:$H$16,2,0),"Other"))</f>
        <v/>
      </c>
      <c r="J1101" s="41" t="str">
        <f aca="false">IF(G1101="","",IFERROR(IF(ISNUMBER(SEARCH(Assumptions!$C$5,G1101)),Assumptions!$D$5,IF(ISNUMBER(SEARCH(Assumptions!$C$6,G1101)),Assumptions!$D$6,IF(ISNUMBER(SEARCH(Assumptions!$C$7,G1101)),Assumptions!$D$7,"Other Services"))),"Other Services"))</f>
        <v/>
      </c>
    </row>
    <row r="1102" customFormat="false" ht="15" hidden="false" customHeight="false" outlineLevel="0" collapsed="false">
      <c r="F1102" s="41" t="str">
        <f aca="false">IF(E1102="","",IFERROR(VLOOKUP(E1102,Assumptions!$G$5:$H$16,2,0),"Other"))</f>
        <v/>
      </c>
      <c r="J1102" s="41" t="str">
        <f aca="false">IF(G1102="","",IFERROR(IF(ISNUMBER(SEARCH(Assumptions!$C$5,G1102)),Assumptions!$D$5,IF(ISNUMBER(SEARCH(Assumptions!$C$6,G1102)),Assumptions!$D$6,IF(ISNUMBER(SEARCH(Assumptions!$C$7,G1102)),Assumptions!$D$7,"Other Services"))),"Other Services"))</f>
        <v/>
      </c>
    </row>
    <row r="1103" customFormat="false" ht="15" hidden="false" customHeight="false" outlineLevel="0" collapsed="false">
      <c r="F1103" s="41" t="str">
        <f aca="false">IF(E1103="","",IFERROR(VLOOKUP(E1103,Assumptions!$G$5:$H$16,2,0),"Other"))</f>
        <v/>
      </c>
      <c r="J1103" s="41" t="str">
        <f aca="false">IF(G1103="","",IFERROR(IF(ISNUMBER(SEARCH(Assumptions!$C$5,G1103)),Assumptions!$D$5,IF(ISNUMBER(SEARCH(Assumptions!$C$6,G1103)),Assumptions!$D$6,IF(ISNUMBER(SEARCH(Assumptions!$C$7,G1103)),Assumptions!$D$7,"Other Services"))),"Other Services"))</f>
        <v/>
      </c>
    </row>
    <row r="1104" customFormat="false" ht="15" hidden="false" customHeight="false" outlineLevel="0" collapsed="false">
      <c r="F1104" s="41" t="str">
        <f aca="false">IF(E1104="","",IFERROR(VLOOKUP(E1104,Assumptions!$G$5:$H$16,2,0),"Other"))</f>
        <v/>
      </c>
      <c r="J1104" s="41" t="str">
        <f aca="false">IF(G1104="","",IFERROR(IF(ISNUMBER(SEARCH(Assumptions!$C$5,G1104)),Assumptions!$D$5,IF(ISNUMBER(SEARCH(Assumptions!$C$6,G1104)),Assumptions!$D$6,IF(ISNUMBER(SEARCH(Assumptions!$C$7,G1104)),Assumptions!$D$7,"Other Services"))),"Other Services"))</f>
        <v/>
      </c>
    </row>
    <row r="1105" customFormat="false" ht="15" hidden="false" customHeight="false" outlineLevel="0" collapsed="false">
      <c r="F1105" s="41" t="str">
        <f aca="false">IF(E1105="","",IFERROR(VLOOKUP(E1105,Assumptions!$G$5:$H$16,2,0),"Other"))</f>
        <v/>
      </c>
      <c r="J1105" s="41" t="str">
        <f aca="false">IF(G1105="","",IFERROR(IF(ISNUMBER(SEARCH(Assumptions!$C$5,G1105)),Assumptions!$D$5,IF(ISNUMBER(SEARCH(Assumptions!$C$6,G1105)),Assumptions!$D$6,IF(ISNUMBER(SEARCH(Assumptions!$C$7,G1105)),Assumptions!$D$7,"Other Services"))),"Other Services"))</f>
        <v/>
      </c>
    </row>
    <row r="1106" customFormat="false" ht="15" hidden="false" customHeight="false" outlineLevel="0" collapsed="false">
      <c r="F1106" s="41" t="str">
        <f aca="false">IF(E1106="","",IFERROR(VLOOKUP(E1106,Assumptions!$G$5:$H$16,2,0),"Other"))</f>
        <v/>
      </c>
      <c r="J1106" s="41" t="str">
        <f aca="false">IF(G1106="","",IFERROR(IF(ISNUMBER(SEARCH(Assumptions!$C$5,G1106)),Assumptions!$D$5,IF(ISNUMBER(SEARCH(Assumptions!$C$6,G1106)),Assumptions!$D$6,IF(ISNUMBER(SEARCH(Assumptions!$C$7,G1106)),Assumptions!$D$7,"Other Services"))),"Other Services"))</f>
        <v/>
      </c>
    </row>
    <row r="1107" customFormat="false" ht="15" hidden="false" customHeight="false" outlineLevel="0" collapsed="false">
      <c r="F1107" s="41" t="str">
        <f aca="false">IF(E1107="","",IFERROR(VLOOKUP(E1107,Assumptions!$G$5:$H$16,2,0),"Other"))</f>
        <v/>
      </c>
      <c r="J1107" s="41" t="str">
        <f aca="false">IF(G1107="","",IFERROR(IF(ISNUMBER(SEARCH(Assumptions!$C$5,G1107)),Assumptions!$D$5,IF(ISNUMBER(SEARCH(Assumptions!$C$6,G1107)),Assumptions!$D$6,IF(ISNUMBER(SEARCH(Assumptions!$C$7,G1107)),Assumptions!$D$7,"Other Services"))),"Other Services"))</f>
        <v/>
      </c>
    </row>
    <row r="1108" customFormat="false" ht="15" hidden="false" customHeight="false" outlineLevel="0" collapsed="false">
      <c r="F1108" s="41" t="str">
        <f aca="false">IF(E1108="","",IFERROR(VLOOKUP(E1108,Assumptions!$G$5:$H$16,2,0),"Other"))</f>
        <v/>
      </c>
      <c r="J1108" s="41" t="str">
        <f aca="false">IF(G1108="","",IFERROR(IF(ISNUMBER(SEARCH(Assumptions!$C$5,G1108)),Assumptions!$D$5,IF(ISNUMBER(SEARCH(Assumptions!$C$6,G1108)),Assumptions!$D$6,IF(ISNUMBER(SEARCH(Assumptions!$C$7,G1108)),Assumptions!$D$7,"Other Services"))),"Other Services"))</f>
        <v/>
      </c>
    </row>
    <row r="1109" customFormat="false" ht="15" hidden="false" customHeight="false" outlineLevel="0" collapsed="false">
      <c r="F1109" s="41" t="str">
        <f aca="false">IF(E1109="","",IFERROR(VLOOKUP(E1109,Assumptions!$G$5:$H$16,2,0),"Other"))</f>
        <v/>
      </c>
      <c r="J1109" s="41" t="str">
        <f aca="false">IF(G1109="","",IFERROR(IF(ISNUMBER(SEARCH(Assumptions!$C$5,G1109)),Assumptions!$D$5,IF(ISNUMBER(SEARCH(Assumptions!$C$6,G1109)),Assumptions!$D$6,IF(ISNUMBER(SEARCH(Assumptions!$C$7,G1109)),Assumptions!$D$7,"Other Services"))),"Other Services"))</f>
        <v/>
      </c>
    </row>
    <row r="1110" customFormat="false" ht="15" hidden="false" customHeight="false" outlineLevel="0" collapsed="false">
      <c r="F1110" s="41" t="str">
        <f aca="false">IF(E1110="","",IFERROR(VLOOKUP(E1110,Assumptions!$G$5:$H$16,2,0),"Other"))</f>
        <v/>
      </c>
      <c r="J1110" s="41" t="str">
        <f aca="false">IF(G1110="","",IFERROR(IF(ISNUMBER(SEARCH(Assumptions!$C$5,G1110)),Assumptions!$D$5,IF(ISNUMBER(SEARCH(Assumptions!$C$6,G1110)),Assumptions!$D$6,IF(ISNUMBER(SEARCH(Assumptions!$C$7,G1110)),Assumptions!$D$7,"Other Services"))),"Other Services"))</f>
        <v/>
      </c>
    </row>
    <row r="1111" customFormat="false" ht="15" hidden="false" customHeight="false" outlineLevel="0" collapsed="false">
      <c r="F1111" s="41" t="str">
        <f aca="false">IF(E1111="","",IFERROR(VLOOKUP(E1111,Assumptions!$G$5:$H$16,2,0),"Other"))</f>
        <v/>
      </c>
      <c r="J1111" s="41" t="str">
        <f aca="false">IF(G1111="","",IFERROR(IF(ISNUMBER(SEARCH(Assumptions!$C$5,G1111)),Assumptions!$D$5,IF(ISNUMBER(SEARCH(Assumptions!$C$6,G1111)),Assumptions!$D$6,IF(ISNUMBER(SEARCH(Assumptions!$C$7,G1111)),Assumptions!$D$7,"Other Services"))),"Other Services"))</f>
        <v/>
      </c>
    </row>
    <row r="1112" customFormat="false" ht="15" hidden="false" customHeight="false" outlineLevel="0" collapsed="false">
      <c r="F1112" s="41" t="str">
        <f aca="false">IF(E1112="","",IFERROR(VLOOKUP(E1112,Assumptions!$G$5:$H$16,2,0),"Other"))</f>
        <v/>
      </c>
      <c r="J1112" s="41" t="str">
        <f aca="false">IF(G1112="","",IFERROR(IF(ISNUMBER(SEARCH(Assumptions!$C$5,G1112)),Assumptions!$D$5,IF(ISNUMBER(SEARCH(Assumptions!$C$6,G1112)),Assumptions!$D$6,IF(ISNUMBER(SEARCH(Assumptions!$C$7,G1112)),Assumptions!$D$7,"Other Services"))),"Other Services"))</f>
        <v/>
      </c>
    </row>
    <row r="1113" customFormat="false" ht="15" hidden="false" customHeight="false" outlineLevel="0" collapsed="false">
      <c r="F1113" s="41" t="str">
        <f aca="false">IF(E1113="","",IFERROR(VLOOKUP(E1113,Assumptions!$G$5:$H$16,2,0),"Other"))</f>
        <v/>
      </c>
      <c r="J1113" s="41" t="str">
        <f aca="false">IF(G1113="","",IFERROR(IF(ISNUMBER(SEARCH(Assumptions!$C$5,G1113)),Assumptions!$D$5,IF(ISNUMBER(SEARCH(Assumptions!$C$6,G1113)),Assumptions!$D$6,IF(ISNUMBER(SEARCH(Assumptions!$C$7,G1113)),Assumptions!$D$7,"Other Services"))),"Other Services"))</f>
        <v/>
      </c>
    </row>
    <row r="1114" customFormat="false" ht="15" hidden="false" customHeight="false" outlineLevel="0" collapsed="false">
      <c r="F1114" s="41" t="str">
        <f aca="false">IF(E1114="","",IFERROR(VLOOKUP(E1114,Assumptions!$G$5:$H$16,2,0),"Other"))</f>
        <v/>
      </c>
      <c r="J1114" s="41" t="str">
        <f aca="false">IF(G1114="","",IFERROR(IF(ISNUMBER(SEARCH(Assumptions!$C$5,G1114)),Assumptions!$D$5,IF(ISNUMBER(SEARCH(Assumptions!$C$6,G1114)),Assumptions!$D$6,IF(ISNUMBER(SEARCH(Assumptions!$C$7,G1114)),Assumptions!$D$7,"Other Services"))),"Other Services"))</f>
        <v/>
      </c>
    </row>
    <row r="1115" customFormat="false" ht="15" hidden="false" customHeight="false" outlineLevel="0" collapsed="false">
      <c r="F1115" s="41" t="str">
        <f aca="false">IF(E1115="","",IFERROR(VLOOKUP(E1115,Assumptions!$G$5:$H$16,2,0),"Other"))</f>
        <v/>
      </c>
      <c r="J1115" s="41" t="str">
        <f aca="false">IF(G1115="","",IFERROR(IF(ISNUMBER(SEARCH(Assumptions!$C$5,G1115)),Assumptions!$D$5,IF(ISNUMBER(SEARCH(Assumptions!$C$6,G1115)),Assumptions!$D$6,IF(ISNUMBER(SEARCH(Assumptions!$C$7,G1115)),Assumptions!$D$7,"Other Services"))),"Other Services"))</f>
        <v/>
      </c>
    </row>
    <row r="1116" customFormat="false" ht="15" hidden="false" customHeight="false" outlineLevel="0" collapsed="false">
      <c r="F1116" s="41" t="str">
        <f aca="false">IF(E1116="","",IFERROR(VLOOKUP(E1116,Assumptions!$G$5:$H$16,2,0),"Other"))</f>
        <v/>
      </c>
      <c r="J1116" s="41" t="str">
        <f aca="false">IF(G1116="","",IFERROR(IF(ISNUMBER(SEARCH(Assumptions!$C$5,G1116)),Assumptions!$D$5,IF(ISNUMBER(SEARCH(Assumptions!$C$6,G1116)),Assumptions!$D$6,IF(ISNUMBER(SEARCH(Assumptions!$C$7,G1116)),Assumptions!$D$7,"Other Services"))),"Other Services"))</f>
        <v/>
      </c>
    </row>
    <row r="1117" customFormat="false" ht="15" hidden="false" customHeight="false" outlineLevel="0" collapsed="false">
      <c r="F1117" s="41" t="str">
        <f aca="false">IF(E1117="","",IFERROR(VLOOKUP(E1117,Assumptions!$G$5:$H$16,2,0),"Other"))</f>
        <v/>
      </c>
      <c r="J1117" s="41" t="str">
        <f aca="false">IF(G1117="","",IFERROR(IF(ISNUMBER(SEARCH(Assumptions!$C$5,G1117)),Assumptions!$D$5,IF(ISNUMBER(SEARCH(Assumptions!$C$6,G1117)),Assumptions!$D$6,IF(ISNUMBER(SEARCH(Assumptions!$C$7,G1117)),Assumptions!$D$7,"Other Services"))),"Other Services"))</f>
        <v/>
      </c>
    </row>
    <row r="1118" customFormat="false" ht="15" hidden="false" customHeight="false" outlineLevel="0" collapsed="false">
      <c r="F1118" s="41" t="str">
        <f aca="false">IF(E1118="","",IFERROR(VLOOKUP(E1118,Assumptions!$G$5:$H$16,2,0),"Other"))</f>
        <v/>
      </c>
      <c r="J1118" s="41" t="str">
        <f aca="false">IF(G1118="","",IFERROR(IF(ISNUMBER(SEARCH(Assumptions!$C$5,G1118)),Assumptions!$D$5,IF(ISNUMBER(SEARCH(Assumptions!$C$6,G1118)),Assumptions!$D$6,IF(ISNUMBER(SEARCH(Assumptions!$C$7,G1118)),Assumptions!$D$7,"Other Services"))),"Other Services"))</f>
        <v/>
      </c>
    </row>
    <row r="1119" customFormat="false" ht="15" hidden="false" customHeight="false" outlineLevel="0" collapsed="false">
      <c r="F1119" s="41" t="str">
        <f aca="false">IF(E1119="","",IFERROR(VLOOKUP(E1119,Assumptions!$G$5:$H$16,2,0),"Other"))</f>
        <v/>
      </c>
      <c r="J1119" s="41" t="str">
        <f aca="false">IF(G1119="","",IFERROR(IF(ISNUMBER(SEARCH(Assumptions!$C$5,G1119)),Assumptions!$D$5,IF(ISNUMBER(SEARCH(Assumptions!$C$6,G1119)),Assumptions!$D$6,IF(ISNUMBER(SEARCH(Assumptions!$C$7,G1119)),Assumptions!$D$7,"Other Services"))),"Other Services"))</f>
        <v/>
      </c>
    </row>
    <row r="1120" customFormat="false" ht="15" hidden="false" customHeight="false" outlineLevel="0" collapsed="false">
      <c r="F1120" s="41" t="str">
        <f aca="false">IF(E1120="","",IFERROR(VLOOKUP(E1120,Assumptions!$G$5:$H$16,2,0),"Other"))</f>
        <v/>
      </c>
      <c r="J1120" s="41" t="str">
        <f aca="false">IF(G1120="","",IFERROR(IF(ISNUMBER(SEARCH(Assumptions!$C$5,G1120)),Assumptions!$D$5,IF(ISNUMBER(SEARCH(Assumptions!$C$6,G1120)),Assumptions!$D$6,IF(ISNUMBER(SEARCH(Assumptions!$C$7,G1120)),Assumptions!$D$7,"Other Services"))),"Other Services"))</f>
        <v/>
      </c>
    </row>
    <row r="1121" customFormat="false" ht="15" hidden="false" customHeight="false" outlineLevel="0" collapsed="false">
      <c r="F1121" s="41" t="str">
        <f aca="false">IF(E1121="","",IFERROR(VLOOKUP(E1121,Assumptions!$G$5:$H$16,2,0),"Other"))</f>
        <v/>
      </c>
      <c r="J1121" s="41" t="str">
        <f aca="false">IF(G1121="","",IFERROR(IF(ISNUMBER(SEARCH(Assumptions!$C$5,G1121)),Assumptions!$D$5,IF(ISNUMBER(SEARCH(Assumptions!$C$6,G1121)),Assumptions!$D$6,IF(ISNUMBER(SEARCH(Assumptions!$C$7,G1121)),Assumptions!$D$7,"Other Services"))),"Other Services"))</f>
        <v/>
      </c>
    </row>
    <row r="1122" customFormat="false" ht="15" hidden="false" customHeight="false" outlineLevel="0" collapsed="false">
      <c r="F1122" s="41" t="str">
        <f aca="false">IF(E1122="","",IFERROR(VLOOKUP(E1122,Assumptions!$G$5:$H$16,2,0),"Other"))</f>
        <v/>
      </c>
      <c r="J1122" s="41" t="str">
        <f aca="false">IF(G1122="","",IFERROR(IF(ISNUMBER(SEARCH(Assumptions!$C$5,G1122)),Assumptions!$D$5,IF(ISNUMBER(SEARCH(Assumptions!$C$6,G1122)),Assumptions!$D$6,IF(ISNUMBER(SEARCH(Assumptions!$C$7,G1122)),Assumptions!$D$7,"Other Services"))),"Other Services"))</f>
        <v/>
      </c>
    </row>
    <row r="1123" customFormat="false" ht="15" hidden="false" customHeight="false" outlineLevel="0" collapsed="false">
      <c r="F1123" s="41" t="str">
        <f aca="false">IF(E1123="","",IFERROR(VLOOKUP(E1123,Assumptions!$G$5:$H$16,2,0),"Other"))</f>
        <v/>
      </c>
      <c r="J1123" s="41" t="str">
        <f aca="false">IF(G1123="","",IFERROR(IF(ISNUMBER(SEARCH(Assumptions!$C$5,G1123)),Assumptions!$D$5,IF(ISNUMBER(SEARCH(Assumptions!$C$6,G1123)),Assumptions!$D$6,IF(ISNUMBER(SEARCH(Assumptions!$C$7,G1123)),Assumptions!$D$7,"Other Services"))),"Other Services"))</f>
        <v/>
      </c>
    </row>
    <row r="1124" customFormat="false" ht="15" hidden="false" customHeight="false" outlineLevel="0" collapsed="false">
      <c r="F1124" s="41" t="str">
        <f aca="false">IF(E1124="","",IFERROR(VLOOKUP(E1124,Assumptions!$G$5:$H$16,2,0),"Other"))</f>
        <v/>
      </c>
      <c r="J1124" s="41" t="str">
        <f aca="false">IF(G1124="","",IFERROR(IF(ISNUMBER(SEARCH(Assumptions!$C$5,G1124)),Assumptions!$D$5,IF(ISNUMBER(SEARCH(Assumptions!$C$6,G1124)),Assumptions!$D$6,IF(ISNUMBER(SEARCH(Assumptions!$C$7,G1124)),Assumptions!$D$7,"Other Services"))),"Other Services"))</f>
        <v/>
      </c>
    </row>
    <row r="1125" customFormat="false" ht="15" hidden="false" customHeight="false" outlineLevel="0" collapsed="false">
      <c r="F1125" s="41" t="str">
        <f aca="false">IF(E1125="","",IFERROR(VLOOKUP(E1125,Assumptions!$G$5:$H$16,2,0),"Other"))</f>
        <v/>
      </c>
      <c r="J1125" s="41" t="str">
        <f aca="false">IF(G1125="","",IFERROR(IF(ISNUMBER(SEARCH(Assumptions!$C$5,G1125)),Assumptions!$D$5,IF(ISNUMBER(SEARCH(Assumptions!$C$6,G1125)),Assumptions!$D$6,IF(ISNUMBER(SEARCH(Assumptions!$C$7,G1125)),Assumptions!$D$7,"Other Services"))),"Other Services"))</f>
        <v/>
      </c>
    </row>
    <row r="1126" customFormat="false" ht="15" hidden="false" customHeight="false" outlineLevel="0" collapsed="false">
      <c r="F1126" s="41" t="str">
        <f aca="false">IF(E1126="","",IFERROR(VLOOKUP(E1126,Assumptions!$G$5:$H$16,2,0),"Other"))</f>
        <v/>
      </c>
      <c r="J1126" s="41" t="str">
        <f aca="false">IF(G1126="","",IFERROR(IF(ISNUMBER(SEARCH(Assumptions!$C$5,G1126)),Assumptions!$D$5,IF(ISNUMBER(SEARCH(Assumptions!$C$6,G1126)),Assumptions!$D$6,IF(ISNUMBER(SEARCH(Assumptions!$C$7,G1126)),Assumptions!$D$7,"Other Services"))),"Other Services"))</f>
        <v/>
      </c>
    </row>
    <row r="1127" customFormat="false" ht="15" hidden="false" customHeight="false" outlineLevel="0" collapsed="false">
      <c r="F1127" s="41" t="str">
        <f aca="false">IF(E1127="","",IFERROR(VLOOKUP(E1127,Assumptions!$G$5:$H$16,2,0),"Other"))</f>
        <v/>
      </c>
      <c r="J1127" s="41" t="str">
        <f aca="false">IF(G1127="","",IFERROR(IF(ISNUMBER(SEARCH(Assumptions!$C$5,G1127)),Assumptions!$D$5,IF(ISNUMBER(SEARCH(Assumptions!$C$6,G1127)),Assumptions!$D$6,IF(ISNUMBER(SEARCH(Assumptions!$C$7,G1127)),Assumptions!$D$7,"Other Services"))),"Other Services"))</f>
        <v/>
      </c>
    </row>
    <row r="1128" customFormat="false" ht="15" hidden="false" customHeight="false" outlineLevel="0" collapsed="false">
      <c r="F1128" s="41" t="str">
        <f aca="false">IF(E1128="","",IFERROR(VLOOKUP(E1128,Assumptions!$G$5:$H$16,2,0),"Other"))</f>
        <v/>
      </c>
      <c r="J1128" s="41" t="str">
        <f aca="false">IF(G1128="","",IFERROR(IF(ISNUMBER(SEARCH(Assumptions!$C$5,G1128)),Assumptions!$D$5,IF(ISNUMBER(SEARCH(Assumptions!$C$6,G1128)),Assumptions!$D$6,IF(ISNUMBER(SEARCH(Assumptions!$C$7,G1128)),Assumptions!$D$7,"Other Services"))),"Other Services"))</f>
        <v/>
      </c>
    </row>
    <row r="1129" customFormat="false" ht="15" hidden="false" customHeight="false" outlineLevel="0" collapsed="false">
      <c r="F1129" s="41" t="str">
        <f aca="false">IF(E1129="","",IFERROR(VLOOKUP(E1129,Assumptions!$G$5:$H$16,2,0),"Other"))</f>
        <v/>
      </c>
      <c r="J1129" s="41" t="str">
        <f aca="false">IF(G1129="","",IFERROR(IF(ISNUMBER(SEARCH(Assumptions!$C$5,G1129)),Assumptions!$D$5,IF(ISNUMBER(SEARCH(Assumptions!$C$6,G1129)),Assumptions!$D$6,IF(ISNUMBER(SEARCH(Assumptions!$C$7,G1129)),Assumptions!$D$7,"Other Services"))),"Other Services"))</f>
        <v/>
      </c>
    </row>
    <row r="1130" customFormat="false" ht="15" hidden="false" customHeight="false" outlineLevel="0" collapsed="false">
      <c r="F1130" s="41" t="str">
        <f aca="false">IF(E1130="","",IFERROR(VLOOKUP(E1130,Assumptions!$G$5:$H$16,2,0),"Other"))</f>
        <v/>
      </c>
      <c r="J1130" s="41" t="str">
        <f aca="false">IF(G1130="","",IFERROR(IF(ISNUMBER(SEARCH(Assumptions!$C$5,G1130)),Assumptions!$D$5,IF(ISNUMBER(SEARCH(Assumptions!$C$6,G1130)),Assumptions!$D$6,IF(ISNUMBER(SEARCH(Assumptions!$C$7,G1130)),Assumptions!$D$7,"Other Services"))),"Other Services"))</f>
        <v/>
      </c>
    </row>
    <row r="1131" customFormat="false" ht="15" hidden="false" customHeight="false" outlineLevel="0" collapsed="false">
      <c r="F1131" s="41" t="str">
        <f aca="false">IF(E1131="","",IFERROR(VLOOKUP(E1131,Assumptions!$G$5:$H$16,2,0),"Other"))</f>
        <v/>
      </c>
      <c r="J1131" s="41" t="str">
        <f aca="false">IF(G1131="","",IFERROR(IF(ISNUMBER(SEARCH(Assumptions!$C$5,G1131)),Assumptions!$D$5,IF(ISNUMBER(SEARCH(Assumptions!$C$6,G1131)),Assumptions!$D$6,IF(ISNUMBER(SEARCH(Assumptions!$C$7,G1131)),Assumptions!$D$7,"Other Services"))),"Other Services"))</f>
        <v/>
      </c>
    </row>
    <row r="1132" customFormat="false" ht="15" hidden="false" customHeight="false" outlineLevel="0" collapsed="false">
      <c r="F1132" s="41" t="str">
        <f aca="false">IF(E1132="","",IFERROR(VLOOKUP(E1132,Assumptions!$G$5:$H$16,2,0),"Other"))</f>
        <v/>
      </c>
      <c r="J1132" s="41" t="str">
        <f aca="false">IF(G1132="","",IFERROR(IF(ISNUMBER(SEARCH(Assumptions!$C$5,G1132)),Assumptions!$D$5,IF(ISNUMBER(SEARCH(Assumptions!$C$6,G1132)),Assumptions!$D$6,IF(ISNUMBER(SEARCH(Assumptions!$C$7,G1132)),Assumptions!$D$7,"Other Services"))),"Other Services"))</f>
        <v/>
      </c>
    </row>
    <row r="1133" customFormat="false" ht="15" hidden="false" customHeight="false" outlineLevel="0" collapsed="false">
      <c r="F1133" s="41" t="str">
        <f aca="false">IF(E1133="","",IFERROR(VLOOKUP(E1133,Assumptions!$G$5:$H$16,2,0),"Other"))</f>
        <v/>
      </c>
      <c r="J1133" s="41" t="str">
        <f aca="false">IF(G1133="","",IFERROR(IF(ISNUMBER(SEARCH(Assumptions!$C$5,G1133)),Assumptions!$D$5,IF(ISNUMBER(SEARCH(Assumptions!$C$6,G1133)),Assumptions!$D$6,IF(ISNUMBER(SEARCH(Assumptions!$C$7,G1133)),Assumptions!$D$7,"Other Services"))),"Other Services"))</f>
        <v/>
      </c>
    </row>
    <row r="1134" customFormat="false" ht="15" hidden="false" customHeight="false" outlineLevel="0" collapsed="false">
      <c r="F1134" s="41" t="str">
        <f aca="false">IF(E1134="","",IFERROR(VLOOKUP(E1134,Assumptions!$G$5:$H$16,2,0),"Other"))</f>
        <v/>
      </c>
      <c r="J1134" s="41" t="str">
        <f aca="false">IF(G1134="","",IFERROR(IF(ISNUMBER(SEARCH(Assumptions!$C$5,G1134)),Assumptions!$D$5,IF(ISNUMBER(SEARCH(Assumptions!$C$6,G1134)),Assumptions!$D$6,IF(ISNUMBER(SEARCH(Assumptions!$C$7,G1134)),Assumptions!$D$7,"Other Services"))),"Other Services"))</f>
        <v/>
      </c>
    </row>
    <row r="1135" customFormat="false" ht="15" hidden="false" customHeight="false" outlineLevel="0" collapsed="false">
      <c r="F1135" s="41" t="str">
        <f aca="false">IF(E1135="","",IFERROR(VLOOKUP(E1135,Assumptions!$G$5:$H$16,2,0),"Other"))</f>
        <v/>
      </c>
      <c r="J1135" s="41" t="str">
        <f aca="false">IF(G1135="","",IFERROR(IF(ISNUMBER(SEARCH(Assumptions!$C$5,G1135)),Assumptions!$D$5,IF(ISNUMBER(SEARCH(Assumptions!$C$6,G1135)),Assumptions!$D$6,IF(ISNUMBER(SEARCH(Assumptions!$C$7,G1135)),Assumptions!$D$7,"Other Services"))),"Other Services"))</f>
        <v/>
      </c>
    </row>
    <row r="1136" customFormat="false" ht="15" hidden="false" customHeight="false" outlineLevel="0" collapsed="false">
      <c r="F1136" s="41" t="str">
        <f aca="false">IF(E1136="","",IFERROR(VLOOKUP(E1136,Assumptions!$G$5:$H$16,2,0),"Other"))</f>
        <v/>
      </c>
      <c r="J1136" s="41" t="str">
        <f aca="false">IF(G1136="","",IFERROR(IF(ISNUMBER(SEARCH(Assumptions!$C$5,G1136)),Assumptions!$D$5,IF(ISNUMBER(SEARCH(Assumptions!$C$6,G1136)),Assumptions!$D$6,IF(ISNUMBER(SEARCH(Assumptions!$C$7,G1136)),Assumptions!$D$7,"Other Services"))),"Other Services"))</f>
        <v/>
      </c>
    </row>
    <row r="1137" customFormat="false" ht="15" hidden="false" customHeight="false" outlineLevel="0" collapsed="false">
      <c r="F1137" s="41" t="str">
        <f aca="false">IF(E1137="","",IFERROR(VLOOKUP(E1137,Assumptions!$G$5:$H$16,2,0),"Other"))</f>
        <v/>
      </c>
      <c r="J1137" s="41" t="str">
        <f aca="false">IF(G1137="","",IFERROR(IF(ISNUMBER(SEARCH(Assumptions!$C$5,G1137)),Assumptions!$D$5,IF(ISNUMBER(SEARCH(Assumptions!$C$6,G1137)),Assumptions!$D$6,IF(ISNUMBER(SEARCH(Assumptions!$C$7,G1137)),Assumptions!$D$7,"Other Services"))),"Other Services"))</f>
        <v/>
      </c>
    </row>
    <row r="1138" customFormat="false" ht="15" hidden="false" customHeight="false" outlineLevel="0" collapsed="false">
      <c r="F1138" s="41" t="str">
        <f aca="false">IF(E1138="","",IFERROR(VLOOKUP(E1138,Assumptions!$G$5:$H$16,2,0),"Other"))</f>
        <v/>
      </c>
      <c r="J1138" s="41" t="str">
        <f aca="false">IF(G1138="","",IFERROR(IF(ISNUMBER(SEARCH(Assumptions!$C$5,G1138)),Assumptions!$D$5,IF(ISNUMBER(SEARCH(Assumptions!$C$6,G1138)),Assumptions!$D$6,IF(ISNUMBER(SEARCH(Assumptions!$C$7,G1138)),Assumptions!$D$7,"Other Services"))),"Other Services"))</f>
        <v/>
      </c>
    </row>
    <row r="1139" customFormat="false" ht="15" hidden="false" customHeight="false" outlineLevel="0" collapsed="false">
      <c r="F1139" s="41" t="str">
        <f aca="false">IF(E1139="","",IFERROR(VLOOKUP(E1139,Assumptions!$G$5:$H$16,2,0),"Other"))</f>
        <v/>
      </c>
      <c r="J1139" s="41" t="str">
        <f aca="false">IF(G1139="","",IFERROR(IF(ISNUMBER(SEARCH(Assumptions!$C$5,G1139)),Assumptions!$D$5,IF(ISNUMBER(SEARCH(Assumptions!$C$6,G1139)),Assumptions!$D$6,IF(ISNUMBER(SEARCH(Assumptions!$C$7,G1139)),Assumptions!$D$7,"Other Services"))),"Other Services"))</f>
        <v/>
      </c>
    </row>
    <row r="1140" customFormat="false" ht="15" hidden="false" customHeight="false" outlineLevel="0" collapsed="false">
      <c r="F1140" s="41" t="str">
        <f aca="false">IF(E1140="","",IFERROR(VLOOKUP(E1140,Assumptions!$G$5:$H$16,2,0),"Other"))</f>
        <v/>
      </c>
      <c r="J1140" s="41" t="str">
        <f aca="false">IF(G1140="","",IFERROR(IF(ISNUMBER(SEARCH(Assumptions!$C$5,G1140)),Assumptions!$D$5,IF(ISNUMBER(SEARCH(Assumptions!$C$6,G1140)),Assumptions!$D$6,IF(ISNUMBER(SEARCH(Assumptions!$C$7,G1140)),Assumptions!$D$7,"Other Services"))),"Other Services"))</f>
        <v/>
      </c>
    </row>
    <row r="1141" customFormat="false" ht="15" hidden="false" customHeight="false" outlineLevel="0" collapsed="false">
      <c r="F1141" s="41" t="str">
        <f aca="false">IF(E1141="","",IFERROR(VLOOKUP(E1141,Assumptions!$G$5:$H$16,2,0),"Other"))</f>
        <v/>
      </c>
      <c r="J1141" s="41" t="str">
        <f aca="false">IF(G1141="","",IFERROR(IF(ISNUMBER(SEARCH(Assumptions!$C$5,G1141)),Assumptions!$D$5,IF(ISNUMBER(SEARCH(Assumptions!$C$6,G1141)),Assumptions!$D$6,IF(ISNUMBER(SEARCH(Assumptions!$C$7,G1141)),Assumptions!$D$7,"Other Services"))),"Other Services"))</f>
        <v/>
      </c>
    </row>
    <row r="1142" customFormat="false" ht="15" hidden="false" customHeight="false" outlineLevel="0" collapsed="false">
      <c r="F1142" s="41" t="str">
        <f aca="false">IF(E1142="","",IFERROR(VLOOKUP(E1142,Assumptions!$G$5:$H$16,2,0),"Other"))</f>
        <v/>
      </c>
      <c r="J1142" s="41" t="str">
        <f aca="false">IF(G1142="","",IFERROR(IF(ISNUMBER(SEARCH(Assumptions!$C$5,G1142)),Assumptions!$D$5,IF(ISNUMBER(SEARCH(Assumptions!$C$6,G1142)),Assumptions!$D$6,IF(ISNUMBER(SEARCH(Assumptions!$C$7,G1142)),Assumptions!$D$7,"Other Services"))),"Other Services"))</f>
        <v/>
      </c>
    </row>
    <row r="1143" customFormat="false" ht="15" hidden="false" customHeight="false" outlineLevel="0" collapsed="false">
      <c r="F1143" s="41" t="str">
        <f aca="false">IF(E1143="","",IFERROR(VLOOKUP(E1143,Assumptions!$G$5:$H$16,2,0),"Other"))</f>
        <v/>
      </c>
      <c r="J1143" s="41" t="str">
        <f aca="false">IF(G1143="","",IFERROR(IF(ISNUMBER(SEARCH(Assumptions!$C$5,G1143)),Assumptions!$D$5,IF(ISNUMBER(SEARCH(Assumptions!$C$6,G1143)),Assumptions!$D$6,IF(ISNUMBER(SEARCH(Assumptions!$C$7,G1143)),Assumptions!$D$7,"Other Services"))),"Other Services"))</f>
        <v/>
      </c>
    </row>
    <row r="1144" customFormat="false" ht="15" hidden="false" customHeight="false" outlineLevel="0" collapsed="false">
      <c r="F1144" s="41" t="str">
        <f aca="false">IF(E1144="","",IFERROR(VLOOKUP(E1144,Assumptions!$G$5:$H$16,2,0),"Other"))</f>
        <v/>
      </c>
      <c r="J1144" s="41" t="str">
        <f aca="false">IF(G1144="","",IFERROR(IF(ISNUMBER(SEARCH(Assumptions!$C$5,G1144)),Assumptions!$D$5,IF(ISNUMBER(SEARCH(Assumptions!$C$6,G1144)),Assumptions!$D$6,IF(ISNUMBER(SEARCH(Assumptions!$C$7,G1144)),Assumptions!$D$7,"Other Services"))),"Other Services"))</f>
        <v/>
      </c>
    </row>
    <row r="1145" customFormat="false" ht="15" hidden="false" customHeight="false" outlineLevel="0" collapsed="false">
      <c r="F1145" s="41" t="str">
        <f aca="false">IF(E1145="","",IFERROR(VLOOKUP(E1145,Assumptions!$G$5:$H$16,2,0),"Other"))</f>
        <v/>
      </c>
      <c r="J1145" s="41" t="str">
        <f aca="false">IF(G1145="","",IFERROR(IF(ISNUMBER(SEARCH(Assumptions!$C$5,G1145)),Assumptions!$D$5,IF(ISNUMBER(SEARCH(Assumptions!$C$6,G1145)),Assumptions!$D$6,IF(ISNUMBER(SEARCH(Assumptions!$C$7,G1145)),Assumptions!$D$7,"Other Services"))),"Other Services"))</f>
        <v/>
      </c>
    </row>
    <row r="1146" customFormat="false" ht="15" hidden="false" customHeight="false" outlineLevel="0" collapsed="false">
      <c r="F1146" s="41" t="str">
        <f aca="false">IF(E1146="","",IFERROR(VLOOKUP(E1146,Assumptions!$G$5:$H$16,2,0),"Other"))</f>
        <v/>
      </c>
      <c r="J1146" s="41" t="str">
        <f aca="false">IF(G1146="","",IFERROR(IF(ISNUMBER(SEARCH(Assumptions!$C$5,G1146)),Assumptions!$D$5,IF(ISNUMBER(SEARCH(Assumptions!$C$6,G1146)),Assumptions!$D$6,IF(ISNUMBER(SEARCH(Assumptions!$C$7,G1146)),Assumptions!$D$7,"Other Services"))),"Other Services"))</f>
        <v/>
      </c>
    </row>
    <row r="1147" customFormat="false" ht="15" hidden="false" customHeight="false" outlineLevel="0" collapsed="false">
      <c r="F1147" s="41" t="str">
        <f aca="false">IF(E1147="","",IFERROR(VLOOKUP(E1147,Assumptions!$G$5:$H$16,2,0),"Other"))</f>
        <v/>
      </c>
      <c r="J1147" s="41" t="str">
        <f aca="false">IF(G1147="","",IFERROR(IF(ISNUMBER(SEARCH(Assumptions!$C$5,G1147)),Assumptions!$D$5,IF(ISNUMBER(SEARCH(Assumptions!$C$6,G1147)),Assumptions!$D$6,IF(ISNUMBER(SEARCH(Assumptions!$C$7,G1147)),Assumptions!$D$7,"Other Services"))),"Other Services"))</f>
        <v/>
      </c>
    </row>
    <row r="1148" customFormat="false" ht="15" hidden="false" customHeight="false" outlineLevel="0" collapsed="false">
      <c r="F1148" s="41" t="str">
        <f aca="false">IF(E1148="","",IFERROR(VLOOKUP(E1148,Assumptions!$G$5:$H$16,2,0),"Other"))</f>
        <v/>
      </c>
      <c r="J1148" s="41" t="str">
        <f aca="false">IF(G1148="","",IFERROR(IF(ISNUMBER(SEARCH(Assumptions!$C$5,G1148)),Assumptions!$D$5,IF(ISNUMBER(SEARCH(Assumptions!$C$6,G1148)),Assumptions!$D$6,IF(ISNUMBER(SEARCH(Assumptions!$C$7,G1148)),Assumptions!$D$7,"Other Services"))),"Other Services"))</f>
        <v/>
      </c>
    </row>
    <row r="1149" customFormat="false" ht="15" hidden="false" customHeight="false" outlineLevel="0" collapsed="false">
      <c r="F1149" s="41" t="str">
        <f aca="false">IF(E1149="","",IFERROR(VLOOKUP(E1149,Assumptions!$G$5:$H$16,2,0),"Other"))</f>
        <v/>
      </c>
      <c r="J1149" s="41" t="str">
        <f aca="false">IF(G1149="","",IFERROR(IF(ISNUMBER(SEARCH(Assumptions!$C$5,G1149)),Assumptions!$D$5,IF(ISNUMBER(SEARCH(Assumptions!$C$6,G1149)),Assumptions!$D$6,IF(ISNUMBER(SEARCH(Assumptions!$C$7,G1149)),Assumptions!$D$7,"Other Services"))),"Other Services"))</f>
        <v/>
      </c>
    </row>
    <row r="1150" customFormat="false" ht="15" hidden="false" customHeight="false" outlineLevel="0" collapsed="false">
      <c r="F1150" s="41" t="str">
        <f aca="false">IF(E1150="","",IFERROR(VLOOKUP(E1150,Assumptions!$G$5:$H$16,2,0),"Other"))</f>
        <v/>
      </c>
      <c r="J1150" s="41" t="str">
        <f aca="false">IF(G1150="","",IFERROR(IF(ISNUMBER(SEARCH(Assumptions!$C$5,G1150)),Assumptions!$D$5,IF(ISNUMBER(SEARCH(Assumptions!$C$6,G1150)),Assumptions!$D$6,IF(ISNUMBER(SEARCH(Assumptions!$C$7,G1150)),Assumptions!$D$7,"Other Services"))),"Other Services"))</f>
        <v/>
      </c>
    </row>
    <row r="1151" customFormat="false" ht="15" hidden="false" customHeight="false" outlineLevel="0" collapsed="false">
      <c r="F1151" s="41" t="str">
        <f aca="false">IF(E1151="","",IFERROR(VLOOKUP(E1151,Assumptions!$G$5:$H$16,2,0),"Other"))</f>
        <v/>
      </c>
      <c r="J1151" s="41" t="str">
        <f aca="false">IF(G1151="","",IFERROR(IF(ISNUMBER(SEARCH(Assumptions!$C$5,G1151)),Assumptions!$D$5,IF(ISNUMBER(SEARCH(Assumptions!$C$6,G1151)),Assumptions!$D$6,IF(ISNUMBER(SEARCH(Assumptions!$C$7,G1151)),Assumptions!$D$7,"Other Services"))),"Other Services"))</f>
        <v/>
      </c>
    </row>
    <row r="1152" customFormat="false" ht="15" hidden="false" customHeight="false" outlineLevel="0" collapsed="false">
      <c r="F1152" s="41" t="str">
        <f aca="false">IF(E1152="","",IFERROR(VLOOKUP(E1152,Assumptions!$G$5:$H$16,2,0),"Other"))</f>
        <v/>
      </c>
      <c r="J1152" s="41" t="str">
        <f aca="false">IF(G1152="","",IFERROR(IF(ISNUMBER(SEARCH(Assumptions!$C$5,G1152)),Assumptions!$D$5,IF(ISNUMBER(SEARCH(Assumptions!$C$6,G1152)),Assumptions!$D$6,IF(ISNUMBER(SEARCH(Assumptions!$C$7,G1152)),Assumptions!$D$7,"Other Services"))),"Other Services"))</f>
        <v/>
      </c>
    </row>
    <row r="1153" customFormat="false" ht="15" hidden="false" customHeight="false" outlineLevel="0" collapsed="false">
      <c r="F1153" s="41" t="str">
        <f aca="false">IF(E1153="","",IFERROR(VLOOKUP(E1153,Assumptions!$G$5:$H$16,2,0),"Other"))</f>
        <v/>
      </c>
      <c r="J1153" s="41" t="str">
        <f aca="false">IF(G1153="","",IFERROR(IF(ISNUMBER(SEARCH(Assumptions!$C$5,G1153)),Assumptions!$D$5,IF(ISNUMBER(SEARCH(Assumptions!$C$6,G1153)),Assumptions!$D$6,IF(ISNUMBER(SEARCH(Assumptions!$C$7,G1153)),Assumptions!$D$7,"Other Services"))),"Other Services"))</f>
        <v/>
      </c>
    </row>
    <row r="1154" customFormat="false" ht="15" hidden="false" customHeight="false" outlineLevel="0" collapsed="false">
      <c r="F1154" s="41" t="str">
        <f aca="false">IF(E1154="","",IFERROR(VLOOKUP(E1154,Assumptions!$G$5:$H$16,2,0),"Other"))</f>
        <v/>
      </c>
      <c r="J1154" s="41" t="str">
        <f aca="false">IF(G1154="","",IFERROR(IF(ISNUMBER(SEARCH(Assumptions!$C$5,G1154)),Assumptions!$D$5,IF(ISNUMBER(SEARCH(Assumptions!$C$6,G1154)),Assumptions!$D$6,IF(ISNUMBER(SEARCH(Assumptions!$C$7,G1154)),Assumptions!$D$7,"Other Services"))),"Other Services"))</f>
        <v/>
      </c>
    </row>
    <row r="1155" customFormat="false" ht="15" hidden="false" customHeight="false" outlineLevel="0" collapsed="false">
      <c r="F1155" s="41" t="str">
        <f aca="false">IF(E1155="","",IFERROR(VLOOKUP(E1155,Assumptions!$G$5:$H$16,2,0),"Other"))</f>
        <v/>
      </c>
      <c r="J1155" s="41" t="str">
        <f aca="false">IF(G1155="","",IFERROR(IF(ISNUMBER(SEARCH(Assumptions!$C$5,G1155)),Assumptions!$D$5,IF(ISNUMBER(SEARCH(Assumptions!$C$6,G1155)),Assumptions!$D$6,IF(ISNUMBER(SEARCH(Assumptions!$C$7,G1155)),Assumptions!$D$7,"Other Services"))),"Other Services"))</f>
        <v/>
      </c>
    </row>
    <row r="1156" customFormat="false" ht="15" hidden="false" customHeight="false" outlineLevel="0" collapsed="false">
      <c r="F1156" s="41" t="str">
        <f aca="false">IF(E1156="","",IFERROR(VLOOKUP(E1156,Assumptions!$G$5:$H$16,2,0),"Other"))</f>
        <v/>
      </c>
      <c r="J1156" s="41" t="str">
        <f aca="false">IF(G1156="","",IFERROR(IF(ISNUMBER(SEARCH(Assumptions!$C$5,G1156)),Assumptions!$D$5,IF(ISNUMBER(SEARCH(Assumptions!$C$6,G1156)),Assumptions!$D$6,IF(ISNUMBER(SEARCH(Assumptions!$C$7,G1156)),Assumptions!$D$7,"Other Services"))),"Other Services"))</f>
        <v/>
      </c>
    </row>
    <row r="1157" customFormat="false" ht="15" hidden="false" customHeight="false" outlineLevel="0" collapsed="false">
      <c r="F1157" s="41" t="str">
        <f aca="false">IF(E1157="","",IFERROR(VLOOKUP(E1157,Assumptions!$G$5:$H$16,2,0),"Other"))</f>
        <v/>
      </c>
      <c r="J1157" s="41" t="str">
        <f aca="false">IF(G1157="","",IFERROR(IF(ISNUMBER(SEARCH(Assumptions!$C$5,G1157)),Assumptions!$D$5,IF(ISNUMBER(SEARCH(Assumptions!$C$6,G1157)),Assumptions!$D$6,IF(ISNUMBER(SEARCH(Assumptions!$C$7,G1157)),Assumptions!$D$7,"Other Services"))),"Other Services"))</f>
        <v/>
      </c>
    </row>
    <row r="1158" customFormat="false" ht="15" hidden="false" customHeight="false" outlineLevel="0" collapsed="false">
      <c r="F1158" s="41" t="str">
        <f aca="false">IF(E1158="","",IFERROR(VLOOKUP(E1158,Assumptions!$G$5:$H$16,2,0),"Other"))</f>
        <v/>
      </c>
      <c r="J1158" s="41" t="str">
        <f aca="false">IF(G1158="","",IFERROR(IF(ISNUMBER(SEARCH(Assumptions!$C$5,G1158)),Assumptions!$D$5,IF(ISNUMBER(SEARCH(Assumptions!$C$6,G1158)),Assumptions!$D$6,IF(ISNUMBER(SEARCH(Assumptions!$C$7,G1158)),Assumptions!$D$7,"Other Services"))),"Other Services"))</f>
        <v/>
      </c>
    </row>
    <row r="1159" customFormat="false" ht="15" hidden="false" customHeight="false" outlineLevel="0" collapsed="false">
      <c r="F1159" s="41" t="str">
        <f aca="false">IF(E1159="","",IFERROR(VLOOKUP(E1159,Assumptions!$G$5:$H$16,2,0),"Other"))</f>
        <v/>
      </c>
      <c r="J1159" s="41" t="str">
        <f aca="false">IF(G1159="","",IFERROR(IF(ISNUMBER(SEARCH(Assumptions!$C$5,G1159)),Assumptions!$D$5,IF(ISNUMBER(SEARCH(Assumptions!$C$6,G1159)),Assumptions!$D$6,IF(ISNUMBER(SEARCH(Assumptions!$C$7,G1159)),Assumptions!$D$7,"Other Services"))),"Other Services"))</f>
        <v/>
      </c>
    </row>
    <row r="1160" customFormat="false" ht="15" hidden="false" customHeight="false" outlineLevel="0" collapsed="false">
      <c r="F1160" s="41" t="str">
        <f aca="false">IF(E1160="","",IFERROR(VLOOKUP(E1160,Assumptions!$G$5:$H$16,2,0),"Other"))</f>
        <v/>
      </c>
      <c r="J1160" s="41" t="str">
        <f aca="false">IF(G1160="","",IFERROR(IF(ISNUMBER(SEARCH(Assumptions!$C$5,G1160)),Assumptions!$D$5,IF(ISNUMBER(SEARCH(Assumptions!$C$6,G1160)),Assumptions!$D$6,IF(ISNUMBER(SEARCH(Assumptions!$C$7,G1160)),Assumptions!$D$7,"Other Services"))),"Other Services"))</f>
        <v/>
      </c>
    </row>
    <row r="1161" customFormat="false" ht="15" hidden="false" customHeight="false" outlineLevel="0" collapsed="false">
      <c r="F1161" s="41" t="str">
        <f aca="false">IF(E1161="","",IFERROR(VLOOKUP(E1161,Assumptions!$G$5:$H$16,2,0),"Other"))</f>
        <v/>
      </c>
      <c r="J1161" s="41" t="str">
        <f aca="false">IF(G1161="","",IFERROR(IF(ISNUMBER(SEARCH(Assumptions!$C$5,G1161)),Assumptions!$D$5,IF(ISNUMBER(SEARCH(Assumptions!$C$6,G1161)),Assumptions!$D$6,IF(ISNUMBER(SEARCH(Assumptions!$C$7,G1161)),Assumptions!$D$7,"Other Services"))),"Other Services"))</f>
        <v/>
      </c>
    </row>
    <row r="1162" customFormat="false" ht="15" hidden="false" customHeight="false" outlineLevel="0" collapsed="false">
      <c r="F1162" s="41" t="str">
        <f aca="false">IF(E1162="","",IFERROR(VLOOKUP(E1162,Assumptions!$G$5:$H$16,2,0),"Other"))</f>
        <v/>
      </c>
      <c r="J1162" s="41" t="str">
        <f aca="false">IF(G1162="","",IFERROR(IF(ISNUMBER(SEARCH(Assumptions!$C$5,G1162)),Assumptions!$D$5,IF(ISNUMBER(SEARCH(Assumptions!$C$6,G1162)),Assumptions!$D$6,IF(ISNUMBER(SEARCH(Assumptions!$C$7,G1162)),Assumptions!$D$7,"Other Services"))),"Other Services"))</f>
        <v/>
      </c>
    </row>
    <row r="1163" customFormat="false" ht="15" hidden="false" customHeight="false" outlineLevel="0" collapsed="false">
      <c r="F1163" s="41" t="str">
        <f aca="false">IF(E1163="","",IFERROR(VLOOKUP(E1163,Assumptions!$G$5:$H$16,2,0),"Other"))</f>
        <v/>
      </c>
      <c r="J1163" s="41" t="str">
        <f aca="false">IF(G1163="","",IFERROR(IF(ISNUMBER(SEARCH(Assumptions!$C$5,G1163)),Assumptions!$D$5,IF(ISNUMBER(SEARCH(Assumptions!$C$6,G1163)),Assumptions!$D$6,IF(ISNUMBER(SEARCH(Assumptions!$C$7,G1163)),Assumptions!$D$7,"Other Services"))),"Other Services"))</f>
        <v/>
      </c>
    </row>
    <row r="1164" customFormat="false" ht="15" hidden="false" customHeight="false" outlineLevel="0" collapsed="false">
      <c r="F1164" s="41" t="str">
        <f aca="false">IF(E1164="","",IFERROR(VLOOKUP(E1164,Assumptions!$G$5:$H$16,2,0),"Other"))</f>
        <v/>
      </c>
      <c r="J1164" s="41" t="str">
        <f aca="false">IF(G1164="","",IFERROR(IF(ISNUMBER(SEARCH(Assumptions!$C$5,G1164)),Assumptions!$D$5,IF(ISNUMBER(SEARCH(Assumptions!$C$6,G1164)),Assumptions!$D$6,IF(ISNUMBER(SEARCH(Assumptions!$C$7,G1164)),Assumptions!$D$7,"Other Services"))),"Other Services"))</f>
        <v/>
      </c>
    </row>
    <row r="1165" customFormat="false" ht="15" hidden="false" customHeight="false" outlineLevel="0" collapsed="false">
      <c r="F1165" s="41" t="str">
        <f aca="false">IF(E1165="","",IFERROR(VLOOKUP(E1165,Assumptions!$G$5:$H$16,2,0),"Other"))</f>
        <v/>
      </c>
      <c r="J1165" s="41" t="str">
        <f aca="false">IF(G1165="","",IFERROR(IF(ISNUMBER(SEARCH(Assumptions!$C$5,G1165)),Assumptions!$D$5,IF(ISNUMBER(SEARCH(Assumptions!$C$6,G1165)),Assumptions!$D$6,IF(ISNUMBER(SEARCH(Assumptions!$C$7,G1165)),Assumptions!$D$7,"Other Services"))),"Other Services"))</f>
        <v/>
      </c>
    </row>
    <row r="1166" customFormat="false" ht="15" hidden="false" customHeight="false" outlineLevel="0" collapsed="false">
      <c r="F1166" s="41" t="str">
        <f aca="false">IF(E1166="","",IFERROR(VLOOKUP(E1166,Assumptions!$G$5:$H$16,2,0),"Other"))</f>
        <v/>
      </c>
      <c r="J1166" s="41" t="str">
        <f aca="false">IF(G1166="","",IFERROR(IF(ISNUMBER(SEARCH(Assumptions!$C$5,G1166)),Assumptions!$D$5,IF(ISNUMBER(SEARCH(Assumptions!$C$6,G1166)),Assumptions!$D$6,IF(ISNUMBER(SEARCH(Assumptions!$C$7,G1166)),Assumptions!$D$7,"Other Services"))),"Other Services"))</f>
        <v/>
      </c>
    </row>
    <row r="1167" customFormat="false" ht="15" hidden="false" customHeight="false" outlineLevel="0" collapsed="false">
      <c r="F1167" s="41" t="str">
        <f aca="false">IF(E1167="","",IFERROR(VLOOKUP(E1167,Assumptions!$G$5:$H$16,2,0),"Other"))</f>
        <v/>
      </c>
      <c r="J1167" s="41" t="str">
        <f aca="false">IF(G1167="","",IFERROR(IF(ISNUMBER(SEARCH(Assumptions!$C$5,G1167)),Assumptions!$D$5,IF(ISNUMBER(SEARCH(Assumptions!$C$6,G1167)),Assumptions!$D$6,IF(ISNUMBER(SEARCH(Assumptions!$C$7,G1167)),Assumptions!$D$7,"Other Services"))),"Other Services"))</f>
        <v/>
      </c>
    </row>
    <row r="1168" customFormat="false" ht="15" hidden="false" customHeight="false" outlineLevel="0" collapsed="false">
      <c r="F1168" s="41" t="str">
        <f aca="false">IF(E1168="","",IFERROR(VLOOKUP(E1168,Assumptions!$G$5:$H$16,2,0),"Other"))</f>
        <v/>
      </c>
      <c r="J1168" s="41" t="str">
        <f aca="false">IF(G1168="","",IFERROR(IF(ISNUMBER(SEARCH(Assumptions!$C$5,G1168)),Assumptions!$D$5,IF(ISNUMBER(SEARCH(Assumptions!$C$6,G1168)),Assumptions!$D$6,IF(ISNUMBER(SEARCH(Assumptions!$C$7,G1168)),Assumptions!$D$7,"Other Services"))),"Other Services"))</f>
        <v/>
      </c>
    </row>
    <row r="1169" customFormat="false" ht="15" hidden="false" customHeight="false" outlineLevel="0" collapsed="false">
      <c r="F1169" s="41" t="str">
        <f aca="false">IF(E1169="","",IFERROR(VLOOKUP(E1169,Assumptions!$G$5:$H$16,2,0),"Other"))</f>
        <v/>
      </c>
      <c r="J1169" s="41" t="str">
        <f aca="false">IF(G1169="","",IFERROR(IF(ISNUMBER(SEARCH(Assumptions!$C$5,G1169)),Assumptions!$D$5,IF(ISNUMBER(SEARCH(Assumptions!$C$6,G1169)),Assumptions!$D$6,IF(ISNUMBER(SEARCH(Assumptions!$C$7,G1169)),Assumptions!$D$7,"Other Services"))),"Other Services"))</f>
        <v/>
      </c>
    </row>
    <row r="1170" customFormat="false" ht="15" hidden="false" customHeight="false" outlineLevel="0" collapsed="false">
      <c r="F1170" s="41" t="str">
        <f aca="false">IF(E1170="","",IFERROR(VLOOKUP(E1170,Assumptions!$G$5:$H$16,2,0),"Other"))</f>
        <v/>
      </c>
      <c r="J1170" s="41" t="str">
        <f aca="false">IF(G1170="","",IFERROR(IF(ISNUMBER(SEARCH(Assumptions!$C$5,G1170)),Assumptions!$D$5,IF(ISNUMBER(SEARCH(Assumptions!$C$6,G1170)),Assumptions!$D$6,IF(ISNUMBER(SEARCH(Assumptions!$C$7,G1170)),Assumptions!$D$7,"Other Services"))),"Other Services"))</f>
        <v/>
      </c>
    </row>
    <row r="1171" customFormat="false" ht="15" hidden="false" customHeight="false" outlineLevel="0" collapsed="false">
      <c r="F1171" s="41" t="str">
        <f aca="false">IF(E1171="","",IFERROR(VLOOKUP(E1171,Assumptions!$G$5:$H$16,2,0),"Other"))</f>
        <v/>
      </c>
      <c r="J1171" s="41" t="str">
        <f aca="false">IF(G1171="","",IFERROR(IF(ISNUMBER(SEARCH(Assumptions!$C$5,G1171)),Assumptions!$D$5,IF(ISNUMBER(SEARCH(Assumptions!$C$6,G1171)),Assumptions!$D$6,IF(ISNUMBER(SEARCH(Assumptions!$C$7,G1171)),Assumptions!$D$7,"Other Services"))),"Other Services"))</f>
        <v/>
      </c>
    </row>
    <row r="1172" customFormat="false" ht="15" hidden="false" customHeight="false" outlineLevel="0" collapsed="false">
      <c r="F1172" s="41" t="str">
        <f aca="false">IF(E1172="","",IFERROR(VLOOKUP(E1172,Assumptions!$G$5:$H$16,2,0),"Other"))</f>
        <v/>
      </c>
      <c r="J1172" s="41" t="str">
        <f aca="false">IF(G1172="","",IFERROR(IF(ISNUMBER(SEARCH(Assumptions!$C$5,G1172)),Assumptions!$D$5,IF(ISNUMBER(SEARCH(Assumptions!$C$6,G1172)),Assumptions!$D$6,IF(ISNUMBER(SEARCH(Assumptions!$C$7,G1172)),Assumptions!$D$7,"Other Services"))),"Other Services"))</f>
        <v/>
      </c>
    </row>
    <row r="1173" customFormat="false" ht="15" hidden="false" customHeight="false" outlineLevel="0" collapsed="false">
      <c r="F1173" s="41" t="str">
        <f aca="false">IF(E1173="","",IFERROR(VLOOKUP(E1173,Assumptions!$G$5:$H$16,2,0),"Other"))</f>
        <v/>
      </c>
      <c r="J1173" s="41" t="str">
        <f aca="false">IF(G1173="","",IFERROR(IF(ISNUMBER(SEARCH(Assumptions!$C$5,G1173)),Assumptions!$D$5,IF(ISNUMBER(SEARCH(Assumptions!$C$6,G1173)),Assumptions!$D$6,IF(ISNUMBER(SEARCH(Assumptions!$C$7,G1173)),Assumptions!$D$7,"Other Services"))),"Other Services"))</f>
        <v/>
      </c>
    </row>
    <row r="1174" customFormat="false" ht="15" hidden="false" customHeight="false" outlineLevel="0" collapsed="false">
      <c r="F1174" s="41" t="str">
        <f aca="false">IF(E1174="","",IFERROR(VLOOKUP(E1174,Assumptions!$G$5:$H$16,2,0),"Other"))</f>
        <v/>
      </c>
      <c r="J1174" s="41" t="str">
        <f aca="false">IF(G1174="","",IFERROR(IF(ISNUMBER(SEARCH(Assumptions!$C$5,G1174)),Assumptions!$D$5,IF(ISNUMBER(SEARCH(Assumptions!$C$6,G1174)),Assumptions!$D$6,IF(ISNUMBER(SEARCH(Assumptions!$C$7,G1174)),Assumptions!$D$7,"Other Services"))),"Other Services"))</f>
        <v/>
      </c>
    </row>
    <row r="1175" customFormat="false" ht="15" hidden="false" customHeight="false" outlineLevel="0" collapsed="false">
      <c r="F1175" s="41" t="str">
        <f aca="false">IF(E1175="","",IFERROR(VLOOKUP(E1175,Assumptions!$G$5:$H$16,2,0),"Other"))</f>
        <v/>
      </c>
      <c r="J1175" s="41" t="str">
        <f aca="false">IF(G1175="","",IFERROR(IF(ISNUMBER(SEARCH(Assumptions!$C$5,G1175)),Assumptions!$D$5,IF(ISNUMBER(SEARCH(Assumptions!$C$6,G1175)),Assumptions!$D$6,IF(ISNUMBER(SEARCH(Assumptions!$C$7,G1175)),Assumptions!$D$7,"Other Services"))),"Other Services"))</f>
        <v/>
      </c>
    </row>
    <row r="1176" customFormat="false" ht="15" hidden="false" customHeight="false" outlineLevel="0" collapsed="false">
      <c r="F1176" s="41" t="str">
        <f aca="false">IF(E1176="","",IFERROR(VLOOKUP(E1176,Assumptions!$G$5:$H$16,2,0),"Other"))</f>
        <v/>
      </c>
      <c r="J1176" s="41" t="str">
        <f aca="false">IF(G1176="","",IFERROR(IF(ISNUMBER(SEARCH(Assumptions!$C$5,G1176)),Assumptions!$D$5,IF(ISNUMBER(SEARCH(Assumptions!$C$6,G1176)),Assumptions!$D$6,IF(ISNUMBER(SEARCH(Assumptions!$C$7,G1176)),Assumptions!$D$7,"Other Services"))),"Other Services"))</f>
        <v/>
      </c>
    </row>
    <row r="1177" customFormat="false" ht="15" hidden="false" customHeight="false" outlineLevel="0" collapsed="false">
      <c r="F1177" s="41" t="str">
        <f aca="false">IF(E1177="","",IFERROR(VLOOKUP(E1177,Assumptions!$G$5:$H$16,2,0),"Other"))</f>
        <v/>
      </c>
      <c r="J1177" s="41" t="str">
        <f aca="false">IF(G1177="","",IFERROR(IF(ISNUMBER(SEARCH(Assumptions!$C$5,G1177)),Assumptions!$D$5,IF(ISNUMBER(SEARCH(Assumptions!$C$6,G1177)),Assumptions!$D$6,IF(ISNUMBER(SEARCH(Assumptions!$C$7,G1177)),Assumptions!$D$7,"Other Services"))),"Other Services"))</f>
        <v/>
      </c>
    </row>
    <row r="1178" customFormat="false" ht="15" hidden="false" customHeight="false" outlineLevel="0" collapsed="false">
      <c r="F1178" s="41" t="str">
        <f aca="false">IF(E1178="","",IFERROR(VLOOKUP(E1178,Assumptions!$G$5:$H$16,2,0),"Other"))</f>
        <v/>
      </c>
      <c r="J1178" s="41" t="str">
        <f aca="false">IF(G1178="","",IFERROR(IF(ISNUMBER(SEARCH(Assumptions!$C$5,G1178)),Assumptions!$D$5,IF(ISNUMBER(SEARCH(Assumptions!$C$6,G1178)),Assumptions!$D$6,IF(ISNUMBER(SEARCH(Assumptions!$C$7,G1178)),Assumptions!$D$7,"Other Services"))),"Other Services"))</f>
        <v/>
      </c>
    </row>
    <row r="1179" customFormat="false" ht="15" hidden="false" customHeight="false" outlineLevel="0" collapsed="false">
      <c r="F1179" s="41" t="str">
        <f aca="false">IF(E1179="","",IFERROR(VLOOKUP(E1179,Assumptions!$G$5:$H$16,2,0),"Other"))</f>
        <v/>
      </c>
      <c r="J1179" s="41" t="str">
        <f aca="false">IF(G1179="","",IFERROR(IF(ISNUMBER(SEARCH(Assumptions!$C$5,G1179)),Assumptions!$D$5,IF(ISNUMBER(SEARCH(Assumptions!$C$6,G1179)),Assumptions!$D$6,IF(ISNUMBER(SEARCH(Assumptions!$C$7,G1179)),Assumptions!$D$7,"Other Services"))),"Other Services"))</f>
        <v/>
      </c>
    </row>
    <row r="1180" customFormat="false" ht="15" hidden="false" customHeight="false" outlineLevel="0" collapsed="false">
      <c r="F1180" s="41" t="str">
        <f aca="false">IF(E1180="","",IFERROR(VLOOKUP(E1180,Assumptions!$G$5:$H$16,2,0),"Other"))</f>
        <v/>
      </c>
      <c r="J1180" s="41" t="str">
        <f aca="false">IF(G1180="","",IFERROR(IF(ISNUMBER(SEARCH(Assumptions!$C$5,G1180)),Assumptions!$D$5,IF(ISNUMBER(SEARCH(Assumptions!$C$6,G1180)),Assumptions!$D$6,IF(ISNUMBER(SEARCH(Assumptions!$C$7,G1180)),Assumptions!$D$7,"Other Services"))),"Other Services"))</f>
        <v/>
      </c>
    </row>
    <row r="1181" customFormat="false" ht="15" hidden="false" customHeight="false" outlineLevel="0" collapsed="false">
      <c r="F1181" s="41" t="str">
        <f aca="false">IF(E1181="","",IFERROR(VLOOKUP(E1181,Assumptions!$G$5:$H$16,2,0),"Other"))</f>
        <v/>
      </c>
      <c r="J1181" s="41" t="str">
        <f aca="false">IF(G1181="","",IFERROR(IF(ISNUMBER(SEARCH(Assumptions!$C$5,G1181)),Assumptions!$D$5,IF(ISNUMBER(SEARCH(Assumptions!$C$6,G1181)),Assumptions!$D$6,IF(ISNUMBER(SEARCH(Assumptions!$C$7,G1181)),Assumptions!$D$7,"Other Services"))),"Other Services"))</f>
        <v/>
      </c>
    </row>
    <row r="1182" customFormat="false" ht="15" hidden="false" customHeight="false" outlineLevel="0" collapsed="false">
      <c r="F1182" s="41" t="str">
        <f aca="false">IF(E1182="","",IFERROR(VLOOKUP(E1182,Assumptions!$G$5:$H$16,2,0),"Other"))</f>
        <v/>
      </c>
      <c r="J1182" s="41" t="str">
        <f aca="false">IF(G1182="","",IFERROR(IF(ISNUMBER(SEARCH(Assumptions!$C$5,G1182)),Assumptions!$D$5,IF(ISNUMBER(SEARCH(Assumptions!$C$6,G1182)),Assumptions!$D$6,IF(ISNUMBER(SEARCH(Assumptions!$C$7,G1182)),Assumptions!$D$7,"Other Services"))),"Other Services"))</f>
        <v/>
      </c>
    </row>
    <row r="1183" customFormat="false" ht="15" hidden="false" customHeight="false" outlineLevel="0" collapsed="false">
      <c r="F1183" s="41" t="str">
        <f aca="false">IF(E1183="","",IFERROR(VLOOKUP(E1183,Assumptions!$G$5:$H$16,2,0),"Other"))</f>
        <v/>
      </c>
      <c r="J1183" s="41" t="str">
        <f aca="false">IF(G1183="","",IFERROR(IF(ISNUMBER(SEARCH(Assumptions!$C$5,G1183)),Assumptions!$D$5,IF(ISNUMBER(SEARCH(Assumptions!$C$6,G1183)),Assumptions!$D$6,IF(ISNUMBER(SEARCH(Assumptions!$C$7,G1183)),Assumptions!$D$7,"Other Services"))),"Other Services"))</f>
        <v/>
      </c>
    </row>
    <row r="1184" customFormat="false" ht="15" hidden="false" customHeight="false" outlineLevel="0" collapsed="false">
      <c r="F1184" s="41" t="str">
        <f aca="false">IF(E1184="","",IFERROR(VLOOKUP(E1184,Assumptions!$G$5:$H$16,2,0),"Other"))</f>
        <v/>
      </c>
      <c r="J1184" s="41" t="str">
        <f aca="false">IF(G1184="","",IFERROR(IF(ISNUMBER(SEARCH(Assumptions!$C$5,G1184)),Assumptions!$D$5,IF(ISNUMBER(SEARCH(Assumptions!$C$6,G1184)),Assumptions!$D$6,IF(ISNUMBER(SEARCH(Assumptions!$C$7,G1184)),Assumptions!$D$7,"Other Services"))),"Other Services"))</f>
        <v/>
      </c>
    </row>
    <row r="1185" customFormat="false" ht="15" hidden="false" customHeight="false" outlineLevel="0" collapsed="false">
      <c r="F1185" s="41" t="str">
        <f aca="false">IF(E1185="","",IFERROR(VLOOKUP(E1185,Assumptions!$G$5:$H$16,2,0),"Other"))</f>
        <v/>
      </c>
      <c r="J1185" s="41" t="str">
        <f aca="false">IF(G1185="","",IFERROR(IF(ISNUMBER(SEARCH(Assumptions!$C$5,G1185)),Assumptions!$D$5,IF(ISNUMBER(SEARCH(Assumptions!$C$6,G1185)),Assumptions!$D$6,IF(ISNUMBER(SEARCH(Assumptions!$C$7,G1185)),Assumptions!$D$7,"Other Services"))),"Other Services"))</f>
        <v/>
      </c>
    </row>
    <row r="1186" customFormat="false" ht="15" hidden="false" customHeight="false" outlineLevel="0" collapsed="false">
      <c r="F1186" s="41" t="str">
        <f aca="false">IF(E1186="","",IFERROR(VLOOKUP(E1186,Assumptions!$G$5:$H$16,2,0),"Other"))</f>
        <v/>
      </c>
      <c r="J1186" s="41" t="str">
        <f aca="false">IF(G1186="","",IFERROR(IF(ISNUMBER(SEARCH(Assumptions!$C$5,G1186)),Assumptions!$D$5,IF(ISNUMBER(SEARCH(Assumptions!$C$6,G1186)),Assumptions!$D$6,IF(ISNUMBER(SEARCH(Assumptions!$C$7,G1186)),Assumptions!$D$7,"Other Services"))),"Other Services"))</f>
        <v/>
      </c>
    </row>
    <row r="1187" customFormat="false" ht="15" hidden="false" customHeight="false" outlineLevel="0" collapsed="false">
      <c r="F1187" s="41" t="str">
        <f aca="false">IF(E1187="","",IFERROR(VLOOKUP(E1187,Assumptions!$G$5:$H$16,2,0),"Other"))</f>
        <v/>
      </c>
      <c r="J1187" s="41" t="str">
        <f aca="false">IF(G1187="","",IFERROR(IF(ISNUMBER(SEARCH(Assumptions!$C$5,G1187)),Assumptions!$D$5,IF(ISNUMBER(SEARCH(Assumptions!$C$6,G1187)),Assumptions!$D$6,IF(ISNUMBER(SEARCH(Assumptions!$C$7,G1187)),Assumptions!$D$7,"Other Services"))),"Other Services"))</f>
        <v/>
      </c>
    </row>
    <row r="1188" customFormat="false" ht="15" hidden="false" customHeight="false" outlineLevel="0" collapsed="false">
      <c r="F1188" s="41" t="str">
        <f aca="false">IF(E1188="","",IFERROR(VLOOKUP(E1188,Assumptions!$G$5:$H$16,2,0),"Other"))</f>
        <v/>
      </c>
      <c r="J1188" s="41" t="str">
        <f aca="false">IF(G1188="","",IFERROR(IF(ISNUMBER(SEARCH(Assumptions!$C$5,G1188)),Assumptions!$D$5,IF(ISNUMBER(SEARCH(Assumptions!$C$6,G1188)),Assumptions!$D$6,IF(ISNUMBER(SEARCH(Assumptions!$C$7,G1188)),Assumptions!$D$7,"Other Services"))),"Other Services"))</f>
        <v/>
      </c>
    </row>
    <row r="1189" customFormat="false" ht="15" hidden="false" customHeight="false" outlineLevel="0" collapsed="false">
      <c r="F1189" s="41" t="str">
        <f aca="false">IF(E1189="","",IFERROR(VLOOKUP(E1189,Assumptions!$G$5:$H$16,2,0),"Other"))</f>
        <v/>
      </c>
      <c r="J1189" s="41" t="str">
        <f aca="false">IF(G1189="","",IFERROR(IF(ISNUMBER(SEARCH(Assumptions!$C$5,G1189)),Assumptions!$D$5,IF(ISNUMBER(SEARCH(Assumptions!$C$6,G1189)),Assumptions!$D$6,IF(ISNUMBER(SEARCH(Assumptions!$C$7,G1189)),Assumptions!$D$7,"Other Services"))),"Other Services"))</f>
        <v/>
      </c>
    </row>
    <row r="1190" customFormat="false" ht="15" hidden="false" customHeight="false" outlineLevel="0" collapsed="false">
      <c r="F1190" s="41" t="str">
        <f aca="false">IF(E1190="","",IFERROR(VLOOKUP(E1190,Assumptions!$G$5:$H$16,2,0),"Other"))</f>
        <v/>
      </c>
      <c r="J1190" s="41" t="str">
        <f aca="false">IF(G1190="","",IFERROR(IF(ISNUMBER(SEARCH(Assumptions!$C$5,G1190)),Assumptions!$D$5,IF(ISNUMBER(SEARCH(Assumptions!$C$6,G1190)),Assumptions!$D$6,IF(ISNUMBER(SEARCH(Assumptions!$C$7,G1190)),Assumptions!$D$7,"Other Services"))),"Other Services"))</f>
        <v/>
      </c>
    </row>
    <row r="1191" customFormat="false" ht="15" hidden="false" customHeight="false" outlineLevel="0" collapsed="false">
      <c r="F1191" s="41" t="str">
        <f aca="false">IF(E1191="","",IFERROR(VLOOKUP(E1191,Assumptions!$G$5:$H$16,2,0),"Other"))</f>
        <v/>
      </c>
      <c r="J1191" s="41" t="str">
        <f aca="false">IF(G1191="","",IFERROR(IF(ISNUMBER(SEARCH(Assumptions!$C$5,G1191)),Assumptions!$D$5,IF(ISNUMBER(SEARCH(Assumptions!$C$6,G1191)),Assumptions!$D$6,IF(ISNUMBER(SEARCH(Assumptions!$C$7,G1191)),Assumptions!$D$7,"Other Services"))),"Other Services"))</f>
        <v/>
      </c>
    </row>
    <row r="1192" customFormat="false" ht="15" hidden="false" customHeight="false" outlineLevel="0" collapsed="false">
      <c r="F1192" s="41" t="str">
        <f aca="false">IF(E1192="","",IFERROR(VLOOKUP(E1192,Assumptions!$G$5:$H$16,2,0),"Other"))</f>
        <v/>
      </c>
      <c r="J1192" s="41" t="str">
        <f aca="false">IF(G1192="","",IFERROR(IF(ISNUMBER(SEARCH(Assumptions!$C$5,G1192)),Assumptions!$D$5,IF(ISNUMBER(SEARCH(Assumptions!$C$6,G1192)),Assumptions!$D$6,IF(ISNUMBER(SEARCH(Assumptions!$C$7,G1192)),Assumptions!$D$7,"Other Services"))),"Other Services"))</f>
        <v/>
      </c>
    </row>
    <row r="1193" customFormat="false" ht="15" hidden="false" customHeight="false" outlineLevel="0" collapsed="false">
      <c r="F1193" s="41" t="str">
        <f aca="false">IF(E1193="","",IFERROR(VLOOKUP(E1193,Assumptions!$G$5:$H$16,2,0),"Other"))</f>
        <v/>
      </c>
      <c r="J1193" s="41" t="str">
        <f aca="false">IF(G1193="","",IFERROR(IF(ISNUMBER(SEARCH(Assumptions!$C$5,G1193)),Assumptions!$D$5,IF(ISNUMBER(SEARCH(Assumptions!$C$6,G1193)),Assumptions!$D$6,IF(ISNUMBER(SEARCH(Assumptions!$C$7,G1193)),Assumptions!$D$7,"Other Services"))),"Other Services"))</f>
        <v/>
      </c>
    </row>
    <row r="1194" customFormat="false" ht="15" hidden="false" customHeight="false" outlineLevel="0" collapsed="false">
      <c r="F1194" s="41" t="str">
        <f aca="false">IF(E1194="","",IFERROR(VLOOKUP(E1194,Assumptions!$G$5:$H$16,2,0),"Other"))</f>
        <v/>
      </c>
      <c r="J1194" s="41" t="str">
        <f aca="false">IF(G1194="","",IFERROR(IF(ISNUMBER(SEARCH(Assumptions!$C$5,G1194)),Assumptions!$D$5,IF(ISNUMBER(SEARCH(Assumptions!$C$6,G1194)),Assumptions!$D$6,IF(ISNUMBER(SEARCH(Assumptions!$C$7,G1194)),Assumptions!$D$7,"Other Services"))),"Other Services"))</f>
        <v/>
      </c>
    </row>
    <row r="1195" customFormat="false" ht="15" hidden="false" customHeight="false" outlineLevel="0" collapsed="false">
      <c r="F1195" s="41" t="str">
        <f aca="false">IF(E1195="","",IFERROR(VLOOKUP(E1195,Assumptions!$G$5:$H$16,2,0),"Other"))</f>
        <v/>
      </c>
      <c r="J1195" s="41" t="str">
        <f aca="false">IF(G1195="","",IFERROR(IF(ISNUMBER(SEARCH(Assumptions!$C$5,G1195)),Assumptions!$D$5,IF(ISNUMBER(SEARCH(Assumptions!$C$6,G1195)),Assumptions!$D$6,IF(ISNUMBER(SEARCH(Assumptions!$C$7,G1195)),Assumptions!$D$7,"Other Services"))),"Other Services"))</f>
        <v/>
      </c>
    </row>
    <row r="1196" customFormat="false" ht="15" hidden="false" customHeight="false" outlineLevel="0" collapsed="false">
      <c r="F1196" s="41" t="str">
        <f aca="false">IF(E1196="","",IFERROR(VLOOKUP(E1196,Assumptions!$G$5:$H$16,2,0),"Other"))</f>
        <v/>
      </c>
      <c r="J1196" s="41" t="str">
        <f aca="false">IF(G1196="","",IFERROR(IF(ISNUMBER(SEARCH(Assumptions!$C$5,G1196)),Assumptions!$D$5,IF(ISNUMBER(SEARCH(Assumptions!$C$6,G1196)),Assumptions!$D$6,IF(ISNUMBER(SEARCH(Assumptions!$C$7,G1196)),Assumptions!$D$7,"Other Services"))),"Other Services"))</f>
        <v/>
      </c>
    </row>
    <row r="1197" customFormat="false" ht="15" hidden="false" customHeight="false" outlineLevel="0" collapsed="false">
      <c r="F1197" s="41" t="str">
        <f aca="false">IF(E1197="","",IFERROR(VLOOKUP(E1197,Assumptions!$G$5:$H$16,2,0),"Other"))</f>
        <v/>
      </c>
      <c r="J1197" s="41" t="str">
        <f aca="false">IF(G1197="","",IFERROR(IF(ISNUMBER(SEARCH(Assumptions!$C$5,G1197)),Assumptions!$D$5,IF(ISNUMBER(SEARCH(Assumptions!$C$6,G1197)),Assumptions!$D$6,IF(ISNUMBER(SEARCH(Assumptions!$C$7,G1197)),Assumptions!$D$7,"Other Services"))),"Other Services"))</f>
        <v/>
      </c>
    </row>
    <row r="1198" customFormat="false" ht="15" hidden="false" customHeight="false" outlineLevel="0" collapsed="false">
      <c r="F1198" s="41" t="str">
        <f aca="false">IF(E1198="","",IFERROR(VLOOKUP(E1198,Assumptions!$G$5:$H$16,2,0),"Other"))</f>
        <v/>
      </c>
      <c r="J1198" s="41" t="str">
        <f aca="false">IF(G1198="","",IFERROR(IF(ISNUMBER(SEARCH(Assumptions!$C$5,G1198)),Assumptions!$D$5,IF(ISNUMBER(SEARCH(Assumptions!$C$6,G1198)),Assumptions!$D$6,IF(ISNUMBER(SEARCH(Assumptions!$C$7,G1198)),Assumptions!$D$7,"Other Services"))),"Other Services"))</f>
        <v/>
      </c>
    </row>
    <row r="1199" customFormat="false" ht="15" hidden="false" customHeight="false" outlineLevel="0" collapsed="false">
      <c r="F1199" s="41" t="str">
        <f aca="false">IF(E1199="","",IFERROR(VLOOKUP(E1199,Assumptions!$G$5:$H$16,2,0),"Other"))</f>
        <v/>
      </c>
      <c r="J1199" s="41" t="str">
        <f aca="false">IF(G1199="","",IFERROR(IF(ISNUMBER(SEARCH(Assumptions!$C$5,G1199)),Assumptions!$D$5,IF(ISNUMBER(SEARCH(Assumptions!$C$6,G1199)),Assumptions!$D$6,IF(ISNUMBER(SEARCH(Assumptions!$C$7,G1199)),Assumptions!$D$7,"Other Services"))),"Other Services"))</f>
        <v/>
      </c>
    </row>
    <row r="1200" customFormat="false" ht="15" hidden="false" customHeight="false" outlineLevel="0" collapsed="false">
      <c r="F1200" s="41" t="str">
        <f aca="false">IF(E1200="","",IFERROR(VLOOKUP(E1200,Assumptions!$G$5:$H$16,2,0),"Other"))</f>
        <v/>
      </c>
      <c r="J1200" s="41" t="str">
        <f aca="false">IF(G1200="","",IFERROR(IF(ISNUMBER(SEARCH(Assumptions!$C$5,G1200)),Assumptions!$D$5,IF(ISNUMBER(SEARCH(Assumptions!$C$6,G1200)),Assumptions!$D$6,IF(ISNUMBER(SEARCH(Assumptions!$C$7,G1200)),Assumptions!$D$7,"Other Services"))),"Other Services"))</f>
        <v/>
      </c>
    </row>
    <row r="1201" customFormat="false" ht="15" hidden="false" customHeight="false" outlineLevel="0" collapsed="false">
      <c r="F1201" s="41" t="str">
        <f aca="false">IF(E1201="","",IFERROR(VLOOKUP(E1201,Assumptions!$G$5:$H$16,2,0),"Other"))</f>
        <v/>
      </c>
      <c r="J1201" s="41" t="str">
        <f aca="false">IF(G1201="","",IFERROR(IF(ISNUMBER(SEARCH(Assumptions!$C$5,G1201)),Assumptions!$D$5,IF(ISNUMBER(SEARCH(Assumptions!$C$6,G1201)),Assumptions!$D$6,IF(ISNUMBER(SEARCH(Assumptions!$C$7,G1201)),Assumptions!$D$7,"Other Services"))),"Other Services"))</f>
        <v/>
      </c>
    </row>
    <row r="1202" customFormat="false" ht="15" hidden="false" customHeight="false" outlineLevel="0" collapsed="false">
      <c r="F1202" s="41" t="str">
        <f aca="false">IF(E1202="","",IFERROR(VLOOKUP(E1202,Assumptions!$G$5:$H$16,2,0),"Other"))</f>
        <v/>
      </c>
      <c r="J1202" s="41" t="str">
        <f aca="false">IF(G1202="","",IFERROR(IF(ISNUMBER(SEARCH(Assumptions!$C$5,G1202)),Assumptions!$D$5,IF(ISNUMBER(SEARCH(Assumptions!$C$6,G1202)),Assumptions!$D$6,IF(ISNUMBER(SEARCH(Assumptions!$C$7,G1202)),Assumptions!$D$7,"Other Services"))),"Other Services"))</f>
        <v/>
      </c>
    </row>
    <row r="1203" customFormat="false" ht="15" hidden="false" customHeight="false" outlineLevel="0" collapsed="false">
      <c r="F1203" s="41" t="str">
        <f aca="false">IF(E1203="","",IFERROR(VLOOKUP(E1203,Assumptions!$G$5:$H$16,2,0),"Other"))</f>
        <v/>
      </c>
      <c r="J1203" s="41" t="str">
        <f aca="false">IF(G1203="","",IFERROR(IF(ISNUMBER(SEARCH(Assumptions!$C$5,G1203)),Assumptions!$D$5,IF(ISNUMBER(SEARCH(Assumptions!$C$6,G1203)),Assumptions!$D$6,IF(ISNUMBER(SEARCH(Assumptions!$C$7,G1203)),Assumptions!$D$7,"Other Services"))),"Other Services"))</f>
        <v/>
      </c>
    </row>
    <row r="1204" customFormat="false" ht="15" hidden="false" customHeight="false" outlineLevel="0" collapsed="false">
      <c r="F1204" s="41" t="str">
        <f aca="false">IF(E1204="","",IFERROR(VLOOKUP(E1204,Assumptions!$G$5:$H$16,2,0),"Other"))</f>
        <v/>
      </c>
      <c r="J1204" s="41" t="str">
        <f aca="false">IF(G1204="","",IFERROR(IF(ISNUMBER(SEARCH(Assumptions!$C$5,G1204)),Assumptions!$D$5,IF(ISNUMBER(SEARCH(Assumptions!$C$6,G1204)),Assumptions!$D$6,IF(ISNUMBER(SEARCH(Assumptions!$C$7,G1204)),Assumptions!$D$7,"Other Services"))),"Other Services"))</f>
        <v/>
      </c>
    </row>
    <row r="1205" customFormat="false" ht="15" hidden="false" customHeight="false" outlineLevel="0" collapsed="false">
      <c r="F1205" s="41" t="str">
        <f aca="false">IF(E1205="","",IFERROR(VLOOKUP(E1205,Assumptions!$G$5:$H$16,2,0),"Other"))</f>
        <v/>
      </c>
      <c r="J1205" s="41" t="str">
        <f aca="false">IF(G1205="","",IFERROR(IF(ISNUMBER(SEARCH(Assumptions!$C$5,G1205)),Assumptions!$D$5,IF(ISNUMBER(SEARCH(Assumptions!$C$6,G1205)),Assumptions!$D$6,IF(ISNUMBER(SEARCH(Assumptions!$C$7,G1205)),Assumptions!$D$7,"Other Services"))),"Other Services"))</f>
        <v/>
      </c>
    </row>
    <row r="1206" customFormat="false" ht="15" hidden="false" customHeight="false" outlineLevel="0" collapsed="false">
      <c r="F1206" s="41" t="str">
        <f aca="false">IF(E1206="","",IFERROR(VLOOKUP(E1206,Assumptions!$G$5:$H$16,2,0),"Other"))</f>
        <v/>
      </c>
      <c r="J1206" s="41" t="str">
        <f aca="false">IF(G1206="","",IFERROR(IF(ISNUMBER(SEARCH(Assumptions!$C$5,G1206)),Assumptions!$D$5,IF(ISNUMBER(SEARCH(Assumptions!$C$6,G1206)),Assumptions!$D$6,IF(ISNUMBER(SEARCH(Assumptions!$C$7,G1206)),Assumptions!$D$7,"Other Services"))),"Other Services"))</f>
        <v/>
      </c>
    </row>
    <row r="1207" customFormat="false" ht="15" hidden="false" customHeight="false" outlineLevel="0" collapsed="false">
      <c r="F1207" s="41" t="str">
        <f aca="false">IF(E1207="","",IFERROR(VLOOKUP(E1207,Assumptions!$G$5:$H$16,2,0),"Other"))</f>
        <v/>
      </c>
      <c r="J1207" s="41" t="str">
        <f aca="false">IF(G1207="","",IFERROR(IF(ISNUMBER(SEARCH(Assumptions!$C$5,G1207)),Assumptions!$D$5,IF(ISNUMBER(SEARCH(Assumptions!$C$6,G1207)),Assumptions!$D$6,IF(ISNUMBER(SEARCH(Assumptions!$C$7,G1207)),Assumptions!$D$7,"Other Services"))),"Other Services"))</f>
        <v/>
      </c>
    </row>
    <row r="1208" customFormat="false" ht="15" hidden="false" customHeight="false" outlineLevel="0" collapsed="false">
      <c r="F1208" s="41" t="str">
        <f aca="false">IF(E1208="","",IFERROR(VLOOKUP(E1208,Assumptions!$G$5:$H$16,2,0),"Other"))</f>
        <v/>
      </c>
      <c r="J1208" s="41" t="str">
        <f aca="false">IF(G1208="","",IFERROR(IF(ISNUMBER(SEARCH(Assumptions!$C$5,G1208)),Assumptions!$D$5,IF(ISNUMBER(SEARCH(Assumptions!$C$6,G1208)),Assumptions!$D$6,IF(ISNUMBER(SEARCH(Assumptions!$C$7,G1208)),Assumptions!$D$7,"Other Services"))),"Other Services"))</f>
        <v/>
      </c>
    </row>
    <row r="1209" customFormat="false" ht="15" hidden="false" customHeight="false" outlineLevel="0" collapsed="false">
      <c r="F1209" s="41" t="str">
        <f aca="false">IF(E1209="","",IFERROR(VLOOKUP(E1209,Assumptions!$G$5:$H$16,2,0),"Other"))</f>
        <v/>
      </c>
      <c r="J1209" s="41" t="str">
        <f aca="false">IF(G1209="","",IFERROR(IF(ISNUMBER(SEARCH(Assumptions!$C$5,G1209)),Assumptions!$D$5,IF(ISNUMBER(SEARCH(Assumptions!$C$6,G1209)),Assumptions!$D$6,IF(ISNUMBER(SEARCH(Assumptions!$C$7,G1209)),Assumptions!$D$7,"Other Services"))),"Other Services"))</f>
        <v/>
      </c>
    </row>
    <row r="1210" customFormat="false" ht="15" hidden="false" customHeight="false" outlineLevel="0" collapsed="false">
      <c r="F1210" s="41" t="str">
        <f aca="false">IF(E1210="","",IFERROR(VLOOKUP(E1210,Assumptions!$G$5:$H$16,2,0),"Other"))</f>
        <v/>
      </c>
      <c r="J1210" s="41" t="str">
        <f aca="false">IF(G1210="","",IFERROR(IF(ISNUMBER(SEARCH(Assumptions!$C$5,G1210)),Assumptions!$D$5,IF(ISNUMBER(SEARCH(Assumptions!$C$6,G1210)),Assumptions!$D$6,IF(ISNUMBER(SEARCH(Assumptions!$C$7,G1210)),Assumptions!$D$7,"Other Services"))),"Other Services"))</f>
        <v/>
      </c>
    </row>
    <row r="1211" customFormat="false" ht="15" hidden="false" customHeight="false" outlineLevel="0" collapsed="false">
      <c r="F1211" s="41" t="str">
        <f aca="false">IF(E1211="","",IFERROR(VLOOKUP(E1211,Assumptions!$G$5:$H$16,2,0),"Other"))</f>
        <v/>
      </c>
      <c r="J1211" s="41" t="str">
        <f aca="false">IF(G1211="","",IFERROR(IF(ISNUMBER(SEARCH(Assumptions!$C$5,G1211)),Assumptions!$D$5,IF(ISNUMBER(SEARCH(Assumptions!$C$6,G1211)),Assumptions!$D$6,IF(ISNUMBER(SEARCH(Assumptions!$C$7,G1211)),Assumptions!$D$7,"Other Services"))),"Other Services"))</f>
        <v/>
      </c>
    </row>
    <row r="1212" customFormat="false" ht="15" hidden="false" customHeight="false" outlineLevel="0" collapsed="false">
      <c r="F1212" s="41" t="str">
        <f aca="false">IF(E1212="","",IFERROR(VLOOKUP(E1212,Assumptions!$G$5:$H$16,2,0),"Other"))</f>
        <v/>
      </c>
      <c r="J1212" s="41" t="str">
        <f aca="false">IF(G1212="","",IFERROR(IF(ISNUMBER(SEARCH(Assumptions!$C$5,G1212)),Assumptions!$D$5,IF(ISNUMBER(SEARCH(Assumptions!$C$6,G1212)),Assumptions!$D$6,IF(ISNUMBER(SEARCH(Assumptions!$C$7,G1212)),Assumptions!$D$7,"Other Services"))),"Other Services"))</f>
        <v/>
      </c>
    </row>
    <row r="1213" customFormat="false" ht="15" hidden="false" customHeight="false" outlineLevel="0" collapsed="false">
      <c r="F1213" s="41" t="str">
        <f aca="false">IF(E1213="","",IFERROR(VLOOKUP(E1213,Assumptions!$G$5:$H$16,2,0),"Other"))</f>
        <v/>
      </c>
      <c r="J1213" s="41" t="str">
        <f aca="false">IF(G1213="","",IFERROR(IF(ISNUMBER(SEARCH(Assumptions!$C$5,G1213)),Assumptions!$D$5,IF(ISNUMBER(SEARCH(Assumptions!$C$6,G1213)),Assumptions!$D$6,IF(ISNUMBER(SEARCH(Assumptions!$C$7,G1213)),Assumptions!$D$7,"Other Services"))),"Other Services"))</f>
        <v/>
      </c>
    </row>
    <row r="1214" customFormat="false" ht="15" hidden="false" customHeight="false" outlineLevel="0" collapsed="false">
      <c r="F1214" s="41" t="str">
        <f aca="false">IF(E1214="","",IFERROR(VLOOKUP(E1214,Assumptions!$G$5:$H$16,2,0),"Other"))</f>
        <v/>
      </c>
      <c r="J1214" s="41" t="str">
        <f aca="false">IF(G1214="","",IFERROR(IF(ISNUMBER(SEARCH(Assumptions!$C$5,G1214)),Assumptions!$D$5,IF(ISNUMBER(SEARCH(Assumptions!$C$6,G1214)),Assumptions!$D$6,IF(ISNUMBER(SEARCH(Assumptions!$C$7,G1214)),Assumptions!$D$7,"Other Services"))),"Other Services"))</f>
        <v/>
      </c>
    </row>
    <row r="1215" customFormat="false" ht="15" hidden="false" customHeight="false" outlineLevel="0" collapsed="false">
      <c r="F1215" s="41" t="str">
        <f aca="false">IF(E1215="","",IFERROR(VLOOKUP(E1215,Assumptions!$G$5:$H$16,2,0),"Other"))</f>
        <v/>
      </c>
      <c r="J1215" s="41" t="str">
        <f aca="false">IF(G1215="","",IFERROR(IF(ISNUMBER(SEARCH(Assumptions!$C$5,G1215)),Assumptions!$D$5,IF(ISNUMBER(SEARCH(Assumptions!$C$6,G1215)),Assumptions!$D$6,IF(ISNUMBER(SEARCH(Assumptions!$C$7,G1215)),Assumptions!$D$7,"Other Services"))),"Other Services"))</f>
        <v/>
      </c>
    </row>
    <row r="1216" customFormat="false" ht="15" hidden="false" customHeight="false" outlineLevel="0" collapsed="false">
      <c r="F1216" s="41" t="str">
        <f aca="false">IF(E1216="","",IFERROR(VLOOKUP(E1216,Assumptions!$G$5:$H$16,2,0),"Other"))</f>
        <v/>
      </c>
      <c r="J1216" s="41" t="str">
        <f aca="false">IF(G1216="","",IFERROR(IF(ISNUMBER(SEARCH(Assumptions!$C$5,G1216)),Assumptions!$D$5,IF(ISNUMBER(SEARCH(Assumptions!$C$6,G1216)),Assumptions!$D$6,IF(ISNUMBER(SEARCH(Assumptions!$C$7,G1216)),Assumptions!$D$7,"Other Services"))),"Other Services"))</f>
        <v/>
      </c>
    </row>
    <row r="1217" customFormat="false" ht="15" hidden="false" customHeight="false" outlineLevel="0" collapsed="false">
      <c r="F1217" s="41" t="str">
        <f aca="false">IF(E1217="","",IFERROR(VLOOKUP(E1217,Assumptions!$G$5:$H$16,2,0),"Other"))</f>
        <v/>
      </c>
      <c r="J1217" s="41" t="str">
        <f aca="false">IF(G1217="","",IFERROR(IF(ISNUMBER(SEARCH(Assumptions!$C$5,G1217)),Assumptions!$D$5,IF(ISNUMBER(SEARCH(Assumptions!$C$6,G1217)),Assumptions!$D$6,IF(ISNUMBER(SEARCH(Assumptions!$C$7,G1217)),Assumptions!$D$7,"Other Services"))),"Other Services"))</f>
        <v/>
      </c>
    </row>
    <row r="1218" customFormat="false" ht="15" hidden="false" customHeight="false" outlineLevel="0" collapsed="false">
      <c r="F1218" s="41" t="str">
        <f aca="false">IF(E1218="","",IFERROR(VLOOKUP(E1218,Assumptions!$G$5:$H$16,2,0),"Other"))</f>
        <v/>
      </c>
      <c r="J1218" s="41" t="str">
        <f aca="false">IF(G1218="","",IFERROR(IF(ISNUMBER(SEARCH(Assumptions!$C$5,G1218)),Assumptions!$D$5,IF(ISNUMBER(SEARCH(Assumptions!$C$6,G1218)),Assumptions!$D$6,IF(ISNUMBER(SEARCH(Assumptions!$C$7,G1218)),Assumptions!$D$7,"Other Services"))),"Other Services"))</f>
        <v/>
      </c>
    </row>
    <row r="1219" customFormat="false" ht="15" hidden="false" customHeight="false" outlineLevel="0" collapsed="false">
      <c r="F1219" s="41" t="str">
        <f aca="false">IF(E1219="","",IFERROR(VLOOKUP(E1219,Assumptions!$G$5:$H$16,2,0),"Other"))</f>
        <v/>
      </c>
      <c r="J1219" s="41" t="str">
        <f aca="false">IF(G1219="","",IFERROR(IF(ISNUMBER(SEARCH(Assumptions!$C$5,G1219)),Assumptions!$D$5,IF(ISNUMBER(SEARCH(Assumptions!$C$6,G1219)),Assumptions!$D$6,IF(ISNUMBER(SEARCH(Assumptions!$C$7,G1219)),Assumptions!$D$7,"Other Services"))),"Other Services"))</f>
        <v/>
      </c>
    </row>
    <row r="1220" customFormat="false" ht="15" hidden="false" customHeight="false" outlineLevel="0" collapsed="false">
      <c r="F1220" s="41" t="str">
        <f aca="false">IF(E1220="","",IFERROR(VLOOKUP(E1220,Assumptions!$G$5:$H$16,2,0),"Other"))</f>
        <v/>
      </c>
      <c r="J1220" s="41" t="str">
        <f aca="false">IF(G1220="","",IFERROR(IF(ISNUMBER(SEARCH(Assumptions!$C$5,G1220)),Assumptions!$D$5,IF(ISNUMBER(SEARCH(Assumptions!$C$6,G1220)),Assumptions!$D$6,IF(ISNUMBER(SEARCH(Assumptions!$C$7,G1220)),Assumptions!$D$7,"Other Services"))),"Other Services"))</f>
        <v/>
      </c>
    </row>
    <row r="1221" customFormat="false" ht="15" hidden="false" customHeight="false" outlineLevel="0" collapsed="false">
      <c r="F1221" s="41" t="str">
        <f aca="false">IF(E1221="","",IFERROR(VLOOKUP(E1221,Assumptions!$G$5:$H$16,2,0),"Other"))</f>
        <v/>
      </c>
      <c r="J1221" s="41" t="str">
        <f aca="false">IF(G1221="","",IFERROR(IF(ISNUMBER(SEARCH(Assumptions!$C$5,G1221)),Assumptions!$D$5,IF(ISNUMBER(SEARCH(Assumptions!$C$6,G1221)),Assumptions!$D$6,IF(ISNUMBER(SEARCH(Assumptions!$C$7,G1221)),Assumptions!$D$7,"Other Services"))),"Other Services"))</f>
        <v/>
      </c>
    </row>
    <row r="1222" customFormat="false" ht="15" hidden="false" customHeight="false" outlineLevel="0" collapsed="false">
      <c r="F1222" s="41" t="str">
        <f aca="false">IF(E1222="","",IFERROR(VLOOKUP(E1222,Assumptions!$G$5:$H$16,2,0),"Other"))</f>
        <v/>
      </c>
      <c r="J1222" s="41" t="str">
        <f aca="false">IF(G1222="","",IFERROR(IF(ISNUMBER(SEARCH(Assumptions!$C$5,G1222)),Assumptions!$D$5,IF(ISNUMBER(SEARCH(Assumptions!$C$6,G1222)),Assumptions!$D$6,IF(ISNUMBER(SEARCH(Assumptions!$C$7,G1222)),Assumptions!$D$7,"Other Services"))),"Other Services"))</f>
        <v/>
      </c>
    </row>
    <row r="1223" customFormat="false" ht="15" hidden="false" customHeight="false" outlineLevel="0" collapsed="false">
      <c r="F1223" s="41" t="str">
        <f aca="false">IF(E1223="","",IFERROR(VLOOKUP(E1223,Assumptions!$G$5:$H$16,2,0),"Other"))</f>
        <v/>
      </c>
      <c r="J1223" s="41" t="str">
        <f aca="false">IF(G1223="","",IFERROR(IF(ISNUMBER(SEARCH(Assumptions!$C$5,G1223)),Assumptions!$D$5,IF(ISNUMBER(SEARCH(Assumptions!$C$6,G1223)),Assumptions!$D$6,IF(ISNUMBER(SEARCH(Assumptions!$C$7,G1223)),Assumptions!$D$7,"Other Services"))),"Other Services"))</f>
        <v/>
      </c>
    </row>
    <row r="1224" customFormat="false" ht="15" hidden="false" customHeight="false" outlineLevel="0" collapsed="false">
      <c r="F1224" s="41" t="str">
        <f aca="false">IF(E1224="","",IFERROR(VLOOKUP(E1224,Assumptions!$G$5:$H$16,2,0),"Other"))</f>
        <v/>
      </c>
      <c r="J1224" s="41" t="str">
        <f aca="false">IF(G1224="","",IFERROR(IF(ISNUMBER(SEARCH(Assumptions!$C$5,G1224)),Assumptions!$D$5,IF(ISNUMBER(SEARCH(Assumptions!$C$6,G1224)),Assumptions!$D$6,IF(ISNUMBER(SEARCH(Assumptions!$C$7,G1224)),Assumptions!$D$7,"Other Services"))),"Other Services"))</f>
        <v/>
      </c>
    </row>
    <row r="1225" customFormat="false" ht="15" hidden="false" customHeight="false" outlineLevel="0" collapsed="false">
      <c r="F1225" s="41" t="str">
        <f aca="false">IF(E1225="","",IFERROR(VLOOKUP(E1225,Assumptions!$G$5:$H$16,2,0),"Other"))</f>
        <v/>
      </c>
      <c r="J1225" s="41" t="str">
        <f aca="false">IF(G1225="","",IFERROR(IF(ISNUMBER(SEARCH(Assumptions!$C$5,G1225)),Assumptions!$D$5,IF(ISNUMBER(SEARCH(Assumptions!$C$6,G1225)),Assumptions!$D$6,IF(ISNUMBER(SEARCH(Assumptions!$C$7,G1225)),Assumptions!$D$7,"Other Services"))),"Other Services"))</f>
        <v/>
      </c>
    </row>
    <row r="1226" customFormat="false" ht="15" hidden="false" customHeight="false" outlineLevel="0" collapsed="false">
      <c r="F1226" s="41" t="str">
        <f aca="false">IF(E1226="","",IFERROR(VLOOKUP(E1226,Assumptions!$G$5:$H$16,2,0),"Other"))</f>
        <v/>
      </c>
      <c r="J1226" s="41" t="str">
        <f aca="false">IF(G1226="","",IFERROR(IF(ISNUMBER(SEARCH(Assumptions!$C$5,G1226)),Assumptions!$D$5,IF(ISNUMBER(SEARCH(Assumptions!$C$6,G1226)),Assumptions!$D$6,IF(ISNUMBER(SEARCH(Assumptions!$C$7,G1226)),Assumptions!$D$7,"Other Services"))),"Other Services"))</f>
        <v/>
      </c>
    </row>
    <row r="1227" customFormat="false" ht="15" hidden="false" customHeight="false" outlineLevel="0" collapsed="false">
      <c r="F1227" s="41" t="str">
        <f aca="false">IF(E1227="","",IFERROR(VLOOKUP(E1227,Assumptions!$G$5:$H$16,2,0),"Other"))</f>
        <v/>
      </c>
      <c r="J1227" s="41" t="str">
        <f aca="false">IF(G1227="","",IFERROR(IF(ISNUMBER(SEARCH(Assumptions!$C$5,G1227)),Assumptions!$D$5,IF(ISNUMBER(SEARCH(Assumptions!$C$6,G1227)),Assumptions!$D$6,IF(ISNUMBER(SEARCH(Assumptions!$C$7,G1227)),Assumptions!$D$7,"Other Services"))),"Other Services"))</f>
        <v/>
      </c>
    </row>
    <row r="1228" customFormat="false" ht="15" hidden="false" customHeight="false" outlineLevel="0" collapsed="false">
      <c r="F1228" s="41" t="str">
        <f aca="false">IF(E1228="","",IFERROR(VLOOKUP(E1228,Assumptions!$G$5:$H$16,2,0),"Other"))</f>
        <v/>
      </c>
      <c r="J1228" s="41" t="str">
        <f aca="false">IF(G1228="","",IFERROR(IF(ISNUMBER(SEARCH(Assumptions!$C$5,G1228)),Assumptions!$D$5,IF(ISNUMBER(SEARCH(Assumptions!$C$6,G1228)),Assumptions!$D$6,IF(ISNUMBER(SEARCH(Assumptions!$C$7,G1228)),Assumptions!$D$7,"Other Services"))),"Other Services"))</f>
        <v/>
      </c>
    </row>
    <row r="1229" customFormat="false" ht="15" hidden="false" customHeight="false" outlineLevel="0" collapsed="false">
      <c r="F1229" s="41" t="str">
        <f aca="false">IF(E1229="","",IFERROR(VLOOKUP(E1229,Assumptions!$G$5:$H$16,2,0),"Other"))</f>
        <v/>
      </c>
      <c r="J1229" s="41" t="str">
        <f aca="false">IF(G1229="","",IFERROR(IF(ISNUMBER(SEARCH(Assumptions!$C$5,G1229)),Assumptions!$D$5,IF(ISNUMBER(SEARCH(Assumptions!$C$6,G1229)),Assumptions!$D$6,IF(ISNUMBER(SEARCH(Assumptions!$C$7,G1229)),Assumptions!$D$7,"Other Services"))),"Other Services"))</f>
        <v/>
      </c>
    </row>
    <row r="1230" customFormat="false" ht="15" hidden="false" customHeight="false" outlineLevel="0" collapsed="false">
      <c r="F1230" s="41" t="str">
        <f aca="false">IF(E1230="","",IFERROR(VLOOKUP(E1230,Assumptions!$G$5:$H$16,2,0),"Other"))</f>
        <v/>
      </c>
      <c r="J1230" s="41" t="str">
        <f aca="false">IF(G1230="","",IFERROR(IF(ISNUMBER(SEARCH(Assumptions!$C$5,G1230)),Assumptions!$D$5,IF(ISNUMBER(SEARCH(Assumptions!$C$6,G1230)),Assumptions!$D$6,IF(ISNUMBER(SEARCH(Assumptions!$C$7,G1230)),Assumptions!$D$7,"Other Services"))),"Other Services"))</f>
        <v/>
      </c>
    </row>
    <row r="1231" customFormat="false" ht="15" hidden="false" customHeight="false" outlineLevel="0" collapsed="false">
      <c r="F1231" s="41" t="str">
        <f aca="false">IF(E1231="","",IFERROR(VLOOKUP(E1231,Assumptions!$G$5:$H$16,2,0),"Other"))</f>
        <v/>
      </c>
      <c r="J1231" s="41" t="str">
        <f aca="false">IF(G1231="","",IFERROR(IF(ISNUMBER(SEARCH(Assumptions!$C$5,G1231)),Assumptions!$D$5,IF(ISNUMBER(SEARCH(Assumptions!$C$6,G1231)),Assumptions!$D$6,IF(ISNUMBER(SEARCH(Assumptions!$C$7,G1231)),Assumptions!$D$7,"Other Services"))),"Other Services"))</f>
        <v/>
      </c>
    </row>
    <row r="1232" customFormat="false" ht="15" hidden="false" customHeight="false" outlineLevel="0" collapsed="false">
      <c r="F1232" s="41" t="str">
        <f aca="false">IF(E1232="","",IFERROR(VLOOKUP(E1232,Assumptions!$G$5:$H$16,2,0),"Other"))</f>
        <v/>
      </c>
      <c r="J1232" s="41" t="str">
        <f aca="false">IF(G1232="","",IFERROR(IF(ISNUMBER(SEARCH(Assumptions!$C$5,G1232)),Assumptions!$D$5,IF(ISNUMBER(SEARCH(Assumptions!$C$6,G1232)),Assumptions!$D$6,IF(ISNUMBER(SEARCH(Assumptions!$C$7,G1232)),Assumptions!$D$7,"Other Services"))),"Other Services"))</f>
        <v/>
      </c>
    </row>
    <row r="1233" customFormat="false" ht="15" hidden="false" customHeight="false" outlineLevel="0" collapsed="false">
      <c r="F1233" s="41" t="str">
        <f aca="false">IF(E1233="","",IFERROR(VLOOKUP(E1233,Assumptions!$G$5:$H$16,2,0),"Other"))</f>
        <v/>
      </c>
      <c r="J1233" s="41" t="str">
        <f aca="false">IF(G1233="","",IFERROR(IF(ISNUMBER(SEARCH(Assumptions!$C$5,G1233)),Assumptions!$D$5,IF(ISNUMBER(SEARCH(Assumptions!$C$6,G1233)),Assumptions!$D$6,IF(ISNUMBER(SEARCH(Assumptions!$C$7,G1233)),Assumptions!$D$7,"Other Services"))),"Other Services"))</f>
        <v/>
      </c>
    </row>
    <row r="1234" customFormat="false" ht="15" hidden="false" customHeight="false" outlineLevel="0" collapsed="false">
      <c r="F1234" s="41" t="str">
        <f aca="false">IF(E1234="","",IFERROR(VLOOKUP(E1234,Assumptions!$G$5:$H$16,2,0),"Other"))</f>
        <v/>
      </c>
      <c r="J1234" s="41" t="str">
        <f aca="false">IF(G1234="","",IFERROR(IF(ISNUMBER(SEARCH(Assumptions!$C$5,G1234)),Assumptions!$D$5,IF(ISNUMBER(SEARCH(Assumptions!$C$6,G1234)),Assumptions!$D$6,IF(ISNUMBER(SEARCH(Assumptions!$C$7,G1234)),Assumptions!$D$7,"Other Services"))),"Other Services"))</f>
        <v/>
      </c>
    </row>
    <row r="1235" customFormat="false" ht="15" hidden="false" customHeight="false" outlineLevel="0" collapsed="false">
      <c r="F1235" s="41" t="str">
        <f aca="false">IF(E1235="","",IFERROR(VLOOKUP(E1235,Assumptions!$G$5:$H$16,2,0),"Other"))</f>
        <v/>
      </c>
      <c r="J1235" s="41" t="str">
        <f aca="false">IF(G1235="","",IFERROR(IF(ISNUMBER(SEARCH(Assumptions!$C$5,G1235)),Assumptions!$D$5,IF(ISNUMBER(SEARCH(Assumptions!$C$6,G1235)),Assumptions!$D$6,IF(ISNUMBER(SEARCH(Assumptions!$C$7,G1235)),Assumptions!$D$7,"Other Services"))),"Other Services"))</f>
        <v/>
      </c>
    </row>
    <row r="1236" customFormat="false" ht="15" hidden="false" customHeight="false" outlineLevel="0" collapsed="false">
      <c r="F1236" s="41" t="str">
        <f aca="false">IF(E1236="","",IFERROR(VLOOKUP(E1236,Assumptions!$G$5:$H$16,2,0),"Other"))</f>
        <v/>
      </c>
      <c r="J1236" s="41" t="str">
        <f aca="false">IF(G1236="","",IFERROR(IF(ISNUMBER(SEARCH(Assumptions!$C$5,G1236)),Assumptions!$D$5,IF(ISNUMBER(SEARCH(Assumptions!$C$6,G1236)),Assumptions!$D$6,IF(ISNUMBER(SEARCH(Assumptions!$C$7,G1236)),Assumptions!$D$7,"Other Services"))),"Other Services"))</f>
        <v/>
      </c>
    </row>
    <row r="1237" customFormat="false" ht="15" hidden="false" customHeight="false" outlineLevel="0" collapsed="false">
      <c r="F1237" s="41" t="str">
        <f aca="false">IF(E1237="","",IFERROR(VLOOKUP(E1237,Assumptions!$G$5:$H$16,2,0),"Other"))</f>
        <v/>
      </c>
      <c r="J1237" s="41" t="str">
        <f aca="false">IF(G1237="","",IFERROR(IF(ISNUMBER(SEARCH(Assumptions!$C$5,G1237)),Assumptions!$D$5,IF(ISNUMBER(SEARCH(Assumptions!$C$6,G1237)),Assumptions!$D$6,IF(ISNUMBER(SEARCH(Assumptions!$C$7,G1237)),Assumptions!$D$7,"Other Services"))),"Other Services"))</f>
        <v/>
      </c>
    </row>
    <row r="1238" customFormat="false" ht="15" hidden="false" customHeight="false" outlineLevel="0" collapsed="false">
      <c r="F1238" s="41" t="str">
        <f aca="false">IF(E1238="","",IFERROR(VLOOKUP(E1238,Assumptions!$G$5:$H$16,2,0),"Other"))</f>
        <v/>
      </c>
      <c r="J1238" s="41" t="str">
        <f aca="false">IF(G1238="","",IFERROR(IF(ISNUMBER(SEARCH(Assumptions!$C$5,G1238)),Assumptions!$D$5,IF(ISNUMBER(SEARCH(Assumptions!$C$6,G1238)),Assumptions!$D$6,IF(ISNUMBER(SEARCH(Assumptions!$C$7,G1238)),Assumptions!$D$7,"Other Services"))),"Other Services"))</f>
        <v/>
      </c>
    </row>
    <row r="1239" customFormat="false" ht="15" hidden="false" customHeight="false" outlineLevel="0" collapsed="false">
      <c r="F1239" s="41" t="str">
        <f aca="false">IF(E1239="","",IFERROR(VLOOKUP(E1239,Assumptions!$G$5:$H$16,2,0),"Other"))</f>
        <v/>
      </c>
      <c r="J1239" s="41" t="str">
        <f aca="false">IF(G1239="","",IFERROR(IF(ISNUMBER(SEARCH(Assumptions!$C$5,G1239)),Assumptions!$D$5,IF(ISNUMBER(SEARCH(Assumptions!$C$6,G1239)),Assumptions!$D$6,IF(ISNUMBER(SEARCH(Assumptions!$C$7,G1239)),Assumptions!$D$7,"Other Services"))),"Other Services"))</f>
        <v/>
      </c>
    </row>
    <row r="1240" customFormat="false" ht="15" hidden="false" customHeight="false" outlineLevel="0" collapsed="false">
      <c r="F1240" s="41" t="str">
        <f aca="false">IF(E1240="","",IFERROR(VLOOKUP(E1240,Assumptions!$G$5:$H$16,2,0),"Other"))</f>
        <v/>
      </c>
      <c r="J1240" s="41" t="str">
        <f aca="false">IF(G1240="","",IFERROR(IF(ISNUMBER(SEARCH(Assumptions!$C$5,G1240)),Assumptions!$D$5,IF(ISNUMBER(SEARCH(Assumptions!$C$6,G1240)),Assumptions!$D$6,IF(ISNUMBER(SEARCH(Assumptions!$C$7,G1240)),Assumptions!$D$7,"Other Services"))),"Other Services"))</f>
        <v/>
      </c>
    </row>
    <row r="1241" customFormat="false" ht="15" hidden="false" customHeight="false" outlineLevel="0" collapsed="false">
      <c r="F1241" s="41" t="str">
        <f aca="false">IF(E1241="","",IFERROR(VLOOKUP(E1241,Assumptions!$G$5:$H$16,2,0),"Other"))</f>
        <v/>
      </c>
      <c r="J1241" s="41" t="str">
        <f aca="false">IF(G1241="","",IFERROR(IF(ISNUMBER(SEARCH(Assumptions!$C$5,G1241)),Assumptions!$D$5,IF(ISNUMBER(SEARCH(Assumptions!$C$6,G1241)),Assumptions!$D$6,IF(ISNUMBER(SEARCH(Assumptions!$C$7,G1241)),Assumptions!$D$7,"Other Services"))),"Other Services"))</f>
        <v/>
      </c>
    </row>
    <row r="1242" customFormat="false" ht="15" hidden="false" customHeight="false" outlineLevel="0" collapsed="false">
      <c r="F1242" s="41" t="str">
        <f aca="false">IF(E1242="","",IFERROR(VLOOKUP(E1242,Assumptions!$G$5:$H$16,2,0),"Other"))</f>
        <v/>
      </c>
      <c r="J1242" s="41" t="str">
        <f aca="false">IF(G1242="","",IFERROR(IF(ISNUMBER(SEARCH(Assumptions!$C$5,G1242)),Assumptions!$D$5,IF(ISNUMBER(SEARCH(Assumptions!$C$6,G1242)),Assumptions!$D$6,IF(ISNUMBER(SEARCH(Assumptions!$C$7,G1242)),Assumptions!$D$7,"Other Services"))),"Other Services"))</f>
        <v/>
      </c>
    </row>
    <row r="1243" customFormat="false" ht="15" hidden="false" customHeight="false" outlineLevel="0" collapsed="false">
      <c r="F1243" s="41" t="str">
        <f aca="false">IF(E1243="","",IFERROR(VLOOKUP(E1243,Assumptions!$G$5:$H$16,2,0),"Other"))</f>
        <v/>
      </c>
      <c r="J1243" s="41" t="str">
        <f aca="false">IF(G1243="","",IFERROR(IF(ISNUMBER(SEARCH(Assumptions!$C$5,G1243)),Assumptions!$D$5,IF(ISNUMBER(SEARCH(Assumptions!$C$6,G1243)),Assumptions!$D$6,IF(ISNUMBER(SEARCH(Assumptions!$C$7,G1243)),Assumptions!$D$7,"Other Services"))),"Other Services"))</f>
        <v/>
      </c>
    </row>
    <row r="1244" customFormat="false" ht="15" hidden="false" customHeight="false" outlineLevel="0" collapsed="false">
      <c r="F1244" s="41" t="str">
        <f aca="false">IF(E1244="","",IFERROR(VLOOKUP(E1244,Assumptions!$G$5:$H$16,2,0),"Other"))</f>
        <v/>
      </c>
      <c r="J1244" s="41" t="str">
        <f aca="false">IF(G1244="","",IFERROR(IF(ISNUMBER(SEARCH(Assumptions!$C$5,G1244)),Assumptions!$D$5,IF(ISNUMBER(SEARCH(Assumptions!$C$6,G1244)),Assumptions!$D$6,IF(ISNUMBER(SEARCH(Assumptions!$C$7,G1244)),Assumptions!$D$7,"Other Services"))),"Other Services"))</f>
        <v/>
      </c>
    </row>
    <row r="1245" customFormat="false" ht="15" hidden="false" customHeight="false" outlineLevel="0" collapsed="false">
      <c r="F1245" s="41" t="str">
        <f aca="false">IF(E1245="","",IFERROR(VLOOKUP(E1245,Assumptions!$G$5:$H$16,2,0),"Other"))</f>
        <v/>
      </c>
      <c r="J1245" s="41" t="str">
        <f aca="false">IF(G1245="","",IFERROR(IF(ISNUMBER(SEARCH(Assumptions!$C$5,G1245)),Assumptions!$D$5,IF(ISNUMBER(SEARCH(Assumptions!$C$6,G1245)),Assumptions!$D$6,IF(ISNUMBER(SEARCH(Assumptions!$C$7,G1245)),Assumptions!$D$7,"Other Services"))),"Other Services"))</f>
        <v/>
      </c>
    </row>
    <row r="1246" customFormat="false" ht="15" hidden="false" customHeight="false" outlineLevel="0" collapsed="false">
      <c r="F1246" s="41" t="str">
        <f aca="false">IF(E1246="","",IFERROR(VLOOKUP(E1246,Assumptions!$G$5:$H$16,2,0),"Other"))</f>
        <v/>
      </c>
      <c r="J1246" s="41" t="str">
        <f aca="false">IF(G1246="","",IFERROR(IF(ISNUMBER(SEARCH(Assumptions!$C$5,G1246)),Assumptions!$D$5,IF(ISNUMBER(SEARCH(Assumptions!$C$6,G1246)),Assumptions!$D$6,IF(ISNUMBER(SEARCH(Assumptions!$C$7,G1246)),Assumptions!$D$7,"Other Services"))),"Other Services"))</f>
        <v/>
      </c>
    </row>
    <row r="1247" customFormat="false" ht="15" hidden="false" customHeight="false" outlineLevel="0" collapsed="false">
      <c r="F1247" s="41" t="str">
        <f aca="false">IF(E1247="","",IFERROR(VLOOKUP(E1247,Assumptions!$G$5:$H$16,2,0),"Other"))</f>
        <v/>
      </c>
      <c r="J1247" s="41" t="str">
        <f aca="false">IF(G1247="","",IFERROR(IF(ISNUMBER(SEARCH(Assumptions!$C$5,G1247)),Assumptions!$D$5,IF(ISNUMBER(SEARCH(Assumptions!$C$6,G1247)),Assumptions!$D$6,IF(ISNUMBER(SEARCH(Assumptions!$C$7,G1247)),Assumptions!$D$7,"Other Services"))),"Other Services"))</f>
        <v/>
      </c>
    </row>
    <row r="1248" customFormat="false" ht="15" hidden="false" customHeight="false" outlineLevel="0" collapsed="false">
      <c r="F1248" s="41" t="str">
        <f aca="false">IF(E1248="","",IFERROR(VLOOKUP(E1248,Assumptions!$G$5:$H$16,2,0),"Other"))</f>
        <v/>
      </c>
      <c r="J1248" s="41" t="str">
        <f aca="false">IF(G1248="","",IFERROR(IF(ISNUMBER(SEARCH(Assumptions!$C$5,G1248)),Assumptions!$D$5,IF(ISNUMBER(SEARCH(Assumptions!$C$6,G1248)),Assumptions!$D$6,IF(ISNUMBER(SEARCH(Assumptions!$C$7,G1248)),Assumptions!$D$7,"Other Services"))),"Other Services"))</f>
        <v/>
      </c>
    </row>
    <row r="1249" customFormat="false" ht="15" hidden="false" customHeight="false" outlineLevel="0" collapsed="false">
      <c r="F1249" s="41" t="str">
        <f aca="false">IF(E1249="","",IFERROR(VLOOKUP(E1249,Assumptions!$G$5:$H$16,2,0),"Other"))</f>
        <v/>
      </c>
      <c r="J1249" s="41" t="str">
        <f aca="false">IF(G1249="","",IFERROR(IF(ISNUMBER(SEARCH(Assumptions!$C$5,G1249)),Assumptions!$D$5,IF(ISNUMBER(SEARCH(Assumptions!$C$6,G1249)),Assumptions!$D$6,IF(ISNUMBER(SEARCH(Assumptions!$C$7,G1249)),Assumptions!$D$7,"Other Services"))),"Other Services"))</f>
        <v/>
      </c>
    </row>
    <row r="1250" customFormat="false" ht="15" hidden="false" customHeight="false" outlineLevel="0" collapsed="false">
      <c r="F1250" s="41" t="str">
        <f aca="false">IF(E1250="","",IFERROR(VLOOKUP(E1250,Assumptions!$G$5:$H$16,2,0),"Other"))</f>
        <v/>
      </c>
      <c r="J1250" s="41" t="str">
        <f aca="false">IF(G1250="","",IFERROR(IF(ISNUMBER(SEARCH(Assumptions!$C$5,G1250)),Assumptions!$D$5,IF(ISNUMBER(SEARCH(Assumptions!$C$6,G1250)),Assumptions!$D$6,IF(ISNUMBER(SEARCH(Assumptions!$C$7,G1250)),Assumptions!$D$7,"Other Services"))),"Other Services"))</f>
        <v/>
      </c>
    </row>
    <row r="1251" customFormat="false" ht="15" hidden="false" customHeight="false" outlineLevel="0" collapsed="false">
      <c r="F1251" s="41" t="str">
        <f aca="false">IF(E1251="","",IFERROR(VLOOKUP(E1251,Assumptions!$G$5:$H$16,2,0),"Other"))</f>
        <v/>
      </c>
      <c r="J1251" s="41" t="str">
        <f aca="false">IF(G1251="","",IFERROR(IF(ISNUMBER(SEARCH(Assumptions!$C$5,G1251)),Assumptions!$D$5,IF(ISNUMBER(SEARCH(Assumptions!$C$6,G1251)),Assumptions!$D$6,IF(ISNUMBER(SEARCH(Assumptions!$C$7,G1251)),Assumptions!$D$7,"Other Services"))),"Other Services"))</f>
        <v/>
      </c>
    </row>
    <row r="1252" customFormat="false" ht="15" hidden="false" customHeight="false" outlineLevel="0" collapsed="false">
      <c r="F1252" s="41" t="str">
        <f aca="false">IF(E1252="","",IFERROR(VLOOKUP(E1252,Assumptions!$G$5:$H$16,2,0),"Other"))</f>
        <v/>
      </c>
      <c r="J1252" s="41" t="str">
        <f aca="false">IF(G1252="","",IFERROR(IF(ISNUMBER(SEARCH(Assumptions!$C$5,G1252)),Assumptions!$D$5,IF(ISNUMBER(SEARCH(Assumptions!$C$6,G1252)),Assumptions!$D$6,IF(ISNUMBER(SEARCH(Assumptions!$C$7,G1252)),Assumptions!$D$7,"Other Services"))),"Other Services"))</f>
        <v/>
      </c>
    </row>
    <row r="1253" customFormat="false" ht="15" hidden="false" customHeight="false" outlineLevel="0" collapsed="false">
      <c r="F1253" s="41" t="str">
        <f aca="false">IF(E1253="","",IFERROR(VLOOKUP(E1253,Assumptions!$G$5:$H$16,2,0),"Other"))</f>
        <v/>
      </c>
      <c r="J1253" s="41" t="str">
        <f aca="false">IF(G1253="","",IFERROR(IF(ISNUMBER(SEARCH(Assumptions!$C$5,G1253)),Assumptions!$D$5,IF(ISNUMBER(SEARCH(Assumptions!$C$6,G1253)),Assumptions!$D$6,IF(ISNUMBER(SEARCH(Assumptions!$C$7,G1253)),Assumptions!$D$7,"Other Services"))),"Other Services"))</f>
        <v/>
      </c>
    </row>
    <row r="1254" customFormat="false" ht="15" hidden="false" customHeight="false" outlineLevel="0" collapsed="false">
      <c r="F1254" s="41" t="str">
        <f aca="false">IF(E1254="","",IFERROR(VLOOKUP(E1254,Assumptions!$G$5:$H$16,2,0),"Other"))</f>
        <v/>
      </c>
      <c r="J1254" s="41" t="str">
        <f aca="false">IF(G1254="","",IFERROR(IF(ISNUMBER(SEARCH(Assumptions!$C$5,G1254)),Assumptions!$D$5,IF(ISNUMBER(SEARCH(Assumptions!$C$6,G1254)),Assumptions!$D$6,IF(ISNUMBER(SEARCH(Assumptions!$C$7,G1254)),Assumptions!$D$7,"Other Services"))),"Other Services"))</f>
        <v/>
      </c>
    </row>
    <row r="1255" customFormat="false" ht="15" hidden="false" customHeight="false" outlineLevel="0" collapsed="false">
      <c r="F1255" s="41" t="str">
        <f aca="false">IF(E1255="","",IFERROR(VLOOKUP(E1255,Assumptions!$G$5:$H$16,2,0),"Other"))</f>
        <v/>
      </c>
      <c r="J1255" s="41" t="str">
        <f aca="false">IF(G1255="","",IFERROR(IF(ISNUMBER(SEARCH(Assumptions!$C$5,G1255)),Assumptions!$D$5,IF(ISNUMBER(SEARCH(Assumptions!$C$6,G1255)),Assumptions!$D$6,IF(ISNUMBER(SEARCH(Assumptions!$C$7,G1255)),Assumptions!$D$7,"Other Services"))),"Other Services"))</f>
        <v/>
      </c>
    </row>
    <row r="1256" customFormat="false" ht="15" hidden="false" customHeight="false" outlineLevel="0" collapsed="false">
      <c r="F1256" s="41" t="str">
        <f aca="false">IF(E1256="","",IFERROR(VLOOKUP(E1256,Assumptions!$G$5:$H$16,2,0),"Other"))</f>
        <v/>
      </c>
      <c r="J1256" s="41" t="str">
        <f aca="false">IF(G1256="","",IFERROR(IF(ISNUMBER(SEARCH(Assumptions!$C$5,G1256)),Assumptions!$D$5,IF(ISNUMBER(SEARCH(Assumptions!$C$6,G1256)),Assumptions!$D$6,IF(ISNUMBER(SEARCH(Assumptions!$C$7,G1256)),Assumptions!$D$7,"Other Services"))),"Other Services"))</f>
        <v/>
      </c>
    </row>
    <row r="1257" customFormat="false" ht="15" hidden="false" customHeight="false" outlineLevel="0" collapsed="false">
      <c r="F1257" s="41" t="str">
        <f aca="false">IF(E1257="","",IFERROR(VLOOKUP(E1257,Assumptions!$G$5:$H$16,2,0),"Other"))</f>
        <v/>
      </c>
      <c r="J1257" s="41" t="str">
        <f aca="false">IF(G1257="","",IFERROR(IF(ISNUMBER(SEARCH(Assumptions!$C$5,G1257)),Assumptions!$D$5,IF(ISNUMBER(SEARCH(Assumptions!$C$6,G1257)),Assumptions!$D$6,IF(ISNUMBER(SEARCH(Assumptions!$C$7,G1257)),Assumptions!$D$7,"Other Services"))),"Other Services"))</f>
        <v/>
      </c>
    </row>
    <row r="1258" customFormat="false" ht="15" hidden="false" customHeight="false" outlineLevel="0" collapsed="false">
      <c r="F1258" s="41" t="str">
        <f aca="false">IF(E1258="","",IFERROR(VLOOKUP(E1258,Assumptions!$G$5:$H$16,2,0),"Other"))</f>
        <v/>
      </c>
      <c r="J1258" s="41" t="str">
        <f aca="false">IF(G1258="","",IFERROR(IF(ISNUMBER(SEARCH(Assumptions!$C$5,G1258)),Assumptions!$D$5,IF(ISNUMBER(SEARCH(Assumptions!$C$6,G1258)),Assumptions!$D$6,IF(ISNUMBER(SEARCH(Assumptions!$C$7,G1258)),Assumptions!$D$7,"Other Services"))),"Other Services"))</f>
        <v/>
      </c>
    </row>
    <row r="1259" customFormat="false" ht="15" hidden="false" customHeight="false" outlineLevel="0" collapsed="false">
      <c r="F1259" s="41" t="str">
        <f aca="false">IF(E1259="","",IFERROR(VLOOKUP(E1259,Assumptions!$G$5:$H$16,2,0),"Other"))</f>
        <v/>
      </c>
      <c r="J1259" s="41" t="str">
        <f aca="false">IF(G1259="","",IFERROR(IF(ISNUMBER(SEARCH(Assumptions!$C$5,G1259)),Assumptions!$D$5,IF(ISNUMBER(SEARCH(Assumptions!$C$6,G1259)),Assumptions!$D$6,IF(ISNUMBER(SEARCH(Assumptions!$C$7,G1259)),Assumptions!$D$7,"Other Services"))),"Other Services"))</f>
        <v/>
      </c>
    </row>
    <row r="1260" customFormat="false" ht="15" hidden="false" customHeight="false" outlineLevel="0" collapsed="false">
      <c r="F1260" s="41" t="str">
        <f aca="false">IF(E1260="","",IFERROR(VLOOKUP(E1260,Assumptions!$G$5:$H$16,2,0),"Other"))</f>
        <v/>
      </c>
      <c r="J1260" s="41" t="str">
        <f aca="false">IF(G1260="","",IFERROR(IF(ISNUMBER(SEARCH(Assumptions!$C$5,G1260)),Assumptions!$D$5,IF(ISNUMBER(SEARCH(Assumptions!$C$6,G1260)),Assumptions!$D$6,IF(ISNUMBER(SEARCH(Assumptions!$C$7,G1260)),Assumptions!$D$7,"Other Services"))),"Other Services"))</f>
        <v/>
      </c>
    </row>
    <row r="1261" customFormat="false" ht="15" hidden="false" customHeight="false" outlineLevel="0" collapsed="false">
      <c r="F1261" s="41" t="str">
        <f aca="false">IF(E1261="","",IFERROR(VLOOKUP(E1261,Assumptions!$G$5:$H$16,2,0),"Other"))</f>
        <v/>
      </c>
      <c r="J1261" s="41" t="str">
        <f aca="false">IF(G1261="","",IFERROR(IF(ISNUMBER(SEARCH(Assumptions!$C$5,G1261)),Assumptions!$D$5,IF(ISNUMBER(SEARCH(Assumptions!$C$6,G1261)),Assumptions!$D$6,IF(ISNUMBER(SEARCH(Assumptions!$C$7,G1261)),Assumptions!$D$7,"Other Services"))),"Other Services"))</f>
        <v/>
      </c>
    </row>
    <row r="1262" customFormat="false" ht="15" hidden="false" customHeight="false" outlineLevel="0" collapsed="false">
      <c r="F1262" s="41" t="str">
        <f aca="false">IF(E1262="","",IFERROR(VLOOKUP(E1262,Assumptions!$G$5:$H$16,2,0),"Other"))</f>
        <v/>
      </c>
      <c r="J1262" s="41" t="str">
        <f aca="false">IF(G1262="","",IFERROR(IF(ISNUMBER(SEARCH(Assumptions!$C$5,G1262)),Assumptions!$D$5,IF(ISNUMBER(SEARCH(Assumptions!$C$6,G1262)),Assumptions!$D$6,IF(ISNUMBER(SEARCH(Assumptions!$C$7,G1262)),Assumptions!$D$7,"Other Services"))),"Other Services"))</f>
        <v/>
      </c>
    </row>
    <row r="1263" customFormat="false" ht="15" hidden="false" customHeight="false" outlineLevel="0" collapsed="false">
      <c r="F1263" s="41" t="str">
        <f aca="false">IF(E1263="","",IFERROR(VLOOKUP(E1263,Assumptions!$G$5:$H$16,2,0),"Other"))</f>
        <v/>
      </c>
      <c r="J1263" s="41" t="str">
        <f aca="false">IF(G1263="","",IFERROR(IF(ISNUMBER(SEARCH(Assumptions!$C$5,G1263)),Assumptions!$D$5,IF(ISNUMBER(SEARCH(Assumptions!$C$6,G1263)),Assumptions!$D$6,IF(ISNUMBER(SEARCH(Assumptions!$C$7,G1263)),Assumptions!$D$7,"Other Services"))),"Other Services"))</f>
        <v/>
      </c>
    </row>
    <row r="1264" customFormat="false" ht="15" hidden="false" customHeight="false" outlineLevel="0" collapsed="false">
      <c r="F1264" s="41" t="str">
        <f aca="false">IF(E1264="","",IFERROR(VLOOKUP(E1264,Assumptions!$G$5:$H$16,2,0),"Other"))</f>
        <v/>
      </c>
      <c r="J1264" s="41" t="str">
        <f aca="false">IF(G1264="","",IFERROR(IF(ISNUMBER(SEARCH(Assumptions!$C$5,G1264)),Assumptions!$D$5,IF(ISNUMBER(SEARCH(Assumptions!$C$6,G1264)),Assumptions!$D$6,IF(ISNUMBER(SEARCH(Assumptions!$C$7,G1264)),Assumptions!$D$7,"Other Services"))),"Other Services"))</f>
        <v/>
      </c>
    </row>
    <row r="1265" customFormat="false" ht="15" hidden="false" customHeight="false" outlineLevel="0" collapsed="false">
      <c r="F1265" s="41" t="str">
        <f aca="false">IF(E1265="","",IFERROR(VLOOKUP(E1265,Assumptions!$G$5:$H$16,2,0),"Other"))</f>
        <v/>
      </c>
      <c r="J1265" s="41" t="str">
        <f aca="false">IF(G1265="","",IFERROR(IF(ISNUMBER(SEARCH(Assumptions!$C$5,G1265)),Assumptions!$D$5,IF(ISNUMBER(SEARCH(Assumptions!$C$6,G1265)),Assumptions!$D$6,IF(ISNUMBER(SEARCH(Assumptions!$C$7,G1265)),Assumptions!$D$7,"Other Services"))),"Other Services"))</f>
        <v/>
      </c>
    </row>
    <row r="1266" customFormat="false" ht="15" hidden="false" customHeight="false" outlineLevel="0" collapsed="false">
      <c r="F1266" s="41" t="str">
        <f aca="false">IF(E1266="","",IFERROR(VLOOKUP(E1266,Assumptions!$G$5:$H$16,2,0),"Other"))</f>
        <v/>
      </c>
      <c r="J1266" s="41" t="str">
        <f aca="false">IF(G1266="","",IFERROR(IF(ISNUMBER(SEARCH(Assumptions!$C$5,G1266)),Assumptions!$D$5,IF(ISNUMBER(SEARCH(Assumptions!$C$6,G1266)),Assumptions!$D$6,IF(ISNUMBER(SEARCH(Assumptions!$C$7,G1266)),Assumptions!$D$7,"Other Services"))),"Other Services"))</f>
        <v/>
      </c>
    </row>
    <row r="1267" customFormat="false" ht="15" hidden="false" customHeight="false" outlineLevel="0" collapsed="false">
      <c r="F1267" s="41" t="str">
        <f aca="false">IF(E1267="","",IFERROR(VLOOKUP(E1267,Assumptions!$G$5:$H$16,2,0),"Other"))</f>
        <v/>
      </c>
      <c r="J1267" s="41" t="str">
        <f aca="false">IF(G1267="","",IFERROR(IF(ISNUMBER(SEARCH(Assumptions!$C$5,G1267)),Assumptions!$D$5,IF(ISNUMBER(SEARCH(Assumptions!$C$6,G1267)),Assumptions!$D$6,IF(ISNUMBER(SEARCH(Assumptions!$C$7,G1267)),Assumptions!$D$7,"Other Services"))),"Other Services"))</f>
        <v/>
      </c>
    </row>
    <row r="1268" customFormat="false" ht="15" hidden="false" customHeight="false" outlineLevel="0" collapsed="false">
      <c r="F1268" s="41" t="str">
        <f aca="false">IF(E1268="","",IFERROR(VLOOKUP(E1268,Assumptions!$G$5:$H$16,2,0),"Other"))</f>
        <v/>
      </c>
      <c r="J1268" s="41" t="str">
        <f aca="false">IF(G1268="","",IFERROR(IF(ISNUMBER(SEARCH(Assumptions!$C$5,G1268)),Assumptions!$D$5,IF(ISNUMBER(SEARCH(Assumptions!$C$6,G1268)),Assumptions!$D$6,IF(ISNUMBER(SEARCH(Assumptions!$C$7,G1268)),Assumptions!$D$7,"Other Services"))),"Other Services"))</f>
        <v/>
      </c>
    </row>
    <row r="1269" customFormat="false" ht="15" hidden="false" customHeight="false" outlineLevel="0" collapsed="false">
      <c r="F1269" s="41" t="str">
        <f aca="false">IF(E1269="","",IFERROR(VLOOKUP(E1269,Assumptions!$G$5:$H$16,2,0),"Other"))</f>
        <v/>
      </c>
      <c r="J1269" s="41" t="str">
        <f aca="false">IF(G1269="","",IFERROR(IF(ISNUMBER(SEARCH(Assumptions!$C$5,G1269)),Assumptions!$D$5,IF(ISNUMBER(SEARCH(Assumptions!$C$6,G1269)),Assumptions!$D$6,IF(ISNUMBER(SEARCH(Assumptions!$C$7,G1269)),Assumptions!$D$7,"Other Services"))),"Other Services"))</f>
        <v/>
      </c>
    </row>
    <row r="1270" customFormat="false" ht="15" hidden="false" customHeight="false" outlineLevel="0" collapsed="false">
      <c r="F1270" s="41" t="str">
        <f aca="false">IF(E1270="","",IFERROR(VLOOKUP(E1270,Assumptions!$G$5:$H$16,2,0),"Other"))</f>
        <v/>
      </c>
      <c r="J1270" s="41" t="str">
        <f aca="false">IF(G1270="","",IFERROR(IF(ISNUMBER(SEARCH(Assumptions!$C$5,G1270)),Assumptions!$D$5,IF(ISNUMBER(SEARCH(Assumptions!$C$6,G1270)),Assumptions!$D$6,IF(ISNUMBER(SEARCH(Assumptions!$C$7,G1270)),Assumptions!$D$7,"Other Services"))),"Other Services"))</f>
        <v/>
      </c>
    </row>
    <row r="1271" customFormat="false" ht="15" hidden="false" customHeight="false" outlineLevel="0" collapsed="false">
      <c r="F1271" s="41" t="str">
        <f aca="false">IF(E1271="","",IFERROR(VLOOKUP(E1271,Assumptions!$G$5:$H$16,2,0),"Other"))</f>
        <v/>
      </c>
      <c r="J1271" s="41" t="str">
        <f aca="false">IF(G1271="","",IFERROR(IF(ISNUMBER(SEARCH(Assumptions!$C$5,G1271)),Assumptions!$D$5,IF(ISNUMBER(SEARCH(Assumptions!$C$6,G1271)),Assumptions!$D$6,IF(ISNUMBER(SEARCH(Assumptions!$C$7,G1271)),Assumptions!$D$7,"Other Services"))),"Other Services"))</f>
        <v/>
      </c>
    </row>
    <row r="1272" customFormat="false" ht="15" hidden="false" customHeight="false" outlineLevel="0" collapsed="false">
      <c r="F1272" s="41" t="str">
        <f aca="false">IF(E1272="","",IFERROR(VLOOKUP(E1272,Assumptions!$G$5:$H$16,2,0),"Other"))</f>
        <v/>
      </c>
      <c r="J1272" s="41" t="str">
        <f aca="false">IF(G1272="","",IFERROR(IF(ISNUMBER(SEARCH(Assumptions!$C$5,G1272)),Assumptions!$D$5,IF(ISNUMBER(SEARCH(Assumptions!$C$6,G1272)),Assumptions!$D$6,IF(ISNUMBER(SEARCH(Assumptions!$C$7,G1272)),Assumptions!$D$7,"Other Services"))),"Other Services"))</f>
        <v/>
      </c>
    </row>
    <row r="1273" customFormat="false" ht="15" hidden="false" customHeight="false" outlineLevel="0" collapsed="false">
      <c r="F1273" s="41" t="str">
        <f aca="false">IF(E1273="","",IFERROR(VLOOKUP(E1273,Assumptions!$G$5:$H$16,2,0),"Other"))</f>
        <v/>
      </c>
      <c r="J1273" s="41" t="str">
        <f aca="false">IF(G1273="","",IFERROR(IF(ISNUMBER(SEARCH(Assumptions!$C$5,G1273)),Assumptions!$D$5,IF(ISNUMBER(SEARCH(Assumptions!$C$6,G1273)),Assumptions!$D$6,IF(ISNUMBER(SEARCH(Assumptions!$C$7,G1273)),Assumptions!$D$7,"Other Services"))),"Other Services"))</f>
        <v/>
      </c>
    </row>
    <row r="1274" customFormat="false" ht="15" hidden="false" customHeight="false" outlineLevel="0" collapsed="false">
      <c r="F1274" s="41" t="str">
        <f aca="false">IF(E1274="","",IFERROR(VLOOKUP(E1274,Assumptions!$G$5:$H$16,2,0),"Other"))</f>
        <v/>
      </c>
      <c r="J1274" s="41" t="str">
        <f aca="false">IF(G1274="","",IFERROR(IF(ISNUMBER(SEARCH(Assumptions!$C$5,G1274)),Assumptions!$D$5,IF(ISNUMBER(SEARCH(Assumptions!$C$6,G1274)),Assumptions!$D$6,IF(ISNUMBER(SEARCH(Assumptions!$C$7,G1274)),Assumptions!$D$7,"Other Services"))),"Other Services"))</f>
        <v/>
      </c>
    </row>
    <row r="1275" customFormat="false" ht="15" hidden="false" customHeight="false" outlineLevel="0" collapsed="false">
      <c r="F1275" s="41" t="str">
        <f aca="false">IF(E1275="","",IFERROR(VLOOKUP(E1275,Assumptions!$G$5:$H$16,2,0),"Other"))</f>
        <v/>
      </c>
      <c r="J1275" s="41" t="str">
        <f aca="false">IF(G1275="","",IFERROR(IF(ISNUMBER(SEARCH(Assumptions!$C$5,G1275)),Assumptions!$D$5,IF(ISNUMBER(SEARCH(Assumptions!$C$6,G1275)),Assumptions!$D$6,IF(ISNUMBER(SEARCH(Assumptions!$C$7,G1275)),Assumptions!$D$7,"Other Services"))),"Other Services"))</f>
        <v/>
      </c>
    </row>
    <row r="1276" customFormat="false" ht="15" hidden="false" customHeight="false" outlineLevel="0" collapsed="false">
      <c r="F1276" s="41" t="str">
        <f aca="false">IF(E1276="","",IFERROR(VLOOKUP(E1276,Assumptions!$G$5:$H$16,2,0),"Other"))</f>
        <v/>
      </c>
      <c r="J1276" s="41" t="str">
        <f aca="false">IF(G1276="","",IFERROR(IF(ISNUMBER(SEARCH(Assumptions!$C$5,G1276)),Assumptions!$D$5,IF(ISNUMBER(SEARCH(Assumptions!$C$6,G1276)),Assumptions!$D$6,IF(ISNUMBER(SEARCH(Assumptions!$C$7,G1276)),Assumptions!$D$7,"Other Services"))),"Other Services"))</f>
        <v/>
      </c>
    </row>
    <row r="1277" customFormat="false" ht="15" hidden="false" customHeight="false" outlineLevel="0" collapsed="false">
      <c r="F1277" s="41" t="str">
        <f aca="false">IF(E1277="","",IFERROR(VLOOKUP(E1277,Assumptions!$G$5:$H$16,2,0),"Other"))</f>
        <v/>
      </c>
      <c r="J1277" s="41" t="str">
        <f aca="false">IF(G1277="","",IFERROR(IF(ISNUMBER(SEARCH(Assumptions!$C$5,G1277)),Assumptions!$D$5,IF(ISNUMBER(SEARCH(Assumptions!$C$6,G1277)),Assumptions!$D$6,IF(ISNUMBER(SEARCH(Assumptions!$C$7,G1277)),Assumptions!$D$7,"Other Services"))),"Other Services"))</f>
        <v/>
      </c>
    </row>
    <row r="1278" customFormat="false" ht="15" hidden="false" customHeight="false" outlineLevel="0" collapsed="false">
      <c r="F1278" s="41" t="str">
        <f aca="false">IF(E1278="","",IFERROR(VLOOKUP(E1278,Assumptions!$G$5:$H$16,2,0),"Other"))</f>
        <v/>
      </c>
      <c r="J1278" s="41" t="str">
        <f aca="false">IF(G1278="","",IFERROR(IF(ISNUMBER(SEARCH(Assumptions!$C$5,G1278)),Assumptions!$D$5,IF(ISNUMBER(SEARCH(Assumptions!$C$6,G1278)),Assumptions!$D$6,IF(ISNUMBER(SEARCH(Assumptions!$C$7,G1278)),Assumptions!$D$7,"Other Services"))),"Other Services"))</f>
        <v/>
      </c>
    </row>
    <row r="1279" customFormat="false" ht="15" hidden="false" customHeight="false" outlineLevel="0" collapsed="false">
      <c r="F1279" s="41" t="str">
        <f aca="false">IF(E1279="","",IFERROR(VLOOKUP(E1279,Assumptions!$G$5:$H$16,2,0),"Other"))</f>
        <v/>
      </c>
      <c r="J1279" s="41" t="str">
        <f aca="false">IF(G1279="","",IFERROR(IF(ISNUMBER(SEARCH(Assumptions!$C$5,G1279)),Assumptions!$D$5,IF(ISNUMBER(SEARCH(Assumptions!$C$6,G1279)),Assumptions!$D$6,IF(ISNUMBER(SEARCH(Assumptions!$C$7,G1279)),Assumptions!$D$7,"Other Services"))),"Other Services"))</f>
        <v/>
      </c>
    </row>
    <row r="1280" customFormat="false" ht="15" hidden="false" customHeight="false" outlineLevel="0" collapsed="false">
      <c r="F1280" s="41" t="str">
        <f aca="false">IF(E1280="","",IFERROR(VLOOKUP(E1280,Assumptions!$G$5:$H$16,2,0),"Other"))</f>
        <v/>
      </c>
      <c r="J1280" s="41" t="str">
        <f aca="false">IF(G1280="","",IFERROR(IF(ISNUMBER(SEARCH(Assumptions!$C$5,G1280)),Assumptions!$D$5,IF(ISNUMBER(SEARCH(Assumptions!$C$6,G1280)),Assumptions!$D$6,IF(ISNUMBER(SEARCH(Assumptions!$C$7,G1280)),Assumptions!$D$7,"Other Services"))),"Other Services"))</f>
        <v/>
      </c>
    </row>
    <row r="1281" customFormat="false" ht="15" hidden="false" customHeight="false" outlineLevel="0" collapsed="false">
      <c r="F1281" s="41" t="str">
        <f aca="false">IF(E1281="","",IFERROR(VLOOKUP(E1281,Assumptions!$G$5:$H$16,2,0),"Other"))</f>
        <v/>
      </c>
      <c r="J1281" s="41" t="str">
        <f aca="false">IF(G1281="","",IFERROR(IF(ISNUMBER(SEARCH(Assumptions!$C$5,G1281)),Assumptions!$D$5,IF(ISNUMBER(SEARCH(Assumptions!$C$6,G1281)),Assumptions!$D$6,IF(ISNUMBER(SEARCH(Assumptions!$C$7,G1281)),Assumptions!$D$7,"Other Services"))),"Other Services"))</f>
        <v/>
      </c>
    </row>
    <row r="1282" customFormat="false" ht="15" hidden="false" customHeight="false" outlineLevel="0" collapsed="false">
      <c r="F1282" s="41" t="str">
        <f aca="false">IF(E1282="","",IFERROR(VLOOKUP(E1282,Assumptions!$G$5:$H$16,2,0),"Other"))</f>
        <v/>
      </c>
      <c r="J1282" s="41" t="str">
        <f aca="false">IF(G1282="","",IFERROR(IF(ISNUMBER(SEARCH(Assumptions!$C$5,G1282)),Assumptions!$D$5,IF(ISNUMBER(SEARCH(Assumptions!$C$6,G1282)),Assumptions!$D$6,IF(ISNUMBER(SEARCH(Assumptions!$C$7,G1282)),Assumptions!$D$7,"Other Services"))),"Other Services"))</f>
        <v/>
      </c>
    </row>
    <row r="1283" customFormat="false" ht="15" hidden="false" customHeight="false" outlineLevel="0" collapsed="false">
      <c r="F1283" s="41" t="str">
        <f aca="false">IF(E1283="","",IFERROR(VLOOKUP(E1283,Assumptions!$G$5:$H$16,2,0),"Other"))</f>
        <v/>
      </c>
      <c r="J1283" s="41" t="str">
        <f aca="false">IF(G1283="","",IFERROR(IF(ISNUMBER(SEARCH(Assumptions!$C$5,G1283)),Assumptions!$D$5,IF(ISNUMBER(SEARCH(Assumptions!$C$6,G1283)),Assumptions!$D$6,IF(ISNUMBER(SEARCH(Assumptions!$C$7,G1283)),Assumptions!$D$7,"Other Services"))),"Other Services"))</f>
        <v/>
      </c>
    </row>
    <row r="1284" customFormat="false" ht="15" hidden="false" customHeight="false" outlineLevel="0" collapsed="false">
      <c r="F1284" s="41" t="str">
        <f aca="false">IF(E1284="","",IFERROR(VLOOKUP(E1284,Assumptions!$G$5:$H$16,2,0),"Other"))</f>
        <v/>
      </c>
      <c r="J1284" s="41" t="str">
        <f aca="false">IF(G1284="","",IFERROR(IF(ISNUMBER(SEARCH(Assumptions!$C$5,G1284)),Assumptions!$D$5,IF(ISNUMBER(SEARCH(Assumptions!$C$6,G1284)),Assumptions!$D$6,IF(ISNUMBER(SEARCH(Assumptions!$C$7,G1284)),Assumptions!$D$7,"Other Services"))),"Other Services"))</f>
        <v/>
      </c>
    </row>
    <row r="1285" customFormat="false" ht="15" hidden="false" customHeight="false" outlineLevel="0" collapsed="false">
      <c r="F1285" s="41" t="str">
        <f aca="false">IF(E1285="","",IFERROR(VLOOKUP(E1285,Assumptions!$G$5:$H$16,2,0),"Other"))</f>
        <v/>
      </c>
      <c r="J1285" s="41" t="str">
        <f aca="false">IF(G1285="","",IFERROR(IF(ISNUMBER(SEARCH(Assumptions!$C$5,G1285)),Assumptions!$D$5,IF(ISNUMBER(SEARCH(Assumptions!$C$6,G1285)),Assumptions!$D$6,IF(ISNUMBER(SEARCH(Assumptions!$C$7,G1285)),Assumptions!$D$7,"Other Services"))),"Other Services"))</f>
        <v/>
      </c>
    </row>
    <row r="1286" customFormat="false" ht="15" hidden="false" customHeight="false" outlineLevel="0" collapsed="false">
      <c r="F1286" s="41" t="str">
        <f aca="false">IF(E1286="","",IFERROR(VLOOKUP(E1286,Assumptions!$G$5:$H$16,2,0),"Other"))</f>
        <v/>
      </c>
      <c r="J1286" s="41" t="str">
        <f aca="false">IF(G1286="","",IFERROR(IF(ISNUMBER(SEARCH(Assumptions!$C$5,G1286)),Assumptions!$D$5,IF(ISNUMBER(SEARCH(Assumptions!$C$6,G1286)),Assumptions!$D$6,IF(ISNUMBER(SEARCH(Assumptions!$C$7,G1286)),Assumptions!$D$7,"Other Services"))),"Other Services"))</f>
        <v/>
      </c>
    </row>
    <row r="1287" customFormat="false" ht="15" hidden="false" customHeight="false" outlineLevel="0" collapsed="false">
      <c r="F1287" s="41" t="str">
        <f aca="false">IF(E1287="","",IFERROR(VLOOKUP(E1287,Assumptions!$G$5:$H$16,2,0),"Other"))</f>
        <v/>
      </c>
      <c r="J1287" s="41" t="str">
        <f aca="false">IF(G1287="","",IFERROR(IF(ISNUMBER(SEARCH(Assumptions!$C$5,G1287)),Assumptions!$D$5,IF(ISNUMBER(SEARCH(Assumptions!$C$6,G1287)),Assumptions!$D$6,IF(ISNUMBER(SEARCH(Assumptions!$C$7,G1287)),Assumptions!$D$7,"Other Services"))),"Other Services"))</f>
        <v/>
      </c>
    </row>
    <row r="1288" customFormat="false" ht="15" hidden="false" customHeight="false" outlineLevel="0" collapsed="false">
      <c r="F1288" s="41" t="str">
        <f aca="false">IF(E1288="","",IFERROR(VLOOKUP(E1288,Assumptions!$G$5:$H$16,2,0),"Other"))</f>
        <v/>
      </c>
      <c r="J1288" s="41" t="str">
        <f aca="false">IF(G1288="","",IFERROR(IF(ISNUMBER(SEARCH(Assumptions!$C$5,G1288)),Assumptions!$D$5,IF(ISNUMBER(SEARCH(Assumptions!$C$6,G1288)),Assumptions!$D$6,IF(ISNUMBER(SEARCH(Assumptions!$C$7,G1288)),Assumptions!$D$7,"Other Services"))),"Other Services"))</f>
        <v/>
      </c>
    </row>
    <row r="1289" customFormat="false" ht="15" hidden="false" customHeight="false" outlineLevel="0" collapsed="false">
      <c r="F1289" s="41" t="str">
        <f aca="false">IF(E1289="","",IFERROR(VLOOKUP(E1289,Assumptions!$G$5:$H$16,2,0),"Other"))</f>
        <v/>
      </c>
      <c r="J1289" s="41" t="str">
        <f aca="false">IF(G1289="","",IFERROR(IF(ISNUMBER(SEARCH(Assumptions!$C$5,G1289)),Assumptions!$D$5,IF(ISNUMBER(SEARCH(Assumptions!$C$6,G1289)),Assumptions!$D$6,IF(ISNUMBER(SEARCH(Assumptions!$C$7,G1289)),Assumptions!$D$7,"Other Services"))),"Other Services"))</f>
        <v/>
      </c>
    </row>
    <row r="1290" customFormat="false" ht="15" hidden="false" customHeight="false" outlineLevel="0" collapsed="false">
      <c r="F1290" s="41" t="str">
        <f aca="false">IF(E1290="","",IFERROR(VLOOKUP(E1290,Assumptions!$G$5:$H$16,2,0),"Other"))</f>
        <v/>
      </c>
      <c r="J1290" s="41" t="str">
        <f aca="false">IF(G1290="","",IFERROR(IF(ISNUMBER(SEARCH(Assumptions!$C$5,G1290)),Assumptions!$D$5,IF(ISNUMBER(SEARCH(Assumptions!$C$6,G1290)),Assumptions!$D$6,IF(ISNUMBER(SEARCH(Assumptions!$C$7,G1290)),Assumptions!$D$7,"Other Services"))),"Other Services"))</f>
        <v/>
      </c>
    </row>
    <row r="1291" customFormat="false" ht="15" hidden="false" customHeight="false" outlineLevel="0" collapsed="false">
      <c r="F1291" s="41" t="str">
        <f aca="false">IF(E1291="","",IFERROR(VLOOKUP(E1291,Assumptions!$G$5:$H$16,2,0),"Other"))</f>
        <v/>
      </c>
      <c r="J1291" s="41" t="str">
        <f aca="false">IF(G1291="","",IFERROR(IF(ISNUMBER(SEARCH(Assumptions!$C$5,G1291)),Assumptions!$D$5,IF(ISNUMBER(SEARCH(Assumptions!$C$6,G1291)),Assumptions!$D$6,IF(ISNUMBER(SEARCH(Assumptions!$C$7,G1291)),Assumptions!$D$7,"Other Services"))),"Other Services"))</f>
        <v/>
      </c>
    </row>
    <row r="1292" customFormat="false" ht="15" hidden="false" customHeight="false" outlineLevel="0" collapsed="false">
      <c r="F1292" s="41" t="str">
        <f aca="false">IF(E1292="","",IFERROR(VLOOKUP(E1292,Assumptions!$G$5:$H$16,2,0),"Other"))</f>
        <v/>
      </c>
      <c r="J1292" s="41" t="str">
        <f aca="false">IF(G1292="","",IFERROR(IF(ISNUMBER(SEARCH(Assumptions!$C$5,G1292)),Assumptions!$D$5,IF(ISNUMBER(SEARCH(Assumptions!$C$6,G1292)),Assumptions!$D$6,IF(ISNUMBER(SEARCH(Assumptions!$C$7,G1292)),Assumptions!$D$7,"Other Services"))),"Other Services"))</f>
        <v/>
      </c>
    </row>
    <row r="1293" customFormat="false" ht="15" hidden="false" customHeight="false" outlineLevel="0" collapsed="false">
      <c r="F1293" s="41" t="str">
        <f aca="false">IF(E1293="","",IFERROR(VLOOKUP(E1293,Assumptions!$G$5:$H$16,2,0),"Other"))</f>
        <v/>
      </c>
      <c r="J1293" s="41" t="str">
        <f aca="false">IF(G1293="","",IFERROR(IF(ISNUMBER(SEARCH(Assumptions!$C$5,G1293)),Assumptions!$D$5,IF(ISNUMBER(SEARCH(Assumptions!$C$6,G1293)),Assumptions!$D$6,IF(ISNUMBER(SEARCH(Assumptions!$C$7,G1293)),Assumptions!$D$7,"Other Services"))),"Other Services"))</f>
        <v/>
      </c>
    </row>
    <row r="1294" customFormat="false" ht="15" hidden="false" customHeight="false" outlineLevel="0" collapsed="false">
      <c r="F1294" s="41" t="str">
        <f aca="false">IF(E1294="","",IFERROR(VLOOKUP(E1294,Assumptions!$G$5:$H$16,2,0),"Other"))</f>
        <v/>
      </c>
      <c r="J1294" s="41" t="str">
        <f aca="false">IF(G1294="","",IFERROR(IF(ISNUMBER(SEARCH(Assumptions!$C$5,G1294)),Assumptions!$D$5,IF(ISNUMBER(SEARCH(Assumptions!$C$6,G1294)),Assumptions!$D$6,IF(ISNUMBER(SEARCH(Assumptions!$C$7,G1294)),Assumptions!$D$7,"Other Services"))),"Other Services"))</f>
        <v/>
      </c>
    </row>
    <row r="1295" customFormat="false" ht="15" hidden="false" customHeight="false" outlineLevel="0" collapsed="false">
      <c r="F1295" s="41" t="str">
        <f aca="false">IF(E1295="","",IFERROR(VLOOKUP(E1295,Assumptions!$G$5:$H$16,2,0),"Other"))</f>
        <v/>
      </c>
      <c r="J1295" s="41" t="str">
        <f aca="false">IF(G1295="","",IFERROR(IF(ISNUMBER(SEARCH(Assumptions!$C$5,G1295)),Assumptions!$D$5,IF(ISNUMBER(SEARCH(Assumptions!$C$6,G1295)),Assumptions!$D$6,IF(ISNUMBER(SEARCH(Assumptions!$C$7,G1295)),Assumptions!$D$7,"Other Services"))),"Other Services"))</f>
        <v/>
      </c>
    </row>
    <row r="1296" customFormat="false" ht="15" hidden="false" customHeight="false" outlineLevel="0" collapsed="false">
      <c r="F1296" s="41" t="str">
        <f aca="false">IF(E1296="","",IFERROR(VLOOKUP(E1296,Assumptions!$G$5:$H$16,2,0),"Other"))</f>
        <v/>
      </c>
      <c r="J1296" s="41" t="str">
        <f aca="false">IF(G1296="","",IFERROR(IF(ISNUMBER(SEARCH(Assumptions!$C$5,G1296)),Assumptions!$D$5,IF(ISNUMBER(SEARCH(Assumptions!$C$6,G1296)),Assumptions!$D$6,IF(ISNUMBER(SEARCH(Assumptions!$C$7,G1296)),Assumptions!$D$7,"Other Services"))),"Other Services"))</f>
        <v/>
      </c>
    </row>
    <row r="1297" customFormat="false" ht="15" hidden="false" customHeight="false" outlineLevel="0" collapsed="false">
      <c r="F1297" s="41" t="str">
        <f aca="false">IF(E1297="","",IFERROR(VLOOKUP(E1297,Assumptions!$G$5:$H$16,2,0),"Other"))</f>
        <v/>
      </c>
      <c r="J1297" s="41" t="str">
        <f aca="false">IF(G1297="","",IFERROR(IF(ISNUMBER(SEARCH(Assumptions!$C$5,G1297)),Assumptions!$D$5,IF(ISNUMBER(SEARCH(Assumptions!$C$6,G1297)),Assumptions!$D$6,IF(ISNUMBER(SEARCH(Assumptions!$C$7,G1297)),Assumptions!$D$7,"Other Services"))),"Other Services"))</f>
        <v/>
      </c>
    </row>
    <row r="1298" customFormat="false" ht="15" hidden="false" customHeight="false" outlineLevel="0" collapsed="false">
      <c r="F1298" s="41" t="str">
        <f aca="false">IF(E1298="","",IFERROR(VLOOKUP(E1298,Assumptions!$G$5:$H$16,2,0),"Other"))</f>
        <v/>
      </c>
      <c r="J1298" s="41" t="str">
        <f aca="false">IF(G1298="","",IFERROR(IF(ISNUMBER(SEARCH(Assumptions!$C$5,G1298)),Assumptions!$D$5,IF(ISNUMBER(SEARCH(Assumptions!$C$6,G1298)),Assumptions!$D$6,IF(ISNUMBER(SEARCH(Assumptions!$C$7,G1298)),Assumptions!$D$7,"Other Services"))),"Other Services"))</f>
        <v/>
      </c>
    </row>
    <row r="1299" customFormat="false" ht="15" hidden="false" customHeight="false" outlineLevel="0" collapsed="false">
      <c r="F1299" s="41" t="str">
        <f aca="false">IF(E1299="","",IFERROR(VLOOKUP(E1299,Assumptions!$G$5:$H$16,2,0),"Other"))</f>
        <v/>
      </c>
      <c r="J1299" s="41" t="str">
        <f aca="false">IF(G1299="","",IFERROR(IF(ISNUMBER(SEARCH(Assumptions!$C$5,G1299)),Assumptions!$D$5,IF(ISNUMBER(SEARCH(Assumptions!$C$6,G1299)),Assumptions!$D$6,IF(ISNUMBER(SEARCH(Assumptions!$C$7,G1299)),Assumptions!$D$7,"Other Services"))),"Other Services"))</f>
        <v/>
      </c>
    </row>
    <row r="1300" customFormat="false" ht="15" hidden="false" customHeight="false" outlineLevel="0" collapsed="false">
      <c r="F1300" s="41" t="str">
        <f aca="false">IF(E1300="","",IFERROR(VLOOKUP(E1300,Assumptions!$G$5:$H$16,2,0),"Other"))</f>
        <v/>
      </c>
      <c r="J1300" s="41" t="str">
        <f aca="false">IF(G1300="","",IFERROR(IF(ISNUMBER(SEARCH(Assumptions!$C$5,G1300)),Assumptions!$D$5,IF(ISNUMBER(SEARCH(Assumptions!$C$6,G1300)),Assumptions!$D$6,IF(ISNUMBER(SEARCH(Assumptions!$C$7,G1300)),Assumptions!$D$7,"Other Services"))),"Other Services"))</f>
        <v/>
      </c>
    </row>
    <row r="1301" customFormat="false" ht="15" hidden="false" customHeight="false" outlineLevel="0" collapsed="false">
      <c r="F1301" s="41" t="str">
        <f aca="false">IF(E1301="","",IFERROR(VLOOKUP(E1301,Assumptions!$G$5:$H$16,2,0),"Other"))</f>
        <v/>
      </c>
      <c r="J1301" s="41" t="str">
        <f aca="false">IF(G1301="","",IFERROR(IF(ISNUMBER(SEARCH(Assumptions!$C$5,G1301)),Assumptions!$D$5,IF(ISNUMBER(SEARCH(Assumptions!$C$6,G1301)),Assumptions!$D$6,IF(ISNUMBER(SEARCH(Assumptions!$C$7,G1301)),Assumptions!$D$7,"Other Services"))),"Other Services"))</f>
        <v/>
      </c>
    </row>
    <row r="1302" customFormat="false" ht="15" hidden="false" customHeight="false" outlineLevel="0" collapsed="false">
      <c r="F1302" s="41" t="str">
        <f aca="false">IF(E1302="","",IFERROR(VLOOKUP(E1302,Assumptions!$G$5:$H$16,2,0),"Other"))</f>
        <v/>
      </c>
      <c r="J1302" s="41" t="str">
        <f aca="false">IF(G1302="","",IFERROR(IF(ISNUMBER(SEARCH(Assumptions!$C$5,G1302)),Assumptions!$D$5,IF(ISNUMBER(SEARCH(Assumptions!$C$6,G1302)),Assumptions!$D$6,IF(ISNUMBER(SEARCH(Assumptions!$C$7,G1302)),Assumptions!$D$7,"Other Services"))),"Other Services"))</f>
        <v/>
      </c>
    </row>
    <row r="1303" customFormat="false" ht="15" hidden="false" customHeight="false" outlineLevel="0" collapsed="false">
      <c r="F1303" s="41" t="str">
        <f aca="false">IF(E1303="","",IFERROR(VLOOKUP(E1303,Assumptions!$G$5:$H$16,2,0),"Other"))</f>
        <v/>
      </c>
      <c r="J1303" s="41" t="str">
        <f aca="false">IF(G1303="","",IFERROR(IF(ISNUMBER(SEARCH(Assumptions!$C$5,G1303)),Assumptions!$D$5,IF(ISNUMBER(SEARCH(Assumptions!$C$6,G1303)),Assumptions!$D$6,IF(ISNUMBER(SEARCH(Assumptions!$C$7,G1303)),Assumptions!$D$7,"Other Services"))),"Other Services"))</f>
        <v/>
      </c>
    </row>
    <row r="1304" customFormat="false" ht="15" hidden="false" customHeight="false" outlineLevel="0" collapsed="false">
      <c r="F1304" s="41" t="str">
        <f aca="false">IF(E1304="","",IFERROR(VLOOKUP(E1304,Assumptions!$G$5:$H$16,2,0),"Other"))</f>
        <v/>
      </c>
      <c r="J1304" s="41" t="str">
        <f aca="false">IF(G1304="","",IFERROR(IF(ISNUMBER(SEARCH(Assumptions!$C$5,G1304)),Assumptions!$D$5,IF(ISNUMBER(SEARCH(Assumptions!$C$6,G1304)),Assumptions!$D$6,IF(ISNUMBER(SEARCH(Assumptions!$C$7,G1304)),Assumptions!$D$7,"Other Services"))),"Other Services"))</f>
        <v/>
      </c>
    </row>
    <row r="1305" customFormat="false" ht="15" hidden="false" customHeight="false" outlineLevel="0" collapsed="false">
      <c r="F1305" s="41" t="str">
        <f aca="false">IF(E1305="","",IFERROR(VLOOKUP(E1305,Assumptions!$G$5:$H$16,2,0),"Other"))</f>
        <v/>
      </c>
      <c r="J1305" s="41" t="str">
        <f aca="false">IF(G1305="","",IFERROR(IF(ISNUMBER(SEARCH(Assumptions!$C$5,G1305)),Assumptions!$D$5,IF(ISNUMBER(SEARCH(Assumptions!$C$6,G1305)),Assumptions!$D$6,IF(ISNUMBER(SEARCH(Assumptions!$C$7,G1305)),Assumptions!$D$7,"Other Services"))),"Other Services"))</f>
        <v/>
      </c>
    </row>
    <row r="1306" customFormat="false" ht="15" hidden="false" customHeight="false" outlineLevel="0" collapsed="false">
      <c r="F1306" s="41" t="str">
        <f aca="false">IF(E1306="","",IFERROR(VLOOKUP(E1306,Assumptions!$G$5:$H$16,2,0),"Other"))</f>
        <v/>
      </c>
      <c r="J1306" s="41" t="str">
        <f aca="false">IF(G1306="","",IFERROR(IF(ISNUMBER(SEARCH(Assumptions!$C$5,G1306)),Assumptions!$D$5,IF(ISNUMBER(SEARCH(Assumptions!$C$6,G1306)),Assumptions!$D$6,IF(ISNUMBER(SEARCH(Assumptions!$C$7,G1306)),Assumptions!$D$7,"Other Services"))),"Other Services"))</f>
        <v/>
      </c>
    </row>
    <row r="1307" customFormat="false" ht="15" hidden="false" customHeight="false" outlineLevel="0" collapsed="false">
      <c r="F1307" s="41" t="str">
        <f aca="false">IF(E1307="","",IFERROR(VLOOKUP(E1307,Assumptions!$G$5:$H$16,2,0),"Other"))</f>
        <v/>
      </c>
      <c r="J1307" s="41" t="str">
        <f aca="false">IF(G1307="","",IFERROR(IF(ISNUMBER(SEARCH(Assumptions!$C$5,G1307)),Assumptions!$D$5,IF(ISNUMBER(SEARCH(Assumptions!$C$6,G1307)),Assumptions!$D$6,IF(ISNUMBER(SEARCH(Assumptions!$C$7,G1307)),Assumptions!$D$7,"Other Services"))),"Other Services"))</f>
        <v/>
      </c>
    </row>
    <row r="1308" customFormat="false" ht="15" hidden="false" customHeight="false" outlineLevel="0" collapsed="false">
      <c r="F1308" s="41" t="str">
        <f aca="false">IF(E1308="","",IFERROR(VLOOKUP(E1308,Assumptions!$G$5:$H$16,2,0),"Other"))</f>
        <v/>
      </c>
      <c r="J1308" s="41" t="str">
        <f aca="false">IF(G1308="","",IFERROR(IF(ISNUMBER(SEARCH(Assumptions!$C$5,G1308)),Assumptions!$D$5,IF(ISNUMBER(SEARCH(Assumptions!$C$6,G1308)),Assumptions!$D$6,IF(ISNUMBER(SEARCH(Assumptions!$C$7,G1308)),Assumptions!$D$7,"Other Services"))),"Other Services"))</f>
        <v/>
      </c>
    </row>
    <row r="1309" customFormat="false" ht="15" hidden="false" customHeight="false" outlineLevel="0" collapsed="false">
      <c r="F1309" s="41" t="str">
        <f aca="false">IF(E1309="","",IFERROR(VLOOKUP(E1309,Assumptions!$G$5:$H$16,2,0),"Other"))</f>
        <v/>
      </c>
      <c r="J1309" s="41" t="str">
        <f aca="false">IF(G1309="","",IFERROR(IF(ISNUMBER(SEARCH(Assumptions!$C$5,G1309)),Assumptions!$D$5,IF(ISNUMBER(SEARCH(Assumptions!$C$6,G1309)),Assumptions!$D$6,IF(ISNUMBER(SEARCH(Assumptions!$C$7,G1309)),Assumptions!$D$7,"Other Services"))),"Other Services"))</f>
        <v/>
      </c>
    </row>
    <row r="1310" customFormat="false" ht="15" hidden="false" customHeight="false" outlineLevel="0" collapsed="false">
      <c r="F1310" s="41" t="str">
        <f aca="false">IF(E1310="","",IFERROR(VLOOKUP(E1310,Assumptions!$G$5:$H$16,2,0),"Other"))</f>
        <v/>
      </c>
      <c r="J1310" s="41" t="str">
        <f aca="false">IF(G1310="","",IFERROR(IF(ISNUMBER(SEARCH(Assumptions!$C$5,G1310)),Assumptions!$D$5,IF(ISNUMBER(SEARCH(Assumptions!$C$6,G1310)),Assumptions!$D$6,IF(ISNUMBER(SEARCH(Assumptions!$C$7,G1310)),Assumptions!$D$7,"Other Services"))),"Other Services"))</f>
        <v/>
      </c>
    </row>
    <row r="1311" customFormat="false" ht="15" hidden="false" customHeight="false" outlineLevel="0" collapsed="false">
      <c r="F1311" s="41" t="str">
        <f aca="false">IF(E1311="","",IFERROR(VLOOKUP(E1311,Assumptions!$G$5:$H$16,2,0),"Other"))</f>
        <v/>
      </c>
      <c r="J1311" s="41" t="str">
        <f aca="false">IF(G1311="","",IFERROR(IF(ISNUMBER(SEARCH(Assumptions!$C$5,G1311)),Assumptions!$D$5,IF(ISNUMBER(SEARCH(Assumptions!$C$6,G1311)),Assumptions!$D$6,IF(ISNUMBER(SEARCH(Assumptions!$C$7,G1311)),Assumptions!$D$7,"Other Services"))),"Other Services"))</f>
        <v/>
      </c>
    </row>
    <row r="1312" customFormat="false" ht="15" hidden="false" customHeight="false" outlineLevel="0" collapsed="false">
      <c r="F1312" s="41" t="str">
        <f aca="false">IF(E1312="","",IFERROR(VLOOKUP(E1312,Assumptions!$G$5:$H$16,2,0),"Other"))</f>
        <v/>
      </c>
      <c r="J1312" s="41" t="str">
        <f aca="false">IF(G1312="","",IFERROR(IF(ISNUMBER(SEARCH(Assumptions!$C$5,G1312)),Assumptions!$D$5,IF(ISNUMBER(SEARCH(Assumptions!$C$6,G1312)),Assumptions!$D$6,IF(ISNUMBER(SEARCH(Assumptions!$C$7,G1312)),Assumptions!$D$7,"Other Services"))),"Other Services"))</f>
        <v/>
      </c>
    </row>
    <row r="1313" customFormat="false" ht="15" hidden="false" customHeight="false" outlineLevel="0" collapsed="false">
      <c r="F1313" s="41" t="str">
        <f aca="false">IF(E1313="","",IFERROR(VLOOKUP(E1313,Assumptions!$G$5:$H$16,2,0),"Other"))</f>
        <v/>
      </c>
      <c r="J1313" s="41" t="str">
        <f aca="false">IF(G1313="","",IFERROR(IF(ISNUMBER(SEARCH(Assumptions!$C$5,G1313)),Assumptions!$D$5,IF(ISNUMBER(SEARCH(Assumptions!$C$6,G1313)),Assumptions!$D$6,IF(ISNUMBER(SEARCH(Assumptions!$C$7,G1313)),Assumptions!$D$7,"Other Services"))),"Other Services"))</f>
        <v/>
      </c>
    </row>
    <row r="1314" customFormat="false" ht="15" hidden="false" customHeight="false" outlineLevel="0" collapsed="false">
      <c r="F1314" s="41" t="str">
        <f aca="false">IF(E1314="","",IFERROR(VLOOKUP(E1314,Assumptions!$G$5:$H$16,2,0),"Other"))</f>
        <v/>
      </c>
      <c r="J1314" s="41" t="str">
        <f aca="false">IF(G1314="","",IFERROR(IF(ISNUMBER(SEARCH(Assumptions!$C$5,G1314)),Assumptions!$D$5,IF(ISNUMBER(SEARCH(Assumptions!$C$6,G1314)),Assumptions!$D$6,IF(ISNUMBER(SEARCH(Assumptions!$C$7,G1314)),Assumptions!$D$7,"Other Services"))),"Other Services"))</f>
        <v/>
      </c>
    </row>
    <row r="1315" customFormat="false" ht="15" hidden="false" customHeight="false" outlineLevel="0" collapsed="false">
      <c r="F1315" s="41" t="str">
        <f aca="false">IF(E1315="","",IFERROR(VLOOKUP(E1315,Assumptions!$G$5:$H$16,2,0),"Other"))</f>
        <v/>
      </c>
      <c r="J1315" s="41" t="str">
        <f aca="false">IF(G1315="","",IFERROR(IF(ISNUMBER(SEARCH(Assumptions!$C$5,G1315)),Assumptions!$D$5,IF(ISNUMBER(SEARCH(Assumptions!$C$6,G1315)),Assumptions!$D$6,IF(ISNUMBER(SEARCH(Assumptions!$C$7,G1315)),Assumptions!$D$7,"Other Services"))),"Other Services"))</f>
        <v/>
      </c>
    </row>
    <row r="1316" customFormat="false" ht="15" hidden="false" customHeight="false" outlineLevel="0" collapsed="false">
      <c r="F1316" s="41" t="str">
        <f aca="false">IF(E1316="","",IFERROR(VLOOKUP(E1316,Assumptions!$G$5:$H$16,2,0),"Other"))</f>
        <v/>
      </c>
      <c r="J1316" s="41" t="str">
        <f aca="false">IF(G1316="","",IFERROR(IF(ISNUMBER(SEARCH(Assumptions!$C$5,G1316)),Assumptions!$D$5,IF(ISNUMBER(SEARCH(Assumptions!$C$6,G1316)),Assumptions!$D$6,IF(ISNUMBER(SEARCH(Assumptions!$C$7,G1316)),Assumptions!$D$7,"Other Services"))),"Other Services"))</f>
        <v/>
      </c>
    </row>
    <row r="1317" customFormat="false" ht="15" hidden="false" customHeight="false" outlineLevel="0" collapsed="false">
      <c r="F1317" s="41" t="str">
        <f aca="false">IF(E1317="","",IFERROR(VLOOKUP(E1317,Assumptions!$G$5:$H$16,2,0),"Other"))</f>
        <v/>
      </c>
      <c r="J1317" s="41" t="str">
        <f aca="false">IF(G1317="","",IFERROR(IF(ISNUMBER(SEARCH(Assumptions!$C$5,G1317)),Assumptions!$D$5,IF(ISNUMBER(SEARCH(Assumptions!$C$6,G1317)),Assumptions!$D$6,IF(ISNUMBER(SEARCH(Assumptions!$C$7,G1317)),Assumptions!$D$7,"Other Services"))),"Other Services"))</f>
        <v/>
      </c>
    </row>
    <row r="1318" customFormat="false" ht="15" hidden="false" customHeight="false" outlineLevel="0" collapsed="false">
      <c r="F1318" s="41" t="str">
        <f aca="false">IF(E1318="","",IFERROR(VLOOKUP(E1318,Assumptions!$G$5:$H$16,2,0),"Other"))</f>
        <v/>
      </c>
      <c r="J1318" s="41" t="str">
        <f aca="false">IF(G1318="","",IFERROR(IF(ISNUMBER(SEARCH(Assumptions!$C$5,G1318)),Assumptions!$D$5,IF(ISNUMBER(SEARCH(Assumptions!$C$6,G1318)),Assumptions!$D$6,IF(ISNUMBER(SEARCH(Assumptions!$C$7,G1318)),Assumptions!$D$7,"Other Services"))),"Other Services"))</f>
        <v/>
      </c>
    </row>
    <row r="1319" customFormat="false" ht="15" hidden="false" customHeight="false" outlineLevel="0" collapsed="false">
      <c r="F1319" s="41" t="str">
        <f aca="false">IF(E1319="","",IFERROR(VLOOKUP(E1319,Assumptions!$G$5:$H$16,2,0),"Other"))</f>
        <v/>
      </c>
      <c r="J1319" s="41" t="str">
        <f aca="false">IF(G1319="","",IFERROR(IF(ISNUMBER(SEARCH(Assumptions!$C$5,G1319)),Assumptions!$D$5,IF(ISNUMBER(SEARCH(Assumptions!$C$6,G1319)),Assumptions!$D$6,IF(ISNUMBER(SEARCH(Assumptions!$C$7,G1319)),Assumptions!$D$7,"Other Services"))),"Other Services"))</f>
        <v/>
      </c>
    </row>
    <row r="1320" customFormat="false" ht="15" hidden="false" customHeight="false" outlineLevel="0" collapsed="false">
      <c r="F1320" s="41" t="str">
        <f aca="false">IF(E1320="","",IFERROR(VLOOKUP(E1320,Assumptions!$G$5:$H$16,2,0),"Other"))</f>
        <v/>
      </c>
      <c r="J1320" s="41" t="str">
        <f aca="false">IF(G1320="","",IFERROR(IF(ISNUMBER(SEARCH(Assumptions!$C$5,G1320)),Assumptions!$D$5,IF(ISNUMBER(SEARCH(Assumptions!$C$6,G1320)),Assumptions!$D$6,IF(ISNUMBER(SEARCH(Assumptions!$C$7,G1320)),Assumptions!$D$7,"Other Services"))),"Other Services"))</f>
        <v/>
      </c>
    </row>
    <row r="1321" customFormat="false" ht="15" hidden="false" customHeight="false" outlineLevel="0" collapsed="false">
      <c r="F1321" s="41" t="str">
        <f aca="false">IF(E1321="","",IFERROR(VLOOKUP(E1321,Assumptions!$G$5:$H$16,2,0),"Other"))</f>
        <v/>
      </c>
      <c r="J1321" s="41" t="str">
        <f aca="false">IF(G1321="","",IFERROR(IF(ISNUMBER(SEARCH(Assumptions!$C$5,G1321)),Assumptions!$D$5,IF(ISNUMBER(SEARCH(Assumptions!$C$6,G1321)),Assumptions!$D$6,IF(ISNUMBER(SEARCH(Assumptions!$C$7,G1321)),Assumptions!$D$7,"Other Services"))),"Other Services"))</f>
        <v/>
      </c>
    </row>
    <row r="1322" customFormat="false" ht="15" hidden="false" customHeight="false" outlineLevel="0" collapsed="false">
      <c r="F1322" s="41" t="str">
        <f aca="false">IF(E1322="","",IFERROR(VLOOKUP(E1322,Assumptions!$G$5:$H$16,2,0),"Other"))</f>
        <v/>
      </c>
      <c r="J1322" s="41" t="str">
        <f aca="false">IF(G1322="","",IFERROR(IF(ISNUMBER(SEARCH(Assumptions!$C$5,G1322)),Assumptions!$D$5,IF(ISNUMBER(SEARCH(Assumptions!$C$6,G1322)),Assumptions!$D$6,IF(ISNUMBER(SEARCH(Assumptions!$C$7,G1322)),Assumptions!$D$7,"Other Services"))),"Other Services"))</f>
        <v/>
      </c>
    </row>
    <row r="1323" customFormat="false" ht="15" hidden="false" customHeight="false" outlineLevel="0" collapsed="false">
      <c r="F1323" s="41" t="str">
        <f aca="false">IF(E1323="","",IFERROR(VLOOKUP(E1323,Assumptions!$G$5:$H$16,2,0),"Other"))</f>
        <v/>
      </c>
      <c r="J1323" s="41" t="str">
        <f aca="false">IF(G1323="","",IFERROR(IF(ISNUMBER(SEARCH(Assumptions!$C$5,G1323)),Assumptions!$D$5,IF(ISNUMBER(SEARCH(Assumptions!$C$6,G1323)),Assumptions!$D$6,IF(ISNUMBER(SEARCH(Assumptions!$C$7,G1323)),Assumptions!$D$7,"Other Services"))),"Other Services"))</f>
        <v/>
      </c>
    </row>
    <row r="1324" customFormat="false" ht="15" hidden="false" customHeight="false" outlineLevel="0" collapsed="false">
      <c r="F1324" s="41" t="str">
        <f aca="false">IF(E1324="","",IFERROR(VLOOKUP(E1324,Assumptions!$G$5:$H$16,2,0),"Other"))</f>
        <v/>
      </c>
      <c r="J1324" s="41" t="str">
        <f aca="false">IF(G1324="","",IFERROR(IF(ISNUMBER(SEARCH(Assumptions!$C$5,G1324)),Assumptions!$D$5,IF(ISNUMBER(SEARCH(Assumptions!$C$6,G1324)),Assumptions!$D$6,IF(ISNUMBER(SEARCH(Assumptions!$C$7,G1324)),Assumptions!$D$7,"Other Services"))),"Other Services"))</f>
        <v/>
      </c>
    </row>
    <row r="1325" customFormat="false" ht="15" hidden="false" customHeight="false" outlineLevel="0" collapsed="false">
      <c r="F1325" s="41" t="str">
        <f aca="false">IF(E1325="","",IFERROR(VLOOKUP(E1325,Assumptions!$G$5:$H$16,2,0),"Other"))</f>
        <v/>
      </c>
      <c r="J1325" s="41" t="str">
        <f aca="false">IF(G1325="","",IFERROR(IF(ISNUMBER(SEARCH(Assumptions!$C$5,G1325)),Assumptions!$D$5,IF(ISNUMBER(SEARCH(Assumptions!$C$6,G1325)),Assumptions!$D$6,IF(ISNUMBER(SEARCH(Assumptions!$C$7,G1325)),Assumptions!$D$7,"Other Services"))),"Other Services"))</f>
        <v/>
      </c>
    </row>
    <row r="1326" customFormat="false" ht="15" hidden="false" customHeight="false" outlineLevel="0" collapsed="false">
      <c r="F1326" s="41" t="str">
        <f aca="false">IF(E1326="","",IFERROR(VLOOKUP(E1326,Assumptions!$G$5:$H$16,2,0),"Other"))</f>
        <v/>
      </c>
      <c r="J1326" s="41" t="str">
        <f aca="false">IF(G1326="","",IFERROR(IF(ISNUMBER(SEARCH(Assumptions!$C$5,G1326)),Assumptions!$D$5,IF(ISNUMBER(SEARCH(Assumptions!$C$6,G1326)),Assumptions!$D$6,IF(ISNUMBER(SEARCH(Assumptions!$C$7,G1326)),Assumptions!$D$7,"Other Services"))),"Other Services"))</f>
        <v/>
      </c>
    </row>
    <row r="1327" customFormat="false" ht="15" hidden="false" customHeight="false" outlineLevel="0" collapsed="false">
      <c r="F1327" s="41" t="str">
        <f aca="false">IF(E1327="","",IFERROR(VLOOKUP(E1327,Assumptions!$G$5:$H$16,2,0),"Other"))</f>
        <v/>
      </c>
      <c r="J1327" s="41" t="str">
        <f aca="false">IF(G1327="","",IFERROR(IF(ISNUMBER(SEARCH(Assumptions!$C$5,G1327)),Assumptions!$D$5,IF(ISNUMBER(SEARCH(Assumptions!$C$6,G1327)),Assumptions!$D$6,IF(ISNUMBER(SEARCH(Assumptions!$C$7,G1327)),Assumptions!$D$7,"Other Services"))),"Other Services"))</f>
        <v/>
      </c>
    </row>
    <row r="1328" customFormat="false" ht="15" hidden="false" customHeight="false" outlineLevel="0" collapsed="false">
      <c r="F1328" s="41" t="str">
        <f aca="false">IF(E1328="","",IFERROR(VLOOKUP(E1328,Assumptions!$G$5:$H$16,2,0),"Other"))</f>
        <v/>
      </c>
      <c r="J1328" s="41" t="str">
        <f aca="false">IF(G1328="","",IFERROR(IF(ISNUMBER(SEARCH(Assumptions!$C$5,G1328)),Assumptions!$D$5,IF(ISNUMBER(SEARCH(Assumptions!$C$6,G1328)),Assumptions!$D$6,IF(ISNUMBER(SEARCH(Assumptions!$C$7,G1328)),Assumptions!$D$7,"Other Services"))),"Other Services"))</f>
        <v/>
      </c>
    </row>
    <row r="1329" customFormat="false" ht="15" hidden="false" customHeight="false" outlineLevel="0" collapsed="false">
      <c r="F1329" s="41" t="str">
        <f aca="false">IF(E1329="","",IFERROR(VLOOKUP(E1329,Assumptions!$G$5:$H$16,2,0),"Other"))</f>
        <v/>
      </c>
      <c r="J1329" s="41" t="str">
        <f aca="false">IF(G1329="","",IFERROR(IF(ISNUMBER(SEARCH(Assumptions!$C$5,G1329)),Assumptions!$D$5,IF(ISNUMBER(SEARCH(Assumptions!$C$6,G1329)),Assumptions!$D$6,IF(ISNUMBER(SEARCH(Assumptions!$C$7,G1329)),Assumptions!$D$7,"Other Services"))),"Other Services"))</f>
        <v/>
      </c>
    </row>
    <row r="1330" customFormat="false" ht="15" hidden="false" customHeight="false" outlineLevel="0" collapsed="false">
      <c r="F1330" s="41" t="str">
        <f aca="false">IF(E1330="","",IFERROR(VLOOKUP(E1330,Assumptions!$G$5:$H$16,2,0),"Other"))</f>
        <v/>
      </c>
      <c r="J1330" s="41" t="str">
        <f aca="false">IF(G1330="","",IFERROR(IF(ISNUMBER(SEARCH(Assumptions!$C$5,G1330)),Assumptions!$D$5,IF(ISNUMBER(SEARCH(Assumptions!$C$6,G1330)),Assumptions!$D$6,IF(ISNUMBER(SEARCH(Assumptions!$C$7,G1330)),Assumptions!$D$7,"Other Services"))),"Other Services"))</f>
        <v/>
      </c>
    </row>
    <row r="1331" customFormat="false" ht="15" hidden="false" customHeight="false" outlineLevel="0" collapsed="false">
      <c r="F1331" s="41" t="str">
        <f aca="false">IF(E1331="","",IFERROR(VLOOKUP(E1331,Assumptions!$G$5:$H$16,2,0),"Other"))</f>
        <v/>
      </c>
      <c r="J1331" s="41" t="str">
        <f aca="false">IF(G1331="","",IFERROR(IF(ISNUMBER(SEARCH(Assumptions!$C$5,G1331)),Assumptions!$D$5,IF(ISNUMBER(SEARCH(Assumptions!$C$6,G1331)),Assumptions!$D$6,IF(ISNUMBER(SEARCH(Assumptions!$C$7,G1331)),Assumptions!$D$7,"Other Services"))),"Other Services"))</f>
        <v/>
      </c>
    </row>
    <row r="1332" customFormat="false" ht="15" hidden="false" customHeight="false" outlineLevel="0" collapsed="false">
      <c r="F1332" s="41" t="str">
        <f aca="false">IF(E1332="","",IFERROR(VLOOKUP(E1332,Assumptions!$G$5:$H$16,2,0),"Other"))</f>
        <v/>
      </c>
      <c r="J1332" s="41" t="str">
        <f aca="false">IF(G1332="","",IFERROR(IF(ISNUMBER(SEARCH(Assumptions!$C$5,G1332)),Assumptions!$D$5,IF(ISNUMBER(SEARCH(Assumptions!$C$6,G1332)),Assumptions!$D$6,IF(ISNUMBER(SEARCH(Assumptions!$C$7,G1332)),Assumptions!$D$7,"Other Services"))),"Other Services"))</f>
        <v/>
      </c>
    </row>
    <row r="1333" customFormat="false" ht="15" hidden="false" customHeight="false" outlineLevel="0" collapsed="false">
      <c r="F1333" s="41" t="str">
        <f aca="false">IF(E1333="","",IFERROR(VLOOKUP(E1333,Assumptions!$G$5:$H$16,2,0),"Other"))</f>
        <v/>
      </c>
      <c r="J1333" s="41" t="str">
        <f aca="false">IF(G1333="","",IFERROR(IF(ISNUMBER(SEARCH(Assumptions!$C$5,G1333)),Assumptions!$D$5,IF(ISNUMBER(SEARCH(Assumptions!$C$6,G1333)),Assumptions!$D$6,IF(ISNUMBER(SEARCH(Assumptions!$C$7,G1333)),Assumptions!$D$7,"Other Services"))),"Other Services"))</f>
        <v/>
      </c>
    </row>
    <row r="1334" customFormat="false" ht="15" hidden="false" customHeight="false" outlineLevel="0" collapsed="false">
      <c r="F1334" s="41" t="str">
        <f aca="false">IF(E1334="","",IFERROR(VLOOKUP(E1334,Assumptions!$G$5:$H$16,2,0),"Other"))</f>
        <v/>
      </c>
      <c r="J1334" s="41" t="str">
        <f aca="false">IF(G1334="","",IFERROR(IF(ISNUMBER(SEARCH(Assumptions!$C$5,G1334)),Assumptions!$D$5,IF(ISNUMBER(SEARCH(Assumptions!$C$6,G1334)),Assumptions!$D$6,IF(ISNUMBER(SEARCH(Assumptions!$C$7,G1334)),Assumptions!$D$7,"Other Services"))),"Other Services"))</f>
        <v/>
      </c>
    </row>
    <row r="1335" customFormat="false" ht="15" hidden="false" customHeight="false" outlineLevel="0" collapsed="false">
      <c r="F1335" s="41" t="str">
        <f aca="false">IF(E1335="","",IFERROR(VLOOKUP(E1335,Assumptions!$G$5:$H$16,2,0),"Other"))</f>
        <v/>
      </c>
      <c r="J1335" s="41" t="str">
        <f aca="false">IF(G1335="","",IFERROR(IF(ISNUMBER(SEARCH(Assumptions!$C$5,G1335)),Assumptions!$D$5,IF(ISNUMBER(SEARCH(Assumptions!$C$6,G1335)),Assumptions!$D$6,IF(ISNUMBER(SEARCH(Assumptions!$C$7,G1335)),Assumptions!$D$7,"Other Services"))),"Other Services"))</f>
        <v/>
      </c>
    </row>
    <row r="1336" customFormat="false" ht="15" hidden="false" customHeight="false" outlineLevel="0" collapsed="false">
      <c r="F1336" s="41" t="str">
        <f aca="false">IF(E1336="","",IFERROR(VLOOKUP(E1336,Assumptions!$G$5:$H$16,2,0),"Other"))</f>
        <v/>
      </c>
      <c r="J1336" s="41" t="str">
        <f aca="false">IF(G1336="","",IFERROR(IF(ISNUMBER(SEARCH(Assumptions!$C$5,G1336)),Assumptions!$D$5,IF(ISNUMBER(SEARCH(Assumptions!$C$6,G1336)),Assumptions!$D$6,IF(ISNUMBER(SEARCH(Assumptions!$C$7,G1336)),Assumptions!$D$7,"Other Services"))),"Other Services"))</f>
        <v/>
      </c>
    </row>
    <row r="1337" customFormat="false" ht="15" hidden="false" customHeight="false" outlineLevel="0" collapsed="false">
      <c r="F1337" s="41" t="str">
        <f aca="false">IF(E1337="","",IFERROR(VLOOKUP(E1337,Assumptions!$G$5:$H$16,2,0),"Other"))</f>
        <v/>
      </c>
      <c r="J1337" s="41" t="str">
        <f aca="false">IF(G1337="","",IFERROR(IF(ISNUMBER(SEARCH(Assumptions!$C$5,G1337)),Assumptions!$D$5,IF(ISNUMBER(SEARCH(Assumptions!$C$6,G1337)),Assumptions!$D$6,IF(ISNUMBER(SEARCH(Assumptions!$C$7,G1337)),Assumptions!$D$7,"Other Services"))),"Other Services"))</f>
        <v/>
      </c>
    </row>
    <row r="1338" customFormat="false" ht="15" hidden="false" customHeight="false" outlineLevel="0" collapsed="false">
      <c r="F1338" s="41" t="str">
        <f aca="false">IF(E1338="","",IFERROR(VLOOKUP(E1338,Assumptions!$G$5:$H$16,2,0),"Other"))</f>
        <v/>
      </c>
      <c r="J1338" s="41" t="str">
        <f aca="false">IF(G1338="","",IFERROR(IF(ISNUMBER(SEARCH(Assumptions!$C$5,G1338)),Assumptions!$D$5,IF(ISNUMBER(SEARCH(Assumptions!$C$6,G1338)),Assumptions!$D$6,IF(ISNUMBER(SEARCH(Assumptions!$C$7,G1338)),Assumptions!$D$7,"Other Services"))),"Other Services"))</f>
        <v/>
      </c>
    </row>
    <row r="1339" customFormat="false" ht="15" hidden="false" customHeight="false" outlineLevel="0" collapsed="false">
      <c r="F1339" s="41" t="str">
        <f aca="false">IF(E1339="","",IFERROR(VLOOKUP(E1339,Assumptions!$G$5:$H$16,2,0),"Other"))</f>
        <v/>
      </c>
      <c r="J1339" s="41" t="str">
        <f aca="false">IF(G1339="","",IFERROR(IF(ISNUMBER(SEARCH(Assumptions!$C$5,G1339)),Assumptions!$D$5,IF(ISNUMBER(SEARCH(Assumptions!$C$6,G1339)),Assumptions!$D$6,IF(ISNUMBER(SEARCH(Assumptions!$C$7,G1339)),Assumptions!$D$7,"Other Services"))),"Other Services"))</f>
        <v/>
      </c>
    </row>
    <row r="1340" customFormat="false" ht="15" hidden="false" customHeight="false" outlineLevel="0" collapsed="false">
      <c r="F1340" s="41" t="str">
        <f aca="false">IF(E1340="","",IFERROR(VLOOKUP(E1340,Assumptions!$G$5:$H$16,2,0),"Other"))</f>
        <v/>
      </c>
      <c r="J1340" s="41" t="str">
        <f aca="false">IF(G1340="","",IFERROR(IF(ISNUMBER(SEARCH(Assumptions!$C$5,G1340)),Assumptions!$D$5,IF(ISNUMBER(SEARCH(Assumptions!$C$6,G1340)),Assumptions!$D$6,IF(ISNUMBER(SEARCH(Assumptions!$C$7,G1340)),Assumptions!$D$7,"Other Services"))),"Other Services"))</f>
        <v/>
      </c>
    </row>
    <row r="1341" customFormat="false" ht="15" hidden="false" customHeight="false" outlineLevel="0" collapsed="false">
      <c r="F1341" s="41" t="str">
        <f aca="false">IF(E1341="","",IFERROR(VLOOKUP(E1341,Assumptions!$G$5:$H$16,2,0),"Other"))</f>
        <v/>
      </c>
      <c r="J1341" s="41" t="str">
        <f aca="false">IF(G1341="","",IFERROR(IF(ISNUMBER(SEARCH(Assumptions!$C$5,G1341)),Assumptions!$D$5,IF(ISNUMBER(SEARCH(Assumptions!$C$6,G1341)),Assumptions!$D$6,IF(ISNUMBER(SEARCH(Assumptions!$C$7,G1341)),Assumptions!$D$7,"Other Services"))),"Other Services"))</f>
        <v/>
      </c>
    </row>
    <row r="1342" customFormat="false" ht="15" hidden="false" customHeight="false" outlineLevel="0" collapsed="false">
      <c r="F1342" s="41" t="str">
        <f aca="false">IF(E1342="","",IFERROR(VLOOKUP(E1342,Assumptions!$G$5:$H$16,2,0),"Other"))</f>
        <v/>
      </c>
      <c r="J1342" s="41" t="str">
        <f aca="false">IF(G1342="","",IFERROR(IF(ISNUMBER(SEARCH(Assumptions!$C$5,G1342)),Assumptions!$D$5,IF(ISNUMBER(SEARCH(Assumptions!$C$6,G1342)),Assumptions!$D$6,IF(ISNUMBER(SEARCH(Assumptions!$C$7,G1342)),Assumptions!$D$7,"Other Services"))),"Other Services"))</f>
        <v/>
      </c>
    </row>
    <row r="1343" customFormat="false" ht="15" hidden="false" customHeight="false" outlineLevel="0" collapsed="false">
      <c r="F1343" s="41" t="str">
        <f aca="false">IF(E1343="","",IFERROR(VLOOKUP(E1343,Assumptions!$G$5:$H$16,2,0),"Other"))</f>
        <v/>
      </c>
      <c r="J1343" s="41" t="str">
        <f aca="false">IF(G1343="","",IFERROR(IF(ISNUMBER(SEARCH(Assumptions!$C$5,G1343)),Assumptions!$D$5,IF(ISNUMBER(SEARCH(Assumptions!$C$6,G1343)),Assumptions!$D$6,IF(ISNUMBER(SEARCH(Assumptions!$C$7,G1343)),Assumptions!$D$7,"Other Services"))),"Other Services"))</f>
        <v/>
      </c>
    </row>
    <row r="1344" customFormat="false" ht="15" hidden="false" customHeight="false" outlineLevel="0" collapsed="false">
      <c r="F1344" s="41" t="str">
        <f aca="false">IF(E1344="","",IFERROR(VLOOKUP(E1344,Assumptions!$G$5:$H$16,2,0),"Other"))</f>
        <v/>
      </c>
      <c r="J1344" s="41" t="str">
        <f aca="false">IF(G1344="","",IFERROR(IF(ISNUMBER(SEARCH(Assumptions!$C$5,G1344)),Assumptions!$D$5,IF(ISNUMBER(SEARCH(Assumptions!$C$6,G1344)),Assumptions!$D$6,IF(ISNUMBER(SEARCH(Assumptions!$C$7,G1344)),Assumptions!$D$7,"Other Services"))),"Other Services"))</f>
        <v/>
      </c>
    </row>
    <row r="1345" customFormat="false" ht="15" hidden="false" customHeight="false" outlineLevel="0" collapsed="false">
      <c r="F1345" s="41" t="str">
        <f aca="false">IF(E1345="","",IFERROR(VLOOKUP(E1345,Assumptions!$G$5:$H$16,2,0),"Other"))</f>
        <v/>
      </c>
      <c r="J1345" s="41" t="str">
        <f aca="false">IF(G1345="","",IFERROR(IF(ISNUMBER(SEARCH(Assumptions!$C$5,G1345)),Assumptions!$D$5,IF(ISNUMBER(SEARCH(Assumptions!$C$6,G1345)),Assumptions!$D$6,IF(ISNUMBER(SEARCH(Assumptions!$C$7,G1345)),Assumptions!$D$7,"Other Services"))),"Other Services"))</f>
        <v/>
      </c>
    </row>
    <row r="1346" customFormat="false" ht="15" hidden="false" customHeight="false" outlineLevel="0" collapsed="false">
      <c r="F1346" s="41" t="str">
        <f aca="false">IF(E1346="","",IFERROR(VLOOKUP(E1346,Assumptions!$G$5:$H$16,2,0),"Other"))</f>
        <v/>
      </c>
      <c r="J1346" s="41" t="str">
        <f aca="false">IF(G1346="","",IFERROR(IF(ISNUMBER(SEARCH(Assumptions!$C$5,G1346)),Assumptions!$D$5,IF(ISNUMBER(SEARCH(Assumptions!$C$6,G1346)),Assumptions!$D$6,IF(ISNUMBER(SEARCH(Assumptions!$C$7,G1346)),Assumptions!$D$7,"Other Services"))),"Other Services"))</f>
        <v/>
      </c>
    </row>
    <row r="1347" customFormat="false" ht="15" hidden="false" customHeight="false" outlineLevel="0" collapsed="false">
      <c r="F1347" s="41" t="str">
        <f aca="false">IF(E1347="","",IFERROR(VLOOKUP(E1347,Assumptions!$G$5:$H$16,2,0),"Other"))</f>
        <v/>
      </c>
      <c r="J1347" s="41" t="str">
        <f aca="false">IF(G1347="","",IFERROR(IF(ISNUMBER(SEARCH(Assumptions!$C$5,G1347)),Assumptions!$D$5,IF(ISNUMBER(SEARCH(Assumptions!$C$6,G1347)),Assumptions!$D$6,IF(ISNUMBER(SEARCH(Assumptions!$C$7,G1347)),Assumptions!$D$7,"Other Services"))),"Other Services"))</f>
        <v/>
      </c>
    </row>
    <row r="1348" customFormat="false" ht="15" hidden="false" customHeight="false" outlineLevel="0" collapsed="false">
      <c r="F1348" s="41" t="str">
        <f aca="false">IF(E1348="","",IFERROR(VLOOKUP(E1348,Assumptions!$G$5:$H$16,2,0),"Other"))</f>
        <v/>
      </c>
      <c r="J1348" s="41" t="str">
        <f aca="false">IF(G1348="","",IFERROR(IF(ISNUMBER(SEARCH(Assumptions!$C$5,G1348)),Assumptions!$D$5,IF(ISNUMBER(SEARCH(Assumptions!$C$6,G1348)),Assumptions!$D$6,IF(ISNUMBER(SEARCH(Assumptions!$C$7,G1348)),Assumptions!$D$7,"Other Services"))),"Other Services"))</f>
        <v/>
      </c>
    </row>
    <row r="1349" customFormat="false" ht="15" hidden="false" customHeight="false" outlineLevel="0" collapsed="false">
      <c r="F1349" s="41" t="str">
        <f aca="false">IF(E1349="","",IFERROR(VLOOKUP(E1349,Assumptions!$G$5:$H$16,2,0),"Other"))</f>
        <v/>
      </c>
      <c r="J1349" s="41" t="str">
        <f aca="false">IF(G1349="","",IFERROR(IF(ISNUMBER(SEARCH(Assumptions!$C$5,G1349)),Assumptions!$D$5,IF(ISNUMBER(SEARCH(Assumptions!$C$6,G1349)),Assumptions!$D$6,IF(ISNUMBER(SEARCH(Assumptions!$C$7,G1349)),Assumptions!$D$7,"Other Services"))),"Other Services"))</f>
        <v/>
      </c>
    </row>
    <row r="1350" customFormat="false" ht="15" hidden="false" customHeight="false" outlineLevel="0" collapsed="false">
      <c r="F1350" s="41" t="str">
        <f aca="false">IF(E1350="","",IFERROR(VLOOKUP(E1350,Assumptions!$G$5:$H$16,2,0),"Other"))</f>
        <v/>
      </c>
      <c r="J1350" s="41" t="str">
        <f aca="false">IF(G1350="","",IFERROR(IF(ISNUMBER(SEARCH(Assumptions!$C$5,G1350)),Assumptions!$D$5,IF(ISNUMBER(SEARCH(Assumptions!$C$6,G1350)),Assumptions!$D$6,IF(ISNUMBER(SEARCH(Assumptions!$C$7,G1350)),Assumptions!$D$7,"Other Services"))),"Other Services"))</f>
        <v/>
      </c>
    </row>
    <row r="1351" customFormat="false" ht="15" hidden="false" customHeight="false" outlineLevel="0" collapsed="false">
      <c r="F1351" s="41" t="str">
        <f aca="false">IF(E1351="","",IFERROR(VLOOKUP(E1351,Assumptions!$G$5:$H$16,2,0),"Other"))</f>
        <v/>
      </c>
      <c r="J1351" s="41" t="str">
        <f aca="false">IF(G1351="","",IFERROR(IF(ISNUMBER(SEARCH(Assumptions!$C$5,G1351)),Assumptions!$D$5,IF(ISNUMBER(SEARCH(Assumptions!$C$6,G1351)),Assumptions!$D$6,IF(ISNUMBER(SEARCH(Assumptions!$C$7,G1351)),Assumptions!$D$7,"Other Services"))),"Other Services"))</f>
        <v/>
      </c>
    </row>
    <row r="1352" customFormat="false" ht="15" hidden="false" customHeight="false" outlineLevel="0" collapsed="false">
      <c r="F1352" s="41" t="str">
        <f aca="false">IF(E1352="","",IFERROR(VLOOKUP(E1352,Assumptions!$G$5:$H$16,2,0),"Other"))</f>
        <v/>
      </c>
      <c r="J1352" s="41" t="str">
        <f aca="false">IF(G1352="","",IFERROR(IF(ISNUMBER(SEARCH(Assumptions!$C$5,G1352)),Assumptions!$D$5,IF(ISNUMBER(SEARCH(Assumptions!$C$6,G1352)),Assumptions!$D$6,IF(ISNUMBER(SEARCH(Assumptions!$C$7,G1352)),Assumptions!$D$7,"Other Services"))),"Other Services"))</f>
        <v/>
      </c>
    </row>
    <row r="1353" customFormat="false" ht="15" hidden="false" customHeight="false" outlineLevel="0" collapsed="false">
      <c r="F1353" s="41" t="str">
        <f aca="false">IF(E1353="","",IFERROR(VLOOKUP(E1353,Assumptions!$G$5:$H$16,2,0),"Other"))</f>
        <v/>
      </c>
      <c r="J1353" s="41" t="str">
        <f aca="false">IF(G1353="","",IFERROR(IF(ISNUMBER(SEARCH(Assumptions!$C$5,G1353)),Assumptions!$D$5,IF(ISNUMBER(SEARCH(Assumptions!$C$6,G1353)),Assumptions!$D$6,IF(ISNUMBER(SEARCH(Assumptions!$C$7,G1353)),Assumptions!$D$7,"Other Services"))),"Other Services"))</f>
        <v/>
      </c>
    </row>
    <row r="1354" customFormat="false" ht="15" hidden="false" customHeight="false" outlineLevel="0" collapsed="false">
      <c r="F1354" s="41" t="str">
        <f aca="false">IF(E1354="","",IFERROR(VLOOKUP(E1354,Assumptions!$G$5:$H$16,2,0),"Other"))</f>
        <v/>
      </c>
      <c r="J1354" s="41" t="str">
        <f aca="false">IF(G1354="","",IFERROR(IF(ISNUMBER(SEARCH(Assumptions!$C$5,G1354)),Assumptions!$D$5,IF(ISNUMBER(SEARCH(Assumptions!$C$6,G1354)),Assumptions!$D$6,IF(ISNUMBER(SEARCH(Assumptions!$C$7,G1354)),Assumptions!$D$7,"Other Services"))),"Other Services"))</f>
        <v/>
      </c>
    </row>
    <row r="1355" customFormat="false" ht="15" hidden="false" customHeight="false" outlineLevel="0" collapsed="false">
      <c r="F1355" s="41" t="str">
        <f aca="false">IF(E1355="","",IFERROR(VLOOKUP(E1355,Assumptions!$G$5:$H$16,2,0),"Other"))</f>
        <v/>
      </c>
      <c r="J1355" s="41" t="str">
        <f aca="false">IF(G1355="","",IFERROR(IF(ISNUMBER(SEARCH(Assumptions!$C$5,G1355)),Assumptions!$D$5,IF(ISNUMBER(SEARCH(Assumptions!$C$6,G1355)),Assumptions!$D$6,IF(ISNUMBER(SEARCH(Assumptions!$C$7,G1355)),Assumptions!$D$7,"Other Services"))),"Other Services"))</f>
        <v/>
      </c>
    </row>
    <row r="1356" customFormat="false" ht="15" hidden="false" customHeight="false" outlineLevel="0" collapsed="false">
      <c r="F1356" s="41" t="str">
        <f aca="false">IF(E1356="","",IFERROR(VLOOKUP(E1356,Assumptions!$G$5:$H$16,2,0),"Other"))</f>
        <v/>
      </c>
      <c r="J1356" s="41" t="str">
        <f aca="false">IF(G1356="","",IFERROR(IF(ISNUMBER(SEARCH(Assumptions!$C$5,G1356)),Assumptions!$D$5,IF(ISNUMBER(SEARCH(Assumptions!$C$6,G1356)),Assumptions!$D$6,IF(ISNUMBER(SEARCH(Assumptions!$C$7,G1356)),Assumptions!$D$7,"Other Services"))),"Other Services"))</f>
        <v/>
      </c>
    </row>
    <row r="1357" customFormat="false" ht="15" hidden="false" customHeight="false" outlineLevel="0" collapsed="false">
      <c r="F1357" s="41" t="str">
        <f aca="false">IF(E1357="","",IFERROR(VLOOKUP(E1357,Assumptions!$G$5:$H$16,2,0),"Other"))</f>
        <v/>
      </c>
      <c r="J1357" s="41" t="str">
        <f aca="false">IF(G1357="","",IFERROR(IF(ISNUMBER(SEARCH(Assumptions!$C$5,G1357)),Assumptions!$D$5,IF(ISNUMBER(SEARCH(Assumptions!$C$6,G1357)),Assumptions!$D$6,IF(ISNUMBER(SEARCH(Assumptions!$C$7,G1357)),Assumptions!$D$7,"Other Services"))),"Other Services"))</f>
        <v/>
      </c>
    </row>
    <row r="1358" customFormat="false" ht="15" hidden="false" customHeight="false" outlineLevel="0" collapsed="false">
      <c r="F1358" s="41" t="str">
        <f aca="false">IF(E1358="","",IFERROR(VLOOKUP(E1358,Assumptions!$G$5:$H$16,2,0),"Other"))</f>
        <v/>
      </c>
      <c r="J1358" s="41" t="str">
        <f aca="false">IF(G1358="","",IFERROR(IF(ISNUMBER(SEARCH(Assumptions!$C$5,G1358)),Assumptions!$D$5,IF(ISNUMBER(SEARCH(Assumptions!$C$6,G1358)),Assumptions!$D$6,IF(ISNUMBER(SEARCH(Assumptions!$C$7,G1358)),Assumptions!$D$7,"Other Services"))),"Other Services"))</f>
        <v/>
      </c>
    </row>
    <row r="1359" customFormat="false" ht="15" hidden="false" customHeight="false" outlineLevel="0" collapsed="false">
      <c r="F1359" s="41" t="str">
        <f aca="false">IF(E1359="","",IFERROR(VLOOKUP(E1359,Assumptions!$G$5:$H$16,2,0),"Other"))</f>
        <v/>
      </c>
      <c r="J1359" s="41" t="str">
        <f aca="false">IF(G1359="","",IFERROR(IF(ISNUMBER(SEARCH(Assumptions!$C$5,G1359)),Assumptions!$D$5,IF(ISNUMBER(SEARCH(Assumptions!$C$6,G1359)),Assumptions!$D$6,IF(ISNUMBER(SEARCH(Assumptions!$C$7,G1359)),Assumptions!$D$7,"Other Services"))),"Other Services"))</f>
        <v/>
      </c>
    </row>
    <row r="1360" customFormat="false" ht="15" hidden="false" customHeight="false" outlineLevel="0" collapsed="false">
      <c r="F1360" s="41" t="str">
        <f aca="false">IF(E1360="","",IFERROR(VLOOKUP(E1360,Assumptions!$G$5:$H$16,2,0),"Other"))</f>
        <v/>
      </c>
      <c r="J1360" s="41" t="str">
        <f aca="false">IF(G1360="","",IFERROR(IF(ISNUMBER(SEARCH(Assumptions!$C$5,G1360)),Assumptions!$D$5,IF(ISNUMBER(SEARCH(Assumptions!$C$6,G1360)),Assumptions!$D$6,IF(ISNUMBER(SEARCH(Assumptions!$C$7,G1360)),Assumptions!$D$7,"Other Services"))),"Other Services"))</f>
        <v/>
      </c>
    </row>
    <row r="1361" customFormat="false" ht="15" hidden="false" customHeight="false" outlineLevel="0" collapsed="false">
      <c r="F1361" s="41" t="str">
        <f aca="false">IF(E1361="","",IFERROR(VLOOKUP(E1361,Assumptions!$G$5:$H$16,2,0),"Other"))</f>
        <v/>
      </c>
      <c r="J1361" s="41" t="str">
        <f aca="false">IF(G1361="","",IFERROR(IF(ISNUMBER(SEARCH(Assumptions!$C$5,G1361)),Assumptions!$D$5,IF(ISNUMBER(SEARCH(Assumptions!$C$6,G1361)),Assumptions!$D$6,IF(ISNUMBER(SEARCH(Assumptions!$C$7,G1361)),Assumptions!$D$7,"Other Services"))),"Other Services"))</f>
        <v/>
      </c>
    </row>
    <row r="1362" customFormat="false" ht="15" hidden="false" customHeight="false" outlineLevel="0" collapsed="false">
      <c r="F1362" s="41" t="str">
        <f aca="false">IF(E1362="","",IFERROR(VLOOKUP(E1362,Assumptions!$G$5:$H$16,2,0),"Other"))</f>
        <v/>
      </c>
      <c r="J1362" s="41" t="str">
        <f aca="false">IF(G1362="","",IFERROR(IF(ISNUMBER(SEARCH(Assumptions!$C$5,G1362)),Assumptions!$D$5,IF(ISNUMBER(SEARCH(Assumptions!$C$6,G1362)),Assumptions!$D$6,IF(ISNUMBER(SEARCH(Assumptions!$C$7,G1362)),Assumptions!$D$7,"Other Services"))),"Other Services"))</f>
        <v/>
      </c>
    </row>
    <row r="1363" customFormat="false" ht="15" hidden="false" customHeight="false" outlineLevel="0" collapsed="false">
      <c r="F1363" s="41" t="str">
        <f aca="false">IF(E1363="","",IFERROR(VLOOKUP(E1363,Assumptions!$G$5:$H$16,2,0),"Other"))</f>
        <v/>
      </c>
      <c r="J1363" s="41" t="str">
        <f aca="false">IF(G1363="","",IFERROR(IF(ISNUMBER(SEARCH(Assumptions!$C$5,G1363)),Assumptions!$D$5,IF(ISNUMBER(SEARCH(Assumptions!$C$6,G1363)),Assumptions!$D$6,IF(ISNUMBER(SEARCH(Assumptions!$C$7,G1363)),Assumptions!$D$7,"Other Services"))),"Other Services"))</f>
        <v/>
      </c>
    </row>
    <row r="1364" customFormat="false" ht="15" hidden="false" customHeight="false" outlineLevel="0" collapsed="false">
      <c r="F1364" s="41" t="str">
        <f aca="false">IF(E1364="","",IFERROR(VLOOKUP(E1364,Assumptions!$G$5:$H$16,2,0),"Other"))</f>
        <v/>
      </c>
      <c r="J1364" s="41" t="str">
        <f aca="false">IF(G1364="","",IFERROR(IF(ISNUMBER(SEARCH(Assumptions!$C$5,G1364)),Assumptions!$D$5,IF(ISNUMBER(SEARCH(Assumptions!$C$6,G1364)),Assumptions!$D$6,IF(ISNUMBER(SEARCH(Assumptions!$C$7,G1364)),Assumptions!$D$7,"Other Services"))),"Other Services"))</f>
        <v/>
      </c>
    </row>
    <row r="1365" customFormat="false" ht="15" hidden="false" customHeight="false" outlineLevel="0" collapsed="false">
      <c r="F1365" s="41" t="str">
        <f aca="false">IF(E1365="","",IFERROR(VLOOKUP(E1365,Assumptions!$G$5:$H$16,2,0),"Other"))</f>
        <v/>
      </c>
      <c r="J1365" s="41" t="str">
        <f aca="false">IF(G1365="","",IFERROR(IF(ISNUMBER(SEARCH(Assumptions!$C$5,G1365)),Assumptions!$D$5,IF(ISNUMBER(SEARCH(Assumptions!$C$6,G1365)),Assumptions!$D$6,IF(ISNUMBER(SEARCH(Assumptions!$C$7,G1365)),Assumptions!$D$7,"Other Services"))),"Other Services"))</f>
        <v/>
      </c>
    </row>
    <row r="1366" customFormat="false" ht="15" hidden="false" customHeight="false" outlineLevel="0" collapsed="false">
      <c r="F1366" s="41" t="str">
        <f aca="false">IF(E1366="","",IFERROR(VLOOKUP(E1366,Assumptions!$G$5:$H$16,2,0),"Other"))</f>
        <v/>
      </c>
      <c r="J1366" s="41" t="str">
        <f aca="false">IF(G1366="","",IFERROR(IF(ISNUMBER(SEARCH(Assumptions!$C$5,G1366)),Assumptions!$D$5,IF(ISNUMBER(SEARCH(Assumptions!$C$6,G1366)),Assumptions!$D$6,IF(ISNUMBER(SEARCH(Assumptions!$C$7,G1366)),Assumptions!$D$7,"Other Services"))),"Other Services"))</f>
        <v/>
      </c>
    </row>
    <row r="1367" customFormat="false" ht="15" hidden="false" customHeight="false" outlineLevel="0" collapsed="false">
      <c r="F1367" s="41" t="str">
        <f aca="false">IF(E1367="","",IFERROR(VLOOKUP(E1367,Assumptions!$G$5:$H$16,2,0),"Other"))</f>
        <v/>
      </c>
      <c r="J1367" s="41" t="str">
        <f aca="false">IF(G1367="","",IFERROR(IF(ISNUMBER(SEARCH(Assumptions!$C$5,G1367)),Assumptions!$D$5,IF(ISNUMBER(SEARCH(Assumptions!$C$6,G1367)),Assumptions!$D$6,IF(ISNUMBER(SEARCH(Assumptions!$C$7,G1367)),Assumptions!$D$7,"Other Services"))),"Other Services"))</f>
        <v/>
      </c>
    </row>
    <row r="1368" customFormat="false" ht="15" hidden="false" customHeight="false" outlineLevel="0" collapsed="false">
      <c r="F1368" s="41" t="str">
        <f aca="false">IF(E1368="","",IFERROR(VLOOKUP(E1368,Assumptions!$G$5:$H$16,2,0),"Other"))</f>
        <v/>
      </c>
      <c r="J1368" s="41" t="str">
        <f aca="false">IF(G1368="","",IFERROR(IF(ISNUMBER(SEARCH(Assumptions!$C$5,G1368)),Assumptions!$D$5,IF(ISNUMBER(SEARCH(Assumptions!$C$6,G1368)),Assumptions!$D$6,IF(ISNUMBER(SEARCH(Assumptions!$C$7,G1368)),Assumptions!$D$7,"Other Services"))),"Other Services"))</f>
        <v/>
      </c>
    </row>
    <row r="1369" customFormat="false" ht="15" hidden="false" customHeight="false" outlineLevel="0" collapsed="false">
      <c r="F1369" s="41" t="str">
        <f aca="false">IF(E1369="","",IFERROR(VLOOKUP(E1369,Assumptions!$G$5:$H$16,2,0),"Other"))</f>
        <v/>
      </c>
      <c r="J1369" s="41" t="str">
        <f aca="false">IF(G1369="","",IFERROR(IF(ISNUMBER(SEARCH(Assumptions!$C$5,G1369)),Assumptions!$D$5,IF(ISNUMBER(SEARCH(Assumptions!$C$6,G1369)),Assumptions!$D$6,IF(ISNUMBER(SEARCH(Assumptions!$C$7,G1369)),Assumptions!$D$7,"Other Services"))),"Other Services"))</f>
        <v/>
      </c>
    </row>
    <row r="1370" customFormat="false" ht="15" hidden="false" customHeight="false" outlineLevel="0" collapsed="false">
      <c r="F1370" s="41" t="str">
        <f aca="false">IF(E1370="","",IFERROR(VLOOKUP(E1370,Assumptions!$G$5:$H$16,2,0),"Other"))</f>
        <v/>
      </c>
      <c r="J1370" s="41" t="str">
        <f aca="false">IF(G1370="","",IFERROR(IF(ISNUMBER(SEARCH(Assumptions!$C$5,G1370)),Assumptions!$D$5,IF(ISNUMBER(SEARCH(Assumptions!$C$6,G1370)),Assumptions!$D$6,IF(ISNUMBER(SEARCH(Assumptions!$C$7,G1370)),Assumptions!$D$7,"Other Services"))),"Other Services"))</f>
        <v/>
      </c>
    </row>
    <row r="1371" customFormat="false" ht="15" hidden="false" customHeight="false" outlineLevel="0" collapsed="false">
      <c r="F1371" s="41" t="str">
        <f aca="false">IF(E1371="","",IFERROR(VLOOKUP(E1371,Assumptions!$G$5:$H$16,2,0),"Other"))</f>
        <v/>
      </c>
      <c r="J1371" s="41" t="str">
        <f aca="false">IF(G1371="","",IFERROR(IF(ISNUMBER(SEARCH(Assumptions!$C$5,G1371)),Assumptions!$D$5,IF(ISNUMBER(SEARCH(Assumptions!$C$6,G1371)),Assumptions!$D$6,IF(ISNUMBER(SEARCH(Assumptions!$C$7,G1371)),Assumptions!$D$7,"Other Services"))),"Other Services"))</f>
        <v/>
      </c>
    </row>
    <row r="1372" customFormat="false" ht="15" hidden="false" customHeight="false" outlineLevel="0" collapsed="false">
      <c r="F1372" s="41" t="str">
        <f aca="false">IF(E1372="","",IFERROR(VLOOKUP(E1372,Assumptions!$G$5:$H$16,2,0),"Other"))</f>
        <v/>
      </c>
      <c r="J1372" s="41" t="str">
        <f aca="false">IF(G1372="","",IFERROR(IF(ISNUMBER(SEARCH(Assumptions!$C$5,G1372)),Assumptions!$D$5,IF(ISNUMBER(SEARCH(Assumptions!$C$6,G1372)),Assumptions!$D$6,IF(ISNUMBER(SEARCH(Assumptions!$C$7,G1372)),Assumptions!$D$7,"Other Services"))),"Other Services"))</f>
        <v/>
      </c>
    </row>
    <row r="1373" customFormat="false" ht="15" hidden="false" customHeight="false" outlineLevel="0" collapsed="false">
      <c r="F1373" s="41" t="str">
        <f aca="false">IF(E1373="","",IFERROR(VLOOKUP(E1373,Assumptions!$G$5:$H$16,2,0),"Other"))</f>
        <v/>
      </c>
      <c r="J1373" s="41" t="str">
        <f aca="false">IF(G1373="","",IFERROR(IF(ISNUMBER(SEARCH(Assumptions!$C$5,G1373)),Assumptions!$D$5,IF(ISNUMBER(SEARCH(Assumptions!$C$6,G1373)),Assumptions!$D$6,IF(ISNUMBER(SEARCH(Assumptions!$C$7,G1373)),Assumptions!$D$7,"Other Services"))),"Other Services"))</f>
        <v/>
      </c>
    </row>
    <row r="1374" customFormat="false" ht="15" hidden="false" customHeight="false" outlineLevel="0" collapsed="false">
      <c r="F1374" s="41" t="str">
        <f aca="false">IF(E1374="","",IFERROR(VLOOKUP(E1374,Assumptions!$G$5:$H$16,2,0),"Other"))</f>
        <v/>
      </c>
      <c r="J1374" s="41" t="str">
        <f aca="false">IF(G1374="","",IFERROR(IF(ISNUMBER(SEARCH(Assumptions!$C$5,G1374)),Assumptions!$D$5,IF(ISNUMBER(SEARCH(Assumptions!$C$6,G1374)),Assumptions!$D$6,IF(ISNUMBER(SEARCH(Assumptions!$C$7,G1374)),Assumptions!$D$7,"Other Services"))),"Other Services"))</f>
        <v/>
      </c>
    </row>
    <row r="1375" customFormat="false" ht="15" hidden="false" customHeight="false" outlineLevel="0" collapsed="false">
      <c r="F1375" s="41" t="str">
        <f aca="false">IF(E1375="","",IFERROR(VLOOKUP(E1375,Assumptions!$G$5:$H$16,2,0),"Other"))</f>
        <v/>
      </c>
      <c r="J1375" s="41" t="str">
        <f aca="false">IF(G1375="","",IFERROR(IF(ISNUMBER(SEARCH(Assumptions!$C$5,G1375)),Assumptions!$D$5,IF(ISNUMBER(SEARCH(Assumptions!$C$6,G1375)),Assumptions!$D$6,IF(ISNUMBER(SEARCH(Assumptions!$C$7,G1375)),Assumptions!$D$7,"Other Services"))),"Other Services"))</f>
        <v/>
      </c>
    </row>
    <row r="1376" customFormat="false" ht="15" hidden="false" customHeight="false" outlineLevel="0" collapsed="false">
      <c r="F1376" s="41" t="str">
        <f aca="false">IF(E1376="","",IFERROR(VLOOKUP(E1376,Assumptions!$G$5:$H$16,2,0),"Other"))</f>
        <v/>
      </c>
      <c r="J1376" s="41" t="str">
        <f aca="false">IF(G1376="","",IFERROR(IF(ISNUMBER(SEARCH(Assumptions!$C$5,G1376)),Assumptions!$D$5,IF(ISNUMBER(SEARCH(Assumptions!$C$6,G1376)),Assumptions!$D$6,IF(ISNUMBER(SEARCH(Assumptions!$C$7,G1376)),Assumptions!$D$7,"Other Services"))),"Other Services"))</f>
        <v/>
      </c>
    </row>
    <row r="1377" customFormat="false" ht="15" hidden="false" customHeight="false" outlineLevel="0" collapsed="false">
      <c r="F1377" s="41" t="str">
        <f aca="false">IF(E1377="","",IFERROR(VLOOKUP(E1377,Assumptions!$G$5:$H$16,2,0),"Other"))</f>
        <v/>
      </c>
      <c r="J1377" s="41" t="str">
        <f aca="false">IF(G1377="","",IFERROR(IF(ISNUMBER(SEARCH(Assumptions!$C$5,G1377)),Assumptions!$D$5,IF(ISNUMBER(SEARCH(Assumptions!$C$6,G1377)),Assumptions!$D$6,IF(ISNUMBER(SEARCH(Assumptions!$C$7,G1377)),Assumptions!$D$7,"Other Services"))),"Other Services"))</f>
        <v/>
      </c>
    </row>
    <row r="1378" customFormat="false" ht="15" hidden="false" customHeight="false" outlineLevel="0" collapsed="false">
      <c r="F1378" s="41" t="str">
        <f aca="false">IF(E1378="","",IFERROR(VLOOKUP(E1378,Assumptions!$G$5:$H$16,2,0),"Other"))</f>
        <v/>
      </c>
      <c r="J1378" s="41" t="str">
        <f aca="false">IF(G1378="","",IFERROR(IF(ISNUMBER(SEARCH(Assumptions!$C$5,G1378)),Assumptions!$D$5,IF(ISNUMBER(SEARCH(Assumptions!$C$6,G1378)),Assumptions!$D$6,IF(ISNUMBER(SEARCH(Assumptions!$C$7,G1378)),Assumptions!$D$7,"Other Services"))),"Other Services"))</f>
        <v/>
      </c>
    </row>
    <row r="1379" customFormat="false" ht="15" hidden="false" customHeight="false" outlineLevel="0" collapsed="false">
      <c r="F1379" s="41" t="str">
        <f aca="false">IF(E1379="","",IFERROR(VLOOKUP(E1379,Assumptions!$G$5:$H$16,2,0),"Other"))</f>
        <v/>
      </c>
      <c r="J1379" s="41" t="str">
        <f aca="false">IF(G1379="","",IFERROR(IF(ISNUMBER(SEARCH(Assumptions!$C$5,G1379)),Assumptions!$D$5,IF(ISNUMBER(SEARCH(Assumptions!$C$6,G1379)),Assumptions!$D$6,IF(ISNUMBER(SEARCH(Assumptions!$C$7,G1379)),Assumptions!$D$7,"Other Services"))),"Other Services"))</f>
        <v/>
      </c>
    </row>
    <row r="1380" customFormat="false" ht="15" hidden="false" customHeight="false" outlineLevel="0" collapsed="false">
      <c r="F1380" s="41" t="str">
        <f aca="false">IF(E1380="","",IFERROR(VLOOKUP(E1380,Assumptions!$G$5:$H$16,2,0),"Other"))</f>
        <v/>
      </c>
      <c r="J1380" s="41" t="str">
        <f aca="false">IF(G1380="","",IFERROR(IF(ISNUMBER(SEARCH(Assumptions!$C$5,G1380)),Assumptions!$D$5,IF(ISNUMBER(SEARCH(Assumptions!$C$6,G1380)),Assumptions!$D$6,IF(ISNUMBER(SEARCH(Assumptions!$C$7,G1380)),Assumptions!$D$7,"Other Services"))),"Other Services"))</f>
        <v/>
      </c>
    </row>
    <row r="1381" customFormat="false" ht="15" hidden="false" customHeight="false" outlineLevel="0" collapsed="false">
      <c r="F1381" s="41" t="str">
        <f aca="false">IF(E1381="","",IFERROR(VLOOKUP(E1381,Assumptions!$G$5:$H$16,2,0),"Other"))</f>
        <v/>
      </c>
      <c r="J1381" s="41" t="str">
        <f aca="false">IF(G1381="","",IFERROR(IF(ISNUMBER(SEARCH(Assumptions!$C$5,G1381)),Assumptions!$D$5,IF(ISNUMBER(SEARCH(Assumptions!$C$6,G1381)),Assumptions!$D$6,IF(ISNUMBER(SEARCH(Assumptions!$C$7,G1381)),Assumptions!$D$7,"Other Services"))),"Other Services"))</f>
        <v/>
      </c>
    </row>
    <row r="1382" customFormat="false" ht="15" hidden="false" customHeight="false" outlineLevel="0" collapsed="false">
      <c r="F1382" s="41" t="str">
        <f aca="false">IF(E1382="","",IFERROR(VLOOKUP(E1382,Assumptions!$G$5:$H$16,2,0),"Other"))</f>
        <v/>
      </c>
      <c r="J1382" s="41" t="str">
        <f aca="false">IF(G1382="","",IFERROR(IF(ISNUMBER(SEARCH(Assumptions!$C$5,G1382)),Assumptions!$D$5,IF(ISNUMBER(SEARCH(Assumptions!$C$6,G1382)),Assumptions!$D$6,IF(ISNUMBER(SEARCH(Assumptions!$C$7,G1382)),Assumptions!$D$7,"Other Services"))),"Other Services"))</f>
        <v/>
      </c>
    </row>
    <row r="1383" customFormat="false" ht="15" hidden="false" customHeight="false" outlineLevel="0" collapsed="false">
      <c r="F1383" s="41" t="str">
        <f aca="false">IF(E1383="","",IFERROR(VLOOKUP(E1383,Assumptions!$G$5:$H$16,2,0),"Other"))</f>
        <v/>
      </c>
      <c r="J1383" s="41" t="str">
        <f aca="false">IF(G1383="","",IFERROR(IF(ISNUMBER(SEARCH(Assumptions!$C$5,G1383)),Assumptions!$D$5,IF(ISNUMBER(SEARCH(Assumptions!$C$6,G1383)),Assumptions!$D$6,IF(ISNUMBER(SEARCH(Assumptions!$C$7,G1383)),Assumptions!$D$7,"Other Services"))),"Other Services"))</f>
        <v/>
      </c>
    </row>
    <row r="1384" customFormat="false" ht="15" hidden="false" customHeight="false" outlineLevel="0" collapsed="false">
      <c r="F1384" s="41" t="str">
        <f aca="false">IF(E1384="","",IFERROR(VLOOKUP(E1384,Assumptions!$G$5:$H$16,2,0),"Other"))</f>
        <v/>
      </c>
      <c r="J1384" s="41" t="str">
        <f aca="false">IF(G1384="","",IFERROR(IF(ISNUMBER(SEARCH(Assumptions!$C$5,G1384)),Assumptions!$D$5,IF(ISNUMBER(SEARCH(Assumptions!$C$6,G1384)),Assumptions!$D$6,IF(ISNUMBER(SEARCH(Assumptions!$C$7,G1384)),Assumptions!$D$7,"Other Services"))),"Other Services"))</f>
        <v/>
      </c>
    </row>
    <row r="1385" customFormat="false" ht="15" hidden="false" customHeight="false" outlineLevel="0" collapsed="false">
      <c r="F1385" s="41" t="str">
        <f aca="false">IF(E1385="","",IFERROR(VLOOKUP(E1385,Assumptions!$G$5:$H$16,2,0),"Other"))</f>
        <v/>
      </c>
      <c r="J1385" s="41" t="str">
        <f aca="false">IF(G1385="","",IFERROR(IF(ISNUMBER(SEARCH(Assumptions!$C$5,G1385)),Assumptions!$D$5,IF(ISNUMBER(SEARCH(Assumptions!$C$6,G1385)),Assumptions!$D$6,IF(ISNUMBER(SEARCH(Assumptions!$C$7,G1385)),Assumptions!$D$7,"Other Services"))),"Other Services"))</f>
        <v/>
      </c>
    </row>
    <row r="1386" customFormat="false" ht="15" hidden="false" customHeight="false" outlineLevel="0" collapsed="false">
      <c r="F1386" s="41" t="str">
        <f aca="false">IF(E1386="","",IFERROR(VLOOKUP(E1386,Assumptions!$G$5:$H$16,2,0),"Other"))</f>
        <v/>
      </c>
      <c r="J1386" s="41" t="str">
        <f aca="false">IF(G1386="","",IFERROR(IF(ISNUMBER(SEARCH(Assumptions!$C$5,G1386)),Assumptions!$D$5,IF(ISNUMBER(SEARCH(Assumptions!$C$6,G1386)),Assumptions!$D$6,IF(ISNUMBER(SEARCH(Assumptions!$C$7,G1386)),Assumptions!$D$7,"Other Services"))),"Other Services"))</f>
        <v/>
      </c>
    </row>
    <row r="1387" customFormat="false" ht="15" hidden="false" customHeight="false" outlineLevel="0" collapsed="false">
      <c r="F1387" s="41" t="str">
        <f aca="false">IF(E1387="","",IFERROR(VLOOKUP(E1387,Assumptions!$G$5:$H$16,2,0),"Other"))</f>
        <v/>
      </c>
      <c r="J1387" s="41" t="str">
        <f aca="false">IF(G1387="","",IFERROR(IF(ISNUMBER(SEARCH(Assumptions!$C$5,G1387)),Assumptions!$D$5,IF(ISNUMBER(SEARCH(Assumptions!$C$6,G1387)),Assumptions!$D$6,IF(ISNUMBER(SEARCH(Assumptions!$C$7,G1387)),Assumptions!$D$7,"Other Services"))),"Other Services"))</f>
        <v/>
      </c>
    </row>
    <row r="1388" customFormat="false" ht="15" hidden="false" customHeight="false" outlineLevel="0" collapsed="false">
      <c r="F1388" s="41" t="str">
        <f aca="false">IF(E1388="","",IFERROR(VLOOKUP(E1388,Assumptions!$G$5:$H$16,2,0),"Other"))</f>
        <v/>
      </c>
      <c r="J1388" s="41" t="str">
        <f aca="false">IF(G1388="","",IFERROR(IF(ISNUMBER(SEARCH(Assumptions!$C$5,G1388)),Assumptions!$D$5,IF(ISNUMBER(SEARCH(Assumptions!$C$6,G1388)),Assumptions!$D$6,IF(ISNUMBER(SEARCH(Assumptions!$C$7,G1388)),Assumptions!$D$7,"Other Services"))),"Other Services"))</f>
        <v/>
      </c>
    </row>
    <row r="1389" customFormat="false" ht="15" hidden="false" customHeight="false" outlineLevel="0" collapsed="false">
      <c r="F1389" s="41" t="str">
        <f aca="false">IF(E1389="","",IFERROR(VLOOKUP(E1389,Assumptions!$G$5:$H$16,2,0),"Other"))</f>
        <v/>
      </c>
      <c r="J1389" s="41" t="str">
        <f aca="false">IF(G1389="","",IFERROR(IF(ISNUMBER(SEARCH(Assumptions!$C$5,G1389)),Assumptions!$D$5,IF(ISNUMBER(SEARCH(Assumptions!$C$6,G1389)),Assumptions!$D$6,IF(ISNUMBER(SEARCH(Assumptions!$C$7,G1389)),Assumptions!$D$7,"Other Services"))),"Other Services"))</f>
        <v/>
      </c>
    </row>
    <row r="1390" customFormat="false" ht="15" hidden="false" customHeight="false" outlineLevel="0" collapsed="false">
      <c r="F1390" s="41" t="str">
        <f aca="false">IF(E1390="","",IFERROR(VLOOKUP(E1390,Assumptions!$G$5:$H$16,2,0),"Other"))</f>
        <v/>
      </c>
      <c r="J1390" s="41" t="str">
        <f aca="false">IF(G1390="","",IFERROR(IF(ISNUMBER(SEARCH(Assumptions!$C$5,G1390)),Assumptions!$D$5,IF(ISNUMBER(SEARCH(Assumptions!$C$6,G1390)),Assumptions!$D$6,IF(ISNUMBER(SEARCH(Assumptions!$C$7,G1390)),Assumptions!$D$7,"Other Services"))),"Other Services"))</f>
        <v/>
      </c>
    </row>
    <row r="1391" customFormat="false" ht="15" hidden="false" customHeight="false" outlineLevel="0" collapsed="false">
      <c r="F1391" s="41" t="str">
        <f aca="false">IF(E1391="","",IFERROR(VLOOKUP(E1391,Assumptions!$G$5:$H$16,2,0),"Other"))</f>
        <v/>
      </c>
      <c r="J1391" s="41" t="str">
        <f aca="false">IF(G1391="","",IFERROR(IF(ISNUMBER(SEARCH(Assumptions!$C$5,G1391)),Assumptions!$D$5,IF(ISNUMBER(SEARCH(Assumptions!$C$6,G1391)),Assumptions!$D$6,IF(ISNUMBER(SEARCH(Assumptions!$C$7,G1391)),Assumptions!$D$7,"Other Services"))),"Other Services"))</f>
        <v/>
      </c>
    </row>
    <row r="1392" customFormat="false" ht="15" hidden="false" customHeight="false" outlineLevel="0" collapsed="false">
      <c r="F1392" s="41" t="str">
        <f aca="false">IF(E1392="","",IFERROR(VLOOKUP(E1392,Assumptions!$G$5:$H$16,2,0),"Other"))</f>
        <v/>
      </c>
      <c r="J1392" s="41" t="str">
        <f aca="false">IF(G1392="","",IFERROR(IF(ISNUMBER(SEARCH(Assumptions!$C$5,G1392)),Assumptions!$D$5,IF(ISNUMBER(SEARCH(Assumptions!$C$6,G1392)),Assumptions!$D$6,IF(ISNUMBER(SEARCH(Assumptions!$C$7,G1392)),Assumptions!$D$7,"Other Services"))),"Other Services"))</f>
        <v/>
      </c>
    </row>
    <row r="1393" customFormat="false" ht="15" hidden="false" customHeight="false" outlineLevel="0" collapsed="false">
      <c r="F1393" s="41" t="str">
        <f aca="false">IF(E1393="","",IFERROR(VLOOKUP(E1393,Assumptions!$G$5:$H$16,2,0),"Other"))</f>
        <v/>
      </c>
      <c r="J1393" s="41" t="str">
        <f aca="false">IF(G1393="","",IFERROR(IF(ISNUMBER(SEARCH(Assumptions!$C$5,G1393)),Assumptions!$D$5,IF(ISNUMBER(SEARCH(Assumptions!$C$6,G1393)),Assumptions!$D$6,IF(ISNUMBER(SEARCH(Assumptions!$C$7,G1393)),Assumptions!$D$7,"Other Services"))),"Other Services"))</f>
        <v/>
      </c>
    </row>
    <row r="1394" customFormat="false" ht="15" hidden="false" customHeight="false" outlineLevel="0" collapsed="false">
      <c r="F1394" s="41" t="str">
        <f aca="false">IF(E1394="","",IFERROR(VLOOKUP(E1394,Assumptions!$G$5:$H$16,2,0),"Other"))</f>
        <v/>
      </c>
      <c r="J1394" s="41" t="str">
        <f aca="false">IF(G1394="","",IFERROR(IF(ISNUMBER(SEARCH(Assumptions!$C$5,G1394)),Assumptions!$D$5,IF(ISNUMBER(SEARCH(Assumptions!$C$6,G1394)),Assumptions!$D$6,IF(ISNUMBER(SEARCH(Assumptions!$C$7,G1394)),Assumptions!$D$7,"Other Services"))),"Other Services"))</f>
        <v/>
      </c>
    </row>
    <row r="1395" customFormat="false" ht="15" hidden="false" customHeight="false" outlineLevel="0" collapsed="false">
      <c r="F1395" s="41" t="str">
        <f aca="false">IF(E1395="","",IFERROR(VLOOKUP(E1395,Assumptions!$G$5:$H$16,2,0),"Other"))</f>
        <v/>
      </c>
      <c r="J1395" s="41" t="str">
        <f aca="false">IF(G1395="","",IFERROR(IF(ISNUMBER(SEARCH(Assumptions!$C$5,G1395)),Assumptions!$D$5,IF(ISNUMBER(SEARCH(Assumptions!$C$6,G1395)),Assumptions!$D$6,IF(ISNUMBER(SEARCH(Assumptions!$C$7,G1395)),Assumptions!$D$7,"Other Services"))),"Other Services"))</f>
        <v/>
      </c>
    </row>
    <row r="1396" customFormat="false" ht="15" hidden="false" customHeight="false" outlineLevel="0" collapsed="false">
      <c r="F1396" s="41" t="str">
        <f aca="false">IF(E1396="","",IFERROR(VLOOKUP(E1396,Assumptions!$G$5:$H$16,2,0),"Other"))</f>
        <v/>
      </c>
      <c r="J1396" s="41" t="str">
        <f aca="false">IF(G1396="","",IFERROR(IF(ISNUMBER(SEARCH(Assumptions!$C$5,G1396)),Assumptions!$D$5,IF(ISNUMBER(SEARCH(Assumptions!$C$6,G1396)),Assumptions!$D$6,IF(ISNUMBER(SEARCH(Assumptions!$C$7,G1396)),Assumptions!$D$7,"Other Services"))),"Other Services"))</f>
        <v/>
      </c>
    </row>
    <row r="1397" customFormat="false" ht="15" hidden="false" customHeight="false" outlineLevel="0" collapsed="false">
      <c r="F1397" s="41" t="str">
        <f aca="false">IF(E1397="","",IFERROR(VLOOKUP(E1397,Assumptions!$G$5:$H$16,2,0),"Other"))</f>
        <v/>
      </c>
      <c r="J1397" s="41" t="str">
        <f aca="false">IF(G1397="","",IFERROR(IF(ISNUMBER(SEARCH(Assumptions!$C$5,G1397)),Assumptions!$D$5,IF(ISNUMBER(SEARCH(Assumptions!$C$6,G1397)),Assumptions!$D$6,IF(ISNUMBER(SEARCH(Assumptions!$C$7,G1397)),Assumptions!$D$7,"Other Services"))),"Other Services"))</f>
        <v/>
      </c>
    </row>
    <row r="1398" customFormat="false" ht="15" hidden="false" customHeight="false" outlineLevel="0" collapsed="false">
      <c r="F1398" s="41" t="str">
        <f aca="false">IF(E1398="","",IFERROR(VLOOKUP(E1398,Assumptions!$G$5:$H$16,2,0),"Other"))</f>
        <v/>
      </c>
      <c r="J1398" s="41" t="str">
        <f aca="false">IF(G1398="","",IFERROR(IF(ISNUMBER(SEARCH(Assumptions!$C$5,G1398)),Assumptions!$D$5,IF(ISNUMBER(SEARCH(Assumptions!$C$6,G1398)),Assumptions!$D$6,IF(ISNUMBER(SEARCH(Assumptions!$C$7,G1398)),Assumptions!$D$7,"Other Services"))),"Other Services"))</f>
        <v/>
      </c>
    </row>
    <row r="1399" customFormat="false" ht="15" hidden="false" customHeight="false" outlineLevel="0" collapsed="false">
      <c r="F1399" s="41" t="str">
        <f aca="false">IF(E1399="","",IFERROR(VLOOKUP(E1399,Assumptions!$G$5:$H$16,2,0),"Other"))</f>
        <v/>
      </c>
      <c r="J1399" s="41" t="str">
        <f aca="false">IF(G1399="","",IFERROR(IF(ISNUMBER(SEARCH(Assumptions!$C$5,G1399)),Assumptions!$D$5,IF(ISNUMBER(SEARCH(Assumptions!$C$6,G1399)),Assumptions!$D$6,IF(ISNUMBER(SEARCH(Assumptions!$C$7,G1399)),Assumptions!$D$7,"Other Services"))),"Other Services"))</f>
        <v/>
      </c>
    </row>
    <row r="1400" customFormat="false" ht="15" hidden="false" customHeight="false" outlineLevel="0" collapsed="false">
      <c r="F1400" s="41" t="str">
        <f aca="false">IF(E1400="","",IFERROR(VLOOKUP(E1400,Assumptions!$G$5:$H$16,2,0),"Other"))</f>
        <v/>
      </c>
      <c r="J1400" s="41" t="str">
        <f aca="false">IF(G1400="","",IFERROR(IF(ISNUMBER(SEARCH(Assumptions!$C$5,G1400)),Assumptions!$D$5,IF(ISNUMBER(SEARCH(Assumptions!$C$6,G1400)),Assumptions!$D$6,IF(ISNUMBER(SEARCH(Assumptions!$C$7,G1400)),Assumptions!$D$7,"Other Services"))),"Other Services"))</f>
        <v/>
      </c>
    </row>
    <row r="1401" customFormat="false" ht="15" hidden="false" customHeight="false" outlineLevel="0" collapsed="false">
      <c r="F1401" s="41" t="str">
        <f aca="false">IF(E1401="","",IFERROR(VLOOKUP(E1401,Assumptions!$G$5:$H$16,2,0),"Other"))</f>
        <v/>
      </c>
      <c r="J1401" s="41" t="str">
        <f aca="false">IF(G1401="","",IFERROR(IF(ISNUMBER(SEARCH(Assumptions!$C$5,G1401)),Assumptions!$D$5,IF(ISNUMBER(SEARCH(Assumptions!$C$6,G1401)),Assumptions!$D$6,IF(ISNUMBER(SEARCH(Assumptions!$C$7,G1401)),Assumptions!$D$7,"Other Services"))),"Other Services"))</f>
        <v/>
      </c>
    </row>
    <row r="1402" customFormat="false" ht="15" hidden="false" customHeight="false" outlineLevel="0" collapsed="false">
      <c r="F1402" s="41" t="str">
        <f aca="false">IF(E1402="","",IFERROR(VLOOKUP(E1402,Assumptions!$G$5:$H$16,2,0),"Other"))</f>
        <v/>
      </c>
      <c r="J1402" s="41" t="str">
        <f aca="false">IF(G1402="","",IFERROR(IF(ISNUMBER(SEARCH(Assumptions!$C$5,G1402)),Assumptions!$D$5,IF(ISNUMBER(SEARCH(Assumptions!$C$6,G1402)),Assumptions!$D$6,IF(ISNUMBER(SEARCH(Assumptions!$C$7,G1402)),Assumptions!$D$7,"Other Services"))),"Other Services"))</f>
        <v/>
      </c>
    </row>
    <row r="1403" customFormat="false" ht="15" hidden="false" customHeight="false" outlineLevel="0" collapsed="false">
      <c r="F1403" s="41" t="str">
        <f aca="false">IF(E1403="","",IFERROR(VLOOKUP(E1403,Assumptions!$G$5:$H$16,2,0),"Other"))</f>
        <v/>
      </c>
      <c r="J1403" s="41" t="str">
        <f aca="false">IF(G1403="","",IFERROR(IF(ISNUMBER(SEARCH(Assumptions!$C$5,G1403)),Assumptions!$D$5,IF(ISNUMBER(SEARCH(Assumptions!$C$6,G1403)),Assumptions!$D$6,IF(ISNUMBER(SEARCH(Assumptions!$C$7,G1403)),Assumptions!$D$7,"Other Services"))),"Other Services"))</f>
        <v/>
      </c>
    </row>
    <row r="1404" customFormat="false" ht="15" hidden="false" customHeight="false" outlineLevel="0" collapsed="false">
      <c r="F1404" s="41" t="str">
        <f aca="false">IF(E1404="","",IFERROR(VLOOKUP(E1404,Assumptions!$G$5:$H$16,2,0),"Other"))</f>
        <v/>
      </c>
      <c r="J1404" s="41" t="str">
        <f aca="false">IF(G1404="","",IFERROR(IF(ISNUMBER(SEARCH(Assumptions!$C$5,G1404)),Assumptions!$D$5,IF(ISNUMBER(SEARCH(Assumptions!$C$6,G1404)),Assumptions!$D$6,IF(ISNUMBER(SEARCH(Assumptions!$C$7,G1404)),Assumptions!$D$7,"Other Services"))),"Other Services"))</f>
        <v/>
      </c>
    </row>
    <row r="1405" customFormat="false" ht="15" hidden="false" customHeight="false" outlineLevel="0" collapsed="false">
      <c r="F1405" s="41" t="str">
        <f aca="false">IF(E1405="","",IFERROR(VLOOKUP(E1405,Assumptions!$G$5:$H$16,2,0),"Other"))</f>
        <v/>
      </c>
      <c r="J1405" s="41" t="str">
        <f aca="false">IF(G1405="","",IFERROR(IF(ISNUMBER(SEARCH(Assumptions!$C$5,G1405)),Assumptions!$D$5,IF(ISNUMBER(SEARCH(Assumptions!$C$6,G1405)),Assumptions!$D$6,IF(ISNUMBER(SEARCH(Assumptions!$C$7,G1405)),Assumptions!$D$7,"Other Services"))),"Other Services"))</f>
        <v/>
      </c>
    </row>
    <row r="1406" customFormat="false" ht="15" hidden="false" customHeight="false" outlineLevel="0" collapsed="false">
      <c r="F1406" s="41" t="str">
        <f aca="false">IF(E1406="","",IFERROR(VLOOKUP(E1406,Assumptions!$G$5:$H$16,2,0),"Other"))</f>
        <v/>
      </c>
      <c r="J1406" s="41" t="str">
        <f aca="false">IF(G1406="","",IFERROR(IF(ISNUMBER(SEARCH(Assumptions!$C$5,G1406)),Assumptions!$D$5,IF(ISNUMBER(SEARCH(Assumptions!$C$6,G1406)),Assumptions!$D$6,IF(ISNUMBER(SEARCH(Assumptions!$C$7,G1406)),Assumptions!$D$7,"Other Services"))),"Other Services"))</f>
        <v/>
      </c>
    </row>
    <row r="1407" customFormat="false" ht="15" hidden="false" customHeight="false" outlineLevel="0" collapsed="false">
      <c r="F1407" s="41" t="str">
        <f aca="false">IF(E1407="","",IFERROR(VLOOKUP(E1407,Assumptions!$G$5:$H$16,2,0),"Other"))</f>
        <v/>
      </c>
      <c r="J1407" s="41" t="str">
        <f aca="false">IF(G1407="","",IFERROR(IF(ISNUMBER(SEARCH(Assumptions!$C$5,G1407)),Assumptions!$D$5,IF(ISNUMBER(SEARCH(Assumptions!$C$6,G1407)),Assumptions!$D$6,IF(ISNUMBER(SEARCH(Assumptions!$C$7,G1407)),Assumptions!$D$7,"Other Services"))),"Other Services"))</f>
        <v/>
      </c>
    </row>
    <row r="1408" customFormat="false" ht="15" hidden="false" customHeight="false" outlineLevel="0" collapsed="false">
      <c r="F1408" s="41" t="str">
        <f aca="false">IF(E1408="","",IFERROR(VLOOKUP(E1408,Assumptions!$G$5:$H$16,2,0),"Other"))</f>
        <v/>
      </c>
      <c r="J1408" s="41" t="str">
        <f aca="false">IF(G1408="","",IFERROR(IF(ISNUMBER(SEARCH(Assumptions!$C$5,G1408)),Assumptions!$D$5,IF(ISNUMBER(SEARCH(Assumptions!$C$6,G1408)),Assumptions!$D$6,IF(ISNUMBER(SEARCH(Assumptions!$C$7,G1408)),Assumptions!$D$7,"Other Services"))),"Other Services"))</f>
        <v/>
      </c>
    </row>
    <row r="1409" customFormat="false" ht="15" hidden="false" customHeight="false" outlineLevel="0" collapsed="false">
      <c r="F1409" s="41" t="str">
        <f aca="false">IF(E1409="","",IFERROR(VLOOKUP(E1409,Assumptions!$G$5:$H$16,2,0),"Other"))</f>
        <v/>
      </c>
      <c r="J1409" s="41" t="str">
        <f aca="false">IF(G1409="","",IFERROR(IF(ISNUMBER(SEARCH(Assumptions!$C$5,G1409)),Assumptions!$D$5,IF(ISNUMBER(SEARCH(Assumptions!$C$6,G1409)),Assumptions!$D$6,IF(ISNUMBER(SEARCH(Assumptions!$C$7,G1409)),Assumptions!$D$7,"Other Services"))),"Other Services"))</f>
        <v/>
      </c>
    </row>
    <row r="1410" customFormat="false" ht="15" hidden="false" customHeight="false" outlineLevel="0" collapsed="false">
      <c r="F1410" s="41" t="str">
        <f aca="false">IF(E1410="","",IFERROR(VLOOKUP(E1410,Assumptions!$G$5:$H$16,2,0),"Other"))</f>
        <v/>
      </c>
      <c r="J1410" s="41" t="str">
        <f aca="false">IF(G1410="","",IFERROR(IF(ISNUMBER(SEARCH(Assumptions!$C$5,G1410)),Assumptions!$D$5,IF(ISNUMBER(SEARCH(Assumptions!$C$6,G1410)),Assumptions!$D$6,IF(ISNUMBER(SEARCH(Assumptions!$C$7,G1410)),Assumptions!$D$7,"Other Services"))),"Other Services"))</f>
        <v/>
      </c>
    </row>
    <row r="1411" customFormat="false" ht="15" hidden="false" customHeight="false" outlineLevel="0" collapsed="false">
      <c r="F1411" s="41" t="str">
        <f aca="false">IF(E1411="","",IFERROR(VLOOKUP(E1411,Assumptions!$G$5:$H$16,2,0),"Other"))</f>
        <v/>
      </c>
      <c r="J1411" s="41" t="str">
        <f aca="false">IF(G1411="","",IFERROR(IF(ISNUMBER(SEARCH(Assumptions!$C$5,G1411)),Assumptions!$D$5,IF(ISNUMBER(SEARCH(Assumptions!$C$6,G1411)),Assumptions!$D$6,IF(ISNUMBER(SEARCH(Assumptions!$C$7,G1411)),Assumptions!$D$7,"Other Services"))),"Other Services"))</f>
        <v/>
      </c>
    </row>
    <row r="1412" customFormat="false" ht="15" hidden="false" customHeight="false" outlineLevel="0" collapsed="false">
      <c r="F1412" s="41" t="str">
        <f aca="false">IF(E1412="","",IFERROR(VLOOKUP(E1412,Assumptions!$G$5:$H$16,2,0),"Other"))</f>
        <v/>
      </c>
      <c r="J1412" s="41" t="str">
        <f aca="false">IF(G1412="","",IFERROR(IF(ISNUMBER(SEARCH(Assumptions!$C$5,G1412)),Assumptions!$D$5,IF(ISNUMBER(SEARCH(Assumptions!$C$6,G1412)),Assumptions!$D$6,IF(ISNUMBER(SEARCH(Assumptions!$C$7,G1412)),Assumptions!$D$7,"Other Services"))),"Other Services"))</f>
        <v/>
      </c>
    </row>
    <row r="1413" customFormat="false" ht="15" hidden="false" customHeight="false" outlineLevel="0" collapsed="false">
      <c r="F1413" s="41" t="str">
        <f aca="false">IF(E1413="","",IFERROR(VLOOKUP(E1413,Assumptions!$G$5:$H$16,2,0),"Other"))</f>
        <v/>
      </c>
      <c r="J1413" s="41" t="str">
        <f aca="false">IF(G1413="","",IFERROR(IF(ISNUMBER(SEARCH(Assumptions!$C$5,G1413)),Assumptions!$D$5,IF(ISNUMBER(SEARCH(Assumptions!$C$6,G1413)),Assumptions!$D$6,IF(ISNUMBER(SEARCH(Assumptions!$C$7,G1413)),Assumptions!$D$7,"Other Services"))),"Other Services"))</f>
        <v/>
      </c>
    </row>
    <row r="1414" customFormat="false" ht="15" hidden="false" customHeight="false" outlineLevel="0" collapsed="false">
      <c r="F1414" s="41" t="str">
        <f aca="false">IF(E1414="","",IFERROR(VLOOKUP(E1414,Assumptions!$G$5:$H$16,2,0),"Other"))</f>
        <v/>
      </c>
      <c r="J1414" s="41" t="str">
        <f aca="false">IF(G1414="","",IFERROR(IF(ISNUMBER(SEARCH(Assumptions!$C$5,G1414)),Assumptions!$D$5,IF(ISNUMBER(SEARCH(Assumptions!$C$6,G1414)),Assumptions!$D$6,IF(ISNUMBER(SEARCH(Assumptions!$C$7,G1414)),Assumptions!$D$7,"Other Services"))),"Other Services"))</f>
        <v/>
      </c>
    </row>
    <row r="1415" customFormat="false" ht="15" hidden="false" customHeight="false" outlineLevel="0" collapsed="false">
      <c r="F1415" s="41" t="str">
        <f aca="false">IF(E1415="","",IFERROR(VLOOKUP(E1415,Assumptions!$G$5:$H$16,2,0),"Other"))</f>
        <v/>
      </c>
      <c r="J1415" s="41" t="str">
        <f aca="false">IF(G1415="","",IFERROR(IF(ISNUMBER(SEARCH(Assumptions!$C$5,G1415)),Assumptions!$D$5,IF(ISNUMBER(SEARCH(Assumptions!$C$6,G1415)),Assumptions!$D$6,IF(ISNUMBER(SEARCH(Assumptions!$C$7,G1415)),Assumptions!$D$7,"Other Services"))),"Other Services"))</f>
        <v/>
      </c>
    </row>
    <row r="1416" customFormat="false" ht="15" hidden="false" customHeight="false" outlineLevel="0" collapsed="false">
      <c r="F1416" s="41" t="str">
        <f aca="false">IF(E1416="","",IFERROR(VLOOKUP(E1416,Assumptions!$G$5:$H$16,2,0),"Other"))</f>
        <v/>
      </c>
      <c r="J1416" s="41" t="str">
        <f aca="false">IF(G1416="","",IFERROR(IF(ISNUMBER(SEARCH(Assumptions!$C$5,G1416)),Assumptions!$D$5,IF(ISNUMBER(SEARCH(Assumptions!$C$6,G1416)),Assumptions!$D$6,IF(ISNUMBER(SEARCH(Assumptions!$C$7,G1416)),Assumptions!$D$7,"Other Services"))),"Other Services"))</f>
        <v/>
      </c>
    </row>
    <row r="1417" customFormat="false" ht="15" hidden="false" customHeight="false" outlineLevel="0" collapsed="false">
      <c r="F1417" s="41" t="str">
        <f aca="false">IF(E1417="","",IFERROR(VLOOKUP(E1417,Assumptions!$G$5:$H$16,2,0),"Other"))</f>
        <v/>
      </c>
      <c r="J1417" s="41" t="str">
        <f aca="false">IF(G1417="","",IFERROR(IF(ISNUMBER(SEARCH(Assumptions!$C$5,G1417)),Assumptions!$D$5,IF(ISNUMBER(SEARCH(Assumptions!$C$6,G1417)),Assumptions!$D$6,IF(ISNUMBER(SEARCH(Assumptions!$C$7,G1417)),Assumptions!$D$7,"Other Services"))),"Other Services"))</f>
        <v/>
      </c>
    </row>
    <row r="1418" customFormat="false" ht="15" hidden="false" customHeight="false" outlineLevel="0" collapsed="false">
      <c r="F1418" s="41" t="str">
        <f aca="false">IF(E1418="","",IFERROR(VLOOKUP(E1418,Assumptions!$G$5:$H$16,2,0),"Other"))</f>
        <v/>
      </c>
      <c r="J1418" s="41" t="str">
        <f aca="false">IF(G1418="","",IFERROR(IF(ISNUMBER(SEARCH(Assumptions!$C$5,G1418)),Assumptions!$D$5,IF(ISNUMBER(SEARCH(Assumptions!$C$6,G1418)),Assumptions!$D$6,IF(ISNUMBER(SEARCH(Assumptions!$C$7,G1418)),Assumptions!$D$7,"Other Services"))),"Other Services"))</f>
        <v/>
      </c>
    </row>
    <row r="1419" customFormat="false" ht="15" hidden="false" customHeight="false" outlineLevel="0" collapsed="false">
      <c r="F1419" s="41" t="str">
        <f aca="false">IF(E1419="","",IFERROR(VLOOKUP(E1419,Assumptions!$G$5:$H$16,2,0),"Other"))</f>
        <v/>
      </c>
      <c r="J1419" s="41" t="str">
        <f aca="false">IF(G1419="","",IFERROR(IF(ISNUMBER(SEARCH(Assumptions!$C$5,G1419)),Assumptions!$D$5,IF(ISNUMBER(SEARCH(Assumptions!$C$6,G1419)),Assumptions!$D$6,IF(ISNUMBER(SEARCH(Assumptions!$C$7,G1419)),Assumptions!$D$7,"Other Services"))),"Other Services"))</f>
        <v/>
      </c>
    </row>
    <row r="1420" customFormat="false" ht="15" hidden="false" customHeight="false" outlineLevel="0" collapsed="false">
      <c r="F1420" s="41" t="str">
        <f aca="false">IF(E1420="","",IFERROR(VLOOKUP(E1420,Assumptions!$G$5:$H$16,2,0),"Other"))</f>
        <v/>
      </c>
      <c r="J1420" s="41" t="str">
        <f aca="false">IF(G1420="","",IFERROR(IF(ISNUMBER(SEARCH(Assumptions!$C$5,G1420)),Assumptions!$D$5,IF(ISNUMBER(SEARCH(Assumptions!$C$6,G1420)),Assumptions!$D$6,IF(ISNUMBER(SEARCH(Assumptions!$C$7,G1420)),Assumptions!$D$7,"Other Services"))),"Other Services"))</f>
        <v/>
      </c>
    </row>
    <row r="1421" customFormat="false" ht="15" hidden="false" customHeight="false" outlineLevel="0" collapsed="false">
      <c r="F1421" s="41" t="str">
        <f aca="false">IF(E1421="","",IFERROR(VLOOKUP(E1421,Assumptions!$G$5:$H$16,2,0),"Other"))</f>
        <v/>
      </c>
      <c r="J1421" s="41" t="str">
        <f aca="false">IF(G1421="","",IFERROR(IF(ISNUMBER(SEARCH(Assumptions!$C$5,G1421)),Assumptions!$D$5,IF(ISNUMBER(SEARCH(Assumptions!$C$6,G1421)),Assumptions!$D$6,IF(ISNUMBER(SEARCH(Assumptions!$C$7,G1421)),Assumptions!$D$7,"Other Services"))),"Other Services"))</f>
        <v/>
      </c>
    </row>
    <row r="1422" customFormat="false" ht="15" hidden="false" customHeight="false" outlineLevel="0" collapsed="false">
      <c r="F1422" s="41" t="str">
        <f aca="false">IF(E1422="","",IFERROR(VLOOKUP(E1422,Assumptions!$G$5:$H$16,2,0),"Other"))</f>
        <v/>
      </c>
      <c r="J1422" s="41" t="str">
        <f aca="false">IF(G1422="","",IFERROR(IF(ISNUMBER(SEARCH(Assumptions!$C$5,G1422)),Assumptions!$D$5,IF(ISNUMBER(SEARCH(Assumptions!$C$6,G1422)),Assumptions!$D$6,IF(ISNUMBER(SEARCH(Assumptions!$C$7,G1422)),Assumptions!$D$7,"Other Services"))),"Other Services"))</f>
        <v/>
      </c>
    </row>
    <row r="1423" customFormat="false" ht="15" hidden="false" customHeight="false" outlineLevel="0" collapsed="false">
      <c r="F1423" s="41" t="str">
        <f aca="false">IF(E1423="","",IFERROR(VLOOKUP(E1423,Assumptions!$G$5:$H$16,2,0),"Other"))</f>
        <v/>
      </c>
      <c r="J1423" s="41" t="str">
        <f aca="false">IF(G1423="","",IFERROR(IF(ISNUMBER(SEARCH(Assumptions!$C$5,G1423)),Assumptions!$D$5,IF(ISNUMBER(SEARCH(Assumptions!$C$6,G1423)),Assumptions!$D$6,IF(ISNUMBER(SEARCH(Assumptions!$C$7,G1423)),Assumptions!$D$7,"Other Services"))),"Other Services"))</f>
        <v/>
      </c>
    </row>
    <row r="1424" customFormat="false" ht="15" hidden="false" customHeight="false" outlineLevel="0" collapsed="false">
      <c r="F1424" s="41" t="str">
        <f aca="false">IF(E1424="","",IFERROR(VLOOKUP(E1424,Assumptions!$G$5:$H$16,2,0),"Other"))</f>
        <v/>
      </c>
      <c r="J1424" s="41" t="str">
        <f aca="false">IF(G1424="","",IFERROR(IF(ISNUMBER(SEARCH(Assumptions!$C$5,G1424)),Assumptions!$D$5,IF(ISNUMBER(SEARCH(Assumptions!$C$6,G1424)),Assumptions!$D$6,IF(ISNUMBER(SEARCH(Assumptions!$C$7,G1424)),Assumptions!$D$7,"Other Services"))),"Other Services"))</f>
        <v/>
      </c>
    </row>
    <row r="1425" customFormat="false" ht="15" hidden="false" customHeight="false" outlineLevel="0" collapsed="false">
      <c r="F1425" s="41" t="str">
        <f aca="false">IF(E1425="","",IFERROR(VLOOKUP(E1425,Assumptions!$G$5:$H$16,2,0),"Other"))</f>
        <v/>
      </c>
      <c r="J1425" s="41" t="str">
        <f aca="false">IF(G1425="","",IFERROR(IF(ISNUMBER(SEARCH(Assumptions!$C$5,G1425)),Assumptions!$D$5,IF(ISNUMBER(SEARCH(Assumptions!$C$6,G1425)),Assumptions!$D$6,IF(ISNUMBER(SEARCH(Assumptions!$C$7,G1425)),Assumptions!$D$7,"Other Services"))),"Other Services"))</f>
        <v/>
      </c>
    </row>
    <row r="1426" customFormat="false" ht="15" hidden="false" customHeight="false" outlineLevel="0" collapsed="false">
      <c r="F1426" s="41" t="str">
        <f aca="false">IF(E1426="","",IFERROR(VLOOKUP(E1426,Assumptions!$G$5:$H$16,2,0),"Other"))</f>
        <v/>
      </c>
      <c r="J1426" s="41" t="str">
        <f aca="false">IF(G1426="","",IFERROR(IF(ISNUMBER(SEARCH(Assumptions!$C$5,G1426)),Assumptions!$D$5,IF(ISNUMBER(SEARCH(Assumptions!$C$6,G1426)),Assumptions!$D$6,IF(ISNUMBER(SEARCH(Assumptions!$C$7,G1426)),Assumptions!$D$7,"Other Services"))),"Other Services"))</f>
        <v/>
      </c>
    </row>
    <row r="1427" customFormat="false" ht="15" hidden="false" customHeight="false" outlineLevel="0" collapsed="false">
      <c r="F1427" s="41" t="str">
        <f aca="false">IF(E1427="","",IFERROR(VLOOKUP(E1427,Assumptions!$G$5:$H$16,2,0),"Other"))</f>
        <v/>
      </c>
      <c r="J1427" s="41" t="str">
        <f aca="false">IF(G1427="","",IFERROR(IF(ISNUMBER(SEARCH(Assumptions!$C$5,G1427)),Assumptions!$D$5,IF(ISNUMBER(SEARCH(Assumptions!$C$6,G1427)),Assumptions!$D$6,IF(ISNUMBER(SEARCH(Assumptions!$C$7,G1427)),Assumptions!$D$7,"Other Services"))),"Other Services"))</f>
        <v/>
      </c>
    </row>
    <row r="1428" customFormat="false" ht="15" hidden="false" customHeight="false" outlineLevel="0" collapsed="false">
      <c r="F1428" s="41" t="str">
        <f aca="false">IF(E1428="","",IFERROR(VLOOKUP(E1428,Assumptions!$G$5:$H$16,2,0),"Other"))</f>
        <v/>
      </c>
      <c r="J1428" s="41" t="str">
        <f aca="false">IF(G1428="","",IFERROR(IF(ISNUMBER(SEARCH(Assumptions!$C$5,G1428)),Assumptions!$D$5,IF(ISNUMBER(SEARCH(Assumptions!$C$6,G1428)),Assumptions!$D$6,IF(ISNUMBER(SEARCH(Assumptions!$C$7,G1428)),Assumptions!$D$7,"Other Services"))),"Other Services"))</f>
        <v/>
      </c>
    </row>
    <row r="1429" customFormat="false" ht="15" hidden="false" customHeight="false" outlineLevel="0" collapsed="false">
      <c r="F1429" s="41" t="str">
        <f aca="false">IF(E1429="","",IFERROR(VLOOKUP(E1429,Assumptions!$G$5:$H$16,2,0),"Other"))</f>
        <v/>
      </c>
      <c r="J1429" s="41" t="str">
        <f aca="false">IF(G1429="","",IFERROR(IF(ISNUMBER(SEARCH(Assumptions!$C$5,G1429)),Assumptions!$D$5,IF(ISNUMBER(SEARCH(Assumptions!$C$6,G1429)),Assumptions!$D$6,IF(ISNUMBER(SEARCH(Assumptions!$C$7,G1429)),Assumptions!$D$7,"Other Services"))),"Other Services"))</f>
        <v/>
      </c>
    </row>
    <row r="1430" customFormat="false" ht="15" hidden="false" customHeight="false" outlineLevel="0" collapsed="false">
      <c r="F1430" s="41" t="str">
        <f aca="false">IF(E1430="","",IFERROR(VLOOKUP(E1430,Assumptions!$G$5:$H$16,2,0),"Other"))</f>
        <v/>
      </c>
      <c r="J1430" s="41" t="str">
        <f aca="false">IF(G1430="","",IFERROR(IF(ISNUMBER(SEARCH(Assumptions!$C$5,G1430)),Assumptions!$D$5,IF(ISNUMBER(SEARCH(Assumptions!$C$6,G1430)),Assumptions!$D$6,IF(ISNUMBER(SEARCH(Assumptions!$C$7,G1430)),Assumptions!$D$7,"Other Services"))),"Other Services"))</f>
        <v/>
      </c>
    </row>
    <row r="1431" customFormat="false" ht="15" hidden="false" customHeight="false" outlineLevel="0" collapsed="false">
      <c r="F1431" s="41" t="str">
        <f aca="false">IF(E1431="","",IFERROR(VLOOKUP(E1431,Assumptions!$G$5:$H$16,2,0),"Other"))</f>
        <v/>
      </c>
      <c r="J1431" s="41" t="str">
        <f aca="false">IF(G1431="","",IFERROR(IF(ISNUMBER(SEARCH(Assumptions!$C$5,G1431)),Assumptions!$D$5,IF(ISNUMBER(SEARCH(Assumptions!$C$6,G1431)),Assumptions!$D$6,IF(ISNUMBER(SEARCH(Assumptions!$C$7,G1431)),Assumptions!$D$7,"Other Services"))),"Other Services"))</f>
        <v/>
      </c>
    </row>
    <row r="1432" customFormat="false" ht="15" hidden="false" customHeight="false" outlineLevel="0" collapsed="false">
      <c r="F1432" s="41" t="str">
        <f aca="false">IF(E1432="","",IFERROR(VLOOKUP(E1432,Assumptions!$G$5:$H$16,2,0),"Other"))</f>
        <v/>
      </c>
      <c r="J1432" s="41" t="str">
        <f aca="false">IF(G1432="","",IFERROR(IF(ISNUMBER(SEARCH(Assumptions!$C$5,G1432)),Assumptions!$D$5,IF(ISNUMBER(SEARCH(Assumptions!$C$6,G1432)),Assumptions!$D$6,IF(ISNUMBER(SEARCH(Assumptions!$C$7,G1432)),Assumptions!$D$7,"Other Services"))),"Other Services"))</f>
        <v/>
      </c>
    </row>
    <row r="1433" customFormat="false" ht="15" hidden="false" customHeight="false" outlineLevel="0" collapsed="false">
      <c r="F1433" s="41" t="str">
        <f aca="false">IF(E1433="","",IFERROR(VLOOKUP(E1433,Assumptions!$G$5:$H$16,2,0),"Other"))</f>
        <v/>
      </c>
      <c r="J1433" s="41" t="str">
        <f aca="false">IF(G1433="","",IFERROR(IF(ISNUMBER(SEARCH(Assumptions!$C$5,G1433)),Assumptions!$D$5,IF(ISNUMBER(SEARCH(Assumptions!$C$6,G1433)),Assumptions!$D$6,IF(ISNUMBER(SEARCH(Assumptions!$C$7,G1433)),Assumptions!$D$7,"Other Services"))),"Other Services"))</f>
        <v/>
      </c>
    </row>
    <row r="1434" customFormat="false" ht="15" hidden="false" customHeight="false" outlineLevel="0" collapsed="false">
      <c r="F1434" s="41" t="str">
        <f aca="false">IF(E1434="","",IFERROR(VLOOKUP(E1434,Assumptions!$G$5:$H$16,2,0),"Other"))</f>
        <v/>
      </c>
      <c r="J1434" s="41" t="str">
        <f aca="false">IF(G1434="","",IFERROR(IF(ISNUMBER(SEARCH(Assumptions!$C$5,G1434)),Assumptions!$D$5,IF(ISNUMBER(SEARCH(Assumptions!$C$6,G1434)),Assumptions!$D$6,IF(ISNUMBER(SEARCH(Assumptions!$C$7,G1434)),Assumptions!$D$7,"Other Services"))),"Other Services"))</f>
        <v/>
      </c>
    </row>
    <row r="1435" customFormat="false" ht="15" hidden="false" customHeight="false" outlineLevel="0" collapsed="false">
      <c r="F1435" s="41" t="str">
        <f aca="false">IF(E1435="","",IFERROR(VLOOKUP(E1435,Assumptions!$G$5:$H$16,2,0),"Other"))</f>
        <v/>
      </c>
      <c r="J1435" s="41" t="str">
        <f aca="false">IF(G1435="","",IFERROR(IF(ISNUMBER(SEARCH(Assumptions!$C$5,G1435)),Assumptions!$D$5,IF(ISNUMBER(SEARCH(Assumptions!$C$6,G1435)),Assumptions!$D$6,IF(ISNUMBER(SEARCH(Assumptions!$C$7,G1435)),Assumptions!$D$7,"Other Services"))),"Other Services"))</f>
        <v/>
      </c>
    </row>
    <row r="1436" customFormat="false" ht="15" hidden="false" customHeight="false" outlineLevel="0" collapsed="false">
      <c r="F1436" s="41" t="str">
        <f aca="false">IF(E1436="","",IFERROR(VLOOKUP(E1436,Assumptions!$G$5:$H$16,2,0),"Other"))</f>
        <v/>
      </c>
      <c r="J1436" s="41" t="str">
        <f aca="false">IF(G1436="","",IFERROR(IF(ISNUMBER(SEARCH(Assumptions!$C$5,G1436)),Assumptions!$D$5,IF(ISNUMBER(SEARCH(Assumptions!$C$6,G1436)),Assumptions!$D$6,IF(ISNUMBER(SEARCH(Assumptions!$C$7,G1436)),Assumptions!$D$7,"Other Services"))),"Other Services"))</f>
        <v/>
      </c>
    </row>
    <row r="1437" customFormat="false" ht="15" hidden="false" customHeight="false" outlineLevel="0" collapsed="false">
      <c r="F1437" s="41" t="str">
        <f aca="false">IF(E1437="","",IFERROR(VLOOKUP(E1437,Assumptions!$G$5:$H$16,2,0),"Other"))</f>
        <v/>
      </c>
      <c r="J1437" s="41" t="str">
        <f aca="false">IF(G1437="","",IFERROR(IF(ISNUMBER(SEARCH(Assumptions!$C$5,G1437)),Assumptions!$D$5,IF(ISNUMBER(SEARCH(Assumptions!$C$6,G1437)),Assumptions!$D$6,IF(ISNUMBER(SEARCH(Assumptions!$C$7,G1437)),Assumptions!$D$7,"Other Services"))),"Other Services"))</f>
        <v/>
      </c>
    </row>
    <row r="1438" customFormat="false" ht="15" hidden="false" customHeight="false" outlineLevel="0" collapsed="false">
      <c r="F1438" s="41" t="str">
        <f aca="false">IF(E1438="","",IFERROR(VLOOKUP(E1438,Assumptions!$G$5:$H$16,2,0),"Other"))</f>
        <v/>
      </c>
      <c r="J1438" s="41" t="str">
        <f aca="false">IF(G1438="","",IFERROR(IF(ISNUMBER(SEARCH(Assumptions!$C$5,G1438)),Assumptions!$D$5,IF(ISNUMBER(SEARCH(Assumptions!$C$6,G1438)),Assumptions!$D$6,IF(ISNUMBER(SEARCH(Assumptions!$C$7,G1438)),Assumptions!$D$7,"Other Services"))),"Other Services"))</f>
        <v/>
      </c>
    </row>
    <row r="1439" customFormat="false" ht="15" hidden="false" customHeight="false" outlineLevel="0" collapsed="false">
      <c r="F1439" s="41" t="str">
        <f aca="false">IF(E1439="","",IFERROR(VLOOKUP(E1439,Assumptions!$G$5:$H$16,2,0),"Other"))</f>
        <v/>
      </c>
      <c r="J1439" s="41" t="str">
        <f aca="false">IF(G1439="","",IFERROR(IF(ISNUMBER(SEARCH(Assumptions!$C$5,G1439)),Assumptions!$D$5,IF(ISNUMBER(SEARCH(Assumptions!$C$6,G1439)),Assumptions!$D$6,IF(ISNUMBER(SEARCH(Assumptions!$C$7,G1439)),Assumptions!$D$7,"Other Services"))),"Other Services"))</f>
        <v/>
      </c>
    </row>
    <row r="1440" customFormat="false" ht="15" hidden="false" customHeight="false" outlineLevel="0" collapsed="false">
      <c r="F1440" s="41" t="str">
        <f aca="false">IF(E1440="","",IFERROR(VLOOKUP(E1440,Assumptions!$G$5:$H$16,2,0),"Other"))</f>
        <v/>
      </c>
      <c r="J1440" s="41" t="str">
        <f aca="false">IF(G1440="","",IFERROR(IF(ISNUMBER(SEARCH(Assumptions!$C$5,G1440)),Assumptions!$D$5,IF(ISNUMBER(SEARCH(Assumptions!$C$6,G1440)),Assumptions!$D$6,IF(ISNUMBER(SEARCH(Assumptions!$C$7,G1440)),Assumptions!$D$7,"Other Services"))),"Other Services"))</f>
        <v/>
      </c>
    </row>
    <row r="1441" customFormat="false" ht="15" hidden="false" customHeight="false" outlineLevel="0" collapsed="false">
      <c r="F1441" s="41" t="str">
        <f aca="false">IF(E1441="","",IFERROR(VLOOKUP(E1441,Assumptions!$G$5:$H$16,2,0),"Other"))</f>
        <v/>
      </c>
      <c r="J1441" s="41" t="str">
        <f aca="false">IF(G1441="","",IFERROR(IF(ISNUMBER(SEARCH(Assumptions!$C$5,G1441)),Assumptions!$D$5,IF(ISNUMBER(SEARCH(Assumptions!$C$6,G1441)),Assumptions!$D$6,IF(ISNUMBER(SEARCH(Assumptions!$C$7,G1441)),Assumptions!$D$7,"Other Services"))),"Other Services"))</f>
        <v/>
      </c>
    </row>
    <row r="1442" customFormat="false" ht="15" hidden="false" customHeight="false" outlineLevel="0" collapsed="false">
      <c r="F1442" s="41" t="str">
        <f aca="false">IF(E1442="","",IFERROR(VLOOKUP(E1442,Assumptions!$G$5:$H$16,2,0),"Other"))</f>
        <v/>
      </c>
      <c r="J1442" s="41" t="str">
        <f aca="false">IF(G1442="","",IFERROR(IF(ISNUMBER(SEARCH(Assumptions!$C$5,G1442)),Assumptions!$D$5,IF(ISNUMBER(SEARCH(Assumptions!$C$6,G1442)),Assumptions!$D$6,IF(ISNUMBER(SEARCH(Assumptions!$C$7,G1442)),Assumptions!$D$7,"Other Services"))),"Other Services"))</f>
        <v/>
      </c>
    </row>
    <row r="1443" customFormat="false" ht="15" hidden="false" customHeight="false" outlineLevel="0" collapsed="false">
      <c r="F1443" s="41" t="str">
        <f aca="false">IF(E1443="","",IFERROR(VLOOKUP(E1443,Assumptions!$G$5:$H$16,2,0),"Other"))</f>
        <v/>
      </c>
      <c r="J1443" s="41" t="str">
        <f aca="false">IF(G1443="","",IFERROR(IF(ISNUMBER(SEARCH(Assumptions!$C$5,G1443)),Assumptions!$D$5,IF(ISNUMBER(SEARCH(Assumptions!$C$6,G1443)),Assumptions!$D$6,IF(ISNUMBER(SEARCH(Assumptions!$C$7,G1443)),Assumptions!$D$7,"Other Services"))),"Other Services"))</f>
        <v/>
      </c>
    </row>
    <row r="1444" customFormat="false" ht="15" hidden="false" customHeight="false" outlineLevel="0" collapsed="false">
      <c r="F1444" s="41" t="str">
        <f aca="false">IF(E1444="","",IFERROR(VLOOKUP(E1444,Assumptions!$G$5:$H$16,2,0),"Other"))</f>
        <v/>
      </c>
      <c r="J1444" s="41" t="str">
        <f aca="false">IF(G1444="","",IFERROR(IF(ISNUMBER(SEARCH(Assumptions!$C$5,G1444)),Assumptions!$D$5,IF(ISNUMBER(SEARCH(Assumptions!$C$6,G1444)),Assumptions!$D$6,IF(ISNUMBER(SEARCH(Assumptions!$C$7,G1444)),Assumptions!$D$7,"Other Services"))),"Other Services"))</f>
        <v/>
      </c>
    </row>
    <row r="1445" customFormat="false" ht="15" hidden="false" customHeight="false" outlineLevel="0" collapsed="false">
      <c r="F1445" s="41" t="str">
        <f aca="false">IF(E1445="","",IFERROR(VLOOKUP(E1445,Assumptions!$G$5:$H$16,2,0),"Other"))</f>
        <v/>
      </c>
      <c r="J1445" s="41" t="str">
        <f aca="false">IF(G1445="","",IFERROR(IF(ISNUMBER(SEARCH(Assumptions!$C$5,G1445)),Assumptions!$D$5,IF(ISNUMBER(SEARCH(Assumptions!$C$6,G1445)),Assumptions!$D$6,IF(ISNUMBER(SEARCH(Assumptions!$C$7,G1445)),Assumptions!$D$7,"Other Services"))),"Other Services"))</f>
        <v/>
      </c>
    </row>
    <row r="1446" customFormat="false" ht="15" hidden="false" customHeight="false" outlineLevel="0" collapsed="false">
      <c r="F1446" s="41" t="str">
        <f aca="false">IF(E1446="","",IFERROR(VLOOKUP(E1446,Assumptions!$G$5:$H$16,2,0),"Other"))</f>
        <v/>
      </c>
      <c r="J1446" s="41" t="str">
        <f aca="false">IF(G1446="","",IFERROR(IF(ISNUMBER(SEARCH(Assumptions!$C$5,G1446)),Assumptions!$D$5,IF(ISNUMBER(SEARCH(Assumptions!$C$6,G1446)),Assumptions!$D$6,IF(ISNUMBER(SEARCH(Assumptions!$C$7,G1446)),Assumptions!$D$7,"Other Services"))),"Other Services"))</f>
        <v/>
      </c>
    </row>
    <row r="1447" customFormat="false" ht="15" hidden="false" customHeight="false" outlineLevel="0" collapsed="false">
      <c r="F1447" s="41" t="str">
        <f aca="false">IF(E1447="","",IFERROR(VLOOKUP(E1447,Assumptions!$G$5:$H$16,2,0),"Other"))</f>
        <v/>
      </c>
      <c r="J1447" s="41" t="str">
        <f aca="false">IF(G1447="","",IFERROR(IF(ISNUMBER(SEARCH(Assumptions!$C$5,G1447)),Assumptions!$D$5,IF(ISNUMBER(SEARCH(Assumptions!$C$6,G1447)),Assumptions!$D$6,IF(ISNUMBER(SEARCH(Assumptions!$C$7,G1447)),Assumptions!$D$7,"Other Services"))),"Other Services"))</f>
        <v/>
      </c>
    </row>
    <row r="1448" customFormat="false" ht="15" hidden="false" customHeight="false" outlineLevel="0" collapsed="false">
      <c r="F1448" s="41" t="str">
        <f aca="false">IF(E1448="","",IFERROR(VLOOKUP(E1448,Assumptions!$G$5:$H$16,2,0),"Other"))</f>
        <v/>
      </c>
      <c r="J1448" s="41" t="str">
        <f aca="false">IF(G1448="","",IFERROR(IF(ISNUMBER(SEARCH(Assumptions!$C$5,G1448)),Assumptions!$D$5,IF(ISNUMBER(SEARCH(Assumptions!$C$6,G1448)),Assumptions!$D$6,IF(ISNUMBER(SEARCH(Assumptions!$C$7,G1448)),Assumptions!$D$7,"Other Services"))),"Other Services"))</f>
        <v/>
      </c>
    </row>
    <row r="1449" customFormat="false" ht="15" hidden="false" customHeight="false" outlineLevel="0" collapsed="false">
      <c r="F1449" s="41" t="str">
        <f aca="false">IF(E1449="","",IFERROR(VLOOKUP(E1449,Assumptions!$G$5:$H$16,2,0),"Other"))</f>
        <v/>
      </c>
      <c r="J1449" s="41" t="str">
        <f aca="false">IF(G1449="","",IFERROR(IF(ISNUMBER(SEARCH(Assumptions!$C$5,G1449)),Assumptions!$D$5,IF(ISNUMBER(SEARCH(Assumptions!$C$6,G1449)),Assumptions!$D$6,IF(ISNUMBER(SEARCH(Assumptions!$C$7,G1449)),Assumptions!$D$7,"Other Services"))),"Other Services"))</f>
        <v/>
      </c>
    </row>
    <row r="1450" customFormat="false" ht="15" hidden="false" customHeight="false" outlineLevel="0" collapsed="false">
      <c r="F1450" s="41" t="str">
        <f aca="false">IF(E1450="","",IFERROR(VLOOKUP(E1450,Assumptions!$G$5:$H$16,2,0),"Other"))</f>
        <v/>
      </c>
      <c r="J1450" s="41" t="str">
        <f aca="false">IF(G1450="","",IFERROR(IF(ISNUMBER(SEARCH(Assumptions!$C$5,G1450)),Assumptions!$D$5,IF(ISNUMBER(SEARCH(Assumptions!$C$6,G1450)),Assumptions!$D$6,IF(ISNUMBER(SEARCH(Assumptions!$C$7,G1450)),Assumptions!$D$7,"Other Services"))),"Other Services"))</f>
        <v/>
      </c>
    </row>
    <row r="1451" customFormat="false" ht="15" hidden="false" customHeight="false" outlineLevel="0" collapsed="false">
      <c r="F1451" s="41" t="str">
        <f aca="false">IF(E1451="","",IFERROR(VLOOKUP(E1451,Assumptions!$G$5:$H$16,2,0),"Other"))</f>
        <v/>
      </c>
      <c r="J1451" s="41" t="str">
        <f aca="false">IF(G1451="","",IFERROR(IF(ISNUMBER(SEARCH(Assumptions!$C$5,G1451)),Assumptions!$D$5,IF(ISNUMBER(SEARCH(Assumptions!$C$6,G1451)),Assumptions!$D$6,IF(ISNUMBER(SEARCH(Assumptions!$C$7,G1451)),Assumptions!$D$7,"Other Services"))),"Other Services"))</f>
        <v/>
      </c>
    </row>
    <row r="1452" customFormat="false" ht="15" hidden="false" customHeight="false" outlineLevel="0" collapsed="false">
      <c r="F1452" s="41" t="str">
        <f aca="false">IF(E1452="","",IFERROR(VLOOKUP(E1452,Assumptions!$G$5:$H$16,2,0),"Other"))</f>
        <v/>
      </c>
      <c r="J1452" s="41" t="str">
        <f aca="false">IF(G1452="","",IFERROR(IF(ISNUMBER(SEARCH(Assumptions!$C$5,G1452)),Assumptions!$D$5,IF(ISNUMBER(SEARCH(Assumptions!$C$6,G1452)),Assumptions!$D$6,IF(ISNUMBER(SEARCH(Assumptions!$C$7,G1452)),Assumptions!$D$7,"Other Services"))),"Other Services"))</f>
        <v/>
      </c>
    </row>
    <row r="1453" customFormat="false" ht="15" hidden="false" customHeight="false" outlineLevel="0" collapsed="false">
      <c r="F1453" s="41" t="str">
        <f aca="false">IF(E1453="","",IFERROR(VLOOKUP(E1453,Assumptions!$G$5:$H$16,2,0),"Other"))</f>
        <v/>
      </c>
      <c r="J1453" s="41" t="str">
        <f aca="false">IF(G1453="","",IFERROR(IF(ISNUMBER(SEARCH(Assumptions!$C$5,G1453)),Assumptions!$D$5,IF(ISNUMBER(SEARCH(Assumptions!$C$6,G1453)),Assumptions!$D$6,IF(ISNUMBER(SEARCH(Assumptions!$C$7,G1453)),Assumptions!$D$7,"Other Services"))),"Other Services"))</f>
        <v/>
      </c>
    </row>
    <row r="1454" customFormat="false" ht="15" hidden="false" customHeight="false" outlineLevel="0" collapsed="false">
      <c r="F1454" s="41" t="str">
        <f aca="false">IF(E1454="","",IFERROR(VLOOKUP(E1454,Assumptions!$G$5:$H$16,2,0),"Other"))</f>
        <v/>
      </c>
      <c r="J1454" s="41" t="str">
        <f aca="false">IF(G1454="","",IFERROR(IF(ISNUMBER(SEARCH(Assumptions!$C$5,G1454)),Assumptions!$D$5,IF(ISNUMBER(SEARCH(Assumptions!$C$6,G1454)),Assumptions!$D$6,IF(ISNUMBER(SEARCH(Assumptions!$C$7,G1454)),Assumptions!$D$7,"Other Services"))),"Other Services"))</f>
        <v/>
      </c>
    </row>
    <row r="1455" customFormat="false" ht="15" hidden="false" customHeight="false" outlineLevel="0" collapsed="false">
      <c r="F1455" s="41" t="str">
        <f aca="false">IF(E1455="","",IFERROR(VLOOKUP(E1455,Assumptions!$G$5:$H$16,2,0),"Other"))</f>
        <v/>
      </c>
      <c r="J1455" s="41" t="str">
        <f aca="false">IF(G1455="","",IFERROR(IF(ISNUMBER(SEARCH(Assumptions!$C$5,G1455)),Assumptions!$D$5,IF(ISNUMBER(SEARCH(Assumptions!$C$6,G1455)),Assumptions!$D$6,IF(ISNUMBER(SEARCH(Assumptions!$C$7,G1455)),Assumptions!$D$7,"Other Services"))),"Other Services"))</f>
        <v/>
      </c>
    </row>
    <row r="1456" customFormat="false" ht="15" hidden="false" customHeight="false" outlineLevel="0" collapsed="false">
      <c r="F1456" s="41" t="str">
        <f aca="false">IF(E1456="","",IFERROR(VLOOKUP(E1456,Assumptions!$G$5:$H$16,2,0),"Other"))</f>
        <v/>
      </c>
      <c r="J1456" s="41" t="str">
        <f aca="false">IF(G1456="","",IFERROR(IF(ISNUMBER(SEARCH(Assumptions!$C$5,G1456)),Assumptions!$D$5,IF(ISNUMBER(SEARCH(Assumptions!$C$6,G1456)),Assumptions!$D$6,IF(ISNUMBER(SEARCH(Assumptions!$C$7,G1456)),Assumptions!$D$7,"Other Services"))),"Other Services"))</f>
        <v/>
      </c>
    </row>
    <row r="1457" customFormat="false" ht="15" hidden="false" customHeight="false" outlineLevel="0" collapsed="false">
      <c r="F1457" s="41" t="str">
        <f aca="false">IF(E1457="","",IFERROR(VLOOKUP(E1457,Assumptions!$G$5:$H$16,2,0),"Other"))</f>
        <v/>
      </c>
      <c r="J1457" s="41" t="str">
        <f aca="false">IF(G1457="","",IFERROR(IF(ISNUMBER(SEARCH(Assumptions!$C$5,G1457)),Assumptions!$D$5,IF(ISNUMBER(SEARCH(Assumptions!$C$6,G1457)),Assumptions!$D$6,IF(ISNUMBER(SEARCH(Assumptions!$C$7,G1457)),Assumptions!$D$7,"Other Services"))),"Other Services"))</f>
        <v/>
      </c>
    </row>
    <row r="1458" customFormat="false" ht="15" hidden="false" customHeight="false" outlineLevel="0" collapsed="false">
      <c r="F1458" s="41" t="str">
        <f aca="false">IF(E1458="","",IFERROR(VLOOKUP(E1458,Assumptions!$G$5:$H$16,2,0),"Other"))</f>
        <v/>
      </c>
      <c r="J1458" s="41" t="str">
        <f aca="false">IF(G1458="","",IFERROR(IF(ISNUMBER(SEARCH(Assumptions!$C$5,G1458)),Assumptions!$D$5,IF(ISNUMBER(SEARCH(Assumptions!$C$6,G1458)),Assumptions!$D$6,IF(ISNUMBER(SEARCH(Assumptions!$C$7,G1458)),Assumptions!$D$7,"Other Services"))),"Other Services"))</f>
        <v/>
      </c>
    </row>
    <row r="1459" customFormat="false" ht="15" hidden="false" customHeight="false" outlineLevel="0" collapsed="false">
      <c r="F1459" s="41" t="str">
        <f aca="false">IF(E1459="","",IFERROR(VLOOKUP(E1459,Assumptions!$G$5:$H$16,2,0),"Other"))</f>
        <v/>
      </c>
      <c r="J1459" s="41" t="str">
        <f aca="false">IF(G1459="","",IFERROR(IF(ISNUMBER(SEARCH(Assumptions!$C$5,G1459)),Assumptions!$D$5,IF(ISNUMBER(SEARCH(Assumptions!$C$6,G1459)),Assumptions!$D$6,IF(ISNUMBER(SEARCH(Assumptions!$C$7,G1459)),Assumptions!$D$7,"Other Services"))),"Other Services"))</f>
        <v/>
      </c>
    </row>
    <row r="1460" customFormat="false" ht="15" hidden="false" customHeight="false" outlineLevel="0" collapsed="false">
      <c r="F1460" s="41" t="str">
        <f aca="false">IF(E1460="","",IFERROR(VLOOKUP(E1460,Assumptions!$G$5:$H$16,2,0),"Other"))</f>
        <v/>
      </c>
      <c r="J1460" s="41" t="str">
        <f aca="false">IF(G1460="","",IFERROR(IF(ISNUMBER(SEARCH(Assumptions!$C$5,G1460)),Assumptions!$D$5,IF(ISNUMBER(SEARCH(Assumptions!$C$6,G1460)),Assumptions!$D$6,IF(ISNUMBER(SEARCH(Assumptions!$C$7,G1460)),Assumptions!$D$7,"Other Services"))),"Other Services"))</f>
        <v/>
      </c>
    </row>
    <row r="1461" customFormat="false" ht="15" hidden="false" customHeight="false" outlineLevel="0" collapsed="false">
      <c r="F1461" s="41" t="str">
        <f aca="false">IF(E1461="","",IFERROR(VLOOKUP(E1461,Assumptions!$G$5:$H$16,2,0),"Other"))</f>
        <v/>
      </c>
      <c r="J1461" s="41" t="str">
        <f aca="false">IF(G1461="","",IFERROR(IF(ISNUMBER(SEARCH(Assumptions!$C$5,G1461)),Assumptions!$D$5,IF(ISNUMBER(SEARCH(Assumptions!$C$6,G1461)),Assumptions!$D$6,IF(ISNUMBER(SEARCH(Assumptions!$C$7,G1461)),Assumptions!$D$7,"Other Services"))),"Other Services"))</f>
        <v/>
      </c>
    </row>
    <row r="1462" customFormat="false" ht="15" hidden="false" customHeight="false" outlineLevel="0" collapsed="false">
      <c r="F1462" s="41" t="str">
        <f aca="false">IF(E1462="","",IFERROR(VLOOKUP(E1462,Assumptions!$G$5:$H$16,2,0),"Other"))</f>
        <v/>
      </c>
      <c r="J1462" s="41" t="str">
        <f aca="false">IF(G1462="","",IFERROR(IF(ISNUMBER(SEARCH(Assumptions!$C$5,G1462)),Assumptions!$D$5,IF(ISNUMBER(SEARCH(Assumptions!$C$6,G1462)),Assumptions!$D$6,IF(ISNUMBER(SEARCH(Assumptions!$C$7,G1462)),Assumptions!$D$7,"Other Services"))),"Other Services"))</f>
        <v/>
      </c>
    </row>
    <row r="1463" customFormat="false" ht="15" hidden="false" customHeight="false" outlineLevel="0" collapsed="false">
      <c r="F1463" s="41" t="str">
        <f aca="false">IF(E1463="","",IFERROR(VLOOKUP(E1463,Assumptions!$G$5:$H$16,2,0),"Other"))</f>
        <v/>
      </c>
      <c r="J1463" s="41" t="str">
        <f aca="false">IF(G1463="","",IFERROR(IF(ISNUMBER(SEARCH(Assumptions!$C$5,G1463)),Assumptions!$D$5,IF(ISNUMBER(SEARCH(Assumptions!$C$6,G1463)),Assumptions!$D$6,IF(ISNUMBER(SEARCH(Assumptions!$C$7,G1463)),Assumptions!$D$7,"Other Services"))),"Other Services"))</f>
        <v/>
      </c>
    </row>
    <row r="1464" customFormat="false" ht="15" hidden="false" customHeight="false" outlineLevel="0" collapsed="false">
      <c r="F1464" s="41" t="str">
        <f aca="false">IF(E1464="","",IFERROR(VLOOKUP(E1464,Assumptions!$G$5:$H$16,2,0),"Other"))</f>
        <v/>
      </c>
      <c r="J1464" s="41" t="str">
        <f aca="false">IF(G1464="","",IFERROR(IF(ISNUMBER(SEARCH(Assumptions!$C$5,G1464)),Assumptions!$D$5,IF(ISNUMBER(SEARCH(Assumptions!$C$6,G1464)),Assumptions!$D$6,IF(ISNUMBER(SEARCH(Assumptions!$C$7,G1464)),Assumptions!$D$7,"Other Services"))),"Other Services"))</f>
        <v/>
      </c>
    </row>
    <row r="1465" customFormat="false" ht="15" hidden="false" customHeight="false" outlineLevel="0" collapsed="false">
      <c r="F1465" s="41" t="str">
        <f aca="false">IF(E1465="","",IFERROR(VLOOKUP(E1465,Assumptions!$G$5:$H$16,2,0),"Other"))</f>
        <v/>
      </c>
      <c r="J1465" s="41" t="str">
        <f aca="false">IF(G1465="","",IFERROR(IF(ISNUMBER(SEARCH(Assumptions!$C$5,G1465)),Assumptions!$D$5,IF(ISNUMBER(SEARCH(Assumptions!$C$6,G1465)),Assumptions!$D$6,IF(ISNUMBER(SEARCH(Assumptions!$C$7,G1465)),Assumptions!$D$7,"Other Services"))),"Other Services"))</f>
        <v/>
      </c>
    </row>
    <row r="1466" customFormat="false" ht="15" hidden="false" customHeight="false" outlineLevel="0" collapsed="false">
      <c r="F1466" s="41" t="str">
        <f aca="false">IF(E1466="","",IFERROR(VLOOKUP(E1466,Assumptions!$G$5:$H$16,2,0),"Other"))</f>
        <v/>
      </c>
      <c r="J1466" s="41" t="str">
        <f aca="false">IF(G1466="","",IFERROR(IF(ISNUMBER(SEARCH(Assumptions!$C$5,G1466)),Assumptions!$D$5,IF(ISNUMBER(SEARCH(Assumptions!$C$6,G1466)),Assumptions!$D$6,IF(ISNUMBER(SEARCH(Assumptions!$C$7,G1466)),Assumptions!$D$7,"Other Services"))),"Other Services"))</f>
        <v/>
      </c>
    </row>
    <row r="1467" customFormat="false" ht="15" hidden="false" customHeight="false" outlineLevel="0" collapsed="false">
      <c r="F1467" s="41" t="str">
        <f aca="false">IF(E1467="","",IFERROR(VLOOKUP(E1467,Assumptions!$G$5:$H$16,2,0),"Other"))</f>
        <v/>
      </c>
      <c r="J1467" s="41" t="str">
        <f aca="false">IF(G1467="","",IFERROR(IF(ISNUMBER(SEARCH(Assumptions!$C$5,G1467)),Assumptions!$D$5,IF(ISNUMBER(SEARCH(Assumptions!$C$6,G1467)),Assumptions!$D$6,IF(ISNUMBER(SEARCH(Assumptions!$C$7,G1467)),Assumptions!$D$7,"Other Services"))),"Other Services"))</f>
        <v/>
      </c>
    </row>
    <row r="1468" customFormat="false" ht="15" hidden="false" customHeight="false" outlineLevel="0" collapsed="false">
      <c r="F1468" s="41" t="str">
        <f aca="false">IF(E1468="","",IFERROR(VLOOKUP(E1468,Assumptions!$G$5:$H$16,2,0),"Other"))</f>
        <v/>
      </c>
      <c r="J1468" s="41" t="str">
        <f aca="false">IF(G1468="","",IFERROR(IF(ISNUMBER(SEARCH(Assumptions!$C$5,G1468)),Assumptions!$D$5,IF(ISNUMBER(SEARCH(Assumptions!$C$6,G1468)),Assumptions!$D$6,IF(ISNUMBER(SEARCH(Assumptions!$C$7,G1468)),Assumptions!$D$7,"Other Services"))),"Other Services"))</f>
        <v/>
      </c>
    </row>
    <row r="1469" customFormat="false" ht="15" hidden="false" customHeight="false" outlineLevel="0" collapsed="false">
      <c r="F1469" s="41" t="str">
        <f aca="false">IF(E1469="","",IFERROR(VLOOKUP(E1469,Assumptions!$G$5:$H$16,2,0),"Other"))</f>
        <v/>
      </c>
      <c r="J1469" s="41" t="str">
        <f aca="false">IF(G1469="","",IFERROR(IF(ISNUMBER(SEARCH(Assumptions!$C$5,G1469)),Assumptions!$D$5,IF(ISNUMBER(SEARCH(Assumptions!$C$6,G1469)),Assumptions!$D$6,IF(ISNUMBER(SEARCH(Assumptions!$C$7,G1469)),Assumptions!$D$7,"Other Services"))),"Other Services"))</f>
        <v/>
      </c>
    </row>
    <row r="1470" customFormat="false" ht="15" hidden="false" customHeight="false" outlineLevel="0" collapsed="false">
      <c r="F1470" s="41" t="str">
        <f aca="false">IF(E1470="","",IFERROR(VLOOKUP(E1470,Assumptions!$G$5:$H$16,2,0),"Other"))</f>
        <v/>
      </c>
      <c r="J1470" s="41" t="str">
        <f aca="false">IF(G1470="","",IFERROR(IF(ISNUMBER(SEARCH(Assumptions!$C$5,G1470)),Assumptions!$D$5,IF(ISNUMBER(SEARCH(Assumptions!$C$6,G1470)),Assumptions!$D$6,IF(ISNUMBER(SEARCH(Assumptions!$C$7,G1470)),Assumptions!$D$7,"Other Services"))),"Other Services"))</f>
        <v/>
      </c>
    </row>
    <row r="1471" customFormat="false" ht="15" hidden="false" customHeight="false" outlineLevel="0" collapsed="false">
      <c r="F1471" s="41" t="str">
        <f aca="false">IF(E1471="","",IFERROR(VLOOKUP(E1471,Assumptions!$G$5:$H$16,2,0),"Other"))</f>
        <v/>
      </c>
      <c r="J1471" s="41" t="str">
        <f aca="false">IF(G1471="","",IFERROR(IF(ISNUMBER(SEARCH(Assumptions!$C$5,G1471)),Assumptions!$D$5,IF(ISNUMBER(SEARCH(Assumptions!$C$6,G1471)),Assumptions!$D$6,IF(ISNUMBER(SEARCH(Assumptions!$C$7,G1471)),Assumptions!$D$7,"Other Services"))),"Other Services"))</f>
        <v/>
      </c>
    </row>
    <row r="1472" customFormat="false" ht="15" hidden="false" customHeight="false" outlineLevel="0" collapsed="false">
      <c r="F1472" s="41" t="str">
        <f aca="false">IF(E1472="","",IFERROR(VLOOKUP(E1472,Assumptions!$G$5:$H$16,2,0),"Other"))</f>
        <v/>
      </c>
      <c r="J1472" s="41" t="str">
        <f aca="false">IF(G1472="","",IFERROR(IF(ISNUMBER(SEARCH(Assumptions!$C$5,G1472)),Assumptions!$D$5,IF(ISNUMBER(SEARCH(Assumptions!$C$6,G1472)),Assumptions!$D$6,IF(ISNUMBER(SEARCH(Assumptions!$C$7,G1472)),Assumptions!$D$7,"Other Services"))),"Other Services"))</f>
        <v/>
      </c>
    </row>
    <row r="1473" customFormat="false" ht="15" hidden="false" customHeight="false" outlineLevel="0" collapsed="false">
      <c r="F1473" s="41" t="str">
        <f aca="false">IF(E1473="","",IFERROR(VLOOKUP(E1473,Assumptions!$G$5:$H$16,2,0),"Other"))</f>
        <v/>
      </c>
      <c r="J1473" s="41" t="str">
        <f aca="false">IF(G1473="","",IFERROR(IF(ISNUMBER(SEARCH(Assumptions!$C$5,G1473)),Assumptions!$D$5,IF(ISNUMBER(SEARCH(Assumptions!$C$6,G1473)),Assumptions!$D$6,IF(ISNUMBER(SEARCH(Assumptions!$C$7,G1473)),Assumptions!$D$7,"Other Services"))),"Other Services"))</f>
        <v/>
      </c>
    </row>
    <row r="1474" customFormat="false" ht="15" hidden="false" customHeight="false" outlineLevel="0" collapsed="false">
      <c r="F1474" s="41" t="str">
        <f aca="false">IF(E1474="","",IFERROR(VLOOKUP(E1474,Assumptions!$G$5:$H$16,2,0),"Other"))</f>
        <v/>
      </c>
      <c r="J1474" s="41" t="str">
        <f aca="false">IF(G1474="","",IFERROR(IF(ISNUMBER(SEARCH(Assumptions!$C$5,G1474)),Assumptions!$D$5,IF(ISNUMBER(SEARCH(Assumptions!$C$6,G1474)),Assumptions!$D$6,IF(ISNUMBER(SEARCH(Assumptions!$C$7,G1474)),Assumptions!$D$7,"Other Services"))),"Other Services"))</f>
        <v/>
      </c>
    </row>
    <row r="1475" customFormat="false" ht="15" hidden="false" customHeight="false" outlineLevel="0" collapsed="false">
      <c r="F1475" s="41" t="str">
        <f aca="false">IF(E1475="","",IFERROR(VLOOKUP(E1475,Assumptions!$G$5:$H$16,2,0),"Other"))</f>
        <v/>
      </c>
      <c r="J1475" s="41" t="str">
        <f aca="false">IF(G1475="","",IFERROR(IF(ISNUMBER(SEARCH(Assumptions!$C$5,G1475)),Assumptions!$D$5,IF(ISNUMBER(SEARCH(Assumptions!$C$6,G1475)),Assumptions!$D$6,IF(ISNUMBER(SEARCH(Assumptions!$C$7,G1475)),Assumptions!$D$7,"Other Services"))),"Other Services"))</f>
        <v/>
      </c>
    </row>
    <row r="1476" customFormat="false" ht="15" hidden="false" customHeight="false" outlineLevel="0" collapsed="false">
      <c r="F1476" s="41" t="str">
        <f aca="false">IF(E1476="","",IFERROR(VLOOKUP(E1476,Assumptions!$G$5:$H$16,2,0),"Other"))</f>
        <v/>
      </c>
      <c r="J1476" s="41" t="str">
        <f aca="false">IF(G1476="","",IFERROR(IF(ISNUMBER(SEARCH(Assumptions!$C$5,G1476)),Assumptions!$D$5,IF(ISNUMBER(SEARCH(Assumptions!$C$6,G1476)),Assumptions!$D$6,IF(ISNUMBER(SEARCH(Assumptions!$C$7,G1476)),Assumptions!$D$7,"Other Services"))),"Other Services"))</f>
        <v/>
      </c>
    </row>
    <row r="1477" customFormat="false" ht="15" hidden="false" customHeight="false" outlineLevel="0" collapsed="false">
      <c r="F1477" s="41" t="str">
        <f aca="false">IF(E1477="","",IFERROR(VLOOKUP(E1477,Assumptions!$G$5:$H$16,2,0),"Other"))</f>
        <v/>
      </c>
      <c r="J1477" s="41" t="str">
        <f aca="false">IF(G1477="","",IFERROR(IF(ISNUMBER(SEARCH(Assumptions!$C$5,G1477)),Assumptions!$D$5,IF(ISNUMBER(SEARCH(Assumptions!$C$6,G1477)),Assumptions!$D$6,IF(ISNUMBER(SEARCH(Assumptions!$C$7,G1477)),Assumptions!$D$7,"Other Services"))),"Other Services"))</f>
        <v/>
      </c>
    </row>
    <row r="1478" customFormat="false" ht="15" hidden="false" customHeight="false" outlineLevel="0" collapsed="false">
      <c r="F1478" s="41" t="str">
        <f aca="false">IF(E1478="","",IFERROR(VLOOKUP(E1478,Assumptions!$G$5:$H$16,2,0),"Other"))</f>
        <v/>
      </c>
      <c r="J1478" s="41" t="str">
        <f aca="false">IF(G1478="","",IFERROR(IF(ISNUMBER(SEARCH(Assumptions!$C$5,G1478)),Assumptions!$D$5,IF(ISNUMBER(SEARCH(Assumptions!$C$6,G1478)),Assumptions!$D$6,IF(ISNUMBER(SEARCH(Assumptions!$C$7,G1478)),Assumptions!$D$7,"Other Services"))),"Other Services"))</f>
        <v/>
      </c>
    </row>
    <row r="1479" customFormat="false" ht="15" hidden="false" customHeight="false" outlineLevel="0" collapsed="false">
      <c r="F1479" s="41" t="str">
        <f aca="false">IF(E1479="","",IFERROR(VLOOKUP(E1479,Assumptions!$G$5:$H$16,2,0),"Other"))</f>
        <v/>
      </c>
      <c r="J1479" s="41" t="str">
        <f aca="false">IF(G1479="","",IFERROR(IF(ISNUMBER(SEARCH(Assumptions!$C$5,G1479)),Assumptions!$D$5,IF(ISNUMBER(SEARCH(Assumptions!$C$6,G1479)),Assumptions!$D$6,IF(ISNUMBER(SEARCH(Assumptions!$C$7,G1479)),Assumptions!$D$7,"Other Services"))),"Other Services"))</f>
        <v/>
      </c>
    </row>
    <row r="1480" customFormat="false" ht="15" hidden="false" customHeight="false" outlineLevel="0" collapsed="false">
      <c r="F1480" s="41" t="str">
        <f aca="false">IF(E1480="","",IFERROR(VLOOKUP(E1480,Assumptions!$G$5:$H$16,2,0),"Other"))</f>
        <v/>
      </c>
      <c r="J1480" s="41" t="str">
        <f aca="false">IF(G1480="","",IFERROR(IF(ISNUMBER(SEARCH(Assumptions!$C$5,G1480)),Assumptions!$D$5,IF(ISNUMBER(SEARCH(Assumptions!$C$6,G1480)),Assumptions!$D$6,IF(ISNUMBER(SEARCH(Assumptions!$C$7,G1480)),Assumptions!$D$7,"Other Services"))),"Other Services"))</f>
        <v/>
      </c>
    </row>
    <row r="1481" customFormat="false" ht="15" hidden="false" customHeight="false" outlineLevel="0" collapsed="false">
      <c r="F1481" s="41" t="str">
        <f aca="false">IF(E1481="","",IFERROR(VLOOKUP(E1481,Assumptions!$G$5:$H$16,2,0),"Other"))</f>
        <v/>
      </c>
      <c r="J1481" s="41" t="str">
        <f aca="false">IF(G1481="","",IFERROR(IF(ISNUMBER(SEARCH(Assumptions!$C$5,G1481)),Assumptions!$D$5,IF(ISNUMBER(SEARCH(Assumptions!$C$6,G1481)),Assumptions!$D$6,IF(ISNUMBER(SEARCH(Assumptions!$C$7,G1481)),Assumptions!$D$7,"Other Services"))),"Other Services"))</f>
        <v/>
      </c>
    </row>
    <row r="1482" customFormat="false" ht="15" hidden="false" customHeight="false" outlineLevel="0" collapsed="false">
      <c r="F1482" s="41" t="str">
        <f aca="false">IF(E1482="","",IFERROR(VLOOKUP(E1482,Assumptions!$G$5:$H$16,2,0),"Other"))</f>
        <v/>
      </c>
      <c r="J1482" s="41" t="str">
        <f aca="false">IF(G1482="","",IFERROR(IF(ISNUMBER(SEARCH(Assumptions!$C$5,G1482)),Assumptions!$D$5,IF(ISNUMBER(SEARCH(Assumptions!$C$6,G1482)),Assumptions!$D$6,IF(ISNUMBER(SEARCH(Assumptions!$C$7,G1482)),Assumptions!$D$7,"Other Services"))),"Other Services"))</f>
        <v/>
      </c>
    </row>
    <row r="1483" customFormat="false" ht="15" hidden="false" customHeight="false" outlineLevel="0" collapsed="false">
      <c r="F1483" s="41" t="str">
        <f aca="false">IF(E1483="","",IFERROR(VLOOKUP(E1483,Assumptions!$G$5:$H$16,2,0),"Other"))</f>
        <v/>
      </c>
      <c r="J1483" s="41" t="str">
        <f aca="false">IF(G1483="","",IFERROR(IF(ISNUMBER(SEARCH(Assumptions!$C$5,G1483)),Assumptions!$D$5,IF(ISNUMBER(SEARCH(Assumptions!$C$6,G1483)),Assumptions!$D$6,IF(ISNUMBER(SEARCH(Assumptions!$C$7,G1483)),Assumptions!$D$7,"Other Services"))),"Other Services"))</f>
        <v/>
      </c>
    </row>
    <row r="1484" customFormat="false" ht="15" hidden="false" customHeight="false" outlineLevel="0" collapsed="false">
      <c r="F1484" s="41" t="str">
        <f aca="false">IF(E1484="","",IFERROR(VLOOKUP(E1484,Assumptions!$G$5:$H$16,2,0),"Other"))</f>
        <v/>
      </c>
      <c r="J1484" s="41" t="str">
        <f aca="false">IF(G1484="","",IFERROR(IF(ISNUMBER(SEARCH(Assumptions!$C$5,G1484)),Assumptions!$D$5,IF(ISNUMBER(SEARCH(Assumptions!$C$6,G1484)),Assumptions!$D$6,IF(ISNUMBER(SEARCH(Assumptions!$C$7,G1484)),Assumptions!$D$7,"Other Services"))),"Other Services"))</f>
        <v/>
      </c>
    </row>
    <row r="1485" customFormat="false" ht="15" hidden="false" customHeight="false" outlineLevel="0" collapsed="false">
      <c r="F1485" s="41" t="str">
        <f aca="false">IF(E1485="","",IFERROR(VLOOKUP(E1485,Assumptions!$G$5:$H$16,2,0),"Other"))</f>
        <v/>
      </c>
      <c r="J1485" s="41" t="str">
        <f aca="false">IF(G1485="","",IFERROR(IF(ISNUMBER(SEARCH(Assumptions!$C$5,G1485)),Assumptions!$D$5,IF(ISNUMBER(SEARCH(Assumptions!$C$6,G1485)),Assumptions!$D$6,IF(ISNUMBER(SEARCH(Assumptions!$C$7,G1485)),Assumptions!$D$7,"Other Services"))),"Other Services"))</f>
        <v/>
      </c>
    </row>
    <row r="1486" customFormat="false" ht="15" hidden="false" customHeight="false" outlineLevel="0" collapsed="false">
      <c r="F1486" s="41" t="str">
        <f aca="false">IF(E1486="","",IFERROR(VLOOKUP(E1486,Assumptions!$G$5:$H$16,2,0),"Other"))</f>
        <v/>
      </c>
      <c r="J1486" s="41" t="str">
        <f aca="false">IF(G1486="","",IFERROR(IF(ISNUMBER(SEARCH(Assumptions!$C$5,G1486)),Assumptions!$D$5,IF(ISNUMBER(SEARCH(Assumptions!$C$6,G1486)),Assumptions!$D$6,IF(ISNUMBER(SEARCH(Assumptions!$C$7,G1486)),Assumptions!$D$7,"Other Services"))),"Other Services"))</f>
        <v/>
      </c>
    </row>
    <row r="1487" customFormat="false" ht="15" hidden="false" customHeight="false" outlineLevel="0" collapsed="false">
      <c r="F1487" s="41" t="str">
        <f aca="false">IF(E1487="","",IFERROR(VLOOKUP(E1487,Assumptions!$G$5:$H$16,2,0),"Other"))</f>
        <v/>
      </c>
      <c r="J1487" s="41" t="str">
        <f aca="false">IF(G1487="","",IFERROR(IF(ISNUMBER(SEARCH(Assumptions!$C$5,G1487)),Assumptions!$D$5,IF(ISNUMBER(SEARCH(Assumptions!$C$6,G1487)),Assumptions!$D$6,IF(ISNUMBER(SEARCH(Assumptions!$C$7,G1487)),Assumptions!$D$7,"Other Services"))),"Other Services"))</f>
        <v/>
      </c>
    </row>
    <row r="1488" customFormat="false" ht="15" hidden="false" customHeight="false" outlineLevel="0" collapsed="false">
      <c r="F1488" s="41" t="str">
        <f aca="false">IF(E1488="","",IFERROR(VLOOKUP(E1488,Assumptions!$G$5:$H$16,2,0),"Other"))</f>
        <v/>
      </c>
      <c r="J1488" s="41" t="str">
        <f aca="false">IF(G1488="","",IFERROR(IF(ISNUMBER(SEARCH(Assumptions!$C$5,G1488)),Assumptions!$D$5,IF(ISNUMBER(SEARCH(Assumptions!$C$6,G1488)),Assumptions!$D$6,IF(ISNUMBER(SEARCH(Assumptions!$C$7,G1488)),Assumptions!$D$7,"Other Services"))),"Other Services"))</f>
        <v/>
      </c>
    </row>
    <row r="1489" customFormat="false" ht="15" hidden="false" customHeight="false" outlineLevel="0" collapsed="false">
      <c r="F1489" s="41" t="str">
        <f aca="false">IF(E1489="","",IFERROR(VLOOKUP(E1489,Assumptions!$G$5:$H$16,2,0),"Other"))</f>
        <v/>
      </c>
      <c r="J1489" s="41" t="str">
        <f aca="false">IF(G1489="","",IFERROR(IF(ISNUMBER(SEARCH(Assumptions!$C$5,G1489)),Assumptions!$D$5,IF(ISNUMBER(SEARCH(Assumptions!$C$6,G1489)),Assumptions!$D$6,IF(ISNUMBER(SEARCH(Assumptions!$C$7,G1489)),Assumptions!$D$7,"Other Services"))),"Other Services"))</f>
        <v/>
      </c>
    </row>
    <row r="1490" customFormat="false" ht="15" hidden="false" customHeight="false" outlineLevel="0" collapsed="false">
      <c r="F1490" s="41" t="str">
        <f aca="false">IF(E1490="","",IFERROR(VLOOKUP(E1490,Assumptions!$G$5:$H$16,2,0),"Other"))</f>
        <v/>
      </c>
      <c r="J1490" s="41" t="str">
        <f aca="false">IF(G1490="","",IFERROR(IF(ISNUMBER(SEARCH(Assumptions!$C$5,G1490)),Assumptions!$D$5,IF(ISNUMBER(SEARCH(Assumptions!$C$6,G1490)),Assumptions!$D$6,IF(ISNUMBER(SEARCH(Assumptions!$C$7,G1490)),Assumptions!$D$7,"Other Services"))),"Other Services"))</f>
        <v/>
      </c>
    </row>
    <row r="1491" customFormat="false" ht="15" hidden="false" customHeight="false" outlineLevel="0" collapsed="false">
      <c r="F1491" s="41" t="str">
        <f aca="false">IF(E1491="","",IFERROR(VLOOKUP(E1491,Assumptions!$G$5:$H$16,2,0),"Other"))</f>
        <v/>
      </c>
      <c r="J1491" s="41" t="str">
        <f aca="false">IF(G1491="","",IFERROR(IF(ISNUMBER(SEARCH(Assumptions!$C$5,G1491)),Assumptions!$D$5,IF(ISNUMBER(SEARCH(Assumptions!$C$6,G1491)),Assumptions!$D$6,IF(ISNUMBER(SEARCH(Assumptions!$C$7,G1491)),Assumptions!$D$7,"Other Services"))),"Other Services"))</f>
        <v/>
      </c>
    </row>
    <row r="1492" customFormat="false" ht="15" hidden="false" customHeight="false" outlineLevel="0" collapsed="false">
      <c r="F1492" s="41" t="str">
        <f aca="false">IF(E1492="","",IFERROR(VLOOKUP(E1492,Assumptions!$G$5:$H$16,2,0),"Other"))</f>
        <v/>
      </c>
      <c r="J1492" s="41" t="str">
        <f aca="false">IF(G1492="","",IFERROR(IF(ISNUMBER(SEARCH(Assumptions!$C$5,G1492)),Assumptions!$D$5,IF(ISNUMBER(SEARCH(Assumptions!$C$6,G1492)),Assumptions!$D$6,IF(ISNUMBER(SEARCH(Assumptions!$C$7,G1492)),Assumptions!$D$7,"Other Services"))),"Other Services"))</f>
        <v/>
      </c>
    </row>
    <row r="1493" customFormat="false" ht="15" hidden="false" customHeight="false" outlineLevel="0" collapsed="false">
      <c r="F1493" s="41" t="str">
        <f aca="false">IF(E1493="","",IFERROR(VLOOKUP(E1493,Assumptions!$G$5:$H$16,2,0),"Other"))</f>
        <v/>
      </c>
      <c r="J1493" s="41" t="str">
        <f aca="false">IF(G1493="","",IFERROR(IF(ISNUMBER(SEARCH(Assumptions!$C$5,G1493)),Assumptions!$D$5,IF(ISNUMBER(SEARCH(Assumptions!$C$6,G1493)),Assumptions!$D$6,IF(ISNUMBER(SEARCH(Assumptions!$C$7,G1493)),Assumptions!$D$7,"Other Services"))),"Other Services"))</f>
        <v/>
      </c>
    </row>
    <row r="1494" customFormat="false" ht="15" hidden="false" customHeight="false" outlineLevel="0" collapsed="false">
      <c r="F1494" s="41" t="str">
        <f aca="false">IF(E1494="","",IFERROR(VLOOKUP(E1494,Assumptions!$G$5:$H$16,2,0),"Other"))</f>
        <v/>
      </c>
      <c r="J1494" s="41" t="str">
        <f aca="false">IF(G1494="","",IFERROR(IF(ISNUMBER(SEARCH(Assumptions!$C$5,G1494)),Assumptions!$D$5,IF(ISNUMBER(SEARCH(Assumptions!$C$6,G1494)),Assumptions!$D$6,IF(ISNUMBER(SEARCH(Assumptions!$C$7,G1494)),Assumptions!$D$7,"Other Services"))),"Other Services"))</f>
        <v/>
      </c>
    </row>
    <row r="1495" customFormat="false" ht="15" hidden="false" customHeight="false" outlineLevel="0" collapsed="false">
      <c r="F1495" s="41" t="str">
        <f aca="false">IF(E1495="","",IFERROR(VLOOKUP(E1495,Assumptions!$G$5:$H$16,2,0),"Other"))</f>
        <v/>
      </c>
      <c r="J1495" s="41" t="str">
        <f aca="false">IF(G1495="","",IFERROR(IF(ISNUMBER(SEARCH(Assumptions!$C$5,G1495)),Assumptions!$D$5,IF(ISNUMBER(SEARCH(Assumptions!$C$6,G1495)),Assumptions!$D$6,IF(ISNUMBER(SEARCH(Assumptions!$C$7,G1495)),Assumptions!$D$7,"Other Services"))),"Other Services"))</f>
        <v/>
      </c>
    </row>
    <row r="1496" customFormat="false" ht="15" hidden="false" customHeight="false" outlineLevel="0" collapsed="false">
      <c r="F1496" s="41" t="str">
        <f aca="false">IF(E1496="","",IFERROR(VLOOKUP(E1496,Assumptions!$G$5:$H$16,2,0),"Other"))</f>
        <v/>
      </c>
      <c r="J1496" s="41" t="str">
        <f aca="false">IF(G1496="","",IFERROR(IF(ISNUMBER(SEARCH(Assumptions!$C$5,G1496)),Assumptions!$D$5,IF(ISNUMBER(SEARCH(Assumptions!$C$6,G1496)),Assumptions!$D$6,IF(ISNUMBER(SEARCH(Assumptions!$C$7,G1496)),Assumptions!$D$7,"Other Services"))),"Other Services"))</f>
        <v/>
      </c>
    </row>
    <row r="1497" customFormat="false" ht="15" hidden="false" customHeight="false" outlineLevel="0" collapsed="false">
      <c r="F1497" s="41" t="str">
        <f aca="false">IF(E1497="","",IFERROR(VLOOKUP(E1497,Assumptions!$G$5:$H$16,2,0),"Other"))</f>
        <v/>
      </c>
      <c r="J1497" s="41" t="str">
        <f aca="false">IF(G1497="","",IFERROR(IF(ISNUMBER(SEARCH(Assumptions!$C$5,G1497)),Assumptions!$D$5,IF(ISNUMBER(SEARCH(Assumptions!$C$6,G1497)),Assumptions!$D$6,IF(ISNUMBER(SEARCH(Assumptions!$C$7,G1497)),Assumptions!$D$7,"Other Services"))),"Other Services"))</f>
        <v/>
      </c>
    </row>
    <row r="1498" customFormat="false" ht="15" hidden="false" customHeight="false" outlineLevel="0" collapsed="false">
      <c r="F1498" s="41" t="str">
        <f aca="false">IF(E1498="","",IFERROR(VLOOKUP(E1498,Assumptions!$G$5:$H$16,2,0),"Other"))</f>
        <v/>
      </c>
      <c r="J1498" s="41" t="str">
        <f aca="false">IF(G1498="","",IFERROR(IF(ISNUMBER(SEARCH(Assumptions!$C$5,G1498)),Assumptions!$D$5,IF(ISNUMBER(SEARCH(Assumptions!$C$6,G1498)),Assumptions!$D$6,IF(ISNUMBER(SEARCH(Assumptions!$C$7,G1498)),Assumptions!$D$7,"Other Services"))),"Other Services"))</f>
        <v/>
      </c>
    </row>
    <row r="1499" customFormat="false" ht="15" hidden="false" customHeight="false" outlineLevel="0" collapsed="false">
      <c r="F1499" s="41" t="str">
        <f aca="false">IF(E1499="","",IFERROR(VLOOKUP(E1499,Assumptions!$G$5:$H$16,2,0),"Other"))</f>
        <v/>
      </c>
      <c r="J1499" s="41" t="str">
        <f aca="false">IF(G1499="","",IFERROR(IF(ISNUMBER(SEARCH(Assumptions!$C$5,G1499)),Assumptions!$D$5,IF(ISNUMBER(SEARCH(Assumptions!$C$6,G1499)),Assumptions!$D$6,IF(ISNUMBER(SEARCH(Assumptions!$C$7,G1499)),Assumptions!$D$7,"Other Services"))),"Other Services"))</f>
        <v/>
      </c>
    </row>
    <row r="1500" customFormat="false" ht="15" hidden="false" customHeight="false" outlineLevel="0" collapsed="false">
      <c r="F1500" s="41" t="str">
        <f aca="false">IF(E1500="","",IFERROR(VLOOKUP(E1500,Assumptions!$G$5:$H$16,2,0),"Other"))</f>
        <v/>
      </c>
      <c r="J1500" s="41" t="str">
        <f aca="false">IF(G1500="","",IFERROR(IF(ISNUMBER(SEARCH(Assumptions!$C$5,G1500)),Assumptions!$D$5,IF(ISNUMBER(SEARCH(Assumptions!$C$6,G1500)),Assumptions!$D$6,IF(ISNUMBER(SEARCH(Assumptions!$C$7,G1500)),Assumptions!$D$7,"Other Services"))),"Other Services"))</f>
        <v/>
      </c>
    </row>
    <row r="1501" customFormat="false" ht="15" hidden="false" customHeight="false" outlineLevel="0" collapsed="false">
      <c r="F1501" s="41" t="str">
        <f aca="false">IF(E1501="","",IFERROR(VLOOKUP(E1501,Assumptions!$G$5:$H$16,2,0),"Other"))</f>
        <v/>
      </c>
      <c r="J1501" s="41" t="str">
        <f aca="false">IF(G1501="","",IFERROR(IF(ISNUMBER(SEARCH(Assumptions!$C$5,G1501)),Assumptions!$D$5,IF(ISNUMBER(SEARCH(Assumptions!$C$6,G1501)),Assumptions!$D$6,IF(ISNUMBER(SEARCH(Assumptions!$C$7,G1501)),Assumptions!$D$7,"Other Services"))),"Other Services"))</f>
        <v/>
      </c>
    </row>
    <row r="1502" customFormat="false" ht="15" hidden="false" customHeight="false" outlineLevel="0" collapsed="false">
      <c r="F1502" s="41" t="str">
        <f aca="false">IF(E1502="","",IFERROR(VLOOKUP(E1502,Assumptions!$G$5:$H$16,2,0),"Other"))</f>
        <v/>
      </c>
      <c r="J1502" s="41" t="str">
        <f aca="false">IF(G1502="","",IFERROR(IF(ISNUMBER(SEARCH(Assumptions!$C$5,G1502)),Assumptions!$D$5,IF(ISNUMBER(SEARCH(Assumptions!$C$6,G1502)),Assumptions!$D$6,IF(ISNUMBER(SEARCH(Assumptions!$C$7,G1502)),Assumptions!$D$7,"Other Services"))),"Other Services"))</f>
        <v/>
      </c>
    </row>
    <row r="1503" customFormat="false" ht="15" hidden="false" customHeight="false" outlineLevel="0" collapsed="false">
      <c r="F1503" s="41" t="str">
        <f aca="false">IF(E1503="","",IFERROR(VLOOKUP(E1503,Assumptions!$G$5:$H$16,2,0),"Other"))</f>
        <v/>
      </c>
      <c r="J1503" s="41" t="str">
        <f aca="false">IF(G1503="","",IFERROR(IF(ISNUMBER(SEARCH(Assumptions!$C$5,G1503)),Assumptions!$D$5,IF(ISNUMBER(SEARCH(Assumptions!$C$6,G1503)),Assumptions!$D$6,IF(ISNUMBER(SEARCH(Assumptions!$C$7,G1503)),Assumptions!$D$7,"Other Services"))),"Other Services"))</f>
        <v/>
      </c>
    </row>
    <row r="1504" customFormat="false" ht="15" hidden="false" customHeight="false" outlineLevel="0" collapsed="false">
      <c r="F1504" s="41" t="str">
        <f aca="false">IF(E1504="","",IFERROR(VLOOKUP(E1504,Assumptions!$G$5:$H$16,2,0),"Other"))</f>
        <v/>
      </c>
      <c r="J1504" s="41" t="str">
        <f aca="false">IF(G1504="","",IFERROR(IF(ISNUMBER(SEARCH(Assumptions!$C$5,G1504)),Assumptions!$D$5,IF(ISNUMBER(SEARCH(Assumptions!$C$6,G1504)),Assumptions!$D$6,IF(ISNUMBER(SEARCH(Assumptions!$C$7,G1504)),Assumptions!$D$7,"Other Services"))),"Other Services"))</f>
        <v/>
      </c>
    </row>
    <row r="1505" customFormat="false" ht="15" hidden="false" customHeight="false" outlineLevel="0" collapsed="false">
      <c r="F1505" s="41" t="str">
        <f aca="false">IF(E1505="","",IFERROR(VLOOKUP(E1505,Assumptions!$G$5:$H$16,2,0),"Other"))</f>
        <v/>
      </c>
      <c r="J1505" s="41" t="str">
        <f aca="false">IF(G1505="","",IFERROR(IF(ISNUMBER(SEARCH(Assumptions!$C$5,G1505)),Assumptions!$D$5,IF(ISNUMBER(SEARCH(Assumptions!$C$6,G1505)),Assumptions!$D$6,IF(ISNUMBER(SEARCH(Assumptions!$C$7,G1505)),Assumptions!$D$7,"Other Services"))),"Other Services"))</f>
        <v/>
      </c>
    </row>
    <row r="1506" customFormat="false" ht="15" hidden="false" customHeight="false" outlineLevel="0" collapsed="false">
      <c r="F1506" s="41" t="str">
        <f aca="false">IF(E1506="","",IFERROR(VLOOKUP(E1506,Assumptions!$G$5:$H$16,2,0),"Other"))</f>
        <v/>
      </c>
      <c r="J1506" s="41" t="str">
        <f aca="false">IF(G1506="","",IFERROR(IF(ISNUMBER(SEARCH(Assumptions!$C$5,G1506)),Assumptions!$D$5,IF(ISNUMBER(SEARCH(Assumptions!$C$6,G1506)),Assumptions!$D$6,IF(ISNUMBER(SEARCH(Assumptions!$C$7,G1506)),Assumptions!$D$7,"Other Services"))),"Other Services"))</f>
        <v/>
      </c>
    </row>
    <row r="1507" customFormat="false" ht="15" hidden="false" customHeight="false" outlineLevel="0" collapsed="false">
      <c r="F1507" s="41" t="str">
        <f aca="false">IF(E1507="","",IFERROR(VLOOKUP(E1507,Assumptions!$G$5:$H$16,2,0),"Other"))</f>
        <v/>
      </c>
      <c r="J1507" s="41" t="str">
        <f aca="false">IF(G1507="","",IFERROR(IF(ISNUMBER(SEARCH(Assumptions!$C$5,G1507)),Assumptions!$D$5,IF(ISNUMBER(SEARCH(Assumptions!$C$6,G1507)),Assumptions!$D$6,IF(ISNUMBER(SEARCH(Assumptions!$C$7,G1507)),Assumptions!$D$7,"Other Services"))),"Other Services"))</f>
        <v/>
      </c>
    </row>
    <row r="1508" customFormat="false" ht="15" hidden="false" customHeight="false" outlineLevel="0" collapsed="false">
      <c r="F1508" s="41" t="str">
        <f aca="false">IF(E1508="","",IFERROR(VLOOKUP(E1508,Assumptions!$G$5:$H$16,2,0),"Other"))</f>
        <v/>
      </c>
      <c r="J1508" s="41" t="str">
        <f aca="false">IF(G1508="","",IFERROR(IF(ISNUMBER(SEARCH(Assumptions!$C$5,G1508)),Assumptions!$D$5,IF(ISNUMBER(SEARCH(Assumptions!$C$6,G1508)),Assumptions!$D$6,IF(ISNUMBER(SEARCH(Assumptions!$C$7,G1508)),Assumptions!$D$7,"Other Services"))),"Other Services"))</f>
        <v/>
      </c>
    </row>
    <row r="1509" customFormat="false" ht="15" hidden="false" customHeight="false" outlineLevel="0" collapsed="false">
      <c r="F1509" s="41" t="str">
        <f aca="false">IF(E1509="","",IFERROR(VLOOKUP(E1509,Assumptions!$G$5:$H$16,2,0),"Other"))</f>
        <v/>
      </c>
      <c r="J1509" s="41" t="str">
        <f aca="false">IF(G1509="","",IFERROR(IF(ISNUMBER(SEARCH(Assumptions!$C$5,G1509)),Assumptions!$D$5,IF(ISNUMBER(SEARCH(Assumptions!$C$6,G1509)),Assumptions!$D$6,IF(ISNUMBER(SEARCH(Assumptions!$C$7,G1509)),Assumptions!$D$7,"Other Services"))),"Other Services"))</f>
        <v/>
      </c>
    </row>
    <row r="1510" customFormat="false" ht="15" hidden="false" customHeight="false" outlineLevel="0" collapsed="false">
      <c r="F1510" s="41" t="str">
        <f aca="false">IF(E1510="","",IFERROR(VLOOKUP(E1510,Assumptions!$G$5:$H$16,2,0),"Other"))</f>
        <v/>
      </c>
      <c r="J1510" s="41" t="str">
        <f aca="false">IF(G1510="","",IFERROR(IF(ISNUMBER(SEARCH(Assumptions!$C$5,G1510)),Assumptions!$D$5,IF(ISNUMBER(SEARCH(Assumptions!$C$6,G1510)),Assumptions!$D$6,IF(ISNUMBER(SEARCH(Assumptions!$C$7,G1510)),Assumptions!$D$7,"Other Services"))),"Other Services"))</f>
        <v/>
      </c>
    </row>
    <row r="1511" customFormat="false" ht="15" hidden="false" customHeight="false" outlineLevel="0" collapsed="false">
      <c r="F1511" s="41" t="str">
        <f aca="false">IF(E1511="","",IFERROR(VLOOKUP(E1511,Assumptions!$G$5:$H$16,2,0),"Other"))</f>
        <v/>
      </c>
      <c r="J1511" s="41" t="str">
        <f aca="false">IF(G1511="","",IFERROR(IF(ISNUMBER(SEARCH(Assumptions!$C$5,G1511)),Assumptions!$D$5,IF(ISNUMBER(SEARCH(Assumptions!$C$6,G1511)),Assumptions!$D$6,IF(ISNUMBER(SEARCH(Assumptions!$C$7,G1511)),Assumptions!$D$7,"Other Services"))),"Other Services"))</f>
        <v/>
      </c>
    </row>
    <row r="1512" customFormat="false" ht="15" hidden="false" customHeight="false" outlineLevel="0" collapsed="false">
      <c r="F1512" s="41" t="str">
        <f aca="false">IF(E1512="","",IFERROR(VLOOKUP(E1512,Assumptions!$G$5:$H$16,2,0),"Other"))</f>
        <v/>
      </c>
      <c r="J1512" s="41" t="str">
        <f aca="false">IF(G1512="","",IFERROR(IF(ISNUMBER(SEARCH(Assumptions!$C$5,G1512)),Assumptions!$D$5,IF(ISNUMBER(SEARCH(Assumptions!$C$6,G1512)),Assumptions!$D$6,IF(ISNUMBER(SEARCH(Assumptions!$C$7,G1512)),Assumptions!$D$7,"Other Services"))),"Other Services"))</f>
        <v/>
      </c>
    </row>
    <row r="1513" customFormat="false" ht="15" hidden="false" customHeight="false" outlineLevel="0" collapsed="false">
      <c r="F1513" s="41" t="str">
        <f aca="false">IF(E1513="","",IFERROR(VLOOKUP(E1513,Assumptions!$G$5:$H$16,2,0),"Other"))</f>
        <v/>
      </c>
      <c r="J1513" s="41" t="str">
        <f aca="false">IF(G1513="","",IFERROR(IF(ISNUMBER(SEARCH(Assumptions!$C$5,G1513)),Assumptions!$D$5,IF(ISNUMBER(SEARCH(Assumptions!$C$6,G1513)),Assumptions!$D$6,IF(ISNUMBER(SEARCH(Assumptions!$C$7,G1513)),Assumptions!$D$7,"Other Services"))),"Other Services"))</f>
        <v/>
      </c>
    </row>
    <row r="1514" customFormat="false" ht="15" hidden="false" customHeight="false" outlineLevel="0" collapsed="false">
      <c r="F1514" s="41" t="str">
        <f aca="false">IF(E1514="","",IFERROR(VLOOKUP(E1514,Assumptions!$G$5:$H$16,2,0),"Other"))</f>
        <v/>
      </c>
      <c r="J1514" s="41" t="str">
        <f aca="false">IF(G1514="","",IFERROR(IF(ISNUMBER(SEARCH(Assumptions!$C$5,G1514)),Assumptions!$D$5,IF(ISNUMBER(SEARCH(Assumptions!$C$6,G1514)),Assumptions!$D$6,IF(ISNUMBER(SEARCH(Assumptions!$C$7,G1514)),Assumptions!$D$7,"Other Services"))),"Other Services"))</f>
        <v/>
      </c>
    </row>
    <row r="1515" customFormat="false" ht="15" hidden="false" customHeight="false" outlineLevel="0" collapsed="false">
      <c r="F1515" s="41" t="str">
        <f aca="false">IF(E1515="","",IFERROR(VLOOKUP(E1515,Assumptions!$G$5:$H$16,2,0),"Other"))</f>
        <v/>
      </c>
      <c r="J1515" s="41" t="str">
        <f aca="false">IF(G1515="","",IFERROR(IF(ISNUMBER(SEARCH(Assumptions!$C$5,G1515)),Assumptions!$D$5,IF(ISNUMBER(SEARCH(Assumptions!$C$6,G1515)),Assumptions!$D$6,IF(ISNUMBER(SEARCH(Assumptions!$C$7,G1515)),Assumptions!$D$7,"Other Services"))),"Other Services"))</f>
        <v/>
      </c>
    </row>
    <row r="1516" customFormat="false" ht="15" hidden="false" customHeight="false" outlineLevel="0" collapsed="false">
      <c r="F1516" s="41" t="str">
        <f aca="false">IF(E1516="","",IFERROR(VLOOKUP(E1516,Assumptions!$G$5:$H$16,2,0),"Other"))</f>
        <v/>
      </c>
      <c r="J1516" s="41" t="str">
        <f aca="false">IF(G1516="","",IFERROR(IF(ISNUMBER(SEARCH(Assumptions!$C$5,G1516)),Assumptions!$D$5,IF(ISNUMBER(SEARCH(Assumptions!$C$6,G1516)),Assumptions!$D$6,IF(ISNUMBER(SEARCH(Assumptions!$C$7,G1516)),Assumptions!$D$7,"Other Services"))),"Other Services"))</f>
        <v/>
      </c>
    </row>
    <row r="1517" customFormat="false" ht="15" hidden="false" customHeight="false" outlineLevel="0" collapsed="false">
      <c r="F1517" s="41" t="str">
        <f aca="false">IF(E1517="","",IFERROR(VLOOKUP(E1517,Assumptions!$G$5:$H$16,2,0),"Other"))</f>
        <v/>
      </c>
      <c r="J1517" s="41" t="str">
        <f aca="false">IF(G1517="","",IFERROR(IF(ISNUMBER(SEARCH(Assumptions!$C$5,G1517)),Assumptions!$D$5,IF(ISNUMBER(SEARCH(Assumptions!$C$6,G1517)),Assumptions!$D$6,IF(ISNUMBER(SEARCH(Assumptions!$C$7,G1517)),Assumptions!$D$7,"Other Services"))),"Other Services"))</f>
        <v/>
      </c>
    </row>
    <row r="1518" customFormat="false" ht="15" hidden="false" customHeight="false" outlineLevel="0" collapsed="false">
      <c r="F1518" s="41" t="str">
        <f aca="false">IF(E1518="","",IFERROR(VLOOKUP(E1518,Assumptions!$G$5:$H$16,2,0),"Other"))</f>
        <v/>
      </c>
      <c r="J1518" s="41" t="str">
        <f aca="false">IF(G1518="","",IFERROR(IF(ISNUMBER(SEARCH(Assumptions!$C$5,G1518)),Assumptions!$D$5,IF(ISNUMBER(SEARCH(Assumptions!$C$6,G1518)),Assumptions!$D$6,IF(ISNUMBER(SEARCH(Assumptions!$C$7,G1518)),Assumptions!$D$7,"Other Services"))),"Other Services"))</f>
        <v/>
      </c>
    </row>
    <row r="1519" customFormat="false" ht="15" hidden="false" customHeight="false" outlineLevel="0" collapsed="false">
      <c r="F1519" s="41" t="str">
        <f aca="false">IF(E1519="","",IFERROR(VLOOKUP(E1519,Assumptions!$G$5:$H$16,2,0),"Other"))</f>
        <v/>
      </c>
      <c r="J1519" s="41" t="str">
        <f aca="false">IF(G1519="","",IFERROR(IF(ISNUMBER(SEARCH(Assumptions!$C$5,G1519)),Assumptions!$D$5,IF(ISNUMBER(SEARCH(Assumptions!$C$6,G1519)),Assumptions!$D$6,IF(ISNUMBER(SEARCH(Assumptions!$C$7,G1519)),Assumptions!$D$7,"Other Services"))),"Other Services"))</f>
        <v/>
      </c>
    </row>
    <row r="1520" customFormat="false" ht="15" hidden="false" customHeight="false" outlineLevel="0" collapsed="false">
      <c r="F1520" s="41" t="str">
        <f aca="false">IF(E1520="","",IFERROR(VLOOKUP(E1520,Assumptions!$G$5:$H$16,2,0),"Other"))</f>
        <v/>
      </c>
      <c r="J1520" s="41" t="str">
        <f aca="false">IF(G1520="","",IFERROR(IF(ISNUMBER(SEARCH(Assumptions!$C$5,G1520)),Assumptions!$D$5,IF(ISNUMBER(SEARCH(Assumptions!$C$6,G1520)),Assumptions!$D$6,IF(ISNUMBER(SEARCH(Assumptions!$C$7,G1520)),Assumptions!$D$7,"Other Services"))),"Other Services"))</f>
        <v/>
      </c>
    </row>
    <row r="1521" customFormat="false" ht="15" hidden="false" customHeight="false" outlineLevel="0" collapsed="false">
      <c r="F1521" s="41" t="str">
        <f aca="false">IF(E1521="","",IFERROR(VLOOKUP(E1521,Assumptions!$G$5:$H$16,2,0),"Other"))</f>
        <v/>
      </c>
      <c r="J1521" s="41" t="str">
        <f aca="false">IF(G1521="","",IFERROR(IF(ISNUMBER(SEARCH(Assumptions!$C$5,G1521)),Assumptions!$D$5,IF(ISNUMBER(SEARCH(Assumptions!$C$6,G1521)),Assumptions!$D$6,IF(ISNUMBER(SEARCH(Assumptions!$C$7,G1521)),Assumptions!$D$7,"Other Services"))),"Other Services"))</f>
        <v/>
      </c>
    </row>
    <row r="1522" customFormat="false" ht="15" hidden="false" customHeight="false" outlineLevel="0" collapsed="false">
      <c r="F1522" s="41" t="str">
        <f aca="false">IF(E1522="","",IFERROR(VLOOKUP(E1522,Assumptions!$G$5:$H$16,2,0),"Other"))</f>
        <v/>
      </c>
      <c r="J1522" s="41" t="str">
        <f aca="false">IF(G1522="","",IFERROR(IF(ISNUMBER(SEARCH(Assumptions!$C$5,G1522)),Assumptions!$D$5,IF(ISNUMBER(SEARCH(Assumptions!$C$6,G1522)),Assumptions!$D$6,IF(ISNUMBER(SEARCH(Assumptions!$C$7,G1522)),Assumptions!$D$7,"Other Services"))),"Other Services"))</f>
        <v/>
      </c>
    </row>
    <row r="1523" customFormat="false" ht="15" hidden="false" customHeight="false" outlineLevel="0" collapsed="false">
      <c r="F1523" s="41" t="str">
        <f aca="false">IF(E1523="","",IFERROR(VLOOKUP(E1523,Assumptions!$G$5:$H$16,2,0),"Other"))</f>
        <v/>
      </c>
      <c r="J1523" s="41" t="str">
        <f aca="false">IF(G1523="","",IFERROR(IF(ISNUMBER(SEARCH(Assumptions!$C$5,G1523)),Assumptions!$D$5,IF(ISNUMBER(SEARCH(Assumptions!$C$6,G1523)),Assumptions!$D$6,IF(ISNUMBER(SEARCH(Assumptions!$C$7,G1523)),Assumptions!$D$7,"Other Services"))),"Other Services"))</f>
        <v/>
      </c>
    </row>
    <row r="1524" customFormat="false" ht="15" hidden="false" customHeight="false" outlineLevel="0" collapsed="false">
      <c r="F1524" s="41" t="str">
        <f aca="false">IF(E1524="","",IFERROR(VLOOKUP(E1524,Assumptions!$G$5:$H$16,2,0),"Other"))</f>
        <v/>
      </c>
      <c r="J1524" s="41" t="str">
        <f aca="false">IF(G1524="","",IFERROR(IF(ISNUMBER(SEARCH(Assumptions!$C$5,G1524)),Assumptions!$D$5,IF(ISNUMBER(SEARCH(Assumptions!$C$6,G1524)),Assumptions!$D$6,IF(ISNUMBER(SEARCH(Assumptions!$C$7,G1524)),Assumptions!$D$7,"Other Services"))),"Other Services"))</f>
        <v/>
      </c>
    </row>
    <row r="1525" customFormat="false" ht="15" hidden="false" customHeight="false" outlineLevel="0" collapsed="false">
      <c r="F1525" s="41" t="str">
        <f aca="false">IF(E1525="","",IFERROR(VLOOKUP(E1525,Assumptions!$G$5:$H$16,2,0),"Other"))</f>
        <v/>
      </c>
      <c r="J1525" s="41" t="str">
        <f aca="false">IF(G1525="","",IFERROR(IF(ISNUMBER(SEARCH(Assumptions!$C$5,G1525)),Assumptions!$D$5,IF(ISNUMBER(SEARCH(Assumptions!$C$6,G1525)),Assumptions!$D$6,IF(ISNUMBER(SEARCH(Assumptions!$C$7,G1525)),Assumptions!$D$7,"Other Services"))),"Other Services"))</f>
        <v/>
      </c>
    </row>
    <row r="1526" customFormat="false" ht="15" hidden="false" customHeight="false" outlineLevel="0" collapsed="false">
      <c r="F1526" s="41" t="str">
        <f aca="false">IF(E1526="","",IFERROR(VLOOKUP(E1526,Assumptions!$G$5:$H$16,2,0),"Other"))</f>
        <v/>
      </c>
      <c r="J1526" s="41" t="str">
        <f aca="false">IF(G1526="","",IFERROR(IF(ISNUMBER(SEARCH(Assumptions!$C$5,G1526)),Assumptions!$D$5,IF(ISNUMBER(SEARCH(Assumptions!$C$6,G1526)),Assumptions!$D$6,IF(ISNUMBER(SEARCH(Assumptions!$C$7,G1526)),Assumptions!$D$7,"Other Services"))),"Other Services"))</f>
        <v/>
      </c>
    </row>
    <row r="1527" customFormat="false" ht="15" hidden="false" customHeight="false" outlineLevel="0" collapsed="false">
      <c r="F1527" s="41" t="str">
        <f aca="false">IF(E1527="","",IFERROR(VLOOKUP(E1527,Assumptions!$G$5:$H$16,2,0),"Other"))</f>
        <v/>
      </c>
      <c r="J1527" s="41" t="str">
        <f aca="false">IF(G1527="","",IFERROR(IF(ISNUMBER(SEARCH(Assumptions!$C$5,G1527)),Assumptions!$D$5,IF(ISNUMBER(SEARCH(Assumptions!$C$6,G1527)),Assumptions!$D$6,IF(ISNUMBER(SEARCH(Assumptions!$C$7,G1527)),Assumptions!$D$7,"Other Services"))),"Other Services"))</f>
        <v/>
      </c>
    </row>
    <row r="1528" customFormat="false" ht="15" hidden="false" customHeight="false" outlineLevel="0" collapsed="false">
      <c r="F1528" s="41" t="str">
        <f aca="false">IF(E1528="","",IFERROR(VLOOKUP(E1528,Assumptions!$G$5:$H$16,2,0),"Other"))</f>
        <v/>
      </c>
      <c r="J1528" s="41" t="str">
        <f aca="false">IF(G1528="","",IFERROR(IF(ISNUMBER(SEARCH(Assumptions!$C$5,G1528)),Assumptions!$D$5,IF(ISNUMBER(SEARCH(Assumptions!$C$6,G1528)),Assumptions!$D$6,IF(ISNUMBER(SEARCH(Assumptions!$C$7,G1528)),Assumptions!$D$7,"Other Services"))),"Other Services"))</f>
        <v/>
      </c>
    </row>
    <row r="1529" customFormat="false" ht="15" hidden="false" customHeight="false" outlineLevel="0" collapsed="false">
      <c r="F1529" s="41" t="str">
        <f aca="false">IF(E1529="","",IFERROR(VLOOKUP(E1529,Assumptions!$G$5:$H$16,2,0),"Other"))</f>
        <v/>
      </c>
      <c r="J1529" s="41" t="str">
        <f aca="false">IF(G1529="","",IFERROR(IF(ISNUMBER(SEARCH(Assumptions!$C$5,G1529)),Assumptions!$D$5,IF(ISNUMBER(SEARCH(Assumptions!$C$6,G1529)),Assumptions!$D$6,IF(ISNUMBER(SEARCH(Assumptions!$C$7,G1529)),Assumptions!$D$7,"Other Services"))),"Other Services"))</f>
        <v/>
      </c>
    </row>
    <row r="1530" customFormat="false" ht="15" hidden="false" customHeight="false" outlineLevel="0" collapsed="false">
      <c r="F1530" s="41" t="str">
        <f aca="false">IF(E1530="","",IFERROR(VLOOKUP(E1530,Assumptions!$G$5:$H$16,2,0),"Other"))</f>
        <v/>
      </c>
      <c r="J1530" s="41" t="str">
        <f aca="false">IF(G1530="","",IFERROR(IF(ISNUMBER(SEARCH(Assumptions!$C$5,G1530)),Assumptions!$D$5,IF(ISNUMBER(SEARCH(Assumptions!$C$6,G1530)),Assumptions!$D$6,IF(ISNUMBER(SEARCH(Assumptions!$C$7,G1530)),Assumptions!$D$7,"Other Services"))),"Other Services"))</f>
        <v/>
      </c>
    </row>
    <row r="1531" customFormat="false" ht="15" hidden="false" customHeight="false" outlineLevel="0" collapsed="false">
      <c r="F1531" s="41" t="str">
        <f aca="false">IF(E1531="","",IFERROR(VLOOKUP(E1531,Assumptions!$G$5:$H$16,2,0),"Other"))</f>
        <v/>
      </c>
      <c r="J1531" s="41" t="str">
        <f aca="false">IF(G1531="","",IFERROR(IF(ISNUMBER(SEARCH(Assumptions!$C$5,G1531)),Assumptions!$D$5,IF(ISNUMBER(SEARCH(Assumptions!$C$6,G1531)),Assumptions!$D$6,IF(ISNUMBER(SEARCH(Assumptions!$C$7,G1531)),Assumptions!$D$7,"Other Services"))),"Other Services"))</f>
        <v/>
      </c>
    </row>
    <row r="1532" customFormat="false" ht="15" hidden="false" customHeight="false" outlineLevel="0" collapsed="false">
      <c r="F1532" s="41" t="str">
        <f aca="false">IF(E1532="","",IFERROR(VLOOKUP(E1532,Assumptions!$G$5:$H$16,2,0),"Other"))</f>
        <v/>
      </c>
      <c r="J1532" s="41" t="str">
        <f aca="false">IF(G1532="","",IFERROR(IF(ISNUMBER(SEARCH(Assumptions!$C$5,G1532)),Assumptions!$D$5,IF(ISNUMBER(SEARCH(Assumptions!$C$6,G1532)),Assumptions!$D$6,IF(ISNUMBER(SEARCH(Assumptions!$C$7,G1532)),Assumptions!$D$7,"Other Services"))),"Other Services"))</f>
        <v/>
      </c>
    </row>
    <row r="1533" customFormat="false" ht="15" hidden="false" customHeight="false" outlineLevel="0" collapsed="false">
      <c r="F1533" s="41" t="str">
        <f aca="false">IF(E1533="","",IFERROR(VLOOKUP(E1533,Assumptions!$G$5:$H$16,2,0),"Other"))</f>
        <v/>
      </c>
      <c r="J1533" s="41" t="str">
        <f aca="false">IF(G1533="","",IFERROR(IF(ISNUMBER(SEARCH(Assumptions!$C$5,G1533)),Assumptions!$D$5,IF(ISNUMBER(SEARCH(Assumptions!$C$6,G1533)),Assumptions!$D$6,IF(ISNUMBER(SEARCH(Assumptions!$C$7,G1533)),Assumptions!$D$7,"Other Services"))),"Other Services"))</f>
        <v/>
      </c>
    </row>
    <row r="1534" customFormat="false" ht="15" hidden="false" customHeight="false" outlineLevel="0" collapsed="false">
      <c r="F1534" s="41" t="str">
        <f aca="false">IF(E1534="","",IFERROR(VLOOKUP(E1534,Assumptions!$G$5:$H$16,2,0),"Other"))</f>
        <v/>
      </c>
      <c r="J1534" s="41" t="str">
        <f aca="false">IF(G1534="","",IFERROR(IF(ISNUMBER(SEARCH(Assumptions!$C$5,G1534)),Assumptions!$D$5,IF(ISNUMBER(SEARCH(Assumptions!$C$6,G1534)),Assumptions!$D$6,IF(ISNUMBER(SEARCH(Assumptions!$C$7,G1534)),Assumptions!$D$7,"Other Services"))),"Other Services"))</f>
        <v/>
      </c>
    </row>
    <row r="1535" customFormat="false" ht="15" hidden="false" customHeight="false" outlineLevel="0" collapsed="false">
      <c r="F1535" s="41" t="str">
        <f aca="false">IF(E1535="","",IFERROR(VLOOKUP(E1535,Assumptions!$G$5:$H$16,2,0),"Other"))</f>
        <v/>
      </c>
      <c r="J1535" s="41" t="str">
        <f aca="false">IF(G1535="","",IFERROR(IF(ISNUMBER(SEARCH(Assumptions!$C$5,G1535)),Assumptions!$D$5,IF(ISNUMBER(SEARCH(Assumptions!$C$6,G1535)),Assumptions!$D$6,IF(ISNUMBER(SEARCH(Assumptions!$C$7,G1535)),Assumptions!$D$7,"Other Services"))),"Other Services"))</f>
        <v/>
      </c>
    </row>
    <row r="1536" customFormat="false" ht="15" hidden="false" customHeight="false" outlineLevel="0" collapsed="false">
      <c r="F1536" s="41" t="str">
        <f aca="false">IF(E1536="","",IFERROR(VLOOKUP(E1536,Assumptions!$G$5:$H$16,2,0),"Other"))</f>
        <v/>
      </c>
      <c r="J1536" s="41" t="str">
        <f aca="false">IF(G1536="","",IFERROR(IF(ISNUMBER(SEARCH(Assumptions!$C$5,G1536)),Assumptions!$D$5,IF(ISNUMBER(SEARCH(Assumptions!$C$6,G1536)),Assumptions!$D$6,IF(ISNUMBER(SEARCH(Assumptions!$C$7,G1536)),Assumptions!$D$7,"Other Services"))),"Other Services"))</f>
        <v/>
      </c>
    </row>
    <row r="1537" customFormat="false" ht="15" hidden="false" customHeight="false" outlineLevel="0" collapsed="false">
      <c r="F1537" s="41" t="str">
        <f aca="false">IF(E1537="","",IFERROR(VLOOKUP(E1537,Assumptions!$G$5:$H$16,2,0),"Other"))</f>
        <v/>
      </c>
      <c r="J1537" s="41" t="str">
        <f aca="false">IF(G1537="","",IFERROR(IF(ISNUMBER(SEARCH(Assumptions!$C$5,G1537)),Assumptions!$D$5,IF(ISNUMBER(SEARCH(Assumptions!$C$6,G1537)),Assumptions!$D$6,IF(ISNUMBER(SEARCH(Assumptions!$C$7,G1537)),Assumptions!$D$7,"Other Services"))),"Other Services"))</f>
        <v/>
      </c>
    </row>
    <row r="1538" customFormat="false" ht="15" hidden="false" customHeight="false" outlineLevel="0" collapsed="false">
      <c r="F1538" s="41" t="str">
        <f aca="false">IF(E1538="","",IFERROR(VLOOKUP(E1538,Assumptions!$G$5:$H$16,2,0),"Other"))</f>
        <v/>
      </c>
      <c r="J1538" s="41" t="str">
        <f aca="false">IF(G1538="","",IFERROR(IF(ISNUMBER(SEARCH(Assumptions!$C$5,G1538)),Assumptions!$D$5,IF(ISNUMBER(SEARCH(Assumptions!$C$6,G1538)),Assumptions!$D$6,IF(ISNUMBER(SEARCH(Assumptions!$C$7,G1538)),Assumptions!$D$7,"Other Services"))),"Other Services"))</f>
        <v/>
      </c>
    </row>
    <row r="1539" customFormat="false" ht="15" hidden="false" customHeight="false" outlineLevel="0" collapsed="false">
      <c r="F1539" s="41" t="str">
        <f aca="false">IF(E1539="","",IFERROR(VLOOKUP(E1539,Assumptions!$G$5:$H$16,2,0),"Other"))</f>
        <v/>
      </c>
      <c r="J1539" s="41" t="str">
        <f aca="false">IF(G1539="","",IFERROR(IF(ISNUMBER(SEARCH(Assumptions!$C$5,G1539)),Assumptions!$D$5,IF(ISNUMBER(SEARCH(Assumptions!$C$6,G1539)),Assumptions!$D$6,IF(ISNUMBER(SEARCH(Assumptions!$C$7,G1539)),Assumptions!$D$7,"Other Services"))),"Other Services"))</f>
        <v/>
      </c>
    </row>
    <row r="1540" customFormat="false" ht="15" hidden="false" customHeight="false" outlineLevel="0" collapsed="false">
      <c r="F1540" s="41" t="str">
        <f aca="false">IF(E1540="","",IFERROR(VLOOKUP(E1540,Assumptions!$G$5:$H$16,2,0),"Other"))</f>
        <v/>
      </c>
      <c r="J1540" s="41" t="str">
        <f aca="false">IF(G1540="","",IFERROR(IF(ISNUMBER(SEARCH(Assumptions!$C$5,G1540)),Assumptions!$D$5,IF(ISNUMBER(SEARCH(Assumptions!$C$6,G1540)),Assumptions!$D$6,IF(ISNUMBER(SEARCH(Assumptions!$C$7,G1540)),Assumptions!$D$7,"Other Services"))),"Other Services"))</f>
        <v/>
      </c>
    </row>
    <row r="1541" customFormat="false" ht="15" hidden="false" customHeight="false" outlineLevel="0" collapsed="false">
      <c r="F1541" s="41" t="str">
        <f aca="false">IF(E1541="","",IFERROR(VLOOKUP(E1541,Assumptions!$G$5:$H$16,2,0),"Other"))</f>
        <v/>
      </c>
      <c r="J1541" s="41" t="str">
        <f aca="false">IF(G1541="","",IFERROR(IF(ISNUMBER(SEARCH(Assumptions!$C$5,G1541)),Assumptions!$D$5,IF(ISNUMBER(SEARCH(Assumptions!$C$6,G1541)),Assumptions!$D$6,IF(ISNUMBER(SEARCH(Assumptions!$C$7,G1541)),Assumptions!$D$7,"Other Services"))),"Other Services"))</f>
        <v/>
      </c>
    </row>
    <row r="1542" customFormat="false" ht="15" hidden="false" customHeight="false" outlineLevel="0" collapsed="false">
      <c r="F1542" s="41" t="str">
        <f aca="false">IF(E1542="","",IFERROR(VLOOKUP(E1542,Assumptions!$G$5:$H$16,2,0),"Other"))</f>
        <v/>
      </c>
      <c r="J1542" s="41" t="str">
        <f aca="false">IF(G1542="","",IFERROR(IF(ISNUMBER(SEARCH(Assumptions!$C$5,G1542)),Assumptions!$D$5,IF(ISNUMBER(SEARCH(Assumptions!$C$6,G1542)),Assumptions!$D$6,IF(ISNUMBER(SEARCH(Assumptions!$C$7,G1542)),Assumptions!$D$7,"Other Services"))),"Other Services"))</f>
        <v/>
      </c>
    </row>
    <row r="1543" customFormat="false" ht="15" hidden="false" customHeight="false" outlineLevel="0" collapsed="false">
      <c r="F1543" s="41" t="str">
        <f aca="false">IF(E1543="","",IFERROR(VLOOKUP(E1543,Assumptions!$G$5:$H$16,2,0),"Other"))</f>
        <v/>
      </c>
      <c r="J1543" s="41" t="str">
        <f aca="false">IF(G1543="","",IFERROR(IF(ISNUMBER(SEARCH(Assumptions!$C$5,G1543)),Assumptions!$D$5,IF(ISNUMBER(SEARCH(Assumptions!$C$6,G1543)),Assumptions!$D$6,IF(ISNUMBER(SEARCH(Assumptions!$C$7,G1543)),Assumptions!$D$7,"Other Services"))),"Other Services"))</f>
        <v/>
      </c>
    </row>
    <row r="1544" customFormat="false" ht="15" hidden="false" customHeight="false" outlineLevel="0" collapsed="false">
      <c r="F1544" s="41" t="str">
        <f aca="false">IF(E1544="","",IFERROR(VLOOKUP(E1544,Assumptions!$G$5:$H$16,2,0),"Other"))</f>
        <v/>
      </c>
      <c r="J1544" s="41" t="str">
        <f aca="false">IF(G1544="","",IFERROR(IF(ISNUMBER(SEARCH(Assumptions!$C$5,G1544)),Assumptions!$D$5,IF(ISNUMBER(SEARCH(Assumptions!$C$6,G1544)),Assumptions!$D$6,IF(ISNUMBER(SEARCH(Assumptions!$C$7,G1544)),Assumptions!$D$7,"Other Services"))),"Other Services"))</f>
        <v/>
      </c>
    </row>
    <row r="1545" customFormat="false" ht="15" hidden="false" customHeight="false" outlineLevel="0" collapsed="false">
      <c r="F1545" s="41" t="str">
        <f aca="false">IF(E1545="","",IFERROR(VLOOKUP(E1545,Assumptions!$G$5:$H$16,2,0),"Other"))</f>
        <v/>
      </c>
      <c r="J1545" s="41" t="str">
        <f aca="false">IF(G1545="","",IFERROR(IF(ISNUMBER(SEARCH(Assumptions!$C$5,G1545)),Assumptions!$D$5,IF(ISNUMBER(SEARCH(Assumptions!$C$6,G1545)),Assumptions!$D$6,IF(ISNUMBER(SEARCH(Assumptions!$C$7,G1545)),Assumptions!$D$7,"Other Services"))),"Other Services"))</f>
        <v/>
      </c>
    </row>
    <row r="1546" customFormat="false" ht="15" hidden="false" customHeight="false" outlineLevel="0" collapsed="false">
      <c r="F1546" s="41" t="str">
        <f aca="false">IF(E1546="","",IFERROR(VLOOKUP(E1546,Assumptions!$G$5:$H$16,2,0),"Other"))</f>
        <v/>
      </c>
      <c r="J1546" s="41" t="str">
        <f aca="false">IF(G1546="","",IFERROR(IF(ISNUMBER(SEARCH(Assumptions!$C$5,G1546)),Assumptions!$D$5,IF(ISNUMBER(SEARCH(Assumptions!$C$6,G1546)),Assumptions!$D$6,IF(ISNUMBER(SEARCH(Assumptions!$C$7,G1546)),Assumptions!$D$7,"Other Services"))),"Other Services"))</f>
        <v/>
      </c>
    </row>
    <row r="1547" customFormat="false" ht="15" hidden="false" customHeight="false" outlineLevel="0" collapsed="false">
      <c r="F1547" s="41" t="str">
        <f aca="false">IF(E1547="","",IFERROR(VLOOKUP(E1547,Assumptions!$G$5:$H$16,2,0),"Other"))</f>
        <v/>
      </c>
      <c r="J1547" s="41" t="str">
        <f aca="false">IF(G1547="","",IFERROR(IF(ISNUMBER(SEARCH(Assumptions!$C$5,G1547)),Assumptions!$D$5,IF(ISNUMBER(SEARCH(Assumptions!$C$6,G1547)),Assumptions!$D$6,IF(ISNUMBER(SEARCH(Assumptions!$C$7,G1547)),Assumptions!$D$7,"Other Services"))),"Other Services"))</f>
        <v/>
      </c>
    </row>
    <row r="1548" customFormat="false" ht="15" hidden="false" customHeight="false" outlineLevel="0" collapsed="false">
      <c r="F1548" s="41" t="str">
        <f aca="false">IF(E1548="","",IFERROR(VLOOKUP(E1548,Assumptions!$G$5:$H$16,2,0),"Other"))</f>
        <v/>
      </c>
      <c r="J1548" s="41" t="str">
        <f aca="false">IF(G1548="","",IFERROR(IF(ISNUMBER(SEARCH(Assumptions!$C$5,G1548)),Assumptions!$D$5,IF(ISNUMBER(SEARCH(Assumptions!$C$6,G1548)),Assumptions!$D$6,IF(ISNUMBER(SEARCH(Assumptions!$C$7,G1548)),Assumptions!$D$7,"Other Services"))),"Other Services"))</f>
        <v/>
      </c>
    </row>
    <row r="1549" customFormat="false" ht="15" hidden="false" customHeight="false" outlineLevel="0" collapsed="false">
      <c r="F1549" s="41" t="str">
        <f aca="false">IF(E1549="","",IFERROR(VLOOKUP(E1549,Assumptions!$G$5:$H$16,2,0),"Other"))</f>
        <v/>
      </c>
      <c r="J1549" s="41" t="str">
        <f aca="false">IF(G1549="","",IFERROR(IF(ISNUMBER(SEARCH(Assumptions!$C$5,G1549)),Assumptions!$D$5,IF(ISNUMBER(SEARCH(Assumptions!$C$6,G1549)),Assumptions!$D$6,IF(ISNUMBER(SEARCH(Assumptions!$C$7,G1549)),Assumptions!$D$7,"Other Services"))),"Other Services"))</f>
        <v/>
      </c>
    </row>
    <row r="1550" customFormat="false" ht="15" hidden="false" customHeight="false" outlineLevel="0" collapsed="false">
      <c r="F1550" s="41" t="str">
        <f aca="false">IF(E1550="","",IFERROR(VLOOKUP(E1550,Assumptions!$G$5:$H$16,2,0),"Other"))</f>
        <v/>
      </c>
      <c r="J1550" s="41" t="str">
        <f aca="false">IF(G1550="","",IFERROR(IF(ISNUMBER(SEARCH(Assumptions!$C$5,G1550)),Assumptions!$D$5,IF(ISNUMBER(SEARCH(Assumptions!$C$6,G1550)),Assumptions!$D$6,IF(ISNUMBER(SEARCH(Assumptions!$C$7,G1550)),Assumptions!$D$7,"Other Services"))),"Other Services"))</f>
        <v/>
      </c>
    </row>
    <row r="1551" customFormat="false" ht="15" hidden="false" customHeight="false" outlineLevel="0" collapsed="false">
      <c r="F1551" s="41" t="str">
        <f aca="false">IF(E1551="","",IFERROR(VLOOKUP(E1551,Assumptions!$G$5:$H$16,2,0),"Other"))</f>
        <v/>
      </c>
      <c r="J1551" s="41" t="str">
        <f aca="false">IF(G1551="","",IFERROR(IF(ISNUMBER(SEARCH(Assumptions!$C$5,G1551)),Assumptions!$D$5,IF(ISNUMBER(SEARCH(Assumptions!$C$6,G1551)),Assumptions!$D$6,IF(ISNUMBER(SEARCH(Assumptions!$C$7,G1551)),Assumptions!$D$7,"Other Services"))),"Other Services"))</f>
        <v/>
      </c>
    </row>
    <row r="1552" customFormat="false" ht="15" hidden="false" customHeight="false" outlineLevel="0" collapsed="false">
      <c r="F1552" s="41" t="str">
        <f aca="false">IF(E1552="","",IFERROR(VLOOKUP(E1552,Assumptions!$G$5:$H$16,2,0),"Other"))</f>
        <v/>
      </c>
      <c r="J1552" s="41" t="str">
        <f aca="false">IF(G1552="","",IFERROR(IF(ISNUMBER(SEARCH(Assumptions!$C$5,G1552)),Assumptions!$D$5,IF(ISNUMBER(SEARCH(Assumptions!$C$6,G1552)),Assumptions!$D$6,IF(ISNUMBER(SEARCH(Assumptions!$C$7,G1552)),Assumptions!$D$7,"Other Services"))),"Other Services"))</f>
        <v/>
      </c>
    </row>
    <row r="1553" customFormat="false" ht="15" hidden="false" customHeight="false" outlineLevel="0" collapsed="false">
      <c r="F1553" s="41" t="str">
        <f aca="false">IF(E1553="","",IFERROR(VLOOKUP(E1553,Assumptions!$G$5:$H$16,2,0),"Other"))</f>
        <v/>
      </c>
      <c r="J1553" s="41" t="str">
        <f aca="false">IF(G1553="","",IFERROR(IF(ISNUMBER(SEARCH(Assumptions!$C$5,G1553)),Assumptions!$D$5,IF(ISNUMBER(SEARCH(Assumptions!$C$6,G1553)),Assumptions!$D$6,IF(ISNUMBER(SEARCH(Assumptions!$C$7,G1553)),Assumptions!$D$7,"Other Services"))),"Other Services"))</f>
        <v/>
      </c>
    </row>
    <row r="1554" customFormat="false" ht="15" hidden="false" customHeight="false" outlineLevel="0" collapsed="false">
      <c r="F1554" s="41" t="str">
        <f aca="false">IF(E1554="","",IFERROR(VLOOKUP(E1554,Assumptions!$G$5:$H$16,2,0),"Other"))</f>
        <v/>
      </c>
      <c r="J1554" s="41" t="str">
        <f aca="false">IF(G1554="","",IFERROR(IF(ISNUMBER(SEARCH(Assumptions!$C$5,G1554)),Assumptions!$D$5,IF(ISNUMBER(SEARCH(Assumptions!$C$6,G1554)),Assumptions!$D$6,IF(ISNUMBER(SEARCH(Assumptions!$C$7,G1554)),Assumptions!$D$7,"Other Services"))),"Other Services"))</f>
        <v/>
      </c>
    </row>
    <row r="1555" customFormat="false" ht="15" hidden="false" customHeight="false" outlineLevel="0" collapsed="false">
      <c r="F1555" s="41" t="str">
        <f aca="false">IF(E1555="","",IFERROR(VLOOKUP(E1555,Assumptions!$G$5:$H$16,2,0),"Other"))</f>
        <v/>
      </c>
      <c r="J1555" s="41" t="str">
        <f aca="false">IF(G1555="","",IFERROR(IF(ISNUMBER(SEARCH(Assumptions!$C$5,G1555)),Assumptions!$D$5,IF(ISNUMBER(SEARCH(Assumptions!$C$6,G1555)),Assumptions!$D$6,IF(ISNUMBER(SEARCH(Assumptions!$C$7,G1555)),Assumptions!$D$7,"Other Services"))),"Other Services"))</f>
        <v/>
      </c>
    </row>
    <row r="1556" customFormat="false" ht="15" hidden="false" customHeight="false" outlineLevel="0" collapsed="false">
      <c r="F1556" s="41" t="str">
        <f aca="false">IF(E1556="","",IFERROR(VLOOKUP(E1556,Assumptions!$G$5:$H$16,2,0),"Other"))</f>
        <v/>
      </c>
      <c r="J1556" s="41" t="str">
        <f aca="false">IF(G1556="","",IFERROR(IF(ISNUMBER(SEARCH(Assumptions!$C$5,G1556)),Assumptions!$D$5,IF(ISNUMBER(SEARCH(Assumptions!$C$6,G1556)),Assumptions!$D$6,IF(ISNUMBER(SEARCH(Assumptions!$C$7,G1556)),Assumptions!$D$7,"Other Services"))),"Other Services"))</f>
        <v/>
      </c>
    </row>
    <row r="1557" customFormat="false" ht="15" hidden="false" customHeight="false" outlineLevel="0" collapsed="false">
      <c r="F1557" s="41" t="str">
        <f aca="false">IF(E1557="","",IFERROR(VLOOKUP(E1557,Assumptions!$G$5:$H$16,2,0),"Other"))</f>
        <v/>
      </c>
      <c r="J1557" s="41" t="str">
        <f aca="false">IF(G1557="","",IFERROR(IF(ISNUMBER(SEARCH(Assumptions!$C$5,G1557)),Assumptions!$D$5,IF(ISNUMBER(SEARCH(Assumptions!$C$6,G1557)),Assumptions!$D$6,IF(ISNUMBER(SEARCH(Assumptions!$C$7,G1557)),Assumptions!$D$7,"Other Services"))),"Other Services"))</f>
        <v/>
      </c>
    </row>
    <row r="1558" customFormat="false" ht="15" hidden="false" customHeight="false" outlineLevel="0" collapsed="false">
      <c r="F1558" s="41" t="str">
        <f aca="false">IF(E1558="","",IFERROR(VLOOKUP(E1558,Assumptions!$G$5:$H$16,2,0),"Other"))</f>
        <v/>
      </c>
      <c r="J1558" s="41" t="str">
        <f aca="false">IF(G1558="","",IFERROR(IF(ISNUMBER(SEARCH(Assumptions!$C$5,G1558)),Assumptions!$D$5,IF(ISNUMBER(SEARCH(Assumptions!$C$6,G1558)),Assumptions!$D$6,IF(ISNUMBER(SEARCH(Assumptions!$C$7,G1558)),Assumptions!$D$7,"Other Services"))),"Other Services"))</f>
        <v/>
      </c>
    </row>
    <row r="1559" customFormat="false" ht="15" hidden="false" customHeight="false" outlineLevel="0" collapsed="false">
      <c r="F1559" s="41" t="str">
        <f aca="false">IF(E1559="","",IFERROR(VLOOKUP(E1559,Assumptions!$G$5:$H$16,2,0),"Other"))</f>
        <v/>
      </c>
      <c r="J1559" s="41" t="str">
        <f aca="false">IF(G1559="","",IFERROR(IF(ISNUMBER(SEARCH(Assumptions!$C$5,G1559)),Assumptions!$D$5,IF(ISNUMBER(SEARCH(Assumptions!$C$6,G1559)),Assumptions!$D$6,IF(ISNUMBER(SEARCH(Assumptions!$C$7,G1559)),Assumptions!$D$7,"Other Services"))),"Other Services"))</f>
        <v/>
      </c>
    </row>
    <row r="1560" customFormat="false" ht="15" hidden="false" customHeight="false" outlineLevel="0" collapsed="false">
      <c r="F1560" s="41" t="str">
        <f aca="false">IF(E1560="","",IFERROR(VLOOKUP(E1560,Assumptions!$G$5:$H$16,2,0),"Other"))</f>
        <v/>
      </c>
      <c r="J1560" s="41" t="str">
        <f aca="false">IF(G1560="","",IFERROR(IF(ISNUMBER(SEARCH(Assumptions!$C$5,G1560)),Assumptions!$D$5,IF(ISNUMBER(SEARCH(Assumptions!$C$6,G1560)),Assumptions!$D$6,IF(ISNUMBER(SEARCH(Assumptions!$C$7,G1560)),Assumptions!$D$7,"Other Services"))),"Other Services"))</f>
        <v/>
      </c>
    </row>
    <row r="1561" customFormat="false" ht="15" hidden="false" customHeight="false" outlineLevel="0" collapsed="false">
      <c r="F1561" s="41" t="str">
        <f aca="false">IF(E1561="","",IFERROR(VLOOKUP(E1561,Assumptions!$G$5:$H$16,2,0),"Other"))</f>
        <v/>
      </c>
      <c r="J1561" s="41" t="str">
        <f aca="false">IF(G1561="","",IFERROR(IF(ISNUMBER(SEARCH(Assumptions!$C$5,G1561)),Assumptions!$D$5,IF(ISNUMBER(SEARCH(Assumptions!$C$6,G1561)),Assumptions!$D$6,IF(ISNUMBER(SEARCH(Assumptions!$C$7,G1561)),Assumptions!$D$7,"Other Services"))),"Other Services"))</f>
        <v/>
      </c>
    </row>
    <row r="1562" customFormat="false" ht="15" hidden="false" customHeight="false" outlineLevel="0" collapsed="false">
      <c r="F1562" s="41" t="str">
        <f aca="false">IF(E1562="","",IFERROR(VLOOKUP(E1562,Assumptions!$G$5:$H$16,2,0),"Other"))</f>
        <v/>
      </c>
      <c r="J1562" s="41" t="str">
        <f aca="false">IF(G1562="","",IFERROR(IF(ISNUMBER(SEARCH(Assumptions!$C$5,G1562)),Assumptions!$D$5,IF(ISNUMBER(SEARCH(Assumptions!$C$6,G1562)),Assumptions!$D$6,IF(ISNUMBER(SEARCH(Assumptions!$C$7,G1562)),Assumptions!$D$7,"Other Services"))),"Other Services"))</f>
        <v/>
      </c>
    </row>
    <row r="1563" customFormat="false" ht="15" hidden="false" customHeight="false" outlineLevel="0" collapsed="false">
      <c r="F1563" s="41" t="str">
        <f aca="false">IF(E1563="","",IFERROR(VLOOKUP(E1563,Assumptions!$G$5:$H$16,2,0),"Other"))</f>
        <v/>
      </c>
      <c r="J1563" s="41" t="str">
        <f aca="false">IF(G1563="","",IFERROR(IF(ISNUMBER(SEARCH(Assumptions!$C$5,G1563)),Assumptions!$D$5,IF(ISNUMBER(SEARCH(Assumptions!$C$6,G1563)),Assumptions!$D$6,IF(ISNUMBER(SEARCH(Assumptions!$C$7,G1563)),Assumptions!$D$7,"Other Services"))),"Other Services"))</f>
        <v/>
      </c>
    </row>
    <row r="1564" customFormat="false" ht="15" hidden="false" customHeight="false" outlineLevel="0" collapsed="false">
      <c r="F1564" s="41" t="str">
        <f aca="false">IF(E1564="","",IFERROR(VLOOKUP(E1564,Assumptions!$G$5:$H$16,2,0),"Other"))</f>
        <v/>
      </c>
      <c r="J1564" s="41" t="str">
        <f aca="false">IF(G1564="","",IFERROR(IF(ISNUMBER(SEARCH(Assumptions!$C$5,G1564)),Assumptions!$D$5,IF(ISNUMBER(SEARCH(Assumptions!$C$6,G1564)),Assumptions!$D$6,IF(ISNUMBER(SEARCH(Assumptions!$C$7,G1564)),Assumptions!$D$7,"Other Services"))),"Other Services"))</f>
        <v/>
      </c>
    </row>
    <row r="1565" customFormat="false" ht="15" hidden="false" customHeight="false" outlineLevel="0" collapsed="false">
      <c r="F1565" s="41" t="str">
        <f aca="false">IF(E1565="","",IFERROR(VLOOKUP(E1565,Assumptions!$G$5:$H$16,2,0),"Other"))</f>
        <v/>
      </c>
      <c r="J1565" s="41" t="str">
        <f aca="false">IF(G1565="","",IFERROR(IF(ISNUMBER(SEARCH(Assumptions!$C$5,G1565)),Assumptions!$D$5,IF(ISNUMBER(SEARCH(Assumptions!$C$6,G1565)),Assumptions!$D$6,IF(ISNUMBER(SEARCH(Assumptions!$C$7,G1565)),Assumptions!$D$7,"Other Services"))),"Other Services"))</f>
        <v/>
      </c>
    </row>
    <row r="1566" customFormat="false" ht="15" hidden="false" customHeight="false" outlineLevel="0" collapsed="false">
      <c r="F1566" s="41" t="str">
        <f aca="false">IF(E1566="","",IFERROR(VLOOKUP(E1566,Assumptions!$G$5:$H$16,2,0),"Other"))</f>
        <v/>
      </c>
      <c r="J1566" s="41" t="str">
        <f aca="false">IF(G1566="","",IFERROR(IF(ISNUMBER(SEARCH(Assumptions!$C$5,G1566)),Assumptions!$D$5,IF(ISNUMBER(SEARCH(Assumptions!$C$6,G1566)),Assumptions!$D$6,IF(ISNUMBER(SEARCH(Assumptions!$C$7,G1566)),Assumptions!$D$7,"Other Services"))),"Other Services"))</f>
        <v/>
      </c>
    </row>
    <row r="1567" customFormat="false" ht="15" hidden="false" customHeight="false" outlineLevel="0" collapsed="false">
      <c r="F1567" s="41" t="str">
        <f aca="false">IF(E1567="","",IFERROR(VLOOKUP(E1567,Assumptions!$G$5:$H$16,2,0),"Other"))</f>
        <v/>
      </c>
      <c r="J1567" s="41" t="str">
        <f aca="false">IF(G1567="","",IFERROR(IF(ISNUMBER(SEARCH(Assumptions!$C$5,G1567)),Assumptions!$D$5,IF(ISNUMBER(SEARCH(Assumptions!$C$6,G1567)),Assumptions!$D$6,IF(ISNUMBER(SEARCH(Assumptions!$C$7,G1567)),Assumptions!$D$7,"Other Services"))),"Other Services"))</f>
        <v/>
      </c>
    </row>
    <row r="1568" customFormat="false" ht="15" hidden="false" customHeight="false" outlineLevel="0" collapsed="false">
      <c r="F1568" s="41" t="str">
        <f aca="false">IF(E1568="","",IFERROR(VLOOKUP(E1568,Assumptions!$G$5:$H$16,2,0),"Other"))</f>
        <v/>
      </c>
      <c r="J1568" s="41" t="str">
        <f aca="false">IF(G1568="","",IFERROR(IF(ISNUMBER(SEARCH(Assumptions!$C$5,G1568)),Assumptions!$D$5,IF(ISNUMBER(SEARCH(Assumptions!$C$6,G1568)),Assumptions!$D$6,IF(ISNUMBER(SEARCH(Assumptions!$C$7,G1568)),Assumptions!$D$7,"Other Services"))),"Other Services"))</f>
        <v/>
      </c>
    </row>
    <row r="1569" customFormat="false" ht="15" hidden="false" customHeight="false" outlineLevel="0" collapsed="false">
      <c r="F1569" s="41" t="str">
        <f aca="false">IF(E1569="","",IFERROR(VLOOKUP(E1569,Assumptions!$G$5:$H$16,2,0),"Other"))</f>
        <v/>
      </c>
      <c r="J1569" s="41" t="str">
        <f aca="false">IF(G1569="","",IFERROR(IF(ISNUMBER(SEARCH(Assumptions!$C$5,G1569)),Assumptions!$D$5,IF(ISNUMBER(SEARCH(Assumptions!$C$6,G1569)),Assumptions!$D$6,IF(ISNUMBER(SEARCH(Assumptions!$C$7,G1569)),Assumptions!$D$7,"Other Services"))),"Other Services"))</f>
        <v/>
      </c>
    </row>
    <row r="1570" customFormat="false" ht="15" hidden="false" customHeight="false" outlineLevel="0" collapsed="false">
      <c r="F1570" s="41" t="str">
        <f aca="false">IF(E1570="","",IFERROR(VLOOKUP(E1570,Assumptions!$G$5:$H$16,2,0),"Other"))</f>
        <v/>
      </c>
      <c r="J1570" s="41" t="str">
        <f aca="false">IF(G1570="","",IFERROR(IF(ISNUMBER(SEARCH(Assumptions!$C$5,G1570)),Assumptions!$D$5,IF(ISNUMBER(SEARCH(Assumptions!$C$6,G1570)),Assumptions!$D$6,IF(ISNUMBER(SEARCH(Assumptions!$C$7,G1570)),Assumptions!$D$7,"Other Services"))),"Other Services"))</f>
        <v/>
      </c>
    </row>
    <row r="1571" customFormat="false" ht="15" hidden="false" customHeight="false" outlineLevel="0" collapsed="false">
      <c r="F1571" s="41" t="str">
        <f aca="false">IF(E1571="","",IFERROR(VLOOKUP(E1571,Assumptions!$G$5:$H$16,2,0),"Other"))</f>
        <v/>
      </c>
      <c r="J1571" s="41" t="str">
        <f aca="false">IF(G1571="","",IFERROR(IF(ISNUMBER(SEARCH(Assumptions!$C$5,G1571)),Assumptions!$D$5,IF(ISNUMBER(SEARCH(Assumptions!$C$6,G1571)),Assumptions!$D$6,IF(ISNUMBER(SEARCH(Assumptions!$C$7,G1571)),Assumptions!$D$7,"Other Services"))),"Other Services"))</f>
        <v/>
      </c>
    </row>
    <row r="1572" customFormat="false" ht="15" hidden="false" customHeight="false" outlineLevel="0" collapsed="false">
      <c r="F1572" s="41" t="str">
        <f aca="false">IF(E1572="","",IFERROR(VLOOKUP(E1572,Assumptions!$G$5:$H$16,2,0),"Other"))</f>
        <v/>
      </c>
      <c r="J1572" s="41" t="str">
        <f aca="false">IF(G1572="","",IFERROR(IF(ISNUMBER(SEARCH(Assumptions!$C$5,G1572)),Assumptions!$D$5,IF(ISNUMBER(SEARCH(Assumptions!$C$6,G1572)),Assumptions!$D$6,IF(ISNUMBER(SEARCH(Assumptions!$C$7,G1572)),Assumptions!$D$7,"Other Services"))),"Other Services"))</f>
        <v/>
      </c>
    </row>
    <row r="1573" customFormat="false" ht="15" hidden="false" customHeight="false" outlineLevel="0" collapsed="false">
      <c r="F1573" s="41" t="str">
        <f aca="false">IF(E1573="","",IFERROR(VLOOKUP(E1573,Assumptions!$G$5:$H$16,2,0),"Other"))</f>
        <v/>
      </c>
      <c r="J1573" s="41" t="str">
        <f aca="false">IF(G1573="","",IFERROR(IF(ISNUMBER(SEARCH(Assumptions!$C$5,G1573)),Assumptions!$D$5,IF(ISNUMBER(SEARCH(Assumptions!$C$6,G1573)),Assumptions!$D$6,IF(ISNUMBER(SEARCH(Assumptions!$C$7,G1573)),Assumptions!$D$7,"Other Services"))),"Other Services"))</f>
        <v/>
      </c>
    </row>
    <row r="1574" customFormat="false" ht="15" hidden="false" customHeight="false" outlineLevel="0" collapsed="false">
      <c r="F1574" s="41" t="str">
        <f aca="false">IF(E1574="","",IFERROR(VLOOKUP(E1574,Assumptions!$G$5:$H$16,2,0),"Other"))</f>
        <v/>
      </c>
      <c r="J1574" s="41" t="str">
        <f aca="false">IF(G1574="","",IFERROR(IF(ISNUMBER(SEARCH(Assumptions!$C$5,G1574)),Assumptions!$D$5,IF(ISNUMBER(SEARCH(Assumptions!$C$6,G1574)),Assumptions!$D$6,IF(ISNUMBER(SEARCH(Assumptions!$C$7,G1574)),Assumptions!$D$7,"Other Services"))),"Other Services"))</f>
        <v/>
      </c>
    </row>
    <row r="1575" customFormat="false" ht="15" hidden="false" customHeight="false" outlineLevel="0" collapsed="false">
      <c r="F1575" s="41" t="str">
        <f aca="false">IF(E1575="","",IFERROR(VLOOKUP(E1575,Assumptions!$G$5:$H$16,2,0),"Other"))</f>
        <v/>
      </c>
      <c r="J1575" s="41" t="str">
        <f aca="false">IF(G1575="","",IFERROR(IF(ISNUMBER(SEARCH(Assumptions!$C$5,G1575)),Assumptions!$D$5,IF(ISNUMBER(SEARCH(Assumptions!$C$6,G1575)),Assumptions!$D$6,IF(ISNUMBER(SEARCH(Assumptions!$C$7,G1575)),Assumptions!$D$7,"Other Services"))),"Other Services"))</f>
        <v/>
      </c>
    </row>
    <row r="1576" customFormat="false" ht="15" hidden="false" customHeight="false" outlineLevel="0" collapsed="false">
      <c r="F1576" s="41" t="str">
        <f aca="false">IF(E1576="","",IFERROR(VLOOKUP(E1576,Assumptions!$G$5:$H$16,2,0),"Other"))</f>
        <v/>
      </c>
      <c r="J1576" s="41" t="str">
        <f aca="false">IF(G1576="","",IFERROR(IF(ISNUMBER(SEARCH(Assumptions!$C$5,G1576)),Assumptions!$D$5,IF(ISNUMBER(SEARCH(Assumptions!$C$6,G1576)),Assumptions!$D$6,IF(ISNUMBER(SEARCH(Assumptions!$C$7,G1576)),Assumptions!$D$7,"Other Services"))),"Other Services"))</f>
        <v/>
      </c>
    </row>
    <row r="1577" customFormat="false" ht="15" hidden="false" customHeight="false" outlineLevel="0" collapsed="false">
      <c r="F1577" s="41" t="str">
        <f aca="false">IF(E1577="","",IFERROR(VLOOKUP(E1577,Assumptions!$G$5:$H$16,2,0),"Other"))</f>
        <v/>
      </c>
      <c r="J1577" s="41" t="str">
        <f aca="false">IF(G1577="","",IFERROR(IF(ISNUMBER(SEARCH(Assumptions!$C$5,G1577)),Assumptions!$D$5,IF(ISNUMBER(SEARCH(Assumptions!$C$6,G1577)),Assumptions!$D$6,IF(ISNUMBER(SEARCH(Assumptions!$C$7,G1577)),Assumptions!$D$7,"Other Services"))),"Other Services"))</f>
        <v/>
      </c>
    </row>
    <row r="1578" customFormat="false" ht="15" hidden="false" customHeight="false" outlineLevel="0" collapsed="false">
      <c r="F1578" s="41" t="str">
        <f aca="false">IF(E1578="","",IFERROR(VLOOKUP(E1578,Assumptions!$G$5:$H$16,2,0),"Other"))</f>
        <v/>
      </c>
      <c r="J1578" s="41" t="str">
        <f aca="false">IF(G1578="","",IFERROR(IF(ISNUMBER(SEARCH(Assumptions!$C$5,G1578)),Assumptions!$D$5,IF(ISNUMBER(SEARCH(Assumptions!$C$6,G1578)),Assumptions!$D$6,IF(ISNUMBER(SEARCH(Assumptions!$C$7,G1578)),Assumptions!$D$7,"Other Services"))),"Other Services"))</f>
        <v/>
      </c>
    </row>
    <row r="1579" customFormat="false" ht="15" hidden="false" customHeight="false" outlineLevel="0" collapsed="false">
      <c r="F1579" s="41" t="str">
        <f aca="false">IF(E1579="","",IFERROR(VLOOKUP(E1579,Assumptions!$G$5:$H$16,2,0),"Other"))</f>
        <v/>
      </c>
      <c r="J1579" s="41" t="str">
        <f aca="false">IF(G1579="","",IFERROR(IF(ISNUMBER(SEARCH(Assumptions!$C$5,G1579)),Assumptions!$D$5,IF(ISNUMBER(SEARCH(Assumptions!$C$6,G1579)),Assumptions!$D$6,IF(ISNUMBER(SEARCH(Assumptions!$C$7,G1579)),Assumptions!$D$7,"Other Services"))),"Other Services"))</f>
        <v/>
      </c>
    </row>
    <row r="1580" customFormat="false" ht="15" hidden="false" customHeight="false" outlineLevel="0" collapsed="false">
      <c r="F1580" s="41" t="str">
        <f aca="false">IF(E1580="","",IFERROR(VLOOKUP(E1580,Assumptions!$G$5:$H$16,2,0),"Other"))</f>
        <v/>
      </c>
      <c r="J1580" s="41" t="str">
        <f aca="false">IF(G1580="","",IFERROR(IF(ISNUMBER(SEARCH(Assumptions!$C$5,G1580)),Assumptions!$D$5,IF(ISNUMBER(SEARCH(Assumptions!$C$6,G1580)),Assumptions!$D$6,IF(ISNUMBER(SEARCH(Assumptions!$C$7,G1580)),Assumptions!$D$7,"Other Services"))),"Other Services"))</f>
        <v/>
      </c>
    </row>
    <row r="1581" customFormat="false" ht="15" hidden="false" customHeight="false" outlineLevel="0" collapsed="false">
      <c r="F1581" s="41" t="str">
        <f aca="false">IF(E1581="","",IFERROR(VLOOKUP(E1581,Assumptions!$G$5:$H$16,2,0),"Other"))</f>
        <v/>
      </c>
      <c r="J1581" s="41" t="str">
        <f aca="false">IF(G1581="","",IFERROR(IF(ISNUMBER(SEARCH(Assumptions!$C$5,G1581)),Assumptions!$D$5,IF(ISNUMBER(SEARCH(Assumptions!$C$6,G1581)),Assumptions!$D$6,IF(ISNUMBER(SEARCH(Assumptions!$C$7,G1581)),Assumptions!$D$7,"Other Services"))),"Other Services"))</f>
        <v/>
      </c>
    </row>
    <row r="1582" customFormat="false" ht="15" hidden="false" customHeight="false" outlineLevel="0" collapsed="false">
      <c r="F1582" s="41" t="str">
        <f aca="false">IF(E1582="","",IFERROR(VLOOKUP(E1582,Assumptions!$G$5:$H$16,2,0),"Other"))</f>
        <v/>
      </c>
      <c r="J1582" s="41" t="str">
        <f aca="false">IF(G1582="","",IFERROR(IF(ISNUMBER(SEARCH(Assumptions!$C$5,G1582)),Assumptions!$D$5,IF(ISNUMBER(SEARCH(Assumptions!$C$6,G1582)),Assumptions!$D$6,IF(ISNUMBER(SEARCH(Assumptions!$C$7,G1582)),Assumptions!$D$7,"Other Services"))),"Other Services"))</f>
        <v/>
      </c>
    </row>
    <row r="1583" customFormat="false" ht="15" hidden="false" customHeight="false" outlineLevel="0" collapsed="false">
      <c r="F1583" s="41" t="str">
        <f aca="false">IF(E1583="","",IFERROR(VLOOKUP(E1583,Assumptions!$G$5:$H$16,2,0),"Other"))</f>
        <v/>
      </c>
      <c r="J1583" s="41" t="str">
        <f aca="false">IF(G1583="","",IFERROR(IF(ISNUMBER(SEARCH(Assumptions!$C$5,G1583)),Assumptions!$D$5,IF(ISNUMBER(SEARCH(Assumptions!$C$6,G1583)),Assumptions!$D$6,IF(ISNUMBER(SEARCH(Assumptions!$C$7,G1583)),Assumptions!$D$7,"Other Services"))),"Other Services"))</f>
        <v/>
      </c>
    </row>
    <row r="1584" customFormat="false" ht="15" hidden="false" customHeight="false" outlineLevel="0" collapsed="false">
      <c r="F1584" s="41" t="str">
        <f aca="false">IF(E1584="","",IFERROR(VLOOKUP(E1584,Assumptions!$G$5:$H$16,2,0),"Other"))</f>
        <v/>
      </c>
      <c r="J1584" s="41" t="str">
        <f aca="false">IF(G1584="","",IFERROR(IF(ISNUMBER(SEARCH(Assumptions!$C$5,G1584)),Assumptions!$D$5,IF(ISNUMBER(SEARCH(Assumptions!$C$6,G1584)),Assumptions!$D$6,IF(ISNUMBER(SEARCH(Assumptions!$C$7,G1584)),Assumptions!$D$7,"Other Services"))),"Other Services"))</f>
        <v/>
      </c>
    </row>
    <row r="1585" customFormat="false" ht="15" hidden="false" customHeight="false" outlineLevel="0" collapsed="false">
      <c r="F1585" s="41" t="str">
        <f aca="false">IF(E1585="","",IFERROR(VLOOKUP(E1585,Assumptions!$G$5:$H$16,2,0),"Other"))</f>
        <v/>
      </c>
      <c r="J1585" s="41" t="str">
        <f aca="false">IF(G1585="","",IFERROR(IF(ISNUMBER(SEARCH(Assumptions!$C$5,G1585)),Assumptions!$D$5,IF(ISNUMBER(SEARCH(Assumptions!$C$6,G1585)),Assumptions!$D$6,IF(ISNUMBER(SEARCH(Assumptions!$C$7,G1585)),Assumptions!$D$7,"Other Services"))),"Other Services"))</f>
        <v/>
      </c>
    </row>
    <row r="1586" customFormat="false" ht="15" hidden="false" customHeight="false" outlineLevel="0" collapsed="false">
      <c r="F1586" s="41" t="str">
        <f aca="false">IF(E1586="","",IFERROR(VLOOKUP(E1586,Assumptions!$G$5:$H$16,2,0),"Other"))</f>
        <v/>
      </c>
      <c r="J1586" s="41" t="str">
        <f aca="false">IF(G1586="","",IFERROR(IF(ISNUMBER(SEARCH(Assumptions!$C$5,G1586)),Assumptions!$D$5,IF(ISNUMBER(SEARCH(Assumptions!$C$6,G1586)),Assumptions!$D$6,IF(ISNUMBER(SEARCH(Assumptions!$C$7,G1586)),Assumptions!$D$7,"Other Services"))),"Other Services"))</f>
        <v/>
      </c>
    </row>
    <row r="1587" customFormat="false" ht="15" hidden="false" customHeight="false" outlineLevel="0" collapsed="false">
      <c r="F1587" s="41" t="str">
        <f aca="false">IF(E1587="","",IFERROR(VLOOKUP(E1587,Assumptions!$G$5:$H$16,2,0),"Other"))</f>
        <v/>
      </c>
      <c r="J1587" s="41" t="str">
        <f aca="false">IF(G1587="","",IFERROR(IF(ISNUMBER(SEARCH(Assumptions!$C$5,G1587)),Assumptions!$D$5,IF(ISNUMBER(SEARCH(Assumptions!$C$6,G1587)),Assumptions!$D$6,IF(ISNUMBER(SEARCH(Assumptions!$C$7,G1587)),Assumptions!$D$7,"Other Services"))),"Other Services"))</f>
        <v/>
      </c>
    </row>
    <row r="1588" customFormat="false" ht="15" hidden="false" customHeight="false" outlineLevel="0" collapsed="false">
      <c r="F1588" s="41" t="str">
        <f aca="false">IF(E1588="","",IFERROR(VLOOKUP(E1588,Assumptions!$G$5:$H$16,2,0),"Other"))</f>
        <v/>
      </c>
      <c r="J1588" s="41" t="str">
        <f aca="false">IF(G1588="","",IFERROR(IF(ISNUMBER(SEARCH(Assumptions!$C$5,G1588)),Assumptions!$D$5,IF(ISNUMBER(SEARCH(Assumptions!$C$6,G1588)),Assumptions!$D$6,IF(ISNUMBER(SEARCH(Assumptions!$C$7,G1588)),Assumptions!$D$7,"Other Services"))),"Other Services"))</f>
        <v/>
      </c>
    </row>
    <row r="1589" customFormat="false" ht="15" hidden="false" customHeight="false" outlineLevel="0" collapsed="false">
      <c r="F1589" s="41" t="str">
        <f aca="false">IF(E1589="","",IFERROR(VLOOKUP(E1589,Assumptions!$G$5:$H$16,2,0),"Other"))</f>
        <v/>
      </c>
      <c r="J1589" s="41" t="str">
        <f aca="false">IF(G1589="","",IFERROR(IF(ISNUMBER(SEARCH(Assumptions!$C$5,G1589)),Assumptions!$D$5,IF(ISNUMBER(SEARCH(Assumptions!$C$6,G1589)),Assumptions!$D$6,IF(ISNUMBER(SEARCH(Assumptions!$C$7,G1589)),Assumptions!$D$7,"Other Services"))),"Other Services"))</f>
        <v/>
      </c>
    </row>
    <row r="1590" customFormat="false" ht="15" hidden="false" customHeight="false" outlineLevel="0" collapsed="false">
      <c r="F1590" s="41" t="str">
        <f aca="false">IF(E1590="","",IFERROR(VLOOKUP(E1590,Assumptions!$G$5:$H$16,2,0),"Other"))</f>
        <v/>
      </c>
      <c r="J1590" s="41" t="str">
        <f aca="false">IF(G1590="","",IFERROR(IF(ISNUMBER(SEARCH(Assumptions!$C$5,G1590)),Assumptions!$D$5,IF(ISNUMBER(SEARCH(Assumptions!$C$6,G1590)),Assumptions!$D$6,IF(ISNUMBER(SEARCH(Assumptions!$C$7,G1590)),Assumptions!$D$7,"Other Services"))),"Other Services"))</f>
        <v/>
      </c>
    </row>
    <row r="1591" customFormat="false" ht="15" hidden="false" customHeight="false" outlineLevel="0" collapsed="false">
      <c r="F1591" s="41" t="str">
        <f aca="false">IF(E1591="","",IFERROR(VLOOKUP(E1591,Assumptions!$G$5:$H$16,2,0),"Other"))</f>
        <v/>
      </c>
      <c r="J1591" s="41" t="str">
        <f aca="false">IF(G1591="","",IFERROR(IF(ISNUMBER(SEARCH(Assumptions!$C$5,G1591)),Assumptions!$D$5,IF(ISNUMBER(SEARCH(Assumptions!$C$6,G1591)),Assumptions!$D$6,IF(ISNUMBER(SEARCH(Assumptions!$C$7,G1591)),Assumptions!$D$7,"Other Services"))),"Other Services"))</f>
        <v/>
      </c>
    </row>
    <row r="1592" customFormat="false" ht="15" hidden="false" customHeight="false" outlineLevel="0" collapsed="false">
      <c r="F1592" s="41" t="str">
        <f aca="false">IF(E1592="","",IFERROR(VLOOKUP(E1592,Assumptions!$G$5:$H$16,2,0),"Other"))</f>
        <v/>
      </c>
      <c r="J1592" s="41" t="str">
        <f aca="false">IF(G1592="","",IFERROR(IF(ISNUMBER(SEARCH(Assumptions!$C$5,G1592)),Assumptions!$D$5,IF(ISNUMBER(SEARCH(Assumptions!$C$6,G1592)),Assumptions!$D$6,IF(ISNUMBER(SEARCH(Assumptions!$C$7,G1592)),Assumptions!$D$7,"Other Services"))),"Other Services"))</f>
        <v/>
      </c>
    </row>
    <row r="1593" customFormat="false" ht="15" hidden="false" customHeight="false" outlineLevel="0" collapsed="false">
      <c r="F1593" s="41" t="str">
        <f aca="false">IF(E1593="","",IFERROR(VLOOKUP(E1593,Assumptions!$G$5:$H$16,2,0),"Other"))</f>
        <v/>
      </c>
      <c r="J1593" s="41" t="str">
        <f aca="false">IF(G1593="","",IFERROR(IF(ISNUMBER(SEARCH(Assumptions!$C$5,G1593)),Assumptions!$D$5,IF(ISNUMBER(SEARCH(Assumptions!$C$6,G1593)),Assumptions!$D$6,IF(ISNUMBER(SEARCH(Assumptions!$C$7,G1593)),Assumptions!$D$7,"Other Services"))),"Other Services"))</f>
        <v/>
      </c>
    </row>
    <row r="1594" customFormat="false" ht="15" hidden="false" customHeight="false" outlineLevel="0" collapsed="false">
      <c r="F1594" s="41" t="str">
        <f aca="false">IF(E1594="","",IFERROR(VLOOKUP(E1594,Assumptions!$G$5:$H$16,2,0),"Other"))</f>
        <v/>
      </c>
      <c r="J1594" s="41" t="str">
        <f aca="false">IF(G1594="","",IFERROR(IF(ISNUMBER(SEARCH(Assumptions!$C$5,G1594)),Assumptions!$D$5,IF(ISNUMBER(SEARCH(Assumptions!$C$6,G1594)),Assumptions!$D$6,IF(ISNUMBER(SEARCH(Assumptions!$C$7,G1594)),Assumptions!$D$7,"Other Services"))),"Other Services"))</f>
        <v/>
      </c>
    </row>
    <row r="1595" customFormat="false" ht="15" hidden="false" customHeight="false" outlineLevel="0" collapsed="false">
      <c r="F1595" s="41" t="str">
        <f aca="false">IF(E1595="","",IFERROR(VLOOKUP(E1595,Assumptions!$G$5:$H$16,2,0),"Other"))</f>
        <v/>
      </c>
      <c r="J1595" s="41" t="str">
        <f aca="false">IF(G1595="","",IFERROR(IF(ISNUMBER(SEARCH(Assumptions!$C$5,G1595)),Assumptions!$D$5,IF(ISNUMBER(SEARCH(Assumptions!$C$6,G1595)),Assumptions!$D$6,IF(ISNUMBER(SEARCH(Assumptions!$C$7,G1595)),Assumptions!$D$7,"Other Services"))),"Other Services"))</f>
        <v/>
      </c>
    </row>
    <row r="1596" customFormat="false" ht="15" hidden="false" customHeight="false" outlineLevel="0" collapsed="false">
      <c r="F1596" s="41" t="str">
        <f aca="false">IF(E1596="","",IFERROR(VLOOKUP(E1596,Assumptions!$G$5:$H$16,2,0),"Other"))</f>
        <v/>
      </c>
      <c r="J1596" s="41" t="str">
        <f aca="false">IF(G1596="","",IFERROR(IF(ISNUMBER(SEARCH(Assumptions!$C$5,G1596)),Assumptions!$D$5,IF(ISNUMBER(SEARCH(Assumptions!$C$6,G1596)),Assumptions!$D$6,IF(ISNUMBER(SEARCH(Assumptions!$C$7,G1596)),Assumptions!$D$7,"Other Services"))),"Other Services"))</f>
        <v/>
      </c>
    </row>
    <row r="1597" customFormat="false" ht="15" hidden="false" customHeight="false" outlineLevel="0" collapsed="false">
      <c r="F1597" s="41" t="str">
        <f aca="false">IF(E1597="","",IFERROR(VLOOKUP(E1597,Assumptions!$G$5:$H$16,2,0),"Other"))</f>
        <v/>
      </c>
      <c r="J1597" s="41" t="str">
        <f aca="false">IF(G1597="","",IFERROR(IF(ISNUMBER(SEARCH(Assumptions!$C$5,G1597)),Assumptions!$D$5,IF(ISNUMBER(SEARCH(Assumptions!$C$6,G1597)),Assumptions!$D$6,IF(ISNUMBER(SEARCH(Assumptions!$C$7,G1597)),Assumptions!$D$7,"Other Services"))),"Other Services"))</f>
        <v/>
      </c>
    </row>
    <row r="1598" customFormat="false" ht="15" hidden="false" customHeight="false" outlineLevel="0" collapsed="false">
      <c r="F1598" s="41" t="str">
        <f aca="false">IF(E1598="","",IFERROR(VLOOKUP(E1598,Assumptions!$G$5:$H$16,2,0),"Other"))</f>
        <v/>
      </c>
      <c r="J1598" s="41" t="str">
        <f aca="false">IF(G1598="","",IFERROR(IF(ISNUMBER(SEARCH(Assumptions!$C$5,G1598)),Assumptions!$D$5,IF(ISNUMBER(SEARCH(Assumptions!$C$6,G1598)),Assumptions!$D$6,IF(ISNUMBER(SEARCH(Assumptions!$C$7,G1598)),Assumptions!$D$7,"Other Services"))),"Other Services"))</f>
        <v/>
      </c>
    </row>
    <row r="1599" customFormat="false" ht="15" hidden="false" customHeight="false" outlineLevel="0" collapsed="false">
      <c r="F1599" s="41" t="str">
        <f aca="false">IF(E1599="","",IFERROR(VLOOKUP(E1599,Assumptions!$G$5:$H$16,2,0),"Other"))</f>
        <v/>
      </c>
      <c r="J1599" s="41" t="str">
        <f aca="false">IF(G1599="","",IFERROR(IF(ISNUMBER(SEARCH(Assumptions!$C$5,G1599)),Assumptions!$D$5,IF(ISNUMBER(SEARCH(Assumptions!$C$6,G1599)),Assumptions!$D$6,IF(ISNUMBER(SEARCH(Assumptions!$C$7,G1599)),Assumptions!$D$7,"Other Services"))),"Other Services"))</f>
        <v/>
      </c>
    </row>
    <row r="1600" customFormat="false" ht="15" hidden="false" customHeight="false" outlineLevel="0" collapsed="false">
      <c r="F1600" s="41" t="str">
        <f aca="false">IF(E1600="","",IFERROR(VLOOKUP(E1600,Assumptions!$G$5:$H$16,2,0),"Other"))</f>
        <v/>
      </c>
      <c r="J1600" s="41" t="str">
        <f aca="false">IF(G1600="","",IFERROR(IF(ISNUMBER(SEARCH(Assumptions!$C$5,G1600)),Assumptions!$D$5,IF(ISNUMBER(SEARCH(Assumptions!$C$6,G1600)),Assumptions!$D$6,IF(ISNUMBER(SEARCH(Assumptions!$C$7,G1600)),Assumptions!$D$7,"Other Services"))),"Other Services"))</f>
        <v/>
      </c>
    </row>
    <row r="1601" customFormat="false" ht="15" hidden="false" customHeight="false" outlineLevel="0" collapsed="false">
      <c r="F1601" s="41" t="str">
        <f aca="false">IF(E1601="","",IFERROR(VLOOKUP(E1601,Assumptions!$G$5:$H$16,2,0),"Other"))</f>
        <v/>
      </c>
      <c r="J1601" s="41" t="str">
        <f aca="false">IF(G1601="","",IFERROR(IF(ISNUMBER(SEARCH(Assumptions!$C$5,G1601)),Assumptions!$D$5,IF(ISNUMBER(SEARCH(Assumptions!$C$6,G1601)),Assumptions!$D$6,IF(ISNUMBER(SEARCH(Assumptions!$C$7,G1601)),Assumptions!$D$7,"Other Services"))),"Other Services"))</f>
        <v/>
      </c>
    </row>
    <row r="1602" customFormat="false" ht="15" hidden="false" customHeight="false" outlineLevel="0" collapsed="false">
      <c r="F1602" s="41" t="str">
        <f aca="false">IF(E1602="","",IFERROR(VLOOKUP(E1602,Assumptions!$G$5:$H$16,2,0),"Other"))</f>
        <v/>
      </c>
      <c r="J1602" s="41" t="str">
        <f aca="false">IF(G1602="","",IFERROR(IF(ISNUMBER(SEARCH(Assumptions!$C$5,G1602)),Assumptions!$D$5,IF(ISNUMBER(SEARCH(Assumptions!$C$6,G1602)),Assumptions!$D$6,IF(ISNUMBER(SEARCH(Assumptions!$C$7,G1602)),Assumptions!$D$7,"Other Services"))),"Other Services"))</f>
        <v/>
      </c>
    </row>
    <row r="1603" customFormat="false" ht="15" hidden="false" customHeight="false" outlineLevel="0" collapsed="false">
      <c r="F1603" s="41" t="str">
        <f aca="false">IF(E1603="","",IFERROR(VLOOKUP(E1603,Assumptions!$G$5:$H$16,2,0),"Other"))</f>
        <v/>
      </c>
      <c r="J1603" s="41" t="str">
        <f aca="false">IF(G1603="","",IFERROR(IF(ISNUMBER(SEARCH(Assumptions!$C$5,G1603)),Assumptions!$D$5,IF(ISNUMBER(SEARCH(Assumptions!$C$6,G1603)),Assumptions!$D$6,IF(ISNUMBER(SEARCH(Assumptions!$C$7,G1603)),Assumptions!$D$7,"Other Services"))),"Other Services"))</f>
        <v/>
      </c>
    </row>
    <row r="1604" customFormat="false" ht="15" hidden="false" customHeight="false" outlineLevel="0" collapsed="false">
      <c r="F1604" s="41" t="str">
        <f aca="false">IF(E1604="","",IFERROR(VLOOKUP(E1604,Assumptions!$G$5:$H$16,2,0),"Other"))</f>
        <v/>
      </c>
      <c r="J1604" s="41" t="str">
        <f aca="false">IF(G1604="","",IFERROR(IF(ISNUMBER(SEARCH(Assumptions!$C$5,G1604)),Assumptions!$D$5,IF(ISNUMBER(SEARCH(Assumptions!$C$6,G1604)),Assumptions!$D$6,IF(ISNUMBER(SEARCH(Assumptions!$C$7,G1604)),Assumptions!$D$7,"Other Services"))),"Other Services"))</f>
        <v/>
      </c>
    </row>
    <row r="1605" customFormat="false" ht="15" hidden="false" customHeight="false" outlineLevel="0" collapsed="false">
      <c r="F1605" s="41" t="str">
        <f aca="false">IF(E1605="","",IFERROR(VLOOKUP(E1605,Assumptions!$G$5:$H$16,2,0),"Other"))</f>
        <v/>
      </c>
      <c r="J1605" s="41" t="str">
        <f aca="false">IF(G1605="","",IFERROR(IF(ISNUMBER(SEARCH(Assumptions!$C$5,G1605)),Assumptions!$D$5,IF(ISNUMBER(SEARCH(Assumptions!$C$6,G1605)),Assumptions!$D$6,IF(ISNUMBER(SEARCH(Assumptions!$C$7,G1605)),Assumptions!$D$7,"Other Services"))),"Other Services"))</f>
        <v/>
      </c>
    </row>
    <row r="1606" customFormat="false" ht="15" hidden="false" customHeight="false" outlineLevel="0" collapsed="false">
      <c r="F1606" s="41" t="str">
        <f aca="false">IF(E1606="","",IFERROR(VLOOKUP(E1606,Assumptions!$G$5:$H$16,2,0),"Other"))</f>
        <v/>
      </c>
      <c r="J1606" s="41" t="str">
        <f aca="false">IF(G1606="","",IFERROR(IF(ISNUMBER(SEARCH(Assumptions!$C$5,G1606)),Assumptions!$D$5,IF(ISNUMBER(SEARCH(Assumptions!$C$6,G1606)),Assumptions!$D$6,IF(ISNUMBER(SEARCH(Assumptions!$C$7,G1606)),Assumptions!$D$7,"Other Services"))),"Other Services"))</f>
        <v/>
      </c>
    </row>
    <row r="1607" customFormat="false" ht="15" hidden="false" customHeight="false" outlineLevel="0" collapsed="false">
      <c r="F1607" s="41" t="str">
        <f aca="false">IF(E1607="","",IFERROR(VLOOKUP(E1607,Assumptions!$G$5:$H$16,2,0),"Other"))</f>
        <v/>
      </c>
      <c r="J1607" s="41" t="str">
        <f aca="false">IF(G1607="","",IFERROR(IF(ISNUMBER(SEARCH(Assumptions!$C$5,G1607)),Assumptions!$D$5,IF(ISNUMBER(SEARCH(Assumptions!$C$6,G1607)),Assumptions!$D$6,IF(ISNUMBER(SEARCH(Assumptions!$C$7,G1607)),Assumptions!$D$7,"Other Services"))),"Other Services"))</f>
        <v/>
      </c>
    </row>
    <row r="1608" customFormat="false" ht="15" hidden="false" customHeight="false" outlineLevel="0" collapsed="false">
      <c r="F1608" s="41" t="str">
        <f aca="false">IF(E1608="","",IFERROR(VLOOKUP(E1608,Assumptions!$G$5:$H$16,2,0),"Other"))</f>
        <v/>
      </c>
      <c r="J1608" s="41" t="str">
        <f aca="false">IF(G1608="","",IFERROR(IF(ISNUMBER(SEARCH(Assumptions!$C$5,G1608)),Assumptions!$D$5,IF(ISNUMBER(SEARCH(Assumptions!$C$6,G1608)),Assumptions!$D$6,IF(ISNUMBER(SEARCH(Assumptions!$C$7,G1608)),Assumptions!$D$7,"Other Services"))),"Other Services"))</f>
        <v/>
      </c>
    </row>
    <row r="1609" customFormat="false" ht="15" hidden="false" customHeight="false" outlineLevel="0" collapsed="false">
      <c r="F1609" s="41" t="str">
        <f aca="false">IF(E1609="","",IFERROR(VLOOKUP(E1609,Assumptions!$G$5:$H$16,2,0),"Other"))</f>
        <v/>
      </c>
      <c r="J1609" s="41" t="str">
        <f aca="false">IF(G1609="","",IFERROR(IF(ISNUMBER(SEARCH(Assumptions!$C$5,G1609)),Assumptions!$D$5,IF(ISNUMBER(SEARCH(Assumptions!$C$6,G1609)),Assumptions!$D$6,IF(ISNUMBER(SEARCH(Assumptions!$C$7,G1609)),Assumptions!$D$7,"Other Services"))),"Other Services"))</f>
        <v/>
      </c>
    </row>
    <row r="1610" customFormat="false" ht="15" hidden="false" customHeight="false" outlineLevel="0" collapsed="false">
      <c r="F1610" s="41" t="str">
        <f aca="false">IF(E1610="","",IFERROR(VLOOKUP(E1610,Assumptions!$G$5:$H$16,2,0),"Other"))</f>
        <v/>
      </c>
      <c r="J1610" s="41" t="str">
        <f aca="false">IF(G1610="","",IFERROR(IF(ISNUMBER(SEARCH(Assumptions!$C$5,G1610)),Assumptions!$D$5,IF(ISNUMBER(SEARCH(Assumptions!$C$6,G1610)),Assumptions!$D$6,IF(ISNUMBER(SEARCH(Assumptions!$C$7,G1610)),Assumptions!$D$7,"Other Services"))),"Other Services"))</f>
        <v/>
      </c>
    </row>
    <row r="1611" customFormat="false" ht="15" hidden="false" customHeight="false" outlineLevel="0" collapsed="false">
      <c r="F1611" s="41" t="str">
        <f aca="false">IF(E1611="","",IFERROR(VLOOKUP(E1611,Assumptions!$G$5:$H$16,2,0),"Other"))</f>
        <v/>
      </c>
      <c r="J1611" s="41" t="str">
        <f aca="false">IF(G1611="","",IFERROR(IF(ISNUMBER(SEARCH(Assumptions!$C$5,G1611)),Assumptions!$D$5,IF(ISNUMBER(SEARCH(Assumptions!$C$6,G1611)),Assumptions!$D$6,IF(ISNUMBER(SEARCH(Assumptions!$C$7,G1611)),Assumptions!$D$7,"Other Services"))),"Other Services"))</f>
        <v/>
      </c>
    </row>
    <row r="1612" customFormat="false" ht="15" hidden="false" customHeight="false" outlineLevel="0" collapsed="false">
      <c r="F1612" s="41" t="str">
        <f aca="false">IF(E1612="","",IFERROR(VLOOKUP(E1612,Assumptions!$G$5:$H$16,2,0),"Other"))</f>
        <v/>
      </c>
      <c r="J1612" s="41" t="str">
        <f aca="false">IF(G1612="","",IFERROR(IF(ISNUMBER(SEARCH(Assumptions!$C$5,G1612)),Assumptions!$D$5,IF(ISNUMBER(SEARCH(Assumptions!$C$6,G1612)),Assumptions!$D$6,IF(ISNUMBER(SEARCH(Assumptions!$C$7,G1612)),Assumptions!$D$7,"Other Services"))),"Other Services"))</f>
        <v/>
      </c>
    </row>
    <row r="1613" customFormat="false" ht="15" hidden="false" customHeight="false" outlineLevel="0" collapsed="false">
      <c r="F1613" s="41" t="str">
        <f aca="false">IF(E1613="","",IFERROR(VLOOKUP(E1613,Assumptions!$G$5:$H$16,2,0),"Other"))</f>
        <v/>
      </c>
      <c r="J1613" s="41" t="str">
        <f aca="false">IF(G1613="","",IFERROR(IF(ISNUMBER(SEARCH(Assumptions!$C$5,G1613)),Assumptions!$D$5,IF(ISNUMBER(SEARCH(Assumptions!$C$6,G1613)),Assumptions!$D$6,IF(ISNUMBER(SEARCH(Assumptions!$C$7,G1613)),Assumptions!$D$7,"Other Services"))),"Other Services"))</f>
        <v/>
      </c>
    </row>
    <row r="1614" customFormat="false" ht="15" hidden="false" customHeight="false" outlineLevel="0" collapsed="false">
      <c r="F1614" s="41" t="str">
        <f aca="false">IF(E1614="","",IFERROR(VLOOKUP(E1614,Assumptions!$G$5:$H$16,2,0),"Other"))</f>
        <v/>
      </c>
      <c r="J1614" s="41" t="str">
        <f aca="false">IF(G1614="","",IFERROR(IF(ISNUMBER(SEARCH(Assumptions!$C$5,G1614)),Assumptions!$D$5,IF(ISNUMBER(SEARCH(Assumptions!$C$6,G1614)),Assumptions!$D$6,IF(ISNUMBER(SEARCH(Assumptions!$C$7,G1614)),Assumptions!$D$7,"Other Services"))),"Other Services"))</f>
        <v/>
      </c>
    </row>
    <row r="1615" customFormat="false" ht="15" hidden="false" customHeight="false" outlineLevel="0" collapsed="false">
      <c r="F1615" s="41" t="str">
        <f aca="false">IF(E1615="","",IFERROR(VLOOKUP(E1615,Assumptions!$G$5:$H$16,2,0),"Other"))</f>
        <v/>
      </c>
      <c r="J1615" s="41" t="str">
        <f aca="false">IF(G1615="","",IFERROR(IF(ISNUMBER(SEARCH(Assumptions!$C$5,G1615)),Assumptions!$D$5,IF(ISNUMBER(SEARCH(Assumptions!$C$6,G1615)),Assumptions!$D$6,IF(ISNUMBER(SEARCH(Assumptions!$C$7,G1615)),Assumptions!$D$7,"Other Services"))),"Other Services"))</f>
        <v/>
      </c>
    </row>
    <row r="1616" customFormat="false" ht="15" hidden="false" customHeight="false" outlineLevel="0" collapsed="false">
      <c r="F1616" s="41" t="str">
        <f aca="false">IF(E1616="","",IFERROR(VLOOKUP(E1616,Assumptions!$G$5:$H$16,2,0),"Other"))</f>
        <v/>
      </c>
      <c r="J1616" s="41" t="str">
        <f aca="false">IF(G1616="","",IFERROR(IF(ISNUMBER(SEARCH(Assumptions!$C$5,G1616)),Assumptions!$D$5,IF(ISNUMBER(SEARCH(Assumptions!$C$6,G1616)),Assumptions!$D$6,IF(ISNUMBER(SEARCH(Assumptions!$C$7,G1616)),Assumptions!$D$7,"Other Services"))),"Other Services"))</f>
        <v/>
      </c>
    </row>
    <row r="1617" customFormat="false" ht="15" hidden="false" customHeight="false" outlineLevel="0" collapsed="false">
      <c r="F1617" s="41" t="str">
        <f aca="false">IF(E1617="","",IFERROR(VLOOKUP(E1617,Assumptions!$G$5:$H$16,2,0),"Other"))</f>
        <v/>
      </c>
      <c r="J1617" s="41" t="str">
        <f aca="false">IF(G1617="","",IFERROR(IF(ISNUMBER(SEARCH(Assumptions!$C$5,G1617)),Assumptions!$D$5,IF(ISNUMBER(SEARCH(Assumptions!$C$6,G1617)),Assumptions!$D$6,IF(ISNUMBER(SEARCH(Assumptions!$C$7,G1617)),Assumptions!$D$7,"Other Services"))),"Other Services"))</f>
        <v/>
      </c>
    </row>
    <row r="1618" customFormat="false" ht="15" hidden="false" customHeight="false" outlineLevel="0" collapsed="false">
      <c r="F1618" s="41" t="str">
        <f aca="false">IF(E1618="","",IFERROR(VLOOKUP(E1618,Assumptions!$G$5:$H$16,2,0),"Other"))</f>
        <v/>
      </c>
      <c r="J1618" s="41" t="str">
        <f aca="false">IF(G1618="","",IFERROR(IF(ISNUMBER(SEARCH(Assumptions!$C$5,G1618)),Assumptions!$D$5,IF(ISNUMBER(SEARCH(Assumptions!$C$6,G1618)),Assumptions!$D$6,IF(ISNUMBER(SEARCH(Assumptions!$C$7,G1618)),Assumptions!$D$7,"Other Services"))),"Other Services"))</f>
        <v/>
      </c>
    </row>
    <row r="1619" customFormat="false" ht="15" hidden="false" customHeight="false" outlineLevel="0" collapsed="false">
      <c r="F1619" s="41" t="str">
        <f aca="false">IF(E1619="","",IFERROR(VLOOKUP(E1619,Assumptions!$G$5:$H$16,2,0),"Other"))</f>
        <v/>
      </c>
      <c r="J1619" s="41" t="str">
        <f aca="false">IF(G1619="","",IFERROR(IF(ISNUMBER(SEARCH(Assumptions!$C$5,G1619)),Assumptions!$D$5,IF(ISNUMBER(SEARCH(Assumptions!$C$6,G1619)),Assumptions!$D$6,IF(ISNUMBER(SEARCH(Assumptions!$C$7,G1619)),Assumptions!$D$7,"Other Services"))),"Other Services"))</f>
        <v/>
      </c>
    </row>
    <row r="1620" customFormat="false" ht="15" hidden="false" customHeight="false" outlineLevel="0" collapsed="false">
      <c r="F1620" s="41" t="str">
        <f aca="false">IF(E1620="","",IFERROR(VLOOKUP(E1620,Assumptions!$G$5:$H$16,2,0),"Other"))</f>
        <v/>
      </c>
      <c r="J1620" s="41" t="str">
        <f aca="false">IF(G1620="","",IFERROR(IF(ISNUMBER(SEARCH(Assumptions!$C$5,G1620)),Assumptions!$D$5,IF(ISNUMBER(SEARCH(Assumptions!$C$6,G1620)),Assumptions!$D$6,IF(ISNUMBER(SEARCH(Assumptions!$C$7,G1620)),Assumptions!$D$7,"Other Services"))),"Other Services"))</f>
        <v/>
      </c>
    </row>
    <row r="1621" customFormat="false" ht="15" hidden="false" customHeight="false" outlineLevel="0" collapsed="false">
      <c r="F1621" s="41" t="str">
        <f aca="false">IF(E1621="","",IFERROR(VLOOKUP(E1621,Assumptions!$G$5:$H$16,2,0),"Other"))</f>
        <v/>
      </c>
      <c r="J1621" s="41" t="str">
        <f aca="false">IF(G1621="","",IFERROR(IF(ISNUMBER(SEARCH(Assumptions!$C$5,G1621)),Assumptions!$D$5,IF(ISNUMBER(SEARCH(Assumptions!$C$6,G1621)),Assumptions!$D$6,IF(ISNUMBER(SEARCH(Assumptions!$C$7,G1621)),Assumptions!$D$7,"Other Services"))),"Other Services"))</f>
        <v/>
      </c>
    </row>
    <row r="1622" customFormat="false" ht="15" hidden="false" customHeight="false" outlineLevel="0" collapsed="false">
      <c r="F1622" s="41" t="str">
        <f aca="false">IF(E1622="","",IFERROR(VLOOKUP(E1622,Assumptions!$G$5:$H$16,2,0),"Other"))</f>
        <v/>
      </c>
      <c r="J1622" s="41" t="str">
        <f aca="false">IF(G1622="","",IFERROR(IF(ISNUMBER(SEARCH(Assumptions!$C$5,G1622)),Assumptions!$D$5,IF(ISNUMBER(SEARCH(Assumptions!$C$6,G1622)),Assumptions!$D$6,IF(ISNUMBER(SEARCH(Assumptions!$C$7,G1622)),Assumptions!$D$7,"Other Services"))),"Other Services"))</f>
        <v/>
      </c>
    </row>
    <row r="1623" customFormat="false" ht="15" hidden="false" customHeight="false" outlineLevel="0" collapsed="false">
      <c r="F1623" s="41" t="str">
        <f aca="false">IF(E1623="","",IFERROR(VLOOKUP(E1623,Assumptions!$G$5:$H$16,2,0),"Other"))</f>
        <v/>
      </c>
      <c r="J1623" s="41" t="str">
        <f aca="false">IF(G1623="","",IFERROR(IF(ISNUMBER(SEARCH(Assumptions!$C$5,G1623)),Assumptions!$D$5,IF(ISNUMBER(SEARCH(Assumptions!$C$6,G1623)),Assumptions!$D$6,IF(ISNUMBER(SEARCH(Assumptions!$C$7,G1623)),Assumptions!$D$7,"Other Services"))),"Other Services"))</f>
        <v/>
      </c>
    </row>
    <row r="1624" customFormat="false" ht="15" hidden="false" customHeight="false" outlineLevel="0" collapsed="false">
      <c r="F1624" s="41" t="str">
        <f aca="false">IF(E1624="","",IFERROR(VLOOKUP(E1624,Assumptions!$G$5:$H$16,2,0),"Other"))</f>
        <v/>
      </c>
      <c r="J1624" s="41" t="str">
        <f aca="false">IF(G1624="","",IFERROR(IF(ISNUMBER(SEARCH(Assumptions!$C$5,G1624)),Assumptions!$D$5,IF(ISNUMBER(SEARCH(Assumptions!$C$6,G1624)),Assumptions!$D$6,IF(ISNUMBER(SEARCH(Assumptions!$C$7,G1624)),Assumptions!$D$7,"Other Services"))),"Other Services"))</f>
        <v/>
      </c>
    </row>
    <row r="1625" customFormat="false" ht="15" hidden="false" customHeight="false" outlineLevel="0" collapsed="false">
      <c r="F1625" s="41" t="str">
        <f aca="false">IF(E1625="","",IFERROR(VLOOKUP(E1625,Assumptions!$G$5:$H$16,2,0),"Other"))</f>
        <v/>
      </c>
      <c r="J1625" s="41" t="str">
        <f aca="false">IF(G1625="","",IFERROR(IF(ISNUMBER(SEARCH(Assumptions!$C$5,G1625)),Assumptions!$D$5,IF(ISNUMBER(SEARCH(Assumptions!$C$6,G1625)),Assumptions!$D$6,IF(ISNUMBER(SEARCH(Assumptions!$C$7,G1625)),Assumptions!$D$7,"Other Services"))),"Other Services"))</f>
        <v/>
      </c>
    </row>
    <row r="1626" customFormat="false" ht="15" hidden="false" customHeight="false" outlineLevel="0" collapsed="false">
      <c r="F1626" s="41" t="str">
        <f aca="false">IF(E1626="","",IFERROR(VLOOKUP(E1626,Assumptions!$G$5:$H$16,2,0),"Other"))</f>
        <v/>
      </c>
      <c r="J1626" s="41" t="str">
        <f aca="false">IF(G1626="","",IFERROR(IF(ISNUMBER(SEARCH(Assumptions!$C$5,G1626)),Assumptions!$D$5,IF(ISNUMBER(SEARCH(Assumptions!$C$6,G1626)),Assumptions!$D$6,IF(ISNUMBER(SEARCH(Assumptions!$C$7,G1626)),Assumptions!$D$7,"Other Services"))),"Other Services"))</f>
        <v/>
      </c>
    </row>
    <row r="1627" customFormat="false" ht="15" hidden="false" customHeight="false" outlineLevel="0" collapsed="false">
      <c r="F1627" s="41" t="str">
        <f aca="false">IF(E1627="","",IFERROR(VLOOKUP(E1627,Assumptions!$G$5:$H$16,2,0),"Other"))</f>
        <v/>
      </c>
      <c r="J1627" s="41" t="str">
        <f aca="false">IF(G1627="","",IFERROR(IF(ISNUMBER(SEARCH(Assumptions!$C$5,G1627)),Assumptions!$D$5,IF(ISNUMBER(SEARCH(Assumptions!$C$6,G1627)),Assumptions!$D$6,IF(ISNUMBER(SEARCH(Assumptions!$C$7,G1627)),Assumptions!$D$7,"Other Services"))),"Other Services"))</f>
        <v/>
      </c>
    </row>
    <row r="1628" customFormat="false" ht="15" hidden="false" customHeight="false" outlineLevel="0" collapsed="false">
      <c r="F1628" s="41" t="str">
        <f aca="false">IF(E1628="","",IFERROR(VLOOKUP(E1628,Assumptions!$G$5:$H$16,2,0),"Other"))</f>
        <v/>
      </c>
      <c r="J1628" s="41" t="str">
        <f aca="false">IF(G1628="","",IFERROR(IF(ISNUMBER(SEARCH(Assumptions!$C$5,G1628)),Assumptions!$D$5,IF(ISNUMBER(SEARCH(Assumptions!$C$6,G1628)),Assumptions!$D$6,IF(ISNUMBER(SEARCH(Assumptions!$C$7,G1628)),Assumptions!$D$7,"Other Services"))),"Other Services"))</f>
        <v/>
      </c>
    </row>
    <row r="1629" customFormat="false" ht="15" hidden="false" customHeight="false" outlineLevel="0" collapsed="false">
      <c r="F1629" s="41" t="str">
        <f aca="false">IF(E1629="","",IFERROR(VLOOKUP(E1629,Assumptions!$G$5:$H$16,2,0),"Other"))</f>
        <v/>
      </c>
      <c r="J1629" s="41" t="str">
        <f aca="false">IF(G1629="","",IFERROR(IF(ISNUMBER(SEARCH(Assumptions!$C$5,G1629)),Assumptions!$D$5,IF(ISNUMBER(SEARCH(Assumptions!$C$6,G1629)),Assumptions!$D$6,IF(ISNUMBER(SEARCH(Assumptions!$C$7,G1629)),Assumptions!$D$7,"Other Services"))),"Other Services"))</f>
        <v/>
      </c>
    </row>
    <row r="1630" customFormat="false" ht="15" hidden="false" customHeight="false" outlineLevel="0" collapsed="false">
      <c r="F1630" s="41" t="str">
        <f aca="false">IF(E1630="","",IFERROR(VLOOKUP(E1630,Assumptions!$G$5:$H$16,2,0),"Other"))</f>
        <v/>
      </c>
      <c r="J1630" s="41" t="str">
        <f aca="false">IF(G1630="","",IFERROR(IF(ISNUMBER(SEARCH(Assumptions!$C$5,G1630)),Assumptions!$D$5,IF(ISNUMBER(SEARCH(Assumptions!$C$6,G1630)),Assumptions!$D$6,IF(ISNUMBER(SEARCH(Assumptions!$C$7,G1630)),Assumptions!$D$7,"Other Services"))),"Other Services"))</f>
        <v/>
      </c>
    </row>
    <row r="1631" customFormat="false" ht="15" hidden="false" customHeight="false" outlineLevel="0" collapsed="false">
      <c r="F1631" s="41" t="str">
        <f aca="false">IF(E1631="","",IFERROR(VLOOKUP(E1631,Assumptions!$G$5:$H$16,2,0),"Other"))</f>
        <v/>
      </c>
      <c r="J1631" s="41" t="str">
        <f aca="false">IF(G1631="","",IFERROR(IF(ISNUMBER(SEARCH(Assumptions!$C$5,G1631)),Assumptions!$D$5,IF(ISNUMBER(SEARCH(Assumptions!$C$6,G1631)),Assumptions!$D$6,IF(ISNUMBER(SEARCH(Assumptions!$C$7,G1631)),Assumptions!$D$7,"Other Services"))),"Other Services"))</f>
        <v/>
      </c>
    </row>
    <row r="1632" customFormat="false" ht="15" hidden="false" customHeight="false" outlineLevel="0" collapsed="false">
      <c r="F1632" s="41" t="str">
        <f aca="false">IF(E1632="","",IFERROR(VLOOKUP(E1632,Assumptions!$G$5:$H$16,2,0),"Other"))</f>
        <v/>
      </c>
      <c r="J1632" s="41" t="str">
        <f aca="false">IF(G1632="","",IFERROR(IF(ISNUMBER(SEARCH(Assumptions!$C$5,G1632)),Assumptions!$D$5,IF(ISNUMBER(SEARCH(Assumptions!$C$6,G1632)),Assumptions!$D$6,IF(ISNUMBER(SEARCH(Assumptions!$C$7,G1632)),Assumptions!$D$7,"Other Services"))),"Other Services"))</f>
        <v/>
      </c>
    </row>
    <row r="1633" customFormat="false" ht="15" hidden="false" customHeight="false" outlineLevel="0" collapsed="false">
      <c r="F1633" s="41" t="str">
        <f aca="false">IF(E1633="","",IFERROR(VLOOKUP(E1633,Assumptions!$G$5:$H$16,2,0),"Other"))</f>
        <v/>
      </c>
      <c r="J1633" s="41" t="str">
        <f aca="false">IF(G1633="","",IFERROR(IF(ISNUMBER(SEARCH(Assumptions!$C$5,G1633)),Assumptions!$D$5,IF(ISNUMBER(SEARCH(Assumptions!$C$6,G1633)),Assumptions!$D$6,IF(ISNUMBER(SEARCH(Assumptions!$C$7,G1633)),Assumptions!$D$7,"Other Services"))),"Other Services"))</f>
        <v/>
      </c>
    </row>
    <row r="1634" customFormat="false" ht="15" hidden="false" customHeight="false" outlineLevel="0" collapsed="false">
      <c r="F1634" s="41" t="str">
        <f aca="false">IF(E1634="","",IFERROR(VLOOKUP(E1634,Assumptions!$G$5:$H$16,2,0),"Other"))</f>
        <v/>
      </c>
      <c r="J1634" s="41" t="str">
        <f aca="false">IF(G1634="","",IFERROR(IF(ISNUMBER(SEARCH(Assumptions!$C$5,G1634)),Assumptions!$D$5,IF(ISNUMBER(SEARCH(Assumptions!$C$6,G1634)),Assumptions!$D$6,IF(ISNUMBER(SEARCH(Assumptions!$C$7,G1634)),Assumptions!$D$7,"Other Services"))),"Other Services"))</f>
        <v/>
      </c>
    </row>
    <row r="1635" customFormat="false" ht="15" hidden="false" customHeight="false" outlineLevel="0" collapsed="false">
      <c r="F1635" s="41" t="str">
        <f aca="false">IF(E1635="","",IFERROR(VLOOKUP(E1635,Assumptions!$G$5:$H$16,2,0),"Other"))</f>
        <v/>
      </c>
      <c r="J1635" s="41" t="str">
        <f aca="false">IF(G1635="","",IFERROR(IF(ISNUMBER(SEARCH(Assumptions!$C$5,G1635)),Assumptions!$D$5,IF(ISNUMBER(SEARCH(Assumptions!$C$6,G1635)),Assumptions!$D$6,IF(ISNUMBER(SEARCH(Assumptions!$C$7,G1635)),Assumptions!$D$7,"Other Services"))),"Other Services"))</f>
        <v/>
      </c>
    </row>
    <row r="1636" customFormat="false" ht="15" hidden="false" customHeight="false" outlineLevel="0" collapsed="false">
      <c r="F1636" s="41" t="str">
        <f aca="false">IF(E1636="","",IFERROR(VLOOKUP(E1636,Assumptions!$G$5:$H$16,2,0),"Other"))</f>
        <v/>
      </c>
      <c r="J1636" s="41" t="str">
        <f aca="false">IF(G1636="","",IFERROR(IF(ISNUMBER(SEARCH(Assumptions!$C$5,G1636)),Assumptions!$D$5,IF(ISNUMBER(SEARCH(Assumptions!$C$6,G1636)),Assumptions!$D$6,IF(ISNUMBER(SEARCH(Assumptions!$C$7,G1636)),Assumptions!$D$7,"Other Services"))),"Other Services"))</f>
        <v/>
      </c>
    </row>
    <row r="1637" customFormat="false" ht="15" hidden="false" customHeight="false" outlineLevel="0" collapsed="false">
      <c r="F1637" s="41" t="str">
        <f aca="false">IF(E1637="","",IFERROR(VLOOKUP(E1637,Assumptions!$G$5:$H$16,2,0),"Other"))</f>
        <v/>
      </c>
      <c r="J1637" s="41" t="str">
        <f aca="false">IF(G1637="","",IFERROR(IF(ISNUMBER(SEARCH(Assumptions!$C$5,G1637)),Assumptions!$D$5,IF(ISNUMBER(SEARCH(Assumptions!$C$6,G1637)),Assumptions!$D$6,IF(ISNUMBER(SEARCH(Assumptions!$C$7,G1637)),Assumptions!$D$7,"Other Services"))),"Other Services"))</f>
        <v/>
      </c>
    </row>
    <row r="1638" customFormat="false" ht="15" hidden="false" customHeight="false" outlineLevel="0" collapsed="false">
      <c r="F1638" s="41" t="str">
        <f aca="false">IF(E1638="","",IFERROR(VLOOKUP(E1638,Assumptions!$G$5:$H$16,2,0),"Other"))</f>
        <v/>
      </c>
      <c r="J1638" s="41" t="str">
        <f aca="false">IF(G1638="","",IFERROR(IF(ISNUMBER(SEARCH(Assumptions!$C$5,G1638)),Assumptions!$D$5,IF(ISNUMBER(SEARCH(Assumptions!$C$6,G1638)),Assumptions!$D$6,IF(ISNUMBER(SEARCH(Assumptions!$C$7,G1638)),Assumptions!$D$7,"Other Services"))),"Other Services"))</f>
        <v/>
      </c>
    </row>
    <row r="1639" customFormat="false" ht="15" hidden="false" customHeight="false" outlineLevel="0" collapsed="false">
      <c r="F1639" s="41" t="str">
        <f aca="false">IF(E1639="","",IFERROR(VLOOKUP(E1639,Assumptions!$G$5:$H$16,2,0),"Other"))</f>
        <v/>
      </c>
      <c r="J1639" s="41" t="str">
        <f aca="false">IF(G1639="","",IFERROR(IF(ISNUMBER(SEARCH(Assumptions!$C$5,G1639)),Assumptions!$D$5,IF(ISNUMBER(SEARCH(Assumptions!$C$6,G1639)),Assumptions!$D$6,IF(ISNUMBER(SEARCH(Assumptions!$C$7,G1639)),Assumptions!$D$7,"Other Services"))),"Other Services"))</f>
        <v/>
      </c>
    </row>
    <row r="1640" customFormat="false" ht="15" hidden="false" customHeight="false" outlineLevel="0" collapsed="false">
      <c r="F1640" s="41" t="str">
        <f aca="false">IF(E1640="","",IFERROR(VLOOKUP(E1640,Assumptions!$G$5:$H$16,2,0),"Other"))</f>
        <v/>
      </c>
      <c r="J1640" s="41" t="str">
        <f aca="false">IF(G1640="","",IFERROR(IF(ISNUMBER(SEARCH(Assumptions!$C$5,G1640)),Assumptions!$D$5,IF(ISNUMBER(SEARCH(Assumptions!$C$6,G1640)),Assumptions!$D$6,IF(ISNUMBER(SEARCH(Assumptions!$C$7,G1640)),Assumptions!$D$7,"Other Services"))),"Other Services"))</f>
        <v/>
      </c>
    </row>
    <row r="1641" customFormat="false" ht="15" hidden="false" customHeight="false" outlineLevel="0" collapsed="false">
      <c r="F1641" s="41" t="str">
        <f aca="false">IF(E1641="","",IFERROR(VLOOKUP(E1641,Assumptions!$G$5:$H$16,2,0),"Other"))</f>
        <v/>
      </c>
      <c r="J1641" s="41" t="str">
        <f aca="false">IF(G1641="","",IFERROR(IF(ISNUMBER(SEARCH(Assumptions!$C$5,G1641)),Assumptions!$D$5,IF(ISNUMBER(SEARCH(Assumptions!$C$6,G1641)),Assumptions!$D$6,IF(ISNUMBER(SEARCH(Assumptions!$C$7,G1641)),Assumptions!$D$7,"Other Services"))),"Other Services"))</f>
        <v/>
      </c>
    </row>
    <row r="1642" customFormat="false" ht="15" hidden="false" customHeight="false" outlineLevel="0" collapsed="false">
      <c r="F1642" s="41" t="str">
        <f aca="false">IF(E1642="","",IFERROR(VLOOKUP(E1642,Assumptions!$G$5:$H$16,2,0),"Other"))</f>
        <v/>
      </c>
      <c r="J1642" s="41" t="str">
        <f aca="false">IF(G1642="","",IFERROR(IF(ISNUMBER(SEARCH(Assumptions!$C$5,G1642)),Assumptions!$D$5,IF(ISNUMBER(SEARCH(Assumptions!$C$6,G1642)),Assumptions!$D$6,IF(ISNUMBER(SEARCH(Assumptions!$C$7,G1642)),Assumptions!$D$7,"Other Services"))),"Other Services"))</f>
        <v/>
      </c>
    </row>
    <row r="1643" customFormat="false" ht="15" hidden="false" customHeight="false" outlineLevel="0" collapsed="false">
      <c r="F1643" s="41" t="str">
        <f aca="false">IF(E1643="","",IFERROR(VLOOKUP(E1643,Assumptions!$G$5:$H$16,2,0),"Other"))</f>
        <v/>
      </c>
      <c r="J1643" s="41" t="str">
        <f aca="false">IF(G1643="","",IFERROR(IF(ISNUMBER(SEARCH(Assumptions!$C$5,G1643)),Assumptions!$D$5,IF(ISNUMBER(SEARCH(Assumptions!$C$6,G1643)),Assumptions!$D$6,IF(ISNUMBER(SEARCH(Assumptions!$C$7,G1643)),Assumptions!$D$7,"Other Services"))),"Other Services"))</f>
        <v/>
      </c>
    </row>
    <row r="1644" customFormat="false" ht="15" hidden="false" customHeight="false" outlineLevel="0" collapsed="false">
      <c r="F1644" s="41" t="str">
        <f aca="false">IF(E1644="","",IFERROR(VLOOKUP(E1644,Assumptions!$G$5:$H$16,2,0),"Other"))</f>
        <v/>
      </c>
      <c r="J1644" s="41" t="str">
        <f aca="false">IF(G1644="","",IFERROR(IF(ISNUMBER(SEARCH(Assumptions!$C$5,G1644)),Assumptions!$D$5,IF(ISNUMBER(SEARCH(Assumptions!$C$6,G1644)),Assumptions!$D$6,IF(ISNUMBER(SEARCH(Assumptions!$C$7,G1644)),Assumptions!$D$7,"Other Services"))),"Other Services"))</f>
        <v/>
      </c>
    </row>
    <row r="1645" customFormat="false" ht="15" hidden="false" customHeight="false" outlineLevel="0" collapsed="false">
      <c r="F1645" s="41" t="str">
        <f aca="false">IF(E1645="","",IFERROR(VLOOKUP(E1645,Assumptions!$G$5:$H$16,2,0),"Other"))</f>
        <v/>
      </c>
      <c r="J1645" s="41" t="str">
        <f aca="false">IF(G1645="","",IFERROR(IF(ISNUMBER(SEARCH(Assumptions!$C$5,G1645)),Assumptions!$D$5,IF(ISNUMBER(SEARCH(Assumptions!$C$6,G1645)),Assumptions!$D$6,IF(ISNUMBER(SEARCH(Assumptions!$C$7,G1645)),Assumptions!$D$7,"Other Services"))),"Other Services"))</f>
        <v/>
      </c>
    </row>
    <row r="1646" customFormat="false" ht="15" hidden="false" customHeight="false" outlineLevel="0" collapsed="false">
      <c r="F1646" s="41" t="str">
        <f aca="false">IF(E1646="","",IFERROR(VLOOKUP(E1646,Assumptions!$G$5:$H$16,2,0),"Other"))</f>
        <v/>
      </c>
      <c r="J1646" s="41" t="str">
        <f aca="false">IF(G1646="","",IFERROR(IF(ISNUMBER(SEARCH(Assumptions!$C$5,G1646)),Assumptions!$D$5,IF(ISNUMBER(SEARCH(Assumptions!$C$6,G1646)),Assumptions!$D$6,IF(ISNUMBER(SEARCH(Assumptions!$C$7,G1646)),Assumptions!$D$7,"Other Services"))),"Other Services"))</f>
        <v/>
      </c>
    </row>
    <row r="1647" customFormat="false" ht="15" hidden="false" customHeight="false" outlineLevel="0" collapsed="false">
      <c r="F1647" s="41" t="str">
        <f aca="false">IF(E1647="","",IFERROR(VLOOKUP(E1647,Assumptions!$G$5:$H$16,2,0),"Other"))</f>
        <v/>
      </c>
      <c r="J1647" s="41" t="str">
        <f aca="false">IF(G1647="","",IFERROR(IF(ISNUMBER(SEARCH(Assumptions!$C$5,G1647)),Assumptions!$D$5,IF(ISNUMBER(SEARCH(Assumptions!$C$6,G1647)),Assumptions!$D$6,IF(ISNUMBER(SEARCH(Assumptions!$C$7,G1647)),Assumptions!$D$7,"Other Services"))),"Other Services"))</f>
        <v/>
      </c>
    </row>
    <row r="1648" customFormat="false" ht="15" hidden="false" customHeight="false" outlineLevel="0" collapsed="false">
      <c r="F1648" s="41" t="str">
        <f aca="false">IF(E1648="","",IFERROR(VLOOKUP(E1648,Assumptions!$G$5:$H$16,2,0),"Other"))</f>
        <v/>
      </c>
      <c r="J1648" s="41" t="str">
        <f aca="false">IF(G1648="","",IFERROR(IF(ISNUMBER(SEARCH(Assumptions!$C$5,G1648)),Assumptions!$D$5,IF(ISNUMBER(SEARCH(Assumptions!$C$6,G1648)),Assumptions!$D$6,IF(ISNUMBER(SEARCH(Assumptions!$C$7,G1648)),Assumptions!$D$7,"Other Services"))),"Other Services"))</f>
        <v/>
      </c>
    </row>
    <row r="1649" customFormat="false" ht="15" hidden="false" customHeight="false" outlineLevel="0" collapsed="false">
      <c r="F1649" s="41" t="str">
        <f aca="false">IF(E1649="","",IFERROR(VLOOKUP(E1649,Assumptions!$G$5:$H$16,2,0),"Other"))</f>
        <v/>
      </c>
      <c r="J1649" s="41" t="str">
        <f aca="false">IF(G1649="","",IFERROR(IF(ISNUMBER(SEARCH(Assumptions!$C$5,G1649)),Assumptions!$D$5,IF(ISNUMBER(SEARCH(Assumptions!$C$6,G1649)),Assumptions!$D$6,IF(ISNUMBER(SEARCH(Assumptions!$C$7,G1649)),Assumptions!$D$7,"Other Services"))),"Other Services"))</f>
        <v/>
      </c>
    </row>
    <row r="1650" customFormat="false" ht="15" hidden="false" customHeight="false" outlineLevel="0" collapsed="false">
      <c r="F1650" s="41" t="str">
        <f aca="false">IF(E1650="","",IFERROR(VLOOKUP(E1650,Assumptions!$G$5:$H$16,2,0),"Other"))</f>
        <v/>
      </c>
      <c r="J1650" s="41" t="str">
        <f aca="false">IF(G1650="","",IFERROR(IF(ISNUMBER(SEARCH(Assumptions!$C$5,G1650)),Assumptions!$D$5,IF(ISNUMBER(SEARCH(Assumptions!$C$6,G1650)),Assumptions!$D$6,IF(ISNUMBER(SEARCH(Assumptions!$C$7,G1650)),Assumptions!$D$7,"Other Services"))),"Other Services"))</f>
        <v/>
      </c>
    </row>
    <row r="1651" customFormat="false" ht="15" hidden="false" customHeight="false" outlineLevel="0" collapsed="false">
      <c r="F1651" s="41" t="str">
        <f aca="false">IF(E1651="","",IFERROR(VLOOKUP(E1651,Assumptions!$G$5:$H$16,2,0),"Other"))</f>
        <v/>
      </c>
      <c r="J1651" s="41" t="str">
        <f aca="false">IF(G1651="","",IFERROR(IF(ISNUMBER(SEARCH(Assumptions!$C$5,G1651)),Assumptions!$D$5,IF(ISNUMBER(SEARCH(Assumptions!$C$6,G1651)),Assumptions!$D$6,IF(ISNUMBER(SEARCH(Assumptions!$C$7,G1651)),Assumptions!$D$7,"Other Services"))),"Other Services"))</f>
        <v/>
      </c>
    </row>
    <row r="1652" customFormat="false" ht="15" hidden="false" customHeight="false" outlineLevel="0" collapsed="false">
      <c r="F1652" s="41" t="str">
        <f aca="false">IF(E1652="","",IFERROR(VLOOKUP(E1652,Assumptions!$G$5:$H$16,2,0),"Other"))</f>
        <v/>
      </c>
      <c r="J1652" s="41" t="str">
        <f aca="false">IF(G1652="","",IFERROR(IF(ISNUMBER(SEARCH(Assumptions!$C$5,G1652)),Assumptions!$D$5,IF(ISNUMBER(SEARCH(Assumptions!$C$6,G1652)),Assumptions!$D$6,IF(ISNUMBER(SEARCH(Assumptions!$C$7,G1652)),Assumptions!$D$7,"Other Services"))),"Other Services"))</f>
        <v/>
      </c>
    </row>
    <row r="1653" customFormat="false" ht="15" hidden="false" customHeight="false" outlineLevel="0" collapsed="false">
      <c r="F1653" s="41" t="str">
        <f aca="false">IF(E1653="","",IFERROR(VLOOKUP(E1653,Assumptions!$G$5:$H$16,2,0),"Other"))</f>
        <v/>
      </c>
      <c r="J1653" s="41" t="str">
        <f aca="false">IF(G1653="","",IFERROR(IF(ISNUMBER(SEARCH(Assumptions!$C$5,G1653)),Assumptions!$D$5,IF(ISNUMBER(SEARCH(Assumptions!$C$6,G1653)),Assumptions!$D$6,IF(ISNUMBER(SEARCH(Assumptions!$C$7,G1653)),Assumptions!$D$7,"Other Services"))),"Other Services"))</f>
        <v/>
      </c>
    </row>
    <row r="1654" customFormat="false" ht="15" hidden="false" customHeight="false" outlineLevel="0" collapsed="false">
      <c r="F1654" s="41" t="str">
        <f aca="false">IF(E1654="","",IFERROR(VLOOKUP(E1654,Assumptions!$G$5:$H$16,2,0),"Other"))</f>
        <v/>
      </c>
      <c r="J1654" s="41" t="str">
        <f aca="false">IF(G1654="","",IFERROR(IF(ISNUMBER(SEARCH(Assumptions!$C$5,G1654)),Assumptions!$D$5,IF(ISNUMBER(SEARCH(Assumptions!$C$6,G1654)),Assumptions!$D$6,IF(ISNUMBER(SEARCH(Assumptions!$C$7,G1654)),Assumptions!$D$7,"Other Services"))),"Other Services"))</f>
        <v/>
      </c>
    </row>
    <row r="1655" customFormat="false" ht="15" hidden="false" customHeight="false" outlineLevel="0" collapsed="false">
      <c r="F1655" s="41" t="str">
        <f aca="false">IF(E1655="","",IFERROR(VLOOKUP(E1655,Assumptions!$G$5:$H$16,2,0),"Other"))</f>
        <v/>
      </c>
      <c r="J1655" s="41" t="str">
        <f aca="false">IF(G1655="","",IFERROR(IF(ISNUMBER(SEARCH(Assumptions!$C$5,G1655)),Assumptions!$D$5,IF(ISNUMBER(SEARCH(Assumptions!$C$6,G1655)),Assumptions!$D$6,IF(ISNUMBER(SEARCH(Assumptions!$C$7,G1655)),Assumptions!$D$7,"Other Services"))),"Other Services"))</f>
        <v/>
      </c>
    </row>
    <row r="1656" customFormat="false" ht="15" hidden="false" customHeight="false" outlineLevel="0" collapsed="false">
      <c r="F1656" s="41" t="str">
        <f aca="false">IF(E1656="","",IFERROR(VLOOKUP(E1656,Assumptions!$G$5:$H$16,2,0),"Other"))</f>
        <v/>
      </c>
      <c r="J1656" s="41" t="str">
        <f aca="false">IF(G1656="","",IFERROR(IF(ISNUMBER(SEARCH(Assumptions!$C$5,G1656)),Assumptions!$D$5,IF(ISNUMBER(SEARCH(Assumptions!$C$6,G1656)),Assumptions!$D$6,IF(ISNUMBER(SEARCH(Assumptions!$C$7,G1656)),Assumptions!$D$7,"Other Services"))),"Other Services"))</f>
        <v/>
      </c>
    </row>
    <row r="1657" customFormat="false" ht="15" hidden="false" customHeight="false" outlineLevel="0" collapsed="false">
      <c r="F1657" s="41" t="str">
        <f aca="false">IF(E1657="","",IFERROR(VLOOKUP(E1657,Assumptions!$G$5:$H$16,2,0),"Other"))</f>
        <v/>
      </c>
      <c r="J1657" s="41" t="str">
        <f aca="false">IF(G1657="","",IFERROR(IF(ISNUMBER(SEARCH(Assumptions!$C$5,G1657)),Assumptions!$D$5,IF(ISNUMBER(SEARCH(Assumptions!$C$6,G1657)),Assumptions!$D$6,IF(ISNUMBER(SEARCH(Assumptions!$C$7,G1657)),Assumptions!$D$7,"Other Services"))),"Other Services"))</f>
        <v/>
      </c>
    </row>
    <row r="1658" customFormat="false" ht="15" hidden="false" customHeight="false" outlineLevel="0" collapsed="false">
      <c r="F1658" s="41" t="str">
        <f aca="false">IF(E1658="","",IFERROR(VLOOKUP(E1658,Assumptions!$G$5:$H$16,2,0),"Other"))</f>
        <v/>
      </c>
      <c r="J1658" s="41" t="str">
        <f aca="false">IF(G1658="","",IFERROR(IF(ISNUMBER(SEARCH(Assumptions!$C$5,G1658)),Assumptions!$D$5,IF(ISNUMBER(SEARCH(Assumptions!$C$6,G1658)),Assumptions!$D$6,IF(ISNUMBER(SEARCH(Assumptions!$C$7,G1658)),Assumptions!$D$7,"Other Services"))),"Other Services"))</f>
        <v/>
      </c>
    </row>
    <row r="1659" customFormat="false" ht="15" hidden="false" customHeight="false" outlineLevel="0" collapsed="false">
      <c r="F1659" s="41" t="str">
        <f aca="false">IF(E1659="","",IFERROR(VLOOKUP(E1659,Assumptions!$G$5:$H$16,2,0),"Other"))</f>
        <v/>
      </c>
      <c r="J1659" s="41" t="str">
        <f aca="false">IF(G1659="","",IFERROR(IF(ISNUMBER(SEARCH(Assumptions!$C$5,G1659)),Assumptions!$D$5,IF(ISNUMBER(SEARCH(Assumptions!$C$6,G1659)),Assumptions!$D$6,IF(ISNUMBER(SEARCH(Assumptions!$C$7,G1659)),Assumptions!$D$7,"Other Services"))),"Other Services"))</f>
        <v/>
      </c>
    </row>
    <row r="1660" customFormat="false" ht="15" hidden="false" customHeight="false" outlineLevel="0" collapsed="false">
      <c r="F1660" s="41" t="str">
        <f aca="false">IF(E1660="","",IFERROR(VLOOKUP(E1660,Assumptions!$G$5:$H$16,2,0),"Other"))</f>
        <v/>
      </c>
      <c r="J1660" s="41" t="str">
        <f aca="false">IF(G1660="","",IFERROR(IF(ISNUMBER(SEARCH(Assumptions!$C$5,G1660)),Assumptions!$D$5,IF(ISNUMBER(SEARCH(Assumptions!$C$6,G1660)),Assumptions!$D$6,IF(ISNUMBER(SEARCH(Assumptions!$C$7,G1660)),Assumptions!$D$7,"Other Services"))),"Other Services"))</f>
        <v/>
      </c>
    </row>
    <row r="1661" customFormat="false" ht="15" hidden="false" customHeight="false" outlineLevel="0" collapsed="false">
      <c r="F1661" s="41" t="str">
        <f aca="false">IF(E1661="","",IFERROR(VLOOKUP(E1661,Assumptions!$G$5:$H$16,2,0),"Other"))</f>
        <v/>
      </c>
      <c r="J1661" s="41" t="str">
        <f aca="false">IF(G1661="","",IFERROR(IF(ISNUMBER(SEARCH(Assumptions!$C$5,G1661)),Assumptions!$D$5,IF(ISNUMBER(SEARCH(Assumptions!$C$6,G1661)),Assumptions!$D$6,IF(ISNUMBER(SEARCH(Assumptions!$C$7,G1661)),Assumptions!$D$7,"Other Services"))),"Other Services"))</f>
        <v/>
      </c>
    </row>
    <row r="1662" customFormat="false" ht="15" hidden="false" customHeight="false" outlineLevel="0" collapsed="false">
      <c r="F1662" s="41" t="str">
        <f aca="false">IF(E1662="","",IFERROR(VLOOKUP(E1662,Assumptions!$G$5:$H$16,2,0),"Other"))</f>
        <v/>
      </c>
      <c r="J1662" s="41" t="str">
        <f aca="false">IF(G1662="","",IFERROR(IF(ISNUMBER(SEARCH(Assumptions!$C$5,G1662)),Assumptions!$D$5,IF(ISNUMBER(SEARCH(Assumptions!$C$6,G1662)),Assumptions!$D$6,IF(ISNUMBER(SEARCH(Assumptions!$C$7,G1662)),Assumptions!$D$7,"Other Services"))),"Other Services"))</f>
        <v/>
      </c>
    </row>
    <row r="1663" customFormat="false" ht="15" hidden="false" customHeight="false" outlineLevel="0" collapsed="false">
      <c r="F1663" s="41" t="str">
        <f aca="false">IF(E1663="","",IFERROR(VLOOKUP(E1663,Assumptions!$G$5:$H$16,2,0),"Other"))</f>
        <v/>
      </c>
      <c r="J1663" s="41" t="str">
        <f aca="false">IF(G1663="","",IFERROR(IF(ISNUMBER(SEARCH(Assumptions!$C$5,G1663)),Assumptions!$D$5,IF(ISNUMBER(SEARCH(Assumptions!$C$6,G1663)),Assumptions!$D$6,IF(ISNUMBER(SEARCH(Assumptions!$C$7,G1663)),Assumptions!$D$7,"Other Services"))),"Other Services"))</f>
        <v/>
      </c>
    </row>
    <row r="1664" customFormat="false" ht="15" hidden="false" customHeight="false" outlineLevel="0" collapsed="false">
      <c r="F1664" s="41" t="str">
        <f aca="false">IF(E1664="","",IFERROR(VLOOKUP(E1664,Assumptions!$G$5:$H$16,2,0),"Other"))</f>
        <v/>
      </c>
      <c r="J1664" s="41" t="str">
        <f aca="false">IF(G1664="","",IFERROR(IF(ISNUMBER(SEARCH(Assumptions!$C$5,G1664)),Assumptions!$D$5,IF(ISNUMBER(SEARCH(Assumptions!$C$6,G1664)),Assumptions!$D$6,IF(ISNUMBER(SEARCH(Assumptions!$C$7,G1664)),Assumptions!$D$7,"Other Services"))),"Other Services"))</f>
        <v/>
      </c>
    </row>
    <row r="1665" customFormat="false" ht="15" hidden="false" customHeight="false" outlineLevel="0" collapsed="false">
      <c r="F1665" s="41" t="str">
        <f aca="false">IF(E1665="","",IFERROR(VLOOKUP(E1665,Assumptions!$G$5:$H$16,2,0),"Other"))</f>
        <v/>
      </c>
      <c r="J1665" s="41" t="str">
        <f aca="false">IF(G1665="","",IFERROR(IF(ISNUMBER(SEARCH(Assumptions!$C$5,G1665)),Assumptions!$D$5,IF(ISNUMBER(SEARCH(Assumptions!$C$6,G1665)),Assumptions!$D$6,IF(ISNUMBER(SEARCH(Assumptions!$C$7,G1665)),Assumptions!$D$7,"Other Services"))),"Other Services"))</f>
        <v/>
      </c>
    </row>
    <row r="1666" customFormat="false" ht="15" hidden="false" customHeight="false" outlineLevel="0" collapsed="false">
      <c r="F1666" s="41" t="str">
        <f aca="false">IF(E1666="","",IFERROR(VLOOKUP(E1666,Assumptions!$G$5:$H$16,2,0),"Other"))</f>
        <v/>
      </c>
      <c r="J1666" s="41" t="str">
        <f aca="false">IF(G1666="","",IFERROR(IF(ISNUMBER(SEARCH(Assumptions!$C$5,G1666)),Assumptions!$D$5,IF(ISNUMBER(SEARCH(Assumptions!$C$6,G1666)),Assumptions!$D$6,IF(ISNUMBER(SEARCH(Assumptions!$C$7,G1666)),Assumptions!$D$7,"Other Services"))),"Other Services"))</f>
        <v/>
      </c>
    </row>
    <row r="1667" customFormat="false" ht="15" hidden="false" customHeight="false" outlineLevel="0" collapsed="false">
      <c r="F1667" s="41" t="str">
        <f aca="false">IF(E1667="","",IFERROR(VLOOKUP(E1667,Assumptions!$G$5:$H$16,2,0),"Other"))</f>
        <v/>
      </c>
      <c r="J1667" s="41" t="str">
        <f aca="false">IF(G1667="","",IFERROR(IF(ISNUMBER(SEARCH(Assumptions!$C$5,G1667)),Assumptions!$D$5,IF(ISNUMBER(SEARCH(Assumptions!$C$6,G1667)),Assumptions!$D$6,IF(ISNUMBER(SEARCH(Assumptions!$C$7,G1667)),Assumptions!$D$7,"Other Services"))),"Other Services"))</f>
        <v/>
      </c>
    </row>
    <row r="1668" customFormat="false" ht="15" hidden="false" customHeight="false" outlineLevel="0" collapsed="false">
      <c r="F1668" s="41" t="str">
        <f aca="false">IF(E1668="","",IFERROR(VLOOKUP(E1668,Assumptions!$G$5:$H$16,2,0),"Other"))</f>
        <v/>
      </c>
      <c r="J1668" s="41" t="str">
        <f aca="false">IF(G1668="","",IFERROR(IF(ISNUMBER(SEARCH(Assumptions!$C$5,G1668)),Assumptions!$D$5,IF(ISNUMBER(SEARCH(Assumptions!$C$6,G1668)),Assumptions!$D$6,IF(ISNUMBER(SEARCH(Assumptions!$C$7,G1668)),Assumptions!$D$7,"Other Services"))),"Other Services"))</f>
        <v/>
      </c>
    </row>
    <row r="1669" customFormat="false" ht="15" hidden="false" customHeight="false" outlineLevel="0" collapsed="false">
      <c r="F1669" s="41" t="str">
        <f aca="false">IF(E1669="","",IFERROR(VLOOKUP(E1669,Assumptions!$G$5:$H$16,2,0),"Other"))</f>
        <v/>
      </c>
      <c r="J1669" s="41" t="str">
        <f aca="false">IF(G1669="","",IFERROR(IF(ISNUMBER(SEARCH(Assumptions!$C$5,G1669)),Assumptions!$D$5,IF(ISNUMBER(SEARCH(Assumptions!$C$6,G1669)),Assumptions!$D$6,IF(ISNUMBER(SEARCH(Assumptions!$C$7,G1669)),Assumptions!$D$7,"Other Services"))),"Other Services"))</f>
        <v/>
      </c>
    </row>
    <row r="1670" customFormat="false" ht="15" hidden="false" customHeight="false" outlineLevel="0" collapsed="false">
      <c r="F1670" s="41" t="str">
        <f aca="false">IF(E1670="","",IFERROR(VLOOKUP(E1670,Assumptions!$G$5:$H$16,2,0),"Other"))</f>
        <v/>
      </c>
      <c r="J1670" s="41" t="str">
        <f aca="false">IF(G1670="","",IFERROR(IF(ISNUMBER(SEARCH(Assumptions!$C$5,G1670)),Assumptions!$D$5,IF(ISNUMBER(SEARCH(Assumptions!$C$6,G1670)),Assumptions!$D$6,IF(ISNUMBER(SEARCH(Assumptions!$C$7,G1670)),Assumptions!$D$7,"Other Services"))),"Other Services"))</f>
        <v/>
      </c>
    </row>
    <row r="1671" customFormat="false" ht="15" hidden="false" customHeight="false" outlineLevel="0" collapsed="false">
      <c r="F1671" s="41" t="str">
        <f aca="false">IF(E1671="","",IFERROR(VLOOKUP(E1671,Assumptions!$G$5:$H$16,2,0),"Other"))</f>
        <v/>
      </c>
      <c r="J1671" s="41" t="str">
        <f aca="false">IF(G1671="","",IFERROR(IF(ISNUMBER(SEARCH(Assumptions!$C$5,G1671)),Assumptions!$D$5,IF(ISNUMBER(SEARCH(Assumptions!$C$6,G1671)),Assumptions!$D$6,IF(ISNUMBER(SEARCH(Assumptions!$C$7,G1671)),Assumptions!$D$7,"Other Services"))),"Other Services"))</f>
        <v/>
      </c>
    </row>
    <row r="1672" customFormat="false" ht="15" hidden="false" customHeight="false" outlineLevel="0" collapsed="false">
      <c r="F1672" s="41" t="str">
        <f aca="false">IF(E1672="","",IFERROR(VLOOKUP(E1672,Assumptions!$G$5:$H$16,2,0),"Other"))</f>
        <v/>
      </c>
      <c r="J1672" s="41" t="str">
        <f aca="false">IF(G1672="","",IFERROR(IF(ISNUMBER(SEARCH(Assumptions!$C$5,G1672)),Assumptions!$D$5,IF(ISNUMBER(SEARCH(Assumptions!$C$6,G1672)),Assumptions!$D$6,IF(ISNUMBER(SEARCH(Assumptions!$C$7,G1672)),Assumptions!$D$7,"Other Services"))),"Other Services"))</f>
        <v/>
      </c>
    </row>
    <row r="1673" customFormat="false" ht="15" hidden="false" customHeight="false" outlineLevel="0" collapsed="false">
      <c r="F1673" s="41" t="str">
        <f aca="false">IF(E1673="","",IFERROR(VLOOKUP(E1673,Assumptions!$G$5:$H$16,2,0),"Other"))</f>
        <v/>
      </c>
      <c r="J1673" s="41" t="str">
        <f aca="false">IF(G1673="","",IFERROR(IF(ISNUMBER(SEARCH(Assumptions!$C$5,G1673)),Assumptions!$D$5,IF(ISNUMBER(SEARCH(Assumptions!$C$6,G1673)),Assumptions!$D$6,IF(ISNUMBER(SEARCH(Assumptions!$C$7,G1673)),Assumptions!$D$7,"Other Services"))),"Other Services"))</f>
        <v/>
      </c>
    </row>
    <row r="1674" customFormat="false" ht="15" hidden="false" customHeight="false" outlineLevel="0" collapsed="false">
      <c r="F1674" s="41" t="str">
        <f aca="false">IF(E1674="","",IFERROR(VLOOKUP(E1674,Assumptions!$G$5:$H$16,2,0),"Other"))</f>
        <v/>
      </c>
      <c r="J1674" s="41" t="str">
        <f aca="false">IF(G1674="","",IFERROR(IF(ISNUMBER(SEARCH(Assumptions!$C$5,G1674)),Assumptions!$D$5,IF(ISNUMBER(SEARCH(Assumptions!$C$6,G1674)),Assumptions!$D$6,IF(ISNUMBER(SEARCH(Assumptions!$C$7,G1674)),Assumptions!$D$7,"Other Services"))),"Other Services"))</f>
        <v/>
      </c>
    </row>
    <row r="1675" customFormat="false" ht="15" hidden="false" customHeight="false" outlineLevel="0" collapsed="false">
      <c r="F1675" s="41" t="str">
        <f aca="false">IF(E1675="","",IFERROR(VLOOKUP(E1675,Assumptions!$G$5:$H$16,2,0),"Other"))</f>
        <v/>
      </c>
      <c r="J1675" s="41" t="str">
        <f aca="false">IF(G1675="","",IFERROR(IF(ISNUMBER(SEARCH(Assumptions!$C$5,G1675)),Assumptions!$D$5,IF(ISNUMBER(SEARCH(Assumptions!$C$6,G1675)),Assumptions!$D$6,IF(ISNUMBER(SEARCH(Assumptions!$C$7,G1675)),Assumptions!$D$7,"Other Services"))),"Other Services"))</f>
        <v/>
      </c>
    </row>
    <row r="1676" customFormat="false" ht="15" hidden="false" customHeight="false" outlineLevel="0" collapsed="false">
      <c r="F1676" s="41" t="str">
        <f aca="false">IF(E1676="","",IFERROR(VLOOKUP(E1676,Assumptions!$G$5:$H$16,2,0),"Other"))</f>
        <v/>
      </c>
      <c r="J1676" s="41" t="str">
        <f aca="false">IF(G1676="","",IFERROR(IF(ISNUMBER(SEARCH(Assumptions!$C$5,G1676)),Assumptions!$D$5,IF(ISNUMBER(SEARCH(Assumptions!$C$6,G1676)),Assumptions!$D$6,IF(ISNUMBER(SEARCH(Assumptions!$C$7,G1676)),Assumptions!$D$7,"Other Services"))),"Other Services"))</f>
        <v/>
      </c>
    </row>
    <row r="1677" customFormat="false" ht="15" hidden="false" customHeight="false" outlineLevel="0" collapsed="false">
      <c r="F1677" s="41" t="str">
        <f aca="false">IF(E1677="","",IFERROR(VLOOKUP(E1677,Assumptions!$G$5:$H$16,2,0),"Other"))</f>
        <v/>
      </c>
      <c r="J1677" s="41" t="str">
        <f aca="false">IF(G1677="","",IFERROR(IF(ISNUMBER(SEARCH(Assumptions!$C$5,G1677)),Assumptions!$D$5,IF(ISNUMBER(SEARCH(Assumptions!$C$6,G1677)),Assumptions!$D$6,IF(ISNUMBER(SEARCH(Assumptions!$C$7,G1677)),Assumptions!$D$7,"Other Services"))),"Other Services"))</f>
        <v/>
      </c>
    </row>
    <row r="1678" customFormat="false" ht="15" hidden="false" customHeight="false" outlineLevel="0" collapsed="false">
      <c r="F1678" s="41" t="str">
        <f aca="false">IF(E1678="","",IFERROR(VLOOKUP(E1678,Assumptions!$G$5:$H$16,2,0),"Other"))</f>
        <v/>
      </c>
      <c r="J1678" s="41" t="str">
        <f aca="false">IF(G1678="","",IFERROR(IF(ISNUMBER(SEARCH(Assumptions!$C$5,G1678)),Assumptions!$D$5,IF(ISNUMBER(SEARCH(Assumptions!$C$6,G1678)),Assumptions!$D$6,IF(ISNUMBER(SEARCH(Assumptions!$C$7,G1678)),Assumptions!$D$7,"Other Services"))),"Other Services"))</f>
        <v/>
      </c>
    </row>
    <row r="1679" customFormat="false" ht="15" hidden="false" customHeight="false" outlineLevel="0" collapsed="false">
      <c r="F1679" s="41" t="str">
        <f aca="false">IF(E1679="","",IFERROR(VLOOKUP(E1679,Assumptions!$G$5:$H$16,2,0),"Other"))</f>
        <v/>
      </c>
      <c r="J1679" s="41" t="str">
        <f aca="false">IF(G1679="","",IFERROR(IF(ISNUMBER(SEARCH(Assumptions!$C$5,G1679)),Assumptions!$D$5,IF(ISNUMBER(SEARCH(Assumptions!$C$6,G1679)),Assumptions!$D$6,IF(ISNUMBER(SEARCH(Assumptions!$C$7,G1679)),Assumptions!$D$7,"Other Services"))),"Other Services"))</f>
        <v/>
      </c>
    </row>
    <row r="1680" customFormat="false" ht="15" hidden="false" customHeight="false" outlineLevel="0" collapsed="false">
      <c r="F1680" s="41" t="str">
        <f aca="false">IF(E1680="","",IFERROR(VLOOKUP(E1680,Assumptions!$G$5:$H$16,2,0),"Other"))</f>
        <v/>
      </c>
      <c r="J1680" s="41" t="str">
        <f aca="false">IF(G1680="","",IFERROR(IF(ISNUMBER(SEARCH(Assumptions!$C$5,G1680)),Assumptions!$D$5,IF(ISNUMBER(SEARCH(Assumptions!$C$6,G1680)),Assumptions!$D$6,IF(ISNUMBER(SEARCH(Assumptions!$C$7,G1680)),Assumptions!$D$7,"Other Services"))),"Other Services"))</f>
        <v/>
      </c>
    </row>
    <row r="1681" customFormat="false" ht="15" hidden="false" customHeight="false" outlineLevel="0" collapsed="false">
      <c r="F1681" s="41" t="str">
        <f aca="false">IF(E1681="","",IFERROR(VLOOKUP(E1681,Assumptions!$G$5:$H$16,2,0),"Other"))</f>
        <v/>
      </c>
      <c r="J1681" s="41" t="str">
        <f aca="false">IF(G1681="","",IFERROR(IF(ISNUMBER(SEARCH(Assumptions!$C$5,G1681)),Assumptions!$D$5,IF(ISNUMBER(SEARCH(Assumptions!$C$6,G1681)),Assumptions!$D$6,IF(ISNUMBER(SEARCH(Assumptions!$C$7,G1681)),Assumptions!$D$7,"Other Services"))),"Other Services"))</f>
        <v/>
      </c>
    </row>
    <row r="1682" customFormat="false" ht="15" hidden="false" customHeight="false" outlineLevel="0" collapsed="false">
      <c r="F1682" s="41" t="str">
        <f aca="false">IF(E1682="","",IFERROR(VLOOKUP(E1682,Assumptions!$G$5:$H$16,2,0),"Other"))</f>
        <v/>
      </c>
      <c r="J1682" s="41" t="str">
        <f aca="false">IF(G1682="","",IFERROR(IF(ISNUMBER(SEARCH(Assumptions!$C$5,G1682)),Assumptions!$D$5,IF(ISNUMBER(SEARCH(Assumptions!$C$6,G1682)),Assumptions!$D$6,IF(ISNUMBER(SEARCH(Assumptions!$C$7,G1682)),Assumptions!$D$7,"Other Services"))),"Other Services"))</f>
        <v/>
      </c>
    </row>
    <row r="1683" customFormat="false" ht="15" hidden="false" customHeight="false" outlineLevel="0" collapsed="false">
      <c r="F1683" s="41" t="str">
        <f aca="false">IF(E1683="","",IFERROR(VLOOKUP(E1683,Assumptions!$G$5:$H$16,2,0),"Other"))</f>
        <v/>
      </c>
      <c r="J1683" s="41" t="str">
        <f aca="false">IF(G1683="","",IFERROR(IF(ISNUMBER(SEARCH(Assumptions!$C$5,G1683)),Assumptions!$D$5,IF(ISNUMBER(SEARCH(Assumptions!$C$6,G1683)),Assumptions!$D$6,IF(ISNUMBER(SEARCH(Assumptions!$C$7,G1683)),Assumptions!$D$7,"Other Services"))),"Other Services"))</f>
        <v/>
      </c>
    </row>
    <row r="1684" customFormat="false" ht="15" hidden="false" customHeight="false" outlineLevel="0" collapsed="false">
      <c r="F1684" s="41" t="str">
        <f aca="false">IF(E1684="","",IFERROR(VLOOKUP(E1684,Assumptions!$G$5:$H$16,2,0),"Other"))</f>
        <v/>
      </c>
      <c r="J1684" s="41" t="str">
        <f aca="false">IF(G1684="","",IFERROR(IF(ISNUMBER(SEARCH(Assumptions!$C$5,G1684)),Assumptions!$D$5,IF(ISNUMBER(SEARCH(Assumptions!$C$6,G1684)),Assumptions!$D$6,IF(ISNUMBER(SEARCH(Assumptions!$C$7,G1684)),Assumptions!$D$7,"Other Services"))),"Other Services"))</f>
        <v/>
      </c>
    </row>
    <row r="1685" customFormat="false" ht="15" hidden="false" customHeight="false" outlineLevel="0" collapsed="false">
      <c r="F1685" s="41" t="str">
        <f aca="false">IF(E1685="","",IFERROR(VLOOKUP(E1685,Assumptions!$G$5:$H$16,2,0),"Other"))</f>
        <v/>
      </c>
      <c r="J1685" s="41" t="str">
        <f aca="false">IF(G1685="","",IFERROR(IF(ISNUMBER(SEARCH(Assumptions!$C$5,G1685)),Assumptions!$D$5,IF(ISNUMBER(SEARCH(Assumptions!$C$6,G1685)),Assumptions!$D$6,IF(ISNUMBER(SEARCH(Assumptions!$C$7,G1685)),Assumptions!$D$7,"Other Services"))),"Other Services"))</f>
        <v/>
      </c>
    </row>
    <row r="1686" customFormat="false" ht="15" hidden="false" customHeight="false" outlineLevel="0" collapsed="false">
      <c r="F1686" s="41" t="str">
        <f aca="false">IF(E1686="","",IFERROR(VLOOKUP(E1686,Assumptions!$G$5:$H$16,2,0),"Other"))</f>
        <v/>
      </c>
      <c r="J1686" s="41" t="str">
        <f aca="false">IF(G1686="","",IFERROR(IF(ISNUMBER(SEARCH(Assumptions!$C$5,G1686)),Assumptions!$D$5,IF(ISNUMBER(SEARCH(Assumptions!$C$6,G1686)),Assumptions!$D$6,IF(ISNUMBER(SEARCH(Assumptions!$C$7,G1686)),Assumptions!$D$7,"Other Services"))),"Other Services"))</f>
        <v/>
      </c>
    </row>
    <row r="1687" customFormat="false" ht="15" hidden="false" customHeight="false" outlineLevel="0" collapsed="false">
      <c r="F1687" s="41" t="str">
        <f aca="false">IF(E1687="","",IFERROR(VLOOKUP(E1687,Assumptions!$G$5:$H$16,2,0),"Other"))</f>
        <v/>
      </c>
      <c r="J1687" s="41" t="str">
        <f aca="false">IF(G1687="","",IFERROR(IF(ISNUMBER(SEARCH(Assumptions!$C$5,G1687)),Assumptions!$D$5,IF(ISNUMBER(SEARCH(Assumptions!$C$6,G1687)),Assumptions!$D$6,IF(ISNUMBER(SEARCH(Assumptions!$C$7,G1687)),Assumptions!$D$7,"Other Services"))),"Other Services"))</f>
        <v/>
      </c>
    </row>
    <row r="1688" customFormat="false" ht="15" hidden="false" customHeight="false" outlineLevel="0" collapsed="false">
      <c r="F1688" s="41" t="str">
        <f aca="false">IF(E1688="","",IFERROR(VLOOKUP(E1688,Assumptions!$G$5:$H$16,2,0),"Other"))</f>
        <v/>
      </c>
      <c r="J1688" s="41" t="str">
        <f aca="false">IF(G1688="","",IFERROR(IF(ISNUMBER(SEARCH(Assumptions!$C$5,G1688)),Assumptions!$D$5,IF(ISNUMBER(SEARCH(Assumptions!$C$6,G1688)),Assumptions!$D$6,IF(ISNUMBER(SEARCH(Assumptions!$C$7,G1688)),Assumptions!$D$7,"Other Services"))),"Other Services"))</f>
        <v/>
      </c>
    </row>
    <row r="1689" customFormat="false" ht="15" hidden="false" customHeight="false" outlineLevel="0" collapsed="false">
      <c r="F1689" s="41" t="str">
        <f aca="false">IF(E1689="","",IFERROR(VLOOKUP(E1689,Assumptions!$G$5:$H$16,2,0),"Other"))</f>
        <v/>
      </c>
      <c r="J1689" s="41" t="str">
        <f aca="false">IF(G1689="","",IFERROR(IF(ISNUMBER(SEARCH(Assumptions!$C$5,G1689)),Assumptions!$D$5,IF(ISNUMBER(SEARCH(Assumptions!$C$6,G1689)),Assumptions!$D$6,IF(ISNUMBER(SEARCH(Assumptions!$C$7,G1689)),Assumptions!$D$7,"Other Services"))),"Other Services"))</f>
        <v/>
      </c>
    </row>
    <row r="1690" customFormat="false" ht="15" hidden="false" customHeight="false" outlineLevel="0" collapsed="false">
      <c r="F1690" s="41" t="str">
        <f aca="false">IF(E1690="","",IFERROR(VLOOKUP(E1690,Assumptions!$G$5:$H$16,2,0),"Other"))</f>
        <v/>
      </c>
      <c r="J1690" s="41" t="str">
        <f aca="false">IF(G1690="","",IFERROR(IF(ISNUMBER(SEARCH(Assumptions!$C$5,G1690)),Assumptions!$D$5,IF(ISNUMBER(SEARCH(Assumptions!$C$6,G1690)),Assumptions!$D$6,IF(ISNUMBER(SEARCH(Assumptions!$C$7,G1690)),Assumptions!$D$7,"Other Services"))),"Other Services"))</f>
        <v/>
      </c>
    </row>
    <row r="1691" customFormat="false" ht="15" hidden="false" customHeight="false" outlineLevel="0" collapsed="false">
      <c r="F1691" s="41" t="str">
        <f aca="false">IF(E1691="","",IFERROR(VLOOKUP(E1691,Assumptions!$G$5:$H$16,2,0),"Other"))</f>
        <v/>
      </c>
      <c r="J1691" s="41" t="str">
        <f aca="false">IF(G1691="","",IFERROR(IF(ISNUMBER(SEARCH(Assumptions!$C$5,G1691)),Assumptions!$D$5,IF(ISNUMBER(SEARCH(Assumptions!$C$6,G1691)),Assumptions!$D$6,IF(ISNUMBER(SEARCH(Assumptions!$C$7,G1691)),Assumptions!$D$7,"Other Services"))),"Other Services"))</f>
        <v/>
      </c>
    </row>
    <row r="1692" customFormat="false" ht="15" hidden="false" customHeight="false" outlineLevel="0" collapsed="false">
      <c r="F1692" s="41" t="str">
        <f aca="false">IF(E1692="","",IFERROR(VLOOKUP(E1692,Assumptions!$G$5:$H$16,2,0),"Other"))</f>
        <v/>
      </c>
      <c r="J1692" s="41" t="str">
        <f aca="false">IF(G1692="","",IFERROR(IF(ISNUMBER(SEARCH(Assumptions!$C$5,G1692)),Assumptions!$D$5,IF(ISNUMBER(SEARCH(Assumptions!$C$6,G1692)),Assumptions!$D$6,IF(ISNUMBER(SEARCH(Assumptions!$C$7,G1692)),Assumptions!$D$7,"Other Services"))),"Other Services"))</f>
        <v/>
      </c>
    </row>
    <row r="1693" customFormat="false" ht="15" hidden="false" customHeight="false" outlineLevel="0" collapsed="false">
      <c r="F1693" s="41" t="str">
        <f aca="false">IF(E1693="","",IFERROR(VLOOKUP(E1693,Assumptions!$G$5:$H$16,2,0),"Other"))</f>
        <v/>
      </c>
      <c r="J1693" s="41" t="str">
        <f aca="false">IF(G1693="","",IFERROR(IF(ISNUMBER(SEARCH(Assumptions!$C$5,G1693)),Assumptions!$D$5,IF(ISNUMBER(SEARCH(Assumptions!$C$6,G1693)),Assumptions!$D$6,IF(ISNUMBER(SEARCH(Assumptions!$C$7,G1693)),Assumptions!$D$7,"Other Services"))),"Other Services"))</f>
        <v/>
      </c>
    </row>
    <row r="1694" customFormat="false" ht="15" hidden="false" customHeight="false" outlineLevel="0" collapsed="false">
      <c r="F1694" s="41" t="str">
        <f aca="false">IF(E1694="","",IFERROR(VLOOKUP(E1694,Assumptions!$G$5:$H$16,2,0),"Other"))</f>
        <v/>
      </c>
      <c r="J1694" s="41" t="str">
        <f aca="false">IF(G1694="","",IFERROR(IF(ISNUMBER(SEARCH(Assumptions!$C$5,G1694)),Assumptions!$D$5,IF(ISNUMBER(SEARCH(Assumptions!$C$6,G1694)),Assumptions!$D$6,IF(ISNUMBER(SEARCH(Assumptions!$C$7,G1694)),Assumptions!$D$7,"Other Services"))),"Other Services"))</f>
        <v/>
      </c>
    </row>
    <row r="1695" customFormat="false" ht="15" hidden="false" customHeight="false" outlineLevel="0" collapsed="false">
      <c r="F1695" s="41" t="str">
        <f aca="false">IF(E1695="","",IFERROR(VLOOKUP(E1695,Assumptions!$G$5:$H$16,2,0),"Other"))</f>
        <v/>
      </c>
      <c r="J1695" s="41" t="str">
        <f aca="false">IF(G1695="","",IFERROR(IF(ISNUMBER(SEARCH(Assumptions!$C$5,G1695)),Assumptions!$D$5,IF(ISNUMBER(SEARCH(Assumptions!$C$6,G1695)),Assumptions!$D$6,IF(ISNUMBER(SEARCH(Assumptions!$C$7,G1695)),Assumptions!$D$7,"Other Services"))),"Other Services"))</f>
        <v/>
      </c>
    </row>
    <row r="1696" customFormat="false" ht="15" hidden="false" customHeight="false" outlineLevel="0" collapsed="false">
      <c r="F1696" s="41" t="str">
        <f aca="false">IF(E1696="","",IFERROR(VLOOKUP(E1696,Assumptions!$G$5:$H$16,2,0),"Other"))</f>
        <v/>
      </c>
      <c r="J1696" s="41" t="str">
        <f aca="false">IF(G1696="","",IFERROR(IF(ISNUMBER(SEARCH(Assumptions!$C$5,G1696)),Assumptions!$D$5,IF(ISNUMBER(SEARCH(Assumptions!$C$6,G1696)),Assumptions!$D$6,IF(ISNUMBER(SEARCH(Assumptions!$C$7,G1696)),Assumptions!$D$7,"Other Services"))),"Other Services"))</f>
        <v/>
      </c>
    </row>
    <row r="1697" customFormat="false" ht="15" hidden="false" customHeight="false" outlineLevel="0" collapsed="false">
      <c r="F1697" s="41" t="str">
        <f aca="false">IF(E1697="","",IFERROR(VLOOKUP(E1697,Assumptions!$G$5:$H$16,2,0),"Other"))</f>
        <v/>
      </c>
      <c r="J1697" s="41" t="str">
        <f aca="false">IF(G1697="","",IFERROR(IF(ISNUMBER(SEARCH(Assumptions!$C$5,G1697)),Assumptions!$D$5,IF(ISNUMBER(SEARCH(Assumptions!$C$6,G1697)),Assumptions!$D$6,IF(ISNUMBER(SEARCH(Assumptions!$C$7,G1697)),Assumptions!$D$7,"Other Services"))),"Other Services"))</f>
        <v/>
      </c>
    </row>
    <row r="1698" customFormat="false" ht="15" hidden="false" customHeight="false" outlineLevel="0" collapsed="false">
      <c r="F1698" s="41" t="str">
        <f aca="false">IF(E1698="","",IFERROR(VLOOKUP(E1698,Assumptions!$G$5:$H$16,2,0),"Other"))</f>
        <v/>
      </c>
      <c r="J1698" s="41" t="str">
        <f aca="false">IF(G1698="","",IFERROR(IF(ISNUMBER(SEARCH(Assumptions!$C$5,G1698)),Assumptions!$D$5,IF(ISNUMBER(SEARCH(Assumptions!$C$6,G1698)),Assumptions!$D$6,IF(ISNUMBER(SEARCH(Assumptions!$C$7,G1698)),Assumptions!$D$7,"Other Services"))),"Other Services"))</f>
        <v/>
      </c>
    </row>
    <row r="1699" customFormat="false" ht="15" hidden="false" customHeight="false" outlineLevel="0" collapsed="false">
      <c r="F1699" s="41" t="str">
        <f aca="false">IF(E1699="","",IFERROR(VLOOKUP(E1699,Assumptions!$G$5:$H$16,2,0),"Other"))</f>
        <v/>
      </c>
      <c r="J1699" s="41" t="str">
        <f aca="false">IF(G1699="","",IFERROR(IF(ISNUMBER(SEARCH(Assumptions!$C$5,G1699)),Assumptions!$D$5,IF(ISNUMBER(SEARCH(Assumptions!$C$6,G1699)),Assumptions!$D$6,IF(ISNUMBER(SEARCH(Assumptions!$C$7,G1699)),Assumptions!$D$7,"Other Services"))),"Other Services"))</f>
        <v/>
      </c>
    </row>
    <row r="1700" customFormat="false" ht="15" hidden="false" customHeight="false" outlineLevel="0" collapsed="false">
      <c r="F1700" s="41" t="str">
        <f aca="false">IF(E1700="","",IFERROR(VLOOKUP(E1700,Assumptions!$G$5:$H$16,2,0),"Other"))</f>
        <v/>
      </c>
      <c r="J1700" s="41" t="str">
        <f aca="false">IF(G1700="","",IFERROR(IF(ISNUMBER(SEARCH(Assumptions!$C$5,G1700)),Assumptions!$D$5,IF(ISNUMBER(SEARCH(Assumptions!$C$6,G1700)),Assumptions!$D$6,IF(ISNUMBER(SEARCH(Assumptions!$C$7,G1700)),Assumptions!$D$7,"Other Services"))),"Other Services"))</f>
        <v/>
      </c>
    </row>
    <row r="1701" customFormat="false" ht="15" hidden="false" customHeight="false" outlineLevel="0" collapsed="false">
      <c r="F1701" s="41" t="str">
        <f aca="false">IF(E1701="","",IFERROR(VLOOKUP(E1701,Assumptions!$G$5:$H$16,2,0),"Other"))</f>
        <v/>
      </c>
      <c r="J1701" s="41" t="str">
        <f aca="false">IF(G1701="","",IFERROR(IF(ISNUMBER(SEARCH(Assumptions!$C$5,G1701)),Assumptions!$D$5,IF(ISNUMBER(SEARCH(Assumptions!$C$6,G1701)),Assumptions!$D$6,IF(ISNUMBER(SEARCH(Assumptions!$C$7,G1701)),Assumptions!$D$7,"Other Services"))),"Other Services"))</f>
        <v/>
      </c>
    </row>
    <row r="1702" customFormat="false" ht="15" hidden="false" customHeight="false" outlineLevel="0" collapsed="false">
      <c r="F1702" s="41" t="str">
        <f aca="false">IF(E1702="","",IFERROR(VLOOKUP(E1702,Assumptions!$G$5:$H$16,2,0),"Other"))</f>
        <v/>
      </c>
      <c r="J1702" s="41" t="str">
        <f aca="false">IF(G1702="","",IFERROR(IF(ISNUMBER(SEARCH(Assumptions!$C$5,G1702)),Assumptions!$D$5,IF(ISNUMBER(SEARCH(Assumptions!$C$6,G1702)),Assumptions!$D$6,IF(ISNUMBER(SEARCH(Assumptions!$C$7,G1702)),Assumptions!$D$7,"Other Services"))),"Other Services"))</f>
        <v/>
      </c>
    </row>
    <row r="1703" customFormat="false" ht="15" hidden="false" customHeight="false" outlineLevel="0" collapsed="false">
      <c r="F1703" s="41" t="str">
        <f aca="false">IF(E1703="","",IFERROR(VLOOKUP(E1703,Assumptions!$G$5:$H$16,2,0),"Other"))</f>
        <v/>
      </c>
      <c r="J1703" s="41" t="str">
        <f aca="false">IF(G1703="","",IFERROR(IF(ISNUMBER(SEARCH(Assumptions!$C$5,G1703)),Assumptions!$D$5,IF(ISNUMBER(SEARCH(Assumptions!$C$6,G1703)),Assumptions!$D$6,IF(ISNUMBER(SEARCH(Assumptions!$C$7,G1703)),Assumptions!$D$7,"Other Services"))),"Other Services"))</f>
        <v/>
      </c>
    </row>
    <row r="1704" customFormat="false" ht="15" hidden="false" customHeight="false" outlineLevel="0" collapsed="false">
      <c r="F1704" s="41" t="str">
        <f aca="false">IF(E1704="","",IFERROR(VLOOKUP(E1704,Assumptions!$G$5:$H$16,2,0),"Other"))</f>
        <v/>
      </c>
      <c r="J1704" s="41" t="str">
        <f aca="false">IF(G1704="","",IFERROR(IF(ISNUMBER(SEARCH(Assumptions!$C$5,G1704)),Assumptions!$D$5,IF(ISNUMBER(SEARCH(Assumptions!$C$6,G1704)),Assumptions!$D$6,IF(ISNUMBER(SEARCH(Assumptions!$C$7,G1704)),Assumptions!$D$7,"Other Services"))),"Other Services"))</f>
        <v/>
      </c>
    </row>
    <row r="1705" customFormat="false" ht="15" hidden="false" customHeight="false" outlineLevel="0" collapsed="false">
      <c r="F1705" s="41" t="str">
        <f aca="false">IF(E1705="","",IFERROR(VLOOKUP(E1705,Assumptions!$G$5:$H$16,2,0),"Other"))</f>
        <v/>
      </c>
      <c r="J1705" s="41" t="str">
        <f aca="false">IF(G1705="","",IFERROR(IF(ISNUMBER(SEARCH(Assumptions!$C$5,G1705)),Assumptions!$D$5,IF(ISNUMBER(SEARCH(Assumptions!$C$6,G1705)),Assumptions!$D$6,IF(ISNUMBER(SEARCH(Assumptions!$C$7,G1705)),Assumptions!$D$7,"Other Services"))),"Other Services"))</f>
        <v/>
      </c>
    </row>
    <row r="1706" customFormat="false" ht="15" hidden="false" customHeight="false" outlineLevel="0" collapsed="false">
      <c r="F1706" s="41" t="str">
        <f aca="false">IF(E1706="","",IFERROR(VLOOKUP(E1706,Assumptions!$G$5:$H$16,2,0),"Other"))</f>
        <v/>
      </c>
      <c r="J1706" s="41" t="str">
        <f aca="false">IF(G1706="","",IFERROR(IF(ISNUMBER(SEARCH(Assumptions!$C$5,G1706)),Assumptions!$D$5,IF(ISNUMBER(SEARCH(Assumptions!$C$6,G1706)),Assumptions!$D$6,IF(ISNUMBER(SEARCH(Assumptions!$C$7,G1706)),Assumptions!$D$7,"Other Services"))),"Other Services"))</f>
        <v/>
      </c>
    </row>
    <row r="1707" customFormat="false" ht="15" hidden="false" customHeight="false" outlineLevel="0" collapsed="false">
      <c r="F1707" s="41" t="str">
        <f aca="false">IF(E1707="","",IFERROR(VLOOKUP(E1707,Assumptions!$G$5:$H$16,2,0),"Other"))</f>
        <v/>
      </c>
      <c r="J1707" s="41" t="str">
        <f aca="false">IF(G1707="","",IFERROR(IF(ISNUMBER(SEARCH(Assumptions!$C$5,G1707)),Assumptions!$D$5,IF(ISNUMBER(SEARCH(Assumptions!$C$6,G1707)),Assumptions!$D$6,IF(ISNUMBER(SEARCH(Assumptions!$C$7,G1707)),Assumptions!$D$7,"Other Services"))),"Other Services"))</f>
        <v/>
      </c>
    </row>
    <row r="1708" customFormat="false" ht="15" hidden="false" customHeight="false" outlineLevel="0" collapsed="false">
      <c r="F1708" s="41" t="str">
        <f aca="false">IF(E1708="","",IFERROR(VLOOKUP(E1708,Assumptions!$G$5:$H$16,2,0),"Other"))</f>
        <v/>
      </c>
      <c r="J1708" s="41" t="str">
        <f aca="false">IF(G1708="","",IFERROR(IF(ISNUMBER(SEARCH(Assumptions!$C$5,G1708)),Assumptions!$D$5,IF(ISNUMBER(SEARCH(Assumptions!$C$6,G1708)),Assumptions!$D$6,IF(ISNUMBER(SEARCH(Assumptions!$C$7,G1708)),Assumptions!$D$7,"Other Services"))),"Other Services"))</f>
        <v/>
      </c>
    </row>
    <row r="1709" customFormat="false" ht="15" hidden="false" customHeight="false" outlineLevel="0" collapsed="false">
      <c r="F1709" s="41" t="str">
        <f aca="false">IF(E1709="","",IFERROR(VLOOKUP(E1709,Assumptions!$G$5:$H$16,2,0),"Other"))</f>
        <v/>
      </c>
      <c r="J1709" s="41" t="str">
        <f aca="false">IF(G1709="","",IFERROR(IF(ISNUMBER(SEARCH(Assumptions!$C$5,G1709)),Assumptions!$D$5,IF(ISNUMBER(SEARCH(Assumptions!$C$6,G1709)),Assumptions!$D$6,IF(ISNUMBER(SEARCH(Assumptions!$C$7,G1709)),Assumptions!$D$7,"Other Services"))),"Other Services"))</f>
        <v/>
      </c>
    </row>
    <row r="1710" customFormat="false" ht="15" hidden="false" customHeight="false" outlineLevel="0" collapsed="false">
      <c r="F1710" s="41" t="str">
        <f aca="false">IF(E1710="","",IFERROR(VLOOKUP(E1710,Assumptions!$G$5:$H$16,2,0),"Other"))</f>
        <v/>
      </c>
      <c r="J1710" s="41" t="str">
        <f aca="false">IF(G1710="","",IFERROR(IF(ISNUMBER(SEARCH(Assumptions!$C$5,G1710)),Assumptions!$D$5,IF(ISNUMBER(SEARCH(Assumptions!$C$6,G1710)),Assumptions!$D$6,IF(ISNUMBER(SEARCH(Assumptions!$C$7,G1710)),Assumptions!$D$7,"Other Services"))),"Other Services"))</f>
        <v/>
      </c>
    </row>
    <row r="1711" customFormat="false" ht="15" hidden="false" customHeight="false" outlineLevel="0" collapsed="false">
      <c r="F1711" s="41" t="str">
        <f aca="false">IF(E1711="","",IFERROR(VLOOKUP(E1711,Assumptions!$G$5:$H$16,2,0),"Other"))</f>
        <v/>
      </c>
      <c r="J1711" s="41" t="str">
        <f aca="false">IF(G1711="","",IFERROR(IF(ISNUMBER(SEARCH(Assumptions!$C$5,G1711)),Assumptions!$D$5,IF(ISNUMBER(SEARCH(Assumptions!$C$6,G1711)),Assumptions!$D$6,IF(ISNUMBER(SEARCH(Assumptions!$C$7,G1711)),Assumptions!$D$7,"Other Services"))),"Other Services"))</f>
        <v/>
      </c>
    </row>
    <row r="1712" customFormat="false" ht="15" hidden="false" customHeight="false" outlineLevel="0" collapsed="false">
      <c r="F1712" s="41" t="str">
        <f aca="false">IF(E1712="","",IFERROR(VLOOKUP(E1712,Assumptions!$G$5:$H$16,2,0),"Other"))</f>
        <v/>
      </c>
      <c r="J1712" s="41" t="str">
        <f aca="false">IF(G1712="","",IFERROR(IF(ISNUMBER(SEARCH(Assumptions!$C$5,G1712)),Assumptions!$D$5,IF(ISNUMBER(SEARCH(Assumptions!$C$6,G1712)),Assumptions!$D$6,IF(ISNUMBER(SEARCH(Assumptions!$C$7,G1712)),Assumptions!$D$7,"Other Services"))),"Other Services"))</f>
        <v/>
      </c>
    </row>
    <row r="1713" customFormat="false" ht="15" hidden="false" customHeight="false" outlineLevel="0" collapsed="false">
      <c r="F1713" s="41" t="str">
        <f aca="false">IF(E1713="","",IFERROR(VLOOKUP(E1713,Assumptions!$G$5:$H$16,2,0),"Other"))</f>
        <v/>
      </c>
      <c r="J1713" s="41" t="str">
        <f aca="false">IF(G1713="","",IFERROR(IF(ISNUMBER(SEARCH(Assumptions!$C$5,G1713)),Assumptions!$D$5,IF(ISNUMBER(SEARCH(Assumptions!$C$6,G1713)),Assumptions!$D$6,IF(ISNUMBER(SEARCH(Assumptions!$C$7,G1713)),Assumptions!$D$7,"Other Services"))),"Other Services"))</f>
        <v/>
      </c>
    </row>
    <row r="1714" customFormat="false" ht="15" hidden="false" customHeight="false" outlineLevel="0" collapsed="false">
      <c r="F1714" s="41" t="str">
        <f aca="false">IF(E1714="","",IFERROR(VLOOKUP(E1714,Assumptions!$G$5:$H$16,2,0),"Other"))</f>
        <v/>
      </c>
      <c r="J1714" s="41" t="str">
        <f aca="false">IF(G1714="","",IFERROR(IF(ISNUMBER(SEARCH(Assumptions!$C$5,G1714)),Assumptions!$D$5,IF(ISNUMBER(SEARCH(Assumptions!$C$6,G1714)),Assumptions!$D$6,IF(ISNUMBER(SEARCH(Assumptions!$C$7,G1714)),Assumptions!$D$7,"Other Services"))),"Other Services"))</f>
        <v/>
      </c>
    </row>
    <row r="1715" customFormat="false" ht="15" hidden="false" customHeight="false" outlineLevel="0" collapsed="false">
      <c r="F1715" s="41" t="str">
        <f aca="false">IF(E1715="","",IFERROR(VLOOKUP(E1715,Assumptions!$G$5:$H$16,2,0),"Other"))</f>
        <v/>
      </c>
      <c r="J1715" s="41" t="str">
        <f aca="false">IF(G1715="","",IFERROR(IF(ISNUMBER(SEARCH(Assumptions!$C$5,G1715)),Assumptions!$D$5,IF(ISNUMBER(SEARCH(Assumptions!$C$6,G1715)),Assumptions!$D$6,IF(ISNUMBER(SEARCH(Assumptions!$C$7,G1715)),Assumptions!$D$7,"Other Services"))),"Other Services"))</f>
        <v/>
      </c>
    </row>
    <row r="1716" customFormat="false" ht="15" hidden="false" customHeight="false" outlineLevel="0" collapsed="false">
      <c r="F1716" s="41" t="str">
        <f aca="false">IF(E1716="","",IFERROR(VLOOKUP(E1716,Assumptions!$G$5:$H$16,2,0),"Other"))</f>
        <v/>
      </c>
      <c r="J1716" s="41" t="str">
        <f aca="false">IF(G1716="","",IFERROR(IF(ISNUMBER(SEARCH(Assumptions!$C$5,G1716)),Assumptions!$D$5,IF(ISNUMBER(SEARCH(Assumptions!$C$6,G1716)),Assumptions!$D$6,IF(ISNUMBER(SEARCH(Assumptions!$C$7,G1716)),Assumptions!$D$7,"Other Services"))),"Other Services"))</f>
        <v/>
      </c>
    </row>
    <row r="1717" customFormat="false" ht="15" hidden="false" customHeight="false" outlineLevel="0" collapsed="false">
      <c r="F1717" s="41" t="str">
        <f aca="false">IF(E1717="","",IFERROR(VLOOKUP(E1717,Assumptions!$G$5:$H$16,2,0),"Other"))</f>
        <v/>
      </c>
      <c r="J1717" s="41" t="str">
        <f aca="false">IF(G1717="","",IFERROR(IF(ISNUMBER(SEARCH(Assumptions!$C$5,G1717)),Assumptions!$D$5,IF(ISNUMBER(SEARCH(Assumptions!$C$6,G1717)),Assumptions!$D$6,IF(ISNUMBER(SEARCH(Assumptions!$C$7,G1717)),Assumptions!$D$7,"Other Services"))),"Other Services"))</f>
        <v/>
      </c>
    </row>
    <row r="1718" customFormat="false" ht="15" hidden="false" customHeight="false" outlineLevel="0" collapsed="false">
      <c r="F1718" s="41" t="str">
        <f aca="false">IF(E1718="","",IFERROR(VLOOKUP(E1718,Assumptions!$G$5:$H$16,2,0),"Other"))</f>
        <v/>
      </c>
      <c r="J1718" s="41" t="str">
        <f aca="false">IF(G1718="","",IFERROR(IF(ISNUMBER(SEARCH(Assumptions!$C$5,G1718)),Assumptions!$D$5,IF(ISNUMBER(SEARCH(Assumptions!$C$6,G1718)),Assumptions!$D$6,IF(ISNUMBER(SEARCH(Assumptions!$C$7,G1718)),Assumptions!$D$7,"Other Services"))),"Other Services"))</f>
        <v/>
      </c>
    </row>
    <row r="1719" customFormat="false" ht="15" hidden="false" customHeight="false" outlineLevel="0" collapsed="false">
      <c r="F1719" s="41" t="str">
        <f aca="false">IF(E1719="","",IFERROR(VLOOKUP(E1719,Assumptions!$G$5:$H$16,2,0),"Other"))</f>
        <v/>
      </c>
      <c r="J1719" s="41" t="str">
        <f aca="false">IF(G1719="","",IFERROR(IF(ISNUMBER(SEARCH(Assumptions!$C$5,G1719)),Assumptions!$D$5,IF(ISNUMBER(SEARCH(Assumptions!$C$6,G1719)),Assumptions!$D$6,IF(ISNUMBER(SEARCH(Assumptions!$C$7,G1719)),Assumptions!$D$7,"Other Services"))),"Other Services"))</f>
        <v/>
      </c>
    </row>
    <row r="1720" customFormat="false" ht="15" hidden="false" customHeight="false" outlineLevel="0" collapsed="false">
      <c r="F1720" s="41" t="str">
        <f aca="false">IF(E1720="","",IFERROR(VLOOKUP(E1720,Assumptions!$G$5:$H$16,2,0),"Other"))</f>
        <v/>
      </c>
      <c r="J1720" s="41" t="str">
        <f aca="false">IF(G1720="","",IFERROR(IF(ISNUMBER(SEARCH(Assumptions!$C$5,G1720)),Assumptions!$D$5,IF(ISNUMBER(SEARCH(Assumptions!$C$6,G1720)),Assumptions!$D$6,IF(ISNUMBER(SEARCH(Assumptions!$C$7,G1720)),Assumptions!$D$7,"Other Services"))),"Other Services"))</f>
        <v/>
      </c>
    </row>
    <row r="1721" customFormat="false" ht="15" hidden="false" customHeight="false" outlineLevel="0" collapsed="false">
      <c r="F1721" s="41" t="str">
        <f aca="false">IF(E1721="","",IFERROR(VLOOKUP(E1721,Assumptions!$G$5:$H$16,2,0),"Other"))</f>
        <v/>
      </c>
      <c r="J1721" s="41" t="str">
        <f aca="false">IF(G1721="","",IFERROR(IF(ISNUMBER(SEARCH(Assumptions!$C$5,G1721)),Assumptions!$D$5,IF(ISNUMBER(SEARCH(Assumptions!$C$6,G1721)),Assumptions!$D$6,IF(ISNUMBER(SEARCH(Assumptions!$C$7,G1721)),Assumptions!$D$7,"Other Services"))),"Other Services"))</f>
        <v/>
      </c>
    </row>
    <row r="1722" customFormat="false" ht="15" hidden="false" customHeight="false" outlineLevel="0" collapsed="false">
      <c r="F1722" s="41" t="str">
        <f aca="false">IF(E1722="","",IFERROR(VLOOKUP(E1722,Assumptions!$G$5:$H$16,2,0),"Other"))</f>
        <v/>
      </c>
      <c r="J1722" s="41" t="str">
        <f aca="false">IF(G1722="","",IFERROR(IF(ISNUMBER(SEARCH(Assumptions!$C$5,G1722)),Assumptions!$D$5,IF(ISNUMBER(SEARCH(Assumptions!$C$6,G1722)),Assumptions!$D$6,IF(ISNUMBER(SEARCH(Assumptions!$C$7,G1722)),Assumptions!$D$7,"Other Services"))),"Other Services"))</f>
        <v/>
      </c>
    </row>
    <row r="1723" customFormat="false" ht="15" hidden="false" customHeight="false" outlineLevel="0" collapsed="false">
      <c r="F1723" s="41" t="str">
        <f aca="false">IF(E1723="","",IFERROR(VLOOKUP(E1723,Assumptions!$G$5:$H$16,2,0),"Other"))</f>
        <v/>
      </c>
      <c r="J1723" s="41" t="str">
        <f aca="false">IF(G1723="","",IFERROR(IF(ISNUMBER(SEARCH(Assumptions!$C$5,G1723)),Assumptions!$D$5,IF(ISNUMBER(SEARCH(Assumptions!$C$6,G1723)),Assumptions!$D$6,IF(ISNUMBER(SEARCH(Assumptions!$C$7,G1723)),Assumptions!$D$7,"Other Services"))),"Other Services"))</f>
        <v/>
      </c>
    </row>
    <row r="1724" customFormat="false" ht="15" hidden="false" customHeight="false" outlineLevel="0" collapsed="false">
      <c r="F1724" s="41" t="str">
        <f aca="false">IF(E1724="","",IFERROR(VLOOKUP(E1724,Assumptions!$G$5:$H$16,2,0),"Other"))</f>
        <v/>
      </c>
      <c r="J1724" s="41" t="str">
        <f aca="false">IF(G1724="","",IFERROR(IF(ISNUMBER(SEARCH(Assumptions!$C$5,G1724)),Assumptions!$D$5,IF(ISNUMBER(SEARCH(Assumptions!$C$6,G1724)),Assumptions!$D$6,IF(ISNUMBER(SEARCH(Assumptions!$C$7,G1724)),Assumptions!$D$7,"Other Services"))),"Other Services"))</f>
        <v/>
      </c>
    </row>
    <row r="1725" customFormat="false" ht="15" hidden="false" customHeight="false" outlineLevel="0" collapsed="false">
      <c r="F1725" s="41" t="str">
        <f aca="false">IF(E1725="","",IFERROR(VLOOKUP(E1725,Assumptions!$G$5:$H$16,2,0),"Other"))</f>
        <v/>
      </c>
      <c r="J1725" s="41" t="str">
        <f aca="false">IF(G1725="","",IFERROR(IF(ISNUMBER(SEARCH(Assumptions!$C$5,G1725)),Assumptions!$D$5,IF(ISNUMBER(SEARCH(Assumptions!$C$6,G1725)),Assumptions!$D$6,IF(ISNUMBER(SEARCH(Assumptions!$C$7,G1725)),Assumptions!$D$7,"Other Services"))),"Other Services"))</f>
        <v/>
      </c>
    </row>
    <row r="1726" customFormat="false" ht="15" hidden="false" customHeight="false" outlineLevel="0" collapsed="false">
      <c r="F1726" s="41" t="str">
        <f aca="false">IF(E1726="","",IFERROR(VLOOKUP(E1726,Assumptions!$G$5:$H$16,2,0),"Other"))</f>
        <v/>
      </c>
      <c r="J1726" s="41" t="str">
        <f aca="false">IF(G1726="","",IFERROR(IF(ISNUMBER(SEARCH(Assumptions!$C$5,G1726)),Assumptions!$D$5,IF(ISNUMBER(SEARCH(Assumptions!$C$6,G1726)),Assumptions!$D$6,IF(ISNUMBER(SEARCH(Assumptions!$C$7,G1726)),Assumptions!$D$7,"Other Services"))),"Other Services"))</f>
        <v/>
      </c>
    </row>
    <row r="1727" customFormat="false" ht="15" hidden="false" customHeight="false" outlineLevel="0" collapsed="false">
      <c r="F1727" s="41" t="str">
        <f aca="false">IF(E1727="","",IFERROR(VLOOKUP(E1727,Assumptions!$G$5:$H$16,2,0),"Other"))</f>
        <v/>
      </c>
      <c r="J1727" s="41" t="str">
        <f aca="false">IF(G1727="","",IFERROR(IF(ISNUMBER(SEARCH(Assumptions!$C$5,G1727)),Assumptions!$D$5,IF(ISNUMBER(SEARCH(Assumptions!$C$6,G1727)),Assumptions!$D$6,IF(ISNUMBER(SEARCH(Assumptions!$C$7,G1727)),Assumptions!$D$7,"Other Services"))),"Other Services"))</f>
        <v/>
      </c>
    </row>
    <row r="1728" customFormat="false" ht="15" hidden="false" customHeight="false" outlineLevel="0" collapsed="false">
      <c r="F1728" s="41" t="str">
        <f aca="false">IF(E1728="","",IFERROR(VLOOKUP(E1728,Assumptions!$G$5:$H$16,2,0),"Other"))</f>
        <v/>
      </c>
      <c r="J1728" s="41" t="str">
        <f aca="false">IF(G1728="","",IFERROR(IF(ISNUMBER(SEARCH(Assumptions!$C$5,G1728)),Assumptions!$D$5,IF(ISNUMBER(SEARCH(Assumptions!$C$6,G1728)),Assumptions!$D$6,IF(ISNUMBER(SEARCH(Assumptions!$C$7,G1728)),Assumptions!$D$7,"Other Services"))),"Other Services"))</f>
        <v/>
      </c>
    </row>
    <row r="1729" customFormat="false" ht="15" hidden="false" customHeight="false" outlineLevel="0" collapsed="false">
      <c r="F1729" s="41" t="str">
        <f aca="false">IF(E1729="","",IFERROR(VLOOKUP(E1729,Assumptions!$G$5:$H$16,2,0),"Other"))</f>
        <v/>
      </c>
      <c r="J1729" s="41" t="str">
        <f aca="false">IF(G1729="","",IFERROR(IF(ISNUMBER(SEARCH(Assumptions!$C$5,G1729)),Assumptions!$D$5,IF(ISNUMBER(SEARCH(Assumptions!$C$6,G1729)),Assumptions!$D$6,IF(ISNUMBER(SEARCH(Assumptions!$C$7,G1729)),Assumptions!$D$7,"Other Services"))),"Other Services"))</f>
        <v/>
      </c>
    </row>
    <row r="1730" customFormat="false" ht="15" hidden="false" customHeight="false" outlineLevel="0" collapsed="false">
      <c r="F1730" s="41" t="str">
        <f aca="false">IF(E1730="","",IFERROR(VLOOKUP(E1730,Assumptions!$G$5:$H$16,2,0),"Other"))</f>
        <v/>
      </c>
      <c r="J1730" s="41" t="str">
        <f aca="false">IF(G1730="","",IFERROR(IF(ISNUMBER(SEARCH(Assumptions!$C$5,G1730)),Assumptions!$D$5,IF(ISNUMBER(SEARCH(Assumptions!$C$6,G1730)),Assumptions!$D$6,IF(ISNUMBER(SEARCH(Assumptions!$C$7,G1730)),Assumptions!$D$7,"Other Services"))),"Other Services"))</f>
        <v/>
      </c>
    </row>
    <row r="1731" customFormat="false" ht="15" hidden="false" customHeight="false" outlineLevel="0" collapsed="false">
      <c r="F1731" s="41" t="str">
        <f aca="false">IF(E1731="","",IFERROR(VLOOKUP(E1731,Assumptions!$G$5:$H$16,2,0),"Other"))</f>
        <v/>
      </c>
      <c r="J1731" s="41" t="str">
        <f aca="false">IF(G1731="","",IFERROR(IF(ISNUMBER(SEARCH(Assumptions!$C$5,G1731)),Assumptions!$D$5,IF(ISNUMBER(SEARCH(Assumptions!$C$6,G1731)),Assumptions!$D$6,IF(ISNUMBER(SEARCH(Assumptions!$C$7,G1731)),Assumptions!$D$7,"Other Services"))),"Other Services"))</f>
        <v/>
      </c>
    </row>
    <row r="1732" customFormat="false" ht="15" hidden="false" customHeight="false" outlineLevel="0" collapsed="false">
      <c r="F1732" s="41" t="str">
        <f aca="false">IF(E1732="","",IFERROR(VLOOKUP(E1732,Assumptions!$G$5:$H$16,2,0),"Other"))</f>
        <v/>
      </c>
      <c r="J1732" s="41" t="str">
        <f aca="false">IF(G1732="","",IFERROR(IF(ISNUMBER(SEARCH(Assumptions!$C$5,G1732)),Assumptions!$D$5,IF(ISNUMBER(SEARCH(Assumptions!$C$6,G1732)),Assumptions!$D$6,IF(ISNUMBER(SEARCH(Assumptions!$C$7,G1732)),Assumptions!$D$7,"Other Services"))),"Other Services"))</f>
        <v/>
      </c>
    </row>
    <row r="1733" customFormat="false" ht="15" hidden="false" customHeight="false" outlineLevel="0" collapsed="false">
      <c r="F1733" s="41" t="str">
        <f aca="false">IF(E1733="","",IFERROR(VLOOKUP(E1733,Assumptions!$G$5:$H$16,2,0),"Other"))</f>
        <v/>
      </c>
      <c r="J1733" s="41" t="str">
        <f aca="false">IF(G1733="","",IFERROR(IF(ISNUMBER(SEARCH(Assumptions!$C$5,G1733)),Assumptions!$D$5,IF(ISNUMBER(SEARCH(Assumptions!$C$6,G1733)),Assumptions!$D$6,IF(ISNUMBER(SEARCH(Assumptions!$C$7,G1733)),Assumptions!$D$7,"Other Services"))),"Other Services"))</f>
        <v/>
      </c>
    </row>
    <row r="1734" customFormat="false" ht="15" hidden="false" customHeight="false" outlineLevel="0" collapsed="false">
      <c r="F1734" s="41" t="str">
        <f aca="false">IF(E1734="","",IFERROR(VLOOKUP(E1734,Assumptions!$G$5:$H$16,2,0),"Other"))</f>
        <v/>
      </c>
      <c r="J1734" s="41" t="str">
        <f aca="false">IF(G1734="","",IFERROR(IF(ISNUMBER(SEARCH(Assumptions!$C$5,G1734)),Assumptions!$D$5,IF(ISNUMBER(SEARCH(Assumptions!$C$6,G1734)),Assumptions!$D$6,IF(ISNUMBER(SEARCH(Assumptions!$C$7,G1734)),Assumptions!$D$7,"Other Services"))),"Other Services"))</f>
        <v/>
      </c>
    </row>
    <row r="1735" customFormat="false" ht="15" hidden="false" customHeight="false" outlineLevel="0" collapsed="false">
      <c r="F1735" s="41" t="str">
        <f aca="false">IF(E1735="","",IFERROR(VLOOKUP(E1735,Assumptions!$G$5:$H$16,2,0),"Other"))</f>
        <v/>
      </c>
      <c r="J1735" s="41" t="str">
        <f aca="false">IF(G1735="","",IFERROR(IF(ISNUMBER(SEARCH(Assumptions!$C$5,G1735)),Assumptions!$D$5,IF(ISNUMBER(SEARCH(Assumptions!$C$6,G1735)),Assumptions!$D$6,IF(ISNUMBER(SEARCH(Assumptions!$C$7,G1735)),Assumptions!$D$7,"Other Services"))),"Other Services"))</f>
        <v/>
      </c>
    </row>
    <row r="1736" customFormat="false" ht="15" hidden="false" customHeight="false" outlineLevel="0" collapsed="false">
      <c r="F1736" s="41" t="str">
        <f aca="false">IF(E1736="","",IFERROR(VLOOKUP(E1736,Assumptions!$G$5:$H$16,2,0),"Other"))</f>
        <v/>
      </c>
      <c r="J1736" s="41" t="str">
        <f aca="false">IF(G1736="","",IFERROR(IF(ISNUMBER(SEARCH(Assumptions!$C$5,G1736)),Assumptions!$D$5,IF(ISNUMBER(SEARCH(Assumptions!$C$6,G1736)),Assumptions!$D$6,IF(ISNUMBER(SEARCH(Assumptions!$C$7,G1736)),Assumptions!$D$7,"Other Services"))),"Other Services"))</f>
        <v/>
      </c>
    </row>
    <row r="1737" customFormat="false" ht="15" hidden="false" customHeight="false" outlineLevel="0" collapsed="false">
      <c r="F1737" s="41" t="str">
        <f aca="false">IF(E1737="","",IFERROR(VLOOKUP(E1737,Assumptions!$G$5:$H$16,2,0),"Other"))</f>
        <v/>
      </c>
      <c r="J1737" s="41" t="str">
        <f aca="false">IF(G1737="","",IFERROR(IF(ISNUMBER(SEARCH(Assumptions!$C$5,G1737)),Assumptions!$D$5,IF(ISNUMBER(SEARCH(Assumptions!$C$6,G1737)),Assumptions!$D$6,IF(ISNUMBER(SEARCH(Assumptions!$C$7,G1737)),Assumptions!$D$7,"Other Services"))),"Other Services"))</f>
        <v/>
      </c>
    </row>
    <row r="1738" customFormat="false" ht="15" hidden="false" customHeight="false" outlineLevel="0" collapsed="false">
      <c r="F1738" s="41" t="str">
        <f aca="false">IF(E1738="","",IFERROR(VLOOKUP(E1738,Assumptions!$G$5:$H$16,2,0),"Other"))</f>
        <v/>
      </c>
      <c r="J1738" s="41" t="str">
        <f aca="false">IF(G1738="","",IFERROR(IF(ISNUMBER(SEARCH(Assumptions!$C$5,G1738)),Assumptions!$D$5,IF(ISNUMBER(SEARCH(Assumptions!$C$6,G1738)),Assumptions!$D$6,IF(ISNUMBER(SEARCH(Assumptions!$C$7,G1738)),Assumptions!$D$7,"Other Services"))),"Other Services"))</f>
        <v/>
      </c>
    </row>
    <row r="1739" customFormat="false" ht="15" hidden="false" customHeight="false" outlineLevel="0" collapsed="false">
      <c r="F1739" s="41" t="str">
        <f aca="false">IF(E1739="","",IFERROR(VLOOKUP(E1739,Assumptions!$G$5:$H$16,2,0),"Other"))</f>
        <v/>
      </c>
      <c r="J1739" s="41" t="str">
        <f aca="false">IF(G1739="","",IFERROR(IF(ISNUMBER(SEARCH(Assumptions!$C$5,G1739)),Assumptions!$D$5,IF(ISNUMBER(SEARCH(Assumptions!$C$6,G1739)),Assumptions!$D$6,IF(ISNUMBER(SEARCH(Assumptions!$C$7,G1739)),Assumptions!$D$7,"Other Services"))),"Other Services"))</f>
        <v/>
      </c>
    </row>
    <row r="1740" customFormat="false" ht="15" hidden="false" customHeight="false" outlineLevel="0" collapsed="false">
      <c r="F1740" s="41" t="str">
        <f aca="false">IF(E1740="","",IFERROR(VLOOKUP(E1740,Assumptions!$G$5:$H$16,2,0),"Other"))</f>
        <v/>
      </c>
      <c r="J1740" s="41" t="str">
        <f aca="false">IF(G1740="","",IFERROR(IF(ISNUMBER(SEARCH(Assumptions!$C$5,G1740)),Assumptions!$D$5,IF(ISNUMBER(SEARCH(Assumptions!$C$6,G1740)),Assumptions!$D$6,IF(ISNUMBER(SEARCH(Assumptions!$C$7,G1740)),Assumptions!$D$7,"Other Services"))),"Other Services"))</f>
        <v/>
      </c>
    </row>
    <row r="1741" customFormat="false" ht="15" hidden="false" customHeight="false" outlineLevel="0" collapsed="false">
      <c r="F1741" s="41" t="str">
        <f aca="false">IF(E1741="","",IFERROR(VLOOKUP(E1741,Assumptions!$G$5:$H$16,2,0),"Other"))</f>
        <v/>
      </c>
      <c r="J1741" s="41" t="str">
        <f aca="false">IF(G1741="","",IFERROR(IF(ISNUMBER(SEARCH(Assumptions!$C$5,G1741)),Assumptions!$D$5,IF(ISNUMBER(SEARCH(Assumptions!$C$6,G1741)),Assumptions!$D$6,IF(ISNUMBER(SEARCH(Assumptions!$C$7,G1741)),Assumptions!$D$7,"Other Services"))),"Other Services"))</f>
        <v/>
      </c>
    </row>
    <row r="1742" customFormat="false" ht="15" hidden="false" customHeight="false" outlineLevel="0" collapsed="false">
      <c r="F1742" s="41" t="str">
        <f aca="false">IF(E1742="","",IFERROR(VLOOKUP(E1742,Assumptions!$G$5:$H$16,2,0),"Other"))</f>
        <v/>
      </c>
      <c r="J1742" s="41" t="str">
        <f aca="false">IF(G1742="","",IFERROR(IF(ISNUMBER(SEARCH(Assumptions!$C$5,G1742)),Assumptions!$D$5,IF(ISNUMBER(SEARCH(Assumptions!$C$6,G1742)),Assumptions!$D$6,IF(ISNUMBER(SEARCH(Assumptions!$C$7,G1742)),Assumptions!$D$7,"Other Services"))),"Other Services"))</f>
        <v/>
      </c>
    </row>
    <row r="1743" customFormat="false" ht="15" hidden="false" customHeight="false" outlineLevel="0" collapsed="false">
      <c r="F1743" s="41" t="str">
        <f aca="false">IF(E1743="","",IFERROR(VLOOKUP(E1743,Assumptions!$G$5:$H$16,2,0),"Other"))</f>
        <v/>
      </c>
      <c r="J1743" s="41" t="str">
        <f aca="false">IF(G1743="","",IFERROR(IF(ISNUMBER(SEARCH(Assumptions!$C$5,G1743)),Assumptions!$D$5,IF(ISNUMBER(SEARCH(Assumptions!$C$6,G1743)),Assumptions!$D$6,IF(ISNUMBER(SEARCH(Assumptions!$C$7,G1743)),Assumptions!$D$7,"Other Services"))),"Other Services"))</f>
        <v/>
      </c>
    </row>
    <row r="1744" customFormat="false" ht="15" hidden="false" customHeight="false" outlineLevel="0" collapsed="false">
      <c r="F1744" s="41" t="str">
        <f aca="false">IF(E1744="","",IFERROR(VLOOKUP(E1744,Assumptions!$G$5:$H$16,2,0),"Other"))</f>
        <v/>
      </c>
      <c r="J1744" s="41" t="str">
        <f aca="false">IF(G1744="","",IFERROR(IF(ISNUMBER(SEARCH(Assumptions!$C$5,G1744)),Assumptions!$D$5,IF(ISNUMBER(SEARCH(Assumptions!$C$6,G1744)),Assumptions!$D$6,IF(ISNUMBER(SEARCH(Assumptions!$C$7,G1744)),Assumptions!$D$7,"Other Services"))),"Other Services"))</f>
        <v/>
      </c>
    </row>
    <row r="1745" customFormat="false" ht="15" hidden="false" customHeight="false" outlineLevel="0" collapsed="false">
      <c r="F1745" s="41" t="str">
        <f aca="false">IF(E1745="","",IFERROR(VLOOKUP(E1745,Assumptions!$G$5:$H$16,2,0),"Other"))</f>
        <v/>
      </c>
      <c r="J1745" s="41" t="str">
        <f aca="false">IF(G1745="","",IFERROR(IF(ISNUMBER(SEARCH(Assumptions!$C$5,G1745)),Assumptions!$D$5,IF(ISNUMBER(SEARCH(Assumptions!$C$6,G1745)),Assumptions!$D$6,IF(ISNUMBER(SEARCH(Assumptions!$C$7,G1745)),Assumptions!$D$7,"Other Services"))),"Other Services"))</f>
        <v/>
      </c>
    </row>
    <row r="1746" customFormat="false" ht="15" hidden="false" customHeight="false" outlineLevel="0" collapsed="false">
      <c r="F1746" s="41" t="str">
        <f aca="false">IF(E1746="","",IFERROR(VLOOKUP(E1746,Assumptions!$G$5:$H$16,2,0),"Other"))</f>
        <v/>
      </c>
      <c r="J1746" s="41" t="str">
        <f aca="false">IF(G1746="","",IFERROR(IF(ISNUMBER(SEARCH(Assumptions!$C$5,G1746)),Assumptions!$D$5,IF(ISNUMBER(SEARCH(Assumptions!$C$6,G1746)),Assumptions!$D$6,IF(ISNUMBER(SEARCH(Assumptions!$C$7,G1746)),Assumptions!$D$7,"Other Services"))),"Other Services"))</f>
        <v/>
      </c>
    </row>
    <row r="1747" customFormat="false" ht="15" hidden="false" customHeight="false" outlineLevel="0" collapsed="false">
      <c r="F1747" s="41" t="str">
        <f aca="false">IF(E1747="","",IFERROR(VLOOKUP(E1747,Assumptions!$G$5:$H$16,2,0),"Other"))</f>
        <v/>
      </c>
      <c r="J1747" s="41" t="str">
        <f aca="false">IF(G1747="","",IFERROR(IF(ISNUMBER(SEARCH(Assumptions!$C$5,G1747)),Assumptions!$D$5,IF(ISNUMBER(SEARCH(Assumptions!$C$6,G1747)),Assumptions!$D$6,IF(ISNUMBER(SEARCH(Assumptions!$C$7,G1747)),Assumptions!$D$7,"Other Services"))),"Other Services"))</f>
        <v/>
      </c>
    </row>
    <row r="1748" customFormat="false" ht="15" hidden="false" customHeight="false" outlineLevel="0" collapsed="false">
      <c r="F1748" s="41" t="str">
        <f aca="false">IF(E1748="","",IFERROR(VLOOKUP(E1748,Assumptions!$G$5:$H$16,2,0),"Other"))</f>
        <v/>
      </c>
      <c r="J1748" s="41" t="str">
        <f aca="false">IF(G1748="","",IFERROR(IF(ISNUMBER(SEARCH(Assumptions!$C$5,G1748)),Assumptions!$D$5,IF(ISNUMBER(SEARCH(Assumptions!$C$6,G1748)),Assumptions!$D$6,IF(ISNUMBER(SEARCH(Assumptions!$C$7,G1748)),Assumptions!$D$7,"Other Services"))),"Other Services"))</f>
        <v/>
      </c>
    </row>
    <row r="1749" customFormat="false" ht="15" hidden="false" customHeight="false" outlineLevel="0" collapsed="false">
      <c r="F1749" s="41" t="str">
        <f aca="false">IF(E1749="","",IFERROR(VLOOKUP(E1749,Assumptions!$G$5:$H$16,2,0),"Other"))</f>
        <v/>
      </c>
      <c r="J1749" s="41" t="str">
        <f aca="false">IF(G1749="","",IFERROR(IF(ISNUMBER(SEARCH(Assumptions!$C$5,G1749)),Assumptions!$D$5,IF(ISNUMBER(SEARCH(Assumptions!$C$6,G1749)),Assumptions!$D$6,IF(ISNUMBER(SEARCH(Assumptions!$C$7,G1749)),Assumptions!$D$7,"Other Services"))),"Other Services"))</f>
        <v/>
      </c>
    </row>
    <row r="1750" customFormat="false" ht="15" hidden="false" customHeight="false" outlineLevel="0" collapsed="false">
      <c r="F1750" s="41" t="str">
        <f aca="false">IF(E1750="","",IFERROR(VLOOKUP(E1750,Assumptions!$G$5:$H$16,2,0),"Other"))</f>
        <v/>
      </c>
      <c r="J1750" s="41" t="str">
        <f aca="false">IF(G1750="","",IFERROR(IF(ISNUMBER(SEARCH(Assumptions!$C$5,G1750)),Assumptions!$D$5,IF(ISNUMBER(SEARCH(Assumptions!$C$6,G1750)),Assumptions!$D$6,IF(ISNUMBER(SEARCH(Assumptions!$C$7,G1750)),Assumptions!$D$7,"Other Services"))),"Other Services"))</f>
        <v/>
      </c>
    </row>
    <row r="1751" customFormat="false" ht="15" hidden="false" customHeight="false" outlineLevel="0" collapsed="false">
      <c r="F1751" s="41" t="str">
        <f aca="false">IF(E1751="","",IFERROR(VLOOKUP(E1751,Assumptions!$G$5:$H$16,2,0),"Other"))</f>
        <v/>
      </c>
      <c r="J1751" s="41" t="str">
        <f aca="false">IF(G1751="","",IFERROR(IF(ISNUMBER(SEARCH(Assumptions!$C$5,G1751)),Assumptions!$D$5,IF(ISNUMBER(SEARCH(Assumptions!$C$6,G1751)),Assumptions!$D$6,IF(ISNUMBER(SEARCH(Assumptions!$C$7,G1751)),Assumptions!$D$7,"Other Services"))),"Other Services"))</f>
        <v/>
      </c>
    </row>
    <row r="1752" customFormat="false" ht="15" hidden="false" customHeight="false" outlineLevel="0" collapsed="false">
      <c r="F1752" s="41" t="str">
        <f aca="false">IF(E1752="","",IFERROR(VLOOKUP(E1752,Assumptions!$G$5:$H$16,2,0),"Other"))</f>
        <v/>
      </c>
      <c r="J1752" s="41" t="str">
        <f aca="false">IF(G1752="","",IFERROR(IF(ISNUMBER(SEARCH(Assumptions!$C$5,G1752)),Assumptions!$D$5,IF(ISNUMBER(SEARCH(Assumptions!$C$6,G1752)),Assumptions!$D$6,IF(ISNUMBER(SEARCH(Assumptions!$C$7,G1752)),Assumptions!$D$7,"Other Services"))),"Other Services"))</f>
        <v/>
      </c>
    </row>
    <row r="1753" customFormat="false" ht="15" hidden="false" customHeight="false" outlineLevel="0" collapsed="false">
      <c r="F1753" s="41" t="str">
        <f aca="false">IF(E1753="","",IFERROR(VLOOKUP(E1753,Assumptions!$G$5:$H$16,2,0),"Other"))</f>
        <v/>
      </c>
      <c r="J1753" s="41" t="str">
        <f aca="false">IF(G1753="","",IFERROR(IF(ISNUMBER(SEARCH(Assumptions!$C$5,G1753)),Assumptions!$D$5,IF(ISNUMBER(SEARCH(Assumptions!$C$6,G1753)),Assumptions!$D$6,IF(ISNUMBER(SEARCH(Assumptions!$C$7,G1753)),Assumptions!$D$7,"Other Services"))),"Other Services"))</f>
        <v/>
      </c>
    </row>
    <row r="1754" customFormat="false" ht="15" hidden="false" customHeight="false" outlineLevel="0" collapsed="false">
      <c r="F1754" s="41" t="str">
        <f aca="false">IF(E1754="","",IFERROR(VLOOKUP(E1754,Assumptions!$G$5:$H$16,2,0),"Other"))</f>
        <v/>
      </c>
      <c r="J1754" s="41" t="str">
        <f aca="false">IF(G1754="","",IFERROR(IF(ISNUMBER(SEARCH(Assumptions!$C$5,G1754)),Assumptions!$D$5,IF(ISNUMBER(SEARCH(Assumptions!$C$6,G1754)),Assumptions!$D$6,IF(ISNUMBER(SEARCH(Assumptions!$C$7,G1754)),Assumptions!$D$7,"Other Services"))),"Other Services"))</f>
        <v/>
      </c>
    </row>
    <row r="1755" customFormat="false" ht="15" hidden="false" customHeight="false" outlineLevel="0" collapsed="false">
      <c r="F1755" s="41" t="str">
        <f aca="false">IF(E1755="","",IFERROR(VLOOKUP(E1755,Assumptions!$G$5:$H$16,2,0),"Other"))</f>
        <v/>
      </c>
      <c r="J1755" s="41" t="str">
        <f aca="false">IF(G1755="","",IFERROR(IF(ISNUMBER(SEARCH(Assumptions!$C$5,G1755)),Assumptions!$D$5,IF(ISNUMBER(SEARCH(Assumptions!$C$6,G1755)),Assumptions!$D$6,IF(ISNUMBER(SEARCH(Assumptions!$C$7,G1755)),Assumptions!$D$7,"Other Services"))),"Other Services"))</f>
        <v/>
      </c>
    </row>
    <row r="1756" customFormat="false" ht="15" hidden="false" customHeight="false" outlineLevel="0" collapsed="false">
      <c r="F1756" s="41" t="str">
        <f aca="false">IF(E1756="","",IFERROR(VLOOKUP(E1756,Assumptions!$G$5:$H$16,2,0),"Other"))</f>
        <v/>
      </c>
      <c r="J1756" s="41" t="str">
        <f aca="false">IF(G1756="","",IFERROR(IF(ISNUMBER(SEARCH(Assumptions!$C$5,G1756)),Assumptions!$D$5,IF(ISNUMBER(SEARCH(Assumptions!$C$6,G1756)),Assumptions!$D$6,IF(ISNUMBER(SEARCH(Assumptions!$C$7,G1756)),Assumptions!$D$7,"Other Services"))),"Other Services"))</f>
        <v/>
      </c>
    </row>
    <row r="1757" customFormat="false" ht="15" hidden="false" customHeight="false" outlineLevel="0" collapsed="false">
      <c r="F1757" s="41" t="str">
        <f aca="false">IF(E1757="","",IFERROR(VLOOKUP(E1757,Assumptions!$G$5:$H$16,2,0),"Other"))</f>
        <v/>
      </c>
      <c r="J1757" s="41" t="str">
        <f aca="false">IF(G1757="","",IFERROR(IF(ISNUMBER(SEARCH(Assumptions!$C$5,G1757)),Assumptions!$D$5,IF(ISNUMBER(SEARCH(Assumptions!$C$6,G1757)),Assumptions!$D$6,IF(ISNUMBER(SEARCH(Assumptions!$C$7,G1757)),Assumptions!$D$7,"Other Services"))),"Other Services"))</f>
        <v/>
      </c>
    </row>
    <row r="1758" customFormat="false" ht="15" hidden="false" customHeight="false" outlineLevel="0" collapsed="false">
      <c r="F1758" s="41" t="str">
        <f aca="false">IF(E1758="","",IFERROR(VLOOKUP(E1758,Assumptions!$G$5:$H$16,2,0),"Other"))</f>
        <v/>
      </c>
      <c r="J1758" s="41" t="str">
        <f aca="false">IF(G1758="","",IFERROR(IF(ISNUMBER(SEARCH(Assumptions!$C$5,G1758)),Assumptions!$D$5,IF(ISNUMBER(SEARCH(Assumptions!$C$6,G1758)),Assumptions!$D$6,IF(ISNUMBER(SEARCH(Assumptions!$C$7,G1758)),Assumptions!$D$7,"Other Services"))),"Other Services"))</f>
        <v/>
      </c>
    </row>
    <row r="1759" customFormat="false" ht="15" hidden="false" customHeight="false" outlineLevel="0" collapsed="false">
      <c r="F1759" s="41" t="str">
        <f aca="false">IF(E1759="","",IFERROR(VLOOKUP(E1759,Assumptions!$G$5:$H$16,2,0),"Other"))</f>
        <v/>
      </c>
      <c r="J1759" s="41" t="str">
        <f aca="false">IF(G1759="","",IFERROR(IF(ISNUMBER(SEARCH(Assumptions!$C$5,G1759)),Assumptions!$D$5,IF(ISNUMBER(SEARCH(Assumptions!$C$6,G1759)),Assumptions!$D$6,IF(ISNUMBER(SEARCH(Assumptions!$C$7,G1759)),Assumptions!$D$7,"Other Services"))),"Other Services"))</f>
        <v/>
      </c>
    </row>
    <row r="1760" customFormat="false" ht="15" hidden="false" customHeight="false" outlineLevel="0" collapsed="false">
      <c r="F1760" s="41" t="str">
        <f aca="false">IF(E1760="","",IFERROR(VLOOKUP(E1760,Assumptions!$G$5:$H$16,2,0),"Other"))</f>
        <v/>
      </c>
      <c r="J1760" s="41" t="str">
        <f aca="false">IF(G1760="","",IFERROR(IF(ISNUMBER(SEARCH(Assumptions!$C$5,G1760)),Assumptions!$D$5,IF(ISNUMBER(SEARCH(Assumptions!$C$6,G1760)),Assumptions!$D$6,IF(ISNUMBER(SEARCH(Assumptions!$C$7,G1760)),Assumptions!$D$7,"Other Services"))),"Other Services"))</f>
        <v/>
      </c>
    </row>
    <row r="1761" customFormat="false" ht="15" hidden="false" customHeight="false" outlineLevel="0" collapsed="false">
      <c r="F1761" s="41" t="str">
        <f aca="false">IF(E1761="","",IFERROR(VLOOKUP(E1761,Assumptions!$G$5:$H$16,2,0),"Other"))</f>
        <v/>
      </c>
      <c r="J1761" s="41" t="str">
        <f aca="false">IF(G1761="","",IFERROR(IF(ISNUMBER(SEARCH(Assumptions!$C$5,G1761)),Assumptions!$D$5,IF(ISNUMBER(SEARCH(Assumptions!$C$6,G1761)),Assumptions!$D$6,IF(ISNUMBER(SEARCH(Assumptions!$C$7,G1761)),Assumptions!$D$7,"Other Services"))),"Other Services"))</f>
        <v/>
      </c>
    </row>
    <row r="1762" customFormat="false" ht="15" hidden="false" customHeight="false" outlineLevel="0" collapsed="false">
      <c r="F1762" s="41" t="str">
        <f aca="false">IF(E1762="","",IFERROR(VLOOKUP(E1762,Assumptions!$G$5:$H$16,2,0),"Other"))</f>
        <v/>
      </c>
      <c r="J1762" s="41" t="str">
        <f aca="false">IF(G1762="","",IFERROR(IF(ISNUMBER(SEARCH(Assumptions!$C$5,G1762)),Assumptions!$D$5,IF(ISNUMBER(SEARCH(Assumptions!$C$6,G1762)),Assumptions!$D$6,IF(ISNUMBER(SEARCH(Assumptions!$C$7,G1762)),Assumptions!$D$7,"Other Services"))),"Other Services"))</f>
        <v/>
      </c>
    </row>
    <row r="1763" customFormat="false" ht="15" hidden="false" customHeight="false" outlineLevel="0" collapsed="false">
      <c r="F1763" s="41" t="str">
        <f aca="false">IF(E1763="","",IFERROR(VLOOKUP(E1763,Assumptions!$G$5:$H$16,2,0),"Other"))</f>
        <v/>
      </c>
      <c r="J1763" s="41" t="str">
        <f aca="false">IF(G1763="","",IFERROR(IF(ISNUMBER(SEARCH(Assumptions!$C$5,G1763)),Assumptions!$D$5,IF(ISNUMBER(SEARCH(Assumptions!$C$6,G1763)),Assumptions!$D$6,IF(ISNUMBER(SEARCH(Assumptions!$C$7,G1763)),Assumptions!$D$7,"Other Services"))),"Other Services"))</f>
        <v/>
      </c>
    </row>
    <row r="1764" customFormat="false" ht="15" hidden="false" customHeight="false" outlineLevel="0" collapsed="false">
      <c r="F1764" s="41" t="str">
        <f aca="false">IF(E1764="","",IFERROR(VLOOKUP(E1764,Assumptions!$G$5:$H$16,2,0),"Other"))</f>
        <v/>
      </c>
      <c r="J1764" s="41" t="str">
        <f aca="false">IF(G1764="","",IFERROR(IF(ISNUMBER(SEARCH(Assumptions!$C$5,G1764)),Assumptions!$D$5,IF(ISNUMBER(SEARCH(Assumptions!$C$6,G1764)),Assumptions!$D$6,IF(ISNUMBER(SEARCH(Assumptions!$C$7,G1764)),Assumptions!$D$7,"Other Services"))),"Other Services"))</f>
        <v/>
      </c>
    </row>
    <row r="1765" customFormat="false" ht="15" hidden="false" customHeight="false" outlineLevel="0" collapsed="false">
      <c r="F1765" s="41" t="str">
        <f aca="false">IF(E1765="","",IFERROR(VLOOKUP(E1765,Assumptions!$G$5:$H$16,2,0),"Other"))</f>
        <v/>
      </c>
      <c r="J1765" s="41" t="str">
        <f aca="false">IF(G1765="","",IFERROR(IF(ISNUMBER(SEARCH(Assumptions!$C$5,G1765)),Assumptions!$D$5,IF(ISNUMBER(SEARCH(Assumptions!$C$6,G1765)),Assumptions!$D$6,IF(ISNUMBER(SEARCH(Assumptions!$C$7,G1765)),Assumptions!$D$7,"Other Services"))),"Other Services"))</f>
        <v/>
      </c>
    </row>
    <row r="1766" customFormat="false" ht="15" hidden="false" customHeight="false" outlineLevel="0" collapsed="false">
      <c r="F1766" s="41" t="str">
        <f aca="false">IF(E1766="","",IFERROR(VLOOKUP(E1766,Assumptions!$G$5:$H$16,2,0),"Other"))</f>
        <v/>
      </c>
      <c r="J1766" s="41" t="str">
        <f aca="false">IF(G1766="","",IFERROR(IF(ISNUMBER(SEARCH(Assumptions!$C$5,G1766)),Assumptions!$D$5,IF(ISNUMBER(SEARCH(Assumptions!$C$6,G1766)),Assumptions!$D$6,IF(ISNUMBER(SEARCH(Assumptions!$C$7,G1766)),Assumptions!$D$7,"Other Services"))),"Other Services"))</f>
        <v/>
      </c>
    </row>
    <row r="1767" customFormat="false" ht="15" hidden="false" customHeight="false" outlineLevel="0" collapsed="false">
      <c r="F1767" s="41" t="str">
        <f aca="false">IF(E1767="","",IFERROR(VLOOKUP(E1767,Assumptions!$G$5:$H$16,2,0),"Other"))</f>
        <v/>
      </c>
      <c r="J1767" s="41" t="str">
        <f aca="false">IF(G1767="","",IFERROR(IF(ISNUMBER(SEARCH(Assumptions!$C$5,G1767)),Assumptions!$D$5,IF(ISNUMBER(SEARCH(Assumptions!$C$6,G1767)),Assumptions!$D$6,IF(ISNUMBER(SEARCH(Assumptions!$C$7,G1767)),Assumptions!$D$7,"Other Services"))),"Other Services"))</f>
        <v/>
      </c>
    </row>
    <row r="1768" customFormat="false" ht="15" hidden="false" customHeight="false" outlineLevel="0" collapsed="false">
      <c r="F1768" s="41" t="str">
        <f aca="false">IF(E1768="","",IFERROR(VLOOKUP(E1768,Assumptions!$G$5:$H$16,2,0),"Other"))</f>
        <v/>
      </c>
      <c r="J1768" s="41" t="str">
        <f aca="false">IF(G1768="","",IFERROR(IF(ISNUMBER(SEARCH(Assumptions!$C$5,G1768)),Assumptions!$D$5,IF(ISNUMBER(SEARCH(Assumptions!$C$6,G1768)),Assumptions!$D$6,IF(ISNUMBER(SEARCH(Assumptions!$C$7,G1768)),Assumptions!$D$7,"Other Services"))),"Other Services"))</f>
        <v/>
      </c>
    </row>
    <row r="1769" customFormat="false" ht="15" hidden="false" customHeight="false" outlineLevel="0" collapsed="false">
      <c r="F1769" s="41" t="str">
        <f aca="false">IF(E1769="","",IFERROR(VLOOKUP(E1769,Assumptions!$G$5:$H$16,2,0),"Other"))</f>
        <v/>
      </c>
      <c r="J1769" s="41" t="str">
        <f aca="false">IF(G1769="","",IFERROR(IF(ISNUMBER(SEARCH(Assumptions!$C$5,G1769)),Assumptions!$D$5,IF(ISNUMBER(SEARCH(Assumptions!$C$6,G1769)),Assumptions!$D$6,IF(ISNUMBER(SEARCH(Assumptions!$C$7,G1769)),Assumptions!$D$7,"Other Services"))),"Other Services"))</f>
        <v/>
      </c>
    </row>
    <row r="1770" customFormat="false" ht="15" hidden="false" customHeight="false" outlineLevel="0" collapsed="false">
      <c r="F1770" s="41" t="str">
        <f aca="false">IF(E1770="","",IFERROR(VLOOKUP(E1770,Assumptions!$G$5:$H$16,2,0),"Other"))</f>
        <v/>
      </c>
      <c r="J1770" s="41" t="str">
        <f aca="false">IF(G1770="","",IFERROR(IF(ISNUMBER(SEARCH(Assumptions!$C$5,G1770)),Assumptions!$D$5,IF(ISNUMBER(SEARCH(Assumptions!$C$6,G1770)),Assumptions!$D$6,IF(ISNUMBER(SEARCH(Assumptions!$C$7,G1770)),Assumptions!$D$7,"Other Services"))),"Other Services"))</f>
        <v/>
      </c>
    </row>
    <row r="1771" customFormat="false" ht="15" hidden="false" customHeight="false" outlineLevel="0" collapsed="false">
      <c r="F1771" s="41" t="str">
        <f aca="false">IF(E1771="","",IFERROR(VLOOKUP(E1771,Assumptions!$G$5:$H$16,2,0),"Other"))</f>
        <v/>
      </c>
      <c r="J1771" s="41" t="str">
        <f aca="false">IF(G1771="","",IFERROR(IF(ISNUMBER(SEARCH(Assumptions!$C$5,G1771)),Assumptions!$D$5,IF(ISNUMBER(SEARCH(Assumptions!$C$6,G1771)),Assumptions!$D$6,IF(ISNUMBER(SEARCH(Assumptions!$C$7,G1771)),Assumptions!$D$7,"Other Services"))),"Other Services"))</f>
        <v/>
      </c>
    </row>
    <row r="1772" customFormat="false" ht="15" hidden="false" customHeight="false" outlineLevel="0" collapsed="false">
      <c r="F1772" s="41" t="str">
        <f aca="false">IF(E1772="","",IFERROR(VLOOKUP(E1772,Assumptions!$G$5:$H$16,2,0),"Other"))</f>
        <v/>
      </c>
      <c r="J1772" s="41" t="str">
        <f aca="false">IF(G1772="","",IFERROR(IF(ISNUMBER(SEARCH(Assumptions!$C$5,G1772)),Assumptions!$D$5,IF(ISNUMBER(SEARCH(Assumptions!$C$6,G1772)),Assumptions!$D$6,IF(ISNUMBER(SEARCH(Assumptions!$C$7,G1772)),Assumptions!$D$7,"Other Services"))),"Other Services"))</f>
        <v/>
      </c>
    </row>
    <row r="1773" customFormat="false" ht="15" hidden="false" customHeight="false" outlineLevel="0" collapsed="false">
      <c r="F1773" s="41" t="str">
        <f aca="false">IF(E1773="","",IFERROR(VLOOKUP(E1773,Assumptions!$G$5:$H$16,2,0),"Other"))</f>
        <v/>
      </c>
      <c r="J1773" s="41" t="str">
        <f aca="false">IF(G1773="","",IFERROR(IF(ISNUMBER(SEARCH(Assumptions!$C$5,G1773)),Assumptions!$D$5,IF(ISNUMBER(SEARCH(Assumptions!$C$6,G1773)),Assumptions!$D$6,IF(ISNUMBER(SEARCH(Assumptions!$C$7,G1773)),Assumptions!$D$7,"Other Services"))),"Other Services"))</f>
        <v/>
      </c>
    </row>
    <row r="1774" customFormat="false" ht="15" hidden="false" customHeight="false" outlineLevel="0" collapsed="false">
      <c r="F1774" s="41" t="str">
        <f aca="false">IF(E1774="","",IFERROR(VLOOKUP(E1774,Assumptions!$G$5:$H$16,2,0),"Other"))</f>
        <v/>
      </c>
      <c r="J1774" s="41" t="str">
        <f aca="false">IF(G1774="","",IFERROR(IF(ISNUMBER(SEARCH(Assumptions!$C$5,G1774)),Assumptions!$D$5,IF(ISNUMBER(SEARCH(Assumptions!$C$6,G1774)),Assumptions!$D$6,IF(ISNUMBER(SEARCH(Assumptions!$C$7,G1774)),Assumptions!$D$7,"Other Services"))),"Other Services"))</f>
        <v/>
      </c>
    </row>
    <row r="1775" customFormat="false" ht="15" hidden="false" customHeight="false" outlineLevel="0" collapsed="false">
      <c r="F1775" s="41" t="str">
        <f aca="false">IF(E1775="","",IFERROR(VLOOKUP(E1775,Assumptions!$G$5:$H$16,2,0),"Other"))</f>
        <v/>
      </c>
      <c r="J1775" s="41" t="str">
        <f aca="false">IF(G1775="","",IFERROR(IF(ISNUMBER(SEARCH(Assumptions!$C$5,G1775)),Assumptions!$D$5,IF(ISNUMBER(SEARCH(Assumptions!$C$6,G1775)),Assumptions!$D$6,IF(ISNUMBER(SEARCH(Assumptions!$C$7,G1775)),Assumptions!$D$7,"Other Services"))),"Other Services"))</f>
        <v/>
      </c>
    </row>
    <row r="1776" customFormat="false" ht="15" hidden="false" customHeight="false" outlineLevel="0" collapsed="false">
      <c r="F1776" s="41" t="str">
        <f aca="false">IF(E1776="","",IFERROR(VLOOKUP(E1776,Assumptions!$G$5:$H$16,2,0),"Other"))</f>
        <v/>
      </c>
      <c r="J1776" s="41" t="str">
        <f aca="false">IF(G1776="","",IFERROR(IF(ISNUMBER(SEARCH(Assumptions!$C$5,G1776)),Assumptions!$D$5,IF(ISNUMBER(SEARCH(Assumptions!$C$6,G1776)),Assumptions!$D$6,IF(ISNUMBER(SEARCH(Assumptions!$C$7,G1776)),Assumptions!$D$7,"Other Services"))),"Other Services"))</f>
        <v/>
      </c>
    </row>
    <row r="1777" customFormat="false" ht="15" hidden="false" customHeight="false" outlineLevel="0" collapsed="false">
      <c r="F1777" s="41" t="str">
        <f aca="false">IF(E1777="","",IFERROR(VLOOKUP(E1777,Assumptions!$G$5:$H$16,2,0),"Other"))</f>
        <v/>
      </c>
      <c r="J1777" s="41" t="str">
        <f aca="false">IF(G1777="","",IFERROR(IF(ISNUMBER(SEARCH(Assumptions!$C$5,G1777)),Assumptions!$D$5,IF(ISNUMBER(SEARCH(Assumptions!$C$6,G1777)),Assumptions!$D$6,IF(ISNUMBER(SEARCH(Assumptions!$C$7,G1777)),Assumptions!$D$7,"Other Services"))),"Other Services"))</f>
        <v/>
      </c>
    </row>
    <row r="1778" customFormat="false" ht="15" hidden="false" customHeight="false" outlineLevel="0" collapsed="false">
      <c r="F1778" s="41" t="str">
        <f aca="false">IF(E1778="","",IFERROR(VLOOKUP(E1778,Assumptions!$G$5:$H$16,2,0),"Other"))</f>
        <v/>
      </c>
      <c r="J1778" s="41" t="str">
        <f aca="false">IF(G1778="","",IFERROR(IF(ISNUMBER(SEARCH(Assumptions!$C$5,G1778)),Assumptions!$D$5,IF(ISNUMBER(SEARCH(Assumptions!$C$6,G1778)),Assumptions!$D$6,IF(ISNUMBER(SEARCH(Assumptions!$C$7,G1778)),Assumptions!$D$7,"Other Services"))),"Other Services"))</f>
        <v/>
      </c>
    </row>
    <row r="1779" customFormat="false" ht="15" hidden="false" customHeight="false" outlineLevel="0" collapsed="false">
      <c r="F1779" s="41" t="str">
        <f aca="false">IF(E1779="","",IFERROR(VLOOKUP(E1779,Assumptions!$G$5:$H$16,2,0),"Other"))</f>
        <v/>
      </c>
      <c r="J1779" s="41" t="str">
        <f aca="false">IF(G1779="","",IFERROR(IF(ISNUMBER(SEARCH(Assumptions!$C$5,G1779)),Assumptions!$D$5,IF(ISNUMBER(SEARCH(Assumptions!$C$6,G1779)),Assumptions!$D$6,IF(ISNUMBER(SEARCH(Assumptions!$C$7,G1779)),Assumptions!$D$7,"Other Services"))),"Other Services"))</f>
        <v/>
      </c>
    </row>
    <row r="1780" customFormat="false" ht="15" hidden="false" customHeight="false" outlineLevel="0" collapsed="false">
      <c r="F1780" s="41" t="str">
        <f aca="false">IF(E1780="","",IFERROR(VLOOKUP(E1780,Assumptions!$G$5:$H$16,2,0),"Other"))</f>
        <v/>
      </c>
      <c r="J1780" s="41" t="str">
        <f aca="false">IF(G1780="","",IFERROR(IF(ISNUMBER(SEARCH(Assumptions!$C$5,G1780)),Assumptions!$D$5,IF(ISNUMBER(SEARCH(Assumptions!$C$6,G1780)),Assumptions!$D$6,IF(ISNUMBER(SEARCH(Assumptions!$C$7,G1780)),Assumptions!$D$7,"Other Services"))),"Other Services"))</f>
        <v/>
      </c>
    </row>
    <row r="1781" customFormat="false" ht="15" hidden="false" customHeight="false" outlineLevel="0" collapsed="false">
      <c r="F1781" s="41" t="str">
        <f aca="false">IF(E1781="","",IFERROR(VLOOKUP(E1781,Assumptions!$G$5:$H$16,2,0),"Other"))</f>
        <v/>
      </c>
      <c r="J1781" s="41" t="str">
        <f aca="false">IF(G1781="","",IFERROR(IF(ISNUMBER(SEARCH(Assumptions!$C$5,G1781)),Assumptions!$D$5,IF(ISNUMBER(SEARCH(Assumptions!$C$6,G1781)),Assumptions!$D$6,IF(ISNUMBER(SEARCH(Assumptions!$C$7,G1781)),Assumptions!$D$7,"Other Services"))),"Other Services"))</f>
        <v/>
      </c>
    </row>
    <row r="1782" customFormat="false" ht="15" hidden="false" customHeight="false" outlineLevel="0" collapsed="false">
      <c r="F1782" s="41" t="str">
        <f aca="false">IF(E1782="","",IFERROR(VLOOKUP(E1782,Assumptions!$G$5:$H$16,2,0),"Other"))</f>
        <v/>
      </c>
      <c r="J1782" s="41" t="str">
        <f aca="false">IF(G1782="","",IFERROR(IF(ISNUMBER(SEARCH(Assumptions!$C$5,G1782)),Assumptions!$D$5,IF(ISNUMBER(SEARCH(Assumptions!$C$6,G1782)),Assumptions!$D$6,IF(ISNUMBER(SEARCH(Assumptions!$C$7,G1782)),Assumptions!$D$7,"Other Services"))),"Other Services"))</f>
        <v/>
      </c>
    </row>
    <row r="1783" customFormat="false" ht="15" hidden="false" customHeight="false" outlineLevel="0" collapsed="false">
      <c r="F1783" s="41" t="str">
        <f aca="false">IF(E1783="","",IFERROR(VLOOKUP(E1783,Assumptions!$G$5:$H$16,2,0),"Other"))</f>
        <v/>
      </c>
      <c r="J1783" s="41" t="str">
        <f aca="false">IF(G1783="","",IFERROR(IF(ISNUMBER(SEARCH(Assumptions!$C$5,G1783)),Assumptions!$D$5,IF(ISNUMBER(SEARCH(Assumptions!$C$6,G1783)),Assumptions!$D$6,IF(ISNUMBER(SEARCH(Assumptions!$C$7,G1783)),Assumptions!$D$7,"Other Services"))),"Other Services"))</f>
        <v/>
      </c>
    </row>
    <row r="1784" customFormat="false" ht="15" hidden="false" customHeight="false" outlineLevel="0" collapsed="false">
      <c r="F1784" s="41" t="str">
        <f aca="false">IF(E1784="","",IFERROR(VLOOKUP(E1784,Assumptions!$G$5:$H$16,2,0),"Other"))</f>
        <v/>
      </c>
      <c r="J1784" s="41" t="str">
        <f aca="false">IF(G1784="","",IFERROR(IF(ISNUMBER(SEARCH(Assumptions!$C$5,G1784)),Assumptions!$D$5,IF(ISNUMBER(SEARCH(Assumptions!$C$6,G1784)),Assumptions!$D$6,IF(ISNUMBER(SEARCH(Assumptions!$C$7,G1784)),Assumptions!$D$7,"Other Services"))),"Other Services"))</f>
        <v/>
      </c>
    </row>
    <row r="1785" customFormat="false" ht="15" hidden="false" customHeight="false" outlineLevel="0" collapsed="false">
      <c r="F1785" s="41" t="str">
        <f aca="false">IF(E1785="","",IFERROR(VLOOKUP(E1785,Assumptions!$G$5:$H$16,2,0),"Other"))</f>
        <v/>
      </c>
      <c r="J1785" s="41" t="str">
        <f aca="false">IF(G1785="","",IFERROR(IF(ISNUMBER(SEARCH(Assumptions!$C$5,G1785)),Assumptions!$D$5,IF(ISNUMBER(SEARCH(Assumptions!$C$6,G1785)),Assumptions!$D$6,IF(ISNUMBER(SEARCH(Assumptions!$C$7,G1785)),Assumptions!$D$7,"Other Services"))),"Other Services"))</f>
        <v/>
      </c>
    </row>
    <row r="1786" customFormat="false" ht="15" hidden="false" customHeight="false" outlineLevel="0" collapsed="false">
      <c r="F1786" s="41" t="str">
        <f aca="false">IF(E1786="","",IFERROR(VLOOKUP(E1786,Assumptions!$G$5:$H$16,2,0),"Other"))</f>
        <v/>
      </c>
      <c r="J1786" s="41" t="str">
        <f aca="false">IF(G1786="","",IFERROR(IF(ISNUMBER(SEARCH(Assumptions!$C$5,G1786)),Assumptions!$D$5,IF(ISNUMBER(SEARCH(Assumptions!$C$6,G1786)),Assumptions!$D$6,IF(ISNUMBER(SEARCH(Assumptions!$C$7,G1786)),Assumptions!$D$7,"Other Services"))),"Other Services"))</f>
        <v/>
      </c>
    </row>
    <row r="1787" customFormat="false" ht="15" hidden="false" customHeight="false" outlineLevel="0" collapsed="false">
      <c r="F1787" s="41" t="str">
        <f aca="false">IF(E1787="","",IFERROR(VLOOKUP(E1787,Assumptions!$G$5:$H$16,2,0),"Other"))</f>
        <v/>
      </c>
      <c r="J1787" s="41" t="str">
        <f aca="false">IF(G1787="","",IFERROR(IF(ISNUMBER(SEARCH(Assumptions!$C$5,G1787)),Assumptions!$D$5,IF(ISNUMBER(SEARCH(Assumptions!$C$6,G1787)),Assumptions!$D$6,IF(ISNUMBER(SEARCH(Assumptions!$C$7,G1787)),Assumptions!$D$7,"Other Services"))),"Other Services"))</f>
        <v/>
      </c>
    </row>
    <row r="1788" customFormat="false" ht="15" hidden="false" customHeight="false" outlineLevel="0" collapsed="false">
      <c r="F1788" s="41" t="str">
        <f aca="false">IF(E1788="","",IFERROR(VLOOKUP(E1788,Assumptions!$G$5:$H$16,2,0),"Other"))</f>
        <v/>
      </c>
      <c r="J1788" s="41" t="str">
        <f aca="false">IF(G1788="","",IFERROR(IF(ISNUMBER(SEARCH(Assumptions!$C$5,G1788)),Assumptions!$D$5,IF(ISNUMBER(SEARCH(Assumptions!$C$6,G1788)),Assumptions!$D$6,IF(ISNUMBER(SEARCH(Assumptions!$C$7,G1788)),Assumptions!$D$7,"Other Services"))),"Other Services"))</f>
        <v/>
      </c>
    </row>
    <row r="1789" customFormat="false" ht="15" hidden="false" customHeight="false" outlineLevel="0" collapsed="false">
      <c r="F1789" s="41" t="str">
        <f aca="false">IF(E1789="","",IFERROR(VLOOKUP(E1789,Assumptions!$G$5:$H$16,2,0),"Other"))</f>
        <v/>
      </c>
      <c r="J1789" s="41" t="str">
        <f aca="false">IF(G1789="","",IFERROR(IF(ISNUMBER(SEARCH(Assumptions!$C$5,G1789)),Assumptions!$D$5,IF(ISNUMBER(SEARCH(Assumptions!$C$6,G1789)),Assumptions!$D$6,IF(ISNUMBER(SEARCH(Assumptions!$C$7,G1789)),Assumptions!$D$7,"Other Services"))),"Other Services"))</f>
        <v/>
      </c>
    </row>
    <row r="1790" customFormat="false" ht="15" hidden="false" customHeight="false" outlineLevel="0" collapsed="false">
      <c r="F1790" s="41" t="str">
        <f aca="false">IF(E1790="","",IFERROR(VLOOKUP(E1790,Assumptions!$G$5:$H$16,2,0),"Other"))</f>
        <v/>
      </c>
      <c r="J1790" s="41" t="str">
        <f aca="false">IF(G1790="","",IFERROR(IF(ISNUMBER(SEARCH(Assumptions!$C$5,G1790)),Assumptions!$D$5,IF(ISNUMBER(SEARCH(Assumptions!$C$6,G1790)),Assumptions!$D$6,IF(ISNUMBER(SEARCH(Assumptions!$C$7,G1790)),Assumptions!$D$7,"Other Services"))),"Other Services"))</f>
        <v/>
      </c>
    </row>
    <row r="1791" customFormat="false" ht="15" hidden="false" customHeight="false" outlineLevel="0" collapsed="false">
      <c r="F1791" s="41" t="str">
        <f aca="false">IF(E1791="","",IFERROR(VLOOKUP(E1791,Assumptions!$G$5:$H$16,2,0),"Other"))</f>
        <v/>
      </c>
      <c r="J1791" s="41" t="str">
        <f aca="false">IF(G1791="","",IFERROR(IF(ISNUMBER(SEARCH(Assumptions!$C$5,G1791)),Assumptions!$D$5,IF(ISNUMBER(SEARCH(Assumptions!$C$6,G1791)),Assumptions!$D$6,IF(ISNUMBER(SEARCH(Assumptions!$C$7,G1791)),Assumptions!$D$7,"Other Services"))),"Other Services"))</f>
        <v/>
      </c>
    </row>
    <row r="1792" customFormat="false" ht="15" hidden="false" customHeight="false" outlineLevel="0" collapsed="false">
      <c r="F1792" s="41" t="str">
        <f aca="false">IF(E1792="","",IFERROR(VLOOKUP(E1792,Assumptions!$G$5:$H$16,2,0),"Other"))</f>
        <v/>
      </c>
      <c r="J1792" s="41" t="str">
        <f aca="false">IF(G1792="","",IFERROR(IF(ISNUMBER(SEARCH(Assumptions!$C$5,G1792)),Assumptions!$D$5,IF(ISNUMBER(SEARCH(Assumptions!$C$6,G1792)),Assumptions!$D$6,IF(ISNUMBER(SEARCH(Assumptions!$C$7,G1792)),Assumptions!$D$7,"Other Services"))),"Other Services"))</f>
        <v/>
      </c>
    </row>
    <row r="1793" customFormat="false" ht="15" hidden="false" customHeight="false" outlineLevel="0" collapsed="false">
      <c r="F1793" s="41" t="str">
        <f aca="false">IF(E1793="","",IFERROR(VLOOKUP(E1793,Assumptions!$G$5:$H$16,2,0),"Other"))</f>
        <v/>
      </c>
      <c r="J1793" s="41" t="str">
        <f aca="false">IF(G1793="","",IFERROR(IF(ISNUMBER(SEARCH(Assumptions!$C$5,G1793)),Assumptions!$D$5,IF(ISNUMBER(SEARCH(Assumptions!$C$6,G1793)),Assumptions!$D$6,IF(ISNUMBER(SEARCH(Assumptions!$C$7,G1793)),Assumptions!$D$7,"Other Services"))),"Other Services"))</f>
        <v/>
      </c>
    </row>
    <row r="1794" customFormat="false" ht="15" hidden="false" customHeight="false" outlineLevel="0" collapsed="false">
      <c r="F1794" s="41" t="str">
        <f aca="false">IF(E1794="","",IFERROR(VLOOKUP(E1794,Assumptions!$G$5:$H$16,2,0),"Other"))</f>
        <v/>
      </c>
      <c r="J1794" s="41" t="str">
        <f aca="false">IF(G1794="","",IFERROR(IF(ISNUMBER(SEARCH(Assumptions!$C$5,G1794)),Assumptions!$D$5,IF(ISNUMBER(SEARCH(Assumptions!$C$6,G1794)),Assumptions!$D$6,IF(ISNUMBER(SEARCH(Assumptions!$C$7,G1794)),Assumptions!$D$7,"Other Services"))),"Other Services"))</f>
        <v/>
      </c>
    </row>
    <row r="1795" customFormat="false" ht="15" hidden="false" customHeight="false" outlineLevel="0" collapsed="false">
      <c r="F1795" s="41" t="str">
        <f aca="false">IF(E1795="","",IFERROR(VLOOKUP(E1795,Assumptions!$G$5:$H$16,2,0),"Other"))</f>
        <v/>
      </c>
      <c r="J1795" s="41" t="str">
        <f aca="false">IF(G1795="","",IFERROR(IF(ISNUMBER(SEARCH(Assumptions!$C$5,G1795)),Assumptions!$D$5,IF(ISNUMBER(SEARCH(Assumptions!$C$6,G1795)),Assumptions!$D$6,IF(ISNUMBER(SEARCH(Assumptions!$C$7,G1795)),Assumptions!$D$7,"Other Services"))),"Other Services"))</f>
        <v/>
      </c>
    </row>
    <row r="1796" customFormat="false" ht="15" hidden="false" customHeight="false" outlineLevel="0" collapsed="false">
      <c r="F1796" s="41" t="str">
        <f aca="false">IF(E1796="","",IFERROR(VLOOKUP(E1796,Assumptions!$G$5:$H$16,2,0),"Other"))</f>
        <v/>
      </c>
      <c r="J1796" s="41" t="str">
        <f aca="false">IF(G1796="","",IFERROR(IF(ISNUMBER(SEARCH(Assumptions!$C$5,G1796)),Assumptions!$D$5,IF(ISNUMBER(SEARCH(Assumptions!$C$6,G1796)),Assumptions!$D$6,IF(ISNUMBER(SEARCH(Assumptions!$C$7,G1796)),Assumptions!$D$7,"Other Services"))),"Other Services"))</f>
        <v/>
      </c>
    </row>
    <row r="1797" customFormat="false" ht="15" hidden="false" customHeight="false" outlineLevel="0" collapsed="false">
      <c r="F1797" s="41" t="str">
        <f aca="false">IF(E1797="","",IFERROR(VLOOKUP(E1797,Assumptions!$G$5:$H$16,2,0),"Other"))</f>
        <v/>
      </c>
      <c r="J1797" s="41" t="str">
        <f aca="false">IF(G1797="","",IFERROR(IF(ISNUMBER(SEARCH(Assumptions!$C$5,G1797)),Assumptions!$D$5,IF(ISNUMBER(SEARCH(Assumptions!$C$6,G1797)),Assumptions!$D$6,IF(ISNUMBER(SEARCH(Assumptions!$C$7,G1797)),Assumptions!$D$7,"Other Services"))),"Other Services"))</f>
        <v/>
      </c>
    </row>
    <row r="1798" customFormat="false" ht="15" hidden="false" customHeight="false" outlineLevel="0" collapsed="false">
      <c r="F1798" s="41" t="str">
        <f aca="false">IF(E1798="","",IFERROR(VLOOKUP(E1798,Assumptions!$G$5:$H$16,2,0),"Other"))</f>
        <v/>
      </c>
      <c r="J1798" s="41" t="str">
        <f aca="false">IF(G1798="","",IFERROR(IF(ISNUMBER(SEARCH(Assumptions!$C$5,G1798)),Assumptions!$D$5,IF(ISNUMBER(SEARCH(Assumptions!$C$6,G1798)),Assumptions!$D$6,IF(ISNUMBER(SEARCH(Assumptions!$C$7,G1798)),Assumptions!$D$7,"Other Services"))),"Other Services"))</f>
        <v/>
      </c>
    </row>
    <row r="1799" customFormat="false" ht="15" hidden="false" customHeight="false" outlineLevel="0" collapsed="false">
      <c r="F1799" s="41" t="str">
        <f aca="false">IF(E1799="","",IFERROR(VLOOKUP(E1799,Assumptions!$G$5:$H$16,2,0),"Other"))</f>
        <v/>
      </c>
      <c r="J1799" s="41" t="str">
        <f aca="false">IF(G1799="","",IFERROR(IF(ISNUMBER(SEARCH(Assumptions!$C$5,G1799)),Assumptions!$D$5,IF(ISNUMBER(SEARCH(Assumptions!$C$6,G1799)),Assumptions!$D$6,IF(ISNUMBER(SEARCH(Assumptions!$C$7,G1799)),Assumptions!$D$7,"Other Services"))),"Other Services"))</f>
        <v/>
      </c>
    </row>
    <row r="1800" customFormat="false" ht="15" hidden="false" customHeight="false" outlineLevel="0" collapsed="false">
      <c r="F1800" s="41" t="str">
        <f aca="false">IF(E1800="","",IFERROR(VLOOKUP(E1800,Assumptions!$G$5:$H$16,2,0),"Other"))</f>
        <v/>
      </c>
      <c r="J1800" s="41" t="str">
        <f aca="false">IF(G1800="","",IFERROR(IF(ISNUMBER(SEARCH(Assumptions!$C$5,G1800)),Assumptions!$D$5,IF(ISNUMBER(SEARCH(Assumptions!$C$6,G1800)),Assumptions!$D$6,IF(ISNUMBER(SEARCH(Assumptions!$C$7,G1800)),Assumptions!$D$7,"Other Services"))),"Other Services"))</f>
        <v/>
      </c>
    </row>
    <row r="1801" customFormat="false" ht="15" hidden="false" customHeight="false" outlineLevel="0" collapsed="false">
      <c r="F1801" s="41" t="str">
        <f aca="false">IF(E1801="","",IFERROR(VLOOKUP(E1801,Assumptions!$G$5:$H$16,2,0),"Other"))</f>
        <v/>
      </c>
      <c r="J1801" s="41" t="str">
        <f aca="false">IF(G1801="","",IFERROR(IF(ISNUMBER(SEARCH(Assumptions!$C$5,G1801)),Assumptions!$D$5,IF(ISNUMBER(SEARCH(Assumptions!$C$6,G1801)),Assumptions!$D$6,IF(ISNUMBER(SEARCH(Assumptions!$C$7,G1801)),Assumptions!$D$7,"Other Services"))),"Other Services"))</f>
        <v/>
      </c>
    </row>
    <row r="1802" customFormat="false" ht="15" hidden="false" customHeight="false" outlineLevel="0" collapsed="false">
      <c r="F1802" s="41" t="str">
        <f aca="false">IF(E1802="","",IFERROR(VLOOKUP(E1802,Assumptions!$G$5:$H$16,2,0),"Other"))</f>
        <v/>
      </c>
      <c r="J1802" s="41" t="str">
        <f aca="false">IF(G1802="","",IFERROR(IF(ISNUMBER(SEARCH(Assumptions!$C$5,G1802)),Assumptions!$D$5,IF(ISNUMBER(SEARCH(Assumptions!$C$6,G1802)),Assumptions!$D$6,IF(ISNUMBER(SEARCH(Assumptions!$C$7,G1802)),Assumptions!$D$7,"Other Services"))),"Other Services"))</f>
        <v/>
      </c>
    </row>
    <row r="1803" customFormat="false" ht="15" hidden="false" customHeight="false" outlineLevel="0" collapsed="false">
      <c r="F1803" s="41" t="str">
        <f aca="false">IF(E1803="","",IFERROR(VLOOKUP(E1803,Assumptions!$G$5:$H$16,2,0),"Other"))</f>
        <v/>
      </c>
      <c r="J1803" s="41" t="str">
        <f aca="false">IF(G1803="","",IFERROR(IF(ISNUMBER(SEARCH(Assumptions!$C$5,G1803)),Assumptions!$D$5,IF(ISNUMBER(SEARCH(Assumptions!$C$6,G1803)),Assumptions!$D$6,IF(ISNUMBER(SEARCH(Assumptions!$C$7,G1803)),Assumptions!$D$7,"Other Services"))),"Other Services"))</f>
        <v/>
      </c>
    </row>
    <row r="1804" customFormat="false" ht="15" hidden="false" customHeight="false" outlineLevel="0" collapsed="false">
      <c r="F1804" s="41" t="str">
        <f aca="false">IF(E1804="","",IFERROR(VLOOKUP(E1804,Assumptions!$G$5:$H$16,2,0),"Other"))</f>
        <v/>
      </c>
      <c r="J1804" s="41" t="str">
        <f aca="false">IF(G1804="","",IFERROR(IF(ISNUMBER(SEARCH(Assumptions!$C$5,G1804)),Assumptions!$D$5,IF(ISNUMBER(SEARCH(Assumptions!$C$6,G1804)),Assumptions!$D$6,IF(ISNUMBER(SEARCH(Assumptions!$C$7,G1804)),Assumptions!$D$7,"Other Services"))),"Other Services"))</f>
        <v/>
      </c>
    </row>
    <row r="1805" customFormat="false" ht="15" hidden="false" customHeight="false" outlineLevel="0" collapsed="false">
      <c r="F1805" s="41" t="str">
        <f aca="false">IF(E1805="","",IFERROR(VLOOKUP(E1805,Assumptions!$G$5:$H$16,2,0),"Other"))</f>
        <v/>
      </c>
      <c r="J1805" s="41" t="str">
        <f aca="false">IF(G1805="","",IFERROR(IF(ISNUMBER(SEARCH(Assumptions!$C$5,G1805)),Assumptions!$D$5,IF(ISNUMBER(SEARCH(Assumptions!$C$6,G1805)),Assumptions!$D$6,IF(ISNUMBER(SEARCH(Assumptions!$C$7,G1805)),Assumptions!$D$7,"Other Services"))),"Other Services"))</f>
        <v/>
      </c>
    </row>
    <row r="1806" customFormat="false" ht="15" hidden="false" customHeight="false" outlineLevel="0" collapsed="false">
      <c r="F1806" s="41" t="str">
        <f aca="false">IF(E1806="","",IFERROR(VLOOKUP(E1806,Assumptions!$G$5:$H$16,2,0),"Other"))</f>
        <v/>
      </c>
      <c r="J1806" s="41" t="str">
        <f aca="false">IF(G1806="","",IFERROR(IF(ISNUMBER(SEARCH(Assumptions!$C$5,G1806)),Assumptions!$D$5,IF(ISNUMBER(SEARCH(Assumptions!$C$6,G1806)),Assumptions!$D$6,IF(ISNUMBER(SEARCH(Assumptions!$C$7,G1806)),Assumptions!$D$7,"Other Services"))),"Other Services"))</f>
        <v/>
      </c>
    </row>
    <row r="1807" customFormat="false" ht="15" hidden="false" customHeight="false" outlineLevel="0" collapsed="false">
      <c r="F1807" s="41" t="str">
        <f aca="false">IF(E1807="","",IFERROR(VLOOKUP(E1807,Assumptions!$G$5:$H$16,2,0),"Other"))</f>
        <v/>
      </c>
      <c r="J1807" s="41" t="str">
        <f aca="false">IF(G1807="","",IFERROR(IF(ISNUMBER(SEARCH(Assumptions!$C$5,G1807)),Assumptions!$D$5,IF(ISNUMBER(SEARCH(Assumptions!$C$6,G1807)),Assumptions!$D$6,IF(ISNUMBER(SEARCH(Assumptions!$C$7,G1807)),Assumptions!$D$7,"Other Services"))),"Other Services"))</f>
        <v/>
      </c>
    </row>
    <row r="1808" customFormat="false" ht="15" hidden="false" customHeight="false" outlineLevel="0" collapsed="false">
      <c r="F1808" s="41" t="str">
        <f aca="false">IF(E1808="","",IFERROR(VLOOKUP(E1808,Assumptions!$G$5:$H$16,2,0),"Other"))</f>
        <v/>
      </c>
      <c r="J1808" s="41" t="str">
        <f aca="false">IF(G1808="","",IFERROR(IF(ISNUMBER(SEARCH(Assumptions!$C$5,G1808)),Assumptions!$D$5,IF(ISNUMBER(SEARCH(Assumptions!$C$6,G1808)),Assumptions!$D$6,IF(ISNUMBER(SEARCH(Assumptions!$C$7,G1808)),Assumptions!$D$7,"Other Services"))),"Other Services"))</f>
        <v/>
      </c>
    </row>
    <row r="1809" customFormat="false" ht="15" hidden="false" customHeight="false" outlineLevel="0" collapsed="false">
      <c r="F1809" s="41" t="str">
        <f aca="false">IF(E1809="","",IFERROR(VLOOKUP(E1809,Assumptions!$G$5:$H$16,2,0),"Other"))</f>
        <v/>
      </c>
      <c r="J1809" s="41" t="str">
        <f aca="false">IF(G1809="","",IFERROR(IF(ISNUMBER(SEARCH(Assumptions!$C$5,G1809)),Assumptions!$D$5,IF(ISNUMBER(SEARCH(Assumptions!$C$6,G1809)),Assumptions!$D$6,IF(ISNUMBER(SEARCH(Assumptions!$C$7,G1809)),Assumptions!$D$7,"Other Services"))),"Other Services"))</f>
        <v/>
      </c>
    </row>
    <row r="1810" customFormat="false" ht="15" hidden="false" customHeight="false" outlineLevel="0" collapsed="false">
      <c r="F1810" s="41" t="str">
        <f aca="false">IF(E1810="","",IFERROR(VLOOKUP(E1810,Assumptions!$G$5:$H$16,2,0),"Other"))</f>
        <v/>
      </c>
      <c r="J1810" s="41" t="str">
        <f aca="false">IF(G1810="","",IFERROR(IF(ISNUMBER(SEARCH(Assumptions!$C$5,G1810)),Assumptions!$D$5,IF(ISNUMBER(SEARCH(Assumptions!$C$6,G1810)),Assumptions!$D$6,IF(ISNUMBER(SEARCH(Assumptions!$C$7,G1810)),Assumptions!$D$7,"Other Services"))),"Other Services"))</f>
        <v/>
      </c>
    </row>
    <row r="1811" customFormat="false" ht="15" hidden="false" customHeight="false" outlineLevel="0" collapsed="false">
      <c r="F1811" s="41" t="str">
        <f aca="false">IF(E1811="","",IFERROR(VLOOKUP(E1811,Assumptions!$G$5:$H$16,2,0),"Other"))</f>
        <v/>
      </c>
      <c r="J1811" s="41" t="str">
        <f aca="false">IF(G1811="","",IFERROR(IF(ISNUMBER(SEARCH(Assumptions!$C$5,G1811)),Assumptions!$D$5,IF(ISNUMBER(SEARCH(Assumptions!$C$6,G1811)),Assumptions!$D$6,IF(ISNUMBER(SEARCH(Assumptions!$C$7,G1811)),Assumptions!$D$7,"Other Services"))),"Other Services"))</f>
        <v/>
      </c>
    </row>
    <row r="1812" customFormat="false" ht="15" hidden="false" customHeight="false" outlineLevel="0" collapsed="false">
      <c r="F1812" s="41" t="str">
        <f aca="false">IF(E1812="","",IFERROR(VLOOKUP(E1812,Assumptions!$G$5:$H$16,2,0),"Other"))</f>
        <v/>
      </c>
      <c r="J1812" s="41" t="str">
        <f aca="false">IF(G1812="","",IFERROR(IF(ISNUMBER(SEARCH(Assumptions!$C$5,G1812)),Assumptions!$D$5,IF(ISNUMBER(SEARCH(Assumptions!$C$6,G1812)),Assumptions!$D$6,IF(ISNUMBER(SEARCH(Assumptions!$C$7,G1812)),Assumptions!$D$7,"Other Services"))),"Other Services"))</f>
        <v/>
      </c>
    </row>
    <row r="1813" customFormat="false" ht="15" hidden="false" customHeight="false" outlineLevel="0" collapsed="false">
      <c r="F1813" s="41" t="str">
        <f aca="false">IF(E1813="","",IFERROR(VLOOKUP(E1813,Assumptions!$G$5:$H$16,2,0),"Other"))</f>
        <v/>
      </c>
      <c r="J1813" s="41" t="str">
        <f aca="false">IF(G1813="","",IFERROR(IF(ISNUMBER(SEARCH(Assumptions!$C$5,G1813)),Assumptions!$D$5,IF(ISNUMBER(SEARCH(Assumptions!$C$6,G1813)),Assumptions!$D$6,IF(ISNUMBER(SEARCH(Assumptions!$C$7,G1813)),Assumptions!$D$7,"Other Services"))),"Other Services"))</f>
        <v/>
      </c>
    </row>
    <row r="1814" customFormat="false" ht="15" hidden="false" customHeight="false" outlineLevel="0" collapsed="false">
      <c r="F1814" s="41" t="str">
        <f aca="false">IF(E1814="","",IFERROR(VLOOKUP(E1814,Assumptions!$G$5:$H$16,2,0),"Other"))</f>
        <v/>
      </c>
      <c r="J1814" s="41" t="str">
        <f aca="false">IF(G1814="","",IFERROR(IF(ISNUMBER(SEARCH(Assumptions!$C$5,G1814)),Assumptions!$D$5,IF(ISNUMBER(SEARCH(Assumptions!$C$6,G1814)),Assumptions!$D$6,IF(ISNUMBER(SEARCH(Assumptions!$C$7,G1814)),Assumptions!$D$7,"Other Services"))),"Other Services"))</f>
        <v/>
      </c>
    </row>
    <row r="1815" customFormat="false" ht="15" hidden="false" customHeight="false" outlineLevel="0" collapsed="false">
      <c r="F1815" s="41" t="str">
        <f aca="false">IF(E1815="","",IFERROR(VLOOKUP(E1815,Assumptions!$G$5:$H$16,2,0),"Other"))</f>
        <v/>
      </c>
      <c r="J1815" s="41" t="str">
        <f aca="false">IF(G1815="","",IFERROR(IF(ISNUMBER(SEARCH(Assumptions!$C$5,G1815)),Assumptions!$D$5,IF(ISNUMBER(SEARCH(Assumptions!$C$6,G1815)),Assumptions!$D$6,IF(ISNUMBER(SEARCH(Assumptions!$C$7,G1815)),Assumptions!$D$7,"Other Services"))),"Other Services"))</f>
        <v/>
      </c>
    </row>
    <row r="1816" customFormat="false" ht="15" hidden="false" customHeight="false" outlineLevel="0" collapsed="false">
      <c r="F1816" s="41" t="str">
        <f aca="false">IF(E1816="","",IFERROR(VLOOKUP(E1816,Assumptions!$G$5:$H$16,2,0),"Other"))</f>
        <v/>
      </c>
      <c r="J1816" s="41" t="str">
        <f aca="false">IF(G1816="","",IFERROR(IF(ISNUMBER(SEARCH(Assumptions!$C$5,G1816)),Assumptions!$D$5,IF(ISNUMBER(SEARCH(Assumptions!$C$6,G1816)),Assumptions!$D$6,IF(ISNUMBER(SEARCH(Assumptions!$C$7,G1816)),Assumptions!$D$7,"Other Services"))),"Other Services"))</f>
        <v/>
      </c>
    </row>
    <row r="1817" customFormat="false" ht="15" hidden="false" customHeight="false" outlineLevel="0" collapsed="false">
      <c r="F1817" s="41" t="str">
        <f aca="false">IF(E1817="","",IFERROR(VLOOKUP(E1817,Assumptions!$G$5:$H$16,2,0),"Other"))</f>
        <v/>
      </c>
      <c r="J1817" s="41" t="str">
        <f aca="false">IF(G1817="","",IFERROR(IF(ISNUMBER(SEARCH(Assumptions!$C$5,G1817)),Assumptions!$D$5,IF(ISNUMBER(SEARCH(Assumptions!$C$6,G1817)),Assumptions!$D$6,IF(ISNUMBER(SEARCH(Assumptions!$C$7,G1817)),Assumptions!$D$7,"Other Services"))),"Other Services"))</f>
        <v/>
      </c>
    </row>
    <row r="1818" customFormat="false" ht="15" hidden="false" customHeight="false" outlineLevel="0" collapsed="false">
      <c r="F1818" s="41" t="str">
        <f aca="false">IF(E1818="","",IFERROR(VLOOKUP(E1818,Assumptions!$G$5:$H$16,2,0),"Other"))</f>
        <v/>
      </c>
      <c r="J1818" s="41" t="str">
        <f aca="false">IF(G1818="","",IFERROR(IF(ISNUMBER(SEARCH(Assumptions!$C$5,G1818)),Assumptions!$D$5,IF(ISNUMBER(SEARCH(Assumptions!$C$6,G1818)),Assumptions!$D$6,IF(ISNUMBER(SEARCH(Assumptions!$C$7,G1818)),Assumptions!$D$7,"Other Services"))),"Other Services"))</f>
        <v/>
      </c>
    </row>
    <row r="1819" customFormat="false" ht="15" hidden="false" customHeight="false" outlineLevel="0" collapsed="false">
      <c r="F1819" s="41" t="str">
        <f aca="false">IF(E1819="","",IFERROR(VLOOKUP(E1819,Assumptions!$G$5:$H$16,2,0),"Other"))</f>
        <v/>
      </c>
      <c r="J1819" s="41" t="str">
        <f aca="false">IF(G1819="","",IFERROR(IF(ISNUMBER(SEARCH(Assumptions!$C$5,G1819)),Assumptions!$D$5,IF(ISNUMBER(SEARCH(Assumptions!$C$6,G1819)),Assumptions!$D$6,IF(ISNUMBER(SEARCH(Assumptions!$C$7,G1819)),Assumptions!$D$7,"Other Services"))),"Other Services"))</f>
        <v/>
      </c>
    </row>
    <row r="1820" customFormat="false" ht="15" hidden="false" customHeight="false" outlineLevel="0" collapsed="false">
      <c r="F1820" s="41" t="str">
        <f aca="false">IF(E1820="","",IFERROR(VLOOKUP(E1820,Assumptions!$G$5:$H$16,2,0),"Other"))</f>
        <v/>
      </c>
      <c r="J1820" s="41" t="str">
        <f aca="false">IF(G1820="","",IFERROR(IF(ISNUMBER(SEARCH(Assumptions!$C$5,G1820)),Assumptions!$D$5,IF(ISNUMBER(SEARCH(Assumptions!$C$6,G1820)),Assumptions!$D$6,IF(ISNUMBER(SEARCH(Assumptions!$C$7,G1820)),Assumptions!$D$7,"Other Services"))),"Other Services"))</f>
        <v/>
      </c>
    </row>
    <row r="1821" customFormat="false" ht="15" hidden="false" customHeight="false" outlineLevel="0" collapsed="false">
      <c r="F1821" s="41" t="str">
        <f aca="false">IF(E1821="","",IFERROR(VLOOKUP(E1821,Assumptions!$G$5:$H$16,2,0),"Other"))</f>
        <v/>
      </c>
      <c r="J1821" s="41" t="str">
        <f aca="false">IF(G1821="","",IFERROR(IF(ISNUMBER(SEARCH(Assumptions!$C$5,G1821)),Assumptions!$D$5,IF(ISNUMBER(SEARCH(Assumptions!$C$6,G1821)),Assumptions!$D$6,IF(ISNUMBER(SEARCH(Assumptions!$C$7,G1821)),Assumptions!$D$7,"Other Services"))),"Other Services"))</f>
        <v/>
      </c>
    </row>
    <row r="1822" customFormat="false" ht="15" hidden="false" customHeight="false" outlineLevel="0" collapsed="false">
      <c r="F1822" s="41" t="str">
        <f aca="false">IF(E1822="","",IFERROR(VLOOKUP(E1822,Assumptions!$G$5:$H$16,2,0),"Other"))</f>
        <v/>
      </c>
      <c r="J1822" s="41" t="str">
        <f aca="false">IF(G1822="","",IFERROR(IF(ISNUMBER(SEARCH(Assumptions!$C$5,G1822)),Assumptions!$D$5,IF(ISNUMBER(SEARCH(Assumptions!$C$6,G1822)),Assumptions!$D$6,IF(ISNUMBER(SEARCH(Assumptions!$C$7,G1822)),Assumptions!$D$7,"Other Services"))),"Other Services"))</f>
        <v/>
      </c>
    </row>
    <row r="1823" customFormat="false" ht="15" hidden="false" customHeight="false" outlineLevel="0" collapsed="false">
      <c r="F1823" s="41" t="str">
        <f aca="false">IF(E1823="","",IFERROR(VLOOKUP(E1823,Assumptions!$G$5:$H$16,2,0),"Other"))</f>
        <v/>
      </c>
      <c r="J1823" s="41" t="str">
        <f aca="false">IF(G1823="","",IFERROR(IF(ISNUMBER(SEARCH(Assumptions!$C$5,G1823)),Assumptions!$D$5,IF(ISNUMBER(SEARCH(Assumptions!$C$6,G1823)),Assumptions!$D$6,IF(ISNUMBER(SEARCH(Assumptions!$C$7,G1823)),Assumptions!$D$7,"Other Services"))),"Other Services"))</f>
        <v/>
      </c>
    </row>
    <row r="1824" customFormat="false" ht="15" hidden="false" customHeight="false" outlineLevel="0" collapsed="false">
      <c r="F1824" s="41" t="str">
        <f aca="false">IF(E1824="","",IFERROR(VLOOKUP(E1824,Assumptions!$G$5:$H$16,2,0),"Other"))</f>
        <v/>
      </c>
      <c r="J1824" s="41" t="str">
        <f aca="false">IF(G1824="","",IFERROR(IF(ISNUMBER(SEARCH(Assumptions!$C$5,G1824)),Assumptions!$D$5,IF(ISNUMBER(SEARCH(Assumptions!$C$6,G1824)),Assumptions!$D$6,IF(ISNUMBER(SEARCH(Assumptions!$C$7,G1824)),Assumptions!$D$7,"Other Services"))),"Other Services"))</f>
        <v/>
      </c>
    </row>
    <row r="1825" customFormat="false" ht="15" hidden="false" customHeight="false" outlineLevel="0" collapsed="false">
      <c r="F1825" s="41" t="str">
        <f aca="false">IF(E1825="","",IFERROR(VLOOKUP(E1825,Assumptions!$G$5:$H$16,2,0),"Other"))</f>
        <v/>
      </c>
      <c r="J1825" s="41" t="str">
        <f aca="false">IF(G1825="","",IFERROR(IF(ISNUMBER(SEARCH(Assumptions!$C$5,G1825)),Assumptions!$D$5,IF(ISNUMBER(SEARCH(Assumptions!$C$6,G1825)),Assumptions!$D$6,IF(ISNUMBER(SEARCH(Assumptions!$C$7,G1825)),Assumptions!$D$7,"Other Services"))),"Other Services"))</f>
        <v/>
      </c>
    </row>
    <row r="1826" customFormat="false" ht="15" hidden="false" customHeight="false" outlineLevel="0" collapsed="false">
      <c r="F1826" s="41" t="str">
        <f aca="false">IF(E1826="","",IFERROR(VLOOKUP(E1826,Assumptions!$G$5:$H$16,2,0),"Other"))</f>
        <v/>
      </c>
      <c r="J1826" s="41" t="str">
        <f aca="false">IF(G1826="","",IFERROR(IF(ISNUMBER(SEARCH(Assumptions!$C$5,G1826)),Assumptions!$D$5,IF(ISNUMBER(SEARCH(Assumptions!$C$6,G1826)),Assumptions!$D$6,IF(ISNUMBER(SEARCH(Assumptions!$C$7,G1826)),Assumptions!$D$7,"Other Services"))),"Other Services"))</f>
        <v/>
      </c>
    </row>
    <row r="1827" customFormat="false" ht="15" hidden="false" customHeight="false" outlineLevel="0" collapsed="false">
      <c r="F1827" s="41" t="str">
        <f aca="false">IF(E1827="","",IFERROR(VLOOKUP(E1827,Assumptions!$G$5:$H$16,2,0),"Other"))</f>
        <v/>
      </c>
      <c r="J1827" s="41" t="str">
        <f aca="false">IF(G1827="","",IFERROR(IF(ISNUMBER(SEARCH(Assumptions!$C$5,G1827)),Assumptions!$D$5,IF(ISNUMBER(SEARCH(Assumptions!$C$6,G1827)),Assumptions!$D$6,IF(ISNUMBER(SEARCH(Assumptions!$C$7,G1827)),Assumptions!$D$7,"Other Services"))),"Other Services"))</f>
        <v/>
      </c>
    </row>
    <row r="1828" customFormat="false" ht="15" hidden="false" customHeight="false" outlineLevel="0" collapsed="false">
      <c r="F1828" s="41" t="str">
        <f aca="false">IF(E1828="","",IFERROR(VLOOKUP(E1828,Assumptions!$G$5:$H$16,2,0),"Other"))</f>
        <v/>
      </c>
      <c r="J1828" s="41" t="str">
        <f aca="false">IF(G1828="","",IFERROR(IF(ISNUMBER(SEARCH(Assumptions!$C$5,G1828)),Assumptions!$D$5,IF(ISNUMBER(SEARCH(Assumptions!$C$6,G1828)),Assumptions!$D$6,IF(ISNUMBER(SEARCH(Assumptions!$C$7,G1828)),Assumptions!$D$7,"Other Services"))),"Other Services"))</f>
        <v/>
      </c>
    </row>
    <row r="1829" customFormat="false" ht="15" hidden="false" customHeight="false" outlineLevel="0" collapsed="false">
      <c r="F1829" s="41" t="str">
        <f aca="false">IF(E1829="","",IFERROR(VLOOKUP(E1829,Assumptions!$G$5:$H$16,2,0),"Other"))</f>
        <v/>
      </c>
      <c r="J1829" s="41" t="str">
        <f aca="false">IF(G1829="","",IFERROR(IF(ISNUMBER(SEARCH(Assumptions!$C$5,G1829)),Assumptions!$D$5,IF(ISNUMBER(SEARCH(Assumptions!$C$6,G1829)),Assumptions!$D$6,IF(ISNUMBER(SEARCH(Assumptions!$C$7,G1829)),Assumptions!$D$7,"Other Services"))),"Other Services"))</f>
        <v/>
      </c>
    </row>
    <row r="1830" customFormat="false" ht="15" hidden="false" customHeight="false" outlineLevel="0" collapsed="false">
      <c r="F1830" s="41" t="str">
        <f aca="false">IF(E1830="","",IFERROR(VLOOKUP(E1830,Assumptions!$G$5:$H$16,2,0),"Other"))</f>
        <v/>
      </c>
      <c r="J1830" s="41" t="str">
        <f aca="false">IF(G1830="","",IFERROR(IF(ISNUMBER(SEARCH(Assumptions!$C$5,G1830)),Assumptions!$D$5,IF(ISNUMBER(SEARCH(Assumptions!$C$6,G1830)),Assumptions!$D$6,IF(ISNUMBER(SEARCH(Assumptions!$C$7,G1830)),Assumptions!$D$7,"Other Services"))),"Other Services"))</f>
        <v/>
      </c>
    </row>
    <row r="1831" customFormat="false" ht="15" hidden="false" customHeight="false" outlineLevel="0" collapsed="false">
      <c r="F1831" s="41" t="str">
        <f aca="false">IF(E1831="","",IFERROR(VLOOKUP(E1831,Assumptions!$G$5:$H$16,2,0),"Other"))</f>
        <v/>
      </c>
      <c r="J1831" s="41" t="str">
        <f aca="false">IF(G1831="","",IFERROR(IF(ISNUMBER(SEARCH(Assumptions!$C$5,G1831)),Assumptions!$D$5,IF(ISNUMBER(SEARCH(Assumptions!$C$6,G1831)),Assumptions!$D$6,IF(ISNUMBER(SEARCH(Assumptions!$C$7,G1831)),Assumptions!$D$7,"Other Services"))),"Other Services"))</f>
        <v/>
      </c>
    </row>
    <row r="1832" customFormat="false" ht="15" hidden="false" customHeight="false" outlineLevel="0" collapsed="false">
      <c r="F1832" s="41" t="str">
        <f aca="false">IF(E1832="","",IFERROR(VLOOKUP(E1832,Assumptions!$G$5:$H$16,2,0),"Other"))</f>
        <v/>
      </c>
      <c r="J1832" s="41" t="str">
        <f aca="false">IF(G1832="","",IFERROR(IF(ISNUMBER(SEARCH(Assumptions!$C$5,G1832)),Assumptions!$D$5,IF(ISNUMBER(SEARCH(Assumptions!$C$6,G1832)),Assumptions!$D$6,IF(ISNUMBER(SEARCH(Assumptions!$C$7,G1832)),Assumptions!$D$7,"Other Services"))),"Other Services"))</f>
        <v/>
      </c>
    </row>
    <row r="1833" customFormat="false" ht="15" hidden="false" customHeight="false" outlineLevel="0" collapsed="false">
      <c r="F1833" s="41" t="str">
        <f aca="false">IF(E1833="","",IFERROR(VLOOKUP(E1833,Assumptions!$G$5:$H$16,2,0),"Other"))</f>
        <v/>
      </c>
      <c r="J1833" s="41" t="str">
        <f aca="false">IF(G1833="","",IFERROR(IF(ISNUMBER(SEARCH(Assumptions!$C$5,G1833)),Assumptions!$D$5,IF(ISNUMBER(SEARCH(Assumptions!$C$6,G1833)),Assumptions!$D$6,IF(ISNUMBER(SEARCH(Assumptions!$C$7,G1833)),Assumptions!$D$7,"Other Services"))),"Other Services"))</f>
        <v/>
      </c>
    </row>
    <row r="1834" customFormat="false" ht="15" hidden="false" customHeight="false" outlineLevel="0" collapsed="false">
      <c r="F1834" s="41" t="str">
        <f aca="false">IF(E1834="","",IFERROR(VLOOKUP(E1834,Assumptions!$G$5:$H$16,2,0),"Other"))</f>
        <v/>
      </c>
      <c r="J1834" s="41" t="str">
        <f aca="false">IF(G1834="","",IFERROR(IF(ISNUMBER(SEARCH(Assumptions!$C$5,G1834)),Assumptions!$D$5,IF(ISNUMBER(SEARCH(Assumptions!$C$6,G1834)),Assumptions!$D$6,IF(ISNUMBER(SEARCH(Assumptions!$C$7,G1834)),Assumptions!$D$7,"Other Services"))),"Other Services"))</f>
        <v/>
      </c>
    </row>
    <row r="1835" customFormat="false" ht="15" hidden="false" customHeight="false" outlineLevel="0" collapsed="false">
      <c r="F1835" s="41" t="str">
        <f aca="false">IF(E1835="","",IFERROR(VLOOKUP(E1835,Assumptions!$G$5:$H$16,2,0),"Other"))</f>
        <v/>
      </c>
      <c r="J1835" s="41" t="str">
        <f aca="false">IF(G1835="","",IFERROR(IF(ISNUMBER(SEARCH(Assumptions!$C$5,G1835)),Assumptions!$D$5,IF(ISNUMBER(SEARCH(Assumptions!$C$6,G1835)),Assumptions!$D$6,IF(ISNUMBER(SEARCH(Assumptions!$C$7,G1835)),Assumptions!$D$7,"Other Services"))),"Other Services"))</f>
        <v/>
      </c>
    </row>
    <row r="1836" customFormat="false" ht="15" hidden="false" customHeight="false" outlineLevel="0" collapsed="false">
      <c r="F1836" s="41" t="str">
        <f aca="false">IF(E1836="","",IFERROR(VLOOKUP(E1836,Assumptions!$G$5:$H$16,2,0),"Other"))</f>
        <v/>
      </c>
      <c r="J1836" s="41" t="str">
        <f aca="false">IF(G1836="","",IFERROR(IF(ISNUMBER(SEARCH(Assumptions!$C$5,G1836)),Assumptions!$D$5,IF(ISNUMBER(SEARCH(Assumptions!$C$6,G1836)),Assumptions!$D$6,IF(ISNUMBER(SEARCH(Assumptions!$C$7,G1836)),Assumptions!$D$7,"Other Services"))),"Other Services"))</f>
        <v/>
      </c>
    </row>
    <row r="1837" customFormat="false" ht="15" hidden="false" customHeight="false" outlineLevel="0" collapsed="false">
      <c r="F1837" s="41" t="str">
        <f aca="false">IF(E1837="","",IFERROR(VLOOKUP(E1837,Assumptions!$G$5:$H$16,2,0),"Other"))</f>
        <v/>
      </c>
      <c r="J1837" s="41" t="str">
        <f aca="false">IF(G1837="","",IFERROR(IF(ISNUMBER(SEARCH(Assumptions!$C$5,G1837)),Assumptions!$D$5,IF(ISNUMBER(SEARCH(Assumptions!$C$6,G1837)),Assumptions!$D$6,IF(ISNUMBER(SEARCH(Assumptions!$C$7,G1837)),Assumptions!$D$7,"Other Services"))),"Other Services"))</f>
        <v/>
      </c>
    </row>
    <row r="1838" customFormat="false" ht="15" hidden="false" customHeight="false" outlineLevel="0" collapsed="false">
      <c r="F1838" s="41" t="str">
        <f aca="false">IF(E1838="","",IFERROR(VLOOKUP(E1838,Assumptions!$G$5:$H$16,2,0),"Other"))</f>
        <v/>
      </c>
      <c r="J1838" s="41" t="str">
        <f aca="false">IF(G1838="","",IFERROR(IF(ISNUMBER(SEARCH(Assumptions!$C$5,G1838)),Assumptions!$D$5,IF(ISNUMBER(SEARCH(Assumptions!$C$6,G1838)),Assumptions!$D$6,IF(ISNUMBER(SEARCH(Assumptions!$C$7,G1838)),Assumptions!$D$7,"Other Services"))),"Other Services"))</f>
        <v/>
      </c>
    </row>
    <row r="1839" customFormat="false" ht="15" hidden="false" customHeight="false" outlineLevel="0" collapsed="false">
      <c r="F1839" s="41" t="str">
        <f aca="false">IF(E1839="","",IFERROR(VLOOKUP(E1839,Assumptions!$G$5:$H$16,2,0),"Other"))</f>
        <v/>
      </c>
      <c r="J1839" s="41" t="str">
        <f aca="false">IF(G1839="","",IFERROR(IF(ISNUMBER(SEARCH(Assumptions!$C$5,G1839)),Assumptions!$D$5,IF(ISNUMBER(SEARCH(Assumptions!$C$6,G1839)),Assumptions!$D$6,IF(ISNUMBER(SEARCH(Assumptions!$C$7,G1839)),Assumptions!$D$7,"Other Services"))),"Other Services"))</f>
        <v/>
      </c>
    </row>
    <row r="1840" customFormat="false" ht="15" hidden="false" customHeight="false" outlineLevel="0" collapsed="false">
      <c r="F1840" s="41" t="str">
        <f aca="false">IF(E1840="","",IFERROR(VLOOKUP(E1840,Assumptions!$G$5:$H$16,2,0),"Other"))</f>
        <v/>
      </c>
      <c r="J1840" s="41" t="str">
        <f aca="false">IF(G1840="","",IFERROR(IF(ISNUMBER(SEARCH(Assumptions!$C$5,G1840)),Assumptions!$D$5,IF(ISNUMBER(SEARCH(Assumptions!$C$6,G1840)),Assumptions!$D$6,IF(ISNUMBER(SEARCH(Assumptions!$C$7,G1840)),Assumptions!$D$7,"Other Services"))),"Other Services"))</f>
        <v/>
      </c>
    </row>
    <row r="1841" customFormat="false" ht="15" hidden="false" customHeight="false" outlineLevel="0" collapsed="false">
      <c r="F1841" s="41" t="str">
        <f aca="false">IF(E1841="","",IFERROR(VLOOKUP(E1841,Assumptions!$G$5:$H$16,2,0),"Other"))</f>
        <v/>
      </c>
      <c r="J1841" s="41" t="str">
        <f aca="false">IF(G1841="","",IFERROR(IF(ISNUMBER(SEARCH(Assumptions!$C$5,G1841)),Assumptions!$D$5,IF(ISNUMBER(SEARCH(Assumptions!$C$6,G1841)),Assumptions!$D$6,IF(ISNUMBER(SEARCH(Assumptions!$C$7,G1841)),Assumptions!$D$7,"Other Services"))),"Other Services"))</f>
        <v/>
      </c>
    </row>
    <row r="1842" customFormat="false" ht="15" hidden="false" customHeight="false" outlineLevel="0" collapsed="false">
      <c r="F1842" s="41" t="str">
        <f aca="false">IF(E1842="","",IFERROR(VLOOKUP(E1842,Assumptions!$G$5:$H$16,2,0),"Other"))</f>
        <v/>
      </c>
      <c r="J1842" s="41" t="str">
        <f aca="false">IF(G1842="","",IFERROR(IF(ISNUMBER(SEARCH(Assumptions!$C$5,G1842)),Assumptions!$D$5,IF(ISNUMBER(SEARCH(Assumptions!$C$6,G1842)),Assumptions!$D$6,IF(ISNUMBER(SEARCH(Assumptions!$C$7,G1842)),Assumptions!$D$7,"Other Services"))),"Other Services"))</f>
        <v/>
      </c>
    </row>
    <row r="1843" customFormat="false" ht="15" hidden="false" customHeight="false" outlineLevel="0" collapsed="false">
      <c r="F1843" s="41" t="str">
        <f aca="false">IF(E1843="","",IFERROR(VLOOKUP(E1843,Assumptions!$G$5:$H$16,2,0),"Other"))</f>
        <v/>
      </c>
      <c r="J1843" s="41" t="str">
        <f aca="false">IF(G1843="","",IFERROR(IF(ISNUMBER(SEARCH(Assumptions!$C$5,G1843)),Assumptions!$D$5,IF(ISNUMBER(SEARCH(Assumptions!$C$6,G1843)),Assumptions!$D$6,IF(ISNUMBER(SEARCH(Assumptions!$C$7,G1843)),Assumptions!$D$7,"Other Services"))),"Other Services"))</f>
        <v/>
      </c>
    </row>
    <row r="1844" customFormat="false" ht="15" hidden="false" customHeight="false" outlineLevel="0" collapsed="false">
      <c r="F1844" s="41" t="str">
        <f aca="false">IF(E1844="","",IFERROR(VLOOKUP(E1844,Assumptions!$G$5:$H$16,2,0),"Other"))</f>
        <v/>
      </c>
      <c r="J1844" s="41" t="str">
        <f aca="false">IF(G1844="","",IFERROR(IF(ISNUMBER(SEARCH(Assumptions!$C$5,G1844)),Assumptions!$D$5,IF(ISNUMBER(SEARCH(Assumptions!$C$6,G1844)),Assumptions!$D$6,IF(ISNUMBER(SEARCH(Assumptions!$C$7,G1844)),Assumptions!$D$7,"Other Services"))),"Other Services"))</f>
        <v/>
      </c>
    </row>
    <row r="1845" customFormat="false" ht="15" hidden="false" customHeight="false" outlineLevel="0" collapsed="false">
      <c r="F1845" s="41" t="str">
        <f aca="false">IF(E1845="","",IFERROR(VLOOKUP(E1845,Assumptions!$G$5:$H$16,2,0),"Other"))</f>
        <v/>
      </c>
      <c r="J1845" s="41" t="str">
        <f aca="false">IF(G1845="","",IFERROR(IF(ISNUMBER(SEARCH(Assumptions!$C$5,G1845)),Assumptions!$D$5,IF(ISNUMBER(SEARCH(Assumptions!$C$6,G1845)),Assumptions!$D$6,IF(ISNUMBER(SEARCH(Assumptions!$C$7,G1845)),Assumptions!$D$7,"Other Services"))),"Other Services"))</f>
        <v/>
      </c>
    </row>
    <row r="1846" customFormat="false" ht="15" hidden="false" customHeight="false" outlineLevel="0" collapsed="false">
      <c r="F1846" s="41" t="str">
        <f aca="false">IF(E1846="","",IFERROR(VLOOKUP(E1846,Assumptions!$G$5:$H$16,2,0),"Other"))</f>
        <v/>
      </c>
      <c r="J1846" s="41" t="str">
        <f aca="false">IF(G1846="","",IFERROR(IF(ISNUMBER(SEARCH(Assumptions!$C$5,G1846)),Assumptions!$D$5,IF(ISNUMBER(SEARCH(Assumptions!$C$6,G1846)),Assumptions!$D$6,IF(ISNUMBER(SEARCH(Assumptions!$C$7,G1846)),Assumptions!$D$7,"Other Services"))),"Other Services"))</f>
        <v/>
      </c>
    </row>
    <row r="1847" customFormat="false" ht="15" hidden="false" customHeight="false" outlineLevel="0" collapsed="false">
      <c r="F1847" s="41" t="str">
        <f aca="false">IF(E1847="","",IFERROR(VLOOKUP(E1847,Assumptions!$G$5:$H$16,2,0),"Other"))</f>
        <v/>
      </c>
      <c r="J1847" s="41" t="str">
        <f aca="false">IF(G1847="","",IFERROR(IF(ISNUMBER(SEARCH(Assumptions!$C$5,G1847)),Assumptions!$D$5,IF(ISNUMBER(SEARCH(Assumptions!$C$6,G1847)),Assumptions!$D$6,IF(ISNUMBER(SEARCH(Assumptions!$C$7,G1847)),Assumptions!$D$7,"Other Services"))),"Other Services"))</f>
        <v/>
      </c>
    </row>
    <row r="1848" customFormat="false" ht="15" hidden="false" customHeight="false" outlineLevel="0" collapsed="false">
      <c r="F1848" s="41" t="str">
        <f aca="false">IF(E1848="","",IFERROR(VLOOKUP(E1848,Assumptions!$G$5:$H$16,2,0),"Other"))</f>
        <v/>
      </c>
      <c r="J1848" s="41" t="str">
        <f aca="false">IF(G1848="","",IFERROR(IF(ISNUMBER(SEARCH(Assumptions!$C$5,G1848)),Assumptions!$D$5,IF(ISNUMBER(SEARCH(Assumptions!$C$6,G1848)),Assumptions!$D$6,IF(ISNUMBER(SEARCH(Assumptions!$C$7,G1848)),Assumptions!$D$7,"Other Services"))),"Other Services"))</f>
        <v/>
      </c>
    </row>
    <row r="1849" customFormat="false" ht="15" hidden="false" customHeight="false" outlineLevel="0" collapsed="false">
      <c r="F1849" s="41" t="str">
        <f aca="false">IF(E1849="","",IFERROR(VLOOKUP(E1849,Assumptions!$G$5:$H$16,2,0),"Other"))</f>
        <v/>
      </c>
      <c r="J1849" s="41" t="str">
        <f aca="false">IF(G1849="","",IFERROR(IF(ISNUMBER(SEARCH(Assumptions!$C$5,G1849)),Assumptions!$D$5,IF(ISNUMBER(SEARCH(Assumptions!$C$6,G1849)),Assumptions!$D$6,IF(ISNUMBER(SEARCH(Assumptions!$C$7,G1849)),Assumptions!$D$7,"Other Services"))),"Other Services"))</f>
        <v/>
      </c>
    </row>
    <row r="1850" customFormat="false" ht="15" hidden="false" customHeight="false" outlineLevel="0" collapsed="false">
      <c r="F1850" s="41" t="str">
        <f aca="false">IF(E1850="","",IFERROR(VLOOKUP(E1850,Assumptions!$G$5:$H$16,2,0),"Other"))</f>
        <v/>
      </c>
      <c r="J1850" s="41" t="str">
        <f aca="false">IF(G1850="","",IFERROR(IF(ISNUMBER(SEARCH(Assumptions!$C$5,G1850)),Assumptions!$D$5,IF(ISNUMBER(SEARCH(Assumptions!$C$6,G1850)),Assumptions!$D$6,IF(ISNUMBER(SEARCH(Assumptions!$C$7,G1850)),Assumptions!$D$7,"Other Services"))),"Other Services"))</f>
        <v/>
      </c>
    </row>
    <row r="1851" customFormat="false" ht="15" hidden="false" customHeight="false" outlineLevel="0" collapsed="false">
      <c r="F1851" s="41" t="str">
        <f aca="false">IF(E1851="","",IFERROR(VLOOKUP(E1851,Assumptions!$G$5:$H$16,2,0),"Other"))</f>
        <v/>
      </c>
      <c r="J1851" s="41" t="str">
        <f aca="false">IF(G1851="","",IFERROR(IF(ISNUMBER(SEARCH(Assumptions!$C$5,G1851)),Assumptions!$D$5,IF(ISNUMBER(SEARCH(Assumptions!$C$6,G1851)),Assumptions!$D$6,IF(ISNUMBER(SEARCH(Assumptions!$C$7,G1851)),Assumptions!$D$7,"Other Services"))),"Other Services"))</f>
        <v/>
      </c>
    </row>
    <row r="1852" customFormat="false" ht="15" hidden="false" customHeight="false" outlineLevel="0" collapsed="false">
      <c r="F1852" s="41" t="str">
        <f aca="false">IF(E1852="","",IFERROR(VLOOKUP(E1852,Assumptions!$G$5:$H$16,2,0),"Other"))</f>
        <v/>
      </c>
      <c r="J1852" s="41" t="str">
        <f aca="false">IF(G1852="","",IFERROR(IF(ISNUMBER(SEARCH(Assumptions!$C$5,G1852)),Assumptions!$D$5,IF(ISNUMBER(SEARCH(Assumptions!$C$6,G1852)),Assumptions!$D$6,IF(ISNUMBER(SEARCH(Assumptions!$C$7,G1852)),Assumptions!$D$7,"Other Services"))),"Other Services"))</f>
        <v/>
      </c>
    </row>
    <row r="1853" customFormat="false" ht="15" hidden="false" customHeight="false" outlineLevel="0" collapsed="false">
      <c r="F1853" s="41" t="str">
        <f aca="false">IF(E1853="","",IFERROR(VLOOKUP(E1853,Assumptions!$G$5:$H$16,2,0),"Other"))</f>
        <v/>
      </c>
      <c r="J1853" s="41" t="str">
        <f aca="false">IF(G1853="","",IFERROR(IF(ISNUMBER(SEARCH(Assumptions!$C$5,G1853)),Assumptions!$D$5,IF(ISNUMBER(SEARCH(Assumptions!$C$6,G1853)),Assumptions!$D$6,IF(ISNUMBER(SEARCH(Assumptions!$C$7,G1853)),Assumptions!$D$7,"Other Services"))),"Other Services"))</f>
        <v/>
      </c>
    </row>
    <row r="1854" customFormat="false" ht="15" hidden="false" customHeight="false" outlineLevel="0" collapsed="false">
      <c r="F1854" s="41" t="str">
        <f aca="false">IF(E1854="","",IFERROR(VLOOKUP(E1854,Assumptions!$G$5:$H$16,2,0),"Other"))</f>
        <v/>
      </c>
      <c r="J1854" s="41" t="str">
        <f aca="false">IF(G1854="","",IFERROR(IF(ISNUMBER(SEARCH(Assumptions!$C$5,G1854)),Assumptions!$D$5,IF(ISNUMBER(SEARCH(Assumptions!$C$6,G1854)),Assumptions!$D$6,IF(ISNUMBER(SEARCH(Assumptions!$C$7,G1854)),Assumptions!$D$7,"Other Services"))),"Other Services"))</f>
        <v/>
      </c>
    </row>
    <row r="1855" customFormat="false" ht="15" hidden="false" customHeight="false" outlineLevel="0" collapsed="false">
      <c r="F1855" s="41" t="str">
        <f aca="false">IF(E1855="","",IFERROR(VLOOKUP(E1855,Assumptions!$G$5:$H$16,2,0),"Other"))</f>
        <v/>
      </c>
      <c r="J1855" s="41" t="str">
        <f aca="false">IF(G1855="","",IFERROR(IF(ISNUMBER(SEARCH(Assumptions!$C$5,G1855)),Assumptions!$D$5,IF(ISNUMBER(SEARCH(Assumptions!$C$6,G1855)),Assumptions!$D$6,IF(ISNUMBER(SEARCH(Assumptions!$C$7,G1855)),Assumptions!$D$7,"Other Services"))),"Other Services"))</f>
        <v/>
      </c>
    </row>
    <row r="1856" customFormat="false" ht="15" hidden="false" customHeight="false" outlineLevel="0" collapsed="false">
      <c r="F1856" s="41" t="str">
        <f aca="false">IF(E1856="","",IFERROR(VLOOKUP(E1856,Assumptions!$G$5:$H$16,2,0),"Other"))</f>
        <v/>
      </c>
      <c r="J1856" s="41" t="str">
        <f aca="false">IF(G1856="","",IFERROR(IF(ISNUMBER(SEARCH(Assumptions!$C$5,G1856)),Assumptions!$D$5,IF(ISNUMBER(SEARCH(Assumptions!$C$6,G1856)),Assumptions!$D$6,IF(ISNUMBER(SEARCH(Assumptions!$C$7,G1856)),Assumptions!$D$7,"Other Services"))),"Other Services"))</f>
        <v/>
      </c>
    </row>
    <row r="1857" customFormat="false" ht="15" hidden="false" customHeight="false" outlineLevel="0" collapsed="false">
      <c r="F1857" s="41" t="str">
        <f aca="false">IF(E1857="","",IFERROR(VLOOKUP(E1857,Assumptions!$G$5:$H$16,2,0),"Other"))</f>
        <v/>
      </c>
      <c r="J1857" s="41" t="str">
        <f aca="false">IF(G1857="","",IFERROR(IF(ISNUMBER(SEARCH(Assumptions!$C$5,G1857)),Assumptions!$D$5,IF(ISNUMBER(SEARCH(Assumptions!$C$6,G1857)),Assumptions!$D$6,IF(ISNUMBER(SEARCH(Assumptions!$C$7,G1857)),Assumptions!$D$7,"Other Services"))),"Other Services"))</f>
        <v/>
      </c>
    </row>
    <row r="1858" customFormat="false" ht="15" hidden="false" customHeight="false" outlineLevel="0" collapsed="false">
      <c r="F1858" s="41" t="str">
        <f aca="false">IF(E1858="","",IFERROR(VLOOKUP(E1858,Assumptions!$G$5:$H$16,2,0),"Other"))</f>
        <v/>
      </c>
      <c r="J1858" s="41" t="str">
        <f aca="false">IF(G1858="","",IFERROR(IF(ISNUMBER(SEARCH(Assumptions!$C$5,G1858)),Assumptions!$D$5,IF(ISNUMBER(SEARCH(Assumptions!$C$6,G1858)),Assumptions!$D$6,IF(ISNUMBER(SEARCH(Assumptions!$C$7,G1858)),Assumptions!$D$7,"Other Services"))),"Other Services"))</f>
        <v/>
      </c>
    </row>
    <row r="1859" customFormat="false" ht="15" hidden="false" customHeight="false" outlineLevel="0" collapsed="false">
      <c r="F1859" s="41" t="str">
        <f aca="false">IF(E1859="","",IFERROR(VLOOKUP(E1859,Assumptions!$G$5:$H$16,2,0),"Other"))</f>
        <v/>
      </c>
      <c r="J1859" s="41" t="str">
        <f aca="false">IF(G1859="","",IFERROR(IF(ISNUMBER(SEARCH(Assumptions!$C$5,G1859)),Assumptions!$D$5,IF(ISNUMBER(SEARCH(Assumptions!$C$6,G1859)),Assumptions!$D$6,IF(ISNUMBER(SEARCH(Assumptions!$C$7,G1859)),Assumptions!$D$7,"Other Services"))),"Other Services"))</f>
        <v/>
      </c>
    </row>
    <row r="1860" customFormat="false" ht="15" hidden="false" customHeight="false" outlineLevel="0" collapsed="false">
      <c r="F1860" s="41" t="str">
        <f aca="false">IF(E1860="","",IFERROR(VLOOKUP(E1860,Assumptions!$G$5:$H$16,2,0),"Other"))</f>
        <v/>
      </c>
      <c r="J1860" s="41" t="str">
        <f aca="false">IF(G1860="","",IFERROR(IF(ISNUMBER(SEARCH(Assumptions!$C$5,G1860)),Assumptions!$D$5,IF(ISNUMBER(SEARCH(Assumptions!$C$6,G1860)),Assumptions!$D$6,IF(ISNUMBER(SEARCH(Assumptions!$C$7,G1860)),Assumptions!$D$7,"Other Services"))),"Other Services"))</f>
        <v/>
      </c>
    </row>
    <row r="1861" customFormat="false" ht="15" hidden="false" customHeight="false" outlineLevel="0" collapsed="false">
      <c r="F1861" s="41" t="str">
        <f aca="false">IF(E1861="","",IFERROR(VLOOKUP(E1861,Assumptions!$G$5:$H$16,2,0),"Other"))</f>
        <v/>
      </c>
      <c r="J1861" s="41" t="str">
        <f aca="false">IF(G1861="","",IFERROR(IF(ISNUMBER(SEARCH(Assumptions!$C$5,G1861)),Assumptions!$D$5,IF(ISNUMBER(SEARCH(Assumptions!$C$6,G1861)),Assumptions!$D$6,IF(ISNUMBER(SEARCH(Assumptions!$C$7,G1861)),Assumptions!$D$7,"Other Services"))),"Other Services"))</f>
        <v/>
      </c>
    </row>
    <row r="1862" customFormat="false" ht="15" hidden="false" customHeight="false" outlineLevel="0" collapsed="false">
      <c r="F1862" s="41" t="str">
        <f aca="false">IF(E1862="","",IFERROR(VLOOKUP(E1862,Assumptions!$G$5:$H$16,2,0),"Other"))</f>
        <v/>
      </c>
      <c r="J1862" s="41" t="str">
        <f aca="false">IF(G1862="","",IFERROR(IF(ISNUMBER(SEARCH(Assumptions!$C$5,G1862)),Assumptions!$D$5,IF(ISNUMBER(SEARCH(Assumptions!$C$6,G1862)),Assumptions!$D$6,IF(ISNUMBER(SEARCH(Assumptions!$C$7,G1862)),Assumptions!$D$7,"Other Services"))),"Other Services"))</f>
        <v/>
      </c>
    </row>
    <row r="1863" customFormat="false" ht="15" hidden="false" customHeight="false" outlineLevel="0" collapsed="false">
      <c r="F1863" s="41" t="str">
        <f aca="false">IF(E1863="","",IFERROR(VLOOKUP(E1863,Assumptions!$G$5:$H$16,2,0),"Other"))</f>
        <v/>
      </c>
      <c r="J1863" s="41" t="str">
        <f aca="false">IF(G1863="","",IFERROR(IF(ISNUMBER(SEARCH(Assumptions!$C$5,G1863)),Assumptions!$D$5,IF(ISNUMBER(SEARCH(Assumptions!$C$6,G1863)),Assumptions!$D$6,IF(ISNUMBER(SEARCH(Assumptions!$C$7,G1863)),Assumptions!$D$7,"Other Services"))),"Other Services"))</f>
        <v/>
      </c>
    </row>
    <row r="1864" customFormat="false" ht="15" hidden="false" customHeight="false" outlineLevel="0" collapsed="false">
      <c r="F1864" s="41" t="str">
        <f aca="false">IF(E1864="","",IFERROR(VLOOKUP(E1864,Assumptions!$G$5:$H$16,2,0),"Other"))</f>
        <v/>
      </c>
      <c r="J1864" s="41" t="str">
        <f aca="false">IF(G1864="","",IFERROR(IF(ISNUMBER(SEARCH(Assumptions!$C$5,G1864)),Assumptions!$D$5,IF(ISNUMBER(SEARCH(Assumptions!$C$6,G1864)),Assumptions!$D$6,IF(ISNUMBER(SEARCH(Assumptions!$C$7,G1864)),Assumptions!$D$7,"Other Services"))),"Other Services"))</f>
        <v/>
      </c>
    </row>
    <row r="1865" customFormat="false" ht="15" hidden="false" customHeight="false" outlineLevel="0" collapsed="false">
      <c r="F1865" s="41" t="str">
        <f aca="false">IF(E1865="","",IFERROR(VLOOKUP(E1865,Assumptions!$G$5:$H$16,2,0),"Other"))</f>
        <v/>
      </c>
      <c r="J1865" s="41" t="str">
        <f aca="false">IF(G1865="","",IFERROR(IF(ISNUMBER(SEARCH(Assumptions!$C$5,G1865)),Assumptions!$D$5,IF(ISNUMBER(SEARCH(Assumptions!$C$6,G1865)),Assumptions!$D$6,IF(ISNUMBER(SEARCH(Assumptions!$C$7,G1865)),Assumptions!$D$7,"Other Services"))),"Other Services"))</f>
        <v/>
      </c>
    </row>
    <row r="1866" customFormat="false" ht="15" hidden="false" customHeight="false" outlineLevel="0" collapsed="false">
      <c r="F1866" s="41" t="str">
        <f aca="false">IF(E1866="","",IFERROR(VLOOKUP(E1866,Assumptions!$G$5:$H$16,2,0),"Other"))</f>
        <v/>
      </c>
      <c r="J1866" s="41" t="str">
        <f aca="false">IF(G1866="","",IFERROR(IF(ISNUMBER(SEARCH(Assumptions!$C$5,G1866)),Assumptions!$D$5,IF(ISNUMBER(SEARCH(Assumptions!$C$6,G1866)),Assumptions!$D$6,IF(ISNUMBER(SEARCH(Assumptions!$C$7,G1866)),Assumptions!$D$7,"Other Services"))),"Other Services"))</f>
        <v/>
      </c>
    </row>
    <row r="1867" customFormat="false" ht="15" hidden="false" customHeight="false" outlineLevel="0" collapsed="false">
      <c r="F1867" s="41" t="str">
        <f aca="false">IF(E1867="","",IFERROR(VLOOKUP(E1867,Assumptions!$G$5:$H$16,2,0),"Other"))</f>
        <v/>
      </c>
      <c r="J1867" s="41" t="str">
        <f aca="false">IF(G1867="","",IFERROR(IF(ISNUMBER(SEARCH(Assumptions!$C$5,G1867)),Assumptions!$D$5,IF(ISNUMBER(SEARCH(Assumptions!$C$6,G1867)),Assumptions!$D$6,IF(ISNUMBER(SEARCH(Assumptions!$C$7,G1867)),Assumptions!$D$7,"Other Services"))),"Other Services"))</f>
        <v/>
      </c>
    </row>
    <row r="1868" customFormat="false" ht="15" hidden="false" customHeight="false" outlineLevel="0" collapsed="false">
      <c r="F1868" s="41" t="str">
        <f aca="false">IF(E1868="","",IFERROR(VLOOKUP(E1868,Assumptions!$G$5:$H$16,2,0),"Other"))</f>
        <v/>
      </c>
      <c r="J1868" s="41" t="str">
        <f aca="false">IF(G1868="","",IFERROR(IF(ISNUMBER(SEARCH(Assumptions!$C$5,G1868)),Assumptions!$D$5,IF(ISNUMBER(SEARCH(Assumptions!$C$6,G1868)),Assumptions!$D$6,IF(ISNUMBER(SEARCH(Assumptions!$C$7,G1868)),Assumptions!$D$7,"Other Services"))),"Other Services"))</f>
        <v/>
      </c>
    </row>
    <row r="1869" customFormat="false" ht="15" hidden="false" customHeight="false" outlineLevel="0" collapsed="false">
      <c r="F1869" s="41" t="str">
        <f aca="false">IF(E1869="","",IFERROR(VLOOKUP(E1869,Assumptions!$G$5:$H$16,2,0),"Other"))</f>
        <v/>
      </c>
      <c r="J1869" s="41" t="str">
        <f aca="false">IF(G1869="","",IFERROR(IF(ISNUMBER(SEARCH(Assumptions!$C$5,G1869)),Assumptions!$D$5,IF(ISNUMBER(SEARCH(Assumptions!$C$6,G1869)),Assumptions!$D$6,IF(ISNUMBER(SEARCH(Assumptions!$C$7,G1869)),Assumptions!$D$7,"Other Services"))),"Other Services"))</f>
        <v/>
      </c>
    </row>
    <row r="1870" customFormat="false" ht="15" hidden="false" customHeight="false" outlineLevel="0" collapsed="false">
      <c r="F1870" s="41" t="str">
        <f aca="false">IF(E1870="","",IFERROR(VLOOKUP(E1870,Assumptions!$G$5:$H$16,2,0),"Other"))</f>
        <v/>
      </c>
      <c r="J1870" s="41" t="str">
        <f aca="false">IF(G1870="","",IFERROR(IF(ISNUMBER(SEARCH(Assumptions!$C$5,G1870)),Assumptions!$D$5,IF(ISNUMBER(SEARCH(Assumptions!$C$6,G1870)),Assumptions!$D$6,IF(ISNUMBER(SEARCH(Assumptions!$C$7,G1870)),Assumptions!$D$7,"Other Services"))),"Other Services"))</f>
        <v/>
      </c>
    </row>
    <row r="1871" customFormat="false" ht="15" hidden="false" customHeight="false" outlineLevel="0" collapsed="false">
      <c r="F1871" s="41" t="str">
        <f aca="false">IF(E1871="","",IFERROR(VLOOKUP(E1871,Assumptions!$G$5:$H$16,2,0),"Other"))</f>
        <v/>
      </c>
      <c r="J1871" s="41" t="str">
        <f aca="false">IF(G1871="","",IFERROR(IF(ISNUMBER(SEARCH(Assumptions!$C$5,G1871)),Assumptions!$D$5,IF(ISNUMBER(SEARCH(Assumptions!$C$6,G1871)),Assumptions!$D$6,IF(ISNUMBER(SEARCH(Assumptions!$C$7,G1871)),Assumptions!$D$7,"Other Services"))),"Other Services"))</f>
        <v/>
      </c>
    </row>
    <row r="1872" customFormat="false" ht="15" hidden="false" customHeight="false" outlineLevel="0" collapsed="false">
      <c r="F1872" s="41" t="str">
        <f aca="false">IF(E1872="","",IFERROR(VLOOKUP(E1872,Assumptions!$G$5:$H$16,2,0),"Other"))</f>
        <v/>
      </c>
      <c r="J1872" s="41" t="str">
        <f aca="false">IF(G1872="","",IFERROR(IF(ISNUMBER(SEARCH(Assumptions!$C$5,G1872)),Assumptions!$D$5,IF(ISNUMBER(SEARCH(Assumptions!$C$6,G1872)),Assumptions!$D$6,IF(ISNUMBER(SEARCH(Assumptions!$C$7,G1872)),Assumptions!$D$7,"Other Services"))),"Other Services"))</f>
        <v/>
      </c>
    </row>
    <row r="1873" customFormat="false" ht="15" hidden="false" customHeight="false" outlineLevel="0" collapsed="false">
      <c r="F1873" s="41" t="str">
        <f aca="false">IF(E1873="","",IFERROR(VLOOKUP(E1873,Assumptions!$G$5:$H$16,2,0),"Other"))</f>
        <v/>
      </c>
      <c r="J1873" s="41" t="str">
        <f aca="false">IF(G1873="","",IFERROR(IF(ISNUMBER(SEARCH(Assumptions!$C$5,G1873)),Assumptions!$D$5,IF(ISNUMBER(SEARCH(Assumptions!$C$6,G1873)),Assumptions!$D$6,IF(ISNUMBER(SEARCH(Assumptions!$C$7,G1873)),Assumptions!$D$7,"Other Services"))),"Other Services"))</f>
        <v/>
      </c>
    </row>
    <row r="1874" customFormat="false" ht="15" hidden="false" customHeight="false" outlineLevel="0" collapsed="false">
      <c r="F1874" s="41" t="str">
        <f aca="false">IF(E1874="","",IFERROR(VLOOKUP(E1874,Assumptions!$G$5:$H$16,2,0),"Other"))</f>
        <v/>
      </c>
      <c r="J1874" s="41" t="str">
        <f aca="false">IF(G1874="","",IFERROR(IF(ISNUMBER(SEARCH(Assumptions!$C$5,G1874)),Assumptions!$D$5,IF(ISNUMBER(SEARCH(Assumptions!$C$6,G1874)),Assumptions!$D$6,IF(ISNUMBER(SEARCH(Assumptions!$C$7,G1874)),Assumptions!$D$7,"Other Services"))),"Other Services"))</f>
        <v/>
      </c>
    </row>
    <row r="1875" customFormat="false" ht="15" hidden="false" customHeight="false" outlineLevel="0" collapsed="false">
      <c r="F1875" s="41" t="str">
        <f aca="false">IF(E1875="","",IFERROR(VLOOKUP(E1875,Assumptions!$G$5:$H$16,2,0),"Other"))</f>
        <v/>
      </c>
      <c r="J1875" s="41" t="str">
        <f aca="false">IF(G1875="","",IFERROR(IF(ISNUMBER(SEARCH(Assumptions!$C$5,G1875)),Assumptions!$D$5,IF(ISNUMBER(SEARCH(Assumptions!$C$6,G1875)),Assumptions!$D$6,IF(ISNUMBER(SEARCH(Assumptions!$C$7,G1875)),Assumptions!$D$7,"Other Services"))),"Other Services"))</f>
        <v/>
      </c>
    </row>
    <row r="1876" customFormat="false" ht="15" hidden="false" customHeight="false" outlineLevel="0" collapsed="false">
      <c r="F1876" s="41" t="str">
        <f aca="false">IF(E1876="","",IFERROR(VLOOKUP(E1876,Assumptions!$G$5:$H$16,2,0),"Other"))</f>
        <v/>
      </c>
      <c r="J1876" s="41" t="str">
        <f aca="false">IF(G1876="","",IFERROR(IF(ISNUMBER(SEARCH(Assumptions!$C$5,G1876)),Assumptions!$D$5,IF(ISNUMBER(SEARCH(Assumptions!$C$6,G1876)),Assumptions!$D$6,IF(ISNUMBER(SEARCH(Assumptions!$C$7,G1876)),Assumptions!$D$7,"Other Services"))),"Other Services"))</f>
        <v/>
      </c>
    </row>
    <row r="1877" customFormat="false" ht="15" hidden="false" customHeight="false" outlineLevel="0" collapsed="false">
      <c r="F1877" s="41" t="str">
        <f aca="false">IF(E1877="","",IFERROR(VLOOKUP(E1877,Assumptions!$G$5:$H$16,2,0),"Other"))</f>
        <v/>
      </c>
      <c r="J1877" s="41" t="str">
        <f aca="false">IF(G1877="","",IFERROR(IF(ISNUMBER(SEARCH(Assumptions!$C$5,G1877)),Assumptions!$D$5,IF(ISNUMBER(SEARCH(Assumptions!$C$6,G1877)),Assumptions!$D$6,IF(ISNUMBER(SEARCH(Assumptions!$C$7,G1877)),Assumptions!$D$7,"Other Services"))),"Other Services"))</f>
        <v/>
      </c>
    </row>
    <row r="1878" customFormat="false" ht="15" hidden="false" customHeight="false" outlineLevel="0" collapsed="false">
      <c r="F1878" s="41" t="str">
        <f aca="false">IF(E1878="","",IFERROR(VLOOKUP(E1878,Assumptions!$G$5:$H$16,2,0),"Other"))</f>
        <v/>
      </c>
      <c r="J1878" s="41" t="str">
        <f aca="false">IF(G1878="","",IFERROR(IF(ISNUMBER(SEARCH(Assumptions!$C$5,G1878)),Assumptions!$D$5,IF(ISNUMBER(SEARCH(Assumptions!$C$6,G1878)),Assumptions!$D$6,IF(ISNUMBER(SEARCH(Assumptions!$C$7,G1878)),Assumptions!$D$7,"Other Services"))),"Other Services"))</f>
        <v/>
      </c>
    </row>
    <row r="1879" customFormat="false" ht="15" hidden="false" customHeight="false" outlineLevel="0" collapsed="false">
      <c r="F1879" s="41" t="str">
        <f aca="false">IF(E1879="","",IFERROR(VLOOKUP(E1879,Assumptions!$G$5:$H$16,2,0),"Other"))</f>
        <v/>
      </c>
      <c r="J1879" s="41" t="str">
        <f aca="false">IF(G1879="","",IFERROR(IF(ISNUMBER(SEARCH(Assumptions!$C$5,G1879)),Assumptions!$D$5,IF(ISNUMBER(SEARCH(Assumptions!$C$6,G1879)),Assumptions!$D$6,IF(ISNUMBER(SEARCH(Assumptions!$C$7,G1879)),Assumptions!$D$7,"Other Services"))),"Other Services"))</f>
        <v/>
      </c>
    </row>
    <row r="1880" customFormat="false" ht="15" hidden="false" customHeight="false" outlineLevel="0" collapsed="false">
      <c r="F1880" s="41" t="str">
        <f aca="false">IF(E1880="","",IFERROR(VLOOKUP(E1880,Assumptions!$G$5:$H$16,2,0),"Other"))</f>
        <v/>
      </c>
      <c r="J1880" s="41" t="str">
        <f aca="false">IF(G1880="","",IFERROR(IF(ISNUMBER(SEARCH(Assumptions!$C$5,G1880)),Assumptions!$D$5,IF(ISNUMBER(SEARCH(Assumptions!$C$6,G1880)),Assumptions!$D$6,IF(ISNUMBER(SEARCH(Assumptions!$C$7,G1880)),Assumptions!$D$7,"Other Services"))),"Other Services"))</f>
        <v/>
      </c>
    </row>
    <row r="1881" customFormat="false" ht="15" hidden="false" customHeight="false" outlineLevel="0" collapsed="false">
      <c r="F1881" s="41" t="str">
        <f aca="false">IF(E1881="","",IFERROR(VLOOKUP(E1881,Assumptions!$G$5:$H$16,2,0),"Other"))</f>
        <v/>
      </c>
      <c r="J1881" s="41" t="str">
        <f aca="false">IF(G1881="","",IFERROR(IF(ISNUMBER(SEARCH(Assumptions!$C$5,G1881)),Assumptions!$D$5,IF(ISNUMBER(SEARCH(Assumptions!$C$6,G1881)),Assumptions!$D$6,IF(ISNUMBER(SEARCH(Assumptions!$C$7,G1881)),Assumptions!$D$7,"Other Services"))),"Other Services"))</f>
        <v/>
      </c>
    </row>
    <row r="1882" customFormat="false" ht="15" hidden="false" customHeight="false" outlineLevel="0" collapsed="false">
      <c r="F1882" s="41" t="str">
        <f aca="false">IF(E1882="","",IFERROR(VLOOKUP(E1882,Assumptions!$G$5:$H$16,2,0),"Other"))</f>
        <v/>
      </c>
      <c r="J1882" s="41" t="str">
        <f aca="false">IF(G1882="","",IFERROR(IF(ISNUMBER(SEARCH(Assumptions!$C$5,G1882)),Assumptions!$D$5,IF(ISNUMBER(SEARCH(Assumptions!$C$6,G1882)),Assumptions!$D$6,IF(ISNUMBER(SEARCH(Assumptions!$C$7,G1882)),Assumptions!$D$7,"Other Services"))),"Other Services"))</f>
        <v/>
      </c>
    </row>
    <row r="1883" customFormat="false" ht="15" hidden="false" customHeight="false" outlineLevel="0" collapsed="false">
      <c r="F1883" s="41" t="str">
        <f aca="false">IF(E1883="","",IFERROR(VLOOKUP(E1883,Assumptions!$G$5:$H$16,2,0),"Other"))</f>
        <v/>
      </c>
      <c r="J1883" s="41" t="str">
        <f aca="false">IF(G1883="","",IFERROR(IF(ISNUMBER(SEARCH(Assumptions!$C$5,G1883)),Assumptions!$D$5,IF(ISNUMBER(SEARCH(Assumptions!$C$6,G1883)),Assumptions!$D$6,IF(ISNUMBER(SEARCH(Assumptions!$C$7,G1883)),Assumptions!$D$7,"Other Services"))),"Other Services"))</f>
        <v/>
      </c>
    </row>
    <row r="1884" customFormat="false" ht="15" hidden="false" customHeight="false" outlineLevel="0" collapsed="false">
      <c r="F1884" s="41" t="str">
        <f aca="false">IF(E1884="","",IFERROR(VLOOKUP(E1884,Assumptions!$G$5:$H$16,2,0),"Other"))</f>
        <v/>
      </c>
      <c r="J1884" s="41" t="str">
        <f aca="false">IF(G1884="","",IFERROR(IF(ISNUMBER(SEARCH(Assumptions!$C$5,G1884)),Assumptions!$D$5,IF(ISNUMBER(SEARCH(Assumptions!$C$6,G1884)),Assumptions!$D$6,IF(ISNUMBER(SEARCH(Assumptions!$C$7,G1884)),Assumptions!$D$7,"Other Services"))),"Other Services"))</f>
        <v/>
      </c>
    </row>
    <row r="1885" customFormat="false" ht="15" hidden="false" customHeight="false" outlineLevel="0" collapsed="false">
      <c r="F1885" s="41" t="str">
        <f aca="false">IF(E1885="","",IFERROR(VLOOKUP(E1885,Assumptions!$G$5:$H$16,2,0),"Other"))</f>
        <v/>
      </c>
      <c r="J1885" s="41" t="str">
        <f aca="false">IF(G1885="","",IFERROR(IF(ISNUMBER(SEARCH(Assumptions!$C$5,G1885)),Assumptions!$D$5,IF(ISNUMBER(SEARCH(Assumptions!$C$6,G1885)),Assumptions!$D$6,IF(ISNUMBER(SEARCH(Assumptions!$C$7,G1885)),Assumptions!$D$7,"Other Services"))),"Other Services"))</f>
        <v/>
      </c>
    </row>
    <row r="1886" customFormat="false" ht="15" hidden="false" customHeight="false" outlineLevel="0" collapsed="false">
      <c r="F1886" s="41" t="str">
        <f aca="false">IF(E1886="","",IFERROR(VLOOKUP(E1886,Assumptions!$G$5:$H$16,2,0),"Other"))</f>
        <v/>
      </c>
      <c r="J1886" s="41" t="str">
        <f aca="false">IF(G1886="","",IFERROR(IF(ISNUMBER(SEARCH(Assumptions!$C$5,G1886)),Assumptions!$D$5,IF(ISNUMBER(SEARCH(Assumptions!$C$6,G1886)),Assumptions!$D$6,IF(ISNUMBER(SEARCH(Assumptions!$C$7,G1886)),Assumptions!$D$7,"Other Services"))),"Other Services"))</f>
        <v/>
      </c>
    </row>
    <row r="1887" customFormat="false" ht="15" hidden="false" customHeight="false" outlineLevel="0" collapsed="false">
      <c r="F1887" s="41" t="str">
        <f aca="false">IF(E1887="","",IFERROR(VLOOKUP(E1887,Assumptions!$G$5:$H$16,2,0),"Other"))</f>
        <v/>
      </c>
      <c r="J1887" s="41" t="str">
        <f aca="false">IF(G1887="","",IFERROR(IF(ISNUMBER(SEARCH(Assumptions!$C$5,G1887)),Assumptions!$D$5,IF(ISNUMBER(SEARCH(Assumptions!$C$6,G1887)),Assumptions!$D$6,IF(ISNUMBER(SEARCH(Assumptions!$C$7,G1887)),Assumptions!$D$7,"Other Services"))),"Other Services"))</f>
        <v/>
      </c>
    </row>
    <row r="1888" customFormat="false" ht="15" hidden="false" customHeight="false" outlineLevel="0" collapsed="false">
      <c r="F1888" s="41" t="str">
        <f aca="false">IF(E1888="","",IFERROR(VLOOKUP(E1888,Assumptions!$G$5:$H$16,2,0),"Other"))</f>
        <v/>
      </c>
      <c r="J1888" s="41" t="str">
        <f aca="false">IF(G1888="","",IFERROR(IF(ISNUMBER(SEARCH(Assumptions!$C$5,G1888)),Assumptions!$D$5,IF(ISNUMBER(SEARCH(Assumptions!$C$6,G1888)),Assumptions!$D$6,IF(ISNUMBER(SEARCH(Assumptions!$C$7,G1888)),Assumptions!$D$7,"Other Services"))),"Other Services"))</f>
        <v/>
      </c>
    </row>
    <row r="1889" customFormat="false" ht="15" hidden="false" customHeight="false" outlineLevel="0" collapsed="false">
      <c r="F1889" s="41" t="str">
        <f aca="false">IF(E1889="","",IFERROR(VLOOKUP(E1889,Assumptions!$G$5:$H$16,2,0),"Other"))</f>
        <v/>
      </c>
      <c r="J1889" s="41" t="str">
        <f aca="false">IF(G1889="","",IFERROR(IF(ISNUMBER(SEARCH(Assumptions!$C$5,G1889)),Assumptions!$D$5,IF(ISNUMBER(SEARCH(Assumptions!$C$6,G1889)),Assumptions!$D$6,IF(ISNUMBER(SEARCH(Assumptions!$C$7,G1889)),Assumptions!$D$7,"Other Services"))),"Other Services"))</f>
        <v/>
      </c>
    </row>
    <row r="1890" customFormat="false" ht="15" hidden="false" customHeight="false" outlineLevel="0" collapsed="false">
      <c r="F1890" s="41" t="str">
        <f aca="false">IF(E1890="","",IFERROR(VLOOKUP(E1890,Assumptions!$G$5:$H$16,2,0),"Other"))</f>
        <v/>
      </c>
      <c r="J1890" s="41" t="str">
        <f aca="false">IF(G1890="","",IFERROR(IF(ISNUMBER(SEARCH(Assumptions!$C$5,G1890)),Assumptions!$D$5,IF(ISNUMBER(SEARCH(Assumptions!$C$6,G1890)),Assumptions!$D$6,IF(ISNUMBER(SEARCH(Assumptions!$C$7,G1890)),Assumptions!$D$7,"Other Services"))),"Other Services"))</f>
        <v/>
      </c>
    </row>
    <row r="1891" customFormat="false" ht="15" hidden="false" customHeight="false" outlineLevel="0" collapsed="false">
      <c r="F1891" s="41" t="str">
        <f aca="false">IF(E1891="","",IFERROR(VLOOKUP(E1891,Assumptions!$G$5:$H$16,2,0),"Other"))</f>
        <v/>
      </c>
      <c r="J1891" s="41" t="str">
        <f aca="false">IF(G1891="","",IFERROR(IF(ISNUMBER(SEARCH(Assumptions!$C$5,G1891)),Assumptions!$D$5,IF(ISNUMBER(SEARCH(Assumptions!$C$6,G1891)),Assumptions!$D$6,IF(ISNUMBER(SEARCH(Assumptions!$C$7,G1891)),Assumptions!$D$7,"Other Services"))),"Other Services"))</f>
        <v/>
      </c>
    </row>
    <row r="1892" customFormat="false" ht="15" hidden="false" customHeight="false" outlineLevel="0" collapsed="false">
      <c r="F1892" s="41" t="str">
        <f aca="false">IF(E1892="","",IFERROR(VLOOKUP(E1892,Assumptions!$G$5:$H$16,2,0),"Other"))</f>
        <v/>
      </c>
      <c r="J1892" s="41" t="str">
        <f aca="false">IF(G1892="","",IFERROR(IF(ISNUMBER(SEARCH(Assumptions!$C$5,G1892)),Assumptions!$D$5,IF(ISNUMBER(SEARCH(Assumptions!$C$6,G1892)),Assumptions!$D$6,IF(ISNUMBER(SEARCH(Assumptions!$C$7,G1892)),Assumptions!$D$7,"Other Services"))),"Other Services"))</f>
        <v/>
      </c>
    </row>
    <row r="1893" customFormat="false" ht="15" hidden="false" customHeight="false" outlineLevel="0" collapsed="false">
      <c r="F1893" s="41" t="str">
        <f aca="false">IF(E1893="","",IFERROR(VLOOKUP(E1893,Assumptions!$G$5:$H$16,2,0),"Other"))</f>
        <v/>
      </c>
      <c r="J1893" s="41" t="str">
        <f aca="false">IF(G1893="","",IFERROR(IF(ISNUMBER(SEARCH(Assumptions!$C$5,G1893)),Assumptions!$D$5,IF(ISNUMBER(SEARCH(Assumptions!$C$6,G1893)),Assumptions!$D$6,IF(ISNUMBER(SEARCH(Assumptions!$C$7,G1893)),Assumptions!$D$7,"Other Services"))),"Other Services"))</f>
        <v/>
      </c>
    </row>
    <row r="1894" customFormat="false" ht="15" hidden="false" customHeight="false" outlineLevel="0" collapsed="false">
      <c r="F1894" s="41" t="str">
        <f aca="false">IF(E1894="","",IFERROR(VLOOKUP(E1894,Assumptions!$G$5:$H$16,2,0),"Other"))</f>
        <v/>
      </c>
      <c r="J1894" s="41" t="str">
        <f aca="false">IF(G1894="","",IFERROR(IF(ISNUMBER(SEARCH(Assumptions!$C$5,G1894)),Assumptions!$D$5,IF(ISNUMBER(SEARCH(Assumptions!$C$6,G1894)),Assumptions!$D$6,IF(ISNUMBER(SEARCH(Assumptions!$C$7,G1894)),Assumptions!$D$7,"Other Services"))),"Other Services"))</f>
        <v/>
      </c>
    </row>
    <row r="1895" customFormat="false" ht="15" hidden="false" customHeight="false" outlineLevel="0" collapsed="false">
      <c r="F1895" s="41" t="str">
        <f aca="false">IF(E1895="","",IFERROR(VLOOKUP(E1895,Assumptions!$G$5:$H$16,2,0),"Other"))</f>
        <v/>
      </c>
      <c r="J1895" s="41" t="str">
        <f aca="false">IF(G1895="","",IFERROR(IF(ISNUMBER(SEARCH(Assumptions!$C$5,G1895)),Assumptions!$D$5,IF(ISNUMBER(SEARCH(Assumptions!$C$6,G1895)),Assumptions!$D$6,IF(ISNUMBER(SEARCH(Assumptions!$C$7,G1895)),Assumptions!$D$7,"Other Services"))),"Other Services"))</f>
        <v/>
      </c>
    </row>
    <row r="1896" customFormat="false" ht="15" hidden="false" customHeight="false" outlineLevel="0" collapsed="false">
      <c r="F1896" s="41" t="str">
        <f aca="false">IF(E1896="","",IFERROR(VLOOKUP(E1896,Assumptions!$G$5:$H$16,2,0),"Other"))</f>
        <v/>
      </c>
      <c r="J1896" s="41" t="str">
        <f aca="false">IF(G1896="","",IFERROR(IF(ISNUMBER(SEARCH(Assumptions!$C$5,G1896)),Assumptions!$D$5,IF(ISNUMBER(SEARCH(Assumptions!$C$6,G1896)),Assumptions!$D$6,IF(ISNUMBER(SEARCH(Assumptions!$C$7,G1896)),Assumptions!$D$7,"Other Services"))),"Other Services"))</f>
        <v/>
      </c>
    </row>
    <row r="1897" customFormat="false" ht="15" hidden="false" customHeight="false" outlineLevel="0" collapsed="false">
      <c r="F1897" s="41" t="str">
        <f aca="false">IF(E1897="","",IFERROR(VLOOKUP(E1897,Assumptions!$G$5:$H$16,2,0),"Other"))</f>
        <v/>
      </c>
      <c r="J1897" s="41" t="str">
        <f aca="false">IF(G1897="","",IFERROR(IF(ISNUMBER(SEARCH(Assumptions!$C$5,G1897)),Assumptions!$D$5,IF(ISNUMBER(SEARCH(Assumptions!$C$6,G1897)),Assumptions!$D$6,IF(ISNUMBER(SEARCH(Assumptions!$C$7,G1897)),Assumptions!$D$7,"Other Services"))),"Other Services"))</f>
        <v/>
      </c>
    </row>
    <row r="1898" customFormat="false" ht="15" hidden="false" customHeight="false" outlineLevel="0" collapsed="false">
      <c r="F1898" s="41" t="str">
        <f aca="false">IF(E1898="","",IFERROR(VLOOKUP(E1898,Assumptions!$G$5:$H$16,2,0),"Other"))</f>
        <v/>
      </c>
      <c r="J1898" s="41" t="str">
        <f aca="false">IF(G1898="","",IFERROR(IF(ISNUMBER(SEARCH(Assumptions!$C$5,G1898)),Assumptions!$D$5,IF(ISNUMBER(SEARCH(Assumptions!$C$6,G1898)),Assumptions!$D$6,IF(ISNUMBER(SEARCH(Assumptions!$C$7,G1898)),Assumptions!$D$7,"Other Services"))),"Other Services"))</f>
        <v/>
      </c>
    </row>
    <row r="1899" customFormat="false" ht="15" hidden="false" customHeight="false" outlineLevel="0" collapsed="false">
      <c r="F1899" s="41" t="str">
        <f aca="false">IF(E1899="","",IFERROR(VLOOKUP(E1899,Assumptions!$G$5:$H$16,2,0),"Other"))</f>
        <v/>
      </c>
      <c r="J1899" s="41" t="str">
        <f aca="false">IF(G1899="","",IFERROR(IF(ISNUMBER(SEARCH(Assumptions!$C$5,G1899)),Assumptions!$D$5,IF(ISNUMBER(SEARCH(Assumptions!$C$6,G1899)),Assumptions!$D$6,IF(ISNUMBER(SEARCH(Assumptions!$C$7,G1899)),Assumptions!$D$7,"Other Services"))),"Other Services"))</f>
        <v/>
      </c>
    </row>
    <row r="1900" customFormat="false" ht="15" hidden="false" customHeight="false" outlineLevel="0" collapsed="false">
      <c r="F1900" s="41" t="str">
        <f aca="false">IF(E1900="","",IFERROR(VLOOKUP(E1900,Assumptions!$G$5:$H$16,2,0),"Other"))</f>
        <v/>
      </c>
      <c r="J1900" s="41" t="str">
        <f aca="false">IF(G1900="","",IFERROR(IF(ISNUMBER(SEARCH(Assumptions!$C$5,G1900)),Assumptions!$D$5,IF(ISNUMBER(SEARCH(Assumptions!$C$6,G1900)),Assumptions!$D$6,IF(ISNUMBER(SEARCH(Assumptions!$C$7,G1900)),Assumptions!$D$7,"Other Services"))),"Other Services"))</f>
        <v/>
      </c>
    </row>
    <row r="1901" customFormat="false" ht="15" hidden="false" customHeight="false" outlineLevel="0" collapsed="false">
      <c r="F1901" s="41" t="str">
        <f aca="false">IF(E1901="","",IFERROR(VLOOKUP(E1901,Assumptions!$G$5:$H$16,2,0),"Other"))</f>
        <v/>
      </c>
      <c r="J1901" s="41" t="str">
        <f aca="false">IF(G1901="","",IFERROR(IF(ISNUMBER(SEARCH(Assumptions!$C$5,G1901)),Assumptions!$D$5,IF(ISNUMBER(SEARCH(Assumptions!$C$6,G1901)),Assumptions!$D$6,IF(ISNUMBER(SEARCH(Assumptions!$C$7,G1901)),Assumptions!$D$7,"Other Services"))),"Other Services"))</f>
        <v/>
      </c>
    </row>
    <row r="1902" customFormat="false" ht="15" hidden="false" customHeight="false" outlineLevel="0" collapsed="false">
      <c r="F1902" s="41" t="str">
        <f aca="false">IF(E1902="","",IFERROR(VLOOKUP(E1902,Assumptions!$G$5:$H$16,2,0),"Other"))</f>
        <v/>
      </c>
      <c r="J1902" s="41" t="str">
        <f aca="false">IF(G1902="","",IFERROR(IF(ISNUMBER(SEARCH(Assumptions!$C$5,G1902)),Assumptions!$D$5,IF(ISNUMBER(SEARCH(Assumptions!$C$6,G1902)),Assumptions!$D$6,IF(ISNUMBER(SEARCH(Assumptions!$C$7,G1902)),Assumptions!$D$7,"Other Services"))),"Other Services"))</f>
        <v/>
      </c>
    </row>
    <row r="1903" customFormat="false" ht="15" hidden="false" customHeight="false" outlineLevel="0" collapsed="false">
      <c r="F1903" s="41" t="str">
        <f aca="false">IF(E1903="","",IFERROR(VLOOKUP(E1903,Assumptions!$G$5:$H$16,2,0),"Other"))</f>
        <v/>
      </c>
      <c r="J1903" s="41" t="str">
        <f aca="false">IF(G1903="","",IFERROR(IF(ISNUMBER(SEARCH(Assumptions!$C$5,G1903)),Assumptions!$D$5,IF(ISNUMBER(SEARCH(Assumptions!$C$6,G1903)),Assumptions!$D$6,IF(ISNUMBER(SEARCH(Assumptions!$C$7,G1903)),Assumptions!$D$7,"Other Services"))),"Other Services"))</f>
        <v/>
      </c>
    </row>
    <row r="1904" customFormat="false" ht="15" hidden="false" customHeight="false" outlineLevel="0" collapsed="false">
      <c r="F1904" s="41" t="str">
        <f aca="false">IF(E1904="","",IFERROR(VLOOKUP(E1904,Assumptions!$G$5:$H$16,2,0),"Other"))</f>
        <v/>
      </c>
      <c r="J1904" s="41" t="str">
        <f aca="false">IF(G1904="","",IFERROR(IF(ISNUMBER(SEARCH(Assumptions!$C$5,G1904)),Assumptions!$D$5,IF(ISNUMBER(SEARCH(Assumptions!$C$6,G1904)),Assumptions!$D$6,IF(ISNUMBER(SEARCH(Assumptions!$C$7,G1904)),Assumptions!$D$7,"Other Services"))),"Other Services"))</f>
        <v/>
      </c>
    </row>
    <row r="1905" customFormat="false" ht="15" hidden="false" customHeight="false" outlineLevel="0" collapsed="false">
      <c r="F1905" s="41" t="str">
        <f aca="false">IF(E1905="","",IFERROR(VLOOKUP(E1905,Assumptions!$G$5:$H$16,2,0),"Other"))</f>
        <v/>
      </c>
      <c r="J1905" s="41" t="str">
        <f aca="false">IF(G1905="","",IFERROR(IF(ISNUMBER(SEARCH(Assumptions!$C$5,G1905)),Assumptions!$D$5,IF(ISNUMBER(SEARCH(Assumptions!$C$6,G1905)),Assumptions!$D$6,IF(ISNUMBER(SEARCH(Assumptions!$C$7,G1905)),Assumptions!$D$7,"Other Services"))),"Other Services"))</f>
        <v/>
      </c>
    </row>
    <row r="1906" customFormat="false" ht="15" hidden="false" customHeight="false" outlineLevel="0" collapsed="false">
      <c r="F1906" s="41" t="str">
        <f aca="false">IF(E1906="","",IFERROR(VLOOKUP(E1906,Assumptions!$G$5:$H$16,2,0),"Other"))</f>
        <v/>
      </c>
      <c r="J1906" s="41" t="str">
        <f aca="false">IF(G1906="","",IFERROR(IF(ISNUMBER(SEARCH(Assumptions!$C$5,G1906)),Assumptions!$D$5,IF(ISNUMBER(SEARCH(Assumptions!$C$6,G1906)),Assumptions!$D$6,IF(ISNUMBER(SEARCH(Assumptions!$C$7,G1906)),Assumptions!$D$7,"Other Services"))),"Other Services"))</f>
        <v/>
      </c>
    </row>
    <row r="1907" customFormat="false" ht="15" hidden="false" customHeight="false" outlineLevel="0" collapsed="false">
      <c r="F1907" s="41" t="str">
        <f aca="false">IF(E1907="","",IFERROR(VLOOKUP(E1907,Assumptions!$G$5:$H$16,2,0),"Other"))</f>
        <v/>
      </c>
      <c r="J1907" s="41" t="str">
        <f aca="false">IF(G1907="","",IFERROR(IF(ISNUMBER(SEARCH(Assumptions!$C$5,G1907)),Assumptions!$D$5,IF(ISNUMBER(SEARCH(Assumptions!$C$6,G1907)),Assumptions!$D$6,IF(ISNUMBER(SEARCH(Assumptions!$C$7,G1907)),Assumptions!$D$7,"Other Services"))),"Other Services"))</f>
        <v/>
      </c>
    </row>
    <row r="1908" customFormat="false" ht="15" hidden="false" customHeight="false" outlineLevel="0" collapsed="false">
      <c r="F1908" s="41" t="str">
        <f aca="false">IF(E1908="","",IFERROR(VLOOKUP(E1908,Assumptions!$G$5:$H$16,2,0),"Other"))</f>
        <v/>
      </c>
      <c r="J1908" s="41" t="str">
        <f aca="false">IF(G1908="","",IFERROR(IF(ISNUMBER(SEARCH(Assumptions!$C$5,G1908)),Assumptions!$D$5,IF(ISNUMBER(SEARCH(Assumptions!$C$6,G1908)),Assumptions!$D$6,IF(ISNUMBER(SEARCH(Assumptions!$C$7,G1908)),Assumptions!$D$7,"Other Services"))),"Other Services"))</f>
        <v/>
      </c>
    </row>
    <row r="1909" customFormat="false" ht="15" hidden="false" customHeight="false" outlineLevel="0" collapsed="false">
      <c r="F1909" s="41" t="str">
        <f aca="false">IF(E1909="","",IFERROR(VLOOKUP(E1909,Assumptions!$G$5:$H$16,2,0),"Other"))</f>
        <v/>
      </c>
      <c r="J1909" s="41" t="str">
        <f aca="false">IF(G1909="","",IFERROR(IF(ISNUMBER(SEARCH(Assumptions!$C$5,G1909)),Assumptions!$D$5,IF(ISNUMBER(SEARCH(Assumptions!$C$6,G1909)),Assumptions!$D$6,IF(ISNUMBER(SEARCH(Assumptions!$C$7,G1909)),Assumptions!$D$7,"Other Services"))),"Other Services"))</f>
        <v/>
      </c>
    </row>
    <row r="1910" customFormat="false" ht="15" hidden="false" customHeight="false" outlineLevel="0" collapsed="false">
      <c r="F1910" s="41" t="str">
        <f aca="false">IF(E1910="","",IFERROR(VLOOKUP(E1910,Assumptions!$G$5:$H$16,2,0),"Other"))</f>
        <v/>
      </c>
      <c r="J1910" s="41" t="str">
        <f aca="false">IF(G1910="","",IFERROR(IF(ISNUMBER(SEARCH(Assumptions!$C$5,G1910)),Assumptions!$D$5,IF(ISNUMBER(SEARCH(Assumptions!$C$6,G1910)),Assumptions!$D$6,IF(ISNUMBER(SEARCH(Assumptions!$C$7,G1910)),Assumptions!$D$7,"Other Services"))),"Other Services"))</f>
        <v/>
      </c>
    </row>
    <row r="1911" customFormat="false" ht="15" hidden="false" customHeight="false" outlineLevel="0" collapsed="false">
      <c r="F1911" s="41" t="str">
        <f aca="false">IF(E1911="","",IFERROR(VLOOKUP(E1911,Assumptions!$G$5:$H$16,2,0),"Other"))</f>
        <v/>
      </c>
      <c r="J1911" s="41" t="str">
        <f aca="false">IF(G1911="","",IFERROR(IF(ISNUMBER(SEARCH(Assumptions!$C$5,G1911)),Assumptions!$D$5,IF(ISNUMBER(SEARCH(Assumptions!$C$6,G1911)),Assumptions!$D$6,IF(ISNUMBER(SEARCH(Assumptions!$C$7,G1911)),Assumptions!$D$7,"Other Services"))),"Other Services"))</f>
        <v/>
      </c>
    </row>
    <row r="1912" customFormat="false" ht="15" hidden="false" customHeight="false" outlineLevel="0" collapsed="false">
      <c r="F1912" s="41" t="str">
        <f aca="false">IF(E1912="","",IFERROR(VLOOKUP(E1912,Assumptions!$G$5:$H$16,2,0),"Other"))</f>
        <v/>
      </c>
      <c r="J1912" s="41" t="str">
        <f aca="false">IF(G1912="","",IFERROR(IF(ISNUMBER(SEARCH(Assumptions!$C$5,G1912)),Assumptions!$D$5,IF(ISNUMBER(SEARCH(Assumptions!$C$6,G1912)),Assumptions!$D$6,IF(ISNUMBER(SEARCH(Assumptions!$C$7,G1912)),Assumptions!$D$7,"Other Services"))),"Other Services"))</f>
        <v/>
      </c>
    </row>
    <row r="1913" customFormat="false" ht="15" hidden="false" customHeight="false" outlineLevel="0" collapsed="false">
      <c r="F1913" s="41" t="str">
        <f aca="false">IF(E1913="","",IFERROR(VLOOKUP(E1913,Assumptions!$G$5:$H$16,2,0),"Other"))</f>
        <v/>
      </c>
      <c r="J1913" s="41" t="str">
        <f aca="false">IF(G1913="","",IFERROR(IF(ISNUMBER(SEARCH(Assumptions!$C$5,G1913)),Assumptions!$D$5,IF(ISNUMBER(SEARCH(Assumptions!$C$6,G1913)),Assumptions!$D$6,IF(ISNUMBER(SEARCH(Assumptions!$C$7,G1913)),Assumptions!$D$7,"Other Services"))),"Other Services"))</f>
        <v/>
      </c>
    </row>
    <row r="1914" customFormat="false" ht="15" hidden="false" customHeight="false" outlineLevel="0" collapsed="false">
      <c r="F1914" s="41" t="str">
        <f aca="false">IF(E1914="","",IFERROR(VLOOKUP(E1914,Assumptions!$G$5:$H$16,2,0),"Other"))</f>
        <v/>
      </c>
      <c r="J1914" s="41" t="str">
        <f aca="false">IF(G1914="","",IFERROR(IF(ISNUMBER(SEARCH(Assumptions!$C$5,G1914)),Assumptions!$D$5,IF(ISNUMBER(SEARCH(Assumptions!$C$6,G1914)),Assumptions!$D$6,IF(ISNUMBER(SEARCH(Assumptions!$C$7,G1914)),Assumptions!$D$7,"Other Services"))),"Other Services"))</f>
        <v/>
      </c>
    </row>
    <row r="1915" customFormat="false" ht="15" hidden="false" customHeight="false" outlineLevel="0" collapsed="false">
      <c r="F1915" s="41" t="str">
        <f aca="false">IF(E1915="","",IFERROR(VLOOKUP(E1915,Assumptions!$G$5:$H$16,2,0),"Other"))</f>
        <v/>
      </c>
      <c r="J1915" s="41" t="str">
        <f aca="false">IF(G1915="","",IFERROR(IF(ISNUMBER(SEARCH(Assumptions!$C$5,G1915)),Assumptions!$D$5,IF(ISNUMBER(SEARCH(Assumptions!$C$6,G1915)),Assumptions!$D$6,IF(ISNUMBER(SEARCH(Assumptions!$C$7,G1915)),Assumptions!$D$7,"Other Services"))),"Other Services"))</f>
        <v/>
      </c>
    </row>
    <row r="1916" customFormat="false" ht="15" hidden="false" customHeight="false" outlineLevel="0" collapsed="false">
      <c r="F1916" s="41" t="str">
        <f aca="false">IF(E1916="","",IFERROR(VLOOKUP(E1916,Assumptions!$G$5:$H$16,2,0),"Other"))</f>
        <v/>
      </c>
      <c r="J1916" s="41" t="str">
        <f aca="false">IF(G1916="","",IFERROR(IF(ISNUMBER(SEARCH(Assumptions!$C$5,G1916)),Assumptions!$D$5,IF(ISNUMBER(SEARCH(Assumptions!$C$6,G1916)),Assumptions!$D$6,IF(ISNUMBER(SEARCH(Assumptions!$C$7,G1916)),Assumptions!$D$7,"Other Services"))),"Other Services"))</f>
        <v/>
      </c>
    </row>
    <row r="1917" customFormat="false" ht="15" hidden="false" customHeight="false" outlineLevel="0" collapsed="false">
      <c r="F1917" s="41" t="str">
        <f aca="false">IF(E1917="","",IFERROR(VLOOKUP(E1917,Assumptions!$G$5:$H$16,2,0),"Other"))</f>
        <v/>
      </c>
      <c r="J1917" s="41" t="str">
        <f aca="false">IF(G1917="","",IFERROR(IF(ISNUMBER(SEARCH(Assumptions!$C$5,G1917)),Assumptions!$D$5,IF(ISNUMBER(SEARCH(Assumptions!$C$6,G1917)),Assumptions!$D$6,IF(ISNUMBER(SEARCH(Assumptions!$C$7,G1917)),Assumptions!$D$7,"Other Services"))),"Other Services"))</f>
        <v/>
      </c>
    </row>
    <row r="1918" customFormat="false" ht="15" hidden="false" customHeight="false" outlineLevel="0" collapsed="false">
      <c r="F1918" s="41" t="str">
        <f aca="false">IF(E1918="","",IFERROR(VLOOKUP(E1918,Assumptions!$G$5:$H$16,2,0),"Other"))</f>
        <v/>
      </c>
      <c r="J1918" s="41" t="str">
        <f aca="false">IF(G1918="","",IFERROR(IF(ISNUMBER(SEARCH(Assumptions!$C$5,G1918)),Assumptions!$D$5,IF(ISNUMBER(SEARCH(Assumptions!$C$6,G1918)),Assumptions!$D$6,IF(ISNUMBER(SEARCH(Assumptions!$C$7,G1918)),Assumptions!$D$7,"Other Services"))),"Other Services"))</f>
        <v/>
      </c>
    </row>
    <row r="1919" customFormat="false" ht="15" hidden="false" customHeight="false" outlineLevel="0" collapsed="false">
      <c r="F1919" s="41" t="str">
        <f aca="false">IF(E1919="","",IFERROR(VLOOKUP(E1919,Assumptions!$G$5:$H$16,2,0),"Other"))</f>
        <v/>
      </c>
      <c r="J1919" s="41" t="str">
        <f aca="false">IF(G1919="","",IFERROR(IF(ISNUMBER(SEARCH(Assumptions!$C$5,G1919)),Assumptions!$D$5,IF(ISNUMBER(SEARCH(Assumptions!$C$6,G1919)),Assumptions!$D$6,IF(ISNUMBER(SEARCH(Assumptions!$C$7,G1919)),Assumptions!$D$7,"Other Services"))),"Other Services"))</f>
        <v/>
      </c>
    </row>
    <row r="1920" customFormat="false" ht="15" hidden="false" customHeight="false" outlineLevel="0" collapsed="false">
      <c r="F1920" s="41" t="str">
        <f aca="false">IF(E1920="","",IFERROR(VLOOKUP(E1920,Assumptions!$G$5:$H$16,2,0),"Other"))</f>
        <v/>
      </c>
      <c r="J1920" s="41" t="str">
        <f aca="false">IF(G1920="","",IFERROR(IF(ISNUMBER(SEARCH(Assumptions!$C$5,G1920)),Assumptions!$D$5,IF(ISNUMBER(SEARCH(Assumptions!$C$6,G1920)),Assumptions!$D$6,IF(ISNUMBER(SEARCH(Assumptions!$C$7,G1920)),Assumptions!$D$7,"Other Services"))),"Other Services"))</f>
        <v/>
      </c>
    </row>
    <row r="1921" customFormat="false" ht="15" hidden="false" customHeight="false" outlineLevel="0" collapsed="false">
      <c r="F1921" s="41" t="str">
        <f aca="false">IF(E1921="","",IFERROR(VLOOKUP(E1921,Assumptions!$G$5:$H$16,2,0),"Other"))</f>
        <v/>
      </c>
      <c r="J1921" s="41" t="str">
        <f aca="false">IF(G1921="","",IFERROR(IF(ISNUMBER(SEARCH(Assumptions!$C$5,G1921)),Assumptions!$D$5,IF(ISNUMBER(SEARCH(Assumptions!$C$6,G1921)),Assumptions!$D$6,IF(ISNUMBER(SEARCH(Assumptions!$C$7,G1921)),Assumptions!$D$7,"Other Services"))),"Other Services"))</f>
        <v/>
      </c>
    </row>
    <row r="1922" customFormat="false" ht="15" hidden="false" customHeight="false" outlineLevel="0" collapsed="false">
      <c r="F1922" s="41" t="str">
        <f aca="false">IF(E1922="","",IFERROR(VLOOKUP(E1922,Assumptions!$G$5:$H$16,2,0),"Other"))</f>
        <v/>
      </c>
      <c r="J1922" s="41" t="str">
        <f aca="false">IF(G1922="","",IFERROR(IF(ISNUMBER(SEARCH(Assumptions!$C$5,G1922)),Assumptions!$D$5,IF(ISNUMBER(SEARCH(Assumptions!$C$6,G1922)),Assumptions!$D$6,IF(ISNUMBER(SEARCH(Assumptions!$C$7,G1922)),Assumptions!$D$7,"Other Services"))),"Other Services"))</f>
        <v/>
      </c>
    </row>
    <row r="1923" customFormat="false" ht="15" hidden="false" customHeight="false" outlineLevel="0" collapsed="false">
      <c r="F1923" s="41" t="str">
        <f aca="false">IF(E1923="","",IFERROR(VLOOKUP(E1923,Assumptions!$G$5:$H$16,2,0),"Other"))</f>
        <v/>
      </c>
      <c r="J1923" s="41" t="str">
        <f aca="false">IF(G1923="","",IFERROR(IF(ISNUMBER(SEARCH(Assumptions!$C$5,G1923)),Assumptions!$D$5,IF(ISNUMBER(SEARCH(Assumptions!$C$6,G1923)),Assumptions!$D$6,IF(ISNUMBER(SEARCH(Assumptions!$C$7,G1923)),Assumptions!$D$7,"Other Services"))),"Other Services"))</f>
        <v/>
      </c>
    </row>
    <row r="1924" customFormat="false" ht="15" hidden="false" customHeight="false" outlineLevel="0" collapsed="false">
      <c r="F1924" s="41" t="str">
        <f aca="false">IF(E1924="","",IFERROR(VLOOKUP(E1924,Assumptions!$G$5:$H$16,2,0),"Other"))</f>
        <v/>
      </c>
      <c r="J1924" s="41" t="str">
        <f aca="false">IF(G1924="","",IFERROR(IF(ISNUMBER(SEARCH(Assumptions!$C$5,G1924)),Assumptions!$D$5,IF(ISNUMBER(SEARCH(Assumptions!$C$6,G1924)),Assumptions!$D$6,IF(ISNUMBER(SEARCH(Assumptions!$C$7,G1924)),Assumptions!$D$7,"Other Services"))),"Other Services"))</f>
        <v/>
      </c>
    </row>
    <row r="1925" customFormat="false" ht="15" hidden="false" customHeight="false" outlineLevel="0" collapsed="false">
      <c r="F1925" s="41" t="str">
        <f aca="false">IF(E1925="","",IFERROR(VLOOKUP(E1925,Assumptions!$G$5:$H$16,2,0),"Other"))</f>
        <v/>
      </c>
      <c r="J1925" s="41" t="str">
        <f aca="false">IF(G1925="","",IFERROR(IF(ISNUMBER(SEARCH(Assumptions!$C$5,G1925)),Assumptions!$D$5,IF(ISNUMBER(SEARCH(Assumptions!$C$6,G1925)),Assumptions!$D$6,IF(ISNUMBER(SEARCH(Assumptions!$C$7,G1925)),Assumptions!$D$7,"Other Services"))),"Other Services"))</f>
        <v/>
      </c>
    </row>
    <row r="1926" customFormat="false" ht="15" hidden="false" customHeight="false" outlineLevel="0" collapsed="false">
      <c r="F1926" s="41" t="str">
        <f aca="false">IF(E1926="","",IFERROR(VLOOKUP(E1926,Assumptions!$G$5:$H$16,2,0),"Other"))</f>
        <v/>
      </c>
      <c r="J1926" s="41" t="str">
        <f aca="false">IF(G1926="","",IFERROR(IF(ISNUMBER(SEARCH(Assumptions!$C$5,G1926)),Assumptions!$D$5,IF(ISNUMBER(SEARCH(Assumptions!$C$6,G1926)),Assumptions!$D$6,IF(ISNUMBER(SEARCH(Assumptions!$C$7,G1926)),Assumptions!$D$7,"Other Services"))),"Other Services"))</f>
        <v/>
      </c>
    </row>
    <row r="1927" customFormat="false" ht="15" hidden="false" customHeight="false" outlineLevel="0" collapsed="false">
      <c r="F1927" s="41" t="str">
        <f aca="false">IF(E1927="","",IFERROR(VLOOKUP(E1927,Assumptions!$G$5:$H$16,2,0),"Other"))</f>
        <v/>
      </c>
      <c r="J1927" s="41" t="str">
        <f aca="false">IF(G1927="","",IFERROR(IF(ISNUMBER(SEARCH(Assumptions!$C$5,G1927)),Assumptions!$D$5,IF(ISNUMBER(SEARCH(Assumptions!$C$6,G1927)),Assumptions!$D$6,IF(ISNUMBER(SEARCH(Assumptions!$C$7,G1927)),Assumptions!$D$7,"Other Services"))),"Other Services"))</f>
        <v/>
      </c>
    </row>
    <row r="1928" customFormat="false" ht="15" hidden="false" customHeight="false" outlineLevel="0" collapsed="false">
      <c r="F1928" s="41" t="str">
        <f aca="false">IF(E1928="","",IFERROR(VLOOKUP(E1928,Assumptions!$G$5:$H$16,2,0),"Other"))</f>
        <v/>
      </c>
      <c r="J1928" s="41" t="str">
        <f aca="false">IF(G1928="","",IFERROR(IF(ISNUMBER(SEARCH(Assumptions!$C$5,G1928)),Assumptions!$D$5,IF(ISNUMBER(SEARCH(Assumptions!$C$6,G1928)),Assumptions!$D$6,IF(ISNUMBER(SEARCH(Assumptions!$C$7,G1928)),Assumptions!$D$7,"Other Services"))),"Other Services"))</f>
        <v/>
      </c>
    </row>
    <row r="1929" customFormat="false" ht="15" hidden="false" customHeight="false" outlineLevel="0" collapsed="false">
      <c r="F1929" s="41" t="str">
        <f aca="false">IF(E1929="","",IFERROR(VLOOKUP(E1929,Assumptions!$G$5:$H$16,2,0),"Other"))</f>
        <v/>
      </c>
      <c r="J1929" s="41" t="str">
        <f aca="false">IF(G1929="","",IFERROR(IF(ISNUMBER(SEARCH(Assumptions!$C$5,G1929)),Assumptions!$D$5,IF(ISNUMBER(SEARCH(Assumptions!$C$6,G1929)),Assumptions!$D$6,IF(ISNUMBER(SEARCH(Assumptions!$C$7,G1929)),Assumptions!$D$7,"Other Services"))),"Other Services"))</f>
        <v/>
      </c>
    </row>
    <row r="1930" customFormat="false" ht="15" hidden="false" customHeight="false" outlineLevel="0" collapsed="false">
      <c r="F1930" s="41" t="str">
        <f aca="false">IF(E1930="","",IFERROR(VLOOKUP(E1930,Assumptions!$G$5:$H$16,2,0),"Other"))</f>
        <v/>
      </c>
      <c r="J1930" s="41" t="str">
        <f aca="false">IF(G1930="","",IFERROR(IF(ISNUMBER(SEARCH(Assumptions!$C$5,G1930)),Assumptions!$D$5,IF(ISNUMBER(SEARCH(Assumptions!$C$6,G1930)),Assumptions!$D$6,IF(ISNUMBER(SEARCH(Assumptions!$C$7,G1930)),Assumptions!$D$7,"Other Services"))),"Other Services"))</f>
        <v/>
      </c>
    </row>
    <row r="1931" customFormat="false" ht="15" hidden="false" customHeight="false" outlineLevel="0" collapsed="false">
      <c r="F1931" s="41" t="str">
        <f aca="false">IF(E1931="","",IFERROR(VLOOKUP(E1931,Assumptions!$G$5:$H$16,2,0),"Other"))</f>
        <v/>
      </c>
      <c r="J1931" s="41" t="str">
        <f aca="false">IF(G1931="","",IFERROR(IF(ISNUMBER(SEARCH(Assumptions!$C$5,G1931)),Assumptions!$D$5,IF(ISNUMBER(SEARCH(Assumptions!$C$6,G1931)),Assumptions!$D$6,IF(ISNUMBER(SEARCH(Assumptions!$C$7,G1931)),Assumptions!$D$7,"Other Services"))),"Other Services"))</f>
        <v/>
      </c>
    </row>
    <row r="1932" customFormat="false" ht="15" hidden="false" customHeight="false" outlineLevel="0" collapsed="false">
      <c r="F1932" s="41" t="str">
        <f aca="false">IF(E1932="","",IFERROR(VLOOKUP(E1932,Assumptions!$G$5:$H$16,2,0),"Other"))</f>
        <v/>
      </c>
      <c r="J1932" s="41" t="str">
        <f aca="false">IF(G1932="","",IFERROR(IF(ISNUMBER(SEARCH(Assumptions!$C$5,G1932)),Assumptions!$D$5,IF(ISNUMBER(SEARCH(Assumptions!$C$6,G1932)),Assumptions!$D$6,IF(ISNUMBER(SEARCH(Assumptions!$C$7,G1932)),Assumptions!$D$7,"Other Services"))),"Other Services"))</f>
        <v/>
      </c>
    </row>
    <row r="1933" customFormat="false" ht="15" hidden="false" customHeight="false" outlineLevel="0" collapsed="false">
      <c r="F1933" s="41" t="str">
        <f aca="false">IF(E1933="","",IFERROR(VLOOKUP(E1933,Assumptions!$G$5:$H$16,2,0),"Other"))</f>
        <v/>
      </c>
      <c r="J1933" s="41" t="str">
        <f aca="false">IF(G1933="","",IFERROR(IF(ISNUMBER(SEARCH(Assumptions!$C$5,G1933)),Assumptions!$D$5,IF(ISNUMBER(SEARCH(Assumptions!$C$6,G1933)),Assumptions!$D$6,IF(ISNUMBER(SEARCH(Assumptions!$C$7,G1933)),Assumptions!$D$7,"Other Services"))),"Other Services"))</f>
        <v/>
      </c>
    </row>
    <row r="1934" customFormat="false" ht="15" hidden="false" customHeight="false" outlineLevel="0" collapsed="false">
      <c r="F1934" s="41" t="str">
        <f aca="false">IF(E1934="","",IFERROR(VLOOKUP(E1934,Assumptions!$G$5:$H$16,2,0),"Other"))</f>
        <v/>
      </c>
      <c r="J1934" s="41" t="str">
        <f aca="false">IF(G1934="","",IFERROR(IF(ISNUMBER(SEARCH(Assumptions!$C$5,G1934)),Assumptions!$D$5,IF(ISNUMBER(SEARCH(Assumptions!$C$6,G1934)),Assumptions!$D$6,IF(ISNUMBER(SEARCH(Assumptions!$C$7,G1934)),Assumptions!$D$7,"Other Services"))),"Other Services"))</f>
        <v/>
      </c>
    </row>
    <row r="1935" customFormat="false" ht="15" hidden="false" customHeight="false" outlineLevel="0" collapsed="false">
      <c r="F1935" s="41" t="str">
        <f aca="false">IF(E1935="","",IFERROR(VLOOKUP(E1935,Assumptions!$G$5:$H$16,2,0),"Other"))</f>
        <v/>
      </c>
      <c r="J1935" s="41" t="str">
        <f aca="false">IF(G1935="","",IFERROR(IF(ISNUMBER(SEARCH(Assumptions!$C$5,G1935)),Assumptions!$D$5,IF(ISNUMBER(SEARCH(Assumptions!$C$6,G1935)),Assumptions!$D$6,IF(ISNUMBER(SEARCH(Assumptions!$C$7,G1935)),Assumptions!$D$7,"Other Services"))),"Other Services"))</f>
        <v/>
      </c>
    </row>
    <row r="1936" customFormat="false" ht="15" hidden="false" customHeight="false" outlineLevel="0" collapsed="false">
      <c r="F1936" s="41" t="str">
        <f aca="false">IF(E1936="","",IFERROR(VLOOKUP(E1936,Assumptions!$G$5:$H$16,2,0),"Other"))</f>
        <v/>
      </c>
      <c r="J1936" s="41" t="str">
        <f aca="false">IF(G1936="","",IFERROR(IF(ISNUMBER(SEARCH(Assumptions!$C$5,G1936)),Assumptions!$D$5,IF(ISNUMBER(SEARCH(Assumptions!$C$6,G1936)),Assumptions!$D$6,IF(ISNUMBER(SEARCH(Assumptions!$C$7,G1936)),Assumptions!$D$7,"Other Services"))),"Other Services"))</f>
        <v/>
      </c>
    </row>
    <row r="1937" customFormat="false" ht="15" hidden="false" customHeight="false" outlineLevel="0" collapsed="false">
      <c r="F1937" s="41" t="str">
        <f aca="false">IF(E1937="","",IFERROR(VLOOKUP(E1937,Assumptions!$G$5:$H$16,2,0),"Other"))</f>
        <v/>
      </c>
      <c r="J1937" s="41" t="str">
        <f aca="false">IF(G1937="","",IFERROR(IF(ISNUMBER(SEARCH(Assumptions!$C$5,G1937)),Assumptions!$D$5,IF(ISNUMBER(SEARCH(Assumptions!$C$6,G1937)),Assumptions!$D$6,IF(ISNUMBER(SEARCH(Assumptions!$C$7,G1937)),Assumptions!$D$7,"Other Services"))),"Other Services"))</f>
        <v/>
      </c>
    </row>
    <row r="1938" customFormat="false" ht="15" hidden="false" customHeight="false" outlineLevel="0" collapsed="false">
      <c r="F1938" s="41" t="str">
        <f aca="false">IF(E1938="","",IFERROR(VLOOKUP(E1938,Assumptions!$G$5:$H$16,2,0),"Other"))</f>
        <v/>
      </c>
      <c r="J1938" s="41" t="str">
        <f aca="false">IF(G1938="","",IFERROR(IF(ISNUMBER(SEARCH(Assumptions!$C$5,G1938)),Assumptions!$D$5,IF(ISNUMBER(SEARCH(Assumptions!$C$6,G1938)),Assumptions!$D$6,IF(ISNUMBER(SEARCH(Assumptions!$C$7,G1938)),Assumptions!$D$7,"Other Services"))),"Other Services"))</f>
        <v/>
      </c>
    </row>
    <row r="1939" customFormat="false" ht="15" hidden="false" customHeight="false" outlineLevel="0" collapsed="false">
      <c r="F1939" s="41" t="str">
        <f aca="false">IF(E1939="","",IFERROR(VLOOKUP(E1939,Assumptions!$G$5:$H$16,2,0),"Other"))</f>
        <v/>
      </c>
      <c r="J1939" s="41" t="str">
        <f aca="false">IF(G1939="","",IFERROR(IF(ISNUMBER(SEARCH(Assumptions!$C$5,G1939)),Assumptions!$D$5,IF(ISNUMBER(SEARCH(Assumptions!$C$6,G1939)),Assumptions!$D$6,IF(ISNUMBER(SEARCH(Assumptions!$C$7,G1939)),Assumptions!$D$7,"Other Services"))),"Other Services"))</f>
        <v/>
      </c>
    </row>
    <row r="1940" customFormat="false" ht="15" hidden="false" customHeight="false" outlineLevel="0" collapsed="false">
      <c r="F1940" s="41" t="str">
        <f aca="false">IF(E1940="","",IFERROR(VLOOKUP(E1940,Assumptions!$G$5:$H$16,2,0),"Other"))</f>
        <v/>
      </c>
      <c r="J1940" s="41" t="str">
        <f aca="false">IF(G1940="","",IFERROR(IF(ISNUMBER(SEARCH(Assumptions!$C$5,G1940)),Assumptions!$D$5,IF(ISNUMBER(SEARCH(Assumptions!$C$6,G1940)),Assumptions!$D$6,IF(ISNUMBER(SEARCH(Assumptions!$C$7,G1940)),Assumptions!$D$7,"Other Services"))),"Other Services"))</f>
        <v/>
      </c>
    </row>
    <row r="1941" customFormat="false" ht="15" hidden="false" customHeight="false" outlineLevel="0" collapsed="false">
      <c r="F1941" s="41" t="str">
        <f aca="false">IF(E1941="","",IFERROR(VLOOKUP(E1941,Assumptions!$G$5:$H$16,2,0),"Other"))</f>
        <v/>
      </c>
      <c r="J1941" s="41" t="str">
        <f aca="false">IF(G1941="","",IFERROR(IF(ISNUMBER(SEARCH(Assumptions!$C$5,G1941)),Assumptions!$D$5,IF(ISNUMBER(SEARCH(Assumptions!$C$6,G1941)),Assumptions!$D$6,IF(ISNUMBER(SEARCH(Assumptions!$C$7,G1941)),Assumptions!$D$7,"Other Services"))),"Other Services"))</f>
        <v/>
      </c>
    </row>
    <row r="1942" customFormat="false" ht="15" hidden="false" customHeight="false" outlineLevel="0" collapsed="false">
      <c r="F1942" s="41" t="str">
        <f aca="false">IF(E1942="","",IFERROR(VLOOKUP(E1942,Assumptions!$G$5:$H$16,2,0),"Other"))</f>
        <v/>
      </c>
      <c r="J1942" s="41" t="str">
        <f aca="false">IF(G1942="","",IFERROR(IF(ISNUMBER(SEARCH(Assumptions!$C$5,G1942)),Assumptions!$D$5,IF(ISNUMBER(SEARCH(Assumptions!$C$6,G1942)),Assumptions!$D$6,IF(ISNUMBER(SEARCH(Assumptions!$C$7,G1942)),Assumptions!$D$7,"Other Services"))),"Other Services"))</f>
        <v/>
      </c>
    </row>
    <row r="1943" customFormat="false" ht="15" hidden="false" customHeight="false" outlineLevel="0" collapsed="false">
      <c r="F1943" s="41" t="str">
        <f aca="false">IF(E1943="","",IFERROR(VLOOKUP(E1943,Assumptions!$G$5:$H$16,2,0),"Other"))</f>
        <v/>
      </c>
      <c r="J1943" s="41" t="str">
        <f aca="false">IF(G1943="","",IFERROR(IF(ISNUMBER(SEARCH(Assumptions!$C$5,G1943)),Assumptions!$D$5,IF(ISNUMBER(SEARCH(Assumptions!$C$6,G1943)),Assumptions!$D$6,IF(ISNUMBER(SEARCH(Assumptions!$C$7,G1943)),Assumptions!$D$7,"Other Services"))),"Other Services"))</f>
        <v/>
      </c>
    </row>
    <row r="1944" customFormat="false" ht="15" hidden="false" customHeight="false" outlineLevel="0" collapsed="false">
      <c r="F1944" s="41" t="str">
        <f aca="false">IF(E1944="","",IFERROR(VLOOKUP(E1944,Assumptions!$G$5:$H$16,2,0),"Other"))</f>
        <v/>
      </c>
      <c r="J1944" s="41" t="str">
        <f aca="false">IF(G1944="","",IFERROR(IF(ISNUMBER(SEARCH(Assumptions!$C$5,G1944)),Assumptions!$D$5,IF(ISNUMBER(SEARCH(Assumptions!$C$6,G1944)),Assumptions!$D$6,IF(ISNUMBER(SEARCH(Assumptions!$C$7,G1944)),Assumptions!$D$7,"Other Services"))),"Other Services"))</f>
        <v/>
      </c>
    </row>
    <row r="1945" customFormat="false" ht="15" hidden="false" customHeight="false" outlineLevel="0" collapsed="false">
      <c r="F1945" s="41" t="str">
        <f aca="false">IF(E1945="","",IFERROR(VLOOKUP(E1945,Assumptions!$G$5:$H$16,2,0),"Other"))</f>
        <v/>
      </c>
      <c r="J1945" s="41" t="str">
        <f aca="false">IF(G1945="","",IFERROR(IF(ISNUMBER(SEARCH(Assumptions!$C$5,G1945)),Assumptions!$D$5,IF(ISNUMBER(SEARCH(Assumptions!$C$6,G1945)),Assumptions!$D$6,IF(ISNUMBER(SEARCH(Assumptions!$C$7,G1945)),Assumptions!$D$7,"Other Services"))),"Other Services"))</f>
        <v/>
      </c>
    </row>
    <row r="1946" customFormat="false" ht="15" hidden="false" customHeight="false" outlineLevel="0" collapsed="false">
      <c r="F1946" s="41" t="str">
        <f aca="false">IF(E1946="","",IFERROR(VLOOKUP(E1946,Assumptions!$G$5:$H$16,2,0),"Other"))</f>
        <v/>
      </c>
      <c r="J1946" s="41" t="str">
        <f aca="false">IF(G1946="","",IFERROR(IF(ISNUMBER(SEARCH(Assumptions!$C$5,G1946)),Assumptions!$D$5,IF(ISNUMBER(SEARCH(Assumptions!$C$6,G1946)),Assumptions!$D$6,IF(ISNUMBER(SEARCH(Assumptions!$C$7,G1946)),Assumptions!$D$7,"Other Services"))),"Other Services"))</f>
        <v/>
      </c>
    </row>
    <row r="1947" customFormat="false" ht="15" hidden="false" customHeight="false" outlineLevel="0" collapsed="false">
      <c r="F1947" s="41" t="str">
        <f aca="false">IF(E1947="","",IFERROR(VLOOKUP(E1947,Assumptions!$G$5:$H$16,2,0),"Other"))</f>
        <v/>
      </c>
      <c r="J1947" s="41" t="str">
        <f aca="false">IF(G1947="","",IFERROR(IF(ISNUMBER(SEARCH(Assumptions!$C$5,G1947)),Assumptions!$D$5,IF(ISNUMBER(SEARCH(Assumptions!$C$6,G1947)),Assumptions!$D$6,IF(ISNUMBER(SEARCH(Assumptions!$C$7,G1947)),Assumptions!$D$7,"Other Services"))),"Other Services"))</f>
        <v/>
      </c>
    </row>
    <row r="1948" customFormat="false" ht="15" hidden="false" customHeight="false" outlineLevel="0" collapsed="false">
      <c r="F1948" s="41" t="str">
        <f aca="false">IF(E1948="","",IFERROR(VLOOKUP(E1948,Assumptions!$G$5:$H$16,2,0),"Other"))</f>
        <v/>
      </c>
      <c r="J1948" s="41" t="str">
        <f aca="false">IF(G1948="","",IFERROR(IF(ISNUMBER(SEARCH(Assumptions!$C$5,G1948)),Assumptions!$D$5,IF(ISNUMBER(SEARCH(Assumptions!$C$6,G1948)),Assumptions!$D$6,IF(ISNUMBER(SEARCH(Assumptions!$C$7,G1948)),Assumptions!$D$7,"Other Services"))),"Other Services"))</f>
        <v/>
      </c>
    </row>
    <row r="1949" customFormat="false" ht="15" hidden="false" customHeight="false" outlineLevel="0" collapsed="false">
      <c r="F1949" s="41" t="str">
        <f aca="false">IF(E1949="","",IFERROR(VLOOKUP(E1949,Assumptions!$G$5:$H$16,2,0),"Other"))</f>
        <v/>
      </c>
      <c r="J1949" s="41" t="str">
        <f aca="false">IF(G1949="","",IFERROR(IF(ISNUMBER(SEARCH(Assumptions!$C$5,G1949)),Assumptions!$D$5,IF(ISNUMBER(SEARCH(Assumptions!$C$6,G1949)),Assumptions!$D$6,IF(ISNUMBER(SEARCH(Assumptions!$C$7,G1949)),Assumptions!$D$7,"Other Services"))),"Other Services"))</f>
        <v/>
      </c>
    </row>
    <row r="1950" customFormat="false" ht="15" hidden="false" customHeight="false" outlineLevel="0" collapsed="false">
      <c r="F1950" s="41" t="str">
        <f aca="false">IF(E1950="","",IFERROR(VLOOKUP(E1950,Assumptions!$G$5:$H$16,2,0),"Other"))</f>
        <v/>
      </c>
      <c r="J1950" s="41" t="str">
        <f aca="false">IF(G1950="","",IFERROR(IF(ISNUMBER(SEARCH(Assumptions!$C$5,G1950)),Assumptions!$D$5,IF(ISNUMBER(SEARCH(Assumptions!$C$6,G1950)),Assumptions!$D$6,IF(ISNUMBER(SEARCH(Assumptions!$C$7,G1950)),Assumptions!$D$7,"Other Services"))),"Other Services"))</f>
        <v/>
      </c>
    </row>
    <row r="1951" customFormat="false" ht="15" hidden="false" customHeight="false" outlineLevel="0" collapsed="false">
      <c r="F1951" s="41" t="str">
        <f aca="false">IF(E1951="","",IFERROR(VLOOKUP(E1951,Assumptions!$G$5:$H$16,2,0),"Other"))</f>
        <v/>
      </c>
      <c r="J1951" s="41" t="str">
        <f aca="false">IF(G1951="","",IFERROR(IF(ISNUMBER(SEARCH(Assumptions!$C$5,G1951)),Assumptions!$D$5,IF(ISNUMBER(SEARCH(Assumptions!$C$6,G1951)),Assumptions!$D$6,IF(ISNUMBER(SEARCH(Assumptions!$C$7,G1951)),Assumptions!$D$7,"Other Services"))),"Other Services"))</f>
        <v/>
      </c>
    </row>
    <row r="1952" customFormat="false" ht="15" hidden="false" customHeight="false" outlineLevel="0" collapsed="false">
      <c r="F1952" s="41" t="str">
        <f aca="false">IF(E1952="","",IFERROR(VLOOKUP(E1952,Assumptions!$G$5:$H$16,2,0),"Other"))</f>
        <v/>
      </c>
      <c r="J1952" s="41" t="str">
        <f aca="false">IF(G1952="","",IFERROR(IF(ISNUMBER(SEARCH(Assumptions!$C$5,G1952)),Assumptions!$D$5,IF(ISNUMBER(SEARCH(Assumptions!$C$6,G1952)),Assumptions!$D$6,IF(ISNUMBER(SEARCH(Assumptions!$C$7,G1952)),Assumptions!$D$7,"Other Services"))),"Other Services"))</f>
        <v/>
      </c>
    </row>
    <row r="1953" customFormat="false" ht="15" hidden="false" customHeight="false" outlineLevel="0" collapsed="false">
      <c r="F1953" s="41" t="str">
        <f aca="false">IF(E1953="","",IFERROR(VLOOKUP(E1953,Assumptions!$G$5:$H$16,2,0),"Other"))</f>
        <v/>
      </c>
      <c r="J1953" s="41" t="str">
        <f aca="false">IF(G1953="","",IFERROR(IF(ISNUMBER(SEARCH(Assumptions!$C$5,G1953)),Assumptions!$D$5,IF(ISNUMBER(SEARCH(Assumptions!$C$6,G1953)),Assumptions!$D$6,IF(ISNUMBER(SEARCH(Assumptions!$C$7,G1953)),Assumptions!$D$7,"Other Services"))),"Other Services"))</f>
        <v/>
      </c>
    </row>
    <row r="1954" customFormat="false" ht="15" hidden="false" customHeight="false" outlineLevel="0" collapsed="false">
      <c r="F1954" s="41" t="str">
        <f aca="false">IF(E1954="","",IFERROR(VLOOKUP(E1954,Assumptions!$G$5:$H$16,2,0),"Other"))</f>
        <v/>
      </c>
      <c r="J1954" s="41" t="str">
        <f aca="false">IF(G1954="","",IFERROR(IF(ISNUMBER(SEARCH(Assumptions!$C$5,G1954)),Assumptions!$D$5,IF(ISNUMBER(SEARCH(Assumptions!$C$6,G1954)),Assumptions!$D$6,IF(ISNUMBER(SEARCH(Assumptions!$C$7,G1954)),Assumptions!$D$7,"Other Services"))),"Other Services"))</f>
        <v/>
      </c>
    </row>
    <row r="1955" customFormat="false" ht="15" hidden="false" customHeight="false" outlineLevel="0" collapsed="false">
      <c r="F1955" s="41" t="str">
        <f aca="false">IF(E1955="","",IFERROR(VLOOKUP(E1955,Assumptions!$G$5:$H$16,2,0),"Other"))</f>
        <v/>
      </c>
      <c r="J1955" s="41" t="str">
        <f aca="false">IF(G1955="","",IFERROR(IF(ISNUMBER(SEARCH(Assumptions!$C$5,G1955)),Assumptions!$D$5,IF(ISNUMBER(SEARCH(Assumptions!$C$6,G1955)),Assumptions!$D$6,IF(ISNUMBER(SEARCH(Assumptions!$C$7,G1955)),Assumptions!$D$7,"Other Services"))),"Other Services"))</f>
        <v/>
      </c>
    </row>
    <row r="1956" customFormat="false" ht="15" hidden="false" customHeight="false" outlineLevel="0" collapsed="false">
      <c r="F1956" s="41" t="str">
        <f aca="false">IF(E1956="","",IFERROR(VLOOKUP(E1956,Assumptions!$G$5:$H$16,2,0),"Other"))</f>
        <v/>
      </c>
      <c r="J1956" s="41" t="str">
        <f aca="false">IF(G1956="","",IFERROR(IF(ISNUMBER(SEARCH(Assumptions!$C$5,G1956)),Assumptions!$D$5,IF(ISNUMBER(SEARCH(Assumptions!$C$6,G1956)),Assumptions!$D$6,IF(ISNUMBER(SEARCH(Assumptions!$C$7,G1956)),Assumptions!$D$7,"Other Services"))),"Other Services"))</f>
        <v/>
      </c>
    </row>
    <row r="1957" customFormat="false" ht="15" hidden="false" customHeight="false" outlineLevel="0" collapsed="false">
      <c r="F1957" s="41" t="str">
        <f aca="false">IF(E1957="","",IFERROR(VLOOKUP(E1957,Assumptions!$G$5:$H$16,2,0),"Other"))</f>
        <v/>
      </c>
      <c r="J1957" s="41" t="str">
        <f aca="false">IF(G1957="","",IFERROR(IF(ISNUMBER(SEARCH(Assumptions!$C$5,G1957)),Assumptions!$D$5,IF(ISNUMBER(SEARCH(Assumptions!$C$6,G1957)),Assumptions!$D$6,IF(ISNUMBER(SEARCH(Assumptions!$C$7,G1957)),Assumptions!$D$7,"Other Services"))),"Other Services"))</f>
        <v/>
      </c>
    </row>
    <row r="1958" customFormat="false" ht="15" hidden="false" customHeight="false" outlineLevel="0" collapsed="false">
      <c r="F1958" s="41" t="str">
        <f aca="false">IF(E1958="","",IFERROR(VLOOKUP(E1958,Assumptions!$G$5:$H$16,2,0),"Other"))</f>
        <v/>
      </c>
      <c r="J1958" s="41" t="str">
        <f aca="false">IF(G1958="","",IFERROR(IF(ISNUMBER(SEARCH(Assumptions!$C$5,G1958)),Assumptions!$D$5,IF(ISNUMBER(SEARCH(Assumptions!$C$6,G1958)),Assumptions!$D$6,IF(ISNUMBER(SEARCH(Assumptions!$C$7,G1958)),Assumptions!$D$7,"Other Services"))),"Other Services"))</f>
        <v/>
      </c>
    </row>
    <row r="1959" customFormat="false" ht="15" hidden="false" customHeight="false" outlineLevel="0" collapsed="false">
      <c r="F1959" s="41" t="str">
        <f aca="false">IF(E1959="","",IFERROR(VLOOKUP(E1959,Assumptions!$G$5:$H$16,2,0),"Other"))</f>
        <v/>
      </c>
      <c r="J1959" s="41" t="str">
        <f aca="false">IF(G1959="","",IFERROR(IF(ISNUMBER(SEARCH(Assumptions!$C$5,G1959)),Assumptions!$D$5,IF(ISNUMBER(SEARCH(Assumptions!$C$6,G1959)),Assumptions!$D$6,IF(ISNUMBER(SEARCH(Assumptions!$C$7,G1959)),Assumptions!$D$7,"Other Services"))),"Other Services"))</f>
        <v/>
      </c>
    </row>
    <row r="1960" customFormat="false" ht="15" hidden="false" customHeight="false" outlineLevel="0" collapsed="false">
      <c r="F1960" s="41" t="str">
        <f aca="false">IF(E1960="","",IFERROR(VLOOKUP(E1960,Assumptions!$G$5:$H$16,2,0),"Other"))</f>
        <v/>
      </c>
      <c r="J1960" s="41" t="str">
        <f aca="false">IF(G1960="","",IFERROR(IF(ISNUMBER(SEARCH(Assumptions!$C$5,G1960)),Assumptions!$D$5,IF(ISNUMBER(SEARCH(Assumptions!$C$6,G1960)),Assumptions!$D$6,IF(ISNUMBER(SEARCH(Assumptions!$C$7,G1960)),Assumptions!$D$7,"Other Services"))),"Other Services"))</f>
        <v/>
      </c>
    </row>
    <row r="1961" customFormat="false" ht="15" hidden="false" customHeight="false" outlineLevel="0" collapsed="false">
      <c r="F1961" s="41" t="str">
        <f aca="false">IF(E1961="","",IFERROR(VLOOKUP(E1961,Assumptions!$G$5:$H$16,2,0),"Other"))</f>
        <v/>
      </c>
      <c r="J1961" s="41" t="str">
        <f aca="false">IF(G1961="","",IFERROR(IF(ISNUMBER(SEARCH(Assumptions!$C$5,G1961)),Assumptions!$D$5,IF(ISNUMBER(SEARCH(Assumptions!$C$6,G1961)),Assumptions!$D$6,IF(ISNUMBER(SEARCH(Assumptions!$C$7,G1961)),Assumptions!$D$7,"Other Services"))),"Other Services"))</f>
        <v/>
      </c>
    </row>
    <row r="1962" customFormat="false" ht="15" hidden="false" customHeight="false" outlineLevel="0" collapsed="false">
      <c r="F1962" s="41" t="str">
        <f aca="false">IF(E1962="","",IFERROR(VLOOKUP(E1962,Assumptions!$G$5:$H$16,2,0),"Other"))</f>
        <v/>
      </c>
      <c r="J1962" s="41" t="str">
        <f aca="false">IF(G1962="","",IFERROR(IF(ISNUMBER(SEARCH(Assumptions!$C$5,G1962)),Assumptions!$D$5,IF(ISNUMBER(SEARCH(Assumptions!$C$6,G1962)),Assumptions!$D$6,IF(ISNUMBER(SEARCH(Assumptions!$C$7,G1962)),Assumptions!$D$7,"Other Services"))),"Other Services"))</f>
        <v/>
      </c>
    </row>
    <row r="1963" customFormat="false" ht="15" hidden="false" customHeight="false" outlineLevel="0" collapsed="false">
      <c r="F1963" s="41" t="str">
        <f aca="false">IF(E1963="","",IFERROR(VLOOKUP(E1963,Assumptions!$G$5:$H$16,2,0),"Other"))</f>
        <v/>
      </c>
      <c r="J1963" s="41" t="str">
        <f aca="false">IF(G1963="","",IFERROR(IF(ISNUMBER(SEARCH(Assumptions!$C$5,G1963)),Assumptions!$D$5,IF(ISNUMBER(SEARCH(Assumptions!$C$6,G1963)),Assumptions!$D$6,IF(ISNUMBER(SEARCH(Assumptions!$C$7,G1963)),Assumptions!$D$7,"Other Services"))),"Other Services"))</f>
        <v/>
      </c>
    </row>
    <row r="1964" customFormat="false" ht="15" hidden="false" customHeight="false" outlineLevel="0" collapsed="false">
      <c r="F1964" s="41" t="str">
        <f aca="false">IF(E1964="","",IFERROR(VLOOKUP(E1964,Assumptions!$G$5:$H$16,2,0),"Other"))</f>
        <v/>
      </c>
      <c r="J1964" s="41" t="str">
        <f aca="false">IF(G1964="","",IFERROR(IF(ISNUMBER(SEARCH(Assumptions!$C$5,G1964)),Assumptions!$D$5,IF(ISNUMBER(SEARCH(Assumptions!$C$6,G1964)),Assumptions!$D$6,IF(ISNUMBER(SEARCH(Assumptions!$C$7,G1964)),Assumptions!$D$7,"Other Services"))),"Other Services"))</f>
        <v/>
      </c>
    </row>
    <row r="1965" customFormat="false" ht="15" hidden="false" customHeight="false" outlineLevel="0" collapsed="false">
      <c r="F1965" s="41" t="str">
        <f aca="false">IF(E1965="","",IFERROR(VLOOKUP(E1965,Assumptions!$G$5:$H$16,2,0),"Other"))</f>
        <v/>
      </c>
      <c r="J1965" s="41" t="str">
        <f aca="false">IF(G1965="","",IFERROR(IF(ISNUMBER(SEARCH(Assumptions!$C$5,G1965)),Assumptions!$D$5,IF(ISNUMBER(SEARCH(Assumptions!$C$6,G1965)),Assumptions!$D$6,IF(ISNUMBER(SEARCH(Assumptions!$C$7,G1965)),Assumptions!$D$7,"Other Services"))),"Other Services"))</f>
        <v/>
      </c>
    </row>
    <row r="1966" customFormat="false" ht="15" hidden="false" customHeight="false" outlineLevel="0" collapsed="false">
      <c r="F1966" s="41" t="str">
        <f aca="false">IF(E1966="","",IFERROR(VLOOKUP(E1966,Assumptions!$G$5:$H$16,2,0),"Other"))</f>
        <v/>
      </c>
      <c r="J1966" s="41" t="str">
        <f aca="false">IF(G1966="","",IFERROR(IF(ISNUMBER(SEARCH(Assumptions!$C$5,G1966)),Assumptions!$D$5,IF(ISNUMBER(SEARCH(Assumptions!$C$6,G1966)),Assumptions!$D$6,IF(ISNUMBER(SEARCH(Assumptions!$C$7,G1966)),Assumptions!$D$7,"Other Services"))),"Other Services"))</f>
        <v/>
      </c>
    </row>
    <row r="1967" customFormat="false" ht="15" hidden="false" customHeight="false" outlineLevel="0" collapsed="false">
      <c r="F1967" s="41" t="str">
        <f aca="false">IF(E1967="","",IFERROR(VLOOKUP(E1967,Assumptions!$G$5:$H$16,2,0),"Other"))</f>
        <v/>
      </c>
      <c r="J1967" s="41" t="str">
        <f aca="false">IF(G1967="","",IFERROR(IF(ISNUMBER(SEARCH(Assumptions!$C$5,G1967)),Assumptions!$D$5,IF(ISNUMBER(SEARCH(Assumptions!$C$6,G1967)),Assumptions!$D$6,IF(ISNUMBER(SEARCH(Assumptions!$C$7,G1967)),Assumptions!$D$7,"Other Services"))),"Other Services"))</f>
        <v/>
      </c>
    </row>
    <row r="1968" customFormat="false" ht="15" hidden="false" customHeight="false" outlineLevel="0" collapsed="false">
      <c r="F1968" s="41" t="str">
        <f aca="false">IF(E1968="","",IFERROR(VLOOKUP(E1968,Assumptions!$G$5:$H$16,2,0),"Other"))</f>
        <v/>
      </c>
      <c r="J1968" s="41" t="str">
        <f aca="false">IF(G1968="","",IFERROR(IF(ISNUMBER(SEARCH(Assumptions!$C$5,G1968)),Assumptions!$D$5,IF(ISNUMBER(SEARCH(Assumptions!$C$6,G1968)),Assumptions!$D$6,IF(ISNUMBER(SEARCH(Assumptions!$C$7,G1968)),Assumptions!$D$7,"Other Services"))),"Other Services"))</f>
        <v/>
      </c>
    </row>
    <row r="1969" customFormat="false" ht="15" hidden="false" customHeight="false" outlineLevel="0" collapsed="false">
      <c r="F1969" s="41" t="str">
        <f aca="false">IF(E1969="","",IFERROR(VLOOKUP(E1969,Assumptions!$G$5:$H$16,2,0),"Other"))</f>
        <v/>
      </c>
      <c r="J1969" s="41" t="str">
        <f aca="false">IF(G1969="","",IFERROR(IF(ISNUMBER(SEARCH(Assumptions!$C$5,G1969)),Assumptions!$D$5,IF(ISNUMBER(SEARCH(Assumptions!$C$6,G1969)),Assumptions!$D$6,IF(ISNUMBER(SEARCH(Assumptions!$C$7,G1969)),Assumptions!$D$7,"Other Services"))),"Other Services"))</f>
        <v/>
      </c>
    </row>
    <row r="1970" customFormat="false" ht="15" hidden="false" customHeight="false" outlineLevel="0" collapsed="false">
      <c r="F1970" s="41" t="str">
        <f aca="false">IF(E1970="","",IFERROR(VLOOKUP(E1970,Assumptions!$G$5:$H$16,2,0),"Other"))</f>
        <v/>
      </c>
      <c r="J1970" s="41" t="str">
        <f aca="false">IF(G1970="","",IFERROR(IF(ISNUMBER(SEARCH(Assumptions!$C$5,G1970)),Assumptions!$D$5,IF(ISNUMBER(SEARCH(Assumptions!$C$6,G1970)),Assumptions!$D$6,IF(ISNUMBER(SEARCH(Assumptions!$C$7,G1970)),Assumptions!$D$7,"Other Services"))),"Other Services"))</f>
        <v/>
      </c>
    </row>
    <row r="1971" customFormat="false" ht="15" hidden="false" customHeight="false" outlineLevel="0" collapsed="false">
      <c r="F1971" s="41" t="str">
        <f aca="false">IF(E1971="","",IFERROR(VLOOKUP(E1971,Assumptions!$G$5:$H$16,2,0),"Other"))</f>
        <v/>
      </c>
      <c r="J1971" s="41" t="str">
        <f aca="false">IF(G1971="","",IFERROR(IF(ISNUMBER(SEARCH(Assumptions!$C$5,G1971)),Assumptions!$D$5,IF(ISNUMBER(SEARCH(Assumptions!$C$6,G1971)),Assumptions!$D$6,IF(ISNUMBER(SEARCH(Assumptions!$C$7,G1971)),Assumptions!$D$7,"Other Services"))),"Other Services"))</f>
        <v/>
      </c>
    </row>
    <row r="1972" customFormat="false" ht="15" hidden="false" customHeight="false" outlineLevel="0" collapsed="false">
      <c r="F1972" s="41" t="str">
        <f aca="false">IF(E1972="","",IFERROR(VLOOKUP(E1972,Assumptions!$G$5:$H$16,2,0),"Other"))</f>
        <v/>
      </c>
      <c r="J1972" s="41" t="str">
        <f aca="false">IF(G1972="","",IFERROR(IF(ISNUMBER(SEARCH(Assumptions!$C$5,G1972)),Assumptions!$D$5,IF(ISNUMBER(SEARCH(Assumptions!$C$6,G1972)),Assumptions!$D$6,IF(ISNUMBER(SEARCH(Assumptions!$C$7,G1972)),Assumptions!$D$7,"Other Services"))),"Other Services"))</f>
        <v/>
      </c>
    </row>
    <row r="1973" customFormat="false" ht="15" hidden="false" customHeight="false" outlineLevel="0" collapsed="false">
      <c r="F1973" s="41" t="str">
        <f aca="false">IF(E1973="","",IFERROR(VLOOKUP(E1973,Assumptions!$G$5:$H$16,2,0),"Other"))</f>
        <v/>
      </c>
      <c r="J1973" s="41" t="str">
        <f aca="false">IF(G1973="","",IFERROR(IF(ISNUMBER(SEARCH(Assumptions!$C$5,G1973)),Assumptions!$D$5,IF(ISNUMBER(SEARCH(Assumptions!$C$6,G1973)),Assumptions!$D$6,IF(ISNUMBER(SEARCH(Assumptions!$C$7,G1973)),Assumptions!$D$7,"Other Services"))),"Other Services"))</f>
        <v/>
      </c>
    </row>
    <row r="1974" customFormat="false" ht="15" hidden="false" customHeight="false" outlineLevel="0" collapsed="false">
      <c r="F1974" s="41" t="str">
        <f aca="false">IF(E1974="","",IFERROR(VLOOKUP(E1974,Assumptions!$G$5:$H$16,2,0),"Other"))</f>
        <v/>
      </c>
      <c r="J1974" s="41" t="str">
        <f aca="false">IF(G1974="","",IFERROR(IF(ISNUMBER(SEARCH(Assumptions!$C$5,G1974)),Assumptions!$D$5,IF(ISNUMBER(SEARCH(Assumptions!$C$6,G1974)),Assumptions!$D$6,IF(ISNUMBER(SEARCH(Assumptions!$C$7,G1974)),Assumptions!$D$7,"Other Services"))),"Other Services"))</f>
        <v/>
      </c>
    </row>
    <row r="1975" customFormat="false" ht="15" hidden="false" customHeight="false" outlineLevel="0" collapsed="false">
      <c r="F1975" s="41" t="str">
        <f aca="false">IF(E1975="","",IFERROR(VLOOKUP(E1975,Assumptions!$G$5:$H$16,2,0),"Other"))</f>
        <v/>
      </c>
      <c r="J1975" s="41" t="str">
        <f aca="false">IF(G1975="","",IFERROR(IF(ISNUMBER(SEARCH(Assumptions!$C$5,G1975)),Assumptions!$D$5,IF(ISNUMBER(SEARCH(Assumptions!$C$6,G1975)),Assumptions!$D$6,IF(ISNUMBER(SEARCH(Assumptions!$C$7,G1975)),Assumptions!$D$7,"Other Services"))),"Other Services"))</f>
        <v/>
      </c>
    </row>
    <row r="1976" customFormat="false" ht="15" hidden="false" customHeight="false" outlineLevel="0" collapsed="false">
      <c r="F1976" s="41" t="str">
        <f aca="false">IF(E1976="","",IFERROR(VLOOKUP(E1976,Assumptions!$G$5:$H$16,2,0),"Other"))</f>
        <v/>
      </c>
      <c r="J1976" s="41" t="str">
        <f aca="false">IF(G1976="","",IFERROR(IF(ISNUMBER(SEARCH(Assumptions!$C$5,G1976)),Assumptions!$D$5,IF(ISNUMBER(SEARCH(Assumptions!$C$6,G1976)),Assumptions!$D$6,IF(ISNUMBER(SEARCH(Assumptions!$C$7,G1976)),Assumptions!$D$7,"Other Services"))),"Other Services"))</f>
        <v/>
      </c>
    </row>
    <row r="1977" customFormat="false" ht="15" hidden="false" customHeight="false" outlineLevel="0" collapsed="false">
      <c r="F1977" s="41" t="str">
        <f aca="false">IF(E1977="","",IFERROR(VLOOKUP(E1977,Assumptions!$G$5:$H$16,2,0),"Other"))</f>
        <v/>
      </c>
      <c r="J1977" s="41" t="str">
        <f aca="false">IF(G1977="","",IFERROR(IF(ISNUMBER(SEARCH(Assumptions!$C$5,G1977)),Assumptions!$D$5,IF(ISNUMBER(SEARCH(Assumptions!$C$6,G1977)),Assumptions!$D$6,IF(ISNUMBER(SEARCH(Assumptions!$C$7,G1977)),Assumptions!$D$7,"Other Services"))),"Other Services"))</f>
        <v/>
      </c>
    </row>
    <row r="1978" customFormat="false" ht="15" hidden="false" customHeight="false" outlineLevel="0" collapsed="false">
      <c r="F1978" s="41" t="str">
        <f aca="false">IF(E1978="","",IFERROR(VLOOKUP(E1978,Assumptions!$G$5:$H$16,2,0),"Other"))</f>
        <v/>
      </c>
      <c r="J1978" s="41" t="str">
        <f aca="false">IF(G1978="","",IFERROR(IF(ISNUMBER(SEARCH(Assumptions!$C$5,G1978)),Assumptions!$D$5,IF(ISNUMBER(SEARCH(Assumptions!$C$6,G1978)),Assumptions!$D$6,IF(ISNUMBER(SEARCH(Assumptions!$C$7,G1978)),Assumptions!$D$7,"Other Services"))),"Other Services"))</f>
        <v/>
      </c>
    </row>
    <row r="1979" customFormat="false" ht="15" hidden="false" customHeight="false" outlineLevel="0" collapsed="false">
      <c r="F1979" s="41" t="str">
        <f aca="false">IF(E1979="","",IFERROR(VLOOKUP(E1979,Assumptions!$G$5:$H$16,2,0),"Other"))</f>
        <v/>
      </c>
      <c r="J1979" s="41" t="str">
        <f aca="false">IF(G1979="","",IFERROR(IF(ISNUMBER(SEARCH(Assumptions!$C$5,G1979)),Assumptions!$D$5,IF(ISNUMBER(SEARCH(Assumptions!$C$6,G1979)),Assumptions!$D$6,IF(ISNUMBER(SEARCH(Assumptions!$C$7,G1979)),Assumptions!$D$7,"Other Services"))),"Other Services"))</f>
        <v/>
      </c>
    </row>
    <row r="1980" customFormat="false" ht="15" hidden="false" customHeight="false" outlineLevel="0" collapsed="false">
      <c r="F1980" s="41" t="str">
        <f aca="false">IF(E1980="","",IFERROR(VLOOKUP(E1980,Assumptions!$G$5:$H$16,2,0),"Other"))</f>
        <v/>
      </c>
      <c r="J1980" s="41" t="str">
        <f aca="false">IF(G1980="","",IFERROR(IF(ISNUMBER(SEARCH(Assumptions!$C$5,G1980)),Assumptions!$D$5,IF(ISNUMBER(SEARCH(Assumptions!$C$6,G1980)),Assumptions!$D$6,IF(ISNUMBER(SEARCH(Assumptions!$C$7,G1980)),Assumptions!$D$7,"Other Services"))),"Other Services"))</f>
        <v/>
      </c>
    </row>
    <row r="1981" customFormat="false" ht="15" hidden="false" customHeight="false" outlineLevel="0" collapsed="false">
      <c r="F1981" s="41" t="str">
        <f aca="false">IF(E1981="","",IFERROR(VLOOKUP(E1981,Assumptions!$G$5:$H$16,2,0),"Other"))</f>
        <v/>
      </c>
      <c r="J1981" s="41" t="str">
        <f aca="false">IF(G1981="","",IFERROR(IF(ISNUMBER(SEARCH(Assumptions!$C$5,G1981)),Assumptions!$D$5,IF(ISNUMBER(SEARCH(Assumptions!$C$6,G1981)),Assumptions!$D$6,IF(ISNUMBER(SEARCH(Assumptions!$C$7,G1981)),Assumptions!$D$7,"Other Services"))),"Other Services"))</f>
        <v/>
      </c>
    </row>
    <row r="1982" customFormat="false" ht="15" hidden="false" customHeight="false" outlineLevel="0" collapsed="false">
      <c r="F1982" s="41" t="str">
        <f aca="false">IF(E1982="","",IFERROR(VLOOKUP(E1982,Assumptions!$G$5:$H$16,2,0),"Other"))</f>
        <v/>
      </c>
      <c r="J1982" s="41" t="str">
        <f aca="false">IF(G1982="","",IFERROR(IF(ISNUMBER(SEARCH(Assumptions!$C$5,G1982)),Assumptions!$D$5,IF(ISNUMBER(SEARCH(Assumptions!$C$6,G1982)),Assumptions!$D$6,IF(ISNUMBER(SEARCH(Assumptions!$C$7,G1982)),Assumptions!$D$7,"Other Services"))),"Other Services"))</f>
        <v/>
      </c>
    </row>
    <row r="1983" customFormat="false" ht="15" hidden="false" customHeight="false" outlineLevel="0" collapsed="false">
      <c r="F1983" s="41" t="str">
        <f aca="false">IF(E1983="","",IFERROR(VLOOKUP(E1983,Assumptions!$G$5:$H$16,2,0),"Other"))</f>
        <v/>
      </c>
      <c r="J1983" s="41" t="str">
        <f aca="false">IF(G1983="","",IFERROR(IF(ISNUMBER(SEARCH(Assumptions!$C$5,G1983)),Assumptions!$D$5,IF(ISNUMBER(SEARCH(Assumptions!$C$6,G1983)),Assumptions!$D$6,IF(ISNUMBER(SEARCH(Assumptions!$C$7,G1983)),Assumptions!$D$7,"Other Services"))),"Other Services"))</f>
        <v/>
      </c>
    </row>
    <row r="1984" customFormat="false" ht="15" hidden="false" customHeight="false" outlineLevel="0" collapsed="false">
      <c r="F1984" s="41" t="str">
        <f aca="false">IF(E1984="","",IFERROR(VLOOKUP(E1984,Assumptions!$G$5:$H$16,2,0),"Other"))</f>
        <v/>
      </c>
      <c r="J1984" s="41" t="str">
        <f aca="false">IF(G1984="","",IFERROR(IF(ISNUMBER(SEARCH(Assumptions!$C$5,G1984)),Assumptions!$D$5,IF(ISNUMBER(SEARCH(Assumptions!$C$6,G1984)),Assumptions!$D$6,IF(ISNUMBER(SEARCH(Assumptions!$C$7,G1984)),Assumptions!$D$7,"Other Services"))),"Other Services"))</f>
        <v/>
      </c>
    </row>
    <row r="1985" customFormat="false" ht="15" hidden="false" customHeight="false" outlineLevel="0" collapsed="false">
      <c r="F1985" s="41" t="str">
        <f aca="false">IF(E1985="","",IFERROR(VLOOKUP(E1985,Assumptions!$G$5:$H$16,2,0),"Other"))</f>
        <v/>
      </c>
      <c r="J1985" s="41" t="str">
        <f aca="false">IF(G1985="","",IFERROR(IF(ISNUMBER(SEARCH(Assumptions!$C$5,G1985)),Assumptions!$D$5,IF(ISNUMBER(SEARCH(Assumptions!$C$6,G1985)),Assumptions!$D$6,IF(ISNUMBER(SEARCH(Assumptions!$C$7,G1985)),Assumptions!$D$7,"Other Services"))),"Other Services"))</f>
        <v/>
      </c>
    </row>
    <row r="1986" customFormat="false" ht="15" hidden="false" customHeight="false" outlineLevel="0" collapsed="false">
      <c r="F1986" s="41" t="str">
        <f aca="false">IF(E1986="","",IFERROR(VLOOKUP(E1986,Assumptions!$G$5:$H$16,2,0),"Other"))</f>
        <v/>
      </c>
      <c r="J1986" s="41" t="str">
        <f aca="false">IF(G1986="","",IFERROR(IF(ISNUMBER(SEARCH(Assumptions!$C$5,G1986)),Assumptions!$D$5,IF(ISNUMBER(SEARCH(Assumptions!$C$6,G1986)),Assumptions!$D$6,IF(ISNUMBER(SEARCH(Assumptions!$C$7,G1986)),Assumptions!$D$7,"Other Services"))),"Other Services"))</f>
        <v/>
      </c>
    </row>
    <row r="1987" customFormat="false" ht="15" hidden="false" customHeight="false" outlineLevel="0" collapsed="false">
      <c r="F1987" s="41" t="str">
        <f aca="false">IF(E1987="","",IFERROR(VLOOKUP(E1987,Assumptions!$G$5:$H$16,2,0),"Other"))</f>
        <v/>
      </c>
      <c r="J1987" s="41" t="str">
        <f aca="false">IF(G1987="","",IFERROR(IF(ISNUMBER(SEARCH(Assumptions!$C$5,G1987)),Assumptions!$D$5,IF(ISNUMBER(SEARCH(Assumptions!$C$6,G1987)),Assumptions!$D$6,IF(ISNUMBER(SEARCH(Assumptions!$C$7,G1987)),Assumptions!$D$7,"Other Services"))),"Other Services"))</f>
        <v/>
      </c>
    </row>
    <row r="1988" customFormat="false" ht="15" hidden="false" customHeight="false" outlineLevel="0" collapsed="false">
      <c r="F1988" s="41" t="str">
        <f aca="false">IF(E1988="","",IFERROR(VLOOKUP(E1988,Assumptions!$G$5:$H$16,2,0),"Other"))</f>
        <v/>
      </c>
      <c r="J1988" s="41" t="str">
        <f aca="false">IF(G1988="","",IFERROR(IF(ISNUMBER(SEARCH(Assumptions!$C$5,G1988)),Assumptions!$D$5,IF(ISNUMBER(SEARCH(Assumptions!$C$6,G1988)),Assumptions!$D$6,IF(ISNUMBER(SEARCH(Assumptions!$C$7,G1988)),Assumptions!$D$7,"Other Services"))),"Other Services"))</f>
        <v/>
      </c>
    </row>
    <row r="1989" customFormat="false" ht="15" hidden="false" customHeight="false" outlineLevel="0" collapsed="false">
      <c r="F1989" s="41" t="str">
        <f aca="false">IF(E1989="","",IFERROR(VLOOKUP(E1989,Assumptions!$G$5:$H$16,2,0),"Other"))</f>
        <v/>
      </c>
      <c r="J1989" s="41" t="str">
        <f aca="false">IF(G1989="","",IFERROR(IF(ISNUMBER(SEARCH(Assumptions!$C$5,G1989)),Assumptions!$D$5,IF(ISNUMBER(SEARCH(Assumptions!$C$6,G1989)),Assumptions!$D$6,IF(ISNUMBER(SEARCH(Assumptions!$C$7,G1989)),Assumptions!$D$7,"Other Services"))),"Other Services"))</f>
        <v/>
      </c>
    </row>
    <row r="1990" customFormat="false" ht="15" hidden="false" customHeight="false" outlineLevel="0" collapsed="false">
      <c r="F1990" s="41" t="str">
        <f aca="false">IF(E1990="","",IFERROR(VLOOKUP(E1990,Assumptions!$G$5:$H$16,2,0),"Other"))</f>
        <v/>
      </c>
      <c r="J1990" s="41" t="str">
        <f aca="false">IF(G1990="","",IFERROR(IF(ISNUMBER(SEARCH(Assumptions!$C$5,G1990)),Assumptions!$D$5,IF(ISNUMBER(SEARCH(Assumptions!$C$6,G1990)),Assumptions!$D$6,IF(ISNUMBER(SEARCH(Assumptions!$C$7,G1990)),Assumptions!$D$7,"Other Services"))),"Other Services"))</f>
        <v/>
      </c>
    </row>
    <row r="1991" customFormat="false" ht="15" hidden="false" customHeight="false" outlineLevel="0" collapsed="false">
      <c r="F1991" s="41" t="str">
        <f aca="false">IF(E1991="","",IFERROR(VLOOKUP(E1991,Assumptions!$G$5:$H$16,2,0),"Other"))</f>
        <v/>
      </c>
      <c r="J1991" s="41" t="str">
        <f aca="false">IF(G1991="","",IFERROR(IF(ISNUMBER(SEARCH(Assumptions!$C$5,G1991)),Assumptions!$D$5,IF(ISNUMBER(SEARCH(Assumptions!$C$6,G1991)),Assumptions!$D$6,IF(ISNUMBER(SEARCH(Assumptions!$C$7,G1991)),Assumptions!$D$7,"Other Services"))),"Other Services"))</f>
        <v/>
      </c>
    </row>
    <row r="1992" customFormat="false" ht="15" hidden="false" customHeight="false" outlineLevel="0" collapsed="false">
      <c r="F1992" s="41" t="str">
        <f aca="false">IF(E1992="","",IFERROR(VLOOKUP(E1992,Assumptions!$G$5:$H$16,2,0),"Other"))</f>
        <v/>
      </c>
      <c r="J1992" s="41" t="str">
        <f aca="false">IF(G1992="","",IFERROR(IF(ISNUMBER(SEARCH(Assumptions!$C$5,G1992)),Assumptions!$D$5,IF(ISNUMBER(SEARCH(Assumptions!$C$6,G1992)),Assumptions!$D$6,IF(ISNUMBER(SEARCH(Assumptions!$C$7,G1992)),Assumptions!$D$7,"Other Services"))),"Other Services"))</f>
        <v/>
      </c>
    </row>
    <row r="1993" customFormat="false" ht="15" hidden="false" customHeight="false" outlineLevel="0" collapsed="false">
      <c r="F1993" s="41" t="str">
        <f aca="false">IF(E1993="","",IFERROR(VLOOKUP(E1993,Assumptions!$G$5:$H$16,2,0),"Other"))</f>
        <v/>
      </c>
      <c r="J1993" s="41" t="str">
        <f aca="false">IF(G1993="","",IFERROR(IF(ISNUMBER(SEARCH(Assumptions!$C$5,G1993)),Assumptions!$D$5,IF(ISNUMBER(SEARCH(Assumptions!$C$6,G1993)),Assumptions!$D$6,IF(ISNUMBER(SEARCH(Assumptions!$C$7,G1993)),Assumptions!$D$7,"Other Services"))),"Other Services"))</f>
        <v/>
      </c>
    </row>
    <row r="1994" customFormat="false" ht="15" hidden="false" customHeight="false" outlineLevel="0" collapsed="false">
      <c r="F1994" s="41" t="str">
        <f aca="false">IF(E1994="","",IFERROR(VLOOKUP(E1994,Assumptions!$G$5:$H$16,2,0),"Other"))</f>
        <v/>
      </c>
      <c r="J1994" s="41" t="str">
        <f aca="false">IF(G1994="","",IFERROR(IF(ISNUMBER(SEARCH(Assumptions!$C$5,G1994)),Assumptions!$D$5,IF(ISNUMBER(SEARCH(Assumptions!$C$6,G1994)),Assumptions!$D$6,IF(ISNUMBER(SEARCH(Assumptions!$C$7,G1994)),Assumptions!$D$7,"Other Services"))),"Other Services"))</f>
        <v/>
      </c>
    </row>
    <row r="1995" customFormat="false" ht="15" hidden="false" customHeight="false" outlineLevel="0" collapsed="false">
      <c r="F1995" s="41" t="str">
        <f aca="false">IF(E1995="","",IFERROR(VLOOKUP(E1995,Assumptions!$G$5:$H$16,2,0),"Other"))</f>
        <v/>
      </c>
      <c r="J1995" s="41" t="str">
        <f aca="false">IF(G1995="","",IFERROR(IF(ISNUMBER(SEARCH(Assumptions!$C$5,G1995)),Assumptions!$D$5,IF(ISNUMBER(SEARCH(Assumptions!$C$6,G1995)),Assumptions!$D$6,IF(ISNUMBER(SEARCH(Assumptions!$C$7,G1995)),Assumptions!$D$7,"Other Services"))),"Other Services"))</f>
        <v/>
      </c>
    </row>
    <row r="1996" customFormat="false" ht="15" hidden="false" customHeight="false" outlineLevel="0" collapsed="false">
      <c r="F1996" s="41" t="str">
        <f aca="false">IF(E1996="","",IFERROR(VLOOKUP(E1996,Assumptions!$G$5:$H$16,2,0),"Other"))</f>
        <v/>
      </c>
      <c r="J1996" s="41" t="str">
        <f aca="false">IF(G1996="","",IFERROR(IF(ISNUMBER(SEARCH(Assumptions!$C$5,G1996)),Assumptions!$D$5,IF(ISNUMBER(SEARCH(Assumptions!$C$6,G1996)),Assumptions!$D$6,IF(ISNUMBER(SEARCH(Assumptions!$C$7,G1996)),Assumptions!$D$7,"Other Services"))),"Other Services"))</f>
        <v/>
      </c>
    </row>
    <row r="1997" customFormat="false" ht="15" hidden="false" customHeight="false" outlineLevel="0" collapsed="false">
      <c r="F1997" s="41" t="str">
        <f aca="false">IF(E1997="","",IFERROR(VLOOKUP(E1997,Assumptions!$G$5:$H$16,2,0),"Other"))</f>
        <v/>
      </c>
      <c r="J1997" s="41" t="str">
        <f aca="false">IF(G1997="","",IFERROR(IF(ISNUMBER(SEARCH(Assumptions!$C$5,G1997)),Assumptions!$D$5,IF(ISNUMBER(SEARCH(Assumptions!$C$6,G1997)),Assumptions!$D$6,IF(ISNUMBER(SEARCH(Assumptions!$C$7,G1997)),Assumptions!$D$7,"Other Services"))),"Other Services"))</f>
        <v/>
      </c>
    </row>
    <row r="1998" customFormat="false" ht="15" hidden="false" customHeight="false" outlineLevel="0" collapsed="false">
      <c r="F1998" s="41" t="str">
        <f aca="false">IF(E1998="","",IFERROR(VLOOKUP(E1998,Assumptions!$G$5:$H$16,2,0),"Other"))</f>
        <v/>
      </c>
      <c r="J1998" s="41" t="str">
        <f aca="false">IF(G1998="","",IFERROR(IF(ISNUMBER(SEARCH(Assumptions!$C$5,G1998)),Assumptions!$D$5,IF(ISNUMBER(SEARCH(Assumptions!$C$6,G1998)),Assumptions!$D$6,IF(ISNUMBER(SEARCH(Assumptions!$C$7,G1998)),Assumptions!$D$7,"Other Services"))),"Other Services"))</f>
        <v/>
      </c>
    </row>
    <row r="1999" customFormat="false" ht="15" hidden="false" customHeight="false" outlineLevel="0" collapsed="false">
      <c r="F1999" s="41" t="str">
        <f aca="false">IF(E1999="","",IFERROR(VLOOKUP(E1999,Assumptions!$G$5:$H$16,2,0),"Other"))</f>
        <v/>
      </c>
      <c r="J1999" s="41" t="str">
        <f aca="false">IF(G1999="","",IFERROR(IF(ISNUMBER(SEARCH(Assumptions!$C$5,G1999)),Assumptions!$D$5,IF(ISNUMBER(SEARCH(Assumptions!$C$6,G1999)),Assumptions!$D$6,IF(ISNUMBER(SEARCH(Assumptions!$C$7,G1999)),Assumptions!$D$7,"Other Services"))),"Other Services"))</f>
        <v/>
      </c>
    </row>
    <row r="2000" customFormat="false" ht="15" hidden="false" customHeight="false" outlineLevel="0" collapsed="false">
      <c r="F2000" s="41" t="str">
        <f aca="false">IF(E2000="","",IFERROR(VLOOKUP(E2000,Assumptions!$G$5:$H$16,2,0),"Other"))</f>
        <v/>
      </c>
      <c r="J2000" s="41" t="str">
        <f aca="false">IF(G2000="","",IFERROR(IF(ISNUMBER(SEARCH(Assumptions!$C$5,G2000)),Assumptions!$D$5,IF(ISNUMBER(SEARCH(Assumptions!$C$6,G2000)),Assumptions!$D$6,IF(ISNUMBER(SEARCH(Assumptions!$C$7,G2000)),Assumptions!$D$7,"Other Services"))),"Other Services"))</f>
        <v/>
      </c>
    </row>
    <row r="2001" customFormat="false" ht="15" hidden="false" customHeight="false" outlineLevel="0" collapsed="false">
      <c r="F2001" s="41" t="str">
        <f aca="false">IF(E2001="","",IFERROR(VLOOKUP(E2001,Assumptions!$G$5:$H$16,2,0),"Other"))</f>
        <v/>
      </c>
      <c r="J2001" s="41" t="str">
        <f aca="false">IF(G2001="","",IFERROR(IF(ISNUMBER(SEARCH(Assumptions!$C$5,G2001)),Assumptions!$D$5,IF(ISNUMBER(SEARCH(Assumptions!$C$6,G2001)),Assumptions!$D$6,IF(ISNUMBER(SEARCH(Assumptions!$C$7,G2001)),Assumptions!$D$7,"Other Services"))),"Other Services"))</f>
        <v/>
      </c>
    </row>
    <row r="2002" customFormat="false" ht="15" hidden="false" customHeight="false" outlineLevel="0" collapsed="false">
      <c r="F2002" s="41" t="str">
        <f aca="false">IF(E2002="","",IFERROR(VLOOKUP(E2002,Assumptions!$G$5:$H$16,2,0),"Other"))</f>
        <v/>
      </c>
      <c r="J2002" s="41" t="str">
        <f aca="false">IF(G2002="","",IFERROR(IF(ISNUMBER(SEARCH(Assumptions!$C$5,G2002)),Assumptions!$D$5,IF(ISNUMBER(SEARCH(Assumptions!$C$6,G2002)),Assumptions!$D$6,IF(ISNUMBER(SEARCH(Assumptions!$C$7,G2002)),Assumptions!$D$7,"Other Services"))),"Other Services"))</f>
        <v/>
      </c>
    </row>
    <row r="2003" customFormat="false" ht="15" hidden="false" customHeight="false" outlineLevel="0" collapsed="false">
      <c r="F2003" s="41" t="str">
        <f aca="false">IF(E2003="","",IFERROR(VLOOKUP(E2003,Assumptions!$G$5:$H$16,2,0),"Other"))</f>
        <v/>
      </c>
      <c r="J2003" s="41" t="str">
        <f aca="false">IF(G2003="","",IFERROR(IF(ISNUMBER(SEARCH(Assumptions!$C$5,G2003)),Assumptions!$D$5,IF(ISNUMBER(SEARCH(Assumptions!$C$6,G2003)),Assumptions!$D$6,IF(ISNUMBER(SEARCH(Assumptions!$C$7,G2003)),Assumptions!$D$7,"Other Services"))),"Other Services"))</f>
        <v/>
      </c>
    </row>
    <row r="2004" customFormat="false" ht="15" hidden="false" customHeight="false" outlineLevel="0" collapsed="false">
      <c r="F2004" s="41" t="str">
        <f aca="false">IF(E2004="","",IFERROR(VLOOKUP(E2004,Assumptions!$G$5:$H$16,2,0),"Other"))</f>
        <v/>
      </c>
      <c r="J2004" s="41" t="str">
        <f aca="false">IF(G2004="","",IFERROR(IF(ISNUMBER(SEARCH(Assumptions!$C$5,G2004)),Assumptions!$D$5,IF(ISNUMBER(SEARCH(Assumptions!$C$6,G2004)),Assumptions!$D$6,IF(ISNUMBER(SEARCH(Assumptions!$C$7,G2004)),Assumptions!$D$7,"Other Services"))),"Other Services"))</f>
        <v/>
      </c>
    </row>
    <row r="2005" customFormat="false" ht="15" hidden="false" customHeight="false" outlineLevel="0" collapsed="false">
      <c r="F2005" s="41" t="str">
        <f aca="false">IF(E2005="","",IFERROR(VLOOKUP(E2005,Assumptions!$G$5:$H$16,2,0),"Other"))</f>
        <v/>
      </c>
      <c r="J2005" s="41" t="str">
        <f aca="false">IF(G2005="","",IFERROR(IF(ISNUMBER(SEARCH(Assumptions!$C$5,G2005)),Assumptions!$D$5,IF(ISNUMBER(SEARCH(Assumptions!$C$6,G2005)),Assumptions!$D$6,IF(ISNUMBER(SEARCH(Assumptions!$C$7,G2005)),Assumptions!$D$7,"Other Services"))),"Other Services"))</f>
        <v/>
      </c>
    </row>
    <row r="2006" customFormat="false" ht="15" hidden="false" customHeight="false" outlineLevel="0" collapsed="false">
      <c r="F2006" s="41" t="str">
        <f aca="false">IF(E2006="","",IFERROR(VLOOKUP(E2006,Assumptions!$G$5:$H$16,2,0),"Other"))</f>
        <v/>
      </c>
      <c r="J2006" s="41" t="str">
        <f aca="false">IF(G2006="","",IFERROR(IF(ISNUMBER(SEARCH(Assumptions!$C$5,G2006)),Assumptions!$D$5,IF(ISNUMBER(SEARCH(Assumptions!$C$6,G2006)),Assumptions!$D$6,IF(ISNUMBER(SEARCH(Assumptions!$C$7,G2006)),Assumptions!$D$7,"Other Services"))),"Other Services"))</f>
        <v/>
      </c>
    </row>
    <row r="2007" customFormat="false" ht="15" hidden="false" customHeight="false" outlineLevel="0" collapsed="false">
      <c r="F2007" s="41" t="str">
        <f aca="false">IF(E2007="","",IFERROR(VLOOKUP(E2007,Assumptions!$G$5:$H$16,2,0),"Other"))</f>
        <v/>
      </c>
      <c r="J2007" s="41" t="str">
        <f aca="false">IF(G2007="","",IFERROR(IF(ISNUMBER(SEARCH(Assumptions!$C$5,G2007)),Assumptions!$D$5,IF(ISNUMBER(SEARCH(Assumptions!$C$6,G2007)),Assumptions!$D$6,IF(ISNUMBER(SEARCH(Assumptions!$C$7,G2007)),Assumptions!$D$7,"Other Services"))),"Other Services"))</f>
        <v/>
      </c>
    </row>
    <row r="2008" customFormat="false" ht="15" hidden="false" customHeight="false" outlineLevel="0" collapsed="false">
      <c r="F2008" s="41" t="str">
        <f aca="false">IF(E2008="","",IFERROR(VLOOKUP(E2008,Assumptions!$G$5:$H$16,2,0),"Other"))</f>
        <v/>
      </c>
      <c r="J2008" s="41" t="str">
        <f aca="false">IF(G2008="","",IFERROR(IF(ISNUMBER(SEARCH(Assumptions!$C$5,G2008)),Assumptions!$D$5,IF(ISNUMBER(SEARCH(Assumptions!$C$6,G2008)),Assumptions!$D$6,IF(ISNUMBER(SEARCH(Assumptions!$C$7,G2008)),Assumptions!$D$7,"Other Services"))),"Other Services"))</f>
        <v/>
      </c>
    </row>
    <row r="2009" customFormat="false" ht="15" hidden="false" customHeight="false" outlineLevel="0" collapsed="false">
      <c r="F2009" s="41" t="str">
        <f aca="false">IF(E2009="","",IFERROR(VLOOKUP(E2009,Assumptions!$G$5:$H$16,2,0),"Other"))</f>
        <v/>
      </c>
      <c r="J2009" s="41" t="str">
        <f aca="false">IF(G2009="","",IFERROR(IF(ISNUMBER(SEARCH(Assumptions!$C$5,G2009)),Assumptions!$D$5,IF(ISNUMBER(SEARCH(Assumptions!$C$6,G2009)),Assumptions!$D$6,IF(ISNUMBER(SEARCH(Assumptions!$C$7,G2009)),Assumptions!$D$7,"Other Services"))),"Other Services"))</f>
        <v/>
      </c>
    </row>
    <row r="2010" customFormat="false" ht="15" hidden="false" customHeight="false" outlineLevel="0" collapsed="false">
      <c r="F2010" s="41" t="str">
        <f aca="false">IF(E2010="","",IFERROR(VLOOKUP(E2010,Assumptions!$G$5:$H$16,2,0),"Other"))</f>
        <v/>
      </c>
      <c r="J2010" s="41" t="str">
        <f aca="false">IF(G2010="","",IFERROR(IF(ISNUMBER(SEARCH(Assumptions!$C$5,G2010)),Assumptions!$D$5,IF(ISNUMBER(SEARCH(Assumptions!$C$6,G2010)),Assumptions!$D$6,IF(ISNUMBER(SEARCH(Assumptions!$C$7,G2010)),Assumptions!$D$7,"Other Services"))),"Other Services"))</f>
        <v/>
      </c>
    </row>
    <row r="2011" customFormat="false" ht="15" hidden="false" customHeight="false" outlineLevel="0" collapsed="false">
      <c r="F2011" s="41" t="str">
        <f aca="false">IF(E2011="","",IFERROR(VLOOKUP(E2011,Assumptions!$G$5:$H$16,2,0),"Other"))</f>
        <v/>
      </c>
      <c r="J2011" s="41" t="str">
        <f aca="false">IF(G2011="","",IFERROR(IF(ISNUMBER(SEARCH(Assumptions!$C$5,G2011)),Assumptions!$D$5,IF(ISNUMBER(SEARCH(Assumptions!$C$6,G2011)),Assumptions!$D$6,IF(ISNUMBER(SEARCH(Assumptions!$C$7,G2011)),Assumptions!$D$7,"Other Services"))),"Other Services"))</f>
        <v/>
      </c>
    </row>
    <row r="2012" customFormat="false" ht="15" hidden="false" customHeight="false" outlineLevel="0" collapsed="false">
      <c r="F2012" s="41" t="str">
        <f aca="false">IF(E2012="","",IFERROR(VLOOKUP(E2012,Assumptions!$G$5:$H$16,2,0),"Other"))</f>
        <v/>
      </c>
      <c r="J2012" s="41" t="str">
        <f aca="false">IF(G2012="","",IFERROR(IF(ISNUMBER(SEARCH(Assumptions!$C$5,G2012)),Assumptions!$D$5,IF(ISNUMBER(SEARCH(Assumptions!$C$6,G2012)),Assumptions!$D$6,IF(ISNUMBER(SEARCH(Assumptions!$C$7,G2012)),Assumptions!$D$7,"Other Services"))),"Other Services"))</f>
        <v/>
      </c>
    </row>
    <row r="2013" customFormat="false" ht="15" hidden="false" customHeight="false" outlineLevel="0" collapsed="false">
      <c r="F2013" s="41" t="str">
        <f aca="false">IF(E2013="","",IFERROR(VLOOKUP(E2013,Assumptions!$G$5:$H$16,2,0),"Other"))</f>
        <v/>
      </c>
      <c r="J2013" s="41" t="str">
        <f aca="false">IF(G2013="","",IFERROR(IF(ISNUMBER(SEARCH(Assumptions!$C$5,G2013)),Assumptions!$D$5,IF(ISNUMBER(SEARCH(Assumptions!$C$6,G2013)),Assumptions!$D$6,IF(ISNUMBER(SEARCH(Assumptions!$C$7,G2013)),Assumptions!$D$7,"Other Services"))),"Other Services"))</f>
        <v/>
      </c>
    </row>
    <row r="2014" customFormat="false" ht="15" hidden="false" customHeight="false" outlineLevel="0" collapsed="false">
      <c r="F2014" s="41" t="str">
        <f aca="false">IF(E2014="","",IFERROR(VLOOKUP(E2014,Assumptions!$G$5:$H$16,2,0),"Other"))</f>
        <v/>
      </c>
      <c r="J2014" s="41" t="str">
        <f aca="false">IF(G2014="","",IFERROR(IF(ISNUMBER(SEARCH(Assumptions!$C$5,G2014)),Assumptions!$D$5,IF(ISNUMBER(SEARCH(Assumptions!$C$6,G2014)),Assumptions!$D$6,IF(ISNUMBER(SEARCH(Assumptions!$C$7,G2014)),Assumptions!$D$7,"Other Services"))),"Other Services"))</f>
        <v/>
      </c>
    </row>
    <row r="2015" customFormat="false" ht="15" hidden="false" customHeight="false" outlineLevel="0" collapsed="false">
      <c r="F2015" s="41" t="str">
        <f aca="false">IF(E2015="","",IFERROR(VLOOKUP(E2015,Assumptions!$G$5:$H$16,2,0),"Other"))</f>
        <v/>
      </c>
      <c r="J2015" s="41" t="str">
        <f aca="false">IF(G2015="","",IFERROR(IF(ISNUMBER(SEARCH(Assumptions!$C$5,G2015)),Assumptions!$D$5,IF(ISNUMBER(SEARCH(Assumptions!$C$6,G2015)),Assumptions!$D$6,IF(ISNUMBER(SEARCH(Assumptions!$C$7,G2015)),Assumptions!$D$7,"Other Services"))),"Other Services"))</f>
        <v/>
      </c>
    </row>
    <row r="2016" customFormat="false" ht="15" hidden="false" customHeight="false" outlineLevel="0" collapsed="false">
      <c r="F2016" s="41" t="str">
        <f aca="false">IF(E2016="","",IFERROR(VLOOKUP(E2016,Assumptions!$G$5:$H$16,2,0),"Other"))</f>
        <v/>
      </c>
      <c r="J2016" s="41" t="str">
        <f aca="false">IF(G2016="","",IFERROR(IF(ISNUMBER(SEARCH(Assumptions!$C$5,G2016)),Assumptions!$D$5,IF(ISNUMBER(SEARCH(Assumptions!$C$6,G2016)),Assumptions!$D$6,IF(ISNUMBER(SEARCH(Assumptions!$C$7,G2016)),Assumptions!$D$7,"Other Services"))),"Other Services"))</f>
        <v/>
      </c>
    </row>
    <row r="2017" customFormat="false" ht="15" hidden="false" customHeight="false" outlineLevel="0" collapsed="false">
      <c r="F2017" s="41" t="str">
        <f aca="false">IF(E2017="","",IFERROR(VLOOKUP(E2017,Assumptions!$G$5:$H$16,2,0),"Other"))</f>
        <v/>
      </c>
      <c r="J2017" s="41" t="str">
        <f aca="false">IF(G2017="","",IFERROR(IF(ISNUMBER(SEARCH(Assumptions!$C$5,G2017)),Assumptions!$D$5,IF(ISNUMBER(SEARCH(Assumptions!$C$6,G2017)),Assumptions!$D$6,IF(ISNUMBER(SEARCH(Assumptions!$C$7,G2017)),Assumptions!$D$7,"Other Services"))),"Other Services"))</f>
        <v/>
      </c>
    </row>
    <row r="2018" customFormat="false" ht="15" hidden="false" customHeight="false" outlineLevel="0" collapsed="false">
      <c r="F2018" s="41" t="str">
        <f aca="false">IF(E2018="","",IFERROR(VLOOKUP(E2018,Assumptions!$G$5:$H$16,2,0),"Other"))</f>
        <v/>
      </c>
      <c r="J2018" s="41" t="str">
        <f aca="false">IF(G2018="","",IFERROR(IF(ISNUMBER(SEARCH(Assumptions!$C$5,G2018)),Assumptions!$D$5,IF(ISNUMBER(SEARCH(Assumptions!$C$6,G2018)),Assumptions!$D$6,IF(ISNUMBER(SEARCH(Assumptions!$C$7,G2018)),Assumptions!$D$7,"Other Services"))),"Other Services"))</f>
        <v/>
      </c>
    </row>
    <row r="2019" customFormat="false" ht="15" hidden="false" customHeight="false" outlineLevel="0" collapsed="false">
      <c r="F2019" s="41" t="str">
        <f aca="false">IF(E2019="","",IFERROR(VLOOKUP(E2019,Assumptions!$G$5:$H$16,2,0),"Other"))</f>
        <v/>
      </c>
      <c r="J2019" s="41" t="str">
        <f aca="false">IF(G2019="","",IFERROR(IF(ISNUMBER(SEARCH(Assumptions!$C$5,G2019)),Assumptions!$D$5,IF(ISNUMBER(SEARCH(Assumptions!$C$6,G2019)),Assumptions!$D$6,IF(ISNUMBER(SEARCH(Assumptions!$C$7,G2019)),Assumptions!$D$7,"Other Services"))),"Other Services"))</f>
        <v/>
      </c>
    </row>
    <row r="2020" customFormat="false" ht="15" hidden="false" customHeight="false" outlineLevel="0" collapsed="false">
      <c r="F2020" s="41" t="str">
        <f aca="false">IF(E2020="","",IFERROR(VLOOKUP(E2020,Assumptions!$G$5:$H$16,2,0),"Other"))</f>
        <v/>
      </c>
      <c r="J2020" s="41" t="str">
        <f aca="false">IF(G2020="","",IFERROR(IF(ISNUMBER(SEARCH(Assumptions!$C$5,G2020)),Assumptions!$D$5,IF(ISNUMBER(SEARCH(Assumptions!$C$6,G2020)),Assumptions!$D$6,IF(ISNUMBER(SEARCH(Assumptions!$C$7,G2020)),Assumptions!$D$7,"Other Services"))),"Other Services"))</f>
        <v/>
      </c>
    </row>
    <row r="2021" customFormat="false" ht="15" hidden="false" customHeight="false" outlineLevel="0" collapsed="false">
      <c r="F2021" s="41" t="str">
        <f aca="false">IF(E2021="","",IFERROR(VLOOKUP(E2021,Assumptions!$G$5:$H$16,2,0),"Other"))</f>
        <v/>
      </c>
      <c r="J2021" s="41" t="str">
        <f aca="false">IF(G2021="","",IFERROR(IF(ISNUMBER(SEARCH(Assumptions!$C$5,G2021)),Assumptions!$D$5,IF(ISNUMBER(SEARCH(Assumptions!$C$6,G2021)),Assumptions!$D$6,IF(ISNUMBER(SEARCH(Assumptions!$C$7,G2021)),Assumptions!$D$7,"Other Services"))),"Other Services"))</f>
        <v/>
      </c>
    </row>
    <row r="2022" customFormat="false" ht="15" hidden="false" customHeight="false" outlineLevel="0" collapsed="false">
      <c r="F2022" s="41" t="str">
        <f aca="false">IF(E2022="","",IFERROR(VLOOKUP(E2022,Assumptions!$G$5:$H$16,2,0),"Other"))</f>
        <v/>
      </c>
      <c r="J2022" s="41" t="str">
        <f aca="false">IF(G2022="","",IFERROR(IF(ISNUMBER(SEARCH(Assumptions!$C$5,G2022)),Assumptions!$D$5,IF(ISNUMBER(SEARCH(Assumptions!$C$6,G2022)),Assumptions!$D$6,IF(ISNUMBER(SEARCH(Assumptions!$C$7,G2022)),Assumptions!$D$7,"Other Services"))),"Other Services"))</f>
        <v/>
      </c>
    </row>
    <row r="2023" customFormat="false" ht="15" hidden="false" customHeight="false" outlineLevel="0" collapsed="false">
      <c r="F2023" s="41" t="str">
        <f aca="false">IF(E2023="","",IFERROR(VLOOKUP(E2023,Assumptions!$G$5:$H$16,2,0),"Other"))</f>
        <v/>
      </c>
      <c r="J2023" s="41" t="str">
        <f aca="false">IF(G2023="","",IFERROR(IF(ISNUMBER(SEARCH(Assumptions!$C$5,G2023)),Assumptions!$D$5,IF(ISNUMBER(SEARCH(Assumptions!$C$6,G2023)),Assumptions!$D$6,IF(ISNUMBER(SEARCH(Assumptions!$C$7,G2023)),Assumptions!$D$7,"Other Services"))),"Other Services"))</f>
        <v/>
      </c>
    </row>
    <row r="2024" customFormat="false" ht="15" hidden="false" customHeight="false" outlineLevel="0" collapsed="false">
      <c r="F2024" s="41" t="str">
        <f aca="false">IF(E2024="","",IFERROR(VLOOKUP(E2024,Assumptions!$G$5:$H$16,2,0),"Other"))</f>
        <v/>
      </c>
      <c r="J2024" s="41" t="str">
        <f aca="false">IF(G2024="","",IFERROR(IF(ISNUMBER(SEARCH(Assumptions!$C$5,G2024)),Assumptions!$D$5,IF(ISNUMBER(SEARCH(Assumptions!$C$6,G2024)),Assumptions!$D$6,IF(ISNUMBER(SEARCH(Assumptions!$C$7,G2024)),Assumptions!$D$7,"Other Services"))),"Other Services"))</f>
        <v/>
      </c>
    </row>
    <row r="2025" customFormat="false" ht="15" hidden="false" customHeight="false" outlineLevel="0" collapsed="false">
      <c r="F2025" s="41" t="str">
        <f aca="false">IF(E2025="","",IFERROR(VLOOKUP(E2025,Assumptions!$G$5:$H$16,2,0),"Other"))</f>
        <v/>
      </c>
      <c r="J2025" s="41" t="str">
        <f aca="false">IF(G2025="","",IFERROR(IF(ISNUMBER(SEARCH(Assumptions!$C$5,G2025)),Assumptions!$D$5,IF(ISNUMBER(SEARCH(Assumptions!$C$6,G2025)),Assumptions!$D$6,IF(ISNUMBER(SEARCH(Assumptions!$C$7,G2025)),Assumptions!$D$7,"Other Services"))),"Other Services"))</f>
        <v/>
      </c>
    </row>
    <row r="2026" customFormat="false" ht="15" hidden="false" customHeight="false" outlineLevel="0" collapsed="false">
      <c r="F2026" s="41" t="str">
        <f aca="false">IF(E2026="","",IFERROR(VLOOKUP(E2026,Assumptions!$G$5:$H$16,2,0),"Other"))</f>
        <v/>
      </c>
      <c r="J2026" s="41" t="str">
        <f aca="false">IF(G2026="","",IFERROR(IF(ISNUMBER(SEARCH(Assumptions!$C$5,G2026)),Assumptions!$D$5,IF(ISNUMBER(SEARCH(Assumptions!$C$6,G2026)),Assumptions!$D$6,IF(ISNUMBER(SEARCH(Assumptions!$C$7,G2026)),Assumptions!$D$7,"Other Services"))),"Other Services"))</f>
        <v/>
      </c>
    </row>
    <row r="2027" customFormat="false" ht="15" hidden="false" customHeight="false" outlineLevel="0" collapsed="false">
      <c r="F2027" s="41" t="str">
        <f aca="false">IF(E2027="","",IFERROR(VLOOKUP(E2027,Assumptions!$G$5:$H$16,2,0),"Other"))</f>
        <v/>
      </c>
      <c r="J2027" s="41" t="str">
        <f aca="false">IF(G2027="","",IFERROR(IF(ISNUMBER(SEARCH(Assumptions!$C$5,G2027)),Assumptions!$D$5,IF(ISNUMBER(SEARCH(Assumptions!$C$6,G2027)),Assumptions!$D$6,IF(ISNUMBER(SEARCH(Assumptions!$C$7,G2027)),Assumptions!$D$7,"Other Services"))),"Other Services"))</f>
        <v/>
      </c>
    </row>
    <row r="2028" customFormat="false" ht="15" hidden="false" customHeight="false" outlineLevel="0" collapsed="false">
      <c r="F2028" s="41" t="str">
        <f aca="false">IF(E2028="","",IFERROR(VLOOKUP(E2028,Assumptions!$G$5:$H$16,2,0),"Other"))</f>
        <v/>
      </c>
      <c r="J2028" s="41" t="str">
        <f aca="false">IF(G2028="","",IFERROR(IF(ISNUMBER(SEARCH(Assumptions!$C$5,G2028)),Assumptions!$D$5,IF(ISNUMBER(SEARCH(Assumptions!$C$6,G2028)),Assumptions!$D$6,IF(ISNUMBER(SEARCH(Assumptions!$C$7,G2028)),Assumptions!$D$7,"Other Services"))),"Other Services"))</f>
        <v/>
      </c>
    </row>
    <row r="2029" customFormat="false" ht="15" hidden="false" customHeight="false" outlineLevel="0" collapsed="false">
      <c r="F2029" s="41" t="str">
        <f aca="false">IF(E2029="","",IFERROR(VLOOKUP(E2029,Assumptions!$G$5:$H$16,2,0),"Other"))</f>
        <v/>
      </c>
      <c r="J2029" s="41" t="str">
        <f aca="false">IF(G2029="","",IFERROR(IF(ISNUMBER(SEARCH(Assumptions!$C$5,G2029)),Assumptions!$D$5,IF(ISNUMBER(SEARCH(Assumptions!$C$6,G2029)),Assumptions!$D$6,IF(ISNUMBER(SEARCH(Assumptions!$C$7,G2029)),Assumptions!$D$7,"Other Services"))),"Other Services"))</f>
        <v/>
      </c>
    </row>
    <row r="2030" customFormat="false" ht="15" hidden="false" customHeight="false" outlineLevel="0" collapsed="false">
      <c r="F2030" s="41" t="str">
        <f aca="false">IF(E2030="","",IFERROR(VLOOKUP(E2030,Assumptions!$G$5:$H$16,2,0),"Other"))</f>
        <v/>
      </c>
      <c r="J2030" s="41" t="str">
        <f aca="false">IF(G2030="","",IFERROR(IF(ISNUMBER(SEARCH(Assumptions!$C$5,G2030)),Assumptions!$D$5,IF(ISNUMBER(SEARCH(Assumptions!$C$6,G2030)),Assumptions!$D$6,IF(ISNUMBER(SEARCH(Assumptions!$C$7,G2030)),Assumptions!$D$7,"Other Services"))),"Other Services"))</f>
        <v/>
      </c>
    </row>
    <row r="2031" customFormat="false" ht="15" hidden="false" customHeight="false" outlineLevel="0" collapsed="false">
      <c r="F2031" s="41" t="str">
        <f aca="false">IF(E2031="","",IFERROR(VLOOKUP(E2031,Assumptions!$G$5:$H$16,2,0),"Other"))</f>
        <v/>
      </c>
      <c r="J2031" s="41" t="str">
        <f aca="false">IF(G2031="","",IFERROR(IF(ISNUMBER(SEARCH(Assumptions!$C$5,G2031)),Assumptions!$D$5,IF(ISNUMBER(SEARCH(Assumptions!$C$6,G2031)),Assumptions!$D$6,IF(ISNUMBER(SEARCH(Assumptions!$C$7,G2031)),Assumptions!$D$7,"Other Services"))),"Other Services"))</f>
        <v/>
      </c>
    </row>
    <row r="2032" customFormat="false" ht="15" hidden="false" customHeight="false" outlineLevel="0" collapsed="false">
      <c r="F2032" s="41" t="str">
        <f aca="false">IF(E2032="","",IFERROR(VLOOKUP(E2032,Assumptions!$G$5:$H$16,2,0),"Other"))</f>
        <v/>
      </c>
      <c r="J2032" s="41" t="str">
        <f aca="false">IF(G2032="","",IFERROR(IF(ISNUMBER(SEARCH(Assumptions!$C$5,G2032)),Assumptions!$D$5,IF(ISNUMBER(SEARCH(Assumptions!$C$6,G2032)),Assumptions!$D$6,IF(ISNUMBER(SEARCH(Assumptions!$C$7,G2032)),Assumptions!$D$7,"Other Services"))),"Other Services"))</f>
        <v/>
      </c>
    </row>
    <row r="2033" customFormat="false" ht="15" hidden="false" customHeight="false" outlineLevel="0" collapsed="false">
      <c r="F2033" s="41" t="str">
        <f aca="false">IF(E2033="","",IFERROR(VLOOKUP(E2033,Assumptions!$G$5:$H$16,2,0),"Other"))</f>
        <v/>
      </c>
      <c r="J2033" s="41" t="str">
        <f aca="false">IF(G2033="","",IFERROR(IF(ISNUMBER(SEARCH(Assumptions!$C$5,G2033)),Assumptions!$D$5,IF(ISNUMBER(SEARCH(Assumptions!$C$6,G2033)),Assumptions!$D$6,IF(ISNUMBER(SEARCH(Assumptions!$C$7,G2033)),Assumptions!$D$7,"Other Services"))),"Other Services"))</f>
        <v/>
      </c>
    </row>
    <row r="2034" customFormat="false" ht="15" hidden="false" customHeight="false" outlineLevel="0" collapsed="false">
      <c r="F2034" s="41" t="str">
        <f aca="false">IF(E2034="","",IFERROR(VLOOKUP(E2034,Assumptions!$G$5:$H$16,2,0),"Other"))</f>
        <v/>
      </c>
      <c r="J2034" s="41" t="str">
        <f aca="false">IF(G2034="","",IFERROR(IF(ISNUMBER(SEARCH(Assumptions!$C$5,G2034)),Assumptions!$D$5,IF(ISNUMBER(SEARCH(Assumptions!$C$6,G2034)),Assumptions!$D$6,IF(ISNUMBER(SEARCH(Assumptions!$C$7,G2034)),Assumptions!$D$7,"Other Services"))),"Other Services"))</f>
        <v/>
      </c>
    </row>
    <row r="2035" customFormat="false" ht="15" hidden="false" customHeight="false" outlineLevel="0" collapsed="false">
      <c r="F2035" s="41" t="str">
        <f aca="false">IF(E2035="","",IFERROR(VLOOKUP(E2035,Assumptions!$G$5:$H$16,2,0),"Other"))</f>
        <v/>
      </c>
      <c r="J2035" s="41" t="str">
        <f aca="false">IF(G2035="","",IFERROR(IF(ISNUMBER(SEARCH(Assumptions!$C$5,G2035)),Assumptions!$D$5,IF(ISNUMBER(SEARCH(Assumptions!$C$6,G2035)),Assumptions!$D$6,IF(ISNUMBER(SEARCH(Assumptions!$C$7,G2035)),Assumptions!$D$7,"Other Services"))),"Other Services"))</f>
        <v/>
      </c>
    </row>
    <row r="2036" customFormat="false" ht="15" hidden="false" customHeight="false" outlineLevel="0" collapsed="false">
      <c r="F2036" s="41" t="str">
        <f aca="false">IF(E2036="","",IFERROR(VLOOKUP(E2036,Assumptions!$G$5:$H$16,2,0),"Other"))</f>
        <v/>
      </c>
      <c r="J2036" s="41" t="str">
        <f aca="false">IF(G2036="","",IFERROR(IF(ISNUMBER(SEARCH(Assumptions!$C$5,G2036)),Assumptions!$D$5,IF(ISNUMBER(SEARCH(Assumptions!$C$6,G2036)),Assumptions!$D$6,IF(ISNUMBER(SEARCH(Assumptions!$C$7,G2036)),Assumptions!$D$7,"Other Services"))),"Other Services"))</f>
        <v/>
      </c>
    </row>
    <row r="2037" customFormat="false" ht="15" hidden="false" customHeight="false" outlineLevel="0" collapsed="false">
      <c r="F2037" s="41" t="str">
        <f aca="false">IF(E2037="","",IFERROR(VLOOKUP(E2037,Assumptions!$G$5:$H$16,2,0),"Other"))</f>
        <v/>
      </c>
      <c r="J2037" s="41" t="str">
        <f aca="false">IF(G2037="","",IFERROR(IF(ISNUMBER(SEARCH(Assumptions!$C$5,G2037)),Assumptions!$D$5,IF(ISNUMBER(SEARCH(Assumptions!$C$6,G2037)),Assumptions!$D$6,IF(ISNUMBER(SEARCH(Assumptions!$C$7,G2037)),Assumptions!$D$7,"Other Services"))),"Other Services"))</f>
        <v/>
      </c>
    </row>
    <row r="2038" customFormat="false" ht="15" hidden="false" customHeight="false" outlineLevel="0" collapsed="false">
      <c r="F2038" s="41" t="str">
        <f aca="false">IF(E2038="","",IFERROR(VLOOKUP(E2038,Assumptions!$G$5:$H$16,2,0),"Other"))</f>
        <v/>
      </c>
      <c r="J2038" s="41" t="str">
        <f aca="false">IF(G2038="","",IFERROR(IF(ISNUMBER(SEARCH(Assumptions!$C$5,G2038)),Assumptions!$D$5,IF(ISNUMBER(SEARCH(Assumptions!$C$6,G2038)),Assumptions!$D$6,IF(ISNUMBER(SEARCH(Assumptions!$C$7,G2038)),Assumptions!$D$7,"Other Services"))),"Other Services"))</f>
        <v/>
      </c>
    </row>
    <row r="2039" customFormat="false" ht="15" hidden="false" customHeight="false" outlineLevel="0" collapsed="false">
      <c r="F2039" s="41" t="str">
        <f aca="false">IF(E2039="","",IFERROR(VLOOKUP(E2039,Assumptions!$G$5:$H$16,2,0),"Other"))</f>
        <v/>
      </c>
      <c r="J2039" s="41" t="str">
        <f aca="false">IF(G2039="","",IFERROR(IF(ISNUMBER(SEARCH(Assumptions!$C$5,G2039)),Assumptions!$D$5,IF(ISNUMBER(SEARCH(Assumptions!$C$6,G2039)),Assumptions!$D$6,IF(ISNUMBER(SEARCH(Assumptions!$C$7,G2039)),Assumptions!$D$7,"Other Services"))),"Other Services"))</f>
        <v/>
      </c>
    </row>
    <row r="2040" customFormat="false" ht="15" hidden="false" customHeight="false" outlineLevel="0" collapsed="false">
      <c r="F2040" s="41" t="str">
        <f aca="false">IF(E2040="","",IFERROR(VLOOKUP(E2040,Assumptions!$G$5:$H$16,2,0),"Other"))</f>
        <v/>
      </c>
      <c r="J2040" s="41" t="str">
        <f aca="false">IF(G2040="","",IFERROR(IF(ISNUMBER(SEARCH(Assumptions!$C$5,G2040)),Assumptions!$D$5,IF(ISNUMBER(SEARCH(Assumptions!$C$6,G2040)),Assumptions!$D$6,IF(ISNUMBER(SEARCH(Assumptions!$C$7,G2040)),Assumptions!$D$7,"Other Services"))),"Other Services"))</f>
        <v/>
      </c>
    </row>
    <row r="2041" customFormat="false" ht="15" hidden="false" customHeight="false" outlineLevel="0" collapsed="false">
      <c r="F2041" s="41" t="str">
        <f aca="false">IF(E2041="","",IFERROR(VLOOKUP(E2041,Assumptions!$G$5:$H$16,2,0),"Other"))</f>
        <v/>
      </c>
      <c r="J2041" s="41" t="str">
        <f aca="false">IF(G2041="","",IFERROR(IF(ISNUMBER(SEARCH(Assumptions!$C$5,G2041)),Assumptions!$D$5,IF(ISNUMBER(SEARCH(Assumptions!$C$6,G2041)),Assumptions!$D$6,IF(ISNUMBER(SEARCH(Assumptions!$C$7,G2041)),Assumptions!$D$7,"Other Services"))),"Other Services"))</f>
        <v/>
      </c>
    </row>
    <row r="2042" customFormat="false" ht="15" hidden="false" customHeight="false" outlineLevel="0" collapsed="false">
      <c r="F2042" s="41" t="str">
        <f aca="false">IF(E2042="","",IFERROR(VLOOKUP(E2042,Assumptions!$G$5:$H$16,2,0),"Other"))</f>
        <v/>
      </c>
      <c r="J2042" s="41" t="str">
        <f aca="false">IF(G2042="","",IFERROR(IF(ISNUMBER(SEARCH(Assumptions!$C$5,G2042)),Assumptions!$D$5,IF(ISNUMBER(SEARCH(Assumptions!$C$6,G2042)),Assumptions!$D$6,IF(ISNUMBER(SEARCH(Assumptions!$C$7,G2042)),Assumptions!$D$7,"Other Services"))),"Other Services"))</f>
        <v/>
      </c>
    </row>
    <row r="2043" customFormat="false" ht="15" hidden="false" customHeight="false" outlineLevel="0" collapsed="false">
      <c r="F2043" s="41" t="str">
        <f aca="false">IF(E2043="","",IFERROR(VLOOKUP(E2043,Assumptions!$G$5:$H$16,2,0),"Other"))</f>
        <v/>
      </c>
      <c r="J2043" s="41" t="str">
        <f aca="false">IF(G2043="","",IFERROR(IF(ISNUMBER(SEARCH(Assumptions!$C$5,G2043)),Assumptions!$D$5,IF(ISNUMBER(SEARCH(Assumptions!$C$6,G2043)),Assumptions!$D$6,IF(ISNUMBER(SEARCH(Assumptions!$C$7,G2043)),Assumptions!$D$7,"Other Services"))),"Other Services"))</f>
        <v/>
      </c>
    </row>
    <row r="2044" customFormat="false" ht="15" hidden="false" customHeight="false" outlineLevel="0" collapsed="false">
      <c r="F2044" s="41" t="str">
        <f aca="false">IF(E2044="","",IFERROR(VLOOKUP(E2044,Assumptions!$G$5:$H$16,2,0),"Other"))</f>
        <v/>
      </c>
      <c r="J2044" s="41" t="str">
        <f aca="false">IF(G2044="","",IFERROR(IF(ISNUMBER(SEARCH(Assumptions!$C$5,G2044)),Assumptions!$D$5,IF(ISNUMBER(SEARCH(Assumptions!$C$6,G2044)),Assumptions!$D$6,IF(ISNUMBER(SEARCH(Assumptions!$C$7,G2044)),Assumptions!$D$7,"Other Services"))),"Other Services"))</f>
        <v/>
      </c>
    </row>
    <row r="2045" customFormat="false" ht="15" hidden="false" customHeight="false" outlineLevel="0" collapsed="false">
      <c r="F2045" s="41" t="str">
        <f aca="false">IF(E2045="","",IFERROR(VLOOKUP(E2045,Assumptions!$G$5:$H$16,2,0),"Other"))</f>
        <v/>
      </c>
      <c r="J2045" s="41" t="str">
        <f aca="false">IF(G2045="","",IFERROR(IF(ISNUMBER(SEARCH(Assumptions!$C$5,G2045)),Assumptions!$D$5,IF(ISNUMBER(SEARCH(Assumptions!$C$6,G2045)),Assumptions!$D$6,IF(ISNUMBER(SEARCH(Assumptions!$C$7,G2045)),Assumptions!$D$7,"Other Services"))),"Other Services"))</f>
        <v/>
      </c>
    </row>
    <row r="2046" customFormat="false" ht="15" hidden="false" customHeight="false" outlineLevel="0" collapsed="false">
      <c r="F2046" s="41" t="str">
        <f aca="false">IF(E2046="","",IFERROR(VLOOKUP(E2046,Assumptions!$G$5:$H$16,2,0),"Other"))</f>
        <v/>
      </c>
      <c r="J2046" s="41" t="str">
        <f aca="false">IF(G2046="","",IFERROR(IF(ISNUMBER(SEARCH(Assumptions!$C$5,G2046)),Assumptions!$D$5,IF(ISNUMBER(SEARCH(Assumptions!$C$6,G2046)),Assumptions!$D$6,IF(ISNUMBER(SEARCH(Assumptions!$C$7,G2046)),Assumptions!$D$7,"Other Services"))),"Other Services"))</f>
        <v/>
      </c>
    </row>
    <row r="2047" customFormat="false" ht="15" hidden="false" customHeight="false" outlineLevel="0" collapsed="false">
      <c r="F2047" s="41" t="str">
        <f aca="false">IF(E2047="","",IFERROR(VLOOKUP(E2047,Assumptions!$G$5:$H$16,2,0),"Other"))</f>
        <v/>
      </c>
      <c r="J2047" s="41" t="str">
        <f aca="false">IF(G2047="","",IFERROR(IF(ISNUMBER(SEARCH(Assumptions!$C$5,G2047)),Assumptions!$D$5,IF(ISNUMBER(SEARCH(Assumptions!$C$6,G2047)),Assumptions!$D$6,IF(ISNUMBER(SEARCH(Assumptions!$C$7,G2047)),Assumptions!$D$7,"Other Services"))),"Other Services"))</f>
        <v/>
      </c>
    </row>
    <row r="2048" customFormat="false" ht="15" hidden="false" customHeight="false" outlineLevel="0" collapsed="false">
      <c r="F2048" s="41" t="str">
        <f aca="false">IF(E2048="","",IFERROR(VLOOKUP(E2048,Assumptions!$G$5:$H$16,2,0),"Other"))</f>
        <v/>
      </c>
      <c r="J2048" s="41" t="str">
        <f aca="false">IF(G2048="","",IFERROR(IF(ISNUMBER(SEARCH(Assumptions!$C$5,G2048)),Assumptions!$D$5,IF(ISNUMBER(SEARCH(Assumptions!$C$6,G2048)),Assumptions!$D$6,IF(ISNUMBER(SEARCH(Assumptions!$C$7,G2048)),Assumptions!$D$7,"Other Services"))),"Other Services"))</f>
        <v/>
      </c>
    </row>
    <row r="2049" customFormat="false" ht="15" hidden="false" customHeight="false" outlineLevel="0" collapsed="false">
      <c r="F2049" s="41" t="str">
        <f aca="false">IF(E2049="","",IFERROR(VLOOKUP(E2049,Assumptions!$G$5:$H$16,2,0),"Other"))</f>
        <v/>
      </c>
      <c r="J2049" s="41" t="str">
        <f aca="false">IF(G2049="","",IFERROR(IF(ISNUMBER(SEARCH(Assumptions!$C$5,G2049)),Assumptions!$D$5,IF(ISNUMBER(SEARCH(Assumptions!$C$6,G2049)),Assumptions!$D$6,IF(ISNUMBER(SEARCH(Assumptions!$C$7,G2049)),Assumptions!$D$7,"Other Services"))),"Other Services"))</f>
        <v/>
      </c>
    </row>
    <row r="2050" customFormat="false" ht="15" hidden="false" customHeight="false" outlineLevel="0" collapsed="false">
      <c r="F2050" s="41" t="str">
        <f aca="false">IF(E2050="","",IFERROR(VLOOKUP(E2050,Assumptions!$G$5:$H$16,2,0),"Other"))</f>
        <v/>
      </c>
      <c r="J2050" s="41" t="str">
        <f aca="false">IF(G2050="","",IFERROR(IF(ISNUMBER(SEARCH(Assumptions!$C$5,G2050)),Assumptions!$D$5,IF(ISNUMBER(SEARCH(Assumptions!$C$6,G2050)),Assumptions!$D$6,IF(ISNUMBER(SEARCH(Assumptions!$C$7,G2050)),Assumptions!$D$7,"Other Services"))),"Other Services"))</f>
        <v/>
      </c>
    </row>
    <row r="2051" customFormat="false" ht="15" hidden="false" customHeight="false" outlineLevel="0" collapsed="false">
      <c r="F2051" s="41" t="str">
        <f aca="false">IF(E2051="","",IFERROR(VLOOKUP(E2051,Assumptions!$G$5:$H$16,2,0),"Other"))</f>
        <v/>
      </c>
      <c r="J2051" s="41" t="str">
        <f aca="false">IF(G2051="","",IFERROR(IF(ISNUMBER(SEARCH(Assumptions!$C$5,G2051)),Assumptions!$D$5,IF(ISNUMBER(SEARCH(Assumptions!$C$6,G2051)),Assumptions!$D$6,IF(ISNUMBER(SEARCH(Assumptions!$C$7,G2051)),Assumptions!$D$7,"Other Services"))),"Other Services"))</f>
        <v/>
      </c>
    </row>
    <row r="2052" customFormat="false" ht="15" hidden="false" customHeight="false" outlineLevel="0" collapsed="false">
      <c r="F2052" s="41" t="str">
        <f aca="false">IF(E2052="","",IFERROR(VLOOKUP(E2052,Assumptions!$G$5:$H$16,2,0),"Other"))</f>
        <v/>
      </c>
      <c r="J2052" s="41" t="str">
        <f aca="false">IF(G2052="","",IFERROR(IF(ISNUMBER(SEARCH(Assumptions!$C$5,G2052)),Assumptions!$D$5,IF(ISNUMBER(SEARCH(Assumptions!$C$6,G2052)),Assumptions!$D$6,IF(ISNUMBER(SEARCH(Assumptions!$C$7,G2052)),Assumptions!$D$7,"Other Services"))),"Other Services"))</f>
        <v/>
      </c>
    </row>
    <row r="2053" customFormat="false" ht="15" hidden="false" customHeight="false" outlineLevel="0" collapsed="false">
      <c r="F2053" s="41" t="str">
        <f aca="false">IF(E2053="","",IFERROR(VLOOKUP(E2053,Assumptions!$G$5:$H$16,2,0),"Other"))</f>
        <v/>
      </c>
      <c r="J2053" s="41" t="str">
        <f aca="false">IF(G2053="","",IFERROR(IF(ISNUMBER(SEARCH(Assumptions!$C$5,G2053)),Assumptions!$D$5,IF(ISNUMBER(SEARCH(Assumptions!$C$6,G2053)),Assumptions!$D$6,IF(ISNUMBER(SEARCH(Assumptions!$C$7,G2053)),Assumptions!$D$7,"Other Services"))),"Other Services"))</f>
        <v/>
      </c>
    </row>
    <row r="2054" customFormat="false" ht="15" hidden="false" customHeight="false" outlineLevel="0" collapsed="false">
      <c r="F2054" s="41" t="str">
        <f aca="false">IF(E2054="","",IFERROR(VLOOKUP(E2054,Assumptions!$G$5:$H$16,2,0),"Other"))</f>
        <v/>
      </c>
      <c r="J2054" s="41" t="str">
        <f aca="false">IF(G2054="","",IFERROR(IF(ISNUMBER(SEARCH(Assumptions!$C$5,G2054)),Assumptions!$D$5,IF(ISNUMBER(SEARCH(Assumptions!$C$6,G2054)),Assumptions!$D$6,IF(ISNUMBER(SEARCH(Assumptions!$C$7,G2054)),Assumptions!$D$7,"Other Services"))),"Other Services"))</f>
        <v/>
      </c>
    </row>
    <row r="2055" customFormat="false" ht="15" hidden="false" customHeight="false" outlineLevel="0" collapsed="false">
      <c r="F2055" s="41" t="str">
        <f aca="false">IF(E2055="","",IFERROR(VLOOKUP(E2055,Assumptions!$G$5:$H$16,2,0),"Other"))</f>
        <v/>
      </c>
      <c r="J2055" s="41" t="str">
        <f aca="false">IF(G2055="","",IFERROR(IF(ISNUMBER(SEARCH(Assumptions!$C$5,G2055)),Assumptions!$D$5,IF(ISNUMBER(SEARCH(Assumptions!$C$6,G2055)),Assumptions!$D$6,IF(ISNUMBER(SEARCH(Assumptions!$C$7,G2055)),Assumptions!$D$7,"Other Services"))),"Other Services"))</f>
        <v/>
      </c>
    </row>
    <row r="2056" customFormat="false" ht="15" hidden="false" customHeight="false" outlineLevel="0" collapsed="false">
      <c r="F2056" s="41" t="str">
        <f aca="false">IF(E2056="","",IFERROR(VLOOKUP(E2056,Assumptions!$G$5:$H$16,2,0),"Other"))</f>
        <v/>
      </c>
      <c r="J2056" s="41" t="str">
        <f aca="false">IF(G2056="","",IFERROR(IF(ISNUMBER(SEARCH(Assumptions!$C$5,G2056)),Assumptions!$D$5,IF(ISNUMBER(SEARCH(Assumptions!$C$6,G2056)),Assumptions!$D$6,IF(ISNUMBER(SEARCH(Assumptions!$C$7,G2056)),Assumptions!$D$7,"Other Services"))),"Other Services"))</f>
        <v/>
      </c>
    </row>
    <row r="2057" customFormat="false" ht="15" hidden="false" customHeight="false" outlineLevel="0" collapsed="false">
      <c r="F2057" s="41" t="str">
        <f aca="false">IF(E2057="","",IFERROR(VLOOKUP(E2057,Assumptions!$G$5:$H$16,2,0),"Other"))</f>
        <v/>
      </c>
      <c r="J2057" s="41" t="str">
        <f aca="false">IF(G2057="","",IFERROR(IF(ISNUMBER(SEARCH(Assumptions!$C$5,G2057)),Assumptions!$D$5,IF(ISNUMBER(SEARCH(Assumptions!$C$6,G2057)),Assumptions!$D$6,IF(ISNUMBER(SEARCH(Assumptions!$C$7,G2057)),Assumptions!$D$7,"Other Services"))),"Other Services"))</f>
        <v/>
      </c>
    </row>
    <row r="2058" customFormat="false" ht="15" hidden="false" customHeight="false" outlineLevel="0" collapsed="false">
      <c r="F2058" s="41" t="str">
        <f aca="false">IF(E2058="","",IFERROR(VLOOKUP(E2058,Assumptions!$G$5:$H$16,2,0),"Other"))</f>
        <v/>
      </c>
      <c r="J2058" s="41" t="str">
        <f aca="false">IF(G2058="","",IFERROR(IF(ISNUMBER(SEARCH(Assumptions!$C$5,G2058)),Assumptions!$D$5,IF(ISNUMBER(SEARCH(Assumptions!$C$6,G2058)),Assumptions!$D$6,IF(ISNUMBER(SEARCH(Assumptions!$C$7,G2058)),Assumptions!$D$7,"Other Services"))),"Other Services"))</f>
        <v/>
      </c>
    </row>
    <row r="2059" customFormat="false" ht="15" hidden="false" customHeight="false" outlineLevel="0" collapsed="false">
      <c r="F2059" s="41" t="str">
        <f aca="false">IF(E2059="","",IFERROR(VLOOKUP(E2059,Assumptions!$G$5:$H$16,2,0),"Other"))</f>
        <v/>
      </c>
      <c r="J2059" s="41" t="str">
        <f aca="false">IF(G2059="","",IFERROR(IF(ISNUMBER(SEARCH(Assumptions!$C$5,G2059)),Assumptions!$D$5,IF(ISNUMBER(SEARCH(Assumptions!$C$6,G2059)),Assumptions!$D$6,IF(ISNUMBER(SEARCH(Assumptions!$C$7,G2059)),Assumptions!$D$7,"Other Services"))),"Other Services"))</f>
        <v/>
      </c>
    </row>
    <row r="2060" customFormat="false" ht="15" hidden="false" customHeight="false" outlineLevel="0" collapsed="false">
      <c r="F2060" s="41" t="str">
        <f aca="false">IF(E2060="","",IFERROR(VLOOKUP(E2060,Assumptions!$G$5:$H$16,2,0),"Other"))</f>
        <v/>
      </c>
      <c r="J2060" s="41" t="str">
        <f aca="false">IF(G2060="","",IFERROR(IF(ISNUMBER(SEARCH(Assumptions!$C$5,G2060)),Assumptions!$D$5,IF(ISNUMBER(SEARCH(Assumptions!$C$6,G2060)),Assumptions!$D$6,IF(ISNUMBER(SEARCH(Assumptions!$C$7,G2060)),Assumptions!$D$7,"Other Services"))),"Other Services"))</f>
        <v/>
      </c>
    </row>
    <row r="2061" customFormat="false" ht="15" hidden="false" customHeight="false" outlineLevel="0" collapsed="false">
      <c r="F2061" s="41" t="str">
        <f aca="false">IF(E2061="","",IFERROR(VLOOKUP(E2061,Assumptions!$G$5:$H$16,2,0),"Other"))</f>
        <v/>
      </c>
      <c r="J2061" s="41" t="str">
        <f aca="false">IF(G2061="","",IFERROR(IF(ISNUMBER(SEARCH(Assumptions!$C$5,G2061)),Assumptions!$D$5,IF(ISNUMBER(SEARCH(Assumptions!$C$6,G2061)),Assumptions!$D$6,IF(ISNUMBER(SEARCH(Assumptions!$C$7,G2061)),Assumptions!$D$7,"Other Services"))),"Other Services"))</f>
        <v/>
      </c>
    </row>
    <row r="2062" customFormat="false" ht="15" hidden="false" customHeight="false" outlineLevel="0" collapsed="false">
      <c r="F2062" s="41" t="str">
        <f aca="false">IF(E2062="","",IFERROR(VLOOKUP(E2062,Assumptions!$G$5:$H$16,2,0),"Other"))</f>
        <v/>
      </c>
      <c r="J2062" s="41" t="str">
        <f aca="false">IF(G2062="","",IFERROR(IF(ISNUMBER(SEARCH(Assumptions!$C$5,G2062)),Assumptions!$D$5,IF(ISNUMBER(SEARCH(Assumptions!$C$6,G2062)),Assumptions!$D$6,IF(ISNUMBER(SEARCH(Assumptions!$C$7,G2062)),Assumptions!$D$7,"Other Services"))),"Other Services"))</f>
        <v/>
      </c>
    </row>
    <row r="2063" customFormat="false" ht="15" hidden="false" customHeight="false" outlineLevel="0" collapsed="false">
      <c r="F2063" s="41" t="str">
        <f aca="false">IF(E2063="","",IFERROR(VLOOKUP(E2063,Assumptions!$G$5:$H$16,2,0),"Other"))</f>
        <v/>
      </c>
      <c r="J2063" s="41" t="str">
        <f aca="false">IF(G2063="","",IFERROR(IF(ISNUMBER(SEARCH(Assumptions!$C$5,G2063)),Assumptions!$D$5,IF(ISNUMBER(SEARCH(Assumptions!$C$6,G2063)),Assumptions!$D$6,IF(ISNUMBER(SEARCH(Assumptions!$C$7,G2063)),Assumptions!$D$7,"Other Services"))),"Other Services"))</f>
        <v/>
      </c>
    </row>
    <row r="2064" customFormat="false" ht="15" hidden="false" customHeight="false" outlineLevel="0" collapsed="false">
      <c r="F2064" s="41" t="str">
        <f aca="false">IF(E2064="","",IFERROR(VLOOKUP(E2064,Assumptions!$G$5:$H$16,2,0),"Other"))</f>
        <v/>
      </c>
      <c r="J2064" s="41" t="str">
        <f aca="false">IF(G2064="","",IFERROR(IF(ISNUMBER(SEARCH(Assumptions!$C$5,G2064)),Assumptions!$D$5,IF(ISNUMBER(SEARCH(Assumptions!$C$6,G2064)),Assumptions!$D$6,IF(ISNUMBER(SEARCH(Assumptions!$C$7,G2064)),Assumptions!$D$7,"Other Services"))),"Other Services"))</f>
        <v/>
      </c>
    </row>
    <row r="2065" customFormat="false" ht="15" hidden="false" customHeight="false" outlineLevel="0" collapsed="false">
      <c r="F2065" s="41" t="str">
        <f aca="false">IF(E2065="","",IFERROR(VLOOKUP(E2065,Assumptions!$G$5:$H$16,2,0),"Other"))</f>
        <v/>
      </c>
      <c r="J2065" s="41" t="str">
        <f aca="false">IF(G2065="","",IFERROR(IF(ISNUMBER(SEARCH(Assumptions!$C$5,G2065)),Assumptions!$D$5,IF(ISNUMBER(SEARCH(Assumptions!$C$6,G2065)),Assumptions!$D$6,IF(ISNUMBER(SEARCH(Assumptions!$C$7,G2065)),Assumptions!$D$7,"Other Services"))),"Other Services"))</f>
        <v/>
      </c>
    </row>
    <row r="2066" customFormat="false" ht="15" hidden="false" customHeight="false" outlineLevel="0" collapsed="false">
      <c r="F2066" s="41" t="str">
        <f aca="false">IF(E2066="","",IFERROR(VLOOKUP(E2066,Assumptions!$G$5:$H$16,2,0),"Other"))</f>
        <v/>
      </c>
      <c r="J2066" s="41" t="str">
        <f aca="false">IF(G2066="","",IFERROR(IF(ISNUMBER(SEARCH(Assumptions!$C$5,G2066)),Assumptions!$D$5,IF(ISNUMBER(SEARCH(Assumptions!$C$6,G2066)),Assumptions!$D$6,IF(ISNUMBER(SEARCH(Assumptions!$C$7,G2066)),Assumptions!$D$7,"Other Services"))),"Other Services"))</f>
        <v/>
      </c>
    </row>
    <row r="2067" customFormat="false" ht="15" hidden="false" customHeight="false" outlineLevel="0" collapsed="false">
      <c r="F2067" s="41" t="str">
        <f aca="false">IF(E2067="","",IFERROR(VLOOKUP(E2067,Assumptions!$G$5:$H$16,2,0),"Other"))</f>
        <v/>
      </c>
      <c r="J2067" s="41" t="str">
        <f aca="false">IF(G2067="","",IFERROR(IF(ISNUMBER(SEARCH(Assumptions!$C$5,G2067)),Assumptions!$D$5,IF(ISNUMBER(SEARCH(Assumptions!$C$6,G2067)),Assumptions!$D$6,IF(ISNUMBER(SEARCH(Assumptions!$C$7,G2067)),Assumptions!$D$7,"Other Services"))),"Other Services"))</f>
        <v/>
      </c>
    </row>
    <row r="2068" customFormat="false" ht="15" hidden="false" customHeight="false" outlineLevel="0" collapsed="false">
      <c r="F2068" s="41" t="str">
        <f aca="false">IF(E2068="","",IFERROR(VLOOKUP(E2068,Assumptions!$G$5:$H$16,2,0),"Other"))</f>
        <v/>
      </c>
      <c r="J2068" s="41" t="str">
        <f aca="false">IF(G2068="","",IFERROR(IF(ISNUMBER(SEARCH(Assumptions!$C$5,G2068)),Assumptions!$D$5,IF(ISNUMBER(SEARCH(Assumptions!$C$6,G2068)),Assumptions!$D$6,IF(ISNUMBER(SEARCH(Assumptions!$C$7,G2068)),Assumptions!$D$7,"Other Services"))),"Other Services"))</f>
        <v/>
      </c>
    </row>
    <row r="2069" customFormat="false" ht="15" hidden="false" customHeight="false" outlineLevel="0" collapsed="false">
      <c r="F2069" s="41" t="str">
        <f aca="false">IF(E2069="","",IFERROR(VLOOKUP(E2069,Assumptions!$G$5:$H$16,2,0),"Other"))</f>
        <v/>
      </c>
      <c r="J2069" s="41" t="str">
        <f aca="false">IF(G2069="","",IFERROR(IF(ISNUMBER(SEARCH(Assumptions!$C$5,G2069)),Assumptions!$D$5,IF(ISNUMBER(SEARCH(Assumptions!$C$6,G2069)),Assumptions!$D$6,IF(ISNUMBER(SEARCH(Assumptions!$C$7,G2069)),Assumptions!$D$7,"Other Services"))),"Other Services"))</f>
        <v/>
      </c>
    </row>
    <row r="2070" customFormat="false" ht="15" hidden="false" customHeight="false" outlineLevel="0" collapsed="false">
      <c r="F2070" s="41" t="str">
        <f aca="false">IF(E2070="","",IFERROR(VLOOKUP(E2070,Assumptions!$G$5:$H$16,2,0),"Other"))</f>
        <v/>
      </c>
      <c r="J2070" s="41" t="str">
        <f aca="false">IF(G2070="","",IFERROR(IF(ISNUMBER(SEARCH(Assumptions!$C$5,G2070)),Assumptions!$D$5,IF(ISNUMBER(SEARCH(Assumptions!$C$6,G2070)),Assumptions!$D$6,IF(ISNUMBER(SEARCH(Assumptions!$C$7,G2070)),Assumptions!$D$7,"Other Services"))),"Other Services"))</f>
        <v/>
      </c>
    </row>
    <row r="2071" customFormat="false" ht="15" hidden="false" customHeight="false" outlineLevel="0" collapsed="false">
      <c r="F2071" s="41" t="str">
        <f aca="false">IF(E2071="","",IFERROR(VLOOKUP(E2071,Assumptions!$G$5:$H$16,2,0),"Other"))</f>
        <v/>
      </c>
      <c r="J2071" s="41" t="str">
        <f aca="false">IF(G2071="","",IFERROR(IF(ISNUMBER(SEARCH(Assumptions!$C$5,G2071)),Assumptions!$D$5,IF(ISNUMBER(SEARCH(Assumptions!$C$6,G2071)),Assumptions!$D$6,IF(ISNUMBER(SEARCH(Assumptions!$C$7,G2071)),Assumptions!$D$7,"Other Services"))),"Other Services"))</f>
        <v/>
      </c>
    </row>
    <row r="2072" customFormat="false" ht="15" hidden="false" customHeight="false" outlineLevel="0" collapsed="false">
      <c r="F2072" s="41" t="str">
        <f aca="false">IF(E2072="","",IFERROR(VLOOKUP(E2072,Assumptions!$G$5:$H$16,2,0),"Other"))</f>
        <v/>
      </c>
      <c r="J2072" s="41" t="str">
        <f aca="false">IF(G2072="","",IFERROR(IF(ISNUMBER(SEARCH(Assumptions!$C$5,G2072)),Assumptions!$D$5,IF(ISNUMBER(SEARCH(Assumptions!$C$6,G2072)),Assumptions!$D$6,IF(ISNUMBER(SEARCH(Assumptions!$C$7,G2072)),Assumptions!$D$7,"Other Services"))),"Other Services"))</f>
        <v/>
      </c>
    </row>
    <row r="2073" customFormat="false" ht="15" hidden="false" customHeight="false" outlineLevel="0" collapsed="false">
      <c r="F2073" s="41" t="str">
        <f aca="false">IF(E2073="","",IFERROR(VLOOKUP(E2073,Assumptions!$G$5:$H$16,2,0),"Other"))</f>
        <v/>
      </c>
      <c r="J2073" s="41" t="str">
        <f aca="false">IF(G2073="","",IFERROR(IF(ISNUMBER(SEARCH(Assumptions!$C$5,G2073)),Assumptions!$D$5,IF(ISNUMBER(SEARCH(Assumptions!$C$6,G2073)),Assumptions!$D$6,IF(ISNUMBER(SEARCH(Assumptions!$C$7,G2073)),Assumptions!$D$7,"Other Services"))),"Other Services"))</f>
        <v/>
      </c>
    </row>
    <row r="2074" customFormat="false" ht="15" hidden="false" customHeight="false" outlineLevel="0" collapsed="false">
      <c r="F2074" s="41" t="str">
        <f aca="false">IF(E2074="","",IFERROR(VLOOKUP(E2074,Assumptions!$G$5:$H$16,2,0),"Other"))</f>
        <v/>
      </c>
      <c r="J2074" s="41" t="str">
        <f aca="false">IF(G2074="","",IFERROR(IF(ISNUMBER(SEARCH(Assumptions!$C$5,G2074)),Assumptions!$D$5,IF(ISNUMBER(SEARCH(Assumptions!$C$6,G2074)),Assumptions!$D$6,IF(ISNUMBER(SEARCH(Assumptions!$C$7,G2074)),Assumptions!$D$7,"Other Services"))),"Other Services"))</f>
        <v/>
      </c>
    </row>
    <row r="2075" customFormat="false" ht="15" hidden="false" customHeight="false" outlineLevel="0" collapsed="false">
      <c r="F2075" s="41" t="str">
        <f aca="false">IF(E2075="","",IFERROR(VLOOKUP(E2075,Assumptions!$G$5:$H$16,2,0),"Other"))</f>
        <v/>
      </c>
      <c r="J2075" s="41" t="str">
        <f aca="false">IF(G2075="","",IFERROR(IF(ISNUMBER(SEARCH(Assumptions!$C$5,G2075)),Assumptions!$D$5,IF(ISNUMBER(SEARCH(Assumptions!$C$6,G2075)),Assumptions!$D$6,IF(ISNUMBER(SEARCH(Assumptions!$C$7,G2075)),Assumptions!$D$7,"Other Services"))),"Other Services"))</f>
        <v/>
      </c>
    </row>
    <row r="2076" customFormat="false" ht="15" hidden="false" customHeight="false" outlineLevel="0" collapsed="false">
      <c r="F2076" s="41" t="str">
        <f aca="false">IF(E2076="","",IFERROR(VLOOKUP(E2076,Assumptions!$G$5:$H$16,2,0),"Other"))</f>
        <v/>
      </c>
      <c r="J2076" s="41" t="str">
        <f aca="false">IF(G2076="","",IFERROR(IF(ISNUMBER(SEARCH(Assumptions!$C$5,G2076)),Assumptions!$D$5,IF(ISNUMBER(SEARCH(Assumptions!$C$6,G2076)),Assumptions!$D$6,IF(ISNUMBER(SEARCH(Assumptions!$C$7,G2076)),Assumptions!$D$7,"Other Services"))),"Other Services"))</f>
        <v/>
      </c>
    </row>
    <row r="2077" customFormat="false" ht="15" hidden="false" customHeight="false" outlineLevel="0" collapsed="false">
      <c r="F2077" s="41" t="str">
        <f aca="false">IF(E2077="","",IFERROR(VLOOKUP(E2077,Assumptions!$G$5:$H$16,2,0),"Other"))</f>
        <v/>
      </c>
      <c r="J2077" s="41" t="str">
        <f aca="false">IF(G2077="","",IFERROR(IF(ISNUMBER(SEARCH(Assumptions!$C$5,G2077)),Assumptions!$D$5,IF(ISNUMBER(SEARCH(Assumptions!$C$6,G2077)),Assumptions!$D$6,IF(ISNUMBER(SEARCH(Assumptions!$C$7,G2077)),Assumptions!$D$7,"Other Services"))),"Other Services"))</f>
        <v/>
      </c>
    </row>
    <row r="2078" customFormat="false" ht="15" hidden="false" customHeight="false" outlineLevel="0" collapsed="false">
      <c r="F2078" s="41" t="str">
        <f aca="false">IF(E2078="","",IFERROR(VLOOKUP(E2078,Assumptions!$G$5:$H$16,2,0),"Other"))</f>
        <v/>
      </c>
      <c r="J2078" s="41" t="str">
        <f aca="false">IF(G2078="","",IFERROR(IF(ISNUMBER(SEARCH(Assumptions!$C$5,G2078)),Assumptions!$D$5,IF(ISNUMBER(SEARCH(Assumptions!$C$6,G2078)),Assumptions!$D$6,IF(ISNUMBER(SEARCH(Assumptions!$C$7,G2078)),Assumptions!$D$7,"Other Services"))),"Other Services"))</f>
        <v/>
      </c>
    </row>
    <row r="2079" customFormat="false" ht="15" hidden="false" customHeight="false" outlineLevel="0" collapsed="false">
      <c r="F2079" s="41" t="str">
        <f aca="false">IF(E2079="","",IFERROR(VLOOKUP(E2079,Assumptions!$G$5:$H$16,2,0),"Other"))</f>
        <v/>
      </c>
      <c r="J2079" s="41" t="str">
        <f aca="false">IF(G2079="","",IFERROR(IF(ISNUMBER(SEARCH(Assumptions!$C$5,G2079)),Assumptions!$D$5,IF(ISNUMBER(SEARCH(Assumptions!$C$6,G2079)),Assumptions!$D$6,IF(ISNUMBER(SEARCH(Assumptions!$C$7,G2079)),Assumptions!$D$7,"Other Services"))),"Other Services"))</f>
        <v/>
      </c>
    </row>
    <row r="2080" customFormat="false" ht="15" hidden="false" customHeight="false" outlineLevel="0" collapsed="false">
      <c r="F2080" s="41" t="str">
        <f aca="false">IF(E2080="","",IFERROR(VLOOKUP(E2080,Assumptions!$G$5:$H$16,2,0),"Other"))</f>
        <v/>
      </c>
      <c r="J2080" s="41" t="str">
        <f aca="false">IF(G2080="","",IFERROR(IF(ISNUMBER(SEARCH(Assumptions!$C$5,G2080)),Assumptions!$D$5,IF(ISNUMBER(SEARCH(Assumptions!$C$6,G2080)),Assumptions!$D$6,IF(ISNUMBER(SEARCH(Assumptions!$C$7,G2080)),Assumptions!$D$7,"Other Services"))),"Other Services"))</f>
        <v/>
      </c>
    </row>
    <row r="2081" customFormat="false" ht="15" hidden="false" customHeight="false" outlineLevel="0" collapsed="false">
      <c r="F2081" s="41" t="str">
        <f aca="false">IF(E2081="","",IFERROR(VLOOKUP(E2081,Assumptions!$G$5:$H$16,2,0),"Other"))</f>
        <v/>
      </c>
      <c r="J2081" s="41" t="str">
        <f aca="false">IF(G2081="","",IFERROR(IF(ISNUMBER(SEARCH(Assumptions!$C$5,G2081)),Assumptions!$D$5,IF(ISNUMBER(SEARCH(Assumptions!$C$6,G2081)),Assumptions!$D$6,IF(ISNUMBER(SEARCH(Assumptions!$C$7,G2081)),Assumptions!$D$7,"Other Services"))),"Other Services"))</f>
        <v/>
      </c>
    </row>
    <row r="2082" customFormat="false" ht="15" hidden="false" customHeight="false" outlineLevel="0" collapsed="false">
      <c r="F2082" s="41" t="str">
        <f aca="false">IF(E2082="","",IFERROR(VLOOKUP(E2082,Assumptions!$G$5:$H$16,2,0),"Other"))</f>
        <v/>
      </c>
      <c r="J2082" s="41" t="str">
        <f aca="false">IF(G2082="","",IFERROR(IF(ISNUMBER(SEARCH(Assumptions!$C$5,G2082)),Assumptions!$D$5,IF(ISNUMBER(SEARCH(Assumptions!$C$6,G2082)),Assumptions!$D$6,IF(ISNUMBER(SEARCH(Assumptions!$C$7,G2082)),Assumptions!$D$7,"Other Services"))),"Other Services"))</f>
        <v/>
      </c>
    </row>
    <row r="2083" customFormat="false" ht="15" hidden="false" customHeight="false" outlineLevel="0" collapsed="false">
      <c r="F2083" s="41" t="str">
        <f aca="false">IF(E2083="","",IFERROR(VLOOKUP(E2083,Assumptions!$G$5:$H$16,2,0),"Other"))</f>
        <v/>
      </c>
      <c r="J2083" s="41" t="str">
        <f aca="false">IF(G2083="","",IFERROR(IF(ISNUMBER(SEARCH(Assumptions!$C$5,G2083)),Assumptions!$D$5,IF(ISNUMBER(SEARCH(Assumptions!$C$6,G2083)),Assumptions!$D$6,IF(ISNUMBER(SEARCH(Assumptions!$C$7,G2083)),Assumptions!$D$7,"Other Services"))),"Other Services"))</f>
        <v/>
      </c>
    </row>
    <row r="2084" customFormat="false" ht="15" hidden="false" customHeight="false" outlineLevel="0" collapsed="false">
      <c r="F2084" s="41" t="str">
        <f aca="false">IF(E2084="","",IFERROR(VLOOKUP(E2084,Assumptions!$G$5:$H$16,2,0),"Other"))</f>
        <v/>
      </c>
      <c r="J2084" s="41" t="str">
        <f aca="false">IF(G2084="","",IFERROR(IF(ISNUMBER(SEARCH(Assumptions!$C$5,G2084)),Assumptions!$D$5,IF(ISNUMBER(SEARCH(Assumptions!$C$6,G2084)),Assumptions!$D$6,IF(ISNUMBER(SEARCH(Assumptions!$C$7,G2084)),Assumptions!$D$7,"Other Services"))),"Other Services"))</f>
        <v/>
      </c>
    </row>
    <row r="2085" customFormat="false" ht="15" hidden="false" customHeight="false" outlineLevel="0" collapsed="false">
      <c r="F2085" s="41" t="str">
        <f aca="false">IF(E2085="","",IFERROR(VLOOKUP(E2085,Assumptions!$G$5:$H$16,2,0),"Other"))</f>
        <v/>
      </c>
      <c r="J2085" s="41" t="str">
        <f aca="false">IF(G2085="","",IFERROR(IF(ISNUMBER(SEARCH(Assumptions!$C$5,G2085)),Assumptions!$D$5,IF(ISNUMBER(SEARCH(Assumptions!$C$6,G2085)),Assumptions!$D$6,IF(ISNUMBER(SEARCH(Assumptions!$C$7,G2085)),Assumptions!$D$7,"Other Services"))),"Other Services"))</f>
        <v/>
      </c>
    </row>
    <row r="2086" customFormat="false" ht="15" hidden="false" customHeight="false" outlineLevel="0" collapsed="false">
      <c r="F2086" s="41" t="str">
        <f aca="false">IF(E2086="","",IFERROR(VLOOKUP(E2086,Assumptions!$G$5:$H$16,2,0),"Other"))</f>
        <v/>
      </c>
      <c r="J2086" s="41" t="str">
        <f aca="false">IF(G2086="","",IFERROR(IF(ISNUMBER(SEARCH(Assumptions!$C$5,G2086)),Assumptions!$D$5,IF(ISNUMBER(SEARCH(Assumptions!$C$6,G2086)),Assumptions!$D$6,IF(ISNUMBER(SEARCH(Assumptions!$C$7,G2086)),Assumptions!$D$7,"Other Services"))),"Other Services"))</f>
        <v/>
      </c>
    </row>
    <row r="2087" customFormat="false" ht="15" hidden="false" customHeight="false" outlineLevel="0" collapsed="false">
      <c r="F2087" s="41" t="str">
        <f aca="false">IF(E2087="","",IFERROR(VLOOKUP(E2087,Assumptions!$G$5:$H$16,2,0),"Other"))</f>
        <v/>
      </c>
      <c r="J2087" s="41" t="str">
        <f aca="false">IF(G2087="","",IFERROR(IF(ISNUMBER(SEARCH(Assumptions!$C$5,G2087)),Assumptions!$D$5,IF(ISNUMBER(SEARCH(Assumptions!$C$6,G2087)),Assumptions!$D$6,IF(ISNUMBER(SEARCH(Assumptions!$C$7,G2087)),Assumptions!$D$7,"Other Services"))),"Other Services"))</f>
        <v/>
      </c>
    </row>
    <row r="2088" customFormat="false" ht="15" hidden="false" customHeight="false" outlineLevel="0" collapsed="false">
      <c r="F2088" s="41" t="str">
        <f aca="false">IF(E2088="","",IFERROR(VLOOKUP(E2088,Assumptions!$G$5:$H$16,2,0),"Other"))</f>
        <v/>
      </c>
      <c r="J2088" s="41" t="str">
        <f aca="false">IF(G2088="","",IFERROR(IF(ISNUMBER(SEARCH(Assumptions!$C$5,G2088)),Assumptions!$D$5,IF(ISNUMBER(SEARCH(Assumptions!$C$6,G2088)),Assumptions!$D$6,IF(ISNUMBER(SEARCH(Assumptions!$C$7,G2088)),Assumptions!$D$7,"Other Services"))),"Other Services"))</f>
        <v/>
      </c>
    </row>
    <row r="2089" customFormat="false" ht="15" hidden="false" customHeight="false" outlineLevel="0" collapsed="false">
      <c r="F2089" s="41" t="str">
        <f aca="false">IF(E2089="","",IFERROR(VLOOKUP(E2089,Assumptions!$G$5:$H$16,2,0),"Other"))</f>
        <v/>
      </c>
      <c r="J2089" s="41" t="str">
        <f aca="false">IF(G2089="","",IFERROR(IF(ISNUMBER(SEARCH(Assumptions!$C$5,G2089)),Assumptions!$D$5,IF(ISNUMBER(SEARCH(Assumptions!$C$6,G2089)),Assumptions!$D$6,IF(ISNUMBER(SEARCH(Assumptions!$C$7,G2089)),Assumptions!$D$7,"Other Services"))),"Other Services"))</f>
        <v/>
      </c>
    </row>
    <row r="2090" customFormat="false" ht="15" hidden="false" customHeight="false" outlineLevel="0" collapsed="false">
      <c r="F2090" s="41" t="str">
        <f aca="false">IF(E2090="","",IFERROR(VLOOKUP(E2090,Assumptions!$G$5:$H$16,2,0),"Other"))</f>
        <v/>
      </c>
      <c r="J2090" s="41" t="str">
        <f aca="false">IF(G2090="","",IFERROR(IF(ISNUMBER(SEARCH(Assumptions!$C$5,G2090)),Assumptions!$D$5,IF(ISNUMBER(SEARCH(Assumptions!$C$6,G2090)),Assumptions!$D$6,IF(ISNUMBER(SEARCH(Assumptions!$C$7,G2090)),Assumptions!$D$7,"Other Services"))),"Other Services"))</f>
        <v/>
      </c>
    </row>
    <row r="2091" customFormat="false" ht="15" hidden="false" customHeight="false" outlineLevel="0" collapsed="false">
      <c r="F2091" s="41" t="str">
        <f aca="false">IF(E2091="","",IFERROR(VLOOKUP(E2091,Assumptions!$G$5:$H$16,2,0),"Other"))</f>
        <v/>
      </c>
      <c r="J2091" s="41" t="str">
        <f aca="false">IF(G2091="","",IFERROR(IF(ISNUMBER(SEARCH(Assumptions!$C$5,G2091)),Assumptions!$D$5,IF(ISNUMBER(SEARCH(Assumptions!$C$6,G2091)),Assumptions!$D$6,IF(ISNUMBER(SEARCH(Assumptions!$C$7,G2091)),Assumptions!$D$7,"Other Services"))),"Other Services"))</f>
        <v/>
      </c>
    </row>
    <row r="2092" customFormat="false" ht="15" hidden="false" customHeight="false" outlineLevel="0" collapsed="false">
      <c r="F2092" s="41" t="str">
        <f aca="false">IF(E2092="","",IFERROR(VLOOKUP(E2092,Assumptions!$G$5:$H$16,2,0),"Other"))</f>
        <v/>
      </c>
      <c r="J2092" s="41" t="str">
        <f aca="false">IF(G2092="","",IFERROR(IF(ISNUMBER(SEARCH(Assumptions!$C$5,G2092)),Assumptions!$D$5,IF(ISNUMBER(SEARCH(Assumptions!$C$6,G2092)),Assumptions!$D$6,IF(ISNUMBER(SEARCH(Assumptions!$C$7,G2092)),Assumptions!$D$7,"Other Services"))),"Other Services"))</f>
        <v/>
      </c>
    </row>
    <row r="2093" customFormat="false" ht="15" hidden="false" customHeight="false" outlineLevel="0" collapsed="false">
      <c r="F2093" s="41" t="str">
        <f aca="false">IF(E2093="","",IFERROR(VLOOKUP(E2093,Assumptions!$G$5:$H$16,2,0),"Other"))</f>
        <v/>
      </c>
      <c r="J2093" s="41" t="str">
        <f aca="false">IF(G2093="","",IFERROR(IF(ISNUMBER(SEARCH(Assumptions!$C$5,G2093)),Assumptions!$D$5,IF(ISNUMBER(SEARCH(Assumptions!$C$6,G2093)),Assumptions!$D$6,IF(ISNUMBER(SEARCH(Assumptions!$C$7,G2093)),Assumptions!$D$7,"Other Services"))),"Other Services"))</f>
        <v/>
      </c>
    </row>
    <row r="2094" customFormat="false" ht="15" hidden="false" customHeight="false" outlineLevel="0" collapsed="false">
      <c r="F2094" s="41" t="str">
        <f aca="false">IF(E2094="","",IFERROR(VLOOKUP(E2094,Assumptions!$G$5:$H$16,2,0),"Other"))</f>
        <v/>
      </c>
      <c r="J2094" s="41" t="str">
        <f aca="false">IF(G2094="","",IFERROR(IF(ISNUMBER(SEARCH(Assumptions!$C$5,G2094)),Assumptions!$D$5,IF(ISNUMBER(SEARCH(Assumptions!$C$6,G2094)),Assumptions!$D$6,IF(ISNUMBER(SEARCH(Assumptions!$C$7,G2094)),Assumptions!$D$7,"Other Services"))),"Other Services"))</f>
        <v/>
      </c>
    </row>
    <row r="2095" customFormat="false" ht="15" hidden="false" customHeight="false" outlineLevel="0" collapsed="false">
      <c r="F2095" s="41" t="str">
        <f aca="false">IF(E2095="","",IFERROR(VLOOKUP(E2095,Assumptions!$G$5:$H$16,2,0),"Other"))</f>
        <v/>
      </c>
      <c r="J2095" s="41" t="str">
        <f aca="false">IF(G2095="","",IFERROR(IF(ISNUMBER(SEARCH(Assumptions!$C$5,G2095)),Assumptions!$D$5,IF(ISNUMBER(SEARCH(Assumptions!$C$6,G2095)),Assumptions!$D$6,IF(ISNUMBER(SEARCH(Assumptions!$C$7,G2095)),Assumptions!$D$7,"Other Services"))),"Other Services"))</f>
        <v/>
      </c>
    </row>
    <row r="2096" customFormat="false" ht="15" hidden="false" customHeight="false" outlineLevel="0" collapsed="false">
      <c r="F2096" s="41" t="str">
        <f aca="false">IF(E2096="","",IFERROR(VLOOKUP(E2096,Assumptions!$G$5:$H$16,2,0),"Other"))</f>
        <v/>
      </c>
      <c r="J2096" s="41" t="str">
        <f aca="false">IF(G2096="","",IFERROR(IF(ISNUMBER(SEARCH(Assumptions!$C$5,G2096)),Assumptions!$D$5,IF(ISNUMBER(SEARCH(Assumptions!$C$6,G2096)),Assumptions!$D$6,IF(ISNUMBER(SEARCH(Assumptions!$C$7,G2096)),Assumptions!$D$7,"Other Services"))),"Other Services"))</f>
        <v/>
      </c>
    </row>
    <row r="2097" customFormat="false" ht="15" hidden="false" customHeight="false" outlineLevel="0" collapsed="false">
      <c r="F2097" s="41" t="str">
        <f aca="false">IF(E2097="","",IFERROR(VLOOKUP(E2097,Assumptions!$G$5:$H$16,2,0),"Other"))</f>
        <v/>
      </c>
      <c r="J2097" s="41" t="str">
        <f aca="false">IF(G2097="","",IFERROR(IF(ISNUMBER(SEARCH(Assumptions!$C$5,G2097)),Assumptions!$D$5,IF(ISNUMBER(SEARCH(Assumptions!$C$6,G2097)),Assumptions!$D$6,IF(ISNUMBER(SEARCH(Assumptions!$C$7,G2097)),Assumptions!$D$7,"Other Services"))),"Other Services"))</f>
        <v/>
      </c>
    </row>
    <row r="2098" customFormat="false" ht="15" hidden="false" customHeight="false" outlineLevel="0" collapsed="false">
      <c r="F2098" s="41" t="str">
        <f aca="false">IF(E2098="","",IFERROR(VLOOKUP(E2098,Assumptions!$G$5:$H$16,2,0),"Other"))</f>
        <v/>
      </c>
      <c r="J2098" s="41" t="str">
        <f aca="false">IF(G2098="","",IFERROR(IF(ISNUMBER(SEARCH(Assumptions!$C$5,G2098)),Assumptions!$D$5,IF(ISNUMBER(SEARCH(Assumptions!$C$6,G2098)),Assumptions!$D$6,IF(ISNUMBER(SEARCH(Assumptions!$C$7,G2098)),Assumptions!$D$7,"Other Services"))),"Other Services"))</f>
        <v/>
      </c>
    </row>
    <row r="2099" customFormat="false" ht="15" hidden="false" customHeight="false" outlineLevel="0" collapsed="false">
      <c r="F2099" s="41" t="str">
        <f aca="false">IF(E2099="","",IFERROR(VLOOKUP(E2099,Assumptions!$G$5:$H$16,2,0),"Other"))</f>
        <v/>
      </c>
      <c r="J2099" s="41" t="str">
        <f aca="false">IF(G2099="","",IFERROR(IF(ISNUMBER(SEARCH(Assumptions!$C$5,G2099)),Assumptions!$D$5,IF(ISNUMBER(SEARCH(Assumptions!$C$6,G2099)),Assumptions!$D$6,IF(ISNUMBER(SEARCH(Assumptions!$C$7,G2099)),Assumptions!$D$7,"Other Services"))),"Other Services"))</f>
        <v/>
      </c>
    </row>
    <row r="2100" customFormat="false" ht="15" hidden="false" customHeight="false" outlineLevel="0" collapsed="false">
      <c r="F2100" s="41" t="str">
        <f aca="false">IF(E2100="","",IFERROR(VLOOKUP(E2100,Assumptions!$G$5:$H$16,2,0),"Other"))</f>
        <v/>
      </c>
      <c r="J2100" s="41" t="str">
        <f aca="false">IF(G2100="","",IFERROR(IF(ISNUMBER(SEARCH(Assumptions!$C$5,G2100)),Assumptions!$D$5,IF(ISNUMBER(SEARCH(Assumptions!$C$6,G2100)),Assumptions!$D$6,IF(ISNUMBER(SEARCH(Assumptions!$C$7,G2100)),Assumptions!$D$7,"Other Services"))),"Other Services"))</f>
        <v/>
      </c>
    </row>
    <row r="2101" customFormat="false" ht="15" hidden="false" customHeight="false" outlineLevel="0" collapsed="false">
      <c r="F2101" s="41" t="str">
        <f aca="false">IF(E2101="","",IFERROR(VLOOKUP(E2101,Assumptions!$G$5:$H$16,2,0),"Other"))</f>
        <v/>
      </c>
      <c r="J2101" s="41" t="str">
        <f aca="false">IF(G2101="","",IFERROR(IF(ISNUMBER(SEARCH(Assumptions!$C$5,G2101)),Assumptions!$D$5,IF(ISNUMBER(SEARCH(Assumptions!$C$6,G2101)),Assumptions!$D$6,IF(ISNUMBER(SEARCH(Assumptions!$C$7,G2101)),Assumptions!$D$7,"Other Services"))),"Other Services"))</f>
        <v/>
      </c>
    </row>
    <row r="2102" customFormat="false" ht="15" hidden="false" customHeight="false" outlineLevel="0" collapsed="false">
      <c r="F2102" s="41" t="str">
        <f aca="false">IF(E2102="","",IFERROR(VLOOKUP(E2102,Assumptions!$G$5:$H$16,2,0),"Other"))</f>
        <v/>
      </c>
      <c r="J2102" s="41" t="str">
        <f aca="false">IF(G2102="","",IFERROR(IF(ISNUMBER(SEARCH(Assumptions!$C$5,G2102)),Assumptions!$D$5,IF(ISNUMBER(SEARCH(Assumptions!$C$6,G2102)),Assumptions!$D$6,IF(ISNUMBER(SEARCH(Assumptions!$C$7,G2102)),Assumptions!$D$7,"Other Services"))),"Other Services"))</f>
        <v/>
      </c>
    </row>
    <row r="2103" customFormat="false" ht="15" hidden="false" customHeight="false" outlineLevel="0" collapsed="false">
      <c r="F2103" s="41" t="str">
        <f aca="false">IF(E2103="","",IFERROR(VLOOKUP(E2103,Assumptions!$G$5:$H$16,2,0),"Other"))</f>
        <v/>
      </c>
      <c r="J2103" s="41" t="str">
        <f aca="false">IF(G2103="","",IFERROR(IF(ISNUMBER(SEARCH(Assumptions!$C$5,G2103)),Assumptions!$D$5,IF(ISNUMBER(SEARCH(Assumptions!$C$6,G2103)),Assumptions!$D$6,IF(ISNUMBER(SEARCH(Assumptions!$C$7,G2103)),Assumptions!$D$7,"Other Services"))),"Other Services"))</f>
        <v/>
      </c>
    </row>
    <row r="2104" customFormat="false" ht="15" hidden="false" customHeight="false" outlineLevel="0" collapsed="false">
      <c r="F2104" s="41" t="str">
        <f aca="false">IF(E2104="","",IFERROR(VLOOKUP(E2104,Assumptions!$G$5:$H$16,2,0),"Other"))</f>
        <v/>
      </c>
      <c r="J2104" s="41" t="str">
        <f aca="false">IF(G2104="","",IFERROR(IF(ISNUMBER(SEARCH(Assumptions!$C$5,G2104)),Assumptions!$D$5,IF(ISNUMBER(SEARCH(Assumptions!$C$6,G2104)),Assumptions!$D$6,IF(ISNUMBER(SEARCH(Assumptions!$C$7,G2104)),Assumptions!$D$7,"Other Services"))),"Other Services"))</f>
        <v/>
      </c>
    </row>
    <row r="2105" customFormat="false" ht="15" hidden="false" customHeight="false" outlineLevel="0" collapsed="false">
      <c r="F2105" s="41" t="str">
        <f aca="false">IF(E2105="","",IFERROR(VLOOKUP(E2105,Assumptions!$G$5:$H$16,2,0),"Other"))</f>
        <v/>
      </c>
      <c r="J2105" s="41" t="str">
        <f aca="false">IF(G2105="","",IFERROR(IF(ISNUMBER(SEARCH(Assumptions!$C$5,G2105)),Assumptions!$D$5,IF(ISNUMBER(SEARCH(Assumptions!$C$6,G2105)),Assumptions!$D$6,IF(ISNUMBER(SEARCH(Assumptions!$C$7,G2105)),Assumptions!$D$7,"Other Services"))),"Other Services"))</f>
        <v/>
      </c>
    </row>
    <row r="2106" customFormat="false" ht="15" hidden="false" customHeight="false" outlineLevel="0" collapsed="false">
      <c r="F2106" s="41" t="str">
        <f aca="false">IF(E2106="","",IFERROR(VLOOKUP(E2106,Assumptions!$G$5:$H$16,2,0),"Other"))</f>
        <v/>
      </c>
      <c r="J2106" s="41" t="str">
        <f aca="false">IF(G2106="","",IFERROR(IF(ISNUMBER(SEARCH(Assumptions!$C$5,G2106)),Assumptions!$D$5,IF(ISNUMBER(SEARCH(Assumptions!$C$6,G2106)),Assumptions!$D$6,IF(ISNUMBER(SEARCH(Assumptions!$C$7,G2106)),Assumptions!$D$7,"Other Services"))),"Other Services"))</f>
        <v/>
      </c>
    </row>
    <row r="2107" customFormat="false" ht="15" hidden="false" customHeight="false" outlineLevel="0" collapsed="false">
      <c r="F2107" s="41" t="str">
        <f aca="false">IF(E2107="","",IFERROR(VLOOKUP(E2107,Assumptions!$G$5:$H$16,2,0),"Other"))</f>
        <v/>
      </c>
      <c r="J2107" s="41" t="str">
        <f aca="false">IF(G2107="","",IFERROR(IF(ISNUMBER(SEARCH(Assumptions!$C$5,G2107)),Assumptions!$D$5,IF(ISNUMBER(SEARCH(Assumptions!$C$6,G2107)),Assumptions!$D$6,IF(ISNUMBER(SEARCH(Assumptions!$C$7,G2107)),Assumptions!$D$7,"Other Services"))),"Other Services"))</f>
        <v/>
      </c>
    </row>
    <row r="2108" customFormat="false" ht="15" hidden="false" customHeight="false" outlineLevel="0" collapsed="false">
      <c r="F2108" s="41" t="str">
        <f aca="false">IF(E2108="","",IFERROR(VLOOKUP(E2108,Assumptions!$G$5:$H$16,2,0),"Other"))</f>
        <v/>
      </c>
      <c r="J2108" s="41" t="str">
        <f aca="false">IF(G2108="","",IFERROR(IF(ISNUMBER(SEARCH(Assumptions!$C$5,G2108)),Assumptions!$D$5,IF(ISNUMBER(SEARCH(Assumptions!$C$6,G2108)),Assumptions!$D$6,IF(ISNUMBER(SEARCH(Assumptions!$C$7,G2108)),Assumptions!$D$7,"Other Services"))),"Other Services"))</f>
        <v/>
      </c>
    </row>
    <row r="2109" customFormat="false" ht="15" hidden="false" customHeight="false" outlineLevel="0" collapsed="false">
      <c r="F2109" s="41" t="str">
        <f aca="false">IF(E2109="","",IFERROR(VLOOKUP(E2109,Assumptions!$G$5:$H$16,2,0),"Other"))</f>
        <v/>
      </c>
      <c r="J2109" s="41" t="str">
        <f aca="false">IF(G2109="","",IFERROR(IF(ISNUMBER(SEARCH(Assumptions!$C$5,G2109)),Assumptions!$D$5,IF(ISNUMBER(SEARCH(Assumptions!$C$6,G2109)),Assumptions!$D$6,IF(ISNUMBER(SEARCH(Assumptions!$C$7,G2109)),Assumptions!$D$7,"Other Services"))),"Other Services"))</f>
        <v/>
      </c>
    </row>
    <row r="2110" customFormat="false" ht="15" hidden="false" customHeight="false" outlineLevel="0" collapsed="false">
      <c r="F2110" s="41" t="str">
        <f aca="false">IF(E2110="","",IFERROR(VLOOKUP(E2110,Assumptions!$G$5:$H$16,2,0),"Other"))</f>
        <v/>
      </c>
      <c r="J2110" s="41" t="str">
        <f aca="false">IF(G2110="","",IFERROR(IF(ISNUMBER(SEARCH(Assumptions!$C$5,G2110)),Assumptions!$D$5,IF(ISNUMBER(SEARCH(Assumptions!$C$6,G2110)),Assumptions!$D$6,IF(ISNUMBER(SEARCH(Assumptions!$C$7,G2110)),Assumptions!$D$7,"Other Services"))),"Other Services"))</f>
        <v/>
      </c>
    </row>
    <row r="2111" customFormat="false" ht="15" hidden="false" customHeight="false" outlineLevel="0" collapsed="false">
      <c r="F2111" s="41" t="str">
        <f aca="false">IF(E2111="","",IFERROR(VLOOKUP(E2111,Assumptions!$G$5:$H$16,2,0),"Other"))</f>
        <v/>
      </c>
      <c r="J2111" s="41" t="str">
        <f aca="false">IF(G2111="","",IFERROR(IF(ISNUMBER(SEARCH(Assumptions!$C$5,G2111)),Assumptions!$D$5,IF(ISNUMBER(SEARCH(Assumptions!$C$6,G2111)),Assumptions!$D$6,IF(ISNUMBER(SEARCH(Assumptions!$C$7,G2111)),Assumptions!$D$7,"Other Services"))),"Other Services"))</f>
        <v/>
      </c>
    </row>
    <row r="2112" customFormat="false" ht="15" hidden="false" customHeight="false" outlineLevel="0" collapsed="false">
      <c r="F2112" s="41" t="str">
        <f aca="false">IF(E2112="","",IFERROR(VLOOKUP(E2112,Assumptions!$G$5:$H$16,2,0),"Other"))</f>
        <v/>
      </c>
      <c r="J2112" s="41" t="str">
        <f aca="false">IF(G2112="","",IFERROR(IF(ISNUMBER(SEARCH(Assumptions!$C$5,G2112)),Assumptions!$D$5,IF(ISNUMBER(SEARCH(Assumptions!$C$6,G2112)),Assumptions!$D$6,IF(ISNUMBER(SEARCH(Assumptions!$C$7,G2112)),Assumptions!$D$7,"Other Services"))),"Other Services"))</f>
        <v/>
      </c>
    </row>
    <row r="2113" customFormat="false" ht="15" hidden="false" customHeight="false" outlineLevel="0" collapsed="false">
      <c r="F2113" s="41" t="str">
        <f aca="false">IF(E2113="","",IFERROR(VLOOKUP(E2113,Assumptions!$G$5:$H$16,2,0),"Other"))</f>
        <v/>
      </c>
      <c r="J2113" s="41" t="str">
        <f aca="false">IF(G2113="","",IFERROR(IF(ISNUMBER(SEARCH(Assumptions!$C$5,G2113)),Assumptions!$D$5,IF(ISNUMBER(SEARCH(Assumptions!$C$6,G2113)),Assumptions!$D$6,IF(ISNUMBER(SEARCH(Assumptions!$C$7,G2113)),Assumptions!$D$7,"Other Services"))),"Other Services"))</f>
        <v/>
      </c>
    </row>
    <row r="2114" customFormat="false" ht="15" hidden="false" customHeight="false" outlineLevel="0" collapsed="false">
      <c r="F2114" s="41" t="str">
        <f aca="false">IF(E2114="","",IFERROR(VLOOKUP(E2114,Assumptions!$G$5:$H$16,2,0),"Other"))</f>
        <v/>
      </c>
      <c r="J2114" s="41" t="str">
        <f aca="false">IF(G2114="","",IFERROR(IF(ISNUMBER(SEARCH(Assumptions!$C$5,G2114)),Assumptions!$D$5,IF(ISNUMBER(SEARCH(Assumptions!$C$6,G2114)),Assumptions!$D$6,IF(ISNUMBER(SEARCH(Assumptions!$C$7,G2114)),Assumptions!$D$7,"Other Services"))),"Other Services"))</f>
        <v/>
      </c>
    </row>
    <row r="2115" customFormat="false" ht="15" hidden="false" customHeight="false" outlineLevel="0" collapsed="false">
      <c r="F2115" s="41" t="str">
        <f aca="false">IF(E2115="","",IFERROR(VLOOKUP(E2115,Assumptions!$G$5:$H$16,2,0),"Other"))</f>
        <v/>
      </c>
      <c r="J2115" s="41" t="str">
        <f aca="false">IF(G2115="","",IFERROR(IF(ISNUMBER(SEARCH(Assumptions!$C$5,G2115)),Assumptions!$D$5,IF(ISNUMBER(SEARCH(Assumptions!$C$6,G2115)),Assumptions!$D$6,IF(ISNUMBER(SEARCH(Assumptions!$C$7,G2115)),Assumptions!$D$7,"Other Services"))),"Other Services"))</f>
        <v/>
      </c>
    </row>
    <row r="2116" customFormat="false" ht="15" hidden="false" customHeight="false" outlineLevel="0" collapsed="false">
      <c r="F2116" s="41" t="str">
        <f aca="false">IF(E2116="","",IFERROR(VLOOKUP(E2116,Assumptions!$G$5:$H$16,2,0),"Other"))</f>
        <v/>
      </c>
      <c r="J2116" s="41" t="str">
        <f aca="false">IF(G2116="","",IFERROR(IF(ISNUMBER(SEARCH(Assumptions!$C$5,G2116)),Assumptions!$D$5,IF(ISNUMBER(SEARCH(Assumptions!$C$6,G2116)),Assumptions!$D$6,IF(ISNUMBER(SEARCH(Assumptions!$C$7,G2116)),Assumptions!$D$7,"Other Services"))),"Other Services"))</f>
        <v/>
      </c>
    </row>
    <row r="2117" customFormat="false" ht="15" hidden="false" customHeight="false" outlineLevel="0" collapsed="false">
      <c r="F2117" s="41" t="str">
        <f aca="false">IF(E2117="","",IFERROR(VLOOKUP(E2117,Assumptions!$G$5:$H$16,2,0),"Other"))</f>
        <v/>
      </c>
      <c r="J2117" s="41" t="str">
        <f aca="false">IF(G2117="","",IFERROR(IF(ISNUMBER(SEARCH(Assumptions!$C$5,G2117)),Assumptions!$D$5,IF(ISNUMBER(SEARCH(Assumptions!$C$6,G2117)),Assumptions!$D$6,IF(ISNUMBER(SEARCH(Assumptions!$C$7,G2117)),Assumptions!$D$7,"Other Services"))),"Other Services"))</f>
        <v/>
      </c>
    </row>
    <row r="2118" customFormat="false" ht="15" hidden="false" customHeight="false" outlineLevel="0" collapsed="false">
      <c r="F2118" s="41" t="str">
        <f aca="false">IF(E2118="","",IFERROR(VLOOKUP(E2118,Assumptions!$G$5:$H$16,2,0),"Other"))</f>
        <v/>
      </c>
      <c r="J2118" s="41" t="str">
        <f aca="false">IF(G2118="","",IFERROR(IF(ISNUMBER(SEARCH(Assumptions!$C$5,G2118)),Assumptions!$D$5,IF(ISNUMBER(SEARCH(Assumptions!$C$6,G2118)),Assumptions!$D$6,IF(ISNUMBER(SEARCH(Assumptions!$C$7,G2118)),Assumptions!$D$7,"Other Services"))),"Other Services"))</f>
        <v/>
      </c>
    </row>
    <row r="2119" customFormat="false" ht="15" hidden="false" customHeight="false" outlineLevel="0" collapsed="false">
      <c r="F2119" s="41" t="str">
        <f aca="false">IF(E2119="","",IFERROR(VLOOKUP(E2119,Assumptions!$G$5:$H$16,2,0),"Other"))</f>
        <v/>
      </c>
      <c r="J2119" s="41" t="str">
        <f aca="false">IF(G2119="","",IFERROR(IF(ISNUMBER(SEARCH(Assumptions!$C$5,G2119)),Assumptions!$D$5,IF(ISNUMBER(SEARCH(Assumptions!$C$6,G2119)),Assumptions!$D$6,IF(ISNUMBER(SEARCH(Assumptions!$C$7,G2119)),Assumptions!$D$7,"Other Services"))),"Other Services"))</f>
        <v/>
      </c>
    </row>
    <row r="2120" customFormat="false" ht="15" hidden="false" customHeight="false" outlineLevel="0" collapsed="false">
      <c r="F2120" s="41" t="str">
        <f aca="false">IF(E2120="","",IFERROR(VLOOKUP(E2120,Assumptions!$G$5:$H$16,2,0),"Other"))</f>
        <v/>
      </c>
      <c r="J2120" s="41" t="str">
        <f aca="false">IF(G2120="","",IFERROR(IF(ISNUMBER(SEARCH(Assumptions!$C$5,G2120)),Assumptions!$D$5,IF(ISNUMBER(SEARCH(Assumptions!$C$6,G2120)),Assumptions!$D$6,IF(ISNUMBER(SEARCH(Assumptions!$C$7,G2120)),Assumptions!$D$7,"Other Services"))),"Other Services"))</f>
        <v/>
      </c>
    </row>
    <row r="2121" customFormat="false" ht="15" hidden="false" customHeight="false" outlineLevel="0" collapsed="false">
      <c r="F2121" s="41" t="str">
        <f aca="false">IF(E2121="","",IFERROR(VLOOKUP(E2121,Assumptions!$G$5:$H$16,2,0),"Other"))</f>
        <v/>
      </c>
      <c r="J2121" s="41" t="str">
        <f aca="false">IF(G2121="","",IFERROR(IF(ISNUMBER(SEARCH(Assumptions!$C$5,G2121)),Assumptions!$D$5,IF(ISNUMBER(SEARCH(Assumptions!$C$6,G2121)),Assumptions!$D$6,IF(ISNUMBER(SEARCH(Assumptions!$C$7,G2121)),Assumptions!$D$7,"Other Services"))),"Other Services"))</f>
        <v/>
      </c>
    </row>
    <row r="2122" customFormat="false" ht="15" hidden="false" customHeight="false" outlineLevel="0" collapsed="false">
      <c r="F2122" s="41" t="str">
        <f aca="false">IF(E2122="","",IFERROR(VLOOKUP(E2122,Assumptions!$G$5:$H$16,2,0),"Other"))</f>
        <v/>
      </c>
      <c r="J2122" s="41" t="str">
        <f aca="false">IF(G2122="","",IFERROR(IF(ISNUMBER(SEARCH(Assumptions!$C$5,G2122)),Assumptions!$D$5,IF(ISNUMBER(SEARCH(Assumptions!$C$6,G2122)),Assumptions!$D$6,IF(ISNUMBER(SEARCH(Assumptions!$C$7,G2122)),Assumptions!$D$7,"Other Services"))),"Other Services"))</f>
        <v/>
      </c>
    </row>
    <row r="2123" customFormat="false" ht="15" hidden="false" customHeight="false" outlineLevel="0" collapsed="false">
      <c r="F2123" s="41" t="str">
        <f aca="false">IF(E2123="","",IFERROR(VLOOKUP(E2123,Assumptions!$G$5:$H$16,2,0),"Other"))</f>
        <v/>
      </c>
      <c r="J2123" s="41" t="str">
        <f aca="false">IF(G2123="","",IFERROR(IF(ISNUMBER(SEARCH(Assumptions!$C$5,G2123)),Assumptions!$D$5,IF(ISNUMBER(SEARCH(Assumptions!$C$6,G2123)),Assumptions!$D$6,IF(ISNUMBER(SEARCH(Assumptions!$C$7,G2123)),Assumptions!$D$7,"Other Services"))),"Other Services"))</f>
        <v/>
      </c>
    </row>
    <row r="2124" customFormat="false" ht="15" hidden="false" customHeight="false" outlineLevel="0" collapsed="false">
      <c r="F2124" s="41" t="str">
        <f aca="false">IF(E2124="","",IFERROR(VLOOKUP(E2124,Assumptions!$G$5:$H$16,2,0),"Other"))</f>
        <v/>
      </c>
      <c r="J2124" s="41" t="str">
        <f aca="false">IF(G2124="","",IFERROR(IF(ISNUMBER(SEARCH(Assumptions!$C$5,G2124)),Assumptions!$D$5,IF(ISNUMBER(SEARCH(Assumptions!$C$6,G2124)),Assumptions!$D$6,IF(ISNUMBER(SEARCH(Assumptions!$C$7,G2124)),Assumptions!$D$7,"Other Services"))),"Other Services"))</f>
        <v/>
      </c>
    </row>
    <row r="2125" customFormat="false" ht="15" hidden="false" customHeight="false" outlineLevel="0" collapsed="false">
      <c r="F2125" s="41" t="str">
        <f aca="false">IF(E2125="","",IFERROR(VLOOKUP(E2125,Assumptions!$G$5:$H$16,2,0),"Other"))</f>
        <v/>
      </c>
      <c r="J2125" s="41" t="str">
        <f aca="false">IF(G2125="","",IFERROR(IF(ISNUMBER(SEARCH(Assumptions!$C$5,G2125)),Assumptions!$D$5,IF(ISNUMBER(SEARCH(Assumptions!$C$6,G2125)),Assumptions!$D$6,IF(ISNUMBER(SEARCH(Assumptions!$C$7,G2125)),Assumptions!$D$7,"Other Services"))),"Other Services"))</f>
        <v/>
      </c>
    </row>
    <row r="2126" customFormat="false" ht="15" hidden="false" customHeight="false" outlineLevel="0" collapsed="false">
      <c r="F2126" s="41" t="str">
        <f aca="false">IF(E2126="","",IFERROR(VLOOKUP(E2126,Assumptions!$G$5:$H$16,2,0),"Other"))</f>
        <v/>
      </c>
      <c r="J2126" s="41" t="str">
        <f aca="false">IF(G2126="","",IFERROR(IF(ISNUMBER(SEARCH(Assumptions!$C$5,G2126)),Assumptions!$D$5,IF(ISNUMBER(SEARCH(Assumptions!$C$6,G2126)),Assumptions!$D$6,IF(ISNUMBER(SEARCH(Assumptions!$C$7,G2126)),Assumptions!$D$7,"Other Services"))),"Other Services"))</f>
        <v/>
      </c>
    </row>
    <row r="2127" customFormat="false" ht="15" hidden="false" customHeight="false" outlineLevel="0" collapsed="false">
      <c r="F2127" s="41" t="str">
        <f aca="false">IF(E2127="","",IFERROR(VLOOKUP(E2127,Assumptions!$G$5:$H$16,2,0),"Other"))</f>
        <v/>
      </c>
      <c r="J2127" s="41" t="str">
        <f aca="false">IF(G2127="","",IFERROR(IF(ISNUMBER(SEARCH(Assumptions!$C$5,G2127)),Assumptions!$D$5,IF(ISNUMBER(SEARCH(Assumptions!$C$6,G2127)),Assumptions!$D$6,IF(ISNUMBER(SEARCH(Assumptions!$C$7,G2127)),Assumptions!$D$7,"Other Services"))),"Other Services"))</f>
        <v/>
      </c>
    </row>
    <row r="2128" customFormat="false" ht="15" hidden="false" customHeight="false" outlineLevel="0" collapsed="false">
      <c r="F2128" s="41" t="str">
        <f aca="false">IF(E2128="","",IFERROR(VLOOKUP(E2128,Assumptions!$G$5:$H$16,2,0),"Other"))</f>
        <v/>
      </c>
      <c r="J2128" s="41" t="str">
        <f aca="false">IF(G2128="","",IFERROR(IF(ISNUMBER(SEARCH(Assumptions!$C$5,G2128)),Assumptions!$D$5,IF(ISNUMBER(SEARCH(Assumptions!$C$6,G2128)),Assumptions!$D$6,IF(ISNUMBER(SEARCH(Assumptions!$C$7,G2128)),Assumptions!$D$7,"Other Services"))),"Other Services"))</f>
        <v/>
      </c>
    </row>
    <row r="2129" customFormat="false" ht="15" hidden="false" customHeight="false" outlineLevel="0" collapsed="false">
      <c r="F2129" s="41" t="str">
        <f aca="false">IF(E2129="","",IFERROR(VLOOKUP(E2129,Assumptions!$G$5:$H$16,2,0),"Other"))</f>
        <v/>
      </c>
      <c r="J2129" s="41" t="str">
        <f aca="false">IF(G2129="","",IFERROR(IF(ISNUMBER(SEARCH(Assumptions!$C$5,G2129)),Assumptions!$D$5,IF(ISNUMBER(SEARCH(Assumptions!$C$6,G2129)),Assumptions!$D$6,IF(ISNUMBER(SEARCH(Assumptions!$C$7,G2129)),Assumptions!$D$7,"Other Services"))),"Other Services"))</f>
        <v/>
      </c>
    </row>
    <row r="2130" customFormat="false" ht="15" hidden="false" customHeight="false" outlineLevel="0" collapsed="false">
      <c r="F2130" s="41" t="str">
        <f aca="false">IF(E2130="","",IFERROR(VLOOKUP(E2130,Assumptions!$G$5:$H$16,2,0),"Other"))</f>
        <v/>
      </c>
      <c r="J2130" s="41" t="str">
        <f aca="false">IF(G2130="","",IFERROR(IF(ISNUMBER(SEARCH(Assumptions!$C$5,G2130)),Assumptions!$D$5,IF(ISNUMBER(SEARCH(Assumptions!$C$6,G2130)),Assumptions!$D$6,IF(ISNUMBER(SEARCH(Assumptions!$C$7,G2130)),Assumptions!$D$7,"Other Services"))),"Other Services"))</f>
        <v/>
      </c>
    </row>
    <row r="2131" customFormat="false" ht="15" hidden="false" customHeight="false" outlineLevel="0" collapsed="false">
      <c r="F2131" s="41" t="str">
        <f aca="false">IF(E2131="","",IFERROR(VLOOKUP(E2131,Assumptions!$G$5:$H$16,2,0),"Other"))</f>
        <v/>
      </c>
      <c r="J2131" s="41" t="str">
        <f aca="false">IF(G2131="","",IFERROR(IF(ISNUMBER(SEARCH(Assumptions!$C$5,G2131)),Assumptions!$D$5,IF(ISNUMBER(SEARCH(Assumptions!$C$6,G2131)),Assumptions!$D$6,IF(ISNUMBER(SEARCH(Assumptions!$C$7,G2131)),Assumptions!$D$7,"Other Services"))),"Other Services"))</f>
        <v/>
      </c>
    </row>
    <row r="2132" customFormat="false" ht="15" hidden="false" customHeight="false" outlineLevel="0" collapsed="false">
      <c r="F2132" s="41" t="str">
        <f aca="false">IF(E2132="","",IFERROR(VLOOKUP(E2132,Assumptions!$G$5:$H$16,2,0),"Other"))</f>
        <v/>
      </c>
      <c r="J2132" s="41" t="str">
        <f aca="false">IF(G2132="","",IFERROR(IF(ISNUMBER(SEARCH(Assumptions!$C$5,G2132)),Assumptions!$D$5,IF(ISNUMBER(SEARCH(Assumptions!$C$6,G2132)),Assumptions!$D$6,IF(ISNUMBER(SEARCH(Assumptions!$C$7,G2132)),Assumptions!$D$7,"Other Services"))),"Other Services"))</f>
        <v/>
      </c>
    </row>
    <row r="2133" customFormat="false" ht="15" hidden="false" customHeight="false" outlineLevel="0" collapsed="false">
      <c r="F2133" s="41" t="str">
        <f aca="false">IF(E2133="","",IFERROR(VLOOKUP(E2133,Assumptions!$G$5:$H$16,2,0),"Other"))</f>
        <v/>
      </c>
      <c r="J2133" s="41" t="str">
        <f aca="false">IF(G2133="","",IFERROR(IF(ISNUMBER(SEARCH(Assumptions!$C$5,G2133)),Assumptions!$D$5,IF(ISNUMBER(SEARCH(Assumptions!$C$6,G2133)),Assumptions!$D$6,IF(ISNUMBER(SEARCH(Assumptions!$C$7,G2133)),Assumptions!$D$7,"Other Services"))),"Other Services"))</f>
        <v/>
      </c>
    </row>
    <row r="2134" customFormat="false" ht="15" hidden="false" customHeight="false" outlineLevel="0" collapsed="false">
      <c r="F2134" s="41" t="str">
        <f aca="false">IF(E2134="","",IFERROR(VLOOKUP(E2134,Assumptions!$G$5:$H$16,2,0),"Other"))</f>
        <v/>
      </c>
      <c r="J2134" s="41" t="str">
        <f aca="false">IF(G2134="","",IFERROR(IF(ISNUMBER(SEARCH(Assumptions!$C$5,G2134)),Assumptions!$D$5,IF(ISNUMBER(SEARCH(Assumptions!$C$6,G2134)),Assumptions!$D$6,IF(ISNUMBER(SEARCH(Assumptions!$C$7,G2134)),Assumptions!$D$7,"Other Services"))),"Other Services"))</f>
        <v/>
      </c>
    </row>
    <row r="2135" customFormat="false" ht="15" hidden="false" customHeight="false" outlineLevel="0" collapsed="false">
      <c r="F2135" s="41" t="str">
        <f aca="false">IF(E2135="","",IFERROR(VLOOKUP(E2135,Assumptions!$G$5:$H$16,2,0),"Other"))</f>
        <v/>
      </c>
      <c r="J2135" s="41" t="str">
        <f aca="false">IF(G2135="","",IFERROR(IF(ISNUMBER(SEARCH(Assumptions!$C$5,G2135)),Assumptions!$D$5,IF(ISNUMBER(SEARCH(Assumptions!$C$6,G2135)),Assumptions!$D$6,IF(ISNUMBER(SEARCH(Assumptions!$C$7,G2135)),Assumptions!$D$7,"Other Services"))),"Other Services"))</f>
        <v/>
      </c>
    </row>
    <row r="2136" customFormat="false" ht="15" hidden="false" customHeight="false" outlineLevel="0" collapsed="false">
      <c r="F2136" s="41" t="str">
        <f aca="false">IF(E2136="","",IFERROR(VLOOKUP(E2136,Assumptions!$G$5:$H$16,2,0),"Other"))</f>
        <v/>
      </c>
      <c r="J2136" s="41" t="str">
        <f aca="false">IF(G2136="","",IFERROR(IF(ISNUMBER(SEARCH(Assumptions!$C$5,G2136)),Assumptions!$D$5,IF(ISNUMBER(SEARCH(Assumptions!$C$6,G2136)),Assumptions!$D$6,IF(ISNUMBER(SEARCH(Assumptions!$C$7,G2136)),Assumptions!$D$7,"Other Services"))),"Other Services"))</f>
        <v/>
      </c>
    </row>
    <row r="2137" customFormat="false" ht="15" hidden="false" customHeight="false" outlineLevel="0" collapsed="false">
      <c r="F2137" s="41" t="str">
        <f aca="false">IF(E2137="","",IFERROR(VLOOKUP(E2137,Assumptions!$G$5:$H$16,2,0),"Other"))</f>
        <v/>
      </c>
      <c r="J2137" s="41" t="str">
        <f aca="false">IF(G2137="","",IFERROR(IF(ISNUMBER(SEARCH(Assumptions!$C$5,G2137)),Assumptions!$D$5,IF(ISNUMBER(SEARCH(Assumptions!$C$6,G2137)),Assumptions!$D$6,IF(ISNUMBER(SEARCH(Assumptions!$C$7,G2137)),Assumptions!$D$7,"Other Services"))),"Other Services"))</f>
        <v/>
      </c>
    </row>
    <row r="2138" customFormat="false" ht="15" hidden="false" customHeight="false" outlineLevel="0" collapsed="false">
      <c r="F2138" s="41" t="str">
        <f aca="false">IF(E2138="","",IFERROR(VLOOKUP(E2138,Assumptions!$G$5:$H$16,2,0),"Other"))</f>
        <v/>
      </c>
      <c r="J2138" s="41" t="str">
        <f aca="false">IF(G2138="","",IFERROR(IF(ISNUMBER(SEARCH(Assumptions!$C$5,G2138)),Assumptions!$D$5,IF(ISNUMBER(SEARCH(Assumptions!$C$6,G2138)),Assumptions!$D$6,IF(ISNUMBER(SEARCH(Assumptions!$C$7,G2138)),Assumptions!$D$7,"Other Services"))),"Other Services"))</f>
        <v/>
      </c>
    </row>
    <row r="2139" customFormat="false" ht="15" hidden="false" customHeight="false" outlineLevel="0" collapsed="false">
      <c r="F2139" s="41" t="str">
        <f aca="false">IF(E2139="","",IFERROR(VLOOKUP(E2139,Assumptions!$G$5:$H$16,2,0),"Other"))</f>
        <v/>
      </c>
      <c r="J2139" s="41" t="str">
        <f aca="false">IF(G2139="","",IFERROR(IF(ISNUMBER(SEARCH(Assumptions!$C$5,G2139)),Assumptions!$D$5,IF(ISNUMBER(SEARCH(Assumptions!$C$6,G2139)),Assumptions!$D$6,IF(ISNUMBER(SEARCH(Assumptions!$C$7,G2139)),Assumptions!$D$7,"Other Services"))),"Other Services"))</f>
        <v/>
      </c>
    </row>
    <row r="2140" customFormat="false" ht="15" hidden="false" customHeight="false" outlineLevel="0" collapsed="false">
      <c r="F2140" s="41" t="str">
        <f aca="false">IF(E2140="","",IFERROR(VLOOKUP(E2140,Assumptions!$G$5:$H$16,2,0),"Other"))</f>
        <v/>
      </c>
      <c r="J2140" s="41" t="str">
        <f aca="false">IF(G2140="","",IFERROR(IF(ISNUMBER(SEARCH(Assumptions!$C$5,G2140)),Assumptions!$D$5,IF(ISNUMBER(SEARCH(Assumptions!$C$6,G2140)),Assumptions!$D$6,IF(ISNUMBER(SEARCH(Assumptions!$C$7,G2140)),Assumptions!$D$7,"Other Services"))),"Other Services"))</f>
        <v/>
      </c>
    </row>
    <row r="2141" customFormat="false" ht="15" hidden="false" customHeight="false" outlineLevel="0" collapsed="false">
      <c r="F2141" s="41" t="str">
        <f aca="false">IF(E2141="","",IFERROR(VLOOKUP(E2141,Assumptions!$G$5:$H$16,2,0),"Other"))</f>
        <v/>
      </c>
      <c r="J2141" s="41" t="str">
        <f aca="false">IF(G2141="","",IFERROR(IF(ISNUMBER(SEARCH(Assumptions!$C$5,G2141)),Assumptions!$D$5,IF(ISNUMBER(SEARCH(Assumptions!$C$6,G2141)),Assumptions!$D$6,IF(ISNUMBER(SEARCH(Assumptions!$C$7,G2141)),Assumptions!$D$7,"Other Services"))),"Other Services"))</f>
        <v/>
      </c>
    </row>
    <row r="2142" customFormat="false" ht="15" hidden="false" customHeight="false" outlineLevel="0" collapsed="false">
      <c r="F2142" s="41" t="str">
        <f aca="false">IF(E2142="","",IFERROR(VLOOKUP(E2142,Assumptions!$G$5:$H$16,2,0),"Other"))</f>
        <v/>
      </c>
      <c r="J2142" s="41" t="str">
        <f aca="false">IF(G2142="","",IFERROR(IF(ISNUMBER(SEARCH(Assumptions!$C$5,G2142)),Assumptions!$D$5,IF(ISNUMBER(SEARCH(Assumptions!$C$6,G2142)),Assumptions!$D$6,IF(ISNUMBER(SEARCH(Assumptions!$C$7,G2142)),Assumptions!$D$7,"Other Services"))),"Other Services"))</f>
        <v/>
      </c>
    </row>
    <row r="2143" customFormat="false" ht="15" hidden="false" customHeight="false" outlineLevel="0" collapsed="false">
      <c r="F2143" s="41" t="str">
        <f aca="false">IF(E2143="","",IFERROR(VLOOKUP(E2143,Assumptions!$G$5:$H$16,2,0),"Other"))</f>
        <v/>
      </c>
      <c r="J2143" s="41" t="str">
        <f aca="false">IF(G2143="","",IFERROR(IF(ISNUMBER(SEARCH(Assumptions!$C$5,G2143)),Assumptions!$D$5,IF(ISNUMBER(SEARCH(Assumptions!$C$6,G2143)),Assumptions!$D$6,IF(ISNUMBER(SEARCH(Assumptions!$C$7,G2143)),Assumptions!$D$7,"Other Services"))),"Other Services"))</f>
        <v/>
      </c>
    </row>
    <row r="2144" customFormat="false" ht="15" hidden="false" customHeight="false" outlineLevel="0" collapsed="false">
      <c r="F2144" s="41" t="str">
        <f aca="false">IF(E2144="","",IFERROR(VLOOKUP(E2144,Assumptions!$G$5:$H$16,2,0),"Other"))</f>
        <v/>
      </c>
      <c r="J2144" s="41" t="str">
        <f aca="false">IF(G2144="","",IFERROR(IF(ISNUMBER(SEARCH(Assumptions!$C$5,G2144)),Assumptions!$D$5,IF(ISNUMBER(SEARCH(Assumptions!$C$6,G2144)),Assumptions!$D$6,IF(ISNUMBER(SEARCH(Assumptions!$C$7,G2144)),Assumptions!$D$7,"Other Services"))),"Other Services"))</f>
        <v/>
      </c>
    </row>
    <row r="2145" customFormat="false" ht="15" hidden="false" customHeight="false" outlineLevel="0" collapsed="false">
      <c r="F2145" s="41" t="str">
        <f aca="false">IF(E2145="","",IFERROR(VLOOKUP(E2145,Assumptions!$G$5:$H$16,2,0),"Other"))</f>
        <v/>
      </c>
      <c r="J2145" s="41" t="str">
        <f aca="false">IF(G2145="","",IFERROR(IF(ISNUMBER(SEARCH(Assumptions!$C$5,G2145)),Assumptions!$D$5,IF(ISNUMBER(SEARCH(Assumptions!$C$6,G2145)),Assumptions!$D$6,IF(ISNUMBER(SEARCH(Assumptions!$C$7,G2145)),Assumptions!$D$7,"Other Services"))),"Other Services"))</f>
        <v/>
      </c>
    </row>
    <row r="2146" customFormat="false" ht="15" hidden="false" customHeight="false" outlineLevel="0" collapsed="false">
      <c r="F2146" s="41" t="str">
        <f aca="false">IF(E2146="","",IFERROR(VLOOKUP(E2146,Assumptions!$G$5:$H$16,2,0),"Other"))</f>
        <v/>
      </c>
      <c r="J2146" s="41" t="str">
        <f aca="false">IF(G2146="","",IFERROR(IF(ISNUMBER(SEARCH(Assumptions!$C$5,G2146)),Assumptions!$D$5,IF(ISNUMBER(SEARCH(Assumptions!$C$6,G2146)),Assumptions!$D$6,IF(ISNUMBER(SEARCH(Assumptions!$C$7,G2146)),Assumptions!$D$7,"Other Services"))),"Other Services"))</f>
        <v/>
      </c>
    </row>
    <row r="2147" customFormat="false" ht="15" hidden="false" customHeight="false" outlineLevel="0" collapsed="false">
      <c r="F2147" s="41" t="str">
        <f aca="false">IF(E2147="","",IFERROR(VLOOKUP(E2147,Assumptions!$G$5:$H$16,2,0),"Other"))</f>
        <v/>
      </c>
      <c r="J2147" s="41" t="str">
        <f aca="false">IF(G2147="","",IFERROR(IF(ISNUMBER(SEARCH(Assumptions!$C$5,G2147)),Assumptions!$D$5,IF(ISNUMBER(SEARCH(Assumptions!$C$6,G2147)),Assumptions!$D$6,IF(ISNUMBER(SEARCH(Assumptions!$C$7,G2147)),Assumptions!$D$7,"Other Services"))),"Other Services"))</f>
        <v/>
      </c>
    </row>
    <row r="2148" customFormat="false" ht="15" hidden="false" customHeight="false" outlineLevel="0" collapsed="false">
      <c r="F2148" s="41" t="str">
        <f aca="false">IF(E2148="","",IFERROR(VLOOKUP(E2148,Assumptions!$G$5:$H$16,2,0),"Other"))</f>
        <v/>
      </c>
      <c r="J2148" s="41" t="str">
        <f aca="false">IF(G2148="","",IFERROR(IF(ISNUMBER(SEARCH(Assumptions!$C$5,G2148)),Assumptions!$D$5,IF(ISNUMBER(SEARCH(Assumptions!$C$6,G2148)),Assumptions!$D$6,IF(ISNUMBER(SEARCH(Assumptions!$C$7,G2148)),Assumptions!$D$7,"Other Services"))),"Other Services"))</f>
        <v/>
      </c>
    </row>
    <row r="2149" customFormat="false" ht="15" hidden="false" customHeight="false" outlineLevel="0" collapsed="false">
      <c r="F2149" s="41" t="str">
        <f aca="false">IF(E2149="","",IFERROR(VLOOKUP(E2149,Assumptions!$G$5:$H$16,2,0),"Other"))</f>
        <v/>
      </c>
      <c r="J2149" s="41" t="str">
        <f aca="false">IF(G2149="","",IFERROR(IF(ISNUMBER(SEARCH(Assumptions!$C$5,G2149)),Assumptions!$D$5,IF(ISNUMBER(SEARCH(Assumptions!$C$6,G2149)),Assumptions!$D$6,IF(ISNUMBER(SEARCH(Assumptions!$C$7,G2149)),Assumptions!$D$7,"Other Services"))),"Other Services"))</f>
        <v/>
      </c>
    </row>
    <row r="2150" customFormat="false" ht="15" hidden="false" customHeight="false" outlineLevel="0" collapsed="false">
      <c r="F2150" s="41" t="str">
        <f aca="false">IF(E2150="","",IFERROR(VLOOKUP(E2150,Assumptions!$G$5:$H$16,2,0),"Other"))</f>
        <v/>
      </c>
      <c r="J2150" s="41" t="str">
        <f aca="false">IF(G2150="","",IFERROR(IF(ISNUMBER(SEARCH(Assumptions!$C$5,G2150)),Assumptions!$D$5,IF(ISNUMBER(SEARCH(Assumptions!$C$6,G2150)),Assumptions!$D$6,IF(ISNUMBER(SEARCH(Assumptions!$C$7,G2150)),Assumptions!$D$7,"Other Services"))),"Other Services"))</f>
        <v/>
      </c>
    </row>
    <row r="2151" customFormat="false" ht="15" hidden="false" customHeight="false" outlineLevel="0" collapsed="false">
      <c r="F2151" s="41" t="str">
        <f aca="false">IF(E2151="","",IFERROR(VLOOKUP(E2151,Assumptions!$G$5:$H$16,2,0),"Other"))</f>
        <v/>
      </c>
      <c r="J2151" s="41" t="str">
        <f aca="false">IF(G2151="","",IFERROR(IF(ISNUMBER(SEARCH(Assumptions!$C$5,G2151)),Assumptions!$D$5,IF(ISNUMBER(SEARCH(Assumptions!$C$6,G2151)),Assumptions!$D$6,IF(ISNUMBER(SEARCH(Assumptions!$C$7,G2151)),Assumptions!$D$7,"Other Services"))),"Other Services"))</f>
        <v/>
      </c>
    </row>
    <row r="2152" customFormat="false" ht="15" hidden="false" customHeight="false" outlineLevel="0" collapsed="false">
      <c r="F2152" s="41" t="str">
        <f aca="false">IF(E2152="","",IFERROR(VLOOKUP(E2152,Assumptions!$G$5:$H$16,2,0),"Other"))</f>
        <v/>
      </c>
      <c r="J2152" s="41" t="str">
        <f aca="false">IF(G2152="","",IFERROR(IF(ISNUMBER(SEARCH(Assumptions!$C$5,G2152)),Assumptions!$D$5,IF(ISNUMBER(SEARCH(Assumptions!$C$6,G2152)),Assumptions!$D$6,IF(ISNUMBER(SEARCH(Assumptions!$C$7,G2152)),Assumptions!$D$7,"Other Services"))),"Other Services"))</f>
        <v/>
      </c>
    </row>
    <row r="2153" customFormat="false" ht="15" hidden="false" customHeight="false" outlineLevel="0" collapsed="false">
      <c r="F2153" s="41" t="str">
        <f aca="false">IF(E2153="","",IFERROR(VLOOKUP(E2153,Assumptions!$G$5:$H$16,2,0),"Other"))</f>
        <v/>
      </c>
      <c r="J2153" s="41" t="str">
        <f aca="false">IF(G2153="","",IFERROR(IF(ISNUMBER(SEARCH(Assumptions!$C$5,G2153)),Assumptions!$D$5,IF(ISNUMBER(SEARCH(Assumptions!$C$6,G2153)),Assumptions!$D$6,IF(ISNUMBER(SEARCH(Assumptions!$C$7,G2153)),Assumptions!$D$7,"Other Services"))),"Other Services"))</f>
        <v/>
      </c>
    </row>
    <row r="2154" customFormat="false" ht="15" hidden="false" customHeight="false" outlineLevel="0" collapsed="false">
      <c r="F2154" s="41" t="str">
        <f aca="false">IF(E2154="","",IFERROR(VLOOKUP(E2154,Assumptions!$G$5:$H$16,2,0),"Other"))</f>
        <v/>
      </c>
      <c r="J2154" s="41" t="str">
        <f aca="false">IF(G2154="","",IFERROR(IF(ISNUMBER(SEARCH(Assumptions!$C$5,G2154)),Assumptions!$D$5,IF(ISNUMBER(SEARCH(Assumptions!$C$6,G2154)),Assumptions!$D$6,IF(ISNUMBER(SEARCH(Assumptions!$C$7,G2154)),Assumptions!$D$7,"Other Services"))),"Other Services"))</f>
        <v/>
      </c>
    </row>
    <row r="2155" customFormat="false" ht="15" hidden="false" customHeight="false" outlineLevel="0" collapsed="false">
      <c r="F2155" s="41" t="str">
        <f aca="false">IF(E2155="","",IFERROR(VLOOKUP(E2155,Assumptions!$G$5:$H$16,2,0),"Other"))</f>
        <v/>
      </c>
      <c r="J2155" s="41" t="str">
        <f aca="false">IF(G2155="","",IFERROR(IF(ISNUMBER(SEARCH(Assumptions!$C$5,G2155)),Assumptions!$D$5,IF(ISNUMBER(SEARCH(Assumptions!$C$6,G2155)),Assumptions!$D$6,IF(ISNUMBER(SEARCH(Assumptions!$C$7,G2155)),Assumptions!$D$7,"Other Services"))),"Other Services"))</f>
        <v/>
      </c>
    </row>
    <row r="2156" customFormat="false" ht="15" hidden="false" customHeight="false" outlineLevel="0" collapsed="false">
      <c r="F2156" s="41" t="str">
        <f aca="false">IF(E2156="","",IFERROR(VLOOKUP(E2156,Assumptions!$G$5:$H$16,2,0),"Other"))</f>
        <v/>
      </c>
      <c r="J2156" s="41" t="str">
        <f aca="false">IF(G2156="","",IFERROR(IF(ISNUMBER(SEARCH(Assumptions!$C$5,G2156)),Assumptions!$D$5,IF(ISNUMBER(SEARCH(Assumptions!$C$6,G2156)),Assumptions!$D$6,IF(ISNUMBER(SEARCH(Assumptions!$C$7,G2156)),Assumptions!$D$7,"Other Services"))),"Other Services"))</f>
        <v/>
      </c>
    </row>
    <row r="2157" customFormat="false" ht="15" hidden="false" customHeight="false" outlineLevel="0" collapsed="false">
      <c r="F2157" s="41" t="str">
        <f aca="false">IF(E2157="","",IFERROR(VLOOKUP(E2157,Assumptions!$G$5:$H$16,2,0),"Other"))</f>
        <v/>
      </c>
      <c r="J2157" s="41" t="str">
        <f aca="false">IF(G2157="","",IFERROR(IF(ISNUMBER(SEARCH(Assumptions!$C$5,G2157)),Assumptions!$D$5,IF(ISNUMBER(SEARCH(Assumptions!$C$6,G2157)),Assumptions!$D$6,IF(ISNUMBER(SEARCH(Assumptions!$C$7,G2157)),Assumptions!$D$7,"Other Services"))),"Other Services"))</f>
        <v/>
      </c>
    </row>
    <row r="2158" customFormat="false" ht="15" hidden="false" customHeight="false" outlineLevel="0" collapsed="false">
      <c r="F2158" s="41" t="str">
        <f aca="false">IF(E2158="","",IFERROR(VLOOKUP(E2158,Assumptions!$G$5:$H$16,2,0),"Other"))</f>
        <v/>
      </c>
      <c r="J2158" s="41" t="str">
        <f aca="false">IF(G2158="","",IFERROR(IF(ISNUMBER(SEARCH(Assumptions!$C$5,G2158)),Assumptions!$D$5,IF(ISNUMBER(SEARCH(Assumptions!$C$6,G2158)),Assumptions!$D$6,IF(ISNUMBER(SEARCH(Assumptions!$C$7,G2158)),Assumptions!$D$7,"Other Services"))),"Other Services"))</f>
        <v/>
      </c>
    </row>
    <row r="2159" customFormat="false" ht="15" hidden="false" customHeight="false" outlineLevel="0" collapsed="false">
      <c r="F2159" s="41" t="str">
        <f aca="false">IF(E2159="","",IFERROR(VLOOKUP(E2159,Assumptions!$G$5:$H$16,2,0),"Other"))</f>
        <v/>
      </c>
      <c r="J2159" s="41" t="str">
        <f aca="false">IF(G2159="","",IFERROR(IF(ISNUMBER(SEARCH(Assumptions!$C$5,G2159)),Assumptions!$D$5,IF(ISNUMBER(SEARCH(Assumptions!$C$6,G2159)),Assumptions!$D$6,IF(ISNUMBER(SEARCH(Assumptions!$C$7,G2159)),Assumptions!$D$7,"Other Services"))),"Other Services"))</f>
        <v/>
      </c>
    </row>
    <row r="2160" customFormat="false" ht="15" hidden="false" customHeight="false" outlineLevel="0" collapsed="false">
      <c r="F2160" s="41" t="str">
        <f aca="false">IF(E2160="","",IFERROR(VLOOKUP(E2160,Assumptions!$G$5:$H$16,2,0),"Other"))</f>
        <v/>
      </c>
      <c r="J2160" s="41" t="str">
        <f aca="false">IF(G2160="","",IFERROR(IF(ISNUMBER(SEARCH(Assumptions!$C$5,G2160)),Assumptions!$D$5,IF(ISNUMBER(SEARCH(Assumptions!$C$6,G2160)),Assumptions!$D$6,IF(ISNUMBER(SEARCH(Assumptions!$C$7,G2160)),Assumptions!$D$7,"Other Services"))),"Other Services"))</f>
        <v/>
      </c>
    </row>
    <row r="2161" customFormat="false" ht="15" hidden="false" customHeight="false" outlineLevel="0" collapsed="false">
      <c r="F2161" s="41" t="str">
        <f aca="false">IF(E2161="","",IFERROR(VLOOKUP(E2161,Assumptions!$G$5:$H$16,2,0),"Other"))</f>
        <v/>
      </c>
      <c r="J2161" s="41" t="str">
        <f aca="false">IF(G2161="","",IFERROR(IF(ISNUMBER(SEARCH(Assumptions!$C$5,G2161)),Assumptions!$D$5,IF(ISNUMBER(SEARCH(Assumptions!$C$6,G2161)),Assumptions!$D$6,IF(ISNUMBER(SEARCH(Assumptions!$C$7,G2161)),Assumptions!$D$7,"Other Services"))),"Other Services"))</f>
        <v/>
      </c>
    </row>
    <row r="2162" customFormat="false" ht="15" hidden="false" customHeight="false" outlineLevel="0" collapsed="false">
      <c r="F2162" s="41" t="str">
        <f aca="false">IF(E2162="","",IFERROR(VLOOKUP(E2162,Assumptions!$G$5:$H$16,2,0),"Other"))</f>
        <v/>
      </c>
      <c r="J2162" s="41" t="str">
        <f aca="false">IF(G2162="","",IFERROR(IF(ISNUMBER(SEARCH(Assumptions!$C$5,G2162)),Assumptions!$D$5,IF(ISNUMBER(SEARCH(Assumptions!$C$6,G2162)),Assumptions!$D$6,IF(ISNUMBER(SEARCH(Assumptions!$C$7,G2162)),Assumptions!$D$7,"Other Services"))),"Other Services"))</f>
        <v/>
      </c>
    </row>
    <row r="2163" customFormat="false" ht="15" hidden="false" customHeight="false" outlineLevel="0" collapsed="false">
      <c r="F2163" s="41" t="str">
        <f aca="false">IF(E2163="","",IFERROR(VLOOKUP(E2163,Assumptions!$G$5:$H$16,2,0),"Other"))</f>
        <v/>
      </c>
      <c r="J2163" s="41" t="str">
        <f aca="false">IF(G2163="","",IFERROR(IF(ISNUMBER(SEARCH(Assumptions!$C$5,G2163)),Assumptions!$D$5,IF(ISNUMBER(SEARCH(Assumptions!$C$6,G2163)),Assumptions!$D$6,IF(ISNUMBER(SEARCH(Assumptions!$C$7,G2163)),Assumptions!$D$7,"Other Services"))),"Other Services"))</f>
        <v/>
      </c>
    </row>
    <row r="2164" customFormat="false" ht="15" hidden="false" customHeight="false" outlineLevel="0" collapsed="false">
      <c r="F2164" s="41" t="str">
        <f aca="false">IF(E2164="","",IFERROR(VLOOKUP(E2164,Assumptions!$G$5:$H$16,2,0),"Other"))</f>
        <v/>
      </c>
      <c r="J2164" s="41" t="str">
        <f aca="false">IF(G2164="","",IFERROR(IF(ISNUMBER(SEARCH(Assumptions!$C$5,G2164)),Assumptions!$D$5,IF(ISNUMBER(SEARCH(Assumptions!$C$6,G2164)),Assumptions!$D$6,IF(ISNUMBER(SEARCH(Assumptions!$C$7,G2164)),Assumptions!$D$7,"Other Services"))),"Other Services"))</f>
        <v/>
      </c>
    </row>
    <row r="2165" customFormat="false" ht="15" hidden="false" customHeight="false" outlineLevel="0" collapsed="false">
      <c r="F2165" s="41" t="str">
        <f aca="false">IF(E2165="","",IFERROR(VLOOKUP(E2165,Assumptions!$G$5:$H$16,2,0),"Other"))</f>
        <v/>
      </c>
      <c r="J2165" s="41" t="str">
        <f aca="false">IF(G2165="","",IFERROR(IF(ISNUMBER(SEARCH(Assumptions!$C$5,G2165)),Assumptions!$D$5,IF(ISNUMBER(SEARCH(Assumptions!$C$6,G2165)),Assumptions!$D$6,IF(ISNUMBER(SEARCH(Assumptions!$C$7,G2165)),Assumptions!$D$7,"Other Services"))),"Other Services"))</f>
        <v/>
      </c>
    </row>
    <row r="2166" customFormat="false" ht="15" hidden="false" customHeight="false" outlineLevel="0" collapsed="false">
      <c r="F2166" s="41" t="str">
        <f aca="false">IF(E2166="","",IFERROR(VLOOKUP(E2166,Assumptions!$G$5:$H$16,2,0),"Other"))</f>
        <v/>
      </c>
      <c r="J2166" s="41" t="str">
        <f aca="false">IF(G2166="","",IFERROR(IF(ISNUMBER(SEARCH(Assumptions!$C$5,G2166)),Assumptions!$D$5,IF(ISNUMBER(SEARCH(Assumptions!$C$6,G2166)),Assumptions!$D$6,IF(ISNUMBER(SEARCH(Assumptions!$C$7,G2166)),Assumptions!$D$7,"Other Services"))),"Other Services"))</f>
        <v/>
      </c>
    </row>
    <row r="2167" customFormat="false" ht="15" hidden="false" customHeight="false" outlineLevel="0" collapsed="false">
      <c r="F2167" s="41" t="str">
        <f aca="false">IF(E2167="","",IFERROR(VLOOKUP(E2167,Assumptions!$G$5:$H$16,2,0),"Other"))</f>
        <v/>
      </c>
      <c r="J2167" s="41" t="str">
        <f aca="false">IF(G2167="","",IFERROR(IF(ISNUMBER(SEARCH(Assumptions!$C$5,G2167)),Assumptions!$D$5,IF(ISNUMBER(SEARCH(Assumptions!$C$6,G2167)),Assumptions!$D$6,IF(ISNUMBER(SEARCH(Assumptions!$C$7,G2167)),Assumptions!$D$7,"Other Services"))),"Other Services"))</f>
        <v/>
      </c>
    </row>
    <row r="2168" customFormat="false" ht="15" hidden="false" customHeight="false" outlineLevel="0" collapsed="false">
      <c r="F2168" s="41" t="str">
        <f aca="false">IF(E2168="","",IFERROR(VLOOKUP(E2168,Assumptions!$G$5:$H$16,2,0),"Other"))</f>
        <v/>
      </c>
      <c r="J2168" s="41" t="str">
        <f aca="false">IF(G2168="","",IFERROR(IF(ISNUMBER(SEARCH(Assumptions!$C$5,G2168)),Assumptions!$D$5,IF(ISNUMBER(SEARCH(Assumptions!$C$6,G2168)),Assumptions!$D$6,IF(ISNUMBER(SEARCH(Assumptions!$C$7,G2168)),Assumptions!$D$7,"Other Services"))),"Other Services"))</f>
        <v/>
      </c>
    </row>
    <row r="2169" customFormat="false" ht="15" hidden="false" customHeight="false" outlineLevel="0" collapsed="false">
      <c r="F2169" s="41" t="str">
        <f aca="false">IF(E2169="","",IFERROR(VLOOKUP(E2169,Assumptions!$G$5:$H$16,2,0),"Other"))</f>
        <v/>
      </c>
      <c r="J2169" s="41" t="str">
        <f aca="false">IF(G2169="","",IFERROR(IF(ISNUMBER(SEARCH(Assumptions!$C$5,G2169)),Assumptions!$D$5,IF(ISNUMBER(SEARCH(Assumptions!$C$6,G2169)),Assumptions!$D$6,IF(ISNUMBER(SEARCH(Assumptions!$C$7,G2169)),Assumptions!$D$7,"Other Services"))),"Other Services"))</f>
        <v/>
      </c>
    </row>
    <row r="2170" customFormat="false" ht="15" hidden="false" customHeight="false" outlineLevel="0" collapsed="false">
      <c r="F2170" s="41" t="str">
        <f aca="false">IF(E2170="","",IFERROR(VLOOKUP(E2170,Assumptions!$G$5:$H$16,2,0),"Other"))</f>
        <v/>
      </c>
      <c r="J2170" s="41" t="str">
        <f aca="false">IF(G2170="","",IFERROR(IF(ISNUMBER(SEARCH(Assumptions!$C$5,G2170)),Assumptions!$D$5,IF(ISNUMBER(SEARCH(Assumptions!$C$6,G2170)),Assumptions!$D$6,IF(ISNUMBER(SEARCH(Assumptions!$C$7,G2170)),Assumptions!$D$7,"Other Services"))),"Other Services"))</f>
        <v/>
      </c>
    </row>
    <row r="2171" customFormat="false" ht="15" hidden="false" customHeight="false" outlineLevel="0" collapsed="false">
      <c r="F2171" s="41" t="str">
        <f aca="false">IF(E2171="","",IFERROR(VLOOKUP(E2171,Assumptions!$G$5:$H$16,2,0),"Other"))</f>
        <v/>
      </c>
      <c r="J2171" s="41" t="str">
        <f aca="false">IF(G2171="","",IFERROR(IF(ISNUMBER(SEARCH(Assumptions!$C$5,G2171)),Assumptions!$D$5,IF(ISNUMBER(SEARCH(Assumptions!$C$6,G2171)),Assumptions!$D$6,IF(ISNUMBER(SEARCH(Assumptions!$C$7,G2171)),Assumptions!$D$7,"Other Services"))),"Other Services"))</f>
        <v/>
      </c>
    </row>
    <row r="2172" customFormat="false" ht="15" hidden="false" customHeight="false" outlineLevel="0" collapsed="false">
      <c r="F2172" s="41" t="str">
        <f aca="false">IF(E2172="","",IFERROR(VLOOKUP(E2172,Assumptions!$G$5:$H$16,2,0),"Other"))</f>
        <v/>
      </c>
      <c r="J2172" s="41" t="str">
        <f aca="false">IF(G2172="","",IFERROR(IF(ISNUMBER(SEARCH(Assumptions!$C$5,G2172)),Assumptions!$D$5,IF(ISNUMBER(SEARCH(Assumptions!$C$6,G2172)),Assumptions!$D$6,IF(ISNUMBER(SEARCH(Assumptions!$C$7,G2172)),Assumptions!$D$7,"Other Services"))),"Other Services"))</f>
        <v/>
      </c>
    </row>
    <row r="2173" customFormat="false" ht="15" hidden="false" customHeight="false" outlineLevel="0" collapsed="false">
      <c r="F2173" s="41" t="str">
        <f aca="false">IF(E2173="","",IFERROR(VLOOKUP(E2173,Assumptions!$G$5:$H$16,2,0),"Other"))</f>
        <v/>
      </c>
      <c r="J2173" s="41" t="str">
        <f aca="false">IF(G2173="","",IFERROR(IF(ISNUMBER(SEARCH(Assumptions!$C$5,G2173)),Assumptions!$D$5,IF(ISNUMBER(SEARCH(Assumptions!$C$6,G2173)),Assumptions!$D$6,IF(ISNUMBER(SEARCH(Assumptions!$C$7,G2173)),Assumptions!$D$7,"Other Services"))),"Other Services"))</f>
        <v/>
      </c>
    </row>
    <row r="2174" customFormat="false" ht="15" hidden="false" customHeight="false" outlineLevel="0" collapsed="false">
      <c r="F2174" s="41" t="str">
        <f aca="false">IF(E2174="","",IFERROR(VLOOKUP(E2174,Assumptions!$G$5:$H$16,2,0),"Other"))</f>
        <v/>
      </c>
      <c r="J2174" s="41" t="str">
        <f aca="false">IF(G2174="","",IFERROR(IF(ISNUMBER(SEARCH(Assumptions!$C$5,G2174)),Assumptions!$D$5,IF(ISNUMBER(SEARCH(Assumptions!$C$6,G2174)),Assumptions!$D$6,IF(ISNUMBER(SEARCH(Assumptions!$C$7,G2174)),Assumptions!$D$7,"Other Services"))),"Other Services"))</f>
        <v/>
      </c>
    </row>
    <row r="2175" customFormat="false" ht="15" hidden="false" customHeight="false" outlineLevel="0" collapsed="false">
      <c r="F2175" s="41" t="str">
        <f aca="false">IF(E2175="","",IFERROR(VLOOKUP(E2175,Assumptions!$G$5:$H$16,2,0),"Other"))</f>
        <v/>
      </c>
      <c r="J2175" s="41" t="str">
        <f aca="false">IF(G2175="","",IFERROR(IF(ISNUMBER(SEARCH(Assumptions!$C$5,G2175)),Assumptions!$D$5,IF(ISNUMBER(SEARCH(Assumptions!$C$6,G2175)),Assumptions!$D$6,IF(ISNUMBER(SEARCH(Assumptions!$C$7,G2175)),Assumptions!$D$7,"Other Services"))),"Other Services"))</f>
        <v/>
      </c>
    </row>
    <row r="2176" customFormat="false" ht="15" hidden="false" customHeight="false" outlineLevel="0" collapsed="false">
      <c r="F2176" s="41" t="str">
        <f aca="false">IF(E2176="","",IFERROR(VLOOKUP(E2176,Assumptions!$G$5:$H$16,2,0),"Other"))</f>
        <v/>
      </c>
      <c r="J2176" s="41" t="str">
        <f aca="false">IF(G2176="","",IFERROR(IF(ISNUMBER(SEARCH(Assumptions!$C$5,G2176)),Assumptions!$D$5,IF(ISNUMBER(SEARCH(Assumptions!$C$6,G2176)),Assumptions!$D$6,IF(ISNUMBER(SEARCH(Assumptions!$C$7,G2176)),Assumptions!$D$7,"Other Services"))),"Other Services"))</f>
        <v/>
      </c>
    </row>
    <row r="2177" customFormat="false" ht="15" hidden="false" customHeight="false" outlineLevel="0" collapsed="false">
      <c r="F2177" s="41" t="str">
        <f aca="false">IF(E2177="","",IFERROR(VLOOKUP(E2177,Assumptions!$G$5:$H$16,2,0),"Other"))</f>
        <v/>
      </c>
      <c r="J2177" s="41" t="str">
        <f aca="false">IF(G2177="","",IFERROR(IF(ISNUMBER(SEARCH(Assumptions!$C$5,G2177)),Assumptions!$D$5,IF(ISNUMBER(SEARCH(Assumptions!$C$6,G2177)),Assumptions!$D$6,IF(ISNUMBER(SEARCH(Assumptions!$C$7,G2177)),Assumptions!$D$7,"Other Services"))),"Other Services"))</f>
        <v/>
      </c>
    </row>
    <row r="2178" customFormat="false" ht="15" hidden="false" customHeight="false" outlineLevel="0" collapsed="false">
      <c r="F2178" s="41" t="str">
        <f aca="false">IF(E2178="","",IFERROR(VLOOKUP(E2178,Assumptions!$G$5:$H$16,2,0),"Other"))</f>
        <v/>
      </c>
      <c r="J2178" s="41" t="str">
        <f aca="false">IF(G2178="","",IFERROR(IF(ISNUMBER(SEARCH(Assumptions!$C$5,G2178)),Assumptions!$D$5,IF(ISNUMBER(SEARCH(Assumptions!$C$6,G2178)),Assumptions!$D$6,IF(ISNUMBER(SEARCH(Assumptions!$C$7,G2178)),Assumptions!$D$7,"Other Services"))),"Other Services"))</f>
        <v/>
      </c>
    </row>
    <row r="2179" customFormat="false" ht="15" hidden="false" customHeight="false" outlineLevel="0" collapsed="false">
      <c r="F2179" s="41" t="str">
        <f aca="false">IF(E2179="","",IFERROR(VLOOKUP(E2179,Assumptions!$G$5:$H$16,2,0),"Other"))</f>
        <v/>
      </c>
      <c r="J2179" s="41" t="str">
        <f aca="false">IF(G2179="","",IFERROR(IF(ISNUMBER(SEARCH(Assumptions!$C$5,G2179)),Assumptions!$D$5,IF(ISNUMBER(SEARCH(Assumptions!$C$6,G2179)),Assumptions!$D$6,IF(ISNUMBER(SEARCH(Assumptions!$C$7,G2179)),Assumptions!$D$7,"Other Services"))),"Other Services"))</f>
        <v/>
      </c>
    </row>
    <row r="2180" customFormat="false" ht="15" hidden="false" customHeight="false" outlineLevel="0" collapsed="false">
      <c r="F2180" s="41" t="str">
        <f aca="false">IF(E2180="","",IFERROR(VLOOKUP(E2180,Assumptions!$G$5:$H$16,2,0),"Other"))</f>
        <v/>
      </c>
      <c r="J2180" s="41" t="str">
        <f aca="false">IF(G2180="","",IFERROR(IF(ISNUMBER(SEARCH(Assumptions!$C$5,G2180)),Assumptions!$D$5,IF(ISNUMBER(SEARCH(Assumptions!$C$6,G2180)),Assumptions!$D$6,IF(ISNUMBER(SEARCH(Assumptions!$C$7,G2180)),Assumptions!$D$7,"Other Services"))),"Other Services"))</f>
        <v/>
      </c>
    </row>
    <row r="2181" customFormat="false" ht="15" hidden="false" customHeight="false" outlineLevel="0" collapsed="false">
      <c r="F2181" s="41" t="str">
        <f aca="false">IF(E2181="","",IFERROR(VLOOKUP(E2181,Assumptions!$G$5:$H$16,2,0),"Other"))</f>
        <v/>
      </c>
      <c r="J2181" s="41" t="str">
        <f aca="false">IF(G2181="","",IFERROR(IF(ISNUMBER(SEARCH(Assumptions!$C$5,G2181)),Assumptions!$D$5,IF(ISNUMBER(SEARCH(Assumptions!$C$6,G2181)),Assumptions!$D$6,IF(ISNUMBER(SEARCH(Assumptions!$C$7,G2181)),Assumptions!$D$7,"Other Services"))),"Other Services"))</f>
        <v/>
      </c>
    </row>
    <row r="2182" customFormat="false" ht="15" hidden="false" customHeight="false" outlineLevel="0" collapsed="false">
      <c r="F2182" s="41" t="str">
        <f aca="false">IF(E2182="","",IFERROR(VLOOKUP(E2182,Assumptions!$G$5:$H$16,2,0),"Other"))</f>
        <v/>
      </c>
      <c r="J2182" s="41" t="str">
        <f aca="false">IF(G2182="","",IFERROR(IF(ISNUMBER(SEARCH(Assumptions!$C$5,G2182)),Assumptions!$D$5,IF(ISNUMBER(SEARCH(Assumptions!$C$6,G2182)),Assumptions!$D$6,IF(ISNUMBER(SEARCH(Assumptions!$C$7,G2182)),Assumptions!$D$7,"Other Services"))),"Other Services"))</f>
        <v/>
      </c>
    </row>
    <row r="2183" customFormat="false" ht="15" hidden="false" customHeight="false" outlineLevel="0" collapsed="false">
      <c r="F2183" s="41" t="str">
        <f aca="false">IF(E2183="","",IFERROR(VLOOKUP(E2183,Assumptions!$G$5:$H$16,2,0),"Other"))</f>
        <v/>
      </c>
      <c r="J2183" s="41" t="str">
        <f aca="false">IF(G2183="","",IFERROR(IF(ISNUMBER(SEARCH(Assumptions!$C$5,G2183)),Assumptions!$D$5,IF(ISNUMBER(SEARCH(Assumptions!$C$6,G2183)),Assumptions!$D$6,IF(ISNUMBER(SEARCH(Assumptions!$C$7,G2183)),Assumptions!$D$7,"Other Services"))),"Other Services"))</f>
        <v/>
      </c>
    </row>
    <row r="2184" customFormat="false" ht="15" hidden="false" customHeight="false" outlineLevel="0" collapsed="false">
      <c r="F2184" s="41" t="str">
        <f aca="false">IF(E2184="","",IFERROR(VLOOKUP(E2184,Assumptions!$G$5:$H$16,2,0),"Other"))</f>
        <v/>
      </c>
      <c r="J2184" s="41" t="str">
        <f aca="false">IF(G2184="","",IFERROR(IF(ISNUMBER(SEARCH(Assumptions!$C$5,G2184)),Assumptions!$D$5,IF(ISNUMBER(SEARCH(Assumptions!$C$6,G2184)),Assumptions!$D$6,IF(ISNUMBER(SEARCH(Assumptions!$C$7,G2184)),Assumptions!$D$7,"Other Services"))),"Other Services"))</f>
        <v/>
      </c>
    </row>
    <row r="2185" customFormat="false" ht="15" hidden="false" customHeight="false" outlineLevel="0" collapsed="false">
      <c r="F2185" s="41" t="str">
        <f aca="false">IF(E2185="","",IFERROR(VLOOKUP(E2185,Assumptions!$G$5:$H$16,2,0),"Other"))</f>
        <v/>
      </c>
      <c r="J2185" s="41" t="str">
        <f aca="false">IF(G2185="","",IFERROR(IF(ISNUMBER(SEARCH(Assumptions!$C$5,G2185)),Assumptions!$D$5,IF(ISNUMBER(SEARCH(Assumptions!$C$6,G2185)),Assumptions!$D$6,IF(ISNUMBER(SEARCH(Assumptions!$C$7,G2185)),Assumptions!$D$7,"Other Services"))),"Other Services"))</f>
        <v/>
      </c>
    </row>
    <row r="2186" customFormat="false" ht="15" hidden="false" customHeight="false" outlineLevel="0" collapsed="false">
      <c r="F2186" s="41" t="str">
        <f aca="false">IF(E2186="","",IFERROR(VLOOKUP(E2186,Assumptions!$G$5:$H$16,2,0),"Other"))</f>
        <v/>
      </c>
      <c r="J2186" s="41" t="str">
        <f aca="false">IF(G2186="","",IFERROR(IF(ISNUMBER(SEARCH(Assumptions!$C$5,G2186)),Assumptions!$D$5,IF(ISNUMBER(SEARCH(Assumptions!$C$6,G2186)),Assumptions!$D$6,IF(ISNUMBER(SEARCH(Assumptions!$C$7,G2186)),Assumptions!$D$7,"Other Services"))),"Other Services"))</f>
        <v/>
      </c>
    </row>
    <row r="2187" customFormat="false" ht="15" hidden="false" customHeight="false" outlineLevel="0" collapsed="false">
      <c r="F2187" s="41" t="str">
        <f aca="false">IF(E2187="","",IFERROR(VLOOKUP(E2187,Assumptions!$G$5:$H$16,2,0),"Other"))</f>
        <v/>
      </c>
      <c r="J2187" s="41" t="str">
        <f aca="false">IF(G2187="","",IFERROR(IF(ISNUMBER(SEARCH(Assumptions!$C$5,G2187)),Assumptions!$D$5,IF(ISNUMBER(SEARCH(Assumptions!$C$6,G2187)),Assumptions!$D$6,IF(ISNUMBER(SEARCH(Assumptions!$C$7,G2187)),Assumptions!$D$7,"Other Services"))),"Other Services"))</f>
        <v/>
      </c>
    </row>
    <row r="2188" customFormat="false" ht="15" hidden="false" customHeight="false" outlineLevel="0" collapsed="false">
      <c r="F2188" s="41" t="str">
        <f aca="false">IF(E2188="","",IFERROR(VLOOKUP(E2188,Assumptions!$G$5:$H$16,2,0),"Other"))</f>
        <v/>
      </c>
      <c r="J2188" s="41" t="str">
        <f aca="false">IF(G2188="","",IFERROR(IF(ISNUMBER(SEARCH(Assumptions!$C$5,G2188)),Assumptions!$D$5,IF(ISNUMBER(SEARCH(Assumptions!$C$6,G2188)),Assumptions!$D$6,IF(ISNUMBER(SEARCH(Assumptions!$C$7,G2188)),Assumptions!$D$7,"Other Services"))),"Other Services"))</f>
        <v/>
      </c>
    </row>
    <row r="2189" customFormat="false" ht="15" hidden="false" customHeight="false" outlineLevel="0" collapsed="false">
      <c r="F2189" s="41" t="str">
        <f aca="false">IF(E2189="","",IFERROR(VLOOKUP(E2189,Assumptions!$G$5:$H$16,2,0),"Other"))</f>
        <v/>
      </c>
      <c r="J2189" s="41" t="str">
        <f aca="false">IF(G2189="","",IFERROR(IF(ISNUMBER(SEARCH(Assumptions!$C$5,G2189)),Assumptions!$D$5,IF(ISNUMBER(SEARCH(Assumptions!$C$6,G2189)),Assumptions!$D$6,IF(ISNUMBER(SEARCH(Assumptions!$C$7,G2189)),Assumptions!$D$7,"Other Services"))),"Other Services"))</f>
        <v/>
      </c>
    </row>
    <row r="2190" customFormat="false" ht="15" hidden="false" customHeight="false" outlineLevel="0" collapsed="false">
      <c r="F2190" s="41" t="str">
        <f aca="false">IF(E2190="","",IFERROR(VLOOKUP(E2190,Assumptions!$G$5:$H$16,2,0),"Other"))</f>
        <v/>
      </c>
      <c r="J2190" s="41" t="str">
        <f aca="false">IF(G2190="","",IFERROR(IF(ISNUMBER(SEARCH(Assumptions!$C$5,G2190)),Assumptions!$D$5,IF(ISNUMBER(SEARCH(Assumptions!$C$6,G2190)),Assumptions!$D$6,IF(ISNUMBER(SEARCH(Assumptions!$C$7,G2190)),Assumptions!$D$7,"Other Services"))),"Other Services"))</f>
        <v/>
      </c>
    </row>
    <row r="2191" customFormat="false" ht="15" hidden="false" customHeight="false" outlineLevel="0" collapsed="false">
      <c r="F2191" s="41" t="str">
        <f aca="false">IF(E2191="","",IFERROR(VLOOKUP(E2191,Assumptions!$G$5:$H$16,2,0),"Other"))</f>
        <v/>
      </c>
      <c r="J2191" s="41" t="str">
        <f aca="false">IF(G2191="","",IFERROR(IF(ISNUMBER(SEARCH(Assumptions!$C$5,G2191)),Assumptions!$D$5,IF(ISNUMBER(SEARCH(Assumptions!$C$6,G2191)),Assumptions!$D$6,IF(ISNUMBER(SEARCH(Assumptions!$C$7,G2191)),Assumptions!$D$7,"Other Services"))),"Other Services"))</f>
        <v/>
      </c>
    </row>
    <row r="2192" customFormat="false" ht="15" hidden="false" customHeight="false" outlineLevel="0" collapsed="false">
      <c r="F2192" s="41" t="str">
        <f aca="false">IF(E2192="","",IFERROR(VLOOKUP(E2192,Assumptions!$G$5:$H$16,2,0),"Other"))</f>
        <v/>
      </c>
      <c r="J2192" s="41" t="str">
        <f aca="false">IF(G2192="","",IFERROR(IF(ISNUMBER(SEARCH(Assumptions!$C$5,G2192)),Assumptions!$D$5,IF(ISNUMBER(SEARCH(Assumptions!$C$6,G2192)),Assumptions!$D$6,IF(ISNUMBER(SEARCH(Assumptions!$C$7,G2192)),Assumptions!$D$7,"Other Services"))),"Other Services"))</f>
        <v/>
      </c>
    </row>
    <row r="2193" customFormat="false" ht="15" hidden="false" customHeight="false" outlineLevel="0" collapsed="false">
      <c r="F2193" s="41" t="str">
        <f aca="false">IF(E2193="","",IFERROR(VLOOKUP(E2193,Assumptions!$G$5:$H$16,2,0),"Other"))</f>
        <v/>
      </c>
      <c r="J2193" s="41" t="str">
        <f aca="false">IF(G2193="","",IFERROR(IF(ISNUMBER(SEARCH(Assumptions!$C$5,G2193)),Assumptions!$D$5,IF(ISNUMBER(SEARCH(Assumptions!$C$6,G2193)),Assumptions!$D$6,IF(ISNUMBER(SEARCH(Assumptions!$C$7,G2193)),Assumptions!$D$7,"Other Services"))),"Other Services"))</f>
        <v/>
      </c>
    </row>
    <row r="2194" customFormat="false" ht="15" hidden="false" customHeight="false" outlineLevel="0" collapsed="false">
      <c r="F2194" s="41" t="str">
        <f aca="false">IF(E2194="","",IFERROR(VLOOKUP(E2194,Assumptions!$G$5:$H$16,2,0),"Other"))</f>
        <v/>
      </c>
      <c r="J2194" s="41" t="str">
        <f aca="false">IF(G2194="","",IFERROR(IF(ISNUMBER(SEARCH(Assumptions!$C$5,G2194)),Assumptions!$D$5,IF(ISNUMBER(SEARCH(Assumptions!$C$6,G2194)),Assumptions!$D$6,IF(ISNUMBER(SEARCH(Assumptions!$C$7,G2194)),Assumptions!$D$7,"Other Services"))),"Other Services"))</f>
        <v/>
      </c>
    </row>
    <row r="2195" customFormat="false" ht="15" hidden="false" customHeight="false" outlineLevel="0" collapsed="false">
      <c r="F2195" s="41" t="str">
        <f aca="false">IF(E2195="","",IFERROR(VLOOKUP(E2195,Assumptions!$G$5:$H$16,2,0),"Other"))</f>
        <v/>
      </c>
      <c r="J2195" s="41" t="str">
        <f aca="false">IF(G2195="","",IFERROR(IF(ISNUMBER(SEARCH(Assumptions!$C$5,G2195)),Assumptions!$D$5,IF(ISNUMBER(SEARCH(Assumptions!$C$6,G2195)),Assumptions!$D$6,IF(ISNUMBER(SEARCH(Assumptions!$C$7,G2195)),Assumptions!$D$7,"Other Services"))),"Other Services"))</f>
        <v/>
      </c>
    </row>
    <row r="2196" customFormat="false" ht="15" hidden="false" customHeight="false" outlineLevel="0" collapsed="false">
      <c r="F2196" s="41" t="str">
        <f aca="false">IF(E2196="","",IFERROR(VLOOKUP(E2196,Assumptions!$G$5:$H$16,2,0),"Other"))</f>
        <v/>
      </c>
      <c r="J2196" s="41" t="str">
        <f aca="false">IF(G2196="","",IFERROR(IF(ISNUMBER(SEARCH(Assumptions!$C$5,G2196)),Assumptions!$D$5,IF(ISNUMBER(SEARCH(Assumptions!$C$6,G2196)),Assumptions!$D$6,IF(ISNUMBER(SEARCH(Assumptions!$C$7,G2196)),Assumptions!$D$7,"Other Services"))),"Other Services"))</f>
        <v/>
      </c>
    </row>
    <row r="2197" customFormat="false" ht="15" hidden="false" customHeight="false" outlineLevel="0" collapsed="false">
      <c r="F2197" s="41" t="str">
        <f aca="false">IF(E2197="","",IFERROR(VLOOKUP(E2197,Assumptions!$G$5:$H$16,2,0),"Other"))</f>
        <v/>
      </c>
      <c r="J2197" s="41" t="str">
        <f aca="false">IF(G2197="","",IFERROR(IF(ISNUMBER(SEARCH(Assumptions!$C$5,G2197)),Assumptions!$D$5,IF(ISNUMBER(SEARCH(Assumptions!$C$6,G2197)),Assumptions!$D$6,IF(ISNUMBER(SEARCH(Assumptions!$C$7,G2197)),Assumptions!$D$7,"Other Services"))),"Other Services"))</f>
        <v/>
      </c>
    </row>
    <row r="2198" customFormat="false" ht="15" hidden="false" customHeight="false" outlineLevel="0" collapsed="false">
      <c r="F2198" s="41" t="str">
        <f aca="false">IF(E2198="","",IFERROR(VLOOKUP(E2198,Assumptions!$G$5:$H$16,2,0),"Other"))</f>
        <v/>
      </c>
      <c r="J2198" s="41" t="str">
        <f aca="false">IF(G2198="","",IFERROR(IF(ISNUMBER(SEARCH(Assumptions!$C$5,G2198)),Assumptions!$D$5,IF(ISNUMBER(SEARCH(Assumptions!$C$6,G2198)),Assumptions!$D$6,IF(ISNUMBER(SEARCH(Assumptions!$C$7,G2198)),Assumptions!$D$7,"Other Services"))),"Other Services"))</f>
        <v/>
      </c>
    </row>
    <row r="2199" customFormat="false" ht="15" hidden="false" customHeight="false" outlineLevel="0" collapsed="false">
      <c r="F2199" s="41" t="str">
        <f aca="false">IF(E2199="","",IFERROR(VLOOKUP(E2199,Assumptions!$G$5:$H$16,2,0),"Other"))</f>
        <v/>
      </c>
      <c r="J2199" s="41" t="str">
        <f aca="false">IF(G2199="","",IFERROR(IF(ISNUMBER(SEARCH(Assumptions!$C$5,G2199)),Assumptions!$D$5,IF(ISNUMBER(SEARCH(Assumptions!$C$6,G2199)),Assumptions!$D$6,IF(ISNUMBER(SEARCH(Assumptions!$C$7,G2199)),Assumptions!$D$7,"Other Services"))),"Other Services"))</f>
        <v/>
      </c>
    </row>
    <row r="2200" customFormat="false" ht="15" hidden="false" customHeight="false" outlineLevel="0" collapsed="false">
      <c r="F2200" s="41" t="str">
        <f aca="false">IF(E2200="","",IFERROR(VLOOKUP(E2200,Assumptions!$G$5:$H$16,2,0),"Other"))</f>
        <v/>
      </c>
      <c r="J2200" s="41" t="str">
        <f aca="false">IF(G2200="","",IFERROR(IF(ISNUMBER(SEARCH(Assumptions!$C$5,G2200)),Assumptions!$D$5,IF(ISNUMBER(SEARCH(Assumptions!$C$6,G2200)),Assumptions!$D$6,IF(ISNUMBER(SEARCH(Assumptions!$C$7,G2200)),Assumptions!$D$7,"Other Services"))),"Other Services"))</f>
        <v/>
      </c>
    </row>
    <row r="2201" customFormat="false" ht="15" hidden="false" customHeight="false" outlineLevel="0" collapsed="false">
      <c r="F2201" s="41" t="str">
        <f aca="false">IF(E2201="","",IFERROR(VLOOKUP(E2201,Assumptions!$G$5:$H$16,2,0),"Other"))</f>
        <v/>
      </c>
      <c r="J2201" s="41" t="str">
        <f aca="false">IF(G2201="","",IFERROR(IF(ISNUMBER(SEARCH(Assumptions!$C$5,G2201)),Assumptions!$D$5,IF(ISNUMBER(SEARCH(Assumptions!$C$6,G2201)),Assumptions!$D$6,IF(ISNUMBER(SEARCH(Assumptions!$C$7,G2201)),Assumptions!$D$7,"Other Services"))),"Other Services"))</f>
        <v/>
      </c>
    </row>
    <row r="2202" customFormat="false" ht="15" hidden="false" customHeight="false" outlineLevel="0" collapsed="false">
      <c r="F2202" s="41" t="str">
        <f aca="false">IF(E2202="","",IFERROR(VLOOKUP(E2202,Assumptions!$G$5:$H$16,2,0),"Other"))</f>
        <v/>
      </c>
      <c r="J2202" s="41" t="str">
        <f aca="false">IF(G2202="","",IFERROR(IF(ISNUMBER(SEARCH(Assumptions!$C$5,G2202)),Assumptions!$D$5,IF(ISNUMBER(SEARCH(Assumptions!$C$6,G2202)),Assumptions!$D$6,IF(ISNUMBER(SEARCH(Assumptions!$C$7,G2202)),Assumptions!$D$7,"Other Services"))),"Other Services"))</f>
        <v/>
      </c>
    </row>
    <row r="2203" customFormat="false" ht="15" hidden="false" customHeight="false" outlineLevel="0" collapsed="false">
      <c r="F2203" s="41" t="str">
        <f aca="false">IF(E2203="","",IFERROR(VLOOKUP(E2203,Assumptions!$G$5:$H$16,2,0),"Other"))</f>
        <v/>
      </c>
      <c r="J2203" s="41" t="str">
        <f aca="false">IF(G2203="","",IFERROR(IF(ISNUMBER(SEARCH(Assumptions!$C$5,G2203)),Assumptions!$D$5,IF(ISNUMBER(SEARCH(Assumptions!$C$6,G2203)),Assumptions!$D$6,IF(ISNUMBER(SEARCH(Assumptions!$C$7,G2203)),Assumptions!$D$7,"Other Services"))),"Other Services"))</f>
        <v/>
      </c>
    </row>
    <row r="2204" customFormat="false" ht="15" hidden="false" customHeight="false" outlineLevel="0" collapsed="false">
      <c r="F2204" s="41" t="str">
        <f aca="false">IF(E2204="","",IFERROR(VLOOKUP(E2204,Assumptions!$G$5:$H$16,2,0),"Other"))</f>
        <v/>
      </c>
      <c r="J2204" s="41" t="str">
        <f aca="false">IF(G2204="","",IFERROR(IF(ISNUMBER(SEARCH(Assumptions!$C$5,G2204)),Assumptions!$D$5,IF(ISNUMBER(SEARCH(Assumptions!$C$6,G2204)),Assumptions!$D$6,IF(ISNUMBER(SEARCH(Assumptions!$C$7,G2204)),Assumptions!$D$7,"Other Services"))),"Other Services"))</f>
        <v/>
      </c>
    </row>
    <row r="2205" customFormat="false" ht="15" hidden="false" customHeight="false" outlineLevel="0" collapsed="false">
      <c r="F2205" s="41" t="str">
        <f aca="false">IF(E2205="","",IFERROR(VLOOKUP(E2205,Assumptions!$G$5:$H$16,2,0),"Other"))</f>
        <v/>
      </c>
      <c r="J2205" s="41" t="str">
        <f aca="false">IF(G2205="","",IFERROR(IF(ISNUMBER(SEARCH(Assumptions!$C$5,G2205)),Assumptions!$D$5,IF(ISNUMBER(SEARCH(Assumptions!$C$6,G2205)),Assumptions!$D$6,IF(ISNUMBER(SEARCH(Assumptions!$C$7,G2205)),Assumptions!$D$7,"Other Services"))),"Other Services"))</f>
        <v/>
      </c>
    </row>
    <row r="2206" customFormat="false" ht="15" hidden="false" customHeight="false" outlineLevel="0" collapsed="false">
      <c r="F2206" s="41" t="str">
        <f aca="false">IF(E2206="","",IFERROR(VLOOKUP(E2206,Assumptions!$G$5:$H$16,2,0),"Other"))</f>
        <v/>
      </c>
      <c r="J2206" s="41" t="str">
        <f aca="false">IF(G2206="","",IFERROR(IF(ISNUMBER(SEARCH(Assumptions!$C$5,G2206)),Assumptions!$D$5,IF(ISNUMBER(SEARCH(Assumptions!$C$6,G2206)),Assumptions!$D$6,IF(ISNUMBER(SEARCH(Assumptions!$C$7,G2206)),Assumptions!$D$7,"Other Services"))),"Other Services"))</f>
        <v/>
      </c>
    </row>
    <row r="2207" customFormat="false" ht="15" hidden="false" customHeight="false" outlineLevel="0" collapsed="false">
      <c r="F2207" s="41" t="str">
        <f aca="false">IF(E2207="","",IFERROR(VLOOKUP(E2207,Assumptions!$G$5:$H$16,2,0),"Other"))</f>
        <v/>
      </c>
      <c r="J2207" s="41" t="str">
        <f aca="false">IF(G2207="","",IFERROR(IF(ISNUMBER(SEARCH(Assumptions!$C$5,G2207)),Assumptions!$D$5,IF(ISNUMBER(SEARCH(Assumptions!$C$6,G2207)),Assumptions!$D$6,IF(ISNUMBER(SEARCH(Assumptions!$C$7,G2207)),Assumptions!$D$7,"Other Services"))),"Other Services"))</f>
        <v/>
      </c>
    </row>
    <row r="2208" customFormat="false" ht="15" hidden="false" customHeight="false" outlineLevel="0" collapsed="false">
      <c r="F2208" s="41" t="str">
        <f aca="false">IF(E2208="","",IFERROR(VLOOKUP(E2208,Assumptions!$G$5:$H$16,2,0),"Other"))</f>
        <v/>
      </c>
      <c r="J2208" s="41" t="str">
        <f aca="false">IF(G2208="","",IFERROR(IF(ISNUMBER(SEARCH(Assumptions!$C$5,G2208)),Assumptions!$D$5,IF(ISNUMBER(SEARCH(Assumptions!$C$6,G2208)),Assumptions!$D$6,IF(ISNUMBER(SEARCH(Assumptions!$C$7,G2208)),Assumptions!$D$7,"Other Services"))),"Other Services"))</f>
        <v/>
      </c>
    </row>
    <row r="2209" customFormat="false" ht="15" hidden="false" customHeight="false" outlineLevel="0" collapsed="false">
      <c r="F2209" s="41" t="str">
        <f aca="false">IF(E2209="","",IFERROR(VLOOKUP(E2209,Assumptions!$G$5:$H$16,2,0),"Other"))</f>
        <v/>
      </c>
      <c r="J2209" s="41" t="str">
        <f aca="false">IF(G2209="","",IFERROR(IF(ISNUMBER(SEARCH(Assumptions!$C$5,G2209)),Assumptions!$D$5,IF(ISNUMBER(SEARCH(Assumptions!$C$6,G2209)),Assumptions!$D$6,IF(ISNUMBER(SEARCH(Assumptions!$C$7,G2209)),Assumptions!$D$7,"Other Services"))),"Other Services"))</f>
        <v/>
      </c>
    </row>
    <row r="2210" customFormat="false" ht="15" hidden="false" customHeight="false" outlineLevel="0" collapsed="false">
      <c r="F2210" s="41" t="str">
        <f aca="false">IF(E2210="","",IFERROR(VLOOKUP(E2210,Assumptions!$G$5:$H$16,2,0),"Other"))</f>
        <v/>
      </c>
      <c r="J2210" s="41" t="str">
        <f aca="false">IF(G2210="","",IFERROR(IF(ISNUMBER(SEARCH(Assumptions!$C$5,G2210)),Assumptions!$D$5,IF(ISNUMBER(SEARCH(Assumptions!$C$6,G2210)),Assumptions!$D$6,IF(ISNUMBER(SEARCH(Assumptions!$C$7,G2210)),Assumptions!$D$7,"Other Services"))),"Other Services"))</f>
        <v/>
      </c>
    </row>
    <row r="2211" customFormat="false" ht="15" hidden="false" customHeight="false" outlineLevel="0" collapsed="false">
      <c r="F2211" s="41" t="str">
        <f aca="false">IF(E2211="","",IFERROR(VLOOKUP(E2211,Assumptions!$G$5:$H$16,2,0),"Other"))</f>
        <v/>
      </c>
      <c r="J2211" s="41" t="str">
        <f aca="false">IF(G2211="","",IFERROR(IF(ISNUMBER(SEARCH(Assumptions!$C$5,G2211)),Assumptions!$D$5,IF(ISNUMBER(SEARCH(Assumptions!$C$6,G2211)),Assumptions!$D$6,IF(ISNUMBER(SEARCH(Assumptions!$C$7,G2211)),Assumptions!$D$7,"Other Services"))),"Other Services"))</f>
        <v/>
      </c>
    </row>
    <row r="2212" customFormat="false" ht="15" hidden="false" customHeight="false" outlineLevel="0" collapsed="false">
      <c r="F2212" s="41" t="str">
        <f aca="false">IF(E2212="","",IFERROR(VLOOKUP(E2212,Assumptions!$G$5:$H$16,2,0),"Other"))</f>
        <v/>
      </c>
      <c r="J2212" s="41" t="str">
        <f aca="false">IF(G2212="","",IFERROR(IF(ISNUMBER(SEARCH(Assumptions!$C$5,G2212)),Assumptions!$D$5,IF(ISNUMBER(SEARCH(Assumptions!$C$6,G2212)),Assumptions!$D$6,IF(ISNUMBER(SEARCH(Assumptions!$C$7,G2212)),Assumptions!$D$7,"Other Services"))),"Other Services"))</f>
        <v/>
      </c>
    </row>
    <row r="2213" customFormat="false" ht="15" hidden="false" customHeight="false" outlineLevel="0" collapsed="false">
      <c r="F2213" s="41" t="str">
        <f aca="false">IF(E2213="","",IFERROR(VLOOKUP(E2213,Assumptions!$G$5:$H$16,2,0),"Other"))</f>
        <v/>
      </c>
      <c r="J2213" s="41" t="str">
        <f aca="false">IF(G2213="","",IFERROR(IF(ISNUMBER(SEARCH(Assumptions!$C$5,G2213)),Assumptions!$D$5,IF(ISNUMBER(SEARCH(Assumptions!$C$6,G2213)),Assumptions!$D$6,IF(ISNUMBER(SEARCH(Assumptions!$C$7,G2213)),Assumptions!$D$7,"Other Services"))),"Other Services"))</f>
        <v/>
      </c>
    </row>
    <row r="2214" customFormat="false" ht="15" hidden="false" customHeight="false" outlineLevel="0" collapsed="false">
      <c r="F2214" s="41" t="str">
        <f aca="false">IF(E2214="","",IFERROR(VLOOKUP(E2214,Assumptions!$G$5:$H$16,2,0),"Other"))</f>
        <v/>
      </c>
      <c r="J2214" s="41" t="str">
        <f aca="false">IF(G2214="","",IFERROR(IF(ISNUMBER(SEARCH(Assumptions!$C$5,G2214)),Assumptions!$D$5,IF(ISNUMBER(SEARCH(Assumptions!$C$6,G2214)),Assumptions!$D$6,IF(ISNUMBER(SEARCH(Assumptions!$C$7,G2214)),Assumptions!$D$7,"Other Services"))),"Other Services"))</f>
        <v/>
      </c>
    </row>
    <row r="2215" customFormat="false" ht="15" hidden="false" customHeight="false" outlineLevel="0" collapsed="false">
      <c r="F2215" s="41" t="str">
        <f aca="false">IF(E2215="","",IFERROR(VLOOKUP(E2215,Assumptions!$G$5:$H$16,2,0),"Other"))</f>
        <v/>
      </c>
      <c r="J2215" s="41" t="str">
        <f aca="false">IF(G2215="","",IFERROR(IF(ISNUMBER(SEARCH(Assumptions!$C$5,G2215)),Assumptions!$D$5,IF(ISNUMBER(SEARCH(Assumptions!$C$6,G2215)),Assumptions!$D$6,IF(ISNUMBER(SEARCH(Assumptions!$C$7,G2215)),Assumptions!$D$7,"Other Services"))),"Other Services"))</f>
        <v/>
      </c>
    </row>
    <row r="2216" customFormat="false" ht="15" hidden="false" customHeight="false" outlineLevel="0" collapsed="false">
      <c r="F2216" s="41" t="str">
        <f aca="false">IF(E2216="","",IFERROR(VLOOKUP(E2216,Assumptions!$G$5:$H$16,2,0),"Other"))</f>
        <v/>
      </c>
      <c r="J2216" s="41" t="str">
        <f aca="false">IF(G2216="","",IFERROR(IF(ISNUMBER(SEARCH(Assumptions!$C$5,G2216)),Assumptions!$D$5,IF(ISNUMBER(SEARCH(Assumptions!$C$6,G2216)),Assumptions!$D$6,IF(ISNUMBER(SEARCH(Assumptions!$C$7,G2216)),Assumptions!$D$7,"Other Services"))),"Other Services"))</f>
        <v/>
      </c>
    </row>
    <row r="2217" customFormat="false" ht="15" hidden="false" customHeight="false" outlineLevel="0" collapsed="false">
      <c r="F2217" s="41" t="str">
        <f aca="false">IF(E2217="","",IFERROR(VLOOKUP(E2217,Assumptions!$G$5:$H$16,2,0),"Other"))</f>
        <v/>
      </c>
      <c r="J2217" s="41" t="str">
        <f aca="false">IF(G2217="","",IFERROR(IF(ISNUMBER(SEARCH(Assumptions!$C$5,G2217)),Assumptions!$D$5,IF(ISNUMBER(SEARCH(Assumptions!$C$6,G2217)),Assumptions!$D$6,IF(ISNUMBER(SEARCH(Assumptions!$C$7,G2217)),Assumptions!$D$7,"Other Services"))),"Other Services"))</f>
        <v/>
      </c>
    </row>
    <row r="2218" customFormat="false" ht="15" hidden="false" customHeight="false" outlineLevel="0" collapsed="false">
      <c r="F2218" s="41" t="str">
        <f aca="false">IF(E2218="","",IFERROR(VLOOKUP(E2218,Assumptions!$G$5:$H$16,2,0),"Other"))</f>
        <v/>
      </c>
      <c r="J2218" s="41" t="str">
        <f aca="false">IF(G2218="","",IFERROR(IF(ISNUMBER(SEARCH(Assumptions!$C$5,G2218)),Assumptions!$D$5,IF(ISNUMBER(SEARCH(Assumptions!$C$6,G2218)),Assumptions!$D$6,IF(ISNUMBER(SEARCH(Assumptions!$C$7,G2218)),Assumptions!$D$7,"Other Services"))),"Other Services"))</f>
        <v/>
      </c>
    </row>
    <row r="2219" customFormat="false" ht="15" hidden="false" customHeight="false" outlineLevel="0" collapsed="false">
      <c r="F2219" s="41" t="str">
        <f aca="false">IF(E2219="","",IFERROR(VLOOKUP(E2219,Assumptions!$G$5:$H$16,2,0),"Other"))</f>
        <v/>
      </c>
      <c r="J2219" s="41" t="str">
        <f aca="false">IF(G2219="","",IFERROR(IF(ISNUMBER(SEARCH(Assumptions!$C$5,G2219)),Assumptions!$D$5,IF(ISNUMBER(SEARCH(Assumptions!$C$6,G2219)),Assumptions!$D$6,IF(ISNUMBER(SEARCH(Assumptions!$C$7,G2219)),Assumptions!$D$7,"Other Services"))),"Other Services"))</f>
        <v/>
      </c>
    </row>
    <row r="2220" customFormat="false" ht="15" hidden="false" customHeight="false" outlineLevel="0" collapsed="false">
      <c r="F2220" s="41" t="str">
        <f aca="false">IF(E2220="","",IFERROR(VLOOKUP(E2220,Assumptions!$G$5:$H$16,2,0),"Other"))</f>
        <v/>
      </c>
      <c r="J2220" s="41" t="str">
        <f aca="false">IF(G2220="","",IFERROR(IF(ISNUMBER(SEARCH(Assumptions!$C$5,G2220)),Assumptions!$D$5,IF(ISNUMBER(SEARCH(Assumptions!$C$6,G2220)),Assumptions!$D$6,IF(ISNUMBER(SEARCH(Assumptions!$C$7,G2220)),Assumptions!$D$7,"Other Services"))),"Other Services"))</f>
        <v/>
      </c>
    </row>
    <row r="2221" customFormat="false" ht="15" hidden="false" customHeight="false" outlineLevel="0" collapsed="false">
      <c r="F2221" s="41" t="str">
        <f aca="false">IF(E2221="","",IFERROR(VLOOKUP(E2221,Assumptions!$G$5:$H$16,2,0),"Other"))</f>
        <v/>
      </c>
      <c r="J2221" s="41" t="str">
        <f aca="false">IF(G2221="","",IFERROR(IF(ISNUMBER(SEARCH(Assumptions!$C$5,G2221)),Assumptions!$D$5,IF(ISNUMBER(SEARCH(Assumptions!$C$6,G2221)),Assumptions!$D$6,IF(ISNUMBER(SEARCH(Assumptions!$C$7,G2221)),Assumptions!$D$7,"Other Services"))),"Other Services"))</f>
        <v/>
      </c>
    </row>
    <row r="2222" customFormat="false" ht="15" hidden="false" customHeight="false" outlineLevel="0" collapsed="false">
      <c r="F2222" s="41" t="str">
        <f aca="false">IF(E2222="","",IFERROR(VLOOKUP(E2222,Assumptions!$G$5:$H$16,2,0),"Other"))</f>
        <v/>
      </c>
      <c r="J2222" s="41" t="str">
        <f aca="false">IF(G2222="","",IFERROR(IF(ISNUMBER(SEARCH(Assumptions!$C$5,G2222)),Assumptions!$D$5,IF(ISNUMBER(SEARCH(Assumptions!$C$6,G2222)),Assumptions!$D$6,IF(ISNUMBER(SEARCH(Assumptions!$C$7,G2222)),Assumptions!$D$7,"Other Services"))),"Other Services"))</f>
        <v/>
      </c>
    </row>
    <row r="2223" customFormat="false" ht="15" hidden="false" customHeight="false" outlineLevel="0" collapsed="false">
      <c r="F2223" s="41" t="str">
        <f aca="false">IF(E2223="","",IFERROR(VLOOKUP(E2223,Assumptions!$G$5:$H$16,2,0),"Other"))</f>
        <v/>
      </c>
      <c r="J2223" s="41" t="str">
        <f aca="false">IF(G2223="","",IFERROR(IF(ISNUMBER(SEARCH(Assumptions!$C$5,G2223)),Assumptions!$D$5,IF(ISNUMBER(SEARCH(Assumptions!$C$6,G2223)),Assumptions!$D$6,IF(ISNUMBER(SEARCH(Assumptions!$C$7,G2223)),Assumptions!$D$7,"Other Services"))),"Other Services"))</f>
        <v/>
      </c>
    </row>
    <row r="2224" customFormat="false" ht="15" hidden="false" customHeight="false" outlineLevel="0" collapsed="false">
      <c r="F2224" s="41" t="str">
        <f aca="false">IF(E2224="","",IFERROR(VLOOKUP(E2224,Assumptions!$G$5:$H$16,2,0),"Other"))</f>
        <v/>
      </c>
      <c r="J2224" s="41" t="str">
        <f aca="false">IF(G2224="","",IFERROR(IF(ISNUMBER(SEARCH(Assumptions!$C$5,G2224)),Assumptions!$D$5,IF(ISNUMBER(SEARCH(Assumptions!$C$6,G2224)),Assumptions!$D$6,IF(ISNUMBER(SEARCH(Assumptions!$C$7,G2224)),Assumptions!$D$7,"Other Services"))),"Other Services"))</f>
        <v/>
      </c>
    </row>
    <row r="2225" customFormat="false" ht="15" hidden="false" customHeight="false" outlineLevel="0" collapsed="false">
      <c r="F2225" s="41" t="str">
        <f aca="false">IF(E2225="","",IFERROR(VLOOKUP(E2225,Assumptions!$G$5:$H$16,2,0),"Other"))</f>
        <v/>
      </c>
      <c r="J2225" s="41" t="str">
        <f aca="false">IF(G2225="","",IFERROR(IF(ISNUMBER(SEARCH(Assumptions!$C$5,G2225)),Assumptions!$D$5,IF(ISNUMBER(SEARCH(Assumptions!$C$6,G2225)),Assumptions!$D$6,IF(ISNUMBER(SEARCH(Assumptions!$C$7,G2225)),Assumptions!$D$7,"Other Services"))),"Other Services"))</f>
        <v/>
      </c>
    </row>
    <row r="2226" customFormat="false" ht="15" hidden="false" customHeight="false" outlineLevel="0" collapsed="false">
      <c r="F2226" s="41" t="str">
        <f aca="false">IF(E2226="","",IFERROR(VLOOKUP(E2226,Assumptions!$G$5:$H$16,2,0),"Other"))</f>
        <v/>
      </c>
      <c r="J2226" s="41" t="str">
        <f aca="false">IF(G2226="","",IFERROR(IF(ISNUMBER(SEARCH(Assumptions!$C$5,G2226)),Assumptions!$D$5,IF(ISNUMBER(SEARCH(Assumptions!$C$6,G2226)),Assumptions!$D$6,IF(ISNUMBER(SEARCH(Assumptions!$C$7,G2226)),Assumptions!$D$7,"Other Services"))),"Other Services"))</f>
        <v/>
      </c>
    </row>
    <row r="2227" customFormat="false" ht="15" hidden="false" customHeight="false" outlineLevel="0" collapsed="false">
      <c r="F2227" s="41" t="str">
        <f aca="false">IF(E2227="","",IFERROR(VLOOKUP(E2227,Assumptions!$G$5:$H$16,2,0),"Other"))</f>
        <v/>
      </c>
      <c r="J2227" s="41" t="str">
        <f aca="false">IF(G2227="","",IFERROR(IF(ISNUMBER(SEARCH(Assumptions!$C$5,G2227)),Assumptions!$D$5,IF(ISNUMBER(SEARCH(Assumptions!$C$6,G2227)),Assumptions!$D$6,IF(ISNUMBER(SEARCH(Assumptions!$C$7,G2227)),Assumptions!$D$7,"Other Services"))),"Other Services"))</f>
        <v/>
      </c>
    </row>
    <row r="2228" customFormat="false" ht="15" hidden="false" customHeight="false" outlineLevel="0" collapsed="false">
      <c r="F2228" s="41" t="str">
        <f aca="false">IF(E2228="","",IFERROR(VLOOKUP(E2228,Assumptions!$G$5:$H$16,2,0),"Other"))</f>
        <v/>
      </c>
      <c r="J2228" s="41" t="str">
        <f aca="false">IF(G2228="","",IFERROR(IF(ISNUMBER(SEARCH(Assumptions!$C$5,G2228)),Assumptions!$D$5,IF(ISNUMBER(SEARCH(Assumptions!$C$6,G2228)),Assumptions!$D$6,IF(ISNUMBER(SEARCH(Assumptions!$C$7,G2228)),Assumptions!$D$7,"Other Services"))),"Other Services"))</f>
        <v/>
      </c>
    </row>
    <row r="2229" customFormat="false" ht="15" hidden="false" customHeight="false" outlineLevel="0" collapsed="false">
      <c r="F2229" s="41" t="str">
        <f aca="false">IF(E2229="","",IFERROR(VLOOKUP(E2229,Assumptions!$G$5:$H$16,2,0),"Other"))</f>
        <v/>
      </c>
      <c r="J2229" s="41" t="str">
        <f aca="false">IF(G2229="","",IFERROR(IF(ISNUMBER(SEARCH(Assumptions!$C$5,G2229)),Assumptions!$D$5,IF(ISNUMBER(SEARCH(Assumptions!$C$6,G2229)),Assumptions!$D$6,IF(ISNUMBER(SEARCH(Assumptions!$C$7,G2229)),Assumptions!$D$7,"Other Services"))),"Other Services"))</f>
        <v/>
      </c>
    </row>
    <row r="2230" customFormat="false" ht="15" hidden="false" customHeight="false" outlineLevel="0" collapsed="false">
      <c r="F2230" s="41" t="str">
        <f aca="false">IF(E2230="","",IFERROR(VLOOKUP(E2230,Assumptions!$G$5:$H$16,2,0),"Other"))</f>
        <v/>
      </c>
      <c r="J2230" s="41" t="str">
        <f aca="false">IF(G2230="","",IFERROR(IF(ISNUMBER(SEARCH(Assumptions!$C$5,G2230)),Assumptions!$D$5,IF(ISNUMBER(SEARCH(Assumptions!$C$6,G2230)),Assumptions!$D$6,IF(ISNUMBER(SEARCH(Assumptions!$C$7,G2230)),Assumptions!$D$7,"Other Services"))),"Other Services"))</f>
        <v/>
      </c>
    </row>
    <row r="2231" customFormat="false" ht="15" hidden="false" customHeight="false" outlineLevel="0" collapsed="false">
      <c r="F2231" s="41" t="str">
        <f aca="false">IF(E2231="","",IFERROR(VLOOKUP(E2231,Assumptions!$G$5:$H$16,2,0),"Other"))</f>
        <v/>
      </c>
      <c r="J2231" s="41" t="str">
        <f aca="false">IF(G2231="","",IFERROR(IF(ISNUMBER(SEARCH(Assumptions!$C$5,G2231)),Assumptions!$D$5,IF(ISNUMBER(SEARCH(Assumptions!$C$6,G2231)),Assumptions!$D$6,IF(ISNUMBER(SEARCH(Assumptions!$C$7,G2231)),Assumptions!$D$7,"Other Services"))),"Other Services"))</f>
        <v/>
      </c>
    </row>
    <row r="2232" customFormat="false" ht="15" hidden="false" customHeight="false" outlineLevel="0" collapsed="false">
      <c r="F2232" s="41" t="str">
        <f aca="false">IF(E2232="","",IFERROR(VLOOKUP(E2232,Assumptions!$G$5:$H$16,2,0),"Other"))</f>
        <v/>
      </c>
      <c r="J2232" s="41" t="str">
        <f aca="false">IF(G2232="","",IFERROR(IF(ISNUMBER(SEARCH(Assumptions!$C$5,G2232)),Assumptions!$D$5,IF(ISNUMBER(SEARCH(Assumptions!$C$6,G2232)),Assumptions!$D$6,IF(ISNUMBER(SEARCH(Assumptions!$C$7,G2232)),Assumptions!$D$7,"Other Services"))),"Other Services"))</f>
        <v/>
      </c>
    </row>
    <row r="2233" customFormat="false" ht="15" hidden="false" customHeight="false" outlineLevel="0" collapsed="false">
      <c r="F2233" s="41" t="str">
        <f aca="false">IF(E2233="","",IFERROR(VLOOKUP(E2233,Assumptions!$G$5:$H$16,2,0),"Other"))</f>
        <v/>
      </c>
      <c r="J2233" s="41" t="str">
        <f aca="false">IF(G2233="","",IFERROR(IF(ISNUMBER(SEARCH(Assumptions!$C$5,G2233)),Assumptions!$D$5,IF(ISNUMBER(SEARCH(Assumptions!$C$6,G2233)),Assumptions!$D$6,IF(ISNUMBER(SEARCH(Assumptions!$C$7,G2233)),Assumptions!$D$7,"Other Services"))),"Other Services"))</f>
        <v/>
      </c>
    </row>
    <row r="2234" customFormat="false" ht="15" hidden="false" customHeight="false" outlineLevel="0" collapsed="false">
      <c r="F2234" s="41" t="str">
        <f aca="false">IF(E2234="","",IFERROR(VLOOKUP(E2234,Assumptions!$G$5:$H$16,2,0),"Other"))</f>
        <v/>
      </c>
      <c r="J2234" s="41" t="str">
        <f aca="false">IF(G2234="","",IFERROR(IF(ISNUMBER(SEARCH(Assumptions!$C$5,G2234)),Assumptions!$D$5,IF(ISNUMBER(SEARCH(Assumptions!$C$6,G2234)),Assumptions!$D$6,IF(ISNUMBER(SEARCH(Assumptions!$C$7,G2234)),Assumptions!$D$7,"Other Services"))),"Other Services"))</f>
        <v/>
      </c>
    </row>
    <row r="2235" customFormat="false" ht="15" hidden="false" customHeight="false" outlineLevel="0" collapsed="false">
      <c r="F2235" s="41" t="str">
        <f aca="false">IF(E2235="","",IFERROR(VLOOKUP(E2235,Assumptions!$G$5:$H$16,2,0),"Other"))</f>
        <v/>
      </c>
      <c r="J2235" s="41" t="str">
        <f aca="false">IF(G2235="","",IFERROR(IF(ISNUMBER(SEARCH(Assumptions!$C$5,G2235)),Assumptions!$D$5,IF(ISNUMBER(SEARCH(Assumptions!$C$6,G2235)),Assumptions!$D$6,IF(ISNUMBER(SEARCH(Assumptions!$C$7,G2235)),Assumptions!$D$7,"Other Services"))),"Other Services"))</f>
        <v/>
      </c>
    </row>
    <row r="2236" customFormat="false" ht="15" hidden="false" customHeight="false" outlineLevel="0" collapsed="false">
      <c r="F2236" s="41" t="str">
        <f aca="false">IF(E2236="","",IFERROR(VLOOKUP(E2236,Assumptions!$G$5:$H$16,2,0),"Other"))</f>
        <v/>
      </c>
      <c r="J2236" s="41" t="str">
        <f aca="false">IF(G2236="","",IFERROR(IF(ISNUMBER(SEARCH(Assumptions!$C$5,G2236)),Assumptions!$D$5,IF(ISNUMBER(SEARCH(Assumptions!$C$6,G2236)),Assumptions!$D$6,IF(ISNUMBER(SEARCH(Assumptions!$C$7,G2236)),Assumptions!$D$7,"Other Services"))),"Other Services"))</f>
        <v/>
      </c>
    </row>
    <row r="2237" customFormat="false" ht="15" hidden="false" customHeight="false" outlineLevel="0" collapsed="false">
      <c r="F2237" s="41" t="str">
        <f aca="false">IF(E2237="","",IFERROR(VLOOKUP(E2237,Assumptions!$G$5:$H$16,2,0),"Other"))</f>
        <v/>
      </c>
      <c r="J2237" s="41" t="str">
        <f aca="false">IF(G2237="","",IFERROR(IF(ISNUMBER(SEARCH(Assumptions!$C$5,G2237)),Assumptions!$D$5,IF(ISNUMBER(SEARCH(Assumptions!$C$6,G2237)),Assumptions!$D$6,IF(ISNUMBER(SEARCH(Assumptions!$C$7,G2237)),Assumptions!$D$7,"Other Services"))),"Other Services"))</f>
        <v/>
      </c>
    </row>
    <row r="2238" customFormat="false" ht="15" hidden="false" customHeight="false" outlineLevel="0" collapsed="false">
      <c r="F2238" s="41" t="str">
        <f aca="false">IF(E2238="","",IFERROR(VLOOKUP(E2238,Assumptions!$G$5:$H$16,2,0),"Other"))</f>
        <v/>
      </c>
      <c r="J2238" s="41" t="str">
        <f aca="false">IF(G2238="","",IFERROR(IF(ISNUMBER(SEARCH(Assumptions!$C$5,G2238)),Assumptions!$D$5,IF(ISNUMBER(SEARCH(Assumptions!$C$6,G2238)),Assumptions!$D$6,IF(ISNUMBER(SEARCH(Assumptions!$C$7,G2238)),Assumptions!$D$7,"Other Services"))),"Other Services"))</f>
        <v/>
      </c>
    </row>
    <row r="2239" customFormat="false" ht="15" hidden="false" customHeight="false" outlineLevel="0" collapsed="false">
      <c r="F2239" s="41" t="str">
        <f aca="false">IF(E2239="","",IFERROR(VLOOKUP(E2239,Assumptions!$G$5:$H$16,2,0),"Other"))</f>
        <v/>
      </c>
      <c r="J2239" s="41" t="str">
        <f aca="false">IF(G2239="","",IFERROR(IF(ISNUMBER(SEARCH(Assumptions!$C$5,G2239)),Assumptions!$D$5,IF(ISNUMBER(SEARCH(Assumptions!$C$6,G2239)),Assumptions!$D$6,IF(ISNUMBER(SEARCH(Assumptions!$C$7,G2239)),Assumptions!$D$7,"Other Services"))),"Other Services"))</f>
        <v/>
      </c>
    </row>
    <row r="2240" customFormat="false" ht="15" hidden="false" customHeight="false" outlineLevel="0" collapsed="false">
      <c r="F2240" s="41" t="str">
        <f aca="false">IF(E2240="","",IFERROR(VLOOKUP(E2240,Assumptions!$G$5:$H$16,2,0),"Other"))</f>
        <v/>
      </c>
      <c r="J2240" s="41" t="str">
        <f aca="false">IF(G2240="","",IFERROR(IF(ISNUMBER(SEARCH(Assumptions!$C$5,G2240)),Assumptions!$D$5,IF(ISNUMBER(SEARCH(Assumptions!$C$6,G2240)),Assumptions!$D$6,IF(ISNUMBER(SEARCH(Assumptions!$C$7,G2240)),Assumptions!$D$7,"Other Services"))),"Other Services"))</f>
        <v/>
      </c>
    </row>
    <row r="2241" customFormat="false" ht="15" hidden="false" customHeight="false" outlineLevel="0" collapsed="false">
      <c r="F2241" s="41" t="str">
        <f aca="false">IF(E2241="","",IFERROR(VLOOKUP(E2241,Assumptions!$G$5:$H$16,2,0),"Other"))</f>
        <v/>
      </c>
      <c r="J2241" s="41" t="str">
        <f aca="false">IF(G2241="","",IFERROR(IF(ISNUMBER(SEARCH(Assumptions!$C$5,G2241)),Assumptions!$D$5,IF(ISNUMBER(SEARCH(Assumptions!$C$6,G2241)),Assumptions!$D$6,IF(ISNUMBER(SEARCH(Assumptions!$C$7,G2241)),Assumptions!$D$7,"Other Services"))),"Other Services"))</f>
        <v/>
      </c>
    </row>
    <row r="2242" customFormat="false" ht="15" hidden="false" customHeight="false" outlineLevel="0" collapsed="false">
      <c r="F2242" s="41" t="str">
        <f aca="false">IF(E2242="","",IFERROR(VLOOKUP(E2242,Assumptions!$G$5:$H$16,2,0),"Other"))</f>
        <v/>
      </c>
      <c r="J2242" s="41" t="str">
        <f aca="false">IF(G2242="","",IFERROR(IF(ISNUMBER(SEARCH(Assumptions!$C$5,G2242)),Assumptions!$D$5,IF(ISNUMBER(SEARCH(Assumptions!$C$6,G2242)),Assumptions!$D$6,IF(ISNUMBER(SEARCH(Assumptions!$C$7,G2242)),Assumptions!$D$7,"Other Services"))),"Other Services"))</f>
        <v/>
      </c>
    </row>
    <row r="2243" customFormat="false" ht="15" hidden="false" customHeight="false" outlineLevel="0" collapsed="false">
      <c r="F2243" s="41" t="str">
        <f aca="false">IF(E2243="","",IFERROR(VLOOKUP(E2243,Assumptions!$G$5:$H$16,2,0),"Other"))</f>
        <v/>
      </c>
      <c r="J2243" s="41" t="str">
        <f aca="false">IF(G2243="","",IFERROR(IF(ISNUMBER(SEARCH(Assumptions!$C$5,G2243)),Assumptions!$D$5,IF(ISNUMBER(SEARCH(Assumptions!$C$6,G2243)),Assumptions!$D$6,IF(ISNUMBER(SEARCH(Assumptions!$C$7,G2243)),Assumptions!$D$7,"Other Services"))),"Other Services"))</f>
        <v/>
      </c>
    </row>
    <row r="2244" customFormat="false" ht="15" hidden="false" customHeight="false" outlineLevel="0" collapsed="false">
      <c r="F2244" s="41" t="str">
        <f aca="false">IF(E2244="","",IFERROR(VLOOKUP(E2244,Assumptions!$G$5:$H$16,2,0),"Other"))</f>
        <v/>
      </c>
      <c r="J2244" s="41" t="str">
        <f aca="false">IF(G2244="","",IFERROR(IF(ISNUMBER(SEARCH(Assumptions!$C$5,G2244)),Assumptions!$D$5,IF(ISNUMBER(SEARCH(Assumptions!$C$6,G2244)),Assumptions!$D$6,IF(ISNUMBER(SEARCH(Assumptions!$C$7,G2244)),Assumptions!$D$7,"Other Services"))),"Other Services"))</f>
        <v/>
      </c>
    </row>
    <row r="2245" customFormat="false" ht="15" hidden="false" customHeight="false" outlineLevel="0" collapsed="false">
      <c r="F2245" s="41" t="str">
        <f aca="false">IF(E2245="","",IFERROR(VLOOKUP(E2245,Assumptions!$G$5:$H$16,2,0),"Other"))</f>
        <v/>
      </c>
      <c r="J2245" s="41" t="str">
        <f aca="false">IF(G2245="","",IFERROR(IF(ISNUMBER(SEARCH(Assumptions!$C$5,G2245)),Assumptions!$D$5,IF(ISNUMBER(SEARCH(Assumptions!$C$6,G2245)),Assumptions!$D$6,IF(ISNUMBER(SEARCH(Assumptions!$C$7,G2245)),Assumptions!$D$7,"Other Services"))),"Other Services"))</f>
        <v/>
      </c>
    </row>
    <row r="2246" customFormat="false" ht="15" hidden="false" customHeight="false" outlineLevel="0" collapsed="false">
      <c r="F2246" s="41" t="str">
        <f aca="false">IF(E2246="","",IFERROR(VLOOKUP(E2246,Assumptions!$G$5:$H$16,2,0),"Other"))</f>
        <v/>
      </c>
      <c r="J2246" s="41" t="str">
        <f aca="false">IF(G2246="","",IFERROR(IF(ISNUMBER(SEARCH(Assumptions!$C$5,G2246)),Assumptions!$D$5,IF(ISNUMBER(SEARCH(Assumptions!$C$6,G2246)),Assumptions!$D$6,IF(ISNUMBER(SEARCH(Assumptions!$C$7,G2246)),Assumptions!$D$7,"Other Services"))),"Other Services"))</f>
        <v/>
      </c>
    </row>
    <row r="2247" customFormat="false" ht="15" hidden="false" customHeight="false" outlineLevel="0" collapsed="false">
      <c r="F2247" s="41" t="str">
        <f aca="false">IF(E2247="","",IFERROR(VLOOKUP(E2247,Assumptions!$G$5:$H$16,2,0),"Other"))</f>
        <v/>
      </c>
      <c r="J2247" s="41" t="str">
        <f aca="false">IF(G2247="","",IFERROR(IF(ISNUMBER(SEARCH(Assumptions!$C$5,G2247)),Assumptions!$D$5,IF(ISNUMBER(SEARCH(Assumptions!$C$6,G2247)),Assumptions!$D$6,IF(ISNUMBER(SEARCH(Assumptions!$C$7,G2247)),Assumptions!$D$7,"Other Services"))),"Other Services"))</f>
        <v/>
      </c>
    </row>
    <row r="2248" customFormat="false" ht="15" hidden="false" customHeight="false" outlineLevel="0" collapsed="false">
      <c r="F2248" s="41" t="str">
        <f aca="false">IF(E2248="","",IFERROR(VLOOKUP(E2248,Assumptions!$G$5:$H$16,2,0),"Other"))</f>
        <v/>
      </c>
      <c r="J2248" s="41" t="str">
        <f aca="false">IF(G2248="","",IFERROR(IF(ISNUMBER(SEARCH(Assumptions!$C$5,G2248)),Assumptions!$D$5,IF(ISNUMBER(SEARCH(Assumptions!$C$6,G2248)),Assumptions!$D$6,IF(ISNUMBER(SEARCH(Assumptions!$C$7,G2248)),Assumptions!$D$7,"Other Services"))),"Other Services"))</f>
        <v/>
      </c>
    </row>
    <row r="2249" customFormat="false" ht="15" hidden="false" customHeight="false" outlineLevel="0" collapsed="false">
      <c r="F2249" s="41" t="str">
        <f aca="false">IF(E2249="","",IFERROR(VLOOKUP(E2249,Assumptions!$G$5:$H$16,2,0),"Other"))</f>
        <v/>
      </c>
      <c r="J2249" s="41" t="str">
        <f aca="false">IF(G2249="","",IFERROR(IF(ISNUMBER(SEARCH(Assumptions!$C$5,G2249)),Assumptions!$D$5,IF(ISNUMBER(SEARCH(Assumptions!$C$6,G2249)),Assumptions!$D$6,IF(ISNUMBER(SEARCH(Assumptions!$C$7,G2249)),Assumptions!$D$7,"Other Services"))),"Other Services"))</f>
        <v/>
      </c>
    </row>
    <row r="2250" customFormat="false" ht="15" hidden="false" customHeight="false" outlineLevel="0" collapsed="false">
      <c r="F2250" s="41" t="str">
        <f aca="false">IF(E2250="","",IFERROR(VLOOKUP(E2250,Assumptions!$G$5:$H$16,2,0),"Other"))</f>
        <v/>
      </c>
      <c r="J2250" s="41" t="str">
        <f aca="false">IF(G2250="","",IFERROR(IF(ISNUMBER(SEARCH(Assumptions!$C$5,G2250)),Assumptions!$D$5,IF(ISNUMBER(SEARCH(Assumptions!$C$6,G2250)),Assumptions!$D$6,IF(ISNUMBER(SEARCH(Assumptions!$C$7,G2250)),Assumptions!$D$7,"Other Services"))),"Other Services"))</f>
        <v/>
      </c>
    </row>
    <row r="2251" customFormat="false" ht="15" hidden="false" customHeight="false" outlineLevel="0" collapsed="false">
      <c r="F2251" s="41" t="str">
        <f aca="false">IF(E2251="","",IFERROR(VLOOKUP(E2251,Assumptions!$G$5:$H$16,2,0),"Other"))</f>
        <v/>
      </c>
      <c r="J2251" s="41" t="str">
        <f aca="false">IF(G2251="","",IFERROR(IF(ISNUMBER(SEARCH(Assumptions!$C$5,G2251)),Assumptions!$D$5,IF(ISNUMBER(SEARCH(Assumptions!$C$6,G2251)),Assumptions!$D$6,IF(ISNUMBER(SEARCH(Assumptions!$C$7,G2251)),Assumptions!$D$7,"Other Services"))),"Other Services"))</f>
        <v/>
      </c>
    </row>
    <row r="2252" customFormat="false" ht="15" hidden="false" customHeight="false" outlineLevel="0" collapsed="false">
      <c r="F2252" s="41" t="str">
        <f aca="false">IF(E2252="","",IFERROR(VLOOKUP(E2252,Assumptions!$G$5:$H$16,2,0),"Other"))</f>
        <v/>
      </c>
      <c r="J2252" s="41" t="str">
        <f aca="false">IF(G2252="","",IFERROR(IF(ISNUMBER(SEARCH(Assumptions!$C$5,G2252)),Assumptions!$D$5,IF(ISNUMBER(SEARCH(Assumptions!$C$6,G2252)),Assumptions!$D$6,IF(ISNUMBER(SEARCH(Assumptions!$C$7,G2252)),Assumptions!$D$7,"Other Services"))),"Other Services"))</f>
        <v/>
      </c>
    </row>
    <row r="2253" customFormat="false" ht="15" hidden="false" customHeight="false" outlineLevel="0" collapsed="false">
      <c r="F2253" s="41" t="str">
        <f aca="false">IF(E2253="","",IFERROR(VLOOKUP(E2253,Assumptions!$G$5:$H$16,2,0),"Other"))</f>
        <v/>
      </c>
      <c r="J2253" s="41" t="str">
        <f aca="false">IF(G2253="","",IFERROR(IF(ISNUMBER(SEARCH(Assumptions!$C$5,G2253)),Assumptions!$D$5,IF(ISNUMBER(SEARCH(Assumptions!$C$6,G2253)),Assumptions!$D$6,IF(ISNUMBER(SEARCH(Assumptions!$C$7,G2253)),Assumptions!$D$7,"Other Services"))),"Other Services"))</f>
        <v/>
      </c>
    </row>
    <row r="2254" customFormat="false" ht="15" hidden="false" customHeight="false" outlineLevel="0" collapsed="false">
      <c r="F2254" s="41" t="str">
        <f aca="false">IF(E2254="","",IFERROR(VLOOKUP(E2254,Assumptions!$G$5:$H$16,2,0),"Other"))</f>
        <v/>
      </c>
      <c r="J2254" s="41" t="str">
        <f aca="false">IF(G2254="","",IFERROR(IF(ISNUMBER(SEARCH(Assumptions!$C$5,G2254)),Assumptions!$D$5,IF(ISNUMBER(SEARCH(Assumptions!$C$6,G2254)),Assumptions!$D$6,IF(ISNUMBER(SEARCH(Assumptions!$C$7,G2254)),Assumptions!$D$7,"Other Services"))),"Other Services"))</f>
        <v/>
      </c>
    </row>
    <row r="2255" customFormat="false" ht="15" hidden="false" customHeight="false" outlineLevel="0" collapsed="false">
      <c r="F2255" s="41" t="str">
        <f aca="false">IF(E2255="","",IFERROR(VLOOKUP(E2255,Assumptions!$G$5:$H$16,2,0),"Other"))</f>
        <v/>
      </c>
      <c r="J2255" s="41" t="str">
        <f aca="false">IF(G2255="","",IFERROR(IF(ISNUMBER(SEARCH(Assumptions!$C$5,G2255)),Assumptions!$D$5,IF(ISNUMBER(SEARCH(Assumptions!$C$6,G2255)),Assumptions!$D$6,IF(ISNUMBER(SEARCH(Assumptions!$C$7,G2255)),Assumptions!$D$7,"Other Services"))),"Other Services"))</f>
        <v/>
      </c>
    </row>
    <row r="2256" customFormat="false" ht="15" hidden="false" customHeight="false" outlineLevel="0" collapsed="false">
      <c r="F2256" s="41" t="str">
        <f aca="false">IF(E2256="","",IFERROR(VLOOKUP(E2256,Assumptions!$G$5:$H$16,2,0),"Other"))</f>
        <v/>
      </c>
      <c r="J2256" s="41" t="str">
        <f aca="false">IF(G2256="","",IFERROR(IF(ISNUMBER(SEARCH(Assumptions!$C$5,G2256)),Assumptions!$D$5,IF(ISNUMBER(SEARCH(Assumptions!$C$6,G2256)),Assumptions!$D$6,IF(ISNUMBER(SEARCH(Assumptions!$C$7,G2256)),Assumptions!$D$7,"Other Services"))),"Other Services"))</f>
        <v/>
      </c>
    </row>
    <row r="2257" customFormat="false" ht="15" hidden="false" customHeight="false" outlineLevel="0" collapsed="false">
      <c r="F2257" s="41" t="str">
        <f aca="false">IF(E2257="","",IFERROR(VLOOKUP(E2257,Assumptions!$G$5:$H$16,2,0),"Other"))</f>
        <v/>
      </c>
      <c r="J2257" s="41" t="str">
        <f aca="false">IF(G2257="","",IFERROR(IF(ISNUMBER(SEARCH(Assumptions!$C$5,G2257)),Assumptions!$D$5,IF(ISNUMBER(SEARCH(Assumptions!$C$6,G2257)),Assumptions!$D$6,IF(ISNUMBER(SEARCH(Assumptions!$C$7,G2257)),Assumptions!$D$7,"Other Services"))),"Other Services"))</f>
        <v/>
      </c>
    </row>
    <row r="2258" customFormat="false" ht="15" hidden="false" customHeight="false" outlineLevel="0" collapsed="false">
      <c r="F2258" s="41" t="str">
        <f aca="false">IF(E2258="","",IFERROR(VLOOKUP(E2258,Assumptions!$G$5:$H$16,2,0),"Other"))</f>
        <v/>
      </c>
      <c r="J2258" s="41" t="str">
        <f aca="false">IF(G2258="","",IFERROR(IF(ISNUMBER(SEARCH(Assumptions!$C$5,G2258)),Assumptions!$D$5,IF(ISNUMBER(SEARCH(Assumptions!$C$6,G2258)),Assumptions!$D$6,IF(ISNUMBER(SEARCH(Assumptions!$C$7,G2258)),Assumptions!$D$7,"Other Services"))),"Other Services"))</f>
        <v/>
      </c>
    </row>
    <row r="2259" customFormat="false" ht="15" hidden="false" customHeight="false" outlineLevel="0" collapsed="false">
      <c r="F2259" s="41" t="str">
        <f aca="false">IF(E2259="","",IFERROR(VLOOKUP(E2259,Assumptions!$G$5:$H$16,2,0),"Other"))</f>
        <v/>
      </c>
      <c r="J2259" s="41" t="str">
        <f aca="false">IF(G2259="","",IFERROR(IF(ISNUMBER(SEARCH(Assumptions!$C$5,G2259)),Assumptions!$D$5,IF(ISNUMBER(SEARCH(Assumptions!$C$6,G2259)),Assumptions!$D$6,IF(ISNUMBER(SEARCH(Assumptions!$C$7,G2259)),Assumptions!$D$7,"Other Services"))),"Other Services"))</f>
        <v/>
      </c>
    </row>
    <row r="2260" customFormat="false" ht="15" hidden="false" customHeight="false" outlineLevel="0" collapsed="false">
      <c r="F2260" s="41" t="str">
        <f aca="false">IF(E2260="","",IFERROR(VLOOKUP(E2260,Assumptions!$G$5:$H$16,2,0),"Other"))</f>
        <v/>
      </c>
      <c r="J2260" s="41" t="str">
        <f aca="false">IF(G2260="","",IFERROR(IF(ISNUMBER(SEARCH(Assumptions!$C$5,G2260)),Assumptions!$D$5,IF(ISNUMBER(SEARCH(Assumptions!$C$6,G2260)),Assumptions!$D$6,IF(ISNUMBER(SEARCH(Assumptions!$C$7,G2260)),Assumptions!$D$7,"Other Services"))),"Other Services"))</f>
        <v/>
      </c>
    </row>
    <row r="2261" customFormat="false" ht="15" hidden="false" customHeight="false" outlineLevel="0" collapsed="false">
      <c r="F2261" s="41" t="str">
        <f aca="false">IF(E2261="","",IFERROR(VLOOKUP(E2261,Assumptions!$G$5:$H$16,2,0),"Other"))</f>
        <v/>
      </c>
      <c r="J2261" s="41" t="str">
        <f aca="false">IF(G2261="","",IFERROR(IF(ISNUMBER(SEARCH(Assumptions!$C$5,G2261)),Assumptions!$D$5,IF(ISNUMBER(SEARCH(Assumptions!$C$6,G2261)),Assumptions!$D$6,IF(ISNUMBER(SEARCH(Assumptions!$C$7,G2261)),Assumptions!$D$7,"Other Services"))),"Other Services"))</f>
        <v/>
      </c>
    </row>
    <row r="2262" customFormat="false" ht="15" hidden="false" customHeight="false" outlineLevel="0" collapsed="false">
      <c r="F2262" s="41" t="str">
        <f aca="false">IF(E2262="","",IFERROR(VLOOKUP(E2262,Assumptions!$G$5:$H$16,2,0),"Other"))</f>
        <v/>
      </c>
      <c r="J2262" s="41" t="str">
        <f aca="false">IF(G2262="","",IFERROR(IF(ISNUMBER(SEARCH(Assumptions!$C$5,G2262)),Assumptions!$D$5,IF(ISNUMBER(SEARCH(Assumptions!$C$6,G2262)),Assumptions!$D$6,IF(ISNUMBER(SEARCH(Assumptions!$C$7,G2262)),Assumptions!$D$7,"Other Services"))),"Other Services"))</f>
        <v/>
      </c>
    </row>
    <row r="2263" customFormat="false" ht="15" hidden="false" customHeight="false" outlineLevel="0" collapsed="false">
      <c r="F2263" s="41" t="str">
        <f aca="false">IF(E2263="","",IFERROR(VLOOKUP(E2263,Assumptions!$G$5:$H$16,2,0),"Other"))</f>
        <v/>
      </c>
      <c r="J2263" s="41" t="str">
        <f aca="false">IF(G2263="","",IFERROR(IF(ISNUMBER(SEARCH(Assumptions!$C$5,G2263)),Assumptions!$D$5,IF(ISNUMBER(SEARCH(Assumptions!$C$6,G2263)),Assumptions!$D$6,IF(ISNUMBER(SEARCH(Assumptions!$C$7,G2263)),Assumptions!$D$7,"Other Services"))),"Other Services"))</f>
        <v/>
      </c>
    </row>
    <row r="2264" customFormat="false" ht="15" hidden="false" customHeight="false" outlineLevel="0" collapsed="false">
      <c r="F2264" s="41" t="str">
        <f aca="false">IF(E2264="","",IFERROR(VLOOKUP(E2264,Assumptions!$G$5:$H$16,2,0),"Other"))</f>
        <v/>
      </c>
      <c r="J2264" s="41" t="str">
        <f aca="false">IF(G2264="","",IFERROR(IF(ISNUMBER(SEARCH(Assumptions!$C$5,G2264)),Assumptions!$D$5,IF(ISNUMBER(SEARCH(Assumptions!$C$6,G2264)),Assumptions!$D$6,IF(ISNUMBER(SEARCH(Assumptions!$C$7,G2264)),Assumptions!$D$7,"Other Services"))),"Other Services"))</f>
        <v/>
      </c>
    </row>
    <row r="2265" customFormat="false" ht="15" hidden="false" customHeight="false" outlineLevel="0" collapsed="false">
      <c r="F2265" s="41" t="str">
        <f aca="false">IF(E2265="","",IFERROR(VLOOKUP(E2265,Assumptions!$G$5:$H$16,2,0),"Other"))</f>
        <v/>
      </c>
      <c r="J2265" s="41" t="str">
        <f aca="false">IF(G2265="","",IFERROR(IF(ISNUMBER(SEARCH(Assumptions!$C$5,G2265)),Assumptions!$D$5,IF(ISNUMBER(SEARCH(Assumptions!$C$6,G2265)),Assumptions!$D$6,IF(ISNUMBER(SEARCH(Assumptions!$C$7,G2265)),Assumptions!$D$7,"Other Services"))),"Other Services"))</f>
        <v/>
      </c>
    </row>
    <row r="2266" customFormat="false" ht="15" hidden="false" customHeight="false" outlineLevel="0" collapsed="false">
      <c r="F2266" s="41" t="str">
        <f aca="false">IF(E2266="","",IFERROR(VLOOKUP(E2266,Assumptions!$G$5:$H$16,2,0),"Other"))</f>
        <v/>
      </c>
      <c r="J2266" s="41" t="str">
        <f aca="false">IF(G2266="","",IFERROR(IF(ISNUMBER(SEARCH(Assumptions!$C$5,G2266)),Assumptions!$D$5,IF(ISNUMBER(SEARCH(Assumptions!$C$6,G2266)),Assumptions!$D$6,IF(ISNUMBER(SEARCH(Assumptions!$C$7,G2266)),Assumptions!$D$7,"Other Services"))),"Other Services"))</f>
        <v/>
      </c>
    </row>
    <row r="2267" customFormat="false" ht="15" hidden="false" customHeight="false" outlineLevel="0" collapsed="false">
      <c r="F2267" s="41" t="str">
        <f aca="false">IF(E2267="","",IFERROR(VLOOKUP(E2267,Assumptions!$G$5:$H$16,2,0),"Other"))</f>
        <v/>
      </c>
      <c r="J2267" s="41" t="str">
        <f aca="false">IF(G2267="","",IFERROR(IF(ISNUMBER(SEARCH(Assumptions!$C$5,G2267)),Assumptions!$D$5,IF(ISNUMBER(SEARCH(Assumptions!$C$6,G2267)),Assumptions!$D$6,IF(ISNUMBER(SEARCH(Assumptions!$C$7,G2267)),Assumptions!$D$7,"Other Services"))),"Other Services"))</f>
        <v/>
      </c>
    </row>
    <row r="2268" customFormat="false" ht="15" hidden="false" customHeight="false" outlineLevel="0" collapsed="false">
      <c r="F2268" s="41" t="str">
        <f aca="false">IF(E2268="","",IFERROR(VLOOKUP(E2268,Assumptions!$G$5:$H$16,2,0),"Other"))</f>
        <v/>
      </c>
      <c r="J2268" s="41" t="str">
        <f aca="false">IF(G2268="","",IFERROR(IF(ISNUMBER(SEARCH(Assumptions!$C$5,G2268)),Assumptions!$D$5,IF(ISNUMBER(SEARCH(Assumptions!$C$6,G2268)),Assumptions!$D$6,IF(ISNUMBER(SEARCH(Assumptions!$C$7,G2268)),Assumptions!$D$7,"Other Services"))),"Other Services"))</f>
        <v/>
      </c>
    </row>
    <row r="2269" customFormat="false" ht="15" hidden="false" customHeight="false" outlineLevel="0" collapsed="false">
      <c r="F2269" s="41" t="str">
        <f aca="false">IF(E2269="","",IFERROR(VLOOKUP(E2269,Assumptions!$G$5:$H$16,2,0),"Other"))</f>
        <v/>
      </c>
      <c r="J2269" s="41" t="str">
        <f aca="false">IF(G2269="","",IFERROR(IF(ISNUMBER(SEARCH(Assumptions!$C$5,G2269)),Assumptions!$D$5,IF(ISNUMBER(SEARCH(Assumptions!$C$6,G2269)),Assumptions!$D$6,IF(ISNUMBER(SEARCH(Assumptions!$C$7,G2269)),Assumptions!$D$7,"Other Services"))),"Other Services"))</f>
        <v/>
      </c>
    </row>
    <row r="2270" customFormat="false" ht="15" hidden="false" customHeight="false" outlineLevel="0" collapsed="false">
      <c r="F2270" s="41" t="str">
        <f aca="false">IF(E2270="","",IFERROR(VLOOKUP(E2270,Assumptions!$G$5:$H$16,2,0),"Other"))</f>
        <v/>
      </c>
      <c r="J2270" s="41" t="str">
        <f aca="false">IF(G2270="","",IFERROR(IF(ISNUMBER(SEARCH(Assumptions!$C$5,G2270)),Assumptions!$D$5,IF(ISNUMBER(SEARCH(Assumptions!$C$6,G2270)),Assumptions!$D$6,IF(ISNUMBER(SEARCH(Assumptions!$C$7,G2270)),Assumptions!$D$7,"Other Services"))),"Other Services"))</f>
        <v/>
      </c>
    </row>
    <row r="2271" customFormat="false" ht="15" hidden="false" customHeight="false" outlineLevel="0" collapsed="false">
      <c r="F2271" s="41" t="str">
        <f aca="false">IF(E2271="","",IFERROR(VLOOKUP(E2271,Assumptions!$G$5:$H$16,2,0),"Other"))</f>
        <v/>
      </c>
      <c r="J2271" s="41" t="str">
        <f aca="false">IF(G2271="","",IFERROR(IF(ISNUMBER(SEARCH(Assumptions!$C$5,G2271)),Assumptions!$D$5,IF(ISNUMBER(SEARCH(Assumptions!$C$6,G2271)),Assumptions!$D$6,IF(ISNUMBER(SEARCH(Assumptions!$C$7,G2271)),Assumptions!$D$7,"Other Services"))),"Other Services"))</f>
        <v/>
      </c>
    </row>
    <row r="2272" customFormat="false" ht="15" hidden="false" customHeight="false" outlineLevel="0" collapsed="false">
      <c r="F2272" s="41" t="str">
        <f aca="false">IF(E2272="","",IFERROR(VLOOKUP(E2272,Assumptions!$G$5:$H$16,2,0),"Other"))</f>
        <v/>
      </c>
      <c r="J2272" s="41" t="str">
        <f aca="false">IF(G2272="","",IFERROR(IF(ISNUMBER(SEARCH(Assumptions!$C$5,G2272)),Assumptions!$D$5,IF(ISNUMBER(SEARCH(Assumptions!$C$6,G2272)),Assumptions!$D$6,IF(ISNUMBER(SEARCH(Assumptions!$C$7,G2272)),Assumptions!$D$7,"Other Services"))),"Other Services"))</f>
        <v/>
      </c>
    </row>
    <row r="2273" customFormat="false" ht="15" hidden="false" customHeight="false" outlineLevel="0" collapsed="false">
      <c r="F2273" s="41" t="str">
        <f aca="false">IF(E2273="","",IFERROR(VLOOKUP(E2273,Assumptions!$G$5:$H$16,2,0),"Other"))</f>
        <v/>
      </c>
      <c r="J2273" s="41" t="str">
        <f aca="false">IF(G2273="","",IFERROR(IF(ISNUMBER(SEARCH(Assumptions!$C$5,G2273)),Assumptions!$D$5,IF(ISNUMBER(SEARCH(Assumptions!$C$6,G2273)),Assumptions!$D$6,IF(ISNUMBER(SEARCH(Assumptions!$C$7,G2273)),Assumptions!$D$7,"Other Services"))),"Other Services"))</f>
        <v/>
      </c>
    </row>
    <row r="2274" customFormat="false" ht="15" hidden="false" customHeight="false" outlineLevel="0" collapsed="false">
      <c r="F2274" s="41" t="str">
        <f aca="false">IF(E2274="","",IFERROR(VLOOKUP(E2274,Assumptions!$G$5:$H$16,2,0),"Other"))</f>
        <v/>
      </c>
      <c r="J2274" s="41" t="str">
        <f aca="false">IF(G2274="","",IFERROR(IF(ISNUMBER(SEARCH(Assumptions!$C$5,G2274)),Assumptions!$D$5,IF(ISNUMBER(SEARCH(Assumptions!$C$6,G2274)),Assumptions!$D$6,IF(ISNUMBER(SEARCH(Assumptions!$C$7,G2274)),Assumptions!$D$7,"Other Services"))),"Other Services"))</f>
        <v/>
      </c>
    </row>
    <row r="2275" customFormat="false" ht="15" hidden="false" customHeight="false" outlineLevel="0" collapsed="false">
      <c r="F2275" s="41" t="str">
        <f aca="false">IF(E2275="","",IFERROR(VLOOKUP(E2275,Assumptions!$G$5:$H$16,2,0),"Other"))</f>
        <v/>
      </c>
      <c r="J2275" s="41" t="str">
        <f aca="false">IF(G2275="","",IFERROR(IF(ISNUMBER(SEARCH(Assumptions!$C$5,G2275)),Assumptions!$D$5,IF(ISNUMBER(SEARCH(Assumptions!$C$6,G2275)),Assumptions!$D$6,IF(ISNUMBER(SEARCH(Assumptions!$C$7,G2275)),Assumptions!$D$7,"Other Services"))),"Other Services"))</f>
        <v/>
      </c>
    </row>
    <row r="2276" customFormat="false" ht="15" hidden="false" customHeight="false" outlineLevel="0" collapsed="false">
      <c r="F2276" s="41" t="str">
        <f aca="false">IF(E2276="","",IFERROR(VLOOKUP(E2276,Assumptions!$G$5:$H$16,2,0),"Other"))</f>
        <v/>
      </c>
      <c r="J2276" s="41" t="str">
        <f aca="false">IF(G2276="","",IFERROR(IF(ISNUMBER(SEARCH(Assumptions!$C$5,G2276)),Assumptions!$D$5,IF(ISNUMBER(SEARCH(Assumptions!$C$6,G2276)),Assumptions!$D$6,IF(ISNUMBER(SEARCH(Assumptions!$C$7,G2276)),Assumptions!$D$7,"Other Services"))),"Other Services"))</f>
        <v/>
      </c>
    </row>
    <row r="2277" customFormat="false" ht="15" hidden="false" customHeight="false" outlineLevel="0" collapsed="false">
      <c r="F2277" s="41" t="str">
        <f aca="false">IF(E2277="","",IFERROR(VLOOKUP(E2277,Assumptions!$G$5:$H$16,2,0),"Other"))</f>
        <v/>
      </c>
      <c r="J2277" s="41" t="str">
        <f aca="false">IF(G2277="","",IFERROR(IF(ISNUMBER(SEARCH(Assumptions!$C$5,G2277)),Assumptions!$D$5,IF(ISNUMBER(SEARCH(Assumptions!$C$6,G2277)),Assumptions!$D$6,IF(ISNUMBER(SEARCH(Assumptions!$C$7,G2277)),Assumptions!$D$7,"Other Services"))),"Other Services"))</f>
        <v/>
      </c>
    </row>
    <row r="2278" customFormat="false" ht="15" hidden="false" customHeight="false" outlineLevel="0" collapsed="false">
      <c r="F2278" s="41" t="str">
        <f aca="false">IF(E2278="","",IFERROR(VLOOKUP(E2278,Assumptions!$G$5:$H$16,2,0),"Other"))</f>
        <v/>
      </c>
      <c r="J2278" s="41" t="str">
        <f aca="false">IF(G2278="","",IFERROR(IF(ISNUMBER(SEARCH(Assumptions!$C$5,G2278)),Assumptions!$D$5,IF(ISNUMBER(SEARCH(Assumptions!$C$6,G2278)),Assumptions!$D$6,IF(ISNUMBER(SEARCH(Assumptions!$C$7,G2278)),Assumptions!$D$7,"Other Services"))),"Other Services"))</f>
        <v/>
      </c>
    </row>
    <row r="2279" customFormat="false" ht="15" hidden="false" customHeight="false" outlineLevel="0" collapsed="false">
      <c r="F2279" s="41" t="str">
        <f aca="false">IF(E2279="","",IFERROR(VLOOKUP(E2279,Assumptions!$G$5:$H$16,2,0),"Other"))</f>
        <v/>
      </c>
      <c r="J2279" s="41" t="str">
        <f aca="false">IF(G2279="","",IFERROR(IF(ISNUMBER(SEARCH(Assumptions!$C$5,G2279)),Assumptions!$D$5,IF(ISNUMBER(SEARCH(Assumptions!$C$6,G2279)),Assumptions!$D$6,IF(ISNUMBER(SEARCH(Assumptions!$C$7,G2279)),Assumptions!$D$7,"Other Services"))),"Other Services"))</f>
        <v/>
      </c>
    </row>
    <row r="2280" customFormat="false" ht="15" hidden="false" customHeight="false" outlineLevel="0" collapsed="false">
      <c r="F2280" s="41" t="str">
        <f aca="false">IF(E2280="","",IFERROR(VLOOKUP(E2280,Assumptions!$G$5:$H$16,2,0),"Other"))</f>
        <v/>
      </c>
      <c r="J2280" s="41" t="str">
        <f aca="false">IF(G2280="","",IFERROR(IF(ISNUMBER(SEARCH(Assumptions!$C$5,G2280)),Assumptions!$D$5,IF(ISNUMBER(SEARCH(Assumptions!$C$6,G2280)),Assumptions!$D$6,IF(ISNUMBER(SEARCH(Assumptions!$C$7,G2280)),Assumptions!$D$7,"Other Services"))),"Other Services"))</f>
        <v/>
      </c>
    </row>
    <row r="2281" customFormat="false" ht="15" hidden="false" customHeight="false" outlineLevel="0" collapsed="false">
      <c r="F2281" s="41" t="str">
        <f aca="false">IF(E2281="","",IFERROR(VLOOKUP(E2281,Assumptions!$G$5:$H$16,2,0),"Other"))</f>
        <v/>
      </c>
      <c r="J2281" s="41" t="str">
        <f aca="false">IF(G2281="","",IFERROR(IF(ISNUMBER(SEARCH(Assumptions!$C$5,G2281)),Assumptions!$D$5,IF(ISNUMBER(SEARCH(Assumptions!$C$6,G2281)),Assumptions!$D$6,IF(ISNUMBER(SEARCH(Assumptions!$C$7,G2281)),Assumptions!$D$7,"Other Services"))),"Other Services"))</f>
        <v/>
      </c>
    </row>
    <row r="2282" customFormat="false" ht="15" hidden="false" customHeight="false" outlineLevel="0" collapsed="false">
      <c r="F2282" s="41" t="str">
        <f aca="false">IF(E2282="","",IFERROR(VLOOKUP(E2282,Assumptions!$G$5:$H$16,2,0),"Other"))</f>
        <v/>
      </c>
      <c r="J2282" s="41" t="str">
        <f aca="false">IF(G2282="","",IFERROR(IF(ISNUMBER(SEARCH(Assumptions!$C$5,G2282)),Assumptions!$D$5,IF(ISNUMBER(SEARCH(Assumptions!$C$6,G2282)),Assumptions!$D$6,IF(ISNUMBER(SEARCH(Assumptions!$C$7,G2282)),Assumptions!$D$7,"Other Services"))),"Other Services"))</f>
        <v/>
      </c>
    </row>
    <row r="2283" customFormat="false" ht="15" hidden="false" customHeight="false" outlineLevel="0" collapsed="false">
      <c r="F2283" s="41" t="str">
        <f aca="false">IF(E2283="","",IFERROR(VLOOKUP(E2283,Assumptions!$G$5:$H$16,2,0),"Other"))</f>
        <v/>
      </c>
      <c r="J2283" s="41" t="str">
        <f aca="false">IF(G2283="","",IFERROR(IF(ISNUMBER(SEARCH(Assumptions!$C$5,G2283)),Assumptions!$D$5,IF(ISNUMBER(SEARCH(Assumptions!$C$6,G2283)),Assumptions!$D$6,IF(ISNUMBER(SEARCH(Assumptions!$C$7,G2283)),Assumptions!$D$7,"Other Services"))),"Other Services"))</f>
        <v/>
      </c>
    </row>
    <row r="2284" customFormat="false" ht="15" hidden="false" customHeight="false" outlineLevel="0" collapsed="false">
      <c r="F2284" s="41" t="str">
        <f aca="false">IF(E2284="","",IFERROR(VLOOKUP(E2284,Assumptions!$G$5:$H$16,2,0),"Other"))</f>
        <v/>
      </c>
      <c r="J2284" s="41" t="str">
        <f aca="false">IF(G2284="","",IFERROR(IF(ISNUMBER(SEARCH(Assumptions!$C$5,G2284)),Assumptions!$D$5,IF(ISNUMBER(SEARCH(Assumptions!$C$6,G2284)),Assumptions!$D$6,IF(ISNUMBER(SEARCH(Assumptions!$C$7,G2284)),Assumptions!$D$7,"Other Services"))),"Other Services"))</f>
        <v/>
      </c>
    </row>
    <row r="2285" customFormat="false" ht="15" hidden="false" customHeight="false" outlineLevel="0" collapsed="false">
      <c r="F2285" s="41" t="str">
        <f aca="false">IF(E2285="","",IFERROR(VLOOKUP(E2285,Assumptions!$G$5:$H$16,2,0),"Other"))</f>
        <v/>
      </c>
      <c r="J2285" s="41" t="str">
        <f aca="false">IF(G2285="","",IFERROR(IF(ISNUMBER(SEARCH(Assumptions!$C$5,G2285)),Assumptions!$D$5,IF(ISNUMBER(SEARCH(Assumptions!$C$6,G2285)),Assumptions!$D$6,IF(ISNUMBER(SEARCH(Assumptions!$C$7,G2285)),Assumptions!$D$7,"Other Services"))),"Other Services"))</f>
        <v/>
      </c>
    </row>
    <row r="2286" customFormat="false" ht="15" hidden="false" customHeight="false" outlineLevel="0" collapsed="false">
      <c r="F2286" s="41" t="str">
        <f aca="false">IF(E2286="","",IFERROR(VLOOKUP(E2286,Assumptions!$G$5:$H$16,2,0),"Other"))</f>
        <v/>
      </c>
      <c r="J2286" s="41" t="str">
        <f aca="false">IF(G2286="","",IFERROR(IF(ISNUMBER(SEARCH(Assumptions!$C$5,G2286)),Assumptions!$D$5,IF(ISNUMBER(SEARCH(Assumptions!$C$6,G2286)),Assumptions!$D$6,IF(ISNUMBER(SEARCH(Assumptions!$C$7,G2286)),Assumptions!$D$7,"Other Services"))),"Other Services"))</f>
        <v/>
      </c>
    </row>
    <row r="2287" customFormat="false" ht="15" hidden="false" customHeight="false" outlineLevel="0" collapsed="false">
      <c r="F2287" s="41" t="str">
        <f aca="false">IF(E2287="","",IFERROR(VLOOKUP(E2287,Assumptions!$G$5:$H$16,2,0),"Other"))</f>
        <v/>
      </c>
      <c r="J2287" s="41" t="str">
        <f aca="false">IF(G2287="","",IFERROR(IF(ISNUMBER(SEARCH(Assumptions!$C$5,G2287)),Assumptions!$D$5,IF(ISNUMBER(SEARCH(Assumptions!$C$6,G2287)),Assumptions!$D$6,IF(ISNUMBER(SEARCH(Assumptions!$C$7,G2287)),Assumptions!$D$7,"Other Services"))),"Other Services"))</f>
        <v/>
      </c>
    </row>
    <row r="2288" customFormat="false" ht="15" hidden="false" customHeight="false" outlineLevel="0" collapsed="false">
      <c r="F2288" s="41" t="str">
        <f aca="false">IF(E2288="","",IFERROR(VLOOKUP(E2288,Assumptions!$G$5:$H$16,2,0),"Other"))</f>
        <v/>
      </c>
      <c r="J2288" s="41" t="str">
        <f aca="false">IF(G2288="","",IFERROR(IF(ISNUMBER(SEARCH(Assumptions!$C$5,G2288)),Assumptions!$D$5,IF(ISNUMBER(SEARCH(Assumptions!$C$6,G2288)),Assumptions!$D$6,IF(ISNUMBER(SEARCH(Assumptions!$C$7,G2288)),Assumptions!$D$7,"Other Services"))),"Other Services"))</f>
        <v/>
      </c>
    </row>
    <row r="2289" customFormat="false" ht="15" hidden="false" customHeight="false" outlineLevel="0" collapsed="false">
      <c r="F2289" s="41" t="str">
        <f aca="false">IF(E2289="","",IFERROR(VLOOKUP(E2289,Assumptions!$G$5:$H$16,2,0),"Other"))</f>
        <v/>
      </c>
      <c r="J2289" s="41" t="str">
        <f aca="false">IF(G2289="","",IFERROR(IF(ISNUMBER(SEARCH(Assumptions!$C$5,G2289)),Assumptions!$D$5,IF(ISNUMBER(SEARCH(Assumptions!$C$6,G2289)),Assumptions!$D$6,IF(ISNUMBER(SEARCH(Assumptions!$C$7,G2289)),Assumptions!$D$7,"Other Services"))),"Other Services"))</f>
        <v/>
      </c>
    </row>
    <row r="2290" customFormat="false" ht="15" hidden="false" customHeight="false" outlineLevel="0" collapsed="false">
      <c r="F2290" s="41" t="str">
        <f aca="false">IF(E2290="","",IFERROR(VLOOKUP(E2290,Assumptions!$G$5:$H$16,2,0),"Other"))</f>
        <v/>
      </c>
      <c r="J2290" s="41" t="str">
        <f aca="false">IF(G2290="","",IFERROR(IF(ISNUMBER(SEARCH(Assumptions!$C$5,G2290)),Assumptions!$D$5,IF(ISNUMBER(SEARCH(Assumptions!$C$6,G2290)),Assumptions!$D$6,IF(ISNUMBER(SEARCH(Assumptions!$C$7,G2290)),Assumptions!$D$7,"Other Services"))),"Other Services"))</f>
        <v/>
      </c>
    </row>
    <row r="2291" customFormat="false" ht="15" hidden="false" customHeight="false" outlineLevel="0" collapsed="false">
      <c r="F2291" s="41" t="str">
        <f aca="false">IF(E2291="","",IFERROR(VLOOKUP(E2291,Assumptions!$G$5:$H$16,2,0),"Other"))</f>
        <v/>
      </c>
      <c r="J2291" s="41" t="str">
        <f aca="false">IF(G2291="","",IFERROR(IF(ISNUMBER(SEARCH(Assumptions!$C$5,G2291)),Assumptions!$D$5,IF(ISNUMBER(SEARCH(Assumptions!$C$6,G2291)),Assumptions!$D$6,IF(ISNUMBER(SEARCH(Assumptions!$C$7,G2291)),Assumptions!$D$7,"Other Services"))),"Other Services"))</f>
        <v/>
      </c>
    </row>
    <row r="2292" customFormat="false" ht="15" hidden="false" customHeight="false" outlineLevel="0" collapsed="false">
      <c r="F2292" s="41" t="str">
        <f aca="false">IF(E2292="","",IFERROR(VLOOKUP(E2292,Assumptions!$G$5:$H$16,2,0),"Other"))</f>
        <v/>
      </c>
      <c r="J2292" s="41" t="str">
        <f aca="false">IF(G2292="","",IFERROR(IF(ISNUMBER(SEARCH(Assumptions!$C$5,G2292)),Assumptions!$D$5,IF(ISNUMBER(SEARCH(Assumptions!$C$6,G2292)),Assumptions!$D$6,IF(ISNUMBER(SEARCH(Assumptions!$C$7,G2292)),Assumptions!$D$7,"Other Services"))),"Other Services"))</f>
        <v/>
      </c>
    </row>
    <row r="2293" customFormat="false" ht="15" hidden="false" customHeight="false" outlineLevel="0" collapsed="false">
      <c r="F2293" s="41" t="str">
        <f aca="false">IF(E2293="","",IFERROR(VLOOKUP(E2293,Assumptions!$G$5:$H$16,2,0),"Other"))</f>
        <v/>
      </c>
      <c r="J2293" s="41" t="str">
        <f aca="false">IF(G2293="","",IFERROR(IF(ISNUMBER(SEARCH(Assumptions!$C$5,G2293)),Assumptions!$D$5,IF(ISNUMBER(SEARCH(Assumptions!$C$6,G2293)),Assumptions!$D$6,IF(ISNUMBER(SEARCH(Assumptions!$C$7,G2293)),Assumptions!$D$7,"Other Services"))),"Other Services"))</f>
        <v/>
      </c>
    </row>
    <row r="2294" customFormat="false" ht="15" hidden="false" customHeight="false" outlineLevel="0" collapsed="false">
      <c r="F2294" s="41" t="str">
        <f aca="false">IF(E2294="","",IFERROR(VLOOKUP(E2294,Assumptions!$G$5:$H$16,2,0),"Other"))</f>
        <v/>
      </c>
      <c r="J2294" s="41" t="str">
        <f aca="false">IF(G2294="","",IFERROR(IF(ISNUMBER(SEARCH(Assumptions!$C$5,G2294)),Assumptions!$D$5,IF(ISNUMBER(SEARCH(Assumptions!$C$6,G2294)),Assumptions!$D$6,IF(ISNUMBER(SEARCH(Assumptions!$C$7,G2294)),Assumptions!$D$7,"Other Services"))),"Other Services"))</f>
        <v/>
      </c>
    </row>
    <row r="2295" customFormat="false" ht="15" hidden="false" customHeight="false" outlineLevel="0" collapsed="false">
      <c r="F2295" s="41" t="str">
        <f aca="false">IF(E2295="","",IFERROR(VLOOKUP(E2295,Assumptions!$G$5:$H$16,2,0),"Other"))</f>
        <v/>
      </c>
      <c r="J2295" s="41" t="str">
        <f aca="false">IF(G2295="","",IFERROR(IF(ISNUMBER(SEARCH(Assumptions!$C$5,G2295)),Assumptions!$D$5,IF(ISNUMBER(SEARCH(Assumptions!$C$6,G2295)),Assumptions!$D$6,IF(ISNUMBER(SEARCH(Assumptions!$C$7,G2295)),Assumptions!$D$7,"Other Services"))),"Other Services"))</f>
        <v/>
      </c>
    </row>
    <row r="2296" customFormat="false" ht="15" hidden="false" customHeight="false" outlineLevel="0" collapsed="false">
      <c r="F2296" s="41" t="str">
        <f aca="false">IF(E2296="","",IFERROR(VLOOKUP(E2296,Assumptions!$G$5:$H$16,2,0),"Other"))</f>
        <v/>
      </c>
      <c r="J2296" s="41" t="str">
        <f aca="false">IF(G2296="","",IFERROR(IF(ISNUMBER(SEARCH(Assumptions!$C$5,G2296)),Assumptions!$D$5,IF(ISNUMBER(SEARCH(Assumptions!$C$6,G2296)),Assumptions!$D$6,IF(ISNUMBER(SEARCH(Assumptions!$C$7,G2296)),Assumptions!$D$7,"Other Services"))),"Other Services"))</f>
        <v/>
      </c>
    </row>
    <row r="2297" customFormat="false" ht="15" hidden="false" customHeight="false" outlineLevel="0" collapsed="false">
      <c r="F2297" s="41" t="str">
        <f aca="false">IF(E2297="","",IFERROR(VLOOKUP(E2297,Assumptions!$G$5:$H$16,2,0),"Other"))</f>
        <v/>
      </c>
      <c r="J2297" s="41" t="str">
        <f aca="false">IF(G2297="","",IFERROR(IF(ISNUMBER(SEARCH(Assumptions!$C$5,G2297)),Assumptions!$D$5,IF(ISNUMBER(SEARCH(Assumptions!$C$6,G2297)),Assumptions!$D$6,IF(ISNUMBER(SEARCH(Assumptions!$C$7,G2297)),Assumptions!$D$7,"Other Services"))),"Other Services"))</f>
        <v/>
      </c>
    </row>
    <row r="2298" customFormat="false" ht="15" hidden="false" customHeight="false" outlineLevel="0" collapsed="false">
      <c r="F2298" s="41" t="str">
        <f aca="false">IF(E2298="","",IFERROR(VLOOKUP(E2298,Assumptions!$G$5:$H$16,2,0),"Other"))</f>
        <v/>
      </c>
      <c r="J2298" s="41" t="str">
        <f aca="false">IF(G2298="","",IFERROR(IF(ISNUMBER(SEARCH(Assumptions!$C$5,G2298)),Assumptions!$D$5,IF(ISNUMBER(SEARCH(Assumptions!$C$6,G2298)),Assumptions!$D$6,IF(ISNUMBER(SEARCH(Assumptions!$C$7,G2298)),Assumptions!$D$7,"Other Services"))),"Other Services"))</f>
        <v/>
      </c>
    </row>
    <row r="2299" customFormat="false" ht="15" hidden="false" customHeight="false" outlineLevel="0" collapsed="false">
      <c r="F2299" s="41" t="str">
        <f aca="false">IF(E2299="","",IFERROR(VLOOKUP(E2299,Assumptions!$G$5:$H$16,2,0),"Other"))</f>
        <v/>
      </c>
      <c r="J2299" s="41" t="str">
        <f aca="false">IF(G2299="","",IFERROR(IF(ISNUMBER(SEARCH(Assumptions!$C$5,G2299)),Assumptions!$D$5,IF(ISNUMBER(SEARCH(Assumptions!$C$6,G2299)),Assumptions!$D$6,IF(ISNUMBER(SEARCH(Assumptions!$C$7,G2299)),Assumptions!$D$7,"Other Services"))),"Other Services"))</f>
        <v/>
      </c>
    </row>
    <row r="2300" customFormat="false" ht="15" hidden="false" customHeight="false" outlineLevel="0" collapsed="false">
      <c r="F2300" s="41" t="str">
        <f aca="false">IF(E2300="","",IFERROR(VLOOKUP(E2300,Assumptions!$G$5:$H$16,2,0),"Other"))</f>
        <v/>
      </c>
      <c r="J2300" s="41" t="str">
        <f aca="false">IF(G2300="","",IFERROR(IF(ISNUMBER(SEARCH(Assumptions!$C$5,G2300)),Assumptions!$D$5,IF(ISNUMBER(SEARCH(Assumptions!$C$6,G2300)),Assumptions!$D$6,IF(ISNUMBER(SEARCH(Assumptions!$C$7,G2300)),Assumptions!$D$7,"Other Services"))),"Other Services"))</f>
        <v/>
      </c>
    </row>
    <row r="2301" customFormat="false" ht="15" hidden="false" customHeight="false" outlineLevel="0" collapsed="false">
      <c r="F2301" s="41" t="str">
        <f aca="false">IF(E2301="","",IFERROR(VLOOKUP(E2301,Assumptions!$G$5:$H$16,2,0),"Other"))</f>
        <v/>
      </c>
      <c r="J2301" s="41" t="str">
        <f aca="false">IF(G2301="","",IFERROR(IF(ISNUMBER(SEARCH(Assumptions!$C$5,G2301)),Assumptions!$D$5,IF(ISNUMBER(SEARCH(Assumptions!$C$6,G2301)),Assumptions!$D$6,IF(ISNUMBER(SEARCH(Assumptions!$C$7,G2301)),Assumptions!$D$7,"Other Services"))),"Other Services"))</f>
        <v/>
      </c>
    </row>
    <row r="2302" customFormat="false" ht="15" hidden="false" customHeight="false" outlineLevel="0" collapsed="false">
      <c r="F2302" s="41" t="str">
        <f aca="false">IF(E2302="","",IFERROR(VLOOKUP(E2302,Assumptions!$G$5:$H$16,2,0),"Other"))</f>
        <v/>
      </c>
      <c r="J2302" s="41" t="str">
        <f aca="false">IF(G2302="","",IFERROR(IF(ISNUMBER(SEARCH(Assumptions!$C$5,G2302)),Assumptions!$D$5,IF(ISNUMBER(SEARCH(Assumptions!$C$6,G2302)),Assumptions!$D$6,IF(ISNUMBER(SEARCH(Assumptions!$C$7,G2302)),Assumptions!$D$7,"Other Services"))),"Other Services"))</f>
        <v/>
      </c>
    </row>
    <row r="2303" customFormat="false" ht="15" hidden="false" customHeight="false" outlineLevel="0" collapsed="false">
      <c r="F2303" s="41" t="str">
        <f aca="false">IF(E2303="","",IFERROR(VLOOKUP(E2303,Assumptions!$G$5:$H$16,2,0),"Other"))</f>
        <v/>
      </c>
      <c r="J2303" s="41" t="str">
        <f aca="false">IF(G2303="","",IFERROR(IF(ISNUMBER(SEARCH(Assumptions!$C$5,G2303)),Assumptions!$D$5,IF(ISNUMBER(SEARCH(Assumptions!$C$6,G2303)),Assumptions!$D$6,IF(ISNUMBER(SEARCH(Assumptions!$C$7,G2303)),Assumptions!$D$7,"Other Services"))),"Other Services"))</f>
        <v/>
      </c>
    </row>
    <row r="2304" customFormat="false" ht="15" hidden="false" customHeight="false" outlineLevel="0" collapsed="false">
      <c r="F2304" s="41" t="str">
        <f aca="false">IF(E2304="","",IFERROR(VLOOKUP(E2304,Assumptions!$G$5:$H$16,2,0),"Other"))</f>
        <v/>
      </c>
      <c r="J2304" s="41" t="str">
        <f aca="false">IF(G2304="","",IFERROR(IF(ISNUMBER(SEARCH(Assumptions!$C$5,G2304)),Assumptions!$D$5,IF(ISNUMBER(SEARCH(Assumptions!$C$6,G2304)),Assumptions!$D$6,IF(ISNUMBER(SEARCH(Assumptions!$C$7,G2304)),Assumptions!$D$7,"Other Services"))),"Other Services"))</f>
        <v/>
      </c>
    </row>
    <row r="2305" customFormat="false" ht="15" hidden="false" customHeight="false" outlineLevel="0" collapsed="false">
      <c r="F2305" s="41" t="str">
        <f aca="false">IF(E2305="","",IFERROR(VLOOKUP(E2305,Assumptions!$G$5:$H$16,2,0),"Other"))</f>
        <v/>
      </c>
      <c r="J2305" s="41" t="str">
        <f aca="false">IF(G2305="","",IFERROR(IF(ISNUMBER(SEARCH(Assumptions!$C$5,G2305)),Assumptions!$D$5,IF(ISNUMBER(SEARCH(Assumptions!$C$6,G2305)),Assumptions!$D$6,IF(ISNUMBER(SEARCH(Assumptions!$C$7,G2305)),Assumptions!$D$7,"Other Services"))),"Other Services"))</f>
        <v/>
      </c>
    </row>
    <row r="2306" customFormat="false" ht="15" hidden="false" customHeight="false" outlineLevel="0" collapsed="false">
      <c r="F2306" s="41" t="str">
        <f aca="false">IF(E2306="","",IFERROR(VLOOKUP(E2306,Assumptions!$G$5:$H$16,2,0),"Other"))</f>
        <v/>
      </c>
      <c r="J2306" s="41" t="str">
        <f aca="false">IF(G2306="","",IFERROR(IF(ISNUMBER(SEARCH(Assumptions!$C$5,G2306)),Assumptions!$D$5,IF(ISNUMBER(SEARCH(Assumptions!$C$6,G2306)),Assumptions!$D$6,IF(ISNUMBER(SEARCH(Assumptions!$C$7,G2306)),Assumptions!$D$7,"Other Services"))),"Other Services"))</f>
        <v/>
      </c>
    </row>
    <row r="2307" customFormat="false" ht="15" hidden="false" customHeight="false" outlineLevel="0" collapsed="false">
      <c r="F2307" s="41" t="str">
        <f aca="false">IF(E2307="","",IFERROR(VLOOKUP(E2307,Assumptions!$G$5:$H$16,2,0),"Other"))</f>
        <v/>
      </c>
      <c r="J2307" s="41" t="str">
        <f aca="false">IF(G2307="","",IFERROR(IF(ISNUMBER(SEARCH(Assumptions!$C$5,G2307)),Assumptions!$D$5,IF(ISNUMBER(SEARCH(Assumptions!$C$6,G2307)),Assumptions!$D$6,IF(ISNUMBER(SEARCH(Assumptions!$C$7,G2307)),Assumptions!$D$7,"Other Services"))),"Other Services"))</f>
        <v/>
      </c>
    </row>
    <row r="2308" customFormat="false" ht="15" hidden="false" customHeight="false" outlineLevel="0" collapsed="false">
      <c r="F2308" s="41" t="str">
        <f aca="false">IF(E2308="","",IFERROR(VLOOKUP(E2308,Assumptions!$G$5:$H$16,2,0),"Other"))</f>
        <v/>
      </c>
      <c r="J2308" s="41" t="str">
        <f aca="false">IF(G2308="","",IFERROR(IF(ISNUMBER(SEARCH(Assumptions!$C$5,G2308)),Assumptions!$D$5,IF(ISNUMBER(SEARCH(Assumptions!$C$6,G2308)),Assumptions!$D$6,IF(ISNUMBER(SEARCH(Assumptions!$C$7,G2308)),Assumptions!$D$7,"Other Services"))),"Other Services"))</f>
        <v/>
      </c>
    </row>
    <row r="2309" customFormat="false" ht="15" hidden="false" customHeight="false" outlineLevel="0" collapsed="false">
      <c r="F2309" s="41" t="str">
        <f aca="false">IF(E2309="","",IFERROR(VLOOKUP(E2309,Assumptions!$G$5:$H$16,2,0),"Other"))</f>
        <v/>
      </c>
      <c r="J2309" s="41" t="str">
        <f aca="false">IF(G2309="","",IFERROR(IF(ISNUMBER(SEARCH(Assumptions!$C$5,G2309)),Assumptions!$D$5,IF(ISNUMBER(SEARCH(Assumptions!$C$6,G2309)),Assumptions!$D$6,IF(ISNUMBER(SEARCH(Assumptions!$C$7,G2309)),Assumptions!$D$7,"Other Services"))),"Other Services"))</f>
        <v/>
      </c>
    </row>
    <row r="2310" customFormat="false" ht="15" hidden="false" customHeight="false" outlineLevel="0" collapsed="false">
      <c r="F2310" s="41" t="str">
        <f aca="false">IF(E2310="","",IFERROR(VLOOKUP(E2310,Assumptions!$G$5:$H$16,2,0),"Other"))</f>
        <v/>
      </c>
      <c r="J2310" s="41" t="str">
        <f aca="false">IF(G2310="","",IFERROR(IF(ISNUMBER(SEARCH(Assumptions!$C$5,G2310)),Assumptions!$D$5,IF(ISNUMBER(SEARCH(Assumptions!$C$6,G2310)),Assumptions!$D$6,IF(ISNUMBER(SEARCH(Assumptions!$C$7,G2310)),Assumptions!$D$7,"Other Services"))),"Other Services"))</f>
        <v/>
      </c>
    </row>
    <row r="2311" customFormat="false" ht="15" hidden="false" customHeight="false" outlineLevel="0" collapsed="false">
      <c r="F2311" s="41" t="str">
        <f aca="false">IF(E2311="","",IFERROR(VLOOKUP(E2311,Assumptions!$G$5:$H$16,2,0),"Other"))</f>
        <v/>
      </c>
      <c r="J2311" s="41" t="str">
        <f aca="false">IF(G2311="","",IFERROR(IF(ISNUMBER(SEARCH(Assumptions!$C$5,G2311)),Assumptions!$D$5,IF(ISNUMBER(SEARCH(Assumptions!$C$6,G2311)),Assumptions!$D$6,IF(ISNUMBER(SEARCH(Assumptions!$C$7,G2311)),Assumptions!$D$7,"Other Services"))),"Other Services"))</f>
        <v/>
      </c>
    </row>
    <row r="2312" customFormat="false" ht="15" hidden="false" customHeight="false" outlineLevel="0" collapsed="false">
      <c r="F2312" s="41" t="str">
        <f aca="false">IF(E2312="","",IFERROR(VLOOKUP(E2312,Assumptions!$G$5:$H$16,2,0),"Other"))</f>
        <v/>
      </c>
      <c r="J2312" s="41" t="str">
        <f aca="false">IF(G2312="","",IFERROR(IF(ISNUMBER(SEARCH(Assumptions!$C$5,G2312)),Assumptions!$D$5,IF(ISNUMBER(SEARCH(Assumptions!$C$6,G2312)),Assumptions!$D$6,IF(ISNUMBER(SEARCH(Assumptions!$C$7,G2312)),Assumptions!$D$7,"Other Services"))),"Other Services"))</f>
        <v/>
      </c>
    </row>
    <row r="2313" customFormat="false" ht="15" hidden="false" customHeight="false" outlineLevel="0" collapsed="false">
      <c r="F2313" s="41" t="str">
        <f aca="false">IF(E2313="","",IFERROR(VLOOKUP(E2313,Assumptions!$G$5:$H$16,2,0),"Other"))</f>
        <v/>
      </c>
      <c r="J2313" s="41" t="str">
        <f aca="false">IF(G2313="","",IFERROR(IF(ISNUMBER(SEARCH(Assumptions!$C$5,G2313)),Assumptions!$D$5,IF(ISNUMBER(SEARCH(Assumptions!$C$6,G2313)),Assumptions!$D$6,IF(ISNUMBER(SEARCH(Assumptions!$C$7,G2313)),Assumptions!$D$7,"Other Services"))),"Other Services"))</f>
        <v/>
      </c>
    </row>
    <row r="2314" customFormat="false" ht="15" hidden="false" customHeight="false" outlineLevel="0" collapsed="false">
      <c r="F2314" s="41" t="str">
        <f aca="false">IF(E2314="","",IFERROR(VLOOKUP(E2314,Assumptions!$G$5:$H$16,2,0),"Other"))</f>
        <v/>
      </c>
      <c r="J2314" s="41" t="str">
        <f aca="false">IF(G2314="","",IFERROR(IF(ISNUMBER(SEARCH(Assumptions!$C$5,G2314)),Assumptions!$D$5,IF(ISNUMBER(SEARCH(Assumptions!$C$6,G2314)),Assumptions!$D$6,IF(ISNUMBER(SEARCH(Assumptions!$C$7,G2314)),Assumptions!$D$7,"Other Services"))),"Other Services"))</f>
        <v/>
      </c>
    </row>
    <row r="2315" customFormat="false" ht="15" hidden="false" customHeight="false" outlineLevel="0" collapsed="false">
      <c r="F2315" s="41" t="str">
        <f aca="false">IF(E2315="","",IFERROR(VLOOKUP(E2315,Assumptions!$G$5:$H$16,2,0),"Other"))</f>
        <v/>
      </c>
      <c r="J2315" s="41" t="str">
        <f aca="false">IF(G2315="","",IFERROR(IF(ISNUMBER(SEARCH(Assumptions!$C$5,G2315)),Assumptions!$D$5,IF(ISNUMBER(SEARCH(Assumptions!$C$6,G2315)),Assumptions!$D$6,IF(ISNUMBER(SEARCH(Assumptions!$C$7,G2315)),Assumptions!$D$7,"Other Services"))),"Other Services"))</f>
        <v/>
      </c>
    </row>
    <row r="2316" customFormat="false" ht="15" hidden="false" customHeight="false" outlineLevel="0" collapsed="false">
      <c r="F2316" s="41" t="str">
        <f aca="false">IF(E2316="","",IFERROR(VLOOKUP(E2316,Assumptions!$G$5:$H$16,2,0),"Other"))</f>
        <v/>
      </c>
      <c r="J2316" s="41" t="str">
        <f aca="false">IF(G2316="","",IFERROR(IF(ISNUMBER(SEARCH(Assumptions!$C$5,G2316)),Assumptions!$D$5,IF(ISNUMBER(SEARCH(Assumptions!$C$6,G2316)),Assumptions!$D$6,IF(ISNUMBER(SEARCH(Assumptions!$C$7,G2316)),Assumptions!$D$7,"Other Services"))),"Other Services"))</f>
        <v/>
      </c>
    </row>
    <row r="2317" customFormat="false" ht="15" hidden="false" customHeight="false" outlineLevel="0" collapsed="false">
      <c r="F2317" s="41" t="str">
        <f aca="false">IF(E2317="","",IFERROR(VLOOKUP(E2317,Assumptions!$G$5:$H$16,2,0),"Other"))</f>
        <v/>
      </c>
      <c r="J2317" s="41" t="str">
        <f aca="false">IF(G2317="","",IFERROR(IF(ISNUMBER(SEARCH(Assumptions!$C$5,G2317)),Assumptions!$D$5,IF(ISNUMBER(SEARCH(Assumptions!$C$6,G2317)),Assumptions!$D$6,IF(ISNUMBER(SEARCH(Assumptions!$C$7,G2317)),Assumptions!$D$7,"Other Services"))),"Other Services"))</f>
        <v/>
      </c>
    </row>
    <row r="2318" customFormat="false" ht="15" hidden="false" customHeight="false" outlineLevel="0" collapsed="false">
      <c r="F2318" s="41" t="str">
        <f aca="false">IF(E2318="","",IFERROR(VLOOKUP(E2318,Assumptions!$G$5:$H$16,2,0),"Other"))</f>
        <v/>
      </c>
      <c r="J2318" s="41" t="str">
        <f aca="false">IF(G2318="","",IFERROR(IF(ISNUMBER(SEARCH(Assumptions!$C$5,G2318)),Assumptions!$D$5,IF(ISNUMBER(SEARCH(Assumptions!$C$6,G2318)),Assumptions!$D$6,IF(ISNUMBER(SEARCH(Assumptions!$C$7,G2318)),Assumptions!$D$7,"Other Services"))),"Other Services"))</f>
        <v/>
      </c>
    </row>
    <row r="2319" customFormat="false" ht="15" hidden="false" customHeight="false" outlineLevel="0" collapsed="false">
      <c r="F2319" s="41" t="str">
        <f aca="false">IF(E2319="","",IFERROR(VLOOKUP(E2319,Assumptions!$G$5:$H$16,2,0),"Other"))</f>
        <v/>
      </c>
      <c r="J2319" s="41" t="str">
        <f aca="false">IF(G2319="","",IFERROR(IF(ISNUMBER(SEARCH(Assumptions!$C$5,G2319)),Assumptions!$D$5,IF(ISNUMBER(SEARCH(Assumptions!$C$6,G2319)),Assumptions!$D$6,IF(ISNUMBER(SEARCH(Assumptions!$C$7,G2319)),Assumptions!$D$7,"Other Services"))),"Other Services"))</f>
        <v/>
      </c>
    </row>
    <row r="2320" customFormat="false" ht="15" hidden="false" customHeight="false" outlineLevel="0" collapsed="false">
      <c r="F2320" s="41" t="str">
        <f aca="false">IF(E2320="","",IFERROR(VLOOKUP(E2320,Assumptions!$G$5:$H$16,2,0),"Other"))</f>
        <v/>
      </c>
      <c r="J2320" s="41" t="str">
        <f aca="false">IF(G2320="","",IFERROR(IF(ISNUMBER(SEARCH(Assumptions!$C$5,G2320)),Assumptions!$D$5,IF(ISNUMBER(SEARCH(Assumptions!$C$6,G2320)),Assumptions!$D$6,IF(ISNUMBER(SEARCH(Assumptions!$C$7,G2320)),Assumptions!$D$7,"Other Services"))),"Other Services"))</f>
        <v/>
      </c>
    </row>
    <row r="2321" customFormat="false" ht="15" hidden="false" customHeight="false" outlineLevel="0" collapsed="false">
      <c r="F2321" s="41" t="str">
        <f aca="false">IF(E2321="","",IFERROR(VLOOKUP(E2321,Assumptions!$G$5:$H$16,2,0),"Other"))</f>
        <v/>
      </c>
      <c r="J2321" s="41" t="str">
        <f aca="false">IF(G2321="","",IFERROR(IF(ISNUMBER(SEARCH(Assumptions!$C$5,G2321)),Assumptions!$D$5,IF(ISNUMBER(SEARCH(Assumptions!$C$6,G2321)),Assumptions!$D$6,IF(ISNUMBER(SEARCH(Assumptions!$C$7,G2321)),Assumptions!$D$7,"Other Services"))),"Other Services"))</f>
        <v/>
      </c>
    </row>
    <row r="2322" customFormat="false" ht="15" hidden="false" customHeight="false" outlineLevel="0" collapsed="false">
      <c r="F2322" s="41" t="str">
        <f aca="false">IF(E2322="","",IFERROR(VLOOKUP(E2322,Assumptions!$G$5:$H$16,2,0),"Other"))</f>
        <v/>
      </c>
      <c r="J2322" s="41" t="str">
        <f aca="false">IF(G2322="","",IFERROR(IF(ISNUMBER(SEARCH(Assumptions!$C$5,G2322)),Assumptions!$D$5,IF(ISNUMBER(SEARCH(Assumptions!$C$6,G2322)),Assumptions!$D$6,IF(ISNUMBER(SEARCH(Assumptions!$C$7,G2322)),Assumptions!$D$7,"Other Services"))),"Other Services"))</f>
        <v/>
      </c>
    </row>
    <row r="2323" customFormat="false" ht="15" hidden="false" customHeight="false" outlineLevel="0" collapsed="false">
      <c r="F2323" s="41" t="str">
        <f aca="false">IF(E2323="","",IFERROR(VLOOKUP(E2323,Assumptions!$G$5:$H$16,2,0),"Other"))</f>
        <v/>
      </c>
      <c r="J2323" s="41" t="str">
        <f aca="false">IF(G2323="","",IFERROR(IF(ISNUMBER(SEARCH(Assumptions!$C$5,G2323)),Assumptions!$D$5,IF(ISNUMBER(SEARCH(Assumptions!$C$6,G2323)),Assumptions!$D$6,IF(ISNUMBER(SEARCH(Assumptions!$C$7,G2323)),Assumptions!$D$7,"Other Services"))),"Other Services"))</f>
        <v/>
      </c>
    </row>
    <row r="2324" customFormat="false" ht="15" hidden="false" customHeight="false" outlineLevel="0" collapsed="false">
      <c r="F2324" s="41" t="str">
        <f aca="false">IF(E2324="","",IFERROR(VLOOKUP(E2324,Assumptions!$G$5:$H$16,2,0),"Other"))</f>
        <v/>
      </c>
      <c r="J2324" s="41" t="str">
        <f aca="false">IF(G2324="","",IFERROR(IF(ISNUMBER(SEARCH(Assumptions!$C$5,G2324)),Assumptions!$D$5,IF(ISNUMBER(SEARCH(Assumptions!$C$6,G2324)),Assumptions!$D$6,IF(ISNUMBER(SEARCH(Assumptions!$C$7,G2324)),Assumptions!$D$7,"Other Services"))),"Other Services"))</f>
        <v/>
      </c>
    </row>
    <row r="2325" customFormat="false" ht="15" hidden="false" customHeight="false" outlineLevel="0" collapsed="false">
      <c r="F2325" s="41" t="str">
        <f aca="false">IF(E2325="","",IFERROR(VLOOKUP(E2325,Assumptions!$G$5:$H$16,2,0),"Other"))</f>
        <v/>
      </c>
      <c r="J2325" s="41" t="str">
        <f aca="false">IF(G2325="","",IFERROR(IF(ISNUMBER(SEARCH(Assumptions!$C$5,G2325)),Assumptions!$D$5,IF(ISNUMBER(SEARCH(Assumptions!$C$6,G2325)),Assumptions!$D$6,IF(ISNUMBER(SEARCH(Assumptions!$C$7,G2325)),Assumptions!$D$7,"Other Services"))),"Other Services"))</f>
        <v/>
      </c>
    </row>
    <row r="2326" customFormat="false" ht="15" hidden="false" customHeight="false" outlineLevel="0" collapsed="false">
      <c r="F2326" s="41" t="str">
        <f aca="false">IF(E2326="","",IFERROR(VLOOKUP(E2326,Assumptions!$G$5:$H$16,2,0),"Other"))</f>
        <v/>
      </c>
      <c r="J2326" s="41" t="str">
        <f aca="false">IF(G2326="","",IFERROR(IF(ISNUMBER(SEARCH(Assumptions!$C$5,G2326)),Assumptions!$D$5,IF(ISNUMBER(SEARCH(Assumptions!$C$6,G2326)),Assumptions!$D$6,IF(ISNUMBER(SEARCH(Assumptions!$C$7,G2326)),Assumptions!$D$7,"Other Services"))),"Other Services"))</f>
        <v/>
      </c>
    </row>
    <row r="2327" customFormat="false" ht="15" hidden="false" customHeight="false" outlineLevel="0" collapsed="false">
      <c r="F2327" s="41" t="str">
        <f aca="false">IF(E2327="","",IFERROR(VLOOKUP(E2327,Assumptions!$G$5:$H$16,2,0),"Other"))</f>
        <v/>
      </c>
      <c r="J2327" s="41" t="str">
        <f aca="false">IF(G2327="","",IFERROR(IF(ISNUMBER(SEARCH(Assumptions!$C$5,G2327)),Assumptions!$D$5,IF(ISNUMBER(SEARCH(Assumptions!$C$6,G2327)),Assumptions!$D$6,IF(ISNUMBER(SEARCH(Assumptions!$C$7,G2327)),Assumptions!$D$7,"Other Services"))),"Other Services"))</f>
        <v/>
      </c>
    </row>
    <row r="2328" customFormat="false" ht="15" hidden="false" customHeight="false" outlineLevel="0" collapsed="false">
      <c r="F2328" s="41" t="str">
        <f aca="false">IF(E2328="","",IFERROR(VLOOKUP(E2328,Assumptions!$G$5:$H$16,2,0),"Other"))</f>
        <v/>
      </c>
      <c r="J2328" s="41" t="str">
        <f aca="false">IF(G2328="","",IFERROR(IF(ISNUMBER(SEARCH(Assumptions!$C$5,G2328)),Assumptions!$D$5,IF(ISNUMBER(SEARCH(Assumptions!$C$6,G2328)),Assumptions!$D$6,IF(ISNUMBER(SEARCH(Assumptions!$C$7,G2328)),Assumptions!$D$7,"Other Services"))),"Other Services"))</f>
        <v/>
      </c>
    </row>
    <row r="2329" customFormat="false" ht="15" hidden="false" customHeight="false" outlineLevel="0" collapsed="false">
      <c r="F2329" s="41" t="str">
        <f aca="false">IF(E2329="","",IFERROR(VLOOKUP(E2329,Assumptions!$G$5:$H$16,2,0),"Other"))</f>
        <v/>
      </c>
      <c r="J2329" s="41" t="str">
        <f aca="false">IF(G2329="","",IFERROR(IF(ISNUMBER(SEARCH(Assumptions!$C$5,G2329)),Assumptions!$D$5,IF(ISNUMBER(SEARCH(Assumptions!$C$6,G2329)),Assumptions!$D$6,IF(ISNUMBER(SEARCH(Assumptions!$C$7,G2329)),Assumptions!$D$7,"Other Services"))),"Other Services"))</f>
        <v/>
      </c>
    </row>
    <row r="2330" customFormat="false" ht="15" hidden="false" customHeight="false" outlineLevel="0" collapsed="false">
      <c r="F2330" s="41" t="str">
        <f aca="false">IF(E2330="","",IFERROR(VLOOKUP(E2330,Assumptions!$G$5:$H$16,2,0),"Other"))</f>
        <v/>
      </c>
      <c r="J2330" s="41" t="str">
        <f aca="false">IF(G2330="","",IFERROR(IF(ISNUMBER(SEARCH(Assumptions!$C$5,G2330)),Assumptions!$D$5,IF(ISNUMBER(SEARCH(Assumptions!$C$6,G2330)),Assumptions!$D$6,IF(ISNUMBER(SEARCH(Assumptions!$C$7,G2330)),Assumptions!$D$7,"Other Services"))),"Other Services"))</f>
        <v/>
      </c>
    </row>
    <row r="2331" customFormat="false" ht="15" hidden="false" customHeight="false" outlineLevel="0" collapsed="false">
      <c r="F2331" s="41" t="str">
        <f aca="false">IF(E2331="","",IFERROR(VLOOKUP(E2331,Assumptions!$G$5:$H$16,2,0),"Other"))</f>
        <v/>
      </c>
      <c r="J2331" s="41" t="str">
        <f aca="false">IF(G2331="","",IFERROR(IF(ISNUMBER(SEARCH(Assumptions!$C$5,G2331)),Assumptions!$D$5,IF(ISNUMBER(SEARCH(Assumptions!$C$6,G2331)),Assumptions!$D$6,IF(ISNUMBER(SEARCH(Assumptions!$C$7,G2331)),Assumptions!$D$7,"Other Services"))),"Other Services"))</f>
        <v/>
      </c>
    </row>
    <row r="2332" customFormat="false" ht="15" hidden="false" customHeight="false" outlineLevel="0" collapsed="false">
      <c r="F2332" s="41" t="str">
        <f aca="false">IF(E2332="","",IFERROR(VLOOKUP(E2332,Assumptions!$G$5:$H$16,2,0),"Other"))</f>
        <v/>
      </c>
      <c r="J2332" s="41" t="str">
        <f aca="false">IF(G2332="","",IFERROR(IF(ISNUMBER(SEARCH(Assumptions!$C$5,G2332)),Assumptions!$D$5,IF(ISNUMBER(SEARCH(Assumptions!$C$6,G2332)),Assumptions!$D$6,IF(ISNUMBER(SEARCH(Assumptions!$C$7,G2332)),Assumptions!$D$7,"Other Services"))),"Other Services"))</f>
        <v/>
      </c>
    </row>
    <row r="2333" customFormat="false" ht="15" hidden="false" customHeight="false" outlineLevel="0" collapsed="false">
      <c r="F2333" s="41" t="str">
        <f aca="false">IF(E2333="","",IFERROR(VLOOKUP(E2333,Assumptions!$G$5:$H$16,2,0),"Other"))</f>
        <v/>
      </c>
      <c r="J2333" s="41" t="str">
        <f aca="false">IF(G2333="","",IFERROR(IF(ISNUMBER(SEARCH(Assumptions!$C$5,G2333)),Assumptions!$D$5,IF(ISNUMBER(SEARCH(Assumptions!$C$6,G2333)),Assumptions!$D$6,IF(ISNUMBER(SEARCH(Assumptions!$C$7,G2333)),Assumptions!$D$7,"Other Services"))),"Other Services"))</f>
        <v/>
      </c>
    </row>
    <row r="2334" customFormat="false" ht="15" hidden="false" customHeight="false" outlineLevel="0" collapsed="false">
      <c r="F2334" s="41" t="str">
        <f aca="false">IF(E2334="","",IFERROR(VLOOKUP(E2334,Assumptions!$G$5:$H$16,2,0),"Other"))</f>
        <v/>
      </c>
      <c r="J2334" s="41" t="str">
        <f aca="false">IF(G2334="","",IFERROR(IF(ISNUMBER(SEARCH(Assumptions!$C$5,G2334)),Assumptions!$D$5,IF(ISNUMBER(SEARCH(Assumptions!$C$6,G2334)),Assumptions!$D$6,IF(ISNUMBER(SEARCH(Assumptions!$C$7,G2334)),Assumptions!$D$7,"Other Services"))),"Other Services"))</f>
        <v/>
      </c>
    </row>
    <row r="2335" customFormat="false" ht="15" hidden="false" customHeight="false" outlineLevel="0" collapsed="false">
      <c r="F2335" s="41" t="str">
        <f aca="false">IF(E2335="","",IFERROR(VLOOKUP(E2335,Assumptions!$G$5:$H$16,2,0),"Other"))</f>
        <v/>
      </c>
      <c r="J2335" s="41" t="str">
        <f aca="false">IF(G2335="","",IFERROR(IF(ISNUMBER(SEARCH(Assumptions!$C$5,G2335)),Assumptions!$D$5,IF(ISNUMBER(SEARCH(Assumptions!$C$6,G2335)),Assumptions!$D$6,IF(ISNUMBER(SEARCH(Assumptions!$C$7,G2335)),Assumptions!$D$7,"Other Services"))),"Other Services"))</f>
        <v/>
      </c>
    </row>
    <row r="2336" customFormat="false" ht="15" hidden="false" customHeight="false" outlineLevel="0" collapsed="false">
      <c r="F2336" s="41" t="str">
        <f aca="false">IF(E2336="","",IFERROR(VLOOKUP(E2336,Assumptions!$G$5:$H$16,2,0),"Other"))</f>
        <v/>
      </c>
      <c r="J2336" s="41" t="str">
        <f aca="false">IF(G2336="","",IFERROR(IF(ISNUMBER(SEARCH(Assumptions!$C$5,G2336)),Assumptions!$D$5,IF(ISNUMBER(SEARCH(Assumptions!$C$6,G2336)),Assumptions!$D$6,IF(ISNUMBER(SEARCH(Assumptions!$C$7,G2336)),Assumptions!$D$7,"Other Services"))),"Other Services"))</f>
        <v/>
      </c>
    </row>
    <row r="2337" customFormat="false" ht="15" hidden="false" customHeight="false" outlineLevel="0" collapsed="false">
      <c r="F2337" s="41" t="str">
        <f aca="false">IF(E2337="","",IFERROR(VLOOKUP(E2337,Assumptions!$G$5:$H$16,2,0),"Other"))</f>
        <v/>
      </c>
      <c r="J2337" s="41" t="str">
        <f aca="false">IF(G2337="","",IFERROR(IF(ISNUMBER(SEARCH(Assumptions!$C$5,G2337)),Assumptions!$D$5,IF(ISNUMBER(SEARCH(Assumptions!$C$6,G2337)),Assumptions!$D$6,IF(ISNUMBER(SEARCH(Assumptions!$C$7,G2337)),Assumptions!$D$7,"Other Services"))),"Other Services"))</f>
        <v/>
      </c>
    </row>
    <row r="2338" customFormat="false" ht="15" hidden="false" customHeight="false" outlineLevel="0" collapsed="false">
      <c r="F2338" s="41" t="str">
        <f aca="false">IF(E2338="","",IFERROR(VLOOKUP(E2338,Assumptions!$G$5:$H$16,2,0),"Other"))</f>
        <v/>
      </c>
      <c r="J2338" s="41" t="str">
        <f aca="false">IF(G2338="","",IFERROR(IF(ISNUMBER(SEARCH(Assumptions!$C$5,G2338)),Assumptions!$D$5,IF(ISNUMBER(SEARCH(Assumptions!$C$6,G2338)),Assumptions!$D$6,IF(ISNUMBER(SEARCH(Assumptions!$C$7,G2338)),Assumptions!$D$7,"Other Services"))),"Other Services"))</f>
        <v/>
      </c>
    </row>
    <row r="2339" customFormat="false" ht="15" hidden="false" customHeight="false" outlineLevel="0" collapsed="false">
      <c r="F2339" s="41" t="str">
        <f aca="false">IF(E2339="","",IFERROR(VLOOKUP(E2339,Assumptions!$G$5:$H$16,2,0),"Other"))</f>
        <v/>
      </c>
      <c r="J2339" s="41" t="str">
        <f aca="false">IF(G2339="","",IFERROR(IF(ISNUMBER(SEARCH(Assumptions!$C$5,G2339)),Assumptions!$D$5,IF(ISNUMBER(SEARCH(Assumptions!$C$6,G2339)),Assumptions!$D$6,IF(ISNUMBER(SEARCH(Assumptions!$C$7,G2339)),Assumptions!$D$7,"Other Services"))),"Other Services"))</f>
        <v/>
      </c>
    </row>
    <row r="2340" customFormat="false" ht="15" hidden="false" customHeight="false" outlineLevel="0" collapsed="false">
      <c r="F2340" s="41" t="str">
        <f aca="false">IF(E2340="","",IFERROR(VLOOKUP(E2340,Assumptions!$G$5:$H$16,2,0),"Other"))</f>
        <v/>
      </c>
      <c r="J2340" s="41" t="str">
        <f aca="false">IF(G2340="","",IFERROR(IF(ISNUMBER(SEARCH(Assumptions!$C$5,G2340)),Assumptions!$D$5,IF(ISNUMBER(SEARCH(Assumptions!$C$6,G2340)),Assumptions!$D$6,IF(ISNUMBER(SEARCH(Assumptions!$C$7,G2340)),Assumptions!$D$7,"Other Services"))),"Other Services"))</f>
        <v/>
      </c>
    </row>
    <row r="2341" customFormat="false" ht="15" hidden="false" customHeight="false" outlineLevel="0" collapsed="false">
      <c r="F2341" s="41" t="str">
        <f aca="false">IF(E2341="","",IFERROR(VLOOKUP(E2341,Assumptions!$G$5:$H$16,2,0),"Other"))</f>
        <v/>
      </c>
      <c r="J2341" s="41" t="str">
        <f aca="false">IF(G2341="","",IFERROR(IF(ISNUMBER(SEARCH(Assumptions!$C$5,G2341)),Assumptions!$D$5,IF(ISNUMBER(SEARCH(Assumptions!$C$6,G2341)),Assumptions!$D$6,IF(ISNUMBER(SEARCH(Assumptions!$C$7,G2341)),Assumptions!$D$7,"Other Services"))),"Other Services"))</f>
        <v/>
      </c>
    </row>
    <row r="2342" customFormat="false" ht="15" hidden="false" customHeight="false" outlineLevel="0" collapsed="false">
      <c r="F2342" s="41" t="str">
        <f aca="false">IF(E2342="","",IFERROR(VLOOKUP(E2342,Assumptions!$G$5:$H$16,2,0),"Other"))</f>
        <v/>
      </c>
      <c r="J2342" s="41" t="str">
        <f aca="false">IF(G2342="","",IFERROR(IF(ISNUMBER(SEARCH(Assumptions!$C$5,G2342)),Assumptions!$D$5,IF(ISNUMBER(SEARCH(Assumptions!$C$6,G2342)),Assumptions!$D$6,IF(ISNUMBER(SEARCH(Assumptions!$C$7,G2342)),Assumptions!$D$7,"Other Services"))),"Other Services"))</f>
        <v/>
      </c>
    </row>
    <row r="2343" customFormat="false" ht="15" hidden="false" customHeight="false" outlineLevel="0" collapsed="false">
      <c r="F2343" s="41" t="str">
        <f aca="false">IF(E2343="","",IFERROR(VLOOKUP(E2343,Assumptions!$G$5:$H$16,2,0),"Other"))</f>
        <v/>
      </c>
      <c r="J2343" s="41" t="str">
        <f aca="false">IF(G2343="","",IFERROR(IF(ISNUMBER(SEARCH(Assumptions!$C$5,G2343)),Assumptions!$D$5,IF(ISNUMBER(SEARCH(Assumptions!$C$6,G2343)),Assumptions!$D$6,IF(ISNUMBER(SEARCH(Assumptions!$C$7,G2343)),Assumptions!$D$7,"Other Services"))),"Other Services"))</f>
        <v/>
      </c>
    </row>
    <row r="2344" customFormat="false" ht="15" hidden="false" customHeight="false" outlineLevel="0" collapsed="false">
      <c r="F2344" s="41" t="str">
        <f aca="false">IF(E2344="","",IFERROR(VLOOKUP(E2344,Assumptions!$G$5:$H$16,2,0),"Other"))</f>
        <v/>
      </c>
      <c r="J2344" s="41" t="str">
        <f aca="false">IF(G2344="","",IFERROR(IF(ISNUMBER(SEARCH(Assumptions!$C$5,G2344)),Assumptions!$D$5,IF(ISNUMBER(SEARCH(Assumptions!$C$6,G2344)),Assumptions!$D$6,IF(ISNUMBER(SEARCH(Assumptions!$C$7,G2344)),Assumptions!$D$7,"Other Services"))),"Other Services"))</f>
        <v/>
      </c>
    </row>
    <row r="2345" customFormat="false" ht="15" hidden="false" customHeight="false" outlineLevel="0" collapsed="false">
      <c r="F2345" s="41" t="str">
        <f aca="false">IF(E2345="","",IFERROR(VLOOKUP(E2345,Assumptions!$G$5:$H$16,2,0),"Other"))</f>
        <v/>
      </c>
      <c r="J2345" s="41" t="str">
        <f aca="false">IF(G2345="","",IFERROR(IF(ISNUMBER(SEARCH(Assumptions!$C$5,G2345)),Assumptions!$D$5,IF(ISNUMBER(SEARCH(Assumptions!$C$6,G2345)),Assumptions!$D$6,IF(ISNUMBER(SEARCH(Assumptions!$C$7,G2345)),Assumptions!$D$7,"Other Services"))),"Other Services"))</f>
        <v/>
      </c>
    </row>
    <row r="2346" customFormat="false" ht="15" hidden="false" customHeight="false" outlineLevel="0" collapsed="false">
      <c r="F2346" s="41" t="str">
        <f aca="false">IF(E2346="","",IFERROR(VLOOKUP(E2346,Assumptions!$G$5:$H$16,2,0),"Other"))</f>
        <v/>
      </c>
      <c r="J2346" s="41" t="str">
        <f aca="false">IF(G2346="","",IFERROR(IF(ISNUMBER(SEARCH(Assumptions!$C$5,G2346)),Assumptions!$D$5,IF(ISNUMBER(SEARCH(Assumptions!$C$6,G2346)),Assumptions!$D$6,IF(ISNUMBER(SEARCH(Assumptions!$C$7,G2346)),Assumptions!$D$7,"Other Services"))),"Other Services"))</f>
        <v/>
      </c>
    </row>
    <row r="2347" customFormat="false" ht="15" hidden="false" customHeight="false" outlineLevel="0" collapsed="false">
      <c r="F2347" s="41" t="str">
        <f aca="false">IF(E2347="","",IFERROR(VLOOKUP(E2347,Assumptions!$G$5:$H$16,2,0),"Other"))</f>
        <v/>
      </c>
      <c r="J2347" s="41" t="str">
        <f aca="false">IF(G2347="","",IFERROR(IF(ISNUMBER(SEARCH(Assumptions!$C$5,G2347)),Assumptions!$D$5,IF(ISNUMBER(SEARCH(Assumptions!$C$6,G2347)),Assumptions!$D$6,IF(ISNUMBER(SEARCH(Assumptions!$C$7,G2347)),Assumptions!$D$7,"Other Services"))),"Other Services"))</f>
        <v/>
      </c>
    </row>
    <row r="2348" customFormat="false" ht="15" hidden="false" customHeight="false" outlineLevel="0" collapsed="false">
      <c r="F2348" s="41" t="str">
        <f aca="false">IF(E2348="","",IFERROR(VLOOKUP(E2348,Assumptions!$G$5:$H$16,2,0),"Other"))</f>
        <v/>
      </c>
      <c r="J2348" s="41" t="str">
        <f aca="false">IF(G2348="","",IFERROR(IF(ISNUMBER(SEARCH(Assumptions!$C$5,G2348)),Assumptions!$D$5,IF(ISNUMBER(SEARCH(Assumptions!$C$6,G2348)),Assumptions!$D$6,IF(ISNUMBER(SEARCH(Assumptions!$C$7,G2348)),Assumptions!$D$7,"Other Services"))),"Other Services"))</f>
        <v/>
      </c>
    </row>
    <row r="2349" customFormat="false" ht="15" hidden="false" customHeight="false" outlineLevel="0" collapsed="false">
      <c r="F2349" s="41" t="str">
        <f aca="false">IF(E2349="","",IFERROR(VLOOKUP(E2349,Assumptions!$G$5:$H$16,2,0),"Other"))</f>
        <v/>
      </c>
      <c r="J2349" s="41" t="str">
        <f aca="false">IF(G2349="","",IFERROR(IF(ISNUMBER(SEARCH(Assumptions!$C$5,G2349)),Assumptions!$D$5,IF(ISNUMBER(SEARCH(Assumptions!$C$6,G2349)),Assumptions!$D$6,IF(ISNUMBER(SEARCH(Assumptions!$C$7,G2349)),Assumptions!$D$7,"Other Services"))),"Other Services"))</f>
        <v/>
      </c>
    </row>
    <row r="2350" customFormat="false" ht="15" hidden="false" customHeight="false" outlineLevel="0" collapsed="false">
      <c r="F2350" s="41" t="str">
        <f aca="false">IF(E2350="","",IFERROR(VLOOKUP(E2350,Assumptions!$G$5:$H$16,2,0),"Other"))</f>
        <v/>
      </c>
      <c r="J2350" s="41" t="str">
        <f aca="false">IF(G2350="","",IFERROR(IF(ISNUMBER(SEARCH(Assumptions!$C$5,G2350)),Assumptions!$D$5,IF(ISNUMBER(SEARCH(Assumptions!$C$6,G2350)),Assumptions!$D$6,IF(ISNUMBER(SEARCH(Assumptions!$C$7,G2350)),Assumptions!$D$7,"Other Services"))),"Other Services"))</f>
        <v/>
      </c>
    </row>
    <row r="2351" customFormat="false" ht="15" hidden="false" customHeight="false" outlineLevel="0" collapsed="false">
      <c r="F2351" s="41" t="str">
        <f aca="false">IF(E2351="","",IFERROR(VLOOKUP(E2351,Assumptions!$G$5:$H$16,2,0),"Other"))</f>
        <v/>
      </c>
      <c r="J2351" s="41" t="str">
        <f aca="false">IF(G2351="","",IFERROR(IF(ISNUMBER(SEARCH(Assumptions!$C$5,G2351)),Assumptions!$D$5,IF(ISNUMBER(SEARCH(Assumptions!$C$6,G2351)),Assumptions!$D$6,IF(ISNUMBER(SEARCH(Assumptions!$C$7,G2351)),Assumptions!$D$7,"Other Services"))),"Other Services"))</f>
        <v/>
      </c>
    </row>
    <row r="2352" customFormat="false" ht="15" hidden="false" customHeight="false" outlineLevel="0" collapsed="false">
      <c r="F2352" s="41" t="str">
        <f aca="false">IF(E2352="","",IFERROR(VLOOKUP(E2352,Assumptions!$G$5:$H$16,2,0),"Other"))</f>
        <v/>
      </c>
      <c r="J2352" s="41" t="str">
        <f aca="false">IF(G2352="","",IFERROR(IF(ISNUMBER(SEARCH(Assumptions!$C$5,G2352)),Assumptions!$D$5,IF(ISNUMBER(SEARCH(Assumptions!$C$6,G2352)),Assumptions!$D$6,IF(ISNUMBER(SEARCH(Assumptions!$C$7,G2352)),Assumptions!$D$7,"Other Services"))),"Other Services"))</f>
        <v/>
      </c>
    </row>
    <row r="2353" customFormat="false" ht="15" hidden="false" customHeight="false" outlineLevel="0" collapsed="false">
      <c r="F2353" s="41" t="str">
        <f aca="false">IF(E2353="","",IFERROR(VLOOKUP(E2353,Assumptions!$G$5:$H$16,2,0),"Other"))</f>
        <v/>
      </c>
      <c r="J2353" s="41" t="str">
        <f aca="false">IF(G2353="","",IFERROR(IF(ISNUMBER(SEARCH(Assumptions!$C$5,G2353)),Assumptions!$D$5,IF(ISNUMBER(SEARCH(Assumptions!$C$6,G2353)),Assumptions!$D$6,IF(ISNUMBER(SEARCH(Assumptions!$C$7,G2353)),Assumptions!$D$7,"Other Services"))),"Other Services"))</f>
        <v/>
      </c>
    </row>
    <row r="2354" customFormat="false" ht="15" hidden="false" customHeight="false" outlineLevel="0" collapsed="false">
      <c r="F2354" s="41" t="str">
        <f aca="false">IF(E2354="","",IFERROR(VLOOKUP(E2354,Assumptions!$G$5:$H$16,2,0),"Other"))</f>
        <v/>
      </c>
      <c r="J2354" s="41" t="str">
        <f aca="false">IF(G2354="","",IFERROR(IF(ISNUMBER(SEARCH(Assumptions!$C$5,G2354)),Assumptions!$D$5,IF(ISNUMBER(SEARCH(Assumptions!$C$6,G2354)),Assumptions!$D$6,IF(ISNUMBER(SEARCH(Assumptions!$C$7,G2354)),Assumptions!$D$7,"Other Services"))),"Other Services"))</f>
        <v/>
      </c>
    </row>
    <row r="2355" customFormat="false" ht="15" hidden="false" customHeight="false" outlineLevel="0" collapsed="false">
      <c r="F2355" s="41" t="str">
        <f aca="false">IF(E2355="","",IFERROR(VLOOKUP(E2355,Assumptions!$G$5:$H$16,2,0),"Other"))</f>
        <v/>
      </c>
      <c r="J2355" s="41" t="str">
        <f aca="false">IF(G2355="","",IFERROR(IF(ISNUMBER(SEARCH(Assumptions!$C$5,G2355)),Assumptions!$D$5,IF(ISNUMBER(SEARCH(Assumptions!$C$6,G2355)),Assumptions!$D$6,IF(ISNUMBER(SEARCH(Assumptions!$C$7,G2355)),Assumptions!$D$7,"Other Services"))),"Other Services"))</f>
        <v/>
      </c>
    </row>
    <row r="2356" customFormat="false" ht="15" hidden="false" customHeight="false" outlineLevel="0" collapsed="false">
      <c r="F2356" s="41" t="str">
        <f aca="false">IF(E2356="","",IFERROR(VLOOKUP(E2356,Assumptions!$G$5:$H$16,2,0),"Other"))</f>
        <v/>
      </c>
      <c r="J2356" s="41" t="str">
        <f aca="false">IF(G2356="","",IFERROR(IF(ISNUMBER(SEARCH(Assumptions!$C$5,G2356)),Assumptions!$D$5,IF(ISNUMBER(SEARCH(Assumptions!$C$6,G2356)),Assumptions!$D$6,IF(ISNUMBER(SEARCH(Assumptions!$C$7,G2356)),Assumptions!$D$7,"Other Services"))),"Other Services"))</f>
        <v/>
      </c>
    </row>
    <row r="2357" customFormat="false" ht="15" hidden="false" customHeight="false" outlineLevel="0" collapsed="false">
      <c r="F2357" s="41" t="str">
        <f aca="false">IF(E2357="","",IFERROR(VLOOKUP(E2357,Assumptions!$G$5:$H$16,2,0),"Other"))</f>
        <v/>
      </c>
      <c r="J2357" s="41" t="str">
        <f aca="false">IF(G2357="","",IFERROR(IF(ISNUMBER(SEARCH(Assumptions!$C$5,G2357)),Assumptions!$D$5,IF(ISNUMBER(SEARCH(Assumptions!$C$6,G2357)),Assumptions!$D$6,IF(ISNUMBER(SEARCH(Assumptions!$C$7,G2357)),Assumptions!$D$7,"Other Services"))),"Other Services"))</f>
        <v/>
      </c>
    </row>
    <row r="2358" customFormat="false" ht="15" hidden="false" customHeight="false" outlineLevel="0" collapsed="false">
      <c r="F2358" s="41" t="str">
        <f aca="false">IF(E2358="","",IFERROR(VLOOKUP(E2358,Assumptions!$G$5:$H$16,2,0),"Other"))</f>
        <v/>
      </c>
      <c r="J2358" s="41" t="str">
        <f aca="false">IF(G2358="","",IFERROR(IF(ISNUMBER(SEARCH(Assumptions!$C$5,G2358)),Assumptions!$D$5,IF(ISNUMBER(SEARCH(Assumptions!$C$6,G2358)),Assumptions!$D$6,IF(ISNUMBER(SEARCH(Assumptions!$C$7,G2358)),Assumptions!$D$7,"Other Services"))),"Other Services"))</f>
        <v/>
      </c>
    </row>
    <row r="2359" customFormat="false" ht="15" hidden="false" customHeight="false" outlineLevel="0" collapsed="false">
      <c r="F2359" s="41" t="str">
        <f aca="false">IF(E2359="","",IFERROR(VLOOKUP(E2359,Assumptions!$G$5:$H$16,2,0),"Other"))</f>
        <v/>
      </c>
      <c r="J2359" s="41" t="str">
        <f aca="false">IF(G2359="","",IFERROR(IF(ISNUMBER(SEARCH(Assumptions!$C$5,G2359)),Assumptions!$D$5,IF(ISNUMBER(SEARCH(Assumptions!$C$6,G2359)),Assumptions!$D$6,IF(ISNUMBER(SEARCH(Assumptions!$C$7,G2359)),Assumptions!$D$7,"Other Services"))),"Other Services"))</f>
        <v/>
      </c>
    </row>
    <row r="2360" customFormat="false" ht="15" hidden="false" customHeight="false" outlineLevel="0" collapsed="false">
      <c r="F2360" s="41" t="str">
        <f aca="false">IF(E2360="","",IFERROR(VLOOKUP(E2360,Assumptions!$G$5:$H$16,2,0),"Other"))</f>
        <v/>
      </c>
      <c r="J2360" s="41" t="str">
        <f aca="false">IF(G2360="","",IFERROR(IF(ISNUMBER(SEARCH(Assumptions!$C$5,G2360)),Assumptions!$D$5,IF(ISNUMBER(SEARCH(Assumptions!$C$6,G2360)),Assumptions!$D$6,IF(ISNUMBER(SEARCH(Assumptions!$C$7,G2360)),Assumptions!$D$7,"Other Services"))),"Other Services"))</f>
        <v/>
      </c>
    </row>
    <row r="2361" customFormat="false" ht="15" hidden="false" customHeight="false" outlineLevel="0" collapsed="false">
      <c r="F2361" s="41" t="str">
        <f aca="false">IF(E2361="","",IFERROR(VLOOKUP(E2361,Assumptions!$G$5:$H$16,2,0),"Other"))</f>
        <v/>
      </c>
      <c r="J2361" s="41" t="str">
        <f aca="false">IF(G2361="","",IFERROR(IF(ISNUMBER(SEARCH(Assumptions!$C$5,G2361)),Assumptions!$D$5,IF(ISNUMBER(SEARCH(Assumptions!$C$6,G2361)),Assumptions!$D$6,IF(ISNUMBER(SEARCH(Assumptions!$C$7,G2361)),Assumptions!$D$7,"Other Services"))),"Other Services"))</f>
        <v/>
      </c>
    </row>
    <row r="2362" customFormat="false" ht="15" hidden="false" customHeight="false" outlineLevel="0" collapsed="false">
      <c r="F2362" s="41" t="str">
        <f aca="false">IF(E2362="","",IFERROR(VLOOKUP(E2362,Assumptions!$G$5:$H$16,2,0),"Other"))</f>
        <v/>
      </c>
      <c r="J2362" s="41" t="str">
        <f aca="false">IF(G2362="","",IFERROR(IF(ISNUMBER(SEARCH(Assumptions!$C$5,G2362)),Assumptions!$D$5,IF(ISNUMBER(SEARCH(Assumptions!$C$6,G2362)),Assumptions!$D$6,IF(ISNUMBER(SEARCH(Assumptions!$C$7,G2362)),Assumptions!$D$7,"Other Services"))),"Other Services"))</f>
        <v/>
      </c>
    </row>
    <row r="2363" customFormat="false" ht="15" hidden="false" customHeight="false" outlineLevel="0" collapsed="false">
      <c r="F2363" s="41" t="str">
        <f aca="false">IF(E2363="","",IFERROR(VLOOKUP(E2363,Assumptions!$G$5:$H$16,2,0),"Other"))</f>
        <v/>
      </c>
      <c r="J2363" s="41" t="str">
        <f aca="false">IF(G2363="","",IFERROR(IF(ISNUMBER(SEARCH(Assumptions!$C$5,G2363)),Assumptions!$D$5,IF(ISNUMBER(SEARCH(Assumptions!$C$6,G2363)),Assumptions!$D$6,IF(ISNUMBER(SEARCH(Assumptions!$C$7,G2363)),Assumptions!$D$7,"Other Services"))),"Other Services"))</f>
        <v/>
      </c>
    </row>
    <row r="2364" customFormat="false" ht="15" hidden="false" customHeight="false" outlineLevel="0" collapsed="false">
      <c r="F2364" s="41" t="str">
        <f aca="false">IF(E2364="","",IFERROR(VLOOKUP(E2364,Assumptions!$G$5:$H$16,2,0),"Other"))</f>
        <v/>
      </c>
      <c r="J2364" s="41" t="str">
        <f aca="false">IF(G2364="","",IFERROR(IF(ISNUMBER(SEARCH(Assumptions!$C$5,G2364)),Assumptions!$D$5,IF(ISNUMBER(SEARCH(Assumptions!$C$6,G2364)),Assumptions!$D$6,IF(ISNUMBER(SEARCH(Assumptions!$C$7,G2364)),Assumptions!$D$7,"Other Services"))),"Other Services"))</f>
        <v/>
      </c>
    </row>
    <row r="2365" customFormat="false" ht="15" hidden="false" customHeight="false" outlineLevel="0" collapsed="false">
      <c r="F2365" s="41" t="str">
        <f aca="false">IF(E2365="","",IFERROR(VLOOKUP(E2365,Assumptions!$G$5:$H$16,2,0),"Other"))</f>
        <v/>
      </c>
      <c r="J2365" s="41" t="str">
        <f aca="false">IF(G2365="","",IFERROR(IF(ISNUMBER(SEARCH(Assumptions!$C$5,G2365)),Assumptions!$D$5,IF(ISNUMBER(SEARCH(Assumptions!$C$6,G2365)),Assumptions!$D$6,IF(ISNUMBER(SEARCH(Assumptions!$C$7,G2365)),Assumptions!$D$7,"Other Services"))),"Other Services"))</f>
        <v/>
      </c>
    </row>
    <row r="2366" customFormat="false" ht="15" hidden="false" customHeight="false" outlineLevel="0" collapsed="false">
      <c r="F2366" s="41" t="str">
        <f aca="false">IF(E2366="","",IFERROR(VLOOKUP(E2366,Assumptions!$G$5:$H$16,2,0),"Other"))</f>
        <v/>
      </c>
      <c r="J2366" s="41" t="str">
        <f aca="false">IF(G2366="","",IFERROR(IF(ISNUMBER(SEARCH(Assumptions!$C$5,G2366)),Assumptions!$D$5,IF(ISNUMBER(SEARCH(Assumptions!$C$6,G2366)),Assumptions!$D$6,IF(ISNUMBER(SEARCH(Assumptions!$C$7,G2366)),Assumptions!$D$7,"Other Services"))),"Other Services"))</f>
        <v/>
      </c>
    </row>
    <row r="2367" customFormat="false" ht="15" hidden="false" customHeight="false" outlineLevel="0" collapsed="false">
      <c r="F2367" s="41" t="str">
        <f aca="false">IF(E2367="","",IFERROR(VLOOKUP(E2367,Assumptions!$G$5:$H$16,2,0),"Other"))</f>
        <v/>
      </c>
      <c r="J2367" s="41" t="str">
        <f aca="false">IF(G2367="","",IFERROR(IF(ISNUMBER(SEARCH(Assumptions!$C$5,G2367)),Assumptions!$D$5,IF(ISNUMBER(SEARCH(Assumptions!$C$6,G2367)),Assumptions!$D$6,IF(ISNUMBER(SEARCH(Assumptions!$C$7,G2367)),Assumptions!$D$7,"Other Services"))),"Other Services"))</f>
        <v/>
      </c>
    </row>
    <row r="2368" customFormat="false" ht="15" hidden="false" customHeight="false" outlineLevel="0" collapsed="false">
      <c r="F2368" s="41" t="str">
        <f aca="false">IF(E2368="","",IFERROR(VLOOKUP(E2368,Assumptions!$G$5:$H$16,2,0),"Other"))</f>
        <v/>
      </c>
      <c r="J2368" s="41" t="str">
        <f aca="false">IF(G2368="","",IFERROR(IF(ISNUMBER(SEARCH(Assumptions!$C$5,G2368)),Assumptions!$D$5,IF(ISNUMBER(SEARCH(Assumptions!$C$6,G2368)),Assumptions!$D$6,IF(ISNUMBER(SEARCH(Assumptions!$C$7,G2368)),Assumptions!$D$7,"Other Services"))),"Other Services"))</f>
        <v/>
      </c>
    </row>
    <row r="2369" customFormat="false" ht="15" hidden="false" customHeight="false" outlineLevel="0" collapsed="false">
      <c r="F2369" s="41" t="str">
        <f aca="false">IF(E2369="","",IFERROR(VLOOKUP(E2369,Assumptions!$G$5:$H$16,2,0),"Other"))</f>
        <v/>
      </c>
      <c r="J2369" s="41" t="str">
        <f aca="false">IF(G2369="","",IFERROR(IF(ISNUMBER(SEARCH(Assumptions!$C$5,G2369)),Assumptions!$D$5,IF(ISNUMBER(SEARCH(Assumptions!$C$6,G2369)),Assumptions!$D$6,IF(ISNUMBER(SEARCH(Assumptions!$C$7,G2369)),Assumptions!$D$7,"Other Services"))),"Other Services"))</f>
        <v/>
      </c>
    </row>
    <row r="2370" customFormat="false" ht="15" hidden="false" customHeight="false" outlineLevel="0" collapsed="false">
      <c r="F2370" s="41" t="str">
        <f aca="false">IF(E2370="","",IFERROR(VLOOKUP(E2370,Assumptions!$G$5:$H$16,2,0),"Other"))</f>
        <v/>
      </c>
      <c r="J2370" s="41" t="str">
        <f aca="false">IF(G2370="","",IFERROR(IF(ISNUMBER(SEARCH(Assumptions!$C$5,G2370)),Assumptions!$D$5,IF(ISNUMBER(SEARCH(Assumptions!$C$6,G2370)),Assumptions!$D$6,IF(ISNUMBER(SEARCH(Assumptions!$C$7,G2370)),Assumptions!$D$7,"Other Services"))),"Other Services"))</f>
        <v/>
      </c>
    </row>
    <row r="2371" customFormat="false" ht="15" hidden="false" customHeight="false" outlineLevel="0" collapsed="false">
      <c r="F2371" s="41" t="str">
        <f aca="false">IF(E2371="","",IFERROR(VLOOKUP(E2371,Assumptions!$G$5:$H$16,2,0),"Other"))</f>
        <v/>
      </c>
      <c r="J2371" s="41" t="str">
        <f aca="false">IF(G2371="","",IFERROR(IF(ISNUMBER(SEARCH(Assumptions!$C$5,G2371)),Assumptions!$D$5,IF(ISNUMBER(SEARCH(Assumptions!$C$6,G2371)),Assumptions!$D$6,IF(ISNUMBER(SEARCH(Assumptions!$C$7,G2371)),Assumptions!$D$7,"Other Services"))),"Other Services"))</f>
        <v/>
      </c>
    </row>
    <row r="2372" customFormat="false" ht="15" hidden="false" customHeight="false" outlineLevel="0" collapsed="false">
      <c r="F2372" s="41" t="str">
        <f aca="false">IF(E2372="","",IFERROR(VLOOKUP(E2372,Assumptions!$G$5:$H$16,2,0),"Other"))</f>
        <v/>
      </c>
      <c r="J2372" s="41" t="str">
        <f aca="false">IF(G2372="","",IFERROR(IF(ISNUMBER(SEARCH(Assumptions!$C$5,G2372)),Assumptions!$D$5,IF(ISNUMBER(SEARCH(Assumptions!$C$6,G2372)),Assumptions!$D$6,IF(ISNUMBER(SEARCH(Assumptions!$C$7,G2372)),Assumptions!$D$7,"Other Services"))),"Other Services"))</f>
        <v/>
      </c>
    </row>
    <row r="2373" customFormat="false" ht="15" hidden="false" customHeight="false" outlineLevel="0" collapsed="false">
      <c r="F2373" s="41" t="str">
        <f aca="false">IF(E2373="","",IFERROR(VLOOKUP(E2373,Assumptions!$G$5:$H$16,2,0),"Other"))</f>
        <v/>
      </c>
      <c r="J2373" s="41" t="str">
        <f aca="false">IF(G2373="","",IFERROR(IF(ISNUMBER(SEARCH(Assumptions!$C$5,G2373)),Assumptions!$D$5,IF(ISNUMBER(SEARCH(Assumptions!$C$6,G2373)),Assumptions!$D$6,IF(ISNUMBER(SEARCH(Assumptions!$C$7,G2373)),Assumptions!$D$7,"Other Services"))),"Other Services"))</f>
        <v/>
      </c>
    </row>
    <row r="2374" customFormat="false" ht="15" hidden="false" customHeight="false" outlineLevel="0" collapsed="false">
      <c r="F2374" s="41" t="str">
        <f aca="false">IF(E2374="","",IFERROR(VLOOKUP(E2374,Assumptions!$G$5:$H$16,2,0),"Other"))</f>
        <v/>
      </c>
      <c r="J2374" s="41" t="str">
        <f aca="false">IF(G2374="","",IFERROR(IF(ISNUMBER(SEARCH(Assumptions!$C$5,G2374)),Assumptions!$D$5,IF(ISNUMBER(SEARCH(Assumptions!$C$6,G2374)),Assumptions!$D$6,IF(ISNUMBER(SEARCH(Assumptions!$C$7,G2374)),Assumptions!$D$7,"Other Services"))),"Other Services"))</f>
        <v/>
      </c>
    </row>
    <row r="2375" customFormat="false" ht="15" hidden="false" customHeight="false" outlineLevel="0" collapsed="false">
      <c r="F2375" s="41" t="str">
        <f aca="false">IF(E2375="","",IFERROR(VLOOKUP(E2375,Assumptions!$G$5:$H$16,2,0),"Other"))</f>
        <v/>
      </c>
      <c r="J2375" s="41" t="str">
        <f aca="false">IF(G2375="","",IFERROR(IF(ISNUMBER(SEARCH(Assumptions!$C$5,G2375)),Assumptions!$D$5,IF(ISNUMBER(SEARCH(Assumptions!$C$6,G2375)),Assumptions!$D$6,IF(ISNUMBER(SEARCH(Assumptions!$C$7,G2375)),Assumptions!$D$7,"Other Services"))),"Other Services"))</f>
        <v/>
      </c>
    </row>
    <row r="2376" customFormat="false" ht="15" hidden="false" customHeight="false" outlineLevel="0" collapsed="false">
      <c r="F2376" s="41" t="str">
        <f aca="false">IF(E2376="","",IFERROR(VLOOKUP(E2376,Assumptions!$G$5:$H$16,2,0),"Other"))</f>
        <v/>
      </c>
      <c r="J2376" s="41" t="str">
        <f aca="false">IF(G2376="","",IFERROR(IF(ISNUMBER(SEARCH(Assumptions!$C$5,G2376)),Assumptions!$D$5,IF(ISNUMBER(SEARCH(Assumptions!$C$6,G2376)),Assumptions!$D$6,IF(ISNUMBER(SEARCH(Assumptions!$C$7,G2376)),Assumptions!$D$7,"Other Services"))),"Other Services"))</f>
        <v/>
      </c>
    </row>
    <row r="2377" customFormat="false" ht="15" hidden="false" customHeight="false" outlineLevel="0" collapsed="false">
      <c r="F2377" s="41" t="str">
        <f aca="false">IF(E2377="","",IFERROR(VLOOKUP(E2377,Assumptions!$G$5:$H$16,2,0),"Other"))</f>
        <v/>
      </c>
      <c r="J2377" s="41" t="str">
        <f aca="false">IF(G2377="","",IFERROR(IF(ISNUMBER(SEARCH(Assumptions!$C$5,G2377)),Assumptions!$D$5,IF(ISNUMBER(SEARCH(Assumptions!$C$6,G2377)),Assumptions!$D$6,IF(ISNUMBER(SEARCH(Assumptions!$C$7,G2377)),Assumptions!$D$7,"Other Services"))),"Other Services"))</f>
        <v/>
      </c>
    </row>
    <row r="2378" customFormat="false" ht="15" hidden="false" customHeight="false" outlineLevel="0" collapsed="false">
      <c r="F2378" s="41" t="str">
        <f aca="false">IF(E2378="","",IFERROR(VLOOKUP(E2378,Assumptions!$G$5:$H$16,2,0),"Other"))</f>
        <v/>
      </c>
      <c r="J2378" s="41" t="str">
        <f aca="false">IF(G2378="","",IFERROR(IF(ISNUMBER(SEARCH(Assumptions!$C$5,G2378)),Assumptions!$D$5,IF(ISNUMBER(SEARCH(Assumptions!$C$6,G2378)),Assumptions!$D$6,IF(ISNUMBER(SEARCH(Assumptions!$C$7,G2378)),Assumptions!$D$7,"Other Services"))),"Other Services"))</f>
        <v/>
      </c>
    </row>
    <row r="2379" customFormat="false" ht="15" hidden="false" customHeight="false" outlineLevel="0" collapsed="false">
      <c r="F2379" s="41" t="str">
        <f aca="false">IF(E2379="","",IFERROR(VLOOKUP(E2379,Assumptions!$G$5:$H$16,2,0),"Other"))</f>
        <v/>
      </c>
      <c r="J2379" s="41" t="str">
        <f aca="false">IF(G2379="","",IFERROR(IF(ISNUMBER(SEARCH(Assumptions!$C$5,G2379)),Assumptions!$D$5,IF(ISNUMBER(SEARCH(Assumptions!$C$6,G2379)),Assumptions!$D$6,IF(ISNUMBER(SEARCH(Assumptions!$C$7,G2379)),Assumptions!$D$7,"Other Services"))),"Other Services"))</f>
        <v/>
      </c>
    </row>
    <row r="2380" customFormat="false" ht="15" hidden="false" customHeight="false" outlineLevel="0" collapsed="false">
      <c r="F2380" s="41" t="str">
        <f aca="false">IF(E2380="","",IFERROR(VLOOKUP(E2380,Assumptions!$G$5:$H$16,2,0),"Other"))</f>
        <v/>
      </c>
      <c r="J2380" s="41" t="str">
        <f aca="false">IF(G2380="","",IFERROR(IF(ISNUMBER(SEARCH(Assumptions!$C$5,G2380)),Assumptions!$D$5,IF(ISNUMBER(SEARCH(Assumptions!$C$6,G2380)),Assumptions!$D$6,IF(ISNUMBER(SEARCH(Assumptions!$C$7,G2380)),Assumptions!$D$7,"Other Services"))),"Other Services"))</f>
        <v/>
      </c>
    </row>
    <row r="2381" customFormat="false" ht="15" hidden="false" customHeight="false" outlineLevel="0" collapsed="false">
      <c r="F2381" s="41" t="str">
        <f aca="false">IF(E2381="","",IFERROR(VLOOKUP(E2381,Assumptions!$G$5:$H$16,2,0),"Other"))</f>
        <v/>
      </c>
      <c r="J2381" s="41" t="str">
        <f aca="false">IF(G2381="","",IFERROR(IF(ISNUMBER(SEARCH(Assumptions!$C$5,G2381)),Assumptions!$D$5,IF(ISNUMBER(SEARCH(Assumptions!$C$6,G2381)),Assumptions!$D$6,IF(ISNUMBER(SEARCH(Assumptions!$C$7,G2381)),Assumptions!$D$7,"Other Services"))),"Other Services"))</f>
        <v/>
      </c>
    </row>
    <row r="2382" customFormat="false" ht="15" hidden="false" customHeight="false" outlineLevel="0" collapsed="false">
      <c r="F2382" s="41" t="str">
        <f aca="false">IF(E2382="","",IFERROR(VLOOKUP(E2382,Assumptions!$G$5:$H$16,2,0),"Other"))</f>
        <v/>
      </c>
      <c r="J2382" s="41" t="str">
        <f aca="false">IF(G2382="","",IFERROR(IF(ISNUMBER(SEARCH(Assumptions!$C$5,G2382)),Assumptions!$D$5,IF(ISNUMBER(SEARCH(Assumptions!$C$6,G2382)),Assumptions!$D$6,IF(ISNUMBER(SEARCH(Assumptions!$C$7,G2382)),Assumptions!$D$7,"Other Services"))),"Other Services"))</f>
        <v/>
      </c>
    </row>
    <row r="2383" customFormat="false" ht="15" hidden="false" customHeight="false" outlineLevel="0" collapsed="false">
      <c r="F2383" s="41" t="str">
        <f aca="false">IF(E2383="","",IFERROR(VLOOKUP(E2383,Assumptions!$G$5:$H$16,2,0),"Other"))</f>
        <v/>
      </c>
      <c r="J2383" s="41" t="str">
        <f aca="false">IF(G2383="","",IFERROR(IF(ISNUMBER(SEARCH(Assumptions!$C$5,G2383)),Assumptions!$D$5,IF(ISNUMBER(SEARCH(Assumptions!$C$6,G2383)),Assumptions!$D$6,IF(ISNUMBER(SEARCH(Assumptions!$C$7,G2383)),Assumptions!$D$7,"Other Services"))),"Other Services"))</f>
        <v/>
      </c>
    </row>
    <row r="2384" customFormat="false" ht="15" hidden="false" customHeight="false" outlineLevel="0" collapsed="false">
      <c r="F2384" s="41" t="str">
        <f aca="false">IF(E2384="","",IFERROR(VLOOKUP(E2384,Assumptions!$G$5:$H$16,2,0),"Other"))</f>
        <v/>
      </c>
      <c r="J2384" s="41" t="str">
        <f aca="false">IF(G2384="","",IFERROR(IF(ISNUMBER(SEARCH(Assumptions!$C$5,G2384)),Assumptions!$D$5,IF(ISNUMBER(SEARCH(Assumptions!$C$6,G2384)),Assumptions!$D$6,IF(ISNUMBER(SEARCH(Assumptions!$C$7,G2384)),Assumptions!$D$7,"Other Services"))),"Other Services"))</f>
        <v/>
      </c>
    </row>
    <row r="2385" customFormat="false" ht="15" hidden="false" customHeight="false" outlineLevel="0" collapsed="false">
      <c r="F2385" s="41" t="str">
        <f aca="false">IF(E2385="","",IFERROR(VLOOKUP(E2385,Assumptions!$G$5:$H$16,2,0),"Other"))</f>
        <v/>
      </c>
      <c r="J2385" s="41" t="str">
        <f aca="false">IF(G2385="","",IFERROR(IF(ISNUMBER(SEARCH(Assumptions!$C$5,G2385)),Assumptions!$D$5,IF(ISNUMBER(SEARCH(Assumptions!$C$6,G2385)),Assumptions!$D$6,IF(ISNUMBER(SEARCH(Assumptions!$C$7,G2385)),Assumptions!$D$7,"Other Services"))),"Other Services"))</f>
        <v/>
      </c>
    </row>
    <row r="2386" customFormat="false" ht="15" hidden="false" customHeight="false" outlineLevel="0" collapsed="false">
      <c r="F2386" s="41" t="str">
        <f aca="false">IF(E2386="","",IFERROR(VLOOKUP(E2386,Assumptions!$G$5:$H$16,2,0),"Other"))</f>
        <v/>
      </c>
      <c r="J2386" s="41" t="str">
        <f aca="false">IF(G2386="","",IFERROR(IF(ISNUMBER(SEARCH(Assumptions!$C$5,G2386)),Assumptions!$D$5,IF(ISNUMBER(SEARCH(Assumptions!$C$6,G2386)),Assumptions!$D$6,IF(ISNUMBER(SEARCH(Assumptions!$C$7,G2386)),Assumptions!$D$7,"Other Services"))),"Other Services"))</f>
        <v/>
      </c>
    </row>
    <row r="2387" customFormat="false" ht="15" hidden="false" customHeight="false" outlineLevel="0" collapsed="false">
      <c r="F2387" s="41" t="str">
        <f aca="false">IF(E2387="","",IFERROR(VLOOKUP(E2387,Assumptions!$G$5:$H$16,2,0),"Other"))</f>
        <v/>
      </c>
      <c r="J2387" s="41" t="str">
        <f aca="false">IF(G2387="","",IFERROR(IF(ISNUMBER(SEARCH(Assumptions!$C$5,G2387)),Assumptions!$D$5,IF(ISNUMBER(SEARCH(Assumptions!$C$6,G2387)),Assumptions!$D$6,IF(ISNUMBER(SEARCH(Assumptions!$C$7,G2387)),Assumptions!$D$7,"Other Services"))),"Other Services"))</f>
        <v/>
      </c>
    </row>
    <row r="2388" customFormat="false" ht="15" hidden="false" customHeight="false" outlineLevel="0" collapsed="false">
      <c r="F2388" s="41" t="str">
        <f aca="false">IF(E2388="","",IFERROR(VLOOKUP(E2388,Assumptions!$G$5:$H$16,2,0),"Other"))</f>
        <v/>
      </c>
      <c r="J2388" s="41" t="str">
        <f aca="false">IF(G2388="","",IFERROR(IF(ISNUMBER(SEARCH(Assumptions!$C$5,G2388)),Assumptions!$D$5,IF(ISNUMBER(SEARCH(Assumptions!$C$6,G2388)),Assumptions!$D$6,IF(ISNUMBER(SEARCH(Assumptions!$C$7,G2388)),Assumptions!$D$7,"Other Services"))),"Other Services"))</f>
        <v/>
      </c>
    </row>
    <row r="2389" customFormat="false" ht="15" hidden="false" customHeight="false" outlineLevel="0" collapsed="false">
      <c r="F2389" s="41" t="str">
        <f aca="false">IF(E2389="","",IFERROR(VLOOKUP(E2389,Assumptions!$G$5:$H$16,2,0),"Other"))</f>
        <v/>
      </c>
      <c r="J2389" s="41" t="str">
        <f aca="false">IF(G2389="","",IFERROR(IF(ISNUMBER(SEARCH(Assumptions!$C$5,G2389)),Assumptions!$D$5,IF(ISNUMBER(SEARCH(Assumptions!$C$6,G2389)),Assumptions!$D$6,IF(ISNUMBER(SEARCH(Assumptions!$C$7,G2389)),Assumptions!$D$7,"Other Services"))),"Other Services"))</f>
        <v/>
      </c>
    </row>
    <row r="2390" customFormat="false" ht="15" hidden="false" customHeight="false" outlineLevel="0" collapsed="false">
      <c r="F2390" s="41" t="str">
        <f aca="false">IF(E2390="","",IFERROR(VLOOKUP(E2390,Assumptions!$G$5:$H$16,2,0),"Other"))</f>
        <v/>
      </c>
      <c r="J2390" s="41" t="str">
        <f aca="false">IF(G2390="","",IFERROR(IF(ISNUMBER(SEARCH(Assumptions!$C$5,G2390)),Assumptions!$D$5,IF(ISNUMBER(SEARCH(Assumptions!$C$6,G2390)),Assumptions!$D$6,IF(ISNUMBER(SEARCH(Assumptions!$C$7,G2390)),Assumptions!$D$7,"Other Services"))),"Other Services"))</f>
        <v/>
      </c>
    </row>
    <row r="2391" customFormat="false" ht="15" hidden="false" customHeight="false" outlineLevel="0" collapsed="false">
      <c r="F2391" s="41" t="str">
        <f aca="false">IF(E2391="","",IFERROR(VLOOKUP(E2391,Assumptions!$G$5:$H$16,2,0),"Other"))</f>
        <v/>
      </c>
      <c r="J2391" s="41" t="str">
        <f aca="false">IF(G2391="","",IFERROR(IF(ISNUMBER(SEARCH(Assumptions!$C$5,G2391)),Assumptions!$D$5,IF(ISNUMBER(SEARCH(Assumptions!$C$6,G2391)),Assumptions!$D$6,IF(ISNUMBER(SEARCH(Assumptions!$C$7,G2391)),Assumptions!$D$7,"Other Services"))),"Other Services"))</f>
        <v/>
      </c>
    </row>
    <row r="2392" customFormat="false" ht="15" hidden="false" customHeight="false" outlineLevel="0" collapsed="false">
      <c r="F2392" s="41" t="str">
        <f aca="false">IF(E2392="","",IFERROR(VLOOKUP(E2392,Assumptions!$G$5:$H$16,2,0),"Other"))</f>
        <v/>
      </c>
      <c r="J2392" s="41" t="str">
        <f aca="false">IF(G2392="","",IFERROR(IF(ISNUMBER(SEARCH(Assumptions!$C$5,G2392)),Assumptions!$D$5,IF(ISNUMBER(SEARCH(Assumptions!$C$6,G2392)),Assumptions!$D$6,IF(ISNUMBER(SEARCH(Assumptions!$C$7,G2392)),Assumptions!$D$7,"Other Services"))),"Other Services"))</f>
        <v/>
      </c>
    </row>
    <row r="2393" customFormat="false" ht="15" hidden="false" customHeight="false" outlineLevel="0" collapsed="false">
      <c r="F2393" s="41" t="str">
        <f aca="false">IF(E2393="","",IFERROR(VLOOKUP(E2393,Assumptions!$G$5:$H$16,2,0),"Other"))</f>
        <v/>
      </c>
      <c r="J2393" s="41" t="str">
        <f aca="false">IF(G2393="","",IFERROR(IF(ISNUMBER(SEARCH(Assumptions!$C$5,G2393)),Assumptions!$D$5,IF(ISNUMBER(SEARCH(Assumptions!$C$6,G2393)),Assumptions!$D$6,IF(ISNUMBER(SEARCH(Assumptions!$C$7,G2393)),Assumptions!$D$7,"Other Services"))),"Other Services"))</f>
        <v/>
      </c>
    </row>
    <row r="2394" customFormat="false" ht="15" hidden="false" customHeight="false" outlineLevel="0" collapsed="false">
      <c r="F2394" s="41" t="str">
        <f aca="false">IF(E2394="","",IFERROR(VLOOKUP(E2394,Assumptions!$G$5:$H$16,2,0),"Other"))</f>
        <v/>
      </c>
      <c r="J2394" s="41" t="str">
        <f aca="false">IF(G2394="","",IFERROR(IF(ISNUMBER(SEARCH(Assumptions!$C$5,G2394)),Assumptions!$D$5,IF(ISNUMBER(SEARCH(Assumptions!$C$6,G2394)),Assumptions!$D$6,IF(ISNUMBER(SEARCH(Assumptions!$C$7,G2394)),Assumptions!$D$7,"Other Services"))),"Other Services"))</f>
        <v/>
      </c>
    </row>
    <row r="2395" customFormat="false" ht="15" hidden="false" customHeight="false" outlineLevel="0" collapsed="false">
      <c r="F2395" s="41" t="str">
        <f aca="false">IF(E2395="","",IFERROR(VLOOKUP(E2395,Assumptions!$G$5:$H$16,2,0),"Other"))</f>
        <v/>
      </c>
      <c r="J2395" s="41" t="str">
        <f aca="false">IF(G2395="","",IFERROR(IF(ISNUMBER(SEARCH(Assumptions!$C$5,G2395)),Assumptions!$D$5,IF(ISNUMBER(SEARCH(Assumptions!$C$6,G2395)),Assumptions!$D$6,IF(ISNUMBER(SEARCH(Assumptions!$C$7,G2395)),Assumptions!$D$7,"Other Services"))),"Other Services"))</f>
        <v/>
      </c>
    </row>
    <row r="2396" customFormat="false" ht="15" hidden="false" customHeight="false" outlineLevel="0" collapsed="false">
      <c r="F2396" s="41" t="str">
        <f aca="false">IF(E2396="","",IFERROR(VLOOKUP(E2396,Assumptions!$G$5:$H$16,2,0),"Other"))</f>
        <v/>
      </c>
      <c r="J2396" s="41" t="str">
        <f aca="false">IF(G2396="","",IFERROR(IF(ISNUMBER(SEARCH(Assumptions!$C$5,G2396)),Assumptions!$D$5,IF(ISNUMBER(SEARCH(Assumptions!$C$6,G2396)),Assumptions!$D$6,IF(ISNUMBER(SEARCH(Assumptions!$C$7,G2396)),Assumptions!$D$7,"Other Services"))),"Other Services"))</f>
        <v/>
      </c>
    </row>
    <row r="2397" customFormat="false" ht="15" hidden="false" customHeight="false" outlineLevel="0" collapsed="false">
      <c r="F2397" s="41" t="str">
        <f aca="false">IF(E2397="","",IFERROR(VLOOKUP(E2397,Assumptions!$G$5:$H$16,2,0),"Other"))</f>
        <v/>
      </c>
      <c r="J2397" s="41" t="str">
        <f aca="false">IF(G2397="","",IFERROR(IF(ISNUMBER(SEARCH(Assumptions!$C$5,G2397)),Assumptions!$D$5,IF(ISNUMBER(SEARCH(Assumptions!$C$6,G2397)),Assumptions!$D$6,IF(ISNUMBER(SEARCH(Assumptions!$C$7,G2397)),Assumptions!$D$7,"Other Services"))),"Other Services"))</f>
        <v/>
      </c>
    </row>
    <row r="2398" customFormat="false" ht="15" hidden="false" customHeight="false" outlineLevel="0" collapsed="false">
      <c r="F2398" s="41" t="str">
        <f aca="false">IF(E2398="","",IFERROR(VLOOKUP(E2398,Assumptions!$G$5:$H$16,2,0),"Other"))</f>
        <v/>
      </c>
      <c r="J2398" s="41" t="str">
        <f aca="false">IF(G2398="","",IFERROR(IF(ISNUMBER(SEARCH(Assumptions!$C$5,G2398)),Assumptions!$D$5,IF(ISNUMBER(SEARCH(Assumptions!$C$6,G2398)),Assumptions!$D$6,IF(ISNUMBER(SEARCH(Assumptions!$C$7,G2398)),Assumptions!$D$7,"Other Services"))),"Other Services"))</f>
        <v/>
      </c>
    </row>
    <row r="2399" customFormat="false" ht="15" hidden="false" customHeight="false" outlineLevel="0" collapsed="false">
      <c r="F2399" s="41" t="str">
        <f aca="false">IF(E2399="","",IFERROR(VLOOKUP(E2399,Assumptions!$G$5:$H$16,2,0),"Other"))</f>
        <v/>
      </c>
      <c r="J2399" s="41" t="str">
        <f aca="false">IF(G2399="","",IFERROR(IF(ISNUMBER(SEARCH(Assumptions!$C$5,G2399)),Assumptions!$D$5,IF(ISNUMBER(SEARCH(Assumptions!$C$6,G2399)),Assumptions!$D$6,IF(ISNUMBER(SEARCH(Assumptions!$C$7,G2399)),Assumptions!$D$7,"Other Services"))),"Other Services"))</f>
        <v/>
      </c>
    </row>
    <row r="2400" customFormat="false" ht="15" hidden="false" customHeight="false" outlineLevel="0" collapsed="false">
      <c r="F2400" s="41" t="str">
        <f aca="false">IF(E2400="","",IFERROR(VLOOKUP(E2400,Assumptions!$G$5:$H$16,2,0),"Other"))</f>
        <v/>
      </c>
      <c r="J2400" s="41" t="str">
        <f aca="false">IF(G2400="","",IFERROR(IF(ISNUMBER(SEARCH(Assumptions!$C$5,G2400)),Assumptions!$D$5,IF(ISNUMBER(SEARCH(Assumptions!$C$6,G2400)),Assumptions!$D$6,IF(ISNUMBER(SEARCH(Assumptions!$C$7,G2400)),Assumptions!$D$7,"Other Services"))),"Other Services"))</f>
        <v/>
      </c>
    </row>
    <row r="2401" customFormat="false" ht="15" hidden="false" customHeight="false" outlineLevel="0" collapsed="false">
      <c r="F2401" s="41" t="str">
        <f aca="false">IF(E2401="","",IFERROR(VLOOKUP(E2401,Assumptions!$G$5:$H$16,2,0),"Other"))</f>
        <v/>
      </c>
      <c r="J2401" s="41" t="str">
        <f aca="false">IF(G2401="","",IFERROR(IF(ISNUMBER(SEARCH(Assumptions!$C$5,G2401)),Assumptions!$D$5,IF(ISNUMBER(SEARCH(Assumptions!$C$6,G2401)),Assumptions!$D$6,IF(ISNUMBER(SEARCH(Assumptions!$C$7,G2401)),Assumptions!$D$7,"Other Services"))),"Other Services"))</f>
        <v/>
      </c>
    </row>
    <row r="2402" customFormat="false" ht="15" hidden="false" customHeight="false" outlineLevel="0" collapsed="false">
      <c r="F2402" s="41" t="str">
        <f aca="false">IF(E2402="","",IFERROR(VLOOKUP(E2402,Assumptions!$G$5:$H$16,2,0),"Other"))</f>
        <v/>
      </c>
      <c r="J2402" s="41" t="str">
        <f aca="false">IF(G2402="","",IFERROR(IF(ISNUMBER(SEARCH(Assumptions!$C$5,G2402)),Assumptions!$D$5,IF(ISNUMBER(SEARCH(Assumptions!$C$6,G2402)),Assumptions!$D$6,IF(ISNUMBER(SEARCH(Assumptions!$C$7,G2402)),Assumptions!$D$7,"Other Services"))),"Other Services"))</f>
        <v/>
      </c>
    </row>
    <row r="2403" customFormat="false" ht="15" hidden="false" customHeight="false" outlineLevel="0" collapsed="false">
      <c r="F2403" s="41" t="str">
        <f aca="false">IF(E2403="","",IFERROR(VLOOKUP(E2403,Assumptions!$G$5:$H$16,2,0),"Other"))</f>
        <v/>
      </c>
      <c r="J2403" s="41" t="str">
        <f aca="false">IF(G2403="","",IFERROR(IF(ISNUMBER(SEARCH(Assumptions!$C$5,G2403)),Assumptions!$D$5,IF(ISNUMBER(SEARCH(Assumptions!$C$6,G2403)),Assumptions!$D$6,IF(ISNUMBER(SEARCH(Assumptions!$C$7,G2403)),Assumptions!$D$7,"Other Services"))),"Other Services"))</f>
        <v/>
      </c>
    </row>
    <row r="2404" customFormat="false" ht="15" hidden="false" customHeight="false" outlineLevel="0" collapsed="false">
      <c r="F2404" s="41" t="str">
        <f aca="false">IF(E2404="","",IFERROR(VLOOKUP(E2404,Assumptions!$G$5:$H$16,2,0),"Other"))</f>
        <v/>
      </c>
      <c r="J2404" s="41" t="str">
        <f aca="false">IF(G2404="","",IFERROR(IF(ISNUMBER(SEARCH(Assumptions!$C$5,G2404)),Assumptions!$D$5,IF(ISNUMBER(SEARCH(Assumptions!$C$6,G2404)),Assumptions!$D$6,IF(ISNUMBER(SEARCH(Assumptions!$C$7,G2404)),Assumptions!$D$7,"Other Services"))),"Other Services"))</f>
        <v/>
      </c>
    </row>
    <row r="2405" customFormat="false" ht="15" hidden="false" customHeight="false" outlineLevel="0" collapsed="false">
      <c r="F2405" s="41" t="str">
        <f aca="false">IF(E2405="","",IFERROR(VLOOKUP(E2405,Assumptions!$G$5:$H$16,2,0),"Other"))</f>
        <v/>
      </c>
      <c r="J2405" s="41" t="str">
        <f aca="false">IF(G2405="","",IFERROR(IF(ISNUMBER(SEARCH(Assumptions!$C$5,G2405)),Assumptions!$D$5,IF(ISNUMBER(SEARCH(Assumptions!$C$6,G2405)),Assumptions!$D$6,IF(ISNUMBER(SEARCH(Assumptions!$C$7,G2405)),Assumptions!$D$7,"Other Services"))),"Other Services"))</f>
        <v/>
      </c>
    </row>
    <row r="2406" customFormat="false" ht="15" hidden="false" customHeight="false" outlineLevel="0" collapsed="false">
      <c r="F2406" s="41" t="str">
        <f aca="false">IF(E2406="","",IFERROR(VLOOKUP(E2406,Assumptions!$G$5:$H$16,2,0),"Other"))</f>
        <v/>
      </c>
      <c r="J2406" s="41" t="str">
        <f aca="false">IF(G2406="","",IFERROR(IF(ISNUMBER(SEARCH(Assumptions!$C$5,G2406)),Assumptions!$D$5,IF(ISNUMBER(SEARCH(Assumptions!$C$6,G2406)),Assumptions!$D$6,IF(ISNUMBER(SEARCH(Assumptions!$C$7,G2406)),Assumptions!$D$7,"Other Services"))),"Other Services"))</f>
        <v/>
      </c>
    </row>
    <row r="2407" customFormat="false" ht="15" hidden="false" customHeight="false" outlineLevel="0" collapsed="false">
      <c r="F2407" s="41" t="str">
        <f aca="false">IF(E2407="","",IFERROR(VLOOKUP(E2407,Assumptions!$G$5:$H$16,2,0),"Other"))</f>
        <v/>
      </c>
      <c r="J2407" s="41" t="str">
        <f aca="false">IF(G2407="","",IFERROR(IF(ISNUMBER(SEARCH(Assumptions!$C$5,G2407)),Assumptions!$D$5,IF(ISNUMBER(SEARCH(Assumptions!$C$6,G2407)),Assumptions!$D$6,IF(ISNUMBER(SEARCH(Assumptions!$C$7,G2407)),Assumptions!$D$7,"Other Services"))),"Other Services"))</f>
        <v/>
      </c>
    </row>
    <row r="2408" customFormat="false" ht="15" hidden="false" customHeight="false" outlineLevel="0" collapsed="false">
      <c r="F2408" s="41" t="str">
        <f aca="false">IF(E2408="","",IFERROR(VLOOKUP(E2408,Assumptions!$G$5:$H$16,2,0),"Other"))</f>
        <v/>
      </c>
      <c r="J2408" s="41" t="str">
        <f aca="false">IF(G2408="","",IFERROR(IF(ISNUMBER(SEARCH(Assumptions!$C$5,G2408)),Assumptions!$D$5,IF(ISNUMBER(SEARCH(Assumptions!$C$6,G2408)),Assumptions!$D$6,IF(ISNUMBER(SEARCH(Assumptions!$C$7,G2408)),Assumptions!$D$7,"Other Services"))),"Other Services"))</f>
        <v/>
      </c>
    </row>
    <row r="2409" customFormat="false" ht="15" hidden="false" customHeight="false" outlineLevel="0" collapsed="false">
      <c r="F2409" s="41" t="str">
        <f aca="false">IF(E2409="","",IFERROR(VLOOKUP(E2409,Assumptions!$G$5:$H$16,2,0),"Other"))</f>
        <v/>
      </c>
      <c r="J2409" s="41" t="str">
        <f aca="false">IF(G2409="","",IFERROR(IF(ISNUMBER(SEARCH(Assumptions!$C$5,G2409)),Assumptions!$D$5,IF(ISNUMBER(SEARCH(Assumptions!$C$6,G2409)),Assumptions!$D$6,IF(ISNUMBER(SEARCH(Assumptions!$C$7,G2409)),Assumptions!$D$7,"Other Services"))),"Other Services"))</f>
        <v/>
      </c>
    </row>
    <row r="2410" customFormat="false" ht="15" hidden="false" customHeight="false" outlineLevel="0" collapsed="false">
      <c r="F2410" s="41" t="str">
        <f aca="false">IF(E2410="","",IFERROR(VLOOKUP(E2410,Assumptions!$G$5:$H$16,2,0),"Other"))</f>
        <v/>
      </c>
      <c r="J2410" s="41" t="str">
        <f aca="false">IF(G2410="","",IFERROR(IF(ISNUMBER(SEARCH(Assumptions!$C$5,G2410)),Assumptions!$D$5,IF(ISNUMBER(SEARCH(Assumptions!$C$6,G2410)),Assumptions!$D$6,IF(ISNUMBER(SEARCH(Assumptions!$C$7,G2410)),Assumptions!$D$7,"Other Services"))),"Other Services"))</f>
        <v/>
      </c>
    </row>
    <row r="2411" customFormat="false" ht="15" hidden="false" customHeight="false" outlineLevel="0" collapsed="false">
      <c r="F2411" s="41" t="str">
        <f aca="false">IF(E2411="","",IFERROR(VLOOKUP(E2411,Assumptions!$G$5:$H$16,2,0),"Other"))</f>
        <v/>
      </c>
      <c r="J2411" s="41" t="str">
        <f aca="false">IF(G2411="","",IFERROR(IF(ISNUMBER(SEARCH(Assumptions!$C$5,G2411)),Assumptions!$D$5,IF(ISNUMBER(SEARCH(Assumptions!$C$6,G2411)),Assumptions!$D$6,IF(ISNUMBER(SEARCH(Assumptions!$C$7,G2411)),Assumptions!$D$7,"Other Services"))),"Other Services"))</f>
        <v/>
      </c>
    </row>
    <row r="2412" customFormat="false" ht="15" hidden="false" customHeight="false" outlineLevel="0" collapsed="false">
      <c r="F2412" s="41" t="str">
        <f aca="false">IF(E2412="","",IFERROR(VLOOKUP(E2412,Assumptions!$G$5:$H$16,2,0),"Other"))</f>
        <v/>
      </c>
      <c r="J2412" s="41" t="str">
        <f aca="false">IF(G2412="","",IFERROR(IF(ISNUMBER(SEARCH(Assumptions!$C$5,G2412)),Assumptions!$D$5,IF(ISNUMBER(SEARCH(Assumptions!$C$6,G2412)),Assumptions!$D$6,IF(ISNUMBER(SEARCH(Assumptions!$C$7,G2412)),Assumptions!$D$7,"Other Services"))),"Other Services"))</f>
        <v/>
      </c>
    </row>
    <row r="2413" customFormat="false" ht="15" hidden="false" customHeight="false" outlineLevel="0" collapsed="false">
      <c r="F2413" s="41" t="str">
        <f aca="false">IF(E2413="","",IFERROR(VLOOKUP(E2413,Assumptions!$G$5:$H$16,2,0),"Other"))</f>
        <v/>
      </c>
      <c r="J2413" s="41" t="str">
        <f aca="false">IF(G2413="","",IFERROR(IF(ISNUMBER(SEARCH(Assumptions!$C$5,G2413)),Assumptions!$D$5,IF(ISNUMBER(SEARCH(Assumptions!$C$6,G2413)),Assumptions!$D$6,IF(ISNUMBER(SEARCH(Assumptions!$C$7,G2413)),Assumptions!$D$7,"Other Services"))),"Other Services"))</f>
        <v/>
      </c>
    </row>
    <row r="2414" customFormat="false" ht="15" hidden="false" customHeight="false" outlineLevel="0" collapsed="false">
      <c r="F2414" s="41" t="str">
        <f aca="false">IF(E2414="","",IFERROR(VLOOKUP(E2414,Assumptions!$G$5:$H$16,2,0),"Other"))</f>
        <v/>
      </c>
      <c r="J2414" s="41" t="str">
        <f aca="false">IF(G2414="","",IFERROR(IF(ISNUMBER(SEARCH(Assumptions!$C$5,G2414)),Assumptions!$D$5,IF(ISNUMBER(SEARCH(Assumptions!$C$6,G2414)),Assumptions!$D$6,IF(ISNUMBER(SEARCH(Assumptions!$C$7,G2414)),Assumptions!$D$7,"Other Services"))),"Other Services"))</f>
        <v/>
      </c>
    </row>
    <row r="2415" customFormat="false" ht="15" hidden="false" customHeight="false" outlineLevel="0" collapsed="false">
      <c r="F2415" s="41" t="str">
        <f aca="false">IF(E2415="","",IFERROR(VLOOKUP(E2415,Assumptions!$G$5:$H$16,2,0),"Other"))</f>
        <v/>
      </c>
      <c r="J2415" s="41" t="str">
        <f aca="false">IF(G2415="","",IFERROR(IF(ISNUMBER(SEARCH(Assumptions!$C$5,G2415)),Assumptions!$D$5,IF(ISNUMBER(SEARCH(Assumptions!$C$6,G2415)),Assumptions!$D$6,IF(ISNUMBER(SEARCH(Assumptions!$C$7,G2415)),Assumptions!$D$7,"Other Services"))),"Other Services"))</f>
        <v/>
      </c>
    </row>
    <row r="2416" customFormat="false" ht="15" hidden="false" customHeight="false" outlineLevel="0" collapsed="false">
      <c r="F2416" s="41" t="str">
        <f aca="false">IF(E2416="","",IFERROR(VLOOKUP(E2416,Assumptions!$G$5:$H$16,2,0),"Other"))</f>
        <v/>
      </c>
      <c r="J2416" s="41" t="str">
        <f aca="false">IF(G2416="","",IFERROR(IF(ISNUMBER(SEARCH(Assumptions!$C$5,G2416)),Assumptions!$D$5,IF(ISNUMBER(SEARCH(Assumptions!$C$6,G2416)),Assumptions!$D$6,IF(ISNUMBER(SEARCH(Assumptions!$C$7,G2416)),Assumptions!$D$7,"Other Services"))),"Other Services"))</f>
        <v/>
      </c>
    </row>
    <row r="2417" customFormat="false" ht="15" hidden="false" customHeight="false" outlineLevel="0" collapsed="false">
      <c r="F2417" s="41" t="str">
        <f aca="false">IF(E2417="","",IFERROR(VLOOKUP(E2417,Assumptions!$G$5:$H$16,2,0),"Other"))</f>
        <v/>
      </c>
      <c r="J2417" s="41" t="str">
        <f aca="false">IF(G2417="","",IFERROR(IF(ISNUMBER(SEARCH(Assumptions!$C$5,G2417)),Assumptions!$D$5,IF(ISNUMBER(SEARCH(Assumptions!$C$6,G2417)),Assumptions!$D$6,IF(ISNUMBER(SEARCH(Assumptions!$C$7,G2417)),Assumptions!$D$7,"Other Services"))),"Other Services"))</f>
        <v/>
      </c>
    </row>
    <row r="2418" customFormat="false" ht="15" hidden="false" customHeight="false" outlineLevel="0" collapsed="false">
      <c r="F2418" s="41" t="str">
        <f aca="false">IF(E2418="","",IFERROR(VLOOKUP(E2418,Assumptions!$G$5:$H$16,2,0),"Other"))</f>
        <v/>
      </c>
      <c r="J2418" s="41" t="str">
        <f aca="false">IF(G2418="","",IFERROR(IF(ISNUMBER(SEARCH(Assumptions!$C$5,G2418)),Assumptions!$D$5,IF(ISNUMBER(SEARCH(Assumptions!$C$6,G2418)),Assumptions!$D$6,IF(ISNUMBER(SEARCH(Assumptions!$C$7,G2418)),Assumptions!$D$7,"Other Services"))),"Other Services"))</f>
        <v/>
      </c>
    </row>
    <row r="2419" customFormat="false" ht="15" hidden="false" customHeight="false" outlineLevel="0" collapsed="false">
      <c r="F2419" s="41" t="str">
        <f aca="false">IF(E2419="","",IFERROR(VLOOKUP(E2419,Assumptions!$G$5:$H$16,2,0),"Other"))</f>
        <v/>
      </c>
      <c r="J2419" s="41" t="str">
        <f aca="false">IF(G2419="","",IFERROR(IF(ISNUMBER(SEARCH(Assumptions!$C$5,G2419)),Assumptions!$D$5,IF(ISNUMBER(SEARCH(Assumptions!$C$6,G2419)),Assumptions!$D$6,IF(ISNUMBER(SEARCH(Assumptions!$C$7,G2419)),Assumptions!$D$7,"Other Services"))),"Other Services"))</f>
        <v/>
      </c>
    </row>
    <row r="2420" customFormat="false" ht="15" hidden="false" customHeight="false" outlineLevel="0" collapsed="false">
      <c r="F2420" s="41" t="str">
        <f aca="false">IF(E2420="","",IFERROR(VLOOKUP(E2420,Assumptions!$G$5:$H$16,2,0),"Other"))</f>
        <v/>
      </c>
      <c r="J2420" s="41" t="str">
        <f aca="false">IF(G2420="","",IFERROR(IF(ISNUMBER(SEARCH(Assumptions!$C$5,G2420)),Assumptions!$D$5,IF(ISNUMBER(SEARCH(Assumptions!$C$6,G2420)),Assumptions!$D$6,IF(ISNUMBER(SEARCH(Assumptions!$C$7,G2420)),Assumptions!$D$7,"Other Services"))),"Other Services"))</f>
        <v/>
      </c>
    </row>
    <row r="2421" customFormat="false" ht="15" hidden="false" customHeight="false" outlineLevel="0" collapsed="false">
      <c r="F2421" s="41" t="str">
        <f aca="false">IF(E2421="","",IFERROR(VLOOKUP(E2421,Assumptions!$G$5:$H$16,2,0),"Other"))</f>
        <v/>
      </c>
      <c r="J2421" s="41" t="str">
        <f aca="false">IF(G2421="","",IFERROR(IF(ISNUMBER(SEARCH(Assumptions!$C$5,G2421)),Assumptions!$D$5,IF(ISNUMBER(SEARCH(Assumptions!$C$6,G2421)),Assumptions!$D$6,IF(ISNUMBER(SEARCH(Assumptions!$C$7,G2421)),Assumptions!$D$7,"Other Services"))),"Other Services"))</f>
        <v/>
      </c>
    </row>
    <row r="2422" customFormat="false" ht="15" hidden="false" customHeight="false" outlineLevel="0" collapsed="false">
      <c r="F2422" s="41" t="str">
        <f aca="false">IF(E2422="","",IFERROR(VLOOKUP(E2422,Assumptions!$G$5:$H$16,2,0),"Other"))</f>
        <v/>
      </c>
      <c r="J2422" s="41" t="str">
        <f aca="false">IF(G2422="","",IFERROR(IF(ISNUMBER(SEARCH(Assumptions!$C$5,G2422)),Assumptions!$D$5,IF(ISNUMBER(SEARCH(Assumptions!$C$6,G2422)),Assumptions!$D$6,IF(ISNUMBER(SEARCH(Assumptions!$C$7,G2422)),Assumptions!$D$7,"Other Services"))),"Other Services"))</f>
        <v/>
      </c>
    </row>
    <row r="2423" customFormat="false" ht="15" hidden="false" customHeight="false" outlineLevel="0" collapsed="false">
      <c r="F2423" s="41" t="str">
        <f aca="false">IF(E2423="","",IFERROR(VLOOKUP(E2423,Assumptions!$G$5:$H$16,2,0),"Other"))</f>
        <v/>
      </c>
      <c r="J2423" s="41" t="str">
        <f aca="false">IF(G2423="","",IFERROR(IF(ISNUMBER(SEARCH(Assumptions!$C$5,G2423)),Assumptions!$D$5,IF(ISNUMBER(SEARCH(Assumptions!$C$6,G2423)),Assumptions!$D$6,IF(ISNUMBER(SEARCH(Assumptions!$C$7,G2423)),Assumptions!$D$7,"Other Services"))),"Other Services"))</f>
        <v/>
      </c>
    </row>
    <row r="2424" customFormat="false" ht="15" hidden="false" customHeight="false" outlineLevel="0" collapsed="false">
      <c r="F2424" s="41" t="str">
        <f aca="false">IF(E2424="","",IFERROR(VLOOKUP(E2424,Assumptions!$G$5:$H$16,2,0),"Other"))</f>
        <v/>
      </c>
      <c r="J2424" s="41" t="str">
        <f aca="false">IF(G2424="","",IFERROR(IF(ISNUMBER(SEARCH(Assumptions!$C$5,G2424)),Assumptions!$D$5,IF(ISNUMBER(SEARCH(Assumptions!$C$6,G2424)),Assumptions!$D$6,IF(ISNUMBER(SEARCH(Assumptions!$C$7,G2424)),Assumptions!$D$7,"Other Services"))),"Other Services"))</f>
        <v/>
      </c>
    </row>
    <row r="2425" customFormat="false" ht="15" hidden="false" customHeight="false" outlineLevel="0" collapsed="false">
      <c r="F2425" s="41" t="str">
        <f aca="false">IF(E2425="","",IFERROR(VLOOKUP(E2425,Assumptions!$G$5:$H$16,2,0),"Other"))</f>
        <v/>
      </c>
      <c r="J2425" s="41" t="str">
        <f aca="false">IF(G2425="","",IFERROR(IF(ISNUMBER(SEARCH(Assumptions!$C$5,G2425)),Assumptions!$D$5,IF(ISNUMBER(SEARCH(Assumptions!$C$6,G2425)),Assumptions!$D$6,IF(ISNUMBER(SEARCH(Assumptions!$C$7,G2425)),Assumptions!$D$7,"Other Services"))),"Other Services"))</f>
        <v/>
      </c>
    </row>
    <row r="2426" customFormat="false" ht="15" hidden="false" customHeight="false" outlineLevel="0" collapsed="false">
      <c r="F2426" s="41" t="str">
        <f aca="false">IF(E2426="","",IFERROR(VLOOKUP(E2426,Assumptions!$G$5:$H$16,2,0),"Other"))</f>
        <v/>
      </c>
      <c r="J2426" s="41" t="str">
        <f aca="false">IF(G2426="","",IFERROR(IF(ISNUMBER(SEARCH(Assumptions!$C$5,G2426)),Assumptions!$D$5,IF(ISNUMBER(SEARCH(Assumptions!$C$6,G2426)),Assumptions!$D$6,IF(ISNUMBER(SEARCH(Assumptions!$C$7,G2426)),Assumptions!$D$7,"Other Services"))),"Other Services"))</f>
        <v/>
      </c>
    </row>
    <row r="2427" customFormat="false" ht="15" hidden="false" customHeight="false" outlineLevel="0" collapsed="false">
      <c r="F2427" s="41" t="str">
        <f aca="false">IF(E2427="","",IFERROR(VLOOKUP(E2427,Assumptions!$G$5:$H$16,2,0),"Other"))</f>
        <v/>
      </c>
      <c r="J2427" s="41" t="str">
        <f aca="false">IF(G2427="","",IFERROR(IF(ISNUMBER(SEARCH(Assumptions!$C$5,G2427)),Assumptions!$D$5,IF(ISNUMBER(SEARCH(Assumptions!$C$6,G2427)),Assumptions!$D$6,IF(ISNUMBER(SEARCH(Assumptions!$C$7,G2427)),Assumptions!$D$7,"Other Services"))),"Other Services"))</f>
        <v/>
      </c>
    </row>
    <row r="2428" customFormat="false" ht="15" hidden="false" customHeight="false" outlineLevel="0" collapsed="false">
      <c r="F2428" s="41" t="str">
        <f aca="false">IF(E2428="","",IFERROR(VLOOKUP(E2428,Assumptions!$G$5:$H$16,2,0),"Other"))</f>
        <v/>
      </c>
      <c r="J2428" s="41" t="str">
        <f aca="false">IF(G2428="","",IFERROR(IF(ISNUMBER(SEARCH(Assumptions!$C$5,G2428)),Assumptions!$D$5,IF(ISNUMBER(SEARCH(Assumptions!$C$6,G2428)),Assumptions!$D$6,IF(ISNUMBER(SEARCH(Assumptions!$C$7,G2428)),Assumptions!$D$7,"Other Services"))),"Other Services"))</f>
        <v/>
      </c>
    </row>
    <row r="2429" customFormat="false" ht="15" hidden="false" customHeight="false" outlineLevel="0" collapsed="false">
      <c r="F2429" s="41" t="str">
        <f aca="false">IF(E2429="","",IFERROR(VLOOKUP(E2429,Assumptions!$G$5:$H$16,2,0),"Other"))</f>
        <v/>
      </c>
      <c r="J2429" s="41" t="str">
        <f aca="false">IF(G2429="","",IFERROR(IF(ISNUMBER(SEARCH(Assumptions!$C$5,G2429)),Assumptions!$D$5,IF(ISNUMBER(SEARCH(Assumptions!$C$6,G2429)),Assumptions!$D$6,IF(ISNUMBER(SEARCH(Assumptions!$C$7,G2429)),Assumptions!$D$7,"Other Services"))),"Other Services"))</f>
        <v/>
      </c>
    </row>
    <row r="2430" customFormat="false" ht="15" hidden="false" customHeight="false" outlineLevel="0" collapsed="false">
      <c r="F2430" s="41" t="str">
        <f aca="false">IF(E2430="","",IFERROR(VLOOKUP(E2430,Assumptions!$G$5:$H$16,2,0),"Other"))</f>
        <v/>
      </c>
      <c r="J2430" s="41" t="str">
        <f aca="false">IF(G2430="","",IFERROR(IF(ISNUMBER(SEARCH(Assumptions!$C$5,G2430)),Assumptions!$D$5,IF(ISNUMBER(SEARCH(Assumptions!$C$6,G2430)),Assumptions!$D$6,IF(ISNUMBER(SEARCH(Assumptions!$C$7,G2430)),Assumptions!$D$7,"Other Services"))),"Other Services"))</f>
        <v/>
      </c>
    </row>
    <row r="2431" customFormat="false" ht="15" hidden="false" customHeight="false" outlineLevel="0" collapsed="false">
      <c r="F2431" s="41" t="str">
        <f aca="false">IF(E2431="","",IFERROR(VLOOKUP(E2431,Assumptions!$G$5:$H$16,2,0),"Other"))</f>
        <v/>
      </c>
      <c r="J2431" s="41" t="str">
        <f aca="false">IF(G2431="","",IFERROR(IF(ISNUMBER(SEARCH(Assumptions!$C$5,G2431)),Assumptions!$D$5,IF(ISNUMBER(SEARCH(Assumptions!$C$6,G2431)),Assumptions!$D$6,IF(ISNUMBER(SEARCH(Assumptions!$C$7,G2431)),Assumptions!$D$7,"Other Services"))),"Other Services"))</f>
        <v/>
      </c>
    </row>
    <row r="2432" customFormat="false" ht="15" hidden="false" customHeight="false" outlineLevel="0" collapsed="false">
      <c r="F2432" s="41" t="str">
        <f aca="false">IF(E2432="","",IFERROR(VLOOKUP(E2432,Assumptions!$G$5:$H$16,2,0),"Other"))</f>
        <v/>
      </c>
      <c r="J2432" s="41" t="str">
        <f aca="false">IF(G2432="","",IFERROR(IF(ISNUMBER(SEARCH(Assumptions!$C$5,G2432)),Assumptions!$D$5,IF(ISNUMBER(SEARCH(Assumptions!$C$6,G2432)),Assumptions!$D$6,IF(ISNUMBER(SEARCH(Assumptions!$C$7,G2432)),Assumptions!$D$7,"Other Services"))),"Other Services"))</f>
        <v/>
      </c>
    </row>
    <row r="2433" customFormat="false" ht="15" hidden="false" customHeight="false" outlineLevel="0" collapsed="false">
      <c r="F2433" s="41" t="str">
        <f aca="false">IF(E2433="","",IFERROR(VLOOKUP(E2433,Assumptions!$G$5:$H$16,2,0),"Other"))</f>
        <v/>
      </c>
      <c r="J2433" s="41" t="str">
        <f aca="false">IF(G2433="","",IFERROR(IF(ISNUMBER(SEARCH(Assumptions!$C$5,G2433)),Assumptions!$D$5,IF(ISNUMBER(SEARCH(Assumptions!$C$6,G2433)),Assumptions!$D$6,IF(ISNUMBER(SEARCH(Assumptions!$C$7,G2433)),Assumptions!$D$7,"Other Services"))),"Other Services"))</f>
        <v/>
      </c>
    </row>
    <row r="2434" customFormat="false" ht="15" hidden="false" customHeight="false" outlineLevel="0" collapsed="false">
      <c r="F2434" s="41" t="str">
        <f aca="false">IF(E2434="","",IFERROR(VLOOKUP(E2434,Assumptions!$G$5:$H$16,2,0),"Other"))</f>
        <v/>
      </c>
      <c r="J2434" s="41" t="str">
        <f aca="false">IF(G2434="","",IFERROR(IF(ISNUMBER(SEARCH(Assumptions!$C$5,G2434)),Assumptions!$D$5,IF(ISNUMBER(SEARCH(Assumptions!$C$6,G2434)),Assumptions!$D$6,IF(ISNUMBER(SEARCH(Assumptions!$C$7,G2434)),Assumptions!$D$7,"Other Services"))),"Other Services"))</f>
        <v/>
      </c>
    </row>
    <row r="2435" customFormat="false" ht="15" hidden="false" customHeight="false" outlineLevel="0" collapsed="false">
      <c r="F2435" s="41" t="str">
        <f aca="false">IF(E2435="","",IFERROR(VLOOKUP(E2435,Assumptions!$G$5:$H$16,2,0),"Other"))</f>
        <v/>
      </c>
      <c r="J2435" s="41" t="str">
        <f aca="false">IF(G2435="","",IFERROR(IF(ISNUMBER(SEARCH(Assumptions!$C$5,G2435)),Assumptions!$D$5,IF(ISNUMBER(SEARCH(Assumptions!$C$6,G2435)),Assumptions!$D$6,IF(ISNUMBER(SEARCH(Assumptions!$C$7,G2435)),Assumptions!$D$7,"Other Services"))),"Other Services"))</f>
        <v/>
      </c>
    </row>
    <row r="2436" customFormat="false" ht="15" hidden="false" customHeight="false" outlineLevel="0" collapsed="false">
      <c r="F2436" s="41" t="str">
        <f aca="false">IF(E2436="","",IFERROR(VLOOKUP(E2436,Assumptions!$G$5:$H$16,2,0),"Other"))</f>
        <v/>
      </c>
      <c r="J2436" s="41" t="str">
        <f aca="false">IF(G2436="","",IFERROR(IF(ISNUMBER(SEARCH(Assumptions!$C$5,G2436)),Assumptions!$D$5,IF(ISNUMBER(SEARCH(Assumptions!$C$6,G2436)),Assumptions!$D$6,IF(ISNUMBER(SEARCH(Assumptions!$C$7,G2436)),Assumptions!$D$7,"Other Services"))),"Other Services"))</f>
        <v/>
      </c>
    </row>
    <row r="2437" customFormat="false" ht="15" hidden="false" customHeight="false" outlineLevel="0" collapsed="false">
      <c r="F2437" s="41" t="str">
        <f aca="false">IF(E2437="","",IFERROR(VLOOKUP(E2437,Assumptions!$G$5:$H$16,2,0),"Other"))</f>
        <v/>
      </c>
      <c r="J2437" s="41" t="str">
        <f aca="false">IF(G2437="","",IFERROR(IF(ISNUMBER(SEARCH(Assumptions!$C$5,G2437)),Assumptions!$D$5,IF(ISNUMBER(SEARCH(Assumptions!$C$6,G2437)),Assumptions!$D$6,IF(ISNUMBER(SEARCH(Assumptions!$C$7,G2437)),Assumptions!$D$7,"Other Services"))),"Other Services"))</f>
        <v/>
      </c>
    </row>
    <row r="2438" customFormat="false" ht="15" hidden="false" customHeight="false" outlineLevel="0" collapsed="false">
      <c r="F2438" s="41" t="str">
        <f aca="false">IF(E2438="","",IFERROR(VLOOKUP(E2438,Assumptions!$G$5:$H$16,2,0),"Other"))</f>
        <v/>
      </c>
      <c r="J2438" s="41" t="str">
        <f aca="false">IF(G2438="","",IFERROR(IF(ISNUMBER(SEARCH(Assumptions!$C$5,G2438)),Assumptions!$D$5,IF(ISNUMBER(SEARCH(Assumptions!$C$6,G2438)),Assumptions!$D$6,IF(ISNUMBER(SEARCH(Assumptions!$C$7,G2438)),Assumptions!$D$7,"Other Services"))),"Other Services"))</f>
        <v/>
      </c>
    </row>
    <row r="2439" customFormat="false" ht="15" hidden="false" customHeight="false" outlineLevel="0" collapsed="false">
      <c r="F2439" s="41" t="str">
        <f aca="false">IF(E2439="","",IFERROR(VLOOKUP(E2439,Assumptions!$G$5:$H$16,2,0),"Other"))</f>
        <v/>
      </c>
      <c r="J2439" s="41" t="str">
        <f aca="false">IF(G2439="","",IFERROR(IF(ISNUMBER(SEARCH(Assumptions!$C$5,G2439)),Assumptions!$D$5,IF(ISNUMBER(SEARCH(Assumptions!$C$6,G2439)),Assumptions!$D$6,IF(ISNUMBER(SEARCH(Assumptions!$C$7,G2439)),Assumptions!$D$7,"Other Services"))),"Other Services"))</f>
        <v/>
      </c>
    </row>
    <row r="2440" customFormat="false" ht="15" hidden="false" customHeight="false" outlineLevel="0" collapsed="false">
      <c r="F2440" s="41" t="str">
        <f aca="false">IF(E2440="","",IFERROR(VLOOKUP(E2440,Assumptions!$G$5:$H$16,2,0),"Other"))</f>
        <v/>
      </c>
      <c r="J2440" s="41" t="str">
        <f aca="false">IF(G2440="","",IFERROR(IF(ISNUMBER(SEARCH(Assumptions!$C$5,G2440)),Assumptions!$D$5,IF(ISNUMBER(SEARCH(Assumptions!$C$6,G2440)),Assumptions!$D$6,IF(ISNUMBER(SEARCH(Assumptions!$C$7,G2440)),Assumptions!$D$7,"Other Services"))),"Other Services"))</f>
        <v/>
      </c>
    </row>
    <row r="2441" customFormat="false" ht="15" hidden="false" customHeight="false" outlineLevel="0" collapsed="false">
      <c r="F2441" s="41" t="str">
        <f aca="false">IF(E2441="","",IFERROR(VLOOKUP(E2441,Assumptions!$G$5:$H$16,2,0),"Other"))</f>
        <v/>
      </c>
      <c r="J2441" s="41" t="str">
        <f aca="false">IF(G2441="","",IFERROR(IF(ISNUMBER(SEARCH(Assumptions!$C$5,G2441)),Assumptions!$D$5,IF(ISNUMBER(SEARCH(Assumptions!$C$6,G2441)),Assumptions!$D$6,IF(ISNUMBER(SEARCH(Assumptions!$C$7,G2441)),Assumptions!$D$7,"Other Services"))),"Other Services"))</f>
        <v/>
      </c>
    </row>
    <row r="2442" customFormat="false" ht="15" hidden="false" customHeight="false" outlineLevel="0" collapsed="false">
      <c r="F2442" s="41" t="str">
        <f aca="false">IF(E2442="","",IFERROR(VLOOKUP(E2442,Assumptions!$G$5:$H$16,2,0),"Other"))</f>
        <v/>
      </c>
      <c r="J2442" s="41" t="str">
        <f aca="false">IF(G2442="","",IFERROR(IF(ISNUMBER(SEARCH(Assumptions!$C$5,G2442)),Assumptions!$D$5,IF(ISNUMBER(SEARCH(Assumptions!$C$6,G2442)),Assumptions!$D$6,IF(ISNUMBER(SEARCH(Assumptions!$C$7,G2442)),Assumptions!$D$7,"Other Services"))),"Other Services"))</f>
        <v/>
      </c>
    </row>
    <row r="2443" customFormat="false" ht="15" hidden="false" customHeight="false" outlineLevel="0" collapsed="false">
      <c r="F2443" s="41" t="str">
        <f aca="false">IF(E2443="","",IFERROR(VLOOKUP(E2443,Assumptions!$G$5:$H$16,2,0),"Other"))</f>
        <v/>
      </c>
      <c r="J2443" s="41" t="str">
        <f aca="false">IF(G2443="","",IFERROR(IF(ISNUMBER(SEARCH(Assumptions!$C$5,G2443)),Assumptions!$D$5,IF(ISNUMBER(SEARCH(Assumptions!$C$6,G2443)),Assumptions!$D$6,IF(ISNUMBER(SEARCH(Assumptions!$C$7,G2443)),Assumptions!$D$7,"Other Services"))),"Other Services"))</f>
        <v/>
      </c>
    </row>
    <row r="2444" customFormat="false" ht="15" hidden="false" customHeight="false" outlineLevel="0" collapsed="false">
      <c r="F2444" s="41" t="str">
        <f aca="false">IF(E2444="","",IFERROR(VLOOKUP(E2444,Assumptions!$G$5:$H$16,2,0),"Other"))</f>
        <v/>
      </c>
      <c r="J2444" s="41" t="str">
        <f aca="false">IF(G2444="","",IFERROR(IF(ISNUMBER(SEARCH(Assumptions!$C$5,G2444)),Assumptions!$D$5,IF(ISNUMBER(SEARCH(Assumptions!$C$6,G2444)),Assumptions!$D$6,IF(ISNUMBER(SEARCH(Assumptions!$C$7,G2444)),Assumptions!$D$7,"Other Services"))),"Other Services"))</f>
        <v/>
      </c>
    </row>
    <row r="2445" customFormat="false" ht="15" hidden="false" customHeight="false" outlineLevel="0" collapsed="false">
      <c r="F2445" s="41" t="str">
        <f aca="false">IF(E2445="","",IFERROR(VLOOKUP(E2445,Assumptions!$G$5:$H$16,2,0),"Other"))</f>
        <v/>
      </c>
      <c r="J2445" s="41" t="str">
        <f aca="false">IF(G2445="","",IFERROR(IF(ISNUMBER(SEARCH(Assumptions!$C$5,G2445)),Assumptions!$D$5,IF(ISNUMBER(SEARCH(Assumptions!$C$6,G2445)),Assumptions!$D$6,IF(ISNUMBER(SEARCH(Assumptions!$C$7,G2445)),Assumptions!$D$7,"Other Services"))),"Other Services"))</f>
        <v/>
      </c>
    </row>
    <row r="2446" customFormat="false" ht="15" hidden="false" customHeight="false" outlineLevel="0" collapsed="false">
      <c r="F2446" s="41" t="str">
        <f aca="false">IF(E2446="","",IFERROR(VLOOKUP(E2446,Assumptions!$G$5:$H$16,2,0),"Other"))</f>
        <v/>
      </c>
      <c r="J2446" s="41" t="str">
        <f aca="false">IF(G2446="","",IFERROR(IF(ISNUMBER(SEARCH(Assumptions!$C$5,G2446)),Assumptions!$D$5,IF(ISNUMBER(SEARCH(Assumptions!$C$6,G2446)),Assumptions!$D$6,IF(ISNUMBER(SEARCH(Assumptions!$C$7,G2446)),Assumptions!$D$7,"Other Services"))),"Other Services"))</f>
        <v/>
      </c>
    </row>
    <row r="2447" customFormat="false" ht="15" hidden="false" customHeight="false" outlineLevel="0" collapsed="false">
      <c r="F2447" s="41" t="str">
        <f aca="false">IF(E2447="","",IFERROR(VLOOKUP(E2447,Assumptions!$G$5:$H$16,2,0),"Other"))</f>
        <v/>
      </c>
      <c r="J2447" s="41" t="str">
        <f aca="false">IF(G2447="","",IFERROR(IF(ISNUMBER(SEARCH(Assumptions!$C$5,G2447)),Assumptions!$D$5,IF(ISNUMBER(SEARCH(Assumptions!$C$6,G2447)),Assumptions!$D$6,IF(ISNUMBER(SEARCH(Assumptions!$C$7,G2447)),Assumptions!$D$7,"Other Services"))),"Other Services"))</f>
        <v/>
      </c>
    </row>
    <row r="2448" customFormat="false" ht="15" hidden="false" customHeight="false" outlineLevel="0" collapsed="false">
      <c r="F2448" s="41" t="str">
        <f aca="false">IF(E2448="","",IFERROR(VLOOKUP(E2448,Assumptions!$G$5:$H$16,2,0),"Other"))</f>
        <v/>
      </c>
      <c r="J2448" s="41" t="str">
        <f aca="false">IF(G2448="","",IFERROR(IF(ISNUMBER(SEARCH(Assumptions!$C$5,G2448)),Assumptions!$D$5,IF(ISNUMBER(SEARCH(Assumptions!$C$6,G2448)),Assumptions!$D$6,IF(ISNUMBER(SEARCH(Assumptions!$C$7,G2448)),Assumptions!$D$7,"Other Services"))),"Other Services"))</f>
        <v/>
      </c>
    </row>
    <row r="2449" customFormat="false" ht="15" hidden="false" customHeight="false" outlineLevel="0" collapsed="false">
      <c r="F2449" s="41" t="str">
        <f aca="false">IF(E2449="","",IFERROR(VLOOKUP(E2449,Assumptions!$G$5:$H$16,2,0),"Other"))</f>
        <v/>
      </c>
      <c r="J2449" s="41" t="str">
        <f aca="false">IF(G2449="","",IFERROR(IF(ISNUMBER(SEARCH(Assumptions!$C$5,G2449)),Assumptions!$D$5,IF(ISNUMBER(SEARCH(Assumptions!$C$6,G2449)),Assumptions!$D$6,IF(ISNUMBER(SEARCH(Assumptions!$C$7,G2449)),Assumptions!$D$7,"Other Services"))),"Other Services"))</f>
        <v/>
      </c>
    </row>
    <row r="2450" customFormat="false" ht="15" hidden="false" customHeight="false" outlineLevel="0" collapsed="false">
      <c r="F2450" s="41" t="str">
        <f aca="false">IF(E2450="","",IFERROR(VLOOKUP(E2450,Assumptions!$G$5:$H$16,2,0),"Other"))</f>
        <v/>
      </c>
      <c r="J2450" s="41" t="str">
        <f aca="false">IF(G2450="","",IFERROR(IF(ISNUMBER(SEARCH(Assumptions!$C$5,G2450)),Assumptions!$D$5,IF(ISNUMBER(SEARCH(Assumptions!$C$6,G2450)),Assumptions!$D$6,IF(ISNUMBER(SEARCH(Assumptions!$C$7,G2450)),Assumptions!$D$7,"Other Services"))),"Other Services"))</f>
        <v/>
      </c>
    </row>
    <row r="2451" customFormat="false" ht="15" hidden="false" customHeight="false" outlineLevel="0" collapsed="false">
      <c r="F2451" s="41" t="str">
        <f aca="false">IF(E2451="","",IFERROR(VLOOKUP(E2451,Assumptions!$G$5:$H$16,2,0),"Other"))</f>
        <v/>
      </c>
      <c r="J2451" s="41" t="str">
        <f aca="false">IF(G2451="","",IFERROR(IF(ISNUMBER(SEARCH(Assumptions!$C$5,G2451)),Assumptions!$D$5,IF(ISNUMBER(SEARCH(Assumptions!$C$6,G2451)),Assumptions!$D$6,IF(ISNUMBER(SEARCH(Assumptions!$C$7,G2451)),Assumptions!$D$7,"Other Services"))),"Other Services"))</f>
        <v/>
      </c>
    </row>
    <row r="2452" customFormat="false" ht="15" hidden="false" customHeight="false" outlineLevel="0" collapsed="false">
      <c r="F2452" s="41" t="str">
        <f aca="false">IF(E2452="","",IFERROR(VLOOKUP(E2452,Assumptions!$G$5:$H$16,2,0),"Other"))</f>
        <v/>
      </c>
      <c r="J2452" s="41" t="str">
        <f aca="false">IF(G2452="","",IFERROR(IF(ISNUMBER(SEARCH(Assumptions!$C$5,G2452)),Assumptions!$D$5,IF(ISNUMBER(SEARCH(Assumptions!$C$6,G2452)),Assumptions!$D$6,IF(ISNUMBER(SEARCH(Assumptions!$C$7,G2452)),Assumptions!$D$7,"Other Services"))),"Other Services"))</f>
        <v/>
      </c>
    </row>
    <row r="2453" customFormat="false" ht="15" hidden="false" customHeight="false" outlineLevel="0" collapsed="false">
      <c r="F2453" s="41" t="str">
        <f aca="false">IF(E2453="","",IFERROR(VLOOKUP(E2453,Assumptions!$G$5:$H$16,2,0),"Other"))</f>
        <v/>
      </c>
      <c r="J2453" s="41" t="str">
        <f aca="false">IF(G2453="","",IFERROR(IF(ISNUMBER(SEARCH(Assumptions!$C$5,G2453)),Assumptions!$D$5,IF(ISNUMBER(SEARCH(Assumptions!$C$6,G2453)),Assumptions!$D$6,IF(ISNUMBER(SEARCH(Assumptions!$C$7,G2453)),Assumptions!$D$7,"Other Services"))),"Other Services"))</f>
        <v/>
      </c>
    </row>
    <row r="2454" customFormat="false" ht="15" hidden="false" customHeight="false" outlineLevel="0" collapsed="false">
      <c r="F2454" s="41" t="str">
        <f aca="false">IF(E2454="","",IFERROR(VLOOKUP(E2454,Assumptions!$G$5:$H$16,2,0),"Other"))</f>
        <v/>
      </c>
      <c r="J2454" s="41" t="str">
        <f aca="false">IF(G2454="","",IFERROR(IF(ISNUMBER(SEARCH(Assumptions!$C$5,G2454)),Assumptions!$D$5,IF(ISNUMBER(SEARCH(Assumptions!$C$6,G2454)),Assumptions!$D$6,IF(ISNUMBER(SEARCH(Assumptions!$C$7,G2454)),Assumptions!$D$7,"Other Services"))),"Other Services"))</f>
        <v/>
      </c>
    </row>
    <row r="2455" customFormat="false" ht="15" hidden="false" customHeight="false" outlineLevel="0" collapsed="false">
      <c r="F2455" s="41" t="str">
        <f aca="false">IF(E2455="","",IFERROR(VLOOKUP(E2455,Assumptions!$G$5:$H$16,2,0),"Other"))</f>
        <v/>
      </c>
      <c r="J2455" s="41" t="str">
        <f aca="false">IF(G2455="","",IFERROR(IF(ISNUMBER(SEARCH(Assumptions!$C$5,G2455)),Assumptions!$D$5,IF(ISNUMBER(SEARCH(Assumptions!$C$6,G2455)),Assumptions!$D$6,IF(ISNUMBER(SEARCH(Assumptions!$C$7,G2455)),Assumptions!$D$7,"Other Services"))),"Other Services"))</f>
        <v/>
      </c>
    </row>
    <row r="2456" customFormat="false" ht="15" hidden="false" customHeight="false" outlineLevel="0" collapsed="false">
      <c r="F2456" s="41" t="str">
        <f aca="false">IF(E2456="","",IFERROR(VLOOKUP(E2456,Assumptions!$G$5:$H$16,2,0),"Other"))</f>
        <v/>
      </c>
      <c r="J2456" s="41" t="str">
        <f aca="false">IF(G2456="","",IFERROR(IF(ISNUMBER(SEARCH(Assumptions!$C$5,G2456)),Assumptions!$D$5,IF(ISNUMBER(SEARCH(Assumptions!$C$6,G2456)),Assumptions!$D$6,IF(ISNUMBER(SEARCH(Assumptions!$C$7,G2456)),Assumptions!$D$7,"Other Services"))),"Other Services"))</f>
        <v/>
      </c>
    </row>
    <row r="2457" customFormat="false" ht="15" hidden="false" customHeight="false" outlineLevel="0" collapsed="false">
      <c r="F2457" s="41" t="str">
        <f aca="false">IF(E2457="","",IFERROR(VLOOKUP(E2457,Assumptions!$G$5:$H$16,2,0),"Other"))</f>
        <v/>
      </c>
      <c r="J2457" s="41" t="str">
        <f aca="false">IF(G2457="","",IFERROR(IF(ISNUMBER(SEARCH(Assumptions!$C$5,G2457)),Assumptions!$D$5,IF(ISNUMBER(SEARCH(Assumptions!$C$6,G2457)),Assumptions!$D$6,IF(ISNUMBER(SEARCH(Assumptions!$C$7,G2457)),Assumptions!$D$7,"Other Services"))),"Other Services"))</f>
        <v/>
      </c>
    </row>
    <row r="2458" customFormat="false" ht="15" hidden="false" customHeight="false" outlineLevel="0" collapsed="false">
      <c r="F2458" s="41" t="str">
        <f aca="false">IF(E2458="","",IFERROR(VLOOKUP(E2458,Assumptions!$G$5:$H$16,2,0),"Other"))</f>
        <v/>
      </c>
      <c r="J2458" s="41" t="str">
        <f aca="false">IF(G2458="","",IFERROR(IF(ISNUMBER(SEARCH(Assumptions!$C$5,G2458)),Assumptions!$D$5,IF(ISNUMBER(SEARCH(Assumptions!$C$6,G2458)),Assumptions!$D$6,IF(ISNUMBER(SEARCH(Assumptions!$C$7,G2458)),Assumptions!$D$7,"Other Services"))),"Other Services"))</f>
        <v/>
      </c>
    </row>
    <row r="2459" customFormat="false" ht="15" hidden="false" customHeight="false" outlineLevel="0" collapsed="false">
      <c r="F2459" s="41" t="str">
        <f aca="false">IF(E2459="","",IFERROR(VLOOKUP(E2459,Assumptions!$G$5:$H$16,2,0),"Other"))</f>
        <v/>
      </c>
      <c r="J2459" s="41" t="str">
        <f aca="false">IF(G2459="","",IFERROR(IF(ISNUMBER(SEARCH(Assumptions!$C$5,G2459)),Assumptions!$D$5,IF(ISNUMBER(SEARCH(Assumptions!$C$6,G2459)),Assumptions!$D$6,IF(ISNUMBER(SEARCH(Assumptions!$C$7,G2459)),Assumptions!$D$7,"Other Services"))),"Other Services"))</f>
        <v/>
      </c>
    </row>
    <row r="2460" customFormat="false" ht="15" hidden="false" customHeight="false" outlineLevel="0" collapsed="false">
      <c r="F2460" s="41" t="str">
        <f aca="false">IF(E2460="","",IFERROR(VLOOKUP(E2460,Assumptions!$G$5:$H$16,2,0),"Other"))</f>
        <v/>
      </c>
      <c r="J2460" s="41" t="str">
        <f aca="false">IF(G2460="","",IFERROR(IF(ISNUMBER(SEARCH(Assumptions!$C$5,G2460)),Assumptions!$D$5,IF(ISNUMBER(SEARCH(Assumptions!$C$6,G2460)),Assumptions!$D$6,IF(ISNUMBER(SEARCH(Assumptions!$C$7,G2460)),Assumptions!$D$7,"Other Services"))),"Other Services"))</f>
        <v/>
      </c>
    </row>
    <row r="2461" customFormat="false" ht="15" hidden="false" customHeight="false" outlineLevel="0" collapsed="false">
      <c r="F2461" s="41" t="str">
        <f aca="false">IF(E2461="","",IFERROR(VLOOKUP(E2461,Assumptions!$G$5:$H$16,2,0),"Other"))</f>
        <v/>
      </c>
      <c r="J2461" s="41" t="str">
        <f aca="false">IF(G2461="","",IFERROR(IF(ISNUMBER(SEARCH(Assumptions!$C$5,G2461)),Assumptions!$D$5,IF(ISNUMBER(SEARCH(Assumptions!$C$6,G2461)),Assumptions!$D$6,IF(ISNUMBER(SEARCH(Assumptions!$C$7,G2461)),Assumptions!$D$7,"Other Services"))),"Other Services"))</f>
        <v/>
      </c>
    </row>
    <row r="2462" customFormat="false" ht="15" hidden="false" customHeight="false" outlineLevel="0" collapsed="false">
      <c r="F2462" s="41" t="str">
        <f aca="false">IF(E2462="","",IFERROR(VLOOKUP(E2462,Assumptions!$G$5:$H$16,2,0),"Other"))</f>
        <v/>
      </c>
      <c r="J2462" s="41" t="str">
        <f aca="false">IF(G2462="","",IFERROR(IF(ISNUMBER(SEARCH(Assumptions!$C$5,G2462)),Assumptions!$D$5,IF(ISNUMBER(SEARCH(Assumptions!$C$6,G2462)),Assumptions!$D$6,IF(ISNUMBER(SEARCH(Assumptions!$C$7,G2462)),Assumptions!$D$7,"Other Services"))),"Other Services"))</f>
        <v/>
      </c>
    </row>
    <row r="2463" customFormat="false" ht="15" hidden="false" customHeight="false" outlineLevel="0" collapsed="false">
      <c r="F2463" s="41" t="str">
        <f aca="false">IF(E2463="","",IFERROR(VLOOKUP(E2463,Assumptions!$G$5:$H$16,2,0),"Other"))</f>
        <v/>
      </c>
      <c r="J2463" s="41" t="str">
        <f aca="false">IF(G2463="","",IFERROR(IF(ISNUMBER(SEARCH(Assumptions!$C$5,G2463)),Assumptions!$D$5,IF(ISNUMBER(SEARCH(Assumptions!$C$6,G2463)),Assumptions!$D$6,IF(ISNUMBER(SEARCH(Assumptions!$C$7,G2463)),Assumptions!$D$7,"Other Services"))),"Other Services"))</f>
        <v/>
      </c>
    </row>
    <row r="2464" customFormat="false" ht="15" hidden="false" customHeight="false" outlineLevel="0" collapsed="false">
      <c r="F2464" s="41" t="str">
        <f aca="false">IF(E2464="","",IFERROR(VLOOKUP(E2464,Assumptions!$G$5:$H$16,2,0),"Other"))</f>
        <v/>
      </c>
      <c r="J2464" s="41" t="str">
        <f aca="false">IF(G2464="","",IFERROR(IF(ISNUMBER(SEARCH(Assumptions!$C$5,G2464)),Assumptions!$D$5,IF(ISNUMBER(SEARCH(Assumptions!$C$6,G2464)),Assumptions!$D$6,IF(ISNUMBER(SEARCH(Assumptions!$C$7,G2464)),Assumptions!$D$7,"Other Services"))),"Other Services"))</f>
        <v/>
      </c>
    </row>
    <row r="2465" customFormat="false" ht="15" hidden="false" customHeight="false" outlineLevel="0" collapsed="false">
      <c r="F2465" s="41" t="str">
        <f aca="false">IF(E2465="","",IFERROR(VLOOKUP(E2465,Assumptions!$G$5:$H$16,2,0),"Other"))</f>
        <v/>
      </c>
      <c r="J2465" s="41" t="str">
        <f aca="false">IF(G2465="","",IFERROR(IF(ISNUMBER(SEARCH(Assumptions!$C$5,G2465)),Assumptions!$D$5,IF(ISNUMBER(SEARCH(Assumptions!$C$6,G2465)),Assumptions!$D$6,IF(ISNUMBER(SEARCH(Assumptions!$C$7,G2465)),Assumptions!$D$7,"Other Services"))),"Other Services"))</f>
        <v/>
      </c>
    </row>
    <row r="2466" customFormat="false" ht="15" hidden="false" customHeight="false" outlineLevel="0" collapsed="false">
      <c r="F2466" s="41" t="str">
        <f aca="false">IF(E2466="","",IFERROR(VLOOKUP(E2466,Assumptions!$G$5:$H$16,2,0),"Other"))</f>
        <v/>
      </c>
      <c r="J2466" s="41" t="str">
        <f aca="false">IF(G2466="","",IFERROR(IF(ISNUMBER(SEARCH(Assumptions!$C$5,G2466)),Assumptions!$D$5,IF(ISNUMBER(SEARCH(Assumptions!$C$6,G2466)),Assumptions!$D$6,IF(ISNUMBER(SEARCH(Assumptions!$C$7,G2466)),Assumptions!$D$7,"Other Services"))),"Other Services"))</f>
        <v/>
      </c>
    </row>
    <row r="2467" customFormat="false" ht="15" hidden="false" customHeight="false" outlineLevel="0" collapsed="false">
      <c r="F2467" s="41" t="str">
        <f aca="false">IF(E2467="","",IFERROR(VLOOKUP(E2467,Assumptions!$G$5:$H$16,2,0),"Other"))</f>
        <v/>
      </c>
      <c r="J2467" s="41" t="str">
        <f aca="false">IF(G2467="","",IFERROR(IF(ISNUMBER(SEARCH(Assumptions!$C$5,G2467)),Assumptions!$D$5,IF(ISNUMBER(SEARCH(Assumptions!$C$6,G2467)),Assumptions!$D$6,IF(ISNUMBER(SEARCH(Assumptions!$C$7,G2467)),Assumptions!$D$7,"Other Services"))),"Other Services"))</f>
        <v/>
      </c>
    </row>
    <row r="2468" customFormat="false" ht="15" hidden="false" customHeight="false" outlineLevel="0" collapsed="false">
      <c r="F2468" s="41" t="str">
        <f aca="false">IF(E2468="","",IFERROR(VLOOKUP(E2468,Assumptions!$G$5:$H$16,2,0),"Other"))</f>
        <v/>
      </c>
      <c r="J2468" s="41" t="str">
        <f aca="false">IF(G2468="","",IFERROR(IF(ISNUMBER(SEARCH(Assumptions!$C$5,G2468)),Assumptions!$D$5,IF(ISNUMBER(SEARCH(Assumptions!$C$6,G2468)),Assumptions!$D$6,IF(ISNUMBER(SEARCH(Assumptions!$C$7,G2468)),Assumptions!$D$7,"Other Services"))),"Other Services"))</f>
        <v/>
      </c>
    </row>
    <row r="2469" customFormat="false" ht="15" hidden="false" customHeight="false" outlineLevel="0" collapsed="false">
      <c r="F2469" s="41" t="str">
        <f aca="false">IF(E2469="","",IFERROR(VLOOKUP(E2469,Assumptions!$G$5:$H$16,2,0),"Other"))</f>
        <v/>
      </c>
      <c r="J2469" s="41" t="str">
        <f aca="false">IF(G2469="","",IFERROR(IF(ISNUMBER(SEARCH(Assumptions!$C$5,G2469)),Assumptions!$D$5,IF(ISNUMBER(SEARCH(Assumptions!$C$6,G2469)),Assumptions!$D$6,IF(ISNUMBER(SEARCH(Assumptions!$C$7,G2469)),Assumptions!$D$7,"Other Services"))),"Other Services"))</f>
        <v/>
      </c>
    </row>
    <row r="2470" customFormat="false" ht="15" hidden="false" customHeight="false" outlineLevel="0" collapsed="false">
      <c r="F2470" s="41" t="str">
        <f aca="false">IF(E2470="","",IFERROR(VLOOKUP(E2470,Assumptions!$G$5:$H$16,2,0),"Other"))</f>
        <v/>
      </c>
      <c r="J2470" s="41" t="str">
        <f aca="false">IF(G2470="","",IFERROR(IF(ISNUMBER(SEARCH(Assumptions!$C$5,G2470)),Assumptions!$D$5,IF(ISNUMBER(SEARCH(Assumptions!$C$6,G2470)),Assumptions!$D$6,IF(ISNUMBER(SEARCH(Assumptions!$C$7,G2470)),Assumptions!$D$7,"Other Services"))),"Other Services"))</f>
        <v/>
      </c>
    </row>
    <row r="2471" customFormat="false" ht="15" hidden="false" customHeight="false" outlineLevel="0" collapsed="false">
      <c r="F2471" s="41" t="str">
        <f aca="false">IF(E2471="","",IFERROR(VLOOKUP(E2471,Assumptions!$G$5:$H$16,2,0),"Other"))</f>
        <v/>
      </c>
      <c r="J2471" s="41" t="str">
        <f aca="false">IF(G2471="","",IFERROR(IF(ISNUMBER(SEARCH(Assumptions!$C$5,G2471)),Assumptions!$D$5,IF(ISNUMBER(SEARCH(Assumptions!$C$6,G2471)),Assumptions!$D$6,IF(ISNUMBER(SEARCH(Assumptions!$C$7,G2471)),Assumptions!$D$7,"Other Services"))),"Other Services"))</f>
        <v/>
      </c>
    </row>
    <row r="2472" customFormat="false" ht="15" hidden="false" customHeight="false" outlineLevel="0" collapsed="false">
      <c r="F2472" s="41" t="str">
        <f aca="false">IF(E2472="","",IFERROR(VLOOKUP(E2472,Assumptions!$G$5:$H$16,2,0),"Other"))</f>
        <v/>
      </c>
      <c r="J2472" s="41" t="str">
        <f aca="false">IF(G2472="","",IFERROR(IF(ISNUMBER(SEARCH(Assumptions!$C$5,G2472)),Assumptions!$D$5,IF(ISNUMBER(SEARCH(Assumptions!$C$6,G2472)),Assumptions!$D$6,IF(ISNUMBER(SEARCH(Assumptions!$C$7,G2472)),Assumptions!$D$7,"Other Services"))),"Other Services"))</f>
        <v/>
      </c>
    </row>
    <row r="2473" customFormat="false" ht="15" hidden="false" customHeight="false" outlineLevel="0" collapsed="false">
      <c r="F2473" s="41" t="str">
        <f aca="false">IF(E2473="","",IFERROR(VLOOKUP(E2473,Assumptions!$G$5:$H$16,2,0),"Other"))</f>
        <v/>
      </c>
      <c r="J2473" s="41" t="str">
        <f aca="false">IF(G2473="","",IFERROR(IF(ISNUMBER(SEARCH(Assumptions!$C$5,G2473)),Assumptions!$D$5,IF(ISNUMBER(SEARCH(Assumptions!$C$6,G2473)),Assumptions!$D$6,IF(ISNUMBER(SEARCH(Assumptions!$C$7,G2473)),Assumptions!$D$7,"Other Services"))),"Other Services"))</f>
        <v/>
      </c>
    </row>
    <row r="2474" customFormat="false" ht="15" hidden="false" customHeight="false" outlineLevel="0" collapsed="false">
      <c r="F2474" s="41" t="str">
        <f aca="false">IF(E2474="","",IFERROR(VLOOKUP(E2474,Assumptions!$G$5:$H$16,2,0),"Other"))</f>
        <v/>
      </c>
      <c r="J2474" s="41" t="str">
        <f aca="false">IF(G2474="","",IFERROR(IF(ISNUMBER(SEARCH(Assumptions!$C$5,G2474)),Assumptions!$D$5,IF(ISNUMBER(SEARCH(Assumptions!$C$6,G2474)),Assumptions!$D$6,IF(ISNUMBER(SEARCH(Assumptions!$C$7,G2474)),Assumptions!$D$7,"Other Services"))),"Other Services"))</f>
        <v/>
      </c>
    </row>
    <row r="2475" customFormat="false" ht="15" hidden="false" customHeight="false" outlineLevel="0" collapsed="false">
      <c r="F2475" s="41" t="str">
        <f aca="false">IF(E2475="","",IFERROR(VLOOKUP(E2475,Assumptions!$G$5:$H$16,2,0),"Other"))</f>
        <v/>
      </c>
      <c r="J2475" s="41" t="str">
        <f aca="false">IF(G2475="","",IFERROR(IF(ISNUMBER(SEARCH(Assumptions!$C$5,G2475)),Assumptions!$D$5,IF(ISNUMBER(SEARCH(Assumptions!$C$6,G2475)),Assumptions!$D$6,IF(ISNUMBER(SEARCH(Assumptions!$C$7,G2475)),Assumptions!$D$7,"Other Services"))),"Other Services"))</f>
        <v/>
      </c>
    </row>
    <row r="2476" customFormat="false" ht="15" hidden="false" customHeight="false" outlineLevel="0" collapsed="false">
      <c r="F2476" s="41" t="str">
        <f aca="false">IF(E2476="","",IFERROR(VLOOKUP(E2476,Assumptions!$G$5:$H$16,2,0),"Other"))</f>
        <v/>
      </c>
      <c r="J2476" s="41" t="str">
        <f aca="false">IF(G2476="","",IFERROR(IF(ISNUMBER(SEARCH(Assumptions!$C$5,G2476)),Assumptions!$D$5,IF(ISNUMBER(SEARCH(Assumptions!$C$6,G2476)),Assumptions!$D$6,IF(ISNUMBER(SEARCH(Assumptions!$C$7,G2476)),Assumptions!$D$7,"Other Services"))),"Other Services"))</f>
        <v/>
      </c>
    </row>
    <row r="2477" customFormat="false" ht="15" hidden="false" customHeight="false" outlineLevel="0" collapsed="false">
      <c r="F2477" s="41" t="str">
        <f aca="false">IF(E2477="","",IFERROR(VLOOKUP(E2477,Assumptions!$G$5:$H$16,2,0),"Other"))</f>
        <v/>
      </c>
      <c r="J2477" s="41" t="str">
        <f aca="false">IF(G2477="","",IFERROR(IF(ISNUMBER(SEARCH(Assumptions!$C$5,G2477)),Assumptions!$D$5,IF(ISNUMBER(SEARCH(Assumptions!$C$6,G2477)),Assumptions!$D$6,IF(ISNUMBER(SEARCH(Assumptions!$C$7,G2477)),Assumptions!$D$7,"Other Services"))),"Other Services"))</f>
        <v/>
      </c>
    </row>
    <row r="2478" customFormat="false" ht="15" hidden="false" customHeight="false" outlineLevel="0" collapsed="false">
      <c r="F2478" s="41" t="str">
        <f aca="false">IF(E2478="","",IFERROR(VLOOKUP(E2478,Assumptions!$G$5:$H$16,2,0),"Other"))</f>
        <v/>
      </c>
      <c r="J2478" s="41" t="str">
        <f aca="false">IF(G2478="","",IFERROR(IF(ISNUMBER(SEARCH(Assumptions!$C$5,G2478)),Assumptions!$D$5,IF(ISNUMBER(SEARCH(Assumptions!$C$6,G2478)),Assumptions!$D$6,IF(ISNUMBER(SEARCH(Assumptions!$C$7,G2478)),Assumptions!$D$7,"Other Services"))),"Other Services"))</f>
        <v/>
      </c>
    </row>
    <row r="2479" customFormat="false" ht="15" hidden="false" customHeight="false" outlineLevel="0" collapsed="false">
      <c r="F2479" s="41" t="str">
        <f aca="false">IF(E2479="","",IFERROR(VLOOKUP(E2479,Assumptions!$G$5:$H$16,2,0),"Other"))</f>
        <v/>
      </c>
      <c r="J2479" s="41" t="str">
        <f aca="false">IF(G2479="","",IFERROR(IF(ISNUMBER(SEARCH(Assumptions!$C$5,G2479)),Assumptions!$D$5,IF(ISNUMBER(SEARCH(Assumptions!$C$6,G2479)),Assumptions!$D$6,IF(ISNUMBER(SEARCH(Assumptions!$C$7,G2479)),Assumptions!$D$7,"Other Services"))),"Other Services"))</f>
        <v/>
      </c>
    </row>
    <row r="2480" customFormat="false" ht="15" hidden="false" customHeight="false" outlineLevel="0" collapsed="false">
      <c r="F2480" s="41" t="str">
        <f aca="false">IF(E2480="","",IFERROR(VLOOKUP(E2480,Assumptions!$G$5:$H$16,2,0),"Other"))</f>
        <v/>
      </c>
      <c r="J2480" s="41" t="str">
        <f aca="false">IF(G2480="","",IFERROR(IF(ISNUMBER(SEARCH(Assumptions!$C$5,G2480)),Assumptions!$D$5,IF(ISNUMBER(SEARCH(Assumptions!$C$6,G2480)),Assumptions!$D$6,IF(ISNUMBER(SEARCH(Assumptions!$C$7,G2480)),Assumptions!$D$7,"Other Services"))),"Other Services"))</f>
        <v/>
      </c>
    </row>
    <row r="2481" customFormat="false" ht="15" hidden="false" customHeight="false" outlineLevel="0" collapsed="false">
      <c r="F2481" s="41" t="str">
        <f aca="false">IF(E2481="","",IFERROR(VLOOKUP(E2481,Assumptions!$G$5:$H$16,2,0),"Other"))</f>
        <v/>
      </c>
      <c r="J2481" s="41" t="str">
        <f aca="false">IF(G2481="","",IFERROR(IF(ISNUMBER(SEARCH(Assumptions!$C$5,G2481)),Assumptions!$D$5,IF(ISNUMBER(SEARCH(Assumptions!$C$6,G2481)),Assumptions!$D$6,IF(ISNUMBER(SEARCH(Assumptions!$C$7,G2481)),Assumptions!$D$7,"Other Services"))),"Other Services"))</f>
        <v/>
      </c>
    </row>
    <row r="2482" customFormat="false" ht="15" hidden="false" customHeight="false" outlineLevel="0" collapsed="false">
      <c r="F2482" s="41" t="str">
        <f aca="false">IF(E2482="","",IFERROR(VLOOKUP(E2482,Assumptions!$G$5:$H$16,2,0),"Other"))</f>
        <v/>
      </c>
      <c r="J2482" s="41" t="str">
        <f aca="false">IF(G2482="","",IFERROR(IF(ISNUMBER(SEARCH(Assumptions!$C$5,G2482)),Assumptions!$D$5,IF(ISNUMBER(SEARCH(Assumptions!$C$6,G2482)),Assumptions!$D$6,IF(ISNUMBER(SEARCH(Assumptions!$C$7,G2482)),Assumptions!$D$7,"Other Services"))),"Other Services"))</f>
        <v/>
      </c>
    </row>
    <row r="2483" customFormat="false" ht="15" hidden="false" customHeight="false" outlineLevel="0" collapsed="false">
      <c r="F2483" s="41" t="str">
        <f aca="false">IF(E2483="","",IFERROR(VLOOKUP(E2483,Assumptions!$G$5:$H$16,2,0),"Other"))</f>
        <v/>
      </c>
      <c r="J2483" s="41" t="str">
        <f aca="false">IF(G2483="","",IFERROR(IF(ISNUMBER(SEARCH(Assumptions!$C$5,G2483)),Assumptions!$D$5,IF(ISNUMBER(SEARCH(Assumptions!$C$6,G2483)),Assumptions!$D$6,IF(ISNUMBER(SEARCH(Assumptions!$C$7,G2483)),Assumptions!$D$7,"Other Services"))),"Other Services"))</f>
        <v/>
      </c>
    </row>
    <row r="2484" customFormat="false" ht="15" hidden="false" customHeight="false" outlineLevel="0" collapsed="false">
      <c r="F2484" s="41" t="str">
        <f aca="false">IF(E2484="","",IFERROR(VLOOKUP(E2484,Assumptions!$G$5:$H$16,2,0),"Other"))</f>
        <v/>
      </c>
      <c r="J2484" s="41" t="str">
        <f aca="false">IF(G2484="","",IFERROR(IF(ISNUMBER(SEARCH(Assumptions!$C$5,G2484)),Assumptions!$D$5,IF(ISNUMBER(SEARCH(Assumptions!$C$6,G2484)),Assumptions!$D$6,IF(ISNUMBER(SEARCH(Assumptions!$C$7,G2484)),Assumptions!$D$7,"Other Services"))),"Other Services"))</f>
        <v/>
      </c>
    </row>
    <row r="2485" customFormat="false" ht="15" hidden="false" customHeight="false" outlineLevel="0" collapsed="false">
      <c r="F2485" s="41" t="str">
        <f aca="false">IF(E2485="","",IFERROR(VLOOKUP(E2485,Assumptions!$G$5:$H$16,2,0),"Other"))</f>
        <v/>
      </c>
      <c r="J2485" s="41" t="str">
        <f aca="false">IF(G2485="","",IFERROR(IF(ISNUMBER(SEARCH(Assumptions!$C$5,G2485)),Assumptions!$D$5,IF(ISNUMBER(SEARCH(Assumptions!$C$6,G2485)),Assumptions!$D$6,IF(ISNUMBER(SEARCH(Assumptions!$C$7,G2485)),Assumptions!$D$7,"Other Services"))),"Other Services"))</f>
        <v/>
      </c>
    </row>
    <row r="2486" customFormat="false" ht="15" hidden="false" customHeight="false" outlineLevel="0" collapsed="false">
      <c r="F2486" s="41" t="str">
        <f aca="false">IF(E2486="","",IFERROR(VLOOKUP(E2486,Assumptions!$G$5:$H$16,2,0),"Other"))</f>
        <v/>
      </c>
      <c r="J2486" s="41" t="str">
        <f aca="false">IF(G2486="","",IFERROR(IF(ISNUMBER(SEARCH(Assumptions!$C$5,G2486)),Assumptions!$D$5,IF(ISNUMBER(SEARCH(Assumptions!$C$6,G2486)),Assumptions!$D$6,IF(ISNUMBER(SEARCH(Assumptions!$C$7,G2486)),Assumptions!$D$7,"Other Services"))),"Other Services"))</f>
        <v/>
      </c>
    </row>
    <row r="2487" customFormat="false" ht="15" hidden="false" customHeight="false" outlineLevel="0" collapsed="false">
      <c r="F2487" s="41" t="str">
        <f aca="false">IF(E2487="","",IFERROR(VLOOKUP(E2487,Assumptions!$G$5:$H$16,2,0),"Other"))</f>
        <v/>
      </c>
      <c r="J2487" s="41" t="str">
        <f aca="false">IF(G2487="","",IFERROR(IF(ISNUMBER(SEARCH(Assumptions!$C$5,G2487)),Assumptions!$D$5,IF(ISNUMBER(SEARCH(Assumptions!$C$6,G2487)),Assumptions!$D$6,IF(ISNUMBER(SEARCH(Assumptions!$C$7,G2487)),Assumptions!$D$7,"Other Services"))),"Other Services"))</f>
        <v/>
      </c>
    </row>
    <row r="2488" customFormat="false" ht="15" hidden="false" customHeight="false" outlineLevel="0" collapsed="false">
      <c r="F2488" s="41" t="str">
        <f aca="false">IF(E2488="","",IFERROR(VLOOKUP(E2488,Assumptions!$G$5:$H$16,2,0),"Other"))</f>
        <v/>
      </c>
      <c r="J2488" s="41" t="str">
        <f aca="false">IF(G2488="","",IFERROR(IF(ISNUMBER(SEARCH(Assumptions!$C$5,G2488)),Assumptions!$D$5,IF(ISNUMBER(SEARCH(Assumptions!$C$6,G2488)),Assumptions!$D$6,IF(ISNUMBER(SEARCH(Assumptions!$C$7,G2488)),Assumptions!$D$7,"Other Services"))),"Other Services"))</f>
        <v/>
      </c>
    </row>
    <row r="2489" customFormat="false" ht="15" hidden="false" customHeight="false" outlineLevel="0" collapsed="false">
      <c r="F2489" s="41" t="str">
        <f aca="false">IF(E2489="","",IFERROR(VLOOKUP(E2489,Assumptions!$G$5:$H$16,2,0),"Other"))</f>
        <v/>
      </c>
      <c r="J2489" s="41" t="str">
        <f aca="false">IF(G2489="","",IFERROR(IF(ISNUMBER(SEARCH(Assumptions!$C$5,G2489)),Assumptions!$D$5,IF(ISNUMBER(SEARCH(Assumptions!$C$6,G2489)),Assumptions!$D$6,IF(ISNUMBER(SEARCH(Assumptions!$C$7,G2489)),Assumptions!$D$7,"Other Services"))),"Other Services"))</f>
        <v/>
      </c>
    </row>
    <row r="2490" customFormat="false" ht="15" hidden="false" customHeight="false" outlineLevel="0" collapsed="false">
      <c r="F2490" s="41" t="str">
        <f aca="false">IF(E2490="","",IFERROR(VLOOKUP(E2490,Assumptions!$G$5:$H$16,2,0),"Other"))</f>
        <v/>
      </c>
      <c r="J2490" s="41" t="str">
        <f aca="false">IF(G2490="","",IFERROR(IF(ISNUMBER(SEARCH(Assumptions!$C$5,G2490)),Assumptions!$D$5,IF(ISNUMBER(SEARCH(Assumptions!$C$6,G2490)),Assumptions!$D$6,IF(ISNUMBER(SEARCH(Assumptions!$C$7,G2490)),Assumptions!$D$7,"Other Services"))),"Other Services"))</f>
        <v/>
      </c>
    </row>
    <row r="2491" customFormat="false" ht="15" hidden="false" customHeight="false" outlineLevel="0" collapsed="false">
      <c r="F2491" s="41" t="str">
        <f aca="false">IF(E2491="","",IFERROR(VLOOKUP(E2491,Assumptions!$G$5:$H$16,2,0),"Other"))</f>
        <v/>
      </c>
      <c r="J2491" s="41" t="str">
        <f aca="false">IF(G2491="","",IFERROR(IF(ISNUMBER(SEARCH(Assumptions!$C$5,G2491)),Assumptions!$D$5,IF(ISNUMBER(SEARCH(Assumptions!$C$6,G2491)),Assumptions!$D$6,IF(ISNUMBER(SEARCH(Assumptions!$C$7,G2491)),Assumptions!$D$7,"Other Services"))),"Other Services"))</f>
        <v/>
      </c>
    </row>
    <row r="2492" customFormat="false" ht="15" hidden="false" customHeight="false" outlineLevel="0" collapsed="false">
      <c r="F2492" s="41" t="str">
        <f aca="false">IF(E2492="","",IFERROR(VLOOKUP(E2492,Assumptions!$G$5:$H$16,2,0),"Other"))</f>
        <v/>
      </c>
      <c r="J2492" s="41" t="str">
        <f aca="false">IF(G2492="","",IFERROR(IF(ISNUMBER(SEARCH(Assumptions!$C$5,G2492)),Assumptions!$D$5,IF(ISNUMBER(SEARCH(Assumptions!$C$6,G2492)),Assumptions!$D$6,IF(ISNUMBER(SEARCH(Assumptions!$C$7,G2492)),Assumptions!$D$7,"Other Services"))),"Other Services"))</f>
        <v/>
      </c>
    </row>
    <row r="2493" customFormat="false" ht="15" hidden="false" customHeight="false" outlineLevel="0" collapsed="false">
      <c r="F2493" s="41" t="str">
        <f aca="false">IF(E2493="","",IFERROR(VLOOKUP(E2493,Assumptions!$G$5:$H$16,2,0),"Other"))</f>
        <v/>
      </c>
      <c r="J2493" s="41" t="str">
        <f aca="false">IF(G2493="","",IFERROR(IF(ISNUMBER(SEARCH(Assumptions!$C$5,G2493)),Assumptions!$D$5,IF(ISNUMBER(SEARCH(Assumptions!$C$6,G2493)),Assumptions!$D$6,IF(ISNUMBER(SEARCH(Assumptions!$C$7,G2493)),Assumptions!$D$7,"Other Services"))),"Other Services"))</f>
        <v/>
      </c>
    </row>
    <row r="2494" customFormat="false" ht="15" hidden="false" customHeight="false" outlineLevel="0" collapsed="false">
      <c r="F2494" s="41" t="str">
        <f aca="false">IF(E2494="","",IFERROR(VLOOKUP(E2494,Assumptions!$G$5:$H$16,2,0),"Other"))</f>
        <v/>
      </c>
      <c r="J2494" s="41" t="str">
        <f aca="false">IF(G2494="","",IFERROR(IF(ISNUMBER(SEARCH(Assumptions!$C$5,G2494)),Assumptions!$D$5,IF(ISNUMBER(SEARCH(Assumptions!$C$6,G2494)),Assumptions!$D$6,IF(ISNUMBER(SEARCH(Assumptions!$C$7,G2494)),Assumptions!$D$7,"Other Services"))),"Other Services"))</f>
        <v/>
      </c>
    </row>
    <row r="2495" customFormat="false" ht="15" hidden="false" customHeight="false" outlineLevel="0" collapsed="false">
      <c r="F2495" s="41" t="str">
        <f aca="false">IF(E2495="","",IFERROR(VLOOKUP(E2495,Assumptions!$G$5:$H$16,2,0),"Other"))</f>
        <v/>
      </c>
      <c r="J2495" s="41" t="str">
        <f aca="false">IF(G2495="","",IFERROR(IF(ISNUMBER(SEARCH(Assumptions!$C$5,G2495)),Assumptions!$D$5,IF(ISNUMBER(SEARCH(Assumptions!$C$6,G2495)),Assumptions!$D$6,IF(ISNUMBER(SEARCH(Assumptions!$C$7,G2495)),Assumptions!$D$7,"Other Services"))),"Other Services"))</f>
        <v/>
      </c>
    </row>
    <row r="2496" customFormat="false" ht="15" hidden="false" customHeight="false" outlineLevel="0" collapsed="false">
      <c r="F2496" s="41" t="str">
        <f aca="false">IF(E2496="","",IFERROR(VLOOKUP(E2496,Assumptions!$G$5:$H$16,2,0),"Other"))</f>
        <v/>
      </c>
      <c r="J2496" s="41" t="str">
        <f aca="false">IF(G2496="","",IFERROR(IF(ISNUMBER(SEARCH(Assumptions!$C$5,G2496)),Assumptions!$D$5,IF(ISNUMBER(SEARCH(Assumptions!$C$6,G2496)),Assumptions!$D$6,IF(ISNUMBER(SEARCH(Assumptions!$C$7,G2496)),Assumptions!$D$7,"Other Services"))),"Other Services"))</f>
        <v/>
      </c>
    </row>
    <row r="2497" customFormat="false" ht="15" hidden="false" customHeight="false" outlineLevel="0" collapsed="false">
      <c r="F2497" s="41" t="str">
        <f aca="false">IF(E2497="","",IFERROR(VLOOKUP(E2497,Assumptions!$G$5:$H$16,2,0),"Other"))</f>
        <v/>
      </c>
      <c r="J2497" s="41" t="str">
        <f aca="false">IF(G2497="","",IFERROR(IF(ISNUMBER(SEARCH(Assumptions!$C$5,G2497)),Assumptions!$D$5,IF(ISNUMBER(SEARCH(Assumptions!$C$6,G2497)),Assumptions!$D$6,IF(ISNUMBER(SEARCH(Assumptions!$C$7,G2497)),Assumptions!$D$7,"Other Services"))),"Other Services"))</f>
        <v/>
      </c>
    </row>
    <row r="2498" customFormat="false" ht="15" hidden="false" customHeight="false" outlineLevel="0" collapsed="false">
      <c r="F2498" s="41" t="str">
        <f aca="false">IF(E2498="","",IFERROR(VLOOKUP(E2498,Assumptions!$G$5:$H$16,2,0),"Other"))</f>
        <v/>
      </c>
      <c r="J2498" s="41" t="str">
        <f aca="false">IF(G2498="","",IFERROR(IF(ISNUMBER(SEARCH(Assumptions!$C$5,G2498)),Assumptions!$D$5,IF(ISNUMBER(SEARCH(Assumptions!$C$6,G2498)),Assumptions!$D$6,IF(ISNUMBER(SEARCH(Assumptions!$C$7,G2498)),Assumptions!$D$7,"Other Services"))),"Other Services"))</f>
        <v/>
      </c>
    </row>
    <row r="2499" customFormat="false" ht="15" hidden="false" customHeight="false" outlineLevel="0" collapsed="false">
      <c r="F2499" s="41" t="str">
        <f aca="false">IF(E2499="","",IFERROR(VLOOKUP(E2499,Assumptions!$G$5:$H$16,2,0),"Other"))</f>
        <v/>
      </c>
      <c r="J2499" s="41" t="str">
        <f aca="false">IF(G2499="","",IFERROR(IF(ISNUMBER(SEARCH(Assumptions!$C$5,G2499)),Assumptions!$D$5,IF(ISNUMBER(SEARCH(Assumptions!$C$6,G2499)),Assumptions!$D$6,IF(ISNUMBER(SEARCH(Assumptions!$C$7,G2499)),Assumptions!$D$7,"Other Services"))),"Other Services"))</f>
        <v/>
      </c>
    </row>
    <row r="2500" customFormat="false" ht="15" hidden="false" customHeight="false" outlineLevel="0" collapsed="false">
      <c r="F2500" s="41" t="str">
        <f aca="false">IF(E2500="","",IFERROR(VLOOKUP(E2500,Assumptions!$G$5:$H$16,2,0),"Other"))</f>
        <v/>
      </c>
      <c r="J2500" s="41" t="str">
        <f aca="false">IF(G2500="","",IFERROR(IF(ISNUMBER(SEARCH(Assumptions!$C$5,G2500)),Assumptions!$D$5,IF(ISNUMBER(SEARCH(Assumptions!$C$6,G2500)),Assumptions!$D$6,IF(ISNUMBER(SEARCH(Assumptions!$C$7,G2500)),Assumptions!$D$7,"Other Services"))),"Other Services"))</f>
        <v/>
      </c>
    </row>
    <row r="2501" customFormat="false" ht="15" hidden="false" customHeight="false" outlineLevel="0" collapsed="false">
      <c r="F2501" s="41" t="str">
        <f aca="false">IF(E2501="","",IFERROR(VLOOKUP(E2501,Assumptions!$G$5:$H$16,2,0),"Other"))</f>
        <v/>
      </c>
      <c r="J2501" s="41" t="str">
        <f aca="false">IF(G2501="","",IFERROR(IF(ISNUMBER(SEARCH(Assumptions!$C$5,G2501)),Assumptions!$D$5,IF(ISNUMBER(SEARCH(Assumptions!$C$6,G2501)),Assumptions!$D$6,IF(ISNUMBER(SEARCH(Assumptions!$C$7,G2501)),Assumptions!$D$7,"Other Services"))),"Other Services"))</f>
        <v/>
      </c>
    </row>
    <row r="2502" customFormat="false" ht="15" hidden="false" customHeight="false" outlineLevel="0" collapsed="false">
      <c r="F2502" s="41" t="str">
        <f aca="false">IF(E2502="","",IFERROR(VLOOKUP(E2502,Assumptions!$G$5:$H$16,2,0),"Other"))</f>
        <v/>
      </c>
      <c r="J2502" s="41" t="str">
        <f aca="false">IF(G2502="","",IFERROR(IF(ISNUMBER(SEARCH(Assumptions!$C$5,G2502)),Assumptions!$D$5,IF(ISNUMBER(SEARCH(Assumptions!$C$6,G2502)),Assumptions!$D$6,IF(ISNUMBER(SEARCH(Assumptions!$C$7,G2502)),Assumptions!$D$7,"Other Services"))),"Other Services"))</f>
        <v/>
      </c>
    </row>
    <row r="2503" customFormat="false" ht="15" hidden="false" customHeight="false" outlineLevel="0" collapsed="false">
      <c r="F2503" s="41" t="str">
        <f aca="false">IF(E2503="","",IFERROR(VLOOKUP(E2503,Assumptions!$G$5:$H$16,2,0),"Other"))</f>
        <v/>
      </c>
      <c r="J2503" s="41" t="str">
        <f aca="false">IF(G2503="","",IFERROR(IF(ISNUMBER(SEARCH(Assumptions!$C$5,G2503)),Assumptions!$D$5,IF(ISNUMBER(SEARCH(Assumptions!$C$6,G2503)),Assumptions!$D$6,IF(ISNUMBER(SEARCH(Assumptions!$C$7,G2503)),Assumptions!$D$7,"Other Services"))),"Other Services"))</f>
        <v/>
      </c>
    </row>
    <row r="2504" customFormat="false" ht="15" hidden="false" customHeight="false" outlineLevel="0" collapsed="false">
      <c r="F2504" s="41" t="str">
        <f aca="false">IF(E2504="","",IFERROR(VLOOKUP(E2504,Assumptions!$G$5:$H$16,2,0),"Other"))</f>
        <v/>
      </c>
      <c r="J2504" s="41" t="str">
        <f aca="false">IF(G2504="","",IFERROR(IF(ISNUMBER(SEARCH(Assumptions!$C$5,G2504)),Assumptions!$D$5,IF(ISNUMBER(SEARCH(Assumptions!$C$6,G2504)),Assumptions!$D$6,IF(ISNUMBER(SEARCH(Assumptions!$C$7,G2504)),Assumptions!$D$7,"Other Services"))),"Other Services"))</f>
        <v/>
      </c>
    </row>
    <row r="2505" customFormat="false" ht="15" hidden="false" customHeight="false" outlineLevel="0" collapsed="false">
      <c r="F2505" s="41" t="str">
        <f aca="false">IF(E2505="","",IFERROR(VLOOKUP(E2505,Assumptions!$G$5:$H$16,2,0),"Other"))</f>
        <v/>
      </c>
      <c r="J2505" s="41" t="str">
        <f aca="false">IF(G2505="","",IFERROR(IF(ISNUMBER(SEARCH(Assumptions!$C$5,G2505)),Assumptions!$D$5,IF(ISNUMBER(SEARCH(Assumptions!$C$6,G2505)),Assumptions!$D$6,IF(ISNUMBER(SEARCH(Assumptions!$C$7,G2505)),Assumptions!$D$7,"Other Services"))),"Other Services"))</f>
        <v/>
      </c>
    </row>
    <row r="2506" customFormat="false" ht="15" hidden="false" customHeight="false" outlineLevel="0" collapsed="false">
      <c r="F2506" s="41" t="str">
        <f aca="false">IF(E2506="","",IFERROR(VLOOKUP(E2506,Assumptions!$G$5:$H$16,2,0),"Other"))</f>
        <v/>
      </c>
      <c r="J2506" s="41" t="str">
        <f aca="false">IF(G2506="","",IFERROR(IF(ISNUMBER(SEARCH(Assumptions!$C$5,G2506)),Assumptions!$D$5,IF(ISNUMBER(SEARCH(Assumptions!$C$6,G2506)),Assumptions!$D$6,IF(ISNUMBER(SEARCH(Assumptions!$C$7,G2506)),Assumptions!$D$7,"Other Services"))),"Other Services"))</f>
        <v/>
      </c>
    </row>
    <row r="2507" customFormat="false" ht="15" hidden="false" customHeight="false" outlineLevel="0" collapsed="false">
      <c r="F2507" s="41" t="str">
        <f aca="false">IF(E2507="","",IFERROR(VLOOKUP(E2507,Assumptions!$G$5:$H$16,2,0),"Other"))</f>
        <v/>
      </c>
      <c r="J2507" s="41" t="str">
        <f aca="false">IF(G2507="","",IFERROR(IF(ISNUMBER(SEARCH(Assumptions!$C$5,G2507)),Assumptions!$D$5,IF(ISNUMBER(SEARCH(Assumptions!$C$6,G2507)),Assumptions!$D$6,IF(ISNUMBER(SEARCH(Assumptions!$C$7,G2507)),Assumptions!$D$7,"Other Services"))),"Other Services"))</f>
        <v/>
      </c>
    </row>
    <row r="2508" customFormat="false" ht="15" hidden="false" customHeight="false" outlineLevel="0" collapsed="false">
      <c r="F2508" s="41" t="str">
        <f aca="false">IF(E2508="","",IFERROR(VLOOKUP(E2508,Assumptions!$G$5:$H$16,2,0),"Other"))</f>
        <v/>
      </c>
      <c r="J2508" s="41" t="str">
        <f aca="false">IF(G2508="","",IFERROR(IF(ISNUMBER(SEARCH(Assumptions!$C$5,G2508)),Assumptions!$D$5,IF(ISNUMBER(SEARCH(Assumptions!$C$6,G2508)),Assumptions!$D$6,IF(ISNUMBER(SEARCH(Assumptions!$C$7,G2508)),Assumptions!$D$7,"Other Services"))),"Other Services"))</f>
        <v/>
      </c>
    </row>
    <row r="2509" customFormat="false" ht="15" hidden="false" customHeight="false" outlineLevel="0" collapsed="false">
      <c r="F2509" s="41" t="str">
        <f aca="false">IF(E2509="","",IFERROR(VLOOKUP(E2509,Assumptions!$G$5:$H$16,2,0),"Other"))</f>
        <v/>
      </c>
      <c r="J2509" s="41" t="str">
        <f aca="false">IF(G2509="","",IFERROR(IF(ISNUMBER(SEARCH(Assumptions!$C$5,G2509)),Assumptions!$D$5,IF(ISNUMBER(SEARCH(Assumptions!$C$6,G2509)),Assumptions!$D$6,IF(ISNUMBER(SEARCH(Assumptions!$C$7,G2509)),Assumptions!$D$7,"Other Services"))),"Other Services"))</f>
        <v/>
      </c>
    </row>
    <row r="2510" customFormat="false" ht="15" hidden="false" customHeight="false" outlineLevel="0" collapsed="false">
      <c r="F2510" s="41" t="str">
        <f aca="false">IF(E2510="","",IFERROR(VLOOKUP(E2510,Assumptions!$G$5:$H$16,2,0),"Other"))</f>
        <v/>
      </c>
      <c r="J2510" s="41" t="str">
        <f aca="false">IF(G2510="","",IFERROR(IF(ISNUMBER(SEARCH(Assumptions!$C$5,G2510)),Assumptions!$D$5,IF(ISNUMBER(SEARCH(Assumptions!$C$6,G2510)),Assumptions!$D$6,IF(ISNUMBER(SEARCH(Assumptions!$C$7,G2510)),Assumptions!$D$7,"Other Services"))),"Other Services"))</f>
        <v/>
      </c>
    </row>
    <row r="2511" customFormat="false" ht="15" hidden="false" customHeight="false" outlineLevel="0" collapsed="false">
      <c r="F2511" s="41" t="str">
        <f aca="false">IF(E2511="","",IFERROR(VLOOKUP(E2511,Assumptions!$G$5:$H$16,2,0),"Other"))</f>
        <v/>
      </c>
      <c r="J2511" s="41" t="str">
        <f aca="false">IF(G2511="","",IFERROR(IF(ISNUMBER(SEARCH(Assumptions!$C$5,G2511)),Assumptions!$D$5,IF(ISNUMBER(SEARCH(Assumptions!$C$6,G2511)),Assumptions!$D$6,IF(ISNUMBER(SEARCH(Assumptions!$C$7,G2511)),Assumptions!$D$7,"Other Services"))),"Other Services"))</f>
        <v/>
      </c>
    </row>
    <row r="2512" customFormat="false" ht="15" hidden="false" customHeight="false" outlineLevel="0" collapsed="false">
      <c r="F2512" s="41" t="str">
        <f aca="false">IF(E2512="","",IFERROR(VLOOKUP(E2512,Assumptions!$G$5:$H$16,2,0),"Other"))</f>
        <v/>
      </c>
      <c r="J2512" s="41" t="str">
        <f aca="false">IF(G2512="","",IFERROR(IF(ISNUMBER(SEARCH(Assumptions!$C$5,G2512)),Assumptions!$D$5,IF(ISNUMBER(SEARCH(Assumptions!$C$6,G2512)),Assumptions!$D$6,IF(ISNUMBER(SEARCH(Assumptions!$C$7,G2512)),Assumptions!$D$7,"Other Services"))),"Other Services"))</f>
        <v/>
      </c>
    </row>
    <row r="2513" customFormat="false" ht="15" hidden="false" customHeight="false" outlineLevel="0" collapsed="false">
      <c r="F2513" s="41" t="str">
        <f aca="false">IF(E2513="","",IFERROR(VLOOKUP(E2513,Assumptions!$G$5:$H$16,2,0),"Other"))</f>
        <v/>
      </c>
      <c r="J2513" s="41" t="str">
        <f aca="false">IF(G2513="","",IFERROR(IF(ISNUMBER(SEARCH(Assumptions!$C$5,G2513)),Assumptions!$D$5,IF(ISNUMBER(SEARCH(Assumptions!$C$6,G2513)),Assumptions!$D$6,IF(ISNUMBER(SEARCH(Assumptions!$C$7,G2513)),Assumptions!$D$7,"Other Services"))),"Other Services"))</f>
        <v/>
      </c>
    </row>
    <row r="2514" customFormat="false" ht="15" hidden="false" customHeight="false" outlineLevel="0" collapsed="false">
      <c r="F2514" s="41" t="str">
        <f aca="false">IF(E2514="","",IFERROR(VLOOKUP(E2514,Assumptions!$G$5:$H$16,2,0),"Other"))</f>
        <v/>
      </c>
      <c r="J2514" s="41" t="str">
        <f aca="false">IF(G2514="","",IFERROR(IF(ISNUMBER(SEARCH(Assumptions!$C$5,G2514)),Assumptions!$D$5,IF(ISNUMBER(SEARCH(Assumptions!$C$6,G2514)),Assumptions!$D$6,IF(ISNUMBER(SEARCH(Assumptions!$C$7,G2514)),Assumptions!$D$7,"Other Services"))),"Other Services"))</f>
        <v/>
      </c>
    </row>
    <row r="2515" customFormat="false" ht="15" hidden="false" customHeight="false" outlineLevel="0" collapsed="false">
      <c r="F2515" s="41" t="str">
        <f aca="false">IF(E2515="","",IFERROR(VLOOKUP(E2515,Assumptions!$G$5:$H$16,2,0),"Other"))</f>
        <v/>
      </c>
      <c r="J2515" s="41" t="str">
        <f aca="false">IF(G2515="","",IFERROR(IF(ISNUMBER(SEARCH(Assumptions!$C$5,G2515)),Assumptions!$D$5,IF(ISNUMBER(SEARCH(Assumptions!$C$6,G2515)),Assumptions!$D$6,IF(ISNUMBER(SEARCH(Assumptions!$C$7,G2515)),Assumptions!$D$7,"Other Services"))),"Other Services"))</f>
        <v/>
      </c>
    </row>
    <row r="2516" customFormat="false" ht="15" hidden="false" customHeight="false" outlineLevel="0" collapsed="false">
      <c r="F2516" s="41" t="str">
        <f aca="false">IF(E2516="","",IFERROR(VLOOKUP(E2516,Assumptions!$G$5:$H$16,2,0),"Other"))</f>
        <v/>
      </c>
      <c r="J2516" s="41" t="str">
        <f aca="false">IF(G2516="","",IFERROR(IF(ISNUMBER(SEARCH(Assumptions!$C$5,G2516)),Assumptions!$D$5,IF(ISNUMBER(SEARCH(Assumptions!$C$6,G2516)),Assumptions!$D$6,IF(ISNUMBER(SEARCH(Assumptions!$C$7,G2516)),Assumptions!$D$7,"Other Services"))),"Other Services"))</f>
        <v/>
      </c>
    </row>
    <row r="2517" customFormat="false" ht="15" hidden="false" customHeight="false" outlineLevel="0" collapsed="false">
      <c r="F2517" s="41" t="str">
        <f aca="false">IF(E2517="","",IFERROR(VLOOKUP(E2517,Assumptions!$G$5:$H$16,2,0),"Other"))</f>
        <v/>
      </c>
      <c r="J2517" s="41" t="str">
        <f aca="false">IF(G2517="","",IFERROR(IF(ISNUMBER(SEARCH(Assumptions!$C$5,G2517)),Assumptions!$D$5,IF(ISNUMBER(SEARCH(Assumptions!$C$6,G2517)),Assumptions!$D$6,IF(ISNUMBER(SEARCH(Assumptions!$C$7,G2517)),Assumptions!$D$7,"Other Services"))),"Other Services"))</f>
        <v/>
      </c>
    </row>
    <row r="2518" customFormat="false" ht="15" hidden="false" customHeight="false" outlineLevel="0" collapsed="false">
      <c r="F2518" s="41" t="str">
        <f aca="false">IF(E2518="","",IFERROR(VLOOKUP(E2518,Assumptions!$G$5:$H$16,2,0),"Other"))</f>
        <v/>
      </c>
      <c r="J2518" s="41" t="str">
        <f aca="false">IF(G2518="","",IFERROR(IF(ISNUMBER(SEARCH(Assumptions!$C$5,G2518)),Assumptions!$D$5,IF(ISNUMBER(SEARCH(Assumptions!$C$6,G2518)),Assumptions!$D$6,IF(ISNUMBER(SEARCH(Assumptions!$C$7,G2518)),Assumptions!$D$7,"Other Services"))),"Other Services"))</f>
        <v/>
      </c>
    </row>
    <row r="2519" customFormat="false" ht="15" hidden="false" customHeight="false" outlineLevel="0" collapsed="false">
      <c r="F2519" s="41" t="str">
        <f aca="false">IF(E2519="","",IFERROR(VLOOKUP(E2519,Assumptions!$G$5:$H$16,2,0),"Other"))</f>
        <v/>
      </c>
      <c r="J2519" s="41" t="str">
        <f aca="false">IF(G2519="","",IFERROR(IF(ISNUMBER(SEARCH(Assumptions!$C$5,G2519)),Assumptions!$D$5,IF(ISNUMBER(SEARCH(Assumptions!$C$6,G2519)),Assumptions!$D$6,IF(ISNUMBER(SEARCH(Assumptions!$C$7,G2519)),Assumptions!$D$7,"Other Services"))),"Other Services"))</f>
        <v/>
      </c>
    </row>
    <row r="2520" customFormat="false" ht="15" hidden="false" customHeight="false" outlineLevel="0" collapsed="false">
      <c r="F2520" s="41" t="str">
        <f aca="false">IF(E2520="","",IFERROR(VLOOKUP(E2520,Assumptions!$G$5:$H$16,2,0),"Other"))</f>
        <v/>
      </c>
      <c r="J2520" s="41" t="str">
        <f aca="false">IF(G2520="","",IFERROR(IF(ISNUMBER(SEARCH(Assumptions!$C$5,G2520)),Assumptions!$D$5,IF(ISNUMBER(SEARCH(Assumptions!$C$6,G2520)),Assumptions!$D$6,IF(ISNUMBER(SEARCH(Assumptions!$C$7,G2520)),Assumptions!$D$7,"Other Services"))),"Other Services"))</f>
        <v/>
      </c>
    </row>
    <row r="2521" customFormat="false" ht="15" hidden="false" customHeight="false" outlineLevel="0" collapsed="false">
      <c r="F2521" s="41" t="str">
        <f aca="false">IF(E2521="","",IFERROR(VLOOKUP(E2521,Assumptions!$G$5:$H$16,2,0),"Other"))</f>
        <v/>
      </c>
      <c r="J2521" s="41" t="str">
        <f aca="false">IF(G2521="","",IFERROR(IF(ISNUMBER(SEARCH(Assumptions!$C$5,G2521)),Assumptions!$D$5,IF(ISNUMBER(SEARCH(Assumptions!$C$6,G2521)),Assumptions!$D$6,IF(ISNUMBER(SEARCH(Assumptions!$C$7,G2521)),Assumptions!$D$7,"Other Services"))),"Other Services"))</f>
        <v/>
      </c>
    </row>
    <row r="2522" customFormat="false" ht="15" hidden="false" customHeight="false" outlineLevel="0" collapsed="false">
      <c r="F2522" s="41" t="str">
        <f aca="false">IF(E2522="","",IFERROR(VLOOKUP(E2522,Assumptions!$G$5:$H$16,2,0),"Other"))</f>
        <v/>
      </c>
      <c r="J2522" s="41" t="str">
        <f aca="false">IF(G2522="","",IFERROR(IF(ISNUMBER(SEARCH(Assumptions!$C$5,G2522)),Assumptions!$D$5,IF(ISNUMBER(SEARCH(Assumptions!$C$6,G2522)),Assumptions!$D$6,IF(ISNUMBER(SEARCH(Assumptions!$C$7,G2522)),Assumptions!$D$7,"Other Services"))),"Other Services"))</f>
        <v/>
      </c>
    </row>
    <row r="2523" customFormat="false" ht="15" hidden="false" customHeight="false" outlineLevel="0" collapsed="false">
      <c r="F2523" s="41" t="str">
        <f aca="false">IF(E2523="","",IFERROR(VLOOKUP(E2523,Assumptions!$G$5:$H$16,2,0),"Other"))</f>
        <v/>
      </c>
      <c r="J2523" s="41" t="str">
        <f aca="false">IF(G2523="","",IFERROR(IF(ISNUMBER(SEARCH(Assumptions!$C$5,G2523)),Assumptions!$D$5,IF(ISNUMBER(SEARCH(Assumptions!$C$6,G2523)),Assumptions!$D$6,IF(ISNUMBER(SEARCH(Assumptions!$C$7,G2523)),Assumptions!$D$7,"Other Services"))),"Other Services"))</f>
        <v/>
      </c>
    </row>
    <row r="2524" customFormat="false" ht="15" hidden="false" customHeight="false" outlineLevel="0" collapsed="false">
      <c r="F2524" s="41" t="str">
        <f aca="false">IF(E2524="","",IFERROR(VLOOKUP(E2524,Assumptions!$G$5:$H$16,2,0),"Other"))</f>
        <v/>
      </c>
      <c r="J2524" s="41" t="str">
        <f aca="false">IF(G2524="","",IFERROR(IF(ISNUMBER(SEARCH(Assumptions!$C$5,G2524)),Assumptions!$D$5,IF(ISNUMBER(SEARCH(Assumptions!$C$6,G2524)),Assumptions!$D$6,IF(ISNUMBER(SEARCH(Assumptions!$C$7,G2524)),Assumptions!$D$7,"Other Services"))),"Other Services"))</f>
        <v/>
      </c>
    </row>
    <row r="2525" customFormat="false" ht="15" hidden="false" customHeight="false" outlineLevel="0" collapsed="false">
      <c r="F2525" s="41" t="str">
        <f aca="false">IF(E2525="","",IFERROR(VLOOKUP(E2525,Assumptions!$G$5:$H$16,2,0),"Other"))</f>
        <v/>
      </c>
      <c r="J2525" s="41" t="str">
        <f aca="false">IF(G2525="","",IFERROR(IF(ISNUMBER(SEARCH(Assumptions!$C$5,G2525)),Assumptions!$D$5,IF(ISNUMBER(SEARCH(Assumptions!$C$6,G2525)),Assumptions!$D$6,IF(ISNUMBER(SEARCH(Assumptions!$C$7,G2525)),Assumptions!$D$7,"Other Services"))),"Other Services"))</f>
        <v/>
      </c>
    </row>
    <row r="2526" customFormat="false" ht="15" hidden="false" customHeight="false" outlineLevel="0" collapsed="false">
      <c r="F2526" s="41" t="str">
        <f aca="false">IF(E2526="","",IFERROR(VLOOKUP(E2526,Assumptions!$G$5:$H$16,2,0),"Other"))</f>
        <v/>
      </c>
      <c r="J2526" s="41" t="str">
        <f aca="false">IF(G2526="","",IFERROR(IF(ISNUMBER(SEARCH(Assumptions!$C$5,G2526)),Assumptions!$D$5,IF(ISNUMBER(SEARCH(Assumptions!$C$6,G2526)),Assumptions!$D$6,IF(ISNUMBER(SEARCH(Assumptions!$C$7,G2526)),Assumptions!$D$7,"Other Services"))),"Other Services"))</f>
        <v/>
      </c>
    </row>
    <row r="2527" customFormat="false" ht="15" hidden="false" customHeight="false" outlineLevel="0" collapsed="false">
      <c r="F2527" s="41" t="str">
        <f aca="false">IF(E2527="","",IFERROR(VLOOKUP(E2527,Assumptions!$G$5:$H$16,2,0),"Other"))</f>
        <v/>
      </c>
      <c r="J2527" s="41" t="str">
        <f aca="false">IF(G2527="","",IFERROR(IF(ISNUMBER(SEARCH(Assumptions!$C$5,G2527)),Assumptions!$D$5,IF(ISNUMBER(SEARCH(Assumptions!$C$6,G2527)),Assumptions!$D$6,IF(ISNUMBER(SEARCH(Assumptions!$C$7,G2527)),Assumptions!$D$7,"Other Services"))),"Other Services"))</f>
        <v/>
      </c>
    </row>
    <row r="2528" customFormat="false" ht="15" hidden="false" customHeight="false" outlineLevel="0" collapsed="false">
      <c r="F2528" s="41" t="str">
        <f aca="false">IF(E2528="","",IFERROR(VLOOKUP(E2528,Assumptions!$G$5:$H$16,2,0),"Other"))</f>
        <v/>
      </c>
      <c r="J2528" s="41" t="str">
        <f aca="false">IF(G2528="","",IFERROR(IF(ISNUMBER(SEARCH(Assumptions!$C$5,G2528)),Assumptions!$D$5,IF(ISNUMBER(SEARCH(Assumptions!$C$6,G2528)),Assumptions!$D$6,IF(ISNUMBER(SEARCH(Assumptions!$C$7,G2528)),Assumptions!$D$7,"Other Services"))),"Other Services"))</f>
        <v/>
      </c>
    </row>
    <row r="2529" customFormat="false" ht="15" hidden="false" customHeight="false" outlineLevel="0" collapsed="false">
      <c r="F2529" s="41" t="str">
        <f aca="false">IF(E2529="","",IFERROR(VLOOKUP(E2529,Assumptions!$G$5:$H$16,2,0),"Other"))</f>
        <v/>
      </c>
      <c r="J2529" s="41" t="str">
        <f aca="false">IF(G2529="","",IFERROR(IF(ISNUMBER(SEARCH(Assumptions!$C$5,G2529)),Assumptions!$D$5,IF(ISNUMBER(SEARCH(Assumptions!$C$6,G2529)),Assumptions!$D$6,IF(ISNUMBER(SEARCH(Assumptions!$C$7,G2529)),Assumptions!$D$7,"Other Services"))),"Other Services"))</f>
        <v/>
      </c>
    </row>
    <row r="2530" customFormat="false" ht="15" hidden="false" customHeight="false" outlineLevel="0" collapsed="false">
      <c r="F2530" s="41" t="str">
        <f aca="false">IF(E2530="","",IFERROR(VLOOKUP(E2530,Assumptions!$G$5:$H$16,2,0),"Other"))</f>
        <v/>
      </c>
      <c r="J2530" s="41" t="str">
        <f aca="false">IF(G2530="","",IFERROR(IF(ISNUMBER(SEARCH(Assumptions!$C$5,G2530)),Assumptions!$D$5,IF(ISNUMBER(SEARCH(Assumptions!$C$6,G2530)),Assumptions!$D$6,IF(ISNUMBER(SEARCH(Assumptions!$C$7,G2530)),Assumptions!$D$7,"Other Services"))),"Other Services"))</f>
        <v/>
      </c>
    </row>
    <row r="2531" customFormat="false" ht="15" hidden="false" customHeight="false" outlineLevel="0" collapsed="false">
      <c r="F2531" s="41" t="str">
        <f aca="false">IF(E2531="","",IFERROR(VLOOKUP(E2531,Assumptions!$G$5:$H$16,2,0),"Other"))</f>
        <v/>
      </c>
      <c r="J2531" s="41" t="str">
        <f aca="false">IF(G2531="","",IFERROR(IF(ISNUMBER(SEARCH(Assumptions!$C$5,G2531)),Assumptions!$D$5,IF(ISNUMBER(SEARCH(Assumptions!$C$6,G2531)),Assumptions!$D$6,IF(ISNUMBER(SEARCH(Assumptions!$C$7,G2531)),Assumptions!$D$7,"Other Services"))),"Other Services"))</f>
        <v/>
      </c>
    </row>
    <row r="2532" customFormat="false" ht="15" hidden="false" customHeight="false" outlineLevel="0" collapsed="false">
      <c r="F2532" s="41" t="str">
        <f aca="false">IF(E2532="","",IFERROR(VLOOKUP(E2532,Assumptions!$G$5:$H$16,2,0),"Other"))</f>
        <v/>
      </c>
      <c r="J2532" s="41" t="str">
        <f aca="false">IF(G2532="","",IFERROR(IF(ISNUMBER(SEARCH(Assumptions!$C$5,G2532)),Assumptions!$D$5,IF(ISNUMBER(SEARCH(Assumptions!$C$6,G2532)),Assumptions!$D$6,IF(ISNUMBER(SEARCH(Assumptions!$C$7,G2532)),Assumptions!$D$7,"Other Services"))),"Other Services"))</f>
        <v/>
      </c>
    </row>
    <row r="2533" customFormat="false" ht="15" hidden="false" customHeight="false" outlineLevel="0" collapsed="false">
      <c r="F2533" s="41" t="str">
        <f aca="false">IF(E2533="","",IFERROR(VLOOKUP(E2533,Assumptions!$G$5:$H$16,2,0),"Other"))</f>
        <v/>
      </c>
      <c r="J2533" s="41" t="str">
        <f aca="false">IF(G2533="","",IFERROR(IF(ISNUMBER(SEARCH(Assumptions!$C$5,G2533)),Assumptions!$D$5,IF(ISNUMBER(SEARCH(Assumptions!$C$6,G2533)),Assumptions!$D$6,IF(ISNUMBER(SEARCH(Assumptions!$C$7,G2533)),Assumptions!$D$7,"Other Services"))),"Other Services"))</f>
        <v/>
      </c>
    </row>
    <row r="2534" customFormat="false" ht="15" hidden="false" customHeight="false" outlineLevel="0" collapsed="false">
      <c r="F2534" s="41" t="str">
        <f aca="false">IF(E2534="","",IFERROR(VLOOKUP(E2534,Assumptions!$G$5:$H$16,2,0),"Other"))</f>
        <v/>
      </c>
      <c r="J2534" s="41" t="str">
        <f aca="false">IF(G2534="","",IFERROR(IF(ISNUMBER(SEARCH(Assumptions!$C$5,G2534)),Assumptions!$D$5,IF(ISNUMBER(SEARCH(Assumptions!$C$6,G2534)),Assumptions!$D$6,IF(ISNUMBER(SEARCH(Assumptions!$C$7,G2534)),Assumptions!$D$7,"Other Services"))),"Other Services"))</f>
        <v/>
      </c>
    </row>
    <row r="2535" customFormat="false" ht="15" hidden="false" customHeight="false" outlineLevel="0" collapsed="false">
      <c r="F2535" s="41" t="str">
        <f aca="false">IF(E2535="","",IFERROR(VLOOKUP(E2535,Assumptions!$G$5:$H$16,2,0),"Other"))</f>
        <v/>
      </c>
      <c r="J2535" s="41" t="str">
        <f aca="false">IF(G2535="","",IFERROR(IF(ISNUMBER(SEARCH(Assumptions!$C$5,G2535)),Assumptions!$D$5,IF(ISNUMBER(SEARCH(Assumptions!$C$6,G2535)),Assumptions!$D$6,IF(ISNUMBER(SEARCH(Assumptions!$C$7,G2535)),Assumptions!$D$7,"Other Services"))),"Other Services"))</f>
        <v/>
      </c>
    </row>
    <row r="2536" customFormat="false" ht="15" hidden="false" customHeight="false" outlineLevel="0" collapsed="false">
      <c r="F2536" s="41" t="str">
        <f aca="false">IF(E2536="","",IFERROR(VLOOKUP(E2536,Assumptions!$G$5:$H$16,2,0),"Other"))</f>
        <v/>
      </c>
      <c r="J2536" s="41" t="str">
        <f aca="false">IF(G2536="","",IFERROR(IF(ISNUMBER(SEARCH(Assumptions!$C$5,G2536)),Assumptions!$D$5,IF(ISNUMBER(SEARCH(Assumptions!$C$6,G2536)),Assumptions!$D$6,IF(ISNUMBER(SEARCH(Assumptions!$C$7,G2536)),Assumptions!$D$7,"Other Services"))),"Other Services"))</f>
        <v/>
      </c>
    </row>
    <row r="2537" customFormat="false" ht="15" hidden="false" customHeight="false" outlineLevel="0" collapsed="false">
      <c r="F2537" s="41" t="str">
        <f aca="false">IF(E2537="","",IFERROR(VLOOKUP(E2537,Assumptions!$G$5:$H$16,2,0),"Other"))</f>
        <v/>
      </c>
      <c r="J2537" s="41" t="str">
        <f aca="false">IF(G2537="","",IFERROR(IF(ISNUMBER(SEARCH(Assumptions!$C$5,G2537)),Assumptions!$D$5,IF(ISNUMBER(SEARCH(Assumptions!$C$6,G2537)),Assumptions!$D$6,IF(ISNUMBER(SEARCH(Assumptions!$C$7,G2537)),Assumptions!$D$7,"Other Services"))),"Other Services"))</f>
        <v/>
      </c>
    </row>
    <row r="2538" customFormat="false" ht="15" hidden="false" customHeight="false" outlineLevel="0" collapsed="false">
      <c r="F2538" s="41" t="str">
        <f aca="false">IF(E2538="","",IFERROR(VLOOKUP(E2538,Assumptions!$G$5:$H$16,2,0),"Other"))</f>
        <v/>
      </c>
      <c r="J2538" s="41" t="str">
        <f aca="false">IF(G2538="","",IFERROR(IF(ISNUMBER(SEARCH(Assumptions!$C$5,G2538)),Assumptions!$D$5,IF(ISNUMBER(SEARCH(Assumptions!$C$6,G2538)),Assumptions!$D$6,IF(ISNUMBER(SEARCH(Assumptions!$C$7,G2538)),Assumptions!$D$7,"Other Services"))),"Other Services"))</f>
        <v/>
      </c>
    </row>
    <row r="2539" customFormat="false" ht="15" hidden="false" customHeight="false" outlineLevel="0" collapsed="false">
      <c r="F2539" s="41" t="str">
        <f aca="false">IF(E2539="","",IFERROR(VLOOKUP(E2539,Assumptions!$G$5:$H$16,2,0),"Other"))</f>
        <v/>
      </c>
      <c r="J2539" s="41" t="str">
        <f aca="false">IF(G2539="","",IFERROR(IF(ISNUMBER(SEARCH(Assumptions!$C$5,G2539)),Assumptions!$D$5,IF(ISNUMBER(SEARCH(Assumptions!$C$6,G2539)),Assumptions!$D$6,IF(ISNUMBER(SEARCH(Assumptions!$C$7,G2539)),Assumptions!$D$7,"Other Services"))),"Other Services"))</f>
        <v/>
      </c>
    </row>
    <row r="2540" customFormat="false" ht="15" hidden="false" customHeight="false" outlineLevel="0" collapsed="false">
      <c r="F2540" s="41" t="str">
        <f aca="false">IF(E2540="","",IFERROR(VLOOKUP(E2540,Assumptions!$G$5:$H$16,2,0),"Other"))</f>
        <v/>
      </c>
      <c r="J2540" s="41" t="str">
        <f aca="false">IF(G2540="","",IFERROR(IF(ISNUMBER(SEARCH(Assumptions!$C$5,G2540)),Assumptions!$D$5,IF(ISNUMBER(SEARCH(Assumptions!$C$6,G2540)),Assumptions!$D$6,IF(ISNUMBER(SEARCH(Assumptions!$C$7,G2540)),Assumptions!$D$7,"Other Services"))),"Other Services"))</f>
        <v/>
      </c>
    </row>
    <row r="2541" customFormat="false" ht="15" hidden="false" customHeight="false" outlineLevel="0" collapsed="false">
      <c r="F2541" s="41" t="str">
        <f aca="false">IF(E2541="","",IFERROR(VLOOKUP(E2541,Assumptions!$G$5:$H$16,2,0),"Other"))</f>
        <v/>
      </c>
      <c r="J2541" s="41" t="str">
        <f aca="false">IF(G2541="","",IFERROR(IF(ISNUMBER(SEARCH(Assumptions!$C$5,G2541)),Assumptions!$D$5,IF(ISNUMBER(SEARCH(Assumptions!$C$6,G2541)),Assumptions!$D$6,IF(ISNUMBER(SEARCH(Assumptions!$C$7,G2541)),Assumptions!$D$7,"Other Services"))),"Other Services"))</f>
        <v/>
      </c>
    </row>
    <row r="2542" customFormat="false" ht="15" hidden="false" customHeight="false" outlineLevel="0" collapsed="false">
      <c r="F2542" s="41" t="str">
        <f aca="false">IF(E2542="","",IFERROR(VLOOKUP(E2542,Assumptions!$G$5:$H$16,2,0),"Other"))</f>
        <v/>
      </c>
      <c r="J2542" s="41" t="str">
        <f aca="false">IF(G2542="","",IFERROR(IF(ISNUMBER(SEARCH(Assumptions!$C$5,G2542)),Assumptions!$D$5,IF(ISNUMBER(SEARCH(Assumptions!$C$6,G2542)),Assumptions!$D$6,IF(ISNUMBER(SEARCH(Assumptions!$C$7,G2542)),Assumptions!$D$7,"Other Services"))),"Other Services"))</f>
        <v/>
      </c>
    </row>
    <row r="2543" customFormat="false" ht="15" hidden="false" customHeight="false" outlineLevel="0" collapsed="false">
      <c r="F2543" s="41" t="str">
        <f aca="false">IF(E2543="","",IFERROR(VLOOKUP(E2543,Assumptions!$G$5:$H$16,2,0),"Other"))</f>
        <v/>
      </c>
      <c r="J2543" s="41" t="str">
        <f aca="false">IF(G2543="","",IFERROR(IF(ISNUMBER(SEARCH(Assumptions!$C$5,G2543)),Assumptions!$D$5,IF(ISNUMBER(SEARCH(Assumptions!$C$6,G2543)),Assumptions!$D$6,IF(ISNUMBER(SEARCH(Assumptions!$C$7,G2543)),Assumptions!$D$7,"Other Services"))),"Other Services"))</f>
        <v/>
      </c>
    </row>
    <row r="2544" customFormat="false" ht="15" hidden="false" customHeight="false" outlineLevel="0" collapsed="false">
      <c r="F2544" s="41" t="str">
        <f aca="false">IF(E2544="","",IFERROR(VLOOKUP(E2544,Assumptions!$G$5:$H$16,2,0),"Other"))</f>
        <v/>
      </c>
      <c r="J2544" s="41" t="str">
        <f aca="false">IF(G2544="","",IFERROR(IF(ISNUMBER(SEARCH(Assumptions!$C$5,G2544)),Assumptions!$D$5,IF(ISNUMBER(SEARCH(Assumptions!$C$6,G2544)),Assumptions!$D$6,IF(ISNUMBER(SEARCH(Assumptions!$C$7,G2544)),Assumptions!$D$7,"Other Services"))),"Other Services"))</f>
        <v/>
      </c>
    </row>
    <row r="2545" customFormat="false" ht="15" hidden="false" customHeight="false" outlineLevel="0" collapsed="false">
      <c r="F2545" s="41" t="str">
        <f aca="false">IF(E2545="","",IFERROR(VLOOKUP(E2545,Assumptions!$G$5:$H$16,2,0),"Other"))</f>
        <v/>
      </c>
      <c r="J2545" s="41" t="str">
        <f aca="false">IF(G2545="","",IFERROR(IF(ISNUMBER(SEARCH(Assumptions!$C$5,G2545)),Assumptions!$D$5,IF(ISNUMBER(SEARCH(Assumptions!$C$6,G2545)),Assumptions!$D$6,IF(ISNUMBER(SEARCH(Assumptions!$C$7,G2545)),Assumptions!$D$7,"Other Services"))),"Other Services"))</f>
        <v/>
      </c>
    </row>
    <row r="2546" customFormat="false" ht="15" hidden="false" customHeight="false" outlineLevel="0" collapsed="false">
      <c r="F2546" s="41" t="str">
        <f aca="false">IF(E2546="","",IFERROR(VLOOKUP(E2546,Assumptions!$G$5:$H$16,2,0),"Other"))</f>
        <v/>
      </c>
      <c r="J2546" s="41" t="str">
        <f aca="false">IF(G2546="","",IFERROR(IF(ISNUMBER(SEARCH(Assumptions!$C$5,G2546)),Assumptions!$D$5,IF(ISNUMBER(SEARCH(Assumptions!$C$6,G2546)),Assumptions!$D$6,IF(ISNUMBER(SEARCH(Assumptions!$C$7,G2546)),Assumptions!$D$7,"Other Services"))),"Other Services"))</f>
        <v/>
      </c>
    </row>
    <row r="2547" customFormat="false" ht="15" hidden="false" customHeight="false" outlineLevel="0" collapsed="false">
      <c r="F2547" s="41" t="str">
        <f aca="false">IF(E2547="","",IFERROR(VLOOKUP(E2547,Assumptions!$G$5:$H$16,2,0),"Other"))</f>
        <v/>
      </c>
      <c r="J2547" s="41" t="str">
        <f aca="false">IF(G2547="","",IFERROR(IF(ISNUMBER(SEARCH(Assumptions!$C$5,G2547)),Assumptions!$D$5,IF(ISNUMBER(SEARCH(Assumptions!$C$6,G2547)),Assumptions!$D$6,IF(ISNUMBER(SEARCH(Assumptions!$C$7,G2547)),Assumptions!$D$7,"Other Services"))),"Other Services"))</f>
        <v/>
      </c>
    </row>
    <row r="2548" customFormat="false" ht="15" hidden="false" customHeight="false" outlineLevel="0" collapsed="false">
      <c r="F2548" s="41" t="str">
        <f aca="false">IF(E2548="","",IFERROR(VLOOKUP(E2548,Assumptions!$G$5:$H$16,2,0),"Other"))</f>
        <v/>
      </c>
      <c r="J2548" s="41" t="str">
        <f aca="false">IF(G2548="","",IFERROR(IF(ISNUMBER(SEARCH(Assumptions!$C$5,G2548)),Assumptions!$D$5,IF(ISNUMBER(SEARCH(Assumptions!$C$6,G2548)),Assumptions!$D$6,IF(ISNUMBER(SEARCH(Assumptions!$C$7,G2548)),Assumptions!$D$7,"Other Services"))),"Other Services"))</f>
        <v/>
      </c>
    </row>
    <row r="2549" customFormat="false" ht="15" hidden="false" customHeight="false" outlineLevel="0" collapsed="false">
      <c r="F2549" s="41" t="str">
        <f aca="false">IF(E2549="","",IFERROR(VLOOKUP(E2549,Assumptions!$G$5:$H$16,2,0),"Other"))</f>
        <v/>
      </c>
      <c r="J2549" s="41" t="str">
        <f aca="false">IF(G2549="","",IFERROR(IF(ISNUMBER(SEARCH(Assumptions!$C$5,G2549)),Assumptions!$D$5,IF(ISNUMBER(SEARCH(Assumptions!$C$6,G2549)),Assumptions!$D$6,IF(ISNUMBER(SEARCH(Assumptions!$C$7,G2549)),Assumptions!$D$7,"Other Services"))),"Other Services"))</f>
        <v/>
      </c>
    </row>
    <row r="2550" customFormat="false" ht="15" hidden="false" customHeight="false" outlineLevel="0" collapsed="false">
      <c r="F2550" s="41" t="str">
        <f aca="false">IF(E2550="","",IFERROR(VLOOKUP(E2550,Assumptions!$G$5:$H$16,2,0),"Other"))</f>
        <v/>
      </c>
      <c r="J2550" s="41" t="str">
        <f aca="false">IF(G2550="","",IFERROR(IF(ISNUMBER(SEARCH(Assumptions!$C$5,G2550)),Assumptions!$D$5,IF(ISNUMBER(SEARCH(Assumptions!$C$6,G2550)),Assumptions!$D$6,IF(ISNUMBER(SEARCH(Assumptions!$C$7,G2550)),Assumptions!$D$7,"Other Services"))),"Other Services"))</f>
        <v/>
      </c>
    </row>
    <row r="2551" customFormat="false" ht="15" hidden="false" customHeight="false" outlineLevel="0" collapsed="false">
      <c r="F2551" s="41" t="str">
        <f aca="false">IF(E2551="","",IFERROR(VLOOKUP(E2551,Assumptions!$G$5:$H$16,2,0),"Other"))</f>
        <v/>
      </c>
      <c r="J2551" s="41" t="str">
        <f aca="false">IF(G2551="","",IFERROR(IF(ISNUMBER(SEARCH(Assumptions!$C$5,G2551)),Assumptions!$D$5,IF(ISNUMBER(SEARCH(Assumptions!$C$6,G2551)),Assumptions!$D$6,IF(ISNUMBER(SEARCH(Assumptions!$C$7,G2551)),Assumptions!$D$7,"Other Services"))),"Other Services"))</f>
        <v/>
      </c>
    </row>
    <row r="2552" customFormat="false" ht="15" hidden="false" customHeight="false" outlineLevel="0" collapsed="false">
      <c r="F2552" s="41" t="str">
        <f aca="false">IF(E2552="","",IFERROR(VLOOKUP(E2552,Assumptions!$G$5:$H$16,2,0),"Other"))</f>
        <v/>
      </c>
      <c r="J2552" s="41" t="str">
        <f aca="false">IF(G2552="","",IFERROR(IF(ISNUMBER(SEARCH(Assumptions!$C$5,G2552)),Assumptions!$D$5,IF(ISNUMBER(SEARCH(Assumptions!$C$6,G2552)),Assumptions!$D$6,IF(ISNUMBER(SEARCH(Assumptions!$C$7,G2552)),Assumptions!$D$7,"Other Services"))),"Other Services"))</f>
        <v/>
      </c>
    </row>
    <row r="2553" customFormat="false" ht="15" hidden="false" customHeight="false" outlineLevel="0" collapsed="false">
      <c r="F2553" s="41" t="str">
        <f aca="false">IF(E2553="","",IFERROR(VLOOKUP(E2553,Assumptions!$G$5:$H$16,2,0),"Other"))</f>
        <v/>
      </c>
      <c r="J2553" s="41" t="str">
        <f aca="false">IF(G2553="","",IFERROR(IF(ISNUMBER(SEARCH(Assumptions!$C$5,G2553)),Assumptions!$D$5,IF(ISNUMBER(SEARCH(Assumptions!$C$6,G2553)),Assumptions!$D$6,IF(ISNUMBER(SEARCH(Assumptions!$C$7,G2553)),Assumptions!$D$7,"Other Services"))),"Other Services"))</f>
        <v/>
      </c>
    </row>
    <row r="2554" customFormat="false" ht="15" hidden="false" customHeight="false" outlineLevel="0" collapsed="false">
      <c r="F2554" s="41" t="str">
        <f aca="false">IF(E2554="","",IFERROR(VLOOKUP(E2554,Assumptions!$G$5:$H$16,2,0),"Other"))</f>
        <v/>
      </c>
      <c r="J2554" s="41" t="str">
        <f aca="false">IF(G2554="","",IFERROR(IF(ISNUMBER(SEARCH(Assumptions!$C$5,G2554)),Assumptions!$D$5,IF(ISNUMBER(SEARCH(Assumptions!$C$6,G2554)),Assumptions!$D$6,IF(ISNUMBER(SEARCH(Assumptions!$C$7,G2554)),Assumptions!$D$7,"Other Services"))),"Other Services"))</f>
        <v/>
      </c>
    </row>
    <row r="2555" customFormat="false" ht="15" hidden="false" customHeight="false" outlineLevel="0" collapsed="false">
      <c r="F2555" s="41" t="str">
        <f aca="false">IF(E2555="","",IFERROR(VLOOKUP(E2555,Assumptions!$G$5:$H$16,2,0),"Other"))</f>
        <v/>
      </c>
      <c r="J2555" s="41" t="str">
        <f aca="false">IF(G2555="","",IFERROR(IF(ISNUMBER(SEARCH(Assumptions!$C$5,G2555)),Assumptions!$D$5,IF(ISNUMBER(SEARCH(Assumptions!$C$6,G2555)),Assumptions!$D$6,IF(ISNUMBER(SEARCH(Assumptions!$C$7,G2555)),Assumptions!$D$7,"Other Services"))),"Other Services"))</f>
        <v/>
      </c>
    </row>
    <row r="2556" customFormat="false" ht="15" hidden="false" customHeight="false" outlineLevel="0" collapsed="false">
      <c r="F2556" s="41" t="str">
        <f aca="false">IF(E2556="","",IFERROR(VLOOKUP(E2556,Assumptions!$G$5:$H$16,2,0),"Other"))</f>
        <v/>
      </c>
      <c r="J2556" s="41" t="str">
        <f aca="false">IF(G2556="","",IFERROR(IF(ISNUMBER(SEARCH(Assumptions!$C$5,G2556)),Assumptions!$D$5,IF(ISNUMBER(SEARCH(Assumptions!$C$6,G2556)),Assumptions!$D$6,IF(ISNUMBER(SEARCH(Assumptions!$C$7,G2556)),Assumptions!$D$7,"Other Services"))),"Other Services"))</f>
        <v/>
      </c>
    </row>
    <row r="2557" customFormat="false" ht="15" hidden="false" customHeight="false" outlineLevel="0" collapsed="false">
      <c r="F2557" s="41" t="str">
        <f aca="false">IF(E2557="","",IFERROR(VLOOKUP(E2557,Assumptions!$G$5:$H$16,2,0),"Other"))</f>
        <v/>
      </c>
      <c r="J2557" s="41" t="str">
        <f aca="false">IF(G2557="","",IFERROR(IF(ISNUMBER(SEARCH(Assumptions!$C$5,G2557)),Assumptions!$D$5,IF(ISNUMBER(SEARCH(Assumptions!$C$6,G2557)),Assumptions!$D$6,IF(ISNUMBER(SEARCH(Assumptions!$C$7,G2557)),Assumptions!$D$7,"Other Services"))),"Other Services"))</f>
        <v/>
      </c>
    </row>
    <row r="2558" customFormat="false" ht="15" hidden="false" customHeight="false" outlineLevel="0" collapsed="false">
      <c r="F2558" s="41" t="str">
        <f aca="false">IF(E2558="","",IFERROR(VLOOKUP(E2558,Assumptions!$G$5:$H$16,2,0),"Other"))</f>
        <v/>
      </c>
      <c r="J2558" s="41" t="str">
        <f aca="false">IF(G2558="","",IFERROR(IF(ISNUMBER(SEARCH(Assumptions!$C$5,G2558)),Assumptions!$D$5,IF(ISNUMBER(SEARCH(Assumptions!$C$6,G2558)),Assumptions!$D$6,IF(ISNUMBER(SEARCH(Assumptions!$C$7,G2558)),Assumptions!$D$7,"Other Services"))),"Other Services"))</f>
        <v/>
      </c>
    </row>
    <row r="2559" customFormat="false" ht="15" hidden="false" customHeight="false" outlineLevel="0" collapsed="false">
      <c r="F2559" s="41" t="str">
        <f aca="false">IF(E2559="","",IFERROR(VLOOKUP(E2559,Assumptions!$G$5:$H$16,2,0),"Other"))</f>
        <v/>
      </c>
      <c r="J2559" s="41" t="str">
        <f aca="false">IF(G2559="","",IFERROR(IF(ISNUMBER(SEARCH(Assumptions!$C$5,G2559)),Assumptions!$D$5,IF(ISNUMBER(SEARCH(Assumptions!$C$6,G2559)),Assumptions!$D$6,IF(ISNUMBER(SEARCH(Assumptions!$C$7,G2559)),Assumptions!$D$7,"Other Services"))),"Other Services"))</f>
        <v/>
      </c>
    </row>
    <row r="2560" customFormat="false" ht="15" hidden="false" customHeight="false" outlineLevel="0" collapsed="false">
      <c r="F2560" s="41" t="str">
        <f aca="false">IF(E2560="","",IFERROR(VLOOKUP(E2560,Assumptions!$G$5:$H$16,2,0),"Other"))</f>
        <v/>
      </c>
      <c r="J2560" s="41" t="str">
        <f aca="false">IF(G2560="","",IFERROR(IF(ISNUMBER(SEARCH(Assumptions!$C$5,G2560)),Assumptions!$D$5,IF(ISNUMBER(SEARCH(Assumptions!$C$6,G2560)),Assumptions!$D$6,IF(ISNUMBER(SEARCH(Assumptions!$C$7,G2560)),Assumptions!$D$7,"Other Services"))),"Other Services"))</f>
        <v/>
      </c>
    </row>
    <row r="2561" customFormat="false" ht="15" hidden="false" customHeight="false" outlineLevel="0" collapsed="false">
      <c r="F2561" s="41" t="str">
        <f aca="false">IF(E2561="","",IFERROR(VLOOKUP(E2561,Assumptions!$G$5:$H$16,2,0),"Other"))</f>
        <v/>
      </c>
      <c r="J2561" s="41" t="str">
        <f aca="false">IF(G2561="","",IFERROR(IF(ISNUMBER(SEARCH(Assumptions!$C$5,G2561)),Assumptions!$D$5,IF(ISNUMBER(SEARCH(Assumptions!$C$6,G2561)),Assumptions!$D$6,IF(ISNUMBER(SEARCH(Assumptions!$C$7,G2561)),Assumptions!$D$7,"Other Services"))),"Other Services"))</f>
        <v/>
      </c>
    </row>
    <row r="2562" customFormat="false" ht="15" hidden="false" customHeight="false" outlineLevel="0" collapsed="false">
      <c r="F2562" s="41" t="str">
        <f aca="false">IF(E2562="","",IFERROR(VLOOKUP(E2562,Assumptions!$G$5:$H$16,2,0),"Other"))</f>
        <v/>
      </c>
      <c r="J2562" s="41" t="str">
        <f aca="false">IF(G2562="","",IFERROR(IF(ISNUMBER(SEARCH(Assumptions!$C$5,G2562)),Assumptions!$D$5,IF(ISNUMBER(SEARCH(Assumptions!$C$6,G2562)),Assumptions!$D$6,IF(ISNUMBER(SEARCH(Assumptions!$C$7,G2562)),Assumptions!$D$7,"Other Services"))),"Other Services"))</f>
        <v/>
      </c>
    </row>
    <row r="2563" customFormat="false" ht="15" hidden="false" customHeight="false" outlineLevel="0" collapsed="false">
      <c r="F2563" s="41" t="str">
        <f aca="false">IF(E2563="","",IFERROR(VLOOKUP(E2563,Assumptions!$G$5:$H$16,2,0),"Other"))</f>
        <v/>
      </c>
      <c r="J2563" s="41" t="str">
        <f aca="false">IF(G2563="","",IFERROR(IF(ISNUMBER(SEARCH(Assumptions!$C$5,G2563)),Assumptions!$D$5,IF(ISNUMBER(SEARCH(Assumptions!$C$6,G2563)),Assumptions!$D$6,IF(ISNUMBER(SEARCH(Assumptions!$C$7,G2563)),Assumptions!$D$7,"Other Services"))),"Other Services"))</f>
        <v/>
      </c>
    </row>
    <row r="2564" customFormat="false" ht="15" hidden="false" customHeight="false" outlineLevel="0" collapsed="false">
      <c r="F2564" s="41" t="str">
        <f aca="false">IF(E2564="","",IFERROR(VLOOKUP(E2564,Assumptions!$G$5:$H$16,2,0),"Other"))</f>
        <v/>
      </c>
      <c r="J2564" s="41" t="str">
        <f aca="false">IF(G2564="","",IFERROR(IF(ISNUMBER(SEARCH(Assumptions!$C$5,G2564)),Assumptions!$D$5,IF(ISNUMBER(SEARCH(Assumptions!$C$6,G2564)),Assumptions!$D$6,IF(ISNUMBER(SEARCH(Assumptions!$C$7,G2564)),Assumptions!$D$7,"Other Services"))),"Other Services"))</f>
        <v/>
      </c>
    </row>
    <row r="2565" customFormat="false" ht="15" hidden="false" customHeight="false" outlineLevel="0" collapsed="false">
      <c r="F2565" s="41" t="str">
        <f aca="false">IF(E2565="","",IFERROR(VLOOKUP(E2565,Assumptions!$G$5:$H$16,2,0),"Other"))</f>
        <v/>
      </c>
      <c r="J2565" s="41" t="str">
        <f aca="false">IF(G2565="","",IFERROR(IF(ISNUMBER(SEARCH(Assumptions!$C$5,G2565)),Assumptions!$D$5,IF(ISNUMBER(SEARCH(Assumptions!$C$6,G2565)),Assumptions!$D$6,IF(ISNUMBER(SEARCH(Assumptions!$C$7,G2565)),Assumptions!$D$7,"Other Services"))),"Other Services"))</f>
        <v/>
      </c>
    </row>
    <row r="2566" customFormat="false" ht="15" hidden="false" customHeight="false" outlineLevel="0" collapsed="false">
      <c r="F2566" s="41" t="str">
        <f aca="false">IF(E2566="","",IFERROR(VLOOKUP(E2566,Assumptions!$G$5:$H$16,2,0),"Other"))</f>
        <v/>
      </c>
      <c r="J2566" s="41" t="str">
        <f aca="false">IF(G2566="","",IFERROR(IF(ISNUMBER(SEARCH(Assumptions!$C$5,G2566)),Assumptions!$D$5,IF(ISNUMBER(SEARCH(Assumptions!$C$6,G2566)),Assumptions!$D$6,IF(ISNUMBER(SEARCH(Assumptions!$C$7,G2566)),Assumptions!$D$7,"Other Services"))),"Other Services"))</f>
        <v/>
      </c>
    </row>
    <row r="2567" customFormat="false" ht="15" hidden="false" customHeight="false" outlineLevel="0" collapsed="false">
      <c r="F2567" s="41" t="str">
        <f aca="false">IF(E2567="","",IFERROR(VLOOKUP(E2567,Assumptions!$G$5:$H$16,2,0),"Other"))</f>
        <v/>
      </c>
      <c r="J2567" s="41" t="str">
        <f aca="false">IF(G2567="","",IFERROR(IF(ISNUMBER(SEARCH(Assumptions!$C$5,G2567)),Assumptions!$D$5,IF(ISNUMBER(SEARCH(Assumptions!$C$6,G2567)),Assumptions!$D$6,IF(ISNUMBER(SEARCH(Assumptions!$C$7,G2567)),Assumptions!$D$7,"Other Services"))),"Other Services"))</f>
        <v/>
      </c>
    </row>
    <row r="2568" customFormat="false" ht="15" hidden="false" customHeight="false" outlineLevel="0" collapsed="false">
      <c r="F2568" s="41" t="str">
        <f aca="false">IF(E2568="","",IFERROR(VLOOKUP(E2568,Assumptions!$G$5:$H$16,2,0),"Other"))</f>
        <v/>
      </c>
      <c r="J2568" s="41" t="str">
        <f aca="false">IF(G2568="","",IFERROR(IF(ISNUMBER(SEARCH(Assumptions!$C$5,G2568)),Assumptions!$D$5,IF(ISNUMBER(SEARCH(Assumptions!$C$6,G2568)),Assumptions!$D$6,IF(ISNUMBER(SEARCH(Assumptions!$C$7,G2568)),Assumptions!$D$7,"Other Services"))),"Other Services"))</f>
        <v/>
      </c>
    </row>
    <row r="2569" customFormat="false" ht="15" hidden="false" customHeight="false" outlineLevel="0" collapsed="false">
      <c r="F2569" s="41" t="str">
        <f aca="false">IF(E2569="","",IFERROR(VLOOKUP(E2569,Assumptions!$G$5:$H$16,2,0),"Other"))</f>
        <v/>
      </c>
      <c r="J2569" s="41" t="str">
        <f aca="false">IF(G2569="","",IFERROR(IF(ISNUMBER(SEARCH(Assumptions!$C$5,G2569)),Assumptions!$D$5,IF(ISNUMBER(SEARCH(Assumptions!$C$6,G2569)),Assumptions!$D$6,IF(ISNUMBER(SEARCH(Assumptions!$C$7,G2569)),Assumptions!$D$7,"Other Services"))),"Other Services"))</f>
        <v/>
      </c>
    </row>
    <row r="2570" customFormat="false" ht="15" hidden="false" customHeight="false" outlineLevel="0" collapsed="false">
      <c r="F2570" s="41" t="str">
        <f aca="false">IF(E2570="","",IFERROR(VLOOKUP(E2570,Assumptions!$G$5:$H$16,2,0),"Other"))</f>
        <v/>
      </c>
      <c r="J2570" s="41" t="str">
        <f aca="false">IF(G2570="","",IFERROR(IF(ISNUMBER(SEARCH(Assumptions!$C$5,G2570)),Assumptions!$D$5,IF(ISNUMBER(SEARCH(Assumptions!$C$6,G2570)),Assumptions!$D$6,IF(ISNUMBER(SEARCH(Assumptions!$C$7,G2570)),Assumptions!$D$7,"Other Services"))),"Other Services"))</f>
        <v/>
      </c>
    </row>
    <row r="2571" customFormat="false" ht="15" hidden="false" customHeight="false" outlineLevel="0" collapsed="false">
      <c r="F2571" s="41" t="str">
        <f aca="false">IF(E2571="","",IFERROR(VLOOKUP(E2571,Assumptions!$G$5:$H$16,2,0),"Other"))</f>
        <v/>
      </c>
      <c r="J2571" s="41" t="str">
        <f aca="false">IF(G2571="","",IFERROR(IF(ISNUMBER(SEARCH(Assumptions!$C$5,G2571)),Assumptions!$D$5,IF(ISNUMBER(SEARCH(Assumptions!$C$6,G2571)),Assumptions!$D$6,IF(ISNUMBER(SEARCH(Assumptions!$C$7,G2571)),Assumptions!$D$7,"Other Services"))),"Other Services"))</f>
        <v/>
      </c>
    </row>
    <row r="2572" customFormat="false" ht="15" hidden="false" customHeight="false" outlineLevel="0" collapsed="false">
      <c r="F2572" s="41" t="str">
        <f aca="false">IF(E2572="","",IFERROR(VLOOKUP(E2572,Assumptions!$G$5:$H$16,2,0),"Other"))</f>
        <v/>
      </c>
      <c r="J2572" s="41" t="str">
        <f aca="false">IF(G2572="","",IFERROR(IF(ISNUMBER(SEARCH(Assumptions!$C$5,G2572)),Assumptions!$D$5,IF(ISNUMBER(SEARCH(Assumptions!$C$6,G2572)),Assumptions!$D$6,IF(ISNUMBER(SEARCH(Assumptions!$C$7,G2572)),Assumptions!$D$7,"Other Services"))),"Other Services"))</f>
        <v/>
      </c>
    </row>
    <row r="2573" customFormat="false" ht="15" hidden="false" customHeight="false" outlineLevel="0" collapsed="false">
      <c r="F2573" s="41" t="str">
        <f aca="false">IF(E2573="","",IFERROR(VLOOKUP(E2573,Assumptions!$G$5:$H$16,2,0),"Other"))</f>
        <v/>
      </c>
      <c r="J2573" s="41" t="str">
        <f aca="false">IF(G2573="","",IFERROR(IF(ISNUMBER(SEARCH(Assumptions!$C$5,G2573)),Assumptions!$D$5,IF(ISNUMBER(SEARCH(Assumptions!$C$6,G2573)),Assumptions!$D$6,IF(ISNUMBER(SEARCH(Assumptions!$C$7,G2573)),Assumptions!$D$7,"Other Services"))),"Other Services"))</f>
        <v/>
      </c>
    </row>
    <row r="2574" customFormat="false" ht="15" hidden="false" customHeight="false" outlineLevel="0" collapsed="false">
      <c r="F2574" s="41" t="str">
        <f aca="false">IF(E2574="","",IFERROR(VLOOKUP(E2574,Assumptions!$G$5:$H$16,2,0),"Other"))</f>
        <v/>
      </c>
      <c r="J2574" s="41" t="str">
        <f aca="false">IF(G2574="","",IFERROR(IF(ISNUMBER(SEARCH(Assumptions!$C$5,G2574)),Assumptions!$D$5,IF(ISNUMBER(SEARCH(Assumptions!$C$6,G2574)),Assumptions!$D$6,IF(ISNUMBER(SEARCH(Assumptions!$C$7,G2574)),Assumptions!$D$7,"Other Services"))),"Other Services"))</f>
        <v/>
      </c>
    </row>
    <row r="2575" customFormat="false" ht="15" hidden="false" customHeight="false" outlineLevel="0" collapsed="false">
      <c r="F2575" s="41" t="str">
        <f aca="false">IF(E2575="","",IFERROR(VLOOKUP(E2575,Assumptions!$G$5:$H$16,2,0),"Other"))</f>
        <v/>
      </c>
      <c r="J2575" s="41" t="str">
        <f aca="false">IF(G2575="","",IFERROR(IF(ISNUMBER(SEARCH(Assumptions!$C$5,G2575)),Assumptions!$D$5,IF(ISNUMBER(SEARCH(Assumptions!$C$6,G2575)),Assumptions!$D$6,IF(ISNUMBER(SEARCH(Assumptions!$C$7,G2575)),Assumptions!$D$7,"Other Services"))),"Other Services"))</f>
        <v/>
      </c>
    </row>
    <row r="2576" customFormat="false" ht="15" hidden="false" customHeight="false" outlineLevel="0" collapsed="false">
      <c r="F2576" s="41" t="str">
        <f aca="false">IF(E2576="","",IFERROR(VLOOKUP(E2576,Assumptions!$G$5:$H$16,2,0),"Other"))</f>
        <v/>
      </c>
      <c r="J2576" s="41" t="str">
        <f aca="false">IF(G2576="","",IFERROR(IF(ISNUMBER(SEARCH(Assumptions!$C$5,G2576)),Assumptions!$D$5,IF(ISNUMBER(SEARCH(Assumptions!$C$6,G2576)),Assumptions!$D$6,IF(ISNUMBER(SEARCH(Assumptions!$C$7,G2576)),Assumptions!$D$7,"Other Services"))),"Other Services"))</f>
        <v/>
      </c>
    </row>
    <row r="2577" customFormat="false" ht="15" hidden="false" customHeight="false" outlineLevel="0" collapsed="false">
      <c r="F2577" s="41" t="str">
        <f aca="false">IF(E2577="","",IFERROR(VLOOKUP(E2577,Assumptions!$G$5:$H$16,2,0),"Other"))</f>
        <v/>
      </c>
      <c r="J2577" s="41" t="str">
        <f aca="false">IF(G2577="","",IFERROR(IF(ISNUMBER(SEARCH(Assumptions!$C$5,G2577)),Assumptions!$D$5,IF(ISNUMBER(SEARCH(Assumptions!$C$6,G2577)),Assumptions!$D$6,IF(ISNUMBER(SEARCH(Assumptions!$C$7,G2577)),Assumptions!$D$7,"Other Services"))),"Other Services"))</f>
        <v/>
      </c>
    </row>
    <row r="2578" customFormat="false" ht="15" hidden="false" customHeight="false" outlineLevel="0" collapsed="false">
      <c r="F2578" s="41" t="str">
        <f aca="false">IF(E2578="","",IFERROR(VLOOKUP(E2578,Assumptions!$G$5:$H$16,2,0),"Other"))</f>
        <v/>
      </c>
      <c r="J2578" s="41" t="str">
        <f aca="false">IF(G2578="","",IFERROR(IF(ISNUMBER(SEARCH(Assumptions!$C$5,G2578)),Assumptions!$D$5,IF(ISNUMBER(SEARCH(Assumptions!$C$6,G2578)),Assumptions!$D$6,IF(ISNUMBER(SEARCH(Assumptions!$C$7,G2578)),Assumptions!$D$7,"Other Services"))),"Other Services"))</f>
        <v/>
      </c>
    </row>
    <row r="2579" customFormat="false" ht="15" hidden="false" customHeight="false" outlineLevel="0" collapsed="false">
      <c r="F2579" s="41" t="str">
        <f aca="false">IF(E2579="","",IFERROR(VLOOKUP(E2579,Assumptions!$G$5:$H$16,2,0),"Other"))</f>
        <v/>
      </c>
      <c r="J2579" s="41" t="str">
        <f aca="false">IF(G2579="","",IFERROR(IF(ISNUMBER(SEARCH(Assumptions!$C$5,G2579)),Assumptions!$D$5,IF(ISNUMBER(SEARCH(Assumptions!$C$6,G2579)),Assumptions!$D$6,IF(ISNUMBER(SEARCH(Assumptions!$C$7,G2579)),Assumptions!$D$7,"Other Services"))),"Other Services"))</f>
        <v/>
      </c>
    </row>
    <row r="2580" customFormat="false" ht="15" hidden="false" customHeight="false" outlineLevel="0" collapsed="false">
      <c r="F2580" s="41" t="str">
        <f aca="false">IF(E2580="","",IFERROR(VLOOKUP(E2580,Assumptions!$G$5:$H$16,2,0),"Other"))</f>
        <v/>
      </c>
      <c r="J2580" s="41" t="str">
        <f aca="false">IF(G2580="","",IFERROR(IF(ISNUMBER(SEARCH(Assumptions!$C$5,G2580)),Assumptions!$D$5,IF(ISNUMBER(SEARCH(Assumptions!$C$6,G2580)),Assumptions!$D$6,IF(ISNUMBER(SEARCH(Assumptions!$C$7,G2580)),Assumptions!$D$7,"Other Services"))),"Other Services"))</f>
        <v/>
      </c>
    </row>
    <row r="2581" customFormat="false" ht="15" hidden="false" customHeight="false" outlineLevel="0" collapsed="false">
      <c r="F2581" s="41" t="str">
        <f aca="false">IF(E2581="","",IFERROR(VLOOKUP(E2581,Assumptions!$G$5:$H$16,2,0),"Other"))</f>
        <v/>
      </c>
      <c r="J2581" s="41" t="str">
        <f aca="false">IF(G2581="","",IFERROR(IF(ISNUMBER(SEARCH(Assumptions!$C$5,G2581)),Assumptions!$D$5,IF(ISNUMBER(SEARCH(Assumptions!$C$6,G2581)),Assumptions!$D$6,IF(ISNUMBER(SEARCH(Assumptions!$C$7,G2581)),Assumptions!$D$7,"Other Services"))),"Other Services"))</f>
        <v/>
      </c>
    </row>
    <row r="2582" customFormat="false" ht="15" hidden="false" customHeight="false" outlineLevel="0" collapsed="false">
      <c r="F2582" s="41" t="str">
        <f aca="false">IF(E2582="","",IFERROR(VLOOKUP(E2582,Assumptions!$G$5:$H$16,2,0),"Other"))</f>
        <v/>
      </c>
      <c r="J2582" s="41" t="str">
        <f aca="false">IF(G2582="","",IFERROR(IF(ISNUMBER(SEARCH(Assumptions!$C$5,G2582)),Assumptions!$D$5,IF(ISNUMBER(SEARCH(Assumptions!$C$6,G2582)),Assumptions!$D$6,IF(ISNUMBER(SEARCH(Assumptions!$C$7,G2582)),Assumptions!$D$7,"Other Services"))),"Other Services"))</f>
        <v/>
      </c>
    </row>
    <row r="2583" customFormat="false" ht="15" hidden="false" customHeight="false" outlineLevel="0" collapsed="false">
      <c r="F2583" s="41" t="str">
        <f aca="false">IF(E2583="","",IFERROR(VLOOKUP(E2583,Assumptions!$G$5:$H$16,2,0),"Other"))</f>
        <v/>
      </c>
      <c r="J2583" s="41" t="str">
        <f aca="false">IF(G2583="","",IFERROR(IF(ISNUMBER(SEARCH(Assumptions!$C$5,G2583)),Assumptions!$D$5,IF(ISNUMBER(SEARCH(Assumptions!$C$6,G2583)),Assumptions!$D$6,IF(ISNUMBER(SEARCH(Assumptions!$C$7,G2583)),Assumptions!$D$7,"Other Services"))),"Other Services"))</f>
        <v/>
      </c>
    </row>
    <row r="2584" customFormat="false" ht="15" hidden="false" customHeight="false" outlineLevel="0" collapsed="false">
      <c r="F2584" s="41" t="str">
        <f aca="false">IF(E2584="","",IFERROR(VLOOKUP(E2584,Assumptions!$G$5:$H$16,2,0),"Other"))</f>
        <v/>
      </c>
      <c r="J2584" s="41" t="str">
        <f aca="false">IF(G2584="","",IFERROR(IF(ISNUMBER(SEARCH(Assumptions!$C$5,G2584)),Assumptions!$D$5,IF(ISNUMBER(SEARCH(Assumptions!$C$6,G2584)),Assumptions!$D$6,IF(ISNUMBER(SEARCH(Assumptions!$C$7,G2584)),Assumptions!$D$7,"Other Services"))),"Other Services"))</f>
        <v/>
      </c>
    </row>
    <row r="2585" customFormat="false" ht="15" hidden="false" customHeight="false" outlineLevel="0" collapsed="false">
      <c r="F2585" s="41" t="str">
        <f aca="false">IF(E2585="","",IFERROR(VLOOKUP(E2585,Assumptions!$G$5:$H$16,2,0),"Other"))</f>
        <v/>
      </c>
      <c r="J2585" s="41" t="str">
        <f aca="false">IF(G2585="","",IFERROR(IF(ISNUMBER(SEARCH(Assumptions!$C$5,G2585)),Assumptions!$D$5,IF(ISNUMBER(SEARCH(Assumptions!$C$6,G2585)),Assumptions!$D$6,IF(ISNUMBER(SEARCH(Assumptions!$C$7,G2585)),Assumptions!$D$7,"Other Services"))),"Other Services"))</f>
        <v/>
      </c>
    </row>
    <row r="2586" customFormat="false" ht="15" hidden="false" customHeight="false" outlineLevel="0" collapsed="false">
      <c r="F2586" s="41" t="str">
        <f aca="false">IF(E2586="","",IFERROR(VLOOKUP(E2586,Assumptions!$G$5:$H$16,2,0),"Other"))</f>
        <v/>
      </c>
      <c r="J2586" s="41" t="str">
        <f aca="false">IF(G2586="","",IFERROR(IF(ISNUMBER(SEARCH(Assumptions!$C$5,G2586)),Assumptions!$D$5,IF(ISNUMBER(SEARCH(Assumptions!$C$6,G2586)),Assumptions!$D$6,IF(ISNUMBER(SEARCH(Assumptions!$C$7,G2586)),Assumptions!$D$7,"Other Services"))),"Other Services"))</f>
        <v/>
      </c>
    </row>
    <row r="2587" customFormat="false" ht="15" hidden="false" customHeight="false" outlineLevel="0" collapsed="false">
      <c r="F2587" s="41" t="str">
        <f aca="false">IF(E2587="","",IFERROR(VLOOKUP(E2587,Assumptions!$G$5:$H$16,2,0),"Other"))</f>
        <v/>
      </c>
      <c r="J2587" s="41" t="str">
        <f aca="false">IF(G2587="","",IFERROR(IF(ISNUMBER(SEARCH(Assumptions!$C$5,G2587)),Assumptions!$D$5,IF(ISNUMBER(SEARCH(Assumptions!$C$6,G2587)),Assumptions!$D$6,IF(ISNUMBER(SEARCH(Assumptions!$C$7,G2587)),Assumptions!$D$7,"Other Services"))),"Other Services"))</f>
        <v/>
      </c>
    </row>
    <row r="2588" customFormat="false" ht="15" hidden="false" customHeight="false" outlineLevel="0" collapsed="false">
      <c r="F2588" s="41" t="str">
        <f aca="false">IF(E2588="","",IFERROR(VLOOKUP(E2588,Assumptions!$G$5:$H$16,2,0),"Other"))</f>
        <v/>
      </c>
      <c r="J2588" s="41" t="str">
        <f aca="false">IF(G2588="","",IFERROR(IF(ISNUMBER(SEARCH(Assumptions!$C$5,G2588)),Assumptions!$D$5,IF(ISNUMBER(SEARCH(Assumptions!$C$6,G2588)),Assumptions!$D$6,IF(ISNUMBER(SEARCH(Assumptions!$C$7,G2588)),Assumptions!$D$7,"Other Services"))),"Other Services"))</f>
        <v/>
      </c>
    </row>
    <row r="2589" customFormat="false" ht="15" hidden="false" customHeight="false" outlineLevel="0" collapsed="false">
      <c r="F2589" s="41" t="str">
        <f aca="false">IF(E2589="","",IFERROR(VLOOKUP(E2589,Assumptions!$G$5:$H$16,2,0),"Other"))</f>
        <v/>
      </c>
      <c r="J2589" s="41" t="str">
        <f aca="false">IF(G2589="","",IFERROR(IF(ISNUMBER(SEARCH(Assumptions!$C$5,G2589)),Assumptions!$D$5,IF(ISNUMBER(SEARCH(Assumptions!$C$6,G2589)),Assumptions!$D$6,IF(ISNUMBER(SEARCH(Assumptions!$C$7,G2589)),Assumptions!$D$7,"Other Services"))),"Other Services"))</f>
        <v/>
      </c>
    </row>
    <row r="2590" customFormat="false" ht="15" hidden="false" customHeight="false" outlineLevel="0" collapsed="false">
      <c r="F2590" s="41" t="str">
        <f aca="false">IF(E2590="","",IFERROR(VLOOKUP(E2590,Assumptions!$G$5:$H$16,2,0),"Other"))</f>
        <v/>
      </c>
      <c r="J2590" s="41" t="str">
        <f aca="false">IF(G2590="","",IFERROR(IF(ISNUMBER(SEARCH(Assumptions!$C$5,G2590)),Assumptions!$D$5,IF(ISNUMBER(SEARCH(Assumptions!$C$6,G2590)),Assumptions!$D$6,IF(ISNUMBER(SEARCH(Assumptions!$C$7,G2590)),Assumptions!$D$7,"Other Services"))),"Other Services"))</f>
        <v/>
      </c>
    </row>
    <row r="2591" customFormat="false" ht="15" hidden="false" customHeight="false" outlineLevel="0" collapsed="false">
      <c r="F2591" s="41" t="str">
        <f aca="false">IF(E2591="","",IFERROR(VLOOKUP(E2591,Assumptions!$G$5:$H$16,2,0),"Other"))</f>
        <v/>
      </c>
      <c r="J2591" s="41" t="str">
        <f aca="false">IF(G2591="","",IFERROR(IF(ISNUMBER(SEARCH(Assumptions!$C$5,G2591)),Assumptions!$D$5,IF(ISNUMBER(SEARCH(Assumptions!$C$6,G2591)),Assumptions!$D$6,IF(ISNUMBER(SEARCH(Assumptions!$C$7,G2591)),Assumptions!$D$7,"Other Services"))),"Other Services"))</f>
        <v/>
      </c>
    </row>
    <row r="2592" customFormat="false" ht="15" hidden="false" customHeight="false" outlineLevel="0" collapsed="false">
      <c r="F2592" s="41" t="str">
        <f aca="false">IF(E2592="","",IFERROR(VLOOKUP(E2592,Assumptions!$G$5:$H$16,2,0),"Other"))</f>
        <v/>
      </c>
      <c r="J2592" s="41" t="str">
        <f aca="false">IF(G2592="","",IFERROR(IF(ISNUMBER(SEARCH(Assumptions!$C$5,G2592)),Assumptions!$D$5,IF(ISNUMBER(SEARCH(Assumptions!$C$6,G2592)),Assumptions!$D$6,IF(ISNUMBER(SEARCH(Assumptions!$C$7,G2592)),Assumptions!$D$7,"Other Services"))),"Other Services"))</f>
        <v/>
      </c>
    </row>
    <row r="2593" customFormat="false" ht="15" hidden="false" customHeight="false" outlineLevel="0" collapsed="false">
      <c r="F2593" s="41" t="str">
        <f aca="false">IF(E2593="","",IFERROR(VLOOKUP(E2593,Assumptions!$G$5:$H$16,2,0),"Other"))</f>
        <v/>
      </c>
      <c r="J2593" s="41" t="str">
        <f aca="false">IF(G2593="","",IFERROR(IF(ISNUMBER(SEARCH(Assumptions!$C$5,G2593)),Assumptions!$D$5,IF(ISNUMBER(SEARCH(Assumptions!$C$6,G2593)),Assumptions!$D$6,IF(ISNUMBER(SEARCH(Assumptions!$C$7,G2593)),Assumptions!$D$7,"Other Services"))),"Other Services"))</f>
        <v/>
      </c>
    </row>
    <row r="2594" customFormat="false" ht="15" hidden="false" customHeight="false" outlineLevel="0" collapsed="false">
      <c r="F2594" s="41" t="str">
        <f aca="false">IF(E2594="","",IFERROR(VLOOKUP(E2594,Assumptions!$G$5:$H$16,2,0),"Other"))</f>
        <v/>
      </c>
      <c r="J2594" s="41" t="str">
        <f aca="false">IF(G2594="","",IFERROR(IF(ISNUMBER(SEARCH(Assumptions!$C$5,G2594)),Assumptions!$D$5,IF(ISNUMBER(SEARCH(Assumptions!$C$6,G2594)),Assumptions!$D$6,IF(ISNUMBER(SEARCH(Assumptions!$C$7,G2594)),Assumptions!$D$7,"Other Services"))),"Other Services"))</f>
        <v/>
      </c>
    </row>
    <row r="2595" customFormat="false" ht="15" hidden="false" customHeight="false" outlineLevel="0" collapsed="false">
      <c r="F2595" s="41" t="str">
        <f aca="false">IF(E2595="","",IFERROR(VLOOKUP(E2595,Assumptions!$G$5:$H$16,2,0),"Other"))</f>
        <v/>
      </c>
      <c r="J2595" s="41" t="str">
        <f aca="false">IF(G2595="","",IFERROR(IF(ISNUMBER(SEARCH(Assumptions!$C$5,G2595)),Assumptions!$D$5,IF(ISNUMBER(SEARCH(Assumptions!$C$6,G2595)),Assumptions!$D$6,IF(ISNUMBER(SEARCH(Assumptions!$C$7,G2595)),Assumptions!$D$7,"Other Services"))),"Other Services"))</f>
        <v/>
      </c>
    </row>
    <row r="2596" customFormat="false" ht="15" hidden="false" customHeight="false" outlineLevel="0" collapsed="false">
      <c r="F2596" s="41" t="str">
        <f aca="false">IF(E2596="","",IFERROR(VLOOKUP(E2596,Assumptions!$G$5:$H$16,2,0),"Other"))</f>
        <v/>
      </c>
      <c r="J2596" s="41" t="str">
        <f aca="false">IF(G2596="","",IFERROR(IF(ISNUMBER(SEARCH(Assumptions!$C$5,G2596)),Assumptions!$D$5,IF(ISNUMBER(SEARCH(Assumptions!$C$6,G2596)),Assumptions!$D$6,IF(ISNUMBER(SEARCH(Assumptions!$C$7,G2596)),Assumptions!$D$7,"Other Services"))),"Other Services"))</f>
        <v/>
      </c>
    </row>
    <row r="2597" customFormat="false" ht="15" hidden="false" customHeight="false" outlineLevel="0" collapsed="false">
      <c r="F2597" s="41" t="str">
        <f aca="false">IF(E2597="","",IFERROR(VLOOKUP(E2597,Assumptions!$G$5:$H$16,2,0),"Other"))</f>
        <v/>
      </c>
      <c r="J2597" s="41" t="str">
        <f aca="false">IF(G2597="","",IFERROR(IF(ISNUMBER(SEARCH(Assumptions!$C$5,G2597)),Assumptions!$D$5,IF(ISNUMBER(SEARCH(Assumptions!$C$6,G2597)),Assumptions!$D$6,IF(ISNUMBER(SEARCH(Assumptions!$C$7,G2597)),Assumptions!$D$7,"Other Services"))),"Other Services"))</f>
        <v/>
      </c>
    </row>
    <row r="2598" customFormat="false" ht="15" hidden="false" customHeight="false" outlineLevel="0" collapsed="false">
      <c r="F2598" s="41" t="str">
        <f aca="false">IF(E2598="","",IFERROR(VLOOKUP(E2598,Assumptions!$G$5:$H$16,2,0),"Other"))</f>
        <v/>
      </c>
      <c r="J2598" s="41" t="str">
        <f aca="false">IF(G2598="","",IFERROR(IF(ISNUMBER(SEARCH(Assumptions!$C$5,G2598)),Assumptions!$D$5,IF(ISNUMBER(SEARCH(Assumptions!$C$6,G2598)),Assumptions!$D$6,IF(ISNUMBER(SEARCH(Assumptions!$C$7,G2598)),Assumptions!$D$7,"Other Services"))),"Other Services"))</f>
        <v/>
      </c>
    </row>
    <row r="2599" customFormat="false" ht="15" hidden="false" customHeight="false" outlineLevel="0" collapsed="false">
      <c r="F2599" s="41" t="str">
        <f aca="false">IF(E2599="","",IFERROR(VLOOKUP(E2599,Assumptions!$G$5:$H$16,2,0),"Other"))</f>
        <v/>
      </c>
      <c r="J2599" s="41" t="str">
        <f aca="false">IF(G2599="","",IFERROR(IF(ISNUMBER(SEARCH(Assumptions!$C$5,G2599)),Assumptions!$D$5,IF(ISNUMBER(SEARCH(Assumptions!$C$6,G2599)),Assumptions!$D$6,IF(ISNUMBER(SEARCH(Assumptions!$C$7,G2599)),Assumptions!$D$7,"Other Services"))),"Other Services"))</f>
        <v/>
      </c>
    </row>
    <row r="2600" customFormat="false" ht="15" hidden="false" customHeight="false" outlineLevel="0" collapsed="false">
      <c r="F2600" s="41" t="str">
        <f aca="false">IF(E2600="","",IFERROR(VLOOKUP(E2600,Assumptions!$G$5:$H$16,2,0),"Other"))</f>
        <v/>
      </c>
      <c r="J2600" s="41" t="str">
        <f aca="false">IF(G2600="","",IFERROR(IF(ISNUMBER(SEARCH(Assumptions!$C$5,G2600)),Assumptions!$D$5,IF(ISNUMBER(SEARCH(Assumptions!$C$6,G2600)),Assumptions!$D$6,IF(ISNUMBER(SEARCH(Assumptions!$C$7,G2600)),Assumptions!$D$7,"Other Services"))),"Other Services"))</f>
        <v/>
      </c>
    </row>
    <row r="2601" customFormat="false" ht="15" hidden="false" customHeight="false" outlineLevel="0" collapsed="false">
      <c r="F2601" s="41" t="str">
        <f aca="false">IF(E2601="","",IFERROR(VLOOKUP(E2601,Assumptions!$G$5:$H$16,2,0),"Other"))</f>
        <v/>
      </c>
      <c r="J2601" s="41" t="str">
        <f aca="false">IF(G2601="","",IFERROR(IF(ISNUMBER(SEARCH(Assumptions!$C$5,G2601)),Assumptions!$D$5,IF(ISNUMBER(SEARCH(Assumptions!$C$6,G2601)),Assumptions!$D$6,IF(ISNUMBER(SEARCH(Assumptions!$C$7,G2601)),Assumptions!$D$7,"Other Services"))),"Other Services"))</f>
        <v/>
      </c>
    </row>
    <row r="2602" customFormat="false" ht="15" hidden="false" customHeight="false" outlineLevel="0" collapsed="false">
      <c r="F2602" s="41" t="str">
        <f aca="false">IF(E2602="","",IFERROR(VLOOKUP(E2602,Assumptions!$G$5:$H$16,2,0),"Other"))</f>
        <v/>
      </c>
      <c r="J2602" s="41" t="str">
        <f aca="false">IF(G2602="","",IFERROR(IF(ISNUMBER(SEARCH(Assumptions!$C$5,G2602)),Assumptions!$D$5,IF(ISNUMBER(SEARCH(Assumptions!$C$6,G2602)),Assumptions!$D$6,IF(ISNUMBER(SEARCH(Assumptions!$C$7,G2602)),Assumptions!$D$7,"Other Services"))),"Other Services"))</f>
        <v/>
      </c>
    </row>
    <row r="2603" customFormat="false" ht="15" hidden="false" customHeight="false" outlineLevel="0" collapsed="false">
      <c r="F2603" s="41" t="str">
        <f aca="false">IF(E2603="","",IFERROR(VLOOKUP(E2603,Assumptions!$G$5:$H$16,2,0),"Other"))</f>
        <v/>
      </c>
      <c r="J2603" s="41" t="str">
        <f aca="false">IF(G2603="","",IFERROR(IF(ISNUMBER(SEARCH(Assumptions!$C$5,G2603)),Assumptions!$D$5,IF(ISNUMBER(SEARCH(Assumptions!$C$6,G2603)),Assumptions!$D$6,IF(ISNUMBER(SEARCH(Assumptions!$C$7,G2603)),Assumptions!$D$7,"Other Services"))),"Other Services"))</f>
        <v/>
      </c>
    </row>
    <row r="2604" customFormat="false" ht="15" hidden="false" customHeight="false" outlineLevel="0" collapsed="false">
      <c r="F2604" s="41" t="str">
        <f aca="false">IF(E2604="","",IFERROR(VLOOKUP(E2604,Assumptions!$G$5:$H$16,2,0),"Other"))</f>
        <v/>
      </c>
      <c r="J2604" s="41" t="str">
        <f aca="false">IF(G2604="","",IFERROR(IF(ISNUMBER(SEARCH(Assumptions!$C$5,G2604)),Assumptions!$D$5,IF(ISNUMBER(SEARCH(Assumptions!$C$6,G2604)),Assumptions!$D$6,IF(ISNUMBER(SEARCH(Assumptions!$C$7,G2604)),Assumptions!$D$7,"Other Services"))),"Other Services"))</f>
        <v/>
      </c>
    </row>
    <row r="2605" customFormat="false" ht="15" hidden="false" customHeight="false" outlineLevel="0" collapsed="false">
      <c r="F2605" s="41" t="str">
        <f aca="false">IF(E2605="","",IFERROR(VLOOKUP(E2605,Assumptions!$G$5:$H$16,2,0),"Other"))</f>
        <v/>
      </c>
      <c r="J2605" s="41" t="str">
        <f aca="false">IF(G2605="","",IFERROR(IF(ISNUMBER(SEARCH(Assumptions!$C$5,G2605)),Assumptions!$D$5,IF(ISNUMBER(SEARCH(Assumptions!$C$6,G2605)),Assumptions!$D$6,IF(ISNUMBER(SEARCH(Assumptions!$C$7,G2605)),Assumptions!$D$7,"Other Services"))),"Other Services"))</f>
        <v/>
      </c>
    </row>
    <row r="2606" customFormat="false" ht="15" hidden="false" customHeight="false" outlineLevel="0" collapsed="false">
      <c r="F2606" s="41" t="str">
        <f aca="false">IF(E2606="","",IFERROR(VLOOKUP(E2606,Assumptions!$G$5:$H$16,2,0),"Other"))</f>
        <v/>
      </c>
      <c r="J2606" s="41" t="str">
        <f aca="false">IF(G2606="","",IFERROR(IF(ISNUMBER(SEARCH(Assumptions!$C$5,G2606)),Assumptions!$D$5,IF(ISNUMBER(SEARCH(Assumptions!$C$6,G2606)),Assumptions!$D$6,IF(ISNUMBER(SEARCH(Assumptions!$C$7,G2606)),Assumptions!$D$7,"Other Services"))),"Other Services"))</f>
        <v/>
      </c>
    </row>
    <row r="2607" customFormat="false" ht="15" hidden="false" customHeight="false" outlineLevel="0" collapsed="false">
      <c r="F2607" s="41" t="str">
        <f aca="false">IF(E2607="","",IFERROR(VLOOKUP(E2607,Assumptions!$G$5:$H$16,2,0),"Other"))</f>
        <v/>
      </c>
      <c r="J2607" s="41" t="str">
        <f aca="false">IF(G2607="","",IFERROR(IF(ISNUMBER(SEARCH(Assumptions!$C$5,G2607)),Assumptions!$D$5,IF(ISNUMBER(SEARCH(Assumptions!$C$6,G2607)),Assumptions!$D$6,IF(ISNUMBER(SEARCH(Assumptions!$C$7,G2607)),Assumptions!$D$7,"Other Services"))),"Other Services"))</f>
        <v/>
      </c>
    </row>
    <row r="2608" customFormat="false" ht="15" hidden="false" customHeight="false" outlineLevel="0" collapsed="false">
      <c r="F2608" s="41" t="str">
        <f aca="false">IF(E2608="","",IFERROR(VLOOKUP(E2608,Assumptions!$G$5:$H$16,2,0),"Other"))</f>
        <v/>
      </c>
      <c r="J2608" s="41" t="str">
        <f aca="false">IF(G2608="","",IFERROR(IF(ISNUMBER(SEARCH(Assumptions!$C$5,G2608)),Assumptions!$D$5,IF(ISNUMBER(SEARCH(Assumptions!$C$6,G2608)),Assumptions!$D$6,IF(ISNUMBER(SEARCH(Assumptions!$C$7,G2608)),Assumptions!$D$7,"Other Services"))),"Other Services"))</f>
        <v/>
      </c>
    </row>
    <row r="2609" customFormat="false" ht="15" hidden="false" customHeight="false" outlineLevel="0" collapsed="false">
      <c r="F2609" s="41" t="str">
        <f aca="false">IF(E2609="","",IFERROR(VLOOKUP(E2609,Assumptions!$G$5:$H$16,2,0),"Other"))</f>
        <v/>
      </c>
      <c r="J2609" s="41" t="str">
        <f aca="false">IF(G2609="","",IFERROR(IF(ISNUMBER(SEARCH(Assumptions!$C$5,G2609)),Assumptions!$D$5,IF(ISNUMBER(SEARCH(Assumptions!$C$6,G2609)),Assumptions!$D$6,IF(ISNUMBER(SEARCH(Assumptions!$C$7,G2609)),Assumptions!$D$7,"Other Services"))),"Other Services"))</f>
        <v/>
      </c>
    </row>
    <row r="2610" customFormat="false" ht="15" hidden="false" customHeight="false" outlineLevel="0" collapsed="false">
      <c r="F2610" s="41" t="str">
        <f aca="false">IF(E2610="","",IFERROR(VLOOKUP(E2610,Assumptions!$G$5:$H$16,2,0),"Other"))</f>
        <v/>
      </c>
      <c r="J2610" s="41" t="str">
        <f aca="false">IF(G2610="","",IFERROR(IF(ISNUMBER(SEARCH(Assumptions!$C$5,G2610)),Assumptions!$D$5,IF(ISNUMBER(SEARCH(Assumptions!$C$6,G2610)),Assumptions!$D$6,IF(ISNUMBER(SEARCH(Assumptions!$C$7,G2610)),Assumptions!$D$7,"Other Services"))),"Other Services"))</f>
        <v/>
      </c>
    </row>
    <row r="2611" customFormat="false" ht="15" hidden="false" customHeight="false" outlineLevel="0" collapsed="false">
      <c r="F2611" s="41" t="str">
        <f aca="false">IF(E2611="","",IFERROR(VLOOKUP(E2611,Assumptions!$G$5:$H$16,2,0),"Other"))</f>
        <v/>
      </c>
      <c r="J2611" s="41" t="str">
        <f aca="false">IF(G2611="","",IFERROR(IF(ISNUMBER(SEARCH(Assumptions!$C$5,G2611)),Assumptions!$D$5,IF(ISNUMBER(SEARCH(Assumptions!$C$6,G2611)),Assumptions!$D$6,IF(ISNUMBER(SEARCH(Assumptions!$C$7,G2611)),Assumptions!$D$7,"Other Services"))),"Other Services"))</f>
        <v/>
      </c>
    </row>
    <row r="2612" customFormat="false" ht="15" hidden="false" customHeight="false" outlineLevel="0" collapsed="false">
      <c r="F2612" s="41" t="str">
        <f aca="false">IF(E2612="","",IFERROR(VLOOKUP(E2612,Assumptions!$G$5:$H$16,2,0),"Other"))</f>
        <v/>
      </c>
      <c r="J2612" s="41" t="str">
        <f aca="false">IF(G2612="","",IFERROR(IF(ISNUMBER(SEARCH(Assumptions!$C$5,G2612)),Assumptions!$D$5,IF(ISNUMBER(SEARCH(Assumptions!$C$6,G2612)),Assumptions!$D$6,IF(ISNUMBER(SEARCH(Assumptions!$C$7,G2612)),Assumptions!$D$7,"Other Services"))),"Other Services"))</f>
        <v/>
      </c>
    </row>
    <row r="2613" customFormat="false" ht="15" hidden="false" customHeight="false" outlineLevel="0" collapsed="false">
      <c r="F2613" s="41" t="str">
        <f aca="false">IF(E2613="","",IFERROR(VLOOKUP(E2613,Assumptions!$G$5:$H$16,2,0),"Other"))</f>
        <v/>
      </c>
      <c r="J2613" s="41" t="str">
        <f aca="false">IF(G2613="","",IFERROR(IF(ISNUMBER(SEARCH(Assumptions!$C$5,G2613)),Assumptions!$D$5,IF(ISNUMBER(SEARCH(Assumptions!$C$6,G2613)),Assumptions!$D$6,IF(ISNUMBER(SEARCH(Assumptions!$C$7,G2613)),Assumptions!$D$7,"Other Services"))),"Other Services"))</f>
        <v/>
      </c>
    </row>
    <row r="2614" customFormat="false" ht="15" hidden="false" customHeight="false" outlineLevel="0" collapsed="false">
      <c r="F2614" s="41" t="str">
        <f aca="false">IF(E2614="","",IFERROR(VLOOKUP(E2614,Assumptions!$G$5:$H$16,2,0),"Other"))</f>
        <v/>
      </c>
      <c r="J2614" s="41" t="str">
        <f aca="false">IF(G2614="","",IFERROR(IF(ISNUMBER(SEARCH(Assumptions!$C$5,G2614)),Assumptions!$D$5,IF(ISNUMBER(SEARCH(Assumptions!$C$6,G2614)),Assumptions!$D$6,IF(ISNUMBER(SEARCH(Assumptions!$C$7,G2614)),Assumptions!$D$7,"Other Services"))),"Other Services"))</f>
        <v/>
      </c>
    </row>
    <row r="2615" customFormat="false" ht="15" hidden="false" customHeight="false" outlineLevel="0" collapsed="false">
      <c r="F2615" s="41" t="str">
        <f aca="false">IF(E2615="","",IFERROR(VLOOKUP(E2615,Assumptions!$G$5:$H$16,2,0),"Other"))</f>
        <v/>
      </c>
      <c r="J2615" s="41" t="str">
        <f aca="false">IF(G2615="","",IFERROR(IF(ISNUMBER(SEARCH(Assumptions!$C$5,G2615)),Assumptions!$D$5,IF(ISNUMBER(SEARCH(Assumptions!$C$6,G2615)),Assumptions!$D$6,IF(ISNUMBER(SEARCH(Assumptions!$C$7,G2615)),Assumptions!$D$7,"Other Services"))),"Other Services"))</f>
        <v/>
      </c>
    </row>
    <row r="2616" customFormat="false" ht="15" hidden="false" customHeight="false" outlineLevel="0" collapsed="false">
      <c r="F2616" s="41" t="str">
        <f aca="false">IF(E2616="","",IFERROR(VLOOKUP(E2616,Assumptions!$G$5:$H$16,2,0),"Other"))</f>
        <v/>
      </c>
      <c r="J2616" s="41" t="str">
        <f aca="false">IF(G2616="","",IFERROR(IF(ISNUMBER(SEARCH(Assumptions!$C$5,G2616)),Assumptions!$D$5,IF(ISNUMBER(SEARCH(Assumptions!$C$6,G2616)),Assumptions!$D$6,IF(ISNUMBER(SEARCH(Assumptions!$C$7,G2616)),Assumptions!$D$7,"Other Services"))),"Other Services"))</f>
        <v/>
      </c>
    </row>
    <row r="2617" customFormat="false" ht="15" hidden="false" customHeight="false" outlineLevel="0" collapsed="false">
      <c r="F2617" s="41" t="str">
        <f aca="false">IF(E2617="","",IFERROR(VLOOKUP(E2617,Assumptions!$G$5:$H$16,2,0),"Other"))</f>
        <v/>
      </c>
      <c r="J2617" s="41" t="str">
        <f aca="false">IF(G2617="","",IFERROR(IF(ISNUMBER(SEARCH(Assumptions!$C$5,G2617)),Assumptions!$D$5,IF(ISNUMBER(SEARCH(Assumptions!$C$6,G2617)),Assumptions!$D$6,IF(ISNUMBER(SEARCH(Assumptions!$C$7,G2617)),Assumptions!$D$7,"Other Services"))),"Other Services"))</f>
        <v/>
      </c>
    </row>
    <row r="2618" customFormat="false" ht="15" hidden="false" customHeight="false" outlineLevel="0" collapsed="false">
      <c r="F2618" s="41" t="str">
        <f aca="false">IF(E2618="","",IFERROR(VLOOKUP(E2618,Assumptions!$G$5:$H$16,2,0),"Other"))</f>
        <v/>
      </c>
      <c r="J2618" s="41" t="str">
        <f aca="false">IF(G2618="","",IFERROR(IF(ISNUMBER(SEARCH(Assumptions!$C$5,G2618)),Assumptions!$D$5,IF(ISNUMBER(SEARCH(Assumptions!$C$6,G2618)),Assumptions!$D$6,IF(ISNUMBER(SEARCH(Assumptions!$C$7,G2618)),Assumptions!$D$7,"Other Services"))),"Other Services"))</f>
        <v/>
      </c>
    </row>
    <row r="2619" customFormat="false" ht="15" hidden="false" customHeight="false" outlineLevel="0" collapsed="false">
      <c r="F2619" s="41" t="str">
        <f aca="false">IF(E2619="","",IFERROR(VLOOKUP(E2619,Assumptions!$G$5:$H$16,2,0),"Other"))</f>
        <v/>
      </c>
      <c r="J2619" s="41" t="str">
        <f aca="false">IF(G2619="","",IFERROR(IF(ISNUMBER(SEARCH(Assumptions!$C$5,G2619)),Assumptions!$D$5,IF(ISNUMBER(SEARCH(Assumptions!$C$6,G2619)),Assumptions!$D$6,IF(ISNUMBER(SEARCH(Assumptions!$C$7,G2619)),Assumptions!$D$7,"Other Services"))),"Other Services"))</f>
        <v/>
      </c>
    </row>
    <row r="2620" customFormat="false" ht="15" hidden="false" customHeight="false" outlineLevel="0" collapsed="false">
      <c r="F2620" s="41" t="str">
        <f aca="false">IF(E2620="","",IFERROR(VLOOKUP(E2620,Assumptions!$G$5:$H$16,2,0),"Other"))</f>
        <v/>
      </c>
      <c r="J2620" s="41" t="str">
        <f aca="false">IF(G2620="","",IFERROR(IF(ISNUMBER(SEARCH(Assumptions!$C$5,G2620)),Assumptions!$D$5,IF(ISNUMBER(SEARCH(Assumptions!$C$6,G2620)),Assumptions!$D$6,IF(ISNUMBER(SEARCH(Assumptions!$C$7,G2620)),Assumptions!$D$7,"Other Services"))),"Other Services"))</f>
        <v/>
      </c>
    </row>
    <row r="2621" customFormat="false" ht="15" hidden="false" customHeight="false" outlineLevel="0" collapsed="false">
      <c r="F2621" s="41" t="str">
        <f aca="false">IF(E2621="","",IFERROR(VLOOKUP(E2621,Assumptions!$G$5:$H$16,2,0),"Other"))</f>
        <v/>
      </c>
      <c r="J2621" s="41" t="str">
        <f aca="false">IF(G2621="","",IFERROR(IF(ISNUMBER(SEARCH(Assumptions!$C$5,G2621)),Assumptions!$D$5,IF(ISNUMBER(SEARCH(Assumptions!$C$6,G2621)),Assumptions!$D$6,IF(ISNUMBER(SEARCH(Assumptions!$C$7,G2621)),Assumptions!$D$7,"Other Services"))),"Other Services"))</f>
        <v/>
      </c>
    </row>
    <row r="2622" customFormat="false" ht="15" hidden="false" customHeight="false" outlineLevel="0" collapsed="false">
      <c r="F2622" s="41" t="str">
        <f aca="false">IF(E2622="","",IFERROR(VLOOKUP(E2622,Assumptions!$G$5:$H$16,2,0),"Other"))</f>
        <v/>
      </c>
      <c r="J2622" s="41" t="str">
        <f aca="false">IF(G2622="","",IFERROR(IF(ISNUMBER(SEARCH(Assumptions!$C$5,G2622)),Assumptions!$D$5,IF(ISNUMBER(SEARCH(Assumptions!$C$6,G2622)),Assumptions!$D$6,IF(ISNUMBER(SEARCH(Assumptions!$C$7,G2622)),Assumptions!$D$7,"Other Services"))),"Other Services"))</f>
        <v/>
      </c>
    </row>
    <row r="2623" customFormat="false" ht="15" hidden="false" customHeight="false" outlineLevel="0" collapsed="false">
      <c r="F2623" s="41" t="str">
        <f aca="false">IF(E2623="","",IFERROR(VLOOKUP(E2623,Assumptions!$G$5:$H$16,2,0),"Other"))</f>
        <v/>
      </c>
      <c r="J2623" s="41" t="str">
        <f aca="false">IF(G2623="","",IFERROR(IF(ISNUMBER(SEARCH(Assumptions!$C$5,G2623)),Assumptions!$D$5,IF(ISNUMBER(SEARCH(Assumptions!$C$6,G2623)),Assumptions!$D$6,IF(ISNUMBER(SEARCH(Assumptions!$C$7,G2623)),Assumptions!$D$7,"Other Services"))),"Other Services"))</f>
        <v/>
      </c>
    </row>
    <row r="2624" customFormat="false" ht="15" hidden="false" customHeight="false" outlineLevel="0" collapsed="false">
      <c r="F2624" s="41" t="str">
        <f aca="false">IF(E2624="","",IFERROR(VLOOKUP(E2624,Assumptions!$G$5:$H$16,2,0),"Other"))</f>
        <v/>
      </c>
      <c r="J2624" s="41" t="str">
        <f aca="false">IF(G2624="","",IFERROR(IF(ISNUMBER(SEARCH(Assumptions!$C$5,G2624)),Assumptions!$D$5,IF(ISNUMBER(SEARCH(Assumptions!$C$6,G2624)),Assumptions!$D$6,IF(ISNUMBER(SEARCH(Assumptions!$C$7,G2624)),Assumptions!$D$7,"Other Services"))),"Other Services"))</f>
        <v/>
      </c>
    </row>
    <row r="2625" customFormat="false" ht="15" hidden="false" customHeight="false" outlineLevel="0" collapsed="false">
      <c r="F2625" s="41" t="str">
        <f aca="false">IF(E2625="","",IFERROR(VLOOKUP(E2625,Assumptions!$G$5:$H$16,2,0),"Other"))</f>
        <v/>
      </c>
      <c r="J2625" s="41" t="str">
        <f aca="false">IF(G2625="","",IFERROR(IF(ISNUMBER(SEARCH(Assumptions!$C$5,G2625)),Assumptions!$D$5,IF(ISNUMBER(SEARCH(Assumptions!$C$6,G2625)),Assumptions!$D$6,IF(ISNUMBER(SEARCH(Assumptions!$C$7,G2625)),Assumptions!$D$7,"Other Services"))),"Other Services"))</f>
        <v/>
      </c>
    </row>
    <row r="2626" customFormat="false" ht="15" hidden="false" customHeight="false" outlineLevel="0" collapsed="false">
      <c r="F2626" s="41" t="str">
        <f aca="false">IF(E2626="","",IFERROR(VLOOKUP(E2626,Assumptions!$G$5:$H$16,2,0),"Other"))</f>
        <v/>
      </c>
      <c r="J2626" s="41" t="str">
        <f aca="false">IF(G2626="","",IFERROR(IF(ISNUMBER(SEARCH(Assumptions!$C$5,G2626)),Assumptions!$D$5,IF(ISNUMBER(SEARCH(Assumptions!$C$6,G2626)),Assumptions!$D$6,IF(ISNUMBER(SEARCH(Assumptions!$C$7,G2626)),Assumptions!$D$7,"Other Services"))),"Other Services"))</f>
        <v/>
      </c>
    </row>
    <row r="2627" customFormat="false" ht="15" hidden="false" customHeight="false" outlineLevel="0" collapsed="false">
      <c r="F2627" s="41" t="str">
        <f aca="false">IF(E2627="","",IFERROR(VLOOKUP(E2627,Assumptions!$G$5:$H$16,2,0),"Other"))</f>
        <v/>
      </c>
      <c r="J2627" s="41" t="str">
        <f aca="false">IF(G2627="","",IFERROR(IF(ISNUMBER(SEARCH(Assumptions!$C$5,G2627)),Assumptions!$D$5,IF(ISNUMBER(SEARCH(Assumptions!$C$6,G2627)),Assumptions!$D$6,IF(ISNUMBER(SEARCH(Assumptions!$C$7,G2627)),Assumptions!$D$7,"Other Services"))),"Other Services"))</f>
        <v/>
      </c>
    </row>
    <row r="2628" customFormat="false" ht="15" hidden="false" customHeight="false" outlineLevel="0" collapsed="false">
      <c r="F2628" s="41" t="str">
        <f aca="false">IF(E2628="","",IFERROR(VLOOKUP(E2628,Assumptions!$G$5:$H$16,2,0),"Other"))</f>
        <v/>
      </c>
      <c r="J2628" s="41" t="str">
        <f aca="false">IF(G2628="","",IFERROR(IF(ISNUMBER(SEARCH(Assumptions!$C$5,G2628)),Assumptions!$D$5,IF(ISNUMBER(SEARCH(Assumptions!$C$6,G2628)),Assumptions!$D$6,IF(ISNUMBER(SEARCH(Assumptions!$C$7,G2628)),Assumptions!$D$7,"Other Services"))),"Other Services"))</f>
        <v/>
      </c>
    </row>
    <row r="2629" customFormat="false" ht="15" hidden="false" customHeight="false" outlineLevel="0" collapsed="false">
      <c r="F2629" s="41" t="str">
        <f aca="false">IF(E2629="","",IFERROR(VLOOKUP(E2629,Assumptions!$G$5:$H$16,2,0),"Other"))</f>
        <v/>
      </c>
      <c r="J2629" s="41" t="str">
        <f aca="false">IF(G2629="","",IFERROR(IF(ISNUMBER(SEARCH(Assumptions!$C$5,G2629)),Assumptions!$D$5,IF(ISNUMBER(SEARCH(Assumptions!$C$6,G2629)),Assumptions!$D$6,IF(ISNUMBER(SEARCH(Assumptions!$C$7,G2629)),Assumptions!$D$7,"Other Services"))),"Other Services"))</f>
        <v/>
      </c>
    </row>
    <row r="2630" customFormat="false" ht="15" hidden="false" customHeight="false" outlineLevel="0" collapsed="false">
      <c r="F2630" s="41" t="str">
        <f aca="false">IF(E2630="","",IFERROR(VLOOKUP(E2630,Assumptions!$G$5:$H$16,2,0),"Other"))</f>
        <v/>
      </c>
      <c r="J2630" s="41" t="str">
        <f aca="false">IF(G2630="","",IFERROR(IF(ISNUMBER(SEARCH(Assumptions!$C$5,G2630)),Assumptions!$D$5,IF(ISNUMBER(SEARCH(Assumptions!$C$6,G2630)),Assumptions!$D$6,IF(ISNUMBER(SEARCH(Assumptions!$C$7,G2630)),Assumptions!$D$7,"Other Services"))),"Other Services"))</f>
        <v/>
      </c>
    </row>
    <row r="2631" customFormat="false" ht="15" hidden="false" customHeight="false" outlineLevel="0" collapsed="false">
      <c r="F2631" s="41" t="str">
        <f aca="false">IF(E2631="","",IFERROR(VLOOKUP(E2631,Assumptions!$G$5:$H$16,2,0),"Other"))</f>
        <v/>
      </c>
      <c r="J2631" s="41" t="str">
        <f aca="false">IF(G2631="","",IFERROR(IF(ISNUMBER(SEARCH(Assumptions!$C$5,G2631)),Assumptions!$D$5,IF(ISNUMBER(SEARCH(Assumptions!$C$6,G2631)),Assumptions!$D$6,IF(ISNUMBER(SEARCH(Assumptions!$C$7,G2631)),Assumptions!$D$7,"Other Services"))),"Other Services"))</f>
        <v/>
      </c>
    </row>
    <row r="2632" customFormat="false" ht="15" hidden="false" customHeight="false" outlineLevel="0" collapsed="false">
      <c r="F2632" s="41" t="str">
        <f aca="false">IF(E2632="","",IFERROR(VLOOKUP(E2632,Assumptions!$G$5:$H$16,2,0),"Other"))</f>
        <v/>
      </c>
      <c r="J2632" s="41" t="str">
        <f aca="false">IF(G2632="","",IFERROR(IF(ISNUMBER(SEARCH(Assumptions!$C$5,G2632)),Assumptions!$D$5,IF(ISNUMBER(SEARCH(Assumptions!$C$6,G2632)),Assumptions!$D$6,IF(ISNUMBER(SEARCH(Assumptions!$C$7,G2632)),Assumptions!$D$7,"Other Services"))),"Other Services"))</f>
        <v/>
      </c>
    </row>
    <row r="2633" customFormat="false" ht="15" hidden="false" customHeight="false" outlineLevel="0" collapsed="false">
      <c r="F2633" s="41" t="str">
        <f aca="false">IF(E2633="","",IFERROR(VLOOKUP(E2633,Assumptions!$G$5:$H$16,2,0),"Other"))</f>
        <v/>
      </c>
      <c r="J2633" s="41" t="str">
        <f aca="false">IF(G2633="","",IFERROR(IF(ISNUMBER(SEARCH(Assumptions!$C$5,G2633)),Assumptions!$D$5,IF(ISNUMBER(SEARCH(Assumptions!$C$6,G2633)),Assumptions!$D$6,IF(ISNUMBER(SEARCH(Assumptions!$C$7,G2633)),Assumptions!$D$7,"Other Services"))),"Other Services"))</f>
        <v/>
      </c>
    </row>
    <row r="2634" customFormat="false" ht="15" hidden="false" customHeight="false" outlineLevel="0" collapsed="false">
      <c r="F2634" s="41" t="str">
        <f aca="false">IF(E2634="","",IFERROR(VLOOKUP(E2634,Assumptions!$G$5:$H$16,2,0),"Other"))</f>
        <v/>
      </c>
      <c r="J2634" s="41" t="str">
        <f aca="false">IF(G2634="","",IFERROR(IF(ISNUMBER(SEARCH(Assumptions!$C$5,G2634)),Assumptions!$D$5,IF(ISNUMBER(SEARCH(Assumptions!$C$6,G2634)),Assumptions!$D$6,IF(ISNUMBER(SEARCH(Assumptions!$C$7,G2634)),Assumptions!$D$7,"Other Services"))),"Other Services"))</f>
        <v/>
      </c>
    </row>
    <row r="2635" customFormat="false" ht="15" hidden="false" customHeight="false" outlineLevel="0" collapsed="false">
      <c r="F2635" s="41" t="str">
        <f aca="false">IF(E2635="","",IFERROR(VLOOKUP(E2635,Assumptions!$G$5:$H$16,2,0),"Other"))</f>
        <v/>
      </c>
      <c r="J2635" s="41" t="str">
        <f aca="false">IF(G2635="","",IFERROR(IF(ISNUMBER(SEARCH(Assumptions!$C$5,G2635)),Assumptions!$D$5,IF(ISNUMBER(SEARCH(Assumptions!$C$6,G2635)),Assumptions!$D$6,IF(ISNUMBER(SEARCH(Assumptions!$C$7,G2635)),Assumptions!$D$7,"Other Services"))),"Other Services"))</f>
        <v/>
      </c>
    </row>
    <row r="2636" customFormat="false" ht="15" hidden="false" customHeight="false" outlineLevel="0" collapsed="false">
      <c r="F2636" s="41" t="str">
        <f aca="false">IF(E2636="","",IFERROR(VLOOKUP(E2636,Assumptions!$G$5:$H$16,2,0),"Other"))</f>
        <v/>
      </c>
      <c r="J2636" s="41" t="str">
        <f aca="false">IF(G2636="","",IFERROR(IF(ISNUMBER(SEARCH(Assumptions!$C$5,G2636)),Assumptions!$D$5,IF(ISNUMBER(SEARCH(Assumptions!$C$6,G2636)),Assumptions!$D$6,IF(ISNUMBER(SEARCH(Assumptions!$C$7,G2636)),Assumptions!$D$7,"Other Services"))),"Other Services"))</f>
        <v/>
      </c>
    </row>
    <row r="2637" customFormat="false" ht="15" hidden="false" customHeight="false" outlineLevel="0" collapsed="false">
      <c r="F2637" s="41" t="str">
        <f aca="false">IF(E2637="","",IFERROR(VLOOKUP(E2637,Assumptions!$G$5:$H$16,2,0),"Other"))</f>
        <v/>
      </c>
      <c r="J2637" s="41" t="str">
        <f aca="false">IF(G2637="","",IFERROR(IF(ISNUMBER(SEARCH(Assumptions!$C$5,G2637)),Assumptions!$D$5,IF(ISNUMBER(SEARCH(Assumptions!$C$6,G2637)),Assumptions!$D$6,IF(ISNUMBER(SEARCH(Assumptions!$C$7,G2637)),Assumptions!$D$7,"Other Services"))),"Other Services"))</f>
        <v/>
      </c>
    </row>
    <row r="2638" customFormat="false" ht="15" hidden="false" customHeight="false" outlineLevel="0" collapsed="false">
      <c r="F2638" s="41" t="str">
        <f aca="false">IF(E2638="","",IFERROR(VLOOKUP(E2638,Assumptions!$G$5:$H$16,2,0),"Other"))</f>
        <v/>
      </c>
      <c r="J2638" s="41" t="str">
        <f aca="false">IF(G2638="","",IFERROR(IF(ISNUMBER(SEARCH(Assumptions!$C$5,G2638)),Assumptions!$D$5,IF(ISNUMBER(SEARCH(Assumptions!$C$6,G2638)),Assumptions!$D$6,IF(ISNUMBER(SEARCH(Assumptions!$C$7,G2638)),Assumptions!$D$7,"Other Services"))),"Other Services"))</f>
        <v/>
      </c>
    </row>
    <row r="2639" customFormat="false" ht="15" hidden="false" customHeight="false" outlineLevel="0" collapsed="false">
      <c r="F2639" s="41" t="str">
        <f aca="false">IF(E2639="","",IFERROR(VLOOKUP(E2639,Assumptions!$G$5:$H$16,2,0),"Other"))</f>
        <v/>
      </c>
      <c r="J2639" s="41" t="str">
        <f aca="false">IF(G2639="","",IFERROR(IF(ISNUMBER(SEARCH(Assumptions!$C$5,G2639)),Assumptions!$D$5,IF(ISNUMBER(SEARCH(Assumptions!$C$6,G2639)),Assumptions!$D$6,IF(ISNUMBER(SEARCH(Assumptions!$C$7,G2639)),Assumptions!$D$7,"Other Services"))),"Other Services"))</f>
        <v/>
      </c>
    </row>
    <row r="2640" customFormat="false" ht="15" hidden="false" customHeight="false" outlineLevel="0" collapsed="false">
      <c r="F2640" s="41" t="str">
        <f aca="false">IF(E2640="","",IFERROR(VLOOKUP(E2640,Assumptions!$G$5:$H$16,2,0),"Other"))</f>
        <v/>
      </c>
      <c r="J2640" s="41" t="str">
        <f aca="false">IF(G2640="","",IFERROR(IF(ISNUMBER(SEARCH(Assumptions!$C$5,G2640)),Assumptions!$D$5,IF(ISNUMBER(SEARCH(Assumptions!$C$6,G2640)),Assumptions!$D$6,IF(ISNUMBER(SEARCH(Assumptions!$C$7,G2640)),Assumptions!$D$7,"Other Services"))),"Other Services"))</f>
        <v/>
      </c>
    </row>
    <row r="2641" customFormat="false" ht="15" hidden="false" customHeight="false" outlineLevel="0" collapsed="false">
      <c r="F2641" s="41" t="str">
        <f aca="false">IF(E2641="","",IFERROR(VLOOKUP(E2641,Assumptions!$G$5:$H$16,2,0),"Other"))</f>
        <v/>
      </c>
      <c r="J2641" s="41" t="str">
        <f aca="false">IF(G2641="","",IFERROR(IF(ISNUMBER(SEARCH(Assumptions!$C$5,G2641)),Assumptions!$D$5,IF(ISNUMBER(SEARCH(Assumptions!$C$6,G2641)),Assumptions!$D$6,IF(ISNUMBER(SEARCH(Assumptions!$C$7,G2641)),Assumptions!$D$7,"Other Services"))),"Other Services"))</f>
        <v/>
      </c>
    </row>
    <row r="2642" customFormat="false" ht="15" hidden="false" customHeight="false" outlineLevel="0" collapsed="false">
      <c r="F2642" s="41" t="str">
        <f aca="false">IF(E2642="","",IFERROR(VLOOKUP(E2642,Assumptions!$G$5:$H$16,2,0),"Other"))</f>
        <v/>
      </c>
      <c r="J2642" s="41" t="str">
        <f aca="false">IF(G2642="","",IFERROR(IF(ISNUMBER(SEARCH(Assumptions!$C$5,G2642)),Assumptions!$D$5,IF(ISNUMBER(SEARCH(Assumptions!$C$6,G2642)),Assumptions!$D$6,IF(ISNUMBER(SEARCH(Assumptions!$C$7,G2642)),Assumptions!$D$7,"Other Services"))),"Other Services"))</f>
        <v/>
      </c>
    </row>
    <row r="2643" customFormat="false" ht="15" hidden="false" customHeight="false" outlineLevel="0" collapsed="false">
      <c r="F2643" s="41" t="str">
        <f aca="false">IF(E2643="","",IFERROR(VLOOKUP(E2643,Assumptions!$G$5:$H$16,2,0),"Other"))</f>
        <v/>
      </c>
      <c r="J2643" s="41" t="str">
        <f aca="false">IF(G2643="","",IFERROR(IF(ISNUMBER(SEARCH(Assumptions!$C$5,G2643)),Assumptions!$D$5,IF(ISNUMBER(SEARCH(Assumptions!$C$6,G2643)),Assumptions!$D$6,IF(ISNUMBER(SEARCH(Assumptions!$C$7,G2643)),Assumptions!$D$7,"Other Services"))),"Other Services"))</f>
        <v/>
      </c>
    </row>
    <row r="2644" customFormat="false" ht="15" hidden="false" customHeight="false" outlineLevel="0" collapsed="false">
      <c r="F2644" s="41" t="str">
        <f aca="false">IF(E2644="","",IFERROR(VLOOKUP(E2644,Assumptions!$G$5:$H$16,2,0),"Other"))</f>
        <v/>
      </c>
      <c r="J2644" s="41" t="str">
        <f aca="false">IF(G2644="","",IFERROR(IF(ISNUMBER(SEARCH(Assumptions!$C$5,G2644)),Assumptions!$D$5,IF(ISNUMBER(SEARCH(Assumptions!$C$6,G2644)),Assumptions!$D$6,IF(ISNUMBER(SEARCH(Assumptions!$C$7,G2644)),Assumptions!$D$7,"Other Services"))),"Other Services"))</f>
        <v/>
      </c>
    </row>
    <row r="2645" customFormat="false" ht="15" hidden="false" customHeight="false" outlineLevel="0" collapsed="false">
      <c r="F2645" s="41" t="str">
        <f aca="false">IF(E2645="","",IFERROR(VLOOKUP(E2645,Assumptions!$G$5:$H$16,2,0),"Other"))</f>
        <v/>
      </c>
      <c r="J2645" s="41" t="str">
        <f aca="false">IF(G2645="","",IFERROR(IF(ISNUMBER(SEARCH(Assumptions!$C$5,G2645)),Assumptions!$D$5,IF(ISNUMBER(SEARCH(Assumptions!$C$6,G2645)),Assumptions!$D$6,IF(ISNUMBER(SEARCH(Assumptions!$C$7,G2645)),Assumptions!$D$7,"Other Services"))),"Other Services"))</f>
        <v/>
      </c>
    </row>
    <row r="2646" customFormat="false" ht="15" hidden="false" customHeight="false" outlineLevel="0" collapsed="false">
      <c r="F2646" s="41" t="str">
        <f aca="false">IF(E2646="","",IFERROR(VLOOKUP(E2646,Assumptions!$G$5:$H$16,2,0),"Other"))</f>
        <v/>
      </c>
      <c r="J2646" s="41" t="str">
        <f aca="false">IF(G2646="","",IFERROR(IF(ISNUMBER(SEARCH(Assumptions!$C$5,G2646)),Assumptions!$D$5,IF(ISNUMBER(SEARCH(Assumptions!$C$6,G2646)),Assumptions!$D$6,IF(ISNUMBER(SEARCH(Assumptions!$C$7,G2646)),Assumptions!$D$7,"Other Services"))),"Other Services"))</f>
        <v/>
      </c>
    </row>
    <row r="2647" customFormat="false" ht="15" hidden="false" customHeight="false" outlineLevel="0" collapsed="false">
      <c r="F2647" s="41" t="str">
        <f aca="false">IF(E2647="","",IFERROR(VLOOKUP(E2647,Assumptions!$G$5:$H$16,2,0),"Other"))</f>
        <v/>
      </c>
      <c r="J2647" s="41" t="str">
        <f aca="false">IF(G2647="","",IFERROR(IF(ISNUMBER(SEARCH(Assumptions!$C$5,G2647)),Assumptions!$D$5,IF(ISNUMBER(SEARCH(Assumptions!$C$6,G2647)),Assumptions!$D$6,IF(ISNUMBER(SEARCH(Assumptions!$C$7,G2647)),Assumptions!$D$7,"Other Services"))),"Other Services"))</f>
        <v/>
      </c>
    </row>
    <row r="2648" customFormat="false" ht="15" hidden="false" customHeight="false" outlineLevel="0" collapsed="false">
      <c r="F2648" s="41" t="str">
        <f aca="false">IF(E2648="","",IFERROR(VLOOKUP(E2648,Assumptions!$G$5:$H$16,2,0),"Other"))</f>
        <v/>
      </c>
      <c r="J2648" s="41" t="str">
        <f aca="false">IF(G2648="","",IFERROR(IF(ISNUMBER(SEARCH(Assumptions!$C$5,G2648)),Assumptions!$D$5,IF(ISNUMBER(SEARCH(Assumptions!$C$6,G2648)),Assumptions!$D$6,IF(ISNUMBER(SEARCH(Assumptions!$C$7,G2648)),Assumptions!$D$7,"Other Services"))),"Other Services"))</f>
        <v/>
      </c>
    </row>
    <row r="2649" customFormat="false" ht="15" hidden="false" customHeight="false" outlineLevel="0" collapsed="false">
      <c r="F2649" s="41" t="str">
        <f aca="false">IF(E2649="","",IFERROR(VLOOKUP(E2649,Assumptions!$G$5:$H$16,2,0),"Other"))</f>
        <v/>
      </c>
      <c r="J2649" s="41" t="str">
        <f aca="false">IF(G2649="","",IFERROR(IF(ISNUMBER(SEARCH(Assumptions!$C$5,G2649)),Assumptions!$D$5,IF(ISNUMBER(SEARCH(Assumptions!$C$6,G2649)),Assumptions!$D$6,IF(ISNUMBER(SEARCH(Assumptions!$C$7,G2649)),Assumptions!$D$7,"Other Services"))),"Other Services"))</f>
        <v/>
      </c>
    </row>
    <row r="2650" customFormat="false" ht="15" hidden="false" customHeight="false" outlineLevel="0" collapsed="false">
      <c r="F2650" s="41" t="str">
        <f aca="false">IF(E2650="","",IFERROR(VLOOKUP(E2650,Assumptions!$G$5:$H$16,2,0),"Other"))</f>
        <v/>
      </c>
      <c r="J2650" s="41" t="str">
        <f aca="false">IF(G2650="","",IFERROR(IF(ISNUMBER(SEARCH(Assumptions!$C$5,G2650)),Assumptions!$D$5,IF(ISNUMBER(SEARCH(Assumptions!$C$6,G2650)),Assumptions!$D$6,IF(ISNUMBER(SEARCH(Assumptions!$C$7,G2650)),Assumptions!$D$7,"Other Services"))),"Other Services"))</f>
        <v/>
      </c>
    </row>
    <row r="2651" customFormat="false" ht="15" hidden="false" customHeight="false" outlineLevel="0" collapsed="false">
      <c r="F2651" s="41" t="str">
        <f aca="false">IF(E2651="","",IFERROR(VLOOKUP(E2651,Assumptions!$G$5:$H$16,2,0),"Other"))</f>
        <v/>
      </c>
      <c r="J2651" s="41" t="str">
        <f aca="false">IF(G2651="","",IFERROR(IF(ISNUMBER(SEARCH(Assumptions!$C$5,G2651)),Assumptions!$D$5,IF(ISNUMBER(SEARCH(Assumptions!$C$6,G2651)),Assumptions!$D$6,IF(ISNUMBER(SEARCH(Assumptions!$C$7,G2651)),Assumptions!$D$7,"Other Services"))),"Other Services"))</f>
        <v/>
      </c>
    </row>
    <row r="2652" customFormat="false" ht="15" hidden="false" customHeight="false" outlineLevel="0" collapsed="false">
      <c r="F2652" s="41" t="str">
        <f aca="false">IF(E2652="","",IFERROR(VLOOKUP(E2652,Assumptions!$G$5:$H$16,2,0),"Other"))</f>
        <v/>
      </c>
      <c r="J2652" s="41" t="str">
        <f aca="false">IF(G2652="","",IFERROR(IF(ISNUMBER(SEARCH(Assumptions!$C$5,G2652)),Assumptions!$D$5,IF(ISNUMBER(SEARCH(Assumptions!$C$6,G2652)),Assumptions!$D$6,IF(ISNUMBER(SEARCH(Assumptions!$C$7,G2652)),Assumptions!$D$7,"Other Services"))),"Other Services"))</f>
        <v/>
      </c>
    </row>
    <row r="2653" customFormat="false" ht="15" hidden="false" customHeight="false" outlineLevel="0" collapsed="false">
      <c r="F2653" s="41" t="str">
        <f aca="false">IF(E2653="","",IFERROR(VLOOKUP(E2653,Assumptions!$G$5:$H$16,2,0),"Other"))</f>
        <v/>
      </c>
      <c r="J2653" s="41" t="str">
        <f aca="false">IF(G2653="","",IFERROR(IF(ISNUMBER(SEARCH(Assumptions!$C$5,G2653)),Assumptions!$D$5,IF(ISNUMBER(SEARCH(Assumptions!$C$6,G2653)),Assumptions!$D$6,IF(ISNUMBER(SEARCH(Assumptions!$C$7,G2653)),Assumptions!$D$7,"Other Services"))),"Other Services"))</f>
        <v/>
      </c>
    </row>
    <row r="2654" customFormat="false" ht="15" hidden="false" customHeight="false" outlineLevel="0" collapsed="false">
      <c r="F2654" s="41" t="str">
        <f aca="false">IF(E2654="","",IFERROR(VLOOKUP(E2654,Assumptions!$G$5:$H$16,2,0),"Other"))</f>
        <v/>
      </c>
      <c r="J2654" s="41" t="str">
        <f aca="false">IF(G2654="","",IFERROR(IF(ISNUMBER(SEARCH(Assumptions!$C$5,G2654)),Assumptions!$D$5,IF(ISNUMBER(SEARCH(Assumptions!$C$6,G2654)),Assumptions!$D$6,IF(ISNUMBER(SEARCH(Assumptions!$C$7,G2654)),Assumptions!$D$7,"Other Services"))),"Other Services"))</f>
        <v/>
      </c>
    </row>
    <row r="2655" customFormat="false" ht="15" hidden="false" customHeight="false" outlineLevel="0" collapsed="false">
      <c r="F2655" s="41" t="str">
        <f aca="false">IF(E2655="","",IFERROR(VLOOKUP(E2655,Assumptions!$G$5:$H$16,2,0),"Other"))</f>
        <v/>
      </c>
      <c r="J2655" s="41" t="str">
        <f aca="false">IF(G2655="","",IFERROR(IF(ISNUMBER(SEARCH(Assumptions!$C$5,G2655)),Assumptions!$D$5,IF(ISNUMBER(SEARCH(Assumptions!$C$6,G2655)),Assumptions!$D$6,IF(ISNUMBER(SEARCH(Assumptions!$C$7,G2655)),Assumptions!$D$7,"Other Services"))),"Other Services"))</f>
        <v/>
      </c>
    </row>
    <row r="2656" customFormat="false" ht="15" hidden="false" customHeight="false" outlineLevel="0" collapsed="false">
      <c r="F2656" s="41" t="str">
        <f aca="false">IF(E2656="","",IFERROR(VLOOKUP(E2656,Assumptions!$G$5:$H$16,2,0),"Other"))</f>
        <v/>
      </c>
      <c r="J2656" s="41" t="str">
        <f aca="false">IF(G2656="","",IFERROR(IF(ISNUMBER(SEARCH(Assumptions!$C$5,G2656)),Assumptions!$D$5,IF(ISNUMBER(SEARCH(Assumptions!$C$6,G2656)),Assumptions!$D$6,IF(ISNUMBER(SEARCH(Assumptions!$C$7,G2656)),Assumptions!$D$7,"Other Services"))),"Other Services"))</f>
        <v/>
      </c>
    </row>
    <row r="2657" customFormat="false" ht="15" hidden="false" customHeight="false" outlineLevel="0" collapsed="false">
      <c r="F2657" s="41" t="str">
        <f aca="false">IF(E2657="","",IFERROR(VLOOKUP(E2657,Assumptions!$G$5:$H$16,2,0),"Other"))</f>
        <v/>
      </c>
      <c r="J2657" s="41" t="str">
        <f aca="false">IF(G2657="","",IFERROR(IF(ISNUMBER(SEARCH(Assumptions!$C$5,G2657)),Assumptions!$D$5,IF(ISNUMBER(SEARCH(Assumptions!$C$6,G2657)),Assumptions!$D$6,IF(ISNUMBER(SEARCH(Assumptions!$C$7,G2657)),Assumptions!$D$7,"Other Services"))),"Other Services"))</f>
        <v/>
      </c>
    </row>
    <row r="2658" customFormat="false" ht="15" hidden="false" customHeight="false" outlineLevel="0" collapsed="false">
      <c r="F2658" s="41" t="str">
        <f aca="false">IF(E2658="","",IFERROR(VLOOKUP(E2658,Assumptions!$G$5:$H$16,2,0),"Other"))</f>
        <v/>
      </c>
      <c r="J2658" s="41" t="str">
        <f aca="false">IF(G2658="","",IFERROR(IF(ISNUMBER(SEARCH(Assumptions!$C$5,G2658)),Assumptions!$D$5,IF(ISNUMBER(SEARCH(Assumptions!$C$6,G2658)),Assumptions!$D$6,IF(ISNUMBER(SEARCH(Assumptions!$C$7,G2658)),Assumptions!$D$7,"Other Services"))),"Other Services"))</f>
        <v/>
      </c>
    </row>
    <row r="2659" customFormat="false" ht="15" hidden="false" customHeight="false" outlineLevel="0" collapsed="false">
      <c r="F2659" s="41" t="str">
        <f aca="false">IF(E2659="","",IFERROR(VLOOKUP(E2659,Assumptions!$G$5:$H$16,2,0),"Other"))</f>
        <v/>
      </c>
      <c r="J2659" s="41" t="str">
        <f aca="false">IF(G2659="","",IFERROR(IF(ISNUMBER(SEARCH(Assumptions!$C$5,G2659)),Assumptions!$D$5,IF(ISNUMBER(SEARCH(Assumptions!$C$6,G2659)),Assumptions!$D$6,IF(ISNUMBER(SEARCH(Assumptions!$C$7,G2659)),Assumptions!$D$7,"Other Services"))),"Other Services"))</f>
        <v/>
      </c>
    </row>
    <row r="2660" customFormat="false" ht="15" hidden="false" customHeight="false" outlineLevel="0" collapsed="false">
      <c r="F2660" s="41" t="str">
        <f aca="false">IF(E2660="","",IFERROR(VLOOKUP(E2660,Assumptions!$G$5:$H$16,2,0),"Other"))</f>
        <v/>
      </c>
      <c r="J2660" s="41" t="str">
        <f aca="false">IF(G2660="","",IFERROR(IF(ISNUMBER(SEARCH(Assumptions!$C$5,G2660)),Assumptions!$D$5,IF(ISNUMBER(SEARCH(Assumptions!$C$6,G2660)),Assumptions!$D$6,IF(ISNUMBER(SEARCH(Assumptions!$C$7,G2660)),Assumptions!$D$7,"Other Services"))),"Other Services"))</f>
        <v/>
      </c>
    </row>
    <row r="2661" customFormat="false" ht="15" hidden="false" customHeight="false" outlineLevel="0" collapsed="false">
      <c r="F2661" s="41" t="str">
        <f aca="false">IF(E2661="","",IFERROR(VLOOKUP(E2661,Assumptions!$G$5:$H$16,2,0),"Other"))</f>
        <v/>
      </c>
      <c r="J2661" s="41" t="str">
        <f aca="false">IF(G2661="","",IFERROR(IF(ISNUMBER(SEARCH(Assumptions!$C$5,G2661)),Assumptions!$D$5,IF(ISNUMBER(SEARCH(Assumptions!$C$6,G2661)),Assumptions!$D$6,IF(ISNUMBER(SEARCH(Assumptions!$C$7,G2661)),Assumptions!$D$7,"Other Services"))),"Other Services"))</f>
        <v/>
      </c>
    </row>
    <row r="2662" customFormat="false" ht="15" hidden="false" customHeight="false" outlineLevel="0" collapsed="false">
      <c r="F2662" s="41" t="str">
        <f aca="false">IF(E2662="","",IFERROR(VLOOKUP(E2662,Assumptions!$G$5:$H$16,2,0),"Other"))</f>
        <v/>
      </c>
      <c r="J2662" s="41" t="str">
        <f aca="false">IF(G2662="","",IFERROR(IF(ISNUMBER(SEARCH(Assumptions!$C$5,G2662)),Assumptions!$D$5,IF(ISNUMBER(SEARCH(Assumptions!$C$6,G2662)),Assumptions!$D$6,IF(ISNUMBER(SEARCH(Assumptions!$C$7,G2662)),Assumptions!$D$7,"Other Services"))),"Other Services"))</f>
        <v/>
      </c>
    </row>
    <row r="2663" customFormat="false" ht="15" hidden="false" customHeight="false" outlineLevel="0" collapsed="false">
      <c r="F2663" s="41" t="str">
        <f aca="false">IF(E2663="","",IFERROR(VLOOKUP(E2663,Assumptions!$G$5:$H$16,2,0),"Other"))</f>
        <v/>
      </c>
      <c r="J2663" s="41" t="str">
        <f aca="false">IF(G2663="","",IFERROR(IF(ISNUMBER(SEARCH(Assumptions!$C$5,G2663)),Assumptions!$D$5,IF(ISNUMBER(SEARCH(Assumptions!$C$6,G2663)),Assumptions!$D$6,IF(ISNUMBER(SEARCH(Assumptions!$C$7,G2663)),Assumptions!$D$7,"Other Services"))),"Other Services"))</f>
        <v/>
      </c>
    </row>
    <row r="2664" customFormat="false" ht="15" hidden="false" customHeight="false" outlineLevel="0" collapsed="false">
      <c r="F2664" s="41" t="str">
        <f aca="false">IF(E2664="","",IFERROR(VLOOKUP(E2664,Assumptions!$G$5:$H$16,2,0),"Other"))</f>
        <v/>
      </c>
      <c r="J2664" s="41" t="str">
        <f aca="false">IF(G2664="","",IFERROR(IF(ISNUMBER(SEARCH(Assumptions!$C$5,G2664)),Assumptions!$D$5,IF(ISNUMBER(SEARCH(Assumptions!$C$6,G2664)),Assumptions!$D$6,IF(ISNUMBER(SEARCH(Assumptions!$C$7,G2664)),Assumptions!$D$7,"Other Services"))),"Other Services"))</f>
        <v/>
      </c>
    </row>
    <row r="2665" customFormat="false" ht="15" hidden="false" customHeight="false" outlineLevel="0" collapsed="false">
      <c r="F2665" s="41" t="str">
        <f aca="false">IF(E2665="","",IFERROR(VLOOKUP(E2665,Assumptions!$G$5:$H$16,2,0),"Other"))</f>
        <v/>
      </c>
      <c r="J2665" s="41" t="str">
        <f aca="false">IF(G2665="","",IFERROR(IF(ISNUMBER(SEARCH(Assumptions!$C$5,G2665)),Assumptions!$D$5,IF(ISNUMBER(SEARCH(Assumptions!$C$6,G2665)),Assumptions!$D$6,IF(ISNUMBER(SEARCH(Assumptions!$C$7,G2665)),Assumptions!$D$7,"Other Services"))),"Other Services"))</f>
        <v/>
      </c>
    </row>
    <row r="2666" customFormat="false" ht="15" hidden="false" customHeight="false" outlineLevel="0" collapsed="false">
      <c r="F2666" s="41" t="str">
        <f aca="false">IF(E2666="","",IFERROR(VLOOKUP(E2666,Assumptions!$G$5:$H$16,2,0),"Other"))</f>
        <v/>
      </c>
      <c r="J2666" s="41" t="str">
        <f aca="false">IF(G2666="","",IFERROR(IF(ISNUMBER(SEARCH(Assumptions!$C$5,G2666)),Assumptions!$D$5,IF(ISNUMBER(SEARCH(Assumptions!$C$6,G2666)),Assumptions!$D$6,IF(ISNUMBER(SEARCH(Assumptions!$C$7,G2666)),Assumptions!$D$7,"Other Services"))),"Other Services"))</f>
        <v/>
      </c>
    </row>
    <row r="2667" customFormat="false" ht="15" hidden="false" customHeight="false" outlineLevel="0" collapsed="false">
      <c r="F2667" s="41" t="str">
        <f aca="false">IF(E2667="","",IFERROR(VLOOKUP(E2667,Assumptions!$G$5:$H$16,2,0),"Other"))</f>
        <v/>
      </c>
      <c r="J2667" s="41" t="str">
        <f aca="false">IF(G2667="","",IFERROR(IF(ISNUMBER(SEARCH(Assumptions!$C$5,G2667)),Assumptions!$D$5,IF(ISNUMBER(SEARCH(Assumptions!$C$6,G2667)),Assumptions!$D$6,IF(ISNUMBER(SEARCH(Assumptions!$C$7,G2667)),Assumptions!$D$7,"Other Services"))),"Other Services"))</f>
        <v/>
      </c>
    </row>
    <row r="2668" customFormat="false" ht="15" hidden="false" customHeight="false" outlineLevel="0" collapsed="false">
      <c r="F2668" s="41" t="str">
        <f aca="false">IF(E2668="","",IFERROR(VLOOKUP(E2668,Assumptions!$G$5:$H$16,2,0),"Other"))</f>
        <v/>
      </c>
      <c r="J2668" s="41" t="str">
        <f aca="false">IF(G2668="","",IFERROR(IF(ISNUMBER(SEARCH(Assumptions!$C$5,G2668)),Assumptions!$D$5,IF(ISNUMBER(SEARCH(Assumptions!$C$6,G2668)),Assumptions!$D$6,IF(ISNUMBER(SEARCH(Assumptions!$C$7,G2668)),Assumptions!$D$7,"Other Services"))),"Other Services"))</f>
        <v/>
      </c>
    </row>
    <row r="2669" customFormat="false" ht="15" hidden="false" customHeight="false" outlineLevel="0" collapsed="false">
      <c r="F2669" s="41" t="str">
        <f aca="false">IF(E2669="","",IFERROR(VLOOKUP(E2669,Assumptions!$G$5:$H$16,2,0),"Other"))</f>
        <v/>
      </c>
      <c r="J2669" s="41" t="str">
        <f aca="false">IF(G2669="","",IFERROR(IF(ISNUMBER(SEARCH(Assumptions!$C$5,G2669)),Assumptions!$D$5,IF(ISNUMBER(SEARCH(Assumptions!$C$6,G2669)),Assumptions!$D$6,IF(ISNUMBER(SEARCH(Assumptions!$C$7,G2669)),Assumptions!$D$7,"Other Services"))),"Other Services"))</f>
        <v/>
      </c>
    </row>
    <row r="2670" customFormat="false" ht="15" hidden="false" customHeight="false" outlineLevel="0" collapsed="false">
      <c r="F2670" s="41" t="str">
        <f aca="false">IF(E2670="","",IFERROR(VLOOKUP(E2670,Assumptions!$G$5:$H$16,2,0),"Other"))</f>
        <v/>
      </c>
      <c r="J2670" s="41" t="str">
        <f aca="false">IF(G2670="","",IFERROR(IF(ISNUMBER(SEARCH(Assumptions!$C$5,G2670)),Assumptions!$D$5,IF(ISNUMBER(SEARCH(Assumptions!$C$6,G2670)),Assumptions!$D$6,IF(ISNUMBER(SEARCH(Assumptions!$C$7,G2670)),Assumptions!$D$7,"Other Services"))),"Other Services"))</f>
        <v/>
      </c>
    </row>
    <row r="2671" customFormat="false" ht="15" hidden="false" customHeight="false" outlineLevel="0" collapsed="false">
      <c r="F2671" s="41" t="str">
        <f aca="false">IF(E2671="","",IFERROR(VLOOKUP(E2671,Assumptions!$G$5:$H$16,2,0),"Other"))</f>
        <v/>
      </c>
      <c r="J2671" s="41" t="str">
        <f aca="false">IF(G2671="","",IFERROR(IF(ISNUMBER(SEARCH(Assumptions!$C$5,G2671)),Assumptions!$D$5,IF(ISNUMBER(SEARCH(Assumptions!$C$6,G2671)),Assumptions!$D$6,IF(ISNUMBER(SEARCH(Assumptions!$C$7,G2671)),Assumptions!$D$7,"Other Services"))),"Other Services"))</f>
        <v/>
      </c>
    </row>
    <row r="2672" customFormat="false" ht="15" hidden="false" customHeight="false" outlineLevel="0" collapsed="false">
      <c r="F2672" s="41" t="str">
        <f aca="false">IF(E2672="","",IFERROR(VLOOKUP(E2672,Assumptions!$G$5:$H$16,2,0),"Other"))</f>
        <v/>
      </c>
      <c r="J2672" s="41" t="str">
        <f aca="false">IF(G2672="","",IFERROR(IF(ISNUMBER(SEARCH(Assumptions!$C$5,G2672)),Assumptions!$D$5,IF(ISNUMBER(SEARCH(Assumptions!$C$6,G2672)),Assumptions!$D$6,IF(ISNUMBER(SEARCH(Assumptions!$C$7,G2672)),Assumptions!$D$7,"Other Services"))),"Other Services"))</f>
        <v/>
      </c>
    </row>
    <row r="2673" customFormat="false" ht="15" hidden="false" customHeight="false" outlineLevel="0" collapsed="false">
      <c r="F2673" s="41" t="str">
        <f aca="false">IF(E2673="","",IFERROR(VLOOKUP(E2673,Assumptions!$G$5:$H$16,2,0),"Other"))</f>
        <v/>
      </c>
      <c r="J2673" s="41" t="str">
        <f aca="false">IF(G2673="","",IFERROR(IF(ISNUMBER(SEARCH(Assumptions!$C$5,G2673)),Assumptions!$D$5,IF(ISNUMBER(SEARCH(Assumptions!$C$6,G2673)),Assumptions!$D$6,IF(ISNUMBER(SEARCH(Assumptions!$C$7,G2673)),Assumptions!$D$7,"Other Services"))),"Other Services"))</f>
        <v/>
      </c>
    </row>
    <row r="2674" customFormat="false" ht="15" hidden="false" customHeight="false" outlineLevel="0" collapsed="false">
      <c r="F2674" s="41" t="str">
        <f aca="false">IF(E2674="","",IFERROR(VLOOKUP(E2674,Assumptions!$G$5:$H$16,2,0),"Other"))</f>
        <v/>
      </c>
      <c r="J2674" s="41" t="str">
        <f aca="false">IF(G2674="","",IFERROR(IF(ISNUMBER(SEARCH(Assumptions!$C$5,G2674)),Assumptions!$D$5,IF(ISNUMBER(SEARCH(Assumptions!$C$6,G2674)),Assumptions!$D$6,IF(ISNUMBER(SEARCH(Assumptions!$C$7,G2674)),Assumptions!$D$7,"Other Services"))),"Other Services"))</f>
        <v/>
      </c>
    </row>
    <row r="2675" customFormat="false" ht="15" hidden="false" customHeight="false" outlineLevel="0" collapsed="false">
      <c r="F2675" s="41" t="str">
        <f aca="false">IF(E2675="","",IFERROR(VLOOKUP(E2675,Assumptions!$G$5:$H$16,2,0),"Other"))</f>
        <v/>
      </c>
      <c r="J2675" s="41" t="str">
        <f aca="false">IF(G2675="","",IFERROR(IF(ISNUMBER(SEARCH(Assumptions!$C$5,G2675)),Assumptions!$D$5,IF(ISNUMBER(SEARCH(Assumptions!$C$6,G2675)),Assumptions!$D$6,IF(ISNUMBER(SEARCH(Assumptions!$C$7,G2675)),Assumptions!$D$7,"Other Services"))),"Other Services"))</f>
        <v/>
      </c>
    </row>
    <row r="2676" customFormat="false" ht="15" hidden="false" customHeight="false" outlineLevel="0" collapsed="false">
      <c r="F2676" s="41" t="str">
        <f aca="false">IF(E2676="","",IFERROR(VLOOKUP(E2676,Assumptions!$G$5:$H$16,2,0),"Other"))</f>
        <v/>
      </c>
      <c r="J2676" s="41" t="str">
        <f aca="false">IF(G2676="","",IFERROR(IF(ISNUMBER(SEARCH(Assumptions!$C$5,G2676)),Assumptions!$D$5,IF(ISNUMBER(SEARCH(Assumptions!$C$6,G2676)),Assumptions!$D$6,IF(ISNUMBER(SEARCH(Assumptions!$C$7,G2676)),Assumptions!$D$7,"Other Services"))),"Other Services"))</f>
        <v/>
      </c>
    </row>
    <row r="2677" customFormat="false" ht="15" hidden="false" customHeight="false" outlineLevel="0" collapsed="false">
      <c r="F2677" s="41" t="str">
        <f aca="false">IF(E2677="","",IFERROR(VLOOKUP(E2677,Assumptions!$G$5:$H$16,2,0),"Other"))</f>
        <v/>
      </c>
      <c r="J2677" s="41" t="str">
        <f aca="false">IF(G2677="","",IFERROR(IF(ISNUMBER(SEARCH(Assumptions!$C$5,G2677)),Assumptions!$D$5,IF(ISNUMBER(SEARCH(Assumptions!$C$6,G2677)),Assumptions!$D$6,IF(ISNUMBER(SEARCH(Assumptions!$C$7,G2677)),Assumptions!$D$7,"Other Services"))),"Other Services"))</f>
        <v/>
      </c>
    </row>
    <row r="2678" customFormat="false" ht="15" hidden="false" customHeight="false" outlineLevel="0" collapsed="false">
      <c r="F2678" s="41" t="str">
        <f aca="false">IF(E2678="","",IFERROR(VLOOKUP(E2678,Assumptions!$G$5:$H$16,2,0),"Other"))</f>
        <v/>
      </c>
      <c r="J2678" s="41" t="str">
        <f aca="false">IF(G2678="","",IFERROR(IF(ISNUMBER(SEARCH(Assumptions!$C$5,G2678)),Assumptions!$D$5,IF(ISNUMBER(SEARCH(Assumptions!$C$6,G2678)),Assumptions!$D$6,IF(ISNUMBER(SEARCH(Assumptions!$C$7,G2678)),Assumptions!$D$7,"Other Services"))),"Other Services"))</f>
        <v/>
      </c>
    </row>
    <row r="2679" customFormat="false" ht="15" hidden="false" customHeight="false" outlineLevel="0" collapsed="false">
      <c r="F2679" s="41" t="str">
        <f aca="false">IF(E2679="","",IFERROR(VLOOKUP(E2679,Assumptions!$G$5:$H$16,2,0),"Other"))</f>
        <v/>
      </c>
      <c r="J2679" s="41" t="str">
        <f aca="false">IF(G2679="","",IFERROR(IF(ISNUMBER(SEARCH(Assumptions!$C$5,G2679)),Assumptions!$D$5,IF(ISNUMBER(SEARCH(Assumptions!$C$6,G2679)),Assumptions!$D$6,IF(ISNUMBER(SEARCH(Assumptions!$C$7,G2679)),Assumptions!$D$7,"Other Services"))),"Other Services"))</f>
        <v/>
      </c>
    </row>
    <row r="2680" customFormat="false" ht="15" hidden="false" customHeight="false" outlineLevel="0" collapsed="false">
      <c r="F2680" s="41" t="str">
        <f aca="false">IF(E2680="","",IFERROR(VLOOKUP(E2680,Assumptions!$G$5:$H$16,2,0),"Other"))</f>
        <v/>
      </c>
      <c r="J2680" s="41" t="str">
        <f aca="false">IF(G2680="","",IFERROR(IF(ISNUMBER(SEARCH(Assumptions!$C$5,G2680)),Assumptions!$D$5,IF(ISNUMBER(SEARCH(Assumptions!$C$6,G2680)),Assumptions!$D$6,IF(ISNUMBER(SEARCH(Assumptions!$C$7,G2680)),Assumptions!$D$7,"Other Services"))),"Other Services"))</f>
        <v/>
      </c>
    </row>
    <row r="2681" customFormat="false" ht="15" hidden="false" customHeight="false" outlineLevel="0" collapsed="false">
      <c r="F2681" s="41" t="str">
        <f aca="false">IF(E2681="","",IFERROR(VLOOKUP(E2681,Assumptions!$G$5:$H$16,2,0),"Other"))</f>
        <v/>
      </c>
      <c r="J2681" s="41" t="str">
        <f aca="false">IF(G2681="","",IFERROR(IF(ISNUMBER(SEARCH(Assumptions!$C$5,G2681)),Assumptions!$D$5,IF(ISNUMBER(SEARCH(Assumptions!$C$6,G2681)),Assumptions!$D$6,IF(ISNUMBER(SEARCH(Assumptions!$C$7,G2681)),Assumptions!$D$7,"Other Services"))),"Other Services"))</f>
        <v/>
      </c>
    </row>
    <row r="2682" customFormat="false" ht="15" hidden="false" customHeight="false" outlineLevel="0" collapsed="false">
      <c r="F2682" s="41" t="str">
        <f aca="false">IF(E2682="","",IFERROR(VLOOKUP(E2682,Assumptions!$G$5:$H$16,2,0),"Other"))</f>
        <v/>
      </c>
      <c r="J2682" s="41" t="str">
        <f aca="false">IF(G2682="","",IFERROR(IF(ISNUMBER(SEARCH(Assumptions!$C$5,G2682)),Assumptions!$D$5,IF(ISNUMBER(SEARCH(Assumptions!$C$6,G2682)),Assumptions!$D$6,IF(ISNUMBER(SEARCH(Assumptions!$C$7,G2682)),Assumptions!$D$7,"Other Services"))),"Other Services"))</f>
        <v/>
      </c>
    </row>
    <row r="2683" customFormat="false" ht="15" hidden="false" customHeight="false" outlineLevel="0" collapsed="false">
      <c r="F2683" s="41" t="str">
        <f aca="false">IF(E2683="","",IFERROR(VLOOKUP(E2683,Assumptions!$G$5:$H$16,2,0),"Other"))</f>
        <v/>
      </c>
      <c r="J2683" s="41" t="str">
        <f aca="false">IF(G2683="","",IFERROR(IF(ISNUMBER(SEARCH(Assumptions!$C$5,G2683)),Assumptions!$D$5,IF(ISNUMBER(SEARCH(Assumptions!$C$6,G2683)),Assumptions!$D$6,IF(ISNUMBER(SEARCH(Assumptions!$C$7,G2683)),Assumptions!$D$7,"Other Services"))),"Other Services"))</f>
        <v/>
      </c>
    </row>
    <row r="2684" customFormat="false" ht="15" hidden="false" customHeight="false" outlineLevel="0" collapsed="false">
      <c r="F2684" s="41" t="str">
        <f aca="false">IF(E2684="","",IFERROR(VLOOKUP(E2684,Assumptions!$G$5:$H$16,2,0),"Other"))</f>
        <v/>
      </c>
      <c r="J2684" s="41" t="str">
        <f aca="false">IF(G2684="","",IFERROR(IF(ISNUMBER(SEARCH(Assumptions!$C$5,G2684)),Assumptions!$D$5,IF(ISNUMBER(SEARCH(Assumptions!$C$6,G2684)),Assumptions!$D$6,IF(ISNUMBER(SEARCH(Assumptions!$C$7,G2684)),Assumptions!$D$7,"Other Services"))),"Other Services"))</f>
        <v/>
      </c>
    </row>
    <row r="2685" customFormat="false" ht="15" hidden="false" customHeight="false" outlineLevel="0" collapsed="false">
      <c r="F2685" s="41" t="str">
        <f aca="false">IF(E2685="","",IFERROR(VLOOKUP(E2685,Assumptions!$G$5:$H$16,2,0),"Other"))</f>
        <v/>
      </c>
      <c r="J2685" s="41" t="str">
        <f aca="false">IF(G2685="","",IFERROR(IF(ISNUMBER(SEARCH(Assumptions!$C$5,G2685)),Assumptions!$D$5,IF(ISNUMBER(SEARCH(Assumptions!$C$6,G2685)),Assumptions!$D$6,IF(ISNUMBER(SEARCH(Assumptions!$C$7,G2685)),Assumptions!$D$7,"Other Services"))),"Other Services"))</f>
        <v/>
      </c>
    </row>
    <row r="2686" customFormat="false" ht="15" hidden="false" customHeight="false" outlineLevel="0" collapsed="false">
      <c r="F2686" s="41" t="str">
        <f aca="false">IF(E2686="","",IFERROR(VLOOKUP(E2686,Assumptions!$G$5:$H$16,2,0),"Other"))</f>
        <v/>
      </c>
      <c r="J2686" s="41" t="str">
        <f aca="false">IF(G2686="","",IFERROR(IF(ISNUMBER(SEARCH(Assumptions!$C$5,G2686)),Assumptions!$D$5,IF(ISNUMBER(SEARCH(Assumptions!$C$6,G2686)),Assumptions!$D$6,IF(ISNUMBER(SEARCH(Assumptions!$C$7,G2686)),Assumptions!$D$7,"Other Services"))),"Other Services"))</f>
        <v/>
      </c>
    </row>
    <row r="2687" customFormat="false" ht="15" hidden="false" customHeight="false" outlineLevel="0" collapsed="false">
      <c r="F2687" s="41" t="str">
        <f aca="false">IF(E2687="","",IFERROR(VLOOKUP(E2687,Assumptions!$G$5:$H$16,2,0),"Other"))</f>
        <v/>
      </c>
      <c r="J2687" s="41" t="str">
        <f aca="false">IF(G2687="","",IFERROR(IF(ISNUMBER(SEARCH(Assumptions!$C$5,G2687)),Assumptions!$D$5,IF(ISNUMBER(SEARCH(Assumptions!$C$6,G2687)),Assumptions!$D$6,IF(ISNUMBER(SEARCH(Assumptions!$C$7,G2687)),Assumptions!$D$7,"Other Services"))),"Other Services"))</f>
        <v/>
      </c>
    </row>
    <row r="2688" customFormat="false" ht="15" hidden="false" customHeight="false" outlineLevel="0" collapsed="false">
      <c r="F2688" s="41" t="str">
        <f aca="false">IF(E2688="","",IFERROR(VLOOKUP(E2688,Assumptions!$G$5:$H$16,2,0),"Other"))</f>
        <v/>
      </c>
      <c r="J2688" s="41" t="str">
        <f aca="false">IF(G2688="","",IFERROR(IF(ISNUMBER(SEARCH(Assumptions!$C$5,G2688)),Assumptions!$D$5,IF(ISNUMBER(SEARCH(Assumptions!$C$6,G2688)),Assumptions!$D$6,IF(ISNUMBER(SEARCH(Assumptions!$C$7,G2688)),Assumptions!$D$7,"Other Services"))),"Other Services"))</f>
        <v/>
      </c>
    </row>
    <row r="2689" customFormat="false" ht="15" hidden="false" customHeight="false" outlineLevel="0" collapsed="false">
      <c r="F2689" s="41" t="str">
        <f aca="false">IF(E2689="","",IFERROR(VLOOKUP(E2689,Assumptions!$G$5:$H$16,2,0),"Other"))</f>
        <v/>
      </c>
      <c r="J2689" s="41" t="str">
        <f aca="false">IF(G2689="","",IFERROR(IF(ISNUMBER(SEARCH(Assumptions!$C$5,G2689)),Assumptions!$D$5,IF(ISNUMBER(SEARCH(Assumptions!$C$6,G2689)),Assumptions!$D$6,IF(ISNUMBER(SEARCH(Assumptions!$C$7,G2689)),Assumptions!$D$7,"Other Services"))),"Other Services"))</f>
        <v/>
      </c>
    </row>
    <row r="2690" customFormat="false" ht="15" hidden="false" customHeight="false" outlineLevel="0" collapsed="false">
      <c r="F2690" s="41" t="str">
        <f aca="false">IF(E2690="","",IFERROR(VLOOKUP(E2690,Assumptions!$G$5:$H$16,2,0),"Other"))</f>
        <v/>
      </c>
      <c r="J2690" s="41" t="str">
        <f aca="false">IF(G2690="","",IFERROR(IF(ISNUMBER(SEARCH(Assumptions!$C$5,G2690)),Assumptions!$D$5,IF(ISNUMBER(SEARCH(Assumptions!$C$6,G2690)),Assumptions!$D$6,IF(ISNUMBER(SEARCH(Assumptions!$C$7,G2690)),Assumptions!$D$7,"Other Services"))),"Other Services"))</f>
        <v/>
      </c>
    </row>
    <row r="2691" customFormat="false" ht="15" hidden="false" customHeight="false" outlineLevel="0" collapsed="false">
      <c r="F2691" s="41" t="str">
        <f aca="false">IF(E2691="","",IFERROR(VLOOKUP(E2691,Assumptions!$G$5:$H$16,2,0),"Other"))</f>
        <v/>
      </c>
      <c r="J2691" s="41" t="str">
        <f aca="false">IF(G2691="","",IFERROR(IF(ISNUMBER(SEARCH(Assumptions!$C$5,G2691)),Assumptions!$D$5,IF(ISNUMBER(SEARCH(Assumptions!$C$6,G2691)),Assumptions!$D$6,IF(ISNUMBER(SEARCH(Assumptions!$C$7,G2691)),Assumptions!$D$7,"Other Services"))),"Other Services"))</f>
        <v/>
      </c>
    </row>
    <row r="2692" customFormat="false" ht="15" hidden="false" customHeight="false" outlineLevel="0" collapsed="false">
      <c r="F2692" s="41" t="str">
        <f aca="false">IF(E2692="","",IFERROR(VLOOKUP(E2692,Assumptions!$G$5:$H$16,2,0),"Other"))</f>
        <v/>
      </c>
      <c r="J2692" s="41" t="str">
        <f aca="false">IF(G2692="","",IFERROR(IF(ISNUMBER(SEARCH(Assumptions!$C$5,G2692)),Assumptions!$D$5,IF(ISNUMBER(SEARCH(Assumptions!$C$6,G2692)),Assumptions!$D$6,IF(ISNUMBER(SEARCH(Assumptions!$C$7,G2692)),Assumptions!$D$7,"Other Services"))),"Other Services"))</f>
        <v/>
      </c>
    </row>
    <row r="2693" customFormat="false" ht="15" hidden="false" customHeight="false" outlineLevel="0" collapsed="false">
      <c r="F2693" s="41" t="str">
        <f aca="false">IF(E2693="","",IFERROR(VLOOKUP(E2693,Assumptions!$G$5:$H$16,2,0),"Other"))</f>
        <v/>
      </c>
      <c r="J2693" s="41" t="str">
        <f aca="false">IF(G2693="","",IFERROR(IF(ISNUMBER(SEARCH(Assumptions!$C$5,G2693)),Assumptions!$D$5,IF(ISNUMBER(SEARCH(Assumptions!$C$6,G2693)),Assumptions!$D$6,IF(ISNUMBER(SEARCH(Assumptions!$C$7,G2693)),Assumptions!$D$7,"Other Services"))),"Other Services"))</f>
        <v/>
      </c>
    </row>
    <row r="2694" customFormat="false" ht="15" hidden="false" customHeight="false" outlineLevel="0" collapsed="false">
      <c r="F2694" s="41" t="str">
        <f aca="false">IF(E2694="","",IFERROR(VLOOKUP(E2694,Assumptions!$G$5:$H$16,2,0),"Other"))</f>
        <v/>
      </c>
      <c r="J2694" s="41" t="str">
        <f aca="false">IF(G2694="","",IFERROR(IF(ISNUMBER(SEARCH(Assumptions!$C$5,G2694)),Assumptions!$D$5,IF(ISNUMBER(SEARCH(Assumptions!$C$6,G2694)),Assumptions!$D$6,IF(ISNUMBER(SEARCH(Assumptions!$C$7,G2694)),Assumptions!$D$7,"Other Services"))),"Other Services"))</f>
        <v/>
      </c>
    </row>
    <row r="2695" customFormat="false" ht="15" hidden="false" customHeight="false" outlineLevel="0" collapsed="false">
      <c r="F2695" s="41" t="str">
        <f aca="false">IF(E2695="","",IFERROR(VLOOKUP(E2695,Assumptions!$G$5:$H$16,2,0),"Other"))</f>
        <v/>
      </c>
      <c r="J2695" s="41" t="str">
        <f aca="false">IF(G2695="","",IFERROR(IF(ISNUMBER(SEARCH(Assumptions!$C$5,G2695)),Assumptions!$D$5,IF(ISNUMBER(SEARCH(Assumptions!$C$6,G2695)),Assumptions!$D$6,IF(ISNUMBER(SEARCH(Assumptions!$C$7,G2695)),Assumptions!$D$7,"Other Services"))),"Other Services"))</f>
        <v/>
      </c>
    </row>
    <row r="2696" customFormat="false" ht="15" hidden="false" customHeight="false" outlineLevel="0" collapsed="false">
      <c r="F2696" s="41" t="str">
        <f aca="false">IF(E2696="","",IFERROR(VLOOKUP(E2696,Assumptions!$G$5:$H$16,2,0),"Other"))</f>
        <v/>
      </c>
      <c r="J2696" s="41" t="str">
        <f aca="false">IF(G2696="","",IFERROR(IF(ISNUMBER(SEARCH(Assumptions!$C$5,G2696)),Assumptions!$D$5,IF(ISNUMBER(SEARCH(Assumptions!$C$6,G2696)),Assumptions!$D$6,IF(ISNUMBER(SEARCH(Assumptions!$C$7,G2696)),Assumptions!$D$7,"Other Services"))),"Other Services"))</f>
        <v/>
      </c>
    </row>
    <row r="2697" customFormat="false" ht="15" hidden="false" customHeight="false" outlineLevel="0" collapsed="false">
      <c r="F2697" s="41" t="str">
        <f aca="false">IF(E2697="","",IFERROR(VLOOKUP(E2697,Assumptions!$G$5:$H$16,2,0),"Other"))</f>
        <v/>
      </c>
      <c r="J2697" s="41" t="str">
        <f aca="false">IF(G2697="","",IFERROR(IF(ISNUMBER(SEARCH(Assumptions!$C$5,G2697)),Assumptions!$D$5,IF(ISNUMBER(SEARCH(Assumptions!$C$6,G2697)),Assumptions!$D$6,IF(ISNUMBER(SEARCH(Assumptions!$C$7,G2697)),Assumptions!$D$7,"Other Services"))),"Other Services"))</f>
        <v/>
      </c>
    </row>
    <row r="2698" customFormat="false" ht="15" hidden="false" customHeight="false" outlineLevel="0" collapsed="false">
      <c r="F2698" s="41" t="str">
        <f aca="false">IF(E2698="","",IFERROR(VLOOKUP(E2698,Assumptions!$G$5:$H$16,2,0),"Other"))</f>
        <v/>
      </c>
      <c r="J2698" s="41" t="str">
        <f aca="false">IF(G2698="","",IFERROR(IF(ISNUMBER(SEARCH(Assumptions!$C$5,G2698)),Assumptions!$D$5,IF(ISNUMBER(SEARCH(Assumptions!$C$6,G2698)),Assumptions!$D$6,IF(ISNUMBER(SEARCH(Assumptions!$C$7,G2698)),Assumptions!$D$7,"Other Services"))),"Other Services"))</f>
        <v/>
      </c>
    </row>
    <row r="2699" customFormat="false" ht="15" hidden="false" customHeight="false" outlineLevel="0" collapsed="false">
      <c r="F2699" s="41" t="str">
        <f aca="false">IF(E2699="","",IFERROR(VLOOKUP(E2699,Assumptions!$G$5:$H$16,2,0),"Other"))</f>
        <v/>
      </c>
      <c r="J2699" s="41" t="str">
        <f aca="false">IF(G2699="","",IFERROR(IF(ISNUMBER(SEARCH(Assumptions!$C$5,G2699)),Assumptions!$D$5,IF(ISNUMBER(SEARCH(Assumptions!$C$6,G2699)),Assumptions!$D$6,IF(ISNUMBER(SEARCH(Assumptions!$C$7,G2699)),Assumptions!$D$7,"Other Services"))),"Other Services"))</f>
        <v/>
      </c>
    </row>
    <row r="2700" customFormat="false" ht="15" hidden="false" customHeight="false" outlineLevel="0" collapsed="false">
      <c r="F2700" s="41" t="str">
        <f aca="false">IF(E2700="","",IFERROR(VLOOKUP(E2700,Assumptions!$G$5:$H$16,2,0),"Other"))</f>
        <v/>
      </c>
      <c r="J2700" s="41" t="str">
        <f aca="false">IF(G2700="","",IFERROR(IF(ISNUMBER(SEARCH(Assumptions!$C$5,G2700)),Assumptions!$D$5,IF(ISNUMBER(SEARCH(Assumptions!$C$6,G2700)),Assumptions!$D$6,IF(ISNUMBER(SEARCH(Assumptions!$C$7,G2700)),Assumptions!$D$7,"Other Services"))),"Other Services"))</f>
        <v/>
      </c>
    </row>
    <row r="2701" customFormat="false" ht="15" hidden="false" customHeight="false" outlineLevel="0" collapsed="false">
      <c r="F2701" s="41" t="str">
        <f aca="false">IF(E2701="","",IFERROR(VLOOKUP(E2701,Assumptions!$G$5:$H$16,2,0),"Other"))</f>
        <v/>
      </c>
      <c r="J2701" s="41" t="str">
        <f aca="false">IF(G2701="","",IFERROR(IF(ISNUMBER(SEARCH(Assumptions!$C$5,G2701)),Assumptions!$D$5,IF(ISNUMBER(SEARCH(Assumptions!$C$6,G2701)),Assumptions!$D$6,IF(ISNUMBER(SEARCH(Assumptions!$C$7,G2701)),Assumptions!$D$7,"Other Services"))),"Other Services"))</f>
        <v/>
      </c>
    </row>
    <row r="2702" customFormat="false" ht="15" hidden="false" customHeight="false" outlineLevel="0" collapsed="false">
      <c r="F2702" s="41" t="str">
        <f aca="false">IF(E2702="","",IFERROR(VLOOKUP(E2702,Assumptions!$G$5:$H$16,2,0),"Other"))</f>
        <v/>
      </c>
      <c r="J2702" s="41" t="str">
        <f aca="false">IF(G2702="","",IFERROR(IF(ISNUMBER(SEARCH(Assumptions!$C$5,G2702)),Assumptions!$D$5,IF(ISNUMBER(SEARCH(Assumptions!$C$6,G2702)),Assumptions!$D$6,IF(ISNUMBER(SEARCH(Assumptions!$C$7,G2702)),Assumptions!$D$7,"Other Services"))),"Other Services"))</f>
        <v/>
      </c>
    </row>
    <row r="2703" customFormat="false" ht="15" hidden="false" customHeight="false" outlineLevel="0" collapsed="false">
      <c r="F2703" s="41" t="str">
        <f aca="false">IF(E2703="","",IFERROR(VLOOKUP(E2703,Assumptions!$G$5:$H$16,2,0),"Other"))</f>
        <v/>
      </c>
      <c r="J2703" s="41" t="str">
        <f aca="false">IF(G2703="","",IFERROR(IF(ISNUMBER(SEARCH(Assumptions!$C$5,G2703)),Assumptions!$D$5,IF(ISNUMBER(SEARCH(Assumptions!$C$6,G2703)),Assumptions!$D$6,IF(ISNUMBER(SEARCH(Assumptions!$C$7,G2703)),Assumptions!$D$7,"Other Services"))),"Other Services"))</f>
        <v/>
      </c>
    </row>
    <row r="2704" customFormat="false" ht="15" hidden="false" customHeight="false" outlineLevel="0" collapsed="false">
      <c r="F2704" s="41" t="str">
        <f aca="false">IF(E2704="","",IFERROR(VLOOKUP(E2704,Assumptions!$G$5:$H$16,2,0),"Other"))</f>
        <v/>
      </c>
      <c r="J2704" s="41" t="str">
        <f aca="false">IF(G2704="","",IFERROR(IF(ISNUMBER(SEARCH(Assumptions!$C$5,G2704)),Assumptions!$D$5,IF(ISNUMBER(SEARCH(Assumptions!$C$6,G2704)),Assumptions!$D$6,IF(ISNUMBER(SEARCH(Assumptions!$C$7,G2704)),Assumptions!$D$7,"Other Services"))),"Other Services"))</f>
        <v/>
      </c>
    </row>
    <row r="2705" customFormat="false" ht="15" hidden="false" customHeight="false" outlineLevel="0" collapsed="false">
      <c r="F2705" s="41" t="str">
        <f aca="false">IF(E2705="","",IFERROR(VLOOKUP(E2705,Assumptions!$G$5:$H$16,2,0),"Other"))</f>
        <v/>
      </c>
      <c r="J2705" s="41" t="str">
        <f aca="false">IF(G2705="","",IFERROR(IF(ISNUMBER(SEARCH(Assumptions!$C$5,G2705)),Assumptions!$D$5,IF(ISNUMBER(SEARCH(Assumptions!$C$6,G2705)),Assumptions!$D$6,IF(ISNUMBER(SEARCH(Assumptions!$C$7,G2705)),Assumptions!$D$7,"Other Services"))),"Other Services"))</f>
        <v/>
      </c>
    </row>
    <row r="2706" customFormat="false" ht="15" hidden="false" customHeight="false" outlineLevel="0" collapsed="false">
      <c r="F2706" s="41" t="str">
        <f aca="false">IF(E2706="","",IFERROR(VLOOKUP(E2706,Assumptions!$G$5:$H$16,2,0),"Other"))</f>
        <v/>
      </c>
      <c r="J2706" s="41" t="str">
        <f aca="false">IF(G2706="","",IFERROR(IF(ISNUMBER(SEARCH(Assumptions!$C$5,G2706)),Assumptions!$D$5,IF(ISNUMBER(SEARCH(Assumptions!$C$6,G2706)),Assumptions!$D$6,IF(ISNUMBER(SEARCH(Assumptions!$C$7,G2706)),Assumptions!$D$7,"Other Services"))),"Other Services"))</f>
        <v/>
      </c>
    </row>
    <row r="2707" customFormat="false" ht="15" hidden="false" customHeight="false" outlineLevel="0" collapsed="false">
      <c r="F2707" s="41" t="str">
        <f aca="false">IF(E2707="","",IFERROR(VLOOKUP(E2707,Assumptions!$G$5:$H$16,2,0),"Other"))</f>
        <v/>
      </c>
      <c r="J2707" s="41" t="str">
        <f aca="false">IF(G2707="","",IFERROR(IF(ISNUMBER(SEARCH(Assumptions!$C$5,G2707)),Assumptions!$D$5,IF(ISNUMBER(SEARCH(Assumptions!$C$6,G2707)),Assumptions!$D$6,IF(ISNUMBER(SEARCH(Assumptions!$C$7,G2707)),Assumptions!$D$7,"Other Services"))),"Other Services"))</f>
        <v/>
      </c>
    </row>
    <row r="2708" customFormat="false" ht="15" hidden="false" customHeight="false" outlineLevel="0" collapsed="false">
      <c r="F2708" s="41" t="str">
        <f aca="false">IF(E2708="","",IFERROR(VLOOKUP(E2708,Assumptions!$G$5:$H$16,2,0),"Other"))</f>
        <v/>
      </c>
      <c r="J2708" s="41" t="str">
        <f aca="false">IF(G2708="","",IFERROR(IF(ISNUMBER(SEARCH(Assumptions!$C$5,G2708)),Assumptions!$D$5,IF(ISNUMBER(SEARCH(Assumptions!$C$6,G2708)),Assumptions!$D$6,IF(ISNUMBER(SEARCH(Assumptions!$C$7,G2708)),Assumptions!$D$7,"Other Services"))),"Other Services"))</f>
        <v/>
      </c>
    </row>
    <row r="2709" customFormat="false" ht="15" hidden="false" customHeight="false" outlineLevel="0" collapsed="false">
      <c r="F2709" s="41" t="str">
        <f aca="false">IF(E2709="","",IFERROR(VLOOKUP(E2709,Assumptions!$G$5:$H$16,2,0),"Other"))</f>
        <v/>
      </c>
      <c r="J2709" s="41" t="str">
        <f aca="false">IF(G2709="","",IFERROR(IF(ISNUMBER(SEARCH(Assumptions!$C$5,G2709)),Assumptions!$D$5,IF(ISNUMBER(SEARCH(Assumptions!$C$6,G2709)),Assumptions!$D$6,IF(ISNUMBER(SEARCH(Assumptions!$C$7,G2709)),Assumptions!$D$7,"Other Services"))),"Other Services"))</f>
        <v/>
      </c>
    </row>
    <row r="2710" customFormat="false" ht="15" hidden="false" customHeight="false" outlineLevel="0" collapsed="false">
      <c r="F2710" s="41" t="str">
        <f aca="false">IF(E2710="","",IFERROR(VLOOKUP(E2710,Assumptions!$G$5:$H$16,2,0),"Other"))</f>
        <v/>
      </c>
      <c r="J2710" s="41" t="str">
        <f aca="false">IF(G2710="","",IFERROR(IF(ISNUMBER(SEARCH(Assumptions!$C$5,G2710)),Assumptions!$D$5,IF(ISNUMBER(SEARCH(Assumptions!$C$6,G2710)),Assumptions!$D$6,IF(ISNUMBER(SEARCH(Assumptions!$C$7,G2710)),Assumptions!$D$7,"Other Services"))),"Other Services"))</f>
        <v/>
      </c>
    </row>
    <row r="2711" customFormat="false" ht="15" hidden="false" customHeight="false" outlineLevel="0" collapsed="false">
      <c r="F2711" s="41" t="str">
        <f aca="false">IF(E2711="","",IFERROR(VLOOKUP(E2711,Assumptions!$G$5:$H$16,2,0),"Other"))</f>
        <v/>
      </c>
      <c r="J2711" s="41" t="str">
        <f aca="false">IF(G2711="","",IFERROR(IF(ISNUMBER(SEARCH(Assumptions!$C$5,G2711)),Assumptions!$D$5,IF(ISNUMBER(SEARCH(Assumptions!$C$6,G2711)),Assumptions!$D$6,IF(ISNUMBER(SEARCH(Assumptions!$C$7,G2711)),Assumptions!$D$7,"Other Services"))),"Other Services"))</f>
        <v/>
      </c>
    </row>
    <row r="2712" customFormat="false" ht="15" hidden="false" customHeight="false" outlineLevel="0" collapsed="false">
      <c r="F2712" s="41" t="str">
        <f aca="false">IF(E2712="","",IFERROR(VLOOKUP(E2712,Assumptions!$G$5:$H$16,2,0),"Other"))</f>
        <v/>
      </c>
      <c r="J2712" s="41" t="str">
        <f aca="false">IF(G2712="","",IFERROR(IF(ISNUMBER(SEARCH(Assumptions!$C$5,G2712)),Assumptions!$D$5,IF(ISNUMBER(SEARCH(Assumptions!$C$6,G2712)),Assumptions!$D$6,IF(ISNUMBER(SEARCH(Assumptions!$C$7,G2712)),Assumptions!$D$7,"Other Services"))),"Other Services"))</f>
        <v/>
      </c>
    </row>
    <row r="2713" customFormat="false" ht="15" hidden="false" customHeight="false" outlineLevel="0" collapsed="false">
      <c r="F2713" s="41" t="str">
        <f aca="false">IF(E2713="","",IFERROR(VLOOKUP(E2713,Assumptions!$G$5:$H$16,2,0),"Other"))</f>
        <v/>
      </c>
      <c r="J2713" s="41" t="str">
        <f aca="false">IF(G2713="","",IFERROR(IF(ISNUMBER(SEARCH(Assumptions!$C$5,G2713)),Assumptions!$D$5,IF(ISNUMBER(SEARCH(Assumptions!$C$6,G2713)),Assumptions!$D$6,IF(ISNUMBER(SEARCH(Assumptions!$C$7,G2713)),Assumptions!$D$7,"Other Services"))),"Other Services"))</f>
        <v/>
      </c>
    </row>
    <row r="2714" customFormat="false" ht="15" hidden="false" customHeight="false" outlineLevel="0" collapsed="false">
      <c r="F2714" s="41" t="str">
        <f aca="false">IF(E2714="","",IFERROR(VLOOKUP(E2714,Assumptions!$G$5:$H$16,2,0),"Other"))</f>
        <v/>
      </c>
      <c r="J2714" s="41" t="str">
        <f aca="false">IF(G2714="","",IFERROR(IF(ISNUMBER(SEARCH(Assumptions!$C$5,G2714)),Assumptions!$D$5,IF(ISNUMBER(SEARCH(Assumptions!$C$6,G2714)),Assumptions!$D$6,IF(ISNUMBER(SEARCH(Assumptions!$C$7,G2714)),Assumptions!$D$7,"Other Services"))),"Other Services"))</f>
        <v/>
      </c>
    </row>
    <row r="2715" customFormat="false" ht="15" hidden="false" customHeight="false" outlineLevel="0" collapsed="false">
      <c r="F2715" s="41" t="str">
        <f aca="false">IF(E2715="","",IFERROR(VLOOKUP(E2715,Assumptions!$G$5:$H$16,2,0),"Other"))</f>
        <v/>
      </c>
      <c r="J2715" s="41" t="str">
        <f aca="false">IF(G2715="","",IFERROR(IF(ISNUMBER(SEARCH(Assumptions!$C$5,G2715)),Assumptions!$D$5,IF(ISNUMBER(SEARCH(Assumptions!$C$6,G2715)),Assumptions!$D$6,IF(ISNUMBER(SEARCH(Assumptions!$C$7,G2715)),Assumptions!$D$7,"Other Services"))),"Other Services"))</f>
        <v/>
      </c>
    </row>
    <row r="2716" customFormat="false" ht="15" hidden="false" customHeight="false" outlineLevel="0" collapsed="false">
      <c r="F2716" s="41" t="str">
        <f aca="false">IF(E2716="","",IFERROR(VLOOKUP(E2716,Assumptions!$G$5:$H$16,2,0),"Other"))</f>
        <v/>
      </c>
      <c r="J2716" s="41" t="str">
        <f aca="false">IF(G2716="","",IFERROR(IF(ISNUMBER(SEARCH(Assumptions!$C$5,G2716)),Assumptions!$D$5,IF(ISNUMBER(SEARCH(Assumptions!$C$6,G2716)),Assumptions!$D$6,IF(ISNUMBER(SEARCH(Assumptions!$C$7,G2716)),Assumptions!$D$7,"Other Services"))),"Other Services"))</f>
        <v/>
      </c>
    </row>
    <row r="2717" customFormat="false" ht="15" hidden="false" customHeight="false" outlineLevel="0" collapsed="false">
      <c r="F2717" s="41" t="str">
        <f aca="false">IF(E2717="","",IFERROR(VLOOKUP(E2717,Assumptions!$G$5:$H$16,2,0),"Other"))</f>
        <v/>
      </c>
      <c r="J2717" s="41" t="str">
        <f aca="false">IF(G2717="","",IFERROR(IF(ISNUMBER(SEARCH(Assumptions!$C$5,G2717)),Assumptions!$D$5,IF(ISNUMBER(SEARCH(Assumptions!$C$6,G2717)),Assumptions!$D$6,IF(ISNUMBER(SEARCH(Assumptions!$C$7,G2717)),Assumptions!$D$7,"Other Services"))),"Other Services"))</f>
        <v/>
      </c>
    </row>
    <row r="2718" customFormat="false" ht="15" hidden="false" customHeight="false" outlineLevel="0" collapsed="false">
      <c r="F2718" s="41" t="str">
        <f aca="false">IF(E2718="","",IFERROR(VLOOKUP(E2718,Assumptions!$G$5:$H$16,2,0),"Other"))</f>
        <v/>
      </c>
      <c r="J2718" s="41" t="str">
        <f aca="false">IF(G2718="","",IFERROR(IF(ISNUMBER(SEARCH(Assumptions!$C$5,G2718)),Assumptions!$D$5,IF(ISNUMBER(SEARCH(Assumptions!$C$6,G2718)),Assumptions!$D$6,IF(ISNUMBER(SEARCH(Assumptions!$C$7,G2718)),Assumptions!$D$7,"Other Services"))),"Other Services"))</f>
        <v/>
      </c>
    </row>
    <row r="2719" customFormat="false" ht="15" hidden="false" customHeight="false" outlineLevel="0" collapsed="false">
      <c r="F2719" s="41" t="str">
        <f aca="false">IF(E2719="","",IFERROR(VLOOKUP(E2719,Assumptions!$G$5:$H$16,2,0),"Other"))</f>
        <v/>
      </c>
      <c r="J2719" s="41" t="str">
        <f aca="false">IF(G2719="","",IFERROR(IF(ISNUMBER(SEARCH(Assumptions!$C$5,G2719)),Assumptions!$D$5,IF(ISNUMBER(SEARCH(Assumptions!$C$6,G2719)),Assumptions!$D$6,IF(ISNUMBER(SEARCH(Assumptions!$C$7,G2719)),Assumptions!$D$7,"Other Services"))),"Other Services"))</f>
        <v/>
      </c>
    </row>
    <row r="2720" customFormat="false" ht="15" hidden="false" customHeight="false" outlineLevel="0" collapsed="false">
      <c r="F2720" s="41" t="str">
        <f aca="false">IF(E2720="","",IFERROR(VLOOKUP(E2720,Assumptions!$G$5:$H$16,2,0),"Other"))</f>
        <v/>
      </c>
      <c r="J2720" s="41" t="str">
        <f aca="false">IF(G2720="","",IFERROR(IF(ISNUMBER(SEARCH(Assumptions!$C$5,G2720)),Assumptions!$D$5,IF(ISNUMBER(SEARCH(Assumptions!$C$6,G2720)),Assumptions!$D$6,IF(ISNUMBER(SEARCH(Assumptions!$C$7,G2720)),Assumptions!$D$7,"Other Services"))),"Other Services"))</f>
        <v/>
      </c>
    </row>
    <row r="2721" customFormat="false" ht="15" hidden="false" customHeight="false" outlineLevel="0" collapsed="false">
      <c r="F2721" s="41" t="str">
        <f aca="false">IF(E2721="","",IFERROR(VLOOKUP(E2721,Assumptions!$G$5:$H$16,2,0),"Other"))</f>
        <v/>
      </c>
      <c r="J2721" s="41" t="str">
        <f aca="false">IF(G2721="","",IFERROR(IF(ISNUMBER(SEARCH(Assumptions!$C$5,G2721)),Assumptions!$D$5,IF(ISNUMBER(SEARCH(Assumptions!$C$6,G2721)),Assumptions!$D$6,IF(ISNUMBER(SEARCH(Assumptions!$C$7,G2721)),Assumptions!$D$7,"Other Services"))),"Other Services"))</f>
        <v/>
      </c>
    </row>
    <row r="2722" customFormat="false" ht="15" hidden="false" customHeight="false" outlineLevel="0" collapsed="false">
      <c r="F2722" s="41" t="str">
        <f aca="false">IF(E2722="","",IFERROR(VLOOKUP(E2722,Assumptions!$G$5:$H$16,2,0),"Other"))</f>
        <v/>
      </c>
      <c r="J2722" s="41" t="str">
        <f aca="false">IF(G2722="","",IFERROR(IF(ISNUMBER(SEARCH(Assumptions!$C$5,G2722)),Assumptions!$D$5,IF(ISNUMBER(SEARCH(Assumptions!$C$6,G2722)),Assumptions!$D$6,IF(ISNUMBER(SEARCH(Assumptions!$C$7,G2722)),Assumptions!$D$7,"Other Services"))),"Other Services"))</f>
        <v/>
      </c>
    </row>
    <row r="2723" customFormat="false" ht="15" hidden="false" customHeight="false" outlineLevel="0" collapsed="false">
      <c r="F2723" s="41" t="str">
        <f aca="false">IF(E2723="","",IFERROR(VLOOKUP(E2723,Assumptions!$G$5:$H$16,2,0),"Other"))</f>
        <v/>
      </c>
      <c r="J2723" s="41" t="str">
        <f aca="false">IF(G2723="","",IFERROR(IF(ISNUMBER(SEARCH(Assumptions!$C$5,G2723)),Assumptions!$D$5,IF(ISNUMBER(SEARCH(Assumptions!$C$6,G2723)),Assumptions!$D$6,IF(ISNUMBER(SEARCH(Assumptions!$C$7,G2723)),Assumptions!$D$7,"Other Services"))),"Other Services"))</f>
        <v/>
      </c>
    </row>
    <row r="2724" customFormat="false" ht="15" hidden="false" customHeight="false" outlineLevel="0" collapsed="false">
      <c r="F2724" s="41" t="str">
        <f aca="false">IF(E2724="","",IFERROR(VLOOKUP(E2724,Assumptions!$G$5:$H$16,2,0),"Other"))</f>
        <v/>
      </c>
      <c r="J2724" s="41" t="str">
        <f aca="false">IF(G2724="","",IFERROR(IF(ISNUMBER(SEARCH(Assumptions!$C$5,G2724)),Assumptions!$D$5,IF(ISNUMBER(SEARCH(Assumptions!$C$6,G2724)),Assumptions!$D$6,IF(ISNUMBER(SEARCH(Assumptions!$C$7,G2724)),Assumptions!$D$7,"Other Services"))),"Other Services"))</f>
        <v/>
      </c>
    </row>
    <row r="2725" customFormat="false" ht="15" hidden="false" customHeight="false" outlineLevel="0" collapsed="false">
      <c r="F2725" s="41" t="str">
        <f aca="false">IF(E2725="","",IFERROR(VLOOKUP(E2725,Assumptions!$G$5:$H$16,2,0),"Other"))</f>
        <v/>
      </c>
      <c r="J2725" s="41" t="str">
        <f aca="false">IF(G2725="","",IFERROR(IF(ISNUMBER(SEARCH(Assumptions!$C$5,G2725)),Assumptions!$D$5,IF(ISNUMBER(SEARCH(Assumptions!$C$6,G2725)),Assumptions!$D$6,IF(ISNUMBER(SEARCH(Assumptions!$C$7,G2725)),Assumptions!$D$7,"Other Services"))),"Other Services"))</f>
        <v/>
      </c>
    </row>
    <row r="2726" customFormat="false" ht="15" hidden="false" customHeight="false" outlineLevel="0" collapsed="false">
      <c r="F2726" s="41" t="str">
        <f aca="false">IF(E2726="","",IFERROR(VLOOKUP(E2726,Assumptions!$G$5:$H$16,2,0),"Other"))</f>
        <v/>
      </c>
      <c r="J2726" s="41" t="str">
        <f aca="false">IF(G2726="","",IFERROR(IF(ISNUMBER(SEARCH(Assumptions!$C$5,G2726)),Assumptions!$D$5,IF(ISNUMBER(SEARCH(Assumptions!$C$6,G2726)),Assumptions!$D$6,IF(ISNUMBER(SEARCH(Assumptions!$C$7,G2726)),Assumptions!$D$7,"Other Services"))),"Other Services"))</f>
        <v/>
      </c>
    </row>
    <row r="2727" customFormat="false" ht="15" hidden="false" customHeight="false" outlineLevel="0" collapsed="false">
      <c r="F2727" s="41" t="str">
        <f aca="false">IF(E2727="","",IFERROR(VLOOKUP(E2727,Assumptions!$G$5:$H$16,2,0),"Other"))</f>
        <v/>
      </c>
      <c r="J2727" s="41" t="str">
        <f aca="false">IF(G2727="","",IFERROR(IF(ISNUMBER(SEARCH(Assumptions!$C$5,G2727)),Assumptions!$D$5,IF(ISNUMBER(SEARCH(Assumptions!$C$6,G2727)),Assumptions!$D$6,IF(ISNUMBER(SEARCH(Assumptions!$C$7,G2727)),Assumptions!$D$7,"Other Services"))),"Other Services"))</f>
        <v/>
      </c>
    </row>
    <row r="2728" customFormat="false" ht="15" hidden="false" customHeight="false" outlineLevel="0" collapsed="false">
      <c r="F2728" s="41" t="str">
        <f aca="false">IF(E2728="","",IFERROR(VLOOKUP(E2728,Assumptions!$G$5:$H$16,2,0),"Other"))</f>
        <v/>
      </c>
      <c r="J2728" s="41" t="str">
        <f aca="false">IF(G2728="","",IFERROR(IF(ISNUMBER(SEARCH(Assumptions!$C$5,G2728)),Assumptions!$D$5,IF(ISNUMBER(SEARCH(Assumptions!$C$6,G2728)),Assumptions!$D$6,IF(ISNUMBER(SEARCH(Assumptions!$C$7,G2728)),Assumptions!$D$7,"Other Services"))),"Other Services"))</f>
        <v/>
      </c>
    </row>
    <row r="2729" customFormat="false" ht="15" hidden="false" customHeight="false" outlineLevel="0" collapsed="false">
      <c r="F2729" s="41" t="str">
        <f aca="false">IF(E2729="","",IFERROR(VLOOKUP(E2729,Assumptions!$G$5:$H$16,2,0),"Other"))</f>
        <v/>
      </c>
      <c r="J2729" s="41" t="str">
        <f aca="false">IF(G2729="","",IFERROR(IF(ISNUMBER(SEARCH(Assumptions!$C$5,G2729)),Assumptions!$D$5,IF(ISNUMBER(SEARCH(Assumptions!$C$6,G2729)),Assumptions!$D$6,IF(ISNUMBER(SEARCH(Assumptions!$C$7,G2729)),Assumptions!$D$7,"Other Services"))),"Other Services"))</f>
        <v/>
      </c>
    </row>
    <row r="2730" customFormat="false" ht="15" hidden="false" customHeight="false" outlineLevel="0" collapsed="false">
      <c r="F2730" s="41" t="str">
        <f aca="false">IF(E2730="","",IFERROR(VLOOKUP(E2730,Assumptions!$G$5:$H$16,2,0),"Other"))</f>
        <v/>
      </c>
      <c r="J2730" s="41" t="str">
        <f aca="false">IF(G2730="","",IFERROR(IF(ISNUMBER(SEARCH(Assumptions!$C$5,G2730)),Assumptions!$D$5,IF(ISNUMBER(SEARCH(Assumptions!$C$6,G2730)),Assumptions!$D$6,IF(ISNUMBER(SEARCH(Assumptions!$C$7,G2730)),Assumptions!$D$7,"Other Services"))),"Other Services"))</f>
        <v/>
      </c>
    </row>
    <row r="2731" customFormat="false" ht="15" hidden="false" customHeight="false" outlineLevel="0" collapsed="false">
      <c r="F2731" s="41" t="str">
        <f aca="false">IF(E2731="","",IFERROR(VLOOKUP(E2731,Assumptions!$G$5:$H$16,2,0),"Other"))</f>
        <v/>
      </c>
      <c r="J2731" s="41" t="str">
        <f aca="false">IF(G2731="","",IFERROR(IF(ISNUMBER(SEARCH(Assumptions!$C$5,G2731)),Assumptions!$D$5,IF(ISNUMBER(SEARCH(Assumptions!$C$6,G2731)),Assumptions!$D$6,IF(ISNUMBER(SEARCH(Assumptions!$C$7,G2731)),Assumptions!$D$7,"Other Services"))),"Other Services"))</f>
        <v/>
      </c>
    </row>
    <row r="2732" customFormat="false" ht="15" hidden="false" customHeight="false" outlineLevel="0" collapsed="false">
      <c r="F2732" s="41" t="str">
        <f aca="false">IF(E2732="","",IFERROR(VLOOKUP(E2732,Assumptions!$G$5:$H$16,2,0),"Other"))</f>
        <v/>
      </c>
      <c r="J2732" s="41" t="str">
        <f aca="false">IF(G2732="","",IFERROR(IF(ISNUMBER(SEARCH(Assumptions!$C$5,G2732)),Assumptions!$D$5,IF(ISNUMBER(SEARCH(Assumptions!$C$6,G2732)),Assumptions!$D$6,IF(ISNUMBER(SEARCH(Assumptions!$C$7,G2732)),Assumptions!$D$7,"Other Services"))),"Other Services"))</f>
        <v/>
      </c>
    </row>
    <row r="2733" customFormat="false" ht="15" hidden="false" customHeight="false" outlineLevel="0" collapsed="false">
      <c r="F2733" s="41" t="str">
        <f aca="false">IF(E2733="","",IFERROR(VLOOKUP(E2733,Assumptions!$G$5:$H$16,2,0),"Other"))</f>
        <v/>
      </c>
      <c r="J2733" s="41" t="str">
        <f aca="false">IF(G2733="","",IFERROR(IF(ISNUMBER(SEARCH(Assumptions!$C$5,G2733)),Assumptions!$D$5,IF(ISNUMBER(SEARCH(Assumptions!$C$6,G2733)),Assumptions!$D$6,IF(ISNUMBER(SEARCH(Assumptions!$C$7,G2733)),Assumptions!$D$7,"Other Services"))),"Other Services"))</f>
        <v/>
      </c>
    </row>
    <row r="2734" customFormat="false" ht="15" hidden="false" customHeight="false" outlineLevel="0" collapsed="false">
      <c r="F2734" s="41" t="str">
        <f aca="false">IF(E2734="","",IFERROR(VLOOKUP(E2734,Assumptions!$G$5:$H$16,2,0),"Other"))</f>
        <v/>
      </c>
      <c r="J2734" s="41" t="str">
        <f aca="false">IF(G2734="","",IFERROR(IF(ISNUMBER(SEARCH(Assumptions!$C$5,G2734)),Assumptions!$D$5,IF(ISNUMBER(SEARCH(Assumptions!$C$6,G2734)),Assumptions!$D$6,IF(ISNUMBER(SEARCH(Assumptions!$C$7,G2734)),Assumptions!$D$7,"Other Services"))),"Other Services"))</f>
        <v/>
      </c>
    </row>
    <row r="2735" customFormat="false" ht="15" hidden="false" customHeight="false" outlineLevel="0" collapsed="false">
      <c r="F2735" s="41" t="str">
        <f aca="false">IF(E2735="","",IFERROR(VLOOKUP(E2735,Assumptions!$G$5:$H$16,2,0),"Other"))</f>
        <v/>
      </c>
      <c r="J2735" s="41" t="str">
        <f aca="false">IF(G2735="","",IFERROR(IF(ISNUMBER(SEARCH(Assumptions!$C$5,G2735)),Assumptions!$D$5,IF(ISNUMBER(SEARCH(Assumptions!$C$6,G2735)),Assumptions!$D$6,IF(ISNUMBER(SEARCH(Assumptions!$C$7,G2735)),Assumptions!$D$7,"Other Services"))),"Other Services"))</f>
        <v/>
      </c>
    </row>
    <row r="2736" customFormat="false" ht="15" hidden="false" customHeight="false" outlineLevel="0" collapsed="false">
      <c r="F2736" s="41" t="str">
        <f aca="false">IF(E2736="","",IFERROR(VLOOKUP(E2736,Assumptions!$G$5:$H$16,2,0),"Other"))</f>
        <v/>
      </c>
      <c r="J2736" s="41" t="str">
        <f aca="false">IF(G2736="","",IFERROR(IF(ISNUMBER(SEARCH(Assumptions!$C$5,G2736)),Assumptions!$D$5,IF(ISNUMBER(SEARCH(Assumptions!$C$6,G2736)),Assumptions!$D$6,IF(ISNUMBER(SEARCH(Assumptions!$C$7,G2736)),Assumptions!$D$7,"Other Services"))),"Other Services"))</f>
        <v/>
      </c>
    </row>
    <row r="2737" customFormat="false" ht="15" hidden="false" customHeight="false" outlineLevel="0" collapsed="false">
      <c r="F2737" s="41" t="str">
        <f aca="false">IF(E2737="","",IFERROR(VLOOKUP(E2737,Assumptions!$G$5:$H$16,2,0),"Other"))</f>
        <v/>
      </c>
      <c r="J2737" s="41" t="str">
        <f aca="false">IF(G2737="","",IFERROR(IF(ISNUMBER(SEARCH(Assumptions!$C$5,G2737)),Assumptions!$D$5,IF(ISNUMBER(SEARCH(Assumptions!$C$6,G2737)),Assumptions!$D$6,IF(ISNUMBER(SEARCH(Assumptions!$C$7,G2737)),Assumptions!$D$7,"Other Services"))),"Other Services"))</f>
        <v/>
      </c>
    </row>
    <row r="2738" customFormat="false" ht="15" hidden="false" customHeight="false" outlineLevel="0" collapsed="false">
      <c r="F2738" s="41" t="str">
        <f aca="false">IF(E2738="","",IFERROR(VLOOKUP(E2738,Assumptions!$G$5:$H$16,2,0),"Other"))</f>
        <v/>
      </c>
      <c r="J2738" s="41" t="str">
        <f aca="false">IF(G2738="","",IFERROR(IF(ISNUMBER(SEARCH(Assumptions!$C$5,G2738)),Assumptions!$D$5,IF(ISNUMBER(SEARCH(Assumptions!$C$6,G2738)),Assumptions!$D$6,IF(ISNUMBER(SEARCH(Assumptions!$C$7,G2738)),Assumptions!$D$7,"Other Services"))),"Other Services"))</f>
        <v/>
      </c>
    </row>
    <row r="2739" customFormat="false" ht="15" hidden="false" customHeight="false" outlineLevel="0" collapsed="false">
      <c r="F2739" s="41" t="str">
        <f aca="false">IF(E2739="","",IFERROR(VLOOKUP(E2739,Assumptions!$G$5:$H$16,2,0),"Other"))</f>
        <v/>
      </c>
      <c r="J2739" s="41" t="str">
        <f aca="false">IF(G2739="","",IFERROR(IF(ISNUMBER(SEARCH(Assumptions!$C$5,G2739)),Assumptions!$D$5,IF(ISNUMBER(SEARCH(Assumptions!$C$6,G2739)),Assumptions!$D$6,IF(ISNUMBER(SEARCH(Assumptions!$C$7,G2739)),Assumptions!$D$7,"Other Services"))),"Other Services"))</f>
        <v/>
      </c>
    </row>
    <row r="2740" customFormat="false" ht="15" hidden="false" customHeight="false" outlineLevel="0" collapsed="false">
      <c r="F2740" s="41" t="str">
        <f aca="false">IF(E2740="","",IFERROR(VLOOKUP(E2740,Assumptions!$G$5:$H$16,2,0),"Other"))</f>
        <v/>
      </c>
      <c r="J2740" s="41" t="str">
        <f aca="false">IF(G2740="","",IFERROR(IF(ISNUMBER(SEARCH(Assumptions!$C$5,G2740)),Assumptions!$D$5,IF(ISNUMBER(SEARCH(Assumptions!$C$6,G2740)),Assumptions!$D$6,IF(ISNUMBER(SEARCH(Assumptions!$C$7,G2740)),Assumptions!$D$7,"Other Services"))),"Other Services"))</f>
        <v/>
      </c>
    </row>
    <row r="2741" customFormat="false" ht="15" hidden="false" customHeight="false" outlineLevel="0" collapsed="false">
      <c r="F2741" s="41" t="str">
        <f aca="false">IF(E2741="","",IFERROR(VLOOKUP(E2741,Assumptions!$G$5:$H$16,2,0),"Other"))</f>
        <v/>
      </c>
      <c r="J2741" s="41" t="str">
        <f aca="false">IF(G2741="","",IFERROR(IF(ISNUMBER(SEARCH(Assumptions!$C$5,G2741)),Assumptions!$D$5,IF(ISNUMBER(SEARCH(Assumptions!$C$6,G2741)),Assumptions!$D$6,IF(ISNUMBER(SEARCH(Assumptions!$C$7,G2741)),Assumptions!$D$7,"Other Services"))),"Other Services"))</f>
        <v/>
      </c>
    </row>
    <row r="2742" customFormat="false" ht="15" hidden="false" customHeight="false" outlineLevel="0" collapsed="false">
      <c r="F2742" s="41" t="str">
        <f aca="false">IF(E2742="","",IFERROR(VLOOKUP(E2742,Assumptions!$G$5:$H$16,2,0),"Other"))</f>
        <v/>
      </c>
      <c r="J2742" s="41" t="str">
        <f aca="false">IF(G2742="","",IFERROR(IF(ISNUMBER(SEARCH(Assumptions!$C$5,G2742)),Assumptions!$D$5,IF(ISNUMBER(SEARCH(Assumptions!$C$6,G2742)),Assumptions!$D$6,IF(ISNUMBER(SEARCH(Assumptions!$C$7,G2742)),Assumptions!$D$7,"Other Services"))),"Other Services"))</f>
        <v/>
      </c>
    </row>
    <row r="2743" customFormat="false" ht="15" hidden="false" customHeight="false" outlineLevel="0" collapsed="false">
      <c r="F2743" s="41" t="str">
        <f aca="false">IF(E2743="","",IFERROR(VLOOKUP(E2743,Assumptions!$G$5:$H$16,2,0),"Other"))</f>
        <v/>
      </c>
      <c r="J2743" s="41" t="str">
        <f aca="false">IF(G2743="","",IFERROR(IF(ISNUMBER(SEARCH(Assumptions!$C$5,G2743)),Assumptions!$D$5,IF(ISNUMBER(SEARCH(Assumptions!$C$6,G2743)),Assumptions!$D$6,IF(ISNUMBER(SEARCH(Assumptions!$C$7,G2743)),Assumptions!$D$7,"Other Services"))),"Other Services"))</f>
        <v/>
      </c>
    </row>
    <row r="2744" customFormat="false" ht="15" hidden="false" customHeight="false" outlineLevel="0" collapsed="false">
      <c r="F2744" s="41" t="str">
        <f aca="false">IF(E2744="","",IFERROR(VLOOKUP(E2744,Assumptions!$G$5:$H$16,2,0),"Other"))</f>
        <v/>
      </c>
      <c r="J2744" s="41" t="str">
        <f aca="false">IF(G2744="","",IFERROR(IF(ISNUMBER(SEARCH(Assumptions!$C$5,G2744)),Assumptions!$D$5,IF(ISNUMBER(SEARCH(Assumptions!$C$6,G2744)),Assumptions!$D$6,IF(ISNUMBER(SEARCH(Assumptions!$C$7,G2744)),Assumptions!$D$7,"Other Services"))),"Other Services"))</f>
        <v/>
      </c>
    </row>
    <row r="2745" customFormat="false" ht="15" hidden="false" customHeight="false" outlineLevel="0" collapsed="false">
      <c r="F2745" s="41" t="str">
        <f aca="false">IF(E2745="","",IFERROR(VLOOKUP(E2745,Assumptions!$G$5:$H$16,2,0),"Other"))</f>
        <v/>
      </c>
      <c r="J2745" s="41" t="str">
        <f aca="false">IF(G2745="","",IFERROR(IF(ISNUMBER(SEARCH(Assumptions!$C$5,G2745)),Assumptions!$D$5,IF(ISNUMBER(SEARCH(Assumptions!$C$6,G2745)),Assumptions!$D$6,IF(ISNUMBER(SEARCH(Assumptions!$C$7,G2745)),Assumptions!$D$7,"Other Services"))),"Other Services"))</f>
        <v/>
      </c>
    </row>
    <row r="2746" customFormat="false" ht="15" hidden="false" customHeight="false" outlineLevel="0" collapsed="false">
      <c r="F2746" s="41" t="str">
        <f aca="false">IF(E2746="","",IFERROR(VLOOKUP(E2746,Assumptions!$G$5:$H$16,2,0),"Other"))</f>
        <v/>
      </c>
      <c r="J2746" s="41" t="str">
        <f aca="false">IF(G2746="","",IFERROR(IF(ISNUMBER(SEARCH(Assumptions!$C$5,G2746)),Assumptions!$D$5,IF(ISNUMBER(SEARCH(Assumptions!$C$6,G2746)),Assumptions!$D$6,IF(ISNUMBER(SEARCH(Assumptions!$C$7,G2746)),Assumptions!$D$7,"Other Services"))),"Other Services"))</f>
        <v/>
      </c>
    </row>
    <row r="2747" customFormat="false" ht="15" hidden="false" customHeight="false" outlineLevel="0" collapsed="false">
      <c r="F2747" s="41" t="str">
        <f aca="false">IF(E2747="","",IFERROR(VLOOKUP(E2747,Assumptions!$G$5:$H$16,2,0),"Other"))</f>
        <v/>
      </c>
      <c r="J2747" s="41" t="str">
        <f aca="false">IF(G2747="","",IFERROR(IF(ISNUMBER(SEARCH(Assumptions!$C$5,G2747)),Assumptions!$D$5,IF(ISNUMBER(SEARCH(Assumptions!$C$6,G2747)),Assumptions!$D$6,IF(ISNUMBER(SEARCH(Assumptions!$C$7,G2747)),Assumptions!$D$7,"Other Services"))),"Other Services"))</f>
        <v/>
      </c>
    </row>
    <row r="2748" customFormat="false" ht="15" hidden="false" customHeight="false" outlineLevel="0" collapsed="false">
      <c r="F2748" s="41" t="str">
        <f aca="false">IF(E2748="","",IFERROR(VLOOKUP(E2748,Assumptions!$G$5:$H$16,2,0),"Other"))</f>
        <v/>
      </c>
      <c r="J2748" s="41" t="str">
        <f aca="false">IF(G2748="","",IFERROR(IF(ISNUMBER(SEARCH(Assumptions!$C$5,G2748)),Assumptions!$D$5,IF(ISNUMBER(SEARCH(Assumptions!$C$6,G2748)),Assumptions!$D$6,IF(ISNUMBER(SEARCH(Assumptions!$C$7,G2748)),Assumptions!$D$7,"Other Services"))),"Other Services"))</f>
        <v/>
      </c>
    </row>
    <row r="2749" customFormat="false" ht="15" hidden="false" customHeight="false" outlineLevel="0" collapsed="false">
      <c r="F2749" s="41" t="str">
        <f aca="false">IF(E2749="","",IFERROR(VLOOKUP(E2749,Assumptions!$G$5:$H$16,2,0),"Other"))</f>
        <v/>
      </c>
      <c r="J2749" s="41" t="str">
        <f aca="false">IF(G2749="","",IFERROR(IF(ISNUMBER(SEARCH(Assumptions!$C$5,G2749)),Assumptions!$D$5,IF(ISNUMBER(SEARCH(Assumptions!$C$6,G2749)),Assumptions!$D$6,IF(ISNUMBER(SEARCH(Assumptions!$C$7,G2749)),Assumptions!$D$7,"Other Services"))),"Other Services"))</f>
        <v/>
      </c>
    </row>
    <row r="2750" customFormat="false" ht="15" hidden="false" customHeight="false" outlineLevel="0" collapsed="false">
      <c r="F2750" s="41" t="str">
        <f aca="false">IF(E2750="","",IFERROR(VLOOKUP(E2750,Assumptions!$G$5:$H$16,2,0),"Other"))</f>
        <v/>
      </c>
      <c r="J2750" s="41" t="str">
        <f aca="false">IF(G2750="","",IFERROR(IF(ISNUMBER(SEARCH(Assumptions!$C$5,G2750)),Assumptions!$D$5,IF(ISNUMBER(SEARCH(Assumptions!$C$6,G2750)),Assumptions!$D$6,IF(ISNUMBER(SEARCH(Assumptions!$C$7,G2750)),Assumptions!$D$7,"Other Services"))),"Other Services"))</f>
        <v/>
      </c>
    </row>
    <row r="2751" customFormat="false" ht="15" hidden="false" customHeight="false" outlineLevel="0" collapsed="false">
      <c r="F2751" s="41" t="str">
        <f aca="false">IF(E2751="","",IFERROR(VLOOKUP(E2751,Assumptions!$G$5:$H$16,2,0),"Other"))</f>
        <v/>
      </c>
      <c r="J2751" s="41" t="str">
        <f aca="false">IF(G2751="","",IFERROR(IF(ISNUMBER(SEARCH(Assumptions!$C$5,G2751)),Assumptions!$D$5,IF(ISNUMBER(SEARCH(Assumptions!$C$6,G2751)),Assumptions!$D$6,IF(ISNUMBER(SEARCH(Assumptions!$C$7,G2751)),Assumptions!$D$7,"Other Services"))),"Other Services"))</f>
        <v/>
      </c>
    </row>
    <row r="2752" customFormat="false" ht="15" hidden="false" customHeight="false" outlineLevel="0" collapsed="false">
      <c r="F2752" s="41" t="str">
        <f aca="false">IF(E2752="","",IFERROR(VLOOKUP(E2752,Assumptions!$G$5:$H$16,2,0),"Other"))</f>
        <v/>
      </c>
      <c r="J2752" s="41" t="str">
        <f aca="false">IF(G2752="","",IFERROR(IF(ISNUMBER(SEARCH(Assumptions!$C$5,G2752)),Assumptions!$D$5,IF(ISNUMBER(SEARCH(Assumptions!$C$6,G2752)),Assumptions!$D$6,IF(ISNUMBER(SEARCH(Assumptions!$C$7,G2752)),Assumptions!$D$7,"Other Services"))),"Other Services"))</f>
        <v/>
      </c>
    </row>
    <row r="2753" customFormat="false" ht="15" hidden="false" customHeight="false" outlineLevel="0" collapsed="false">
      <c r="F2753" s="41" t="str">
        <f aca="false">IF(E2753="","",IFERROR(VLOOKUP(E2753,Assumptions!$G$5:$H$16,2,0),"Other"))</f>
        <v/>
      </c>
      <c r="J2753" s="41" t="str">
        <f aca="false">IF(G2753="","",IFERROR(IF(ISNUMBER(SEARCH(Assumptions!$C$5,G2753)),Assumptions!$D$5,IF(ISNUMBER(SEARCH(Assumptions!$C$6,G2753)),Assumptions!$D$6,IF(ISNUMBER(SEARCH(Assumptions!$C$7,G2753)),Assumptions!$D$7,"Other Services"))),"Other Services"))</f>
        <v/>
      </c>
    </row>
    <row r="2754" customFormat="false" ht="15" hidden="false" customHeight="false" outlineLevel="0" collapsed="false">
      <c r="F2754" s="41" t="str">
        <f aca="false">IF(E2754="","",IFERROR(VLOOKUP(E2754,Assumptions!$G$5:$H$16,2,0),"Other"))</f>
        <v/>
      </c>
      <c r="J2754" s="41" t="str">
        <f aca="false">IF(G2754="","",IFERROR(IF(ISNUMBER(SEARCH(Assumptions!$C$5,G2754)),Assumptions!$D$5,IF(ISNUMBER(SEARCH(Assumptions!$C$6,G2754)),Assumptions!$D$6,IF(ISNUMBER(SEARCH(Assumptions!$C$7,G2754)),Assumptions!$D$7,"Other Services"))),"Other Services"))</f>
        <v/>
      </c>
    </row>
    <row r="2755" customFormat="false" ht="15" hidden="false" customHeight="false" outlineLevel="0" collapsed="false">
      <c r="F2755" s="41" t="str">
        <f aca="false">IF(E2755="","",IFERROR(VLOOKUP(E2755,Assumptions!$G$5:$H$16,2,0),"Other"))</f>
        <v/>
      </c>
      <c r="J2755" s="41" t="str">
        <f aca="false">IF(G2755="","",IFERROR(IF(ISNUMBER(SEARCH(Assumptions!$C$5,G2755)),Assumptions!$D$5,IF(ISNUMBER(SEARCH(Assumptions!$C$6,G2755)),Assumptions!$D$6,IF(ISNUMBER(SEARCH(Assumptions!$C$7,G2755)),Assumptions!$D$7,"Other Services"))),"Other Services"))</f>
        <v/>
      </c>
    </row>
    <row r="2756" customFormat="false" ht="15" hidden="false" customHeight="false" outlineLevel="0" collapsed="false">
      <c r="F2756" s="41" t="str">
        <f aca="false">IF(E2756="","",IFERROR(VLOOKUP(E2756,Assumptions!$G$5:$H$16,2,0),"Other"))</f>
        <v/>
      </c>
      <c r="J2756" s="41" t="str">
        <f aca="false">IF(G2756="","",IFERROR(IF(ISNUMBER(SEARCH(Assumptions!$C$5,G2756)),Assumptions!$D$5,IF(ISNUMBER(SEARCH(Assumptions!$C$6,G2756)),Assumptions!$D$6,IF(ISNUMBER(SEARCH(Assumptions!$C$7,G2756)),Assumptions!$D$7,"Other Services"))),"Other Services"))</f>
        <v/>
      </c>
    </row>
    <row r="2757" customFormat="false" ht="15" hidden="false" customHeight="false" outlineLevel="0" collapsed="false">
      <c r="F2757" s="41" t="str">
        <f aca="false">IF(E2757="","",IFERROR(VLOOKUP(E2757,Assumptions!$G$5:$H$16,2,0),"Other"))</f>
        <v/>
      </c>
      <c r="J2757" s="41" t="str">
        <f aca="false">IF(G2757="","",IFERROR(IF(ISNUMBER(SEARCH(Assumptions!$C$5,G2757)),Assumptions!$D$5,IF(ISNUMBER(SEARCH(Assumptions!$C$6,G2757)),Assumptions!$D$6,IF(ISNUMBER(SEARCH(Assumptions!$C$7,G2757)),Assumptions!$D$7,"Other Services"))),"Other Services"))</f>
        <v/>
      </c>
    </row>
    <row r="2758" customFormat="false" ht="15" hidden="false" customHeight="false" outlineLevel="0" collapsed="false">
      <c r="F2758" s="41" t="str">
        <f aca="false">IF(E2758="","",IFERROR(VLOOKUP(E2758,Assumptions!$G$5:$H$16,2,0),"Other"))</f>
        <v/>
      </c>
      <c r="J2758" s="41" t="str">
        <f aca="false">IF(G2758="","",IFERROR(IF(ISNUMBER(SEARCH(Assumptions!$C$5,G2758)),Assumptions!$D$5,IF(ISNUMBER(SEARCH(Assumptions!$C$6,G2758)),Assumptions!$D$6,IF(ISNUMBER(SEARCH(Assumptions!$C$7,G2758)),Assumptions!$D$7,"Other Services"))),"Other Services"))</f>
        <v/>
      </c>
    </row>
    <row r="2759" customFormat="false" ht="15" hidden="false" customHeight="false" outlineLevel="0" collapsed="false">
      <c r="F2759" s="41" t="str">
        <f aca="false">IF(E2759="","",IFERROR(VLOOKUP(E2759,Assumptions!$G$5:$H$16,2,0),"Other"))</f>
        <v/>
      </c>
      <c r="J2759" s="41" t="str">
        <f aca="false">IF(G2759="","",IFERROR(IF(ISNUMBER(SEARCH(Assumptions!$C$5,G2759)),Assumptions!$D$5,IF(ISNUMBER(SEARCH(Assumptions!$C$6,G2759)),Assumptions!$D$6,IF(ISNUMBER(SEARCH(Assumptions!$C$7,G2759)),Assumptions!$D$7,"Other Services"))),"Other Services"))</f>
        <v/>
      </c>
    </row>
    <row r="2760" customFormat="false" ht="15" hidden="false" customHeight="false" outlineLevel="0" collapsed="false">
      <c r="F2760" s="41" t="str">
        <f aca="false">IF(E2760="","",IFERROR(VLOOKUP(E2760,Assumptions!$G$5:$H$16,2,0),"Other"))</f>
        <v/>
      </c>
      <c r="J2760" s="41" t="str">
        <f aca="false">IF(G2760="","",IFERROR(IF(ISNUMBER(SEARCH(Assumptions!$C$5,G2760)),Assumptions!$D$5,IF(ISNUMBER(SEARCH(Assumptions!$C$6,G2760)),Assumptions!$D$6,IF(ISNUMBER(SEARCH(Assumptions!$C$7,G2760)),Assumptions!$D$7,"Other Services"))),"Other Services"))</f>
        <v/>
      </c>
    </row>
    <row r="2761" customFormat="false" ht="15" hidden="false" customHeight="false" outlineLevel="0" collapsed="false">
      <c r="F2761" s="41" t="str">
        <f aca="false">IF(E2761="","",IFERROR(VLOOKUP(E2761,Assumptions!$G$5:$H$16,2,0),"Other"))</f>
        <v/>
      </c>
      <c r="J2761" s="41" t="str">
        <f aca="false">IF(G2761="","",IFERROR(IF(ISNUMBER(SEARCH(Assumptions!$C$5,G2761)),Assumptions!$D$5,IF(ISNUMBER(SEARCH(Assumptions!$C$6,G2761)),Assumptions!$D$6,IF(ISNUMBER(SEARCH(Assumptions!$C$7,G2761)),Assumptions!$D$7,"Other Services"))),"Other Services"))</f>
        <v/>
      </c>
    </row>
    <row r="2762" customFormat="false" ht="15" hidden="false" customHeight="false" outlineLevel="0" collapsed="false">
      <c r="F2762" s="41" t="str">
        <f aca="false">IF(E2762="","",IFERROR(VLOOKUP(E2762,Assumptions!$G$5:$H$16,2,0),"Other"))</f>
        <v/>
      </c>
      <c r="J2762" s="41" t="str">
        <f aca="false">IF(G2762="","",IFERROR(IF(ISNUMBER(SEARCH(Assumptions!$C$5,G2762)),Assumptions!$D$5,IF(ISNUMBER(SEARCH(Assumptions!$C$6,G2762)),Assumptions!$D$6,IF(ISNUMBER(SEARCH(Assumptions!$C$7,G2762)),Assumptions!$D$7,"Other Services"))),"Other Services"))</f>
        <v/>
      </c>
    </row>
    <row r="2763" customFormat="false" ht="15" hidden="false" customHeight="false" outlineLevel="0" collapsed="false">
      <c r="F2763" s="41" t="str">
        <f aca="false">IF(E2763="","",IFERROR(VLOOKUP(E2763,Assumptions!$G$5:$H$16,2,0),"Other"))</f>
        <v/>
      </c>
      <c r="J2763" s="41" t="str">
        <f aca="false">IF(G2763="","",IFERROR(IF(ISNUMBER(SEARCH(Assumptions!$C$5,G2763)),Assumptions!$D$5,IF(ISNUMBER(SEARCH(Assumptions!$C$6,G2763)),Assumptions!$D$6,IF(ISNUMBER(SEARCH(Assumptions!$C$7,G2763)),Assumptions!$D$7,"Other Services"))),"Other Services"))</f>
        <v/>
      </c>
    </row>
    <row r="2764" customFormat="false" ht="15" hidden="false" customHeight="false" outlineLevel="0" collapsed="false">
      <c r="F2764" s="41" t="str">
        <f aca="false">IF(E2764="","",IFERROR(VLOOKUP(E2764,Assumptions!$G$5:$H$16,2,0),"Other"))</f>
        <v/>
      </c>
      <c r="J2764" s="41" t="str">
        <f aca="false">IF(G2764="","",IFERROR(IF(ISNUMBER(SEARCH(Assumptions!$C$5,G2764)),Assumptions!$D$5,IF(ISNUMBER(SEARCH(Assumptions!$C$6,G2764)),Assumptions!$D$6,IF(ISNUMBER(SEARCH(Assumptions!$C$7,G2764)),Assumptions!$D$7,"Other Services"))),"Other Services"))</f>
        <v/>
      </c>
    </row>
    <row r="2765" customFormat="false" ht="15" hidden="false" customHeight="false" outlineLevel="0" collapsed="false">
      <c r="F2765" s="41" t="str">
        <f aca="false">IF(E2765="","",IFERROR(VLOOKUP(E2765,Assumptions!$G$5:$H$16,2,0),"Other"))</f>
        <v/>
      </c>
      <c r="J2765" s="41" t="str">
        <f aca="false">IF(G2765="","",IFERROR(IF(ISNUMBER(SEARCH(Assumptions!$C$5,G2765)),Assumptions!$D$5,IF(ISNUMBER(SEARCH(Assumptions!$C$6,G2765)),Assumptions!$D$6,IF(ISNUMBER(SEARCH(Assumptions!$C$7,G2765)),Assumptions!$D$7,"Other Services"))),"Other Services"))</f>
        <v/>
      </c>
    </row>
    <row r="2766" customFormat="false" ht="15" hidden="false" customHeight="false" outlineLevel="0" collapsed="false">
      <c r="F2766" s="41" t="str">
        <f aca="false">IF(E2766="","",IFERROR(VLOOKUP(E2766,Assumptions!$G$5:$H$16,2,0),"Other"))</f>
        <v/>
      </c>
      <c r="J2766" s="41" t="str">
        <f aca="false">IF(G2766="","",IFERROR(IF(ISNUMBER(SEARCH(Assumptions!$C$5,G2766)),Assumptions!$D$5,IF(ISNUMBER(SEARCH(Assumptions!$C$6,G2766)),Assumptions!$D$6,IF(ISNUMBER(SEARCH(Assumptions!$C$7,G2766)),Assumptions!$D$7,"Other Services"))),"Other Services"))</f>
        <v/>
      </c>
    </row>
    <row r="2767" customFormat="false" ht="15" hidden="false" customHeight="false" outlineLevel="0" collapsed="false">
      <c r="F2767" s="41" t="str">
        <f aca="false">IF(E2767="","",IFERROR(VLOOKUP(E2767,Assumptions!$G$5:$H$16,2,0),"Other"))</f>
        <v/>
      </c>
      <c r="J2767" s="41" t="str">
        <f aca="false">IF(G2767="","",IFERROR(IF(ISNUMBER(SEARCH(Assumptions!$C$5,G2767)),Assumptions!$D$5,IF(ISNUMBER(SEARCH(Assumptions!$C$6,G2767)),Assumptions!$D$6,IF(ISNUMBER(SEARCH(Assumptions!$C$7,G2767)),Assumptions!$D$7,"Other Services"))),"Other Services"))</f>
        <v/>
      </c>
    </row>
    <row r="2768" customFormat="false" ht="15" hidden="false" customHeight="false" outlineLevel="0" collapsed="false">
      <c r="F2768" s="41" t="str">
        <f aca="false">IF(E2768="","",IFERROR(VLOOKUP(E2768,Assumptions!$G$5:$H$16,2,0),"Other"))</f>
        <v/>
      </c>
      <c r="J2768" s="41" t="str">
        <f aca="false">IF(G2768="","",IFERROR(IF(ISNUMBER(SEARCH(Assumptions!$C$5,G2768)),Assumptions!$D$5,IF(ISNUMBER(SEARCH(Assumptions!$C$6,G2768)),Assumptions!$D$6,IF(ISNUMBER(SEARCH(Assumptions!$C$7,G2768)),Assumptions!$D$7,"Other Services"))),"Other Services"))</f>
        <v/>
      </c>
    </row>
    <row r="2769" customFormat="false" ht="15" hidden="false" customHeight="false" outlineLevel="0" collapsed="false">
      <c r="F2769" s="41" t="str">
        <f aca="false">IF(E2769="","",IFERROR(VLOOKUP(E2769,Assumptions!$G$5:$H$16,2,0),"Other"))</f>
        <v/>
      </c>
      <c r="J2769" s="41" t="str">
        <f aca="false">IF(G2769="","",IFERROR(IF(ISNUMBER(SEARCH(Assumptions!$C$5,G2769)),Assumptions!$D$5,IF(ISNUMBER(SEARCH(Assumptions!$C$6,G2769)),Assumptions!$D$6,IF(ISNUMBER(SEARCH(Assumptions!$C$7,G2769)),Assumptions!$D$7,"Other Services"))),"Other Services"))</f>
        <v/>
      </c>
    </row>
    <row r="2770" customFormat="false" ht="15" hidden="false" customHeight="false" outlineLevel="0" collapsed="false">
      <c r="F2770" s="41" t="str">
        <f aca="false">IF(E2770="","",IFERROR(VLOOKUP(E2770,Assumptions!$G$5:$H$16,2,0),"Other"))</f>
        <v/>
      </c>
      <c r="J2770" s="41" t="str">
        <f aca="false">IF(G2770="","",IFERROR(IF(ISNUMBER(SEARCH(Assumptions!$C$5,G2770)),Assumptions!$D$5,IF(ISNUMBER(SEARCH(Assumptions!$C$6,G2770)),Assumptions!$D$6,IF(ISNUMBER(SEARCH(Assumptions!$C$7,G2770)),Assumptions!$D$7,"Other Services"))),"Other Services"))</f>
        <v/>
      </c>
    </row>
    <row r="2771" customFormat="false" ht="15" hidden="false" customHeight="false" outlineLevel="0" collapsed="false">
      <c r="F2771" s="41" t="str">
        <f aca="false">IF(E2771="","",IFERROR(VLOOKUP(E2771,Assumptions!$G$5:$H$16,2,0),"Other"))</f>
        <v/>
      </c>
      <c r="J2771" s="41" t="str">
        <f aca="false">IF(G2771="","",IFERROR(IF(ISNUMBER(SEARCH(Assumptions!$C$5,G2771)),Assumptions!$D$5,IF(ISNUMBER(SEARCH(Assumptions!$C$6,G2771)),Assumptions!$D$6,IF(ISNUMBER(SEARCH(Assumptions!$C$7,G2771)),Assumptions!$D$7,"Other Services"))),"Other Services"))</f>
        <v/>
      </c>
    </row>
    <row r="2772" customFormat="false" ht="15" hidden="false" customHeight="false" outlineLevel="0" collapsed="false">
      <c r="F2772" s="41" t="str">
        <f aca="false">IF(E2772="","",IFERROR(VLOOKUP(E2772,Assumptions!$G$5:$H$16,2,0),"Other"))</f>
        <v/>
      </c>
      <c r="J2772" s="41" t="str">
        <f aca="false">IF(G2772="","",IFERROR(IF(ISNUMBER(SEARCH(Assumptions!$C$5,G2772)),Assumptions!$D$5,IF(ISNUMBER(SEARCH(Assumptions!$C$6,G2772)),Assumptions!$D$6,IF(ISNUMBER(SEARCH(Assumptions!$C$7,G2772)),Assumptions!$D$7,"Other Services"))),"Other Services"))</f>
        <v/>
      </c>
    </row>
    <row r="2773" customFormat="false" ht="15" hidden="false" customHeight="false" outlineLevel="0" collapsed="false">
      <c r="F2773" s="41" t="str">
        <f aca="false">IF(E2773="","",IFERROR(VLOOKUP(E2773,Assumptions!$G$5:$H$16,2,0),"Other"))</f>
        <v/>
      </c>
      <c r="J2773" s="41" t="str">
        <f aca="false">IF(G2773="","",IFERROR(IF(ISNUMBER(SEARCH(Assumptions!$C$5,G2773)),Assumptions!$D$5,IF(ISNUMBER(SEARCH(Assumptions!$C$6,G2773)),Assumptions!$D$6,IF(ISNUMBER(SEARCH(Assumptions!$C$7,G2773)),Assumptions!$D$7,"Other Services"))),"Other Services"))</f>
        <v/>
      </c>
    </row>
    <row r="2774" customFormat="false" ht="15" hidden="false" customHeight="false" outlineLevel="0" collapsed="false">
      <c r="F2774" s="41" t="str">
        <f aca="false">IF(E2774="","",IFERROR(VLOOKUP(E2774,Assumptions!$G$5:$H$16,2,0),"Other"))</f>
        <v/>
      </c>
      <c r="J2774" s="41" t="str">
        <f aca="false">IF(G2774="","",IFERROR(IF(ISNUMBER(SEARCH(Assumptions!$C$5,G2774)),Assumptions!$D$5,IF(ISNUMBER(SEARCH(Assumptions!$C$6,G2774)),Assumptions!$D$6,IF(ISNUMBER(SEARCH(Assumptions!$C$7,G2774)),Assumptions!$D$7,"Other Services"))),"Other Services"))</f>
        <v/>
      </c>
    </row>
    <row r="2775" customFormat="false" ht="15" hidden="false" customHeight="false" outlineLevel="0" collapsed="false">
      <c r="F2775" s="41" t="str">
        <f aca="false">IF(E2775="","",IFERROR(VLOOKUP(E2775,Assumptions!$G$5:$H$16,2,0),"Other"))</f>
        <v/>
      </c>
      <c r="J2775" s="41" t="str">
        <f aca="false">IF(G2775="","",IFERROR(IF(ISNUMBER(SEARCH(Assumptions!$C$5,G2775)),Assumptions!$D$5,IF(ISNUMBER(SEARCH(Assumptions!$C$6,G2775)),Assumptions!$D$6,IF(ISNUMBER(SEARCH(Assumptions!$C$7,G2775)),Assumptions!$D$7,"Other Services"))),"Other Services"))</f>
        <v/>
      </c>
    </row>
    <row r="2776" customFormat="false" ht="15" hidden="false" customHeight="false" outlineLevel="0" collapsed="false">
      <c r="F2776" s="41" t="str">
        <f aca="false">IF(E2776="","",IFERROR(VLOOKUP(E2776,Assumptions!$G$5:$H$16,2,0),"Other"))</f>
        <v/>
      </c>
      <c r="J2776" s="41" t="str">
        <f aca="false">IF(G2776="","",IFERROR(IF(ISNUMBER(SEARCH(Assumptions!$C$5,G2776)),Assumptions!$D$5,IF(ISNUMBER(SEARCH(Assumptions!$C$6,G2776)),Assumptions!$D$6,IF(ISNUMBER(SEARCH(Assumptions!$C$7,G2776)),Assumptions!$D$7,"Other Services"))),"Other Services"))</f>
        <v/>
      </c>
    </row>
    <row r="2777" customFormat="false" ht="15" hidden="false" customHeight="false" outlineLevel="0" collapsed="false">
      <c r="F2777" s="41" t="str">
        <f aca="false">IF(E2777="","",IFERROR(VLOOKUP(E2777,Assumptions!$G$5:$H$16,2,0),"Other"))</f>
        <v/>
      </c>
      <c r="J2777" s="41" t="str">
        <f aca="false">IF(G2777="","",IFERROR(IF(ISNUMBER(SEARCH(Assumptions!$C$5,G2777)),Assumptions!$D$5,IF(ISNUMBER(SEARCH(Assumptions!$C$6,G2777)),Assumptions!$D$6,IF(ISNUMBER(SEARCH(Assumptions!$C$7,G2777)),Assumptions!$D$7,"Other Services"))),"Other Services"))</f>
        <v/>
      </c>
    </row>
    <row r="2778" customFormat="false" ht="15" hidden="false" customHeight="false" outlineLevel="0" collapsed="false">
      <c r="F2778" s="41" t="str">
        <f aca="false">IF(E2778="","",IFERROR(VLOOKUP(E2778,Assumptions!$G$5:$H$16,2,0),"Other"))</f>
        <v/>
      </c>
      <c r="J2778" s="41" t="str">
        <f aca="false">IF(G2778="","",IFERROR(IF(ISNUMBER(SEARCH(Assumptions!$C$5,G2778)),Assumptions!$D$5,IF(ISNUMBER(SEARCH(Assumptions!$C$6,G2778)),Assumptions!$D$6,IF(ISNUMBER(SEARCH(Assumptions!$C$7,G2778)),Assumptions!$D$7,"Other Services"))),"Other Services"))</f>
        <v/>
      </c>
    </row>
    <row r="2779" customFormat="false" ht="15" hidden="false" customHeight="false" outlineLevel="0" collapsed="false">
      <c r="F2779" s="41" t="str">
        <f aca="false">IF(E2779="","",IFERROR(VLOOKUP(E2779,Assumptions!$G$5:$H$16,2,0),"Other"))</f>
        <v/>
      </c>
      <c r="J2779" s="41" t="str">
        <f aca="false">IF(G2779="","",IFERROR(IF(ISNUMBER(SEARCH(Assumptions!$C$5,G2779)),Assumptions!$D$5,IF(ISNUMBER(SEARCH(Assumptions!$C$6,G2779)),Assumptions!$D$6,IF(ISNUMBER(SEARCH(Assumptions!$C$7,G2779)),Assumptions!$D$7,"Other Services"))),"Other Services"))</f>
        <v/>
      </c>
    </row>
    <row r="2780" customFormat="false" ht="15" hidden="false" customHeight="false" outlineLevel="0" collapsed="false">
      <c r="F2780" s="41" t="str">
        <f aca="false">IF(E2780="","",IFERROR(VLOOKUP(E2780,Assumptions!$G$5:$H$16,2,0),"Other"))</f>
        <v/>
      </c>
      <c r="J2780" s="41" t="str">
        <f aca="false">IF(G2780="","",IFERROR(IF(ISNUMBER(SEARCH(Assumptions!$C$5,G2780)),Assumptions!$D$5,IF(ISNUMBER(SEARCH(Assumptions!$C$6,G2780)),Assumptions!$D$6,IF(ISNUMBER(SEARCH(Assumptions!$C$7,G2780)),Assumptions!$D$7,"Other Services"))),"Other Services"))</f>
        <v/>
      </c>
    </row>
    <row r="2781" customFormat="false" ht="15" hidden="false" customHeight="false" outlineLevel="0" collapsed="false">
      <c r="F2781" s="41" t="str">
        <f aca="false">IF(E2781="","",IFERROR(VLOOKUP(E2781,Assumptions!$G$5:$H$16,2,0),"Other"))</f>
        <v/>
      </c>
      <c r="J2781" s="41" t="str">
        <f aca="false">IF(G2781="","",IFERROR(IF(ISNUMBER(SEARCH(Assumptions!$C$5,G2781)),Assumptions!$D$5,IF(ISNUMBER(SEARCH(Assumptions!$C$6,G2781)),Assumptions!$D$6,IF(ISNUMBER(SEARCH(Assumptions!$C$7,G2781)),Assumptions!$D$7,"Other Services"))),"Other Services"))</f>
        <v/>
      </c>
    </row>
    <row r="2782" customFormat="false" ht="15" hidden="false" customHeight="false" outlineLevel="0" collapsed="false">
      <c r="F2782" s="41" t="str">
        <f aca="false">IF(E2782="","",IFERROR(VLOOKUP(E2782,Assumptions!$G$5:$H$16,2,0),"Other"))</f>
        <v/>
      </c>
      <c r="J2782" s="41" t="str">
        <f aca="false">IF(G2782="","",IFERROR(IF(ISNUMBER(SEARCH(Assumptions!$C$5,G2782)),Assumptions!$D$5,IF(ISNUMBER(SEARCH(Assumptions!$C$6,G2782)),Assumptions!$D$6,IF(ISNUMBER(SEARCH(Assumptions!$C$7,G2782)),Assumptions!$D$7,"Other Services"))),"Other Services"))</f>
        <v/>
      </c>
    </row>
    <row r="2783" customFormat="false" ht="15" hidden="false" customHeight="false" outlineLevel="0" collapsed="false">
      <c r="F2783" s="41" t="str">
        <f aca="false">IF(E2783="","",IFERROR(VLOOKUP(E2783,Assumptions!$G$5:$H$16,2,0),"Other"))</f>
        <v/>
      </c>
      <c r="J2783" s="41" t="str">
        <f aca="false">IF(G2783="","",IFERROR(IF(ISNUMBER(SEARCH(Assumptions!$C$5,G2783)),Assumptions!$D$5,IF(ISNUMBER(SEARCH(Assumptions!$C$6,G2783)),Assumptions!$D$6,IF(ISNUMBER(SEARCH(Assumptions!$C$7,G2783)),Assumptions!$D$7,"Other Services"))),"Other Services"))</f>
        <v/>
      </c>
    </row>
    <row r="2784" customFormat="false" ht="15" hidden="false" customHeight="false" outlineLevel="0" collapsed="false">
      <c r="F2784" s="41" t="str">
        <f aca="false">IF(E2784="","",IFERROR(VLOOKUP(E2784,Assumptions!$G$5:$H$16,2,0),"Other"))</f>
        <v/>
      </c>
      <c r="J2784" s="41" t="str">
        <f aca="false">IF(G2784="","",IFERROR(IF(ISNUMBER(SEARCH(Assumptions!$C$5,G2784)),Assumptions!$D$5,IF(ISNUMBER(SEARCH(Assumptions!$C$6,G2784)),Assumptions!$D$6,IF(ISNUMBER(SEARCH(Assumptions!$C$7,G2784)),Assumptions!$D$7,"Other Services"))),"Other Services"))</f>
        <v/>
      </c>
    </row>
    <row r="2785" customFormat="false" ht="15" hidden="false" customHeight="false" outlineLevel="0" collapsed="false">
      <c r="F2785" s="41" t="str">
        <f aca="false">IF(E2785="","",IFERROR(VLOOKUP(E2785,Assumptions!$G$5:$H$16,2,0),"Other"))</f>
        <v/>
      </c>
      <c r="J2785" s="41" t="str">
        <f aca="false">IF(G2785="","",IFERROR(IF(ISNUMBER(SEARCH(Assumptions!$C$5,G2785)),Assumptions!$D$5,IF(ISNUMBER(SEARCH(Assumptions!$C$6,G2785)),Assumptions!$D$6,IF(ISNUMBER(SEARCH(Assumptions!$C$7,G2785)),Assumptions!$D$7,"Other Services"))),"Other Services"))</f>
        <v/>
      </c>
    </row>
    <row r="2786" customFormat="false" ht="15" hidden="false" customHeight="false" outlineLevel="0" collapsed="false">
      <c r="F2786" s="41" t="str">
        <f aca="false">IF(E2786="","",IFERROR(VLOOKUP(E2786,Assumptions!$G$5:$H$16,2,0),"Other"))</f>
        <v/>
      </c>
      <c r="J2786" s="41" t="str">
        <f aca="false">IF(G2786="","",IFERROR(IF(ISNUMBER(SEARCH(Assumptions!$C$5,G2786)),Assumptions!$D$5,IF(ISNUMBER(SEARCH(Assumptions!$C$6,G2786)),Assumptions!$D$6,IF(ISNUMBER(SEARCH(Assumptions!$C$7,G2786)),Assumptions!$D$7,"Other Services"))),"Other Services"))</f>
        <v/>
      </c>
    </row>
    <row r="2787" customFormat="false" ht="15" hidden="false" customHeight="false" outlineLevel="0" collapsed="false">
      <c r="F2787" s="41" t="str">
        <f aca="false">IF(E2787="","",IFERROR(VLOOKUP(E2787,Assumptions!$G$5:$H$16,2,0),"Other"))</f>
        <v/>
      </c>
      <c r="J2787" s="41" t="str">
        <f aca="false">IF(G2787="","",IFERROR(IF(ISNUMBER(SEARCH(Assumptions!$C$5,G2787)),Assumptions!$D$5,IF(ISNUMBER(SEARCH(Assumptions!$C$6,G2787)),Assumptions!$D$6,IF(ISNUMBER(SEARCH(Assumptions!$C$7,G2787)),Assumptions!$D$7,"Other Services"))),"Other Services"))</f>
        <v/>
      </c>
    </row>
    <row r="2788" customFormat="false" ht="15" hidden="false" customHeight="false" outlineLevel="0" collapsed="false">
      <c r="F2788" s="41" t="str">
        <f aca="false">IF(E2788="","",IFERROR(VLOOKUP(E2788,Assumptions!$G$5:$H$16,2,0),"Other"))</f>
        <v/>
      </c>
      <c r="J2788" s="41" t="str">
        <f aca="false">IF(G2788="","",IFERROR(IF(ISNUMBER(SEARCH(Assumptions!$C$5,G2788)),Assumptions!$D$5,IF(ISNUMBER(SEARCH(Assumptions!$C$6,G2788)),Assumptions!$D$6,IF(ISNUMBER(SEARCH(Assumptions!$C$7,G2788)),Assumptions!$D$7,"Other Services"))),"Other Services"))</f>
        <v/>
      </c>
    </row>
    <row r="2789" customFormat="false" ht="15" hidden="false" customHeight="false" outlineLevel="0" collapsed="false">
      <c r="F2789" s="41" t="str">
        <f aca="false">IF(E2789="","",IFERROR(VLOOKUP(E2789,Assumptions!$G$5:$H$16,2,0),"Other"))</f>
        <v/>
      </c>
      <c r="J2789" s="41" t="str">
        <f aca="false">IF(G2789="","",IFERROR(IF(ISNUMBER(SEARCH(Assumptions!$C$5,G2789)),Assumptions!$D$5,IF(ISNUMBER(SEARCH(Assumptions!$C$6,G2789)),Assumptions!$D$6,IF(ISNUMBER(SEARCH(Assumptions!$C$7,G2789)),Assumptions!$D$7,"Other Services"))),"Other Services"))</f>
        <v/>
      </c>
    </row>
    <row r="2790" customFormat="false" ht="15" hidden="false" customHeight="false" outlineLevel="0" collapsed="false">
      <c r="F2790" s="41" t="str">
        <f aca="false">IF(E2790="","",IFERROR(VLOOKUP(E2790,Assumptions!$G$5:$H$16,2,0),"Other"))</f>
        <v/>
      </c>
      <c r="J2790" s="41" t="str">
        <f aca="false">IF(G2790="","",IFERROR(IF(ISNUMBER(SEARCH(Assumptions!$C$5,G2790)),Assumptions!$D$5,IF(ISNUMBER(SEARCH(Assumptions!$C$6,G2790)),Assumptions!$D$6,IF(ISNUMBER(SEARCH(Assumptions!$C$7,G2790)),Assumptions!$D$7,"Other Services"))),"Other Services"))</f>
        <v/>
      </c>
    </row>
    <row r="2791" customFormat="false" ht="15" hidden="false" customHeight="false" outlineLevel="0" collapsed="false">
      <c r="F2791" s="41" t="str">
        <f aca="false">IF(E2791="","",IFERROR(VLOOKUP(E2791,Assumptions!$G$5:$H$16,2,0),"Other"))</f>
        <v/>
      </c>
      <c r="J2791" s="41" t="str">
        <f aca="false">IF(G2791="","",IFERROR(IF(ISNUMBER(SEARCH(Assumptions!$C$5,G2791)),Assumptions!$D$5,IF(ISNUMBER(SEARCH(Assumptions!$C$6,G2791)),Assumptions!$D$6,IF(ISNUMBER(SEARCH(Assumptions!$C$7,G2791)),Assumptions!$D$7,"Other Services"))),"Other Services"))</f>
        <v/>
      </c>
    </row>
    <row r="2792" customFormat="false" ht="15" hidden="false" customHeight="false" outlineLevel="0" collapsed="false">
      <c r="F2792" s="41" t="str">
        <f aca="false">IF(E2792="","",IFERROR(VLOOKUP(E2792,Assumptions!$G$5:$H$16,2,0),"Other"))</f>
        <v/>
      </c>
      <c r="J2792" s="41" t="str">
        <f aca="false">IF(G2792="","",IFERROR(IF(ISNUMBER(SEARCH(Assumptions!$C$5,G2792)),Assumptions!$D$5,IF(ISNUMBER(SEARCH(Assumptions!$C$6,G2792)),Assumptions!$D$6,IF(ISNUMBER(SEARCH(Assumptions!$C$7,G2792)),Assumptions!$D$7,"Other Services"))),"Other Services"))</f>
        <v/>
      </c>
    </row>
    <row r="2793" customFormat="false" ht="15" hidden="false" customHeight="false" outlineLevel="0" collapsed="false">
      <c r="F2793" s="41" t="str">
        <f aca="false">IF(E2793="","",IFERROR(VLOOKUP(E2793,Assumptions!$G$5:$H$16,2,0),"Other"))</f>
        <v/>
      </c>
      <c r="J2793" s="41" t="str">
        <f aca="false">IF(G2793="","",IFERROR(IF(ISNUMBER(SEARCH(Assumptions!$C$5,G2793)),Assumptions!$D$5,IF(ISNUMBER(SEARCH(Assumptions!$C$6,G2793)),Assumptions!$D$6,IF(ISNUMBER(SEARCH(Assumptions!$C$7,G2793)),Assumptions!$D$7,"Other Services"))),"Other Services"))</f>
        <v/>
      </c>
    </row>
    <row r="2794" customFormat="false" ht="15" hidden="false" customHeight="false" outlineLevel="0" collapsed="false">
      <c r="F2794" s="41" t="str">
        <f aca="false">IF(E2794="","",IFERROR(VLOOKUP(E2794,Assumptions!$G$5:$H$16,2,0),"Other"))</f>
        <v/>
      </c>
      <c r="J2794" s="41" t="str">
        <f aca="false">IF(G2794="","",IFERROR(IF(ISNUMBER(SEARCH(Assumptions!$C$5,G2794)),Assumptions!$D$5,IF(ISNUMBER(SEARCH(Assumptions!$C$6,G2794)),Assumptions!$D$6,IF(ISNUMBER(SEARCH(Assumptions!$C$7,G2794)),Assumptions!$D$7,"Other Services"))),"Other Services"))</f>
        <v/>
      </c>
    </row>
    <row r="2795" customFormat="false" ht="15" hidden="false" customHeight="false" outlineLevel="0" collapsed="false">
      <c r="F2795" s="41" t="str">
        <f aca="false">IF(E2795="","",IFERROR(VLOOKUP(E2795,Assumptions!$G$5:$H$16,2,0),"Other"))</f>
        <v/>
      </c>
      <c r="J2795" s="41" t="str">
        <f aca="false">IF(G2795="","",IFERROR(IF(ISNUMBER(SEARCH(Assumptions!$C$5,G2795)),Assumptions!$D$5,IF(ISNUMBER(SEARCH(Assumptions!$C$6,G2795)),Assumptions!$D$6,IF(ISNUMBER(SEARCH(Assumptions!$C$7,G2795)),Assumptions!$D$7,"Other Services"))),"Other Services"))</f>
        <v/>
      </c>
    </row>
    <row r="2796" customFormat="false" ht="15" hidden="false" customHeight="false" outlineLevel="0" collapsed="false">
      <c r="F2796" s="41" t="str">
        <f aca="false">IF(E2796="","",IFERROR(VLOOKUP(E2796,Assumptions!$G$5:$H$16,2,0),"Other"))</f>
        <v/>
      </c>
      <c r="J2796" s="41" t="str">
        <f aca="false">IF(G2796="","",IFERROR(IF(ISNUMBER(SEARCH(Assumptions!$C$5,G2796)),Assumptions!$D$5,IF(ISNUMBER(SEARCH(Assumptions!$C$6,G2796)),Assumptions!$D$6,IF(ISNUMBER(SEARCH(Assumptions!$C$7,G2796)),Assumptions!$D$7,"Other Services"))),"Other Services"))</f>
        <v/>
      </c>
    </row>
    <row r="2797" customFormat="false" ht="15" hidden="false" customHeight="false" outlineLevel="0" collapsed="false">
      <c r="F2797" s="41" t="str">
        <f aca="false">IF(E2797="","",IFERROR(VLOOKUP(E2797,Assumptions!$G$5:$H$16,2,0),"Other"))</f>
        <v/>
      </c>
      <c r="J2797" s="41" t="str">
        <f aca="false">IF(G2797="","",IFERROR(IF(ISNUMBER(SEARCH(Assumptions!$C$5,G2797)),Assumptions!$D$5,IF(ISNUMBER(SEARCH(Assumptions!$C$6,G2797)),Assumptions!$D$6,IF(ISNUMBER(SEARCH(Assumptions!$C$7,G2797)),Assumptions!$D$7,"Other Services"))),"Other Services"))</f>
        <v/>
      </c>
    </row>
    <row r="2798" customFormat="false" ht="15" hidden="false" customHeight="false" outlineLevel="0" collapsed="false">
      <c r="F2798" s="41" t="str">
        <f aca="false">IF(E2798="","",IFERROR(VLOOKUP(E2798,Assumptions!$G$5:$H$16,2,0),"Other"))</f>
        <v/>
      </c>
      <c r="J2798" s="41" t="str">
        <f aca="false">IF(G2798="","",IFERROR(IF(ISNUMBER(SEARCH(Assumptions!$C$5,G2798)),Assumptions!$D$5,IF(ISNUMBER(SEARCH(Assumptions!$C$6,G2798)),Assumptions!$D$6,IF(ISNUMBER(SEARCH(Assumptions!$C$7,G2798)),Assumptions!$D$7,"Other Services"))),"Other Services"))</f>
        <v/>
      </c>
    </row>
    <row r="2799" customFormat="false" ht="15" hidden="false" customHeight="false" outlineLevel="0" collapsed="false">
      <c r="F2799" s="41" t="str">
        <f aca="false">IF(E2799="","",IFERROR(VLOOKUP(E2799,Assumptions!$G$5:$H$16,2,0),"Other"))</f>
        <v/>
      </c>
      <c r="J2799" s="41" t="str">
        <f aca="false">IF(G2799="","",IFERROR(IF(ISNUMBER(SEARCH(Assumptions!$C$5,G2799)),Assumptions!$D$5,IF(ISNUMBER(SEARCH(Assumptions!$C$6,G2799)),Assumptions!$D$6,IF(ISNUMBER(SEARCH(Assumptions!$C$7,G2799)),Assumptions!$D$7,"Other Services"))),"Other Services"))</f>
        <v/>
      </c>
    </row>
    <row r="2800" customFormat="false" ht="15" hidden="false" customHeight="false" outlineLevel="0" collapsed="false">
      <c r="F2800" s="41" t="str">
        <f aca="false">IF(E2800="","",IFERROR(VLOOKUP(E2800,Assumptions!$G$5:$H$16,2,0),"Other"))</f>
        <v/>
      </c>
      <c r="J2800" s="41" t="str">
        <f aca="false">IF(G2800="","",IFERROR(IF(ISNUMBER(SEARCH(Assumptions!$C$5,G2800)),Assumptions!$D$5,IF(ISNUMBER(SEARCH(Assumptions!$C$6,G2800)),Assumptions!$D$6,IF(ISNUMBER(SEARCH(Assumptions!$C$7,G2800)),Assumptions!$D$7,"Other Services"))),"Other Services"))</f>
        <v/>
      </c>
    </row>
    <row r="2801" customFormat="false" ht="15" hidden="false" customHeight="false" outlineLevel="0" collapsed="false">
      <c r="F2801" s="41" t="str">
        <f aca="false">IF(E2801="","",IFERROR(VLOOKUP(E2801,Assumptions!$G$5:$H$16,2,0),"Other"))</f>
        <v/>
      </c>
      <c r="J2801" s="41" t="str">
        <f aca="false">IF(G2801="","",IFERROR(IF(ISNUMBER(SEARCH(Assumptions!$C$5,G2801)),Assumptions!$D$5,IF(ISNUMBER(SEARCH(Assumptions!$C$6,G2801)),Assumptions!$D$6,IF(ISNUMBER(SEARCH(Assumptions!$C$7,G2801)),Assumptions!$D$7,"Other Services"))),"Other Services"))</f>
        <v/>
      </c>
    </row>
    <row r="2802" customFormat="false" ht="15" hidden="false" customHeight="false" outlineLevel="0" collapsed="false">
      <c r="F2802" s="41" t="str">
        <f aca="false">IF(E2802="","",IFERROR(VLOOKUP(E2802,Assumptions!$G$5:$H$16,2,0),"Other"))</f>
        <v/>
      </c>
      <c r="J2802" s="41" t="str">
        <f aca="false">IF(G2802="","",IFERROR(IF(ISNUMBER(SEARCH(Assumptions!$C$5,G2802)),Assumptions!$D$5,IF(ISNUMBER(SEARCH(Assumptions!$C$6,G2802)),Assumptions!$D$6,IF(ISNUMBER(SEARCH(Assumptions!$C$7,G2802)),Assumptions!$D$7,"Other Services"))),"Other Services"))</f>
        <v/>
      </c>
    </row>
    <row r="2803" customFormat="false" ht="15" hidden="false" customHeight="false" outlineLevel="0" collapsed="false">
      <c r="F2803" s="41" t="str">
        <f aca="false">IF(E2803="","",IFERROR(VLOOKUP(E2803,Assumptions!$G$5:$H$16,2,0),"Other"))</f>
        <v/>
      </c>
      <c r="J2803" s="41" t="str">
        <f aca="false">IF(G2803="","",IFERROR(IF(ISNUMBER(SEARCH(Assumptions!$C$5,G2803)),Assumptions!$D$5,IF(ISNUMBER(SEARCH(Assumptions!$C$6,G2803)),Assumptions!$D$6,IF(ISNUMBER(SEARCH(Assumptions!$C$7,G2803)),Assumptions!$D$7,"Other Services"))),"Other Services"))</f>
        <v/>
      </c>
    </row>
    <row r="2804" customFormat="false" ht="15" hidden="false" customHeight="false" outlineLevel="0" collapsed="false">
      <c r="F2804" s="41" t="str">
        <f aca="false">IF(E2804="","",IFERROR(VLOOKUP(E2804,Assumptions!$G$5:$H$16,2,0),"Other"))</f>
        <v/>
      </c>
      <c r="J2804" s="41" t="str">
        <f aca="false">IF(G2804="","",IFERROR(IF(ISNUMBER(SEARCH(Assumptions!$C$5,G2804)),Assumptions!$D$5,IF(ISNUMBER(SEARCH(Assumptions!$C$6,G2804)),Assumptions!$D$6,IF(ISNUMBER(SEARCH(Assumptions!$C$7,G2804)),Assumptions!$D$7,"Other Services"))),"Other Services"))</f>
        <v/>
      </c>
    </row>
    <row r="2805" customFormat="false" ht="15" hidden="false" customHeight="false" outlineLevel="0" collapsed="false">
      <c r="F2805" s="41" t="str">
        <f aca="false">IF(E2805="","",IFERROR(VLOOKUP(E2805,Assumptions!$G$5:$H$16,2,0),"Other"))</f>
        <v/>
      </c>
      <c r="J2805" s="41" t="str">
        <f aca="false">IF(G2805="","",IFERROR(IF(ISNUMBER(SEARCH(Assumptions!$C$5,G2805)),Assumptions!$D$5,IF(ISNUMBER(SEARCH(Assumptions!$C$6,G2805)),Assumptions!$D$6,IF(ISNUMBER(SEARCH(Assumptions!$C$7,G2805)),Assumptions!$D$7,"Other Services"))),"Other Services"))</f>
        <v/>
      </c>
    </row>
    <row r="2806" customFormat="false" ht="15" hidden="false" customHeight="false" outlineLevel="0" collapsed="false">
      <c r="F2806" s="41" t="str">
        <f aca="false">IF(E2806="","",IFERROR(VLOOKUP(E2806,Assumptions!$G$5:$H$16,2,0),"Other"))</f>
        <v/>
      </c>
      <c r="J2806" s="41" t="str">
        <f aca="false">IF(G2806="","",IFERROR(IF(ISNUMBER(SEARCH(Assumptions!$C$5,G2806)),Assumptions!$D$5,IF(ISNUMBER(SEARCH(Assumptions!$C$6,G2806)),Assumptions!$D$6,IF(ISNUMBER(SEARCH(Assumptions!$C$7,G2806)),Assumptions!$D$7,"Other Services"))),"Other Services"))</f>
        <v/>
      </c>
    </row>
    <row r="2807" customFormat="false" ht="15" hidden="false" customHeight="false" outlineLevel="0" collapsed="false">
      <c r="F2807" s="41" t="str">
        <f aca="false">IF(E2807="","",IFERROR(VLOOKUP(E2807,Assumptions!$G$5:$H$16,2,0),"Other"))</f>
        <v/>
      </c>
      <c r="J2807" s="41" t="str">
        <f aca="false">IF(G2807="","",IFERROR(IF(ISNUMBER(SEARCH(Assumptions!$C$5,G2807)),Assumptions!$D$5,IF(ISNUMBER(SEARCH(Assumptions!$C$6,G2807)),Assumptions!$D$6,IF(ISNUMBER(SEARCH(Assumptions!$C$7,G2807)),Assumptions!$D$7,"Other Services"))),"Other Services"))</f>
        <v/>
      </c>
    </row>
    <row r="2808" customFormat="false" ht="15" hidden="false" customHeight="false" outlineLevel="0" collapsed="false">
      <c r="F2808" s="41" t="str">
        <f aca="false">IF(E2808="","",IFERROR(VLOOKUP(E2808,Assumptions!$G$5:$H$16,2,0),"Other"))</f>
        <v/>
      </c>
      <c r="J2808" s="41" t="str">
        <f aca="false">IF(G2808="","",IFERROR(IF(ISNUMBER(SEARCH(Assumptions!$C$5,G2808)),Assumptions!$D$5,IF(ISNUMBER(SEARCH(Assumptions!$C$6,G2808)),Assumptions!$D$6,IF(ISNUMBER(SEARCH(Assumptions!$C$7,G2808)),Assumptions!$D$7,"Other Services"))),"Other Services"))</f>
        <v/>
      </c>
    </row>
    <row r="2809" customFormat="false" ht="15" hidden="false" customHeight="false" outlineLevel="0" collapsed="false">
      <c r="F2809" s="41" t="str">
        <f aca="false">IF(E2809="","",IFERROR(VLOOKUP(E2809,Assumptions!$G$5:$H$16,2,0),"Other"))</f>
        <v/>
      </c>
      <c r="J2809" s="41" t="str">
        <f aca="false">IF(G2809="","",IFERROR(IF(ISNUMBER(SEARCH(Assumptions!$C$5,G2809)),Assumptions!$D$5,IF(ISNUMBER(SEARCH(Assumptions!$C$6,G2809)),Assumptions!$D$6,IF(ISNUMBER(SEARCH(Assumptions!$C$7,G2809)),Assumptions!$D$7,"Other Services"))),"Other Services"))</f>
        <v/>
      </c>
    </row>
    <row r="2810" customFormat="false" ht="15" hidden="false" customHeight="false" outlineLevel="0" collapsed="false">
      <c r="F2810" s="41" t="str">
        <f aca="false">IF(E2810="","",IFERROR(VLOOKUP(E2810,Assumptions!$G$5:$H$16,2,0),"Other"))</f>
        <v/>
      </c>
      <c r="J2810" s="41" t="str">
        <f aca="false">IF(G2810="","",IFERROR(IF(ISNUMBER(SEARCH(Assumptions!$C$5,G2810)),Assumptions!$D$5,IF(ISNUMBER(SEARCH(Assumptions!$C$6,G2810)),Assumptions!$D$6,IF(ISNUMBER(SEARCH(Assumptions!$C$7,G2810)),Assumptions!$D$7,"Other Services"))),"Other Services"))</f>
        <v/>
      </c>
    </row>
    <row r="2811" customFormat="false" ht="15" hidden="false" customHeight="false" outlineLevel="0" collapsed="false">
      <c r="F2811" s="41" t="str">
        <f aca="false">IF(E2811="","",IFERROR(VLOOKUP(E2811,Assumptions!$G$5:$H$16,2,0),"Other"))</f>
        <v/>
      </c>
      <c r="J2811" s="41" t="str">
        <f aca="false">IF(G2811="","",IFERROR(IF(ISNUMBER(SEARCH(Assumptions!$C$5,G2811)),Assumptions!$D$5,IF(ISNUMBER(SEARCH(Assumptions!$C$6,G2811)),Assumptions!$D$6,IF(ISNUMBER(SEARCH(Assumptions!$C$7,G2811)),Assumptions!$D$7,"Other Services"))),"Other Services"))</f>
        <v/>
      </c>
    </row>
    <row r="2812" customFormat="false" ht="15" hidden="false" customHeight="false" outlineLevel="0" collapsed="false">
      <c r="F2812" s="41" t="str">
        <f aca="false">IF(E2812="","",IFERROR(VLOOKUP(E2812,Assumptions!$G$5:$H$16,2,0),"Other"))</f>
        <v/>
      </c>
      <c r="J2812" s="41" t="str">
        <f aca="false">IF(G2812="","",IFERROR(IF(ISNUMBER(SEARCH(Assumptions!$C$5,G2812)),Assumptions!$D$5,IF(ISNUMBER(SEARCH(Assumptions!$C$6,G2812)),Assumptions!$D$6,IF(ISNUMBER(SEARCH(Assumptions!$C$7,G2812)),Assumptions!$D$7,"Other Services"))),"Other Services"))</f>
        <v/>
      </c>
    </row>
    <row r="2813" customFormat="false" ht="15" hidden="false" customHeight="false" outlineLevel="0" collapsed="false">
      <c r="F2813" s="41" t="str">
        <f aca="false">IF(E2813="","",IFERROR(VLOOKUP(E2813,Assumptions!$G$5:$H$16,2,0),"Other"))</f>
        <v/>
      </c>
      <c r="J2813" s="41" t="str">
        <f aca="false">IF(G2813="","",IFERROR(IF(ISNUMBER(SEARCH(Assumptions!$C$5,G2813)),Assumptions!$D$5,IF(ISNUMBER(SEARCH(Assumptions!$C$6,G2813)),Assumptions!$D$6,IF(ISNUMBER(SEARCH(Assumptions!$C$7,G2813)),Assumptions!$D$7,"Other Services"))),"Other Services"))</f>
        <v/>
      </c>
    </row>
    <row r="2814" customFormat="false" ht="15" hidden="false" customHeight="false" outlineLevel="0" collapsed="false">
      <c r="F2814" s="41" t="str">
        <f aca="false">IF(E2814="","",IFERROR(VLOOKUP(E2814,Assumptions!$G$5:$H$16,2,0),"Other"))</f>
        <v/>
      </c>
      <c r="J2814" s="41" t="str">
        <f aca="false">IF(G2814="","",IFERROR(IF(ISNUMBER(SEARCH(Assumptions!$C$5,G2814)),Assumptions!$D$5,IF(ISNUMBER(SEARCH(Assumptions!$C$6,G2814)),Assumptions!$D$6,IF(ISNUMBER(SEARCH(Assumptions!$C$7,G2814)),Assumptions!$D$7,"Other Services"))),"Other Services"))</f>
        <v/>
      </c>
    </row>
    <row r="2815" customFormat="false" ht="15" hidden="false" customHeight="false" outlineLevel="0" collapsed="false">
      <c r="F2815" s="41" t="str">
        <f aca="false">IF(E2815="","",IFERROR(VLOOKUP(E2815,Assumptions!$G$5:$H$16,2,0),"Other"))</f>
        <v/>
      </c>
      <c r="J2815" s="41" t="str">
        <f aca="false">IF(G2815="","",IFERROR(IF(ISNUMBER(SEARCH(Assumptions!$C$5,G2815)),Assumptions!$D$5,IF(ISNUMBER(SEARCH(Assumptions!$C$6,G2815)),Assumptions!$D$6,IF(ISNUMBER(SEARCH(Assumptions!$C$7,G2815)),Assumptions!$D$7,"Other Services"))),"Other Services"))</f>
        <v/>
      </c>
    </row>
    <row r="2816" customFormat="false" ht="15" hidden="false" customHeight="false" outlineLevel="0" collapsed="false">
      <c r="F2816" s="41" t="str">
        <f aca="false">IF(E2816="","",IFERROR(VLOOKUP(E2816,Assumptions!$G$5:$H$16,2,0),"Other"))</f>
        <v/>
      </c>
      <c r="J2816" s="41" t="str">
        <f aca="false">IF(G2816="","",IFERROR(IF(ISNUMBER(SEARCH(Assumptions!$C$5,G2816)),Assumptions!$D$5,IF(ISNUMBER(SEARCH(Assumptions!$C$6,G2816)),Assumptions!$D$6,IF(ISNUMBER(SEARCH(Assumptions!$C$7,G2816)),Assumptions!$D$7,"Other Services"))),"Other Services"))</f>
        <v/>
      </c>
    </row>
    <row r="2817" customFormat="false" ht="15" hidden="false" customHeight="false" outlineLevel="0" collapsed="false">
      <c r="F2817" s="41" t="str">
        <f aca="false">IF(E2817="","",IFERROR(VLOOKUP(E2817,Assumptions!$G$5:$H$16,2,0),"Other"))</f>
        <v/>
      </c>
      <c r="J2817" s="41" t="str">
        <f aca="false">IF(G2817="","",IFERROR(IF(ISNUMBER(SEARCH(Assumptions!$C$5,G2817)),Assumptions!$D$5,IF(ISNUMBER(SEARCH(Assumptions!$C$6,G2817)),Assumptions!$D$6,IF(ISNUMBER(SEARCH(Assumptions!$C$7,G2817)),Assumptions!$D$7,"Other Services"))),"Other Services"))</f>
        <v/>
      </c>
    </row>
    <row r="2818" customFormat="false" ht="15" hidden="false" customHeight="false" outlineLevel="0" collapsed="false">
      <c r="F2818" s="41" t="str">
        <f aca="false">IF(E2818="","",IFERROR(VLOOKUP(E2818,Assumptions!$G$5:$H$16,2,0),"Other"))</f>
        <v/>
      </c>
      <c r="J2818" s="41" t="str">
        <f aca="false">IF(G2818="","",IFERROR(IF(ISNUMBER(SEARCH(Assumptions!$C$5,G2818)),Assumptions!$D$5,IF(ISNUMBER(SEARCH(Assumptions!$C$6,G2818)),Assumptions!$D$6,IF(ISNUMBER(SEARCH(Assumptions!$C$7,G2818)),Assumptions!$D$7,"Other Services"))),"Other Services"))</f>
        <v/>
      </c>
    </row>
    <row r="2819" customFormat="false" ht="15" hidden="false" customHeight="false" outlineLevel="0" collapsed="false">
      <c r="F2819" s="41" t="str">
        <f aca="false">IF(E2819="","",IFERROR(VLOOKUP(E2819,Assumptions!$G$5:$H$16,2,0),"Other"))</f>
        <v/>
      </c>
      <c r="J2819" s="41" t="str">
        <f aca="false">IF(G2819="","",IFERROR(IF(ISNUMBER(SEARCH(Assumptions!$C$5,G2819)),Assumptions!$D$5,IF(ISNUMBER(SEARCH(Assumptions!$C$6,G2819)),Assumptions!$D$6,IF(ISNUMBER(SEARCH(Assumptions!$C$7,G2819)),Assumptions!$D$7,"Other Services"))),"Other Services"))</f>
        <v/>
      </c>
    </row>
    <row r="2820" customFormat="false" ht="15" hidden="false" customHeight="false" outlineLevel="0" collapsed="false">
      <c r="F2820" s="41" t="str">
        <f aca="false">IF(E2820="","",IFERROR(VLOOKUP(E2820,Assumptions!$G$5:$H$16,2,0),"Other"))</f>
        <v/>
      </c>
      <c r="J2820" s="41" t="str">
        <f aca="false">IF(G2820="","",IFERROR(IF(ISNUMBER(SEARCH(Assumptions!$C$5,G2820)),Assumptions!$D$5,IF(ISNUMBER(SEARCH(Assumptions!$C$6,G2820)),Assumptions!$D$6,IF(ISNUMBER(SEARCH(Assumptions!$C$7,G2820)),Assumptions!$D$7,"Other Services"))),"Other Services"))</f>
        <v/>
      </c>
    </row>
    <row r="2821" customFormat="false" ht="15" hidden="false" customHeight="false" outlineLevel="0" collapsed="false">
      <c r="F2821" s="41" t="str">
        <f aca="false">IF(E2821="","",IFERROR(VLOOKUP(E2821,Assumptions!$G$5:$H$16,2,0),"Other"))</f>
        <v/>
      </c>
      <c r="J2821" s="41" t="str">
        <f aca="false">IF(G2821="","",IFERROR(IF(ISNUMBER(SEARCH(Assumptions!$C$5,G2821)),Assumptions!$D$5,IF(ISNUMBER(SEARCH(Assumptions!$C$6,G2821)),Assumptions!$D$6,IF(ISNUMBER(SEARCH(Assumptions!$C$7,G2821)),Assumptions!$D$7,"Other Services"))),"Other Services"))</f>
        <v/>
      </c>
    </row>
    <row r="2822" customFormat="false" ht="15" hidden="false" customHeight="false" outlineLevel="0" collapsed="false">
      <c r="F2822" s="41" t="str">
        <f aca="false">IF(E2822="","",IFERROR(VLOOKUP(E2822,Assumptions!$G$5:$H$16,2,0),"Other"))</f>
        <v/>
      </c>
      <c r="J2822" s="41" t="str">
        <f aca="false">IF(G2822="","",IFERROR(IF(ISNUMBER(SEARCH(Assumptions!$C$5,G2822)),Assumptions!$D$5,IF(ISNUMBER(SEARCH(Assumptions!$C$6,G2822)),Assumptions!$D$6,IF(ISNUMBER(SEARCH(Assumptions!$C$7,G2822)),Assumptions!$D$7,"Other Services"))),"Other Services"))</f>
        <v/>
      </c>
    </row>
    <row r="2823" customFormat="false" ht="15" hidden="false" customHeight="false" outlineLevel="0" collapsed="false">
      <c r="F2823" s="41" t="str">
        <f aca="false">IF(E2823="","",IFERROR(VLOOKUP(E2823,Assumptions!$G$5:$H$16,2,0),"Other"))</f>
        <v/>
      </c>
      <c r="J2823" s="41" t="str">
        <f aca="false">IF(G2823="","",IFERROR(IF(ISNUMBER(SEARCH(Assumptions!$C$5,G2823)),Assumptions!$D$5,IF(ISNUMBER(SEARCH(Assumptions!$C$6,G2823)),Assumptions!$D$6,IF(ISNUMBER(SEARCH(Assumptions!$C$7,G2823)),Assumptions!$D$7,"Other Services"))),"Other Services"))</f>
        <v/>
      </c>
    </row>
    <row r="2824" customFormat="false" ht="15" hidden="false" customHeight="false" outlineLevel="0" collapsed="false">
      <c r="F2824" s="41" t="str">
        <f aca="false">IF(E2824="","",IFERROR(VLOOKUP(E2824,Assumptions!$G$5:$H$16,2,0),"Other"))</f>
        <v/>
      </c>
      <c r="J2824" s="41" t="str">
        <f aca="false">IF(G2824="","",IFERROR(IF(ISNUMBER(SEARCH(Assumptions!$C$5,G2824)),Assumptions!$D$5,IF(ISNUMBER(SEARCH(Assumptions!$C$6,G2824)),Assumptions!$D$6,IF(ISNUMBER(SEARCH(Assumptions!$C$7,G2824)),Assumptions!$D$7,"Other Services"))),"Other Services"))</f>
        <v/>
      </c>
    </row>
    <row r="2825" customFormat="false" ht="15" hidden="false" customHeight="false" outlineLevel="0" collapsed="false">
      <c r="F2825" s="41" t="str">
        <f aca="false">IF(E2825="","",IFERROR(VLOOKUP(E2825,Assumptions!$G$5:$H$16,2,0),"Other"))</f>
        <v/>
      </c>
      <c r="J2825" s="41" t="str">
        <f aca="false">IF(G2825="","",IFERROR(IF(ISNUMBER(SEARCH(Assumptions!$C$5,G2825)),Assumptions!$D$5,IF(ISNUMBER(SEARCH(Assumptions!$C$6,G2825)),Assumptions!$D$6,IF(ISNUMBER(SEARCH(Assumptions!$C$7,G2825)),Assumptions!$D$7,"Other Services"))),"Other Services"))</f>
        <v/>
      </c>
    </row>
    <row r="2826" customFormat="false" ht="15" hidden="false" customHeight="false" outlineLevel="0" collapsed="false">
      <c r="F2826" s="41" t="str">
        <f aca="false">IF(E2826="","",IFERROR(VLOOKUP(E2826,Assumptions!$G$5:$H$16,2,0),"Other"))</f>
        <v/>
      </c>
      <c r="J2826" s="41" t="str">
        <f aca="false">IF(G2826="","",IFERROR(IF(ISNUMBER(SEARCH(Assumptions!$C$5,G2826)),Assumptions!$D$5,IF(ISNUMBER(SEARCH(Assumptions!$C$6,G2826)),Assumptions!$D$6,IF(ISNUMBER(SEARCH(Assumptions!$C$7,G2826)),Assumptions!$D$7,"Other Services"))),"Other Services"))</f>
        <v/>
      </c>
    </row>
    <row r="2827" customFormat="false" ht="15" hidden="false" customHeight="false" outlineLevel="0" collapsed="false">
      <c r="F2827" s="41" t="str">
        <f aca="false">IF(E2827="","",IFERROR(VLOOKUP(E2827,Assumptions!$G$5:$H$16,2,0),"Other"))</f>
        <v/>
      </c>
      <c r="J2827" s="41" t="str">
        <f aca="false">IF(G2827="","",IFERROR(IF(ISNUMBER(SEARCH(Assumptions!$C$5,G2827)),Assumptions!$D$5,IF(ISNUMBER(SEARCH(Assumptions!$C$6,G2827)),Assumptions!$D$6,IF(ISNUMBER(SEARCH(Assumptions!$C$7,G2827)),Assumptions!$D$7,"Other Services"))),"Other Services"))</f>
        <v/>
      </c>
    </row>
    <row r="2828" customFormat="false" ht="15" hidden="false" customHeight="false" outlineLevel="0" collapsed="false">
      <c r="F2828" s="41" t="str">
        <f aca="false">IF(E2828="","",IFERROR(VLOOKUP(E2828,Assumptions!$G$5:$H$16,2,0),"Other"))</f>
        <v/>
      </c>
      <c r="J2828" s="41" t="str">
        <f aca="false">IF(G2828="","",IFERROR(IF(ISNUMBER(SEARCH(Assumptions!$C$5,G2828)),Assumptions!$D$5,IF(ISNUMBER(SEARCH(Assumptions!$C$6,G2828)),Assumptions!$D$6,IF(ISNUMBER(SEARCH(Assumptions!$C$7,G2828)),Assumptions!$D$7,"Other Services"))),"Other Services"))</f>
        <v/>
      </c>
    </row>
    <row r="2829" customFormat="false" ht="15" hidden="false" customHeight="false" outlineLevel="0" collapsed="false">
      <c r="F2829" s="41" t="str">
        <f aca="false">IF(E2829="","",IFERROR(VLOOKUP(E2829,Assumptions!$G$5:$H$16,2,0),"Other"))</f>
        <v/>
      </c>
      <c r="J2829" s="41" t="str">
        <f aca="false">IF(G2829="","",IFERROR(IF(ISNUMBER(SEARCH(Assumptions!$C$5,G2829)),Assumptions!$D$5,IF(ISNUMBER(SEARCH(Assumptions!$C$6,G2829)),Assumptions!$D$6,IF(ISNUMBER(SEARCH(Assumptions!$C$7,G2829)),Assumptions!$D$7,"Other Services"))),"Other Services"))</f>
        <v/>
      </c>
    </row>
    <row r="2830" customFormat="false" ht="15" hidden="false" customHeight="false" outlineLevel="0" collapsed="false">
      <c r="F2830" s="41" t="str">
        <f aca="false">IF(E2830="","",IFERROR(VLOOKUP(E2830,Assumptions!$G$5:$H$16,2,0),"Other"))</f>
        <v/>
      </c>
      <c r="J2830" s="41" t="str">
        <f aca="false">IF(G2830="","",IFERROR(IF(ISNUMBER(SEARCH(Assumptions!$C$5,G2830)),Assumptions!$D$5,IF(ISNUMBER(SEARCH(Assumptions!$C$6,G2830)),Assumptions!$D$6,IF(ISNUMBER(SEARCH(Assumptions!$C$7,G2830)),Assumptions!$D$7,"Other Services"))),"Other Services"))</f>
        <v/>
      </c>
    </row>
    <row r="2831" customFormat="false" ht="15" hidden="false" customHeight="false" outlineLevel="0" collapsed="false">
      <c r="F2831" s="41" t="str">
        <f aca="false">IF(E2831="","",IFERROR(VLOOKUP(E2831,Assumptions!$G$5:$H$16,2,0),"Other"))</f>
        <v/>
      </c>
      <c r="J2831" s="41" t="str">
        <f aca="false">IF(G2831="","",IFERROR(IF(ISNUMBER(SEARCH(Assumptions!$C$5,G2831)),Assumptions!$D$5,IF(ISNUMBER(SEARCH(Assumptions!$C$6,G2831)),Assumptions!$D$6,IF(ISNUMBER(SEARCH(Assumptions!$C$7,G2831)),Assumptions!$D$7,"Other Services"))),"Other Services"))</f>
        <v/>
      </c>
    </row>
    <row r="2832" customFormat="false" ht="15" hidden="false" customHeight="false" outlineLevel="0" collapsed="false">
      <c r="F2832" s="41" t="str">
        <f aca="false">IF(E2832="","",IFERROR(VLOOKUP(E2832,Assumptions!$G$5:$H$16,2,0),"Other"))</f>
        <v/>
      </c>
      <c r="J2832" s="41" t="str">
        <f aca="false">IF(G2832="","",IFERROR(IF(ISNUMBER(SEARCH(Assumptions!$C$5,G2832)),Assumptions!$D$5,IF(ISNUMBER(SEARCH(Assumptions!$C$6,G2832)),Assumptions!$D$6,IF(ISNUMBER(SEARCH(Assumptions!$C$7,G2832)),Assumptions!$D$7,"Other Services"))),"Other Services"))</f>
        <v/>
      </c>
    </row>
    <row r="2833" customFormat="false" ht="15" hidden="false" customHeight="false" outlineLevel="0" collapsed="false">
      <c r="F2833" s="41" t="str">
        <f aca="false">IF(E2833="","",IFERROR(VLOOKUP(E2833,Assumptions!$G$5:$H$16,2,0),"Other"))</f>
        <v/>
      </c>
      <c r="J2833" s="41" t="str">
        <f aca="false">IF(G2833="","",IFERROR(IF(ISNUMBER(SEARCH(Assumptions!$C$5,G2833)),Assumptions!$D$5,IF(ISNUMBER(SEARCH(Assumptions!$C$6,G2833)),Assumptions!$D$6,IF(ISNUMBER(SEARCH(Assumptions!$C$7,G2833)),Assumptions!$D$7,"Other Services"))),"Other Services"))</f>
        <v/>
      </c>
    </row>
    <row r="2834" customFormat="false" ht="15" hidden="false" customHeight="false" outlineLevel="0" collapsed="false">
      <c r="F2834" s="41" t="str">
        <f aca="false">IF(E2834="","",IFERROR(VLOOKUP(E2834,Assumptions!$G$5:$H$16,2,0),"Other"))</f>
        <v/>
      </c>
      <c r="J2834" s="41" t="str">
        <f aca="false">IF(G2834="","",IFERROR(IF(ISNUMBER(SEARCH(Assumptions!$C$5,G2834)),Assumptions!$D$5,IF(ISNUMBER(SEARCH(Assumptions!$C$6,G2834)),Assumptions!$D$6,IF(ISNUMBER(SEARCH(Assumptions!$C$7,G2834)),Assumptions!$D$7,"Other Services"))),"Other Services"))</f>
        <v/>
      </c>
    </row>
    <row r="2835" customFormat="false" ht="15" hidden="false" customHeight="false" outlineLevel="0" collapsed="false">
      <c r="F2835" s="41" t="str">
        <f aca="false">IF(E2835="","",IFERROR(VLOOKUP(E2835,Assumptions!$G$5:$H$16,2,0),"Other"))</f>
        <v/>
      </c>
      <c r="J2835" s="41" t="str">
        <f aca="false">IF(G2835="","",IFERROR(IF(ISNUMBER(SEARCH(Assumptions!$C$5,G2835)),Assumptions!$D$5,IF(ISNUMBER(SEARCH(Assumptions!$C$6,G2835)),Assumptions!$D$6,IF(ISNUMBER(SEARCH(Assumptions!$C$7,G2835)),Assumptions!$D$7,"Other Services"))),"Other Services"))</f>
        <v/>
      </c>
    </row>
    <row r="2836" customFormat="false" ht="15" hidden="false" customHeight="false" outlineLevel="0" collapsed="false">
      <c r="F2836" s="41" t="str">
        <f aca="false">IF(E2836="","",IFERROR(VLOOKUP(E2836,Assumptions!$G$5:$H$16,2,0),"Other"))</f>
        <v/>
      </c>
      <c r="J2836" s="41" t="str">
        <f aca="false">IF(G2836="","",IFERROR(IF(ISNUMBER(SEARCH(Assumptions!$C$5,G2836)),Assumptions!$D$5,IF(ISNUMBER(SEARCH(Assumptions!$C$6,G2836)),Assumptions!$D$6,IF(ISNUMBER(SEARCH(Assumptions!$C$7,G2836)),Assumptions!$D$7,"Other Services"))),"Other Services"))</f>
        <v/>
      </c>
    </row>
    <row r="2837" customFormat="false" ht="15" hidden="false" customHeight="false" outlineLevel="0" collapsed="false">
      <c r="F2837" s="41" t="str">
        <f aca="false">IF(E2837="","",IFERROR(VLOOKUP(E2837,Assumptions!$G$5:$H$16,2,0),"Other"))</f>
        <v/>
      </c>
      <c r="J2837" s="41" t="str">
        <f aca="false">IF(G2837="","",IFERROR(IF(ISNUMBER(SEARCH(Assumptions!$C$5,G2837)),Assumptions!$D$5,IF(ISNUMBER(SEARCH(Assumptions!$C$6,G2837)),Assumptions!$D$6,IF(ISNUMBER(SEARCH(Assumptions!$C$7,G2837)),Assumptions!$D$7,"Other Services"))),"Other Services"))</f>
        <v/>
      </c>
    </row>
    <row r="2838" customFormat="false" ht="15" hidden="false" customHeight="false" outlineLevel="0" collapsed="false">
      <c r="F2838" s="41" t="str">
        <f aca="false">IF(E2838="","",IFERROR(VLOOKUP(E2838,Assumptions!$G$5:$H$16,2,0),"Other"))</f>
        <v/>
      </c>
      <c r="J2838" s="41" t="str">
        <f aca="false">IF(G2838="","",IFERROR(IF(ISNUMBER(SEARCH(Assumptions!$C$5,G2838)),Assumptions!$D$5,IF(ISNUMBER(SEARCH(Assumptions!$C$6,G2838)),Assumptions!$D$6,IF(ISNUMBER(SEARCH(Assumptions!$C$7,G2838)),Assumptions!$D$7,"Other Services"))),"Other Services"))</f>
        <v/>
      </c>
    </row>
    <row r="2839" customFormat="false" ht="15" hidden="false" customHeight="false" outlineLevel="0" collapsed="false">
      <c r="F2839" s="41" t="str">
        <f aca="false">IF(E2839="","",IFERROR(VLOOKUP(E2839,Assumptions!$G$5:$H$16,2,0),"Other"))</f>
        <v/>
      </c>
      <c r="J2839" s="41" t="str">
        <f aca="false">IF(G2839="","",IFERROR(IF(ISNUMBER(SEARCH(Assumptions!$C$5,G2839)),Assumptions!$D$5,IF(ISNUMBER(SEARCH(Assumptions!$C$6,G2839)),Assumptions!$D$6,IF(ISNUMBER(SEARCH(Assumptions!$C$7,G2839)),Assumptions!$D$7,"Other Services"))),"Other Services"))</f>
        <v/>
      </c>
    </row>
    <row r="2840" customFormat="false" ht="15" hidden="false" customHeight="false" outlineLevel="0" collapsed="false">
      <c r="F2840" s="41" t="str">
        <f aca="false">IF(E2840="","",IFERROR(VLOOKUP(E2840,Assumptions!$G$5:$H$16,2,0),"Other"))</f>
        <v/>
      </c>
      <c r="J2840" s="41" t="str">
        <f aca="false">IF(G2840="","",IFERROR(IF(ISNUMBER(SEARCH(Assumptions!$C$5,G2840)),Assumptions!$D$5,IF(ISNUMBER(SEARCH(Assumptions!$C$6,G2840)),Assumptions!$D$6,IF(ISNUMBER(SEARCH(Assumptions!$C$7,G2840)),Assumptions!$D$7,"Other Services"))),"Other Services"))</f>
        <v/>
      </c>
    </row>
    <row r="2841" customFormat="false" ht="15" hidden="false" customHeight="false" outlineLevel="0" collapsed="false">
      <c r="F2841" s="41" t="str">
        <f aca="false">IF(E2841="","",IFERROR(VLOOKUP(E2841,Assumptions!$G$5:$H$16,2,0),"Other"))</f>
        <v/>
      </c>
      <c r="J2841" s="41" t="str">
        <f aca="false">IF(G2841="","",IFERROR(IF(ISNUMBER(SEARCH(Assumptions!$C$5,G2841)),Assumptions!$D$5,IF(ISNUMBER(SEARCH(Assumptions!$C$6,G2841)),Assumptions!$D$6,IF(ISNUMBER(SEARCH(Assumptions!$C$7,G2841)),Assumptions!$D$7,"Other Services"))),"Other Services"))</f>
        <v/>
      </c>
    </row>
    <row r="2842" customFormat="false" ht="15" hidden="false" customHeight="false" outlineLevel="0" collapsed="false">
      <c r="F2842" s="41" t="str">
        <f aca="false">IF(E2842="","",IFERROR(VLOOKUP(E2842,Assumptions!$G$5:$H$16,2,0),"Other"))</f>
        <v/>
      </c>
      <c r="J2842" s="41" t="str">
        <f aca="false">IF(G2842="","",IFERROR(IF(ISNUMBER(SEARCH(Assumptions!$C$5,G2842)),Assumptions!$D$5,IF(ISNUMBER(SEARCH(Assumptions!$C$6,G2842)),Assumptions!$D$6,IF(ISNUMBER(SEARCH(Assumptions!$C$7,G2842)),Assumptions!$D$7,"Other Services"))),"Other Services"))</f>
        <v/>
      </c>
    </row>
    <row r="2843" customFormat="false" ht="15" hidden="false" customHeight="false" outlineLevel="0" collapsed="false">
      <c r="F2843" s="41" t="str">
        <f aca="false">IF(E2843="","",IFERROR(VLOOKUP(E2843,Assumptions!$G$5:$H$16,2,0),"Other"))</f>
        <v/>
      </c>
      <c r="J2843" s="41" t="str">
        <f aca="false">IF(G2843="","",IFERROR(IF(ISNUMBER(SEARCH(Assumptions!$C$5,G2843)),Assumptions!$D$5,IF(ISNUMBER(SEARCH(Assumptions!$C$6,G2843)),Assumptions!$D$6,IF(ISNUMBER(SEARCH(Assumptions!$C$7,G2843)),Assumptions!$D$7,"Other Services"))),"Other Services"))</f>
        <v/>
      </c>
    </row>
    <row r="2844" customFormat="false" ht="15" hidden="false" customHeight="false" outlineLevel="0" collapsed="false">
      <c r="F2844" s="41" t="str">
        <f aca="false">IF(E2844="","",IFERROR(VLOOKUP(E2844,Assumptions!$G$5:$H$16,2,0),"Other"))</f>
        <v/>
      </c>
      <c r="J2844" s="41" t="str">
        <f aca="false">IF(G2844="","",IFERROR(IF(ISNUMBER(SEARCH(Assumptions!$C$5,G2844)),Assumptions!$D$5,IF(ISNUMBER(SEARCH(Assumptions!$C$6,G2844)),Assumptions!$D$6,IF(ISNUMBER(SEARCH(Assumptions!$C$7,G2844)),Assumptions!$D$7,"Other Services"))),"Other Services"))</f>
        <v/>
      </c>
    </row>
    <row r="2845" customFormat="false" ht="15" hidden="false" customHeight="false" outlineLevel="0" collapsed="false">
      <c r="F2845" s="41" t="str">
        <f aca="false">IF(E2845="","",IFERROR(VLOOKUP(E2845,Assumptions!$G$5:$H$16,2,0),"Other"))</f>
        <v/>
      </c>
      <c r="J2845" s="41" t="str">
        <f aca="false">IF(G2845="","",IFERROR(IF(ISNUMBER(SEARCH(Assumptions!$C$5,G2845)),Assumptions!$D$5,IF(ISNUMBER(SEARCH(Assumptions!$C$6,G2845)),Assumptions!$D$6,IF(ISNUMBER(SEARCH(Assumptions!$C$7,G2845)),Assumptions!$D$7,"Other Services"))),"Other Services"))</f>
        <v/>
      </c>
    </row>
    <row r="2846" customFormat="false" ht="15" hidden="false" customHeight="false" outlineLevel="0" collapsed="false">
      <c r="F2846" s="41" t="str">
        <f aca="false">IF(E2846="","",IFERROR(VLOOKUP(E2846,Assumptions!$G$5:$H$16,2,0),"Other"))</f>
        <v/>
      </c>
      <c r="J2846" s="41" t="str">
        <f aca="false">IF(G2846="","",IFERROR(IF(ISNUMBER(SEARCH(Assumptions!$C$5,G2846)),Assumptions!$D$5,IF(ISNUMBER(SEARCH(Assumptions!$C$6,G2846)),Assumptions!$D$6,IF(ISNUMBER(SEARCH(Assumptions!$C$7,G2846)),Assumptions!$D$7,"Other Services"))),"Other Services"))</f>
        <v/>
      </c>
    </row>
    <row r="2847" customFormat="false" ht="15" hidden="false" customHeight="false" outlineLevel="0" collapsed="false">
      <c r="F2847" s="41" t="str">
        <f aca="false">IF(E2847="","",IFERROR(VLOOKUP(E2847,Assumptions!$G$5:$H$16,2,0),"Other"))</f>
        <v/>
      </c>
      <c r="J2847" s="41" t="str">
        <f aca="false">IF(G2847="","",IFERROR(IF(ISNUMBER(SEARCH(Assumptions!$C$5,G2847)),Assumptions!$D$5,IF(ISNUMBER(SEARCH(Assumptions!$C$6,G2847)),Assumptions!$D$6,IF(ISNUMBER(SEARCH(Assumptions!$C$7,G2847)),Assumptions!$D$7,"Other Services"))),"Other Services"))</f>
        <v/>
      </c>
    </row>
    <row r="2848" customFormat="false" ht="15" hidden="false" customHeight="false" outlineLevel="0" collapsed="false">
      <c r="F2848" s="41" t="str">
        <f aca="false">IF(E2848="","",IFERROR(VLOOKUP(E2848,Assumptions!$G$5:$H$16,2,0),"Other"))</f>
        <v/>
      </c>
      <c r="J2848" s="41" t="str">
        <f aca="false">IF(G2848="","",IFERROR(IF(ISNUMBER(SEARCH(Assumptions!$C$5,G2848)),Assumptions!$D$5,IF(ISNUMBER(SEARCH(Assumptions!$C$6,G2848)),Assumptions!$D$6,IF(ISNUMBER(SEARCH(Assumptions!$C$7,G2848)),Assumptions!$D$7,"Other Services"))),"Other Services"))</f>
        <v/>
      </c>
    </row>
    <row r="2849" customFormat="false" ht="15" hidden="false" customHeight="false" outlineLevel="0" collapsed="false">
      <c r="F2849" s="41" t="str">
        <f aca="false">IF(E2849="","",IFERROR(VLOOKUP(E2849,Assumptions!$G$5:$H$16,2,0),"Other"))</f>
        <v/>
      </c>
      <c r="J2849" s="41" t="str">
        <f aca="false">IF(G2849="","",IFERROR(IF(ISNUMBER(SEARCH(Assumptions!$C$5,G2849)),Assumptions!$D$5,IF(ISNUMBER(SEARCH(Assumptions!$C$6,G2849)),Assumptions!$D$6,IF(ISNUMBER(SEARCH(Assumptions!$C$7,G2849)),Assumptions!$D$7,"Other Services"))),"Other Services"))</f>
        <v/>
      </c>
    </row>
    <row r="2850" customFormat="false" ht="15" hidden="false" customHeight="false" outlineLevel="0" collapsed="false">
      <c r="F2850" s="41" t="str">
        <f aca="false">IF(E2850="","",IFERROR(VLOOKUP(E2850,Assumptions!$G$5:$H$16,2,0),"Other"))</f>
        <v/>
      </c>
      <c r="J2850" s="41" t="str">
        <f aca="false">IF(G2850="","",IFERROR(IF(ISNUMBER(SEARCH(Assumptions!$C$5,G2850)),Assumptions!$D$5,IF(ISNUMBER(SEARCH(Assumptions!$C$6,G2850)),Assumptions!$D$6,IF(ISNUMBER(SEARCH(Assumptions!$C$7,G2850)),Assumptions!$D$7,"Other Services"))),"Other Services"))</f>
        <v/>
      </c>
    </row>
    <row r="2851" customFormat="false" ht="15" hidden="false" customHeight="false" outlineLevel="0" collapsed="false">
      <c r="F2851" s="41" t="str">
        <f aca="false">IF(E2851="","",IFERROR(VLOOKUP(E2851,Assumptions!$G$5:$H$16,2,0),"Other"))</f>
        <v/>
      </c>
      <c r="J2851" s="41" t="str">
        <f aca="false">IF(G2851="","",IFERROR(IF(ISNUMBER(SEARCH(Assumptions!$C$5,G2851)),Assumptions!$D$5,IF(ISNUMBER(SEARCH(Assumptions!$C$6,G2851)),Assumptions!$D$6,IF(ISNUMBER(SEARCH(Assumptions!$C$7,G2851)),Assumptions!$D$7,"Other Services"))),"Other Services"))</f>
        <v/>
      </c>
    </row>
    <row r="2852" customFormat="false" ht="15" hidden="false" customHeight="false" outlineLevel="0" collapsed="false">
      <c r="F2852" s="41" t="str">
        <f aca="false">IF(E2852="","",IFERROR(VLOOKUP(E2852,Assumptions!$G$5:$H$16,2,0),"Other"))</f>
        <v/>
      </c>
      <c r="J2852" s="41" t="str">
        <f aca="false">IF(G2852="","",IFERROR(IF(ISNUMBER(SEARCH(Assumptions!$C$5,G2852)),Assumptions!$D$5,IF(ISNUMBER(SEARCH(Assumptions!$C$6,G2852)),Assumptions!$D$6,IF(ISNUMBER(SEARCH(Assumptions!$C$7,G2852)),Assumptions!$D$7,"Other Services"))),"Other Services"))</f>
        <v/>
      </c>
    </row>
    <row r="2853" customFormat="false" ht="15" hidden="false" customHeight="false" outlineLevel="0" collapsed="false">
      <c r="F2853" s="41" t="str">
        <f aca="false">IF(E2853="","",IFERROR(VLOOKUP(E2853,Assumptions!$G$5:$H$16,2,0),"Other"))</f>
        <v/>
      </c>
      <c r="J2853" s="41" t="str">
        <f aca="false">IF(G2853="","",IFERROR(IF(ISNUMBER(SEARCH(Assumptions!$C$5,G2853)),Assumptions!$D$5,IF(ISNUMBER(SEARCH(Assumptions!$C$6,G2853)),Assumptions!$D$6,IF(ISNUMBER(SEARCH(Assumptions!$C$7,G2853)),Assumptions!$D$7,"Other Services"))),"Other Services"))</f>
        <v/>
      </c>
    </row>
    <row r="2854" customFormat="false" ht="15" hidden="false" customHeight="false" outlineLevel="0" collapsed="false">
      <c r="F2854" s="41" t="str">
        <f aca="false">IF(E2854="","",IFERROR(VLOOKUP(E2854,Assumptions!$G$5:$H$16,2,0),"Other"))</f>
        <v/>
      </c>
      <c r="J2854" s="41" t="str">
        <f aca="false">IF(G2854="","",IFERROR(IF(ISNUMBER(SEARCH(Assumptions!$C$5,G2854)),Assumptions!$D$5,IF(ISNUMBER(SEARCH(Assumptions!$C$6,G2854)),Assumptions!$D$6,IF(ISNUMBER(SEARCH(Assumptions!$C$7,G2854)),Assumptions!$D$7,"Other Services"))),"Other Services"))</f>
        <v/>
      </c>
    </row>
    <row r="2855" customFormat="false" ht="15" hidden="false" customHeight="false" outlineLevel="0" collapsed="false">
      <c r="F2855" s="41" t="str">
        <f aca="false">IF(E2855="","",IFERROR(VLOOKUP(E2855,Assumptions!$G$5:$H$16,2,0),"Other"))</f>
        <v/>
      </c>
      <c r="J2855" s="41" t="str">
        <f aca="false">IF(G2855="","",IFERROR(IF(ISNUMBER(SEARCH(Assumptions!$C$5,G2855)),Assumptions!$D$5,IF(ISNUMBER(SEARCH(Assumptions!$C$6,G2855)),Assumptions!$D$6,IF(ISNUMBER(SEARCH(Assumptions!$C$7,G2855)),Assumptions!$D$7,"Other Services"))),"Other Services"))</f>
        <v/>
      </c>
    </row>
    <row r="2856" customFormat="false" ht="15" hidden="false" customHeight="false" outlineLevel="0" collapsed="false">
      <c r="F2856" s="41" t="str">
        <f aca="false">IF(E2856="","",IFERROR(VLOOKUP(E2856,Assumptions!$G$5:$H$16,2,0),"Other"))</f>
        <v/>
      </c>
      <c r="J2856" s="41" t="str">
        <f aca="false">IF(G2856="","",IFERROR(IF(ISNUMBER(SEARCH(Assumptions!$C$5,G2856)),Assumptions!$D$5,IF(ISNUMBER(SEARCH(Assumptions!$C$6,G2856)),Assumptions!$D$6,IF(ISNUMBER(SEARCH(Assumptions!$C$7,G2856)),Assumptions!$D$7,"Other Services"))),"Other Services"))</f>
        <v/>
      </c>
    </row>
    <row r="2857" customFormat="false" ht="15" hidden="false" customHeight="false" outlineLevel="0" collapsed="false">
      <c r="F2857" s="41" t="str">
        <f aca="false">IF(E2857="","",IFERROR(VLOOKUP(E2857,Assumptions!$G$5:$H$16,2,0),"Other"))</f>
        <v/>
      </c>
      <c r="J2857" s="41" t="str">
        <f aca="false">IF(G2857="","",IFERROR(IF(ISNUMBER(SEARCH(Assumptions!$C$5,G2857)),Assumptions!$D$5,IF(ISNUMBER(SEARCH(Assumptions!$C$6,G2857)),Assumptions!$D$6,IF(ISNUMBER(SEARCH(Assumptions!$C$7,G2857)),Assumptions!$D$7,"Other Services"))),"Other Services"))</f>
        <v/>
      </c>
    </row>
    <row r="2858" customFormat="false" ht="15" hidden="false" customHeight="false" outlineLevel="0" collapsed="false">
      <c r="F2858" s="41" t="str">
        <f aca="false">IF(E2858="","",IFERROR(VLOOKUP(E2858,Assumptions!$G$5:$H$16,2,0),"Other"))</f>
        <v/>
      </c>
      <c r="J2858" s="41" t="str">
        <f aca="false">IF(G2858="","",IFERROR(IF(ISNUMBER(SEARCH(Assumptions!$C$5,G2858)),Assumptions!$D$5,IF(ISNUMBER(SEARCH(Assumptions!$C$6,G2858)),Assumptions!$D$6,IF(ISNUMBER(SEARCH(Assumptions!$C$7,G2858)),Assumptions!$D$7,"Other Services"))),"Other Services"))</f>
        <v/>
      </c>
    </row>
    <row r="2859" customFormat="false" ht="15" hidden="false" customHeight="false" outlineLevel="0" collapsed="false">
      <c r="F2859" s="41" t="str">
        <f aca="false">IF(E2859="","",IFERROR(VLOOKUP(E2859,Assumptions!$G$5:$H$16,2,0),"Other"))</f>
        <v/>
      </c>
      <c r="J2859" s="41" t="str">
        <f aca="false">IF(G2859="","",IFERROR(IF(ISNUMBER(SEARCH(Assumptions!$C$5,G2859)),Assumptions!$D$5,IF(ISNUMBER(SEARCH(Assumptions!$C$6,G2859)),Assumptions!$D$6,IF(ISNUMBER(SEARCH(Assumptions!$C$7,G2859)),Assumptions!$D$7,"Other Services"))),"Other Services"))</f>
        <v/>
      </c>
    </row>
    <row r="2860" customFormat="false" ht="15" hidden="false" customHeight="false" outlineLevel="0" collapsed="false">
      <c r="F2860" s="41" t="str">
        <f aca="false">IF(E2860="","",IFERROR(VLOOKUP(E2860,Assumptions!$G$5:$H$16,2,0),"Other"))</f>
        <v/>
      </c>
      <c r="J2860" s="41" t="str">
        <f aca="false">IF(G2860="","",IFERROR(IF(ISNUMBER(SEARCH(Assumptions!$C$5,G2860)),Assumptions!$D$5,IF(ISNUMBER(SEARCH(Assumptions!$C$6,G2860)),Assumptions!$D$6,IF(ISNUMBER(SEARCH(Assumptions!$C$7,G2860)),Assumptions!$D$7,"Other Services"))),"Other Services"))</f>
        <v/>
      </c>
    </row>
    <row r="2861" customFormat="false" ht="15" hidden="false" customHeight="false" outlineLevel="0" collapsed="false">
      <c r="F2861" s="41" t="str">
        <f aca="false">IF(E2861="","",IFERROR(VLOOKUP(E2861,Assumptions!$G$5:$H$16,2,0),"Other"))</f>
        <v/>
      </c>
      <c r="J2861" s="41" t="str">
        <f aca="false">IF(G2861="","",IFERROR(IF(ISNUMBER(SEARCH(Assumptions!$C$5,G2861)),Assumptions!$D$5,IF(ISNUMBER(SEARCH(Assumptions!$C$6,G2861)),Assumptions!$D$6,IF(ISNUMBER(SEARCH(Assumptions!$C$7,G2861)),Assumptions!$D$7,"Other Services"))),"Other Services"))</f>
        <v/>
      </c>
    </row>
    <row r="2862" customFormat="false" ht="15" hidden="false" customHeight="false" outlineLevel="0" collapsed="false">
      <c r="F2862" s="41" t="str">
        <f aca="false">IF(E2862="","",IFERROR(VLOOKUP(E2862,Assumptions!$G$5:$H$16,2,0),"Other"))</f>
        <v/>
      </c>
      <c r="J2862" s="41" t="str">
        <f aca="false">IF(G2862="","",IFERROR(IF(ISNUMBER(SEARCH(Assumptions!$C$5,G2862)),Assumptions!$D$5,IF(ISNUMBER(SEARCH(Assumptions!$C$6,G2862)),Assumptions!$D$6,IF(ISNUMBER(SEARCH(Assumptions!$C$7,G2862)),Assumptions!$D$7,"Other Services"))),"Other Services"))</f>
        <v/>
      </c>
    </row>
    <row r="2863" customFormat="false" ht="15" hidden="false" customHeight="false" outlineLevel="0" collapsed="false">
      <c r="F2863" s="41" t="str">
        <f aca="false">IF(E2863="","",IFERROR(VLOOKUP(E2863,Assumptions!$G$5:$H$16,2,0),"Other"))</f>
        <v/>
      </c>
      <c r="J2863" s="41" t="str">
        <f aca="false">IF(G2863="","",IFERROR(IF(ISNUMBER(SEARCH(Assumptions!$C$5,G2863)),Assumptions!$D$5,IF(ISNUMBER(SEARCH(Assumptions!$C$6,G2863)),Assumptions!$D$6,IF(ISNUMBER(SEARCH(Assumptions!$C$7,G2863)),Assumptions!$D$7,"Other Services"))),"Other Services"))</f>
        <v/>
      </c>
    </row>
    <row r="2864" customFormat="false" ht="15" hidden="false" customHeight="false" outlineLevel="0" collapsed="false">
      <c r="F2864" s="41" t="str">
        <f aca="false">IF(E2864="","",IFERROR(VLOOKUP(E2864,Assumptions!$G$5:$H$16,2,0),"Other"))</f>
        <v/>
      </c>
      <c r="J2864" s="41" t="str">
        <f aca="false">IF(G2864="","",IFERROR(IF(ISNUMBER(SEARCH(Assumptions!$C$5,G2864)),Assumptions!$D$5,IF(ISNUMBER(SEARCH(Assumptions!$C$6,G2864)),Assumptions!$D$6,IF(ISNUMBER(SEARCH(Assumptions!$C$7,G2864)),Assumptions!$D$7,"Other Services"))),"Other Services"))</f>
        <v/>
      </c>
    </row>
    <row r="2865" customFormat="false" ht="15" hidden="false" customHeight="false" outlineLevel="0" collapsed="false">
      <c r="F2865" s="41" t="str">
        <f aca="false">IF(E2865="","",IFERROR(VLOOKUP(E2865,Assumptions!$G$5:$H$16,2,0),"Other"))</f>
        <v/>
      </c>
      <c r="J2865" s="41" t="str">
        <f aca="false">IF(G2865="","",IFERROR(IF(ISNUMBER(SEARCH(Assumptions!$C$5,G2865)),Assumptions!$D$5,IF(ISNUMBER(SEARCH(Assumptions!$C$6,G2865)),Assumptions!$D$6,IF(ISNUMBER(SEARCH(Assumptions!$C$7,G2865)),Assumptions!$D$7,"Other Services"))),"Other Services"))</f>
        <v/>
      </c>
    </row>
    <row r="2866" customFormat="false" ht="15" hidden="false" customHeight="false" outlineLevel="0" collapsed="false">
      <c r="F2866" s="41" t="str">
        <f aca="false">IF(E2866="","",IFERROR(VLOOKUP(E2866,Assumptions!$G$5:$H$16,2,0),"Other"))</f>
        <v/>
      </c>
      <c r="J2866" s="41" t="str">
        <f aca="false">IF(G2866="","",IFERROR(IF(ISNUMBER(SEARCH(Assumptions!$C$5,G2866)),Assumptions!$D$5,IF(ISNUMBER(SEARCH(Assumptions!$C$6,G2866)),Assumptions!$D$6,IF(ISNUMBER(SEARCH(Assumptions!$C$7,G2866)),Assumptions!$D$7,"Other Services"))),"Other Services"))</f>
        <v/>
      </c>
    </row>
    <row r="2867" customFormat="false" ht="15" hidden="false" customHeight="false" outlineLevel="0" collapsed="false">
      <c r="F2867" s="41" t="str">
        <f aca="false">IF(E2867="","",IFERROR(VLOOKUP(E2867,Assumptions!$G$5:$H$16,2,0),"Other"))</f>
        <v/>
      </c>
      <c r="J2867" s="41" t="str">
        <f aca="false">IF(G2867="","",IFERROR(IF(ISNUMBER(SEARCH(Assumptions!$C$5,G2867)),Assumptions!$D$5,IF(ISNUMBER(SEARCH(Assumptions!$C$6,G2867)),Assumptions!$D$6,IF(ISNUMBER(SEARCH(Assumptions!$C$7,G2867)),Assumptions!$D$7,"Other Services"))),"Other Services"))</f>
        <v/>
      </c>
    </row>
    <row r="2868" customFormat="false" ht="15" hidden="false" customHeight="false" outlineLevel="0" collapsed="false">
      <c r="F2868" s="41" t="str">
        <f aca="false">IF(E2868="","",IFERROR(VLOOKUP(E2868,Assumptions!$G$5:$H$16,2,0),"Other"))</f>
        <v/>
      </c>
      <c r="J2868" s="41" t="str">
        <f aca="false">IF(G2868="","",IFERROR(IF(ISNUMBER(SEARCH(Assumptions!$C$5,G2868)),Assumptions!$D$5,IF(ISNUMBER(SEARCH(Assumptions!$C$6,G2868)),Assumptions!$D$6,IF(ISNUMBER(SEARCH(Assumptions!$C$7,G2868)),Assumptions!$D$7,"Other Services"))),"Other Services"))</f>
        <v/>
      </c>
    </row>
    <row r="2869" customFormat="false" ht="15" hidden="false" customHeight="false" outlineLevel="0" collapsed="false">
      <c r="F2869" s="41" t="str">
        <f aca="false">IF(E2869="","",IFERROR(VLOOKUP(E2869,Assumptions!$G$5:$H$16,2,0),"Other"))</f>
        <v/>
      </c>
      <c r="J2869" s="41" t="str">
        <f aca="false">IF(G2869="","",IFERROR(IF(ISNUMBER(SEARCH(Assumptions!$C$5,G2869)),Assumptions!$D$5,IF(ISNUMBER(SEARCH(Assumptions!$C$6,G2869)),Assumptions!$D$6,IF(ISNUMBER(SEARCH(Assumptions!$C$7,G2869)),Assumptions!$D$7,"Other Services"))),"Other Services"))</f>
        <v/>
      </c>
    </row>
    <row r="2870" customFormat="false" ht="15" hidden="false" customHeight="false" outlineLevel="0" collapsed="false">
      <c r="F2870" s="41" t="str">
        <f aca="false">IF(E2870="","",IFERROR(VLOOKUP(E2870,Assumptions!$G$5:$H$16,2,0),"Other"))</f>
        <v/>
      </c>
      <c r="J2870" s="41" t="str">
        <f aca="false">IF(G2870="","",IFERROR(IF(ISNUMBER(SEARCH(Assumptions!$C$5,G2870)),Assumptions!$D$5,IF(ISNUMBER(SEARCH(Assumptions!$C$6,G2870)),Assumptions!$D$6,IF(ISNUMBER(SEARCH(Assumptions!$C$7,G2870)),Assumptions!$D$7,"Other Services"))),"Other Services"))</f>
        <v/>
      </c>
    </row>
    <row r="2871" customFormat="false" ht="15" hidden="false" customHeight="false" outlineLevel="0" collapsed="false">
      <c r="F2871" s="41" t="str">
        <f aca="false">IF(E2871="","",IFERROR(VLOOKUP(E2871,Assumptions!$G$5:$H$16,2,0),"Other"))</f>
        <v/>
      </c>
      <c r="J2871" s="41" t="str">
        <f aca="false">IF(G2871="","",IFERROR(IF(ISNUMBER(SEARCH(Assumptions!$C$5,G2871)),Assumptions!$D$5,IF(ISNUMBER(SEARCH(Assumptions!$C$6,G2871)),Assumptions!$D$6,IF(ISNUMBER(SEARCH(Assumptions!$C$7,G2871)),Assumptions!$D$7,"Other Services"))),"Other Services"))</f>
        <v/>
      </c>
    </row>
    <row r="2872" customFormat="false" ht="15" hidden="false" customHeight="false" outlineLevel="0" collapsed="false">
      <c r="F2872" s="41" t="str">
        <f aca="false">IF(E2872="","",IFERROR(VLOOKUP(E2872,Assumptions!$G$5:$H$16,2,0),"Other"))</f>
        <v/>
      </c>
      <c r="J2872" s="41" t="str">
        <f aca="false">IF(G2872="","",IFERROR(IF(ISNUMBER(SEARCH(Assumptions!$C$5,G2872)),Assumptions!$D$5,IF(ISNUMBER(SEARCH(Assumptions!$C$6,G2872)),Assumptions!$D$6,IF(ISNUMBER(SEARCH(Assumptions!$C$7,G2872)),Assumptions!$D$7,"Other Services"))),"Other Services"))</f>
        <v/>
      </c>
    </row>
    <row r="2873" customFormat="false" ht="15" hidden="false" customHeight="false" outlineLevel="0" collapsed="false">
      <c r="F2873" s="41" t="str">
        <f aca="false">IF(E2873="","",IFERROR(VLOOKUP(E2873,Assumptions!$G$5:$H$16,2,0),"Other"))</f>
        <v/>
      </c>
      <c r="J2873" s="41" t="str">
        <f aca="false">IF(G2873="","",IFERROR(IF(ISNUMBER(SEARCH(Assumptions!$C$5,G2873)),Assumptions!$D$5,IF(ISNUMBER(SEARCH(Assumptions!$C$6,G2873)),Assumptions!$D$6,IF(ISNUMBER(SEARCH(Assumptions!$C$7,G2873)),Assumptions!$D$7,"Other Services"))),"Other Services"))</f>
        <v/>
      </c>
    </row>
    <row r="2874" customFormat="false" ht="15" hidden="false" customHeight="false" outlineLevel="0" collapsed="false">
      <c r="F2874" s="41" t="str">
        <f aca="false">IF(E2874="","",IFERROR(VLOOKUP(E2874,Assumptions!$G$5:$H$16,2,0),"Other"))</f>
        <v/>
      </c>
      <c r="J2874" s="41" t="str">
        <f aca="false">IF(G2874="","",IFERROR(IF(ISNUMBER(SEARCH(Assumptions!$C$5,G2874)),Assumptions!$D$5,IF(ISNUMBER(SEARCH(Assumptions!$C$6,G2874)),Assumptions!$D$6,IF(ISNUMBER(SEARCH(Assumptions!$C$7,G2874)),Assumptions!$D$7,"Other Services"))),"Other Services"))</f>
        <v/>
      </c>
    </row>
    <row r="2875" customFormat="false" ht="15" hidden="false" customHeight="false" outlineLevel="0" collapsed="false">
      <c r="F2875" s="41" t="str">
        <f aca="false">IF(E2875="","",IFERROR(VLOOKUP(E2875,Assumptions!$G$5:$H$16,2,0),"Other"))</f>
        <v/>
      </c>
      <c r="J2875" s="41" t="str">
        <f aca="false">IF(G2875="","",IFERROR(IF(ISNUMBER(SEARCH(Assumptions!$C$5,G2875)),Assumptions!$D$5,IF(ISNUMBER(SEARCH(Assumptions!$C$6,G2875)),Assumptions!$D$6,IF(ISNUMBER(SEARCH(Assumptions!$C$7,G2875)),Assumptions!$D$7,"Other Services"))),"Other Services"))</f>
        <v/>
      </c>
    </row>
    <row r="2876" customFormat="false" ht="15" hidden="false" customHeight="false" outlineLevel="0" collapsed="false">
      <c r="F2876" s="41" t="str">
        <f aca="false">IF(E2876="","",IFERROR(VLOOKUP(E2876,Assumptions!$G$5:$H$16,2,0),"Other"))</f>
        <v/>
      </c>
      <c r="J2876" s="41" t="str">
        <f aca="false">IF(G2876="","",IFERROR(IF(ISNUMBER(SEARCH(Assumptions!$C$5,G2876)),Assumptions!$D$5,IF(ISNUMBER(SEARCH(Assumptions!$C$6,G2876)),Assumptions!$D$6,IF(ISNUMBER(SEARCH(Assumptions!$C$7,G2876)),Assumptions!$D$7,"Other Services"))),"Other Services"))</f>
        <v/>
      </c>
    </row>
    <row r="2877" customFormat="false" ht="15" hidden="false" customHeight="false" outlineLevel="0" collapsed="false">
      <c r="F2877" s="41" t="str">
        <f aca="false">IF(E2877="","",IFERROR(VLOOKUP(E2877,Assumptions!$G$5:$H$16,2,0),"Other"))</f>
        <v/>
      </c>
      <c r="J2877" s="41" t="str">
        <f aca="false">IF(G2877="","",IFERROR(IF(ISNUMBER(SEARCH(Assumptions!$C$5,G2877)),Assumptions!$D$5,IF(ISNUMBER(SEARCH(Assumptions!$C$6,G2877)),Assumptions!$D$6,IF(ISNUMBER(SEARCH(Assumptions!$C$7,G2877)),Assumptions!$D$7,"Other Services"))),"Other Services"))</f>
        <v/>
      </c>
    </row>
    <row r="2878" customFormat="false" ht="15" hidden="false" customHeight="false" outlineLevel="0" collapsed="false">
      <c r="F2878" s="41" t="str">
        <f aca="false">IF(E2878="","",IFERROR(VLOOKUP(E2878,Assumptions!$G$5:$H$16,2,0),"Other"))</f>
        <v/>
      </c>
      <c r="J2878" s="41" t="str">
        <f aca="false">IF(G2878="","",IFERROR(IF(ISNUMBER(SEARCH(Assumptions!$C$5,G2878)),Assumptions!$D$5,IF(ISNUMBER(SEARCH(Assumptions!$C$6,G2878)),Assumptions!$D$6,IF(ISNUMBER(SEARCH(Assumptions!$C$7,G2878)),Assumptions!$D$7,"Other Services"))),"Other Services"))</f>
        <v/>
      </c>
    </row>
    <row r="2879" customFormat="false" ht="15" hidden="false" customHeight="false" outlineLevel="0" collapsed="false">
      <c r="F2879" s="41" t="str">
        <f aca="false">IF(E2879="","",IFERROR(VLOOKUP(E2879,Assumptions!$G$5:$H$16,2,0),"Other"))</f>
        <v/>
      </c>
      <c r="J2879" s="41" t="str">
        <f aca="false">IF(G2879="","",IFERROR(IF(ISNUMBER(SEARCH(Assumptions!$C$5,G2879)),Assumptions!$D$5,IF(ISNUMBER(SEARCH(Assumptions!$C$6,G2879)),Assumptions!$D$6,IF(ISNUMBER(SEARCH(Assumptions!$C$7,G2879)),Assumptions!$D$7,"Other Services"))),"Other Services"))</f>
        <v/>
      </c>
    </row>
    <row r="2880" customFormat="false" ht="15" hidden="false" customHeight="false" outlineLevel="0" collapsed="false">
      <c r="F2880" s="41" t="str">
        <f aca="false">IF(E2880="","",IFERROR(VLOOKUP(E2880,Assumptions!$G$5:$H$16,2,0),"Other"))</f>
        <v/>
      </c>
      <c r="J2880" s="41" t="str">
        <f aca="false">IF(G2880="","",IFERROR(IF(ISNUMBER(SEARCH(Assumptions!$C$5,G2880)),Assumptions!$D$5,IF(ISNUMBER(SEARCH(Assumptions!$C$6,G2880)),Assumptions!$D$6,IF(ISNUMBER(SEARCH(Assumptions!$C$7,G2880)),Assumptions!$D$7,"Other Services"))),"Other Services"))</f>
        <v/>
      </c>
    </row>
    <row r="2881" customFormat="false" ht="15" hidden="false" customHeight="false" outlineLevel="0" collapsed="false">
      <c r="F2881" s="41" t="str">
        <f aca="false">IF(E2881="","",IFERROR(VLOOKUP(E2881,Assumptions!$G$5:$H$16,2,0),"Other"))</f>
        <v/>
      </c>
      <c r="J2881" s="41" t="str">
        <f aca="false">IF(G2881="","",IFERROR(IF(ISNUMBER(SEARCH(Assumptions!$C$5,G2881)),Assumptions!$D$5,IF(ISNUMBER(SEARCH(Assumptions!$C$6,G2881)),Assumptions!$D$6,IF(ISNUMBER(SEARCH(Assumptions!$C$7,G2881)),Assumptions!$D$7,"Other Services"))),"Other Services"))</f>
        <v/>
      </c>
    </row>
    <row r="2882" customFormat="false" ht="15" hidden="false" customHeight="false" outlineLevel="0" collapsed="false">
      <c r="F2882" s="41" t="str">
        <f aca="false">IF(E2882="","",IFERROR(VLOOKUP(E2882,Assumptions!$G$5:$H$16,2,0),"Other"))</f>
        <v/>
      </c>
      <c r="J2882" s="41" t="str">
        <f aca="false">IF(G2882="","",IFERROR(IF(ISNUMBER(SEARCH(Assumptions!$C$5,G2882)),Assumptions!$D$5,IF(ISNUMBER(SEARCH(Assumptions!$C$6,G2882)),Assumptions!$D$6,IF(ISNUMBER(SEARCH(Assumptions!$C$7,G2882)),Assumptions!$D$7,"Other Services"))),"Other Services"))</f>
        <v/>
      </c>
    </row>
    <row r="2883" customFormat="false" ht="15" hidden="false" customHeight="false" outlineLevel="0" collapsed="false">
      <c r="F2883" s="41" t="str">
        <f aca="false">IF(E2883="","",IFERROR(VLOOKUP(E2883,Assumptions!$G$5:$H$16,2,0),"Other"))</f>
        <v/>
      </c>
      <c r="J2883" s="41" t="str">
        <f aca="false">IF(G2883="","",IFERROR(IF(ISNUMBER(SEARCH(Assumptions!$C$5,G2883)),Assumptions!$D$5,IF(ISNUMBER(SEARCH(Assumptions!$C$6,G2883)),Assumptions!$D$6,IF(ISNUMBER(SEARCH(Assumptions!$C$7,G2883)),Assumptions!$D$7,"Other Services"))),"Other Services"))</f>
        <v/>
      </c>
    </row>
    <row r="2884" customFormat="false" ht="15" hidden="false" customHeight="false" outlineLevel="0" collapsed="false">
      <c r="F2884" s="41" t="str">
        <f aca="false">IF(E2884="","",IFERROR(VLOOKUP(E2884,Assumptions!$G$5:$H$16,2,0),"Other"))</f>
        <v/>
      </c>
      <c r="J2884" s="41" t="str">
        <f aca="false">IF(G2884="","",IFERROR(IF(ISNUMBER(SEARCH(Assumptions!$C$5,G2884)),Assumptions!$D$5,IF(ISNUMBER(SEARCH(Assumptions!$C$6,G2884)),Assumptions!$D$6,IF(ISNUMBER(SEARCH(Assumptions!$C$7,G2884)),Assumptions!$D$7,"Other Services"))),"Other Services"))</f>
        <v/>
      </c>
    </row>
    <row r="2885" customFormat="false" ht="15" hidden="false" customHeight="false" outlineLevel="0" collapsed="false">
      <c r="F2885" s="41" t="str">
        <f aca="false">IF(E2885="","",IFERROR(VLOOKUP(E2885,Assumptions!$G$5:$H$16,2,0),"Other"))</f>
        <v/>
      </c>
      <c r="J2885" s="41" t="str">
        <f aca="false">IF(G2885="","",IFERROR(IF(ISNUMBER(SEARCH(Assumptions!$C$5,G2885)),Assumptions!$D$5,IF(ISNUMBER(SEARCH(Assumptions!$C$6,G2885)),Assumptions!$D$6,IF(ISNUMBER(SEARCH(Assumptions!$C$7,G2885)),Assumptions!$D$7,"Other Services"))),"Other Services"))</f>
        <v/>
      </c>
    </row>
    <row r="2886" customFormat="false" ht="15" hidden="false" customHeight="false" outlineLevel="0" collapsed="false">
      <c r="F2886" s="41" t="str">
        <f aca="false">IF(E2886="","",IFERROR(VLOOKUP(E2886,Assumptions!$G$5:$H$16,2,0),"Other"))</f>
        <v/>
      </c>
      <c r="J2886" s="41" t="str">
        <f aca="false">IF(G2886="","",IFERROR(IF(ISNUMBER(SEARCH(Assumptions!$C$5,G2886)),Assumptions!$D$5,IF(ISNUMBER(SEARCH(Assumptions!$C$6,G2886)),Assumptions!$D$6,IF(ISNUMBER(SEARCH(Assumptions!$C$7,G2886)),Assumptions!$D$7,"Other Services"))),"Other Services"))</f>
        <v/>
      </c>
    </row>
    <row r="2887" customFormat="false" ht="15" hidden="false" customHeight="false" outlineLevel="0" collapsed="false">
      <c r="F2887" s="41" t="str">
        <f aca="false">IF(E2887="","",IFERROR(VLOOKUP(E2887,Assumptions!$G$5:$H$16,2,0),"Other"))</f>
        <v/>
      </c>
      <c r="J2887" s="41" t="str">
        <f aca="false">IF(G2887="","",IFERROR(IF(ISNUMBER(SEARCH(Assumptions!$C$5,G2887)),Assumptions!$D$5,IF(ISNUMBER(SEARCH(Assumptions!$C$6,G2887)),Assumptions!$D$6,IF(ISNUMBER(SEARCH(Assumptions!$C$7,G2887)),Assumptions!$D$7,"Other Services"))),"Other Services"))</f>
        <v/>
      </c>
    </row>
    <row r="2888" customFormat="false" ht="15" hidden="false" customHeight="false" outlineLevel="0" collapsed="false">
      <c r="F2888" s="41" t="str">
        <f aca="false">IF(E2888="","",IFERROR(VLOOKUP(E2888,Assumptions!$G$5:$H$16,2,0),"Other"))</f>
        <v/>
      </c>
      <c r="J2888" s="41" t="str">
        <f aca="false">IF(G2888="","",IFERROR(IF(ISNUMBER(SEARCH(Assumptions!$C$5,G2888)),Assumptions!$D$5,IF(ISNUMBER(SEARCH(Assumptions!$C$6,G2888)),Assumptions!$D$6,IF(ISNUMBER(SEARCH(Assumptions!$C$7,G2888)),Assumptions!$D$7,"Other Services"))),"Other Services"))</f>
        <v/>
      </c>
    </row>
    <row r="2889" customFormat="false" ht="15" hidden="false" customHeight="false" outlineLevel="0" collapsed="false">
      <c r="F2889" s="41" t="str">
        <f aca="false">IF(E2889="","",IFERROR(VLOOKUP(E2889,Assumptions!$G$5:$H$16,2,0),"Other"))</f>
        <v/>
      </c>
      <c r="J2889" s="41" t="str">
        <f aca="false">IF(G2889="","",IFERROR(IF(ISNUMBER(SEARCH(Assumptions!$C$5,G2889)),Assumptions!$D$5,IF(ISNUMBER(SEARCH(Assumptions!$C$6,G2889)),Assumptions!$D$6,IF(ISNUMBER(SEARCH(Assumptions!$C$7,G2889)),Assumptions!$D$7,"Other Services"))),"Other Services"))</f>
        <v/>
      </c>
    </row>
    <row r="2890" customFormat="false" ht="15" hidden="false" customHeight="false" outlineLevel="0" collapsed="false">
      <c r="F2890" s="41" t="str">
        <f aca="false">IF(E2890="","",IFERROR(VLOOKUP(E2890,Assumptions!$G$5:$H$16,2,0),"Other"))</f>
        <v/>
      </c>
      <c r="J2890" s="41" t="str">
        <f aca="false">IF(G2890="","",IFERROR(IF(ISNUMBER(SEARCH(Assumptions!$C$5,G2890)),Assumptions!$D$5,IF(ISNUMBER(SEARCH(Assumptions!$C$6,G2890)),Assumptions!$D$6,IF(ISNUMBER(SEARCH(Assumptions!$C$7,G2890)),Assumptions!$D$7,"Other Services"))),"Other Services"))</f>
        <v/>
      </c>
    </row>
    <row r="2891" customFormat="false" ht="15" hidden="false" customHeight="false" outlineLevel="0" collapsed="false">
      <c r="F2891" s="41" t="str">
        <f aca="false">IF(E2891="","",IFERROR(VLOOKUP(E2891,Assumptions!$G$5:$H$16,2,0),"Other"))</f>
        <v/>
      </c>
      <c r="J2891" s="41" t="str">
        <f aca="false">IF(G2891="","",IFERROR(IF(ISNUMBER(SEARCH(Assumptions!$C$5,G2891)),Assumptions!$D$5,IF(ISNUMBER(SEARCH(Assumptions!$C$6,G2891)),Assumptions!$D$6,IF(ISNUMBER(SEARCH(Assumptions!$C$7,G2891)),Assumptions!$D$7,"Other Services"))),"Other Services"))</f>
        <v/>
      </c>
    </row>
    <row r="2892" customFormat="false" ht="15" hidden="false" customHeight="false" outlineLevel="0" collapsed="false">
      <c r="F2892" s="41" t="str">
        <f aca="false">IF(E2892="","",IFERROR(VLOOKUP(E2892,Assumptions!$G$5:$H$16,2,0),"Other"))</f>
        <v/>
      </c>
      <c r="J2892" s="41" t="str">
        <f aca="false">IF(G2892="","",IFERROR(IF(ISNUMBER(SEARCH(Assumptions!$C$5,G2892)),Assumptions!$D$5,IF(ISNUMBER(SEARCH(Assumptions!$C$6,G2892)),Assumptions!$D$6,IF(ISNUMBER(SEARCH(Assumptions!$C$7,G2892)),Assumptions!$D$7,"Other Services"))),"Other Services"))</f>
        <v/>
      </c>
    </row>
    <row r="2893" customFormat="false" ht="15" hidden="false" customHeight="false" outlineLevel="0" collapsed="false">
      <c r="F2893" s="41" t="str">
        <f aca="false">IF(E2893="","",IFERROR(VLOOKUP(E2893,Assumptions!$G$5:$H$16,2,0),"Other"))</f>
        <v/>
      </c>
      <c r="J2893" s="41" t="str">
        <f aca="false">IF(G2893="","",IFERROR(IF(ISNUMBER(SEARCH(Assumptions!$C$5,G2893)),Assumptions!$D$5,IF(ISNUMBER(SEARCH(Assumptions!$C$6,G2893)),Assumptions!$D$6,IF(ISNUMBER(SEARCH(Assumptions!$C$7,G2893)),Assumptions!$D$7,"Other Services"))),"Other Services"))</f>
        <v/>
      </c>
    </row>
    <row r="2894" customFormat="false" ht="15" hidden="false" customHeight="false" outlineLevel="0" collapsed="false">
      <c r="F2894" s="41" t="str">
        <f aca="false">IF(E2894="","",IFERROR(VLOOKUP(E2894,Assumptions!$G$5:$H$16,2,0),"Other"))</f>
        <v/>
      </c>
      <c r="J2894" s="41" t="str">
        <f aca="false">IF(G2894="","",IFERROR(IF(ISNUMBER(SEARCH(Assumptions!$C$5,G2894)),Assumptions!$D$5,IF(ISNUMBER(SEARCH(Assumptions!$C$6,G2894)),Assumptions!$D$6,IF(ISNUMBER(SEARCH(Assumptions!$C$7,G2894)),Assumptions!$D$7,"Other Services"))),"Other Services"))</f>
        <v/>
      </c>
    </row>
    <row r="2895" customFormat="false" ht="15" hidden="false" customHeight="false" outlineLevel="0" collapsed="false">
      <c r="F2895" s="41" t="str">
        <f aca="false">IF(E2895="","",IFERROR(VLOOKUP(E2895,Assumptions!$G$5:$H$16,2,0),"Other"))</f>
        <v/>
      </c>
      <c r="J2895" s="41" t="str">
        <f aca="false">IF(G2895="","",IFERROR(IF(ISNUMBER(SEARCH(Assumptions!$C$5,G2895)),Assumptions!$D$5,IF(ISNUMBER(SEARCH(Assumptions!$C$6,G2895)),Assumptions!$D$6,IF(ISNUMBER(SEARCH(Assumptions!$C$7,G2895)),Assumptions!$D$7,"Other Services"))),"Other Services"))</f>
        <v/>
      </c>
    </row>
    <row r="2896" customFormat="false" ht="15" hidden="false" customHeight="false" outlineLevel="0" collapsed="false">
      <c r="F2896" s="41" t="str">
        <f aca="false">IF(E2896="","",IFERROR(VLOOKUP(E2896,Assumptions!$G$5:$H$16,2,0),"Other"))</f>
        <v/>
      </c>
      <c r="J2896" s="41" t="str">
        <f aca="false">IF(G2896="","",IFERROR(IF(ISNUMBER(SEARCH(Assumptions!$C$5,G2896)),Assumptions!$D$5,IF(ISNUMBER(SEARCH(Assumptions!$C$6,G2896)),Assumptions!$D$6,IF(ISNUMBER(SEARCH(Assumptions!$C$7,G2896)),Assumptions!$D$7,"Other Services"))),"Other Services"))</f>
        <v/>
      </c>
    </row>
    <row r="2897" customFormat="false" ht="15" hidden="false" customHeight="false" outlineLevel="0" collapsed="false">
      <c r="F2897" s="41" t="str">
        <f aca="false">IF(E2897="","",IFERROR(VLOOKUP(E2897,Assumptions!$G$5:$H$16,2,0),"Other"))</f>
        <v/>
      </c>
      <c r="J2897" s="41" t="str">
        <f aca="false">IF(G2897="","",IFERROR(IF(ISNUMBER(SEARCH(Assumptions!$C$5,G2897)),Assumptions!$D$5,IF(ISNUMBER(SEARCH(Assumptions!$C$6,G2897)),Assumptions!$D$6,IF(ISNUMBER(SEARCH(Assumptions!$C$7,G2897)),Assumptions!$D$7,"Other Services"))),"Other Services"))</f>
        <v/>
      </c>
    </row>
    <row r="2898" customFormat="false" ht="15" hidden="false" customHeight="false" outlineLevel="0" collapsed="false">
      <c r="F2898" s="41" t="str">
        <f aca="false">IF(E2898="","",IFERROR(VLOOKUP(E2898,Assumptions!$G$5:$H$16,2,0),"Other"))</f>
        <v/>
      </c>
      <c r="J2898" s="41" t="str">
        <f aca="false">IF(G2898="","",IFERROR(IF(ISNUMBER(SEARCH(Assumptions!$C$5,G2898)),Assumptions!$D$5,IF(ISNUMBER(SEARCH(Assumptions!$C$6,G2898)),Assumptions!$D$6,IF(ISNUMBER(SEARCH(Assumptions!$C$7,G2898)),Assumptions!$D$7,"Other Services"))),"Other Services"))</f>
        <v/>
      </c>
    </row>
    <row r="2899" customFormat="false" ht="15" hidden="false" customHeight="false" outlineLevel="0" collapsed="false">
      <c r="F2899" s="41" t="str">
        <f aca="false">IF(E2899="","",IFERROR(VLOOKUP(E2899,Assumptions!$G$5:$H$16,2,0),"Other"))</f>
        <v/>
      </c>
      <c r="J2899" s="41" t="str">
        <f aca="false">IF(G2899="","",IFERROR(IF(ISNUMBER(SEARCH(Assumptions!$C$5,G2899)),Assumptions!$D$5,IF(ISNUMBER(SEARCH(Assumptions!$C$6,G2899)),Assumptions!$D$6,IF(ISNUMBER(SEARCH(Assumptions!$C$7,G2899)),Assumptions!$D$7,"Other Services"))),"Other Services"))</f>
        <v/>
      </c>
    </row>
    <row r="2900" customFormat="false" ht="15" hidden="false" customHeight="false" outlineLevel="0" collapsed="false">
      <c r="F2900" s="41" t="str">
        <f aca="false">IF(E2900="","",IFERROR(VLOOKUP(E2900,Assumptions!$G$5:$H$16,2,0),"Other"))</f>
        <v/>
      </c>
      <c r="J2900" s="41" t="str">
        <f aca="false">IF(G2900="","",IFERROR(IF(ISNUMBER(SEARCH(Assumptions!$C$5,G2900)),Assumptions!$D$5,IF(ISNUMBER(SEARCH(Assumptions!$C$6,G2900)),Assumptions!$D$6,IF(ISNUMBER(SEARCH(Assumptions!$C$7,G2900)),Assumptions!$D$7,"Other Services"))),"Other Services"))</f>
        <v/>
      </c>
    </row>
    <row r="2901" customFormat="false" ht="15" hidden="false" customHeight="false" outlineLevel="0" collapsed="false">
      <c r="F2901" s="41" t="str">
        <f aca="false">IF(E2901="","",IFERROR(VLOOKUP(E2901,Assumptions!$G$5:$H$16,2,0),"Other"))</f>
        <v/>
      </c>
      <c r="J2901" s="41" t="str">
        <f aca="false">IF(G2901="","",IFERROR(IF(ISNUMBER(SEARCH(Assumptions!$C$5,G2901)),Assumptions!$D$5,IF(ISNUMBER(SEARCH(Assumptions!$C$6,G2901)),Assumptions!$D$6,IF(ISNUMBER(SEARCH(Assumptions!$C$7,G2901)),Assumptions!$D$7,"Other Services"))),"Other Services"))</f>
        <v/>
      </c>
    </row>
    <row r="2902" customFormat="false" ht="15" hidden="false" customHeight="false" outlineLevel="0" collapsed="false">
      <c r="F2902" s="41" t="str">
        <f aca="false">IF(E2902="","",IFERROR(VLOOKUP(E2902,Assumptions!$G$5:$H$16,2,0),"Other"))</f>
        <v/>
      </c>
      <c r="J2902" s="41" t="str">
        <f aca="false">IF(G2902="","",IFERROR(IF(ISNUMBER(SEARCH(Assumptions!$C$5,G2902)),Assumptions!$D$5,IF(ISNUMBER(SEARCH(Assumptions!$C$6,G2902)),Assumptions!$D$6,IF(ISNUMBER(SEARCH(Assumptions!$C$7,G2902)),Assumptions!$D$7,"Other Services"))),"Other Services"))</f>
        <v/>
      </c>
    </row>
    <row r="2903" customFormat="false" ht="15" hidden="false" customHeight="false" outlineLevel="0" collapsed="false">
      <c r="F2903" s="41" t="str">
        <f aca="false">IF(E2903="","",IFERROR(VLOOKUP(E2903,Assumptions!$G$5:$H$16,2,0),"Other"))</f>
        <v/>
      </c>
      <c r="J2903" s="41" t="str">
        <f aca="false">IF(G2903="","",IFERROR(IF(ISNUMBER(SEARCH(Assumptions!$C$5,G2903)),Assumptions!$D$5,IF(ISNUMBER(SEARCH(Assumptions!$C$6,G2903)),Assumptions!$D$6,IF(ISNUMBER(SEARCH(Assumptions!$C$7,G2903)),Assumptions!$D$7,"Other Services"))),"Other Services"))</f>
        <v/>
      </c>
    </row>
    <row r="2904" customFormat="false" ht="15" hidden="false" customHeight="false" outlineLevel="0" collapsed="false">
      <c r="F2904" s="41" t="str">
        <f aca="false">IF(E2904="","",IFERROR(VLOOKUP(E2904,Assumptions!$G$5:$H$16,2,0),"Other"))</f>
        <v/>
      </c>
      <c r="J2904" s="41" t="str">
        <f aca="false">IF(G2904="","",IFERROR(IF(ISNUMBER(SEARCH(Assumptions!$C$5,G2904)),Assumptions!$D$5,IF(ISNUMBER(SEARCH(Assumptions!$C$6,G2904)),Assumptions!$D$6,IF(ISNUMBER(SEARCH(Assumptions!$C$7,G2904)),Assumptions!$D$7,"Other Services"))),"Other Services"))</f>
        <v/>
      </c>
    </row>
    <row r="2905" customFormat="false" ht="15" hidden="false" customHeight="false" outlineLevel="0" collapsed="false">
      <c r="F2905" s="41" t="str">
        <f aca="false">IF(E2905="","",IFERROR(VLOOKUP(E2905,Assumptions!$G$5:$H$16,2,0),"Other"))</f>
        <v/>
      </c>
      <c r="J2905" s="41" t="str">
        <f aca="false">IF(G2905="","",IFERROR(IF(ISNUMBER(SEARCH(Assumptions!$C$5,G2905)),Assumptions!$D$5,IF(ISNUMBER(SEARCH(Assumptions!$C$6,G2905)),Assumptions!$D$6,IF(ISNUMBER(SEARCH(Assumptions!$C$7,G2905)),Assumptions!$D$7,"Other Services"))),"Other Services"))</f>
        <v/>
      </c>
    </row>
    <row r="2906" customFormat="false" ht="15" hidden="false" customHeight="false" outlineLevel="0" collapsed="false">
      <c r="F2906" s="41" t="str">
        <f aca="false">IF(E2906="","",IFERROR(VLOOKUP(E2906,Assumptions!$G$5:$H$16,2,0),"Other"))</f>
        <v/>
      </c>
      <c r="J2906" s="41" t="str">
        <f aca="false">IF(G2906="","",IFERROR(IF(ISNUMBER(SEARCH(Assumptions!$C$5,G2906)),Assumptions!$D$5,IF(ISNUMBER(SEARCH(Assumptions!$C$6,G2906)),Assumptions!$D$6,IF(ISNUMBER(SEARCH(Assumptions!$C$7,G2906)),Assumptions!$D$7,"Other Services"))),"Other Services"))</f>
        <v/>
      </c>
    </row>
    <row r="2907" customFormat="false" ht="15" hidden="false" customHeight="false" outlineLevel="0" collapsed="false">
      <c r="F2907" s="41" t="str">
        <f aca="false">IF(E2907="","",IFERROR(VLOOKUP(E2907,Assumptions!$G$5:$H$16,2,0),"Other"))</f>
        <v/>
      </c>
      <c r="J2907" s="41" t="str">
        <f aca="false">IF(G2907="","",IFERROR(IF(ISNUMBER(SEARCH(Assumptions!$C$5,G2907)),Assumptions!$D$5,IF(ISNUMBER(SEARCH(Assumptions!$C$6,G2907)),Assumptions!$D$6,IF(ISNUMBER(SEARCH(Assumptions!$C$7,G2907)),Assumptions!$D$7,"Other Services"))),"Other Services"))</f>
        <v/>
      </c>
    </row>
    <row r="2908" customFormat="false" ht="15" hidden="false" customHeight="false" outlineLevel="0" collapsed="false">
      <c r="F2908" s="41" t="str">
        <f aca="false">IF(E2908="","",IFERROR(VLOOKUP(E2908,Assumptions!$G$5:$H$16,2,0),"Other"))</f>
        <v/>
      </c>
      <c r="J2908" s="41" t="str">
        <f aca="false">IF(G2908="","",IFERROR(IF(ISNUMBER(SEARCH(Assumptions!$C$5,G2908)),Assumptions!$D$5,IF(ISNUMBER(SEARCH(Assumptions!$C$6,G2908)),Assumptions!$D$6,IF(ISNUMBER(SEARCH(Assumptions!$C$7,G2908)),Assumptions!$D$7,"Other Services"))),"Other Services"))</f>
        <v/>
      </c>
    </row>
    <row r="2909" customFormat="false" ht="15" hidden="false" customHeight="false" outlineLevel="0" collapsed="false">
      <c r="F2909" s="41" t="str">
        <f aca="false">IF(E2909="","",IFERROR(VLOOKUP(E2909,Assumptions!$G$5:$H$16,2,0),"Other"))</f>
        <v/>
      </c>
      <c r="J2909" s="41" t="str">
        <f aca="false">IF(G2909="","",IFERROR(IF(ISNUMBER(SEARCH(Assumptions!$C$5,G2909)),Assumptions!$D$5,IF(ISNUMBER(SEARCH(Assumptions!$C$6,G2909)),Assumptions!$D$6,IF(ISNUMBER(SEARCH(Assumptions!$C$7,G2909)),Assumptions!$D$7,"Other Services"))),"Other Services"))</f>
        <v/>
      </c>
    </row>
    <row r="2910" customFormat="false" ht="15" hidden="false" customHeight="false" outlineLevel="0" collapsed="false">
      <c r="F2910" s="41" t="str">
        <f aca="false">IF(E2910="","",IFERROR(VLOOKUP(E2910,Assumptions!$G$5:$H$16,2,0),"Other"))</f>
        <v/>
      </c>
      <c r="J2910" s="41" t="str">
        <f aca="false">IF(G2910="","",IFERROR(IF(ISNUMBER(SEARCH(Assumptions!$C$5,G2910)),Assumptions!$D$5,IF(ISNUMBER(SEARCH(Assumptions!$C$6,G2910)),Assumptions!$D$6,IF(ISNUMBER(SEARCH(Assumptions!$C$7,G2910)),Assumptions!$D$7,"Other Services"))),"Other Services"))</f>
        <v/>
      </c>
    </row>
    <row r="2911" customFormat="false" ht="15" hidden="false" customHeight="false" outlineLevel="0" collapsed="false">
      <c r="F2911" s="41" t="str">
        <f aca="false">IF(E2911="","",IFERROR(VLOOKUP(E2911,Assumptions!$G$5:$H$16,2,0),"Other"))</f>
        <v/>
      </c>
      <c r="J2911" s="41" t="str">
        <f aca="false">IF(G2911="","",IFERROR(IF(ISNUMBER(SEARCH(Assumptions!$C$5,G2911)),Assumptions!$D$5,IF(ISNUMBER(SEARCH(Assumptions!$C$6,G2911)),Assumptions!$D$6,IF(ISNUMBER(SEARCH(Assumptions!$C$7,G2911)),Assumptions!$D$7,"Other Services"))),"Other Services"))</f>
        <v/>
      </c>
    </row>
    <row r="2912" customFormat="false" ht="15" hidden="false" customHeight="false" outlineLevel="0" collapsed="false">
      <c r="F2912" s="41" t="str">
        <f aca="false">IF(E2912="","",IFERROR(VLOOKUP(E2912,Assumptions!$G$5:$H$16,2,0),"Other"))</f>
        <v/>
      </c>
      <c r="J2912" s="41" t="str">
        <f aca="false">IF(G2912="","",IFERROR(IF(ISNUMBER(SEARCH(Assumptions!$C$5,G2912)),Assumptions!$D$5,IF(ISNUMBER(SEARCH(Assumptions!$C$6,G2912)),Assumptions!$D$6,IF(ISNUMBER(SEARCH(Assumptions!$C$7,G2912)),Assumptions!$D$7,"Other Services"))),"Other Services"))</f>
        <v/>
      </c>
    </row>
    <row r="2913" customFormat="false" ht="15" hidden="false" customHeight="false" outlineLevel="0" collapsed="false">
      <c r="F2913" s="41" t="str">
        <f aca="false">IF(E2913="","",IFERROR(VLOOKUP(E2913,Assumptions!$G$5:$H$16,2,0),"Other"))</f>
        <v/>
      </c>
      <c r="J2913" s="41" t="str">
        <f aca="false">IF(G2913="","",IFERROR(IF(ISNUMBER(SEARCH(Assumptions!$C$5,G2913)),Assumptions!$D$5,IF(ISNUMBER(SEARCH(Assumptions!$C$6,G2913)),Assumptions!$D$6,IF(ISNUMBER(SEARCH(Assumptions!$C$7,G2913)),Assumptions!$D$7,"Other Services"))),"Other Services"))</f>
        <v/>
      </c>
    </row>
    <row r="2914" customFormat="false" ht="15" hidden="false" customHeight="false" outlineLevel="0" collapsed="false">
      <c r="F2914" s="41" t="str">
        <f aca="false">IF(E2914="","",IFERROR(VLOOKUP(E2914,Assumptions!$G$5:$H$16,2,0),"Other"))</f>
        <v/>
      </c>
      <c r="J2914" s="41" t="str">
        <f aca="false">IF(G2914="","",IFERROR(IF(ISNUMBER(SEARCH(Assumptions!$C$5,G2914)),Assumptions!$D$5,IF(ISNUMBER(SEARCH(Assumptions!$C$6,G2914)),Assumptions!$D$6,IF(ISNUMBER(SEARCH(Assumptions!$C$7,G2914)),Assumptions!$D$7,"Other Services"))),"Other Services"))</f>
        <v/>
      </c>
    </row>
    <row r="2915" customFormat="false" ht="15" hidden="false" customHeight="false" outlineLevel="0" collapsed="false">
      <c r="F2915" s="41" t="str">
        <f aca="false">IF(E2915="","",IFERROR(VLOOKUP(E2915,Assumptions!$G$5:$H$16,2,0),"Other"))</f>
        <v/>
      </c>
      <c r="J2915" s="41" t="str">
        <f aca="false">IF(G2915="","",IFERROR(IF(ISNUMBER(SEARCH(Assumptions!$C$5,G2915)),Assumptions!$D$5,IF(ISNUMBER(SEARCH(Assumptions!$C$6,G2915)),Assumptions!$D$6,IF(ISNUMBER(SEARCH(Assumptions!$C$7,G2915)),Assumptions!$D$7,"Other Services"))),"Other Services"))</f>
        <v/>
      </c>
    </row>
    <row r="2916" customFormat="false" ht="15" hidden="false" customHeight="false" outlineLevel="0" collapsed="false">
      <c r="F2916" s="41" t="str">
        <f aca="false">IF(E2916="","",IFERROR(VLOOKUP(E2916,Assumptions!$G$5:$H$16,2,0),"Other"))</f>
        <v/>
      </c>
      <c r="J2916" s="41" t="str">
        <f aca="false">IF(G2916="","",IFERROR(IF(ISNUMBER(SEARCH(Assumptions!$C$5,G2916)),Assumptions!$D$5,IF(ISNUMBER(SEARCH(Assumptions!$C$6,G2916)),Assumptions!$D$6,IF(ISNUMBER(SEARCH(Assumptions!$C$7,G2916)),Assumptions!$D$7,"Other Services"))),"Other Services"))</f>
        <v/>
      </c>
    </row>
    <row r="2917" customFormat="false" ht="15" hidden="false" customHeight="false" outlineLevel="0" collapsed="false">
      <c r="F2917" s="41" t="str">
        <f aca="false">IF(E2917="","",IFERROR(VLOOKUP(E2917,Assumptions!$G$5:$H$16,2,0),"Other"))</f>
        <v/>
      </c>
      <c r="J2917" s="41" t="str">
        <f aca="false">IF(G2917="","",IFERROR(IF(ISNUMBER(SEARCH(Assumptions!$C$5,G2917)),Assumptions!$D$5,IF(ISNUMBER(SEARCH(Assumptions!$C$6,G2917)),Assumptions!$D$6,IF(ISNUMBER(SEARCH(Assumptions!$C$7,G2917)),Assumptions!$D$7,"Other Services"))),"Other Services"))</f>
        <v/>
      </c>
    </row>
    <row r="2918" customFormat="false" ht="15" hidden="false" customHeight="false" outlineLevel="0" collapsed="false">
      <c r="F2918" s="41" t="str">
        <f aca="false">IF(E2918="","",IFERROR(VLOOKUP(E2918,Assumptions!$G$5:$H$16,2,0),"Other"))</f>
        <v/>
      </c>
      <c r="J2918" s="41" t="str">
        <f aca="false">IF(G2918="","",IFERROR(IF(ISNUMBER(SEARCH(Assumptions!$C$5,G2918)),Assumptions!$D$5,IF(ISNUMBER(SEARCH(Assumptions!$C$6,G2918)),Assumptions!$D$6,IF(ISNUMBER(SEARCH(Assumptions!$C$7,G2918)),Assumptions!$D$7,"Other Services"))),"Other Services"))</f>
        <v/>
      </c>
    </row>
    <row r="2919" customFormat="false" ht="15" hidden="false" customHeight="false" outlineLevel="0" collapsed="false">
      <c r="F2919" s="41" t="str">
        <f aca="false">IF(E2919="","",IFERROR(VLOOKUP(E2919,Assumptions!$G$5:$H$16,2,0),"Other"))</f>
        <v/>
      </c>
      <c r="J2919" s="41" t="str">
        <f aca="false">IF(G2919="","",IFERROR(IF(ISNUMBER(SEARCH(Assumptions!$C$5,G2919)),Assumptions!$D$5,IF(ISNUMBER(SEARCH(Assumptions!$C$6,G2919)),Assumptions!$D$6,IF(ISNUMBER(SEARCH(Assumptions!$C$7,G2919)),Assumptions!$D$7,"Other Services"))),"Other Services"))</f>
        <v/>
      </c>
    </row>
    <row r="2920" customFormat="false" ht="15" hidden="false" customHeight="false" outlineLevel="0" collapsed="false">
      <c r="F2920" s="41" t="str">
        <f aca="false">IF(E2920="","",IFERROR(VLOOKUP(E2920,Assumptions!$G$5:$H$16,2,0),"Other"))</f>
        <v/>
      </c>
      <c r="J2920" s="41" t="str">
        <f aca="false">IF(G2920="","",IFERROR(IF(ISNUMBER(SEARCH(Assumptions!$C$5,G2920)),Assumptions!$D$5,IF(ISNUMBER(SEARCH(Assumptions!$C$6,G2920)),Assumptions!$D$6,IF(ISNUMBER(SEARCH(Assumptions!$C$7,G2920)),Assumptions!$D$7,"Other Services"))),"Other Services"))</f>
        <v/>
      </c>
    </row>
    <row r="2921" customFormat="false" ht="15" hidden="false" customHeight="false" outlineLevel="0" collapsed="false">
      <c r="F2921" s="41" t="str">
        <f aca="false">IF(E2921="","",IFERROR(VLOOKUP(E2921,Assumptions!$G$5:$H$16,2,0),"Other"))</f>
        <v/>
      </c>
      <c r="J2921" s="41" t="str">
        <f aca="false">IF(G2921="","",IFERROR(IF(ISNUMBER(SEARCH(Assumptions!$C$5,G2921)),Assumptions!$D$5,IF(ISNUMBER(SEARCH(Assumptions!$C$6,G2921)),Assumptions!$D$6,IF(ISNUMBER(SEARCH(Assumptions!$C$7,G2921)),Assumptions!$D$7,"Other Services"))),"Other Services"))</f>
        <v/>
      </c>
    </row>
    <row r="2922" customFormat="false" ht="15" hidden="false" customHeight="false" outlineLevel="0" collapsed="false">
      <c r="F2922" s="41" t="str">
        <f aca="false">IF(E2922="","",IFERROR(VLOOKUP(E2922,Assumptions!$G$5:$H$16,2,0),"Other"))</f>
        <v/>
      </c>
      <c r="J2922" s="41" t="str">
        <f aca="false">IF(G2922="","",IFERROR(IF(ISNUMBER(SEARCH(Assumptions!$C$5,G2922)),Assumptions!$D$5,IF(ISNUMBER(SEARCH(Assumptions!$C$6,G2922)),Assumptions!$D$6,IF(ISNUMBER(SEARCH(Assumptions!$C$7,G2922)),Assumptions!$D$7,"Other Services"))),"Other Services"))</f>
        <v/>
      </c>
    </row>
    <row r="2923" customFormat="false" ht="15" hidden="false" customHeight="false" outlineLevel="0" collapsed="false">
      <c r="F2923" s="41" t="str">
        <f aca="false">IF(E2923="","",IFERROR(VLOOKUP(E2923,Assumptions!$G$5:$H$16,2,0),"Other"))</f>
        <v/>
      </c>
      <c r="J2923" s="41" t="str">
        <f aca="false">IF(G2923="","",IFERROR(IF(ISNUMBER(SEARCH(Assumptions!$C$5,G2923)),Assumptions!$D$5,IF(ISNUMBER(SEARCH(Assumptions!$C$6,G2923)),Assumptions!$D$6,IF(ISNUMBER(SEARCH(Assumptions!$C$7,G2923)),Assumptions!$D$7,"Other Services"))),"Other Services"))</f>
        <v/>
      </c>
    </row>
    <row r="2924" customFormat="false" ht="15" hidden="false" customHeight="false" outlineLevel="0" collapsed="false">
      <c r="F2924" s="41" t="str">
        <f aca="false">IF(E2924="","",IFERROR(VLOOKUP(E2924,Assumptions!$G$5:$H$16,2,0),"Other"))</f>
        <v/>
      </c>
      <c r="J2924" s="41" t="str">
        <f aca="false">IF(G2924="","",IFERROR(IF(ISNUMBER(SEARCH(Assumptions!$C$5,G2924)),Assumptions!$D$5,IF(ISNUMBER(SEARCH(Assumptions!$C$6,G2924)),Assumptions!$D$6,IF(ISNUMBER(SEARCH(Assumptions!$C$7,G2924)),Assumptions!$D$7,"Other Services"))),"Other Services"))</f>
        <v/>
      </c>
    </row>
    <row r="2925" customFormat="false" ht="15" hidden="false" customHeight="false" outlineLevel="0" collapsed="false">
      <c r="F2925" s="41" t="str">
        <f aca="false">IF(E2925="","",IFERROR(VLOOKUP(E2925,Assumptions!$G$5:$H$16,2,0),"Other"))</f>
        <v/>
      </c>
      <c r="J2925" s="41" t="str">
        <f aca="false">IF(G2925="","",IFERROR(IF(ISNUMBER(SEARCH(Assumptions!$C$5,G2925)),Assumptions!$D$5,IF(ISNUMBER(SEARCH(Assumptions!$C$6,G2925)),Assumptions!$D$6,IF(ISNUMBER(SEARCH(Assumptions!$C$7,G2925)),Assumptions!$D$7,"Other Services"))),"Other Services"))</f>
        <v/>
      </c>
    </row>
    <row r="2926" customFormat="false" ht="15" hidden="false" customHeight="false" outlineLevel="0" collapsed="false">
      <c r="F2926" s="41" t="str">
        <f aca="false">IF(E2926="","",IFERROR(VLOOKUP(E2926,Assumptions!$G$5:$H$16,2,0),"Other"))</f>
        <v/>
      </c>
      <c r="J2926" s="41" t="str">
        <f aca="false">IF(G2926="","",IFERROR(IF(ISNUMBER(SEARCH(Assumptions!$C$5,G2926)),Assumptions!$D$5,IF(ISNUMBER(SEARCH(Assumptions!$C$6,G2926)),Assumptions!$D$6,IF(ISNUMBER(SEARCH(Assumptions!$C$7,G2926)),Assumptions!$D$7,"Other Services"))),"Other Services"))</f>
        <v/>
      </c>
    </row>
    <row r="2927" customFormat="false" ht="15" hidden="false" customHeight="false" outlineLevel="0" collapsed="false">
      <c r="F2927" s="41" t="str">
        <f aca="false">IF(E2927="","",IFERROR(VLOOKUP(E2927,Assumptions!$G$5:$H$16,2,0),"Other"))</f>
        <v/>
      </c>
      <c r="J2927" s="41" t="str">
        <f aca="false">IF(G2927="","",IFERROR(IF(ISNUMBER(SEARCH(Assumptions!$C$5,G2927)),Assumptions!$D$5,IF(ISNUMBER(SEARCH(Assumptions!$C$6,G2927)),Assumptions!$D$6,IF(ISNUMBER(SEARCH(Assumptions!$C$7,G2927)),Assumptions!$D$7,"Other Services"))),"Other Services"))</f>
        <v/>
      </c>
    </row>
    <row r="2928" customFormat="false" ht="15" hidden="false" customHeight="false" outlineLevel="0" collapsed="false">
      <c r="F2928" s="41" t="str">
        <f aca="false">IF(E2928="","",IFERROR(VLOOKUP(E2928,Assumptions!$G$5:$H$16,2,0),"Other"))</f>
        <v/>
      </c>
      <c r="J2928" s="41" t="str">
        <f aca="false">IF(G2928="","",IFERROR(IF(ISNUMBER(SEARCH(Assumptions!$C$5,G2928)),Assumptions!$D$5,IF(ISNUMBER(SEARCH(Assumptions!$C$6,G2928)),Assumptions!$D$6,IF(ISNUMBER(SEARCH(Assumptions!$C$7,G2928)),Assumptions!$D$7,"Other Services"))),"Other Services"))</f>
        <v/>
      </c>
    </row>
    <row r="2929" customFormat="false" ht="15" hidden="false" customHeight="false" outlineLevel="0" collapsed="false">
      <c r="F2929" s="41" t="str">
        <f aca="false">IF(E2929="","",IFERROR(VLOOKUP(E2929,Assumptions!$G$5:$H$16,2,0),"Other"))</f>
        <v/>
      </c>
      <c r="J2929" s="41" t="str">
        <f aca="false">IF(G2929="","",IFERROR(IF(ISNUMBER(SEARCH(Assumptions!$C$5,G2929)),Assumptions!$D$5,IF(ISNUMBER(SEARCH(Assumptions!$C$6,G2929)),Assumptions!$D$6,IF(ISNUMBER(SEARCH(Assumptions!$C$7,G2929)),Assumptions!$D$7,"Other Services"))),"Other Services"))</f>
        <v/>
      </c>
    </row>
    <row r="2930" customFormat="false" ht="15" hidden="false" customHeight="false" outlineLevel="0" collapsed="false">
      <c r="F2930" s="41" t="str">
        <f aca="false">IF(E2930="","",IFERROR(VLOOKUP(E2930,Assumptions!$G$5:$H$16,2,0),"Other"))</f>
        <v/>
      </c>
      <c r="J2930" s="41" t="str">
        <f aca="false">IF(G2930="","",IFERROR(IF(ISNUMBER(SEARCH(Assumptions!$C$5,G2930)),Assumptions!$D$5,IF(ISNUMBER(SEARCH(Assumptions!$C$6,G2930)),Assumptions!$D$6,IF(ISNUMBER(SEARCH(Assumptions!$C$7,G2930)),Assumptions!$D$7,"Other Services"))),"Other Services"))</f>
        <v/>
      </c>
    </row>
    <row r="2931" customFormat="false" ht="15" hidden="false" customHeight="false" outlineLevel="0" collapsed="false">
      <c r="F2931" s="41" t="str">
        <f aca="false">IF(E2931="","",IFERROR(VLOOKUP(E2931,Assumptions!$G$5:$H$16,2,0),"Other"))</f>
        <v/>
      </c>
      <c r="J2931" s="41" t="str">
        <f aca="false">IF(G2931="","",IFERROR(IF(ISNUMBER(SEARCH(Assumptions!$C$5,G2931)),Assumptions!$D$5,IF(ISNUMBER(SEARCH(Assumptions!$C$6,G2931)),Assumptions!$D$6,IF(ISNUMBER(SEARCH(Assumptions!$C$7,G2931)),Assumptions!$D$7,"Other Services"))),"Other Services"))</f>
        <v/>
      </c>
    </row>
    <row r="2932" customFormat="false" ht="15" hidden="false" customHeight="false" outlineLevel="0" collapsed="false">
      <c r="F2932" s="41" t="str">
        <f aca="false">IF(E2932="","",IFERROR(VLOOKUP(E2932,Assumptions!$G$5:$H$16,2,0),"Other"))</f>
        <v/>
      </c>
      <c r="J2932" s="41" t="str">
        <f aca="false">IF(G2932="","",IFERROR(IF(ISNUMBER(SEARCH(Assumptions!$C$5,G2932)),Assumptions!$D$5,IF(ISNUMBER(SEARCH(Assumptions!$C$6,G2932)),Assumptions!$D$6,IF(ISNUMBER(SEARCH(Assumptions!$C$7,G2932)),Assumptions!$D$7,"Other Services"))),"Other Services"))</f>
        <v/>
      </c>
    </row>
    <row r="2933" customFormat="false" ht="15" hidden="false" customHeight="false" outlineLevel="0" collapsed="false">
      <c r="F2933" s="41" t="str">
        <f aca="false">IF(E2933="","",IFERROR(VLOOKUP(E2933,Assumptions!$G$5:$H$16,2,0),"Other"))</f>
        <v/>
      </c>
      <c r="J2933" s="41" t="str">
        <f aca="false">IF(G2933="","",IFERROR(IF(ISNUMBER(SEARCH(Assumptions!$C$5,G2933)),Assumptions!$D$5,IF(ISNUMBER(SEARCH(Assumptions!$C$6,G2933)),Assumptions!$D$6,IF(ISNUMBER(SEARCH(Assumptions!$C$7,G2933)),Assumptions!$D$7,"Other Services"))),"Other Services"))</f>
        <v/>
      </c>
    </row>
    <row r="2934" customFormat="false" ht="15" hidden="false" customHeight="false" outlineLevel="0" collapsed="false">
      <c r="F2934" s="41" t="str">
        <f aca="false">IF(E2934="","",IFERROR(VLOOKUP(E2934,Assumptions!$G$5:$H$16,2,0),"Other"))</f>
        <v/>
      </c>
      <c r="J2934" s="41" t="str">
        <f aca="false">IF(G2934="","",IFERROR(IF(ISNUMBER(SEARCH(Assumptions!$C$5,G2934)),Assumptions!$D$5,IF(ISNUMBER(SEARCH(Assumptions!$C$6,G2934)),Assumptions!$D$6,IF(ISNUMBER(SEARCH(Assumptions!$C$7,G2934)),Assumptions!$D$7,"Other Services"))),"Other Services"))</f>
        <v/>
      </c>
    </row>
    <row r="2935" customFormat="false" ht="15" hidden="false" customHeight="false" outlineLevel="0" collapsed="false">
      <c r="F2935" s="41" t="str">
        <f aca="false">IF(E2935="","",IFERROR(VLOOKUP(E2935,Assumptions!$G$5:$H$16,2,0),"Other"))</f>
        <v/>
      </c>
      <c r="J2935" s="41" t="str">
        <f aca="false">IF(G2935="","",IFERROR(IF(ISNUMBER(SEARCH(Assumptions!$C$5,G2935)),Assumptions!$D$5,IF(ISNUMBER(SEARCH(Assumptions!$C$6,G2935)),Assumptions!$D$6,IF(ISNUMBER(SEARCH(Assumptions!$C$7,G2935)),Assumptions!$D$7,"Other Services"))),"Other Services"))</f>
        <v/>
      </c>
    </row>
    <row r="2936" customFormat="false" ht="15" hidden="false" customHeight="false" outlineLevel="0" collapsed="false">
      <c r="F2936" s="41" t="str">
        <f aca="false">IF(E2936="","",IFERROR(VLOOKUP(E2936,Assumptions!$G$5:$H$16,2,0),"Other"))</f>
        <v/>
      </c>
      <c r="J2936" s="41" t="str">
        <f aca="false">IF(G2936="","",IFERROR(IF(ISNUMBER(SEARCH(Assumptions!$C$5,G2936)),Assumptions!$D$5,IF(ISNUMBER(SEARCH(Assumptions!$C$6,G2936)),Assumptions!$D$6,IF(ISNUMBER(SEARCH(Assumptions!$C$7,G2936)),Assumptions!$D$7,"Other Services"))),"Other Services"))</f>
        <v/>
      </c>
    </row>
    <row r="2937" customFormat="false" ht="15" hidden="false" customHeight="false" outlineLevel="0" collapsed="false">
      <c r="F2937" s="41" t="str">
        <f aca="false">IF(E2937="","",IFERROR(VLOOKUP(E2937,Assumptions!$G$5:$H$16,2,0),"Other"))</f>
        <v/>
      </c>
      <c r="J2937" s="41" t="str">
        <f aca="false">IF(G2937="","",IFERROR(IF(ISNUMBER(SEARCH(Assumptions!$C$5,G2937)),Assumptions!$D$5,IF(ISNUMBER(SEARCH(Assumptions!$C$6,G2937)),Assumptions!$D$6,IF(ISNUMBER(SEARCH(Assumptions!$C$7,G2937)),Assumptions!$D$7,"Other Services"))),"Other Services"))</f>
        <v/>
      </c>
    </row>
    <row r="2938" customFormat="false" ht="15" hidden="false" customHeight="false" outlineLevel="0" collapsed="false">
      <c r="F2938" s="41" t="str">
        <f aca="false">IF(E2938="","",IFERROR(VLOOKUP(E2938,Assumptions!$G$5:$H$16,2,0),"Other"))</f>
        <v/>
      </c>
      <c r="J2938" s="41" t="str">
        <f aca="false">IF(G2938="","",IFERROR(IF(ISNUMBER(SEARCH(Assumptions!$C$5,G2938)),Assumptions!$D$5,IF(ISNUMBER(SEARCH(Assumptions!$C$6,G2938)),Assumptions!$D$6,IF(ISNUMBER(SEARCH(Assumptions!$C$7,G2938)),Assumptions!$D$7,"Other Services"))),"Other Services"))</f>
        <v/>
      </c>
    </row>
    <row r="2939" customFormat="false" ht="15" hidden="false" customHeight="false" outlineLevel="0" collapsed="false">
      <c r="F2939" s="41" t="str">
        <f aca="false">IF(E2939="","",IFERROR(VLOOKUP(E2939,Assumptions!$G$5:$H$16,2,0),"Other"))</f>
        <v/>
      </c>
      <c r="J2939" s="41" t="str">
        <f aca="false">IF(G2939="","",IFERROR(IF(ISNUMBER(SEARCH(Assumptions!$C$5,G2939)),Assumptions!$D$5,IF(ISNUMBER(SEARCH(Assumptions!$C$6,G2939)),Assumptions!$D$6,IF(ISNUMBER(SEARCH(Assumptions!$C$7,G2939)),Assumptions!$D$7,"Other Services"))),"Other Services"))</f>
        <v/>
      </c>
    </row>
    <row r="2940" customFormat="false" ht="15" hidden="false" customHeight="false" outlineLevel="0" collapsed="false">
      <c r="F2940" s="41" t="str">
        <f aca="false">IF(E2940="","",IFERROR(VLOOKUP(E2940,Assumptions!$G$5:$H$16,2,0),"Other"))</f>
        <v/>
      </c>
      <c r="J2940" s="41" t="str">
        <f aca="false">IF(G2940="","",IFERROR(IF(ISNUMBER(SEARCH(Assumptions!$C$5,G2940)),Assumptions!$D$5,IF(ISNUMBER(SEARCH(Assumptions!$C$6,G2940)),Assumptions!$D$6,IF(ISNUMBER(SEARCH(Assumptions!$C$7,G2940)),Assumptions!$D$7,"Other Services"))),"Other Services"))</f>
        <v/>
      </c>
    </row>
    <row r="2941" customFormat="false" ht="15" hidden="false" customHeight="false" outlineLevel="0" collapsed="false">
      <c r="F2941" s="41" t="str">
        <f aca="false">IF(E2941="","",IFERROR(VLOOKUP(E2941,Assumptions!$G$5:$H$16,2,0),"Other"))</f>
        <v/>
      </c>
      <c r="J2941" s="41" t="str">
        <f aca="false">IF(G2941="","",IFERROR(IF(ISNUMBER(SEARCH(Assumptions!$C$5,G2941)),Assumptions!$D$5,IF(ISNUMBER(SEARCH(Assumptions!$C$6,G2941)),Assumptions!$D$6,IF(ISNUMBER(SEARCH(Assumptions!$C$7,G2941)),Assumptions!$D$7,"Other Services"))),"Other Services"))</f>
        <v/>
      </c>
    </row>
    <row r="2942" customFormat="false" ht="15" hidden="false" customHeight="false" outlineLevel="0" collapsed="false">
      <c r="F2942" s="41" t="str">
        <f aca="false">IF(E2942="","",IFERROR(VLOOKUP(E2942,Assumptions!$G$5:$H$16,2,0),"Other"))</f>
        <v/>
      </c>
      <c r="J2942" s="41" t="str">
        <f aca="false">IF(G2942="","",IFERROR(IF(ISNUMBER(SEARCH(Assumptions!$C$5,G2942)),Assumptions!$D$5,IF(ISNUMBER(SEARCH(Assumptions!$C$6,G2942)),Assumptions!$D$6,IF(ISNUMBER(SEARCH(Assumptions!$C$7,G2942)),Assumptions!$D$7,"Other Services"))),"Other Services"))</f>
        <v/>
      </c>
    </row>
    <row r="2943" customFormat="false" ht="15" hidden="false" customHeight="false" outlineLevel="0" collapsed="false">
      <c r="F2943" s="41" t="str">
        <f aca="false">IF(E2943="","",IFERROR(VLOOKUP(E2943,Assumptions!$G$5:$H$16,2,0),"Other"))</f>
        <v/>
      </c>
      <c r="J2943" s="41" t="str">
        <f aca="false">IF(G2943="","",IFERROR(IF(ISNUMBER(SEARCH(Assumptions!$C$5,G2943)),Assumptions!$D$5,IF(ISNUMBER(SEARCH(Assumptions!$C$6,G2943)),Assumptions!$D$6,IF(ISNUMBER(SEARCH(Assumptions!$C$7,G2943)),Assumptions!$D$7,"Other Services"))),"Other Services"))</f>
        <v/>
      </c>
    </row>
    <row r="2944" customFormat="false" ht="15" hidden="false" customHeight="false" outlineLevel="0" collapsed="false">
      <c r="F2944" s="41" t="str">
        <f aca="false">IF(E2944="","",IFERROR(VLOOKUP(E2944,Assumptions!$G$5:$H$16,2,0),"Other"))</f>
        <v/>
      </c>
      <c r="J2944" s="41" t="str">
        <f aca="false">IF(G2944="","",IFERROR(IF(ISNUMBER(SEARCH(Assumptions!$C$5,G2944)),Assumptions!$D$5,IF(ISNUMBER(SEARCH(Assumptions!$C$6,G2944)),Assumptions!$D$6,IF(ISNUMBER(SEARCH(Assumptions!$C$7,G2944)),Assumptions!$D$7,"Other Services"))),"Other Services"))</f>
        <v/>
      </c>
    </row>
    <row r="2945" customFormat="false" ht="15" hidden="false" customHeight="false" outlineLevel="0" collapsed="false">
      <c r="F2945" s="41" t="str">
        <f aca="false">IF(E2945="","",IFERROR(VLOOKUP(E2945,Assumptions!$G$5:$H$16,2,0),"Other"))</f>
        <v/>
      </c>
      <c r="J2945" s="41" t="str">
        <f aca="false">IF(G2945="","",IFERROR(IF(ISNUMBER(SEARCH(Assumptions!$C$5,G2945)),Assumptions!$D$5,IF(ISNUMBER(SEARCH(Assumptions!$C$6,G2945)),Assumptions!$D$6,IF(ISNUMBER(SEARCH(Assumptions!$C$7,G2945)),Assumptions!$D$7,"Other Services"))),"Other Services"))</f>
        <v/>
      </c>
    </row>
    <row r="2946" customFormat="false" ht="15" hidden="false" customHeight="false" outlineLevel="0" collapsed="false">
      <c r="F2946" s="41" t="str">
        <f aca="false">IF(E2946="","",IFERROR(VLOOKUP(E2946,Assumptions!$G$5:$H$16,2,0),"Other"))</f>
        <v/>
      </c>
      <c r="J2946" s="41" t="str">
        <f aca="false">IF(G2946="","",IFERROR(IF(ISNUMBER(SEARCH(Assumptions!$C$5,G2946)),Assumptions!$D$5,IF(ISNUMBER(SEARCH(Assumptions!$C$6,G2946)),Assumptions!$D$6,IF(ISNUMBER(SEARCH(Assumptions!$C$7,G2946)),Assumptions!$D$7,"Other Services"))),"Other Services"))</f>
        <v/>
      </c>
    </row>
    <row r="2947" customFormat="false" ht="15" hidden="false" customHeight="false" outlineLevel="0" collapsed="false">
      <c r="F2947" s="41" t="str">
        <f aca="false">IF(E2947="","",IFERROR(VLOOKUP(E2947,Assumptions!$G$5:$H$16,2,0),"Other"))</f>
        <v/>
      </c>
      <c r="J2947" s="41" t="str">
        <f aca="false">IF(G2947="","",IFERROR(IF(ISNUMBER(SEARCH(Assumptions!$C$5,G2947)),Assumptions!$D$5,IF(ISNUMBER(SEARCH(Assumptions!$C$6,G2947)),Assumptions!$D$6,IF(ISNUMBER(SEARCH(Assumptions!$C$7,G2947)),Assumptions!$D$7,"Other Services"))),"Other Services"))</f>
        <v/>
      </c>
    </row>
    <row r="2948" customFormat="false" ht="15" hidden="false" customHeight="false" outlineLevel="0" collapsed="false">
      <c r="F2948" s="41" t="str">
        <f aca="false">IF(E2948="","",IFERROR(VLOOKUP(E2948,Assumptions!$G$5:$H$16,2,0),"Other"))</f>
        <v/>
      </c>
      <c r="J2948" s="41" t="str">
        <f aca="false">IF(G2948="","",IFERROR(IF(ISNUMBER(SEARCH(Assumptions!$C$5,G2948)),Assumptions!$D$5,IF(ISNUMBER(SEARCH(Assumptions!$C$6,G2948)),Assumptions!$D$6,IF(ISNUMBER(SEARCH(Assumptions!$C$7,G2948)),Assumptions!$D$7,"Other Services"))),"Other Services"))</f>
        <v/>
      </c>
    </row>
    <row r="2949" customFormat="false" ht="15" hidden="false" customHeight="false" outlineLevel="0" collapsed="false">
      <c r="F2949" s="41" t="str">
        <f aca="false">IF(E2949="","",IFERROR(VLOOKUP(E2949,Assumptions!$G$5:$H$16,2,0),"Other"))</f>
        <v/>
      </c>
      <c r="J2949" s="41" t="str">
        <f aca="false">IF(G2949="","",IFERROR(IF(ISNUMBER(SEARCH(Assumptions!$C$5,G2949)),Assumptions!$D$5,IF(ISNUMBER(SEARCH(Assumptions!$C$6,G2949)),Assumptions!$D$6,IF(ISNUMBER(SEARCH(Assumptions!$C$7,G2949)),Assumptions!$D$7,"Other Services"))),"Other Services"))</f>
        <v/>
      </c>
    </row>
    <row r="2950" customFormat="false" ht="15" hidden="false" customHeight="false" outlineLevel="0" collapsed="false">
      <c r="F2950" s="41" t="str">
        <f aca="false">IF(E2950="","",IFERROR(VLOOKUP(E2950,Assumptions!$G$5:$H$16,2,0),"Other"))</f>
        <v/>
      </c>
      <c r="J2950" s="41" t="str">
        <f aca="false">IF(G2950="","",IFERROR(IF(ISNUMBER(SEARCH(Assumptions!$C$5,G2950)),Assumptions!$D$5,IF(ISNUMBER(SEARCH(Assumptions!$C$6,G2950)),Assumptions!$D$6,IF(ISNUMBER(SEARCH(Assumptions!$C$7,G2950)),Assumptions!$D$7,"Other Services"))),"Other Services"))</f>
        <v/>
      </c>
    </row>
    <row r="2951" customFormat="false" ht="15" hidden="false" customHeight="false" outlineLevel="0" collapsed="false">
      <c r="F2951" s="41" t="str">
        <f aca="false">IF(E2951="","",IFERROR(VLOOKUP(E2951,Assumptions!$G$5:$H$16,2,0),"Other"))</f>
        <v/>
      </c>
      <c r="J2951" s="41" t="str">
        <f aca="false">IF(G2951="","",IFERROR(IF(ISNUMBER(SEARCH(Assumptions!$C$5,G2951)),Assumptions!$D$5,IF(ISNUMBER(SEARCH(Assumptions!$C$6,G2951)),Assumptions!$D$6,IF(ISNUMBER(SEARCH(Assumptions!$C$7,G2951)),Assumptions!$D$7,"Other Services"))),"Other Services"))</f>
        <v/>
      </c>
    </row>
    <row r="2952" customFormat="false" ht="15" hidden="false" customHeight="false" outlineLevel="0" collapsed="false">
      <c r="F2952" s="41" t="str">
        <f aca="false">IF(E2952="","",IFERROR(VLOOKUP(E2952,Assumptions!$G$5:$H$16,2,0),"Other"))</f>
        <v/>
      </c>
      <c r="J2952" s="41" t="str">
        <f aca="false">IF(G2952="","",IFERROR(IF(ISNUMBER(SEARCH(Assumptions!$C$5,G2952)),Assumptions!$D$5,IF(ISNUMBER(SEARCH(Assumptions!$C$6,G2952)),Assumptions!$D$6,IF(ISNUMBER(SEARCH(Assumptions!$C$7,G2952)),Assumptions!$D$7,"Other Services"))),"Other Services"))</f>
        <v/>
      </c>
    </row>
    <row r="2953" customFormat="false" ht="15" hidden="false" customHeight="false" outlineLevel="0" collapsed="false">
      <c r="F2953" s="41" t="str">
        <f aca="false">IF(E2953="","",IFERROR(VLOOKUP(E2953,Assumptions!$G$5:$H$16,2,0),"Other"))</f>
        <v/>
      </c>
      <c r="J2953" s="41" t="str">
        <f aca="false">IF(G2953="","",IFERROR(IF(ISNUMBER(SEARCH(Assumptions!$C$5,G2953)),Assumptions!$D$5,IF(ISNUMBER(SEARCH(Assumptions!$C$6,G2953)),Assumptions!$D$6,IF(ISNUMBER(SEARCH(Assumptions!$C$7,G2953)),Assumptions!$D$7,"Other Services"))),"Other Services"))</f>
        <v/>
      </c>
    </row>
    <row r="2954" customFormat="false" ht="15" hidden="false" customHeight="false" outlineLevel="0" collapsed="false">
      <c r="F2954" s="41" t="str">
        <f aca="false">IF(E2954="","",IFERROR(VLOOKUP(E2954,Assumptions!$G$5:$H$16,2,0),"Other"))</f>
        <v/>
      </c>
      <c r="J2954" s="41" t="str">
        <f aca="false">IF(G2954="","",IFERROR(IF(ISNUMBER(SEARCH(Assumptions!$C$5,G2954)),Assumptions!$D$5,IF(ISNUMBER(SEARCH(Assumptions!$C$6,G2954)),Assumptions!$D$6,IF(ISNUMBER(SEARCH(Assumptions!$C$7,G2954)),Assumptions!$D$7,"Other Services"))),"Other Services"))</f>
        <v/>
      </c>
    </row>
    <row r="2955" customFormat="false" ht="15" hidden="false" customHeight="false" outlineLevel="0" collapsed="false">
      <c r="F2955" s="41" t="str">
        <f aca="false">IF(E2955="","",IFERROR(VLOOKUP(E2955,Assumptions!$G$5:$H$16,2,0),"Other"))</f>
        <v/>
      </c>
      <c r="J2955" s="41" t="str">
        <f aca="false">IF(G2955="","",IFERROR(IF(ISNUMBER(SEARCH(Assumptions!$C$5,G2955)),Assumptions!$D$5,IF(ISNUMBER(SEARCH(Assumptions!$C$6,G2955)),Assumptions!$D$6,IF(ISNUMBER(SEARCH(Assumptions!$C$7,G2955)),Assumptions!$D$7,"Other Services"))),"Other Services"))</f>
        <v/>
      </c>
    </row>
    <row r="2956" customFormat="false" ht="15" hidden="false" customHeight="false" outlineLevel="0" collapsed="false">
      <c r="F2956" s="41" t="str">
        <f aca="false">IF(E2956="","",IFERROR(VLOOKUP(E2956,Assumptions!$G$5:$H$16,2,0),"Other"))</f>
        <v/>
      </c>
      <c r="J2956" s="41" t="str">
        <f aca="false">IF(G2956="","",IFERROR(IF(ISNUMBER(SEARCH(Assumptions!$C$5,G2956)),Assumptions!$D$5,IF(ISNUMBER(SEARCH(Assumptions!$C$6,G2956)),Assumptions!$D$6,IF(ISNUMBER(SEARCH(Assumptions!$C$7,G2956)),Assumptions!$D$7,"Other Services"))),"Other Services"))</f>
        <v/>
      </c>
    </row>
    <row r="2957" customFormat="false" ht="15" hidden="false" customHeight="false" outlineLevel="0" collapsed="false">
      <c r="F2957" s="41" t="str">
        <f aca="false">IF(E2957="","",IFERROR(VLOOKUP(E2957,Assumptions!$G$5:$H$16,2,0),"Other"))</f>
        <v/>
      </c>
      <c r="J2957" s="41" t="str">
        <f aca="false">IF(G2957="","",IFERROR(IF(ISNUMBER(SEARCH(Assumptions!$C$5,G2957)),Assumptions!$D$5,IF(ISNUMBER(SEARCH(Assumptions!$C$6,G2957)),Assumptions!$D$6,IF(ISNUMBER(SEARCH(Assumptions!$C$7,G2957)),Assumptions!$D$7,"Other Services"))),"Other Services"))</f>
        <v/>
      </c>
    </row>
    <row r="2958" customFormat="false" ht="15" hidden="false" customHeight="false" outlineLevel="0" collapsed="false">
      <c r="F2958" s="41" t="str">
        <f aca="false">IF(E2958="","",IFERROR(VLOOKUP(E2958,Assumptions!$G$5:$H$16,2,0),"Other"))</f>
        <v/>
      </c>
      <c r="J2958" s="41" t="str">
        <f aca="false">IF(G2958="","",IFERROR(IF(ISNUMBER(SEARCH(Assumptions!$C$5,G2958)),Assumptions!$D$5,IF(ISNUMBER(SEARCH(Assumptions!$C$6,G2958)),Assumptions!$D$6,IF(ISNUMBER(SEARCH(Assumptions!$C$7,G2958)),Assumptions!$D$7,"Other Services"))),"Other Services"))</f>
        <v/>
      </c>
    </row>
    <row r="2959" customFormat="false" ht="15" hidden="false" customHeight="false" outlineLevel="0" collapsed="false">
      <c r="F2959" s="41" t="str">
        <f aca="false">IF(E2959="","",IFERROR(VLOOKUP(E2959,Assumptions!$G$5:$H$16,2,0),"Other"))</f>
        <v/>
      </c>
      <c r="J2959" s="41" t="str">
        <f aca="false">IF(G2959="","",IFERROR(IF(ISNUMBER(SEARCH(Assumptions!$C$5,G2959)),Assumptions!$D$5,IF(ISNUMBER(SEARCH(Assumptions!$C$6,G2959)),Assumptions!$D$6,IF(ISNUMBER(SEARCH(Assumptions!$C$7,G2959)),Assumptions!$D$7,"Other Services"))),"Other Services"))</f>
        <v/>
      </c>
    </row>
    <row r="2960" customFormat="false" ht="15" hidden="false" customHeight="false" outlineLevel="0" collapsed="false">
      <c r="F2960" s="41" t="str">
        <f aca="false">IF(E2960="","",IFERROR(VLOOKUP(E2960,Assumptions!$G$5:$H$16,2,0),"Other"))</f>
        <v/>
      </c>
      <c r="J2960" s="41" t="str">
        <f aca="false">IF(G2960="","",IFERROR(IF(ISNUMBER(SEARCH(Assumptions!$C$5,G2960)),Assumptions!$D$5,IF(ISNUMBER(SEARCH(Assumptions!$C$6,G2960)),Assumptions!$D$6,IF(ISNUMBER(SEARCH(Assumptions!$C$7,G2960)),Assumptions!$D$7,"Other Services"))),"Other Services"))</f>
        <v/>
      </c>
    </row>
    <row r="2961" customFormat="false" ht="15" hidden="false" customHeight="false" outlineLevel="0" collapsed="false">
      <c r="F2961" s="41" t="str">
        <f aca="false">IF(E2961="","",IFERROR(VLOOKUP(E2961,Assumptions!$G$5:$H$16,2,0),"Other"))</f>
        <v/>
      </c>
      <c r="J2961" s="41" t="str">
        <f aca="false">IF(G2961="","",IFERROR(IF(ISNUMBER(SEARCH(Assumptions!$C$5,G2961)),Assumptions!$D$5,IF(ISNUMBER(SEARCH(Assumptions!$C$6,G2961)),Assumptions!$D$6,IF(ISNUMBER(SEARCH(Assumptions!$C$7,G2961)),Assumptions!$D$7,"Other Services"))),"Other Services"))</f>
        <v/>
      </c>
    </row>
    <row r="2962" customFormat="false" ht="15" hidden="false" customHeight="false" outlineLevel="0" collapsed="false">
      <c r="F2962" s="41" t="str">
        <f aca="false">IF(E2962="","",IFERROR(VLOOKUP(E2962,Assumptions!$G$5:$H$16,2,0),"Other"))</f>
        <v/>
      </c>
      <c r="J2962" s="41" t="str">
        <f aca="false">IF(G2962="","",IFERROR(IF(ISNUMBER(SEARCH(Assumptions!$C$5,G2962)),Assumptions!$D$5,IF(ISNUMBER(SEARCH(Assumptions!$C$6,G2962)),Assumptions!$D$6,IF(ISNUMBER(SEARCH(Assumptions!$C$7,G2962)),Assumptions!$D$7,"Other Services"))),"Other Services"))</f>
        <v/>
      </c>
    </row>
    <row r="2963" customFormat="false" ht="15" hidden="false" customHeight="false" outlineLevel="0" collapsed="false">
      <c r="F2963" s="41" t="str">
        <f aca="false">IF(E2963="","",IFERROR(VLOOKUP(E2963,Assumptions!$G$5:$H$16,2,0),"Other"))</f>
        <v/>
      </c>
      <c r="J2963" s="41" t="str">
        <f aca="false">IF(G2963="","",IFERROR(IF(ISNUMBER(SEARCH(Assumptions!$C$5,G2963)),Assumptions!$D$5,IF(ISNUMBER(SEARCH(Assumptions!$C$6,G2963)),Assumptions!$D$6,IF(ISNUMBER(SEARCH(Assumptions!$C$7,G2963)),Assumptions!$D$7,"Other Services"))),"Other Services"))</f>
        <v/>
      </c>
    </row>
    <row r="2964" customFormat="false" ht="15" hidden="false" customHeight="false" outlineLevel="0" collapsed="false">
      <c r="F2964" s="41" t="str">
        <f aca="false">IF(E2964="","",IFERROR(VLOOKUP(E2964,Assumptions!$G$5:$H$16,2,0),"Other"))</f>
        <v/>
      </c>
      <c r="J2964" s="41" t="str">
        <f aca="false">IF(G2964="","",IFERROR(IF(ISNUMBER(SEARCH(Assumptions!$C$5,G2964)),Assumptions!$D$5,IF(ISNUMBER(SEARCH(Assumptions!$C$6,G2964)),Assumptions!$D$6,IF(ISNUMBER(SEARCH(Assumptions!$C$7,G2964)),Assumptions!$D$7,"Other Services"))),"Other Services"))</f>
        <v/>
      </c>
    </row>
    <row r="2965" customFormat="false" ht="15" hidden="false" customHeight="false" outlineLevel="0" collapsed="false">
      <c r="F2965" s="41" t="str">
        <f aca="false">IF(E2965="","",IFERROR(VLOOKUP(E2965,Assumptions!$G$5:$H$16,2,0),"Other"))</f>
        <v/>
      </c>
      <c r="J2965" s="41" t="str">
        <f aca="false">IF(G2965="","",IFERROR(IF(ISNUMBER(SEARCH(Assumptions!$C$5,G2965)),Assumptions!$D$5,IF(ISNUMBER(SEARCH(Assumptions!$C$6,G2965)),Assumptions!$D$6,IF(ISNUMBER(SEARCH(Assumptions!$C$7,G2965)),Assumptions!$D$7,"Other Services"))),"Other Services"))</f>
        <v/>
      </c>
    </row>
    <row r="2966" customFormat="false" ht="15" hidden="false" customHeight="false" outlineLevel="0" collapsed="false">
      <c r="F2966" s="41" t="str">
        <f aca="false">IF(E2966="","",IFERROR(VLOOKUP(E2966,Assumptions!$G$5:$H$16,2,0),"Other"))</f>
        <v/>
      </c>
      <c r="J2966" s="41" t="str">
        <f aca="false">IF(G2966="","",IFERROR(IF(ISNUMBER(SEARCH(Assumptions!$C$5,G2966)),Assumptions!$D$5,IF(ISNUMBER(SEARCH(Assumptions!$C$6,G2966)),Assumptions!$D$6,IF(ISNUMBER(SEARCH(Assumptions!$C$7,G2966)),Assumptions!$D$7,"Other Services"))),"Other Services"))</f>
        <v/>
      </c>
    </row>
    <row r="2967" customFormat="false" ht="15" hidden="false" customHeight="false" outlineLevel="0" collapsed="false">
      <c r="F2967" s="41" t="str">
        <f aca="false">IF(E2967="","",IFERROR(VLOOKUP(E2967,Assumptions!$G$5:$H$16,2,0),"Other"))</f>
        <v/>
      </c>
      <c r="J2967" s="41" t="str">
        <f aca="false">IF(G2967="","",IFERROR(IF(ISNUMBER(SEARCH(Assumptions!$C$5,G2967)),Assumptions!$D$5,IF(ISNUMBER(SEARCH(Assumptions!$C$6,G2967)),Assumptions!$D$6,IF(ISNUMBER(SEARCH(Assumptions!$C$7,G2967)),Assumptions!$D$7,"Other Services"))),"Other Services"))</f>
        <v/>
      </c>
    </row>
    <row r="2968" customFormat="false" ht="15" hidden="false" customHeight="false" outlineLevel="0" collapsed="false">
      <c r="F2968" s="41" t="str">
        <f aca="false">IF(E2968="","",IFERROR(VLOOKUP(E2968,Assumptions!$G$5:$H$16,2,0),"Other"))</f>
        <v/>
      </c>
      <c r="J2968" s="41" t="str">
        <f aca="false">IF(G2968="","",IFERROR(IF(ISNUMBER(SEARCH(Assumptions!$C$5,G2968)),Assumptions!$D$5,IF(ISNUMBER(SEARCH(Assumptions!$C$6,G2968)),Assumptions!$D$6,IF(ISNUMBER(SEARCH(Assumptions!$C$7,G2968)),Assumptions!$D$7,"Other Services"))),"Other Services"))</f>
        <v/>
      </c>
    </row>
    <row r="2969" customFormat="false" ht="15" hidden="false" customHeight="false" outlineLevel="0" collapsed="false">
      <c r="F2969" s="41" t="str">
        <f aca="false">IF(E2969="","",IFERROR(VLOOKUP(E2969,Assumptions!$G$5:$H$16,2,0),"Other"))</f>
        <v/>
      </c>
      <c r="J2969" s="41" t="str">
        <f aca="false">IF(G2969="","",IFERROR(IF(ISNUMBER(SEARCH(Assumptions!$C$5,G2969)),Assumptions!$D$5,IF(ISNUMBER(SEARCH(Assumptions!$C$6,G2969)),Assumptions!$D$6,IF(ISNUMBER(SEARCH(Assumptions!$C$7,G2969)),Assumptions!$D$7,"Other Services"))),"Other Services"))</f>
        <v/>
      </c>
    </row>
    <row r="2970" customFormat="false" ht="15" hidden="false" customHeight="false" outlineLevel="0" collapsed="false">
      <c r="F2970" s="41" t="str">
        <f aca="false">IF(E2970="","",IFERROR(VLOOKUP(E2970,Assumptions!$G$5:$H$16,2,0),"Other"))</f>
        <v/>
      </c>
      <c r="J2970" s="41" t="str">
        <f aca="false">IF(G2970="","",IFERROR(IF(ISNUMBER(SEARCH(Assumptions!$C$5,G2970)),Assumptions!$D$5,IF(ISNUMBER(SEARCH(Assumptions!$C$6,G2970)),Assumptions!$D$6,IF(ISNUMBER(SEARCH(Assumptions!$C$7,G2970)),Assumptions!$D$7,"Other Services"))),"Other Services"))</f>
        <v/>
      </c>
    </row>
    <row r="2971" customFormat="false" ht="15" hidden="false" customHeight="false" outlineLevel="0" collapsed="false">
      <c r="F2971" s="41" t="str">
        <f aca="false">IF(E2971="","",IFERROR(VLOOKUP(E2971,Assumptions!$G$5:$H$16,2,0),"Other"))</f>
        <v/>
      </c>
      <c r="J2971" s="41" t="str">
        <f aca="false">IF(G2971="","",IFERROR(IF(ISNUMBER(SEARCH(Assumptions!$C$5,G2971)),Assumptions!$D$5,IF(ISNUMBER(SEARCH(Assumptions!$C$6,G2971)),Assumptions!$D$6,IF(ISNUMBER(SEARCH(Assumptions!$C$7,G2971)),Assumptions!$D$7,"Other Services"))),"Other Services"))</f>
        <v/>
      </c>
    </row>
    <row r="2972" customFormat="false" ht="15" hidden="false" customHeight="false" outlineLevel="0" collapsed="false">
      <c r="F2972" s="41" t="str">
        <f aca="false">IF(E2972="","",IFERROR(VLOOKUP(E2972,Assumptions!$G$5:$H$16,2,0),"Other"))</f>
        <v/>
      </c>
      <c r="J2972" s="41" t="str">
        <f aca="false">IF(G2972="","",IFERROR(IF(ISNUMBER(SEARCH(Assumptions!$C$5,G2972)),Assumptions!$D$5,IF(ISNUMBER(SEARCH(Assumptions!$C$6,G2972)),Assumptions!$D$6,IF(ISNUMBER(SEARCH(Assumptions!$C$7,G2972)),Assumptions!$D$7,"Other Services"))),"Other Services"))</f>
        <v/>
      </c>
    </row>
    <row r="2973" customFormat="false" ht="15" hidden="false" customHeight="false" outlineLevel="0" collapsed="false">
      <c r="F2973" s="41" t="str">
        <f aca="false">IF(E2973="","",IFERROR(VLOOKUP(E2973,Assumptions!$G$5:$H$16,2,0),"Other"))</f>
        <v/>
      </c>
      <c r="J2973" s="41" t="str">
        <f aca="false">IF(G2973="","",IFERROR(IF(ISNUMBER(SEARCH(Assumptions!$C$5,G2973)),Assumptions!$D$5,IF(ISNUMBER(SEARCH(Assumptions!$C$6,G2973)),Assumptions!$D$6,IF(ISNUMBER(SEARCH(Assumptions!$C$7,G2973)),Assumptions!$D$7,"Other Services"))),"Other Services"))</f>
        <v/>
      </c>
    </row>
    <row r="2974" customFormat="false" ht="15" hidden="false" customHeight="false" outlineLevel="0" collapsed="false">
      <c r="F2974" s="41" t="str">
        <f aca="false">IF(E2974="","",IFERROR(VLOOKUP(E2974,Assumptions!$G$5:$H$16,2,0),"Other"))</f>
        <v/>
      </c>
      <c r="J2974" s="41" t="str">
        <f aca="false">IF(G2974="","",IFERROR(IF(ISNUMBER(SEARCH(Assumptions!$C$5,G2974)),Assumptions!$D$5,IF(ISNUMBER(SEARCH(Assumptions!$C$6,G2974)),Assumptions!$D$6,IF(ISNUMBER(SEARCH(Assumptions!$C$7,G2974)),Assumptions!$D$7,"Other Services"))),"Other Services"))</f>
        <v/>
      </c>
    </row>
    <row r="2975" customFormat="false" ht="15" hidden="false" customHeight="false" outlineLevel="0" collapsed="false">
      <c r="F2975" s="41" t="str">
        <f aca="false">IF(E2975="","",IFERROR(VLOOKUP(E2975,Assumptions!$G$5:$H$16,2,0),"Other"))</f>
        <v/>
      </c>
      <c r="J2975" s="41" t="str">
        <f aca="false">IF(G2975="","",IFERROR(IF(ISNUMBER(SEARCH(Assumptions!$C$5,G2975)),Assumptions!$D$5,IF(ISNUMBER(SEARCH(Assumptions!$C$6,G2975)),Assumptions!$D$6,IF(ISNUMBER(SEARCH(Assumptions!$C$7,G2975)),Assumptions!$D$7,"Other Services"))),"Other Services"))</f>
        <v/>
      </c>
    </row>
    <row r="2976" customFormat="false" ht="15" hidden="false" customHeight="false" outlineLevel="0" collapsed="false">
      <c r="F2976" s="41" t="str">
        <f aca="false">IF(E2976="","",IFERROR(VLOOKUP(E2976,Assumptions!$G$5:$H$16,2,0),"Other"))</f>
        <v/>
      </c>
      <c r="J2976" s="41" t="str">
        <f aca="false">IF(G2976="","",IFERROR(IF(ISNUMBER(SEARCH(Assumptions!$C$5,G2976)),Assumptions!$D$5,IF(ISNUMBER(SEARCH(Assumptions!$C$6,G2976)),Assumptions!$D$6,IF(ISNUMBER(SEARCH(Assumptions!$C$7,G2976)),Assumptions!$D$7,"Other Services"))),"Other Services"))</f>
        <v/>
      </c>
    </row>
    <row r="2977" customFormat="false" ht="15" hidden="false" customHeight="false" outlineLevel="0" collapsed="false">
      <c r="F2977" s="41" t="str">
        <f aca="false">IF(E2977="","",IFERROR(VLOOKUP(E2977,Assumptions!$G$5:$H$16,2,0),"Other"))</f>
        <v/>
      </c>
      <c r="J2977" s="41" t="str">
        <f aca="false">IF(G2977="","",IFERROR(IF(ISNUMBER(SEARCH(Assumptions!$C$5,G2977)),Assumptions!$D$5,IF(ISNUMBER(SEARCH(Assumptions!$C$6,G2977)),Assumptions!$D$6,IF(ISNUMBER(SEARCH(Assumptions!$C$7,G2977)),Assumptions!$D$7,"Other Services"))),"Other Services"))</f>
        <v/>
      </c>
    </row>
    <row r="2978" customFormat="false" ht="15" hidden="false" customHeight="false" outlineLevel="0" collapsed="false">
      <c r="F2978" s="41" t="str">
        <f aca="false">IF(E2978="","",IFERROR(VLOOKUP(E2978,Assumptions!$G$5:$H$16,2,0),"Other"))</f>
        <v/>
      </c>
      <c r="J2978" s="41" t="str">
        <f aca="false">IF(G2978="","",IFERROR(IF(ISNUMBER(SEARCH(Assumptions!$C$5,G2978)),Assumptions!$D$5,IF(ISNUMBER(SEARCH(Assumptions!$C$6,G2978)),Assumptions!$D$6,IF(ISNUMBER(SEARCH(Assumptions!$C$7,G2978)),Assumptions!$D$7,"Other Services"))),"Other Services"))</f>
        <v/>
      </c>
    </row>
    <row r="2979" customFormat="false" ht="15" hidden="false" customHeight="false" outlineLevel="0" collapsed="false">
      <c r="F2979" s="41" t="str">
        <f aca="false">IF(E2979="","",IFERROR(VLOOKUP(E2979,Assumptions!$G$5:$H$16,2,0),"Other"))</f>
        <v/>
      </c>
      <c r="J2979" s="41" t="str">
        <f aca="false">IF(G2979="","",IFERROR(IF(ISNUMBER(SEARCH(Assumptions!$C$5,G2979)),Assumptions!$D$5,IF(ISNUMBER(SEARCH(Assumptions!$C$6,G2979)),Assumptions!$D$6,IF(ISNUMBER(SEARCH(Assumptions!$C$7,G2979)),Assumptions!$D$7,"Other Services"))),"Other Services"))</f>
        <v/>
      </c>
    </row>
    <row r="2980" customFormat="false" ht="15" hidden="false" customHeight="false" outlineLevel="0" collapsed="false">
      <c r="F2980" s="41" t="str">
        <f aca="false">IF(E2980="","",IFERROR(VLOOKUP(E2980,Assumptions!$G$5:$H$16,2,0),"Other"))</f>
        <v/>
      </c>
      <c r="J2980" s="41" t="str">
        <f aca="false">IF(G2980="","",IFERROR(IF(ISNUMBER(SEARCH(Assumptions!$C$5,G2980)),Assumptions!$D$5,IF(ISNUMBER(SEARCH(Assumptions!$C$6,G2980)),Assumptions!$D$6,IF(ISNUMBER(SEARCH(Assumptions!$C$7,G2980)),Assumptions!$D$7,"Other Services"))),"Other Services"))</f>
        <v/>
      </c>
    </row>
    <row r="2981" customFormat="false" ht="15" hidden="false" customHeight="false" outlineLevel="0" collapsed="false">
      <c r="F2981" s="41" t="str">
        <f aca="false">IF(E2981="","",IFERROR(VLOOKUP(E2981,Assumptions!$G$5:$H$16,2,0),"Other"))</f>
        <v/>
      </c>
      <c r="J2981" s="41" t="str">
        <f aca="false">IF(G2981="","",IFERROR(IF(ISNUMBER(SEARCH(Assumptions!$C$5,G2981)),Assumptions!$D$5,IF(ISNUMBER(SEARCH(Assumptions!$C$6,G2981)),Assumptions!$D$6,IF(ISNUMBER(SEARCH(Assumptions!$C$7,G2981)),Assumptions!$D$7,"Other Services"))),"Other Services"))</f>
        <v/>
      </c>
    </row>
    <row r="2982" customFormat="false" ht="15" hidden="false" customHeight="false" outlineLevel="0" collapsed="false">
      <c r="F2982" s="41" t="str">
        <f aca="false">IF(E2982="","",IFERROR(VLOOKUP(E2982,Assumptions!$G$5:$H$16,2,0),"Other"))</f>
        <v/>
      </c>
      <c r="J2982" s="41" t="str">
        <f aca="false">IF(G2982="","",IFERROR(IF(ISNUMBER(SEARCH(Assumptions!$C$5,G2982)),Assumptions!$D$5,IF(ISNUMBER(SEARCH(Assumptions!$C$6,G2982)),Assumptions!$D$6,IF(ISNUMBER(SEARCH(Assumptions!$C$7,G2982)),Assumptions!$D$7,"Other Services"))),"Other Services"))</f>
        <v/>
      </c>
    </row>
    <row r="2983" customFormat="false" ht="15" hidden="false" customHeight="false" outlineLevel="0" collapsed="false">
      <c r="F2983" s="41" t="str">
        <f aca="false">IF(E2983="","",IFERROR(VLOOKUP(E2983,Assumptions!$G$5:$H$16,2,0),"Other"))</f>
        <v/>
      </c>
      <c r="J2983" s="41" t="str">
        <f aca="false">IF(G2983="","",IFERROR(IF(ISNUMBER(SEARCH(Assumptions!$C$5,G2983)),Assumptions!$D$5,IF(ISNUMBER(SEARCH(Assumptions!$C$6,G2983)),Assumptions!$D$6,IF(ISNUMBER(SEARCH(Assumptions!$C$7,G2983)),Assumptions!$D$7,"Other Services"))),"Other Services"))</f>
        <v/>
      </c>
    </row>
    <row r="2984" customFormat="false" ht="15" hidden="false" customHeight="false" outlineLevel="0" collapsed="false">
      <c r="F2984" s="41" t="str">
        <f aca="false">IF(E2984="","",IFERROR(VLOOKUP(E2984,Assumptions!$G$5:$H$16,2,0),"Other"))</f>
        <v/>
      </c>
      <c r="J2984" s="41" t="str">
        <f aca="false">IF(G2984="","",IFERROR(IF(ISNUMBER(SEARCH(Assumptions!$C$5,G2984)),Assumptions!$D$5,IF(ISNUMBER(SEARCH(Assumptions!$C$6,G2984)),Assumptions!$D$6,IF(ISNUMBER(SEARCH(Assumptions!$C$7,G2984)),Assumptions!$D$7,"Other Services"))),"Other Services"))</f>
        <v/>
      </c>
    </row>
    <row r="2985" customFormat="false" ht="15" hidden="false" customHeight="false" outlineLevel="0" collapsed="false">
      <c r="F2985" s="41" t="str">
        <f aca="false">IF(E2985="","",IFERROR(VLOOKUP(E2985,Assumptions!$G$5:$H$16,2,0),"Other"))</f>
        <v/>
      </c>
      <c r="J2985" s="41" t="str">
        <f aca="false">IF(G2985="","",IFERROR(IF(ISNUMBER(SEARCH(Assumptions!$C$5,G2985)),Assumptions!$D$5,IF(ISNUMBER(SEARCH(Assumptions!$C$6,G2985)),Assumptions!$D$6,IF(ISNUMBER(SEARCH(Assumptions!$C$7,G2985)),Assumptions!$D$7,"Other Services"))),"Other Services"))</f>
        <v/>
      </c>
    </row>
    <row r="2986" customFormat="false" ht="15" hidden="false" customHeight="false" outlineLevel="0" collapsed="false">
      <c r="F2986" s="41" t="str">
        <f aca="false">IF(E2986="","",IFERROR(VLOOKUP(E2986,Assumptions!$G$5:$H$16,2,0),"Other"))</f>
        <v/>
      </c>
      <c r="J2986" s="41" t="str">
        <f aca="false">IF(G2986="","",IFERROR(IF(ISNUMBER(SEARCH(Assumptions!$C$5,G2986)),Assumptions!$D$5,IF(ISNUMBER(SEARCH(Assumptions!$C$6,G2986)),Assumptions!$D$6,IF(ISNUMBER(SEARCH(Assumptions!$C$7,G2986)),Assumptions!$D$7,"Other Services"))),"Other Services"))</f>
        <v/>
      </c>
    </row>
    <row r="2987" customFormat="false" ht="15" hidden="false" customHeight="false" outlineLevel="0" collapsed="false">
      <c r="F2987" s="41" t="str">
        <f aca="false">IF(E2987="","",IFERROR(VLOOKUP(E2987,Assumptions!$G$5:$H$16,2,0),"Other"))</f>
        <v/>
      </c>
      <c r="J2987" s="41" t="str">
        <f aca="false">IF(G2987="","",IFERROR(IF(ISNUMBER(SEARCH(Assumptions!$C$5,G2987)),Assumptions!$D$5,IF(ISNUMBER(SEARCH(Assumptions!$C$6,G2987)),Assumptions!$D$6,IF(ISNUMBER(SEARCH(Assumptions!$C$7,G2987)),Assumptions!$D$7,"Other Services"))),"Other Services"))</f>
        <v/>
      </c>
    </row>
    <row r="2988" customFormat="false" ht="15" hidden="false" customHeight="false" outlineLevel="0" collapsed="false">
      <c r="F2988" s="41" t="str">
        <f aca="false">IF(E2988="","",IFERROR(VLOOKUP(E2988,Assumptions!$G$5:$H$16,2,0),"Other"))</f>
        <v/>
      </c>
      <c r="J2988" s="41" t="str">
        <f aca="false">IF(G2988="","",IFERROR(IF(ISNUMBER(SEARCH(Assumptions!$C$5,G2988)),Assumptions!$D$5,IF(ISNUMBER(SEARCH(Assumptions!$C$6,G2988)),Assumptions!$D$6,IF(ISNUMBER(SEARCH(Assumptions!$C$7,G2988)),Assumptions!$D$7,"Other Services"))),"Other Services"))</f>
        <v/>
      </c>
    </row>
    <row r="2989" customFormat="false" ht="15" hidden="false" customHeight="false" outlineLevel="0" collapsed="false">
      <c r="F2989" s="41" t="str">
        <f aca="false">IF(E2989="","",IFERROR(VLOOKUP(E2989,Assumptions!$G$5:$H$16,2,0),"Other"))</f>
        <v/>
      </c>
      <c r="J2989" s="41" t="str">
        <f aca="false">IF(G2989="","",IFERROR(IF(ISNUMBER(SEARCH(Assumptions!$C$5,G2989)),Assumptions!$D$5,IF(ISNUMBER(SEARCH(Assumptions!$C$6,G2989)),Assumptions!$D$6,IF(ISNUMBER(SEARCH(Assumptions!$C$7,G2989)),Assumptions!$D$7,"Other Services"))),"Other Services"))</f>
        <v/>
      </c>
    </row>
    <row r="2990" customFormat="false" ht="15" hidden="false" customHeight="false" outlineLevel="0" collapsed="false">
      <c r="F2990" s="41" t="str">
        <f aca="false">IF(E2990="","",IFERROR(VLOOKUP(E2990,Assumptions!$G$5:$H$16,2,0),"Other"))</f>
        <v/>
      </c>
      <c r="J2990" s="41" t="str">
        <f aca="false">IF(G2990="","",IFERROR(IF(ISNUMBER(SEARCH(Assumptions!$C$5,G2990)),Assumptions!$D$5,IF(ISNUMBER(SEARCH(Assumptions!$C$6,G2990)),Assumptions!$D$6,IF(ISNUMBER(SEARCH(Assumptions!$C$7,G2990)),Assumptions!$D$7,"Other Services"))),"Other Services"))</f>
        <v/>
      </c>
    </row>
    <row r="2991" customFormat="false" ht="15" hidden="false" customHeight="false" outlineLevel="0" collapsed="false">
      <c r="F2991" s="41" t="str">
        <f aca="false">IF(E2991="","",IFERROR(VLOOKUP(E2991,Assumptions!$G$5:$H$16,2,0),"Other"))</f>
        <v/>
      </c>
      <c r="J2991" s="41" t="str">
        <f aca="false">IF(G2991="","",IFERROR(IF(ISNUMBER(SEARCH(Assumptions!$C$5,G2991)),Assumptions!$D$5,IF(ISNUMBER(SEARCH(Assumptions!$C$6,G2991)),Assumptions!$D$6,IF(ISNUMBER(SEARCH(Assumptions!$C$7,G2991)),Assumptions!$D$7,"Other Services"))),"Other Services"))</f>
        <v/>
      </c>
    </row>
    <row r="2992" customFormat="false" ht="15" hidden="false" customHeight="false" outlineLevel="0" collapsed="false">
      <c r="F2992" s="41" t="str">
        <f aca="false">IF(E2992="","",IFERROR(VLOOKUP(E2992,Assumptions!$G$5:$H$16,2,0),"Other"))</f>
        <v/>
      </c>
      <c r="J2992" s="41" t="str">
        <f aca="false">IF(G2992="","",IFERROR(IF(ISNUMBER(SEARCH(Assumptions!$C$5,G2992)),Assumptions!$D$5,IF(ISNUMBER(SEARCH(Assumptions!$C$6,G2992)),Assumptions!$D$6,IF(ISNUMBER(SEARCH(Assumptions!$C$7,G2992)),Assumptions!$D$7,"Other Services"))),"Other Services"))</f>
        <v/>
      </c>
    </row>
    <row r="2993" customFormat="false" ht="15" hidden="false" customHeight="false" outlineLevel="0" collapsed="false">
      <c r="F2993" s="41" t="str">
        <f aca="false">IF(E2993="","",IFERROR(VLOOKUP(E2993,Assumptions!$G$5:$H$16,2,0),"Other"))</f>
        <v/>
      </c>
      <c r="J2993" s="41" t="str">
        <f aca="false">IF(G2993="","",IFERROR(IF(ISNUMBER(SEARCH(Assumptions!$C$5,G2993)),Assumptions!$D$5,IF(ISNUMBER(SEARCH(Assumptions!$C$6,G2993)),Assumptions!$D$6,IF(ISNUMBER(SEARCH(Assumptions!$C$7,G2993)),Assumptions!$D$7,"Other Services"))),"Other Services"))</f>
        <v/>
      </c>
    </row>
    <row r="2994" customFormat="false" ht="15" hidden="false" customHeight="false" outlineLevel="0" collapsed="false">
      <c r="F2994" s="41" t="str">
        <f aca="false">IF(E2994="","",IFERROR(VLOOKUP(E2994,Assumptions!$G$5:$H$16,2,0),"Other"))</f>
        <v/>
      </c>
      <c r="J2994" s="41" t="str">
        <f aca="false">IF(G2994="","",IFERROR(IF(ISNUMBER(SEARCH(Assumptions!$C$5,G2994)),Assumptions!$D$5,IF(ISNUMBER(SEARCH(Assumptions!$C$6,G2994)),Assumptions!$D$6,IF(ISNUMBER(SEARCH(Assumptions!$C$7,G2994)),Assumptions!$D$7,"Other Services"))),"Other Services"))</f>
        <v/>
      </c>
    </row>
    <row r="2995" customFormat="false" ht="15" hidden="false" customHeight="false" outlineLevel="0" collapsed="false">
      <c r="F2995" s="41" t="str">
        <f aca="false">IF(E2995="","",IFERROR(VLOOKUP(E2995,Assumptions!$G$5:$H$16,2,0),"Other"))</f>
        <v/>
      </c>
      <c r="J2995" s="41" t="str">
        <f aca="false">IF(G2995="","",IFERROR(IF(ISNUMBER(SEARCH(Assumptions!$C$5,G2995)),Assumptions!$D$5,IF(ISNUMBER(SEARCH(Assumptions!$C$6,G2995)),Assumptions!$D$6,IF(ISNUMBER(SEARCH(Assumptions!$C$7,G2995)),Assumptions!$D$7,"Other Services"))),"Other Services"))</f>
        <v/>
      </c>
    </row>
    <row r="2996" customFormat="false" ht="15" hidden="false" customHeight="false" outlineLevel="0" collapsed="false">
      <c r="F2996" s="41" t="str">
        <f aca="false">IF(E2996="","",IFERROR(VLOOKUP(E2996,Assumptions!$G$5:$H$16,2,0),"Other"))</f>
        <v/>
      </c>
      <c r="J2996" s="41" t="str">
        <f aca="false">IF(G2996="","",IFERROR(IF(ISNUMBER(SEARCH(Assumptions!$C$5,G2996)),Assumptions!$D$5,IF(ISNUMBER(SEARCH(Assumptions!$C$6,G2996)),Assumptions!$D$6,IF(ISNUMBER(SEARCH(Assumptions!$C$7,G2996)),Assumptions!$D$7,"Other Services"))),"Other Services"))</f>
        <v/>
      </c>
    </row>
    <row r="2997" customFormat="false" ht="15" hidden="false" customHeight="false" outlineLevel="0" collapsed="false">
      <c r="F2997" s="41" t="str">
        <f aca="false">IF(E2997="","",IFERROR(VLOOKUP(E2997,Assumptions!$G$5:$H$16,2,0),"Other"))</f>
        <v/>
      </c>
      <c r="J2997" s="41" t="str">
        <f aca="false">IF(G2997="","",IFERROR(IF(ISNUMBER(SEARCH(Assumptions!$C$5,G2997)),Assumptions!$D$5,IF(ISNUMBER(SEARCH(Assumptions!$C$6,G2997)),Assumptions!$D$6,IF(ISNUMBER(SEARCH(Assumptions!$C$7,G2997)),Assumptions!$D$7,"Other Services"))),"Other Services"))</f>
        <v/>
      </c>
    </row>
    <row r="2998" customFormat="false" ht="15" hidden="false" customHeight="false" outlineLevel="0" collapsed="false">
      <c r="F2998" s="41" t="str">
        <f aca="false">IF(E2998="","",IFERROR(VLOOKUP(E2998,Assumptions!$G$5:$H$16,2,0),"Other"))</f>
        <v/>
      </c>
      <c r="J2998" s="41" t="str">
        <f aca="false">IF(G2998="","",IFERROR(IF(ISNUMBER(SEARCH(Assumptions!$C$5,G2998)),Assumptions!$D$5,IF(ISNUMBER(SEARCH(Assumptions!$C$6,G2998)),Assumptions!$D$6,IF(ISNUMBER(SEARCH(Assumptions!$C$7,G2998)),Assumptions!$D$7,"Other Services"))),"Other Services"))</f>
        <v/>
      </c>
    </row>
    <row r="2999" customFormat="false" ht="15" hidden="false" customHeight="false" outlineLevel="0" collapsed="false">
      <c r="F2999" s="41" t="str">
        <f aca="false">IF(E2999="","",IFERROR(VLOOKUP(E2999,Assumptions!$G$5:$H$16,2,0),"Other"))</f>
        <v/>
      </c>
      <c r="J2999" s="41" t="str">
        <f aca="false">IF(G2999="","",IFERROR(IF(ISNUMBER(SEARCH(Assumptions!$C$5,G2999)),Assumptions!$D$5,IF(ISNUMBER(SEARCH(Assumptions!$C$6,G2999)),Assumptions!$D$6,IF(ISNUMBER(SEARCH(Assumptions!$C$7,G2999)),Assumptions!$D$7,"Other Services"))),"Other Services"))</f>
        <v/>
      </c>
    </row>
    <row r="3000" customFormat="false" ht="15" hidden="false" customHeight="false" outlineLevel="0" collapsed="false">
      <c r="F3000" s="41" t="str">
        <f aca="false">IF(E3000="","",IFERROR(VLOOKUP(E3000,Assumptions!$G$5:$H$16,2,0),"Other"))</f>
        <v/>
      </c>
      <c r="J3000" s="41" t="str">
        <f aca="false">IF(G3000="","",IFERROR(IF(ISNUMBER(SEARCH(Assumptions!$C$5,G3000)),Assumptions!$D$5,IF(ISNUMBER(SEARCH(Assumptions!$C$6,G3000)),Assumptions!$D$6,IF(ISNUMBER(SEARCH(Assumptions!$C$7,G3000)),Assumptions!$D$7,"Other Services"))),"Other Services"))</f>
        <v/>
      </c>
    </row>
    <row r="3001" customFormat="false" ht="15" hidden="false" customHeight="false" outlineLevel="0" collapsed="false">
      <c r="F3001" s="41" t="str">
        <f aca="false">IF(E3001="","",IFERROR(VLOOKUP(E3001,Assumptions!$G$5:$H$16,2,0),"Other"))</f>
        <v/>
      </c>
      <c r="J3001" s="41" t="str">
        <f aca="false">IF(G3001="","",IFERROR(IF(ISNUMBER(SEARCH(Assumptions!$C$5,G3001)),Assumptions!$D$5,IF(ISNUMBER(SEARCH(Assumptions!$C$6,G3001)),Assumptions!$D$6,IF(ISNUMBER(SEARCH(Assumptions!$C$7,G3001)),Assumptions!$D$7,"Other Services"))),"Other Services"))</f>
        <v/>
      </c>
    </row>
    <row r="3002" customFormat="false" ht="15" hidden="false" customHeight="false" outlineLevel="0" collapsed="false">
      <c r="F3002" s="41" t="str">
        <f aca="false">IF(E3002="","",IFERROR(VLOOKUP(E3002,Assumptions!$G$5:$H$16,2,0),"Other"))</f>
        <v/>
      </c>
      <c r="J3002" s="41" t="str">
        <f aca="false">IF(G3002="","",IFERROR(IF(ISNUMBER(SEARCH(Assumptions!$C$5,G3002)),Assumptions!$D$5,IF(ISNUMBER(SEARCH(Assumptions!$C$6,G3002)),Assumptions!$D$6,IF(ISNUMBER(SEARCH(Assumptions!$C$7,G3002)),Assumptions!$D$7,"Other Services"))),"Other Services"))</f>
        <v/>
      </c>
    </row>
    <row r="3003" customFormat="false" ht="15" hidden="false" customHeight="false" outlineLevel="0" collapsed="false">
      <c r="F3003" s="41" t="str">
        <f aca="false">IF(E3003="","",IFERROR(VLOOKUP(E3003,Assumptions!$G$5:$H$16,2,0),"Other"))</f>
        <v/>
      </c>
      <c r="J3003" s="41" t="str">
        <f aca="false">IF(G3003="","",IFERROR(IF(ISNUMBER(SEARCH(Assumptions!$C$5,G3003)),Assumptions!$D$5,IF(ISNUMBER(SEARCH(Assumptions!$C$6,G3003)),Assumptions!$D$6,IF(ISNUMBER(SEARCH(Assumptions!$C$7,G3003)),Assumptions!$D$7,"Other Services"))),"Other Services"))</f>
        <v/>
      </c>
    </row>
    <row r="3004" customFormat="false" ht="15" hidden="false" customHeight="false" outlineLevel="0" collapsed="false">
      <c r="F3004" s="41" t="str">
        <f aca="false">IF(E3004="","",IFERROR(VLOOKUP(E3004,Assumptions!$G$5:$H$16,2,0),"Other"))</f>
        <v/>
      </c>
      <c r="J3004" s="41" t="str">
        <f aca="false">IF(G3004="","",IFERROR(IF(ISNUMBER(SEARCH(Assumptions!$C$5,G3004)),Assumptions!$D$5,IF(ISNUMBER(SEARCH(Assumptions!$C$6,G3004)),Assumptions!$D$6,IF(ISNUMBER(SEARCH(Assumptions!$C$7,G3004)),Assumptions!$D$7,"Other Services"))),"Other Services"))</f>
        <v/>
      </c>
    </row>
    <row r="3005" customFormat="false" ht="15" hidden="false" customHeight="false" outlineLevel="0" collapsed="false">
      <c r="F3005" s="41" t="str">
        <f aca="false">IF(E3005="","",IFERROR(VLOOKUP(E3005,Assumptions!$G$5:$H$16,2,0),"Other"))</f>
        <v/>
      </c>
      <c r="J3005" s="41" t="str">
        <f aca="false">IF(G3005="","",IFERROR(IF(ISNUMBER(SEARCH(Assumptions!$C$5,G3005)),Assumptions!$D$5,IF(ISNUMBER(SEARCH(Assumptions!$C$6,G3005)),Assumptions!$D$6,IF(ISNUMBER(SEARCH(Assumptions!$C$7,G3005)),Assumptions!$D$7,"Other Services"))),"Other Services"))</f>
        <v/>
      </c>
    </row>
    <row r="3006" customFormat="false" ht="15" hidden="false" customHeight="false" outlineLevel="0" collapsed="false">
      <c r="F3006" s="41" t="str">
        <f aca="false">IF(E3006="","",IFERROR(VLOOKUP(E3006,Assumptions!$G$5:$H$16,2,0),"Other"))</f>
        <v/>
      </c>
      <c r="J3006" s="41" t="str">
        <f aca="false">IF(G3006="","",IFERROR(IF(ISNUMBER(SEARCH(Assumptions!$C$5,G3006)),Assumptions!$D$5,IF(ISNUMBER(SEARCH(Assumptions!$C$6,G3006)),Assumptions!$D$6,IF(ISNUMBER(SEARCH(Assumptions!$C$7,G3006)),Assumptions!$D$7,"Other Services"))),"Other Services"))</f>
        <v/>
      </c>
    </row>
    <row r="3007" customFormat="false" ht="15" hidden="false" customHeight="false" outlineLevel="0" collapsed="false">
      <c r="F3007" s="41" t="str">
        <f aca="false">IF(E3007="","",IFERROR(VLOOKUP(E3007,Assumptions!$G$5:$H$16,2,0),"Other"))</f>
        <v/>
      </c>
      <c r="J3007" s="41" t="str">
        <f aca="false">IF(G3007="","",IFERROR(IF(ISNUMBER(SEARCH(Assumptions!$C$5,G3007)),Assumptions!$D$5,IF(ISNUMBER(SEARCH(Assumptions!$C$6,G3007)),Assumptions!$D$6,IF(ISNUMBER(SEARCH(Assumptions!$C$7,G3007)),Assumptions!$D$7,"Other Services"))),"Other Services"))</f>
        <v/>
      </c>
    </row>
    <row r="3008" customFormat="false" ht="15" hidden="false" customHeight="false" outlineLevel="0" collapsed="false">
      <c r="F3008" s="41" t="str">
        <f aca="false">IF(E3008="","",IFERROR(VLOOKUP(E3008,Assumptions!$G$5:$H$16,2,0),"Other"))</f>
        <v/>
      </c>
      <c r="J3008" s="41" t="str">
        <f aca="false">IF(G3008="","",IFERROR(IF(ISNUMBER(SEARCH(Assumptions!$C$5,G3008)),Assumptions!$D$5,IF(ISNUMBER(SEARCH(Assumptions!$C$6,G3008)),Assumptions!$D$6,IF(ISNUMBER(SEARCH(Assumptions!$C$7,G3008)),Assumptions!$D$7,"Other Services"))),"Other Services"))</f>
        <v/>
      </c>
    </row>
    <row r="3009" customFormat="false" ht="15" hidden="false" customHeight="false" outlineLevel="0" collapsed="false">
      <c r="F3009" s="41" t="str">
        <f aca="false">IF(E3009="","",IFERROR(VLOOKUP(E3009,Assumptions!$G$5:$H$16,2,0),"Other"))</f>
        <v/>
      </c>
      <c r="J3009" s="41" t="str">
        <f aca="false">IF(G3009="","",IFERROR(IF(ISNUMBER(SEARCH(Assumptions!$C$5,G3009)),Assumptions!$D$5,IF(ISNUMBER(SEARCH(Assumptions!$C$6,G3009)),Assumptions!$D$6,IF(ISNUMBER(SEARCH(Assumptions!$C$7,G3009)),Assumptions!$D$7,"Other Services"))),"Other Services"))</f>
        <v/>
      </c>
    </row>
    <row r="3010" customFormat="false" ht="15" hidden="false" customHeight="false" outlineLevel="0" collapsed="false">
      <c r="F3010" s="41" t="str">
        <f aca="false">IF(E3010="","",IFERROR(VLOOKUP(E3010,Assumptions!$G$5:$H$16,2,0),"Other"))</f>
        <v/>
      </c>
      <c r="J3010" s="41" t="str">
        <f aca="false">IF(G3010="","",IFERROR(IF(ISNUMBER(SEARCH(Assumptions!$C$5,G3010)),Assumptions!$D$5,IF(ISNUMBER(SEARCH(Assumptions!$C$6,G3010)),Assumptions!$D$6,IF(ISNUMBER(SEARCH(Assumptions!$C$7,G3010)),Assumptions!$D$7,"Other Services"))),"Other Services"))</f>
        <v/>
      </c>
    </row>
    <row r="3011" customFormat="false" ht="15" hidden="false" customHeight="false" outlineLevel="0" collapsed="false">
      <c r="F3011" s="41" t="str">
        <f aca="false">IF(E3011="","",IFERROR(VLOOKUP(E3011,Assumptions!$G$5:$H$16,2,0),"Other"))</f>
        <v/>
      </c>
      <c r="J3011" s="41" t="str">
        <f aca="false">IF(G3011="","",IFERROR(IF(ISNUMBER(SEARCH(Assumptions!$C$5,G3011)),Assumptions!$D$5,IF(ISNUMBER(SEARCH(Assumptions!$C$6,G3011)),Assumptions!$D$6,IF(ISNUMBER(SEARCH(Assumptions!$C$7,G3011)),Assumptions!$D$7,"Other Services"))),"Other Services"))</f>
        <v/>
      </c>
    </row>
    <row r="3012" customFormat="false" ht="15" hidden="false" customHeight="false" outlineLevel="0" collapsed="false">
      <c r="F3012" s="41" t="str">
        <f aca="false">IF(E3012="","",IFERROR(VLOOKUP(E3012,Assumptions!$G$5:$H$16,2,0),"Other"))</f>
        <v/>
      </c>
      <c r="J3012" s="41" t="str">
        <f aca="false">IF(G3012="","",IFERROR(IF(ISNUMBER(SEARCH(Assumptions!$C$5,G3012)),Assumptions!$D$5,IF(ISNUMBER(SEARCH(Assumptions!$C$6,G3012)),Assumptions!$D$6,IF(ISNUMBER(SEARCH(Assumptions!$C$7,G3012)),Assumptions!$D$7,"Other Services"))),"Other Services"))</f>
        <v/>
      </c>
    </row>
    <row r="3013" customFormat="false" ht="15" hidden="false" customHeight="false" outlineLevel="0" collapsed="false">
      <c r="F3013" s="41" t="str">
        <f aca="false">IF(E3013="","",IFERROR(VLOOKUP(E3013,Assumptions!$G$5:$H$16,2,0),"Other"))</f>
        <v/>
      </c>
      <c r="J3013" s="41" t="str">
        <f aca="false">IF(G3013="","",IFERROR(IF(ISNUMBER(SEARCH(Assumptions!$C$5,G3013)),Assumptions!$D$5,IF(ISNUMBER(SEARCH(Assumptions!$C$6,G3013)),Assumptions!$D$6,IF(ISNUMBER(SEARCH(Assumptions!$C$7,G3013)),Assumptions!$D$7,"Other Services"))),"Other Services"))</f>
        <v/>
      </c>
    </row>
    <row r="3014" customFormat="false" ht="15" hidden="false" customHeight="false" outlineLevel="0" collapsed="false">
      <c r="F3014" s="41" t="str">
        <f aca="false">IF(E3014="","",IFERROR(VLOOKUP(E3014,Assumptions!$G$5:$H$16,2,0),"Other"))</f>
        <v/>
      </c>
      <c r="J3014" s="41" t="str">
        <f aca="false">IF(G3014="","",IFERROR(IF(ISNUMBER(SEARCH(Assumptions!$C$5,G3014)),Assumptions!$D$5,IF(ISNUMBER(SEARCH(Assumptions!$C$6,G3014)),Assumptions!$D$6,IF(ISNUMBER(SEARCH(Assumptions!$C$7,G3014)),Assumptions!$D$7,"Other Services"))),"Other Services"))</f>
        <v/>
      </c>
    </row>
    <row r="3015" customFormat="false" ht="15" hidden="false" customHeight="false" outlineLevel="0" collapsed="false">
      <c r="F3015" s="41" t="str">
        <f aca="false">IF(E3015="","",IFERROR(VLOOKUP(E3015,Assumptions!$G$5:$H$16,2,0),"Other"))</f>
        <v/>
      </c>
      <c r="J3015" s="41" t="str">
        <f aca="false">IF(G3015="","",IFERROR(IF(ISNUMBER(SEARCH(Assumptions!$C$5,G3015)),Assumptions!$D$5,IF(ISNUMBER(SEARCH(Assumptions!$C$6,G3015)),Assumptions!$D$6,IF(ISNUMBER(SEARCH(Assumptions!$C$7,G3015)),Assumptions!$D$7,"Other Services"))),"Other Services"))</f>
        <v/>
      </c>
    </row>
    <row r="3016" customFormat="false" ht="15" hidden="false" customHeight="false" outlineLevel="0" collapsed="false">
      <c r="F3016" s="41" t="str">
        <f aca="false">IF(E3016="","",IFERROR(VLOOKUP(E3016,Assumptions!$G$5:$H$16,2,0),"Other"))</f>
        <v/>
      </c>
      <c r="J3016" s="41" t="str">
        <f aca="false">IF(G3016="","",IFERROR(IF(ISNUMBER(SEARCH(Assumptions!$C$5,G3016)),Assumptions!$D$5,IF(ISNUMBER(SEARCH(Assumptions!$C$6,G3016)),Assumptions!$D$6,IF(ISNUMBER(SEARCH(Assumptions!$C$7,G3016)),Assumptions!$D$7,"Other Services"))),"Other Services"))</f>
        <v/>
      </c>
    </row>
    <row r="3017" customFormat="false" ht="15" hidden="false" customHeight="false" outlineLevel="0" collapsed="false">
      <c r="F3017" s="41" t="str">
        <f aca="false">IF(E3017="","",IFERROR(VLOOKUP(E3017,Assumptions!$G$5:$H$16,2,0),"Other"))</f>
        <v/>
      </c>
      <c r="J3017" s="41" t="str">
        <f aca="false">IF(G3017="","",IFERROR(IF(ISNUMBER(SEARCH(Assumptions!$C$5,G3017)),Assumptions!$D$5,IF(ISNUMBER(SEARCH(Assumptions!$C$6,G3017)),Assumptions!$D$6,IF(ISNUMBER(SEARCH(Assumptions!$C$7,G3017)),Assumptions!$D$7,"Other Services"))),"Other Services"))</f>
        <v/>
      </c>
    </row>
    <row r="3018" customFormat="false" ht="15" hidden="false" customHeight="false" outlineLevel="0" collapsed="false">
      <c r="F3018" s="41" t="str">
        <f aca="false">IF(E3018="","",IFERROR(VLOOKUP(E3018,Assumptions!$G$5:$H$16,2,0),"Other"))</f>
        <v/>
      </c>
      <c r="J3018" s="41" t="str">
        <f aca="false">IF(G3018="","",IFERROR(IF(ISNUMBER(SEARCH(Assumptions!$C$5,G3018)),Assumptions!$D$5,IF(ISNUMBER(SEARCH(Assumptions!$C$6,G3018)),Assumptions!$D$6,IF(ISNUMBER(SEARCH(Assumptions!$C$7,G3018)),Assumptions!$D$7,"Other Services"))),"Other Services"))</f>
        <v/>
      </c>
    </row>
    <row r="3019" customFormat="false" ht="15" hidden="false" customHeight="false" outlineLevel="0" collapsed="false">
      <c r="F3019" s="41" t="str">
        <f aca="false">IF(E3019="","",IFERROR(VLOOKUP(E3019,Assumptions!$G$5:$H$16,2,0),"Other"))</f>
        <v/>
      </c>
      <c r="J3019" s="41" t="str">
        <f aca="false">IF(G3019="","",IFERROR(IF(ISNUMBER(SEARCH(Assumptions!$C$5,G3019)),Assumptions!$D$5,IF(ISNUMBER(SEARCH(Assumptions!$C$6,G3019)),Assumptions!$D$6,IF(ISNUMBER(SEARCH(Assumptions!$C$7,G3019)),Assumptions!$D$7,"Other Services"))),"Other Services"))</f>
        <v/>
      </c>
    </row>
    <row r="3020" customFormat="false" ht="15" hidden="false" customHeight="false" outlineLevel="0" collapsed="false">
      <c r="F3020" s="41" t="str">
        <f aca="false">IF(E3020="","",IFERROR(VLOOKUP(E3020,Assumptions!$G$5:$H$16,2,0),"Other"))</f>
        <v/>
      </c>
      <c r="J3020" s="41" t="str">
        <f aca="false">IF(G3020="","",IFERROR(IF(ISNUMBER(SEARCH(Assumptions!$C$5,G3020)),Assumptions!$D$5,IF(ISNUMBER(SEARCH(Assumptions!$C$6,G3020)),Assumptions!$D$6,IF(ISNUMBER(SEARCH(Assumptions!$C$7,G3020)),Assumptions!$D$7,"Other Services"))),"Other Services"))</f>
        <v/>
      </c>
    </row>
    <row r="3021" customFormat="false" ht="15" hidden="false" customHeight="false" outlineLevel="0" collapsed="false">
      <c r="F3021" s="41" t="str">
        <f aca="false">IF(E3021="","",IFERROR(VLOOKUP(E3021,Assumptions!$G$5:$H$16,2,0),"Other"))</f>
        <v/>
      </c>
      <c r="J3021" s="41" t="str">
        <f aca="false">IF(G3021="","",IFERROR(IF(ISNUMBER(SEARCH(Assumptions!$C$5,G3021)),Assumptions!$D$5,IF(ISNUMBER(SEARCH(Assumptions!$C$6,G3021)),Assumptions!$D$6,IF(ISNUMBER(SEARCH(Assumptions!$C$7,G3021)),Assumptions!$D$7,"Other Services"))),"Other Services"))</f>
        <v/>
      </c>
    </row>
    <row r="3022" customFormat="false" ht="15" hidden="false" customHeight="false" outlineLevel="0" collapsed="false">
      <c r="F3022" s="41" t="str">
        <f aca="false">IF(E3022="","",IFERROR(VLOOKUP(E3022,Assumptions!$G$5:$H$16,2,0),"Other"))</f>
        <v/>
      </c>
      <c r="J3022" s="41" t="str">
        <f aca="false">IF(G3022="","",IFERROR(IF(ISNUMBER(SEARCH(Assumptions!$C$5,G3022)),Assumptions!$D$5,IF(ISNUMBER(SEARCH(Assumptions!$C$6,G3022)),Assumptions!$D$6,IF(ISNUMBER(SEARCH(Assumptions!$C$7,G3022)),Assumptions!$D$7,"Other Services"))),"Other Services"))</f>
        <v/>
      </c>
    </row>
    <row r="3023" customFormat="false" ht="15" hidden="false" customHeight="false" outlineLevel="0" collapsed="false">
      <c r="F3023" s="41" t="str">
        <f aca="false">IF(E3023="","",IFERROR(VLOOKUP(E3023,Assumptions!$G$5:$H$16,2,0),"Other"))</f>
        <v/>
      </c>
      <c r="J3023" s="41" t="str">
        <f aca="false">IF(G3023="","",IFERROR(IF(ISNUMBER(SEARCH(Assumptions!$C$5,G3023)),Assumptions!$D$5,IF(ISNUMBER(SEARCH(Assumptions!$C$6,G3023)),Assumptions!$D$6,IF(ISNUMBER(SEARCH(Assumptions!$C$7,G3023)),Assumptions!$D$7,"Other Services"))),"Other Services"))</f>
        <v/>
      </c>
    </row>
    <row r="3024" customFormat="false" ht="15" hidden="false" customHeight="false" outlineLevel="0" collapsed="false">
      <c r="F3024" s="41" t="str">
        <f aca="false">IF(E3024="","",IFERROR(VLOOKUP(E3024,Assumptions!$G$5:$H$16,2,0),"Other"))</f>
        <v/>
      </c>
      <c r="J3024" s="41" t="str">
        <f aca="false">IF(G3024="","",IFERROR(IF(ISNUMBER(SEARCH(Assumptions!$C$5,G3024)),Assumptions!$D$5,IF(ISNUMBER(SEARCH(Assumptions!$C$6,G3024)),Assumptions!$D$6,IF(ISNUMBER(SEARCH(Assumptions!$C$7,G3024)),Assumptions!$D$7,"Other Services"))),"Other Services"))</f>
        <v/>
      </c>
    </row>
    <row r="3025" customFormat="false" ht="15" hidden="false" customHeight="false" outlineLevel="0" collapsed="false">
      <c r="F3025" s="41" t="str">
        <f aca="false">IF(E3025="","",IFERROR(VLOOKUP(E3025,Assumptions!$G$5:$H$16,2,0),"Other"))</f>
        <v/>
      </c>
      <c r="J3025" s="41" t="str">
        <f aca="false">IF(G3025="","",IFERROR(IF(ISNUMBER(SEARCH(Assumptions!$C$5,G3025)),Assumptions!$D$5,IF(ISNUMBER(SEARCH(Assumptions!$C$6,G3025)),Assumptions!$D$6,IF(ISNUMBER(SEARCH(Assumptions!$C$7,G3025)),Assumptions!$D$7,"Other Services"))),"Other Services"))</f>
        <v/>
      </c>
    </row>
    <row r="3026" customFormat="false" ht="15" hidden="false" customHeight="false" outlineLevel="0" collapsed="false">
      <c r="F3026" s="41" t="str">
        <f aca="false">IF(E3026="","",IFERROR(VLOOKUP(E3026,Assumptions!$G$5:$H$16,2,0),"Other"))</f>
        <v/>
      </c>
      <c r="J3026" s="41" t="str">
        <f aca="false">IF(G3026="","",IFERROR(IF(ISNUMBER(SEARCH(Assumptions!$C$5,G3026)),Assumptions!$D$5,IF(ISNUMBER(SEARCH(Assumptions!$C$6,G3026)),Assumptions!$D$6,IF(ISNUMBER(SEARCH(Assumptions!$C$7,G3026)),Assumptions!$D$7,"Other Services"))),"Other Services"))</f>
        <v/>
      </c>
    </row>
    <row r="3027" customFormat="false" ht="15" hidden="false" customHeight="false" outlineLevel="0" collapsed="false">
      <c r="F3027" s="41" t="str">
        <f aca="false">IF(E3027="","",IFERROR(VLOOKUP(E3027,Assumptions!$G$5:$H$16,2,0),"Other"))</f>
        <v/>
      </c>
      <c r="J3027" s="41" t="str">
        <f aca="false">IF(G3027="","",IFERROR(IF(ISNUMBER(SEARCH(Assumptions!$C$5,G3027)),Assumptions!$D$5,IF(ISNUMBER(SEARCH(Assumptions!$C$6,G3027)),Assumptions!$D$6,IF(ISNUMBER(SEARCH(Assumptions!$C$7,G3027)),Assumptions!$D$7,"Other Services"))),"Other Services"))</f>
        <v/>
      </c>
    </row>
    <row r="3028" customFormat="false" ht="15" hidden="false" customHeight="false" outlineLevel="0" collapsed="false">
      <c r="F3028" s="41" t="str">
        <f aca="false">IF(E3028="","",IFERROR(VLOOKUP(E3028,Assumptions!$G$5:$H$16,2,0),"Other"))</f>
        <v/>
      </c>
      <c r="J3028" s="41" t="str">
        <f aca="false">IF(G3028="","",IFERROR(IF(ISNUMBER(SEARCH(Assumptions!$C$5,G3028)),Assumptions!$D$5,IF(ISNUMBER(SEARCH(Assumptions!$C$6,G3028)),Assumptions!$D$6,IF(ISNUMBER(SEARCH(Assumptions!$C$7,G3028)),Assumptions!$D$7,"Other Services"))),"Other Services"))</f>
        <v/>
      </c>
    </row>
    <row r="3029" customFormat="false" ht="15" hidden="false" customHeight="false" outlineLevel="0" collapsed="false">
      <c r="F3029" s="41" t="str">
        <f aca="false">IF(E3029="","",IFERROR(VLOOKUP(E3029,Assumptions!$G$5:$H$16,2,0),"Other"))</f>
        <v/>
      </c>
      <c r="J3029" s="41" t="str">
        <f aca="false">IF(G3029="","",IFERROR(IF(ISNUMBER(SEARCH(Assumptions!$C$5,G3029)),Assumptions!$D$5,IF(ISNUMBER(SEARCH(Assumptions!$C$6,G3029)),Assumptions!$D$6,IF(ISNUMBER(SEARCH(Assumptions!$C$7,G3029)),Assumptions!$D$7,"Other Services"))),"Other Services"))</f>
        <v/>
      </c>
    </row>
    <row r="3030" customFormat="false" ht="15" hidden="false" customHeight="false" outlineLevel="0" collapsed="false">
      <c r="F3030" s="41" t="str">
        <f aca="false">IF(E3030="","",IFERROR(VLOOKUP(E3030,Assumptions!$G$5:$H$16,2,0),"Other"))</f>
        <v/>
      </c>
      <c r="J3030" s="41" t="str">
        <f aca="false">IF(G3030="","",IFERROR(IF(ISNUMBER(SEARCH(Assumptions!$C$5,G3030)),Assumptions!$D$5,IF(ISNUMBER(SEARCH(Assumptions!$C$6,G3030)),Assumptions!$D$6,IF(ISNUMBER(SEARCH(Assumptions!$C$7,G3030)),Assumptions!$D$7,"Other Services"))),"Other Services"))</f>
        <v/>
      </c>
    </row>
    <row r="3031" customFormat="false" ht="15" hidden="false" customHeight="false" outlineLevel="0" collapsed="false">
      <c r="F3031" s="41" t="str">
        <f aca="false">IF(E3031="","",IFERROR(VLOOKUP(E3031,Assumptions!$G$5:$H$16,2,0),"Other"))</f>
        <v/>
      </c>
      <c r="J3031" s="41" t="str">
        <f aca="false">IF(G3031="","",IFERROR(IF(ISNUMBER(SEARCH(Assumptions!$C$5,G3031)),Assumptions!$D$5,IF(ISNUMBER(SEARCH(Assumptions!$C$6,G3031)),Assumptions!$D$6,IF(ISNUMBER(SEARCH(Assumptions!$C$7,G3031)),Assumptions!$D$7,"Other Services"))),"Other Services"))</f>
        <v/>
      </c>
    </row>
    <row r="3032" customFormat="false" ht="15" hidden="false" customHeight="false" outlineLevel="0" collapsed="false">
      <c r="F3032" s="41" t="str">
        <f aca="false">IF(E3032="","",IFERROR(VLOOKUP(E3032,Assumptions!$G$5:$H$16,2,0),"Other"))</f>
        <v/>
      </c>
      <c r="J3032" s="41" t="str">
        <f aca="false">IF(G3032="","",IFERROR(IF(ISNUMBER(SEARCH(Assumptions!$C$5,G3032)),Assumptions!$D$5,IF(ISNUMBER(SEARCH(Assumptions!$C$6,G3032)),Assumptions!$D$6,IF(ISNUMBER(SEARCH(Assumptions!$C$7,G3032)),Assumptions!$D$7,"Other Services"))),"Other Services"))</f>
        <v/>
      </c>
    </row>
    <row r="3033" customFormat="false" ht="15" hidden="false" customHeight="false" outlineLevel="0" collapsed="false">
      <c r="F3033" s="41" t="str">
        <f aca="false">IF(E3033="","",IFERROR(VLOOKUP(E3033,Assumptions!$G$5:$H$16,2,0),"Other"))</f>
        <v/>
      </c>
      <c r="J3033" s="41" t="str">
        <f aca="false">IF(G3033="","",IFERROR(IF(ISNUMBER(SEARCH(Assumptions!$C$5,G3033)),Assumptions!$D$5,IF(ISNUMBER(SEARCH(Assumptions!$C$6,G3033)),Assumptions!$D$6,IF(ISNUMBER(SEARCH(Assumptions!$C$7,G3033)),Assumptions!$D$7,"Other Services"))),"Other Services"))</f>
        <v/>
      </c>
    </row>
    <row r="3034" customFormat="false" ht="15" hidden="false" customHeight="false" outlineLevel="0" collapsed="false">
      <c r="F3034" s="41" t="str">
        <f aca="false">IF(E3034="","",IFERROR(VLOOKUP(E3034,Assumptions!$G$5:$H$16,2,0),"Other"))</f>
        <v/>
      </c>
      <c r="J3034" s="41" t="str">
        <f aca="false">IF(G3034="","",IFERROR(IF(ISNUMBER(SEARCH(Assumptions!$C$5,G3034)),Assumptions!$D$5,IF(ISNUMBER(SEARCH(Assumptions!$C$6,G3034)),Assumptions!$D$6,IF(ISNUMBER(SEARCH(Assumptions!$C$7,G3034)),Assumptions!$D$7,"Other Services"))),"Other Services"))</f>
        <v/>
      </c>
    </row>
    <row r="3035" customFormat="false" ht="15" hidden="false" customHeight="false" outlineLevel="0" collapsed="false">
      <c r="F3035" s="41" t="str">
        <f aca="false">IF(E3035="","",IFERROR(VLOOKUP(E3035,Assumptions!$G$5:$H$16,2,0),"Other"))</f>
        <v/>
      </c>
      <c r="J3035" s="41" t="str">
        <f aca="false">IF(G3035="","",IFERROR(IF(ISNUMBER(SEARCH(Assumptions!$C$5,G3035)),Assumptions!$D$5,IF(ISNUMBER(SEARCH(Assumptions!$C$6,G3035)),Assumptions!$D$6,IF(ISNUMBER(SEARCH(Assumptions!$C$7,G3035)),Assumptions!$D$7,"Other Services"))),"Other Services"))</f>
        <v/>
      </c>
    </row>
    <row r="3036" customFormat="false" ht="15" hidden="false" customHeight="false" outlineLevel="0" collapsed="false">
      <c r="F3036" s="41" t="str">
        <f aca="false">IF(E3036="","",IFERROR(VLOOKUP(E3036,Assumptions!$G$5:$H$16,2,0),"Other"))</f>
        <v/>
      </c>
      <c r="J3036" s="41" t="str">
        <f aca="false">IF(G3036="","",IFERROR(IF(ISNUMBER(SEARCH(Assumptions!$C$5,G3036)),Assumptions!$D$5,IF(ISNUMBER(SEARCH(Assumptions!$C$6,G3036)),Assumptions!$D$6,IF(ISNUMBER(SEARCH(Assumptions!$C$7,G3036)),Assumptions!$D$7,"Other Services"))),"Other Services"))</f>
        <v/>
      </c>
    </row>
    <row r="3037" customFormat="false" ht="15" hidden="false" customHeight="false" outlineLevel="0" collapsed="false">
      <c r="F3037" s="41" t="str">
        <f aca="false">IF(E3037="","",IFERROR(VLOOKUP(E3037,Assumptions!$G$5:$H$16,2,0),"Other"))</f>
        <v/>
      </c>
      <c r="J3037" s="41" t="str">
        <f aca="false">IF(G3037="","",IFERROR(IF(ISNUMBER(SEARCH(Assumptions!$C$5,G3037)),Assumptions!$D$5,IF(ISNUMBER(SEARCH(Assumptions!$C$6,G3037)),Assumptions!$D$6,IF(ISNUMBER(SEARCH(Assumptions!$C$7,G3037)),Assumptions!$D$7,"Other Services"))),"Other Services"))</f>
        <v/>
      </c>
    </row>
    <row r="3038" customFormat="false" ht="15" hidden="false" customHeight="false" outlineLevel="0" collapsed="false">
      <c r="F3038" s="41" t="str">
        <f aca="false">IF(E3038="","",IFERROR(VLOOKUP(E3038,Assumptions!$G$5:$H$16,2,0),"Other"))</f>
        <v/>
      </c>
      <c r="J3038" s="41" t="str">
        <f aca="false">IF(G3038="","",IFERROR(IF(ISNUMBER(SEARCH(Assumptions!$C$5,G3038)),Assumptions!$D$5,IF(ISNUMBER(SEARCH(Assumptions!$C$6,G3038)),Assumptions!$D$6,IF(ISNUMBER(SEARCH(Assumptions!$C$7,G3038)),Assumptions!$D$7,"Other Services"))),"Other Services"))</f>
        <v/>
      </c>
    </row>
    <row r="3039" customFormat="false" ht="15" hidden="false" customHeight="false" outlineLevel="0" collapsed="false">
      <c r="F3039" s="41" t="str">
        <f aca="false">IF(E3039="","",IFERROR(VLOOKUP(E3039,Assumptions!$G$5:$H$16,2,0),"Other"))</f>
        <v/>
      </c>
      <c r="J3039" s="41" t="str">
        <f aca="false">IF(G3039="","",IFERROR(IF(ISNUMBER(SEARCH(Assumptions!$C$5,G3039)),Assumptions!$D$5,IF(ISNUMBER(SEARCH(Assumptions!$C$6,G3039)),Assumptions!$D$6,IF(ISNUMBER(SEARCH(Assumptions!$C$7,G3039)),Assumptions!$D$7,"Other Services"))),"Other Services"))</f>
        <v/>
      </c>
    </row>
    <row r="3040" customFormat="false" ht="15" hidden="false" customHeight="false" outlineLevel="0" collapsed="false">
      <c r="F3040" s="41" t="str">
        <f aca="false">IF(E3040="","",IFERROR(VLOOKUP(E3040,Assumptions!$G$5:$H$16,2,0),"Other"))</f>
        <v/>
      </c>
      <c r="J3040" s="41" t="str">
        <f aca="false">IF(G3040="","",IFERROR(IF(ISNUMBER(SEARCH(Assumptions!$C$5,G3040)),Assumptions!$D$5,IF(ISNUMBER(SEARCH(Assumptions!$C$6,G3040)),Assumptions!$D$6,IF(ISNUMBER(SEARCH(Assumptions!$C$7,G3040)),Assumptions!$D$7,"Other Services"))),"Other Services"))</f>
        <v/>
      </c>
    </row>
    <row r="3041" customFormat="false" ht="15" hidden="false" customHeight="false" outlineLevel="0" collapsed="false">
      <c r="F3041" s="41" t="str">
        <f aca="false">IF(E3041="","",IFERROR(VLOOKUP(E3041,Assumptions!$G$5:$H$16,2,0),"Other"))</f>
        <v/>
      </c>
      <c r="J3041" s="41" t="str">
        <f aca="false">IF(G3041="","",IFERROR(IF(ISNUMBER(SEARCH(Assumptions!$C$5,G3041)),Assumptions!$D$5,IF(ISNUMBER(SEARCH(Assumptions!$C$6,G3041)),Assumptions!$D$6,IF(ISNUMBER(SEARCH(Assumptions!$C$7,G3041)),Assumptions!$D$7,"Other Services"))),"Other Services"))</f>
        <v/>
      </c>
    </row>
    <row r="3042" customFormat="false" ht="15" hidden="false" customHeight="false" outlineLevel="0" collapsed="false">
      <c r="F3042" s="41" t="str">
        <f aca="false">IF(E3042="","",IFERROR(VLOOKUP(E3042,Assumptions!$G$5:$H$16,2,0),"Other"))</f>
        <v/>
      </c>
      <c r="J3042" s="41" t="str">
        <f aca="false">IF(G3042="","",IFERROR(IF(ISNUMBER(SEARCH(Assumptions!$C$5,G3042)),Assumptions!$D$5,IF(ISNUMBER(SEARCH(Assumptions!$C$6,G3042)),Assumptions!$D$6,IF(ISNUMBER(SEARCH(Assumptions!$C$7,G3042)),Assumptions!$D$7,"Other Services"))),"Other Services"))</f>
        <v/>
      </c>
    </row>
    <row r="3043" customFormat="false" ht="15" hidden="false" customHeight="false" outlineLevel="0" collapsed="false">
      <c r="F3043" s="41" t="str">
        <f aca="false">IF(E3043="","",IFERROR(VLOOKUP(E3043,Assumptions!$G$5:$H$16,2,0),"Other"))</f>
        <v/>
      </c>
      <c r="J3043" s="41" t="str">
        <f aca="false">IF(G3043="","",IFERROR(IF(ISNUMBER(SEARCH(Assumptions!$C$5,G3043)),Assumptions!$D$5,IF(ISNUMBER(SEARCH(Assumptions!$C$6,G3043)),Assumptions!$D$6,IF(ISNUMBER(SEARCH(Assumptions!$C$7,G3043)),Assumptions!$D$7,"Other Services"))),"Other Services"))</f>
        <v/>
      </c>
    </row>
    <row r="3044" customFormat="false" ht="15" hidden="false" customHeight="false" outlineLevel="0" collapsed="false">
      <c r="F3044" s="41" t="str">
        <f aca="false">IF(E3044="","",IFERROR(VLOOKUP(E3044,Assumptions!$G$5:$H$16,2,0),"Other"))</f>
        <v/>
      </c>
      <c r="J3044" s="41" t="str">
        <f aca="false">IF(G3044="","",IFERROR(IF(ISNUMBER(SEARCH(Assumptions!$C$5,G3044)),Assumptions!$D$5,IF(ISNUMBER(SEARCH(Assumptions!$C$6,G3044)),Assumptions!$D$6,IF(ISNUMBER(SEARCH(Assumptions!$C$7,G3044)),Assumptions!$D$7,"Other Services"))),"Other Services"))</f>
        <v/>
      </c>
    </row>
    <row r="3045" customFormat="false" ht="15" hidden="false" customHeight="false" outlineLevel="0" collapsed="false">
      <c r="F3045" s="41" t="str">
        <f aca="false">IF(E3045="","",IFERROR(VLOOKUP(E3045,Assumptions!$G$5:$H$16,2,0),"Other"))</f>
        <v/>
      </c>
      <c r="J3045" s="41" t="str">
        <f aca="false">IF(G3045="","",IFERROR(IF(ISNUMBER(SEARCH(Assumptions!$C$5,G3045)),Assumptions!$D$5,IF(ISNUMBER(SEARCH(Assumptions!$C$6,G3045)),Assumptions!$D$6,IF(ISNUMBER(SEARCH(Assumptions!$C$7,G3045)),Assumptions!$D$7,"Other Services"))),"Other Services"))</f>
        <v/>
      </c>
    </row>
    <row r="3046" customFormat="false" ht="15" hidden="false" customHeight="false" outlineLevel="0" collapsed="false">
      <c r="F3046" s="41" t="str">
        <f aca="false">IF(E3046="","",IFERROR(VLOOKUP(E3046,Assumptions!$G$5:$H$16,2,0),"Other"))</f>
        <v/>
      </c>
      <c r="J3046" s="41" t="str">
        <f aca="false">IF(G3046="","",IFERROR(IF(ISNUMBER(SEARCH(Assumptions!$C$5,G3046)),Assumptions!$D$5,IF(ISNUMBER(SEARCH(Assumptions!$C$6,G3046)),Assumptions!$D$6,IF(ISNUMBER(SEARCH(Assumptions!$C$7,G3046)),Assumptions!$D$7,"Other Services"))),"Other Services"))</f>
        <v/>
      </c>
    </row>
    <row r="3047" customFormat="false" ht="15" hidden="false" customHeight="false" outlineLevel="0" collapsed="false">
      <c r="F3047" s="41" t="str">
        <f aca="false">IF(E3047="","",IFERROR(VLOOKUP(E3047,Assumptions!$G$5:$H$16,2,0),"Other"))</f>
        <v/>
      </c>
      <c r="J3047" s="41" t="str">
        <f aca="false">IF(G3047="","",IFERROR(IF(ISNUMBER(SEARCH(Assumptions!$C$5,G3047)),Assumptions!$D$5,IF(ISNUMBER(SEARCH(Assumptions!$C$6,G3047)),Assumptions!$D$6,IF(ISNUMBER(SEARCH(Assumptions!$C$7,G3047)),Assumptions!$D$7,"Other Services"))),"Other Services"))</f>
        <v/>
      </c>
    </row>
    <row r="3048" customFormat="false" ht="15" hidden="false" customHeight="false" outlineLevel="0" collapsed="false">
      <c r="F3048" s="41" t="str">
        <f aca="false">IF(E3048="","",IFERROR(VLOOKUP(E3048,Assumptions!$G$5:$H$16,2,0),"Other"))</f>
        <v/>
      </c>
      <c r="J3048" s="41" t="str">
        <f aca="false">IF(G3048="","",IFERROR(IF(ISNUMBER(SEARCH(Assumptions!$C$5,G3048)),Assumptions!$D$5,IF(ISNUMBER(SEARCH(Assumptions!$C$6,G3048)),Assumptions!$D$6,IF(ISNUMBER(SEARCH(Assumptions!$C$7,G3048)),Assumptions!$D$7,"Other Services"))),"Other Services"))</f>
        <v/>
      </c>
    </row>
    <row r="3049" customFormat="false" ht="15" hidden="false" customHeight="false" outlineLevel="0" collapsed="false">
      <c r="F3049" s="41" t="str">
        <f aca="false">IF(E3049="","",IFERROR(VLOOKUP(E3049,Assumptions!$G$5:$H$16,2,0),"Other"))</f>
        <v/>
      </c>
      <c r="J3049" s="41" t="str">
        <f aca="false">IF(G3049="","",IFERROR(IF(ISNUMBER(SEARCH(Assumptions!$C$5,G3049)),Assumptions!$D$5,IF(ISNUMBER(SEARCH(Assumptions!$C$6,G3049)),Assumptions!$D$6,IF(ISNUMBER(SEARCH(Assumptions!$C$7,G3049)),Assumptions!$D$7,"Other Services"))),"Other Services"))</f>
        <v/>
      </c>
    </row>
    <row r="3050" customFormat="false" ht="15" hidden="false" customHeight="false" outlineLevel="0" collapsed="false">
      <c r="F3050" s="41" t="str">
        <f aca="false">IF(E3050="","",IFERROR(VLOOKUP(E3050,Assumptions!$G$5:$H$16,2,0),"Other"))</f>
        <v/>
      </c>
      <c r="J3050" s="41" t="str">
        <f aca="false">IF(G3050="","",IFERROR(IF(ISNUMBER(SEARCH(Assumptions!$C$5,G3050)),Assumptions!$D$5,IF(ISNUMBER(SEARCH(Assumptions!$C$6,G3050)),Assumptions!$D$6,IF(ISNUMBER(SEARCH(Assumptions!$C$7,G3050)),Assumptions!$D$7,"Other Services"))),"Other Services"))</f>
        <v/>
      </c>
    </row>
    <row r="3051" customFormat="false" ht="15" hidden="false" customHeight="false" outlineLevel="0" collapsed="false">
      <c r="F3051" s="41" t="str">
        <f aca="false">IF(E3051="","",IFERROR(VLOOKUP(E3051,Assumptions!$G$5:$H$16,2,0),"Other"))</f>
        <v/>
      </c>
      <c r="J3051" s="41" t="str">
        <f aca="false">IF(G3051="","",IFERROR(IF(ISNUMBER(SEARCH(Assumptions!$C$5,G3051)),Assumptions!$D$5,IF(ISNUMBER(SEARCH(Assumptions!$C$6,G3051)),Assumptions!$D$6,IF(ISNUMBER(SEARCH(Assumptions!$C$7,G3051)),Assumptions!$D$7,"Other Services"))),"Other Services"))</f>
        <v/>
      </c>
    </row>
    <row r="3052" customFormat="false" ht="15" hidden="false" customHeight="false" outlineLevel="0" collapsed="false">
      <c r="F3052" s="41" t="str">
        <f aca="false">IF(E3052="","",IFERROR(VLOOKUP(E3052,Assumptions!$G$5:$H$16,2,0),"Other"))</f>
        <v/>
      </c>
      <c r="J3052" s="41" t="str">
        <f aca="false">IF(G3052="","",IFERROR(IF(ISNUMBER(SEARCH(Assumptions!$C$5,G3052)),Assumptions!$D$5,IF(ISNUMBER(SEARCH(Assumptions!$C$6,G3052)),Assumptions!$D$6,IF(ISNUMBER(SEARCH(Assumptions!$C$7,G3052)),Assumptions!$D$7,"Other Services"))),"Other Services"))</f>
        <v/>
      </c>
    </row>
    <row r="3053" customFormat="false" ht="15" hidden="false" customHeight="false" outlineLevel="0" collapsed="false">
      <c r="F3053" s="41" t="str">
        <f aca="false">IF(E3053="","",IFERROR(VLOOKUP(E3053,Assumptions!$G$5:$H$16,2,0),"Other"))</f>
        <v/>
      </c>
      <c r="J3053" s="41" t="str">
        <f aca="false">IF(G3053="","",IFERROR(IF(ISNUMBER(SEARCH(Assumptions!$C$5,G3053)),Assumptions!$D$5,IF(ISNUMBER(SEARCH(Assumptions!$C$6,G3053)),Assumptions!$D$6,IF(ISNUMBER(SEARCH(Assumptions!$C$7,G3053)),Assumptions!$D$7,"Other Services"))),"Other Services"))</f>
        <v/>
      </c>
    </row>
    <row r="3054" customFormat="false" ht="15" hidden="false" customHeight="false" outlineLevel="0" collapsed="false">
      <c r="F3054" s="41" t="str">
        <f aca="false">IF(E3054="","",IFERROR(VLOOKUP(E3054,Assumptions!$G$5:$H$16,2,0),"Other"))</f>
        <v/>
      </c>
      <c r="J3054" s="41" t="str">
        <f aca="false">IF(G3054="","",IFERROR(IF(ISNUMBER(SEARCH(Assumptions!$C$5,G3054)),Assumptions!$D$5,IF(ISNUMBER(SEARCH(Assumptions!$C$6,G3054)),Assumptions!$D$6,IF(ISNUMBER(SEARCH(Assumptions!$C$7,G3054)),Assumptions!$D$7,"Other Services"))),"Other Services"))</f>
        <v/>
      </c>
    </row>
    <row r="3055" customFormat="false" ht="15" hidden="false" customHeight="false" outlineLevel="0" collapsed="false">
      <c r="F3055" s="41" t="str">
        <f aca="false">IF(E3055="","",IFERROR(VLOOKUP(E3055,Assumptions!$G$5:$H$16,2,0),"Other"))</f>
        <v/>
      </c>
      <c r="J3055" s="41" t="str">
        <f aca="false">IF(G3055="","",IFERROR(IF(ISNUMBER(SEARCH(Assumptions!$C$5,G3055)),Assumptions!$D$5,IF(ISNUMBER(SEARCH(Assumptions!$C$6,G3055)),Assumptions!$D$6,IF(ISNUMBER(SEARCH(Assumptions!$C$7,G3055)),Assumptions!$D$7,"Other Services"))),"Other Services"))</f>
        <v/>
      </c>
    </row>
    <row r="3056" customFormat="false" ht="15" hidden="false" customHeight="false" outlineLevel="0" collapsed="false">
      <c r="F3056" s="41" t="str">
        <f aca="false">IF(E3056="","",IFERROR(VLOOKUP(E3056,Assumptions!$G$5:$H$16,2,0),"Other"))</f>
        <v/>
      </c>
      <c r="J3056" s="41" t="str">
        <f aca="false">IF(G3056="","",IFERROR(IF(ISNUMBER(SEARCH(Assumptions!$C$5,G3056)),Assumptions!$D$5,IF(ISNUMBER(SEARCH(Assumptions!$C$6,G3056)),Assumptions!$D$6,IF(ISNUMBER(SEARCH(Assumptions!$C$7,G3056)),Assumptions!$D$7,"Other Services"))),"Other Services"))</f>
        <v/>
      </c>
    </row>
    <row r="3057" customFormat="false" ht="15" hidden="false" customHeight="false" outlineLevel="0" collapsed="false">
      <c r="F3057" s="41" t="str">
        <f aca="false">IF(E3057="","",IFERROR(VLOOKUP(E3057,Assumptions!$G$5:$H$16,2,0),"Other"))</f>
        <v/>
      </c>
      <c r="J3057" s="41" t="str">
        <f aca="false">IF(G3057="","",IFERROR(IF(ISNUMBER(SEARCH(Assumptions!$C$5,G3057)),Assumptions!$D$5,IF(ISNUMBER(SEARCH(Assumptions!$C$6,G3057)),Assumptions!$D$6,IF(ISNUMBER(SEARCH(Assumptions!$C$7,G3057)),Assumptions!$D$7,"Other Services"))),"Other Services"))</f>
        <v/>
      </c>
    </row>
    <row r="3058" customFormat="false" ht="15" hidden="false" customHeight="false" outlineLevel="0" collapsed="false">
      <c r="F3058" s="41" t="str">
        <f aca="false">IF(E3058="","",IFERROR(VLOOKUP(E3058,Assumptions!$G$5:$H$16,2,0),"Other"))</f>
        <v/>
      </c>
      <c r="J3058" s="41" t="str">
        <f aca="false">IF(G3058="","",IFERROR(IF(ISNUMBER(SEARCH(Assumptions!$C$5,G3058)),Assumptions!$D$5,IF(ISNUMBER(SEARCH(Assumptions!$C$6,G3058)),Assumptions!$D$6,IF(ISNUMBER(SEARCH(Assumptions!$C$7,G3058)),Assumptions!$D$7,"Other Services"))),"Other Services"))</f>
        <v/>
      </c>
    </row>
    <row r="3059" customFormat="false" ht="15" hidden="false" customHeight="false" outlineLevel="0" collapsed="false">
      <c r="F3059" s="41" t="str">
        <f aca="false">IF(E3059="","",IFERROR(VLOOKUP(E3059,Assumptions!$G$5:$H$16,2,0),"Other"))</f>
        <v/>
      </c>
      <c r="J3059" s="41" t="str">
        <f aca="false">IF(G3059="","",IFERROR(IF(ISNUMBER(SEARCH(Assumptions!$C$5,G3059)),Assumptions!$D$5,IF(ISNUMBER(SEARCH(Assumptions!$C$6,G3059)),Assumptions!$D$6,IF(ISNUMBER(SEARCH(Assumptions!$C$7,G3059)),Assumptions!$D$7,"Other Services"))),"Other Services"))</f>
        <v/>
      </c>
    </row>
    <row r="3060" customFormat="false" ht="15" hidden="false" customHeight="false" outlineLevel="0" collapsed="false">
      <c r="F3060" s="41" t="str">
        <f aca="false">IF(E3060="","",IFERROR(VLOOKUP(E3060,Assumptions!$G$5:$H$16,2,0),"Other"))</f>
        <v/>
      </c>
      <c r="J3060" s="41" t="str">
        <f aca="false">IF(G3060="","",IFERROR(IF(ISNUMBER(SEARCH(Assumptions!$C$5,G3060)),Assumptions!$D$5,IF(ISNUMBER(SEARCH(Assumptions!$C$6,G3060)),Assumptions!$D$6,IF(ISNUMBER(SEARCH(Assumptions!$C$7,G3060)),Assumptions!$D$7,"Other Services"))),"Other Services"))</f>
        <v/>
      </c>
    </row>
    <row r="3061" customFormat="false" ht="15" hidden="false" customHeight="false" outlineLevel="0" collapsed="false">
      <c r="F3061" s="41" t="str">
        <f aca="false">IF(E3061="","",IFERROR(VLOOKUP(E3061,Assumptions!$G$5:$H$16,2,0),"Other"))</f>
        <v/>
      </c>
      <c r="J3061" s="41" t="str">
        <f aca="false">IF(G3061="","",IFERROR(IF(ISNUMBER(SEARCH(Assumptions!$C$5,G3061)),Assumptions!$D$5,IF(ISNUMBER(SEARCH(Assumptions!$C$6,G3061)),Assumptions!$D$6,IF(ISNUMBER(SEARCH(Assumptions!$C$7,G3061)),Assumptions!$D$7,"Other Services"))),"Other Services"))</f>
        <v/>
      </c>
    </row>
    <row r="3062" customFormat="false" ht="15" hidden="false" customHeight="false" outlineLevel="0" collapsed="false">
      <c r="F3062" s="41" t="str">
        <f aca="false">IF(E3062="","",IFERROR(VLOOKUP(E3062,Assumptions!$G$5:$H$16,2,0),"Other"))</f>
        <v/>
      </c>
      <c r="J3062" s="41" t="str">
        <f aca="false">IF(G3062="","",IFERROR(IF(ISNUMBER(SEARCH(Assumptions!$C$5,G3062)),Assumptions!$D$5,IF(ISNUMBER(SEARCH(Assumptions!$C$6,G3062)),Assumptions!$D$6,IF(ISNUMBER(SEARCH(Assumptions!$C$7,G3062)),Assumptions!$D$7,"Other Services"))),"Other Services"))</f>
        <v/>
      </c>
    </row>
    <row r="3063" customFormat="false" ht="15" hidden="false" customHeight="false" outlineLevel="0" collapsed="false">
      <c r="F3063" s="41" t="str">
        <f aca="false">IF(E3063="","",IFERROR(VLOOKUP(E3063,Assumptions!$G$5:$H$16,2,0),"Other"))</f>
        <v/>
      </c>
      <c r="J3063" s="41" t="str">
        <f aca="false">IF(G3063="","",IFERROR(IF(ISNUMBER(SEARCH(Assumptions!$C$5,G3063)),Assumptions!$D$5,IF(ISNUMBER(SEARCH(Assumptions!$C$6,G3063)),Assumptions!$D$6,IF(ISNUMBER(SEARCH(Assumptions!$C$7,G3063)),Assumptions!$D$7,"Other Services"))),"Other Services"))</f>
        <v/>
      </c>
    </row>
    <row r="3064" customFormat="false" ht="15" hidden="false" customHeight="false" outlineLevel="0" collapsed="false">
      <c r="F3064" s="41" t="str">
        <f aca="false">IF(E3064="","",IFERROR(VLOOKUP(E3064,Assumptions!$G$5:$H$16,2,0),"Other"))</f>
        <v/>
      </c>
      <c r="J3064" s="41" t="str">
        <f aca="false">IF(G3064="","",IFERROR(IF(ISNUMBER(SEARCH(Assumptions!$C$5,G3064)),Assumptions!$D$5,IF(ISNUMBER(SEARCH(Assumptions!$C$6,G3064)),Assumptions!$D$6,IF(ISNUMBER(SEARCH(Assumptions!$C$7,G3064)),Assumptions!$D$7,"Other Services"))),"Other Services"))</f>
        <v/>
      </c>
    </row>
    <row r="3065" customFormat="false" ht="15" hidden="false" customHeight="false" outlineLevel="0" collapsed="false">
      <c r="F3065" s="41" t="str">
        <f aca="false">IF(E3065="","",IFERROR(VLOOKUP(E3065,Assumptions!$G$5:$H$16,2,0),"Other"))</f>
        <v/>
      </c>
      <c r="J3065" s="41" t="str">
        <f aca="false">IF(G3065="","",IFERROR(IF(ISNUMBER(SEARCH(Assumptions!$C$5,G3065)),Assumptions!$D$5,IF(ISNUMBER(SEARCH(Assumptions!$C$6,G3065)),Assumptions!$D$6,IF(ISNUMBER(SEARCH(Assumptions!$C$7,G3065)),Assumptions!$D$7,"Other Services"))),"Other Services"))</f>
        <v/>
      </c>
    </row>
    <row r="3066" customFormat="false" ht="15" hidden="false" customHeight="false" outlineLevel="0" collapsed="false">
      <c r="F3066" s="41" t="str">
        <f aca="false">IF(E3066="","",IFERROR(VLOOKUP(E3066,Assumptions!$G$5:$H$16,2,0),"Other"))</f>
        <v/>
      </c>
      <c r="J3066" s="41" t="str">
        <f aca="false">IF(G3066="","",IFERROR(IF(ISNUMBER(SEARCH(Assumptions!$C$5,G3066)),Assumptions!$D$5,IF(ISNUMBER(SEARCH(Assumptions!$C$6,G3066)),Assumptions!$D$6,IF(ISNUMBER(SEARCH(Assumptions!$C$7,G3066)),Assumptions!$D$7,"Other Services"))),"Other Services"))</f>
        <v/>
      </c>
    </row>
    <row r="3067" customFormat="false" ht="15" hidden="false" customHeight="false" outlineLevel="0" collapsed="false">
      <c r="F3067" s="41" t="str">
        <f aca="false">IF(E3067="","",IFERROR(VLOOKUP(E3067,Assumptions!$G$5:$H$16,2,0),"Other"))</f>
        <v/>
      </c>
      <c r="J3067" s="41" t="str">
        <f aca="false">IF(G3067="","",IFERROR(IF(ISNUMBER(SEARCH(Assumptions!$C$5,G3067)),Assumptions!$D$5,IF(ISNUMBER(SEARCH(Assumptions!$C$6,G3067)),Assumptions!$D$6,IF(ISNUMBER(SEARCH(Assumptions!$C$7,G3067)),Assumptions!$D$7,"Other Services"))),"Other Services"))</f>
        <v/>
      </c>
    </row>
    <row r="3068" customFormat="false" ht="15" hidden="false" customHeight="false" outlineLevel="0" collapsed="false">
      <c r="F3068" s="41" t="str">
        <f aca="false">IF(E3068="","",IFERROR(VLOOKUP(E3068,Assumptions!$G$5:$H$16,2,0),"Other"))</f>
        <v/>
      </c>
      <c r="J3068" s="41" t="str">
        <f aca="false">IF(G3068="","",IFERROR(IF(ISNUMBER(SEARCH(Assumptions!$C$5,G3068)),Assumptions!$D$5,IF(ISNUMBER(SEARCH(Assumptions!$C$6,G3068)),Assumptions!$D$6,IF(ISNUMBER(SEARCH(Assumptions!$C$7,G3068)),Assumptions!$D$7,"Other Services"))),"Other Services"))</f>
        <v/>
      </c>
    </row>
    <row r="3069" customFormat="false" ht="15" hidden="false" customHeight="false" outlineLevel="0" collapsed="false">
      <c r="F3069" s="41" t="str">
        <f aca="false">IF(E3069="","",IFERROR(VLOOKUP(E3069,Assumptions!$G$5:$H$16,2,0),"Other"))</f>
        <v/>
      </c>
      <c r="J3069" s="41" t="str">
        <f aca="false">IF(G3069="","",IFERROR(IF(ISNUMBER(SEARCH(Assumptions!$C$5,G3069)),Assumptions!$D$5,IF(ISNUMBER(SEARCH(Assumptions!$C$6,G3069)),Assumptions!$D$6,IF(ISNUMBER(SEARCH(Assumptions!$C$7,G3069)),Assumptions!$D$7,"Other Services"))),"Other Services"))</f>
        <v/>
      </c>
    </row>
    <row r="3070" customFormat="false" ht="15" hidden="false" customHeight="false" outlineLevel="0" collapsed="false">
      <c r="F3070" s="41" t="str">
        <f aca="false">IF(E3070="","",IFERROR(VLOOKUP(E3070,Assumptions!$G$5:$H$16,2,0),"Other"))</f>
        <v/>
      </c>
      <c r="J3070" s="41" t="str">
        <f aca="false">IF(G3070="","",IFERROR(IF(ISNUMBER(SEARCH(Assumptions!$C$5,G3070)),Assumptions!$D$5,IF(ISNUMBER(SEARCH(Assumptions!$C$6,G3070)),Assumptions!$D$6,IF(ISNUMBER(SEARCH(Assumptions!$C$7,G3070)),Assumptions!$D$7,"Other Services"))),"Other Services"))</f>
        <v/>
      </c>
    </row>
    <row r="3071" customFormat="false" ht="15" hidden="false" customHeight="false" outlineLevel="0" collapsed="false">
      <c r="F3071" s="41" t="str">
        <f aca="false">IF(E3071="","",IFERROR(VLOOKUP(E3071,Assumptions!$G$5:$H$16,2,0),"Other"))</f>
        <v/>
      </c>
      <c r="J3071" s="41" t="str">
        <f aca="false">IF(G3071="","",IFERROR(IF(ISNUMBER(SEARCH(Assumptions!$C$5,G3071)),Assumptions!$D$5,IF(ISNUMBER(SEARCH(Assumptions!$C$6,G3071)),Assumptions!$D$6,IF(ISNUMBER(SEARCH(Assumptions!$C$7,G3071)),Assumptions!$D$7,"Other Services"))),"Other Services"))</f>
        <v/>
      </c>
    </row>
    <row r="3072" customFormat="false" ht="15" hidden="false" customHeight="false" outlineLevel="0" collapsed="false">
      <c r="F3072" s="41" t="str">
        <f aca="false">IF(E3072="","",IFERROR(VLOOKUP(E3072,Assumptions!$G$5:$H$16,2,0),"Other"))</f>
        <v/>
      </c>
      <c r="J3072" s="41" t="str">
        <f aca="false">IF(G3072="","",IFERROR(IF(ISNUMBER(SEARCH(Assumptions!$C$5,G3072)),Assumptions!$D$5,IF(ISNUMBER(SEARCH(Assumptions!$C$6,G3072)),Assumptions!$D$6,IF(ISNUMBER(SEARCH(Assumptions!$C$7,G3072)),Assumptions!$D$7,"Other Services"))),"Other Services"))</f>
        <v/>
      </c>
    </row>
    <row r="3073" customFormat="false" ht="15" hidden="false" customHeight="false" outlineLevel="0" collapsed="false">
      <c r="F3073" s="41" t="str">
        <f aca="false">IF(E3073="","",IFERROR(VLOOKUP(E3073,Assumptions!$G$5:$H$16,2,0),"Other"))</f>
        <v/>
      </c>
      <c r="J3073" s="41" t="str">
        <f aca="false">IF(G3073="","",IFERROR(IF(ISNUMBER(SEARCH(Assumptions!$C$5,G3073)),Assumptions!$D$5,IF(ISNUMBER(SEARCH(Assumptions!$C$6,G3073)),Assumptions!$D$6,IF(ISNUMBER(SEARCH(Assumptions!$C$7,G3073)),Assumptions!$D$7,"Other Services"))),"Other Services"))</f>
        <v/>
      </c>
    </row>
    <row r="3074" customFormat="false" ht="15" hidden="false" customHeight="false" outlineLevel="0" collapsed="false">
      <c r="F3074" s="41" t="str">
        <f aca="false">IF(E3074="","",IFERROR(VLOOKUP(E3074,Assumptions!$G$5:$H$16,2,0),"Other"))</f>
        <v/>
      </c>
      <c r="J3074" s="41" t="str">
        <f aca="false">IF(G3074="","",IFERROR(IF(ISNUMBER(SEARCH(Assumptions!$C$5,G3074)),Assumptions!$D$5,IF(ISNUMBER(SEARCH(Assumptions!$C$6,G3074)),Assumptions!$D$6,IF(ISNUMBER(SEARCH(Assumptions!$C$7,G3074)),Assumptions!$D$7,"Other Services"))),"Other Services"))</f>
        <v/>
      </c>
    </row>
    <row r="3075" customFormat="false" ht="15" hidden="false" customHeight="false" outlineLevel="0" collapsed="false">
      <c r="F3075" s="41" t="str">
        <f aca="false">IF(E3075="","",IFERROR(VLOOKUP(E3075,Assumptions!$G$5:$H$16,2,0),"Other"))</f>
        <v/>
      </c>
      <c r="J3075" s="41" t="str">
        <f aca="false">IF(G3075="","",IFERROR(IF(ISNUMBER(SEARCH(Assumptions!$C$5,G3075)),Assumptions!$D$5,IF(ISNUMBER(SEARCH(Assumptions!$C$6,G3075)),Assumptions!$D$6,IF(ISNUMBER(SEARCH(Assumptions!$C$7,G3075)),Assumptions!$D$7,"Other Services"))),"Other Services"))</f>
        <v/>
      </c>
    </row>
    <row r="3076" customFormat="false" ht="15" hidden="false" customHeight="false" outlineLevel="0" collapsed="false">
      <c r="F3076" s="41" t="str">
        <f aca="false">IF(E3076="","",IFERROR(VLOOKUP(E3076,Assumptions!$G$5:$H$16,2,0),"Other"))</f>
        <v/>
      </c>
      <c r="J3076" s="41" t="str">
        <f aca="false">IF(G3076="","",IFERROR(IF(ISNUMBER(SEARCH(Assumptions!$C$5,G3076)),Assumptions!$D$5,IF(ISNUMBER(SEARCH(Assumptions!$C$6,G3076)),Assumptions!$D$6,IF(ISNUMBER(SEARCH(Assumptions!$C$7,G3076)),Assumptions!$D$7,"Other Services"))),"Other Services"))</f>
        <v/>
      </c>
    </row>
    <row r="3077" customFormat="false" ht="15" hidden="false" customHeight="false" outlineLevel="0" collapsed="false">
      <c r="F3077" s="41" t="str">
        <f aca="false">IF(E3077="","",IFERROR(VLOOKUP(E3077,Assumptions!$G$5:$H$16,2,0),"Other"))</f>
        <v/>
      </c>
      <c r="J3077" s="41" t="str">
        <f aca="false">IF(G3077="","",IFERROR(IF(ISNUMBER(SEARCH(Assumptions!$C$5,G3077)),Assumptions!$D$5,IF(ISNUMBER(SEARCH(Assumptions!$C$6,G3077)),Assumptions!$D$6,IF(ISNUMBER(SEARCH(Assumptions!$C$7,G3077)),Assumptions!$D$7,"Other Services"))),"Other Services"))</f>
        <v/>
      </c>
    </row>
    <row r="3078" customFormat="false" ht="15" hidden="false" customHeight="false" outlineLevel="0" collapsed="false">
      <c r="F3078" s="41" t="str">
        <f aca="false">IF(E3078="","",IFERROR(VLOOKUP(E3078,Assumptions!$G$5:$H$16,2,0),"Other"))</f>
        <v/>
      </c>
      <c r="J3078" s="41" t="str">
        <f aca="false">IF(G3078="","",IFERROR(IF(ISNUMBER(SEARCH(Assumptions!$C$5,G3078)),Assumptions!$D$5,IF(ISNUMBER(SEARCH(Assumptions!$C$6,G3078)),Assumptions!$D$6,IF(ISNUMBER(SEARCH(Assumptions!$C$7,G3078)),Assumptions!$D$7,"Other Services"))),"Other Services"))</f>
        <v/>
      </c>
    </row>
    <row r="3079" customFormat="false" ht="15" hidden="false" customHeight="false" outlineLevel="0" collapsed="false">
      <c r="F3079" s="41" t="str">
        <f aca="false">IF(E3079="","",IFERROR(VLOOKUP(E3079,Assumptions!$G$5:$H$16,2,0),"Other"))</f>
        <v/>
      </c>
      <c r="J3079" s="41" t="str">
        <f aca="false">IF(G3079="","",IFERROR(IF(ISNUMBER(SEARCH(Assumptions!$C$5,G3079)),Assumptions!$D$5,IF(ISNUMBER(SEARCH(Assumptions!$C$6,G3079)),Assumptions!$D$6,IF(ISNUMBER(SEARCH(Assumptions!$C$7,G3079)),Assumptions!$D$7,"Other Services"))),"Other Services"))</f>
        <v/>
      </c>
    </row>
    <row r="3080" customFormat="false" ht="15" hidden="false" customHeight="false" outlineLevel="0" collapsed="false">
      <c r="F3080" s="41" t="str">
        <f aca="false">IF(E3080="","",IFERROR(VLOOKUP(E3080,Assumptions!$G$5:$H$16,2,0),"Other"))</f>
        <v/>
      </c>
      <c r="J3080" s="41" t="str">
        <f aca="false">IF(G3080="","",IFERROR(IF(ISNUMBER(SEARCH(Assumptions!$C$5,G3080)),Assumptions!$D$5,IF(ISNUMBER(SEARCH(Assumptions!$C$6,G3080)),Assumptions!$D$6,IF(ISNUMBER(SEARCH(Assumptions!$C$7,G3080)),Assumptions!$D$7,"Other Services"))),"Other Services"))</f>
        <v/>
      </c>
    </row>
    <row r="3081" customFormat="false" ht="15" hidden="false" customHeight="false" outlineLevel="0" collapsed="false">
      <c r="F3081" s="41" t="str">
        <f aca="false">IF(E3081="","",IFERROR(VLOOKUP(E3081,Assumptions!$G$5:$H$16,2,0),"Other"))</f>
        <v/>
      </c>
      <c r="J3081" s="41" t="str">
        <f aca="false">IF(G3081="","",IFERROR(IF(ISNUMBER(SEARCH(Assumptions!$C$5,G3081)),Assumptions!$D$5,IF(ISNUMBER(SEARCH(Assumptions!$C$6,G3081)),Assumptions!$D$6,IF(ISNUMBER(SEARCH(Assumptions!$C$7,G3081)),Assumptions!$D$7,"Other Services"))),"Other Services"))</f>
        <v/>
      </c>
    </row>
    <row r="3082" customFormat="false" ht="15" hidden="false" customHeight="false" outlineLevel="0" collapsed="false">
      <c r="F3082" s="41" t="str">
        <f aca="false">IF(E3082="","",IFERROR(VLOOKUP(E3082,Assumptions!$G$5:$H$16,2,0),"Other"))</f>
        <v/>
      </c>
      <c r="J3082" s="41" t="str">
        <f aca="false">IF(G3082="","",IFERROR(IF(ISNUMBER(SEARCH(Assumptions!$C$5,G3082)),Assumptions!$D$5,IF(ISNUMBER(SEARCH(Assumptions!$C$6,G3082)),Assumptions!$D$6,IF(ISNUMBER(SEARCH(Assumptions!$C$7,G3082)),Assumptions!$D$7,"Other Services"))),"Other Services"))</f>
        <v/>
      </c>
    </row>
    <row r="3083" customFormat="false" ht="15" hidden="false" customHeight="false" outlineLevel="0" collapsed="false">
      <c r="F3083" s="41" t="str">
        <f aca="false">IF(E3083="","",IFERROR(VLOOKUP(E3083,Assumptions!$G$5:$H$16,2,0),"Other"))</f>
        <v/>
      </c>
      <c r="J3083" s="41" t="str">
        <f aca="false">IF(G3083="","",IFERROR(IF(ISNUMBER(SEARCH(Assumptions!$C$5,G3083)),Assumptions!$D$5,IF(ISNUMBER(SEARCH(Assumptions!$C$6,G3083)),Assumptions!$D$6,IF(ISNUMBER(SEARCH(Assumptions!$C$7,G3083)),Assumptions!$D$7,"Other Services"))),"Other Services"))</f>
        <v/>
      </c>
    </row>
    <row r="3084" customFormat="false" ht="15" hidden="false" customHeight="false" outlineLevel="0" collapsed="false">
      <c r="F3084" s="41" t="str">
        <f aca="false">IF(E3084="","",IFERROR(VLOOKUP(E3084,Assumptions!$G$5:$H$16,2,0),"Other"))</f>
        <v/>
      </c>
      <c r="J3084" s="41" t="str">
        <f aca="false">IF(G3084="","",IFERROR(IF(ISNUMBER(SEARCH(Assumptions!$C$5,G3084)),Assumptions!$D$5,IF(ISNUMBER(SEARCH(Assumptions!$C$6,G3084)),Assumptions!$D$6,IF(ISNUMBER(SEARCH(Assumptions!$C$7,G3084)),Assumptions!$D$7,"Other Services"))),"Other Services"))</f>
        <v/>
      </c>
    </row>
    <row r="3085" customFormat="false" ht="15" hidden="false" customHeight="false" outlineLevel="0" collapsed="false">
      <c r="F3085" s="41" t="str">
        <f aca="false">IF(E3085="","",IFERROR(VLOOKUP(E3085,Assumptions!$G$5:$H$16,2,0),"Other"))</f>
        <v/>
      </c>
      <c r="J3085" s="41" t="str">
        <f aca="false">IF(G3085="","",IFERROR(IF(ISNUMBER(SEARCH(Assumptions!$C$5,G3085)),Assumptions!$D$5,IF(ISNUMBER(SEARCH(Assumptions!$C$6,G3085)),Assumptions!$D$6,IF(ISNUMBER(SEARCH(Assumptions!$C$7,G3085)),Assumptions!$D$7,"Other Services"))),"Other Services"))</f>
        <v/>
      </c>
    </row>
    <row r="3086" customFormat="false" ht="15" hidden="false" customHeight="false" outlineLevel="0" collapsed="false">
      <c r="F3086" s="41" t="str">
        <f aca="false">IF(E3086="","",IFERROR(VLOOKUP(E3086,Assumptions!$G$5:$H$16,2,0),"Other"))</f>
        <v/>
      </c>
      <c r="J3086" s="41" t="str">
        <f aca="false">IF(G3086="","",IFERROR(IF(ISNUMBER(SEARCH(Assumptions!$C$5,G3086)),Assumptions!$D$5,IF(ISNUMBER(SEARCH(Assumptions!$C$6,G3086)),Assumptions!$D$6,IF(ISNUMBER(SEARCH(Assumptions!$C$7,G3086)),Assumptions!$D$7,"Other Services"))),"Other Services"))</f>
        <v/>
      </c>
    </row>
    <row r="3087" customFormat="false" ht="15" hidden="false" customHeight="false" outlineLevel="0" collapsed="false">
      <c r="F3087" s="41" t="str">
        <f aca="false">IF(E3087="","",IFERROR(VLOOKUP(E3087,Assumptions!$G$5:$H$16,2,0),"Other"))</f>
        <v/>
      </c>
      <c r="J3087" s="41" t="str">
        <f aca="false">IF(G3087="","",IFERROR(IF(ISNUMBER(SEARCH(Assumptions!$C$5,G3087)),Assumptions!$D$5,IF(ISNUMBER(SEARCH(Assumptions!$C$6,G3087)),Assumptions!$D$6,IF(ISNUMBER(SEARCH(Assumptions!$C$7,G3087)),Assumptions!$D$7,"Other Services"))),"Other Services"))</f>
        <v/>
      </c>
    </row>
    <row r="3088" customFormat="false" ht="15" hidden="false" customHeight="false" outlineLevel="0" collapsed="false">
      <c r="F3088" s="41" t="str">
        <f aca="false">IF(E3088="","",IFERROR(VLOOKUP(E3088,Assumptions!$G$5:$H$16,2,0),"Other"))</f>
        <v/>
      </c>
      <c r="J3088" s="41" t="str">
        <f aca="false">IF(G3088="","",IFERROR(IF(ISNUMBER(SEARCH(Assumptions!$C$5,G3088)),Assumptions!$D$5,IF(ISNUMBER(SEARCH(Assumptions!$C$6,G3088)),Assumptions!$D$6,IF(ISNUMBER(SEARCH(Assumptions!$C$7,G3088)),Assumptions!$D$7,"Other Services"))),"Other Services"))</f>
        <v/>
      </c>
    </row>
    <row r="3089" customFormat="false" ht="15" hidden="false" customHeight="false" outlineLevel="0" collapsed="false">
      <c r="F3089" s="41" t="str">
        <f aca="false">IF(E3089="","",IFERROR(VLOOKUP(E3089,Assumptions!$G$5:$H$16,2,0),"Other"))</f>
        <v/>
      </c>
      <c r="J3089" s="41" t="str">
        <f aca="false">IF(G3089="","",IFERROR(IF(ISNUMBER(SEARCH(Assumptions!$C$5,G3089)),Assumptions!$D$5,IF(ISNUMBER(SEARCH(Assumptions!$C$6,G3089)),Assumptions!$D$6,IF(ISNUMBER(SEARCH(Assumptions!$C$7,G3089)),Assumptions!$D$7,"Other Services"))),"Other Services"))</f>
        <v/>
      </c>
    </row>
    <row r="3090" customFormat="false" ht="15" hidden="false" customHeight="false" outlineLevel="0" collapsed="false">
      <c r="F3090" s="41" t="str">
        <f aca="false">IF(E3090="","",IFERROR(VLOOKUP(E3090,Assumptions!$G$5:$H$16,2,0),"Other"))</f>
        <v/>
      </c>
      <c r="J3090" s="41" t="str">
        <f aca="false">IF(G3090="","",IFERROR(IF(ISNUMBER(SEARCH(Assumptions!$C$5,G3090)),Assumptions!$D$5,IF(ISNUMBER(SEARCH(Assumptions!$C$6,G3090)),Assumptions!$D$6,IF(ISNUMBER(SEARCH(Assumptions!$C$7,G3090)),Assumptions!$D$7,"Other Services"))),"Other Services"))</f>
        <v/>
      </c>
    </row>
    <row r="3091" customFormat="false" ht="15" hidden="false" customHeight="false" outlineLevel="0" collapsed="false">
      <c r="F3091" s="41" t="str">
        <f aca="false">IF(E3091="","",IFERROR(VLOOKUP(E3091,Assumptions!$G$5:$H$16,2,0),"Other"))</f>
        <v/>
      </c>
      <c r="J3091" s="41" t="str">
        <f aca="false">IF(G3091="","",IFERROR(IF(ISNUMBER(SEARCH(Assumptions!$C$5,G3091)),Assumptions!$D$5,IF(ISNUMBER(SEARCH(Assumptions!$C$6,G3091)),Assumptions!$D$6,IF(ISNUMBER(SEARCH(Assumptions!$C$7,G3091)),Assumptions!$D$7,"Other Services"))),"Other Services"))</f>
        <v/>
      </c>
    </row>
    <row r="3092" customFormat="false" ht="15" hidden="false" customHeight="false" outlineLevel="0" collapsed="false">
      <c r="F3092" s="41" t="str">
        <f aca="false">IF(E3092="","",IFERROR(VLOOKUP(E3092,Assumptions!$G$5:$H$16,2,0),"Other"))</f>
        <v/>
      </c>
      <c r="J3092" s="41" t="str">
        <f aca="false">IF(G3092="","",IFERROR(IF(ISNUMBER(SEARCH(Assumptions!$C$5,G3092)),Assumptions!$D$5,IF(ISNUMBER(SEARCH(Assumptions!$C$6,G3092)),Assumptions!$D$6,IF(ISNUMBER(SEARCH(Assumptions!$C$7,G3092)),Assumptions!$D$7,"Other Services"))),"Other Services"))</f>
        <v/>
      </c>
    </row>
    <row r="3093" customFormat="false" ht="15" hidden="false" customHeight="false" outlineLevel="0" collapsed="false">
      <c r="F3093" s="41" t="str">
        <f aca="false">IF(E3093="","",IFERROR(VLOOKUP(E3093,Assumptions!$G$5:$H$16,2,0),"Other"))</f>
        <v/>
      </c>
      <c r="J3093" s="41" t="str">
        <f aca="false">IF(G3093="","",IFERROR(IF(ISNUMBER(SEARCH(Assumptions!$C$5,G3093)),Assumptions!$D$5,IF(ISNUMBER(SEARCH(Assumptions!$C$6,G3093)),Assumptions!$D$6,IF(ISNUMBER(SEARCH(Assumptions!$C$7,G3093)),Assumptions!$D$7,"Other Services"))),"Other Services"))</f>
        <v/>
      </c>
    </row>
    <row r="3094" customFormat="false" ht="15" hidden="false" customHeight="false" outlineLevel="0" collapsed="false">
      <c r="F3094" s="41" t="str">
        <f aca="false">IF(E3094="","",IFERROR(VLOOKUP(E3094,Assumptions!$G$5:$H$16,2,0),"Other"))</f>
        <v/>
      </c>
      <c r="J3094" s="41" t="str">
        <f aca="false">IF(G3094="","",IFERROR(IF(ISNUMBER(SEARCH(Assumptions!$C$5,G3094)),Assumptions!$D$5,IF(ISNUMBER(SEARCH(Assumptions!$C$6,G3094)),Assumptions!$D$6,IF(ISNUMBER(SEARCH(Assumptions!$C$7,G3094)),Assumptions!$D$7,"Other Services"))),"Other Services"))</f>
        <v/>
      </c>
    </row>
    <row r="3095" customFormat="false" ht="15" hidden="false" customHeight="false" outlineLevel="0" collapsed="false">
      <c r="F3095" s="41" t="str">
        <f aca="false">IF(E3095="","",IFERROR(VLOOKUP(E3095,Assumptions!$G$5:$H$16,2,0),"Other"))</f>
        <v/>
      </c>
      <c r="J3095" s="41" t="str">
        <f aca="false">IF(G3095="","",IFERROR(IF(ISNUMBER(SEARCH(Assumptions!$C$5,G3095)),Assumptions!$D$5,IF(ISNUMBER(SEARCH(Assumptions!$C$6,G3095)),Assumptions!$D$6,IF(ISNUMBER(SEARCH(Assumptions!$C$7,G3095)),Assumptions!$D$7,"Other Services"))),"Other Services"))</f>
        <v/>
      </c>
    </row>
    <row r="3096" customFormat="false" ht="15" hidden="false" customHeight="false" outlineLevel="0" collapsed="false">
      <c r="F3096" s="41" t="str">
        <f aca="false">IF(E3096="","",IFERROR(VLOOKUP(E3096,Assumptions!$G$5:$H$16,2,0),"Other"))</f>
        <v/>
      </c>
      <c r="J3096" s="41" t="str">
        <f aca="false">IF(G3096="","",IFERROR(IF(ISNUMBER(SEARCH(Assumptions!$C$5,G3096)),Assumptions!$D$5,IF(ISNUMBER(SEARCH(Assumptions!$C$6,G3096)),Assumptions!$D$6,IF(ISNUMBER(SEARCH(Assumptions!$C$7,G3096)),Assumptions!$D$7,"Other Services"))),"Other Services"))</f>
        <v/>
      </c>
    </row>
    <row r="3097" customFormat="false" ht="15" hidden="false" customHeight="false" outlineLevel="0" collapsed="false">
      <c r="F3097" s="41" t="str">
        <f aca="false">IF(E3097="","",IFERROR(VLOOKUP(E3097,Assumptions!$G$5:$H$16,2,0),"Other"))</f>
        <v/>
      </c>
      <c r="J3097" s="41" t="str">
        <f aca="false">IF(G3097="","",IFERROR(IF(ISNUMBER(SEARCH(Assumptions!$C$5,G3097)),Assumptions!$D$5,IF(ISNUMBER(SEARCH(Assumptions!$C$6,G3097)),Assumptions!$D$6,IF(ISNUMBER(SEARCH(Assumptions!$C$7,G3097)),Assumptions!$D$7,"Other Services"))),"Other Services"))</f>
        <v/>
      </c>
    </row>
    <row r="3098" customFormat="false" ht="15" hidden="false" customHeight="false" outlineLevel="0" collapsed="false">
      <c r="F3098" s="41" t="str">
        <f aca="false">IF(E3098="","",IFERROR(VLOOKUP(E3098,Assumptions!$G$5:$H$16,2,0),"Other"))</f>
        <v/>
      </c>
      <c r="J3098" s="41" t="str">
        <f aca="false">IF(G3098="","",IFERROR(IF(ISNUMBER(SEARCH(Assumptions!$C$5,G3098)),Assumptions!$D$5,IF(ISNUMBER(SEARCH(Assumptions!$C$6,G3098)),Assumptions!$D$6,IF(ISNUMBER(SEARCH(Assumptions!$C$7,G3098)),Assumptions!$D$7,"Other Services"))),"Other Services"))</f>
        <v/>
      </c>
    </row>
    <row r="3099" customFormat="false" ht="15" hidden="false" customHeight="false" outlineLevel="0" collapsed="false">
      <c r="F3099" s="41" t="str">
        <f aca="false">IF(E3099="","",IFERROR(VLOOKUP(E3099,Assumptions!$G$5:$H$16,2,0),"Other"))</f>
        <v/>
      </c>
      <c r="J3099" s="41" t="str">
        <f aca="false">IF(G3099="","",IFERROR(IF(ISNUMBER(SEARCH(Assumptions!$C$5,G3099)),Assumptions!$D$5,IF(ISNUMBER(SEARCH(Assumptions!$C$6,G3099)),Assumptions!$D$6,IF(ISNUMBER(SEARCH(Assumptions!$C$7,G3099)),Assumptions!$D$7,"Other Services"))),"Other Services"))</f>
        <v/>
      </c>
    </row>
    <row r="3100" customFormat="false" ht="15" hidden="false" customHeight="false" outlineLevel="0" collapsed="false">
      <c r="F3100" s="41" t="str">
        <f aca="false">IF(E3100="","",IFERROR(VLOOKUP(E3100,Assumptions!$G$5:$H$16,2,0),"Other"))</f>
        <v/>
      </c>
      <c r="J3100" s="41" t="str">
        <f aca="false">IF(G3100="","",IFERROR(IF(ISNUMBER(SEARCH(Assumptions!$C$5,G3100)),Assumptions!$D$5,IF(ISNUMBER(SEARCH(Assumptions!$C$6,G3100)),Assumptions!$D$6,IF(ISNUMBER(SEARCH(Assumptions!$C$7,G3100)),Assumptions!$D$7,"Other Services"))),"Other Services"))</f>
        <v/>
      </c>
    </row>
    <row r="3101" customFormat="false" ht="15" hidden="false" customHeight="false" outlineLevel="0" collapsed="false">
      <c r="F3101" s="41" t="str">
        <f aca="false">IF(E3101="","",IFERROR(VLOOKUP(E3101,Assumptions!$G$5:$H$16,2,0),"Other"))</f>
        <v/>
      </c>
      <c r="J3101" s="41" t="str">
        <f aca="false">IF(G3101="","",IFERROR(IF(ISNUMBER(SEARCH(Assumptions!$C$5,G3101)),Assumptions!$D$5,IF(ISNUMBER(SEARCH(Assumptions!$C$6,G3101)),Assumptions!$D$6,IF(ISNUMBER(SEARCH(Assumptions!$C$7,G3101)),Assumptions!$D$7,"Other Services"))),"Other Services"))</f>
        <v/>
      </c>
    </row>
    <row r="3102" customFormat="false" ht="15" hidden="false" customHeight="false" outlineLevel="0" collapsed="false">
      <c r="F3102" s="41" t="str">
        <f aca="false">IF(E3102="","",IFERROR(VLOOKUP(E3102,Assumptions!$G$5:$H$16,2,0),"Other"))</f>
        <v/>
      </c>
      <c r="J3102" s="41" t="str">
        <f aca="false">IF(G3102="","",IFERROR(IF(ISNUMBER(SEARCH(Assumptions!$C$5,G3102)),Assumptions!$D$5,IF(ISNUMBER(SEARCH(Assumptions!$C$6,G3102)),Assumptions!$D$6,IF(ISNUMBER(SEARCH(Assumptions!$C$7,G3102)),Assumptions!$D$7,"Other Services"))),"Other Services"))</f>
        <v/>
      </c>
    </row>
    <row r="3103" customFormat="false" ht="15" hidden="false" customHeight="false" outlineLevel="0" collapsed="false">
      <c r="F3103" s="41" t="str">
        <f aca="false">IF(E3103="","",IFERROR(VLOOKUP(E3103,Assumptions!$G$5:$H$16,2,0),"Other"))</f>
        <v/>
      </c>
      <c r="J3103" s="41" t="str">
        <f aca="false">IF(G3103="","",IFERROR(IF(ISNUMBER(SEARCH(Assumptions!$C$5,G3103)),Assumptions!$D$5,IF(ISNUMBER(SEARCH(Assumptions!$C$6,G3103)),Assumptions!$D$6,IF(ISNUMBER(SEARCH(Assumptions!$C$7,G3103)),Assumptions!$D$7,"Other Services"))),"Other Services"))</f>
        <v/>
      </c>
    </row>
    <row r="3104" customFormat="false" ht="15" hidden="false" customHeight="false" outlineLevel="0" collapsed="false">
      <c r="F3104" s="41" t="str">
        <f aca="false">IF(E3104="","",IFERROR(VLOOKUP(E3104,Assumptions!$G$5:$H$16,2,0),"Other"))</f>
        <v/>
      </c>
      <c r="J3104" s="41" t="str">
        <f aca="false">IF(G3104="","",IFERROR(IF(ISNUMBER(SEARCH(Assumptions!$C$5,G3104)),Assumptions!$D$5,IF(ISNUMBER(SEARCH(Assumptions!$C$6,G3104)),Assumptions!$D$6,IF(ISNUMBER(SEARCH(Assumptions!$C$7,G3104)),Assumptions!$D$7,"Other Services"))),"Other Services"))</f>
        <v/>
      </c>
    </row>
    <row r="3105" customFormat="false" ht="15" hidden="false" customHeight="false" outlineLevel="0" collapsed="false">
      <c r="F3105" s="41" t="str">
        <f aca="false">IF(E3105="","",IFERROR(VLOOKUP(E3105,Assumptions!$G$5:$H$16,2,0),"Other"))</f>
        <v/>
      </c>
      <c r="J3105" s="41" t="str">
        <f aca="false">IF(G3105="","",IFERROR(IF(ISNUMBER(SEARCH(Assumptions!$C$5,G3105)),Assumptions!$D$5,IF(ISNUMBER(SEARCH(Assumptions!$C$6,G3105)),Assumptions!$D$6,IF(ISNUMBER(SEARCH(Assumptions!$C$7,G3105)),Assumptions!$D$7,"Other Services"))),"Other Services"))</f>
        <v/>
      </c>
    </row>
    <row r="3106" customFormat="false" ht="15" hidden="false" customHeight="false" outlineLevel="0" collapsed="false">
      <c r="F3106" s="41" t="str">
        <f aca="false">IF(E3106="","",IFERROR(VLOOKUP(E3106,Assumptions!$G$5:$H$16,2,0),"Other"))</f>
        <v/>
      </c>
      <c r="J3106" s="41" t="str">
        <f aca="false">IF(G3106="","",IFERROR(IF(ISNUMBER(SEARCH(Assumptions!$C$5,G3106)),Assumptions!$D$5,IF(ISNUMBER(SEARCH(Assumptions!$C$6,G3106)),Assumptions!$D$6,IF(ISNUMBER(SEARCH(Assumptions!$C$7,G3106)),Assumptions!$D$7,"Other Services"))),"Other Services"))</f>
        <v/>
      </c>
    </row>
    <row r="3107" customFormat="false" ht="15" hidden="false" customHeight="false" outlineLevel="0" collapsed="false">
      <c r="F3107" s="41" t="str">
        <f aca="false">IF(E3107="","",IFERROR(VLOOKUP(E3107,Assumptions!$G$5:$H$16,2,0),"Other"))</f>
        <v/>
      </c>
      <c r="J3107" s="41" t="str">
        <f aca="false">IF(G3107="","",IFERROR(IF(ISNUMBER(SEARCH(Assumptions!$C$5,G3107)),Assumptions!$D$5,IF(ISNUMBER(SEARCH(Assumptions!$C$6,G3107)),Assumptions!$D$6,IF(ISNUMBER(SEARCH(Assumptions!$C$7,G3107)),Assumptions!$D$7,"Other Services"))),"Other Services"))</f>
        <v/>
      </c>
    </row>
    <row r="3108" customFormat="false" ht="15" hidden="false" customHeight="false" outlineLevel="0" collapsed="false">
      <c r="F3108" s="41" t="str">
        <f aca="false">IF(E3108="","",IFERROR(VLOOKUP(E3108,Assumptions!$G$5:$H$16,2,0),"Other"))</f>
        <v/>
      </c>
      <c r="J3108" s="41" t="str">
        <f aca="false">IF(G3108="","",IFERROR(IF(ISNUMBER(SEARCH(Assumptions!$C$5,G3108)),Assumptions!$D$5,IF(ISNUMBER(SEARCH(Assumptions!$C$6,G3108)),Assumptions!$D$6,IF(ISNUMBER(SEARCH(Assumptions!$C$7,G3108)),Assumptions!$D$7,"Other Services"))),"Other Services"))</f>
        <v/>
      </c>
    </row>
    <row r="3109" customFormat="false" ht="15" hidden="false" customHeight="false" outlineLevel="0" collapsed="false">
      <c r="F3109" s="41" t="str">
        <f aca="false">IF(E3109="","",IFERROR(VLOOKUP(E3109,Assumptions!$G$5:$H$16,2,0),"Other"))</f>
        <v/>
      </c>
      <c r="J3109" s="41" t="str">
        <f aca="false">IF(G3109="","",IFERROR(IF(ISNUMBER(SEARCH(Assumptions!$C$5,G3109)),Assumptions!$D$5,IF(ISNUMBER(SEARCH(Assumptions!$C$6,G3109)),Assumptions!$D$6,IF(ISNUMBER(SEARCH(Assumptions!$C$7,G3109)),Assumptions!$D$7,"Other Services"))),"Other Services"))</f>
        <v/>
      </c>
    </row>
    <row r="3110" customFormat="false" ht="15" hidden="false" customHeight="false" outlineLevel="0" collapsed="false">
      <c r="F3110" s="41" t="str">
        <f aca="false">IF(E3110="","",IFERROR(VLOOKUP(E3110,Assumptions!$G$5:$H$16,2,0),"Other"))</f>
        <v/>
      </c>
      <c r="J3110" s="41" t="str">
        <f aca="false">IF(G3110="","",IFERROR(IF(ISNUMBER(SEARCH(Assumptions!$C$5,G3110)),Assumptions!$D$5,IF(ISNUMBER(SEARCH(Assumptions!$C$6,G3110)),Assumptions!$D$6,IF(ISNUMBER(SEARCH(Assumptions!$C$7,G3110)),Assumptions!$D$7,"Other Services"))),"Other Services"))</f>
        <v/>
      </c>
    </row>
    <row r="3111" customFormat="false" ht="15" hidden="false" customHeight="false" outlineLevel="0" collapsed="false">
      <c r="F3111" s="41" t="str">
        <f aca="false">IF(E3111="","",IFERROR(VLOOKUP(E3111,Assumptions!$G$5:$H$16,2,0),"Other"))</f>
        <v/>
      </c>
      <c r="J3111" s="41" t="str">
        <f aca="false">IF(G3111="","",IFERROR(IF(ISNUMBER(SEARCH(Assumptions!$C$5,G3111)),Assumptions!$D$5,IF(ISNUMBER(SEARCH(Assumptions!$C$6,G3111)),Assumptions!$D$6,IF(ISNUMBER(SEARCH(Assumptions!$C$7,G3111)),Assumptions!$D$7,"Other Services"))),"Other Services"))</f>
        <v/>
      </c>
    </row>
    <row r="3112" customFormat="false" ht="15" hidden="false" customHeight="false" outlineLevel="0" collapsed="false">
      <c r="F3112" s="41" t="str">
        <f aca="false">IF(E3112="","",IFERROR(VLOOKUP(E3112,Assumptions!$G$5:$H$16,2,0),"Other"))</f>
        <v/>
      </c>
      <c r="J3112" s="41" t="str">
        <f aca="false">IF(G3112="","",IFERROR(IF(ISNUMBER(SEARCH(Assumptions!$C$5,G3112)),Assumptions!$D$5,IF(ISNUMBER(SEARCH(Assumptions!$C$6,G3112)),Assumptions!$D$6,IF(ISNUMBER(SEARCH(Assumptions!$C$7,G3112)),Assumptions!$D$7,"Other Services"))),"Other Services"))</f>
        <v/>
      </c>
    </row>
    <row r="3113" customFormat="false" ht="15" hidden="false" customHeight="false" outlineLevel="0" collapsed="false">
      <c r="F3113" s="41" t="str">
        <f aca="false">IF(E3113="","",IFERROR(VLOOKUP(E3113,Assumptions!$G$5:$H$16,2,0),"Other"))</f>
        <v/>
      </c>
      <c r="J3113" s="41" t="str">
        <f aca="false">IF(G3113="","",IFERROR(IF(ISNUMBER(SEARCH(Assumptions!$C$5,G3113)),Assumptions!$D$5,IF(ISNUMBER(SEARCH(Assumptions!$C$6,G3113)),Assumptions!$D$6,IF(ISNUMBER(SEARCH(Assumptions!$C$7,G3113)),Assumptions!$D$7,"Other Services"))),"Other Services"))</f>
        <v/>
      </c>
    </row>
    <row r="3114" customFormat="false" ht="15" hidden="false" customHeight="false" outlineLevel="0" collapsed="false">
      <c r="F3114" s="41" t="str">
        <f aca="false">IF(E3114="","",IFERROR(VLOOKUP(E3114,Assumptions!$G$5:$H$16,2,0),"Other"))</f>
        <v/>
      </c>
      <c r="J3114" s="41" t="str">
        <f aca="false">IF(G3114="","",IFERROR(IF(ISNUMBER(SEARCH(Assumptions!$C$5,G3114)),Assumptions!$D$5,IF(ISNUMBER(SEARCH(Assumptions!$C$6,G3114)),Assumptions!$D$6,IF(ISNUMBER(SEARCH(Assumptions!$C$7,G3114)),Assumptions!$D$7,"Other Services"))),"Other Services"))</f>
        <v/>
      </c>
    </row>
    <row r="3115" customFormat="false" ht="15" hidden="false" customHeight="false" outlineLevel="0" collapsed="false">
      <c r="F3115" s="41" t="str">
        <f aca="false">IF(E3115="","",IFERROR(VLOOKUP(E3115,Assumptions!$G$5:$H$16,2,0),"Other"))</f>
        <v/>
      </c>
      <c r="J3115" s="41" t="str">
        <f aca="false">IF(G3115="","",IFERROR(IF(ISNUMBER(SEARCH(Assumptions!$C$5,G3115)),Assumptions!$D$5,IF(ISNUMBER(SEARCH(Assumptions!$C$6,G3115)),Assumptions!$D$6,IF(ISNUMBER(SEARCH(Assumptions!$C$7,G3115)),Assumptions!$D$7,"Other Services"))),"Other Services"))</f>
        <v/>
      </c>
    </row>
    <row r="3116" customFormat="false" ht="15" hidden="false" customHeight="false" outlineLevel="0" collapsed="false">
      <c r="F3116" s="41" t="str">
        <f aca="false">IF(E3116="","",IFERROR(VLOOKUP(E3116,Assumptions!$G$5:$H$16,2,0),"Other"))</f>
        <v/>
      </c>
      <c r="J3116" s="41" t="str">
        <f aca="false">IF(G3116="","",IFERROR(IF(ISNUMBER(SEARCH(Assumptions!$C$5,G3116)),Assumptions!$D$5,IF(ISNUMBER(SEARCH(Assumptions!$C$6,G3116)),Assumptions!$D$6,IF(ISNUMBER(SEARCH(Assumptions!$C$7,G3116)),Assumptions!$D$7,"Other Services"))),"Other Services"))</f>
        <v/>
      </c>
    </row>
    <row r="3117" customFormat="false" ht="15" hidden="false" customHeight="false" outlineLevel="0" collapsed="false">
      <c r="F3117" s="41" t="str">
        <f aca="false">IF(E3117="","",IFERROR(VLOOKUP(E3117,Assumptions!$G$5:$H$16,2,0),"Other"))</f>
        <v/>
      </c>
      <c r="J3117" s="41" t="str">
        <f aca="false">IF(G3117="","",IFERROR(IF(ISNUMBER(SEARCH(Assumptions!$C$5,G3117)),Assumptions!$D$5,IF(ISNUMBER(SEARCH(Assumptions!$C$6,G3117)),Assumptions!$D$6,IF(ISNUMBER(SEARCH(Assumptions!$C$7,G3117)),Assumptions!$D$7,"Other Services"))),"Other Services"))</f>
        <v/>
      </c>
    </row>
    <row r="3118" customFormat="false" ht="15" hidden="false" customHeight="false" outlineLevel="0" collapsed="false">
      <c r="F3118" s="41" t="str">
        <f aca="false">IF(E3118="","",IFERROR(VLOOKUP(E3118,Assumptions!$G$5:$H$16,2,0),"Other"))</f>
        <v/>
      </c>
      <c r="J3118" s="41" t="str">
        <f aca="false">IF(G3118="","",IFERROR(IF(ISNUMBER(SEARCH(Assumptions!$C$5,G3118)),Assumptions!$D$5,IF(ISNUMBER(SEARCH(Assumptions!$C$6,G3118)),Assumptions!$D$6,IF(ISNUMBER(SEARCH(Assumptions!$C$7,G3118)),Assumptions!$D$7,"Other Services"))),"Other Services"))</f>
        <v/>
      </c>
    </row>
    <row r="3119" customFormat="false" ht="15" hidden="false" customHeight="false" outlineLevel="0" collapsed="false">
      <c r="F3119" s="41" t="str">
        <f aca="false">IF(E3119="","",IFERROR(VLOOKUP(E3119,Assumptions!$G$5:$H$16,2,0),"Other"))</f>
        <v/>
      </c>
      <c r="J3119" s="41" t="str">
        <f aca="false">IF(G3119="","",IFERROR(IF(ISNUMBER(SEARCH(Assumptions!$C$5,G3119)),Assumptions!$D$5,IF(ISNUMBER(SEARCH(Assumptions!$C$6,G3119)),Assumptions!$D$6,IF(ISNUMBER(SEARCH(Assumptions!$C$7,G3119)),Assumptions!$D$7,"Other Services"))),"Other Services"))</f>
        <v/>
      </c>
    </row>
    <row r="3120" customFormat="false" ht="15" hidden="false" customHeight="false" outlineLevel="0" collapsed="false">
      <c r="F3120" s="41" t="str">
        <f aca="false">IF(E3120="","",IFERROR(VLOOKUP(E3120,Assumptions!$G$5:$H$16,2,0),"Other"))</f>
        <v/>
      </c>
      <c r="J3120" s="41" t="str">
        <f aca="false">IF(G3120="","",IFERROR(IF(ISNUMBER(SEARCH(Assumptions!$C$5,G3120)),Assumptions!$D$5,IF(ISNUMBER(SEARCH(Assumptions!$C$6,G3120)),Assumptions!$D$6,IF(ISNUMBER(SEARCH(Assumptions!$C$7,G3120)),Assumptions!$D$7,"Other Services"))),"Other Services"))</f>
        <v/>
      </c>
    </row>
    <row r="3121" customFormat="false" ht="15" hidden="false" customHeight="false" outlineLevel="0" collapsed="false">
      <c r="F3121" s="41" t="str">
        <f aca="false">IF(E3121="","",IFERROR(VLOOKUP(E3121,Assumptions!$G$5:$H$16,2,0),"Other"))</f>
        <v/>
      </c>
      <c r="J3121" s="41" t="str">
        <f aca="false">IF(G3121="","",IFERROR(IF(ISNUMBER(SEARCH(Assumptions!$C$5,G3121)),Assumptions!$D$5,IF(ISNUMBER(SEARCH(Assumptions!$C$6,G3121)),Assumptions!$D$6,IF(ISNUMBER(SEARCH(Assumptions!$C$7,G3121)),Assumptions!$D$7,"Other Services"))),"Other Services"))</f>
        <v/>
      </c>
    </row>
    <row r="3122" customFormat="false" ht="15" hidden="false" customHeight="false" outlineLevel="0" collapsed="false">
      <c r="F3122" s="41" t="str">
        <f aca="false">IF(E3122="","",IFERROR(VLOOKUP(E3122,Assumptions!$G$5:$H$16,2,0),"Other"))</f>
        <v/>
      </c>
      <c r="J3122" s="41" t="str">
        <f aca="false">IF(G3122="","",IFERROR(IF(ISNUMBER(SEARCH(Assumptions!$C$5,G3122)),Assumptions!$D$5,IF(ISNUMBER(SEARCH(Assumptions!$C$6,G3122)),Assumptions!$D$6,IF(ISNUMBER(SEARCH(Assumptions!$C$7,G3122)),Assumptions!$D$7,"Other Services"))),"Other Services"))</f>
        <v/>
      </c>
    </row>
    <row r="3123" customFormat="false" ht="15" hidden="false" customHeight="false" outlineLevel="0" collapsed="false">
      <c r="F3123" s="41" t="str">
        <f aca="false">IF(E3123="","",IFERROR(VLOOKUP(E3123,Assumptions!$G$5:$H$16,2,0),"Other"))</f>
        <v/>
      </c>
      <c r="J3123" s="41" t="str">
        <f aca="false">IF(G3123="","",IFERROR(IF(ISNUMBER(SEARCH(Assumptions!$C$5,G3123)),Assumptions!$D$5,IF(ISNUMBER(SEARCH(Assumptions!$C$6,G3123)),Assumptions!$D$6,IF(ISNUMBER(SEARCH(Assumptions!$C$7,G3123)),Assumptions!$D$7,"Other Services"))),"Other Services"))</f>
        <v/>
      </c>
    </row>
    <row r="3124" customFormat="false" ht="15" hidden="false" customHeight="false" outlineLevel="0" collapsed="false">
      <c r="F3124" s="41" t="str">
        <f aca="false">IF(E3124="","",IFERROR(VLOOKUP(E3124,Assumptions!$G$5:$H$16,2,0),"Other"))</f>
        <v/>
      </c>
      <c r="J3124" s="41" t="str">
        <f aca="false">IF(G3124="","",IFERROR(IF(ISNUMBER(SEARCH(Assumptions!$C$5,G3124)),Assumptions!$D$5,IF(ISNUMBER(SEARCH(Assumptions!$C$6,G3124)),Assumptions!$D$6,IF(ISNUMBER(SEARCH(Assumptions!$C$7,G3124)),Assumptions!$D$7,"Other Services"))),"Other Services"))</f>
        <v/>
      </c>
    </row>
    <row r="3125" customFormat="false" ht="15" hidden="false" customHeight="false" outlineLevel="0" collapsed="false">
      <c r="F3125" s="41" t="str">
        <f aca="false">IF(E3125="","",IFERROR(VLOOKUP(E3125,Assumptions!$G$5:$H$16,2,0),"Other"))</f>
        <v/>
      </c>
      <c r="J3125" s="41" t="str">
        <f aca="false">IF(G3125="","",IFERROR(IF(ISNUMBER(SEARCH(Assumptions!$C$5,G3125)),Assumptions!$D$5,IF(ISNUMBER(SEARCH(Assumptions!$C$6,G3125)),Assumptions!$D$6,IF(ISNUMBER(SEARCH(Assumptions!$C$7,G3125)),Assumptions!$D$7,"Other Services"))),"Other Services"))</f>
        <v/>
      </c>
    </row>
    <row r="3126" customFormat="false" ht="15" hidden="false" customHeight="false" outlineLevel="0" collapsed="false">
      <c r="F3126" s="41" t="str">
        <f aca="false">IF(E3126="","",IFERROR(VLOOKUP(E3126,Assumptions!$G$5:$H$16,2,0),"Other"))</f>
        <v/>
      </c>
      <c r="J3126" s="41" t="str">
        <f aca="false">IF(G3126="","",IFERROR(IF(ISNUMBER(SEARCH(Assumptions!$C$5,G3126)),Assumptions!$D$5,IF(ISNUMBER(SEARCH(Assumptions!$C$6,G3126)),Assumptions!$D$6,IF(ISNUMBER(SEARCH(Assumptions!$C$7,G3126)),Assumptions!$D$7,"Other Services"))),"Other Services"))</f>
        <v/>
      </c>
    </row>
    <row r="3127" customFormat="false" ht="15" hidden="false" customHeight="false" outlineLevel="0" collapsed="false">
      <c r="F3127" s="41" t="str">
        <f aca="false">IF(E3127="","",IFERROR(VLOOKUP(E3127,Assumptions!$G$5:$H$16,2,0),"Other"))</f>
        <v/>
      </c>
      <c r="J3127" s="41" t="str">
        <f aca="false">IF(G3127="","",IFERROR(IF(ISNUMBER(SEARCH(Assumptions!$C$5,G3127)),Assumptions!$D$5,IF(ISNUMBER(SEARCH(Assumptions!$C$6,G3127)),Assumptions!$D$6,IF(ISNUMBER(SEARCH(Assumptions!$C$7,G3127)),Assumptions!$D$7,"Other Services"))),"Other Services"))</f>
        <v/>
      </c>
    </row>
    <row r="3128" customFormat="false" ht="15" hidden="false" customHeight="false" outlineLevel="0" collapsed="false">
      <c r="F3128" s="41" t="str">
        <f aca="false">IF(E3128="","",IFERROR(VLOOKUP(E3128,Assumptions!$G$5:$H$16,2,0),"Other"))</f>
        <v/>
      </c>
      <c r="J3128" s="41" t="str">
        <f aca="false">IF(G3128="","",IFERROR(IF(ISNUMBER(SEARCH(Assumptions!$C$5,G3128)),Assumptions!$D$5,IF(ISNUMBER(SEARCH(Assumptions!$C$6,G3128)),Assumptions!$D$6,IF(ISNUMBER(SEARCH(Assumptions!$C$7,G3128)),Assumptions!$D$7,"Other Services"))),"Other Services"))</f>
        <v/>
      </c>
    </row>
    <row r="3129" customFormat="false" ht="15" hidden="false" customHeight="false" outlineLevel="0" collapsed="false">
      <c r="F3129" s="41" t="str">
        <f aca="false">IF(E3129="","",IFERROR(VLOOKUP(E3129,Assumptions!$G$5:$H$16,2,0),"Other"))</f>
        <v/>
      </c>
      <c r="J3129" s="41" t="str">
        <f aca="false">IF(G3129="","",IFERROR(IF(ISNUMBER(SEARCH(Assumptions!$C$5,G3129)),Assumptions!$D$5,IF(ISNUMBER(SEARCH(Assumptions!$C$6,G3129)),Assumptions!$D$6,IF(ISNUMBER(SEARCH(Assumptions!$C$7,G3129)),Assumptions!$D$7,"Other Services"))),"Other Services"))</f>
        <v/>
      </c>
    </row>
    <row r="3130" customFormat="false" ht="15" hidden="false" customHeight="false" outlineLevel="0" collapsed="false">
      <c r="F3130" s="41" t="str">
        <f aca="false">IF(E3130="","",IFERROR(VLOOKUP(E3130,Assumptions!$G$5:$H$16,2,0),"Other"))</f>
        <v/>
      </c>
      <c r="J3130" s="41" t="str">
        <f aca="false">IF(G3130="","",IFERROR(IF(ISNUMBER(SEARCH(Assumptions!$C$5,G3130)),Assumptions!$D$5,IF(ISNUMBER(SEARCH(Assumptions!$C$6,G3130)),Assumptions!$D$6,IF(ISNUMBER(SEARCH(Assumptions!$C$7,G3130)),Assumptions!$D$7,"Other Services"))),"Other Services"))</f>
        <v/>
      </c>
    </row>
    <row r="3131" customFormat="false" ht="15" hidden="false" customHeight="false" outlineLevel="0" collapsed="false">
      <c r="F3131" s="41" t="str">
        <f aca="false">IF(E3131="","",IFERROR(VLOOKUP(E3131,Assumptions!$G$5:$H$16,2,0),"Other"))</f>
        <v/>
      </c>
      <c r="J3131" s="41" t="str">
        <f aca="false">IF(G3131="","",IFERROR(IF(ISNUMBER(SEARCH(Assumptions!$C$5,G3131)),Assumptions!$D$5,IF(ISNUMBER(SEARCH(Assumptions!$C$6,G3131)),Assumptions!$D$6,IF(ISNUMBER(SEARCH(Assumptions!$C$7,G3131)),Assumptions!$D$7,"Other Services"))),"Other Services"))</f>
        <v/>
      </c>
    </row>
    <row r="3132" customFormat="false" ht="15" hidden="false" customHeight="false" outlineLevel="0" collapsed="false">
      <c r="F3132" s="41" t="str">
        <f aca="false">IF(E3132="","",IFERROR(VLOOKUP(E3132,Assumptions!$G$5:$H$16,2,0),"Other"))</f>
        <v/>
      </c>
      <c r="J3132" s="41" t="str">
        <f aca="false">IF(G3132="","",IFERROR(IF(ISNUMBER(SEARCH(Assumptions!$C$5,G3132)),Assumptions!$D$5,IF(ISNUMBER(SEARCH(Assumptions!$C$6,G3132)),Assumptions!$D$6,IF(ISNUMBER(SEARCH(Assumptions!$C$7,G3132)),Assumptions!$D$7,"Other Services"))),"Other Services"))</f>
        <v/>
      </c>
    </row>
    <row r="3133" customFormat="false" ht="15" hidden="false" customHeight="false" outlineLevel="0" collapsed="false">
      <c r="F3133" s="41" t="str">
        <f aca="false">IF(E3133="","",IFERROR(VLOOKUP(E3133,Assumptions!$G$5:$H$16,2,0),"Other"))</f>
        <v/>
      </c>
      <c r="J3133" s="41" t="str">
        <f aca="false">IF(G3133="","",IFERROR(IF(ISNUMBER(SEARCH(Assumptions!$C$5,G3133)),Assumptions!$D$5,IF(ISNUMBER(SEARCH(Assumptions!$C$6,G3133)),Assumptions!$D$6,IF(ISNUMBER(SEARCH(Assumptions!$C$7,G3133)),Assumptions!$D$7,"Other Services"))),"Other Services"))</f>
        <v/>
      </c>
    </row>
    <row r="3134" customFormat="false" ht="15" hidden="false" customHeight="false" outlineLevel="0" collapsed="false">
      <c r="F3134" s="41" t="str">
        <f aca="false">IF(E3134="","",IFERROR(VLOOKUP(E3134,Assumptions!$G$5:$H$16,2,0),"Other"))</f>
        <v/>
      </c>
      <c r="J3134" s="41" t="str">
        <f aca="false">IF(G3134="","",IFERROR(IF(ISNUMBER(SEARCH(Assumptions!$C$5,G3134)),Assumptions!$D$5,IF(ISNUMBER(SEARCH(Assumptions!$C$6,G3134)),Assumptions!$D$6,IF(ISNUMBER(SEARCH(Assumptions!$C$7,G3134)),Assumptions!$D$7,"Other Services"))),"Other Services"))</f>
        <v/>
      </c>
    </row>
    <row r="3135" customFormat="false" ht="15" hidden="false" customHeight="false" outlineLevel="0" collapsed="false">
      <c r="F3135" s="41" t="str">
        <f aca="false">IF(E3135="","",IFERROR(VLOOKUP(E3135,Assumptions!$G$5:$H$16,2,0),"Other"))</f>
        <v/>
      </c>
      <c r="J3135" s="41" t="str">
        <f aca="false">IF(G3135="","",IFERROR(IF(ISNUMBER(SEARCH(Assumptions!$C$5,G3135)),Assumptions!$D$5,IF(ISNUMBER(SEARCH(Assumptions!$C$6,G3135)),Assumptions!$D$6,IF(ISNUMBER(SEARCH(Assumptions!$C$7,G3135)),Assumptions!$D$7,"Other Services"))),"Other Services"))</f>
        <v/>
      </c>
    </row>
    <row r="3136" customFormat="false" ht="15" hidden="false" customHeight="false" outlineLevel="0" collapsed="false">
      <c r="F3136" s="41" t="str">
        <f aca="false">IF(E3136="","",IFERROR(VLOOKUP(E3136,Assumptions!$G$5:$H$16,2,0),"Other"))</f>
        <v/>
      </c>
      <c r="J3136" s="41" t="str">
        <f aca="false">IF(G3136="","",IFERROR(IF(ISNUMBER(SEARCH(Assumptions!$C$5,G3136)),Assumptions!$D$5,IF(ISNUMBER(SEARCH(Assumptions!$C$6,G3136)),Assumptions!$D$6,IF(ISNUMBER(SEARCH(Assumptions!$C$7,G3136)),Assumptions!$D$7,"Other Services"))),"Other Services"))</f>
        <v/>
      </c>
    </row>
    <row r="3137" customFormat="false" ht="15" hidden="false" customHeight="false" outlineLevel="0" collapsed="false">
      <c r="F3137" s="41" t="str">
        <f aca="false">IF(E3137="","",IFERROR(VLOOKUP(E3137,Assumptions!$G$5:$H$16,2,0),"Other"))</f>
        <v/>
      </c>
      <c r="J3137" s="41" t="str">
        <f aca="false">IF(G3137="","",IFERROR(IF(ISNUMBER(SEARCH(Assumptions!$C$5,G3137)),Assumptions!$D$5,IF(ISNUMBER(SEARCH(Assumptions!$C$6,G3137)),Assumptions!$D$6,IF(ISNUMBER(SEARCH(Assumptions!$C$7,G3137)),Assumptions!$D$7,"Other Services"))),"Other Services"))</f>
        <v/>
      </c>
    </row>
    <row r="3138" customFormat="false" ht="15" hidden="false" customHeight="false" outlineLevel="0" collapsed="false">
      <c r="F3138" s="41" t="str">
        <f aca="false">IF(E3138="","",IFERROR(VLOOKUP(E3138,Assumptions!$G$5:$H$16,2,0),"Other"))</f>
        <v/>
      </c>
      <c r="J3138" s="41" t="str">
        <f aca="false">IF(G3138="","",IFERROR(IF(ISNUMBER(SEARCH(Assumptions!$C$5,G3138)),Assumptions!$D$5,IF(ISNUMBER(SEARCH(Assumptions!$C$6,G3138)),Assumptions!$D$6,IF(ISNUMBER(SEARCH(Assumptions!$C$7,G3138)),Assumptions!$D$7,"Other Services"))),"Other Services"))</f>
        <v/>
      </c>
    </row>
    <row r="3139" customFormat="false" ht="15" hidden="false" customHeight="false" outlineLevel="0" collapsed="false">
      <c r="F3139" s="41" t="str">
        <f aca="false">IF(E3139="","",IFERROR(VLOOKUP(E3139,Assumptions!$G$5:$H$16,2,0),"Other"))</f>
        <v/>
      </c>
      <c r="J3139" s="41" t="str">
        <f aca="false">IF(G3139="","",IFERROR(IF(ISNUMBER(SEARCH(Assumptions!$C$5,G3139)),Assumptions!$D$5,IF(ISNUMBER(SEARCH(Assumptions!$C$6,G3139)),Assumptions!$D$6,IF(ISNUMBER(SEARCH(Assumptions!$C$7,G3139)),Assumptions!$D$7,"Other Services"))),"Other Services"))</f>
        <v/>
      </c>
    </row>
    <row r="3140" customFormat="false" ht="15" hidden="false" customHeight="false" outlineLevel="0" collapsed="false">
      <c r="F3140" s="41" t="str">
        <f aca="false">IF(E3140="","",IFERROR(VLOOKUP(E3140,Assumptions!$G$5:$H$16,2,0),"Other"))</f>
        <v/>
      </c>
      <c r="J3140" s="41" t="str">
        <f aca="false">IF(G3140="","",IFERROR(IF(ISNUMBER(SEARCH(Assumptions!$C$5,G3140)),Assumptions!$D$5,IF(ISNUMBER(SEARCH(Assumptions!$C$6,G3140)),Assumptions!$D$6,IF(ISNUMBER(SEARCH(Assumptions!$C$7,G3140)),Assumptions!$D$7,"Other Services"))),"Other Services"))</f>
        <v/>
      </c>
    </row>
    <row r="3141" customFormat="false" ht="15" hidden="false" customHeight="false" outlineLevel="0" collapsed="false">
      <c r="F3141" s="41" t="str">
        <f aca="false">IF(E3141="","",IFERROR(VLOOKUP(E3141,Assumptions!$G$5:$H$16,2,0),"Other"))</f>
        <v/>
      </c>
      <c r="J3141" s="41" t="str">
        <f aca="false">IF(G3141="","",IFERROR(IF(ISNUMBER(SEARCH(Assumptions!$C$5,G3141)),Assumptions!$D$5,IF(ISNUMBER(SEARCH(Assumptions!$C$6,G3141)),Assumptions!$D$6,IF(ISNUMBER(SEARCH(Assumptions!$C$7,G3141)),Assumptions!$D$7,"Other Services"))),"Other Services"))</f>
        <v/>
      </c>
    </row>
    <row r="3142" customFormat="false" ht="15" hidden="false" customHeight="false" outlineLevel="0" collapsed="false">
      <c r="F3142" s="41" t="str">
        <f aca="false">IF(E3142="","",IFERROR(VLOOKUP(E3142,Assumptions!$G$5:$H$16,2,0),"Other"))</f>
        <v/>
      </c>
      <c r="J3142" s="41" t="str">
        <f aca="false">IF(G3142="","",IFERROR(IF(ISNUMBER(SEARCH(Assumptions!$C$5,G3142)),Assumptions!$D$5,IF(ISNUMBER(SEARCH(Assumptions!$C$6,G3142)),Assumptions!$D$6,IF(ISNUMBER(SEARCH(Assumptions!$C$7,G3142)),Assumptions!$D$7,"Other Services"))),"Other Services"))</f>
        <v/>
      </c>
    </row>
    <row r="3143" customFormat="false" ht="15" hidden="false" customHeight="false" outlineLevel="0" collapsed="false">
      <c r="F3143" s="41" t="str">
        <f aca="false">IF(E3143="","",IFERROR(VLOOKUP(E3143,Assumptions!$G$5:$H$16,2,0),"Other"))</f>
        <v/>
      </c>
      <c r="J3143" s="41" t="str">
        <f aca="false">IF(G3143="","",IFERROR(IF(ISNUMBER(SEARCH(Assumptions!$C$5,G3143)),Assumptions!$D$5,IF(ISNUMBER(SEARCH(Assumptions!$C$6,G3143)),Assumptions!$D$6,IF(ISNUMBER(SEARCH(Assumptions!$C$7,G3143)),Assumptions!$D$7,"Other Services"))),"Other Services"))</f>
        <v/>
      </c>
    </row>
    <row r="3144" customFormat="false" ht="15" hidden="false" customHeight="false" outlineLevel="0" collapsed="false">
      <c r="F3144" s="41" t="str">
        <f aca="false">IF(E3144="","",IFERROR(VLOOKUP(E3144,Assumptions!$G$5:$H$16,2,0),"Other"))</f>
        <v/>
      </c>
      <c r="J3144" s="41" t="str">
        <f aca="false">IF(G3144="","",IFERROR(IF(ISNUMBER(SEARCH(Assumptions!$C$5,G3144)),Assumptions!$D$5,IF(ISNUMBER(SEARCH(Assumptions!$C$6,G3144)),Assumptions!$D$6,IF(ISNUMBER(SEARCH(Assumptions!$C$7,G3144)),Assumptions!$D$7,"Other Services"))),"Other Services"))</f>
        <v/>
      </c>
    </row>
    <row r="3145" customFormat="false" ht="15" hidden="false" customHeight="false" outlineLevel="0" collapsed="false">
      <c r="F3145" s="41" t="str">
        <f aca="false">IF(E3145="","",IFERROR(VLOOKUP(E3145,Assumptions!$G$5:$H$16,2,0),"Other"))</f>
        <v/>
      </c>
      <c r="J3145" s="41" t="str">
        <f aca="false">IF(G3145="","",IFERROR(IF(ISNUMBER(SEARCH(Assumptions!$C$5,G3145)),Assumptions!$D$5,IF(ISNUMBER(SEARCH(Assumptions!$C$6,G3145)),Assumptions!$D$6,IF(ISNUMBER(SEARCH(Assumptions!$C$7,G3145)),Assumptions!$D$7,"Other Services"))),"Other Services"))</f>
        <v/>
      </c>
    </row>
    <row r="3146" customFormat="false" ht="15" hidden="false" customHeight="false" outlineLevel="0" collapsed="false">
      <c r="F3146" s="41" t="str">
        <f aca="false">IF(E3146="","",IFERROR(VLOOKUP(E3146,Assumptions!$G$5:$H$16,2,0),"Other"))</f>
        <v/>
      </c>
      <c r="J3146" s="41" t="str">
        <f aca="false">IF(G3146="","",IFERROR(IF(ISNUMBER(SEARCH(Assumptions!$C$5,G3146)),Assumptions!$D$5,IF(ISNUMBER(SEARCH(Assumptions!$C$6,G3146)),Assumptions!$D$6,IF(ISNUMBER(SEARCH(Assumptions!$C$7,G3146)),Assumptions!$D$7,"Other Services"))),"Other Services"))</f>
        <v/>
      </c>
    </row>
    <row r="3147" customFormat="false" ht="15" hidden="false" customHeight="false" outlineLevel="0" collapsed="false">
      <c r="F3147" s="41" t="str">
        <f aca="false">IF(E3147="","",IFERROR(VLOOKUP(E3147,Assumptions!$G$5:$H$16,2,0),"Other"))</f>
        <v/>
      </c>
      <c r="J3147" s="41" t="str">
        <f aca="false">IF(G3147="","",IFERROR(IF(ISNUMBER(SEARCH(Assumptions!$C$5,G3147)),Assumptions!$D$5,IF(ISNUMBER(SEARCH(Assumptions!$C$6,G3147)),Assumptions!$D$6,IF(ISNUMBER(SEARCH(Assumptions!$C$7,G3147)),Assumptions!$D$7,"Other Services"))),"Other Services"))</f>
        <v/>
      </c>
    </row>
    <row r="3148" customFormat="false" ht="15" hidden="false" customHeight="false" outlineLevel="0" collapsed="false">
      <c r="F3148" s="41" t="str">
        <f aca="false">IF(E3148="","",IFERROR(VLOOKUP(E3148,Assumptions!$G$5:$H$16,2,0),"Other"))</f>
        <v/>
      </c>
      <c r="J3148" s="41" t="str">
        <f aca="false">IF(G3148="","",IFERROR(IF(ISNUMBER(SEARCH(Assumptions!$C$5,G3148)),Assumptions!$D$5,IF(ISNUMBER(SEARCH(Assumptions!$C$6,G3148)),Assumptions!$D$6,IF(ISNUMBER(SEARCH(Assumptions!$C$7,G3148)),Assumptions!$D$7,"Other Services"))),"Other Services"))</f>
        <v/>
      </c>
    </row>
    <row r="3149" customFormat="false" ht="15" hidden="false" customHeight="false" outlineLevel="0" collapsed="false">
      <c r="F3149" s="41" t="str">
        <f aca="false">IF(E3149="","",IFERROR(VLOOKUP(E3149,Assumptions!$G$5:$H$16,2,0),"Other"))</f>
        <v/>
      </c>
      <c r="J3149" s="41" t="str">
        <f aca="false">IF(G3149="","",IFERROR(IF(ISNUMBER(SEARCH(Assumptions!$C$5,G3149)),Assumptions!$D$5,IF(ISNUMBER(SEARCH(Assumptions!$C$6,G3149)),Assumptions!$D$6,IF(ISNUMBER(SEARCH(Assumptions!$C$7,G3149)),Assumptions!$D$7,"Other Services"))),"Other Services"))</f>
        <v/>
      </c>
    </row>
    <row r="3150" customFormat="false" ht="15" hidden="false" customHeight="false" outlineLevel="0" collapsed="false">
      <c r="F3150" s="41" t="str">
        <f aca="false">IF(E3150="","",IFERROR(VLOOKUP(E3150,Assumptions!$G$5:$H$16,2,0),"Other"))</f>
        <v/>
      </c>
      <c r="J3150" s="41" t="str">
        <f aca="false">IF(G3150="","",IFERROR(IF(ISNUMBER(SEARCH(Assumptions!$C$5,G3150)),Assumptions!$D$5,IF(ISNUMBER(SEARCH(Assumptions!$C$6,G3150)),Assumptions!$D$6,IF(ISNUMBER(SEARCH(Assumptions!$C$7,G3150)),Assumptions!$D$7,"Other Services"))),"Other Services"))</f>
        <v/>
      </c>
    </row>
    <row r="3151" customFormat="false" ht="15" hidden="false" customHeight="false" outlineLevel="0" collapsed="false">
      <c r="F3151" s="41" t="str">
        <f aca="false">IF(E3151="","",IFERROR(VLOOKUP(E3151,Assumptions!$G$5:$H$16,2,0),"Other"))</f>
        <v/>
      </c>
      <c r="J3151" s="41" t="str">
        <f aca="false">IF(G3151="","",IFERROR(IF(ISNUMBER(SEARCH(Assumptions!$C$5,G3151)),Assumptions!$D$5,IF(ISNUMBER(SEARCH(Assumptions!$C$6,G3151)),Assumptions!$D$6,IF(ISNUMBER(SEARCH(Assumptions!$C$7,G3151)),Assumptions!$D$7,"Other Services"))),"Other Services"))</f>
        <v/>
      </c>
    </row>
    <row r="3152" customFormat="false" ht="15" hidden="false" customHeight="false" outlineLevel="0" collapsed="false">
      <c r="F3152" s="41" t="str">
        <f aca="false">IF(E3152="","",IFERROR(VLOOKUP(E3152,Assumptions!$G$5:$H$16,2,0),"Other"))</f>
        <v/>
      </c>
      <c r="J3152" s="41" t="str">
        <f aca="false">IF(G3152="","",IFERROR(IF(ISNUMBER(SEARCH(Assumptions!$C$5,G3152)),Assumptions!$D$5,IF(ISNUMBER(SEARCH(Assumptions!$C$6,G3152)),Assumptions!$D$6,IF(ISNUMBER(SEARCH(Assumptions!$C$7,G3152)),Assumptions!$D$7,"Other Services"))),"Other Services"))</f>
        <v/>
      </c>
    </row>
    <row r="3153" customFormat="false" ht="15" hidden="false" customHeight="false" outlineLevel="0" collapsed="false">
      <c r="F3153" s="41" t="str">
        <f aca="false">IF(E3153="","",IFERROR(VLOOKUP(E3153,Assumptions!$G$5:$H$16,2,0),"Other"))</f>
        <v/>
      </c>
      <c r="J3153" s="41" t="str">
        <f aca="false">IF(G3153="","",IFERROR(IF(ISNUMBER(SEARCH(Assumptions!$C$5,G3153)),Assumptions!$D$5,IF(ISNUMBER(SEARCH(Assumptions!$C$6,G3153)),Assumptions!$D$6,IF(ISNUMBER(SEARCH(Assumptions!$C$7,G3153)),Assumptions!$D$7,"Other Services"))),"Other Services"))</f>
        <v/>
      </c>
    </row>
    <row r="3154" customFormat="false" ht="15" hidden="false" customHeight="false" outlineLevel="0" collapsed="false">
      <c r="F3154" s="41" t="str">
        <f aca="false">IF(E3154="","",IFERROR(VLOOKUP(E3154,Assumptions!$G$5:$H$16,2,0),"Other"))</f>
        <v/>
      </c>
      <c r="J3154" s="41" t="str">
        <f aca="false">IF(G3154="","",IFERROR(IF(ISNUMBER(SEARCH(Assumptions!$C$5,G3154)),Assumptions!$D$5,IF(ISNUMBER(SEARCH(Assumptions!$C$6,G3154)),Assumptions!$D$6,IF(ISNUMBER(SEARCH(Assumptions!$C$7,G3154)),Assumptions!$D$7,"Other Services"))),"Other Services"))</f>
        <v/>
      </c>
    </row>
    <row r="3155" customFormat="false" ht="15" hidden="false" customHeight="false" outlineLevel="0" collapsed="false">
      <c r="F3155" s="41" t="str">
        <f aca="false">IF(E3155="","",IFERROR(VLOOKUP(E3155,Assumptions!$G$5:$H$16,2,0),"Other"))</f>
        <v/>
      </c>
      <c r="J3155" s="41" t="str">
        <f aca="false">IF(G3155="","",IFERROR(IF(ISNUMBER(SEARCH(Assumptions!$C$5,G3155)),Assumptions!$D$5,IF(ISNUMBER(SEARCH(Assumptions!$C$6,G3155)),Assumptions!$D$6,IF(ISNUMBER(SEARCH(Assumptions!$C$7,G3155)),Assumptions!$D$7,"Other Services"))),"Other Services"))</f>
        <v/>
      </c>
    </row>
    <row r="3156" customFormat="false" ht="15" hidden="false" customHeight="false" outlineLevel="0" collapsed="false">
      <c r="F3156" s="41" t="str">
        <f aca="false">IF(E3156="","",IFERROR(VLOOKUP(E3156,Assumptions!$G$5:$H$16,2,0),"Other"))</f>
        <v/>
      </c>
      <c r="J3156" s="41" t="str">
        <f aca="false">IF(G3156="","",IFERROR(IF(ISNUMBER(SEARCH(Assumptions!$C$5,G3156)),Assumptions!$D$5,IF(ISNUMBER(SEARCH(Assumptions!$C$6,G3156)),Assumptions!$D$6,IF(ISNUMBER(SEARCH(Assumptions!$C$7,G3156)),Assumptions!$D$7,"Other Services"))),"Other Services"))</f>
        <v/>
      </c>
    </row>
    <row r="3157" customFormat="false" ht="15" hidden="false" customHeight="false" outlineLevel="0" collapsed="false">
      <c r="F3157" s="41" t="str">
        <f aca="false">IF(E3157="","",IFERROR(VLOOKUP(E3157,Assumptions!$G$5:$H$16,2,0),"Other"))</f>
        <v/>
      </c>
      <c r="J3157" s="41" t="str">
        <f aca="false">IF(G3157="","",IFERROR(IF(ISNUMBER(SEARCH(Assumptions!$C$5,G3157)),Assumptions!$D$5,IF(ISNUMBER(SEARCH(Assumptions!$C$6,G3157)),Assumptions!$D$6,IF(ISNUMBER(SEARCH(Assumptions!$C$7,G3157)),Assumptions!$D$7,"Other Services"))),"Other Services"))</f>
        <v/>
      </c>
    </row>
    <row r="3158" customFormat="false" ht="15" hidden="false" customHeight="false" outlineLevel="0" collapsed="false">
      <c r="F3158" s="41" t="str">
        <f aca="false">IF(E3158="","",IFERROR(VLOOKUP(E3158,Assumptions!$G$5:$H$16,2,0),"Other"))</f>
        <v/>
      </c>
      <c r="J3158" s="41" t="str">
        <f aca="false">IF(G3158="","",IFERROR(IF(ISNUMBER(SEARCH(Assumptions!$C$5,G3158)),Assumptions!$D$5,IF(ISNUMBER(SEARCH(Assumptions!$C$6,G3158)),Assumptions!$D$6,IF(ISNUMBER(SEARCH(Assumptions!$C$7,G3158)),Assumptions!$D$7,"Other Services"))),"Other Services"))</f>
        <v/>
      </c>
    </row>
    <row r="3159" customFormat="false" ht="15" hidden="false" customHeight="false" outlineLevel="0" collapsed="false">
      <c r="F3159" s="41" t="str">
        <f aca="false">IF(E3159="","",IFERROR(VLOOKUP(E3159,Assumptions!$G$5:$H$16,2,0),"Other"))</f>
        <v/>
      </c>
      <c r="J3159" s="41" t="str">
        <f aca="false">IF(G3159="","",IFERROR(IF(ISNUMBER(SEARCH(Assumptions!$C$5,G3159)),Assumptions!$D$5,IF(ISNUMBER(SEARCH(Assumptions!$C$6,G3159)),Assumptions!$D$6,IF(ISNUMBER(SEARCH(Assumptions!$C$7,G3159)),Assumptions!$D$7,"Other Services"))),"Other Services"))</f>
        <v/>
      </c>
    </row>
    <row r="3160" customFormat="false" ht="15" hidden="false" customHeight="false" outlineLevel="0" collapsed="false">
      <c r="F3160" s="41" t="str">
        <f aca="false">IF(E3160="","",IFERROR(VLOOKUP(E3160,Assumptions!$G$5:$H$16,2,0),"Other"))</f>
        <v/>
      </c>
      <c r="J3160" s="41" t="str">
        <f aca="false">IF(G3160="","",IFERROR(IF(ISNUMBER(SEARCH(Assumptions!$C$5,G3160)),Assumptions!$D$5,IF(ISNUMBER(SEARCH(Assumptions!$C$6,G3160)),Assumptions!$D$6,IF(ISNUMBER(SEARCH(Assumptions!$C$7,G3160)),Assumptions!$D$7,"Other Services"))),"Other Services"))</f>
        <v/>
      </c>
    </row>
    <row r="3161" customFormat="false" ht="15" hidden="false" customHeight="false" outlineLevel="0" collapsed="false">
      <c r="F3161" s="41" t="str">
        <f aca="false">IF(E3161="","",IFERROR(VLOOKUP(E3161,Assumptions!$G$5:$H$16,2,0),"Other"))</f>
        <v/>
      </c>
      <c r="J3161" s="41" t="str">
        <f aca="false">IF(G3161="","",IFERROR(IF(ISNUMBER(SEARCH(Assumptions!$C$5,G3161)),Assumptions!$D$5,IF(ISNUMBER(SEARCH(Assumptions!$C$6,G3161)),Assumptions!$D$6,IF(ISNUMBER(SEARCH(Assumptions!$C$7,G3161)),Assumptions!$D$7,"Other Services"))),"Other Services"))</f>
        <v/>
      </c>
    </row>
    <row r="3162" customFormat="false" ht="15" hidden="false" customHeight="false" outlineLevel="0" collapsed="false">
      <c r="F3162" s="41" t="str">
        <f aca="false">IF(E3162="","",IFERROR(VLOOKUP(E3162,Assumptions!$G$5:$H$16,2,0),"Other"))</f>
        <v/>
      </c>
      <c r="J3162" s="41" t="str">
        <f aca="false">IF(G3162="","",IFERROR(IF(ISNUMBER(SEARCH(Assumptions!$C$5,G3162)),Assumptions!$D$5,IF(ISNUMBER(SEARCH(Assumptions!$C$6,G3162)),Assumptions!$D$6,IF(ISNUMBER(SEARCH(Assumptions!$C$7,G3162)),Assumptions!$D$7,"Other Services"))),"Other Services"))</f>
        <v/>
      </c>
    </row>
    <row r="3163" customFormat="false" ht="15" hidden="false" customHeight="false" outlineLevel="0" collapsed="false">
      <c r="F3163" s="41" t="str">
        <f aca="false">IF(E3163="","",IFERROR(VLOOKUP(E3163,Assumptions!$G$5:$H$16,2,0),"Other"))</f>
        <v/>
      </c>
      <c r="J3163" s="41" t="str">
        <f aca="false">IF(G3163="","",IFERROR(IF(ISNUMBER(SEARCH(Assumptions!$C$5,G3163)),Assumptions!$D$5,IF(ISNUMBER(SEARCH(Assumptions!$C$6,G3163)),Assumptions!$D$6,IF(ISNUMBER(SEARCH(Assumptions!$C$7,G3163)),Assumptions!$D$7,"Other Services"))),"Other Services"))</f>
        <v/>
      </c>
    </row>
    <row r="3164" customFormat="false" ht="15" hidden="false" customHeight="false" outlineLevel="0" collapsed="false">
      <c r="F3164" s="41" t="str">
        <f aca="false">IF(E3164="","",IFERROR(VLOOKUP(E3164,Assumptions!$G$5:$H$16,2,0),"Other"))</f>
        <v/>
      </c>
      <c r="J3164" s="41" t="str">
        <f aca="false">IF(G3164="","",IFERROR(IF(ISNUMBER(SEARCH(Assumptions!$C$5,G3164)),Assumptions!$D$5,IF(ISNUMBER(SEARCH(Assumptions!$C$6,G3164)),Assumptions!$D$6,IF(ISNUMBER(SEARCH(Assumptions!$C$7,G3164)),Assumptions!$D$7,"Other Services"))),"Other Services"))</f>
        <v/>
      </c>
    </row>
    <row r="3165" customFormat="false" ht="15" hidden="false" customHeight="false" outlineLevel="0" collapsed="false">
      <c r="F3165" s="41" t="str">
        <f aca="false">IF(E3165="","",IFERROR(VLOOKUP(E3165,Assumptions!$G$5:$H$16,2,0),"Other"))</f>
        <v/>
      </c>
      <c r="J3165" s="41" t="str">
        <f aca="false">IF(G3165="","",IFERROR(IF(ISNUMBER(SEARCH(Assumptions!$C$5,G3165)),Assumptions!$D$5,IF(ISNUMBER(SEARCH(Assumptions!$C$6,G3165)),Assumptions!$D$6,IF(ISNUMBER(SEARCH(Assumptions!$C$7,G3165)),Assumptions!$D$7,"Other Services"))),"Other Services"))</f>
        <v/>
      </c>
    </row>
    <row r="3166" customFormat="false" ht="15" hidden="false" customHeight="false" outlineLevel="0" collapsed="false">
      <c r="F3166" s="41" t="str">
        <f aca="false">IF(E3166="","",IFERROR(VLOOKUP(E3166,Assumptions!$G$5:$H$16,2,0),"Other"))</f>
        <v/>
      </c>
      <c r="J3166" s="41" t="str">
        <f aca="false">IF(G3166="","",IFERROR(IF(ISNUMBER(SEARCH(Assumptions!$C$5,G3166)),Assumptions!$D$5,IF(ISNUMBER(SEARCH(Assumptions!$C$6,G3166)),Assumptions!$D$6,IF(ISNUMBER(SEARCH(Assumptions!$C$7,G3166)),Assumptions!$D$7,"Other Services"))),"Other Services"))</f>
        <v/>
      </c>
    </row>
    <row r="3167" customFormat="false" ht="15" hidden="false" customHeight="false" outlineLevel="0" collapsed="false">
      <c r="F3167" s="41" t="str">
        <f aca="false">IF(E3167="","",IFERROR(VLOOKUP(E3167,Assumptions!$G$5:$H$16,2,0),"Other"))</f>
        <v/>
      </c>
      <c r="J3167" s="41" t="str">
        <f aca="false">IF(G3167="","",IFERROR(IF(ISNUMBER(SEARCH(Assumptions!$C$5,G3167)),Assumptions!$D$5,IF(ISNUMBER(SEARCH(Assumptions!$C$6,G3167)),Assumptions!$D$6,IF(ISNUMBER(SEARCH(Assumptions!$C$7,G3167)),Assumptions!$D$7,"Other Services"))),"Other Services"))</f>
        <v/>
      </c>
    </row>
    <row r="3168" customFormat="false" ht="15" hidden="false" customHeight="false" outlineLevel="0" collapsed="false">
      <c r="F3168" s="41" t="str">
        <f aca="false">IF(E3168="","",IFERROR(VLOOKUP(E3168,Assumptions!$G$5:$H$16,2,0),"Other"))</f>
        <v/>
      </c>
      <c r="J3168" s="41" t="str">
        <f aca="false">IF(G3168="","",IFERROR(IF(ISNUMBER(SEARCH(Assumptions!$C$5,G3168)),Assumptions!$D$5,IF(ISNUMBER(SEARCH(Assumptions!$C$6,G3168)),Assumptions!$D$6,IF(ISNUMBER(SEARCH(Assumptions!$C$7,G3168)),Assumptions!$D$7,"Other Services"))),"Other Services"))</f>
        <v/>
      </c>
    </row>
    <row r="3169" customFormat="false" ht="15" hidden="false" customHeight="false" outlineLevel="0" collapsed="false">
      <c r="F3169" s="41" t="str">
        <f aca="false">IF(E3169="","",IFERROR(VLOOKUP(E3169,Assumptions!$G$5:$H$16,2,0),"Other"))</f>
        <v/>
      </c>
      <c r="J3169" s="41" t="str">
        <f aca="false">IF(G3169="","",IFERROR(IF(ISNUMBER(SEARCH(Assumptions!$C$5,G3169)),Assumptions!$D$5,IF(ISNUMBER(SEARCH(Assumptions!$C$6,G3169)),Assumptions!$D$6,IF(ISNUMBER(SEARCH(Assumptions!$C$7,G3169)),Assumptions!$D$7,"Other Services"))),"Other Services"))</f>
        <v/>
      </c>
    </row>
    <row r="3170" customFormat="false" ht="15" hidden="false" customHeight="false" outlineLevel="0" collapsed="false">
      <c r="F3170" s="41" t="str">
        <f aca="false">IF(E3170="","",IFERROR(VLOOKUP(E3170,Assumptions!$G$5:$H$16,2,0),"Other"))</f>
        <v/>
      </c>
      <c r="J3170" s="41" t="str">
        <f aca="false">IF(G3170="","",IFERROR(IF(ISNUMBER(SEARCH(Assumptions!$C$5,G3170)),Assumptions!$D$5,IF(ISNUMBER(SEARCH(Assumptions!$C$6,G3170)),Assumptions!$D$6,IF(ISNUMBER(SEARCH(Assumptions!$C$7,G3170)),Assumptions!$D$7,"Other Services"))),"Other Services"))</f>
        <v/>
      </c>
    </row>
    <row r="3171" customFormat="false" ht="15" hidden="false" customHeight="false" outlineLevel="0" collapsed="false">
      <c r="F3171" s="41" t="str">
        <f aca="false">IF(E3171="","",IFERROR(VLOOKUP(E3171,Assumptions!$G$5:$H$16,2,0),"Other"))</f>
        <v/>
      </c>
      <c r="J3171" s="41" t="str">
        <f aca="false">IF(G3171="","",IFERROR(IF(ISNUMBER(SEARCH(Assumptions!$C$5,G3171)),Assumptions!$D$5,IF(ISNUMBER(SEARCH(Assumptions!$C$6,G3171)),Assumptions!$D$6,IF(ISNUMBER(SEARCH(Assumptions!$C$7,G3171)),Assumptions!$D$7,"Other Services"))),"Other Services"))</f>
        <v/>
      </c>
    </row>
    <row r="3172" customFormat="false" ht="15" hidden="false" customHeight="false" outlineLevel="0" collapsed="false">
      <c r="F3172" s="41" t="str">
        <f aca="false">IF(E3172="","",IFERROR(VLOOKUP(E3172,Assumptions!$G$5:$H$16,2,0),"Other"))</f>
        <v/>
      </c>
      <c r="J3172" s="41" t="str">
        <f aca="false">IF(G3172="","",IFERROR(IF(ISNUMBER(SEARCH(Assumptions!$C$5,G3172)),Assumptions!$D$5,IF(ISNUMBER(SEARCH(Assumptions!$C$6,G3172)),Assumptions!$D$6,IF(ISNUMBER(SEARCH(Assumptions!$C$7,G3172)),Assumptions!$D$7,"Other Services"))),"Other Services"))</f>
        <v/>
      </c>
    </row>
    <row r="3173" customFormat="false" ht="15" hidden="false" customHeight="false" outlineLevel="0" collapsed="false">
      <c r="F3173" s="41" t="str">
        <f aca="false">IF(E3173="","",IFERROR(VLOOKUP(E3173,Assumptions!$G$5:$H$16,2,0),"Other"))</f>
        <v/>
      </c>
      <c r="J3173" s="41" t="str">
        <f aca="false">IF(G3173="","",IFERROR(IF(ISNUMBER(SEARCH(Assumptions!$C$5,G3173)),Assumptions!$D$5,IF(ISNUMBER(SEARCH(Assumptions!$C$6,G3173)),Assumptions!$D$6,IF(ISNUMBER(SEARCH(Assumptions!$C$7,G3173)),Assumptions!$D$7,"Other Services"))),"Other Services"))</f>
        <v/>
      </c>
    </row>
    <row r="3174" customFormat="false" ht="15" hidden="false" customHeight="false" outlineLevel="0" collapsed="false">
      <c r="F3174" s="41" t="str">
        <f aca="false">IF(E3174="","",IFERROR(VLOOKUP(E3174,Assumptions!$G$5:$H$16,2,0),"Other"))</f>
        <v/>
      </c>
      <c r="J3174" s="41" t="str">
        <f aca="false">IF(G3174="","",IFERROR(IF(ISNUMBER(SEARCH(Assumptions!$C$5,G3174)),Assumptions!$D$5,IF(ISNUMBER(SEARCH(Assumptions!$C$6,G3174)),Assumptions!$D$6,IF(ISNUMBER(SEARCH(Assumptions!$C$7,G3174)),Assumptions!$D$7,"Other Services"))),"Other Services"))</f>
        <v/>
      </c>
    </row>
    <row r="3175" customFormat="false" ht="15" hidden="false" customHeight="false" outlineLevel="0" collapsed="false">
      <c r="F3175" s="41" t="str">
        <f aca="false">IF(E3175="","",IFERROR(VLOOKUP(E3175,Assumptions!$G$5:$H$16,2,0),"Other"))</f>
        <v/>
      </c>
      <c r="J3175" s="41" t="str">
        <f aca="false">IF(G3175="","",IFERROR(IF(ISNUMBER(SEARCH(Assumptions!$C$5,G3175)),Assumptions!$D$5,IF(ISNUMBER(SEARCH(Assumptions!$C$6,G3175)),Assumptions!$D$6,IF(ISNUMBER(SEARCH(Assumptions!$C$7,G3175)),Assumptions!$D$7,"Other Services"))),"Other Services"))</f>
        <v/>
      </c>
    </row>
    <row r="3176" customFormat="false" ht="15" hidden="false" customHeight="false" outlineLevel="0" collapsed="false">
      <c r="F3176" s="41" t="str">
        <f aca="false">IF(E3176="","",IFERROR(VLOOKUP(E3176,Assumptions!$G$5:$H$16,2,0),"Other"))</f>
        <v/>
      </c>
      <c r="J3176" s="41" t="str">
        <f aca="false">IF(G3176="","",IFERROR(IF(ISNUMBER(SEARCH(Assumptions!$C$5,G3176)),Assumptions!$D$5,IF(ISNUMBER(SEARCH(Assumptions!$C$6,G3176)),Assumptions!$D$6,IF(ISNUMBER(SEARCH(Assumptions!$C$7,G3176)),Assumptions!$D$7,"Other Services"))),"Other Services"))</f>
        <v/>
      </c>
    </row>
    <row r="3177" customFormat="false" ht="15" hidden="false" customHeight="false" outlineLevel="0" collapsed="false">
      <c r="F3177" s="41" t="str">
        <f aca="false">IF(E3177="","",IFERROR(VLOOKUP(E3177,Assumptions!$G$5:$H$16,2,0),"Other"))</f>
        <v/>
      </c>
      <c r="J3177" s="41" t="str">
        <f aca="false">IF(G3177="","",IFERROR(IF(ISNUMBER(SEARCH(Assumptions!$C$5,G3177)),Assumptions!$D$5,IF(ISNUMBER(SEARCH(Assumptions!$C$6,G3177)),Assumptions!$D$6,IF(ISNUMBER(SEARCH(Assumptions!$C$7,G3177)),Assumptions!$D$7,"Other Services"))),"Other Services"))</f>
        <v/>
      </c>
    </row>
    <row r="3178" customFormat="false" ht="15" hidden="false" customHeight="false" outlineLevel="0" collapsed="false">
      <c r="F3178" s="41" t="str">
        <f aca="false">IF(E3178="","",IFERROR(VLOOKUP(E3178,Assumptions!$G$5:$H$16,2,0),"Other"))</f>
        <v/>
      </c>
      <c r="J3178" s="41" t="str">
        <f aca="false">IF(G3178="","",IFERROR(IF(ISNUMBER(SEARCH(Assumptions!$C$5,G3178)),Assumptions!$D$5,IF(ISNUMBER(SEARCH(Assumptions!$C$6,G3178)),Assumptions!$D$6,IF(ISNUMBER(SEARCH(Assumptions!$C$7,G3178)),Assumptions!$D$7,"Other Services"))),"Other Services"))</f>
        <v/>
      </c>
    </row>
    <row r="3179" customFormat="false" ht="15" hidden="false" customHeight="false" outlineLevel="0" collapsed="false">
      <c r="F3179" s="41" t="str">
        <f aca="false">IF(E3179="","",IFERROR(VLOOKUP(E3179,Assumptions!$G$5:$H$16,2,0),"Other"))</f>
        <v/>
      </c>
      <c r="J3179" s="41" t="str">
        <f aca="false">IF(G3179="","",IFERROR(IF(ISNUMBER(SEARCH(Assumptions!$C$5,G3179)),Assumptions!$D$5,IF(ISNUMBER(SEARCH(Assumptions!$C$6,G3179)),Assumptions!$D$6,IF(ISNUMBER(SEARCH(Assumptions!$C$7,G3179)),Assumptions!$D$7,"Other Services"))),"Other Services"))</f>
        <v/>
      </c>
    </row>
    <row r="3180" customFormat="false" ht="15" hidden="false" customHeight="false" outlineLevel="0" collapsed="false">
      <c r="F3180" s="41" t="str">
        <f aca="false">IF(E3180="","",IFERROR(VLOOKUP(E3180,Assumptions!$G$5:$H$16,2,0),"Other"))</f>
        <v/>
      </c>
      <c r="J3180" s="41" t="str">
        <f aca="false">IF(G3180="","",IFERROR(IF(ISNUMBER(SEARCH(Assumptions!$C$5,G3180)),Assumptions!$D$5,IF(ISNUMBER(SEARCH(Assumptions!$C$6,G3180)),Assumptions!$D$6,IF(ISNUMBER(SEARCH(Assumptions!$C$7,G3180)),Assumptions!$D$7,"Other Services"))),"Other Services"))</f>
        <v/>
      </c>
    </row>
    <row r="3181" customFormat="false" ht="15" hidden="false" customHeight="false" outlineLevel="0" collapsed="false">
      <c r="F3181" s="41" t="str">
        <f aca="false">IF(E3181="","",IFERROR(VLOOKUP(E3181,Assumptions!$G$5:$H$16,2,0),"Other"))</f>
        <v/>
      </c>
      <c r="J3181" s="41" t="str">
        <f aca="false">IF(G3181="","",IFERROR(IF(ISNUMBER(SEARCH(Assumptions!$C$5,G3181)),Assumptions!$D$5,IF(ISNUMBER(SEARCH(Assumptions!$C$6,G3181)),Assumptions!$D$6,IF(ISNUMBER(SEARCH(Assumptions!$C$7,G3181)),Assumptions!$D$7,"Other Services"))),"Other Services"))</f>
        <v/>
      </c>
    </row>
    <row r="3182" customFormat="false" ht="15" hidden="false" customHeight="false" outlineLevel="0" collapsed="false">
      <c r="F3182" s="41" t="str">
        <f aca="false">IF(E3182="","",IFERROR(VLOOKUP(E3182,Assumptions!$G$5:$H$16,2,0),"Other"))</f>
        <v/>
      </c>
      <c r="J3182" s="41" t="str">
        <f aca="false">IF(G3182="","",IFERROR(IF(ISNUMBER(SEARCH(Assumptions!$C$5,G3182)),Assumptions!$D$5,IF(ISNUMBER(SEARCH(Assumptions!$C$6,G3182)),Assumptions!$D$6,IF(ISNUMBER(SEARCH(Assumptions!$C$7,G3182)),Assumptions!$D$7,"Other Services"))),"Other Services"))</f>
        <v/>
      </c>
    </row>
    <row r="3183" customFormat="false" ht="15" hidden="false" customHeight="false" outlineLevel="0" collapsed="false">
      <c r="F3183" s="41" t="str">
        <f aca="false">IF(E3183="","",IFERROR(VLOOKUP(E3183,Assumptions!$G$5:$H$16,2,0),"Other"))</f>
        <v/>
      </c>
      <c r="J3183" s="41" t="str">
        <f aca="false">IF(G3183="","",IFERROR(IF(ISNUMBER(SEARCH(Assumptions!$C$5,G3183)),Assumptions!$D$5,IF(ISNUMBER(SEARCH(Assumptions!$C$6,G3183)),Assumptions!$D$6,IF(ISNUMBER(SEARCH(Assumptions!$C$7,G3183)),Assumptions!$D$7,"Other Services"))),"Other Services"))</f>
        <v/>
      </c>
    </row>
    <row r="3184" customFormat="false" ht="15" hidden="false" customHeight="false" outlineLevel="0" collapsed="false">
      <c r="F3184" s="41" t="str">
        <f aca="false">IF(E3184="","",IFERROR(VLOOKUP(E3184,Assumptions!$G$5:$H$16,2,0),"Other"))</f>
        <v/>
      </c>
      <c r="J3184" s="41" t="str">
        <f aca="false">IF(G3184="","",IFERROR(IF(ISNUMBER(SEARCH(Assumptions!$C$5,G3184)),Assumptions!$D$5,IF(ISNUMBER(SEARCH(Assumptions!$C$6,G3184)),Assumptions!$D$6,IF(ISNUMBER(SEARCH(Assumptions!$C$7,G3184)),Assumptions!$D$7,"Other Services"))),"Other Services"))</f>
        <v/>
      </c>
    </row>
    <row r="3185" customFormat="false" ht="15" hidden="false" customHeight="false" outlineLevel="0" collapsed="false">
      <c r="F3185" s="41" t="str">
        <f aca="false">IF(E3185="","",IFERROR(VLOOKUP(E3185,Assumptions!$G$5:$H$16,2,0),"Other"))</f>
        <v/>
      </c>
      <c r="J3185" s="41" t="str">
        <f aca="false">IF(G3185="","",IFERROR(IF(ISNUMBER(SEARCH(Assumptions!$C$5,G3185)),Assumptions!$D$5,IF(ISNUMBER(SEARCH(Assumptions!$C$6,G3185)),Assumptions!$D$6,IF(ISNUMBER(SEARCH(Assumptions!$C$7,G3185)),Assumptions!$D$7,"Other Services"))),"Other Services"))</f>
        <v/>
      </c>
    </row>
    <row r="3186" customFormat="false" ht="15" hidden="false" customHeight="false" outlineLevel="0" collapsed="false">
      <c r="F3186" s="41" t="str">
        <f aca="false">IF(E3186="","",IFERROR(VLOOKUP(E3186,Assumptions!$G$5:$H$16,2,0),"Other"))</f>
        <v/>
      </c>
      <c r="J3186" s="41" t="str">
        <f aca="false">IF(G3186="","",IFERROR(IF(ISNUMBER(SEARCH(Assumptions!$C$5,G3186)),Assumptions!$D$5,IF(ISNUMBER(SEARCH(Assumptions!$C$6,G3186)),Assumptions!$D$6,IF(ISNUMBER(SEARCH(Assumptions!$C$7,G3186)),Assumptions!$D$7,"Other Services"))),"Other Services"))</f>
        <v/>
      </c>
    </row>
    <row r="3187" customFormat="false" ht="15" hidden="false" customHeight="false" outlineLevel="0" collapsed="false">
      <c r="F3187" s="41" t="str">
        <f aca="false">IF(E3187="","",IFERROR(VLOOKUP(E3187,Assumptions!$G$5:$H$16,2,0),"Other"))</f>
        <v/>
      </c>
      <c r="J3187" s="41" t="str">
        <f aca="false">IF(G3187="","",IFERROR(IF(ISNUMBER(SEARCH(Assumptions!$C$5,G3187)),Assumptions!$D$5,IF(ISNUMBER(SEARCH(Assumptions!$C$6,G3187)),Assumptions!$D$6,IF(ISNUMBER(SEARCH(Assumptions!$C$7,G3187)),Assumptions!$D$7,"Other Services"))),"Other Services"))</f>
        <v/>
      </c>
    </row>
    <row r="3188" customFormat="false" ht="15" hidden="false" customHeight="false" outlineLevel="0" collapsed="false">
      <c r="F3188" s="41" t="str">
        <f aca="false">IF(E3188="","",IFERROR(VLOOKUP(E3188,Assumptions!$G$5:$H$16,2,0),"Other"))</f>
        <v/>
      </c>
      <c r="J3188" s="41" t="str">
        <f aca="false">IF(G3188="","",IFERROR(IF(ISNUMBER(SEARCH(Assumptions!$C$5,G3188)),Assumptions!$D$5,IF(ISNUMBER(SEARCH(Assumptions!$C$6,G3188)),Assumptions!$D$6,IF(ISNUMBER(SEARCH(Assumptions!$C$7,G3188)),Assumptions!$D$7,"Other Services"))),"Other Services"))</f>
        <v/>
      </c>
    </row>
    <row r="3189" customFormat="false" ht="15" hidden="false" customHeight="false" outlineLevel="0" collapsed="false">
      <c r="F3189" s="41" t="str">
        <f aca="false">IF(E3189="","",IFERROR(VLOOKUP(E3189,Assumptions!$G$5:$H$16,2,0),"Other"))</f>
        <v/>
      </c>
      <c r="J3189" s="41" t="str">
        <f aca="false">IF(G3189="","",IFERROR(IF(ISNUMBER(SEARCH(Assumptions!$C$5,G3189)),Assumptions!$D$5,IF(ISNUMBER(SEARCH(Assumptions!$C$6,G3189)),Assumptions!$D$6,IF(ISNUMBER(SEARCH(Assumptions!$C$7,G3189)),Assumptions!$D$7,"Other Services"))),"Other Services"))</f>
        <v/>
      </c>
    </row>
    <row r="3190" customFormat="false" ht="15" hidden="false" customHeight="false" outlineLevel="0" collapsed="false">
      <c r="F3190" s="41" t="str">
        <f aca="false">IF(E3190="","",IFERROR(VLOOKUP(E3190,Assumptions!$G$5:$H$16,2,0),"Other"))</f>
        <v/>
      </c>
      <c r="J3190" s="41" t="str">
        <f aca="false">IF(G3190="","",IFERROR(IF(ISNUMBER(SEARCH(Assumptions!$C$5,G3190)),Assumptions!$D$5,IF(ISNUMBER(SEARCH(Assumptions!$C$6,G3190)),Assumptions!$D$6,IF(ISNUMBER(SEARCH(Assumptions!$C$7,G3190)),Assumptions!$D$7,"Other Services"))),"Other Services"))</f>
        <v/>
      </c>
    </row>
    <row r="3191" customFormat="false" ht="15" hidden="false" customHeight="false" outlineLevel="0" collapsed="false">
      <c r="F3191" s="41" t="str">
        <f aca="false">IF(E3191="","",IFERROR(VLOOKUP(E3191,Assumptions!$G$5:$H$16,2,0),"Other"))</f>
        <v/>
      </c>
      <c r="J3191" s="41" t="str">
        <f aca="false">IF(G3191="","",IFERROR(IF(ISNUMBER(SEARCH(Assumptions!$C$5,G3191)),Assumptions!$D$5,IF(ISNUMBER(SEARCH(Assumptions!$C$6,G3191)),Assumptions!$D$6,IF(ISNUMBER(SEARCH(Assumptions!$C$7,G3191)),Assumptions!$D$7,"Other Services"))),"Other Services"))</f>
        <v/>
      </c>
    </row>
    <row r="3192" customFormat="false" ht="15" hidden="false" customHeight="false" outlineLevel="0" collapsed="false">
      <c r="F3192" s="41" t="str">
        <f aca="false">IF(E3192="","",IFERROR(VLOOKUP(E3192,Assumptions!$G$5:$H$16,2,0),"Other"))</f>
        <v/>
      </c>
      <c r="J3192" s="41" t="str">
        <f aca="false">IF(G3192="","",IFERROR(IF(ISNUMBER(SEARCH(Assumptions!$C$5,G3192)),Assumptions!$D$5,IF(ISNUMBER(SEARCH(Assumptions!$C$6,G3192)),Assumptions!$D$6,IF(ISNUMBER(SEARCH(Assumptions!$C$7,G3192)),Assumptions!$D$7,"Other Services"))),"Other Services"))</f>
        <v/>
      </c>
    </row>
    <row r="3193" customFormat="false" ht="15" hidden="false" customHeight="false" outlineLevel="0" collapsed="false">
      <c r="F3193" s="41" t="str">
        <f aca="false">IF(E3193="","",IFERROR(VLOOKUP(E3193,Assumptions!$G$5:$H$16,2,0),"Other"))</f>
        <v/>
      </c>
      <c r="J3193" s="41" t="str">
        <f aca="false">IF(G3193="","",IFERROR(IF(ISNUMBER(SEARCH(Assumptions!$C$5,G3193)),Assumptions!$D$5,IF(ISNUMBER(SEARCH(Assumptions!$C$6,G3193)),Assumptions!$D$6,IF(ISNUMBER(SEARCH(Assumptions!$C$7,G3193)),Assumptions!$D$7,"Other Services"))),"Other Services"))</f>
        <v/>
      </c>
    </row>
    <row r="3194" customFormat="false" ht="15" hidden="false" customHeight="false" outlineLevel="0" collapsed="false">
      <c r="F3194" s="41" t="str">
        <f aca="false">IF(E3194="","",IFERROR(VLOOKUP(E3194,Assumptions!$G$5:$H$16,2,0),"Other"))</f>
        <v/>
      </c>
      <c r="J3194" s="41" t="str">
        <f aca="false">IF(G3194="","",IFERROR(IF(ISNUMBER(SEARCH(Assumptions!$C$5,G3194)),Assumptions!$D$5,IF(ISNUMBER(SEARCH(Assumptions!$C$6,G3194)),Assumptions!$D$6,IF(ISNUMBER(SEARCH(Assumptions!$C$7,G3194)),Assumptions!$D$7,"Other Services"))),"Other Services"))</f>
        <v/>
      </c>
    </row>
    <row r="3195" customFormat="false" ht="15" hidden="false" customHeight="false" outlineLevel="0" collapsed="false">
      <c r="F3195" s="41" t="str">
        <f aca="false">IF(E3195="","",IFERROR(VLOOKUP(E3195,Assumptions!$G$5:$H$16,2,0),"Other"))</f>
        <v/>
      </c>
      <c r="J3195" s="41" t="str">
        <f aca="false">IF(G3195="","",IFERROR(IF(ISNUMBER(SEARCH(Assumptions!$C$5,G3195)),Assumptions!$D$5,IF(ISNUMBER(SEARCH(Assumptions!$C$6,G3195)),Assumptions!$D$6,IF(ISNUMBER(SEARCH(Assumptions!$C$7,G3195)),Assumptions!$D$7,"Other Services"))),"Other Services"))</f>
        <v/>
      </c>
    </row>
    <row r="3196" customFormat="false" ht="15" hidden="false" customHeight="false" outlineLevel="0" collapsed="false">
      <c r="F3196" s="41" t="str">
        <f aca="false">IF(E3196="","",IFERROR(VLOOKUP(E3196,Assumptions!$G$5:$H$16,2,0),"Other"))</f>
        <v/>
      </c>
      <c r="J3196" s="41" t="str">
        <f aca="false">IF(G3196="","",IFERROR(IF(ISNUMBER(SEARCH(Assumptions!$C$5,G3196)),Assumptions!$D$5,IF(ISNUMBER(SEARCH(Assumptions!$C$6,G3196)),Assumptions!$D$6,IF(ISNUMBER(SEARCH(Assumptions!$C$7,G3196)),Assumptions!$D$7,"Other Services"))),"Other Services"))</f>
        <v/>
      </c>
    </row>
    <row r="3197" customFormat="false" ht="15" hidden="false" customHeight="false" outlineLevel="0" collapsed="false">
      <c r="F3197" s="41" t="str">
        <f aca="false">IF(E3197="","",IFERROR(VLOOKUP(E3197,Assumptions!$G$5:$H$16,2,0),"Other"))</f>
        <v/>
      </c>
      <c r="J3197" s="41" t="str">
        <f aca="false">IF(G3197="","",IFERROR(IF(ISNUMBER(SEARCH(Assumptions!$C$5,G3197)),Assumptions!$D$5,IF(ISNUMBER(SEARCH(Assumptions!$C$6,G3197)),Assumptions!$D$6,IF(ISNUMBER(SEARCH(Assumptions!$C$7,G3197)),Assumptions!$D$7,"Other Services"))),"Other Services"))</f>
        <v/>
      </c>
    </row>
    <row r="3198" customFormat="false" ht="15" hidden="false" customHeight="false" outlineLevel="0" collapsed="false">
      <c r="F3198" s="41" t="str">
        <f aca="false">IF(E3198="","",IFERROR(VLOOKUP(E3198,Assumptions!$G$5:$H$16,2,0),"Other"))</f>
        <v/>
      </c>
      <c r="J3198" s="41" t="str">
        <f aca="false">IF(G3198="","",IFERROR(IF(ISNUMBER(SEARCH(Assumptions!$C$5,G3198)),Assumptions!$D$5,IF(ISNUMBER(SEARCH(Assumptions!$C$6,G3198)),Assumptions!$D$6,IF(ISNUMBER(SEARCH(Assumptions!$C$7,G3198)),Assumptions!$D$7,"Other Services"))),"Other Services"))</f>
        <v/>
      </c>
    </row>
    <row r="3199" customFormat="false" ht="15" hidden="false" customHeight="false" outlineLevel="0" collapsed="false">
      <c r="F3199" s="41" t="str">
        <f aca="false">IF(E3199="","",IFERROR(VLOOKUP(E3199,Assumptions!$G$5:$H$16,2,0),"Other"))</f>
        <v/>
      </c>
      <c r="J3199" s="41" t="str">
        <f aca="false">IF(G3199="","",IFERROR(IF(ISNUMBER(SEARCH(Assumptions!$C$5,G3199)),Assumptions!$D$5,IF(ISNUMBER(SEARCH(Assumptions!$C$6,G3199)),Assumptions!$D$6,IF(ISNUMBER(SEARCH(Assumptions!$C$7,G3199)),Assumptions!$D$7,"Other Services"))),"Other Services"))</f>
        <v/>
      </c>
    </row>
    <row r="3200" customFormat="false" ht="15" hidden="false" customHeight="false" outlineLevel="0" collapsed="false">
      <c r="F3200" s="41" t="str">
        <f aca="false">IF(E3200="","",IFERROR(VLOOKUP(E3200,Assumptions!$G$5:$H$16,2,0),"Other"))</f>
        <v/>
      </c>
      <c r="J3200" s="41" t="str">
        <f aca="false">IF(G3200="","",IFERROR(IF(ISNUMBER(SEARCH(Assumptions!$C$5,G3200)),Assumptions!$D$5,IF(ISNUMBER(SEARCH(Assumptions!$C$6,G3200)),Assumptions!$D$6,IF(ISNUMBER(SEARCH(Assumptions!$C$7,G3200)),Assumptions!$D$7,"Other Services"))),"Other Services"))</f>
        <v/>
      </c>
    </row>
    <row r="3201" customFormat="false" ht="15" hidden="false" customHeight="false" outlineLevel="0" collapsed="false">
      <c r="F3201" s="41" t="str">
        <f aca="false">IF(E3201="","",IFERROR(VLOOKUP(E3201,Assumptions!$G$5:$H$16,2,0),"Other"))</f>
        <v/>
      </c>
      <c r="J3201" s="41" t="str">
        <f aca="false">IF(G3201="","",IFERROR(IF(ISNUMBER(SEARCH(Assumptions!$C$5,G3201)),Assumptions!$D$5,IF(ISNUMBER(SEARCH(Assumptions!$C$6,G3201)),Assumptions!$D$6,IF(ISNUMBER(SEARCH(Assumptions!$C$7,G3201)),Assumptions!$D$7,"Other Services"))),"Other Services"))</f>
        <v/>
      </c>
    </row>
    <row r="3202" customFormat="false" ht="15" hidden="false" customHeight="false" outlineLevel="0" collapsed="false">
      <c r="F3202" s="41" t="str">
        <f aca="false">IF(E3202="","",IFERROR(VLOOKUP(E3202,Assumptions!$G$5:$H$16,2,0),"Other"))</f>
        <v/>
      </c>
      <c r="J3202" s="41" t="str">
        <f aca="false">IF(G3202="","",IFERROR(IF(ISNUMBER(SEARCH(Assumptions!$C$5,G3202)),Assumptions!$D$5,IF(ISNUMBER(SEARCH(Assumptions!$C$6,G3202)),Assumptions!$D$6,IF(ISNUMBER(SEARCH(Assumptions!$C$7,G3202)),Assumptions!$D$7,"Other Services"))),"Other Services"))</f>
        <v/>
      </c>
    </row>
    <row r="3203" customFormat="false" ht="15" hidden="false" customHeight="false" outlineLevel="0" collapsed="false">
      <c r="F3203" s="41" t="str">
        <f aca="false">IF(E3203="","",IFERROR(VLOOKUP(E3203,Assumptions!$G$5:$H$16,2,0),"Other"))</f>
        <v/>
      </c>
      <c r="J3203" s="41" t="str">
        <f aca="false">IF(G3203="","",IFERROR(IF(ISNUMBER(SEARCH(Assumptions!$C$5,G3203)),Assumptions!$D$5,IF(ISNUMBER(SEARCH(Assumptions!$C$6,G3203)),Assumptions!$D$6,IF(ISNUMBER(SEARCH(Assumptions!$C$7,G3203)),Assumptions!$D$7,"Other Services"))),"Other Services"))</f>
        <v/>
      </c>
    </row>
    <row r="3204" customFormat="false" ht="15" hidden="false" customHeight="false" outlineLevel="0" collapsed="false">
      <c r="F3204" s="41" t="str">
        <f aca="false">IF(E3204="","",IFERROR(VLOOKUP(E3204,Assumptions!$G$5:$H$16,2,0),"Other"))</f>
        <v/>
      </c>
      <c r="J3204" s="41" t="str">
        <f aca="false">IF(G3204="","",IFERROR(IF(ISNUMBER(SEARCH(Assumptions!$C$5,G3204)),Assumptions!$D$5,IF(ISNUMBER(SEARCH(Assumptions!$C$6,G3204)),Assumptions!$D$6,IF(ISNUMBER(SEARCH(Assumptions!$C$7,G3204)),Assumptions!$D$7,"Other Services"))),"Other Services"))</f>
        <v/>
      </c>
    </row>
    <row r="3205" customFormat="false" ht="15" hidden="false" customHeight="false" outlineLevel="0" collapsed="false">
      <c r="F3205" s="41" t="str">
        <f aca="false">IF(E3205="","",IFERROR(VLOOKUP(E3205,Assumptions!$G$5:$H$16,2,0),"Other"))</f>
        <v/>
      </c>
      <c r="J3205" s="41" t="str">
        <f aca="false">IF(G3205="","",IFERROR(IF(ISNUMBER(SEARCH(Assumptions!$C$5,G3205)),Assumptions!$D$5,IF(ISNUMBER(SEARCH(Assumptions!$C$6,G3205)),Assumptions!$D$6,IF(ISNUMBER(SEARCH(Assumptions!$C$7,G3205)),Assumptions!$D$7,"Other Services"))),"Other Services"))</f>
        <v/>
      </c>
    </row>
    <row r="3206" customFormat="false" ht="15" hidden="false" customHeight="false" outlineLevel="0" collapsed="false">
      <c r="F3206" s="41" t="str">
        <f aca="false">IF(E3206="","",IFERROR(VLOOKUP(E3206,Assumptions!$G$5:$H$16,2,0),"Other"))</f>
        <v/>
      </c>
      <c r="J3206" s="41" t="str">
        <f aca="false">IF(G3206="","",IFERROR(IF(ISNUMBER(SEARCH(Assumptions!$C$5,G3206)),Assumptions!$D$5,IF(ISNUMBER(SEARCH(Assumptions!$C$6,G3206)),Assumptions!$D$6,IF(ISNUMBER(SEARCH(Assumptions!$C$7,G3206)),Assumptions!$D$7,"Other Services"))),"Other Services"))</f>
        <v/>
      </c>
    </row>
    <row r="3207" customFormat="false" ht="15" hidden="false" customHeight="false" outlineLevel="0" collapsed="false">
      <c r="F3207" s="41" t="str">
        <f aca="false">IF(E3207="","",IFERROR(VLOOKUP(E3207,Assumptions!$G$5:$H$16,2,0),"Other"))</f>
        <v/>
      </c>
      <c r="J3207" s="41" t="str">
        <f aca="false">IF(G3207="","",IFERROR(IF(ISNUMBER(SEARCH(Assumptions!$C$5,G3207)),Assumptions!$D$5,IF(ISNUMBER(SEARCH(Assumptions!$C$6,G3207)),Assumptions!$D$6,IF(ISNUMBER(SEARCH(Assumptions!$C$7,G3207)),Assumptions!$D$7,"Other Services"))),"Other Services"))</f>
        <v/>
      </c>
    </row>
    <row r="3208" customFormat="false" ht="15" hidden="false" customHeight="false" outlineLevel="0" collapsed="false">
      <c r="F3208" s="41" t="str">
        <f aca="false">IF(E3208="","",IFERROR(VLOOKUP(E3208,Assumptions!$G$5:$H$16,2,0),"Other"))</f>
        <v/>
      </c>
      <c r="J3208" s="41" t="str">
        <f aca="false">IF(G3208="","",IFERROR(IF(ISNUMBER(SEARCH(Assumptions!$C$5,G3208)),Assumptions!$D$5,IF(ISNUMBER(SEARCH(Assumptions!$C$6,G3208)),Assumptions!$D$6,IF(ISNUMBER(SEARCH(Assumptions!$C$7,G3208)),Assumptions!$D$7,"Other Services"))),"Other Services"))</f>
        <v/>
      </c>
    </row>
    <row r="3209" customFormat="false" ht="15" hidden="false" customHeight="false" outlineLevel="0" collapsed="false">
      <c r="F3209" s="41" t="str">
        <f aca="false">IF(E3209="","",IFERROR(VLOOKUP(E3209,Assumptions!$G$5:$H$16,2,0),"Other"))</f>
        <v/>
      </c>
      <c r="J3209" s="41" t="str">
        <f aca="false">IF(G3209="","",IFERROR(IF(ISNUMBER(SEARCH(Assumptions!$C$5,G3209)),Assumptions!$D$5,IF(ISNUMBER(SEARCH(Assumptions!$C$6,G3209)),Assumptions!$D$6,IF(ISNUMBER(SEARCH(Assumptions!$C$7,G3209)),Assumptions!$D$7,"Other Services"))),"Other Services"))</f>
        <v/>
      </c>
    </row>
    <row r="3210" customFormat="false" ht="15" hidden="false" customHeight="false" outlineLevel="0" collapsed="false">
      <c r="F3210" s="41" t="str">
        <f aca="false">IF(E3210="","",IFERROR(VLOOKUP(E3210,Assumptions!$G$5:$H$16,2,0),"Other"))</f>
        <v/>
      </c>
      <c r="J3210" s="41" t="str">
        <f aca="false">IF(G3210="","",IFERROR(IF(ISNUMBER(SEARCH(Assumptions!$C$5,G3210)),Assumptions!$D$5,IF(ISNUMBER(SEARCH(Assumptions!$C$6,G3210)),Assumptions!$D$6,IF(ISNUMBER(SEARCH(Assumptions!$C$7,G3210)),Assumptions!$D$7,"Other Services"))),"Other Services"))</f>
        <v/>
      </c>
    </row>
    <row r="3211" customFormat="false" ht="15" hidden="false" customHeight="false" outlineLevel="0" collapsed="false">
      <c r="F3211" s="41" t="str">
        <f aca="false">IF(E3211="","",IFERROR(VLOOKUP(E3211,Assumptions!$G$5:$H$16,2,0),"Other"))</f>
        <v/>
      </c>
      <c r="J3211" s="41" t="str">
        <f aca="false">IF(G3211="","",IFERROR(IF(ISNUMBER(SEARCH(Assumptions!$C$5,G3211)),Assumptions!$D$5,IF(ISNUMBER(SEARCH(Assumptions!$C$6,G3211)),Assumptions!$D$6,IF(ISNUMBER(SEARCH(Assumptions!$C$7,G3211)),Assumptions!$D$7,"Other Services"))),"Other Services"))</f>
        <v/>
      </c>
    </row>
    <row r="3212" customFormat="false" ht="15" hidden="false" customHeight="false" outlineLevel="0" collapsed="false">
      <c r="F3212" s="41" t="str">
        <f aca="false">IF(E3212="","",IFERROR(VLOOKUP(E3212,Assumptions!$G$5:$H$16,2,0),"Other"))</f>
        <v/>
      </c>
      <c r="J3212" s="41" t="str">
        <f aca="false">IF(G3212="","",IFERROR(IF(ISNUMBER(SEARCH(Assumptions!$C$5,G3212)),Assumptions!$D$5,IF(ISNUMBER(SEARCH(Assumptions!$C$6,G3212)),Assumptions!$D$6,IF(ISNUMBER(SEARCH(Assumptions!$C$7,G3212)),Assumptions!$D$7,"Other Services"))),"Other Services"))</f>
        <v/>
      </c>
    </row>
    <row r="3213" customFormat="false" ht="15" hidden="false" customHeight="false" outlineLevel="0" collapsed="false">
      <c r="F3213" s="41" t="str">
        <f aca="false">IF(E3213="","",IFERROR(VLOOKUP(E3213,Assumptions!$G$5:$H$16,2,0),"Other"))</f>
        <v/>
      </c>
      <c r="J3213" s="41" t="str">
        <f aca="false">IF(G3213="","",IFERROR(IF(ISNUMBER(SEARCH(Assumptions!$C$5,G3213)),Assumptions!$D$5,IF(ISNUMBER(SEARCH(Assumptions!$C$6,G3213)),Assumptions!$D$6,IF(ISNUMBER(SEARCH(Assumptions!$C$7,G3213)),Assumptions!$D$7,"Other Services"))),"Other Services"))</f>
        <v/>
      </c>
    </row>
    <row r="3214" customFormat="false" ht="15" hidden="false" customHeight="false" outlineLevel="0" collapsed="false">
      <c r="F3214" s="41" t="str">
        <f aca="false">IF(E3214="","",IFERROR(VLOOKUP(E3214,Assumptions!$G$5:$H$16,2,0),"Other"))</f>
        <v/>
      </c>
      <c r="J3214" s="41" t="str">
        <f aca="false">IF(G3214="","",IFERROR(IF(ISNUMBER(SEARCH(Assumptions!$C$5,G3214)),Assumptions!$D$5,IF(ISNUMBER(SEARCH(Assumptions!$C$6,G3214)),Assumptions!$D$6,IF(ISNUMBER(SEARCH(Assumptions!$C$7,G3214)),Assumptions!$D$7,"Other Services"))),"Other Services"))</f>
        <v/>
      </c>
    </row>
    <row r="3215" customFormat="false" ht="15" hidden="false" customHeight="false" outlineLevel="0" collapsed="false">
      <c r="F3215" s="41" t="str">
        <f aca="false">IF(E3215="","",IFERROR(VLOOKUP(E3215,Assumptions!$G$5:$H$16,2,0),"Other"))</f>
        <v/>
      </c>
      <c r="J3215" s="41" t="str">
        <f aca="false">IF(G3215="","",IFERROR(IF(ISNUMBER(SEARCH(Assumptions!$C$5,G3215)),Assumptions!$D$5,IF(ISNUMBER(SEARCH(Assumptions!$C$6,G3215)),Assumptions!$D$6,IF(ISNUMBER(SEARCH(Assumptions!$C$7,G3215)),Assumptions!$D$7,"Other Services"))),"Other Services"))</f>
        <v/>
      </c>
    </row>
    <row r="3216" customFormat="false" ht="15" hidden="false" customHeight="false" outlineLevel="0" collapsed="false">
      <c r="F3216" s="41" t="str">
        <f aca="false">IF(E3216="","",IFERROR(VLOOKUP(E3216,Assumptions!$G$5:$H$16,2,0),"Other"))</f>
        <v/>
      </c>
      <c r="J3216" s="41" t="str">
        <f aca="false">IF(G3216="","",IFERROR(IF(ISNUMBER(SEARCH(Assumptions!$C$5,G3216)),Assumptions!$D$5,IF(ISNUMBER(SEARCH(Assumptions!$C$6,G3216)),Assumptions!$D$6,IF(ISNUMBER(SEARCH(Assumptions!$C$7,G3216)),Assumptions!$D$7,"Other Services"))),"Other Services"))</f>
        <v/>
      </c>
    </row>
    <row r="3217" customFormat="false" ht="15" hidden="false" customHeight="false" outlineLevel="0" collapsed="false">
      <c r="F3217" s="41" t="str">
        <f aca="false">IF(E3217="","",IFERROR(VLOOKUP(E3217,Assumptions!$G$5:$H$16,2,0),"Other"))</f>
        <v/>
      </c>
      <c r="J3217" s="41" t="str">
        <f aca="false">IF(G3217="","",IFERROR(IF(ISNUMBER(SEARCH(Assumptions!$C$5,G3217)),Assumptions!$D$5,IF(ISNUMBER(SEARCH(Assumptions!$C$6,G3217)),Assumptions!$D$6,IF(ISNUMBER(SEARCH(Assumptions!$C$7,G3217)),Assumptions!$D$7,"Other Services"))),"Other Services"))</f>
        <v/>
      </c>
    </row>
    <row r="3218" customFormat="false" ht="15" hidden="false" customHeight="false" outlineLevel="0" collapsed="false">
      <c r="F3218" s="41" t="str">
        <f aca="false">IF(E3218="","",IFERROR(VLOOKUP(E3218,Assumptions!$G$5:$H$16,2,0),"Other"))</f>
        <v/>
      </c>
      <c r="J3218" s="41" t="str">
        <f aca="false">IF(G3218="","",IFERROR(IF(ISNUMBER(SEARCH(Assumptions!$C$5,G3218)),Assumptions!$D$5,IF(ISNUMBER(SEARCH(Assumptions!$C$6,G3218)),Assumptions!$D$6,IF(ISNUMBER(SEARCH(Assumptions!$C$7,G3218)),Assumptions!$D$7,"Other Services"))),"Other Services"))</f>
        <v/>
      </c>
    </row>
    <row r="3219" customFormat="false" ht="15" hidden="false" customHeight="false" outlineLevel="0" collapsed="false">
      <c r="F3219" s="41" t="str">
        <f aca="false">IF(E3219="","",IFERROR(VLOOKUP(E3219,Assumptions!$G$5:$H$16,2,0),"Other"))</f>
        <v/>
      </c>
      <c r="J3219" s="41" t="str">
        <f aca="false">IF(G3219="","",IFERROR(IF(ISNUMBER(SEARCH(Assumptions!$C$5,G3219)),Assumptions!$D$5,IF(ISNUMBER(SEARCH(Assumptions!$C$6,G3219)),Assumptions!$D$6,IF(ISNUMBER(SEARCH(Assumptions!$C$7,G3219)),Assumptions!$D$7,"Other Services"))),"Other Services"))</f>
        <v/>
      </c>
    </row>
    <row r="3220" customFormat="false" ht="15" hidden="false" customHeight="false" outlineLevel="0" collapsed="false">
      <c r="F3220" s="41" t="str">
        <f aca="false">IF(E3220="","",IFERROR(VLOOKUP(E3220,Assumptions!$G$5:$H$16,2,0),"Other"))</f>
        <v/>
      </c>
      <c r="J3220" s="41" t="str">
        <f aca="false">IF(G3220="","",IFERROR(IF(ISNUMBER(SEARCH(Assumptions!$C$5,G3220)),Assumptions!$D$5,IF(ISNUMBER(SEARCH(Assumptions!$C$6,G3220)),Assumptions!$D$6,IF(ISNUMBER(SEARCH(Assumptions!$C$7,G3220)),Assumptions!$D$7,"Other Services"))),"Other Services"))</f>
        <v/>
      </c>
    </row>
    <row r="3221" customFormat="false" ht="15" hidden="false" customHeight="false" outlineLevel="0" collapsed="false">
      <c r="F3221" s="41" t="str">
        <f aca="false">IF(E3221="","",IFERROR(VLOOKUP(E3221,Assumptions!$G$5:$H$16,2,0),"Other"))</f>
        <v/>
      </c>
      <c r="J3221" s="41" t="str">
        <f aca="false">IF(G3221="","",IFERROR(IF(ISNUMBER(SEARCH(Assumptions!$C$5,G3221)),Assumptions!$D$5,IF(ISNUMBER(SEARCH(Assumptions!$C$6,G3221)),Assumptions!$D$6,IF(ISNUMBER(SEARCH(Assumptions!$C$7,G3221)),Assumptions!$D$7,"Other Services"))),"Other Services"))</f>
        <v/>
      </c>
    </row>
    <row r="3222" customFormat="false" ht="15" hidden="false" customHeight="false" outlineLevel="0" collapsed="false">
      <c r="F3222" s="41" t="str">
        <f aca="false">IF(E3222="","",IFERROR(VLOOKUP(E3222,Assumptions!$G$5:$H$16,2,0),"Other"))</f>
        <v/>
      </c>
      <c r="J3222" s="41" t="str">
        <f aca="false">IF(G3222="","",IFERROR(IF(ISNUMBER(SEARCH(Assumptions!$C$5,G3222)),Assumptions!$D$5,IF(ISNUMBER(SEARCH(Assumptions!$C$6,G3222)),Assumptions!$D$6,IF(ISNUMBER(SEARCH(Assumptions!$C$7,G3222)),Assumptions!$D$7,"Other Services"))),"Other Services"))</f>
        <v/>
      </c>
    </row>
    <row r="3223" customFormat="false" ht="15" hidden="false" customHeight="false" outlineLevel="0" collapsed="false">
      <c r="F3223" s="41" t="str">
        <f aca="false">IF(E3223="","",IFERROR(VLOOKUP(E3223,Assumptions!$G$5:$H$16,2,0),"Other"))</f>
        <v/>
      </c>
      <c r="J3223" s="41" t="str">
        <f aca="false">IF(G3223="","",IFERROR(IF(ISNUMBER(SEARCH(Assumptions!$C$5,G3223)),Assumptions!$D$5,IF(ISNUMBER(SEARCH(Assumptions!$C$6,G3223)),Assumptions!$D$6,IF(ISNUMBER(SEARCH(Assumptions!$C$7,G3223)),Assumptions!$D$7,"Other Services"))),"Other Services"))</f>
        <v/>
      </c>
    </row>
    <row r="3224" customFormat="false" ht="15" hidden="false" customHeight="false" outlineLevel="0" collapsed="false">
      <c r="F3224" s="41" t="str">
        <f aca="false">IF(E3224="","",IFERROR(VLOOKUP(E3224,Assumptions!$G$5:$H$16,2,0),"Other"))</f>
        <v/>
      </c>
      <c r="J3224" s="41" t="str">
        <f aca="false">IF(G3224="","",IFERROR(IF(ISNUMBER(SEARCH(Assumptions!$C$5,G3224)),Assumptions!$D$5,IF(ISNUMBER(SEARCH(Assumptions!$C$6,G3224)),Assumptions!$D$6,IF(ISNUMBER(SEARCH(Assumptions!$C$7,G3224)),Assumptions!$D$7,"Other Services"))),"Other Services"))</f>
        <v/>
      </c>
    </row>
    <row r="3225" customFormat="false" ht="15" hidden="false" customHeight="false" outlineLevel="0" collapsed="false">
      <c r="F3225" s="41" t="str">
        <f aca="false">IF(E3225="","",IFERROR(VLOOKUP(E3225,Assumptions!$G$5:$H$16,2,0),"Other"))</f>
        <v/>
      </c>
      <c r="J3225" s="41" t="str">
        <f aca="false">IF(G3225="","",IFERROR(IF(ISNUMBER(SEARCH(Assumptions!$C$5,G3225)),Assumptions!$D$5,IF(ISNUMBER(SEARCH(Assumptions!$C$6,G3225)),Assumptions!$D$6,IF(ISNUMBER(SEARCH(Assumptions!$C$7,G3225)),Assumptions!$D$7,"Other Services"))),"Other Services"))</f>
        <v/>
      </c>
    </row>
    <row r="3226" customFormat="false" ht="15" hidden="false" customHeight="false" outlineLevel="0" collapsed="false">
      <c r="F3226" s="41" t="str">
        <f aca="false">IF(E3226="","",IFERROR(VLOOKUP(E3226,Assumptions!$G$5:$H$16,2,0),"Other"))</f>
        <v/>
      </c>
      <c r="J3226" s="41" t="str">
        <f aca="false">IF(G3226="","",IFERROR(IF(ISNUMBER(SEARCH(Assumptions!$C$5,G3226)),Assumptions!$D$5,IF(ISNUMBER(SEARCH(Assumptions!$C$6,G3226)),Assumptions!$D$6,IF(ISNUMBER(SEARCH(Assumptions!$C$7,G3226)),Assumptions!$D$7,"Other Services"))),"Other Services"))</f>
        <v/>
      </c>
    </row>
    <row r="3227" customFormat="false" ht="15" hidden="false" customHeight="false" outlineLevel="0" collapsed="false">
      <c r="F3227" s="41" t="str">
        <f aca="false">IF(E3227="","",IFERROR(VLOOKUP(E3227,Assumptions!$G$5:$H$16,2,0),"Other"))</f>
        <v/>
      </c>
      <c r="J3227" s="41" t="str">
        <f aca="false">IF(G3227="","",IFERROR(IF(ISNUMBER(SEARCH(Assumptions!$C$5,G3227)),Assumptions!$D$5,IF(ISNUMBER(SEARCH(Assumptions!$C$6,G3227)),Assumptions!$D$6,IF(ISNUMBER(SEARCH(Assumptions!$C$7,G3227)),Assumptions!$D$7,"Other Services"))),"Other Services"))</f>
        <v/>
      </c>
    </row>
    <row r="3228" customFormat="false" ht="15" hidden="false" customHeight="false" outlineLevel="0" collapsed="false">
      <c r="F3228" s="41" t="str">
        <f aca="false">IF(E3228="","",IFERROR(VLOOKUP(E3228,Assumptions!$G$5:$H$16,2,0),"Other"))</f>
        <v/>
      </c>
      <c r="J3228" s="41" t="str">
        <f aca="false">IF(G3228="","",IFERROR(IF(ISNUMBER(SEARCH(Assumptions!$C$5,G3228)),Assumptions!$D$5,IF(ISNUMBER(SEARCH(Assumptions!$C$6,G3228)),Assumptions!$D$6,IF(ISNUMBER(SEARCH(Assumptions!$C$7,G3228)),Assumptions!$D$7,"Other Services"))),"Other Services"))</f>
        <v/>
      </c>
    </row>
    <row r="3229" customFormat="false" ht="15" hidden="false" customHeight="false" outlineLevel="0" collapsed="false">
      <c r="F3229" s="41" t="str">
        <f aca="false">IF(E3229="","",IFERROR(VLOOKUP(E3229,Assumptions!$G$5:$H$16,2,0),"Other"))</f>
        <v/>
      </c>
      <c r="J3229" s="41" t="str">
        <f aca="false">IF(G3229="","",IFERROR(IF(ISNUMBER(SEARCH(Assumptions!$C$5,G3229)),Assumptions!$D$5,IF(ISNUMBER(SEARCH(Assumptions!$C$6,G3229)),Assumptions!$D$6,IF(ISNUMBER(SEARCH(Assumptions!$C$7,G3229)),Assumptions!$D$7,"Other Services"))),"Other Services"))</f>
        <v/>
      </c>
    </row>
    <row r="3230" customFormat="false" ht="15" hidden="false" customHeight="false" outlineLevel="0" collapsed="false">
      <c r="F3230" s="41" t="str">
        <f aca="false">IF(E3230="","",IFERROR(VLOOKUP(E3230,Assumptions!$G$5:$H$16,2,0),"Other"))</f>
        <v/>
      </c>
      <c r="J3230" s="41" t="str">
        <f aca="false">IF(G3230="","",IFERROR(IF(ISNUMBER(SEARCH(Assumptions!$C$5,G3230)),Assumptions!$D$5,IF(ISNUMBER(SEARCH(Assumptions!$C$6,G3230)),Assumptions!$D$6,IF(ISNUMBER(SEARCH(Assumptions!$C$7,G3230)),Assumptions!$D$7,"Other Services"))),"Other Services"))</f>
        <v/>
      </c>
    </row>
    <row r="3231" customFormat="false" ht="15" hidden="false" customHeight="false" outlineLevel="0" collapsed="false">
      <c r="F3231" s="41" t="str">
        <f aca="false">IF(E3231="","",IFERROR(VLOOKUP(E3231,Assumptions!$G$5:$H$16,2,0),"Other"))</f>
        <v/>
      </c>
      <c r="J3231" s="41" t="str">
        <f aca="false">IF(G3231="","",IFERROR(IF(ISNUMBER(SEARCH(Assumptions!$C$5,G3231)),Assumptions!$D$5,IF(ISNUMBER(SEARCH(Assumptions!$C$6,G3231)),Assumptions!$D$6,IF(ISNUMBER(SEARCH(Assumptions!$C$7,G3231)),Assumptions!$D$7,"Other Services"))),"Other Services"))</f>
        <v/>
      </c>
    </row>
    <row r="3232" customFormat="false" ht="15" hidden="false" customHeight="false" outlineLevel="0" collapsed="false">
      <c r="F3232" s="41" t="str">
        <f aca="false">IF(E3232="","",IFERROR(VLOOKUP(E3232,Assumptions!$G$5:$H$16,2,0),"Other"))</f>
        <v/>
      </c>
      <c r="J3232" s="41" t="str">
        <f aca="false">IF(G3232="","",IFERROR(IF(ISNUMBER(SEARCH(Assumptions!$C$5,G3232)),Assumptions!$D$5,IF(ISNUMBER(SEARCH(Assumptions!$C$6,G3232)),Assumptions!$D$6,IF(ISNUMBER(SEARCH(Assumptions!$C$7,G3232)),Assumptions!$D$7,"Other Services"))),"Other Services"))</f>
        <v/>
      </c>
    </row>
    <row r="3233" customFormat="false" ht="15" hidden="false" customHeight="false" outlineLevel="0" collapsed="false">
      <c r="F3233" s="41" t="str">
        <f aca="false">IF(E3233="","",IFERROR(VLOOKUP(E3233,Assumptions!$G$5:$H$16,2,0),"Other"))</f>
        <v/>
      </c>
      <c r="J3233" s="41" t="str">
        <f aca="false">IF(G3233="","",IFERROR(IF(ISNUMBER(SEARCH(Assumptions!$C$5,G3233)),Assumptions!$D$5,IF(ISNUMBER(SEARCH(Assumptions!$C$6,G3233)),Assumptions!$D$6,IF(ISNUMBER(SEARCH(Assumptions!$C$7,G3233)),Assumptions!$D$7,"Other Services"))),"Other Services"))</f>
        <v/>
      </c>
    </row>
    <row r="3234" customFormat="false" ht="15" hidden="false" customHeight="false" outlineLevel="0" collapsed="false">
      <c r="F3234" s="41" t="str">
        <f aca="false">IF(E3234="","",IFERROR(VLOOKUP(E3234,Assumptions!$G$5:$H$16,2,0),"Other"))</f>
        <v/>
      </c>
      <c r="J3234" s="41" t="str">
        <f aca="false">IF(G3234="","",IFERROR(IF(ISNUMBER(SEARCH(Assumptions!$C$5,G3234)),Assumptions!$D$5,IF(ISNUMBER(SEARCH(Assumptions!$C$6,G3234)),Assumptions!$D$6,IF(ISNUMBER(SEARCH(Assumptions!$C$7,G3234)),Assumptions!$D$7,"Other Services"))),"Other Services"))</f>
        <v/>
      </c>
    </row>
    <row r="3235" customFormat="false" ht="15" hidden="false" customHeight="false" outlineLevel="0" collapsed="false">
      <c r="F3235" s="41" t="str">
        <f aca="false">IF(E3235="","",IFERROR(VLOOKUP(E3235,Assumptions!$G$5:$H$16,2,0),"Other"))</f>
        <v/>
      </c>
      <c r="J3235" s="41" t="str">
        <f aca="false">IF(G3235="","",IFERROR(IF(ISNUMBER(SEARCH(Assumptions!$C$5,G3235)),Assumptions!$D$5,IF(ISNUMBER(SEARCH(Assumptions!$C$6,G3235)),Assumptions!$D$6,IF(ISNUMBER(SEARCH(Assumptions!$C$7,G3235)),Assumptions!$D$7,"Other Services"))),"Other Services"))</f>
        <v/>
      </c>
    </row>
    <row r="3236" customFormat="false" ht="15" hidden="false" customHeight="false" outlineLevel="0" collapsed="false">
      <c r="F3236" s="41" t="str">
        <f aca="false">IF(E3236="","",IFERROR(VLOOKUP(E3236,Assumptions!$G$5:$H$16,2,0),"Other"))</f>
        <v/>
      </c>
      <c r="J3236" s="41" t="str">
        <f aca="false">IF(G3236="","",IFERROR(IF(ISNUMBER(SEARCH(Assumptions!$C$5,G3236)),Assumptions!$D$5,IF(ISNUMBER(SEARCH(Assumptions!$C$6,G3236)),Assumptions!$D$6,IF(ISNUMBER(SEARCH(Assumptions!$C$7,G3236)),Assumptions!$D$7,"Other Services"))),"Other Services"))</f>
        <v/>
      </c>
    </row>
    <row r="3237" customFormat="false" ht="15" hidden="false" customHeight="false" outlineLevel="0" collapsed="false">
      <c r="F3237" s="41" t="str">
        <f aca="false">IF(E3237="","",IFERROR(VLOOKUP(E3237,Assumptions!$G$5:$H$16,2,0),"Other"))</f>
        <v/>
      </c>
      <c r="J3237" s="41" t="str">
        <f aca="false">IF(G3237="","",IFERROR(IF(ISNUMBER(SEARCH(Assumptions!$C$5,G3237)),Assumptions!$D$5,IF(ISNUMBER(SEARCH(Assumptions!$C$6,G3237)),Assumptions!$D$6,IF(ISNUMBER(SEARCH(Assumptions!$C$7,G3237)),Assumptions!$D$7,"Other Services"))),"Other Services"))</f>
        <v/>
      </c>
    </row>
    <row r="3238" customFormat="false" ht="15" hidden="false" customHeight="false" outlineLevel="0" collapsed="false">
      <c r="F3238" s="41" t="str">
        <f aca="false">IF(E3238="","",IFERROR(VLOOKUP(E3238,Assumptions!$G$5:$H$16,2,0),"Other"))</f>
        <v/>
      </c>
      <c r="J3238" s="41" t="str">
        <f aca="false">IF(G3238="","",IFERROR(IF(ISNUMBER(SEARCH(Assumptions!$C$5,G3238)),Assumptions!$D$5,IF(ISNUMBER(SEARCH(Assumptions!$C$6,G3238)),Assumptions!$D$6,IF(ISNUMBER(SEARCH(Assumptions!$C$7,G3238)),Assumptions!$D$7,"Other Services"))),"Other Services"))</f>
        <v/>
      </c>
    </row>
    <row r="3239" customFormat="false" ht="15" hidden="false" customHeight="false" outlineLevel="0" collapsed="false">
      <c r="F3239" s="41" t="str">
        <f aca="false">IF(E3239="","",IFERROR(VLOOKUP(E3239,Assumptions!$G$5:$H$16,2,0),"Other"))</f>
        <v/>
      </c>
      <c r="J3239" s="41" t="str">
        <f aca="false">IF(G3239="","",IFERROR(IF(ISNUMBER(SEARCH(Assumptions!$C$5,G3239)),Assumptions!$D$5,IF(ISNUMBER(SEARCH(Assumptions!$C$6,G3239)),Assumptions!$D$6,IF(ISNUMBER(SEARCH(Assumptions!$C$7,G3239)),Assumptions!$D$7,"Other Services"))),"Other Services"))</f>
        <v/>
      </c>
    </row>
    <row r="3240" customFormat="false" ht="15" hidden="false" customHeight="false" outlineLevel="0" collapsed="false">
      <c r="F3240" s="41" t="str">
        <f aca="false">IF(E3240="","",IFERROR(VLOOKUP(E3240,Assumptions!$G$5:$H$16,2,0),"Other"))</f>
        <v/>
      </c>
      <c r="J3240" s="41" t="str">
        <f aca="false">IF(G3240="","",IFERROR(IF(ISNUMBER(SEARCH(Assumptions!$C$5,G3240)),Assumptions!$D$5,IF(ISNUMBER(SEARCH(Assumptions!$C$6,G3240)),Assumptions!$D$6,IF(ISNUMBER(SEARCH(Assumptions!$C$7,G3240)),Assumptions!$D$7,"Other Services"))),"Other Services"))</f>
        <v/>
      </c>
    </row>
    <row r="3241" customFormat="false" ht="15" hidden="false" customHeight="false" outlineLevel="0" collapsed="false">
      <c r="F3241" s="41" t="str">
        <f aca="false">IF(E3241="","",IFERROR(VLOOKUP(E3241,Assumptions!$G$5:$H$16,2,0),"Other"))</f>
        <v/>
      </c>
      <c r="J3241" s="41" t="str">
        <f aca="false">IF(G3241="","",IFERROR(IF(ISNUMBER(SEARCH(Assumptions!$C$5,G3241)),Assumptions!$D$5,IF(ISNUMBER(SEARCH(Assumptions!$C$6,G3241)),Assumptions!$D$6,IF(ISNUMBER(SEARCH(Assumptions!$C$7,G3241)),Assumptions!$D$7,"Other Services"))),"Other Services"))</f>
        <v/>
      </c>
    </row>
    <row r="3242" customFormat="false" ht="15" hidden="false" customHeight="false" outlineLevel="0" collapsed="false">
      <c r="F3242" s="41" t="str">
        <f aca="false">IF(E3242="","",IFERROR(VLOOKUP(E3242,Assumptions!$G$5:$H$16,2,0),"Other"))</f>
        <v/>
      </c>
      <c r="J3242" s="41" t="str">
        <f aca="false">IF(G3242="","",IFERROR(IF(ISNUMBER(SEARCH(Assumptions!$C$5,G3242)),Assumptions!$D$5,IF(ISNUMBER(SEARCH(Assumptions!$C$6,G3242)),Assumptions!$D$6,IF(ISNUMBER(SEARCH(Assumptions!$C$7,G3242)),Assumptions!$D$7,"Other Services"))),"Other Services"))</f>
        <v/>
      </c>
    </row>
    <row r="3243" customFormat="false" ht="15" hidden="false" customHeight="false" outlineLevel="0" collapsed="false">
      <c r="F3243" s="41" t="str">
        <f aca="false">IF(E3243="","",IFERROR(VLOOKUP(E3243,Assumptions!$G$5:$H$16,2,0),"Other"))</f>
        <v/>
      </c>
      <c r="J3243" s="41" t="str">
        <f aca="false">IF(G3243="","",IFERROR(IF(ISNUMBER(SEARCH(Assumptions!$C$5,G3243)),Assumptions!$D$5,IF(ISNUMBER(SEARCH(Assumptions!$C$6,G3243)),Assumptions!$D$6,IF(ISNUMBER(SEARCH(Assumptions!$C$7,G3243)),Assumptions!$D$7,"Other Services"))),"Other Services"))</f>
        <v/>
      </c>
    </row>
    <row r="3244" customFormat="false" ht="15" hidden="false" customHeight="false" outlineLevel="0" collapsed="false">
      <c r="F3244" s="41" t="str">
        <f aca="false">IF(E3244="","",IFERROR(VLOOKUP(E3244,Assumptions!$G$5:$H$16,2,0),"Other"))</f>
        <v/>
      </c>
      <c r="J3244" s="41" t="str">
        <f aca="false">IF(G3244="","",IFERROR(IF(ISNUMBER(SEARCH(Assumptions!$C$5,G3244)),Assumptions!$D$5,IF(ISNUMBER(SEARCH(Assumptions!$C$6,G3244)),Assumptions!$D$6,IF(ISNUMBER(SEARCH(Assumptions!$C$7,G3244)),Assumptions!$D$7,"Other Services"))),"Other Services"))</f>
        <v/>
      </c>
    </row>
    <row r="3245" customFormat="false" ht="15" hidden="false" customHeight="false" outlineLevel="0" collapsed="false">
      <c r="F3245" s="41" t="str">
        <f aca="false">IF(E3245="","",IFERROR(VLOOKUP(E3245,Assumptions!$G$5:$H$16,2,0),"Other"))</f>
        <v/>
      </c>
      <c r="J3245" s="41" t="str">
        <f aca="false">IF(G3245="","",IFERROR(IF(ISNUMBER(SEARCH(Assumptions!$C$5,G3245)),Assumptions!$D$5,IF(ISNUMBER(SEARCH(Assumptions!$C$6,G3245)),Assumptions!$D$6,IF(ISNUMBER(SEARCH(Assumptions!$C$7,G3245)),Assumptions!$D$7,"Other Services"))),"Other Services"))</f>
        <v/>
      </c>
    </row>
    <row r="3246" customFormat="false" ht="15" hidden="false" customHeight="false" outlineLevel="0" collapsed="false">
      <c r="F3246" s="41" t="str">
        <f aca="false">IF(E3246="","",IFERROR(VLOOKUP(E3246,Assumptions!$G$5:$H$16,2,0),"Other"))</f>
        <v/>
      </c>
      <c r="J3246" s="41" t="str">
        <f aca="false">IF(G3246="","",IFERROR(IF(ISNUMBER(SEARCH(Assumptions!$C$5,G3246)),Assumptions!$D$5,IF(ISNUMBER(SEARCH(Assumptions!$C$6,G3246)),Assumptions!$D$6,IF(ISNUMBER(SEARCH(Assumptions!$C$7,G3246)),Assumptions!$D$7,"Other Services"))),"Other Services"))</f>
        <v/>
      </c>
    </row>
    <row r="3247" customFormat="false" ht="15" hidden="false" customHeight="false" outlineLevel="0" collapsed="false">
      <c r="F3247" s="41" t="str">
        <f aca="false">IF(E3247="","",IFERROR(VLOOKUP(E3247,Assumptions!$G$5:$H$16,2,0),"Other"))</f>
        <v/>
      </c>
      <c r="J3247" s="41" t="str">
        <f aca="false">IF(G3247="","",IFERROR(IF(ISNUMBER(SEARCH(Assumptions!$C$5,G3247)),Assumptions!$D$5,IF(ISNUMBER(SEARCH(Assumptions!$C$6,G3247)),Assumptions!$D$6,IF(ISNUMBER(SEARCH(Assumptions!$C$7,G3247)),Assumptions!$D$7,"Other Services"))),"Other Services"))</f>
        <v/>
      </c>
    </row>
    <row r="3248" customFormat="false" ht="15" hidden="false" customHeight="false" outlineLevel="0" collapsed="false">
      <c r="F3248" s="41" t="str">
        <f aca="false">IF(E3248="","",IFERROR(VLOOKUP(E3248,Assumptions!$G$5:$H$16,2,0),"Other"))</f>
        <v/>
      </c>
      <c r="J3248" s="41" t="str">
        <f aca="false">IF(G3248="","",IFERROR(IF(ISNUMBER(SEARCH(Assumptions!$C$5,G3248)),Assumptions!$D$5,IF(ISNUMBER(SEARCH(Assumptions!$C$6,G3248)),Assumptions!$D$6,IF(ISNUMBER(SEARCH(Assumptions!$C$7,G3248)),Assumptions!$D$7,"Other Services"))),"Other Services"))</f>
        <v/>
      </c>
    </row>
    <row r="3249" customFormat="false" ht="15" hidden="false" customHeight="false" outlineLevel="0" collapsed="false">
      <c r="F3249" s="41" t="str">
        <f aca="false">IF(E3249="","",IFERROR(VLOOKUP(E3249,Assumptions!$G$5:$H$16,2,0),"Other"))</f>
        <v/>
      </c>
      <c r="J3249" s="41" t="str">
        <f aca="false">IF(G3249="","",IFERROR(IF(ISNUMBER(SEARCH(Assumptions!$C$5,G3249)),Assumptions!$D$5,IF(ISNUMBER(SEARCH(Assumptions!$C$6,G3249)),Assumptions!$D$6,IF(ISNUMBER(SEARCH(Assumptions!$C$7,G3249)),Assumptions!$D$7,"Other Services"))),"Other Services"))</f>
        <v/>
      </c>
    </row>
    <row r="3250" customFormat="false" ht="15" hidden="false" customHeight="false" outlineLevel="0" collapsed="false">
      <c r="F3250" s="41" t="str">
        <f aca="false">IF(E3250="","",IFERROR(VLOOKUP(E3250,Assumptions!$G$5:$H$16,2,0),"Other"))</f>
        <v/>
      </c>
      <c r="J3250" s="41" t="str">
        <f aca="false">IF(G3250="","",IFERROR(IF(ISNUMBER(SEARCH(Assumptions!$C$5,G3250)),Assumptions!$D$5,IF(ISNUMBER(SEARCH(Assumptions!$C$6,G3250)),Assumptions!$D$6,IF(ISNUMBER(SEARCH(Assumptions!$C$7,G3250)),Assumptions!$D$7,"Other Services"))),"Other Services"))</f>
        <v/>
      </c>
    </row>
    <row r="3251" customFormat="false" ht="15" hidden="false" customHeight="false" outlineLevel="0" collapsed="false">
      <c r="F3251" s="41" t="str">
        <f aca="false">IF(E3251="","",IFERROR(VLOOKUP(E3251,Assumptions!$G$5:$H$16,2,0),"Other"))</f>
        <v/>
      </c>
      <c r="J3251" s="41" t="str">
        <f aca="false">IF(G3251="","",IFERROR(IF(ISNUMBER(SEARCH(Assumptions!$C$5,G3251)),Assumptions!$D$5,IF(ISNUMBER(SEARCH(Assumptions!$C$6,G3251)),Assumptions!$D$6,IF(ISNUMBER(SEARCH(Assumptions!$C$7,G3251)),Assumptions!$D$7,"Other Services"))),"Other Services"))</f>
        <v/>
      </c>
    </row>
    <row r="3252" customFormat="false" ht="15" hidden="false" customHeight="false" outlineLevel="0" collapsed="false">
      <c r="F3252" s="41" t="str">
        <f aca="false">IF(E3252="","",IFERROR(VLOOKUP(E3252,Assumptions!$G$5:$H$16,2,0),"Other"))</f>
        <v/>
      </c>
      <c r="J3252" s="41" t="str">
        <f aca="false">IF(G3252="","",IFERROR(IF(ISNUMBER(SEARCH(Assumptions!$C$5,G3252)),Assumptions!$D$5,IF(ISNUMBER(SEARCH(Assumptions!$C$6,G3252)),Assumptions!$D$6,IF(ISNUMBER(SEARCH(Assumptions!$C$7,G3252)),Assumptions!$D$7,"Other Services"))),"Other Services"))</f>
        <v/>
      </c>
    </row>
    <row r="3253" customFormat="false" ht="15" hidden="false" customHeight="false" outlineLevel="0" collapsed="false">
      <c r="F3253" s="41" t="str">
        <f aca="false">IF(E3253="","",IFERROR(VLOOKUP(E3253,Assumptions!$G$5:$H$16,2,0),"Other"))</f>
        <v/>
      </c>
      <c r="J3253" s="41" t="str">
        <f aca="false">IF(G3253="","",IFERROR(IF(ISNUMBER(SEARCH(Assumptions!$C$5,G3253)),Assumptions!$D$5,IF(ISNUMBER(SEARCH(Assumptions!$C$6,G3253)),Assumptions!$D$6,IF(ISNUMBER(SEARCH(Assumptions!$C$7,G3253)),Assumptions!$D$7,"Other Services"))),"Other Services"))</f>
        <v/>
      </c>
    </row>
    <row r="3254" customFormat="false" ht="15" hidden="false" customHeight="false" outlineLevel="0" collapsed="false">
      <c r="F3254" s="41" t="str">
        <f aca="false">IF(E3254="","",IFERROR(VLOOKUP(E3254,Assumptions!$G$5:$H$16,2,0),"Other"))</f>
        <v/>
      </c>
      <c r="J3254" s="41" t="str">
        <f aca="false">IF(G3254="","",IFERROR(IF(ISNUMBER(SEARCH(Assumptions!$C$5,G3254)),Assumptions!$D$5,IF(ISNUMBER(SEARCH(Assumptions!$C$6,G3254)),Assumptions!$D$6,IF(ISNUMBER(SEARCH(Assumptions!$C$7,G3254)),Assumptions!$D$7,"Other Services"))),"Other Services"))</f>
        <v/>
      </c>
    </row>
    <row r="3255" customFormat="false" ht="15" hidden="false" customHeight="false" outlineLevel="0" collapsed="false">
      <c r="F3255" s="41" t="str">
        <f aca="false">IF(E3255="","",IFERROR(VLOOKUP(E3255,Assumptions!$G$5:$H$16,2,0),"Other"))</f>
        <v/>
      </c>
      <c r="J3255" s="41" t="str">
        <f aca="false">IF(G3255="","",IFERROR(IF(ISNUMBER(SEARCH(Assumptions!$C$5,G3255)),Assumptions!$D$5,IF(ISNUMBER(SEARCH(Assumptions!$C$6,G3255)),Assumptions!$D$6,IF(ISNUMBER(SEARCH(Assumptions!$C$7,G3255)),Assumptions!$D$7,"Other Services"))),"Other Services"))</f>
        <v/>
      </c>
    </row>
    <row r="3256" customFormat="false" ht="15" hidden="false" customHeight="false" outlineLevel="0" collapsed="false">
      <c r="F3256" s="41" t="str">
        <f aca="false">IF(E3256="","",IFERROR(VLOOKUP(E3256,Assumptions!$G$5:$H$16,2,0),"Other"))</f>
        <v/>
      </c>
      <c r="J3256" s="41" t="str">
        <f aca="false">IF(G3256="","",IFERROR(IF(ISNUMBER(SEARCH(Assumptions!$C$5,G3256)),Assumptions!$D$5,IF(ISNUMBER(SEARCH(Assumptions!$C$6,G3256)),Assumptions!$D$6,IF(ISNUMBER(SEARCH(Assumptions!$C$7,G3256)),Assumptions!$D$7,"Other Services"))),"Other Services"))</f>
        <v/>
      </c>
    </row>
    <row r="3257" customFormat="false" ht="15" hidden="false" customHeight="false" outlineLevel="0" collapsed="false">
      <c r="F3257" s="41" t="str">
        <f aca="false">IF(E3257="","",IFERROR(VLOOKUP(E3257,Assumptions!$G$5:$H$16,2,0),"Other"))</f>
        <v/>
      </c>
      <c r="J3257" s="41" t="str">
        <f aca="false">IF(G3257="","",IFERROR(IF(ISNUMBER(SEARCH(Assumptions!$C$5,G3257)),Assumptions!$D$5,IF(ISNUMBER(SEARCH(Assumptions!$C$6,G3257)),Assumptions!$D$6,IF(ISNUMBER(SEARCH(Assumptions!$C$7,G3257)),Assumptions!$D$7,"Other Services"))),"Other Services"))</f>
        <v/>
      </c>
    </row>
    <row r="3258" customFormat="false" ht="15" hidden="false" customHeight="false" outlineLevel="0" collapsed="false">
      <c r="F3258" s="41" t="str">
        <f aca="false">IF(E3258="","",IFERROR(VLOOKUP(E3258,Assumptions!$G$5:$H$16,2,0),"Other"))</f>
        <v/>
      </c>
      <c r="J3258" s="41" t="str">
        <f aca="false">IF(G3258="","",IFERROR(IF(ISNUMBER(SEARCH(Assumptions!$C$5,G3258)),Assumptions!$D$5,IF(ISNUMBER(SEARCH(Assumptions!$C$6,G3258)),Assumptions!$D$6,IF(ISNUMBER(SEARCH(Assumptions!$C$7,G3258)),Assumptions!$D$7,"Other Services"))),"Other Services"))</f>
        <v/>
      </c>
    </row>
    <row r="3259" customFormat="false" ht="15" hidden="false" customHeight="false" outlineLevel="0" collapsed="false">
      <c r="F3259" s="41" t="str">
        <f aca="false">IF(E3259="","",IFERROR(VLOOKUP(E3259,Assumptions!$G$5:$H$16,2,0),"Other"))</f>
        <v/>
      </c>
      <c r="J3259" s="41" t="str">
        <f aca="false">IF(G3259="","",IFERROR(IF(ISNUMBER(SEARCH(Assumptions!$C$5,G3259)),Assumptions!$D$5,IF(ISNUMBER(SEARCH(Assumptions!$C$6,G3259)),Assumptions!$D$6,IF(ISNUMBER(SEARCH(Assumptions!$C$7,G3259)),Assumptions!$D$7,"Other Services"))),"Other Services"))</f>
        <v/>
      </c>
    </row>
    <row r="3260" customFormat="false" ht="15" hidden="false" customHeight="false" outlineLevel="0" collapsed="false">
      <c r="F3260" s="41" t="str">
        <f aca="false">IF(E3260="","",IFERROR(VLOOKUP(E3260,Assumptions!$G$5:$H$16,2,0),"Other"))</f>
        <v/>
      </c>
      <c r="J3260" s="41" t="str">
        <f aca="false">IF(G3260="","",IFERROR(IF(ISNUMBER(SEARCH(Assumptions!$C$5,G3260)),Assumptions!$D$5,IF(ISNUMBER(SEARCH(Assumptions!$C$6,G3260)),Assumptions!$D$6,IF(ISNUMBER(SEARCH(Assumptions!$C$7,G3260)),Assumptions!$D$7,"Other Services"))),"Other Services"))</f>
        <v/>
      </c>
    </row>
    <row r="3261" customFormat="false" ht="15" hidden="false" customHeight="false" outlineLevel="0" collapsed="false">
      <c r="F3261" s="41" t="str">
        <f aca="false">IF(E3261="","",IFERROR(VLOOKUP(E3261,Assumptions!$G$5:$H$16,2,0),"Other"))</f>
        <v/>
      </c>
      <c r="J3261" s="41" t="str">
        <f aca="false">IF(G3261="","",IFERROR(IF(ISNUMBER(SEARCH(Assumptions!$C$5,G3261)),Assumptions!$D$5,IF(ISNUMBER(SEARCH(Assumptions!$C$6,G3261)),Assumptions!$D$6,IF(ISNUMBER(SEARCH(Assumptions!$C$7,G3261)),Assumptions!$D$7,"Other Services"))),"Other Services"))</f>
        <v/>
      </c>
    </row>
    <row r="3262" customFormat="false" ht="15" hidden="false" customHeight="false" outlineLevel="0" collapsed="false">
      <c r="F3262" s="41" t="str">
        <f aca="false">IF(E3262="","",IFERROR(VLOOKUP(E3262,Assumptions!$G$5:$H$16,2,0),"Other"))</f>
        <v/>
      </c>
      <c r="J3262" s="41" t="str">
        <f aca="false">IF(G3262="","",IFERROR(IF(ISNUMBER(SEARCH(Assumptions!$C$5,G3262)),Assumptions!$D$5,IF(ISNUMBER(SEARCH(Assumptions!$C$6,G3262)),Assumptions!$D$6,IF(ISNUMBER(SEARCH(Assumptions!$C$7,G3262)),Assumptions!$D$7,"Other Services"))),"Other Services"))</f>
        <v/>
      </c>
    </row>
    <row r="3263" customFormat="false" ht="15" hidden="false" customHeight="false" outlineLevel="0" collapsed="false">
      <c r="F3263" s="41" t="str">
        <f aca="false">IF(E3263="","",IFERROR(VLOOKUP(E3263,Assumptions!$G$5:$H$16,2,0),"Other"))</f>
        <v/>
      </c>
      <c r="J3263" s="41" t="str">
        <f aca="false">IF(G3263="","",IFERROR(IF(ISNUMBER(SEARCH(Assumptions!$C$5,G3263)),Assumptions!$D$5,IF(ISNUMBER(SEARCH(Assumptions!$C$6,G3263)),Assumptions!$D$6,IF(ISNUMBER(SEARCH(Assumptions!$C$7,G3263)),Assumptions!$D$7,"Other Services"))),"Other Services"))</f>
        <v/>
      </c>
    </row>
    <row r="3264" customFormat="false" ht="15" hidden="false" customHeight="false" outlineLevel="0" collapsed="false">
      <c r="F3264" s="41" t="str">
        <f aca="false">IF(E3264="","",IFERROR(VLOOKUP(E3264,Assumptions!$G$5:$H$16,2,0),"Other"))</f>
        <v/>
      </c>
      <c r="J3264" s="41" t="str">
        <f aca="false">IF(G3264="","",IFERROR(IF(ISNUMBER(SEARCH(Assumptions!$C$5,G3264)),Assumptions!$D$5,IF(ISNUMBER(SEARCH(Assumptions!$C$6,G3264)),Assumptions!$D$6,IF(ISNUMBER(SEARCH(Assumptions!$C$7,G3264)),Assumptions!$D$7,"Other Services"))),"Other Services"))</f>
        <v/>
      </c>
    </row>
    <row r="3265" customFormat="false" ht="15" hidden="false" customHeight="false" outlineLevel="0" collapsed="false">
      <c r="F3265" s="41" t="str">
        <f aca="false">IF(E3265="","",IFERROR(VLOOKUP(E3265,Assumptions!$G$5:$H$16,2,0),"Other"))</f>
        <v/>
      </c>
      <c r="J3265" s="41" t="str">
        <f aca="false">IF(G3265="","",IFERROR(IF(ISNUMBER(SEARCH(Assumptions!$C$5,G3265)),Assumptions!$D$5,IF(ISNUMBER(SEARCH(Assumptions!$C$6,G3265)),Assumptions!$D$6,IF(ISNUMBER(SEARCH(Assumptions!$C$7,G3265)),Assumptions!$D$7,"Other Services"))),"Other Services"))</f>
        <v/>
      </c>
    </row>
    <row r="3266" customFormat="false" ht="15" hidden="false" customHeight="false" outlineLevel="0" collapsed="false">
      <c r="F3266" s="41" t="str">
        <f aca="false">IF(E3266="","",IFERROR(VLOOKUP(E3266,Assumptions!$G$5:$H$16,2,0),"Other"))</f>
        <v/>
      </c>
      <c r="J3266" s="41" t="str">
        <f aca="false">IF(G3266="","",IFERROR(IF(ISNUMBER(SEARCH(Assumptions!$C$5,G3266)),Assumptions!$D$5,IF(ISNUMBER(SEARCH(Assumptions!$C$6,G3266)),Assumptions!$D$6,IF(ISNUMBER(SEARCH(Assumptions!$C$7,G3266)),Assumptions!$D$7,"Other Services"))),"Other Services"))</f>
        <v/>
      </c>
    </row>
    <row r="3267" customFormat="false" ht="15" hidden="false" customHeight="false" outlineLevel="0" collapsed="false">
      <c r="F3267" s="41" t="str">
        <f aca="false">IF(E3267="","",IFERROR(VLOOKUP(E3267,Assumptions!$G$5:$H$16,2,0),"Other"))</f>
        <v/>
      </c>
      <c r="J3267" s="41" t="str">
        <f aca="false">IF(G3267="","",IFERROR(IF(ISNUMBER(SEARCH(Assumptions!$C$5,G3267)),Assumptions!$D$5,IF(ISNUMBER(SEARCH(Assumptions!$C$6,G3267)),Assumptions!$D$6,IF(ISNUMBER(SEARCH(Assumptions!$C$7,G3267)),Assumptions!$D$7,"Other Services"))),"Other Services"))</f>
        <v/>
      </c>
    </row>
    <row r="3268" customFormat="false" ht="15" hidden="false" customHeight="false" outlineLevel="0" collapsed="false">
      <c r="F3268" s="41" t="str">
        <f aca="false">IF(E3268="","",IFERROR(VLOOKUP(E3268,Assumptions!$G$5:$H$16,2,0),"Other"))</f>
        <v/>
      </c>
      <c r="J3268" s="41" t="str">
        <f aca="false">IF(G3268="","",IFERROR(IF(ISNUMBER(SEARCH(Assumptions!$C$5,G3268)),Assumptions!$D$5,IF(ISNUMBER(SEARCH(Assumptions!$C$6,G3268)),Assumptions!$D$6,IF(ISNUMBER(SEARCH(Assumptions!$C$7,G3268)),Assumptions!$D$7,"Other Services"))),"Other Services"))</f>
        <v/>
      </c>
    </row>
    <row r="3269" customFormat="false" ht="15" hidden="false" customHeight="false" outlineLevel="0" collapsed="false">
      <c r="F3269" s="41" t="str">
        <f aca="false">IF(E3269="","",IFERROR(VLOOKUP(E3269,Assumptions!$G$5:$H$16,2,0),"Other"))</f>
        <v/>
      </c>
      <c r="J3269" s="41" t="str">
        <f aca="false">IF(G3269="","",IFERROR(IF(ISNUMBER(SEARCH(Assumptions!$C$5,G3269)),Assumptions!$D$5,IF(ISNUMBER(SEARCH(Assumptions!$C$6,G3269)),Assumptions!$D$6,IF(ISNUMBER(SEARCH(Assumptions!$C$7,G3269)),Assumptions!$D$7,"Other Services"))),"Other Services"))</f>
        <v/>
      </c>
    </row>
    <row r="3270" customFormat="false" ht="15" hidden="false" customHeight="false" outlineLevel="0" collapsed="false">
      <c r="F3270" s="41" t="str">
        <f aca="false">IF(E3270="","",IFERROR(VLOOKUP(E3270,Assumptions!$G$5:$H$16,2,0),"Other"))</f>
        <v/>
      </c>
      <c r="J3270" s="41" t="str">
        <f aca="false">IF(G3270="","",IFERROR(IF(ISNUMBER(SEARCH(Assumptions!$C$5,G3270)),Assumptions!$D$5,IF(ISNUMBER(SEARCH(Assumptions!$C$6,G3270)),Assumptions!$D$6,IF(ISNUMBER(SEARCH(Assumptions!$C$7,G3270)),Assumptions!$D$7,"Other Services"))),"Other Services"))</f>
        <v/>
      </c>
    </row>
    <row r="3271" customFormat="false" ht="15" hidden="false" customHeight="false" outlineLevel="0" collapsed="false">
      <c r="F3271" s="41" t="str">
        <f aca="false">IF(E3271="","",IFERROR(VLOOKUP(E3271,Assumptions!$G$5:$H$16,2,0),"Other"))</f>
        <v/>
      </c>
      <c r="J3271" s="41" t="str">
        <f aca="false">IF(G3271="","",IFERROR(IF(ISNUMBER(SEARCH(Assumptions!$C$5,G3271)),Assumptions!$D$5,IF(ISNUMBER(SEARCH(Assumptions!$C$6,G3271)),Assumptions!$D$6,IF(ISNUMBER(SEARCH(Assumptions!$C$7,G3271)),Assumptions!$D$7,"Other Services"))),"Other Services"))</f>
        <v/>
      </c>
    </row>
    <row r="3272" customFormat="false" ht="15" hidden="false" customHeight="false" outlineLevel="0" collapsed="false">
      <c r="F3272" s="41" t="str">
        <f aca="false">IF(E3272="","",IFERROR(VLOOKUP(E3272,Assumptions!$G$5:$H$16,2,0),"Other"))</f>
        <v/>
      </c>
      <c r="J3272" s="41" t="str">
        <f aca="false">IF(G3272="","",IFERROR(IF(ISNUMBER(SEARCH(Assumptions!$C$5,G3272)),Assumptions!$D$5,IF(ISNUMBER(SEARCH(Assumptions!$C$6,G3272)),Assumptions!$D$6,IF(ISNUMBER(SEARCH(Assumptions!$C$7,G3272)),Assumptions!$D$7,"Other Services"))),"Other Services"))</f>
        <v/>
      </c>
    </row>
    <row r="3273" customFormat="false" ht="15" hidden="false" customHeight="false" outlineLevel="0" collapsed="false">
      <c r="F3273" s="41" t="str">
        <f aca="false">IF(E3273="","",IFERROR(VLOOKUP(E3273,Assumptions!$G$5:$H$16,2,0),"Other"))</f>
        <v/>
      </c>
      <c r="J3273" s="41" t="str">
        <f aca="false">IF(G3273="","",IFERROR(IF(ISNUMBER(SEARCH(Assumptions!$C$5,G3273)),Assumptions!$D$5,IF(ISNUMBER(SEARCH(Assumptions!$C$6,G3273)),Assumptions!$D$6,IF(ISNUMBER(SEARCH(Assumptions!$C$7,G3273)),Assumptions!$D$7,"Other Services"))),"Other Services"))</f>
        <v/>
      </c>
    </row>
    <row r="3274" customFormat="false" ht="15" hidden="false" customHeight="false" outlineLevel="0" collapsed="false">
      <c r="F3274" s="41" t="str">
        <f aca="false">IF(E3274="","",IFERROR(VLOOKUP(E3274,Assumptions!$G$5:$H$16,2,0),"Other"))</f>
        <v/>
      </c>
      <c r="J3274" s="41" t="str">
        <f aca="false">IF(G3274="","",IFERROR(IF(ISNUMBER(SEARCH(Assumptions!$C$5,G3274)),Assumptions!$D$5,IF(ISNUMBER(SEARCH(Assumptions!$C$6,G3274)),Assumptions!$D$6,IF(ISNUMBER(SEARCH(Assumptions!$C$7,G3274)),Assumptions!$D$7,"Other Services"))),"Other Services"))</f>
        <v/>
      </c>
    </row>
    <row r="3275" customFormat="false" ht="15" hidden="false" customHeight="false" outlineLevel="0" collapsed="false">
      <c r="F3275" s="41" t="str">
        <f aca="false">IF(E3275="","",IFERROR(VLOOKUP(E3275,Assumptions!$G$5:$H$16,2,0),"Other"))</f>
        <v/>
      </c>
      <c r="J3275" s="41" t="str">
        <f aca="false">IF(G3275="","",IFERROR(IF(ISNUMBER(SEARCH(Assumptions!$C$5,G3275)),Assumptions!$D$5,IF(ISNUMBER(SEARCH(Assumptions!$C$6,G3275)),Assumptions!$D$6,IF(ISNUMBER(SEARCH(Assumptions!$C$7,G3275)),Assumptions!$D$7,"Other Services"))),"Other Services"))</f>
        <v/>
      </c>
    </row>
    <row r="3276" customFormat="false" ht="15" hidden="false" customHeight="false" outlineLevel="0" collapsed="false">
      <c r="F3276" s="41" t="str">
        <f aca="false">IF(E3276="","",IFERROR(VLOOKUP(E3276,Assumptions!$G$5:$H$16,2,0),"Other"))</f>
        <v/>
      </c>
      <c r="J3276" s="41" t="str">
        <f aca="false">IF(G3276="","",IFERROR(IF(ISNUMBER(SEARCH(Assumptions!$C$5,G3276)),Assumptions!$D$5,IF(ISNUMBER(SEARCH(Assumptions!$C$6,G3276)),Assumptions!$D$6,IF(ISNUMBER(SEARCH(Assumptions!$C$7,G3276)),Assumptions!$D$7,"Other Services"))),"Other Services"))</f>
        <v/>
      </c>
    </row>
    <row r="3277" customFormat="false" ht="15" hidden="false" customHeight="false" outlineLevel="0" collapsed="false">
      <c r="F3277" s="41" t="str">
        <f aca="false">IF(E3277="","",IFERROR(VLOOKUP(E3277,Assumptions!$G$5:$H$16,2,0),"Other"))</f>
        <v/>
      </c>
      <c r="J3277" s="41" t="str">
        <f aca="false">IF(G3277="","",IFERROR(IF(ISNUMBER(SEARCH(Assumptions!$C$5,G3277)),Assumptions!$D$5,IF(ISNUMBER(SEARCH(Assumptions!$C$6,G3277)),Assumptions!$D$6,IF(ISNUMBER(SEARCH(Assumptions!$C$7,G3277)),Assumptions!$D$7,"Other Services"))),"Other Services"))</f>
        <v/>
      </c>
    </row>
    <row r="3278" customFormat="false" ht="15" hidden="false" customHeight="false" outlineLevel="0" collapsed="false">
      <c r="F3278" s="41" t="str">
        <f aca="false">IF(E3278="","",IFERROR(VLOOKUP(E3278,Assumptions!$G$5:$H$16,2,0),"Other"))</f>
        <v/>
      </c>
      <c r="J3278" s="41" t="str">
        <f aca="false">IF(G3278="","",IFERROR(IF(ISNUMBER(SEARCH(Assumptions!$C$5,G3278)),Assumptions!$D$5,IF(ISNUMBER(SEARCH(Assumptions!$C$6,G3278)),Assumptions!$D$6,IF(ISNUMBER(SEARCH(Assumptions!$C$7,G3278)),Assumptions!$D$7,"Other Services"))),"Other Services"))</f>
        <v/>
      </c>
    </row>
    <row r="3279" customFormat="false" ht="15" hidden="false" customHeight="false" outlineLevel="0" collapsed="false">
      <c r="F3279" s="41" t="str">
        <f aca="false">IF(E3279="","",IFERROR(VLOOKUP(E3279,Assumptions!$G$5:$H$16,2,0),"Other"))</f>
        <v/>
      </c>
      <c r="J3279" s="41" t="str">
        <f aca="false">IF(G3279="","",IFERROR(IF(ISNUMBER(SEARCH(Assumptions!$C$5,G3279)),Assumptions!$D$5,IF(ISNUMBER(SEARCH(Assumptions!$C$6,G3279)),Assumptions!$D$6,IF(ISNUMBER(SEARCH(Assumptions!$C$7,G3279)),Assumptions!$D$7,"Other Services"))),"Other Services"))</f>
        <v/>
      </c>
    </row>
    <row r="3280" customFormat="false" ht="15" hidden="false" customHeight="false" outlineLevel="0" collapsed="false">
      <c r="F3280" s="41" t="str">
        <f aca="false">IF(E3280="","",IFERROR(VLOOKUP(E3280,Assumptions!$G$5:$H$16,2,0),"Other"))</f>
        <v/>
      </c>
      <c r="J3280" s="41" t="str">
        <f aca="false">IF(G3280="","",IFERROR(IF(ISNUMBER(SEARCH(Assumptions!$C$5,G3280)),Assumptions!$D$5,IF(ISNUMBER(SEARCH(Assumptions!$C$6,G3280)),Assumptions!$D$6,IF(ISNUMBER(SEARCH(Assumptions!$C$7,G3280)),Assumptions!$D$7,"Other Services"))),"Other Services"))</f>
        <v/>
      </c>
    </row>
    <row r="3281" customFormat="false" ht="15" hidden="false" customHeight="false" outlineLevel="0" collapsed="false">
      <c r="F3281" s="41" t="str">
        <f aca="false">IF(E3281="","",IFERROR(VLOOKUP(E3281,Assumptions!$G$5:$H$16,2,0),"Other"))</f>
        <v/>
      </c>
      <c r="J3281" s="41" t="str">
        <f aca="false">IF(G3281="","",IFERROR(IF(ISNUMBER(SEARCH(Assumptions!$C$5,G3281)),Assumptions!$D$5,IF(ISNUMBER(SEARCH(Assumptions!$C$6,G3281)),Assumptions!$D$6,IF(ISNUMBER(SEARCH(Assumptions!$C$7,G3281)),Assumptions!$D$7,"Other Services"))),"Other Services"))</f>
        <v/>
      </c>
    </row>
    <row r="3282" customFormat="false" ht="15" hidden="false" customHeight="false" outlineLevel="0" collapsed="false">
      <c r="F3282" s="41" t="str">
        <f aca="false">IF(E3282="","",IFERROR(VLOOKUP(E3282,Assumptions!$G$5:$H$16,2,0),"Other"))</f>
        <v/>
      </c>
      <c r="J3282" s="41" t="str">
        <f aca="false">IF(G3282="","",IFERROR(IF(ISNUMBER(SEARCH(Assumptions!$C$5,G3282)),Assumptions!$D$5,IF(ISNUMBER(SEARCH(Assumptions!$C$6,G3282)),Assumptions!$D$6,IF(ISNUMBER(SEARCH(Assumptions!$C$7,G3282)),Assumptions!$D$7,"Other Services"))),"Other Services"))</f>
        <v/>
      </c>
    </row>
    <row r="3283" customFormat="false" ht="15" hidden="false" customHeight="false" outlineLevel="0" collapsed="false">
      <c r="F3283" s="41" t="str">
        <f aca="false">IF(E3283="","",IFERROR(VLOOKUP(E3283,Assumptions!$G$5:$H$16,2,0),"Other"))</f>
        <v/>
      </c>
      <c r="J3283" s="41" t="str">
        <f aca="false">IF(G3283="","",IFERROR(IF(ISNUMBER(SEARCH(Assumptions!$C$5,G3283)),Assumptions!$D$5,IF(ISNUMBER(SEARCH(Assumptions!$C$6,G3283)),Assumptions!$D$6,IF(ISNUMBER(SEARCH(Assumptions!$C$7,G3283)),Assumptions!$D$7,"Other Services"))),"Other Services"))</f>
        <v/>
      </c>
    </row>
    <row r="3284" customFormat="false" ht="15" hidden="false" customHeight="false" outlineLevel="0" collapsed="false">
      <c r="F3284" s="41" t="str">
        <f aca="false">IF(E3284="","",IFERROR(VLOOKUP(E3284,Assumptions!$G$5:$H$16,2,0),"Other"))</f>
        <v/>
      </c>
      <c r="J3284" s="41" t="str">
        <f aca="false">IF(G3284="","",IFERROR(IF(ISNUMBER(SEARCH(Assumptions!$C$5,G3284)),Assumptions!$D$5,IF(ISNUMBER(SEARCH(Assumptions!$C$6,G3284)),Assumptions!$D$6,IF(ISNUMBER(SEARCH(Assumptions!$C$7,G3284)),Assumptions!$D$7,"Other Services"))),"Other Services"))</f>
        <v/>
      </c>
    </row>
    <row r="3285" customFormat="false" ht="15" hidden="false" customHeight="false" outlineLevel="0" collapsed="false">
      <c r="F3285" s="41" t="str">
        <f aca="false">IF(E3285="","",IFERROR(VLOOKUP(E3285,Assumptions!$G$5:$H$16,2,0),"Other"))</f>
        <v/>
      </c>
      <c r="J3285" s="41" t="str">
        <f aca="false">IF(G3285="","",IFERROR(IF(ISNUMBER(SEARCH(Assumptions!$C$5,G3285)),Assumptions!$D$5,IF(ISNUMBER(SEARCH(Assumptions!$C$6,G3285)),Assumptions!$D$6,IF(ISNUMBER(SEARCH(Assumptions!$C$7,G3285)),Assumptions!$D$7,"Other Services"))),"Other Services"))</f>
        <v/>
      </c>
    </row>
    <row r="3286" customFormat="false" ht="15" hidden="false" customHeight="false" outlineLevel="0" collapsed="false">
      <c r="F3286" s="41" t="str">
        <f aca="false">IF(E3286="","",IFERROR(VLOOKUP(E3286,Assumptions!$G$5:$H$16,2,0),"Other"))</f>
        <v/>
      </c>
      <c r="J3286" s="41" t="str">
        <f aca="false">IF(G3286="","",IFERROR(IF(ISNUMBER(SEARCH(Assumptions!$C$5,G3286)),Assumptions!$D$5,IF(ISNUMBER(SEARCH(Assumptions!$C$6,G3286)),Assumptions!$D$6,IF(ISNUMBER(SEARCH(Assumptions!$C$7,G3286)),Assumptions!$D$7,"Other Services"))),"Other Services"))</f>
        <v/>
      </c>
    </row>
    <row r="3287" customFormat="false" ht="15" hidden="false" customHeight="false" outlineLevel="0" collapsed="false">
      <c r="F3287" s="41" t="str">
        <f aca="false">IF(E3287="","",IFERROR(VLOOKUP(E3287,Assumptions!$G$5:$H$16,2,0),"Other"))</f>
        <v/>
      </c>
      <c r="J3287" s="41" t="str">
        <f aca="false">IF(G3287="","",IFERROR(IF(ISNUMBER(SEARCH(Assumptions!$C$5,G3287)),Assumptions!$D$5,IF(ISNUMBER(SEARCH(Assumptions!$C$6,G3287)),Assumptions!$D$6,IF(ISNUMBER(SEARCH(Assumptions!$C$7,G3287)),Assumptions!$D$7,"Other Services"))),"Other Services"))</f>
        <v/>
      </c>
    </row>
    <row r="3288" customFormat="false" ht="15" hidden="false" customHeight="false" outlineLevel="0" collapsed="false">
      <c r="F3288" s="41" t="str">
        <f aca="false">IF(E3288="","",IFERROR(VLOOKUP(E3288,Assumptions!$G$5:$H$16,2,0),"Other"))</f>
        <v/>
      </c>
      <c r="J3288" s="41" t="str">
        <f aca="false">IF(G3288="","",IFERROR(IF(ISNUMBER(SEARCH(Assumptions!$C$5,G3288)),Assumptions!$D$5,IF(ISNUMBER(SEARCH(Assumptions!$C$6,G3288)),Assumptions!$D$6,IF(ISNUMBER(SEARCH(Assumptions!$C$7,G3288)),Assumptions!$D$7,"Other Services"))),"Other Services"))</f>
        <v/>
      </c>
    </row>
    <row r="3289" customFormat="false" ht="15" hidden="false" customHeight="false" outlineLevel="0" collapsed="false">
      <c r="F3289" s="41" t="str">
        <f aca="false">IF(E3289="","",IFERROR(VLOOKUP(E3289,Assumptions!$G$5:$H$16,2,0),"Other"))</f>
        <v/>
      </c>
      <c r="J3289" s="41" t="str">
        <f aca="false">IF(G3289="","",IFERROR(IF(ISNUMBER(SEARCH(Assumptions!$C$5,G3289)),Assumptions!$D$5,IF(ISNUMBER(SEARCH(Assumptions!$C$6,G3289)),Assumptions!$D$6,IF(ISNUMBER(SEARCH(Assumptions!$C$7,G3289)),Assumptions!$D$7,"Other Services"))),"Other Services"))</f>
        <v/>
      </c>
    </row>
    <row r="3290" customFormat="false" ht="15" hidden="false" customHeight="false" outlineLevel="0" collapsed="false">
      <c r="F3290" s="41" t="str">
        <f aca="false">IF(E3290="","",IFERROR(VLOOKUP(E3290,Assumptions!$G$5:$H$16,2,0),"Other"))</f>
        <v/>
      </c>
      <c r="J3290" s="41" t="str">
        <f aca="false">IF(G3290="","",IFERROR(IF(ISNUMBER(SEARCH(Assumptions!$C$5,G3290)),Assumptions!$D$5,IF(ISNUMBER(SEARCH(Assumptions!$C$6,G3290)),Assumptions!$D$6,IF(ISNUMBER(SEARCH(Assumptions!$C$7,G3290)),Assumptions!$D$7,"Other Services"))),"Other Services"))</f>
        <v/>
      </c>
    </row>
    <row r="3291" customFormat="false" ht="15" hidden="false" customHeight="false" outlineLevel="0" collapsed="false">
      <c r="F3291" s="41" t="str">
        <f aca="false">IF(E3291="","",IFERROR(VLOOKUP(E3291,Assumptions!$G$5:$H$16,2,0),"Other"))</f>
        <v/>
      </c>
      <c r="J3291" s="41" t="str">
        <f aca="false">IF(G3291="","",IFERROR(IF(ISNUMBER(SEARCH(Assumptions!$C$5,G3291)),Assumptions!$D$5,IF(ISNUMBER(SEARCH(Assumptions!$C$6,G3291)),Assumptions!$D$6,IF(ISNUMBER(SEARCH(Assumptions!$C$7,G3291)),Assumptions!$D$7,"Other Services"))),"Other Services"))</f>
        <v/>
      </c>
    </row>
    <row r="3292" customFormat="false" ht="15" hidden="false" customHeight="false" outlineLevel="0" collapsed="false">
      <c r="F3292" s="41" t="str">
        <f aca="false">IF(E3292="","",IFERROR(VLOOKUP(E3292,Assumptions!$G$5:$H$16,2,0),"Other"))</f>
        <v/>
      </c>
      <c r="J3292" s="41" t="str">
        <f aca="false">IF(G3292="","",IFERROR(IF(ISNUMBER(SEARCH(Assumptions!$C$5,G3292)),Assumptions!$D$5,IF(ISNUMBER(SEARCH(Assumptions!$C$6,G3292)),Assumptions!$D$6,IF(ISNUMBER(SEARCH(Assumptions!$C$7,G3292)),Assumptions!$D$7,"Other Services"))),"Other Services"))</f>
        <v/>
      </c>
    </row>
    <row r="3293" customFormat="false" ht="15" hidden="false" customHeight="false" outlineLevel="0" collapsed="false">
      <c r="F3293" s="41" t="str">
        <f aca="false">IF(E3293="","",IFERROR(VLOOKUP(E3293,Assumptions!$G$5:$H$16,2,0),"Other"))</f>
        <v/>
      </c>
      <c r="J3293" s="41" t="str">
        <f aca="false">IF(G3293="","",IFERROR(IF(ISNUMBER(SEARCH(Assumptions!$C$5,G3293)),Assumptions!$D$5,IF(ISNUMBER(SEARCH(Assumptions!$C$6,G3293)),Assumptions!$D$6,IF(ISNUMBER(SEARCH(Assumptions!$C$7,G3293)),Assumptions!$D$7,"Other Services"))),"Other Services"))</f>
        <v/>
      </c>
    </row>
    <row r="3294" customFormat="false" ht="15" hidden="false" customHeight="false" outlineLevel="0" collapsed="false">
      <c r="F3294" s="41" t="str">
        <f aca="false">IF(E3294="","",IFERROR(VLOOKUP(E3294,Assumptions!$G$5:$H$16,2,0),"Other"))</f>
        <v/>
      </c>
      <c r="J3294" s="41" t="str">
        <f aca="false">IF(G3294="","",IFERROR(IF(ISNUMBER(SEARCH(Assumptions!$C$5,G3294)),Assumptions!$D$5,IF(ISNUMBER(SEARCH(Assumptions!$C$6,G3294)),Assumptions!$D$6,IF(ISNUMBER(SEARCH(Assumptions!$C$7,G3294)),Assumptions!$D$7,"Other Services"))),"Other Services"))</f>
        <v/>
      </c>
    </row>
    <row r="3295" customFormat="false" ht="15" hidden="false" customHeight="false" outlineLevel="0" collapsed="false">
      <c r="F3295" s="41" t="str">
        <f aca="false">IF(E3295="","",IFERROR(VLOOKUP(E3295,Assumptions!$G$5:$H$16,2,0),"Other"))</f>
        <v/>
      </c>
      <c r="J3295" s="41" t="str">
        <f aca="false">IF(G3295="","",IFERROR(IF(ISNUMBER(SEARCH(Assumptions!$C$5,G3295)),Assumptions!$D$5,IF(ISNUMBER(SEARCH(Assumptions!$C$6,G3295)),Assumptions!$D$6,IF(ISNUMBER(SEARCH(Assumptions!$C$7,G3295)),Assumptions!$D$7,"Other Services"))),"Other Services"))</f>
        <v/>
      </c>
    </row>
    <row r="3296" customFormat="false" ht="15" hidden="false" customHeight="false" outlineLevel="0" collapsed="false">
      <c r="F3296" s="41" t="str">
        <f aca="false">IF(E3296="","",IFERROR(VLOOKUP(E3296,Assumptions!$G$5:$H$16,2,0),"Other"))</f>
        <v/>
      </c>
      <c r="J3296" s="41" t="str">
        <f aca="false">IF(G3296="","",IFERROR(IF(ISNUMBER(SEARCH(Assumptions!$C$5,G3296)),Assumptions!$D$5,IF(ISNUMBER(SEARCH(Assumptions!$C$6,G3296)),Assumptions!$D$6,IF(ISNUMBER(SEARCH(Assumptions!$C$7,G3296)),Assumptions!$D$7,"Other Services"))),"Other Services"))</f>
        <v/>
      </c>
    </row>
    <row r="3297" customFormat="false" ht="15" hidden="false" customHeight="false" outlineLevel="0" collapsed="false">
      <c r="F3297" s="41" t="str">
        <f aca="false">IF(E3297="","",IFERROR(VLOOKUP(E3297,Assumptions!$G$5:$H$16,2,0),"Other"))</f>
        <v/>
      </c>
      <c r="J3297" s="41" t="str">
        <f aca="false">IF(G3297="","",IFERROR(IF(ISNUMBER(SEARCH(Assumptions!$C$5,G3297)),Assumptions!$D$5,IF(ISNUMBER(SEARCH(Assumptions!$C$6,G3297)),Assumptions!$D$6,IF(ISNUMBER(SEARCH(Assumptions!$C$7,G3297)),Assumptions!$D$7,"Other Services"))),"Other Services"))</f>
        <v/>
      </c>
    </row>
    <row r="3298" customFormat="false" ht="15" hidden="false" customHeight="false" outlineLevel="0" collapsed="false">
      <c r="F3298" s="41" t="str">
        <f aca="false">IF(E3298="","",IFERROR(VLOOKUP(E3298,Assumptions!$G$5:$H$16,2,0),"Other"))</f>
        <v/>
      </c>
      <c r="J3298" s="41" t="str">
        <f aca="false">IF(G3298="","",IFERROR(IF(ISNUMBER(SEARCH(Assumptions!$C$5,G3298)),Assumptions!$D$5,IF(ISNUMBER(SEARCH(Assumptions!$C$6,G3298)),Assumptions!$D$6,IF(ISNUMBER(SEARCH(Assumptions!$C$7,G3298)),Assumptions!$D$7,"Other Services"))),"Other Services"))</f>
        <v/>
      </c>
    </row>
    <row r="3299" customFormat="false" ht="15" hidden="false" customHeight="false" outlineLevel="0" collapsed="false">
      <c r="F3299" s="41" t="str">
        <f aca="false">IF(E3299="","",IFERROR(VLOOKUP(E3299,Assumptions!$G$5:$H$16,2,0),"Other"))</f>
        <v/>
      </c>
      <c r="J3299" s="41" t="str">
        <f aca="false">IF(G3299="","",IFERROR(IF(ISNUMBER(SEARCH(Assumptions!$C$5,G3299)),Assumptions!$D$5,IF(ISNUMBER(SEARCH(Assumptions!$C$6,G3299)),Assumptions!$D$6,IF(ISNUMBER(SEARCH(Assumptions!$C$7,G3299)),Assumptions!$D$7,"Other Services"))),"Other Services"))</f>
        <v/>
      </c>
    </row>
    <row r="3300" customFormat="false" ht="15" hidden="false" customHeight="false" outlineLevel="0" collapsed="false">
      <c r="F3300" s="41" t="str">
        <f aca="false">IF(E3300="","",IFERROR(VLOOKUP(E3300,Assumptions!$G$5:$H$16,2,0),"Other"))</f>
        <v/>
      </c>
      <c r="J3300" s="41" t="str">
        <f aca="false">IF(G3300="","",IFERROR(IF(ISNUMBER(SEARCH(Assumptions!$C$5,G3300)),Assumptions!$D$5,IF(ISNUMBER(SEARCH(Assumptions!$C$6,G3300)),Assumptions!$D$6,IF(ISNUMBER(SEARCH(Assumptions!$C$7,G3300)),Assumptions!$D$7,"Other Services"))),"Other Services"))</f>
        <v/>
      </c>
    </row>
    <row r="3301" customFormat="false" ht="15" hidden="false" customHeight="false" outlineLevel="0" collapsed="false">
      <c r="F3301" s="41" t="str">
        <f aca="false">IF(E3301="","",IFERROR(VLOOKUP(E3301,Assumptions!$G$5:$H$16,2,0),"Other"))</f>
        <v/>
      </c>
      <c r="J3301" s="41" t="str">
        <f aca="false">IF(G3301="","",IFERROR(IF(ISNUMBER(SEARCH(Assumptions!$C$5,G3301)),Assumptions!$D$5,IF(ISNUMBER(SEARCH(Assumptions!$C$6,G3301)),Assumptions!$D$6,IF(ISNUMBER(SEARCH(Assumptions!$C$7,G3301)),Assumptions!$D$7,"Other Services"))),"Other Services"))</f>
        <v/>
      </c>
    </row>
    <row r="3302" customFormat="false" ht="15" hidden="false" customHeight="false" outlineLevel="0" collapsed="false">
      <c r="F3302" s="41" t="str">
        <f aca="false">IF(E3302="","",IFERROR(VLOOKUP(E3302,Assumptions!$G$5:$H$16,2,0),"Other"))</f>
        <v/>
      </c>
      <c r="J3302" s="41" t="str">
        <f aca="false">IF(G3302="","",IFERROR(IF(ISNUMBER(SEARCH(Assumptions!$C$5,G3302)),Assumptions!$D$5,IF(ISNUMBER(SEARCH(Assumptions!$C$6,G3302)),Assumptions!$D$6,IF(ISNUMBER(SEARCH(Assumptions!$C$7,G3302)),Assumptions!$D$7,"Other Services"))),"Other Services"))</f>
        <v/>
      </c>
    </row>
    <row r="3303" customFormat="false" ht="15" hidden="false" customHeight="false" outlineLevel="0" collapsed="false">
      <c r="F3303" s="41" t="str">
        <f aca="false">IF(E3303="","",IFERROR(VLOOKUP(E3303,Assumptions!$G$5:$H$16,2,0),"Other"))</f>
        <v/>
      </c>
      <c r="J3303" s="41" t="str">
        <f aca="false">IF(G3303="","",IFERROR(IF(ISNUMBER(SEARCH(Assumptions!$C$5,G3303)),Assumptions!$D$5,IF(ISNUMBER(SEARCH(Assumptions!$C$6,G3303)),Assumptions!$D$6,IF(ISNUMBER(SEARCH(Assumptions!$C$7,G3303)),Assumptions!$D$7,"Other Services"))),"Other Services"))</f>
        <v/>
      </c>
    </row>
    <row r="3304" customFormat="false" ht="15" hidden="false" customHeight="false" outlineLevel="0" collapsed="false">
      <c r="F3304" s="41" t="str">
        <f aca="false">IF(E3304="","",IFERROR(VLOOKUP(E3304,Assumptions!$G$5:$H$16,2,0),"Other"))</f>
        <v/>
      </c>
      <c r="J3304" s="41" t="str">
        <f aca="false">IF(G3304="","",IFERROR(IF(ISNUMBER(SEARCH(Assumptions!$C$5,G3304)),Assumptions!$D$5,IF(ISNUMBER(SEARCH(Assumptions!$C$6,G3304)),Assumptions!$D$6,IF(ISNUMBER(SEARCH(Assumptions!$C$7,G3304)),Assumptions!$D$7,"Other Services"))),"Other Services"))</f>
        <v/>
      </c>
    </row>
    <row r="3305" customFormat="false" ht="15" hidden="false" customHeight="false" outlineLevel="0" collapsed="false">
      <c r="F3305" s="41" t="str">
        <f aca="false">IF(E3305="","",IFERROR(VLOOKUP(E3305,Assumptions!$G$5:$H$16,2,0),"Other"))</f>
        <v/>
      </c>
      <c r="J3305" s="41" t="str">
        <f aca="false">IF(G3305="","",IFERROR(IF(ISNUMBER(SEARCH(Assumptions!$C$5,G3305)),Assumptions!$D$5,IF(ISNUMBER(SEARCH(Assumptions!$C$6,G3305)),Assumptions!$D$6,IF(ISNUMBER(SEARCH(Assumptions!$C$7,G3305)),Assumptions!$D$7,"Other Services"))),"Other Services"))</f>
        <v/>
      </c>
    </row>
    <row r="3306" customFormat="false" ht="15" hidden="false" customHeight="false" outlineLevel="0" collapsed="false">
      <c r="F3306" s="41" t="str">
        <f aca="false">IF(E3306="","",IFERROR(VLOOKUP(E3306,Assumptions!$G$5:$H$16,2,0),"Other"))</f>
        <v/>
      </c>
      <c r="J3306" s="41" t="str">
        <f aca="false">IF(G3306="","",IFERROR(IF(ISNUMBER(SEARCH(Assumptions!$C$5,G3306)),Assumptions!$D$5,IF(ISNUMBER(SEARCH(Assumptions!$C$6,G3306)),Assumptions!$D$6,IF(ISNUMBER(SEARCH(Assumptions!$C$7,G3306)),Assumptions!$D$7,"Other Services"))),"Other Services"))</f>
        <v/>
      </c>
    </row>
    <row r="3307" customFormat="false" ht="15" hidden="false" customHeight="false" outlineLevel="0" collapsed="false">
      <c r="F3307" s="41" t="str">
        <f aca="false">IF(E3307="","",IFERROR(VLOOKUP(E3307,Assumptions!$G$5:$H$16,2,0),"Other"))</f>
        <v/>
      </c>
      <c r="J3307" s="41" t="str">
        <f aca="false">IF(G3307="","",IFERROR(IF(ISNUMBER(SEARCH(Assumptions!$C$5,G3307)),Assumptions!$D$5,IF(ISNUMBER(SEARCH(Assumptions!$C$6,G3307)),Assumptions!$D$6,IF(ISNUMBER(SEARCH(Assumptions!$C$7,G3307)),Assumptions!$D$7,"Other Services"))),"Other Services"))</f>
        <v/>
      </c>
    </row>
    <row r="3308" customFormat="false" ht="15" hidden="false" customHeight="false" outlineLevel="0" collapsed="false">
      <c r="F3308" s="41" t="str">
        <f aca="false">IF(E3308="","",IFERROR(VLOOKUP(E3308,Assumptions!$G$5:$H$16,2,0),"Other"))</f>
        <v/>
      </c>
      <c r="J3308" s="41" t="str">
        <f aca="false">IF(G3308="","",IFERROR(IF(ISNUMBER(SEARCH(Assumptions!$C$5,G3308)),Assumptions!$D$5,IF(ISNUMBER(SEARCH(Assumptions!$C$6,G3308)),Assumptions!$D$6,IF(ISNUMBER(SEARCH(Assumptions!$C$7,G3308)),Assumptions!$D$7,"Other Services"))),"Other Services"))</f>
        <v/>
      </c>
    </row>
    <row r="3309" customFormat="false" ht="15" hidden="false" customHeight="false" outlineLevel="0" collapsed="false">
      <c r="F3309" s="41" t="str">
        <f aca="false">IF(E3309="","",IFERROR(VLOOKUP(E3309,Assumptions!$G$5:$H$16,2,0),"Other"))</f>
        <v/>
      </c>
      <c r="J3309" s="41" t="str">
        <f aca="false">IF(G3309="","",IFERROR(IF(ISNUMBER(SEARCH(Assumptions!$C$5,G3309)),Assumptions!$D$5,IF(ISNUMBER(SEARCH(Assumptions!$C$6,G3309)),Assumptions!$D$6,IF(ISNUMBER(SEARCH(Assumptions!$C$7,G3309)),Assumptions!$D$7,"Other Services"))),"Other Services"))</f>
        <v/>
      </c>
    </row>
    <row r="3310" customFormat="false" ht="15" hidden="false" customHeight="false" outlineLevel="0" collapsed="false">
      <c r="F3310" s="41" t="str">
        <f aca="false">IF(E3310="","",IFERROR(VLOOKUP(E3310,Assumptions!$G$5:$H$16,2,0),"Other"))</f>
        <v/>
      </c>
      <c r="J3310" s="41" t="str">
        <f aca="false">IF(G3310="","",IFERROR(IF(ISNUMBER(SEARCH(Assumptions!$C$5,G3310)),Assumptions!$D$5,IF(ISNUMBER(SEARCH(Assumptions!$C$6,G3310)),Assumptions!$D$6,IF(ISNUMBER(SEARCH(Assumptions!$C$7,G3310)),Assumptions!$D$7,"Other Services"))),"Other Services"))</f>
        <v/>
      </c>
    </row>
    <row r="3311" customFormat="false" ht="15" hidden="false" customHeight="false" outlineLevel="0" collapsed="false">
      <c r="F3311" s="41" t="str">
        <f aca="false">IF(E3311="","",IFERROR(VLOOKUP(E3311,Assumptions!$G$5:$H$16,2,0),"Other"))</f>
        <v/>
      </c>
      <c r="J3311" s="41" t="str">
        <f aca="false">IF(G3311="","",IFERROR(IF(ISNUMBER(SEARCH(Assumptions!$C$5,G3311)),Assumptions!$D$5,IF(ISNUMBER(SEARCH(Assumptions!$C$6,G3311)),Assumptions!$D$6,IF(ISNUMBER(SEARCH(Assumptions!$C$7,G3311)),Assumptions!$D$7,"Other Services"))),"Other Services"))</f>
        <v/>
      </c>
    </row>
    <row r="3312" customFormat="false" ht="15" hidden="false" customHeight="false" outlineLevel="0" collapsed="false">
      <c r="F3312" s="41" t="str">
        <f aca="false">IF(E3312="","",IFERROR(VLOOKUP(E3312,Assumptions!$G$5:$H$16,2,0),"Other"))</f>
        <v/>
      </c>
      <c r="J3312" s="41" t="str">
        <f aca="false">IF(G3312="","",IFERROR(IF(ISNUMBER(SEARCH(Assumptions!$C$5,G3312)),Assumptions!$D$5,IF(ISNUMBER(SEARCH(Assumptions!$C$6,G3312)),Assumptions!$D$6,IF(ISNUMBER(SEARCH(Assumptions!$C$7,G3312)),Assumptions!$D$7,"Other Services"))),"Other Services"))</f>
        <v/>
      </c>
    </row>
    <row r="3313" customFormat="false" ht="15" hidden="false" customHeight="false" outlineLevel="0" collapsed="false">
      <c r="F3313" s="41" t="str">
        <f aca="false">IF(E3313="","",IFERROR(VLOOKUP(E3313,Assumptions!$G$5:$H$16,2,0),"Other"))</f>
        <v/>
      </c>
      <c r="J3313" s="41" t="str">
        <f aca="false">IF(G3313="","",IFERROR(IF(ISNUMBER(SEARCH(Assumptions!$C$5,G3313)),Assumptions!$D$5,IF(ISNUMBER(SEARCH(Assumptions!$C$6,G3313)),Assumptions!$D$6,IF(ISNUMBER(SEARCH(Assumptions!$C$7,G3313)),Assumptions!$D$7,"Other Services"))),"Other Services"))</f>
        <v/>
      </c>
    </row>
    <row r="3314" customFormat="false" ht="15" hidden="false" customHeight="false" outlineLevel="0" collapsed="false">
      <c r="F3314" s="41" t="str">
        <f aca="false">IF(E3314="","",IFERROR(VLOOKUP(E3314,Assumptions!$G$5:$H$16,2,0),"Other"))</f>
        <v/>
      </c>
      <c r="J3314" s="41" t="str">
        <f aca="false">IF(G3314="","",IFERROR(IF(ISNUMBER(SEARCH(Assumptions!$C$5,G3314)),Assumptions!$D$5,IF(ISNUMBER(SEARCH(Assumptions!$C$6,G3314)),Assumptions!$D$6,IF(ISNUMBER(SEARCH(Assumptions!$C$7,G3314)),Assumptions!$D$7,"Other Services"))),"Other Services"))</f>
        <v/>
      </c>
    </row>
    <row r="3315" customFormat="false" ht="15" hidden="false" customHeight="false" outlineLevel="0" collapsed="false">
      <c r="F3315" s="41" t="str">
        <f aca="false">IF(E3315="","",IFERROR(VLOOKUP(E3315,Assumptions!$G$5:$H$16,2,0),"Other"))</f>
        <v/>
      </c>
      <c r="J3315" s="41" t="str">
        <f aca="false">IF(G3315="","",IFERROR(IF(ISNUMBER(SEARCH(Assumptions!$C$5,G3315)),Assumptions!$D$5,IF(ISNUMBER(SEARCH(Assumptions!$C$6,G3315)),Assumptions!$D$6,IF(ISNUMBER(SEARCH(Assumptions!$C$7,G3315)),Assumptions!$D$7,"Other Services"))),"Other Services"))</f>
        <v/>
      </c>
    </row>
    <row r="3316" customFormat="false" ht="15" hidden="false" customHeight="false" outlineLevel="0" collapsed="false">
      <c r="F3316" s="41" t="str">
        <f aca="false">IF(E3316="","",IFERROR(VLOOKUP(E3316,Assumptions!$G$5:$H$16,2,0),"Other"))</f>
        <v/>
      </c>
      <c r="J3316" s="41" t="str">
        <f aca="false">IF(G3316="","",IFERROR(IF(ISNUMBER(SEARCH(Assumptions!$C$5,G3316)),Assumptions!$D$5,IF(ISNUMBER(SEARCH(Assumptions!$C$6,G3316)),Assumptions!$D$6,IF(ISNUMBER(SEARCH(Assumptions!$C$7,G3316)),Assumptions!$D$7,"Other Services"))),"Other Services"))</f>
        <v/>
      </c>
    </row>
    <row r="3317" customFormat="false" ht="15" hidden="false" customHeight="false" outlineLevel="0" collapsed="false">
      <c r="F3317" s="41" t="str">
        <f aca="false">IF(E3317="","",IFERROR(VLOOKUP(E3317,Assumptions!$G$5:$H$16,2,0),"Other"))</f>
        <v/>
      </c>
      <c r="J3317" s="41" t="str">
        <f aca="false">IF(G3317="","",IFERROR(IF(ISNUMBER(SEARCH(Assumptions!$C$5,G3317)),Assumptions!$D$5,IF(ISNUMBER(SEARCH(Assumptions!$C$6,G3317)),Assumptions!$D$6,IF(ISNUMBER(SEARCH(Assumptions!$C$7,G3317)),Assumptions!$D$7,"Other Services"))),"Other Services"))</f>
        <v/>
      </c>
    </row>
    <row r="3318" customFormat="false" ht="15" hidden="false" customHeight="false" outlineLevel="0" collapsed="false">
      <c r="F3318" s="41" t="str">
        <f aca="false">IF(E3318="","",IFERROR(VLOOKUP(E3318,Assumptions!$G$5:$H$16,2,0),"Other"))</f>
        <v/>
      </c>
      <c r="J3318" s="41" t="str">
        <f aca="false">IF(G3318="","",IFERROR(IF(ISNUMBER(SEARCH(Assumptions!$C$5,G3318)),Assumptions!$D$5,IF(ISNUMBER(SEARCH(Assumptions!$C$6,G3318)),Assumptions!$D$6,IF(ISNUMBER(SEARCH(Assumptions!$C$7,G3318)),Assumptions!$D$7,"Other Services"))),"Other Services"))</f>
        <v/>
      </c>
    </row>
    <row r="3319" customFormat="false" ht="15" hidden="false" customHeight="false" outlineLevel="0" collapsed="false">
      <c r="F3319" s="41" t="str">
        <f aca="false">IF(E3319="","",IFERROR(VLOOKUP(E3319,Assumptions!$G$5:$H$16,2,0),"Other"))</f>
        <v/>
      </c>
      <c r="J3319" s="41" t="str">
        <f aca="false">IF(G3319="","",IFERROR(IF(ISNUMBER(SEARCH(Assumptions!$C$5,G3319)),Assumptions!$D$5,IF(ISNUMBER(SEARCH(Assumptions!$C$6,G3319)),Assumptions!$D$6,IF(ISNUMBER(SEARCH(Assumptions!$C$7,G3319)),Assumptions!$D$7,"Other Services"))),"Other Services"))</f>
        <v/>
      </c>
    </row>
    <row r="3320" customFormat="false" ht="15" hidden="false" customHeight="false" outlineLevel="0" collapsed="false">
      <c r="F3320" s="41" t="str">
        <f aca="false">IF(E3320="","",IFERROR(VLOOKUP(E3320,Assumptions!$G$5:$H$16,2,0),"Other"))</f>
        <v/>
      </c>
      <c r="J3320" s="41" t="str">
        <f aca="false">IF(G3320="","",IFERROR(IF(ISNUMBER(SEARCH(Assumptions!$C$5,G3320)),Assumptions!$D$5,IF(ISNUMBER(SEARCH(Assumptions!$C$6,G3320)),Assumptions!$D$6,IF(ISNUMBER(SEARCH(Assumptions!$C$7,G3320)),Assumptions!$D$7,"Other Services"))),"Other Services"))</f>
        <v/>
      </c>
    </row>
    <row r="3321" customFormat="false" ht="15" hidden="false" customHeight="false" outlineLevel="0" collapsed="false">
      <c r="F3321" s="41" t="str">
        <f aca="false">IF(E3321="","",IFERROR(VLOOKUP(E3321,Assumptions!$G$5:$H$16,2,0),"Other"))</f>
        <v/>
      </c>
      <c r="J3321" s="41" t="str">
        <f aca="false">IF(G3321="","",IFERROR(IF(ISNUMBER(SEARCH(Assumptions!$C$5,G3321)),Assumptions!$D$5,IF(ISNUMBER(SEARCH(Assumptions!$C$6,G3321)),Assumptions!$D$6,IF(ISNUMBER(SEARCH(Assumptions!$C$7,G3321)),Assumptions!$D$7,"Other Services"))),"Other Services"))</f>
        <v/>
      </c>
    </row>
    <row r="3322" customFormat="false" ht="15" hidden="false" customHeight="false" outlineLevel="0" collapsed="false">
      <c r="F3322" s="41" t="str">
        <f aca="false">IF(E3322="","",IFERROR(VLOOKUP(E3322,Assumptions!$G$5:$H$16,2,0),"Other"))</f>
        <v/>
      </c>
      <c r="J3322" s="41" t="str">
        <f aca="false">IF(G3322="","",IFERROR(IF(ISNUMBER(SEARCH(Assumptions!$C$5,G3322)),Assumptions!$D$5,IF(ISNUMBER(SEARCH(Assumptions!$C$6,G3322)),Assumptions!$D$6,IF(ISNUMBER(SEARCH(Assumptions!$C$7,G3322)),Assumptions!$D$7,"Other Services"))),"Other Services"))</f>
        <v/>
      </c>
    </row>
    <row r="3323" customFormat="false" ht="15" hidden="false" customHeight="false" outlineLevel="0" collapsed="false">
      <c r="F3323" s="41" t="str">
        <f aca="false">IF(E3323="","",IFERROR(VLOOKUP(E3323,Assumptions!$G$5:$H$16,2,0),"Other"))</f>
        <v/>
      </c>
      <c r="J3323" s="41" t="str">
        <f aca="false">IF(G3323="","",IFERROR(IF(ISNUMBER(SEARCH(Assumptions!$C$5,G3323)),Assumptions!$D$5,IF(ISNUMBER(SEARCH(Assumptions!$C$6,G3323)),Assumptions!$D$6,IF(ISNUMBER(SEARCH(Assumptions!$C$7,G3323)),Assumptions!$D$7,"Other Services"))),"Other Services"))</f>
        <v/>
      </c>
    </row>
    <row r="3324" customFormat="false" ht="15" hidden="false" customHeight="false" outlineLevel="0" collapsed="false">
      <c r="F3324" s="41" t="str">
        <f aca="false">IF(E3324="","",IFERROR(VLOOKUP(E3324,Assumptions!$G$5:$H$16,2,0),"Other"))</f>
        <v/>
      </c>
      <c r="J3324" s="41" t="str">
        <f aca="false">IF(G3324="","",IFERROR(IF(ISNUMBER(SEARCH(Assumptions!$C$5,G3324)),Assumptions!$D$5,IF(ISNUMBER(SEARCH(Assumptions!$C$6,G3324)),Assumptions!$D$6,IF(ISNUMBER(SEARCH(Assumptions!$C$7,G3324)),Assumptions!$D$7,"Other Services"))),"Other Services"))</f>
        <v/>
      </c>
    </row>
    <row r="3325" customFormat="false" ht="15" hidden="false" customHeight="false" outlineLevel="0" collapsed="false">
      <c r="F3325" s="41" t="str">
        <f aca="false">IF(E3325="","",IFERROR(VLOOKUP(E3325,Assumptions!$G$5:$H$16,2,0),"Other"))</f>
        <v/>
      </c>
      <c r="J3325" s="41" t="str">
        <f aca="false">IF(G3325="","",IFERROR(IF(ISNUMBER(SEARCH(Assumptions!$C$5,G3325)),Assumptions!$D$5,IF(ISNUMBER(SEARCH(Assumptions!$C$6,G3325)),Assumptions!$D$6,IF(ISNUMBER(SEARCH(Assumptions!$C$7,G3325)),Assumptions!$D$7,"Other Services"))),"Other Services"))</f>
        <v/>
      </c>
    </row>
    <row r="3326" customFormat="false" ht="15" hidden="false" customHeight="false" outlineLevel="0" collapsed="false">
      <c r="F3326" s="41" t="str">
        <f aca="false">IF(E3326="","",IFERROR(VLOOKUP(E3326,Assumptions!$G$5:$H$16,2,0),"Other"))</f>
        <v/>
      </c>
      <c r="J3326" s="41" t="str">
        <f aca="false">IF(G3326="","",IFERROR(IF(ISNUMBER(SEARCH(Assumptions!$C$5,G3326)),Assumptions!$D$5,IF(ISNUMBER(SEARCH(Assumptions!$C$6,G3326)),Assumptions!$D$6,IF(ISNUMBER(SEARCH(Assumptions!$C$7,G3326)),Assumptions!$D$7,"Other Services"))),"Other Services"))</f>
        <v/>
      </c>
    </row>
    <row r="3327" customFormat="false" ht="15" hidden="false" customHeight="false" outlineLevel="0" collapsed="false">
      <c r="F3327" s="41" t="str">
        <f aca="false">IF(E3327="","",IFERROR(VLOOKUP(E3327,Assumptions!$G$5:$H$16,2,0),"Other"))</f>
        <v/>
      </c>
      <c r="J3327" s="41" t="str">
        <f aca="false">IF(G3327="","",IFERROR(IF(ISNUMBER(SEARCH(Assumptions!$C$5,G3327)),Assumptions!$D$5,IF(ISNUMBER(SEARCH(Assumptions!$C$6,G3327)),Assumptions!$D$6,IF(ISNUMBER(SEARCH(Assumptions!$C$7,G3327)),Assumptions!$D$7,"Other Services"))),"Other Services"))</f>
        <v/>
      </c>
    </row>
    <row r="3328" customFormat="false" ht="15" hidden="false" customHeight="false" outlineLevel="0" collapsed="false">
      <c r="F3328" s="41" t="str">
        <f aca="false">IF(E3328="","",IFERROR(VLOOKUP(E3328,Assumptions!$G$5:$H$16,2,0),"Other"))</f>
        <v/>
      </c>
      <c r="J3328" s="41" t="str">
        <f aca="false">IF(G3328="","",IFERROR(IF(ISNUMBER(SEARCH(Assumptions!$C$5,G3328)),Assumptions!$D$5,IF(ISNUMBER(SEARCH(Assumptions!$C$6,G3328)),Assumptions!$D$6,IF(ISNUMBER(SEARCH(Assumptions!$C$7,G3328)),Assumptions!$D$7,"Other Services"))),"Other Services"))</f>
        <v/>
      </c>
    </row>
    <row r="3329" customFormat="false" ht="15" hidden="false" customHeight="false" outlineLevel="0" collapsed="false">
      <c r="F3329" s="41" t="str">
        <f aca="false">IF(E3329="","",IFERROR(VLOOKUP(E3329,Assumptions!$G$5:$H$16,2,0),"Other"))</f>
        <v/>
      </c>
      <c r="J3329" s="41" t="str">
        <f aca="false">IF(G3329="","",IFERROR(IF(ISNUMBER(SEARCH(Assumptions!$C$5,G3329)),Assumptions!$D$5,IF(ISNUMBER(SEARCH(Assumptions!$C$6,G3329)),Assumptions!$D$6,IF(ISNUMBER(SEARCH(Assumptions!$C$7,G3329)),Assumptions!$D$7,"Other Services"))),"Other Services"))</f>
        <v/>
      </c>
    </row>
    <row r="3330" customFormat="false" ht="15" hidden="false" customHeight="false" outlineLevel="0" collapsed="false">
      <c r="F3330" s="41" t="str">
        <f aca="false">IF(E3330="","",IFERROR(VLOOKUP(E3330,Assumptions!$G$5:$H$16,2,0),"Other"))</f>
        <v/>
      </c>
      <c r="J3330" s="41" t="str">
        <f aca="false">IF(G3330="","",IFERROR(IF(ISNUMBER(SEARCH(Assumptions!$C$5,G3330)),Assumptions!$D$5,IF(ISNUMBER(SEARCH(Assumptions!$C$6,G3330)),Assumptions!$D$6,IF(ISNUMBER(SEARCH(Assumptions!$C$7,G3330)),Assumptions!$D$7,"Other Services"))),"Other Services"))</f>
        <v/>
      </c>
    </row>
    <row r="3331" customFormat="false" ht="15" hidden="false" customHeight="false" outlineLevel="0" collapsed="false">
      <c r="F3331" s="41" t="str">
        <f aca="false">IF(E3331="","",IFERROR(VLOOKUP(E3331,Assumptions!$G$5:$H$16,2,0),"Other"))</f>
        <v/>
      </c>
      <c r="J3331" s="41" t="str">
        <f aca="false">IF(G3331="","",IFERROR(IF(ISNUMBER(SEARCH(Assumptions!$C$5,G3331)),Assumptions!$D$5,IF(ISNUMBER(SEARCH(Assumptions!$C$6,G3331)),Assumptions!$D$6,IF(ISNUMBER(SEARCH(Assumptions!$C$7,G3331)),Assumptions!$D$7,"Other Services"))),"Other Services"))</f>
        <v/>
      </c>
    </row>
    <row r="3332" customFormat="false" ht="15" hidden="false" customHeight="false" outlineLevel="0" collapsed="false">
      <c r="F3332" s="41" t="str">
        <f aca="false">IF(E3332="","",IFERROR(VLOOKUP(E3332,Assumptions!$G$5:$H$16,2,0),"Other"))</f>
        <v/>
      </c>
      <c r="J3332" s="41" t="str">
        <f aca="false">IF(G3332="","",IFERROR(IF(ISNUMBER(SEARCH(Assumptions!$C$5,G3332)),Assumptions!$D$5,IF(ISNUMBER(SEARCH(Assumptions!$C$6,G3332)),Assumptions!$D$6,IF(ISNUMBER(SEARCH(Assumptions!$C$7,G3332)),Assumptions!$D$7,"Other Services"))),"Other Services"))</f>
        <v/>
      </c>
    </row>
    <row r="3333" customFormat="false" ht="15" hidden="false" customHeight="false" outlineLevel="0" collapsed="false">
      <c r="F3333" s="41" t="str">
        <f aca="false">IF(E3333="","",IFERROR(VLOOKUP(E3333,Assumptions!$G$5:$H$16,2,0),"Other"))</f>
        <v/>
      </c>
      <c r="J3333" s="41" t="str">
        <f aca="false">IF(G3333="","",IFERROR(IF(ISNUMBER(SEARCH(Assumptions!$C$5,G3333)),Assumptions!$D$5,IF(ISNUMBER(SEARCH(Assumptions!$C$6,G3333)),Assumptions!$D$6,IF(ISNUMBER(SEARCH(Assumptions!$C$7,G3333)),Assumptions!$D$7,"Other Services"))),"Other Services"))</f>
        <v/>
      </c>
    </row>
    <row r="3334" customFormat="false" ht="15" hidden="false" customHeight="false" outlineLevel="0" collapsed="false">
      <c r="F3334" s="41" t="str">
        <f aca="false">IF(E3334="","",IFERROR(VLOOKUP(E3334,Assumptions!$G$5:$H$16,2,0),"Other"))</f>
        <v/>
      </c>
      <c r="J3334" s="41" t="str">
        <f aca="false">IF(G3334="","",IFERROR(IF(ISNUMBER(SEARCH(Assumptions!$C$5,G3334)),Assumptions!$D$5,IF(ISNUMBER(SEARCH(Assumptions!$C$6,G3334)),Assumptions!$D$6,IF(ISNUMBER(SEARCH(Assumptions!$C$7,G3334)),Assumptions!$D$7,"Other Services"))),"Other Services"))</f>
        <v/>
      </c>
    </row>
    <row r="3335" customFormat="false" ht="15" hidden="false" customHeight="false" outlineLevel="0" collapsed="false">
      <c r="F3335" s="41" t="str">
        <f aca="false">IF(E3335="","",IFERROR(VLOOKUP(E3335,Assumptions!$G$5:$H$16,2,0),"Other"))</f>
        <v/>
      </c>
      <c r="J3335" s="41" t="str">
        <f aca="false">IF(G3335="","",IFERROR(IF(ISNUMBER(SEARCH(Assumptions!$C$5,G3335)),Assumptions!$D$5,IF(ISNUMBER(SEARCH(Assumptions!$C$6,G3335)),Assumptions!$D$6,IF(ISNUMBER(SEARCH(Assumptions!$C$7,G3335)),Assumptions!$D$7,"Other Services"))),"Other Services"))</f>
        <v/>
      </c>
    </row>
    <row r="3336" customFormat="false" ht="15" hidden="false" customHeight="false" outlineLevel="0" collapsed="false">
      <c r="F3336" s="41" t="str">
        <f aca="false">IF(E3336="","",IFERROR(VLOOKUP(E3336,Assumptions!$G$5:$H$16,2,0),"Other"))</f>
        <v/>
      </c>
      <c r="J3336" s="41" t="str">
        <f aca="false">IF(G3336="","",IFERROR(IF(ISNUMBER(SEARCH(Assumptions!$C$5,G3336)),Assumptions!$D$5,IF(ISNUMBER(SEARCH(Assumptions!$C$6,G3336)),Assumptions!$D$6,IF(ISNUMBER(SEARCH(Assumptions!$C$7,G3336)),Assumptions!$D$7,"Other Services"))),"Other Services"))</f>
        <v/>
      </c>
    </row>
    <row r="3337" customFormat="false" ht="15" hidden="false" customHeight="false" outlineLevel="0" collapsed="false">
      <c r="F3337" s="41" t="str">
        <f aca="false">IF(E3337="","",IFERROR(VLOOKUP(E3337,Assumptions!$G$5:$H$16,2,0),"Other"))</f>
        <v/>
      </c>
      <c r="J3337" s="41" t="str">
        <f aca="false">IF(G3337="","",IFERROR(IF(ISNUMBER(SEARCH(Assumptions!$C$5,G3337)),Assumptions!$D$5,IF(ISNUMBER(SEARCH(Assumptions!$C$6,G3337)),Assumptions!$D$6,IF(ISNUMBER(SEARCH(Assumptions!$C$7,G3337)),Assumptions!$D$7,"Other Services"))),"Other Services"))</f>
        <v/>
      </c>
    </row>
    <row r="3338" customFormat="false" ht="15" hidden="false" customHeight="false" outlineLevel="0" collapsed="false">
      <c r="F3338" s="41" t="str">
        <f aca="false">IF(E3338="","",IFERROR(VLOOKUP(E3338,Assumptions!$G$5:$H$16,2,0),"Other"))</f>
        <v/>
      </c>
      <c r="J3338" s="41" t="str">
        <f aca="false">IF(G3338="","",IFERROR(IF(ISNUMBER(SEARCH(Assumptions!$C$5,G3338)),Assumptions!$D$5,IF(ISNUMBER(SEARCH(Assumptions!$C$6,G3338)),Assumptions!$D$6,IF(ISNUMBER(SEARCH(Assumptions!$C$7,G3338)),Assumptions!$D$7,"Other Services"))),"Other Services"))</f>
        <v/>
      </c>
    </row>
    <row r="3339" customFormat="false" ht="15" hidden="false" customHeight="false" outlineLevel="0" collapsed="false">
      <c r="F3339" s="41" t="str">
        <f aca="false">IF(E3339="","",IFERROR(VLOOKUP(E3339,Assumptions!$G$5:$H$16,2,0),"Other"))</f>
        <v/>
      </c>
      <c r="J3339" s="41" t="str">
        <f aca="false">IF(G3339="","",IFERROR(IF(ISNUMBER(SEARCH(Assumptions!$C$5,G3339)),Assumptions!$D$5,IF(ISNUMBER(SEARCH(Assumptions!$C$6,G3339)),Assumptions!$D$6,IF(ISNUMBER(SEARCH(Assumptions!$C$7,G3339)),Assumptions!$D$7,"Other Services"))),"Other Services"))</f>
        <v/>
      </c>
    </row>
    <row r="3340" customFormat="false" ht="15" hidden="false" customHeight="false" outlineLevel="0" collapsed="false">
      <c r="F3340" s="41" t="str">
        <f aca="false">IF(E3340="","",IFERROR(VLOOKUP(E3340,Assumptions!$G$5:$H$16,2,0),"Other"))</f>
        <v/>
      </c>
      <c r="J3340" s="41" t="str">
        <f aca="false">IF(G3340="","",IFERROR(IF(ISNUMBER(SEARCH(Assumptions!$C$5,G3340)),Assumptions!$D$5,IF(ISNUMBER(SEARCH(Assumptions!$C$6,G3340)),Assumptions!$D$6,IF(ISNUMBER(SEARCH(Assumptions!$C$7,G3340)),Assumptions!$D$7,"Other Services"))),"Other Services"))</f>
        <v/>
      </c>
    </row>
    <row r="3341" customFormat="false" ht="15" hidden="false" customHeight="false" outlineLevel="0" collapsed="false">
      <c r="F3341" s="41" t="str">
        <f aca="false">IF(E3341="","",IFERROR(VLOOKUP(E3341,Assumptions!$G$5:$H$16,2,0),"Other"))</f>
        <v/>
      </c>
      <c r="J3341" s="41" t="str">
        <f aca="false">IF(G3341="","",IFERROR(IF(ISNUMBER(SEARCH(Assumptions!$C$5,G3341)),Assumptions!$D$5,IF(ISNUMBER(SEARCH(Assumptions!$C$6,G3341)),Assumptions!$D$6,IF(ISNUMBER(SEARCH(Assumptions!$C$7,G3341)),Assumptions!$D$7,"Other Services"))),"Other Services"))</f>
        <v/>
      </c>
    </row>
    <row r="3342" customFormat="false" ht="15" hidden="false" customHeight="false" outlineLevel="0" collapsed="false">
      <c r="F3342" s="41" t="str">
        <f aca="false">IF(E3342="","",IFERROR(VLOOKUP(E3342,Assumptions!$G$5:$H$16,2,0),"Other"))</f>
        <v/>
      </c>
      <c r="J3342" s="41" t="str">
        <f aca="false">IF(G3342="","",IFERROR(IF(ISNUMBER(SEARCH(Assumptions!$C$5,G3342)),Assumptions!$D$5,IF(ISNUMBER(SEARCH(Assumptions!$C$6,G3342)),Assumptions!$D$6,IF(ISNUMBER(SEARCH(Assumptions!$C$7,G3342)),Assumptions!$D$7,"Other Services"))),"Other Services"))</f>
        <v/>
      </c>
    </row>
    <row r="3343" customFormat="false" ht="15" hidden="false" customHeight="false" outlineLevel="0" collapsed="false">
      <c r="F3343" s="41" t="str">
        <f aca="false">IF(E3343="","",IFERROR(VLOOKUP(E3343,Assumptions!$G$5:$H$16,2,0),"Other"))</f>
        <v/>
      </c>
      <c r="J3343" s="41" t="str">
        <f aca="false">IF(G3343="","",IFERROR(IF(ISNUMBER(SEARCH(Assumptions!$C$5,G3343)),Assumptions!$D$5,IF(ISNUMBER(SEARCH(Assumptions!$C$6,G3343)),Assumptions!$D$6,IF(ISNUMBER(SEARCH(Assumptions!$C$7,G3343)),Assumptions!$D$7,"Other Services"))),"Other Services"))</f>
        <v/>
      </c>
    </row>
    <row r="3344" customFormat="false" ht="15" hidden="false" customHeight="false" outlineLevel="0" collapsed="false">
      <c r="F3344" s="41" t="str">
        <f aca="false">IF(E3344="","",IFERROR(VLOOKUP(E3344,Assumptions!$G$5:$H$16,2,0),"Other"))</f>
        <v/>
      </c>
      <c r="J3344" s="41" t="str">
        <f aca="false">IF(G3344="","",IFERROR(IF(ISNUMBER(SEARCH(Assumptions!$C$5,G3344)),Assumptions!$D$5,IF(ISNUMBER(SEARCH(Assumptions!$C$6,G3344)),Assumptions!$D$6,IF(ISNUMBER(SEARCH(Assumptions!$C$7,G3344)),Assumptions!$D$7,"Other Services"))),"Other Services"))</f>
        <v/>
      </c>
    </row>
    <row r="3345" customFormat="false" ht="15" hidden="false" customHeight="false" outlineLevel="0" collapsed="false">
      <c r="F3345" s="41" t="str">
        <f aca="false">IF(E3345="","",IFERROR(VLOOKUP(E3345,Assumptions!$G$5:$H$16,2,0),"Other"))</f>
        <v/>
      </c>
      <c r="J3345" s="41" t="str">
        <f aca="false">IF(G3345="","",IFERROR(IF(ISNUMBER(SEARCH(Assumptions!$C$5,G3345)),Assumptions!$D$5,IF(ISNUMBER(SEARCH(Assumptions!$C$6,G3345)),Assumptions!$D$6,IF(ISNUMBER(SEARCH(Assumptions!$C$7,G3345)),Assumptions!$D$7,"Other Services"))),"Other Services"))</f>
        <v/>
      </c>
    </row>
    <row r="3346" customFormat="false" ht="15" hidden="false" customHeight="false" outlineLevel="0" collapsed="false">
      <c r="F3346" s="41" t="str">
        <f aca="false">IF(E3346="","",IFERROR(VLOOKUP(E3346,Assumptions!$G$5:$H$16,2,0),"Other"))</f>
        <v/>
      </c>
      <c r="J3346" s="41" t="str">
        <f aca="false">IF(G3346="","",IFERROR(IF(ISNUMBER(SEARCH(Assumptions!$C$5,G3346)),Assumptions!$D$5,IF(ISNUMBER(SEARCH(Assumptions!$C$6,G3346)),Assumptions!$D$6,IF(ISNUMBER(SEARCH(Assumptions!$C$7,G3346)),Assumptions!$D$7,"Other Services"))),"Other Services"))</f>
        <v/>
      </c>
    </row>
    <row r="3347" customFormat="false" ht="15" hidden="false" customHeight="false" outlineLevel="0" collapsed="false">
      <c r="F3347" s="41" t="str">
        <f aca="false">IF(E3347="","",IFERROR(VLOOKUP(E3347,Assumptions!$G$5:$H$16,2,0),"Other"))</f>
        <v/>
      </c>
      <c r="J3347" s="41" t="str">
        <f aca="false">IF(G3347="","",IFERROR(IF(ISNUMBER(SEARCH(Assumptions!$C$5,G3347)),Assumptions!$D$5,IF(ISNUMBER(SEARCH(Assumptions!$C$6,G3347)),Assumptions!$D$6,IF(ISNUMBER(SEARCH(Assumptions!$C$7,G3347)),Assumptions!$D$7,"Other Services"))),"Other Services"))</f>
        <v/>
      </c>
    </row>
    <row r="3348" customFormat="false" ht="15" hidden="false" customHeight="false" outlineLevel="0" collapsed="false">
      <c r="F3348" s="41" t="str">
        <f aca="false">IF(E3348="","",IFERROR(VLOOKUP(E3348,Assumptions!$G$5:$H$16,2,0),"Other"))</f>
        <v/>
      </c>
      <c r="J3348" s="41" t="str">
        <f aca="false">IF(G3348="","",IFERROR(IF(ISNUMBER(SEARCH(Assumptions!$C$5,G3348)),Assumptions!$D$5,IF(ISNUMBER(SEARCH(Assumptions!$C$6,G3348)),Assumptions!$D$6,IF(ISNUMBER(SEARCH(Assumptions!$C$7,G3348)),Assumptions!$D$7,"Other Services"))),"Other Services"))</f>
        <v/>
      </c>
    </row>
    <row r="3349" customFormat="false" ht="15" hidden="false" customHeight="false" outlineLevel="0" collapsed="false">
      <c r="F3349" s="41" t="str">
        <f aca="false">IF(E3349="","",IFERROR(VLOOKUP(E3349,Assumptions!$G$5:$H$16,2,0),"Other"))</f>
        <v/>
      </c>
      <c r="J3349" s="41" t="str">
        <f aca="false">IF(G3349="","",IFERROR(IF(ISNUMBER(SEARCH(Assumptions!$C$5,G3349)),Assumptions!$D$5,IF(ISNUMBER(SEARCH(Assumptions!$C$6,G3349)),Assumptions!$D$6,IF(ISNUMBER(SEARCH(Assumptions!$C$7,G3349)),Assumptions!$D$7,"Other Services"))),"Other Services"))</f>
        <v/>
      </c>
    </row>
    <row r="3350" customFormat="false" ht="15" hidden="false" customHeight="false" outlineLevel="0" collapsed="false">
      <c r="F3350" s="41" t="str">
        <f aca="false">IF(E3350="","",IFERROR(VLOOKUP(E3350,Assumptions!$G$5:$H$16,2,0),"Other"))</f>
        <v/>
      </c>
      <c r="J3350" s="41" t="str">
        <f aca="false">IF(G3350="","",IFERROR(IF(ISNUMBER(SEARCH(Assumptions!$C$5,G3350)),Assumptions!$D$5,IF(ISNUMBER(SEARCH(Assumptions!$C$6,G3350)),Assumptions!$D$6,IF(ISNUMBER(SEARCH(Assumptions!$C$7,G3350)),Assumptions!$D$7,"Other Services"))),"Other Services"))</f>
        <v/>
      </c>
    </row>
    <row r="3351" customFormat="false" ht="15" hidden="false" customHeight="false" outlineLevel="0" collapsed="false">
      <c r="F3351" s="41" t="str">
        <f aca="false">IF(E3351="","",IFERROR(VLOOKUP(E3351,Assumptions!$G$5:$H$16,2,0),"Other"))</f>
        <v/>
      </c>
      <c r="J3351" s="41" t="str">
        <f aca="false">IF(G3351="","",IFERROR(IF(ISNUMBER(SEARCH(Assumptions!$C$5,G3351)),Assumptions!$D$5,IF(ISNUMBER(SEARCH(Assumptions!$C$6,G3351)),Assumptions!$D$6,IF(ISNUMBER(SEARCH(Assumptions!$C$7,G3351)),Assumptions!$D$7,"Other Services"))),"Other Services"))</f>
        <v/>
      </c>
    </row>
    <row r="3352" customFormat="false" ht="15" hidden="false" customHeight="false" outlineLevel="0" collapsed="false">
      <c r="F3352" s="41" t="str">
        <f aca="false">IF(E3352="","",IFERROR(VLOOKUP(E3352,Assumptions!$G$5:$H$16,2,0),"Other"))</f>
        <v/>
      </c>
      <c r="J3352" s="41" t="str">
        <f aca="false">IF(G3352="","",IFERROR(IF(ISNUMBER(SEARCH(Assumptions!$C$5,G3352)),Assumptions!$D$5,IF(ISNUMBER(SEARCH(Assumptions!$C$6,G3352)),Assumptions!$D$6,IF(ISNUMBER(SEARCH(Assumptions!$C$7,G3352)),Assumptions!$D$7,"Other Services"))),"Other Services"))</f>
        <v/>
      </c>
    </row>
    <row r="3353" customFormat="false" ht="15" hidden="false" customHeight="false" outlineLevel="0" collapsed="false">
      <c r="F3353" s="41" t="str">
        <f aca="false">IF(E3353="","",IFERROR(VLOOKUP(E3353,Assumptions!$G$5:$H$16,2,0),"Other"))</f>
        <v/>
      </c>
      <c r="J3353" s="41" t="str">
        <f aca="false">IF(G3353="","",IFERROR(IF(ISNUMBER(SEARCH(Assumptions!$C$5,G3353)),Assumptions!$D$5,IF(ISNUMBER(SEARCH(Assumptions!$C$6,G3353)),Assumptions!$D$6,IF(ISNUMBER(SEARCH(Assumptions!$C$7,G3353)),Assumptions!$D$7,"Other Services"))),"Other Services"))</f>
        <v/>
      </c>
    </row>
    <row r="3354" customFormat="false" ht="15" hidden="false" customHeight="false" outlineLevel="0" collapsed="false">
      <c r="F3354" s="41" t="str">
        <f aca="false">IF(E3354="","",IFERROR(VLOOKUP(E3354,Assumptions!$G$5:$H$16,2,0),"Other"))</f>
        <v/>
      </c>
      <c r="J3354" s="41" t="str">
        <f aca="false">IF(G3354="","",IFERROR(IF(ISNUMBER(SEARCH(Assumptions!$C$5,G3354)),Assumptions!$D$5,IF(ISNUMBER(SEARCH(Assumptions!$C$6,G3354)),Assumptions!$D$6,IF(ISNUMBER(SEARCH(Assumptions!$C$7,G3354)),Assumptions!$D$7,"Other Services"))),"Other Services"))</f>
        <v/>
      </c>
    </row>
    <row r="3355" customFormat="false" ht="15" hidden="false" customHeight="false" outlineLevel="0" collapsed="false">
      <c r="F3355" s="41" t="str">
        <f aca="false">IF(E3355="","",IFERROR(VLOOKUP(E3355,Assumptions!$G$5:$H$16,2,0),"Other"))</f>
        <v/>
      </c>
      <c r="J3355" s="41" t="str">
        <f aca="false">IF(G3355="","",IFERROR(IF(ISNUMBER(SEARCH(Assumptions!$C$5,G3355)),Assumptions!$D$5,IF(ISNUMBER(SEARCH(Assumptions!$C$6,G3355)),Assumptions!$D$6,IF(ISNUMBER(SEARCH(Assumptions!$C$7,G3355)),Assumptions!$D$7,"Other Services"))),"Other Services"))</f>
        <v/>
      </c>
    </row>
    <row r="3356" customFormat="false" ht="15" hidden="false" customHeight="false" outlineLevel="0" collapsed="false">
      <c r="F3356" s="41" t="str">
        <f aca="false">IF(E3356="","",IFERROR(VLOOKUP(E3356,Assumptions!$G$5:$H$16,2,0),"Other"))</f>
        <v/>
      </c>
      <c r="J3356" s="41" t="str">
        <f aca="false">IF(G3356="","",IFERROR(IF(ISNUMBER(SEARCH(Assumptions!$C$5,G3356)),Assumptions!$D$5,IF(ISNUMBER(SEARCH(Assumptions!$C$6,G3356)),Assumptions!$D$6,IF(ISNUMBER(SEARCH(Assumptions!$C$7,G3356)),Assumptions!$D$7,"Other Services"))),"Other Services"))</f>
        <v/>
      </c>
    </row>
    <row r="3357" customFormat="false" ht="15" hidden="false" customHeight="false" outlineLevel="0" collapsed="false">
      <c r="F3357" s="41" t="str">
        <f aca="false">IF(E3357="","",IFERROR(VLOOKUP(E3357,Assumptions!$G$5:$H$16,2,0),"Other"))</f>
        <v/>
      </c>
      <c r="J3357" s="41" t="str">
        <f aca="false">IF(G3357="","",IFERROR(IF(ISNUMBER(SEARCH(Assumptions!$C$5,G3357)),Assumptions!$D$5,IF(ISNUMBER(SEARCH(Assumptions!$C$6,G3357)),Assumptions!$D$6,IF(ISNUMBER(SEARCH(Assumptions!$C$7,G3357)),Assumptions!$D$7,"Other Services"))),"Other Services"))</f>
        <v/>
      </c>
    </row>
    <row r="3358" customFormat="false" ht="15" hidden="false" customHeight="false" outlineLevel="0" collapsed="false">
      <c r="F3358" s="41" t="str">
        <f aca="false">IF(E3358="","",IFERROR(VLOOKUP(E3358,Assumptions!$G$5:$H$16,2,0),"Other"))</f>
        <v/>
      </c>
      <c r="J3358" s="41" t="str">
        <f aca="false">IF(G3358="","",IFERROR(IF(ISNUMBER(SEARCH(Assumptions!$C$5,G3358)),Assumptions!$D$5,IF(ISNUMBER(SEARCH(Assumptions!$C$6,G3358)),Assumptions!$D$6,IF(ISNUMBER(SEARCH(Assumptions!$C$7,G3358)),Assumptions!$D$7,"Other Services"))),"Other Services"))</f>
        <v/>
      </c>
    </row>
    <row r="3359" customFormat="false" ht="15" hidden="false" customHeight="false" outlineLevel="0" collapsed="false">
      <c r="F3359" s="41" t="str">
        <f aca="false">IF(E3359="","",IFERROR(VLOOKUP(E3359,Assumptions!$G$5:$H$16,2,0),"Other"))</f>
        <v/>
      </c>
      <c r="J3359" s="41" t="str">
        <f aca="false">IF(G3359="","",IFERROR(IF(ISNUMBER(SEARCH(Assumptions!$C$5,G3359)),Assumptions!$D$5,IF(ISNUMBER(SEARCH(Assumptions!$C$6,G3359)),Assumptions!$D$6,IF(ISNUMBER(SEARCH(Assumptions!$C$7,G3359)),Assumptions!$D$7,"Other Services"))),"Other Services"))</f>
        <v/>
      </c>
    </row>
    <row r="3360" customFormat="false" ht="15" hidden="false" customHeight="false" outlineLevel="0" collapsed="false">
      <c r="F3360" s="41" t="str">
        <f aca="false">IF(E3360="","",IFERROR(VLOOKUP(E3360,Assumptions!$G$5:$H$16,2,0),"Other"))</f>
        <v/>
      </c>
      <c r="J3360" s="41" t="str">
        <f aca="false">IF(G3360="","",IFERROR(IF(ISNUMBER(SEARCH(Assumptions!$C$5,G3360)),Assumptions!$D$5,IF(ISNUMBER(SEARCH(Assumptions!$C$6,G3360)),Assumptions!$D$6,IF(ISNUMBER(SEARCH(Assumptions!$C$7,G3360)),Assumptions!$D$7,"Other Services"))),"Other Services"))</f>
        <v/>
      </c>
    </row>
    <row r="3361" customFormat="false" ht="15" hidden="false" customHeight="false" outlineLevel="0" collapsed="false">
      <c r="F3361" s="41" t="str">
        <f aca="false">IF(E3361="","",IFERROR(VLOOKUP(E3361,Assumptions!$G$5:$H$16,2,0),"Other"))</f>
        <v/>
      </c>
      <c r="J3361" s="41" t="str">
        <f aca="false">IF(G3361="","",IFERROR(IF(ISNUMBER(SEARCH(Assumptions!$C$5,G3361)),Assumptions!$D$5,IF(ISNUMBER(SEARCH(Assumptions!$C$6,G3361)),Assumptions!$D$6,IF(ISNUMBER(SEARCH(Assumptions!$C$7,G3361)),Assumptions!$D$7,"Other Services"))),"Other Services"))</f>
        <v/>
      </c>
    </row>
    <row r="3362" customFormat="false" ht="15" hidden="false" customHeight="false" outlineLevel="0" collapsed="false">
      <c r="F3362" s="41" t="str">
        <f aca="false">IF(E3362="","",IFERROR(VLOOKUP(E3362,Assumptions!$G$5:$H$16,2,0),"Other"))</f>
        <v/>
      </c>
      <c r="J3362" s="41" t="str">
        <f aca="false">IF(G3362="","",IFERROR(IF(ISNUMBER(SEARCH(Assumptions!$C$5,G3362)),Assumptions!$D$5,IF(ISNUMBER(SEARCH(Assumptions!$C$6,G3362)),Assumptions!$D$6,IF(ISNUMBER(SEARCH(Assumptions!$C$7,G3362)),Assumptions!$D$7,"Other Services"))),"Other Services"))</f>
        <v/>
      </c>
    </row>
    <row r="3363" customFormat="false" ht="15" hidden="false" customHeight="false" outlineLevel="0" collapsed="false">
      <c r="F3363" s="41" t="str">
        <f aca="false">IF(E3363="","",IFERROR(VLOOKUP(E3363,Assumptions!$G$5:$H$16,2,0),"Other"))</f>
        <v/>
      </c>
      <c r="J3363" s="41" t="str">
        <f aca="false">IF(G3363="","",IFERROR(IF(ISNUMBER(SEARCH(Assumptions!$C$5,G3363)),Assumptions!$D$5,IF(ISNUMBER(SEARCH(Assumptions!$C$6,G3363)),Assumptions!$D$6,IF(ISNUMBER(SEARCH(Assumptions!$C$7,G3363)),Assumptions!$D$7,"Other Services"))),"Other Services"))</f>
        <v/>
      </c>
    </row>
    <row r="3364" customFormat="false" ht="15" hidden="false" customHeight="false" outlineLevel="0" collapsed="false">
      <c r="F3364" s="41" t="str">
        <f aca="false">IF(E3364="","",IFERROR(VLOOKUP(E3364,Assumptions!$G$5:$H$16,2,0),"Other"))</f>
        <v/>
      </c>
      <c r="J3364" s="41" t="str">
        <f aca="false">IF(G3364="","",IFERROR(IF(ISNUMBER(SEARCH(Assumptions!$C$5,G3364)),Assumptions!$D$5,IF(ISNUMBER(SEARCH(Assumptions!$C$6,G3364)),Assumptions!$D$6,IF(ISNUMBER(SEARCH(Assumptions!$C$7,G3364)),Assumptions!$D$7,"Other Services"))),"Other Services"))</f>
        <v/>
      </c>
    </row>
    <row r="3365" customFormat="false" ht="15" hidden="false" customHeight="false" outlineLevel="0" collapsed="false">
      <c r="F3365" s="41" t="str">
        <f aca="false">IF(E3365="","",IFERROR(VLOOKUP(E3365,Assumptions!$G$5:$H$16,2,0),"Other"))</f>
        <v/>
      </c>
      <c r="J3365" s="41" t="str">
        <f aca="false">IF(G3365="","",IFERROR(IF(ISNUMBER(SEARCH(Assumptions!$C$5,G3365)),Assumptions!$D$5,IF(ISNUMBER(SEARCH(Assumptions!$C$6,G3365)),Assumptions!$D$6,IF(ISNUMBER(SEARCH(Assumptions!$C$7,G3365)),Assumptions!$D$7,"Other Services"))),"Other Services"))</f>
        <v/>
      </c>
    </row>
    <row r="3366" customFormat="false" ht="15" hidden="false" customHeight="false" outlineLevel="0" collapsed="false">
      <c r="F3366" s="41" t="str">
        <f aca="false">IF(E3366="","",IFERROR(VLOOKUP(E3366,Assumptions!$G$5:$H$16,2,0),"Other"))</f>
        <v/>
      </c>
      <c r="J3366" s="41" t="str">
        <f aca="false">IF(G3366="","",IFERROR(IF(ISNUMBER(SEARCH(Assumptions!$C$5,G3366)),Assumptions!$D$5,IF(ISNUMBER(SEARCH(Assumptions!$C$6,G3366)),Assumptions!$D$6,IF(ISNUMBER(SEARCH(Assumptions!$C$7,G3366)),Assumptions!$D$7,"Other Services"))),"Other Services"))</f>
        <v/>
      </c>
    </row>
    <row r="3367" customFormat="false" ht="15" hidden="false" customHeight="false" outlineLevel="0" collapsed="false">
      <c r="F3367" s="41" t="str">
        <f aca="false">IF(E3367="","",IFERROR(VLOOKUP(E3367,Assumptions!$G$5:$H$16,2,0),"Other"))</f>
        <v/>
      </c>
      <c r="J3367" s="41" t="str">
        <f aca="false">IF(G3367="","",IFERROR(IF(ISNUMBER(SEARCH(Assumptions!$C$5,G3367)),Assumptions!$D$5,IF(ISNUMBER(SEARCH(Assumptions!$C$6,G3367)),Assumptions!$D$6,IF(ISNUMBER(SEARCH(Assumptions!$C$7,G3367)),Assumptions!$D$7,"Other Services"))),"Other Services"))</f>
        <v/>
      </c>
    </row>
    <row r="3368" customFormat="false" ht="15" hidden="false" customHeight="false" outlineLevel="0" collapsed="false">
      <c r="F3368" s="41" t="str">
        <f aca="false">IF(E3368="","",IFERROR(VLOOKUP(E3368,Assumptions!$G$5:$H$16,2,0),"Other"))</f>
        <v/>
      </c>
      <c r="J3368" s="41" t="str">
        <f aca="false">IF(G3368="","",IFERROR(IF(ISNUMBER(SEARCH(Assumptions!$C$5,G3368)),Assumptions!$D$5,IF(ISNUMBER(SEARCH(Assumptions!$C$6,G3368)),Assumptions!$D$6,IF(ISNUMBER(SEARCH(Assumptions!$C$7,G3368)),Assumptions!$D$7,"Other Services"))),"Other Services"))</f>
        <v/>
      </c>
    </row>
    <row r="3369" customFormat="false" ht="15" hidden="false" customHeight="false" outlineLevel="0" collapsed="false">
      <c r="F3369" s="41" t="str">
        <f aca="false">IF(E3369="","",IFERROR(VLOOKUP(E3369,Assumptions!$G$5:$H$16,2,0),"Other"))</f>
        <v/>
      </c>
      <c r="J3369" s="41" t="str">
        <f aca="false">IF(G3369="","",IFERROR(IF(ISNUMBER(SEARCH(Assumptions!$C$5,G3369)),Assumptions!$D$5,IF(ISNUMBER(SEARCH(Assumptions!$C$6,G3369)),Assumptions!$D$6,IF(ISNUMBER(SEARCH(Assumptions!$C$7,G3369)),Assumptions!$D$7,"Other Services"))),"Other Services"))</f>
        <v/>
      </c>
    </row>
    <row r="3370" customFormat="false" ht="15" hidden="false" customHeight="false" outlineLevel="0" collapsed="false">
      <c r="F3370" s="41" t="str">
        <f aca="false">IF(E3370="","",IFERROR(VLOOKUP(E3370,Assumptions!$G$5:$H$16,2,0),"Other"))</f>
        <v/>
      </c>
      <c r="J3370" s="41" t="str">
        <f aca="false">IF(G3370="","",IFERROR(IF(ISNUMBER(SEARCH(Assumptions!$C$5,G3370)),Assumptions!$D$5,IF(ISNUMBER(SEARCH(Assumptions!$C$6,G3370)),Assumptions!$D$6,IF(ISNUMBER(SEARCH(Assumptions!$C$7,G3370)),Assumptions!$D$7,"Other Services"))),"Other Services"))</f>
        <v/>
      </c>
    </row>
    <row r="3371" customFormat="false" ht="15" hidden="false" customHeight="false" outlineLevel="0" collapsed="false">
      <c r="F3371" s="41" t="str">
        <f aca="false">IF(E3371="","",IFERROR(VLOOKUP(E3371,Assumptions!$G$5:$H$16,2,0),"Other"))</f>
        <v/>
      </c>
      <c r="J3371" s="41" t="str">
        <f aca="false">IF(G3371="","",IFERROR(IF(ISNUMBER(SEARCH(Assumptions!$C$5,G3371)),Assumptions!$D$5,IF(ISNUMBER(SEARCH(Assumptions!$C$6,G3371)),Assumptions!$D$6,IF(ISNUMBER(SEARCH(Assumptions!$C$7,G3371)),Assumptions!$D$7,"Other Services"))),"Other Services"))</f>
        <v/>
      </c>
    </row>
    <row r="3372" customFormat="false" ht="15" hidden="false" customHeight="false" outlineLevel="0" collapsed="false">
      <c r="F3372" s="41" t="str">
        <f aca="false">IF(E3372="","",IFERROR(VLOOKUP(E3372,Assumptions!$G$5:$H$16,2,0),"Other"))</f>
        <v/>
      </c>
      <c r="J3372" s="41" t="str">
        <f aca="false">IF(G3372="","",IFERROR(IF(ISNUMBER(SEARCH(Assumptions!$C$5,G3372)),Assumptions!$D$5,IF(ISNUMBER(SEARCH(Assumptions!$C$6,G3372)),Assumptions!$D$6,IF(ISNUMBER(SEARCH(Assumptions!$C$7,G3372)),Assumptions!$D$7,"Other Services"))),"Other Services"))</f>
        <v/>
      </c>
    </row>
    <row r="3373" customFormat="false" ht="15" hidden="false" customHeight="false" outlineLevel="0" collapsed="false">
      <c r="F3373" s="41" t="str">
        <f aca="false">IF(E3373="","",IFERROR(VLOOKUP(E3373,Assumptions!$G$5:$H$16,2,0),"Other"))</f>
        <v/>
      </c>
      <c r="J3373" s="41" t="str">
        <f aca="false">IF(G3373="","",IFERROR(IF(ISNUMBER(SEARCH(Assumptions!$C$5,G3373)),Assumptions!$D$5,IF(ISNUMBER(SEARCH(Assumptions!$C$6,G3373)),Assumptions!$D$6,IF(ISNUMBER(SEARCH(Assumptions!$C$7,G3373)),Assumptions!$D$7,"Other Services"))),"Other Services"))</f>
        <v/>
      </c>
    </row>
    <row r="3374" customFormat="false" ht="15" hidden="false" customHeight="false" outlineLevel="0" collapsed="false">
      <c r="F3374" s="41" t="str">
        <f aca="false">IF(E3374="","",IFERROR(VLOOKUP(E3374,Assumptions!$G$5:$H$16,2,0),"Other"))</f>
        <v/>
      </c>
      <c r="J3374" s="41" t="str">
        <f aca="false">IF(G3374="","",IFERROR(IF(ISNUMBER(SEARCH(Assumptions!$C$5,G3374)),Assumptions!$D$5,IF(ISNUMBER(SEARCH(Assumptions!$C$6,G3374)),Assumptions!$D$6,IF(ISNUMBER(SEARCH(Assumptions!$C$7,G3374)),Assumptions!$D$7,"Other Services"))),"Other Services"))</f>
        <v/>
      </c>
    </row>
    <row r="3375" customFormat="false" ht="15" hidden="false" customHeight="false" outlineLevel="0" collapsed="false">
      <c r="F3375" s="41" t="str">
        <f aca="false">IF(E3375="","",IFERROR(VLOOKUP(E3375,Assumptions!$G$5:$H$16,2,0),"Other"))</f>
        <v/>
      </c>
      <c r="J3375" s="41" t="str">
        <f aca="false">IF(G3375="","",IFERROR(IF(ISNUMBER(SEARCH(Assumptions!$C$5,G3375)),Assumptions!$D$5,IF(ISNUMBER(SEARCH(Assumptions!$C$6,G3375)),Assumptions!$D$6,IF(ISNUMBER(SEARCH(Assumptions!$C$7,G3375)),Assumptions!$D$7,"Other Services"))),"Other Services"))</f>
        <v/>
      </c>
    </row>
    <row r="3376" customFormat="false" ht="15" hidden="false" customHeight="false" outlineLevel="0" collapsed="false">
      <c r="F3376" s="41" t="str">
        <f aca="false">IF(E3376="","",IFERROR(VLOOKUP(E3376,Assumptions!$G$5:$H$16,2,0),"Other"))</f>
        <v/>
      </c>
      <c r="J3376" s="41" t="str">
        <f aca="false">IF(G3376="","",IFERROR(IF(ISNUMBER(SEARCH(Assumptions!$C$5,G3376)),Assumptions!$D$5,IF(ISNUMBER(SEARCH(Assumptions!$C$6,G3376)),Assumptions!$D$6,IF(ISNUMBER(SEARCH(Assumptions!$C$7,G3376)),Assumptions!$D$7,"Other Services"))),"Other Services"))</f>
        <v/>
      </c>
    </row>
    <row r="3377" customFormat="false" ht="15" hidden="false" customHeight="false" outlineLevel="0" collapsed="false">
      <c r="F3377" s="41" t="str">
        <f aca="false">IF(E3377="","",IFERROR(VLOOKUP(E3377,Assumptions!$G$5:$H$16,2,0),"Other"))</f>
        <v/>
      </c>
      <c r="J3377" s="41" t="str">
        <f aca="false">IF(G3377="","",IFERROR(IF(ISNUMBER(SEARCH(Assumptions!$C$5,G3377)),Assumptions!$D$5,IF(ISNUMBER(SEARCH(Assumptions!$C$6,G3377)),Assumptions!$D$6,IF(ISNUMBER(SEARCH(Assumptions!$C$7,G3377)),Assumptions!$D$7,"Other Services"))),"Other Services"))</f>
        <v/>
      </c>
    </row>
    <row r="3378" customFormat="false" ht="15" hidden="false" customHeight="false" outlineLevel="0" collapsed="false">
      <c r="F3378" s="41" t="str">
        <f aca="false">IF(E3378="","",IFERROR(VLOOKUP(E3378,Assumptions!$G$5:$H$16,2,0),"Other"))</f>
        <v/>
      </c>
      <c r="J3378" s="41" t="str">
        <f aca="false">IF(G3378="","",IFERROR(IF(ISNUMBER(SEARCH(Assumptions!$C$5,G3378)),Assumptions!$D$5,IF(ISNUMBER(SEARCH(Assumptions!$C$6,G3378)),Assumptions!$D$6,IF(ISNUMBER(SEARCH(Assumptions!$C$7,G3378)),Assumptions!$D$7,"Other Services"))),"Other Services"))</f>
        <v/>
      </c>
    </row>
    <row r="3379" customFormat="false" ht="15" hidden="false" customHeight="false" outlineLevel="0" collapsed="false">
      <c r="F3379" s="41" t="str">
        <f aca="false">IF(E3379="","",IFERROR(VLOOKUP(E3379,Assumptions!$G$5:$H$16,2,0),"Other"))</f>
        <v/>
      </c>
      <c r="J3379" s="41" t="str">
        <f aca="false">IF(G3379="","",IFERROR(IF(ISNUMBER(SEARCH(Assumptions!$C$5,G3379)),Assumptions!$D$5,IF(ISNUMBER(SEARCH(Assumptions!$C$6,G3379)),Assumptions!$D$6,IF(ISNUMBER(SEARCH(Assumptions!$C$7,G3379)),Assumptions!$D$7,"Other Services"))),"Other Services"))</f>
        <v/>
      </c>
    </row>
    <row r="3380" customFormat="false" ht="15" hidden="false" customHeight="false" outlineLevel="0" collapsed="false">
      <c r="F3380" s="41" t="str">
        <f aca="false">IF(E3380="","",IFERROR(VLOOKUP(E3380,Assumptions!$G$5:$H$16,2,0),"Other"))</f>
        <v/>
      </c>
      <c r="J3380" s="41" t="str">
        <f aca="false">IF(G3380="","",IFERROR(IF(ISNUMBER(SEARCH(Assumptions!$C$5,G3380)),Assumptions!$D$5,IF(ISNUMBER(SEARCH(Assumptions!$C$6,G3380)),Assumptions!$D$6,IF(ISNUMBER(SEARCH(Assumptions!$C$7,G3380)),Assumptions!$D$7,"Other Services"))),"Other Services"))</f>
        <v/>
      </c>
    </row>
    <row r="3381" customFormat="false" ht="15" hidden="false" customHeight="false" outlineLevel="0" collapsed="false">
      <c r="F3381" s="41" t="str">
        <f aca="false">IF(E3381="","",IFERROR(VLOOKUP(E3381,Assumptions!$G$5:$H$16,2,0),"Other"))</f>
        <v/>
      </c>
      <c r="J3381" s="41" t="str">
        <f aca="false">IF(G3381="","",IFERROR(IF(ISNUMBER(SEARCH(Assumptions!$C$5,G3381)),Assumptions!$D$5,IF(ISNUMBER(SEARCH(Assumptions!$C$6,G3381)),Assumptions!$D$6,IF(ISNUMBER(SEARCH(Assumptions!$C$7,G3381)),Assumptions!$D$7,"Other Services"))),"Other Services"))</f>
        <v/>
      </c>
    </row>
    <row r="3382" customFormat="false" ht="15" hidden="false" customHeight="false" outlineLevel="0" collapsed="false">
      <c r="F3382" s="41" t="str">
        <f aca="false">IF(E3382="","",IFERROR(VLOOKUP(E3382,Assumptions!$G$5:$H$16,2,0),"Other"))</f>
        <v/>
      </c>
      <c r="J3382" s="41" t="str">
        <f aca="false">IF(G3382="","",IFERROR(IF(ISNUMBER(SEARCH(Assumptions!$C$5,G3382)),Assumptions!$D$5,IF(ISNUMBER(SEARCH(Assumptions!$C$6,G3382)),Assumptions!$D$6,IF(ISNUMBER(SEARCH(Assumptions!$C$7,G3382)),Assumptions!$D$7,"Other Services"))),"Other Services"))</f>
        <v/>
      </c>
    </row>
    <row r="3383" customFormat="false" ht="15" hidden="false" customHeight="false" outlineLevel="0" collapsed="false">
      <c r="F3383" s="41" t="str">
        <f aca="false">IF(E3383="","",IFERROR(VLOOKUP(E3383,Assumptions!$G$5:$H$16,2,0),"Other"))</f>
        <v/>
      </c>
      <c r="J3383" s="41" t="str">
        <f aca="false">IF(G3383="","",IFERROR(IF(ISNUMBER(SEARCH(Assumptions!$C$5,G3383)),Assumptions!$D$5,IF(ISNUMBER(SEARCH(Assumptions!$C$6,G3383)),Assumptions!$D$6,IF(ISNUMBER(SEARCH(Assumptions!$C$7,G3383)),Assumptions!$D$7,"Other Services"))),"Other Services"))</f>
        <v/>
      </c>
    </row>
    <row r="3384" customFormat="false" ht="15" hidden="false" customHeight="false" outlineLevel="0" collapsed="false">
      <c r="F3384" s="41" t="str">
        <f aca="false">IF(E3384="","",IFERROR(VLOOKUP(E3384,Assumptions!$G$5:$H$16,2,0),"Other"))</f>
        <v/>
      </c>
      <c r="J3384" s="41" t="str">
        <f aca="false">IF(G3384="","",IFERROR(IF(ISNUMBER(SEARCH(Assumptions!$C$5,G3384)),Assumptions!$D$5,IF(ISNUMBER(SEARCH(Assumptions!$C$6,G3384)),Assumptions!$D$6,IF(ISNUMBER(SEARCH(Assumptions!$C$7,G3384)),Assumptions!$D$7,"Other Services"))),"Other Services"))</f>
        <v/>
      </c>
    </row>
    <row r="3385" customFormat="false" ht="15" hidden="false" customHeight="false" outlineLevel="0" collapsed="false">
      <c r="F3385" s="41" t="str">
        <f aca="false">IF(E3385="","",IFERROR(VLOOKUP(E3385,Assumptions!$G$5:$H$16,2,0),"Other"))</f>
        <v/>
      </c>
      <c r="J3385" s="41" t="str">
        <f aca="false">IF(G3385="","",IFERROR(IF(ISNUMBER(SEARCH(Assumptions!$C$5,G3385)),Assumptions!$D$5,IF(ISNUMBER(SEARCH(Assumptions!$C$6,G3385)),Assumptions!$D$6,IF(ISNUMBER(SEARCH(Assumptions!$C$7,G3385)),Assumptions!$D$7,"Other Services"))),"Other Services"))</f>
        <v/>
      </c>
    </row>
    <row r="3386" customFormat="false" ht="15" hidden="false" customHeight="false" outlineLevel="0" collapsed="false">
      <c r="F3386" s="41" t="str">
        <f aca="false">IF(E3386="","",IFERROR(VLOOKUP(E3386,Assumptions!$G$5:$H$16,2,0),"Other"))</f>
        <v/>
      </c>
      <c r="J3386" s="41" t="str">
        <f aca="false">IF(G3386="","",IFERROR(IF(ISNUMBER(SEARCH(Assumptions!$C$5,G3386)),Assumptions!$D$5,IF(ISNUMBER(SEARCH(Assumptions!$C$6,G3386)),Assumptions!$D$6,IF(ISNUMBER(SEARCH(Assumptions!$C$7,G3386)),Assumptions!$D$7,"Other Services"))),"Other Services"))</f>
        <v/>
      </c>
    </row>
    <row r="3387" customFormat="false" ht="15" hidden="false" customHeight="false" outlineLevel="0" collapsed="false">
      <c r="F3387" s="41" t="str">
        <f aca="false">IF(E3387="","",IFERROR(VLOOKUP(E3387,Assumptions!$G$5:$H$16,2,0),"Other"))</f>
        <v/>
      </c>
      <c r="J3387" s="41" t="str">
        <f aca="false">IF(G3387="","",IFERROR(IF(ISNUMBER(SEARCH(Assumptions!$C$5,G3387)),Assumptions!$D$5,IF(ISNUMBER(SEARCH(Assumptions!$C$6,G3387)),Assumptions!$D$6,IF(ISNUMBER(SEARCH(Assumptions!$C$7,G3387)),Assumptions!$D$7,"Other Services"))),"Other Services"))</f>
        <v/>
      </c>
    </row>
    <row r="3388" customFormat="false" ht="15" hidden="false" customHeight="false" outlineLevel="0" collapsed="false">
      <c r="F3388" s="41" t="str">
        <f aca="false">IF(E3388="","",IFERROR(VLOOKUP(E3388,Assumptions!$G$5:$H$16,2,0),"Other"))</f>
        <v/>
      </c>
      <c r="J3388" s="41" t="str">
        <f aca="false">IF(G3388="","",IFERROR(IF(ISNUMBER(SEARCH(Assumptions!$C$5,G3388)),Assumptions!$D$5,IF(ISNUMBER(SEARCH(Assumptions!$C$6,G3388)),Assumptions!$D$6,IF(ISNUMBER(SEARCH(Assumptions!$C$7,G3388)),Assumptions!$D$7,"Other Services"))),"Other Services"))</f>
        <v/>
      </c>
    </row>
    <row r="3389" customFormat="false" ht="15" hidden="false" customHeight="false" outlineLevel="0" collapsed="false">
      <c r="F3389" s="41" t="str">
        <f aca="false">IF(E3389="","",IFERROR(VLOOKUP(E3389,Assumptions!$G$5:$H$16,2,0),"Other"))</f>
        <v/>
      </c>
      <c r="J3389" s="41" t="str">
        <f aca="false">IF(G3389="","",IFERROR(IF(ISNUMBER(SEARCH(Assumptions!$C$5,G3389)),Assumptions!$D$5,IF(ISNUMBER(SEARCH(Assumptions!$C$6,G3389)),Assumptions!$D$6,IF(ISNUMBER(SEARCH(Assumptions!$C$7,G3389)),Assumptions!$D$7,"Other Services"))),"Other Services"))</f>
        <v/>
      </c>
    </row>
    <row r="3390" customFormat="false" ht="15" hidden="false" customHeight="false" outlineLevel="0" collapsed="false">
      <c r="F3390" s="41" t="str">
        <f aca="false">IF(E3390="","",IFERROR(VLOOKUP(E3390,Assumptions!$G$5:$H$16,2,0),"Other"))</f>
        <v/>
      </c>
      <c r="J3390" s="41" t="str">
        <f aca="false">IF(G3390="","",IFERROR(IF(ISNUMBER(SEARCH(Assumptions!$C$5,G3390)),Assumptions!$D$5,IF(ISNUMBER(SEARCH(Assumptions!$C$6,G3390)),Assumptions!$D$6,IF(ISNUMBER(SEARCH(Assumptions!$C$7,G3390)),Assumptions!$D$7,"Other Services"))),"Other Services"))</f>
        <v/>
      </c>
    </row>
    <row r="3391" customFormat="false" ht="15" hidden="false" customHeight="false" outlineLevel="0" collapsed="false">
      <c r="F3391" s="41" t="str">
        <f aca="false">IF(E3391="","",IFERROR(VLOOKUP(E3391,Assumptions!$G$5:$H$16,2,0),"Other"))</f>
        <v/>
      </c>
      <c r="J3391" s="41" t="str">
        <f aca="false">IF(G3391="","",IFERROR(IF(ISNUMBER(SEARCH(Assumptions!$C$5,G3391)),Assumptions!$D$5,IF(ISNUMBER(SEARCH(Assumptions!$C$6,G3391)),Assumptions!$D$6,IF(ISNUMBER(SEARCH(Assumptions!$C$7,G3391)),Assumptions!$D$7,"Other Services"))),"Other Services"))</f>
        <v/>
      </c>
    </row>
    <row r="3392" customFormat="false" ht="15" hidden="false" customHeight="false" outlineLevel="0" collapsed="false">
      <c r="F3392" s="41" t="str">
        <f aca="false">IF(E3392="","",IFERROR(VLOOKUP(E3392,Assumptions!$G$5:$H$16,2,0),"Other"))</f>
        <v/>
      </c>
      <c r="J3392" s="41" t="str">
        <f aca="false">IF(G3392="","",IFERROR(IF(ISNUMBER(SEARCH(Assumptions!$C$5,G3392)),Assumptions!$D$5,IF(ISNUMBER(SEARCH(Assumptions!$C$6,G3392)),Assumptions!$D$6,IF(ISNUMBER(SEARCH(Assumptions!$C$7,G3392)),Assumptions!$D$7,"Other Services"))),"Other Services"))</f>
        <v/>
      </c>
    </row>
    <row r="3393" customFormat="false" ht="15" hidden="false" customHeight="false" outlineLevel="0" collapsed="false">
      <c r="F3393" s="41" t="str">
        <f aca="false">IF(E3393="","",IFERROR(VLOOKUP(E3393,Assumptions!$G$5:$H$16,2,0),"Other"))</f>
        <v/>
      </c>
      <c r="J3393" s="41" t="str">
        <f aca="false">IF(G3393="","",IFERROR(IF(ISNUMBER(SEARCH(Assumptions!$C$5,G3393)),Assumptions!$D$5,IF(ISNUMBER(SEARCH(Assumptions!$C$6,G3393)),Assumptions!$D$6,IF(ISNUMBER(SEARCH(Assumptions!$C$7,G3393)),Assumptions!$D$7,"Other Services"))),"Other Services"))</f>
        <v/>
      </c>
    </row>
    <row r="3394" customFormat="false" ht="15" hidden="false" customHeight="false" outlineLevel="0" collapsed="false">
      <c r="F3394" s="41" t="str">
        <f aca="false">IF(E3394="","",IFERROR(VLOOKUP(E3394,Assumptions!$G$5:$H$16,2,0),"Other"))</f>
        <v/>
      </c>
      <c r="J3394" s="41" t="str">
        <f aca="false">IF(G3394="","",IFERROR(IF(ISNUMBER(SEARCH(Assumptions!$C$5,G3394)),Assumptions!$D$5,IF(ISNUMBER(SEARCH(Assumptions!$C$6,G3394)),Assumptions!$D$6,IF(ISNUMBER(SEARCH(Assumptions!$C$7,G3394)),Assumptions!$D$7,"Other Services"))),"Other Services"))</f>
        <v/>
      </c>
    </row>
    <row r="3395" customFormat="false" ht="15" hidden="false" customHeight="false" outlineLevel="0" collapsed="false">
      <c r="F3395" s="41" t="str">
        <f aca="false">IF(E3395="","",IFERROR(VLOOKUP(E3395,Assumptions!$G$5:$H$16,2,0),"Other"))</f>
        <v/>
      </c>
      <c r="J3395" s="41" t="str">
        <f aca="false">IF(G3395="","",IFERROR(IF(ISNUMBER(SEARCH(Assumptions!$C$5,G3395)),Assumptions!$D$5,IF(ISNUMBER(SEARCH(Assumptions!$C$6,G3395)),Assumptions!$D$6,IF(ISNUMBER(SEARCH(Assumptions!$C$7,G3395)),Assumptions!$D$7,"Other Services"))),"Other Services"))</f>
        <v/>
      </c>
    </row>
    <row r="3396" customFormat="false" ht="15" hidden="false" customHeight="false" outlineLevel="0" collapsed="false">
      <c r="F3396" s="41" t="str">
        <f aca="false">IF(E3396="","",IFERROR(VLOOKUP(E3396,Assumptions!$G$5:$H$16,2,0),"Other"))</f>
        <v/>
      </c>
      <c r="J3396" s="41" t="str">
        <f aca="false">IF(G3396="","",IFERROR(IF(ISNUMBER(SEARCH(Assumptions!$C$5,G3396)),Assumptions!$D$5,IF(ISNUMBER(SEARCH(Assumptions!$C$6,G3396)),Assumptions!$D$6,IF(ISNUMBER(SEARCH(Assumptions!$C$7,G3396)),Assumptions!$D$7,"Other Services"))),"Other Services"))</f>
        <v/>
      </c>
    </row>
    <row r="3397" customFormat="false" ht="15" hidden="false" customHeight="false" outlineLevel="0" collapsed="false">
      <c r="F3397" s="41" t="str">
        <f aca="false">IF(E3397="","",IFERROR(VLOOKUP(E3397,Assumptions!$G$5:$H$16,2,0),"Other"))</f>
        <v/>
      </c>
      <c r="J3397" s="41" t="str">
        <f aca="false">IF(G3397="","",IFERROR(IF(ISNUMBER(SEARCH(Assumptions!$C$5,G3397)),Assumptions!$D$5,IF(ISNUMBER(SEARCH(Assumptions!$C$6,G3397)),Assumptions!$D$6,IF(ISNUMBER(SEARCH(Assumptions!$C$7,G3397)),Assumptions!$D$7,"Other Services"))),"Other Services"))</f>
        <v/>
      </c>
    </row>
    <row r="3398" customFormat="false" ht="15" hidden="false" customHeight="false" outlineLevel="0" collapsed="false">
      <c r="F3398" s="41" t="str">
        <f aca="false">IF(E3398="","",IFERROR(VLOOKUP(E3398,Assumptions!$G$5:$H$16,2,0),"Other"))</f>
        <v/>
      </c>
      <c r="J3398" s="41" t="str">
        <f aca="false">IF(G3398="","",IFERROR(IF(ISNUMBER(SEARCH(Assumptions!$C$5,G3398)),Assumptions!$D$5,IF(ISNUMBER(SEARCH(Assumptions!$C$6,G3398)),Assumptions!$D$6,IF(ISNUMBER(SEARCH(Assumptions!$C$7,G3398)),Assumptions!$D$7,"Other Services"))),"Other Services"))</f>
        <v/>
      </c>
    </row>
    <row r="3399" customFormat="false" ht="15" hidden="false" customHeight="false" outlineLevel="0" collapsed="false">
      <c r="F3399" s="41" t="str">
        <f aca="false">IF(E3399="","",IFERROR(VLOOKUP(E3399,Assumptions!$G$5:$H$16,2,0),"Other"))</f>
        <v/>
      </c>
      <c r="J3399" s="41" t="str">
        <f aca="false">IF(G3399="","",IFERROR(IF(ISNUMBER(SEARCH(Assumptions!$C$5,G3399)),Assumptions!$D$5,IF(ISNUMBER(SEARCH(Assumptions!$C$6,G3399)),Assumptions!$D$6,IF(ISNUMBER(SEARCH(Assumptions!$C$7,G3399)),Assumptions!$D$7,"Other Services"))),"Other Services"))</f>
        <v/>
      </c>
    </row>
    <row r="3400" customFormat="false" ht="15" hidden="false" customHeight="false" outlineLevel="0" collapsed="false">
      <c r="F3400" s="41" t="str">
        <f aca="false">IF(E3400="","",IFERROR(VLOOKUP(E3400,Assumptions!$G$5:$H$16,2,0),"Other"))</f>
        <v/>
      </c>
      <c r="J3400" s="41" t="str">
        <f aca="false">IF(G3400="","",IFERROR(IF(ISNUMBER(SEARCH(Assumptions!$C$5,G3400)),Assumptions!$D$5,IF(ISNUMBER(SEARCH(Assumptions!$C$6,G3400)),Assumptions!$D$6,IF(ISNUMBER(SEARCH(Assumptions!$C$7,G3400)),Assumptions!$D$7,"Other Services"))),"Other Services"))</f>
        <v/>
      </c>
    </row>
    <row r="3401" customFormat="false" ht="15" hidden="false" customHeight="false" outlineLevel="0" collapsed="false">
      <c r="F3401" s="41" t="str">
        <f aca="false">IF(E3401="","",IFERROR(VLOOKUP(E3401,Assumptions!$G$5:$H$16,2,0),"Other"))</f>
        <v/>
      </c>
      <c r="J3401" s="41" t="str">
        <f aca="false">IF(G3401="","",IFERROR(IF(ISNUMBER(SEARCH(Assumptions!$C$5,G3401)),Assumptions!$D$5,IF(ISNUMBER(SEARCH(Assumptions!$C$6,G3401)),Assumptions!$D$6,IF(ISNUMBER(SEARCH(Assumptions!$C$7,G3401)),Assumptions!$D$7,"Other Services"))),"Other Services"))</f>
        <v/>
      </c>
    </row>
    <row r="3402" customFormat="false" ht="15" hidden="false" customHeight="false" outlineLevel="0" collapsed="false">
      <c r="F3402" s="41" t="str">
        <f aca="false">IF(E3402="","",IFERROR(VLOOKUP(E3402,Assumptions!$G$5:$H$16,2,0),"Other"))</f>
        <v/>
      </c>
      <c r="J3402" s="41" t="str">
        <f aca="false">IF(G3402="","",IFERROR(IF(ISNUMBER(SEARCH(Assumptions!$C$5,G3402)),Assumptions!$D$5,IF(ISNUMBER(SEARCH(Assumptions!$C$6,G3402)),Assumptions!$D$6,IF(ISNUMBER(SEARCH(Assumptions!$C$7,G3402)),Assumptions!$D$7,"Other Services"))),"Other Services"))</f>
        <v/>
      </c>
    </row>
    <row r="3403" customFormat="false" ht="15" hidden="false" customHeight="false" outlineLevel="0" collapsed="false">
      <c r="F3403" s="41" t="str">
        <f aca="false">IF(E3403="","",IFERROR(VLOOKUP(E3403,Assumptions!$G$5:$H$16,2,0),"Other"))</f>
        <v/>
      </c>
      <c r="J3403" s="41" t="str">
        <f aca="false">IF(G3403="","",IFERROR(IF(ISNUMBER(SEARCH(Assumptions!$C$5,G3403)),Assumptions!$D$5,IF(ISNUMBER(SEARCH(Assumptions!$C$6,G3403)),Assumptions!$D$6,IF(ISNUMBER(SEARCH(Assumptions!$C$7,G3403)),Assumptions!$D$7,"Other Services"))),"Other Services"))</f>
        <v/>
      </c>
    </row>
    <row r="3404" customFormat="false" ht="15" hidden="false" customHeight="false" outlineLevel="0" collapsed="false">
      <c r="F3404" s="41" t="str">
        <f aca="false">IF(E3404="","",IFERROR(VLOOKUP(E3404,Assumptions!$G$5:$H$16,2,0),"Other"))</f>
        <v/>
      </c>
      <c r="J3404" s="41" t="str">
        <f aca="false">IF(G3404="","",IFERROR(IF(ISNUMBER(SEARCH(Assumptions!$C$5,G3404)),Assumptions!$D$5,IF(ISNUMBER(SEARCH(Assumptions!$C$6,G3404)),Assumptions!$D$6,IF(ISNUMBER(SEARCH(Assumptions!$C$7,G3404)),Assumptions!$D$7,"Other Services"))),"Other Services"))</f>
        <v/>
      </c>
    </row>
    <row r="3405" customFormat="false" ht="15" hidden="false" customHeight="false" outlineLevel="0" collapsed="false">
      <c r="F3405" s="41" t="str">
        <f aca="false">IF(E3405="","",IFERROR(VLOOKUP(E3405,Assumptions!$G$5:$H$16,2,0),"Other"))</f>
        <v/>
      </c>
      <c r="J3405" s="41" t="str">
        <f aca="false">IF(G3405="","",IFERROR(IF(ISNUMBER(SEARCH(Assumptions!$C$5,G3405)),Assumptions!$D$5,IF(ISNUMBER(SEARCH(Assumptions!$C$6,G3405)),Assumptions!$D$6,IF(ISNUMBER(SEARCH(Assumptions!$C$7,G3405)),Assumptions!$D$7,"Other Services"))),"Other Services"))</f>
        <v/>
      </c>
    </row>
    <row r="3406" customFormat="false" ht="15" hidden="false" customHeight="false" outlineLevel="0" collapsed="false">
      <c r="F3406" s="41" t="str">
        <f aca="false">IF(E3406="","",IFERROR(VLOOKUP(E3406,Assumptions!$G$5:$H$16,2,0),"Other"))</f>
        <v/>
      </c>
      <c r="J3406" s="41" t="str">
        <f aca="false">IF(G3406="","",IFERROR(IF(ISNUMBER(SEARCH(Assumptions!$C$5,G3406)),Assumptions!$D$5,IF(ISNUMBER(SEARCH(Assumptions!$C$6,G3406)),Assumptions!$D$6,IF(ISNUMBER(SEARCH(Assumptions!$C$7,G3406)),Assumptions!$D$7,"Other Services"))),"Other Services"))</f>
        <v/>
      </c>
    </row>
    <row r="3407" customFormat="false" ht="15" hidden="false" customHeight="false" outlineLevel="0" collapsed="false">
      <c r="F3407" s="41" t="str">
        <f aca="false">IF(E3407="","",IFERROR(VLOOKUP(E3407,Assumptions!$G$5:$H$16,2,0),"Other"))</f>
        <v/>
      </c>
      <c r="J3407" s="41" t="str">
        <f aca="false">IF(G3407="","",IFERROR(IF(ISNUMBER(SEARCH(Assumptions!$C$5,G3407)),Assumptions!$D$5,IF(ISNUMBER(SEARCH(Assumptions!$C$6,G3407)),Assumptions!$D$6,IF(ISNUMBER(SEARCH(Assumptions!$C$7,G3407)),Assumptions!$D$7,"Other Services"))),"Other Services"))</f>
        <v/>
      </c>
    </row>
    <row r="3408" customFormat="false" ht="15" hidden="false" customHeight="false" outlineLevel="0" collapsed="false">
      <c r="F3408" s="41" t="str">
        <f aca="false">IF(E3408="","",IFERROR(VLOOKUP(E3408,Assumptions!$G$5:$H$16,2,0),"Other"))</f>
        <v/>
      </c>
      <c r="J3408" s="41" t="str">
        <f aca="false">IF(G3408="","",IFERROR(IF(ISNUMBER(SEARCH(Assumptions!$C$5,G3408)),Assumptions!$D$5,IF(ISNUMBER(SEARCH(Assumptions!$C$6,G3408)),Assumptions!$D$6,IF(ISNUMBER(SEARCH(Assumptions!$C$7,G3408)),Assumptions!$D$7,"Other Services"))),"Other Services"))</f>
        <v/>
      </c>
    </row>
    <row r="3409" customFormat="false" ht="15" hidden="false" customHeight="false" outlineLevel="0" collapsed="false">
      <c r="F3409" s="41" t="str">
        <f aca="false">IF(E3409="","",IFERROR(VLOOKUP(E3409,Assumptions!$G$5:$H$16,2,0),"Other"))</f>
        <v/>
      </c>
      <c r="J3409" s="41" t="str">
        <f aca="false">IF(G3409="","",IFERROR(IF(ISNUMBER(SEARCH(Assumptions!$C$5,G3409)),Assumptions!$D$5,IF(ISNUMBER(SEARCH(Assumptions!$C$6,G3409)),Assumptions!$D$6,IF(ISNUMBER(SEARCH(Assumptions!$C$7,G3409)),Assumptions!$D$7,"Other Services"))),"Other Services"))</f>
        <v/>
      </c>
    </row>
    <row r="3410" customFormat="false" ht="15" hidden="false" customHeight="false" outlineLevel="0" collapsed="false">
      <c r="F3410" s="41" t="str">
        <f aca="false">IF(E3410="","",IFERROR(VLOOKUP(E3410,Assumptions!$G$5:$H$16,2,0),"Other"))</f>
        <v/>
      </c>
      <c r="J3410" s="41" t="str">
        <f aca="false">IF(G3410="","",IFERROR(IF(ISNUMBER(SEARCH(Assumptions!$C$5,G3410)),Assumptions!$D$5,IF(ISNUMBER(SEARCH(Assumptions!$C$6,G3410)),Assumptions!$D$6,IF(ISNUMBER(SEARCH(Assumptions!$C$7,G3410)),Assumptions!$D$7,"Other Services"))),"Other Services"))</f>
        <v/>
      </c>
    </row>
    <row r="3411" customFormat="false" ht="15" hidden="false" customHeight="false" outlineLevel="0" collapsed="false">
      <c r="F3411" s="41" t="str">
        <f aca="false">IF(E3411="","",IFERROR(VLOOKUP(E3411,Assumptions!$G$5:$H$16,2,0),"Other"))</f>
        <v/>
      </c>
      <c r="J3411" s="41" t="str">
        <f aca="false">IF(G3411="","",IFERROR(IF(ISNUMBER(SEARCH(Assumptions!$C$5,G3411)),Assumptions!$D$5,IF(ISNUMBER(SEARCH(Assumptions!$C$6,G3411)),Assumptions!$D$6,IF(ISNUMBER(SEARCH(Assumptions!$C$7,G3411)),Assumptions!$D$7,"Other Services"))),"Other Services"))</f>
        <v/>
      </c>
    </row>
    <row r="3412" customFormat="false" ht="15" hidden="false" customHeight="false" outlineLevel="0" collapsed="false">
      <c r="F3412" s="41" t="str">
        <f aca="false">IF(E3412="","",IFERROR(VLOOKUP(E3412,Assumptions!$G$5:$H$16,2,0),"Other"))</f>
        <v/>
      </c>
      <c r="J3412" s="41" t="str">
        <f aca="false">IF(G3412="","",IFERROR(IF(ISNUMBER(SEARCH(Assumptions!$C$5,G3412)),Assumptions!$D$5,IF(ISNUMBER(SEARCH(Assumptions!$C$6,G3412)),Assumptions!$D$6,IF(ISNUMBER(SEARCH(Assumptions!$C$7,G3412)),Assumptions!$D$7,"Other Services"))),"Other Services"))</f>
        <v/>
      </c>
    </row>
    <row r="3413" customFormat="false" ht="15" hidden="false" customHeight="false" outlineLevel="0" collapsed="false">
      <c r="F3413" s="41" t="str">
        <f aca="false">IF(E3413="","",IFERROR(VLOOKUP(E3413,Assumptions!$G$5:$H$16,2,0),"Other"))</f>
        <v/>
      </c>
      <c r="J3413" s="41" t="str">
        <f aca="false">IF(G3413="","",IFERROR(IF(ISNUMBER(SEARCH(Assumptions!$C$5,G3413)),Assumptions!$D$5,IF(ISNUMBER(SEARCH(Assumptions!$C$6,G3413)),Assumptions!$D$6,IF(ISNUMBER(SEARCH(Assumptions!$C$7,G3413)),Assumptions!$D$7,"Other Services"))),"Other Services"))</f>
        <v/>
      </c>
    </row>
    <row r="3414" customFormat="false" ht="15" hidden="false" customHeight="false" outlineLevel="0" collapsed="false">
      <c r="F3414" s="41" t="str">
        <f aca="false">IF(E3414="","",IFERROR(VLOOKUP(E3414,Assumptions!$G$5:$H$16,2,0),"Other"))</f>
        <v/>
      </c>
      <c r="J3414" s="41" t="str">
        <f aca="false">IF(G3414="","",IFERROR(IF(ISNUMBER(SEARCH(Assumptions!$C$5,G3414)),Assumptions!$D$5,IF(ISNUMBER(SEARCH(Assumptions!$C$6,G3414)),Assumptions!$D$6,IF(ISNUMBER(SEARCH(Assumptions!$C$7,G3414)),Assumptions!$D$7,"Other Services"))),"Other Services"))</f>
        <v/>
      </c>
    </row>
    <row r="3415" customFormat="false" ht="15" hidden="false" customHeight="false" outlineLevel="0" collapsed="false">
      <c r="F3415" s="41" t="str">
        <f aca="false">IF(E3415="","",IFERROR(VLOOKUP(E3415,Assumptions!$G$5:$H$16,2,0),"Other"))</f>
        <v/>
      </c>
      <c r="J3415" s="41" t="str">
        <f aca="false">IF(G3415="","",IFERROR(IF(ISNUMBER(SEARCH(Assumptions!$C$5,G3415)),Assumptions!$D$5,IF(ISNUMBER(SEARCH(Assumptions!$C$6,G3415)),Assumptions!$D$6,IF(ISNUMBER(SEARCH(Assumptions!$C$7,G3415)),Assumptions!$D$7,"Other Services"))),"Other Services"))</f>
        <v/>
      </c>
    </row>
    <row r="3416" customFormat="false" ht="15" hidden="false" customHeight="false" outlineLevel="0" collapsed="false">
      <c r="F3416" s="41" t="str">
        <f aca="false">IF(E3416="","",IFERROR(VLOOKUP(E3416,Assumptions!$G$5:$H$16,2,0),"Other"))</f>
        <v/>
      </c>
      <c r="J3416" s="41" t="str">
        <f aca="false">IF(G3416="","",IFERROR(IF(ISNUMBER(SEARCH(Assumptions!$C$5,G3416)),Assumptions!$D$5,IF(ISNUMBER(SEARCH(Assumptions!$C$6,G3416)),Assumptions!$D$6,IF(ISNUMBER(SEARCH(Assumptions!$C$7,G3416)),Assumptions!$D$7,"Other Services"))),"Other Services"))</f>
        <v/>
      </c>
    </row>
    <row r="3417" customFormat="false" ht="15" hidden="false" customHeight="false" outlineLevel="0" collapsed="false">
      <c r="F3417" s="41" t="str">
        <f aca="false">IF(E3417="","",IFERROR(VLOOKUP(E3417,Assumptions!$G$5:$H$16,2,0),"Other"))</f>
        <v/>
      </c>
      <c r="J3417" s="41" t="str">
        <f aca="false">IF(G3417="","",IFERROR(IF(ISNUMBER(SEARCH(Assumptions!$C$5,G3417)),Assumptions!$D$5,IF(ISNUMBER(SEARCH(Assumptions!$C$6,G3417)),Assumptions!$D$6,IF(ISNUMBER(SEARCH(Assumptions!$C$7,G3417)),Assumptions!$D$7,"Other Services"))),"Other Services"))</f>
        <v/>
      </c>
    </row>
    <row r="3418" customFormat="false" ht="15" hidden="false" customHeight="false" outlineLevel="0" collapsed="false">
      <c r="F3418" s="41" t="str">
        <f aca="false">IF(E3418="","",IFERROR(VLOOKUP(E3418,Assumptions!$G$5:$H$16,2,0),"Other"))</f>
        <v/>
      </c>
      <c r="J3418" s="41" t="str">
        <f aca="false">IF(G3418="","",IFERROR(IF(ISNUMBER(SEARCH(Assumptions!$C$5,G3418)),Assumptions!$D$5,IF(ISNUMBER(SEARCH(Assumptions!$C$6,G3418)),Assumptions!$D$6,IF(ISNUMBER(SEARCH(Assumptions!$C$7,G3418)),Assumptions!$D$7,"Other Services"))),"Other Services"))</f>
        <v/>
      </c>
    </row>
    <row r="3419" customFormat="false" ht="15" hidden="false" customHeight="false" outlineLevel="0" collapsed="false">
      <c r="F3419" s="41" t="str">
        <f aca="false">IF(E3419="","",IFERROR(VLOOKUP(E3419,Assumptions!$G$5:$H$16,2,0),"Other"))</f>
        <v/>
      </c>
      <c r="J3419" s="41" t="str">
        <f aca="false">IF(G3419="","",IFERROR(IF(ISNUMBER(SEARCH(Assumptions!$C$5,G3419)),Assumptions!$D$5,IF(ISNUMBER(SEARCH(Assumptions!$C$6,G3419)),Assumptions!$D$6,IF(ISNUMBER(SEARCH(Assumptions!$C$7,G3419)),Assumptions!$D$7,"Other Services"))),"Other Services"))</f>
        <v/>
      </c>
    </row>
    <row r="3420" customFormat="false" ht="15" hidden="false" customHeight="false" outlineLevel="0" collapsed="false">
      <c r="F3420" s="41" t="str">
        <f aca="false">IF(E3420="","",IFERROR(VLOOKUP(E3420,Assumptions!$G$5:$H$16,2,0),"Other"))</f>
        <v/>
      </c>
      <c r="J3420" s="41" t="str">
        <f aca="false">IF(G3420="","",IFERROR(IF(ISNUMBER(SEARCH(Assumptions!$C$5,G3420)),Assumptions!$D$5,IF(ISNUMBER(SEARCH(Assumptions!$C$6,G3420)),Assumptions!$D$6,IF(ISNUMBER(SEARCH(Assumptions!$C$7,G3420)),Assumptions!$D$7,"Other Services"))),"Other Services"))</f>
        <v/>
      </c>
    </row>
    <row r="3421" customFormat="false" ht="15" hidden="false" customHeight="false" outlineLevel="0" collapsed="false">
      <c r="F3421" s="41" t="str">
        <f aca="false">IF(E3421="","",IFERROR(VLOOKUP(E3421,Assumptions!$G$5:$H$16,2,0),"Other"))</f>
        <v/>
      </c>
      <c r="J3421" s="41" t="str">
        <f aca="false">IF(G3421="","",IFERROR(IF(ISNUMBER(SEARCH(Assumptions!$C$5,G3421)),Assumptions!$D$5,IF(ISNUMBER(SEARCH(Assumptions!$C$6,G3421)),Assumptions!$D$6,IF(ISNUMBER(SEARCH(Assumptions!$C$7,G3421)),Assumptions!$D$7,"Other Services"))),"Other Services"))</f>
        <v/>
      </c>
    </row>
    <row r="3422" customFormat="false" ht="15" hidden="false" customHeight="false" outlineLevel="0" collapsed="false">
      <c r="F3422" s="41" t="str">
        <f aca="false">IF(E3422="","",IFERROR(VLOOKUP(E3422,Assumptions!$G$5:$H$16,2,0),"Other"))</f>
        <v/>
      </c>
      <c r="J3422" s="41" t="str">
        <f aca="false">IF(G3422="","",IFERROR(IF(ISNUMBER(SEARCH(Assumptions!$C$5,G3422)),Assumptions!$D$5,IF(ISNUMBER(SEARCH(Assumptions!$C$6,G3422)),Assumptions!$D$6,IF(ISNUMBER(SEARCH(Assumptions!$C$7,G3422)),Assumptions!$D$7,"Other Services"))),"Other Services"))</f>
        <v/>
      </c>
    </row>
    <row r="3423" customFormat="false" ht="15" hidden="false" customHeight="false" outlineLevel="0" collapsed="false">
      <c r="F3423" s="41" t="str">
        <f aca="false">IF(E3423="","",IFERROR(VLOOKUP(E3423,Assumptions!$G$5:$H$16,2,0),"Other"))</f>
        <v/>
      </c>
      <c r="J3423" s="41" t="str">
        <f aca="false">IF(G3423="","",IFERROR(IF(ISNUMBER(SEARCH(Assumptions!$C$5,G3423)),Assumptions!$D$5,IF(ISNUMBER(SEARCH(Assumptions!$C$6,G3423)),Assumptions!$D$6,IF(ISNUMBER(SEARCH(Assumptions!$C$7,G3423)),Assumptions!$D$7,"Other Services"))),"Other Services"))</f>
        <v/>
      </c>
    </row>
    <row r="3424" customFormat="false" ht="15" hidden="false" customHeight="false" outlineLevel="0" collapsed="false">
      <c r="F3424" s="41" t="str">
        <f aca="false">IF(E3424="","",IFERROR(VLOOKUP(E3424,Assumptions!$G$5:$H$16,2,0),"Other"))</f>
        <v/>
      </c>
      <c r="J3424" s="41" t="str">
        <f aca="false">IF(G3424="","",IFERROR(IF(ISNUMBER(SEARCH(Assumptions!$C$5,G3424)),Assumptions!$D$5,IF(ISNUMBER(SEARCH(Assumptions!$C$6,G3424)),Assumptions!$D$6,IF(ISNUMBER(SEARCH(Assumptions!$C$7,G3424)),Assumptions!$D$7,"Other Services"))),"Other Services"))</f>
        <v/>
      </c>
    </row>
    <row r="3425" customFormat="false" ht="15" hidden="false" customHeight="false" outlineLevel="0" collapsed="false">
      <c r="F3425" s="41" t="str">
        <f aca="false">IF(E3425="","",IFERROR(VLOOKUP(E3425,Assumptions!$G$5:$H$16,2,0),"Other"))</f>
        <v/>
      </c>
      <c r="J3425" s="41" t="str">
        <f aca="false">IF(G3425="","",IFERROR(IF(ISNUMBER(SEARCH(Assumptions!$C$5,G3425)),Assumptions!$D$5,IF(ISNUMBER(SEARCH(Assumptions!$C$6,G3425)),Assumptions!$D$6,IF(ISNUMBER(SEARCH(Assumptions!$C$7,G3425)),Assumptions!$D$7,"Other Services"))),"Other Services"))</f>
        <v/>
      </c>
    </row>
    <row r="3426" customFormat="false" ht="15" hidden="false" customHeight="false" outlineLevel="0" collapsed="false">
      <c r="F3426" s="41" t="str">
        <f aca="false">IF(E3426="","",IFERROR(VLOOKUP(E3426,Assumptions!$G$5:$H$16,2,0),"Other"))</f>
        <v/>
      </c>
      <c r="J3426" s="41" t="str">
        <f aca="false">IF(G3426="","",IFERROR(IF(ISNUMBER(SEARCH(Assumptions!$C$5,G3426)),Assumptions!$D$5,IF(ISNUMBER(SEARCH(Assumptions!$C$6,G3426)),Assumptions!$D$6,IF(ISNUMBER(SEARCH(Assumptions!$C$7,G3426)),Assumptions!$D$7,"Other Services"))),"Other Services"))</f>
        <v/>
      </c>
    </row>
    <row r="3427" customFormat="false" ht="15" hidden="false" customHeight="false" outlineLevel="0" collapsed="false">
      <c r="F3427" s="41" t="str">
        <f aca="false">IF(E3427="","",IFERROR(VLOOKUP(E3427,Assumptions!$G$5:$H$16,2,0),"Other"))</f>
        <v/>
      </c>
      <c r="J3427" s="41" t="str">
        <f aca="false">IF(G3427="","",IFERROR(IF(ISNUMBER(SEARCH(Assumptions!$C$5,G3427)),Assumptions!$D$5,IF(ISNUMBER(SEARCH(Assumptions!$C$6,G3427)),Assumptions!$D$6,IF(ISNUMBER(SEARCH(Assumptions!$C$7,G3427)),Assumptions!$D$7,"Other Services"))),"Other Services"))</f>
        <v/>
      </c>
    </row>
    <row r="3428" customFormat="false" ht="15" hidden="false" customHeight="false" outlineLevel="0" collapsed="false">
      <c r="F3428" s="41" t="str">
        <f aca="false">IF(E3428="","",IFERROR(VLOOKUP(E3428,Assumptions!$G$5:$H$16,2,0),"Other"))</f>
        <v/>
      </c>
      <c r="J3428" s="41" t="str">
        <f aca="false">IF(G3428="","",IFERROR(IF(ISNUMBER(SEARCH(Assumptions!$C$5,G3428)),Assumptions!$D$5,IF(ISNUMBER(SEARCH(Assumptions!$C$6,G3428)),Assumptions!$D$6,IF(ISNUMBER(SEARCH(Assumptions!$C$7,G3428)),Assumptions!$D$7,"Other Services"))),"Other Services"))</f>
        <v/>
      </c>
    </row>
    <row r="3429" customFormat="false" ht="15" hidden="false" customHeight="false" outlineLevel="0" collapsed="false">
      <c r="F3429" s="41" t="str">
        <f aca="false">IF(E3429="","",IFERROR(VLOOKUP(E3429,Assumptions!$G$5:$H$16,2,0),"Other"))</f>
        <v/>
      </c>
      <c r="J3429" s="41" t="str">
        <f aca="false">IF(G3429="","",IFERROR(IF(ISNUMBER(SEARCH(Assumptions!$C$5,G3429)),Assumptions!$D$5,IF(ISNUMBER(SEARCH(Assumptions!$C$6,G3429)),Assumptions!$D$6,IF(ISNUMBER(SEARCH(Assumptions!$C$7,G3429)),Assumptions!$D$7,"Other Services"))),"Other Services"))</f>
        <v/>
      </c>
    </row>
    <row r="3430" customFormat="false" ht="15" hidden="false" customHeight="false" outlineLevel="0" collapsed="false">
      <c r="F3430" s="41" t="str">
        <f aca="false">IF(E3430="","",IFERROR(VLOOKUP(E3430,Assumptions!$G$5:$H$16,2,0),"Other"))</f>
        <v/>
      </c>
      <c r="J3430" s="41" t="str">
        <f aca="false">IF(G3430="","",IFERROR(IF(ISNUMBER(SEARCH(Assumptions!$C$5,G3430)),Assumptions!$D$5,IF(ISNUMBER(SEARCH(Assumptions!$C$6,G3430)),Assumptions!$D$6,IF(ISNUMBER(SEARCH(Assumptions!$C$7,G3430)),Assumptions!$D$7,"Other Services"))),"Other Services"))</f>
        <v/>
      </c>
    </row>
    <row r="3431" customFormat="false" ht="15" hidden="false" customHeight="false" outlineLevel="0" collapsed="false">
      <c r="F3431" s="41" t="str">
        <f aca="false">IF(E3431="","",IFERROR(VLOOKUP(E3431,Assumptions!$G$5:$H$16,2,0),"Other"))</f>
        <v/>
      </c>
      <c r="J3431" s="41" t="str">
        <f aca="false">IF(G3431="","",IFERROR(IF(ISNUMBER(SEARCH(Assumptions!$C$5,G3431)),Assumptions!$D$5,IF(ISNUMBER(SEARCH(Assumptions!$C$6,G3431)),Assumptions!$D$6,IF(ISNUMBER(SEARCH(Assumptions!$C$7,G3431)),Assumptions!$D$7,"Other Services"))),"Other Services"))</f>
        <v/>
      </c>
    </row>
    <row r="3432" customFormat="false" ht="15" hidden="false" customHeight="false" outlineLevel="0" collapsed="false">
      <c r="F3432" s="41" t="str">
        <f aca="false">IF(E3432="","",IFERROR(VLOOKUP(E3432,Assumptions!$G$5:$H$16,2,0),"Other"))</f>
        <v/>
      </c>
      <c r="J3432" s="41" t="str">
        <f aca="false">IF(G3432="","",IFERROR(IF(ISNUMBER(SEARCH(Assumptions!$C$5,G3432)),Assumptions!$D$5,IF(ISNUMBER(SEARCH(Assumptions!$C$6,G3432)),Assumptions!$D$6,IF(ISNUMBER(SEARCH(Assumptions!$C$7,G3432)),Assumptions!$D$7,"Other Services"))),"Other Services"))</f>
        <v/>
      </c>
    </row>
    <row r="3433" customFormat="false" ht="15" hidden="false" customHeight="false" outlineLevel="0" collapsed="false">
      <c r="F3433" s="41" t="str">
        <f aca="false">IF(E3433="","",IFERROR(VLOOKUP(E3433,Assumptions!$G$5:$H$16,2,0),"Other"))</f>
        <v/>
      </c>
      <c r="J3433" s="41" t="str">
        <f aca="false">IF(G3433="","",IFERROR(IF(ISNUMBER(SEARCH(Assumptions!$C$5,G3433)),Assumptions!$D$5,IF(ISNUMBER(SEARCH(Assumptions!$C$6,G3433)),Assumptions!$D$6,IF(ISNUMBER(SEARCH(Assumptions!$C$7,G3433)),Assumptions!$D$7,"Other Services"))),"Other Services"))</f>
        <v/>
      </c>
    </row>
    <row r="3434" customFormat="false" ht="15" hidden="false" customHeight="false" outlineLevel="0" collapsed="false">
      <c r="F3434" s="41" t="str">
        <f aca="false">IF(E3434="","",IFERROR(VLOOKUP(E3434,Assumptions!$G$5:$H$16,2,0),"Other"))</f>
        <v/>
      </c>
      <c r="J3434" s="41" t="str">
        <f aca="false">IF(G3434="","",IFERROR(IF(ISNUMBER(SEARCH(Assumptions!$C$5,G3434)),Assumptions!$D$5,IF(ISNUMBER(SEARCH(Assumptions!$C$6,G3434)),Assumptions!$D$6,IF(ISNUMBER(SEARCH(Assumptions!$C$7,G3434)),Assumptions!$D$7,"Other Services"))),"Other Services"))</f>
        <v/>
      </c>
    </row>
    <row r="3435" customFormat="false" ht="15" hidden="false" customHeight="false" outlineLevel="0" collapsed="false">
      <c r="F3435" s="41" t="str">
        <f aca="false">IF(E3435="","",IFERROR(VLOOKUP(E3435,Assumptions!$G$5:$H$16,2,0),"Other"))</f>
        <v/>
      </c>
      <c r="J3435" s="41" t="str">
        <f aca="false">IF(G3435="","",IFERROR(IF(ISNUMBER(SEARCH(Assumptions!$C$5,G3435)),Assumptions!$D$5,IF(ISNUMBER(SEARCH(Assumptions!$C$6,G3435)),Assumptions!$D$6,IF(ISNUMBER(SEARCH(Assumptions!$C$7,G3435)),Assumptions!$D$7,"Other Services"))),"Other Services"))</f>
        <v/>
      </c>
    </row>
    <row r="3436" customFormat="false" ht="15" hidden="false" customHeight="false" outlineLevel="0" collapsed="false">
      <c r="F3436" s="41" t="str">
        <f aca="false">IF(E3436="","",IFERROR(VLOOKUP(E3436,Assumptions!$G$5:$H$16,2,0),"Other"))</f>
        <v/>
      </c>
      <c r="J3436" s="41" t="str">
        <f aca="false">IF(G3436="","",IFERROR(IF(ISNUMBER(SEARCH(Assumptions!$C$5,G3436)),Assumptions!$D$5,IF(ISNUMBER(SEARCH(Assumptions!$C$6,G3436)),Assumptions!$D$6,IF(ISNUMBER(SEARCH(Assumptions!$C$7,G3436)),Assumptions!$D$7,"Other Services"))),"Other Services"))</f>
        <v/>
      </c>
    </row>
    <row r="3437" customFormat="false" ht="15" hidden="false" customHeight="false" outlineLevel="0" collapsed="false">
      <c r="F3437" s="41" t="str">
        <f aca="false">IF(E3437="","",IFERROR(VLOOKUP(E3437,Assumptions!$G$5:$H$16,2,0),"Other"))</f>
        <v/>
      </c>
      <c r="J3437" s="41" t="str">
        <f aca="false">IF(G3437="","",IFERROR(IF(ISNUMBER(SEARCH(Assumptions!$C$5,G3437)),Assumptions!$D$5,IF(ISNUMBER(SEARCH(Assumptions!$C$6,G3437)),Assumptions!$D$6,IF(ISNUMBER(SEARCH(Assumptions!$C$7,G3437)),Assumptions!$D$7,"Other Services"))),"Other Services"))</f>
        <v/>
      </c>
    </row>
    <row r="3438" customFormat="false" ht="15" hidden="false" customHeight="false" outlineLevel="0" collapsed="false">
      <c r="F3438" s="41" t="str">
        <f aca="false">IF(E3438="","",IFERROR(VLOOKUP(E3438,Assumptions!$G$5:$H$16,2,0),"Other"))</f>
        <v/>
      </c>
      <c r="J3438" s="41" t="str">
        <f aca="false">IF(G3438="","",IFERROR(IF(ISNUMBER(SEARCH(Assumptions!$C$5,G3438)),Assumptions!$D$5,IF(ISNUMBER(SEARCH(Assumptions!$C$6,G3438)),Assumptions!$D$6,IF(ISNUMBER(SEARCH(Assumptions!$C$7,G3438)),Assumptions!$D$7,"Other Services"))),"Other Services"))</f>
        <v/>
      </c>
    </row>
    <row r="3439" customFormat="false" ht="15" hidden="false" customHeight="false" outlineLevel="0" collapsed="false">
      <c r="F3439" s="41" t="str">
        <f aca="false">IF(E3439="","",IFERROR(VLOOKUP(E3439,Assumptions!$G$5:$H$16,2,0),"Other"))</f>
        <v/>
      </c>
      <c r="J3439" s="41" t="str">
        <f aca="false">IF(G3439="","",IFERROR(IF(ISNUMBER(SEARCH(Assumptions!$C$5,G3439)),Assumptions!$D$5,IF(ISNUMBER(SEARCH(Assumptions!$C$6,G3439)),Assumptions!$D$6,IF(ISNUMBER(SEARCH(Assumptions!$C$7,G3439)),Assumptions!$D$7,"Other Services"))),"Other Services"))</f>
        <v/>
      </c>
    </row>
    <row r="3440" customFormat="false" ht="15" hidden="false" customHeight="false" outlineLevel="0" collapsed="false">
      <c r="F3440" s="41" t="str">
        <f aca="false">IF(E3440="","",IFERROR(VLOOKUP(E3440,Assumptions!$G$5:$H$16,2,0),"Other"))</f>
        <v/>
      </c>
      <c r="J3440" s="41" t="str">
        <f aca="false">IF(G3440="","",IFERROR(IF(ISNUMBER(SEARCH(Assumptions!$C$5,G3440)),Assumptions!$D$5,IF(ISNUMBER(SEARCH(Assumptions!$C$6,G3440)),Assumptions!$D$6,IF(ISNUMBER(SEARCH(Assumptions!$C$7,G3440)),Assumptions!$D$7,"Other Services"))),"Other Services"))</f>
        <v/>
      </c>
    </row>
    <row r="3441" customFormat="false" ht="15" hidden="false" customHeight="false" outlineLevel="0" collapsed="false">
      <c r="F3441" s="41" t="str">
        <f aca="false">IF(E3441="","",IFERROR(VLOOKUP(E3441,Assumptions!$G$5:$H$16,2,0),"Other"))</f>
        <v/>
      </c>
      <c r="J3441" s="41" t="str">
        <f aca="false">IF(G3441="","",IFERROR(IF(ISNUMBER(SEARCH(Assumptions!$C$5,G3441)),Assumptions!$D$5,IF(ISNUMBER(SEARCH(Assumptions!$C$6,G3441)),Assumptions!$D$6,IF(ISNUMBER(SEARCH(Assumptions!$C$7,G3441)),Assumptions!$D$7,"Other Services"))),"Other Services"))</f>
        <v/>
      </c>
    </row>
    <row r="3442" customFormat="false" ht="15" hidden="false" customHeight="false" outlineLevel="0" collapsed="false">
      <c r="F3442" s="41" t="str">
        <f aca="false">IF(E3442="","",IFERROR(VLOOKUP(E3442,Assumptions!$G$5:$H$16,2,0),"Other"))</f>
        <v/>
      </c>
      <c r="J3442" s="41" t="str">
        <f aca="false">IF(G3442="","",IFERROR(IF(ISNUMBER(SEARCH(Assumptions!$C$5,G3442)),Assumptions!$D$5,IF(ISNUMBER(SEARCH(Assumptions!$C$6,G3442)),Assumptions!$D$6,IF(ISNUMBER(SEARCH(Assumptions!$C$7,G3442)),Assumptions!$D$7,"Other Services"))),"Other Services"))</f>
        <v/>
      </c>
    </row>
    <row r="3443" customFormat="false" ht="15" hidden="false" customHeight="false" outlineLevel="0" collapsed="false">
      <c r="F3443" s="41" t="str">
        <f aca="false">IF(E3443="","",IFERROR(VLOOKUP(E3443,Assumptions!$G$5:$H$16,2,0),"Other"))</f>
        <v/>
      </c>
      <c r="J3443" s="41" t="str">
        <f aca="false">IF(G3443="","",IFERROR(IF(ISNUMBER(SEARCH(Assumptions!$C$5,G3443)),Assumptions!$D$5,IF(ISNUMBER(SEARCH(Assumptions!$C$6,G3443)),Assumptions!$D$6,IF(ISNUMBER(SEARCH(Assumptions!$C$7,G3443)),Assumptions!$D$7,"Other Services"))),"Other Services"))</f>
        <v/>
      </c>
    </row>
    <row r="3444" customFormat="false" ht="15" hidden="false" customHeight="false" outlineLevel="0" collapsed="false">
      <c r="F3444" s="41" t="str">
        <f aca="false">IF(E3444="","",IFERROR(VLOOKUP(E3444,Assumptions!$G$5:$H$16,2,0),"Other"))</f>
        <v/>
      </c>
      <c r="J3444" s="41" t="str">
        <f aca="false">IF(G3444="","",IFERROR(IF(ISNUMBER(SEARCH(Assumptions!$C$5,G3444)),Assumptions!$D$5,IF(ISNUMBER(SEARCH(Assumptions!$C$6,G3444)),Assumptions!$D$6,IF(ISNUMBER(SEARCH(Assumptions!$C$7,G3444)),Assumptions!$D$7,"Other Services"))),"Other Services"))</f>
        <v/>
      </c>
    </row>
    <row r="3445" customFormat="false" ht="15" hidden="false" customHeight="false" outlineLevel="0" collapsed="false">
      <c r="F3445" s="41" t="str">
        <f aca="false">IF(E3445="","",IFERROR(VLOOKUP(E3445,Assumptions!$G$5:$H$16,2,0),"Other"))</f>
        <v/>
      </c>
      <c r="J3445" s="41" t="str">
        <f aca="false">IF(G3445="","",IFERROR(IF(ISNUMBER(SEARCH(Assumptions!$C$5,G3445)),Assumptions!$D$5,IF(ISNUMBER(SEARCH(Assumptions!$C$6,G3445)),Assumptions!$D$6,IF(ISNUMBER(SEARCH(Assumptions!$C$7,G3445)),Assumptions!$D$7,"Other Services"))),"Other Services"))</f>
        <v/>
      </c>
    </row>
    <row r="3446" customFormat="false" ht="15" hidden="false" customHeight="false" outlineLevel="0" collapsed="false">
      <c r="F3446" s="41" t="str">
        <f aca="false">IF(E3446="","",IFERROR(VLOOKUP(E3446,Assumptions!$G$5:$H$16,2,0),"Other"))</f>
        <v/>
      </c>
      <c r="J3446" s="41" t="str">
        <f aca="false">IF(G3446="","",IFERROR(IF(ISNUMBER(SEARCH(Assumptions!$C$5,G3446)),Assumptions!$D$5,IF(ISNUMBER(SEARCH(Assumptions!$C$6,G3446)),Assumptions!$D$6,IF(ISNUMBER(SEARCH(Assumptions!$C$7,G3446)),Assumptions!$D$7,"Other Services"))),"Other Services"))</f>
        <v/>
      </c>
    </row>
    <row r="3447" customFormat="false" ht="15" hidden="false" customHeight="false" outlineLevel="0" collapsed="false">
      <c r="F3447" s="41" t="str">
        <f aca="false">IF(E3447="","",IFERROR(VLOOKUP(E3447,Assumptions!$G$5:$H$16,2,0),"Other"))</f>
        <v/>
      </c>
      <c r="J3447" s="41" t="str">
        <f aca="false">IF(G3447="","",IFERROR(IF(ISNUMBER(SEARCH(Assumptions!$C$5,G3447)),Assumptions!$D$5,IF(ISNUMBER(SEARCH(Assumptions!$C$6,G3447)),Assumptions!$D$6,IF(ISNUMBER(SEARCH(Assumptions!$C$7,G3447)),Assumptions!$D$7,"Other Services"))),"Other Services"))</f>
        <v/>
      </c>
    </row>
    <row r="3448" customFormat="false" ht="15" hidden="false" customHeight="false" outlineLevel="0" collapsed="false">
      <c r="F3448" s="41" t="str">
        <f aca="false">IF(E3448="","",IFERROR(VLOOKUP(E3448,Assumptions!$G$5:$H$16,2,0),"Other"))</f>
        <v/>
      </c>
      <c r="J3448" s="41" t="str">
        <f aca="false">IF(G3448="","",IFERROR(IF(ISNUMBER(SEARCH(Assumptions!$C$5,G3448)),Assumptions!$D$5,IF(ISNUMBER(SEARCH(Assumptions!$C$6,G3448)),Assumptions!$D$6,IF(ISNUMBER(SEARCH(Assumptions!$C$7,G3448)),Assumptions!$D$7,"Other Services"))),"Other Services"))</f>
        <v/>
      </c>
    </row>
    <row r="3449" customFormat="false" ht="15" hidden="false" customHeight="false" outlineLevel="0" collapsed="false">
      <c r="F3449" s="41" t="str">
        <f aca="false">IF(E3449="","",IFERROR(VLOOKUP(E3449,Assumptions!$G$5:$H$16,2,0),"Other"))</f>
        <v/>
      </c>
      <c r="J3449" s="41" t="str">
        <f aca="false">IF(G3449="","",IFERROR(IF(ISNUMBER(SEARCH(Assumptions!$C$5,G3449)),Assumptions!$D$5,IF(ISNUMBER(SEARCH(Assumptions!$C$6,G3449)),Assumptions!$D$6,IF(ISNUMBER(SEARCH(Assumptions!$C$7,G3449)),Assumptions!$D$7,"Other Services"))),"Other Services"))</f>
        <v/>
      </c>
    </row>
    <row r="3450" customFormat="false" ht="15" hidden="false" customHeight="false" outlineLevel="0" collapsed="false">
      <c r="F3450" s="41" t="str">
        <f aca="false">IF(E3450="","",IFERROR(VLOOKUP(E3450,Assumptions!$G$5:$H$16,2,0),"Other"))</f>
        <v/>
      </c>
      <c r="J3450" s="41" t="str">
        <f aca="false">IF(G3450="","",IFERROR(IF(ISNUMBER(SEARCH(Assumptions!$C$5,G3450)),Assumptions!$D$5,IF(ISNUMBER(SEARCH(Assumptions!$C$6,G3450)),Assumptions!$D$6,IF(ISNUMBER(SEARCH(Assumptions!$C$7,G3450)),Assumptions!$D$7,"Other Services"))),"Other Services"))</f>
        <v/>
      </c>
    </row>
    <row r="3451" customFormat="false" ht="15" hidden="false" customHeight="false" outlineLevel="0" collapsed="false">
      <c r="F3451" s="41" t="str">
        <f aca="false">IF(E3451="","",IFERROR(VLOOKUP(E3451,Assumptions!$G$5:$H$16,2,0),"Other"))</f>
        <v/>
      </c>
      <c r="J3451" s="41" t="str">
        <f aca="false">IF(G3451="","",IFERROR(IF(ISNUMBER(SEARCH(Assumptions!$C$5,G3451)),Assumptions!$D$5,IF(ISNUMBER(SEARCH(Assumptions!$C$6,G3451)),Assumptions!$D$6,IF(ISNUMBER(SEARCH(Assumptions!$C$7,G3451)),Assumptions!$D$7,"Other Services"))),"Other Services"))</f>
        <v/>
      </c>
    </row>
    <row r="3452" customFormat="false" ht="15" hidden="false" customHeight="false" outlineLevel="0" collapsed="false">
      <c r="F3452" s="41" t="str">
        <f aca="false">IF(E3452="","",IFERROR(VLOOKUP(E3452,Assumptions!$G$5:$H$16,2,0),"Other"))</f>
        <v/>
      </c>
      <c r="J3452" s="41" t="str">
        <f aca="false">IF(G3452="","",IFERROR(IF(ISNUMBER(SEARCH(Assumptions!$C$5,G3452)),Assumptions!$D$5,IF(ISNUMBER(SEARCH(Assumptions!$C$6,G3452)),Assumptions!$D$6,IF(ISNUMBER(SEARCH(Assumptions!$C$7,G3452)),Assumptions!$D$7,"Other Services"))),"Other Services"))</f>
        <v/>
      </c>
    </row>
    <row r="3453" customFormat="false" ht="15" hidden="false" customHeight="false" outlineLevel="0" collapsed="false">
      <c r="F3453" s="41" t="str">
        <f aca="false">IF(E3453="","",IFERROR(VLOOKUP(E3453,Assumptions!$G$5:$H$16,2,0),"Other"))</f>
        <v/>
      </c>
      <c r="J3453" s="41" t="str">
        <f aca="false">IF(G3453="","",IFERROR(IF(ISNUMBER(SEARCH(Assumptions!$C$5,G3453)),Assumptions!$D$5,IF(ISNUMBER(SEARCH(Assumptions!$C$6,G3453)),Assumptions!$D$6,IF(ISNUMBER(SEARCH(Assumptions!$C$7,G3453)),Assumptions!$D$7,"Other Services"))),"Other Services"))</f>
        <v/>
      </c>
    </row>
    <row r="3454" customFormat="false" ht="15" hidden="false" customHeight="false" outlineLevel="0" collapsed="false">
      <c r="F3454" s="41" t="str">
        <f aca="false">IF(E3454="","",IFERROR(VLOOKUP(E3454,Assumptions!$G$5:$H$16,2,0),"Other"))</f>
        <v/>
      </c>
      <c r="J3454" s="41" t="str">
        <f aca="false">IF(G3454="","",IFERROR(IF(ISNUMBER(SEARCH(Assumptions!$C$5,G3454)),Assumptions!$D$5,IF(ISNUMBER(SEARCH(Assumptions!$C$6,G3454)),Assumptions!$D$6,IF(ISNUMBER(SEARCH(Assumptions!$C$7,G3454)),Assumptions!$D$7,"Other Services"))),"Other Services"))</f>
        <v/>
      </c>
    </row>
    <row r="3455" customFormat="false" ht="15" hidden="false" customHeight="false" outlineLevel="0" collapsed="false">
      <c r="F3455" s="41" t="str">
        <f aca="false">IF(E3455="","",IFERROR(VLOOKUP(E3455,Assumptions!$G$5:$H$16,2,0),"Other"))</f>
        <v/>
      </c>
      <c r="J3455" s="41" t="str">
        <f aca="false">IF(G3455="","",IFERROR(IF(ISNUMBER(SEARCH(Assumptions!$C$5,G3455)),Assumptions!$D$5,IF(ISNUMBER(SEARCH(Assumptions!$C$6,G3455)),Assumptions!$D$6,IF(ISNUMBER(SEARCH(Assumptions!$C$7,G3455)),Assumptions!$D$7,"Other Services"))),"Other Services"))</f>
        <v/>
      </c>
    </row>
    <row r="3456" customFormat="false" ht="15" hidden="false" customHeight="false" outlineLevel="0" collapsed="false">
      <c r="F3456" s="41" t="str">
        <f aca="false">IF(E3456="","",IFERROR(VLOOKUP(E3456,Assumptions!$G$5:$H$16,2,0),"Other"))</f>
        <v/>
      </c>
      <c r="J3456" s="41" t="str">
        <f aca="false">IF(G3456="","",IFERROR(IF(ISNUMBER(SEARCH(Assumptions!$C$5,G3456)),Assumptions!$D$5,IF(ISNUMBER(SEARCH(Assumptions!$C$6,G3456)),Assumptions!$D$6,IF(ISNUMBER(SEARCH(Assumptions!$C$7,G3456)),Assumptions!$D$7,"Other Services"))),"Other Services"))</f>
        <v/>
      </c>
    </row>
    <row r="3457" customFormat="false" ht="15" hidden="false" customHeight="false" outlineLevel="0" collapsed="false">
      <c r="F3457" s="41" t="str">
        <f aca="false">IF(E3457="","",IFERROR(VLOOKUP(E3457,Assumptions!$G$5:$H$16,2,0),"Other"))</f>
        <v/>
      </c>
      <c r="J3457" s="41" t="str">
        <f aca="false">IF(G3457="","",IFERROR(IF(ISNUMBER(SEARCH(Assumptions!$C$5,G3457)),Assumptions!$D$5,IF(ISNUMBER(SEARCH(Assumptions!$C$6,G3457)),Assumptions!$D$6,IF(ISNUMBER(SEARCH(Assumptions!$C$7,G3457)),Assumptions!$D$7,"Other Services"))),"Other Services"))</f>
        <v/>
      </c>
    </row>
    <row r="3458" customFormat="false" ht="15" hidden="false" customHeight="false" outlineLevel="0" collapsed="false">
      <c r="F3458" s="41" t="str">
        <f aca="false">IF(E3458="","",IFERROR(VLOOKUP(E3458,Assumptions!$G$5:$H$16,2,0),"Other"))</f>
        <v/>
      </c>
      <c r="J3458" s="41" t="str">
        <f aca="false">IF(G3458="","",IFERROR(IF(ISNUMBER(SEARCH(Assumptions!$C$5,G3458)),Assumptions!$D$5,IF(ISNUMBER(SEARCH(Assumptions!$C$6,G3458)),Assumptions!$D$6,IF(ISNUMBER(SEARCH(Assumptions!$C$7,G3458)),Assumptions!$D$7,"Other Services"))),"Other Services"))</f>
        <v/>
      </c>
    </row>
    <row r="3459" customFormat="false" ht="15" hidden="false" customHeight="false" outlineLevel="0" collapsed="false">
      <c r="F3459" s="41" t="str">
        <f aca="false">IF(E3459="","",IFERROR(VLOOKUP(E3459,Assumptions!$G$5:$H$16,2,0),"Other"))</f>
        <v/>
      </c>
      <c r="J3459" s="41" t="str">
        <f aca="false">IF(G3459="","",IFERROR(IF(ISNUMBER(SEARCH(Assumptions!$C$5,G3459)),Assumptions!$D$5,IF(ISNUMBER(SEARCH(Assumptions!$C$6,G3459)),Assumptions!$D$6,IF(ISNUMBER(SEARCH(Assumptions!$C$7,G3459)),Assumptions!$D$7,"Other Services"))),"Other Services"))</f>
        <v/>
      </c>
    </row>
    <row r="3460" customFormat="false" ht="15" hidden="false" customHeight="false" outlineLevel="0" collapsed="false">
      <c r="F3460" s="41" t="str">
        <f aca="false">IF(E3460="","",IFERROR(VLOOKUP(E3460,Assumptions!$G$5:$H$16,2,0),"Other"))</f>
        <v/>
      </c>
      <c r="J3460" s="41" t="str">
        <f aca="false">IF(G3460="","",IFERROR(IF(ISNUMBER(SEARCH(Assumptions!$C$5,G3460)),Assumptions!$D$5,IF(ISNUMBER(SEARCH(Assumptions!$C$6,G3460)),Assumptions!$D$6,IF(ISNUMBER(SEARCH(Assumptions!$C$7,G3460)),Assumptions!$D$7,"Other Services"))),"Other Services"))</f>
        <v/>
      </c>
    </row>
    <row r="3461" customFormat="false" ht="15" hidden="false" customHeight="false" outlineLevel="0" collapsed="false">
      <c r="F3461" s="41" t="str">
        <f aca="false">IF(E3461="","",IFERROR(VLOOKUP(E3461,Assumptions!$G$5:$H$16,2,0),"Other"))</f>
        <v/>
      </c>
      <c r="J3461" s="41" t="str">
        <f aca="false">IF(G3461="","",IFERROR(IF(ISNUMBER(SEARCH(Assumptions!$C$5,G3461)),Assumptions!$D$5,IF(ISNUMBER(SEARCH(Assumptions!$C$6,G3461)),Assumptions!$D$6,IF(ISNUMBER(SEARCH(Assumptions!$C$7,G3461)),Assumptions!$D$7,"Other Services"))),"Other Services"))</f>
        <v/>
      </c>
    </row>
    <row r="3462" customFormat="false" ht="15" hidden="false" customHeight="false" outlineLevel="0" collapsed="false">
      <c r="F3462" s="41" t="str">
        <f aca="false">IF(E3462="","",IFERROR(VLOOKUP(E3462,Assumptions!$G$5:$H$16,2,0),"Other"))</f>
        <v/>
      </c>
      <c r="J3462" s="41" t="str">
        <f aca="false">IF(G3462="","",IFERROR(IF(ISNUMBER(SEARCH(Assumptions!$C$5,G3462)),Assumptions!$D$5,IF(ISNUMBER(SEARCH(Assumptions!$C$6,G3462)),Assumptions!$D$6,IF(ISNUMBER(SEARCH(Assumptions!$C$7,G3462)),Assumptions!$D$7,"Other Services"))),"Other Services"))</f>
        <v/>
      </c>
    </row>
    <row r="3463" customFormat="false" ht="15" hidden="false" customHeight="false" outlineLevel="0" collapsed="false">
      <c r="F3463" s="41" t="str">
        <f aca="false">IF(E3463="","",IFERROR(VLOOKUP(E3463,Assumptions!$G$5:$H$16,2,0),"Other"))</f>
        <v/>
      </c>
      <c r="J3463" s="41" t="str">
        <f aca="false">IF(G3463="","",IFERROR(IF(ISNUMBER(SEARCH(Assumptions!$C$5,G3463)),Assumptions!$D$5,IF(ISNUMBER(SEARCH(Assumptions!$C$6,G3463)),Assumptions!$D$6,IF(ISNUMBER(SEARCH(Assumptions!$C$7,G3463)),Assumptions!$D$7,"Other Services"))),"Other Services"))</f>
        <v/>
      </c>
    </row>
    <row r="3464" customFormat="false" ht="15" hidden="false" customHeight="false" outlineLevel="0" collapsed="false">
      <c r="F3464" s="41" t="str">
        <f aca="false">IF(E3464="","",IFERROR(VLOOKUP(E3464,Assumptions!$G$5:$H$16,2,0),"Other"))</f>
        <v/>
      </c>
      <c r="J3464" s="41" t="str">
        <f aca="false">IF(G3464="","",IFERROR(IF(ISNUMBER(SEARCH(Assumptions!$C$5,G3464)),Assumptions!$D$5,IF(ISNUMBER(SEARCH(Assumptions!$C$6,G3464)),Assumptions!$D$6,IF(ISNUMBER(SEARCH(Assumptions!$C$7,G3464)),Assumptions!$D$7,"Other Services"))),"Other Services"))</f>
        <v/>
      </c>
    </row>
    <row r="3465" customFormat="false" ht="15" hidden="false" customHeight="false" outlineLevel="0" collapsed="false">
      <c r="F3465" s="41" t="str">
        <f aca="false">IF(E3465="","",IFERROR(VLOOKUP(E3465,Assumptions!$G$5:$H$16,2,0),"Other"))</f>
        <v/>
      </c>
      <c r="J3465" s="41" t="str">
        <f aca="false">IF(G3465="","",IFERROR(IF(ISNUMBER(SEARCH(Assumptions!$C$5,G3465)),Assumptions!$D$5,IF(ISNUMBER(SEARCH(Assumptions!$C$6,G3465)),Assumptions!$D$6,IF(ISNUMBER(SEARCH(Assumptions!$C$7,G3465)),Assumptions!$D$7,"Other Services"))),"Other Services"))</f>
        <v/>
      </c>
    </row>
    <row r="3466" customFormat="false" ht="15" hidden="false" customHeight="false" outlineLevel="0" collapsed="false">
      <c r="F3466" s="41" t="str">
        <f aca="false">IF(E3466="","",IFERROR(VLOOKUP(E3466,Assumptions!$G$5:$H$16,2,0),"Other"))</f>
        <v/>
      </c>
      <c r="J3466" s="41" t="str">
        <f aca="false">IF(G3466="","",IFERROR(IF(ISNUMBER(SEARCH(Assumptions!$C$5,G3466)),Assumptions!$D$5,IF(ISNUMBER(SEARCH(Assumptions!$C$6,G3466)),Assumptions!$D$6,IF(ISNUMBER(SEARCH(Assumptions!$C$7,G3466)),Assumptions!$D$7,"Other Services"))),"Other Services"))</f>
        <v/>
      </c>
    </row>
    <row r="3467" customFormat="false" ht="15" hidden="false" customHeight="false" outlineLevel="0" collapsed="false">
      <c r="F3467" s="41" t="str">
        <f aca="false">IF(E3467="","",IFERROR(VLOOKUP(E3467,Assumptions!$G$5:$H$16,2,0),"Other"))</f>
        <v/>
      </c>
      <c r="J3467" s="41" t="str">
        <f aca="false">IF(G3467="","",IFERROR(IF(ISNUMBER(SEARCH(Assumptions!$C$5,G3467)),Assumptions!$D$5,IF(ISNUMBER(SEARCH(Assumptions!$C$6,G3467)),Assumptions!$D$6,IF(ISNUMBER(SEARCH(Assumptions!$C$7,G3467)),Assumptions!$D$7,"Other Services"))),"Other Services"))</f>
        <v/>
      </c>
    </row>
    <row r="3468" customFormat="false" ht="15" hidden="false" customHeight="false" outlineLevel="0" collapsed="false">
      <c r="F3468" s="41" t="str">
        <f aca="false">IF(E3468="","",IFERROR(VLOOKUP(E3468,Assumptions!$G$5:$H$16,2,0),"Other"))</f>
        <v/>
      </c>
      <c r="J3468" s="41" t="str">
        <f aca="false">IF(G3468="","",IFERROR(IF(ISNUMBER(SEARCH(Assumptions!$C$5,G3468)),Assumptions!$D$5,IF(ISNUMBER(SEARCH(Assumptions!$C$6,G3468)),Assumptions!$D$6,IF(ISNUMBER(SEARCH(Assumptions!$C$7,G3468)),Assumptions!$D$7,"Other Services"))),"Other Services"))</f>
        <v/>
      </c>
    </row>
    <row r="3469" customFormat="false" ht="15" hidden="false" customHeight="false" outlineLevel="0" collapsed="false">
      <c r="F3469" s="41" t="str">
        <f aca="false">IF(E3469="","",IFERROR(VLOOKUP(E3469,Assumptions!$G$5:$H$16,2,0),"Other"))</f>
        <v/>
      </c>
      <c r="J3469" s="41" t="str">
        <f aca="false">IF(G3469="","",IFERROR(IF(ISNUMBER(SEARCH(Assumptions!$C$5,G3469)),Assumptions!$D$5,IF(ISNUMBER(SEARCH(Assumptions!$C$6,G3469)),Assumptions!$D$6,IF(ISNUMBER(SEARCH(Assumptions!$C$7,G3469)),Assumptions!$D$7,"Other Services"))),"Other Services"))</f>
        <v/>
      </c>
    </row>
    <row r="3470" customFormat="false" ht="15" hidden="false" customHeight="false" outlineLevel="0" collapsed="false">
      <c r="F3470" s="41" t="str">
        <f aca="false">IF(E3470="","",IFERROR(VLOOKUP(E3470,Assumptions!$G$5:$H$16,2,0),"Other"))</f>
        <v/>
      </c>
      <c r="J3470" s="41" t="str">
        <f aca="false">IF(G3470="","",IFERROR(IF(ISNUMBER(SEARCH(Assumptions!$C$5,G3470)),Assumptions!$D$5,IF(ISNUMBER(SEARCH(Assumptions!$C$6,G3470)),Assumptions!$D$6,IF(ISNUMBER(SEARCH(Assumptions!$C$7,G3470)),Assumptions!$D$7,"Other Services"))),"Other Services"))</f>
        <v/>
      </c>
    </row>
    <row r="3471" customFormat="false" ht="15" hidden="false" customHeight="false" outlineLevel="0" collapsed="false">
      <c r="F3471" s="41" t="str">
        <f aca="false">IF(E3471="","",IFERROR(VLOOKUP(E3471,Assumptions!$G$5:$H$16,2,0),"Other"))</f>
        <v/>
      </c>
      <c r="J3471" s="41" t="str">
        <f aca="false">IF(G3471="","",IFERROR(IF(ISNUMBER(SEARCH(Assumptions!$C$5,G3471)),Assumptions!$D$5,IF(ISNUMBER(SEARCH(Assumptions!$C$6,G3471)),Assumptions!$D$6,IF(ISNUMBER(SEARCH(Assumptions!$C$7,G3471)),Assumptions!$D$7,"Other Services"))),"Other Services"))</f>
        <v/>
      </c>
    </row>
    <row r="3472" customFormat="false" ht="15" hidden="false" customHeight="false" outlineLevel="0" collapsed="false">
      <c r="F3472" s="41" t="str">
        <f aca="false">IF(E3472="","",IFERROR(VLOOKUP(E3472,Assumptions!$G$5:$H$16,2,0),"Other"))</f>
        <v/>
      </c>
      <c r="J3472" s="41" t="str">
        <f aca="false">IF(G3472="","",IFERROR(IF(ISNUMBER(SEARCH(Assumptions!$C$5,G3472)),Assumptions!$D$5,IF(ISNUMBER(SEARCH(Assumptions!$C$6,G3472)),Assumptions!$D$6,IF(ISNUMBER(SEARCH(Assumptions!$C$7,G3472)),Assumptions!$D$7,"Other Services"))),"Other Services"))</f>
        <v/>
      </c>
    </row>
    <row r="3473" customFormat="false" ht="15" hidden="false" customHeight="false" outlineLevel="0" collapsed="false">
      <c r="F3473" s="41" t="str">
        <f aca="false">IF(E3473="","",IFERROR(VLOOKUP(E3473,Assumptions!$G$5:$H$16,2,0),"Other"))</f>
        <v/>
      </c>
      <c r="J3473" s="41" t="str">
        <f aca="false">IF(G3473="","",IFERROR(IF(ISNUMBER(SEARCH(Assumptions!$C$5,G3473)),Assumptions!$D$5,IF(ISNUMBER(SEARCH(Assumptions!$C$6,G3473)),Assumptions!$D$6,IF(ISNUMBER(SEARCH(Assumptions!$C$7,G3473)),Assumptions!$D$7,"Other Services"))),"Other Services"))</f>
        <v/>
      </c>
    </row>
    <row r="3474" customFormat="false" ht="15" hidden="false" customHeight="false" outlineLevel="0" collapsed="false">
      <c r="F3474" s="41" t="str">
        <f aca="false">IF(E3474="","",IFERROR(VLOOKUP(E3474,Assumptions!$G$5:$H$16,2,0),"Other"))</f>
        <v/>
      </c>
      <c r="J3474" s="41" t="str">
        <f aca="false">IF(G3474="","",IFERROR(IF(ISNUMBER(SEARCH(Assumptions!$C$5,G3474)),Assumptions!$D$5,IF(ISNUMBER(SEARCH(Assumptions!$C$6,G3474)),Assumptions!$D$6,IF(ISNUMBER(SEARCH(Assumptions!$C$7,G3474)),Assumptions!$D$7,"Other Services"))),"Other Services"))</f>
        <v/>
      </c>
    </row>
    <row r="3475" customFormat="false" ht="15" hidden="false" customHeight="false" outlineLevel="0" collapsed="false">
      <c r="F3475" s="41" t="str">
        <f aca="false">IF(E3475="","",IFERROR(VLOOKUP(E3475,Assumptions!$G$5:$H$16,2,0),"Other"))</f>
        <v/>
      </c>
      <c r="J3475" s="41" t="str">
        <f aca="false">IF(G3475="","",IFERROR(IF(ISNUMBER(SEARCH(Assumptions!$C$5,G3475)),Assumptions!$D$5,IF(ISNUMBER(SEARCH(Assumptions!$C$6,G3475)),Assumptions!$D$6,IF(ISNUMBER(SEARCH(Assumptions!$C$7,G3475)),Assumptions!$D$7,"Other Services"))),"Other Services"))</f>
        <v/>
      </c>
    </row>
    <row r="3476" customFormat="false" ht="15" hidden="false" customHeight="false" outlineLevel="0" collapsed="false">
      <c r="F3476" s="41" t="str">
        <f aca="false">IF(E3476="","",IFERROR(VLOOKUP(E3476,Assumptions!$G$5:$H$16,2,0),"Other"))</f>
        <v/>
      </c>
      <c r="J3476" s="41" t="str">
        <f aca="false">IF(G3476="","",IFERROR(IF(ISNUMBER(SEARCH(Assumptions!$C$5,G3476)),Assumptions!$D$5,IF(ISNUMBER(SEARCH(Assumptions!$C$6,G3476)),Assumptions!$D$6,IF(ISNUMBER(SEARCH(Assumptions!$C$7,G3476)),Assumptions!$D$7,"Other Services"))),"Other Services"))</f>
        <v/>
      </c>
    </row>
    <row r="3477" customFormat="false" ht="15" hidden="false" customHeight="false" outlineLevel="0" collapsed="false">
      <c r="F3477" s="41" t="str">
        <f aca="false">IF(E3477="","",IFERROR(VLOOKUP(E3477,Assumptions!$G$5:$H$16,2,0),"Other"))</f>
        <v/>
      </c>
      <c r="J3477" s="41" t="str">
        <f aca="false">IF(G3477="","",IFERROR(IF(ISNUMBER(SEARCH(Assumptions!$C$5,G3477)),Assumptions!$D$5,IF(ISNUMBER(SEARCH(Assumptions!$C$6,G3477)),Assumptions!$D$6,IF(ISNUMBER(SEARCH(Assumptions!$C$7,G3477)),Assumptions!$D$7,"Other Services"))),"Other Services"))</f>
        <v/>
      </c>
    </row>
    <row r="3478" customFormat="false" ht="15" hidden="false" customHeight="false" outlineLevel="0" collapsed="false">
      <c r="F3478" s="41" t="str">
        <f aca="false">IF(E3478="","",IFERROR(VLOOKUP(E3478,Assumptions!$G$5:$H$16,2,0),"Other"))</f>
        <v/>
      </c>
      <c r="J3478" s="41" t="str">
        <f aca="false">IF(G3478="","",IFERROR(IF(ISNUMBER(SEARCH(Assumptions!$C$5,G3478)),Assumptions!$D$5,IF(ISNUMBER(SEARCH(Assumptions!$C$6,G3478)),Assumptions!$D$6,IF(ISNUMBER(SEARCH(Assumptions!$C$7,G3478)),Assumptions!$D$7,"Other Services"))),"Other Services"))</f>
        <v/>
      </c>
    </row>
    <row r="3479" customFormat="false" ht="15" hidden="false" customHeight="false" outlineLevel="0" collapsed="false">
      <c r="F3479" s="41" t="str">
        <f aca="false">IF(E3479="","",IFERROR(VLOOKUP(E3479,Assumptions!$G$5:$H$16,2,0),"Other"))</f>
        <v/>
      </c>
      <c r="J3479" s="41" t="str">
        <f aca="false">IF(G3479="","",IFERROR(IF(ISNUMBER(SEARCH(Assumptions!$C$5,G3479)),Assumptions!$D$5,IF(ISNUMBER(SEARCH(Assumptions!$C$6,G3479)),Assumptions!$D$6,IF(ISNUMBER(SEARCH(Assumptions!$C$7,G3479)),Assumptions!$D$7,"Other Services"))),"Other Services"))</f>
        <v/>
      </c>
    </row>
    <row r="3480" customFormat="false" ht="15" hidden="false" customHeight="false" outlineLevel="0" collapsed="false">
      <c r="F3480" s="41" t="str">
        <f aca="false">IF(E3480="","",IFERROR(VLOOKUP(E3480,Assumptions!$G$5:$H$16,2,0),"Other"))</f>
        <v/>
      </c>
      <c r="J3480" s="41" t="str">
        <f aca="false">IF(G3480="","",IFERROR(IF(ISNUMBER(SEARCH(Assumptions!$C$5,G3480)),Assumptions!$D$5,IF(ISNUMBER(SEARCH(Assumptions!$C$6,G3480)),Assumptions!$D$6,IF(ISNUMBER(SEARCH(Assumptions!$C$7,G3480)),Assumptions!$D$7,"Other Services"))),"Other Services"))</f>
        <v/>
      </c>
    </row>
    <row r="3481" customFormat="false" ht="15" hidden="false" customHeight="false" outlineLevel="0" collapsed="false">
      <c r="F3481" s="41" t="str">
        <f aca="false">IF(E3481="","",IFERROR(VLOOKUP(E3481,Assumptions!$G$5:$H$16,2,0),"Other"))</f>
        <v/>
      </c>
      <c r="J3481" s="41" t="str">
        <f aca="false">IF(G3481="","",IFERROR(IF(ISNUMBER(SEARCH(Assumptions!$C$5,G3481)),Assumptions!$D$5,IF(ISNUMBER(SEARCH(Assumptions!$C$6,G3481)),Assumptions!$D$6,IF(ISNUMBER(SEARCH(Assumptions!$C$7,G3481)),Assumptions!$D$7,"Other Services"))),"Other Services"))</f>
        <v/>
      </c>
    </row>
    <row r="3482" customFormat="false" ht="15" hidden="false" customHeight="false" outlineLevel="0" collapsed="false">
      <c r="F3482" s="41" t="str">
        <f aca="false">IF(E3482="","",IFERROR(VLOOKUP(E3482,Assumptions!$G$5:$H$16,2,0),"Other"))</f>
        <v/>
      </c>
      <c r="J3482" s="41" t="str">
        <f aca="false">IF(G3482="","",IFERROR(IF(ISNUMBER(SEARCH(Assumptions!$C$5,G3482)),Assumptions!$D$5,IF(ISNUMBER(SEARCH(Assumptions!$C$6,G3482)),Assumptions!$D$6,IF(ISNUMBER(SEARCH(Assumptions!$C$7,G3482)),Assumptions!$D$7,"Other Services"))),"Other Services"))</f>
        <v/>
      </c>
    </row>
    <row r="3483" customFormat="false" ht="15" hidden="false" customHeight="false" outlineLevel="0" collapsed="false">
      <c r="F3483" s="41" t="str">
        <f aca="false">IF(E3483="","",IFERROR(VLOOKUP(E3483,Assumptions!$G$5:$H$16,2,0),"Other"))</f>
        <v/>
      </c>
      <c r="J3483" s="41" t="str">
        <f aca="false">IF(G3483="","",IFERROR(IF(ISNUMBER(SEARCH(Assumptions!$C$5,G3483)),Assumptions!$D$5,IF(ISNUMBER(SEARCH(Assumptions!$C$6,G3483)),Assumptions!$D$6,IF(ISNUMBER(SEARCH(Assumptions!$C$7,G3483)),Assumptions!$D$7,"Other Services"))),"Other Services"))</f>
        <v/>
      </c>
    </row>
    <row r="3484" customFormat="false" ht="15" hidden="false" customHeight="false" outlineLevel="0" collapsed="false">
      <c r="F3484" s="41" t="str">
        <f aca="false">IF(E3484="","",IFERROR(VLOOKUP(E3484,Assumptions!$G$5:$H$16,2,0),"Other"))</f>
        <v/>
      </c>
      <c r="J3484" s="41" t="str">
        <f aca="false">IF(G3484="","",IFERROR(IF(ISNUMBER(SEARCH(Assumptions!$C$5,G3484)),Assumptions!$D$5,IF(ISNUMBER(SEARCH(Assumptions!$C$6,G3484)),Assumptions!$D$6,IF(ISNUMBER(SEARCH(Assumptions!$C$7,G3484)),Assumptions!$D$7,"Other Services"))),"Other Services"))</f>
        <v/>
      </c>
    </row>
    <row r="3485" customFormat="false" ht="15" hidden="false" customHeight="false" outlineLevel="0" collapsed="false">
      <c r="F3485" s="41" t="str">
        <f aca="false">IF(E3485="","",IFERROR(VLOOKUP(E3485,Assumptions!$G$5:$H$16,2,0),"Other"))</f>
        <v/>
      </c>
      <c r="J3485" s="41" t="str">
        <f aca="false">IF(G3485="","",IFERROR(IF(ISNUMBER(SEARCH(Assumptions!$C$5,G3485)),Assumptions!$D$5,IF(ISNUMBER(SEARCH(Assumptions!$C$6,G3485)),Assumptions!$D$6,IF(ISNUMBER(SEARCH(Assumptions!$C$7,G3485)),Assumptions!$D$7,"Other Services"))),"Other Services"))</f>
        <v/>
      </c>
    </row>
    <row r="3486" customFormat="false" ht="15" hidden="false" customHeight="false" outlineLevel="0" collapsed="false">
      <c r="F3486" s="41" t="str">
        <f aca="false">IF(E3486="","",IFERROR(VLOOKUP(E3486,Assumptions!$G$5:$H$16,2,0),"Other"))</f>
        <v/>
      </c>
      <c r="J3486" s="41" t="str">
        <f aca="false">IF(G3486="","",IFERROR(IF(ISNUMBER(SEARCH(Assumptions!$C$5,G3486)),Assumptions!$D$5,IF(ISNUMBER(SEARCH(Assumptions!$C$6,G3486)),Assumptions!$D$6,IF(ISNUMBER(SEARCH(Assumptions!$C$7,G3486)),Assumptions!$D$7,"Other Services"))),"Other Services"))</f>
        <v/>
      </c>
    </row>
    <row r="3487" customFormat="false" ht="15" hidden="false" customHeight="false" outlineLevel="0" collapsed="false">
      <c r="F3487" s="41" t="str">
        <f aca="false">IF(E3487="","",IFERROR(VLOOKUP(E3487,Assumptions!$G$5:$H$16,2,0),"Other"))</f>
        <v/>
      </c>
      <c r="J3487" s="41" t="str">
        <f aca="false">IF(G3487="","",IFERROR(IF(ISNUMBER(SEARCH(Assumptions!$C$5,G3487)),Assumptions!$D$5,IF(ISNUMBER(SEARCH(Assumptions!$C$6,G3487)),Assumptions!$D$6,IF(ISNUMBER(SEARCH(Assumptions!$C$7,G3487)),Assumptions!$D$7,"Other Services"))),"Other Services"))</f>
        <v/>
      </c>
    </row>
    <row r="3488" customFormat="false" ht="15" hidden="false" customHeight="false" outlineLevel="0" collapsed="false">
      <c r="F3488" s="41" t="str">
        <f aca="false">IF(E3488="","",IFERROR(VLOOKUP(E3488,Assumptions!$G$5:$H$16,2,0),"Other"))</f>
        <v/>
      </c>
      <c r="J3488" s="41" t="str">
        <f aca="false">IF(G3488="","",IFERROR(IF(ISNUMBER(SEARCH(Assumptions!$C$5,G3488)),Assumptions!$D$5,IF(ISNUMBER(SEARCH(Assumptions!$C$6,G3488)),Assumptions!$D$6,IF(ISNUMBER(SEARCH(Assumptions!$C$7,G3488)),Assumptions!$D$7,"Other Services"))),"Other Services"))</f>
        <v/>
      </c>
    </row>
    <row r="3489" customFormat="false" ht="15" hidden="false" customHeight="false" outlineLevel="0" collapsed="false">
      <c r="F3489" s="41" t="str">
        <f aca="false">IF(E3489="","",IFERROR(VLOOKUP(E3489,Assumptions!$G$5:$H$16,2,0),"Other"))</f>
        <v/>
      </c>
      <c r="J3489" s="41" t="str">
        <f aca="false">IF(G3489="","",IFERROR(IF(ISNUMBER(SEARCH(Assumptions!$C$5,G3489)),Assumptions!$D$5,IF(ISNUMBER(SEARCH(Assumptions!$C$6,G3489)),Assumptions!$D$6,IF(ISNUMBER(SEARCH(Assumptions!$C$7,G3489)),Assumptions!$D$7,"Other Services"))),"Other Services"))</f>
        <v/>
      </c>
    </row>
    <row r="3490" customFormat="false" ht="15" hidden="false" customHeight="false" outlineLevel="0" collapsed="false">
      <c r="F3490" s="41" t="str">
        <f aca="false">IF(E3490="","",IFERROR(VLOOKUP(E3490,Assumptions!$G$5:$H$16,2,0),"Other"))</f>
        <v/>
      </c>
      <c r="J3490" s="41" t="str">
        <f aca="false">IF(G3490="","",IFERROR(IF(ISNUMBER(SEARCH(Assumptions!$C$5,G3490)),Assumptions!$D$5,IF(ISNUMBER(SEARCH(Assumptions!$C$6,G3490)),Assumptions!$D$6,IF(ISNUMBER(SEARCH(Assumptions!$C$7,G3490)),Assumptions!$D$7,"Other Services"))),"Other Services"))</f>
        <v/>
      </c>
    </row>
    <row r="3491" customFormat="false" ht="15" hidden="false" customHeight="false" outlineLevel="0" collapsed="false">
      <c r="F3491" s="41" t="str">
        <f aca="false">IF(E3491="","",IFERROR(VLOOKUP(E3491,Assumptions!$G$5:$H$16,2,0),"Other"))</f>
        <v/>
      </c>
      <c r="J3491" s="41" t="str">
        <f aca="false">IF(G3491="","",IFERROR(IF(ISNUMBER(SEARCH(Assumptions!$C$5,G3491)),Assumptions!$D$5,IF(ISNUMBER(SEARCH(Assumptions!$C$6,G3491)),Assumptions!$D$6,IF(ISNUMBER(SEARCH(Assumptions!$C$7,G3491)),Assumptions!$D$7,"Other Services"))),"Other Services"))</f>
        <v/>
      </c>
    </row>
    <row r="3492" customFormat="false" ht="15" hidden="false" customHeight="false" outlineLevel="0" collapsed="false">
      <c r="F3492" s="41" t="str">
        <f aca="false">IF(E3492="","",IFERROR(VLOOKUP(E3492,Assumptions!$G$5:$H$16,2,0),"Other"))</f>
        <v/>
      </c>
      <c r="J3492" s="41" t="str">
        <f aca="false">IF(G3492="","",IFERROR(IF(ISNUMBER(SEARCH(Assumptions!$C$5,G3492)),Assumptions!$D$5,IF(ISNUMBER(SEARCH(Assumptions!$C$6,G3492)),Assumptions!$D$6,IF(ISNUMBER(SEARCH(Assumptions!$C$7,G3492)),Assumptions!$D$7,"Other Services"))),"Other Services"))</f>
        <v/>
      </c>
    </row>
    <row r="3493" customFormat="false" ht="15" hidden="false" customHeight="false" outlineLevel="0" collapsed="false">
      <c r="F3493" s="41" t="str">
        <f aca="false">IF(E3493="","",IFERROR(VLOOKUP(E3493,Assumptions!$G$5:$H$16,2,0),"Other"))</f>
        <v/>
      </c>
      <c r="J3493" s="41" t="str">
        <f aca="false">IF(G3493="","",IFERROR(IF(ISNUMBER(SEARCH(Assumptions!$C$5,G3493)),Assumptions!$D$5,IF(ISNUMBER(SEARCH(Assumptions!$C$6,G3493)),Assumptions!$D$6,IF(ISNUMBER(SEARCH(Assumptions!$C$7,G3493)),Assumptions!$D$7,"Other Services"))),"Other Services"))</f>
        <v/>
      </c>
    </row>
    <row r="3494" customFormat="false" ht="15" hidden="false" customHeight="false" outlineLevel="0" collapsed="false">
      <c r="F3494" s="41" t="str">
        <f aca="false">IF(E3494="","",IFERROR(VLOOKUP(E3494,Assumptions!$G$5:$H$16,2,0),"Other"))</f>
        <v/>
      </c>
      <c r="J3494" s="41" t="str">
        <f aca="false">IF(G3494="","",IFERROR(IF(ISNUMBER(SEARCH(Assumptions!$C$5,G3494)),Assumptions!$D$5,IF(ISNUMBER(SEARCH(Assumptions!$C$6,G3494)),Assumptions!$D$6,IF(ISNUMBER(SEARCH(Assumptions!$C$7,G3494)),Assumptions!$D$7,"Other Services"))),"Other Services"))</f>
        <v/>
      </c>
    </row>
    <row r="3495" customFormat="false" ht="15" hidden="false" customHeight="false" outlineLevel="0" collapsed="false">
      <c r="F3495" s="41" t="str">
        <f aca="false">IF(E3495="","",IFERROR(VLOOKUP(E3495,Assumptions!$G$5:$H$16,2,0),"Other"))</f>
        <v/>
      </c>
      <c r="J3495" s="41" t="str">
        <f aca="false">IF(G3495="","",IFERROR(IF(ISNUMBER(SEARCH(Assumptions!$C$5,G3495)),Assumptions!$D$5,IF(ISNUMBER(SEARCH(Assumptions!$C$6,G3495)),Assumptions!$D$6,IF(ISNUMBER(SEARCH(Assumptions!$C$7,G3495)),Assumptions!$D$7,"Other Services"))),"Other Services"))</f>
        <v/>
      </c>
    </row>
    <row r="3496" customFormat="false" ht="15" hidden="false" customHeight="false" outlineLevel="0" collapsed="false">
      <c r="F3496" s="41" t="str">
        <f aca="false">IF(E3496="","",IFERROR(VLOOKUP(E3496,Assumptions!$G$5:$H$16,2,0),"Other"))</f>
        <v/>
      </c>
      <c r="J3496" s="41" t="str">
        <f aca="false">IF(G3496="","",IFERROR(IF(ISNUMBER(SEARCH(Assumptions!$C$5,G3496)),Assumptions!$D$5,IF(ISNUMBER(SEARCH(Assumptions!$C$6,G3496)),Assumptions!$D$6,IF(ISNUMBER(SEARCH(Assumptions!$C$7,G3496)),Assumptions!$D$7,"Other Services"))),"Other Services"))</f>
        <v/>
      </c>
    </row>
    <row r="3497" customFormat="false" ht="15" hidden="false" customHeight="false" outlineLevel="0" collapsed="false">
      <c r="F3497" s="41" t="str">
        <f aca="false">IF(E3497="","",IFERROR(VLOOKUP(E3497,Assumptions!$G$5:$H$16,2,0),"Other"))</f>
        <v/>
      </c>
      <c r="J3497" s="41" t="str">
        <f aca="false">IF(G3497="","",IFERROR(IF(ISNUMBER(SEARCH(Assumptions!$C$5,G3497)),Assumptions!$D$5,IF(ISNUMBER(SEARCH(Assumptions!$C$6,G3497)),Assumptions!$D$6,IF(ISNUMBER(SEARCH(Assumptions!$C$7,G3497)),Assumptions!$D$7,"Other Services"))),"Other Services"))</f>
        <v/>
      </c>
    </row>
    <row r="3498" customFormat="false" ht="15" hidden="false" customHeight="false" outlineLevel="0" collapsed="false">
      <c r="F3498" s="41" t="str">
        <f aca="false">IF(E3498="","",IFERROR(VLOOKUP(E3498,Assumptions!$G$5:$H$16,2,0),"Other"))</f>
        <v/>
      </c>
      <c r="J3498" s="41" t="str">
        <f aca="false">IF(G3498="","",IFERROR(IF(ISNUMBER(SEARCH(Assumptions!$C$5,G3498)),Assumptions!$D$5,IF(ISNUMBER(SEARCH(Assumptions!$C$6,G3498)),Assumptions!$D$6,IF(ISNUMBER(SEARCH(Assumptions!$C$7,G3498)),Assumptions!$D$7,"Other Services"))),"Other Services"))</f>
        <v/>
      </c>
    </row>
    <row r="3499" customFormat="false" ht="15" hidden="false" customHeight="false" outlineLevel="0" collapsed="false">
      <c r="F3499" s="41" t="str">
        <f aca="false">IF(E3499="","",IFERROR(VLOOKUP(E3499,Assumptions!$G$5:$H$16,2,0),"Other"))</f>
        <v/>
      </c>
      <c r="J3499" s="41" t="str">
        <f aca="false">IF(G3499="","",IFERROR(IF(ISNUMBER(SEARCH(Assumptions!$C$5,G3499)),Assumptions!$D$5,IF(ISNUMBER(SEARCH(Assumptions!$C$6,G3499)),Assumptions!$D$6,IF(ISNUMBER(SEARCH(Assumptions!$C$7,G3499)),Assumptions!$D$7,"Other Services"))),"Other Services"))</f>
        <v/>
      </c>
    </row>
    <row r="3500" customFormat="false" ht="15" hidden="false" customHeight="false" outlineLevel="0" collapsed="false">
      <c r="F3500" s="41" t="str">
        <f aca="false">IF(E3500="","",IFERROR(VLOOKUP(E3500,Assumptions!$G$5:$H$16,2,0),"Other"))</f>
        <v/>
      </c>
      <c r="J3500" s="41" t="str">
        <f aca="false">IF(G3500="","",IFERROR(IF(ISNUMBER(SEARCH(Assumptions!$C$5,G3500)),Assumptions!$D$5,IF(ISNUMBER(SEARCH(Assumptions!$C$6,G3500)),Assumptions!$D$6,IF(ISNUMBER(SEARCH(Assumptions!$C$7,G3500)),Assumptions!$D$7,"Other Services"))),"Other Services"))</f>
        <v/>
      </c>
    </row>
    <row r="3501" customFormat="false" ht="15" hidden="false" customHeight="false" outlineLevel="0" collapsed="false">
      <c r="F3501" s="41" t="str">
        <f aca="false">IF(E3501="","",IFERROR(VLOOKUP(E3501,Assumptions!$G$5:$H$16,2,0),"Other"))</f>
        <v/>
      </c>
      <c r="J3501" s="41" t="str">
        <f aca="false">IF(G3501="","",IFERROR(IF(ISNUMBER(SEARCH(Assumptions!$C$5,G3501)),Assumptions!$D$5,IF(ISNUMBER(SEARCH(Assumptions!$C$6,G3501)),Assumptions!$D$6,IF(ISNUMBER(SEARCH(Assumptions!$C$7,G3501)),Assumptions!$D$7,"Other Services"))),"Other Services"))</f>
        <v/>
      </c>
    </row>
    <row r="3502" customFormat="false" ht="15" hidden="false" customHeight="false" outlineLevel="0" collapsed="false">
      <c r="F3502" s="41" t="str">
        <f aca="false">IF(E3502="","",IFERROR(VLOOKUP(E3502,Assumptions!$G$5:$H$16,2,0),"Other"))</f>
        <v/>
      </c>
      <c r="J3502" s="41" t="str">
        <f aca="false">IF(G3502="","",IFERROR(IF(ISNUMBER(SEARCH(Assumptions!$C$5,G3502)),Assumptions!$D$5,IF(ISNUMBER(SEARCH(Assumptions!$C$6,G3502)),Assumptions!$D$6,IF(ISNUMBER(SEARCH(Assumptions!$C$7,G3502)),Assumptions!$D$7,"Other Services"))),"Other Services"))</f>
        <v/>
      </c>
    </row>
    <row r="3503" customFormat="false" ht="15" hidden="false" customHeight="false" outlineLevel="0" collapsed="false">
      <c r="F3503" s="41" t="str">
        <f aca="false">IF(E3503="","",IFERROR(VLOOKUP(E3503,Assumptions!$G$5:$H$16,2,0),"Other"))</f>
        <v/>
      </c>
      <c r="J3503" s="41" t="str">
        <f aca="false">IF(G3503="","",IFERROR(IF(ISNUMBER(SEARCH(Assumptions!$C$5,G3503)),Assumptions!$D$5,IF(ISNUMBER(SEARCH(Assumptions!$C$6,G3503)),Assumptions!$D$6,IF(ISNUMBER(SEARCH(Assumptions!$C$7,G3503)),Assumptions!$D$7,"Other Services"))),"Other Services"))</f>
        <v/>
      </c>
    </row>
    <row r="3504" customFormat="false" ht="15" hidden="false" customHeight="false" outlineLevel="0" collapsed="false">
      <c r="F3504" s="41" t="str">
        <f aca="false">IF(E3504="","",IFERROR(VLOOKUP(E3504,Assumptions!$G$5:$H$16,2,0),"Other"))</f>
        <v/>
      </c>
      <c r="J3504" s="41" t="str">
        <f aca="false">IF(G3504="","",IFERROR(IF(ISNUMBER(SEARCH(Assumptions!$C$5,G3504)),Assumptions!$D$5,IF(ISNUMBER(SEARCH(Assumptions!$C$6,G3504)),Assumptions!$D$6,IF(ISNUMBER(SEARCH(Assumptions!$C$7,G3504)),Assumptions!$D$7,"Other Services"))),"Other Services"))</f>
        <v/>
      </c>
    </row>
    <row r="3505" customFormat="false" ht="15" hidden="false" customHeight="false" outlineLevel="0" collapsed="false">
      <c r="F3505" s="41" t="str">
        <f aca="false">IF(E3505="","",IFERROR(VLOOKUP(E3505,Assumptions!$G$5:$H$16,2,0),"Other"))</f>
        <v/>
      </c>
      <c r="J3505" s="41" t="str">
        <f aca="false">IF(G3505="","",IFERROR(IF(ISNUMBER(SEARCH(Assumptions!$C$5,G3505)),Assumptions!$D$5,IF(ISNUMBER(SEARCH(Assumptions!$C$6,G3505)),Assumptions!$D$6,IF(ISNUMBER(SEARCH(Assumptions!$C$7,G3505)),Assumptions!$D$7,"Other Services"))),"Other Services"))</f>
        <v/>
      </c>
    </row>
    <row r="3506" customFormat="false" ht="15" hidden="false" customHeight="false" outlineLevel="0" collapsed="false">
      <c r="F3506" s="41" t="str">
        <f aca="false">IF(E3506="","",IFERROR(VLOOKUP(E3506,Assumptions!$G$5:$H$16,2,0),"Other"))</f>
        <v/>
      </c>
      <c r="J3506" s="41" t="str">
        <f aca="false">IF(G3506="","",IFERROR(IF(ISNUMBER(SEARCH(Assumptions!$C$5,G3506)),Assumptions!$D$5,IF(ISNUMBER(SEARCH(Assumptions!$C$6,G3506)),Assumptions!$D$6,IF(ISNUMBER(SEARCH(Assumptions!$C$7,G3506)),Assumptions!$D$7,"Other Services"))),"Other Services"))</f>
        <v/>
      </c>
    </row>
    <row r="3507" customFormat="false" ht="15" hidden="false" customHeight="false" outlineLevel="0" collapsed="false">
      <c r="F3507" s="41" t="str">
        <f aca="false">IF(E3507="","",IFERROR(VLOOKUP(E3507,Assumptions!$G$5:$H$16,2,0),"Other"))</f>
        <v/>
      </c>
      <c r="J3507" s="41" t="str">
        <f aca="false">IF(G3507="","",IFERROR(IF(ISNUMBER(SEARCH(Assumptions!$C$5,G3507)),Assumptions!$D$5,IF(ISNUMBER(SEARCH(Assumptions!$C$6,G3507)),Assumptions!$D$6,IF(ISNUMBER(SEARCH(Assumptions!$C$7,G3507)),Assumptions!$D$7,"Other Services"))),"Other Services"))</f>
        <v/>
      </c>
    </row>
    <row r="3508" customFormat="false" ht="15" hidden="false" customHeight="false" outlineLevel="0" collapsed="false">
      <c r="F3508" s="41" t="str">
        <f aca="false">IF(E3508="","",IFERROR(VLOOKUP(E3508,Assumptions!$G$5:$H$16,2,0),"Other"))</f>
        <v/>
      </c>
      <c r="J3508" s="41" t="str">
        <f aca="false">IF(G3508="","",IFERROR(IF(ISNUMBER(SEARCH(Assumptions!$C$5,G3508)),Assumptions!$D$5,IF(ISNUMBER(SEARCH(Assumptions!$C$6,G3508)),Assumptions!$D$6,IF(ISNUMBER(SEARCH(Assumptions!$C$7,G3508)),Assumptions!$D$7,"Other Services"))),"Other Services"))</f>
        <v/>
      </c>
    </row>
    <row r="3509" customFormat="false" ht="15" hidden="false" customHeight="false" outlineLevel="0" collapsed="false">
      <c r="F3509" s="41" t="str">
        <f aca="false">IF(E3509="","",IFERROR(VLOOKUP(E3509,Assumptions!$G$5:$H$16,2,0),"Other"))</f>
        <v/>
      </c>
      <c r="J3509" s="41" t="str">
        <f aca="false">IF(G3509="","",IFERROR(IF(ISNUMBER(SEARCH(Assumptions!$C$5,G3509)),Assumptions!$D$5,IF(ISNUMBER(SEARCH(Assumptions!$C$6,G3509)),Assumptions!$D$6,IF(ISNUMBER(SEARCH(Assumptions!$C$7,G3509)),Assumptions!$D$7,"Other Services"))),"Other Services"))</f>
        <v/>
      </c>
    </row>
    <row r="3510" customFormat="false" ht="15" hidden="false" customHeight="false" outlineLevel="0" collapsed="false">
      <c r="F3510" s="41" t="str">
        <f aca="false">IF(E3510="","",IFERROR(VLOOKUP(E3510,Assumptions!$G$5:$H$16,2,0),"Other"))</f>
        <v/>
      </c>
      <c r="J3510" s="41" t="str">
        <f aca="false">IF(G3510="","",IFERROR(IF(ISNUMBER(SEARCH(Assumptions!$C$5,G3510)),Assumptions!$D$5,IF(ISNUMBER(SEARCH(Assumptions!$C$6,G3510)),Assumptions!$D$6,IF(ISNUMBER(SEARCH(Assumptions!$C$7,G3510)),Assumptions!$D$7,"Other Services"))),"Other Services"))</f>
        <v/>
      </c>
    </row>
    <row r="3511" customFormat="false" ht="15" hidden="false" customHeight="false" outlineLevel="0" collapsed="false">
      <c r="F3511" s="41" t="str">
        <f aca="false">IF(E3511="","",IFERROR(VLOOKUP(E3511,Assumptions!$G$5:$H$16,2,0),"Other"))</f>
        <v/>
      </c>
      <c r="J3511" s="41" t="str">
        <f aca="false">IF(G3511="","",IFERROR(IF(ISNUMBER(SEARCH(Assumptions!$C$5,G3511)),Assumptions!$D$5,IF(ISNUMBER(SEARCH(Assumptions!$C$6,G3511)),Assumptions!$D$6,IF(ISNUMBER(SEARCH(Assumptions!$C$7,G3511)),Assumptions!$D$7,"Other Services"))),"Other Services"))</f>
        <v/>
      </c>
    </row>
    <row r="3512" customFormat="false" ht="15" hidden="false" customHeight="false" outlineLevel="0" collapsed="false">
      <c r="F3512" s="41" t="str">
        <f aca="false">IF(E3512="","",IFERROR(VLOOKUP(E3512,Assumptions!$G$5:$H$16,2,0),"Other"))</f>
        <v/>
      </c>
      <c r="J3512" s="41" t="str">
        <f aca="false">IF(G3512="","",IFERROR(IF(ISNUMBER(SEARCH(Assumptions!$C$5,G3512)),Assumptions!$D$5,IF(ISNUMBER(SEARCH(Assumptions!$C$6,G3512)),Assumptions!$D$6,IF(ISNUMBER(SEARCH(Assumptions!$C$7,G3512)),Assumptions!$D$7,"Other Services"))),"Other Services"))</f>
        <v/>
      </c>
    </row>
    <row r="3513" customFormat="false" ht="15" hidden="false" customHeight="false" outlineLevel="0" collapsed="false">
      <c r="F3513" s="41" t="str">
        <f aca="false">IF(E3513="","",IFERROR(VLOOKUP(E3513,Assumptions!$G$5:$H$16,2,0),"Other"))</f>
        <v/>
      </c>
      <c r="J3513" s="41" t="str">
        <f aca="false">IF(G3513="","",IFERROR(IF(ISNUMBER(SEARCH(Assumptions!$C$5,G3513)),Assumptions!$D$5,IF(ISNUMBER(SEARCH(Assumptions!$C$6,G3513)),Assumptions!$D$6,IF(ISNUMBER(SEARCH(Assumptions!$C$7,G3513)),Assumptions!$D$7,"Other Services"))),"Other Services"))</f>
        <v/>
      </c>
    </row>
    <row r="3514" customFormat="false" ht="15" hidden="false" customHeight="false" outlineLevel="0" collapsed="false">
      <c r="F3514" s="41" t="str">
        <f aca="false">IF(E3514="","",IFERROR(VLOOKUP(E3514,Assumptions!$G$5:$H$16,2,0),"Other"))</f>
        <v/>
      </c>
      <c r="J3514" s="41" t="str">
        <f aca="false">IF(G3514="","",IFERROR(IF(ISNUMBER(SEARCH(Assumptions!$C$5,G3514)),Assumptions!$D$5,IF(ISNUMBER(SEARCH(Assumptions!$C$6,G3514)),Assumptions!$D$6,IF(ISNUMBER(SEARCH(Assumptions!$C$7,G3514)),Assumptions!$D$7,"Other Services"))),"Other Services"))</f>
        <v/>
      </c>
    </row>
    <row r="3515" customFormat="false" ht="15" hidden="false" customHeight="false" outlineLevel="0" collapsed="false">
      <c r="F3515" s="41" t="str">
        <f aca="false">IF(E3515="","",IFERROR(VLOOKUP(E3515,Assumptions!$G$5:$H$16,2,0),"Other"))</f>
        <v/>
      </c>
      <c r="J3515" s="41" t="str">
        <f aca="false">IF(G3515="","",IFERROR(IF(ISNUMBER(SEARCH(Assumptions!$C$5,G3515)),Assumptions!$D$5,IF(ISNUMBER(SEARCH(Assumptions!$C$6,G3515)),Assumptions!$D$6,IF(ISNUMBER(SEARCH(Assumptions!$C$7,G3515)),Assumptions!$D$7,"Other Services"))),"Other Services"))</f>
        <v/>
      </c>
    </row>
    <row r="3516" customFormat="false" ht="15" hidden="false" customHeight="false" outlineLevel="0" collapsed="false">
      <c r="F3516" s="41" t="str">
        <f aca="false">IF(E3516="","",IFERROR(VLOOKUP(E3516,Assumptions!$G$5:$H$16,2,0),"Other"))</f>
        <v/>
      </c>
      <c r="J3516" s="41" t="str">
        <f aca="false">IF(G3516="","",IFERROR(IF(ISNUMBER(SEARCH(Assumptions!$C$5,G3516)),Assumptions!$D$5,IF(ISNUMBER(SEARCH(Assumptions!$C$6,G3516)),Assumptions!$D$6,IF(ISNUMBER(SEARCH(Assumptions!$C$7,G3516)),Assumptions!$D$7,"Other Services"))),"Other Services"))</f>
        <v/>
      </c>
    </row>
    <row r="3517" customFormat="false" ht="15" hidden="false" customHeight="false" outlineLevel="0" collapsed="false">
      <c r="F3517" s="41" t="str">
        <f aca="false">IF(E3517="","",IFERROR(VLOOKUP(E3517,Assumptions!$G$5:$H$16,2,0),"Other"))</f>
        <v/>
      </c>
      <c r="J3517" s="41" t="str">
        <f aca="false">IF(G3517="","",IFERROR(IF(ISNUMBER(SEARCH(Assumptions!$C$5,G3517)),Assumptions!$D$5,IF(ISNUMBER(SEARCH(Assumptions!$C$6,G3517)),Assumptions!$D$6,IF(ISNUMBER(SEARCH(Assumptions!$C$7,G3517)),Assumptions!$D$7,"Other Services"))),"Other Services"))</f>
        <v/>
      </c>
    </row>
    <row r="3518" customFormat="false" ht="15" hidden="false" customHeight="false" outlineLevel="0" collapsed="false">
      <c r="F3518" s="41" t="str">
        <f aca="false">IF(E3518="","",IFERROR(VLOOKUP(E3518,Assumptions!$G$5:$H$16,2,0),"Other"))</f>
        <v/>
      </c>
      <c r="J3518" s="41" t="str">
        <f aca="false">IF(G3518="","",IFERROR(IF(ISNUMBER(SEARCH(Assumptions!$C$5,G3518)),Assumptions!$D$5,IF(ISNUMBER(SEARCH(Assumptions!$C$6,G3518)),Assumptions!$D$6,IF(ISNUMBER(SEARCH(Assumptions!$C$7,G3518)),Assumptions!$D$7,"Other Services"))),"Other Services"))</f>
        <v/>
      </c>
    </row>
    <row r="3519" customFormat="false" ht="15" hidden="false" customHeight="false" outlineLevel="0" collapsed="false">
      <c r="F3519" s="41" t="str">
        <f aca="false">IF(E3519="","",IFERROR(VLOOKUP(E3519,Assumptions!$G$5:$H$16,2,0),"Other"))</f>
        <v/>
      </c>
      <c r="J3519" s="41" t="str">
        <f aca="false">IF(G3519="","",IFERROR(IF(ISNUMBER(SEARCH(Assumptions!$C$5,G3519)),Assumptions!$D$5,IF(ISNUMBER(SEARCH(Assumptions!$C$6,G3519)),Assumptions!$D$6,IF(ISNUMBER(SEARCH(Assumptions!$C$7,G3519)),Assumptions!$D$7,"Other Services"))),"Other Services"))</f>
        <v/>
      </c>
    </row>
    <row r="3520" customFormat="false" ht="15" hidden="false" customHeight="false" outlineLevel="0" collapsed="false">
      <c r="F3520" s="41" t="str">
        <f aca="false">IF(E3520="","",IFERROR(VLOOKUP(E3520,Assumptions!$G$5:$H$16,2,0),"Other"))</f>
        <v/>
      </c>
      <c r="J3520" s="41" t="str">
        <f aca="false">IF(G3520="","",IFERROR(IF(ISNUMBER(SEARCH(Assumptions!$C$5,G3520)),Assumptions!$D$5,IF(ISNUMBER(SEARCH(Assumptions!$C$6,G3520)),Assumptions!$D$6,IF(ISNUMBER(SEARCH(Assumptions!$C$7,G3520)),Assumptions!$D$7,"Other Services"))),"Other Services"))</f>
        <v/>
      </c>
    </row>
    <row r="3521" customFormat="false" ht="15" hidden="false" customHeight="false" outlineLevel="0" collapsed="false">
      <c r="F3521" s="41" t="str">
        <f aca="false">IF(E3521="","",IFERROR(VLOOKUP(E3521,Assumptions!$G$5:$H$16,2,0),"Other"))</f>
        <v/>
      </c>
      <c r="J3521" s="41" t="str">
        <f aca="false">IF(G3521="","",IFERROR(IF(ISNUMBER(SEARCH(Assumptions!$C$5,G3521)),Assumptions!$D$5,IF(ISNUMBER(SEARCH(Assumptions!$C$6,G3521)),Assumptions!$D$6,IF(ISNUMBER(SEARCH(Assumptions!$C$7,G3521)),Assumptions!$D$7,"Other Services"))),"Other Services"))</f>
        <v/>
      </c>
    </row>
    <row r="3522" customFormat="false" ht="15" hidden="false" customHeight="false" outlineLevel="0" collapsed="false">
      <c r="F3522" s="41" t="str">
        <f aca="false">IF(E3522="","",IFERROR(VLOOKUP(E3522,Assumptions!$G$5:$H$16,2,0),"Other"))</f>
        <v/>
      </c>
      <c r="J3522" s="41" t="str">
        <f aca="false">IF(G3522="","",IFERROR(IF(ISNUMBER(SEARCH(Assumptions!$C$5,G3522)),Assumptions!$D$5,IF(ISNUMBER(SEARCH(Assumptions!$C$6,G3522)),Assumptions!$D$6,IF(ISNUMBER(SEARCH(Assumptions!$C$7,G3522)),Assumptions!$D$7,"Other Services"))),"Other Services"))</f>
        <v/>
      </c>
    </row>
    <row r="3523" customFormat="false" ht="15" hidden="false" customHeight="false" outlineLevel="0" collapsed="false">
      <c r="F3523" s="41" t="str">
        <f aca="false">IF(E3523="","",IFERROR(VLOOKUP(E3523,Assumptions!$G$5:$H$16,2,0),"Other"))</f>
        <v/>
      </c>
      <c r="J3523" s="41" t="str">
        <f aca="false">IF(G3523="","",IFERROR(IF(ISNUMBER(SEARCH(Assumptions!$C$5,G3523)),Assumptions!$D$5,IF(ISNUMBER(SEARCH(Assumptions!$C$6,G3523)),Assumptions!$D$6,IF(ISNUMBER(SEARCH(Assumptions!$C$7,G3523)),Assumptions!$D$7,"Other Services"))),"Other Services"))</f>
        <v/>
      </c>
    </row>
    <row r="3524" customFormat="false" ht="15" hidden="false" customHeight="false" outlineLevel="0" collapsed="false">
      <c r="F3524" s="41" t="str">
        <f aca="false">IF(E3524="","",IFERROR(VLOOKUP(E3524,Assumptions!$G$5:$H$16,2,0),"Other"))</f>
        <v/>
      </c>
      <c r="J3524" s="41" t="str">
        <f aca="false">IF(G3524="","",IFERROR(IF(ISNUMBER(SEARCH(Assumptions!$C$5,G3524)),Assumptions!$D$5,IF(ISNUMBER(SEARCH(Assumptions!$C$6,G3524)),Assumptions!$D$6,IF(ISNUMBER(SEARCH(Assumptions!$C$7,G3524)),Assumptions!$D$7,"Other Services"))),"Other Services"))</f>
        <v/>
      </c>
    </row>
    <row r="3525" customFormat="false" ht="15" hidden="false" customHeight="false" outlineLevel="0" collapsed="false">
      <c r="F3525" s="41" t="str">
        <f aca="false">IF(E3525="","",IFERROR(VLOOKUP(E3525,Assumptions!$G$5:$H$16,2,0),"Other"))</f>
        <v/>
      </c>
      <c r="J3525" s="41" t="str">
        <f aca="false">IF(G3525="","",IFERROR(IF(ISNUMBER(SEARCH(Assumptions!$C$5,G3525)),Assumptions!$D$5,IF(ISNUMBER(SEARCH(Assumptions!$C$6,G3525)),Assumptions!$D$6,IF(ISNUMBER(SEARCH(Assumptions!$C$7,G3525)),Assumptions!$D$7,"Other Services"))),"Other Services"))</f>
        <v/>
      </c>
    </row>
    <row r="3526" customFormat="false" ht="15" hidden="false" customHeight="false" outlineLevel="0" collapsed="false">
      <c r="F3526" s="41" t="str">
        <f aca="false">IF(E3526="","",IFERROR(VLOOKUP(E3526,Assumptions!$G$5:$H$16,2,0),"Other"))</f>
        <v/>
      </c>
      <c r="J3526" s="41" t="str">
        <f aca="false">IF(G3526="","",IFERROR(IF(ISNUMBER(SEARCH(Assumptions!$C$5,G3526)),Assumptions!$D$5,IF(ISNUMBER(SEARCH(Assumptions!$C$6,G3526)),Assumptions!$D$6,IF(ISNUMBER(SEARCH(Assumptions!$C$7,G3526)),Assumptions!$D$7,"Other Services"))),"Other Services"))</f>
        <v/>
      </c>
    </row>
    <row r="3527" customFormat="false" ht="15" hidden="false" customHeight="false" outlineLevel="0" collapsed="false">
      <c r="F3527" s="41" t="str">
        <f aca="false">IF(E3527="","",IFERROR(VLOOKUP(E3527,Assumptions!$G$5:$H$16,2,0),"Other"))</f>
        <v/>
      </c>
      <c r="J3527" s="41" t="str">
        <f aca="false">IF(G3527="","",IFERROR(IF(ISNUMBER(SEARCH(Assumptions!$C$5,G3527)),Assumptions!$D$5,IF(ISNUMBER(SEARCH(Assumptions!$C$6,G3527)),Assumptions!$D$6,IF(ISNUMBER(SEARCH(Assumptions!$C$7,G3527)),Assumptions!$D$7,"Other Services"))),"Other Services"))</f>
        <v/>
      </c>
    </row>
    <row r="3528" customFormat="false" ht="15" hidden="false" customHeight="false" outlineLevel="0" collapsed="false">
      <c r="F3528" s="41" t="str">
        <f aca="false">IF(E3528="","",IFERROR(VLOOKUP(E3528,Assumptions!$G$5:$H$16,2,0),"Other"))</f>
        <v/>
      </c>
      <c r="J3528" s="41" t="str">
        <f aca="false">IF(G3528="","",IFERROR(IF(ISNUMBER(SEARCH(Assumptions!$C$5,G3528)),Assumptions!$D$5,IF(ISNUMBER(SEARCH(Assumptions!$C$6,G3528)),Assumptions!$D$6,IF(ISNUMBER(SEARCH(Assumptions!$C$7,G3528)),Assumptions!$D$7,"Other Services"))),"Other Services"))</f>
        <v/>
      </c>
    </row>
    <row r="3529" customFormat="false" ht="15" hidden="false" customHeight="false" outlineLevel="0" collapsed="false">
      <c r="F3529" s="41" t="str">
        <f aca="false">IF(E3529="","",IFERROR(VLOOKUP(E3529,Assumptions!$G$5:$H$16,2,0),"Other"))</f>
        <v/>
      </c>
      <c r="J3529" s="41" t="str">
        <f aca="false">IF(G3529="","",IFERROR(IF(ISNUMBER(SEARCH(Assumptions!$C$5,G3529)),Assumptions!$D$5,IF(ISNUMBER(SEARCH(Assumptions!$C$6,G3529)),Assumptions!$D$6,IF(ISNUMBER(SEARCH(Assumptions!$C$7,G3529)),Assumptions!$D$7,"Other Services"))),"Other Services"))</f>
        <v/>
      </c>
    </row>
    <row r="3530" customFormat="false" ht="15" hidden="false" customHeight="false" outlineLevel="0" collapsed="false">
      <c r="F3530" s="41" t="str">
        <f aca="false">IF(E3530="","",IFERROR(VLOOKUP(E3530,Assumptions!$G$5:$H$16,2,0),"Other"))</f>
        <v/>
      </c>
      <c r="J3530" s="41" t="str">
        <f aca="false">IF(G3530="","",IFERROR(IF(ISNUMBER(SEARCH(Assumptions!$C$5,G3530)),Assumptions!$D$5,IF(ISNUMBER(SEARCH(Assumptions!$C$6,G3530)),Assumptions!$D$6,IF(ISNUMBER(SEARCH(Assumptions!$C$7,G3530)),Assumptions!$D$7,"Other Services"))),"Other Services"))</f>
        <v/>
      </c>
    </row>
    <row r="3531" customFormat="false" ht="15" hidden="false" customHeight="false" outlineLevel="0" collapsed="false">
      <c r="F3531" s="41" t="str">
        <f aca="false">IF(E3531="","",IFERROR(VLOOKUP(E3531,Assumptions!$G$5:$H$16,2,0),"Other"))</f>
        <v/>
      </c>
      <c r="J3531" s="41" t="str">
        <f aca="false">IF(G3531="","",IFERROR(IF(ISNUMBER(SEARCH(Assumptions!$C$5,G3531)),Assumptions!$D$5,IF(ISNUMBER(SEARCH(Assumptions!$C$6,G3531)),Assumptions!$D$6,IF(ISNUMBER(SEARCH(Assumptions!$C$7,G3531)),Assumptions!$D$7,"Other Services"))),"Other Services"))</f>
        <v/>
      </c>
    </row>
    <row r="3532" customFormat="false" ht="15" hidden="false" customHeight="false" outlineLevel="0" collapsed="false">
      <c r="F3532" s="41" t="str">
        <f aca="false">IF(E3532="","",IFERROR(VLOOKUP(E3532,Assumptions!$G$5:$H$16,2,0),"Other"))</f>
        <v/>
      </c>
      <c r="J3532" s="41" t="str">
        <f aca="false">IF(G3532="","",IFERROR(IF(ISNUMBER(SEARCH(Assumptions!$C$5,G3532)),Assumptions!$D$5,IF(ISNUMBER(SEARCH(Assumptions!$C$6,G3532)),Assumptions!$D$6,IF(ISNUMBER(SEARCH(Assumptions!$C$7,G3532)),Assumptions!$D$7,"Other Services"))),"Other Services"))</f>
        <v/>
      </c>
    </row>
    <row r="3533" customFormat="false" ht="15" hidden="false" customHeight="false" outlineLevel="0" collapsed="false">
      <c r="F3533" s="41" t="str">
        <f aca="false">IF(E3533="","",IFERROR(VLOOKUP(E3533,Assumptions!$G$5:$H$16,2,0),"Other"))</f>
        <v/>
      </c>
      <c r="J3533" s="41" t="str">
        <f aca="false">IF(G3533="","",IFERROR(IF(ISNUMBER(SEARCH(Assumptions!$C$5,G3533)),Assumptions!$D$5,IF(ISNUMBER(SEARCH(Assumptions!$C$6,G3533)),Assumptions!$D$6,IF(ISNUMBER(SEARCH(Assumptions!$C$7,G3533)),Assumptions!$D$7,"Other Services"))),"Other Services"))</f>
        <v/>
      </c>
    </row>
    <row r="3534" customFormat="false" ht="15" hidden="false" customHeight="false" outlineLevel="0" collapsed="false">
      <c r="F3534" s="41" t="str">
        <f aca="false">IF(E3534="","",IFERROR(VLOOKUP(E3534,Assumptions!$G$5:$H$16,2,0),"Other"))</f>
        <v/>
      </c>
      <c r="J3534" s="41" t="str">
        <f aca="false">IF(G3534="","",IFERROR(IF(ISNUMBER(SEARCH(Assumptions!$C$5,G3534)),Assumptions!$D$5,IF(ISNUMBER(SEARCH(Assumptions!$C$6,G3534)),Assumptions!$D$6,IF(ISNUMBER(SEARCH(Assumptions!$C$7,G3534)),Assumptions!$D$7,"Other Services"))),"Other Services"))</f>
        <v/>
      </c>
    </row>
    <row r="3535" customFormat="false" ht="15" hidden="false" customHeight="false" outlineLevel="0" collapsed="false">
      <c r="F3535" s="41" t="str">
        <f aca="false">IF(E3535="","",IFERROR(VLOOKUP(E3535,Assumptions!$G$5:$H$16,2,0),"Other"))</f>
        <v/>
      </c>
      <c r="J3535" s="41" t="str">
        <f aca="false">IF(G3535="","",IFERROR(IF(ISNUMBER(SEARCH(Assumptions!$C$5,G3535)),Assumptions!$D$5,IF(ISNUMBER(SEARCH(Assumptions!$C$6,G3535)),Assumptions!$D$6,IF(ISNUMBER(SEARCH(Assumptions!$C$7,G3535)),Assumptions!$D$7,"Other Services"))),"Other Services"))</f>
        <v/>
      </c>
    </row>
    <row r="3536" customFormat="false" ht="15" hidden="false" customHeight="false" outlineLevel="0" collapsed="false">
      <c r="F3536" s="41" t="str">
        <f aca="false">IF(E3536="","",IFERROR(VLOOKUP(E3536,Assumptions!$G$5:$H$16,2,0),"Other"))</f>
        <v/>
      </c>
      <c r="J3536" s="41" t="str">
        <f aca="false">IF(G3536="","",IFERROR(IF(ISNUMBER(SEARCH(Assumptions!$C$5,G3536)),Assumptions!$D$5,IF(ISNUMBER(SEARCH(Assumptions!$C$6,G3536)),Assumptions!$D$6,IF(ISNUMBER(SEARCH(Assumptions!$C$7,G3536)),Assumptions!$D$7,"Other Services"))),"Other Services"))</f>
        <v/>
      </c>
    </row>
    <row r="3537" customFormat="false" ht="15" hidden="false" customHeight="false" outlineLevel="0" collapsed="false">
      <c r="F3537" s="41" t="str">
        <f aca="false">IF(E3537="","",IFERROR(VLOOKUP(E3537,Assumptions!$G$5:$H$16,2,0),"Other"))</f>
        <v/>
      </c>
      <c r="J3537" s="41" t="str">
        <f aca="false">IF(G3537="","",IFERROR(IF(ISNUMBER(SEARCH(Assumptions!$C$5,G3537)),Assumptions!$D$5,IF(ISNUMBER(SEARCH(Assumptions!$C$6,G3537)),Assumptions!$D$6,IF(ISNUMBER(SEARCH(Assumptions!$C$7,G3537)),Assumptions!$D$7,"Other Services"))),"Other Services"))</f>
        <v/>
      </c>
    </row>
    <row r="3538" customFormat="false" ht="15" hidden="false" customHeight="false" outlineLevel="0" collapsed="false">
      <c r="F3538" s="41" t="str">
        <f aca="false">IF(E3538="","",IFERROR(VLOOKUP(E3538,Assumptions!$G$5:$H$16,2,0),"Other"))</f>
        <v/>
      </c>
      <c r="J3538" s="41" t="str">
        <f aca="false">IF(G3538="","",IFERROR(IF(ISNUMBER(SEARCH(Assumptions!$C$5,G3538)),Assumptions!$D$5,IF(ISNUMBER(SEARCH(Assumptions!$C$6,G3538)),Assumptions!$D$6,IF(ISNUMBER(SEARCH(Assumptions!$C$7,G3538)),Assumptions!$D$7,"Other Services"))),"Other Services"))</f>
        <v/>
      </c>
    </row>
    <row r="3539" customFormat="false" ht="15" hidden="false" customHeight="false" outlineLevel="0" collapsed="false">
      <c r="F3539" s="41" t="str">
        <f aca="false">IF(E3539="","",IFERROR(VLOOKUP(E3539,Assumptions!$G$5:$H$16,2,0),"Other"))</f>
        <v/>
      </c>
      <c r="J3539" s="41" t="str">
        <f aca="false">IF(G3539="","",IFERROR(IF(ISNUMBER(SEARCH(Assumptions!$C$5,G3539)),Assumptions!$D$5,IF(ISNUMBER(SEARCH(Assumptions!$C$6,G3539)),Assumptions!$D$6,IF(ISNUMBER(SEARCH(Assumptions!$C$7,G3539)),Assumptions!$D$7,"Other Services"))),"Other Services"))</f>
        <v/>
      </c>
    </row>
    <row r="3540" customFormat="false" ht="15" hidden="false" customHeight="false" outlineLevel="0" collapsed="false">
      <c r="F3540" s="41" t="str">
        <f aca="false">IF(E3540="","",IFERROR(VLOOKUP(E3540,Assumptions!$G$5:$H$16,2,0),"Other"))</f>
        <v/>
      </c>
      <c r="J3540" s="41" t="str">
        <f aca="false">IF(G3540="","",IFERROR(IF(ISNUMBER(SEARCH(Assumptions!$C$5,G3540)),Assumptions!$D$5,IF(ISNUMBER(SEARCH(Assumptions!$C$6,G3540)),Assumptions!$D$6,IF(ISNUMBER(SEARCH(Assumptions!$C$7,G3540)),Assumptions!$D$7,"Other Services"))),"Other Services"))</f>
        <v/>
      </c>
    </row>
    <row r="3541" customFormat="false" ht="15" hidden="false" customHeight="false" outlineLevel="0" collapsed="false">
      <c r="F3541" s="41" t="str">
        <f aca="false">IF(E3541="","",IFERROR(VLOOKUP(E3541,Assumptions!$G$5:$H$16,2,0),"Other"))</f>
        <v/>
      </c>
      <c r="J3541" s="41" t="str">
        <f aca="false">IF(G3541="","",IFERROR(IF(ISNUMBER(SEARCH(Assumptions!$C$5,G3541)),Assumptions!$D$5,IF(ISNUMBER(SEARCH(Assumptions!$C$6,G3541)),Assumptions!$D$6,IF(ISNUMBER(SEARCH(Assumptions!$C$7,G3541)),Assumptions!$D$7,"Other Services"))),"Other Services"))</f>
        <v/>
      </c>
    </row>
    <row r="3542" customFormat="false" ht="15" hidden="false" customHeight="false" outlineLevel="0" collapsed="false">
      <c r="F3542" s="41" t="str">
        <f aca="false">IF(E3542="","",IFERROR(VLOOKUP(E3542,Assumptions!$G$5:$H$16,2,0),"Other"))</f>
        <v/>
      </c>
      <c r="J3542" s="41" t="str">
        <f aca="false">IF(G3542="","",IFERROR(IF(ISNUMBER(SEARCH(Assumptions!$C$5,G3542)),Assumptions!$D$5,IF(ISNUMBER(SEARCH(Assumptions!$C$6,G3542)),Assumptions!$D$6,IF(ISNUMBER(SEARCH(Assumptions!$C$7,G3542)),Assumptions!$D$7,"Other Services"))),"Other Services"))</f>
        <v/>
      </c>
    </row>
    <row r="3543" customFormat="false" ht="15" hidden="false" customHeight="false" outlineLevel="0" collapsed="false">
      <c r="F3543" s="41" t="str">
        <f aca="false">IF(E3543="","",IFERROR(VLOOKUP(E3543,Assumptions!$G$5:$H$16,2,0),"Other"))</f>
        <v/>
      </c>
      <c r="J3543" s="41" t="str">
        <f aca="false">IF(G3543="","",IFERROR(IF(ISNUMBER(SEARCH(Assumptions!$C$5,G3543)),Assumptions!$D$5,IF(ISNUMBER(SEARCH(Assumptions!$C$6,G3543)),Assumptions!$D$6,IF(ISNUMBER(SEARCH(Assumptions!$C$7,G3543)),Assumptions!$D$7,"Other Services"))),"Other Services"))</f>
        <v/>
      </c>
    </row>
    <row r="3544" customFormat="false" ht="15" hidden="false" customHeight="false" outlineLevel="0" collapsed="false">
      <c r="F3544" s="41" t="str">
        <f aca="false">IF(E3544="","",IFERROR(VLOOKUP(E3544,Assumptions!$G$5:$H$16,2,0),"Other"))</f>
        <v/>
      </c>
      <c r="J3544" s="41" t="str">
        <f aca="false">IF(G3544="","",IFERROR(IF(ISNUMBER(SEARCH(Assumptions!$C$5,G3544)),Assumptions!$D$5,IF(ISNUMBER(SEARCH(Assumptions!$C$6,G3544)),Assumptions!$D$6,IF(ISNUMBER(SEARCH(Assumptions!$C$7,G3544)),Assumptions!$D$7,"Other Services"))),"Other Services"))</f>
        <v/>
      </c>
    </row>
    <row r="3545" customFormat="false" ht="15" hidden="false" customHeight="false" outlineLevel="0" collapsed="false">
      <c r="F3545" s="41" t="str">
        <f aca="false">IF(E3545="","",IFERROR(VLOOKUP(E3545,Assumptions!$G$5:$H$16,2,0),"Other"))</f>
        <v/>
      </c>
      <c r="J3545" s="41" t="str">
        <f aca="false">IF(G3545="","",IFERROR(IF(ISNUMBER(SEARCH(Assumptions!$C$5,G3545)),Assumptions!$D$5,IF(ISNUMBER(SEARCH(Assumptions!$C$6,G3545)),Assumptions!$D$6,IF(ISNUMBER(SEARCH(Assumptions!$C$7,G3545)),Assumptions!$D$7,"Other Services"))),"Other Services"))</f>
        <v/>
      </c>
    </row>
    <row r="3546" customFormat="false" ht="15" hidden="false" customHeight="false" outlineLevel="0" collapsed="false">
      <c r="F3546" s="41" t="str">
        <f aca="false">IF(E3546="","",IFERROR(VLOOKUP(E3546,Assumptions!$G$5:$H$16,2,0),"Other"))</f>
        <v/>
      </c>
      <c r="J3546" s="41" t="str">
        <f aca="false">IF(G3546="","",IFERROR(IF(ISNUMBER(SEARCH(Assumptions!$C$5,G3546)),Assumptions!$D$5,IF(ISNUMBER(SEARCH(Assumptions!$C$6,G3546)),Assumptions!$D$6,IF(ISNUMBER(SEARCH(Assumptions!$C$7,G3546)),Assumptions!$D$7,"Other Services"))),"Other Services"))</f>
        <v/>
      </c>
    </row>
    <row r="3547" customFormat="false" ht="15" hidden="false" customHeight="false" outlineLevel="0" collapsed="false">
      <c r="F3547" s="41" t="str">
        <f aca="false">IF(E3547="","",IFERROR(VLOOKUP(E3547,Assumptions!$G$5:$H$16,2,0),"Other"))</f>
        <v/>
      </c>
      <c r="J3547" s="41" t="str">
        <f aca="false">IF(G3547="","",IFERROR(IF(ISNUMBER(SEARCH(Assumptions!$C$5,G3547)),Assumptions!$D$5,IF(ISNUMBER(SEARCH(Assumptions!$C$6,G3547)),Assumptions!$D$6,IF(ISNUMBER(SEARCH(Assumptions!$C$7,G3547)),Assumptions!$D$7,"Other Services"))),"Other Services"))</f>
        <v/>
      </c>
    </row>
    <row r="3548" customFormat="false" ht="15" hidden="false" customHeight="false" outlineLevel="0" collapsed="false">
      <c r="F3548" s="41" t="str">
        <f aca="false">IF(E3548="","",IFERROR(VLOOKUP(E3548,Assumptions!$G$5:$H$16,2,0),"Other"))</f>
        <v/>
      </c>
      <c r="J3548" s="41" t="str">
        <f aca="false">IF(G3548="","",IFERROR(IF(ISNUMBER(SEARCH(Assumptions!$C$5,G3548)),Assumptions!$D$5,IF(ISNUMBER(SEARCH(Assumptions!$C$6,G3548)),Assumptions!$D$6,IF(ISNUMBER(SEARCH(Assumptions!$C$7,G3548)),Assumptions!$D$7,"Other Services"))),"Other Services"))</f>
        <v/>
      </c>
    </row>
    <row r="3549" customFormat="false" ht="15" hidden="false" customHeight="false" outlineLevel="0" collapsed="false">
      <c r="F3549" s="41" t="str">
        <f aca="false">IF(E3549="","",IFERROR(VLOOKUP(E3549,Assumptions!$G$5:$H$16,2,0),"Other"))</f>
        <v/>
      </c>
      <c r="J3549" s="41" t="str">
        <f aca="false">IF(G3549="","",IFERROR(IF(ISNUMBER(SEARCH(Assumptions!$C$5,G3549)),Assumptions!$D$5,IF(ISNUMBER(SEARCH(Assumptions!$C$6,G3549)),Assumptions!$D$6,IF(ISNUMBER(SEARCH(Assumptions!$C$7,G3549)),Assumptions!$D$7,"Other Services"))),"Other Services"))</f>
        <v/>
      </c>
    </row>
    <row r="3550" customFormat="false" ht="15" hidden="false" customHeight="false" outlineLevel="0" collapsed="false">
      <c r="F3550" s="41" t="str">
        <f aca="false">IF(E3550="","",IFERROR(VLOOKUP(E3550,Assumptions!$G$5:$H$16,2,0),"Other"))</f>
        <v/>
      </c>
      <c r="J3550" s="41" t="str">
        <f aca="false">IF(G3550="","",IFERROR(IF(ISNUMBER(SEARCH(Assumptions!$C$5,G3550)),Assumptions!$D$5,IF(ISNUMBER(SEARCH(Assumptions!$C$6,G3550)),Assumptions!$D$6,IF(ISNUMBER(SEARCH(Assumptions!$C$7,G3550)),Assumptions!$D$7,"Other Services"))),"Other Services"))</f>
        <v/>
      </c>
    </row>
    <row r="3551" customFormat="false" ht="15" hidden="false" customHeight="false" outlineLevel="0" collapsed="false">
      <c r="F3551" s="41" t="str">
        <f aca="false">IF(E3551="","",IFERROR(VLOOKUP(E3551,Assumptions!$G$5:$H$16,2,0),"Other"))</f>
        <v/>
      </c>
      <c r="J3551" s="41" t="str">
        <f aca="false">IF(G3551="","",IFERROR(IF(ISNUMBER(SEARCH(Assumptions!$C$5,G3551)),Assumptions!$D$5,IF(ISNUMBER(SEARCH(Assumptions!$C$6,G3551)),Assumptions!$D$6,IF(ISNUMBER(SEARCH(Assumptions!$C$7,G3551)),Assumptions!$D$7,"Other Services"))),"Other Services"))</f>
        <v/>
      </c>
    </row>
    <row r="3552" customFormat="false" ht="15" hidden="false" customHeight="false" outlineLevel="0" collapsed="false">
      <c r="F3552" s="41" t="str">
        <f aca="false">IF(E3552="","",IFERROR(VLOOKUP(E3552,Assumptions!$G$5:$H$16,2,0),"Other"))</f>
        <v/>
      </c>
      <c r="J3552" s="41" t="str">
        <f aca="false">IF(G3552="","",IFERROR(IF(ISNUMBER(SEARCH(Assumptions!$C$5,G3552)),Assumptions!$D$5,IF(ISNUMBER(SEARCH(Assumptions!$C$6,G3552)),Assumptions!$D$6,IF(ISNUMBER(SEARCH(Assumptions!$C$7,G3552)),Assumptions!$D$7,"Other Services"))),"Other Services"))</f>
        <v/>
      </c>
    </row>
    <row r="3553" customFormat="false" ht="15" hidden="false" customHeight="false" outlineLevel="0" collapsed="false">
      <c r="F3553" s="41" t="str">
        <f aca="false">IF(E3553="","",IFERROR(VLOOKUP(E3553,Assumptions!$G$5:$H$16,2,0),"Other"))</f>
        <v/>
      </c>
      <c r="J3553" s="41" t="str">
        <f aca="false">IF(G3553="","",IFERROR(IF(ISNUMBER(SEARCH(Assumptions!$C$5,G3553)),Assumptions!$D$5,IF(ISNUMBER(SEARCH(Assumptions!$C$6,G3553)),Assumptions!$D$6,IF(ISNUMBER(SEARCH(Assumptions!$C$7,G3553)),Assumptions!$D$7,"Other Services"))),"Other Services"))</f>
        <v/>
      </c>
    </row>
    <row r="3554" customFormat="false" ht="15" hidden="false" customHeight="false" outlineLevel="0" collapsed="false">
      <c r="F3554" s="41" t="str">
        <f aca="false">IF(E3554="","",IFERROR(VLOOKUP(E3554,Assumptions!$G$5:$H$16,2,0),"Other"))</f>
        <v/>
      </c>
      <c r="J3554" s="41" t="str">
        <f aca="false">IF(G3554="","",IFERROR(IF(ISNUMBER(SEARCH(Assumptions!$C$5,G3554)),Assumptions!$D$5,IF(ISNUMBER(SEARCH(Assumptions!$C$6,G3554)),Assumptions!$D$6,IF(ISNUMBER(SEARCH(Assumptions!$C$7,G3554)),Assumptions!$D$7,"Other Services"))),"Other Services"))</f>
        <v/>
      </c>
    </row>
    <row r="3555" customFormat="false" ht="15" hidden="false" customHeight="false" outlineLevel="0" collapsed="false">
      <c r="F3555" s="41" t="str">
        <f aca="false">IF(E3555="","",IFERROR(VLOOKUP(E3555,Assumptions!$G$5:$H$16,2,0),"Other"))</f>
        <v/>
      </c>
      <c r="J3555" s="41" t="str">
        <f aca="false">IF(G3555="","",IFERROR(IF(ISNUMBER(SEARCH(Assumptions!$C$5,G3555)),Assumptions!$D$5,IF(ISNUMBER(SEARCH(Assumptions!$C$6,G3555)),Assumptions!$D$6,IF(ISNUMBER(SEARCH(Assumptions!$C$7,G3555)),Assumptions!$D$7,"Other Services"))),"Other Services"))</f>
        <v/>
      </c>
    </row>
    <row r="3556" customFormat="false" ht="15" hidden="false" customHeight="false" outlineLevel="0" collapsed="false">
      <c r="F3556" s="41" t="str">
        <f aca="false">IF(E3556="","",IFERROR(VLOOKUP(E3556,Assumptions!$G$5:$H$16,2,0),"Other"))</f>
        <v/>
      </c>
      <c r="J3556" s="41" t="str">
        <f aca="false">IF(G3556="","",IFERROR(IF(ISNUMBER(SEARCH(Assumptions!$C$5,G3556)),Assumptions!$D$5,IF(ISNUMBER(SEARCH(Assumptions!$C$6,G3556)),Assumptions!$D$6,IF(ISNUMBER(SEARCH(Assumptions!$C$7,G3556)),Assumptions!$D$7,"Other Services"))),"Other Services"))</f>
        <v/>
      </c>
    </row>
    <row r="3557" customFormat="false" ht="15" hidden="false" customHeight="false" outlineLevel="0" collapsed="false">
      <c r="F3557" s="41" t="str">
        <f aca="false">IF(E3557="","",IFERROR(VLOOKUP(E3557,Assumptions!$G$5:$H$16,2,0),"Other"))</f>
        <v/>
      </c>
      <c r="J3557" s="41" t="str">
        <f aca="false">IF(G3557="","",IFERROR(IF(ISNUMBER(SEARCH(Assumptions!$C$5,G3557)),Assumptions!$D$5,IF(ISNUMBER(SEARCH(Assumptions!$C$6,G3557)),Assumptions!$D$6,IF(ISNUMBER(SEARCH(Assumptions!$C$7,G3557)),Assumptions!$D$7,"Other Services"))),"Other Services"))</f>
        <v/>
      </c>
    </row>
    <row r="3558" customFormat="false" ht="15" hidden="false" customHeight="false" outlineLevel="0" collapsed="false">
      <c r="F3558" s="41" t="str">
        <f aca="false">IF(E3558="","",IFERROR(VLOOKUP(E3558,Assumptions!$G$5:$H$16,2,0),"Other"))</f>
        <v/>
      </c>
      <c r="J3558" s="41" t="str">
        <f aca="false">IF(G3558="","",IFERROR(IF(ISNUMBER(SEARCH(Assumptions!$C$5,G3558)),Assumptions!$D$5,IF(ISNUMBER(SEARCH(Assumptions!$C$6,G3558)),Assumptions!$D$6,IF(ISNUMBER(SEARCH(Assumptions!$C$7,G3558)),Assumptions!$D$7,"Other Services"))),"Other Services"))</f>
        <v/>
      </c>
    </row>
    <row r="3559" customFormat="false" ht="15" hidden="false" customHeight="false" outlineLevel="0" collapsed="false">
      <c r="F3559" s="41" t="str">
        <f aca="false">IF(E3559="","",IFERROR(VLOOKUP(E3559,Assumptions!$G$5:$H$16,2,0),"Other"))</f>
        <v/>
      </c>
      <c r="J3559" s="41" t="str">
        <f aca="false">IF(G3559="","",IFERROR(IF(ISNUMBER(SEARCH(Assumptions!$C$5,G3559)),Assumptions!$D$5,IF(ISNUMBER(SEARCH(Assumptions!$C$6,G3559)),Assumptions!$D$6,IF(ISNUMBER(SEARCH(Assumptions!$C$7,G3559)),Assumptions!$D$7,"Other Services"))),"Other Services"))</f>
        <v/>
      </c>
    </row>
    <row r="3560" customFormat="false" ht="15" hidden="false" customHeight="false" outlineLevel="0" collapsed="false">
      <c r="F3560" s="41" t="str">
        <f aca="false">IF(E3560="","",IFERROR(VLOOKUP(E3560,Assumptions!$G$5:$H$16,2,0),"Other"))</f>
        <v/>
      </c>
      <c r="J3560" s="41" t="str">
        <f aca="false">IF(G3560="","",IFERROR(IF(ISNUMBER(SEARCH(Assumptions!$C$5,G3560)),Assumptions!$D$5,IF(ISNUMBER(SEARCH(Assumptions!$C$6,G3560)),Assumptions!$D$6,IF(ISNUMBER(SEARCH(Assumptions!$C$7,G3560)),Assumptions!$D$7,"Other Services"))),"Other Services"))</f>
        <v/>
      </c>
    </row>
    <row r="3561" customFormat="false" ht="15" hidden="false" customHeight="false" outlineLevel="0" collapsed="false">
      <c r="F3561" s="41" t="str">
        <f aca="false">IF(E3561="","",IFERROR(VLOOKUP(E3561,Assumptions!$G$5:$H$16,2,0),"Other"))</f>
        <v/>
      </c>
      <c r="J3561" s="41" t="str">
        <f aca="false">IF(G3561="","",IFERROR(IF(ISNUMBER(SEARCH(Assumptions!$C$5,G3561)),Assumptions!$D$5,IF(ISNUMBER(SEARCH(Assumptions!$C$6,G3561)),Assumptions!$D$6,IF(ISNUMBER(SEARCH(Assumptions!$C$7,G3561)),Assumptions!$D$7,"Other Services"))),"Other Services"))</f>
        <v/>
      </c>
    </row>
    <row r="3562" customFormat="false" ht="15" hidden="false" customHeight="false" outlineLevel="0" collapsed="false">
      <c r="F3562" s="41" t="str">
        <f aca="false">IF(E3562="","",IFERROR(VLOOKUP(E3562,Assumptions!$G$5:$H$16,2,0),"Other"))</f>
        <v/>
      </c>
      <c r="J3562" s="41" t="str">
        <f aca="false">IF(G3562="","",IFERROR(IF(ISNUMBER(SEARCH(Assumptions!$C$5,G3562)),Assumptions!$D$5,IF(ISNUMBER(SEARCH(Assumptions!$C$6,G3562)),Assumptions!$D$6,IF(ISNUMBER(SEARCH(Assumptions!$C$7,G3562)),Assumptions!$D$7,"Other Services"))),"Other Services"))</f>
        <v/>
      </c>
    </row>
    <row r="3563" customFormat="false" ht="15" hidden="false" customHeight="false" outlineLevel="0" collapsed="false">
      <c r="F3563" s="41" t="str">
        <f aca="false">IF(E3563="","",IFERROR(VLOOKUP(E3563,Assumptions!$G$5:$H$16,2,0),"Other"))</f>
        <v/>
      </c>
      <c r="J3563" s="41" t="str">
        <f aca="false">IF(G3563="","",IFERROR(IF(ISNUMBER(SEARCH(Assumptions!$C$5,G3563)),Assumptions!$D$5,IF(ISNUMBER(SEARCH(Assumptions!$C$6,G3563)),Assumptions!$D$6,IF(ISNUMBER(SEARCH(Assumptions!$C$7,G3563)),Assumptions!$D$7,"Other Services"))),"Other Services"))</f>
        <v/>
      </c>
    </row>
    <row r="3564" customFormat="false" ht="15" hidden="false" customHeight="false" outlineLevel="0" collapsed="false">
      <c r="F3564" s="41" t="str">
        <f aca="false">IF(E3564="","",IFERROR(VLOOKUP(E3564,Assumptions!$G$5:$H$16,2,0),"Other"))</f>
        <v/>
      </c>
      <c r="J3564" s="41" t="str">
        <f aca="false">IF(G3564="","",IFERROR(IF(ISNUMBER(SEARCH(Assumptions!$C$5,G3564)),Assumptions!$D$5,IF(ISNUMBER(SEARCH(Assumptions!$C$6,G3564)),Assumptions!$D$6,IF(ISNUMBER(SEARCH(Assumptions!$C$7,G3564)),Assumptions!$D$7,"Other Services"))),"Other Services"))</f>
        <v/>
      </c>
    </row>
    <row r="3565" customFormat="false" ht="15" hidden="false" customHeight="false" outlineLevel="0" collapsed="false">
      <c r="F3565" s="41" t="str">
        <f aca="false">IF(E3565="","",IFERROR(VLOOKUP(E3565,Assumptions!$G$5:$H$16,2,0),"Other"))</f>
        <v/>
      </c>
      <c r="J3565" s="41" t="str">
        <f aca="false">IF(G3565="","",IFERROR(IF(ISNUMBER(SEARCH(Assumptions!$C$5,G3565)),Assumptions!$D$5,IF(ISNUMBER(SEARCH(Assumptions!$C$6,G3565)),Assumptions!$D$6,IF(ISNUMBER(SEARCH(Assumptions!$C$7,G3565)),Assumptions!$D$7,"Other Services"))),"Other Services"))</f>
        <v/>
      </c>
    </row>
    <row r="3566" customFormat="false" ht="15" hidden="false" customHeight="false" outlineLevel="0" collapsed="false">
      <c r="F3566" s="41" t="str">
        <f aca="false">IF(E3566="","",IFERROR(VLOOKUP(E3566,Assumptions!$G$5:$H$16,2,0),"Other"))</f>
        <v/>
      </c>
      <c r="J3566" s="41" t="str">
        <f aca="false">IF(G3566="","",IFERROR(IF(ISNUMBER(SEARCH(Assumptions!$C$5,G3566)),Assumptions!$D$5,IF(ISNUMBER(SEARCH(Assumptions!$C$6,G3566)),Assumptions!$D$6,IF(ISNUMBER(SEARCH(Assumptions!$C$7,G3566)),Assumptions!$D$7,"Other Services"))),"Other Services"))</f>
        <v/>
      </c>
    </row>
    <row r="3567" customFormat="false" ht="15" hidden="false" customHeight="false" outlineLevel="0" collapsed="false">
      <c r="F3567" s="41" t="str">
        <f aca="false">IF(E3567="","",IFERROR(VLOOKUP(E3567,Assumptions!$G$5:$H$16,2,0),"Other"))</f>
        <v/>
      </c>
      <c r="J3567" s="41" t="str">
        <f aca="false">IF(G3567="","",IFERROR(IF(ISNUMBER(SEARCH(Assumptions!$C$5,G3567)),Assumptions!$D$5,IF(ISNUMBER(SEARCH(Assumptions!$C$6,G3567)),Assumptions!$D$6,IF(ISNUMBER(SEARCH(Assumptions!$C$7,G3567)),Assumptions!$D$7,"Other Services"))),"Other Services"))</f>
        <v/>
      </c>
    </row>
    <row r="3568" customFormat="false" ht="15" hidden="false" customHeight="false" outlineLevel="0" collapsed="false">
      <c r="F3568" s="41" t="str">
        <f aca="false">IF(E3568="","",IFERROR(VLOOKUP(E3568,Assumptions!$G$5:$H$16,2,0),"Other"))</f>
        <v/>
      </c>
      <c r="J3568" s="41" t="str">
        <f aca="false">IF(G3568="","",IFERROR(IF(ISNUMBER(SEARCH(Assumptions!$C$5,G3568)),Assumptions!$D$5,IF(ISNUMBER(SEARCH(Assumptions!$C$6,G3568)),Assumptions!$D$6,IF(ISNUMBER(SEARCH(Assumptions!$C$7,G3568)),Assumptions!$D$7,"Other Services"))),"Other Services"))</f>
        <v/>
      </c>
    </row>
    <row r="3569" customFormat="false" ht="15" hidden="false" customHeight="false" outlineLevel="0" collapsed="false">
      <c r="F3569" s="41" t="str">
        <f aca="false">IF(E3569="","",IFERROR(VLOOKUP(E3569,Assumptions!$G$5:$H$16,2,0),"Other"))</f>
        <v/>
      </c>
      <c r="J3569" s="41" t="str">
        <f aca="false">IF(G3569="","",IFERROR(IF(ISNUMBER(SEARCH(Assumptions!$C$5,G3569)),Assumptions!$D$5,IF(ISNUMBER(SEARCH(Assumptions!$C$6,G3569)),Assumptions!$D$6,IF(ISNUMBER(SEARCH(Assumptions!$C$7,G3569)),Assumptions!$D$7,"Other Services"))),"Other Services"))</f>
        <v/>
      </c>
    </row>
    <row r="3570" customFormat="false" ht="15" hidden="false" customHeight="false" outlineLevel="0" collapsed="false">
      <c r="F3570" s="41" t="str">
        <f aca="false">IF(E3570="","",IFERROR(VLOOKUP(E3570,Assumptions!$G$5:$H$16,2,0),"Other"))</f>
        <v/>
      </c>
      <c r="J3570" s="41" t="str">
        <f aca="false">IF(G3570="","",IFERROR(IF(ISNUMBER(SEARCH(Assumptions!$C$5,G3570)),Assumptions!$D$5,IF(ISNUMBER(SEARCH(Assumptions!$C$6,G3570)),Assumptions!$D$6,IF(ISNUMBER(SEARCH(Assumptions!$C$7,G3570)),Assumptions!$D$7,"Other Services"))),"Other Services"))</f>
        <v/>
      </c>
    </row>
    <row r="3571" customFormat="false" ht="15" hidden="false" customHeight="false" outlineLevel="0" collapsed="false">
      <c r="F3571" s="41" t="str">
        <f aca="false">IF(E3571="","",IFERROR(VLOOKUP(E3571,Assumptions!$G$5:$H$16,2,0),"Other"))</f>
        <v/>
      </c>
      <c r="J3571" s="41" t="str">
        <f aca="false">IF(G3571="","",IFERROR(IF(ISNUMBER(SEARCH(Assumptions!$C$5,G3571)),Assumptions!$D$5,IF(ISNUMBER(SEARCH(Assumptions!$C$6,G3571)),Assumptions!$D$6,IF(ISNUMBER(SEARCH(Assumptions!$C$7,G3571)),Assumptions!$D$7,"Other Services"))),"Other Services"))</f>
        <v/>
      </c>
    </row>
    <row r="3572" customFormat="false" ht="15" hidden="false" customHeight="false" outlineLevel="0" collapsed="false">
      <c r="F3572" s="41" t="str">
        <f aca="false">IF(E3572="","",IFERROR(VLOOKUP(E3572,Assumptions!$G$5:$H$16,2,0),"Other"))</f>
        <v/>
      </c>
      <c r="J3572" s="41" t="str">
        <f aca="false">IF(G3572="","",IFERROR(IF(ISNUMBER(SEARCH(Assumptions!$C$5,G3572)),Assumptions!$D$5,IF(ISNUMBER(SEARCH(Assumptions!$C$6,G3572)),Assumptions!$D$6,IF(ISNUMBER(SEARCH(Assumptions!$C$7,G3572)),Assumptions!$D$7,"Other Services"))),"Other Services"))</f>
        <v/>
      </c>
    </row>
    <row r="3573" customFormat="false" ht="15" hidden="false" customHeight="false" outlineLevel="0" collapsed="false">
      <c r="F3573" s="41" t="str">
        <f aca="false">IF(E3573="","",IFERROR(VLOOKUP(E3573,Assumptions!$G$5:$H$16,2,0),"Other"))</f>
        <v/>
      </c>
      <c r="J3573" s="41" t="str">
        <f aca="false">IF(G3573="","",IFERROR(IF(ISNUMBER(SEARCH(Assumptions!$C$5,G3573)),Assumptions!$D$5,IF(ISNUMBER(SEARCH(Assumptions!$C$6,G3573)),Assumptions!$D$6,IF(ISNUMBER(SEARCH(Assumptions!$C$7,G3573)),Assumptions!$D$7,"Other Services"))),"Other Services"))</f>
        <v/>
      </c>
    </row>
    <row r="3574" customFormat="false" ht="15" hidden="false" customHeight="false" outlineLevel="0" collapsed="false">
      <c r="F3574" s="41" t="str">
        <f aca="false">IF(E3574="","",IFERROR(VLOOKUP(E3574,Assumptions!$G$5:$H$16,2,0),"Other"))</f>
        <v/>
      </c>
      <c r="J3574" s="41" t="str">
        <f aca="false">IF(G3574="","",IFERROR(IF(ISNUMBER(SEARCH(Assumptions!$C$5,G3574)),Assumptions!$D$5,IF(ISNUMBER(SEARCH(Assumptions!$C$6,G3574)),Assumptions!$D$6,IF(ISNUMBER(SEARCH(Assumptions!$C$7,G3574)),Assumptions!$D$7,"Other Services"))),"Other Services"))</f>
        <v/>
      </c>
    </row>
    <row r="3575" customFormat="false" ht="15" hidden="false" customHeight="false" outlineLevel="0" collapsed="false">
      <c r="F3575" s="41" t="str">
        <f aca="false">IF(E3575="","",IFERROR(VLOOKUP(E3575,Assumptions!$G$5:$H$16,2,0),"Other"))</f>
        <v/>
      </c>
      <c r="J3575" s="41" t="str">
        <f aca="false">IF(G3575="","",IFERROR(IF(ISNUMBER(SEARCH(Assumptions!$C$5,G3575)),Assumptions!$D$5,IF(ISNUMBER(SEARCH(Assumptions!$C$6,G3575)),Assumptions!$D$6,IF(ISNUMBER(SEARCH(Assumptions!$C$7,G3575)),Assumptions!$D$7,"Other Services"))),"Other Services"))</f>
        <v/>
      </c>
    </row>
    <row r="3576" customFormat="false" ht="15" hidden="false" customHeight="false" outlineLevel="0" collapsed="false">
      <c r="F3576" s="41" t="str">
        <f aca="false">IF(E3576="","",IFERROR(VLOOKUP(E3576,Assumptions!$G$5:$H$16,2,0),"Other"))</f>
        <v/>
      </c>
      <c r="J3576" s="41" t="str">
        <f aca="false">IF(G3576="","",IFERROR(IF(ISNUMBER(SEARCH(Assumptions!$C$5,G3576)),Assumptions!$D$5,IF(ISNUMBER(SEARCH(Assumptions!$C$6,G3576)),Assumptions!$D$6,IF(ISNUMBER(SEARCH(Assumptions!$C$7,G3576)),Assumptions!$D$7,"Other Services"))),"Other Services"))</f>
        <v/>
      </c>
    </row>
    <row r="3577" customFormat="false" ht="15" hidden="false" customHeight="false" outlineLevel="0" collapsed="false">
      <c r="F3577" s="41" t="str">
        <f aca="false">IF(E3577="","",IFERROR(VLOOKUP(E3577,Assumptions!$G$5:$H$16,2,0),"Other"))</f>
        <v/>
      </c>
      <c r="J3577" s="41" t="str">
        <f aca="false">IF(G3577="","",IFERROR(IF(ISNUMBER(SEARCH(Assumptions!$C$5,G3577)),Assumptions!$D$5,IF(ISNUMBER(SEARCH(Assumptions!$C$6,G3577)),Assumptions!$D$6,IF(ISNUMBER(SEARCH(Assumptions!$C$7,G3577)),Assumptions!$D$7,"Other Services"))),"Other Services"))</f>
        <v/>
      </c>
    </row>
    <row r="3578" customFormat="false" ht="15" hidden="false" customHeight="false" outlineLevel="0" collapsed="false">
      <c r="F3578" s="41" t="str">
        <f aca="false">IF(E3578="","",IFERROR(VLOOKUP(E3578,Assumptions!$G$5:$H$16,2,0),"Other"))</f>
        <v/>
      </c>
      <c r="J3578" s="41" t="str">
        <f aca="false">IF(G3578="","",IFERROR(IF(ISNUMBER(SEARCH(Assumptions!$C$5,G3578)),Assumptions!$D$5,IF(ISNUMBER(SEARCH(Assumptions!$C$6,G3578)),Assumptions!$D$6,IF(ISNUMBER(SEARCH(Assumptions!$C$7,G3578)),Assumptions!$D$7,"Other Services"))),"Other Services"))</f>
        <v/>
      </c>
    </row>
    <row r="3579" customFormat="false" ht="15" hidden="false" customHeight="false" outlineLevel="0" collapsed="false">
      <c r="F3579" s="41" t="str">
        <f aca="false">IF(E3579="","",IFERROR(VLOOKUP(E3579,Assumptions!$G$5:$H$16,2,0),"Other"))</f>
        <v/>
      </c>
      <c r="J3579" s="41" t="str">
        <f aca="false">IF(G3579="","",IFERROR(IF(ISNUMBER(SEARCH(Assumptions!$C$5,G3579)),Assumptions!$D$5,IF(ISNUMBER(SEARCH(Assumptions!$C$6,G3579)),Assumptions!$D$6,IF(ISNUMBER(SEARCH(Assumptions!$C$7,G3579)),Assumptions!$D$7,"Other Services"))),"Other Services"))</f>
        <v/>
      </c>
    </row>
    <row r="3580" customFormat="false" ht="15" hidden="false" customHeight="false" outlineLevel="0" collapsed="false">
      <c r="F3580" s="41" t="str">
        <f aca="false">IF(E3580="","",IFERROR(VLOOKUP(E3580,Assumptions!$G$5:$H$16,2,0),"Other"))</f>
        <v/>
      </c>
      <c r="J3580" s="41" t="str">
        <f aca="false">IF(G3580="","",IFERROR(IF(ISNUMBER(SEARCH(Assumptions!$C$5,G3580)),Assumptions!$D$5,IF(ISNUMBER(SEARCH(Assumptions!$C$6,G3580)),Assumptions!$D$6,IF(ISNUMBER(SEARCH(Assumptions!$C$7,G3580)),Assumptions!$D$7,"Other Services"))),"Other Services"))</f>
        <v/>
      </c>
    </row>
    <row r="3581" customFormat="false" ht="15" hidden="false" customHeight="false" outlineLevel="0" collapsed="false">
      <c r="F3581" s="41" t="str">
        <f aca="false">IF(E3581="","",IFERROR(VLOOKUP(E3581,Assumptions!$G$5:$H$16,2,0),"Other"))</f>
        <v/>
      </c>
      <c r="J3581" s="41" t="str">
        <f aca="false">IF(G3581="","",IFERROR(IF(ISNUMBER(SEARCH(Assumptions!$C$5,G3581)),Assumptions!$D$5,IF(ISNUMBER(SEARCH(Assumptions!$C$6,G3581)),Assumptions!$D$6,IF(ISNUMBER(SEARCH(Assumptions!$C$7,G3581)),Assumptions!$D$7,"Other Services"))),"Other Services"))</f>
        <v/>
      </c>
    </row>
    <row r="3582" customFormat="false" ht="15" hidden="false" customHeight="false" outlineLevel="0" collapsed="false">
      <c r="F3582" s="41" t="str">
        <f aca="false">IF(E3582="","",IFERROR(VLOOKUP(E3582,Assumptions!$G$5:$H$16,2,0),"Other"))</f>
        <v/>
      </c>
      <c r="J3582" s="41" t="str">
        <f aca="false">IF(G3582="","",IFERROR(IF(ISNUMBER(SEARCH(Assumptions!$C$5,G3582)),Assumptions!$D$5,IF(ISNUMBER(SEARCH(Assumptions!$C$6,G3582)),Assumptions!$D$6,IF(ISNUMBER(SEARCH(Assumptions!$C$7,G3582)),Assumptions!$D$7,"Other Services"))),"Other Services"))</f>
        <v/>
      </c>
    </row>
    <row r="3583" customFormat="false" ht="15" hidden="false" customHeight="false" outlineLevel="0" collapsed="false">
      <c r="F3583" s="41" t="str">
        <f aca="false">IF(E3583="","",IFERROR(VLOOKUP(E3583,Assumptions!$G$5:$H$16,2,0),"Other"))</f>
        <v/>
      </c>
      <c r="J3583" s="41" t="str">
        <f aca="false">IF(G3583="","",IFERROR(IF(ISNUMBER(SEARCH(Assumptions!$C$5,G3583)),Assumptions!$D$5,IF(ISNUMBER(SEARCH(Assumptions!$C$6,G3583)),Assumptions!$D$6,IF(ISNUMBER(SEARCH(Assumptions!$C$7,G3583)),Assumptions!$D$7,"Other Services"))),"Other Services"))</f>
        <v/>
      </c>
    </row>
    <row r="3584" customFormat="false" ht="15" hidden="false" customHeight="false" outlineLevel="0" collapsed="false">
      <c r="F3584" s="41" t="str">
        <f aca="false">IF(E3584="","",IFERROR(VLOOKUP(E3584,Assumptions!$G$5:$H$16,2,0),"Other"))</f>
        <v/>
      </c>
      <c r="J3584" s="41" t="str">
        <f aca="false">IF(G3584="","",IFERROR(IF(ISNUMBER(SEARCH(Assumptions!$C$5,G3584)),Assumptions!$D$5,IF(ISNUMBER(SEARCH(Assumptions!$C$6,G3584)),Assumptions!$D$6,IF(ISNUMBER(SEARCH(Assumptions!$C$7,G3584)),Assumptions!$D$7,"Other Services"))),"Other Services"))</f>
        <v/>
      </c>
    </row>
    <row r="3585" customFormat="false" ht="15" hidden="false" customHeight="false" outlineLevel="0" collapsed="false">
      <c r="F3585" s="41" t="str">
        <f aca="false">IF(E3585="","",IFERROR(VLOOKUP(E3585,Assumptions!$G$5:$H$16,2,0),"Other"))</f>
        <v/>
      </c>
      <c r="J3585" s="41" t="str">
        <f aca="false">IF(G3585="","",IFERROR(IF(ISNUMBER(SEARCH(Assumptions!$C$5,G3585)),Assumptions!$D$5,IF(ISNUMBER(SEARCH(Assumptions!$C$6,G3585)),Assumptions!$D$6,IF(ISNUMBER(SEARCH(Assumptions!$C$7,G3585)),Assumptions!$D$7,"Other Services"))),"Other Services"))</f>
        <v/>
      </c>
    </row>
    <row r="3586" customFormat="false" ht="15" hidden="false" customHeight="false" outlineLevel="0" collapsed="false">
      <c r="F3586" s="41" t="str">
        <f aca="false">IF(E3586="","",IFERROR(VLOOKUP(E3586,Assumptions!$G$5:$H$16,2,0),"Other"))</f>
        <v/>
      </c>
      <c r="J3586" s="41" t="str">
        <f aca="false">IF(G3586="","",IFERROR(IF(ISNUMBER(SEARCH(Assumptions!$C$5,G3586)),Assumptions!$D$5,IF(ISNUMBER(SEARCH(Assumptions!$C$6,G3586)),Assumptions!$D$6,IF(ISNUMBER(SEARCH(Assumptions!$C$7,G3586)),Assumptions!$D$7,"Other Services"))),"Other Services"))</f>
        <v/>
      </c>
    </row>
    <row r="3587" customFormat="false" ht="15" hidden="false" customHeight="false" outlineLevel="0" collapsed="false">
      <c r="F3587" s="41" t="str">
        <f aca="false">IF(E3587="","",IFERROR(VLOOKUP(E3587,Assumptions!$G$5:$H$16,2,0),"Other"))</f>
        <v/>
      </c>
      <c r="J3587" s="41" t="str">
        <f aca="false">IF(G3587="","",IFERROR(IF(ISNUMBER(SEARCH(Assumptions!$C$5,G3587)),Assumptions!$D$5,IF(ISNUMBER(SEARCH(Assumptions!$C$6,G3587)),Assumptions!$D$6,IF(ISNUMBER(SEARCH(Assumptions!$C$7,G3587)),Assumptions!$D$7,"Other Services"))),"Other Services"))</f>
        <v/>
      </c>
    </row>
    <row r="3588" customFormat="false" ht="15" hidden="false" customHeight="false" outlineLevel="0" collapsed="false">
      <c r="F3588" s="41" t="str">
        <f aca="false">IF(E3588="","",IFERROR(VLOOKUP(E3588,Assumptions!$G$5:$H$16,2,0),"Other"))</f>
        <v/>
      </c>
      <c r="J3588" s="41" t="str">
        <f aca="false">IF(G3588="","",IFERROR(IF(ISNUMBER(SEARCH(Assumptions!$C$5,G3588)),Assumptions!$D$5,IF(ISNUMBER(SEARCH(Assumptions!$C$6,G3588)),Assumptions!$D$6,IF(ISNUMBER(SEARCH(Assumptions!$C$7,G3588)),Assumptions!$D$7,"Other Services"))),"Other Services"))</f>
        <v/>
      </c>
    </row>
    <row r="3589" customFormat="false" ht="15" hidden="false" customHeight="false" outlineLevel="0" collapsed="false">
      <c r="F3589" s="41" t="str">
        <f aca="false">IF(E3589="","",IFERROR(VLOOKUP(E3589,Assumptions!$G$5:$H$16,2,0),"Other"))</f>
        <v/>
      </c>
      <c r="J3589" s="41" t="str">
        <f aca="false">IF(G3589="","",IFERROR(IF(ISNUMBER(SEARCH(Assumptions!$C$5,G3589)),Assumptions!$D$5,IF(ISNUMBER(SEARCH(Assumptions!$C$6,G3589)),Assumptions!$D$6,IF(ISNUMBER(SEARCH(Assumptions!$C$7,G3589)),Assumptions!$D$7,"Other Services"))),"Other Services"))</f>
        <v/>
      </c>
    </row>
    <row r="3590" customFormat="false" ht="15" hidden="false" customHeight="false" outlineLevel="0" collapsed="false">
      <c r="F3590" s="41" t="str">
        <f aca="false">IF(E3590="","",IFERROR(VLOOKUP(E3590,Assumptions!$G$5:$H$16,2,0),"Other"))</f>
        <v/>
      </c>
      <c r="J3590" s="41" t="str">
        <f aca="false">IF(G3590="","",IFERROR(IF(ISNUMBER(SEARCH(Assumptions!$C$5,G3590)),Assumptions!$D$5,IF(ISNUMBER(SEARCH(Assumptions!$C$6,G3590)),Assumptions!$D$6,IF(ISNUMBER(SEARCH(Assumptions!$C$7,G3590)),Assumptions!$D$7,"Other Services"))),"Other Services"))</f>
        <v/>
      </c>
    </row>
    <row r="3591" customFormat="false" ht="15" hidden="false" customHeight="false" outlineLevel="0" collapsed="false">
      <c r="F3591" s="41" t="str">
        <f aca="false">IF(E3591="","",IFERROR(VLOOKUP(E3591,Assumptions!$G$5:$H$16,2,0),"Other"))</f>
        <v/>
      </c>
      <c r="J3591" s="41" t="str">
        <f aca="false">IF(G3591="","",IFERROR(IF(ISNUMBER(SEARCH(Assumptions!$C$5,G3591)),Assumptions!$D$5,IF(ISNUMBER(SEARCH(Assumptions!$C$6,G3591)),Assumptions!$D$6,IF(ISNUMBER(SEARCH(Assumptions!$C$7,G3591)),Assumptions!$D$7,"Other Services"))),"Other Services"))</f>
        <v/>
      </c>
    </row>
    <row r="3592" customFormat="false" ht="15" hidden="false" customHeight="false" outlineLevel="0" collapsed="false">
      <c r="F3592" s="41" t="str">
        <f aca="false">IF(E3592="","",IFERROR(VLOOKUP(E3592,Assumptions!$G$5:$H$16,2,0),"Other"))</f>
        <v/>
      </c>
      <c r="J3592" s="41" t="str">
        <f aca="false">IF(G3592="","",IFERROR(IF(ISNUMBER(SEARCH(Assumptions!$C$5,G3592)),Assumptions!$D$5,IF(ISNUMBER(SEARCH(Assumptions!$C$6,G3592)),Assumptions!$D$6,IF(ISNUMBER(SEARCH(Assumptions!$C$7,G3592)),Assumptions!$D$7,"Other Services"))),"Other Services"))</f>
        <v/>
      </c>
    </row>
    <row r="3593" customFormat="false" ht="15" hidden="false" customHeight="false" outlineLevel="0" collapsed="false">
      <c r="F3593" s="41" t="str">
        <f aca="false">IF(E3593="","",IFERROR(VLOOKUP(E3593,Assumptions!$G$5:$H$16,2,0),"Other"))</f>
        <v/>
      </c>
      <c r="J3593" s="41" t="str">
        <f aca="false">IF(G3593="","",IFERROR(IF(ISNUMBER(SEARCH(Assumptions!$C$5,G3593)),Assumptions!$D$5,IF(ISNUMBER(SEARCH(Assumptions!$C$6,G3593)),Assumptions!$D$6,IF(ISNUMBER(SEARCH(Assumptions!$C$7,G3593)),Assumptions!$D$7,"Other Services"))),"Other Services"))</f>
        <v/>
      </c>
    </row>
    <row r="3594" customFormat="false" ht="15" hidden="false" customHeight="false" outlineLevel="0" collapsed="false">
      <c r="F3594" s="41" t="str">
        <f aca="false">IF(E3594="","",IFERROR(VLOOKUP(E3594,Assumptions!$G$5:$H$16,2,0),"Other"))</f>
        <v/>
      </c>
      <c r="J3594" s="41" t="str">
        <f aca="false">IF(G3594="","",IFERROR(IF(ISNUMBER(SEARCH(Assumptions!$C$5,G3594)),Assumptions!$D$5,IF(ISNUMBER(SEARCH(Assumptions!$C$6,G3594)),Assumptions!$D$6,IF(ISNUMBER(SEARCH(Assumptions!$C$7,G3594)),Assumptions!$D$7,"Other Services"))),"Other Services"))</f>
        <v/>
      </c>
    </row>
    <row r="3595" customFormat="false" ht="15" hidden="false" customHeight="false" outlineLevel="0" collapsed="false">
      <c r="F3595" s="41" t="str">
        <f aca="false">IF(E3595="","",IFERROR(VLOOKUP(E3595,Assumptions!$G$5:$H$16,2,0),"Other"))</f>
        <v/>
      </c>
      <c r="J3595" s="41" t="str">
        <f aca="false">IF(G3595="","",IFERROR(IF(ISNUMBER(SEARCH(Assumptions!$C$5,G3595)),Assumptions!$D$5,IF(ISNUMBER(SEARCH(Assumptions!$C$6,G3595)),Assumptions!$D$6,IF(ISNUMBER(SEARCH(Assumptions!$C$7,G3595)),Assumptions!$D$7,"Other Services"))),"Other Services"))</f>
        <v/>
      </c>
    </row>
    <row r="3596" customFormat="false" ht="15" hidden="false" customHeight="false" outlineLevel="0" collapsed="false">
      <c r="F3596" s="41" t="str">
        <f aca="false">IF(E3596="","",IFERROR(VLOOKUP(E3596,Assumptions!$G$5:$H$16,2,0),"Other"))</f>
        <v/>
      </c>
      <c r="J3596" s="41" t="str">
        <f aca="false">IF(G3596="","",IFERROR(IF(ISNUMBER(SEARCH(Assumptions!$C$5,G3596)),Assumptions!$D$5,IF(ISNUMBER(SEARCH(Assumptions!$C$6,G3596)),Assumptions!$D$6,IF(ISNUMBER(SEARCH(Assumptions!$C$7,G3596)),Assumptions!$D$7,"Other Services"))),"Other Services"))</f>
        <v/>
      </c>
    </row>
    <row r="3597" customFormat="false" ht="15" hidden="false" customHeight="false" outlineLevel="0" collapsed="false">
      <c r="F3597" s="41" t="str">
        <f aca="false">IF(E3597="","",IFERROR(VLOOKUP(E3597,Assumptions!$G$5:$H$16,2,0),"Other"))</f>
        <v/>
      </c>
      <c r="J3597" s="41" t="str">
        <f aca="false">IF(G3597="","",IFERROR(IF(ISNUMBER(SEARCH(Assumptions!$C$5,G3597)),Assumptions!$D$5,IF(ISNUMBER(SEARCH(Assumptions!$C$6,G3597)),Assumptions!$D$6,IF(ISNUMBER(SEARCH(Assumptions!$C$7,G3597)),Assumptions!$D$7,"Other Services"))),"Other Services"))</f>
        <v/>
      </c>
    </row>
    <row r="3598" customFormat="false" ht="15" hidden="false" customHeight="false" outlineLevel="0" collapsed="false">
      <c r="F3598" s="41" t="str">
        <f aca="false">IF(E3598="","",IFERROR(VLOOKUP(E3598,Assumptions!$G$5:$H$16,2,0),"Other"))</f>
        <v/>
      </c>
      <c r="J3598" s="41" t="str">
        <f aca="false">IF(G3598="","",IFERROR(IF(ISNUMBER(SEARCH(Assumptions!$C$5,G3598)),Assumptions!$D$5,IF(ISNUMBER(SEARCH(Assumptions!$C$6,G3598)),Assumptions!$D$6,IF(ISNUMBER(SEARCH(Assumptions!$C$7,G3598)),Assumptions!$D$7,"Other Services"))),"Other Services"))</f>
        <v/>
      </c>
    </row>
    <row r="3599" customFormat="false" ht="15" hidden="false" customHeight="false" outlineLevel="0" collapsed="false">
      <c r="F3599" s="41" t="str">
        <f aca="false">IF(E3599="","",IFERROR(VLOOKUP(E3599,Assumptions!$G$5:$H$16,2,0),"Other"))</f>
        <v/>
      </c>
      <c r="J3599" s="41" t="str">
        <f aca="false">IF(G3599="","",IFERROR(IF(ISNUMBER(SEARCH(Assumptions!$C$5,G3599)),Assumptions!$D$5,IF(ISNUMBER(SEARCH(Assumptions!$C$6,G3599)),Assumptions!$D$6,IF(ISNUMBER(SEARCH(Assumptions!$C$7,G3599)),Assumptions!$D$7,"Other Services"))),"Other Services"))</f>
        <v/>
      </c>
    </row>
    <row r="3600" customFormat="false" ht="15" hidden="false" customHeight="false" outlineLevel="0" collapsed="false">
      <c r="F3600" s="41" t="str">
        <f aca="false">IF(E3600="","",IFERROR(VLOOKUP(E3600,Assumptions!$G$5:$H$16,2,0),"Other"))</f>
        <v/>
      </c>
      <c r="J3600" s="41" t="str">
        <f aca="false">IF(G3600="","",IFERROR(IF(ISNUMBER(SEARCH(Assumptions!$C$5,G3600)),Assumptions!$D$5,IF(ISNUMBER(SEARCH(Assumptions!$C$6,G3600)),Assumptions!$D$6,IF(ISNUMBER(SEARCH(Assumptions!$C$7,G3600)),Assumptions!$D$7,"Other Services"))),"Other Services"))</f>
        <v/>
      </c>
    </row>
    <row r="3601" customFormat="false" ht="15" hidden="false" customHeight="false" outlineLevel="0" collapsed="false">
      <c r="F3601" s="41" t="str">
        <f aca="false">IF(E3601="","",IFERROR(VLOOKUP(E3601,Assumptions!$G$5:$H$16,2,0),"Other"))</f>
        <v/>
      </c>
      <c r="J3601" s="41" t="str">
        <f aca="false">IF(G3601="","",IFERROR(IF(ISNUMBER(SEARCH(Assumptions!$C$5,G3601)),Assumptions!$D$5,IF(ISNUMBER(SEARCH(Assumptions!$C$6,G3601)),Assumptions!$D$6,IF(ISNUMBER(SEARCH(Assumptions!$C$7,G3601)),Assumptions!$D$7,"Other Services"))),"Other Services"))</f>
        <v/>
      </c>
    </row>
    <row r="3602" customFormat="false" ht="15" hidden="false" customHeight="false" outlineLevel="0" collapsed="false">
      <c r="F3602" s="41" t="str">
        <f aca="false">IF(E3602="","",IFERROR(VLOOKUP(E3602,Assumptions!$G$5:$H$16,2,0),"Other"))</f>
        <v/>
      </c>
      <c r="J3602" s="41" t="str">
        <f aca="false">IF(G3602="","",IFERROR(IF(ISNUMBER(SEARCH(Assumptions!$C$5,G3602)),Assumptions!$D$5,IF(ISNUMBER(SEARCH(Assumptions!$C$6,G3602)),Assumptions!$D$6,IF(ISNUMBER(SEARCH(Assumptions!$C$7,G3602)),Assumptions!$D$7,"Other Services"))),"Other Services"))</f>
        <v/>
      </c>
    </row>
    <row r="3603" customFormat="false" ht="15" hidden="false" customHeight="false" outlineLevel="0" collapsed="false">
      <c r="F3603" s="41" t="str">
        <f aca="false">IF(E3603="","",IFERROR(VLOOKUP(E3603,Assumptions!$G$5:$H$16,2,0),"Other"))</f>
        <v/>
      </c>
      <c r="J3603" s="41" t="str">
        <f aca="false">IF(G3603="","",IFERROR(IF(ISNUMBER(SEARCH(Assumptions!$C$5,G3603)),Assumptions!$D$5,IF(ISNUMBER(SEARCH(Assumptions!$C$6,G3603)),Assumptions!$D$6,IF(ISNUMBER(SEARCH(Assumptions!$C$7,G3603)),Assumptions!$D$7,"Other Services"))),"Other Services"))</f>
        <v/>
      </c>
    </row>
    <row r="3604" customFormat="false" ht="15" hidden="false" customHeight="false" outlineLevel="0" collapsed="false">
      <c r="F3604" s="41" t="str">
        <f aca="false">IF(E3604="","",IFERROR(VLOOKUP(E3604,Assumptions!$G$5:$H$16,2,0),"Other"))</f>
        <v/>
      </c>
      <c r="J3604" s="41" t="str">
        <f aca="false">IF(G3604="","",IFERROR(IF(ISNUMBER(SEARCH(Assumptions!$C$5,G3604)),Assumptions!$D$5,IF(ISNUMBER(SEARCH(Assumptions!$C$6,G3604)),Assumptions!$D$6,IF(ISNUMBER(SEARCH(Assumptions!$C$7,G3604)),Assumptions!$D$7,"Other Services"))),"Other Services"))</f>
        <v/>
      </c>
    </row>
    <row r="3605" customFormat="false" ht="15" hidden="false" customHeight="false" outlineLevel="0" collapsed="false">
      <c r="F3605" s="41" t="str">
        <f aca="false">IF(E3605="","",IFERROR(VLOOKUP(E3605,Assumptions!$G$5:$H$16,2,0),"Other"))</f>
        <v/>
      </c>
      <c r="J3605" s="41" t="str">
        <f aca="false">IF(G3605="","",IFERROR(IF(ISNUMBER(SEARCH(Assumptions!$C$5,G3605)),Assumptions!$D$5,IF(ISNUMBER(SEARCH(Assumptions!$C$6,G3605)),Assumptions!$D$6,IF(ISNUMBER(SEARCH(Assumptions!$C$7,G3605)),Assumptions!$D$7,"Other Services"))),"Other Services"))</f>
        <v/>
      </c>
    </row>
    <row r="3606" customFormat="false" ht="15" hidden="false" customHeight="false" outlineLevel="0" collapsed="false">
      <c r="F3606" s="41" t="str">
        <f aca="false">IF(E3606="","",IFERROR(VLOOKUP(E3606,Assumptions!$G$5:$H$16,2,0),"Other"))</f>
        <v/>
      </c>
      <c r="J3606" s="41" t="str">
        <f aca="false">IF(G3606="","",IFERROR(IF(ISNUMBER(SEARCH(Assumptions!$C$5,G3606)),Assumptions!$D$5,IF(ISNUMBER(SEARCH(Assumptions!$C$6,G3606)),Assumptions!$D$6,IF(ISNUMBER(SEARCH(Assumptions!$C$7,G3606)),Assumptions!$D$7,"Other Services"))),"Other Services"))</f>
        <v/>
      </c>
    </row>
    <row r="3607" customFormat="false" ht="15" hidden="false" customHeight="false" outlineLevel="0" collapsed="false">
      <c r="F3607" s="41" t="str">
        <f aca="false">IF(E3607="","",IFERROR(VLOOKUP(E3607,Assumptions!$G$5:$H$16,2,0),"Other"))</f>
        <v/>
      </c>
      <c r="J3607" s="41" t="str">
        <f aca="false">IF(G3607="","",IFERROR(IF(ISNUMBER(SEARCH(Assumptions!$C$5,G3607)),Assumptions!$D$5,IF(ISNUMBER(SEARCH(Assumptions!$C$6,G3607)),Assumptions!$D$6,IF(ISNUMBER(SEARCH(Assumptions!$C$7,G3607)),Assumptions!$D$7,"Other Services"))),"Other Services"))</f>
        <v/>
      </c>
    </row>
    <row r="3608" customFormat="false" ht="15" hidden="false" customHeight="false" outlineLevel="0" collapsed="false">
      <c r="F3608" s="41" t="str">
        <f aca="false">IF(E3608="","",IFERROR(VLOOKUP(E3608,Assumptions!$G$5:$H$16,2,0),"Other"))</f>
        <v/>
      </c>
      <c r="J3608" s="41" t="str">
        <f aca="false">IF(G3608="","",IFERROR(IF(ISNUMBER(SEARCH(Assumptions!$C$5,G3608)),Assumptions!$D$5,IF(ISNUMBER(SEARCH(Assumptions!$C$6,G3608)),Assumptions!$D$6,IF(ISNUMBER(SEARCH(Assumptions!$C$7,G3608)),Assumptions!$D$7,"Other Services"))),"Other Services"))</f>
        <v/>
      </c>
    </row>
    <row r="3609" customFormat="false" ht="15" hidden="false" customHeight="false" outlineLevel="0" collapsed="false">
      <c r="F3609" s="41" t="str">
        <f aca="false">IF(E3609="","",IFERROR(VLOOKUP(E3609,Assumptions!$G$5:$H$16,2,0),"Other"))</f>
        <v/>
      </c>
      <c r="J3609" s="41" t="str">
        <f aca="false">IF(G3609="","",IFERROR(IF(ISNUMBER(SEARCH(Assumptions!$C$5,G3609)),Assumptions!$D$5,IF(ISNUMBER(SEARCH(Assumptions!$C$6,G3609)),Assumptions!$D$6,IF(ISNUMBER(SEARCH(Assumptions!$C$7,G3609)),Assumptions!$D$7,"Other Services"))),"Other Services"))</f>
        <v/>
      </c>
    </row>
    <row r="3610" customFormat="false" ht="15" hidden="false" customHeight="false" outlineLevel="0" collapsed="false">
      <c r="F3610" s="41" t="str">
        <f aca="false">IF(E3610="","",IFERROR(VLOOKUP(E3610,Assumptions!$G$5:$H$16,2,0),"Other"))</f>
        <v/>
      </c>
      <c r="J3610" s="41" t="str">
        <f aca="false">IF(G3610="","",IFERROR(IF(ISNUMBER(SEARCH(Assumptions!$C$5,G3610)),Assumptions!$D$5,IF(ISNUMBER(SEARCH(Assumptions!$C$6,G3610)),Assumptions!$D$6,IF(ISNUMBER(SEARCH(Assumptions!$C$7,G3610)),Assumptions!$D$7,"Other Services"))),"Other Services"))</f>
        <v/>
      </c>
    </row>
    <row r="3611" customFormat="false" ht="15" hidden="false" customHeight="false" outlineLevel="0" collapsed="false">
      <c r="F3611" s="41" t="str">
        <f aca="false">IF(E3611="","",IFERROR(VLOOKUP(E3611,Assumptions!$G$5:$H$16,2,0),"Other"))</f>
        <v/>
      </c>
      <c r="J3611" s="41" t="str">
        <f aca="false">IF(G3611="","",IFERROR(IF(ISNUMBER(SEARCH(Assumptions!$C$5,G3611)),Assumptions!$D$5,IF(ISNUMBER(SEARCH(Assumptions!$C$6,G3611)),Assumptions!$D$6,IF(ISNUMBER(SEARCH(Assumptions!$C$7,G3611)),Assumptions!$D$7,"Other Services"))),"Other Services"))</f>
        <v/>
      </c>
    </row>
    <row r="3612" customFormat="false" ht="15" hidden="false" customHeight="false" outlineLevel="0" collapsed="false">
      <c r="F3612" s="41" t="str">
        <f aca="false">IF(E3612="","",IFERROR(VLOOKUP(E3612,Assumptions!$G$5:$H$16,2,0),"Other"))</f>
        <v/>
      </c>
      <c r="J3612" s="41" t="str">
        <f aca="false">IF(G3612="","",IFERROR(IF(ISNUMBER(SEARCH(Assumptions!$C$5,G3612)),Assumptions!$D$5,IF(ISNUMBER(SEARCH(Assumptions!$C$6,G3612)),Assumptions!$D$6,IF(ISNUMBER(SEARCH(Assumptions!$C$7,G3612)),Assumptions!$D$7,"Other Services"))),"Other Services"))</f>
        <v/>
      </c>
    </row>
    <row r="3613" customFormat="false" ht="15" hidden="false" customHeight="false" outlineLevel="0" collapsed="false">
      <c r="F3613" s="41" t="str">
        <f aca="false">IF(E3613="","",IFERROR(VLOOKUP(E3613,Assumptions!$G$5:$H$16,2,0),"Other"))</f>
        <v/>
      </c>
      <c r="J3613" s="41" t="str">
        <f aca="false">IF(G3613="","",IFERROR(IF(ISNUMBER(SEARCH(Assumptions!$C$5,G3613)),Assumptions!$D$5,IF(ISNUMBER(SEARCH(Assumptions!$C$6,G3613)),Assumptions!$D$6,IF(ISNUMBER(SEARCH(Assumptions!$C$7,G3613)),Assumptions!$D$7,"Other Services"))),"Other Services"))</f>
        <v/>
      </c>
    </row>
    <row r="3614" customFormat="false" ht="15" hidden="false" customHeight="false" outlineLevel="0" collapsed="false">
      <c r="F3614" s="41" t="str">
        <f aca="false">IF(E3614="","",IFERROR(VLOOKUP(E3614,Assumptions!$G$5:$H$16,2,0),"Other"))</f>
        <v/>
      </c>
      <c r="J3614" s="41" t="str">
        <f aca="false">IF(G3614="","",IFERROR(IF(ISNUMBER(SEARCH(Assumptions!$C$5,G3614)),Assumptions!$D$5,IF(ISNUMBER(SEARCH(Assumptions!$C$6,G3614)),Assumptions!$D$6,IF(ISNUMBER(SEARCH(Assumptions!$C$7,G3614)),Assumptions!$D$7,"Other Services"))),"Other Services"))</f>
        <v/>
      </c>
    </row>
    <row r="3615" customFormat="false" ht="15" hidden="false" customHeight="false" outlineLevel="0" collapsed="false">
      <c r="F3615" s="41" t="str">
        <f aca="false">IF(E3615="","",IFERROR(VLOOKUP(E3615,Assumptions!$G$5:$H$16,2,0),"Other"))</f>
        <v/>
      </c>
      <c r="J3615" s="41" t="str">
        <f aca="false">IF(G3615="","",IFERROR(IF(ISNUMBER(SEARCH(Assumptions!$C$5,G3615)),Assumptions!$D$5,IF(ISNUMBER(SEARCH(Assumptions!$C$6,G3615)),Assumptions!$D$6,IF(ISNUMBER(SEARCH(Assumptions!$C$7,G3615)),Assumptions!$D$7,"Other Services"))),"Other Services"))</f>
        <v/>
      </c>
    </row>
    <row r="3616" customFormat="false" ht="15" hidden="false" customHeight="false" outlineLevel="0" collapsed="false">
      <c r="F3616" s="41" t="str">
        <f aca="false">IF(E3616="","",IFERROR(VLOOKUP(E3616,Assumptions!$G$5:$H$16,2,0),"Other"))</f>
        <v/>
      </c>
      <c r="J3616" s="41" t="str">
        <f aca="false">IF(G3616="","",IFERROR(IF(ISNUMBER(SEARCH(Assumptions!$C$5,G3616)),Assumptions!$D$5,IF(ISNUMBER(SEARCH(Assumptions!$C$6,G3616)),Assumptions!$D$6,IF(ISNUMBER(SEARCH(Assumptions!$C$7,G3616)),Assumptions!$D$7,"Other Services"))),"Other Services"))</f>
        <v/>
      </c>
    </row>
    <row r="3617" customFormat="false" ht="15" hidden="false" customHeight="false" outlineLevel="0" collapsed="false">
      <c r="F3617" s="41" t="str">
        <f aca="false">IF(E3617="","",IFERROR(VLOOKUP(E3617,Assumptions!$G$5:$H$16,2,0),"Other"))</f>
        <v/>
      </c>
      <c r="J3617" s="41" t="str">
        <f aca="false">IF(G3617="","",IFERROR(IF(ISNUMBER(SEARCH(Assumptions!$C$5,G3617)),Assumptions!$D$5,IF(ISNUMBER(SEARCH(Assumptions!$C$6,G3617)),Assumptions!$D$6,IF(ISNUMBER(SEARCH(Assumptions!$C$7,G3617)),Assumptions!$D$7,"Other Services"))),"Other Services"))</f>
        <v/>
      </c>
    </row>
    <row r="3618" customFormat="false" ht="15" hidden="false" customHeight="false" outlineLevel="0" collapsed="false">
      <c r="F3618" s="41" t="str">
        <f aca="false">IF(E3618="","",IFERROR(VLOOKUP(E3618,Assumptions!$G$5:$H$16,2,0),"Other"))</f>
        <v/>
      </c>
      <c r="J3618" s="41" t="str">
        <f aca="false">IF(G3618="","",IFERROR(IF(ISNUMBER(SEARCH(Assumptions!$C$5,G3618)),Assumptions!$D$5,IF(ISNUMBER(SEARCH(Assumptions!$C$6,G3618)),Assumptions!$D$6,IF(ISNUMBER(SEARCH(Assumptions!$C$7,G3618)),Assumptions!$D$7,"Other Services"))),"Other Services"))</f>
        <v/>
      </c>
    </row>
    <row r="3619" customFormat="false" ht="15" hidden="false" customHeight="false" outlineLevel="0" collapsed="false">
      <c r="F3619" s="41" t="str">
        <f aca="false">IF(E3619="","",IFERROR(VLOOKUP(E3619,Assumptions!$G$5:$H$16,2,0),"Other"))</f>
        <v/>
      </c>
      <c r="J3619" s="41" t="str">
        <f aca="false">IF(G3619="","",IFERROR(IF(ISNUMBER(SEARCH(Assumptions!$C$5,G3619)),Assumptions!$D$5,IF(ISNUMBER(SEARCH(Assumptions!$C$6,G3619)),Assumptions!$D$6,IF(ISNUMBER(SEARCH(Assumptions!$C$7,G3619)),Assumptions!$D$7,"Other Services"))),"Other Services"))</f>
        <v/>
      </c>
    </row>
    <row r="3620" customFormat="false" ht="15" hidden="false" customHeight="false" outlineLevel="0" collapsed="false">
      <c r="F3620" s="41" t="str">
        <f aca="false">IF(E3620="","",IFERROR(VLOOKUP(E3620,Assumptions!$G$5:$H$16,2,0),"Other"))</f>
        <v/>
      </c>
      <c r="J3620" s="41" t="str">
        <f aca="false">IF(G3620="","",IFERROR(IF(ISNUMBER(SEARCH(Assumptions!$C$5,G3620)),Assumptions!$D$5,IF(ISNUMBER(SEARCH(Assumptions!$C$6,G3620)),Assumptions!$D$6,IF(ISNUMBER(SEARCH(Assumptions!$C$7,G3620)),Assumptions!$D$7,"Other Services"))),"Other Services"))</f>
        <v/>
      </c>
    </row>
    <row r="3621" customFormat="false" ht="15" hidden="false" customHeight="false" outlineLevel="0" collapsed="false">
      <c r="F3621" s="41" t="str">
        <f aca="false">IF(E3621="","",IFERROR(VLOOKUP(E3621,Assumptions!$G$5:$H$16,2,0),"Other"))</f>
        <v/>
      </c>
      <c r="J3621" s="41" t="str">
        <f aca="false">IF(G3621="","",IFERROR(IF(ISNUMBER(SEARCH(Assumptions!$C$5,G3621)),Assumptions!$D$5,IF(ISNUMBER(SEARCH(Assumptions!$C$6,G3621)),Assumptions!$D$6,IF(ISNUMBER(SEARCH(Assumptions!$C$7,G3621)),Assumptions!$D$7,"Other Services"))),"Other Services"))</f>
        <v/>
      </c>
    </row>
    <row r="3622" customFormat="false" ht="15" hidden="false" customHeight="false" outlineLevel="0" collapsed="false">
      <c r="F3622" s="41" t="str">
        <f aca="false">IF(E3622="","",IFERROR(VLOOKUP(E3622,Assumptions!$G$5:$H$16,2,0),"Other"))</f>
        <v/>
      </c>
      <c r="J3622" s="41" t="str">
        <f aca="false">IF(G3622="","",IFERROR(IF(ISNUMBER(SEARCH(Assumptions!$C$5,G3622)),Assumptions!$D$5,IF(ISNUMBER(SEARCH(Assumptions!$C$6,G3622)),Assumptions!$D$6,IF(ISNUMBER(SEARCH(Assumptions!$C$7,G3622)),Assumptions!$D$7,"Other Services"))),"Other Services"))</f>
        <v/>
      </c>
    </row>
    <row r="3623" customFormat="false" ht="15" hidden="false" customHeight="false" outlineLevel="0" collapsed="false">
      <c r="F3623" s="41" t="str">
        <f aca="false">IF(E3623="","",IFERROR(VLOOKUP(E3623,Assumptions!$G$5:$H$16,2,0),"Other"))</f>
        <v/>
      </c>
      <c r="J3623" s="41" t="str">
        <f aca="false">IF(G3623="","",IFERROR(IF(ISNUMBER(SEARCH(Assumptions!$C$5,G3623)),Assumptions!$D$5,IF(ISNUMBER(SEARCH(Assumptions!$C$6,G3623)),Assumptions!$D$6,IF(ISNUMBER(SEARCH(Assumptions!$C$7,G3623)),Assumptions!$D$7,"Other Services"))),"Other Services"))</f>
        <v/>
      </c>
    </row>
    <row r="3624" customFormat="false" ht="15" hidden="false" customHeight="false" outlineLevel="0" collapsed="false">
      <c r="F3624" s="41" t="str">
        <f aca="false">IF(E3624="","",IFERROR(VLOOKUP(E3624,Assumptions!$G$5:$H$16,2,0),"Other"))</f>
        <v/>
      </c>
      <c r="J3624" s="41" t="str">
        <f aca="false">IF(G3624="","",IFERROR(IF(ISNUMBER(SEARCH(Assumptions!$C$5,G3624)),Assumptions!$D$5,IF(ISNUMBER(SEARCH(Assumptions!$C$6,G3624)),Assumptions!$D$6,IF(ISNUMBER(SEARCH(Assumptions!$C$7,G3624)),Assumptions!$D$7,"Other Services"))),"Other Services"))</f>
        <v/>
      </c>
    </row>
    <row r="3625" customFormat="false" ht="15" hidden="false" customHeight="false" outlineLevel="0" collapsed="false">
      <c r="F3625" s="41" t="str">
        <f aca="false">IF(E3625="","",IFERROR(VLOOKUP(E3625,Assumptions!$G$5:$H$16,2,0),"Other"))</f>
        <v/>
      </c>
      <c r="J3625" s="41" t="str">
        <f aca="false">IF(G3625="","",IFERROR(IF(ISNUMBER(SEARCH(Assumptions!$C$5,G3625)),Assumptions!$D$5,IF(ISNUMBER(SEARCH(Assumptions!$C$6,G3625)),Assumptions!$D$6,IF(ISNUMBER(SEARCH(Assumptions!$C$7,G3625)),Assumptions!$D$7,"Other Services"))),"Other Services"))</f>
        <v/>
      </c>
    </row>
    <row r="3626" customFormat="false" ht="15" hidden="false" customHeight="false" outlineLevel="0" collapsed="false">
      <c r="F3626" s="41" t="str">
        <f aca="false">IF(E3626="","",IFERROR(VLOOKUP(E3626,Assumptions!$G$5:$H$16,2,0),"Other"))</f>
        <v/>
      </c>
      <c r="J3626" s="41" t="str">
        <f aca="false">IF(G3626="","",IFERROR(IF(ISNUMBER(SEARCH(Assumptions!$C$5,G3626)),Assumptions!$D$5,IF(ISNUMBER(SEARCH(Assumptions!$C$6,G3626)),Assumptions!$D$6,IF(ISNUMBER(SEARCH(Assumptions!$C$7,G3626)),Assumptions!$D$7,"Other Services"))),"Other Services"))</f>
        <v/>
      </c>
    </row>
    <row r="3627" customFormat="false" ht="15" hidden="false" customHeight="false" outlineLevel="0" collapsed="false">
      <c r="F3627" s="41" t="str">
        <f aca="false">IF(E3627="","",IFERROR(VLOOKUP(E3627,Assumptions!$G$5:$H$16,2,0),"Other"))</f>
        <v/>
      </c>
      <c r="J3627" s="41" t="str">
        <f aca="false">IF(G3627="","",IFERROR(IF(ISNUMBER(SEARCH(Assumptions!$C$5,G3627)),Assumptions!$D$5,IF(ISNUMBER(SEARCH(Assumptions!$C$6,G3627)),Assumptions!$D$6,IF(ISNUMBER(SEARCH(Assumptions!$C$7,G3627)),Assumptions!$D$7,"Other Services"))),"Other Services"))</f>
        <v/>
      </c>
    </row>
    <row r="3628" customFormat="false" ht="15" hidden="false" customHeight="false" outlineLevel="0" collapsed="false">
      <c r="F3628" s="41" t="str">
        <f aca="false">IF(E3628="","",IFERROR(VLOOKUP(E3628,Assumptions!$G$5:$H$16,2,0),"Other"))</f>
        <v/>
      </c>
      <c r="J3628" s="41" t="str">
        <f aca="false">IF(G3628="","",IFERROR(IF(ISNUMBER(SEARCH(Assumptions!$C$5,G3628)),Assumptions!$D$5,IF(ISNUMBER(SEARCH(Assumptions!$C$6,G3628)),Assumptions!$D$6,IF(ISNUMBER(SEARCH(Assumptions!$C$7,G3628)),Assumptions!$D$7,"Other Services"))),"Other Services"))</f>
        <v/>
      </c>
    </row>
    <row r="3629" customFormat="false" ht="15" hidden="false" customHeight="false" outlineLevel="0" collapsed="false">
      <c r="F3629" s="41" t="str">
        <f aca="false">IF(E3629="","",IFERROR(VLOOKUP(E3629,Assumptions!$G$5:$H$16,2,0),"Other"))</f>
        <v/>
      </c>
      <c r="J3629" s="41" t="str">
        <f aca="false">IF(G3629="","",IFERROR(IF(ISNUMBER(SEARCH(Assumptions!$C$5,G3629)),Assumptions!$D$5,IF(ISNUMBER(SEARCH(Assumptions!$C$6,G3629)),Assumptions!$D$6,IF(ISNUMBER(SEARCH(Assumptions!$C$7,G3629)),Assumptions!$D$7,"Other Services"))),"Other Services"))</f>
        <v/>
      </c>
    </row>
    <row r="3630" customFormat="false" ht="15" hidden="false" customHeight="false" outlineLevel="0" collapsed="false">
      <c r="F3630" s="41" t="str">
        <f aca="false">IF(E3630="","",IFERROR(VLOOKUP(E3630,Assumptions!$G$5:$H$16,2,0),"Other"))</f>
        <v/>
      </c>
      <c r="J3630" s="41" t="str">
        <f aca="false">IF(G3630="","",IFERROR(IF(ISNUMBER(SEARCH(Assumptions!$C$5,G3630)),Assumptions!$D$5,IF(ISNUMBER(SEARCH(Assumptions!$C$6,G3630)),Assumptions!$D$6,IF(ISNUMBER(SEARCH(Assumptions!$C$7,G3630)),Assumptions!$D$7,"Other Services"))),"Other Services"))</f>
        <v/>
      </c>
    </row>
    <row r="3631" customFormat="false" ht="15" hidden="false" customHeight="false" outlineLevel="0" collapsed="false">
      <c r="F3631" s="41" t="str">
        <f aca="false">IF(E3631="","",IFERROR(VLOOKUP(E3631,Assumptions!$G$5:$H$16,2,0),"Other"))</f>
        <v/>
      </c>
      <c r="J3631" s="41" t="str">
        <f aca="false">IF(G3631="","",IFERROR(IF(ISNUMBER(SEARCH(Assumptions!$C$5,G3631)),Assumptions!$D$5,IF(ISNUMBER(SEARCH(Assumptions!$C$6,G3631)),Assumptions!$D$6,IF(ISNUMBER(SEARCH(Assumptions!$C$7,G3631)),Assumptions!$D$7,"Other Services"))),"Other Services"))</f>
        <v/>
      </c>
    </row>
    <row r="3632" customFormat="false" ht="15" hidden="false" customHeight="false" outlineLevel="0" collapsed="false">
      <c r="F3632" s="41" t="str">
        <f aca="false">IF(E3632="","",IFERROR(VLOOKUP(E3632,Assumptions!$G$5:$H$16,2,0),"Other"))</f>
        <v/>
      </c>
      <c r="J3632" s="41" t="str">
        <f aca="false">IF(G3632="","",IFERROR(IF(ISNUMBER(SEARCH(Assumptions!$C$5,G3632)),Assumptions!$D$5,IF(ISNUMBER(SEARCH(Assumptions!$C$6,G3632)),Assumptions!$D$6,IF(ISNUMBER(SEARCH(Assumptions!$C$7,G3632)),Assumptions!$D$7,"Other Services"))),"Other Services"))</f>
        <v/>
      </c>
    </row>
    <row r="3633" customFormat="false" ht="15" hidden="false" customHeight="false" outlineLevel="0" collapsed="false">
      <c r="F3633" s="41" t="str">
        <f aca="false">IF(E3633="","",IFERROR(VLOOKUP(E3633,Assumptions!$G$5:$H$16,2,0),"Other"))</f>
        <v/>
      </c>
      <c r="J3633" s="41" t="str">
        <f aca="false">IF(G3633="","",IFERROR(IF(ISNUMBER(SEARCH(Assumptions!$C$5,G3633)),Assumptions!$D$5,IF(ISNUMBER(SEARCH(Assumptions!$C$6,G3633)),Assumptions!$D$6,IF(ISNUMBER(SEARCH(Assumptions!$C$7,G3633)),Assumptions!$D$7,"Other Services"))),"Other Services"))</f>
        <v/>
      </c>
    </row>
    <row r="3634" customFormat="false" ht="15" hidden="false" customHeight="false" outlineLevel="0" collapsed="false">
      <c r="F3634" s="41" t="str">
        <f aca="false">IF(E3634="","",IFERROR(VLOOKUP(E3634,Assumptions!$G$5:$H$16,2,0),"Other"))</f>
        <v/>
      </c>
      <c r="J3634" s="41" t="str">
        <f aca="false">IF(G3634="","",IFERROR(IF(ISNUMBER(SEARCH(Assumptions!$C$5,G3634)),Assumptions!$D$5,IF(ISNUMBER(SEARCH(Assumptions!$C$6,G3634)),Assumptions!$D$6,IF(ISNUMBER(SEARCH(Assumptions!$C$7,G3634)),Assumptions!$D$7,"Other Services"))),"Other Services"))</f>
        <v/>
      </c>
    </row>
    <row r="3635" customFormat="false" ht="15" hidden="false" customHeight="false" outlineLevel="0" collapsed="false">
      <c r="F3635" s="41" t="str">
        <f aca="false">IF(E3635="","",IFERROR(VLOOKUP(E3635,Assumptions!$G$5:$H$16,2,0),"Other"))</f>
        <v/>
      </c>
      <c r="J3635" s="41" t="str">
        <f aca="false">IF(G3635="","",IFERROR(IF(ISNUMBER(SEARCH(Assumptions!$C$5,G3635)),Assumptions!$D$5,IF(ISNUMBER(SEARCH(Assumptions!$C$6,G3635)),Assumptions!$D$6,IF(ISNUMBER(SEARCH(Assumptions!$C$7,G3635)),Assumptions!$D$7,"Other Services"))),"Other Services"))</f>
        <v/>
      </c>
    </row>
    <row r="3636" customFormat="false" ht="15" hidden="false" customHeight="false" outlineLevel="0" collapsed="false">
      <c r="F3636" s="41" t="str">
        <f aca="false">IF(E3636="","",IFERROR(VLOOKUP(E3636,Assumptions!$G$5:$H$16,2,0),"Other"))</f>
        <v/>
      </c>
      <c r="J3636" s="41" t="str">
        <f aca="false">IF(G3636="","",IFERROR(IF(ISNUMBER(SEARCH(Assumptions!$C$5,G3636)),Assumptions!$D$5,IF(ISNUMBER(SEARCH(Assumptions!$C$6,G3636)),Assumptions!$D$6,IF(ISNUMBER(SEARCH(Assumptions!$C$7,G3636)),Assumptions!$D$7,"Other Services"))),"Other Services"))</f>
        <v/>
      </c>
    </row>
    <row r="3637" customFormat="false" ht="15" hidden="false" customHeight="false" outlineLevel="0" collapsed="false">
      <c r="F3637" s="41" t="str">
        <f aca="false">IF(E3637="","",IFERROR(VLOOKUP(E3637,Assumptions!$G$5:$H$16,2,0),"Other"))</f>
        <v/>
      </c>
      <c r="J3637" s="41" t="str">
        <f aca="false">IF(G3637="","",IFERROR(IF(ISNUMBER(SEARCH(Assumptions!$C$5,G3637)),Assumptions!$D$5,IF(ISNUMBER(SEARCH(Assumptions!$C$6,G3637)),Assumptions!$D$6,IF(ISNUMBER(SEARCH(Assumptions!$C$7,G3637)),Assumptions!$D$7,"Other Services"))),"Other Services"))</f>
        <v/>
      </c>
    </row>
    <row r="3638" customFormat="false" ht="15" hidden="false" customHeight="false" outlineLevel="0" collapsed="false">
      <c r="F3638" s="41" t="str">
        <f aca="false">IF(E3638="","",IFERROR(VLOOKUP(E3638,Assumptions!$G$5:$H$16,2,0),"Other"))</f>
        <v/>
      </c>
      <c r="J3638" s="41" t="str">
        <f aca="false">IF(G3638="","",IFERROR(IF(ISNUMBER(SEARCH(Assumptions!$C$5,G3638)),Assumptions!$D$5,IF(ISNUMBER(SEARCH(Assumptions!$C$6,G3638)),Assumptions!$D$6,IF(ISNUMBER(SEARCH(Assumptions!$C$7,G3638)),Assumptions!$D$7,"Other Services"))),"Other Services"))</f>
        <v/>
      </c>
    </row>
    <row r="3639" customFormat="false" ht="15" hidden="false" customHeight="false" outlineLevel="0" collapsed="false">
      <c r="F3639" s="41" t="str">
        <f aca="false">IF(E3639="","",IFERROR(VLOOKUP(E3639,Assumptions!$G$5:$H$16,2,0),"Other"))</f>
        <v/>
      </c>
      <c r="J3639" s="41" t="str">
        <f aca="false">IF(G3639="","",IFERROR(IF(ISNUMBER(SEARCH(Assumptions!$C$5,G3639)),Assumptions!$D$5,IF(ISNUMBER(SEARCH(Assumptions!$C$6,G3639)),Assumptions!$D$6,IF(ISNUMBER(SEARCH(Assumptions!$C$7,G3639)),Assumptions!$D$7,"Other Services"))),"Other Services"))</f>
        <v/>
      </c>
    </row>
    <row r="3640" customFormat="false" ht="15" hidden="false" customHeight="false" outlineLevel="0" collapsed="false">
      <c r="F3640" s="41" t="str">
        <f aca="false">IF(E3640="","",IFERROR(VLOOKUP(E3640,Assumptions!$G$5:$H$16,2,0),"Other"))</f>
        <v/>
      </c>
      <c r="J3640" s="41" t="str">
        <f aca="false">IF(G3640="","",IFERROR(IF(ISNUMBER(SEARCH(Assumptions!$C$5,G3640)),Assumptions!$D$5,IF(ISNUMBER(SEARCH(Assumptions!$C$6,G3640)),Assumptions!$D$6,IF(ISNUMBER(SEARCH(Assumptions!$C$7,G3640)),Assumptions!$D$7,"Other Services"))),"Other Services"))</f>
        <v/>
      </c>
    </row>
    <row r="3641" customFormat="false" ht="15" hidden="false" customHeight="false" outlineLevel="0" collapsed="false">
      <c r="F3641" s="41" t="str">
        <f aca="false">IF(E3641="","",IFERROR(VLOOKUP(E3641,Assumptions!$G$5:$H$16,2,0),"Other"))</f>
        <v/>
      </c>
      <c r="J3641" s="41" t="str">
        <f aca="false">IF(G3641="","",IFERROR(IF(ISNUMBER(SEARCH(Assumptions!$C$5,G3641)),Assumptions!$D$5,IF(ISNUMBER(SEARCH(Assumptions!$C$6,G3641)),Assumptions!$D$6,IF(ISNUMBER(SEARCH(Assumptions!$C$7,G3641)),Assumptions!$D$7,"Other Services"))),"Other Services"))</f>
        <v/>
      </c>
    </row>
    <row r="3642" customFormat="false" ht="15" hidden="false" customHeight="false" outlineLevel="0" collapsed="false">
      <c r="F3642" s="41" t="str">
        <f aca="false">IF(E3642="","",IFERROR(VLOOKUP(E3642,Assumptions!$G$5:$H$16,2,0),"Other"))</f>
        <v/>
      </c>
      <c r="J3642" s="41" t="str">
        <f aca="false">IF(G3642="","",IFERROR(IF(ISNUMBER(SEARCH(Assumptions!$C$5,G3642)),Assumptions!$D$5,IF(ISNUMBER(SEARCH(Assumptions!$C$6,G3642)),Assumptions!$D$6,IF(ISNUMBER(SEARCH(Assumptions!$C$7,G3642)),Assumptions!$D$7,"Other Services"))),"Other Services"))</f>
        <v/>
      </c>
    </row>
    <row r="3643" customFormat="false" ht="15" hidden="false" customHeight="false" outlineLevel="0" collapsed="false">
      <c r="F3643" s="41" t="str">
        <f aca="false">IF(E3643="","",IFERROR(VLOOKUP(E3643,Assumptions!$G$5:$H$16,2,0),"Other"))</f>
        <v/>
      </c>
      <c r="J3643" s="41" t="str">
        <f aca="false">IF(G3643="","",IFERROR(IF(ISNUMBER(SEARCH(Assumptions!$C$5,G3643)),Assumptions!$D$5,IF(ISNUMBER(SEARCH(Assumptions!$C$6,G3643)),Assumptions!$D$6,IF(ISNUMBER(SEARCH(Assumptions!$C$7,G3643)),Assumptions!$D$7,"Other Services"))),"Other Services"))</f>
        <v/>
      </c>
    </row>
    <row r="3644" customFormat="false" ht="15" hidden="false" customHeight="false" outlineLevel="0" collapsed="false">
      <c r="F3644" s="41" t="str">
        <f aca="false">IF(E3644="","",IFERROR(VLOOKUP(E3644,Assumptions!$G$5:$H$16,2,0),"Other"))</f>
        <v/>
      </c>
      <c r="J3644" s="41" t="str">
        <f aca="false">IF(G3644="","",IFERROR(IF(ISNUMBER(SEARCH(Assumptions!$C$5,G3644)),Assumptions!$D$5,IF(ISNUMBER(SEARCH(Assumptions!$C$6,G3644)),Assumptions!$D$6,IF(ISNUMBER(SEARCH(Assumptions!$C$7,G3644)),Assumptions!$D$7,"Other Services"))),"Other Services"))</f>
        <v/>
      </c>
    </row>
    <row r="3645" customFormat="false" ht="15" hidden="false" customHeight="false" outlineLevel="0" collapsed="false">
      <c r="F3645" s="41" t="str">
        <f aca="false">IF(E3645="","",IFERROR(VLOOKUP(E3645,Assumptions!$G$5:$H$16,2,0),"Other"))</f>
        <v/>
      </c>
      <c r="J3645" s="41" t="str">
        <f aca="false">IF(G3645="","",IFERROR(IF(ISNUMBER(SEARCH(Assumptions!$C$5,G3645)),Assumptions!$D$5,IF(ISNUMBER(SEARCH(Assumptions!$C$6,G3645)),Assumptions!$D$6,IF(ISNUMBER(SEARCH(Assumptions!$C$7,G3645)),Assumptions!$D$7,"Other Services"))),"Other Services"))</f>
        <v/>
      </c>
    </row>
    <row r="3646" customFormat="false" ht="15" hidden="false" customHeight="false" outlineLevel="0" collapsed="false">
      <c r="F3646" s="41" t="str">
        <f aca="false">IF(E3646="","",IFERROR(VLOOKUP(E3646,Assumptions!$G$5:$H$16,2,0),"Other"))</f>
        <v/>
      </c>
      <c r="J3646" s="41" t="str">
        <f aca="false">IF(G3646="","",IFERROR(IF(ISNUMBER(SEARCH(Assumptions!$C$5,G3646)),Assumptions!$D$5,IF(ISNUMBER(SEARCH(Assumptions!$C$6,G3646)),Assumptions!$D$6,IF(ISNUMBER(SEARCH(Assumptions!$C$7,G3646)),Assumptions!$D$7,"Other Services"))),"Other Services"))</f>
        <v/>
      </c>
    </row>
    <row r="3647" customFormat="false" ht="15" hidden="false" customHeight="false" outlineLevel="0" collapsed="false">
      <c r="F3647" s="41" t="str">
        <f aca="false">IF(E3647="","",IFERROR(VLOOKUP(E3647,Assumptions!$G$5:$H$16,2,0),"Other"))</f>
        <v/>
      </c>
      <c r="J3647" s="41" t="str">
        <f aca="false">IF(G3647="","",IFERROR(IF(ISNUMBER(SEARCH(Assumptions!$C$5,G3647)),Assumptions!$D$5,IF(ISNUMBER(SEARCH(Assumptions!$C$6,G3647)),Assumptions!$D$6,IF(ISNUMBER(SEARCH(Assumptions!$C$7,G3647)),Assumptions!$D$7,"Other Services"))),"Other Services"))</f>
        <v/>
      </c>
    </row>
    <row r="3648" customFormat="false" ht="15" hidden="false" customHeight="false" outlineLevel="0" collapsed="false">
      <c r="F3648" s="41" t="str">
        <f aca="false">IF(E3648="","",IFERROR(VLOOKUP(E3648,Assumptions!$G$5:$H$16,2,0),"Other"))</f>
        <v/>
      </c>
      <c r="J3648" s="41" t="str">
        <f aca="false">IF(G3648="","",IFERROR(IF(ISNUMBER(SEARCH(Assumptions!$C$5,G3648)),Assumptions!$D$5,IF(ISNUMBER(SEARCH(Assumptions!$C$6,G3648)),Assumptions!$D$6,IF(ISNUMBER(SEARCH(Assumptions!$C$7,G3648)),Assumptions!$D$7,"Other Services"))),"Other Services"))</f>
        <v/>
      </c>
    </row>
    <row r="3649" customFormat="false" ht="15" hidden="false" customHeight="false" outlineLevel="0" collapsed="false">
      <c r="F3649" s="41" t="str">
        <f aca="false">IF(E3649="","",IFERROR(VLOOKUP(E3649,Assumptions!$G$5:$H$16,2,0),"Other"))</f>
        <v/>
      </c>
      <c r="J3649" s="41" t="str">
        <f aca="false">IF(G3649="","",IFERROR(IF(ISNUMBER(SEARCH(Assumptions!$C$5,G3649)),Assumptions!$D$5,IF(ISNUMBER(SEARCH(Assumptions!$C$6,G3649)),Assumptions!$D$6,IF(ISNUMBER(SEARCH(Assumptions!$C$7,G3649)),Assumptions!$D$7,"Other Services"))),"Other Services"))</f>
        <v/>
      </c>
    </row>
    <row r="3650" customFormat="false" ht="15" hidden="false" customHeight="false" outlineLevel="0" collapsed="false">
      <c r="F3650" s="41" t="str">
        <f aca="false">IF(E3650="","",IFERROR(VLOOKUP(E3650,Assumptions!$G$5:$H$16,2,0),"Other"))</f>
        <v/>
      </c>
      <c r="J3650" s="41" t="str">
        <f aca="false">IF(G3650="","",IFERROR(IF(ISNUMBER(SEARCH(Assumptions!$C$5,G3650)),Assumptions!$D$5,IF(ISNUMBER(SEARCH(Assumptions!$C$6,G3650)),Assumptions!$D$6,IF(ISNUMBER(SEARCH(Assumptions!$C$7,G3650)),Assumptions!$D$7,"Other Services"))),"Other Services"))</f>
        <v/>
      </c>
    </row>
    <row r="3651" customFormat="false" ht="15" hidden="false" customHeight="false" outlineLevel="0" collapsed="false">
      <c r="F3651" s="41" t="str">
        <f aca="false">IF(E3651="","",IFERROR(VLOOKUP(E3651,Assumptions!$G$5:$H$16,2,0),"Other"))</f>
        <v/>
      </c>
      <c r="J3651" s="41" t="str">
        <f aca="false">IF(G3651="","",IFERROR(IF(ISNUMBER(SEARCH(Assumptions!$C$5,G3651)),Assumptions!$D$5,IF(ISNUMBER(SEARCH(Assumptions!$C$6,G3651)),Assumptions!$D$6,IF(ISNUMBER(SEARCH(Assumptions!$C$7,G3651)),Assumptions!$D$7,"Other Services"))),"Other Services"))</f>
        <v/>
      </c>
    </row>
    <row r="3652" customFormat="false" ht="15" hidden="false" customHeight="false" outlineLevel="0" collapsed="false">
      <c r="F3652" s="41" t="str">
        <f aca="false">IF(E3652="","",IFERROR(VLOOKUP(E3652,Assumptions!$G$5:$H$16,2,0),"Other"))</f>
        <v/>
      </c>
      <c r="J3652" s="41" t="str">
        <f aca="false">IF(G3652="","",IFERROR(IF(ISNUMBER(SEARCH(Assumptions!$C$5,G3652)),Assumptions!$D$5,IF(ISNUMBER(SEARCH(Assumptions!$C$6,G3652)),Assumptions!$D$6,IF(ISNUMBER(SEARCH(Assumptions!$C$7,G3652)),Assumptions!$D$7,"Other Services"))),"Other Services"))</f>
        <v/>
      </c>
    </row>
    <row r="3653" customFormat="false" ht="15" hidden="false" customHeight="false" outlineLevel="0" collapsed="false">
      <c r="F3653" s="41" t="str">
        <f aca="false">IF(E3653="","",IFERROR(VLOOKUP(E3653,Assumptions!$G$5:$H$16,2,0),"Other"))</f>
        <v/>
      </c>
      <c r="J3653" s="41" t="str">
        <f aca="false">IF(G3653="","",IFERROR(IF(ISNUMBER(SEARCH(Assumptions!$C$5,G3653)),Assumptions!$D$5,IF(ISNUMBER(SEARCH(Assumptions!$C$6,G3653)),Assumptions!$D$6,IF(ISNUMBER(SEARCH(Assumptions!$C$7,G3653)),Assumptions!$D$7,"Other Services"))),"Other Services"))</f>
        <v/>
      </c>
    </row>
    <row r="3654" customFormat="false" ht="15" hidden="false" customHeight="false" outlineLevel="0" collapsed="false">
      <c r="F3654" s="41" t="str">
        <f aca="false">IF(E3654="","",IFERROR(VLOOKUP(E3654,Assumptions!$G$5:$H$16,2,0),"Other"))</f>
        <v/>
      </c>
      <c r="J3654" s="41" t="str">
        <f aca="false">IF(G3654="","",IFERROR(IF(ISNUMBER(SEARCH(Assumptions!$C$5,G3654)),Assumptions!$D$5,IF(ISNUMBER(SEARCH(Assumptions!$C$6,G3654)),Assumptions!$D$6,IF(ISNUMBER(SEARCH(Assumptions!$C$7,G3654)),Assumptions!$D$7,"Other Services"))),"Other Services"))</f>
        <v/>
      </c>
    </row>
    <row r="3655" customFormat="false" ht="15" hidden="false" customHeight="false" outlineLevel="0" collapsed="false">
      <c r="F3655" s="41" t="str">
        <f aca="false">IF(E3655="","",IFERROR(VLOOKUP(E3655,Assumptions!$G$5:$H$16,2,0),"Other"))</f>
        <v/>
      </c>
      <c r="J3655" s="41" t="str">
        <f aca="false">IF(G3655="","",IFERROR(IF(ISNUMBER(SEARCH(Assumptions!$C$5,G3655)),Assumptions!$D$5,IF(ISNUMBER(SEARCH(Assumptions!$C$6,G3655)),Assumptions!$D$6,IF(ISNUMBER(SEARCH(Assumptions!$C$7,G3655)),Assumptions!$D$7,"Other Services"))),"Other Services"))</f>
        <v/>
      </c>
    </row>
    <row r="3656" customFormat="false" ht="15" hidden="false" customHeight="false" outlineLevel="0" collapsed="false">
      <c r="F3656" s="41" t="str">
        <f aca="false">IF(E3656="","",IFERROR(VLOOKUP(E3656,Assumptions!$G$5:$H$16,2,0),"Other"))</f>
        <v/>
      </c>
      <c r="J3656" s="41" t="str">
        <f aca="false">IF(G3656="","",IFERROR(IF(ISNUMBER(SEARCH(Assumptions!$C$5,G3656)),Assumptions!$D$5,IF(ISNUMBER(SEARCH(Assumptions!$C$6,G3656)),Assumptions!$D$6,IF(ISNUMBER(SEARCH(Assumptions!$C$7,G3656)),Assumptions!$D$7,"Other Services"))),"Other Services"))</f>
        <v/>
      </c>
    </row>
    <row r="3657" customFormat="false" ht="15" hidden="false" customHeight="false" outlineLevel="0" collapsed="false">
      <c r="F3657" s="41" t="str">
        <f aca="false">IF(E3657="","",IFERROR(VLOOKUP(E3657,Assumptions!$G$5:$H$16,2,0),"Other"))</f>
        <v/>
      </c>
      <c r="J3657" s="41" t="str">
        <f aca="false">IF(G3657="","",IFERROR(IF(ISNUMBER(SEARCH(Assumptions!$C$5,G3657)),Assumptions!$D$5,IF(ISNUMBER(SEARCH(Assumptions!$C$6,G3657)),Assumptions!$D$6,IF(ISNUMBER(SEARCH(Assumptions!$C$7,G3657)),Assumptions!$D$7,"Other Services"))),"Other Services"))</f>
        <v/>
      </c>
    </row>
    <row r="3658" customFormat="false" ht="15" hidden="false" customHeight="false" outlineLevel="0" collapsed="false">
      <c r="F3658" s="41" t="str">
        <f aca="false">IF(E3658="","",IFERROR(VLOOKUP(E3658,Assumptions!$G$5:$H$16,2,0),"Other"))</f>
        <v/>
      </c>
      <c r="J3658" s="41" t="str">
        <f aca="false">IF(G3658="","",IFERROR(IF(ISNUMBER(SEARCH(Assumptions!$C$5,G3658)),Assumptions!$D$5,IF(ISNUMBER(SEARCH(Assumptions!$C$6,G3658)),Assumptions!$D$6,IF(ISNUMBER(SEARCH(Assumptions!$C$7,G3658)),Assumptions!$D$7,"Other Services"))),"Other Services"))</f>
        <v/>
      </c>
    </row>
    <row r="3659" customFormat="false" ht="15" hidden="false" customHeight="false" outlineLevel="0" collapsed="false">
      <c r="F3659" s="41" t="str">
        <f aca="false">IF(E3659="","",IFERROR(VLOOKUP(E3659,Assumptions!$G$5:$H$16,2,0),"Other"))</f>
        <v/>
      </c>
      <c r="J3659" s="41" t="str">
        <f aca="false">IF(G3659="","",IFERROR(IF(ISNUMBER(SEARCH(Assumptions!$C$5,G3659)),Assumptions!$D$5,IF(ISNUMBER(SEARCH(Assumptions!$C$6,G3659)),Assumptions!$D$6,IF(ISNUMBER(SEARCH(Assumptions!$C$7,G3659)),Assumptions!$D$7,"Other Services"))),"Other Services"))</f>
        <v/>
      </c>
    </row>
    <row r="3660" customFormat="false" ht="15" hidden="false" customHeight="false" outlineLevel="0" collapsed="false">
      <c r="F3660" s="41" t="str">
        <f aca="false">IF(E3660="","",IFERROR(VLOOKUP(E3660,Assumptions!$G$5:$H$16,2,0),"Other"))</f>
        <v/>
      </c>
      <c r="J3660" s="41" t="str">
        <f aca="false">IF(G3660="","",IFERROR(IF(ISNUMBER(SEARCH(Assumptions!$C$5,G3660)),Assumptions!$D$5,IF(ISNUMBER(SEARCH(Assumptions!$C$6,G3660)),Assumptions!$D$6,IF(ISNUMBER(SEARCH(Assumptions!$C$7,G3660)),Assumptions!$D$7,"Other Services"))),"Other Services"))</f>
        <v/>
      </c>
    </row>
    <row r="3661" customFormat="false" ht="15" hidden="false" customHeight="false" outlineLevel="0" collapsed="false">
      <c r="F3661" s="41" t="str">
        <f aca="false">IF(E3661="","",IFERROR(VLOOKUP(E3661,Assumptions!$G$5:$H$16,2,0),"Other"))</f>
        <v/>
      </c>
      <c r="J3661" s="41" t="str">
        <f aca="false">IF(G3661="","",IFERROR(IF(ISNUMBER(SEARCH(Assumptions!$C$5,G3661)),Assumptions!$D$5,IF(ISNUMBER(SEARCH(Assumptions!$C$6,G3661)),Assumptions!$D$6,IF(ISNUMBER(SEARCH(Assumptions!$C$7,G3661)),Assumptions!$D$7,"Other Services"))),"Other Services"))</f>
        <v/>
      </c>
    </row>
    <row r="3662" customFormat="false" ht="15" hidden="false" customHeight="false" outlineLevel="0" collapsed="false">
      <c r="F3662" s="41" t="str">
        <f aca="false">IF(E3662="","",IFERROR(VLOOKUP(E3662,Assumptions!$G$5:$H$16,2,0),"Other"))</f>
        <v/>
      </c>
      <c r="J3662" s="41" t="str">
        <f aca="false">IF(G3662="","",IFERROR(IF(ISNUMBER(SEARCH(Assumptions!$C$5,G3662)),Assumptions!$D$5,IF(ISNUMBER(SEARCH(Assumptions!$C$6,G3662)),Assumptions!$D$6,IF(ISNUMBER(SEARCH(Assumptions!$C$7,G3662)),Assumptions!$D$7,"Other Services"))),"Other Services"))</f>
        <v/>
      </c>
    </row>
    <row r="3663" customFormat="false" ht="15" hidden="false" customHeight="false" outlineLevel="0" collapsed="false">
      <c r="F3663" s="41" t="str">
        <f aca="false">IF(E3663="","",IFERROR(VLOOKUP(E3663,Assumptions!$G$5:$H$16,2,0),"Other"))</f>
        <v/>
      </c>
      <c r="J3663" s="41" t="str">
        <f aca="false">IF(G3663="","",IFERROR(IF(ISNUMBER(SEARCH(Assumptions!$C$5,G3663)),Assumptions!$D$5,IF(ISNUMBER(SEARCH(Assumptions!$C$6,G3663)),Assumptions!$D$6,IF(ISNUMBER(SEARCH(Assumptions!$C$7,G3663)),Assumptions!$D$7,"Other Services"))),"Other Services"))</f>
        <v/>
      </c>
    </row>
    <row r="3664" customFormat="false" ht="15" hidden="false" customHeight="false" outlineLevel="0" collapsed="false">
      <c r="F3664" s="41" t="str">
        <f aca="false">IF(E3664="","",IFERROR(VLOOKUP(E3664,Assumptions!$G$5:$H$16,2,0),"Other"))</f>
        <v/>
      </c>
      <c r="J3664" s="41" t="str">
        <f aca="false">IF(G3664="","",IFERROR(IF(ISNUMBER(SEARCH(Assumptions!$C$5,G3664)),Assumptions!$D$5,IF(ISNUMBER(SEARCH(Assumptions!$C$6,G3664)),Assumptions!$D$6,IF(ISNUMBER(SEARCH(Assumptions!$C$7,G3664)),Assumptions!$D$7,"Other Services"))),"Other Services"))</f>
        <v/>
      </c>
    </row>
    <row r="3665" customFormat="false" ht="15" hidden="false" customHeight="false" outlineLevel="0" collapsed="false">
      <c r="F3665" s="41" t="str">
        <f aca="false">IF(E3665="","",IFERROR(VLOOKUP(E3665,Assumptions!$G$5:$H$16,2,0),"Other"))</f>
        <v/>
      </c>
      <c r="J3665" s="41" t="str">
        <f aca="false">IF(G3665="","",IFERROR(IF(ISNUMBER(SEARCH(Assumptions!$C$5,G3665)),Assumptions!$D$5,IF(ISNUMBER(SEARCH(Assumptions!$C$6,G3665)),Assumptions!$D$6,IF(ISNUMBER(SEARCH(Assumptions!$C$7,G3665)),Assumptions!$D$7,"Other Services"))),"Other Services"))</f>
        <v/>
      </c>
    </row>
    <row r="3666" customFormat="false" ht="15" hidden="false" customHeight="false" outlineLevel="0" collapsed="false">
      <c r="F3666" s="41" t="str">
        <f aca="false">IF(E3666="","",IFERROR(VLOOKUP(E3666,Assumptions!$G$5:$H$16,2,0),"Other"))</f>
        <v/>
      </c>
      <c r="J3666" s="41" t="str">
        <f aca="false">IF(G3666="","",IFERROR(IF(ISNUMBER(SEARCH(Assumptions!$C$5,G3666)),Assumptions!$D$5,IF(ISNUMBER(SEARCH(Assumptions!$C$6,G3666)),Assumptions!$D$6,IF(ISNUMBER(SEARCH(Assumptions!$C$7,G3666)),Assumptions!$D$7,"Other Services"))),"Other Services"))</f>
        <v/>
      </c>
    </row>
    <row r="3667" customFormat="false" ht="15" hidden="false" customHeight="false" outlineLevel="0" collapsed="false">
      <c r="F3667" s="41" t="str">
        <f aca="false">IF(E3667="","",IFERROR(VLOOKUP(E3667,Assumptions!$G$5:$H$16,2,0),"Other"))</f>
        <v/>
      </c>
      <c r="J3667" s="41" t="str">
        <f aca="false">IF(G3667="","",IFERROR(IF(ISNUMBER(SEARCH(Assumptions!$C$5,G3667)),Assumptions!$D$5,IF(ISNUMBER(SEARCH(Assumptions!$C$6,G3667)),Assumptions!$D$6,IF(ISNUMBER(SEARCH(Assumptions!$C$7,G3667)),Assumptions!$D$7,"Other Services"))),"Other Services"))</f>
        <v/>
      </c>
    </row>
    <row r="3668" customFormat="false" ht="15" hidden="false" customHeight="false" outlineLevel="0" collapsed="false">
      <c r="F3668" s="41" t="str">
        <f aca="false">IF(E3668="","",IFERROR(VLOOKUP(E3668,Assumptions!$G$5:$H$16,2,0),"Other"))</f>
        <v/>
      </c>
      <c r="J3668" s="41" t="str">
        <f aca="false">IF(G3668="","",IFERROR(IF(ISNUMBER(SEARCH(Assumptions!$C$5,G3668)),Assumptions!$D$5,IF(ISNUMBER(SEARCH(Assumptions!$C$6,G3668)),Assumptions!$D$6,IF(ISNUMBER(SEARCH(Assumptions!$C$7,G3668)),Assumptions!$D$7,"Other Services"))),"Other Services"))</f>
        <v/>
      </c>
    </row>
    <row r="3669" customFormat="false" ht="15" hidden="false" customHeight="false" outlineLevel="0" collapsed="false">
      <c r="F3669" s="41" t="str">
        <f aca="false">IF(E3669="","",IFERROR(VLOOKUP(E3669,Assumptions!$G$5:$H$16,2,0),"Other"))</f>
        <v/>
      </c>
      <c r="J3669" s="41" t="str">
        <f aca="false">IF(G3669="","",IFERROR(IF(ISNUMBER(SEARCH(Assumptions!$C$5,G3669)),Assumptions!$D$5,IF(ISNUMBER(SEARCH(Assumptions!$C$6,G3669)),Assumptions!$D$6,IF(ISNUMBER(SEARCH(Assumptions!$C$7,G3669)),Assumptions!$D$7,"Other Services"))),"Other Services"))</f>
        <v/>
      </c>
    </row>
    <row r="3670" customFormat="false" ht="15" hidden="false" customHeight="false" outlineLevel="0" collapsed="false">
      <c r="F3670" s="41" t="str">
        <f aca="false">IF(E3670="","",IFERROR(VLOOKUP(E3670,Assumptions!$G$5:$H$16,2,0),"Other"))</f>
        <v/>
      </c>
      <c r="J3670" s="41" t="str">
        <f aca="false">IF(G3670="","",IFERROR(IF(ISNUMBER(SEARCH(Assumptions!$C$5,G3670)),Assumptions!$D$5,IF(ISNUMBER(SEARCH(Assumptions!$C$6,G3670)),Assumptions!$D$6,IF(ISNUMBER(SEARCH(Assumptions!$C$7,G3670)),Assumptions!$D$7,"Other Services"))),"Other Services"))</f>
        <v/>
      </c>
    </row>
    <row r="3671" customFormat="false" ht="15" hidden="false" customHeight="false" outlineLevel="0" collapsed="false">
      <c r="F3671" s="41" t="str">
        <f aca="false">IF(E3671="","",IFERROR(VLOOKUP(E3671,Assumptions!$G$5:$H$16,2,0),"Other"))</f>
        <v/>
      </c>
      <c r="J3671" s="41" t="str">
        <f aca="false">IF(G3671="","",IFERROR(IF(ISNUMBER(SEARCH(Assumptions!$C$5,G3671)),Assumptions!$D$5,IF(ISNUMBER(SEARCH(Assumptions!$C$6,G3671)),Assumptions!$D$6,IF(ISNUMBER(SEARCH(Assumptions!$C$7,G3671)),Assumptions!$D$7,"Other Services"))),"Other Services"))</f>
        <v/>
      </c>
    </row>
    <row r="3672" customFormat="false" ht="15" hidden="false" customHeight="false" outlineLevel="0" collapsed="false">
      <c r="F3672" s="41" t="str">
        <f aca="false">IF(E3672="","",IFERROR(VLOOKUP(E3672,Assumptions!$G$5:$H$16,2,0),"Other"))</f>
        <v/>
      </c>
      <c r="J3672" s="41" t="str">
        <f aca="false">IF(G3672="","",IFERROR(IF(ISNUMBER(SEARCH(Assumptions!$C$5,G3672)),Assumptions!$D$5,IF(ISNUMBER(SEARCH(Assumptions!$C$6,G3672)),Assumptions!$D$6,IF(ISNUMBER(SEARCH(Assumptions!$C$7,G3672)),Assumptions!$D$7,"Other Services"))),"Other Services"))</f>
        <v/>
      </c>
    </row>
    <row r="3673" customFormat="false" ht="15" hidden="false" customHeight="false" outlineLevel="0" collapsed="false">
      <c r="F3673" s="41" t="str">
        <f aca="false">IF(E3673="","",IFERROR(VLOOKUP(E3673,Assumptions!$G$5:$H$16,2,0),"Other"))</f>
        <v/>
      </c>
      <c r="J3673" s="41" t="str">
        <f aca="false">IF(G3673="","",IFERROR(IF(ISNUMBER(SEARCH(Assumptions!$C$5,G3673)),Assumptions!$D$5,IF(ISNUMBER(SEARCH(Assumptions!$C$6,G3673)),Assumptions!$D$6,IF(ISNUMBER(SEARCH(Assumptions!$C$7,G3673)),Assumptions!$D$7,"Other Services"))),"Other Services"))</f>
        <v/>
      </c>
    </row>
    <row r="3674" customFormat="false" ht="15" hidden="false" customHeight="false" outlineLevel="0" collapsed="false">
      <c r="F3674" s="41" t="str">
        <f aca="false">IF(E3674="","",IFERROR(VLOOKUP(E3674,Assumptions!$G$5:$H$16,2,0),"Other"))</f>
        <v/>
      </c>
      <c r="J3674" s="41" t="str">
        <f aca="false">IF(G3674="","",IFERROR(IF(ISNUMBER(SEARCH(Assumptions!$C$5,G3674)),Assumptions!$D$5,IF(ISNUMBER(SEARCH(Assumptions!$C$6,G3674)),Assumptions!$D$6,IF(ISNUMBER(SEARCH(Assumptions!$C$7,G3674)),Assumptions!$D$7,"Other Services"))),"Other Services"))</f>
        <v/>
      </c>
    </row>
    <row r="3675" customFormat="false" ht="15" hidden="false" customHeight="false" outlineLevel="0" collapsed="false">
      <c r="F3675" s="41" t="str">
        <f aca="false">IF(E3675="","",IFERROR(VLOOKUP(E3675,Assumptions!$G$5:$H$16,2,0),"Other"))</f>
        <v/>
      </c>
      <c r="J3675" s="41" t="str">
        <f aca="false">IF(G3675="","",IFERROR(IF(ISNUMBER(SEARCH(Assumptions!$C$5,G3675)),Assumptions!$D$5,IF(ISNUMBER(SEARCH(Assumptions!$C$6,G3675)),Assumptions!$D$6,IF(ISNUMBER(SEARCH(Assumptions!$C$7,G3675)),Assumptions!$D$7,"Other Services"))),"Other Services"))</f>
        <v/>
      </c>
    </row>
    <row r="3676" customFormat="false" ht="15" hidden="false" customHeight="false" outlineLevel="0" collapsed="false">
      <c r="F3676" s="41" t="str">
        <f aca="false">IF(E3676="","",IFERROR(VLOOKUP(E3676,Assumptions!$G$5:$H$16,2,0),"Other"))</f>
        <v/>
      </c>
      <c r="J3676" s="41" t="str">
        <f aca="false">IF(G3676="","",IFERROR(IF(ISNUMBER(SEARCH(Assumptions!$C$5,G3676)),Assumptions!$D$5,IF(ISNUMBER(SEARCH(Assumptions!$C$6,G3676)),Assumptions!$D$6,IF(ISNUMBER(SEARCH(Assumptions!$C$7,G3676)),Assumptions!$D$7,"Other Services"))),"Other Services"))</f>
        <v/>
      </c>
    </row>
    <row r="3677" customFormat="false" ht="15" hidden="false" customHeight="false" outlineLevel="0" collapsed="false">
      <c r="F3677" s="41" t="str">
        <f aca="false">IF(E3677="","",IFERROR(VLOOKUP(E3677,Assumptions!$G$5:$H$16,2,0),"Other"))</f>
        <v/>
      </c>
      <c r="J3677" s="41" t="str">
        <f aca="false">IF(G3677="","",IFERROR(IF(ISNUMBER(SEARCH(Assumptions!$C$5,G3677)),Assumptions!$D$5,IF(ISNUMBER(SEARCH(Assumptions!$C$6,G3677)),Assumptions!$D$6,IF(ISNUMBER(SEARCH(Assumptions!$C$7,G3677)),Assumptions!$D$7,"Other Services"))),"Other Services"))</f>
        <v/>
      </c>
    </row>
    <row r="3678" customFormat="false" ht="15" hidden="false" customHeight="false" outlineLevel="0" collapsed="false">
      <c r="F3678" s="41" t="str">
        <f aca="false">IF(E3678="","",IFERROR(VLOOKUP(E3678,Assumptions!$G$5:$H$16,2,0),"Other"))</f>
        <v/>
      </c>
      <c r="J3678" s="41" t="str">
        <f aca="false">IF(G3678="","",IFERROR(IF(ISNUMBER(SEARCH(Assumptions!$C$5,G3678)),Assumptions!$D$5,IF(ISNUMBER(SEARCH(Assumptions!$C$6,G3678)),Assumptions!$D$6,IF(ISNUMBER(SEARCH(Assumptions!$C$7,G3678)),Assumptions!$D$7,"Other Services"))),"Other Services"))</f>
        <v/>
      </c>
    </row>
    <row r="3679" customFormat="false" ht="15" hidden="false" customHeight="false" outlineLevel="0" collapsed="false">
      <c r="F3679" s="41" t="str">
        <f aca="false">IF(E3679="","",IFERROR(VLOOKUP(E3679,Assumptions!$G$5:$H$16,2,0),"Other"))</f>
        <v/>
      </c>
      <c r="J3679" s="41" t="str">
        <f aca="false">IF(G3679="","",IFERROR(IF(ISNUMBER(SEARCH(Assumptions!$C$5,G3679)),Assumptions!$D$5,IF(ISNUMBER(SEARCH(Assumptions!$C$6,G3679)),Assumptions!$D$6,IF(ISNUMBER(SEARCH(Assumptions!$C$7,G3679)),Assumptions!$D$7,"Other Services"))),"Other Services"))</f>
        <v/>
      </c>
    </row>
    <row r="3680" customFormat="false" ht="15" hidden="false" customHeight="false" outlineLevel="0" collapsed="false">
      <c r="F3680" s="41" t="str">
        <f aca="false">IF(E3680="","",IFERROR(VLOOKUP(E3680,Assumptions!$G$5:$H$16,2,0),"Other"))</f>
        <v/>
      </c>
      <c r="J3680" s="41" t="str">
        <f aca="false">IF(G3680="","",IFERROR(IF(ISNUMBER(SEARCH(Assumptions!$C$5,G3680)),Assumptions!$D$5,IF(ISNUMBER(SEARCH(Assumptions!$C$6,G3680)),Assumptions!$D$6,IF(ISNUMBER(SEARCH(Assumptions!$C$7,G3680)),Assumptions!$D$7,"Other Services"))),"Other Services"))</f>
        <v/>
      </c>
    </row>
    <row r="3681" customFormat="false" ht="15" hidden="false" customHeight="false" outlineLevel="0" collapsed="false">
      <c r="F3681" s="41" t="str">
        <f aca="false">IF(E3681="","",IFERROR(VLOOKUP(E3681,Assumptions!$G$5:$H$16,2,0),"Other"))</f>
        <v/>
      </c>
      <c r="J3681" s="41" t="str">
        <f aca="false">IF(G3681="","",IFERROR(IF(ISNUMBER(SEARCH(Assumptions!$C$5,G3681)),Assumptions!$D$5,IF(ISNUMBER(SEARCH(Assumptions!$C$6,G3681)),Assumptions!$D$6,IF(ISNUMBER(SEARCH(Assumptions!$C$7,G3681)),Assumptions!$D$7,"Other Services"))),"Other Services"))</f>
        <v/>
      </c>
    </row>
    <row r="3682" customFormat="false" ht="15" hidden="false" customHeight="false" outlineLevel="0" collapsed="false">
      <c r="F3682" s="41" t="str">
        <f aca="false">IF(E3682="","",IFERROR(VLOOKUP(E3682,Assumptions!$G$5:$H$16,2,0),"Other"))</f>
        <v/>
      </c>
      <c r="J3682" s="41" t="str">
        <f aca="false">IF(G3682="","",IFERROR(IF(ISNUMBER(SEARCH(Assumptions!$C$5,G3682)),Assumptions!$D$5,IF(ISNUMBER(SEARCH(Assumptions!$C$6,G3682)),Assumptions!$D$6,IF(ISNUMBER(SEARCH(Assumptions!$C$7,G3682)),Assumptions!$D$7,"Other Services"))),"Other Services"))</f>
        <v/>
      </c>
    </row>
    <row r="3683" customFormat="false" ht="15" hidden="false" customHeight="false" outlineLevel="0" collapsed="false">
      <c r="F3683" s="41" t="str">
        <f aca="false">IF(E3683="","",IFERROR(VLOOKUP(E3683,Assumptions!$G$5:$H$16,2,0),"Other"))</f>
        <v/>
      </c>
      <c r="J3683" s="41" t="str">
        <f aca="false">IF(G3683="","",IFERROR(IF(ISNUMBER(SEARCH(Assumptions!$C$5,G3683)),Assumptions!$D$5,IF(ISNUMBER(SEARCH(Assumptions!$C$6,G3683)),Assumptions!$D$6,IF(ISNUMBER(SEARCH(Assumptions!$C$7,G3683)),Assumptions!$D$7,"Other Services"))),"Other Services"))</f>
        <v/>
      </c>
    </row>
    <row r="3684" customFormat="false" ht="15" hidden="false" customHeight="false" outlineLevel="0" collapsed="false">
      <c r="F3684" s="41" t="str">
        <f aca="false">IF(E3684="","",IFERROR(VLOOKUP(E3684,Assumptions!$G$5:$H$16,2,0),"Other"))</f>
        <v/>
      </c>
      <c r="J3684" s="41" t="str">
        <f aca="false">IF(G3684="","",IFERROR(IF(ISNUMBER(SEARCH(Assumptions!$C$5,G3684)),Assumptions!$D$5,IF(ISNUMBER(SEARCH(Assumptions!$C$6,G3684)),Assumptions!$D$6,IF(ISNUMBER(SEARCH(Assumptions!$C$7,G3684)),Assumptions!$D$7,"Other Services"))),"Other Services"))</f>
        <v/>
      </c>
    </row>
    <row r="3685" customFormat="false" ht="15" hidden="false" customHeight="false" outlineLevel="0" collapsed="false">
      <c r="F3685" s="41" t="str">
        <f aca="false">IF(E3685="","",IFERROR(VLOOKUP(E3685,Assumptions!$G$5:$H$16,2,0),"Other"))</f>
        <v/>
      </c>
      <c r="J3685" s="41" t="str">
        <f aca="false">IF(G3685="","",IFERROR(IF(ISNUMBER(SEARCH(Assumptions!$C$5,G3685)),Assumptions!$D$5,IF(ISNUMBER(SEARCH(Assumptions!$C$6,G3685)),Assumptions!$D$6,IF(ISNUMBER(SEARCH(Assumptions!$C$7,G3685)),Assumptions!$D$7,"Other Services"))),"Other Services"))</f>
        <v/>
      </c>
    </row>
    <row r="3686" customFormat="false" ht="15" hidden="false" customHeight="false" outlineLevel="0" collapsed="false">
      <c r="F3686" s="41" t="str">
        <f aca="false">IF(E3686="","",IFERROR(VLOOKUP(E3686,Assumptions!$G$5:$H$16,2,0),"Other"))</f>
        <v/>
      </c>
      <c r="J3686" s="41" t="str">
        <f aca="false">IF(G3686="","",IFERROR(IF(ISNUMBER(SEARCH(Assumptions!$C$5,G3686)),Assumptions!$D$5,IF(ISNUMBER(SEARCH(Assumptions!$C$6,G3686)),Assumptions!$D$6,IF(ISNUMBER(SEARCH(Assumptions!$C$7,G3686)),Assumptions!$D$7,"Other Services"))),"Other Services"))</f>
        <v/>
      </c>
    </row>
    <row r="3687" customFormat="false" ht="15" hidden="false" customHeight="false" outlineLevel="0" collapsed="false">
      <c r="F3687" s="41" t="str">
        <f aca="false">IF(E3687="","",IFERROR(VLOOKUP(E3687,Assumptions!$G$5:$H$16,2,0),"Other"))</f>
        <v/>
      </c>
      <c r="J3687" s="41" t="str">
        <f aca="false">IF(G3687="","",IFERROR(IF(ISNUMBER(SEARCH(Assumptions!$C$5,G3687)),Assumptions!$D$5,IF(ISNUMBER(SEARCH(Assumptions!$C$6,G3687)),Assumptions!$D$6,IF(ISNUMBER(SEARCH(Assumptions!$C$7,G3687)),Assumptions!$D$7,"Other Services"))),"Other Services"))</f>
        <v/>
      </c>
    </row>
    <row r="3688" customFormat="false" ht="15" hidden="false" customHeight="false" outlineLevel="0" collapsed="false">
      <c r="F3688" s="41" t="str">
        <f aca="false">IF(E3688="","",IFERROR(VLOOKUP(E3688,Assumptions!$G$5:$H$16,2,0),"Other"))</f>
        <v/>
      </c>
      <c r="J3688" s="41" t="str">
        <f aca="false">IF(G3688="","",IFERROR(IF(ISNUMBER(SEARCH(Assumptions!$C$5,G3688)),Assumptions!$D$5,IF(ISNUMBER(SEARCH(Assumptions!$C$6,G3688)),Assumptions!$D$6,IF(ISNUMBER(SEARCH(Assumptions!$C$7,G3688)),Assumptions!$D$7,"Other Services"))),"Other Services"))</f>
        <v/>
      </c>
    </row>
    <row r="3689" customFormat="false" ht="15" hidden="false" customHeight="false" outlineLevel="0" collapsed="false">
      <c r="F3689" s="41" t="str">
        <f aca="false">IF(E3689="","",IFERROR(VLOOKUP(E3689,Assumptions!$G$5:$H$16,2,0),"Other"))</f>
        <v/>
      </c>
      <c r="J3689" s="41" t="str">
        <f aca="false">IF(G3689="","",IFERROR(IF(ISNUMBER(SEARCH(Assumptions!$C$5,G3689)),Assumptions!$D$5,IF(ISNUMBER(SEARCH(Assumptions!$C$6,G3689)),Assumptions!$D$6,IF(ISNUMBER(SEARCH(Assumptions!$C$7,G3689)),Assumptions!$D$7,"Other Services"))),"Other Services"))</f>
        <v/>
      </c>
    </row>
    <row r="3690" customFormat="false" ht="15" hidden="false" customHeight="false" outlineLevel="0" collapsed="false">
      <c r="F3690" s="41" t="str">
        <f aca="false">IF(E3690="","",IFERROR(VLOOKUP(E3690,Assumptions!$G$5:$H$16,2,0),"Other"))</f>
        <v/>
      </c>
      <c r="J3690" s="41" t="str">
        <f aca="false">IF(G3690="","",IFERROR(IF(ISNUMBER(SEARCH(Assumptions!$C$5,G3690)),Assumptions!$D$5,IF(ISNUMBER(SEARCH(Assumptions!$C$6,G3690)),Assumptions!$D$6,IF(ISNUMBER(SEARCH(Assumptions!$C$7,G3690)),Assumptions!$D$7,"Other Services"))),"Other Services"))</f>
        <v/>
      </c>
    </row>
    <row r="3691" customFormat="false" ht="15" hidden="false" customHeight="false" outlineLevel="0" collapsed="false">
      <c r="F3691" s="41" t="str">
        <f aca="false">IF(E3691="","",IFERROR(VLOOKUP(E3691,Assumptions!$G$5:$H$16,2,0),"Other"))</f>
        <v/>
      </c>
      <c r="J3691" s="41" t="str">
        <f aca="false">IF(G3691="","",IFERROR(IF(ISNUMBER(SEARCH(Assumptions!$C$5,G3691)),Assumptions!$D$5,IF(ISNUMBER(SEARCH(Assumptions!$C$6,G3691)),Assumptions!$D$6,IF(ISNUMBER(SEARCH(Assumptions!$C$7,G3691)),Assumptions!$D$7,"Other Services"))),"Other Services"))</f>
        <v/>
      </c>
    </row>
    <row r="3692" customFormat="false" ht="15" hidden="false" customHeight="false" outlineLevel="0" collapsed="false">
      <c r="F3692" s="41" t="str">
        <f aca="false">IF(E3692="","",IFERROR(VLOOKUP(E3692,Assumptions!$G$5:$H$16,2,0),"Other"))</f>
        <v/>
      </c>
      <c r="J3692" s="41" t="str">
        <f aca="false">IF(G3692="","",IFERROR(IF(ISNUMBER(SEARCH(Assumptions!$C$5,G3692)),Assumptions!$D$5,IF(ISNUMBER(SEARCH(Assumptions!$C$6,G3692)),Assumptions!$D$6,IF(ISNUMBER(SEARCH(Assumptions!$C$7,G3692)),Assumptions!$D$7,"Other Services"))),"Other Services"))</f>
        <v/>
      </c>
    </row>
    <row r="3693" customFormat="false" ht="15" hidden="false" customHeight="false" outlineLevel="0" collapsed="false">
      <c r="F3693" s="41" t="str">
        <f aca="false">IF(E3693="","",IFERROR(VLOOKUP(E3693,Assumptions!$G$5:$H$16,2,0),"Other"))</f>
        <v/>
      </c>
      <c r="J3693" s="41" t="str">
        <f aca="false">IF(G3693="","",IFERROR(IF(ISNUMBER(SEARCH(Assumptions!$C$5,G3693)),Assumptions!$D$5,IF(ISNUMBER(SEARCH(Assumptions!$C$6,G3693)),Assumptions!$D$6,IF(ISNUMBER(SEARCH(Assumptions!$C$7,G3693)),Assumptions!$D$7,"Other Services"))),"Other Services"))</f>
        <v/>
      </c>
    </row>
    <row r="3694" customFormat="false" ht="15" hidden="false" customHeight="false" outlineLevel="0" collapsed="false">
      <c r="F3694" s="41" t="str">
        <f aca="false">IF(E3694="","",IFERROR(VLOOKUP(E3694,Assumptions!$G$5:$H$16,2,0),"Other"))</f>
        <v/>
      </c>
      <c r="J3694" s="41" t="str">
        <f aca="false">IF(G3694="","",IFERROR(IF(ISNUMBER(SEARCH(Assumptions!$C$5,G3694)),Assumptions!$D$5,IF(ISNUMBER(SEARCH(Assumptions!$C$6,G3694)),Assumptions!$D$6,IF(ISNUMBER(SEARCH(Assumptions!$C$7,G3694)),Assumptions!$D$7,"Other Services"))),"Other Services"))</f>
        <v/>
      </c>
    </row>
    <row r="3695" customFormat="false" ht="15" hidden="false" customHeight="false" outlineLevel="0" collapsed="false">
      <c r="F3695" s="41" t="str">
        <f aca="false">IF(E3695="","",IFERROR(VLOOKUP(E3695,Assumptions!$G$5:$H$16,2,0),"Other"))</f>
        <v/>
      </c>
      <c r="J3695" s="41" t="str">
        <f aca="false">IF(G3695="","",IFERROR(IF(ISNUMBER(SEARCH(Assumptions!$C$5,G3695)),Assumptions!$D$5,IF(ISNUMBER(SEARCH(Assumptions!$C$6,G3695)),Assumptions!$D$6,IF(ISNUMBER(SEARCH(Assumptions!$C$7,G3695)),Assumptions!$D$7,"Other Services"))),"Other Services"))</f>
        <v/>
      </c>
    </row>
    <row r="3696" customFormat="false" ht="15" hidden="false" customHeight="false" outlineLevel="0" collapsed="false">
      <c r="F3696" s="41" t="str">
        <f aca="false">IF(E3696="","",IFERROR(VLOOKUP(E3696,Assumptions!$G$5:$H$16,2,0),"Other"))</f>
        <v/>
      </c>
      <c r="J3696" s="41" t="str">
        <f aca="false">IF(G3696="","",IFERROR(IF(ISNUMBER(SEARCH(Assumptions!$C$5,G3696)),Assumptions!$D$5,IF(ISNUMBER(SEARCH(Assumptions!$C$6,G3696)),Assumptions!$D$6,IF(ISNUMBER(SEARCH(Assumptions!$C$7,G3696)),Assumptions!$D$7,"Other Services"))),"Other Services"))</f>
        <v/>
      </c>
    </row>
    <row r="3697" customFormat="false" ht="15" hidden="false" customHeight="false" outlineLevel="0" collapsed="false">
      <c r="F3697" s="41" t="str">
        <f aca="false">IF(E3697="","",IFERROR(VLOOKUP(E3697,Assumptions!$G$5:$H$16,2,0),"Other"))</f>
        <v/>
      </c>
      <c r="J3697" s="41" t="str">
        <f aca="false">IF(G3697="","",IFERROR(IF(ISNUMBER(SEARCH(Assumptions!$C$5,G3697)),Assumptions!$D$5,IF(ISNUMBER(SEARCH(Assumptions!$C$6,G3697)),Assumptions!$D$6,IF(ISNUMBER(SEARCH(Assumptions!$C$7,G3697)),Assumptions!$D$7,"Other Services"))),"Other Services"))</f>
        <v/>
      </c>
    </row>
    <row r="3698" customFormat="false" ht="15" hidden="false" customHeight="false" outlineLevel="0" collapsed="false">
      <c r="F3698" s="41" t="str">
        <f aca="false">IF(E3698="","",IFERROR(VLOOKUP(E3698,Assumptions!$G$5:$H$16,2,0),"Other"))</f>
        <v/>
      </c>
      <c r="J3698" s="41" t="str">
        <f aca="false">IF(G3698="","",IFERROR(IF(ISNUMBER(SEARCH(Assumptions!$C$5,G3698)),Assumptions!$D$5,IF(ISNUMBER(SEARCH(Assumptions!$C$6,G3698)),Assumptions!$D$6,IF(ISNUMBER(SEARCH(Assumptions!$C$7,G3698)),Assumptions!$D$7,"Other Services"))),"Other Services"))</f>
        <v/>
      </c>
    </row>
    <row r="3699" customFormat="false" ht="15" hidden="false" customHeight="false" outlineLevel="0" collapsed="false">
      <c r="F3699" s="41" t="str">
        <f aca="false">IF(E3699="","",IFERROR(VLOOKUP(E3699,Assumptions!$G$5:$H$16,2,0),"Other"))</f>
        <v/>
      </c>
      <c r="J3699" s="41" t="str">
        <f aca="false">IF(G3699="","",IFERROR(IF(ISNUMBER(SEARCH(Assumptions!$C$5,G3699)),Assumptions!$D$5,IF(ISNUMBER(SEARCH(Assumptions!$C$6,G3699)),Assumptions!$D$6,IF(ISNUMBER(SEARCH(Assumptions!$C$7,G3699)),Assumptions!$D$7,"Other Services"))),"Other Services"))</f>
        <v/>
      </c>
    </row>
    <row r="3700" customFormat="false" ht="15" hidden="false" customHeight="false" outlineLevel="0" collapsed="false">
      <c r="F3700" s="41" t="str">
        <f aca="false">IF(E3700="","",IFERROR(VLOOKUP(E3700,Assumptions!$G$5:$H$16,2,0),"Other"))</f>
        <v/>
      </c>
      <c r="J3700" s="41" t="str">
        <f aca="false">IF(G3700="","",IFERROR(IF(ISNUMBER(SEARCH(Assumptions!$C$5,G3700)),Assumptions!$D$5,IF(ISNUMBER(SEARCH(Assumptions!$C$6,G3700)),Assumptions!$D$6,IF(ISNUMBER(SEARCH(Assumptions!$C$7,G3700)),Assumptions!$D$7,"Other Services"))),"Other Services"))</f>
        <v/>
      </c>
    </row>
    <row r="3701" customFormat="false" ht="15" hidden="false" customHeight="false" outlineLevel="0" collapsed="false">
      <c r="F3701" s="41" t="str">
        <f aca="false">IF(E3701="","",IFERROR(VLOOKUP(E3701,Assumptions!$G$5:$H$16,2,0),"Other"))</f>
        <v/>
      </c>
      <c r="J3701" s="41" t="str">
        <f aca="false">IF(G3701="","",IFERROR(IF(ISNUMBER(SEARCH(Assumptions!$C$5,G3701)),Assumptions!$D$5,IF(ISNUMBER(SEARCH(Assumptions!$C$6,G3701)),Assumptions!$D$6,IF(ISNUMBER(SEARCH(Assumptions!$C$7,G3701)),Assumptions!$D$7,"Other Services"))),"Other Services"))</f>
        <v/>
      </c>
    </row>
    <row r="3702" customFormat="false" ht="15" hidden="false" customHeight="false" outlineLevel="0" collapsed="false">
      <c r="F3702" s="41" t="str">
        <f aca="false">IF(E3702="","",IFERROR(VLOOKUP(E3702,Assumptions!$G$5:$H$16,2,0),"Other"))</f>
        <v/>
      </c>
      <c r="J3702" s="41" t="str">
        <f aca="false">IF(G3702="","",IFERROR(IF(ISNUMBER(SEARCH(Assumptions!$C$5,G3702)),Assumptions!$D$5,IF(ISNUMBER(SEARCH(Assumptions!$C$6,G3702)),Assumptions!$D$6,IF(ISNUMBER(SEARCH(Assumptions!$C$7,G3702)),Assumptions!$D$7,"Other Services"))),"Other Services"))</f>
        <v/>
      </c>
    </row>
    <row r="3703" customFormat="false" ht="15" hidden="false" customHeight="false" outlineLevel="0" collapsed="false">
      <c r="F3703" s="41" t="str">
        <f aca="false">IF(E3703="","",IFERROR(VLOOKUP(E3703,Assumptions!$G$5:$H$16,2,0),"Other"))</f>
        <v/>
      </c>
      <c r="J3703" s="41" t="str">
        <f aca="false">IF(G3703="","",IFERROR(IF(ISNUMBER(SEARCH(Assumptions!$C$5,G3703)),Assumptions!$D$5,IF(ISNUMBER(SEARCH(Assumptions!$C$6,G3703)),Assumptions!$D$6,IF(ISNUMBER(SEARCH(Assumptions!$C$7,G3703)),Assumptions!$D$7,"Other Services"))),"Other Services"))</f>
        <v/>
      </c>
    </row>
    <row r="3704" customFormat="false" ht="15" hidden="false" customHeight="false" outlineLevel="0" collapsed="false">
      <c r="F3704" s="41" t="str">
        <f aca="false">IF(E3704="","",IFERROR(VLOOKUP(E3704,Assumptions!$G$5:$H$16,2,0),"Other"))</f>
        <v/>
      </c>
      <c r="J3704" s="41" t="str">
        <f aca="false">IF(G3704="","",IFERROR(IF(ISNUMBER(SEARCH(Assumptions!$C$5,G3704)),Assumptions!$D$5,IF(ISNUMBER(SEARCH(Assumptions!$C$6,G3704)),Assumptions!$D$6,IF(ISNUMBER(SEARCH(Assumptions!$C$7,G3704)),Assumptions!$D$7,"Other Services"))),"Other Services"))</f>
        <v/>
      </c>
    </row>
    <row r="3705" customFormat="false" ht="15" hidden="false" customHeight="false" outlineLevel="0" collapsed="false">
      <c r="F3705" s="41" t="str">
        <f aca="false">IF(E3705="","",IFERROR(VLOOKUP(E3705,Assumptions!$G$5:$H$16,2,0),"Other"))</f>
        <v/>
      </c>
      <c r="J3705" s="41" t="str">
        <f aca="false">IF(G3705="","",IFERROR(IF(ISNUMBER(SEARCH(Assumptions!$C$5,G3705)),Assumptions!$D$5,IF(ISNUMBER(SEARCH(Assumptions!$C$6,G3705)),Assumptions!$D$6,IF(ISNUMBER(SEARCH(Assumptions!$C$7,G3705)),Assumptions!$D$7,"Other Services"))),"Other Services"))</f>
        <v/>
      </c>
    </row>
    <row r="3706" customFormat="false" ht="15" hidden="false" customHeight="false" outlineLevel="0" collapsed="false">
      <c r="F3706" s="41" t="str">
        <f aca="false">IF(E3706="","",IFERROR(VLOOKUP(E3706,Assumptions!$G$5:$H$16,2,0),"Other"))</f>
        <v/>
      </c>
      <c r="J3706" s="41" t="str">
        <f aca="false">IF(G3706="","",IFERROR(IF(ISNUMBER(SEARCH(Assumptions!$C$5,G3706)),Assumptions!$D$5,IF(ISNUMBER(SEARCH(Assumptions!$C$6,G3706)),Assumptions!$D$6,IF(ISNUMBER(SEARCH(Assumptions!$C$7,G3706)),Assumptions!$D$7,"Other Services"))),"Other Services"))</f>
        <v/>
      </c>
    </row>
    <row r="3707" customFormat="false" ht="15" hidden="false" customHeight="false" outlineLevel="0" collapsed="false">
      <c r="F3707" s="41" t="str">
        <f aca="false">IF(E3707="","",IFERROR(VLOOKUP(E3707,Assumptions!$G$5:$H$16,2,0),"Other"))</f>
        <v/>
      </c>
      <c r="J3707" s="41" t="str">
        <f aca="false">IF(G3707="","",IFERROR(IF(ISNUMBER(SEARCH(Assumptions!$C$5,G3707)),Assumptions!$D$5,IF(ISNUMBER(SEARCH(Assumptions!$C$6,G3707)),Assumptions!$D$6,IF(ISNUMBER(SEARCH(Assumptions!$C$7,G3707)),Assumptions!$D$7,"Other Services"))),"Other Services"))</f>
        <v/>
      </c>
    </row>
    <row r="3708" customFormat="false" ht="15" hidden="false" customHeight="false" outlineLevel="0" collapsed="false">
      <c r="F3708" s="41" t="str">
        <f aca="false">IF(E3708="","",IFERROR(VLOOKUP(E3708,Assumptions!$G$5:$H$16,2,0),"Other"))</f>
        <v/>
      </c>
      <c r="J3708" s="41" t="str">
        <f aca="false">IF(G3708="","",IFERROR(IF(ISNUMBER(SEARCH(Assumptions!$C$5,G3708)),Assumptions!$D$5,IF(ISNUMBER(SEARCH(Assumptions!$C$6,G3708)),Assumptions!$D$6,IF(ISNUMBER(SEARCH(Assumptions!$C$7,G3708)),Assumptions!$D$7,"Other Services"))),"Other Services"))</f>
        <v/>
      </c>
    </row>
    <row r="3709" customFormat="false" ht="15" hidden="false" customHeight="false" outlineLevel="0" collapsed="false">
      <c r="F3709" s="41" t="str">
        <f aca="false">IF(E3709="","",IFERROR(VLOOKUP(E3709,Assumptions!$G$5:$H$16,2,0),"Other"))</f>
        <v/>
      </c>
      <c r="J3709" s="41" t="str">
        <f aca="false">IF(G3709="","",IFERROR(IF(ISNUMBER(SEARCH(Assumptions!$C$5,G3709)),Assumptions!$D$5,IF(ISNUMBER(SEARCH(Assumptions!$C$6,G3709)),Assumptions!$D$6,IF(ISNUMBER(SEARCH(Assumptions!$C$7,G3709)),Assumptions!$D$7,"Other Services"))),"Other Services"))</f>
        <v/>
      </c>
    </row>
    <row r="3710" customFormat="false" ht="15" hidden="false" customHeight="false" outlineLevel="0" collapsed="false">
      <c r="F3710" s="41" t="str">
        <f aca="false">IF(E3710="","",IFERROR(VLOOKUP(E3710,Assumptions!$G$5:$H$16,2,0),"Other"))</f>
        <v/>
      </c>
      <c r="J3710" s="41" t="str">
        <f aca="false">IF(G3710="","",IFERROR(IF(ISNUMBER(SEARCH(Assumptions!$C$5,G3710)),Assumptions!$D$5,IF(ISNUMBER(SEARCH(Assumptions!$C$6,G3710)),Assumptions!$D$6,IF(ISNUMBER(SEARCH(Assumptions!$C$7,G3710)),Assumptions!$D$7,"Other Services"))),"Other Services"))</f>
        <v/>
      </c>
    </row>
    <row r="3711" customFormat="false" ht="15" hidden="false" customHeight="false" outlineLevel="0" collapsed="false">
      <c r="F3711" s="41" t="str">
        <f aca="false">IF(E3711="","",IFERROR(VLOOKUP(E3711,Assumptions!$G$5:$H$16,2,0),"Other"))</f>
        <v/>
      </c>
      <c r="J3711" s="41" t="str">
        <f aca="false">IF(G3711="","",IFERROR(IF(ISNUMBER(SEARCH(Assumptions!$C$5,G3711)),Assumptions!$D$5,IF(ISNUMBER(SEARCH(Assumptions!$C$6,G3711)),Assumptions!$D$6,IF(ISNUMBER(SEARCH(Assumptions!$C$7,G3711)),Assumptions!$D$7,"Other Services"))),"Other Services"))</f>
        <v/>
      </c>
    </row>
    <row r="3712" customFormat="false" ht="15" hidden="false" customHeight="false" outlineLevel="0" collapsed="false">
      <c r="F3712" s="41" t="str">
        <f aca="false">IF(E3712="","",IFERROR(VLOOKUP(E3712,Assumptions!$G$5:$H$16,2,0),"Other"))</f>
        <v/>
      </c>
      <c r="J3712" s="41" t="str">
        <f aca="false">IF(G3712="","",IFERROR(IF(ISNUMBER(SEARCH(Assumptions!$C$5,G3712)),Assumptions!$D$5,IF(ISNUMBER(SEARCH(Assumptions!$C$6,G3712)),Assumptions!$D$6,IF(ISNUMBER(SEARCH(Assumptions!$C$7,G3712)),Assumptions!$D$7,"Other Services"))),"Other Services"))</f>
        <v/>
      </c>
    </row>
    <row r="3713" customFormat="false" ht="15" hidden="false" customHeight="false" outlineLevel="0" collapsed="false">
      <c r="F3713" s="41" t="str">
        <f aca="false">IF(E3713="","",IFERROR(VLOOKUP(E3713,Assumptions!$G$5:$H$16,2,0),"Other"))</f>
        <v/>
      </c>
      <c r="J3713" s="41" t="str">
        <f aca="false">IF(G3713="","",IFERROR(IF(ISNUMBER(SEARCH(Assumptions!$C$5,G3713)),Assumptions!$D$5,IF(ISNUMBER(SEARCH(Assumptions!$C$6,G3713)),Assumptions!$D$6,IF(ISNUMBER(SEARCH(Assumptions!$C$7,G3713)),Assumptions!$D$7,"Other Services"))),"Other Services"))</f>
        <v/>
      </c>
    </row>
    <row r="3714" customFormat="false" ht="15" hidden="false" customHeight="false" outlineLevel="0" collapsed="false">
      <c r="F3714" s="41" t="str">
        <f aca="false">IF(E3714="","",IFERROR(VLOOKUP(E3714,Assumptions!$G$5:$H$16,2,0),"Other"))</f>
        <v/>
      </c>
      <c r="J3714" s="41" t="str">
        <f aca="false">IF(G3714="","",IFERROR(IF(ISNUMBER(SEARCH(Assumptions!$C$5,G3714)),Assumptions!$D$5,IF(ISNUMBER(SEARCH(Assumptions!$C$6,G3714)),Assumptions!$D$6,IF(ISNUMBER(SEARCH(Assumptions!$C$7,G3714)),Assumptions!$D$7,"Other Services"))),"Other Services"))</f>
        <v/>
      </c>
    </row>
    <row r="3715" customFormat="false" ht="15" hidden="false" customHeight="false" outlineLevel="0" collapsed="false">
      <c r="F3715" s="41" t="str">
        <f aca="false">IF(E3715="","",IFERROR(VLOOKUP(E3715,Assumptions!$G$5:$H$16,2,0),"Other"))</f>
        <v/>
      </c>
      <c r="J3715" s="41" t="str">
        <f aca="false">IF(G3715="","",IFERROR(IF(ISNUMBER(SEARCH(Assumptions!$C$5,G3715)),Assumptions!$D$5,IF(ISNUMBER(SEARCH(Assumptions!$C$6,G3715)),Assumptions!$D$6,IF(ISNUMBER(SEARCH(Assumptions!$C$7,G3715)),Assumptions!$D$7,"Other Services"))),"Other Services"))</f>
        <v/>
      </c>
    </row>
    <row r="3716" customFormat="false" ht="15" hidden="false" customHeight="false" outlineLevel="0" collapsed="false">
      <c r="F3716" s="41" t="str">
        <f aca="false">IF(E3716="","",IFERROR(VLOOKUP(E3716,Assumptions!$G$5:$H$16,2,0),"Other"))</f>
        <v/>
      </c>
      <c r="J3716" s="41" t="str">
        <f aca="false">IF(G3716="","",IFERROR(IF(ISNUMBER(SEARCH(Assumptions!$C$5,G3716)),Assumptions!$D$5,IF(ISNUMBER(SEARCH(Assumptions!$C$6,G3716)),Assumptions!$D$6,IF(ISNUMBER(SEARCH(Assumptions!$C$7,G3716)),Assumptions!$D$7,"Other Services"))),"Other Services"))</f>
        <v/>
      </c>
    </row>
    <row r="3717" customFormat="false" ht="15" hidden="false" customHeight="false" outlineLevel="0" collapsed="false">
      <c r="F3717" s="41" t="str">
        <f aca="false">IF(E3717="","",IFERROR(VLOOKUP(E3717,Assumptions!$G$5:$H$16,2,0),"Other"))</f>
        <v/>
      </c>
      <c r="J3717" s="41" t="str">
        <f aca="false">IF(G3717="","",IFERROR(IF(ISNUMBER(SEARCH(Assumptions!$C$5,G3717)),Assumptions!$D$5,IF(ISNUMBER(SEARCH(Assumptions!$C$6,G3717)),Assumptions!$D$6,IF(ISNUMBER(SEARCH(Assumptions!$C$7,G3717)),Assumptions!$D$7,"Other Services"))),"Other Services"))</f>
        <v/>
      </c>
    </row>
    <row r="3718" customFormat="false" ht="15" hidden="false" customHeight="false" outlineLevel="0" collapsed="false">
      <c r="F3718" s="41" t="str">
        <f aca="false">IF(E3718="","",IFERROR(VLOOKUP(E3718,Assumptions!$G$5:$H$16,2,0),"Other"))</f>
        <v/>
      </c>
      <c r="J3718" s="41" t="str">
        <f aca="false">IF(G3718="","",IFERROR(IF(ISNUMBER(SEARCH(Assumptions!$C$5,G3718)),Assumptions!$D$5,IF(ISNUMBER(SEARCH(Assumptions!$C$6,G3718)),Assumptions!$D$6,IF(ISNUMBER(SEARCH(Assumptions!$C$7,G3718)),Assumptions!$D$7,"Other Services"))),"Other Services"))</f>
        <v/>
      </c>
    </row>
    <row r="3719" customFormat="false" ht="15" hidden="false" customHeight="false" outlineLevel="0" collapsed="false">
      <c r="F3719" s="41" t="str">
        <f aca="false">IF(E3719="","",IFERROR(VLOOKUP(E3719,Assumptions!$G$5:$H$16,2,0),"Other"))</f>
        <v/>
      </c>
      <c r="J3719" s="41" t="str">
        <f aca="false">IF(G3719="","",IFERROR(IF(ISNUMBER(SEARCH(Assumptions!$C$5,G3719)),Assumptions!$D$5,IF(ISNUMBER(SEARCH(Assumptions!$C$6,G3719)),Assumptions!$D$6,IF(ISNUMBER(SEARCH(Assumptions!$C$7,G3719)),Assumptions!$D$7,"Other Services"))),"Other Services"))</f>
        <v/>
      </c>
    </row>
    <row r="3720" customFormat="false" ht="15" hidden="false" customHeight="false" outlineLevel="0" collapsed="false">
      <c r="F3720" s="41" t="str">
        <f aca="false">IF(E3720="","",IFERROR(VLOOKUP(E3720,Assumptions!$G$5:$H$16,2,0),"Other"))</f>
        <v/>
      </c>
      <c r="J3720" s="41" t="str">
        <f aca="false">IF(G3720="","",IFERROR(IF(ISNUMBER(SEARCH(Assumptions!$C$5,G3720)),Assumptions!$D$5,IF(ISNUMBER(SEARCH(Assumptions!$C$6,G3720)),Assumptions!$D$6,IF(ISNUMBER(SEARCH(Assumptions!$C$7,G3720)),Assumptions!$D$7,"Other Services"))),"Other Services"))</f>
        <v/>
      </c>
    </row>
    <row r="3721" customFormat="false" ht="15" hidden="false" customHeight="false" outlineLevel="0" collapsed="false">
      <c r="F3721" s="41" t="str">
        <f aca="false">IF(E3721="","",IFERROR(VLOOKUP(E3721,Assumptions!$G$5:$H$16,2,0),"Other"))</f>
        <v/>
      </c>
      <c r="J3721" s="41" t="str">
        <f aca="false">IF(G3721="","",IFERROR(IF(ISNUMBER(SEARCH(Assumptions!$C$5,G3721)),Assumptions!$D$5,IF(ISNUMBER(SEARCH(Assumptions!$C$6,G3721)),Assumptions!$D$6,IF(ISNUMBER(SEARCH(Assumptions!$C$7,G3721)),Assumptions!$D$7,"Other Services"))),"Other Services"))</f>
        <v/>
      </c>
    </row>
    <row r="3722" customFormat="false" ht="15" hidden="false" customHeight="false" outlineLevel="0" collapsed="false">
      <c r="F3722" s="41" t="str">
        <f aca="false">IF(E3722="","",IFERROR(VLOOKUP(E3722,Assumptions!$G$5:$H$16,2,0),"Other"))</f>
        <v/>
      </c>
      <c r="J3722" s="41" t="str">
        <f aca="false">IF(G3722="","",IFERROR(IF(ISNUMBER(SEARCH(Assumptions!$C$5,G3722)),Assumptions!$D$5,IF(ISNUMBER(SEARCH(Assumptions!$C$6,G3722)),Assumptions!$D$6,IF(ISNUMBER(SEARCH(Assumptions!$C$7,G3722)),Assumptions!$D$7,"Other Services"))),"Other Services"))</f>
        <v/>
      </c>
    </row>
    <row r="3723" customFormat="false" ht="15" hidden="false" customHeight="false" outlineLevel="0" collapsed="false">
      <c r="F3723" s="41" t="str">
        <f aca="false">IF(E3723="","",IFERROR(VLOOKUP(E3723,Assumptions!$G$5:$H$16,2,0),"Other"))</f>
        <v/>
      </c>
      <c r="J3723" s="41" t="str">
        <f aca="false">IF(G3723="","",IFERROR(IF(ISNUMBER(SEARCH(Assumptions!$C$5,G3723)),Assumptions!$D$5,IF(ISNUMBER(SEARCH(Assumptions!$C$6,G3723)),Assumptions!$D$6,IF(ISNUMBER(SEARCH(Assumptions!$C$7,G3723)),Assumptions!$D$7,"Other Services"))),"Other Services"))</f>
        <v/>
      </c>
    </row>
    <row r="3724" customFormat="false" ht="15" hidden="false" customHeight="false" outlineLevel="0" collapsed="false">
      <c r="F3724" s="41" t="str">
        <f aca="false">IF(E3724="","",IFERROR(VLOOKUP(E3724,Assumptions!$G$5:$H$16,2,0),"Other"))</f>
        <v/>
      </c>
      <c r="J3724" s="41" t="str">
        <f aca="false">IF(G3724="","",IFERROR(IF(ISNUMBER(SEARCH(Assumptions!$C$5,G3724)),Assumptions!$D$5,IF(ISNUMBER(SEARCH(Assumptions!$C$6,G3724)),Assumptions!$D$6,IF(ISNUMBER(SEARCH(Assumptions!$C$7,G3724)),Assumptions!$D$7,"Other Services"))),"Other Services"))</f>
        <v/>
      </c>
    </row>
    <row r="3725" customFormat="false" ht="15" hidden="false" customHeight="false" outlineLevel="0" collapsed="false">
      <c r="F3725" s="41" t="str">
        <f aca="false">IF(E3725="","",IFERROR(VLOOKUP(E3725,Assumptions!$G$5:$H$16,2,0),"Other"))</f>
        <v/>
      </c>
      <c r="J3725" s="41" t="str">
        <f aca="false">IF(G3725="","",IFERROR(IF(ISNUMBER(SEARCH(Assumptions!$C$5,G3725)),Assumptions!$D$5,IF(ISNUMBER(SEARCH(Assumptions!$C$6,G3725)),Assumptions!$D$6,IF(ISNUMBER(SEARCH(Assumptions!$C$7,G3725)),Assumptions!$D$7,"Other Services"))),"Other Services"))</f>
        <v/>
      </c>
    </row>
    <row r="3726" customFormat="false" ht="15" hidden="false" customHeight="false" outlineLevel="0" collapsed="false">
      <c r="F3726" s="41" t="str">
        <f aca="false">IF(E3726="","",IFERROR(VLOOKUP(E3726,Assumptions!$G$5:$H$16,2,0),"Other"))</f>
        <v/>
      </c>
      <c r="J3726" s="41" t="str">
        <f aca="false">IF(G3726="","",IFERROR(IF(ISNUMBER(SEARCH(Assumptions!$C$5,G3726)),Assumptions!$D$5,IF(ISNUMBER(SEARCH(Assumptions!$C$6,G3726)),Assumptions!$D$6,IF(ISNUMBER(SEARCH(Assumptions!$C$7,G3726)),Assumptions!$D$7,"Other Services"))),"Other Services"))</f>
        <v/>
      </c>
    </row>
    <row r="3727" customFormat="false" ht="15" hidden="false" customHeight="false" outlineLevel="0" collapsed="false">
      <c r="F3727" s="41" t="str">
        <f aca="false">IF(E3727="","",IFERROR(VLOOKUP(E3727,Assumptions!$G$5:$H$16,2,0),"Other"))</f>
        <v/>
      </c>
      <c r="J3727" s="41" t="str">
        <f aca="false">IF(G3727="","",IFERROR(IF(ISNUMBER(SEARCH(Assumptions!$C$5,G3727)),Assumptions!$D$5,IF(ISNUMBER(SEARCH(Assumptions!$C$6,G3727)),Assumptions!$D$6,IF(ISNUMBER(SEARCH(Assumptions!$C$7,G3727)),Assumptions!$D$7,"Other Services"))),"Other Services"))</f>
        <v/>
      </c>
    </row>
    <row r="3728" customFormat="false" ht="15" hidden="false" customHeight="false" outlineLevel="0" collapsed="false">
      <c r="F3728" s="41" t="str">
        <f aca="false">IF(E3728="","",IFERROR(VLOOKUP(E3728,Assumptions!$G$5:$H$16,2,0),"Other"))</f>
        <v/>
      </c>
      <c r="J3728" s="41" t="str">
        <f aca="false">IF(G3728="","",IFERROR(IF(ISNUMBER(SEARCH(Assumptions!$C$5,G3728)),Assumptions!$D$5,IF(ISNUMBER(SEARCH(Assumptions!$C$6,G3728)),Assumptions!$D$6,IF(ISNUMBER(SEARCH(Assumptions!$C$7,G3728)),Assumptions!$D$7,"Other Services"))),"Other Services"))</f>
        <v/>
      </c>
    </row>
    <row r="3729" customFormat="false" ht="15" hidden="false" customHeight="false" outlineLevel="0" collapsed="false">
      <c r="F3729" s="41" t="str">
        <f aca="false">IF(E3729="","",IFERROR(VLOOKUP(E3729,Assumptions!$G$5:$H$16,2,0),"Other"))</f>
        <v/>
      </c>
      <c r="J3729" s="41" t="str">
        <f aca="false">IF(G3729="","",IFERROR(IF(ISNUMBER(SEARCH(Assumptions!$C$5,G3729)),Assumptions!$D$5,IF(ISNUMBER(SEARCH(Assumptions!$C$6,G3729)),Assumptions!$D$6,IF(ISNUMBER(SEARCH(Assumptions!$C$7,G3729)),Assumptions!$D$7,"Other Services"))),"Other Services"))</f>
        <v/>
      </c>
    </row>
    <row r="3730" customFormat="false" ht="15" hidden="false" customHeight="false" outlineLevel="0" collapsed="false">
      <c r="F3730" s="41" t="str">
        <f aca="false">IF(E3730="","",IFERROR(VLOOKUP(E3730,Assumptions!$G$5:$H$16,2,0),"Other"))</f>
        <v/>
      </c>
      <c r="J3730" s="41" t="str">
        <f aca="false">IF(G3730="","",IFERROR(IF(ISNUMBER(SEARCH(Assumptions!$C$5,G3730)),Assumptions!$D$5,IF(ISNUMBER(SEARCH(Assumptions!$C$6,G3730)),Assumptions!$D$6,IF(ISNUMBER(SEARCH(Assumptions!$C$7,G3730)),Assumptions!$D$7,"Other Services"))),"Other Services"))</f>
        <v/>
      </c>
    </row>
    <row r="3731" customFormat="false" ht="15" hidden="false" customHeight="false" outlineLevel="0" collapsed="false">
      <c r="F3731" s="41" t="str">
        <f aca="false">IF(E3731="","",IFERROR(VLOOKUP(E3731,Assumptions!$G$5:$H$16,2,0),"Other"))</f>
        <v/>
      </c>
      <c r="J3731" s="41" t="str">
        <f aca="false">IF(G3731="","",IFERROR(IF(ISNUMBER(SEARCH(Assumptions!$C$5,G3731)),Assumptions!$D$5,IF(ISNUMBER(SEARCH(Assumptions!$C$6,G3731)),Assumptions!$D$6,IF(ISNUMBER(SEARCH(Assumptions!$C$7,G3731)),Assumptions!$D$7,"Other Services"))),"Other Services"))</f>
        <v/>
      </c>
    </row>
    <row r="3732" customFormat="false" ht="15" hidden="false" customHeight="false" outlineLevel="0" collapsed="false">
      <c r="F3732" s="41" t="str">
        <f aca="false">IF(E3732="","",IFERROR(VLOOKUP(E3732,Assumptions!$G$5:$H$16,2,0),"Other"))</f>
        <v/>
      </c>
      <c r="J3732" s="41" t="str">
        <f aca="false">IF(G3732="","",IFERROR(IF(ISNUMBER(SEARCH(Assumptions!$C$5,G3732)),Assumptions!$D$5,IF(ISNUMBER(SEARCH(Assumptions!$C$6,G3732)),Assumptions!$D$6,IF(ISNUMBER(SEARCH(Assumptions!$C$7,G3732)),Assumptions!$D$7,"Other Services"))),"Other Services"))</f>
        <v/>
      </c>
    </row>
    <row r="3733" customFormat="false" ht="15" hidden="false" customHeight="false" outlineLevel="0" collapsed="false">
      <c r="F3733" s="41" t="str">
        <f aca="false">IF(E3733="","",IFERROR(VLOOKUP(E3733,Assumptions!$G$5:$H$16,2,0),"Other"))</f>
        <v/>
      </c>
      <c r="J3733" s="41" t="str">
        <f aca="false">IF(G3733="","",IFERROR(IF(ISNUMBER(SEARCH(Assumptions!$C$5,G3733)),Assumptions!$D$5,IF(ISNUMBER(SEARCH(Assumptions!$C$6,G3733)),Assumptions!$D$6,IF(ISNUMBER(SEARCH(Assumptions!$C$7,G3733)),Assumptions!$D$7,"Other Services"))),"Other Services"))</f>
        <v/>
      </c>
    </row>
    <row r="3734" customFormat="false" ht="15" hidden="false" customHeight="false" outlineLevel="0" collapsed="false">
      <c r="F3734" s="41" t="str">
        <f aca="false">IF(E3734="","",IFERROR(VLOOKUP(E3734,Assumptions!$G$5:$H$16,2,0),"Other"))</f>
        <v/>
      </c>
      <c r="J3734" s="41" t="str">
        <f aca="false">IF(G3734="","",IFERROR(IF(ISNUMBER(SEARCH(Assumptions!$C$5,G3734)),Assumptions!$D$5,IF(ISNUMBER(SEARCH(Assumptions!$C$6,G3734)),Assumptions!$D$6,IF(ISNUMBER(SEARCH(Assumptions!$C$7,G3734)),Assumptions!$D$7,"Other Services"))),"Other Services"))</f>
        <v/>
      </c>
    </row>
    <row r="3735" customFormat="false" ht="15" hidden="false" customHeight="false" outlineLevel="0" collapsed="false">
      <c r="F3735" s="41" t="str">
        <f aca="false">IF(E3735="","",IFERROR(VLOOKUP(E3735,Assumptions!$G$5:$H$16,2,0),"Other"))</f>
        <v/>
      </c>
      <c r="J3735" s="41" t="str">
        <f aca="false">IF(G3735="","",IFERROR(IF(ISNUMBER(SEARCH(Assumptions!$C$5,G3735)),Assumptions!$D$5,IF(ISNUMBER(SEARCH(Assumptions!$C$6,G3735)),Assumptions!$D$6,IF(ISNUMBER(SEARCH(Assumptions!$C$7,G3735)),Assumptions!$D$7,"Other Services"))),"Other Services"))</f>
        <v/>
      </c>
    </row>
    <row r="3736" customFormat="false" ht="15" hidden="false" customHeight="false" outlineLevel="0" collapsed="false">
      <c r="F3736" s="41" t="str">
        <f aca="false">IF(E3736="","",IFERROR(VLOOKUP(E3736,Assumptions!$G$5:$H$16,2,0),"Other"))</f>
        <v/>
      </c>
      <c r="J3736" s="41" t="str">
        <f aca="false">IF(G3736="","",IFERROR(IF(ISNUMBER(SEARCH(Assumptions!$C$5,G3736)),Assumptions!$D$5,IF(ISNUMBER(SEARCH(Assumptions!$C$6,G3736)),Assumptions!$D$6,IF(ISNUMBER(SEARCH(Assumptions!$C$7,G3736)),Assumptions!$D$7,"Other Services"))),"Other Services"))</f>
        <v/>
      </c>
    </row>
    <row r="3737" customFormat="false" ht="15" hidden="false" customHeight="false" outlineLevel="0" collapsed="false">
      <c r="F3737" s="41" t="str">
        <f aca="false">IF(E3737="","",IFERROR(VLOOKUP(E3737,Assumptions!$G$5:$H$16,2,0),"Other"))</f>
        <v/>
      </c>
      <c r="J3737" s="41" t="str">
        <f aca="false">IF(G3737="","",IFERROR(IF(ISNUMBER(SEARCH(Assumptions!$C$5,G3737)),Assumptions!$D$5,IF(ISNUMBER(SEARCH(Assumptions!$C$6,G3737)),Assumptions!$D$6,IF(ISNUMBER(SEARCH(Assumptions!$C$7,G3737)),Assumptions!$D$7,"Other Services"))),"Other Services"))</f>
        <v/>
      </c>
    </row>
    <row r="3738" customFormat="false" ht="15" hidden="false" customHeight="false" outlineLevel="0" collapsed="false">
      <c r="F3738" s="41" t="str">
        <f aca="false">IF(E3738="","",IFERROR(VLOOKUP(E3738,Assumptions!$G$5:$H$16,2,0),"Other"))</f>
        <v/>
      </c>
      <c r="J3738" s="41" t="str">
        <f aca="false">IF(G3738="","",IFERROR(IF(ISNUMBER(SEARCH(Assumptions!$C$5,G3738)),Assumptions!$D$5,IF(ISNUMBER(SEARCH(Assumptions!$C$6,G3738)),Assumptions!$D$6,IF(ISNUMBER(SEARCH(Assumptions!$C$7,G3738)),Assumptions!$D$7,"Other Services"))),"Other Services"))</f>
        <v/>
      </c>
    </row>
    <row r="3739" customFormat="false" ht="15" hidden="false" customHeight="false" outlineLevel="0" collapsed="false">
      <c r="F3739" s="41" t="str">
        <f aca="false">IF(E3739="","",IFERROR(VLOOKUP(E3739,Assumptions!$G$5:$H$16,2,0),"Other"))</f>
        <v/>
      </c>
      <c r="J3739" s="41" t="str">
        <f aca="false">IF(G3739="","",IFERROR(IF(ISNUMBER(SEARCH(Assumptions!$C$5,G3739)),Assumptions!$D$5,IF(ISNUMBER(SEARCH(Assumptions!$C$6,G3739)),Assumptions!$D$6,IF(ISNUMBER(SEARCH(Assumptions!$C$7,G3739)),Assumptions!$D$7,"Other Services"))),"Other Services"))</f>
        <v/>
      </c>
    </row>
    <row r="3740" customFormat="false" ht="15" hidden="false" customHeight="false" outlineLevel="0" collapsed="false">
      <c r="F3740" s="41" t="str">
        <f aca="false">IF(E3740="","",IFERROR(VLOOKUP(E3740,Assumptions!$G$5:$H$16,2,0),"Other"))</f>
        <v/>
      </c>
      <c r="J3740" s="41" t="str">
        <f aca="false">IF(G3740="","",IFERROR(IF(ISNUMBER(SEARCH(Assumptions!$C$5,G3740)),Assumptions!$D$5,IF(ISNUMBER(SEARCH(Assumptions!$C$6,G3740)),Assumptions!$D$6,IF(ISNUMBER(SEARCH(Assumptions!$C$7,G3740)),Assumptions!$D$7,"Other Services"))),"Other Services"))</f>
        <v/>
      </c>
    </row>
    <row r="3741" customFormat="false" ht="15" hidden="false" customHeight="false" outlineLevel="0" collapsed="false">
      <c r="F3741" s="41" t="str">
        <f aca="false">IF(E3741="","",IFERROR(VLOOKUP(E3741,Assumptions!$G$5:$H$16,2,0),"Other"))</f>
        <v/>
      </c>
      <c r="J3741" s="41" t="str">
        <f aca="false">IF(G3741="","",IFERROR(IF(ISNUMBER(SEARCH(Assumptions!$C$5,G3741)),Assumptions!$D$5,IF(ISNUMBER(SEARCH(Assumptions!$C$6,G3741)),Assumptions!$D$6,IF(ISNUMBER(SEARCH(Assumptions!$C$7,G3741)),Assumptions!$D$7,"Other Services"))),"Other Services"))</f>
        <v/>
      </c>
    </row>
    <row r="3742" customFormat="false" ht="15" hidden="false" customHeight="false" outlineLevel="0" collapsed="false">
      <c r="F3742" s="41" t="str">
        <f aca="false">IF(E3742="","",IFERROR(VLOOKUP(E3742,Assumptions!$G$5:$H$16,2,0),"Other"))</f>
        <v/>
      </c>
      <c r="J3742" s="41" t="str">
        <f aca="false">IF(G3742="","",IFERROR(IF(ISNUMBER(SEARCH(Assumptions!$C$5,G3742)),Assumptions!$D$5,IF(ISNUMBER(SEARCH(Assumptions!$C$6,G3742)),Assumptions!$D$6,IF(ISNUMBER(SEARCH(Assumptions!$C$7,G3742)),Assumptions!$D$7,"Other Services"))),"Other Services"))</f>
        <v/>
      </c>
    </row>
    <row r="3743" customFormat="false" ht="15" hidden="false" customHeight="false" outlineLevel="0" collapsed="false">
      <c r="F3743" s="41" t="str">
        <f aca="false">IF(E3743="","",IFERROR(VLOOKUP(E3743,Assumptions!$G$5:$H$16,2,0),"Other"))</f>
        <v/>
      </c>
      <c r="J3743" s="41" t="str">
        <f aca="false">IF(G3743="","",IFERROR(IF(ISNUMBER(SEARCH(Assumptions!$C$5,G3743)),Assumptions!$D$5,IF(ISNUMBER(SEARCH(Assumptions!$C$6,G3743)),Assumptions!$D$6,IF(ISNUMBER(SEARCH(Assumptions!$C$7,G3743)),Assumptions!$D$7,"Other Services"))),"Other Services"))</f>
        <v/>
      </c>
    </row>
    <row r="3744" customFormat="false" ht="15" hidden="false" customHeight="false" outlineLevel="0" collapsed="false">
      <c r="F3744" s="41" t="str">
        <f aca="false">IF(E3744="","",IFERROR(VLOOKUP(E3744,Assumptions!$G$5:$H$16,2,0),"Other"))</f>
        <v/>
      </c>
      <c r="J3744" s="41" t="str">
        <f aca="false">IF(G3744="","",IFERROR(IF(ISNUMBER(SEARCH(Assumptions!$C$5,G3744)),Assumptions!$D$5,IF(ISNUMBER(SEARCH(Assumptions!$C$6,G3744)),Assumptions!$D$6,IF(ISNUMBER(SEARCH(Assumptions!$C$7,G3744)),Assumptions!$D$7,"Other Services"))),"Other Services"))</f>
        <v/>
      </c>
    </row>
    <row r="3745" customFormat="false" ht="15" hidden="false" customHeight="false" outlineLevel="0" collapsed="false">
      <c r="F3745" s="41" t="str">
        <f aca="false">IF(E3745="","",IFERROR(VLOOKUP(E3745,Assumptions!$G$5:$H$16,2,0),"Other"))</f>
        <v/>
      </c>
      <c r="J3745" s="41" t="str">
        <f aca="false">IF(G3745="","",IFERROR(IF(ISNUMBER(SEARCH(Assumptions!$C$5,G3745)),Assumptions!$D$5,IF(ISNUMBER(SEARCH(Assumptions!$C$6,G3745)),Assumptions!$D$6,IF(ISNUMBER(SEARCH(Assumptions!$C$7,G3745)),Assumptions!$D$7,"Other Services"))),"Other Services"))</f>
        <v/>
      </c>
    </row>
    <row r="3746" customFormat="false" ht="15" hidden="false" customHeight="false" outlineLevel="0" collapsed="false">
      <c r="F3746" s="41" t="str">
        <f aca="false">IF(E3746="","",IFERROR(VLOOKUP(E3746,Assumptions!$G$5:$H$16,2,0),"Other"))</f>
        <v/>
      </c>
      <c r="J3746" s="41" t="str">
        <f aca="false">IF(G3746="","",IFERROR(IF(ISNUMBER(SEARCH(Assumptions!$C$5,G3746)),Assumptions!$D$5,IF(ISNUMBER(SEARCH(Assumptions!$C$6,G3746)),Assumptions!$D$6,IF(ISNUMBER(SEARCH(Assumptions!$C$7,G3746)),Assumptions!$D$7,"Other Services"))),"Other Services"))</f>
        <v/>
      </c>
    </row>
    <row r="3747" customFormat="false" ht="15" hidden="false" customHeight="false" outlineLevel="0" collapsed="false">
      <c r="F3747" s="41" t="str">
        <f aca="false">IF(E3747="","",IFERROR(VLOOKUP(E3747,Assumptions!$G$5:$H$16,2,0),"Other"))</f>
        <v/>
      </c>
      <c r="J3747" s="41" t="str">
        <f aca="false">IF(G3747="","",IFERROR(IF(ISNUMBER(SEARCH(Assumptions!$C$5,G3747)),Assumptions!$D$5,IF(ISNUMBER(SEARCH(Assumptions!$C$6,G3747)),Assumptions!$D$6,IF(ISNUMBER(SEARCH(Assumptions!$C$7,G3747)),Assumptions!$D$7,"Other Services"))),"Other Services"))</f>
        <v/>
      </c>
    </row>
    <row r="3748" customFormat="false" ht="15" hidden="false" customHeight="false" outlineLevel="0" collapsed="false">
      <c r="F3748" s="41" t="str">
        <f aca="false">IF(E3748="","",IFERROR(VLOOKUP(E3748,Assumptions!$G$5:$H$16,2,0),"Other"))</f>
        <v/>
      </c>
      <c r="J3748" s="41" t="str">
        <f aca="false">IF(G3748="","",IFERROR(IF(ISNUMBER(SEARCH(Assumptions!$C$5,G3748)),Assumptions!$D$5,IF(ISNUMBER(SEARCH(Assumptions!$C$6,G3748)),Assumptions!$D$6,IF(ISNUMBER(SEARCH(Assumptions!$C$7,G3748)),Assumptions!$D$7,"Other Services"))),"Other Services"))</f>
        <v/>
      </c>
    </row>
    <row r="3749" customFormat="false" ht="15" hidden="false" customHeight="false" outlineLevel="0" collapsed="false">
      <c r="F3749" s="41" t="str">
        <f aca="false">IF(E3749="","",IFERROR(VLOOKUP(E3749,Assumptions!$G$5:$H$16,2,0),"Other"))</f>
        <v/>
      </c>
      <c r="J3749" s="41" t="str">
        <f aca="false">IF(G3749="","",IFERROR(IF(ISNUMBER(SEARCH(Assumptions!$C$5,G3749)),Assumptions!$D$5,IF(ISNUMBER(SEARCH(Assumptions!$C$6,G3749)),Assumptions!$D$6,IF(ISNUMBER(SEARCH(Assumptions!$C$7,G3749)),Assumptions!$D$7,"Other Services"))),"Other Services"))</f>
        <v/>
      </c>
    </row>
    <row r="3750" customFormat="false" ht="15" hidden="false" customHeight="false" outlineLevel="0" collapsed="false">
      <c r="F3750" s="41" t="str">
        <f aca="false">IF(E3750="","",IFERROR(VLOOKUP(E3750,Assumptions!$G$5:$H$16,2,0),"Other"))</f>
        <v/>
      </c>
      <c r="J3750" s="41" t="str">
        <f aca="false">IF(G3750="","",IFERROR(IF(ISNUMBER(SEARCH(Assumptions!$C$5,G3750)),Assumptions!$D$5,IF(ISNUMBER(SEARCH(Assumptions!$C$6,G3750)),Assumptions!$D$6,IF(ISNUMBER(SEARCH(Assumptions!$C$7,G3750)),Assumptions!$D$7,"Other Services"))),"Other Services"))</f>
        <v/>
      </c>
    </row>
    <row r="3751" customFormat="false" ht="15" hidden="false" customHeight="false" outlineLevel="0" collapsed="false">
      <c r="F3751" s="41" t="str">
        <f aca="false">IF(E3751="","",IFERROR(VLOOKUP(E3751,Assumptions!$G$5:$H$16,2,0),"Other"))</f>
        <v/>
      </c>
      <c r="J3751" s="41" t="str">
        <f aca="false">IF(G3751="","",IFERROR(IF(ISNUMBER(SEARCH(Assumptions!$C$5,G3751)),Assumptions!$D$5,IF(ISNUMBER(SEARCH(Assumptions!$C$6,G3751)),Assumptions!$D$6,IF(ISNUMBER(SEARCH(Assumptions!$C$7,G3751)),Assumptions!$D$7,"Other Services"))),"Other Services"))</f>
        <v/>
      </c>
    </row>
    <row r="3752" customFormat="false" ht="15" hidden="false" customHeight="false" outlineLevel="0" collapsed="false">
      <c r="F3752" s="41" t="str">
        <f aca="false">IF(E3752="","",IFERROR(VLOOKUP(E3752,Assumptions!$G$5:$H$16,2,0),"Other"))</f>
        <v/>
      </c>
      <c r="J3752" s="41" t="str">
        <f aca="false">IF(G3752="","",IFERROR(IF(ISNUMBER(SEARCH(Assumptions!$C$5,G3752)),Assumptions!$D$5,IF(ISNUMBER(SEARCH(Assumptions!$C$6,G3752)),Assumptions!$D$6,IF(ISNUMBER(SEARCH(Assumptions!$C$7,G3752)),Assumptions!$D$7,"Other Services"))),"Other Services"))</f>
        <v/>
      </c>
    </row>
    <row r="3753" customFormat="false" ht="15" hidden="false" customHeight="false" outlineLevel="0" collapsed="false">
      <c r="F3753" s="41" t="str">
        <f aca="false">IF(E3753="","",IFERROR(VLOOKUP(E3753,Assumptions!$G$5:$H$16,2,0),"Other"))</f>
        <v/>
      </c>
      <c r="J3753" s="41" t="str">
        <f aca="false">IF(G3753="","",IFERROR(IF(ISNUMBER(SEARCH(Assumptions!$C$5,G3753)),Assumptions!$D$5,IF(ISNUMBER(SEARCH(Assumptions!$C$6,G3753)),Assumptions!$D$6,IF(ISNUMBER(SEARCH(Assumptions!$C$7,G3753)),Assumptions!$D$7,"Other Services"))),"Other Services"))</f>
        <v/>
      </c>
    </row>
    <row r="3754" customFormat="false" ht="15" hidden="false" customHeight="false" outlineLevel="0" collapsed="false">
      <c r="F3754" s="41" t="str">
        <f aca="false">IF(E3754="","",IFERROR(VLOOKUP(E3754,Assumptions!$G$5:$H$16,2,0),"Other"))</f>
        <v/>
      </c>
      <c r="J3754" s="41" t="str">
        <f aca="false">IF(G3754="","",IFERROR(IF(ISNUMBER(SEARCH(Assumptions!$C$5,G3754)),Assumptions!$D$5,IF(ISNUMBER(SEARCH(Assumptions!$C$6,G3754)),Assumptions!$D$6,IF(ISNUMBER(SEARCH(Assumptions!$C$7,G3754)),Assumptions!$D$7,"Other Services"))),"Other Services"))</f>
        <v/>
      </c>
    </row>
    <row r="3755" customFormat="false" ht="15" hidden="false" customHeight="false" outlineLevel="0" collapsed="false">
      <c r="F3755" s="41" t="str">
        <f aca="false">IF(E3755="","",IFERROR(VLOOKUP(E3755,Assumptions!$G$5:$H$16,2,0),"Other"))</f>
        <v/>
      </c>
      <c r="J3755" s="41" t="str">
        <f aca="false">IF(G3755="","",IFERROR(IF(ISNUMBER(SEARCH(Assumptions!$C$5,G3755)),Assumptions!$D$5,IF(ISNUMBER(SEARCH(Assumptions!$C$6,G3755)),Assumptions!$D$6,IF(ISNUMBER(SEARCH(Assumptions!$C$7,G3755)),Assumptions!$D$7,"Other Services"))),"Other Services"))</f>
        <v/>
      </c>
    </row>
    <row r="3756" customFormat="false" ht="15" hidden="false" customHeight="false" outlineLevel="0" collapsed="false">
      <c r="F3756" s="41" t="str">
        <f aca="false">IF(E3756="","",IFERROR(VLOOKUP(E3756,Assumptions!$G$5:$H$16,2,0),"Other"))</f>
        <v/>
      </c>
      <c r="J3756" s="41" t="str">
        <f aca="false">IF(G3756="","",IFERROR(IF(ISNUMBER(SEARCH(Assumptions!$C$5,G3756)),Assumptions!$D$5,IF(ISNUMBER(SEARCH(Assumptions!$C$6,G3756)),Assumptions!$D$6,IF(ISNUMBER(SEARCH(Assumptions!$C$7,G3756)),Assumptions!$D$7,"Other Services"))),"Other Services"))</f>
        <v/>
      </c>
    </row>
    <row r="3757" customFormat="false" ht="15" hidden="false" customHeight="false" outlineLevel="0" collapsed="false">
      <c r="F3757" s="41" t="str">
        <f aca="false">IF(E3757="","",IFERROR(VLOOKUP(E3757,Assumptions!$G$5:$H$16,2,0),"Other"))</f>
        <v/>
      </c>
      <c r="J3757" s="41" t="str">
        <f aca="false">IF(G3757="","",IFERROR(IF(ISNUMBER(SEARCH(Assumptions!$C$5,G3757)),Assumptions!$D$5,IF(ISNUMBER(SEARCH(Assumptions!$C$6,G3757)),Assumptions!$D$6,IF(ISNUMBER(SEARCH(Assumptions!$C$7,G3757)),Assumptions!$D$7,"Other Services"))),"Other Services"))</f>
        <v/>
      </c>
    </row>
    <row r="3758" customFormat="false" ht="15" hidden="false" customHeight="false" outlineLevel="0" collapsed="false">
      <c r="F3758" s="41" t="str">
        <f aca="false">IF(E3758="","",IFERROR(VLOOKUP(E3758,Assumptions!$G$5:$H$16,2,0),"Other"))</f>
        <v/>
      </c>
      <c r="J3758" s="41" t="str">
        <f aca="false">IF(G3758="","",IFERROR(IF(ISNUMBER(SEARCH(Assumptions!$C$5,G3758)),Assumptions!$D$5,IF(ISNUMBER(SEARCH(Assumptions!$C$6,G3758)),Assumptions!$D$6,IF(ISNUMBER(SEARCH(Assumptions!$C$7,G3758)),Assumptions!$D$7,"Other Services"))),"Other Services"))</f>
        <v/>
      </c>
    </row>
    <row r="3759" customFormat="false" ht="15" hidden="false" customHeight="false" outlineLevel="0" collapsed="false">
      <c r="F3759" s="41" t="str">
        <f aca="false">IF(E3759="","",IFERROR(VLOOKUP(E3759,Assumptions!$G$5:$H$16,2,0),"Other"))</f>
        <v/>
      </c>
      <c r="J3759" s="41" t="str">
        <f aca="false">IF(G3759="","",IFERROR(IF(ISNUMBER(SEARCH(Assumptions!$C$5,G3759)),Assumptions!$D$5,IF(ISNUMBER(SEARCH(Assumptions!$C$6,G3759)),Assumptions!$D$6,IF(ISNUMBER(SEARCH(Assumptions!$C$7,G3759)),Assumptions!$D$7,"Other Services"))),"Other Services"))</f>
        <v/>
      </c>
    </row>
    <row r="3760" customFormat="false" ht="15" hidden="false" customHeight="false" outlineLevel="0" collapsed="false">
      <c r="F3760" s="41" t="str">
        <f aca="false">IF(E3760="","",IFERROR(VLOOKUP(E3760,Assumptions!$G$5:$H$16,2,0),"Other"))</f>
        <v/>
      </c>
      <c r="J3760" s="41" t="str">
        <f aca="false">IF(G3760="","",IFERROR(IF(ISNUMBER(SEARCH(Assumptions!$C$5,G3760)),Assumptions!$D$5,IF(ISNUMBER(SEARCH(Assumptions!$C$6,G3760)),Assumptions!$D$6,IF(ISNUMBER(SEARCH(Assumptions!$C$7,G3760)),Assumptions!$D$7,"Other Services"))),"Other Services"))</f>
        <v/>
      </c>
    </row>
    <row r="3761" customFormat="false" ht="15" hidden="false" customHeight="false" outlineLevel="0" collapsed="false">
      <c r="F3761" s="41" t="str">
        <f aca="false">IF(E3761="","",IFERROR(VLOOKUP(E3761,Assumptions!$G$5:$H$16,2,0),"Other"))</f>
        <v/>
      </c>
      <c r="J3761" s="41" t="str">
        <f aca="false">IF(G3761="","",IFERROR(IF(ISNUMBER(SEARCH(Assumptions!$C$5,G3761)),Assumptions!$D$5,IF(ISNUMBER(SEARCH(Assumptions!$C$6,G3761)),Assumptions!$D$6,IF(ISNUMBER(SEARCH(Assumptions!$C$7,G3761)),Assumptions!$D$7,"Other Services"))),"Other Services"))</f>
        <v/>
      </c>
    </row>
    <row r="3762" customFormat="false" ht="15" hidden="false" customHeight="false" outlineLevel="0" collapsed="false">
      <c r="F3762" s="41" t="str">
        <f aca="false">IF(E3762="","",IFERROR(VLOOKUP(E3762,Assumptions!$G$5:$H$16,2,0),"Other"))</f>
        <v/>
      </c>
      <c r="J3762" s="41" t="str">
        <f aca="false">IF(G3762="","",IFERROR(IF(ISNUMBER(SEARCH(Assumptions!$C$5,G3762)),Assumptions!$D$5,IF(ISNUMBER(SEARCH(Assumptions!$C$6,G3762)),Assumptions!$D$6,IF(ISNUMBER(SEARCH(Assumptions!$C$7,G3762)),Assumptions!$D$7,"Other Services"))),"Other Services"))</f>
        <v/>
      </c>
    </row>
    <row r="3763" customFormat="false" ht="15" hidden="false" customHeight="false" outlineLevel="0" collapsed="false">
      <c r="F3763" s="41" t="str">
        <f aca="false">IF(E3763="","",IFERROR(VLOOKUP(E3763,Assumptions!$G$5:$H$16,2,0),"Other"))</f>
        <v/>
      </c>
      <c r="J3763" s="41" t="str">
        <f aca="false">IF(G3763="","",IFERROR(IF(ISNUMBER(SEARCH(Assumptions!$C$5,G3763)),Assumptions!$D$5,IF(ISNUMBER(SEARCH(Assumptions!$C$6,G3763)),Assumptions!$D$6,IF(ISNUMBER(SEARCH(Assumptions!$C$7,G3763)),Assumptions!$D$7,"Other Services"))),"Other Services"))</f>
        <v/>
      </c>
    </row>
    <row r="3764" customFormat="false" ht="15" hidden="false" customHeight="false" outlineLevel="0" collapsed="false">
      <c r="F3764" s="41" t="str">
        <f aca="false">IF(E3764="","",IFERROR(VLOOKUP(E3764,Assumptions!$G$5:$H$16,2,0),"Other"))</f>
        <v/>
      </c>
      <c r="J3764" s="41" t="str">
        <f aca="false">IF(G3764="","",IFERROR(IF(ISNUMBER(SEARCH(Assumptions!$C$5,G3764)),Assumptions!$D$5,IF(ISNUMBER(SEARCH(Assumptions!$C$6,G3764)),Assumptions!$D$6,IF(ISNUMBER(SEARCH(Assumptions!$C$7,G3764)),Assumptions!$D$7,"Other Services"))),"Other Services"))</f>
        <v/>
      </c>
    </row>
    <row r="3765" customFormat="false" ht="15" hidden="false" customHeight="false" outlineLevel="0" collapsed="false">
      <c r="F3765" s="41" t="str">
        <f aca="false">IF(E3765="","",IFERROR(VLOOKUP(E3765,Assumptions!$G$5:$H$16,2,0),"Other"))</f>
        <v/>
      </c>
      <c r="J3765" s="41" t="str">
        <f aca="false">IF(G3765="","",IFERROR(IF(ISNUMBER(SEARCH(Assumptions!$C$5,G3765)),Assumptions!$D$5,IF(ISNUMBER(SEARCH(Assumptions!$C$6,G3765)),Assumptions!$D$6,IF(ISNUMBER(SEARCH(Assumptions!$C$7,G3765)),Assumptions!$D$7,"Other Services"))),"Other Services"))</f>
        <v/>
      </c>
    </row>
    <row r="3766" customFormat="false" ht="15" hidden="false" customHeight="false" outlineLevel="0" collapsed="false">
      <c r="F3766" s="41" t="str">
        <f aca="false">IF(E3766="","",IFERROR(VLOOKUP(E3766,Assumptions!$G$5:$H$16,2,0),"Other"))</f>
        <v/>
      </c>
      <c r="J3766" s="41" t="str">
        <f aca="false">IF(G3766="","",IFERROR(IF(ISNUMBER(SEARCH(Assumptions!$C$5,G3766)),Assumptions!$D$5,IF(ISNUMBER(SEARCH(Assumptions!$C$6,G3766)),Assumptions!$D$6,IF(ISNUMBER(SEARCH(Assumptions!$C$7,G3766)),Assumptions!$D$7,"Other Services"))),"Other Services"))</f>
        <v/>
      </c>
    </row>
    <row r="3767" customFormat="false" ht="15" hidden="false" customHeight="false" outlineLevel="0" collapsed="false">
      <c r="F3767" s="41" t="str">
        <f aca="false">IF(E3767="","",IFERROR(VLOOKUP(E3767,Assumptions!$G$5:$H$16,2,0),"Other"))</f>
        <v/>
      </c>
      <c r="J3767" s="41" t="str">
        <f aca="false">IF(G3767="","",IFERROR(IF(ISNUMBER(SEARCH(Assumptions!$C$5,G3767)),Assumptions!$D$5,IF(ISNUMBER(SEARCH(Assumptions!$C$6,G3767)),Assumptions!$D$6,IF(ISNUMBER(SEARCH(Assumptions!$C$7,G3767)),Assumptions!$D$7,"Other Services"))),"Other Services"))</f>
        <v/>
      </c>
    </row>
    <row r="3768" customFormat="false" ht="15" hidden="false" customHeight="false" outlineLevel="0" collapsed="false">
      <c r="F3768" s="41" t="str">
        <f aca="false">IF(E3768="","",IFERROR(VLOOKUP(E3768,Assumptions!$G$5:$H$16,2,0),"Other"))</f>
        <v/>
      </c>
      <c r="J3768" s="41" t="str">
        <f aca="false">IF(G3768="","",IFERROR(IF(ISNUMBER(SEARCH(Assumptions!$C$5,G3768)),Assumptions!$D$5,IF(ISNUMBER(SEARCH(Assumptions!$C$6,G3768)),Assumptions!$D$6,IF(ISNUMBER(SEARCH(Assumptions!$C$7,G3768)),Assumptions!$D$7,"Other Services"))),"Other Services"))</f>
        <v/>
      </c>
    </row>
    <row r="3769" customFormat="false" ht="15" hidden="false" customHeight="false" outlineLevel="0" collapsed="false">
      <c r="F3769" s="41" t="str">
        <f aca="false">IF(E3769="","",IFERROR(VLOOKUP(E3769,Assumptions!$G$5:$H$16,2,0),"Other"))</f>
        <v/>
      </c>
      <c r="J3769" s="41" t="str">
        <f aca="false">IF(G3769="","",IFERROR(IF(ISNUMBER(SEARCH(Assumptions!$C$5,G3769)),Assumptions!$D$5,IF(ISNUMBER(SEARCH(Assumptions!$C$6,G3769)),Assumptions!$D$6,IF(ISNUMBER(SEARCH(Assumptions!$C$7,G3769)),Assumptions!$D$7,"Other Services"))),"Other Services"))</f>
        <v/>
      </c>
    </row>
    <row r="3770" customFormat="false" ht="15" hidden="false" customHeight="false" outlineLevel="0" collapsed="false">
      <c r="F3770" s="41" t="str">
        <f aca="false">IF(E3770="","",IFERROR(VLOOKUP(E3770,Assumptions!$G$5:$H$16,2,0),"Other"))</f>
        <v/>
      </c>
      <c r="J3770" s="41" t="str">
        <f aca="false">IF(G3770="","",IFERROR(IF(ISNUMBER(SEARCH(Assumptions!$C$5,G3770)),Assumptions!$D$5,IF(ISNUMBER(SEARCH(Assumptions!$C$6,G3770)),Assumptions!$D$6,IF(ISNUMBER(SEARCH(Assumptions!$C$7,G3770)),Assumptions!$D$7,"Other Services"))),"Other Services"))</f>
        <v/>
      </c>
    </row>
    <row r="3771" customFormat="false" ht="15" hidden="false" customHeight="false" outlineLevel="0" collapsed="false">
      <c r="F3771" s="41" t="str">
        <f aca="false">IF(E3771="","",IFERROR(VLOOKUP(E3771,Assumptions!$G$5:$H$16,2,0),"Other"))</f>
        <v/>
      </c>
      <c r="J3771" s="41" t="str">
        <f aca="false">IF(G3771="","",IFERROR(IF(ISNUMBER(SEARCH(Assumptions!$C$5,G3771)),Assumptions!$D$5,IF(ISNUMBER(SEARCH(Assumptions!$C$6,G3771)),Assumptions!$D$6,IF(ISNUMBER(SEARCH(Assumptions!$C$7,G3771)),Assumptions!$D$7,"Other Services"))),"Other Services"))</f>
        <v/>
      </c>
    </row>
    <row r="3772" customFormat="false" ht="15" hidden="false" customHeight="false" outlineLevel="0" collapsed="false">
      <c r="F3772" s="41" t="str">
        <f aca="false">IF(E3772="","",IFERROR(VLOOKUP(E3772,Assumptions!$G$5:$H$16,2,0),"Other"))</f>
        <v/>
      </c>
      <c r="J3772" s="41" t="str">
        <f aca="false">IF(G3772="","",IFERROR(IF(ISNUMBER(SEARCH(Assumptions!$C$5,G3772)),Assumptions!$D$5,IF(ISNUMBER(SEARCH(Assumptions!$C$6,G3772)),Assumptions!$D$6,IF(ISNUMBER(SEARCH(Assumptions!$C$7,G3772)),Assumptions!$D$7,"Other Services"))),"Other Services"))</f>
        <v/>
      </c>
    </row>
    <row r="3773" customFormat="false" ht="15" hidden="false" customHeight="false" outlineLevel="0" collapsed="false">
      <c r="F3773" s="41" t="str">
        <f aca="false">IF(E3773="","",IFERROR(VLOOKUP(E3773,Assumptions!$G$5:$H$16,2,0),"Other"))</f>
        <v/>
      </c>
      <c r="J3773" s="41" t="str">
        <f aca="false">IF(G3773="","",IFERROR(IF(ISNUMBER(SEARCH(Assumptions!$C$5,G3773)),Assumptions!$D$5,IF(ISNUMBER(SEARCH(Assumptions!$C$6,G3773)),Assumptions!$D$6,IF(ISNUMBER(SEARCH(Assumptions!$C$7,G3773)),Assumptions!$D$7,"Other Services"))),"Other Services"))</f>
        <v/>
      </c>
    </row>
    <row r="3774" customFormat="false" ht="15" hidden="false" customHeight="false" outlineLevel="0" collapsed="false">
      <c r="F3774" s="41" t="str">
        <f aca="false">IF(E3774="","",IFERROR(VLOOKUP(E3774,Assumptions!$G$5:$H$16,2,0),"Other"))</f>
        <v/>
      </c>
      <c r="J3774" s="41" t="str">
        <f aca="false">IF(G3774="","",IFERROR(IF(ISNUMBER(SEARCH(Assumptions!$C$5,G3774)),Assumptions!$D$5,IF(ISNUMBER(SEARCH(Assumptions!$C$6,G3774)),Assumptions!$D$6,IF(ISNUMBER(SEARCH(Assumptions!$C$7,G3774)),Assumptions!$D$7,"Other Services"))),"Other Services"))</f>
        <v/>
      </c>
    </row>
    <row r="3775" customFormat="false" ht="15" hidden="false" customHeight="false" outlineLevel="0" collapsed="false">
      <c r="F3775" s="41" t="str">
        <f aca="false">IF(E3775="","",IFERROR(VLOOKUP(E3775,Assumptions!$G$5:$H$16,2,0),"Other"))</f>
        <v/>
      </c>
      <c r="J3775" s="41" t="str">
        <f aca="false">IF(G3775="","",IFERROR(IF(ISNUMBER(SEARCH(Assumptions!$C$5,G3775)),Assumptions!$D$5,IF(ISNUMBER(SEARCH(Assumptions!$C$6,G3775)),Assumptions!$D$6,IF(ISNUMBER(SEARCH(Assumptions!$C$7,G3775)),Assumptions!$D$7,"Other Services"))),"Other Services"))</f>
        <v/>
      </c>
    </row>
    <row r="3776" customFormat="false" ht="15" hidden="false" customHeight="false" outlineLevel="0" collapsed="false">
      <c r="F3776" s="41" t="str">
        <f aca="false">IF(E3776="","",IFERROR(VLOOKUP(E3776,Assumptions!$G$5:$H$16,2,0),"Other"))</f>
        <v/>
      </c>
      <c r="J3776" s="41" t="str">
        <f aca="false">IF(G3776="","",IFERROR(IF(ISNUMBER(SEARCH(Assumptions!$C$5,G3776)),Assumptions!$D$5,IF(ISNUMBER(SEARCH(Assumptions!$C$6,G3776)),Assumptions!$D$6,IF(ISNUMBER(SEARCH(Assumptions!$C$7,G3776)),Assumptions!$D$7,"Other Services"))),"Other Services"))</f>
        <v/>
      </c>
    </row>
    <row r="3777" customFormat="false" ht="15" hidden="false" customHeight="false" outlineLevel="0" collapsed="false">
      <c r="F3777" s="41" t="str">
        <f aca="false">IF(E3777="","",IFERROR(VLOOKUP(E3777,Assumptions!$G$5:$H$16,2,0),"Other"))</f>
        <v/>
      </c>
      <c r="J3777" s="41" t="str">
        <f aca="false">IF(G3777="","",IFERROR(IF(ISNUMBER(SEARCH(Assumptions!$C$5,G3777)),Assumptions!$D$5,IF(ISNUMBER(SEARCH(Assumptions!$C$6,G3777)),Assumptions!$D$6,IF(ISNUMBER(SEARCH(Assumptions!$C$7,G3777)),Assumptions!$D$7,"Other Services"))),"Other Services"))</f>
        <v/>
      </c>
    </row>
    <row r="3778" customFormat="false" ht="15" hidden="false" customHeight="false" outlineLevel="0" collapsed="false">
      <c r="F3778" s="41" t="str">
        <f aca="false">IF(E3778="","",IFERROR(VLOOKUP(E3778,Assumptions!$G$5:$H$16,2,0),"Other"))</f>
        <v/>
      </c>
      <c r="J3778" s="41" t="str">
        <f aca="false">IF(G3778="","",IFERROR(IF(ISNUMBER(SEARCH(Assumptions!$C$5,G3778)),Assumptions!$D$5,IF(ISNUMBER(SEARCH(Assumptions!$C$6,G3778)),Assumptions!$D$6,IF(ISNUMBER(SEARCH(Assumptions!$C$7,G3778)),Assumptions!$D$7,"Other Services"))),"Other Services"))</f>
        <v/>
      </c>
    </row>
    <row r="3779" customFormat="false" ht="15" hidden="false" customHeight="false" outlineLevel="0" collapsed="false">
      <c r="F3779" s="41" t="str">
        <f aca="false">IF(E3779="","",IFERROR(VLOOKUP(E3779,Assumptions!$G$5:$H$16,2,0),"Other"))</f>
        <v/>
      </c>
      <c r="J3779" s="41" t="str">
        <f aca="false">IF(G3779="","",IFERROR(IF(ISNUMBER(SEARCH(Assumptions!$C$5,G3779)),Assumptions!$D$5,IF(ISNUMBER(SEARCH(Assumptions!$C$6,G3779)),Assumptions!$D$6,IF(ISNUMBER(SEARCH(Assumptions!$C$7,G3779)),Assumptions!$D$7,"Other Services"))),"Other Services"))</f>
        <v/>
      </c>
    </row>
    <row r="3780" customFormat="false" ht="15" hidden="false" customHeight="false" outlineLevel="0" collapsed="false">
      <c r="F3780" s="41" t="str">
        <f aca="false">IF(E3780="","",IFERROR(VLOOKUP(E3780,Assumptions!$G$5:$H$16,2,0),"Other"))</f>
        <v/>
      </c>
      <c r="J3780" s="41" t="str">
        <f aca="false">IF(G3780="","",IFERROR(IF(ISNUMBER(SEARCH(Assumptions!$C$5,G3780)),Assumptions!$D$5,IF(ISNUMBER(SEARCH(Assumptions!$C$6,G3780)),Assumptions!$D$6,IF(ISNUMBER(SEARCH(Assumptions!$C$7,G3780)),Assumptions!$D$7,"Other Services"))),"Other Services"))</f>
        <v/>
      </c>
    </row>
    <row r="3781" customFormat="false" ht="15" hidden="false" customHeight="false" outlineLevel="0" collapsed="false">
      <c r="F3781" s="41" t="str">
        <f aca="false">IF(E3781="","",IFERROR(VLOOKUP(E3781,Assumptions!$G$5:$H$16,2,0),"Other"))</f>
        <v/>
      </c>
      <c r="J3781" s="41" t="str">
        <f aca="false">IF(G3781="","",IFERROR(IF(ISNUMBER(SEARCH(Assumptions!$C$5,G3781)),Assumptions!$D$5,IF(ISNUMBER(SEARCH(Assumptions!$C$6,G3781)),Assumptions!$D$6,IF(ISNUMBER(SEARCH(Assumptions!$C$7,G3781)),Assumptions!$D$7,"Other Services"))),"Other Services"))</f>
        <v/>
      </c>
    </row>
    <row r="3782" customFormat="false" ht="15" hidden="false" customHeight="false" outlineLevel="0" collapsed="false">
      <c r="F3782" s="41" t="str">
        <f aca="false">IF(E3782="","",IFERROR(VLOOKUP(E3782,Assumptions!$G$5:$H$16,2,0),"Other"))</f>
        <v/>
      </c>
      <c r="J3782" s="41" t="str">
        <f aca="false">IF(G3782="","",IFERROR(IF(ISNUMBER(SEARCH(Assumptions!$C$5,G3782)),Assumptions!$D$5,IF(ISNUMBER(SEARCH(Assumptions!$C$6,G3782)),Assumptions!$D$6,IF(ISNUMBER(SEARCH(Assumptions!$C$7,G3782)),Assumptions!$D$7,"Other Services"))),"Other Services"))</f>
        <v/>
      </c>
    </row>
    <row r="3783" customFormat="false" ht="15" hidden="false" customHeight="false" outlineLevel="0" collapsed="false">
      <c r="F3783" s="41" t="str">
        <f aca="false">IF(E3783="","",IFERROR(VLOOKUP(E3783,Assumptions!$G$5:$H$16,2,0),"Other"))</f>
        <v/>
      </c>
      <c r="J3783" s="41" t="str">
        <f aca="false">IF(G3783="","",IFERROR(IF(ISNUMBER(SEARCH(Assumptions!$C$5,G3783)),Assumptions!$D$5,IF(ISNUMBER(SEARCH(Assumptions!$C$6,G3783)),Assumptions!$D$6,IF(ISNUMBER(SEARCH(Assumptions!$C$7,G3783)),Assumptions!$D$7,"Other Services"))),"Other Services"))</f>
        <v/>
      </c>
    </row>
    <row r="3784" customFormat="false" ht="15" hidden="false" customHeight="false" outlineLevel="0" collapsed="false">
      <c r="F3784" s="41" t="str">
        <f aca="false">IF(E3784="","",IFERROR(VLOOKUP(E3784,Assumptions!$G$5:$H$16,2,0),"Other"))</f>
        <v/>
      </c>
      <c r="J3784" s="41" t="str">
        <f aca="false">IF(G3784="","",IFERROR(IF(ISNUMBER(SEARCH(Assumptions!$C$5,G3784)),Assumptions!$D$5,IF(ISNUMBER(SEARCH(Assumptions!$C$6,G3784)),Assumptions!$D$6,IF(ISNUMBER(SEARCH(Assumptions!$C$7,G3784)),Assumptions!$D$7,"Other Services"))),"Other Services"))</f>
        <v/>
      </c>
    </row>
    <row r="3785" customFormat="false" ht="15" hidden="false" customHeight="false" outlineLevel="0" collapsed="false">
      <c r="F3785" s="41" t="str">
        <f aca="false">IF(E3785="","",IFERROR(VLOOKUP(E3785,Assumptions!$G$5:$H$16,2,0),"Other"))</f>
        <v/>
      </c>
      <c r="J3785" s="41" t="str">
        <f aca="false">IF(G3785="","",IFERROR(IF(ISNUMBER(SEARCH(Assumptions!$C$5,G3785)),Assumptions!$D$5,IF(ISNUMBER(SEARCH(Assumptions!$C$6,G3785)),Assumptions!$D$6,IF(ISNUMBER(SEARCH(Assumptions!$C$7,G3785)),Assumptions!$D$7,"Other Services"))),"Other Services"))</f>
        <v/>
      </c>
    </row>
    <row r="3786" customFormat="false" ht="15" hidden="false" customHeight="false" outlineLevel="0" collapsed="false">
      <c r="F3786" s="41" t="str">
        <f aca="false">IF(E3786="","",IFERROR(VLOOKUP(E3786,Assumptions!$G$5:$H$16,2,0),"Other"))</f>
        <v/>
      </c>
      <c r="J3786" s="41" t="str">
        <f aca="false">IF(G3786="","",IFERROR(IF(ISNUMBER(SEARCH(Assumptions!$C$5,G3786)),Assumptions!$D$5,IF(ISNUMBER(SEARCH(Assumptions!$C$6,G3786)),Assumptions!$D$6,IF(ISNUMBER(SEARCH(Assumptions!$C$7,G3786)),Assumptions!$D$7,"Other Services"))),"Other Services"))</f>
        <v/>
      </c>
    </row>
    <row r="3787" customFormat="false" ht="15" hidden="false" customHeight="false" outlineLevel="0" collapsed="false">
      <c r="F3787" s="41" t="str">
        <f aca="false">IF(E3787="","",IFERROR(VLOOKUP(E3787,Assumptions!$G$5:$H$16,2,0),"Other"))</f>
        <v/>
      </c>
      <c r="J3787" s="41" t="str">
        <f aca="false">IF(G3787="","",IFERROR(IF(ISNUMBER(SEARCH(Assumptions!$C$5,G3787)),Assumptions!$D$5,IF(ISNUMBER(SEARCH(Assumptions!$C$6,G3787)),Assumptions!$D$6,IF(ISNUMBER(SEARCH(Assumptions!$C$7,G3787)),Assumptions!$D$7,"Other Services"))),"Other Services"))</f>
        <v/>
      </c>
    </row>
    <row r="3788" customFormat="false" ht="15" hidden="false" customHeight="false" outlineLevel="0" collapsed="false">
      <c r="F3788" s="41" t="str">
        <f aca="false">IF(E3788="","",IFERROR(VLOOKUP(E3788,Assumptions!$G$5:$H$16,2,0),"Other"))</f>
        <v/>
      </c>
      <c r="J3788" s="41" t="str">
        <f aca="false">IF(G3788="","",IFERROR(IF(ISNUMBER(SEARCH(Assumptions!$C$5,G3788)),Assumptions!$D$5,IF(ISNUMBER(SEARCH(Assumptions!$C$6,G3788)),Assumptions!$D$6,IF(ISNUMBER(SEARCH(Assumptions!$C$7,G3788)),Assumptions!$D$7,"Other Services"))),"Other Services"))</f>
        <v/>
      </c>
    </row>
    <row r="3789" customFormat="false" ht="15" hidden="false" customHeight="false" outlineLevel="0" collapsed="false">
      <c r="F3789" s="41" t="str">
        <f aca="false">IF(E3789="","",IFERROR(VLOOKUP(E3789,Assumptions!$G$5:$H$16,2,0),"Other"))</f>
        <v/>
      </c>
      <c r="J3789" s="41" t="str">
        <f aca="false">IF(G3789="","",IFERROR(IF(ISNUMBER(SEARCH(Assumptions!$C$5,G3789)),Assumptions!$D$5,IF(ISNUMBER(SEARCH(Assumptions!$C$6,G3789)),Assumptions!$D$6,IF(ISNUMBER(SEARCH(Assumptions!$C$7,G3789)),Assumptions!$D$7,"Other Services"))),"Other Services"))</f>
        <v/>
      </c>
    </row>
    <row r="3790" customFormat="false" ht="15" hidden="false" customHeight="false" outlineLevel="0" collapsed="false">
      <c r="F3790" s="41" t="str">
        <f aca="false">IF(E3790="","",IFERROR(VLOOKUP(E3790,Assumptions!$G$5:$H$16,2,0),"Other"))</f>
        <v/>
      </c>
      <c r="J3790" s="41" t="str">
        <f aca="false">IF(G3790="","",IFERROR(IF(ISNUMBER(SEARCH(Assumptions!$C$5,G3790)),Assumptions!$D$5,IF(ISNUMBER(SEARCH(Assumptions!$C$6,G3790)),Assumptions!$D$6,IF(ISNUMBER(SEARCH(Assumptions!$C$7,G3790)),Assumptions!$D$7,"Other Services"))),"Other Services"))</f>
        <v/>
      </c>
    </row>
    <row r="3791" customFormat="false" ht="15" hidden="false" customHeight="false" outlineLevel="0" collapsed="false">
      <c r="F3791" s="41" t="str">
        <f aca="false">IF(E3791="","",IFERROR(VLOOKUP(E3791,Assumptions!$G$5:$H$16,2,0),"Other"))</f>
        <v/>
      </c>
      <c r="J3791" s="41" t="str">
        <f aca="false">IF(G3791="","",IFERROR(IF(ISNUMBER(SEARCH(Assumptions!$C$5,G3791)),Assumptions!$D$5,IF(ISNUMBER(SEARCH(Assumptions!$C$6,G3791)),Assumptions!$D$6,IF(ISNUMBER(SEARCH(Assumptions!$C$7,G3791)),Assumptions!$D$7,"Other Services"))),"Other Services"))</f>
        <v/>
      </c>
    </row>
    <row r="3792" customFormat="false" ht="15" hidden="false" customHeight="false" outlineLevel="0" collapsed="false">
      <c r="F3792" s="41" t="str">
        <f aca="false">IF(E3792="","",IFERROR(VLOOKUP(E3792,Assumptions!$G$5:$H$16,2,0),"Other"))</f>
        <v/>
      </c>
      <c r="J3792" s="41" t="str">
        <f aca="false">IF(G3792="","",IFERROR(IF(ISNUMBER(SEARCH(Assumptions!$C$5,G3792)),Assumptions!$D$5,IF(ISNUMBER(SEARCH(Assumptions!$C$6,G3792)),Assumptions!$D$6,IF(ISNUMBER(SEARCH(Assumptions!$C$7,G3792)),Assumptions!$D$7,"Other Services"))),"Other Services"))</f>
        <v/>
      </c>
    </row>
    <row r="3793" customFormat="false" ht="15" hidden="false" customHeight="false" outlineLevel="0" collapsed="false">
      <c r="F3793" s="41" t="str">
        <f aca="false">IF(E3793="","",IFERROR(VLOOKUP(E3793,Assumptions!$G$5:$H$16,2,0),"Other"))</f>
        <v/>
      </c>
      <c r="J3793" s="41" t="str">
        <f aca="false">IF(G3793="","",IFERROR(IF(ISNUMBER(SEARCH(Assumptions!$C$5,G3793)),Assumptions!$D$5,IF(ISNUMBER(SEARCH(Assumptions!$C$6,G3793)),Assumptions!$D$6,IF(ISNUMBER(SEARCH(Assumptions!$C$7,G3793)),Assumptions!$D$7,"Other Services"))),"Other Services"))</f>
        <v/>
      </c>
    </row>
    <row r="3794" customFormat="false" ht="15" hidden="false" customHeight="false" outlineLevel="0" collapsed="false">
      <c r="F3794" s="41" t="str">
        <f aca="false">IF(E3794="","",IFERROR(VLOOKUP(E3794,Assumptions!$G$5:$H$16,2,0),"Other"))</f>
        <v/>
      </c>
      <c r="J3794" s="41" t="str">
        <f aca="false">IF(G3794="","",IFERROR(IF(ISNUMBER(SEARCH(Assumptions!$C$5,G3794)),Assumptions!$D$5,IF(ISNUMBER(SEARCH(Assumptions!$C$6,G3794)),Assumptions!$D$6,IF(ISNUMBER(SEARCH(Assumptions!$C$7,G3794)),Assumptions!$D$7,"Other Services"))),"Other Services"))</f>
        <v/>
      </c>
    </row>
    <row r="3795" customFormat="false" ht="15" hidden="false" customHeight="false" outlineLevel="0" collapsed="false">
      <c r="F3795" s="41" t="str">
        <f aca="false">IF(E3795="","",IFERROR(VLOOKUP(E3795,Assumptions!$G$5:$H$16,2,0),"Other"))</f>
        <v/>
      </c>
      <c r="J3795" s="41" t="str">
        <f aca="false">IF(G3795="","",IFERROR(IF(ISNUMBER(SEARCH(Assumptions!$C$5,G3795)),Assumptions!$D$5,IF(ISNUMBER(SEARCH(Assumptions!$C$6,G3795)),Assumptions!$D$6,IF(ISNUMBER(SEARCH(Assumptions!$C$7,G3795)),Assumptions!$D$7,"Other Services"))),"Other Services"))</f>
        <v/>
      </c>
    </row>
    <row r="3796" customFormat="false" ht="15" hidden="false" customHeight="false" outlineLevel="0" collapsed="false">
      <c r="F3796" s="41" t="str">
        <f aca="false">IF(E3796="","",IFERROR(VLOOKUP(E3796,Assumptions!$G$5:$H$16,2,0),"Other"))</f>
        <v/>
      </c>
      <c r="J3796" s="41" t="str">
        <f aca="false">IF(G3796="","",IFERROR(IF(ISNUMBER(SEARCH(Assumptions!$C$5,G3796)),Assumptions!$D$5,IF(ISNUMBER(SEARCH(Assumptions!$C$6,G3796)),Assumptions!$D$6,IF(ISNUMBER(SEARCH(Assumptions!$C$7,G3796)),Assumptions!$D$7,"Other Services"))),"Other Services"))</f>
        <v/>
      </c>
    </row>
    <row r="3797" customFormat="false" ht="15" hidden="false" customHeight="false" outlineLevel="0" collapsed="false">
      <c r="F3797" s="41" t="str">
        <f aca="false">IF(E3797="","",IFERROR(VLOOKUP(E3797,Assumptions!$G$5:$H$16,2,0),"Other"))</f>
        <v/>
      </c>
      <c r="J3797" s="41" t="str">
        <f aca="false">IF(G3797="","",IFERROR(IF(ISNUMBER(SEARCH(Assumptions!$C$5,G3797)),Assumptions!$D$5,IF(ISNUMBER(SEARCH(Assumptions!$C$6,G3797)),Assumptions!$D$6,IF(ISNUMBER(SEARCH(Assumptions!$C$7,G3797)),Assumptions!$D$7,"Other Services"))),"Other Services"))</f>
        <v/>
      </c>
    </row>
    <row r="3798" customFormat="false" ht="15" hidden="false" customHeight="false" outlineLevel="0" collapsed="false">
      <c r="F3798" s="41" t="str">
        <f aca="false">IF(E3798="","",IFERROR(VLOOKUP(E3798,Assumptions!$G$5:$H$16,2,0),"Other"))</f>
        <v/>
      </c>
      <c r="J3798" s="41" t="str">
        <f aca="false">IF(G3798="","",IFERROR(IF(ISNUMBER(SEARCH(Assumptions!$C$5,G3798)),Assumptions!$D$5,IF(ISNUMBER(SEARCH(Assumptions!$C$6,G3798)),Assumptions!$D$6,IF(ISNUMBER(SEARCH(Assumptions!$C$7,G3798)),Assumptions!$D$7,"Other Services"))),"Other Services"))</f>
        <v/>
      </c>
    </row>
    <row r="3799" customFormat="false" ht="15" hidden="false" customHeight="false" outlineLevel="0" collapsed="false">
      <c r="F3799" s="41" t="str">
        <f aca="false">IF(E3799="","",IFERROR(VLOOKUP(E3799,Assumptions!$G$5:$H$16,2,0),"Other"))</f>
        <v/>
      </c>
      <c r="J3799" s="41" t="str">
        <f aca="false">IF(G3799="","",IFERROR(IF(ISNUMBER(SEARCH(Assumptions!$C$5,G3799)),Assumptions!$D$5,IF(ISNUMBER(SEARCH(Assumptions!$C$6,G3799)),Assumptions!$D$6,IF(ISNUMBER(SEARCH(Assumptions!$C$7,G3799)),Assumptions!$D$7,"Other Services"))),"Other Services"))</f>
        <v/>
      </c>
    </row>
    <row r="3800" customFormat="false" ht="15" hidden="false" customHeight="false" outlineLevel="0" collapsed="false">
      <c r="F3800" s="41" t="str">
        <f aca="false">IF(E3800="","",IFERROR(VLOOKUP(E3800,Assumptions!$G$5:$H$16,2,0),"Other"))</f>
        <v/>
      </c>
      <c r="J3800" s="41" t="str">
        <f aca="false">IF(G3800="","",IFERROR(IF(ISNUMBER(SEARCH(Assumptions!$C$5,G3800)),Assumptions!$D$5,IF(ISNUMBER(SEARCH(Assumptions!$C$6,G3800)),Assumptions!$D$6,IF(ISNUMBER(SEARCH(Assumptions!$C$7,G3800)),Assumptions!$D$7,"Other Services"))),"Other Services"))</f>
        <v/>
      </c>
    </row>
    <row r="3801" customFormat="false" ht="15" hidden="false" customHeight="false" outlineLevel="0" collapsed="false">
      <c r="F3801" s="41" t="str">
        <f aca="false">IF(E3801="","",IFERROR(VLOOKUP(E3801,Assumptions!$G$5:$H$16,2,0),"Other"))</f>
        <v/>
      </c>
      <c r="J3801" s="41" t="str">
        <f aca="false">IF(G3801="","",IFERROR(IF(ISNUMBER(SEARCH(Assumptions!$C$5,G3801)),Assumptions!$D$5,IF(ISNUMBER(SEARCH(Assumptions!$C$6,G3801)),Assumptions!$D$6,IF(ISNUMBER(SEARCH(Assumptions!$C$7,G3801)),Assumptions!$D$7,"Other Services"))),"Other Services"))</f>
        <v/>
      </c>
    </row>
    <row r="3802" customFormat="false" ht="15" hidden="false" customHeight="false" outlineLevel="0" collapsed="false">
      <c r="F3802" s="41" t="str">
        <f aca="false">IF(E3802="","",IFERROR(VLOOKUP(E3802,Assumptions!$G$5:$H$16,2,0),"Other"))</f>
        <v/>
      </c>
      <c r="J3802" s="41" t="str">
        <f aca="false">IF(G3802="","",IFERROR(IF(ISNUMBER(SEARCH(Assumptions!$C$5,G3802)),Assumptions!$D$5,IF(ISNUMBER(SEARCH(Assumptions!$C$6,G3802)),Assumptions!$D$6,IF(ISNUMBER(SEARCH(Assumptions!$C$7,G3802)),Assumptions!$D$7,"Other Services"))),"Other Services"))</f>
        <v/>
      </c>
    </row>
    <row r="3803" customFormat="false" ht="15" hidden="false" customHeight="false" outlineLevel="0" collapsed="false">
      <c r="F3803" s="41" t="str">
        <f aca="false">IF(E3803="","",IFERROR(VLOOKUP(E3803,Assumptions!$G$5:$H$16,2,0),"Other"))</f>
        <v/>
      </c>
      <c r="J3803" s="41" t="str">
        <f aca="false">IF(G3803="","",IFERROR(IF(ISNUMBER(SEARCH(Assumptions!$C$5,G3803)),Assumptions!$D$5,IF(ISNUMBER(SEARCH(Assumptions!$C$6,G3803)),Assumptions!$D$6,IF(ISNUMBER(SEARCH(Assumptions!$C$7,G3803)),Assumptions!$D$7,"Other Services"))),"Other Services"))</f>
        <v/>
      </c>
    </row>
    <row r="3804" customFormat="false" ht="15" hidden="false" customHeight="false" outlineLevel="0" collapsed="false">
      <c r="F3804" s="41" t="str">
        <f aca="false">IF(E3804="","",IFERROR(VLOOKUP(E3804,Assumptions!$G$5:$H$16,2,0),"Other"))</f>
        <v/>
      </c>
      <c r="J3804" s="41" t="str">
        <f aca="false">IF(G3804="","",IFERROR(IF(ISNUMBER(SEARCH(Assumptions!$C$5,G3804)),Assumptions!$D$5,IF(ISNUMBER(SEARCH(Assumptions!$C$6,G3804)),Assumptions!$D$6,IF(ISNUMBER(SEARCH(Assumptions!$C$7,G3804)),Assumptions!$D$7,"Other Services"))),"Other Services"))</f>
        <v/>
      </c>
    </row>
    <row r="3805" customFormat="false" ht="15" hidden="false" customHeight="false" outlineLevel="0" collapsed="false">
      <c r="F3805" s="41" t="str">
        <f aca="false">IF(E3805="","",IFERROR(VLOOKUP(E3805,Assumptions!$G$5:$H$16,2,0),"Other"))</f>
        <v/>
      </c>
      <c r="J3805" s="41" t="str">
        <f aca="false">IF(G3805="","",IFERROR(IF(ISNUMBER(SEARCH(Assumptions!$C$5,G3805)),Assumptions!$D$5,IF(ISNUMBER(SEARCH(Assumptions!$C$6,G3805)),Assumptions!$D$6,IF(ISNUMBER(SEARCH(Assumptions!$C$7,G3805)),Assumptions!$D$7,"Other Services"))),"Other Services"))</f>
        <v/>
      </c>
    </row>
    <row r="3806" customFormat="false" ht="15" hidden="false" customHeight="false" outlineLevel="0" collapsed="false">
      <c r="F3806" s="41" t="str">
        <f aca="false">IF(E3806="","",IFERROR(VLOOKUP(E3806,Assumptions!$G$5:$H$16,2,0),"Other"))</f>
        <v/>
      </c>
      <c r="J3806" s="41" t="str">
        <f aca="false">IF(G3806="","",IFERROR(IF(ISNUMBER(SEARCH(Assumptions!$C$5,G3806)),Assumptions!$D$5,IF(ISNUMBER(SEARCH(Assumptions!$C$6,G3806)),Assumptions!$D$6,IF(ISNUMBER(SEARCH(Assumptions!$C$7,G3806)),Assumptions!$D$7,"Other Services"))),"Other Services"))</f>
        <v/>
      </c>
    </row>
    <row r="3807" customFormat="false" ht="15" hidden="false" customHeight="false" outlineLevel="0" collapsed="false">
      <c r="F3807" s="41" t="str">
        <f aca="false">IF(E3807="","",IFERROR(VLOOKUP(E3807,Assumptions!$G$5:$H$16,2,0),"Other"))</f>
        <v/>
      </c>
      <c r="J3807" s="41" t="str">
        <f aca="false">IF(G3807="","",IFERROR(IF(ISNUMBER(SEARCH(Assumptions!$C$5,G3807)),Assumptions!$D$5,IF(ISNUMBER(SEARCH(Assumptions!$C$6,G3807)),Assumptions!$D$6,IF(ISNUMBER(SEARCH(Assumptions!$C$7,G3807)),Assumptions!$D$7,"Other Services"))),"Other Services"))</f>
        <v/>
      </c>
    </row>
    <row r="3808" customFormat="false" ht="15" hidden="false" customHeight="false" outlineLevel="0" collapsed="false">
      <c r="F3808" s="41" t="str">
        <f aca="false">IF(E3808="","",IFERROR(VLOOKUP(E3808,Assumptions!$G$5:$H$16,2,0),"Other"))</f>
        <v/>
      </c>
      <c r="J3808" s="41" t="str">
        <f aca="false">IF(G3808="","",IFERROR(IF(ISNUMBER(SEARCH(Assumptions!$C$5,G3808)),Assumptions!$D$5,IF(ISNUMBER(SEARCH(Assumptions!$C$6,G3808)),Assumptions!$D$6,IF(ISNUMBER(SEARCH(Assumptions!$C$7,G3808)),Assumptions!$D$7,"Other Services"))),"Other Services"))</f>
        <v/>
      </c>
    </row>
    <row r="3809" customFormat="false" ht="15" hidden="false" customHeight="false" outlineLevel="0" collapsed="false">
      <c r="F3809" s="41" t="str">
        <f aca="false">IF(E3809="","",IFERROR(VLOOKUP(E3809,Assumptions!$G$5:$H$16,2,0),"Other"))</f>
        <v/>
      </c>
      <c r="J3809" s="41" t="str">
        <f aca="false">IF(G3809="","",IFERROR(IF(ISNUMBER(SEARCH(Assumptions!$C$5,G3809)),Assumptions!$D$5,IF(ISNUMBER(SEARCH(Assumptions!$C$6,G3809)),Assumptions!$D$6,IF(ISNUMBER(SEARCH(Assumptions!$C$7,G3809)),Assumptions!$D$7,"Other Services"))),"Other Services"))</f>
        <v/>
      </c>
    </row>
    <row r="3810" customFormat="false" ht="15" hidden="false" customHeight="false" outlineLevel="0" collapsed="false">
      <c r="F3810" s="41" t="str">
        <f aca="false">IF(E3810="","",IFERROR(VLOOKUP(E3810,Assumptions!$G$5:$H$16,2,0),"Other"))</f>
        <v/>
      </c>
      <c r="J3810" s="41" t="str">
        <f aca="false">IF(G3810="","",IFERROR(IF(ISNUMBER(SEARCH(Assumptions!$C$5,G3810)),Assumptions!$D$5,IF(ISNUMBER(SEARCH(Assumptions!$C$6,G3810)),Assumptions!$D$6,IF(ISNUMBER(SEARCH(Assumptions!$C$7,G3810)),Assumptions!$D$7,"Other Services"))),"Other Services"))</f>
        <v/>
      </c>
    </row>
    <row r="3811" customFormat="false" ht="15" hidden="false" customHeight="false" outlineLevel="0" collapsed="false">
      <c r="F3811" s="41" t="str">
        <f aca="false">IF(E3811="","",IFERROR(VLOOKUP(E3811,Assumptions!$G$5:$H$16,2,0),"Other"))</f>
        <v/>
      </c>
      <c r="J3811" s="41" t="str">
        <f aca="false">IF(G3811="","",IFERROR(IF(ISNUMBER(SEARCH(Assumptions!$C$5,G3811)),Assumptions!$D$5,IF(ISNUMBER(SEARCH(Assumptions!$C$6,G3811)),Assumptions!$D$6,IF(ISNUMBER(SEARCH(Assumptions!$C$7,G3811)),Assumptions!$D$7,"Other Services"))),"Other Services"))</f>
        <v/>
      </c>
    </row>
    <row r="3812" customFormat="false" ht="15" hidden="false" customHeight="false" outlineLevel="0" collapsed="false">
      <c r="F3812" s="41" t="str">
        <f aca="false">IF(E3812="","",IFERROR(VLOOKUP(E3812,Assumptions!$G$5:$H$16,2,0),"Other"))</f>
        <v/>
      </c>
      <c r="J3812" s="41" t="str">
        <f aca="false">IF(G3812="","",IFERROR(IF(ISNUMBER(SEARCH(Assumptions!$C$5,G3812)),Assumptions!$D$5,IF(ISNUMBER(SEARCH(Assumptions!$C$6,G3812)),Assumptions!$D$6,IF(ISNUMBER(SEARCH(Assumptions!$C$7,G3812)),Assumptions!$D$7,"Other Services"))),"Other Services"))</f>
        <v/>
      </c>
    </row>
    <row r="3813" customFormat="false" ht="15" hidden="false" customHeight="false" outlineLevel="0" collapsed="false">
      <c r="F3813" s="41" t="str">
        <f aca="false">IF(E3813="","",IFERROR(VLOOKUP(E3813,Assumptions!$G$5:$H$16,2,0),"Other"))</f>
        <v/>
      </c>
      <c r="J3813" s="41" t="str">
        <f aca="false">IF(G3813="","",IFERROR(IF(ISNUMBER(SEARCH(Assumptions!$C$5,G3813)),Assumptions!$D$5,IF(ISNUMBER(SEARCH(Assumptions!$C$6,G3813)),Assumptions!$D$6,IF(ISNUMBER(SEARCH(Assumptions!$C$7,G3813)),Assumptions!$D$7,"Other Services"))),"Other Services"))</f>
        <v/>
      </c>
    </row>
    <row r="3814" customFormat="false" ht="15" hidden="false" customHeight="false" outlineLevel="0" collapsed="false">
      <c r="F3814" s="41" t="str">
        <f aca="false">IF(E3814="","",IFERROR(VLOOKUP(E3814,Assumptions!$G$5:$H$16,2,0),"Other"))</f>
        <v/>
      </c>
      <c r="J3814" s="41" t="str">
        <f aca="false">IF(G3814="","",IFERROR(IF(ISNUMBER(SEARCH(Assumptions!$C$5,G3814)),Assumptions!$D$5,IF(ISNUMBER(SEARCH(Assumptions!$C$6,G3814)),Assumptions!$D$6,IF(ISNUMBER(SEARCH(Assumptions!$C$7,G3814)),Assumptions!$D$7,"Other Services"))),"Other Services"))</f>
        <v/>
      </c>
    </row>
    <row r="3815" customFormat="false" ht="15" hidden="false" customHeight="false" outlineLevel="0" collapsed="false">
      <c r="F3815" s="41" t="str">
        <f aca="false">IF(E3815="","",IFERROR(VLOOKUP(E3815,Assumptions!$G$5:$H$16,2,0),"Other"))</f>
        <v/>
      </c>
      <c r="J3815" s="41" t="str">
        <f aca="false">IF(G3815="","",IFERROR(IF(ISNUMBER(SEARCH(Assumptions!$C$5,G3815)),Assumptions!$D$5,IF(ISNUMBER(SEARCH(Assumptions!$C$6,G3815)),Assumptions!$D$6,IF(ISNUMBER(SEARCH(Assumptions!$C$7,G3815)),Assumptions!$D$7,"Other Services"))),"Other Services"))</f>
        <v/>
      </c>
    </row>
    <row r="3816" customFormat="false" ht="15" hidden="false" customHeight="false" outlineLevel="0" collapsed="false">
      <c r="F3816" s="41" t="str">
        <f aca="false">IF(E3816="","",IFERROR(VLOOKUP(E3816,Assumptions!$G$5:$H$16,2,0),"Other"))</f>
        <v/>
      </c>
      <c r="J3816" s="41" t="str">
        <f aca="false">IF(G3816="","",IFERROR(IF(ISNUMBER(SEARCH(Assumptions!$C$5,G3816)),Assumptions!$D$5,IF(ISNUMBER(SEARCH(Assumptions!$C$6,G3816)),Assumptions!$D$6,IF(ISNUMBER(SEARCH(Assumptions!$C$7,G3816)),Assumptions!$D$7,"Other Services"))),"Other Services"))</f>
        <v/>
      </c>
    </row>
    <row r="3817" customFormat="false" ht="15" hidden="false" customHeight="false" outlineLevel="0" collapsed="false">
      <c r="F3817" s="41" t="str">
        <f aca="false">IF(E3817="","",IFERROR(VLOOKUP(E3817,Assumptions!$G$5:$H$16,2,0),"Other"))</f>
        <v/>
      </c>
      <c r="J3817" s="41" t="str">
        <f aca="false">IF(G3817="","",IFERROR(IF(ISNUMBER(SEARCH(Assumptions!$C$5,G3817)),Assumptions!$D$5,IF(ISNUMBER(SEARCH(Assumptions!$C$6,G3817)),Assumptions!$D$6,IF(ISNUMBER(SEARCH(Assumptions!$C$7,G3817)),Assumptions!$D$7,"Other Services"))),"Other Services"))</f>
        <v/>
      </c>
    </row>
    <row r="3818" customFormat="false" ht="15" hidden="false" customHeight="false" outlineLevel="0" collapsed="false">
      <c r="F3818" s="41" t="str">
        <f aca="false">IF(E3818="","",IFERROR(VLOOKUP(E3818,Assumptions!$G$5:$H$16,2,0),"Other"))</f>
        <v/>
      </c>
      <c r="J3818" s="41" t="str">
        <f aca="false">IF(G3818="","",IFERROR(IF(ISNUMBER(SEARCH(Assumptions!$C$5,G3818)),Assumptions!$D$5,IF(ISNUMBER(SEARCH(Assumptions!$C$6,G3818)),Assumptions!$D$6,IF(ISNUMBER(SEARCH(Assumptions!$C$7,G3818)),Assumptions!$D$7,"Other Services"))),"Other Services"))</f>
        <v/>
      </c>
    </row>
    <row r="3819" customFormat="false" ht="15" hidden="false" customHeight="false" outlineLevel="0" collapsed="false">
      <c r="F3819" s="41" t="str">
        <f aca="false">IF(E3819="","",IFERROR(VLOOKUP(E3819,Assumptions!$G$5:$H$16,2,0),"Other"))</f>
        <v/>
      </c>
      <c r="J3819" s="41" t="str">
        <f aca="false">IF(G3819="","",IFERROR(IF(ISNUMBER(SEARCH(Assumptions!$C$5,G3819)),Assumptions!$D$5,IF(ISNUMBER(SEARCH(Assumptions!$C$6,G3819)),Assumptions!$D$6,IF(ISNUMBER(SEARCH(Assumptions!$C$7,G3819)),Assumptions!$D$7,"Other Services"))),"Other Services"))</f>
        <v/>
      </c>
    </row>
    <row r="3820" customFormat="false" ht="15" hidden="false" customHeight="false" outlineLevel="0" collapsed="false">
      <c r="F3820" s="41" t="str">
        <f aca="false">IF(E3820="","",IFERROR(VLOOKUP(E3820,Assumptions!$G$5:$H$16,2,0),"Other"))</f>
        <v/>
      </c>
      <c r="J3820" s="41" t="str">
        <f aca="false">IF(G3820="","",IFERROR(IF(ISNUMBER(SEARCH(Assumptions!$C$5,G3820)),Assumptions!$D$5,IF(ISNUMBER(SEARCH(Assumptions!$C$6,G3820)),Assumptions!$D$6,IF(ISNUMBER(SEARCH(Assumptions!$C$7,G3820)),Assumptions!$D$7,"Other Services"))),"Other Services"))</f>
        <v/>
      </c>
    </row>
    <row r="3821" customFormat="false" ht="15" hidden="false" customHeight="false" outlineLevel="0" collapsed="false">
      <c r="F3821" s="41" t="str">
        <f aca="false">IF(E3821="","",IFERROR(VLOOKUP(E3821,Assumptions!$G$5:$H$16,2,0),"Other"))</f>
        <v/>
      </c>
      <c r="J3821" s="41" t="str">
        <f aca="false">IF(G3821="","",IFERROR(IF(ISNUMBER(SEARCH(Assumptions!$C$5,G3821)),Assumptions!$D$5,IF(ISNUMBER(SEARCH(Assumptions!$C$6,G3821)),Assumptions!$D$6,IF(ISNUMBER(SEARCH(Assumptions!$C$7,G3821)),Assumptions!$D$7,"Other Services"))),"Other Services"))</f>
        <v/>
      </c>
    </row>
    <row r="3822" customFormat="false" ht="15" hidden="false" customHeight="false" outlineLevel="0" collapsed="false">
      <c r="F3822" s="41" t="str">
        <f aca="false">IF(E3822="","",IFERROR(VLOOKUP(E3822,Assumptions!$G$5:$H$16,2,0),"Other"))</f>
        <v/>
      </c>
      <c r="J3822" s="41" t="str">
        <f aca="false">IF(G3822="","",IFERROR(IF(ISNUMBER(SEARCH(Assumptions!$C$5,G3822)),Assumptions!$D$5,IF(ISNUMBER(SEARCH(Assumptions!$C$6,G3822)),Assumptions!$D$6,IF(ISNUMBER(SEARCH(Assumptions!$C$7,G3822)),Assumptions!$D$7,"Other Services"))),"Other Services"))</f>
        <v/>
      </c>
    </row>
    <row r="3823" customFormat="false" ht="15" hidden="false" customHeight="false" outlineLevel="0" collapsed="false">
      <c r="F3823" s="41" t="str">
        <f aca="false">IF(E3823="","",IFERROR(VLOOKUP(E3823,Assumptions!$G$5:$H$16,2,0),"Other"))</f>
        <v/>
      </c>
      <c r="J3823" s="41" t="str">
        <f aca="false">IF(G3823="","",IFERROR(IF(ISNUMBER(SEARCH(Assumptions!$C$5,G3823)),Assumptions!$D$5,IF(ISNUMBER(SEARCH(Assumptions!$C$6,G3823)),Assumptions!$D$6,IF(ISNUMBER(SEARCH(Assumptions!$C$7,G3823)),Assumptions!$D$7,"Other Services"))),"Other Services"))</f>
        <v/>
      </c>
    </row>
    <row r="3824" customFormat="false" ht="15" hidden="false" customHeight="false" outlineLevel="0" collapsed="false">
      <c r="F3824" s="41" t="str">
        <f aca="false">IF(E3824="","",IFERROR(VLOOKUP(E3824,Assumptions!$G$5:$H$16,2,0),"Other"))</f>
        <v/>
      </c>
      <c r="J3824" s="41" t="str">
        <f aca="false">IF(G3824="","",IFERROR(IF(ISNUMBER(SEARCH(Assumptions!$C$5,G3824)),Assumptions!$D$5,IF(ISNUMBER(SEARCH(Assumptions!$C$6,G3824)),Assumptions!$D$6,IF(ISNUMBER(SEARCH(Assumptions!$C$7,G3824)),Assumptions!$D$7,"Other Services"))),"Other Services"))</f>
        <v/>
      </c>
    </row>
    <row r="3825" customFormat="false" ht="15" hidden="false" customHeight="false" outlineLevel="0" collapsed="false">
      <c r="F3825" s="41" t="str">
        <f aca="false">IF(E3825="","",IFERROR(VLOOKUP(E3825,Assumptions!$G$5:$H$16,2,0),"Other"))</f>
        <v/>
      </c>
      <c r="J3825" s="41" t="str">
        <f aca="false">IF(G3825="","",IFERROR(IF(ISNUMBER(SEARCH(Assumptions!$C$5,G3825)),Assumptions!$D$5,IF(ISNUMBER(SEARCH(Assumptions!$C$6,G3825)),Assumptions!$D$6,IF(ISNUMBER(SEARCH(Assumptions!$C$7,G3825)),Assumptions!$D$7,"Other Services"))),"Other Services"))</f>
        <v/>
      </c>
    </row>
    <row r="3826" customFormat="false" ht="15" hidden="false" customHeight="false" outlineLevel="0" collapsed="false">
      <c r="F3826" s="41" t="str">
        <f aca="false">IF(E3826="","",IFERROR(VLOOKUP(E3826,Assumptions!$G$5:$H$16,2,0),"Other"))</f>
        <v/>
      </c>
      <c r="J3826" s="41" t="str">
        <f aca="false">IF(G3826="","",IFERROR(IF(ISNUMBER(SEARCH(Assumptions!$C$5,G3826)),Assumptions!$D$5,IF(ISNUMBER(SEARCH(Assumptions!$C$6,G3826)),Assumptions!$D$6,IF(ISNUMBER(SEARCH(Assumptions!$C$7,G3826)),Assumptions!$D$7,"Other Services"))),"Other Services"))</f>
        <v/>
      </c>
    </row>
    <row r="3827" customFormat="false" ht="15" hidden="false" customHeight="false" outlineLevel="0" collapsed="false">
      <c r="F3827" s="41" t="str">
        <f aca="false">IF(E3827="","",IFERROR(VLOOKUP(E3827,Assumptions!$G$5:$H$16,2,0),"Other"))</f>
        <v/>
      </c>
      <c r="J3827" s="41" t="str">
        <f aca="false">IF(G3827="","",IFERROR(IF(ISNUMBER(SEARCH(Assumptions!$C$5,G3827)),Assumptions!$D$5,IF(ISNUMBER(SEARCH(Assumptions!$C$6,G3827)),Assumptions!$D$6,IF(ISNUMBER(SEARCH(Assumptions!$C$7,G3827)),Assumptions!$D$7,"Other Services"))),"Other Services"))</f>
        <v/>
      </c>
    </row>
    <row r="3828" customFormat="false" ht="15" hidden="false" customHeight="false" outlineLevel="0" collapsed="false">
      <c r="F3828" s="41" t="str">
        <f aca="false">IF(E3828="","",IFERROR(VLOOKUP(E3828,Assumptions!$G$5:$H$16,2,0),"Other"))</f>
        <v/>
      </c>
      <c r="J3828" s="41" t="str">
        <f aca="false">IF(G3828="","",IFERROR(IF(ISNUMBER(SEARCH(Assumptions!$C$5,G3828)),Assumptions!$D$5,IF(ISNUMBER(SEARCH(Assumptions!$C$6,G3828)),Assumptions!$D$6,IF(ISNUMBER(SEARCH(Assumptions!$C$7,G3828)),Assumptions!$D$7,"Other Services"))),"Other Services"))</f>
        <v/>
      </c>
    </row>
    <row r="3829" customFormat="false" ht="15" hidden="false" customHeight="false" outlineLevel="0" collapsed="false">
      <c r="F3829" s="41" t="str">
        <f aca="false">IF(E3829="","",IFERROR(VLOOKUP(E3829,Assumptions!$G$5:$H$16,2,0),"Other"))</f>
        <v/>
      </c>
      <c r="J3829" s="41" t="str">
        <f aca="false">IF(G3829="","",IFERROR(IF(ISNUMBER(SEARCH(Assumptions!$C$5,G3829)),Assumptions!$D$5,IF(ISNUMBER(SEARCH(Assumptions!$C$6,G3829)),Assumptions!$D$6,IF(ISNUMBER(SEARCH(Assumptions!$C$7,G3829)),Assumptions!$D$7,"Other Services"))),"Other Services"))</f>
        <v/>
      </c>
    </row>
    <row r="3830" customFormat="false" ht="15" hidden="false" customHeight="false" outlineLevel="0" collapsed="false">
      <c r="F3830" s="41" t="str">
        <f aca="false">IF(E3830="","",IFERROR(VLOOKUP(E3830,Assumptions!$G$5:$H$16,2,0),"Other"))</f>
        <v/>
      </c>
      <c r="J3830" s="41" t="str">
        <f aca="false">IF(G3830="","",IFERROR(IF(ISNUMBER(SEARCH(Assumptions!$C$5,G3830)),Assumptions!$D$5,IF(ISNUMBER(SEARCH(Assumptions!$C$6,G3830)),Assumptions!$D$6,IF(ISNUMBER(SEARCH(Assumptions!$C$7,G3830)),Assumptions!$D$7,"Other Services"))),"Other Services"))</f>
        <v/>
      </c>
    </row>
    <row r="3831" customFormat="false" ht="15" hidden="false" customHeight="false" outlineLevel="0" collapsed="false">
      <c r="F3831" s="41" t="str">
        <f aca="false">IF(E3831="","",IFERROR(VLOOKUP(E3831,Assumptions!$G$5:$H$16,2,0),"Other"))</f>
        <v/>
      </c>
      <c r="J3831" s="41" t="str">
        <f aca="false">IF(G3831="","",IFERROR(IF(ISNUMBER(SEARCH(Assumptions!$C$5,G3831)),Assumptions!$D$5,IF(ISNUMBER(SEARCH(Assumptions!$C$6,G3831)),Assumptions!$D$6,IF(ISNUMBER(SEARCH(Assumptions!$C$7,G3831)),Assumptions!$D$7,"Other Services"))),"Other Services"))</f>
        <v/>
      </c>
    </row>
    <row r="3832" customFormat="false" ht="15" hidden="false" customHeight="false" outlineLevel="0" collapsed="false">
      <c r="F3832" s="41" t="str">
        <f aca="false">IF(E3832="","",IFERROR(VLOOKUP(E3832,Assumptions!$G$5:$H$16,2,0),"Other"))</f>
        <v/>
      </c>
      <c r="J3832" s="41" t="str">
        <f aca="false">IF(G3832="","",IFERROR(IF(ISNUMBER(SEARCH(Assumptions!$C$5,G3832)),Assumptions!$D$5,IF(ISNUMBER(SEARCH(Assumptions!$C$6,G3832)),Assumptions!$D$6,IF(ISNUMBER(SEARCH(Assumptions!$C$7,G3832)),Assumptions!$D$7,"Other Services"))),"Other Services"))</f>
        <v/>
      </c>
    </row>
    <row r="3833" customFormat="false" ht="15" hidden="false" customHeight="false" outlineLevel="0" collapsed="false">
      <c r="F3833" s="41" t="str">
        <f aca="false">IF(E3833="","",IFERROR(VLOOKUP(E3833,Assumptions!$G$5:$H$16,2,0),"Other"))</f>
        <v/>
      </c>
      <c r="J3833" s="41" t="str">
        <f aca="false">IF(G3833="","",IFERROR(IF(ISNUMBER(SEARCH(Assumptions!$C$5,G3833)),Assumptions!$D$5,IF(ISNUMBER(SEARCH(Assumptions!$C$6,G3833)),Assumptions!$D$6,IF(ISNUMBER(SEARCH(Assumptions!$C$7,G3833)),Assumptions!$D$7,"Other Services"))),"Other Services"))</f>
        <v/>
      </c>
    </row>
    <row r="3834" customFormat="false" ht="15" hidden="false" customHeight="false" outlineLevel="0" collapsed="false">
      <c r="F3834" s="41" t="str">
        <f aca="false">IF(E3834="","",IFERROR(VLOOKUP(E3834,Assumptions!$G$5:$H$16,2,0),"Other"))</f>
        <v/>
      </c>
      <c r="J3834" s="41" t="str">
        <f aca="false">IF(G3834="","",IFERROR(IF(ISNUMBER(SEARCH(Assumptions!$C$5,G3834)),Assumptions!$D$5,IF(ISNUMBER(SEARCH(Assumptions!$C$6,G3834)),Assumptions!$D$6,IF(ISNUMBER(SEARCH(Assumptions!$C$7,G3834)),Assumptions!$D$7,"Other Services"))),"Other Services"))</f>
        <v/>
      </c>
    </row>
    <row r="3835" customFormat="false" ht="15" hidden="false" customHeight="false" outlineLevel="0" collapsed="false">
      <c r="F3835" s="41" t="str">
        <f aca="false">IF(E3835="","",IFERROR(VLOOKUP(E3835,Assumptions!$G$5:$H$16,2,0),"Other"))</f>
        <v/>
      </c>
      <c r="J3835" s="41" t="str">
        <f aca="false">IF(G3835="","",IFERROR(IF(ISNUMBER(SEARCH(Assumptions!$C$5,G3835)),Assumptions!$D$5,IF(ISNUMBER(SEARCH(Assumptions!$C$6,G3835)),Assumptions!$D$6,IF(ISNUMBER(SEARCH(Assumptions!$C$7,G3835)),Assumptions!$D$7,"Other Services"))),"Other Services"))</f>
        <v/>
      </c>
    </row>
    <row r="3836" customFormat="false" ht="15" hidden="false" customHeight="false" outlineLevel="0" collapsed="false">
      <c r="F3836" s="41" t="str">
        <f aca="false">IF(E3836="","",IFERROR(VLOOKUP(E3836,Assumptions!$G$5:$H$16,2,0),"Other"))</f>
        <v/>
      </c>
      <c r="J3836" s="41" t="str">
        <f aca="false">IF(G3836="","",IFERROR(IF(ISNUMBER(SEARCH(Assumptions!$C$5,G3836)),Assumptions!$D$5,IF(ISNUMBER(SEARCH(Assumptions!$C$6,G3836)),Assumptions!$D$6,IF(ISNUMBER(SEARCH(Assumptions!$C$7,G3836)),Assumptions!$D$7,"Other Services"))),"Other Services"))</f>
        <v/>
      </c>
    </row>
    <row r="3837" customFormat="false" ht="15" hidden="false" customHeight="false" outlineLevel="0" collapsed="false">
      <c r="F3837" s="41" t="str">
        <f aca="false">IF(E3837="","",IFERROR(VLOOKUP(E3837,Assumptions!$G$5:$H$16,2,0),"Other"))</f>
        <v/>
      </c>
      <c r="J3837" s="41" t="str">
        <f aca="false">IF(G3837="","",IFERROR(IF(ISNUMBER(SEARCH(Assumptions!$C$5,G3837)),Assumptions!$D$5,IF(ISNUMBER(SEARCH(Assumptions!$C$6,G3837)),Assumptions!$D$6,IF(ISNUMBER(SEARCH(Assumptions!$C$7,G3837)),Assumptions!$D$7,"Other Services"))),"Other Services"))</f>
        <v/>
      </c>
    </row>
    <row r="3838" customFormat="false" ht="15" hidden="false" customHeight="false" outlineLevel="0" collapsed="false">
      <c r="F3838" s="41" t="str">
        <f aca="false">IF(E3838="","",IFERROR(VLOOKUP(E3838,Assumptions!$G$5:$H$16,2,0),"Other"))</f>
        <v/>
      </c>
      <c r="J3838" s="41" t="str">
        <f aca="false">IF(G3838="","",IFERROR(IF(ISNUMBER(SEARCH(Assumptions!$C$5,G3838)),Assumptions!$D$5,IF(ISNUMBER(SEARCH(Assumptions!$C$6,G3838)),Assumptions!$D$6,IF(ISNUMBER(SEARCH(Assumptions!$C$7,G3838)),Assumptions!$D$7,"Other Services"))),"Other Services"))</f>
        <v/>
      </c>
    </row>
    <row r="3839" customFormat="false" ht="15" hidden="false" customHeight="false" outlineLevel="0" collapsed="false">
      <c r="F3839" s="41" t="str">
        <f aca="false">IF(E3839="","",IFERROR(VLOOKUP(E3839,Assumptions!$G$5:$H$16,2,0),"Other"))</f>
        <v/>
      </c>
      <c r="J3839" s="41" t="str">
        <f aca="false">IF(G3839="","",IFERROR(IF(ISNUMBER(SEARCH(Assumptions!$C$5,G3839)),Assumptions!$D$5,IF(ISNUMBER(SEARCH(Assumptions!$C$6,G3839)),Assumptions!$D$6,IF(ISNUMBER(SEARCH(Assumptions!$C$7,G3839)),Assumptions!$D$7,"Other Services"))),"Other Services"))</f>
        <v/>
      </c>
    </row>
    <row r="3840" customFormat="false" ht="15" hidden="false" customHeight="false" outlineLevel="0" collapsed="false">
      <c r="F3840" s="41" t="str">
        <f aca="false">IF(E3840="","",IFERROR(VLOOKUP(E3840,Assumptions!$G$5:$H$16,2,0),"Other"))</f>
        <v/>
      </c>
      <c r="J3840" s="41" t="str">
        <f aca="false">IF(G3840="","",IFERROR(IF(ISNUMBER(SEARCH(Assumptions!$C$5,G3840)),Assumptions!$D$5,IF(ISNUMBER(SEARCH(Assumptions!$C$6,G3840)),Assumptions!$D$6,IF(ISNUMBER(SEARCH(Assumptions!$C$7,G3840)),Assumptions!$D$7,"Other Services"))),"Other Services"))</f>
        <v/>
      </c>
    </row>
    <row r="3841" customFormat="false" ht="15" hidden="false" customHeight="false" outlineLevel="0" collapsed="false">
      <c r="F3841" s="41" t="str">
        <f aca="false">IF(E3841="","",IFERROR(VLOOKUP(E3841,Assumptions!$G$5:$H$16,2,0),"Other"))</f>
        <v/>
      </c>
      <c r="J3841" s="41" t="str">
        <f aca="false">IF(G3841="","",IFERROR(IF(ISNUMBER(SEARCH(Assumptions!$C$5,G3841)),Assumptions!$D$5,IF(ISNUMBER(SEARCH(Assumptions!$C$6,G3841)),Assumptions!$D$6,IF(ISNUMBER(SEARCH(Assumptions!$C$7,G3841)),Assumptions!$D$7,"Other Services"))),"Other Services"))</f>
        <v/>
      </c>
    </row>
    <row r="3842" customFormat="false" ht="15" hidden="false" customHeight="false" outlineLevel="0" collapsed="false">
      <c r="F3842" s="41" t="str">
        <f aca="false">IF(E3842="","",IFERROR(VLOOKUP(E3842,Assumptions!$G$5:$H$16,2,0),"Other"))</f>
        <v/>
      </c>
      <c r="J3842" s="41" t="str">
        <f aca="false">IF(G3842="","",IFERROR(IF(ISNUMBER(SEARCH(Assumptions!$C$5,G3842)),Assumptions!$D$5,IF(ISNUMBER(SEARCH(Assumptions!$C$6,G3842)),Assumptions!$D$6,IF(ISNUMBER(SEARCH(Assumptions!$C$7,G3842)),Assumptions!$D$7,"Other Services"))),"Other Services"))</f>
        <v/>
      </c>
    </row>
    <row r="3843" customFormat="false" ht="15" hidden="false" customHeight="false" outlineLevel="0" collapsed="false">
      <c r="F3843" s="41" t="str">
        <f aca="false">IF(E3843="","",IFERROR(VLOOKUP(E3843,Assumptions!$G$5:$H$16,2,0),"Other"))</f>
        <v/>
      </c>
      <c r="J3843" s="41" t="str">
        <f aca="false">IF(G3843="","",IFERROR(IF(ISNUMBER(SEARCH(Assumptions!$C$5,G3843)),Assumptions!$D$5,IF(ISNUMBER(SEARCH(Assumptions!$C$6,G3843)),Assumptions!$D$6,IF(ISNUMBER(SEARCH(Assumptions!$C$7,G3843)),Assumptions!$D$7,"Other Services"))),"Other Services"))</f>
        <v/>
      </c>
    </row>
    <row r="3844" customFormat="false" ht="15" hidden="false" customHeight="false" outlineLevel="0" collapsed="false">
      <c r="F3844" s="41" t="str">
        <f aca="false">IF(E3844="","",IFERROR(VLOOKUP(E3844,Assumptions!$G$5:$H$16,2,0),"Other"))</f>
        <v/>
      </c>
      <c r="J3844" s="41" t="str">
        <f aca="false">IF(G3844="","",IFERROR(IF(ISNUMBER(SEARCH(Assumptions!$C$5,G3844)),Assumptions!$D$5,IF(ISNUMBER(SEARCH(Assumptions!$C$6,G3844)),Assumptions!$D$6,IF(ISNUMBER(SEARCH(Assumptions!$C$7,G3844)),Assumptions!$D$7,"Other Services"))),"Other Services"))</f>
        <v/>
      </c>
    </row>
    <row r="3845" customFormat="false" ht="15" hidden="false" customHeight="false" outlineLevel="0" collapsed="false">
      <c r="F3845" s="41" t="str">
        <f aca="false">IF(E3845="","",IFERROR(VLOOKUP(E3845,Assumptions!$G$5:$H$16,2,0),"Other"))</f>
        <v/>
      </c>
      <c r="J3845" s="41" t="str">
        <f aca="false">IF(G3845="","",IFERROR(IF(ISNUMBER(SEARCH(Assumptions!$C$5,G3845)),Assumptions!$D$5,IF(ISNUMBER(SEARCH(Assumptions!$C$6,G3845)),Assumptions!$D$6,IF(ISNUMBER(SEARCH(Assumptions!$C$7,G3845)),Assumptions!$D$7,"Other Services"))),"Other Services"))</f>
        <v/>
      </c>
    </row>
    <row r="3846" customFormat="false" ht="15" hidden="false" customHeight="false" outlineLevel="0" collapsed="false">
      <c r="F3846" s="41" t="str">
        <f aca="false">IF(E3846="","",IFERROR(VLOOKUP(E3846,Assumptions!$G$5:$H$16,2,0),"Other"))</f>
        <v/>
      </c>
      <c r="J3846" s="41" t="str">
        <f aca="false">IF(G3846="","",IFERROR(IF(ISNUMBER(SEARCH(Assumptions!$C$5,G3846)),Assumptions!$D$5,IF(ISNUMBER(SEARCH(Assumptions!$C$6,G3846)),Assumptions!$D$6,IF(ISNUMBER(SEARCH(Assumptions!$C$7,G3846)),Assumptions!$D$7,"Other Services"))),"Other Services"))</f>
        <v/>
      </c>
    </row>
    <row r="3847" customFormat="false" ht="15" hidden="false" customHeight="false" outlineLevel="0" collapsed="false">
      <c r="F3847" s="41" t="str">
        <f aca="false">IF(E3847="","",IFERROR(VLOOKUP(E3847,Assumptions!$G$5:$H$16,2,0),"Other"))</f>
        <v/>
      </c>
      <c r="J3847" s="41" t="str">
        <f aca="false">IF(G3847="","",IFERROR(IF(ISNUMBER(SEARCH(Assumptions!$C$5,G3847)),Assumptions!$D$5,IF(ISNUMBER(SEARCH(Assumptions!$C$6,G3847)),Assumptions!$D$6,IF(ISNUMBER(SEARCH(Assumptions!$C$7,G3847)),Assumptions!$D$7,"Other Services"))),"Other Services"))</f>
        <v/>
      </c>
    </row>
    <row r="3848" customFormat="false" ht="15" hidden="false" customHeight="false" outlineLevel="0" collapsed="false">
      <c r="F3848" s="41" t="str">
        <f aca="false">IF(E3848="","",IFERROR(VLOOKUP(E3848,Assumptions!$G$5:$H$16,2,0),"Other"))</f>
        <v/>
      </c>
      <c r="J3848" s="41" t="str">
        <f aca="false">IF(G3848="","",IFERROR(IF(ISNUMBER(SEARCH(Assumptions!$C$5,G3848)),Assumptions!$D$5,IF(ISNUMBER(SEARCH(Assumptions!$C$6,G3848)),Assumptions!$D$6,IF(ISNUMBER(SEARCH(Assumptions!$C$7,G3848)),Assumptions!$D$7,"Other Services"))),"Other Services"))</f>
        <v/>
      </c>
    </row>
    <row r="3849" customFormat="false" ht="15" hidden="false" customHeight="false" outlineLevel="0" collapsed="false">
      <c r="F3849" s="41" t="str">
        <f aca="false">IF(E3849="","",IFERROR(VLOOKUP(E3849,Assumptions!$G$5:$H$16,2,0),"Other"))</f>
        <v/>
      </c>
      <c r="J3849" s="41" t="str">
        <f aca="false">IF(G3849="","",IFERROR(IF(ISNUMBER(SEARCH(Assumptions!$C$5,G3849)),Assumptions!$D$5,IF(ISNUMBER(SEARCH(Assumptions!$C$6,G3849)),Assumptions!$D$6,IF(ISNUMBER(SEARCH(Assumptions!$C$7,G3849)),Assumptions!$D$7,"Other Services"))),"Other Services"))</f>
        <v/>
      </c>
    </row>
    <row r="3850" customFormat="false" ht="15" hidden="false" customHeight="false" outlineLevel="0" collapsed="false">
      <c r="F3850" s="41" t="str">
        <f aca="false">IF(E3850="","",IFERROR(VLOOKUP(E3850,Assumptions!$G$5:$H$16,2,0),"Other"))</f>
        <v/>
      </c>
      <c r="J3850" s="41" t="str">
        <f aca="false">IF(G3850="","",IFERROR(IF(ISNUMBER(SEARCH(Assumptions!$C$5,G3850)),Assumptions!$D$5,IF(ISNUMBER(SEARCH(Assumptions!$C$6,G3850)),Assumptions!$D$6,IF(ISNUMBER(SEARCH(Assumptions!$C$7,G3850)),Assumptions!$D$7,"Other Services"))),"Other Services"))</f>
        <v/>
      </c>
    </row>
    <row r="3851" customFormat="false" ht="15" hidden="false" customHeight="false" outlineLevel="0" collapsed="false">
      <c r="F3851" s="41" t="str">
        <f aca="false">IF(E3851="","",IFERROR(VLOOKUP(E3851,Assumptions!$G$5:$H$16,2,0),"Other"))</f>
        <v/>
      </c>
      <c r="J3851" s="41" t="str">
        <f aca="false">IF(G3851="","",IFERROR(IF(ISNUMBER(SEARCH(Assumptions!$C$5,G3851)),Assumptions!$D$5,IF(ISNUMBER(SEARCH(Assumptions!$C$6,G3851)),Assumptions!$D$6,IF(ISNUMBER(SEARCH(Assumptions!$C$7,G3851)),Assumptions!$D$7,"Other Services"))),"Other Services"))</f>
        <v/>
      </c>
    </row>
    <row r="3852" customFormat="false" ht="15" hidden="false" customHeight="false" outlineLevel="0" collapsed="false">
      <c r="F3852" s="41" t="str">
        <f aca="false">IF(E3852="","",IFERROR(VLOOKUP(E3852,Assumptions!$G$5:$H$16,2,0),"Other"))</f>
        <v/>
      </c>
      <c r="J3852" s="41" t="str">
        <f aca="false">IF(G3852="","",IFERROR(IF(ISNUMBER(SEARCH(Assumptions!$C$5,G3852)),Assumptions!$D$5,IF(ISNUMBER(SEARCH(Assumptions!$C$6,G3852)),Assumptions!$D$6,IF(ISNUMBER(SEARCH(Assumptions!$C$7,G3852)),Assumptions!$D$7,"Other Services"))),"Other Services"))</f>
        <v/>
      </c>
    </row>
    <row r="3853" customFormat="false" ht="15" hidden="false" customHeight="false" outlineLevel="0" collapsed="false">
      <c r="F3853" s="41" t="str">
        <f aca="false">IF(E3853="","",IFERROR(VLOOKUP(E3853,Assumptions!$G$5:$H$16,2,0),"Other"))</f>
        <v/>
      </c>
      <c r="J3853" s="41" t="str">
        <f aca="false">IF(G3853="","",IFERROR(IF(ISNUMBER(SEARCH(Assumptions!$C$5,G3853)),Assumptions!$D$5,IF(ISNUMBER(SEARCH(Assumptions!$C$6,G3853)),Assumptions!$D$6,IF(ISNUMBER(SEARCH(Assumptions!$C$7,G3853)),Assumptions!$D$7,"Other Services"))),"Other Services"))</f>
        <v/>
      </c>
    </row>
    <row r="3854" customFormat="false" ht="15" hidden="false" customHeight="false" outlineLevel="0" collapsed="false">
      <c r="F3854" s="41" t="str">
        <f aca="false">IF(E3854="","",IFERROR(VLOOKUP(E3854,Assumptions!$G$5:$H$16,2,0),"Other"))</f>
        <v/>
      </c>
      <c r="J3854" s="41" t="str">
        <f aca="false">IF(G3854="","",IFERROR(IF(ISNUMBER(SEARCH(Assumptions!$C$5,G3854)),Assumptions!$D$5,IF(ISNUMBER(SEARCH(Assumptions!$C$6,G3854)),Assumptions!$D$6,IF(ISNUMBER(SEARCH(Assumptions!$C$7,G3854)),Assumptions!$D$7,"Other Services"))),"Other Services"))</f>
        <v/>
      </c>
    </row>
    <row r="3855" customFormat="false" ht="15" hidden="false" customHeight="false" outlineLevel="0" collapsed="false">
      <c r="F3855" s="41" t="str">
        <f aca="false">IF(E3855="","",IFERROR(VLOOKUP(E3855,Assumptions!$G$5:$H$16,2,0),"Other"))</f>
        <v/>
      </c>
      <c r="J3855" s="41" t="str">
        <f aca="false">IF(G3855="","",IFERROR(IF(ISNUMBER(SEARCH(Assumptions!$C$5,G3855)),Assumptions!$D$5,IF(ISNUMBER(SEARCH(Assumptions!$C$6,G3855)),Assumptions!$D$6,IF(ISNUMBER(SEARCH(Assumptions!$C$7,G3855)),Assumptions!$D$7,"Other Services"))),"Other Services"))</f>
        <v/>
      </c>
    </row>
    <row r="3856" customFormat="false" ht="15" hidden="false" customHeight="false" outlineLevel="0" collapsed="false">
      <c r="F3856" s="41" t="str">
        <f aca="false">IF(E3856="","",IFERROR(VLOOKUP(E3856,Assumptions!$G$5:$H$16,2,0),"Other"))</f>
        <v/>
      </c>
      <c r="J3856" s="41" t="str">
        <f aca="false">IF(G3856="","",IFERROR(IF(ISNUMBER(SEARCH(Assumptions!$C$5,G3856)),Assumptions!$D$5,IF(ISNUMBER(SEARCH(Assumptions!$C$6,G3856)),Assumptions!$D$6,IF(ISNUMBER(SEARCH(Assumptions!$C$7,G3856)),Assumptions!$D$7,"Other Services"))),"Other Services"))</f>
        <v/>
      </c>
    </row>
    <row r="3857" customFormat="false" ht="15" hidden="false" customHeight="false" outlineLevel="0" collapsed="false">
      <c r="F3857" s="41" t="str">
        <f aca="false">IF(E3857="","",IFERROR(VLOOKUP(E3857,Assumptions!$G$5:$H$16,2,0),"Other"))</f>
        <v/>
      </c>
      <c r="J3857" s="41" t="str">
        <f aca="false">IF(G3857="","",IFERROR(IF(ISNUMBER(SEARCH(Assumptions!$C$5,G3857)),Assumptions!$D$5,IF(ISNUMBER(SEARCH(Assumptions!$C$6,G3857)),Assumptions!$D$6,IF(ISNUMBER(SEARCH(Assumptions!$C$7,G3857)),Assumptions!$D$7,"Other Services"))),"Other Services"))</f>
        <v/>
      </c>
    </row>
    <row r="3858" customFormat="false" ht="15" hidden="false" customHeight="false" outlineLevel="0" collapsed="false">
      <c r="F3858" s="41" t="str">
        <f aca="false">IF(E3858="","",IFERROR(VLOOKUP(E3858,Assumptions!$G$5:$H$16,2,0),"Other"))</f>
        <v/>
      </c>
      <c r="J3858" s="41" t="str">
        <f aca="false">IF(G3858="","",IFERROR(IF(ISNUMBER(SEARCH(Assumptions!$C$5,G3858)),Assumptions!$D$5,IF(ISNUMBER(SEARCH(Assumptions!$C$6,G3858)),Assumptions!$D$6,IF(ISNUMBER(SEARCH(Assumptions!$C$7,G3858)),Assumptions!$D$7,"Other Services"))),"Other Services"))</f>
        <v/>
      </c>
    </row>
    <row r="3859" customFormat="false" ht="15" hidden="false" customHeight="false" outlineLevel="0" collapsed="false">
      <c r="F3859" s="41" t="str">
        <f aca="false">IF(E3859="","",IFERROR(VLOOKUP(E3859,Assumptions!$G$5:$H$16,2,0),"Other"))</f>
        <v/>
      </c>
      <c r="J3859" s="41" t="str">
        <f aca="false">IF(G3859="","",IFERROR(IF(ISNUMBER(SEARCH(Assumptions!$C$5,G3859)),Assumptions!$D$5,IF(ISNUMBER(SEARCH(Assumptions!$C$6,G3859)),Assumptions!$D$6,IF(ISNUMBER(SEARCH(Assumptions!$C$7,G3859)),Assumptions!$D$7,"Other Services"))),"Other Services"))</f>
        <v/>
      </c>
    </row>
    <row r="3860" customFormat="false" ht="15" hidden="false" customHeight="false" outlineLevel="0" collapsed="false">
      <c r="F3860" s="41" t="str">
        <f aca="false">IF(E3860="","",IFERROR(VLOOKUP(E3860,Assumptions!$G$5:$H$16,2,0),"Other"))</f>
        <v/>
      </c>
      <c r="J3860" s="41" t="str">
        <f aca="false">IF(G3860="","",IFERROR(IF(ISNUMBER(SEARCH(Assumptions!$C$5,G3860)),Assumptions!$D$5,IF(ISNUMBER(SEARCH(Assumptions!$C$6,G3860)),Assumptions!$D$6,IF(ISNUMBER(SEARCH(Assumptions!$C$7,G3860)),Assumptions!$D$7,"Other Services"))),"Other Services"))</f>
        <v/>
      </c>
    </row>
    <row r="3861" customFormat="false" ht="15" hidden="false" customHeight="false" outlineLevel="0" collapsed="false">
      <c r="F3861" s="41" t="str">
        <f aca="false">IF(E3861="","",IFERROR(VLOOKUP(E3861,Assumptions!$G$5:$H$16,2,0),"Other"))</f>
        <v/>
      </c>
      <c r="J3861" s="41" t="str">
        <f aca="false">IF(G3861="","",IFERROR(IF(ISNUMBER(SEARCH(Assumptions!$C$5,G3861)),Assumptions!$D$5,IF(ISNUMBER(SEARCH(Assumptions!$C$6,G3861)),Assumptions!$D$6,IF(ISNUMBER(SEARCH(Assumptions!$C$7,G3861)),Assumptions!$D$7,"Other Services"))),"Other Services"))</f>
        <v/>
      </c>
    </row>
    <row r="3862" customFormat="false" ht="15" hidden="false" customHeight="false" outlineLevel="0" collapsed="false">
      <c r="F3862" s="41" t="str">
        <f aca="false">IF(E3862="","",IFERROR(VLOOKUP(E3862,Assumptions!$G$5:$H$16,2,0),"Other"))</f>
        <v/>
      </c>
      <c r="J3862" s="41" t="str">
        <f aca="false">IF(G3862="","",IFERROR(IF(ISNUMBER(SEARCH(Assumptions!$C$5,G3862)),Assumptions!$D$5,IF(ISNUMBER(SEARCH(Assumptions!$C$6,G3862)),Assumptions!$D$6,IF(ISNUMBER(SEARCH(Assumptions!$C$7,G3862)),Assumptions!$D$7,"Other Services"))),"Other Services"))</f>
        <v/>
      </c>
    </row>
    <row r="3863" customFormat="false" ht="15" hidden="false" customHeight="false" outlineLevel="0" collapsed="false">
      <c r="F3863" s="41" t="str">
        <f aca="false">IF(E3863="","",IFERROR(VLOOKUP(E3863,Assumptions!$G$5:$H$16,2,0),"Other"))</f>
        <v/>
      </c>
      <c r="J3863" s="41" t="str">
        <f aca="false">IF(G3863="","",IFERROR(IF(ISNUMBER(SEARCH(Assumptions!$C$5,G3863)),Assumptions!$D$5,IF(ISNUMBER(SEARCH(Assumptions!$C$6,G3863)),Assumptions!$D$6,IF(ISNUMBER(SEARCH(Assumptions!$C$7,G3863)),Assumptions!$D$7,"Other Services"))),"Other Services"))</f>
        <v/>
      </c>
    </row>
    <row r="3864" customFormat="false" ht="15" hidden="false" customHeight="false" outlineLevel="0" collapsed="false">
      <c r="F3864" s="41" t="str">
        <f aca="false">IF(E3864="","",IFERROR(VLOOKUP(E3864,Assumptions!$G$5:$H$16,2,0),"Other"))</f>
        <v/>
      </c>
      <c r="J3864" s="41" t="str">
        <f aca="false">IF(G3864="","",IFERROR(IF(ISNUMBER(SEARCH(Assumptions!$C$5,G3864)),Assumptions!$D$5,IF(ISNUMBER(SEARCH(Assumptions!$C$6,G3864)),Assumptions!$D$6,IF(ISNUMBER(SEARCH(Assumptions!$C$7,G3864)),Assumptions!$D$7,"Other Services"))),"Other Services"))</f>
        <v/>
      </c>
    </row>
    <row r="3865" customFormat="false" ht="15" hidden="false" customHeight="false" outlineLevel="0" collapsed="false">
      <c r="F3865" s="41" t="str">
        <f aca="false">IF(E3865="","",IFERROR(VLOOKUP(E3865,Assumptions!$G$5:$H$16,2,0),"Other"))</f>
        <v/>
      </c>
      <c r="J3865" s="41" t="str">
        <f aca="false">IF(G3865="","",IFERROR(IF(ISNUMBER(SEARCH(Assumptions!$C$5,G3865)),Assumptions!$D$5,IF(ISNUMBER(SEARCH(Assumptions!$C$6,G3865)),Assumptions!$D$6,IF(ISNUMBER(SEARCH(Assumptions!$C$7,G3865)),Assumptions!$D$7,"Other Services"))),"Other Services"))</f>
        <v/>
      </c>
    </row>
    <row r="3866" customFormat="false" ht="15" hidden="false" customHeight="false" outlineLevel="0" collapsed="false">
      <c r="F3866" s="41" t="str">
        <f aca="false">IF(E3866="","",IFERROR(VLOOKUP(E3866,Assumptions!$G$5:$H$16,2,0),"Other"))</f>
        <v/>
      </c>
      <c r="J3866" s="41" t="str">
        <f aca="false">IF(G3866="","",IFERROR(IF(ISNUMBER(SEARCH(Assumptions!$C$5,G3866)),Assumptions!$D$5,IF(ISNUMBER(SEARCH(Assumptions!$C$6,G3866)),Assumptions!$D$6,IF(ISNUMBER(SEARCH(Assumptions!$C$7,G3866)),Assumptions!$D$7,"Other Services"))),"Other Services"))</f>
        <v/>
      </c>
    </row>
    <row r="3867" customFormat="false" ht="15" hidden="false" customHeight="false" outlineLevel="0" collapsed="false">
      <c r="F3867" s="41" t="str">
        <f aca="false">IF(E3867="","",IFERROR(VLOOKUP(E3867,Assumptions!$G$5:$H$16,2,0),"Other"))</f>
        <v/>
      </c>
      <c r="J3867" s="41" t="str">
        <f aca="false">IF(G3867="","",IFERROR(IF(ISNUMBER(SEARCH(Assumptions!$C$5,G3867)),Assumptions!$D$5,IF(ISNUMBER(SEARCH(Assumptions!$C$6,G3867)),Assumptions!$D$6,IF(ISNUMBER(SEARCH(Assumptions!$C$7,G3867)),Assumptions!$D$7,"Other Services"))),"Other Services"))</f>
        <v/>
      </c>
    </row>
    <row r="3868" customFormat="false" ht="15" hidden="false" customHeight="false" outlineLevel="0" collapsed="false">
      <c r="F3868" s="41" t="str">
        <f aca="false">IF(E3868="","",IFERROR(VLOOKUP(E3868,Assumptions!$G$5:$H$16,2,0),"Other"))</f>
        <v/>
      </c>
      <c r="J3868" s="41" t="str">
        <f aca="false">IF(G3868="","",IFERROR(IF(ISNUMBER(SEARCH(Assumptions!$C$5,G3868)),Assumptions!$D$5,IF(ISNUMBER(SEARCH(Assumptions!$C$6,G3868)),Assumptions!$D$6,IF(ISNUMBER(SEARCH(Assumptions!$C$7,G3868)),Assumptions!$D$7,"Other Services"))),"Other Services"))</f>
        <v/>
      </c>
    </row>
    <row r="3869" customFormat="false" ht="15" hidden="false" customHeight="false" outlineLevel="0" collapsed="false">
      <c r="F3869" s="41" t="str">
        <f aca="false">IF(E3869="","",IFERROR(VLOOKUP(E3869,Assumptions!$G$5:$H$16,2,0),"Other"))</f>
        <v/>
      </c>
      <c r="J3869" s="41" t="str">
        <f aca="false">IF(G3869="","",IFERROR(IF(ISNUMBER(SEARCH(Assumptions!$C$5,G3869)),Assumptions!$D$5,IF(ISNUMBER(SEARCH(Assumptions!$C$6,G3869)),Assumptions!$D$6,IF(ISNUMBER(SEARCH(Assumptions!$C$7,G3869)),Assumptions!$D$7,"Other Services"))),"Other Services"))</f>
        <v/>
      </c>
    </row>
    <row r="3870" customFormat="false" ht="15" hidden="false" customHeight="false" outlineLevel="0" collapsed="false">
      <c r="F3870" s="41" t="str">
        <f aca="false">IF(E3870="","",IFERROR(VLOOKUP(E3870,Assumptions!$G$5:$H$16,2,0),"Other"))</f>
        <v/>
      </c>
      <c r="J3870" s="41" t="str">
        <f aca="false">IF(G3870="","",IFERROR(IF(ISNUMBER(SEARCH(Assumptions!$C$5,G3870)),Assumptions!$D$5,IF(ISNUMBER(SEARCH(Assumptions!$C$6,G3870)),Assumptions!$D$6,IF(ISNUMBER(SEARCH(Assumptions!$C$7,G3870)),Assumptions!$D$7,"Other Services"))),"Other Services"))</f>
        <v/>
      </c>
    </row>
    <row r="3871" customFormat="false" ht="15" hidden="false" customHeight="false" outlineLevel="0" collapsed="false">
      <c r="F3871" s="41" t="str">
        <f aca="false">IF(E3871="","",IFERROR(VLOOKUP(E3871,Assumptions!$G$5:$H$16,2,0),"Other"))</f>
        <v/>
      </c>
      <c r="J3871" s="41" t="str">
        <f aca="false">IF(G3871="","",IFERROR(IF(ISNUMBER(SEARCH(Assumptions!$C$5,G3871)),Assumptions!$D$5,IF(ISNUMBER(SEARCH(Assumptions!$C$6,G3871)),Assumptions!$D$6,IF(ISNUMBER(SEARCH(Assumptions!$C$7,G3871)),Assumptions!$D$7,"Other Services"))),"Other Services"))</f>
        <v/>
      </c>
    </row>
    <row r="3872" customFormat="false" ht="15" hidden="false" customHeight="false" outlineLevel="0" collapsed="false">
      <c r="F3872" s="41" t="str">
        <f aca="false">IF(E3872="","",IFERROR(VLOOKUP(E3872,Assumptions!$G$5:$H$16,2,0),"Other"))</f>
        <v/>
      </c>
      <c r="J3872" s="41" t="str">
        <f aca="false">IF(G3872="","",IFERROR(IF(ISNUMBER(SEARCH(Assumptions!$C$5,G3872)),Assumptions!$D$5,IF(ISNUMBER(SEARCH(Assumptions!$C$6,G3872)),Assumptions!$D$6,IF(ISNUMBER(SEARCH(Assumptions!$C$7,G3872)),Assumptions!$D$7,"Other Services"))),"Other Services"))</f>
        <v/>
      </c>
    </row>
    <row r="3873" customFormat="false" ht="15" hidden="false" customHeight="false" outlineLevel="0" collapsed="false">
      <c r="F3873" s="41" t="str">
        <f aca="false">IF(E3873="","",IFERROR(VLOOKUP(E3873,Assumptions!$G$5:$H$16,2,0),"Other"))</f>
        <v/>
      </c>
      <c r="J3873" s="41" t="str">
        <f aca="false">IF(G3873="","",IFERROR(IF(ISNUMBER(SEARCH(Assumptions!$C$5,G3873)),Assumptions!$D$5,IF(ISNUMBER(SEARCH(Assumptions!$C$6,G3873)),Assumptions!$D$6,IF(ISNUMBER(SEARCH(Assumptions!$C$7,G3873)),Assumptions!$D$7,"Other Services"))),"Other Services"))</f>
        <v/>
      </c>
    </row>
    <row r="3874" customFormat="false" ht="15" hidden="false" customHeight="false" outlineLevel="0" collapsed="false">
      <c r="F3874" s="41" t="str">
        <f aca="false">IF(E3874="","",IFERROR(VLOOKUP(E3874,Assumptions!$G$5:$H$16,2,0),"Other"))</f>
        <v/>
      </c>
      <c r="J3874" s="41" t="str">
        <f aca="false">IF(G3874="","",IFERROR(IF(ISNUMBER(SEARCH(Assumptions!$C$5,G3874)),Assumptions!$D$5,IF(ISNUMBER(SEARCH(Assumptions!$C$6,G3874)),Assumptions!$D$6,IF(ISNUMBER(SEARCH(Assumptions!$C$7,G3874)),Assumptions!$D$7,"Other Services"))),"Other Services"))</f>
        <v/>
      </c>
    </row>
    <row r="3875" customFormat="false" ht="15" hidden="false" customHeight="false" outlineLevel="0" collapsed="false">
      <c r="F3875" s="41" t="str">
        <f aca="false">IF(E3875="","",IFERROR(VLOOKUP(E3875,Assumptions!$G$5:$H$16,2,0),"Other"))</f>
        <v/>
      </c>
      <c r="J3875" s="41" t="str">
        <f aca="false">IF(G3875="","",IFERROR(IF(ISNUMBER(SEARCH(Assumptions!$C$5,G3875)),Assumptions!$D$5,IF(ISNUMBER(SEARCH(Assumptions!$C$6,G3875)),Assumptions!$D$6,IF(ISNUMBER(SEARCH(Assumptions!$C$7,G3875)),Assumptions!$D$7,"Other Services"))),"Other Services"))</f>
        <v/>
      </c>
    </row>
    <row r="3876" customFormat="false" ht="15" hidden="false" customHeight="false" outlineLevel="0" collapsed="false">
      <c r="F3876" s="41" t="str">
        <f aca="false">IF(E3876="","",IFERROR(VLOOKUP(E3876,Assumptions!$G$5:$H$16,2,0),"Other"))</f>
        <v/>
      </c>
      <c r="J3876" s="41" t="str">
        <f aca="false">IF(G3876="","",IFERROR(IF(ISNUMBER(SEARCH(Assumptions!$C$5,G3876)),Assumptions!$D$5,IF(ISNUMBER(SEARCH(Assumptions!$C$6,G3876)),Assumptions!$D$6,IF(ISNUMBER(SEARCH(Assumptions!$C$7,G3876)),Assumptions!$D$7,"Other Services"))),"Other Services"))</f>
        <v/>
      </c>
    </row>
    <row r="3877" customFormat="false" ht="15" hidden="false" customHeight="false" outlineLevel="0" collapsed="false">
      <c r="F3877" s="41" t="str">
        <f aca="false">IF(E3877="","",IFERROR(VLOOKUP(E3877,Assumptions!$G$5:$H$16,2,0),"Other"))</f>
        <v/>
      </c>
      <c r="J3877" s="41" t="str">
        <f aca="false">IF(G3877="","",IFERROR(IF(ISNUMBER(SEARCH(Assumptions!$C$5,G3877)),Assumptions!$D$5,IF(ISNUMBER(SEARCH(Assumptions!$C$6,G3877)),Assumptions!$D$6,IF(ISNUMBER(SEARCH(Assumptions!$C$7,G3877)),Assumptions!$D$7,"Other Services"))),"Other Services"))</f>
        <v/>
      </c>
    </row>
    <row r="3878" customFormat="false" ht="15" hidden="false" customHeight="false" outlineLevel="0" collapsed="false">
      <c r="F3878" s="41" t="str">
        <f aca="false">IF(E3878="","",IFERROR(VLOOKUP(E3878,Assumptions!$G$5:$H$16,2,0),"Other"))</f>
        <v/>
      </c>
      <c r="J3878" s="41" t="str">
        <f aca="false">IF(G3878="","",IFERROR(IF(ISNUMBER(SEARCH(Assumptions!$C$5,G3878)),Assumptions!$D$5,IF(ISNUMBER(SEARCH(Assumptions!$C$6,G3878)),Assumptions!$D$6,IF(ISNUMBER(SEARCH(Assumptions!$C$7,G3878)),Assumptions!$D$7,"Other Services"))),"Other Services"))</f>
        <v/>
      </c>
    </row>
    <row r="3879" customFormat="false" ht="15" hidden="false" customHeight="false" outlineLevel="0" collapsed="false">
      <c r="F3879" s="41" t="str">
        <f aca="false">IF(E3879="","",IFERROR(VLOOKUP(E3879,Assumptions!$G$5:$H$16,2,0),"Other"))</f>
        <v/>
      </c>
      <c r="J3879" s="41" t="str">
        <f aca="false">IF(G3879="","",IFERROR(IF(ISNUMBER(SEARCH(Assumptions!$C$5,G3879)),Assumptions!$D$5,IF(ISNUMBER(SEARCH(Assumptions!$C$6,G3879)),Assumptions!$D$6,IF(ISNUMBER(SEARCH(Assumptions!$C$7,G3879)),Assumptions!$D$7,"Other Services"))),"Other Services"))</f>
        <v/>
      </c>
    </row>
    <row r="3880" customFormat="false" ht="15" hidden="false" customHeight="false" outlineLevel="0" collapsed="false">
      <c r="F3880" s="41" t="str">
        <f aca="false">IF(E3880="","",IFERROR(VLOOKUP(E3880,Assumptions!$G$5:$H$16,2,0),"Other"))</f>
        <v/>
      </c>
      <c r="J3880" s="41" t="str">
        <f aca="false">IF(G3880="","",IFERROR(IF(ISNUMBER(SEARCH(Assumptions!$C$5,G3880)),Assumptions!$D$5,IF(ISNUMBER(SEARCH(Assumptions!$C$6,G3880)),Assumptions!$D$6,IF(ISNUMBER(SEARCH(Assumptions!$C$7,G3880)),Assumptions!$D$7,"Other Services"))),"Other Services"))</f>
        <v/>
      </c>
    </row>
    <row r="3881" customFormat="false" ht="15" hidden="false" customHeight="false" outlineLevel="0" collapsed="false">
      <c r="F3881" s="41" t="str">
        <f aca="false">IF(E3881="","",IFERROR(VLOOKUP(E3881,Assumptions!$G$5:$H$16,2,0),"Other"))</f>
        <v/>
      </c>
      <c r="J3881" s="41" t="str">
        <f aca="false">IF(G3881="","",IFERROR(IF(ISNUMBER(SEARCH(Assumptions!$C$5,G3881)),Assumptions!$D$5,IF(ISNUMBER(SEARCH(Assumptions!$C$6,G3881)),Assumptions!$D$6,IF(ISNUMBER(SEARCH(Assumptions!$C$7,G3881)),Assumptions!$D$7,"Other Services"))),"Other Services"))</f>
        <v/>
      </c>
    </row>
    <row r="3882" customFormat="false" ht="15" hidden="false" customHeight="false" outlineLevel="0" collapsed="false">
      <c r="F3882" s="41" t="str">
        <f aca="false">IF(E3882="","",IFERROR(VLOOKUP(E3882,Assumptions!$G$5:$H$16,2,0),"Other"))</f>
        <v/>
      </c>
      <c r="J3882" s="41" t="str">
        <f aca="false">IF(G3882="","",IFERROR(IF(ISNUMBER(SEARCH(Assumptions!$C$5,G3882)),Assumptions!$D$5,IF(ISNUMBER(SEARCH(Assumptions!$C$6,G3882)),Assumptions!$D$6,IF(ISNUMBER(SEARCH(Assumptions!$C$7,G3882)),Assumptions!$D$7,"Other Services"))),"Other Services"))</f>
        <v/>
      </c>
    </row>
    <row r="3883" customFormat="false" ht="15" hidden="false" customHeight="false" outlineLevel="0" collapsed="false">
      <c r="F3883" s="41" t="str">
        <f aca="false">IF(E3883="","",IFERROR(VLOOKUP(E3883,Assumptions!$G$5:$H$16,2,0),"Other"))</f>
        <v/>
      </c>
      <c r="J3883" s="41" t="str">
        <f aca="false">IF(G3883="","",IFERROR(IF(ISNUMBER(SEARCH(Assumptions!$C$5,G3883)),Assumptions!$D$5,IF(ISNUMBER(SEARCH(Assumptions!$C$6,G3883)),Assumptions!$D$6,IF(ISNUMBER(SEARCH(Assumptions!$C$7,G3883)),Assumptions!$D$7,"Other Services"))),"Other Services"))</f>
        <v/>
      </c>
    </row>
    <row r="3884" customFormat="false" ht="15" hidden="false" customHeight="false" outlineLevel="0" collapsed="false">
      <c r="F3884" s="41" t="str">
        <f aca="false">IF(E3884="","",IFERROR(VLOOKUP(E3884,Assumptions!$G$5:$H$16,2,0),"Other"))</f>
        <v/>
      </c>
      <c r="J3884" s="41" t="str">
        <f aca="false">IF(G3884="","",IFERROR(IF(ISNUMBER(SEARCH(Assumptions!$C$5,G3884)),Assumptions!$D$5,IF(ISNUMBER(SEARCH(Assumptions!$C$6,G3884)),Assumptions!$D$6,IF(ISNUMBER(SEARCH(Assumptions!$C$7,G3884)),Assumptions!$D$7,"Other Services"))),"Other Services"))</f>
        <v/>
      </c>
    </row>
    <row r="3885" customFormat="false" ht="15" hidden="false" customHeight="false" outlineLevel="0" collapsed="false">
      <c r="F3885" s="41" t="str">
        <f aca="false">IF(E3885="","",IFERROR(VLOOKUP(E3885,Assumptions!$G$5:$H$16,2,0),"Other"))</f>
        <v/>
      </c>
      <c r="J3885" s="41" t="str">
        <f aca="false">IF(G3885="","",IFERROR(IF(ISNUMBER(SEARCH(Assumptions!$C$5,G3885)),Assumptions!$D$5,IF(ISNUMBER(SEARCH(Assumptions!$C$6,G3885)),Assumptions!$D$6,IF(ISNUMBER(SEARCH(Assumptions!$C$7,G3885)),Assumptions!$D$7,"Other Services"))),"Other Services"))</f>
        <v/>
      </c>
    </row>
    <row r="3886" customFormat="false" ht="15" hidden="false" customHeight="false" outlineLevel="0" collapsed="false">
      <c r="F3886" s="41" t="str">
        <f aca="false">IF(E3886="","",IFERROR(VLOOKUP(E3886,Assumptions!$G$5:$H$16,2,0),"Other"))</f>
        <v/>
      </c>
      <c r="J3886" s="41" t="str">
        <f aca="false">IF(G3886="","",IFERROR(IF(ISNUMBER(SEARCH(Assumptions!$C$5,G3886)),Assumptions!$D$5,IF(ISNUMBER(SEARCH(Assumptions!$C$6,G3886)),Assumptions!$D$6,IF(ISNUMBER(SEARCH(Assumptions!$C$7,G3886)),Assumptions!$D$7,"Other Services"))),"Other Services"))</f>
        <v/>
      </c>
    </row>
    <row r="3887" customFormat="false" ht="15" hidden="false" customHeight="false" outlineLevel="0" collapsed="false">
      <c r="F3887" s="41" t="str">
        <f aca="false">IF(E3887="","",IFERROR(VLOOKUP(E3887,Assumptions!$G$5:$H$16,2,0),"Other"))</f>
        <v/>
      </c>
      <c r="J3887" s="41" t="str">
        <f aca="false">IF(G3887="","",IFERROR(IF(ISNUMBER(SEARCH(Assumptions!$C$5,G3887)),Assumptions!$D$5,IF(ISNUMBER(SEARCH(Assumptions!$C$6,G3887)),Assumptions!$D$6,IF(ISNUMBER(SEARCH(Assumptions!$C$7,G3887)),Assumptions!$D$7,"Other Services"))),"Other Services"))</f>
        <v/>
      </c>
    </row>
    <row r="3888" customFormat="false" ht="15" hidden="false" customHeight="false" outlineLevel="0" collapsed="false">
      <c r="F3888" s="41" t="str">
        <f aca="false">IF(E3888="","",IFERROR(VLOOKUP(E3888,Assumptions!$G$5:$H$16,2,0),"Other"))</f>
        <v/>
      </c>
      <c r="J3888" s="41" t="str">
        <f aca="false">IF(G3888="","",IFERROR(IF(ISNUMBER(SEARCH(Assumptions!$C$5,G3888)),Assumptions!$D$5,IF(ISNUMBER(SEARCH(Assumptions!$C$6,G3888)),Assumptions!$D$6,IF(ISNUMBER(SEARCH(Assumptions!$C$7,G3888)),Assumptions!$D$7,"Other Services"))),"Other Services"))</f>
        <v/>
      </c>
    </row>
    <row r="3889" customFormat="false" ht="15" hidden="false" customHeight="false" outlineLevel="0" collapsed="false">
      <c r="F3889" s="41" t="str">
        <f aca="false">IF(E3889="","",IFERROR(VLOOKUP(E3889,Assumptions!$G$5:$H$16,2,0),"Other"))</f>
        <v/>
      </c>
      <c r="J3889" s="41" t="str">
        <f aca="false">IF(G3889="","",IFERROR(IF(ISNUMBER(SEARCH(Assumptions!$C$5,G3889)),Assumptions!$D$5,IF(ISNUMBER(SEARCH(Assumptions!$C$6,G3889)),Assumptions!$D$6,IF(ISNUMBER(SEARCH(Assumptions!$C$7,G3889)),Assumptions!$D$7,"Other Services"))),"Other Services"))</f>
        <v/>
      </c>
    </row>
    <row r="3890" customFormat="false" ht="15" hidden="false" customHeight="false" outlineLevel="0" collapsed="false">
      <c r="F3890" s="41" t="str">
        <f aca="false">IF(E3890="","",IFERROR(VLOOKUP(E3890,Assumptions!$G$5:$H$16,2,0),"Other"))</f>
        <v/>
      </c>
      <c r="J3890" s="41" t="str">
        <f aca="false">IF(G3890="","",IFERROR(IF(ISNUMBER(SEARCH(Assumptions!$C$5,G3890)),Assumptions!$D$5,IF(ISNUMBER(SEARCH(Assumptions!$C$6,G3890)),Assumptions!$D$6,IF(ISNUMBER(SEARCH(Assumptions!$C$7,G3890)),Assumptions!$D$7,"Other Services"))),"Other Services"))</f>
        <v/>
      </c>
    </row>
    <row r="3891" customFormat="false" ht="15" hidden="false" customHeight="false" outlineLevel="0" collapsed="false">
      <c r="F3891" s="41" t="str">
        <f aca="false">IF(E3891="","",IFERROR(VLOOKUP(E3891,Assumptions!$G$5:$H$16,2,0),"Other"))</f>
        <v/>
      </c>
      <c r="J3891" s="41" t="str">
        <f aca="false">IF(G3891="","",IFERROR(IF(ISNUMBER(SEARCH(Assumptions!$C$5,G3891)),Assumptions!$D$5,IF(ISNUMBER(SEARCH(Assumptions!$C$6,G3891)),Assumptions!$D$6,IF(ISNUMBER(SEARCH(Assumptions!$C$7,G3891)),Assumptions!$D$7,"Other Services"))),"Other Services"))</f>
        <v/>
      </c>
    </row>
    <row r="3892" customFormat="false" ht="15" hidden="false" customHeight="false" outlineLevel="0" collapsed="false">
      <c r="F3892" s="41" t="str">
        <f aca="false">IF(E3892="","",IFERROR(VLOOKUP(E3892,Assumptions!$G$5:$H$16,2,0),"Other"))</f>
        <v/>
      </c>
      <c r="J3892" s="41" t="str">
        <f aca="false">IF(G3892="","",IFERROR(IF(ISNUMBER(SEARCH(Assumptions!$C$5,G3892)),Assumptions!$D$5,IF(ISNUMBER(SEARCH(Assumptions!$C$6,G3892)),Assumptions!$D$6,IF(ISNUMBER(SEARCH(Assumptions!$C$7,G3892)),Assumptions!$D$7,"Other Services"))),"Other Services"))</f>
        <v/>
      </c>
    </row>
    <row r="3893" customFormat="false" ht="15" hidden="false" customHeight="false" outlineLevel="0" collapsed="false">
      <c r="F3893" s="41" t="str">
        <f aca="false">IF(E3893="","",IFERROR(VLOOKUP(E3893,Assumptions!$G$5:$H$16,2,0),"Other"))</f>
        <v/>
      </c>
      <c r="J3893" s="41" t="str">
        <f aca="false">IF(G3893="","",IFERROR(IF(ISNUMBER(SEARCH(Assumptions!$C$5,G3893)),Assumptions!$D$5,IF(ISNUMBER(SEARCH(Assumptions!$C$6,G3893)),Assumptions!$D$6,IF(ISNUMBER(SEARCH(Assumptions!$C$7,G3893)),Assumptions!$D$7,"Other Services"))),"Other Services"))</f>
        <v/>
      </c>
    </row>
    <row r="3894" customFormat="false" ht="15" hidden="false" customHeight="false" outlineLevel="0" collapsed="false">
      <c r="F3894" s="41" t="str">
        <f aca="false">IF(E3894="","",IFERROR(VLOOKUP(E3894,Assumptions!$G$5:$H$16,2,0),"Other"))</f>
        <v/>
      </c>
      <c r="J3894" s="41" t="str">
        <f aca="false">IF(G3894="","",IFERROR(IF(ISNUMBER(SEARCH(Assumptions!$C$5,G3894)),Assumptions!$D$5,IF(ISNUMBER(SEARCH(Assumptions!$C$6,G3894)),Assumptions!$D$6,IF(ISNUMBER(SEARCH(Assumptions!$C$7,G3894)),Assumptions!$D$7,"Other Services"))),"Other Services"))</f>
        <v/>
      </c>
    </row>
    <row r="3895" customFormat="false" ht="15" hidden="false" customHeight="false" outlineLevel="0" collapsed="false">
      <c r="F3895" s="41" t="str">
        <f aca="false">IF(E3895="","",IFERROR(VLOOKUP(E3895,Assumptions!$G$5:$H$16,2,0),"Other"))</f>
        <v/>
      </c>
      <c r="J3895" s="41" t="str">
        <f aca="false">IF(G3895="","",IFERROR(IF(ISNUMBER(SEARCH(Assumptions!$C$5,G3895)),Assumptions!$D$5,IF(ISNUMBER(SEARCH(Assumptions!$C$6,G3895)),Assumptions!$D$6,IF(ISNUMBER(SEARCH(Assumptions!$C$7,G3895)),Assumptions!$D$7,"Other Services"))),"Other Services"))</f>
        <v/>
      </c>
    </row>
    <row r="3896" customFormat="false" ht="15" hidden="false" customHeight="false" outlineLevel="0" collapsed="false">
      <c r="F3896" s="41" t="str">
        <f aca="false">IF(E3896="","",IFERROR(VLOOKUP(E3896,Assumptions!$G$5:$H$16,2,0),"Other"))</f>
        <v/>
      </c>
      <c r="J3896" s="41" t="str">
        <f aca="false">IF(G3896="","",IFERROR(IF(ISNUMBER(SEARCH(Assumptions!$C$5,G3896)),Assumptions!$D$5,IF(ISNUMBER(SEARCH(Assumptions!$C$6,G3896)),Assumptions!$D$6,IF(ISNUMBER(SEARCH(Assumptions!$C$7,G3896)),Assumptions!$D$7,"Other Services"))),"Other Services"))</f>
        <v/>
      </c>
    </row>
    <row r="3897" customFormat="false" ht="15" hidden="false" customHeight="false" outlineLevel="0" collapsed="false">
      <c r="F3897" s="41" t="str">
        <f aca="false">IF(E3897="","",IFERROR(VLOOKUP(E3897,Assumptions!$G$5:$H$16,2,0),"Other"))</f>
        <v/>
      </c>
      <c r="J3897" s="41" t="str">
        <f aca="false">IF(G3897="","",IFERROR(IF(ISNUMBER(SEARCH(Assumptions!$C$5,G3897)),Assumptions!$D$5,IF(ISNUMBER(SEARCH(Assumptions!$C$6,G3897)),Assumptions!$D$6,IF(ISNUMBER(SEARCH(Assumptions!$C$7,G3897)),Assumptions!$D$7,"Other Services"))),"Other Services"))</f>
        <v/>
      </c>
    </row>
    <row r="3898" customFormat="false" ht="15" hidden="false" customHeight="false" outlineLevel="0" collapsed="false">
      <c r="F3898" s="41" t="str">
        <f aca="false">IF(E3898="","",IFERROR(VLOOKUP(E3898,Assumptions!$G$5:$H$16,2,0),"Other"))</f>
        <v/>
      </c>
      <c r="J3898" s="41" t="str">
        <f aca="false">IF(G3898="","",IFERROR(IF(ISNUMBER(SEARCH(Assumptions!$C$5,G3898)),Assumptions!$D$5,IF(ISNUMBER(SEARCH(Assumptions!$C$6,G3898)),Assumptions!$D$6,IF(ISNUMBER(SEARCH(Assumptions!$C$7,G3898)),Assumptions!$D$7,"Other Services"))),"Other Services"))</f>
        <v/>
      </c>
    </row>
    <row r="3899" customFormat="false" ht="15" hidden="false" customHeight="false" outlineLevel="0" collapsed="false">
      <c r="F3899" s="41" t="str">
        <f aca="false">IF(E3899="","",IFERROR(VLOOKUP(E3899,Assumptions!$G$5:$H$16,2,0),"Other"))</f>
        <v/>
      </c>
      <c r="J3899" s="41" t="str">
        <f aca="false">IF(G3899="","",IFERROR(IF(ISNUMBER(SEARCH(Assumptions!$C$5,G3899)),Assumptions!$D$5,IF(ISNUMBER(SEARCH(Assumptions!$C$6,G3899)),Assumptions!$D$6,IF(ISNUMBER(SEARCH(Assumptions!$C$7,G3899)),Assumptions!$D$7,"Other Services"))),"Other Services"))</f>
        <v/>
      </c>
    </row>
    <row r="3900" customFormat="false" ht="15" hidden="false" customHeight="false" outlineLevel="0" collapsed="false">
      <c r="F3900" s="41" t="str">
        <f aca="false">IF(E3900="","",IFERROR(VLOOKUP(E3900,Assumptions!$G$5:$H$16,2,0),"Other"))</f>
        <v/>
      </c>
      <c r="J3900" s="41" t="str">
        <f aca="false">IF(G3900="","",IFERROR(IF(ISNUMBER(SEARCH(Assumptions!$C$5,G3900)),Assumptions!$D$5,IF(ISNUMBER(SEARCH(Assumptions!$C$6,G3900)),Assumptions!$D$6,IF(ISNUMBER(SEARCH(Assumptions!$C$7,G3900)),Assumptions!$D$7,"Other Services"))),"Other Services"))</f>
        <v/>
      </c>
    </row>
    <row r="3901" customFormat="false" ht="15" hidden="false" customHeight="false" outlineLevel="0" collapsed="false">
      <c r="F3901" s="41" t="str">
        <f aca="false">IF(E3901="","",IFERROR(VLOOKUP(E3901,Assumptions!$G$5:$H$16,2,0),"Other"))</f>
        <v/>
      </c>
      <c r="J3901" s="41" t="str">
        <f aca="false">IF(G3901="","",IFERROR(IF(ISNUMBER(SEARCH(Assumptions!$C$5,G3901)),Assumptions!$D$5,IF(ISNUMBER(SEARCH(Assumptions!$C$6,G3901)),Assumptions!$D$6,IF(ISNUMBER(SEARCH(Assumptions!$C$7,G3901)),Assumptions!$D$7,"Other Services"))),"Other Services"))</f>
        <v/>
      </c>
    </row>
    <row r="3902" customFormat="false" ht="15" hidden="false" customHeight="false" outlineLevel="0" collapsed="false">
      <c r="F3902" s="41" t="str">
        <f aca="false">IF(E3902="","",IFERROR(VLOOKUP(E3902,Assumptions!$G$5:$H$16,2,0),"Other"))</f>
        <v/>
      </c>
      <c r="J3902" s="41" t="str">
        <f aca="false">IF(G3902="","",IFERROR(IF(ISNUMBER(SEARCH(Assumptions!$C$5,G3902)),Assumptions!$D$5,IF(ISNUMBER(SEARCH(Assumptions!$C$6,G3902)),Assumptions!$D$6,IF(ISNUMBER(SEARCH(Assumptions!$C$7,G3902)),Assumptions!$D$7,"Other Services"))),"Other Services"))</f>
        <v/>
      </c>
    </row>
    <row r="3903" customFormat="false" ht="15" hidden="false" customHeight="false" outlineLevel="0" collapsed="false">
      <c r="F3903" s="41" t="str">
        <f aca="false">IF(E3903="","",IFERROR(VLOOKUP(E3903,Assumptions!$G$5:$H$16,2,0),"Other"))</f>
        <v/>
      </c>
      <c r="J3903" s="41" t="str">
        <f aca="false">IF(G3903="","",IFERROR(IF(ISNUMBER(SEARCH(Assumptions!$C$5,G3903)),Assumptions!$D$5,IF(ISNUMBER(SEARCH(Assumptions!$C$6,G3903)),Assumptions!$D$6,IF(ISNUMBER(SEARCH(Assumptions!$C$7,G3903)),Assumptions!$D$7,"Other Services"))),"Other Services"))</f>
        <v/>
      </c>
    </row>
    <row r="3904" customFormat="false" ht="15" hidden="false" customHeight="false" outlineLevel="0" collapsed="false">
      <c r="F3904" s="41" t="str">
        <f aca="false">IF(E3904="","",IFERROR(VLOOKUP(E3904,Assumptions!$G$5:$H$16,2,0),"Other"))</f>
        <v/>
      </c>
      <c r="J3904" s="41" t="str">
        <f aca="false">IF(G3904="","",IFERROR(IF(ISNUMBER(SEARCH(Assumptions!$C$5,G3904)),Assumptions!$D$5,IF(ISNUMBER(SEARCH(Assumptions!$C$6,G3904)),Assumptions!$D$6,IF(ISNUMBER(SEARCH(Assumptions!$C$7,G3904)),Assumptions!$D$7,"Other Services"))),"Other Services"))</f>
        <v/>
      </c>
    </row>
    <row r="3905" customFormat="false" ht="15" hidden="false" customHeight="false" outlineLevel="0" collapsed="false">
      <c r="F3905" s="41" t="str">
        <f aca="false">IF(E3905="","",IFERROR(VLOOKUP(E3905,Assumptions!$G$5:$H$16,2,0),"Other"))</f>
        <v/>
      </c>
      <c r="J3905" s="41" t="str">
        <f aca="false">IF(G3905="","",IFERROR(IF(ISNUMBER(SEARCH(Assumptions!$C$5,G3905)),Assumptions!$D$5,IF(ISNUMBER(SEARCH(Assumptions!$C$6,G3905)),Assumptions!$D$6,IF(ISNUMBER(SEARCH(Assumptions!$C$7,G3905)),Assumptions!$D$7,"Other Services"))),"Other Services"))</f>
        <v/>
      </c>
    </row>
    <row r="3906" customFormat="false" ht="15" hidden="false" customHeight="false" outlineLevel="0" collapsed="false">
      <c r="F3906" s="41" t="str">
        <f aca="false">IF(E3906="","",IFERROR(VLOOKUP(E3906,Assumptions!$G$5:$H$16,2,0),"Other"))</f>
        <v/>
      </c>
      <c r="J3906" s="41" t="str">
        <f aca="false">IF(G3906="","",IFERROR(IF(ISNUMBER(SEARCH(Assumptions!$C$5,G3906)),Assumptions!$D$5,IF(ISNUMBER(SEARCH(Assumptions!$C$6,G3906)),Assumptions!$D$6,IF(ISNUMBER(SEARCH(Assumptions!$C$7,G3906)),Assumptions!$D$7,"Other Services"))),"Other Services"))</f>
        <v/>
      </c>
    </row>
    <row r="3907" customFormat="false" ht="15" hidden="false" customHeight="false" outlineLevel="0" collapsed="false">
      <c r="F3907" s="41" t="str">
        <f aca="false">IF(E3907="","",IFERROR(VLOOKUP(E3907,Assumptions!$G$5:$H$16,2,0),"Other"))</f>
        <v/>
      </c>
      <c r="J3907" s="41" t="str">
        <f aca="false">IF(G3907="","",IFERROR(IF(ISNUMBER(SEARCH(Assumptions!$C$5,G3907)),Assumptions!$D$5,IF(ISNUMBER(SEARCH(Assumptions!$C$6,G3907)),Assumptions!$D$6,IF(ISNUMBER(SEARCH(Assumptions!$C$7,G3907)),Assumptions!$D$7,"Other Services"))),"Other Services"))</f>
        <v/>
      </c>
    </row>
    <row r="3908" customFormat="false" ht="15" hidden="false" customHeight="false" outlineLevel="0" collapsed="false">
      <c r="F3908" s="41" t="str">
        <f aca="false">IF(E3908="","",IFERROR(VLOOKUP(E3908,Assumptions!$G$5:$H$16,2,0),"Other"))</f>
        <v/>
      </c>
      <c r="J3908" s="41" t="str">
        <f aca="false">IF(G3908="","",IFERROR(IF(ISNUMBER(SEARCH(Assumptions!$C$5,G3908)),Assumptions!$D$5,IF(ISNUMBER(SEARCH(Assumptions!$C$6,G3908)),Assumptions!$D$6,IF(ISNUMBER(SEARCH(Assumptions!$C$7,G3908)),Assumptions!$D$7,"Other Services"))),"Other Services"))</f>
        <v/>
      </c>
    </row>
    <row r="3909" customFormat="false" ht="15" hidden="false" customHeight="false" outlineLevel="0" collapsed="false">
      <c r="F3909" s="41" t="str">
        <f aca="false">IF(E3909="","",IFERROR(VLOOKUP(E3909,Assumptions!$G$5:$H$16,2,0),"Other"))</f>
        <v/>
      </c>
      <c r="J3909" s="41" t="str">
        <f aca="false">IF(G3909="","",IFERROR(IF(ISNUMBER(SEARCH(Assumptions!$C$5,G3909)),Assumptions!$D$5,IF(ISNUMBER(SEARCH(Assumptions!$C$6,G3909)),Assumptions!$D$6,IF(ISNUMBER(SEARCH(Assumptions!$C$7,G3909)),Assumptions!$D$7,"Other Services"))),"Other Services"))</f>
        <v/>
      </c>
    </row>
    <row r="3910" customFormat="false" ht="15" hidden="false" customHeight="false" outlineLevel="0" collapsed="false">
      <c r="F3910" s="41" t="str">
        <f aca="false">IF(E3910="","",IFERROR(VLOOKUP(E3910,Assumptions!$G$5:$H$16,2,0),"Other"))</f>
        <v/>
      </c>
      <c r="J3910" s="41" t="str">
        <f aca="false">IF(G3910="","",IFERROR(IF(ISNUMBER(SEARCH(Assumptions!$C$5,G3910)),Assumptions!$D$5,IF(ISNUMBER(SEARCH(Assumptions!$C$6,G3910)),Assumptions!$D$6,IF(ISNUMBER(SEARCH(Assumptions!$C$7,G3910)),Assumptions!$D$7,"Other Services"))),"Other Services"))</f>
        <v/>
      </c>
    </row>
    <row r="3911" customFormat="false" ht="15" hidden="false" customHeight="false" outlineLevel="0" collapsed="false">
      <c r="F3911" s="41" t="str">
        <f aca="false">IF(E3911="","",IFERROR(VLOOKUP(E3911,Assumptions!$G$5:$H$16,2,0),"Other"))</f>
        <v/>
      </c>
      <c r="J3911" s="41" t="str">
        <f aca="false">IF(G3911="","",IFERROR(IF(ISNUMBER(SEARCH(Assumptions!$C$5,G3911)),Assumptions!$D$5,IF(ISNUMBER(SEARCH(Assumptions!$C$6,G3911)),Assumptions!$D$6,IF(ISNUMBER(SEARCH(Assumptions!$C$7,G3911)),Assumptions!$D$7,"Other Services"))),"Other Services"))</f>
        <v/>
      </c>
    </row>
    <row r="3912" customFormat="false" ht="15" hidden="false" customHeight="false" outlineLevel="0" collapsed="false">
      <c r="F3912" s="41" t="str">
        <f aca="false">IF(E3912="","",IFERROR(VLOOKUP(E3912,Assumptions!$G$5:$H$16,2,0),"Other"))</f>
        <v/>
      </c>
      <c r="J3912" s="41" t="str">
        <f aca="false">IF(G3912="","",IFERROR(IF(ISNUMBER(SEARCH(Assumptions!$C$5,G3912)),Assumptions!$D$5,IF(ISNUMBER(SEARCH(Assumptions!$C$6,G3912)),Assumptions!$D$6,IF(ISNUMBER(SEARCH(Assumptions!$C$7,G3912)),Assumptions!$D$7,"Other Services"))),"Other Services"))</f>
        <v/>
      </c>
    </row>
    <row r="3913" customFormat="false" ht="15" hidden="false" customHeight="false" outlineLevel="0" collapsed="false">
      <c r="F3913" s="41" t="str">
        <f aca="false">IF(E3913="","",IFERROR(VLOOKUP(E3913,Assumptions!$G$5:$H$16,2,0),"Other"))</f>
        <v/>
      </c>
      <c r="J3913" s="41" t="str">
        <f aca="false">IF(G3913="","",IFERROR(IF(ISNUMBER(SEARCH(Assumptions!$C$5,G3913)),Assumptions!$D$5,IF(ISNUMBER(SEARCH(Assumptions!$C$6,G3913)),Assumptions!$D$6,IF(ISNUMBER(SEARCH(Assumptions!$C$7,G3913)),Assumptions!$D$7,"Other Services"))),"Other Services"))</f>
        <v/>
      </c>
    </row>
    <row r="3914" customFormat="false" ht="15" hidden="false" customHeight="false" outlineLevel="0" collapsed="false">
      <c r="F3914" s="41" t="str">
        <f aca="false">IF(E3914="","",IFERROR(VLOOKUP(E3914,Assumptions!$G$5:$H$16,2,0),"Other"))</f>
        <v/>
      </c>
      <c r="J3914" s="41" t="str">
        <f aca="false">IF(G3914="","",IFERROR(IF(ISNUMBER(SEARCH(Assumptions!$C$5,G3914)),Assumptions!$D$5,IF(ISNUMBER(SEARCH(Assumptions!$C$6,G3914)),Assumptions!$D$6,IF(ISNUMBER(SEARCH(Assumptions!$C$7,G3914)),Assumptions!$D$7,"Other Services"))),"Other Services"))</f>
        <v/>
      </c>
    </row>
    <row r="3915" customFormat="false" ht="15" hidden="false" customHeight="false" outlineLevel="0" collapsed="false">
      <c r="F3915" s="41" t="str">
        <f aca="false">IF(E3915="","",IFERROR(VLOOKUP(E3915,Assumptions!$G$5:$H$16,2,0),"Other"))</f>
        <v/>
      </c>
      <c r="J3915" s="41" t="str">
        <f aca="false">IF(G3915="","",IFERROR(IF(ISNUMBER(SEARCH(Assumptions!$C$5,G3915)),Assumptions!$D$5,IF(ISNUMBER(SEARCH(Assumptions!$C$6,G3915)),Assumptions!$D$6,IF(ISNUMBER(SEARCH(Assumptions!$C$7,G3915)),Assumptions!$D$7,"Other Services"))),"Other Services"))</f>
        <v/>
      </c>
    </row>
    <row r="3916" customFormat="false" ht="15" hidden="false" customHeight="false" outlineLevel="0" collapsed="false">
      <c r="F3916" s="41" t="str">
        <f aca="false">IF(E3916="","",IFERROR(VLOOKUP(E3916,Assumptions!$G$5:$H$16,2,0),"Other"))</f>
        <v/>
      </c>
      <c r="J3916" s="41" t="str">
        <f aca="false">IF(G3916="","",IFERROR(IF(ISNUMBER(SEARCH(Assumptions!$C$5,G3916)),Assumptions!$D$5,IF(ISNUMBER(SEARCH(Assumptions!$C$6,G3916)),Assumptions!$D$6,IF(ISNUMBER(SEARCH(Assumptions!$C$7,G3916)),Assumptions!$D$7,"Other Services"))),"Other Services"))</f>
        <v/>
      </c>
    </row>
    <row r="3917" customFormat="false" ht="15" hidden="false" customHeight="false" outlineLevel="0" collapsed="false">
      <c r="F3917" s="41" t="str">
        <f aca="false">IF(E3917="","",IFERROR(VLOOKUP(E3917,Assumptions!$G$5:$H$16,2,0),"Other"))</f>
        <v/>
      </c>
      <c r="J3917" s="41" t="str">
        <f aca="false">IF(G3917="","",IFERROR(IF(ISNUMBER(SEARCH(Assumptions!$C$5,G3917)),Assumptions!$D$5,IF(ISNUMBER(SEARCH(Assumptions!$C$6,G3917)),Assumptions!$D$6,IF(ISNUMBER(SEARCH(Assumptions!$C$7,G3917)),Assumptions!$D$7,"Other Services"))),"Other Services"))</f>
        <v/>
      </c>
    </row>
    <row r="3918" customFormat="false" ht="15" hidden="false" customHeight="false" outlineLevel="0" collapsed="false">
      <c r="F3918" s="41" t="str">
        <f aca="false">IF(E3918="","",IFERROR(VLOOKUP(E3918,Assumptions!$G$5:$H$16,2,0),"Other"))</f>
        <v/>
      </c>
      <c r="J3918" s="41" t="str">
        <f aca="false">IF(G3918="","",IFERROR(IF(ISNUMBER(SEARCH(Assumptions!$C$5,G3918)),Assumptions!$D$5,IF(ISNUMBER(SEARCH(Assumptions!$C$6,G3918)),Assumptions!$D$6,IF(ISNUMBER(SEARCH(Assumptions!$C$7,G3918)),Assumptions!$D$7,"Other Services"))),"Other Services"))</f>
        <v/>
      </c>
    </row>
    <row r="3919" customFormat="false" ht="15" hidden="false" customHeight="false" outlineLevel="0" collapsed="false">
      <c r="F3919" s="41" t="str">
        <f aca="false">IF(E3919="","",IFERROR(VLOOKUP(E3919,Assumptions!$G$5:$H$16,2,0),"Other"))</f>
        <v/>
      </c>
      <c r="J3919" s="41" t="str">
        <f aca="false">IF(G3919="","",IFERROR(IF(ISNUMBER(SEARCH(Assumptions!$C$5,G3919)),Assumptions!$D$5,IF(ISNUMBER(SEARCH(Assumptions!$C$6,G3919)),Assumptions!$D$6,IF(ISNUMBER(SEARCH(Assumptions!$C$7,G3919)),Assumptions!$D$7,"Other Services"))),"Other Services"))</f>
        <v/>
      </c>
    </row>
    <row r="3920" customFormat="false" ht="15" hidden="false" customHeight="false" outlineLevel="0" collapsed="false">
      <c r="F3920" s="41" t="str">
        <f aca="false">IF(E3920="","",IFERROR(VLOOKUP(E3920,Assumptions!$G$5:$H$16,2,0),"Other"))</f>
        <v/>
      </c>
      <c r="J3920" s="41" t="str">
        <f aca="false">IF(G3920="","",IFERROR(IF(ISNUMBER(SEARCH(Assumptions!$C$5,G3920)),Assumptions!$D$5,IF(ISNUMBER(SEARCH(Assumptions!$C$6,G3920)),Assumptions!$D$6,IF(ISNUMBER(SEARCH(Assumptions!$C$7,G3920)),Assumptions!$D$7,"Other Services"))),"Other Services"))</f>
        <v/>
      </c>
    </row>
    <row r="3921" customFormat="false" ht="15" hidden="false" customHeight="false" outlineLevel="0" collapsed="false">
      <c r="F3921" s="41" t="str">
        <f aca="false">IF(E3921="","",IFERROR(VLOOKUP(E3921,Assumptions!$G$5:$H$16,2,0),"Other"))</f>
        <v/>
      </c>
      <c r="J3921" s="41" t="str">
        <f aca="false">IF(G3921="","",IFERROR(IF(ISNUMBER(SEARCH(Assumptions!$C$5,G3921)),Assumptions!$D$5,IF(ISNUMBER(SEARCH(Assumptions!$C$6,G3921)),Assumptions!$D$6,IF(ISNUMBER(SEARCH(Assumptions!$C$7,G3921)),Assumptions!$D$7,"Other Services"))),"Other Services"))</f>
        <v/>
      </c>
    </row>
    <row r="3922" customFormat="false" ht="15" hidden="false" customHeight="false" outlineLevel="0" collapsed="false">
      <c r="F3922" s="41" t="str">
        <f aca="false">IF(E3922="","",IFERROR(VLOOKUP(E3922,Assumptions!$G$5:$H$16,2,0),"Other"))</f>
        <v/>
      </c>
      <c r="J3922" s="41" t="str">
        <f aca="false">IF(G3922="","",IFERROR(IF(ISNUMBER(SEARCH(Assumptions!$C$5,G3922)),Assumptions!$D$5,IF(ISNUMBER(SEARCH(Assumptions!$C$6,G3922)),Assumptions!$D$6,IF(ISNUMBER(SEARCH(Assumptions!$C$7,G3922)),Assumptions!$D$7,"Other Services"))),"Other Services"))</f>
        <v/>
      </c>
    </row>
    <row r="3923" customFormat="false" ht="15" hidden="false" customHeight="false" outlineLevel="0" collapsed="false">
      <c r="F3923" s="41" t="str">
        <f aca="false">IF(E3923="","",IFERROR(VLOOKUP(E3923,Assumptions!$G$5:$H$16,2,0),"Other"))</f>
        <v/>
      </c>
      <c r="J3923" s="41" t="str">
        <f aca="false">IF(G3923="","",IFERROR(IF(ISNUMBER(SEARCH(Assumptions!$C$5,G3923)),Assumptions!$D$5,IF(ISNUMBER(SEARCH(Assumptions!$C$6,G3923)),Assumptions!$D$6,IF(ISNUMBER(SEARCH(Assumptions!$C$7,G3923)),Assumptions!$D$7,"Other Services"))),"Other Services"))</f>
        <v/>
      </c>
    </row>
    <row r="3924" customFormat="false" ht="15" hidden="false" customHeight="false" outlineLevel="0" collapsed="false">
      <c r="F3924" s="41" t="str">
        <f aca="false">IF(E3924="","",IFERROR(VLOOKUP(E3924,Assumptions!$G$5:$H$16,2,0),"Other"))</f>
        <v/>
      </c>
      <c r="J3924" s="41" t="str">
        <f aca="false">IF(G3924="","",IFERROR(IF(ISNUMBER(SEARCH(Assumptions!$C$5,G3924)),Assumptions!$D$5,IF(ISNUMBER(SEARCH(Assumptions!$C$6,G3924)),Assumptions!$D$6,IF(ISNUMBER(SEARCH(Assumptions!$C$7,G3924)),Assumptions!$D$7,"Other Services"))),"Other Services"))</f>
        <v/>
      </c>
    </row>
    <row r="3925" customFormat="false" ht="15" hidden="false" customHeight="false" outlineLevel="0" collapsed="false">
      <c r="F3925" s="41" t="str">
        <f aca="false">IF(E3925="","",IFERROR(VLOOKUP(E3925,Assumptions!$G$5:$H$16,2,0),"Other"))</f>
        <v/>
      </c>
      <c r="J3925" s="41" t="str">
        <f aca="false">IF(G3925="","",IFERROR(IF(ISNUMBER(SEARCH(Assumptions!$C$5,G3925)),Assumptions!$D$5,IF(ISNUMBER(SEARCH(Assumptions!$C$6,G3925)),Assumptions!$D$6,IF(ISNUMBER(SEARCH(Assumptions!$C$7,G3925)),Assumptions!$D$7,"Other Services"))),"Other Services"))</f>
        <v/>
      </c>
    </row>
    <row r="3926" customFormat="false" ht="15" hidden="false" customHeight="false" outlineLevel="0" collapsed="false">
      <c r="F3926" s="41" t="str">
        <f aca="false">IF(E3926="","",IFERROR(VLOOKUP(E3926,Assumptions!$G$5:$H$16,2,0),"Other"))</f>
        <v/>
      </c>
      <c r="J3926" s="41" t="str">
        <f aca="false">IF(G3926="","",IFERROR(IF(ISNUMBER(SEARCH(Assumptions!$C$5,G3926)),Assumptions!$D$5,IF(ISNUMBER(SEARCH(Assumptions!$C$6,G3926)),Assumptions!$D$6,IF(ISNUMBER(SEARCH(Assumptions!$C$7,G3926)),Assumptions!$D$7,"Other Services"))),"Other Services"))</f>
        <v/>
      </c>
    </row>
    <row r="3927" customFormat="false" ht="15" hidden="false" customHeight="false" outlineLevel="0" collapsed="false">
      <c r="F3927" s="41" t="str">
        <f aca="false">IF(E3927="","",IFERROR(VLOOKUP(E3927,Assumptions!$G$5:$H$16,2,0),"Other"))</f>
        <v/>
      </c>
      <c r="J3927" s="41" t="str">
        <f aca="false">IF(G3927="","",IFERROR(IF(ISNUMBER(SEARCH(Assumptions!$C$5,G3927)),Assumptions!$D$5,IF(ISNUMBER(SEARCH(Assumptions!$C$6,G3927)),Assumptions!$D$6,IF(ISNUMBER(SEARCH(Assumptions!$C$7,G3927)),Assumptions!$D$7,"Other Services"))),"Other Services"))</f>
        <v/>
      </c>
    </row>
    <row r="3928" customFormat="false" ht="15" hidden="false" customHeight="false" outlineLevel="0" collapsed="false">
      <c r="F3928" s="41" t="str">
        <f aca="false">IF(E3928="","",IFERROR(VLOOKUP(E3928,Assumptions!$G$5:$H$16,2,0),"Other"))</f>
        <v/>
      </c>
      <c r="J3928" s="41" t="str">
        <f aca="false">IF(G3928="","",IFERROR(IF(ISNUMBER(SEARCH(Assumptions!$C$5,G3928)),Assumptions!$D$5,IF(ISNUMBER(SEARCH(Assumptions!$C$6,G3928)),Assumptions!$D$6,IF(ISNUMBER(SEARCH(Assumptions!$C$7,G3928)),Assumptions!$D$7,"Other Services"))),"Other Services"))</f>
        <v/>
      </c>
    </row>
    <row r="3929" customFormat="false" ht="15" hidden="false" customHeight="false" outlineLevel="0" collapsed="false">
      <c r="F3929" s="41" t="str">
        <f aca="false">IF(E3929="","",IFERROR(VLOOKUP(E3929,Assumptions!$G$5:$H$16,2,0),"Other"))</f>
        <v/>
      </c>
      <c r="J3929" s="41" t="str">
        <f aca="false">IF(G3929="","",IFERROR(IF(ISNUMBER(SEARCH(Assumptions!$C$5,G3929)),Assumptions!$D$5,IF(ISNUMBER(SEARCH(Assumptions!$C$6,G3929)),Assumptions!$D$6,IF(ISNUMBER(SEARCH(Assumptions!$C$7,G3929)),Assumptions!$D$7,"Other Services"))),"Other Services"))</f>
        <v/>
      </c>
    </row>
    <row r="3930" customFormat="false" ht="15" hidden="false" customHeight="false" outlineLevel="0" collapsed="false">
      <c r="F3930" s="41" t="str">
        <f aca="false">IF(E3930="","",IFERROR(VLOOKUP(E3930,Assumptions!$G$5:$H$16,2,0),"Other"))</f>
        <v/>
      </c>
      <c r="J3930" s="41" t="str">
        <f aca="false">IF(G3930="","",IFERROR(IF(ISNUMBER(SEARCH(Assumptions!$C$5,G3930)),Assumptions!$D$5,IF(ISNUMBER(SEARCH(Assumptions!$C$6,G3930)),Assumptions!$D$6,IF(ISNUMBER(SEARCH(Assumptions!$C$7,G3930)),Assumptions!$D$7,"Other Services"))),"Other Services"))</f>
        <v/>
      </c>
    </row>
    <row r="3931" customFormat="false" ht="15" hidden="false" customHeight="false" outlineLevel="0" collapsed="false">
      <c r="F3931" s="41" t="str">
        <f aca="false">IF(E3931="","",IFERROR(VLOOKUP(E3931,Assumptions!$G$5:$H$16,2,0),"Other"))</f>
        <v/>
      </c>
      <c r="J3931" s="41" t="str">
        <f aca="false">IF(G3931="","",IFERROR(IF(ISNUMBER(SEARCH(Assumptions!$C$5,G3931)),Assumptions!$D$5,IF(ISNUMBER(SEARCH(Assumptions!$C$6,G3931)),Assumptions!$D$6,IF(ISNUMBER(SEARCH(Assumptions!$C$7,G3931)),Assumptions!$D$7,"Other Services"))),"Other Services"))</f>
        <v/>
      </c>
    </row>
    <row r="3932" customFormat="false" ht="15" hidden="false" customHeight="false" outlineLevel="0" collapsed="false">
      <c r="F3932" s="41" t="str">
        <f aca="false">IF(E3932="","",IFERROR(VLOOKUP(E3932,Assumptions!$G$5:$H$16,2,0),"Other"))</f>
        <v/>
      </c>
      <c r="J3932" s="41" t="str">
        <f aca="false">IF(G3932="","",IFERROR(IF(ISNUMBER(SEARCH(Assumptions!$C$5,G3932)),Assumptions!$D$5,IF(ISNUMBER(SEARCH(Assumptions!$C$6,G3932)),Assumptions!$D$6,IF(ISNUMBER(SEARCH(Assumptions!$C$7,G3932)),Assumptions!$D$7,"Other Services"))),"Other Services"))</f>
        <v/>
      </c>
    </row>
    <row r="3933" customFormat="false" ht="15" hidden="false" customHeight="false" outlineLevel="0" collapsed="false">
      <c r="F3933" s="41" t="str">
        <f aca="false">IF(E3933="","",IFERROR(VLOOKUP(E3933,Assumptions!$G$5:$H$16,2,0),"Other"))</f>
        <v/>
      </c>
      <c r="J3933" s="41" t="str">
        <f aca="false">IF(G3933="","",IFERROR(IF(ISNUMBER(SEARCH(Assumptions!$C$5,G3933)),Assumptions!$D$5,IF(ISNUMBER(SEARCH(Assumptions!$C$6,G3933)),Assumptions!$D$6,IF(ISNUMBER(SEARCH(Assumptions!$C$7,G3933)),Assumptions!$D$7,"Other Services"))),"Other Services"))</f>
        <v/>
      </c>
    </row>
    <row r="3934" customFormat="false" ht="15" hidden="false" customHeight="false" outlineLevel="0" collapsed="false">
      <c r="F3934" s="41" t="str">
        <f aca="false">IF(E3934="","",IFERROR(VLOOKUP(E3934,Assumptions!$G$5:$H$16,2,0),"Other"))</f>
        <v/>
      </c>
      <c r="J3934" s="41" t="str">
        <f aca="false">IF(G3934="","",IFERROR(IF(ISNUMBER(SEARCH(Assumptions!$C$5,G3934)),Assumptions!$D$5,IF(ISNUMBER(SEARCH(Assumptions!$C$6,G3934)),Assumptions!$D$6,IF(ISNUMBER(SEARCH(Assumptions!$C$7,G3934)),Assumptions!$D$7,"Other Services"))),"Other Services"))</f>
        <v/>
      </c>
    </row>
    <row r="3935" customFormat="false" ht="15" hidden="false" customHeight="false" outlineLevel="0" collapsed="false">
      <c r="F3935" s="41" t="str">
        <f aca="false">IF(E3935="","",IFERROR(VLOOKUP(E3935,Assumptions!$G$5:$H$16,2,0),"Other"))</f>
        <v/>
      </c>
      <c r="J3935" s="41" t="str">
        <f aca="false">IF(G3935="","",IFERROR(IF(ISNUMBER(SEARCH(Assumptions!$C$5,G3935)),Assumptions!$D$5,IF(ISNUMBER(SEARCH(Assumptions!$C$6,G3935)),Assumptions!$D$6,IF(ISNUMBER(SEARCH(Assumptions!$C$7,G3935)),Assumptions!$D$7,"Other Services"))),"Other Services"))</f>
        <v/>
      </c>
    </row>
    <row r="3936" customFormat="false" ht="15" hidden="false" customHeight="false" outlineLevel="0" collapsed="false">
      <c r="F3936" s="41" t="str">
        <f aca="false">IF(E3936="","",IFERROR(VLOOKUP(E3936,Assumptions!$G$5:$H$16,2,0),"Other"))</f>
        <v/>
      </c>
      <c r="J3936" s="41" t="str">
        <f aca="false">IF(G3936="","",IFERROR(IF(ISNUMBER(SEARCH(Assumptions!$C$5,G3936)),Assumptions!$D$5,IF(ISNUMBER(SEARCH(Assumptions!$C$6,G3936)),Assumptions!$D$6,IF(ISNUMBER(SEARCH(Assumptions!$C$7,G3936)),Assumptions!$D$7,"Other Services"))),"Other Services"))</f>
        <v/>
      </c>
    </row>
    <row r="3937" customFormat="false" ht="15" hidden="false" customHeight="false" outlineLevel="0" collapsed="false">
      <c r="F3937" s="41" t="str">
        <f aca="false">IF(E3937="","",IFERROR(VLOOKUP(E3937,Assumptions!$G$5:$H$16,2,0),"Other"))</f>
        <v/>
      </c>
      <c r="J3937" s="41" t="str">
        <f aca="false">IF(G3937="","",IFERROR(IF(ISNUMBER(SEARCH(Assumptions!$C$5,G3937)),Assumptions!$D$5,IF(ISNUMBER(SEARCH(Assumptions!$C$6,G3937)),Assumptions!$D$6,IF(ISNUMBER(SEARCH(Assumptions!$C$7,G3937)),Assumptions!$D$7,"Other Services"))),"Other Services"))</f>
        <v/>
      </c>
    </row>
    <row r="3938" customFormat="false" ht="15" hidden="false" customHeight="false" outlineLevel="0" collapsed="false">
      <c r="F3938" s="41" t="str">
        <f aca="false">IF(E3938="","",IFERROR(VLOOKUP(E3938,Assumptions!$G$5:$H$16,2,0),"Other"))</f>
        <v/>
      </c>
      <c r="J3938" s="41" t="str">
        <f aca="false">IF(G3938="","",IFERROR(IF(ISNUMBER(SEARCH(Assumptions!$C$5,G3938)),Assumptions!$D$5,IF(ISNUMBER(SEARCH(Assumptions!$C$6,G3938)),Assumptions!$D$6,IF(ISNUMBER(SEARCH(Assumptions!$C$7,G3938)),Assumptions!$D$7,"Other Services"))),"Other Services"))</f>
        <v/>
      </c>
    </row>
    <row r="3939" customFormat="false" ht="15" hidden="false" customHeight="false" outlineLevel="0" collapsed="false">
      <c r="F3939" s="41" t="str">
        <f aca="false">IF(E3939="","",IFERROR(VLOOKUP(E3939,Assumptions!$G$5:$H$16,2,0),"Other"))</f>
        <v/>
      </c>
      <c r="J3939" s="41" t="str">
        <f aca="false">IF(G3939="","",IFERROR(IF(ISNUMBER(SEARCH(Assumptions!$C$5,G3939)),Assumptions!$D$5,IF(ISNUMBER(SEARCH(Assumptions!$C$6,G3939)),Assumptions!$D$6,IF(ISNUMBER(SEARCH(Assumptions!$C$7,G3939)),Assumptions!$D$7,"Other Services"))),"Other Services"))</f>
        <v/>
      </c>
    </row>
    <row r="3940" customFormat="false" ht="15" hidden="false" customHeight="false" outlineLevel="0" collapsed="false">
      <c r="F3940" s="41" t="str">
        <f aca="false">IF(E3940="","",IFERROR(VLOOKUP(E3940,Assumptions!$G$5:$H$16,2,0),"Other"))</f>
        <v/>
      </c>
      <c r="J3940" s="41" t="str">
        <f aca="false">IF(G3940="","",IFERROR(IF(ISNUMBER(SEARCH(Assumptions!$C$5,G3940)),Assumptions!$D$5,IF(ISNUMBER(SEARCH(Assumptions!$C$6,G3940)),Assumptions!$D$6,IF(ISNUMBER(SEARCH(Assumptions!$C$7,G3940)),Assumptions!$D$7,"Other Services"))),"Other Services"))</f>
        <v/>
      </c>
    </row>
    <row r="3941" customFormat="false" ht="15" hidden="false" customHeight="false" outlineLevel="0" collapsed="false">
      <c r="F3941" s="41" t="str">
        <f aca="false">IF(E3941="","",IFERROR(VLOOKUP(E3941,Assumptions!$G$5:$H$16,2,0),"Other"))</f>
        <v/>
      </c>
      <c r="J3941" s="41" t="str">
        <f aca="false">IF(G3941="","",IFERROR(IF(ISNUMBER(SEARCH(Assumptions!$C$5,G3941)),Assumptions!$D$5,IF(ISNUMBER(SEARCH(Assumptions!$C$6,G3941)),Assumptions!$D$6,IF(ISNUMBER(SEARCH(Assumptions!$C$7,G3941)),Assumptions!$D$7,"Other Services"))),"Other Services"))</f>
        <v/>
      </c>
    </row>
    <row r="3942" customFormat="false" ht="15" hidden="false" customHeight="false" outlineLevel="0" collapsed="false">
      <c r="F3942" s="41" t="str">
        <f aca="false">IF(E3942="","",IFERROR(VLOOKUP(E3942,Assumptions!$G$5:$H$16,2,0),"Other"))</f>
        <v/>
      </c>
      <c r="J3942" s="41" t="str">
        <f aca="false">IF(G3942="","",IFERROR(IF(ISNUMBER(SEARCH(Assumptions!$C$5,G3942)),Assumptions!$D$5,IF(ISNUMBER(SEARCH(Assumptions!$C$6,G3942)),Assumptions!$D$6,IF(ISNUMBER(SEARCH(Assumptions!$C$7,G3942)),Assumptions!$D$7,"Other Services"))),"Other Services"))</f>
        <v/>
      </c>
    </row>
    <row r="3943" customFormat="false" ht="15" hidden="false" customHeight="false" outlineLevel="0" collapsed="false">
      <c r="F3943" s="41" t="str">
        <f aca="false">IF(E3943="","",IFERROR(VLOOKUP(E3943,Assumptions!$G$5:$H$16,2,0),"Other"))</f>
        <v/>
      </c>
      <c r="J3943" s="41" t="str">
        <f aca="false">IF(G3943="","",IFERROR(IF(ISNUMBER(SEARCH(Assumptions!$C$5,G3943)),Assumptions!$D$5,IF(ISNUMBER(SEARCH(Assumptions!$C$6,G3943)),Assumptions!$D$6,IF(ISNUMBER(SEARCH(Assumptions!$C$7,G3943)),Assumptions!$D$7,"Other Services"))),"Other Services"))</f>
        <v/>
      </c>
    </row>
    <row r="3944" customFormat="false" ht="15" hidden="false" customHeight="false" outlineLevel="0" collapsed="false">
      <c r="F3944" s="41" t="str">
        <f aca="false">IF(E3944="","",IFERROR(VLOOKUP(E3944,Assumptions!$G$5:$H$16,2,0),"Other"))</f>
        <v/>
      </c>
      <c r="J3944" s="41" t="str">
        <f aca="false">IF(G3944="","",IFERROR(IF(ISNUMBER(SEARCH(Assumptions!$C$5,G3944)),Assumptions!$D$5,IF(ISNUMBER(SEARCH(Assumptions!$C$6,G3944)),Assumptions!$D$6,IF(ISNUMBER(SEARCH(Assumptions!$C$7,G3944)),Assumptions!$D$7,"Other Services"))),"Other Services"))</f>
        <v/>
      </c>
    </row>
    <row r="3945" customFormat="false" ht="15" hidden="false" customHeight="false" outlineLevel="0" collapsed="false">
      <c r="F3945" s="41" t="str">
        <f aca="false">IF(E3945="","",IFERROR(VLOOKUP(E3945,Assumptions!$G$5:$H$16,2,0),"Other"))</f>
        <v/>
      </c>
      <c r="J3945" s="41" t="str">
        <f aca="false">IF(G3945="","",IFERROR(IF(ISNUMBER(SEARCH(Assumptions!$C$5,G3945)),Assumptions!$D$5,IF(ISNUMBER(SEARCH(Assumptions!$C$6,G3945)),Assumptions!$D$6,IF(ISNUMBER(SEARCH(Assumptions!$C$7,G3945)),Assumptions!$D$7,"Other Services"))),"Other Services"))</f>
        <v/>
      </c>
    </row>
    <row r="3946" customFormat="false" ht="15" hidden="false" customHeight="false" outlineLevel="0" collapsed="false">
      <c r="F3946" s="41" t="str">
        <f aca="false">IF(E3946="","",IFERROR(VLOOKUP(E3946,Assumptions!$G$5:$H$16,2,0),"Other"))</f>
        <v/>
      </c>
      <c r="J3946" s="41" t="str">
        <f aca="false">IF(G3946="","",IFERROR(IF(ISNUMBER(SEARCH(Assumptions!$C$5,G3946)),Assumptions!$D$5,IF(ISNUMBER(SEARCH(Assumptions!$C$6,G3946)),Assumptions!$D$6,IF(ISNUMBER(SEARCH(Assumptions!$C$7,G3946)),Assumptions!$D$7,"Other Services"))),"Other Services"))</f>
        <v/>
      </c>
    </row>
    <row r="3947" customFormat="false" ht="15" hidden="false" customHeight="false" outlineLevel="0" collapsed="false">
      <c r="F3947" s="41" t="str">
        <f aca="false">IF(E3947="","",IFERROR(VLOOKUP(E3947,Assumptions!$G$5:$H$16,2,0),"Other"))</f>
        <v/>
      </c>
      <c r="J3947" s="41" t="str">
        <f aca="false">IF(G3947="","",IFERROR(IF(ISNUMBER(SEARCH(Assumptions!$C$5,G3947)),Assumptions!$D$5,IF(ISNUMBER(SEARCH(Assumptions!$C$6,G3947)),Assumptions!$D$6,IF(ISNUMBER(SEARCH(Assumptions!$C$7,G3947)),Assumptions!$D$7,"Other Services"))),"Other Services"))</f>
        <v/>
      </c>
    </row>
    <row r="3948" customFormat="false" ht="15" hidden="false" customHeight="false" outlineLevel="0" collapsed="false">
      <c r="F3948" s="41" t="str">
        <f aca="false">IF(E3948="","",IFERROR(VLOOKUP(E3948,Assumptions!$G$5:$H$16,2,0),"Other"))</f>
        <v/>
      </c>
      <c r="J3948" s="41" t="str">
        <f aca="false">IF(G3948="","",IFERROR(IF(ISNUMBER(SEARCH(Assumptions!$C$5,G3948)),Assumptions!$D$5,IF(ISNUMBER(SEARCH(Assumptions!$C$6,G3948)),Assumptions!$D$6,IF(ISNUMBER(SEARCH(Assumptions!$C$7,G3948)),Assumptions!$D$7,"Other Services"))),"Other Services"))</f>
        <v/>
      </c>
    </row>
    <row r="3949" customFormat="false" ht="15" hidden="false" customHeight="false" outlineLevel="0" collapsed="false">
      <c r="F3949" s="41" t="str">
        <f aca="false">IF(E3949="","",IFERROR(VLOOKUP(E3949,Assumptions!$G$5:$H$16,2,0),"Other"))</f>
        <v/>
      </c>
      <c r="J3949" s="41" t="str">
        <f aca="false">IF(G3949="","",IFERROR(IF(ISNUMBER(SEARCH(Assumptions!$C$5,G3949)),Assumptions!$D$5,IF(ISNUMBER(SEARCH(Assumptions!$C$6,G3949)),Assumptions!$D$6,IF(ISNUMBER(SEARCH(Assumptions!$C$7,G3949)),Assumptions!$D$7,"Other Services"))),"Other Services"))</f>
        <v/>
      </c>
    </row>
    <row r="3950" customFormat="false" ht="15" hidden="false" customHeight="false" outlineLevel="0" collapsed="false">
      <c r="F3950" s="41" t="str">
        <f aca="false">IF(E3950="","",IFERROR(VLOOKUP(E3950,Assumptions!$G$5:$H$16,2,0),"Other"))</f>
        <v/>
      </c>
      <c r="J3950" s="41" t="str">
        <f aca="false">IF(G3950="","",IFERROR(IF(ISNUMBER(SEARCH(Assumptions!$C$5,G3950)),Assumptions!$D$5,IF(ISNUMBER(SEARCH(Assumptions!$C$6,G3950)),Assumptions!$D$6,IF(ISNUMBER(SEARCH(Assumptions!$C$7,G3950)),Assumptions!$D$7,"Other Services"))),"Other Services"))</f>
        <v/>
      </c>
    </row>
    <row r="3951" customFormat="false" ht="15" hidden="false" customHeight="false" outlineLevel="0" collapsed="false">
      <c r="F3951" s="41" t="str">
        <f aca="false">IF(E3951="","",IFERROR(VLOOKUP(E3951,Assumptions!$G$5:$H$16,2,0),"Other"))</f>
        <v/>
      </c>
      <c r="J3951" s="41" t="str">
        <f aca="false">IF(G3951="","",IFERROR(IF(ISNUMBER(SEARCH(Assumptions!$C$5,G3951)),Assumptions!$D$5,IF(ISNUMBER(SEARCH(Assumptions!$C$6,G3951)),Assumptions!$D$6,IF(ISNUMBER(SEARCH(Assumptions!$C$7,G3951)),Assumptions!$D$7,"Other Services"))),"Other Services"))</f>
        <v/>
      </c>
    </row>
    <row r="3952" customFormat="false" ht="15" hidden="false" customHeight="false" outlineLevel="0" collapsed="false">
      <c r="F3952" s="41" t="str">
        <f aca="false">IF(E3952="","",IFERROR(VLOOKUP(E3952,Assumptions!$G$5:$H$16,2,0),"Other"))</f>
        <v/>
      </c>
      <c r="J3952" s="41" t="str">
        <f aca="false">IF(G3952="","",IFERROR(IF(ISNUMBER(SEARCH(Assumptions!$C$5,G3952)),Assumptions!$D$5,IF(ISNUMBER(SEARCH(Assumptions!$C$6,G3952)),Assumptions!$D$6,IF(ISNUMBER(SEARCH(Assumptions!$C$7,G3952)),Assumptions!$D$7,"Other Services"))),"Other Services"))</f>
        <v/>
      </c>
    </row>
    <row r="3953" customFormat="false" ht="15" hidden="false" customHeight="false" outlineLevel="0" collapsed="false">
      <c r="F3953" s="41" t="str">
        <f aca="false">IF(E3953="","",IFERROR(VLOOKUP(E3953,Assumptions!$G$5:$H$16,2,0),"Other"))</f>
        <v/>
      </c>
      <c r="J3953" s="41" t="str">
        <f aca="false">IF(G3953="","",IFERROR(IF(ISNUMBER(SEARCH(Assumptions!$C$5,G3953)),Assumptions!$D$5,IF(ISNUMBER(SEARCH(Assumptions!$C$6,G3953)),Assumptions!$D$6,IF(ISNUMBER(SEARCH(Assumptions!$C$7,G3953)),Assumptions!$D$7,"Other Services"))),"Other Services"))</f>
        <v/>
      </c>
    </row>
    <row r="3954" customFormat="false" ht="15" hidden="false" customHeight="false" outlineLevel="0" collapsed="false">
      <c r="F3954" s="41" t="str">
        <f aca="false">IF(E3954="","",IFERROR(VLOOKUP(E3954,Assumptions!$G$5:$H$16,2,0),"Other"))</f>
        <v/>
      </c>
      <c r="J3954" s="41" t="str">
        <f aca="false">IF(G3954="","",IFERROR(IF(ISNUMBER(SEARCH(Assumptions!$C$5,G3954)),Assumptions!$D$5,IF(ISNUMBER(SEARCH(Assumptions!$C$6,G3954)),Assumptions!$D$6,IF(ISNUMBER(SEARCH(Assumptions!$C$7,G3954)),Assumptions!$D$7,"Other Services"))),"Other Services"))</f>
        <v/>
      </c>
    </row>
    <row r="3955" customFormat="false" ht="15" hidden="false" customHeight="false" outlineLevel="0" collapsed="false">
      <c r="F3955" s="41" t="str">
        <f aca="false">IF(E3955="","",IFERROR(VLOOKUP(E3955,Assumptions!$G$5:$H$16,2,0),"Other"))</f>
        <v/>
      </c>
      <c r="J3955" s="41" t="str">
        <f aca="false">IF(G3955="","",IFERROR(IF(ISNUMBER(SEARCH(Assumptions!$C$5,G3955)),Assumptions!$D$5,IF(ISNUMBER(SEARCH(Assumptions!$C$6,G3955)),Assumptions!$D$6,IF(ISNUMBER(SEARCH(Assumptions!$C$7,G3955)),Assumptions!$D$7,"Other Services"))),"Other Services"))</f>
        <v/>
      </c>
    </row>
    <row r="3956" customFormat="false" ht="15" hidden="false" customHeight="false" outlineLevel="0" collapsed="false">
      <c r="F3956" s="41" t="str">
        <f aca="false">IF(E3956="","",IFERROR(VLOOKUP(E3956,Assumptions!$G$5:$H$16,2,0),"Other"))</f>
        <v/>
      </c>
      <c r="J3956" s="41" t="str">
        <f aca="false">IF(G3956="","",IFERROR(IF(ISNUMBER(SEARCH(Assumptions!$C$5,G3956)),Assumptions!$D$5,IF(ISNUMBER(SEARCH(Assumptions!$C$6,G3956)),Assumptions!$D$6,IF(ISNUMBER(SEARCH(Assumptions!$C$7,G3956)),Assumptions!$D$7,"Other Services"))),"Other Services"))</f>
        <v/>
      </c>
    </row>
    <row r="3957" customFormat="false" ht="15" hidden="false" customHeight="false" outlineLevel="0" collapsed="false">
      <c r="F3957" s="41" t="str">
        <f aca="false">IF(E3957="","",IFERROR(VLOOKUP(E3957,Assumptions!$G$5:$H$16,2,0),"Other"))</f>
        <v/>
      </c>
      <c r="J3957" s="41" t="str">
        <f aca="false">IF(G3957="","",IFERROR(IF(ISNUMBER(SEARCH(Assumptions!$C$5,G3957)),Assumptions!$D$5,IF(ISNUMBER(SEARCH(Assumptions!$C$6,G3957)),Assumptions!$D$6,IF(ISNUMBER(SEARCH(Assumptions!$C$7,G3957)),Assumptions!$D$7,"Other Services"))),"Other Services"))</f>
        <v/>
      </c>
    </row>
    <row r="3958" customFormat="false" ht="15" hidden="false" customHeight="false" outlineLevel="0" collapsed="false">
      <c r="F3958" s="41" t="str">
        <f aca="false">IF(E3958="","",IFERROR(VLOOKUP(E3958,Assumptions!$G$5:$H$16,2,0),"Other"))</f>
        <v/>
      </c>
      <c r="J3958" s="41" t="str">
        <f aca="false">IF(G3958="","",IFERROR(IF(ISNUMBER(SEARCH(Assumptions!$C$5,G3958)),Assumptions!$D$5,IF(ISNUMBER(SEARCH(Assumptions!$C$6,G3958)),Assumptions!$D$6,IF(ISNUMBER(SEARCH(Assumptions!$C$7,G3958)),Assumptions!$D$7,"Other Services"))),"Other Services"))</f>
        <v/>
      </c>
    </row>
    <row r="3959" customFormat="false" ht="15" hidden="false" customHeight="false" outlineLevel="0" collapsed="false">
      <c r="F3959" s="41" t="str">
        <f aca="false">IF(E3959="","",IFERROR(VLOOKUP(E3959,Assumptions!$G$5:$H$16,2,0),"Other"))</f>
        <v/>
      </c>
      <c r="J3959" s="41" t="str">
        <f aca="false">IF(G3959="","",IFERROR(IF(ISNUMBER(SEARCH(Assumptions!$C$5,G3959)),Assumptions!$D$5,IF(ISNUMBER(SEARCH(Assumptions!$C$6,G3959)),Assumptions!$D$6,IF(ISNUMBER(SEARCH(Assumptions!$C$7,G3959)),Assumptions!$D$7,"Other Services"))),"Other Services"))</f>
        <v/>
      </c>
    </row>
    <row r="3960" customFormat="false" ht="15" hidden="false" customHeight="false" outlineLevel="0" collapsed="false">
      <c r="F3960" s="41" t="str">
        <f aca="false">IF(E3960="","",IFERROR(VLOOKUP(E3960,Assumptions!$G$5:$H$16,2,0),"Other"))</f>
        <v/>
      </c>
      <c r="J3960" s="41" t="str">
        <f aca="false">IF(G3960="","",IFERROR(IF(ISNUMBER(SEARCH(Assumptions!$C$5,G3960)),Assumptions!$D$5,IF(ISNUMBER(SEARCH(Assumptions!$C$6,G3960)),Assumptions!$D$6,IF(ISNUMBER(SEARCH(Assumptions!$C$7,G3960)),Assumptions!$D$7,"Other Services"))),"Other Services"))</f>
        <v/>
      </c>
    </row>
    <row r="3961" customFormat="false" ht="15" hidden="false" customHeight="false" outlineLevel="0" collapsed="false">
      <c r="F3961" s="41" t="str">
        <f aca="false">IF(E3961="","",IFERROR(VLOOKUP(E3961,Assumptions!$G$5:$H$16,2,0),"Other"))</f>
        <v/>
      </c>
      <c r="J3961" s="41" t="str">
        <f aca="false">IF(G3961="","",IFERROR(IF(ISNUMBER(SEARCH(Assumptions!$C$5,G3961)),Assumptions!$D$5,IF(ISNUMBER(SEARCH(Assumptions!$C$6,G3961)),Assumptions!$D$6,IF(ISNUMBER(SEARCH(Assumptions!$C$7,G3961)),Assumptions!$D$7,"Other Services"))),"Other Services"))</f>
        <v/>
      </c>
    </row>
    <row r="3962" customFormat="false" ht="15" hidden="false" customHeight="false" outlineLevel="0" collapsed="false">
      <c r="F3962" s="41" t="str">
        <f aca="false">IF(E3962="","",IFERROR(VLOOKUP(E3962,Assumptions!$G$5:$H$16,2,0),"Other"))</f>
        <v/>
      </c>
      <c r="J3962" s="41" t="str">
        <f aca="false">IF(G3962="","",IFERROR(IF(ISNUMBER(SEARCH(Assumptions!$C$5,G3962)),Assumptions!$D$5,IF(ISNUMBER(SEARCH(Assumptions!$C$6,G3962)),Assumptions!$D$6,IF(ISNUMBER(SEARCH(Assumptions!$C$7,G3962)),Assumptions!$D$7,"Other Services"))),"Other Services"))</f>
        <v/>
      </c>
    </row>
    <row r="3963" customFormat="false" ht="15" hidden="false" customHeight="false" outlineLevel="0" collapsed="false">
      <c r="F3963" s="41" t="str">
        <f aca="false">IF(E3963="","",IFERROR(VLOOKUP(E3963,Assumptions!$G$5:$H$16,2,0),"Other"))</f>
        <v/>
      </c>
      <c r="J3963" s="41" t="str">
        <f aca="false">IF(G3963="","",IFERROR(IF(ISNUMBER(SEARCH(Assumptions!$C$5,G3963)),Assumptions!$D$5,IF(ISNUMBER(SEARCH(Assumptions!$C$6,G3963)),Assumptions!$D$6,IF(ISNUMBER(SEARCH(Assumptions!$C$7,G3963)),Assumptions!$D$7,"Other Services"))),"Other Services"))</f>
        <v/>
      </c>
    </row>
    <row r="3964" customFormat="false" ht="15" hidden="false" customHeight="false" outlineLevel="0" collapsed="false">
      <c r="F3964" s="41" t="str">
        <f aca="false">IF(E3964="","",IFERROR(VLOOKUP(E3964,Assumptions!$G$5:$H$16,2,0),"Other"))</f>
        <v/>
      </c>
      <c r="J3964" s="41" t="str">
        <f aca="false">IF(G3964="","",IFERROR(IF(ISNUMBER(SEARCH(Assumptions!$C$5,G3964)),Assumptions!$D$5,IF(ISNUMBER(SEARCH(Assumptions!$C$6,G3964)),Assumptions!$D$6,IF(ISNUMBER(SEARCH(Assumptions!$C$7,G3964)),Assumptions!$D$7,"Other Services"))),"Other Services"))</f>
        <v/>
      </c>
    </row>
    <row r="3965" customFormat="false" ht="15" hidden="false" customHeight="false" outlineLevel="0" collapsed="false">
      <c r="F3965" s="41" t="str">
        <f aca="false">IF(E3965="","",IFERROR(VLOOKUP(E3965,Assumptions!$G$5:$H$16,2,0),"Other"))</f>
        <v/>
      </c>
      <c r="J3965" s="41" t="str">
        <f aca="false">IF(G3965="","",IFERROR(IF(ISNUMBER(SEARCH(Assumptions!$C$5,G3965)),Assumptions!$D$5,IF(ISNUMBER(SEARCH(Assumptions!$C$6,G3965)),Assumptions!$D$6,IF(ISNUMBER(SEARCH(Assumptions!$C$7,G3965)),Assumptions!$D$7,"Other Services"))),"Other Services"))</f>
        <v/>
      </c>
    </row>
    <row r="3966" customFormat="false" ht="15" hidden="false" customHeight="false" outlineLevel="0" collapsed="false">
      <c r="F3966" s="41" t="str">
        <f aca="false">IF(E3966="","",IFERROR(VLOOKUP(E3966,Assumptions!$G$5:$H$16,2,0),"Other"))</f>
        <v/>
      </c>
      <c r="J3966" s="41" t="str">
        <f aca="false">IF(G3966="","",IFERROR(IF(ISNUMBER(SEARCH(Assumptions!$C$5,G3966)),Assumptions!$D$5,IF(ISNUMBER(SEARCH(Assumptions!$C$6,G3966)),Assumptions!$D$6,IF(ISNUMBER(SEARCH(Assumptions!$C$7,G3966)),Assumptions!$D$7,"Other Services"))),"Other Services"))</f>
        <v/>
      </c>
    </row>
    <row r="3967" customFormat="false" ht="15" hidden="false" customHeight="false" outlineLevel="0" collapsed="false">
      <c r="F3967" s="41" t="str">
        <f aca="false">IF(E3967="","",IFERROR(VLOOKUP(E3967,Assumptions!$G$5:$H$16,2,0),"Other"))</f>
        <v/>
      </c>
      <c r="J3967" s="41" t="str">
        <f aca="false">IF(G3967="","",IFERROR(IF(ISNUMBER(SEARCH(Assumptions!$C$5,G3967)),Assumptions!$D$5,IF(ISNUMBER(SEARCH(Assumptions!$C$6,G3967)),Assumptions!$D$6,IF(ISNUMBER(SEARCH(Assumptions!$C$7,G3967)),Assumptions!$D$7,"Other Services"))),"Other Services"))</f>
        <v/>
      </c>
    </row>
    <row r="3968" customFormat="false" ht="15" hidden="false" customHeight="false" outlineLevel="0" collapsed="false">
      <c r="F3968" s="41" t="str">
        <f aca="false">IF(E3968="","",IFERROR(VLOOKUP(E3968,Assumptions!$G$5:$H$16,2,0),"Other"))</f>
        <v/>
      </c>
      <c r="J3968" s="41" t="str">
        <f aca="false">IF(G3968="","",IFERROR(IF(ISNUMBER(SEARCH(Assumptions!$C$5,G3968)),Assumptions!$D$5,IF(ISNUMBER(SEARCH(Assumptions!$C$6,G3968)),Assumptions!$D$6,IF(ISNUMBER(SEARCH(Assumptions!$C$7,G3968)),Assumptions!$D$7,"Other Services"))),"Other Services"))</f>
        <v/>
      </c>
    </row>
    <row r="3969" customFormat="false" ht="15" hidden="false" customHeight="false" outlineLevel="0" collapsed="false">
      <c r="F3969" s="41" t="str">
        <f aca="false">IF(E3969="","",IFERROR(VLOOKUP(E3969,Assumptions!$G$5:$H$16,2,0),"Other"))</f>
        <v/>
      </c>
      <c r="J3969" s="41" t="str">
        <f aca="false">IF(G3969="","",IFERROR(IF(ISNUMBER(SEARCH(Assumptions!$C$5,G3969)),Assumptions!$D$5,IF(ISNUMBER(SEARCH(Assumptions!$C$6,G3969)),Assumptions!$D$6,IF(ISNUMBER(SEARCH(Assumptions!$C$7,G3969)),Assumptions!$D$7,"Other Services"))),"Other Services"))</f>
        <v/>
      </c>
    </row>
    <row r="3970" customFormat="false" ht="15" hidden="false" customHeight="false" outlineLevel="0" collapsed="false">
      <c r="F3970" s="41" t="str">
        <f aca="false">IF(E3970="","",IFERROR(VLOOKUP(E3970,Assumptions!$G$5:$H$16,2,0),"Other"))</f>
        <v/>
      </c>
      <c r="J3970" s="41" t="str">
        <f aca="false">IF(G3970="","",IFERROR(IF(ISNUMBER(SEARCH(Assumptions!$C$5,G3970)),Assumptions!$D$5,IF(ISNUMBER(SEARCH(Assumptions!$C$6,G3970)),Assumptions!$D$6,IF(ISNUMBER(SEARCH(Assumptions!$C$7,G3970)),Assumptions!$D$7,"Other Services"))),"Other Services"))</f>
        <v/>
      </c>
    </row>
    <row r="3971" customFormat="false" ht="15" hidden="false" customHeight="false" outlineLevel="0" collapsed="false">
      <c r="F3971" s="41" t="str">
        <f aca="false">IF(E3971="","",IFERROR(VLOOKUP(E3971,Assumptions!$G$5:$H$16,2,0),"Other"))</f>
        <v/>
      </c>
      <c r="J3971" s="41" t="str">
        <f aca="false">IF(G3971="","",IFERROR(IF(ISNUMBER(SEARCH(Assumptions!$C$5,G3971)),Assumptions!$D$5,IF(ISNUMBER(SEARCH(Assumptions!$C$6,G3971)),Assumptions!$D$6,IF(ISNUMBER(SEARCH(Assumptions!$C$7,G3971)),Assumptions!$D$7,"Other Services"))),"Other Services"))</f>
        <v/>
      </c>
    </row>
    <row r="3972" customFormat="false" ht="15" hidden="false" customHeight="false" outlineLevel="0" collapsed="false">
      <c r="F3972" s="41" t="str">
        <f aca="false">IF(E3972="","",IFERROR(VLOOKUP(E3972,Assumptions!$G$5:$H$16,2,0),"Other"))</f>
        <v/>
      </c>
      <c r="J3972" s="41" t="str">
        <f aca="false">IF(G3972="","",IFERROR(IF(ISNUMBER(SEARCH(Assumptions!$C$5,G3972)),Assumptions!$D$5,IF(ISNUMBER(SEARCH(Assumptions!$C$6,G3972)),Assumptions!$D$6,IF(ISNUMBER(SEARCH(Assumptions!$C$7,G3972)),Assumptions!$D$7,"Other Services"))),"Other Services"))</f>
        <v/>
      </c>
    </row>
    <row r="3973" customFormat="false" ht="15" hidden="false" customHeight="false" outlineLevel="0" collapsed="false">
      <c r="F3973" s="41" t="str">
        <f aca="false">IF(E3973="","",IFERROR(VLOOKUP(E3973,Assumptions!$G$5:$H$16,2,0),"Other"))</f>
        <v/>
      </c>
      <c r="J3973" s="41" t="str">
        <f aca="false">IF(G3973="","",IFERROR(IF(ISNUMBER(SEARCH(Assumptions!$C$5,G3973)),Assumptions!$D$5,IF(ISNUMBER(SEARCH(Assumptions!$C$6,G3973)),Assumptions!$D$6,IF(ISNUMBER(SEARCH(Assumptions!$C$7,G3973)),Assumptions!$D$7,"Other Services"))),"Other Services"))</f>
        <v/>
      </c>
    </row>
    <row r="3974" customFormat="false" ht="15" hidden="false" customHeight="false" outlineLevel="0" collapsed="false">
      <c r="F3974" s="41" t="str">
        <f aca="false">IF(E3974="","",IFERROR(VLOOKUP(E3974,Assumptions!$G$5:$H$16,2,0),"Other"))</f>
        <v/>
      </c>
      <c r="J3974" s="41" t="str">
        <f aca="false">IF(G3974="","",IFERROR(IF(ISNUMBER(SEARCH(Assumptions!$C$5,G3974)),Assumptions!$D$5,IF(ISNUMBER(SEARCH(Assumptions!$C$6,G3974)),Assumptions!$D$6,IF(ISNUMBER(SEARCH(Assumptions!$C$7,G3974)),Assumptions!$D$7,"Other Services"))),"Other Services"))</f>
        <v/>
      </c>
    </row>
    <row r="3975" customFormat="false" ht="15" hidden="false" customHeight="false" outlineLevel="0" collapsed="false">
      <c r="F3975" s="41" t="str">
        <f aca="false">IF(E3975="","",IFERROR(VLOOKUP(E3975,Assumptions!$G$5:$H$16,2,0),"Other"))</f>
        <v/>
      </c>
      <c r="J3975" s="41" t="str">
        <f aca="false">IF(G3975="","",IFERROR(IF(ISNUMBER(SEARCH(Assumptions!$C$5,G3975)),Assumptions!$D$5,IF(ISNUMBER(SEARCH(Assumptions!$C$6,G3975)),Assumptions!$D$6,IF(ISNUMBER(SEARCH(Assumptions!$C$7,G3975)),Assumptions!$D$7,"Other Services"))),"Other Services"))</f>
        <v/>
      </c>
    </row>
    <row r="3976" customFormat="false" ht="15" hidden="false" customHeight="false" outlineLevel="0" collapsed="false">
      <c r="F3976" s="41" t="str">
        <f aca="false">IF(E3976="","",IFERROR(VLOOKUP(E3976,Assumptions!$G$5:$H$16,2,0),"Other"))</f>
        <v/>
      </c>
      <c r="J3976" s="41" t="str">
        <f aca="false">IF(G3976="","",IFERROR(IF(ISNUMBER(SEARCH(Assumptions!$C$5,G3976)),Assumptions!$D$5,IF(ISNUMBER(SEARCH(Assumptions!$C$6,G3976)),Assumptions!$D$6,IF(ISNUMBER(SEARCH(Assumptions!$C$7,G3976)),Assumptions!$D$7,"Other Services"))),"Other Services"))</f>
        <v/>
      </c>
    </row>
    <row r="3977" customFormat="false" ht="15" hidden="false" customHeight="false" outlineLevel="0" collapsed="false">
      <c r="F3977" s="41" t="str">
        <f aca="false">IF(E3977="","",IFERROR(VLOOKUP(E3977,Assumptions!$G$5:$H$16,2,0),"Other"))</f>
        <v/>
      </c>
      <c r="J3977" s="41" t="str">
        <f aca="false">IF(G3977="","",IFERROR(IF(ISNUMBER(SEARCH(Assumptions!$C$5,G3977)),Assumptions!$D$5,IF(ISNUMBER(SEARCH(Assumptions!$C$6,G3977)),Assumptions!$D$6,IF(ISNUMBER(SEARCH(Assumptions!$C$7,G3977)),Assumptions!$D$7,"Other Services"))),"Other Services"))</f>
        <v/>
      </c>
    </row>
    <row r="3978" customFormat="false" ht="15" hidden="false" customHeight="false" outlineLevel="0" collapsed="false">
      <c r="F3978" s="41" t="str">
        <f aca="false">IF(E3978="","",IFERROR(VLOOKUP(E3978,Assumptions!$G$5:$H$16,2,0),"Other"))</f>
        <v/>
      </c>
      <c r="J3978" s="41" t="str">
        <f aca="false">IF(G3978="","",IFERROR(IF(ISNUMBER(SEARCH(Assumptions!$C$5,G3978)),Assumptions!$D$5,IF(ISNUMBER(SEARCH(Assumptions!$C$6,G3978)),Assumptions!$D$6,IF(ISNUMBER(SEARCH(Assumptions!$C$7,G3978)),Assumptions!$D$7,"Other Services"))),"Other Services"))</f>
        <v/>
      </c>
    </row>
    <row r="3979" customFormat="false" ht="15" hidden="false" customHeight="false" outlineLevel="0" collapsed="false">
      <c r="F3979" s="41" t="str">
        <f aca="false">IF(E3979="","",IFERROR(VLOOKUP(E3979,Assumptions!$G$5:$H$16,2,0),"Other"))</f>
        <v/>
      </c>
      <c r="J3979" s="41" t="str">
        <f aca="false">IF(G3979="","",IFERROR(IF(ISNUMBER(SEARCH(Assumptions!$C$5,G3979)),Assumptions!$D$5,IF(ISNUMBER(SEARCH(Assumptions!$C$6,G3979)),Assumptions!$D$6,IF(ISNUMBER(SEARCH(Assumptions!$C$7,G3979)),Assumptions!$D$7,"Other Services"))),"Other Services"))</f>
        <v/>
      </c>
    </row>
    <row r="3980" customFormat="false" ht="15" hidden="false" customHeight="false" outlineLevel="0" collapsed="false">
      <c r="F3980" s="41" t="str">
        <f aca="false">IF(E3980="","",IFERROR(VLOOKUP(E3980,Assumptions!$G$5:$H$16,2,0),"Other"))</f>
        <v/>
      </c>
      <c r="J3980" s="41" t="str">
        <f aca="false">IF(G3980="","",IFERROR(IF(ISNUMBER(SEARCH(Assumptions!$C$5,G3980)),Assumptions!$D$5,IF(ISNUMBER(SEARCH(Assumptions!$C$6,G3980)),Assumptions!$D$6,IF(ISNUMBER(SEARCH(Assumptions!$C$7,G3980)),Assumptions!$D$7,"Other Services"))),"Other Services"))</f>
        <v/>
      </c>
    </row>
    <row r="3981" customFormat="false" ht="15" hidden="false" customHeight="false" outlineLevel="0" collapsed="false">
      <c r="F3981" s="41" t="str">
        <f aca="false">IF(E3981="","",IFERROR(VLOOKUP(E3981,Assumptions!$G$5:$H$16,2,0),"Other"))</f>
        <v/>
      </c>
      <c r="J3981" s="41" t="str">
        <f aca="false">IF(G3981="","",IFERROR(IF(ISNUMBER(SEARCH(Assumptions!$C$5,G3981)),Assumptions!$D$5,IF(ISNUMBER(SEARCH(Assumptions!$C$6,G3981)),Assumptions!$D$6,IF(ISNUMBER(SEARCH(Assumptions!$C$7,G3981)),Assumptions!$D$7,"Other Services"))),"Other Services"))</f>
        <v/>
      </c>
    </row>
    <row r="3982" customFormat="false" ht="15" hidden="false" customHeight="false" outlineLevel="0" collapsed="false">
      <c r="F3982" s="41" t="str">
        <f aca="false">IF(E3982="","",IFERROR(VLOOKUP(E3982,Assumptions!$G$5:$H$16,2,0),"Other"))</f>
        <v/>
      </c>
      <c r="J3982" s="41" t="str">
        <f aca="false">IF(G3982="","",IFERROR(IF(ISNUMBER(SEARCH(Assumptions!$C$5,G3982)),Assumptions!$D$5,IF(ISNUMBER(SEARCH(Assumptions!$C$6,G3982)),Assumptions!$D$6,IF(ISNUMBER(SEARCH(Assumptions!$C$7,G3982)),Assumptions!$D$7,"Other Services"))),"Other Services"))</f>
        <v/>
      </c>
    </row>
    <row r="3983" customFormat="false" ht="15" hidden="false" customHeight="false" outlineLevel="0" collapsed="false">
      <c r="F3983" s="41" t="str">
        <f aca="false">IF(E3983="","",IFERROR(VLOOKUP(E3983,Assumptions!$G$5:$H$16,2,0),"Other"))</f>
        <v/>
      </c>
      <c r="J3983" s="41" t="str">
        <f aca="false">IF(G3983="","",IFERROR(IF(ISNUMBER(SEARCH(Assumptions!$C$5,G3983)),Assumptions!$D$5,IF(ISNUMBER(SEARCH(Assumptions!$C$6,G3983)),Assumptions!$D$6,IF(ISNUMBER(SEARCH(Assumptions!$C$7,G3983)),Assumptions!$D$7,"Other Services"))),"Other Services"))</f>
        <v/>
      </c>
    </row>
    <row r="3984" customFormat="false" ht="15" hidden="false" customHeight="false" outlineLevel="0" collapsed="false">
      <c r="F3984" s="41" t="str">
        <f aca="false">IF(E3984="","",IFERROR(VLOOKUP(E3984,Assumptions!$G$5:$H$16,2,0),"Other"))</f>
        <v/>
      </c>
      <c r="J3984" s="41" t="str">
        <f aca="false">IF(G3984="","",IFERROR(IF(ISNUMBER(SEARCH(Assumptions!$C$5,G3984)),Assumptions!$D$5,IF(ISNUMBER(SEARCH(Assumptions!$C$6,G3984)),Assumptions!$D$6,IF(ISNUMBER(SEARCH(Assumptions!$C$7,G3984)),Assumptions!$D$7,"Other Services"))),"Other Services"))</f>
        <v/>
      </c>
    </row>
    <row r="3985" customFormat="false" ht="15" hidden="false" customHeight="false" outlineLevel="0" collapsed="false">
      <c r="F3985" s="41" t="str">
        <f aca="false">IF(E3985="","",IFERROR(VLOOKUP(E3985,Assumptions!$G$5:$H$16,2,0),"Other"))</f>
        <v/>
      </c>
      <c r="J3985" s="41" t="str">
        <f aca="false">IF(G3985="","",IFERROR(IF(ISNUMBER(SEARCH(Assumptions!$C$5,G3985)),Assumptions!$D$5,IF(ISNUMBER(SEARCH(Assumptions!$C$6,G3985)),Assumptions!$D$6,IF(ISNUMBER(SEARCH(Assumptions!$C$7,G3985)),Assumptions!$D$7,"Other Services"))),"Other Services"))</f>
        <v/>
      </c>
    </row>
    <row r="3986" customFormat="false" ht="15" hidden="false" customHeight="false" outlineLevel="0" collapsed="false">
      <c r="F3986" s="41" t="str">
        <f aca="false">IF(E3986="","",IFERROR(VLOOKUP(E3986,Assumptions!$G$5:$H$16,2,0),"Other"))</f>
        <v/>
      </c>
      <c r="J3986" s="41" t="str">
        <f aca="false">IF(G3986="","",IFERROR(IF(ISNUMBER(SEARCH(Assumptions!$C$5,G3986)),Assumptions!$D$5,IF(ISNUMBER(SEARCH(Assumptions!$C$6,G3986)),Assumptions!$D$6,IF(ISNUMBER(SEARCH(Assumptions!$C$7,G3986)),Assumptions!$D$7,"Other Services"))),"Other Services"))</f>
        <v/>
      </c>
    </row>
    <row r="3987" customFormat="false" ht="15" hidden="false" customHeight="false" outlineLevel="0" collapsed="false">
      <c r="F3987" s="41" t="str">
        <f aca="false">IF(E3987="","",IFERROR(VLOOKUP(E3987,Assumptions!$G$5:$H$16,2,0),"Other"))</f>
        <v/>
      </c>
      <c r="J3987" s="41" t="str">
        <f aca="false">IF(G3987="","",IFERROR(IF(ISNUMBER(SEARCH(Assumptions!$C$5,G3987)),Assumptions!$D$5,IF(ISNUMBER(SEARCH(Assumptions!$C$6,G3987)),Assumptions!$D$6,IF(ISNUMBER(SEARCH(Assumptions!$C$7,G3987)),Assumptions!$D$7,"Other Services"))),"Other Services"))</f>
        <v/>
      </c>
    </row>
    <row r="3988" customFormat="false" ht="15" hidden="false" customHeight="false" outlineLevel="0" collapsed="false">
      <c r="F3988" s="41" t="str">
        <f aca="false">IF(E3988="","",IFERROR(VLOOKUP(E3988,Assumptions!$G$5:$H$16,2,0),"Other"))</f>
        <v/>
      </c>
      <c r="J3988" s="41" t="str">
        <f aca="false">IF(G3988="","",IFERROR(IF(ISNUMBER(SEARCH(Assumptions!$C$5,G3988)),Assumptions!$D$5,IF(ISNUMBER(SEARCH(Assumptions!$C$6,G3988)),Assumptions!$D$6,IF(ISNUMBER(SEARCH(Assumptions!$C$7,G3988)),Assumptions!$D$7,"Other Services"))),"Other Services"))</f>
        <v/>
      </c>
    </row>
    <row r="3989" customFormat="false" ht="15" hidden="false" customHeight="false" outlineLevel="0" collapsed="false">
      <c r="F3989" s="41" t="str">
        <f aca="false">IF(E3989="","",IFERROR(VLOOKUP(E3989,Assumptions!$G$5:$H$16,2,0),"Other"))</f>
        <v/>
      </c>
      <c r="J3989" s="41" t="str">
        <f aca="false">IF(G3989="","",IFERROR(IF(ISNUMBER(SEARCH(Assumptions!$C$5,G3989)),Assumptions!$D$5,IF(ISNUMBER(SEARCH(Assumptions!$C$6,G3989)),Assumptions!$D$6,IF(ISNUMBER(SEARCH(Assumptions!$C$7,G3989)),Assumptions!$D$7,"Other Services"))),"Other Services"))</f>
        <v/>
      </c>
    </row>
    <row r="3990" customFormat="false" ht="15" hidden="false" customHeight="false" outlineLevel="0" collapsed="false">
      <c r="F3990" s="41" t="str">
        <f aca="false">IF(E3990="","",IFERROR(VLOOKUP(E3990,Assumptions!$G$5:$H$16,2,0),"Other"))</f>
        <v/>
      </c>
      <c r="J3990" s="41" t="str">
        <f aca="false">IF(G3990="","",IFERROR(IF(ISNUMBER(SEARCH(Assumptions!$C$5,G3990)),Assumptions!$D$5,IF(ISNUMBER(SEARCH(Assumptions!$C$6,G3990)),Assumptions!$D$6,IF(ISNUMBER(SEARCH(Assumptions!$C$7,G3990)),Assumptions!$D$7,"Other Services"))),"Other Services"))</f>
        <v/>
      </c>
    </row>
    <row r="3991" customFormat="false" ht="15" hidden="false" customHeight="false" outlineLevel="0" collapsed="false">
      <c r="F3991" s="41" t="str">
        <f aca="false">IF(E3991="","",IFERROR(VLOOKUP(E3991,Assumptions!$G$5:$H$16,2,0),"Other"))</f>
        <v/>
      </c>
      <c r="J3991" s="41" t="str">
        <f aca="false">IF(G3991="","",IFERROR(IF(ISNUMBER(SEARCH(Assumptions!$C$5,G3991)),Assumptions!$D$5,IF(ISNUMBER(SEARCH(Assumptions!$C$6,G3991)),Assumptions!$D$6,IF(ISNUMBER(SEARCH(Assumptions!$C$7,G3991)),Assumptions!$D$7,"Other Services"))),"Other Services"))</f>
        <v/>
      </c>
    </row>
    <row r="3992" customFormat="false" ht="15" hidden="false" customHeight="false" outlineLevel="0" collapsed="false">
      <c r="F3992" s="41" t="str">
        <f aca="false">IF(E3992="","",IFERROR(VLOOKUP(E3992,Assumptions!$G$5:$H$16,2,0),"Other"))</f>
        <v/>
      </c>
      <c r="J3992" s="41" t="str">
        <f aca="false">IF(G3992="","",IFERROR(IF(ISNUMBER(SEARCH(Assumptions!$C$5,G3992)),Assumptions!$D$5,IF(ISNUMBER(SEARCH(Assumptions!$C$6,G3992)),Assumptions!$D$6,IF(ISNUMBER(SEARCH(Assumptions!$C$7,G3992)),Assumptions!$D$7,"Other Services"))),"Other Services"))</f>
        <v/>
      </c>
    </row>
    <row r="3993" customFormat="false" ht="15" hidden="false" customHeight="false" outlineLevel="0" collapsed="false">
      <c r="F3993" s="41" t="str">
        <f aca="false">IF(E3993="","",IFERROR(VLOOKUP(E3993,Assumptions!$G$5:$H$16,2,0),"Other"))</f>
        <v/>
      </c>
      <c r="J3993" s="41" t="str">
        <f aca="false">IF(G3993="","",IFERROR(IF(ISNUMBER(SEARCH(Assumptions!$C$5,G3993)),Assumptions!$D$5,IF(ISNUMBER(SEARCH(Assumptions!$C$6,G3993)),Assumptions!$D$6,IF(ISNUMBER(SEARCH(Assumptions!$C$7,G3993)),Assumptions!$D$7,"Other Services"))),"Other Services"))</f>
        <v/>
      </c>
    </row>
    <row r="3994" customFormat="false" ht="15" hidden="false" customHeight="false" outlineLevel="0" collapsed="false">
      <c r="F3994" s="41" t="str">
        <f aca="false">IF(E3994="","",IFERROR(VLOOKUP(E3994,Assumptions!$G$5:$H$16,2,0),"Other"))</f>
        <v/>
      </c>
      <c r="J3994" s="41" t="str">
        <f aca="false">IF(G3994="","",IFERROR(IF(ISNUMBER(SEARCH(Assumptions!$C$5,G3994)),Assumptions!$D$5,IF(ISNUMBER(SEARCH(Assumptions!$C$6,G3994)),Assumptions!$D$6,IF(ISNUMBER(SEARCH(Assumptions!$C$7,G3994)),Assumptions!$D$7,"Other Services"))),"Other Services"))</f>
        <v/>
      </c>
    </row>
    <row r="3995" customFormat="false" ht="15" hidden="false" customHeight="false" outlineLevel="0" collapsed="false">
      <c r="F3995" s="41" t="str">
        <f aca="false">IF(E3995="","",IFERROR(VLOOKUP(E3995,Assumptions!$G$5:$H$16,2,0),"Other"))</f>
        <v/>
      </c>
      <c r="J3995" s="41" t="str">
        <f aca="false">IF(G3995="","",IFERROR(IF(ISNUMBER(SEARCH(Assumptions!$C$5,G3995)),Assumptions!$D$5,IF(ISNUMBER(SEARCH(Assumptions!$C$6,G3995)),Assumptions!$D$6,IF(ISNUMBER(SEARCH(Assumptions!$C$7,G3995)),Assumptions!$D$7,"Other Services"))),"Other Services"))</f>
        <v/>
      </c>
    </row>
    <row r="3996" customFormat="false" ht="15" hidden="false" customHeight="false" outlineLevel="0" collapsed="false">
      <c r="F3996" s="41" t="str">
        <f aca="false">IF(E3996="","",IFERROR(VLOOKUP(E3996,Assumptions!$G$5:$H$16,2,0),"Other"))</f>
        <v/>
      </c>
      <c r="J3996" s="41" t="str">
        <f aca="false">IF(G3996="","",IFERROR(IF(ISNUMBER(SEARCH(Assumptions!$C$5,G3996)),Assumptions!$D$5,IF(ISNUMBER(SEARCH(Assumptions!$C$6,G3996)),Assumptions!$D$6,IF(ISNUMBER(SEARCH(Assumptions!$C$7,G3996)),Assumptions!$D$7,"Other Services"))),"Other Services"))</f>
        <v/>
      </c>
    </row>
    <row r="3997" customFormat="false" ht="15" hidden="false" customHeight="false" outlineLevel="0" collapsed="false">
      <c r="F3997" s="41" t="str">
        <f aca="false">IF(E3997="","",IFERROR(VLOOKUP(E3997,Assumptions!$G$5:$H$16,2,0),"Other"))</f>
        <v/>
      </c>
      <c r="J3997" s="41" t="str">
        <f aca="false">IF(G3997="","",IFERROR(IF(ISNUMBER(SEARCH(Assumptions!$C$5,G3997)),Assumptions!$D$5,IF(ISNUMBER(SEARCH(Assumptions!$C$6,G3997)),Assumptions!$D$6,IF(ISNUMBER(SEARCH(Assumptions!$C$7,G3997)),Assumptions!$D$7,"Other Services"))),"Other Services"))</f>
        <v/>
      </c>
    </row>
    <row r="3998" customFormat="false" ht="15" hidden="false" customHeight="false" outlineLevel="0" collapsed="false">
      <c r="F3998" s="41" t="str">
        <f aca="false">IF(E3998="","",IFERROR(VLOOKUP(E3998,Assumptions!$G$5:$H$16,2,0),"Other"))</f>
        <v/>
      </c>
      <c r="J3998" s="41" t="str">
        <f aca="false">IF(G3998="","",IFERROR(IF(ISNUMBER(SEARCH(Assumptions!$C$5,G3998)),Assumptions!$D$5,IF(ISNUMBER(SEARCH(Assumptions!$C$6,G3998)),Assumptions!$D$6,IF(ISNUMBER(SEARCH(Assumptions!$C$7,G3998)),Assumptions!$D$7,"Other Services"))),"Other Services"))</f>
        <v/>
      </c>
    </row>
    <row r="3999" customFormat="false" ht="15" hidden="false" customHeight="false" outlineLevel="0" collapsed="false">
      <c r="F3999" s="41" t="str">
        <f aca="false">IF(E3999="","",IFERROR(VLOOKUP(E3999,Assumptions!$G$5:$H$16,2,0),"Other"))</f>
        <v/>
      </c>
      <c r="J3999" s="41" t="str">
        <f aca="false">IF(G3999="","",IFERROR(IF(ISNUMBER(SEARCH(Assumptions!$C$5,G3999)),Assumptions!$D$5,IF(ISNUMBER(SEARCH(Assumptions!$C$6,G3999)),Assumptions!$D$6,IF(ISNUMBER(SEARCH(Assumptions!$C$7,G3999)),Assumptions!$D$7,"Other Services"))),"Other Services"))</f>
        <v/>
      </c>
    </row>
    <row r="4000" customFormat="false" ht="15" hidden="false" customHeight="false" outlineLevel="0" collapsed="false">
      <c r="F4000" s="41" t="str">
        <f aca="false">IF(E4000="","",IFERROR(VLOOKUP(E4000,Assumptions!$G$5:$H$16,2,0),"Other"))</f>
        <v/>
      </c>
      <c r="J4000" s="41" t="str">
        <f aca="false">IF(G4000="","",IFERROR(IF(ISNUMBER(SEARCH(Assumptions!$C$5,G4000)),Assumptions!$D$5,IF(ISNUMBER(SEARCH(Assumptions!$C$6,G4000)),Assumptions!$D$6,IF(ISNUMBER(SEARCH(Assumptions!$C$7,G4000)),Assumptions!$D$7,"Other Services"))),"Other Services"))</f>
        <v/>
      </c>
    </row>
    <row r="4001" customFormat="false" ht="15" hidden="false" customHeight="false" outlineLevel="0" collapsed="false">
      <c r="F4001" s="41" t="str">
        <f aca="false">IF(E4001="","",IFERROR(VLOOKUP(E4001,Assumptions!$G$5:$H$16,2,0),"Other"))</f>
        <v/>
      </c>
      <c r="J4001" s="41" t="str">
        <f aca="false">IF(G4001="","",IFERROR(IF(ISNUMBER(SEARCH(Assumptions!$C$5,G4001)),Assumptions!$D$5,IF(ISNUMBER(SEARCH(Assumptions!$C$6,G4001)),Assumptions!$D$6,IF(ISNUMBER(SEARCH(Assumptions!$C$7,G4001)),Assumptions!$D$7,"Other Services"))),"Other Services"))</f>
        <v/>
      </c>
    </row>
    <row r="4002" customFormat="false" ht="15" hidden="false" customHeight="false" outlineLevel="0" collapsed="false">
      <c r="F4002" s="41" t="str">
        <f aca="false">IF(E4002="","",IFERROR(VLOOKUP(E4002,Assumptions!$G$5:$H$16,2,0),"Other"))</f>
        <v/>
      </c>
      <c r="J4002" s="41" t="str">
        <f aca="false">IF(G4002="","",IFERROR(IF(ISNUMBER(SEARCH(Assumptions!$C$5,G4002)),Assumptions!$D$5,IF(ISNUMBER(SEARCH(Assumptions!$C$6,G4002)),Assumptions!$D$6,IF(ISNUMBER(SEARCH(Assumptions!$C$7,G4002)),Assumptions!$D$7,"Other Services"))),"Other Services"))</f>
        <v/>
      </c>
    </row>
    <row r="4003" customFormat="false" ht="15" hidden="false" customHeight="false" outlineLevel="0" collapsed="false">
      <c r="F4003" s="41" t="str">
        <f aca="false">IF(E4003="","",IFERROR(VLOOKUP(E4003,Assumptions!$G$5:$H$16,2,0),"Other"))</f>
        <v/>
      </c>
      <c r="J4003" s="41" t="str">
        <f aca="false">IF(G4003="","",IFERROR(IF(ISNUMBER(SEARCH(Assumptions!$C$5,G4003)),Assumptions!$D$5,IF(ISNUMBER(SEARCH(Assumptions!$C$6,G4003)),Assumptions!$D$6,IF(ISNUMBER(SEARCH(Assumptions!$C$7,G4003)),Assumptions!$D$7,"Other Services"))),"Other Services"))</f>
        <v/>
      </c>
    </row>
    <row r="4004" customFormat="false" ht="15" hidden="false" customHeight="false" outlineLevel="0" collapsed="false">
      <c r="F4004" s="41" t="str">
        <f aca="false">IF(E4004="","",IFERROR(VLOOKUP(E4004,Assumptions!$G$5:$H$16,2,0),"Other"))</f>
        <v/>
      </c>
      <c r="J4004" s="41" t="str">
        <f aca="false">IF(G4004="","",IFERROR(IF(ISNUMBER(SEARCH(Assumptions!$C$5,G4004)),Assumptions!$D$5,IF(ISNUMBER(SEARCH(Assumptions!$C$6,G4004)),Assumptions!$D$6,IF(ISNUMBER(SEARCH(Assumptions!$C$7,G4004)),Assumptions!$D$7,"Other Services"))),"Other Services"))</f>
        <v/>
      </c>
    </row>
    <row r="4005" customFormat="false" ht="15" hidden="false" customHeight="false" outlineLevel="0" collapsed="false">
      <c r="F4005" s="41" t="str">
        <f aca="false">IF(E4005="","",IFERROR(VLOOKUP(E4005,Assumptions!$G$5:$H$16,2,0),"Other"))</f>
        <v/>
      </c>
      <c r="J4005" s="41" t="str">
        <f aca="false">IF(G4005="","",IFERROR(IF(ISNUMBER(SEARCH(Assumptions!$C$5,G4005)),Assumptions!$D$5,IF(ISNUMBER(SEARCH(Assumptions!$C$6,G4005)),Assumptions!$D$6,IF(ISNUMBER(SEARCH(Assumptions!$C$7,G4005)),Assumptions!$D$7,"Other Services"))),"Other Services"))</f>
        <v/>
      </c>
    </row>
    <row r="4006" customFormat="false" ht="15" hidden="false" customHeight="false" outlineLevel="0" collapsed="false">
      <c r="F4006" s="41" t="str">
        <f aca="false">IF(E4006="","",IFERROR(VLOOKUP(E4006,Assumptions!$G$5:$H$16,2,0),"Other"))</f>
        <v/>
      </c>
      <c r="J4006" s="41" t="str">
        <f aca="false">IF(G4006="","",IFERROR(IF(ISNUMBER(SEARCH(Assumptions!$C$5,G4006)),Assumptions!$D$5,IF(ISNUMBER(SEARCH(Assumptions!$C$6,G4006)),Assumptions!$D$6,IF(ISNUMBER(SEARCH(Assumptions!$C$7,G4006)),Assumptions!$D$7,"Other Services"))),"Other Services"))</f>
        <v/>
      </c>
    </row>
    <row r="4007" customFormat="false" ht="15" hidden="false" customHeight="false" outlineLevel="0" collapsed="false">
      <c r="F4007" s="41" t="str">
        <f aca="false">IF(E4007="","",IFERROR(VLOOKUP(E4007,Assumptions!$G$5:$H$16,2,0),"Other"))</f>
        <v/>
      </c>
      <c r="J4007" s="41" t="str">
        <f aca="false">IF(G4007="","",IFERROR(IF(ISNUMBER(SEARCH(Assumptions!$C$5,G4007)),Assumptions!$D$5,IF(ISNUMBER(SEARCH(Assumptions!$C$6,G4007)),Assumptions!$D$6,IF(ISNUMBER(SEARCH(Assumptions!$C$7,G4007)),Assumptions!$D$7,"Other Services"))),"Other Services"))</f>
        <v/>
      </c>
    </row>
    <row r="4008" customFormat="false" ht="15" hidden="false" customHeight="false" outlineLevel="0" collapsed="false">
      <c r="F4008" s="41" t="str">
        <f aca="false">IF(E4008="","",IFERROR(VLOOKUP(E4008,Assumptions!$G$5:$H$16,2,0),"Other"))</f>
        <v/>
      </c>
      <c r="J4008" s="41" t="str">
        <f aca="false">IF(G4008="","",IFERROR(IF(ISNUMBER(SEARCH(Assumptions!$C$5,G4008)),Assumptions!$D$5,IF(ISNUMBER(SEARCH(Assumptions!$C$6,G4008)),Assumptions!$D$6,IF(ISNUMBER(SEARCH(Assumptions!$C$7,G4008)),Assumptions!$D$7,"Other Services"))),"Other Services"))</f>
        <v/>
      </c>
    </row>
    <row r="4009" customFormat="false" ht="15" hidden="false" customHeight="false" outlineLevel="0" collapsed="false">
      <c r="F4009" s="41" t="str">
        <f aca="false">IF(E4009="","",IFERROR(VLOOKUP(E4009,Assumptions!$G$5:$H$16,2,0),"Other"))</f>
        <v/>
      </c>
      <c r="J4009" s="41" t="str">
        <f aca="false">IF(G4009="","",IFERROR(IF(ISNUMBER(SEARCH(Assumptions!$C$5,G4009)),Assumptions!$D$5,IF(ISNUMBER(SEARCH(Assumptions!$C$6,G4009)),Assumptions!$D$6,IF(ISNUMBER(SEARCH(Assumptions!$C$7,G4009)),Assumptions!$D$7,"Other Services"))),"Other Services"))</f>
        <v/>
      </c>
    </row>
    <row r="4010" customFormat="false" ht="15" hidden="false" customHeight="false" outlineLevel="0" collapsed="false">
      <c r="F4010" s="41" t="str">
        <f aca="false">IF(E4010="","",IFERROR(VLOOKUP(E4010,Assumptions!$G$5:$H$16,2,0),"Other"))</f>
        <v/>
      </c>
      <c r="J4010" s="41" t="str">
        <f aca="false">IF(G4010="","",IFERROR(IF(ISNUMBER(SEARCH(Assumptions!$C$5,G4010)),Assumptions!$D$5,IF(ISNUMBER(SEARCH(Assumptions!$C$6,G4010)),Assumptions!$D$6,IF(ISNUMBER(SEARCH(Assumptions!$C$7,G4010)),Assumptions!$D$7,"Other Services"))),"Other Services"))</f>
        <v/>
      </c>
    </row>
    <row r="4011" customFormat="false" ht="15" hidden="false" customHeight="false" outlineLevel="0" collapsed="false">
      <c r="F4011" s="41" t="str">
        <f aca="false">IF(E4011="","",IFERROR(VLOOKUP(E4011,Assumptions!$G$5:$H$16,2,0),"Other"))</f>
        <v/>
      </c>
      <c r="J4011" s="41" t="str">
        <f aca="false">IF(G4011="","",IFERROR(IF(ISNUMBER(SEARCH(Assumptions!$C$5,G4011)),Assumptions!$D$5,IF(ISNUMBER(SEARCH(Assumptions!$C$6,G4011)),Assumptions!$D$6,IF(ISNUMBER(SEARCH(Assumptions!$C$7,G4011)),Assumptions!$D$7,"Other Services"))),"Other Services"))</f>
        <v/>
      </c>
    </row>
    <row r="4012" customFormat="false" ht="15" hidden="false" customHeight="false" outlineLevel="0" collapsed="false">
      <c r="F4012" s="41" t="str">
        <f aca="false">IF(E4012="","",IFERROR(VLOOKUP(E4012,Assumptions!$G$5:$H$16,2,0),"Other"))</f>
        <v/>
      </c>
      <c r="J4012" s="41" t="str">
        <f aca="false">IF(G4012="","",IFERROR(IF(ISNUMBER(SEARCH(Assumptions!$C$5,G4012)),Assumptions!$D$5,IF(ISNUMBER(SEARCH(Assumptions!$C$6,G4012)),Assumptions!$D$6,IF(ISNUMBER(SEARCH(Assumptions!$C$7,G4012)),Assumptions!$D$7,"Other Services"))),"Other Services"))</f>
        <v/>
      </c>
    </row>
    <row r="4013" customFormat="false" ht="15" hidden="false" customHeight="false" outlineLevel="0" collapsed="false">
      <c r="F4013" s="41" t="str">
        <f aca="false">IF(E4013="","",IFERROR(VLOOKUP(E4013,Assumptions!$G$5:$H$16,2,0),"Other"))</f>
        <v/>
      </c>
      <c r="J4013" s="41" t="str">
        <f aca="false">IF(G4013="","",IFERROR(IF(ISNUMBER(SEARCH(Assumptions!$C$5,G4013)),Assumptions!$D$5,IF(ISNUMBER(SEARCH(Assumptions!$C$6,G4013)),Assumptions!$D$6,IF(ISNUMBER(SEARCH(Assumptions!$C$7,G4013)),Assumptions!$D$7,"Other Services"))),"Other Services"))</f>
        <v/>
      </c>
    </row>
    <row r="4014" customFormat="false" ht="15" hidden="false" customHeight="false" outlineLevel="0" collapsed="false">
      <c r="F4014" s="41" t="str">
        <f aca="false">IF(E4014="","",IFERROR(VLOOKUP(E4014,Assumptions!$G$5:$H$16,2,0),"Other"))</f>
        <v/>
      </c>
      <c r="J4014" s="41" t="str">
        <f aca="false">IF(G4014="","",IFERROR(IF(ISNUMBER(SEARCH(Assumptions!$C$5,G4014)),Assumptions!$D$5,IF(ISNUMBER(SEARCH(Assumptions!$C$6,G4014)),Assumptions!$D$6,IF(ISNUMBER(SEARCH(Assumptions!$C$7,G4014)),Assumptions!$D$7,"Other Services"))),"Other Services"))</f>
        <v/>
      </c>
    </row>
    <row r="4015" customFormat="false" ht="15" hidden="false" customHeight="false" outlineLevel="0" collapsed="false">
      <c r="F4015" s="41" t="str">
        <f aca="false">IF(E4015="","",IFERROR(VLOOKUP(E4015,Assumptions!$G$5:$H$16,2,0),"Other"))</f>
        <v/>
      </c>
      <c r="J4015" s="41" t="str">
        <f aca="false">IF(G4015="","",IFERROR(IF(ISNUMBER(SEARCH(Assumptions!$C$5,G4015)),Assumptions!$D$5,IF(ISNUMBER(SEARCH(Assumptions!$C$6,G4015)),Assumptions!$D$6,IF(ISNUMBER(SEARCH(Assumptions!$C$7,G4015)),Assumptions!$D$7,"Other Services"))),"Other Services"))</f>
        <v/>
      </c>
    </row>
    <row r="4016" customFormat="false" ht="15" hidden="false" customHeight="false" outlineLevel="0" collapsed="false">
      <c r="F4016" s="41" t="str">
        <f aca="false">IF(E4016="","",IFERROR(VLOOKUP(E4016,Assumptions!$G$5:$H$16,2,0),"Other"))</f>
        <v/>
      </c>
      <c r="J4016" s="41" t="str">
        <f aca="false">IF(G4016="","",IFERROR(IF(ISNUMBER(SEARCH(Assumptions!$C$5,G4016)),Assumptions!$D$5,IF(ISNUMBER(SEARCH(Assumptions!$C$6,G4016)),Assumptions!$D$6,IF(ISNUMBER(SEARCH(Assumptions!$C$7,G4016)),Assumptions!$D$7,"Other Services"))),"Other Services"))</f>
        <v/>
      </c>
    </row>
    <row r="4017" customFormat="false" ht="15" hidden="false" customHeight="false" outlineLevel="0" collapsed="false">
      <c r="F4017" s="41" t="str">
        <f aca="false">IF(E4017="","",IFERROR(VLOOKUP(E4017,Assumptions!$G$5:$H$16,2,0),"Other"))</f>
        <v/>
      </c>
      <c r="J4017" s="41" t="str">
        <f aca="false">IF(G4017="","",IFERROR(IF(ISNUMBER(SEARCH(Assumptions!$C$5,G4017)),Assumptions!$D$5,IF(ISNUMBER(SEARCH(Assumptions!$C$6,G4017)),Assumptions!$D$6,IF(ISNUMBER(SEARCH(Assumptions!$C$7,G4017)),Assumptions!$D$7,"Other Services"))),"Other Services"))</f>
        <v/>
      </c>
    </row>
    <row r="4018" customFormat="false" ht="15" hidden="false" customHeight="false" outlineLevel="0" collapsed="false">
      <c r="F4018" s="41" t="str">
        <f aca="false">IF(E4018="","",IFERROR(VLOOKUP(E4018,Assumptions!$G$5:$H$16,2,0),"Other"))</f>
        <v/>
      </c>
      <c r="J4018" s="41" t="str">
        <f aca="false">IF(G4018="","",IFERROR(IF(ISNUMBER(SEARCH(Assumptions!$C$5,G4018)),Assumptions!$D$5,IF(ISNUMBER(SEARCH(Assumptions!$C$6,G4018)),Assumptions!$D$6,IF(ISNUMBER(SEARCH(Assumptions!$C$7,G4018)),Assumptions!$D$7,"Other Services"))),"Other Services"))</f>
        <v/>
      </c>
    </row>
    <row r="4019" customFormat="false" ht="15" hidden="false" customHeight="false" outlineLevel="0" collapsed="false">
      <c r="F4019" s="41" t="str">
        <f aca="false">IF(E4019="","",IFERROR(VLOOKUP(E4019,Assumptions!$G$5:$H$16,2,0),"Other"))</f>
        <v/>
      </c>
      <c r="J4019" s="41" t="str">
        <f aca="false">IF(G4019="","",IFERROR(IF(ISNUMBER(SEARCH(Assumptions!$C$5,G4019)),Assumptions!$D$5,IF(ISNUMBER(SEARCH(Assumptions!$C$6,G4019)),Assumptions!$D$6,IF(ISNUMBER(SEARCH(Assumptions!$C$7,G4019)),Assumptions!$D$7,"Other Services"))),"Other Services"))</f>
        <v/>
      </c>
    </row>
    <row r="4020" customFormat="false" ht="15" hidden="false" customHeight="false" outlineLevel="0" collapsed="false">
      <c r="F4020" s="41" t="str">
        <f aca="false">IF(E4020="","",IFERROR(VLOOKUP(E4020,Assumptions!$G$5:$H$16,2,0),"Other"))</f>
        <v/>
      </c>
      <c r="J4020" s="41" t="str">
        <f aca="false">IF(G4020="","",IFERROR(IF(ISNUMBER(SEARCH(Assumptions!$C$5,G4020)),Assumptions!$D$5,IF(ISNUMBER(SEARCH(Assumptions!$C$6,G4020)),Assumptions!$D$6,IF(ISNUMBER(SEARCH(Assumptions!$C$7,G4020)),Assumptions!$D$7,"Other Services"))),"Other Services"))</f>
        <v/>
      </c>
    </row>
    <row r="4021" customFormat="false" ht="15" hidden="false" customHeight="false" outlineLevel="0" collapsed="false">
      <c r="F4021" s="41" t="str">
        <f aca="false">IF(E4021="","",IFERROR(VLOOKUP(E4021,Assumptions!$G$5:$H$16,2,0),"Other"))</f>
        <v/>
      </c>
      <c r="J4021" s="41" t="str">
        <f aca="false">IF(G4021="","",IFERROR(IF(ISNUMBER(SEARCH(Assumptions!$C$5,G4021)),Assumptions!$D$5,IF(ISNUMBER(SEARCH(Assumptions!$C$6,G4021)),Assumptions!$D$6,IF(ISNUMBER(SEARCH(Assumptions!$C$7,G4021)),Assumptions!$D$7,"Other Services"))),"Other Services"))</f>
        <v/>
      </c>
    </row>
    <row r="4022" customFormat="false" ht="15" hidden="false" customHeight="false" outlineLevel="0" collapsed="false">
      <c r="F4022" s="41" t="str">
        <f aca="false">IF(E4022="","",IFERROR(VLOOKUP(E4022,Assumptions!$G$5:$H$16,2,0),"Other"))</f>
        <v/>
      </c>
      <c r="J4022" s="41" t="str">
        <f aca="false">IF(G4022="","",IFERROR(IF(ISNUMBER(SEARCH(Assumptions!$C$5,G4022)),Assumptions!$D$5,IF(ISNUMBER(SEARCH(Assumptions!$C$6,G4022)),Assumptions!$D$6,IF(ISNUMBER(SEARCH(Assumptions!$C$7,G4022)),Assumptions!$D$7,"Other Services"))),"Other Services"))</f>
        <v/>
      </c>
    </row>
    <row r="4023" customFormat="false" ht="15" hidden="false" customHeight="false" outlineLevel="0" collapsed="false">
      <c r="F4023" s="41" t="str">
        <f aca="false">IF(E4023="","",IFERROR(VLOOKUP(E4023,Assumptions!$G$5:$H$16,2,0),"Other"))</f>
        <v/>
      </c>
      <c r="J4023" s="41" t="str">
        <f aca="false">IF(G4023="","",IFERROR(IF(ISNUMBER(SEARCH(Assumptions!$C$5,G4023)),Assumptions!$D$5,IF(ISNUMBER(SEARCH(Assumptions!$C$6,G4023)),Assumptions!$D$6,IF(ISNUMBER(SEARCH(Assumptions!$C$7,G4023)),Assumptions!$D$7,"Other Services"))),"Other Services"))</f>
        <v/>
      </c>
    </row>
    <row r="4024" customFormat="false" ht="15" hidden="false" customHeight="false" outlineLevel="0" collapsed="false">
      <c r="F4024" s="41" t="str">
        <f aca="false">IF(E4024="","",IFERROR(VLOOKUP(E4024,Assumptions!$G$5:$H$16,2,0),"Other"))</f>
        <v/>
      </c>
      <c r="J4024" s="41" t="str">
        <f aca="false">IF(G4024="","",IFERROR(IF(ISNUMBER(SEARCH(Assumptions!$C$5,G4024)),Assumptions!$D$5,IF(ISNUMBER(SEARCH(Assumptions!$C$6,G4024)),Assumptions!$D$6,IF(ISNUMBER(SEARCH(Assumptions!$C$7,G4024)),Assumptions!$D$7,"Other Services"))),"Other Services"))</f>
        <v/>
      </c>
    </row>
    <row r="4025" customFormat="false" ht="15" hidden="false" customHeight="false" outlineLevel="0" collapsed="false">
      <c r="F4025" s="41" t="str">
        <f aca="false">IF(E4025="","",IFERROR(VLOOKUP(E4025,Assumptions!$G$5:$H$16,2,0),"Other"))</f>
        <v/>
      </c>
      <c r="J4025" s="41" t="str">
        <f aca="false">IF(G4025="","",IFERROR(IF(ISNUMBER(SEARCH(Assumptions!$C$5,G4025)),Assumptions!$D$5,IF(ISNUMBER(SEARCH(Assumptions!$C$6,G4025)),Assumptions!$D$6,IF(ISNUMBER(SEARCH(Assumptions!$C$7,G4025)),Assumptions!$D$7,"Other Services"))),"Other Services"))</f>
        <v/>
      </c>
    </row>
    <row r="4026" customFormat="false" ht="15" hidden="false" customHeight="false" outlineLevel="0" collapsed="false">
      <c r="F4026" s="41" t="str">
        <f aca="false">IF(E4026="","",IFERROR(VLOOKUP(E4026,Assumptions!$G$5:$H$16,2,0),"Other"))</f>
        <v/>
      </c>
      <c r="J4026" s="41" t="str">
        <f aca="false">IF(G4026="","",IFERROR(IF(ISNUMBER(SEARCH(Assumptions!$C$5,G4026)),Assumptions!$D$5,IF(ISNUMBER(SEARCH(Assumptions!$C$6,G4026)),Assumptions!$D$6,IF(ISNUMBER(SEARCH(Assumptions!$C$7,G4026)),Assumptions!$D$7,"Other Services"))),"Other Services"))</f>
        <v/>
      </c>
    </row>
    <row r="4027" customFormat="false" ht="15" hidden="false" customHeight="false" outlineLevel="0" collapsed="false">
      <c r="F4027" s="41" t="str">
        <f aca="false">IF(E4027="","",IFERROR(VLOOKUP(E4027,Assumptions!$G$5:$H$16,2,0),"Other"))</f>
        <v/>
      </c>
      <c r="J4027" s="41" t="str">
        <f aca="false">IF(G4027="","",IFERROR(IF(ISNUMBER(SEARCH(Assumptions!$C$5,G4027)),Assumptions!$D$5,IF(ISNUMBER(SEARCH(Assumptions!$C$6,G4027)),Assumptions!$D$6,IF(ISNUMBER(SEARCH(Assumptions!$C$7,G4027)),Assumptions!$D$7,"Other Services"))),"Other Services"))</f>
        <v/>
      </c>
    </row>
    <row r="4028" customFormat="false" ht="15" hidden="false" customHeight="false" outlineLevel="0" collapsed="false">
      <c r="F4028" s="41" t="str">
        <f aca="false">IF(E4028="","",IFERROR(VLOOKUP(E4028,Assumptions!$G$5:$H$16,2,0),"Other"))</f>
        <v/>
      </c>
      <c r="J4028" s="41" t="str">
        <f aca="false">IF(G4028="","",IFERROR(IF(ISNUMBER(SEARCH(Assumptions!$C$5,G4028)),Assumptions!$D$5,IF(ISNUMBER(SEARCH(Assumptions!$C$6,G4028)),Assumptions!$D$6,IF(ISNUMBER(SEARCH(Assumptions!$C$7,G4028)),Assumptions!$D$7,"Other Services"))),"Other Services"))</f>
        <v/>
      </c>
    </row>
    <row r="4029" customFormat="false" ht="15" hidden="false" customHeight="false" outlineLevel="0" collapsed="false">
      <c r="F4029" s="41" t="str">
        <f aca="false">IF(E4029="","",IFERROR(VLOOKUP(E4029,Assumptions!$G$5:$H$16,2,0),"Other"))</f>
        <v/>
      </c>
      <c r="J4029" s="41" t="str">
        <f aca="false">IF(G4029="","",IFERROR(IF(ISNUMBER(SEARCH(Assumptions!$C$5,G4029)),Assumptions!$D$5,IF(ISNUMBER(SEARCH(Assumptions!$C$6,G4029)),Assumptions!$D$6,IF(ISNUMBER(SEARCH(Assumptions!$C$7,G4029)),Assumptions!$D$7,"Other Services"))),"Other Services"))</f>
        <v/>
      </c>
    </row>
    <row r="4030" customFormat="false" ht="15" hidden="false" customHeight="false" outlineLevel="0" collapsed="false">
      <c r="F4030" s="41" t="str">
        <f aca="false">IF(E4030="","",IFERROR(VLOOKUP(E4030,Assumptions!$G$5:$H$16,2,0),"Other"))</f>
        <v/>
      </c>
      <c r="J4030" s="41" t="str">
        <f aca="false">IF(G4030="","",IFERROR(IF(ISNUMBER(SEARCH(Assumptions!$C$5,G4030)),Assumptions!$D$5,IF(ISNUMBER(SEARCH(Assumptions!$C$6,G4030)),Assumptions!$D$6,IF(ISNUMBER(SEARCH(Assumptions!$C$7,G4030)),Assumptions!$D$7,"Other Services"))),"Other Services"))</f>
        <v/>
      </c>
    </row>
    <row r="4031" customFormat="false" ht="15" hidden="false" customHeight="false" outlineLevel="0" collapsed="false">
      <c r="F4031" s="41" t="str">
        <f aca="false">IF(E4031="","",IFERROR(VLOOKUP(E4031,Assumptions!$G$5:$H$16,2,0),"Other"))</f>
        <v/>
      </c>
      <c r="J4031" s="41" t="str">
        <f aca="false">IF(G4031="","",IFERROR(IF(ISNUMBER(SEARCH(Assumptions!$C$5,G4031)),Assumptions!$D$5,IF(ISNUMBER(SEARCH(Assumptions!$C$6,G4031)),Assumptions!$D$6,IF(ISNUMBER(SEARCH(Assumptions!$C$7,G4031)),Assumptions!$D$7,"Other Services"))),"Other Services"))</f>
        <v/>
      </c>
    </row>
    <row r="4032" customFormat="false" ht="15" hidden="false" customHeight="false" outlineLevel="0" collapsed="false">
      <c r="F4032" s="41" t="str">
        <f aca="false">IF(E4032="","",IFERROR(VLOOKUP(E4032,Assumptions!$G$5:$H$16,2,0),"Other"))</f>
        <v/>
      </c>
      <c r="J4032" s="41" t="str">
        <f aca="false">IF(G4032="","",IFERROR(IF(ISNUMBER(SEARCH(Assumptions!$C$5,G4032)),Assumptions!$D$5,IF(ISNUMBER(SEARCH(Assumptions!$C$6,G4032)),Assumptions!$D$6,IF(ISNUMBER(SEARCH(Assumptions!$C$7,G4032)),Assumptions!$D$7,"Other Services"))),"Other Services"))</f>
        <v/>
      </c>
    </row>
    <row r="4033" customFormat="false" ht="15" hidden="false" customHeight="false" outlineLevel="0" collapsed="false">
      <c r="F4033" s="41" t="str">
        <f aca="false">IF(E4033="","",IFERROR(VLOOKUP(E4033,Assumptions!$G$5:$H$16,2,0),"Other"))</f>
        <v/>
      </c>
      <c r="J4033" s="41" t="str">
        <f aca="false">IF(G4033="","",IFERROR(IF(ISNUMBER(SEARCH(Assumptions!$C$5,G4033)),Assumptions!$D$5,IF(ISNUMBER(SEARCH(Assumptions!$C$6,G4033)),Assumptions!$D$6,IF(ISNUMBER(SEARCH(Assumptions!$C$7,G4033)),Assumptions!$D$7,"Other Services"))),"Other Services"))</f>
        <v/>
      </c>
    </row>
    <row r="4034" customFormat="false" ht="15" hidden="false" customHeight="false" outlineLevel="0" collapsed="false">
      <c r="F4034" s="41" t="str">
        <f aca="false">IF(E4034="","",IFERROR(VLOOKUP(E4034,Assumptions!$G$5:$H$16,2,0),"Other"))</f>
        <v/>
      </c>
      <c r="J4034" s="41" t="str">
        <f aca="false">IF(G4034="","",IFERROR(IF(ISNUMBER(SEARCH(Assumptions!$C$5,G4034)),Assumptions!$D$5,IF(ISNUMBER(SEARCH(Assumptions!$C$6,G4034)),Assumptions!$D$6,IF(ISNUMBER(SEARCH(Assumptions!$C$7,G4034)),Assumptions!$D$7,"Other Services"))),"Other Services"))</f>
        <v/>
      </c>
    </row>
    <row r="4035" customFormat="false" ht="15" hidden="false" customHeight="false" outlineLevel="0" collapsed="false">
      <c r="F4035" s="41" t="str">
        <f aca="false">IF(E4035="","",IFERROR(VLOOKUP(E4035,Assumptions!$G$5:$H$16,2,0),"Other"))</f>
        <v/>
      </c>
      <c r="J4035" s="41" t="str">
        <f aca="false">IF(G4035="","",IFERROR(IF(ISNUMBER(SEARCH(Assumptions!$C$5,G4035)),Assumptions!$D$5,IF(ISNUMBER(SEARCH(Assumptions!$C$6,G4035)),Assumptions!$D$6,IF(ISNUMBER(SEARCH(Assumptions!$C$7,G4035)),Assumptions!$D$7,"Other Services"))),"Other Services"))</f>
        <v/>
      </c>
    </row>
    <row r="4036" customFormat="false" ht="15" hidden="false" customHeight="false" outlineLevel="0" collapsed="false">
      <c r="F4036" s="41" t="str">
        <f aca="false">IF(E4036="","",IFERROR(VLOOKUP(E4036,Assumptions!$G$5:$H$16,2,0),"Other"))</f>
        <v/>
      </c>
      <c r="J4036" s="41" t="str">
        <f aca="false">IF(G4036="","",IFERROR(IF(ISNUMBER(SEARCH(Assumptions!$C$5,G4036)),Assumptions!$D$5,IF(ISNUMBER(SEARCH(Assumptions!$C$6,G4036)),Assumptions!$D$6,IF(ISNUMBER(SEARCH(Assumptions!$C$7,G4036)),Assumptions!$D$7,"Other Services"))),"Other Services"))</f>
        <v/>
      </c>
    </row>
    <row r="4037" customFormat="false" ht="15" hidden="false" customHeight="false" outlineLevel="0" collapsed="false">
      <c r="F4037" s="41" t="str">
        <f aca="false">IF(E4037="","",IFERROR(VLOOKUP(E4037,Assumptions!$G$5:$H$16,2,0),"Other"))</f>
        <v/>
      </c>
      <c r="J4037" s="41" t="str">
        <f aca="false">IF(G4037="","",IFERROR(IF(ISNUMBER(SEARCH(Assumptions!$C$5,G4037)),Assumptions!$D$5,IF(ISNUMBER(SEARCH(Assumptions!$C$6,G4037)),Assumptions!$D$6,IF(ISNUMBER(SEARCH(Assumptions!$C$7,G4037)),Assumptions!$D$7,"Other Services"))),"Other Services"))</f>
        <v/>
      </c>
    </row>
    <row r="4038" customFormat="false" ht="15" hidden="false" customHeight="false" outlineLevel="0" collapsed="false">
      <c r="F4038" s="41" t="str">
        <f aca="false">IF(E4038="","",IFERROR(VLOOKUP(E4038,Assumptions!$G$5:$H$16,2,0),"Other"))</f>
        <v/>
      </c>
      <c r="J4038" s="41" t="str">
        <f aca="false">IF(G4038="","",IFERROR(IF(ISNUMBER(SEARCH(Assumptions!$C$5,G4038)),Assumptions!$D$5,IF(ISNUMBER(SEARCH(Assumptions!$C$6,G4038)),Assumptions!$D$6,IF(ISNUMBER(SEARCH(Assumptions!$C$7,G4038)),Assumptions!$D$7,"Other Services"))),"Other Services"))</f>
        <v/>
      </c>
    </row>
    <row r="4039" customFormat="false" ht="15" hidden="false" customHeight="false" outlineLevel="0" collapsed="false">
      <c r="F4039" s="41" t="str">
        <f aca="false">IF(E4039="","",IFERROR(VLOOKUP(E4039,Assumptions!$G$5:$H$16,2,0),"Other"))</f>
        <v/>
      </c>
      <c r="J4039" s="41" t="str">
        <f aca="false">IF(G4039="","",IFERROR(IF(ISNUMBER(SEARCH(Assumptions!$C$5,G4039)),Assumptions!$D$5,IF(ISNUMBER(SEARCH(Assumptions!$C$6,G4039)),Assumptions!$D$6,IF(ISNUMBER(SEARCH(Assumptions!$C$7,G4039)),Assumptions!$D$7,"Other Services"))),"Other Services"))</f>
        <v/>
      </c>
    </row>
    <row r="4040" customFormat="false" ht="15" hidden="false" customHeight="false" outlineLevel="0" collapsed="false">
      <c r="F4040" s="41" t="str">
        <f aca="false">IF(E4040="","",IFERROR(VLOOKUP(E4040,Assumptions!$G$5:$H$16,2,0),"Other"))</f>
        <v/>
      </c>
      <c r="J4040" s="41" t="str">
        <f aca="false">IF(G4040="","",IFERROR(IF(ISNUMBER(SEARCH(Assumptions!$C$5,G4040)),Assumptions!$D$5,IF(ISNUMBER(SEARCH(Assumptions!$C$6,G4040)),Assumptions!$D$6,IF(ISNUMBER(SEARCH(Assumptions!$C$7,G4040)),Assumptions!$D$7,"Other Services"))),"Other Services"))</f>
        <v/>
      </c>
    </row>
    <row r="4041" customFormat="false" ht="15" hidden="false" customHeight="false" outlineLevel="0" collapsed="false">
      <c r="F4041" s="41" t="str">
        <f aca="false">IF(E4041="","",IFERROR(VLOOKUP(E4041,Assumptions!$G$5:$H$16,2,0),"Other"))</f>
        <v/>
      </c>
      <c r="J4041" s="41" t="str">
        <f aca="false">IF(G4041="","",IFERROR(IF(ISNUMBER(SEARCH(Assumptions!$C$5,G4041)),Assumptions!$D$5,IF(ISNUMBER(SEARCH(Assumptions!$C$6,G4041)),Assumptions!$D$6,IF(ISNUMBER(SEARCH(Assumptions!$C$7,G4041)),Assumptions!$D$7,"Other Services"))),"Other Services"))</f>
        <v/>
      </c>
    </row>
    <row r="4042" customFormat="false" ht="15" hidden="false" customHeight="false" outlineLevel="0" collapsed="false">
      <c r="F4042" s="41" t="str">
        <f aca="false">IF(E4042="","",IFERROR(VLOOKUP(E4042,Assumptions!$G$5:$H$16,2,0),"Other"))</f>
        <v/>
      </c>
      <c r="J4042" s="41" t="str">
        <f aca="false">IF(G4042="","",IFERROR(IF(ISNUMBER(SEARCH(Assumptions!$C$5,G4042)),Assumptions!$D$5,IF(ISNUMBER(SEARCH(Assumptions!$C$6,G4042)),Assumptions!$D$6,IF(ISNUMBER(SEARCH(Assumptions!$C$7,G4042)),Assumptions!$D$7,"Other Services"))),"Other Services"))</f>
        <v/>
      </c>
    </row>
    <row r="4043" customFormat="false" ht="15" hidden="false" customHeight="false" outlineLevel="0" collapsed="false">
      <c r="F4043" s="41" t="str">
        <f aca="false">IF(E4043="","",IFERROR(VLOOKUP(E4043,Assumptions!$G$5:$H$16,2,0),"Other"))</f>
        <v/>
      </c>
      <c r="J4043" s="41" t="str">
        <f aca="false">IF(G4043="","",IFERROR(IF(ISNUMBER(SEARCH(Assumptions!$C$5,G4043)),Assumptions!$D$5,IF(ISNUMBER(SEARCH(Assumptions!$C$6,G4043)),Assumptions!$D$6,IF(ISNUMBER(SEARCH(Assumptions!$C$7,G4043)),Assumptions!$D$7,"Other Services"))),"Other Services"))</f>
        <v/>
      </c>
    </row>
    <row r="4044" customFormat="false" ht="15" hidden="false" customHeight="false" outlineLevel="0" collapsed="false">
      <c r="F4044" s="41" t="str">
        <f aca="false">IF(E4044="","",IFERROR(VLOOKUP(E4044,Assumptions!$G$5:$H$16,2,0),"Other"))</f>
        <v/>
      </c>
      <c r="J4044" s="41" t="str">
        <f aca="false">IF(G4044="","",IFERROR(IF(ISNUMBER(SEARCH(Assumptions!$C$5,G4044)),Assumptions!$D$5,IF(ISNUMBER(SEARCH(Assumptions!$C$6,G4044)),Assumptions!$D$6,IF(ISNUMBER(SEARCH(Assumptions!$C$7,G4044)),Assumptions!$D$7,"Other Services"))),"Other Services"))</f>
        <v/>
      </c>
    </row>
    <row r="4045" customFormat="false" ht="15" hidden="false" customHeight="false" outlineLevel="0" collapsed="false">
      <c r="F4045" s="41" t="str">
        <f aca="false">IF(E4045="","",IFERROR(VLOOKUP(E4045,Assumptions!$G$5:$H$16,2,0),"Other"))</f>
        <v/>
      </c>
      <c r="J4045" s="41" t="str">
        <f aca="false">IF(G4045="","",IFERROR(IF(ISNUMBER(SEARCH(Assumptions!$C$5,G4045)),Assumptions!$D$5,IF(ISNUMBER(SEARCH(Assumptions!$C$6,G4045)),Assumptions!$D$6,IF(ISNUMBER(SEARCH(Assumptions!$C$7,G4045)),Assumptions!$D$7,"Other Services"))),"Other Services"))</f>
        <v/>
      </c>
    </row>
    <row r="4046" customFormat="false" ht="15" hidden="false" customHeight="false" outlineLevel="0" collapsed="false">
      <c r="F4046" s="41" t="str">
        <f aca="false">IF(E4046="","",IFERROR(VLOOKUP(E4046,Assumptions!$G$5:$H$16,2,0),"Other"))</f>
        <v/>
      </c>
      <c r="J4046" s="41" t="str">
        <f aca="false">IF(G4046="","",IFERROR(IF(ISNUMBER(SEARCH(Assumptions!$C$5,G4046)),Assumptions!$D$5,IF(ISNUMBER(SEARCH(Assumptions!$C$6,G4046)),Assumptions!$D$6,IF(ISNUMBER(SEARCH(Assumptions!$C$7,G4046)),Assumptions!$D$7,"Other Services"))),"Other Services"))</f>
        <v/>
      </c>
    </row>
    <row r="4047" customFormat="false" ht="15" hidden="false" customHeight="false" outlineLevel="0" collapsed="false">
      <c r="F4047" s="41" t="str">
        <f aca="false">IF(E4047="","",IFERROR(VLOOKUP(E4047,Assumptions!$G$5:$H$16,2,0),"Other"))</f>
        <v/>
      </c>
      <c r="J4047" s="41" t="str">
        <f aca="false">IF(G4047="","",IFERROR(IF(ISNUMBER(SEARCH(Assumptions!$C$5,G4047)),Assumptions!$D$5,IF(ISNUMBER(SEARCH(Assumptions!$C$6,G4047)),Assumptions!$D$6,IF(ISNUMBER(SEARCH(Assumptions!$C$7,G4047)),Assumptions!$D$7,"Other Services"))),"Other Services"))</f>
        <v/>
      </c>
    </row>
    <row r="4048" customFormat="false" ht="15" hidden="false" customHeight="false" outlineLevel="0" collapsed="false">
      <c r="F4048" s="41" t="str">
        <f aca="false">IF(E4048="","",IFERROR(VLOOKUP(E4048,Assumptions!$G$5:$H$16,2,0),"Other"))</f>
        <v/>
      </c>
      <c r="J4048" s="41" t="str">
        <f aca="false">IF(G4048="","",IFERROR(IF(ISNUMBER(SEARCH(Assumptions!$C$5,G4048)),Assumptions!$D$5,IF(ISNUMBER(SEARCH(Assumptions!$C$6,G4048)),Assumptions!$D$6,IF(ISNUMBER(SEARCH(Assumptions!$C$7,G4048)),Assumptions!$D$7,"Other Services"))),"Other Services"))</f>
        <v/>
      </c>
    </row>
    <row r="4049" customFormat="false" ht="15" hidden="false" customHeight="false" outlineLevel="0" collapsed="false">
      <c r="F4049" s="41" t="str">
        <f aca="false">IF(E4049="","",IFERROR(VLOOKUP(E4049,Assumptions!$G$5:$H$16,2,0),"Other"))</f>
        <v/>
      </c>
      <c r="J4049" s="41" t="str">
        <f aca="false">IF(G4049="","",IFERROR(IF(ISNUMBER(SEARCH(Assumptions!$C$5,G4049)),Assumptions!$D$5,IF(ISNUMBER(SEARCH(Assumptions!$C$6,G4049)),Assumptions!$D$6,IF(ISNUMBER(SEARCH(Assumptions!$C$7,G4049)),Assumptions!$D$7,"Other Services"))),"Other Services"))</f>
        <v/>
      </c>
    </row>
    <row r="4050" customFormat="false" ht="15" hidden="false" customHeight="false" outlineLevel="0" collapsed="false">
      <c r="F4050" s="41" t="str">
        <f aca="false">IF(E4050="","",IFERROR(VLOOKUP(E4050,Assumptions!$G$5:$H$16,2,0),"Other"))</f>
        <v/>
      </c>
      <c r="J4050" s="41" t="str">
        <f aca="false">IF(G4050="","",IFERROR(IF(ISNUMBER(SEARCH(Assumptions!$C$5,G4050)),Assumptions!$D$5,IF(ISNUMBER(SEARCH(Assumptions!$C$6,G4050)),Assumptions!$D$6,IF(ISNUMBER(SEARCH(Assumptions!$C$7,G4050)),Assumptions!$D$7,"Other Services"))),"Other Services"))</f>
        <v/>
      </c>
    </row>
    <row r="4051" customFormat="false" ht="15" hidden="false" customHeight="false" outlineLevel="0" collapsed="false">
      <c r="F4051" s="41" t="str">
        <f aca="false">IF(E4051="","",IFERROR(VLOOKUP(E4051,Assumptions!$G$5:$H$16,2,0),"Other"))</f>
        <v/>
      </c>
      <c r="J4051" s="41" t="str">
        <f aca="false">IF(G4051="","",IFERROR(IF(ISNUMBER(SEARCH(Assumptions!$C$5,G4051)),Assumptions!$D$5,IF(ISNUMBER(SEARCH(Assumptions!$C$6,G4051)),Assumptions!$D$6,IF(ISNUMBER(SEARCH(Assumptions!$C$7,G4051)),Assumptions!$D$7,"Other Services"))),"Other Services"))</f>
        <v/>
      </c>
    </row>
    <row r="4052" customFormat="false" ht="15" hidden="false" customHeight="false" outlineLevel="0" collapsed="false">
      <c r="F4052" s="41" t="str">
        <f aca="false">IF(E4052="","",IFERROR(VLOOKUP(E4052,Assumptions!$G$5:$H$16,2,0),"Other"))</f>
        <v/>
      </c>
      <c r="J4052" s="41" t="str">
        <f aca="false">IF(G4052="","",IFERROR(IF(ISNUMBER(SEARCH(Assumptions!$C$5,G4052)),Assumptions!$D$5,IF(ISNUMBER(SEARCH(Assumptions!$C$6,G4052)),Assumptions!$D$6,IF(ISNUMBER(SEARCH(Assumptions!$C$7,G4052)),Assumptions!$D$7,"Other Services"))),"Other Services"))</f>
        <v/>
      </c>
    </row>
    <row r="4053" customFormat="false" ht="15" hidden="false" customHeight="false" outlineLevel="0" collapsed="false">
      <c r="F4053" s="41" t="str">
        <f aca="false">IF(E4053="","",IFERROR(VLOOKUP(E4053,Assumptions!$G$5:$H$16,2,0),"Other"))</f>
        <v/>
      </c>
      <c r="J4053" s="41" t="str">
        <f aca="false">IF(G4053="","",IFERROR(IF(ISNUMBER(SEARCH(Assumptions!$C$5,G4053)),Assumptions!$D$5,IF(ISNUMBER(SEARCH(Assumptions!$C$6,G4053)),Assumptions!$D$6,IF(ISNUMBER(SEARCH(Assumptions!$C$7,G4053)),Assumptions!$D$7,"Other Services"))),"Other Services"))</f>
        <v/>
      </c>
    </row>
    <row r="4054" customFormat="false" ht="15" hidden="false" customHeight="false" outlineLevel="0" collapsed="false">
      <c r="F4054" s="41" t="str">
        <f aca="false">IF(E4054="","",IFERROR(VLOOKUP(E4054,Assumptions!$G$5:$H$16,2,0),"Other"))</f>
        <v/>
      </c>
      <c r="J4054" s="41" t="str">
        <f aca="false">IF(G4054="","",IFERROR(IF(ISNUMBER(SEARCH(Assumptions!$C$5,G4054)),Assumptions!$D$5,IF(ISNUMBER(SEARCH(Assumptions!$C$6,G4054)),Assumptions!$D$6,IF(ISNUMBER(SEARCH(Assumptions!$C$7,G4054)),Assumptions!$D$7,"Other Services"))),"Other Services"))</f>
        <v/>
      </c>
    </row>
    <row r="4055" customFormat="false" ht="15" hidden="false" customHeight="false" outlineLevel="0" collapsed="false">
      <c r="F4055" s="41" t="str">
        <f aca="false">IF(E4055="","",IFERROR(VLOOKUP(E4055,Assumptions!$G$5:$H$16,2,0),"Other"))</f>
        <v/>
      </c>
      <c r="J4055" s="41" t="str">
        <f aca="false">IF(G4055="","",IFERROR(IF(ISNUMBER(SEARCH(Assumptions!$C$5,G4055)),Assumptions!$D$5,IF(ISNUMBER(SEARCH(Assumptions!$C$6,G4055)),Assumptions!$D$6,IF(ISNUMBER(SEARCH(Assumptions!$C$7,G4055)),Assumptions!$D$7,"Other Services"))),"Other Services"))</f>
        <v/>
      </c>
    </row>
    <row r="4056" customFormat="false" ht="15" hidden="false" customHeight="false" outlineLevel="0" collapsed="false">
      <c r="F4056" s="41" t="str">
        <f aca="false">IF(E4056="","",IFERROR(VLOOKUP(E4056,Assumptions!$G$5:$H$16,2,0),"Other"))</f>
        <v/>
      </c>
      <c r="J4056" s="41" t="str">
        <f aca="false">IF(G4056="","",IFERROR(IF(ISNUMBER(SEARCH(Assumptions!$C$5,G4056)),Assumptions!$D$5,IF(ISNUMBER(SEARCH(Assumptions!$C$6,G4056)),Assumptions!$D$6,IF(ISNUMBER(SEARCH(Assumptions!$C$7,G4056)),Assumptions!$D$7,"Other Services"))),"Other Services"))</f>
        <v/>
      </c>
    </row>
    <row r="4057" customFormat="false" ht="15" hidden="false" customHeight="false" outlineLevel="0" collapsed="false">
      <c r="F4057" s="41" t="str">
        <f aca="false">IF(E4057="","",IFERROR(VLOOKUP(E4057,Assumptions!$G$5:$H$16,2,0),"Other"))</f>
        <v/>
      </c>
      <c r="J4057" s="41" t="str">
        <f aca="false">IF(G4057="","",IFERROR(IF(ISNUMBER(SEARCH(Assumptions!$C$5,G4057)),Assumptions!$D$5,IF(ISNUMBER(SEARCH(Assumptions!$C$6,G4057)),Assumptions!$D$6,IF(ISNUMBER(SEARCH(Assumptions!$C$7,G4057)),Assumptions!$D$7,"Other Services"))),"Other Services"))</f>
        <v/>
      </c>
    </row>
    <row r="4058" customFormat="false" ht="15" hidden="false" customHeight="false" outlineLevel="0" collapsed="false">
      <c r="F4058" s="41" t="str">
        <f aca="false">IF(E4058="","",IFERROR(VLOOKUP(E4058,Assumptions!$G$5:$H$16,2,0),"Other"))</f>
        <v/>
      </c>
      <c r="J4058" s="41" t="str">
        <f aca="false">IF(G4058="","",IFERROR(IF(ISNUMBER(SEARCH(Assumptions!$C$5,G4058)),Assumptions!$D$5,IF(ISNUMBER(SEARCH(Assumptions!$C$6,G4058)),Assumptions!$D$6,IF(ISNUMBER(SEARCH(Assumptions!$C$7,G4058)),Assumptions!$D$7,"Other Services"))),"Other Services"))</f>
        <v/>
      </c>
    </row>
    <row r="4059" customFormat="false" ht="15" hidden="false" customHeight="false" outlineLevel="0" collapsed="false">
      <c r="F4059" s="41" t="str">
        <f aca="false">IF(E4059="","",IFERROR(VLOOKUP(E4059,Assumptions!$G$5:$H$16,2,0),"Other"))</f>
        <v/>
      </c>
      <c r="J4059" s="41" t="str">
        <f aca="false">IF(G4059="","",IFERROR(IF(ISNUMBER(SEARCH(Assumptions!$C$5,G4059)),Assumptions!$D$5,IF(ISNUMBER(SEARCH(Assumptions!$C$6,G4059)),Assumptions!$D$6,IF(ISNUMBER(SEARCH(Assumptions!$C$7,G4059)),Assumptions!$D$7,"Other Services"))),"Other Services"))</f>
        <v/>
      </c>
    </row>
    <row r="4060" customFormat="false" ht="15" hidden="false" customHeight="false" outlineLevel="0" collapsed="false">
      <c r="F4060" s="41" t="str">
        <f aca="false">IF(E4060="","",IFERROR(VLOOKUP(E4060,Assumptions!$G$5:$H$16,2,0),"Other"))</f>
        <v/>
      </c>
      <c r="J4060" s="41" t="str">
        <f aca="false">IF(G4060="","",IFERROR(IF(ISNUMBER(SEARCH(Assumptions!$C$5,G4060)),Assumptions!$D$5,IF(ISNUMBER(SEARCH(Assumptions!$C$6,G4060)),Assumptions!$D$6,IF(ISNUMBER(SEARCH(Assumptions!$C$7,G4060)),Assumptions!$D$7,"Other Services"))),"Other Services"))</f>
        <v/>
      </c>
    </row>
    <row r="4061" customFormat="false" ht="15" hidden="false" customHeight="false" outlineLevel="0" collapsed="false">
      <c r="F4061" s="41" t="str">
        <f aca="false">IF(E4061="","",IFERROR(VLOOKUP(E4061,Assumptions!$G$5:$H$16,2,0),"Other"))</f>
        <v/>
      </c>
      <c r="J4061" s="41" t="str">
        <f aca="false">IF(G4061="","",IFERROR(IF(ISNUMBER(SEARCH(Assumptions!$C$5,G4061)),Assumptions!$D$5,IF(ISNUMBER(SEARCH(Assumptions!$C$6,G4061)),Assumptions!$D$6,IF(ISNUMBER(SEARCH(Assumptions!$C$7,G4061)),Assumptions!$D$7,"Other Services"))),"Other Services"))</f>
        <v/>
      </c>
    </row>
    <row r="4062" customFormat="false" ht="15" hidden="false" customHeight="false" outlineLevel="0" collapsed="false">
      <c r="F4062" s="41" t="str">
        <f aca="false">IF(E4062="","",IFERROR(VLOOKUP(E4062,Assumptions!$G$5:$H$16,2,0),"Other"))</f>
        <v/>
      </c>
      <c r="J4062" s="41" t="str">
        <f aca="false">IF(G4062="","",IFERROR(IF(ISNUMBER(SEARCH(Assumptions!$C$5,G4062)),Assumptions!$D$5,IF(ISNUMBER(SEARCH(Assumptions!$C$6,G4062)),Assumptions!$D$6,IF(ISNUMBER(SEARCH(Assumptions!$C$7,G4062)),Assumptions!$D$7,"Other Services"))),"Other Services"))</f>
        <v/>
      </c>
    </row>
    <row r="4063" customFormat="false" ht="15" hidden="false" customHeight="false" outlineLevel="0" collapsed="false">
      <c r="F4063" s="41" t="str">
        <f aca="false">IF(E4063="","",IFERROR(VLOOKUP(E4063,Assumptions!$G$5:$H$16,2,0),"Other"))</f>
        <v/>
      </c>
      <c r="J4063" s="41" t="str">
        <f aca="false">IF(G4063="","",IFERROR(IF(ISNUMBER(SEARCH(Assumptions!$C$5,G4063)),Assumptions!$D$5,IF(ISNUMBER(SEARCH(Assumptions!$C$6,G4063)),Assumptions!$D$6,IF(ISNUMBER(SEARCH(Assumptions!$C$7,G4063)),Assumptions!$D$7,"Other Services"))),"Other Services"))</f>
        <v/>
      </c>
    </row>
    <row r="4064" customFormat="false" ht="15" hidden="false" customHeight="false" outlineLevel="0" collapsed="false">
      <c r="F4064" s="41" t="str">
        <f aca="false">IF(E4064="","",IFERROR(VLOOKUP(E4064,Assumptions!$G$5:$H$16,2,0),"Other"))</f>
        <v/>
      </c>
      <c r="J4064" s="41" t="str">
        <f aca="false">IF(G4064="","",IFERROR(IF(ISNUMBER(SEARCH(Assumptions!$C$5,G4064)),Assumptions!$D$5,IF(ISNUMBER(SEARCH(Assumptions!$C$6,G4064)),Assumptions!$D$6,IF(ISNUMBER(SEARCH(Assumptions!$C$7,G4064)),Assumptions!$D$7,"Other Services"))),"Other Services"))</f>
        <v/>
      </c>
    </row>
    <row r="4065" customFormat="false" ht="15" hidden="false" customHeight="false" outlineLevel="0" collapsed="false">
      <c r="F4065" s="41" t="str">
        <f aca="false">IF(E4065="","",IFERROR(VLOOKUP(E4065,Assumptions!$G$5:$H$16,2,0),"Other"))</f>
        <v/>
      </c>
      <c r="J4065" s="41" t="str">
        <f aca="false">IF(G4065="","",IFERROR(IF(ISNUMBER(SEARCH(Assumptions!$C$5,G4065)),Assumptions!$D$5,IF(ISNUMBER(SEARCH(Assumptions!$C$6,G4065)),Assumptions!$D$6,IF(ISNUMBER(SEARCH(Assumptions!$C$7,G4065)),Assumptions!$D$7,"Other Services"))),"Other Services"))</f>
        <v/>
      </c>
    </row>
    <row r="4066" customFormat="false" ht="15" hidden="false" customHeight="false" outlineLevel="0" collapsed="false">
      <c r="F4066" s="41" t="str">
        <f aca="false">IF(E4066="","",IFERROR(VLOOKUP(E4066,Assumptions!$G$5:$H$16,2,0),"Other"))</f>
        <v/>
      </c>
      <c r="J4066" s="41" t="str">
        <f aca="false">IF(G4066="","",IFERROR(IF(ISNUMBER(SEARCH(Assumptions!$C$5,G4066)),Assumptions!$D$5,IF(ISNUMBER(SEARCH(Assumptions!$C$6,G4066)),Assumptions!$D$6,IF(ISNUMBER(SEARCH(Assumptions!$C$7,G4066)),Assumptions!$D$7,"Other Services"))),"Other Services"))</f>
        <v/>
      </c>
    </row>
    <row r="4067" customFormat="false" ht="15" hidden="false" customHeight="false" outlineLevel="0" collapsed="false">
      <c r="F4067" s="41" t="str">
        <f aca="false">IF(E4067="","",IFERROR(VLOOKUP(E4067,Assumptions!$G$5:$H$16,2,0),"Other"))</f>
        <v/>
      </c>
      <c r="J4067" s="41" t="str">
        <f aca="false">IF(G4067="","",IFERROR(IF(ISNUMBER(SEARCH(Assumptions!$C$5,G4067)),Assumptions!$D$5,IF(ISNUMBER(SEARCH(Assumptions!$C$6,G4067)),Assumptions!$D$6,IF(ISNUMBER(SEARCH(Assumptions!$C$7,G4067)),Assumptions!$D$7,"Other Services"))),"Other Services"))</f>
        <v/>
      </c>
    </row>
    <row r="4068" customFormat="false" ht="15" hidden="false" customHeight="false" outlineLevel="0" collapsed="false">
      <c r="F4068" s="41" t="str">
        <f aca="false">IF(E4068="","",IFERROR(VLOOKUP(E4068,Assumptions!$G$5:$H$16,2,0),"Other"))</f>
        <v/>
      </c>
      <c r="J4068" s="41" t="str">
        <f aca="false">IF(G4068="","",IFERROR(IF(ISNUMBER(SEARCH(Assumptions!$C$5,G4068)),Assumptions!$D$5,IF(ISNUMBER(SEARCH(Assumptions!$C$6,G4068)),Assumptions!$D$6,IF(ISNUMBER(SEARCH(Assumptions!$C$7,G4068)),Assumptions!$D$7,"Other Services"))),"Other Services"))</f>
        <v/>
      </c>
    </row>
    <row r="4069" customFormat="false" ht="15" hidden="false" customHeight="false" outlineLevel="0" collapsed="false">
      <c r="F4069" s="41" t="str">
        <f aca="false">IF(E4069="","",IFERROR(VLOOKUP(E4069,Assumptions!$G$5:$H$16,2,0),"Other"))</f>
        <v/>
      </c>
      <c r="J4069" s="41" t="str">
        <f aca="false">IF(G4069="","",IFERROR(IF(ISNUMBER(SEARCH(Assumptions!$C$5,G4069)),Assumptions!$D$5,IF(ISNUMBER(SEARCH(Assumptions!$C$6,G4069)),Assumptions!$D$6,IF(ISNUMBER(SEARCH(Assumptions!$C$7,G4069)),Assumptions!$D$7,"Other Services"))),"Other Services"))</f>
        <v/>
      </c>
    </row>
    <row r="4070" customFormat="false" ht="15" hidden="false" customHeight="false" outlineLevel="0" collapsed="false">
      <c r="F4070" s="41" t="str">
        <f aca="false">IF(E4070="","",IFERROR(VLOOKUP(E4070,Assumptions!$G$5:$H$16,2,0),"Other"))</f>
        <v/>
      </c>
      <c r="J4070" s="41" t="str">
        <f aca="false">IF(G4070="","",IFERROR(IF(ISNUMBER(SEARCH(Assumptions!$C$5,G4070)),Assumptions!$D$5,IF(ISNUMBER(SEARCH(Assumptions!$C$6,G4070)),Assumptions!$D$6,IF(ISNUMBER(SEARCH(Assumptions!$C$7,G4070)),Assumptions!$D$7,"Other Services"))),"Other Services"))</f>
        <v/>
      </c>
    </row>
    <row r="4071" customFormat="false" ht="15" hidden="false" customHeight="false" outlineLevel="0" collapsed="false">
      <c r="F4071" s="41" t="str">
        <f aca="false">IF(E4071="","",IFERROR(VLOOKUP(E4071,Assumptions!$G$5:$H$16,2,0),"Other"))</f>
        <v/>
      </c>
      <c r="J4071" s="41" t="str">
        <f aca="false">IF(G4071="","",IFERROR(IF(ISNUMBER(SEARCH(Assumptions!$C$5,G4071)),Assumptions!$D$5,IF(ISNUMBER(SEARCH(Assumptions!$C$6,G4071)),Assumptions!$D$6,IF(ISNUMBER(SEARCH(Assumptions!$C$7,G4071)),Assumptions!$D$7,"Other Services"))),"Other Services"))</f>
        <v/>
      </c>
    </row>
    <row r="4072" customFormat="false" ht="15" hidden="false" customHeight="false" outlineLevel="0" collapsed="false">
      <c r="F4072" s="41" t="str">
        <f aca="false">IF(E4072="","",IFERROR(VLOOKUP(E4072,Assumptions!$G$5:$H$16,2,0),"Other"))</f>
        <v/>
      </c>
      <c r="J4072" s="41" t="str">
        <f aca="false">IF(G4072="","",IFERROR(IF(ISNUMBER(SEARCH(Assumptions!$C$5,G4072)),Assumptions!$D$5,IF(ISNUMBER(SEARCH(Assumptions!$C$6,G4072)),Assumptions!$D$6,IF(ISNUMBER(SEARCH(Assumptions!$C$7,G4072)),Assumptions!$D$7,"Other Services"))),"Other Services"))</f>
        <v/>
      </c>
    </row>
    <row r="4073" customFormat="false" ht="15" hidden="false" customHeight="false" outlineLevel="0" collapsed="false">
      <c r="F4073" s="41" t="str">
        <f aca="false">IF(E4073="","",IFERROR(VLOOKUP(E4073,Assumptions!$G$5:$H$16,2,0),"Other"))</f>
        <v/>
      </c>
      <c r="J4073" s="41" t="str">
        <f aca="false">IF(G4073="","",IFERROR(IF(ISNUMBER(SEARCH(Assumptions!$C$5,G4073)),Assumptions!$D$5,IF(ISNUMBER(SEARCH(Assumptions!$C$6,G4073)),Assumptions!$D$6,IF(ISNUMBER(SEARCH(Assumptions!$C$7,G4073)),Assumptions!$D$7,"Other Services"))),"Other Services"))</f>
        <v/>
      </c>
    </row>
    <row r="4074" customFormat="false" ht="15" hidden="false" customHeight="false" outlineLevel="0" collapsed="false">
      <c r="F4074" s="41" t="str">
        <f aca="false">IF(E4074="","",IFERROR(VLOOKUP(E4074,Assumptions!$G$5:$H$16,2,0),"Other"))</f>
        <v/>
      </c>
      <c r="J4074" s="41" t="str">
        <f aca="false">IF(G4074="","",IFERROR(IF(ISNUMBER(SEARCH(Assumptions!$C$5,G4074)),Assumptions!$D$5,IF(ISNUMBER(SEARCH(Assumptions!$C$6,G4074)),Assumptions!$D$6,IF(ISNUMBER(SEARCH(Assumptions!$C$7,G4074)),Assumptions!$D$7,"Other Services"))),"Other Services"))</f>
        <v/>
      </c>
    </row>
    <row r="4075" customFormat="false" ht="15" hidden="false" customHeight="false" outlineLevel="0" collapsed="false">
      <c r="F4075" s="41" t="str">
        <f aca="false">IF(E4075="","",IFERROR(VLOOKUP(E4075,Assumptions!$G$5:$H$16,2,0),"Other"))</f>
        <v/>
      </c>
      <c r="J4075" s="41" t="str">
        <f aca="false">IF(G4075="","",IFERROR(IF(ISNUMBER(SEARCH(Assumptions!$C$5,G4075)),Assumptions!$D$5,IF(ISNUMBER(SEARCH(Assumptions!$C$6,G4075)),Assumptions!$D$6,IF(ISNUMBER(SEARCH(Assumptions!$C$7,G4075)),Assumptions!$D$7,"Other Services"))),"Other Services"))</f>
        <v/>
      </c>
    </row>
    <row r="4076" customFormat="false" ht="15" hidden="false" customHeight="false" outlineLevel="0" collapsed="false">
      <c r="F4076" s="41" t="str">
        <f aca="false">IF(E4076="","",IFERROR(VLOOKUP(E4076,Assumptions!$G$5:$H$16,2,0),"Other"))</f>
        <v/>
      </c>
      <c r="J4076" s="41" t="str">
        <f aca="false">IF(G4076="","",IFERROR(IF(ISNUMBER(SEARCH(Assumptions!$C$5,G4076)),Assumptions!$D$5,IF(ISNUMBER(SEARCH(Assumptions!$C$6,G4076)),Assumptions!$D$6,IF(ISNUMBER(SEARCH(Assumptions!$C$7,G4076)),Assumptions!$D$7,"Other Services"))),"Other Services"))</f>
        <v/>
      </c>
    </row>
    <row r="4077" customFormat="false" ht="15" hidden="false" customHeight="false" outlineLevel="0" collapsed="false">
      <c r="F4077" s="41" t="str">
        <f aca="false">IF(E4077="","",IFERROR(VLOOKUP(E4077,Assumptions!$G$5:$H$16,2,0),"Other"))</f>
        <v/>
      </c>
      <c r="J4077" s="41" t="str">
        <f aca="false">IF(G4077="","",IFERROR(IF(ISNUMBER(SEARCH(Assumptions!$C$5,G4077)),Assumptions!$D$5,IF(ISNUMBER(SEARCH(Assumptions!$C$6,G4077)),Assumptions!$D$6,IF(ISNUMBER(SEARCH(Assumptions!$C$7,G4077)),Assumptions!$D$7,"Other Services"))),"Other Services"))</f>
        <v/>
      </c>
    </row>
    <row r="4078" customFormat="false" ht="15" hidden="false" customHeight="false" outlineLevel="0" collapsed="false">
      <c r="F4078" s="41" t="str">
        <f aca="false">IF(E4078="","",IFERROR(VLOOKUP(E4078,Assumptions!$G$5:$H$16,2,0),"Other"))</f>
        <v/>
      </c>
      <c r="J4078" s="41" t="str">
        <f aca="false">IF(G4078="","",IFERROR(IF(ISNUMBER(SEARCH(Assumptions!$C$5,G4078)),Assumptions!$D$5,IF(ISNUMBER(SEARCH(Assumptions!$C$6,G4078)),Assumptions!$D$6,IF(ISNUMBER(SEARCH(Assumptions!$C$7,G4078)),Assumptions!$D$7,"Other Services"))),"Other Services"))</f>
        <v/>
      </c>
    </row>
    <row r="4079" customFormat="false" ht="15" hidden="false" customHeight="false" outlineLevel="0" collapsed="false">
      <c r="F4079" s="41" t="str">
        <f aca="false">IF(E4079="","",IFERROR(VLOOKUP(E4079,Assumptions!$G$5:$H$16,2,0),"Other"))</f>
        <v/>
      </c>
      <c r="J4079" s="41" t="str">
        <f aca="false">IF(G4079="","",IFERROR(IF(ISNUMBER(SEARCH(Assumptions!$C$5,G4079)),Assumptions!$D$5,IF(ISNUMBER(SEARCH(Assumptions!$C$6,G4079)),Assumptions!$D$6,IF(ISNUMBER(SEARCH(Assumptions!$C$7,G4079)),Assumptions!$D$7,"Other Services"))),"Other Services"))</f>
        <v/>
      </c>
    </row>
    <row r="4080" customFormat="false" ht="15" hidden="false" customHeight="false" outlineLevel="0" collapsed="false">
      <c r="F4080" s="41" t="str">
        <f aca="false">IF(E4080="","",IFERROR(VLOOKUP(E4080,Assumptions!$G$5:$H$16,2,0),"Other"))</f>
        <v/>
      </c>
      <c r="J4080" s="41" t="str">
        <f aca="false">IF(G4080="","",IFERROR(IF(ISNUMBER(SEARCH(Assumptions!$C$5,G4080)),Assumptions!$D$5,IF(ISNUMBER(SEARCH(Assumptions!$C$6,G4080)),Assumptions!$D$6,IF(ISNUMBER(SEARCH(Assumptions!$C$7,G4080)),Assumptions!$D$7,"Other Services"))),"Other Services"))</f>
        <v/>
      </c>
    </row>
    <row r="4081" customFormat="false" ht="15" hidden="false" customHeight="false" outlineLevel="0" collapsed="false">
      <c r="F4081" s="41" t="str">
        <f aca="false">IF(E4081="","",IFERROR(VLOOKUP(E4081,Assumptions!$G$5:$H$16,2,0),"Other"))</f>
        <v/>
      </c>
      <c r="J4081" s="41" t="str">
        <f aca="false">IF(G4081="","",IFERROR(IF(ISNUMBER(SEARCH(Assumptions!$C$5,G4081)),Assumptions!$D$5,IF(ISNUMBER(SEARCH(Assumptions!$C$6,G4081)),Assumptions!$D$6,IF(ISNUMBER(SEARCH(Assumptions!$C$7,G4081)),Assumptions!$D$7,"Other Services"))),"Other Services"))</f>
        <v/>
      </c>
    </row>
    <row r="4082" customFormat="false" ht="15" hidden="false" customHeight="false" outlineLevel="0" collapsed="false">
      <c r="F4082" s="41" t="str">
        <f aca="false">IF(E4082="","",IFERROR(VLOOKUP(E4082,Assumptions!$G$5:$H$16,2,0),"Other"))</f>
        <v/>
      </c>
      <c r="J4082" s="41" t="str">
        <f aca="false">IF(G4082="","",IFERROR(IF(ISNUMBER(SEARCH(Assumptions!$C$5,G4082)),Assumptions!$D$5,IF(ISNUMBER(SEARCH(Assumptions!$C$6,G4082)),Assumptions!$D$6,IF(ISNUMBER(SEARCH(Assumptions!$C$7,G4082)),Assumptions!$D$7,"Other Services"))),"Other Services"))</f>
        <v/>
      </c>
    </row>
    <row r="4083" customFormat="false" ht="15" hidden="false" customHeight="false" outlineLevel="0" collapsed="false">
      <c r="F4083" s="41" t="str">
        <f aca="false">IF(E4083="","",IFERROR(VLOOKUP(E4083,Assumptions!$G$5:$H$16,2,0),"Other"))</f>
        <v/>
      </c>
      <c r="J4083" s="41" t="str">
        <f aca="false">IF(G4083="","",IFERROR(IF(ISNUMBER(SEARCH(Assumptions!$C$5,G4083)),Assumptions!$D$5,IF(ISNUMBER(SEARCH(Assumptions!$C$6,G4083)),Assumptions!$D$6,IF(ISNUMBER(SEARCH(Assumptions!$C$7,G4083)),Assumptions!$D$7,"Other Services"))),"Other Services"))</f>
        <v/>
      </c>
    </row>
    <row r="4084" customFormat="false" ht="15" hidden="false" customHeight="false" outlineLevel="0" collapsed="false">
      <c r="F4084" s="41" t="str">
        <f aca="false">IF(E4084="","",IFERROR(VLOOKUP(E4084,Assumptions!$G$5:$H$16,2,0),"Other"))</f>
        <v/>
      </c>
      <c r="J4084" s="41" t="str">
        <f aca="false">IF(G4084="","",IFERROR(IF(ISNUMBER(SEARCH(Assumptions!$C$5,G4084)),Assumptions!$D$5,IF(ISNUMBER(SEARCH(Assumptions!$C$6,G4084)),Assumptions!$D$6,IF(ISNUMBER(SEARCH(Assumptions!$C$7,G4084)),Assumptions!$D$7,"Other Services"))),"Other Services"))</f>
        <v/>
      </c>
    </row>
    <row r="4085" customFormat="false" ht="15" hidden="false" customHeight="false" outlineLevel="0" collapsed="false">
      <c r="F4085" s="41" t="str">
        <f aca="false">IF(E4085="","",IFERROR(VLOOKUP(E4085,Assumptions!$G$5:$H$16,2,0),"Other"))</f>
        <v/>
      </c>
      <c r="J4085" s="41" t="str">
        <f aca="false">IF(G4085="","",IFERROR(IF(ISNUMBER(SEARCH(Assumptions!$C$5,G4085)),Assumptions!$D$5,IF(ISNUMBER(SEARCH(Assumptions!$C$6,G4085)),Assumptions!$D$6,IF(ISNUMBER(SEARCH(Assumptions!$C$7,G4085)),Assumptions!$D$7,"Other Services"))),"Other Services"))</f>
        <v/>
      </c>
    </row>
    <row r="4086" customFormat="false" ht="15" hidden="false" customHeight="false" outlineLevel="0" collapsed="false">
      <c r="F4086" s="41" t="str">
        <f aca="false">IF(E4086="","",IFERROR(VLOOKUP(E4086,Assumptions!$G$5:$H$16,2,0),"Other"))</f>
        <v/>
      </c>
      <c r="J4086" s="41" t="str">
        <f aca="false">IF(G4086="","",IFERROR(IF(ISNUMBER(SEARCH(Assumptions!$C$5,G4086)),Assumptions!$D$5,IF(ISNUMBER(SEARCH(Assumptions!$C$6,G4086)),Assumptions!$D$6,IF(ISNUMBER(SEARCH(Assumptions!$C$7,G4086)),Assumptions!$D$7,"Other Services"))),"Other Services"))</f>
        <v/>
      </c>
    </row>
    <row r="4087" customFormat="false" ht="15" hidden="false" customHeight="false" outlineLevel="0" collapsed="false">
      <c r="F4087" s="41" t="str">
        <f aca="false">IF(E4087="","",IFERROR(VLOOKUP(E4087,Assumptions!$G$5:$H$16,2,0),"Other"))</f>
        <v/>
      </c>
      <c r="J4087" s="41" t="str">
        <f aca="false">IF(G4087="","",IFERROR(IF(ISNUMBER(SEARCH(Assumptions!$C$5,G4087)),Assumptions!$D$5,IF(ISNUMBER(SEARCH(Assumptions!$C$6,G4087)),Assumptions!$D$6,IF(ISNUMBER(SEARCH(Assumptions!$C$7,G4087)),Assumptions!$D$7,"Other Services"))),"Other Services"))</f>
        <v/>
      </c>
    </row>
    <row r="4088" customFormat="false" ht="15" hidden="false" customHeight="false" outlineLevel="0" collapsed="false">
      <c r="F4088" s="41" t="str">
        <f aca="false">IF(E4088="","",IFERROR(VLOOKUP(E4088,Assumptions!$G$5:$H$16,2,0),"Other"))</f>
        <v/>
      </c>
      <c r="J4088" s="41" t="str">
        <f aca="false">IF(G4088="","",IFERROR(IF(ISNUMBER(SEARCH(Assumptions!$C$5,G4088)),Assumptions!$D$5,IF(ISNUMBER(SEARCH(Assumptions!$C$6,G4088)),Assumptions!$D$6,IF(ISNUMBER(SEARCH(Assumptions!$C$7,G4088)),Assumptions!$D$7,"Other Services"))),"Other Services"))</f>
        <v/>
      </c>
    </row>
    <row r="4089" customFormat="false" ht="15" hidden="false" customHeight="false" outlineLevel="0" collapsed="false">
      <c r="F4089" s="41" t="str">
        <f aca="false">IF(E4089="","",IFERROR(VLOOKUP(E4089,Assumptions!$G$5:$H$16,2,0),"Other"))</f>
        <v/>
      </c>
      <c r="J4089" s="41" t="str">
        <f aca="false">IF(G4089="","",IFERROR(IF(ISNUMBER(SEARCH(Assumptions!$C$5,G4089)),Assumptions!$D$5,IF(ISNUMBER(SEARCH(Assumptions!$C$6,G4089)),Assumptions!$D$6,IF(ISNUMBER(SEARCH(Assumptions!$C$7,G4089)),Assumptions!$D$7,"Other Services"))),"Other Services"))</f>
        <v/>
      </c>
    </row>
    <row r="4090" customFormat="false" ht="15" hidden="false" customHeight="false" outlineLevel="0" collapsed="false">
      <c r="F4090" s="41" t="str">
        <f aca="false">IF(E4090="","",IFERROR(VLOOKUP(E4090,Assumptions!$G$5:$H$16,2,0),"Other"))</f>
        <v/>
      </c>
      <c r="J4090" s="41" t="str">
        <f aca="false">IF(G4090="","",IFERROR(IF(ISNUMBER(SEARCH(Assumptions!$C$5,G4090)),Assumptions!$D$5,IF(ISNUMBER(SEARCH(Assumptions!$C$6,G4090)),Assumptions!$D$6,IF(ISNUMBER(SEARCH(Assumptions!$C$7,G4090)),Assumptions!$D$7,"Other Services"))),"Other Services"))</f>
        <v/>
      </c>
    </row>
    <row r="4091" customFormat="false" ht="15" hidden="false" customHeight="false" outlineLevel="0" collapsed="false">
      <c r="F4091" s="41" t="str">
        <f aca="false">IF(E4091="","",IFERROR(VLOOKUP(E4091,Assumptions!$G$5:$H$16,2,0),"Other"))</f>
        <v/>
      </c>
      <c r="J4091" s="41" t="str">
        <f aca="false">IF(G4091="","",IFERROR(IF(ISNUMBER(SEARCH(Assumptions!$C$5,G4091)),Assumptions!$D$5,IF(ISNUMBER(SEARCH(Assumptions!$C$6,G4091)),Assumptions!$D$6,IF(ISNUMBER(SEARCH(Assumptions!$C$7,G4091)),Assumptions!$D$7,"Other Services"))),"Other Services"))</f>
        <v/>
      </c>
    </row>
    <row r="4092" customFormat="false" ht="15" hidden="false" customHeight="false" outlineLevel="0" collapsed="false">
      <c r="F4092" s="41" t="str">
        <f aca="false">IF(E4092="","",IFERROR(VLOOKUP(E4092,Assumptions!$G$5:$H$16,2,0),"Other"))</f>
        <v/>
      </c>
      <c r="J4092" s="41" t="str">
        <f aca="false">IF(G4092="","",IFERROR(IF(ISNUMBER(SEARCH(Assumptions!$C$5,G4092)),Assumptions!$D$5,IF(ISNUMBER(SEARCH(Assumptions!$C$6,G4092)),Assumptions!$D$6,IF(ISNUMBER(SEARCH(Assumptions!$C$7,G4092)),Assumptions!$D$7,"Other Services"))),"Other Services"))</f>
        <v/>
      </c>
    </row>
    <row r="4093" customFormat="false" ht="15" hidden="false" customHeight="false" outlineLevel="0" collapsed="false">
      <c r="F4093" s="41" t="str">
        <f aca="false">IF(E4093="","",IFERROR(VLOOKUP(E4093,Assumptions!$G$5:$H$16,2,0),"Other"))</f>
        <v/>
      </c>
      <c r="J4093" s="41" t="str">
        <f aca="false">IF(G4093="","",IFERROR(IF(ISNUMBER(SEARCH(Assumptions!$C$5,G4093)),Assumptions!$D$5,IF(ISNUMBER(SEARCH(Assumptions!$C$6,G4093)),Assumptions!$D$6,IF(ISNUMBER(SEARCH(Assumptions!$C$7,G4093)),Assumptions!$D$7,"Other Services"))),"Other Services"))</f>
        <v/>
      </c>
    </row>
    <row r="4094" customFormat="false" ht="15" hidden="false" customHeight="false" outlineLevel="0" collapsed="false">
      <c r="F4094" s="41" t="str">
        <f aca="false">IF(E4094="","",IFERROR(VLOOKUP(E4094,Assumptions!$G$5:$H$16,2,0),"Other"))</f>
        <v/>
      </c>
      <c r="J4094" s="41" t="str">
        <f aca="false">IF(G4094="","",IFERROR(IF(ISNUMBER(SEARCH(Assumptions!$C$5,G4094)),Assumptions!$D$5,IF(ISNUMBER(SEARCH(Assumptions!$C$6,G4094)),Assumptions!$D$6,IF(ISNUMBER(SEARCH(Assumptions!$C$7,G4094)),Assumptions!$D$7,"Other Services"))),"Other Services"))</f>
        <v/>
      </c>
    </row>
    <row r="4095" customFormat="false" ht="15" hidden="false" customHeight="false" outlineLevel="0" collapsed="false">
      <c r="F4095" s="41" t="str">
        <f aca="false">IF(E4095="","",IFERROR(VLOOKUP(E4095,Assumptions!$G$5:$H$16,2,0),"Other"))</f>
        <v/>
      </c>
      <c r="J4095" s="41" t="str">
        <f aca="false">IF(G4095="","",IFERROR(IF(ISNUMBER(SEARCH(Assumptions!$C$5,G4095)),Assumptions!$D$5,IF(ISNUMBER(SEARCH(Assumptions!$C$6,G4095)),Assumptions!$D$6,IF(ISNUMBER(SEARCH(Assumptions!$C$7,G4095)),Assumptions!$D$7,"Other Services"))),"Other Services"))</f>
        <v/>
      </c>
    </row>
    <row r="4096" customFormat="false" ht="15" hidden="false" customHeight="false" outlineLevel="0" collapsed="false">
      <c r="F4096" s="41" t="str">
        <f aca="false">IF(E4096="","",IFERROR(VLOOKUP(E4096,Assumptions!$G$5:$H$16,2,0),"Other"))</f>
        <v/>
      </c>
      <c r="J4096" s="41" t="str">
        <f aca="false">IF(G4096="","",IFERROR(IF(ISNUMBER(SEARCH(Assumptions!$C$5,G4096)),Assumptions!$D$5,IF(ISNUMBER(SEARCH(Assumptions!$C$6,G4096)),Assumptions!$D$6,IF(ISNUMBER(SEARCH(Assumptions!$C$7,G4096)),Assumptions!$D$7,"Other Services"))),"Other Services"))</f>
        <v/>
      </c>
    </row>
    <row r="4097" customFormat="false" ht="15" hidden="false" customHeight="false" outlineLevel="0" collapsed="false">
      <c r="F4097" s="41" t="str">
        <f aca="false">IF(E4097="","",IFERROR(VLOOKUP(E4097,Assumptions!$G$5:$H$16,2,0),"Other"))</f>
        <v/>
      </c>
      <c r="J4097" s="41" t="str">
        <f aca="false">IF(G4097="","",IFERROR(IF(ISNUMBER(SEARCH(Assumptions!$C$5,G4097)),Assumptions!$D$5,IF(ISNUMBER(SEARCH(Assumptions!$C$6,G4097)),Assumptions!$D$6,IF(ISNUMBER(SEARCH(Assumptions!$C$7,G4097)),Assumptions!$D$7,"Other Services"))),"Other Services"))</f>
        <v/>
      </c>
    </row>
    <row r="4098" customFormat="false" ht="15" hidden="false" customHeight="false" outlineLevel="0" collapsed="false">
      <c r="F4098" s="41" t="str">
        <f aca="false">IF(E4098="","",IFERROR(VLOOKUP(E4098,Assumptions!$G$5:$H$16,2,0),"Other"))</f>
        <v/>
      </c>
      <c r="J4098" s="41" t="str">
        <f aca="false">IF(G4098="","",IFERROR(IF(ISNUMBER(SEARCH(Assumptions!$C$5,G4098)),Assumptions!$D$5,IF(ISNUMBER(SEARCH(Assumptions!$C$6,G4098)),Assumptions!$D$6,IF(ISNUMBER(SEARCH(Assumptions!$C$7,G4098)),Assumptions!$D$7,"Other Services"))),"Other Services"))</f>
        <v/>
      </c>
    </row>
    <row r="4099" customFormat="false" ht="15" hidden="false" customHeight="false" outlineLevel="0" collapsed="false">
      <c r="F4099" s="41" t="str">
        <f aca="false">IF(E4099="","",IFERROR(VLOOKUP(E4099,Assumptions!$G$5:$H$16,2,0),"Other"))</f>
        <v/>
      </c>
      <c r="J4099" s="41" t="str">
        <f aca="false">IF(G4099="","",IFERROR(IF(ISNUMBER(SEARCH(Assumptions!$C$5,G4099)),Assumptions!$D$5,IF(ISNUMBER(SEARCH(Assumptions!$C$6,G4099)),Assumptions!$D$6,IF(ISNUMBER(SEARCH(Assumptions!$C$7,G4099)),Assumptions!$D$7,"Other Services"))),"Other Services"))</f>
        <v/>
      </c>
    </row>
    <row r="4100" customFormat="false" ht="15" hidden="false" customHeight="false" outlineLevel="0" collapsed="false">
      <c r="F4100" s="41" t="str">
        <f aca="false">IF(E4100="","",IFERROR(VLOOKUP(E4100,Assumptions!$G$5:$H$16,2,0),"Other"))</f>
        <v/>
      </c>
      <c r="J4100" s="41" t="str">
        <f aca="false">IF(G4100="","",IFERROR(IF(ISNUMBER(SEARCH(Assumptions!$C$5,G4100)),Assumptions!$D$5,IF(ISNUMBER(SEARCH(Assumptions!$C$6,G4100)),Assumptions!$D$6,IF(ISNUMBER(SEARCH(Assumptions!$C$7,G4100)),Assumptions!$D$7,"Other Services"))),"Other Services"))</f>
        <v/>
      </c>
    </row>
    <row r="4101" customFormat="false" ht="15" hidden="false" customHeight="false" outlineLevel="0" collapsed="false">
      <c r="F4101" s="41" t="str">
        <f aca="false">IF(E4101="","",IFERROR(VLOOKUP(E4101,Assumptions!$G$5:$H$16,2,0),"Other"))</f>
        <v/>
      </c>
      <c r="J4101" s="41" t="str">
        <f aca="false">IF(G4101="","",IFERROR(IF(ISNUMBER(SEARCH(Assumptions!$C$5,G4101)),Assumptions!$D$5,IF(ISNUMBER(SEARCH(Assumptions!$C$6,G4101)),Assumptions!$D$6,IF(ISNUMBER(SEARCH(Assumptions!$C$7,G4101)),Assumptions!$D$7,"Other Services"))),"Other Services"))</f>
        <v/>
      </c>
    </row>
    <row r="4102" customFormat="false" ht="15" hidden="false" customHeight="false" outlineLevel="0" collapsed="false">
      <c r="F4102" s="41" t="str">
        <f aca="false">IF(E4102="","",IFERROR(VLOOKUP(E4102,Assumptions!$G$5:$H$16,2,0),"Other"))</f>
        <v/>
      </c>
      <c r="J4102" s="41" t="str">
        <f aca="false">IF(G4102="","",IFERROR(IF(ISNUMBER(SEARCH(Assumptions!$C$5,G4102)),Assumptions!$D$5,IF(ISNUMBER(SEARCH(Assumptions!$C$6,G4102)),Assumptions!$D$6,IF(ISNUMBER(SEARCH(Assumptions!$C$7,G4102)),Assumptions!$D$7,"Other Services"))),"Other Services"))</f>
        <v/>
      </c>
    </row>
    <row r="4103" customFormat="false" ht="15" hidden="false" customHeight="false" outlineLevel="0" collapsed="false">
      <c r="F4103" s="41" t="str">
        <f aca="false">IF(E4103="","",IFERROR(VLOOKUP(E4103,Assumptions!$G$5:$H$16,2,0),"Other"))</f>
        <v/>
      </c>
      <c r="J4103" s="41" t="str">
        <f aca="false">IF(G4103="","",IFERROR(IF(ISNUMBER(SEARCH(Assumptions!$C$5,G4103)),Assumptions!$D$5,IF(ISNUMBER(SEARCH(Assumptions!$C$6,G4103)),Assumptions!$D$6,IF(ISNUMBER(SEARCH(Assumptions!$C$7,G4103)),Assumptions!$D$7,"Other Services"))),"Other Services"))</f>
        <v/>
      </c>
    </row>
    <row r="4104" customFormat="false" ht="15" hidden="false" customHeight="false" outlineLevel="0" collapsed="false">
      <c r="F4104" s="41" t="str">
        <f aca="false">IF(E4104="","",IFERROR(VLOOKUP(E4104,Assumptions!$G$5:$H$16,2,0),"Other"))</f>
        <v/>
      </c>
      <c r="J4104" s="41" t="str">
        <f aca="false">IF(G4104="","",IFERROR(IF(ISNUMBER(SEARCH(Assumptions!$C$5,G4104)),Assumptions!$D$5,IF(ISNUMBER(SEARCH(Assumptions!$C$6,G4104)),Assumptions!$D$6,IF(ISNUMBER(SEARCH(Assumptions!$C$7,G4104)),Assumptions!$D$7,"Other Services"))),"Other Services"))</f>
        <v/>
      </c>
    </row>
    <row r="4105" customFormat="false" ht="15" hidden="false" customHeight="false" outlineLevel="0" collapsed="false">
      <c r="F4105" s="41" t="str">
        <f aca="false">IF(E4105="","",IFERROR(VLOOKUP(E4105,Assumptions!$G$5:$H$16,2,0),"Other"))</f>
        <v/>
      </c>
      <c r="J4105" s="41" t="str">
        <f aca="false">IF(G4105="","",IFERROR(IF(ISNUMBER(SEARCH(Assumptions!$C$5,G4105)),Assumptions!$D$5,IF(ISNUMBER(SEARCH(Assumptions!$C$6,G4105)),Assumptions!$D$6,IF(ISNUMBER(SEARCH(Assumptions!$C$7,G4105)),Assumptions!$D$7,"Other Services"))),"Other Services"))</f>
        <v/>
      </c>
    </row>
    <row r="4106" customFormat="false" ht="15" hidden="false" customHeight="false" outlineLevel="0" collapsed="false">
      <c r="F4106" s="41" t="str">
        <f aca="false">IF(E4106="","",IFERROR(VLOOKUP(E4106,Assumptions!$G$5:$H$16,2,0),"Other"))</f>
        <v/>
      </c>
      <c r="J4106" s="41" t="str">
        <f aca="false">IF(G4106="","",IFERROR(IF(ISNUMBER(SEARCH(Assumptions!$C$5,G4106)),Assumptions!$D$5,IF(ISNUMBER(SEARCH(Assumptions!$C$6,G4106)),Assumptions!$D$6,IF(ISNUMBER(SEARCH(Assumptions!$C$7,G4106)),Assumptions!$D$7,"Other Services"))),"Other Services"))</f>
        <v/>
      </c>
    </row>
    <row r="4107" customFormat="false" ht="15" hidden="false" customHeight="false" outlineLevel="0" collapsed="false">
      <c r="F4107" s="41" t="str">
        <f aca="false">IF(E4107="","",IFERROR(VLOOKUP(E4107,Assumptions!$G$5:$H$16,2,0),"Other"))</f>
        <v/>
      </c>
      <c r="J4107" s="41" t="str">
        <f aca="false">IF(G4107="","",IFERROR(IF(ISNUMBER(SEARCH(Assumptions!$C$5,G4107)),Assumptions!$D$5,IF(ISNUMBER(SEARCH(Assumptions!$C$6,G4107)),Assumptions!$D$6,IF(ISNUMBER(SEARCH(Assumptions!$C$7,G4107)),Assumptions!$D$7,"Other Services"))),"Other Services"))</f>
        <v/>
      </c>
    </row>
    <row r="4108" customFormat="false" ht="15" hidden="false" customHeight="false" outlineLevel="0" collapsed="false">
      <c r="F4108" s="41" t="str">
        <f aca="false">IF(E4108="","",IFERROR(VLOOKUP(E4108,Assumptions!$G$5:$H$16,2,0),"Other"))</f>
        <v/>
      </c>
      <c r="J4108" s="41" t="str">
        <f aca="false">IF(G4108="","",IFERROR(IF(ISNUMBER(SEARCH(Assumptions!$C$5,G4108)),Assumptions!$D$5,IF(ISNUMBER(SEARCH(Assumptions!$C$6,G4108)),Assumptions!$D$6,IF(ISNUMBER(SEARCH(Assumptions!$C$7,G4108)),Assumptions!$D$7,"Other Services"))),"Other Services"))</f>
        <v/>
      </c>
    </row>
    <row r="4109" customFormat="false" ht="15" hidden="false" customHeight="false" outlineLevel="0" collapsed="false">
      <c r="F4109" s="41" t="str">
        <f aca="false">IF(E4109="","",IFERROR(VLOOKUP(E4109,Assumptions!$G$5:$H$16,2,0),"Other"))</f>
        <v/>
      </c>
      <c r="J4109" s="41" t="str">
        <f aca="false">IF(G4109="","",IFERROR(IF(ISNUMBER(SEARCH(Assumptions!$C$5,G4109)),Assumptions!$D$5,IF(ISNUMBER(SEARCH(Assumptions!$C$6,G4109)),Assumptions!$D$6,IF(ISNUMBER(SEARCH(Assumptions!$C$7,G4109)),Assumptions!$D$7,"Other Services"))),"Other Services"))</f>
        <v/>
      </c>
    </row>
    <row r="4110" customFormat="false" ht="15" hidden="false" customHeight="false" outlineLevel="0" collapsed="false">
      <c r="F4110" s="41" t="str">
        <f aca="false">IF(E4110="","",IFERROR(VLOOKUP(E4110,Assumptions!$G$5:$H$16,2,0),"Other"))</f>
        <v/>
      </c>
      <c r="J4110" s="41" t="str">
        <f aca="false">IF(G4110="","",IFERROR(IF(ISNUMBER(SEARCH(Assumptions!$C$5,G4110)),Assumptions!$D$5,IF(ISNUMBER(SEARCH(Assumptions!$C$6,G4110)),Assumptions!$D$6,IF(ISNUMBER(SEARCH(Assumptions!$C$7,G4110)),Assumptions!$D$7,"Other Services"))),"Other Services"))</f>
        <v/>
      </c>
    </row>
    <row r="4111" customFormat="false" ht="15" hidden="false" customHeight="false" outlineLevel="0" collapsed="false">
      <c r="F4111" s="41" t="str">
        <f aca="false">IF(E4111="","",IFERROR(VLOOKUP(E4111,Assumptions!$G$5:$H$16,2,0),"Other"))</f>
        <v/>
      </c>
      <c r="J4111" s="41" t="str">
        <f aca="false">IF(G4111="","",IFERROR(IF(ISNUMBER(SEARCH(Assumptions!$C$5,G4111)),Assumptions!$D$5,IF(ISNUMBER(SEARCH(Assumptions!$C$6,G4111)),Assumptions!$D$6,IF(ISNUMBER(SEARCH(Assumptions!$C$7,G4111)),Assumptions!$D$7,"Other Services"))),"Other Services"))</f>
        <v/>
      </c>
    </row>
    <row r="4112" customFormat="false" ht="15" hidden="false" customHeight="false" outlineLevel="0" collapsed="false">
      <c r="F4112" s="41" t="str">
        <f aca="false">IF(E4112="","",IFERROR(VLOOKUP(E4112,Assumptions!$G$5:$H$16,2,0),"Other"))</f>
        <v/>
      </c>
      <c r="J4112" s="41" t="str">
        <f aca="false">IF(G4112="","",IFERROR(IF(ISNUMBER(SEARCH(Assumptions!$C$5,G4112)),Assumptions!$D$5,IF(ISNUMBER(SEARCH(Assumptions!$C$6,G4112)),Assumptions!$D$6,IF(ISNUMBER(SEARCH(Assumptions!$C$7,G4112)),Assumptions!$D$7,"Other Services"))),"Other Services"))</f>
        <v/>
      </c>
    </row>
    <row r="4113" customFormat="false" ht="15" hidden="false" customHeight="false" outlineLevel="0" collapsed="false">
      <c r="F4113" s="41" t="str">
        <f aca="false">IF(E4113="","",IFERROR(VLOOKUP(E4113,Assumptions!$G$5:$H$16,2,0),"Other"))</f>
        <v/>
      </c>
      <c r="J4113" s="41" t="str">
        <f aca="false">IF(G4113="","",IFERROR(IF(ISNUMBER(SEARCH(Assumptions!$C$5,G4113)),Assumptions!$D$5,IF(ISNUMBER(SEARCH(Assumptions!$C$6,G4113)),Assumptions!$D$6,IF(ISNUMBER(SEARCH(Assumptions!$C$7,G4113)),Assumptions!$D$7,"Other Services"))),"Other Services"))</f>
        <v/>
      </c>
    </row>
    <row r="4114" customFormat="false" ht="15" hidden="false" customHeight="false" outlineLevel="0" collapsed="false">
      <c r="F4114" s="41" t="str">
        <f aca="false">IF(E4114="","",IFERROR(VLOOKUP(E4114,Assumptions!$G$5:$H$16,2,0),"Other"))</f>
        <v/>
      </c>
      <c r="J4114" s="41" t="str">
        <f aca="false">IF(G4114="","",IFERROR(IF(ISNUMBER(SEARCH(Assumptions!$C$5,G4114)),Assumptions!$D$5,IF(ISNUMBER(SEARCH(Assumptions!$C$6,G4114)),Assumptions!$D$6,IF(ISNUMBER(SEARCH(Assumptions!$C$7,G4114)),Assumptions!$D$7,"Other Services"))),"Other Services"))</f>
        <v/>
      </c>
    </row>
    <row r="4115" customFormat="false" ht="15" hidden="false" customHeight="false" outlineLevel="0" collapsed="false">
      <c r="F4115" s="41" t="str">
        <f aca="false">IF(E4115="","",IFERROR(VLOOKUP(E4115,Assumptions!$G$5:$H$16,2,0),"Other"))</f>
        <v/>
      </c>
      <c r="J4115" s="41" t="str">
        <f aca="false">IF(G4115="","",IFERROR(IF(ISNUMBER(SEARCH(Assumptions!$C$5,G4115)),Assumptions!$D$5,IF(ISNUMBER(SEARCH(Assumptions!$C$6,G4115)),Assumptions!$D$6,IF(ISNUMBER(SEARCH(Assumptions!$C$7,G4115)),Assumptions!$D$7,"Other Services"))),"Other Services"))</f>
        <v/>
      </c>
    </row>
    <row r="4116" customFormat="false" ht="15" hidden="false" customHeight="false" outlineLevel="0" collapsed="false">
      <c r="F4116" s="41" t="str">
        <f aca="false">IF(E4116="","",IFERROR(VLOOKUP(E4116,Assumptions!$G$5:$H$16,2,0),"Other"))</f>
        <v/>
      </c>
      <c r="J4116" s="41" t="str">
        <f aca="false">IF(G4116="","",IFERROR(IF(ISNUMBER(SEARCH(Assumptions!$C$5,G4116)),Assumptions!$D$5,IF(ISNUMBER(SEARCH(Assumptions!$C$6,G4116)),Assumptions!$D$6,IF(ISNUMBER(SEARCH(Assumptions!$C$7,G4116)),Assumptions!$D$7,"Other Services"))),"Other Services"))</f>
        <v/>
      </c>
    </row>
    <row r="4117" customFormat="false" ht="15" hidden="false" customHeight="false" outlineLevel="0" collapsed="false">
      <c r="F4117" s="41" t="str">
        <f aca="false">IF(E4117="","",IFERROR(VLOOKUP(E4117,Assumptions!$G$5:$H$16,2,0),"Other"))</f>
        <v/>
      </c>
      <c r="J4117" s="41" t="str">
        <f aca="false">IF(G4117="","",IFERROR(IF(ISNUMBER(SEARCH(Assumptions!$C$5,G4117)),Assumptions!$D$5,IF(ISNUMBER(SEARCH(Assumptions!$C$6,G4117)),Assumptions!$D$6,IF(ISNUMBER(SEARCH(Assumptions!$C$7,G4117)),Assumptions!$D$7,"Other Services"))),"Other Services"))</f>
        <v/>
      </c>
    </row>
    <row r="4118" customFormat="false" ht="15" hidden="false" customHeight="false" outlineLevel="0" collapsed="false">
      <c r="F4118" s="41" t="str">
        <f aca="false">IF(E4118="","",IFERROR(VLOOKUP(E4118,Assumptions!$G$5:$H$16,2,0),"Other"))</f>
        <v/>
      </c>
      <c r="J4118" s="41" t="str">
        <f aca="false">IF(G4118="","",IFERROR(IF(ISNUMBER(SEARCH(Assumptions!$C$5,G4118)),Assumptions!$D$5,IF(ISNUMBER(SEARCH(Assumptions!$C$6,G4118)),Assumptions!$D$6,IF(ISNUMBER(SEARCH(Assumptions!$C$7,G4118)),Assumptions!$D$7,"Other Services"))),"Other Services"))</f>
        <v/>
      </c>
    </row>
    <row r="4119" customFormat="false" ht="15" hidden="false" customHeight="false" outlineLevel="0" collapsed="false">
      <c r="F4119" s="41" t="str">
        <f aca="false">IF(E4119="","",IFERROR(VLOOKUP(E4119,Assumptions!$G$5:$H$16,2,0),"Other"))</f>
        <v/>
      </c>
      <c r="J4119" s="41" t="str">
        <f aca="false">IF(G4119="","",IFERROR(IF(ISNUMBER(SEARCH(Assumptions!$C$5,G4119)),Assumptions!$D$5,IF(ISNUMBER(SEARCH(Assumptions!$C$6,G4119)),Assumptions!$D$6,IF(ISNUMBER(SEARCH(Assumptions!$C$7,G4119)),Assumptions!$D$7,"Other Services"))),"Other Services"))</f>
        <v/>
      </c>
    </row>
    <row r="4120" customFormat="false" ht="15" hidden="false" customHeight="false" outlineLevel="0" collapsed="false">
      <c r="F4120" s="41" t="str">
        <f aca="false">IF(E4120="","",IFERROR(VLOOKUP(E4120,Assumptions!$G$5:$H$16,2,0),"Other"))</f>
        <v/>
      </c>
      <c r="J4120" s="41" t="str">
        <f aca="false">IF(G4120="","",IFERROR(IF(ISNUMBER(SEARCH(Assumptions!$C$5,G4120)),Assumptions!$D$5,IF(ISNUMBER(SEARCH(Assumptions!$C$6,G4120)),Assumptions!$D$6,IF(ISNUMBER(SEARCH(Assumptions!$C$7,G4120)),Assumptions!$D$7,"Other Services"))),"Other Services"))</f>
        <v/>
      </c>
    </row>
    <row r="4121" customFormat="false" ht="15" hidden="false" customHeight="false" outlineLevel="0" collapsed="false">
      <c r="F4121" s="41" t="str">
        <f aca="false">IF(E4121="","",IFERROR(VLOOKUP(E4121,Assumptions!$G$5:$H$16,2,0),"Other"))</f>
        <v/>
      </c>
      <c r="J4121" s="41" t="str">
        <f aca="false">IF(G4121="","",IFERROR(IF(ISNUMBER(SEARCH(Assumptions!$C$5,G4121)),Assumptions!$D$5,IF(ISNUMBER(SEARCH(Assumptions!$C$6,G4121)),Assumptions!$D$6,IF(ISNUMBER(SEARCH(Assumptions!$C$7,G4121)),Assumptions!$D$7,"Other Services"))),"Other Services"))</f>
        <v/>
      </c>
    </row>
    <row r="4122" customFormat="false" ht="15" hidden="false" customHeight="false" outlineLevel="0" collapsed="false">
      <c r="F4122" s="41" t="str">
        <f aca="false">IF(E4122="","",IFERROR(VLOOKUP(E4122,Assumptions!$G$5:$H$16,2,0),"Other"))</f>
        <v/>
      </c>
      <c r="J4122" s="41" t="str">
        <f aca="false">IF(G4122="","",IFERROR(IF(ISNUMBER(SEARCH(Assumptions!$C$5,G4122)),Assumptions!$D$5,IF(ISNUMBER(SEARCH(Assumptions!$C$6,G4122)),Assumptions!$D$6,IF(ISNUMBER(SEARCH(Assumptions!$C$7,G4122)),Assumptions!$D$7,"Other Services"))),"Other Services"))</f>
        <v/>
      </c>
    </row>
    <row r="4123" customFormat="false" ht="15" hidden="false" customHeight="false" outlineLevel="0" collapsed="false">
      <c r="F4123" s="41" t="str">
        <f aca="false">IF(E4123="","",IFERROR(VLOOKUP(E4123,Assumptions!$G$5:$H$16,2,0),"Other"))</f>
        <v/>
      </c>
      <c r="J4123" s="41" t="str">
        <f aca="false">IF(G4123="","",IFERROR(IF(ISNUMBER(SEARCH(Assumptions!$C$5,G4123)),Assumptions!$D$5,IF(ISNUMBER(SEARCH(Assumptions!$C$6,G4123)),Assumptions!$D$6,IF(ISNUMBER(SEARCH(Assumptions!$C$7,G4123)),Assumptions!$D$7,"Other Services"))),"Other Services"))</f>
        <v/>
      </c>
    </row>
    <row r="4124" customFormat="false" ht="15" hidden="false" customHeight="false" outlineLevel="0" collapsed="false">
      <c r="F4124" s="41" t="str">
        <f aca="false">IF(E4124="","",IFERROR(VLOOKUP(E4124,Assumptions!$G$5:$H$16,2,0),"Other"))</f>
        <v/>
      </c>
      <c r="J4124" s="41" t="str">
        <f aca="false">IF(G4124="","",IFERROR(IF(ISNUMBER(SEARCH(Assumptions!$C$5,G4124)),Assumptions!$D$5,IF(ISNUMBER(SEARCH(Assumptions!$C$6,G4124)),Assumptions!$D$6,IF(ISNUMBER(SEARCH(Assumptions!$C$7,G4124)),Assumptions!$D$7,"Other Services"))),"Other Services"))</f>
        <v/>
      </c>
    </row>
    <row r="4125" customFormat="false" ht="15" hidden="false" customHeight="false" outlineLevel="0" collapsed="false">
      <c r="F4125" s="41" t="str">
        <f aca="false">IF(E4125="","",IFERROR(VLOOKUP(E4125,Assumptions!$G$5:$H$16,2,0),"Other"))</f>
        <v/>
      </c>
      <c r="J4125" s="41" t="str">
        <f aca="false">IF(G4125="","",IFERROR(IF(ISNUMBER(SEARCH(Assumptions!$C$5,G4125)),Assumptions!$D$5,IF(ISNUMBER(SEARCH(Assumptions!$C$6,G4125)),Assumptions!$D$6,IF(ISNUMBER(SEARCH(Assumptions!$C$7,G4125)),Assumptions!$D$7,"Other Services"))),"Other Services"))</f>
        <v/>
      </c>
    </row>
    <row r="4126" customFormat="false" ht="15" hidden="false" customHeight="false" outlineLevel="0" collapsed="false">
      <c r="F4126" s="41" t="str">
        <f aca="false">IF(E4126="","",IFERROR(VLOOKUP(E4126,Assumptions!$G$5:$H$16,2,0),"Other"))</f>
        <v/>
      </c>
      <c r="J4126" s="41" t="str">
        <f aca="false">IF(G4126="","",IFERROR(IF(ISNUMBER(SEARCH(Assumptions!$C$5,G4126)),Assumptions!$D$5,IF(ISNUMBER(SEARCH(Assumptions!$C$6,G4126)),Assumptions!$D$6,IF(ISNUMBER(SEARCH(Assumptions!$C$7,G4126)),Assumptions!$D$7,"Other Services"))),"Other Services"))</f>
        <v/>
      </c>
    </row>
    <row r="4127" customFormat="false" ht="15" hidden="false" customHeight="false" outlineLevel="0" collapsed="false">
      <c r="F4127" s="41" t="str">
        <f aca="false">IF(E4127="","",IFERROR(VLOOKUP(E4127,Assumptions!$G$5:$H$16,2,0),"Other"))</f>
        <v/>
      </c>
      <c r="J4127" s="41" t="str">
        <f aca="false">IF(G4127="","",IFERROR(IF(ISNUMBER(SEARCH(Assumptions!$C$5,G4127)),Assumptions!$D$5,IF(ISNUMBER(SEARCH(Assumptions!$C$6,G4127)),Assumptions!$D$6,IF(ISNUMBER(SEARCH(Assumptions!$C$7,G4127)),Assumptions!$D$7,"Other Services"))),"Other Services"))</f>
        <v/>
      </c>
    </row>
    <row r="4128" customFormat="false" ht="15" hidden="false" customHeight="false" outlineLevel="0" collapsed="false">
      <c r="F4128" s="41" t="str">
        <f aca="false">IF(E4128="","",IFERROR(VLOOKUP(E4128,Assumptions!$G$5:$H$16,2,0),"Other"))</f>
        <v/>
      </c>
      <c r="J4128" s="41" t="str">
        <f aca="false">IF(G4128="","",IFERROR(IF(ISNUMBER(SEARCH(Assumptions!$C$5,G4128)),Assumptions!$D$5,IF(ISNUMBER(SEARCH(Assumptions!$C$6,G4128)),Assumptions!$D$6,IF(ISNUMBER(SEARCH(Assumptions!$C$7,G4128)),Assumptions!$D$7,"Other Services"))),"Other Services"))</f>
        <v/>
      </c>
    </row>
    <row r="4129" customFormat="false" ht="15" hidden="false" customHeight="false" outlineLevel="0" collapsed="false">
      <c r="F4129" s="41" t="str">
        <f aca="false">IF(E4129="","",IFERROR(VLOOKUP(E4129,Assumptions!$G$5:$H$16,2,0),"Other"))</f>
        <v/>
      </c>
      <c r="J4129" s="41" t="str">
        <f aca="false">IF(G4129="","",IFERROR(IF(ISNUMBER(SEARCH(Assumptions!$C$5,G4129)),Assumptions!$D$5,IF(ISNUMBER(SEARCH(Assumptions!$C$6,G4129)),Assumptions!$D$6,IF(ISNUMBER(SEARCH(Assumptions!$C$7,G4129)),Assumptions!$D$7,"Other Services"))),"Other Services"))</f>
        <v/>
      </c>
    </row>
    <row r="4130" customFormat="false" ht="15" hidden="false" customHeight="false" outlineLevel="0" collapsed="false">
      <c r="F4130" s="41" t="str">
        <f aca="false">IF(E4130="","",IFERROR(VLOOKUP(E4130,Assumptions!$G$5:$H$16,2,0),"Other"))</f>
        <v/>
      </c>
      <c r="J4130" s="41" t="str">
        <f aca="false">IF(G4130="","",IFERROR(IF(ISNUMBER(SEARCH(Assumptions!$C$5,G4130)),Assumptions!$D$5,IF(ISNUMBER(SEARCH(Assumptions!$C$6,G4130)),Assumptions!$D$6,IF(ISNUMBER(SEARCH(Assumptions!$C$7,G4130)),Assumptions!$D$7,"Other Services"))),"Other Services"))</f>
        <v/>
      </c>
    </row>
    <row r="4131" customFormat="false" ht="15" hidden="false" customHeight="false" outlineLevel="0" collapsed="false">
      <c r="F4131" s="41" t="str">
        <f aca="false">IF(E4131="","",IFERROR(VLOOKUP(E4131,Assumptions!$G$5:$H$16,2,0),"Other"))</f>
        <v/>
      </c>
      <c r="J4131" s="41" t="str">
        <f aca="false">IF(G4131="","",IFERROR(IF(ISNUMBER(SEARCH(Assumptions!$C$5,G4131)),Assumptions!$D$5,IF(ISNUMBER(SEARCH(Assumptions!$C$6,G4131)),Assumptions!$D$6,IF(ISNUMBER(SEARCH(Assumptions!$C$7,G4131)),Assumptions!$D$7,"Other Services"))),"Other Services"))</f>
        <v/>
      </c>
    </row>
    <row r="4132" customFormat="false" ht="15" hidden="false" customHeight="false" outlineLevel="0" collapsed="false">
      <c r="F4132" s="41" t="str">
        <f aca="false">IF(E4132="","",IFERROR(VLOOKUP(E4132,Assumptions!$G$5:$H$16,2,0),"Other"))</f>
        <v/>
      </c>
      <c r="J4132" s="41" t="str">
        <f aca="false">IF(G4132="","",IFERROR(IF(ISNUMBER(SEARCH(Assumptions!$C$5,G4132)),Assumptions!$D$5,IF(ISNUMBER(SEARCH(Assumptions!$C$6,G4132)),Assumptions!$D$6,IF(ISNUMBER(SEARCH(Assumptions!$C$7,G4132)),Assumptions!$D$7,"Other Services"))),"Other Services"))</f>
        <v/>
      </c>
    </row>
    <row r="4133" customFormat="false" ht="15" hidden="false" customHeight="false" outlineLevel="0" collapsed="false">
      <c r="F4133" s="41" t="str">
        <f aca="false">IF(E4133="","",IFERROR(VLOOKUP(E4133,Assumptions!$G$5:$H$16,2,0),"Other"))</f>
        <v/>
      </c>
      <c r="J4133" s="41" t="str">
        <f aca="false">IF(G4133="","",IFERROR(IF(ISNUMBER(SEARCH(Assumptions!$C$5,G4133)),Assumptions!$D$5,IF(ISNUMBER(SEARCH(Assumptions!$C$6,G4133)),Assumptions!$D$6,IF(ISNUMBER(SEARCH(Assumptions!$C$7,G4133)),Assumptions!$D$7,"Other Services"))),"Other Services"))</f>
        <v/>
      </c>
    </row>
    <row r="4134" customFormat="false" ht="15" hidden="false" customHeight="false" outlineLevel="0" collapsed="false">
      <c r="F4134" s="41" t="str">
        <f aca="false">IF(E4134="","",IFERROR(VLOOKUP(E4134,Assumptions!$G$5:$H$16,2,0),"Other"))</f>
        <v/>
      </c>
      <c r="J4134" s="41" t="str">
        <f aca="false">IF(G4134="","",IFERROR(IF(ISNUMBER(SEARCH(Assumptions!$C$5,G4134)),Assumptions!$D$5,IF(ISNUMBER(SEARCH(Assumptions!$C$6,G4134)),Assumptions!$D$6,IF(ISNUMBER(SEARCH(Assumptions!$C$7,G4134)),Assumptions!$D$7,"Other Services"))),"Other Services"))</f>
        <v/>
      </c>
    </row>
    <row r="4135" customFormat="false" ht="15" hidden="false" customHeight="false" outlineLevel="0" collapsed="false">
      <c r="F4135" s="41" t="str">
        <f aca="false">IF(E4135="","",IFERROR(VLOOKUP(E4135,Assumptions!$G$5:$H$16,2,0),"Other"))</f>
        <v/>
      </c>
      <c r="J4135" s="41" t="str">
        <f aca="false">IF(G4135="","",IFERROR(IF(ISNUMBER(SEARCH(Assumptions!$C$5,G4135)),Assumptions!$D$5,IF(ISNUMBER(SEARCH(Assumptions!$C$6,G4135)),Assumptions!$D$6,IF(ISNUMBER(SEARCH(Assumptions!$C$7,G4135)),Assumptions!$D$7,"Other Services"))),"Other Services"))</f>
        <v/>
      </c>
    </row>
    <row r="4136" customFormat="false" ht="15" hidden="false" customHeight="false" outlineLevel="0" collapsed="false">
      <c r="F4136" s="41" t="str">
        <f aca="false">IF(E4136="","",IFERROR(VLOOKUP(E4136,Assumptions!$G$5:$H$16,2,0),"Other"))</f>
        <v/>
      </c>
      <c r="J4136" s="41" t="str">
        <f aca="false">IF(G4136="","",IFERROR(IF(ISNUMBER(SEARCH(Assumptions!$C$5,G4136)),Assumptions!$D$5,IF(ISNUMBER(SEARCH(Assumptions!$C$6,G4136)),Assumptions!$D$6,IF(ISNUMBER(SEARCH(Assumptions!$C$7,G4136)),Assumptions!$D$7,"Other Services"))),"Other Services"))</f>
        <v/>
      </c>
    </row>
    <row r="4137" customFormat="false" ht="15" hidden="false" customHeight="false" outlineLevel="0" collapsed="false">
      <c r="F4137" s="41" t="str">
        <f aca="false">IF(E4137="","",IFERROR(VLOOKUP(E4137,Assumptions!$G$5:$H$16,2,0),"Other"))</f>
        <v/>
      </c>
      <c r="J4137" s="41" t="str">
        <f aca="false">IF(G4137="","",IFERROR(IF(ISNUMBER(SEARCH(Assumptions!$C$5,G4137)),Assumptions!$D$5,IF(ISNUMBER(SEARCH(Assumptions!$C$6,G4137)),Assumptions!$D$6,IF(ISNUMBER(SEARCH(Assumptions!$C$7,G4137)),Assumptions!$D$7,"Other Services"))),"Other Services"))</f>
        <v/>
      </c>
    </row>
    <row r="4138" customFormat="false" ht="15" hidden="false" customHeight="false" outlineLevel="0" collapsed="false">
      <c r="F4138" s="41" t="str">
        <f aca="false">IF(E4138="","",IFERROR(VLOOKUP(E4138,Assumptions!$G$5:$H$16,2,0),"Other"))</f>
        <v/>
      </c>
      <c r="J4138" s="41" t="str">
        <f aca="false">IF(G4138="","",IFERROR(IF(ISNUMBER(SEARCH(Assumptions!$C$5,G4138)),Assumptions!$D$5,IF(ISNUMBER(SEARCH(Assumptions!$C$6,G4138)),Assumptions!$D$6,IF(ISNUMBER(SEARCH(Assumptions!$C$7,G4138)),Assumptions!$D$7,"Other Services"))),"Other Services"))</f>
        <v/>
      </c>
    </row>
    <row r="4139" customFormat="false" ht="15" hidden="false" customHeight="false" outlineLevel="0" collapsed="false">
      <c r="F4139" s="41" t="str">
        <f aca="false">IF(E4139="","",IFERROR(VLOOKUP(E4139,Assumptions!$G$5:$H$16,2,0),"Other"))</f>
        <v/>
      </c>
      <c r="J4139" s="41" t="str">
        <f aca="false">IF(G4139="","",IFERROR(IF(ISNUMBER(SEARCH(Assumptions!$C$5,G4139)),Assumptions!$D$5,IF(ISNUMBER(SEARCH(Assumptions!$C$6,G4139)),Assumptions!$D$6,IF(ISNUMBER(SEARCH(Assumptions!$C$7,G4139)),Assumptions!$D$7,"Other Services"))),"Other Services"))</f>
        <v/>
      </c>
    </row>
    <row r="4140" customFormat="false" ht="15" hidden="false" customHeight="false" outlineLevel="0" collapsed="false">
      <c r="F4140" s="41" t="str">
        <f aca="false">IF(E4140="","",IFERROR(VLOOKUP(E4140,Assumptions!$G$5:$H$16,2,0),"Other"))</f>
        <v/>
      </c>
      <c r="J4140" s="41" t="str">
        <f aca="false">IF(G4140="","",IFERROR(IF(ISNUMBER(SEARCH(Assumptions!$C$5,G4140)),Assumptions!$D$5,IF(ISNUMBER(SEARCH(Assumptions!$C$6,G4140)),Assumptions!$D$6,IF(ISNUMBER(SEARCH(Assumptions!$C$7,G4140)),Assumptions!$D$7,"Other Services"))),"Other Services"))</f>
        <v/>
      </c>
    </row>
    <row r="4141" customFormat="false" ht="15" hidden="false" customHeight="false" outlineLevel="0" collapsed="false">
      <c r="F4141" s="41" t="str">
        <f aca="false">IF(E4141="","",IFERROR(VLOOKUP(E4141,Assumptions!$G$5:$H$16,2,0),"Other"))</f>
        <v/>
      </c>
      <c r="J4141" s="41" t="str">
        <f aca="false">IF(G4141="","",IFERROR(IF(ISNUMBER(SEARCH(Assumptions!$C$5,G4141)),Assumptions!$D$5,IF(ISNUMBER(SEARCH(Assumptions!$C$6,G4141)),Assumptions!$D$6,IF(ISNUMBER(SEARCH(Assumptions!$C$7,G4141)),Assumptions!$D$7,"Other Services"))),"Other Services"))</f>
        <v/>
      </c>
    </row>
    <row r="4142" customFormat="false" ht="15" hidden="false" customHeight="false" outlineLevel="0" collapsed="false">
      <c r="F4142" s="41" t="str">
        <f aca="false">IF(E4142="","",IFERROR(VLOOKUP(E4142,Assumptions!$G$5:$H$16,2,0),"Other"))</f>
        <v/>
      </c>
      <c r="J4142" s="41" t="str">
        <f aca="false">IF(G4142="","",IFERROR(IF(ISNUMBER(SEARCH(Assumptions!$C$5,G4142)),Assumptions!$D$5,IF(ISNUMBER(SEARCH(Assumptions!$C$6,G4142)),Assumptions!$D$6,IF(ISNUMBER(SEARCH(Assumptions!$C$7,G4142)),Assumptions!$D$7,"Other Services"))),"Other Services"))</f>
        <v/>
      </c>
    </row>
    <row r="4143" customFormat="false" ht="15" hidden="false" customHeight="false" outlineLevel="0" collapsed="false">
      <c r="F4143" s="41" t="str">
        <f aca="false">IF(E4143="","",IFERROR(VLOOKUP(E4143,Assumptions!$G$5:$H$16,2,0),"Other"))</f>
        <v/>
      </c>
      <c r="J4143" s="41" t="str">
        <f aca="false">IF(G4143="","",IFERROR(IF(ISNUMBER(SEARCH(Assumptions!$C$5,G4143)),Assumptions!$D$5,IF(ISNUMBER(SEARCH(Assumptions!$C$6,G4143)),Assumptions!$D$6,IF(ISNUMBER(SEARCH(Assumptions!$C$7,G4143)),Assumptions!$D$7,"Other Services"))),"Other Services"))</f>
        <v/>
      </c>
    </row>
    <row r="4144" customFormat="false" ht="15" hidden="false" customHeight="false" outlineLevel="0" collapsed="false">
      <c r="F4144" s="41" t="str">
        <f aca="false">IF(E4144="","",IFERROR(VLOOKUP(E4144,Assumptions!$G$5:$H$16,2,0),"Other"))</f>
        <v/>
      </c>
      <c r="J4144" s="41" t="str">
        <f aca="false">IF(G4144="","",IFERROR(IF(ISNUMBER(SEARCH(Assumptions!$C$5,G4144)),Assumptions!$D$5,IF(ISNUMBER(SEARCH(Assumptions!$C$6,G4144)),Assumptions!$D$6,IF(ISNUMBER(SEARCH(Assumptions!$C$7,G4144)),Assumptions!$D$7,"Other Services"))),"Other Services"))</f>
        <v/>
      </c>
    </row>
    <row r="4145" customFormat="false" ht="15" hidden="false" customHeight="false" outlineLevel="0" collapsed="false">
      <c r="F4145" s="41" t="str">
        <f aca="false">IF(E4145="","",IFERROR(VLOOKUP(E4145,Assumptions!$G$5:$H$16,2,0),"Other"))</f>
        <v/>
      </c>
      <c r="J4145" s="41" t="str">
        <f aca="false">IF(G4145="","",IFERROR(IF(ISNUMBER(SEARCH(Assumptions!$C$5,G4145)),Assumptions!$D$5,IF(ISNUMBER(SEARCH(Assumptions!$C$6,G4145)),Assumptions!$D$6,IF(ISNUMBER(SEARCH(Assumptions!$C$7,G4145)),Assumptions!$D$7,"Other Services"))),"Other Services"))</f>
        <v/>
      </c>
    </row>
    <row r="4146" customFormat="false" ht="15" hidden="false" customHeight="false" outlineLevel="0" collapsed="false">
      <c r="F4146" s="41" t="str">
        <f aca="false">IF(E4146="","",IFERROR(VLOOKUP(E4146,Assumptions!$G$5:$H$16,2,0),"Other"))</f>
        <v/>
      </c>
      <c r="J4146" s="41" t="str">
        <f aca="false">IF(G4146="","",IFERROR(IF(ISNUMBER(SEARCH(Assumptions!$C$5,G4146)),Assumptions!$D$5,IF(ISNUMBER(SEARCH(Assumptions!$C$6,G4146)),Assumptions!$D$6,IF(ISNUMBER(SEARCH(Assumptions!$C$7,G4146)),Assumptions!$D$7,"Other Services"))),"Other Services"))</f>
        <v/>
      </c>
    </row>
    <row r="4147" customFormat="false" ht="15" hidden="false" customHeight="false" outlineLevel="0" collapsed="false">
      <c r="F4147" s="41" t="str">
        <f aca="false">IF(E4147="","",IFERROR(VLOOKUP(E4147,Assumptions!$G$5:$H$16,2,0),"Other"))</f>
        <v/>
      </c>
      <c r="J4147" s="41" t="str">
        <f aca="false">IF(G4147="","",IFERROR(IF(ISNUMBER(SEARCH(Assumptions!$C$5,G4147)),Assumptions!$D$5,IF(ISNUMBER(SEARCH(Assumptions!$C$6,G4147)),Assumptions!$D$6,IF(ISNUMBER(SEARCH(Assumptions!$C$7,G4147)),Assumptions!$D$7,"Other Services"))),"Other Services"))</f>
        <v/>
      </c>
    </row>
    <row r="4148" customFormat="false" ht="15" hidden="false" customHeight="false" outlineLevel="0" collapsed="false">
      <c r="F4148" s="41" t="str">
        <f aca="false">IF(E4148="","",IFERROR(VLOOKUP(E4148,Assumptions!$G$5:$H$16,2,0),"Other"))</f>
        <v/>
      </c>
      <c r="J4148" s="41" t="str">
        <f aca="false">IF(G4148="","",IFERROR(IF(ISNUMBER(SEARCH(Assumptions!$C$5,G4148)),Assumptions!$D$5,IF(ISNUMBER(SEARCH(Assumptions!$C$6,G4148)),Assumptions!$D$6,IF(ISNUMBER(SEARCH(Assumptions!$C$7,G4148)),Assumptions!$D$7,"Other Services"))),"Other Services"))</f>
        <v/>
      </c>
    </row>
    <row r="4149" customFormat="false" ht="15" hidden="false" customHeight="false" outlineLevel="0" collapsed="false">
      <c r="F4149" s="41" t="str">
        <f aca="false">IF(E4149="","",IFERROR(VLOOKUP(E4149,Assumptions!$G$5:$H$16,2,0),"Other"))</f>
        <v/>
      </c>
      <c r="J4149" s="41" t="str">
        <f aca="false">IF(G4149="","",IFERROR(IF(ISNUMBER(SEARCH(Assumptions!$C$5,G4149)),Assumptions!$D$5,IF(ISNUMBER(SEARCH(Assumptions!$C$6,G4149)),Assumptions!$D$6,IF(ISNUMBER(SEARCH(Assumptions!$C$7,G4149)),Assumptions!$D$7,"Other Services"))),"Other Services"))</f>
        <v/>
      </c>
    </row>
    <row r="4150" customFormat="false" ht="15" hidden="false" customHeight="false" outlineLevel="0" collapsed="false">
      <c r="F4150" s="41" t="str">
        <f aca="false">IF(E4150="","",IFERROR(VLOOKUP(E4150,Assumptions!$G$5:$H$16,2,0),"Other"))</f>
        <v/>
      </c>
      <c r="J4150" s="41" t="str">
        <f aca="false">IF(G4150="","",IFERROR(IF(ISNUMBER(SEARCH(Assumptions!$C$5,G4150)),Assumptions!$D$5,IF(ISNUMBER(SEARCH(Assumptions!$C$6,G4150)),Assumptions!$D$6,IF(ISNUMBER(SEARCH(Assumptions!$C$7,G4150)),Assumptions!$D$7,"Other Services"))),"Other Services"))</f>
        <v/>
      </c>
    </row>
    <row r="4151" customFormat="false" ht="15" hidden="false" customHeight="false" outlineLevel="0" collapsed="false">
      <c r="F4151" s="41" t="str">
        <f aca="false">IF(E4151="","",IFERROR(VLOOKUP(E4151,Assumptions!$G$5:$H$16,2,0),"Other"))</f>
        <v/>
      </c>
      <c r="J4151" s="41" t="str">
        <f aca="false">IF(G4151="","",IFERROR(IF(ISNUMBER(SEARCH(Assumptions!$C$5,G4151)),Assumptions!$D$5,IF(ISNUMBER(SEARCH(Assumptions!$C$6,G4151)),Assumptions!$D$6,IF(ISNUMBER(SEARCH(Assumptions!$C$7,G4151)),Assumptions!$D$7,"Other Services"))),"Other Services"))</f>
        <v/>
      </c>
    </row>
    <row r="4152" customFormat="false" ht="15" hidden="false" customHeight="false" outlineLevel="0" collapsed="false">
      <c r="F4152" s="41" t="str">
        <f aca="false">IF(E4152="","",IFERROR(VLOOKUP(E4152,Assumptions!$G$5:$H$16,2,0),"Other"))</f>
        <v/>
      </c>
      <c r="J4152" s="41" t="str">
        <f aca="false">IF(G4152="","",IFERROR(IF(ISNUMBER(SEARCH(Assumptions!$C$5,G4152)),Assumptions!$D$5,IF(ISNUMBER(SEARCH(Assumptions!$C$6,G4152)),Assumptions!$D$6,IF(ISNUMBER(SEARCH(Assumptions!$C$7,G4152)),Assumptions!$D$7,"Other Services"))),"Other Services"))</f>
        <v/>
      </c>
    </row>
    <row r="4153" customFormat="false" ht="15" hidden="false" customHeight="false" outlineLevel="0" collapsed="false">
      <c r="F4153" s="41" t="str">
        <f aca="false">IF(E4153="","",IFERROR(VLOOKUP(E4153,Assumptions!$G$5:$H$16,2,0),"Other"))</f>
        <v/>
      </c>
      <c r="J4153" s="41" t="str">
        <f aca="false">IF(G4153="","",IFERROR(IF(ISNUMBER(SEARCH(Assumptions!$C$5,G4153)),Assumptions!$D$5,IF(ISNUMBER(SEARCH(Assumptions!$C$6,G4153)),Assumptions!$D$6,IF(ISNUMBER(SEARCH(Assumptions!$C$7,G4153)),Assumptions!$D$7,"Other Services"))),"Other Services"))</f>
        <v/>
      </c>
    </row>
    <row r="4154" customFormat="false" ht="15" hidden="false" customHeight="false" outlineLevel="0" collapsed="false">
      <c r="F4154" s="41" t="str">
        <f aca="false">IF(E4154="","",IFERROR(VLOOKUP(E4154,Assumptions!$G$5:$H$16,2,0),"Other"))</f>
        <v/>
      </c>
      <c r="J4154" s="41" t="str">
        <f aca="false">IF(G4154="","",IFERROR(IF(ISNUMBER(SEARCH(Assumptions!$C$5,G4154)),Assumptions!$D$5,IF(ISNUMBER(SEARCH(Assumptions!$C$6,G4154)),Assumptions!$D$6,IF(ISNUMBER(SEARCH(Assumptions!$C$7,G4154)),Assumptions!$D$7,"Other Services"))),"Other Services"))</f>
        <v/>
      </c>
    </row>
    <row r="4155" customFormat="false" ht="15" hidden="false" customHeight="false" outlineLevel="0" collapsed="false">
      <c r="F4155" s="41" t="str">
        <f aca="false">IF(E4155="","",IFERROR(VLOOKUP(E4155,Assumptions!$G$5:$H$16,2,0),"Other"))</f>
        <v/>
      </c>
      <c r="J4155" s="41" t="str">
        <f aca="false">IF(G4155="","",IFERROR(IF(ISNUMBER(SEARCH(Assumptions!$C$5,G4155)),Assumptions!$D$5,IF(ISNUMBER(SEARCH(Assumptions!$C$6,G4155)),Assumptions!$D$6,IF(ISNUMBER(SEARCH(Assumptions!$C$7,G4155)),Assumptions!$D$7,"Other Services"))),"Other Services"))</f>
        <v/>
      </c>
    </row>
    <row r="4156" customFormat="false" ht="15" hidden="false" customHeight="false" outlineLevel="0" collapsed="false">
      <c r="F4156" s="41" t="str">
        <f aca="false">IF(E4156="","",IFERROR(VLOOKUP(E4156,Assumptions!$G$5:$H$16,2,0),"Other"))</f>
        <v/>
      </c>
      <c r="J4156" s="41" t="str">
        <f aca="false">IF(G4156="","",IFERROR(IF(ISNUMBER(SEARCH(Assumptions!$C$5,G4156)),Assumptions!$D$5,IF(ISNUMBER(SEARCH(Assumptions!$C$6,G4156)),Assumptions!$D$6,IF(ISNUMBER(SEARCH(Assumptions!$C$7,G4156)),Assumptions!$D$7,"Other Services"))),"Other Services"))</f>
        <v/>
      </c>
    </row>
    <row r="4157" customFormat="false" ht="15" hidden="false" customHeight="false" outlineLevel="0" collapsed="false">
      <c r="F4157" s="41" t="str">
        <f aca="false">IF(E4157="","",IFERROR(VLOOKUP(E4157,Assumptions!$G$5:$H$16,2,0),"Other"))</f>
        <v/>
      </c>
      <c r="J4157" s="41" t="str">
        <f aca="false">IF(G4157="","",IFERROR(IF(ISNUMBER(SEARCH(Assumptions!$C$5,G4157)),Assumptions!$D$5,IF(ISNUMBER(SEARCH(Assumptions!$C$6,G4157)),Assumptions!$D$6,IF(ISNUMBER(SEARCH(Assumptions!$C$7,G4157)),Assumptions!$D$7,"Other Services"))),"Other Services"))</f>
        <v/>
      </c>
    </row>
    <row r="4158" customFormat="false" ht="15" hidden="false" customHeight="false" outlineLevel="0" collapsed="false">
      <c r="F4158" s="41" t="str">
        <f aca="false">IF(E4158="","",IFERROR(VLOOKUP(E4158,Assumptions!$G$5:$H$16,2,0),"Other"))</f>
        <v/>
      </c>
      <c r="J4158" s="41" t="str">
        <f aca="false">IF(G4158="","",IFERROR(IF(ISNUMBER(SEARCH(Assumptions!$C$5,G4158)),Assumptions!$D$5,IF(ISNUMBER(SEARCH(Assumptions!$C$6,G4158)),Assumptions!$D$6,IF(ISNUMBER(SEARCH(Assumptions!$C$7,G4158)),Assumptions!$D$7,"Other Services"))),"Other Services"))</f>
        <v/>
      </c>
    </row>
    <row r="4159" customFormat="false" ht="15" hidden="false" customHeight="false" outlineLevel="0" collapsed="false">
      <c r="F4159" s="41" t="str">
        <f aca="false">IF(E4159="","",IFERROR(VLOOKUP(E4159,Assumptions!$G$5:$H$16,2,0),"Other"))</f>
        <v/>
      </c>
      <c r="J4159" s="41" t="str">
        <f aca="false">IF(G4159="","",IFERROR(IF(ISNUMBER(SEARCH(Assumptions!$C$5,G4159)),Assumptions!$D$5,IF(ISNUMBER(SEARCH(Assumptions!$C$6,G4159)),Assumptions!$D$6,IF(ISNUMBER(SEARCH(Assumptions!$C$7,G4159)),Assumptions!$D$7,"Other Services"))),"Other Services"))</f>
        <v/>
      </c>
    </row>
    <row r="4160" customFormat="false" ht="15" hidden="false" customHeight="false" outlineLevel="0" collapsed="false">
      <c r="F4160" s="41" t="str">
        <f aca="false">IF(E4160="","",IFERROR(VLOOKUP(E4160,Assumptions!$G$5:$H$16,2,0),"Other"))</f>
        <v/>
      </c>
      <c r="J4160" s="41" t="str">
        <f aca="false">IF(G4160="","",IFERROR(IF(ISNUMBER(SEARCH(Assumptions!$C$5,G4160)),Assumptions!$D$5,IF(ISNUMBER(SEARCH(Assumptions!$C$6,G4160)),Assumptions!$D$6,IF(ISNUMBER(SEARCH(Assumptions!$C$7,G4160)),Assumptions!$D$7,"Other Services"))),"Other Services"))</f>
        <v/>
      </c>
    </row>
    <row r="4161" customFormat="false" ht="15" hidden="false" customHeight="false" outlineLevel="0" collapsed="false">
      <c r="F4161" s="41" t="str">
        <f aca="false">IF(E4161="","",IFERROR(VLOOKUP(E4161,Assumptions!$G$5:$H$16,2,0),"Other"))</f>
        <v/>
      </c>
      <c r="J4161" s="41" t="str">
        <f aca="false">IF(G4161="","",IFERROR(IF(ISNUMBER(SEARCH(Assumptions!$C$5,G4161)),Assumptions!$D$5,IF(ISNUMBER(SEARCH(Assumptions!$C$6,G4161)),Assumptions!$D$6,IF(ISNUMBER(SEARCH(Assumptions!$C$7,G4161)),Assumptions!$D$7,"Other Services"))),"Other Services"))</f>
        <v/>
      </c>
    </row>
    <row r="4162" customFormat="false" ht="15" hidden="false" customHeight="false" outlineLevel="0" collapsed="false">
      <c r="F4162" s="41" t="str">
        <f aca="false">IF(E4162="","",IFERROR(VLOOKUP(E4162,Assumptions!$G$5:$H$16,2,0),"Other"))</f>
        <v/>
      </c>
      <c r="J4162" s="41" t="str">
        <f aca="false">IF(G4162="","",IFERROR(IF(ISNUMBER(SEARCH(Assumptions!$C$5,G4162)),Assumptions!$D$5,IF(ISNUMBER(SEARCH(Assumptions!$C$6,G4162)),Assumptions!$D$6,IF(ISNUMBER(SEARCH(Assumptions!$C$7,G4162)),Assumptions!$D$7,"Other Services"))),"Other Services"))</f>
        <v/>
      </c>
    </row>
    <row r="4163" customFormat="false" ht="15" hidden="false" customHeight="false" outlineLevel="0" collapsed="false">
      <c r="F4163" s="41" t="str">
        <f aca="false">IF(E4163="","",IFERROR(VLOOKUP(E4163,Assumptions!$G$5:$H$16,2,0),"Other"))</f>
        <v/>
      </c>
      <c r="J4163" s="41" t="str">
        <f aca="false">IF(G4163="","",IFERROR(IF(ISNUMBER(SEARCH(Assumptions!$C$5,G4163)),Assumptions!$D$5,IF(ISNUMBER(SEARCH(Assumptions!$C$6,G4163)),Assumptions!$D$6,IF(ISNUMBER(SEARCH(Assumptions!$C$7,G4163)),Assumptions!$D$7,"Other Services"))),"Other Services"))</f>
        <v/>
      </c>
    </row>
    <row r="4164" customFormat="false" ht="15" hidden="false" customHeight="false" outlineLevel="0" collapsed="false">
      <c r="F4164" s="41" t="str">
        <f aca="false">IF(E4164="","",IFERROR(VLOOKUP(E4164,Assumptions!$G$5:$H$16,2,0),"Other"))</f>
        <v/>
      </c>
      <c r="J4164" s="41" t="str">
        <f aca="false">IF(G4164="","",IFERROR(IF(ISNUMBER(SEARCH(Assumptions!$C$5,G4164)),Assumptions!$D$5,IF(ISNUMBER(SEARCH(Assumptions!$C$6,G4164)),Assumptions!$D$6,IF(ISNUMBER(SEARCH(Assumptions!$C$7,G4164)),Assumptions!$D$7,"Other Services"))),"Other Services"))</f>
        <v/>
      </c>
    </row>
    <row r="4165" customFormat="false" ht="15" hidden="false" customHeight="false" outlineLevel="0" collapsed="false">
      <c r="F4165" s="41" t="str">
        <f aca="false">IF(E4165="","",IFERROR(VLOOKUP(E4165,Assumptions!$G$5:$H$16,2,0),"Other"))</f>
        <v/>
      </c>
      <c r="J4165" s="41" t="str">
        <f aca="false">IF(G4165="","",IFERROR(IF(ISNUMBER(SEARCH(Assumptions!$C$5,G4165)),Assumptions!$D$5,IF(ISNUMBER(SEARCH(Assumptions!$C$6,G4165)),Assumptions!$D$6,IF(ISNUMBER(SEARCH(Assumptions!$C$7,G4165)),Assumptions!$D$7,"Other Services"))),"Other Services"))</f>
        <v/>
      </c>
    </row>
    <row r="4166" customFormat="false" ht="15" hidden="false" customHeight="false" outlineLevel="0" collapsed="false">
      <c r="F4166" s="41" t="str">
        <f aca="false">IF(E4166="","",IFERROR(VLOOKUP(E4166,Assumptions!$G$5:$H$16,2,0),"Other"))</f>
        <v/>
      </c>
      <c r="J4166" s="41" t="str">
        <f aca="false">IF(G4166="","",IFERROR(IF(ISNUMBER(SEARCH(Assumptions!$C$5,G4166)),Assumptions!$D$5,IF(ISNUMBER(SEARCH(Assumptions!$C$6,G4166)),Assumptions!$D$6,IF(ISNUMBER(SEARCH(Assumptions!$C$7,G4166)),Assumptions!$D$7,"Other Services"))),"Other Services"))</f>
        <v/>
      </c>
    </row>
    <row r="4167" customFormat="false" ht="15" hidden="false" customHeight="false" outlineLevel="0" collapsed="false">
      <c r="F4167" s="41" t="str">
        <f aca="false">IF(E4167="","",IFERROR(VLOOKUP(E4167,Assumptions!$G$5:$H$16,2,0),"Other"))</f>
        <v/>
      </c>
      <c r="J4167" s="41" t="str">
        <f aca="false">IF(G4167="","",IFERROR(IF(ISNUMBER(SEARCH(Assumptions!$C$5,G4167)),Assumptions!$D$5,IF(ISNUMBER(SEARCH(Assumptions!$C$6,G4167)),Assumptions!$D$6,IF(ISNUMBER(SEARCH(Assumptions!$C$7,G4167)),Assumptions!$D$7,"Other Services"))),"Other Services"))</f>
        <v/>
      </c>
    </row>
    <row r="4168" customFormat="false" ht="15" hidden="false" customHeight="false" outlineLevel="0" collapsed="false">
      <c r="F4168" s="41" t="str">
        <f aca="false">IF(E4168="","",IFERROR(VLOOKUP(E4168,Assumptions!$G$5:$H$16,2,0),"Other"))</f>
        <v/>
      </c>
      <c r="J4168" s="41" t="str">
        <f aca="false">IF(G4168="","",IFERROR(IF(ISNUMBER(SEARCH(Assumptions!$C$5,G4168)),Assumptions!$D$5,IF(ISNUMBER(SEARCH(Assumptions!$C$6,G4168)),Assumptions!$D$6,IF(ISNUMBER(SEARCH(Assumptions!$C$7,G4168)),Assumptions!$D$7,"Other Services"))),"Other Services"))</f>
        <v/>
      </c>
    </row>
    <row r="4169" customFormat="false" ht="15" hidden="false" customHeight="false" outlineLevel="0" collapsed="false">
      <c r="F4169" s="41" t="str">
        <f aca="false">IF(E4169="","",IFERROR(VLOOKUP(E4169,Assumptions!$G$5:$H$16,2,0),"Other"))</f>
        <v/>
      </c>
      <c r="J4169" s="41" t="str">
        <f aca="false">IF(G4169="","",IFERROR(IF(ISNUMBER(SEARCH(Assumptions!$C$5,G4169)),Assumptions!$D$5,IF(ISNUMBER(SEARCH(Assumptions!$C$6,G4169)),Assumptions!$D$6,IF(ISNUMBER(SEARCH(Assumptions!$C$7,G4169)),Assumptions!$D$7,"Other Services"))),"Other Services"))</f>
        <v/>
      </c>
    </row>
    <row r="4170" customFormat="false" ht="15" hidden="false" customHeight="false" outlineLevel="0" collapsed="false">
      <c r="F4170" s="41" t="str">
        <f aca="false">IF(E4170="","",IFERROR(VLOOKUP(E4170,Assumptions!$G$5:$H$16,2,0),"Other"))</f>
        <v/>
      </c>
      <c r="J4170" s="41" t="str">
        <f aca="false">IF(G4170="","",IFERROR(IF(ISNUMBER(SEARCH(Assumptions!$C$5,G4170)),Assumptions!$D$5,IF(ISNUMBER(SEARCH(Assumptions!$C$6,G4170)),Assumptions!$D$6,IF(ISNUMBER(SEARCH(Assumptions!$C$7,G4170)),Assumptions!$D$7,"Other Services"))),"Other Services"))</f>
        <v/>
      </c>
    </row>
    <row r="4171" customFormat="false" ht="15" hidden="false" customHeight="false" outlineLevel="0" collapsed="false">
      <c r="F4171" s="41" t="str">
        <f aca="false">IF(E4171="","",IFERROR(VLOOKUP(E4171,Assumptions!$G$5:$H$16,2,0),"Other"))</f>
        <v/>
      </c>
      <c r="J4171" s="41" t="str">
        <f aca="false">IF(G4171="","",IFERROR(IF(ISNUMBER(SEARCH(Assumptions!$C$5,G4171)),Assumptions!$D$5,IF(ISNUMBER(SEARCH(Assumptions!$C$6,G4171)),Assumptions!$D$6,IF(ISNUMBER(SEARCH(Assumptions!$C$7,G4171)),Assumptions!$D$7,"Other Services"))),"Other Services"))</f>
        <v/>
      </c>
    </row>
    <row r="4172" customFormat="false" ht="15" hidden="false" customHeight="false" outlineLevel="0" collapsed="false">
      <c r="F4172" s="41" t="str">
        <f aca="false">IF(E4172="","",IFERROR(VLOOKUP(E4172,Assumptions!$G$5:$H$16,2,0),"Other"))</f>
        <v/>
      </c>
      <c r="J4172" s="41" t="str">
        <f aca="false">IF(G4172="","",IFERROR(IF(ISNUMBER(SEARCH(Assumptions!$C$5,G4172)),Assumptions!$D$5,IF(ISNUMBER(SEARCH(Assumptions!$C$6,G4172)),Assumptions!$D$6,IF(ISNUMBER(SEARCH(Assumptions!$C$7,G4172)),Assumptions!$D$7,"Other Services"))),"Other Services"))</f>
        <v/>
      </c>
    </row>
    <row r="4173" customFormat="false" ht="15" hidden="false" customHeight="false" outlineLevel="0" collapsed="false">
      <c r="F4173" s="41" t="str">
        <f aca="false">IF(E4173="","",IFERROR(VLOOKUP(E4173,Assumptions!$G$5:$H$16,2,0),"Other"))</f>
        <v/>
      </c>
      <c r="J4173" s="41" t="str">
        <f aca="false">IF(G4173="","",IFERROR(IF(ISNUMBER(SEARCH(Assumptions!$C$5,G4173)),Assumptions!$D$5,IF(ISNUMBER(SEARCH(Assumptions!$C$6,G4173)),Assumptions!$D$6,IF(ISNUMBER(SEARCH(Assumptions!$C$7,G4173)),Assumptions!$D$7,"Other Services"))),"Other Services"))</f>
        <v/>
      </c>
    </row>
    <row r="4174" customFormat="false" ht="15" hidden="false" customHeight="false" outlineLevel="0" collapsed="false">
      <c r="F4174" s="41" t="str">
        <f aca="false">IF(E4174="","",IFERROR(VLOOKUP(E4174,Assumptions!$G$5:$H$16,2,0),"Other"))</f>
        <v/>
      </c>
      <c r="J4174" s="41" t="str">
        <f aca="false">IF(G4174="","",IFERROR(IF(ISNUMBER(SEARCH(Assumptions!$C$5,G4174)),Assumptions!$D$5,IF(ISNUMBER(SEARCH(Assumptions!$C$6,G4174)),Assumptions!$D$6,IF(ISNUMBER(SEARCH(Assumptions!$C$7,G4174)),Assumptions!$D$7,"Other Services"))),"Other Services"))</f>
        <v/>
      </c>
    </row>
    <row r="4175" customFormat="false" ht="15" hidden="false" customHeight="false" outlineLevel="0" collapsed="false">
      <c r="F4175" s="41" t="str">
        <f aca="false">IF(E4175="","",IFERROR(VLOOKUP(E4175,Assumptions!$G$5:$H$16,2,0),"Other"))</f>
        <v/>
      </c>
      <c r="J4175" s="41" t="str">
        <f aca="false">IF(G4175="","",IFERROR(IF(ISNUMBER(SEARCH(Assumptions!$C$5,G4175)),Assumptions!$D$5,IF(ISNUMBER(SEARCH(Assumptions!$C$6,G4175)),Assumptions!$D$6,IF(ISNUMBER(SEARCH(Assumptions!$C$7,G4175)),Assumptions!$D$7,"Other Services"))),"Other Services"))</f>
        <v/>
      </c>
    </row>
    <row r="4176" customFormat="false" ht="15" hidden="false" customHeight="false" outlineLevel="0" collapsed="false">
      <c r="F4176" s="41" t="str">
        <f aca="false">IF(E4176="","",IFERROR(VLOOKUP(E4176,Assumptions!$G$5:$H$16,2,0),"Other"))</f>
        <v/>
      </c>
      <c r="J4176" s="41" t="str">
        <f aca="false">IF(G4176="","",IFERROR(IF(ISNUMBER(SEARCH(Assumptions!$C$5,G4176)),Assumptions!$D$5,IF(ISNUMBER(SEARCH(Assumptions!$C$6,G4176)),Assumptions!$D$6,IF(ISNUMBER(SEARCH(Assumptions!$C$7,G4176)),Assumptions!$D$7,"Other Services"))),"Other Services"))</f>
        <v/>
      </c>
    </row>
    <row r="4177" customFormat="false" ht="15" hidden="false" customHeight="false" outlineLevel="0" collapsed="false">
      <c r="F4177" s="41" t="str">
        <f aca="false">IF(E4177="","",IFERROR(VLOOKUP(E4177,Assumptions!$G$5:$H$16,2,0),"Other"))</f>
        <v/>
      </c>
      <c r="J4177" s="41" t="str">
        <f aca="false">IF(G4177="","",IFERROR(IF(ISNUMBER(SEARCH(Assumptions!$C$5,G4177)),Assumptions!$D$5,IF(ISNUMBER(SEARCH(Assumptions!$C$6,G4177)),Assumptions!$D$6,IF(ISNUMBER(SEARCH(Assumptions!$C$7,G4177)),Assumptions!$D$7,"Other Services"))),"Other Services"))</f>
        <v/>
      </c>
    </row>
    <row r="4178" customFormat="false" ht="15" hidden="false" customHeight="false" outlineLevel="0" collapsed="false">
      <c r="F4178" s="41" t="str">
        <f aca="false">IF(E4178="","",IFERROR(VLOOKUP(E4178,Assumptions!$G$5:$H$16,2,0),"Other"))</f>
        <v/>
      </c>
      <c r="J4178" s="41" t="str">
        <f aca="false">IF(G4178="","",IFERROR(IF(ISNUMBER(SEARCH(Assumptions!$C$5,G4178)),Assumptions!$D$5,IF(ISNUMBER(SEARCH(Assumptions!$C$6,G4178)),Assumptions!$D$6,IF(ISNUMBER(SEARCH(Assumptions!$C$7,G4178)),Assumptions!$D$7,"Other Services"))),"Other Services"))</f>
        <v/>
      </c>
    </row>
    <row r="4179" customFormat="false" ht="15" hidden="false" customHeight="false" outlineLevel="0" collapsed="false">
      <c r="F4179" s="41" t="str">
        <f aca="false">IF(E4179="","",IFERROR(VLOOKUP(E4179,Assumptions!$G$5:$H$16,2,0),"Other"))</f>
        <v/>
      </c>
      <c r="J4179" s="41" t="str">
        <f aca="false">IF(G4179="","",IFERROR(IF(ISNUMBER(SEARCH(Assumptions!$C$5,G4179)),Assumptions!$D$5,IF(ISNUMBER(SEARCH(Assumptions!$C$6,G4179)),Assumptions!$D$6,IF(ISNUMBER(SEARCH(Assumptions!$C$7,G4179)),Assumptions!$D$7,"Other Services"))),"Other Services"))</f>
        <v/>
      </c>
    </row>
    <row r="4180" customFormat="false" ht="15" hidden="false" customHeight="false" outlineLevel="0" collapsed="false">
      <c r="F4180" s="41" t="str">
        <f aca="false">IF(E4180="","",IFERROR(VLOOKUP(E4180,Assumptions!$G$5:$H$16,2,0),"Other"))</f>
        <v/>
      </c>
      <c r="J4180" s="41" t="str">
        <f aca="false">IF(G4180="","",IFERROR(IF(ISNUMBER(SEARCH(Assumptions!$C$5,G4180)),Assumptions!$D$5,IF(ISNUMBER(SEARCH(Assumptions!$C$6,G4180)),Assumptions!$D$6,IF(ISNUMBER(SEARCH(Assumptions!$C$7,G4180)),Assumptions!$D$7,"Other Services"))),"Other Services"))</f>
        <v/>
      </c>
    </row>
    <row r="4181" customFormat="false" ht="15" hidden="false" customHeight="false" outlineLevel="0" collapsed="false">
      <c r="F4181" s="41" t="str">
        <f aca="false">IF(E4181="","",IFERROR(VLOOKUP(E4181,Assumptions!$G$5:$H$16,2,0),"Other"))</f>
        <v/>
      </c>
      <c r="J4181" s="41" t="str">
        <f aca="false">IF(G4181="","",IFERROR(IF(ISNUMBER(SEARCH(Assumptions!$C$5,G4181)),Assumptions!$D$5,IF(ISNUMBER(SEARCH(Assumptions!$C$6,G4181)),Assumptions!$D$6,IF(ISNUMBER(SEARCH(Assumptions!$C$7,G4181)),Assumptions!$D$7,"Other Services"))),"Other Services"))</f>
        <v/>
      </c>
    </row>
    <row r="4182" customFormat="false" ht="15" hidden="false" customHeight="false" outlineLevel="0" collapsed="false">
      <c r="F4182" s="41" t="str">
        <f aca="false">IF(E4182="","",IFERROR(VLOOKUP(E4182,Assumptions!$G$5:$H$16,2,0),"Other"))</f>
        <v/>
      </c>
      <c r="J4182" s="41" t="str">
        <f aca="false">IF(G4182="","",IFERROR(IF(ISNUMBER(SEARCH(Assumptions!$C$5,G4182)),Assumptions!$D$5,IF(ISNUMBER(SEARCH(Assumptions!$C$6,G4182)),Assumptions!$D$6,IF(ISNUMBER(SEARCH(Assumptions!$C$7,G4182)),Assumptions!$D$7,"Other Services"))),"Other Services"))</f>
        <v/>
      </c>
    </row>
    <row r="4183" customFormat="false" ht="15" hidden="false" customHeight="false" outlineLevel="0" collapsed="false">
      <c r="F4183" s="41" t="str">
        <f aca="false">IF(E4183="","",IFERROR(VLOOKUP(E4183,Assumptions!$G$5:$H$16,2,0),"Other"))</f>
        <v/>
      </c>
      <c r="J4183" s="41" t="str">
        <f aca="false">IF(G4183="","",IFERROR(IF(ISNUMBER(SEARCH(Assumptions!$C$5,G4183)),Assumptions!$D$5,IF(ISNUMBER(SEARCH(Assumptions!$C$6,G4183)),Assumptions!$D$6,IF(ISNUMBER(SEARCH(Assumptions!$C$7,G4183)),Assumptions!$D$7,"Other Services"))),"Other Services"))</f>
        <v/>
      </c>
    </row>
    <row r="4184" customFormat="false" ht="15" hidden="false" customHeight="false" outlineLevel="0" collapsed="false">
      <c r="F4184" s="41" t="str">
        <f aca="false">IF(E4184="","",IFERROR(VLOOKUP(E4184,Assumptions!$G$5:$H$16,2,0),"Other"))</f>
        <v/>
      </c>
      <c r="J4184" s="41" t="str">
        <f aca="false">IF(G4184="","",IFERROR(IF(ISNUMBER(SEARCH(Assumptions!$C$5,G4184)),Assumptions!$D$5,IF(ISNUMBER(SEARCH(Assumptions!$C$6,G4184)),Assumptions!$D$6,IF(ISNUMBER(SEARCH(Assumptions!$C$7,G4184)),Assumptions!$D$7,"Other Services"))),"Other Services"))</f>
        <v/>
      </c>
    </row>
    <row r="4185" customFormat="false" ht="15" hidden="false" customHeight="false" outlineLevel="0" collapsed="false">
      <c r="F4185" s="41" t="str">
        <f aca="false">IF(E4185="","",IFERROR(VLOOKUP(E4185,Assumptions!$G$5:$H$16,2,0),"Other"))</f>
        <v/>
      </c>
      <c r="J4185" s="41" t="str">
        <f aca="false">IF(G4185="","",IFERROR(IF(ISNUMBER(SEARCH(Assumptions!$C$5,G4185)),Assumptions!$D$5,IF(ISNUMBER(SEARCH(Assumptions!$C$6,G4185)),Assumptions!$D$6,IF(ISNUMBER(SEARCH(Assumptions!$C$7,G4185)),Assumptions!$D$7,"Other Services"))),"Other Services"))</f>
        <v/>
      </c>
    </row>
    <row r="4186" customFormat="false" ht="15" hidden="false" customHeight="false" outlineLevel="0" collapsed="false">
      <c r="F4186" s="41" t="str">
        <f aca="false">IF(E4186="","",IFERROR(VLOOKUP(E4186,Assumptions!$G$5:$H$16,2,0),"Other"))</f>
        <v/>
      </c>
      <c r="J4186" s="41" t="str">
        <f aca="false">IF(G4186="","",IFERROR(IF(ISNUMBER(SEARCH(Assumptions!$C$5,G4186)),Assumptions!$D$5,IF(ISNUMBER(SEARCH(Assumptions!$C$6,G4186)),Assumptions!$D$6,IF(ISNUMBER(SEARCH(Assumptions!$C$7,G4186)),Assumptions!$D$7,"Other Services"))),"Other Services"))</f>
        <v/>
      </c>
    </row>
    <row r="4187" customFormat="false" ht="15" hidden="false" customHeight="false" outlineLevel="0" collapsed="false">
      <c r="F4187" s="41" t="str">
        <f aca="false">IF(E4187="","",IFERROR(VLOOKUP(E4187,Assumptions!$G$5:$H$16,2,0),"Other"))</f>
        <v/>
      </c>
      <c r="J4187" s="41" t="str">
        <f aca="false">IF(G4187="","",IFERROR(IF(ISNUMBER(SEARCH(Assumptions!$C$5,G4187)),Assumptions!$D$5,IF(ISNUMBER(SEARCH(Assumptions!$C$6,G4187)),Assumptions!$D$6,IF(ISNUMBER(SEARCH(Assumptions!$C$7,G4187)),Assumptions!$D$7,"Other Services"))),"Other Services"))</f>
        <v/>
      </c>
    </row>
    <row r="4188" customFormat="false" ht="15" hidden="false" customHeight="false" outlineLevel="0" collapsed="false">
      <c r="F4188" s="41" t="str">
        <f aca="false">IF(E4188="","",IFERROR(VLOOKUP(E4188,Assumptions!$G$5:$H$16,2,0),"Other"))</f>
        <v/>
      </c>
      <c r="J4188" s="41" t="str">
        <f aca="false">IF(G4188="","",IFERROR(IF(ISNUMBER(SEARCH(Assumptions!$C$5,G4188)),Assumptions!$D$5,IF(ISNUMBER(SEARCH(Assumptions!$C$6,G4188)),Assumptions!$D$6,IF(ISNUMBER(SEARCH(Assumptions!$C$7,G4188)),Assumptions!$D$7,"Other Services"))),"Other Services"))</f>
        <v/>
      </c>
    </row>
    <row r="4189" customFormat="false" ht="15" hidden="false" customHeight="false" outlineLevel="0" collapsed="false">
      <c r="F4189" s="41" t="str">
        <f aca="false">IF(E4189="","",IFERROR(VLOOKUP(E4189,Assumptions!$G$5:$H$16,2,0),"Other"))</f>
        <v/>
      </c>
      <c r="J4189" s="41" t="str">
        <f aca="false">IF(G4189="","",IFERROR(IF(ISNUMBER(SEARCH(Assumptions!$C$5,G4189)),Assumptions!$D$5,IF(ISNUMBER(SEARCH(Assumptions!$C$6,G4189)),Assumptions!$D$6,IF(ISNUMBER(SEARCH(Assumptions!$C$7,G4189)),Assumptions!$D$7,"Other Services"))),"Other Services"))</f>
        <v/>
      </c>
    </row>
    <row r="4190" customFormat="false" ht="15" hidden="false" customHeight="false" outlineLevel="0" collapsed="false">
      <c r="F4190" s="41" t="str">
        <f aca="false">IF(E4190="","",IFERROR(VLOOKUP(E4190,Assumptions!$G$5:$H$16,2,0),"Other"))</f>
        <v/>
      </c>
      <c r="J4190" s="41" t="str">
        <f aca="false">IF(G4190="","",IFERROR(IF(ISNUMBER(SEARCH(Assumptions!$C$5,G4190)),Assumptions!$D$5,IF(ISNUMBER(SEARCH(Assumptions!$C$6,G4190)),Assumptions!$D$6,IF(ISNUMBER(SEARCH(Assumptions!$C$7,G4190)),Assumptions!$D$7,"Other Services"))),"Other Services"))</f>
        <v/>
      </c>
    </row>
    <row r="4191" customFormat="false" ht="15" hidden="false" customHeight="false" outlineLevel="0" collapsed="false">
      <c r="F4191" s="41" t="str">
        <f aca="false">IF(E4191="","",IFERROR(VLOOKUP(E4191,Assumptions!$G$5:$H$16,2,0),"Other"))</f>
        <v/>
      </c>
      <c r="J4191" s="41" t="str">
        <f aca="false">IF(G4191="","",IFERROR(IF(ISNUMBER(SEARCH(Assumptions!$C$5,G4191)),Assumptions!$D$5,IF(ISNUMBER(SEARCH(Assumptions!$C$6,G4191)),Assumptions!$D$6,IF(ISNUMBER(SEARCH(Assumptions!$C$7,G4191)),Assumptions!$D$7,"Other Services"))),"Other Services"))</f>
        <v/>
      </c>
    </row>
    <row r="4192" customFormat="false" ht="15" hidden="false" customHeight="false" outlineLevel="0" collapsed="false">
      <c r="F4192" s="41" t="str">
        <f aca="false">IF(E4192="","",IFERROR(VLOOKUP(E4192,Assumptions!$G$5:$H$16,2,0),"Other"))</f>
        <v/>
      </c>
      <c r="J4192" s="41" t="str">
        <f aca="false">IF(G4192="","",IFERROR(IF(ISNUMBER(SEARCH(Assumptions!$C$5,G4192)),Assumptions!$D$5,IF(ISNUMBER(SEARCH(Assumptions!$C$6,G4192)),Assumptions!$D$6,IF(ISNUMBER(SEARCH(Assumptions!$C$7,G4192)),Assumptions!$D$7,"Other Services"))),"Other Services"))</f>
        <v/>
      </c>
    </row>
    <row r="4193" customFormat="false" ht="15" hidden="false" customHeight="false" outlineLevel="0" collapsed="false">
      <c r="F4193" s="41" t="str">
        <f aca="false">IF(E4193="","",IFERROR(VLOOKUP(E4193,Assumptions!$G$5:$H$16,2,0),"Other"))</f>
        <v/>
      </c>
      <c r="J4193" s="41" t="str">
        <f aca="false">IF(G4193="","",IFERROR(IF(ISNUMBER(SEARCH(Assumptions!$C$5,G4193)),Assumptions!$D$5,IF(ISNUMBER(SEARCH(Assumptions!$C$6,G4193)),Assumptions!$D$6,IF(ISNUMBER(SEARCH(Assumptions!$C$7,G4193)),Assumptions!$D$7,"Other Services"))),"Other Services"))</f>
        <v/>
      </c>
    </row>
    <row r="4194" customFormat="false" ht="15" hidden="false" customHeight="false" outlineLevel="0" collapsed="false">
      <c r="F4194" s="41" t="str">
        <f aca="false">IF(E4194="","",IFERROR(VLOOKUP(E4194,Assumptions!$G$5:$H$16,2,0),"Other"))</f>
        <v/>
      </c>
      <c r="J4194" s="41" t="str">
        <f aca="false">IF(G4194="","",IFERROR(IF(ISNUMBER(SEARCH(Assumptions!$C$5,G4194)),Assumptions!$D$5,IF(ISNUMBER(SEARCH(Assumptions!$C$6,G4194)),Assumptions!$D$6,IF(ISNUMBER(SEARCH(Assumptions!$C$7,G4194)),Assumptions!$D$7,"Other Services"))),"Other Services"))</f>
        <v/>
      </c>
    </row>
    <row r="4195" customFormat="false" ht="15" hidden="false" customHeight="false" outlineLevel="0" collapsed="false">
      <c r="F4195" s="41" t="str">
        <f aca="false">IF(E4195="","",IFERROR(VLOOKUP(E4195,Assumptions!$G$5:$H$16,2,0),"Other"))</f>
        <v/>
      </c>
      <c r="J4195" s="41" t="str">
        <f aca="false">IF(G4195="","",IFERROR(IF(ISNUMBER(SEARCH(Assumptions!$C$5,G4195)),Assumptions!$D$5,IF(ISNUMBER(SEARCH(Assumptions!$C$6,G4195)),Assumptions!$D$6,IF(ISNUMBER(SEARCH(Assumptions!$C$7,G4195)),Assumptions!$D$7,"Other Services"))),"Other Services"))</f>
        <v/>
      </c>
    </row>
    <row r="4196" customFormat="false" ht="15" hidden="false" customHeight="false" outlineLevel="0" collapsed="false">
      <c r="F4196" s="41" t="str">
        <f aca="false">IF(E4196="","",IFERROR(VLOOKUP(E4196,Assumptions!$G$5:$H$16,2,0),"Other"))</f>
        <v/>
      </c>
      <c r="J4196" s="41" t="str">
        <f aca="false">IF(G4196="","",IFERROR(IF(ISNUMBER(SEARCH(Assumptions!$C$5,G4196)),Assumptions!$D$5,IF(ISNUMBER(SEARCH(Assumptions!$C$6,G4196)),Assumptions!$D$6,IF(ISNUMBER(SEARCH(Assumptions!$C$7,G4196)),Assumptions!$D$7,"Other Services"))),"Other Services"))</f>
        <v/>
      </c>
    </row>
    <row r="4197" customFormat="false" ht="15" hidden="false" customHeight="false" outlineLevel="0" collapsed="false">
      <c r="F4197" s="41" t="str">
        <f aca="false">IF(E4197="","",IFERROR(VLOOKUP(E4197,Assumptions!$G$5:$H$16,2,0),"Other"))</f>
        <v/>
      </c>
      <c r="J4197" s="41" t="str">
        <f aca="false">IF(G4197="","",IFERROR(IF(ISNUMBER(SEARCH(Assumptions!$C$5,G4197)),Assumptions!$D$5,IF(ISNUMBER(SEARCH(Assumptions!$C$6,G4197)),Assumptions!$D$6,IF(ISNUMBER(SEARCH(Assumptions!$C$7,G4197)),Assumptions!$D$7,"Other Services"))),"Other Services"))</f>
        <v/>
      </c>
    </row>
    <row r="4198" customFormat="false" ht="15" hidden="false" customHeight="false" outlineLevel="0" collapsed="false">
      <c r="F4198" s="41" t="str">
        <f aca="false">IF(E4198="","",IFERROR(VLOOKUP(E4198,Assumptions!$G$5:$H$16,2,0),"Other"))</f>
        <v/>
      </c>
      <c r="J4198" s="41" t="str">
        <f aca="false">IF(G4198="","",IFERROR(IF(ISNUMBER(SEARCH(Assumptions!$C$5,G4198)),Assumptions!$D$5,IF(ISNUMBER(SEARCH(Assumptions!$C$6,G4198)),Assumptions!$D$6,IF(ISNUMBER(SEARCH(Assumptions!$C$7,G4198)),Assumptions!$D$7,"Other Services"))),"Other Services"))</f>
        <v/>
      </c>
    </row>
    <row r="4199" customFormat="false" ht="15" hidden="false" customHeight="false" outlineLevel="0" collapsed="false">
      <c r="F4199" s="41" t="str">
        <f aca="false">IF(E4199="","",IFERROR(VLOOKUP(E4199,Assumptions!$G$5:$H$16,2,0),"Other"))</f>
        <v/>
      </c>
      <c r="J4199" s="41" t="str">
        <f aca="false">IF(G4199="","",IFERROR(IF(ISNUMBER(SEARCH(Assumptions!$C$5,G4199)),Assumptions!$D$5,IF(ISNUMBER(SEARCH(Assumptions!$C$6,G4199)),Assumptions!$D$6,IF(ISNUMBER(SEARCH(Assumptions!$C$7,G4199)),Assumptions!$D$7,"Other Services"))),"Other Services"))</f>
        <v/>
      </c>
    </row>
    <row r="4200" customFormat="false" ht="15" hidden="false" customHeight="false" outlineLevel="0" collapsed="false">
      <c r="F4200" s="41" t="str">
        <f aca="false">IF(E4200="","",IFERROR(VLOOKUP(E4200,Assumptions!$G$5:$H$16,2,0),"Other"))</f>
        <v/>
      </c>
      <c r="J4200" s="41" t="str">
        <f aca="false">IF(G4200="","",IFERROR(IF(ISNUMBER(SEARCH(Assumptions!$C$5,G4200)),Assumptions!$D$5,IF(ISNUMBER(SEARCH(Assumptions!$C$6,G4200)),Assumptions!$D$6,IF(ISNUMBER(SEARCH(Assumptions!$C$7,G4200)),Assumptions!$D$7,"Other Services"))),"Other Services"))</f>
        <v/>
      </c>
    </row>
    <row r="4201" customFormat="false" ht="15" hidden="false" customHeight="false" outlineLevel="0" collapsed="false">
      <c r="F4201" s="41" t="str">
        <f aca="false">IF(E4201="","",IFERROR(VLOOKUP(E4201,Assumptions!$G$5:$H$16,2,0),"Other"))</f>
        <v/>
      </c>
      <c r="J4201" s="41" t="str">
        <f aca="false">IF(G4201="","",IFERROR(IF(ISNUMBER(SEARCH(Assumptions!$C$5,G4201)),Assumptions!$D$5,IF(ISNUMBER(SEARCH(Assumptions!$C$6,G4201)),Assumptions!$D$6,IF(ISNUMBER(SEARCH(Assumptions!$C$7,G4201)),Assumptions!$D$7,"Other Services"))),"Other Services"))</f>
        <v/>
      </c>
    </row>
    <row r="4202" customFormat="false" ht="15" hidden="false" customHeight="false" outlineLevel="0" collapsed="false">
      <c r="F4202" s="41" t="str">
        <f aca="false">IF(E4202="","",IFERROR(VLOOKUP(E4202,Assumptions!$G$5:$H$16,2,0),"Other"))</f>
        <v/>
      </c>
      <c r="J4202" s="41" t="str">
        <f aca="false">IF(G4202="","",IFERROR(IF(ISNUMBER(SEARCH(Assumptions!$C$5,G4202)),Assumptions!$D$5,IF(ISNUMBER(SEARCH(Assumptions!$C$6,G4202)),Assumptions!$D$6,IF(ISNUMBER(SEARCH(Assumptions!$C$7,G4202)),Assumptions!$D$7,"Other Services"))),"Other Services"))</f>
        <v/>
      </c>
    </row>
    <row r="4203" customFormat="false" ht="15" hidden="false" customHeight="false" outlineLevel="0" collapsed="false">
      <c r="F4203" s="41" t="str">
        <f aca="false">IF(E4203="","",IFERROR(VLOOKUP(E4203,Assumptions!$G$5:$H$16,2,0),"Other"))</f>
        <v/>
      </c>
      <c r="J4203" s="41" t="str">
        <f aca="false">IF(G4203="","",IFERROR(IF(ISNUMBER(SEARCH(Assumptions!$C$5,G4203)),Assumptions!$D$5,IF(ISNUMBER(SEARCH(Assumptions!$C$6,G4203)),Assumptions!$D$6,IF(ISNUMBER(SEARCH(Assumptions!$C$7,G4203)),Assumptions!$D$7,"Other Services"))),"Other Services"))</f>
        <v/>
      </c>
    </row>
    <row r="4204" customFormat="false" ht="15" hidden="false" customHeight="false" outlineLevel="0" collapsed="false">
      <c r="F4204" s="41" t="str">
        <f aca="false">IF(E4204="","",IFERROR(VLOOKUP(E4204,Assumptions!$G$5:$H$16,2,0),"Other"))</f>
        <v/>
      </c>
      <c r="J4204" s="41" t="str">
        <f aca="false">IF(G4204="","",IFERROR(IF(ISNUMBER(SEARCH(Assumptions!$C$5,G4204)),Assumptions!$D$5,IF(ISNUMBER(SEARCH(Assumptions!$C$6,G4204)),Assumptions!$D$6,IF(ISNUMBER(SEARCH(Assumptions!$C$7,G4204)),Assumptions!$D$7,"Other Services"))),"Other Services"))</f>
        <v/>
      </c>
    </row>
    <row r="4205" customFormat="false" ht="15" hidden="false" customHeight="false" outlineLevel="0" collapsed="false">
      <c r="F4205" s="41" t="str">
        <f aca="false">IF(E4205="","",IFERROR(VLOOKUP(E4205,Assumptions!$G$5:$H$16,2,0),"Other"))</f>
        <v/>
      </c>
      <c r="J4205" s="41" t="str">
        <f aca="false">IF(G4205="","",IFERROR(IF(ISNUMBER(SEARCH(Assumptions!$C$5,G4205)),Assumptions!$D$5,IF(ISNUMBER(SEARCH(Assumptions!$C$6,G4205)),Assumptions!$D$6,IF(ISNUMBER(SEARCH(Assumptions!$C$7,G4205)),Assumptions!$D$7,"Other Services"))),"Other Services"))</f>
        <v/>
      </c>
    </row>
    <row r="4206" customFormat="false" ht="15" hidden="false" customHeight="false" outlineLevel="0" collapsed="false">
      <c r="F4206" s="41" t="str">
        <f aca="false">IF(E4206="","",IFERROR(VLOOKUP(E4206,Assumptions!$G$5:$H$16,2,0),"Other"))</f>
        <v/>
      </c>
      <c r="J4206" s="41" t="str">
        <f aca="false">IF(G4206="","",IFERROR(IF(ISNUMBER(SEARCH(Assumptions!$C$5,G4206)),Assumptions!$D$5,IF(ISNUMBER(SEARCH(Assumptions!$C$6,G4206)),Assumptions!$D$6,IF(ISNUMBER(SEARCH(Assumptions!$C$7,G4206)),Assumptions!$D$7,"Other Services"))),"Other Services"))</f>
        <v/>
      </c>
    </row>
    <row r="4207" customFormat="false" ht="15" hidden="false" customHeight="false" outlineLevel="0" collapsed="false">
      <c r="F4207" s="41" t="str">
        <f aca="false">IF(E4207="","",IFERROR(VLOOKUP(E4207,Assumptions!$G$5:$H$16,2,0),"Other"))</f>
        <v/>
      </c>
      <c r="J4207" s="41" t="str">
        <f aca="false">IF(G4207="","",IFERROR(IF(ISNUMBER(SEARCH(Assumptions!$C$5,G4207)),Assumptions!$D$5,IF(ISNUMBER(SEARCH(Assumptions!$C$6,G4207)),Assumptions!$D$6,IF(ISNUMBER(SEARCH(Assumptions!$C$7,G4207)),Assumptions!$D$7,"Other Services"))),"Other Services"))</f>
        <v/>
      </c>
    </row>
    <row r="4208" customFormat="false" ht="15" hidden="false" customHeight="false" outlineLevel="0" collapsed="false">
      <c r="F4208" s="41" t="str">
        <f aca="false">IF(E4208="","",IFERROR(VLOOKUP(E4208,Assumptions!$G$5:$H$16,2,0),"Other"))</f>
        <v/>
      </c>
      <c r="J4208" s="41" t="str">
        <f aca="false">IF(G4208="","",IFERROR(IF(ISNUMBER(SEARCH(Assumptions!$C$5,G4208)),Assumptions!$D$5,IF(ISNUMBER(SEARCH(Assumptions!$C$6,G4208)),Assumptions!$D$6,IF(ISNUMBER(SEARCH(Assumptions!$C$7,G4208)),Assumptions!$D$7,"Other Services"))),"Other Services"))</f>
        <v/>
      </c>
    </row>
    <row r="4209" customFormat="false" ht="15" hidden="false" customHeight="false" outlineLevel="0" collapsed="false">
      <c r="F4209" s="41" t="str">
        <f aca="false">IF(E4209="","",IFERROR(VLOOKUP(E4209,Assumptions!$G$5:$H$16,2,0),"Other"))</f>
        <v/>
      </c>
      <c r="J4209" s="41" t="str">
        <f aca="false">IF(G4209="","",IFERROR(IF(ISNUMBER(SEARCH(Assumptions!$C$5,G4209)),Assumptions!$D$5,IF(ISNUMBER(SEARCH(Assumptions!$C$6,G4209)),Assumptions!$D$6,IF(ISNUMBER(SEARCH(Assumptions!$C$7,G4209)),Assumptions!$D$7,"Other Services"))),"Other Services"))</f>
        <v/>
      </c>
    </row>
    <row r="4210" customFormat="false" ht="15" hidden="false" customHeight="false" outlineLevel="0" collapsed="false">
      <c r="F4210" s="41" t="str">
        <f aca="false">IF(E4210="","",IFERROR(VLOOKUP(E4210,Assumptions!$G$5:$H$16,2,0),"Other"))</f>
        <v/>
      </c>
      <c r="J4210" s="41" t="str">
        <f aca="false">IF(G4210="","",IFERROR(IF(ISNUMBER(SEARCH(Assumptions!$C$5,G4210)),Assumptions!$D$5,IF(ISNUMBER(SEARCH(Assumptions!$C$6,G4210)),Assumptions!$D$6,IF(ISNUMBER(SEARCH(Assumptions!$C$7,G4210)),Assumptions!$D$7,"Other Services"))),"Other Services"))</f>
        <v/>
      </c>
    </row>
    <row r="4211" customFormat="false" ht="15" hidden="false" customHeight="false" outlineLevel="0" collapsed="false">
      <c r="F4211" s="41" t="str">
        <f aca="false">IF(E4211="","",IFERROR(VLOOKUP(E4211,Assumptions!$G$5:$H$16,2,0),"Other"))</f>
        <v/>
      </c>
      <c r="J4211" s="41" t="str">
        <f aca="false">IF(G4211="","",IFERROR(IF(ISNUMBER(SEARCH(Assumptions!$C$5,G4211)),Assumptions!$D$5,IF(ISNUMBER(SEARCH(Assumptions!$C$6,G4211)),Assumptions!$D$6,IF(ISNUMBER(SEARCH(Assumptions!$C$7,G4211)),Assumptions!$D$7,"Other Services"))),"Other Services"))</f>
        <v/>
      </c>
    </row>
    <row r="4212" customFormat="false" ht="15" hidden="false" customHeight="false" outlineLevel="0" collapsed="false">
      <c r="F4212" s="41" t="str">
        <f aca="false">IF(E4212="","",IFERROR(VLOOKUP(E4212,Assumptions!$G$5:$H$16,2,0),"Other"))</f>
        <v/>
      </c>
      <c r="J4212" s="41" t="str">
        <f aca="false">IF(G4212="","",IFERROR(IF(ISNUMBER(SEARCH(Assumptions!$C$5,G4212)),Assumptions!$D$5,IF(ISNUMBER(SEARCH(Assumptions!$C$6,G4212)),Assumptions!$D$6,IF(ISNUMBER(SEARCH(Assumptions!$C$7,G4212)),Assumptions!$D$7,"Other Services"))),"Other Services"))</f>
        <v/>
      </c>
    </row>
    <row r="4213" customFormat="false" ht="15" hidden="false" customHeight="false" outlineLevel="0" collapsed="false">
      <c r="F4213" s="41" t="str">
        <f aca="false">IF(E4213="","",IFERROR(VLOOKUP(E4213,Assumptions!$G$5:$H$16,2,0),"Other"))</f>
        <v/>
      </c>
      <c r="J4213" s="41" t="str">
        <f aca="false">IF(G4213="","",IFERROR(IF(ISNUMBER(SEARCH(Assumptions!$C$5,G4213)),Assumptions!$D$5,IF(ISNUMBER(SEARCH(Assumptions!$C$6,G4213)),Assumptions!$D$6,IF(ISNUMBER(SEARCH(Assumptions!$C$7,G4213)),Assumptions!$D$7,"Other Services"))),"Other Services"))</f>
        <v/>
      </c>
    </row>
    <row r="4214" customFormat="false" ht="15" hidden="false" customHeight="false" outlineLevel="0" collapsed="false">
      <c r="F4214" s="41" t="str">
        <f aca="false">IF(E4214="","",IFERROR(VLOOKUP(E4214,Assumptions!$G$5:$H$16,2,0),"Other"))</f>
        <v/>
      </c>
      <c r="J4214" s="41" t="str">
        <f aca="false">IF(G4214="","",IFERROR(IF(ISNUMBER(SEARCH(Assumptions!$C$5,G4214)),Assumptions!$D$5,IF(ISNUMBER(SEARCH(Assumptions!$C$6,G4214)),Assumptions!$D$6,IF(ISNUMBER(SEARCH(Assumptions!$C$7,G4214)),Assumptions!$D$7,"Other Services"))),"Other Services"))</f>
        <v/>
      </c>
    </row>
    <row r="4215" customFormat="false" ht="15" hidden="false" customHeight="false" outlineLevel="0" collapsed="false">
      <c r="F4215" s="41" t="str">
        <f aca="false">IF(E4215="","",IFERROR(VLOOKUP(E4215,Assumptions!$G$5:$H$16,2,0),"Other"))</f>
        <v/>
      </c>
      <c r="J4215" s="41" t="str">
        <f aca="false">IF(G4215="","",IFERROR(IF(ISNUMBER(SEARCH(Assumptions!$C$5,G4215)),Assumptions!$D$5,IF(ISNUMBER(SEARCH(Assumptions!$C$6,G4215)),Assumptions!$D$6,IF(ISNUMBER(SEARCH(Assumptions!$C$7,G4215)),Assumptions!$D$7,"Other Services"))),"Other Services"))</f>
        <v/>
      </c>
    </row>
    <row r="4216" customFormat="false" ht="15" hidden="false" customHeight="false" outlineLevel="0" collapsed="false">
      <c r="F4216" s="41" t="str">
        <f aca="false">IF(E4216="","",IFERROR(VLOOKUP(E4216,Assumptions!$G$5:$H$16,2,0),"Other"))</f>
        <v/>
      </c>
      <c r="J4216" s="41" t="str">
        <f aca="false">IF(G4216="","",IFERROR(IF(ISNUMBER(SEARCH(Assumptions!$C$5,G4216)),Assumptions!$D$5,IF(ISNUMBER(SEARCH(Assumptions!$C$6,G4216)),Assumptions!$D$6,IF(ISNUMBER(SEARCH(Assumptions!$C$7,G4216)),Assumptions!$D$7,"Other Services"))),"Other Services"))</f>
        <v/>
      </c>
    </row>
    <row r="4217" customFormat="false" ht="15" hidden="false" customHeight="false" outlineLevel="0" collapsed="false">
      <c r="F4217" s="41" t="str">
        <f aca="false">IF(E4217="","",IFERROR(VLOOKUP(E4217,Assumptions!$G$5:$H$16,2,0),"Other"))</f>
        <v/>
      </c>
      <c r="J4217" s="41" t="str">
        <f aca="false">IF(G4217="","",IFERROR(IF(ISNUMBER(SEARCH(Assumptions!$C$5,G4217)),Assumptions!$D$5,IF(ISNUMBER(SEARCH(Assumptions!$C$6,G4217)),Assumptions!$D$6,IF(ISNUMBER(SEARCH(Assumptions!$C$7,G4217)),Assumptions!$D$7,"Other Services"))),"Other Services"))</f>
        <v/>
      </c>
    </row>
    <row r="4218" customFormat="false" ht="15" hidden="false" customHeight="false" outlineLevel="0" collapsed="false">
      <c r="F4218" s="41" t="str">
        <f aca="false">IF(E4218="","",IFERROR(VLOOKUP(E4218,Assumptions!$G$5:$H$16,2,0),"Other"))</f>
        <v/>
      </c>
      <c r="J4218" s="41" t="str">
        <f aca="false">IF(G4218="","",IFERROR(IF(ISNUMBER(SEARCH(Assumptions!$C$5,G4218)),Assumptions!$D$5,IF(ISNUMBER(SEARCH(Assumptions!$C$6,G4218)),Assumptions!$D$6,IF(ISNUMBER(SEARCH(Assumptions!$C$7,G4218)),Assumptions!$D$7,"Other Services"))),"Other Services"))</f>
        <v/>
      </c>
    </row>
    <row r="4219" customFormat="false" ht="15" hidden="false" customHeight="false" outlineLevel="0" collapsed="false">
      <c r="F4219" s="41" t="str">
        <f aca="false">IF(E4219="","",IFERROR(VLOOKUP(E4219,Assumptions!$G$5:$H$16,2,0),"Other"))</f>
        <v/>
      </c>
      <c r="J4219" s="41" t="str">
        <f aca="false">IF(G4219="","",IFERROR(IF(ISNUMBER(SEARCH(Assumptions!$C$5,G4219)),Assumptions!$D$5,IF(ISNUMBER(SEARCH(Assumptions!$C$6,G4219)),Assumptions!$D$6,IF(ISNUMBER(SEARCH(Assumptions!$C$7,G4219)),Assumptions!$D$7,"Other Services"))),"Other Services"))</f>
        <v/>
      </c>
    </row>
    <row r="4220" customFormat="false" ht="15" hidden="false" customHeight="false" outlineLevel="0" collapsed="false">
      <c r="F4220" s="41" t="str">
        <f aca="false">IF(E4220="","",IFERROR(VLOOKUP(E4220,Assumptions!$G$5:$H$16,2,0),"Other"))</f>
        <v/>
      </c>
      <c r="J4220" s="41" t="str">
        <f aca="false">IF(G4220="","",IFERROR(IF(ISNUMBER(SEARCH(Assumptions!$C$5,G4220)),Assumptions!$D$5,IF(ISNUMBER(SEARCH(Assumptions!$C$6,G4220)),Assumptions!$D$6,IF(ISNUMBER(SEARCH(Assumptions!$C$7,G4220)),Assumptions!$D$7,"Other Services"))),"Other Services"))</f>
        <v/>
      </c>
    </row>
    <row r="4221" customFormat="false" ht="15" hidden="false" customHeight="false" outlineLevel="0" collapsed="false">
      <c r="F4221" s="41" t="str">
        <f aca="false">IF(E4221="","",IFERROR(VLOOKUP(E4221,Assumptions!$G$5:$H$16,2,0),"Other"))</f>
        <v/>
      </c>
      <c r="J4221" s="41" t="str">
        <f aca="false">IF(G4221="","",IFERROR(IF(ISNUMBER(SEARCH(Assumptions!$C$5,G4221)),Assumptions!$D$5,IF(ISNUMBER(SEARCH(Assumptions!$C$6,G4221)),Assumptions!$D$6,IF(ISNUMBER(SEARCH(Assumptions!$C$7,G4221)),Assumptions!$D$7,"Other Services"))),"Other Services"))</f>
        <v/>
      </c>
    </row>
    <row r="4222" customFormat="false" ht="15" hidden="false" customHeight="false" outlineLevel="0" collapsed="false">
      <c r="F4222" s="41" t="str">
        <f aca="false">IF(E4222="","",IFERROR(VLOOKUP(E4222,Assumptions!$G$5:$H$16,2,0),"Other"))</f>
        <v/>
      </c>
      <c r="J4222" s="41" t="str">
        <f aca="false">IF(G4222="","",IFERROR(IF(ISNUMBER(SEARCH(Assumptions!$C$5,G4222)),Assumptions!$D$5,IF(ISNUMBER(SEARCH(Assumptions!$C$6,G4222)),Assumptions!$D$6,IF(ISNUMBER(SEARCH(Assumptions!$C$7,G4222)),Assumptions!$D$7,"Other Services"))),"Other Services"))</f>
        <v/>
      </c>
    </row>
    <row r="4223" customFormat="false" ht="15" hidden="false" customHeight="false" outlineLevel="0" collapsed="false">
      <c r="F4223" s="41" t="str">
        <f aca="false">IF(E4223="","",IFERROR(VLOOKUP(E4223,Assumptions!$G$5:$H$16,2,0),"Other"))</f>
        <v/>
      </c>
      <c r="J4223" s="41" t="str">
        <f aca="false">IF(G4223="","",IFERROR(IF(ISNUMBER(SEARCH(Assumptions!$C$5,G4223)),Assumptions!$D$5,IF(ISNUMBER(SEARCH(Assumptions!$C$6,G4223)),Assumptions!$D$6,IF(ISNUMBER(SEARCH(Assumptions!$C$7,G4223)),Assumptions!$D$7,"Other Services"))),"Other Services"))</f>
        <v/>
      </c>
    </row>
    <row r="4224" customFormat="false" ht="15" hidden="false" customHeight="false" outlineLevel="0" collapsed="false">
      <c r="F4224" s="41" t="str">
        <f aca="false">IF(E4224="","",IFERROR(VLOOKUP(E4224,Assumptions!$G$5:$H$16,2,0),"Other"))</f>
        <v/>
      </c>
      <c r="J4224" s="41" t="str">
        <f aca="false">IF(G4224="","",IFERROR(IF(ISNUMBER(SEARCH(Assumptions!$C$5,G4224)),Assumptions!$D$5,IF(ISNUMBER(SEARCH(Assumptions!$C$6,G4224)),Assumptions!$D$6,IF(ISNUMBER(SEARCH(Assumptions!$C$7,G4224)),Assumptions!$D$7,"Other Services"))),"Other Services"))</f>
        <v/>
      </c>
    </row>
    <row r="4225" customFormat="false" ht="15" hidden="false" customHeight="false" outlineLevel="0" collapsed="false">
      <c r="F4225" s="41" t="str">
        <f aca="false">IF(E4225="","",IFERROR(VLOOKUP(E4225,Assumptions!$G$5:$H$16,2,0),"Other"))</f>
        <v/>
      </c>
      <c r="J4225" s="41" t="str">
        <f aca="false">IF(G4225="","",IFERROR(IF(ISNUMBER(SEARCH(Assumptions!$C$5,G4225)),Assumptions!$D$5,IF(ISNUMBER(SEARCH(Assumptions!$C$6,G4225)),Assumptions!$D$6,IF(ISNUMBER(SEARCH(Assumptions!$C$7,G4225)),Assumptions!$D$7,"Other Services"))),"Other Services"))</f>
        <v/>
      </c>
    </row>
    <row r="4226" customFormat="false" ht="15" hidden="false" customHeight="false" outlineLevel="0" collapsed="false">
      <c r="F4226" s="41" t="str">
        <f aca="false">IF(E4226="","",IFERROR(VLOOKUP(E4226,Assumptions!$G$5:$H$16,2,0),"Other"))</f>
        <v/>
      </c>
      <c r="J4226" s="41" t="str">
        <f aca="false">IF(G4226="","",IFERROR(IF(ISNUMBER(SEARCH(Assumptions!$C$5,G4226)),Assumptions!$D$5,IF(ISNUMBER(SEARCH(Assumptions!$C$6,G4226)),Assumptions!$D$6,IF(ISNUMBER(SEARCH(Assumptions!$C$7,G4226)),Assumptions!$D$7,"Other Services"))),"Other Services"))</f>
        <v/>
      </c>
    </row>
    <row r="4227" customFormat="false" ht="15" hidden="false" customHeight="false" outlineLevel="0" collapsed="false">
      <c r="F4227" s="41" t="str">
        <f aca="false">IF(E4227="","",IFERROR(VLOOKUP(E4227,Assumptions!$G$5:$H$16,2,0),"Other"))</f>
        <v/>
      </c>
      <c r="J4227" s="41" t="str">
        <f aca="false">IF(G4227="","",IFERROR(IF(ISNUMBER(SEARCH(Assumptions!$C$5,G4227)),Assumptions!$D$5,IF(ISNUMBER(SEARCH(Assumptions!$C$6,G4227)),Assumptions!$D$6,IF(ISNUMBER(SEARCH(Assumptions!$C$7,G4227)),Assumptions!$D$7,"Other Services"))),"Other Services"))</f>
        <v/>
      </c>
    </row>
    <row r="4228" customFormat="false" ht="15" hidden="false" customHeight="false" outlineLevel="0" collapsed="false">
      <c r="F4228" s="41" t="str">
        <f aca="false">IF(E4228="","",IFERROR(VLOOKUP(E4228,Assumptions!$G$5:$H$16,2,0),"Other"))</f>
        <v/>
      </c>
      <c r="J4228" s="41" t="str">
        <f aca="false">IF(G4228="","",IFERROR(IF(ISNUMBER(SEARCH(Assumptions!$C$5,G4228)),Assumptions!$D$5,IF(ISNUMBER(SEARCH(Assumptions!$C$6,G4228)),Assumptions!$D$6,IF(ISNUMBER(SEARCH(Assumptions!$C$7,G4228)),Assumptions!$D$7,"Other Services"))),"Other Services"))</f>
        <v/>
      </c>
    </row>
    <row r="4229" customFormat="false" ht="15" hidden="false" customHeight="false" outlineLevel="0" collapsed="false">
      <c r="F4229" s="41" t="str">
        <f aca="false">IF(E4229="","",IFERROR(VLOOKUP(E4229,Assumptions!$G$5:$H$16,2,0),"Other"))</f>
        <v/>
      </c>
      <c r="J4229" s="41" t="str">
        <f aca="false">IF(G4229="","",IFERROR(IF(ISNUMBER(SEARCH(Assumptions!$C$5,G4229)),Assumptions!$D$5,IF(ISNUMBER(SEARCH(Assumptions!$C$6,G4229)),Assumptions!$D$6,IF(ISNUMBER(SEARCH(Assumptions!$C$7,G4229)),Assumptions!$D$7,"Other Services"))),"Other Services"))</f>
        <v/>
      </c>
    </row>
    <row r="4230" customFormat="false" ht="15" hidden="false" customHeight="false" outlineLevel="0" collapsed="false">
      <c r="F4230" s="41" t="str">
        <f aca="false">IF(E4230="","",IFERROR(VLOOKUP(E4230,Assumptions!$G$5:$H$16,2,0),"Other"))</f>
        <v/>
      </c>
      <c r="J4230" s="41" t="str">
        <f aca="false">IF(G4230="","",IFERROR(IF(ISNUMBER(SEARCH(Assumptions!$C$5,G4230)),Assumptions!$D$5,IF(ISNUMBER(SEARCH(Assumptions!$C$6,G4230)),Assumptions!$D$6,IF(ISNUMBER(SEARCH(Assumptions!$C$7,G4230)),Assumptions!$D$7,"Other Services"))),"Other Services"))</f>
        <v/>
      </c>
    </row>
    <row r="4231" customFormat="false" ht="15" hidden="false" customHeight="false" outlineLevel="0" collapsed="false">
      <c r="F4231" s="41" t="str">
        <f aca="false">IF(E4231="","",IFERROR(VLOOKUP(E4231,Assumptions!$G$5:$H$16,2,0),"Other"))</f>
        <v/>
      </c>
      <c r="J4231" s="41" t="str">
        <f aca="false">IF(G4231="","",IFERROR(IF(ISNUMBER(SEARCH(Assumptions!$C$5,G4231)),Assumptions!$D$5,IF(ISNUMBER(SEARCH(Assumptions!$C$6,G4231)),Assumptions!$D$6,IF(ISNUMBER(SEARCH(Assumptions!$C$7,G4231)),Assumptions!$D$7,"Other Services"))),"Other Services"))</f>
        <v/>
      </c>
    </row>
    <row r="4232" customFormat="false" ht="15" hidden="false" customHeight="false" outlineLevel="0" collapsed="false">
      <c r="F4232" s="41" t="str">
        <f aca="false">IF(E4232="","",IFERROR(VLOOKUP(E4232,Assumptions!$G$5:$H$16,2,0),"Other"))</f>
        <v/>
      </c>
      <c r="J4232" s="41" t="str">
        <f aca="false">IF(G4232="","",IFERROR(IF(ISNUMBER(SEARCH(Assumptions!$C$5,G4232)),Assumptions!$D$5,IF(ISNUMBER(SEARCH(Assumptions!$C$6,G4232)),Assumptions!$D$6,IF(ISNUMBER(SEARCH(Assumptions!$C$7,G4232)),Assumptions!$D$7,"Other Services"))),"Other Services"))</f>
        <v/>
      </c>
    </row>
    <row r="4233" customFormat="false" ht="15" hidden="false" customHeight="false" outlineLevel="0" collapsed="false">
      <c r="F4233" s="41" t="str">
        <f aca="false">IF(E4233="","",IFERROR(VLOOKUP(E4233,Assumptions!$G$5:$H$16,2,0),"Other"))</f>
        <v/>
      </c>
      <c r="J4233" s="41" t="str">
        <f aca="false">IF(G4233="","",IFERROR(IF(ISNUMBER(SEARCH(Assumptions!$C$5,G4233)),Assumptions!$D$5,IF(ISNUMBER(SEARCH(Assumptions!$C$6,G4233)),Assumptions!$D$6,IF(ISNUMBER(SEARCH(Assumptions!$C$7,G4233)),Assumptions!$D$7,"Other Services"))),"Other Services"))</f>
        <v/>
      </c>
    </row>
    <row r="4234" customFormat="false" ht="15" hidden="false" customHeight="false" outlineLevel="0" collapsed="false">
      <c r="F4234" s="41" t="str">
        <f aca="false">IF(E4234="","",IFERROR(VLOOKUP(E4234,Assumptions!$G$5:$H$16,2,0),"Other"))</f>
        <v/>
      </c>
      <c r="J4234" s="41" t="str">
        <f aca="false">IF(G4234="","",IFERROR(IF(ISNUMBER(SEARCH(Assumptions!$C$5,G4234)),Assumptions!$D$5,IF(ISNUMBER(SEARCH(Assumptions!$C$6,G4234)),Assumptions!$D$6,IF(ISNUMBER(SEARCH(Assumptions!$C$7,G4234)),Assumptions!$D$7,"Other Services"))),"Other Services"))</f>
        <v/>
      </c>
    </row>
    <row r="4235" customFormat="false" ht="15" hidden="false" customHeight="false" outlineLevel="0" collapsed="false">
      <c r="F4235" s="41" t="str">
        <f aca="false">IF(E4235="","",IFERROR(VLOOKUP(E4235,Assumptions!$G$5:$H$16,2,0),"Other"))</f>
        <v/>
      </c>
      <c r="J4235" s="41" t="str">
        <f aca="false">IF(G4235="","",IFERROR(IF(ISNUMBER(SEARCH(Assumptions!$C$5,G4235)),Assumptions!$D$5,IF(ISNUMBER(SEARCH(Assumptions!$C$6,G4235)),Assumptions!$D$6,IF(ISNUMBER(SEARCH(Assumptions!$C$7,G4235)),Assumptions!$D$7,"Other Services"))),"Other Services"))</f>
        <v/>
      </c>
    </row>
    <row r="4236" customFormat="false" ht="15" hidden="false" customHeight="false" outlineLevel="0" collapsed="false">
      <c r="F4236" s="41" t="str">
        <f aca="false">IF(E4236="","",IFERROR(VLOOKUP(E4236,Assumptions!$G$5:$H$16,2,0),"Other"))</f>
        <v/>
      </c>
      <c r="J4236" s="41" t="str">
        <f aca="false">IF(G4236="","",IFERROR(IF(ISNUMBER(SEARCH(Assumptions!$C$5,G4236)),Assumptions!$D$5,IF(ISNUMBER(SEARCH(Assumptions!$C$6,G4236)),Assumptions!$D$6,IF(ISNUMBER(SEARCH(Assumptions!$C$7,G4236)),Assumptions!$D$7,"Other Services"))),"Other Services"))</f>
        <v/>
      </c>
    </row>
    <row r="4237" customFormat="false" ht="15" hidden="false" customHeight="false" outlineLevel="0" collapsed="false">
      <c r="F4237" s="41" t="str">
        <f aca="false">IF(E4237="","",IFERROR(VLOOKUP(E4237,Assumptions!$G$5:$H$16,2,0),"Other"))</f>
        <v/>
      </c>
      <c r="J4237" s="41" t="str">
        <f aca="false">IF(G4237="","",IFERROR(IF(ISNUMBER(SEARCH(Assumptions!$C$5,G4237)),Assumptions!$D$5,IF(ISNUMBER(SEARCH(Assumptions!$C$6,G4237)),Assumptions!$D$6,IF(ISNUMBER(SEARCH(Assumptions!$C$7,G4237)),Assumptions!$D$7,"Other Services"))),"Other Services"))</f>
        <v/>
      </c>
    </row>
    <row r="4238" customFormat="false" ht="15" hidden="false" customHeight="false" outlineLevel="0" collapsed="false">
      <c r="F4238" s="41" t="str">
        <f aca="false">IF(E4238="","",IFERROR(VLOOKUP(E4238,Assumptions!$G$5:$H$16,2,0),"Other"))</f>
        <v/>
      </c>
      <c r="J4238" s="41" t="str">
        <f aca="false">IF(G4238="","",IFERROR(IF(ISNUMBER(SEARCH(Assumptions!$C$5,G4238)),Assumptions!$D$5,IF(ISNUMBER(SEARCH(Assumptions!$C$6,G4238)),Assumptions!$D$6,IF(ISNUMBER(SEARCH(Assumptions!$C$7,G4238)),Assumptions!$D$7,"Other Services"))),"Other Services"))</f>
        <v/>
      </c>
    </row>
    <row r="4239" customFormat="false" ht="15" hidden="false" customHeight="false" outlineLevel="0" collapsed="false">
      <c r="F4239" s="41" t="str">
        <f aca="false">IF(E4239="","",IFERROR(VLOOKUP(E4239,Assumptions!$G$5:$H$16,2,0),"Other"))</f>
        <v/>
      </c>
      <c r="J4239" s="41" t="str">
        <f aca="false">IF(G4239="","",IFERROR(IF(ISNUMBER(SEARCH(Assumptions!$C$5,G4239)),Assumptions!$D$5,IF(ISNUMBER(SEARCH(Assumptions!$C$6,G4239)),Assumptions!$D$6,IF(ISNUMBER(SEARCH(Assumptions!$C$7,G4239)),Assumptions!$D$7,"Other Services"))),"Other Services"))</f>
        <v/>
      </c>
    </row>
    <row r="4240" customFormat="false" ht="15" hidden="false" customHeight="false" outlineLevel="0" collapsed="false">
      <c r="F4240" s="41" t="str">
        <f aca="false">IF(E4240="","",IFERROR(VLOOKUP(E4240,Assumptions!$G$5:$H$16,2,0),"Other"))</f>
        <v/>
      </c>
      <c r="J4240" s="41" t="str">
        <f aca="false">IF(G4240="","",IFERROR(IF(ISNUMBER(SEARCH(Assumptions!$C$5,G4240)),Assumptions!$D$5,IF(ISNUMBER(SEARCH(Assumptions!$C$6,G4240)),Assumptions!$D$6,IF(ISNUMBER(SEARCH(Assumptions!$C$7,G4240)),Assumptions!$D$7,"Other Services"))),"Other Services"))</f>
        <v/>
      </c>
    </row>
    <row r="4241" customFormat="false" ht="15" hidden="false" customHeight="false" outlineLevel="0" collapsed="false">
      <c r="F4241" s="41" t="str">
        <f aca="false">IF(E4241="","",IFERROR(VLOOKUP(E4241,Assumptions!$G$5:$H$16,2,0),"Other"))</f>
        <v/>
      </c>
      <c r="J4241" s="41" t="str">
        <f aca="false">IF(G4241="","",IFERROR(IF(ISNUMBER(SEARCH(Assumptions!$C$5,G4241)),Assumptions!$D$5,IF(ISNUMBER(SEARCH(Assumptions!$C$6,G4241)),Assumptions!$D$6,IF(ISNUMBER(SEARCH(Assumptions!$C$7,G4241)),Assumptions!$D$7,"Other Services"))),"Other Services"))</f>
        <v/>
      </c>
    </row>
    <row r="4242" customFormat="false" ht="15" hidden="false" customHeight="false" outlineLevel="0" collapsed="false">
      <c r="F4242" s="41" t="str">
        <f aca="false">IF(E4242="","",IFERROR(VLOOKUP(E4242,Assumptions!$G$5:$H$16,2,0),"Other"))</f>
        <v/>
      </c>
      <c r="J4242" s="41" t="str">
        <f aca="false">IF(G4242="","",IFERROR(IF(ISNUMBER(SEARCH(Assumptions!$C$5,G4242)),Assumptions!$D$5,IF(ISNUMBER(SEARCH(Assumptions!$C$6,G4242)),Assumptions!$D$6,IF(ISNUMBER(SEARCH(Assumptions!$C$7,G4242)),Assumptions!$D$7,"Other Services"))),"Other Services"))</f>
        <v/>
      </c>
    </row>
    <row r="4243" customFormat="false" ht="15" hidden="false" customHeight="false" outlineLevel="0" collapsed="false">
      <c r="F4243" s="41" t="str">
        <f aca="false">IF(E4243="","",IFERROR(VLOOKUP(E4243,Assumptions!$G$5:$H$16,2,0),"Other"))</f>
        <v/>
      </c>
      <c r="J4243" s="41" t="str">
        <f aca="false">IF(G4243="","",IFERROR(IF(ISNUMBER(SEARCH(Assumptions!$C$5,G4243)),Assumptions!$D$5,IF(ISNUMBER(SEARCH(Assumptions!$C$6,G4243)),Assumptions!$D$6,IF(ISNUMBER(SEARCH(Assumptions!$C$7,G4243)),Assumptions!$D$7,"Other Services"))),"Other Services"))</f>
        <v/>
      </c>
    </row>
    <row r="4244" customFormat="false" ht="15" hidden="false" customHeight="false" outlineLevel="0" collapsed="false">
      <c r="F4244" s="41" t="str">
        <f aca="false">IF(E4244="","",IFERROR(VLOOKUP(E4244,Assumptions!$G$5:$H$16,2,0),"Other"))</f>
        <v/>
      </c>
      <c r="J4244" s="41" t="str">
        <f aca="false">IF(G4244="","",IFERROR(IF(ISNUMBER(SEARCH(Assumptions!$C$5,G4244)),Assumptions!$D$5,IF(ISNUMBER(SEARCH(Assumptions!$C$6,G4244)),Assumptions!$D$6,IF(ISNUMBER(SEARCH(Assumptions!$C$7,G4244)),Assumptions!$D$7,"Other Services"))),"Other Services"))</f>
        <v/>
      </c>
    </row>
    <row r="4245" customFormat="false" ht="15" hidden="false" customHeight="false" outlineLevel="0" collapsed="false">
      <c r="F4245" s="41" t="str">
        <f aca="false">IF(E4245="","",IFERROR(VLOOKUP(E4245,Assumptions!$G$5:$H$16,2,0),"Other"))</f>
        <v/>
      </c>
      <c r="J4245" s="41" t="str">
        <f aca="false">IF(G4245="","",IFERROR(IF(ISNUMBER(SEARCH(Assumptions!$C$5,G4245)),Assumptions!$D$5,IF(ISNUMBER(SEARCH(Assumptions!$C$6,G4245)),Assumptions!$D$6,IF(ISNUMBER(SEARCH(Assumptions!$C$7,G4245)),Assumptions!$D$7,"Other Services"))),"Other Services"))</f>
        <v/>
      </c>
    </row>
    <row r="4246" customFormat="false" ht="15" hidden="false" customHeight="false" outlineLevel="0" collapsed="false">
      <c r="F4246" s="41" t="str">
        <f aca="false">IF(E4246="","",IFERROR(VLOOKUP(E4246,Assumptions!$G$5:$H$16,2,0),"Other"))</f>
        <v/>
      </c>
      <c r="J4246" s="41" t="str">
        <f aca="false">IF(G4246="","",IFERROR(IF(ISNUMBER(SEARCH(Assumptions!$C$5,G4246)),Assumptions!$D$5,IF(ISNUMBER(SEARCH(Assumptions!$C$6,G4246)),Assumptions!$D$6,IF(ISNUMBER(SEARCH(Assumptions!$C$7,G4246)),Assumptions!$D$7,"Other Services"))),"Other Services"))</f>
        <v/>
      </c>
    </row>
    <row r="4247" customFormat="false" ht="15" hidden="false" customHeight="false" outlineLevel="0" collapsed="false">
      <c r="F4247" s="41" t="str">
        <f aca="false">IF(E4247="","",IFERROR(VLOOKUP(E4247,Assumptions!$G$5:$H$16,2,0),"Other"))</f>
        <v/>
      </c>
      <c r="J4247" s="41" t="str">
        <f aca="false">IF(G4247="","",IFERROR(IF(ISNUMBER(SEARCH(Assumptions!$C$5,G4247)),Assumptions!$D$5,IF(ISNUMBER(SEARCH(Assumptions!$C$6,G4247)),Assumptions!$D$6,IF(ISNUMBER(SEARCH(Assumptions!$C$7,G4247)),Assumptions!$D$7,"Other Services"))),"Other Services"))</f>
        <v/>
      </c>
    </row>
    <row r="4248" customFormat="false" ht="15" hidden="false" customHeight="false" outlineLevel="0" collapsed="false">
      <c r="F4248" s="41" t="str">
        <f aca="false">IF(E4248="","",IFERROR(VLOOKUP(E4248,Assumptions!$G$5:$H$16,2,0),"Other"))</f>
        <v/>
      </c>
      <c r="J4248" s="41" t="str">
        <f aca="false">IF(G4248="","",IFERROR(IF(ISNUMBER(SEARCH(Assumptions!$C$5,G4248)),Assumptions!$D$5,IF(ISNUMBER(SEARCH(Assumptions!$C$6,G4248)),Assumptions!$D$6,IF(ISNUMBER(SEARCH(Assumptions!$C$7,G4248)),Assumptions!$D$7,"Other Services"))),"Other Services"))</f>
        <v/>
      </c>
    </row>
    <row r="4249" customFormat="false" ht="15" hidden="false" customHeight="false" outlineLevel="0" collapsed="false">
      <c r="F4249" s="41" t="str">
        <f aca="false">IF(E4249="","",IFERROR(VLOOKUP(E4249,Assumptions!$G$5:$H$16,2,0),"Other"))</f>
        <v/>
      </c>
      <c r="J4249" s="41" t="str">
        <f aca="false">IF(G4249="","",IFERROR(IF(ISNUMBER(SEARCH(Assumptions!$C$5,G4249)),Assumptions!$D$5,IF(ISNUMBER(SEARCH(Assumptions!$C$6,G4249)),Assumptions!$D$6,IF(ISNUMBER(SEARCH(Assumptions!$C$7,G4249)),Assumptions!$D$7,"Other Services"))),"Other Services"))</f>
        <v/>
      </c>
    </row>
    <row r="4250" customFormat="false" ht="15" hidden="false" customHeight="false" outlineLevel="0" collapsed="false">
      <c r="F4250" s="41" t="str">
        <f aca="false">IF(E4250="","",IFERROR(VLOOKUP(E4250,Assumptions!$G$5:$H$16,2,0),"Other"))</f>
        <v/>
      </c>
      <c r="J4250" s="41" t="str">
        <f aca="false">IF(G4250="","",IFERROR(IF(ISNUMBER(SEARCH(Assumptions!$C$5,G4250)),Assumptions!$D$5,IF(ISNUMBER(SEARCH(Assumptions!$C$6,G4250)),Assumptions!$D$6,IF(ISNUMBER(SEARCH(Assumptions!$C$7,G4250)),Assumptions!$D$7,"Other Services"))),"Other Services"))</f>
        <v/>
      </c>
    </row>
    <row r="4251" customFormat="false" ht="15" hidden="false" customHeight="false" outlineLevel="0" collapsed="false">
      <c r="F4251" s="41" t="str">
        <f aca="false">IF(E4251="","",IFERROR(VLOOKUP(E4251,Assumptions!$G$5:$H$16,2,0),"Other"))</f>
        <v/>
      </c>
      <c r="J4251" s="41" t="str">
        <f aca="false">IF(G4251="","",IFERROR(IF(ISNUMBER(SEARCH(Assumptions!$C$5,G4251)),Assumptions!$D$5,IF(ISNUMBER(SEARCH(Assumptions!$C$6,G4251)),Assumptions!$D$6,IF(ISNUMBER(SEARCH(Assumptions!$C$7,G4251)),Assumptions!$D$7,"Other Services"))),"Other Services"))</f>
        <v/>
      </c>
    </row>
    <row r="4252" customFormat="false" ht="15" hidden="false" customHeight="false" outlineLevel="0" collapsed="false">
      <c r="F4252" s="41" t="str">
        <f aca="false">IF(E4252="","",IFERROR(VLOOKUP(E4252,Assumptions!$G$5:$H$16,2,0),"Other"))</f>
        <v/>
      </c>
      <c r="J4252" s="41" t="str">
        <f aca="false">IF(G4252="","",IFERROR(IF(ISNUMBER(SEARCH(Assumptions!$C$5,G4252)),Assumptions!$D$5,IF(ISNUMBER(SEARCH(Assumptions!$C$6,G4252)),Assumptions!$D$6,IF(ISNUMBER(SEARCH(Assumptions!$C$7,G4252)),Assumptions!$D$7,"Other Services"))),"Other Services"))</f>
        <v/>
      </c>
    </row>
    <row r="4253" customFormat="false" ht="15" hidden="false" customHeight="false" outlineLevel="0" collapsed="false">
      <c r="F4253" s="41" t="str">
        <f aca="false">IF(E4253="","",IFERROR(VLOOKUP(E4253,Assumptions!$G$5:$H$16,2,0),"Other"))</f>
        <v/>
      </c>
      <c r="J4253" s="41" t="str">
        <f aca="false">IF(G4253="","",IFERROR(IF(ISNUMBER(SEARCH(Assumptions!$C$5,G4253)),Assumptions!$D$5,IF(ISNUMBER(SEARCH(Assumptions!$C$6,G4253)),Assumptions!$D$6,IF(ISNUMBER(SEARCH(Assumptions!$C$7,G4253)),Assumptions!$D$7,"Other Services"))),"Other Services"))</f>
        <v/>
      </c>
    </row>
    <row r="4254" customFormat="false" ht="15" hidden="false" customHeight="false" outlineLevel="0" collapsed="false">
      <c r="F4254" s="41" t="str">
        <f aca="false">IF(E4254="","",IFERROR(VLOOKUP(E4254,Assumptions!$G$5:$H$16,2,0),"Other"))</f>
        <v/>
      </c>
      <c r="J4254" s="41" t="str">
        <f aca="false">IF(G4254="","",IFERROR(IF(ISNUMBER(SEARCH(Assumptions!$C$5,G4254)),Assumptions!$D$5,IF(ISNUMBER(SEARCH(Assumptions!$C$6,G4254)),Assumptions!$D$6,IF(ISNUMBER(SEARCH(Assumptions!$C$7,G4254)),Assumptions!$D$7,"Other Services"))),"Other Services"))</f>
        <v/>
      </c>
    </row>
    <row r="4255" customFormat="false" ht="15" hidden="false" customHeight="false" outlineLevel="0" collapsed="false">
      <c r="F4255" s="41" t="str">
        <f aca="false">IF(E4255="","",IFERROR(VLOOKUP(E4255,Assumptions!$G$5:$H$16,2,0),"Other"))</f>
        <v/>
      </c>
      <c r="J4255" s="41" t="str">
        <f aca="false">IF(G4255="","",IFERROR(IF(ISNUMBER(SEARCH(Assumptions!$C$5,G4255)),Assumptions!$D$5,IF(ISNUMBER(SEARCH(Assumptions!$C$6,G4255)),Assumptions!$D$6,IF(ISNUMBER(SEARCH(Assumptions!$C$7,G4255)),Assumptions!$D$7,"Other Services"))),"Other Services"))</f>
        <v/>
      </c>
    </row>
    <row r="4256" customFormat="false" ht="15" hidden="false" customHeight="false" outlineLevel="0" collapsed="false">
      <c r="F4256" s="41" t="str">
        <f aca="false">IF(E4256="","",IFERROR(VLOOKUP(E4256,Assumptions!$G$5:$H$16,2,0),"Other"))</f>
        <v/>
      </c>
      <c r="J4256" s="41" t="str">
        <f aca="false">IF(G4256="","",IFERROR(IF(ISNUMBER(SEARCH(Assumptions!$C$5,G4256)),Assumptions!$D$5,IF(ISNUMBER(SEARCH(Assumptions!$C$6,G4256)),Assumptions!$D$6,IF(ISNUMBER(SEARCH(Assumptions!$C$7,G4256)),Assumptions!$D$7,"Other Services"))),"Other Services"))</f>
        <v/>
      </c>
    </row>
    <row r="4257" customFormat="false" ht="15" hidden="false" customHeight="false" outlineLevel="0" collapsed="false">
      <c r="F4257" s="41" t="str">
        <f aca="false">IF(E4257="","",IFERROR(VLOOKUP(E4257,Assumptions!$G$5:$H$16,2,0),"Other"))</f>
        <v/>
      </c>
      <c r="J4257" s="41" t="str">
        <f aca="false">IF(G4257="","",IFERROR(IF(ISNUMBER(SEARCH(Assumptions!$C$5,G4257)),Assumptions!$D$5,IF(ISNUMBER(SEARCH(Assumptions!$C$6,G4257)),Assumptions!$D$6,IF(ISNUMBER(SEARCH(Assumptions!$C$7,G4257)),Assumptions!$D$7,"Other Services"))),"Other Services"))</f>
        <v/>
      </c>
    </row>
    <row r="4258" customFormat="false" ht="15" hidden="false" customHeight="false" outlineLevel="0" collapsed="false">
      <c r="F4258" s="41" t="str">
        <f aca="false">IF(E4258="","",IFERROR(VLOOKUP(E4258,Assumptions!$G$5:$H$16,2,0),"Other"))</f>
        <v/>
      </c>
      <c r="J4258" s="41" t="str">
        <f aca="false">IF(G4258="","",IFERROR(IF(ISNUMBER(SEARCH(Assumptions!$C$5,G4258)),Assumptions!$D$5,IF(ISNUMBER(SEARCH(Assumptions!$C$6,G4258)),Assumptions!$D$6,IF(ISNUMBER(SEARCH(Assumptions!$C$7,G4258)),Assumptions!$D$7,"Other Services"))),"Other Services"))</f>
        <v/>
      </c>
    </row>
    <row r="4259" customFormat="false" ht="15" hidden="false" customHeight="false" outlineLevel="0" collapsed="false">
      <c r="F4259" s="41" t="str">
        <f aca="false">IF(E4259="","",IFERROR(VLOOKUP(E4259,Assumptions!$G$5:$H$16,2,0),"Other"))</f>
        <v/>
      </c>
      <c r="J4259" s="41" t="str">
        <f aca="false">IF(G4259="","",IFERROR(IF(ISNUMBER(SEARCH(Assumptions!$C$5,G4259)),Assumptions!$D$5,IF(ISNUMBER(SEARCH(Assumptions!$C$6,G4259)),Assumptions!$D$6,IF(ISNUMBER(SEARCH(Assumptions!$C$7,G4259)),Assumptions!$D$7,"Other Services"))),"Other Services"))</f>
        <v/>
      </c>
    </row>
    <row r="4260" customFormat="false" ht="15" hidden="false" customHeight="false" outlineLevel="0" collapsed="false">
      <c r="F4260" s="41" t="str">
        <f aca="false">IF(E4260="","",IFERROR(VLOOKUP(E4260,Assumptions!$G$5:$H$16,2,0),"Other"))</f>
        <v/>
      </c>
      <c r="J4260" s="41" t="str">
        <f aca="false">IF(G4260="","",IFERROR(IF(ISNUMBER(SEARCH(Assumptions!$C$5,G4260)),Assumptions!$D$5,IF(ISNUMBER(SEARCH(Assumptions!$C$6,G4260)),Assumptions!$D$6,IF(ISNUMBER(SEARCH(Assumptions!$C$7,G4260)),Assumptions!$D$7,"Other Services"))),"Other Services"))</f>
        <v/>
      </c>
    </row>
    <row r="4261" customFormat="false" ht="15" hidden="false" customHeight="false" outlineLevel="0" collapsed="false">
      <c r="F4261" s="41" t="str">
        <f aca="false">IF(E4261="","",IFERROR(VLOOKUP(E4261,Assumptions!$G$5:$H$16,2,0),"Other"))</f>
        <v/>
      </c>
      <c r="J4261" s="41" t="str">
        <f aca="false">IF(G4261="","",IFERROR(IF(ISNUMBER(SEARCH(Assumptions!$C$5,G4261)),Assumptions!$D$5,IF(ISNUMBER(SEARCH(Assumptions!$C$6,G4261)),Assumptions!$D$6,IF(ISNUMBER(SEARCH(Assumptions!$C$7,G4261)),Assumptions!$D$7,"Other Services"))),"Other Services"))</f>
        <v/>
      </c>
    </row>
    <row r="4262" customFormat="false" ht="15" hidden="false" customHeight="false" outlineLevel="0" collapsed="false">
      <c r="F4262" s="41" t="str">
        <f aca="false">IF(E4262="","",IFERROR(VLOOKUP(E4262,Assumptions!$G$5:$H$16,2,0),"Other"))</f>
        <v/>
      </c>
      <c r="J4262" s="41" t="str">
        <f aca="false">IF(G4262="","",IFERROR(IF(ISNUMBER(SEARCH(Assumptions!$C$5,G4262)),Assumptions!$D$5,IF(ISNUMBER(SEARCH(Assumptions!$C$6,G4262)),Assumptions!$D$6,IF(ISNUMBER(SEARCH(Assumptions!$C$7,G4262)),Assumptions!$D$7,"Other Services"))),"Other Services"))</f>
        <v/>
      </c>
    </row>
    <row r="4263" customFormat="false" ht="15" hidden="false" customHeight="false" outlineLevel="0" collapsed="false">
      <c r="F4263" s="41" t="str">
        <f aca="false">IF(E4263="","",IFERROR(VLOOKUP(E4263,Assumptions!$G$5:$H$16,2,0),"Other"))</f>
        <v/>
      </c>
      <c r="J4263" s="41" t="str">
        <f aca="false">IF(G4263="","",IFERROR(IF(ISNUMBER(SEARCH(Assumptions!$C$5,G4263)),Assumptions!$D$5,IF(ISNUMBER(SEARCH(Assumptions!$C$6,G4263)),Assumptions!$D$6,IF(ISNUMBER(SEARCH(Assumptions!$C$7,G4263)),Assumptions!$D$7,"Other Services"))),"Other Services"))</f>
        <v/>
      </c>
    </row>
    <row r="4264" customFormat="false" ht="15" hidden="false" customHeight="false" outlineLevel="0" collapsed="false">
      <c r="F4264" s="41" t="str">
        <f aca="false">IF(E4264="","",IFERROR(VLOOKUP(E4264,Assumptions!$G$5:$H$16,2,0),"Other"))</f>
        <v/>
      </c>
      <c r="J4264" s="41" t="str">
        <f aca="false">IF(G4264="","",IFERROR(IF(ISNUMBER(SEARCH(Assumptions!$C$5,G4264)),Assumptions!$D$5,IF(ISNUMBER(SEARCH(Assumptions!$C$6,G4264)),Assumptions!$D$6,IF(ISNUMBER(SEARCH(Assumptions!$C$7,G4264)),Assumptions!$D$7,"Other Services"))),"Other Services"))</f>
        <v/>
      </c>
    </row>
    <row r="4265" customFormat="false" ht="15" hidden="false" customHeight="false" outlineLevel="0" collapsed="false">
      <c r="F4265" s="41" t="str">
        <f aca="false">IF(E4265="","",IFERROR(VLOOKUP(E4265,Assumptions!$G$5:$H$16,2,0),"Other"))</f>
        <v/>
      </c>
      <c r="J4265" s="41" t="str">
        <f aca="false">IF(G4265="","",IFERROR(IF(ISNUMBER(SEARCH(Assumptions!$C$5,G4265)),Assumptions!$D$5,IF(ISNUMBER(SEARCH(Assumptions!$C$6,G4265)),Assumptions!$D$6,IF(ISNUMBER(SEARCH(Assumptions!$C$7,G4265)),Assumptions!$D$7,"Other Services"))),"Other Services"))</f>
        <v/>
      </c>
    </row>
    <row r="4266" customFormat="false" ht="15" hidden="false" customHeight="false" outlineLevel="0" collapsed="false">
      <c r="F4266" s="41" t="str">
        <f aca="false">IF(E4266="","",IFERROR(VLOOKUP(E4266,Assumptions!$G$5:$H$16,2,0),"Other"))</f>
        <v/>
      </c>
      <c r="J4266" s="41" t="str">
        <f aca="false">IF(G4266="","",IFERROR(IF(ISNUMBER(SEARCH(Assumptions!$C$5,G4266)),Assumptions!$D$5,IF(ISNUMBER(SEARCH(Assumptions!$C$6,G4266)),Assumptions!$D$6,IF(ISNUMBER(SEARCH(Assumptions!$C$7,G4266)),Assumptions!$D$7,"Other Services"))),"Other Services"))</f>
        <v/>
      </c>
    </row>
    <row r="4267" customFormat="false" ht="15" hidden="false" customHeight="false" outlineLevel="0" collapsed="false">
      <c r="F4267" s="41" t="str">
        <f aca="false">IF(E4267="","",IFERROR(VLOOKUP(E4267,Assumptions!$G$5:$H$16,2,0),"Other"))</f>
        <v/>
      </c>
      <c r="J4267" s="41" t="str">
        <f aca="false">IF(G4267="","",IFERROR(IF(ISNUMBER(SEARCH(Assumptions!$C$5,G4267)),Assumptions!$D$5,IF(ISNUMBER(SEARCH(Assumptions!$C$6,G4267)),Assumptions!$D$6,IF(ISNUMBER(SEARCH(Assumptions!$C$7,G4267)),Assumptions!$D$7,"Other Services"))),"Other Services"))</f>
        <v/>
      </c>
    </row>
    <row r="4268" customFormat="false" ht="15" hidden="false" customHeight="false" outlineLevel="0" collapsed="false">
      <c r="F4268" s="41" t="str">
        <f aca="false">IF(E4268="","",IFERROR(VLOOKUP(E4268,Assumptions!$G$5:$H$16,2,0),"Other"))</f>
        <v/>
      </c>
      <c r="J4268" s="41" t="str">
        <f aca="false">IF(G4268="","",IFERROR(IF(ISNUMBER(SEARCH(Assumptions!$C$5,G4268)),Assumptions!$D$5,IF(ISNUMBER(SEARCH(Assumptions!$C$6,G4268)),Assumptions!$D$6,IF(ISNUMBER(SEARCH(Assumptions!$C$7,G4268)),Assumptions!$D$7,"Other Services"))),"Other Services"))</f>
        <v/>
      </c>
    </row>
    <row r="4269" customFormat="false" ht="15" hidden="false" customHeight="false" outlineLevel="0" collapsed="false">
      <c r="F4269" s="41" t="str">
        <f aca="false">IF(E4269="","",IFERROR(VLOOKUP(E4269,Assumptions!$G$5:$H$16,2,0),"Other"))</f>
        <v/>
      </c>
      <c r="J4269" s="41" t="str">
        <f aca="false">IF(G4269="","",IFERROR(IF(ISNUMBER(SEARCH(Assumptions!$C$5,G4269)),Assumptions!$D$5,IF(ISNUMBER(SEARCH(Assumptions!$C$6,G4269)),Assumptions!$D$6,IF(ISNUMBER(SEARCH(Assumptions!$C$7,G4269)),Assumptions!$D$7,"Other Services"))),"Other Services"))</f>
        <v/>
      </c>
    </row>
    <row r="4270" customFormat="false" ht="15" hidden="false" customHeight="false" outlineLevel="0" collapsed="false">
      <c r="F4270" s="41" t="str">
        <f aca="false">IF(E4270="","",IFERROR(VLOOKUP(E4270,Assumptions!$G$5:$H$16,2,0),"Other"))</f>
        <v/>
      </c>
      <c r="J4270" s="41" t="str">
        <f aca="false">IF(G4270="","",IFERROR(IF(ISNUMBER(SEARCH(Assumptions!$C$5,G4270)),Assumptions!$D$5,IF(ISNUMBER(SEARCH(Assumptions!$C$6,G4270)),Assumptions!$D$6,IF(ISNUMBER(SEARCH(Assumptions!$C$7,G4270)),Assumptions!$D$7,"Other Services"))),"Other Services"))</f>
        <v/>
      </c>
    </row>
    <row r="4271" customFormat="false" ht="15" hidden="false" customHeight="false" outlineLevel="0" collapsed="false">
      <c r="F4271" s="41" t="str">
        <f aca="false">IF(E4271="","",IFERROR(VLOOKUP(E4271,Assumptions!$G$5:$H$16,2,0),"Other"))</f>
        <v/>
      </c>
      <c r="J4271" s="41" t="str">
        <f aca="false">IF(G4271="","",IFERROR(IF(ISNUMBER(SEARCH(Assumptions!$C$5,G4271)),Assumptions!$D$5,IF(ISNUMBER(SEARCH(Assumptions!$C$6,G4271)),Assumptions!$D$6,IF(ISNUMBER(SEARCH(Assumptions!$C$7,G4271)),Assumptions!$D$7,"Other Services"))),"Other Services"))</f>
        <v/>
      </c>
    </row>
    <row r="4272" customFormat="false" ht="15" hidden="false" customHeight="false" outlineLevel="0" collapsed="false">
      <c r="F4272" s="41" t="str">
        <f aca="false">IF(E4272="","",IFERROR(VLOOKUP(E4272,Assumptions!$G$5:$H$16,2,0),"Other"))</f>
        <v/>
      </c>
      <c r="J4272" s="41" t="str">
        <f aca="false">IF(G4272="","",IFERROR(IF(ISNUMBER(SEARCH(Assumptions!$C$5,G4272)),Assumptions!$D$5,IF(ISNUMBER(SEARCH(Assumptions!$C$6,G4272)),Assumptions!$D$6,IF(ISNUMBER(SEARCH(Assumptions!$C$7,G4272)),Assumptions!$D$7,"Other Services"))),"Other Services"))</f>
        <v/>
      </c>
    </row>
    <row r="4273" customFormat="false" ht="15" hidden="false" customHeight="false" outlineLevel="0" collapsed="false">
      <c r="F4273" s="41" t="str">
        <f aca="false">IF(E4273="","",IFERROR(VLOOKUP(E4273,Assumptions!$G$5:$H$16,2,0),"Other"))</f>
        <v/>
      </c>
      <c r="J4273" s="41" t="str">
        <f aca="false">IF(G4273="","",IFERROR(IF(ISNUMBER(SEARCH(Assumptions!$C$5,G4273)),Assumptions!$D$5,IF(ISNUMBER(SEARCH(Assumptions!$C$6,G4273)),Assumptions!$D$6,IF(ISNUMBER(SEARCH(Assumptions!$C$7,G4273)),Assumptions!$D$7,"Other Services"))),"Other Services"))</f>
        <v/>
      </c>
    </row>
    <row r="4274" customFormat="false" ht="15" hidden="false" customHeight="false" outlineLevel="0" collapsed="false">
      <c r="F4274" s="41" t="str">
        <f aca="false">IF(E4274="","",IFERROR(VLOOKUP(E4274,Assumptions!$G$5:$H$16,2,0),"Other"))</f>
        <v/>
      </c>
      <c r="J4274" s="41" t="str">
        <f aca="false">IF(G4274="","",IFERROR(IF(ISNUMBER(SEARCH(Assumptions!$C$5,G4274)),Assumptions!$D$5,IF(ISNUMBER(SEARCH(Assumptions!$C$6,G4274)),Assumptions!$D$6,IF(ISNUMBER(SEARCH(Assumptions!$C$7,G4274)),Assumptions!$D$7,"Other Services"))),"Other Services"))</f>
        <v/>
      </c>
    </row>
    <row r="4275" customFormat="false" ht="15" hidden="false" customHeight="false" outlineLevel="0" collapsed="false">
      <c r="F4275" s="41" t="str">
        <f aca="false">IF(E4275="","",IFERROR(VLOOKUP(E4275,Assumptions!$G$5:$H$16,2,0),"Other"))</f>
        <v/>
      </c>
      <c r="J4275" s="41" t="str">
        <f aca="false">IF(G4275="","",IFERROR(IF(ISNUMBER(SEARCH(Assumptions!$C$5,G4275)),Assumptions!$D$5,IF(ISNUMBER(SEARCH(Assumptions!$C$6,G4275)),Assumptions!$D$6,IF(ISNUMBER(SEARCH(Assumptions!$C$7,G4275)),Assumptions!$D$7,"Other Services"))),"Other Services"))</f>
        <v/>
      </c>
    </row>
    <row r="4276" customFormat="false" ht="15" hidden="false" customHeight="false" outlineLevel="0" collapsed="false">
      <c r="F4276" s="41" t="str">
        <f aca="false">IF(E4276="","",IFERROR(VLOOKUP(E4276,Assumptions!$G$5:$H$16,2,0),"Other"))</f>
        <v/>
      </c>
      <c r="J4276" s="41" t="str">
        <f aca="false">IF(G4276="","",IFERROR(IF(ISNUMBER(SEARCH(Assumptions!$C$5,G4276)),Assumptions!$D$5,IF(ISNUMBER(SEARCH(Assumptions!$C$6,G4276)),Assumptions!$D$6,IF(ISNUMBER(SEARCH(Assumptions!$C$7,G4276)),Assumptions!$D$7,"Other Services"))),"Other Services"))</f>
        <v/>
      </c>
    </row>
    <row r="4277" customFormat="false" ht="15" hidden="false" customHeight="false" outlineLevel="0" collapsed="false">
      <c r="F4277" s="41" t="str">
        <f aca="false">IF(E4277="","",IFERROR(VLOOKUP(E4277,Assumptions!$G$5:$H$16,2,0),"Other"))</f>
        <v/>
      </c>
      <c r="J4277" s="41" t="str">
        <f aca="false">IF(G4277="","",IFERROR(IF(ISNUMBER(SEARCH(Assumptions!$C$5,G4277)),Assumptions!$D$5,IF(ISNUMBER(SEARCH(Assumptions!$C$6,G4277)),Assumptions!$D$6,IF(ISNUMBER(SEARCH(Assumptions!$C$7,G4277)),Assumptions!$D$7,"Other Services"))),"Other Services"))</f>
        <v/>
      </c>
    </row>
    <row r="4278" customFormat="false" ht="15" hidden="false" customHeight="false" outlineLevel="0" collapsed="false">
      <c r="F4278" s="41" t="str">
        <f aca="false">IF(E4278="","",IFERROR(VLOOKUP(E4278,Assumptions!$G$5:$H$16,2,0),"Other"))</f>
        <v/>
      </c>
      <c r="J4278" s="41" t="str">
        <f aca="false">IF(G4278="","",IFERROR(IF(ISNUMBER(SEARCH(Assumptions!$C$5,G4278)),Assumptions!$D$5,IF(ISNUMBER(SEARCH(Assumptions!$C$6,G4278)),Assumptions!$D$6,IF(ISNUMBER(SEARCH(Assumptions!$C$7,G4278)),Assumptions!$D$7,"Other Services"))),"Other Services"))</f>
        <v/>
      </c>
    </row>
    <row r="4279" customFormat="false" ht="15" hidden="false" customHeight="false" outlineLevel="0" collapsed="false">
      <c r="F4279" s="41" t="str">
        <f aca="false">IF(E4279="","",IFERROR(VLOOKUP(E4279,Assumptions!$G$5:$H$16,2,0),"Other"))</f>
        <v/>
      </c>
      <c r="J4279" s="41" t="str">
        <f aca="false">IF(G4279="","",IFERROR(IF(ISNUMBER(SEARCH(Assumptions!$C$5,G4279)),Assumptions!$D$5,IF(ISNUMBER(SEARCH(Assumptions!$C$6,G4279)),Assumptions!$D$6,IF(ISNUMBER(SEARCH(Assumptions!$C$7,G4279)),Assumptions!$D$7,"Other Services"))),"Other Services"))</f>
        <v/>
      </c>
    </row>
    <row r="4280" customFormat="false" ht="15" hidden="false" customHeight="false" outlineLevel="0" collapsed="false">
      <c r="F4280" s="41" t="str">
        <f aca="false">IF(E4280="","",IFERROR(VLOOKUP(E4280,Assumptions!$G$5:$H$16,2,0),"Other"))</f>
        <v/>
      </c>
      <c r="J4280" s="41" t="str">
        <f aca="false">IF(G4280="","",IFERROR(IF(ISNUMBER(SEARCH(Assumptions!$C$5,G4280)),Assumptions!$D$5,IF(ISNUMBER(SEARCH(Assumptions!$C$6,G4280)),Assumptions!$D$6,IF(ISNUMBER(SEARCH(Assumptions!$C$7,G4280)),Assumptions!$D$7,"Other Services"))),"Other Services"))</f>
        <v/>
      </c>
    </row>
    <row r="4281" customFormat="false" ht="15" hidden="false" customHeight="false" outlineLevel="0" collapsed="false">
      <c r="F4281" s="41" t="str">
        <f aca="false">IF(E4281="","",IFERROR(VLOOKUP(E4281,Assumptions!$G$5:$H$16,2,0),"Other"))</f>
        <v/>
      </c>
      <c r="J4281" s="41" t="str">
        <f aca="false">IF(G4281="","",IFERROR(IF(ISNUMBER(SEARCH(Assumptions!$C$5,G4281)),Assumptions!$D$5,IF(ISNUMBER(SEARCH(Assumptions!$C$6,G4281)),Assumptions!$D$6,IF(ISNUMBER(SEARCH(Assumptions!$C$7,G4281)),Assumptions!$D$7,"Other Services"))),"Other Services"))</f>
        <v/>
      </c>
    </row>
    <row r="4282" customFormat="false" ht="15" hidden="false" customHeight="false" outlineLevel="0" collapsed="false">
      <c r="F4282" s="41" t="str">
        <f aca="false">IF(E4282="","",IFERROR(VLOOKUP(E4282,Assumptions!$G$5:$H$16,2,0),"Other"))</f>
        <v/>
      </c>
      <c r="J4282" s="41" t="str">
        <f aca="false">IF(G4282="","",IFERROR(IF(ISNUMBER(SEARCH(Assumptions!$C$5,G4282)),Assumptions!$D$5,IF(ISNUMBER(SEARCH(Assumptions!$C$6,G4282)),Assumptions!$D$6,IF(ISNUMBER(SEARCH(Assumptions!$C$7,G4282)),Assumptions!$D$7,"Other Services"))),"Other Services"))</f>
        <v/>
      </c>
    </row>
    <row r="4283" customFormat="false" ht="15" hidden="false" customHeight="false" outlineLevel="0" collapsed="false">
      <c r="F4283" s="41" t="str">
        <f aca="false">IF(E4283="","",IFERROR(VLOOKUP(E4283,Assumptions!$G$5:$H$16,2,0),"Other"))</f>
        <v/>
      </c>
      <c r="J4283" s="41" t="str">
        <f aca="false">IF(G4283="","",IFERROR(IF(ISNUMBER(SEARCH(Assumptions!$C$5,G4283)),Assumptions!$D$5,IF(ISNUMBER(SEARCH(Assumptions!$C$6,G4283)),Assumptions!$D$6,IF(ISNUMBER(SEARCH(Assumptions!$C$7,G4283)),Assumptions!$D$7,"Other Services"))),"Other Services"))</f>
        <v/>
      </c>
    </row>
    <row r="4284" customFormat="false" ht="15" hidden="false" customHeight="false" outlineLevel="0" collapsed="false">
      <c r="F4284" s="41" t="str">
        <f aca="false">IF(E4284="","",IFERROR(VLOOKUP(E4284,Assumptions!$G$5:$H$16,2,0),"Other"))</f>
        <v/>
      </c>
      <c r="J4284" s="41" t="str">
        <f aca="false">IF(G4284="","",IFERROR(IF(ISNUMBER(SEARCH(Assumptions!$C$5,G4284)),Assumptions!$D$5,IF(ISNUMBER(SEARCH(Assumptions!$C$6,G4284)),Assumptions!$D$6,IF(ISNUMBER(SEARCH(Assumptions!$C$7,G4284)),Assumptions!$D$7,"Other Services"))),"Other Services"))</f>
        <v/>
      </c>
    </row>
    <row r="4285" customFormat="false" ht="15" hidden="false" customHeight="false" outlineLevel="0" collapsed="false">
      <c r="F4285" s="41" t="str">
        <f aca="false">IF(E4285="","",IFERROR(VLOOKUP(E4285,Assumptions!$G$5:$H$16,2,0),"Other"))</f>
        <v/>
      </c>
      <c r="J4285" s="41" t="str">
        <f aca="false">IF(G4285="","",IFERROR(IF(ISNUMBER(SEARCH(Assumptions!$C$5,G4285)),Assumptions!$D$5,IF(ISNUMBER(SEARCH(Assumptions!$C$6,G4285)),Assumptions!$D$6,IF(ISNUMBER(SEARCH(Assumptions!$C$7,G4285)),Assumptions!$D$7,"Other Services"))),"Other Services"))</f>
        <v/>
      </c>
    </row>
    <row r="4286" customFormat="false" ht="15" hidden="false" customHeight="false" outlineLevel="0" collapsed="false">
      <c r="F4286" s="41" t="str">
        <f aca="false">IF(E4286="","",IFERROR(VLOOKUP(E4286,Assumptions!$G$5:$H$16,2,0),"Other"))</f>
        <v/>
      </c>
      <c r="J4286" s="41" t="str">
        <f aca="false">IF(G4286="","",IFERROR(IF(ISNUMBER(SEARCH(Assumptions!$C$5,G4286)),Assumptions!$D$5,IF(ISNUMBER(SEARCH(Assumptions!$C$6,G4286)),Assumptions!$D$6,IF(ISNUMBER(SEARCH(Assumptions!$C$7,G4286)),Assumptions!$D$7,"Other Services"))),"Other Services"))</f>
        <v/>
      </c>
    </row>
    <row r="4287" customFormat="false" ht="15" hidden="false" customHeight="false" outlineLevel="0" collapsed="false">
      <c r="F4287" s="41" t="str">
        <f aca="false">IF(E4287="","",IFERROR(VLOOKUP(E4287,Assumptions!$G$5:$H$16,2,0),"Other"))</f>
        <v/>
      </c>
      <c r="J4287" s="41" t="str">
        <f aca="false">IF(G4287="","",IFERROR(IF(ISNUMBER(SEARCH(Assumptions!$C$5,G4287)),Assumptions!$D$5,IF(ISNUMBER(SEARCH(Assumptions!$C$6,G4287)),Assumptions!$D$6,IF(ISNUMBER(SEARCH(Assumptions!$C$7,G4287)),Assumptions!$D$7,"Other Services"))),"Other Services"))</f>
        <v/>
      </c>
    </row>
    <row r="4288" customFormat="false" ht="15" hidden="false" customHeight="false" outlineLevel="0" collapsed="false">
      <c r="F4288" s="41" t="str">
        <f aca="false">IF(E4288="","",IFERROR(VLOOKUP(E4288,Assumptions!$G$5:$H$16,2,0),"Other"))</f>
        <v/>
      </c>
      <c r="J4288" s="41" t="str">
        <f aca="false">IF(G4288="","",IFERROR(IF(ISNUMBER(SEARCH(Assumptions!$C$5,G4288)),Assumptions!$D$5,IF(ISNUMBER(SEARCH(Assumptions!$C$6,G4288)),Assumptions!$D$6,IF(ISNUMBER(SEARCH(Assumptions!$C$7,G4288)),Assumptions!$D$7,"Other Services"))),"Other Services"))</f>
        <v/>
      </c>
    </row>
    <row r="4289" customFormat="false" ht="15" hidden="false" customHeight="false" outlineLevel="0" collapsed="false">
      <c r="F4289" s="41" t="str">
        <f aca="false">IF(E4289="","",IFERROR(VLOOKUP(E4289,Assumptions!$G$5:$H$16,2,0),"Other"))</f>
        <v/>
      </c>
      <c r="J4289" s="41" t="str">
        <f aca="false">IF(G4289="","",IFERROR(IF(ISNUMBER(SEARCH(Assumptions!$C$5,G4289)),Assumptions!$D$5,IF(ISNUMBER(SEARCH(Assumptions!$C$6,G4289)),Assumptions!$D$6,IF(ISNUMBER(SEARCH(Assumptions!$C$7,G4289)),Assumptions!$D$7,"Other Services"))),"Other Services"))</f>
        <v/>
      </c>
    </row>
    <row r="4290" customFormat="false" ht="15" hidden="false" customHeight="false" outlineLevel="0" collapsed="false">
      <c r="F4290" s="41" t="str">
        <f aca="false">IF(E4290="","",IFERROR(VLOOKUP(E4290,Assumptions!$G$5:$H$16,2,0),"Other"))</f>
        <v/>
      </c>
      <c r="J4290" s="41" t="str">
        <f aca="false">IF(G4290="","",IFERROR(IF(ISNUMBER(SEARCH(Assumptions!$C$5,G4290)),Assumptions!$D$5,IF(ISNUMBER(SEARCH(Assumptions!$C$6,G4290)),Assumptions!$D$6,IF(ISNUMBER(SEARCH(Assumptions!$C$7,G4290)),Assumptions!$D$7,"Other Services"))),"Other Services"))</f>
        <v/>
      </c>
    </row>
    <row r="4291" customFormat="false" ht="15" hidden="false" customHeight="false" outlineLevel="0" collapsed="false">
      <c r="F4291" s="41" t="str">
        <f aca="false">IF(E4291="","",IFERROR(VLOOKUP(E4291,Assumptions!$G$5:$H$16,2,0),"Other"))</f>
        <v/>
      </c>
      <c r="J4291" s="41" t="str">
        <f aca="false">IF(G4291="","",IFERROR(IF(ISNUMBER(SEARCH(Assumptions!$C$5,G4291)),Assumptions!$D$5,IF(ISNUMBER(SEARCH(Assumptions!$C$6,G4291)),Assumptions!$D$6,IF(ISNUMBER(SEARCH(Assumptions!$C$7,G4291)),Assumptions!$D$7,"Other Services"))),"Other Services"))</f>
        <v/>
      </c>
    </row>
    <row r="4292" customFormat="false" ht="15" hidden="false" customHeight="false" outlineLevel="0" collapsed="false">
      <c r="F4292" s="41" t="str">
        <f aca="false">IF(E4292="","",IFERROR(VLOOKUP(E4292,Assumptions!$G$5:$H$16,2,0),"Other"))</f>
        <v/>
      </c>
      <c r="J4292" s="41" t="str">
        <f aca="false">IF(G4292="","",IFERROR(IF(ISNUMBER(SEARCH(Assumptions!$C$5,G4292)),Assumptions!$D$5,IF(ISNUMBER(SEARCH(Assumptions!$C$6,G4292)),Assumptions!$D$6,IF(ISNUMBER(SEARCH(Assumptions!$C$7,G4292)),Assumptions!$D$7,"Other Services"))),"Other Services"))</f>
        <v/>
      </c>
    </row>
    <row r="4293" customFormat="false" ht="15" hidden="false" customHeight="false" outlineLevel="0" collapsed="false">
      <c r="F4293" s="41" t="str">
        <f aca="false">IF(E4293="","",IFERROR(VLOOKUP(E4293,Assumptions!$G$5:$H$16,2,0),"Other"))</f>
        <v/>
      </c>
      <c r="J4293" s="41" t="str">
        <f aca="false">IF(G4293="","",IFERROR(IF(ISNUMBER(SEARCH(Assumptions!$C$5,G4293)),Assumptions!$D$5,IF(ISNUMBER(SEARCH(Assumptions!$C$6,G4293)),Assumptions!$D$6,IF(ISNUMBER(SEARCH(Assumptions!$C$7,G4293)),Assumptions!$D$7,"Other Services"))),"Other Services"))</f>
        <v/>
      </c>
    </row>
    <row r="4294" customFormat="false" ht="15" hidden="false" customHeight="false" outlineLevel="0" collapsed="false">
      <c r="F4294" s="41" t="str">
        <f aca="false">IF(E4294="","",IFERROR(VLOOKUP(E4294,Assumptions!$G$5:$H$16,2,0),"Other"))</f>
        <v/>
      </c>
      <c r="J4294" s="41" t="str">
        <f aca="false">IF(G4294="","",IFERROR(IF(ISNUMBER(SEARCH(Assumptions!$C$5,G4294)),Assumptions!$D$5,IF(ISNUMBER(SEARCH(Assumptions!$C$6,G4294)),Assumptions!$D$6,IF(ISNUMBER(SEARCH(Assumptions!$C$7,G4294)),Assumptions!$D$7,"Other Services"))),"Other Services"))</f>
        <v/>
      </c>
    </row>
    <row r="4295" customFormat="false" ht="15" hidden="false" customHeight="false" outlineLevel="0" collapsed="false">
      <c r="F4295" s="41" t="str">
        <f aca="false">IF(E4295="","",IFERROR(VLOOKUP(E4295,Assumptions!$G$5:$H$16,2,0),"Other"))</f>
        <v/>
      </c>
      <c r="J4295" s="41" t="str">
        <f aca="false">IF(G4295="","",IFERROR(IF(ISNUMBER(SEARCH(Assumptions!$C$5,G4295)),Assumptions!$D$5,IF(ISNUMBER(SEARCH(Assumptions!$C$6,G4295)),Assumptions!$D$6,IF(ISNUMBER(SEARCH(Assumptions!$C$7,G4295)),Assumptions!$D$7,"Other Services"))),"Other Services"))</f>
        <v/>
      </c>
    </row>
    <row r="4296" customFormat="false" ht="15" hidden="false" customHeight="false" outlineLevel="0" collapsed="false">
      <c r="F4296" s="41" t="str">
        <f aca="false">IF(E4296="","",IFERROR(VLOOKUP(E4296,Assumptions!$G$5:$H$16,2,0),"Other"))</f>
        <v/>
      </c>
      <c r="J4296" s="41" t="str">
        <f aca="false">IF(G4296="","",IFERROR(IF(ISNUMBER(SEARCH(Assumptions!$C$5,G4296)),Assumptions!$D$5,IF(ISNUMBER(SEARCH(Assumptions!$C$6,G4296)),Assumptions!$D$6,IF(ISNUMBER(SEARCH(Assumptions!$C$7,G4296)),Assumptions!$D$7,"Other Services"))),"Other Services"))</f>
        <v/>
      </c>
    </row>
    <row r="4297" customFormat="false" ht="15" hidden="false" customHeight="false" outlineLevel="0" collapsed="false">
      <c r="F4297" s="41" t="str">
        <f aca="false">IF(E4297="","",IFERROR(VLOOKUP(E4297,Assumptions!$G$5:$H$16,2,0),"Other"))</f>
        <v/>
      </c>
      <c r="J4297" s="41" t="str">
        <f aca="false">IF(G4297="","",IFERROR(IF(ISNUMBER(SEARCH(Assumptions!$C$5,G4297)),Assumptions!$D$5,IF(ISNUMBER(SEARCH(Assumptions!$C$6,G4297)),Assumptions!$D$6,IF(ISNUMBER(SEARCH(Assumptions!$C$7,G4297)),Assumptions!$D$7,"Other Services"))),"Other Services"))</f>
        <v/>
      </c>
    </row>
    <row r="4298" customFormat="false" ht="15" hidden="false" customHeight="false" outlineLevel="0" collapsed="false">
      <c r="F4298" s="41" t="str">
        <f aca="false">IF(E4298="","",IFERROR(VLOOKUP(E4298,Assumptions!$G$5:$H$16,2,0),"Other"))</f>
        <v/>
      </c>
      <c r="J4298" s="41" t="str">
        <f aca="false">IF(G4298="","",IFERROR(IF(ISNUMBER(SEARCH(Assumptions!$C$5,G4298)),Assumptions!$D$5,IF(ISNUMBER(SEARCH(Assumptions!$C$6,G4298)),Assumptions!$D$6,IF(ISNUMBER(SEARCH(Assumptions!$C$7,G4298)),Assumptions!$D$7,"Other Services"))),"Other Services"))</f>
        <v/>
      </c>
    </row>
    <row r="4299" customFormat="false" ht="15" hidden="false" customHeight="false" outlineLevel="0" collapsed="false">
      <c r="F4299" s="41" t="str">
        <f aca="false">IF(E4299="","",IFERROR(VLOOKUP(E4299,Assumptions!$G$5:$H$16,2,0),"Other"))</f>
        <v/>
      </c>
      <c r="J4299" s="41" t="str">
        <f aca="false">IF(G4299="","",IFERROR(IF(ISNUMBER(SEARCH(Assumptions!$C$5,G4299)),Assumptions!$D$5,IF(ISNUMBER(SEARCH(Assumptions!$C$6,G4299)),Assumptions!$D$6,IF(ISNUMBER(SEARCH(Assumptions!$C$7,G4299)),Assumptions!$D$7,"Other Services"))),"Other Services"))</f>
        <v/>
      </c>
    </row>
    <row r="4300" customFormat="false" ht="15" hidden="false" customHeight="false" outlineLevel="0" collapsed="false">
      <c r="F4300" s="41" t="str">
        <f aca="false">IF(E4300="","",IFERROR(VLOOKUP(E4300,Assumptions!$G$5:$H$16,2,0),"Other"))</f>
        <v/>
      </c>
      <c r="J4300" s="41" t="str">
        <f aca="false">IF(G4300="","",IFERROR(IF(ISNUMBER(SEARCH(Assumptions!$C$5,G4300)),Assumptions!$D$5,IF(ISNUMBER(SEARCH(Assumptions!$C$6,G4300)),Assumptions!$D$6,IF(ISNUMBER(SEARCH(Assumptions!$C$7,G4300)),Assumptions!$D$7,"Other Services"))),"Other Services"))</f>
        <v/>
      </c>
    </row>
    <row r="4301" customFormat="false" ht="15" hidden="false" customHeight="false" outlineLevel="0" collapsed="false">
      <c r="F4301" s="41" t="str">
        <f aca="false">IF(E4301="","",IFERROR(VLOOKUP(E4301,Assumptions!$G$5:$H$16,2,0),"Other"))</f>
        <v/>
      </c>
      <c r="J4301" s="41" t="str">
        <f aca="false">IF(G4301="","",IFERROR(IF(ISNUMBER(SEARCH(Assumptions!$C$5,G4301)),Assumptions!$D$5,IF(ISNUMBER(SEARCH(Assumptions!$C$6,G4301)),Assumptions!$D$6,IF(ISNUMBER(SEARCH(Assumptions!$C$7,G4301)),Assumptions!$D$7,"Other Services"))),"Other Services"))</f>
        <v/>
      </c>
    </row>
    <row r="4302" customFormat="false" ht="15" hidden="false" customHeight="false" outlineLevel="0" collapsed="false">
      <c r="F4302" s="41" t="str">
        <f aca="false">IF(E4302="","",IFERROR(VLOOKUP(E4302,Assumptions!$G$5:$H$16,2,0),"Other"))</f>
        <v/>
      </c>
      <c r="J4302" s="41" t="str">
        <f aca="false">IF(G4302="","",IFERROR(IF(ISNUMBER(SEARCH(Assumptions!$C$5,G4302)),Assumptions!$D$5,IF(ISNUMBER(SEARCH(Assumptions!$C$6,G4302)),Assumptions!$D$6,IF(ISNUMBER(SEARCH(Assumptions!$C$7,G4302)),Assumptions!$D$7,"Other Services"))),"Other Services"))</f>
        <v/>
      </c>
    </row>
    <row r="4303" customFormat="false" ht="15" hidden="false" customHeight="false" outlineLevel="0" collapsed="false">
      <c r="F4303" s="41" t="str">
        <f aca="false">IF(E4303="","",IFERROR(VLOOKUP(E4303,Assumptions!$G$5:$H$16,2,0),"Other"))</f>
        <v/>
      </c>
      <c r="J4303" s="41" t="str">
        <f aca="false">IF(G4303="","",IFERROR(IF(ISNUMBER(SEARCH(Assumptions!$C$5,G4303)),Assumptions!$D$5,IF(ISNUMBER(SEARCH(Assumptions!$C$6,G4303)),Assumptions!$D$6,IF(ISNUMBER(SEARCH(Assumptions!$C$7,G4303)),Assumptions!$D$7,"Other Services"))),"Other Services"))</f>
        <v/>
      </c>
    </row>
    <row r="4304" customFormat="false" ht="15" hidden="false" customHeight="false" outlineLevel="0" collapsed="false">
      <c r="F4304" s="41" t="str">
        <f aca="false">IF(E4304="","",IFERROR(VLOOKUP(E4304,Assumptions!$G$5:$H$16,2,0),"Other"))</f>
        <v/>
      </c>
      <c r="J4304" s="41" t="str">
        <f aca="false">IF(G4304="","",IFERROR(IF(ISNUMBER(SEARCH(Assumptions!$C$5,G4304)),Assumptions!$D$5,IF(ISNUMBER(SEARCH(Assumptions!$C$6,G4304)),Assumptions!$D$6,IF(ISNUMBER(SEARCH(Assumptions!$C$7,G4304)),Assumptions!$D$7,"Other Services"))),"Other Services"))</f>
        <v/>
      </c>
    </row>
    <row r="4305" customFormat="false" ht="15" hidden="false" customHeight="false" outlineLevel="0" collapsed="false">
      <c r="F4305" s="41" t="str">
        <f aca="false">IF(E4305="","",IFERROR(VLOOKUP(E4305,Assumptions!$G$5:$H$16,2,0),"Other"))</f>
        <v/>
      </c>
      <c r="J4305" s="41" t="str">
        <f aca="false">IF(G4305="","",IFERROR(IF(ISNUMBER(SEARCH(Assumptions!$C$5,G4305)),Assumptions!$D$5,IF(ISNUMBER(SEARCH(Assumptions!$C$6,G4305)),Assumptions!$D$6,IF(ISNUMBER(SEARCH(Assumptions!$C$7,G4305)),Assumptions!$D$7,"Other Services"))),"Other Services"))</f>
        <v/>
      </c>
    </row>
    <row r="4306" customFormat="false" ht="15" hidden="false" customHeight="false" outlineLevel="0" collapsed="false">
      <c r="F4306" s="41" t="str">
        <f aca="false">IF(E4306="","",IFERROR(VLOOKUP(E4306,Assumptions!$G$5:$H$16,2,0),"Other"))</f>
        <v/>
      </c>
      <c r="J4306" s="41" t="str">
        <f aca="false">IF(G4306="","",IFERROR(IF(ISNUMBER(SEARCH(Assumptions!$C$5,G4306)),Assumptions!$D$5,IF(ISNUMBER(SEARCH(Assumptions!$C$6,G4306)),Assumptions!$D$6,IF(ISNUMBER(SEARCH(Assumptions!$C$7,G4306)),Assumptions!$D$7,"Other Services"))),"Other Services"))</f>
        <v/>
      </c>
    </row>
    <row r="4307" customFormat="false" ht="15" hidden="false" customHeight="false" outlineLevel="0" collapsed="false">
      <c r="F4307" s="41" t="str">
        <f aca="false">IF(E4307="","",IFERROR(VLOOKUP(E4307,Assumptions!$G$5:$H$16,2,0),"Other"))</f>
        <v/>
      </c>
      <c r="J4307" s="41" t="str">
        <f aca="false">IF(G4307="","",IFERROR(IF(ISNUMBER(SEARCH(Assumptions!$C$5,G4307)),Assumptions!$D$5,IF(ISNUMBER(SEARCH(Assumptions!$C$6,G4307)),Assumptions!$D$6,IF(ISNUMBER(SEARCH(Assumptions!$C$7,G4307)),Assumptions!$D$7,"Other Services"))),"Other Services"))</f>
        <v/>
      </c>
    </row>
    <row r="4308" customFormat="false" ht="15" hidden="false" customHeight="false" outlineLevel="0" collapsed="false">
      <c r="F4308" s="41" t="str">
        <f aca="false">IF(E4308="","",IFERROR(VLOOKUP(E4308,Assumptions!$G$5:$H$16,2,0),"Other"))</f>
        <v/>
      </c>
      <c r="J4308" s="41" t="str">
        <f aca="false">IF(G4308="","",IFERROR(IF(ISNUMBER(SEARCH(Assumptions!$C$5,G4308)),Assumptions!$D$5,IF(ISNUMBER(SEARCH(Assumptions!$C$6,G4308)),Assumptions!$D$6,IF(ISNUMBER(SEARCH(Assumptions!$C$7,G4308)),Assumptions!$D$7,"Other Services"))),"Other Services"))</f>
        <v/>
      </c>
    </row>
    <row r="4309" customFormat="false" ht="15" hidden="false" customHeight="false" outlineLevel="0" collapsed="false">
      <c r="F4309" s="41" t="str">
        <f aca="false">IF(E4309="","",IFERROR(VLOOKUP(E4309,Assumptions!$G$5:$H$16,2,0),"Other"))</f>
        <v/>
      </c>
      <c r="J4309" s="41" t="str">
        <f aca="false">IF(G4309="","",IFERROR(IF(ISNUMBER(SEARCH(Assumptions!$C$5,G4309)),Assumptions!$D$5,IF(ISNUMBER(SEARCH(Assumptions!$C$6,G4309)),Assumptions!$D$6,IF(ISNUMBER(SEARCH(Assumptions!$C$7,G4309)),Assumptions!$D$7,"Other Services"))),"Other Services"))</f>
        <v/>
      </c>
    </row>
    <row r="4310" customFormat="false" ht="15" hidden="false" customHeight="false" outlineLevel="0" collapsed="false">
      <c r="F4310" s="41" t="str">
        <f aca="false">IF(E4310="","",IFERROR(VLOOKUP(E4310,Assumptions!$G$5:$H$16,2,0),"Other"))</f>
        <v/>
      </c>
      <c r="J4310" s="41" t="str">
        <f aca="false">IF(G4310="","",IFERROR(IF(ISNUMBER(SEARCH(Assumptions!$C$5,G4310)),Assumptions!$D$5,IF(ISNUMBER(SEARCH(Assumptions!$C$6,G4310)),Assumptions!$D$6,IF(ISNUMBER(SEARCH(Assumptions!$C$7,G4310)),Assumptions!$D$7,"Other Services"))),"Other Services"))</f>
        <v/>
      </c>
    </row>
    <row r="4311" customFormat="false" ht="15" hidden="false" customHeight="false" outlineLevel="0" collapsed="false">
      <c r="F4311" s="41" t="str">
        <f aca="false">IF(E4311="","",IFERROR(VLOOKUP(E4311,Assumptions!$G$5:$H$16,2,0),"Other"))</f>
        <v/>
      </c>
      <c r="J4311" s="41" t="str">
        <f aca="false">IF(G4311="","",IFERROR(IF(ISNUMBER(SEARCH(Assumptions!$C$5,G4311)),Assumptions!$D$5,IF(ISNUMBER(SEARCH(Assumptions!$C$6,G4311)),Assumptions!$D$6,IF(ISNUMBER(SEARCH(Assumptions!$C$7,G4311)),Assumptions!$D$7,"Other Services"))),"Other Services"))</f>
        <v/>
      </c>
    </row>
    <row r="4312" customFormat="false" ht="15" hidden="false" customHeight="false" outlineLevel="0" collapsed="false">
      <c r="F4312" s="41" t="str">
        <f aca="false">IF(E4312="","",IFERROR(VLOOKUP(E4312,Assumptions!$G$5:$H$16,2,0),"Other"))</f>
        <v/>
      </c>
      <c r="J4312" s="41" t="str">
        <f aca="false">IF(G4312="","",IFERROR(IF(ISNUMBER(SEARCH(Assumptions!$C$5,G4312)),Assumptions!$D$5,IF(ISNUMBER(SEARCH(Assumptions!$C$6,G4312)),Assumptions!$D$6,IF(ISNUMBER(SEARCH(Assumptions!$C$7,G4312)),Assumptions!$D$7,"Other Services"))),"Other Services"))</f>
        <v/>
      </c>
    </row>
    <row r="4313" customFormat="false" ht="15" hidden="false" customHeight="false" outlineLevel="0" collapsed="false">
      <c r="F4313" s="41" t="str">
        <f aca="false">IF(E4313="","",IFERROR(VLOOKUP(E4313,Assumptions!$G$5:$H$16,2,0),"Other"))</f>
        <v/>
      </c>
      <c r="J4313" s="41" t="str">
        <f aca="false">IF(G4313="","",IFERROR(IF(ISNUMBER(SEARCH(Assumptions!$C$5,G4313)),Assumptions!$D$5,IF(ISNUMBER(SEARCH(Assumptions!$C$6,G4313)),Assumptions!$D$6,IF(ISNUMBER(SEARCH(Assumptions!$C$7,G4313)),Assumptions!$D$7,"Other Services"))),"Other Services"))</f>
        <v/>
      </c>
    </row>
    <row r="4314" customFormat="false" ht="15" hidden="false" customHeight="false" outlineLevel="0" collapsed="false">
      <c r="F4314" s="41" t="str">
        <f aca="false">IF(E4314="","",IFERROR(VLOOKUP(E4314,Assumptions!$G$5:$H$16,2,0),"Other"))</f>
        <v/>
      </c>
      <c r="J4314" s="41" t="str">
        <f aca="false">IF(G4314="","",IFERROR(IF(ISNUMBER(SEARCH(Assumptions!$C$5,G4314)),Assumptions!$D$5,IF(ISNUMBER(SEARCH(Assumptions!$C$6,G4314)),Assumptions!$D$6,IF(ISNUMBER(SEARCH(Assumptions!$C$7,G4314)),Assumptions!$D$7,"Other Services"))),"Other Services"))</f>
        <v/>
      </c>
    </row>
    <row r="4315" customFormat="false" ht="15" hidden="false" customHeight="false" outlineLevel="0" collapsed="false">
      <c r="F4315" s="41" t="str">
        <f aca="false">IF(E4315="","",IFERROR(VLOOKUP(E4315,Assumptions!$G$5:$H$16,2,0),"Other"))</f>
        <v/>
      </c>
      <c r="J4315" s="41" t="str">
        <f aca="false">IF(G4315="","",IFERROR(IF(ISNUMBER(SEARCH(Assumptions!$C$5,G4315)),Assumptions!$D$5,IF(ISNUMBER(SEARCH(Assumptions!$C$6,G4315)),Assumptions!$D$6,IF(ISNUMBER(SEARCH(Assumptions!$C$7,G4315)),Assumptions!$D$7,"Other Services"))),"Other Services"))</f>
        <v/>
      </c>
    </row>
    <row r="4316" customFormat="false" ht="15" hidden="false" customHeight="false" outlineLevel="0" collapsed="false">
      <c r="F4316" s="41" t="str">
        <f aca="false">IF(E4316="","",IFERROR(VLOOKUP(E4316,Assumptions!$G$5:$H$16,2,0),"Other"))</f>
        <v/>
      </c>
      <c r="J4316" s="41" t="str">
        <f aca="false">IF(G4316="","",IFERROR(IF(ISNUMBER(SEARCH(Assumptions!$C$5,G4316)),Assumptions!$D$5,IF(ISNUMBER(SEARCH(Assumptions!$C$6,G4316)),Assumptions!$D$6,IF(ISNUMBER(SEARCH(Assumptions!$C$7,G4316)),Assumptions!$D$7,"Other Services"))),"Other Services"))</f>
        <v/>
      </c>
    </row>
    <row r="4317" customFormat="false" ht="15" hidden="false" customHeight="false" outlineLevel="0" collapsed="false">
      <c r="F4317" s="41" t="str">
        <f aca="false">IF(E4317="","",IFERROR(VLOOKUP(E4317,Assumptions!$G$5:$H$16,2,0),"Other"))</f>
        <v/>
      </c>
      <c r="J4317" s="41" t="str">
        <f aca="false">IF(G4317="","",IFERROR(IF(ISNUMBER(SEARCH(Assumptions!$C$5,G4317)),Assumptions!$D$5,IF(ISNUMBER(SEARCH(Assumptions!$C$6,G4317)),Assumptions!$D$6,IF(ISNUMBER(SEARCH(Assumptions!$C$7,G4317)),Assumptions!$D$7,"Other Services"))),"Other Services"))</f>
        <v/>
      </c>
    </row>
    <row r="4318" customFormat="false" ht="15" hidden="false" customHeight="false" outlineLevel="0" collapsed="false">
      <c r="F4318" s="41" t="str">
        <f aca="false">IF(E4318="","",IFERROR(VLOOKUP(E4318,Assumptions!$G$5:$H$16,2,0),"Other"))</f>
        <v/>
      </c>
      <c r="J4318" s="41" t="str">
        <f aca="false">IF(G4318="","",IFERROR(IF(ISNUMBER(SEARCH(Assumptions!$C$5,G4318)),Assumptions!$D$5,IF(ISNUMBER(SEARCH(Assumptions!$C$6,G4318)),Assumptions!$D$6,IF(ISNUMBER(SEARCH(Assumptions!$C$7,G4318)),Assumptions!$D$7,"Other Services"))),"Other Services"))</f>
        <v/>
      </c>
    </row>
    <row r="4319" customFormat="false" ht="15" hidden="false" customHeight="false" outlineLevel="0" collapsed="false">
      <c r="F4319" s="41" t="str">
        <f aca="false">IF(E4319="","",IFERROR(VLOOKUP(E4319,Assumptions!$G$5:$H$16,2,0),"Other"))</f>
        <v/>
      </c>
      <c r="J4319" s="41" t="str">
        <f aca="false">IF(G4319="","",IFERROR(IF(ISNUMBER(SEARCH(Assumptions!$C$5,G4319)),Assumptions!$D$5,IF(ISNUMBER(SEARCH(Assumptions!$C$6,G4319)),Assumptions!$D$6,IF(ISNUMBER(SEARCH(Assumptions!$C$7,G4319)),Assumptions!$D$7,"Other Services"))),"Other Services"))</f>
        <v/>
      </c>
    </row>
    <row r="4320" customFormat="false" ht="15" hidden="false" customHeight="false" outlineLevel="0" collapsed="false">
      <c r="F4320" s="41" t="str">
        <f aca="false">IF(E4320="","",IFERROR(VLOOKUP(E4320,Assumptions!$G$5:$H$16,2,0),"Other"))</f>
        <v/>
      </c>
      <c r="J4320" s="41" t="str">
        <f aca="false">IF(G4320="","",IFERROR(IF(ISNUMBER(SEARCH(Assumptions!$C$5,G4320)),Assumptions!$D$5,IF(ISNUMBER(SEARCH(Assumptions!$C$6,G4320)),Assumptions!$D$6,IF(ISNUMBER(SEARCH(Assumptions!$C$7,G4320)),Assumptions!$D$7,"Other Services"))),"Other Services"))</f>
        <v/>
      </c>
    </row>
    <row r="4321" customFormat="false" ht="15" hidden="false" customHeight="false" outlineLevel="0" collapsed="false">
      <c r="F4321" s="41" t="str">
        <f aca="false">IF(E4321="","",IFERROR(VLOOKUP(E4321,Assumptions!$G$5:$H$16,2,0),"Other"))</f>
        <v/>
      </c>
      <c r="J4321" s="41" t="str">
        <f aca="false">IF(G4321="","",IFERROR(IF(ISNUMBER(SEARCH(Assumptions!$C$5,G4321)),Assumptions!$D$5,IF(ISNUMBER(SEARCH(Assumptions!$C$6,G4321)),Assumptions!$D$6,IF(ISNUMBER(SEARCH(Assumptions!$C$7,G4321)),Assumptions!$D$7,"Other Services"))),"Other Services"))</f>
        <v/>
      </c>
    </row>
    <row r="4322" customFormat="false" ht="15" hidden="false" customHeight="false" outlineLevel="0" collapsed="false">
      <c r="F4322" s="41" t="str">
        <f aca="false">IF(E4322="","",IFERROR(VLOOKUP(E4322,Assumptions!$G$5:$H$16,2,0),"Other"))</f>
        <v/>
      </c>
      <c r="J4322" s="41" t="str">
        <f aca="false">IF(G4322="","",IFERROR(IF(ISNUMBER(SEARCH(Assumptions!$C$5,G4322)),Assumptions!$D$5,IF(ISNUMBER(SEARCH(Assumptions!$C$6,G4322)),Assumptions!$D$6,IF(ISNUMBER(SEARCH(Assumptions!$C$7,G4322)),Assumptions!$D$7,"Other Services"))),"Other Services"))</f>
        <v/>
      </c>
    </row>
    <row r="4323" customFormat="false" ht="15" hidden="false" customHeight="false" outlineLevel="0" collapsed="false">
      <c r="F4323" s="41" t="str">
        <f aca="false">IF(E4323="","",IFERROR(VLOOKUP(E4323,Assumptions!$G$5:$H$16,2,0),"Other"))</f>
        <v/>
      </c>
      <c r="J4323" s="41" t="str">
        <f aca="false">IF(G4323="","",IFERROR(IF(ISNUMBER(SEARCH(Assumptions!$C$5,G4323)),Assumptions!$D$5,IF(ISNUMBER(SEARCH(Assumptions!$C$6,G4323)),Assumptions!$D$6,IF(ISNUMBER(SEARCH(Assumptions!$C$7,G4323)),Assumptions!$D$7,"Other Services"))),"Other Services"))</f>
        <v/>
      </c>
    </row>
    <row r="4324" customFormat="false" ht="15" hidden="false" customHeight="false" outlineLevel="0" collapsed="false">
      <c r="F4324" s="41" t="str">
        <f aca="false">IF(E4324="","",IFERROR(VLOOKUP(E4324,Assumptions!$G$5:$H$16,2,0),"Other"))</f>
        <v/>
      </c>
      <c r="J4324" s="41" t="str">
        <f aca="false">IF(G4324="","",IFERROR(IF(ISNUMBER(SEARCH(Assumptions!$C$5,G4324)),Assumptions!$D$5,IF(ISNUMBER(SEARCH(Assumptions!$C$6,G4324)),Assumptions!$D$6,IF(ISNUMBER(SEARCH(Assumptions!$C$7,G4324)),Assumptions!$D$7,"Other Services"))),"Other Services"))</f>
        <v/>
      </c>
    </row>
    <row r="4325" customFormat="false" ht="15" hidden="false" customHeight="false" outlineLevel="0" collapsed="false">
      <c r="F4325" s="41" t="str">
        <f aca="false">IF(E4325="","",IFERROR(VLOOKUP(E4325,Assumptions!$G$5:$H$16,2,0),"Other"))</f>
        <v/>
      </c>
      <c r="J4325" s="41" t="str">
        <f aca="false">IF(G4325="","",IFERROR(IF(ISNUMBER(SEARCH(Assumptions!$C$5,G4325)),Assumptions!$D$5,IF(ISNUMBER(SEARCH(Assumptions!$C$6,G4325)),Assumptions!$D$6,IF(ISNUMBER(SEARCH(Assumptions!$C$7,G4325)),Assumptions!$D$7,"Other Services"))),"Other Services"))</f>
        <v/>
      </c>
    </row>
    <row r="4326" customFormat="false" ht="15" hidden="false" customHeight="false" outlineLevel="0" collapsed="false">
      <c r="F4326" s="41" t="str">
        <f aca="false">IF(E4326="","",IFERROR(VLOOKUP(E4326,Assumptions!$G$5:$H$16,2,0),"Other"))</f>
        <v/>
      </c>
      <c r="J4326" s="41" t="str">
        <f aca="false">IF(G4326="","",IFERROR(IF(ISNUMBER(SEARCH(Assumptions!$C$5,G4326)),Assumptions!$D$5,IF(ISNUMBER(SEARCH(Assumptions!$C$6,G4326)),Assumptions!$D$6,IF(ISNUMBER(SEARCH(Assumptions!$C$7,G4326)),Assumptions!$D$7,"Other Services"))),"Other Services"))</f>
        <v/>
      </c>
    </row>
    <row r="4327" customFormat="false" ht="15" hidden="false" customHeight="false" outlineLevel="0" collapsed="false">
      <c r="F4327" s="41" t="str">
        <f aca="false">IF(E4327="","",IFERROR(VLOOKUP(E4327,Assumptions!$G$5:$H$16,2,0),"Other"))</f>
        <v/>
      </c>
      <c r="J4327" s="41" t="str">
        <f aca="false">IF(G4327="","",IFERROR(IF(ISNUMBER(SEARCH(Assumptions!$C$5,G4327)),Assumptions!$D$5,IF(ISNUMBER(SEARCH(Assumptions!$C$6,G4327)),Assumptions!$D$6,IF(ISNUMBER(SEARCH(Assumptions!$C$7,G4327)),Assumptions!$D$7,"Other Services"))),"Other Services"))</f>
        <v/>
      </c>
    </row>
    <row r="4328" customFormat="false" ht="15" hidden="false" customHeight="false" outlineLevel="0" collapsed="false">
      <c r="F4328" s="41" t="str">
        <f aca="false">IF(E4328="","",IFERROR(VLOOKUP(E4328,Assumptions!$G$5:$H$16,2,0),"Other"))</f>
        <v/>
      </c>
      <c r="J4328" s="41" t="str">
        <f aca="false">IF(G4328="","",IFERROR(IF(ISNUMBER(SEARCH(Assumptions!$C$5,G4328)),Assumptions!$D$5,IF(ISNUMBER(SEARCH(Assumptions!$C$6,G4328)),Assumptions!$D$6,IF(ISNUMBER(SEARCH(Assumptions!$C$7,G4328)),Assumptions!$D$7,"Other Services"))),"Other Services"))</f>
        <v/>
      </c>
    </row>
    <row r="4329" customFormat="false" ht="15" hidden="false" customHeight="false" outlineLevel="0" collapsed="false">
      <c r="F4329" s="41" t="str">
        <f aca="false">IF(E4329="","",IFERROR(VLOOKUP(E4329,Assumptions!$G$5:$H$16,2,0),"Other"))</f>
        <v/>
      </c>
      <c r="J4329" s="41" t="str">
        <f aca="false">IF(G4329="","",IFERROR(IF(ISNUMBER(SEARCH(Assumptions!$C$5,G4329)),Assumptions!$D$5,IF(ISNUMBER(SEARCH(Assumptions!$C$6,G4329)),Assumptions!$D$6,IF(ISNUMBER(SEARCH(Assumptions!$C$7,G4329)),Assumptions!$D$7,"Other Services"))),"Other Services"))</f>
        <v/>
      </c>
    </row>
    <row r="4330" customFormat="false" ht="15" hidden="false" customHeight="false" outlineLevel="0" collapsed="false">
      <c r="F4330" s="41" t="str">
        <f aca="false">IF(E4330="","",IFERROR(VLOOKUP(E4330,Assumptions!$G$5:$H$16,2,0),"Other"))</f>
        <v/>
      </c>
      <c r="J4330" s="41" t="str">
        <f aca="false">IF(G4330="","",IFERROR(IF(ISNUMBER(SEARCH(Assumptions!$C$5,G4330)),Assumptions!$D$5,IF(ISNUMBER(SEARCH(Assumptions!$C$6,G4330)),Assumptions!$D$6,IF(ISNUMBER(SEARCH(Assumptions!$C$7,G4330)),Assumptions!$D$7,"Other Services"))),"Other Services"))</f>
        <v/>
      </c>
    </row>
    <row r="4331" customFormat="false" ht="15" hidden="false" customHeight="false" outlineLevel="0" collapsed="false">
      <c r="F4331" s="41" t="str">
        <f aca="false">IF(E4331="","",IFERROR(VLOOKUP(E4331,Assumptions!$G$5:$H$16,2,0),"Other"))</f>
        <v/>
      </c>
      <c r="J4331" s="41" t="str">
        <f aca="false">IF(G4331="","",IFERROR(IF(ISNUMBER(SEARCH(Assumptions!$C$5,G4331)),Assumptions!$D$5,IF(ISNUMBER(SEARCH(Assumptions!$C$6,G4331)),Assumptions!$D$6,IF(ISNUMBER(SEARCH(Assumptions!$C$7,G4331)),Assumptions!$D$7,"Other Services"))),"Other Services"))</f>
        <v/>
      </c>
    </row>
    <row r="4332" customFormat="false" ht="15" hidden="false" customHeight="false" outlineLevel="0" collapsed="false">
      <c r="F4332" s="41" t="str">
        <f aca="false">IF(E4332="","",IFERROR(VLOOKUP(E4332,Assumptions!$G$5:$H$16,2,0),"Other"))</f>
        <v/>
      </c>
      <c r="J4332" s="41" t="str">
        <f aca="false">IF(G4332="","",IFERROR(IF(ISNUMBER(SEARCH(Assumptions!$C$5,G4332)),Assumptions!$D$5,IF(ISNUMBER(SEARCH(Assumptions!$C$6,G4332)),Assumptions!$D$6,IF(ISNUMBER(SEARCH(Assumptions!$C$7,G4332)),Assumptions!$D$7,"Other Services"))),"Other Services"))</f>
        <v/>
      </c>
    </row>
    <row r="4333" customFormat="false" ht="15" hidden="false" customHeight="false" outlineLevel="0" collapsed="false">
      <c r="F4333" s="41" t="str">
        <f aca="false">IF(E4333="","",IFERROR(VLOOKUP(E4333,Assumptions!$G$5:$H$16,2,0),"Other"))</f>
        <v/>
      </c>
      <c r="J4333" s="41" t="str">
        <f aca="false">IF(G4333="","",IFERROR(IF(ISNUMBER(SEARCH(Assumptions!$C$5,G4333)),Assumptions!$D$5,IF(ISNUMBER(SEARCH(Assumptions!$C$6,G4333)),Assumptions!$D$6,IF(ISNUMBER(SEARCH(Assumptions!$C$7,G4333)),Assumptions!$D$7,"Other Services"))),"Other Services"))</f>
        <v/>
      </c>
    </row>
    <row r="4334" customFormat="false" ht="15" hidden="false" customHeight="false" outlineLevel="0" collapsed="false">
      <c r="F4334" s="41" t="str">
        <f aca="false">IF(E4334="","",IFERROR(VLOOKUP(E4334,Assumptions!$G$5:$H$16,2,0),"Other"))</f>
        <v/>
      </c>
      <c r="J4334" s="41" t="str">
        <f aca="false">IF(G4334="","",IFERROR(IF(ISNUMBER(SEARCH(Assumptions!$C$5,G4334)),Assumptions!$D$5,IF(ISNUMBER(SEARCH(Assumptions!$C$6,G4334)),Assumptions!$D$6,IF(ISNUMBER(SEARCH(Assumptions!$C$7,G4334)),Assumptions!$D$7,"Other Services"))),"Other Services"))</f>
        <v/>
      </c>
    </row>
    <row r="4335" customFormat="false" ht="15" hidden="false" customHeight="false" outlineLevel="0" collapsed="false">
      <c r="F4335" s="41" t="str">
        <f aca="false">IF(E4335="","",IFERROR(VLOOKUP(E4335,Assumptions!$G$5:$H$16,2,0),"Other"))</f>
        <v/>
      </c>
      <c r="J4335" s="41" t="str">
        <f aca="false">IF(G4335="","",IFERROR(IF(ISNUMBER(SEARCH(Assumptions!$C$5,G4335)),Assumptions!$D$5,IF(ISNUMBER(SEARCH(Assumptions!$C$6,G4335)),Assumptions!$D$6,IF(ISNUMBER(SEARCH(Assumptions!$C$7,G4335)),Assumptions!$D$7,"Other Services"))),"Other Services"))</f>
        <v/>
      </c>
    </row>
    <row r="4336" customFormat="false" ht="15" hidden="false" customHeight="false" outlineLevel="0" collapsed="false">
      <c r="F4336" s="41" t="str">
        <f aca="false">IF(E4336="","",IFERROR(VLOOKUP(E4336,Assumptions!$G$5:$H$16,2,0),"Other"))</f>
        <v/>
      </c>
      <c r="J4336" s="41" t="str">
        <f aca="false">IF(G4336="","",IFERROR(IF(ISNUMBER(SEARCH(Assumptions!$C$5,G4336)),Assumptions!$D$5,IF(ISNUMBER(SEARCH(Assumptions!$C$6,G4336)),Assumptions!$D$6,IF(ISNUMBER(SEARCH(Assumptions!$C$7,G4336)),Assumptions!$D$7,"Other Services"))),"Other Services"))</f>
        <v/>
      </c>
    </row>
    <row r="4337" customFormat="false" ht="15" hidden="false" customHeight="false" outlineLevel="0" collapsed="false">
      <c r="F4337" s="41" t="str">
        <f aca="false">IF(E4337="","",IFERROR(VLOOKUP(E4337,Assumptions!$G$5:$H$16,2,0),"Other"))</f>
        <v/>
      </c>
      <c r="J4337" s="41" t="str">
        <f aca="false">IF(G4337="","",IFERROR(IF(ISNUMBER(SEARCH(Assumptions!$C$5,G4337)),Assumptions!$D$5,IF(ISNUMBER(SEARCH(Assumptions!$C$6,G4337)),Assumptions!$D$6,IF(ISNUMBER(SEARCH(Assumptions!$C$7,G4337)),Assumptions!$D$7,"Other Services"))),"Other Services"))</f>
        <v/>
      </c>
    </row>
    <row r="4338" customFormat="false" ht="15" hidden="false" customHeight="false" outlineLevel="0" collapsed="false">
      <c r="F4338" s="41" t="str">
        <f aca="false">IF(E4338="","",IFERROR(VLOOKUP(E4338,Assumptions!$G$5:$H$16,2,0),"Other"))</f>
        <v/>
      </c>
      <c r="J4338" s="41" t="str">
        <f aca="false">IF(G4338="","",IFERROR(IF(ISNUMBER(SEARCH(Assumptions!$C$5,G4338)),Assumptions!$D$5,IF(ISNUMBER(SEARCH(Assumptions!$C$6,G4338)),Assumptions!$D$6,IF(ISNUMBER(SEARCH(Assumptions!$C$7,G4338)),Assumptions!$D$7,"Other Services"))),"Other Services"))</f>
        <v/>
      </c>
    </row>
    <row r="4339" customFormat="false" ht="15" hidden="false" customHeight="false" outlineLevel="0" collapsed="false">
      <c r="F4339" s="41" t="str">
        <f aca="false">IF(E4339="","",IFERROR(VLOOKUP(E4339,Assumptions!$G$5:$H$16,2,0),"Other"))</f>
        <v/>
      </c>
      <c r="J4339" s="41" t="str">
        <f aca="false">IF(G4339="","",IFERROR(IF(ISNUMBER(SEARCH(Assumptions!$C$5,G4339)),Assumptions!$D$5,IF(ISNUMBER(SEARCH(Assumptions!$C$6,G4339)),Assumptions!$D$6,IF(ISNUMBER(SEARCH(Assumptions!$C$7,G4339)),Assumptions!$D$7,"Other Services"))),"Other Services"))</f>
        <v/>
      </c>
    </row>
    <row r="4340" customFormat="false" ht="15" hidden="false" customHeight="false" outlineLevel="0" collapsed="false">
      <c r="F4340" s="41" t="str">
        <f aca="false">IF(E4340="","",IFERROR(VLOOKUP(E4340,Assumptions!$G$5:$H$16,2,0),"Other"))</f>
        <v/>
      </c>
      <c r="J4340" s="41" t="str">
        <f aca="false">IF(G4340="","",IFERROR(IF(ISNUMBER(SEARCH(Assumptions!$C$5,G4340)),Assumptions!$D$5,IF(ISNUMBER(SEARCH(Assumptions!$C$6,G4340)),Assumptions!$D$6,IF(ISNUMBER(SEARCH(Assumptions!$C$7,G4340)),Assumptions!$D$7,"Other Services"))),"Other Services"))</f>
        <v/>
      </c>
    </row>
    <row r="4341" customFormat="false" ht="15" hidden="false" customHeight="false" outlineLevel="0" collapsed="false">
      <c r="F4341" s="41" t="str">
        <f aca="false">IF(E4341="","",IFERROR(VLOOKUP(E4341,Assumptions!$G$5:$H$16,2,0),"Other"))</f>
        <v/>
      </c>
      <c r="J4341" s="41" t="str">
        <f aca="false">IF(G4341="","",IFERROR(IF(ISNUMBER(SEARCH(Assumptions!$C$5,G4341)),Assumptions!$D$5,IF(ISNUMBER(SEARCH(Assumptions!$C$6,G4341)),Assumptions!$D$6,IF(ISNUMBER(SEARCH(Assumptions!$C$7,G4341)),Assumptions!$D$7,"Other Services"))),"Other Services"))</f>
        <v/>
      </c>
    </row>
    <row r="4342" customFormat="false" ht="15" hidden="false" customHeight="false" outlineLevel="0" collapsed="false">
      <c r="F4342" s="41" t="str">
        <f aca="false">IF(E4342="","",IFERROR(VLOOKUP(E4342,Assumptions!$G$5:$H$16,2,0),"Other"))</f>
        <v/>
      </c>
      <c r="J4342" s="41" t="str">
        <f aca="false">IF(G4342="","",IFERROR(IF(ISNUMBER(SEARCH(Assumptions!$C$5,G4342)),Assumptions!$D$5,IF(ISNUMBER(SEARCH(Assumptions!$C$6,G4342)),Assumptions!$D$6,IF(ISNUMBER(SEARCH(Assumptions!$C$7,G4342)),Assumptions!$D$7,"Other Services"))),"Other Services"))</f>
        <v/>
      </c>
    </row>
    <row r="4343" customFormat="false" ht="15" hidden="false" customHeight="false" outlineLevel="0" collapsed="false">
      <c r="F4343" s="41" t="str">
        <f aca="false">IF(E4343="","",IFERROR(VLOOKUP(E4343,Assumptions!$G$5:$H$16,2,0),"Other"))</f>
        <v/>
      </c>
      <c r="J4343" s="41" t="str">
        <f aca="false">IF(G4343="","",IFERROR(IF(ISNUMBER(SEARCH(Assumptions!$C$5,G4343)),Assumptions!$D$5,IF(ISNUMBER(SEARCH(Assumptions!$C$6,G4343)),Assumptions!$D$6,IF(ISNUMBER(SEARCH(Assumptions!$C$7,G4343)),Assumptions!$D$7,"Other Services"))),"Other Services"))</f>
        <v/>
      </c>
    </row>
    <row r="4344" customFormat="false" ht="15" hidden="false" customHeight="false" outlineLevel="0" collapsed="false">
      <c r="F4344" s="41" t="str">
        <f aca="false">IF(E4344="","",IFERROR(VLOOKUP(E4344,Assumptions!$G$5:$H$16,2,0),"Other"))</f>
        <v/>
      </c>
      <c r="J4344" s="41" t="str">
        <f aca="false">IF(G4344="","",IFERROR(IF(ISNUMBER(SEARCH(Assumptions!$C$5,G4344)),Assumptions!$D$5,IF(ISNUMBER(SEARCH(Assumptions!$C$6,G4344)),Assumptions!$D$6,IF(ISNUMBER(SEARCH(Assumptions!$C$7,G4344)),Assumptions!$D$7,"Other Services"))),"Other Services"))</f>
        <v/>
      </c>
    </row>
    <row r="4345" customFormat="false" ht="15" hidden="false" customHeight="false" outlineLevel="0" collapsed="false">
      <c r="F4345" s="41" t="str">
        <f aca="false">IF(E4345="","",IFERROR(VLOOKUP(E4345,Assumptions!$G$5:$H$16,2,0),"Other"))</f>
        <v/>
      </c>
      <c r="J4345" s="41" t="str">
        <f aca="false">IF(G4345="","",IFERROR(IF(ISNUMBER(SEARCH(Assumptions!$C$5,G4345)),Assumptions!$D$5,IF(ISNUMBER(SEARCH(Assumptions!$C$6,G4345)),Assumptions!$D$6,IF(ISNUMBER(SEARCH(Assumptions!$C$7,G4345)),Assumptions!$D$7,"Other Services"))),"Other Services"))</f>
        <v/>
      </c>
    </row>
    <row r="4346" customFormat="false" ht="15" hidden="false" customHeight="false" outlineLevel="0" collapsed="false">
      <c r="F4346" s="41" t="str">
        <f aca="false">IF(E4346="","",IFERROR(VLOOKUP(E4346,Assumptions!$G$5:$H$16,2,0),"Other"))</f>
        <v/>
      </c>
      <c r="J4346" s="41" t="str">
        <f aca="false">IF(G4346="","",IFERROR(IF(ISNUMBER(SEARCH(Assumptions!$C$5,G4346)),Assumptions!$D$5,IF(ISNUMBER(SEARCH(Assumptions!$C$6,G4346)),Assumptions!$D$6,IF(ISNUMBER(SEARCH(Assumptions!$C$7,G4346)),Assumptions!$D$7,"Other Services"))),"Other Services"))</f>
        <v/>
      </c>
    </row>
    <row r="4347" customFormat="false" ht="15" hidden="false" customHeight="false" outlineLevel="0" collapsed="false">
      <c r="F4347" s="41" t="str">
        <f aca="false">IF(E4347="","",IFERROR(VLOOKUP(E4347,Assumptions!$G$5:$H$16,2,0),"Other"))</f>
        <v/>
      </c>
      <c r="J4347" s="41" t="str">
        <f aca="false">IF(G4347="","",IFERROR(IF(ISNUMBER(SEARCH(Assumptions!$C$5,G4347)),Assumptions!$D$5,IF(ISNUMBER(SEARCH(Assumptions!$C$6,G4347)),Assumptions!$D$6,IF(ISNUMBER(SEARCH(Assumptions!$C$7,G4347)),Assumptions!$D$7,"Other Services"))),"Other Services"))</f>
        <v/>
      </c>
    </row>
    <row r="4348" customFormat="false" ht="15" hidden="false" customHeight="false" outlineLevel="0" collapsed="false">
      <c r="F4348" s="41" t="str">
        <f aca="false">IF(E4348="","",IFERROR(VLOOKUP(E4348,Assumptions!$G$5:$H$16,2,0),"Other"))</f>
        <v/>
      </c>
      <c r="J4348" s="41" t="str">
        <f aca="false">IF(G4348="","",IFERROR(IF(ISNUMBER(SEARCH(Assumptions!$C$5,G4348)),Assumptions!$D$5,IF(ISNUMBER(SEARCH(Assumptions!$C$6,G4348)),Assumptions!$D$6,IF(ISNUMBER(SEARCH(Assumptions!$C$7,G4348)),Assumptions!$D$7,"Other Services"))),"Other Services"))</f>
        <v/>
      </c>
    </row>
    <row r="4349" customFormat="false" ht="15" hidden="false" customHeight="false" outlineLevel="0" collapsed="false">
      <c r="F4349" s="41" t="str">
        <f aca="false">IF(E4349="","",IFERROR(VLOOKUP(E4349,Assumptions!$G$5:$H$16,2,0),"Other"))</f>
        <v/>
      </c>
      <c r="J4349" s="41" t="str">
        <f aca="false">IF(G4349="","",IFERROR(IF(ISNUMBER(SEARCH(Assumptions!$C$5,G4349)),Assumptions!$D$5,IF(ISNUMBER(SEARCH(Assumptions!$C$6,G4349)),Assumptions!$D$6,IF(ISNUMBER(SEARCH(Assumptions!$C$7,G4349)),Assumptions!$D$7,"Other Services"))),"Other Services"))</f>
        <v/>
      </c>
    </row>
    <row r="4350" customFormat="false" ht="15" hidden="false" customHeight="false" outlineLevel="0" collapsed="false">
      <c r="F4350" s="41" t="str">
        <f aca="false">IF(E4350="","",IFERROR(VLOOKUP(E4350,Assumptions!$G$5:$H$16,2,0),"Other"))</f>
        <v/>
      </c>
      <c r="J4350" s="41" t="str">
        <f aca="false">IF(G4350="","",IFERROR(IF(ISNUMBER(SEARCH(Assumptions!$C$5,G4350)),Assumptions!$D$5,IF(ISNUMBER(SEARCH(Assumptions!$C$6,G4350)),Assumptions!$D$6,IF(ISNUMBER(SEARCH(Assumptions!$C$7,G4350)),Assumptions!$D$7,"Other Services"))),"Other Services"))</f>
        <v/>
      </c>
    </row>
    <row r="4351" customFormat="false" ht="15" hidden="false" customHeight="false" outlineLevel="0" collapsed="false">
      <c r="F4351" s="41" t="str">
        <f aca="false">IF(E4351="","",IFERROR(VLOOKUP(E4351,Assumptions!$G$5:$H$16,2,0),"Other"))</f>
        <v/>
      </c>
      <c r="J4351" s="41" t="str">
        <f aca="false">IF(G4351="","",IFERROR(IF(ISNUMBER(SEARCH(Assumptions!$C$5,G4351)),Assumptions!$D$5,IF(ISNUMBER(SEARCH(Assumptions!$C$6,G4351)),Assumptions!$D$6,IF(ISNUMBER(SEARCH(Assumptions!$C$7,G4351)),Assumptions!$D$7,"Other Services"))),"Other Services"))</f>
        <v/>
      </c>
    </row>
    <row r="4352" customFormat="false" ht="15" hidden="false" customHeight="false" outlineLevel="0" collapsed="false">
      <c r="F4352" s="41" t="str">
        <f aca="false">IF(E4352="","",IFERROR(VLOOKUP(E4352,Assumptions!$G$5:$H$16,2,0),"Other"))</f>
        <v/>
      </c>
      <c r="J4352" s="41" t="str">
        <f aca="false">IF(G4352="","",IFERROR(IF(ISNUMBER(SEARCH(Assumptions!$C$5,G4352)),Assumptions!$D$5,IF(ISNUMBER(SEARCH(Assumptions!$C$6,G4352)),Assumptions!$D$6,IF(ISNUMBER(SEARCH(Assumptions!$C$7,G4352)),Assumptions!$D$7,"Other Services"))),"Other Services"))</f>
        <v/>
      </c>
    </row>
    <row r="4353" customFormat="false" ht="15" hidden="false" customHeight="false" outlineLevel="0" collapsed="false">
      <c r="F4353" s="41" t="str">
        <f aca="false">IF(E4353="","",IFERROR(VLOOKUP(E4353,Assumptions!$G$5:$H$16,2,0),"Other"))</f>
        <v/>
      </c>
      <c r="J4353" s="41" t="str">
        <f aca="false">IF(G4353="","",IFERROR(IF(ISNUMBER(SEARCH(Assumptions!$C$5,G4353)),Assumptions!$D$5,IF(ISNUMBER(SEARCH(Assumptions!$C$6,G4353)),Assumptions!$D$6,IF(ISNUMBER(SEARCH(Assumptions!$C$7,G4353)),Assumptions!$D$7,"Other Services"))),"Other Services"))</f>
        <v/>
      </c>
    </row>
    <row r="4354" customFormat="false" ht="15" hidden="false" customHeight="false" outlineLevel="0" collapsed="false">
      <c r="F4354" s="41" t="str">
        <f aca="false">IF(E4354="","",IFERROR(VLOOKUP(E4354,Assumptions!$G$5:$H$16,2,0),"Other"))</f>
        <v/>
      </c>
      <c r="J4354" s="41" t="str">
        <f aca="false">IF(G4354="","",IFERROR(IF(ISNUMBER(SEARCH(Assumptions!$C$5,G4354)),Assumptions!$D$5,IF(ISNUMBER(SEARCH(Assumptions!$C$6,G4354)),Assumptions!$D$6,IF(ISNUMBER(SEARCH(Assumptions!$C$7,G4354)),Assumptions!$D$7,"Other Services"))),"Other Services"))</f>
        <v/>
      </c>
    </row>
    <row r="4355" customFormat="false" ht="15" hidden="false" customHeight="false" outlineLevel="0" collapsed="false">
      <c r="F4355" s="41" t="str">
        <f aca="false">IF(E4355="","",IFERROR(VLOOKUP(E4355,Assumptions!$G$5:$H$16,2,0),"Other"))</f>
        <v/>
      </c>
      <c r="J4355" s="41" t="str">
        <f aca="false">IF(G4355="","",IFERROR(IF(ISNUMBER(SEARCH(Assumptions!$C$5,G4355)),Assumptions!$D$5,IF(ISNUMBER(SEARCH(Assumptions!$C$6,G4355)),Assumptions!$D$6,IF(ISNUMBER(SEARCH(Assumptions!$C$7,G4355)),Assumptions!$D$7,"Other Services"))),"Other Services"))</f>
        <v/>
      </c>
    </row>
    <row r="4356" customFormat="false" ht="15" hidden="false" customHeight="false" outlineLevel="0" collapsed="false">
      <c r="F4356" s="41" t="str">
        <f aca="false">IF(E4356="","",IFERROR(VLOOKUP(E4356,Assumptions!$G$5:$H$16,2,0),"Other"))</f>
        <v/>
      </c>
      <c r="J4356" s="41" t="str">
        <f aca="false">IF(G4356="","",IFERROR(IF(ISNUMBER(SEARCH(Assumptions!$C$5,G4356)),Assumptions!$D$5,IF(ISNUMBER(SEARCH(Assumptions!$C$6,G4356)),Assumptions!$D$6,IF(ISNUMBER(SEARCH(Assumptions!$C$7,G4356)),Assumptions!$D$7,"Other Services"))),"Other Services"))</f>
        <v/>
      </c>
    </row>
    <row r="4357" customFormat="false" ht="15" hidden="false" customHeight="false" outlineLevel="0" collapsed="false">
      <c r="F4357" s="41" t="str">
        <f aca="false">IF(E4357="","",IFERROR(VLOOKUP(E4357,Assumptions!$G$5:$H$16,2,0),"Other"))</f>
        <v/>
      </c>
      <c r="J4357" s="41" t="str">
        <f aca="false">IF(G4357="","",IFERROR(IF(ISNUMBER(SEARCH(Assumptions!$C$5,G4357)),Assumptions!$D$5,IF(ISNUMBER(SEARCH(Assumptions!$C$6,G4357)),Assumptions!$D$6,IF(ISNUMBER(SEARCH(Assumptions!$C$7,G4357)),Assumptions!$D$7,"Other Services"))),"Other Services"))</f>
        <v/>
      </c>
    </row>
    <row r="4358" customFormat="false" ht="15" hidden="false" customHeight="false" outlineLevel="0" collapsed="false">
      <c r="F4358" s="41" t="str">
        <f aca="false">IF(E4358="","",IFERROR(VLOOKUP(E4358,Assumptions!$G$5:$H$16,2,0),"Other"))</f>
        <v/>
      </c>
      <c r="J4358" s="41" t="str">
        <f aca="false">IF(G4358="","",IFERROR(IF(ISNUMBER(SEARCH(Assumptions!$C$5,G4358)),Assumptions!$D$5,IF(ISNUMBER(SEARCH(Assumptions!$C$6,G4358)),Assumptions!$D$6,IF(ISNUMBER(SEARCH(Assumptions!$C$7,G4358)),Assumptions!$D$7,"Other Services"))),"Other Services"))</f>
        <v/>
      </c>
    </row>
    <row r="4359" customFormat="false" ht="15" hidden="false" customHeight="false" outlineLevel="0" collapsed="false">
      <c r="F4359" s="41" t="str">
        <f aca="false">IF(E4359="","",IFERROR(VLOOKUP(E4359,Assumptions!$G$5:$H$16,2,0),"Other"))</f>
        <v/>
      </c>
      <c r="J4359" s="41" t="str">
        <f aca="false">IF(G4359="","",IFERROR(IF(ISNUMBER(SEARCH(Assumptions!$C$5,G4359)),Assumptions!$D$5,IF(ISNUMBER(SEARCH(Assumptions!$C$6,G4359)),Assumptions!$D$6,IF(ISNUMBER(SEARCH(Assumptions!$C$7,G4359)),Assumptions!$D$7,"Other Services"))),"Other Services"))</f>
        <v/>
      </c>
    </row>
    <row r="4360" customFormat="false" ht="15" hidden="false" customHeight="false" outlineLevel="0" collapsed="false">
      <c r="F4360" s="41" t="str">
        <f aca="false">IF(E4360="","",IFERROR(VLOOKUP(E4360,Assumptions!$G$5:$H$16,2,0),"Other"))</f>
        <v/>
      </c>
      <c r="J4360" s="41" t="str">
        <f aca="false">IF(G4360="","",IFERROR(IF(ISNUMBER(SEARCH(Assumptions!$C$5,G4360)),Assumptions!$D$5,IF(ISNUMBER(SEARCH(Assumptions!$C$6,G4360)),Assumptions!$D$6,IF(ISNUMBER(SEARCH(Assumptions!$C$7,G4360)),Assumptions!$D$7,"Other Services"))),"Other Services"))</f>
        <v/>
      </c>
    </row>
    <row r="4361" customFormat="false" ht="15" hidden="false" customHeight="false" outlineLevel="0" collapsed="false">
      <c r="F4361" s="41" t="str">
        <f aca="false">IF(E4361="","",IFERROR(VLOOKUP(E4361,Assumptions!$G$5:$H$16,2,0),"Other"))</f>
        <v/>
      </c>
      <c r="J4361" s="41" t="str">
        <f aca="false">IF(G4361="","",IFERROR(IF(ISNUMBER(SEARCH(Assumptions!$C$5,G4361)),Assumptions!$D$5,IF(ISNUMBER(SEARCH(Assumptions!$C$6,G4361)),Assumptions!$D$6,IF(ISNUMBER(SEARCH(Assumptions!$C$7,G4361)),Assumptions!$D$7,"Other Services"))),"Other Services"))</f>
        <v/>
      </c>
    </row>
    <row r="4362" customFormat="false" ht="15" hidden="false" customHeight="false" outlineLevel="0" collapsed="false">
      <c r="F4362" s="41" t="str">
        <f aca="false">IF(E4362="","",IFERROR(VLOOKUP(E4362,Assumptions!$G$5:$H$16,2,0),"Other"))</f>
        <v/>
      </c>
      <c r="J4362" s="41" t="str">
        <f aca="false">IF(G4362="","",IFERROR(IF(ISNUMBER(SEARCH(Assumptions!$C$5,G4362)),Assumptions!$D$5,IF(ISNUMBER(SEARCH(Assumptions!$C$6,G4362)),Assumptions!$D$6,IF(ISNUMBER(SEARCH(Assumptions!$C$7,G4362)),Assumptions!$D$7,"Other Services"))),"Other Services"))</f>
        <v/>
      </c>
    </row>
    <row r="4363" customFormat="false" ht="15" hidden="false" customHeight="false" outlineLevel="0" collapsed="false">
      <c r="F4363" s="41" t="str">
        <f aca="false">IF(E4363="","",IFERROR(VLOOKUP(E4363,Assumptions!$G$5:$H$16,2,0),"Other"))</f>
        <v/>
      </c>
      <c r="J4363" s="41" t="str">
        <f aca="false">IF(G4363="","",IFERROR(IF(ISNUMBER(SEARCH(Assumptions!$C$5,G4363)),Assumptions!$D$5,IF(ISNUMBER(SEARCH(Assumptions!$C$6,G4363)),Assumptions!$D$6,IF(ISNUMBER(SEARCH(Assumptions!$C$7,G4363)),Assumptions!$D$7,"Other Services"))),"Other Services"))</f>
        <v/>
      </c>
    </row>
    <row r="4364" customFormat="false" ht="15" hidden="false" customHeight="false" outlineLevel="0" collapsed="false">
      <c r="F4364" s="41" t="str">
        <f aca="false">IF(E4364="","",IFERROR(VLOOKUP(E4364,Assumptions!$G$5:$H$16,2,0),"Other"))</f>
        <v/>
      </c>
      <c r="J4364" s="41" t="str">
        <f aca="false">IF(G4364="","",IFERROR(IF(ISNUMBER(SEARCH(Assumptions!$C$5,G4364)),Assumptions!$D$5,IF(ISNUMBER(SEARCH(Assumptions!$C$6,G4364)),Assumptions!$D$6,IF(ISNUMBER(SEARCH(Assumptions!$C$7,G4364)),Assumptions!$D$7,"Other Services"))),"Other Services"))</f>
        <v/>
      </c>
    </row>
    <row r="4365" customFormat="false" ht="15" hidden="false" customHeight="false" outlineLevel="0" collapsed="false">
      <c r="F4365" s="41" t="str">
        <f aca="false">IF(E4365="","",IFERROR(VLOOKUP(E4365,Assumptions!$G$5:$H$16,2,0),"Other"))</f>
        <v/>
      </c>
      <c r="J4365" s="41" t="str">
        <f aca="false">IF(G4365="","",IFERROR(IF(ISNUMBER(SEARCH(Assumptions!$C$5,G4365)),Assumptions!$D$5,IF(ISNUMBER(SEARCH(Assumptions!$C$6,G4365)),Assumptions!$D$6,IF(ISNUMBER(SEARCH(Assumptions!$C$7,G4365)),Assumptions!$D$7,"Other Services"))),"Other Services"))</f>
        <v/>
      </c>
    </row>
    <row r="4366" customFormat="false" ht="15" hidden="false" customHeight="false" outlineLevel="0" collapsed="false">
      <c r="F4366" s="41" t="str">
        <f aca="false">IF(E4366="","",IFERROR(VLOOKUP(E4366,Assumptions!$G$5:$H$16,2,0),"Other"))</f>
        <v/>
      </c>
      <c r="J4366" s="41" t="str">
        <f aca="false">IF(G4366="","",IFERROR(IF(ISNUMBER(SEARCH(Assumptions!$C$5,G4366)),Assumptions!$D$5,IF(ISNUMBER(SEARCH(Assumptions!$C$6,G4366)),Assumptions!$D$6,IF(ISNUMBER(SEARCH(Assumptions!$C$7,G4366)),Assumptions!$D$7,"Other Services"))),"Other Services"))</f>
        <v/>
      </c>
    </row>
    <row r="4367" customFormat="false" ht="15" hidden="false" customHeight="false" outlineLevel="0" collapsed="false">
      <c r="F4367" s="41" t="str">
        <f aca="false">IF(E4367="","",IFERROR(VLOOKUP(E4367,Assumptions!$G$5:$H$16,2,0),"Other"))</f>
        <v/>
      </c>
      <c r="J4367" s="41" t="str">
        <f aca="false">IF(G4367="","",IFERROR(IF(ISNUMBER(SEARCH(Assumptions!$C$5,G4367)),Assumptions!$D$5,IF(ISNUMBER(SEARCH(Assumptions!$C$6,G4367)),Assumptions!$D$6,IF(ISNUMBER(SEARCH(Assumptions!$C$7,G4367)),Assumptions!$D$7,"Other Services"))),"Other Services"))</f>
        <v/>
      </c>
    </row>
    <row r="4368" customFormat="false" ht="15" hidden="false" customHeight="false" outlineLevel="0" collapsed="false">
      <c r="F4368" s="41" t="str">
        <f aca="false">IF(E4368="","",IFERROR(VLOOKUP(E4368,Assumptions!$G$5:$H$16,2,0),"Other"))</f>
        <v/>
      </c>
      <c r="J4368" s="41" t="str">
        <f aca="false">IF(G4368="","",IFERROR(IF(ISNUMBER(SEARCH(Assumptions!$C$5,G4368)),Assumptions!$D$5,IF(ISNUMBER(SEARCH(Assumptions!$C$6,G4368)),Assumptions!$D$6,IF(ISNUMBER(SEARCH(Assumptions!$C$7,G4368)),Assumptions!$D$7,"Other Services"))),"Other Services"))</f>
        <v/>
      </c>
    </row>
    <row r="4369" customFormat="false" ht="15" hidden="false" customHeight="false" outlineLevel="0" collapsed="false">
      <c r="F4369" s="41" t="str">
        <f aca="false">IF(E4369="","",IFERROR(VLOOKUP(E4369,Assumptions!$G$5:$H$16,2,0),"Other"))</f>
        <v/>
      </c>
      <c r="J4369" s="41" t="str">
        <f aca="false">IF(G4369="","",IFERROR(IF(ISNUMBER(SEARCH(Assumptions!$C$5,G4369)),Assumptions!$D$5,IF(ISNUMBER(SEARCH(Assumptions!$C$6,G4369)),Assumptions!$D$6,IF(ISNUMBER(SEARCH(Assumptions!$C$7,G4369)),Assumptions!$D$7,"Other Services"))),"Other Services"))</f>
        <v/>
      </c>
    </row>
    <row r="4370" customFormat="false" ht="15" hidden="false" customHeight="false" outlineLevel="0" collapsed="false">
      <c r="F4370" s="41" t="str">
        <f aca="false">IF(E4370="","",IFERROR(VLOOKUP(E4370,Assumptions!$G$5:$H$16,2,0),"Other"))</f>
        <v/>
      </c>
      <c r="J4370" s="41" t="str">
        <f aca="false">IF(G4370="","",IFERROR(IF(ISNUMBER(SEARCH(Assumptions!$C$5,G4370)),Assumptions!$D$5,IF(ISNUMBER(SEARCH(Assumptions!$C$6,G4370)),Assumptions!$D$6,IF(ISNUMBER(SEARCH(Assumptions!$C$7,G4370)),Assumptions!$D$7,"Other Services"))),"Other Services"))</f>
        <v/>
      </c>
    </row>
    <row r="4371" customFormat="false" ht="15" hidden="false" customHeight="false" outlineLevel="0" collapsed="false">
      <c r="F4371" s="41" t="str">
        <f aca="false">IF(E4371="","",IFERROR(VLOOKUP(E4371,Assumptions!$G$5:$H$16,2,0),"Other"))</f>
        <v/>
      </c>
      <c r="J4371" s="41" t="str">
        <f aca="false">IF(G4371="","",IFERROR(IF(ISNUMBER(SEARCH(Assumptions!$C$5,G4371)),Assumptions!$D$5,IF(ISNUMBER(SEARCH(Assumptions!$C$6,G4371)),Assumptions!$D$6,IF(ISNUMBER(SEARCH(Assumptions!$C$7,G4371)),Assumptions!$D$7,"Other Services"))),"Other Services"))</f>
        <v/>
      </c>
    </row>
    <row r="4372" customFormat="false" ht="15" hidden="false" customHeight="false" outlineLevel="0" collapsed="false">
      <c r="F4372" s="41" t="str">
        <f aca="false">IF(E4372="","",IFERROR(VLOOKUP(E4372,Assumptions!$G$5:$H$16,2,0),"Other"))</f>
        <v/>
      </c>
      <c r="J4372" s="41" t="str">
        <f aca="false">IF(G4372="","",IFERROR(IF(ISNUMBER(SEARCH(Assumptions!$C$5,G4372)),Assumptions!$D$5,IF(ISNUMBER(SEARCH(Assumptions!$C$6,G4372)),Assumptions!$D$6,IF(ISNUMBER(SEARCH(Assumptions!$C$7,G4372)),Assumptions!$D$7,"Other Services"))),"Other Services"))</f>
        <v/>
      </c>
    </row>
    <row r="4373" customFormat="false" ht="15" hidden="false" customHeight="false" outlineLevel="0" collapsed="false">
      <c r="F4373" s="41" t="str">
        <f aca="false">IF(E4373="","",IFERROR(VLOOKUP(E4373,Assumptions!$G$5:$H$16,2,0),"Other"))</f>
        <v/>
      </c>
      <c r="J4373" s="41" t="str">
        <f aca="false">IF(G4373="","",IFERROR(IF(ISNUMBER(SEARCH(Assumptions!$C$5,G4373)),Assumptions!$D$5,IF(ISNUMBER(SEARCH(Assumptions!$C$6,G4373)),Assumptions!$D$6,IF(ISNUMBER(SEARCH(Assumptions!$C$7,G4373)),Assumptions!$D$7,"Other Services"))),"Other Services"))</f>
        <v/>
      </c>
    </row>
    <row r="4374" customFormat="false" ht="15" hidden="false" customHeight="false" outlineLevel="0" collapsed="false">
      <c r="F4374" s="41" t="str">
        <f aca="false">IF(E4374="","",IFERROR(VLOOKUP(E4374,Assumptions!$G$5:$H$16,2,0),"Other"))</f>
        <v/>
      </c>
      <c r="J4374" s="41" t="str">
        <f aca="false">IF(G4374="","",IFERROR(IF(ISNUMBER(SEARCH(Assumptions!$C$5,G4374)),Assumptions!$D$5,IF(ISNUMBER(SEARCH(Assumptions!$C$6,G4374)),Assumptions!$D$6,IF(ISNUMBER(SEARCH(Assumptions!$C$7,G4374)),Assumptions!$D$7,"Other Services"))),"Other Services"))</f>
        <v/>
      </c>
    </row>
    <row r="4375" customFormat="false" ht="15" hidden="false" customHeight="false" outlineLevel="0" collapsed="false">
      <c r="F4375" s="41" t="str">
        <f aca="false">IF(E4375="","",IFERROR(VLOOKUP(E4375,Assumptions!$G$5:$H$16,2,0),"Other"))</f>
        <v/>
      </c>
      <c r="J4375" s="41" t="str">
        <f aca="false">IF(G4375="","",IFERROR(IF(ISNUMBER(SEARCH(Assumptions!$C$5,G4375)),Assumptions!$D$5,IF(ISNUMBER(SEARCH(Assumptions!$C$6,G4375)),Assumptions!$D$6,IF(ISNUMBER(SEARCH(Assumptions!$C$7,G4375)),Assumptions!$D$7,"Other Services"))),"Other Services"))</f>
        <v/>
      </c>
    </row>
    <row r="4376" customFormat="false" ht="15" hidden="false" customHeight="false" outlineLevel="0" collapsed="false">
      <c r="F4376" s="41" t="str">
        <f aca="false">IF(E4376="","",IFERROR(VLOOKUP(E4376,Assumptions!$G$5:$H$16,2,0),"Other"))</f>
        <v/>
      </c>
      <c r="J4376" s="41" t="str">
        <f aca="false">IF(G4376="","",IFERROR(IF(ISNUMBER(SEARCH(Assumptions!$C$5,G4376)),Assumptions!$D$5,IF(ISNUMBER(SEARCH(Assumptions!$C$6,G4376)),Assumptions!$D$6,IF(ISNUMBER(SEARCH(Assumptions!$C$7,G4376)),Assumptions!$D$7,"Other Services"))),"Other Services"))</f>
        <v/>
      </c>
    </row>
    <row r="4377" customFormat="false" ht="15" hidden="false" customHeight="false" outlineLevel="0" collapsed="false">
      <c r="F4377" s="41" t="str">
        <f aca="false">IF(E4377="","",IFERROR(VLOOKUP(E4377,Assumptions!$G$5:$H$16,2,0),"Other"))</f>
        <v/>
      </c>
      <c r="J4377" s="41" t="str">
        <f aca="false">IF(G4377="","",IFERROR(IF(ISNUMBER(SEARCH(Assumptions!$C$5,G4377)),Assumptions!$D$5,IF(ISNUMBER(SEARCH(Assumptions!$C$6,G4377)),Assumptions!$D$6,IF(ISNUMBER(SEARCH(Assumptions!$C$7,G4377)),Assumptions!$D$7,"Other Services"))),"Other Services"))</f>
        <v/>
      </c>
    </row>
    <row r="4378" customFormat="false" ht="15" hidden="false" customHeight="false" outlineLevel="0" collapsed="false">
      <c r="F4378" s="41" t="str">
        <f aca="false">IF(E4378="","",IFERROR(VLOOKUP(E4378,Assumptions!$G$5:$H$16,2,0),"Other"))</f>
        <v/>
      </c>
      <c r="J4378" s="41" t="str">
        <f aca="false">IF(G4378="","",IFERROR(IF(ISNUMBER(SEARCH(Assumptions!$C$5,G4378)),Assumptions!$D$5,IF(ISNUMBER(SEARCH(Assumptions!$C$6,G4378)),Assumptions!$D$6,IF(ISNUMBER(SEARCH(Assumptions!$C$7,G4378)),Assumptions!$D$7,"Other Services"))),"Other Services"))</f>
        <v/>
      </c>
    </row>
    <row r="4379" customFormat="false" ht="15" hidden="false" customHeight="false" outlineLevel="0" collapsed="false">
      <c r="F4379" s="41" t="str">
        <f aca="false">IF(E4379="","",IFERROR(VLOOKUP(E4379,Assumptions!$G$5:$H$16,2,0),"Other"))</f>
        <v/>
      </c>
      <c r="J4379" s="41" t="str">
        <f aca="false">IF(G4379="","",IFERROR(IF(ISNUMBER(SEARCH(Assumptions!$C$5,G4379)),Assumptions!$D$5,IF(ISNUMBER(SEARCH(Assumptions!$C$6,G4379)),Assumptions!$D$6,IF(ISNUMBER(SEARCH(Assumptions!$C$7,G4379)),Assumptions!$D$7,"Other Services"))),"Other Services"))</f>
        <v/>
      </c>
    </row>
    <row r="4380" customFormat="false" ht="15" hidden="false" customHeight="false" outlineLevel="0" collapsed="false">
      <c r="F4380" s="41" t="str">
        <f aca="false">IF(E4380="","",IFERROR(VLOOKUP(E4380,Assumptions!$G$5:$H$16,2,0),"Other"))</f>
        <v/>
      </c>
      <c r="J4380" s="41" t="str">
        <f aca="false">IF(G4380="","",IFERROR(IF(ISNUMBER(SEARCH(Assumptions!$C$5,G4380)),Assumptions!$D$5,IF(ISNUMBER(SEARCH(Assumptions!$C$6,G4380)),Assumptions!$D$6,IF(ISNUMBER(SEARCH(Assumptions!$C$7,G4380)),Assumptions!$D$7,"Other Services"))),"Other Services"))</f>
        <v/>
      </c>
    </row>
    <row r="4381" customFormat="false" ht="15" hidden="false" customHeight="false" outlineLevel="0" collapsed="false">
      <c r="F4381" s="41" t="str">
        <f aca="false">IF(E4381="","",IFERROR(VLOOKUP(E4381,Assumptions!$G$5:$H$16,2,0),"Other"))</f>
        <v/>
      </c>
      <c r="J4381" s="41" t="str">
        <f aca="false">IF(G4381="","",IFERROR(IF(ISNUMBER(SEARCH(Assumptions!$C$5,G4381)),Assumptions!$D$5,IF(ISNUMBER(SEARCH(Assumptions!$C$6,G4381)),Assumptions!$D$6,IF(ISNUMBER(SEARCH(Assumptions!$C$7,G4381)),Assumptions!$D$7,"Other Services"))),"Other Services"))</f>
        <v/>
      </c>
    </row>
    <row r="4382" customFormat="false" ht="15" hidden="false" customHeight="false" outlineLevel="0" collapsed="false">
      <c r="F4382" s="41" t="str">
        <f aca="false">IF(E4382="","",IFERROR(VLOOKUP(E4382,Assumptions!$G$5:$H$16,2,0),"Other"))</f>
        <v/>
      </c>
      <c r="J4382" s="41" t="str">
        <f aca="false">IF(G4382="","",IFERROR(IF(ISNUMBER(SEARCH(Assumptions!$C$5,G4382)),Assumptions!$D$5,IF(ISNUMBER(SEARCH(Assumptions!$C$6,G4382)),Assumptions!$D$6,IF(ISNUMBER(SEARCH(Assumptions!$C$7,G4382)),Assumptions!$D$7,"Other Services"))),"Other Services"))</f>
        <v/>
      </c>
    </row>
    <row r="4383" customFormat="false" ht="15" hidden="false" customHeight="false" outlineLevel="0" collapsed="false">
      <c r="F4383" s="41" t="str">
        <f aca="false">IF(E4383="","",IFERROR(VLOOKUP(E4383,Assumptions!$G$5:$H$16,2,0),"Other"))</f>
        <v/>
      </c>
      <c r="J4383" s="41" t="str">
        <f aca="false">IF(G4383="","",IFERROR(IF(ISNUMBER(SEARCH(Assumptions!$C$5,G4383)),Assumptions!$D$5,IF(ISNUMBER(SEARCH(Assumptions!$C$6,G4383)),Assumptions!$D$6,IF(ISNUMBER(SEARCH(Assumptions!$C$7,G4383)),Assumptions!$D$7,"Other Services"))),"Other Services"))</f>
        <v/>
      </c>
    </row>
    <row r="4384" customFormat="false" ht="15" hidden="false" customHeight="false" outlineLevel="0" collapsed="false">
      <c r="F4384" s="41" t="str">
        <f aca="false">IF(E4384="","",IFERROR(VLOOKUP(E4384,Assumptions!$G$5:$H$16,2,0),"Other"))</f>
        <v/>
      </c>
      <c r="J4384" s="41" t="str">
        <f aca="false">IF(G4384="","",IFERROR(IF(ISNUMBER(SEARCH(Assumptions!$C$5,G4384)),Assumptions!$D$5,IF(ISNUMBER(SEARCH(Assumptions!$C$6,G4384)),Assumptions!$D$6,IF(ISNUMBER(SEARCH(Assumptions!$C$7,G4384)),Assumptions!$D$7,"Other Services"))),"Other Services"))</f>
        <v/>
      </c>
    </row>
    <row r="4385" customFormat="false" ht="15" hidden="false" customHeight="false" outlineLevel="0" collapsed="false">
      <c r="F4385" s="41" t="str">
        <f aca="false">IF(E4385="","",IFERROR(VLOOKUP(E4385,Assumptions!$G$5:$H$16,2,0),"Other"))</f>
        <v/>
      </c>
      <c r="J4385" s="41" t="str">
        <f aca="false">IF(G4385="","",IFERROR(IF(ISNUMBER(SEARCH(Assumptions!$C$5,G4385)),Assumptions!$D$5,IF(ISNUMBER(SEARCH(Assumptions!$C$6,G4385)),Assumptions!$D$6,IF(ISNUMBER(SEARCH(Assumptions!$C$7,G4385)),Assumptions!$D$7,"Other Services"))),"Other Services"))</f>
        <v/>
      </c>
    </row>
    <row r="4386" customFormat="false" ht="15" hidden="false" customHeight="false" outlineLevel="0" collapsed="false">
      <c r="F4386" s="41" t="str">
        <f aca="false">IF(E4386="","",IFERROR(VLOOKUP(E4386,Assumptions!$G$5:$H$16,2,0),"Other"))</f>
        <v/>
      </c>
      <c r="J4386" s="41" t="str">
        <f aca="false">IF(G4386="","",IFERROR(IF(ISNUMBER(SEARCH(Assumptions!$C$5,G4386)),Assumptions!$D$5,IF(ISNUMBER(SEARCH(Assumptions!$C$6,G4386)),Assumptions!$D$6,IF(ISNUMBER(SEARCH(Assumptions!$C$7,G4386)),Assumptions!$D$7,"Other Services"))),"Other Services"))</f>
        <v/>
      </c>
    </row>
    <row r="4387" customFormat="false" ht="15" hidden="false" customHeight="false" outlineLevel="0" collapsed="false">
      <c r="F4387" s="41" t="str">
        <f aca="false">IF(E4387="","",IFERROR(VLOOKUP(E4387,Assumptions!$G$5:$H$16,2,0),"Other"))</f>
        <v/>
      </c>
      <c r="J4387" s="41" t="str">
        <f aca="false">IF(G4387="","",IFERROR(IF(ISNUMBER(SEARCH(Assumptions!$C$5,G4387)),Assumptions!$D$5,IF(ISNUMBER(SEARCH(Assumptions!$C$6,G4387)),Assumptions!$D$6,IF(ISNUMBER(SEARCH(Assumptions!$C$7,G4387)),Assumptions!$D$7,"Other Services"))),"Other Services"))</f>
        <v/>
      </c>
    </row>
    <row r="4388" customFormat="false" ht="15" hidden="false" customHeight="false" outlineLevel="0" collapsed="false">
      <c r="F4388" s="41" t="str">
        <f aca="false">IF(E4388="","",IFERROR(VLOOKUP(E4388,Assumptions!$G$5:$H$16,2,0),"Other"))</f>
        <v/>
      </c>
      <c r="J4388" s="41" t="str">
        <f aca="false">IF(G4388="","",IFERROR(IF(ISNUMBER(SEARCH(Assumptions!$C$5,G4388)),Assumptions!$D$5,IF(ISNUMBER(SEARCH(Assumptions!$C$6,G4388)),Assumptions!$D$6,IF(ISNUMBER(SEARCH(Assumptions!$C$7,G4388)),Assumptions!$D$7,"Other Services"))),"Other Services"))</f>
        <v/>
      </c>
    </row>
    <row r="4389" customFormat="false" ht="15" hidden="false" customHeight="false" outlineLevel="0" collapsed="false">
      <c r="F4389" s="41" t="str">
        <f aca="false">IF(E4389="","",IFERROR(VLOOKUP(E4389,Assumptions!$G$5:$H$16,2,0),"Other"))</f>
        <v/>
      </c>
      <c r="J4389" s="41" t="str">
        <f aca="false">IF(G4389="","",IFERROR(IF(ISNUMBER(SEARCH(Assumptions!$C$5,G4389)),Assumptions!$D$5,IF(ISNUMBER(SEARCH(Assumptions!$C$6,G4389)),Assumptions!$D$6,IF(ISNUMBER(SEARCH(Assumptions!$C$7,G4389)),Assumptions!$D$7,"Other Services"))),"Other Services"))</f>
        <v/>
      </c>
    </row>
    <row r="4390" customFormat="false" ht="15" hidden="false" customHeight="false" outlineLevel="0" collapsed="false">
      <c r="F4390" s="41" t="str">
        <f aca="false">IF(E4390="","",IFERROR(VLOOKUP(E4390,Assumptions!$G$5:$H$16,2,0),"Other"))</f>
        <v/>
      </c>
      <c r="J4390" s="41" t="str">
        <f aca="false">IF(G4390="","",IFERROR(IF(ISNUMBER(SEARCH(Assumptions!$C$5,G4390)),Assumptions!$D$5,IF(ISNUMBER(SEARCH(Assumptions!$C$6,G4390)),Assumptions!$D$6,IF(ISNUMBER(SEARCH(Assumptions!$C$7,G4390)),Assumptions!$D$7,"Other Services"))),"Other Services"))</f>
        <v/>
      </c>
    </row>
    <row r="4391" customFormat="false" ht="15" hidden="false" customHeight="false" outlineLevel="0" collapsed="false">
      <c r="F4391" s="41" t="str">
        <f aca="false">IF(E4391="","",IFERROR(VLOOKUP(E4391,Assumptions!$G$5:$H$16,2,0),"Other"))</f>
        <v/>
      </c>
      <c r="J4391" s="41" t="str">
        <f aca="false">IF(G4391="","",IFERROR(IF(ISNUMBER(SEARCH(Assumptions!$C$5,G4391)),Assumptions!$D$5,IF(ISNUMBER(SEARCH(Assumptions!$C$6,G4391)),Assumptions!$D$6,IF(ISNUMBER(SEARCH(Assumptions!$C$7,G4391)),Assumptions!$D$7,"Other Services"))),"Other Services"))</f>
        <v/>
      </c>
    </row>
    <row r="4392" customFormat="false" ht="15" hidden="false" customHeight="false" outlineLevel="0" collapsed="false">
      <c r="F4392" s="41" t="str">
        <f aca="false">IF(E4392="","",IFERROR(VLOOKUP(E4392,Assumptions!$G$5:$H$16,2,0),"Other"))</f>
        <v/>
      </c>
      <c r="J4392" s="41" t="str">
        <f aca="false">IF(G4392="","",IFERROR(IF(ISNUMBER(SEARCH(Assumptions!$C$5,G4392)),Assumptions!$D$5,IF(ISNUMBER(SEARCH(Assumptions!$C$6,G4392)),Assumptions!$D$6,IF(ISNUMBER(SEARCH(Assumptions!$C$7,G4392)),Assumptions!$D$7,"Other Services"))),"Other Services"))</f>
        <v/>
      </c>
    </row>
    <row r="4393" customFormat="false" ht="15" hidden="false" customHeight="false" outlineLevel="0" collapsed="false">
      <c r="F4393" s="41" t="str">
        <f aca="false">IF(E4393="","",IFERROR(VLOOKUP(E4393,Assumptions!$G$5:$H$16,2,0),"Other"))</f>
        <v/>
      </c>
      <c r="J4393" s="41" t="str">
        <f aca="false">IF(G4393="","",IFERROR(IF(ISNUMBER(SEARCH(Assumptions!$C$5,G4393)),Assumptions!$D$5,IF(ISNUMBER(SEARCH(Assumptions!$C$6,G4393)),Assumptions!$D$6,IF(ISNUMBER(SEARCH(Assumptions!$C$7,G4393)),Assumptions!$D$7,"Other Services"))),"Other Services"))</f>
        <v/>
      </c>
    </row>
    <row r="4394" customFormat="false" ht="15" hidden="false" customHeight="false" outlineLevel="0" collapsed="false">
      <c r="F4394" s="41" t="str">
        <f aca="false">IF(E4394="","",IFERROR(VLOOKUP(E4394,Assumptions!$G$5:$H$16,2,0),"Other"))</f>
        <v/>
      </c>
      <c r="J4394" s="41" t="str">
        <f aca="false">IF(G4394="","",IFERROR(IF(ISNUMBER(SEARCH(Assumptions!$C$5,G4394)),Assumptions!$D$5,IF(ISNUMBER(SEARCH(Assumptions!$C$6,G4394)),Assumptions!$D$6,IF(ISNUMBER(SEARCH(Assumptions!$C$7,G4394)),Assumptions!$D$7,"Other Services"))),"Other Services"))</f>
        <v/>
      </c>
    </row>
    <row r="4395" customFormat="false" ht="15" hidden="false" customHeight="false" outlineLevel="0" collapsed="false">
      <c r="F4395" s="41" t="str">
        <f aca="false">IF(E4395="","",IFERROR(VLOOKUP(E4395,Assumptions!$G$5:$H$16,2,0),"Other"))</f>
        <v/>
      </c>
      <c r="J4395" s="41" t="str">
        <f aca="false">IF(G4395="","",IFERROR(IF(ISNUMBER(SEARCH(Assumptions!$C$5,G4395)),Assumptions!$D$5,IF(ISNUMBER(SEARCH(Assumptions!$C$6,G4395)),Assumptions!$D$6,IF(ISNUMBER(SEARCH(Assumptions!$C$7,G4395)),Assumptions!$D$7,"Other Services"))),"Other Services"))</f>
        <v/>
      </c>
    </row>
    <row r="4396" customFormat="false" ht="15" hidden="false" customHeight="false" outlineLevel="0" collapsed="false">
      <c r="F4396" s="41" t="str">
        <f aca="false">IF(E4396="","",IFERROR(VLOOKUP(E4396,Assumptions!$G$5:$H$16,2,0),"Other"))</f>
        <v/>
      </c>
      <c r="J4396" s="41" t="str">
        <f aca="false">IF(G4396="","",IFERROR(IF(ISNUMBER(SEARCH(Assumptions!$C$5,G4396)),Assumptions!$D$5,IF(ISNUMBER(SEARCH(Assumptions!$C$6,G4396)),Assumptions!$D$6,IF(ISNUMBER(SEARCH(Assumptions!$C$7,G4396)),Assumptions!$D$7,"Other Services"))),"Other Services"))</f>
        <v/>
      </c>
    </row>
    <row r="4397" customFormat="false" ht="15" hidden="false" customHeight="false" outlineLevel="0" collapsed="false">
      <c r="F4397" s="41" t="str">
        <f aca="false">IF(E4397="","",IFERROR(VLOOKUP(E4397,Assumptions!$G$5:$H$16,2,0),"Other"))</f>
        <v/>
      </c>
      <c r="J4397" s="41" t="str">
        <f aca="false">IF(G4397="","",IFERROR(IF(ISNUMBER(SEARCH(Assumptions!$C$5,G4397)),Assumptions!$D$5,IF(ISNUMBER(SEARCH(Assumptions!$C$6,G4397)),Assumptions!$D$6,IF(ISNUMBER(SEARCH(Assumptions!$C$7,G4397)),Assumptions!$D$7,"Other Services"))),"Other Services"))</f>
        <v/>
      </c>
    </row>
    <row r="4398" customFormat="false" ht="15" hidden="false" customHeight="false" outlineLevel="0" collapsed="false">
      <c r="F4398" s="41" t="str">
        <f aca="false">IF(E4398="","",IFERROR(VLOOKUP(E4398,Assumptions!$G$5:$H$16,2,0),"Other"))</f>
        <v/>
      </c>
      <c r="J4398" s="41" t="str">
        <f aca="false">IF(G4398="","",IFERROR(IF(ISNUMBER(SEARCH(Assumptions!$C$5,G4398)),Assumptions!$D$5,IF(ISNUMBER(SEARCH(Assumptions!$C$6,G4398)),Assumptions!$D$6,IF(ISNUMBER(SEARCH(Assumptions!$C$7,G4398)),Assumptions!$D$7,"Other Services"))),"Other Services"))</f>
        <v/>
      </c>
    </row>
    <row r="4399" customFormat="false" ht="15" hidden="false" customHeight="false" outlineLevel="0" collapsed="false">
      <c r="F4399" s="41" t="str">
        <f aca="false">IF(E4399="","",IFERROR(VLOOKUP(E4399,Assumptions!$G$5:$H$16,2,0),"Other"))</f>
        <v/>
      </c>
      <c r="J4399" s="41" t="str">
        <f aca="false">IF(G4399="","",IFERROR(IF(ISNUMBER(SEARCH(Assumptions!$C$5,G4399)),Assumptions!$D$5,IF(ISNUMBER(SEARCH(Assumptions!$C$6,G4399)),Assumptions!$D$6,IF(ISNUMBER(SEARCH(Assumptions!$C$7,G4399)),Assumptions!$D$7,"Other Services"))),"Other Services"))</f>
        <v/>
      </c>
    </row>
    <row r="4400" customFormat="false" ht="15" hidden="false" customHeight="false" outlineLevel="0" collapsed="false">
      <c r="F4400" s="41" t="str">
        <f aca="false">IF(E4400="","",IFERROR(VLOOKUP(E4400,Assumptions!$G$5:$H$16,2,0),"Other"))</f>
        <v/>
      </c>
      <c r="J4400" s="41" t="str">
        <f aca="false">IF(G4400="","",IFERROR(IF(ISNUMBER(SEARCH(Assumptions!$C$5,G4400)),Assumptions!$D$5,IF(ISNUMBER(SEARCH(Assumptions!$C$6,G4400)),Assumptions!$D$6,IF(ISNUMBER(SEARCH(Assumptions!$C$7,G4400)),Assumptions!$D$7,"Other Services"))),"Other Services"))</f>
        <v/>
      </c>
    </row>
    <row r="4401" customFormat="false" ht="15" hidden="false" customHeight="false" outlineLevel="0" collapsed="false">
      <c r="F4401" s="41" t="str">
        <f aca="false">IF(E4401="","",IFERROR(VLOOKUP(E4401,Assumptions!$G$5:$H$16,2,0),"Other"))</f>
        <v/>
      </c>
      <c r="J4401" s="41" t="str">
        <f aca="false">IF(G4401="","",IFERROR(IF(ISNUMBER(SEARCH(Assumptions!$C$5,G4401)),Assumptions!$D$5,IF(ISNUMBER(SEARCH(Assumptions!$C$6,G4401)),Assumptions!$D$6,IF(ISNUMBER(SEARCH(Assumptions!$C$7,G4401)),Assumptions!$D$7,"Other Services"))),"Other Services"))</f>
        <v/>
      </c>
    </row>
    <row r="4402" customFormat="false" ht="15" hidden="false" customHeight="false" outlineLevel="0" collapsed="false">
      <c r="F4402" s="41" t="str">
        <f aca="false">IF(E4402="","",IFERROR(VLOOKUP(E4402,Assumptions!$G$5:$H$16,2,0),"Other"))</f>
        <v/>
      </c>
      <c r="J4402" s="41" t="str">
        <f aca="false">IF(G4402="","",IFERROR(IF(ISNUMBER(SEARCH(Assumptions!$C$5,G4402)),Assumptions!$D$5,IF(ISNUMBER(SEARCH(Assumptions!$C$6,G4402)),Assumptions!$D$6,IF(ISNUMBER(SEARCH(Assumptions!$C$7,G4402)),Assumptions!$D$7,"Other Services"))),"Other Services"))</f>
        <v/>
      </c>
    </row>
    <row r="4403" customFormat="false" ht="15" hidden="false" customHeight="false" outlineLevel="0" collapsed="false">
      <c r="F4403" s="41" t="str">
        <f aca="false">IF(E4403="","",IFERROR(VLOOKUP(E4403,Assumptions!$G$5:$H$16,2,0),"Other"))</f>
        <v/>
      </c>
      <c r="J4403" s="41" t="str">
        <f aca="false">IF(G4403="","",IFERROR(IF(ISNUMBER(SEARCH(Assumptions!$C$5,G4403)),Assumptions!$D$5,IF(ISNUMBER(SEARCH(Assumptions!$C$6,G4403)),Assumptions!$D$6,IF(ISNUMBER(SEARCH(Assumptions!$C$7,G4403)),Assumptions!$D$7,"Other Services"))),"Other Services"))</f>
        <v/>
      </c>
    </row>
    <row r="4404" customFormat="false" ht="15" hidden="false" customHeight="false" outlineLevel="0" collapsed="false">
      <c r="F4404" s="41" t="str">
        <f aca="false">IF(E4404="","",IFERROR(VLOOKUP(E4404,Assumptions!$G$5:$H$16,2,0),"Other"))</f>
        <v/>
      </c>
      <c r="J4404" s="41" t="str">
        <f aca="false">IF(G4404="","",IFERROR(IF(ISNUMBER(SEARCH(Assumptions!$C$5,G4404)),Assumptions!$D$5,IF(ISNUMBER(SEARCH(Assumptions!$C$6,G4404)),Assumptions!$D$6,IF(ISNUMBER(SEARCH(Assumptions!$C$7,G4404)),Assumptions!$D$7,"Other Services"))),"Other Services"))</f>
        <v/>
      </c>
    </row>
    <row r="4405" customFormat="false" ht="15" hidden="false" customHeight="false" outlineLevel="0" collapsed="false">
      <c r="F4405" s="41" t="str">
        <f aca="false">IF(E4405="","",IFERROR(VLOOKUP(E4405,Assumptions!$G$5:$H$16,2,0),"Other"))</f>
        <v/>
      </c>
      <c r="J4405" s="41" t="str">
        <f aca="false">IF(G4405="","",IFERROR(IF(ISNUMBER(SEARCH(Assumptions!$C$5,G4405)),Assumptions!$D$5,IF(ISNUMBER(SEARCH(Assumptions!$C$6,G4405)),Assumptions!$D$6,IF(ISNUMBER(SEARCH(Assumptions!$C$7,G4405)),Assumptions!$D$7,"Other Services"))),"Other Services"))</f>
        <v/>
      </c>
    </row>
    <row r="4406" customFormat="false" ht="15" hidden="false" customHeight="false" outlineLevel="0" collapsed="false">
      <c r="F4406" s="41" t="str">
        <f aca="false">IF(E4406="","",IFERROR(VLOOKUP(E4406,Assumptions!$G$5:$H$16,2,0),"Other"))</f>
        <v/>
      </c>
      <c r="J4406" s="41" t="str">
        <f aca="false">IF(G4406="","",IFERROR(IF(ISNUMBER(SEARCH(Assumptions!$C$5,G4406)),Assumptions!$D$5,IF(ISNUMBER(SEARCH(Assumptions!$C$6,G4406)),Assumptions!$D$6,IF(ISNUMBER(SEARCH(Assumptions!$C$7,G4406)),Assumptions!$D$7,"Other Services"))),"Other Services"))</f>
        <v/>
      </c>
    </row>
    <row r="4407" customFormat="false" ht="15" hidden="false" customHeight="false" outlineLevel="0" collapsed="false">
      <c r="F4407" s="41" t="str">
        <f aca="false">IF(E4407="","",IFERROR(VLOOKUP(E4407,Assumptions!$G$5:$H$16,2,0),"Other"))</f>
        <v/>
      </c>
      <c r="J4407" s="41" t="str">
        <f aca="false">IF(G4407="","",IFERROR(IF(ISNUMBER(SEARCH(Assumptions!$C$5,G4407)),Assumptions!$D$5,IF(ISNUMBER(SEARCH(Assumptions!$C$6,G4407)),Assumptions!$D$6,IF(ISNUMBER(SEARCH(Assumptions!$C$7,G4407)),Assumptions!$D$7,"Other Services"))),"Other Services"))</f>
        <v/>
      </c>
    </row>
    <row r="4408" customFormat="false" ht="15" hidden="false" customHeight="false" outlineLevel="0" collapsed="false">
      <c r="F4408" s="41" t="str">
        <f aca="false">IF(E4408="","",IFERROR(VLOOKUP(E4408,Assumptions!$G$5:$H$16,2,0),"Other"))</f>
        <v/>
      </c>
      <c r="J4408" s="41" t="str">
        <f aca="false">IF(G4408="","",IFERROR(IF(ISNUMBER(SEARCH(Assumptions!$C$5,G4408)),Assumptions!$D$5,IF(ISNUMBER(SEARCH(Assumptions!$C$6,G4408)),Assumptions!$D$6,IF(ISNUMBER(SEARCH(Assumptions!$C$7,G4408)),Assumptions!$D$7,"Other Services"))),"Other Services"))</f>
        <v/>
      </c>
    </row>
    <row r="4409" customFormat="false" ht="15" hidden="false" customHeight="false" outlineLevel="0" collapsed="false">
      <c r="F4409" s="41" t="str">
        <f aca="false">IF(E4409="","",IFERROR(VLOOKUP(E4409,Assumptions!$G$5:$H$16,2,0),"Other"))</f>
        <v/>
      </c>
      <c r="J4409" s="41" t="str">
        <f aca="false">IF(G4409="","",IFERROR(IF(ISNUMBER(SEARCH(Assumptions!$C$5,G4409)),Assumptions!$D$5,IF(ISNUMBER(SEARCH(Assumptions!$C$6,G4409)),Assumptions!$D$6,IF(ISNUMBER(SEARCH(Assumptions!$C$7,G4409)),Assumptions!$D$7,"Other Services"))),"Other Services"))</f>
        <v/>
      </c>
    </row>
    <row r="4410" customFormat="false" ht="15" hidden="false" customHeight="false" outlineLevel="0" collapsed="false">
      <c r="F4410" s="41" t="str">
        <f aca="false">IF(E4410="","",IFERROR(VLOOKUP(E4410,Assumptions!$G$5:$H$16,2,0),"Other"))</f>
        <v/>
      </c>
      <c r="J4410" s="41" t="str">
        <f aca="false">IF(G4410="","",IFERROR(IF(ISNUMBER(SEARCH(Assumptions!$C$5,G4410)),Assumptions!$D$5,IF(ISNUMBER(SEARCH(Assumptions!$C$6,G4410)),Assumptions!$D$6,IF(ISNUMBER(SEARCH(Assumptions!$C$7,G4410)),Assumptions!$D$7,"Other Services"))),"Other Services"))</f>
        <v/>
      </c>
    </row>
    <row r="4411" customFormat="false" ht="15" hidden="false" customHeight="false" outlineLevel="0" collapsed="false">
      <c r="F4411" s="41" t="str">
        <f aca="false">IF(E4411="","",IFERROR(VLOOKUP(E4411,Assumptions!$G$5:$H$16,2,0),"Other"))</f>
        <v/>
      </c>
      <c r="J4411" s="41" t="str">
        <f aca="false">IF(G4411="","",IFERROR(IF(ISNUMBER(SEARCH(Assumptions!$C$5,G4411)),Assumptions!$D$5,IF(ISNUMBER(SEARCH(Assumptions!$C$6,G4411)),Assumptions!$D$6,IF(ISNUMBER(SEARCH(Assumptions!$C$7,G4411)),Assumptions!$D$7,"Other Services"))),"Other Services"))</f>
        <v/>
      </c>
    </row>
    <row r="4412" customFormat="false" ht="15" hidden="false" customHeight="false" outlineLevel="0" collapsed="false">
      <c r="F4412" s="41" t="str">
        <f aca="false">IF(E4412="","",IFERROR(VLOOKUP(E4412,Assumptions!$G$5:$H$16,2,0),"Other"))</f>
        <v/>
      </c>
      <c r="J4412" s="41" t="str">
        <f aca="false">IF(G4412="","",IFERROR(IF(ISNUMBER(SEARCH(Assumptions!$C$5,G4412)),Assumptions!$D$5,IF(ISNUMBER(SEARCH(Assumptions!$C$6,G4412)),Assumptions!$D$6,IF(ISNUMBER(SEARCH(Assumptions!$C$7,G4412)),Assumptions!$D$7,"Other Services"))),"Other Services"))</f>
        <v/>
      </c>
    </row>
    <row r="4413" customFormat="false" ht="15" hidden="false" customHeight="false" outlineLevel="0" collapsed="false">
      <c r="F4413" s="41" t="str">
        <f aca="false">IF(E4413="","",IFERROR(VLOOKUP(E4413,Assumptions!$G$5:$H$16,2,0),"Other"))</f>
        <v/>
      </c>
      <c r="J4413" s="41" t="str">
        <f aca="false">IF(G4413="","",IFERROR(IF(ISNUMBER(SEARCH(Assumptions!$C$5,G4413)),Assumptions!$D$5,IF(ISNUMBER(SEARCH(Assumptions!$C$6,G4413)),Assumptions!$D$6,IF(ISNUMBER(SEARCH(Assumptions!$C$7,G4413)),Assumptions!$D$7,"Other Services"))),"Other Services"))</f>
        <v/>
      </c>
    </row>
    <row r="4414" customFormat="false" ht="15" hidden="false" customHeight="false" outlineLevel="0" collapsed="false">
      <c r="F4414" s="41" t="str">
        <f aca="false">IF(E4414="","",IFERROR(VLOOKUP(E4414,Assumptions!$G$5:$H$16,2,0),"Other"))</f>
        <v/>
      </c>
      <c r="J4414" s="41" t="str">
        <f aca="false">IF(G4414="","",IFERROR(IF(ISNUMBER(SEARCH(Assumptions!$C$5,G4414)),Assumptions!$D$5,IF(ISNUMBER(SEARCH(Assumptions!$C$6,G4414)),Assumptions!$D$6,IF(ISNUMBER(SEARCH(Assumptions!$C$7,G4414)),Assumptions!$D$7,"Other Services"))),"Other Services"))</f>
        <v/>
      </c>
    </row>
    <row r="4415" customFormat="false" ht="15" hidden="false" customHeight="false" outlineLevel="0" collapsed="false">
      <c r="F4415" s="41" t="str">
        <f aca="false">IF(E4415="","",IFERROR(VLOOKUP(E4415,Assumptions!$G$5:$H$16,2,0),"Other"))</f>
        <v/>
      </c>
      <c r="J4415" s="41" t="str">
        <f aca="false">IF(G4415="","",IFERROR(IF(ISNUMBER(SEARCH(Assumptions!$C$5,G4415)),Assumptions!$D$5,IF(ISNUMBER(SEARCH(Assumptions!$C$6,G4415)),Assumptions!$D$6,IF(ISNUMBER(SEARCH(Assumptions!$C$7,G4415)),Assumptions!$D$7,"Other Services"))),"Other Services"))</f>
        <v/>
      </c>
    </row>
    <row r="4416" customFormat="false" ht="15" hidden="false" customHeight="false" outlineLevel="0" collapsed="false">
      <c r="F4416" s="41" t="str">
        <f aca="false">IF(E4416="","",IFERROR(VLOOKUP(E4416,Assumptions!$G$5:$H$16,2,0),"Other"))</f>
        <v/>
      </c>
      <c r="J4416" s="41" t="str">
        <f aca="false">IF(G4416="","",IFERROR(IF(ISNUMBER(SEARCH(Assumptions!$C$5,G4416)),Assumptions!$D$5,IF(ISNUMBER(SEARCH(Assumptions!$C$6,G4416)),Assumptions!$D$6,IF(ISNUMBER(SEARCH(Assumptions!$C$7,G4416)),Assumptions!$D$7,"Other Services"))),"Other Services"))</f>
        <v/>
      </c>
    </row>
    <row r="4417" customFormat="false" ht="15" hidden="false" customHeight="false" outlineLevel="0" collapsed="false">
      <c r="F4417" s="41" t="str">
        <f aca="false">IF(E4417="","",IFERROR(VLOOKUP(E4417,Assumptions!$G$5:$H$16,2,0),"Other"))</f>
        <v/>
      </c>
      <c r="J4417" s="41" t="str">
        <f aca="false">IF(G4417="","",IFERROR(IF(ISNUMBER(SEARCH(Assumptions!$C$5,G4417)),Assumptions!$D$5,IF(ISNUMBER(SEARCH(Assumptions!$C$6,G4417)),Assumptions!$D$6,IF(ISNUMBER(SEARCH(Assumptions!$C$7,G4417)),Assumptions!$D$7,"Other Services"))),"Other Services"))</f>
        <v/>
      </c>
    </row>
    <row r="4418" customFormat="false" ht="15" hidden="false" customHeight="false" outlineLevel="0" collapsed="false">
      <c r="F4418" s="41" t="str">
        <f aca="false">IF(E4418="","",IFERROR(VLOOKUP(E4418,Assumptions!$G$5:$H$16,2,0),"Other"))</f>
        <v/>
      </c>
      <c r="J4418" s="41" t="str">
        <f aca="false">IF(G4418="","",IFERROR(IF(ISNUMBER(SEARCH(Assumptions!$C$5,G4418)),Assumptions!$D$5,IF(ISNUMBER(SEARCH(Assumptions!$C$6,G4418)),Assumptions!$D$6,IF(ISNUMBER(SEARCH(Assumptions!$C$7,G4418)),Assumptions!$D$7,"Other Services"))),"Other Services"))</f>
        <v/>
      </c>
    </row>
    <row r="4419" customFormat="false" ht="15" hidden="false" customHeight="false" outlineLevel="0" collapsed="false">
      <c r="F4419" s="41" t="str">
        <f aca="false">IF(E4419="","",IFERROR(VLOOKUP(E4419,Assumptions!$G$5:$H$16,2,0),"Other"))</f>
        <v/>
      </c>
      <c r="J4419" s="41" t="str">
        <f aca="false">IF(G4419="","",IFERROR(IF(ISNUMBER(SEARCH(Assumptions!$C$5,G4419)),Assumptions!$D$5,IF(ISNUMBER(SEARCH(Assumptions!$C$6,G4419)),Assumptions!$D$6,IF(ISNUMBER(SEARCH(Assumptions!$C$7,G4419)),Assumptions!$D$7,"Other Services"))),"Other Services"))</f>
        <v/>
      </c>
    </row>
    <row r="4420" customFormat="false" ht="15" hidden="false" customHeight="false" outlineLevel="0" collapsed="false">
      <c r="F4420" s="41" t="str">
        <f aca="false">IF(E4420="","",IFERROR(VLOOKUP(E4420,Assumptions!$G$5:$H$16,2,0),"Other"))</f>
        <v/>
      </c>
      <c r="J4420" s="41" t="str">
        <f aca="false">IF(G4420="","",IFERROR(IF(ISNUMBER(SEARCH(Assumptions!$C$5,G4420)),Assumptions!$D$5,IF(ISNUMBER(SEARCH(Assumptions!$C$6,G4420)),Assumptions!$D$6,IF(ISNUMBER(SEARCH(Assumptions!$C$7,G4420)),Assumptions!$D$7,"Other Services"))),"Other Services"))</f>
        <v/>
      </c>
    </row>
    <row r="4421" customFormat="false" ht="15" hidden="false" customHeight="false" outlineLevel="0" collapsed="false">
      <c r="F4421" s="41" t="str">
        <f aca="false">IF(E4421="","",IFERROR(VLOOKUP(E4421,Assumptions!$G$5:$H$16,2,0),"Other"))</f>
        <v/>
      </c>
      <c r="J4421" s="41" t="str">
        <f aca="false">IF(G4421="","",IFERROR(IF(ISNUMBER(SEARCH(Assumptions!$C$5,G4421)),Assumptions!$D$5,IF(ISNUMBER(SEARCH(Assumptions!$C$6,G4421)),Assumptions!$D$6,IF(ISNUMBER(SEARCH(Assumptions!$C$7,G4421)),Assumptions!$D$7,"Other Services"))),"Other Services"))</f>
        <v/>
      </c>
    </row>
    <row r="4422" customFormat="false" ht="15" hidden="false" customHeight="false" outlineLevel="0" collapsed="false">
      <c r="F4422" s="41" t="str">
        <f aca="false">IF(E4422="","",IFERROR(VLOOKUP(E4422,Assumptions!$G$5:$H$16,2,0),"Other"))</f>
        <v/>
      </c>
      <c r="J4422" s="41" t="str">
        <f aca="false">IF(G4422="","",IFERROR(IF(ISNUMBER(SEARCH(Assumptions!$C$5,G4422)),Assumptions!$D$5,IF(ISNUMBER(SEARCH(Assumptions!$C$6,G4422)),Assumptions!$D$6,IF(ISNUMBER(SEARCH(Assumptions!$C$7,G4422)),Assumptions!$D$7,"Other Services"))),"Other Services"))</f>
        <v/>
      </c>
    </row>
    <row r="4423" customFormat="false" ht="15" hidden="false" customHeight="false" outlineLevel="0" collapsed="false">
      <c r="F4423" s="41" t="str">
        <f aca="false">IF(E4423="","",IFERROR(VLOOKUP(E4423,Assumptions!$G$5:$H$16,2,0),"Other"))</f>
        <v/>
      </c>
      <c r="J4423" s="41" t="str">
        <f aca="false">IF(G4423="","",IFERROR(IF(ISNUMBER(SEARCH(Assumptions!$C$5,G4423)),Assumptions!$D$5,IF(ISNUMBER(SEARCH(Assumptions!$C$6,G4423)),Assumptions!$D$6,IF(ISNUMBER(SEARCH(Assumptions!$C$7,G4423)),Assumptions!$D$7,"Other Services"))),"Other Services"))</f>
        <v/>
      </c>
    </row>
    <row r="4424" customFormat="false" ht="15" hidden="false" customHeight="false" outlineLevel="0" collapsed="false">
      <c r="F4424" s="41" t="str">
        <f aca="false">IF(E4424="","",IFERROR(VLOOKUP(E4424,Assumptions!$G$5:$H$16,2,0),"Other"))</f>
        <v/>
      </c>
      <c r="J4424" s="41" t="str">
        <f aca="false">IF(G4424="","",IFERROR(IF(ISNUMBER(SEARCH(Assumptions!$C$5,G4424)),Assumptions!$D$5,IF(ISNUMBER(SEARCH(Assumptions!$C$6,G4424)),Assumptions!$D$6,IF(ISNUMBER(SEARCH(Assumptions!$C$7,G4424)),Assumptions!$D$7,"Other Services"))),"Other Services"))</f>
        <v/>
      </c>
    </row>
    <row r="4425" customFormat="false" ht="15" hidden="false" customHeight="false" outlineLevel="0" collapsed="false">
      <c r="F4425" s="41" t="str">
        <f aca="false">IF(E4425="","",IFERROR(VLOOKUP(E4425,Assumptions!$G$5:$H$16,2,0),"Other"))</f>
        <v/>
      </c>
      <c r="J4425" s="41" t="str">
        <f aca="false">IF(G4425="","",IFERROR(IF(ISNUMBER(SEARCH(Assumptions!$C$5,G4425)),Assumptions!$D$5,IF(ISNUMBER(SEARCH(Assumptions!$C$6,G4425)),Assumptions!$D$6,IF(ISNUMBER(SEARCH(Assumptions!$C$7,G4425)),Assumptions!$D$7,"Other Services"))),"Other Services"))</f>
        <v/>
      </c>
    </row>
    <row r="4426" customFormat="false" ht="15" hidden="false" customHeight="false" outlineLevel="0" collapsed="false">
      <c r="F4426" s="41" t="str">
        <f aca="false">IF(E4426="","",IFERROR(VLOOKUP(E4426,Assumptions!$G$5:$H$16,2,0),"Other"))</f>
        <v/>
      </c>
      <c r="J4426" s="41" t="str">
        <f aca="false">IF(G4426="","",IFERROR(IF(ISNUMBER(SEARCH(Assumptions!$C$5,G4426)),Assumptions!$D$5,IF(ISNUMBER(SEARCH(Assumptions!$C$6,G4426)),Assumptions!$D$6,IF(ISNUMBER(SEARCH(Assumptions!$C$7,G4426)),Assumptions!$D$7,"Other Services"))),"Other Services"))</f>
        <v/>
      </c>
    </row>
    <row r="4427" customFormat="false" ht="15" hidden="false" customHeight="false" outlineLevel="0" collapsed="false">
      <c r="F4427" s="41" t="str">
        <f aca="false">IF(E4427="","",IFERROR(VLOOKUP(E4427,Assumptions!$G$5:$H$16,2,0),"Other"))</f>
        <v/>
      </c>
      <c r="J4427" s="41" t="str">
        <f aca="false">IF(G4427="","",IFERROR(IF(ISNUMBER(SEARCH(Assumptions!$C$5,G4427)),Assumptions!$D$5,IF(ISNUMBER(SEARCH(Assumptions!$C$6,G4427)),Assumptions!$D$6,IF(ISNUMBER(SEARCH(Assumptions!$C$7,G4427)),Assumptions!$D$7,"Other Services"))),"Other Services"))</f>
        <v/>
      </c>
    </row>
    <row r="4428" customFormat="false" ht="15" hidden="false" customHeight="false" outlineLevel="0" collapsed="false">
      <c r="F4428" s="41" t="str">
        <f aca="false">IF(E4428="","",IFERROR(VLOOKUP(E4428,Assumptions!$G$5:$H$16,2,0),"Other"))</f>
        <v/>
      </c>
      <c r="J4428" s="41" t="str">
        <f aca="false">IF(G4428="","",IFERROR(IF(ISNUMBER(SEARCH(Assumptions!$C$5,G4428)),Assumptions!$D$5,IF(ISNUMBER(SEARCH(Assumptions!$C$6,G4428)),Assumptions!$D$6,IF(ISNUMBER(SEARCH(Assumptions!$C$7,G4428)),Assumptions!$D$7,"Other Services"))),"Other Services"))</f>
        <v/>
      </c>
    </row>
    <row r="4429" customFormat="false" ht="15" hidden="false" customHeight="false" outlineLevel="0" collapsed="false">
      <c r="F4429" s="41" t="str">
        <f aca="false">IF(E4429="","",IFERROR(VLOOKUP(E4429,Assumptions!$G$5:$H$16,2,0),"Other"))</f>
        <v/>
      </c>
      <c r="J4429" s="41" t="str">
        <f aca="false">IF(G4429="","",IFERROR(IF(ISNUMBER(SEARCH(Assumptions!$C$5,G4429)),Assumptions!$D$5,IF(ISNUMBER(SEARCH(Assumptions!$C$6,G4429)),Assumptions!$D$6,IF(ISNUMBER(SEARCH(Assumptions!$C$7,G4429)),Assumptions!$D$7,"Other Services"))),"Other Services"))</f>
        <v/>
      </c>
    </row>
    <row r="4430" customFormat="false" ht="15" hidden="false" customHeight="false" outlineLevel="0" collapsed="false">
      <c r="F4430" s="41" t="str">
        <f aca="false">IF(E4430="","",IFERROR(VLOOKUP(E4430,Assumptions!$G$5:$H$16,2,0),"Other"))</f>
        <v/>
      </c>
      <c r="J4430" s="41" t="str">
        <f aca="false">IF(G4430="","",IFERROR(IF(ISNUMBER(SEARCH(Assumptions!$C$5,G4430)),Assumptions!$D$5,IF(ISNUMBER(SEARCH(Assumptions!$C$6,G4430)),Assumptions!$D$6,IF(ISNUMBER(SEARCH(Assumptions!$C$7,G4430)),Assumptions!$D$7,"Other Services"))),"Other Services"))</f>
        <v/>
      </c>
    </row>
    <row r="4431" customFormat="false" ht="15" hidden="false" customHeight="false" outlineLevel="0" collapsed="false">
      <c r="F4431" s="41" t="str">
        <f aca="false">IF(E4431="","",IFERROR(VLOOKUP(E4431,Assumptions!$G$5:$H$16,2,0),"Other"))</f>
        <v/>
      </c>
      <c r="J4431" s="41" t="str">
        <f aca="false">IF(G4431="","",IFERROR(IF(ISNUMBER(SEARCH(Assumptions!$C$5,G4431)),Assumptions!$D$5,IF(ISNUMBER(SEARCH(Assumptions!$C$6,G4431)),Assumptions!$D$6,IF(ISNUMBER(SEARCH(Assumptions!$C$7,G4431)),Assumptions!$D$7,"Other Services"))),"Other Services"))</f>
        <v/>
      </c>
    </row>
    <row r="4432" customFormat="false" ht="15" hidden="false" customHeight="false" outlineLevel="0" collapsed="false">
      <c r="F4432" s="41" t="str">
        <f aca="false">IF(E4432="","",IFERROR(VLOOKUP(E4432,Assumptions!$G$5:$H$16,2,0),"Other"))</f>
        <v/>
      </c>
      <c r="J4432" s="41" t="str">
        <f aca="false">IF(G4432="","",IFERROR(IF(ISNUMBER(SEARCH(Assumptions!$C$5,G4432)),Assumptions!$D$5,IF(ISNUMBER(SEARCH(Assumptions!$C$6,G4432)),Assumptions!$D$6,IF(ISNUMBER(SEARCH(Assumptions!$C$7,G4432)),Assumptions!$D$7,"Other Services"))),"Other Services"))</f>
        <v/>
      </c>
    </row>
    <row r="4433" customFormat="false" ht="15" hidden="false" customHeight="false" outlineLevel="0" collapsed="false">
      <c r="F4433" s="41" t="str">
        <f aca="false">IF(E4433="","",IFERROR(VLOOKUP(E4433,Assumptions!$G$5:$H$16,2,0),"Other"))</f>
        <v/>
      </c>
      <c r="J4433" s="41" t="str">
        <f aca="false">IF(G4433="","",IFERROR(IF(ISNUMBER(SEARCH(Assumptions!$C$5,G4433)),Assumptions!$D$5,IF(ISNUMBER(SEARCH(Assumptions!$C$6,G4433)),Assumptions!$D$6,IF(ISNUMBER(SEARCH(Assumptions!$C$7,G4433)),Assumptions!$D$7,"Other Services"))),"Other Services"))</f>
        <v/>
      </c>
    </row>
    <row r="4434" customFormat="false" ht="15" hidden="false" customHeight="false" outlineLevel="0" collapsed="false">
      <c r="F4434" s="41" t="str">
        <f aca="false">IF(E4434="","",IFERROR(VLOOKUP(E4434,Assumptions!$G$5:$H$16,2,0),"Other"))</f>
        <v/>
      </c>
      <c r="J4434" s="41" t="str">
        <f aca="false">IF(G4434="","",IFERROR(IF(ISNUMBER(SEARCH(Assumptions!$C$5,G4434)),Assumptions!$D$5,IF(ISNUMBER(SEARCH(Assumptions!$C$6,G4434)),Assumptions!$D$6,IF(ISNUMBER(SEARCH(Assumptions!$C$7,G4434)),Assumptions!$D$7,"Other Services"))),"Other Services"))</f>
        <v/>
      </c>
    </row>
    <row r="4435" customFormat="false" ht="15" hidden="false" customHeight="false" outlineLevel="0" collapsed="false">
      <c r="F4435" s="41" t="str">
        <f aca="false">IF(E4435="","",IFERROR(VLOOKUP(E4435,Assumptions!$G$5:$H$16,2,0),"Other"))</f>
        <v/>
      </c>
      <c r="J4435" s="41" t="str">
        <f aca="false">IF(G4435="","",IFERROR(IF(ISNUMBER(SEARCH(Assumptions!$C$5,G4435)),Assumptions!$D$5,IF(ISNUMBER(SEARCH(Assumptions!$C$6,G4435)),Assumptions!$D$6,IF(ISNUMBER(SEARCH(Assumptions!$C$7,G4435)),Assumptions!$D$7,"Other Services"))),"Other Services"))</f>
        <v/>
      </c>
    </row>
    <row r="4436" customFormat="false" ht="15" hidden="false" customHeight="false" outlineLevel="0" collapsed="false">
      <c r="F4436" s="41" t="str">
        <f aca="false">IF(E4436="","",IFERROR(VLOOKUP(E4436,Assumptions!$G$5:$H$16,2,0),"Other"))</f>
        <v/>
      </c>
      <c r="J4436" s="41" t="str">
        <f aca="false">IF(G4436="","",IFERROR(IF(ISNUMBER(SEARCH(Assumptions!$C$5,G4436)),Assumptions!$D$5,IF(ISNUMBER(SEARCH(Assumptions!$C$6,G4436)),Assumptions!$D$6,IF(ISNUMBER(SEARCH(Assumptions!$C$7,G4436)),Assumptions!$D$7,"Other Services"))),"Other Services"))</f>
        <v/>
      </c>
    </row>
    <row r="4437" customFormat="false" ht="15" hidden="false" customHeight="false" outlineLevel="0" collapsed="false">
      <c r="F4437" s="41" t="str">
        <f aca="false">IF(E4437="","",IFERROR(VLOOKUP(E4437,Assumptions!$G$5:$H$16,2,0),"Other"))</f>
        <v/>
      </c>
      <c r="J4437" s="41" t="str">
        <f aca="false">IF(G4437="","",IFERROR(IF(ISNUMBER(SEARCH(Assumptions!$C$5,G4437)),Assumptions!$D$5,IF(ISNUMBER(SEARCH(Assumptions!$C$6,G4437)),Assumptions!$D$6,IF(ISNUMBER(SEARCH(Assumptions!$C$7,G4437)),Assumptions!$D$7,"Other Services"))),"Other Services"))</f>
        <v/>
      </c>
    </row>
    <row r="4438" customFormat="false" ht="15" hidden="false" customHeight="false" outlineLevel="0" collapsed="false">
      <c r="F4438" s="41" t="str">
        <f aca="false">IF(E4438="","",IFERROR(VLOOKUP(E4438,Assumptions!$G$5:$H$16,2,0),"Other"))</f>
        <v/>
      </c>
      <c r="J4438" s="41" t="str">
        <f aca="false">IF(G4438="","",IFERROR(IF(ISNUMBER(SEARCH(Assumptions!$C$5,G4438)),Assumptions!$D$5,IF(ISNUMBER(SEARCH(Assumptions!$C$6,G4438)),Assumptions!$D$6,IF(ISNUMBER(SEARCH(Assumptions!$C$7,G4438)),Assumptions!$D$7,"Other Services"))),"Other Services"))</f>
        <v/>
      </c>
    </row>
    <row r="4439" customFormat="false" ht="15" hidden="false" customHeight="false" outlineLevel="0" collapsed="false">
      <c r="F4439" s="41" t="str">
        <f aca="false">IF(E4439="","",IFERROR(VLOOKUP(E4439,Assumptions!$G$5:$H$16,2,0),"Other"))</f>
        <v/>
      </c>
      <c r="J4439" s="41" t="str">
        <f aca="false">IF(G4439="","",IFERROR(IF(ISNUMBER(SEARCH(Assumptions!$C$5,G4439)),Assumptions!$D$5,IF(ISNUMBER(SEARCH(Assumptions!$C$6,G4439)),Assumptions!$D$6,IF(ISNUMBER(SEARCH(Assumptions!$C$7,G4439)),Assumptions!$D$7,"Other Services"))),"Other Services"))</f>
        <v/>
      </c>
    </row>
    <row r="4440" customFormat="false" ht="15" hidden="false" customHeight="false" outlineLevel="0" collapsed="false">
      <c r="F4440" s="41" t="str">
        <f aca="false">IF(E4440="","",IFERROR(VLOOKUP(E4440,Assumptions!$G$5:$H$16,2,0),"Other"))</f>
        <v/>
      </c>
      <c r="J4440" s="41" t="str">
        <f aca="false">IF(G4440="","",IFERROR(IF(ISNUMBER(SEARCH(Assumptions!$C$5,G4440)),Assumptions!$D$5,IF(ISNUMBER(SEARCH(Assumptions!$C$6,G4440)),Assumptions!$D$6,IF(ISNUMBER(SEARCH(Assumptions!$C$7,G4440)),Assumptions!$D$7,"Other Services"))),"Other Services"))</f>
        <v/>
      </c>
    </row>
    <row r="4441" customFormat="false" ht="15" hidden="false" customHeight="false" outlineLevel="0" collapsed="false">
      <c r="F4441" s="41" t="str">
        <f aca="false">IF(E4441="","",IFERROR(VLOOKUP(E4441,Assumptions!$G$5:$H$16,2,0),"Other"))</f>
        <v/>
      </c>
      <c r="J4441" s="41" t="str">
        <f aca="false">IF(G4441="","",IFERROR(IF(ISNUMBER(SEARCH(Assumptions!$C$5,G4441)),Assumptions!$D$5,IF(ISNUMBER(SEARCH(Assumptions!$C$6,G4441)),Assumptions!$D$6,IF(ISNUMBER(SEARCH(Assumptions!$C$7,G4441)),Assumptions!$D$7,"Other Services"))),"Other Services"))</f>
        <v/>
      </c>
    </row>
    <row r="4442" customFormat="false" ht="15" hidden="false" customHeight="false" outlineLevel="0" collapsed="false">
      <c r="F4442" s="41" t="str">
        <f aca="false">IF(E4442="","",IFERROR(VLOOKUP(E4442,Assumptions!$G$5:$H$16,2,0),"Other"))</f>
        <v/>
      </c>
      <c r="J4442" s="41" t="str">
        <f aca="false">IF(G4442="","",IFERROR(IF(ISNUMBER(SEARCH(Assumptions!$C$5,G4442)),Assumptions!$D$5,IF(ISNUMBER(SEARCH(Assumptions!$C$6,G4442)),Assumptions!$D$6,IF(ISNUMBER(SEARCH(Assumptions!$C$7,G4442)),Assumptions!$D$7,"Other Services"))),"Other Services"))</f>
        <v/>
      </c>
    </row>
    <row r="4443" customFormat="false" ht="15" hidden="false" customHeight="false" outlineLevel="0" collapsed="false">
      <c r="F4443" s="41" t="str">
        <f aca="false">IF(E4443="","",IFERROR(VLOOKUP(E4443,Assumptions!$G$5:$H$16,2,0),"Other"))</f>
        <v/>
      </c>
      <c r="J4443" s="41" t="str">
        <f aca="false">IF(G4443="","",IFERROR(IF(ISNUMBER(SEARCH(Assumptions!$C$5,G4443)),Assumptions!$D$5,IF(ISNUMBER(SEARCH(Assumptions!$C$6,G4443)),Assumptions!$D$6,IF(ISNUMBER(SEARCH(Assumptions!$C$7,G4443)),Assumptions!$D$7,"Other Services"))),"Other Services"))</f>
        <v/>
      </c>
    </row>
    <row r="4444" customFormat="false" ht="15" hidden="false" customHeight="false" outlineLevel="0" collapsed="false">
      <c r="F4444" s="41" t="str">
        <f aca="false">IF(E4444="","",IFERROR(VLOOKUP(E4444,Assumptions!$G$5:$H$16,2,0),"Other"))</f>
        <v/>
      </c>
      <c r="J4444" s="41" t="str">
        <f aca="false">IF(G4444="","",IFERROR(IF(ISNUMBER(SEARCH(Assumptions!$C$5,G4444)),Assumptions!$D$5,IF(ISNUMBER(SEARCH(Assumptions!$C$6,G4444)),Assumptions!$D$6,IF(ISNUMBER(SEARCH(Assumptions!$C$7,G4444)),Assumptions!$D$7,"Other Services"))),"Other Services"))</f>
        <v/>
      </c>
    </row>
    <row r="4445" customFormat="false" ht="15" hidden="false" customHeight="false" outlineLevel="0" collapsed="false">
      <c r="F4445" s="41" t="str">
        <f aca="false">IF(E4445="","",IFERROR(VLOOKUP(E4445,Assumptions!$G$5:$H$16,2,0),"Other"))</f>
        <v/>
      </c>
      <c r="J4445" s="41" t="str">
        <f aca="false">IF(G4445="","",IFERROR(IF(ISNUMBER(SEARCH(Assumptions!$C$5,G4445)),Assumptions!$D$5,IF(ISNUMBER(SEARCH(Assumptions!$C$6,G4445)),Assumptions!$D$6,IF(ISNUMBER(SEARCH(Assumptions!$C$7,G4445)),Assumptions!$D$7,"Other Services"))),"Other Services"))</f>
        <v/>
      </c>
    </row>
    <row r="4446" customFormat="false" ht="15" hidden="false" customHeight="false" outlineLevel="0" collapsed="false">
      <c r="F4446" s="41" t="str">
        <f aca="false">IF(E4446="","",IFERROR(VLOOKUP(E4446,Assumptions!$G$5:$H$16,2,0),"Other"))</f>
        <v/>
      </c>
      <c r="J4446" s="41" t="str">
        <f aca="false">IF(G4446="","",IFERROR(IF(ISNUMBER(SEARCH(Assumptions!$C$5,G4446)),Assumptions!$D$5,IF(ISNUMBER(SEARCH(Assumptions!$C$6,G4446)),Assumptions!$D$6,IF(ISNUMBER(SEARCH(Assumptions!$C$7,G4446)),Assumptions!$D$7,"Other Services"))),"Other Services"))</f>
        <v/>
      </c>
    </row>
    <row r="4447" customFormat="false" ht="15" hidden="false" customHeight="false" outlineLevel="0" collapsed="false">
      <c r="F4447" s="41" t="str">
        <f aca="false">IF(E4447="","",IFERROR(VLOOKUP(E4447,Assumptions!$G$5:$H$16,2,0),"Other"))</f>
        <v/>
      </c>
      <c r="J4447" s="41" t="str">
        <f aca="false">IF(G4447="","",IFERROR(IF(ISNUMBER(SEARCH(Assumptions!$C$5,G4447)),Assumptions!$D$5,IF(ISNUMBER(SEARCH(Assumptions!$C$6,G4447)),Assumptions!$D$6,IF(ISNUMBER(SEARCH(Assumptions!$C$7,G4447)),Assumptions!$D$7,"Other Services"))),"Other Services"))</f>
        <v/>
      </c>
    </row>
    <row r="4448" customFormat="false" ht="15" hidden="false" customHeight="false" outlineLevel="0" collapsed="false">
      <c r="F4448" s="41" t="str">
        <f aca="false">IF(E4448="","",IFERROR(VLOOKUP(E4448,Assumptions!$G$5:$H$16,2,0),"Other"))</f>
        <v/>
      </c>
      <c r="J4448" s="41" t="str">
        <f aca="false">IF(G4448="","",IFERROR(IF(ISNUMBER(SEARCH(Assumptions!$C$5,G4448)),Assumptions!$D$5,IF(ISNUMBER(SEARCH(Assumptions!$C$6,G4448)),Assumptions!$D$6,IF(ISNUMBER(SEARCH(Assumptions!$C$7,G4448)),Assumptions!$D$7,"Other Services"))),"Other Services"))</f>
        <v/>
      </c>
    </row>
    <row r="4449" customFormat="false" ht="15" hidden="false" customHeight="false" outlineLevel="0" collapsed="false">
      <c r="F4449" s="41" t="str">
        <f aca="false">IF(E4449="","",IFERROR(VLOOKUP(E4449,Assumptions!$G$5:$H$16,2,0),"Other"))</f>
        <v/>
      </c>
      <c r="J4449" s="41" t="str">
        <f aca="false">IF(G4449="","",IFERROR(IF(ISNUMBER(SEARCH(Assumptions!$C$5,G4449)),Assumptions!$D$5,IF(ISNUMBER(SEARCH(Assumptions!$C$6,G4449)),Assumptions!$D$6,IF(ISNUMBER(SEARCH(Assumptions!$C$7,G4449)),Assumptions!$D$7,"Other Services"))),"Other Services"))</f>
        <v/>
      </c>
    </row>
    <row r="4450" customFormat="false" ht="15" hidden="false" customHeight="false" outlineLevel="0" collapsed="false">
      <c r="F4450" s="41" t="str">
        <f aca="false">IF(E4450="","",IFERROR(VLOOKUP(E4450,Assumptions!$G$5:$H$16,2,0),"Other"))</f>
        <v/>
      </c>
      <c r="J4450" s="41" t="str">
        <f aca="false">IF(G4450="","",IFERROR(IF(ISNUMBER(SEARCH(Assumptions!$C$5,G4450)),Assumptions!$D$5,IF(ISNUMBER(SEARCH(Assumptions!$C$6,G4450)),Assumptions!$D$6,IF(ISNUMBER(SEARCH(Assumptions!$C$7,G4450)),Assumptions!$D$7,"Other Services"))),"Other Services"))</f>
        <v/>
      </c>
    </row>
    <row r="4451" customFormat="false" ht="15" hidden="false" customHeight="false" outlineLevel="0" collapsed="false">
      <c r="F4451" s="41" t="str">
        <f aca="false">IF(E4451="","",IFERROR(VLOOKUP(E4451,Assumptions!$G$5:$H$16,2,0),"Other"))</f>
        <v/>
      </c>
      <c r="J4451" s="41" t="str">
        <f aca="false">IF(G4451="","",IFERROR(IF(ISNUMBER(SEARCH(Assumptions!$C$5,G4451)),Assumptions!$D$5,IF(ISNUMBER(SEARCH(Assumptions!$C$6,G4451)),Assumptions!$D$6,IF(ISNUMBER(SEARCH(Assumptions!$C$7,G4451)),Assumptions!$D$7,"Other Services"))),"Other Services"))</f>
        <v/>
      </c>
    </row>
    <row r="4452" customFormat="false" ht="15" hidden="false" customHeight="false" outlineLevel="0" collapsed="false">
      <c r="F4452" s="41" t="str">
        <f aca="false">IF(E4452="","",IFERROR(VLOOKUP(E4452,Assumptions!$G$5:$H$16,2,0),"Other"))</f>
        <v/>
      </c>
      <c r="J4452" s="41" t="str">
        <f aca="false">IF(G4452="","",IFERROR(IF(ISNUMBER(SEARCH(Assumptions!$C$5,G4452)),Assumptions!$D$5,IF(ISNUMBER(SEARCH(Assumptions!$C$6,G4452)),Assumptions!$D$6,IF(ISNUMBER(SEARCH(Assumptions!$C$7,G4452)),Assumptions!$D$7,"Other Services"))),"Other Services"))</f>
        <v/>
      </c>
    </row>
    <row r="4453" customFormat="false" ht="15" hidden="false" customHeight="false" outlineLevel="0" collapsed="false">
      <c r="F4453" s="41" t="str">
        <f aca="false">IF(E4453="","",IFERROR(VLOOKUP(E4453,Assumptions!$G$5:$H$16,2,0),"Other"))</f>
        <v/>
      </c>
      <c r="J4453" s="41" t="str">
        <f aca="false">IF(G4453="","",IFERROR(IF(ISNUMBER(SEARCH(Assumptions!$C$5,G4453)),Assumptions!$D$5,IF(ISNUMBER(SEARCH(Assumptions!$C$6,G4453)),Assumptions!$D$6,IF(ISNUMBER(SEARCH(Assumptions!$C$7,G4453)),Assumptions!$D$7,"Other Services"))),"Other Services"))</f>
        <v/>
      </c>
    </row>
    <row r="4454" customFormat="false" ht="15" hidden="false" customHeight="false" outlineLevel="0" collapsed="false">
      <c r="F4454" s="41" t="str">
        <f aca="false">IF(E4454="","",IFERROR(VLOOKUP(E4454,Assumptions!$G$5:$H$16,2,0),"Other"))</f>
        <v/>
      </c>
      <c r="J4454" s="41" t="str">
        <f aca="false">IF(G4454="","",IFERROR(IF(ISNUMBER(SEARCH(Assumptions!$C$5,G4454)),Assumptions!$D$5,IF(ISNUMBER(SEARCH(Assumptions!$C$6,G4454)),Assumptions!$D$6,IF(ISNUMBER(SEARCH(Assumptions!$C$7,G4454)),Assumptions!$D$7,"Other Services"))),"Other Services"))</f>
        <v/>
      </c>
    </row>
    <row r="4455" customFormat="false" ht="15" hidden="false" customHeight="false" outlineLevel="0" collapsed="false">
      <c r="F4455" s="41" t="str">
        <f aca="false">IF(E4455="","",IFERROR(VLOOKUP(E4455,Assumptions!$G$5:$H$16,2,0),"Other"))</f>
        <v/>
      </c>
      <c r="J4455" s="41" t="str">
        <f aca="false">IF(G4455="","",IFERROR(IF(ISNUMBER(SEARCH(Assumptions!$C$5,G4455)),Assumptions!$D$5,IF(ISNUMBER(SEARCH(Assumptions!$C$6,G4455)),Assumptions!$D$6,IF(ISNUMBER(SEARCH(Assumptions!$C$7,G4455)),Assumptions!$D$7,"Other Services"))),"Other Services"))</f>
        <v/>
      </c>
    </row>
    <row r="4456" customFormat="false" ht="15" hidden="false" customHeight="false" outlineLevel="0" collapsed="false">
      <c r="F4456" s="41" t="str">
        <f aca="false">IF(E4456="","",IFERROR(VLOOKUP(E4456,Assumptions!$G$5:$H$16,2,0),"Other"))</f>
        <v/>
      </c>
      <c r="J4456" s="41" t="str">
        <f aca="false">IF(G4456="","",IFERROR(IF(ISNUMBER(SEARCH(Assumptions!$C$5,G4456)),Assumptions!$D$5,IF(ISNUMBER(SEARCH(Assumptions!$C$6,G4456)),Assumptions!$D$6,IF(ISNUMBER(SEARCH(Assumptions!$C$7,G4456)),Assumptions!$D$7,"Other Services"))),"Other Services"))</f>
        <v/>
      </c>
    </row>
    <row r="4457" customFormat="false" ht="15" hidden="false" customHeight="false" outlineLevel="0" collapsed="false">
      <c r="F4457" s="41" t="str">
        <f aca="false">IF(E4457="","",IFERROR(VLOOKUP(E4457,Assumptions!$G$5:$H$16,2,0),"Other"))</f>
        <v/>
      </c>
      <c r="J4457" s="41" t="str">
        <f aca="false">IF(G4457="","",IFERROR(IF(ISNUMBER(SEARCH(Assumptions!$C$5,G4457)),Assumptions!$D$5,IF(ISNUMBER(SEARCH(Assumptions!$C$6,G4457)),Assumptions!$D$6,IF(ISNUMBER(SEARCH(Assumptions!$C$7,G4457)),Assumptions!$D$7,"Other Services"))),"Other Services"))</f>
        <v/>
      </c>
    </row>
    <row r="4458" customFormat="false" ht="15" hidden="false" customHeight="false" outlineLevel="0" collapsed="false">
      <c r="F4458" s="41" t="str">
        <f aca="false">IF(E4458="","",IFERROR(VLOOKUP(E4458,Assumptions!$G$5:$H$16,2,0),"Other"))</f>
        <v/>
      </c>
      <c r="J4458" s="41" t="str">
        <f aca="false">IF(G4458="","",IFERROR(IF(ISNUMBER(SEARCH(Assumptions!$C$5,G4458)),Assumptions!$D$5,IF(ISNUMBER(SEARCH(Assumptions!$C$6,G4458)),Assumptions!$D$6,IF(ISNUMBER(SEARCH(Assumptions!$C$7,G4458)),Assumptions!$D$7,"Other Services"))),"Other Services"))</f>
        <v/>
      </c>
    </row>
    <row r="4459" customFormat="false" ht="15" hidden="false" customHeight="false" outlineLevel="0" collapsed="false">
      <c r="F4459" s="41" t="str">
        <f aca="false">IF(E4459="","",IFERROR(VLOOKUP(E4459,Assumptions!$G$5:$H$16,2,0),"Other"))</f>
        <v/>
      </c>
      <c r="J4459" s="41" t="str">
        <f aca="false">IF(G4459="","",IFERROR(IF(ISNUMBER(SEARCH(Assumptions!$C$5,G4459)),Assumptions!$D$5,IF(ISNUMBER(SEARCH(Assumptions!$C$6,G4459)),Assumptions!$D$6,IF(ISNUMBER(SEARCH(Assumptions!$C$7,G4459)),Assumptions!$D$7,"Other Services"))),"Other Services"))</f>
        <v/>
      </c>
    </row>
    <row r="4460" customFormat="false" ht="15" hidden="false" customHeight="false" outlineLevel="0" collapsed="false">
      <c r="F4460" s="41" t="str">
        <f aca="false">IF(E4460="","",IFERROR(VLOOKUP(E4460,Assumptions!$G$5:$H$16,2,0),"Other"))</f>
        <v/>
      </c>
      <c r="J4460" s="41" t="str">
        <f aca="false">IF(G4460="","",IFERROR(IF(ISNUMBER(SEARCH(Assumptions!$C$5,G4460)),Assumptions!$D$5,IF(ISNUMBER(SEARCH(Assumptions!$C$6,G4460)),Assumptions!$D$6,IF(ISNUMBER(SEARCH(Assumptions!$C$7,G4460)),Assumptions!$D$7,"Other Services"))),"Other Services"))</f>
        <v/>
      </c>
    </row>
    <row r="4461" customFormat="false" ht="15" hidden="false" customHeight="false" outlineLevel="0" collapsed="false">
      <c r="F4461" s="41" t="str">
        <f aca="false">IF(E4461="","",IFERROR(VLOOKUP(E4461,Assumptions!$G$5:$H$16,2,0),"Other"))</f>
        <v/>
      </c>
      <c r="J4461" s="41" t="str">
        <f aca="false">IF(G4461="","",IFERROR(IF(ISNUMBER(SEARCH(Assumptions!$C$5,G4461)),Assumptions!$D$5,IF(ISNUMBER(SEARCH(Assumptions!$C$6,G4461)),Assumptions!$D$6,IF(ISNUMBER(SEARCH(Assumptions!$C$7,G4461)),Assumptions!$D$7,"Other Services"))),"Other Services"))</f>
        <v/>
      </c>
    </row>
    <row r="4462" customFormat="false" ht="15" hidden="false" customHeight="false" outlineLevel="0" collapsed="false">
      <c r="F4462" s="41" t="str">
        <f aca="false">IF(E4462="","",IFERROR(VLOOKUP(E4462,Assumptions!$G$5:$H$16,2,0),"Other"))</f>
        <v/>
      </c>
      <c r="J4462" s="41" t="str">
        <f aca="false">IF(G4462="","",IFERROR(IF(ISNUMBER(SEARCH(Assumptions!$C$5,G4462)),Assumptions!$D$5,IF(ISNUMBER(SEARCH(Assumptions!$C$6,G4462)),Assumptions!$D$6,IF(ISNUMBER(SEARCH(Assumptions!$C$7,G4462)),Assumptions!$D$7,"Other Services"))),"Other Services"))</f>
        <v/>
      </c>
    </row>
    <row r="4463" customFormat="false" ht="15" hidden="false" customHeight="false" outlineLevel="0" collapsed="false">
      <c r="F4463" s="41" t="str">
        <f aca="false">IF(E4463="","",IFERROR(VLOOKUP(E4463,Assumptions!$G$5:$H$16,2,0),"Other"))</f>
        <v/>
      </c>
      <c r="J4463" s="41" t="str">
        <f aca="false">IF(G4463="","",IFERROR(IF(ISNUMBER(SEARCH(Assumptions!$C$5,G4463)),Assumptions!$D$5,IF(ISNUMBER(SEARCH(Assumptions!$C$6,G4463)),Assumptions!$D$6,IF(ISNUMBER(SEARCH(Assumptions!$C$7,G4463)),Assumptions!$D$7,"Other Services"))),"Other Services"))</f>
        <v/>
      </c>
    </row>
    <row r="4464" customFormat="false" ht="15" hidden="false" customHeight="false" outlineLevel="0" collapsed="false">
      <c r="F4464" s="41" t="str">
        <f aca="false">IF(E4464="","",IFERROR(VLOOKUP(E4464,Assumptions!$G$5:$H$16,2,0),"Other"))</f>
        <v/>
      </c>
      <c r="J4464" s="41" t="str">
        <f aca="false">IF(G4464="","",IFERROR(IF(ISNUMBER(SEARCH(Assumptions!$C$5,G4464)),Assumptions!$D$5,IF(ISNUMBER(SEARCH(Assumptions!$C$6,G4464)),Assumptions!$D$6,IF(ISNUMBER(SEARCH(Assumptions!$C$7,G4464)),Assumptions!$D$7,"Other Services"))),"Other Services"))</f>
        <v/>
      </c>
    </row>
    <row r="4465" customFormat="false" ht="15" hidden="false" customHeight="false" outlineLevel="0" collapsed="false">
      <c r="F4465" s="41" t="str">
        <f aca="false">IF(E4465="","",IFERROR(VLOOKUP(E4465,Assumptions!$G$5:$H$16,2,0),"Other"))</f>
        <v/>
      </c>
      <c r="J4465" s="41" t="str">
        <f aca="false">IF(G4465="","",IFERROR(IF(ISNUMBER(SEARCH(Assumptions!$C$5,G4465)),Assumptions!$D$5,IF(ISNUMBER(SEARCH(Assumptions!$C$6,G4465)),Assumptions!$D$6,IF(ISNUMBER(SEARCH(Assumptions!$C$7,G4465)),Assumptions!$D$7,"Other Services"))),"Other Services"))</f>
        <v/>
      </c>
    </row>
    <row r="4466" customFormat="false" ht="15" hidden="false" customHeight="false" outlineLevel="0" collapsed="false">
      <c r="F4466" s="41" t="str">
        <f aca="false">IF(E4466="","",IFERROR(VLOOKUP(E4466,Assumptions!$G$5:$H$16,2,0),"Other"))</f>
        <v/>
      </c>
      <c r="J4466" s="41" t="str">
        <f aca="false">IF(G4466="","",IFERROR(IF(ISNUMBER(SEARCH(Assumptions!$C$5,G4466)),Assumptions!$D$5,IF(ISNUMBER(SEARCH(Assumptions!$C$6,G4466)),Assumptions!$D$6,IF(ISNUMBER(SEARCH(Assumptions!$C$7,G4466)),Assumptions!$D$7,"Other Services"))),"Other Services"))</f>
        <v/>
      </c>
    </row>
    <row r="4467" customFormat="false" ht="15" hidden="false" customHeight="false" outlineLevel="0" collapsed="false">
      <c r="F4467" s="41" t="str">
        <f aca="false">IF(E4467="","",IFERROR(VLOOKUP(E4467,Assumptions!$G$5:$H$16,2,0),"Other"))</f>
        <v/>
      </c>
      <c r="J4467" s="41" t="str">
        <f aca="false">IF(G4467="","",IFERROR(IF(ISNUMBER(SEARCH(Assumptions!$C$5,G4467)),Assumptions!$D$5,IF(ISNUMBER(SEARCH(Assumptions!$C$6,G4467)),Assumptions!$D$6,IF(ISNUMBER(SEARCH(Assumptions!$C$7,G4467)),Assumptions!$D$7,"Other Services"))),"Other Services"))</f>
        <v/>
      </c>
    </row>
    <row r="4468" customFormat="false" ht="15" hidden="false" customHeight="false" outlineLevel="0" collapsed="false">
      <c r="F4468" s="41" t="str">
        <f aca="false">IF(E4468="","",IFERROR(VLOOKUP(E4468,Assumptions!$G$5:$H$16,2,0),"Other"))</f>
        <v/>
      </c>
      <c r="J4468" s="41" t="str">
        <f aca="false">IF(G4468="","",IFERROR(IF(ISNUMBER(SEARCH(Assumptions!$C$5,G4468)),Assumptions!$D$5,IF(ISNUMBER(SEARCH(Assumptions!$C$6,G4468)),Assumptions!$D$6,IF(ISNUMBER(SEARCH(Assumptions!$C$7,G4468)),Assumptions!$D$7,"Other Services"))),"Other Services"))</f>
        <v/>
      </c>
    </row>
    <row r="4469" customFormat="false" ht="15" hidden="false" customHeight="false" outlineLevel="0" collapsed="false">
      <c r="F4469" s="41" t="str">
        <f aca="false">IF(E4469="","",IFERROR(VLOOKUP(E4469,Assumptions!$G$5:$H$16,2,0),"Other"))</f>
        <v/>
      </c>
      <c r="J4469" s="41" t="str">
        <f aca="false">IF(G4469="","",IFERROR(IF(ISNUMBER(SEARCH(Assumptions!$C$5,G4469)),Assumptions!$D$5,IF(ISNUMBER(SEARCH(Assumptions!$C$6,G4469)),Assumptions!$D$6,IF(ISNUMBER(SEARCH(Assumptions!$C$7,G4469)),Assumptions!$D$7,"Other Services"))),"Other Services"))</f>
        <v/>
      </c>
    </row>
    <row r="4470" customFormat="false" ht="15" hidden="false" customHeight="false" outlineLevel="0" collapsed="false">
      <c r="F4470" s="41" t="str">
        <f aca="false">IF(E4470="","",IFERROR(VLOOKUP(E4470,Assumptions!$G$5:$H$16,2,0),"Other"))</f>
        <v/>
      </c>
      <c r="J4470" s="41" t="str">
        <f aca="false">IF(G4470="","",IFERROR(IF(ISNUMBER(SEARCH(Assumptions!$C$5,G4470)),Assumptions!$D$5,IF(ISNUMBER(SEARCH(Assumptions!$C$6,G4470)),Assumptions!$D$6,IF(ISNUMBER(SEARCH(Assumptions!$C$7,G4470)),Assumptions!$D$7,"Other Services"))),"Other Services"))</f>
        <v/>
      </c>
    </row>
    <row r="4471" customFormat="false" ht="15" hidden="false" customHeight="false" outlineLevel="0" collapsed="false">
      <c r="F4471" s="41" t="str">
        <f aca="false">IF(E4471="","",IFERROR(VLOOKUP(E4471,Assumptions!$G$5:$H$16,2,0),"Other"))</f>
        <v/>
      </c>
      <c r="J4471" s="41" t="str">
        <f aca="false">IF(G4471="","",IFERROR(IF(ISNUMBER(SEARCH(Assumptions!$C$5,G4471)),Assumptions!$D$5,IF(ISNUMBER(SEARCH(Assumptions!$C$6,G4471)),Assumptions!$D$6,IF(ISNUMBER(SEARCH(Assumptions!$C$7,G4471)),Assumptions!$D$7,"Other Services"))),"Other Services"))</f>
        <v/>
      </c>
    </row>
    <row r="4472" customFormat="false" ht="15" hidden="false" customHeight="false" outlineLevel="0" collapsed="false">
      <c r="F4472" s="41" t="str">
        <f aca="false">IF(E4472="","",IFERROR(VLOOKUP(E4472,Assumptions!$G$5:$H$16,2,0),"Other"))</f>
        <v/>
      </c>
      <c r="J4472" s="41" t="str">
        <f aca="false">IF(G4472="","",IFERROR(IF(ISNUMBER(SEARCH(Assumptions!$C$5,G4472)),Assumptions!$D$5,IF(ISNUMBER(SEARCH(Assumptions!$C$6,G4472)),Assumptions!$D$6,IF(ISNUMBER(SEARCH(Assumptions!$C$7,G4472)),Assumptions!$D$7,"Other Services"))),"Other Services"))</f>
        <v/>
      </c>
    </row>
    <row r="4473" customFormat="false" ht="15" hidden="false" customHeight="false" outlineLevel="0" collapsed="false">
      <c r="F4473" s="41" t="str">
        <f aca="false">IF(E4473="","",IFERROR(VLOOKUP(E4473,Assumptions!$G$5:$H$16,2,0),"Other"))</f>
        <v/>
      </c>
      <c r="J4473" s="41" t="str">
        <f aca="false">IF(G4473="","",IFERROR(IF(ISNUMBER(SEARCH(Assumptions!$C$5,G4473)),Assumptions!$D$5,IF(ISNUMBER(SEARCH(Assumptions!$C$6,G4473)),Assumptions!$D$6,IF(ISNUMBER(SEARCH(Assumptions!$C$7,G4473)),Assumptions!$D$7,"Other Services"))),"Other Services"))</f>
        <v/>
      </c>
    </row>
    <row r="4474" customFormat="false" ht="15" hidden="false" customHeight="false" outlineLevel="0" collapsed="false">
      <c r="F4474" s="41" t="str">
        <f aca="false">IF(E4474="","",IFERROR(VLOOKUP(E4474,Assumptions!$G$5:$H$16,2,0),"Other"))</f>
        <v/>
      </c>
      <c r="J4474" s="41" t="str">
        <f aca="false">IF(G4474="","",IFERROR(IF(ISNUMBER(SEARCH(Assumptions!$C$5,G4474)),Assumptions!$D$5,IF(ISNUMBER(SEARCH(Assumptions!$C$6,G4474)),Assumptions!$D$6,IF(ISNUMBER(SEARCH(Assumptions!$C$7,G4474)),Assumptions!$D$7,"Other Services"))),"Other Services"))</f>
        <v/>
      </c>
    </row>
    <row r="4475" customFormat="false" ht="15" hidden="false" customHeight="false" outlineLevel="0" collapsed="false">
      <c r="F4475" s="41" t="str">
        <f aca="false">IF(E4475="","",IFERROR(VLOOKUP(E4475,Assumptions!$G$5:$H$16,2,0),"Other"))</f>
        <v/>
      </c>
      <c r="J4475" s="41" t="str">
        <f aca="false">IF(G4475="","",IFERROR(IF(ISNUMBER(SEARCH(Assumptions!$C$5,G4475)),Assumptions!$D$5,IF(ISNUMBER(SEARCH(Assumptions!$C$6,G4475)),Assumptions!$D$6,IF(ISNUMBER(SEARCH(Assumptions!$C$7,G4475)),Assumptions!$D$7,"Other Services"))),"Other Services"))</f>
        <v/>
      </c>
    </row>
    <row r="4476" customFormat="false" ht="15" hidden="false" customHeight="false" outlineLevel="0" collapsed="false">
      <c r="F4476" s="41" t="str">
        <f aca="false">IF(E4476="","",IFERROR(VLOOKUP(E4476,Assumptions!$G$5:$H$16,2,0),"Other"))</f>
        <v/>
      </c>
      <c r="J4476" s="41" t="str">
        <f aca="false">IF(G4476="","",IFERROR(IF(ISNUMBER(SEARCH(Assumptions!$C$5,G4476)),Assumptions!$D$5,IF(ISNUMBER(SEARCH(Assumptions!$C$6,G4476)),Assumptions!$D$6,IF(ISNUMBER(SEARCH(Assumptions!$C$7,G4476)),Assumptions!$D$7,"Other Services"))),"Other Services"))</f>
        <v/>
      </c>
    </row>
    <row r="4477" customFormat="false" ht="15" hidden="false" customHeight="false" outlineLevel="0" collapsed="false">
      <c r="F4477" s="41" t="str">
        <f aca="false">IF(E4477="","",IFERROR(VLOOKUP(E4477,Assumptions!$G$5:$H$16,2,0),"Other"))</f>
        <v/>
      </c>
      <c r="J4477" s="41" t="str">
        <f aca="false">IF(G4477="","",IFERROR(IF(ISNUMBER(SEARCH(Assumptions!$C$5,G4477)),Assumptions!$D$5,IF(ISNUMBER(SEARCH(Assumptions!$C$6,G4477)),Assumptions!$D$6,IF(ISNUMBER(SEARCH(Assumptions!$C$7,G4477)),Assumptions!$D$7,"Other Services"))),"Other Services"))</f>
        <v/>
      </c>
    </row>
    <row r="4478" customFormat="false" ht="15" hidden="false" customHeight="false" outlineLevel="0" collapsed="false">
      <c r="F4478" s="41" t="str">
        <f aca="false">IF(E4478="","",IFERROR(VLOOKUP(E4478,Assumptions!$G$5:$H$16,2,0),"Other"))</f>
        <v/>
      </c>
      <c r="J4478" s="41" t="str">
        <f aca="false">IF(G4478="","",IFERROR(IF(ISNUMBER(SEARCH(Assumptions!$C$5,G4478)),Assumptions!$D$5,IF(ISNUMBER(SEARCH(Assumptions!$C$6,G4478)),Assumptions!$D$6,IF(ISNUMBER(SEARCH(Assumptions!$C$7,G4478)),Assumptions!$D$7,"Other Services"))),"Other Services"))</f>
        <v/>
      </c>
    </row>
    <row r="4479" customFormat="false" ht="15" hidden="false" customHeight="false" outlineLevel="0" collapsed="false">
      <c r="F4479" s="41" t="str">
        <f aca="false">IF(E4479="","",IFERROR(VLOOKUP(E4479,Assumptions!$G$5:$H$16,2,0),"Other"))</f>
        <v/>
      </c>
      <c r="J4479" s="41" t="str">
        <f aca="false">IF(G4479="","",IFERROR(IF(ISNUMBER(SEARCH(Assumptions!$C$5,G4479)),Assumptions!$D$5,IF(ISNUMBER(SEARCH(Assumptions!$C$6,G4479)),Assumptions!$D$6,IF(ISNUMBER(SEARCH(Assumptions!$C$7,G4479)),Assumptions!$D$7,"Other Services"))),"Other Services"))</f>
        <v/>
      </c>
    </row>
    <row r="4480" customFormat="false" ht="15" hidden="false" customHeight="false" outlineLevel="0" collapsed="false">
      <c r="F4480" s="41" t="str">
        <f aca="false">IF(E4480="","",IFERROR(VLOOKUP(E4480,Assumptions!$G$5:$H$16,2,0),"Other"))</f>
        <v/>
      </c>
      <c r="J4480" s="41" t="str">
        <f aca="false">IF(G4480="","",IFERROR(IF(ISNUMBER(SEARCH(Assumptions!$C$5,G4480)),Assumptions!$D$5,IF(ISNUMBER(SEARCH(Assumptions!$C$6,G4480)),Assumptions!$D$6,IF(ISNUMBER(SEARCH(Assumptions!$C$7,G4480)),Assumptions!$D$7,"Other Services"))),"Other Services"))</f>
        <v/>
      </c>
    </row>
    <row r="4481" customFormat="false" ht="15" hidden="false" customHeight="false" outlineLevel="0" collapsed="false">
      <c r="F4481" s="41" t="str">
        <f aca="false">IF(E4481="","",IFERROR(VLOOKUP(E4481,Assumptions!$G$5:$H$16,2,0),"Other"))</f>
        <v/>
      </c>
      <c r="J4481" s="41" t="str">
        <f aca="false">IF(G4481="","",IFERROR(IF(ISNUMBER(SEARCH(Assumptions!$C$5,G4481)),Assumptions!$D$5,IF(ISNUMBER(SEARCH(Assumptions!$C$6,G4481)),Assumptions!$D$6,IF(ISNUMBER(SEARCH(Assumptions!$C$7,G4481)),Assumptions!$D$7,"Other Services"))),"Other Services"))</f>
        <v/>
      </c>
    </row>
    <row r="4482" customFormat="false" ht="15" hidden="false" customHeight="false" outlineLevel="0" collapsed="false">
      <c r="F4482" s="41" t="str">
        <f aca="false">IF(E4482="","",IFERROR(VLOOKUP(E4482,Assumptions!$G$5:$H$16,2,0),"Other"))</f>
        <v/>
      </c>
      <c r="J4482" s="41" t="str">
        <f aca="false">IF(G4482="","",IFERROR(IF(ISNUMBER(SEARCH(Assumptions!$C$5,G4482)),Assumptions!$D$5,IF(ISNUMBER(SEARCH(Assumptions!$C$6,G4482)),Assumptions!$D$6,IF(ISNUMBER(SEARCH(Assumptions!$C$7,G4482)),Assumptions!$D$7,"Other Services"))),"Other Services"))</f>
        <v/>
      </c>
    </row>
    <row r="4483" customFormat="false" ht="15" hidden="false" customHeight="false" outlineLevel="0" collapsed="false">
      <c r="F4483" s="41" t="str">
        <f aca="false">IF(E4483="","",IFERROR(VLOOKUP(E4483,Assumptions!$G$5:$H$16,2,0),"Other"))</f>
        <v/>
      </c>
      <c r="J4483" s="41" t="str">
        <f aca="false">IF(G4483="","",IFERROR(IF(ISNUMBER(SEARCH(Assumptions!$C$5,G4483)),Assumptions!$D$5,IF(ISNUMBER(SEARCH(Assumptions!$C$6,G4483)),Assumptions!$D$6,IF(ISNUMBER(SEARCH(Assumptions!$C$7,G4483)),Assumptions!$D$7,"Other Services"))),"Other Services"))</f>
        <v/>
      </c>
    </row>
    <row r="4484" customFormat="false" ht="15" hidden="false" customHeight="false" outlineLevel="0" collapsed="false">
      <c r="F4484" s="41" t="str">
        <f aca="false">IF(E4484="","",IFERROR(VLOOKUP(E4484,Assumptions!$G$5:$H$16,2,0),"Other"))</f>
        <v/>
      </c>
      <c r="J4484" s="41" t="str">
        <f aca="false">IF(G4484="","",IFERROR(IF(ISNUMBER(SEARCH(Assumptions!$C$5,G4484)),Assumptions!$D$5,IF(ISNUMBER(SEARCH(Assumptions!$C$6,G4484)),Assumptions!$D$6,IF(ISNUMBER(SEARCH(Assumptions!$C$7,G4484)),Assumptions!$D$7,"Other Services"))),"Other Services"))</f>
        <v/>
      </c>
    </row>
    <row r="4485" customFormat="false" ht="15" hidden="false" customHeight="false" outlineLevel="0" collapsed="false">
      <c r="F4485" s="41" t="str">
        <f aca="false">IF(E4485="","",IFERROR(VLOOKUP(E4485,Assumptions!$G$5:$H$16,2,0),"Other"))</f>
        <v/>
      </c>
      <c r="J4485" s="41" t="str">
        <f aca="false">IF(G4485="","",IFERROR(IF(ISNUMBER(SEARCH(Assumptions!$C$5,G4485)),Assumptions!$D$5,IF(ISNUMBER(SEARCH(Assumptions!$C$6,G4485)),Assumptions!$D$6,IF(ISNUMBER(SEARCH(Assumptions!$C$7,G4485)),Assumptions!$D$7,"Other Services"))),"Other Services"))</f>
        <v/>
      </c>
    </row>
    <row r="4486" customFormat="false" ht="15" hidden="false" customHeight="false" outlineLevel="0" collapsed="false">
      <c r="F4486" s="41" t="str">
        <f aca="false">IF(E4486="","",IFERROR(VLOOKUP(E4486,Assumptions!$G$5:$H$16,2,0),"Other"))</f>
        <v/>
      </c>
      <c r="J4486" s="41" t="str">
        <f aca="false">IF(G4486="","",IFERROR(IF(ISNUMBER(SEARCH(Assumptions!$C$5,G4486)),Assumptions!$D$5,IF(ISNUMBER(SEARCH(Assumptions!$C$6,G4486)),Assumptions!$D$6,IF(ISNUMBER(SEARCH(Assumptions!$C$7,G4486)),Assumptions!$D$7,"Other Services"))),"Other Services"))</f>
        <v/>
      </c>
    </row>
    <row r="4487" customFormat="false" ht="15" hidden="false" customHeight="false" outlineLevel="0" collapsed="false">
      <c r="F4487" s="41" t="str">
        <f aca="false">IF(E4487="","",IFERROR(VLOOKUP(E4487,Assumptions!$G$5:$H$16,2,0),"Other"))</f>
        <v/>
      </c>
      <c r="J4487" s="41" t="str">
        <f aca="false">IF(G4487="","",IFERROR(IF(ISNUMBER(SEARCH(Assumptions!$C$5,G4487)),Assumptions!$D$5,IF(ISNUMBER(SEARCH(Assumptions!$C$6,G4487)),Assumptions!$D$6,IF(ISNUMBER(SEARCH(Assumptions!$C$7,G4487)),Assumptions!$D$7,"Other Services"))),"Other Services"))</f>
        <v/>
      </c>
    </row>
    <row r="4488" customFormat="false" ht="15" hidden="false" customHeight="false" outlineLevel="0" collapsed="false">
      <c r="F4488" s="41" t="str">
        <f aca="false">IF(E4488="","",IFERROR(VLOOKUP(E4488,Assumptions!$G$5:$H$16,2,0),"Other"))</f>
        <v/>
      </c>
      <c r="J4488" s="41" t="str">
        <f aca="false">IF(G4488="","",IFERROR(IF(ISNUMBER(SEARCH(Assumptions!$C$5,G4488)),Assumptions!$D$5,IF(ISNUMBER(SEARCH(Assumptions!$C$6,G4488)),Assumptions!$D$6,IF(ISNUMBER(SEARCH(Assumptions!$C$7,G4488)),Assumptions!$D$7,"Other Services"))),"Other Services"))</f>
        <v/>
      </c>
    </row>
    <row r="4489" customFormat="false" ht="15" hidden="false" customHeight="false" outlineLevel="0" collapsed="false">
      <c r="F4489" s="41" t="str">
        <f aca="false">IF(E4489="","",IFERROR(VLOOKUP(E4489,Assumptions!$G$5:$H$16,2,0),"Other"))</f>
        <v/>
      </c>
      <c r="J4489" s="41" t="str">
        <f aca="false">IF(G4489="","",IFERROR(IF(ISNUMBER(SEARCH(Assumptions!$C$5,G4489)),Assumptions!$D$5,IF(ISNUMBER(SEARCH(Assumptions!$C$6,G4489)),Assumptions!$D$6,IF(ISNUMBER(SEARCH(Assumptions!$C$7,G4489)),Assumptions!$D$7,"Other Services"))),"Other Services"))</f>
        <v/>
      </c>
    </row>
    <row r="4490" customFormat="false" ht="15" hidden="false" customHeight="false" outlineLevel="0" collapsed="false">
      <c r="F4490" s="41" t="str">
        <f aca="false">IF(E4490="","",IFERROR(VLOOKUP(E4490,Assumptions!$G$5:$H$16,2,0),"Other"))</f>
        <v/>
      </c>
      <c r="J4490" s="41" t="str">
        <f aca="false">IF(G4490="","",IFERROR(IF(ISNUMBER(SEARCH(Assumptions!$C$5,G4490)),Assumptions!$D$5,IF(ISNUMBER(SEARCH(Assumptions!$C$6,G4490)),Assumptions!$D$6,IF(ISNUMBER(SEARCH(Assumptions!$C$7,G4490)),Assumptions!$D$7,"Other Services"))),"Other Services"))</f>
        <v/>
      </c>
    </row>
    <row r="4491" customFormat="false" ht="15" hidden="false" customHeight="false" outlineLevel="0" collapsed="false">
      <c r="F4491" s="41" t="str">
        <f aca="false">IF(E4491="","",IFERROR(VLOOKUP(E4491,Assumptions!$G$5:$H$16,2,0),"Other"))</f>
        <v/>
      </c>
      <c r="J4491" s="41" t="str">
        <f aca="false">IF(G4491="","",IFERROR(IF(ISNUMBER(SEARCH(Assumptions!$C$5,G4491)),Assumptions!$D$5,IF(ISNUMBER(SEARCH(Assumptions!$C$6,G4491)),Assumptions!$D$6,IF(ISNUMBER(SEARCH(Assumptions!$C$7,G4491)),Assumptions!$D$7,"Other Services"))),"Other Services"))</f>
        <v/>
      </c>
    </row>
    <row r="4492" customFormat="false" ht="15" hidden="false" customHeight="false" outlineLevel="0" collapsed="false">
      <c r="F4492" s="41" t="str">
        <f aca="false">IF(E4492="","",IFERROR(VLOOKUP(E4492,Assumptions!$G$5:$H$16,2,0),"Other"))</f>
        <v/>
      </c>
      <c r="J4492" s="41" t="str">
        <f aca="false">IF(G4492="","",IFERROR(IF(ISNUMBER(SEARCH(Assumptions!$C$5,G4492)),Assumptions!$D$5,IF(ISNUMBER(SEARCH(Assumptions!$C$6,G4492)),Assumptions!$D$6,IF(ISNUMBER(SEARCH(Assumptions!$C$7,G4492)),Assumptions!$D$7,"Other Services"))),"Other Services"))</f>
        <v/>
      </c>
    </row>
    <row r="4493" customFormat="false" ht="15" hidden="false" customHeight="false" outlineLevel="0" collapsed="false">
      <c r="F4493" s="41" t="str">
        <f aca="false">IF(E4493="","",IFERROR(VLOOKUP(E4493,Assumptions!$G$5:$H$16,2,0),"Other"))</f>
        <v/>
      </c>
      <c r="J4493" s="41" t="str">
        <f aca="false">IF(G4493="","",IFERROR(IF(ISNUMBER(SEARCH(Assumptions!$C$5,G4493)),Assumptions!$D$5,IF(ISNUMBER(SEARCH(Assumptions!$C$6,G4493)),Assumptions!$D$6,IF(ISNUMBER(SEARCH(Assumptions!$C$7,G4493)),Assumptions!$D$7,"Other Services"))),"Other Services"))</f>
        <v/>
      </c>
    </row>
    <row r="4494" customFormat="false" ht="15" hidden="false" customHeight="false" outlineLevel="0" collapsed="false">
      <c r="F4494" s="41" t="str">
        <f aca="false">IF(E4494="","",IFERROR(VLOOKUP(E4494,Assumptions!$G$5:$H$16,2,0),"Other"))</f>
        <v/>
      </c>
      <c r="J4494" s="41" t="str">
        <f aca="false">IF(G4494="","",IFERROR(IF(ISNUMBER(SEARCH(Assumptions!$C$5,G4494)),Assumptions!$D$5,IF(ISNUMBER(SEARCH(Assumptions!$C$6,G4494)),Assumptions!$D$6,IF(ISNUMBER(SEARCH(Assumptions!$C$7,G4494)),Assumptions!$D$7,"Other Services"))),"Other Services"))</f>
        <v/>
      </c>
    </row>
    <row r="4495" customFormat="false" ht="15" hidden="false" customHeight="false" outlineLevel="0" collapsed="false">
      <c r="F4495" s="41" t="str">
        <f aca="false">IF(E4495="","",IFERROR(VLOOKUP(E4495,Assumptions!$G$5:$H$16,2,0),"Other"))</f>
        <v/>
      </c>
      <c r="J4495" s="41" t="str">
        <f aca="false">IF(G4495="","",IFERROR(IF(ISNUMBER(SEARCH(Assumptions!$C$5,G4495)),Assumptions!$D$5,IF(ISNUMBER(SEARCH(Assumptions!$C$6,G4495)),Assumptions!$D$6,IF(ISNUMBER(SEARCH(Assumptions!$C$7,G4495)),Assumptions!$D$7,"Other Services"))),"Other Services"))</f>
        <v/>
      </c>
    </row>
    <row r="4496" customFormat="false" ht="15" hidden="false" customHeight="false" outlineLevel="0" collapsed="false">
      <c r="F4496" s="41" t="str">
        <f aca="false">IF(E4496="","",IFERROR(VLOOKUP(E4496,Assumptions!$G$5:$H$16,2,0),"Other"))</f>
        <v/>
      </c>
      <c r="J4496" s="41" t="str">
        <f aca="false">IF(G4496="","",IFERROR(IF(ISNUMBER(SEARCH(Assumptions!$C$5,G4496)),Assumptions!$D$5,IF(ISNUMBER(SEARCH(Assumptions!$C$6,G4496)),Assumptions!$D$6,IF(ISNUMBER(SEARCH(Assumptions!$C$7,G4496)),Assumptions!$D$7,"Other Services"))),"Other Services"))</f>
        <v/>
      </c>
    </row>
    <row r="4497" customFormat="false" ht="15" hidden="false" customHeight="false" outlineLevel="0" collapsed="false">
      <c r="F4497" s="41" t="str">
        <f aca="false">IF(E4497="","",IFERROR(VLOOKUP(E4497,Assumptions!$G$5:$H$16,2,0),"Other"))</f>
        <v/>
      </c>
      <c r="J4497" s="41" t="str">
        <f aca="false">IF(G4497="","",IFERROR(IF(ISNUMBER(SEARCH(Assumptions!$C$5,G4497)),Assumptions!$D$5,IF(ISNUMBER(SEARCH(Assumptions!$C$6,G4497)),Assumptions!$D$6,IF(ISNUMBER(SEARCH(Assumptions!$C$7,G4497)),Assumptions!$D$7,"Other Services"))),"Other Services"))</f>
        <v/>
      </c>
    </row>
    <row r="4498" customFormat="false" ht="15" hidden="false" customHeight="false" outlineLevel="0" collapsed="false">
      <c r="F4498" s="41" t="str">
        <f aca="false">IF(E4498="","",IFERROR(VLOOKUP(E4498,Assumptions!$G$5:$H$16,2,0),"Other"))</f>
        <v/>
      </c>
      <c r="J4498" s="41" t="str">
        <f aca="false">IF(G4498="","",IFERROR(IF(ISNUMBER(SEARCH(Assumptions!$C$5,G4498)),Assumptions!$D$5,IF(ISNUMBER(SEARCH(Assumptions!$C$6,G4498)),Assumptions!$D$6,IF(ISNUMBER(SEARCH(Assumptions!$C$7,G4498)),Assumptions!$D$7,"Other Services"))),"Other Services"))</f>
        <v/>
      </c>
    </row>
    <row r="4499" customFormat="false" ht="15" hidden="false" customHeight="false" outlineLevel="0" collapsed="false">
      <c r="F4499" s="41" t="str">
        <f aca="false">IF(E4499="","",IFERROR(VLOOKUP(E4499,Assumptions!$G$5:$H$16,2,0),"Other"))</f>
        <v/>
      </c>
      <c r="J4499" s="41" t="str">
        <f aca="false">IF(G4499="","",IFERROR(IF(ISNUMBER(SEARCH(Assumptions!$C$5,G4499)),Assumptions!$D$5,IF(ISNUMBER(SEARCH(Assumptions!$C$6,G4499)),Assumptions!$D$6,IF(ISNUMBER(SEARCH(Assumptions!$C$7,G4499)),Assumptions!$D$7,"Other Services"))),"Other Services"))</f>
        <v/>
      </c>
    </row>
    <row r="4500" customFormat="false" ht="15" hidden="false" customHeight="false" outlineLevel="0" collapsed="false">
      <c r="F4500" s="41" t="str">
        <f aca="false">IF(E4500="","",IFERROR(VLOOKUP(E4500,Assumptions!$G$5:$H$16,2,0),"Other"))</f>
        <v/>
      </c>
      <c r="J4500" s="41" t="str">
        <f aca="false">IF(G4500="","",IFERROR(IF(ISNUMBER(SEARCH(Assumptions!$C$5,G4500)),Assumptions!$D$5,IF(ISNUMBER(SEARCH(Assumptions!$C$6,G4500)),Assumptions!$D$6,IF(ISNUMBER(SEARCH(Assumptions!$C$7,G4500)),Assumptions!$D$7,"Other Services"))),"Other Services"))</f>
        <v/>
      </c>
    </row>
    <row r="4501" customFormat="false" ht="15" hidden="false" customHeight="false" outlineLevel="0" collapsed="false">
      <c r="F4501" s="41" t="str">
        <f aca="false">IF(E4501="","",IFERROR(VLOOKUP(E4501,Assumptions!$G$5:$H$16,2,0),"Other"))</f>
        <v/>
      </c>
      <c r="J4501" s="41" t="str">
        <f aca="false">IF(G4501="","",IFERROR(IF(ISNUMBER(SEARCH(Assumptions!$C$5,G4501)),Assumptions!$D$5,IF(ISNUMBER(SEARCH(Assumptions!$C$6,G4501)),Assumptions!$D$6,IF(ISNUMBER(SEARCH(Assumptions!$C$7,G4501)),Assumptions!$D$7,"Other Services"))),"Other Services"))</f>
        <v/>
      </c>
    </row>
    <row r="4502" customFormat="false" ht="15" hidden="false" customHeight="false" outlineLevel="0" collapsed="false">
      <c r="F4502" s="41" t="str">
        <f aca="false">IF(E4502="","",IFERROR(VLOOKUP(E4502,Assumptions!$G$5:$H$16,2,0),"Other"))</f>
        <v/>
      </c>
      <c r="J4502" s="41" t="str">
        <f aca="false">IF(G4502="","",IFERROR(IF(ISNUMBER(SEARCH(Assumptions!$C$5,G4502)),Assumptions!$D$5,IF(ISNUMBER(SEARCH(Assumptions!$C$6,G4502)),Assumptions!$D$6,IF(ISNUMBER(SEARCH(Assumptions!$C$7,G4502)),Assumptions!$D$7,"Other Services"))),"Other Services"))</f>
        <v/>
      </c>
    </row>
    <row r="4503" customFormat="false" ht="15" hidden="false" customHeight="false" outlineLevel="0" collapsed="false">
      <c r="F4503" s="41" t="str">
        <f aca="false">IF(E4503="","",IFERROR(VLOOKUP(E4503,Assumptions!$G$5:$H$16,2,0),"Other"))</f>
        <v/>
      </c>
      <c r="J4503" s="41" t="str">
        <f aca="false">IF(G4503="","",IFERROR(IF(ISNUMBER(SEARCH(Assumptions!$C$5,G4503)),Assumptions!$D$5,IF(ISNUMBER(SEARCH(Assumptions!$C$6,G4503)),Assumptions!$D$6,IF(ISNUMBER(SEARCH(Assumptions!$C$7,G4503)),Assumptions!$D$7,"Other Services"))),"Other Services"))</f>
        <v/>
      </c>
    </row>
    <row r="4504" customFormat="false" ht="15" hidden="false" customHeight="false" outlineLevel="0" collapsed="false">
      <c r="F4504" s="41" t="str">
        <f aca="false">IF(E4504="","",IFERROR(VLOOKUP(E4504,Assumptions!$G$5:$H$16,2,0),"Other"))</f>
        <v/>
      </c>
      <c r="J4504" s="41" t="str">
        <f aca="false">IF(G4504="","",IFERROR(IF(ISNUMBER(SEARCH(Assumptions!$C$5,G4504)),Assumptions!$D$5,IF(ISNUMBER(SEARCH(Assumptions!$C$6,G4504)),Assumptions!$D$6,IF(ISNUMBER(SEARCH(Assumptions!$C$7,G4504)),Assumptions!$D$7,"Other Services"))),"Other Services"))</f>
        <v/>
      </c>
    </row>
    <row r="4505" customFormat="false" ht="15" hidden="false" customHeight="false" outlineLevel="0" collapsed="false">
      <c r="F4505" s="41" t="str">
        <f aca="false">IF(E4505="","",IFERROR(VLOOKUP(E4505,Assumptions!$G$5:$H$16,2,0),"Other"))</f>
        <v/>
      </c>
      <c r="J4505" s="41" t="str">
        <f aca="false">IF(G4505="","",IFERROR(IF(ISNUMBER(SEARCH(Assumptions!$C$5,G4505)),Assumptions!$D$5,IF(ISNUMBER(SEARCH(Assumptions!$C$6,G4505)),Assumptions!$D$6,IF(ISNUMBER(SEARCH(Assumptions!$C$7,G4505)),Assumptions!$D$7,"Other Services"))),"Other Services"))</f>
        <v/>
      </c>
    </row>
    <row r="4506" customFormat="false" ht="15" hidden="false" customHeight="false" outlineLevel="0" collapsed="false">
      <c r="F4506" s="41" t="str">
        <f aca="false">IF(E4506="","",IFERROR(VLOOKUP(E4506,Assumptions!$G$5:$H$16,2,0),"Other"))</f>
        <v/>
      </c>
      <c r="J4506" s="41" t="str">
        <f aca="false">IF(G4506="","",IFERROR(IF(ISNUMBER(SEARCH(Assumptions!$C$5,G4506)),Assumptions!$D$5,IF(ISNUMBER(SEARCH(Assumptions!$C$6,G4506)),Assumptions!$D$6,IF(ISNUMBER(SEARCH(Assumptions!$C$7,G4506)),Assumptions!$D$7,"Other Services"))),"Other Services"))</f>
        <v/>
      </c>
    </row>
    <row r="4507" customFormat="false" ht="15" hidden="false" customHeight="false" outlineLevel="0" collapsed="false">
      <c r="F4507" s="41" t="str">
        <f aca="false">IF(E4507="","",IFERROR(VLOOKUP(E4507,Assumptions!$G$5:$H$16,2,0),"Other"))</f>
        <v/>
      </c>
      <c r="J4507" s="41" t="str">
        <f aca="false">IF(G4507="","",IFERROR(IF(ISNUMBER(SEARCH(Assumptions!$C$5,G4507)),Assumptions!$D$5,IF(ISNUMBER(SEARCH(Assumptions!$C$6,G4507)),Assumptions!$D$6,IF(ISNUMBER(SEARCH(Assumptions!$C$7,G4507)),Assumptions!$D$7,"Other Services"))),"Other Services"))</f>
        <v/>
      </c>
    </row>
    <row r="4508" customFormat="false" ht="15" hidden="false" customHeight="false" outlineLevel="0" collapsed="false">
      <c r="F4508" s="41" t="str">
        <f aca="false">IF(E4508="","",IFERROR(VLOOKUP(E4508,Assumptions!$G$5:$H$16,2,0),"Other"))</f>
        <v/>
      </c>
      <c r="J4508" s="41" t="str">
        <f aca="false">IF(G4508="","",IFERROR(IF(ISNUMBER(SEARCH(Assumptions!$C$5,G4508)),Assumptions!$D$5,IF(ISNUMBER(SEARCH(Assumptions!$C$6,G4508)),Assumptions!$D$6,IF(ISNUMBER(SEARCH(Assumptions!$C$7,G4508)),Assumptions!$D$7,"Other Services"))),"Other Services"))</f>
        <v/>
      </c>
    </row>
    <row r="4509" customFormat="false" ht="15" hidden="false" customHeight="false" outlineLevel="0" collapsed="false">
      <c r="F4509" s="41" t="str">
        <f aca="false">IF(E4509="","",IFERROR(VLOOKUP(E4509,Assumptions!$G$5:$H$16,2,0),"Other"))</f>
        <v/>
      </c>
      <c r="J4509" s="41" t="str">
        <f aca="false">IF(G4509="","",IFERROR(IF(ISNUMBER(SEARCH(Assumptions!$C$5,G4509)),Assumptions!$D$5,IF(ISNUMBER(SEARCH(Assumptions!$C$6,G4509)),Assumptions!$D$6,IF(ISNUMBER(SEARCH(Assumptions!$C$7,G4509)),Assumptions!$D$7,"Other Services"))),"Other Services"))</f>
        <v/>
      </c>
    </row>
    <row r="4510" customFormat="false" ht="15" hidden="false" customHeight="false" outlineLevel="0" collapsed="false">
      <c r="F4510" s="41" t="str">
        <f aca="false">IF(E4510="","",IFERROR(VLOOKUP(E4510,Assumptions!$G$5:$H$16,2,0),"Other"))</f>
        <v/>
      </c>
      <c r="J4510" s="41" t="str">
        <f aca="false">IF(G4510="","",IFERROR(IF(ISNUMBER(SEARCH(Assumptions!$C$5,G4510)),Assumptions!$D$5,IF(ISNUMBER(SEARCH(Assumptions!$C$6,G4510)),Assumptions!$D$6,IF(ISNUMBER(SEARCH(Assumptions!$C$7,G4510)),Assumptions!$D$7,"Other Services"))),"Other Services"))</f>
        <v/>
      </c>
    </row>
    <row r="4511" customFormat="false" ht="15" hidden="false" customHeight="false" outlineLevel="0" collapsed="false">
      <c r="F4511" s="41" t="str">
        <f aca="false">IF(E4511="","",IFERROR(VLOOKUP(E4511,Assumptions!$G$5:$H$16,2,0),"Other"))</f>
        <v/>
      </c>
      <c r="J4511" s="41" t="str">
        <f aca="false">IF(G4511="","",IFERROR(IF(ISNUMBER(SEARCH(Assumptions!$C$5,G4511)),Assumptions!$D$5,IF(ISNUMBER(SEARCH(Assumptions!$C$6,G4511)),Assumptions!$D$6,IF(ISNUMBER(SEARCH(Assumptions!$C$7,G4511)),Assumptions!$D$7,"Other Services"))),"Other Services"))</f>
        <v/>
      </c>
    </row>
    <row r="4512" customFormat="false" ht="15" hidden="false" customHeight="false" outlineLevel="0" collapsed="false">
      <c r="F4512" s="41" t="str">
        <f aca="false">IF(E4512="","",IFERROR(VLOOKUP(E4512,Assumptions!$G$5:$H$16,2,0),"Other"))</f>
        <v/>
      </c>
      <c r="J4512" s="41" t="str">
        <f aca="false">IF(G4512="","",IFERROR(IF(ISNUMBER(SEARCH(Assumptions!$C$5,G4512)),Assumptions!$D$5,IF(ISNUMBER(SEARCH(Assumptions!$C$6,G4512)),Assumptions!$D$6,IF(ISNUMBER(SEARCH(Assumptions!$C$7,G4512)),Assumptions!$D$7,"Other Services"))),"Other Services"))</f>
        <v/>
      </c>
    </row>
    <row r="4513" customFormat="false" ht="15" hidden="false" customHeight="false" outlineLevel="0" collapsed="false">
      <c r="F4513" s="41" t="str">
        <f aca="false">IF(E4513="","",IFERROR(VLOOKUP(E4513,Assumptions!$G$5:$H$16,2,0),"Other"))</f>
        <v/>
      </c>
      <c r="J4513" s="41" t="str">
        <f aca="false">IF(G4513="","",IFERROR(IF(ISNUMBER(SEARCH(Assumptions!$C$5,G4513)),Assumptions!$D$5,IF(ISNUMBER(SEARCH(Assumptions!$C$6,G4513)),Assumptions!$D$6,IF(ISNUMBER(SEARCH(Assumptions!$C$7,G4513)),Assumptions!$D$7,"Other Services"))),"Other Services"))</f>
        <v/>
      </c>
    </row>
    <row r="4514" customFormat="false" ht="15" hidden="false" customHeight="false" outlineLevel="0" collapsed="false">
      <c r="F4514" s="41" t="str">
        <f aca="false">IF(E4514="","",IFERROR(VLOOKUP(E4514,Assumptions!$G$5:$H$16,2,0),"Other"))</f>
        <v/>
      </c>
      <c r="J4514" s="41" t="str">
        <f aca="false">IF(G4514="","",IFERROR(IF(ISNUMBER(SEARCH(Assumptions!$C$5,G4514)),Assumptions!$D$5,IF(ISNUMBER(SEARCH(Assumptions!$C$6,G4514)),Assumptions!$D$6,IF(ISNUMBER(SEARCH(Assumptions!$C$7,G4514)),Assumptions!$D$7,"Other Services"))),"Other Services"))</f>
        <v/>
      </c>
    </row>
    <row r="4515" customFormat="false" ht="15" hidden="false" customHeight="false" outlineLevel="0" collapsed="false">
      <c r="F4515" s="41" t="str">
        <f aca="false">IF(E4515="","",IFERROR(VLOOKUP(E4515,Assumptions!$G$5:$H$16,2,0),"Other"))</f>
        <v/>
      </c>
      <c r="J4515" s="41" t="str">
        <f aca="false">IF(G4515="","",IFERROR(IF(ISNUMBER(SEARCH(Assumptions!$C$5,G4515)),Assumptions!$D$5,IF(ISNUMBER(SEARCH(Assumptions!$C$6,G4515)),Assumptions!$D$6,IF(ISNUMBER(SEARCH(Assumptions!$C$7,G4515)),Assumptions!$D$7,"Other Services"))),"Other Services"))</f>
        <v/>
      </c>
    </row>
    <row r="4516" customFormat="false" ht="15" hidden="false" customHeight="false" outlineLevel="0" collapsed="false">
      <c r="F4516" s="41" t="str">
        <f aca="false">IF(E4516="","",IFERROR(VLOOKUP(E4516,Assumptions!$G$5:$H$16,2,0),"Other"))</f>
        <v/>
      </c>
      <c r="J4516" s="41" t="str">
        <f aca="false">IF(G4516="","",IFERROR(IF(ISNUMBER(SEARCH(Assumptions!$C$5,G4516)),Assumptions!$D$5,IF(ISNUMBER(SEARCH(Assumptions!$C$6,G4516)),Assumptions!$D$6,IF(ISNUMBER(SEARCH(Assumptions!$C$7,G4516)),Assumptions!$D$7,"Other Services"))),"Other Services"))</f>
        <v/>
      </c>
    </row>
    <row r="4517" customFormat="false" ht="15" hidden="false" customHeight="false" outlineLevel="0" collapsed="false">
      <c r="F4517" s="41" t="str">
        <f aca="false">IF(E4517="","",IFERROR(VLOOKUP(E4517,Assumptions!$G$5:$H$16,2,0),"Other"))</f>
        <v/>
      </c>
      <c r="J4517" s="41" t="str">
        <f aca="false">IF(G4517="","",IFERROR(IF(ISNUMBER(SEARCH(Assumptions!$C$5,G4517)),Assumptions!$D$5,IF(ISNUMBER(SEARCH(Assumptions!$C$6,G4517)),Assumptions!$D$6,IF(ISNUMBER(SEARCH(Assumptions!$C$7,G4517)),Assumptions!$D$7,"Other Services"))),"Other Services"))</f>
        <v/>
      </c>
    </row>
    <row r="4518" customFormat="false" ht="15" hidden="false" customHeight="false" outlineLevel="0" collapsed="false">
      <c r="F4518" s="41" t="str">
        <f aca="false">IF(E4518="","",IFERROR(VLOOKUP(E4518,Assumptions!$G$5:$H$16,2,0),"Other"))</f>
        <v/>
      </c>
      <c r="J4518" s="41" t="str">
        <f aca="false">IF(G4518="","",IFERROR(IF(ISNUMBER(SEARCH(Assumptions!$C$5,G4518)),Assumptions!$D$5,IF(ISNUMBER(SEARCH(Assumptions!$C$6,G4518)),Assumptions!$D$6,IF(ISNUMBER(SEARCH(Assumptions!$C$7,G4518)),Assumptions!$D$7,"Other Services"))),"Other Services"))</f>
        <v/>
      </c>
    </row>
    <row r="4519" customFormat="false" ht="15" hidden="false" customHeight="false" outlineLevel="0" collapsed="false">
      <c r="F4519" s="41" t="str">
        <f aca="false">IF(E4519="","",IFERROR(VLOOKUP(E4519,Assumptions!$G$5:$H$16,2,0),"Other"))</f>
        <v/>
      </c>
      <c r="J4519" s="41" t="str">
        <f aca="false">IF(G4519="","",IFERROR(IF(ISNUMBER(SEARCH(Assumptions!$C$5,G4519)),Assumptions!$D$5,IF(ISNUMBER(SEARCH(Assumptions!$C$6,G4519)),Assumptions!$D$6,IF(ISNUMBER(SEARCH(Assumptions!$C$7,G4519)),Assumptions!$D$7,"Other Services"))),"Other Services"))</f>
        <v/>
      </c>
    </row>
    <row r="4520" customFormat="false" ht="15" hidden="false" customHeight="false" outlineLevel="0" collapsed="false">
      <c r="F4520" s="41" t="str">
        <f aca="false">IF(E4520="","",IFERROR(VLOOKUP(E4520,Assumptions!$G$5:$H$16,2,0),"Other"))</f>
        <v/>
      </c>
      <c r="J4520" s="41" t="str">
        <f aca="false">IF(G4520="","",IFERROR(IF(ISNUMBER(SEARCH(Assumptions!$C$5,G4520)),Assumptions!$D$5,IF(ISNUMBER(SEARCH(Assumptions!$C$6,G4520)),Assumptions!$D$6,IF(ISNUMBER(SEARCH(Assumptions!$C$7,G4520)),Assumptions!$D$7,"Other Services"))),"Other Services"))</f>
        <v/>
      </c>
    </row>
    <row r="4521" customFormat="false" ht="15" hidden="false" customHeight="false" outlineLevel="0" collapsed="false">
      <c r="F4521" s="41" t="str">
        <f aca="false">IF(E4521="","",IFERROR(VLOOKUP(E4521,Assumptions!$G$5:$H$16,2,0),"Other"))</f>
        <v/>
      </c>
      <c r="J4521" s="41" t="str">
        <f aca="false">IF(G4521="","",IFERROR(IF(ISNUMBER(SEARCH(Assumptions!$C$5,G4521)),Assumptions!$D$5,IF(ISNUMBER(SEARCH(Assumptions!$C$6,G4521)),Assumptions!$D$6,IF(ISNUMBER(SEARCH(Assumptions!$C$7,G4521)),Assumptions!$D$7,"Other Services"))),"Other Services"))</f>
        <v/>
      </c>
    </row>
    <row r="4522" customFormat="false" ht="15" hidden="false" customHeight="false" outlineLevel="0" collapsed="false">
      <c r="F4522" s="41" t="str">
        <f aca="false">IF(E4522="","",IFERROR(VLOOKUP(E4522,Assumptions!$G$5:$H$16,2,0),"Other"))</f>
        <v/>
      </c>
      <c r="J4522" s="41" t="str">
        <f aca="false">IF(G4522="","",IFERROR(IF(ISNUMBER(SEARCH(Assumptions!$C$5,G4522)),Assumptions!$D$5,IF(ISNUMBER(SEARCH(Assumptions!$C$6,G4522)),Assumptions!$D$6,IF(ISNUMBER(SEARCH(Assumptions!$C$7,G4522)),Assumptions!$D$7,"Other Services"))),"Other Services"))</f>
        <v/>
      </c>
    </row>
    <row r="4523" customFormat="false" ht="15" hidden="false" customHeight="false" outlineLevel="0" collapsed="false">
      <c r="F4523" s="41" t="str">
        <f aca="false">IF(E4523="","",IFERROR(VLOOKUP(E4523,Assumptions!$G$5:$H$16,2,0),"Other"))</f>
        <v/>
      </c>
      <c r="J4523" s="41" t="str">
        <f aca="false">IF(G4523="","",IFERROR(IF(ISNUMBER(SEARCH(Assumptions!$C$5,G4523)),Assumptions!$D$5,IF(ISNUMBER(SEARCH(Assumptions!$C$6,G4523)),Assumptions!$D$6,IF(ISNUMBER(SEARCH(Assumptions!$C$7,G4523)),Assumptions!$D$7,"Other Services"))),"Other Services"))</f>
        <v/>
      </c>
    </row>
    <row r="4524" customFormat="false" ht="15" hidden="false" customHeight="false" outlineLevel="0" collapsed="false">
      <c r="F4524" s="41" t="str">
        <f aca="false">IF(E4524="","",IFERROR(VLOOKUP(E4524,Assumptions!$G$5:$H$16,2,0),"Other"))</f>
        <v/>
      </c>
      <c r="J4524" s="41" t="str">
        <f aca="false">IF(G4524="","",IFERROR(IF(ISNUMBER(SEARCH(Assumptions!$C$5,G4524)),Assumptions!$D$5,IF(ISNUMBER(SEARCH(Assumptions!$C$6,G4524)),Assumptions!$D$6,IF(ISNUMBER(SEARCH(Assumptions!$C$7,G4524)),Assumptions!$D$7,"Other Services"))),"Other Services"))</f>
        <v/>
      </c>
    </row>
    <row r="4525" customFormat="false" ht="15" hidden="false" customHeight="false" outlineLevel="0" collapsed="false">
      <c r="F4525" s="41" t="str">
        <f aca="false">IF(E4525="","",IFERROR(VLOOKUP(E4525,Assumptions!$G$5:$H$16,2,0),"Other"))</f>
        <v/>
      </c>
      <c r="J4525" s="41" t="str">
        <f aca="false">IF(G4525="","",IFERROR(IF(ISNUMBER(SEARCH(Assumptions!$C$5,G4525)),Assumptions!$D$5,IF(ISNUMBER(SEARCH(Assumptions!$C$6,G4525)),Assumptions!$D$6,IF(ISNUMBER(SEARCH(Assumptions!$C$7,G4525)),Assumptions!$D$7,"Other Services"))),"Other Services"))</f>
        <v/>
      </c>
    </row>
    <row r="4526" customFormat="false" ht="15" hidden="false" customHeight="false" outlineLevel="0" collapsed="false">
      <c r="F4526" s="41" t="str">
        <f aca="false">IF(E4526="","",IFERROR(VLOOKUP(E4526,Assumptions!$G$5:$H$16,2,0),"Other"))</f>
        <v/>
      </c>
      <c r="J4526" s="41" t="str">
        <f aca="false">IF(G4526="","",IFERROR(IF(ISNUMBER(SEARCH(Assumptions!$C$5,G4526)),Assumptions!$D$5,IF(ISNUMBER(SEARCH(Assumptions!$C$6,G4526)),Assumptions!$D$6,IF(ISNUMBER(SEARCH(Assumptions!$C$7,G4526)),Assumptions!$D$7,"Other Services"))),"Other Services"))</f>
        <v/>
      </c>
    </row>
    <row r="4527" customFormat="false" ht="15" hidden="false" customHeight="false" outlineLevel="0" collapsed="false">
      <c r="F4527" s="41" t="str">
        <f aca="false">IF(E4527="","",IFERROR(VLOOKUP(E4527,Assumptions!$G$5:$H$16,2,0),"Other"))</f>
        <v/>
      </c>
      <c r="J4527" s="41" t="str">
        <f aca="false">IF(G4527="","",IFERROR(IF(ISNUMBER(SEARCH(Assumptions!$C$5,G4527)),Assumptions!$D$5,IF(ISNUMBER(SEARCH(Assumptions!$C$6,G4527)),Assumptions!$D$6,IF(ISNUMBER(SEARCH(Assumptions!$C$7,G4527)),Assumptions!$D$7,"Other Services"))),"Other Services"))</f>
        <v/>
      </c>
    </row>
    <row r="4528" customFormat="false" ht="15" hidden="false" customHeight="false" outlineLevel="0" collapsed="false">
      <c r="F4528" s="41" t="str">
        <f aca="false">IF(E4528="","",IFERROR(VLOOKUP(E4528,Assumptions!$G$5:$H$16,2,0),"Other"))</f>
        <v/>
      </c>
      <c r="J4528" s="41" t="str">
        <f aca="false">IF(G4528="","",IFERROR(IF(ISNUMBER(SEARCH(Assumptions!$C$5,G4528)),Assumptions!$D$5,IF(ISNUMBER(SEARCH(Assumptions!$C$6,G4528)),Assumptions!$D$6,IF(ISNUMBER(SEARCH(Assumptions!$C$7,G4528)),Assumptions!$D$7,"Other Services"))),"Other Services"))</f>
        <v/>
      </c>
    </row>
    <row r="4529" customFormat="false" ht="15" hidden="false" customHeight="false" outlineLevel="0" collapsed="false">
      <c r="F4529" s="41" t="str">
        <f aca="false">IF(E4529="","",IFERROR(VLOOKUP(E4529,Assumptions!$G$5:$H$16,2,0),"Other"))</f>
        <v/>
      </c>
      <c r="J4529" s="41" t="str">
        <f aca="false">IF(G4529="","",IFERROR(IF(ISNUMBER(SEARCH(Assumptions!$C$5,G4529)),Assumptions!$D$5,IF(ISNUMBER(SEARCH(Assumptions!$C$6,G4529)),Assumptions!$D$6,IF(ISNUMBER(SEARCH(Assumptions!$C$7,G4529)),Assumptions!$D$7,"Other Services"))),"Other Services"))</f>
        <v/>
      </c>
    </row>
    <row r="4530" customFormat="false" ht="15" hidden="false" customHeight="false" outlineLevel="0" collapsed="false">
      <c r="F4530" s="41" t="str">
        <f aca="false">IF(E4530="","",IFERROR(VLOOKUP(E4530,Assumptions!$G$5:$H$16,2,0),"Other"))</f>
        <v/>
      </c>
      <c r="J4530" s="41" t="str">
        <f aca="false">IF(G4530="","",IFERROR(IF(ISNUMBER(SEARCH(Assumptions!$C$5,G4530)),Assumptions!$D$5,IF(ISNUMBER(SEARCH(Assumptions!$C$6,G4530)),Assumptions!$D$6,IF(ISNUMBER(SEARCH(Assumptions!$C$7,G4530)),Assumptions!$D$7,"Other Services"))),"Other Services"))</f>
        <v/>
      </c>
    </row>
    <row r="4531" customFormat="false" ht="15" hidden="false" customHeight="false" outlineLevel="0" collapsed="false">
      <c r="F4531" s="41" t="str">
        <f aca="false">IF(E4531="","",IFERROR(VLOOKUP(E4531,Assumptions!$G$5:$H$16,2,0),"Other"))</f>
        <v/>
      </c>
      <c r="J4531" s="41" t="str">
        <f aca="false">IF(G4531="","",IFERROR(IF(ISNUMBER(SEARCH(Assumptions!$C$5,G4531)),Assumptions!$D$5,IF(ISNUMBER(SEARCH(Assumptions!$C$6,G4531)),Assumptions!$D$6,IF(ISNUMBER(SEARCH(Assumptions!$C$7,G4531)),Assumptions!$D$7,"Other Services"))),"Other Services"))</f>
        <v/>
      </c>
    </row>
    <row r="4532" customFormat="false" ht="15" hidden="false" customHeight="false" outlineLevel="0" collapsed="false">
      <c r="F4532" s="41" t="str">
        <f aca="false">IF(E4532="","",IFERROR(VLOOKUP(E4532,Assumptions!$G$5:$H$16,2,0),"Other"))</f>
        <v/>
      </c>
      <c r="J4532" s="41" t="str">
        <f aca="false">IF(G4532="","",IFERROR(IF(ISNUMBER(SEARCH(Assumptions!$C$5,G4532)),Assumptions!$D$5,IF(ISNUMBER(SEARCH(Assumptions!$C$6,G4532)),Assumptions!$D$6,IF(ISNUMBER(SEARCH(Assumptions!$C$7,G4532)),Assumptions!$D$7,"Other Services"))),"Other Services"))</f>
        <v/>
      </c>
    </row>
    <row r="4533" customFormat="false" ht="15" hidden="false" customHeight="false" outlineLevel="0" collapsed="false">
      <c r="F4533" s="41" t="str">
        <f aca="false">IF(E4533="","",IFERROR(VLOOKUP(E4533,Assumptions!$G$5:$H$16,2,0),"Other"))</f>
        <v/>
      </c>
      <c r="J4533" s="41" t="str">
        <f aca="false">IF(G4533="","",IFERROR(IF(ISNUMBER(SEARCH(Assumptions!$C$5,G4533)),Assumptions!$D$5,IF(ISNUMBER(SEARCH(Assumptions!$C$6,G4533)),Assumptions!$D$6,IF(ISNUMBER(SEARCH(Assumptions!$C$7,G4533)),Assumptions!$D$7,"Other Services"))),"Other Services"))</f>
        <v/>
      </c>
    </row>
    <row r="4534" customFormat="false" ht="15" hidden="false" customHeight="false" outlineLevel="0" collapsed="false">
      <c r="F4534" s="41" t="str">
        <f aca="false">IF(E4534="","",IFERROR(VLOOKUP(E4534,Assumptions!$G$5:$H$16,2,0),"Other"))</f>
        <v/>
      </c>
      <c r="J4534" s="41" t="str">
        <f aca="false">IF(G4534="","",IFERROR(IF(ISNUMBER(SEARCH(Assumptions!$C$5,G4534)),Assumptions!$D$5,IF(ISNUMBER(SEARCH(Assumptions!$C$6,G4534)),Assumptions!$D$6,IF(ISNUMBER(SEARCH(Assumptions!$C$7,G4534)),Assumptions!$D$7,"Other Services"))),"Other Services"))</f>
        <v/>
      </c>
    </row>
    <row r="4535" customFormat="false" ht="15" hidden="false" customHeight="false" outlineLevel="0" collapsed="false">
      <c r="F4535" s="41" t="str">
        <f aca="false">IF(E4535="","",IFERROR(VLOOKUP(E4535,Assumptions!$G$5:$H$16,2,0),"Other"))</f>
        <v/>
      </c>
      <c r="J4535" s="41" t="str">
        <f aca="false">IF(G4535="","",IFERROR(IF(ISNUMBER(SEARCH(Assumptions!$C$5,G4535)),Assumptions!$D$5,IF(ISNUMBER(SEARCH(Assumptions!$C$6,G4535)),Assumptions!$D$6,IF(ISNUMBER(SEARCH(Assumptions!$C$7,G4535)),Assumptions!$D$7,"Other Services"))),"Other Services"))</f>
        <v/>
      </c>
    </row>
    <row r="4536" customFormat="false" ht="15" hidden="false" customHeight="false" outlineLevel="0" collapsed="false">
      <c r="F4536" s="41" t="str">
        <f aca="false">IF(E4536="","",IFERROR(VLOOKUP(E4536,Assumptions!$G$5:$H$16,2,0),"Other"))</f>
        <v/>
      </c>
      <c r="J4536" s="41" t="str">
        <f aca="false">IF(G4536="","",IFERROR(IF(ISNUMBER(SEARCH(Assumptions!$C$5,G4536)),Assumptions!$D$5,IF(ISNUMBER(SEARCH(Assumptions!$C$6,G4536)),Assumptions!$D$6,IF(ISNUMBER(SEARCH(Assumptions!$C$7,G4536)),Assumptions!$D$7,"Other Services"))),"Other Services"))</f>
        <v/>
      </c>
    </row>
    <row r="4537" customFormat="false" ht="15" hidden="false" customHeight="false" outlineLevel="0" collapsed="false">
      <c r="F4537" s="41" t="str">
        <f aca="false">IF(E4537="","",IFERROR(VLOOKUP(E4537,Assumptions!$G$5:$H$16,2,0),"Other"))</f>
        <v/>
      </c>
      <c r="J4537" s="41" t="str">
        <f aca="false">IF(G4537="","",IFERROR(IF(ISNUMBER(SEARCH(Assumptions!$C$5,G4537)),Assumptions!$D$5,IF(ISNUMBER(SEARCH(Assumptions!$C$6,G4537)),Assumptions!$D$6,IF(ISNUMBER(SEARCH(Assumptions!$C$7,G4537)),Assumptions!$D$7,"Other Services"))),"Other Services"))</f>
        <v/>
      </c>
    </row>
    <row r="4538" customFormat="false" ht="15" hidden="false" customHeight="false" outlineLevel="0" collapsed="false">
      <c r="F4538" s="41" t="str">
        <f aca="false">IF(E4538="","",IFERROR(VLOOKUP(E4538,Assumptions!$G$5:$H$16,2,0),"Other"))</f>
        <v/>
      </c>
      <c r="J4538" s="41" t="str">
        <f aca="false">IF(G4538="","",IFERROR(IF(ISNUMBER(SEARCH(Assumptions!$C$5,G4538)),Assumptions!$D$5,IF(ISNUMBER(SEARCH(Assumptions!$C$6,G4538)),Assumptions!$D$6,IF(ISNUMBER(SEARCH(Assumptions!$C$7,G4538)),Assumptions!$D$7,"Other Services"))),"Other Services"))</f>
        <v/>
      </c>
    </row>
    <row r="4539" customFormat="false" ht="15" hidden="false" customHeight="false" outlineLevel="0" collapsed="false">
      <c r="F4539" s="41" t="str">
        <f aca="false">IF(E4539="","",IFERROR(VLOOKUP(E4539,Assumptions!$G$5:$H$16,2,0),"Other"))</f>
        <v/>
      </c>
      <c r="J4539" s="41" t="str">
        <f aca="false">IF(G4539="","",IFERROR(IF(ISNUMBER(SEARCH(Assumptions!$C$5,G4539)),Assumptions!$D$5,IF(ISNUMBER(SEARCH(Assumptions!$C$6,G4539)),Assumptions!$D$6,IF(ISNUMBER(SEARCH(Assumptions!$C$7,G4539)),Assumptions!$D$7,"Other Services"))),"Other Services"))</f>
        <v/>
      </c>
    </row>
    <row r="4540" customFormat="false" ht="15" hidden="false" customHeight="false" outlineLevel="0" collapsed="false">
      <c r="F4540" s="41" t="str">
        <f aca="false">IF(E4540="","",IFERROR(VLOOKUP(E4540,Assumptions!$G$5:$H$16,2,0),"Other"))</f>
        <v/>
      </c>
      <c r="J4540" s="41" t="str">
        <f aca="false">IF(G4540="","",IFERROR(IF(ISNUMBER(SEARCH(Assumptions!$C$5,G4540)),Assumptions!$D$5,IF(ISNUMBER(SEARCH(Assumptions!$C$6,G4540)),Assumptions!$D$6,IF(ISNUMBER(SEARCH(Assumptions!$C$7,G4540)),Assumptions!$D$7,"Other Services"))),"Other Services"))</f>
        <v/>
      </c>
    </row>
    <row r="4541" customFormat="false" ht="15" hidden="false" customHeight="false" outlineLevel="0" collapsed="false">
      <c r="F4541" s="41" t="str">
        <f aca="false">IF(E4541="","",IFERROR(VLOOKUP(E4541,Assumptions!$G$5:$H$16,2,0),"Other"))</f>
        <v/>
      </c>
      <c r="J4541" s="41" t="str">
        <f aca="false">IF(G4541="","",IFERROR(IF(ISNUMBER(SEARCH(Assumptions!$C$5,G4541)),Assumptions!$D$5,IF(ISNUMBER(SEARCH(Assumptions!$C$6,G4541)),Assumptions!$D$6,IF(ISNUMBER(SEARCH(Assumptions!$C$7,G4541)),Assumptions!$D$7,"Other Services"))),"Other Services"))</f>
        <v/>
      </c>
    </row>
    <row r="4542" customFormat="false" ht="15" hidden="false" customHeight="false" outlineLevel="0" collapsed="false">
      <c r="F4542" s="41" t="str">
        <f aca="false">IF(E4542="","",IFERROR(VLOOKUP(E4542,Assumptions!$G$5:$H$16,2,0),"Other"))</f>
        <v/>
      </c>
      <c r="J4542" s="41" t="str">
        <f aca="false">IF(G4542="","",IFERROR(IF(ISNUMBER(SEARCH(Assumptions!$C$5,G4542)),Assumptions!$D$5,IF(ISNUMBER(SEARCH(Assumptions!$C$6,G4542)),Assumptions!$D$6,IF(ISNUMBER(SEARCH(Assumptions!$C$7,G4542)),Assumptions!$D$7,"Other Services"))),"Other Services"))</f>
        <v/>
      </c>
    </row>
    <row r="4543" customFormat="false" ht="15" hidden="false" customHeight="false" outlineLevel="0" collapsed="false">
      <c r="F4543" s="41" t="str">
        <f aca="false">IF(E4543="","",IFERROR(VLOOKUP(E4543,Assumptions!$G$5:$H$16,2,0),"Other"))</f>
        <v/>
      </c>
      <c r="J4543" s="41" t="str">
        <f aca="false">IF(G4543="","",IFERROR(IF(ISNUMBER(SEARCH(Assumptions!$C$5,G4543)),Assumptions!$D$5,IF(ISNUMBER(SEARCH(Assumptions!$C$6,G4543)),Assumptions!$D$6,IF(ISNUMBER(SEARCH(Assumptions!$C$7,G4543)),Assumptions!$D$7,"Other Services"))),"Other Services"))</f>
        <v/>
      </c>
    </row>
    <row r="4544" customFormat="false" ht="15" hidden="false" customHeight="false" outlineLevel="0" collapsed="false">
      <c r="F4544" s="41" t="str">
        <f aca="false">IF(E4544="","",IFERROR(VLOOKUP(E4544,Assumptions!$G$5:$H$16,2,0),"Other"))</f>
        <v/>
      </c>
      <c r="J4544" s="41" t="str">
        <f aca="false">IF(G4544="","",IFERROR(IF(ISNUMBER(SEARCH(Assumptions!$C$5,G4544)),Assumptions!$D$5,IF(ISNUMBER(SEARCH(Assumptions!$C$6,G4544)),Assumptions!$D$6,IF(ISNUMBER(SEARCH(Assumptions!$C$7,G4544)),Assumptions!$D$7,"Other Services"))),"Other Services"))</f>
        <v/>
      </c>
    </row>
    <row r="4545" customFormat="false" ht="15" hidden="false" customHeight="false" outlineLevel="0" collapsed="false">
      <c r="F4545" s="41" t="str">
        <f aca="false">IF(E4545="","",IFERROR(VLOOKUP(E4545,Assumptions!$G$5:$H$16,2,0),"Other"))</f>
        <v/>
      </c>
      <c r="J4545" s="41" t="str">
        <f aca="false">IF(G4545="","",IFERROR(IF(ISNUMBER(SEARCH(Assumptions!$C$5,G4545)),Assumptions!$D$5,IF(ISNUMBER(SEARCH(Assumptions!$C$6,G4545)),Assumptions!$D$6,IF(ISNUMBER(SEARCH(Assumptions!$C$7,G4545)),Assumptions!$D$7,"Other Services"))),"Other Services"))</f>
        <v/>
      </c>
    </row>
    <row r="4546" customFormat="false" ht="15" hidden="false" customHeight="false" outlineLevel="0" collapsed="false">
      <c r="F4546" s="41" t="str">
        <f aca="false">IF(E4546="","",IFERROR(VLOOKUP(E4546,Assumptions!$G$5:$H$16,2,0),"Other"))</f>
        <v/>
      </c>
      <c r="J4546" s="41" t="str">
        <f aca="false">IF(G4546="","",IFERROR(IF(ISNUMBER(SEARCH(Assumptions!$C$5,G4546)),Assumptions!$D$5,IF(ISNUMBER(SEARCH(Assumptions!$C$6,G4546)),Assumptions!$D$6,IF(ISNUMBER(SEARCH(Assumptions!$C$7,G4546)),Assumptions!$D$7,"Other Services"))),"Other Services"))</f>
        <v/>
      </c>
    </row>
    <row r="4547" customFormat="false" ht="15" hidden="false" customHeight="false" outlineLevel="0" collapsed="false">
      <c r="F4547" s="41" t="str">
        <f aca="false">IF(E4547="","",IFERROR(VLOOKUP(E4547,Assumptions!$G$5:$H$16,2,0),"Other"))</f>
        <v/>
      </c>
      <c r="J4547" s="41" t="str">
        <f aca="false">IF(G4547="","",IFERROR(IF(ISNUMBER(SEARCH(Assumptions!$C$5,G4547)),Assumptions!$D$5,IF(ISNUMBER(SEARCH(Assumptions!$C$6,G4547)),Assumptions!$D$6,IF(ISNUMBER(SEARCH(Assumptions!$C$7,G4547)),Assumptions!$D$7,"Other Services"))),"Other Services"))</f>
        <v/>
      </c>
    </row>
    <row r="4548" customFormat="false" ht="15" hidden="false" customHeight="false" outlineLevel="0" collapsed="false">
      <c r="F4548" s="41" t="str">
        <f aca="false">IF(E4548="","",IFERROR(VLOOKUP(E4548,Assumptions!$G$5:$H$16,2,0),"Other"))</f>
        <v/>
      </c>
      <c r="J4548" s="41" t="str">
        <f aca="false">IF(G4548="","",IFERROR(IF(ISNUMBER(SEARCH(Assumptions!$C$5,G4548)),Assumptions!$D$5,IF(ISNUMBER(SEARCH(Assumptions!$C$6,G4548)),Assumptions!$D$6,IF(ISNUMBER(SEARCH(Assumptions!$C$7,G4548)),Assumptions!$D$7,"Other Services"))),"Other Services"))</f>
        <v/>
      </c>
    </row>
    <row r="4549" customFormat="false" ht="15" hidden="false" customHeight="false" outlineLevel="0" collapsed="false">
      <c r="F4549" s="41" t="str">
        <f aca="false">IF(E4549="","",IFERROR(VLOOKUP(E4549,Assumptions!$G$5:$H$16,2,0),"Other"))</f>
        <v/>
      </c>
      <c r="J4549" s="41" t="str">
        <f aca="false">IF(G4549="","",IFERROR(IF(ISNUMBER(SEARCH(Assumptions!$C$5,G4549)),Assumptions!$D$5,IF(ISNUMBER(SEARCH(Assumptions!$C$6,G4549)),Assumptions!$D$6,IF(ISNUMBER(SEARCH(Assumptions!$C$7,G4549)),Assumptions!$D$7,"Other Services"))),"Other Services"))</f>
        <v/>
      </c>
    </row>
    <row r="4550" customFormat="false" ht="15" hidden="false" customHeight="false" outlineLevel="0" collapsed="false">
      <c r="F4550" s="41" t="str">
        <f aca="false">IF(E4550="","",IFERROR(VLOOKUP(E4550,Assumptions!$G$5:$H$16,2,0),"Other"))</f>
        <v/>
      </c>
      <c r="J4550" s="41" t="str">
        <f aca="false">IF(G4550="","",IFERROR(IF(ISNUMBER(SEARCH(Assumptions!$C$5,G4550)),Assumptions!$D$5,IF(ISNUMBER(SEARCH(Assumptions!$C$6,G4550)),Assumptions!$D$6,IF(ISNUMBER(SEARCH(Assumptions!$C$7,G4550)),Assumptions!$D$7,"Other Services"))),"Other Services"))</f>
        <v/>
      </c>
    </row>
    <row r="4551" customFormat="false" ht="15" hidden="false" customHeight="false" outlineLevel="0" collapsed="false">
      <c r="F4551" s="41" t="str">
        <f aca="false">IF(E4551="","",IFERROR(VLOOKUP(E4551,Assumptions!$G$5:$H$16,2,0),"Other"))</f>
        <v/>
      </c>
      <c r="J4551" s="41" t="str">
        <f aca="false">IF(G4551="","",IFERROR(IF(ISNUMBER(SEARCH(Assumptions!$C$5,G4551)),Assumptions!$D$5,IF(ISNUMBER(SEARCH(Assumptions!$C$6,G4551)),Assumptions!$D$6,IF(ISNUMBER(SEARCH(Assumptions!$C$7,G4551)),Assumptions!$D$7,"Other Services"))),"Other Services"))</f>
        <v/>
      </c>
    </row>
    <row r="4552" customFormat="false" ht="15" hidden="false" customHeight="false" outlineLevel="0" collapsed="false">
      <c r="F4552" s="41" t="str">
        <f aca="false">IF(E4552="","",IFERROR(VLOOKUP(E4552,Assumptions!$G$5:$H$16,2,0),"Other"))</f>
        <v/>
      </c>
      <c r="J4552" s="41" t="str">
        <f aca="false">IF(G4552="","",IFERROR(IF(ISNUMBER(SEARCH(Assumptions!$C$5,G4552)),Assumptions!$D$5,IF(ISNUMBER(SEARCH(Assumptions!$C$6,G4552)),Assumptions!$D$6,IF(ISNUMBER(SEARCH(Assumptions!$C$7,G4552)),Assumptions!$D$7,"Other Services"))),"Other Services"))</f>
        <v/>
      </c>
    </row>
    <row r="4553" customFormat="false" ht="15" hidden="false" customHeight="false" outlineLevel="0" collapsed="false">
      <c r="F4553" s="41" t="str">
        <f aca="false">IF(E4553="","",IFERROR(VLOOKUP(E4553,Assumptions!$G$5:$H$16,2,0),"Other"))</f>
        <v/>
      </c>
      <c r="J4553" s="41" t="str">
        <f aca="false">IF(G4553="","",IFERROR(IF(ISNUMBER(SEARCH(Assumptions!$C$5,G4553)),Assumptions!$D$5,IF(ISNUMBER(SEARCH(Assumptions!$C$6,G4553)),Assumptions!$D$6,IF(ISNUMBER(SEARCH(Assumptions!$C$7,G4553)),Assumptions!$D$7,"Other Services"))),"Other Services"))</f>
        <v/>
      </c>
    </row>
    <row r="4554" customFormat="false" ht="15" hidden="false" customHeight="false" outlineLevel="0" collapsed="false">
      <c r="F4554" s="41" t="str">
        <f aca="false">IF(E4554="","",IFERROR(VLOOKUP(E4554,Assumptions!$G$5:$H$16,2,0),"Other"))</f>
        <v/>
      </c>
      <c r="J4554" s="41" t="str">
        <f aca="false">IF(G4554="","",IFERROR(IF(ISNUMBER(SEARCH(Assumptions!$C$5,G4554)),Assumptions!$D$5,IF(ISNUMBER(SEARCH(Assumptions!$C$6,G4554)),Assumptions!$D$6,IF(ISNUMBER(SEARCH(Assumptions!$C$7,G4554)),Assumptions!$D$7,"Other Services"))),"Other Services"))</f>
        <v/>
      </c>
    </row>
    <row r="4555" customFormat="false" ht="15" hidden="false" customHeight="false" outlineLevel="0" collapsed="false">
      <c r="F4555" s="41" t="str">
        <f aca="false">IF(E4555="","",IFERROR(VLOOKUP(E4555,Assumptions!$G$5:$H$16,2,0),"Other"))</f>
        <v/>
      </c>
      <c r="J4555" s="41" t="str">
        <f aca="false">IF(G4555="","",IFERROR(IF(ISNUMBER(SEARCH(Assumptions!$C$5,G4555)),Assumptions!$D$5,IF(ISNUMBER(SEARCH(Assumptions!$C$6,G4555)),Assumptions!$D$6,IF(ISNUMBER(SEARCH(Assumptions!$C$7,G4555)),Assumptions!$D$7,"Other Services"))),"Other Services"))</f>
        <v/>
      </c>
    </row>
    <row r="4556" customFormat="false" ht="15" hidden="false" customHeight="false" outlineLevel="0" collapsed="false">
      <c r="F4556" s="41" t="str">
        <f aca="false">IF(E4556="","",IFERROR(VLOOKUP(E4556,Assumptions!$G$5:$H$16,2,0),"Other"))</f>
        <v/>
      </c>
      <c r="J4556" s="41" t="str">
        <f aca="false">IF(G4556="","",IFERROR(IF(ISNUMBER(SEARCH(Assumptions!$C$5,G4556)),Assumptions!$D$5,IF(ISNUMBER(SEARCH(Assumptions!$C$6,G4556)),Assumptions!$D$6,IF(ISNUMBER(SEARCH(Assumptions!$C$7,G4556)),Assumptions!$D$7,"Other Services"))),"Other Services"))</f>
        <v/>
      </c>
    </row>
    <row r="4557" customFormat="false" ht="15" hidden="false" customHeight="false" outlineLevel="0" collapsed="false">
      <c r="F4557" s="41" t="str">
        <f aca="false">IF(E4557="","",IFERROR(VLOOKUP(E4557,Assumptions!$G$5:$H$16,2,0),"Other"))</f>
        <v/>
      </c>
      <c r="J4557" s="41" t="str">
        <f aca="false">IF(G4557="","",IFERROR(IF(ISNUMBER(SEARCH(Assumptions!$C$5,G4557)),Assumptions!$D$5,IF(ISNUMBER(SEARCH(Assumptions!$C$6,G4557)),Assumptions!$D$6,IF(ISNUMBER(SEARCH(Assumptions!$C$7,G4557)),Assumptions!$D$7,"Other Services"))),"Other Services"))</f>
        <v/>
      </c>
    </row>
    <row r="4558" customFormat="false" ht="15" hidden="false" customHeight="false" outlineLevel="0" collapsed="false">
      <c r="F4558" s="41" t="str">
        <f aca="false">IF(E4558="","",IFERROR(VLOOKUP(E4558,Assumptions!$G$5:$H$16,2,0),"Other"))</f>
        <v/>
      </c>
      <c r="J4558" s="41" t="str">
        <f aca="false">IF(G4558="","",IFERROR(IF(ISNUMBER(SEARCH(Assumptions!$C$5,G4558)),Assumptions!$D$5,IF(ISNUMBER(SEARCH(Assumptions!$C$6,G4558)),Assumptions!$D$6,IF(ISNUMBER(SEARCH(Assumptions!$C$7,G4558)),Assumptions!$D$7,"Other Services"))),"Other Services"))</f>
        <v/>
      </c>
    </row>
    <row r="4559" customFormat="false" ht="15" hidden="false" customHeight="false" outlineLevel="0" collapsed="false">
      <c r="F4559" s="41" t="str">
        <f aca="false">IF(E4559="","",IFERROR(VLOOKUP(E4559,Assumptions!$G$5:$H$16,2,0),"Other"))</f>
        <v/>
      </c>
      <c r="J4559" s="41" t="str">
        <f aca="false">IF(G4559="","",IFERROR(IF(ISNUMBER(SEARCH(Assumptions!$C$5,G4559)),Assumptions!$D$5,IF(ISNUMBER(SEARCH(Assumptions!$C$6,G4559)),Assumptions!$D$6,IF(ISNUMBER(SEARCH(Assumptions!$C$7,G4559)),Assumptions!$D$7,"Other Services"))),"Other Services"))</f>
        <v/>
      </c>
    </row>
    <row r="4560" customFormat="false" ht="15" hidden="false" customHeight="false" outlineLevel="0" collapsed="false">
      <c r="F4560" s="41" t="str">
        <f aca="false">IF(E4560="","",IFERROR(VLOOKUP(E4560,Assumptions!$G$5:$H$16,2,0),"Other"))</f>
        <v/>
      </c>
      <c r="J4560" s="41" t="str">
        <f aca="false">IF(G4560="","",IFERROR(IF(ISNUMBER(SEARCH(Assumptions!$C$5,G4560)),Assumptions!$D$5,IF(ISNUMBER(SEARCH(Assumptions!$C$6,G4560)),Assumptions!$D$6,IF(ISNUMBER(SEARCH(Assumptions!$C$7,G4560)),Assumptions!$D$7,"Other Services"))),"Other Services"))</f>
        <v/>
      </c>
    </row>
    <row r="4561" customFormat="false" ht="15" hidden="false" customHeight="false" outlineLevel="0" collapsed="false">
      <c r="F4561" s="41" t="str">
        <f aca="false">IF(E4561="","",IFERROR(VLOOKUP(E4561,Assumptions!$G$5:$H$16,2,0),"Other"))</f>
        <v/>
      </c>
      <c r="J4561" s="41" t="str">
        <f aca="false">IF(G4561="","",IFERROR(IF(ISNUMBER(SEARCH(Assumptions!$C$5,G4561)),Assumptions!$D$5,IF(ISNUMBER(SEARCH(Assumptions!$C$6,G4561)),Assumptions!$D$6,IF(ISNUMBER(SEARCH(Assumptions!$C$7,G4561)),Assumptions!$D$7,"Other Services"))),"Other Services"))</f>
        <v/>
      </c>
    </row>
    <row r="4562" customFormat="false" ht="15" hidden="false" customHeight="false" outlineLevel="0" collapsed="false">
      <c r="F4562" s="41" t="str">
        <f aca="false">IF(E4562="","",IFERROR(VLOOKUP(E4562,Assumptions!$G$5:$H$16,2,0),"Other"))</f>
        <v/>
      </c>
      <c r="J4562" s="41" t="str">
        <f aca="false">IF(G4562="","",IFERROR(IF(ISNUMBER(SEARCH(Assumptions!$C$5,G4562)),Assumptions!$D$5,IF(ISNUMBER(SEARCH(Assumptions!$C$6,G4562)),Assumptions!$D$6,IF(ISNUMBER(SEARCH(Assumptions!$C$7,G4562)),Assumptions!$D$7,"Other Services"))),"Other Services"))</f>
        <v/>
      </c>
    </row>
    <row r="4563" customFormat="false" ht="15" hidden="false" customHeight="false" outlineLevel="0" collapsed="false">
      <c r="F4563" s="41" t="str">
        <f aca="false">IF(E4563="","",IFERROR(VLOOKUP(E4563,Assumptions!$G$5:$H$16,2,0),"Other"))</f>
        <v/>
      </c>
      <c r="J4563" s="41" t="str">
        <f aca="false">IF(G4563="","",IFERROR(IF(ISNUMBER(SEARCH(Assumptions!$C$5,G4563)),Assumptions!$D$5,IF(ISNUMBER(SEARCH(Assumptions!$C$6,G4563)),Assumptions!$D$6,IF(ISNUMBER(SEARCH(Assumptions!$C$7,G4563)),Assumptions!$D$7,"Other Services"))),"Other Services"))</f>
        <v/>
      </c>
    </row>
    <row r="4564" customFormat="false" ht="15" hidden="false" customHeight="false" outlineLevel="0" collapsed="false">
      <c r="F4564" s="41" t="str">
        <f aca="false">IF(E4564="","",IFERROR(VLOOKUP(E4564,Assumptions!$G$5:$H$16,2,0),"Other"))</f>
        <v/>
      </c>
      <c r="J4564" s="41" t="str">
        <f aca="false">IF(G4564="","",IFERROR(IF(ISNUMBER(SEARCH(Assumptions!$C$5,G4564)),Assumptions!$D$5,IF(ISNUMBER(SEARCH(Assumptions!$C$6,G4564)),Assumptions!$D$6,IF(ISNUMBER(SEARCH(Assumptions!$C$7,G4564)),Assumptions!$D$7,"Other Services"))),"Other Services"))</f>
        <v/>
      </c>
    </row>
    <row r="4565" customFormat="false" ht="15" hidden="false" customHeight="false" outlineLevel="0" collapsed="false">
      <c r="F4565" s="41" t="str">
        <f aca="false">IF(E4565="","",IFERROR(VLOOKUP(E4565,Assumptions!$G$5:$H$16,2,0),"Other"))</f>
        <v/>
      </c>
      <c r="J4565" s="41" t="str">
        <f aca="false">IF(G4565="","",IFERROR(IF(ISNUMBER(SEARCH(Assumptions!$C$5,G4565)),Assumptions!$D$5,IF(ISNUMBER(SEARCH(Assumptions!$C$6,G4565)),Assumptions!$D$6,IF(ISNUMBER(SEARCH(Assumptions!$C$7,G4565)),Assumptions!$D$7,"Other Services"))),"Other Services"))</f>
        <v/>
      </c>
    </row>
    <row r="4566" customFormat="false" ht="15" hidden="false" customHeight="false" outlineLevel="0" collapsed="false">
      <c r="F4566" s="41" t="str">
        <f aca="false">IF(E4566="","",IFERROR(VLOOKUP(E4566,Assumptions!$G$5:$H$16,2,0),"Other"))</f>
        <v/>
      </c>
      <c r="J4566" s="41" t="str">
        <f aca="false">IF(G4566="","",IFERROR(IF(ISNUMBER(SEARCH(Assumptions!$C$5,G4566)),Assumptions!$D$5,IF(ISNUMBER(SEARCH(Assumptions!$C$6,G4566)),Assumptions!$D$6,IF(ISNUMBER(SEARCH(Assumptions!$C$7,G4566)),Assumptions!$D$7,"Other Services"))),"Other Services"))</f>
        <v/>
      </c>
    </row>
    <row r="4567" customFormat="false" ht="15" hidden="false" customHeight="false" outlineLevel="0" collapsed="false">
      <c r="F4567" s="41" t="str">
        <f aca="false">IF(E4567="","",IFERROR(VLOOKUP(E4567,Assumptions!$G$5:$H$16,2,0),"Other"))</f>
        <v/>
      </c>
      <c r="J4567" s="41" t="str">
        <f aca="false">IF(G4567="","",IFERROR(IF(ISNUMBER(SEARCH(Assumptions!$C$5,G4567)),Assumptions!$D$5,IF(ISNUMBER(SEARCH(Assumptions!$C$6,G4567)),Assumptions!$D$6,IF(ISNUMBER(SEARCH(Assumptions!$C$7,G4567)),Assumptions!$D$7,"Other Services"))),"Other Services"))</f>
        <v/>
      </c>
    </row>
    <row r="4568" customFormat="false" ht="15" hidden="false" customHeight="false" outlineLevel="0" collapsed="false">
      <c r="F4568" s="41" t="str">
        <f aca="false">IF(E4568="","",IFERROR(VLOOKUP(E4568,Assumptions!$G$5:$H$16,2,0),"Other"))</f>
        <v/>
      </c>
      <c r="J4568" s="41" t="str">
        <f aca="false">IF(G4568="","",IFERROR(IF(ISNUMBER(SEARCH(Assumptions!$C$5,G4568)),Assumptions!$D$5,IF(ISNUMBER(SEARCH(Assumptions!$C$6,G4568)),Assumptions!$D$6,IF(ISNUMBER(SEARCH(Assumptions!$C$7,G4568)),Assumptions!$D$7,"Other Services"))),"Other Services"))</f>
        <v/>
      </c>
    </row>
    <row r="4569" customFormat="false" ht="15" hidden="false" customHeight="false" outlineLevel="0" collapsed="false">
      <c r="F4569" s="41" t="str">
        <f aca="false">IF(E4569="","",IFERROR(VLOOKUP(E4569,Assumptions!$G$5:$H$16,2,0),"Other"))</f>
        <v/>
      </c>
      <c r="J4569" s="41" t="str">
        <f aca="false">IF(G4569="","",IFERROR(IF(ISNUMBER(SEARCH(Assumptions!$C$5,G4569)),Assumptions!$D$5,IF(ISNUMBER(SEARCH(Assumptions!$C$6,G4569)),Assumptions!$D$6,IF(ISNUMBER(SEARCH(Assumptions!$C$7,G4569)),Assumptions!$D$7,"Other Services"))),"Other Services"))</f>
        <v/>
      </c>
    </row>
    <row r="4570" customFormat="false" ht="15" hidden="false" customHeight="false" outlineLevel="0" collapsed="false">
      <c r="F4570" s="41" t="str">
        <f aca="false">IF(E4570="","",IFERROR(VLOOKUP(E4570,Assumptions!$G$5:$H$16,2,0),"Other"))</f>
        <v/>
      </c>
      <c r="J4570" s="41" t="str">
        <f aca="false">IF(G4570="","",IFERROR(IF(ISNUMBER(SEARCH(Assumptions!$C$5,G4570)),Assumptions!$D$5,IF(ISNUMBER(SEARCH(Assumptions!$C$6,G4570)),Assumptions!$D$6,IF(ISNUMBER(SEARCH(Assumptions!$C$7,G4570)),Assumptions!$D$7,"Other Services"))),"Other Services"))</f>
        <v/>
      </c>
    </row>
    <row r="4571" customFormat="false" ht="15" hidden="false" customHeight="false" outlineLevel="0" collapsed="false">
      <c r="F4571" s="41" t="str">
        <f aca="false">IF(E4571="","",IFERROR(VLOOKUP(E4571,Assumptions!$G$5:$H$16,2,0),"Other"))</f>
        <v/>
      </c>
      <c r="J4571" s="41" t="str">
        <f aca="false">IF(G4571="","",IFERROR(IF(ISNUMBER(SEARCH(Assumptions!$C$5,G4571)),Assumptions!$D$5,IF(ISNUMBER(SEARCH(Assumptions!$C$6,G4571)),Assumptions!$D$6,IF(ISNUMBER(SEARCH(Assumptions!$C$7,G4571)),Assumptions!$D$7,"Other Services"))),"Other Services"))</f>
        <v/>
      </c>
    </row>
    <row r="4572" customFormat="false" ht="15" hidden="false" customHeight="false" outlineLevel="0" collapsed="false">
      <c r="F4572" s="41" t="str">
        <f aca="false">IF(E4572="","",IFERROR(VLOOKUP(E4572,Assumptions!$G$5:$H$16,2,0),"Other"))</f>
        <v/>
      </c>
      <c r="J4572" s="41" t="str">
        <f aca="false">IF(G4572="","",IFERROR(IF(ISNUMBER(SEARCH(Assumptions!$C$5,G4572)),Assumptions!$D$5,IF(ISNUMBER(SEARCH(Assumptions!$C$6,G4572)),Assumptions!$D$6,IF(ISNUMBER(SEARCH(Assumptions!$C$7,G4572)),Assumptions!$D$7,"Other Services"))),"Other Services"))</f>
        <v/>
      </c>
    </row>
    <row r="4573" customFormat="false" ht="15" hidden="false" customHeight="false" outlineLevel="0" collapsed="false">
      <c r="F4573" s="41" t="str">
        <f aca="false">IF(E4573="","",IFERROR(VLOOKUP(E4573,Assumptions!$G$5:$H$16,2,0),"Other"))</f>
        <v/>
      </c>
      <c r="J4573" s="41" t="str">
        <f aca="false">IF(G4573="","",IFERROR(IF(ISNUMBER(SEARCH(Assumptions!$C$5,G4573)),Assumptions!$D$5,IF(ISNUMBER(SEARCH(Assumptions!$C$6,G4573)),Assumptions!$D$6,IF(ISNUMBER(SEARCH(Assumptions!$C$7,G4573)),Assumptions!$D$7,"Other Services"))),"Other Services"))</f>
        <v/>
      </c>
    </row>
    <row r="4574" customFormat="false" ht="15" hidden="false" customHeight="false" outlineLevel="0" collapsed="false">
      <c r="F4574" s="41" t="str">
        <f aca="false">IF(E4574="","",IFERROR(VLOOKUP(E4574,Assumptions!$G$5:$H$16,2,0),"Other"))</f>
        <v/>
      </c>
      <c r="J4574" s="41" t="str">
        <f aca="false">IF(G4574="","",IFERROR(IF(ISNUMBER(SEARCH(Assumptions!$C$5,G4574)),Assumptions!$D$5,IF(ISNUMBER(SEARCH(Assumptions!$C$6,G4574)),Assumptions!$D$6,IF(ISNUMBER(SEARCH(Assumptions!$C$7,G4574)),Assumptions!$D$7,"Other Services"))),"Other Services"))</f>
        <v/>
      </c>
    </row>
    <row r="4575" customFormat="false" ht="15" hidden="false" customHeight="false" outlineLevel="0" collapsed="false">
      <c r="F4575" s="41" t="str">
        <f aca="false">IF(E4575="","",IFERROR(VLOOKUP(E4575,Assumptions!$G$5:$H$16,2,0),"Other"))</f>
        <v/>
      </c>
      <c r="J4575" s="41" t="str">
        <f aca="false">IF(G4575="","",IFERROR(IF(ISNUMBER(SEARCH(Assumptions!$C$5,G4575)),Assumptions!$D$5,IF(ISNUMBER(SEARCH(Assumptions!$C$6,G4575)),Assumptions!$D$6,IF(ISNUMBER(SEARCH(Assumptions!$C$7,G4575)),Assumptions!$D$7,"Other Services"))),"Other Services"))</f>
        <v/>
      </c>
    </row>
    <row r="4576" customFormat="false" ht="15" hidden="false" customHeight="false" outlineLevel="0" collapsed="false">
      <c r="F4576" s="41" t="str">
        <f aca="false">IF(E4576="","",IFERROR(VLOOKUP(E4576,Assumptions!$G$5:$H$16,2,0),"Other"))</f>
        <v/>
      </c>
      <c r="J4576" s="41" t="str">
        <f aca="false">IF(G4576="","",IFERROR(IF(ISNUMBER(SEARCH(Assumptions!$C$5,G4576)),Assumptions!$D$5,IF(ISNUMBER(SEARCH(Assumptions!$C$6,G4576)),Assumptions!$D$6,IF(ISNUMBER(SEARCH(Assumptions!$C$7,G4576)),Assumptions!$D$7,"Other Services"))),"Other Services"))</f>
        <v/>
      </c>
    </row>
    <row r="4577" customFormat="false" ht="15" hidden="false" customHeight="false" outlineLevel="0" collapsed="false">
      <c r="F4577" s="41" t="str">
        <f aca="false">IF(E4577="","",IFERROR(VLOOKUP(E4577,Assumptions!$G$5:$H$16,2,0),"Other"))</f>
        <v/>
      </c>
      <c r="J4577" s="41" t="str">
        <f aca="false">IF(G4577="","",IFERROR(IF(ISNUMBER(SEARCH(Assumptions!$C$5,G4577)),Assumptions!$D$5,IF(ISNUMBER(SEARCH(Assumptions!$C$6,G4577)),Assumptions!$D$6,IF(ISNUMBER(SEARCH(Assumptions!$C$7,G4577)),Assumptions!$D$7,"Other Services"))),"Other Services"))</f>
        <v/>
      </c>
    </row>
    <row r="4578" customFormat="false" ht="15" hidden="false" customHeight="false" outlineLevel="0" collapsed="false">
      <c r="F4578" s="41" t="str">
        <f aca="false">IF(E4578="","",IFERROR(VLOOKUP(E4578,Assumptions!$G$5:$H$16,2,0),"Other"))</f>
        <v/>
      </c>
      <c r="J4578" s="41" t="str">
        <f aca="false">IF(G4578="","",IFERROR(IF(ISNUMBER(SEARCH(Assumptions!$C$5,G4578)),Assumptions!$D$5,IF(ISNUMBER(SEARCH(Assumptions!$C$6,G4578)),Assumptions!$D$6,IF(ISNUMBER(SEARCH(Assumptions!$C$7,G4578)),Assumptions!$D$7,"Other Services"))),"Other Services"))</f>
        <v/>
      </c>
    </row>
    <row r="4579" customFormat="false" ht="15" hidden="false" customHeight="false" outlineLevel="0" collapsed="false">
      <c r="F4579" s="41" t="str">
        <f aca="false">IF(E4579="","",IFERROR(VLOOKUP(E4579,Assumptions!$G$5:$H$16,2,0),"Other"))</f>
        <v/>
      </c>
      <c r="J4579" s="41" t="str">
        <f aca="false">IF(G4579="","",IFERROR(IF(ISNUMBER(SEARCH(Assumptions!$C$5,G4579)),Assumptions!$D$5,IF(ISNUMBER(SEARCH(Assumptions!$C$6,G4579)),Assumptions!$D$6,IF(ISNUMBER(SEARCH(Assumptions!$C$7,G4579)),Assumptions!$D$7,"Other Services"))),"Other Services"))</f>
        <v/>
      </c>
    </row>
    <row r="4580" customFormat="false" ht="15" hidden="false" customHeight="false" outlineLevel="0" collapsed="false">
      <c r="F4580" s="41" t="str">
        <f aca="false">IF(E4580="","",IFERROR(VLOOKUP(E4580,Assumptions!$G$5:$H$16,2,0),"Other"))</f>
        <v/>
      </c>
      <c r="J4580" s="41" t="str">
        <f aca="false">IF(G4580="","",IFERROR(IF(ISNUMBER(SEARCH(Assumptions!$C$5,G4580)),Assumptions!$D$5,IF(ISNUMBER(SEARCH(Assumptions!$C$6,G4580)),Assumptions!$D$6,IF(ISNUMBER(SEARCH(Assumptions!$C$7,G4580)),Assumptions!$D$7,"Other Services"))),"Other Services"))</f>
        <v/>
      </c>
    </row>
    <row r="4581" customFormat="false" ht="15" hidden="false" customHeight="false" outlineLevel="0" collapsed="false">
      <c r="F4581" s="41" t="str">
        <f aca="false">IF(E4581="","",IFERROR(VLOOKUP(E4581,Assumptions!$G$5:$H$16,2,0),"Other"))</f>
        <v/>
      </c>
      <c r="J4581" s="41" t="str">
        <f aca="false">IF(G4581="","",IFERROR(IF(ISNUMBER(SEARCH(Assumptions!$C$5,G4581)),Assumptions!$D$5,IF(ISNUMBER(SEARCH(Assumptions!$C$6,G4581)),Assumptions!$D$6,IF(ISNUMBER(SEARCH(Assumptions!$C$7,G4581)),Assumptions!$D$7,"Other Services"))),"Other Services"))</f>
        <v/>
      </c>
    </row>
    <row r="4582" customFormat="false" ht="15" hidden="false" customHeight="false" outlineLevel="0" collapsed="false">
      <c r="F4582" s="41" t="str">
        <f aca="false">IF(E4582="","",IFERROR(VLOOKUP(E4582,Assumptions!$G$5:$H$16,2,0),"Other"))</f>
        <v/>
      </c>
      <c r="J4582" s="41" t="str">
        <f aca="false">IF(G4582="","",IFERROR(IF(ISNUMBER(SEARCH(Assumptions!$C$5,G4582)),Assumptions!$D$5,IF(ISNUMBER(SEARCH(Assumptions!$C$6,G4582)),Assumptions!$D$6,IF(ISNUMBER(SEARCH(Assumptions!$C$7,G4582)),Assumptions!$D$7,"Other Services"))),"Other Services"))</f>
        <v/>
      </c>
    </row>
    <row r="4583" customFormat="false" ht="15" hidden="false" customHeight="false" outlineLevel="0" collapsed="false">
      <c r="F4583" s="41" t="str">
        <f aca="false">IF(E4583="","",IFERROR(VLOOKUP(E4583,Assumptions!$G$5:$H$16,2,0),"Other"))</f>
        <v/>
      </c>
      <c r="J4583" s="41" t="str">
        <f aca="false">IF(G4583="","",IFERROR(IF(ISNUMBER(SEARCH(Assumptions!$C$5,G4583)),Assumptions!$D$5,IF(ISNUMBER(SEARCH(Assumptions!$C$6,G4583)),Assumptions!$D$6,IF(ISNUMBER(SEARCH(Assumptions!$C$7,G4583)),Assumptions!$D$7,"Other Services"))),"Other Services"))</f>
        <v/>
      </c>
    </row>
    <row r="4584" customFormat="false" ht="15" hidden="false" customHeight="false" outlineLevel="0" collapsed="false">
      <c r="F4584" s="41" t="str">
        <f aca="false">IF(E4584="","",IFERROR(VLOOKUP(E4584,Assumptions!$G$5:$H$16,2,0),"Other"))</f>
        <v/>
      </c>
      <c r="J4584" s="41" t="str">
        <f aca="false">IF(G4584="","",IFERROR(IF(ISNUMBER(SEARCH(Assumptions!$C$5,G4584)),Assumptions!$D$5,IF(ISNUMBER(SEARCH(Assumptions!$C$6,G4584)),Assumptions!$D$6,IF(ISNUMBER(SEARCH(Assumptions!$C$7,G4584)),Assumptions!$D$7,"Other Services"))),"Other Services"))</f>
        <v/>
      </c>
    </row>
    <row r="4585" customFormat="false" ht="15" hidden="false" customHeight="false" outlineLevel="0" collapsed="false">
      <c r="F4585" s="41" t="str">
        <f aca="false">IF(E4585="","",IFERROR(VLOOKUP(E4585,Assumptions!$G$5:$H$16,2,0),"Other"))</f>
        <v/>
      </c>
      <c r="J4585" s="41" t="str">
        <f aca="false">IF(G4585="","",IFERROR(IF(ISNUMBER(SEARCH(Assumptions!$C$5,G4585)),Assumptions!$D$5,IF(ISNUMBER(SEARCH(Assumptions!$C$6,G4585)),Assumptions!$D$6,IF(ISNUMBER(SEARCH(Assumptions!$C$7,G4585)),Assumptions!$D$7,"Other Services"))),"Other Services"))</f>
        <v/>
      </c>
    </row>
    <row r="4586" customFormat="false" ht="15" hidden="false" customHeight="false" outlineLevel="0" collapsed="false">
      <c r="F4586" s="41" t="str">
        <f aca="false">IF(E4586="","",IFERROR(VLOOKUP(E4586,Assumptions!$G$5:$H$16,2,0),"Other"))</f>
        <v/>
      </c>
      <c r="J4586" s="41" t="str">
        <f aca="false">IF(G4586="","",IFERROR(IF(ISNUMBER(SEARCH(Assumptions!$C$5,G4586)),Assumptions!$D$5,IF(ISNUMBER(SEARCH(Assumptions!$C$6,G4586)),Assumptions!$D$6,IF(ISNUMBER(SEARCH(Assumptions!$C$7,G4586)),Assumptions!$D$7,"Other Services"))),"Other Services"))</f>
        <v/>
      </c>
    </row>
    <row r="4587" customFormat="false" ht="15" hidden="false" customHeight="false" outlineLevel="0" collapsed="false">
      <c r="F4587" s="41" t="str">
        <f aca="false">IF(E4587="","",IFERROR(VLOOKUP(E4587,Assumptions!$G$5:$H$16,2,0),"Other"))</f>
        <v/>
      </c>
      <c r="J4587" s="41" t="str">
        <f aca="false">IF(G4587="","",IFERROR(IF(ISNUMBER(SEARCH(Assumptions!$C$5,G4587)),Assumptions!$D$5,IF(ISNUMBER(SEARCH(Assumptions!$C$6,G4587)),Assumptions!$D$6,IF(ISNUMBER(SEARCH(Assumptions!$C$7,G4587)),Assumptions!$D$7,"Other Services"))),"Other Services"))</f>
        <v/>
      </c>
    </row>
    <row r="4588" customFormat="false" ht="15" hidden="false" customHeight="false" outlineLevel="0" collapsed="false">
      <c r="F4588" s="41" t="str">
        <f aca="false">IF(E4588="","",IFERROR(VLOOKUP(E4588,Assumptions!$G$5:$H$16,2,0),"Other"))</f>
        <v/>
      </c>
      <c r="J4588" s="41" t="str">
        <f aca="false">IF(G4588="","",IFERROR(IF(ISNUMBER(SEARCH(Assumptions!$C$5,G4588)),Assumptions!$D$5,IF(ISNUMBER(SEARCH(Assumptions!$C$6,G4588)),Assumptions!$D$6,IF(ISNUMBER(SEARCH(Assumptions!$C$7,G4588)),Assumptions!$D$7,"Other Services"))),"Other Services"))</f>
        <v/>
      </c>
    </row>
    <row r="4589" customFormat="false" ht="15" hidden="false" customHeight="false" outlineLevel="0" collapsed="false">
      <c r="F4589" s="41" t="str">
        <f aca="false">IF(E4589="","",IFERROR(VLOOKUP(E4589,Assumptions!$G$5:$H$16,2,0),"Other"))</f>
        <v/>
      </c>
      <c r="J4589" s="41" t="str">
        <f aca="false">IF(G4589="","",IFERROR(IF(ISNUMBER(SEARCH(Assumptions!$C$5,G4589)),Assumptions!$D$5,IF(ISNUMBER(SEARCH(Assumptions!$C$6,G4589)),Assumptions!$D$6,IF(ISNUMBER(SEARCH(Assumptions!$C$7,G4589)),Assumptions!$D$7,"Other Services"))),"Other Services"))</f>
        <v/>
      </c>
    </row>
    <row r="4590" customFormat="false" ht="15" hidden="false" customHeight="false" outlineLevel="0" collapsed="false">
      <c r="F4590" s="41" t="str">
        <f aca="false">IF(E4590="","",IFERROR(VLOOKUP(E4590,Assumptions!$G$5:$H$16,2,0),"Other"))</f>
        <v/>
      </c>
      <c r="J4590" s="41" t="str">
        <f aca="false">IF(G4590="","",IFERROR(IF(ISNUMBER(SEARCH(Assumptions!$C$5,G4590)),Assumptions!$D$5,IF(ISNUMBER(SEARCH(Assumptions!$C$6,G4590)),Assumptions!$D$6,IF(ISNUMBER(SEARCH(Assumptions!$C$7,G4590)),Assumptions!$D$7,"Other Services"))),"Other Services"))</f>
        <v/>
      </c>
    </row>
    <row r="4591" customFormat="false" ht="15" hidden="false" customHeight="false" outlineLevel="0" collapsed="false">
      <c r="F4591" s="41" t="str">
        <f aca="false">IF(E4591="","",IFERROR(VLOOKUP(E4591,Assumptions!$G$5:$H$16,2,0),"Other"))</f>
        <v/>
      </c>
      <c r="J4591" s="41" t="str">
        <f aca="false">IF(G4591="","",IFERROR(IF(ISNUMBER(SEARCH(Assumptions!$C$5,G4591)),Assumptions!$D$5,IF(ISNUMBER(SEARCH(Assumptions!$C$6,G4591)),Assumptions!$D$6,IF(ISNUMBER(SEARCH(Assumptions!$C$7,G4591)),Assumptions!$D$7,"Other Services"))),"Other Services"))</f>
        <v/>
      </c>
    </row>
    <row r="4592" customFormat="false" ht="15" hidden="false" customHeight="false" outlineLevel="0" collapsed="false">
      <c r="F4592" s="41" t="str">
        <f aca="false">IF(E4592="","",IFERROR(VLOOKUP(E4592,Assumptions!$G$5:$H$16,2,0),"Other"))</f>
        <v/>
      </c>
      <c r="J4592" s="41" t="str">
        <f aca="false">IF(G4592="","",IFERROR(IF(ISNUMBER(SEARCH(Assumptions!$C$5,G4592)),Assumptions!$D$5,IF(ISNUMBER(SEARCH(Assumptions!$C$6,G4592)),Assumptions!$D$6,IF(ISNUMBER(SEARCH(Assumptions!$C$7,G4592)),Assumptions!$D$7,"Other Services"))),"Other Services"))</f>
        <v/>
      </c>
    </row>
    <row r="4593" customFormat="false" ht="15" hidden="false" customHeight="false" outlineLevel="0" collapsed="false">
      <c r="F4593" s="41" t="str">
        <f aca="false">IF(E4593="","",IFERROR(VLOOKUP(E4593,Assumptions!$G$5:$H$16,2,0),"Other"))</f>
        <v/>
      </c>
      <c r="J4593" s="41" t="str">
        <f aca="false">IF(G4593="","",IFERROR(IF(ISNUMBER(SEARCH(Assumptions!$C$5,G4593)),Assumptions!$D$5,IF(ISNUMBER(SEARCH(Assumptions!$C$6,G4593)),Assumptions!$D$6,IF(ISNUMBER(SEARCH(Assumptions!$C$7,G4593)),Assumptions!$D$7,"Other Services"))),"Other Services"))</f>
        <v/>
      </c>
    </row>
    <row r="4594" customFormat="false" ht="15" hidden="false" customHeight="false" outlineLevel="0" collapsed="false">
      <c r="F4594" s="41" t="str">
        <f aca="false">IF(E4594="","",IFERROR(VLOOKUP(E4594,Assumptions!$G$5:$H$16,2,0),"Other"))</f>
        <v/>
      </c>
      <c r="J4594" s="41" t="str">
        <f aca="false">IF(G4594="","",IFERROR(IF(ISNUMBER(SEARCH(Assumptions!$C$5,G4594)),Assumptions!$D$5,IF(ISNUMBER(SEARCH(Assumptions!$C$6,G4594)),Assumptions!$D$6,IF(ISNUMBER(SEARCH(Assumptions!$C$7,G4594)),Assumptions!$D$7,"Other Services"))),"Other Services"))</f>
        <v/>
      </c>
    </row>
    <row r="4595" customFormat="false" ht="15" hidden="false" customHeight="false" outlineLevel="0" collapsed="false">
      <c r="F4595" s="41" t="str">
        <f aca="false">IF(E4595="","",IFERROR(VLOOKUP(E4595,Assumptions!$G$5:$H$16,2,0),"Other"))</f>
        <v/>
      </c>
      <c r="J4595" s="41" t="str">
        <f aca="false">IF(G4595="","",IFERROR(IF(ISNUMBER(SEARCH(Assumptions!$C$5,G4595)),Assumptions!$D$5,IF(ISNUMBER(SEARCH(Assumptions!$C$6,G4595)),Assumptions!$D$6,IF(ISNUMBER(SEARCH(Assumptions!$C$7,G4595)),Assumptions!$D$7,"Other Services"))),"Other Services"))</f>
        <v/>
      </c>
    </row>
    <row r="4596" customFormat="false" ht="15" hidden="false" customHeight="false" outlineLevel="0" collapsed="false">
      <c r="F4596" s="41" t="str">
        <f aca="false">IF(E4596="","",IFERROR(VLOOKUP(E4596,Assumptions!$G$5:$H$16,2,0),"Other"))</f>
        <v/>
      </c>
      <c r="J4596" s="41" t="str">
        <f aca="false">IF(G4596="","",IFERROR(IF(ISNUMBER(SEARCH(Assumptions!$C$5,G4596)),Assumptions!$D$5,IF(ISNUMBER(SEARCH(Assumptions!$C$6,G4596)),Assumptions!$D$6,IF(ISNUMBER(SEARCH(Assumptions!$C$7,G4596)),Assumptions!$D$7,"Other Services"))),"Other Services"))</f>
        <v/>
      </c>
    </row>
    <row r="4597" customFormat="false" ht="15" hidden="false" customHeight="false" outlineLevel="0" collapsed="false">
      <c r="F4597" s="41" t="str">
        <f aca="false">IF(E4597="","",IFERROR(VLOOKUP(E4597,Assumptions!$G$5:$H$16,2,0),"Other"))</f>
        <v/>
      </c>
      <c r="J4597" s="41" t="str">
        <f aca="false">IF(G4597="","",IFERROR(IF(ISNUMBER(SEARCH(Assumptions!$C$5,G4597)),Assumptions!$D$5,IF(ISNUMBER(SEARCH(Assumptions!$C$6,G4597)),Assumptions!$D$6,IF(ISNUMBER(SEARCH(Assumptions!$C$7,G4597)),Assumptions!$D$7,"Other Services"))),"Other Services"))</f>
        <v/>
      </c>
    </row>
    <row r="4598" customFormat="false" ht="15" hidden="false" customHeight="false" outlineLevel="0" collapsed="false">
      <c r="F4598" s="41" t="str">
        <f aca="false">IF(E4598="","",IFERROR(VLOOKUP(E4598,Assumptions!$G$5:$H$16,2,0),"Other"))</f>
        <v/>
      </c>
      <c r="J4598" s="41" t="str">
        <f aca="false">IF(G4598="","",IFERROR(IF(ISNUMBER(SEARCH(Assumptions!$C$5,G4598)),Assumptions!$D$5,IF(ISNUMBER(SEARCH(Assumptions!$C$6,G4598)),Assumptions!$D$6,IF(ISNUMBER(SEARCH(Assumptions!$C$7,G4598)),Assumptions!$D$7,"Other Services"))),"Other Services"))</f>
        <v/>
      </c>
    </row>
    <row r="4599" customFormat="false" ht="15" hidden="false" customHeight="false" outlineLevel="0" collapsed="false">
      <c r="F4599" s="41" t="str">
        <f aca="false">IF(E4599="","",IFERROR(VLOOKUP(E4599,Assumptions!$G$5:$H$16,2,0),"Other"))</f>
        <v/>
      </c>
      <c r="J4599" s="41" t="str">
        <f aca="false">IF(G4599="","",IFERROR(IF(ISNUMBER(SEARCH(Assumptions!$C$5,G4599)),Assumptions!$D$5,IF(ISNUMBER(SEARCH(Assumptions!$C$6,G4599)),Assumptions!$D$6,IF(ISNUMBER(SEARCH(Assumptions!$C$7,G4599)),Assumptions!$D$7,"Other Services"))),"Other Services"))</f>
        <v/>
      </c>
    </row>
    <row r="4600" customFormat="false" ht="15" hidden="false" customHeight="false" outlineLevel="0" collapsed="false">
      <c r="F4600" s="41" t="str">
        <f aca="false">IF(E4600="","",IFERROR(VLOOKUP(E4600,Assumptions!$G$5:$H$16,2,0),"Other"))</f>
        <v/>
      </c>
      <c r="J4600" s="41" t="str">
        <f aca="false">IF(G4600="","",IFERROR(IF(ISNUMBER(SEARCH(Assumptions!$C$5,G4600)),Assumptions!$D$5,IF(ISNUMBER(SEARCH(Assumptions!$C$6,G4600)),Assumptions!$D$6,IF(ISNUMBER(SEARCH(Assumptions!$C$7,G4600)),Assumptions!$D$7,"Other Services"))),"Other Services"))</f>
        <v/>
      </c>
    </row>
    <row r="4601" customFormat="false" ht="15" hidden="false" customHeight="false" outlineLevel="0" collapsed="false">
      <c r="F4601" s="41" t="str">
        <f aca="false">IF(E4601="","",IFERROR(VLOOKUP(E4601,Assumptions!$G$5:$H$16,2,0),"Other"))</f>
        <v/>
      </c>
      <c r="J4601" s="41" t="str">
        <f aca="false">IF(G4601="","",IFERROR(IF(ISNUMBER(SEARCH(Assumptions!$C$5,G4601)),Assumptions!$D$5,IF(ISNUMBER(SEARCH(Assumptions!$C$6,G4601)),Assumptions!$D$6,IF(ISNUMBER(SEARCH(Assumptions!$C$7,G4601)),Assumptions!$D$7,"Other Services"))),"Other Services"))</f>
        <v/>
      </c>
    </row>
    <row r="4602" customFormat="false" ht="15" hidden="false" customHeight="false" outlineLevel="0" collapsed="false">
      <c r="F4602" s="41" t="str">
        <f aca="false">IF(E4602="","",IFERROR(VLOOKUP(E4602,Assumptions!$G$5:$H$16,2,0),"Other"))</f>
        <v/>
      </c>
      <c r="J4602" s="41" t="str">
        <f aca="false">IF(G4602="","",IFERROR(IF(ISNUMBER(SEARCH(Assumptions!$C$5,G4602)),Assumptions!$D$5,IF(ISNUMBER(SEARCH(Assumptions!$C$6,G4602)),Assumptions!$D$6,IF(ISNUMBER(SEARCH(Assumptions!$C$7,G4602)),Assumptions!$D$7,"Other Services"))),"Other Services"))</f>
        <v/>
      </c>
    </row>
    <row r="4603" customFormat="false" ht="15" hidden="false" customHeight="false" outlineLevel="0" collapsed="false">
      <c r="F4603" s="41" t="str">
        <f aca="false">IF(E4603="","",IFERROR(VLOOKUP(E4603,Assumptions!$G$5:$H$16,2,0),"Other"))</f>
        <v/>
      </c>
      <c r="J4603" s="41" t="str">
        <f aca="false">IF(G4603="","",IFERROR(IF(ISNUMBER(SEARCH(Assumptions!$C$5,G4603)),Assumptions!$D$5,IF(ISNUMBER(SEARCH(Assumptions!$C$6,G4603)),Assumptions!$D$6,IF(ISNUMBER(SEARCH(Assumptions!$C$7,G4603)),Assumptions!$D$7,"Other Services"))),"Other Services"))</f>
        <v/>
      </c>
    </row>
    <row r="4604" customFormat="false" ht="15" hidden="false" customHeight="false" outlineLevel="0" collapsed="false">
      <c r="F4604" s="41" t="str">
        <f aca="false">IF(E4604="","",IFERROR(VLOOKUP(E4604,Assumptions!$G$5:$H$16,2,0),"Other"))</f>
        <v/>
      </c>
      <c r="J4604" s="41" t="str">
        <f aca="false">IF(G4604="","",IFERROR(IF(ISNUMBER(SEARCH(Assumptions!$C$5,G4604)),Assumptions!$D$5,IF(ISNUMBER(SEARCH(Assumptions!$C$6,G4604)),Assumptions!$D$6,IF(ISNUMBER(SEARCH(Assumptions!$C$7,G4604)),Assumptions!$D$7,"Other Services"))),"Other Services"))</f>
        <v/>
      </c>
    </row>
    <row r="4605" customFormat="false" ht="15" hidden="false" customHeight="false" outlineLevel="0" collapsed="false">
      <c r="F4605" s="41" t="str">
        <f aca="false">IF(E4605="","",IFERROR(VLOOKUP(E4605,Assumptions!$G$5:$H$16,2,0),"Other"))</f>
        <v/>
      </c>
      <c r="J4605" s="41" t="str">
        <f aca="false">IF(G4605="","",IFERROR(IF(ISNUMBER(SEARCH(Assumptions!$C$5,G4605)),Assumptions!$D$5,IF(ISNUMBER(SEARCH(Assumptions!$C$6,G4605)),Assumptions!$D$6,IF(ISNUMBER(SEARCH(Assumptions!$C$7,G4605)),Assumptions!$D$7,"Other Services"))),"Other Services"))</f>
        <v/>
      </c>
    </row>
    <row r="4606" customFormat="false" ht="15" hidden="false" customHeight="false" outlineLevel="0" collapsed="false">
      <c r="F4606" s="41" t="str">
        <f aca="false">IF(E4606="","",IFERROR(VLOOKUP(E4606,Assumptions!$G$5:$H$16,2,0),"Other"))</f>
        <v/>
      </c>
      <c r="J4606" s="41" t="str">
        <f aca="false">IF(G4606="","",IFERROR(IF(ISNUMBER(SEARCH(Assumptions!$C$5,G4606)),Assumptions!$D$5,IF(ISNUMBER(SEARCH(Assumptions!$C$6,G4606)),Assumptions!$D$6,IF(ISNUMBER(SEARCH(Assumptions!$C$7,G4606)),Assumptions!$D$7,"Other Services"))),"Other Services"))</f>
        <v/>
      </c>
    </row>
    <row r="4607" customFormat="false" ht="15" hidden="false" customHeight="false" outlineLevel="0" collapsed="false">
      <c r="F4607" s="41" t="str">
        <f aca="false">IF(E4607="","",IFERROR(VLOOKUP(E4607,Assumptions!$G$5:$H$16,2,0),"Other"))</f>
        <v/>
      </c>
      <c r="J4607" s="41" t="str">
        <f aca="false">IF(G4607="","",IFERROR(IF(ISNUMBER(SEARCH(Assumptions!$C$5,G4607)),Assumptions!$D$5,IF(ISNUMBER(SEARCH(Assumptions!$C$6,G4607)),Assumptions!$D$6,IF(ISNUMBER(SEARCH(Assumptions!$C$7,G4607)),Assumptions!$D$7,"Other Services"))),"Other Services"))</f>
        <v/>
      </c>
    </row>
    <row r="4608" customFormat="false" ht="15" hidden="false" customHeight="false" outlineLevel="0" collapsed="false">
      <c r="F4608" s="41" t="str">
        <f aca="false">IF(E4608="","",IFERROR(VLOOKUP(E4608,Assumptions!$G$5:$H$16,2,0),"Other"))</f>
        <v/>
      </c>
      <c r="J4608" s="41" t="str">
        <f aca="false">IF(G4608="","",IFERROR(IF(ISNUMBER(SEARCH(Assumptions!$C$5,G4608)),Assumptions!$D$5,IF(ISNUMBER(SEARCH(Assumptions!$C$6,G4608)),Assumptions!$D$6,IF(ISNUMBER(SEARCH(Assumptions!$C$7,G4608)),Assumptions!$D$7,"Other Services"))),"Other Services"))</f>
        <v/>
      </c>
    </row>
    <row r="4609" customFormat="false" ht="15" hidden="false" customHeight="false" outlineLevel="0" collapsed="false">
      <c r="F4609" s="41" t="str">
        <f aca="false">IF(E4609="","",IFERROR(VLOOKUP(E4609,Assumptions!$G$5:$H$16,2,0),"Other"))</f>
        <v/>
      </c>
      <c r="J4609" s="41" t="str">
        <f aca="false">IF(G4609="","",IFERROR(IF(ISNUMBER(SEARCH(Assumptions!$C$5,G4609)),Assumptions!$D$5,IF(ISNUMBER(SEARCH(Assumptions!$C$6,G4609)),Assumptions!$D$6,IF(ISNUMBER(SEARCH(Assumptions!$C$7,G4609)),Assumptions!$D$7,"Other Services"))),"Other Services"))</f>
        <v/>
      </c>
    </row>
    <row r="4610" customFormat="false" ht="15" hidden="false" customHeight="false" outlineLevel="0" collapsed="false">
      <c r="F4610" s="41" t="str">
        <f aca="false">IF(E4610="","",IFERROR(VLOOKUP(E4610,Assumptions!$G$5:$H$16,2,0),"Other"))</f>
        <v/>
      </c>
      <c r="J4610" s="41" t="str">
        <f aca="false">IF(G4610="","",IFERROR(IF(ISNUMBER(SEARCH(Assumptions!$C$5,G4610)),Assumptions!$D$5,IF(ISNUMBER(SEARCH(Assumptions!$C$6,G4610)),Assumptions!$D$6,IF(ISNUMBER(SEARCH(Assumptions!$C$7,G4610)),Assumptions!$D$7,"Other Services"))),"Other Services"))</f>
        <v/>
      </c>
    </row>
    <row r="4611" customFormat="false" ht="15" hidden="false" customHeight="false" outlineLevel="0" collapsed="false">
      <c r="F4611" s="41" t="str">
        <f aca="false">IF(E4611="","",IFERROR(VLOOKUP(E4611,Assumptions!$G$5:$H$16,2,0),"Other"))</f>
        <v/>
      </c>
      <c r="J4611" s="41" t="str">
        <f aca="false">IF(G4611="","",IFERROR(IF(ISNUMBER(SEARCH(Assumptions!$C$5,G4611)),Assumptions!$D$5,IF(ISNUMBER(SEARCH(Assumptions!$C$6,G4611)),Assumptions!$D$6,IF(ISNUMBER(SEARCH(Assumptions!$C$7,G4611)),Assumptions!$D$7,"Other Services"))),"Other Services"))</f>
        <v/>
      </c>
    </row>
    <row r="4612" customFormat="false" ht="15" hidden="false" customHeight="false" outlineLevel="0" collapsed="false">
      <c r="F4612" s="41" t="str">
        <f aca="false">IF(E4612="","",IFERROR(VLOOKUP(E4612,Assumptions!$G$5:$H$16,2,0),"Other"))</f>
        <v/>
      </c>
      <c r="J4612" s="41" t="str">
        <f aca="false">IF(G4612="","",IFERROR(IF(ISNUMBER(SEARCH(Assumptions!$C$5,G4612)),Assumptions!$D$5,IF(ISNUMBER(SEARCH(Assumptions!$C$6,G4612)),Assumptions!$D$6,IF(ISNUMBER(SEARCH(Assumptions!$C$7,G4612)),Assumptions!$D$7,"Other Services"))),"Other Services"))</f>
        <v/>
      </c>
    </row>
    <row r="4613" customFormat="false" ht="15" hidden="false" customHeight="false" outlineLevel="0" collapsed="false">
      <c r="F4613" s="41" t="str">
        <f aca="false">IF(E4613="","",IFERROR(VLOOKUP(E4613,Assumptions!$G$5:$H$16,2,0),"Other"))</f>
        <v/>
      </c>
      <c r="J4613" s="41" t="str">
        <f aca="false">IF(G4613="","",IFERROR(IF(ISNUMBER(SEARCH(Assumptions!$C$5,G4613)),Assumptions!$D$5,IF(ISNUMBER(SEARCH(Assumptions!$C$6,G4613)),Assumptions!$D$6,IF(ISNUMBER(SEARCH(Assumptions!$C$7,G4613)),Assumptions!$D$7,"Other Services"))),"Other Services"))</f>
        <v/>
      </c>
    </row>
    <row r="4614" customFormat="false" ht="15" hidden="false" customHeight="false" outlineLevel="0" collapsed="false">
      <c r="F4614" s="41" t="str">
        <f aca="false">IF(E4614="","",IFERROR(VLOOKUP(E4614,Assumptions!$G$5:$H$16,2,0),"Other"))</f>
        <v/>
      </c>
      <c r="J4614" s="41" t="str">
        <f aca="false">IF(G4614="","",IFERROR(IF(ISNUMBER(SEARCH(Assumptions!$C$5,G4614)),Assumptions!$D$5,IF(ISNUMBER(SEARCH(Assumptions!$C$6,G4614)),Assumptions!$D$6,IF(ISNUMBER(SEARCH(Assumptions!$C$7,G4614)),Assumptions!$D$7,"Other Services"))),"Other Services"))</f>
        <v/>
      </c>
    </row>
    <row r="4615" customFormat="false" ht="15" hidden="false" customHeight="false" outlineLevel="0" collapsed="false">
      <c r="F4615" s="41" t="str">
        <f aca="false">IF(E4615="","",IFERROR(VLOOKUP(E4615,Assumptions!$G$5:$H$16,2,0),"Other"))</f>
        <v/>
      </c>
      <c r="J4615" s="41" t="str">
        <f aca="false">IF(G4615="","",IFERROR(IF(ISNUMBER(SEARCH(Assumptions!$C$5,G4615)),Assumptions!$D$5,IF(ISNUMBER(SEARCH(Assumptions!$C$6,G4615)),Assumptions!$D$6,IF(ISNUMBER(SEARCH(Assumptions!$C$7,G4615)),Assumptions!$D$7,"Other Services"))),"Other Services"))</f>
        <v/>
      </c>
    </row>
    <row r="4616" customFormat="false" ht="15" hidden="false" customHeight="false" outlineLevel="0" collapsed="false">
      <c r="F4616" s="41" t="str">
        <f aca="false">IF(E4616="","",IFERROR(VLOOKUP(E4616,Assumptions!$G$5:$H$16,2,0),"Other"))</f>
        <v/>
      </c>
      <c r="J4616" s="41" t="str">
        <f aca="false">IF(G4616="","",IFERROR(IF(ISNUMBER(SEARCH(Assumptions!$C$5,G4616)),Assumptions!$D$5,IF(ISNUMBER(SEARCH(Assumptions!$C$6,G4616)),Assumptions!$D$6,IF(ISNUMBER(SEARCH(Assumptions!$C$7,G4616)),Assumptions!$D$7,"Other Services"))),"Other Services"))</f>
        <v/>
      </c>
    </row>
    <row r="4617" customFormat="false" ht="15" hidden="false" customHeight="false" outlineLevel="0" collapsed="false">
      <c r="F4617" s="41" t="str">
        <f aca="false">IF(E4617="","",IFERROR(VLOOKUP(E4617,Assumptions!$G$5:$H$16,2,0),"Other"))</f>
        <v/>
      </c>
      <c r="J4617" s="41" t="str">
        <f aca="false">IF(G4617="","",IFERROR(IF(ISNUMBER(SEARCH(Assumptions!$C$5,G4617)),Assumptions!$D$5,IF(ISNUMBER(SEARCH(Assumptions!$C$6,G4617)),Assumptions!$D$6,IF(ISNUMBER(SEARCH(Assumptions!$C$7,G4617)),Assumptions!$D$7,"Other Services"))),"Other Services"))</f>
        <v/>
      </c>
    </row>
    <row r="4618" customFormat="false" ht="15" hidden="false" customHeight="false" outlineLevel="0" collapsed="false">
      <c r="F4618" s="41" t="str">
        <f aca="false">IF(E4618="","",IFERROR(VLOOKUP(E4618,Assumptions!$G$5:$H$16,2,0),"Other"))</f>
        <v/>
      </c>
      <c r="J4618" s="41" t="str">
        <f aca="false">IF(G4618="","",IFERROR(IF(ISNUMBER(SEARCH(Assumptions!$C$5,G4618)),Assumptions!$D$5,IF(ISNUMBER(SEARCH(Assumptions!$C$6,G4618)),Assumptions!$D$6,IF(ISNUMBER(SEARCH(Assumptions!$C$7,G4618)),Assumptions!$D$7,"Other Services"))),"Other Services"))</f>
        <v/>
      </c>
    </row>
    <row r="4619" customFormat="false" ht="15" hidden="false" customHeight="false" outlineLevel="0" collapsed="false">
      <c r="F4619" s="41" t="str">
        <f aca="false">IF(E4619="","",IFERROR(VLOOKUP(E4619,Assumptions!$G$5:$H$16,2,0),"Other"))</f>
        <v/>
      </c>
      <c r="J4619" s="41" t="str">
        <f aca="false">IF(G4619="","",IFERROR(IF(ISNUMBER(SEARCH(Assumptions!$C$5,G4619)),Assumptions!$D$5,IF(ISNUMBER(SEARCH(Assumptions!$C$6,G4619)),Assumptions!$D$6,IF(ISNUMBER(SEARCH(Assumptions!$C$7,G4619)),Assumptions!$D$7,"Other Services"))),"Other Services"))</f>
        <v/>
      </c>
    </row>
    <row r="4620" customFormat="false" ht="15" hidden="false" customHeight="false" outlineLevel="0" collapsed="false">
      <c r="F4620" s="41" t="str">
        <f aca="false">IF(E4620="","",IFERROR(VLOOKUP(E4620,Assumptions!$G$5:$H$16,2,0),"Other"))</f>
        <v/>
      </c>
      <c r="J4620" s="41" t="str">
        <f aca="false">IF(G4620="","",IFERROR(IF(ISNUMBER(SEARCH(Assumptions!$C$5,G4620)),Assumptions!$D$5,IF(ISNUMBER(SEARCH(Assumptions!$C$6,G4620)),Assumptions!$D$6,IF(ISNUMBER(SEARCH(Assumptions!$C$7,G4620)),Assumptions!$D$7,"Other Services"))),"Other Services"))</f>
        <v/>
      </c>
    </row>
    <row r="4621" customFormat="false" ht="15" hidden="false" customHeight="false" outlineLevel="0" collapsed="false">
      <c r="F4621" s="41" t="str">
        <f aca="false">IF(E4621="","",IFERROR(VLOOKUP(E4621,Assumptions!$G$5:$H$16,2,0),"Other"))</f>
        <v/>
      </c>
      <c r="J4621" s="41" t="str">
        <f aca="false">IF(G4621="","",IFERROR(IF(ISNUMBER(SEARCH(Assumptions!$C$5,G4621)),Assumptions!$D$5,IF(ISNUMBER(SEARCH(Assumptions!$C$6,G4621)),Assumptions!$D$6,IF(ISNUMBER(SEARCH(Assumptions!$C$7,G4621)),Assumptions!$D$7,"Other Services"))),"Other Services"))</f>
        <v/>
      </c>
    </row>
    <row r="4622" customFormat="false" ht="15" hidden="false" customHeight="false" outlineLevel="0" collapsed="false">
      <c r="F4622" s="41" t="str">
        <f aca="false">IF(E4622="","",IFERROR(VLOOKUP(E4622,Assumptions!$G$5:$H$16,2,0),"Other"))</f>
        <v/>
      </c>
      <c r="J4622" s="41" t="str">
        <f aca="false">IF(G4622="","",IFERROR(IF(ISNUMBER(SEARCH(Assumptions!$C$5,G4622)),Assumptions!$D$5,IF(ISNUMBER(SEARCH(Assumptions!$C$6,G4622)),Assumptions!$D$6,IF(ISNUMBER(SEARCH(Assumptions!$C$7,G4622)),Assumptions!$D$7,"Other Services"))),"Other Services"))</f>
        <v/>
      </c>
    </row>
    <row r="4623" customFormat="false" ht="15" hidden="false" customHeight="false" outlineLevel="0" collapsed="false">
      <c r="F4623" s="41" t="str">
        <f aca="false">IF(E4623="","",IFERROR(VLOOKUP(E4623,Assumptions!$G$5:$H$16,2,0),"Other"))</f>
        <v/>
      </c>
      <c r="J4623" s="41" t="str">
        <f aca="false">IF(G4623="","",IFERROR(IF(ISNUMBER(SEARCH(Assumptions!$C$5,G4623)),Assumptions!$D$5,IF(ISNUMBER(SEARCH(Assumptions!$C$6,G4623)),Assumptions!$D$6,IF(ISNUMBER(SEARCH(Assumptions!$C$7,G4623)),Assumptions!$D$7,"Other Services"))),"Other Services"))</f>
        <v/>
      </c>
    </row>
    <row r="4624" customFormat="false" ht="15" hidden="false" customHeight="false" outlineLevel="0" collapsed="false">
      <c r="F4624" s="41" t="str">
        <f aca="false">IF(E4624="","",IFERROR(VLOOKUP(E4624,Assumptions!$G$5:$H$16,2,0),"Other"))</f>
        <v/>
      </c>
      <c r="J4624" s="41" t="str">
        <f aca="false">IF(G4624="","",IFERROR(IF(ISNUMBER(SEARCH(Assumptions!$C$5,G4624)),Assumptions!$D$5,IF(ISNUMBER(SEARCH(Assumptions!$C$6,G4624)),Assumptions!$D$6,IF(ISNUMBER(SEARCH(Assumptions!$C$7,G4624)),Assumptions!$D$7,"Other Services"))),"Other Services"))</f>
        <v/>
      </c>
    </row>
    <row r="4625" customFormat="false" ht="15" hidden="false" customHeight="false" outlineLevel="0" collapsed="false">
      <c r="F4625" s="41" t="str">
        <f aca="false">IF(E4625="","",IFERROR(VLOOKUP(E4625,Assumptions!$G$5:$H$16,2,0),"Other"))</f>
        <v/>
      </c>
      <c r="J4625" s="41" t="str">
        <f aca="false">IF(G4625="","",IFERROR(IF(ISNUMBER(SEARCH(Assumptions!$C$5,G4625)),Assumptions!$D$5,IF(ISNUMBER(SEARCH(Assumptions!$C$6,G4625)),Assumptions!$D$6,IF(ISNUMBER(SEARCH(Assumptions!$C$7,G4625)),Assumptions!$D$7,"Other Services"))),"Other Services"))</f>
        <v/>
      </c>
    </row>
    <row r="4626" customFormat="false" ht="15" hidden="false" customHeight="false" outlineLevel="0" collapsed="false">
      <c r="F4626" s="41" t="str">
        <f aca="false">IF(E4626="","",IFERROR(VLOOKUP(E4626,Assumptions!$G$5:$H$16,2,0),"Other"))</f>
        <v/>
      </c>
      <c r="J4626" s="41" t="str">
        <f aca="false">IF(G4626="","",IFERROR(IF(ISNUMBER(SEARCH(Assumptions!$C$5,G4626)),Assumptions!$D$5,IF(ISNUMBER(SEARCH(Assumptions!$C$6,G4626)),Assumptions!$D$6,IF(ISNUMBER(SEARCH(Assumptions!$C$7,G4626)),Assumptions!$D$7,"Other Services"))),"Other Services"))</f>
        <v/>
      </c>
    </row>
    <row r="4627" customFormat="false" ht="15" hidden="false" customHeight="false" outlineLevel="0" collapsed="false">
      <c r="F4627" s="41" t="str">
        <f aca="false">IF(E4627="","",IFERROR(VLOOKUP(E4627,Assumptions!$G$5:$H$16,2,0),"Other"))</f>
        <v/>
      </c>
      <c r="J4627" s="41" t="str">
        <f aca="false">IF(G4627="","",IFERROR(IF(ISNUMBER(SEARCH(Assumptions!$C$5,G4627)),Assumptions!$D$5,IF(ISNUMBER(SEARCH(Assumptions!$C$6,G4627)),Assumptions!$D$6,IF(ISNUMBER(SEARCH(Assumptions!$C$7,G4627)),Assumptions!$D$7,"Other Services"))),"Other Services"))</f>
        <v/>
      </c>
    </row>
    <row r="4628" customFormat="false" ht="15" hidden="false" customHeight="false" outlineLevel="0" collapsed="false">
      <c r="F4628" s="41" t="str">
        <f aca="false">IF(E4628="","",IFERROR(VLOOKUP(E4628,Assumptions!$G$5:$H$16,2,0),"Other"))</f>
        <v/>
      </c>
      <c r="J4628" s="41" t="str">
        <f aca="false">IF(G4628="","",IFERROR(IF(ISNUMBER(SEARCH(Assumptions!$C$5,G4628)),Assumptions!$D$5,IF(ISNUMBER(SEARCH(Assumptions!$C$6,G4628)),Assumptions!$D$6,IF(ISNUMBER(SEARCH(Assumptions!$C$7,G4628)),Assumptions!$D$7,"Other Services"))),"Other Services"))</f>
        <v/>
      </c>
    </row>
    <row r="4629" customFormat="false" ht="15" hidden="false" customHeight="false" outlineLevel="0" collapsed="false">
      <c r="F4629" s="41" t="str">
        <f aca="false">IF(E4629="","",IFERROR(VLOOKUP(E4629,Assumptions!$G$5:$H$16,2,0),"Other"))</f>
        <v/>
      </c>
      <c r="J4629" s="41" t="str">
        <f aca="false">IF(G4629="","",IFERROR(IF(ISNUMBER(SEARCH(Assumptions!$C$5,G4629)),Assumptions!$D$5,IF(ISNUMBER(SEARCH(Assumptions!$C$6,G4629)),Assumptions!$D$6,IF(ISNUMBER(SEARCH(Assumptions!$C$7,G4629)),Assumptions!$D$7,"Other Services"))),"Other Services"))</f>
        <v/>
      </c>
    </row>
    <row r="4630" customFormat="false" ht="15" hidden="false" customHeight="false" outlineLevel="0" collapsed="false">
      <c r="F4630" s="41" t="str">
        <f aca="false">IF(E4630="","",IFERROR(VLOOKUP(E4630,Assumptions!$G$5:$H$16,2,0),"Other"))</f>
        <v/>
      </c>
      <c r="J4630" s="41" t="str">
        <f aca="false">IF(G4630="","",IFERROR(IF(ISNUMBER(SEARCH(Assumptions!$C$5,G4630)),Assumptions!$D$5,IF(ISNUMBER(SEARCH(Assumptions!$C$6,G4630)),Assumptions!$D$6,IF(ISNUMBER(SEARCH(Assumptions!$C$7,G4630)),Assumptions!$D$7,"Other Services"))),"Other Services"))</f>
        <v/>
      </c>
    </row>
    <row r="4631" customFormat="false" ht="15" hidden="false" customHeight="false" outlineLevel="0" collapsed="false">
      <c r="F4631" s="41" t="str">
        <f aca="false">IF(E4631="","",IFERROR(VLOOKUP(E4631,Assumptions!$G$5:$H$16,2,0),"Other"))</f>
        <v/>
      </c>
      <c r="J4631" s="41" t="str">
        <f aca="false">IF(G4631="","",IFERROR(IF(ISNUMBER(SEARCH(Assumptions!$C$5,G4631)),Assumptions!$D$5,IF(ISNUMBER(SEARCH(Assumptions!$C$6,G4631)),Assumptions!$D$6,IF(ISNUMBER(SEARCH(Assumptions!$C$7,G4631)),Assumptions!$D$7,"Other Services"))),"Other Services"))</f>
        <v/>
      </c>
    </row>
    <row r="4632" customFormat="false" ht="15" hidden="false" customHeight="false" outlineLevel="0" collapsed="false">
      <c r="F4632" s="41" t="str">
        <f aca="false">IF(E4632="","",IFERROR(VLOOKUP(E4632,Assumptions!$G$5:$H$16,2,0),"Other"))</f>
        <v/>
      </c>
      <c r="J4632" s="41" t="str">
        <f aca="false">IF(G4632="","",IFERROR(IF(ISNUMBER(SEARCH(Assumptions!$C$5,G4632)),Assumptions!$D$5,IF(ISNUMBER(SEARCH(Assumptions!$C$6,G4632)),Assumptions!$D$6,IF(ISNUMBER(SEARCH(Assumptions!$C$7,G4632)),Assumptions!$D$7,"Other Services"))),"Other Services"))</f>
        <v/>
      </c>
    </row>
    <row r="4633" customFormat="false" ht="15" hidden="false" customHeight="false" outlineLevel="0" collapsed="false">
      <c r="F4633" s="41" t="str">
        <f aca="false">IF(E4633="","",IFERROR(VLOOKUP(E4633,Assumptions!$G$5:$H$16,2,0),"Other"))</f>
        <v/>
      </c>
      <c r="J4633" s="41" t="str">
        <f aca="false">IF(G4633="","",IFERROR(IF(ISNUMBER(SEARCH(Assumptions!$C$5,G4633)),Assumptions!$D$5,IF(ISNUMBER(SEARCH(Assumptions!$C$6,G4633)),Assumptions!$D$6,IF(ISNUMBER(SEARCH(Assumptions!$C$7,G4633)),Assumptions!$D$7,"Other Services"))),"Other Services"))</f>
        <v/>
      </c>
    </row>
    <row r="4634" customFormat="false" ht="15" hidden="false" customHeight="false" outlineLevel="0" collapsed="false">
      <c r="F4634" s="41" t="str">
        <f aca="false">IF(E4634="","",IFERROR(VLOOKUP(E4634,Assumptions!$G$5:$H$16,2,0),"Other"))</f>
        <v/>
      </c>
      <c r="J4634" s="41" t="str">
        <f aca="false">IF(G4634="","",IFERROR(IF(ISNUMBER(SEARCH(Assumptions!$C$5,G4634)),Assumptions!$D$5,IF(ISNUMBER(SEARCH(Assumptions!$C$6,G4634)),Assumptions!$D$6,IF(ISNUMBER(SEARCH(Assumptions!$C$7,G4634)),Assumptions!$D$7,"Other Services"))),"Other Services"))</f>
        <v/>
      </c>
    </row>
    <row r="4635" customFormat="false" ht="15" hidden="false" customHeight="false" outlineLevel="0" collapsed="false">
      <c r="F4635" s="41" t="str">
        <f aca="false">IF(E4635="","",IFERROR(VLOOKUP(E4635,Assumptions!$G$5:$H$16,2,0),"Other"))</f>
        <v/>
      </c>
      <c r="J4635" s="41" t="str">
        <f aca="false">IF(G4635="","",IFERROR(IF(ISNUMBER(SEARCH(Assumptions!$C$5,G4635)),Assumptions!$D$5,IF(ISNUMBER(SEARCH(Assumptions!$C$6,G4635)),Assumptions!$D$6,IF(ISNUMBER(SEARCH(Assumptions!$C$7,G4635)),Assumptions!$D$7,"Other Services"))),"Other Services"))</f>
        <v/>
      </c>
    </row>
    <row r="4636" customFormat="false" ht="15" hidden="false" customHeight="false" outlineLevel="0" collapsed="false">
      <c r="F4636" s="41" t="str">
        <f aca="false">IF(E4636="","",IFERROR(VLOOKUP(E4636,Assumptions!$G$5:$H$16,2,0),"Other"))</f>
        <v/>
      </c>
      <c r="J4636" s="41" t="str">
        <f aca="false">IF(G4636="","",IFERROR(IF(ISNUMBER(SEARCH(Assumptions!$C$5,G4636)),Assumptions!$D$5,IF(ISNUMBER(SEARCH(Assumptions!$C$6,G4636)),Assumptions!$D$6,IF(ISNUMBER(SEARCH(Assumptions!$C$7,G4636)),Assumptions!$D$7,"Other Services"))),"Other Services"))</f>
        <v/>
      </c>
    </row>
    <row r="4637" customFormat="false" ht="15" hidden="false" customHeight="false" outlineLevel="0" collapsed="false">
      <c r="F4637" s="41" t="str">
        <f aca="false">IF(E4637="","",IFERROR(VLOOKUP(E4637,Assumptions!$G$5:$H$16,2,0),"Other"))</f>
        <v/>
      </c>
      <c r="J4637" s="41" t="str">
        <f aca="false">IF(G4637="","",IFERROR(IF(ISNUMBER(SEARCH(Assumptions!$C$5,G4637)),Assumptions!$D$5,IF(ISNUMBER(SEARCH(Assumptions!$C$6,G4637)),Assumptions!$D$6,IF(ISNUMBER(SEARCH(Assumptions!$C$7,G4637)),Assumptions!$D$7,"Other Services"))),"Other Services"))</f>
        <v/>
      </c>
    </row>
    <row r="4638" customFormat="false" ht="15" hidden="false" customHeight="false" outlineLevel="0" collapsed="false">
      <c r="F4638" s="41" t="str">
        <f aca="false">IF(E4638="","",IFERROR(VLOOKUP(E4638,Assumptions!$G$5:$H$16,2,0),"Other"))</f>
        <v/>
      </c>
      <c r="J4638" s="41" t="str">
        <f aca="false">IF(G4638="","",IFERROR(IF(ISNUMBER(SEARCH(Assumptions!$C$5,G4638)),Assumptions!$D$5,IF(ISNUMBER(SEARCH(Assumptions!$C$6,G4638)),Assumptions!$D$6,IF(ISNUMBER(SEARCH(Assumptions!$C$7,G4638)),Assumptions!$D$7,"Other Services"))),"Other Services"))</f>
        <v/>
      </c>
    </row>
    <row r="4639" customFormat="false" ht="15" hidden="false" customHeight="false" outlineLevel="0" collapsed="false">
      <c r="F4639" s="41" t="str">
        <f aca="false">IF(E4639="","",IFERROR(VLOOKUP(E4639,Assumptions!$G$5:$H$16,2,0),"Other"))</f>
        <v/>
      </c>
      <c r="J4639" s="41" t="str">
        <f aca="false">IF(G4639="","",IFERROR(IF(ISNUMBER(SEARCH(Assumptions!$C$5,G4639)),Assumptions!$D$5,IF(ISNUMBER(SEARCH(Assumptions!$C$6,G4639)),Assumptions!$D$6,IF(ISNUMBER(SEARCH(Assumptions!$C$7,G4639)),Assumptions!$D$7,"Other Services"))),"Other Services"))</f>
        <v/>
      </c>
    </row>
    <row r="4640" customFormat="false" ht="15" hidden="false" customHeight="false" outlineLevel="0" collapsed="false">
      <c r="F4640" s="41" t="str">
        <f aca="false">IF(E4640="","",IFERROR(VLOOKUP(E4640,Assumptions!$G$5:$H$16,2,0),"Other"))</f>
        <v/>
      </c>
      <c r="J4640" s="41" t="str">
        <f aca="false">IF(G4640="","",IFERROR(IF(ISNUMBER(SEARCH(Assumptions!$C$5,G4640)),Assumptions!$D$5,IF(ISNUMBER(SEARCH(Assumptions!$C$6,G4640)),Assumptions!$D$6,IF(ISNUMBER(SEARCH(Assumptions!$C$7,G4640)),Assumptions!$D$7,"Other Services"))),"Other Services"))</f>
        <v/>
      </c>
    </row>
    <row r="4641" customFormat="false" ht="15" hidden="false" customHeight="false" outlineLevel="0" collapsed="false">
      <c r="F4641" s="41" t="str">
        <f aca="false">IF(E4641="","",IFERROR(VLOOKUP(E4641,Assumptions!$G$5:$H$16,2,0),"Other"))</f>
        <v/>
      </c>
      <c r="J4641" s="41" t="str">
        <f aca="false">IF(G4641="","",IFERROR(IF(ISNUMBER(SEARCH(Assumptions!$C$5,G4641)),Assumptions!$D$5,IF(ISNUMBER(SEARCH(Assumptions!$C$6,G4641)),Assumptions!$D$6,IF(ISNUMBER(SEARCH(Assumptions!$C$7,G4641)),Assumptions!$D$7,"Other Services"))),"Other Services"))</f>
        <v/>
      </c>
    </row>
    <row r="4642" customFormat="false" ht="15" hidden="false" customHeight="false" outlineLevel="0" collapsed="false">
      <c r="F4642" s="41" t="str">
        <f aca="false">IF(E4642="","",IFERROR(VLOOKUP(E4642,Assumptions!$G$5:$H$16,2,0),"Other"))</f>
        <v/>
      </c>
      <c r="J4642" s="41" t="str">
        <f aca="false">IF(G4642="","",IFERROR(IF(ISNUMBER(SEARCH(Assumptions!$C$5,G4642)),Assumptions!$D$5,IF(ISNUMBER(SEARCH(Assumptions!$C$6,G4642)),Assumptions!$D$6,IF(ISNUMBER(SEARCH(Assumptions!$C$7,G4642)),Assumptions!$D$7,"Other Services"))),"Other Services"))</f>
        <v/>
      </c>
    </row>
    <row r="4643" customFormat="false" ht="15" hidden="false" customHeight="false" outlineLevel="0" collapsed="false">
      <c r="F4643" s="41" t="str">
        <f aca="false">IF(E4643="","",IFERROR(VLOOKUP(E4643,Assumptions!$G$5:$H$16,2,0),"Other"))</f>
        <v/>
      </c>
      <c r="J4643" s="41" t="str">
        <f aca="false">IF(G4643="","",IFERROR(IF(ISNUMBER(SEARCH(Assumptions!$C$5,G4643)),Assumptions!$D$5,IF(ISNUMBER(SEARCH(Assumptions!$C$6,G4643)),Assumptions!$D$6,IF(ISNUMBER(SEARCH(Assumptions!$C$7,G4643)),Assumptions!$D$7,"Other Services"))),"Other Services"))</f>
        <v/>
      </c>
    </row>
    <row r="4644" customFormat="false" ht="15" hidden="false" customHeight="false" outlineLevel="0" collapsed="false">
      <c r="F4644" s="41" t="str">
        <f aca="false">IF(E4644="","",IFERROR(VLOOKUP(E4644,Assumptions!$G$5:$H$16,2,0),"Other"))</f>
        <v/>
      </c>
      <c r="J4644" s="41" t="str">
        <f aca="false">IF(G4644="","",IFERROR(IF(ISNUMBER(SEARCH(Assumptions!$C$5,G4644)),Assumptions!$D$5,IF(ISNUMBER(SEARCH(Assumptions!$C$6,G4644)),Assumptions!$D$6,IF(ISNUMBER(SEARCH(Assumptions!$C$7,G4644)),Assumptions!$D$7,"Other Services"))),"Other Services"))</f>
        <v/>
      </c>
    </row>
    <row r="4645" customFormat="false" ht="15" hidden="false" customHeight="false" outlineLevel="0" collapsed="false">
      <c r="F4645" s="41" t="str">
        <f aca="false">IF(E4645="","",IFERROR(VLOOKUP(E4645,Assumptions!$G$5:$H$16,2,0),"Other"))</f>
        <v/>
      </c>
      <c r="J4645" s="41" t="str">
        <f aca="false">IF(G4645="","",IFERROR(IF(ISNUMBER(SEARCH(Assumptions!$C$5,G4645)),Assumptions!$D$5,IF(ISNUMBER(SEARCH(Assumptions!$C$6,G4645)),Assumptions!$D$6,IF(ISNUMBER(SEARCH(Assumptions!$C$7,G4645)),Assumptions!$D$7,"Other Services"))),"Other Services"))</f>
        <v/>
      </c>
    </row>
    <row r="4646" customFormat="false" ht="15" hidden="false" customHeight="false" outlineLevel="0" collapsed="false">
      <c r="F4646" s="41" t="str">
        <f aca="false">IF(E4646="","",IFERROR(VLOOKUP(E4646,Assumptions!$G$5:$H$16,2,0),"Other"))</f>
        <v/>
      </c>
      <c r="J4646" s="41" t="str">
        <f aca="false">IF(G4646="","",IFERROR(IF(ISNUMBER(SEARCH(Assumptions!$C$5,G4646)),Assumptions!$D$5,IF(ISNUMBER(SEARCH(Assumptions!$C$6,G4646)),Assumptions!$D$6,IF(ISNUMBER(SEARCH(Assumptions!$C$7,G4646)),Assumptions!$D$7,"Other Services"))),"Other Services"))</f>
        <v/>
      </c>
    </row>
    <row r="4647" customFormat="false" ht="15" hidden="false" customHeight="false" outlineLevel="0" collapsed="false">
      <c r="F4647" s="41" t="str">
        <f aca="false">IF(E4647="","",IFERROR(VLOOKUP(E4647,Assumptions!$G$5:$H$16,2,0),"Other"))</f>
        <v/>
      </c>
      <c r="J4647" s="41" t="str">
        <f aca="false">IF(G4647="","",IFERROR(IF(ISNUMBER(SEARCH(Assumptions!$C$5,G4647)),Assumptions!$D$5,IF(ISNUMBER(SEARCH(Assumptions!$C$6,G4647)),Assumptions!$D$6,IF(ISNUMBER(SEARCH(Assumptions!$C$7,G4647)),Assumptions!$D$7,"Other Services"))),"Other Services"))</f>
        <v/>
      </c>
    </row>
    <row r="4648" customFormat="false" ht="15" hidden="false" customHeight="false" outlineLevel="0" collapsed="false">
      <c r="F4648" s="41" t="str">
        <f aca="false">IF(E4648="","",IFERROR(VLOOKUP(E4648,Assumptions!$G$5:$H$16,2,0),"Other"))</f>
        <v/>
      </c>
      <c r="J4648" s="41" t="str">
        <f aca="false">IF(G4648="","",IFERROR(IF(ISNUMBER(SEARCH(Assumptions!$C$5,G4648)),Assumptions!$D$5,IF(ISNUMBER(SEARCH(Assumptions!$C$6,G4648)),Assumptions!$D$6,IF(ISNUMBER(SEARCH(Assumptions!$C$7,G4648)),Assumptions!$D$7,"Other Services"))),"Other Services"))</f>
        <v/>
      </c>
    </row>
    <row r="4649" customFormat="false" ht="15" hidden="false" customHeight="false" outlineLevel="0" collapsed="false">
      <c r="F4649" s="41" t="str">
        <f aca="false">IF(E4649="","",IFERROR(VLOOKUP(E4649,Assumptions!$G$5:$H$16,2,0),"Other"))</f>
        <v/>
      </c>
      <c r="J4649" s="41" t="str">
        <f aca="false">IF(G4649="","",IFERROR(IF(ISNUMBER(SEARCH(Assumptions!$C$5,G4649)),Assumptions!$D$5,IF(ISNUMBER(SEARCH(Assumptions!$C$6,G4649)),Assumptions!$D$6,IF(ISNUMBER(SEARCH(Assumptions!$C$7,G4649)),Assumptions!$D$7,"Other Services"))),"Other Services"))</f>
        <v/>
      </c>
    </row>
    <row r="4650" customFormat="false" ht="15" hidden="false" customHeight="false" outlineLevel="0" collapsed="false">
      <c r="F4650" s="41" t="str">
        <f aca="false">IF(E4650="","",IFERROR(VLOOKUP(E4650,Assumptions!$G$5:$H$16,2,0),"Other"))</f>
        <v/>
      </c>
      <c r="J4650" s="41" t="str">
        <f aca="false">IF(G4650="","",IFERROR(IF(ISNUMBER(SEARCH(Assumptions!$C$5,G4650)),Assumptions!$D$5,IF(ISNUMBER(SEARCH(Assumptions!$C$6,G4650)),Assumptions!$D$6,IF(ISNUMBER(SEARCH(Assumptions!$C$7,G4650)),Assumptions!$D$7,"Other Services"))),"Other Services"))</f>
        <v/>
      </c>
    </row>
    <row r="4651" customFormat="false" ht="15" hidden="false" customHeight="false" outlineLevel="0" collapsed="false">
      <c r="F4651" s="41" t="str">
        <f aca="false">IF(E4651="","",IFERROR(VLOOKUP(E4651,Assumptions!$G$5:$H$16,2,0),"Other"))</f>
        <v/>
      </c>
      <c r="J4651" s="41" t="str">
        <f aca="false">IF(G4651="","",IFERROR(IF(ISNUMBER(SEARCH(Assumptions!$C$5,G4651)),Assumptions!$D$5,IF(ISNUMBER(SEARCH(Assumptions!$C$6,G4651)),Assumptions!$D$6,IF(ISNUMBER(SEARCH(Assumptions!$C$7,G4651)),Assumptions!$D$7,"Other Services"))),"Other Services"))</f>
        <v/>
      </c>
    </row>
    <row r="4652" customFormat="false" ht="15" hidden="false" customHeight="false" outlineLevel="0" collapsed="false">
      <c r="F4652" s="41" t="str">
        <f aca="false">IF(E4652="","",IFERROR(VLOOKUP(E4652,Assumptions!$G$5:$H$16,2,0),"Other"))</f>
        <v/>
      </c>
      <c r="J4652" s="41" t="str">
        <f aca="false">IF(G4652="","",IFERROR(IF(ISNUMBER(SEARCH(Assumptions!$C$5,G4652)),Assumptions!$D$5,IF(ISNUMBER(SEARCH(Assumptions!$C$6,G4652)),Assumptions!$D$6,IF(ISNUMBER(SEARCH(Assumptions!$C$7,G4652)),Assumptions!$D$7,"Other Services"))),"Other Services"))</f>
        <v/>
      </c>
    </row>
    <row r="4653" customFormat="false" ht="15" hidden="false" customHeight="false" outlineLevel="0" collapsed="false">
      <c r="F4653" s="41" t="str">
        <f aca="false">IF(E4653="","",IFERROR(VLOOKUP(E4653,Assumptions!$G$5:$H$16,2,0),"Other"))</f>
        <v/>
      </c>
      <c r="J4653" s="41" t="str">
        <f aca="false">IF(G4653="","",IFERROR(IF(ISNUMBER(SEARCH(Assumptions!$C$5,G4653)),Assumptions!$D$5,IF(ISNUMBER(SEARCH(Assumptions!$C$6,G4653)),Assumptions!$D$6,IF(ISNUMBER(SEARCH(Assumptions!$C$7,G4653)),Assumptions!$D$7,"Other Services"))),"Other Services"))</f>
        <v/>
      </c>
    </row>
    <row r="4654" customFormat="false" ht="15" hidden="false" customHeight="false" outlineLevel="0" collapsed="false">
      <c r="F4654" s="41" t="str">
        <f aca="false">IF(E4654="","",IFERROR(VLOOKUP(E4654,Assumptions!$G$5:$H$16,2,0),"Other"))</f>
        <v/>
      </c>
      <c r="J4654" s="41" t="str">
        <f aca="false">IF(G4654="","",IFERROR(IF(ISNUMBER(SEARCH(Assumptions!$C$5,G4654)),Assumptions!$D$5,IF(ISNUMBER(SEARCH(Assumptions!$C$6,G4654)),Assumptions!$D$6,IF(ISNUMBER(SEARCH(Assumptions!$C$7,G4654)),Assumptions!$D$7,"Other Services"))),"Other Services"))</f>
        <v/>
      </c>
    </row>
    <row r="4655" customFormat="false" ht="15" hidden="false" customHeight="false" outlineLevel="0" collapsed="false">
      <c r="F4655" s="41" t="str">
        <f aca="false">IF(E4655="","",IFERROR(VLOOKUP(E4655,Assumptions!$G$5:$H$16,2,0),"Other"))</f>
        <v/>
      </c>
      <c r="J4655" s="41" t="str">
        <f aca="false">IF(G4655="","",IFERROR(IF(ISNUMBER(SEARCH(Assumptions!$C$5,G4655)),Assumptions!$D$5,IF(ISNUMBER(SEARCH(Assumptions!$C$6,G4655)),Assumptions!$D$6,IF(ISNUMBER(SEARCH(Assumptions!$C$7,G4655)),Assumptions!$D$7,"Other Services"))),"Other Services"))</f>
        <v/>
      </c>
    </row>
    <row r="4656" customFormat="false" ht="15" hidden="false" customHeight="false" outlineLevel="0" collapsed="false">
      <c r="F4656" s="41" t="str">
        <f aca="false">IF(E4656="","",IFERROR(VLOOKUP(E4656,Assumptions!$G$5:$H$16,2,0),"Other"))</f>
        <v/>
      </c>
      <c r="J4656" s="41" t="str">
        <f aca="false">IF(G4656="","",IFERROR(IF(ISNUMBER(SEARCH(Assumptions!$C$5,G4656)),Assumptions!$D$5,IF(ISNUMBER(SEARCH(Assumptions!$C$6,G4656)),Assumptions!$D$6,IF(ISNUMBER(SEARCH(Assumptions!$C$7,G4656)),Assumptions!$D$7,"Other Services"))),"Other Services"))</f>
        <v/>
      </c>
    </row>
    <row r="4657" customFormat="false" ht="15" hidden="false" customHeight="false" outlineLevel="0" collapsed="false">
      <c r="F4657" s="41" t="str">
        <f aca="false">IF(E4657="","",IFERROR(VLOOKUP(E4657,Assumptions!$G$5:$H$16,2,0),"Other"))</f>
        <v/>
      </c>
      <c r="J4657" s="41" t="str">
        <f aca="false">IF(G4657="","",IFERROR(IF(ISNUMBER(SEARCH(Assumptions!$C$5,G4657)),Assumptions!$D$5,IF(ISNUMBER(SEARCH(Assumptions!$C$6,G4657)),Assumptions!$D$6,IF(ISNUMBER(SEARCH(Assumptions!$C$7,G4657)),Assumptions!$D$7,"Other Services"))),"Other Services"))</f>
        <v/>
      </c>
    </row>
    <row r="4658" customFormat="false" ht="15" hidden="false" customHeight="false" outlineLevel="0" collapsed="false">
      <c r="F4658" s="41" t="str">
        <f aca="false">IF(E4658="","",IFERROR(VLOOKUP(E4658,Assumptions!$G$5:$H$16,2,0),"Other"))</f>
        <v/>
      </c>
      <c r="J4658" s="41" t="str">
        <f aca="false">IF(G4658="","",IFERROR(IF(ISNUMBER(SEARCH(Assumptions!$C$5,G4658)),Assumptions!$D$5,IF(ISNUMBER(SEARCH(Assumptions!$C$6,G4658)),Assumptions!$D$6,IF(ISNUMBER(SEARCH(Assumptions!$C$7,G4658)),Assumptions!$D$7,"Other Services"))),"Other Services"))</f>
        <v/>
      </c>
    </row>
    <row r="4659" customFormat="false" ht="15" hidden="false" customHeight="false" outlineLevel="0" collapsed="false">
      <c r="F4659" s="41" t="str">
        <f aca="false">IF(E4659="","",IFERROR(VLOOKUP(E4659,Assumptions!$G$5:$H$16,2,0),"Other"))</f>
        <v/>
      </c>
      <c r="J4659" s="41" t="str">
        <f aca="false">IF(G4659="","",IFERROR(IF(ISNUMBER(SEARCH(Assumptions!$C$5,G4659)),Assumptions!$D$5,IF(ISNUMBER(SEARCH(Assumptions!$C$6,G4659)),Assumptions!$D$6,IF(ISNUMBER(SEARCH(Assumptions!$C$7,G4659)),Assumptions!$D$7,"Other Services"))),"Other Services"))</f>
        <v/>
      </c>
    </row>
    <row r="4660" customFormat="false" ht="15" hidden="false" customHeight="false" outlineLevel="0" collapsed="false">
      <c r="F4660" s="41" t="str">
        <f aca="false">IF(E4660="","",IFERROR(VLOOKUP(E4660,Assumptions!$G$5:$H$16,2,0),"Other"))</f>
        <v/>
      </c>
      <c r="J4660" s="41" t="str">
        <f aca="false">IF(G4660="","",IFERROR(IF(ISNUMBER(SEARCH(Assumptions!$C$5,G4660)),Assumptions!$D$5,IF(ISNUMBER(SEARCH(Assumptions!$C$6,G4660)),Assumptions!$D$6,IF(ISNUMBER(SEARCH(Assumptions!$C$7,G4660)),Assumptions!$D$7,"Other Services"))),"Other Services"))</f>
        <v/>
      </c>
    </row>
    <row r="4661" customFormat="false" ht="15" hidden="false" customHeight="false" outlineLevel="0" collapsed="false">
      <c r="F4661" s="41" t="str">
        <f aca="false">IF(E4661="","",IFERROR(VLOOKUP(E4661,Assumptions!$G$5:$H$16,2,0),"Other"))</f>
        <v/>
      </c>
      <c r="J4661" s="41" t="str">
        <f aca="false">IF(G4661="","",IFERROR(IF(ISNUMBER(SEARCH(Assumptions!$C$5,G4661)),Assumptions!$D$5,IF(ISNUMBER(SEARCH(Assumptions!$C$6,G4661)),Assumptions!$D$6,IF(ISNUMBER(SEARCH(Assumptions!$C$7,G4661)),Assumptions!$D$7,"Other Services"))),"Other Services"))</f>
        <v/>
      </c>
    </row>
    <row r="4662" customFormat="false" ht="15" hidden="false" customHeight="false" outlineLevel="0" collapsed="false">
      <c r="F4662" s="41" t="str">
        <f aca="false">IF(E4662="","",IFERROR(VLOOKUP(E4662,Assumptions!$G$5:$H$16,2,0),"Other"))</f>
        <v/>
      </c>
      <c r="J4662" s="41" t="str">
        <f aca="false">IF(G4662="","",IFERROR(IF(ISNUMBER(SEARCH(Assumptions!$C$5,G4662)),Assumptions!$D$5,IF(ISNUMBER(SEARCH(Assumptions!$C$6,G4662)),Assumptions!$D$6,IF(ISNUMBER(SEARCH(Assumptions!$C$7,G4662)),Assumptions!$D$7,"Other Services"))),"Other Services"))</f>
        <v/>
      </c>
    </row>
    <row r="4663" customFormat="false" ht="15" hidden="false" customHeight="false" outlineLevel="0" collapsed="false">
      <c r="F4663" s="41" t="str">
        <f aca="false">IF(E4663="","",IFERROR(VLOOKUP(E4663,Assumptions!$G$5:$H$16,2,0),"Other"))</f>
        <v/>
      </c>
      <c r="J4663" s="41" t="str">
        <f aca="false">IF(G4663="","",IFERROR(IF(ISNUMBER(SEARCH(Assumptions!$C$5,G4663)),Assumptions!$D$5,IF(ISNUMBER(SEARCH(Assumptions!$C$6,G4663)),Assumptions!$D$6,IF(ISNUMBER(SEARCH(Assumptions!$C$7,G4663)),Assumptions!$D$7,"Other Services"))),"Other Services"))</f>
        <v/>
      </c>
    </row>
    <row r="4664" customFormat="false" ht="15" hidden="false" customHeight="false" outlineLevel="0" collapsed="false">
      <c r="F4664" s="41" t="str">
        <f aca="false">IF(E4664="","",IFERROR(VLOOKUP(E4664,Assumptions!$G$5:$H$16,2,0),"Other"))</f>
        <v/>
      </c>
      <c r="J4664" s="41" t="str">
        <f aca="false">IF(G4664="","",IFERROR(IF(ISNUMBER(SEARCH(Assumptions!$C$5,G4664)),Assumptions!$D$5,IF(ISNUMBER(SEARCH(Assumptions!$C$6,G4664)),Assumptions!$D$6,IF(ISNUMBER(SEARCH(Assumptions!$C$7,G4664)),Assumptions!$D$7,"Other Services"))),"Other Services"))</f>
        <v/>
      </c>
    </row>
    <row r="4665" customFormat="false" ht="15" hidden="false" customHeight="false" outlineLevel="0" collapsed="false">
      <c r="F4665" s="41" t="str">
        <f aca="false">IF(E4665="","",IFERROR(VLOOKUP(E4665,Assumptions!$G$5:$H$16,2,0),"Other"))</f>
        <v/>
      </c>
      <c r="J4665" s="41" t="str">
        <f aca="false">IF(G4665="","",IFERROR(IF(ISNUMBER(SEARCH(Assumptions!$C$5,G4665)),Assumptions!$D$5,IF(ISNUMBER(SEARCH(Assumptions!$C$6,G4665)),Assumptions!$D$6,IF(ISNUMBER(SEARCH(Assumptions!$C$7,G4665)),Assumptions!$D$7,"Other Services"))),"Other Services"))</f>
        <v/>
      </c>
    </row>
    <row r="4666" customFormat="false" ht="15" hidden="false" customHeight="false" outlineLevel="0" collapsed="false">
      <c r="F4666" s="41" t="str">
        <f aca="false">IF(E4666="","",IFERROR(VLOOKUP(E4666,Assumptions!$G$5:$H$16,2,0),"Other"))</f>
        <v/>
      </c>
      <c r="J4666" s="41" t="str">
        <f aca="false">IF(G4666="","",IFERROR(IF(ISNUMBER(SEARCH(Assumptions!$C$5,G4666)),Assumptions!$D$5,IF(ISNUMBER(SEARCH(Assumptions!$C$6,G4666)),Assumptions!$D$6,IF(ISNUMBER(SEARCH(Assumptions!$C$7,G4666)),Assumptions!$D$7,"Other Services"))),"Other Services"))</f>
        <v/>
      </c>
    </row>
    <row r="4667" customFormat="false" ht="15" hidden="false" customHeight="false" outlineLevel="0" collapsed="false">
      <c r="F4667" s="41" t="str">
        <f aca="false">IF(E4667="","",IFERROR(VLOOKUP(E4667,Assumptions!$G$5:$H$16,2,0),"Other"))</f>
        <v/>
      </c>
      <c r="J4667" s="41" t="str">
        <f aca="false">IF(G4667="","",IFERROR(IF(ISNUMBER(SEARCH(Assumptions!$C$5,G4667)),Assumptions!$D$5,IF(ISNUMBER(SEARCH(Assumptions!$C$6,G4667)),Assumptions!$D$6,IF(ISNUMBER(SEARCH(Assumptions!$C$7,G4667)),Assumptions!$D$7,"Other Services"))),"Other Services"))</f>
        <v/>
      </c>
    </row>
    <row r="4668" customFormat="false" ht="15" hidden="false" customHeight="false" outlineLevel="0" collapsed="false">
      <c r="F4668" s="41" t="str">
        <f aca="false">IF(E4668="","",IFERROR(VLOOKUP(E4668,Assumptions!$G$5:$H$16,2,0),"Other"))</f>
        <v/>
      </c>
      <c r="J4668" s="41" t="str">
        <f aca="false">IF(G4668="","",IFERROR(IF(ISNUMBER(SEARCH(Assumptions!$C$5,G4668)),Assumptions!$D$5,IF(ISNUMBER(SEARCH(Assumptions!$C$6,G4668)),Assumptions!$D$6,IF(ISNUMBER(SEARCH(Assumptions!$C$7,G4668)),Assumptions!$D$7,"Other Services"))),"Other Services"))</f>
        <v/>
      </c>
    </row>
    <row r="4669" customFormat="false" ht="15" hidden="false" customHeight="false" outlineLevel="0" collapsed="false">
      <c r="F4669" s="41" t="str">
        <f aca="false">IF(E4669="","",IFERROR(VLOOKUP(E4669,Assumptions!$G$5:$H$16,2,0),"Other"))</f>
        <v/>
      </c>
      <c r="J4669" s="41" t="str">
        <f aca="false">IF(G4669="","",IFERROR(IF(ISNUMBER(SEARCH(Assumptions!$C$5,G4669)),Assumptions!$D$5,IF(ISNUMBER(SEARCH(Assumptions!$C$6,G4669)),Assumptions!$D$6,IF(ISNUMBER(SEARCH(Assumptions!$C$7,G4669)),Assumptions!$D$7,"Other Services"))),"Other Services"))</f>
        <v/>
      </c>
    </row>
    <row r="4670" customFormat="false" ht="15" hidden="false" customHeight="false" outlineLevel="0" collapsed="false">
      <c r="F4670" s="41" t="str">
        <f aca="false">IF(E4670="","",IFERROR(VLOOKUP(E4670,Assumptions!$G$5:$H$16,2,0),"Other"))</f>
        <v/>
      </c>
      <c r="J4670" s="41" t="str">
        <f aca="false">IF(G4670="","",IFERROR(IF(ISNUMBER(SEARCH(Assumptions!$C$5,G4670)),Assumptions!$D$5,IF(ISNUMBER(SEARCH(Assumptions!$C$6,G4670)),Assumptions!$D$6,IF(ISNUMBER(SEARCH(Assumptions!$C$7,G4670)),Assumptions!$D$7,"Other Services"))),"Other Services"))</f>
        <v/>
      </c>
    </row>
    <row r="4671" customFormat="false" ht="15" hidden="false" customHeight="false" outlineLevel="0" collapsed="false">
      <c r="F4671" s="41" t="str">
        <f aca="false">IF(E4671="","",IFERROR(VLOOKUP(E4671,Assumptions!$G$5:$H$16,2,0),"Other"))</f>
        <v/>
      </c>
      <c r="J4671" s="41" t="str">
        <f aca="false">IF(G4671="","",IFERROR(IF(ISNUMBER(SEARCH(Assumptions!$C$5,G4671)),Assumptions!$D$5,IF(ISNUMBER(SEARCH(Assumptions!$C$6,G4671)),Assumptions!$D$6,IF(ISNUMBER(SEARCH(Assumptions!$C$7,G4671)),Assumptions!$D$7,"Other Services"))),"Other Services"))</f>
        <v/>
      </c>
    </row>
    <row r="4672" customFormat="false" ht="15" hidden="false" customHeight="false" outlineLevel="0" collapsed="false">
      <c r="F4672" s="41" t="str">
        <f aca="false">IF(E4672="","",IFERROR(VLOOKUP(E4672,Assumptions!$G$5:$H$16,2,0),"Other"))</f>
        <v/>
      </c>
      <c r="J4672" s="41" t="str">
        <f aca="false">IF(G4672="","",IFERROR(IF(ISNUMBER(SEARCH(Assumptions!$C$5,G4672)),Assumptions!$D$5,IF(ISNUMBER(SEARCH(Assumptions!$C$6,G4672)),Assumptions!$D$6,IF(ISNUMBER(SEARCH(Assumptions!$C$7,G4672)),Assumptions!$D$7,"Other Services"))),"Other Services"))</f>
        <v/>
      </c>
    </row>
    <row r="4673" customFormat="false" ht="15" hidden="false" customHeight="false" outlineLevel="0" collapsed="false">
      <c r="F4673" s="41" t="str">
        <f aca="false">IF(E4673="","",IFERROR(VLOOKUP(E4673,Assumptions!$G$5:$H$16,2,0),"Other"))</f>
        <v/>
      </c>
      <c r="J4673" s="41" t="str">
        <f aca="false">IF(G4673="","",IFERROR(IF(ISNUMBER(SEARCH(Assumptions!$C$5,G4673)),Assumptions!$D$5,IF(ISNUMBER(SEARCH(Assumptions!$C$6,G4673)),Assumptions!$D$6,IF(ISNUMBER(SEARCH(Assumptions!$C$7,G4673)),Assumptions!$D$7,"Other Services"))),"Other Services"))</f>
        <v/>
      </c>
    </row>
    <row r="4674" customFormat="false" ht="15" hidden="false" customHeight="false" outlineLevel="0" collapsed="false">
      <c r="F4674" s="41" t="str">
        <f aca="false">IF(E4674="","",IFERROR(VLOOKUP(E4674,Assumptions!$G$5:$H$16,2,0),"Other"))</f>
        <v/>
      </c>
      <c r="J4674" s="41" t="str">
        <f aca="false">IF(G4674="","",IFERROR(IF(ISNUMBER(SEARCH(Assumptions!$C$5,G4674)),Assumptions!$D$5,IF(ISNUMBER(SEARCH(Assumptions!$C$6,G4674)),Assumptions!$D$6,IF(ISNUMBER(SEARCH(Assumptions!$C$7,G4674)),Assumptions!$D$7,"Other Services"))),"Other Services"))</f>
        <v/>
      </c>
    </row>
    <row r="4675" customFormat="false" ht="15" hidden="false" customHeight="false" outlineLevel="0" collapsed="false">
      <c r="F4675" s="41" t="str">
        <f aca="false">IF(E4675="","",IFERROR(VLOOKUP(E4675,Assumptions!$G$5:$H$16,2,0),"Other"))</f>
        <v/>
      </c>
      <c r="J4675" s="41" t="str">
        <f aca="false">IF(G4675="","",IFERROR(IF(ISNUMBER(SEARCH(Assumptions!$C$5,G4675)),Assumptions!$D$5,IF(ISNUMBER(SEARCH(Assumptions!$C$6,G4675)),Assumptions!$D$6,IF(ISNUMBER(SEARCH(Assumptions!$C$7,G4675)),Assumptions!$D$7,"Other Services"))),"Other Services"))</f>
        <v/>
      </c>
    </row>
    <row r="4676" customFormat="false" ht="15" hidden="false" customHeight="false" outlineLevel="0" collapsed="false">
      <c r="F4676" s="41" t="str">
        <f aca="false">IF(E4676="","",IFERROR(VLOOKUP(E4676,Assumptions!$G$5:$H$16,2,0),"Other"))</f>
        <v/>
      </c>
      <c r="J4676" s="41" t="str">
        <f aca="false">IF(G4676="","",IFERROR(IF(ISNUMBER(SEARCH(Assumptions!$C$5,G4676)),Assumptions!$D$5,IF(ISNUMBER(SEARCH(Assumptions!$C$6,G4676)),Assumptions!$D$6,IF(ISNUMBER(SEARCH(Assumptions!$C$7,G4676)),Assumptions!$D$7,"Other Services"))),"Other Services"))</f>
        <v/>
      </c>
    </row>
    <row r="4677" customFormat="false" ht="15" hidden="false" customHeight="false" outlineLevel="0" collapsed="false">
      <c r="F4677" s="41" t="str">
        <f aca="false">IF(E4677="","",IFERROR(VLOOKUP(E4677,Assumptions!$G$5:$H$16,2,0),"Other"))</f>
        <v/>
      </c>
      <c r="J4677" s="41" t="str">
        <f aca="false">IF(G4677="","",IFERROR(IF(ISNUMBER(SEARCH(Assumptions!$C$5,G4677)),Assumptions!$D$5,IF(ISNUMBER(SEARCH(Assumptions!$C$6,G4677)),Assumptions!$D$6,IF(ISNUMBER(SEARCH(Assumptions!$C$7,G4677)),Assumptions!$D$7,"Other Services"))),"Other Services"))</f>
        <v/>
      </c>
    </row>
    <row r="4678" customFormat="false" ht="15" hidden="false" customHeight="false" outlineLevel="0" collapsed="false">
      <c r="F4678" s="41" t="str">
        <f aca="false">IF(E4678="","",IFERROR(VLOOKUP(E4678,Assumptions!$G$5:$H$16,2,0),"Other"))</f>
        <v/>
      </c>
      <c r="J4678" s="41" t="str">
        <f aca="false">IF(G4678="","",IFERROR(IF(ISNUMBER(SEARCH(Assumptions!$C$5,G4678)),Assumptions!$D$5,IF(ISNUMBER(SEARCH(Assumptions!$C$6,G4678)),Assumptions!$D$6,IF(ISNUMBER(SEARCH(Assumptions!$C$7,G4678)),Assumptions!$D$7,"Other Services"))),"Other Services"))</f>
        <v/>
      </c>
    </row>
    <row r="4679" customFormat="false" ht="15" hidden="false" customHeight="false" outlineLevel="0" collapsed="false">
      <c r="F4679" s="41" t="str">
        <f aca="false">IF(E4679="","",IFERROR(VLOOKUP(E4679,Assumptions!$G$5:$H$16,2,0),"Other"))</f>
        <v/>
      </c>
      <c r="J4679" s="41" t="str">
        <f aca="false">IF(G4679="","",IFERROR(IF(ISNUMBER(SEARCH(Assumptions!$C$5,G4679)),Assumptions!$D$5,IF(ISNUMBER(SEARCH(Assumptions!$C$6,G4679)),Assumptions!$D$6,IF(ISNUMBER(SEARCH(Assumptions!$C$7,G4679)),Assumptions!$D$7,"Other Services"))),"Other Services"))</f>
        <v/>
      </c>
    </row>
    <row r="4680" customFormat="false" ht="15" hidden="false" customHeight="false" outlineLevel="0" collapsed="false">
      <c r="F4680" s="41" t="str">
        <f aca="false">IF(E4680="","",IFERROR(VLOOKUP(E4680,Assumptions!$G$5:$H$16,2,0),"Other"))</f>
        <v/>
      </c>
      <c r="J4680" s="41" t="str">
        <f aca="false">IF(G4680="","",IFERROR(IF(ISNUMBER(SEARCH(Assumptions!$C$5,G4680)),Assumptions!$D$5,IF(ISNUMBER(SEARCH(Assumptions!$C$6,G4680)),Assumptions!$D$6,IF(ISNUMBER(SEARCH(Assumptions!$C$7,G4680)),Assumptions!$D$7,"Other Services"))),"Other Services"))</f>
        <v/>
      </c>
    </row>
    <row r="4681" customFormat="false" ht="15" hidden="false" customHeight="false" outlineLevel="0" collapsed="false">
      <c r="F4681" s="41" t="str">
        <f aca="false">IF(E4681="","",IFERROR(VLOOKUP(E4681,Assumptions!$G$5:$H$16,2,0),"Other"))</f>
        <v/>
      </c>
      <c r="J4681" s="41" t="str">
        <f aca="false">IF(G4681="","",IFERROR(IF(ISNUMBER(SEARCH(Assumptions!$C$5,G4681)),Assumptions!$D$5,IF(ISNUMBER(SEARCH(Assumptions!$C$6,G4681)),Assumptions!$D$6,IF(ISNUMBER(SEARCH(Assumptions!$C$7,G4681)),Assumptions!$D$7,"Other Services"))),"Other Services"))</f>
        <v/>
      </c>
    </row>
    <row r="4682" customFormat="false" ht="15" hidden="false" customHeight="false" outlineLevel="0" collapsed="false">
      <c r="F4682" s="41" t="str">
        <f aca="false">IF(E4682="","",IFERROR(VLOOKUP(E4682,Assumptions!$G$5:$H$16,2,0),"Other"))</f>
        <v/>
      </c>
      <c r="J4682" s="41" t="str">
        <f aca="false">IF(G4682="","",IFERROR(IF(ISNUMBER(SEARCH(Assumptions!$C$5,G4682)),Assumptions!$D$5,IF(ISNUMBER(SEARCH(Assumptions!$C$6,G4682)),Assumptions!$D$6,IF(ISNUMBER(SEARCH(Assumptions!$C$7,G4682)),Assumptions!$D$7,"Other Services"))),"Other Services"))</f>
        <v/>
      </c>
    </row>
    <row r="4683" customFormat="false" ht="15" hidden="false" customHeight="false" outlineLevel="0" collapsed="false">
      <c r="F4683" s="41" t="str">
        <f aca="false">IF(E4683="","",IFERROR(VLOOKUP(E4683,Assumptions!$G$5:$H$16,2,0),"Other"))</f>
        <v/>
      </c>
      <c r="J4683" s="41" t="str">
        <f aca="false">IF(G4683="","",IFERROR(IF(ISNUMBER(SEARCH(Assumptions!$C$5,G4683)),Assumptions!$D$5,IF(ISNUMBER(SEARCH(Assumptions!$C$6,G4683)),Assumptions!$D$6,IF(ISNUMBER(SEARCH(Assumptions!$C$7,G4683)),Assumptions!$D$7,"Other Services"))),"Other Services"))</f>
        <v/>
      </c>
    </row>
    <row r="4684" customFormat="false" ht="15" hidden="false" customHeight="false" outlineLevel="0" collapsed="false">
      <c r="F4684" s="41" t="str">
        <f aca="false">IF(E4684="","",IFERROR(VLOOKUP(E4684,Assumptions!$G$5:$H$16,2,0),"Other"))</f>
        <v/>
      </c>
      <c r="J4684" s="41" t="str">
        <f aca="false">IF(G4684="","",IFERROR(IF(ISNUMBER(SEARCH(Assumptions!$C$5,G4684)),Assumptions!$D$5,IF(ISNUMBER(SEARCH(Assumptions!$C$6,G4684)),Assumptions!$D$6,IF(ISNUMBER(SEARCH(Assumptions!$C$7,G4684)),Assumptions!$D$7,"Other Services"))),"Other Services"))</f>
        <v/>
      </c>
    </row>
    <row r="4685" customFormat="false" ht="15" hidden="false" customHeight="false" outlineLevel="0" collapsed="false">
      <c r="F4685" s="41" t="str">
        <f aca="false">IF(E4685="","",IFERROR(VLOOKUP(E4685,Assumptions!$G$5:$H$16,2,0),"Other"))</f>
        <v/>
      </c>
      <c r="J4685" s="41" t="str">
        <f aca="false">IF(G4685="","",IFERROR(IF(ISNUMBER(SEARCH(Assumptions!$C$5,G4685)),Assumptions!$D$5,IF(ISNUMBER(SEARCH(Assumptions!$C$6,G4685)),Assumptions!$D$6,IF(ISNUMBER(SEARCH(Assumptions!$C$7,G4685)),Assumptions!$D$7,"Other Services"))),"Other Services"))</f>
        <v/>
      </c>
    </row>
    <row r="4686" customFormat="false" ht="15" hidden="false" customHeight="false" outlineLevel="0" collapsed="false">
      <c r="F4686" s="41" t="str">
        <f aca="false">IF(E4686="","",IFERROR(VLOOKUP(E4686,Assumptions!$G$5:$H$16,2,0),"Other"))</f>
        <v/>
      </c>
      <c r="J4686" s="41" t="str">
        <f aca="false">IF(G4686="","",IFERROR(IF(ISNUMBER(SEARCH(Assumptions!$C$5,G4686)),Assumptions!$D$5,IF(ISNUMBER(SEARCH(Assumptions!$C$6,G4686)),Assumptions!$D$6,IF(ISNUMBER(SEARCH(Assumptions!$C$7,G4686)),Assumptions!$D$7,"Other Services"))),"Other Services"))</f>
        <v/>
      </c>
    </row>
    <row r="4687" customFormat="false" ht="15" hidden="false" customHeight="false" outlineLevel="0" collapsed="false">
      <c r="F4687" s="41" t="str">
        <f aca="false">IF(E4687="","",IFERROR(VLOOKUP(E4687,Assumptions!$G$5:$H$16,2,0),"Other"))</f>
        <v/>
      </c>
      <c r="J4687" s="41" t="str">
        <f aca="false">IF(G4687="","",IFERROR(IF(ISNUMBER(SEARCH(Assumptions!$C$5,G4687)),Assumptions!$D$5,IF(ISNUMBER(SEARCH(Assumptions!$C$6,G4687)),Assumptions!$D$6,IF(ISNUMBER(SEARCH(Assumptions!$C$7,G4687)),Assumptions!$D$7,"Other Services"))),"Other Services"))</f>
        <v/>
      </c>
    </row>
    <row r="4688" customFormat="false" ht="15" hidden="false" customHeight="false" outlineLevel="0" collapsed="false">
      <c r="F4688" s="41" t="str">
        <f aca="false">IF(E4688="","",IFERROR(VLOOKUP(E4688,Assumptions!$G$5:$H$16,2,0),"Other"))</f>
        <v/>
      </c>
      <c r="J4688" s="41" t="str">
        <f aca="false">IF(G4688="","",IFERROR(IF(ISNUMBER(SEARCH(Assumptions!$C$5,G4688)),Assumptions!$D$5,IF(ISNUMBER(SEARCH(Assumptions!$C$6,G4688)),Assumptions!$D$6,IF(ISNUMBER(SEARCH(Assumptions!$C$7,G4688)),Assumptions!$D$7,"Other Services"))),"Other Services"))</f>
        <v/>
      </c>
    </row>
    <row r="4689" customFormat="false" ht="15" hidden="false" customHeight="false" outlineLevel="0" collapsed="false">
      <c r="F4689" s="41" t="str">
        <f aca="false">IF(E4689="","",IFERROR(VLOOKUP(E4689,Assumptions!$G$5:$H$16,2,0),"Other"))</f>
        <v/>
      </c>
      <c r="J4689" s="41" t="str">
        <f aca="false">IF(G4689="","",IFERROR(IF(ISNUMBER(SEARCH(Assumptions!$C$5,G4689)),Assumptions!$D$5,IF(ISNUMBER(SEARCH(Assumptions!$C$6,G4689)),Assumptions!$D$6,IF(ISNUMBER(SEARCH(Assumptions!$C$7,G4689)),Assumptions!$D$7,"Other Services"))),"Other Services"))</f>
        <v/>
      </c>
    </row>
    <row r="4690" customFormat="false" ht="15" hidden="false" customHeight="false" outlineLevel="0" collapsed="false">
      <c r="F4690" s="41" t="str">
        <f aca="false">IF(E4690="","",IFERROR(VLOOKUP(E4690,Assumptions!$G$5:$H$16,2,0),"Other"))</f>
        <v/>
      </c>
      <c r="J4690" s="41" t="str">
        <f aca="false">IF(G4690="","",IFERROR(IF(ISNUMBER(SEARCH(Assumptions!$C$5,G4690)),Assumptions!$D$5,IF(ISNUMBER(SEARCH(Assumptions!$C$6,G4690)),Assumptions!$D$6,IF(ISNUMBER(SEARCH(Assumptions!$C$7,G4690)),Assumptions!$D$7,"Other Services"))),"Other Services"))</f>
        <v/>
      </c>
    </row>
    <row r="4691" customFormat="false" ht="15" hidden="false" customHeight="false" outlineLevel="0" collapsed="false">
      <c r="F4691" s="41" t="str">
        <f aca="false">IF(E4691="","",IFERROR(VLOOKUP(E4691,Assumptions!$G$5:$H$16,2,0),"Other"))</f>
        <v/>
      </c>
      <c r="J4691" s="41" t="str">
        <f aca="false">IF(G4691="","",IFERROR(IF(ISNUMBER(SEARCH(Assumptions!$C$5,G4691)),Assumptions!$D$5,IF(ISNUMBER(SEARCH(Assumptions!$C$6,G4691)),Assumptions!$D$6,IF(ISNUMBER(SEARCH(Assumptions!$C$7,G4691)),Assumptions!$D$7,"Other Services"))),"Other Services"))</f>
        <v/>
      </c>
    </row>
    <row r="4692" customFormat="false" ht="15" hidden="false" customHeight="false" outlineLevel="0" collapsed="false">
      <c r="F4692" s="41" t="str">
        <f aca="false">IF(E4692="","",IFERROR(VLOOKUP(E4692,Assumptions!$G$5:$H$16,2,0),"Other"))</f>
        <v/>
      </c>
      <c r="J4692" s="41" t="str">
        <f aca="false">IF(G4692="","",IFERROR(IF(ISNUMBER(SEARCH(Assumptions!$C$5,G4692)),Assumptions!$D$5,IF(ISNUMBER(SEARCH(Assumptions!$C$6,G4692)),Assumptions!$D$6,IF(ISNUMBER(SEARCH(Assumptions!$C$7,G4692)),Assumptions!$D$7,"Other Services"))),"Other Services"))</f>
        <v/>
      </c>
    </row>
    <row r="4693" customFormat="false" ht="15" hidden="false" customHeight="false" outlineLevel="0" collapsed="false">
      <c r="F4693" s="41" t="str">
        <f aca="false">IF(E4693="","",IFERROR(VLOOKUP(E4693,Assumptions!$G$5:$H$16,2,0),"Other"))</f>
        <v/>
      </c>
      <c r="J4693" s="41" t="str">
        <f aca="false">IF(G4693="","",IFERROR(IF(ISNUMBER(SEARCH(Assumptions!$C$5,G4693)),Assumptions!$D$5,IF(ISNUMBER(SEARCH(Assumptions!$C$6,G4693)),Assumptions!$D$6,IF(ISNUMBER(SEARCH(Assumptions!$C$7,G4693)),Assumptions!$D$7,"Other Services"))),"Other Services"))</f>
        <v/>
      </c>
    </row>
    <row r="4694" customFormat="false" ht="15" hidden="false" customHeight="false" outlineLevel="0" collapsed="false">
      <c r="F4694" s="41" t="str">
        <f aca="false">IF(E4694="","",IFERROR(VLOOKUP(E4694,Assumptions!$G$5:$H$16,2,0),"Other"))</f>
        <v/>
      </c>
      <c r="J4694" s="41" t="str">
        <f aca="false">IF(G4694="","",IFERROR(IF(ISNUMBER(SEARCH(Assumptions!$C$5,G4694)),Assumptions!$D$5,IF(ISNUMBER(SEARCH(Assumptions!$C$6,G4694)),Assumptions!$D$6,IF(ISNUMBER(SEARCH(Assumptions!$C$7,G4694)),Assumptions!$D$7,"Other Services"))),"Other Services"))</f>
        <v/>
      </c>
    </row>
    <row r="4695" customFormat="false" ht="15" hidden="false" customHeight="false" outlineLevel="0" collapsed="false">
      <c r="F4695" s="41" t="str">
        <f aca="false">IF(E4695="","",IFERROR(VLOOKUP(E4695,Assumptions!$G$5:$H$16,2,0),"Other"))</f>
        <v/>
      </c>
      <c r="J4695" s="41" t="str">
        <f aca="false">IF(G4695="","",IFERROR(IF(ISNUMBER(SEARCH(Assumptions!$C$5,G4695)),Assumptions!$D$5,IF(ISNUMBER(SEARCH(Assumptions!$C$6,G4695)),Assumptions!$D$6,IF(ISNUMBER(SEARCH(Assumptions!$C$7,G4695)),Assumptions!$D$7,"Other Services"))),"Other Services"))</f>
        <v/>
      </c>
    </row>
    <row r="4696" customFormat="false" ht="15" hidden="false" customHeight="false" outlineLevel="0" collapsed="false">
      <c r="F4696" s="41" t="str">
        <f aca="false">IF(E4696="","",IFERROR(VLOOKUP(E4696,Assumptions!$G$5:$H$16,2,0),"Other"))</f>
        <v/>
      </c>
      <c r="J4696" s="41" t="str">
        <f aca="false">IF(G4696="","",IFERROR(IF(ISNUMBER(SEARCH(Assumptions!$C$5,G4696)),Assumptions!$D$5,IF(ISNUMBER(SEARCH(Assumptions!$C$6,G4696)),Assumptions!$D$6,IF(ISNUMBER(SEARCH(Assumptions!$C$7,G4696)),Assumptions!$D$7,"Other Services"))),"Other Services"))</f>
        <v/>
      </c>
    </row>
    <row r="4697" customFormat="false" ht="15" hidden="false" customHeight="false" outlineLevel="0" collapsed="false">
      <c r="F4697" s="41" t="str">
        <f aca="false">IF(E4697="","",IFERROR(VLOOKUP(E4697,Assumptions!$G$5:$H$16,2,0),"Other"))</f>
        <v/>
      </c>
      <c r="J4697" s="41" t="str">
        <f aca="false">IF(G4697="","",IFERROR(IF(ISNUMBER(SEARCH(Assumptions!$C$5,G4697)),Assumptions!$D$5,IF(ISNUMBER(SEARCH(Assumptions!$C$6,G4697)),Assumptions!$D$6,IF(ISNUMBER(SEARCH(Assumptions!$C$7,G4697)),Assumptions!$D$7,"Other Services"))),"Other Services"))</f>
        <v/>
      </c>
    </row>
    <row r="4698" customFormat="false" ht="15" hidden="false" customHeight="false" outlineLevel="0" collapsed="false">
      <c r="F4698" s="41" t="str">
        <f aca="false">IF(E4698="","",IFERROR(VLOOKUP(E4698,Assumptions!$G$5:$H$16,2,0),"Other"))</f>
        <v/>
      </c>
      <c r="J4698" s="41" t="str">
        <f aca="false">IF(G4698="","",IFERROR(IF(ISNUMBER(SEARCH(Assumptions!$C$5,G4698)),Assumptions!$D$5,IF(ISNUMBER(SEARCH(Assumptions!$C$6,G4698)),Assumptions!$D$6,IF(ISNUMBER(SEARCH(Assumptions!$C$7,G4698)),Assumptions!$D$7,"Other Services"))),"Other Services"))</f>
        <v/>
      </c>
    </row>
    <row r="4699" customFormat="false" ht="15" hidden="false" customHeight="false" outlineLevel="0" collapsed="false">
      <c r="F4699" s="41" t="str">
        <f aca="false">IF(E4699="","",IFERROR(VLOOKUP(E4699,Assumptions!$G$5:$H$16,2,0),"Other"))</f>
        <v/>
      </c>
      <c r="J4699" s="41" t="str">
        <f aca="false">IF(G4699="","",IFERROR(IF(ISNUMBER(SEARCH(Assumptions!$C$5,G4699)),Assumptions!$D$5,IF(ISNUMBER(SEARCH(Assumptions!$C$6,G4699)),Assumptions!$D$6,IF(ISNUMBER(SEARCH(Assumptions!$C$7,G4699)),Assumptions!$D$7,"Other Services"))),"Other Services"))</f>
        <v/>
      </c>
    </row>
    <row r="4700" customFormat="false" ht="15" hidden="false" customHeight="false" outlineLevel="0" collapsed="false">
      <c r="F4700" s="41" t="str">
        <f aca="false">IF(E4700="","",IFERROR(VLOOKUP(E4700,Assumptions!$G$5:$H$16,2,0),"Other"))</f>
        <v/>
      </c>
      <c r="J4700" s="41" t="str">
        <f aca="false">IF(G4700="","",IFERROR(IF(ISNUMBER(SEARCH(Assumptions!$C$5,G4700)),Assumptions!$D$5,IF(ISNUMBER(SEARCH(Assumptions!$C$6,G4700)),Assumptions!$D$6,IF(ISNUMBER(SEARCH(Assumptions!$C$7,G4700)),Assumptions!$D$7,"Other Services"))),"Other Services"))</f>
        <v/>
      </c>
    </row>
    <row r="4701" customFormat="false" ht="15" hidden="false" customHeight="false" outlineLevel="0" collapsed="false">
      <c r="F4701" s="41" t="str">
        <f aca="false">IF(E4701="","",IFERROR(VLOOKUP(E4701,Assumptions!$G$5:$H$16,2,0),"Other"))</f>
        <v/>
      </c>
      <c r="J4701" s="41" t="str">
        <f aca="false">IF(G4701="","",IFERROR(IF(ISNUMBER(SEARCH(Assumptions!$C$5,G4701)),Assumptions!$D$5,IF(ISNUMBER(SEARCH(Assumptions!$C$6,G4701)),Assumptions!$D$6,IF(ISNUMBER(SEARCH(Assumptions!$C$7,G4701)),Assumptions!$D$7,"Other Services"))),"Other Services"))</f>
        <v/>
      </c>
    </row>
    <row r="4702" customFormat="false" ht="15" hidden="false" customHeight="false" outlineLevel="0" collapsed="false">
      <c r="F4702" s="41" t="str">
        <f aca="false">IF(E4702="","",IFERROR(VLOOKUP(E4702,Assumptions!$G$5:$H$16,2,0),"Other"))</f>
        <v/>
      </c>
      <c r="J4702" s="41" t="str">
        <f aca="false">IF(G4702="","",IFERROR(IF(ISNUMBER(SEARCH(Assumptions!$C$5,G4702)),Assumptions!$D$5,IF(ISNUMBER(SEARCH(Assumptions!$C$6,G4702)),Assumptions!$D$6,IF(ISNUMBER(SEARCH(Assumptions!$C$7,G4702)),Assumptions!$D$7,"Other Services"))),"Other Services"))</f>
        <v/>
      </c>
    </row>
    <row r="4703" customFormat="false" ht="15" hidden="false" customHeight="false" outlineLevel="0" collapsed="false">
      <c r="F4703" s="41" t="str">
        <f aca="false">IF(E4703="","",IFERROR(VLOOKUP(E4703,Assumptions!$G$5:$H$16,2,0),"Other"))</f>
        <v/>
      </c>
      <c r="J4703" s="41" t="str">
        <f aca="false">IF(G4703="","",IFERROR(IF(ISNUMBER(SEARCH(Assumptions!$C$5,G4703)),Assumptions!$D$5,IF(ISNUMBER(SEARCH(Assumptions!$C$6,G4703)),Assumptions!$D$6,IF(ISNUMBER(SEARCH(Assumptions!$C$7,G4703)),Assumptions!$D$7,"Other Services"))),"Other Services"))</f>
        <v/>
      </c>
    </row>
    <row r="4704" customFormat="false" ht="15" hidden="false" customHeight="false" outlineLevel="0" collapsed="false">
      <c r="F4704" s="41" t="str">
        <f aca="false">IF(E4704="","",IFERROR(VLOOKUP(E4704,Assumptions!$G$5:$H$16,2,0),"Other"))</f>
        <v/>
      </c>
      <c r="J4704" s="41" t="str">
        <f aca="false">IF(G4704="","",IFERROR(IF(ISNUMBER(SEARCH(Assumptions!$C$5,G4704)),Assumptions!$D$5,IF(ISNUMBER(SEARCH(Assumptions!$C$6,G4704)),Assumptions!$D$6,IF(ISNUMBER(SEARCH(Assumptions!$C$7,G4704)),Assumptions!$D$7,"Other Services"))),"Other Services"))</f>
        <v/>
      </c>
    </row>
    <row r="4705" customFormat="false" ht="15" hidden="false" customHeight="false" outlineLevel="0" collapsed="false">
      <c r="F4705" s="41" t="str">
        <f aca="false">IF(E4705="","",IFERROR(VLOOKUP(E4705,Assumptions!$G$5:$H$16,2,0),"Other"))</f>
        <v/>
      </c>
      <c r="J4705" s="41" t="str">
        <f aca="false">IF(G4705="","",IFERROR(IF(ISNUMBER(SEARCH(Assumptions!$C$5,G4705)),Assumptions!$D$5,IF(ISNUMBER(SEARCH(Assumptions!$C$6,G4705)),Assumptions!$D$6,IF(ISNUMBER(SEARCH(Assumptions!$C$7,G4705)),Assumptions!$D$7,"Other Services"))),"Other Services"))</f>
        <v/>
      </c>
    </row>
    <row r="4706" customFormat="false" ht="15" hidden="false" customHeight="false" outlineLevel="0" collapsed="false">
      <c r="F4706" s="41" t="str">
        <f aca="false">IF(E4706="","",IFERROR(VLOOKUP(E4706,Assumptions!$G$5:$H$16,2,0),"Other"))</f>
        <v/>
      </c>
      <c r="J4706" s="41" t="str">
        <f aca="false">IF(G4706="","",IFERROR(IF(ISNUMBER(SEARCH(Assumptions!$C$5,G4706)),Assumptions!$D$5,IF(ISNUMBER(SEARCH(Assumptions!$C$6,G4706)),Assumptions!$D$6,IF(ISNUMBER(SEARCH(Assumptions!$C$7,G4706)),Assumptions!$D$7,"Other Services"))),"Other Services"))</f>
        <v/>
      </c>
    </row>
    <row r="4707" customFormat="false" ht="15" hidden="false" customHeight="false" outlineLevel="0" collapsed="false">
      <c r="F4707" s="41" t="str">
        <f aca="false">IF(E4707="","",IFERROR(VLOOKUP(E4707,Assumptions!$G$5:$H$16,2,0),"Other"))</f>
        <v/>
      </c>
      <c r="J4707" s="41" t="str">
        <f aca="false">IF(G4707="","",IFERROR(IF(ISNUMBER(SEARCH(Assumptions!$C$5,G4707)),Assumptions!$D$5,IF(ISNUMBER(SEARCH(Assumptions!$C$6,G4707)),Assumptions!$D$6,IF(ISNUMBER(SEARCH(Assumptions!$C$7,G4707)),Assumptions!$D$7,"Other Services"))),"Other Services"))</f>
        <v/>
      </c>
    </row>
    <row r="4708" customFormat="false" ht="15" hidden="false" customHeight="false" outlineLevel="0" collapsed="false">
      <c r="F4708" s="41" t="str">
        <f aca="false">IF(E4708="","",IFERROR(VLOOKUP(E4708,Assumptions!$G$5:$H$16,2,0),"Other"))</f>
        <v/>
      </c>
      <c r="J4708" s="41" t="str">
        <f aca="false">IF(G4708="","",IFERROR(IF(ISNUMBER(SEARCH(Assumptions!$C$5,G4708)),Assumptions!$D$5,IF(ISNUMBER(SEARCH(Assumptions!$C$6,G4708)),Assumptions!$D$6,IF(ISNUMBER(SEARCH(Assumptions!$C$7,G4708)),Assumptions!$D$7,"Other Services"))),"Other Services"))</f>
        <v/>
      </c>
    </row>
    <row r="4709" customFormat="false" ht="15" hidden="false" customHeight="false" outlineLevel="0" collapsed="false">
      <c r="F4709" s="41" t="str">
        <f aca="false">IF(E4709="","",IFERROR(VLOOKUP(E4709,Assumptions!$G$5:$H$16,2,0),"Other"))</f>
        <v/>
      </c>
      <c r="J4709" s="41" t="str">
        <f aca="false">IF(G4709="","",IFERROR(IF(ISNUMBER(SEARCH(Assumptions!$C$5,G4709)),Assumptions!$D$5,IF(ISNUMBER(SEARCH(Assumptions!$C$6,G4709)),Assumptions!$D$6,IF(ISNUMBER(SEARCH(Assumptions!$C$7,G4709)),Assumptions!$D$7,"Other Services"))),"Other Services"))</f>
        <v/>
      </c>
    </row>
    <row r="4710" customFormat="false" ht="15" hidden="false" customHeight="false" outlineLevel="0" collapsed="false">
      <c r="F4710" s="41" t="str">
        <f aca="false">IF(E4710="","",IFERROR(VLOOKUP(E4710,Assumptions!$G$5:$H$16,2,0),"Other"))</f>
        <v/>
      </c>
      <c r="J4710" s="41" t="str">
        <f aca="false">IF(G4710="","",IFERROR(IF(ISNUMBER(SEARCH(Assumptions!$C$5,G4710)),Assumptions!$D$5,IF(ISNUMBER(SEARCH(Assumptions!$C$6,G4710)),Assumptions!$D$6,IF(ISNUMBER(SEARCH(Assumptions!$C$7,G4710)),Assumptions!$D$7,"Other Services"))),"Other Services"))</f>
        <v/>
      </c>
    </row>
    <row r="4711" customFormat="false" ht="15" hidden="false" customHeight="false" outlineLevel="0" collapsed="false">
      <c r="F4711" s="41" t="str">
        <f aca="false">IF(E4711="","",IFERROR(VLOOKUP(E4711,Assumptions!$G$5:$H$16,2,0),"Other"))</f>
        <v/>
      </c>
      <c r="J4711" s="41" t="str">
        <f aca="false">IF(G4711="","",IFERROR(IF(ISNUMBER(SEARCH(Assumptions!$C$5,G4711)),Assumptions!$D$5,IF(ISNUMBER(SEARCH(Assumptions!$C$6,G4711)),Assumptions!$D$6,IF(ISNUMBER(SEARCH(Assumptions!$C$7,G4711)),Assumptions!$D$7,"Other Services"))),"Other Services"))</f>
        <v/>
      </c>
    </row>
    <row r="4712" customFormat="false" ht="15" hidden="false" customHeight="false" outlineLevel="0" collapsed="false">
      <c r="F4712" s="41" t="str">
        <f aca="false">IF(E4712="","",IFERROR(VLOOKUP(E4712,Assumptions!$G$5:$H$16,2,0),"Other"))</f>
        <v/>
      </c>
      <c r="J4712" s="41" t="str">
        <f aca="false">IF(G4712="","",IFERROR(IF(ISNUMBER(SEARCH(Assumptions!$C$5,G4712)),Assumptions!$D$5,IF(ISNUMBER(SEARCH(Assumptions!$C$6,G4712)),Assumptions!$D$6,IF(ISNUMBER(SEARCH(Assumptions!$C$7,G4712)),Assumptions!$D$7,"Other Services"))),"Other Services"))</f>
        <v/>
      </c>
    </row>
    <row r="4713" customFormat="false" ht="15" hidden="false" customHeight="false" outlineLevel="0" collapsed="false">
      <c r="F4713" s="41" t="str">
        <f aca="false">IF(E4713="","",IFERROR(VLOOKUP(E4713,Assumptions!$G$5:$H$16,2,0),"Other"))</f>
        <v/>
      </c>
      <c r="J4713" s="41" t="str">
        <f aca="false">IF(G4713="","",IFERROR(IF(ISNUMBER(SEARCH(Assumptions!$C$5,G4713)),Assumptions!$D$5,IF(ISNUMBER(SEARCH(Assumptions!$C$6,G4713)),Assumptions!$D$6,IF(ISNUMBER(SEARCH(Assumptions!$C$7,G4713)),Assumptions!$D$7,"Other Services"))),"Other Services"))</f>
        <v/>
      </c>
    </row>
    <row r="4714" customFormat="false" ht="15" hidden="false" customHeight="false" outlineLevel="0" collapsed="false">
      <c r="F4714" s="41" t="str">
        <f aca="false">IF(E4714="","",IFERROR(VLOOKUP(E4714,Assumptions!$G$5:$H$16,2,0),"Other"))</f>
        <v/>
      </c>
      <c r="J4714" s="41" t="str">
        <f aca="false">IF(G4714="","",IFERROR(IF(ISNUMBER(SEARCH(Assumptions!$C$5,G4714)),Assumptions!$D$5,IF(ISNUMBER(SEARCH(Assumptions!$C$6,G4714)),Assumptions!$D$6,IF(ISNUMBER(SEARCH(Assumptions!$C$7,G4714)),Assumptions!$D$7,"Other Services"))),"Other Services"))</f>
        <v/>
      </c>
    </row>
    <row r="4715" customFormat="false" ht="15" hidden="false" customHeight="false" outlineLevel="0" collapsed="false">
      <c r="F4715" s="41" t="str">
        <f aca="false">IF(E4715="","",IFERROR(VLOOKUP(E4715,Assumptions!$G$5:$H$16,2,0),"Other"))</f>
        <v/>
      </c>
      <c r="J4715" s="41" t="str">
        <f aca="false">IF(G4715="","",IFERROR(IF(ISNUMBER(SEARCH(Assumptions!$C$5,G4715)),Assumptions!$D$5,IF(ISNUMBER(SEARCH(Assumptions!$C$6,G4715)),Assumptions!$D$6,IF(ISNUMBER(SEARCH(Assumptions!$C$7,G4715)),Assumptions!$D$7,"Other Services"))),"Other Services"))</f>
        <v/>
      </c>
    </row>
    <row r="4716" customFormat="false" ht="15" hidden="false" customHeight="false" outlineLevel="0" collapsed="false">
      <c r="F4716" s="41" t="str">
        <f aca="false">IF(E4716="","",IFERROR(VLOOKUP(E4716,Assumptions!$G$5:$H$16,2,0),"Other"))</f>
        <v/>
      </c>
      <c r="J4716" s="41" t="str">
        <f aca="false">IF(G4716="","",IFERROR(IF(ISNUMBER(SEARCH(Assumptions!$C$5,G4716)),Assumptions!$D$5,IF(ISNUMBER(SEARCH(Assumptions!$C$6,G4716)),Assumptions!$D$6,IF(ISNUMBER(SEARCH(Assumptions!$C$7,G4716)),Assumptions!$D$7,"Other Services"))),"Other Services"))</f>
        <v/>
      </c>
    </row>
    <row r="4717" customFormat="false" ht="15" hidden="false" customHeight="false" outlineLevel="0" collapsed="false">
      <c r="F4717" s="41" t="str">
        <f aca="false">IF(E4717="","",IFERROR(VLOOKUP(E4717,Assumptions!$G$5:$H$16,2,0),"Other"))</f>
        <v/>
      </c>
      <c r="J4717" s="41" t="str">
        <f aca="false">IF(G4717="","",IFERROR(IF(ISNUMBER(SEARCH(Assumptions!$C$5,G4717)),Assumptions!$D$5,IF(ISNUMBER(SEARCH(Assumptions!$C$6,G4717)),Assumptions!$D$6,IF(ISNUMBER(SEARCH(Assumptions!$C$7,G4717)),Assumptions!$D$7,"Other Services"))),"Other Services"))</f>
        <v/>
      </c>
    </row>
    <row r="4718" customFormat="false" ht="15" hidden="false" customHeight="false" outlineLevel="0" collapsed="false">
      <c r="F4718" s="41" t="str">
        <f aca="false">IF(E4718="","",IFERROR(VLOOKUP(E4718,Assumptions!$G$5:$H$16,2,0),"Other"))</f>
        <v/>
      </c>
      <c r="J4718" s="41" t="str">
        <f aca="false">IF(G4718="","",IFERROR(IF(ISNUMBER(SEARCH(Assumptions!$C$5,G4718)),Assumptions!$D$5,IF(ISNUMBER(SEARCH(Assumptions!$C$6,G4718)),Assumptions!$D$6,IF(ISNUMBER(SEARCH(Assumptions!$C$7,G4718)),Assumptions!$D$7,"Other Services"))),"Other Services"))</f>
        <v/>
      </c>
    </row>
    <row r="4719" customFormat="false" ht="15" hidden="false" customHeight="false" outlineLevel="0" collapsed="false">
      <c r="F4719" s="41" t="str">
        <f aca="false">IF(E4719="","",IFERROR(VLOOKUP(E4719,Assumptions!$G$5:$H$16,2,0),"Other"))</f>
        <v/>
      </c>
      <c r="J4719" s="41" t="str">
        <f aca="false">IF(G4719="","",IFERROR(IF(ISNUMBER(SEARCH(Assumptions!$C$5,G4719)),Assumptions!$D$5,IF(ISNUMBER(SEARCH(Assumptions!$C$6,G4719)),Assumptions!$D$6,IF(ISNUMBER(SEARCH(Assumptions!$C$7,G4719)),Assumptions!$D$7,"Other Services"))),"Other Services"))</f>
        <v/>
      </c>
    </row>
    <row r="4720" customFormat="false" ht="15" hidden="false" customHeight="false" outlineLevel="0" collapsed="false">
      <c r="F4720" s="41" t="str">
        <f aca="false">IF(E4720="","",IFERROR(VLOOKUP(E4720,Assumptions!$G$5:$H$16,2,0),"Other"))</f>
        <v/>
      </c>
      <c r="J4720" s="41" t="str">
        <f aca="false">IF(G4720="","",IFERROR(IF(ISNUMBER(SEARCH(Assumptions!$C$5,G4720)),Assumptions!$D$5,IF(ISNUMBER(SEARCH(Assumptions!$C$6,G4720)),Assumptions!$D$6,IF(ISNUMBER(SEARCH(Assumptions!$C$7,G4720)),Assumptions!$D$7,"Other Services"))),"Other Services"))</f>
        <v/>
      </c>
    </row>
    <row r="4721" customFormat="false" ht="15" hidden="false" customHeight="false" outlineLevel="0" collapsed="false">
      <c r="F4721" s="41" t="str">
        <f aca="false">IF(E4721="","",IFERROR(VLOOKUP(E4721,Assumptions!$G$5:$H$16,2,0),"Other"))</f>
        <v/>
      </c>
      <c r="J4721" s="41" t="str">
        <f aca="false">IF(G4721="","",IFERROR(IF(ISNUMBER(SEARCH(Assumptions!$C$5,G4721)),Assumptions!$D$5,IF(ISNUMBER(SEARCH(Assumptions!$C$6,G4721)),Assumptions!$D$6,IF(ISNUMBER(SEARCH(Assumptions!$C$7,G4721)),Assumptions!$D$7,"Other Services"))),"Other Services"))</f>
        <v/>
      </c>
    </row>
    <row r="4722" customFormat="false" ht="15" hidden="false" customHeight="false" outlineLevel="0" collapsed="false">
      <c r="F4722" s="41" t="str">
        <f aca="false">IF(E4722="","",IFERROR(VLOOKUP(E4722,Assumptions!$G$5:$H$16,2,0),"Other"))</f>
        <v/>
      </c>
      <c r="J4722" s="41" t="str">
        <f aca="false">IF(G4722="","",IFERROR(IF(ISNUMBER(SEARCH(Assumptions!$C$5,G4722)),Assumptions!$D$5,IF(ISNUMBER(SEARCH(Assumptions!$C$6,G4722)),Assumptions!$D$6,IF(ISNUMBER(SEARCH(Assumptions!$C$7,G4722)),Assumptions!$D$7,"Other Services"))),"Other Services"))</f>
        <v/>
      </c>
    </row>
    <row r="4723" customFormat="false" ht="15" hidden="false" customHeight="false" outlineLevel="0" collapsed="false">
      <c r="F4723" s="41" t="str">
        <f aca="false">IF(E4723="","",IFERROR(VLOOKUP(E4723,Assumptions!$G$5:$H$16,2,0),"Other"))</f>
        <v/>
      </c>
      <c r="J4723" s="41" t="str">
        <f aca="false">IF(G4723="","",IFERROR(IF(ISNUMBER(SEARCH(Assumptions!$C$5,G4723)),Assumptions!$D$5,IF(ISNUMBER(SEARCH(Assumptions!$C$6,G4723)),Assumptions!$D$6,IF(ISNUMBER(SEARCH(Assumptions!$C$7,G4723)),Assumptions!$D$7,"Other Services"))),"Other Services"))</f>
        <v/>
      </c>
    </row>
    <row r="4724" customFormat="false" ht="15" hidden="false" customHeight="false" outlineLevel="0" collapsed="false">
      <c r="F4724" s="41" t="str">
        <f aca="false">IF(E4724="","",IFERROR(VLOOKUP(E4724,Assumptions!$G$5:$H$16,2,0),"Other"))</f>
        <v/>
      </c>
      <c r="J4724" s="41" t="str">
        <f aca="false">IF(G4724="","",IFERROR(IF(ISNUMBER(SEARCH(Assumptions!$C$5,G4724)),Assumptions!$D$5,IF(ISNUMBER(SEARCH(Assumptions!$C$6,G4724)),Assumptions!$D$6,IF(ISNUMBER(SEARCH(Assumptions!$C$7,G4724)),Assumptions!$D$7,"Other Services"))),"Other Services"))</f>
        <v/>
      </c>
    </row>
    <row r="4725" customFormat="false" ht="15" hidden="false" customHeight="false" outlineLevel="0" collapsed="false">
      <c r="F4725" s="41" t="str">
        <f aca="false">IF(E4725="","",IFERROR(VLOOKUP(E4725,Assumptions!$G$5:$H$16,2,0),"Other"))</f>
        <v/>
      </c>
      <c r="J4725" s="41" t="str">
        <f aca="false">IF(G4725="","",IFERROR(IF(ISNUMBER(SEARCH(Assumptions!$C$5,G4725)),Assumptions!$D$5,IF(ISNUMBER(SEARCH(Assumptions!$C$6,G4725)),Assumptions!$D$6,IF(ISNUMBER(SEARCH(Assumptions!$C$7,G4725)),Assumptions!$D$7,"Other Services"))),"Other Services"))</f>
        <v/>
      </c>
    </row>
    <row r="4726" customFormat="false" ht="15" hidden="false" customHeight="false" outlineLevel="0" collapsed="false">
      <c r="F4726" s="41" t="str">
        <f aca="false">IF(E4726="","",IFERROR(VLOOKUP(E4726,Assumptions!$G$5:$H$16,2,0),"Other"))</f>
        <v/>
      </c>
      <c r="J4726" s="41" t="str">
        <f aca="false">IF(G4726="","",IFERROR(IF(ISNUMBER(SEARCH(Assumptions!$C$5,G4726)),Assumptions!$D$5,IF(ISNUMBER(SEARCH(Assumptions!$C$6,G4726)),Assumptions!$D$6,IF(ISNUMBER(SEARCH(Assumptions!$C$7,G4726)),Assumptions!$D$7,"Other Services"))),"Other Services"))</f>
        <v/>
      </c>
    </row>
    <row r="4727" customFormat="false" ht="15" hidden="false" customHeight="false" outlineLevel="0" collapsed="false">
      <c r="F4727" s="41" t="str">
        <f aca="false">IF(E4727="","",IFERROR(VLOOKUP(E4727,Assumptions!$G$5:$H$16,2,0),"Other"))</f>
        <v/>
      </c>
      <c r="J4727" s="41" t="str">
        <f aca="false">IF(G4727="","",IFERROR(IF(ISNUMBER(SEARCH(Assumptions!$C$5,G4727)),Assumptions!$D$5,IF(ISNUMBER(SEARCH(Assumptions!$C$6,G4727)),Assumptions!$D$6,IF(ISNUMBER(SEARCH(Assumptions!$C$7,G4727)),Assumptions!$D$7,"Other Services"))),"Other Services"))</f>
        <v/>
      </c>
    </row>
    <row r="4728" customFormat="false" ht="15" hidden="false" customHeight="false" outlineLevel="0" collapsed="false">
      <c r="F4728" s="41" t="str">
        <f aca="false">IF(E4728="","",IFERROR(VLOOKUP(E4728,Assumptions!$G$5:$H$16,2,0),"Other"))</f>
        <v/>
      </c>
      <c r="J4728" s="41" t="str">
        <f aca="false">IF(G4728="","",IFERROR(IF(ISNUMBER(SEARCH(Assumptions!$C$5,G4728)),Assumptions!$D$5,IF(ISNUMBER(SEARCH(Assumptions!$C$6,G4728)),Assumptions!$D$6,IF(ISNUMBER(SEARCH(Assumptions!$C$7,G4728)),Assumptions!$D$7,"Other Services"))),"Other Services"))</f>
        <v/>
      </c>
    </row>
    <row r="4729" customFormat="false" ht="15" hidden="false" customHeight="false" outlineLevel="0" collapsed="false">
      <c r="F4729" s="41" t="str">
        <f aca="false">IF(E4729="","",IFERROR(VLOOKUP(E4729,Assumptions!$G$5:$H$16,2,0),"Other"))</f>
        <v/>
      </c>
      <c r="J4729" s="41" t="str">
        <f aca="false">IF(G4729="","",IFERROR(IF(ISNUMBER(SEARCH(Assumptions!$C$5,G4729)),Assumptions!$D$5,IF(ISNUMBER(SEARCH(Assumptions!$C$6,G4729)),Assumptions!$D$6,IF(ISNUMBER(SEARCH(Assumptions!$C$7,G4729)),Assumptions!$D$7,"Other Services"))),"Other Services"))</f>
        <v/>
      </c>
    </row>
    <row r="4730" customFormat="false" ht="15" hidden="false" customHeight="false" outlineLevel="0" collapsed="false">
      <c r="F4730" s="41" t="str">
        <f aca="false">IF(E4730="","",IFERROR(VLOOKUP(E4730,Assumptions!$G$5:$H$16,2,0),"Other"))</f>
        <v/>
      </c>
      <c r="J4730" s="41" t="str">
        <f aca="false">IF(G4730="","",IFERROR(IF(ISNUMBER(SEARCH(Assumptions!$C$5,G4730)),Assumptions!$D$5,IF(ISNUMBER(SEARCH(Assumptions!$C$6,G4730)),Assumptions!$D$6,IF(ISNUMBER(SEARCH(Assumptions!$C$7,G4730)),Assumptions!$D$7,"Other Services"))),"Other Services"))</f>
        <v/>
      </c>
    </row>
    <row r="4731" customFormat="false" ht="15" hidden="false" customHeight="false" outlineLevel="0" collapsed="false">
      <c r="F4731" s="41" t="str">
        <f aca="false">IF(E4731="","",IFERROR(VLOOKUP(E4731,Assumptions!$G$5:$H$16,2,0),"Other"))</f>
        <v/>
      </c>
      <c r="J4731" s="41" t="str">
        <f aca="false">IF(G4731="","",IFERROR(IF(ISNUMBER(SEARCH(Assumptions!$C$5,G4731)),Assumptions!$D$5,IF(ISNUMBER(SEARCH(Assumptions!$C$6,G4731)),Assumptions!$D$6,IF(ISNUMBER(SEARCH(Assumptions!$C$7,G4731)),Assumptions!$D$7,"Other Services"))),"Other Services"))</f>
        <v/>
      </c>
    </row>
    <row r="4732" customFormat="false" ht="15" hidden="false" customHeight="false" outlineLevel="0" collapsed="false">
      <c r="F4732" s="41" t="str">
        <f aca="false">IF(E4732="","",IFERROR(VLOOKUP(E4732,Assumptions!$G$5:$H$16,2,0),"Other"))</f>
        <v/>
      </c>
      <c r="J4732" s="41" t="str">
        <f aca="false">IF(G4732="","",IFERROR(IF(ISNUMBER(SEARCH(Assumptions!$C$5,G4732)),Assumptions!$D$5,IF(ISNUMBER(SEARCH(Assumptions!$C$6,G4732)),Assumptions!$D$6,IF(ISNUMBER(SEARCH(Assumptions!$C$7,G4732)),Assumptions!$D$7,"Other Services"))),"Other Services"))</f>
        <v/>
      </c>
    </row>
    <row r="4733" customFormat="false" ht="15" hidden="false" customHeight="false" outlineLevel="0" collapsed="false">
      <c r="F4733" s="41" t="str">
        <f aca="false">IF(E4733="","",IFERROR(VLOOKUP(E4733,Assumptions!$G$5:$H$16,2,0),"Other"))</f>
        <v/>
      </c>
      <c r="J4733" s="41" t="str">
        <f aca="false">IF(G4733="","",IFERROR(IF(ISNUMBER(SEARCH(Assumptions!$C$5,G4733)),Assumptions!$D$5,IF(ISNUMBER(SEARCH(Assumptions!$C$6,G4733)),Assumptions!$D$6,IF(ISNUMBER(SEARCH(Assumptions!$C$7,G4733)),Assumptions!$D$7,"Other Services"))),"Other Services"))</f>
        <v/>
      </c>
    </row>
    <row r="4734" customFormat="false" ht="15" hidden="false" customHeight="false" outlineLevel="0" collapsed="false">
      <c r="F4734" s="41" t="str">
        <f aca="false">IF(E4734="","",IFERROR(VLOOKUP(E4734,Assumptions!$G$5:$H$16,2,0),"Other"))</f>
        <v/>
      </c>
      <c r="J4734" s="41" t="str">
        <f aca="false">IF(G4734="","",IFERROR(IF(ISNUMBER(SEARCH(Assumptions!$C$5,G4734)),Assumptions!$D$5,IF(ISNUMBER(SEARCH(Assumptions!$C$6,G4734)),Assumptions!$D$6,IF(ISNUMBER(SEARCH(Assumptions!$C$7,G4734)),Assumptions!$D$7,"Other Services"))),"Other Services"))</f>
        <v/>
      </c>
    </row>
    <row r="4735" customFormat="false" ht="15" hidden="false" customHeight="false" outlineLevel="0" collapsed="false">
      <c r="F4735" s="41" t="str">
        <f aca="false">IF(E4735="","",IFERROR(VLOOKUP(E4735,Assumptions!$G$5:$H$16,2,0),"Other"))</f>
        <v/>
      </c>
      <c r="J4735" s="41" t="str">
        <f aca="false">IF(G4735="","",IFERROR(IF(ISNUMBER(SEARCH(Assumptions!$C$5,G4735)),Assumptions!$D$5,IF(ISNUMBER(SEARCH(Assumptions!$C$6,G4735)),Assumptions!$D$6,IF(ISNUMBER(SEARCH(Assumptions!$C$7,G4735)),Assumptions!$D$7,"Other Services"))),"Other Services"))</f>
        <v/>
      </c>
    </row>
    <row r="4736" customFormat="false" ht="15" hidden="false" customHeight="false" outlineLevel="0" collapsed="false">
      <c r="F4736" s="41" t="str">
        <f aca="false">IF(E4736="","",IFERROR(VLOOKUP(E4736,Assumptions!$G$5:$H$16,2,0),"Other"))</f>
        <v/>
      </c>
      <c r="J4736" s="41" t="str">
        <f aca="false">IF(G4736="","",IFERROR(IF(ISNUMBER(SEARCH(Assumptions!$C$5,G4736)),Assumptions!$D$5,IF(ISNUMBER(SEARCH(Assumptions!$C$6,G4736)),Assumptions!$D$6,IF(ISNUMBER(SEARCH(Assumptions!$C$7,G4736)),Assumptions!$D$7,"Other Services"))),"Other Services"))</f>
        <v/>
      </c>
    </row>
    <row r="4737" customFormat="false" ht="15" hidden="false" customHeight="false" outlineLevel="0" collapsed="false">
      <c r="F4737" s="41" t="str">
        <f aca="false">IF(E4737="","",IFERROR(VLOOKUP(E4737,Assumptions!$G$5:$H$16,2,0),"Other"))</f>
        <v/>
      </c>
      <c r="J4737" s="41" t="str">
        <f aca="false">IF(G4737="","",IFERROR(IF(ISNUMBER(SEARCH(Assumptions!$C$5,G4737)),Assumptions!$D$5,IF(ISNUMBER(SEARCH(Assumptions!$C$6,G4737)),Assumptions!$D$6,IF(ISNUMBER(SEARCH(Assumptions!$C$7,G4737)),Assumptions!$D$7,"Other Services"))),"Other Services"))</f>
        <v/>
      </c>
    </row>
    <row r="4738" customFormat="false" ht="15" hidden="false" customHeight="false" outlineLevel="0" collapsed="false">
      <c r="F4738" s="41" t="str">
        <f aca="false">IF(E4738="","",IFERROR(VLOOKUP(E4738,Assumptions!$G$5:$H$16,2,0),"Other"))</f>
        <v/>
      </c>
      <c r="J4738" s="41" t="str">
        <f aca="false">IF(G4738="","",IFERROR(IF(ISNUMBER(SEARCH(Assumptions!$C$5,G4738)),Assumptions!$D$5,IF(ISNUMBER(SEARCH(Assumptions!$C$6,G4738)),Assumptions!$D$6,IF(ISNUMBER(SEARCH(Assumptions!$C$7,G4738)),Assumptions!$D$7,"Other Services"))),"Other Services"))</f>
        <v/>
      </c>
    </row>
    <row r="4739" customFormat="false" ht="15" hidden="false" customHeight="false" outlineLevel="0" collapsed="false">
      <c r="F4739" s="41" t="str">
        <f aca="false">IF(E4739="","",IFERROR(VLOOKUP(E4739,Assumptions!$G$5:$H$16,2,0),"Other"))</f>
        <v/>
      </c>
      <c r="J4739" s="41" t="str">
        <f aca="false">IF(G4739="","",IFERROR(IF(ISNUMBER(SEARCH(Assumptions!$C$5,G4739)),Assumptions!$D$5,IF(ISNUMBER(SEARCH(Assumptions!$C$6,G4739)),Assumptions!$D$6,IF(ISNUMBER(SEARCH(Assumptions!$C$7,G4739)),Assumptions!$D$7,"Other Services"))),"Other Services"))</f>
        <v/>
      </c>
    </row>
    <row r="4740" customFormat="false" ht="15" hidden="false" customHeight="false" outlineLevel="0" collapsed="false">
      <c r="F4740" s="41" t="str">
        <f aca="false">IF(E4740="","",IFERROR(VLOOKUP(E4740,Assumptions!$G$5:$H$16,2,0),"Other"))</f>
        <v/>
      </c>
      <c r="J4740" s="41" t="str">
        <f aca="false">IF(G4740="","",IFERROR(IF(ISNUMBER(SEARCH(Assumptions!$C$5,G4740)),Assumptions!$D$5,IF(ISNUMBER(SEARCH(Assumptions!$C$6,G4740)),Assumptions!$D$6,IF(ISNUMBER(SEARCH(Assumptions!$C$7,G4740)),Assumptions!$D$7,"Other Services"))),"Other Services"))</f>
        <v/>
      </c>
    </row>
    <row r="4741" customFormat="false" ht="15" hidden="false" customHeight="false" outlineLevel="0" collapsed="false">
      <c r="F4741" s="41" t="str">
        <f aca="false">IF(E4741="","",IFERROR(VLOOKUP(E4741,Assumptions!$G$5:$H$16,2,0),"Other"))</f>
        <v/>
      </c>
      <c r="J4741" s="41" t="str">
        <f aca="false">IF(G4741="","",IFERROR(IF(ISNUMBER(SEARCH(Assumptions!$C$5,G4741)),Assumptions!$D$5,IF(ISNUMBER(SEARCH(Assumptions!$C$6,G4741)),Assumptions!$D$6,IF(ISNUMBER(SEARCH(Assumptions!$C$7,G4741)),Assumptions!$D$7,"Other Services"))),"Other Services"))</f>
        <v/>
      </c>
    </row>
    <row r="4742" customFormat="false" ht="15" hidden="false" customHeight="false" outlineLevel="0" collapsed="false">
      <c r="F4742" s="41" t="str">
        <f aca="false">IF(E4742="","",IFERROR(VLOOKUP(E4742,Assumptions!$G$5:$H$16,2,0),"Other"))</f>
        <v/>
      </c>
      <c r="J4742" s="41" t="str">
        <f aca="false">IF(G4742="","",IFERROR(IF(ISNUMBER(SEARCH(Assumptions!$C$5,G4742)),Assumptions!$D$5,IF(ISNUMBER(SEARCH(Assumptions!$C$6,G4742)),Assumptions!$D$6,IF(ISNUMBER(SEARCH(Assumptions!$C$7,G4742)),Assumptions!$D$7,"Other Services"))),"Other Services"))</f>
        <v/>
      </c>
    </row>
    <row r="4743" customFormat="false" ht="15" hidden="false" customHeight="false" outlineLevel="0" collapsed="false">
      <c r="F4743" s="41" t="str">
        <f aca="false">IF(E4743="","",IFERROR(VLOOKUP(E4743,Assumptions!$G$5:$H$16,2,0),"Other"))</f>
        <v/>
      </c>
      <c r="J4743" s="41" t="str">
        <f aca="false">IF(G4743="","",IFERROR(IF(ISNUMBER(SEARCH(Assumptions!$C$5,G4743)),Assumptions!$D$5,IF(ISNUMBER(SEARCH(Assumptions!$C$6,G4743)),Assumptions!$D$6,IF(ISNUMBER(SEARCH(Assumptions!$C$7,G4743)),Assumptions!$D$7,"Other Services"))),"Other Services"))</f>
        <v/>
      </c>
    </row>
    <row r="4744" customFormat="false" ht="15" hidden="false" customHeight="false" outlineLevel="0" collapsed="false">
      <c r="F4744" s="41" t="str">
        <f aca="false">IF(E4744="","",IFERROR(VLOOKUP(E4744,Assumptions!$G$5:$H$16,2,0),"Other"))</f>
        <v/>
      </c>
      <c r="J4744" s="41" t="str">
        <f aca="false">IF(G4744="","",IFERROR(IF(ISNUMBER(SEARCH(Assumptions!$C$5,G4744)),Assumptions!$D$5,IF(ISNUMBER(SEARCH(Assumptions!$C$6,G4744)),Assumptions!$D$6,IF(ISNUMBER(SEARCH(Assumptions!$C$7,G4744)),Assumptions!$D$7,"Other Services"))),"Other Services"))</f>
        <v/>
      </c>
    </row>
    <row r="4745" customFormat="false" ht="15" hidden="false" customHeight="false" outlineLevel="0" collapsed="false">
      <c r="F4745" s="41" t="str">
        <f aca="false">IF(E4745="","",IFERROR(VLOOKUP(E4745,Assumptions!$G$5:$H$16,2,0),"Other"))</f>
        <v/>
      </c>
      <c r="J4745" s="41" t="str">
        <f aca="false">IF(G4745="","",IFERROR(IF(ISNUMBER(SEARCH(Assumptions!$C$5,G4745)),Assumptions!$D$5,IF(ISNUMBER(SEARCH(Assumptions!$C$6,G4745)),Assumptions!$D$6,IF(ISNUMBER(SEARCH(Assumptions!$C$7,G4745)),Assumptions!$D$7,"Other Services"))),"Other Services"))</f>
        <v/>
      </c>
    </row>
    <row r="4746" customFormat="false" ht="15" hidden="false" customHeight="false" outlineLevel="0" collapsed="false">
      <c r="F4746" s="41" t="str">
        <f aca="false">IF(E4746="","",IFERROR(VLOOKUP(E4746,Assumptions!$G$5:$H$16,2,0),"Other"))</f>
        <v/>
      </c>
      <c r="J4746" s="41" t="str">
        <f aca="false">IF(G4746="","",IFERROR(IF(ISNUMBER(SEARCH(Assumptions!$C$5,G4746)),Assumptions!$D$5,IF(ISNUMBER(SEARCH(Assumptions!$C$6,G4746)),Assumptions!$D$6,IF(ISNUMBER(SEARCH(Assumptions!$C$7,G4746)),Assumptions!$D$7,"Other Services"))),"Other Services"))</f>
        <v/>
      </c>
    </row>
    <row r="4747" customFormat="false" ht="15" hidden="false" customHeight="false" outlineLevel="0" collapsed="false">
      <c r="F4747" s="41" t="str">
        <f aca="false">IF(E4747="","",IFERROR(VLOOKUP(E4747,Assumptions!$G$5:$H$16,2,0),"Other"))</f>
        <v/>
      </c>
      <c r="J4747" s="41" t="str">
        <f aca="false">IF(G4747="","",IFERROR(IF(ISNUMBER(SEARCH(Assumptions!$C$5,G4747)),Assumptions!$D$5,IF(ISNUMBER(SEARCH(Assumptions!$C$6,G4747)),Assumptions!$D$6,IF(ISNUMBER(SEARCH(Assumptions!$C$7,G4747)),Assumptions!$D$7,"Other Services"))),"Other Services"))</f>
        <v/>
      </c>
    </row>
    <row r="4748" customFormat="false" ht="15" hidden="false" customHeight="false" outlineLevel="0" collapsed="false">
      <c r="F4748" s="41" t="str">
        <f aca="false">IF(E4748="","",IFERROR(VLOOKUP(E4748,Assumptions!$G$5:$H$16,2,0),"Other"))</f>
        <v/>
      </c>
      <c r="J4748" s="41" t="str">
        <f aca="false">IF(G4748="","",IFERROR(IF(ISNUMBER(SEARCH(Assumptions!$C$5,G4748)),Assumptions!$D$5,IF(ISNUMBER(SEARCH(Assumptions!$C$6,G4748)),Assumptions!$D$6,IF(ISNUMBER(SEARCH(Assumptions!$C$7,G4748)),Assumptions!$D$7,"Other Services"))),"Other Services"))</f>
        <v/>
      </c>
    </row>
    <row r="4749" customFormat="false" ht="15" hidden="false" customHeight="false" outlineLevel="0" collapsed="false">
      <c r="F4749" s="41" t="str">
        <f aca="false">IF(E4749="","",IFERROR(VLOOKUP(E4749,Assumptions!$G$5:$H$16,2,0),"Other"))</f>
        <v/>
      </c>
      <c r="J4749" s="41" t="str">
        <f aca="false">IF(G4749="","",IFERROR(IF(ISNUMBER(SEARCH(Assumptions!$C$5,G4749)),Assumptions!$D$5,IF(ISNUMBER(SEARCH(Assumptions!$C$6,G4749)),Assumptions!$D$6,IF(ISNUMBER(SEARCH(Assumptions!$C$7,G4749)),Assumptions!$D$7,"Other Services"))),"Other Services"))</f>
        <v/>
      </c>
    </row>
    <row r="4750" customFormat="false" ht="15" hidden="false" customHeight="false" outlineLevel="0" collapsed="false">
      <c r="F4750" s="41" t="str">
        <f aca="false">IF(E4750="","",IFERROR(VLOOKUP(E4750,Assumptions!$G$5:$H$16,2,0),"Other"))</f>
        <v/>
      </c>
      <c r="J4750" s="41" t="str">
        <f aca="false">IF(G4750="","",IFERROR(IF(ISNUMBER(SEARCH(Assumptions!$C$5,G4750)),Assumptions!$D$5,IF(ISNUMBER(SEARCH(Assumptions!$C$6,G4750)),Assumptions!$D$6,IF(ISNUMBER(SEARCH(Assumptions!$C$7,G4750)),Assumptions!$D$7,"Other Services"))),"Other Services"))</f>
        <v/>
      </c>
    </row>
    <row r="4751" customFormat="false" ht="15" hidden="false" customHeight="false" outlineLevel="0" collapsed="false">
      <c r="F4751" s="41" t="str">
        <f aca="false">IF(E4751="","",IFERROR(VLOOKUP(E4751,Assumptions!$G$5:$H$16,2,0),"Other"))</f>
        <v/>
      </c>
      <c r="J4751" s="41" t="str">
        <f aca="false">IF(G4751="","",IFERROR(IF(ISNUMBER(SEARCH(Assumptions!$C$5,G4751)),Assumptions!$D$5,IF(ISNUMBER(SEARCH(Assumptions!$C$6,G4751)),Assumptions!$D$6,IF(ISNUMBER(SEARCH(Assumptions!$C$7,G4751)),Assumptions!$D$7,"Other Services"))),"Other Services"))</f>
        <v/>
      </c>
    </row>
    <row r="4752" customFormat="false" ht="15" hidden="false" customHeight="false" outlineLevel="0" collapsed="false">
      <c r="F4752" s="41" t="str">
        <f aca="false">IF(E4752="","",IFERROR(VLOOKUP(E4752,Assumptions!$G$5:$H$16,2,0),"Other"))</f>
        <v/>
      </c>
      <c r="J4752" s="41" t="str">
        <f aca="false">IF(G4752="","",IFERROR(IF(ISNUMBER(SEARCH(Assumptions!$C$5,G4752)),Assumptions!$D$5,IF(ISNUMBER(SEARCH(Assumptions!$C$6,G4752)),Assumptions!$D$6,IF(ISNUMBER(SEARCH(Assumptions!$C$7,G4752)),Assumptions!$D$7,"Other Services"))),"Other Services"))</f>
        <v/>
      </c>
    </row>
    <row r="4753" customFormat="false" ht="15" hidden="false" customHeight="false" outlineLevel="0" collapsed="false">
      <c r="F4753" s="41" t="str">
        <f aca="false">IF(E4753="","",IFERROR(VLOOKUP(E4753,Assumptions!$G$5:$H$16,2,0),"Other"))</f>
        <v/>
      </c>
      <c r="J4753" s="41" t="str">
        <f aca="false">IF(G4753="","",IFERROR(IF(ISNUMBER(SEARCH(Assumptions!$C$5,G4753)),Assumptions!$D$5,IF(ISNUMBER(SEARCH(Assumptions!$C$6,G4753)),Assumptions!$D$6,IF(ISNUMBER(SEARCH(Assumptions!$C$7,G4753)),Assumptions!$D$7,"Other Services"))),"Other Services"))</f>
        <v/>
      </c>
    </row>
    <row r="4754" customFormat="false" ht="15" hidden="false" customHeight="false" outlineLevel="0" collapsed="false">
      <c r="F4754" s="41" t="str">
        <f aca="false">IF(E4754="","",IFERROR(VLOOKUP(E4754,Assumptions!$G$5:$H$16,2,0),"Other"))</f>
        <v/>
      </c>
      <c r="J4754" s="41" t="str">
        <f aca="false">IF(G4754="","",IFERROR(IF(ISNUMBER(SEARCH(Assumptions!$C$5,G4754)),Assumptions!$D$5,IF(ISNUMBER(SEARCH(Assumptions!$C$6,G4754)),Assumptions!$D$6,IF(ISNUMBER(SEARCH(Assumptions!$C$7,G4754)),Assumptions!$D$7,"Other Services"))),"Other Services"))</f>
        <v/>
      </c>
    </row>
    <row r="4755" customFormat="false" ht="15" hidden="false" customHeight="false" outlineLevel="0" collapsed="false">
      <c r="F4755" s="41" t="str">
        <f aca="false">IF(E4755="","",IFERROR(VLOOKUP(E4755,Assumptions!$G$5:$H$16,2,0),"Other"))</f>
        <v/>
      </c>
      <c r="J4755" s="41" t="str">
        <f aca="false">IF(G4755="","",IFERROR(IF(ISNUMBER(SEARCH(Assumptions!$C$5,G4755)),Assumptions!$D$5,IF(ISNUMBER(SEARCH(Assumptions!$C$6,G4755)),Assumptions!$D$6,IF(ISNUMBER(SEARCH(Assumptions!$C$7,G4755)),Assumptions!$D$7,"Other Services"))),"Other Services"))</f>
        <v/>
      </c>
    </row>
    <row r="4756" customFormat="false" ht="15" hidden="false" customHeight="false" outlineLevel="0" collapsed="false">
      <c r="F4756" s="41" t="str">
        <f aca="false">IF(E4756="","",IFERROR(VLOOKUP(E4756,Assumptions!$G$5:$H$16,2,0),"Other"))</f>
        <v/>
      </c>
      <c r="J4756" s="41" t="str">
        <f aca="false">IF(G4756="","",IFERROR(IF(ISNUMBER(SEARCH(Assumptions!$C$5,G4756)),Assumptions!$D$5,IF(ISNUMBER(SEARCH(Assumptions!$C$6,G4756)),Assumptions!$D$6,IF(ISNUMBER(SEARCH(Assumptions!$C$7,G4756)),Assumptions!$D$7,"Other Services"))),"Other Services"))</f>
        <v/>
      </c>
    </row>
    <row r="4757" customFormat="false" ht="15" hidden="false" customHeight="false" outlineLevel="0" collapsed="false">
      <c r="F4757" s="41" t="str">
        <f aca="false">IF(E4757="","",IFERROR(VLOOKUP(E4757,Assumptions!$G$5:$H$16,2,0),"Other"))</f>
        <v/>
      </c>
      <c r="J4757" s="41" t="str">
        <f aca="false">IF(G4757="","",IFERROR(IF(ISNUMBER(SEARCH(Assumptions!$C$5,G4757)),Assumptions!$D$5,IF(ISNUMBER(SEARCH(Assumptions!$C$6,G4757)),Assumptions!$D$6,IF(ISNUMBER(SEARCH(Assumptions!$C$7,G4757)),Assumptions!$D$7,"Other Services"))),"Other Services"))</f>
        <v/>
      </c>
    </row>
    <row r="4758" customFormat="false" ht="15" hidden="false" customHeight="false" outlineLevel="0" collapsed="false">
      <c r="F4758" s="41" t="str">
        <f aca="false">IF(E4758="","",IFERROR(VLOOKUP(E4758,Assumptions!$G$5:$H$16,2,0),"Other"))</f>
        <v/>
      </c>
      <c r="J4758" s="41" t="str">
        <f aca="false">IF(G4758="","",IFERROR(IF(ISNUMBER(SEARCH(Assumptions!$C$5,G4758)),Assumptions!$D$5,IF(ISNUMBER(SEARCH(Assumptions!$C$6,G4758)),Assumptions!$D$6,IF(ISNUMBER(SEARCH(Assumptions!$C$7,G4758)),Assumptions!$D$7,"Other Services"))),"Other Services"))</f>
        <v/>
      </c>
    </row>
    <row r="4759" customFormat="false" ht="15" hidden="false" customHeight="false" outlineLevel="0" collapsed="false">
      <c r="F4759" s="41" t="str">
        <f aca="false">IF(E4759="","",IFERROR(VLOOKUP(E4759,Assumptions!$G$5:$H$16,2,0),"Other"))</f>
        <v/>
      </c>
      <c r="J4759" s="41" t="str">
        <f aca="false">IF(G4759="","",IFERROR(IF(ISNUMBER(SEARCH(Assumptions!$C$5,G4759)),Assumptions!$D$5,IF(ISNUMBER(SEARCH(Assumptions!$C$6,G4759)),Assumptions!$D$6,IF(ISNUMBER(SEARCH(Assumptions!$C$7,G4759)),Assumptions!$D$7,"Other Services"))),"Other Services"))</f>
        <v/>
      </c>
    </row>
    <row r="4760" customFormat="false" ht="15" hidden="false" customHeight="false" outlineLevel="0" collapsed="false">
      <c r="F4760" s="41" t="str">
        <f aca="false">IF(E4760="","",IFERROR(VLOOKUP(E4760,Assumptions!$G$5:$H$16,2,0),"Other"))</f>
        <v/>
      </c>
      <c r="J4760" s="41" t="str">
        <f aca="false">IF(G4760="","",IFERROR(IF(ISNUMBER(SEARCH(Assumptions!$C$5,G4760)),Assumptions!$D$5,IF(ISNUMBER(SEARCH(Assumptions!$C$6,G4760)),Assumptions!$D$6,IF(ISNUMBER(SEARCH(Assumptions!$C$7,G4760)),Assumptions!$D$7,"Other Services"))),"Other Services"))</f>
        <v/>
      </c>
    </row>
    <row r="4761" customFormat="false" ht="15" hidden="false" customHeight="false" outlineLevel="0" collapsed="false">
      <c r="F4761" s="41" t="str">
        <f aca="false">IF(E4761="","",IFERROR(VLOOKUP(E4761,Assumptions!$G$5:$H$16,2,0),"Other"))</f>
        <v/>
      </c>
      <c r="J4761" s="41" t="str">
        <f aca="false">IF(G4761="","",IFERROR(IF(ISNUMBER(SEARCH(Assumptions!$C$5,G4761)),Assumptions!$D$5,IF(ISNUMBER(SEARCH(Assumptions!$C$6,G4761)),Assumptions!$D$6,IF(ISNUMBER(SEARCH(Assumptions!$C$7,G4761)),Assumptions!$D$7,"Other Services"))),"Other Services"))</f>
        <v/>
      </c>
    </row>
    <row r="4762" customFormat="false" ht="15" hidden="false" customHeight="false" outlineLevel="0" collapsed="false">
      <c r="F4762" s="41" t="str">
        <f aca="false">IF(E4762="","",IFERROR(VLOOKUP(E4762,Assumptions!$G$5:$H$16,2,0),"Other"))</f>
        <v/>
      </c>
      <c r="J4762" s="41" t="str">
        <f aca="false">IF(G4762="","",IFERROR(IF(ISNUMBER(SEARCH(Assumptions!$C$5,G4762)),Assumptions!$D$5,IF(ISNUMBER(SEARCH(Assumptions!$C$6,G4762)),Assumptions!$D$6,IF(ISNUMBER(SEARCH(Assumptions!$C$7,G4762)),Assumptions!$D$7,"Other Services"))),"Other Services"))</f>
        <v/>
      </c>
    </row>
    <row r="4763" customFormat="false" ht="15" hidden="false" customHeight="false" outlineLevel="0" collapsed="false">
      <c r="F4763" s="41" t="str">
        <f aca="false">IF(E4763="","",IFERROR(VLOOKUP(E4763,Assumptions!$G$5:$H$16,2,0),"Other"))</f>
        <v/>
      </c>
      <c r="J4763" s="41" t="str">
        <f aca="false">IF(G4763="","",IFERROR(IF(ISNUMBER(SEARCH(Assumptions!$C$5,G4763)),Assumptions!$D$5,IF(ISNUMBER(SEARCH(Assumptions!$C$6,G4763)),Assumptions!$D$6,IF(ISNUMBER(SEARCH(Assumptions!$C$7,G4763)),Assumptions!$D$7,"Other Services"))),"Other Services"))</f>
        <v/>
      </c>
    </row>
    <row r="4764" customFormat="false" ht="15" hidden="false" customHeight="false" outlineLevel="0" collapsed="false">
      <c r="F4764" s="41" t="str">
        <f aca="false">IF(E4764="","",IFERROR(VLOOKUP(E4764,Assumptions!$G$5:$H$16,2,0),"Other"))</f>
        <v/>
      </c>
      <c r="J4764" s="41" t="str">
        <f aca="false">IF(G4764="","",IFERROR(IF(ISNUMBER(SEARCH(Assumptions!$C$5,G4764)),Assumptions!$D$5,IF(ISNUMBER(SEARCH(Assumptions!$C$6,G4764)),Assumptions!$D$6,IF(ISNUMBER(SEARCH(Assumptions!$C$7,G4764)),Assumptions!$D$7,"Other Services"))),"Other Services"))</f>
        <v/>
      </c>
    </row>
    <row r="4765" customFormat="false" ht="15" hidden="false" customHeight="false" outlineLevel="0" collapsed="false">
      <c r="F4765" s="41" t="str">
        <f aca="false">IF(E4765="","",IFERROR(VLOOKUP(E4765,Assumptions!$G$5:$H$16,2,0),"Other"))</f>
        <v/>
      </c>
      <c r="J4765" s="41" t="str">
        <f aca="false">IF(G4765="","",IFERROR(IF(ISNUMBER(SEARCH(Assumptions!$C$5,G4765)),Assumptions!$D$5,IF(ISNUMBER(SEARCH(Assumptions!$C$6,G4765)),Assumptions!$D$6,IF(ISNUMBER(SEARCH(Assumptions!$C$7,G4765)),Assumptions!$D$7,"Other Services"))),"Other Services"))</f>
        <v/>
      </c>
    </row>
    <row r="4766" customFormat="false" ht="15" hidden="false" customHeight="false" outlineLevel="0" collapsed="false">
      <c r="F4766" s="41" t="str">
        <f aca="false">IF(E4766="","",IFERROR(VLOOKUP(E4766,Assumptions!$G$5:$H$16,2,0),"Other"))</f>
        <v/>
      </c>
      <c r="J4766" s="41" t="str">
        <f aca="false">IF(G4766="","",IFERROR(IF(ISNUMBER(SEARCH(Assumptions!$C$5,G4766)),Assumptions!$D$5,IF(ISNUMBER(SEARCH(Assumptions!$C$6,G4766)),Assumptions!$D$6,IF(ISNUMBER(SEARCH(Assumptions!$C$7,G4766)),Assumptions!$D$7,"Other Services"))),"Other Services"))</f>
        <v/>
      </c>
    </row>
    <row r="4767" customFormat="false" ht="15" hidden="false" customHeight="false" outlineLevel="0" collapsed="false">
      <c r="F4767" s="41" t="str">
        <f aca="false">IF(E4767="","",IFERROR(VLOOKUP(E4767,Assumptions!$G$5:$H$16,2,0),"Other"))</f>
        <v/>
      </c>
      <c r="J4767" s="41" t="str">
        <f aca="false">IF(G4767="","",IFERROR(IF(ISNUMBER(SEARCH(Assumptions!$C$5,G4767)),Assumptions!$D$5,IF(ISNUMBER(SEARCH(Assumptions!$C$6,G4767)),Assumptions!$D$6,IF(ISNUMBER(SEARCH(Assumptions!$C$7,G4767)),Assumptions!$D$7,"Other Services"))),"Other Services"))</f>
        <v/>
      </c>
    </row>
    <row r="4768" customFormat="false" ht="15" hidden="false" customHeight="false" outlineLevel="0" collapsed="false">
      <c r="F4768" s="41" t="str">
        <f aca="false">IF(E4768="","",IFERROR(VLOOKUP(E4768,Assumptions!$G$5:$H$16,2,0),"Other"))</f>
        <v/>
      </c>
      <c r="J4768" s="41" t="str">
        <f aca="false">IF(G4768="","",IFERROR(IF(ISNUMBER(SEARCH(Assumptions!$C$5,G4768)),Assumptions!$D$5,IF(ISNUMBER(SEARCH(Assumptions!$C$6,G4768)),Assumptions!$D$6,IF(ISNUMBER(SEARCH(Assumptions!$C$7,G4768)),Assumptions!$D$7,"Other Services"))),"Other Services"))</f>
        <v/>
      </c>
    </row>
    <row r="4769" customFormat="false" ht="15" hidden="false" customHeight="false" outlineLevel="0" collapsed="false">
      <c r="F4769" s="41" t="str">
        <f aca="false">IF(E4769="","",IFERROR(VLOOKUP(E4769,Assumptions!$G$5:$H$16,2,0),"Other"))</f>
        <v/>
      </c>
      <c r="J4769" s="41" t="str">
        <f aca="false">IF(G4769="","",IFERROR(IF(ISNUMBER(SEARCH(Assumptions!$C$5,G4769)),Assumptions!$D$5,IF(ISNUMBER(SEARCH(Assumptions!$C$6,G4769)),Assumptions!$D$6,IF(ISNUMBER(SEARCH(Assumptions!$C$7,G4769)),Assumptions!$D$7,"Other Services"))),"Other Services"))</f>
        <v/>
      </c>
    </row>
    <row r="4770" customFormat="false" ht="15" hidden="false" customHeight="false" outlineLevel="0" collapsed="false">
      <c r="F4770" s="41" t="str">
        <f aca="false">IF(E4770="","",IFERROR(VLOOKUP(E4770,Assumptions!$G$5:$H$16,2,0),"Other"))</f>
        <v/>
      </c>
      <c r="J4770" s="41" t="str">
        <f aca="false">IF(G4770="","",IFERROR(IF(ISNUMBER(SEARCH(Assumptions!$C$5,G4770)),Assumptions!$D$5,IF(ISNUMBER(SEARCH(Assumptions!$C$6,G4770)),Assumptions!$D$6,IF(ISNUMBER(SEARCH(Assumptions!$C$7,G4770)),Assumptions!$D$7,"Other Services"))),"Other Services"))</f>
        <v/>
      </c>
    </row>
    <row r="4771" customFormat="false" ht="15" hidden="false" customHeight="false" outlineLevel="0" collapsed="false">
      <c r="F4771" s="41" t="str">
        <f aca="false">IF(E4771="","",IFERROR(VLOOKUP(E4771,Assumptions!$G$5:$H$16,2,0),"Other"))</f>
        <v/>
      </c>
      <c r="J4771" s="41" t="str">
        <f aca="false">IF(G4771="","",IFERROR(IF(ISNUMBER(SEARCH(Assumptions!$C$5,G4771)),Assumptions!$D$5,IF(ISNUMBER(SEARCH(Assumptions!$C$6,G4771)),Assumptions!$D$6,IF(ISNUMBER(SEARCH(Assumptions!$C$7,G4771)),Assumptions!$D$7,"Other Services"))),"Other Services"))</f>
        <v/>
      </c>
    </row>
    <row r="4772" customFormat="false" ht="15" hidden="false" customHeight="false" outlineLevel="0" collapsed="false">
      <c r="F4772" s="41" t="str">
        <f aca="false">IF(E4772="","",IFERROR(VLOOKUP(E4772,Assumptions!$G$5:$H$16,2,0),"Other"))</f>
        <v/>
      </c>
      <c r="J4772" s="41" t="str">
        <f aca="false">IF(G4772="","",IFERROR(IF(ISNUMBER(SEARCH(Assumptions!$C$5,G4772)),Assumptions!$D$5,IF(ISNUMBER(SEARCH(Assumptions!$C$6,G4772)),Assumptions!$D$6,IF(ISNUMBER(SEARCH(Assumptions!$C$7,G4772)),Assumptions!$D$7,"Other Services"))),"Other Services"))</f>
        <v/>
      </c>
    </row>
    <row r="4773" customFormat="false" ht="15" hidden="false" customHeight="false" outlineLevel="0" collapsed="false">
      <c r="F4773" s="41" t="str">
        <f aca="false">IF(E4773="","",IFERROR(VLOOKUP(E4773,Assumptions!$G$5:$H$16,2,0),"Other"))</f>
        <v/>
      </c>
      <c r="J4773" s="41" t="str">
        <f aca="false">IF(G4773="","",IFERROR(IF(ISNUMBER(SEARCH(Assumptions!$C$5,G4773)),Assumptions!$D$5,IF(ISNUMBER(SEARCH(Assumptions!$C$6,G4773)),Assumptions!$D$6,IF(ISNUMBER(SEARCH(Assumptions!$C$7,G4773)),Assumptions!$D$7,"Other Services"))),"Other Services"))</f>
        <v/>
      </c>
    </row>
    <row r="4774" customFormat="false" ht="15" hidden="false" customHeight="false" outlineLevel="0" collapsed="false">
      <c r="F4774" s="41" t="str">
        <f aca="false">IF(E4774="","",IFERROR(VLOOKUP(E4774,Assumptions!$G$5:$H$16,2,0),"Other"))</f>
        <v/>
      </c>
      <c r="J4774" s="41" t="str">
        <f aca="false">IF(G4774="","",IFERROR(IF(ISNUMBER(SEARCH(Assumptions!$C$5,G4774)),Assumptions!$D$5,IF(ISNUMBER(SEARCH(Assumptions!$C$6,G4774)),Assumptions!$D$6,IF(ISNUMBER(SEARCH(Assumptions!$C$7,G4774)),Assumptions!$D$7,"Other Services"))),"Other Services"))</f>
        <v/>
      </c>
    </row>
    <row r="4775" customFormat="false" ht="15" hidden="false" customHeight="false" outlineLevel="0" collapsed="false">
      <c r="F4775" s="41" t="str">
        <f aca="false">IF(E4775="","",IFERROR(VLOOKUP(E4775,Assumptions!$G$5:$H$16,2,0),"Other"))</f>
        <v/>
      </c>
      <c r="J4775" s="41" t="str">
        <f aca="false">IF(G4775="","",IFERROR(IF(ISNUMBER(SEARCH(Assumptions!$C$5,G4775)),Assumptions!$D$5,IF(ISNUMBER(SEARCH(Assumptions!$C$6,G4775)),Assumptions!$D$6,IF(ISNUMBER(SEARCH(Assumptions!$C$7,G4775)),Assumptions!$D$7,"Other Services"))),"Other Services"))</f>
        <v/>
      </c>
    </row>
    <row r="4776" customFormat="false" ht="15" hidden="false" customHeight="false" outlineLevel="0" collapsed="false">
      <c r="F4776" s="41" t="str">
        <f aca="false">IF(E4776="","",IFERROR(VLOOKUP(E4776,Assumptions!$G$5:$H$16,2,0),"Other"))</f>
        <v/>
      </c>
      <c r="J4776" s="41" t="str">
        <f aca="false">IF(G4776="","",IFERROR(IF(ISNUMBER(SEARCH(Assumptions!$C$5,G4776)),Assumptions!$D$5,IF(ISNUMBER(SEARCH(Assumptions!$C$6,G4776)),Assumptions!$D$6,IF(ISNUMBER(SEARCH(Assumptions!$C$7,G4776)),Assumptions!$D$7,"Other Services"))),"Other Services"))</f>
        <v/>
      </c>
    </row>
    <row r="4777" customFormat="false" ht="15" hidden="false" customHeight="false" outlineLevel="0" collapsed="false">
      <c r="F4777" s="41" t="str">
        <f aca="false">IF(E4777="","",IFERROR(VLOOKUP(E4777,Assumptions!$G$5:$H$16,2,0),"Other"))</f>
        <v/>
      </c>
      <c r="J4777" s="41" t="str">
        <f aca="false">IF(G4777="","",IFERROR(IF(ISNUMBER(SEARCH(Assumptions!$C$5,G4777)),Assumptions!$D$5,IF(ISNUMBER(SEARCH(Assumptions!$C$6,G4777)),Assumptions!$D$6,IF(ISNUMBER(SEARCH(Assumptions!$C$7,G4777)),Assumptions!$D$7,"Other Services"))),"Other Services"))</f>
        <v/>
      </c>
    </row>
    <row r="4778" customFormat="false" ht="15" hidden="false" customHeight="false" outlineLevel="0" collapsed="false">
      <c r="F4778" s="41" t="str">
        <f aca="false">IF(E4778="","",IFERROR(VLOOKUP(E4778,Assumptions!$G$5:$H$16,2,0),"Other"))</f>
        <v/>
      </c>
      <c r="J4778" s="41" t="str">
        <f aca="false">IF(G4778="","",IFERROR(IF(ISNUMBER(SEARCH(Assumptions!$C$5,G4778)),Assumptions!$D$5,IF(ISNUMBER(SEARCH(Assumptions!$C$6,G4778)),Assumptions!$D$6,IF(ISNUMBER(SEARCH(Assumptions!$C$7,G4778)),Assumptions!$D$7,"Other Services"))),"Other Services"))</f>
        <v/>
      </c>
    </row>
    <row r="4779" customFormat="false" ht="15" hidden="false" customHeight="false" outlineLevel="0" collapsed="false">
      <c r="F4779" s="41" t="str">
        <f aca="false">IF(E4779="","",IFERROR(VLOOKUP(E4779,Assumptions!$G$5:$H$16,2,0),"Other"))</f>
        <v/>
      </c>
      <c r="J4779" s="41" t="str">
        <f aca="false">IF(G4779="","",IFERROR(IF(ISNUMBER(SEARCH(Assumptions!$C$5,G4779)),Assumptions!$D$5,IF(ISNUMBER(SEARCH(Assumptions!$C$6,G4779)),Assumptions!$D$6,IF(ISNUMBER(SEARCH(Assumptions!$C$7,G4779)),Assumptions!$D$7,"Other Services"))),"Other Services"))</f>
        <v/>
      </c>
    </row>
    <row r="4780" customFormat="false" ht="15" hidden="false" customHeight="false" outlineLevel="0" collapsed="false">
      <c r="F4780" s="41" t="str">
        <f aca="false">IF(E4780="","",IFERROR(VLOOKUP(E4780,Assumptions!$G$5:$H$16,2,0),"Other"))</f>
        <v/>
      </c>
      <c r="J4780" s="41" t="str">
        <f aca="false">IF(G4780="","",IFERROR(IF(ISNUMBER(SEARCH(Assumptions!$C$5,G4780)),Assumptions!$D$5,IF(ISNUMBER(SEARCH(Assumptions!$C$6,G4780)),Assumptions!$D$6,IF(ISNUMBER(SEARCH(Assumptions!$C$7,G4780)),Assumptions!$D$7,"Other Services"))),"Other Services"))</f>
        <v/>
      </c>
    </row>
    <row r="4781" customFormat="false" ht="15" hidden="false" customHeight="false" outlineLevel="0" collapsed="false">
      <c r="F4781" s="41" t="str">
        <f aca="false">IF(E4781="","",IFERROR(VLOOKUP(E4781,Assumptions!$G$5:$H$16,2,0),"Other"))</f>
        <v/>
      </c>
      <c r="J4781" s="41" t="str">
        <f aca="false">IF(G4781="","",IFERROR(IF(ISNUMBER(SEARCH(Assumptions!$C$5,G4781)),Assumptions!$D$5,IF(ISNUMBER(SEARCH(Assumptions!$C$6,G4781)),Assumptions!$D$6,IF(ISNUMBER(SEARCH(Assumptions!$C$7,G4781)),Assumptions!$D$7,"Other Services"))),"Other Services"))</f>
        <v/>
      </c>
    </row>
    <row r="4782" customFormat="false" ht="15" hidden="false" customHeight="false" outlineLevel="0" collapsed="false">
      <c r="F4782" s="41" t="str">
        <f aca="false">IF(E4782="","",IFERROR(VLOOKUP(E4782,Assumptions!$G$5:$H$16,2,0),"Other"))</f>
        <v/>
      </c>
      <c r="J4782" s="41" t="str">
        <f aca="false">IF(G4782="","",IFERROR(IF(ISNUMBER(SEARCH(Assumptions!$C$5,G4782)),Assumptions!$D$5,IF(ISNUMBER(SEARCH(Assumptions!$C$6,G4782)),Assumptions!$D$6,IF(ISNUMBER(SEARCH(Assumptions!$C$7,G4782)),Assumptions!$D$7,"Other Services"))),"Other Services"))</f>
        <v/>
      </c>
    </row>
    <row r="4783" customFormat="false" ht="15" hidden="false" customHeight="false" outlineLevel="0" collapsed="false">
      <c r="F4783" s="41" t="str">
        <f aca="false">IF(E4783="","",IFERROR(VLOOKUP(E4783,Assumptions!$G$5:$H$16,2,0),"Other"))</f>
        <v/>
      </c>
      <c r="J4783" s="41" t="str">
        <f aca="false">IF(G4783="","",IFERROR(IF(ISNUMBER(SEARCH(Assumptions!$C$5,G4783)),Assumptions!$D$5,IF(ISNUMBER(SEARCH(Assumptions!$C$6,G4783)),Assumptions!$D$6,IF(ISNUMBER(SEARCH(Assumptions!$C$7,G4783)),Assumptions!$D$7,"Other Services"))),"Other Services"))</f>
        <v/>
      </c>
    </row>
    <row r="4784" customFormat="false" ht="15" hidden="false" customHeight="false" outlineLevel="0" collapsed="false">
      <c r="F4784" s="41" t="str">
        <f aca="false">IF(E4784="","",IFERROR(VLOOKUP(E4784,Assumptions!$G$5:$H$16,2,0),"Other"))</f>
        <v/>
      </c>
      <c r="J4784" s="41" t="str">
        <f aca="false">IF(G4784="","",IFERROR(IF(ISNUMBER(SEARCH(Assumptions!$C$5,G4784)),Assumptions!$D$5,IF(ISNUMBER(SEARCH(Assumptions!$C$6,G4784)),Assumptions!$D$6,IF(ISNUMBER(SEARCH(Assumptions!$C$7,G4784)),Assumptions!$D$7,"Other Services"))),"Other Services"))</f>
        <v/>
      </c>
    </row>
    <row r="4785" customFormat="false" ht="15" hidden="false" customHeight="false" outlineLevel="0" collapsed="false">
      <c r="F4785" s="41" t="str">
        <f aca="false">IF(E4785="","",IFERROR(VLOOKUP(E4785,Assumptions!$G$5:$H$16,2,0),"Other"))</f>
        <v/>
      </c>
      <c r="J4785" s="41" t="str">
        <f aca="false">IF(G4785="","",IFERROR(IF(ISNUMBER(SEARCH(Assumptions!$C$5,G4785)),Assumptions!$D$5,IF(ISNUMBER(SEARCH(Assumptions!$C$6,G4785)),Assumptions!$D$6,IF(ISNUMBER(SEARCH(Assumptions!$C$7,G4785)),Assumptions!$D$7,"Other Services"))),"Other Services"))</f>
        <v/>
      </c>
    </row>
    <row r="4786" customFormat="false" ht="15" hidden="false" customHeight="false" outlineLevel="0" collapsed="false">
      <c r="F4786" s="41" t="str">
        <f aca="false">IF(E4786="","",IFERROR(VLOOKUP(E4786,Assumptions!$G$5:$H$16,2,0),"Other"))</f>
        <v/>
      </c>
      <c r="J4786" s="41" t="str">
        <f aca="false">IF(G4786="","",IFERROR(IF(ISNUMBER(SEARCH(Assumptions!$C$5,G4786)),Assumptions!$D$5,IF(ISNUMBER(SEARCH(Assumptions!$C$6,G4786)),Assumptions!$D$6,IF(ISNUMBER(SEARCH(Assumptions!$C$7,G4786)),Assumptions!$D$7,"Other Services"))),"Other Services"))</f>
        <v/>
      </c>
    </row>
    <row r="4787" customFormat="false" ht="15" hidden="false" customHeight="false" outlineLevel="0" collapsed="false">
      <c r="F4787" s="41" t="str">
        <f aca="false">IF(E4787="","",IFERROR(VLOOKUP(E4787,Assumptions!$G$5:$H$16,2,0),"Other"))</f>
        <v/>
      </c>
      <c r="J4787" s="41" t="str">
        <f aca="false">IF(G4787="","",IFERROR(IF(ISNUMBER(SEARCH(Assumptions!$C$5,G4787)),Assumptions!$D$5,IF(ISNUMBER(SEARCH(Assumptions!$C$6,G4787)),Assumptions!$D$6,IF(ISNUMBER(SEARCH(Assumptions!$C$7,G4787)),Assumptions!$D$7,"Other Services"))),"Other Services"))</f>
        <v/>
      </c>
    </row>
    <row r="4788" customFormat="false" ht="15" hidden="false" customHeight="false" outlineLevel="0" collapsed="false">
      <c r="F4788" s="41" t="str">
        <f aca="false">IF(E4788="","",IFERROR(VLOOKUP(E4788,Assumptions!$G$5:$H$16,2,0),"Other"))</f>
        <v/>
      </c>
      <c r="J4788" s="41" t="str">
        <f aca="false">IF(G4788="","",IFERROR(IF(ISNUMBER(SEARCH(Assumptions!$C$5,G4788)),Assumptions!$D$5,IF(ISNUMBER(SEARCH(Assumptions!$C$6,G4788)),Assumptions!$D$6,IF(ISNUMBER(SEARCH(Assumptions!$C$7,G4788)),Assumptions!$D$7,"Other Services"))),"Other Services"))</f>
        <v/>
      </c>
    </row>
    <row r="4789" customFormat="false" ht="15" hidden="false" customHeight="false" outlineLevel="0" collapsed="false">
      <c r="F4789" s="41" t="str">
        <f aca="false">IF(E4789="","",IFERROR(VLOOKUP(E4789,Assumptions!$G$5:$H$16,2,0),"Other"))</f>
        <v/>
      </c>
      <c r="J4789" s="41" t="str">
        <f aca="false">IF(G4789="","",IFERROR(IF(ISNUMBER(SEARCH(Assumptions!$C$5,G4789)),Assumptions!$D$5,IF(ISNUMBER(SEARCH(Assumptions!$C$6,G4789)),Assumptions!$D$6,IF(ISNUMBER(SEARCH(Assumptions!$C$7,G4789)),Assumptions!$D$7,"Other Services"))),"Other Services"))</f>
        <v/>
      </c>
    </row>
    <row r="4790" customFormat="false" ht="15" hidden="false" customHeight="false" outlineLevel="0" collapsed="false">
      <c r="F4790" s="41" t="str">
        <f aca="false">IF(E4790="","",IFERROR(VLOOKUP(E4790,Assumptions!$G$5:$H$16,2,0),"Other"))</f>
        <v/>
      </c>
      <c r="J4790" s="41" t="str">
        <f aca="false">IF(G4790="","",IFERROR(IF(ISNUMBER(SEARCH(Assumptions!$C$5,G4790)),Assumptions!$D$5,IF(ISNUMBER(SEARCH(Assumptions!$C$6,G4790)),Assumptions!$D$6,IF(ISNUMBER(SEARCH(Assumptions!$C$7,G4790)),Assumptions!$D$7,"Other Services"))),"Other Services"))</f>
        <v/>
      </c>
    </row>
    <row r="4791" customFormat="false" ht="15" hidden="false" customHeight="false" outlineLevel="0" collapsed="false">
      <c r="F4791" s="41" t="str">
        <f aca="false">IF(E4791="","",IFERROR(VLOOKUP(E4791,Assumptions!$G$5:$H$16,2,0),"Other"))</f>
        <v/>
      </c>
      <c r="J4791" s="41" t="str">
        <f aca="false">IF(G4791="","",IFERROR(IF(ISNUMBER(SEARCH(Assumptions!$C$5,G4791)),Assumptions!$D$5,IF(ISNUMBER(SEARCH(Assumptions!$C$6,G4791)),Assumptions!$D$6,IF(ISNUMBER(SEARCH(Assumptions!$C$7,G4791)),Assumptions!$D$7,"Other Services"))),"Other Services"))</f>
        <v/>
      </c>
    </row>
    <row r="4792" customFormat="false" ht="15" hidden="false" customHeight="false" outlineLevel="0" collapsed="false">
      <c r="F4792" s="41" t="str">
        <f aca="false">IF(E4792="","",IFERROR(VLOOKUP(E4792,Assumptions!$G$5:$H$16,2,0),"Other"))</f>
        <v/>
      </c>
      <c r="J4792" s="41" t="str">
        <f aca="false">IF(G4792="","",IFERROR(IF(ISNUMBER(SEARCH(Assumptions!$C$5,G4792)),Assumptions!$D$5,IF(ISNUMBER(SEARCH(Assumptions!$C$6,G4792)),Assumptions!$D$6,IF(ISNUMBER(SEARCH(Assumptions!$C$7,G4792)),Assumptions!$D$7,"Other Services"))),"Other Services"))</f>
        <v/>
      </c>
    </row>
    <row r="4793" customFormat="false" ht="15" hidden="false" customHeight="false" outlineLevel="0" collapsed="false">
      <c r="F4793" s="41" t="str">
        <f aca="false">IF(E4793="","",IFERROR(VLOOKUP(E4793,Assumptions!$G$5:$H$16,2,0),"Other"))</f>
        <v/>
      </c>
      <c r="J4793" s="41" t="str">
        <f aca="false">IF(G4793="","",IFERROR(IF(ISNUMBER(SEARCH(Assumptions!$C$5,G4793)),Assumptions!$D$5,IF(ISNUMBER(SEARCH(Assumptions!$C$6,G4793)),Assumptions!$D$6,IF(ISNUMBER(SEARCH(Assumptions!$C$7,G4793)),Assumptions!$D$7,"Other Services"))),"Other Services"))</f>
        <v/>
      </c>
    </row>
    <row r="4794" customFormat="false" ht="15" hidden="false" customHeight="false" outlineLevel="0" collapsed="false">
      <c r="F4794" s="41" t="str">
        <f aca="false">IF(E4794="","",IFERROR(VLOOKUP(E4794,Assumptions!$G$5:$H$16,2,0),"Other"))</f>
        <v/>
      </c>
      <c r="J4794" s="41" t="str">
        <f aca="false">IF(G4794="","",IFERROR(IF(ISNUMBER(SEARCH(Assumptions!$C$5,G4794)),Assumptions!$D$5,IF(ISNUMBER(SEARCH(Assumptions!$C$6,G4794)),Assumptions!$D$6,IF(ISNUMBER(SEARCH(Assumptions!$C$7,G4794)),Assumptions!$D$7,"Other Services"))),"Other Services"))</f>
        <v/>
      </c>
    </row>
    <row r="4795" customFormat="false" ht="15" hidden="false" customHeight="false" outlineLevel="0" collapsed="false">
      <c r="F4795" s="41" t="str">
        <f aca="false">IF(E4795="","",IFERROR(VLOOKUP(E4795,Assumptions!$G$5:$H$16,2,0),"Other"))</f>
        <v/>
      </c>
      <c r="J4795" s="41" t="str">
        <f aca="false">IF(G4795="","",IFERROR(IF(ISNUMBER(SEARCH(Assumptions!$C$5,G4795)),Assumptions!$D$5,IF(ISNUMBER(SEARCH(Assumptions!$C$6,G4795)),Assumptions!$D$6,IF(ISNUMBER(SEARCH(Assumptions!$C$7,G4795)),Assumptions!$D$7,"Other Services"))),"Other Services"))</f>
        <v/>
      </c>
    </row>
    <row r="4796" customFormat="false" ht="15" hidden="false" customHeight="false" outlineLevel="0" collapsed="false">
      <c r="F4796" s="41" t="str">
        <f aca="false">IF(E4796="","",IFERROR(VLOOKUP(E4796,Assumptions!$G$5:$H$16,2,0),"Other"))</f>
        <v/>
      </c>
      <c r="J4796" s="41" t="str">
        <f aca="false">IF(G4796="","",IFERROR(IF(ISNUMBER(SEARCH(Assumptions!$C$5,G4796)),Assumptions!$D$5,IF(ISNUMBER(SEARCH(Assumptions!$C$6,G4796)),Assumptions!$D$6,IF(ISNUMBER(SEARCH(Assumptions!$C$7,G4796)),Assumptions!$D$7,"Other Services"))),"Other Services"))</f>
        <v/>
      </c>
    </row>
    <row r="4797" customFormat="false" ht="15" hidden="false" customHeight="false" outlineLevel="0" collapsed="false">
      <c r="F4797" s="41" t="str">
        <f aca="false">IF(E4797="","",IFERROR(VLOOKUP(E4797,Assumptions!$G$5:$H$16,2,0),"Other"))</f>
        <v/>
      </c>
      <c r="J4797" s="41" t="str">
        <f aca="false">IF(G4797="","",IFERROR(IF(ISNUMBER(SEARCH(Assumptions!$C$5,G4797)),Assumptions!$D$5,IF(ISNUMBER(SEARCH(Assumptions!$C$6,G4797)),Assumptions!$D$6,IF(ISNUMBER(SEARCH(Assumptions!$C$7,G4797)),Assumptions!$D$7,"Other Services"))),"Other Services"))</f>
        <v/>
      </c>
    </row>
    <row r="4798" customFormat="false" ht="15" hidden="false" customHeight="false" outlineLevel="0" collapsed="false">
      <c r="F4798" s="41" t="str">
        <f aca="false">IF(E4798="","",IFERROR(VLOOKUP(E4798,Assumptions!$G$5:$H$16,2,0),"Other"))</f>
        <v/>
      </c>
      <c r="J4798" s="41" t="str">
        <f aca="false">IF(G4798="","",IFERROR(IF(ISNUMBER(SEARCH(Assumptions!$C$5,G4798)),Assumptions!$D$5,IF(ISNUMBER(SEARCH(Assumptions!$C$6,G4798)),Assumptions!$D$6,IF(ISNUMBER(SEARCH(Assumptions!$C$7,G4798)),Assumptions!$D$7,"Other Services"))),"Other Services"))</f>
        <v/>
      </c>
    </row>
    <row r="4799" customFormat="false" ht="15" hidden="false" customHeight="false" outlineLevel="0" collapsed="false">
      <c r="F4799" s="41" t="str">
        <f aca="false">IF(E4799="","",IFERROR(VLOOKUP(E4799,Assumptions!$G$5:$H$16,2,0),"Other"))</f>
        <v/>
      </c>
      <c r="J4799" s="41" t="str">
        <f aca="false">IF(G4799="","",IFERROR(IF(ISNUMBER(SEARCH(Assumptions!$C$5,G4799)),Assumptions!$D$5,IF(ISNUMBER(SEARCH(Assumptions!$C$6,G4799)),Assumptions!$D$6,IF(ISNUMBER(SEARCH(Assumptions!$C$7,G4799)),Assumptions!$D$7,"Other Services"))),"Other Services"))</f>
        <v/>
      </c>
    </row>
    <row r="4800" customFormat="false" ht="15" hidden="false" customHeight="false" outlineLevel="0" collapsed="false">
      <c r="F4800" s="41" t="str">
        <f aca="false">IF(E4800="","",IFERROR(VLOOKUP(E4800,Assumptions!$G$5:$H$16,2,0),"Other"))</f>
        <v/>
      </c>
      <c r="J4800" s="41" t="str">
        <f aca="false">IF(G4800="","",IFERROR(IF(ISNUMBER(SEARCH(Assumptions!$C$5,G4800)),Assumptions!$D$5,IF(ISNUMBER(SEARCH(Assumptions!$C$6,G4800)),Assumptions!$D$6,IF(ISNUMBER(SEARCH(Assumptions!$C$7,G4800)),Assumptions!$D$7,"Other Services"))),"Other Services"))</f>
        <v/>
      </c>
    </row>
    <row r="4801" customFormat="false" ht="15" hidden="false" customHeight="false" outlineLevel="0" collapsed="false">
      <c r="F4801" s="41" t="str">
        <f aca="false">IF(E4801="","",IFERROR(VLOOKUP(E4801,Assumptions!$G$5:$H$16,2,0),"Other"))</f>
        <v/>
      </c>
      <c r="J4801" s="41" t="str">
        <f aca="false">IF(G4801="","",IFERROR(IF(ISNUMBER(SEARCH(Assumptions!$C$5,G4801)),Assumptions!$D$5,IF(ISNUMBER(SEARCH(Assumptions!$C$6,G4801)),Assumptions!$D$6,IF(ISNUMBER(SEARCH(Assumptions!$C$7,G4801)),Assumptions!$D$7,"Other Services"))),"Other Services"))</f>
        <v/>
      </c>
    </row>
    <row r="4802" customFormat="false" ht="15" hidden="false" customHeight="false" outlineLevel="0" collapsed="false">
      <c r="F4802" s="41" t="str">
        <f aca="false">IF(E4802="","",IFERROR(VLOOKUP(E4802,Assumptions!$G$5:$H$16,2,0),"Other"))</f>
        <v/>
      </c>
      <c r="J4802" s="41" t="str">
        <f aca="false">IF(G4802="","",IFERROR(IF(ISNUMBER(SEARCH(Assumptions!$C$5,G4802)),Assumptions!$D$5,IF(ISNUMBER(SEARCH(Assumptions!$C$6,G4802)),Assumptions!$D$6,IF(ISNUMBER(SEARCH(Assumptions!$C$7,G4802)),Assumptions!$D$7,"Other Services"))),"Other Services"))</f>
        <v/>
      </c>
    </row>
    <row r="4803" customFormat="false" ht="15" hidden="false" customHeight="false" outlineLevel="0" collapsed="false">
      <c r="F4803" s="41" t="str">
        <f aca="false">IF(E4803="","",IFERROR(VLOOKUP(E4803,Assumptions!$G$5:$H$16,2,0),"Other"))</f>
        <v/>
      </c>
      <c r="J4803" s="41" t="str">
        <f aca="false">IF(G4803="","",IFERROR(IF(ISNUMBER(SEARCH(Assumptions!$C$5,G4803)),Assumptions!$D$5,IF(ISNUMBER(SEARCH(Assumptions!$C$6,G4803)),Assumptions!$D$6,IF(ISNUMBER(SEARCH(Assumptions!$C$7,G4803)),Assumptions!$D$7,"Other Services"))),"Other Services"))</f>
        <v/>
      </c>
    </row>
    <row r="4804" customFormat="false" ht="15" hidden="false" customHeight="false" outlineLevel="0" collapsed="false">
      <c r="F4804" s="41" t="str">
        <f aca="false">IF(E4804="","",IFERROR(VLOOKUP(E4804,Assumptions!$G$5:$H$16,2,0),"Other"))</f>
        <v/>
      </c>
      <c r="J4804" s="41" t="str">
        <f aca="false">IF(G4804="","",IFERROR(IF(ISNUMBER(SEARCH(Assumptions!$C$5,G4804)),Assumptions!$D$5,IF(ISNUMBER(SEARCH(Assumptions!$C$6,G4804)),Assumptions!$D$6,IF(ISNUMBER(SEARCH(Assumptions!$C$7,G4804)),Assumptions!$D$7,"Other Services"))),"Other Services"))</f>
        <v/>
      </c>
    </row>
    <row r="4805" customFormat="false" ht="15" hidden="false" customHeight="false" outlineLevel="0" collapsed="false">
      <c r="F4805" s="41" t="str">
        <f aca="false">IF(E4805="","",IFERROR(VLOOKUP(E4805,Assumptions!$G$5:$H$16,2,0),"Other"))</f>
        <v/>
      </c>
      <c r="J4805" s="41" t="str">
        <f aca="false">IF(G4805="","",IFERROR(IF(ISNUMBER(SEARCH(Assumptions!$C$5,G4805)),Assumptions!$D$5,IF(ISNUMBER(SEARCH(Assumptions!$C$6,G4805)),Assumptions!$D$6,IF(ISNUMBER(SEARCH(Assumptions!$C$7,G4805)),Assumptions!$D$7,"Other Services"))),"Other Services"))</f>
        <v/>
      </c>
    </row>
    <row r="4806" customFormat="false" ht="15" hidden="false" customHeight="false" outlineLevel="0" collapsed="false">
      <c r="F4806" s="41" t="str">
        <f aca="false">IF(E4806="","",IFERROR(VLOOKUP(E4806,Assumptions!$G$5:$H$16,2,0),"Other"))</f>
        <v/>
      </c>
      <c r="J4806" s="41" t="str">
        <f aca="false">IF(G4806="","",IFERROR(IF(ISNUMBER(SEARCH(Assumptions!$C$5,G4806)),Assumptions!$D$5,IF(ISNUMBER(SEARCH(Assumptions!$C$6,G4806)),Assumptions!$D$6,IF(ISNUMBER(SEARCH(Assumptions!$C$7,G4806)),Assumptions!$D$7,"Other Services"))),"Other Services"))</f>
        <v/>
      </c>
    </row>
    <row r="4807" customFormat="false" ht="15" hidden="false" customHeight="false" outlineLevel="0" collapsed="false">
      <c r="F4807" s="41" t="str">
        <f aca="false">IF(E4807="","",IFERROR(VLOOKUP(E4807,Assumptions!$G$5:$H$16,2,0),"Other"))</f>
        <v/>
      </c>
      <c r="J4807" s="41" t="str">
        <f aca="false">IF(G4807="","",IFERROR(IF(ISNUMBER(SEARCH(Assumptions!$C$5,G4807)),Assumptions!$D$5,IF(ISNUMBER(SEARCH(Assumptions!$C$6,G4807)),Assumptions!$D$6,IF(ISNUMBER(SEARCH(Assumptions!$C$7,G4807)),Assumptions!$D$7,"Other Services"))),"Other Services"))</f>
        <v/>
      </c>
    </row>
    <row r="4808" customFormat="false" ht="15" hidden="false" customHeight="false" outlineLevel="0" collapsed="false">
      <c r="F4808" s="41" t="str">
        <f aca="false">IF(E4808="","",IFERROR(VLOOKUP(E4808,Assumptions!$G$5:$H$16,2,0),"Other"))</f>
        <v/>
      </c>
      <c r="J4808" s="41" t="str">
        <f aca="false">IF(G4808="","",IFERROR(IF(ISNUMBER(SEARCH(Assumptions!$C$5,G4808)),Assumptions!$D$5,IF(ISNUMBER(SEARCH(Assumptions!$C$6,G4808)),Assumptions!$D$6,IF(ISNUMBER(SEARCH(Assumptions!$C$7,G4808)),Assumptions!$D$7,"Other Services"))),"Other Services"))</f>
        <v/>
      </c>
    </row>
    <row r="4809" customFormat="false" ht="15" hidden="false" customHeight="false" outlineLevel="0" collapsed="false">
      <c r="F4809" s="41" t="str">
        <f aca="false">IF(E4809="","",IFERROR(VLOOKUP(E4809,Assumptions!$G$5:$H$16,2,0),"Other"))</f>
        <v/>
      </c>
      <c r="J4809" s="41" t="str">
        <f aca="false">IF(G4809="","",IFERROR(IF(ISNUMBER(SEARCH(Assumptions!$C$5,G4809)),Assumptions!$D$5,IF(ISNUMBER(SEARCH(Assumptions!$C$6,G4809)),Assumptions!$D$6,IF(ISNUMBER(SEARCH(Assumptions!$C$7,G4809)),Assumptions!$D$7,"Other Services"))),"Other Services"))</f>
        <v/>
      </c>
    </row>
    <row r="4810" customFormat="false" ht="15" hidden="false" customHeight="false" outlineLevel="0" collapsed="false">
      <c r="F4810" s="41" t="str">
        <f aca="false">IF(E4810="","",IFERROR(VLOOKUP(E4810,Assumptions!$G$5:$H$16,2,0),"Other"))</f>
        <v/>
      </c>
      <c r="J4810" s="41" t="str">
        <f aca="false">IF(G4810="","",IFERROR(IF(ISNUMBER(SEARCH(Assumptions!$C$5,G4810)),Assumptions!$D$5,IF(ISNUMBER(SEARCH(Assumptions!$C$6,G4810)),Assumptions!$D$6,IF(ISNUMBER(SEARCH(Assumptions!$C$7,G4810)),Assumptions!$D$7,"Other Services"))),"Other Services"))</f>
        <v/>
      </c>
    </row>
    <row r="4811" customFormat="false" ht="15" hidden="false" customHeight="false" outlineLevel="0" collapsed="false">
      <c r="F4811" s="41" t="str">
        <f aca="false">IF(E4811="","",IFERROR(VLOOKUP(E4811,Assumptions!$G$5:$H$16,2,0),"Other"))</f>
        <v/>
      </c>
      <c r="J4811" s="41" t="str">
        <f aca="false">IF(G4811="","",IFERROR(IF(ISNUMBER(SEARCH(Assumptions!$C$5,G4811)),Assumptions!$D$5,IF(ISNUMBER(SEARCH(Assumptions!$C$6,G4811)),Assumptions!$D$6,IF(ISNUMBER(SEARCH(Assumptions!$C$7,G4811)),Assumptions!$D$7,"Other Services"))),"Other Services"))</f>
        <v/>
      </c>
    </row>
    <row r="4812" customFormat="false" ht="15" hidden="false" customHeight="false" outlineLevel="0" collapsed="false">
      <c r="F4812" s="41" t="str">
        <f aca="false">IF(E4812="","",IFERROR(VLOOKUP(E4812,Assumptions!$G$5:$H$16,2,0),"Other"))</f>
        <v/>
      </c>
      <c r="J4812" s="41" t="str">
        <f aca="false">IF(G4812="","",IFERROR(IF(ISNUMBER(SEARCH(Assumptions!$C$5,G4812)),Assumptions!$D$5,IF(ISNUMBER(SEARCH(Assumptions!$C$6,G4812)),Assumptions!$D$6,IF(ISNUMBER(SEARCH(Assumptions!$C$7,G4812)),Assumptions!$D$7,"Other Services"))),"Other Services"))</f>
        <v/>
      </c>
    </row>
    <row r="4813" customFormat="false" ht="15" hidden="false" customHeight="false" outlineLevel="0" collapsed="false">
      <c r="F4813" s="41" t="str">
        <f aca="false">IF(E4813="","",IFERROR(VLOOKUP(E4813,Assumptions!$G$5:$H$16,2,0),"Other"))</f>
        <v/>
      </c>
      <c r="J4813" s="41" t="str">
        <f aca="false">IF(G4813="","",IFERROR(IF(ISNUMBER(SEARCH(Assumptions!$C$5,G4813)),Assumptions!$D$5,IF(ISNUMBER(SEARCH(Assumptions!$C$6,G4813)),Assumptions!$D$6,IF(ISNUMBER(SEARCH(Assumptions!$C$7,G4813)),Assumptions!$D$7,"Other Services"))),"Other Services"))</f>
        <v/>
      </c>
    </row>
    <row r="4814" customFormat="false" ht="15" hidden="false" customHeight="false" outlineLevel="0" collapsed="false">
      <c r="F4814" s="41" t="str">
        <f aca="false">IF(E4814="","",IFERROR(VLOOKUP(E4814,Assumptions!$G$5:$H$16,2,0),"Other"))</f>
        <v/>
      </c>
      <c r="J4814" s="41" t="str">
        <f aca="false">IF(G4814="","",IFERROR(IF(ISNUMBER(SEARCH(Assumptions!$C$5,G4814)),Assumptions!$D$5,IF(ISNUMBER(SEARCH(Assumptions!$C$6,G4814)),Assumptions!$D$6,IF(ISNUMBER(SEARCH(Assumptions!$C$7,G4814)),Assumptions!$D$7,"Other Services"))),"Other Services"))</f>
        <v/>
      </c>
    </row>
    <row r="4815" customFormat="false" ht="15" hidden="false" customHeight="false" outlineLevel="0" collapsed="false">
      <c r="F4815" s="41" t="str">
        <f aca="false">IF(E4815="","",IFERROR(VLOOKUP(E4815,Assumptions!$G$5:$H$16,2,0),"Other"))</f>
        <v/>
      </c>
      <c r="J4815" s="41" t="str">
        <f aca="false">IF(G4815="","",IFERROR(IF(ISNUMBER(SEARCH(Assumptions!$C$5,G4815)),Assumptions!$D$5,IF(ISNUMBER(SEARCH(Assumptions!$C$6,G4815)),Assumptions!$D$6,IF(ISNUMBER(SEARCH(Assumptions!$C$7,G4815)),Assumptions!$D$7,"Other Services"))),"Other Services"))</f>
        <v/>
      </c>
    </row>
    <row r="4816" customFormat="false" ht="15" hidden="false" customHeight="false" outlineLevel="0" collapsed="false">
      <c r="F4816" s="41" t="str">
        <f aca="false">IF(E4816="","",IFERROR(VLOOKUP(E4816,Assumptions!$G$5:$H$16,2,0),"Other"))</f>
        <v/>
      </c>
      <c r="J4816" s="41" t="str">
        <f aca="false">IF(G4816="","",IFERROR(IF(ISNUMBER(SEARCH(Assumptions!$C$5,G4816)),Assumptions!$D$5,IF(ISNUMBER(SEARCH(Assumptions!$C$6,G4816)),Assumptions!$D$6,IF(ISNUMBER(SEARCH(Assumptions!$C$7,G4816)),Assumptions!$D$7,"Other Services"))),"Other Services"))</f>
        <v/>
      </c>
    </row>
    <row r="4817" customFormat="false" ht="15" hidden="false" customHeight="false" outlineLevel="0" collapsed="false">
      <c r="F4817" s="41" t="str">
        <f aca="false">IF(E4817="","",IFERROR(VLOOKUP(E4817,Assumptions!$G$5:$H$16,2,0),"Other"))</f>
        <v/>
      </c>
      <c r="J4817" s="41" t="str">
        <f aca="false">IF(G4817="","",IFERROR(IF(ISNUMBER(SEARCH(Assumptions!$C$5,G4817)),Assumptions!$D$5,IF(ISNUMBER(SEARCH(Assumptions!$C$6,G4817)),Assumptions!$D$6,IF(ISNUMBER(SEARCH(Assumptions!$C$7,G4817)),Assumptions!$D$7,"Other Services"))),"Other Services"))</f>
        <v/>
      </c>
    </row>
    <row r="4818" customFormat="false" ht="15" hidden="false" customHeight="false" outlineLevel="0" collapsed="false">
      <c r="F4818" s="41" t="str">
        <f aca="false">IF(E4818="","",IFERROR(VLOOKUP(E4818,Assumptions!$G$5:$H$16,2,0),"Other"))</f>
        <v/>
      </c>
      <c r="J4818" s="41" t="str">
        <f aca="false">IF(G4818="","",IFERROR(IF(ISNUMBER(SEARCH(Assumptions!$C$5,G4818)),Assumptions!$D$5,IF(ISNUMBER(SEARCH(Assumptions!$C$6,G4818)),Assumptions!$D$6,IF(ISNUMBER(SEARCH(Assumptions!$C$7,G4818)),Assumptions!$D$7,"Other Services"))),"Other Services"))</f>
        <v/>
      </c>
    </row>
    <row r="4819" customFormat="false" ht="15" hidden="false" customHeight="false" outlineLevel="0" collapsed="false">
      <c r="F4819" s="41" t="str">
        <f aca="false">IF(E4819="","",IFERROR(VLOOKUP(E4819,Assumptions!$G$5:$H$16,2,0),"Other"))</f>
        <v/>
      </c>
      <c r="J4819" s="41" t="str">
        <f aca="false">IF(G4819="","",IFERROR(IF(ISNUMBER(SEARCH(Assumptions!$C$5,G4819)),Assumptions!$D$5,IF(ISNUMBER(SEARCH(Assumptions!$C$6,G4819)),Assumptions!$D$6,IF(ISNUMBER(SEARCH(Assumptions!$C$7,G4819)),Assumptions!$D$7,"Other Services"))),"Other Services"))</f>
        <v/>
      </c>
    </row>
    <row r="4820" customFormat="false" ht="15" hidden="false" customHeight="false" outlineLevel="0" collapsed="false">
      <c r="F4820" s="41" t="str">
        <f aca="false">IF(E4820="","",IFERROR(VLOOKUP(E4820,Assumptions!$G$5:$H$16,2,0),"Other"))</f>
        <v/>
      </c>
      <c r="J4820" s="41" t="str">
        <f aca="false">IF(G4820="","",IFERROR(IF(ISNUMBER(SEARCH(Assumptions!$C$5,G4820)),Assumptions!$D$5,IF(ISNUMBER(SEARCH(Assumptions!$C$6,G4820)),Assumptions!$D$6,IF(ISNUMBER(SEARCH(Assumptions!$C$7,G4820)),Assumptions!$D$7,"Other Services"))),"Other Services"))</f>
        <v/>
      </c>
    </row>
    <row r="4821" customFormat="false" ht="15" hidden="false" customHeight="false" outlineLevel="0" collapsed="false">
      <c r="F4821" s="41" t="str">
        <f aca="false">IF(E4821="","",IFERROR(VLOOKUP(E4821,Assumptions!$G$5:$H$16,2,0),"Other"))</f>
        <v/>
      </c>
      <c r="J4821" s="41" t="str">
        <f aca="false">IF(G4821="","",IFERROR(IF(ISNUMBER(SEARCH(Assumptions!$C$5,G4821)),Assumptions!$D$5,IF(ISNUMBER(SEARCH(Assumptions!$C$6,G4821)),Assumptions!$D$6,IF(ISNUMBER(SEARCH(Assumptions!$C$7,G4821)),Assumptions!$D$7,"Other Services"))),"Other Services"))</f>
        <v/>
      </c>
    </row>
    <row r="4822" customFormat="false" ht="15" hidden="false" customHeight="false" outlineLevel="0" collapsed="false">
      <c r="F4822" s="41" t="str">
        <f aca="false">IF(E4822="","",IFERROR(VLOOKUP(E4822,Assumptions!$G$5:$H$16,2,0),"Other"))</f>
        <v/>
      </c>
      <c r="J4822" s="41" t="str">
        <f aca="false">IF(G4822="","",IFERROR(IF(ISNUMBER(SEARCH(Assumptions!$C$5,G4822)),Assumptions!$D$5,IF(ISNUMBER(SEARCH(Assumptions!$C$6,G4822)),Assumptions!$D$6,IF(ISNUMBER(SEARCH(Assumptions!$C$7,G4822)),Assumptions!$D$7,"Other Services"))),"Other Services"))</f>
        <v/>
      </c>
    </row>
    <row r="4823" customFormat="false" ht="15" hidden="false" customHeight="false" outlineLevel="0" collapsed="false">
      <c r="F4823" s="41" t="str">
        <f aca="false">IF(E4823="","",IFERROR(VLOOKUP(E4823,Assumptions!$G$5:$H$16,2,0),"Other"))</f>
        <v/>
      </c>
      <c r="J4823" s="41" t="str">
        <f aca="false">IF(G4823="","",IFERROR(IF(ISNUMBER(SEARCH(Assumptions!$C$5,G4823)),Assumptions!$D$5,IF(ISNUMBER(SEARCH(Assumptions!$C$6,G4823)),Assumptions!$D$6,IF(ISNUMBER(SEARCH(Assumptions!$C$7,G4823)),Assumptions!$D$7,"Other Services"))),"Other Services"))</f>
        <v/>
      </c>
    </row>
    <row r="4824" customFormat="false" ht="15" hidden="false" customHeight="false" outlineLevel="0" collapsed="false">
      <c r="F4824" s="41" t="str">
        <f aca="false">IF(E4824="","",IFERROR(VLOOKUP(E4824,Assumptions!$G$5:$H$16,2,0),"Other"))</f>
        <v/>
      </c>
      <c r="J4824" s="41" t="str">
        <f aca="false">IF(G4824="","",IFERROR(IF(ISNUMBER(SEARCH(Assumptions!$C$5,G4824)),Assumptions!$D$5,IF(ISNUMBER(SEARCH(Assumptions!$C$6,G4824)),Assumptions!$D$6,IF(ISNUMBER(SEARCH(Assumptions!$C$7,G4824)),Assumptions!$D$7,"Other Services"))),"Other Services"))</f>
        <v/>
      </c>
    </row>
    <row r="4825" customFormat="false" ht="15" hidden="false" customHeight="false" outlineLevel="0" collapsed="false">
      <c r="F4825" s="41" t="str">
        <f aca="false">IF(E4825="","",IFERROR(VLOOKUP(E4825,Assumptions!$G$5:$H$16,2,0),"Other"))</f>
        <v/>
      </c>
      <c r="J4825" s="41" t="str">
        <f aca="false">IF(G4825="","",IFERROR(IF(ISNUMBER(SEARCH(Assumptions!$C$5,G4825)),Assumptions!$D$5,IF(ISNUMBER(SEARCH(Assumptions!$C$6,G4825)),Assumptions!$D$6,IF(ISNUMBER(SEARCH(Assumptions!$C$7,G4825)),Assumptions!$D$7,"Other Services"))),"Other Services"))</f>
        <v/>
      </c>
    </row>
    <row r="4826" customFormat="false" ht="15" hidden="false" customHeight="false" outlineLevel="0" collapsed="false">
      <c r="F4826" s="41" t="str">
        <f aca="false">IF(E4826="","",IFERROR(VLOOKUP(E4826,Assumptions!$G$5:$H$16,2,0),"Other"))</f>
        <v/>
      </c>
      <c r="J4826" s="41" t="str">
        <f aca="false">IF(G4826="","",IFERROR(IF(ISNUMBER(SEARCH(Assumptions!$C$5,G4826)),Assumptions!$D$5,IF(ISNUMBER(SEARCH(Assumptions!$C$6,G4826)),Assumptions!$D$6,IF(ISNUMBER(SEARCH(Assumptions!$C$7,G4826)),Assumptions!$D$7,"Other Services"))),"Other Services"))</f>
        <v/>
      </c>
    </row>
    <row r="4827" customFormat="false" ht="15" hidden="false" customHeight="false" outlineLevel="0" collapsed="false">
      <c r="F4827" s="41" t="str">
        <f aca="false">IF(E4827="","",IFERROR(VLOOKUP(E4827,Assumptions!$G$5:$H$16,2,0),"Other"))</f>
        <v/>
      </c>
      <c r="J4827" s="41" t="str">
        <f aca="false">IF(G4827="","",IFERROR(IF(ISNUMBER(SEARCH(Assumptions!$C$5,G4827)),Assumptions!$D$5,IF(ISNUMBER(SEARCH(Assumptions!$C$6,G4827)),Assumptions!$D$6,IF(ISNUMBER(SEARCH(Assumptions!$C$7,G4827)),Assumptions!$D$7,"Other Services"))),"Other Services"))</f>
        <v/>
      </c>
    </row>
    <row r="4828" customFormat="false" ht="15" hidden="false" customHeight="false" outlineLevel="0" collapsed="false">
      <c r="F4828" s="41" t="str">
        <f aca="false">IF(E4828="","",IFERROR(VLOOKUP(E4828,Assumptions!$G$5:$H$16,2,0),"Other"))</f>
        <v/>
      </c>
      <c r="J4828" s="41" t="str">
        <f aca="false">IF(G4828="","",IFERROR(IF(ISNUMBER(SEARCH(Assumptions!$C$5,G4828)),Assumptions!$D$5,IF(ISNUMBER(SEARCH(Assumptions!$C$6,G4828)),Assumptions!$D$6,IF(ISNUMBER(SEARCH(Assumptions!$C$7,G4828)),Assumptions!$D$7,"Other Services"))),"Other Services"))</f>
        <v/>
      </c>
    </row>
    <row r="4829" customFormat="false" ht="15" hidden="false" customHeight="false" outlineLevel="0" collapsed="false">
      <c r="F4829" s="41" t="str">
        <f aca="false">IF(E4829="","",IFERROR(VLOOKUP(E4829,Assumptions!$G$5:$H$16,2,0),"Other"))</f>
        <v/>
      </c>
      <c r="J4829" s="41" t="str">
        <f aca="false">IF(G4829="","",IFERROR(IF(ISNUMBER(SEARCH(Assumptions!$C$5,G4829)),Assumptions!$D$5,IF(ISNUMBER(SEARCH(Assumptions!$C$6,G4829)),Assumptions!$D$6,IF(ISNUMBER(SEARCH(Assumptions!$C$7,G4829)),Assumptions!$D$7,"Other Services"))),"Other Services"))</f>
        <v/>
      </c>
    </row>
    <row r="4830" customFormat="false" ht="15" hidden="false" customHeight="false" outlineLevel="0" collapsed="false">
      <c r="F4830" s="41" t="str">
        <f aca="false">IF(E4830="","",IFERROR(VLOOKUP(E4830,Assumptions!$G$5:$H$16,2,0),"Other"))</f>
        <v/>
      </c>
      <c r="J4830" s="41" t="str">
        <f aca="false">IF(G4830="","",IFERROR(IF(ISNUMBER(SEARCH(Assumptions!$C$5,G4830)),Assumptions!$D$5,IF(ISNUMBER(SEARCH(Assumptions!$C$6,G4830)),Assumptions!$D$6,IF(ISNUMBER(SEARCH(Assumptions!$C$7,G4830)),Assumptions!$D$7,"Other Services"))),"Other Services"))</f>
        <v/>
      </c>
    </row>
    <row r="4831" customFormat="false" ht="15" hidden="false" customHeight="false" outlineLevel="0" collapsed="false">
      <c r="F4831" s="41" t="str">
        <f aca="false">IF(E4831="","",IFERROR(VLOOKUP(E4831,Assumptions!$G$5:$H$16,2,0),"Other"))</f>
        <v/>
      </c>
      <c r="J4831" s="41" t="str">
        <f aca="false">IF(G4831="","",IFERROR(IF(ISNUMBER(SEARCH(Assumptions!$C$5,G4831)),Assumptions!$D$5,IF(ISNUMBER(SEARCH(Assumptions!$C$6,G4831)),Assumptions!$D$6,IF(ISNUMBER(SEARCH(Assumptions!$C$7,G4831)),Assumptions!$D$7,"Other Services"))),"Other Services"))</f>
        <v/>
      </c>
    </row>
    <row r="4832" customFormat="false" ht="15" hidden="false" customHeight="false" outlineLevel="0" collapsed="false">
      <c r="F4832" s="41" t="str">
        <f aca="false">IF(E4832="","",IFERROR(VLOOKUP(E4832,Assumptions!$G$5:$H$16,2,0),"Other"))</f>
        <v/>
      </c>
      <c r="J4832" s="41" t="str">
        <f aca="false">IF(G4832="","",IFERROR(IF(ISNUMBER(SEARCH(Assumptions!$C$5,G4832)),Assumptions!$D$5,IF(ISNUMBER(SEARCH(Assumptions!$C$6,G4832)),Assumptions!$D$6,IF(ISNUMBER(SEARCH(Assumptions!$C$7,G4832)),Assumptions!$D$7,"Other Services"))),"Other Services"))</f>
        <v/>
      </c>
    </row>
    <row r="4833" customFormat="false" ht="15" hidden="false" customHeight="false" outlineLevel="0" collapsed="false">
      <c r="F4833" s="41" t="str">
        <f aca="false">IF(E4833="","",IFERROR(VLOOKUP(E4833,Assumptions!$G$5:$H$16,2,0),"Other"))</f>
        <v/>
      </c>
      <c r="J4833" s="41" t="str">
        <f aca="false">IF(G4833="","",IFERROR(IF(ISNUMBER(SEARCH(Assumptions!$C$5,G4833)),Assumptions!$D$5,IF(ISNUMBER(SEARCH(Assumptions!$C$6,G4833)),Assumptions!$D$6,IF(ISNUMBER(SEARCH(Assumptions!$C$7,G4833)),Assumptions!$D$7,"Other Services"))),"Other Services"))</f>
        <v/>
      </c>
    </row>
    <row r="4834" customFormat="false" ht="15" hidden="false" customHeight="false" outlineLevel="0" collapsed="false">
      <c r="F4834" s="41" t="str">
        <f aca="false">IF(E4834="","",IFERROR(VLOOKUP(E4834,Assumptions!$G$5:$H$16,2,0),"Other"))</f>
        <v/>
      </c>
      <c r="J4834" s="41" t="str">
        <f aca="false">IF(G4834="","",IFERROR(IF(ISNUMBER(SEARCH(Assumptions!$C$5,G4834)),Assumptions!$D$5,IF(ISNUMBER(SEARCH(Assumptions!$C$6,G4834)),Assumptions!$D$6,IF(ISNUMBER(SEARCH(Assumptions!$C$7,G4834)),Assumptions!$D$7,"Other Services"))),"Other Services"))</f>
        <v/>
      </c>
    </row>
    <row r="4835" customFormat="false" ht="15" hidden="false" customHeight="false" outlineLevel="0" collapsed="false">
      <c r="F4835" s="41" t="str">
        <f aca="false">IF(E4835="","",IFERROR(VLOOKUP(E4835,Assumptions!$G$5:$H$16,2,0),"Other"))</f>
        <v/>
      </c>
      <c r="J4835" s="41" t="str">
        <f aca="false">IF(G4835="","",IFERROR(IF(ISNUMBER(SEARCH(Assumptions!$C$5,G4835)),Assumptions!$D$5,IF(ISNUMBER(SEARCH(Assumptions!$C$6,G4835)),Assumptions!$D$6,IF(ISNUMBER(SEARCH(Assumptions!$C$7,G4835)),Assumptions!$D$7,"Other Services"))),"Other Services"))</f>
        <v/>
      </c>
    </row>
    <row r="4836" customFormat="false" ht="15" hidden="false" customHeight="false" outlineLevel="0" collapsed="false">
      <c r="F4836" s="41" t="str">
        <f aca="false">IF(E4836="","",IFERROR(VLOOKUP(E4836,Assumptions!$G$5:$H$16,2,0),"Other"))</f>
        <v/>
      </c>
      <c r="J4836" s="41" t="str">
        <f aca="false">IF(G4836="","",IFERROR(IF(ISNUMBER(SEARCH(Assumptions!$C$5,G4836)),Assumptions!$D$5,IF(ISNUMBER(SEARCH(Assumptions!$C$6,G4836)),Assumptions!$D$6,IF(ISNUMBER(SEARCH(Assumptions!$C$7,G4836)),Assumptions!$D$7,"Other Services"))),"Other Services"))</f>
        <v/>
      </c>
    </row>
    <row r="4837" customFormat="false" ht="15" hidden="false" customHeight="false" outlineLevel="0" collapsed="false">
      <c r="F4837" s="41" t="str">
        <f aca="false">IF(E4837="","",IFERROR(VLOOKUP(E4837,Assumptions!$G$5:$H$16,2,0),"Other"))</f>
        <v/>
      </c>
      <c r="J4837" s="41" t="str">
        <f aca="false">IF(G4837="","",IFERROR(IF(ISNUMBER(SEARCH(Assumptions!$C$5,G4837)),Assumptions!$D$5,IF(ISNUMBER(SEARCH(Assumptions!$C$6,G4837)),Assumptions!$D$6,IF(ISNUMBER(SEARCH(Assumptions!$C$7,G4837)),Assumptions!$D$7,"Other Services"))),"Other Services"))</f>
        <v/>
      </c>
    </row>
    <row r="4838" customFormat="false" ht="15" hidden="false" customHeight="false" outlineLevel="0" collapsed="false">
      <c r="F4838" s="41" t="str">
        <f aca="false">IF(E4838="","",IFERROR(VLOOKUP(E4838,Assumptions!$G$5:$H$16,2,0),"Other"))</f>
        <v/>
      </c>
      <c r="J4838" s="41" t="str">
        <f aca="false">IF(G4838="","",IFERROR(IF(ISNUMBER(SEARCH(Assumptions!$C$5,G4838)),Assumptions!$D$5,IF(ISNUMBER(SEARCH(Assumptions!$C$6,G4838)),Assumptions!$D$6,IF(ISNUMBER(SEARCH(Assumptions!$C$7,G4838)),Assumptions!$D$7,"Other Services"))),"Other Services"))</f>
        <v/>
      </c>
    </row>
    <row r="4839" customFormat="false" ht="15" hidden="false" customHeight="false" outlineLevel="0" collapsed="false">
      <c r="F4839" s="41" t="str">
        <f aca="false">IF(E4839="","",IFERROR(VLOOKUP(E4839,Assumptions!$G$5:$H$16,2,0),"Other"))</f>
        <v/>
      </c>
      <c r="J4839" s="41" t="str">
        <f aca="false">IF(G4839="","",IFERROR(IF(ISNUMBER(SEARCH(Assumptions!$C$5,G4839)),Assumptions!$D$5,IF(ISNUMBER(SEARCH(Assumptions!$C$6,G4839)),Assumptions!$D$6,IF(ISNUMBER(SEARCH(Assumptions!$C$7,G4839)),Assumptions!$D$7,"Other Services"))),"Other Services"))</f>
        <v/>
      </c>
    </row>
    <row r="4840" customFormat="false" ht="15" hidden="false" customHeight="false" outlineLevel="0" collapsed="false">
      <c r="F4840" s="41" t="str">
        <f aca="false">IF(E4840="","",IFERROR(VLOOKUP(E4840,Assumptions!$G$5:$H$16,2,0),"Other"))</f>
        <v/>
      </c>
      <c r="J4840" s="41" t="str">
        <f aca="false">IF(G4840="","",IFERROR(IF(ISNUMBER(SEARCH(Assumptions!$C$5,G4840)),Assumptions!$D$5,IF(ISNUMBER(SEARCH(Assumptions!$C$6,G4840)),Assumptions!$D$6,IF(ISNUMBER(SEARCH(Assumptions!$C$7,G4840)),Assumptions!$D$7,"Other Services"))),"Other Services"))</f>
        <v/>
      </c>
    </row>
    <row r="4841" customFormat="false" ht="15" hidden="false" customHeight="false" outlineLevel="0" collapsed="false">
      <c r="F4841" s="41" t="str">
        <f aca="false">IF(E4841="","",IFERROR(VLOOKUP(E4841,Assumptions!$G$5:$H$16,2,0),"Other"))</f>
        <v/>
      </c>
      <c r="J4841" s="41" t="str">
        <f aca="false">IF(G4841="","",IFERROR(IF(ISNUMBER(SEARCH(Assumptions!$C$5,G4841)),Assumptions!$D$5,IF(ISNUMBER(SEARCH(Assumptions!$C$6,G4841)),Assumptions!$D$6,IF(ISNUMBER(SEARCH(Assumptions!$C$7,G4841)),Assumptions!$D$7,"Other Services"))),"Other Services"))</f>
        <v/>
      </c>
    </row>
    <row r="4842" customFormat="false" ht="15" hidden="false" customHeight="false" outlineLevel="0" collapsed="false">
      <c r="F4842" s="41" t="str">
        <f aca="false">IF(E4842="","",IFERROR(VLOOKUP(E4842,Assumptions!$G$5:$H$16,2,0),"Other"))</f>
        <v/>
      </c>
      <c r="J4842" s="41" t="str">
        <f aca="false">IF(G4842="","",IFERROR(IF(ISNUMBER(SEARCH(Assumptions!$C$5,G4842)),Assumptions!$D$5,IF(ISNUMBER(SEARCH(Assumptions!$C$6,G4842)),Assumptions!$D$6,IF(ISNUMBER(SEARCH(Assumptions!$C$7,G4842)),Assumptions!$D$7,"Other Services"))),"Other Services"))</f>
        <v/>
      </c>
    </row>
    <row r="4843" customFormat="false" ht="15" hidden="false" customHeight="false" outlineLevel="0" collapsed="false">
      <c r="F4843" s="41" t="str">
        <f aca="false">IF(E4843="","",IFERROR(VLOOKUP(E4843,Assumptions!$G$5:$H$16,2,0),"Other"))</f>
        <v/>
      </c>
      <c r="J4843" s="41" t="str">
        <f aca="false">IF(G4843="","",IFERROR(IF(ISNUMBER(SEARCH(Assumptions!$C$5,G4843)),Assumptions!$D$5,IF(ISNUMBER(SEARCH(Assumptions!$C$6,G4843)),Assumptions!$D$6,IF(ISNUMBER(SEARCH(Assumptions!$C$7,G4843)),Assumptions!$D$7,"Other Services"))),"Other Services"))</f>
        <v/>
      </c>
    </row>
    <row r="4844" customFormat="false" ht="15" hidden="false" customHeight="false" outlineLevel="0" collapsed="false">
      <c r="F4844" s="41" t="str">
        <f aca="false">IF(E4844="","",IFERROR(VLOOKUP(E4844,Assumptions!$G$5:$H$16,2,0),"Other"))</f>
        <v/>
      </c>
      <c r="J4844" s="41" t="str">
        <f aca="false">IF(G4844="","",IFERROR(IF(ISNUMBER(SEARCH(Assumptions!$C$5,G4844)),Assumptions!$D$5,IF(ISNUMBER(SEARCH(Assumptions!$C$6,G4844)),Assumptions!$D$6,IF(ISNUMBER(SEARCH(Assumptions!$C$7,G4844)),Assumptions!$D$7,"Other Services"))),"Other Services"))</f>
        <v/>
      </c>
    </row>
    <row r="4845" customFormat="false" ht="15" hidden="false" customHeight="false" outlineLevel="0" collapsed="false">
      <c r="F4845" s="41" t="str">
        <f aca="false">IF(E4845="","",IFERROR(VLOOKUP(E4845,Assumptions!$G$5:$H$16,2,0),"Other"))</f>
        <v/>
      </c>
      <c r="J4845" s="41" t="str">
        <f aca="false">IF(G4845="","",IFERROR(IF(ISNUMBER(SEARCH(Assumptions!$C$5,G4845)),Assumptions!$D$5,IF(ISNUMBER(SEARCH(Assumptions!$C$6,G4845)),Assumptions!$D$6,IF(ISNUMBER(SEARCH(Assumptions!$C$7,G4845)),Assumptions!$D$7,"Other Services"))),"Other Services"))</f>
        <v/>
      </c>
    </row>
    <row r="4846" customFormat="false" ht="15" hidden="false" customHeight="false" outlineLevel="0" collapsed="false">
      <c r="F4846" s="41" t="str">
        <f aca="false">IF(E4846="","",IFERROR(VLOOKUP(E4846,Assumptions!$G$5:$H$16,2,0),"Other"))</f>
        <v/>
      </c>
      <c r="J4846" s="41" t="str">
        <f aca="false">IF(G4846="","",IFERROR(IF(ISNUMBER(SEARCH(Assumptions!$C$5,G4846)),Assumptions!$D$5,IF(ISNUMBER(SEARCH(Assumptions!$C$6,G4846)),Assumptions!$D$6,IF(ISNUMBER(SEARCH(Assumptions!$C$7,G4846)),Assumptions!$D$7,"Other Services"))),"Other Services"))</f>
        <v/>
      </c>
    </row>
    <row r="4847" customFormat="false" ht="15" hidden="false" customHeight="false" outlineLevel="0" collapsed="false">
      <c r="F4847" s="41" t="str">
        <f aca="false">IF(E4847="","",IFERROR(VLOOKUP(E4847,Assumptions!$G$5:$H$16,2,0),"Other"))</f>
        <v/>
      </c>
      <c r="J4847" s="41" t="str">
        <f aca="false">IF(G4847="","",IFERROR(IF(ISNUMBER(SEARCH(Assumptions!$C$5,G4847)),Assumptions!$D$5,IF(ISNUMBER(SEARCH(Assumptions!$C$6,G4847)),Assumptions!$D$6,IF(ISNUMBER(SEARCH(Assumptions!$C$7,G4847)),Assumptions!$D$7,"Other Services"))),"Other Services"))</f>
        <v/>
      </c>
    </row>
    <row r="4848" customFormat="false" ht="15" hidden="false" customHeight="false" outlineLevel="0" collapsed="false">
      <c r="F4848" s="41" t="str">
        <f aca="false">IF(E4848="","",IFERROR(VLOOKUP(E4848,Assumptions!$G$5:$H$16,2,0),"Other"))</f>
        <v/>
      </c>
      <c r="J4848" s="41" t="str">
        <f aca="false">IF(G4848="","",IFERROR(IF(ISNUMBER(SEARCH(Assumptions!$C$5,G4848)),Assumptions!$D$5,IF(ISNUMBER(SEARCH(Assumptions!$C$6,G4848)),Assumptions!$D$6,IF(ISNUMBER(SEARCH(Assumptions!$C$7,G4848)),Assumptions!$D$7,"Other Services"))),"Other Services"))</f>
        <v/>
      </c>
    </row>
    <row r="4849" customFormat="false" ht="15" hidden="false" customHeight="false" outlineLevel="0" collapsed="false">
      <c r="F4849" s="41" t="str">
        <f aca="false">IF(E4849="","",IFERROR(VLOOKUP(E4849,Assumptions!$G$5:$H$16,2,0),"Other"))</f>
        <v/>
      </c>
      <c r="J4849" s="41" t="str">
        <f aca="false">IF(G4849="","",IFERROR(IF(ISNUMBER(SEARCH(Assumptions!$C$5,G4849)),Assumptions!$D$5,IF(ISNUMBER(SEARCH(Assumptions!$C$6,G4849)),Assumptions!$D$6,IF(ISNUMBER(SEARCH(Assumptions!$C$7,G4849)),Assumptions!$D$7,"Other Services"))),"Other Services"))</f>
        <v/>
      </c>
    </row>
    <row r="4850" customFormat="false" ht="15" hidden="false" customHeight="false" outlineLevel="0" collapsed="false">
      <c r="F4850" s="41" t="str">
        <f aca="false">IF(E4850="","",IFERROR(VLOOKUP(E4850,Assumptions!$G$5:$H$16,2,0),"Other"))</f>
        <v/>
      </c>
      <c r="J4850" s="41" t="str">
        <f aca="false">IF(G4850="","",IFERROR(IF(ISNUMBER(SEARCH(Assumptions!$C$5,G4850)),Assumptions!$D$5,IF(ISNUMBER(SEARCH(Assumptions!$C$6,G4850)),Assumptions!$D$6,IF(ISNUMBER(SEARCH(Assumptions!$C$7,G4850)),Assumptions!$D$7,"Other Services"))),"Other Services"))</f>
        <v/>
      </c>
    </row>
    <row r="4851" customFormat="false" ht="15" hidden="false" customHeight="false" outlineLevel="0" collapsed="false">
      <c r="F4851" s="41" t="str">
        <f aca="false">IF(E4851="","",IFERROR(VLOOKUP(E4851,Assumptions!$G$5:$H$16,2,0),"Other"))</f>
        <v/>
      </c>
      <c r="J4851" s="41" t="str">
        <f aca="false">IF(G4851="","",IFERROR(IF(ISNUMBER(SEARCH(Assumptions!$C$5,G4851)),Assumptions!$D$5,IF(ISNUMBER(SEARCH(Assumptions!$C$6,G4851)),Assumptions!$D$6,IF(ISNUMBER(SEARCH(Assumptions!$C$7,G4851)),Assumptions!$D$7,"Other Services"))),"Other Services"))</f>
        <v/>
      </c>
    </row>
    <row r="4852" customFormat="false" ht="15" hidden="false" customHeight="false" outlineLevel="0" collapsed="false">
      <c r="F4852" s="41" t="str">
        <f aca="false">IF(E4852="","",IFERROR(VLOOKUP(E4852,Assumptions!$G$5:$H$16,2,0),"Other"))</f>
        <v/>
      </c>
      <c r="J4852" s="41" t="str">
        <f aca="false">IF(G4852="","",IFERROR(IF(ISNUMBER(SEARCH(Assumptions!$C$5,G4852)),Assumptions!$D$5,IF(ISNUMBER(SEARCH(Assumptions!$C$6,G4852)),Assumptions!$D$6,IF(ISNUMBER(SEARCH(Assumptions!$C$7,G4852)),Assumptions!$D$7,"Other Services"))),"Other Services"))</f>
        <v/>
      </c>
    </row>
    <row r="4853" customFormat="false" ht="15" hidden="false" customHeight="false" outlineLevel="0" collapsed="false">
      <c r="F4853" s="41" t="str">
        <f aca="false">IF(E4853="","",IFERROR(VLOOKUP(E4853,Assumptions!$G$5:$H$16,2,0),"Other"))</f>
        <v/>
      </c>
      <c r="J4853" s="41" t="str">
        <f aca="false">IF(G4853="","",IFERROR(IF(ISNUMBER(SEARCH(Assumptions!$C$5,G4853)),Assumptions!$D$5,IF(ISNUMBER(SEARCH(Assumptions!$C$6,G4853)),Assumptions!$D$6,IF(ISNUMBER(SEARCH(Assumptions!$C$7,G4853)),Assumptions!$D$7,"Other Services"))),"Other Services"))</f>
        <v/>
      </c>
    </row>
    <row r="4854" customFormat="false" ht="15" hidden="false" customHeight="false" outlineLevel="0" collapsed="false">
      <c r="F4854" s="41" t="str">
        <f aca="false">IF(E4854="","",IFERROR(VLOOKUP(E4854,Assumptions!$G$5:$H$16,2,0),"Other"))</f>
        <v/>
      </c>
      <c r="J4854" s="41" t="str">
        <f aca="false">IF(G4854="","",IFERROR(IF(ISNUMBER(SEARCH(Assumptions!$C$5,G4854)),Assumptions!$D$5,IF(ISNUMBER(SEARCH(Assumptions!$C$6,G4854)),Assumptions!$D$6,IF(ISNUMBER(SEARCH(Assumptions!$C$7,G4854)),Assumptions!$D$7,"Other Services"))),"Other Services"))</f>
        <v/>
      </c>
    </row>
    <row r="4855" customFormat="false" ht="15" hidden="false" customHeight="false" outlineLevel="0" collapsed="false">
      <c r="F4855" s="41" t="str">
        <f aca="false">IF(E4855="","",IFERROR(VLOOKUP(E4855,Assumptions!$G$5:$H$16,2,0),"Other"))</f>
        <v/>
      </c>
      <c r="J4855" s="41" t="str">
        <f aca="false">IF(G4855="","",IFERROR(IF(ISNUMBER(SEARCH(Assumptions!$C$5,G4855)),Assumptions!$D$5,IF(ISNUMBER(SEARCH(Assumptions!$C$6,G4855)),Assumptions!$D$6,IF(ISNUMBER(SEARCH(Assumptions!$C$7,G4855)),Assumptions!$D$7,"Other Services"))),"Other Services"))</f>
        <v/>
      </c>
    </row>
    <row r="4856" customFormat="false" ht="15" hidden="false" customHeight="false" outlineLevel="0" collapsed="false">
      <c r="F4856" s="41" t="str">
        <f aca="false">IF(E4856="","",IFERROR(VLOOKUP(E4856,Assumptions!$G$5:$H$16,2,0),"Other"))</f>
        <v/>
      </c>
      <c r="J4856" s="41" t="str">
        <f aca="false">IF(G4856="","",IFERROR(IF(ISNUMBER(SEARCH(Assumptions!$C$5,G4856)),Assumptions!$D$5,IF(ISNUMBER(SEARCH(Assumptions!$C$6,G4856)),Assumptions!$D$6,IF(ISNUMBER(SEARCH(Assumptions!$C$7,G4856)),Assumptions!$D$7,"Other Services"))),"Other Services"))</f>
        <v/>
      </c>
    </row>
    <row r="4857" customFormat="false" ht="15" hidden="false" customHeight="false" outlineLevel="0" collapsed="false">
      <c r="F4857" s="41" t="str">
        <f aca="false">IF(E4857="","",IFERROR(VLOOKUP(E4857,Assumptions!$G$5:$H$16,2,0),"Other"))</f>
        <v/>
      </c>
      <c r="J4857" s="41" t="str">
        <f aca="false">IF(G4857="","",IFERROR(IF(ISNUMBER(SEARCH(Assumptions!$C$5,G4857)),Assumptions!$D$5,IF(ISNUMBER(SEARCH(Assumptions!$C$6,G4857)),Assumptions!$D$6,IF(ISNUMBER(SEARCH(Assumptions!$C$7,G4857)),Assumptions!$D$7,"Other Services"))),"Other Services"))</f>
        <v/>
      </c>
    </row>
    <row r="4858" customFormat="false" ht="15" hidden="false" customHeight="false" outlineLevel="0" collapsed="false">
      <c r="F4858" s="41" t="str">
        <f aca="false">IF(E4858="","",IFERROR(VLOOKUP(E4858,Assumptions!$G$5:$H$16,2,0),"Other"))</f>
        <v/>
      </c>
      <c r="J4858" s="41" t="str">
        <f aca="false">IF(G4858="","",IFERROR(IF(ISNUMBER(SEARCH(Assumptions!$C$5,G4858)),Assumptions!$D$5,IF(ISNUMBER(SEARCH(Assumptions!$C$6,G4858)),Assumptions!$D$6,IF(ISNUMBER(SEARCH(Assumptions!$C$7,G4858)),Assumptions!$D$7,"Other Services"))),"Other Services"))</f>
        <v/>
      </c>
    </row>
    <row r="4859" customFormat="false" ht="15" hidden="false" customHeight="false" outlineLevel="0" collapsed="false">
      <c r="F4859" s="41" t="str">
        <f aca="false">IF(E4859="","",IFERROR(VLOOKUP(E4859,Assumptions!$G$5:$H$16,2,0),"Other"))</f>
        <v/>
      </c>
      <c r="J4859" s="41" t="str">
        <f aca="false">IF(G4859="","",IFERROR(IF(ISNUMBER(SEARCH(Assumptions!$C$5,G4859)),Assumptions!$D$5,IF(ISNUMBER(SEARCH(Assumptions!$C$6,G4859)),Assumptions!$D$6,IF(ISNUMBER(SEARCH(Assumptions!$C$7,G4859)),Assumptions!$D$7,"Other Services"))),"Other Services"))</f>
        <v/>
      </c>
    </row>
    <row r="4860" customFormat="false" ht="15" hidden="false" customHeight="false" outlineLevel="0" collapsed="false">
      <c r="F4860" s="41" t="str">
        <f aca="false">IF(E4860="","",IFERROR(VLOOKUP(E4860,Assumptions!$G$5:$H$16,2,0),"Other"))</f>
        <v/>
      </c>
      <c r="J4860" s="41" t="str">
        <f aca="false">IF(G4860="","",IFERROR(IF(ISNUMBER(SEARCH(Assumptions!$C$5,G4860)),Assumptions!$D$5,IF(ISNUMBER(SEARCH(Assumptions!$C$6,G4860)),Assumptions!$D$6,IF(ISNUMBER(SEARCH(Assumptions!$C$7,G4860)),Assumptions!$D$7,"Other Services"))),"Other Services"))</f>
        <v/>
      </c>
    </row>
    <row r="4861" customFormat="false" ht="15" hidden="false" customHeight="false" outlineLevel="0" collapsed="false">
      <c r="F4861" s="41" t="str">
        <f aca="false">IF(E4861="","",IFERROR(VLOOKUP(E4861,Assumptions!$G$5:$H$16,2,0),"Other"))</f>
        <v/>
      </c>
      <c r="J4861" s="41" t="str">
        <f aca="false">IF(G4861="","",IFERROR(IF(ISNUMBER(SEARCH(Assumptions!$C$5,G4861)),Assumptions!$D$5,IF(ISNUMBER(SEARCH(Assumptions!$C$6,G4861)),Assumptions!$D$6,IF(ISNUMBER(SEARCH(Assumptions!$C$7,G4861)),Assumptions!$D$7,"Other Services"))),"Other Services"))</f>
        <v/>
      </c>
    </row>
    <row r="4862" customFormat="false" ht="15" hidden="false" customHeight="false" outlineLevel="0" collapsed="false">
      <c r="F4862" s="41" t="str">
        <f aca="false">IF(E4862="","",IFERROR(VLOOKUP(E4862,Assumptions!$G$5:$H$16,2,0),"Other"))</f>
        <v/>
      </c>
      <c r="J4862" s="41" t="str">
        <f aca="false">IF(G4862="","",IFERROR(IF(ISNUMBER(SEARCH(Assumptions!$C$5,G4862)),Assumptions!$D$5,IF(ISNUMBER(SEARCH(Assumptions!$C$6,G4862)),Assumptions!$D$6,IF(ISNUMBER(SEARCH(Assumptions!$C$7,G4862)),Assumptions!$D$7,"Other Services"))),"Other Services"))</f>
        <v/>
      </c>
    </row>
    <row r="4863" customFormat="false" ht="15" hidden="false" customHeight="false" outlineLevel="0" collapsed="false">
      <c r="F4863" s="41" t="str">
        <f aca="false">IF(E4863="","",IFERROR(VLOOKUP(E4863,Assumptions!$G$5:$H$16,2,0),"Other"))</f>
        <v/>
      </c>
      <c r="J4863" s="41" t="str">
        <f aca="false">IF(G4863="","",IFERROR(IF(ISNUMBER(SEARCH(Assumptions!$C$5,G4863)),Assumptions!$D$5,IF(ISNUMBER(SEARCH(Assumptions!$C$6,G4863)),Assumptions!$D$6,IF(ISNUMBER(SEARCH(Assumptions!$C$7,G4863)),Assumptions!$D$7,"Other Services"))),"Other Services"))</f>
        <v/>
      </c>
    </row>
    <row r="4864" customFormat="false" ht="15" hidden="false" customHeight="false" outlineLevel="0" collapsed="false">
      <c r="F4864" s="41" t="str">
        <f aca="false">IF(E4864="","",IFERROR(VLOOKUP(E4864,Assumptions!$G$5:$H$16,2,0),"Other"))</f>
        <v/>
      </c>
      <c r="J4864" s="41" t="str">
        <f aca="false">IF(G4864="","",IFERROR(IF(ISNUMBER(SEARCH(Assumptions!$C$5,G4864)),Assumptions!$D$5,IF(ISNUMBER(SEARCH(Assumptions!$C$6,G4864)),Assumptions!$D$6,IF(ISNUMBER(SEARCH(Assumptions!$C$7,G4864)),Assumptions!$D$7,"Other Services"))),"Other Services"))</f>
        <v/>
      </c>
    </row>
    <row r="4865" customFormat="false" ht="15" hidden="false" customHeight="false" outlineLevel="0" collapsed="false">
      <c r="F4865" s="41" t="str">
        <f aca="false">IF(E4865="","",IFERROR(VLOOKUP(E4865,Assumptions!$G$5:$H$16,2,0),"Other"))</f>
        <v/>
      </c>
      <c r="J4865" s="41" t="str">
        <f aca="false">IF(G4865="","",IFERROR(IF(ISNUMBER(SEARCH(Assumptions!$C$5,G4865)),Assumptions!$D$5,IF(ISNUMBER(SEARCH(Assumptions!$C$6,G4865)),Assumptions!$D$6,IF(ISNUMBER(SEARCH(Assumptions!$C$7,G4865)),Assumptions!$D$7,"Other Services"))),"Other Services"))</f>
        <v/>
      </c>
    </row>
    <row r="4866" customFormat="false" ht="15" hidden="false" customHeight="false" outlineLevel="0" collapsed="false">
      <c r="F4866" s="41" t="str">
        <f aca="false">IF(E4866="","",IFERROR(VLOOKUP(E4866,Assumptions!$G$5:$H$16,2,0),"Other"))</f>
        <v/>
      </c>
      <c r="J4866" s="41" t="str">
        <f aca="false">IF(G4866="","",IFERROR(IF(ISNUMBER(SEARCH(Assumptions!$C$5,G4866)),Assumptions!$D$5,IF(ISNUMBER(SEARCH(Assumptions!$C$6,G4866)),Assumptions!$D$6,IF(ISNUMBER(SEARCH(Assumptions!$C$7,G4866)),Assumptions!$D$7,"Other Services"))),"Other Services"))</f>
        <v/>
      </c>
    </row>
    <row r="4867" customFormat="false" ht="15" hidden="false" customHeight="false" outlineLevel="0" collapsed="false">
      <c r="F4867" s="41" t="str">
        <f aca="false">IF(E4867="","",IFERROR(VLOOKUP(E4867,Assumptions!$G$5:$H$16,2,0),"Other"))</f>
        <v/>
      </c>
      <c r="J4867" s="41" t="str">
        <f aca="false">IF(G4867="","",IFERROR(IF(ISNUMBER(SEARCH(Assumptions!$C$5,G4867)),Assumptions!$D$5,IF(ISNUMBER(SEARCH(Assumptions!$C$6,G4867)),Assumptions!$D$6,IF(ISNUMBER(SEARCH(Assumptions!$C$7,G4867)),Assumptions!$D$7,"Other Services"))),"Other Services"))</f>
        <v/>
      </c>
    </row>
    <row r="4868" customFormat="false" ht="15" hidden="false" customHeight="false" outlineLevel="0" collapsed="false">
      <c r="F4868" s="41" t="str">
        <f aca="false">IF(E4868="","",IFERROR(VLOOKUP(E4868,Assumptions!$G$5:$H$16,2,0),"Other"))</f>
        <v/>
      </c>
      <c r="J4868" s="41" t="str">
        <f aca="false">IF(G4868="","",IFERROR(IF(ISNUMBER(SEARCH(Assumptions!$C$5,G4868)),Assumptions!$D$5,IF(ISNUMBER(SEARCH(Assumptions!$C$6,G4868)),Assumptions!$D$6,IF(ISNUMBER(SEARCH(Assumptions!$C$7,G4868)),Assumptions!$D$7,"Other Services"))),"Other Services"))</f>
        <v/>
      </c>
    </row>
    <row r="4869" customFormat="false" ht="15" hidden="false" customHeight="false" outlineLevel="0" collapsed="false">
      <c r="F4869" s="41" t="str">
        <f aca="false">IF(E4869="","",IFERROR(VLOOKUP(E4869,Assumptions!$G$5:$H$16,2,0),"Other"))</f>
        <v/>
      </c>
      <c r="J4869" s="41" t="str">
        <f aca="false">IF(G4869="","",IFERROR(IF(ISNUMBER(SEARCH(Assumptions!$C$5,G4869)),Assumptions!$D$5,IF(ISNUMBER(SEARCH(Assumptions!$C$6,G4869)),Assumptions!$D$6,IF(ISNUMBER(SEARCH(Assumptions!$C$7,G4869)),Assumptions!$D$7,"Other Services"))),"Other Services"))</f>
        <v/>
      </c>
    </row>
    <row r="4870" customFormat="false" ht="15" hidden="false" customHeight="false" outlineLevel="0" collapsed="false">
      <c r="F4870" s="41" t="str">
        <f aca="false">IF(E4870="","",IFERROR(VLOOKUP(E4870,Assumptions!$G$5:$H$16,2,0),"Other"))</f>
        <v/>
      </c>
      <c r="J4870" s="41" t="str">
        <f aca="false">IF(G4870="","",IFERROR(IF(ISNUMBER(SEARCH(Assumptions!$C$5,G4870)),Assumptions!$D$5,IF(ISNUMBER(SEARCH(Assumptions!$C$6,G4870)),Assumptions!$D$6,IF(ISNUMBER(SEARCH(Assumptions!$C$7,G4870)),Assumptions!$D$7,"Other Services"))),"Other Services"))</f>
        <v/>
      </c>
    </row>
    <row r="4871" customFormat="false" ht="15" hidden="false" customHeight="false" outlineLevel="0" collapsed="false">
      <c r="F4871" s="41" t="str">
        <f aca="false">IF(E4871="","",IFERROR(VLOOKUP(E4871,Assumptions!$G$5:$H$16,2,0),"Other"))</f>
        <v/>
      </c>
      <c r="J4871" s="41" t="str">
        <f aca="false">IF(G4871="","",IFERROR(IF(ISNUMBER(SEARCH(Assumptions!$C$5,G4871)),Assumptions!$D$5,IF(ISNUMBER(SEARCH(Assumptions!$C$6,G4871)),Assumptions!$D$6,IF(ISNUMBER(SEARCH(Assumptions!$C$7,G4871)),Assumptions!$D$7,"Other Services"))),"Other Services"))</f>
        <v/>
      </c>
    </row>
    <row r="4872" customFormat="false" ht="15" hidden="false" customHeight="false" outlineLevel="0" collapsed="false">
      <c r="F4872" s="41" t="str">
        <f aca="false">IF(E4872="","",IFERROR(VLOOKUP(E4872,Assumptions!$G$5:$H$16,2,0),"Other"))</f>
        <v/>
      </c>
      <c r="J4872" s="41" t="str">
        <f aca="false">IF(G4872="","",IFERROR(IF(ISNUMBER(SEARCH(Assumptions!$C$5,G4872)),Assumptions!$D$5,IF(ISNUMBER(SEARCH(Assumptions!$C$6,G4872)),Assumptions!$D$6,IF(ISNUMBER(SEARCH(Assumptions!$C$7,G4872)),Assumptions!$D$7,"Other Services"))),"Other Services"))</f>
        <v/>
      </c>
    </row>
    <row r="4873" customFormat="false" ht="15" hidden="false" customHeight="false" outlineLevel="0" collapsed="false">
      <c r="F4873" s="41" t="str">
        <f aca="false">IF(E4873="","",IFERROR(VLOOKUP(E4873,Assumptions!$G$5:$H$16,2,0),"Other"))</f>
        <v/>
      </c>
      <c r="J4873" s="41" t="str">
        <f aca="false">IF(G4873="","",IFERROR(IF(ISNUMBER(SEARCH(Assumptions!$C$5,G4873)),Assumptions!$D$5,IF(ISNUMBER(SEARCH(Assumptions!$C$6,G4873)),Assumptions!$D$6,IF(ISNUMBER(SEARCH(Assumptions!$C$7,G4873)),Assumptions!$D$7,"Other Services"))),"Other Services"))</f>
        <v/>
      </c>
    </row>
    <row r="4874" customFormat="false" ht="15" hidden="false" customHeight="false" outlineLevel="0" collapsed="false">
      <c r="F4874" s="41" t="str">
        <f aca="false">IF(E4874="","",IFERROR(VLOOKUP(E4874,Assumptions!$G$5:$H$16,2,0),"Other"))</f>
        <v/>
      </c>
      <c r="J4874" s="41" t="str">
        <f aca="false">IF(G4874="","",IFERROR(IF(ISNUMBER(SEARCH(Assumptions!$C$5,G4874)),Assumptions!$D$5,IF(ISNUMBER(SEARCH(Assumptions!$C$6,G4874)),Assumptions!$D$6,IF(ISNUMBER(SEARCH(Assumptions!$C$7,G4874)),Assumptions!$D$7,"Other Services"))),"Other Services"))</f>
        <v/>
      </c>
    </row>
    <row r="4875" customFormat="false" ht="15" hidden="false" customHeight="false" outlineLevel="0" collapsed="false">
      <c r="F4875" s="41" t="str">
        <f aca="false">IF(E4875="","",IFERROR(VLOOKUP(E4875,Assumptions!$G$5:$H$16,2,0),"Other"))</f>
        <v/>
      </c>
      <c r="J4875" s="41" t="str">
        <f aca="false">IF(G4875="","",IFERROR(IF(ISNUMBER(SEARCH(Assumptions!$C$5,G4875)),Assumptions!$D$5,IF(ISNUMBER(SEARCH(Assumptions!$C$6,G4875)),Assumptions!$D$6,IF(ISNUMBER(SEARCH(Assumptions!$C$7,G4875)),Assumptions!$D$7,"Other Services"))),"Other Services"))</f>
        <v/>
      </c>
    </row>
    <row r="4876" customFormat="false" ht="15" hidden="false" customHeight="false" outlineLevel="0" collapsed="false">
      <c r="F4876" s="41" t="str">
        <f aca="false">IF(E4876="","",IFERROR(VLOOKUP(E4876,Assumptions!$G$5:$H$16,2,0),"Other"))</f>
        <v/>
      </c>
      <c r="J4876" s="41" t="str">
        <f aca="false">IF(G4876="","",IFERROR(IF(ISNUMBER(SEARCH(Assumptions!$C$5,G4876)),Assumptions!$D$5,IF(ISNUMBER(SEARCH(Assumptions!$C$6,G4876)),Assumptions!$D$6,IF(ISNUMBER(SEARCH(Assumptions!$C$7,G4876)),Assumptions!$D$7,"Other Services"))),"Other Services"))</f>
        <v/>
      </c>
    </row>
    <row r="4877" customFormat="false" ht="15" hidden="false" customHeight="false" outlineLevel="0" collapsed="false">
      <c r="F4877" s="41" t="str">
        <f aca="false">IF(E4877="","",IFERROR(VLOOKUP(E4877,Assumptions!$G$5:$H$16,2,0),"Other"))</f>
        <v/>
      </c>
      <c r="J4877" s="41" t="str">
        <f aca="false">IF(G4877="","",IFERROR(IF(ISNUMBER(SEARCH(Assumptions!$C$5,G4877)),Assumptions!$D$5,IF(ISNUMBER(SEARCH(Assumptions!$C$6,G4877)),Assumptions!$D$6,IF(ISNUMBER(SEARCH(Assumptions!$C$7,G4877)),Assumptions!$D$7,"Other Services"))),"Other Services"))</f>
        <v/>
      </c>
    </row>
    <row r="4878" customFormat="false" ht="15" hidden="false" customHeight="false" outlineLevel="0" collapsed="false">
      <c r="F4878" s="41" t="str">
        <f aca="false">IF(E4878="","",IFERROR(VLOOKUP(E4878,Assumptions!$G$5:$H$16,2,0),"Other"))</f>
        <v/>
      </c>
      <c r="J4878" s="41" t="str">
        <f aca="false">IF(G4878="","",IFERROR(IF(ISNUMBER(SEARCH(Assumptions!$C$5,G4878)),Assumptions!$D$5,IF(ISNUMBER(SEARCH(Assumptions!$C$6,G4878)),Assumptions!$D$6,IF(ISNUMBER(SEARCH(Assumptions!$C$7,G4878)),Assumptions!$D$7,"Other Services"))),"Other Services"))</f>
        <v/>
      </c>
    </row>
    <row r="4879" customFormat="false" ht="15" hidden="false" customHeight="false" outlineLevel="0" collapsed="false">
      <c r="F4879" s="41" t="str">
        <f aca="false">IF(E4879="","",IFERROR(VLOOKUP(E4879,Assumptions!$G$5:$H$16,2,0),"Other"))</f>
        <v/>
      </c>
      <c r="J4879" s="41" t="str">
        <f aca="false">IF(G4879="","",IFERROR(IF(ISNUMBER(SEARCH(Assumptions!$C$5,G4879)),Assumptions!$D$5,IF(ISNUMBER(SEARCH(Assumptions!$C$6,G4879)),Assumptions!$D$6,IF(ISNUMBER(SEARCH(Assumptions!$C$7,G4879)),Assumptions!$D$7,"Other Services"))),"Other Services"))</f>
        <v/>
      </c>
    </row>
    <row r="4880" customFormat="false" ht="15" hidden="false" customHeight="false" outlineLevel="0" collapsed="false">
      <c r="F4880" s="41" t="str">
        <f aca="false">IF(E4880="","",IFERROR(VLOOKUP(E4880,Assumptions!$G$5:$H$16,2,0),"Other"))</f>
        <v/>
      </c>
      <c r="J4880" s="41" t="str">
        <f aca="false">IF(G4880="","",IFERROR(IF(ISNUMBER(SEARCH(Assumptions!$C$5,G4880)),Assumptions!$D$5,IF(ISNUMBER(SEARCH(Assumptions!$C$6,G4880)),Assumptions!$D$6,IF(ISNUMBER(SEARCH(Assumptions!$C$7,G4880)),Assumptions!$D$7,"Other Services"))),"Other Services"))</f>
        <v/>
      </c>
    </row>
    <row r="4881" customFormat="false" ht="15" hidden="false" customHeight="false" outlineLevel="0" collapsed="false">
      <c r="F4881" s="41" t="str">
        <f aca="false">IF(E4881="","",IFERROR(VLOOKUP(E4881,Assumptions!$G$5:$H$16,2,0),"Other"))</f>
        <v/>
      </c>
      <c r="J4881" s="41" t="str">
        <f aca="false">IF(G4881="","",IFERROR(IF(ISNUMBER(SEARCH(Assumptions!$C$5,G4881)),Assumptions!$D$5,IF(ISNUMBER(SEARCH(Assumptions!$C$6,G4881)),Assumptions!$D$6,IF(ISNUMBER(SEARCH(Assumptions!$C$7,G4881)),Assumptions!$D$7,"Other Services"))),"Other Services"))</f>
        <v/>
      </c>
    </row>
    <row r="4882" customFormat="false" ht="15" hidden="false" customHeight="false" outlineLevel="0" collapsed="false">
      <c r="F4882" s="41" t="str">
        <f aca="false">IF(E4882="","",IFERROR(VLOOKUP(E4882,Assumptions!$G$5:$H$16,2,0),"Other"))</f>
        <v/>
      </c>
      <c r="J4882" s="41" t="str">
        <f aca="false">IF(G4882="","",IFERROR(IF(ISNUMBER(SEARCH(Assumptions!$C$5,G4882)),Assumptions!$D$5,IF(ISNUMBER(SEARCH(Assumptions!$C$6,G4882)),Assumptions!$D$6,IF(ISNUMBER(SEARCH(Assumptions!$C$7,G4882)),Assumptions!$D$7,"Other Services"))),"Other Services"))</f>
        <v/>
      </c>
    </row>
    <row r="4883" customFormat="false" ht="15" hidden="false" customHeight="false" outlineLevel="0" collapsed="false">
      <c r="F4883" s="41" t="str">
        <f aca="false">IF(E4883="","",IFERROR(VLOOKUP(E4883,Assumptions!$G$5:$H$16,2,0),"Other"))</f>
        <v/>
      </c>
      <c r="J4883" s="41" t="str">
        <f aca="false">IF(G4883="","",IFERROR(IF(ISNUMBER(SEARCH(Assumptions!$C$5,G4883)),Assumptions!$D$5,IF(ISNUMBER(SEARCH(Assumptions!$C$6,G4883)),Assumptions!$D$6,IF(ISNUMBER(SEARCH(Assumptions!$C$7,G4883)),Assumptions!$D$7,"Other Services"))),"Other Services"))</f>
        <v/>
      </c>
    </row>
    <row r="4884" customFormat="false" ht="15" hidden="false" customHeight="false" outlineLevel="0" collapsed="false">
      <c r="F4884" s="41" t="str">
        <f aca="false">IF(E4884="","",IFERROR(VLOOKUP(E4884,Assumptions!$G$5:$H$16,2,0),"Other"))</f>
        <v/>
      </c>
      <c r="J4884" s="41" t="str">
        <f aca="false">IF(G4884="","",IFERROR(IF(ISNUMBER(SEARCH(Assumptions!$C$5,G4884)),Assumptions!$D$5,IF(ISNUMBER(SEARCH(Assumptions!$C$6,G4884)),Assumptions!$D$6,IF(ISNUMBER(SEARCH(Assumptions!$C$7,G4884)),Assumptions!$D$7,"Other Services"))),"Other Services"))</f>
        <v/>
      </c>
    </row>
    <row r="4885" customFormat="false" ht="15" hidden="false" customHeight="false" outlineLevel="0" collapsed="false">
      <c r="F4885" s="41" t="str">
        <f aca="false">IF(E4885="","",IFERROR(VLOOKUP(E4885,Assumptions!$G$5:$H$16,2,0),"Other"))</f>
        <v/>
      </c>
      <c r="J4885" s="41" t="str">
        <f aca="false">IF(G4885="","",IFERROR(IF(ISNUMBER(SEARCH(Assumptions!$C$5,G4885)),Assumptions!$D$5,IF(ISNUMBER(SEARCH(Assumptions!$C$6,G4885)),Assumptions!$D$6,IF(ISNUMBER(SEARCH(Assumptions!$C$7,G4885)),Assumptions!$D$7,"Other Services"))),"Other Services"))</f>
        <v/>
      </c>
    </row>
    <row r="4886" customFormat="false" ht="15" hidden="false" customHeight="false" outlineLevel="0" collapsed="false">
      <c r="F4886" s="41" t="str">
        <f aca="false">IF(E4886="","",IFERROR(VLOOKUP(E4886,Assumptions!$G$5:$H$16,2,0),"Other"))</f>
        <v/>
      </c>
      <c r="J4886" s="41" t="str">
        <f aca="false">IF(G4886="","",IFERROR(IF(ISNUMBER(SEARCH(Assumptions!$C$5,G4886)),Assumptions!$D$5,IF(ISNUMBER(SEARCH(Assumptions!$C$6,G4886)),Assumptions!$D$6,IF(ISNUMBER(SEARCH(Assumptions!$C$7,G4886)),Assumptions!$D$7,"Other Services"))),"Other Services"))</f>
        <v/>
      </c>
    </row>
    <row r="4887" customFormat="false" ht="15" hidden="false" customHeight="false" outlineLevel="0" collapsed="false">
      <c r="F4887" s="41" t="str">
        <f aca="false">IF(E4887="","",IFERROR(VLOOKUP(E4887,Assumptions!$G$5:$H$16,2,0),"Other"))</f>
        <v/>
      </c>
      <c r="J4887" s="41" t="str">
        <f aca="false">IF(G4887="","",IFERROR(IF(ISNUMBER(SEARCH(Assumptions!$C$5,G4887)),Assumptions!$D$5,IF(ISNUMBER(SEARCH(Assumptions!$C$6,G4887)),Assumptions!$D$6,IF(ISNUMBER(SEARCH(Assumptions!$C$7,G4887)),Assumptions!$D$7,"Other Services"))),"Other Services"))</f>
        <v/>
      </c>
    </row>
    <row r="4888" customFormat="false" ht="15" hidden="false" customHeight="false" outlineLevel="0" collapsed="false">
      <c r="F4888" s="41" t="str">
        <f aca="false">IF(E4888="","",IFERROR(VLOOKUP(E4888,Assumptions!$G$5:$H$16,2,0),"Other"))</f>
        <v/>
      </c>
      <c r="J4888" s="41" t="str">
        <f aca="false">IF(G4888="","",IFERROR(IF(ISNUMBER(SEARCH(Assumptions!$C$5,G4888)),Assumptions!$D$5,IF(ISNUMBER(SEARCH(Assumptions!$C$6,G4888)),Assumptions!$D$6,IF(ISNUMBER(SEARCH(Assumptions!$C$7,G4888)),Assumptions!$D$7,"Other Services"))),"Other Services"))</f>
        <v/>
      </c>
    </row>
    <row r="4889" customFormat="false" ht="15" hidden="false" customHeight="false" outlineLevel="0" collapsed="false">
      <c r="F4889" s="41" t="str">
        <f aca="false">IF(E4889="","",IFERROR(VLOOKUP(E4889,Assumptions!$G$5:$H$16,2,0),"Other"))</f>
        <v/>
      </c>
      <c r="J4889" s="41" t="str">
        <f aca="false">IF(G4889="","",IFERROR(IF(ISNUMBER(SEARCH(Assumptions!$C$5,G4889)),Assumptions!$D$5,IF(ISNUMBER(SEARCH(Assumptions!$C$6,G4889)),Assumptions!$D$6,IF(ISNUMBER(SEARCH(Assumptions!$C$7,G4889)),Assumptions!$D$7,"Other Services"))),"Other Services"))</f>
        <v/>
      </c>
    </row>
    <row r="4890" customFormat="false" ht="15" hidden="false" customHeight="false" outlineLevel="0" collapsed="false">
      <c r="F4890" s="41" t="str">
        <f aca="false">IF(E4890="","",IFERROR(VLOOKUP(E4890,Assumptions!$G$5:$H$16,2,0),"Other"))</f>
        <v/>
      </c>
      <c r="J4890" s="41" t="str">
        <f aca="false">IF(G4890="","",IFERROR(IF(ISNUMBER(SEARCH(Assumptions!$C$5,G4890)),Assumptions!$D$5,IF(ISNUMBER(SEARCH(Assumptions!$C$6,G4890)),Assumptions!$D$6,IF(ISNUMBER(SEARCH(Assumptions!$C$7,G4890)),Assumptions!$D$7,"Other Services"))),"Other Services"))</f>
        <v/>
      </c>
    </row>
    <row r="4891" customFormat="false" ht="15" hidden="false" customHeight="false" outlineLevel="0" collapsed="false">
      <c r="F4891" s="41" t="str">
        <f aca="false">IF(E4891="","",IFERROR(VLOOKUP(E4891,Assumptions!$G$5:$H$16,2,0),"Other"))</f>
        <v/>
      </c>
      <c r="J4891" s="41" t="str">
        <f aca="false">IF(G4891="","",IFERROR(IF(ISNUMBER(SEARCH(Assumptions!$C$5,G4891)),Assumptions!$D$5,IF(ISNUMBER(SEARCH(Assumptions!$C$6,G4891)),Assumptions!$D$6,IF(ISNUMBER(SEARCH(Assumptions!$C$7,G4891)),Assumptions!$D$7,"Other Services"))),"Other Services"))</f>
        <v/>
      </c>
    </row>
    <row r="4892" customFormat="false" ht="15" hidden="false" customHeight="false" outlineLevel="0" collapsed="false">
      <c r="F4892" s="41" t="str">
        <f aca="false">IF(E4892="","",IFERROR(VLOOKUP(E4892,Assumptions!$G$5:$H$16,2,0),"Other"))</f>
        <v/>
      </c>
      <c r="J4892" s="41" t="str">
        <f aca="false">IF(G4892="","",IFERROR(IF(ISNUMBER(SEARCH(Assumptions!$C$5,G4892)),Assumptions!$D$5,IF(ISNUMBER(SEARCH(Assumptions!$C$6,G4892)),Assumptions!$D$6,IF(ISNUMBER(SEARCH(Assumptions!$C$7,G4892)),Assumptions!$D$7,"Other Services"))),"Other Services"))</f>
        <v/>
      </c>
    </row>
    <row r="4893" customFormat="false" ht="15" hidden="false" customHeight="false" outlineLevel="0" collapsed="false">
      <c r="F4893" s="41" t="str">
        <f aca="false">IF(E4893="","",IFERROR(VLOOKUP(E4893,Assumptions!$G$5:$H$16,2,0),"Other"))</f>
        <v/>
      </c>
      <c r="J4893" s="41" t="str">
        <f aca="false">IF(G4893="","",IFERROR(IF(ISNUMBER(SEARCH(Assumptions!$C$5,G4893)),Assumptions!$D$5,IF(ISNUMBER(SEARCH(Assumptions!$C$6,G4893)),Assumptions!$D$6,IF(ISNUMBER(SEARCH(Assumptions!$C$7,G4893)),Assumptions!$D$7,"Other Services"))),"Other Services"))</f>
        <v/>
      </c>
    </row>
    <row r="4894" customFormat="false" ht="15" hidden="false" customHeight="false" outlineLevel="0" collapsed="false">
      <c r="F4894" s="41" t="str">
        <f aca="false">IF(E4894="","",IFERROR(VLOOKUP(E4894,Assumptions!$G$5:$H$16,2,0),"Other"))</f>
        <v/>
      </c>
      <c r="J4894" s="41" t="str">
        <f aca="false">IF(G4894="","",IFERROR(IF(ISNUMBER(SEARCH(Assumptions!$C$5,G4894)),Assumptions!$D$5,IF(ISNUMBER(SEARCH(Assumptions!$C$6,G4894)),Assumptions!$D$6,IF(ISNUMBER(SEARCH(Assumptions!$C$7,G4894)),Assumptions!$D$7,"Other Services"))),"Other Services"))</f>
        <v/>
      </c>
    </row>
    <row r="4895" customFormat="false" ht="15" hidden="false" customHeight="false" outlineLevel="0" collapsed="false">
      <c r="F4895" s="41" t="str">
        <f aca="false">IF(E4895="","",IFERROR(VLOOKUP(E4895,Assumptions!$G$5:$H$16,2,0),"Other"))</f>
        <v/>
      </c>
      <c r="J4895" s="41" t="str">
        <f aca="false">IF(G4895="","",IFERROR(IF(ISNUMBER(SEARCH(Assumptions!$C$5,G4895)),Assumptions!$D$5,IF(ISNUMBER(SEARCH(Assumptions!$C$6,G4895)),Assumptions!$D$6,IF(ISNUMBER(SEARCH(Assumptions!$C$7,G4895)),Assumptions!$D$7,"Other Services"))),"Other Services"))</f>
        <v/>
      </c>
    </row>
    <row r="4896" customFormat="false" ht="15" hidden="false" customHeight="false" outlineLevel="0" collapsed="false">
      <c r="F4896" s="41" t="str">
        <f aca="false">IF(E4896="","",IFERROR(VLOOKUP(E4896,Assumptions!$G$5:$H$16,2,0),"Other"))</f>
        <v/>
      </c>
      <c r="J4896" s="41" t="str">
        <f aca="false">IF(G4896="","",IFERROR(IF(ISNUMBER(SEARCH(Assumptions!$C$5,G4896)),Assumptions!$D$5,IF(ISNUMBER(SEARCH(Assumptions!$C$6,G4896)),Assumptions!$D$6,IF(ISNUMBER(SEARCH(Assumptions!$C$7,G4896)),Assumptions!$D$7,"Other Services"))),"Other Services"))</f>
        <v/>
      </c>
    </row>
    <row r="4897" customFormat="false" ht="15" hidden="false" customHeight="false" outlineLevel="0" collapsed="false">
      <c r="F4897" s="41" t="str">
        <f aca="false">IF(E4897="","",IFERROR(VLOOKUP(E4897,Assumptions!$G$5:$H$16,2,0),"Other"))</f>
        <v/>
      </c>
      <c r="J4897" s="41" t="str">
        <f aca="false">IF(G4897="","",IFERROR(IF(ISNUMBER(SEARCH(Assumptions!$C$5,G4897)),Assumptions!$D$5,IF(ISNUMBER(SEARCH(Assumptions!$C$6,G4897)),Assumptions!$D$6,IF(ISNUMBER(SEARCH(Assumptions!$C$7,G4897)),Assumptions!$D$7,"Other Services"))),"Other Services"))</f>
        <v/>
      </c>
    </row>
    <row r="4898" customFormat="false" ht="15" hidden="false" customHeight="false" outlineLevel="0" collapsed="false">
      <c r="F4898" s="41" t="str">
        <f aca="false">IF(E4898="","",IFERROR(VLOOKUP(E4898,Assumptions!$G$5:$H$16,2,0),"Other"))</f>
        <v/>
      </c>
      <c r="J4898" s="41" t="str">
        <f aca="false">IF(G4898="","",IFERROR(IF(ISNUMBER(SEARCH(Assumptions!$C$5,G4898)),Assumptions!$D$5,IF(ISNUMBER(SEARCH(Assumptions!$C$6,G4898)),Assumptions!$D$6,IF(ISNUMBER(SEARCH(Assumptions!$C$7,G4898)),Assumptions!$D$7,"Other Services"))),"Other Services"))</f>
        <v/>
      </c>
    </row>
    <row r="4899" customFormat="false" ht="15" hidden="false" customHeight="false" outlineLevel="0" collapsed="false">
      <c r="F4899" s="41" t="str">
        <f aca="false">IF(E4899="","",IFERROR(VLOOKUP(E4899,Assumptions!$G$5:$H$16,2,0),"Other"))</f>
        <v/>
      </c>
      <c r="J4899" s="41" t="str">
        <f aca="false">IF(G4899="","",IFERROR(IF(ISNUMBER(SEARCH(Assumptions!$C$5,G4899)),Assumptions!$D$5,IF(ISNUMBER(SEARCH(Assumptions!$C$6,G4899)),Assumptions!$D$6,IF(ISNUMBER(SEARCH(Assumptions!$C$7,G4899)),Assumptions!$D$7,"Other Services"))),"Other Services"))</f>
        <v/>
      </c>
    </row>
    <row r="4900" customFormat="false" ht="15" hidden="false" customHeight="false" outlineLevel="0" collapsed="false">
      <c r="F4900" s="41" t="str">
        <f aca="false">IF(E4900="","",IFERROR(VLOOKUP(E4900,Assumptions!$G$5:$H$16,2,0),"Other"))</f>
        <v/>
      </c>
      <c r="J4900" s="41" t="str">
        <f aca="false">IF(G4900="","",IFERROR(IF(ISNUMBER(SEARCH(Assumptions!$C$5,G4900)),Assumptions!$D$5,IF(ISNUMBER(SEARCH(Assumptions!$C$6,G4900)),Assumptions!$D$6,IF(ISNUMBER(SEARCH(Assumptions!$C$7,G4900)),Assumptions!$D$7,"Other Services"))),"Other Services"))</f>
        <v/>
      </c>
    </row>
    <row r="4901" customFormat="false" ht="15" hidden="false" customHeight="false" outlineLevel="0" collapsed="false">
      <c r="F4901" s="41" t="str">
        <f aca="false">IF(E4901="","",IFERROR(VLOOKUP(E4901,Assumptions!$G$5:$H$16,2,0),"Other"))</f>
        <v/>
      </c>
      <c r="J4901" s="41" t="str">
        <f aca="false">IF(G4901="","",IFERROR(IF(ISNUMBER(SEARCH(Assumptions!$C$5,G4901)),Assumptions!$D$5,IF(ISNUMBER(SEARCH(Assumptions!$C$6,G4901)),Assumptions!$D$6,IF(ISNUMBER(SEARCH(Assumptions!$C$7,G4901)),Assumptions!$D$7,"Other Services"))),"Other Services"))</f>
        <v/>
      </c>
    </row>
    <row r="4902" customFormat="false" ht="15" hidden="false" customHeight="false" outlineLevel="0" collapsed="false">
      <c r="F4902" s="41" t="str">
        <f aca="false">IF(E4902="","",IFERROR(VLOOKUP(E4902,Assumptions!$G$5:$H$16,2,0),"Other"))</f>
        <v/>
      </c>
      <c r="J4902" s="41" t="str">
        <f aca="false">IF(G4902="","",IFERROR(IF(ISNUMBER(SEARCH(Assumptions!$C$5,G4902)),Assumptions!$D$5,IF(ISNUMBER(SEARCH(Assumptions!$C$6,G4902)),Assumptions!$D$6,IF(ISNUMBER(SEARCH(Assumptions!$C$7,G4902)),Assumptions!$D$7,"Other Services"))),"Other Services"))</f>
        <v/>
      </c>
    </row>
    <row r="4903" customFormat="false" ht="15" hidden="false" customHeight="false" outlineLevel="0" collapsed="false">
      <c r="F4903" s="41" t="str">
        <f aca="false">IF(E4903="","",IFERROR(VLOOKUP(E4903,Assumptions!$G$5:$H$16,2,0),"Other"))</f>
        <v/>
      </c>
      <c r="J4903" s="41" t="str">
        <f aca="false">IF(G4903="","",IFERROR(IF(ISNUMBER(SEARCH(Assumptions!$C$5,G4903)),Assumptions!$D$5,IF(ISNUMBER(SEARCH(Assumptions!$C$6,G4903)),Assumptions!$D$6,IF(ISNUMBER(SEARCH(Assumptions!$C$7,G4903)),Assumptions!$D$7,"Other Services"))),"Other Services"))</f>
        <v/>
      </c>
    </row>
    <row r="4904" customFormat="false" ht="15" hidden="false" customHeight="false" outlineLevel="0" collapsed="false">
      <c r="F4904" s="41" t="str">
        <f aca="false">IF(E4904="","",IFERROR(VLOOKUP(E4904,Assumptions!$G$5:$H$16,2,0),"Other"))</f>
        <v/>
      </c>
      <c r="J4904" s="41" t="str">
        <f aca="false">IF(G4904="","",IFERROR(IF(ISNUMBER(SEARCH(Assumptions!$C$5,G4904)),Assumptions!$D$5,IF(ISNUMBER(SEARCH(Assumptions!$C$6,G4904)),Assumptions!$D$6,IF(ISNUMBER(SEARCH(Assumptions!$C$7,G4904)),Assumptions!$D$7,"Other Services"))),"Other Services"))</f>
        <v/>
      </c>
    </row>
    <row r="4905" customFormat="false" ht="15" hidden="false" customHeight="false" outlineLevel="0" collapsed="false">
      <c r="F4905" s="41" t="str">
        <f aca="false">IF(E4905="","",IFERROR(VLOOKUP(E4905,Assumptions!$G$5:$H$16,2,0),"Other"))</f>
        <v/>
      </c>
      <c r="J4905" s="41" t="str">
        <f aca="false">IF(G4905="","",IFERROR(IF(ISNUMBER(SEARCH(Assumptions!$C$5,G4905)),Assumptions!$D$5,IF(ISNUMBER(SEARCH(Assumptions!$C$6,G4905)),Assumptions!$D$6,IF(ISNUMBER(SEARCH(Assumptions!$C$7,G4905)),Assumptions!$D$7,"Other Services"))),"Other Services"))</f>
        <v/>
      </c>
    </row>
    <row r="4906" customFormat="false" ht="15" hidden="false" customHeight="false" outlineLevel="0" collapsed="false">
      <c r="F4906" s="41" t="str">
        <f aca="false">IF(E4906="","",IFERROR(VLOOKUP(E4906,Assumptions!$G$5:$H$16,2,0),"Other"))</f>
        <v/>
      </c>
      <c r="J4906" s="41" t="str">
        <f aca="false">IF(G4906="","",IFERROR(IF(ISNUMBER(SEARCH(Assumptions!$C$5,G4906)),Assumptions!$D$5,IF(ISNUMBER(SEARCH(Assumptions!$C$6,G4906)),Assumptions!$D$6,IF(ISNUMBER(SEARCH(Assumptions!$C$7,G4906)),Assumptions!$D$7,"Other Services"))),"Other Services"))</f>
        <v/>
      </c>
    </row>
    <row r="4907" customFormat="false" ht="15" hidden="false" customHeight="false" outlineLevel="0" collapsed="false">
      <c r="F4907" s="41" t="str">
        <f aca="false">IF(E4907="","",IFERROR(VLOOKUP(E4907,Assumptions!$G$5:$H$16,2,0),"Other"))</f>
        <v/>
      </c>
      <c r="J4907" s="41" t="str">
        <f aca="false">IF(G4907="","",IFERROR(IF(ISNUMBER(SEARCH(Assumptions!$C$5,G4907)),Assumptions!$D$5,IF(ISNUMBER(SEARCH(Assumptions!$C$6,G4907)),Assumptions!$D$6,IF(ISNUMBER(SEARCH(Assumptions!$C$7,G4907)),Assumptions!$D$7,"Other Services"))),"Other Services"))</f>
        <v/>
      </c>
    </row>
    <row r="4908" customFormat="false" ht="15" hidden="false" customHeight="false" outlineLevel="0" collapsed="false">
      <c r="F4908" s="41" t="str">
        <f aca="false">IF(E4908="","",IFERROR(VLOOKUP(E4908,Assumptions!$G$5:$H$16,2,0),"Other"))</f>
        <v/>
      </c>
      <c r="J4908" s="41" t="str">
        <f aca="false">IF(G4908="","",IFERROR(IF(ISNUMBER(SEARCH(Assumptions!$C$5,G4908)),Assumptions!$D$5,IF(ISNUMBER(SEARCH(Assumptions!$C$6,G4908)),Assumptions!$D$6,IF(ISNUMBER(SEARCH(Assumptions!$C$7,G4908)),Assumptions!$D$7,"Other Services"))),"Other Services"))</f>
        <v/>
      </c>
    </row>
    <row r="4909" customFormat="false" ht="15" hidden="false" customHeight="false" outlineLevel="0" collapsed="false">
      <c r="F4909" s="41" t="str">
        <f aca="false">IF(E4909="","",IFERROR(VLOOKUP(E4909,Assumptions!$G$5:$H$16,2,0),"Other"))</f>
        <v/>
      </c>
      <c r="J4909" s="41" t="str">
        <f aca="false">IF(G4909="","",IFERROR(IF(ISNUMBER(SEARCH(Assumptions!$C$5,G4909)),Assumptions!$D$5,IF(ISNUMBER(SEARCH(Assumptions!$C$6,G4909)),Assumptions!$D$6,IF(ISNUMBER(SEARCH(Assumptions!$C$7,G4909)),Assumptions!$D$7,"Other Services"))),"Other Services"))</f>
        <v/>
      </c>
    </row>
    <row r="4910" customFormat="false" ht="15" hidden="false" customHeight="false" outlineLevel="0" collapsed="false">
      <c r="F4910" s="41" t="str">
        <f aca="false">IF(E4910="","",IFERROR(VLOOKUP(E4910,Assumptions!$G$5:$H$16,2,0),"Other"))</f>
        <v/>
      </c>
      <c r="J4910" s="41" t="str">
        <f aca="false">IF(G4910="","",IFERROR(IF(ISNUMBER(SEARCH(Assumptions!$C$5,G4910)),Assumptions!$D$5,IF(ISNUMBER(SEARCH(Assumptions!$C$6,G4910)),Assumptions!$D$6,IF(ISNUMBER(SEARCH(Assumptions!$C$7,G4910)),Assumptions!$D$7,"Other Services"))),"Other Services"))</f>
        <v/>
      </c>
    </row>
    <row r="4911" customFormat="false" ht="15" hidden="false" customHeight="false" outlineLevel="0" collapsed="false">
      <c r="F4911" s="41" t="str">
        <f aca="false">IF(E4911="","",IFERROR(VLOOKUP(E4911,Assumptions!$G$5:$H$16,2,0),"Other"))</f>
        <v/>
      </c>
      <c r="J4911" s="41" t="str">
        <f aca="false">IF(G4911="","",IFERROR(IF(ISNUMBER(SEARCH(Assumptions!$C$5,G4911)),Assumptions!$D$5,IF(ISNUMBER(SEARCH(Assumptions!$C$6,G4911)),Assumptions!$D$6,IF(ISNUMBER(SEARCH(Assumptions!$C$7,G4911)),Assumptions!$D$7,"Other Services"))),"Other Services"))</f>
        <v/>
      </c>
    </row>
    <row r="4912" customFormat="false" ht="15" hidden="false" customHeight="false" outlineLevel="0" collapsed="false">
      <c r="F4912" s="41" t="str">
        <f aca="false">IF(E4912="","",IFERROR(VLOOKUP(E4912,Assumptions!$G$5:$H$16,2,0),"Other"))</f>
        <v/>
      </c>
      <c r="J4912" s="41" t="str">
        <f aca="false">IF(G4912="","",IFERROR(IF(ISNUMBER(SEARCH(Assumptions!$C$5,G4912)),Assumptions!$D$5,IF(ISNUMBER(SEARCH(Assumptions!$C$6,G4912)),Assumptions!$D$6,IF(ISNUMBER(SEARCH(Assumptions!$C$7,G4912)),Assumptions!$D$7,"Other Services"))),"Other Services"))</f>
        <v/>
      </c>
    </row>
    <row r="4913" customFormat="false" ht="15" hidden="false" customHeight="false" outlineLevel="0" collapsed="false">
      <c r="F4913" s="41" t="str">
        <f aca="false">IF(E4913="","",IFERROR(VLOOKUP(E4913,Assumptions!$G$5:$H$16,2,0),"Other"))</f>
        <v/>
      </c>
      <c r="J4913" s="41" t="str">
        <f aca="false">IF(G4913="","",IFERROR(IF(ISNUMBER(SEARCH(Assumptions!$C$5,G4913)),Assumptions!$D$5,IF(ISNUMBER(SEARCH(Assumptions!$C$6,G4913)),Assumptions!$D$6,IF(ISNUMBER(SEARCH(Assumptions!$C$7,G4913)),Assumptions!$D$7,"Other Services"))),"Other Services"))</f>
        <v/>
      </c>
    </row>
    <row r="4914" customFormat="false" ht="15" hidden="false" customHeight="false" outlineLevel="0" collapsed="false">
      <c r="F4914" s="41" t="str">
        <f aca="false">IF(E4914="","",IFERROR(VLOOKUP(E4914,Assumptions!$G$5:$H$16,2,0),"Other"))</f>
        <v/>
      </c>
      <c r="J4914" s="41" t="str">
        <f aca="false">IF(G4914="","",IFERROR(IF(ISNUMBER(SEARCH(Assumptions!$C$5,G4914)),Assumptions!$D$5,IF(ISNUMBER(SEARCH(Assumptions!$C$6,G4914)),Assumptions!$D$6,IF(ISNUMBER(SEARCH(Assumptions!$C$7,G4914)),Assumptions!$D$7,"Other Services"))),"Other Services"))</f>
        <v/>
      </c>
    </row>
    <row r="4915" customFormat="false" ht="15" hidden="false" customHeight="false" outlineLevel="0" collapsed="false">
      <c r="F4915" s="41" t="str">
        <f aca="false">IF(E4915="","",IFERROR(VLOOKUP(E4915,Assumptions!$G$5:$H$16,2,0),"Other"))</f>
        <v/>
      </c>
      <c r="J4915" s="41" t="str">
        <f aca="false">IF(G4915="","",IFERROR(IF(ISNUMBER(SEARCH(Assumptions!$C$5,G4915)),Assumptions!$D$5,IF(ISNUMBER(SEARCH(Assumptions!$C$6,G4915)),Assumptions!$D$6,IF(ISNUMBER(SEARCH(Assumptions!$C$7,G4915)),Assumptions!$D$7,"Other Services"))),"Other Services"))</f>
        <v/>
      </c>
    </row>
    <row r="4916" customFormat="false" ht="15" hidden="false" customHeight="false" outlineLevel="0" collapsed="false">
      <c r="F4916" s="41" t="str">
        <f aca="false">IF(E4916="","",IFERROR(VLOOKUP(E4916,Assumptions!$G$5:$H$16,2,0),"Other"))</f>
        <v/>
      </c>
      <c r="J4916" s="41" t="str">
        <f aca="false">IF(G4916="","",IFERROR(IF(ISNUMBER(SEARCH(Assumptions!$C$5,G4916)),Assumptions!$D$5,IF(ISNUMBER(SEARCH(Assumptions!$C$6,G4916)),Assumptions!$D$6,IF(ISNUMBER(SEARCH(Assumptions!$C$7,G4916)),Assumptions!$D$7,"Other Services"))),"Other Services"))</f>
        <v/>
      </c>
    </row>
    <row r="4917" customFormat="false" ht="15" hidden="false" customHeight="false" outlineLevel="0" collapsed="false">
      <c r="F4917" s="41" t="str">
        <f aca="false">IF(E4917="","",IFERROR(VLOOKUP(E4917,Assumptions!$G$5:$H$16,2,0),"Other"))</f>
        <v/>
      </c>
      <c r="J4917" s="41" t="str">
        <f aca="false">IF(G4917="","",IFERROR(IF(ISNUMBER(SEARCH(Assumptions!$C$5,G4917)),Assumptions!$D$5,IF(ISNUMBER(SEARCH(Assumptions!$C$6,G4917)),Assumptions!$D$6,IF(ISNUMBER(SEARCH(Assumptions!$C$7,G4917)),Assumptions!$D$7,"Other Services"))),"Other Services"))</f>
        <v/>
      </c>
    </row>
    <row r="4918" customFormat="false" ht="15" hidden="false" customHeight="false" outlineLevel="0" collapsed="false">
      <c r="F4918" s="41" t="str">
        <f aca="false">IF(E4918="","",IFERROR(VLOOKUP(E4918,Assumptions!$G$5:$H$16,2,0),"Other"))</f>
        <v/>
      </c>
      <c r="J4918" s="41" t="str">
        <f aca="false">IF(G4918="","",IFERROR(IF(ISNUMBER(SEARCH(Assumptions!$C$5,G4918)),Assumptions!$D$5,IF(ISNUMBER(SEARCH(Assumptions!$C$6,G4918)),Assumptions!$D$6,IF(ISNUMBER(SEARCH(Assumptions!$C$7,G4918)),Assumptions!$D$7,"Other Services"))),"Other Services"))</f>
        <v/>
      </c>
    </row>
    <row r="4919" customFormat="false" ht="15" hidden="false" customHeight="false" outlineLevel="0" collapsed="false">
      <c r="F4919" s="41" t="str">
        <f aca="false">IF(E4919="","",IFERROR(VLOOKUP(E4919,Assumptions!$G$5:$H$16,2,0),"Other"))</f>
        <v/>
      </c>
      <c r="J4919" s="41" t="str">
        <f aca="false">IF(G4919="","",IFERROR(IF(ISNUMBER(SEARCH(Assumptions!$C$5,G4919)),Assumptions!$D$5,IF(ISNUMBER(SEARCH(Assumptions!$C$6,G4919)),Assumptions!$D$6,IF(ISNUMBER(SEARCH(Assumptions!$C$7,G4919)),Assumptions!$D$7,"Other Services"))),"Other Services"))</f>
        <v/>
      </c>
    </row>
    <row r="4920" customFormat="false" ht="15" hidden="false" customHeight="false" outlineLevel="0" collapsed="false">
      <c r="F4920" s="41" t="str">
        <f aca="false">IF(E4920="","",IFERROR(VLOOKUP(E4920,Assumptions!$G$5:$H$16,2,0),"Other"))</f>
        <v/>
      </c>
      <c r="J4920" s="41" t="str">
        <f aca="false">IF(G4920="","",IFERROR(IF(ISNUMBER(SEARCH(Assumptions!$C$5,G4920)),Assumptions!$D$5,IF(ISNUMBER(SEARCH(Assumptions!$C$6,G4920)),Assumptions!$D$6,IF(ISNUMBER(SEARCH(Assumptions!$C$7,G4920)),Assumptions!$D$7,"Other Services"))),"Other Services"))</f>
        <v/>
      </c>
    </row>
    <row r="4921" customFormat="false" ht="15" hidden="false" customHeight="false" outlineLevel="0" collapsed="false">
      <c r="F4921" s="41" t="str">
        <f aca="false">IF(E4921="","",IFERROR(VLOOKUP(E4921,Assumptions!$G$5:$H$16,2,0),"Other"))</f>
        <v/>
      </c>
      <c r="J4921" s="41" t="str">
        <f aca="false">IF(G4921="","",IFERROR(IF(ISNUMBER(SEARCH(Assumptions!$C$5,G4921)),Assumptions!$D$5,IF(ISNUMBER(SEARCH(Assumptions!$C$6,G4921)),Assumptions!$D$6,IF(ISNUMBER(SEARCH(Assumptions!$C$7,G4921)),Assumptions!$D$7,"Other Services"))),"Other Services"))</f>
        <v/>
      </c>
    </row>
    <row r="4922" customFormat="false" ht="15" hidden="false" customHeight="false" outlineLevel="0" collapsed="false">
      <c r="F4922" s="41" t="str">
        <f aca="false">IF(E4922="","",IFERROR(VLOOKUP(E4922,Assumptions!$G$5:$H$16,2,0),"Other"))</f>
        <v/>
      </c>
      <c r="J4922" s="41" t="str">
        <f aca="false">IF(G4922="","",IFERROR(IF(ISNUMBER(SEARCH(Assumptions!$C$5,G4922)),Assumptions!$D$5,IF(ISNUMBER(SEARCH(Assumptions!$C$6,G4922)),Assumptions!$D$6,IF(ISNUMBER(SEARCH(Assumptions!$C$7,G4922)),Assumptions!$D$7,"Other Services"))),"Other Services"))</f>
        <v/>
      </c>
    </row>
    <row r="4923" customFormat="false" ht="15" hidden="false" customHeight="false" outlineLevel="0" collapsed="false">
      <c r="F4923" s="41" t="str">
        <f aca="false">IF(E4923="","",IFERROR(VLOOKUP(E4923,Assumptions!$G$5:$H$16,2,0),"Other"))</f>
        <v/>
      </c>
      <c r="J4923" s="41" t="str">
        <f aca="false">IF(G4923="","",IFERROR(IF(ISNUMBER(SEARCH(Assumptions!$C$5,G4923)),Assumptions!$D$5,IF(ISNUMBER(SEARCH(Assumptions!$C$6,G4923)),Assumptions!$D$6,IF(ISNUMBER(SEARCH(Assumptions!$C$7,G4923)),Assumptions!$D$7,"Other Services"))),"Other Services"))</f>
        <v/>
      </c>
    </row>
    <row r="4924" customFormat="false" ht="15" hidden="false" customHeight="false" outlineLevel="0" collapsed="false">
      <c r="F4924" s="41" t="str">
        <f aca="false">IF(E4924="","",IFERROR(VLOOKUP(E4924,Assumptions!$G$5:$H$16,2,0),"Other"))</f>
        <v/>
      </c>
      <c r="J4924" s="41" t="str">
        <f aca="false">IF(G4924="","",IFERROR(IF(ISNUMBER(SEARCH(Assumptions!$C$5,G4924)),Assumptions!$D$5,IF(ISNUMBER(SEARCH(Assumptions!$C$6,G4924)),Assumptions!$D$6,IF(ISNUMBER(SEARCH(Assumptions!$C$7,G4924)),Assumptions!$D$7,"Other Services"))),"Other Services"))</f>
        <v/>
      </c>
    </row>
    <row r="4925" customFormat="false" ht="15" hidden="false" customHeight="false" outlineLevel="0" collapsed="false">
      <c r="F4925" s="41" t="str">
        <f aca="false">IF(E4925="","",IFERROR(VLOOKUP(E4925,Assumptions!$G$5:$H$16,2,0),"Other"))</f>
        <v/>
      </c>
      <c r="J4925" s="41" t="str">
        <f aca="false">IF(G4925="","",IFERROR(IF(ISNUMBER(SEARCH(Assumptions!$C$5,G4925)),Assumptions!$D$5,IF(ISNUMBER(SEARCH(Assumptions!$C$6,G4925)),Assumptions!$D$6,IF(ISNUMBER(SEARCH(Assumptions!$C$7,G4925)),Assumptions!$D$7,"Other Services"))),"Other Services"))</f>
        <v/>
      </c>
    </row>
    <row r="4926" customFormat="false" ht="15" hidden="false" customHeight="false" outlineLevel="0" collapsed="false">
      <c r="F4926" s="41" t="str">
        <f aca="false">IF(E4926="","",IFERROR(VLOOKUP(E4926,Assumptions!$G$5:$H$16,2,0),"Other"))</f>
        <v/>
      </c>
      <c r="J4926" s="41" t="str">
        <f aca="false">IF(G4926="","",IFERROR(IF(ISNUMBER(SEARCH(Assumptions!$C$5,G4926)),Assumptions!$D$5,IF(ISNUMBER(SEARCH(Assumptions!$C$6,G4926)),Assumptions!$D$6,IF(ISNUMBER(SEARCH(Assumptions!$C$7,G4926)),Assumptions!$D$7,"Other Services"))),"Other Services"))</f>
        <v/>
      </c>
    </row>
    <row r="4927" customFormat="false" ht="15" hidden="false" customHeight="false" outlineLevel="0" collapsed="false">
      <c r="F4927" s="41" t="str">
        <f aca="false">IF(E4927="","",IFERROR(VLOOKUP(E4927,Assumptions!$G$5:$H$16,2,0),"Other"))</f>
        <v/>
      </c>
      <c r="J4927" s="41" t="str">
        <f aca="false">IF(G4927="","",IFERROR(IF(ISNUMBER(SEARCH(Assumptions!$C$5,G4927)),Assumptions!$D$5,IF(ISNUMBER(SEARCH(Assumptions!$C$6,G4927)),Assumptions!$D$6,IF(ISNUMBER(SEARCH(Assumptions!$C$7,G4927)),Assumptions!$D$7,"Other Services"))),"Other Services"))</f>
        <v/>
      </c>
    </row>
    <row r="4928" customFormat="false" ht="15" hidden="false" customHeight="false" outlineLevel="0" collapsed="false">
      <c r="F4928" s="41" t="str">
        <f aca="false">IF(E4928="","",IFERROR(VLOOKUP(E4928,Assumptions!$G$5:$H$16,2,0),"Other"))</f>
        <v/>
      </c>
      <c r="J4928" s="41" t="str">
        <f aca="false">IF(G4928="","",IFERROR(IF(ISNUMBER(SEARCH(Assumptions!$C$5,G4928)),Assumptions!$D$5,IF(ISNUMBER(SEARCH(Assumptions!$C$6,G4928)),Assumptions!$D$6,IF(ISNUMBER(SEARCH(Assumptions!$C$7,G4928)),Assumptions!$D$7,"Other Services"))),"Other Services"))</f>
        <v/>
      </c>
    </row>
    <row r="4929" customFormat="false" ht="15" hidden="false" customHeight="false" outlineLevel="0" collapsed="false">
      <c r="F4929" s="41" t="str">
        <f aca="false">IF(E4929="","",IFERROR(VLOOKUP(E4929,Assumptions!$G$5:$H$16,2,0),"Other"))</f>
        <v/>
      </c>
      <c r="J4929" s="41" t="str">
        <f aca="false">IF(G4929="","",IFERROR(IF(ISNUMBER(SEARCH(Assumptions!$C$5,G4929)),Assumptions!$D$5,IF(ISNUMBER(SEARCH(Assumptions!$C$6,G4929)),Assumptions!$D$6,IF(ISNUMBER(SEARCH(Assumptions!$C$7,G4929)),Assumptions!$D$7,"Other Services"))),"Other Services"))</f>
        <v/>
      </c>
    </row>
    <row r="4930" customFormat="false" ht="15" hidden="false" customHeight="false" outlineLevel="0" collapsed="false">
      <c r="F4930" s="41" t="str">
        <f aca="false">IF(E4930="","",IFERROR(VLOOKUP(E4930,Assumptions!$G$5:$H$16,2,0),"Other"))</f>
        <v/>
      </c>
      <c r="J4930" s="41" t="str">
        <f aca="false">IF(G4930="","",IFERROR(IF(ISNUMBER(SEARCH(Assumptions!$C$5,G4930)),Assumptions!$D$5,IF(ISNUMBER(SEARCH(Assumptions!$C$6,G4930)),Assumptions!$D$6,IF(ISNUMBER(SEARCH(Assumptions!$C$7,G4930)),Assumptions!$D$7,"Other Services"))),"Other Services"))</f>
        <v/>
      </c>
    </row>
    <row r="4931" customFormat="false" ht="15" hidden="false" customHeight="false" outlineLevel="0" collapsed="false">
      <c r="F4931" s="41" t="str">
        <f aca="false">IF(E4931="","",IFERROR(VLOOKUP(E4931,Assumptions!$G$5:$H$16,2,0),"Other"))</f>
        <v/>
      </c>
      <c r="J4931" s="41" t="str">
        <f aca="false">IF(G4931="","",IFERROR(IF(ISNUMBER(SEARCH(Assumptions!$C$5,G4931)),Assumptions!$D$5,IF(ISNUMBER(SEARCH(Assumptions!$C$6,G4931)),Assumptions!$D$6,IF(ISNUMBER(SEARCH(Assumptions!$C$7,G4931)),Assumptions!$D$7,"Other Services"))),"Other Services"))</f>
        <v/>
      </c>
    </row>
    <row r="4932" customFormat="false" ht="15" hidden="false" customHeight="false" outlineLevel="0" collapsed="false">
      <c r="F4932" s="41" t="str">
        <f aca="false">IF(E4932="","",IFERROR(VLOOKUP(E4932,Assumptions!$G$5:$H$16,2,0),"Other"))</f>
        <v/>
      </c>
      <c r="J4932" s="41" t="str">
        <f aca="false">IF(G4932="","",IFERROR(IF(ISNUMBER(SEARCH(Assumptions!$C$5,G4932)),Assumptions!$D$5,IF(ISNUMBER(SEARCH(Assumptions!$C$6,G4932)),Assumptions!$D$6,IF(ISNUMBER(SEARCH(Assumptions!$C$7,G4932)),Assumptions!$D$7,"Other Services"))),"Other Services"))</f>
        <v/>
      </c>
    </row>
    <row r="4933" customFormat="false" ht="15" hidden="false" customHeight="false" outlineLevel="0" collapsed="false">
      <c r="F4933" s="41" t="str">
        <f aca="false">IF(E4933="","",IFERROR(VLOOKUP(E4933,Assumptions!$G$5:$H$16,2,0),"Other"))</f>
        <v/>
      </c>
      <c r="J4933" s="41" t="str">
        <f aca="false">IF(G4933="","",IFERROR(IF(ISNUMBER(SEARCH(Assumptions!$C$5,G4933)),Assumptions!$D$5,IF(ISNUMBER(SEARCH(Assumptions!$C$6,G4933)),Assumptions!$D$6,IF(ISNUMBER(SEARCH(Assumptions!$C$7,G4933)),Assumptions!$D$7,"Other Services"))),"Other Services"))</f>
        <v/>
      </c>
    </row>
    <row r="4934" customFormat="false" ht="15" hidden="false" customHeight="false" outlineLevel="0" collapsed="false">
      <c r="F4934" s="41" t="str">
        <f aca="false">IF(E4934="","",IFERROR(VLOOKUP(E4934,Assumptions!$G$5:$H$16,2,0),"Other"))</f>
        <v/>
      </c>
      <c r="J4934" s="41" t="str">
        <f aca="false">IF(G4934="","",IFERROR(IF(ISNUMBER(SEARCH(Assumptions!$C$5,G4934)),Assumptions!$D$5,IF(ISNUMBER(SEARCH(Assumptions!$C$6,G4934)),Assumptions!$D$6,IF(ISNUMBER(SEARCH(Assumptions!$C$7,G4934)),Assumptions!$D$7,"Other Services"))),"Other Services"))</f>
        <v/>
      </c>
    </row>
    <row r="4935" customFormat="false" ht="15" hidden="false" customHeight="false" outlineLevel="0" collapsed="false">
      <c r="F4935" s="41" t="str">
        <f aca="false">IF(E4935="","",IFERROR(VLOOKUP(E4935,Assumptions!$G$5:$H$16,2,0),"Other"))</f>
        <v/>
      </c>
      <c r="J4935" s="41" t="str">
        <f aca="false">IF(G4935="","",IFERROR(IF(ISNUMBER(SEARCH(Assumptions!$C$5,G4935)),Assumptions!$D$5,IF(ISNUMBER(SEARCH(Assumptions!$C$6,G4935)),Assumptions!$D$6,IF(ISNUMBER(SEARCH(Assumptions!$C$7,G4935)),Assumptions!$D$7,"Other Services"))),"Other Services"))</f>
        <v/>
      </c>
    </row>
    <row r="4936" customFormat="false" ht="15" hidden="false" customHeight="false" outlineLevel="0" collapsed="false">
      <c r="F4936" s="41" t="str">
        <f aca="false">IF(E4936="","",IFERROR(VLOOKUP(E4936,Assumptions!$G$5:$H$16,2,0),"Other"))</f>
        <v/>
      </c>
      <c r="J4936" s="41" t="str">
        <f aca="false">IF(G4936="","",IFERROR(IF(ISNUMBER(SEARCH(Assumptions!$C$5,G4936)),Assumptions!$D$5,IF(ISNUMBER(SEARCH(Assumptions!$C$6,G4936)),Assumptions!$D$6,IF(ISNUMBER(SEARCH(Assumptions!$C$7,G4936)),Assumptions!$D$7,"Other Services"))),"Other Services"))</f>
        <v/>
      </c>
    </row>
    <row r="4937" customFormat="false" ht="15" hidden="false" customHeight="false" outlineLevel="0" collapsed="false">
      <c r="F4937" s="41" t="str">
        <f aca="false">IF(E4937="","",IFERROR(VLOOKUP(E4937,Assumptions!$G$5:$H$16,2,0),"Other"))</f>
        <v/>
      </c>
      <c r="J4937" s="41" t="str">
        <f aca="false">IF(G4937="","",IFERROR(IF(ISNUMBER(SEARCH(Assumptions!$C$5,G4937)),Assumptions!$D$5,IF(ISNUMBER(SEARCH(Assumptions!$C$6,G4937)),Assumptions!$D$6,IF(ISNUMBER(SEARCH(Assumptions!$C$7,G4937)),Assumptions!$D$7,"Other Services"))),"Other Services"))</f>
        <v/>
      </c>
    </row>
    <row r="4938" customFormat="false" ht="15" hidden="false" customHeight="false" outlineLevel="0" collapsed="false">
      <c r="F4938" s="41" t="str">
        <f aca="false">IF(E4938="","",IFERROR(VLOOKUP(E4938,Assumptions!$G$5:$H$16,2,0),"Other"))</f>
        <v/>
      </c>
      <c r="J4938" s="41" t="str">
        <f aca="false">IF(G4938="","",IFERROR(IF(ISNUMBER(SEARCH(Assumptions!$C$5,G4938)),Assumptions!$D$5,IF(ISNUMBER(SEARCH(Assumptions!$C$6,G4938)),Assumptions!$D$6,IF(ISNUMBER(SEARCH(Assumptions!$C$7,G4938)),Assumptions!$D$7,"Other Services"))),"Other Services"))</f>
        <v/>
      </c>
    </row>
    <row r="4939" customFormat="false" ht="15" hidden="false" customHeight="false" outlineLevel="0" collapsed="false">
      <c r="F4939" s="41" t="str">
        <f aca="false">IF(E4939="","",IFERROR(VLOOKUP(E4939,Assumptions!$G$5:$H$16,2,0),"Other"))</f>
        <v/>
      </c>
      <c r="J4939" s="41" t="str">
        <f aca="false">IF(G4939="","",IFERROR(IF(ISNUMBER(SEARCH(Assumptions!$C$5,G4939)),Assumptions!$D$5,IF(ISNUMBER(SEARCH(Assumptions!$C$6,G4939)),Assumptions!$D$6,IF(ISNUMBER(SEARCH(Assumptions!$C$7,G4939)),Assumptions!$D$7,"Other Services"))),"Other Services"))</f>
        <v/>
      </c>
    </row>
    <row r="4940" customFormat="false" ht="15" hidden="false" customHeight="false" outlineLevel="0" collapsed="false">
      <c r="F4940" s="41" t="str">
        <f aca="false">IF(E4940="","",IFERROR(VLOOKUP(E4940,Assumptions!$G$5:$H$16,2,0),"Other"))</f>
        <v/>
      </c>
      <c r="J4940" s="41" t="str">
        <f aca="false">IF(G4940="","",IFERROR(IF(ISNUMBER(SEARCH(Assumptions!$C$5,G4940)),Assumptions!$D$5,IF(ISNUMBER(SEARCH(Assumptions!$C$6,G4940)),Assumptions!$D$6,IF(ISNUMBER(SEARCH(Assumptions!$C$7,G4940)),Assumptions!$D$7,"Other Services"))),"Other Services"))</f>
        <v/>
      </c>
    </row>
    <row r="4941" customFormat="false" ht="15" hidden="false" customHeight="false" outlineLevel="0" collapsed="false">
      <c r="F4941" s="41" t="str">
        <f aca="false">IF(E4941="","",IFERROR(VLOOKUP(E4941,Assumptions!$G$5:$H$16,2,0),"Other"))</f>
        <v/>
      </c>
      <c r="J4941" s="41" t="str">
        <f aca="false">IF(G4941="","",IFERROR(IF(ISNUMBER(SEARCH(Assumptions!$C$5,G4941)),Assumptions!$D$5,IF(ISNUMBER(SEARCH(Assumptions!$C$6,G4941)),Assumptions!$D$6,IF(ISNUMBER(SEARCH(Assumptions!$C$7,G4941)),Assumptions!$D$7,"Other Services"))),"Other Services"))</f>
        <v/>
      </c>
    </row>
    <row r="4942" customFormat="false" ht="15" hidden="false" customHeight="false" outlineLevel="0" collapsed="false">
      <c r="F4942" s="41" t="str">
        <f aca="false">IF(E4942="","",IFERROR(VLOOKUP(E4942,Assumptions!$G$5:$H$16,2,0),"Other"))</f>
        <v/>
      </c>
      <c r="J4942" s="41" t="str">
        <f aca="false">IF(G4942="","",IFERROR(IF(ISNUMBER(SEARCH(Assumptions!$C$5,G4942)),Assumptions!$D$5,IF(ISNUMBER(SEARCH(Assumptions!$C$6,G4942)),Assumptions!$D$6,IF(ISNUMBER(SEARCH(Assumptions!$C$7,G4942)),Assumptions!$D$7,"Other Services"))),"Other Services"))</f>
        <v/>
      </c>
    </row>
    <row r="4943" customFormat="false" ht="15" hidden="false" customHeight="false" outlineLevel="0" collapsed="false">
      <c r="F4943" s="41" t="str">
        <f aca="false">IF(E4943="","",IFERROR(VLOOKUP(E4943,Assumptions!$G$5:$H$16,2,0),"Other"))</f>
        <v/>
      </c>
      <c r="J4943" s="41" t="str">
        <f aca="false">IF(G4943="","",IFERROR(IF(ISNUMBER(SEARCH(Assumptions!$C$5,G4943)),Assumptions!$D$5,IF(ISNUMBER(SEARCH(Assumptions!$C$6,G4943)),Assumptions!$D$6,IF(ISNUMBER(SEARCH(Assumptions!$C$7,G4943)),Assumptions!$D$7,"Other Services"))),"Other Services"))</f>
        <v/>
      </c>
    </row>
    <row r="4944" customFormat="false" ht="15" hidden="false" customHeight="false" outlineLevel="0" collapsed="false">
      <c r="F4944" s="41" t="str">
        <f aca="false">IF(E4944="","",IFERROR(VLOOKUP(E4944,Assumptions!$G$5:$H$16,2,0),"Other"))</f>
        <v/>
      </c>
      <c r="J4944" s="41" t="str">
        <f aca="false">IF(G4944="","",IFERROR(IF(ISNUMBER(SEARCH(Assumptions!$C$5,G4944)),Assumptions!$D$5,IF(ISNUMBER(SEARCH(Assumptions!$C$6,G4944)),Assumptions!$D$6,IF(ISNUMBER(SEARCH(Assumptions!$C$7,G4944)),Assumptions!$D$7,"Other Services"))),"Other Services"))</f>
        <v/>
      </c>
    </row>
    <row r="4945" customFormat="false" ht="15" hidden="false" customHeight="false" outlineLevel="0" collapsed="false">
      <c r="F4945" s="41" t="str">
        <f aca="false">IF(E4945="","",IFERROR(VLOOKUP(E4945,Assumptions!$G$5:$H$16,2,0),"Other"))</f>
        <v/>
      </c>
      <c r="J4945" s="41" t="str">
        <f aca="false">IF(G4945="","",IFERROR(IF(ISNUMBER(SEARCH(Assumptions!$C$5,G4945)),Assumptions!$D$5,IF(ISNUMBER(SEARCH(Assumptions!$C$6,G4945)),Assumptions!$D$6,IF(ISNUMBER(SEARCH(Assumptions!$C$7,G4945)),Assumptions!$D$7,"Other Services"))),"Other Services"))</f>
        <v/>
      </c>
    </row>
    <row r="4946" customFormat="false" ht="15" hidden="false" customHeight="false" outlineLevel="0" collapsed="false">
      <c r="F4946" s="41" t="str">
        <f aca="false">IF(E4946="","",IFERROR(VLOOKUP(E4946,Assumptions!$G$5:$H$16,2,0),"Other"))</f>
        <v/>
      </c>
      <c r="J4946" s="41" t="str">
        <f aca="false">IF(G4946="","",IFERROR(IF(ISNUMBER(SEARCH(Assumptions!$C$5,G4946)),Assumptions!$D$5,IF(ISNUMBER(SEARCH(Assumptions!$C$6,G4946)),Assumptions!$D$6,IF(ISNUMBER(SEARCH(Assumptions!$C$7,G4946)),Assumptions!$D$7,"Other Services"))),"Other Services"))</f>
        <v/>
      </c>
    </row>
    <row r="4947" customFormat="false" ht="15" hidden="false" customHeight="false" outlineLevel="0" collapsed="false">
      <c r="F4947" s="41" t="str">
        <f aca="false">IF(E4947="","",IFERROR(VLOOKUP(E4947,Assumptions!$G$5:$H$16,2,0),"Other"))</f>
        <v/>
      </c>
      <c r="J4947" s="41" t="str">
        <f aca="false">IF(G4947="","",IFERROR(IF(ISNUMBER(SEARCH(Assumptions!$C$5,G4947)),Assumptions!$D$5,IF(ISNUMBER(SEARCH(Assumptions!$C$6,G4947)),Assumptions!$D$6,IF(ISNUMBER(SEARCH(Assumptions!$C$7,G4947)),Assumptions!$D$7,"Other Services"))),"Other Services"))</f>
        <v/>
      </c>
    </row>
    <row r="4948" customFormat="false" ht="15" hidden="false" customHeight="false" outlineLevel="0" collapsed="false">
      <c r="F4948" s="41" t="str">
        <f aca="false">IF(E4948="","",IFERROR(VLOOKUP(E4948,Assumptions!$G$5:$H$16,2,0),"Other"))</f>
        <v/>
      </c>
      <c r="J4948" s="41" t="str">
        <f aca="false">IF(G4948="","",IFERROR(IF(ISNUMBER(SEARCH(Assumptions!$C$5,G4948)),Assumptions!$D$5,IF(ISNUMBER(SEARCH(Assumptions!$C$6,G4948)),Assumptions!$D$6,IF(ISNUMBER(SEARCH(Assumptions!$C$7,G4948)),Assumptions!$D$7,"Other Services"))),"Other Services"))</f>
        <v/>
      </c>
    </row>
    <row r="4949" customFormat="false" ht="15" hidden="false" customHeight="false" outlineLevel="0" collapsed="false">
      <c r="F4949" s="41" t="str">
        <f aca="false">IF(E4949="","",IFERROR(VLOOKUP(E4949,Assumptions!$G$5:$H$16,2,0),"Other"))</f>
        <v/>
      </c>
      <c r="J4949" s="41" t="str">
        <f aca="false">IF(G4949="","",IFERROR(IF(ISNUMBER(SEARCH(Assumptions!$C$5,G4949)),Assumptions!$D$5,IF(ISNUMBER(SEARCH(Assumptions!$C$6,G4949)),Assumptions!$D$6,IF(ISNUMBER(SEARCH(Assumptions!$C$7,G4949)),Assumptions!$D$7,"Other Services"))),"Other Services"))</f>
        <v/>
      </c>
    </row>
    <row r="4950" customFormat="false" ht="15" hidden="false" customHeight="false" outlineLevel="0" collapsed="false">
      <c r="F4950" s="41" t="str">
        <f aca="false">IF(E4950="","",IFERROR(VLOOKUP(E4950,Assumptions!$G$5:$H$16,2,0),"Other"))</f>
        <v/>
      </c>
      <c r="J4950" s="41" t="str">
        <f aca="false">IF(G4950="","",IFERROR(IF(ISNUMBER(SEARCH(Assumptions!$C$5,G4950)),Assumptions!$D$5,IF(ISNUMBER(SEARCH(Assumptions!$C$6,G4950)),Assumptions!$D$6,IF(ISNUMBER(SEARCH(Assumptions!$C$7,G4950)),Assumptions!$D$7,"Other Services"))),"Other Services"))</f>
        <v/>
      </c>
    </row>
    <row r="4951" customFormat="false" ht="15" hidden="false" customHeight="false" outlineLevel="0" collapsed="false">
      <c r="F4951" s="41" t="str">
        <f aca="false">IF(E4951="","",IFERROR(VLOOKUP(E4951,Assumptions!$G$5:$H$16,2,0),"Other"))</f>
        <v/>
      </c>
      <c r="J4951" s="41" t="str">
        <f aca="false">IF(G4951="","",IFERROR(IF(ISNUMBER(SEARCH(Assumptions!$C$5,G4951)),Assumptions!$D$5,IF(ISNUMBER(SEARCH(Assumptions!$C$6,G4951)),Assumptions!$D$6,IF(ISNUMBER(SEARCH(Assumptions!$C$7,G4951)),Assumptions!$D$7,"Other Services"))),"Other Services"))</f>
        <v/>
      </c>
    </row>
    <row r="4952" customFormat="false" ht="15" hidden="false" customHeight="false" outlineLevel="0" collapsed="false">
      <c r="F4952" s="41" t="str">
        <f aca="false">IF(E4952="","",IFERROR(VLOOKUP(E4952,Assumptions!$G$5:$H$16,2,0),"Other"))</f>
        <v/>
      </c>
      <c r="J4952" s="41" t="str">
        <f aca="false">IF(G4952="","",IFERROR(IF(ISNUMBER(SEARCH(Assumptions!$C$5,G4952)),Assumptions!$D$5,IF(ISNUMBER(SEARCH(Assumptions!$C$6,G4952)),Assumptions!$D$6,IF(ISNUMBER(SEARCH(Assumptions!$C$7,G4952)),Assumptions!$D$7,"Other Services"))),"Other Services"))</f>
        <v/>
      </c>
    </row>
    <row r="4953" customFormat="false" ht="15" hidden="false" customHeight="false" outlineLevel="0" collapsed="false">
      <c r="F4953" s="41" t="str">
        <f aca="false">IF(E4953="","",IFERROR(VLOOKUP(E4953,Assumptions!$G$5:$H$16,2,0),"Other"))</f>
        <v/>
      </c>
      <c r="J4953" s="41" t="str">
        <f aca="false">IF(G4953="","",IFERROR(IF(ISNUMBER(SEARCH(Assumptions!$C$5,G4953)),Assumptions!$D$5,IF(ISNUMBER(SEARCH(Assumptions!$C$6,G4953)),Assumptions!$D$6,IF(ISNUMBER(SEARCH(Assumptions!$C$7,G4953)),Assumptions!$D$7,"Other Services"))),"Other Services"))</f>
        <v/>
      </c>
    </row>
    <row r="4954" customFormat="false" ht="15" hidden="false" customHeight="false" outlineLevel="0" collapsed="false">
      <c r="F4954" s="41" t="str">
        <f aca="false">IF(E4954="","",IFERROR(VLOOKUP(E4954,Assumptions!$G$5:$H$16,2,0),"Other"))</f>
        <v/>
      </c>
      <c r="J4954" s="41" t="str">
        <f aca="false">IF(G4954="","",IFERROR(IF(ISNUMBER(SEARCH(Assumptions!$C$5,G4954)),Assumptions!$D$5,IF(ISNUMBER(SEARCH(Assumptions!$C$6,G4954)),Assumptions!$D$6,IF(ISNUMBER(SEARCH(Assumptions!$C$7,G4954)),Assumptions!$D$7,"Other Services"))),"Other Services"))</f>
        <v/>
      </c>
    </row>
    <row r="4955" customFormat="false" ht="15" hidden="false" customHeight="false" outlineLevel="0" collapsed="false">
      <c r="F4955" s="41" t="str">
        <f aca="false">IF(E4955="","",IFERROR(VLOOKUP(E4955,Assumptions!$G$5:$H$16,2,0),"Other"))</f>
        <v/>
      </c>
      <c r="J4955" s="41" t="str">
        <f aca="false">IF(G4955="","",IFERROR(IF(ISNUMBER(SEARCH(Assumptions!$C$5,G4955)),Assumptions!$D$5,IF(ISNUMBER(SEARCH(Assumptions!$C$6,G4955)),Assumptions!$D$6,IF(ISNUMBER(SEARCH(Assumptions!$C$7,G4955)),Assumptions!$D$7,"Other Services"))),"Other Services"))</f>
        <v/>
      </c>
    </row>
    <row r="4956" customFormat="false" ht="15" hidden="false" customHeight="false" outlineLevel="0" collapsed="false">
      <c r="F4956" s="41" t="str">
        <f aca="false">IF(E4956="","",IFERROR(VLOOKUP(E4956,Assumptions!$G$5:$H$16,2,0),"Other"))</f>
        <v/>
      </c>
      <c r="J4956" s="41" t="str">
        <f aca="false">IF(G4956="","",IFERROR(IF(ISNUMBER(SEARCH(Assumptions!$C$5,G4956)),Assumptions!$D$5,IF(ISNUMBER(SEARCH(Assumptions!$C$6,G4956)),Assumptions!$D$6,IF(ISNUMBER(SEARCH(Assumptions!$C$7,G4956)),Assumptions!$D$7,"Other Services"))),"Other Services"))</f>
        <v/>
      </c>
    </row>
    <row r="4957" customFormat="false" ht="15" hidden="false" customHeight="false" outlineLevel="0" collapsed="false">
      <c r="F4957" s="41" t="str">
        <f aca="false">IF(E4957="","",IFERROR(VLOOKUP(E4957,Assumptions!$G$5:$H$16,2,0),"Other"))</f>
        <v/>
      </c>
      <c r="J4957" s="41" t="str">
        <f aca="false">IF(G4957="","",IFERROR(IF(ISNUMBER(SEARCH(Assumptions!$C$5,G4957)),Assumptions!$D$5,IF(ISNUMBER(SEARCH(Assumptions!$C$6,G4957)),Assumptions!$D$6,IF(ISNUMBER(SEARCH(Assumptions!$C$7,G4957)),Assumptions!$D$7,"Other Services"))),"Other Services"))</f>
        <v/>
      </c>
    </row>
    <row r="4958" customFormat="false" ht="15" hidden="false" customHeight="false" outlineLevel="0" collapsed="false">
      <c r="F4958" s="41" t="str">
        <f aca="false">IF(E4958="","",IFERROR(VLOOKUP(E4958,Assumptions!$G$5:$H$16,2,0),"Other"))</f>
        <v/>
      </c>
      <c r="J4958" s="41" t="str">
        <f aca="false">IF(G4958="","",IFERROR(IF(ISNUMBER(SEARCH(Assumptions!$C$5,G4958)),Assumptions!$D$5,IF(ISNUMBER(SEARCH(Assumptions!$C$6,G4958)),Assumptions!$D$6,IF(ISNUMBER(SEARCH(Assumptions!$C$7,G4958)),Assumptions!$D$7,"Other Services"))),"Other Services"))</f>
        <v/>
      </c>
    </row>
    <row r="4959" customFormat="false" ht="15" hidden="false" customHeight="false" outlineLevel="0" collapsed="false">
      <c r="F4959" s="41" t="str">
        <f aca="false">IF(E4959="","",IFERROR(VLOOKUP(E4959,Assumptions!$G$5:$H$16,2,0),"Other"))</f>
        <v/>
      </c>
      <c r="J4959" s="41" t="str">
        <f aca="false">IF(G4959="","",IFERROR(IF(ISNUMBER(SEARCH(Assumptions!$C$5,G4959)),Assumptions!$D$5,IF(ISNUMBER(SEARCH(Assumptions!$C$6,G4959)),Assumptions!$D$6,IF(ISNUMBER(SEARCH(Assumptions!$C$7,G4959)),Assumptions!$D$7,"Other Services"))),"Other Services"))</f>
        <v/>
      </c>
    </row>
    <row r="4960" customFormat="false" ht="15" hidden="false" customHeight="false" outlineLevel="0" collapsed="false">
      <c r="F4960" s="41" t="str">
        <f aca="false">IF(E4960="","",IFERROR(VLOOKUP(E4960,Assumptions!$G$5:$H$16,2,0),"Other"))</f>
        <v/>
      </c>
      <c r="J4960" s="41" t="str">
        <f aca="false">IF(G4960="","",IFERROR(IF(ISNUMBER(SEARCH(Assumptions!$C$5,G4960)),Assumptions!$D$5,IF(ISNUMBER(SEARCH(Assumptions!$C$6,G4960)),Assumptions!$D$6,IF(ISNUMBER(SEARCH(Assumptions!$C$7,G4960)),Assumptions!$D$7,"Other Services"))),"Other Services"))</f>
        <v/>
      </c>
    </row>
    <row r="4961" customFormat="false" ht="15" hidden="false" customHeight="false" outlineLevel="0" collapsed="false">
      <c r="F4961" s="41" t="str">
        <f aca="false">IF(E4961="","",IFERROR(VLOOKUP(E4961,Assumptions!$G$5:$H$16,2,0),"Other"))</f>
        <v/>
      </c>
      <c r="J4961" s="41" t="str">
        <f aca="false">IF(G4961="","",IFERROR(IF(ISNUMBER(SEARCH(Assumptions!$C$5,G4961)),Assumptions!$D$5,IF(ISNUMBER(SEARCH(Assumptions!$C$6,G4961)),Assumptions!$D$6,IF(ISNUMBER(SEARCH(Assumptions!$C$7,G4961)),Assumptions!$D$7,"Other Services"))),"Other Services"))</f>
        <v/>
      </c>
    </row>
    <row r="4962" customFormat="false" ht="15" hidden="false" customHeight="false" outlineLevel="0" collapsed="false">
      <c r="F4962" s="41" t="str">
        <f aca="false">IF(E4962="","",IFERROR(VLOOKUP(E4962,Assumptions!$G$5:$H$16,2,0),"Other"))</f>
        <v/>
      </c>
      <c r="J4962" s="41" t="str">
        <f aca="false">IF(G4962="","",IFERROR(IF(ISNUMBER(SEARCH(Assumptions!$C$5,G4962)),Assumptions!$D$5,IF(ISNUMBER(SEARCH(Assumptions!$C$6,G4962)),Assumptions!$D$6,IF(ISNUMBER(SEARCH(Assumptions!$C$7,G4962)),Assumptions!$D$7,"Other Services"))),"Other Services"))</f>
        <v/>
      </c>
    </row>
    <row r="4963" customFormat="false" ht="15" hidden="false" customHeight="false" outlineLevel="0" collapsed="false">
      <c r="F4963" s="41" t="str">
        <f aca="false">IF(E4963="","",IFERROR(VLOOKUP(E4963,Assumptions!$G$5:$H$16,2,0),"Other"))</f>
        <v/>
      </c>
      <c r="J4963" s="41" t="str">
        <f aca="false">IF(G4963="","",IFERROR(IF(ISNUMBER(SEARCH(Assumptions!$C$5,G4963)),Assumptions!$D$5,IF(ISNUMBER(SEARCH(Assumptions!$C$6,G4963)),Assumptions!$D$6,IF(ISNUMBER(SEARCH(Assumptions!$C$7,G4963)),Assumptions!$D$7,"Other Services"))),"Other Services"))</f>
        <v/>
      </c>
    </row>
    <row r="4964" customFormat="false" ht="15" hidden="false" customHeight="false" outlineLevel="0" collapsed="false">
      <c r="F4964" s="41" t="str">
        <f aca="false">IF(E4964="","",IFERROR(VLOOKUP(E4964,Assumptions!$G$5:$H$16,2,0),"Other"))</f>
        <v/>
      </c>
      <c r="J4964" s="41" t="str">
        <f aca="false">IF(G4964="","",IFERROR(IF(ISNUMBER(SEARCH(Assumptions!$C$5,G4964)),Assumptions!$D$5,IF(ISNUMBER(SEARCH(Assumptions!$C$6,G4964)),Assumptions!$D$6,IF(ISNUMBER(SEARCH(Assumptions!$C$7,G4964)),Assumptions!$D$7,"Other Services"))),"Other Services"))</f>
        <v/>
      </c>
    </row>
    <row r="4965" customFormat="false" ht="15" hidden="false" customHeight="false" outlineLevel="0" collapsed="false">
      <c r="F4965" s="41" t="str">
        <f aca="false">IF(E4965="","",IFERROR(VLOOKUP(E4965,Assumptions!$G$5:$H$16,2,0),"Other"))</f>
        <v/>
      </c>
      <c r="J4965" s="41" t="str">
        <f aca="false">IF(G4965="","",IFERROR(IF(ISNUMBER(SEARCH(Assumptions!$C$5,G4965)),Assumptions!$D$5,IF(ISNUMBER(SEARCH(Assumptions!$C$6,G4965)),Assumptions!$D$6,IF(ISNUMBER(SEARCH(Assumptions!$C$7,G4965)),Assumptions!$D$7,"Other Services"))),"Other Services"))</f>
        <v/>
      </c>
    </row>
    <row r="4966" customFormat="false" ht="15" hidden="false" customHeight="false" outlineLevel="0" collapsed="false">
      <c r="F4966" s="41" t="str">
        <f aca="false">IF(E4966="","",IFERROR(VLOOKUP(E4966,Assumptions!$G$5:$H$16,2,0),"Other"))</f>
        <v/>
      </c>
      <c r="J4966" s="41" t="str">
        <f aca="false">IF(G4966="","",IFERROR(IF(ISNUMBER(SEARCH(Assumptions!$C$5,G4966)),Assumptions!$D$5,IF(ISNUMBER(SEARCH(Assumptions!$C$6,G4966)),Assumptions!$D$6,IF(ISNUMBER(SEARCH(Assumptions!$C$7,G4966)),Assumptions!$D$7,"Other Services"))),"Other Services"))</f>
        <v/>
      </c>
    </row>
    <row r="4967" customFormat="false" ht="15" hidden="false" customHeight="false" outlineLevel="0" collapsed="false">
      <c r="F4967" s="41" t="str">
        <f aca="false">IF(E4967="","",IFERROR(VLOOKUP(E4967,Assumptions!$G$5:$H$16,2,0),"Other"))</f>
        <v/>
      </c>
      <c r="J4967" s="41" t="str">
        <f aca="false">IF(G4967="","",IFERROR(IF(ISNUMBER(SEARCH(Assumptions!$C$5,G4967)),Assumptions!$D$5,IF(ISNUMBER(SEARCH(Assumptions!$C$6,G4967)),Assumptions!$D$6,IF(ISNUMBER(SEARCH(Assumptions!$C$7,G4967)),Assumptions!$D$7,"Other Services"))),"Other Services"))</f>
        <v/>
      </c>
    </row>
    <row r="4968" customFormat="false" ht="15" hidden="false" customHeight="false" outlineLevel="0" collapsed="false">
      <c r="F4968" s="41" t="str">
        <f aca="false">IF(E4968="","",IFERROR(VLOOKUP(E4968,Assumptions!$G$5:$H$16,2,0),"Other"))</f>
        <v/>
      </c>
      <c r="J4968" s="41" t="str">
        <f aca="false">IF(G4968="","",IFERROR(IF(ISNUMBER(SEARCH(Assumptions!$C$5,G4968)),Assumptions!$D$5,IF(ISNUMBER(SEARCH(Assumptions!$C$6,G4968)),Assumptions!$D$6,IF(ISNUMBER(SEARCH(Assumptions!$C$7,G4968)),Assumptions!$D$7,"Other Services"))),"Other Services"))</f>
        <v/>
      </c>
    </row>
    <row r="4969" customFormat="false" ht="15" hidden="false" customHeight="false" outlineLevel="0" collapsed="false">
      <c r="F4969" s="41" t="str">
        <f aca="false">IF(E4969="","",IFERROR(VLOOKUP(E4969,Assumptions!$G$5:$H$16,2,0),"Other"))</f>
        <v/>
      </c>
      <c r="J4969" s="41" t="str">
        <f aca="false">IF(G4969="","",IFERROR(IF(ISNUMBER(SEARCH(Assumptions!$C$5,G4969)),Assumptions!$D$5,IF(ISNUMBER(SEARCH(Assumptions!$C$6,G4969)),Assumptions!$D$6,IF(ISNUMBER(SEARCH(Assumptions!$C$7,G4969)),Assumptions!$D$7,"Other Services"))),"Other Services"))</f>
        <v/>
      </c>
    </row>
    <row r="4970" customFormat="false" ht="15" hidden="false" customHeight="false" outlineLevel="0" collapsed="false">
      <c r="F4970" s="41" t="str">
        <f aca="false">IF(E4970="","",IFERROR(VLOOKUP(E4970,Assumptions!$G$5:$H$16,2,0),"Other"))</f>
        <v/>
      </c>
      <c r="J4970" s="41" t="str">
        <f aca="false">IF(G4970="","",IFERROR(IF(ISNUMBER(SEARCH(Assumptions!$C$5,G4970)),Assumptions!$D$5,IF(ISNUMBER(SEARCH(Assumptions!$C$6,G4970)),Assumptions!$D$6,IF(ISNUMBER(SEARCH(Assumptions!$C$7,G4970)),Assumptions!$D$7,"Other Services"))),"Other Services"))</f>
        <v/>
      </c>
    </row>
    <row r="4971" customFormat="false" ht="15" hidden="false" customHeight="false" outlineLevel="0" collapsed="false">
      <c r="F4971" s="41" t="str">
        <f aca="false">IF(E4971="","",IFERROR(VLOOKUP(E4971,Assumptions!$G$5:$H$16,2,0),"Other"))</f>
        <v/>
      </c>
      <c r="J4971" s="41" t="str">
        <f aca="false">IF(G4971="","",IFERROR(IF(ISNUMBER(SEARCH(Assumptions!$C$5,G4971)),Assumptions!$D$5,IF(ISNUMBER(SEARCH(Assumptions!$C$6,G4971)),Assumptions!$D$6,IF(ISNUMBER(SEARCH(Assumptions!$C$7,G4971)),Assumptions!$D$7,"Other Services"))),"Other Services"))</f>
        <v/>
      </c>
    </row>
    <row r="4972" customFormat="false" ht="15" hidden="false" customHeight="false" outlineLevel="0" collapsed="false">
      <c r="F4972" s="41" t="str">
        <f aca="false">IF(E4972="","",IFERROR(VLOOKUP(E4972,Assumptions!$G$5:$H$16,2,0),"Other"))</f>
        <v/>
      </c>
      <c r="J4972" s="41" t="str">
        <f aca="false">IF(G4972="","",IFERROR(IF(ISNUMBER(SEARCH(Assumptions!$C$5,G4972)),Assumptions!$D$5,IF(ISNUMBER(SEARCH(Assumptions!$C$6,G4972)),Assumptions!$D$6,IF(ISNUMBER(SEARCH(Assumptions!$C$7,G4972)),Assumptions!$D$7,"Other Services"))),"Other Services"))</f>
        <v/>
      </c>
    </row>
    <row r="4973" customFormat="false" ht="15" hidden="false" customHeight="false" outlineLevel="0" collapsed="false">
      <c r="F4973" s="41" t="str">
        <f aca="false">IF(E4973="","",IFERROR(VLOOKUP(E4973,Assumptions!$G$5:$H$16,2,0),"Other"))</f>
        <v/>
      </c>
      <c r="J4973" s="41" t="str">
        <f aca="false">IF(G4973="","",IFERROR(IF(ISNUMBER(SEARCH(Assumptions!$C$5,G4973)),Assumptions!$D$5,IF(ISNUMBER(SEARCH(Assumptions!$C$6,G4973)),Assumptions!$D$6,IF(ISNUMBER(SEARCH(Assumptions!$C$7,G4973)),Assumptions!$D$7,"Other Services"))),"Other Services"))</f>
        <v/>
      </c>
    </row>
    <row r="4974" customFormat="false" ht="15" hidden="false" customHeight="false" outlineLevel="0" collapsed="false">
      <c r="F4974" s="41" t="str">
        <f aca="false">IF(E4974="","",IFERROR(VLOOKUP(E4974,Assumptions!$G$5:$H$16,2,0),"Other"))</f>
        <v/>
      </c>
      <c r="J4974" s="41" t="str">
        <f aca="false">IF(G4974="","",IFERROR(IF(ISNUMBER(SEARCH(Assumptions!$C$5,G4974)),Assumptions!$D$5,IF(ISNUMBER(SEARCH(Assumptions!$C$6,G4974)),Assumptions!$D$6,IF(ISNUMBER(SEARCH(Assumptions!$C$7,G4974)),Assumptions!$D$7,"Other Services"))),"Other Services"))</f>
        <v/>
      </c>
    </row>
    <row r="4975" customFormat="false" ht="15" hidden="false" customHeight="false" outlineLevel="0" collapsed="false">
      <c r="F4975" s="41" t="str">
        <f aca="false">IF(E4975="","",IFERROR(VLOOKUP(E4975,Assumptions!$G$5:$H$16,2,0),"Other"))</f>
        <v/>
      </c>
      <c r="J4975" s="41" t="str">
        <f aca="false">IF(G4975="","",IFERROR(IF(ISNUMBER(SEARCH(Assumptions!$C$5,G4975)),Assumptions!$D$5,IF(ISNUMBER(SEARCH(Assumptions!$C$6,G4975)),Assumptions!$D$6,IF(ISNUMBER(SEARCH(Assumptions!$C$7,G4975)),Assumptions!$D$7,"Other Services"))),"Other Services"))</f>
        <v/>
      </c>
    </row>
    <row r="4976" customFormat="false" ht="15" hidden="false" customHeight="false" outlineLevel="0" collapsed="false">
      <c r="F4976" s="41" t="str">
        <f aca="false">IF(E4976="","",IFERROR(VLOOKUP(E4976,Assumptions!$G$5:$H$16,2,0),"Other"))</f>
        <v/>
      </c>
      <c r="J4976" s="41" t="str">
        <f aca="false">IF(G4976="","",IFERROR(IF(ISNUMBER(SEARCH(Assumptions!$C$5,G4976)),Assumptions!$D$5,IF(ISNUMBER(SEARCH(Assumptions!$C$6,G4976)),Assumptions!$D$6,IF(ISNUMBER(SEARCH(Assumptions!$C$7,G4976)),Assumptions!$D$7,"Other Services"))),"Other Services"))</f>
        <v/>
      </c>
    </row>
    <row r="4977" customFormat="false" ht="15" hidden="false" customHeight="false" outlineLevel="0" collapsed="false">
      <c r="F4977" s="41" t="str">
        <f aca="false">IF(E4977="","",IFERROR(VLOOKUP(E4977,Assumptions!$G$5:$H$16,2,0),"Other"))</f>
        <v/>
      </c>
      <c r="J4977" s="41" t="str">
        <f aca="false">IF(G4977="","",IFERROR(IF(ISNUMBER(SEARCH(Assumptions!$C$5,G4977)),Assumptions!$D$5,IF(ISNUMBER(SEARCH(Assumptions!$C$6,G4977)),Assumptions!$D$6,IF(ISNUMBER(SEARCH(Assumptions!$C$7,G4977)),Assumptions!$D$7,"Other Services"))),"Other Services"))</f>
        <v/>
      </c>
    </row>
    <row r="4978" customFormat="false" ht="15" hidden="false" customHeight="false" outlineLevel="0" collapsed="false">
      <c r="F4978" s="41" t="str">
        <f aca="false">IF(E4978="","",IFERROR(VLOOKUP(E4978,Assumptions!$G$5:$H$16,2,0),"Other"))</f>
        <v/>
      </c>
      <c r="J4978" s="41" t="str">
        <f aca="false">IF(G4978="","",IFERROR(IF(ISNUMBER(SEARCH(Assumptions!$C$5,G4978)),Assumptions!$D$5,IF(ISNUMBER(SEARCH(Assumptions!$C$6,G4978)),Assumptions!$D$6,IF(ISNUMBER(SEARCH(Assumptions!$C$7,G4978)),Assumptions!$D$7,"Other Services"))),"Other Services"))</f>
        <v/>
      </c>
    </row>
    <row r="4979" customFormat="false" ht="15" hidden="false" customHeight="false" outlineLevel="0" collapsed="false">
      <c r="F4979" s="41" t="str">
        <f aca="false">IF(E4979="","",IFERROR(VLOOKUP(E4979,Assumptions!$G$5:$H$16,2,0),"Other"))</f>
        <v/>
      </c>
      <c r="J4979" s="41" t="str">
        <f aca="false">IF(G4979="","",IFERROR(IF(ISNUMBER(SEARCH(Assumptions!$C$5,G4979)),Assumptions!$D$5,IF(ISNUMBER(SEARCH(Assumptions!$C$6,G4979)),Assumptions!$D$6,IF(ISNUMBER(SEARCH(Assumptions!$C$7,G4979)),Assumptions!$D$7,"Other Services"))),"Other Services"))</f>
        <v/>
      </c>
    </row>
    <row r="4980" customFormat="false" ht="15" hidden="false" customHeight="false" outlineLevel="0" collapsed="false">
      <c r="F4980" s="41" t="str">
        <f aca="false">IF(E4980="","",IFERROR(VLOOKUP(E4980,Assumptions!$G$5:$H$16,2,0),"Other"))</f>
        <v/>
      </c>
      <c r="J4980" s="41" t="str">
        <f aca="false">IF(G4980="","",IFERROR(IF(ISNUMBER(SEARCH(Assumptions!$C$5,G4980)),Assumptions!$D$5,IF(ISNUMBER(SEARCH(Assumptions!$C$6,G4980)),Assumptions!$D$6,IF(ISNUMBER(SEARCH(Assumptions!$C$7,G4980)),Assumptions!$D$7,"Other Services"))),"Other Services"))</f>
        <v/>
      </c>
    </row>
    <row r="4981" customFormat="false" ht="15" hidden="false" customHeight="false" outlineLevel="0" collapsed="false">
      <c r="F4981" s="41" t="str">
        <f aca="false">IF(E4981="","",IFERROR(VLOOKUP(E4981,Assumptions!$G$5:$H$16,2,0),"Other"))</f>
        <v/>
      </c>
      <c r="J4981" s="41" t="str">
        <f aca="false">IF(G4981="","",IFERROR(IF(ISNUMBER(SEARCH(Assumptions!$C$5,G4981)),Assumptions!$D$5,IF(ISNUMBER(SEARCH(Assumptions!$C$6,G4981)),Assumptions!$D$6,IF(ISNUMBER(SEARCH(Assumptions!$C$7,G4981)),Assumptions!$D$7,"Other Services"))),"Other Services"))</f>
        <v/>
      </c>
    </row>
    <row r="4982" customFormat="false" ht="15" hidden="false" customHeight="false" outlineLevel="0" collapsed="false">
      <c r="F4982" s="41" t="str">
        <f aca="false">IF(E4982="","",IFERROR(VLOOKUP(E4982,Assumptions!$G$5:$H$16,2,0),"Other"))</f>
        <v/>
      </c>
      <c r="J4982" s="41" t="str">
        <f aca="false">IF(G4982="","",IFERROR(IF(ISNUMBER(SEARCH(Assumptions!$C$5,G4982)),Assumptions!$D$5,IF(ISNUMBER(SEARCH(Assumptions!$C$6,G4982)),Assumptions!$D$6,IF(ISNUMBER(SEARCH(Assumptions!$C$7,G4982)),Assumptions!$D$7,"Other Services"))),"Other Services"))</f>
        <v/>
      </c>
    </row>
    <row r="4983" customFormat="false" ht="15" hidden="false" customHeight="false" outlineLevel="0" collapsed="false">
      <c r="F4983" s="41" t="str">
        <f aca="false">IF(E4983="","",IFERROR(VLOOKUP(E4983,Assumptions!$G$5:$H$16,2,0),"Other"))</f>
        <v/>
      </c>
      <c r="J4983" s="41" t="str">
        <f aca="false">IF(G4983="","",IFERROR(IF(ISNUMBER(SEARCH(Assumptions!$C$5,G4983)),Assumptions!$D$5,IF(ISNUMBER(SEARCH(Assumptions!$C$6,G4983)),Assumptions!$D$6,IF(ISNUMBER(SEARCH(Assumptions!$C$7,G4983)),Assumptions!$D$7,"Other Services"))),"Other Services"))</f>
        <v/>
      </c>
    </row>
    <row r="4984" customFormat="false" ht="15" hidden="false" customHeight="false" outlineLevel="0" collapsed="false">
      <c r="F4984" s="41" t="str">
        <f aca="false">IF(E4984="","",IFERROR(VLOOKUP(E4984,Assumptions!$G$5:$H$16,2,0),"Other"))</f>
        <v/>
      </c>
      <c r="J4984" s="41" t="str">
        <f aca="false">IF(G4984="","",IFERROR(IF(ISNUMBER(SEARCH(Assumptions!$C$5,G4984)),Assumptions!$D$5,IF(ISNUMBER(SEARCH(Assumptions!$C$6,G4984)),Assumptions!$D$6,IF(ISNUMBER(SEARCH(Assumptions!$C$7,G4984)),Assumptions!$D$7,"Other Services"))),"Other Services"))</f>
        <v/>
      </c>
    </row>
    <row r="4985" customFormat="false" ht="15" hidden="false" customHeight="false" outlineLevel="0" collapsed="false">
      <c r="F4985" s="41" t="str">
        <f aca="false">IF(E4985="","",IFERROR(VLOOKUP(E4985,Assumptions!$G$5:$H$16,2,0),"Other"))</f>
        <v/>
      </c>
      <c r="J4985" s="41" t="str">
        <f aca="false">IF(G4985="","",IFERROR(IF(ISNUMBER(SEARCH(Assumptions!$C$5,G4985)),Assumptions!$D$5,IF(ISNUMBER(SEARCH(Assumptions!$C$6,G4985)),Assumptions!$D$6,IF(ISNUMBER(SEARCH(Assumptions!$C$7,G4985)),Assumptions!$D$7,"Other Services"))),"Other Services"))</f>
        <v/>
      </c>
    </row>
    <row r="4986" customFormat="false" ht="15" hidden="false" customHeight="false" outlineLevel="0" collapsed="false">
      <c r="F4986" s="41" t="str">
        <f aca="false">IF(E4986="","",IFERROR(VLOOKUP(E4986,Assumptions!$G$5:$H$16,2,0),"Other"))</f>
        <v/>
      </c>
      <c r="J4986" s="41" t="str">
        <f aca="false">IF(G4986="","",IFERROR(IF(ISNUMBER(SEARCH(Assumptions!$C$5,G4986)),Assumptions!$D$5,IF(ISNUMBER(SEARCH(Assumptions!$C$6,G4986)),Assumptions!$D$6,IF(ISNUMBER(SEARCH(Assumptions!$C$7,G4986)),Assumptions!$D$7,"Other Services"))),"Other Services"))</f>
        <v/>
      </c>
    </row>
    <row r="4987" customFormat="false" ht="15" hidden="false" customHeight="false" outlineLevel="0" collapsed="false">
      <c r="F4987" s="41" t="str">
        <f aca="false">IF(E4987="","",IFERROR(VLOOKUP(E4987,Assumptions!$G$5:$H$16,2,0),"Other"))</f>
        <v/>
      </c>
      <c r="J4987" s="41" t="str">
        <f aca="false">IF(G4987="","",IFERROR(IF(ISNUMBER(SEARCH(Assumptions!$C$5,G4987)),Assumptions!$D$5,IF(ISNUMBER(SEARCH(Assumptions!$C$6,G4987)),Assumptions!$D$6,IF(ISNUMBER(SEARCH(Assumptions!$C$7,G4987)),Assumptions!$D$7,"Other Services"))),"Other Services"))</f>
        <v/>
      </c>
    </row>
    <row r="4988" customFormat="false" ht="15" hidden="false" customHeight="false" outlineLevel="0" collapsed="false">
      <c r="F4988" s="41" t="str">
        <f aca="false">IF(E4988="","",IFERROR(VLOOKUP(E4988,Assumptions!$G$5:$H$16,2,0),"Other"))</f>
        <v/>
      </c>
      <c r="J4988" s="41" t="str">
        <f aca="false">IF(G4988="","",IFERROR(IF(ISNUMBER(SEARCH(Assumptions!$C$5,G4988)),Assumptions!$D$5,IF(ISNUMBER(SEARCH(Assumptions!$C$6,G4988)),Assumptions!$D$6,IF(ISNUMBER(SEARCH(Assumptions!$C$7,G4988)),Assumptions!$D$7,"Other Services"))),"Other Services"))</f>
        <v/>
      </c>
    </row>
    <row r="4989" customFormat="false" ht="15" hidden="false" customHeight="false" outlineLevel="0" collapsed="false">
      <c r="F4989" s="41" t="str">
        <f aca="false">IF(E4989="","",IFERROR(VLOOKUP(E4989,Assumptions!$G$5:$H$16,2,0),"Other"))</f>
        <v/>
      </c>
      <c r="J4989" s="41" t="str">
        <f aca="false">IF(G4989="","",IFERROR(IF(ISNUMBER(SEARCH(Assumptions!$C$5,G4989)),Assumptions!$D$5,IF(ISNUMBER(SEARCH(Assumptions!$C$6,G4989)),Assumptions!$D$6,IF(ISNUMBER(SEARCH(Assumptions!$C$7,G4989)),Assumptions!$D$7,"Other Services"))),"Other Services"))</f>
        <v/>
      </c>
    </row>
    <row r="4990" customFormat="false" ht="15" hidden="false" customHeight="false" outlineLevel="0" collapsed="false">
      <c r="F4990" s="41" t="str">
        <f aca="false">IF(E4990="","",IFERROR(VLOOKUP(E4990,Assumptions!$G$5:$H$16,2,0),"Other"))</f>
        <v/>
      </c>
      <c r="J4990" s="41" t="str">
        <f aca="false">IF(G4990="","",IFERROR(IF(ISNUMBER(SEARCH(Assumptions!$C$5,G4990)),Assumptions!$D$5,IF(ISNUMBER(SEARCH(Assumptions!$C$6,G4990)),Assumptions!$D$6,IF(ISNUMBER(SEARCH(Assumptions!$C$7,G4990)),Assumptions!$D$7,"Other Services"))),"Other Services"))</f>
        <v/>
      </c>
    </row>
    <row r="4991" customFormat="false" ht="15" hidden="false" customHeight="false" outlineLevel="0" collapsed="false">
      <c r="F4991" s="41" t="str">
        <f aca="false">IF(E4991="","",IFERROR(VLOOKUP(E4991,Assumptions!$G$5:$H$16,2,0),"Other"))</f>
        <v/>
      </c>
      <c r="J4991" s="41" t="str">
        <f aca="false">IF(G4991="","",IFERROR(IF(ISNUMBER(SEARCH(Assumptions!$C$5,G4991)),Assumptions!$D$5,IF(ISNUMBER(SEARCH(Assumptions!$C$6,G4991)),Assumptions!$D$6,IF(ISNUMBER(SEARCH(Assumptions!$C$7,G4991)),Assumptions!$D$7,"Other Services"))),"Other Services"))</f>
        <v/>
      </c>
    </row>
    <row r="4992" customFormat="false" ht="15" hidden="false" customHeight="false" outlineLevel="0" collapsed="false">
      <c r="F4992" s="41" t="str">
        <f aca="false">IF(E4992="","",IFERROR(VLOOKUP(E4992,Assumptions!$G$5:$H$16,2,0),"Other"))</f>
        <v/>
      </c>
      <c r="J4992" s="41" t="str">
        <f aca="false">IF(G4992="","",IFERROR(IF(ISNUMBER(SEARCH(Assumptions!$C$5,G4992)),Assumptions!$D$5,IF(ISNUMBER(SEARCH(Assumptions!$C$6,G4992)),Assumptions!$D$6,IF(ISNUMBER(SEARCH(Assumptions!$C$7,G4992)),Assumptions!$D$7,"Other Services"))),"Other Services"))</f>
        <v/>
      </c>
    </row>
    <row r="4993" customFormat="false" ht="15" hidden="false" customHeight="false" outlineLevel="0" collapsed="false">
      <c r="F4993" s="41" t="str">
        <f aca="false">IF(E4993="","",IFERROR(VLOOKUP(E4993,Assumptions!$G$5:$H$16,2,0),"Other"))</f>
        <v/>
      </c>
      <c r="J4993" s="41" t="str">
        <f aca="false">IF(G4993="","",IFERROR(IF(ISNUMBER(SEARCH(Assumptions!$C$5,G4993)),Assumptions!$D$5,IF(ISNUMBER(SEARCH(Assumptions!$C$6,G4993)),Assumptions!$D$6,IF(ISNUMBER(SEARCH(Assumptions!$C$7,G4993)),Assumptions!$D$7,"Other Services"))),"Other Services"))</f>
        <v/>
      </c>
    </row>
    <row r="4994" customFormat="false" ht="15" hidden="false" customHeight="false" outlineLevel="0" collapsed="false">
      <c r="F4994" s="41" t="str">
        <f aca="false">IF(E4994="","",IFERROR(VLOOKUP(E4994,Assumptions!$G$5:$H$16,2,0),"Other"))</f>
        <v/>
      </c>
      <c r="J4994" s="41" t="str">
        <f aca="false">IF(G4994="","",IFERROR(IF(ISNUMBER(SEARCH(Assumptions!$C$5,G4994)),Assumptions!$D$5,IF(ISNUMBER(SEARCH(Assumptions!$C$6,G4994)),Assumptions!$D$6,IF(ISNUMBER(SEARCH(Assumptions!$C$7,G4994)),Assumptions!$D$7,"Other Services"))),"Other Services"))</f>
        <v/>
      </c>
    </row>
    <row r="4995" customFormat="false" ht="15" hidden="false" customHeight="false" outlineLevel="0" collapsed="false">
      <c r="F4995" s="41" t="str">
        <f aca="false">IF(E4995="","",IFERROR(VLOOKUP(E4995,Assumptions!$G$5:$H$16,2,0),"Other"))</f>
        <v/>
      </c>
      <c r="J4995" s="41" t="str">
        <f aca="false">IF(G4995="","",IFERROR(IF(ISNUMBER(SEARCH(Assumptions!$C$5,G4995)),Assumptions!$D$5,IF(ISNUMBER(SEARCH(Assumptions!$C$6,G4995)),Assumptions!$D$6,IF(ISNUMBER(SEARCH(Assumptions!$C$7,G4995)),Assumptions!$D$7,"Other Services"))),"Other Services"))</f>
        <v/>
      </c>
    </row>
    <row r="4996" customFormat="false" ht="15" hidden="false" customHeight="false" outlineLevel="0" collapsed="false">
      <c r="F4996" s="41" t="str">
        <f aca="false">IF(E4996="","",IFERROR(VLOOKUP(E4996,Assumptions!$G$5:$H$16,2,0),"Other"))</f>
        <v/>
      </c>
      <c r="J4996" s="41" t="str">
        <f aca="false">IF(G4996="","",IFERROR(IF(ISNUMBER(SEARCH(Assumptions!$C$5,G4996)),Assumptions!$D$5,IF(ISNUMBER(SEARCH(Assumptions!$C$6,G4996)),Assumptions!$D$6,IF(ISNUMBER(SEARCH(Assumptions!$C$7,G4996)),Assumptions!$D$7,"Other Services"))),"Other Services"))</f>
        <v/>
      </c>
    </row>
    <row r="4997" customFormat="false" ht="15" hidden="false" customHeight="false" outlineLevel="0" collapsed="false">
      <c r="F4997" s="41" t="str">
        <f aca="false">IF(E4997="","",IFERROR(VLOOKUP(E4997,Assumptions!$G$5:$H$16,2,0),"Other"))</f>
        <v/>
      </c>
      <c r="J4997" s="41" t="str">
        <f aca="false">IF(G4997="","",IFERROR(IF(ISNUMBER(SEARCH(Assumptions!$C$5,G4997)),Assumptions!$D$5,IF(ISNUMBER(SEARCH(Assumptions!$C$6,G4997)),Assumptions!$D$6,IF(ISNUMBER(SEARCH(Assumptions!$C$7,G4997)),Assumptions!$D$7,"Other Services"))),"Other Services"))</f>
        <v/>
      </c>
    </row>
    <row r="4998" customFormat="false" ht="15" hidden="false" customHeight="false" outlineLevel="0" collapsed="false">
      <c r="F4998" s="41" t="str">
        <f aca="false">IF(E4998="","",IFERROR(VLOOKUP(E4998,Assumptions!$G$5:$H$16,2,0),"Other"))</f>
        <v/>
      </c>
      <c r="J4998" s="41" t="str">
        <f aca="false">IF(G4998="","",IFERROR(IF(ISNUMBER(SEARCH(Assumptions!$C$5,G4998)),Assumptions!$D$5,IF(ISNUMBER(SEARCH(Assumptions!$C$6,G4998)),Assumptions!$D$6,IF(ISNUMBER(SEARCH(Assumptions!$C$7,G4998)),Assumptions!$D$7,"Other Services"))),"Other Services"))</f>
        <v/>
      </c>
    </row>
    <row r="4999" customFormat="false" ht="15" hidden="false" customHeight="false" outlineLevel="0" collapsed="false">
      <c r="F4999" s="41" t="str">
        <f aca="false">IF(E4999="","",IFERROR(VLOOKUP(E4999,Assumptions!$G$5:$H$16,2,0),"Other"))</f>
        <v/>
      </c>
      <c r="J4999" s="41" t="str">
        <f aca="false">IF(G4999="","",IFERROR(IF(ISNUMBER(SEARCH(Assumptions!$C$5,G4999)),Assumptions!$D$5,IF(ISNUMBER(SEARCH(Assumptions!$C$6,G4999)),Assumptions!$D$6,IF(ISNUMBER(SEARCH(Assumptions!$C$7,G4999)),Assumptions!$D$7,"Other Services"))),"Other Services"))</f>
        <v/>
      </c>
    </row>
    <row r="5000" customFormat="false" ht="15" hidden="false" customHeight="false" outlineLevel="0" collapsed="false">
      <c r="F5000" s="41" t="str">
        <f aca="false">IF(E5000="","",IFERROR(VLOOKUP(E5000,Assumptions!$G$5:$H$16,2,0),"Other"))</f>
        <v/>
      </c>
      <c r="J5000" s="41" t="str">
        <f aca="false">IF(G5000="","",IFERROR(IF(ISNUMBER(SEARCH(Assumptions!$C$5,G5000)),Assumptions!$D$5,IF(ISNUMBER(SEARCH(Assumptions!$C$6,G5000)),Assumptions!$D$6,IF(ISNUMBER(SEARCH(Assumptions!$C$7,G5000)),Assumptions!$D$7,"Other Services"))),"Other Services"))</f>
        <v/>
      </c>
    </row>
    <row r="5001" customFormat="false" ht="15" hidden="false" customHeight="false" outlineLevel="0" collapsed="false">
      <c r="F5001" s="41" t="str">
        <f aca="false">IF(E5001="","",IFERROR(VLOOKUP(E5001,Assumptions!$G$5:$H$16,2,0),"Other"))</f>
        <v/>
      </c>
      <c r="J5001" s="41" t="str">
        <f aca="false">IF(G5001="","",IFERROR(IF(ISNUMBER(SEARCH(Assumptions!$C$5,G5001)),Assumptions!$D$5,IF(ISNUMBER(SEARCH(Assumptions!$C$6,G5001)),Assumptions!$D$6,IF(ISNUMBER(SEARCH(Assumptions!$C$7,G5001)),Assumptions!$D$7,"Other Services"))),"Other Services"))</f>
        <v/>
      </c>
    </row>
    <row r="5002" customFormat="false" ht="15" hidden="false" customHeight="false" outlineLevel="0" collapsed="false">
      <c r="F5002" s="41" t="str">
        <f aca="false">IF(E5002="","",IFERROR(VLOOKUP(E5002,Assumptions!$G$5:$H$16,2,0),"Other"))</f>
        <v/>
      </c>
      <c r="J5002" s="41" t="str">
        <f aca="false">IF(G5002="","",IFERROR(IF(ISNUMBER(SEARCH(Assumptions!$C$5,G5002)),Assumptions!$D$5,IF(ISNUMBER(SEARCH(Assumptions!$C$6,G5002)),Assumptions!$D$6,IF(ISNUMBER(SEARCH(Assumptions!$C$7,G5002)),Assumptions!$D$7,"Other Services"))),"Other Services"))</f>
        <v/>
      </c>
    </row>
    <row r="5003" customFormat="false" ht="15" hidden="false" customHeight="false" outlineLevel="0" collapsed="false">
      <c r="F5003" s="41" t="str">
        <f aca="false">IF(E5003="","",IFERROR(VLOOKUP(E5003,Assumptions!$G$5:$H$16,2,0),"Other"))</f>
        <v/>
      </c>
      <c r="J5003" s="41" t="str">
        <f aca="false">IF(G5003="","",IFERROR(IF(ISNUMBER(SEARCH(Assumptions!$C$5,G5003)),Assumptions!$D$5,IF(ISNUMBER(SEARCH(Assumptions!$C$6,G5003)),Assumptions!$D$6,IF(ISNUMBER(SEARCH(Assumptions!$C$7,G5003)),Assumptions!$D$7,"Other Services"))),"Other Services"))</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K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20"/>
    <col collapsed="false" customWidth="true" hidden="false" outlineLevel="0" max="3" min="2" style="25" width="13"/>
    <col collapsed="false" customWidth="true" hidden="false" outlineLevel="0" max="4" min="4" style="25" width="12"/>
    <col collapsed="false" customWidth="true" hidden="false" outlineLevel="0" max="5" min="5" style="25" width="28"/>
    <col collapsed="false" customWidth="true" hidden="false" outlineLevel="0" max="6" min="6" style="25" width="32"/>
    <col collapsed="false" customWidth="true" hidden="false" outlineLevel="0" max="7" min="7" style="25" width="14"/>
    <col collapsed="false" customWidth="true" hidden="false" outlineLevel="0" max="8" min="8" style="25" width="15"/>
    <col collapsed="false" customWidth="true" hidden="false" outlineLevel="0" max="9" min="9" style="25" width="14"/>
  </cols>
  <sheetData>
    <row r="1" customFormat="false" ht="15" hidden="false" customHeight="true" outlineLevel="0" collapsed="false">
      <c r="A1" s="56" t="s">
        <v>397</v>
      </c>
      <c r="B1" s="56"/>
      <c r="C1" s="56"/>
      <c r="D1" s="56"/>
      <c r="E1" s="56"/>
      <c r="F1" s="56"/>
      <c r="G1" s="56"/>
      <c r="H1" s="56"/>
      <c r="I1" s="56"/>
      <c r="J1" s="56"/>
      <c r="K1" s="56"/>
    </row>
    <row r="2" customFormat="false" ht="30" hidden="false" customHeight="true" outlineLevel="0" collapsed="false">
      <c r="A2" s="66" t="s">
        <v>398</v>
      </c>
      <c r="B2" s="66"/>
      <c r="C2" s="66"/>
      <c r="D2" s="66"/>
      <c r="E2" s="66"/>
      <c r="F2" s="66"/>
      <c r="G2" s="66"/>
      <c r="H2" s="66"/>
      <c r="I2" s="66"/>
      <c r="J2" s="66"/>
      <c r="K2" s="66"/>
    </row>
    <row r="3" customFormat="false" ht="21.75" hidden="false" customHeight="true" outlineLevel="0" collapsed="false">
      <c r="A3" s="33" t="s">
        <v>346</v>
      </c>
      <c r="B3" s="33" t="s">
        <v>257</v>
      </c>
      <c r="C3" s="33" t="s">
        <v>193</v>
      </c>
      <c r="D3" s="33" t="s">
        <v>258</v>
      </c>
      <c r="E3" s="33" t="s">
        <v>399</v>
      </c>
      <c r="F3" s="33" t="s">
        <v>365</v>
      </c>
      <c r="G3" s="33" t="s">
        <v>198</v>
      </c>
      <c r="H3" s="33" t="s">
        <v>134</v>
      </c>
      <c r="I3" s="33" t="s">
        <v>135</v>
      </c>
    </row>
    <row r="4" customFormat="false" ht="15" hidden="false" customHeight="true" outlineLevel="0" collapsed="false">
      <c r="A4" s="35" t="s">
        <v>400</v>
      </c>
      <c r="B4" s="34" t="n">
        <v>46127</v>
      </c>
      <c r="C4" s="34" t="n">
        <v>46142</v>
      </c>
      <c r="D4" s="35" t="s">
        <v>401</v>
      </c>
      <c r="E4" s="35" t="s">
        <v>402</v>
      </c>
      <c r="F4" s="35" t="s">
        <v>403</v>
      </c>
      <c r="G4" s="36" t="n">
        <v>3953.18</v>
      </c>
      <c r="H4" s="35" t="s">
        <v>140</v>
      </c>
      <c r="I4" s="37" t="str">
        <f aca="false">IFERROR(IF(ISNUMBER(SEARCH(Assumptions!$C$5,F4)),Assumptions!$D$5,IF(ISNUMBER(SEARCH(Assumptions!$C$6,F4)),Assumptions!$D$6,IF(ISNUMBER(SEARCH(Assumptions!$C$7,F4)),Assumptions!$D$7,"Other Services"))),"Other Services")</f>
        <v>Other Services</v>
      </c>
    </row>
    <row r="5" customFormat="false" ht="15" hidden="false" customHeight="true" outlineLevel="0" collapsed="false">
      <c r="A5" s="35" t="s">
        <v>404</v>
      </c>
      <c r="B5" s="34" t="n">
        <v>46115</v>
      </c>
      <c r="C5" s="34" t="n">
        <v>46130</v>
      </c>
      <c r="D5" s="35" t="s">
        <v>405</v>
      </c>
      <c r="E5" s="35" t="s">
        <v>406</v>
      </c>
      <c r="F5" s="35" t="s">
        <v>407</v>
      </c>
      <c r="G5" s="36" t="n">
        <v>3126.2</v>
      </c>
      <c r="H5" s="35" t="s">
        <v>140</v>
      </c>
      <c r="I5" s="37" t="str">
        <f aca="false">IF(F5="","",IFERROR(IF(ISNUMBER(SEARCH(Assumptions!$C$5,F5)),Assumptions!$D$5,IF(ISNUMBER(SEARCH(Assumptions!$C$6,F5)),Assumptions!$D$6,IF(ISNUMBER(SEARCH(Assumptions!$C$7,F5)),Assumptions!$D$7,"Other Services"))),"Other Services"))</f>
        <v>WhatsApp</v>
      </c>
    </row>
    <row r="6" customFormat="false" ht="15" hidden="false" customHeight="true" outlineLevel="0" collapsed="false">
      <c r="A6" s="35" t="s">
        <v>408</v>
      </c>
      <c r="B6" s="34" t="n">
        <v>46136</v>
      </c>
      <c r="C6" s="34" t="n">
        <v>46151</v>
      </c>
      <c r="D6" s="35" t="s">
        <v>409</v>
      </c>
      <c r="E6" s="35" t="s">
        <v>402</v>
      </c>
      <c r="F6" s="35" t="s">
        <v>403</v>
      </c>
      <c r="G6" s="36" t="n">
        <v>3557.08</v>
      </c>
      <c r="H6" s="35" t="s">
        <v>140</v>
      </c>
      <c r="I6" s="37" t="str">
        <f aca="false">IF(F6="","",IFERROR(IF(ISNUMBER(SEARCH(Assumptions!$C$5,F6)),Assumptions!$D$5,IF(ISNUMBER(SEARCH(Assumptions!$C$6,F6)),Assumptions!$D$6,IF(ISNUMBER(SEARCH(Assumptions!$C$7,F6)),Assumptions!$D$7,"Other Services"))),"Other Services"))</f>
        <v>Other Services</v>
      </c>
    </row>
    <row r="7" customFormat="false" ht="15" hidden="false" customHeight="true" outlineLevel="0" collapsed="false">
      <c r="A7" s="35" t="s">
        <v>410</v>
      </c>
      <c r="B7" s="34" t="n">
        <v>46115</v>
      </c>
      <c r="C7" s="34" t="n">
        <v>46130</v>
      </c>
      <c r="D7" s="35" t="s">
        <v>411</v>
      </c>
      <c r="E7" s="35" t="s">
        <v>406</v>
      </c>
      <c r="F7" s="35" t="s">
        <v>407</v>
      </c>
      <c r="G7" s="36" t="n">
        <v>8804.58</v>
      </c>
      <c r="H7" s="35" t="s">
        <v>140</v>
      </c>
      <c r="I7" s="37" t="str">
        <f aca="false">IF(F7="","",IFERROR(IF(ISNUMBER(SEARCH(Assumptions!$C$5,F7)),Assumptions!$D$5,IF(ISNUMBER(SEARCH(Assumptions!$C$6,F7)),Assumptions!$D$6,IF(ISNUMBER(SEARCH(Assumptions!$C$7,F7)),Assumptions!$D$7,"Other Services"))),"Other Services"))</f>
        <v>WhatsApp</v>
      </c>
    </row>
    <row r="8" customFormat="false" ht="15" hidden="false" customHeight="true" outlineLevel="0" collapsed="false">
      <c r="A8" s="35" t="s">
        <v>412</v>
      </c>
      <c r="B8" s="34" t="n">
        <v>46148</v>
      </c>
      <c r="C8" s="34" t="n">
        <v>46163</v>
      </c>
      <c r="D8" s="35" t="s">
        <v>413</v>
      </c>
      <c r="E8" s="35" t="s">
        <v>414</v>
      </c>
      <c r="F8" s="35" t="s">
        <v>415</v>
      </c>
      <c r="G8" s="36" t="n">
        <v>4441.12</v>
      </c>
      <c r="H8" s="35" t="s">
        <v>220</v>
      </c>
      <c r="I8" s="37" t="str">
        <f aca="false">IF(F8="","",IFERROR(IF(ISNUMBER(SEARCH(Assumptions!$C$5,F8)),Assumptions!$D$5,IF(ISNUMBER(SEARCH(Assumptions!$C$6,F8)),Assumptions!$D$6,IF(ISNUMBER(SEARCH(Assumptions!$C$7,F8)),Assumptions!$D$7,"Other Services"))),"Other Services"))</f>
        <v>Other Services</v>
      </c>
    </row>
    <row r="9" customFormat="false" ht="15" hidden="false" customHeight="true" outlineLevel="0" collapsed="false">
      <c r="A9" s="35" t="s">
        <v>416</v>
      </c>
      <c r="B9" s="34" t="n">
        <v>46165</v>
      </c>
      <c r="C9" s="34" t="n">
        <v>46180</v>
      </c>
      <c r="D9" s="35" t="s">
        <v>417</v>
      </c>
      <c r="E9" s="35" t="s">
        <v>418</v>
      </c>
      <c r="F9" s="35" t="s">
        <v>419</v>
      </c>
      <c r="G9" s="36" t="n">
        <v>5529.73</v>
      </c>
      <c r="H9" s="35" t="s">
        <v>140</v>
      </c>
      <c r="I9" s="37" t="str">
        <f aca="false">IF(F9="","",IFERROR(IF(ISNUMBER(SEARCH(Assumptions!$C$5,F9)),Assumptions!$D$5,IF(ISNUMBER(SEARCH(Assumptions!$C$6,F9)),Assumptions!$D$6,IF(ISNUMBER(SEARCH(Assumptions!$C$7,F9)),Assumptions!$D$7,"Other Services"))),"Other Services"))</f>
        <v>Other Services</v>
      </c>
    </row>
    <row r="10" customFormat="false" ht="15" hidden="false" customHeight="true" outlineLevel="0" collapsed="false">
      <c r="A10" s="35" t="s">
        <v>420</v>
      </c>
      <c r="B10" s="34" t="n">
        <v>46161</v>
      </c>
      <c r="C10" s="34" t="n">
        <v>46176</v>
      </c>
      <c r="D10" s="35" t="s">
        <v>421</v>
      </c>
      <c r="E10" s="35" t="s">
        <v>418</v>
      </c>
      <c r="F10" s="35" t="s">
        <v>419</v>
      </c>
      <c r="G10" s="36" t="n">
        <v>4149.25</v>
      </c>
      <c r="H10" s="35" t="s">
        <v>220</v>
      </c>
      <c r="I10" s="37" t="str">
        <f aca="false">IF(F10="","",IFERROR(IF(ISNUMBER(SEARCH(Assumptions!$C$5,F10)),Assumptions!$D$5,IF(ISNUMBER(SEARCH(Assumptions!$C$6,F10)),Assumptions!$D$6,IF(ISNUMBER(SEARCH(Assumptions!$C$7,F10)),Assumptions!$D$7,"Other Services"))),"Other Services"))</f>
        <v>Other Services</v>
      </c>
    </row>
    <row r="11" customFormat="false" ht="15" hidden="false" customHeight="true" outlineLevel="0" collapsed="false">
      <c r="A11" s="35" t="s">
        <v>422</v>
      </c>
      <c r="B11" s="34" t="n">
        <v>46162</v>
      </c>
      <c r="C11" s="34" t="n">
        <v>46177</v>
      </c>
      <c r="D11" s="35" t="s">
        <v>423</v>
      </c>
      <c r="E11" s="35" t="s">
        <v>414</v>
      </c>
      <c r="F11" s="35" t="s">
        <v>415</v>
      </c>
      <c r="G11" s="36" t="n">
        <v>3190.1</v>
      </c>
      <c r="H11" s="35" t="s">
        <v>140</v>
      </c>
      <c r="I11" s="37" t="str">
        <f aca="false">IF(F11="","",IFERROR(IF(ISNUMBER(SEARCH(Assumptions!$C$5,F11)),Assumptions!$D$5,IF(ISNUMBER(SEARCH(Assumptions!$C$6,F11)),Assumptions!$D$6,IF(ISNUMBER(SEARCH(Assumptions!$C$7,F11)),Assumptions!$D$7,"Other Services"))),"Other Services"))</f>
        <v>Other Services</v>
      </c>
    </row>
    <row r="12" customFormat="false" ht="15" hidden="false" customHeight="true" outlineLevel="0" collapsed="false">
      <c r="A12" s="35" t="s">
        <v>424</v>
      </c>
      <c r="B12" s="34" t="n">
        <v>46175</v>
      </c>
      <c r="C12" s="34" t="n">
        <v>46190</v>
      </c>
      <c r="D12" s="35" t="s">
        <v>425</v>
      </c>
      <c r="E12" s="35" t="s">
        <v>402</v>
      </c>
      <c r="F12" s="35" t="s">
        <v>426</v>
      </c>
      <c r="G12" s="36" t="n">
        <v>2783.47</v>
      </c>
      <c r="H12" s="35" t="s">
        <v>140</v>
      </c>
      <c r="I12" s="37" t="str">
        <f aca="false">IF(F12="","",IFERROR(IF(ISNUMBER(SEARCH(Assumptions!$C$5,F12)),Assumptions!$D$5,IF(ISNUMBER(SEARCH(Assumptions!$C$6,F12)),Assumptions!$D$6,IF(ISNUMBER(SEARCH(Assumptions!$C$7,F12)),Assumptions!$D$7,"Other Services"))),"Other Services"))</f>
        <v>Other Services</v>
      </c>
    </row>
    <row r="13" customFormat="false" ht="15" hidden="false" customHeight="true" outlineLevel="0" collapsed="false">
      <c r="A13" s="35" t="s">
        <v>427</v>
      </c>
      <c r="B13" s="34" t="n">
        <v>46177</v>
      </c>
      <c r="C13" s="34" t="n">
        <v>46192</v>
      </c>
      <c r="D13" s="35" t="s">
        <v>428</v>
      </c>
      <c r="E13" s="35" t="s">
        <v>406</v>
      </c>
      <c r="F13" s="35" t="s">
        <v>429</v>
      </c>
      <c r="G13" s="36" t="n">
        <v>5469.6</v>
      </c>
      <c r="H13" s="35" t="s">
        <v>140</v>
      </c>
      <c r="I13" s="37" t="str">
        <f aca="false">IF(F13="","",IFERROR(IF(ISNUMBER(SEARCH(Assumptions!$C$5,F13)),Assumptions!$D$5,IF(ISNUMBER(SEARCH(Assumptions!$C$6,F13)),Assumptions!$D$6,IF(ISNUMBER(SEARCH(Assumptions!$C$7,F13)),Assumptions!$D$7,"Other Services"))),"Other Services"))</f>
        <v>WhatsApp</v>
      </c>
    </row>
    <row r="14" customFormat="false" ht="15" hidden="false" customHeight="true" outlineLevel="0" collapsed="false">
      <c r="A14" s="35" t="s">
        <v>430</v>
      </c>
      <c r="B14" s="34" t="n">
        <v>46196</v>
      </c>
      <c r="C14" s="34" t="n">
        <v>46211</v>
      </c>
      <c r="D14" s="35" t="s">
        <v>431</v>
      </c>
      <c r="E14" s="35" t="s">
        <v>418</v>
      </c>
      <c r="F14" s="35" t="s">
        <v>432</v>
      </c>
      <c r="G14" s="36" t="n">
        <v>4267.03</v>
      </c>
      <c r="H14" s="35" t="s">
        <v>140</v>
      </c>
      <c r="I14" s="37" t="str">
        <f aca="false">IF(F14="","",IFERROR(IF(ISNUMBER(SEARCH(Assumptions!$C$5,F14)),Assumptions!$D$5,IF(ISNUMBER(SEARCH(Assumptions!$C$6,F14)),Assumptions!$D$6,IF(ISNUMBER(SEARCH(Assumptions!$C$7,F14)),Assumptions!$D$7,"Other Services"))),"Other Services"))</f>
        <v>Other Services</v>
      </c>
    </row>
    <row r="15" customFormat="false" ht="15" hidden="false" customHeight="true" outlineLevel="0" collapsed="false">
      <c r="A15" s="35" t="s">
        <v>433</v>
      </c>
      <c r="B15" s="34" t="n">
        <v>46181</v>
      </c>
      <c r="C15" s="34" t="n">
        <v>46196</v>
      </c>
      <c r="D15" s="35" t="s">
        <v>434</v>
      </c>
      <c r="E15" s="35" t="s">
        <v>402</v>
      </c>
      <c r="F15" s="35" t="s">
        <v>426</v>
      </c>
      <c r="G15" s="36" t="n">
        <v>3442.89</v>
      </c>
      <c r="H15" s="35" t="s">
        <v>220</v>
      </c>
      <c r="I15" s="37" t="str">
        <f aca="false">IF(F15="","",IFERROR(IF(ISNUMBER(SEARCH(Assumptions!$C$5,F15)),Assumptions!$D$5,IF(ISNUMBER(SEARCH(Assumptions!$C$6,F15)),Assumptions!$D$6,IF(ISNUMBER(SEARCH(Assumptions!$C$7,F15)),Assumptions!$D$7,"Other Services"))),"Other Services"))</f>
        <v>Other Services</v>
      </c>
    </row>
    <row r="16" customFormat="false" ht="15" hidden="false" customHeight="false" outlineLevel="0" collapsed="false">
      <c r="I16" s="41" t="str">
        <f aca="false">IF(F16="","",IFERROR(IF(ISNUMBER(SEARCH(Assumptions!$C$5,F16)),Assumptions!$D$5,IF(ISNUMBER(SEARCH(Assumptions!$C$6,F16)),Assumptions!$D$6,IF(ISNUMBER(SEARCH(Assumptions!$C$7,F16)),Assumptions!$D$7,"Other Services"))),"Other Services"))</f>
        <v/>
      </c>
    </row>
    <row r="17" customFormat="false" ht="15" hidden="false" customHeight="false" outlineLevel="0" collapsed="false">
      <c r="I17" s="41" t="str">
        <f aca="false">IF(F17="","",IFERROR(IF(ISNUMBER(SEARCH(Assumptions!$C$5,F17)),Assumptions!$D$5,IF(ISNUMBER(SEARCH(Assumptions!$C$6,F17)),Assumptions!$D$6,IF(ISNUMBER(SEARCH(Assumptions!$C$7,F17)),Assumptions!$D$7,"Other Services"))),"Other Services"))</f>
        <v/>
      </c>
    </row>
    <row r="18" customFormat="false" ht="15" hidden="false" customHeight="false" outlineLevel="0" collapsed="false">
      <c r="I18" s="41" t="str">
        <f aca="false">IF(F18="","",IFERROR(IF(ISNUMBER(SEARCH(Assumptions!$C$5,F18)),Assumptions!$D$5,IF(ISNUMBER(SEARCH(Assumptions!$C$6,F18)),Assumptions!$D$6,IF(ISNUMBER(SEARCH(Assumptions!$C$7,F18)),Assumptions!$D$7,"Other Services"))),"Other Services"))</f>
        <v/>
      </c>
    </row>
    <row r="19" customFormat="false" ht="15" hidden="false" customHeight="false" outlineLevel="0" collapsed="false">
      <c r="I19" s="41" t="str">
        <f aca="false">IF(F19="","",IFERROR(IF(ISNUMBER(SEARCH(Assumptions!$C$5,F19)),Assumptions!$D$5,IF(ISNUMBER(SEARCH(Assumptions!$C$6,F19)),Assumptions!$D$6,IF(ISNUMBER(SEARCH(Assumptions!$C$7,F19)),Assumptions!$D$7,"Other Services"))),"Other Services"))</f>
        <v/>
      </c>
    </row>
    <row r="20" customFormat="false" ht="15" hidden="false" customHeight="false" outlineLevel="0" collapsed="false">
      <c r="I20" s="41" t="str">
        <f aca="false">IF(F20="","",IFERROR(IF(ISNUMBER(SEARCH(Assumptions!$C$5,F20)),Assumptions!$D$5,IF(ISNUMBER(SEARCH(Assumptions!$C$6,F20)),Assumptions!$D$6,IF(ISNUMBER(SEARCH(Assumptions!$C$7,F20)),Assumptions!$D$7,"Other Services"))),"Other Services"))</f>
        <v/>
      </c>
    </row>
    <row r="21" customFormat="false" ht="15" hidden="false" customHeight="false" outlineLevel="0" collapsed="false">
      <c r="I21" s="41" t="str">
        <f aca="false">IF(F21="","",IFERROR(IF(ISNUMBER(SEARCH(Assumptions!$C$5,F21)),Assumptions!$D$5,IF(ISNUMBER(SEARCH(Assumptions!$C$6,F21)),Assumptions!$D$6,IF(ISNUMBER(SEARCH(Assumptions!$C$7,F21)),Assumptions!$D$7,"Other Services"))),"Other Services"))</f>
        <v/>
      </c>
    </row>
    <row r="22" customFormat="false" ht="15" hidden="false" customHeight="false" outlineLevel="0" collapsed="false">
      <c r="I22" s="41" t="str">
        <f aca="false">IF(F22="","",IFERROR(IF(ISNUMBER(SEARCH(Assumptions!$C$5,F22)),Assumptions!$D$5,IF(ISNUMBER(SEARCH(Assumptions!$C$6,F22)),Assumptions!$D$6,IF(ISNUMBER(SEARCH(Assumptions!$C$7,F22)),Assumptions!$D$7,"Other Services"))),"Other Services"))</f>
        <v/>
      </c>
    </row>
    <row r="23" customFormat="false" ht="15" hidden="false" customHeight="false" outlineLevel="0" collapsed="false">
      <c r="I23" s="41" t="str">
        <f aca="false">IF(F23="","",IFERROR(IF(ISNUMBER(SEARCH(Assumptions!$C$5,F23)),Assumptions!$D$5,IF(ISNUMBER(SEARCH(Assumptions!$C$6,F23)),Assumptions!$D$6,IF(ISNUMBER(SEARCH(Assumptions!$C$7,F23)),Assumptions!$D$7,"Other Services"))),"Other Services"))</f>
        <v/>
      </c>
    </row>
    <row r="24" customFormat="false" ht="15" hidden="false" customHeight="false" outlineLevel="0" collapsed="false">
      <c r="I24" s="41" t="str">
        <f aca="false">IF(F24="","",IFERROR(IF(ISNUMBER(SEARCH(Assumptions!$C$5,F24)),Assumptions!$D$5,IF(ISNUMBER(SEARCH(Assumptions!$C$6,F24)),Assumptions!$D$6,IF(ISNUMBER(SEARCH(Assumptions!$C$7,F24)),Assumptions!$D$7,"Other Services"))),"Other Services"))</f>
        <v/>
      </c>
    </row>
    <row r="25" customFormat="false" ht="15" hidden="false" customHeight="false" outlineLevel="0" collapsed="false">
      <c r="I25" s="41" t="str">
        <f aca="false">IF(F25="","",IFERROR(IF(ISNUMBER(SEARCH(Assumptions!$C$5,F25)),Assumptions!$D$5,IF(ISNUMBER(SEARCH(Assumptions!$C$6,F25)),Assumptions!$D$6,IF(ISNUMBER(SEARCH(Assumptions!$C$7,F25)),Assumptions!$D$7,"Other Services"))),"Other Services"))</f>
        <v/>
      </c>
    </row>
    <row r="26" customFormat="false" ht="15" hidden="false" customHeight="false" outlineLevel="0" collapsed="false">
      <c r="I26" s="41" t="str">
        <f aca="false">IF(F26="","",IFERROR(IF(ISNUMBER(SEARCH(Assumptions!$C$5,F26)),Assumptions!$D$5,IF(ISNUMBER(SEARCH(Assumptions!$C$6,F26)),Assumptions!$D$6,IF(ISNUMBER(SEARCH(Assumptions!$C$7,F26)),Assumptions!$D$7,"Other Services"))),"Other Services"))</f>
        <v/>
      </c>
    </row>
    <row r="27" customFormat="false" ht="15" hidden="false" customHeight="false" outlineLevel="0" collapsed="false">
      <c r="I27" s="41" t="str">
        <f aca="false">IF(F27="","",IFERROR(IF(ISNUMBER(SEARCH(Assumptions!$C$5,F27)),Assumptions!$D$5,IF(ISNUMBER(SEARCH(Assumptions!$C$6,F27)),Assumptions!$D$6,IF(ISNUMBER(SEARCH(Assumptions!$C$7,F27)),Assumptions!$D$7,"Other Services"))),"Other Services"))</f>
        <v/>
      </c>
    </row>
    <row r="28" customFormat="false" ht="15" hidden="false" customHeight="false" outlineLevel="0" collapsed="false">
      <c r="I28" s="41" t="str">
        <f aca="false">IF(F28="","",IFERROR(IF(ISNUMBER(SEARCH(Assumptions!$C$5,F28)),Assumptions!$D$5,IF(ISNUMBER(SEARCH(Assumptions!$C$6,F28)),Assumptions!$D$6,IF(ISNUMBER(SEARCH(Assumptions!$C$7,F28)),Assumptions!$D$7,"Other Services"))),"Other Services"))</f>
        <v/>
      </c>
    </row>
    <row r="29" customFormat="false" ht="15" hidden="false" customHeight="false" outlineLevel="0" collapsed="false">
      <c r="I29" s="41" t="str">
        <f aca="false">IF(F29="","",IFERROR(IF(ISNUMBER(SEARCH(Assumptions!$C$5,F29)),Assumptions!$D$5,IF(ISNUMBER(SEARCH(Assumptions!$C$6,F29)),Assumptions!$D$6,IF(ISNUMBER(SEARCH(Assumptions!$C$7,F29)),Assumptions!$D$7,"Other Services"))),"Other Services"))</f>
        <v/>
      </c>
    </row>
    <row r="30" customFormat="false" ht="15" hidden="false" customHeight="false" outlineLevel="0" collapsed="false">
      <c r="I30" s="41" t="str">
        <f aca="false">IF(F30="","",IFERROR(IF(ISNUMBER(SEARCH(Assumptions!$C$5,F30)),Assumptions!$D$5,IF(ISNUMBER(SEARCH(Assumptions!$C$6,F30)),Assumptions!$D$6,IF(ISNUMBER(SEARCH(Assumptions!$C$7,F30)),Assumptions!$D$7,"Other Services"))),"Other Services"))</f>
        <v/>
      </c>
    </row>
    <row r="31" customFormat="false" ht="15" hidden="false" customHeight="false" outlineLevel="0" collapsed="false">
      <c r="I31" s="41" t="str">
        <f aca="false">IF(F31="","",IFERROR(IF(ISNUMBER(SEARCH(Assumptions!$C$5,F31)),Assumptions!$D$5,IF(ISNUMBER(SEARCH(Assumptions!$C$6,F31)),Assumptions!$D$6,IF(ISNUMBER(SEARCH(Assumptions!$C$7,F31)),Assumptions!$D$7,"Other Services"))),"Other Services"))</f>
        <v/>
      </c>
    </row>
    <row r="32" customFormat="false" ht="15" hidden="false" customHeight="false" outlineLevel="0" collapsed="false">
      <c r="I32" s="41" t="str">
        <f aca="false">IF(F32="","",IFERROR(IF(ISNUMBER(SEARCH(Assumptions!$C$5,F32)),Assumptions!$D$5,IF(ISNUMBER(SEARCH(Assumptions!$C$6,F32)),Assumptions!$D$6,IF(ISNUMBER(SEARCH(Assumptions!$C$7,F32)),Assumptions!$D$7,"Other Services"))),"Other Services"))</f>
        <v/>
      </c>
    </row>
    <row r="33" customFormat="false" ht="15" hidden="false" customHeight="false" outlineLevel="0" collapsed="false">
      <c r="I33" s="41" t="str">
        <f aca="false">IF(F33="","",IFERROR(IF(ISNUMBER(SEARCH(Assumptions!$C$5,F33)),Assumptions!$D$5,IF(ISNUMBER(SEARCH(Assumptions!$C$6,F33)),Assumptions!$D$6,IF(ISNUMBER(SEARCH(Assumptions!$C$7,F33)),Assumptions!$D$7,"Other Services"))),"Other Services"))</f>
        <v/>
      </c>
    </row>
    <row r="34" customFormat="false" ht="15" hidden="false" customHeight="false" outlineLevel="0" collapsed="false">
      <c r="I34" s="41" t="str">
        <f aca="false">IF(F34="","",IFERROR(IF(ISNUMBER(SEARCH(Assumptions!$C$5,F34)),Assumptions!$D$5,IF(ISNUMBER(SEARCH(Assumptions!$C$6,F34)),Assumptions!$D$6,IF(ISNUMBER(SEARCH(Assumptions!$C$7,F34)),Assumptions!$D$7,"Other Services"))),"Other Services"))</f>
        <v/>
      </c>
    </row>
    <row r="35" customFormat="false" ht="15" hidden="false" customHeight="false" outlineLevel="0" collapsed="false">
      <c r="I35" s="41" t="str">
        <f aca="false">IF(F35="","",IFERROR(IF(ISNUMBER(SEARCH(Assumptions!$C$5,F35)),Assumptions!$D$5,IF(ISNUMBER(SEARCH(Assumptions!$C$6,F35)),Assumptions!$D$6,IF(ISNUMBER(SEARCH(Assumptions!$C$7,F35)),Assumptions!$D$7,"Other Services"))),"Other Services"))</f>
        <v/>
      </c>
    </row>
    <row r="36" customFormat="false" ht="15" hidden="false" customHeight="false" outlineLevel="0" collapsed="false">
      <c r="I36" s="41" t="str">
        <f aca="false">IF(F36="","",IFERROR(IF(ISNUMBER(SEARCH(Assumptions!$C$5,F36)),Assumptions!$D$5,IF(ISNUMBER(SEARCH(Assumptions!$C$6,F36)),Assumptions!$D$6,IF(ISNUMBER(SEARCH(Assumptions!$C$7,F36)),Assumptions!$D$7,"Other Services"))),"Other Services"))</f>
        <v/>
      </c>
    </row>
    <row r="37" customFormat="false" ht="15" hidden="false" customHeight="false" outlineLevel="0" collapsed="false">
      <c r="I37" s="41" t="str">
        <f aca="false">IF(F37="","",IFERROR(IF(ISNUMBER(SEARCH(Assumptions!$C$5,F37)),Assumptions!$D$5,IF(ISNUMBER(SEARCH(Assumptions!$C$6,F37)),Assumptions!$D$6,IF(ISNUMBER(SEARCH(Assumptions!$C$7,F37)),Assumptions!$D$7,"Other Services"))),"Other Services"))</f>
        <v/>
      </c>
    </row>
    <row r="38" customFormat="false" ht="15" hidden="false" customHeight="false" outlineLevel="0" collapsed="false">
      <c r="I38" s="41" t="str">
        <f aca="false">IF(F38="","",IFERROR(IF(ISNUMBER(SEARCH(Assumptions!$C$5,F38)),Assumptions!$D$5,IF(ISNUMBER(SEARCH(Assumptions!$C$6,F38)),Assumptions!$D$6,IF(ISNUMBER(SEARCH(Assumptions!$C$7,F38)),Assumptions!$D$7,"Other Services"))),"Other Services"))</f>
        <v/>
      </c>
    </row>
    <row r="39" customFormat="false" ht="15" hidden="false" customHeight="false" outlineLevel="0" collapsed="false">
      <c r="I39" s="41" t="str">
        <f aca="false">IF(F39="","",IFERROR(IF(ISNUMBER(SEARCH(Assumptions!$C$5,F39)),Assumptions!$D$5,IF(ISNUMBER(SEARCH(Assumptions!$C$6,F39)),Assumptions!$D$6,IF(ISNUMBER(SEARCH(Assumptions!$C$7,F39)),Assumptions!$D$7,"Other Services"))),"Other Services"))</f>
        <v/>
      </c>
    </row>
    <row r="40" customFormat="false" ht="15" hidden="false" customHeight="false" outlineLevel="0" collapsed="false">
      <c r="I40" s="41" t="str">
        <f aca="false">IF(F40="","",IFERROR(IF(ISNUMBER(SEARCH(Assumptions!$C$5,F40)),Assumptions!$D$5,IF(ISNUMBER(SEARCH(Assumptions!$C$6,F40)),Assumptions!$D$6,IF(ISNUMBER(SEARCH(Assumptions!$C$7,F40)),Assumptions!$D$7,"Other Services"))),"Other Services"))</f>
        <v/>
      </c>
    </row>
    <row r="41" customFormat="false" ht="15" hidden="false" customHeight="false" outlineLevel="0" collapsed="false">
      <c r="I41" s="41" t="str">
        <f aca="false">IF(F41="","",IFERROR(IF(ISNUMBER(SEARCH(Assumptions!$C$5,F41)),Assumptions!$D$5,IF(ISNUMBER(SEARCH(Assumptions!$C$6,F41)),Assumptions!$D$6,IF(ISNUMBER(SEARCH(Assumptions!$C$7,F41)),Assumptions!$D$7,"Other Services"))),"Other Services"))</f>
        <v/>
      </c>
    </row>
    <row r="42" customFormat="false" ht="15" hidden="false" customHeight="false" outlineLevel="0" collapsed="false">
      <c r="I42" s="41" t="str">
        <f aca="false">IF(F42="","",IFERROR(IF(ISNUMBER(SEARCH(Assumptions!$C$5,F42)),Assumptions!$D$5,IF(ISNUMBER(SEARCH(Assumptions!$C$6,F42)),Assumptions!$D$6,IF(ISNUMBER(SEARCH(Assumptions!$C$7,F42)),Assumptions!$D$7,"Other Services"))),"Other Services"))</f>
        <v/>
      </c>
    </row>
    <row r="43" customFormat="false" ht="15" hidden="false" customHeight="false" outlineLevel="0" collapsed="false">
      <c r="I43" s="41" t="str">
        <f aca="false">IF(F43="","",IFERROR(IF(ISNUMBER(SEARCH(Assumptions!$C$5,F43)),Assumptions!$D$5,IF(ISNUMBER(SEARCH(Assumptions!$C$6,F43)),Assumptions!$D$6,IF(ISNUMBER(SEARCH(Assumptions!$C$7,F43)),Assumptions!$D$7,"Other Services"))),"Other Services"))</f>
        <v/>
      </c>
    </row>
    <row r="44" customFormat="false" ht="15" hidden="false" customHeight="false" outlineLevel="0" collapsed="false">
      <c r="I44" s="41" t="str">
        <f aca="false">IF(F44="","",IFERROR(IF(ISNUMBER(SEARCH(Assumptions!$C$5,F44)),Assumptions!$D$5,IF(ISNUMBER(SEARCH(Assumptions!$C$6,F44)),Assumptions!$D$6,IF(ISNUMBER(SEARCH(Assumptions!$C$7,F44)),Assumptions!$D$7,"Other Services"))),"Other Services"))</f>
        <v/>
      </c>
    </row>
    <row r="45" customFormat="false" ht="15" hidden="false" customHeight="false" outlineLevel="0" collapsed="false">
      <c r="I45" s="41" t="str">
        <f aca="false">IF(F45="","",IFERROR(IF(ISNUMBER(SEARCH(Assumptions!$C$5,F45)),Assumptions!$D$5,IF(ISNUMBER(SEARCH(Assumptions!$C$6,F45)),Assumptions!$D$6,IF(ISNUMBER(SEARCH(Assumptions!$C$7,F45)),Assumptions!$D$7,"Other Services"))),"Other Services"))</f>
        <v/>
      </c>
    </row>
    <row r="46" customFormat="false" ht="15" hidden="false" customHeight="false" outlineLevel="0" collapsed="false">
      <c r="I46" s="41" t="str">
        <f aca="false">IF(F46="","",IFERROR(IF(ISNUMBER(SEARCH(Assumptions!$C$5,F46)),Assumptions!$D$5,IF(ISNUMBER(SEARCH(Assumptions!$C$6,F46)),Assumptions!$D$6,IF(ISNUMBER(SEARCH(Assumptions!$C$7,F46)),Assumptions!$D$7,"Other Services"))),"Other Services"))</f>
        <v/>
      </c>
    </row>
    <row r="47" customFormat="false" ht="15" hidden="false" customHeight="false" outlineLevel="0" collapsed="false">
      <c r="I47" s="41" t="str">
        <f aca="false">IF(F47="","",IFERROR(IF(ISNUMBER(SEARCH(Assumptions!$C$5,F47)),Assumptions!$D$5,IF(ISNUMBER(SEARCH(Assumptions!$C$6,F47)),Assumptions!$D$6,IF(ISNUMBER(SEARCH(Assumptions!$C$7,F47)),Assumptions!$D$7,"Other Services"))),"Other Services"))</f>
        <v/>
      </c>
    </row>
    <row r="48" customFormat="false" ht="15" hidden="false" customHeight="false" outlineLevel="0" collapsed="false">
      <c r="I48" s="41" t="str">
        <f aca="false">IF(F48="","",IFERROR(IF(ISNUMBER(SEARCH(Assumptions!$C$5,F48)),Assumptions!$D$5,IF(ISNUMBER(SEARCH(Assumptions!$C$6,F48)),Assumptions!$D$6,IF(ISNUMBER(SEARCH(Assumptions!$C$7,F48)),Assumptions!$D$7,"Other Services"))),"Other Services"))</f>
        <v/>
      </c>
    </row>
    <row r="49" customFormat="false" ht="15" hidden="false" customHeight="false" outlineLevel="0" collapsed="false">
      <c r="I49" s="41" t="str">
        <f aca="false">IF(F49="","",IFERROR(IF(ISNUMBER(SEARCH(Assumptions!$C$5,F49)),Assumptions!$D$5,IF(ISNUMBER(SEARCH(Assumptions!$C$6,F49)),Assumptions!$D$6,IF(ISNUMBER(SEARCH(Assumptions!$C$7,F49)),Assumptions!$D$7,"Other Services"))),"Other Services"))</f>
        <v/>
      </c>
    </row>
    <row r="50" customFormat="false" ht="15" hidden="false" customHeight="false" outlineLevel="0" collapsed="false">
      <c r="I50" s="41" t="str">
        <f aca="false">IF(F50="","",IFERROR(IF(ISNUMBER(SEARCH(Assumptions!$C$5,F50)),Assumptions!$D$5,IF(ISNUMBER(SEARCH(Assumptions!$C$6,F50)),Assumptions!$D$6,IF(ISNUMBER(SEARCH(Assumptions!$C$7,F50)),Assumptions!$D$7,"Other Services"))),"Other Services"))</f>
        <v/>
      </c>
    </row>
    <row r="51" customFormat="false" ht="15" hidden="false" customHeight="false" outlineLevel="0" collapsed="false">
      <c r="I51" s="41" t="str">
        <f aca="false">IF(F51="","",IFERROR(IF(ISNUMBER(SEARCH(Assumptions!$C$5,F51)),Assumptions!$D$5,IF(ISNUMBER(SEARCH(Assumptions!$C$6,F51)),Assumptions!$D$6,IF(ISNUMBER(SEARCH(Assumptions!$C$7,F51)),Assumptions!$D$7,"Other Services"))),"Other Services"))</f>
        <v/>
      </c>
    </row>
    <row r="52" customFormat="false" ht="15" hidden="false" customHeight="false" outlineLevel="0" collapsed="false">
      <c r="I52" s="41" t="str">
        <f aca="false">IF(F52="","",IFERROR(IF(ISNUMBER(SEARCH(Assumptions!$C$5,F52)),Assumptions!$D$5,IF(ISNUMBER(SEARCH(Assumptions!$C$6,F52)),Assumptions!$D$6,IF(ISNUMBER(SEARCH(Assumptions!$C$7,F52)),Assumptions!$D$7,"Other Services"))),"Other Services"))</f>
        <v/>
      </c>
    </row>
    <row r="53" customFormat="false" ht="15" hidden="false" customHeight="false" outlineLevel="0" collapsed="false">
      <c r="I53" s="41" t="str">
        <f aca="false">IF(F53="","",IFERROR(IF(ISNUMBER(SEARCH(Assumptions!$C$5,F53)),Assumptions!$D$5,IF(ISNUMBER(SEARCH(Assumptions!$C$6,F53)),Assumptions!$D$6,IF(ISNUMBER(SEARCH(Assumptions!$C$7,F53)),Assumptions!$D$7,"Other Services"))),"Other Services"))</f>
        <v/>
      </c>
    </row>
    <row r="54" customFormat="false" ht="15" hidden="false" customHeight="false" outlineLevel="0" collapsed="false">
      <c r="I54" s="41" t="str">
        <f aca="false">IF(F54="","",IFERROR(IF(ISNUMBER(SEARCH(Assumptions!$C$5,F54)),Assumptions!$D$5,IF(ISNUMBER(SEARCH(Assumptions!$C$6,F54)),Assumptions!$D$6,IF(ISNUMBER(SEARCH(Assumptions!$C$7,F54)),Assumptions!$D$7,"Other Services"))),"Other Services"))</f>
        <v/>
      </c>
    </row>
    <row r="55" customFormat="false" ht="15" hidden="false" customHeight="false" outlineLevel="0" collapsed="false">
      <c r="I55" s="41" t="str">
        <f aca="false">IF(F55="","",IFERROR(IF(ISNUMBER(SEARCH(Assumptions!$C$5,F55)),Assumptions!$D$5,IF(ISNUMBER(SEARCH(Assumptions!$C$6,F55)),Assumptions!$D$6,IF(ISNUMBER(SEARCH(Assumptions!$C$7,F55)),Assumptions!$D$7,"Other Services"))),"Other Services"))</f>
        <v/>
      </c>
    </row>
    <row r="56" customFormat="false" ht="15" hidden="false" customHeight="false" outlineLevel="0" collapsed="false">
      <c r="I56" s="41" t="str">
        <f aca="false">IF(F56="","",IFERROR(IF(ISNUMBER(SEARCH(Assumptions!$C$5,F56)),Assumptions!$D$5,IF(ISNUMBER(SEARCH(Assumptions!$C$6,F56)),Assumptions!$D$6,IF(ISNUMBER(SEARCH(Assumptions!$C$7,F56)),Assumptions!$D$7,"Other Services"))),"Other Services"))</f>
        <v/>
      </c>
    </row>
    <row r="57" customFormat="false" ht="15" hidden="false" customHeight="false" outlineLevel="0" collapsed="false">
      <c r="I57" s="41" t="str">
        <f aca="false">IF(F57="","",IFERROR(IF(ISNUMBER(SEARCH(Assumptions!$C$5,F57)),Assumptions!$D$5,IF(ISNUMBER(SEARCH(Assumptions!$C$6,F57)),Assumptions!$D$6,IF(ISNUMBER(SEARCH(Assumptions!$C$7,F57)),Assumptions!$D$7,"Other Services"))),"Other Services"))</f>
        <v/>
      </c>
    </row>
    <row r="58" customFormat="false" ht="15" hidden="false" customHeight="false" outlineLevel="0" collapsed="false">
      <c r="I58" s="41" t="str">
        <f aca="false">IF(F58="","",IFERROR(IF(ISNUMBER(SEARCH(Assumptions!$C$5,F58)),Assumptions!$D$5,IF(ISNUMBER(SEARCH(Assumptions!$C$6,F58)),Assumptions!$D$6,IF(ISNUMBER(SEARCH(Assumptions!$C$7,F58)),Assumptions!$D$7,"Other Services"))),"Other Services"))</f>
        <v/>
      </c>
    </row>
    <row r="59" customFormat="false" ht="15" hidden="false" customHeight="false" outlineLevel="0" collapsed="false">
      <c r="I59" s="41" t="str">
        <f aca="false">IF(F59="","",IFERROR(IF(ISNUMBER(SEARCH(Assumptions!$C$5,F59)),Assumptions!$D$5,IF(ISNUMBER(SEARCH(Assumptions!$C$6,F59)),Assumptions!$D$6,IF(ISNUMBER(SEARCH(Assumptions!$C$7,F59)),Assumptions!$D$7,"Other Services"))),"Other Services"))</f>
        <v/>
      </c>
    </row>
    <row r="60" customFormat="false" ht="15" hidden="false" customHeight="false" outlineLevel="0" collapsed="false">
      <c r="I60" s="41" t="str">
        <f aca="false">IF(F60="","",IFERROR(IF(ISNUMBER(SEARCH(Assumptions!$C$5,F60)),Assumptions!$D$5,IF(ISNUMBER(SEARCH(Assumptions!$C$6,F60)),Assumptions!$D$6,IF(ISNUMBER(SEARCH(Assumptions!$C$7,F60)),Assumptions!$D$7,"Other Services"))),"Other Services"))</f>
        <v/>
      </c>
    </row>
    <row r="61" customFormat="false" ht="15" hidden="false" customHeight="false" outlineLevel="0" collapsed="false">
      <c r="I61" s="41" t="str">
        <f aca="false">IF(F61="","",IFERROR(IF(ISNUMBER(SEARCH(Assumptions!$C$5,F61)),Assumptions!$D$5,IF(ISNUMBER(SEARCH(Assumptions!$C$6,F61)),Assumptions!$D$6,IF(ISNUMBER(SEARCH(Assumptions!$C$7,F61)),Assumptions!$D$7,"Other Services"))),"Other Services"))</f>
        <v/>
      </c>
    </row>
    <row r="62" customFormat="false" ht="15" hidden="false" customHeight="false" outlineLevel="0" collapsed="false">
      <c r="I62" s="41" t="str">
        <f aca="false">IF(F62="","",IFERROR(IF(ISNUMBER(SEARCH(Assumptions!$C$5,F62)),Assumptions!$D$5,IF(ISNUMBER(SEARCH(Assumptions!$C$6,F62)),Assumptions!$D$6,IF(ISNUMBER(SEARCH(Assumptions!$C$7,F62)),Assumptions!$D$7,"Other Services"))),"Other Services"))</f>
        <v/>
      </c>
    </row>
    <row r="63" customFormat="false" ht="15" hidden="false" customHeight="false" outlineLevel="0" collapsed="false">
      <c r="I63" s="41" t="str">
        <f aca="false">IF(F63="","",IFERROR(IF(ISNUMBER(SEARCH(Assumptions!$C$5,F63)),Assumptions!$D$5,IF(ISNUMBER(SEARCH(Assumptions!$C$6,F63)),Assumptions!$D$6,IF(ISNUMBER(SEARCH(Assumptions!$C$7,F63)),Assumptions!$D$7,"Other Services"))),"Other Services"))</f>
        <v/>
      </c>
    </row>
    <row r="64" customFormat="false" ht="15" hidden="false" customHeight="false" outlineLevel="0" collapsed="false">
      <c r="I64" s="41" t="str">
        <f aca="false">IF(F64="","",IFERROR(IF(ISNUMBER(SEARCH(Assumptions!$C$5,F64)),Assumptions!$D$5,IF(ISNUMBER(SEARCH(Assumptions!$C$6,F64)),Assumptions!$D$6,IF(ISNUMBER(SEARCH(Assumptions!$C$7,F64)),Assumptions!$D$7,"Other Services"))),"Other Services"))</f>
        <v/>
      </c>
    </row>
    <row r="65" customFormat="false" ht="15" hidden="false" customHeight="false" outlineLevel="0" collapsed="false">
      <c r="I65" s="41" t="str">
        <f aca="false">IF(F65="","",IFERROR(IF(ISNUMBER(SEARCH(Assumptions!$C$5,F65)),Assumptions!$D$5,IF(ISNUMBER(SEARCH(Assumptions!$C$6,F65)),Assumptions!$D$6,IF(ISNUMBER(SEARCH(Assumptions!$C$7,F65)),Assumptions!$D$7,"Other Services"))),"Other Services"))</f>
        <v/>
      </c>
    </row>
    <row r="66" customFormat="false" ht="15" hidden="false" customHeight="false" outlineLevel="0" collapsed="false">
      <c r="I66" s="41" t="str">
        <f aca="false">IF(F66="","",IFERROR(IF(ISNUMBER(SEARCH(Assumptions!$C$5,F66)),Assumptions!$D$5,IF(ISNUMBER(SEARCH(Assumptions!$C$6,F66)),Assumptions!$D$6,IF(ISNUMBER(SEARCH(Assumptions!$C$7,F66)),Assumptions!$D$7,"Other Services"))),"Other Services"))</f>
        <v/>
      </c>
    </row>
    <row r="67" customFormat="false" ht="15" hidden="false" customHeight="false" outlineLevel="0" collapsed="false">
      <c r="I67" s="41" t="str">
        <f aca="false">IF(F67="","",IFERROR(IF(ISNUMBER(SEARCH(Assumptions!$C$5,F67)),Assumptions!$D$5,IF(ISNUMBER(SEARCH(Assumptions!$C$6,F67)),Assumptions!$D$6,IF(ISNUMBER(SEARCH(Assumptions!$C$7,F67)),Assumptions!$D$7,"Other Services"))),"Other Services"))</f>
        <v/>
      </c>
    </row>
    <row r="68" customFormat="false" ht="15" hidden="false" customHeight="false" outlineLevel="0" collapsed="false">
      <c r="I68" s="41" t="str">
        <f aca="false">IF(F68="","",IFERROR(IF(ISNUMBER(SEARCH(Assumptions!$C$5,F68)),Assumptions!$D$5,IF(ISNUMBER(SEARCH(Assumptions!$C$6,F68)),Assumptions!$D$6,IF(ISNUMBER(SEARCH(Assumptions!$C$7,F68)),Assumptions!$D$7,"Other Services"))),"Other Services"))</f>
        <v/>
      </c>
    </row>
    <row r="69" customFormat="false" ht="15" hidden="false" customHeight="false" outlineLevel="0" collapsed="false">
      <c r="I69" s="41" t="str">
        <f aca="false">IF(F69="","",IFERROR(IF(ISNUMBER(SEARCH(Assumptions!$C$5,F69)),Assumptions!$D$5,IF(ISNUMBER(SEARCH(Assumptions!$C$6,F69)),Assumptions!$D$6,IF(ISNUMBER(SEARCH(Assumptions!$C$7,F69)),Assumptions!$D$7,"Other Services"))),"Other Services"))</f>
        <v/>
      </c>
    </row>
    <row r="70" customFormat="false" ht="15" hidden="false" customHeight="false" outlineLevel="0" collapsed="false">
      <c r="I70" s="41" t="str">
        <f aca="false">IF(F70="","",IFERROR(IF(ISNUMBER(SEARCH(Assumptions!$C$5,F70)),Assumptions!$D$5,IF(ISNUMBER(SEARCH(Assumptions!$C$6,F70)),Assumptions!$D$6,IF(ISNUMBER(SEARCH(Assumptions!$C$7,F70)),Assumptions!$D$7,"Other Services"))),"Other Services"))</f>
        <v/>
      </c>
    </row>
    <row r="71" customFormat="false" ht="15" hidden="false" customHeight="false" outlineLevel="0" collapsed="false">
      <c r="I71" s="41" t="str">
        <f aca="false">IF(F71="","",IFERROR(IF(ISNUMBER(SEARCH(Assumptions!$C$5,F71)),Assumptions!$D$5,IF(ISNUMBER(SEARCH(Assumptions!$C$6,F71)),Assumptions!$D$6,IF(ISNUMBER(SEARCH(Assumptions!$C$7,F71)),Assumptions!$D$7,"Other Services"))),"Other Services"))</f>
        <v/>
      </c>
    </row>
    <row r="72" customFormat="false" ht="15" hidden="false" customHeight="false" outlineLevel="0" collapsed="false">
      <c r="I72" s="41" t="str">
        <f aca="false">IF(F72="","",IFERROR(IF(ISNUMBER(SEARCH(Assumptions!$C$5,F72)),Assumptions!$D$5,IF(ISNUMBER(SEARCH(Assumptions!$C$6,F72)),Assumptions!$D$6,IF(ISNUMBER(SEARCH(Assumptions!$C$7,F72)),Assumptions!$D$7,"Other Services"))),"Other Services"))</f>
        <v/>
      </c>
    </row>
    <row r="73" customFormat="false" ht="15" hidden="false" customHeight="false" outlineLevel="0" collapsed="false">
      <c r="I73" s="41" t="str">
        <f aca="false">IF(F73="","",IFERROR(IF(ISNUMBER(SEARCH(Assumptions!$C$5,F73)),Assumptions!$D$5,IF(ISNUMBER(SEARCH(Assumptions!$C$6,F73)),Assumptions!$D$6,IF(ISNUMBER(SEARCH(Assumptions!$C$7,F73)),Assumptions!$D$7,"Other Services"))),"Other Services"))</f>
        <v/>
      </c>
    </row>
    <row r="74" customFormat="false" ht="15" hidden="false" customHeight="false" outlineLevel="0" collapsed="false">
      <c r="I74" s="41" t="str">
        <f aca="false">IF(F74="","",IFERROR(IF(ISNUMBER(SEARCH(Assumptions!$C$5,F74)),Assumptions!$D$5,IF(ISNUMBER(SEARCH(Assumptions!$C$6,F74)),Assumptions!$D$6,IF(ISNUMBER(SEARCH(Assumptions!$C$7,F74)),Assumptions!$D$7,"Other Services"))),"Other Services"))</f>
        <v/>
      </c>
    </row>
    <row r="75" customFormat="false" ht="15" hidden="false" customHeight="false" outlineLevel="0" collapsed="false">
      <c r="I75" s="41" t="str">
        <f aca="false">IF(F75="","",IFERROR(IF(ISNUMBER(SEARCH(Assumptions!$C$5,F75)),Assumptions!$D$5,IF(ISNUMBER(SEARCH(Assumptions!$C$6,F75)),Assumptions!$D$6,IF(ISNUMBER(SEARCH(Assumptions!$C$7,F75)),Assumptions!$D$7,"Other Services"))),"Other Services"))</f>
        <v/>
      </c>
    </row>
    <row r="76" customFormat="false" ht="15" hidden="false" customHeight="false" outlineLevel="0" collapsed="false">
      <c r="I76" s="41" t="str">
        <f aca="false">IF(F76="","",IFERROR(IF(ISNUMBER(SEARCH(Assumptions!$C$5,F76)),Assumptions!$D$5,IF(ISNUMBER(SEARCH(Assumptions!$C$6,F76)),Assumptions!$D$6,IF(ISNUMBER(SEARCH(Assumptions!$C$7,F76)),Assumptions!$D$7,"Other Services"))),"Other Services"))</f>
        <v/>
      </c>
    </row>
    <row r="77" customFormat="false" ht="15" hidden="false" customHeight="false" outlineLevel="0" collapsed="false">
      <c r="I77" s="41" t="str">
        <f aca="false">IF(F77="","",IFERROR(IF(ISNUMBER(SEARCH(Assumptions!$C$5,F77)),Assumptions!$D$5,IF(ISNUMBER(SEARCH(Assumptions!$C$6,F77)),Assumptions!$D$6,IF(ISNUMBER(SEARCH(Assumptions!$C$7,F77)),Assumptions!$D$7,"Other Services"))),"Other Services"))</f>
        <v/>
      </c>
    </row>
    <row r="78" customFormat="false" ht="15" hidden="false" customHeight="false" outlineLevel="0" collapsed="false">
      <c r="I78" s="41" t="str">
        <f aca="false">IF(F78="","",IFERROR(IF(ISNUMBER(SEARCH(Assumptions!$C$5,F78)),Assumptions!$D$5,IF(ISNUMBER(SEARCH(Assumptions!$C$6,F78)),Assumptions!$D$6,IF(ISNUMBER(SEARCH(Assumptions!$C$7,F78)),Assumptions!$D$7,"Other Services"))),"Other Services"))</f>
        <v/>
      </c>
    </row>
    <row r="79" customFormat="false" ht="15" hidden="false" customHeight="false" outlineLevel="0" collapsed="false">
      <c r="I79" s="41" t="str">
        <f aca="false">IF(F79="","",IFERROR(IF(ISNUMBER(SEARCH(Assumptions!$C$5,F79)),Assumptions!$D$5,IF(ISNUMBER(SEARCH(Assumptions!$C$6,F79)),Assumptions!$D$6,IF(ISNUMBER(SEARCH(Assumptions!$C$7,F79)),Assumptions!$D$7,"Other Services"))),"Other Services"))</f>
        <v/>
      </c>
    </row>
    <row r="80" customFormat="false" ht="15" hidden="false" customHeight="false" outlineLevel="0" collapsed="false">
      <c r="I80" s="41" t="str">
        <f aca="false">IF(F80="","",IFERROR(IF(ISNUMBER(SEARCH(Assumptions!$C$5,F80)),Assumptions!$D$5,IF(ISNUMBER(SEARCH(Assumptions!$C$6,F80)),Assumptions!$D$6,IF(ISNUMBER(SEARCH(Assumptions!$C$7,F80)),Assumptions!$D$7,"Other Services"))),"Other Services"))</f>
        <v/>
      </c>
    </row>
    <row r="81" customFormat="false" ht="15" hidden="false" customHeight="false" outlineLevel="0" collapsed="false">
      <c r="I81" s="41" t="str">
        <f aca="false">IF(F81="","",IFERROR(IF(ISNUMBER(SEARCH(Assumptions!$C$5,F81)),Assumptions!$D$5,IF(ISNUMBER(SEARCH(Assumptions!$C$6,F81)),Assumptions!$D$6,IF(ISNUMBER(SEARCH(Assumptions!$C$7,F81)),Assumptions!$D$7,"Other Services"))),"Other Services"))</f>
        <v/>
      </c>
    </row>
    <row r="82" customFormat="false" ht="15" hidden="false" customHeight="false" outlineLevel="0" collapsed="false">
      <c r="I82" s="41" t="str">
        <f aca="false">IF(F82="","",IFERROR(IF(ISNUMBER(SEARCH(Assumptions!$C$5,F82)),Assumptions!$D$5,IF(ISNUMBER(SEARCH(Assumptions!$C$6,F82)),Assumptions!$D$6,IF(ISNUMBER(SEARCH(Assumptions!$C$7,F82)),Assumptions!$D$7,"Other Services"))),"Other Services"))</f>
        <v/>
      </c>
    </row>
    <row r="83" customFormat="false" ht="15" hidden="false" customHeight="false" outlineLevel="0" collapsed="false">
      <c r="I83" s="41" t="str">
        <f aca="false">IF(F83="","",IFERROR(IF(ISNUMBER(SEARCH(Assumptions!$C$5,F83)),Assumptions!$D$5,IF(ISNUMBER(SEARCH(Assumptions!$C$6,F83)),Assumptions!$D$6,IF(ISNUMBER(SEARCH(Assumptions!$C$7,F83)),Assumptions!$D$7,"Other Services"))),"Other Services"))</f>
        <v/>
      </c>
    </row>
    <row r="84" customFormat="false" ht="15" hidden="false" customHeight="false" outlineLevel="0" collapsed="false">
      <c r="I84" s="41" t="str">
        <f aca="false">IF(F84="","",IFERROR(IF(ISNUMBER(SEARCH(Assumptions!$C$5,F84)),Assumptions!$D$5,IF(ISNUMBER(SEARCH(Assumptions!$C$6,F84)),Assumptions!$D$6,IF(ISNUMBER(SEARCH(Assumptions!$C$7,F84)),Assumptions!$D$7,"Other Services"))),"Other Services"))</f>
        <v/>
      </c>
    </row>
    <row r="85" customFormat="false" ht="15" hidden="false" customHeight="false" outlineLevel="0" collapsed="false">
      <c r="I85" s="41" t="str">
        <f aca="false">IF(F85="","",IFERROR(IF(ISNUMBER(SEARCH(Assumptions!$C$5,F85)),Assumptions!$D$5,IF(ISNUMBER(SEARCH(Assumptions!$C$6,F85)),Assumptions!$D$6,IF(ISNUMBER(SEARCH(Assumptions!$C$7,F85)),Assumptions!$D$7,"Other Services"))),"Other Services"))</f>
        <v/>
      </c>
    </row>
    <row r="86" customFormat="false" ht="15" hidden="false" customHeight="false" outlineLevel="0" collapsed="false">
      <c r="I86" s="41" t="str">
        <f aca="false">IF(F86="","",IFERROR(IF(ISNUMBER(SEARCH(Assumptions!$C$5,F86)),Assumptions!$D$5,IF(ISNUMBER(SEARCH(Assumptions!$C$6,F86)),Assumptions!$D$6,IF(ISNUMBER(SEARCH(Assumptions!$C$7,F86)),Assumptions!$D$7,"Other Services"))),"Other Services"))</f>
        <v/>
      </c>
    </row>
    <row r="87" customFormat="false" ht="15" hidden="false" customHeight="false" outlineLevel="0" collapsed="false">
      <c r="I87" s="41" t="str">
        <f aca="false">IF(F87="","",IFERROR(IF(ISNUMBER(SEARCH(Assumptions!$C$5,F87)),Assumptions!$D$5,IF(ISNUMBER(SEARCH(Assumptions!$C$6,F87)),Assumptions!$D$6,IF(ISNUMBER(SEARCH(Assumptions!$C$7,F87)),Assumptions!$D$7,"Other Services"))),"Other Services"))</f>
        <v/>
      </c>
    </row>
    <row r="88" customFormat="false" ht="15" hidden="false" customHeight="false" outlineLevel="0" collapsed="false">
      <c r="I88" s="41" t="str">
        <f aca="false">IF(F88="","",IFERROR(IF(ISNUMBER(SEARCH(Assumptions!$C$5,F88)),Assumptions!$D$5,IF(ISNUMBER(SEARCH(Assumptions!$C$6,F88)),Assumptions!$D$6,IF(ISNUMBER(SEARCH(Assumptions!$C$7,F88)),Assumptions!$D$7,"Other Services"))),"Other Services"))</f>
        <v/>
      </c>
    </row>
    <row r="89" customFormat="false" ht="15" hidden="false" customHeight="false" outlineLevel="0" collapsed="false">
      <c r="I89" s="41" t="str">
        <f aca="false">IF(F89="","",IFERROR(IF(ISNUMBER(SEARCH(Assumptions!$C$5,F89)),Assumptions!$D$5,IF(ISNUMBER(SEARCH(Assumptions!$C$6,F89)),Assumptions!$D$6,IF(ISNUMBER(SEARCH(Assumptions!$C$7,F89)),Assumptions!$D$7,"Other Services"))),"Other Services"))</f>
        <v/>
      </c>
    </row>
    <row r="90" customFormat="false" ht="15" hidden="false" customHeight="false" outlineLevel="0" collapsed="false">
      <c r="I90" s="41" t="str">
        <f aca="false">IF(F90="","",IFERROR(IF(ISNUMBER(SEARCH(Assumptions!$C$5,F90)),Assumptions!$D$5,IF(ISNUMBER(SEARCH(Assumptions!$C$6,F90)),Assumptions!$D$6,IF(ISNUMBER(SEARCH(Assumptions!$C$7,F90)),Assumptions!$D$7,"Other Services"))),"Other Services"))</f>
        <v/>
      </c>
    </row>
    <row r="91" customFormat="false" ht="15" hidden="false" customHeight="false" outlineLevel="0" collapsed="false">
      <c r="I91" s="41" t="str">
        <f aca="false">IF(F91="","",IFERROR(IF(ISNUMBER(SEARCH(Assumptions!$C$5,F91)),Assumptions!$D$5,IF(ISNUMBER(SEARCH(Assumptions!$C$6,F91)),Assumptions!$D$6,IF(ISNUMBER(SEARCH(Assumptions!$C$7,F91)),Assumptions!$D$7,"Other Services"))),"Other Services"))</f>
        <v/>
      </c>
    </row>
    <row r="92" customFormat="false" ht="15" hidden="false" customHeight="false" outlineLevel="0" collapsed="false">
      <c r="I92" s="41" t="str">
        <f aca="false">IF(F92="","",IFERROR(IF(ISNUMBER(SEARCH(Assumptions!$C$5,F92)),Assumptions!$D$5,IF(ISNUMBER(SEARCH(Assumptions!$C$6,F92)),Assumptions!$D$6,IF(ISNUMBER(SEARCH(Assumptions!$C$7,F92)),Assumptions!$D$7,"Other Services"))),"Other Services"))</f>
        <v/>
      </c>
    </row>
    <row r="93" customFormat="false" ht="15" hidden="false" customHeight="false" outlineLevel="0" collapsed="false">
      <c r="I93" s="41" t="str">
        <f aca="false">IF(F93="","",IFERROR(IF(ISNUMBER(SEARCH(Assumptions!$C$5,F93)),Assumptions!$D$5,IF(ISNUMBER(SEARCH(Assumptions!$C$6,F93)),Assumptions!$D$6,IF(ISNUMBER(SEARCH(Assumptions!$C$7,F93)),Assumptions!$D$7,"Other Services"))),"Other Services"))</f>
        <v/>
      </c>
    </row>
    <row r="94" customFormat="false" ht="15" hidden="false" customHeight="false" outlineLevel="0" collapsed="false">
      <c r="I94" s="41" t="str">
        <f aca="false">IF(F94="","",IFERROR(IF(ISNUMBER(SEARCH(Assumptions!$C$5,F94)),Assumptions!$D$5,IF(ISNUMBER(SEARCH(Assumptions!$C$6,F94)),Assumptions!$D$6,IF(ISNUMBER(SEARCH(Assumptions!$C$7,F94)),Assumptions!$D$7,"Other Services"))),"Other Services"))</f>
        <v/>
      </c>
    </row>
    <row r="95" customFormat="false" ht="15" hidden="false" customHeight="false" outlineLevel="0" collapsed="false">
      <c r="I95" s="41" t="str">
        <f aca="false">IF(F95="","",IFERROR(IF(ISNUMBER(SEARCH(Assumptions!$C$5,F95)),Assumptions!$D$5,IF(ISNUMBER(SEARCH(Assumptions!$C$6,F95)),Assumptions!$D$6,IF(ISNUMBER(SEARCH(Assumptions!$C$7,F95)),Assumptions!$D$7,"Other Services"))),"Other Services"))</f>
        <v/>
      </c>
    </row>
    <row r="96" customFormat="false" ht="15" hidden="false" customHeight="false" outlineLevel="0" collapsed="false">
      <c r="I96" s="41" t="str">
        <f aca="false">IF(F96="","",IFERROR(IF(ISNUMBER(SEARCH(Assumptions!$C$5,F96)),Assumptions!$D$5,IF(ISNUMBER(SEARCH(Assumptions!$C$6,F96)),Assumptions!$D$6,IF(ISNUMBER(SEARCH(Assumptions!$C$7,F96)),Assumptions!$D$7,"Other Services"))),"Other Services"))</f>
        <v/>
      </c>
    </row>
    <row r="97" customFormat="false" ht="15" hidden="false" customHeight="false" outlineLevel="0" collapsed="false">
      <c r="I97" s="41" t="str">
        <f aca="false">IF(F97="","",IFERROR(IF(ISNUMBER(SEARCH(Assumptions!$C$5,F97)),Assumptions!$D$5,IF(ISNUMBER(SEARCH(Assumptions!$C$6,F97)),Assumptions!$D$6,IF(ISNUMBER(SEARCH(Assumptions!$C$7,F97)),Assumptions!$D$7,"Other Services"))),"Other Services"))</f>
        <v/>
      </c>
    </row>
    <row r="98" customFormat="false" ht="15" hidden="false" customHeight="false" outlineLevel="0" collapsed="false">
      <c r="I98" s="41" t="str">
        <f aca="false">IF(F98="","",IFERROR(IF(ISNUMBER(SEARCH(Assumptions!$C$5,F98)),Assumptions!$D$5,IF(ISNUMBER(SEARCH(Assumptions!$C$6,F98)),Assumptions!$D$6,IF(ISNUMBER(SEARCH(Assumptions!$C$7,F98)),Assumptions!$D$7,"Other Services"))),"Other Services"))</f>
        <v/>
      </c>
    </row>
    <row r="99" customFormat="false" ht="15" hidden="false" customHeight="false" outlineLevel="0" collapsed="false">
      <c r="I99" s="41" t="str">
        <f aca="false">IF(F99="","",IFERROR(IF(ISNUMBER(SEARCH(Assumptions!$C$5,F99)),Assumptions!$D$5,IF(ISNUMBER(SEARCH(Assumptions!$C$6,F99)),Assumptions!$D$6,IF(ISNUMBER(SEARCH(Assumptions!$C$7,F99)),Assumptions!$D$7,"Other Services"))),"Other Services"))</f>
        <v/>
      </c>
    </row>
    <row r="100" customFormat="false" ht="15" hidden="false" customHeight="false" outlineLevel="0" collapsed="false">
      <c r="I100" s="41" t="str">
        <f aca="false">IF(F100="","",IFERROR(IF(ISNUMBER(SEARCH(Assumptions!$C$5,F100)),Assumptions!$D$5,IF(ISNUMBER(SEARCH(Assumptions!$C$6,F100)),Assumptions!$D$6,IF(ISNUMBER(SEARCH(Assumptions!$C$7,F100)),Assumptions!$D$7,"Other Services"))),"Other Services"))</f>
        <v/>
      </c>
    </row>
    <row r="101" customFormat="false" ht="15" hidden="false" customHeight="false" outlineLevel="0" collapsed="false">
      <c r="I101" s="41" t="str">
        <f aca="false">IF(F101="","",IFERROR(IF(ISNUMBER(SEARCH(Assumptions!$C$5,F101)),Assumptions!$D$5,IF(ISNUMBER(SEARCH(Assumptions!$C$6,F101)),Assumptions!$D$6,IF(ISNUMBER(SEARCH(Assumptions!$C$7,F101)),Assumptions!$D$7,"Other Services"))),"Other Services"))</f>
        <v/>
      </c>
    </row>
    <row r="102" customFormat="false" ht="15" hidden="false" customHeight="false" outlineLevel="0" collapsed="false">
      <c r="I102" s="41" t="str">
        <f aca="false">IF(F102="","",IFERROR(IF(ISNUMBER(SEARCH(Assumptions!$C$5,F102)),Assumptions!$D$5,IF(ISNUMBER(SEARCH(Assumptions!$C$6,F102)),Assumptions!$D$6,IF(ISNUMBER(SEARCH(Assumptions!$C$7,F102)),Assumptions!$D$7,"Other Services"))),"Other Services"))</f>
        <v/>
      </c>
    </row>
    <row r="103" customFormat="false" ht="15" hidden="false" customHeight="false" outlineLevel="0" collapsed="false">
      <c r="I103" s="41" t="str">
        <f aca="false">IF(F103="","",IFERROR(IF(ISNUMBER(SEARCH(Assumptions!$C$5,F103)),Assumptions!$D$5,IF(ISNUMBER(SEARCH(Assumptions!$C$6,F103)),Assumptions!$D$6,IF(ISNUMBER(SEARCH(Assumptions!$C$7,F103)),Assumptions!$D$7,"Other Services"))),"Other Services"))</f>
        <v/>
      </c>
    </row>
    <row r="104" customFormat="false" ht="15" hidden="false" customHeight="false" outlineLevel="0" collapsed="false">
      <c r="I104" s="41" t="str">
        <f aca="false">IF(F104="","",IFERROR(IF(ISNUMBER(SEARCH(Assumptions!$C$5,F104)),Assumptions!$D$5,IF(ISNUMBER(SEARCH(Assumptions!$C$6,F104)),Assumptions!$D$6,IF(ISNUMBER(SEARCH(Assumptions!$C$7,F104)),Assumptions!$D$7,"Other Services"))),"Other Services"))</f>
        <v/>
      </c>
    </row>
    <row r="105" customFormat="false" ht="15" hidden="false" customHeight="false" outlineLevel="0" collapsed="false">
      <c r="I105" s="41" t="str">
        <f aca="false">IF(F105="","",IFERROR(IF(ISNUMBER(SEARCH(Assumptions!$C$5,F105)),Assumptions!$D$5,IF(ISNUMBER(SEARCH(Assumptions!$C$6,F105)),Assumptions!$D$6,IF(ISNUMBER(SEARCH(Assumptions!$C$7,F105)),Assumptions!$D$7,"Other Services"))),"Other Services"))</f>
        <v/>
      </c>
    </row>
    <row r="106" customFormat="false" ht="15" hidden="false" customHeight="false" outlineLevel="0" collapsed="false">
      <c r="I106" s="41" t="str">
        <f aca="false">IF(F106="","",IFERROR(IF(ISNUMBER(SEARCH(Assumptions!$C$5,F106)),Assumptions!$D$5,IF(ISNUMBER(SEARCH(Assumptions!$C$6,F106)),Assumptions!$D$6,IF(ISNUMBER(SEARCH(Assumptions!$C$7,F106)),Assumptions!$D$7,"Other Services"))),"Other Services"))</f>
        <v/>
      </c>
    </row>
    <row r="107" customFormat="false" ht="15" hidden="false" customHeight="false" outlineLevel="0" collapsed="false">
      <c r="I107" s="41" t="str">
        <f aca="false">IF(F107="","",IFERROR(IF(ISNUMBER(SEARCH(Assumptions!$C$5,F107)),Assumptions!$D$5,IF(ISNUMBER(SEARCH(Assumptions!$C$6,F107)),Assumptions!$D$6,IF(ISNUMBER(SEARCH(Assumptions!$C$7,F107)),Assumptions!$D$7,"Other Services"))),"Other Services"))</f>
        <v/>
      </c>
    </row>
    <row r="108" customFormat="false" ht="15" hidden="false" customHeight="false" outlineLevel="0" collapsed="false">
      <c r="I108" s="41" t="str">
        <f aca="false">IF(F108="","",IFERROR(IF(ISNUMBER(SEARCH(Assumptions!$C$5,F108)),Assumptions!$D$5,IF(ISNUMBER(SEARCH(Assumptions!$C$6,F108)),Assumptions!$D$6,IF(ISNUMBER(SEARCH(Assumptions!$C$7,F108)),Assumptions!$D$7,"Other Services"))),"Other Services"))</f>
        <v/>
      </c>
    </row>
    <row r="109" customFormat="false" ht="15" hidden="false" customHeight="false" outlineLevel="0" collapsed="false">
      <c r="I109" s="41" t="str">
        <f aca="false">IF(F109="","",IFERROR(IF(ISNUMBER(SEARCH(Assumptions!$C$5,F109)),Assumptions!$D$5,IF(ISNUMBER(SEARCH(Assumptions!$C$6,F109)),Assumptions!$D$6,IF(ISNUMBER(SEARCH(Assumptions!$C$7,F109)),Assumptions!$D$7,"Other Services"))),"Other Services"))</f>
        <v/>
      </c>
    </row>
    <row r="110" customFormat="false" ht="15" hidden="false" customHeight="false" outlineLevel="0" collapsed="false">
      <c r="I110" s="41" t="str">
        <f aca="false">IF(F110="","",IFERROR(IF(ISNUMBER(SEARCH(Assumptions!$C$5,F110)),Assumptions!$D$5,IF(ISNUMBER(SEARCH(Assumptions!$C$6,F110)),Assumptions!$D$6,IF(ISNUMBER(SEARCH(Assumptions!$C$7,F110)),Assumptions!$D$7,"Other Services"))),"Other Services"))</f>
        <v/>
      </c>
    </row>
    <row r="111" customFormat="false" ht="15" hidden="false" customHeight="false" outlineLevel="0" collapsed="false">
      <c r="I111" s="41" t="str">
        <f aca="false">IF(F111="","",IFERROR(IF(ISNUMBER(SEARCH(Assumptions!$C$5,F111)),Assumptions!$D$5,IF(ISNUMBER(SEARCH(Assumptions!$C$6,F111)),Assumptions!$D$6,IF(ISNUMBER(SEARCH(Assumptions!$C$7,F111)),Assumptions!$D$7,"Other Services"))),"Other Services"))</f>
        <v/>
      </c>
    </row>
    <row r="112" customFormat="false" ht="15" hidden="false" customHeight="false" outlineLevel="0" collapsed="false">
      <c r="I112" s="41" t="str">
        <f aca="false">IF(F112="","",IFERROR(IF(ISNUMBER(SEARCH(Assumptions!$C$5,F112)),Assumptions!$D$5,IF(ISNUMBER(SEARCH(Assumptions!$C$6,F112)),Assumptions!$D$6,IF(ISNUMBER(SEARCH(Assumptions!$C$7,F112)),Assumptions!$D$7,"Other Services"))),"Other Services"))</f>
        <v/>
      </c>
    </row>
    <row r="113" customFormat="false" ht="15" hidden="false" customHeight="false" outlineLevel="0" collapsed="false">
      <c r="I113" s="41" t="str">
        <f aca="false">IF(F113="","",IFERROR(IF(ISNUMBER(SEARCH(Assumptions!$C$5,F113)),Assumptions!$D$5,IF(ISNUMBER(SEARCH(Assumptions!$C$6,F113)),Assumptions!$D$6,IF(ISNUMBER(SEARCH(Assumptions!$C$7,F113)),Assumptions!$D$7,"Other Services"))),"Other Services"))</f>
        <v/>
      </c>
    </row>
    <row r="114" customFormat="false" ht="15" hidden="false" customHeight="false" outlineLevel="0" collapsed="false">
      <c r="I114" s="41" t="str">
        <f aca="false">IF(F114="","",IFERROR(IF(ISNUMBER(SEARCH(Assumptions!$C$5,F114)),Assumptions!$D$5,IF(ISNUMBER(SEARCH(Assumptions!$C$6,F114)),Assumptions!$D$6,IF(ISNUMBER(SEARCH(Assumptions!$C$7,F114)),Assumptions!$D$7,"Other Services"))),"Other Services"))</f>
        <v/>
      </c>
    </row>
    <row r="115" customFormat="false" ht="15" hidden="false" customHeight="false" outlineLevel="0" collapsed="false">
      <c r="I115" s="41" t="str">
        <f aca="false">IF(F115="","",IFERROR(IF(ISNUMBER(SEARCH(Assumptions!$C$5,F115)),Assumptions!$D$5,IF(ISNUMBER(SEARCH(Assumptions!$C$6,F115)),Assumptions!$D$6,IF(ISNUMBER(SEARCH(Assumptions!$C$7,F115)),Assumptions!$D$7,"Other Services"))),"Other Services"))</f>
        <v/>
      </c>
    </row>
    <row r="116" customFormat="false" ht="15" hidden="false" customHeight="false" outlineLevel="0" collapsed="false">
      <c r="I116" s="41" t="str">
        <f aca="false">IF(F116="","",IFERROR(IF(ISNUMBER(SEARCH(Assumptions!$C$5,F116)),Assumptions!$D$5,IF(ISNUMBER(SEARCH(Assumptions!$C$6,F116)),Assumptions!$D$6,IF(ISNUMBER(SEARCH(Assumptions!$C$7,F116)),Assumptions!$D$7,"Other Services"))),"Other Services"))</f>
        <v/>
      </c>
    </row>
    <row r="117" customFormat="false" ht="15" hidden="false" customHeight="false" outlineLevel="0" collapsed="false">
      <c r="I117" s="41" t="str">
        <f aca="false">IF(F117="","",IFERROR(IF(ISNUMBER(SEARCH(Assumptions!$C$5,F117)),Assumptions!$D$5,IF(ISNUMBER(SEARCH(Assumptions!$C$6,F117)),Assumptions!$D$6,IF(ISNUMBER(SEARCH(Assumptions!$C$7,F117)),Assumptions!$D$7,"Other Services"))),"Other Services"))</f>
        <v/>
      </c>
    </row>
    <row r="118" customFormat="false" ht="15" hidden="false" customHeight="false" outlineLevel="0" collapsed="false">
      <c r="I118" s="41" t="str">
        <f aca="false">IF(F118="","",IFERROR(IF(ISNUMBER(SEARCH(Assumptions!$C$5,F118)),Assumptions!$D$5,IF(ISNUMBER(SEARCH(Assumptions!$C$6,F118)),Assumptions!$D$6,IF(ISNUMBER(SEARCH(Assumptions!$C$7,F118)),Assumptions!$D$7,"Other Services"))),"Other Services"))</f>
        <v/>
      </c>
    </row>
    <row r="119" customFormat="false" ht="15" hidden="false" customHeight="false" outlineLevel="0" collapsed="false">
      <c r="I119" s="41" t="str">
        <f aca="false">IF(F119="","",IFERROR(IF(ISNUMBER(SEARCH(Assumptions!$C$5,F119)),Assumptions!$D$5,IF(ISNUMBER(SEARCH(Assumptions!$C$6,F119)),Assumptions!$D$6,IF(ISNUMBER(SEARCH(Assumptions!$C$7,F119)),Assumptions!$D$7,"Other Services"))),"Other Services"))</f>
        <v/>
      </c>
    </row>
    <row r="120" customFormat="false" ht="15" hidden="false" customHeight="false" outlineLevel="0" collapsed="false">
      <c r="I120" s="41" t="str">
        <f aca="false">IF(F120="","",IFERROR(IF(ISNUMBER(SEARCH(Assumptions!$C$5,F120)),Assumptions!$D$5,IF(ISNUMBER(SEARCH(Assumptions!$C$6,F120)),Assumptions!$D$6,IF(ISNUMBER(SEARCH(Assumptions!$C$7,F120)),Assumptions!$D$7,"Other Services"))),"Other Services"))</f>
        <v/>
      </c>
    </row>
    <row r="121" customFormat="false" ht="15" hidden="false" customHeight="false" outlineLevel="0" collapsed="false">
      <c r="I121" s="41" t="str">
        <f aca="false">IF(F121="","",IFERROR(IF(ISNUMBER(SEARCH(Assumptions!$C$5,F121)),Assumptions!$D$5,IF(ISNUMBER(SEARCH(Assumptions!$C$6,F121)),Assumptions!$D$6,IF(ISNUMBER(SEARCH(Assumptions!$C$7,F121)),Assumptions!$D$7,"Other Services"))),"Other Services"))</f>
        <v/>
      </c>
    </row>
    <row r="122" customFormat="false" ht="15" hidden="false" customHeight="false" outlineLevel="0" collapsed="false">
      <c r="I122" s="41" t="str">
        <f aca="false">IF(F122="","",IFERROR(IF(ISNUMBER(SEARCH(Assumptions!$C$5,F122)),Assumptions!$D$5,IF(ISNUMBER(SEARCH(Assumptions!$C$6,F122)),Assumptions!$D$6,IF(ISNUMBER(SEARCH(Assumptions!$C$7,F122)),Assumptions!$D$7,"Other Services"))),"Other Services"))</f>
        <v/>
      </c>
    </row>
    <row r="123" customFormat="false" ht="15" hidden="false" customHeight="false" outlineLevel="0" collapsed="false">
      <c r="I123" s="41" t="str">
        <f aca="false">IF(F123="","",IFERROR(IF(ISNUMBER(SEARCH(Assumptions!$C$5,F123)),Assumptions!$D$5,IF(ISNUMBER(SEARCH(Assumptions!$C$6,F123)),Assumptions!$D$6,IF(ISNUMBER(SEARCH(Assumptions!$C$7,F123)),Assumptions!$D$7,"Other Services"))),"Other Services"))</f>
        <v/>
      </c>
    </row>
    <row r="124" customFormat="false" ht="15" hidden="false" customHeight="false" outlineLevel="0" collapsed="false">
      <c r="I124" s="41" t="str">
        <f aca="false">IF(F124="","",IFERROR(IF(ISNUMBER(SEARCH(Assumptions!$C$5,F124)),Assumptions!$D$5,IF(ISNUMBER(SEARCH(Assumptions!$C$6,F124)),Assumptions!$D$6,IF(ISNUMBER(SEARCH(Assumptions!$C$7,F124)),Assumptions!$D$7,"Other Services"))),"Other Services"))</f>
        <v/>
      </c>
    </row>
    <row r="125" customFormat="false" ht="15" hidden="false" customHeight="false" outlineLevel="0" collapsed="false">
      <c r="I125" s="41" t="str">
        <f aca="false">IF(F125="","",IFERROR(IF(ISNUMBER(SEARCH(Assumptions!$C$5,F125)),Assumptions!$D$5,IF(ISNUMBER(SEARCH(Assumptions!$C$6,F125)),Assumptions!$D$6,IF(ISNUMBER(SEARCH(Assumptions!$C$7,F125)),Assumptions!$D$7,"Other Services"))),"Other Services"))</f>
        <v/>
      </c>
    </row>
    <row r="126" customFormat="false" ht="15" hidden="false" customHeight="false" outlineLevel="0" collapsed="false">
      <c r="I126" s="41" t="str">
        <f aca="false">IF(F126="","",IFERROR(IF(ISNUMBER(SEARCH(Assumptions!$C$5,F126)),Assumptions!$D$5,IF(ISNUMBER(SEARCH(Assumptions!$C$6,F126)),Assumptions!$D$6,IF(ISNUMBER(SEARCH(Assumptions!$C$7,F126)),Assumptions!$D$7,"Other Services"))),"Other Services"))</f>
        <v/>
      </c>
    </row>
    <row r="127" customFormat="false" ht="15" hidden="false" customHeight="false" outlineLevel="0" collapsed="false">
      <c r="I127" s="41" t="str">
        <f aca="false">IF(F127="","",IFERROR(IF(ISNUMBER(SEARCH(Assumptions!$C$5,F127)),Assumptions!$D$5,IF(ISNUMBER(SEARCH(Assumptions!$C$6,F127)),Assumptions!$D$6,IF(ISNUMBER(SEARCH(Assumptions!$C$7,F127)),Assumptions!$D$7,"Other Services"))),"Other Services"))</f>
        <v/>
      </c>
    </row>
    <row r="128" customFormat="false" ht="15" hidden="false" customHeight="false" outlineLevel="0" collapsed="false">
      <c r="I128" s="41" t="str">
        <f aca="false">IF(F128="","",IFERROR(IF(ISNUMBER(SEARCH(Assumptions!$C$5,F128)),Assumptions!$D$5,IF(ISNUMBER(SEARCH(Assumptions!$C$6,F128)),Assumptions!$D$6,IF(ISNUMBER(SEARCH(Assumptions!$C$7,F128)),Assumptions!$D$7,"Other Services"))),"Other Services"))</f>
        <v/>
      </c>
    </row>
    <row r="129" customFormat="false" ht="15" hidden="false" customHeight="false" outlineLevel="0" collapsed="false">
      <c r="I129" s="41" t="str">
        <f aca="false">IF(F129="","",IFERROR(IF(ISNUMBER(SEARCH(Assumptions!$C$5,F129)),Assumptions!$D$5,IF(ISNUMBER(SEARCH(Assumptions!$C$6,F129)),Assumptions!$D$6,IF(ISNUMBER(SEARCH(Assumptions!$C$7,F129)),Assumptions!$D$7,"Other Services"))),"Other Services"))</f>
        <v/>
      </c>
    </row>
    <row r="130" customFormat="false" ht="15" hidden="false" customHeight="false" outlineLevel="0" collapsed="false">
      <c r="I130" s="41" t="str">
        <f aca="false">IF(F130="","",IFERROR(IF(ISNUMBER(SEARCH(Assumptions!$C$5,F130)),Assumptions!$D$5,IF(ISNUMBER(SEARCH(Assumptions!$C$6,F130)),Assumptions!$D$6,IF(ISNUMBER(SEARCH(Assumptions!$C$7,F130)),Assumptions!$D$7,"Other Services"))),"Other Services"))</f>
        <v/>
      </c>
    </row>
    <row r="131" customFormat="false" ht="15" hidden="false" customHeight="false" outlineLevel="0" collapsed="false">
      <c r="I131" s="41" t="str">
        <f aca="false">IF(F131="","",IFERROR(IF(ISNUMBER(SEARCH(Assumptions!$C$5,F131)),Assumptions!$D$5,IF(ISNUMBER(SEARCH(Assumptions!$C$6,F131)),Assumptions!$D$6,IF(ISNUMBER(SEARCH(Assumptions!$C$7,F131)),Assumptions!$D$7,"Other Services"))),"Other Services"))</f>
        <v/>
      </c>
    </row>
    <row r="132" customFormat="false" ht="15" hidden="false" customHeight="false" outlineLevel="0" collapsed="false">
      <c r="I132" s="41" t="str">
        <f aca="false">IF(F132="","",IFERROR(IF(ISNUMBER(SEARCH(Assumptions!$C$5,F132)),Assumptions!$D$5,IF(ISNUMBER(SEARCH(Assumptions!$C$6,F132)),Assumptions!$D$6,IF(ISNUMBER(SEARCH(Assumptions!$C$7,F132)),Assumptions!$D$7,"Other Services"))),"Other Services"))</f>
        <v/>
      </c>
    </row>
    <row r="133" customFormat="false" ht="15" hidden="false" customHeight="false" outlineLevel="0" collapsed="false">
      <c r="I133" s="41" t="str">
        <f aca="false">IF(F133="","",IFERROR(IF(ISNUMBER(SEARCH(Assumptions!$C$5,F133)),Assumptions!$D$5,IF(ISNUMBER(SEARCH(Assumptions!$C$6,F133)),Assumptions!$D$6,IF(ISNUMBER(SEARCH(Assumptions!$C$7,F133)),Assumptions!$D$7,"Other Services"))),"Other Services"))</f>
        <v/>
      </c>
    </row>
    <row r="134" customFormat="false" ht="15" hidden="false" customHeight="false" outlineLevel="0" collapsed="false">
      <c r="I134" s="41" t="str">
        <f aca="false">IF(F134="","",IFERROR(IF(ISNUMBER(SEARCH(Assumptions!$C$5,F134)),Assumptions!$D$5,IF(ISNUMBER(SEARCH(Assumptions!$C$6,F134)),Assumptions!$D$6,IF(ISNUMBER(SEARCH(Assumptions!$C$7,F134)),Assumptions!$D$7,"Other Services"))),"Other Services"))</f>
        <v/>
      </c>
    </row>
    <row r="135" customFormat="false" ht="15" hidden="false" customHeight="false" outlineLevel="0" collapsed="false">
      <c r="I135" s="41" t="str">
        <f aca="false">IF(F135="","",IFERROR(IF(ISNUMBER(SEARCH(Assumptions!$C$5,F135)),Assumptions!$D$5,IF(ISNUMBER(SEARCH(Assumptions!$C$6,F135)),Assumptions!$D$6,IF(ISNUMBER(SEARCH(Assumptions!$C$7,F135)),Assumptions!$D$7,"Other Services"))),"Other Services"))</f>
        <v/>
      </c>
    </row>
    <row r="136" customFormat="false" ht="15" hidden="false" customHeight="false" outlineLevel="0" collapsed="false">
      <c r="I136" s="41" t="str">
        <f aca="false">IF(F136="","",IFERROR(IF(ISNUMBER(SEARCH(Assumptions!$C$5,F136)),Assumptions!$D$5,IF(ISNUMBER(SEARCH(Assumptions!$C$6,F136)),Assumptions!$D$6,IF(ISNUMBER(SEARCH(Assumptions!$C$7,F136)),Assumptions!$D$7,"Other Services"))),"Other Services"))</f>
        <v/>
      </c>
    </row>
    <row r="137" customFormat="false" ht="15" hidden="false" customHeight="false" outlineLevel="0" collapsed="false">
      <c r="I137" s="41" t="str">
        <f aca="false">IF(F137="","",IFERROR(IF(ISNUMBER(SEARCH(Assumptions!$C$5,F137)),Assumptions!$D$5,IF(ISNUMBER(SEARCH(Assumptions!$C$6,F137)),Assumptions!$D$6,IF(ISNUMBER(SEARCH(Assumptions!$C$7,F137)),Assumptions!$D$7,"Other Services"))),"Other Services"))</f>
        <v/>
      </c>
    </row>
    <row r="138" customFormat="false" ht="15" hidden="false" customHeight="false" outlineLevel="0" collapsed="false">
      <c r="I138" s="41" t="str">
        <f aca="false">IF(F138="","",IFERROR(IF(ISNUMBER(SEARCH(Assumptions!$C$5,F138)),Assumptions!$D$5,IF(ISNUMBER(SEARCH(Assumptions!$C$6,F138)),Assumptions!$D$6,IF(ISNUMBER(SEARCH(Assumptions!$C$7,F138)),Assumptions!$D$7,"Other Services"))),"Other Services"))</f>
        <v/>
      </c>
    </row>
    <row r="139" customFormat="false" ht="15" hidden="false" customHeight="false" outlineLevel="0" collapsed="false">
      <c r="I139" s="41" t="str">
        <f aca="false">IF(F139="","",IFERROR(IF(ISNUMBER(SEARCH(Assumptions!$C$5,F139)),Assumptions!$D$5,IF(ISNUMBER(SEARCH(Assumptions!$C$6,F139)),Assumptions!$D$6,IF(ISNUMBER(SEARCH(Assumptions!$C$7,F139)),Assumptions!$D$7,"Other Services"))),"Other Services"))</f>
        <v/>
      </c>
    </row>
    <row r="140" customFormat="false" ht="15" hidden="false" customHeight="false" outlineLevel="0" collapsed="false">
      <c r="I140" s="41" t="str">
        <f aca="false">IF(F140="","",IFERROR(IF(ISNUMBER(SEARCH(Assumptions!$C$5,F140)),Assumptions!$D$5,IF(ISNUMBER(SEARCH(Assumptions!$C$6,F140)),Assumptions!$D$6,IF(ISNUMBER(SEARCH(Assumptions!$C$7,F140)),Assumptions!$D$7,"Other Services"))),"Other Services"))</f>
        <v/>
      </c>
    </row>
    <row r="141" customFormat="false" ht="15" hidden="false" customHeight="false" outlineLevel="0" collapsed="false">
      <c r="I141" s="41" t="str">
        <f aca="false">IF(F141="","",IFERROR(IF(ISNUMBER(SEARCH(Assumptions!$C$5,F141)),Assumptions!$D$5,IF(ISNUMBER(SEARCH(Assumptions!$C$6,F141)),Assumptions!$D$6,IF(ISNUMBER(SEARCH(Assumptions!$C$7,F141)),Assumptions!$D$7,"Other Services"))),"Other Services"))</f>
        <v/>
      </c>
    </row>
    <row r="142" customFormat="false" ht="15" hidden="false" customHeight="false" outlineLevel="0" collapsed="false">
      <c r="I142" s="41" t="str">
        <f aca="false">IF(F142="","",IFERROR(IF(ISNUMBER(SEARCH(Assumptions!$C$5,F142)),Assumptions!$D$5,IF(ISNUMBER(SEARCH(Assumptions!$C$6,F142)),Assumptions!$D$6,IF(ISNUMBER(SEARCH(Assumptions!$C$7,F142)),Assumptions!$D$7,"Other Services"))),"Other Services"))</f>
        <v/>
      </c>
    </row>
    <row r="143" customFormat="false" ht="15" hidden="false" customHeight="false" outlineLevel="0" collapsed="false">
      <c r="I143" s="41" t="str">
        <f aca="false">IF(F143="","",IFERROR(IF(ISNUMBER(SEARCH(Assumptions!$C$5,F143)),Assumptions!$D$5,IF(ISNUMBER(SEARCH(Assumptions!$C$6,F143)),Assumptions!$D$6,IF(ISNUMBER(SEARCH(Assumptions!$C$7,F143)),Assumptions!$D$7,"Other Services"))),"Other Services"))</f>
        <v/>
      </c>
    </row>
    <row r="144" customFormat="false" ht="15" hidden="false" customHeight="false" outlineLevel="0" collapsed="false">
      <c r="I144" s="41" t="str">
        <f aca="false">IF(F144="","",IFERROR(IF(ISNUMBER(SEARCH(Assumptions!$C$5,F144)),Assumptions!$D$5,IF(ISNUMBER(SEARCH(Assumptions!$C$6,F144)),Assumptions!$D$6,IF(ISNUMBER(SEARCH(Assumptions!$C$7,F144)),Assumptions!$D$7,"Other Services"))),"Other Services"))</f>
        <v/>
      </c>
    </row>
    <row r="145" customFormat="false" ht="15" hidden="false" customHeight="false" outlineLevel="0" collapsed="false">
      <c r="I145" s="41" t="str">
        <f aca="false">IF(F145="","",IFERROR(IF(ISNUMBER(SEARCH(Assumptions!$C$5,F145)),Assumptions!$D$5,IF(ISNUMBER(SEARCH(Assumptions!$C$6,F145)),Assumptions!$D$6,IF(ISNUMBER(SEARCH(Assumptions!$C$7,F145)),Assumptions!$D$7,"Other Services"))),"Other Services"))</f>
        <v/>
      </c>
    </row>
    <row r="146" customFormat="false" ht="15" hidden="false" customHeight="false" outlineLevel="0" collapsed="false">
      <c r="I146" s="41" t="str">
        <f aca="false">IF(F146="","",IFERROR(IF(ISNUMBER(SEARCH(Assumptions!$C$5,F146)),Assumptions!$D$5,IF(ISNUMBER(SEARCH(Assumptions!$C$6,F146)),Assumptions!$D$6,IF(ISNUMBER(SEARCH(Assumptions!$C$7,F146)),Assumptions!$D$7,"Other Services"))),"Other Services"))</f>
        <v/>
      </c>
    </row>
    <row r="147" customFormat="false" ht="15" hidden="false" customHeight="false" outlineLevel="0" collapsed="false">
      <c r="I147" s="41" t="str">
        <f aca="false">IF(F147="","",IFERROR(IF(ISNUMBER(SEARCH(Assumptions!$C$5,F147)),Assumptions!$D$5,IF(ISNUMBER(SEARCH(Assumptions!$C$6,F147)),Assumptions!$D$6,IF(ISNUMBER(SEARCH(Assumptions!$C$7,F147)),Assumptions!$D$7,"Other Services"))),"Other Services"))</f>
        <v/>
      </c>
    </row>
    <row r="148" customFormat="false" ht="15" hidden="false" customHeight="false" outlineLevel="0" collapsed="false">
      <c r="I148" s="41" t="str">
        <f aca="false">IF(F148="","",IFERROR(IF(ISNUMBER(SEARCH(Assumptions!$C$5,F148)),Assumptions!$D$5,IF(ISNUMBER(SEARCH(Assumptions!$C$6,F148)),Assumptions!$D$6,IF(ISNUMBER(SEARCH(Assumptions!$C$7,F148)),Assumptions!$D$7,"Other Services"))),"Other Services"))</f>
        <v/>
      </c>
    </row>
    <row r="149" customFormat="false" ht="15" hidden="false" customHeight="false" outlineLevel="0" collapsed="false">
      <c r="I149" s="41" t="str">
        <f aca="false">IF(F149="","",IFERROR(IF(ISNUMBER(SEARCH(Assumptions!$C$5,F149)),Assumptions!$D$5,IF(ISNUMBER(SEARCH(Assumptions!$C$6,F149)),Assumptions!$D$6,IF(ISNUMBER(SEARCH(Assumptions!$C$7,F149)),Assumptions!$D$7,"Other Services"))),"Other Services"))</f>
        <v/>
      </c>
    </row>
    <row r="150" customFormat="false" ht="15" hidden="false" customHeight="false" outlineLevel="0" collapsed="false">
      <c r="I150" s="41" t="str">
        <f aca="false">IF(F150="","",IFERROR(IF(ISNUMBER(SEARCH(Assumptions!$C$5,F150)),Assumptions!$D$5,IF(ISNUMBER(SEARCH(Assumptions!$C$6,F150)),Assumptions!$D$6,IF(ISNUMBER(SEARCH(Assumptions!$C$7,F150)),Assumptions!$D$7,"Other Services"))),"Other Services"))</f>
        <v/>
      </c>
    </row>
    <row r="151" customFormat="false" ht="15" hidden="false" customHeight="false" outlineLevel="0" collapsed="false">
      <c r="I151" s="41" t="str">
        <f aca="false">IF(F151="","",IFERROR(IF(ISNUMBER(SEARCH(Assumptions!$C$5,F151)),Assumptions!$D$5,IF(ISNUMBER(SEARCH(Assumptions!$C$6,F151)),Assumptions!$D$6,IF(ISNUMBER(SEARCH(Assumptions!$C$7,F151)),Assumptions!$D$7,"Other Services"))),"Other Services"))</f>
        <v/>
      </c>
    </row>
    <row r="152" customFormat="false" ht="15" hidden="false" customHeight="false" outlineLevel="0" collapsed="false">
      <c r="I152" s="41" t="str">
        <f aca="false">IF(F152="","",IFERROR(IF(ISNUMBER(SEARCH(Assumptions!$C$5,F152)),Assumptions!$D$5,IF(ISNUMBER(SEARCH(Assumptions!$C$6,F152)),Assumptions!$D$6,IF(ISNUMBER(SEARCH(Assumptions!$C$7,F152)),Assumptions!$D$7,"Other Services"))),"Other Services"))</f>
        <v/>
      </c>
    </row>
    <row r="153" customFormat="false" ht="15" hidden="false" customHeight="false" outlineLevel="0" collapsed="false">
      <c r="I153" s="41" t="str">
        <f aca="false">IF(F153="","",IFERROR(IF(ISNUMBER(SEARCH(Assumptions!$C$5,F153)),Assumptions!$D$5,IF(ISNUMBER(SEARCH(Assumptions!$C$6,F153)),Assumptions!$D$6,IF(ISNUMBER(SEARCH(Assumptions!$C$7,F153)),Assumptions!$D$7,"Other Services"))),"Other Services"))</f>
        <v/>
      </c>
    </row>
    <row r="154" customFormat="false" ht="15" hidden="false" customHeight="false" outlineLevel="0" collapsed="false">
      <c r="I154" s="41" t="str">
        <f aca="false">IF(F154="","",IFERROR(IF(ISNUMBER(SEARCH(Assumptions!$C$5,F154)),Assumptions!$D$5,IF(ISNUMBER(SEARCH(Assumptions!$C$6,F154)),Assumptions!$D$6,IF(ISNUMBER(SEARCH(Assumptions!$C$7,F154)),Assumptions!$D$7,"Other Services"))),"Other Services"))</f>
        <v/>
      </c>
    </row>
    <row r="155" customFormat="false" ht="15" hidden="false" customHeight="false" outlineLevel="0" collapsed="false">
      <c r="I155" s="41" t="str">
        <f aca="false">IF(F155="","",IFERROR(IF(ISNUMBER(SEARCH(Assumptions!$C$5,F155)),Assumptions!$D$5,IF(ISNUMBER(SEARCH(Assumptions!$C$6,F155)),Assumptions!$D$6,IF(ISNUMBER(SEARCH(Assumptions!$C$7,F155)),Assumptions!$D$7,"Other Services"))),"Other Services"))</f>
        <v/>
      </c>
    </row>
    <row r="156" customFormat="false" ht="15" hidden="false" customHeight="false" outlineLevel="0" collapsed="false">
      <c r="I156" s="41" t="str">
        <f aca="false">IF(F156="","",IFERROR(IF(ISNUMBER(SEARCH(Assumptions!$C$5,F156)),Assumptions!$D$5,IF(ISNUMBER(SEARCH(Assumptions!$C$6,F156)),Assumptions!$D$6,IF(ISNUMBER(SEARCH(Assumptions!$C$7,F156)),Assumptions!$D$7,"Other Services"))),"Other Services"))</f>
        <v/>
      </c>
    </row>
    <row r="157" customFormat="false" ht="15" hidden="false" customHeight="false" outlineLevel="0" collapsed="false">
      <c r="I157" s="41" t="str">
        <f aca="false">IF(F157="","",IFERROR(IF(ISNUMBER(SEARCH(Assumptions!$C$5,F157)),Assumptions!$D$5,IF(ISNUMBER(SEARCH(Assumptions!$C$6,F157)),Assumptions!$D$6,IF(ISNUMBER(SEARCH(Assumptions!$C$7,F157)),Assumptions!$D$7,"Other Services"))),"Other Services"))</f>
        <v/>
      </c>
    </row>
    <row r="158" customFormat="false" ht="15" hidden="false" customHeight="false" outlineLevel="0" collapsed="false">
      <c r="I158" s="41" t="str">
        <f aca="false">IF(F158="","",IFERROR(IF(ISNUMBER(SEARCH(Assumptions!$C$5,F158)),Assumptions!$D$5,IF(ISNUMBER(SEARCH(Assumptions!$C$6,F158)),Assumptions!$D$6,IF(ISNUMBER(SEARCH(Assumptions!$C$7,F158)),Assumptions!$D$7,"Other Services"))),"Other Services"))</f>
        <v/>
      </c>
    </row>
    <row r="159" customFormat="false" ht="15" hidden="false" customHeight="false" outlineLevel="0" collapsed="false">
      <c r="I159" s="41" t="str">
        <f aca="false">IF(F159="","",IFERROR(IF(ISNUMBER(SEARCH(Assumptions!$C$5,F159)),Assumptions!$D$5,IF(ISNUMBER(SEARCH(Assumptions!$C$6,F159)),Assumptions!$D$6,IF(ISNUMBER(SEARCH(Assumptions!$C$7,F159)),Assumptions!$D$7,"Other Services"))),"Other Services"))</f>
        <v/>
      </c>
    </row>
    <row r="160" customFormat="false" ht="15" hidden="false" customHeight="false" outlineLevel="0" collapsed="false">
      <c r="I160" s="41" t="str">
        <f aca="false">IF(F160="","",IFERROR(IF(ISNUMBER(SEARCH(Assumptions!$C$5,F160)),Assumptions!$D$5,IF(ISNUMBER(SEARCH(Assumptions!$C$6,F160)),Assumptions!$D$6,IF(ISNUMBER(SEARCH(Assumptions!$C$7,F160)),Assumptions!$D$7,"Other Services"))),"Other Services"))</f>
        <v/>
      </c>
    </row>
    <row r="161" customFormat="false" ht="15" hidden="false" customHeight="false" outlineLevel="0" collapsed="false">
      <c r="I161" s="41" t="str">
        <f aca="false">IF(F161="","",IFERROR(IF(ISNUMBER(SEARCH(Assumptions!$C$5,F161)),Assumptions!$D$5,IF(ISNUMBER(SEARCH(Assumptions!$C$6,F161)),Assumptions!$D$6,IF(ISNUMBER(SEARCH(Assumptions!$C$7,F161)),Assumptions!$D$7,"Other Services"))),"Other Services"))</f>
        <v/>
      </c>
    </row>
    <row r="162" customFormat="false" ht="15" hidden="false" customHeight="false" outlineLevel="0" collapsed="false">
      <c r="I162" s="41" t="str">
        <f aca="false">IF(F162="","",IFERROR(IF(ISNUMBER(SEARCH(Assumptions!$C$5,F162)),Assumptions!$D$5,IF(ISNUMBER(SEARCH(Assumptions!$C$6,F162)),Assumptions!$D$6,IF(ISNUMBER(SEARCH(Assumptions!$C$7,F162)),Assumptions!$D$7,"Other Services"))),"Other Services"))</f>
        <v/>
      </c>
    </row>
    <row r="163" customFormat="false" ht="15" hidden="false" customHeight="false" outlineLevel="0" collapsed="false">
      <c r="I163" s="41" t="str">
        <f aca="false">IF(F163="","",IFERROR(IF(ISNUMBER(SEARCH(Assumptions!$C$5,F163)),Assumptions!$D$5,IF(ISNUMBER(SEARCH(Assumptions!$C$6,F163)),Assumptions!$D$6,IF(ISNUMBER(SEARCH(Assumptions!$C$7,F163)),Assumptions!$D$7,"Other Services"))),"Other Services"))</f>
        <v/>
      </c>
    </row>
    <row r="164" customFormat="false" ht="15" hidden="false" customHeight="false" outlineLevel="0" collapsed="false">
      <c r="I164" s="41" t="str">
        <f aca="false">IF(F164="","",IFERROR(IF(ISNUMBER(SEARCH(Assumptions!$C$5,F164)),Assumptions!$D$5,IF(ISNUMBER(SEARCH(Assumptions!$C$6,F164)),Assumptions!$D$6,IF(ISNUMBER(SEARCH(Assumptions!$C$7,F164)),Assumptions!$D$7,"Other Services"))),"Other Services"))</f>
        <v/>
      </c>
    </row>
    <row r="165" customFormat="false" ht="15" hidden="false" customHeight="false" outlineLevel="0" collapsed="false">
      <c r="I165" s="41" t="str">
        <f aca="false">IF(F165="","",IFERROR(IF(ISNUMBER(SEARCH(Assumptions!$C$5,F165)),Assumptions!$D$5,IF(ISNUMBER(SEARCH(Assumptions!$C$6,F165)),Assumptions!$D$6,IF(ISNUMBER(SEARCH(Assumptions!$C$7,F165)),Assumptions!$D$7,"Other Services"))),"Other Services"))</f>
        <v/>
      </c>
    </row>
    <row r="166" customFormat="false" ht="15" hidden="false" customHeight="false" outlineLevel="0" collapsed="false">
      <c r="I166" s="41" t="str">
        <f aca="false">IF(F166="","",IFERROR(IF(ISNUMBER(SEARCH(Assumptions!$C$5,F166)),Assumptions!$D$5,IF(ISNUMBER(SEARCH(Assumptions!$C$6,F166)),Assumptions!$D$6,IF(ISNUMBER(SEARCH(Assumptions!$C$7,F166)),Assumptions!$D$7,"Other Services"))),"Other Services"))</f>
        <v/>
      </c>
    </row>
    <row r="167" customFormat="false" ht="15" hidden="false" customHeight="false" outlineLevel="0" collapsed="false">
      <c r="I167" s="41" t="str">
        <f aca="false">IF(F167="","",IFERROR(IF(ISNUMBER(SEARCH(Assumptions!$C$5,F167)),Assumptions!$D$5,IF(ISNUMBER(SEARCH(Assumptions!$C$6,F167)),Assumptions!$D$6,IF(ISNUMBER(SEARCH(Assumptions!$C$7,F167)),Assumptions!$D$7,"Other Services"))),"Other Services"))</f>
        <v/>
      </c>
    </row>
    <row r="168" customFormat="false" ht="15" hidden="false" customHeight="false" outlineLevel="0" collapsed="false">
      <c r="I168" s="41" t="str">
        <f aca="false">IF(F168="","",IFERROR(IF(ISNUMBER(SEARCH(Assumptions!$C$5,F168)),Assumptions!$D$5,IF(ISNUMBER(SEARCH(Assumptions!$C$6,F168)),Assumptions!$D$6,IF(ISNUMBER(SEARCH(Assumptions!$C$7,F168)),Assumptions!$D$7,"Other Services"))),"Other Services"))</f>
        <v/>
      </c>
    </row>
    <row r="169" customFormat="false" ht="15" hidden="false" customHeight="false" outlineLevel="0" collapsed="false">
      <c r="I169" s="41" t="str">
        <f aca="false">IF(F169="","",IFERROR(IF(ISNUMBER(SEARCH(Assumptions!$C$5,F169)),Assumptions!$D$5,IF(ISNUMBER(SEARCH(Assumptions!$C$6,F169)),Assumptions!$D$6,IF(ISNUMBER(SEARCH(Assumptions!$C$7,F169)),Assumptions!$D$7,"Other Services"))),"Other Services"))</f>
        <v/>
      </c>
    </row>
    <row r="170" customFormat="false" ht="15" hidden="false" customHeight="false" outlineLevel="0" collapsed="false">
      <c r="I170" s="41" t="str">
        <f aca="false">IF(F170="","",IFERROR(IF(ISNUMBER(SEARCH(Assumptions!$C$5,F170)),Assumptions!$D$5,IF(ISNUMBER(SEARCH(Assumptions!$C$6,F170)),Assumptions!$D$6,IF(ISNUMBER(SEARCH(Assumptions!$C$7,F170)),Assumptions!$D$7,"Other Services"))),"Other Services"))</f>
        <v/>
      </c>
    </row>
    <row r="171" customFormat="false" ht="15" hidden="false" customHeight="false" outlineLevel="0" collapsed="false">
      <c r="I171" s="41" t="str">
        <f aca="false">IF(F171="","",IFERROR(IF(ISNUMBER(SEARCH(Assumptions!$C$5,F171)),Assumptions!$D$5,IF(ISNUMBER(SEARCH(Assumptions!$C$6,F171)),Assumptions!$D$6,IF(ISNUMBER(SEARCH(Assumptions!$C$7,F171)),Assumptions!$D$7,"Other Services"))),"Other Services"))</f>
        <v/>
      </c>
    </row>
    <row r="172" customFormat="false" ht="15" hidden="false" customHeight="false" outlineLevel="0" collapsed="false">
      <c r="I172" s="41" t="str">
        <f aca="false">IF(F172="","",IFERROR(IF(ISNUMBER(SEARCH(Assumptions!$C$5,F172)),Assumptions!$D$5,IF(ISNUMBER(SEARCH(Assumptions!$C$6,F172)),Assumptions!$D$6,IF(ISNUMBER(SEARCH(Assumptions!$C$7,F172)),Assumptions!$D$7,"Other Services"))),"Other Services"))</f>
        <v/>
      </c>
    </row>
    <row r="173" customFormat="false" ht="15" hidden="false" customHeight="false" outlineLevel="0" collapsed="false">
      <c r="I173" s="41" t="str">
        <f aca="false">IF(F173="","",IFERROR(IF(ISNUMBER(SEARCH(Assumptions!$C$5,F173)),Assumptions!$D$5,IF(ISNUMBER(SEARCH(Assumptions!$C$6,F173)),Assumptions!$D$6,IF(ISNUMBER(SEARCH(Assumptions!$C$7,F173)),Assumptions!$D$7,"Other Services"))),"Other Services"))</f>
        <v/>
      </c>
    </row>
    <row r="174" customFormat="false" ht="15" hidden="false" customHeight="false" outlineLevel="0" collapsed="false">
      <c r="I174" s="41" t="str">
        <f aca="false">IF(F174="","",IFERROR(IF(ISNUMBER(SEARCH(Assumptions!$C$5,F174)),Assumptions!$D$5,IF(ISNUMBER(SEARCH(Assumptions!$C$6,F174)),Assumptions!$D$6,IF(ISNUMBER(SEARCH(Assumptions!$C$7,F174)),Assumptions!$D$7,"Other Services"))),"Other Services"))</f>
        <v/>
      </c>
    </row>
    <row r="175" customFormat="false" ht="15" hidden="false" customHeight="false" outlineLevel="0" collapsed="false">
      <c r="I175" s="41" t="str">
        <f aca="false">IF(F175="","",IFERROR(IF(ISNUMBER(SEARCH(Assumptions!$C$5,F175)),Assumptions!$D$5,IF(ISNUMBER(SEARCH(Assumptions!$C$6,F175)),Assumptions!$D$6,IF(ISNUMBER(SEARCH(Assumptions!$C$7,F175)),Assumptions!$D$7,"Other Services"))),"Other Services"))</f>
        <v/>
      </c>
    </row>
    <row r="176" customFormat="false" ht="15" hidden="false" customHeight="false" outlineLevel="0" collapsed="false">
      <c r="I176" s="41" t="str">
        <f aca="false">IF(F176="","",IFERROR(IF(ISNUMBER(SEARCH(Assumptions!$C$5,F176)),Assumptions!$D$5,IF(ISNUMBER(SEARCH(Assumptions!$C$6,F176)),Assumptions!$D$6,IF(ISNUMBER(SEARCH(Assumptions!$C$7,F176)),Assumptions!$D$7,"Other Services"))),"Other Services"))</f>
        <v/>
      </c>
    </row>
    <row r="177" customFormat="false" ht="15" hidden="false" customHeight="false" outlineLevel="0" collapsed="false">
      <c r="I177" s="41" t="str">
        <f aca="false">IF(F177="","",IFERROR(IF(ISNUMBER(SEARCH(Assumptions!$C$5,F177)),Assumptions!$D$5,IF(ISNUMBER(SEARCH(Assumptions!$C$6,F177)),Assumptions!$D$6,IF(ISNUMBER(SEARCH(Assumptions!$C$7,F177)),Assumptions!$D$7,"Other Services"))),"Other Services"))</f>
        <v/>
      </c>
    </row>
    <row r="178" customFormat="false" ht="15" hidden="false" customHeight="false" outlineLevel="0" collapsed="false">
      <c r="I178" s="41" t="str">
        <f aca="false">IF(F178="","",IFERROR(IF(ISNUMBER(SEARCH(Assumptions!$C$5,F178)),Assumptions!$D$5,IF(ISNUMBER(SEARCH(Assumptions!$C$6,F178)),Assumptions!$D$6,IF(ISNUMBER(SEARCH(Assumptions!$C$7,F178)),Assumptions!$D$7,"Other Services"))),"Other Services"))</f>
        <v/>
      </c>
    </row>
    <row r="179" customFormat="false" ht="15" hidden="false" customHeight="false" outlineLevel="0" collapsed="false">
      <c r="I179" s="41" t="str">
        <f aca="false">IF(F179="","",IFERROR(IF(ISNUMBER(SEARCH(Assumptions!$C$5,F179)),Assumptions!$D$5,IF(ISNUMBER(SEARCH(Assumptions!$C$6,F179)),Assumptions!$D$6,IF(ISNUMBER(SEARCH(Assumptions!$C$7,F179)),Assumptions!$D$7,"Other Services"))),"Other Services"))</f>
        <v/>
      </c>
    </row>
    <row r="180" customFormat="false" ht="15" hidden="false" customHeight="false" outlineLevel="0" collapsed="false">
      <c r="I180" s="41" t="str">
        <f aca="false">IF(F180="","",IFERROR(IF(ISNUMBER(SEARCH(Assumptions!$C$5,F180)),Assumptions!$D$5,IF(ISNUMBER(SEARCH(Assumptions!$C$6,F180)),Assumptions!$D$6,IF(ISNUMBER(SEARCH(Assumptions!$C$7,F180)),Assumptions!$D$7,"Other Services"))),"Other Services"))</f>
        <v/>
      </c>
    </row>
    <row r="181" customFormat="false" ht="15" hidden="false" customHeight="false" outlineLevel="0" collapsed="false">
      <c r="I181" s="41" t="str">
        <f aca="false">IF(F181="","",IFERROR(IF(ISNUMBER(SEARCH(Assumptions!$C$5,F181)),Assumptions!$D$5,IF(ISNUMBER(SEARCH(Assumptions!$C$6,F181)),Assumptions!$D$6,IF(ISNUMBER(SEARCH(Assumptions!$C$7,F181)),Assumptions!$D$7,"Other Services"))),"Other Services"))</f>
        <v/>
      </c>
    </row>
    <row r="182" customFormat="false" ht="15" hidden="false" customHeight="false" outlineLevel="0" collapsed="false">
      <c r="I182" s="41" t="str">
        <f aca="false">IF(F182="","",IFERROR(IF(ISNUMBER(SEARCH(Assumptions!$C$5,F182)),Assumptions!$D$5,IF(ISNUMBER(SEARCH(Assumptions!$C$6,F182)),Assumptions!$D$6,IF(ISNUMBER(SEARCH(Assumptions!$C$7,F182)),Assumptions!$D$7,"Other Services"))),"Other Services"))</f>
        <v/>
      </c>
    </row>
    <row r="183" customFormat="false" ht="15" hidden="false" customHeight="false" outlineLevel="0" collapsed="false">
      <c r="I183" s="41" t="str">
        <f aca="false">IF(F183="","",IFERROR(IF(ISNUMBER(SEARCH(Assumptions!$C$5,F183)),Assumptions!$D$5,IF(ISNUMBER(SEARCH(Assumptions!$C$6,F183)),Assumptions!$D$6,IF(ISNUMBER(SEARCH(Assumptions!$C$7,F183)),Assumptions!$D$7,"Other Services"))),"Other Services"))</f>
        <v/>
      </c>
    </row>
    <row r="184" customFormat="false" ht="15" hidden="false" customHeight="false" outlineLevel="0" collapsed="false">
      <c r="I184" s="41" t="str">
        <f aca="false">IF(F184="","",IFERROR(IF(ISNUMBER(SEARCH(Assumptions!$C$5,F184)),Assumptions!$D$5,IF(ISNUMBER(SEARCH(Assumptions!$C$6,F184)),Assumptions!$D$6,IF(ISNUMBER(SEARCH(Assumptions!$C$7,F184)),Assumptions!$D$7,"Other Services"))),"Other Services"))</f>
        <v/>
      </c>
    </row>
    <row r="185" customFormat="false" ht="15" hidden="false" customHeight="false" outlineLevel="0" collapsed="false">
      <c r="I185" s="41" t="str">
        <f aca="false">IF(F185="","",IFERROR(IF(ISNUMBER(SEARCH(Assumptions!$C$5,F185)),Assumptions!$D$5,IF(ISNUMBER(SEARCH(Assumptions!$C$6,F185)),Assumptions!$D$6,IF(ISNUMBER(SEARCH(Assumptions!$C$7,F185)),Assumptions!$D$7,"Other Services"))),"Other Services"))</f>
        <v/>
      </c>
    </row>
    <row r="186" customFormat="false" ht="15" hidden="false" customHeight="false" outlineLevel="0" collapsed="false">
      <c r="I186" s="41" t="str">
        <f aca="false">IF(F186="","",IFERROR(IF(ISNUMBER(SEARCH(Assumptions!$C$5,F186)),Assumptions!$D$5,IF(ISNUMBER(SEARCH(Assumptions!$C$6,F186)),Assumptions!$D$6,IF(ISNUMBER(SEARCH(Assumptions!$C$7,F186)),Assumptions!$D$7,"Other Services"))),"Other Services"))</f>
        <v/>
      </c>
    </row>
    <row r="187" customFormat="false" ht="15" hidden="false" customHeight="false" outlineLevel="0" collapsed="false">
      <c r="I187" s="41" t="str">
        <f aca="false">IF(F187="","",IFERROR(IF(ISNUMBER(SEARCH(Assumptions!$C$5,F187)),Assumptions!$D$5,IF(ISNUMBER(SEARCH(Assumptions!$C$6,F187)),Assumptions!$D$6,IF(ISNUMBER(SEARCH(Assumptions!$C$7,F187)),Assumptions!$D$7,"Other Services"))),"Other Services"))</f>
        <v/>
      </c>
    </row>
    <row r="188" customFormat="false" ht="15" hidden="false" customHeight="false" outlineLevel="0" collapsed="false">
      <c r="I188" s="41" t="str">
        <f aca="false">IF(F188="","",IFERROR(IF(ISNUMBER(SEARCH(Assumptions!$C$5,F188)),Assumptions!$D$5,IF(ISNUMBER(SEARCH(Assumptions!$C$6,F188)),Assumptions!$D$6,IF(ISNUMBER(SEARCH(Assumptions!$C$7,F188)),Assumptions!$D$7,"Other Services"))),"Other Services"))</f>
        <v/>
      </c>
    </row>
    <row r="189" customFormat="false" ht="15" hidden="false" customHeight="false" outlineLevel="0" collapsed="false">
      <c r="I189" s="41" t="str">
        <f aca="false">IF(F189="","",IFERROR(IF(ISNUMBER(SEARCH(Assumptions!$C$5,F189)),Assumptions!$D$5,IF(ISNUMBER(SEARCH(Assumptions!$C$6,F189)),Assumptions!$D$6,IF(ISNUMBER(SEARCH(Assumptions!$C$7,F189)),Assumptions!$D$7,"Other Services"))),"Other Services"))</f>
        <v/>
      </c>
    </row>
    <row r="190" customFormat="false" ht="15" hidden="false" customHeight="false" outlineLevel="0" collapsed="false">
      <c r="I190" s="41" t="str">
        <f aca="false">IF(F190="","",IFERROR(IF(ISNUMBER(SEARCH(Assumptions!$C$5,F190)),Assumptions!$D$5,IF(ISNUMBER(SEARCH(Assumptions!$C$6,F190)),Assumptions!$D$6,IF(ISNUMBER(SEARCH(Assumptions!$C$7,F190)),Assumptions!$D$7,"Other Services"))),"Other Services"))</f>
        <v/>
      </c>
    </row>
    <row r="191" customFormat="false" ht="15" hidden="false" customHeight="false" outlineLevel="0" collapsed="false">
      <c r="I191" s="41" t="str">
        <f aca="false">IF(F191="","",IFERROR(IF(ISNUMBER(SEARCH(Assumptions!$C$5,F191)),Assumptions!$D$5,IF(ISNUMBER(SEARCH(Assumptions!$C$6,F191)),Assumptions!$D$6,IF(ISNUMBER(SEARCH(Assumptions!$C$7,F191)),Assumptions!$D$7,"Other Services"))),"Other Services"))</f>
        <v/>
      </c>
    </row>
    <row r="192" customFormat="false" ht="15" hidden="false" customHeight="false" outlineLevel="0" collapsed="false">
      <c r="I192" s="41" t="str">
        <f aca="false">IF(F192="","",IFERROR(IF(ISNUMBER(SEARCH(Assumptions!$C$5,F192)),Assumptions!$D$5,IF(ISNUMBER(SEARCH(Assumptions!$C$6,F192)),Assumptions!$D$6,IF(ISNUMBER(SEARCH(Assumptions!$C$7,F192)),Assumptions!$D$7,"Other Services"))),"Other Services"))</f>
        <v/>
      </c>
    </row>
    <row r="193" customFormat="false" ht="15" hidden="false" customHeight="false" outlineLevel="0" collapsed="false">
      <c r="I193" s="41" t="str">
        <f aca="false">IF(F193="","",IFERROR(IF(ISNUMBER(SEARCH(Assumptions!$C$5,F193)),Assumptions!$D$5,IF(ISNUMBER(SEARCH(Assumptions!$C$6,F193)),Assumptions!$D$6,IF(ISNUMBER(SEARCH(Assumptions!$C$7,F193)),Assumptions!$D$7,"Other Services"))),"Other Services"))</f>
        <v/>
      </c>
    </row>
    <row r="194" customFormat="false" ht="15" hidden="false" customHeight="false" outlineLevel="0" collapsed="false">
      <c r="I194" s="41" t="str">
        <f aca="false">IF(F194="","",IFERROR(IF(ISNUMBER(SEARCH(Assumptions!$C$5,F194)),Assumptions!$D$5,IF(ISNUMBER(SEARCH(Assumptions!$C$6,F194)),Assumptions!$D$6,IF(ISNUMBER(SEARCH(Assumptions!$C$7,F194)),Assumptions!$D$7,"Other Services"))),"Other Services"))</f>
        <v/>
      </c>
    </row>
    <row r="195" customFormat="false" ht="15" hidden="false" customHeight="false" outlineLevel="0" collapsed="false">
      <c r="I195" s="41" t="str">
        <f aca="false">IF(F195="","",IFERROR(IF(ISNUMBER(SEARCH(Assumptions!$C$5,F195)),Assumptions!$D$5,IF(ISNUMBER(SEARCH(Assumptions!$C$6,F195)),Assumptions!$D$6,IF(ISNUMBER(SEARCH(Assumptions!$C$7,F195)),Assumptions!$D$7,"Other Services"))),"Other Services"))</f>
        <v/>
      </c>
    </row>
    <row r="196" customFormat="false" ht="15" hidden="false" customHeight="false" outlineLevel="0" collapsed="false">
      <c r="I196" s="41" t="str">
        <f aca="false">IF(F196="","",IFERROR(IF(ISNUMBER(SEARCH(Assumptions!$C$5,F196)),Assumptions!$D$5,IF(ISNUMBER(SEARCH(Assumptions!$C$6,F196)),Assumptions!$D$6,IF(ISNUMBER(SEARCH(Assumptions!$C$7,F196)),Assumptions!$D$7,"Other Services"))),"Other Services"))</f>
        <v/>
      </c>
    </row>
    <row r="197" customFormat="false" ht="15" hidden="false" customHeight="false" outlineLevel="0" collapsed="false">
      <c r="I197" s="41" t="str">
        <f aca="false">IF(F197="","",IFERROR(IF(ISNUMBER(SEARCH(Assumptions!$C$5,F197)),Assumptions!$D$5,IF(ISNUMBER(SEARCH(Assumptions!$C$6,F197)),Assumptions!$D$6,IF(ISNUMBER(SEARCH(Assumptions!$C$7,F197)),Assumptions!$D$7,"Other Services"))),"Other Services"))</f>
        <v/>
      </c>
    </row>
    <row r="198" customFormat="false" ht="15" hidden="false" customHeight="false" outlineLevel="0" collapsed="false">
      <c r="I198" s="41" t="str">
        <f aca="false">IF(F198="","",IFERROR(IF(ISNUMBER(SEARCH(Assumptions!$C$5,F198)),Assumptions!$D$5,IF(ISNUMBER(SEARCH(Assumptions!$C$6,F198)),Assumptions!$D$6,IF(ISNUMBER(SEARCH(Assumptions!$C$7,F198)),Assumptions!$D$7,"Other Services"))),"Other Services"))</f>
        <v/>
      </c>
    </row>
    <row r="199" customFormat="false" ht="15" hidden="false" customHeight="false" outlineLevel="0" collapsed="false">
      <c r="I199" s="41" t="str">
        <f aca="false">IF(F199="","",IFERROR(IF(ISNUMBER(SEARCH(Assumptions!$C$5,F199)),Assumptions!$D$5,IF(ISNUMBER(SEARCH(Assumptions!$C$6,F199)),Assumptions!$D$6,IF(ISNUMBER(SEARCH(Assumptions!$C$7,F199)),Assumptions!$D$7,"Other Services"))),"Other Services"))</f>
        <v/>
      </c>
    </row>
    <row r="200" customFormat="false" ht="15" hidden="false" customHeight="false" outlineLevel="0" collapsed="false">
      <c r="I200" s="41" t="str">
        <f aca="false">IF(F200="","",IFERROR(IF(ISNUMBER(SEARCH(Assumptions!$C$5,F200)),Assumptions!$D$5,IF(ISNUMBER(SEARCH(Assumptions!$C$6,F200)),Assumptions!$D$6,IF(ISNUMBER(SEARCH(Assumptions!$C$7,F200)),Assumptions!$D$7,"Other Services"))),"Other Services"))</f>
        <v/>
      </c>
    </row>
    <row r="201" customFormat="false" ht="15" hidden="false" customHeight="false" outlineLevel="0" collapsed="false">
      <c r="I201" s="41" t="str">
        <f aca="false">IF(F201="","",IFERROR(IF(ISNUMBER(SEARCH(Assumptions!$C$5,F201)),Assumptions!$D$5,IF(ISNUMBER(SEARCH(Assumptions!$C$6,F201)),Assumptions!$D$6,IF(ISNUMBER(SEARCH(Assumptions!$C$7,F201)),Assumptions!$D$7,"Other Services"))),"Other Services"))</f>
        <v/>
      </c>
    </row>
    <row r="202" customFormat="false" ht="15" hidden="false" customHeight="false" outlineLevel="0" collapsed="false">
      <c r="I202" s="41" t="str">
        <f aca="false">IF(F202="","",IFERROR(IF(ISNUMBER(SEARCH(Assumptions!$C$5,F202)),Assumptions!$D$5,IF(ISNUMBER(SEARCH(Assumptions!$C$6,F202)),Assumptions!$D$6,IF(ISNUMBER(SEARCH(Assumptions!$C$7,F202)),Assumptions!$D$7,"Other Services"))),"Other Services"))</f>
        <v/>
      </c>
    </row>
    <row r="203" customFormat="false" ht="15" hidden="false" customHeight="false" outlineLevel="0" collapsed="false">
      <c r="I203" s="41" t="str">
        <f aca="false">IF(F203="","",IFERROR(IF(ISNUMBER(SEARCH(Assumptions!$C$5,F203)),Assumptions!$D$5,IF(ISNUMBER(SEARCH(Assumptions!$C$6,F203)),Assumptions!$D$6,IF(ISNUMBER(SEARCH(Assumptions!$C$7,F203)),Assumptions!$D$7,"Other Services"))),"Other Services"))</f>
        <v/>
      </c>
    </row>
    <row r="204" customFormat="false" ht="15" hidden="false" customHeight="false" outlineLevel="0" collapsed="false">
      <c r="I204" s="41" t="str">
        <f aca="false">IF(F204="","",IFERROR(IF(ISNUMBER(SEARCH(Assumptions!$C$5,F204)),Assumptions!$D$5,IF(ISNUMBER(SEARCH(Assumptions!$C$6,F204)),Assumptions!$D$6,IF(ISNUMBER(SEARCH(Assumptions!$C$7,F204)),Assumptions!$D$7,"Other Services"))),"Other Services"))</f>
        <v/>
      </c>
    </row>
    <row r="205" customFormat="false" ht="15" hidden="false" customHeight="false" outlineLevel="0" collapsed="false">
      <c r="I205" s="41" t="str">
        <f aca="false">IF(F205="","",IFERROR(IF(ISNUMBER(SEARCH(Assumptions!$C$5,F205)),Assumptions!$D$5,IF(ISNUMBER(SEARCH(Assumptions!$C$6,F205)),Assumptions!$D$6,IF(ISNUMBER(SEARCH(Assumptions!$C$7,F205)),Assumptions!$D$7,"Other Services"))),"Other Services"))</f>
        <v/>
      </c>
    </row>
    <row r="206" customFormat="false" ht="15" hidden="false" customHeight="false" outlineLevel="0" collapsed="false">
      <c r="I206" s="41" t="str">
        <f aca="false">IF(F206="","",IFERROR(IF(ISNUMBER(SEARCH(Assumptions!$C$5,F206)),Assumptions!$D$5,IF(ISNUMBER(SEARCH(Assumptions!$C$6,F206)),Assumptions!$D$6,IF(ISNUMBER(SEARCH(Assumptions!$C$7,F206)),Assumptions!$D$7,"Other Services"))),"Other Services"))</f>
        <v/>
      </c>
    </row>
    <row r="207" customFormat="false" ht="15" hidden="false" customHeight="false" outlineLevel="0" collapsed="false">
      <c r="I207" s="41" t="str">
        <f aca="false">IF(F207="","",IFERROR(IF(ISNUMBER(SEARCH(Assumptions!$C$5,F207)),Assumptions!$D$5,IF(ISNUMBER(SEARCH(Assumptions!$C$6,F207)),Assumptions!$D$6,IF(ISNUMBER(SEARCH(Assumptions!$C$7,F207)),Assumptions!$D$7,"Other Services"))),"Other Services"))</f>
        <v/>
      </c>
    </row>
    <row r="208" customFormat="false" ht="15" hidden="false" customHeight="false" outlineLevel="0" collapsed="false">
      <c r="I208" s="41" t="str">
        <f aca="false">IF(F208="","",IFERROR(IF(ISNUMBER(SEARCH(Assumptions!$C$5,F208)),Assumptions!$D$5,IF(ISNUMBER(SEARCH(Assumptions!$C$6,F208)),Assumptions!$D$6,IF(ISNUMBER(SEARCH(Assumptions!$C$7,F208)),Assumptions!$D$7,"Other Services"))),"Other Services"))</f>
        <v/>
      </c>
    </row>
    <row r="209" customFormat="false" ht="15" hidden="false" customHeight="false" outlineLevel="0" collapsed="false">
      <c r="I209" s="41" t="str">
        <f aca="false">IF(F209="","",IFERROR(IF(ISNUMBER(SEARCH(Assumptions!$C$5,F209)),Assumptions!$D$5,IF(ISNUMBER(SEARCH(Assumptions!$C$6,F209)),Assumptions!$D$6,IF(ISNUMBER(SEARCH(Assumptions!$C$7,F209)),Assumptions!$D$7,"Other Services"))),"Other Services"))</f>
        <v/>
      </c>
    </row>
    <row r="210" customFormat="false" ht="15" hidden="false" customHeight="false" outlineLevel="0" collapsed="false">
      <c r="I210" s="41" t="str">
        <f aca="false">IF(F210="","",IFERROR(IF(ISNUMBER(SEARCH(Assumptions!$C$5,F210)),Assumptions!$D$5,IF(ISNUMBER(SEARCH(Assumptions!$C$6,F210)),Assumptions!$D$6,IF(ISNUMBER(SEARCH(Assumptions!$C$7,F210)),Assumptions!$D$7,"Other Services"))),"Other Services"))</f>
        <v/>
      </c>
    </row>
    <row r="211" customFormat="false" ht="15" hidden="false" customHeight="false" outlineLevel="0" collapsed="false">
      <c r="I211" s="41" t="str">
        <f aca="false">IF(F211="","",IFERROR(IF(ISNUMBER(SEARCH(Assumptions!$C$5,F211)),Assumptions!$D$5,IF(ISNUMBER(SEARCH(Assumptions!$C$6,F211)),Assumptions!$D$6,IF(ISNUMBER(SEARCH(Assumptions!$C$7,F211)),Assumptions!$D$7,"Other Services"))),"Other Services"))</f>
        <v/>
      </c>
    </row>
    <row r="212" customFormat="false" ht="15" hidden="false" customHeight="false" outlineLevel="0" collapsed="false">
      <c r="I212" s="41" t="str">
        <f aca="false">IF(F212="","",IFERROR(IF(ISNUMBER(SEARCH(Assumptions!$C$5,F212)),Assumptions!$D$5,IF(ISNUMBER(SEARCH(Assumptions!$C$6,F212)),Assumptions!$D$6,IF(ISNUMBER(SEARCH(Assumptions!$C$7,F212)),Assumptions!$D$7,"Other Services"))),"Other Services"))</f>
        <v/>
      </c>
    </row>
    <row r="213" customFormat="false" ht="15" hidden="false" customHeight="false" outlineLevel="0" collapsed="false">
      <c r="I213" s="41" t="str">
        <f aca="false">IF(F213="","",IFERROR(IF(ISNUMBER(SEARCH(Assumptions!$C$5,F213)),Assumptions!$D$5,IF(ISNUMBER(SEARCH(Assumptions!$C$6,F213)),Assumptions!$D$6,IF(ISNUMBER(SEARCH(Assumptions!$C$7,F213)),Assumptions!$D$7,"Other Services"))),"Other Services"))</f>
        <v/>
      </c>
    </row>
    <row r="214" customFormat="false" ht="15" hidden="false" customHeight="false" outlineLevel="0" collapsed="false">
      <c r="I214" s="41" t="str">
        <f aca="false">IF(F214="","",IFERROR(IF(ISNUMBER(SEARCH(Assumptions!$C$5,F214)),Assumptions!$D$5,IF(ISNUMBER(SEARCH(Assumptions!$C$6,F214)),Assumptions!$D$6,IF(ISNUMBER(SEARCH(Assumptions!$C$7,F214)),Assumptions!$D$7,"Other Services"))),"Other Services"))</f>
        <v/>
      </c>
    </row>
    <row r="215" customFormat="false" ht="15" hidden="false" customHeight="false" outlineLevel="0" collapsed="false">
      <c r="I215" s="41" t="str">
        <f aca="false">IF(F215="","",IFERROR(IF(ISNUMBER(SEARCH(Assumptions!$C$5,F215)),Assumptions!$D$5,IF(ISNUMBER(SEARCH(Assumptions!$C$6,F215)),Assumptions!$D$6,IF(ISNUMBER(SEARCH(Assumptions!$C$7,F215)),Assumptions!$D$7,"Other Services"))),"Other Services"))</f>
        <v/>
      </c>
    </row>
    <row r="216" customFormat="false" ht="15" hidden="false" customHeight="false" outlineLevel="0" collapsed="false">
      <c r="I216" s="41" t="str">
        <f aca="false">IF(F216="","",IFERROR(IF(ISNUMBER(SEARCH(Assumptions!$C$5,F216)),Assumptions!$D$5,IF(ISNUMBER(SEARCH(Assumptions!$C$6,F216)),Assumptions!$D$6,IF(ISNUMBER(SEARCH(Assumptions!$C$7,F216)),Assumptions!$D$7,"Other Services"))),"Other Services"))</f>
        <v/>
      </c>
    </row>
    <row r="217" customFormat="false" ht="15" hidden="false" customHeight="false" outlineLevel="0" collapsed="false">
      <c r="I217" s="41" t="str">
        <f aca="false">IF(F217="","",IFERROR(IF(ISNUMBER(SEARCH(Assumptions!$C$5,F217)),Assumptions!$D$5,IF(ISNUMBER(SEARCH(Assumptions!$C$6,F217)),Assumptions!$D$6,IF(ISNUMBER(SEARCH(Assumptions!$C$7,F217)),Assumptions!$D$7,"Other Services"))),"Other Services"))</f>
        <v/>
      </c>
    </row>
    <row r="218" customFormat="false" ht="15" hidden="false" customHeight="false" outlineLevel="0" collapsed="false">
      <c r="I218" s="41" t="str">
        <f aca="false">IF(F218="","",IFERROR(IF(ISNUMBER(SEARCH(Assumptions!$C$5,F218)),Assumptions!$D$5,IF(ISNUMBER(SEARCH(Assumptions!$C$6,F218)),Assumptions!$D$6,IF(ISNUMBER(SEARCH(Assumptions!$C$7,F218)),Assumptions!$D$7,"Other Services"))),"Other Services"))</f>
        <v/>
      </c>
    </row>
    <row r="219" customFormat="false" ht="15" hidden="false" customHeight="false" outlineLevel="0" collapsed="false">
      <c r="I219" s="41" t="str">
        <f aca="false">IF(F219="","",IFERROR(IF(ISNUMBER(SEARCH(Assumptions!$C$5,F219)),Assumptions!$D$5,IF(ISNUMBER(SEARCH(Assumptions!$C$6,F219)),Assumptions!$D$6,IF(ISNUMBER(SEARCH(Assumptions!$C$7,F219)),Assumptions!$D$7,"Other Services"))),"Other Services"))</f>
        <v/>
      </c>
    </row>
    <row r="220" customFormat="false" ht="15" hidden="false" customHeight="false" outlineLevel="0" collapsed="false">
      <c r="I220" s="41" t="str">
        <f aca="false">IF(F220="","",IFERROR(IF(ISNUMBER(SEARCH(Assumptions!$C$5,F220)),Assumptions!$D$5,IF(ISNUMBER(SEARCH(Assumptions!$C$6,F220)),Assumptions!$D$6,IF(ISNUMBER(SEARCH(Assumptions!$C$7,F220)),Assumptions!$D$7,"Other Services"))),"Other Services"))</f>
        <v/>
      </c>
    </row>
    <row r="221" customFormat="false" ht="15" hidden="false" customHeight="false" outlineLevel="0" collapsed="false">
      <c r="I221" s="41" t="str">
        <f aca="false">IF(F221="","",IFERROR(IF(ISNUMBER(SEARCH(Assumptions!$C$5,F221)),Assumptions!$D$5,IF(ISNUMBER(SEARCH(Assumptions!$C$6,F221)),Assumptions!$D$6,IF(ISNUMBER(SEARCH(Assumptions!$C$7,F221)),Assumptions!$D$7,"Other Services"))),"Other Services"))</f>
        <v/>
      </c>
    </row>
    <row r="222" customFormat="false" ht="15" hidden="false" customHeight="false" outlineLevel="0" collapsed="false">
      <c r="I222" s="41" t="str">
        <f aca="false">IF(F222="","",IFERROR(IF(ISNUMBER(SEARCH(Assumptions!$C$5,F222)),Assumptions!$D$5,IF(ISNUMBER(SEARCH(Assumptions!$C$6,F222)),Assumptions!$D$6,IF(ISNUMBER(SEARCH(Assumptions!$C$7,F222)),Assumptions!$D$7,"Other Services"))),"Other Services"))</f>
        <v/>
      </c>
    </row>
    <row r="223" customFormat="false" ht="15" hidden="false" customHeight="false" outlineLevel="0" collapsed="false">
      <c r="I223" s="41" t="str">
        <f aca="false">IF(F223="","",IFERROR(IF(ISNUMBER(SEARCH(Assumptions!$C$5,F223)),Assumptions!$D$5,IF(ISNUMBER(SEARCH(Assumptions!$C$6,F223)),Assumptions!$D$6,IF(ISNUMBER(SEARCH(Assumptions!$C$7,F223)),Assumptions!$D$7,"Other Services"))),"Other Services"))</f>
        <v/>
      </c>
    </row>
    <row r="224" customFormat="false" ht="15" hidden="false" customHeight="false" outlineLevel="0" collapsed="false">
      <c r="I224" s="41" t="str">
        <f aca="false">IF(F224="","",IFERROR(IF(ISNUMBER(SEARCH(Assumptions!$C$5,F224)),Assumptions!$D$5,IF(ISNUMBER(SEARCH(Assumptions!$C$6,F224)),Assumptions!$D$6,IF(ISNUMBER(SEARCH(Assumptions!$C$7,F224)),Assumptions!$D$7,"Other Services"))),"Other Services"))</f>
        <v/>
      </c>
    </row>
    <row r="225" customFormat="false" ht="15" hidden="false" customHeight="false" outlineLevel="0" collapsed="false">
      <c r="I225" s="41" t="str">
        <f aca="false">IF(F225="","",IFERROR(IF(ISNUMBER(SEARCH(Assumptions!$C$5,F225)),Assumptions!$D$5,IF(ISNUMBER(SEARCH(Assumptions!$C$6,F225)),Assumptions!$D$6,IF(ISNUMBER(SEARCH(Assumptions!$C$7,F225)),Assumptions!$D$7,"Other Services"))),"Other Services"))</f>
        <v/>
      </c>
    </row>
    <row r="226" customFormat="false" ht="15" hidden="false" customHeight="false" outlineLevel="0" collapsed="false">
      <c r="I226" s="41" t="str">
        <f aca="false">IF(F226="","",IFERROR(IF(ISNUMBER(SEARCH(Assumptions!$C$5,F226)),Assumptions!$D$5,IF(ISNUMBER(SEARCH(Assumptions!$C$6,F226)),Assumptions!$D$6,IF(ISNUMBER(SEARCH(Assumptions!$C$7,F226)),Assumptions!$D$7,"Other Services"))),"Other Services"))</f>
        <v/>
      </c>
    </row>
    <row r="227" customFormat="false" ht="15" hidden="false" customHeight="false" outlineLevel="0" collapsed="false">
      <c r="I227" s="41" t="str">
        <f aca="false">IF(F227="","",IFERROR(IF(ISNUMBER(SEARCH(Assumptions!$C$5,F227)),Assumptions!$D$5,IF(ISNUMBER(SEARCH(Assumptions!$C$6,F227)),Assumptions!$D$6,IF(ISNUMBER(SEARCH(Assumptions!$C$7,F227)),Assumptions!$D$7,"Other Services"))),"Other Services"))</f>
        <v/>
      </c>
    </row>
    <row r="228" customFormat="false" ht="15" hidden="false" customHeight="false" outlineLevel="0" collapsed="false">
      <c r="I228" s="41" t="str">
        <f aca="false">IF(F228="","",IFERROR(IF(ISNUMBER(SEARCH(Assumptions!$C$5,F228)),Assumptions!$D$5,IF(ISNUMBER(SEARCH(Assumptions!$C$6,F228)),Assumptions!$D$6,IF(ISNUMBER(SEARCH(Assumptions!$C$7,F228)),Assumptions!$D$7,"Other Services"))),"Other Services"))</f>
        <v/>
      </c>
    </row>
    <row r="229" customFormat="false" ht="15" hidden="false" customHeight="false" outlineLevel="0" collapsed="false">
      <c r="I229" s="41" t="str">
        <f aca="false">IF(F229="","",IFERROR(IF(ISNUMBER(SEARCH(Assumptions!$C$5,F229)),Assumptions!$D$5,IF(ISNUMBER(SEARCH(Assumptions!$C$6,F229)),Assumptions!$D$6,IF(ISNUMBER(SEARCH(Assumptions!$C$7,F229)),Assumptions!$D$7,"Other Services"))),"Other Services"))</f>
        <v/>
      </c>
    </row>
    <row r="230" customFormat="false" ht="15" hidden="false" customHeight="false" outlineLevel="0" collapsed="false">
      <c r="I230" s="41" t="str">
        <f aca="false">IF(F230="","",IFERROR(IF(ISNUMBER(SEARCH(Assumptions!$C$5,F230)),Assumptions!$D$5,IF(ISNUMBER(SEARCH(Assumptions!$C$6,F230)),Assumptions!$D$6,IF(ISNUMBER(SEARCH(Assumptions!$C$7,F230)),Assumptions!$D$7,"Other Services"))),"Other Services"))</f>
        <v/>
      </c>
    </row>
    <row r="231" customFormat="false" ht="15" hidden="false" customHeight="false" outlineLevel="0" collapsed="false">
      <c r="I231" s="41" t="str">
        <f aca="false">IF(F231="","",IFERROR(IF(ISNUMBER(SEARCH(Assumptions!$C$5,F231)),Assumptions!$D$5,IF(ISNUMBER(SEARCH(Assumptions!$C$6,F231)),Assumptions!$D$6,IF(ISNUMBER(SEARCH(Assumptions!$C$7,F231)),Assumptions!$D$7,"Other Services"))),"Other Services"))</f>
        <v/>
      </c>
    </row>
    <row r="232" customFormat="false" ht="15" hidden="false" customHeight="false" outlineLevel="0" collapsed="false">
      <c r="I232" s="41" t="str">
        <f aca="false">IF(F232="","",IFERROR(IF(ISNUMBER(SEARCH(Assumptions!$C$5,F232)),Assumptions!$D$5,IF(ISNUMBER(SEARCH(Assumptions!$C$6,F232)),Assumptions!$D$6,IF(ISNUMBER(SEARCH(Assumptions!$C$7,F232)),Assumptions!$D$7,"Other Services"))),"Other Services"))</f>
        <v/>
      </c>
    </row>
    <row r="233" customFormat="false" ht="15" hidden="false" customHeight="false" outlineLevel="0" collapsed="false">
      <c r="I233" s="41" t="str">
        <f aca="false">IF(F233="","",IFERROR(IF(ISNUMBER(SEARCH(Assumptions!$C$5,F233)),Assumptions!$D$5,IF(ISNUMBER(SEARCH(Assumptions!$C$6,F233)),Assumptions!$D$6,IF(ISNUMBER(SEARCH(Assumptions!$C$7,F233)),Assumptions!$D$7,"Other Services"))),"Other Services"))</f>
        <v/>
      </c>
    </row>
    <row r="234" customFormat="false" ht="15" hidden="false" customHeight="false" outlineLevel="0" collapsed="false">
      <c r="I234" s="41" t="str">
        <f aca="false">IF(F234="","",IFERROR(IF(ISNUMBER(SEARCH(Assumptions!$C$5,F234)),Assumptions!$D$5,IF(ISNUMBER(SEARCH(Assumptions!$C$6,F234)),Assumptions!$D$6,IF(ISNUMBER(SEARCH(Assumptions!$C$7,F234)),Assumptions!$D$7,"Other Services"))),"Other Services"))</f>
        <v/>
      </c>
    </row>
    <row r="235" customFormat="false" ht="15" hidden="false" customHeight="false" outlineLevel="0" collapsed="false">
      <c r="I235" s="41" t="str">
        <f aca="false">IF(F235="","",IFERROR(IF(ISNUMBER(SEARCH(Assumptions!$C$5,F235)),Assumptions!$D$5,IF(ISNUMBER(SEARCH(Assumptions!$C$6,F235)),Assumptions!$D$6,IF(ISNUMBER(SEARCH(Assumptions!$C$7,F235)),Assumptions!$D$7,"Other Services"))),"Other Services"))</f>
        <v/>
      </c>
    </row>
    <row r="236" customFormat="false" ht="15" hidden="false" customHeight="false" outlineLevel="0" collapsed="false">
      <c r="I236" s="41" t="str">
        <f aca="false">IF(F236="","",IFERROR(IF(ISNUMBER(SEARCH(Assumptions!$C$5,F236)),Assumptions!$D$5,IF(ISNUMBER(SEARCH(Assumptions!$C$6,F236)),Assumptions!$D$6,IF(ISNUMBER(SEARCH(Assumptions!$C$7,F236)),Assumptions!$D$7,"Other Services"))),"Other Services"))</f>
        <v/>
      </c>
    </row>
    <row r="237" customFormat="false" ht="15" hidden="false" customHeight="false" outlineLevel="0" collapsed="false">
      <c r="I237" s="41" t="str">
        <f aca="false">IF(F237="","",IFERROR(IF(ISNUMBER(SEARCH(Assumptions!$C$5,F237)),Assumptions!$D$5,IF(ISNUMBER(SEARCH(Assumptions!$C$6,F237)),Assumptions!$D$6,IF(ISNUMBER(SEARCH(Assumptions!$C$7,F237)),Assumptions!$D$7,"Other Services"))),"Other Services"))</f>
        <v/>
      </c>
    </row>
    <row r="238" customFormat="false" ht="15" hidden="false" customHeight="false" outlineLevel="0" collapsed="false">
      <c r="I238" s="41" t="str">
        <f aca="false">IF(F238="","",IFERROR(IF(ISNUMBER(SEARCH(Assumptions!$C$5,F238)),Assumptions!$D$5,IF(ISNUMBER(SEARCH(Assumptions!$C$6,F238)),Assumptions!$D$6,IF(ISNUMBER(SEARCH(Assumptions!$C$7,F238)),Assumptions!$D$7,"Other Services"))),"Other Services"))</f>
        <v/>
      </c>
    </row>
    <row r="239" customFormat="false" ht="15" hidden="false" customHeight="false" outlineLevel="0" collapsed="false">
      <c r="I239" s="41" t="str">
        <f aca="false">IF(F239="","",IFERROR(IF(ISNUMBER(SEARCH(Assumptions!$C$5,F239)),Assumptions!$D$5,IF(ISNUMBER(SEARCH(Assumptions!$C$6,F239)),Assumptions!$D$6,IF(ISNUMBER(SEARCH(Assumptions!$C$7,F239)),Assumptions!$D$7,"Other Services"))),"Other Services"))</f>
        <v/>
      </c>
    </row>
    <row r="240" customFormat="false" ht="15" hidden="false" customHeight="false" outlineLevel="0" collapsed="false">
      <c r="I240" s="41" t="str">
        <f aca="false">IF(F240="","",IFERROR(IF(ISNUMBER(SEARCH(Assumptions!$C$5,F240)),Assumptions!$D$5,IF(ISNUMBER(SEARCH(Assumptions!$C$6,F240)),Assumptions!$D$6,IF(ISNUMBER(SEARCH(Assumptions!$C$7,F240)),Assumptions!$D$7,"Other Services"))),"Other Services"))</f>
        <v/>
      </c>
    </row>
    <row r="241" customFormat="false" ht="15" hidden="false" customHeight="false" outlineLevel="0" collapsed="false">
      <c r="I241" s="41" t="str">
        <f aca="false">IF(F241="","",IFERROR(IF(ISNUMBER(SEARCH(Assumptions!$C$5,F241)),Assumptions!$D$5,IF(ISNUMBER(SEARCH(Assumptions!$C$6,F241)),Assumptions!$D$6,IF(ISNUMBER(SEARCH(Assumptions!$C$7,F241)),Assumptions!$D$7,"Other Services"))),"Other Services"))</f>
        <v/>
      </c>
    </row>
    <row r="242" customFormat="false" ht="15" hidden="false" customHeight="false" outlineLevel="0" collapsed="false">
      <c r="I242" s="41" t="str">
        <f aca="false">IF(F242="","",IFERROR(IF(ISNUMBER(SEARCH(Assumptions!$C$5,F242)),Assumptions!$D$5,IF(ISNUMBER(SEARCH(Assumptions!$C$6,F242)),Assumptions!$D$6,IF(ISNUMBER(SEARCH(Assumptions!$C$7,F242)),Assumptions!$D$7,"Other Services"))),"Other Services"))</f>
        <v/>
      </c>
    </row>
    <row r="243" customFormat="false" ht="15" hidden="false" customHeight="false" outlineLevel="0" collapsed="false">
      <c r="I243" s="41" t="str">
        <f aca="false">IF(F243="","",IFERROR(IF(ISNUMBER(SEARCH(Assumptions!$C$5,F243)),Assumptions!$D$5,IF(ISNUMBER(SEARCH(Assumptions!$C$6,F243)),Assumptions!$D$6,IF(ISNUMBER(SEARCH(Assumptions!$C$7,F243)),Assumptions!$D$7,"Other Services"))),"Other Services"))</f>
        <v/>
      </c>
    </row>
    <row r="244" customFormat="false" ht="15" hidden="false" customHeight="false" outlineLevel="0" collapsed="false">
      <c r="I244" s="41" t="str">
        <f aca="false">IF(F244="","",IFERROR(IF(ISNUMBER(SEARCH(Assumptions!$C$5,F244)),Assumptions!$D$5,IF(ISNUMBER(SEARCH(Assumptions!$C$6,F244)),Assumptions!$D$6,IF(ISNUMBER(SEARCH(Assumptions!$C$7,F244)),Assumptions!$D$7,"Other Services"))),"Other Services"))</f>
        <v/>
      </c>
    </row>
    <row r="245" customFormat="false" ht="15" hidden="false" customHeight="false" outlineLevel="0" collapsed="false">
      <c r="I245" s="41" t="str">
        <f aca="false">IF(F245="","",IFERROR(IF(ISNUMBER(SEARCH(Assumptions!$C$5,F245)),Assumptions!$D$5,IF(ISNUMBER(SEARCH(Assumptions!$C$6,F245)),Assumptions!$D$6,IF(ISNUMBER(SEARCH(Assumptions!$C$7,F245)),Assumptions!$D$7,"Other Services"))),"Other Services"))</f>
        <v/>
      </c>
    </row>
    <row r="246" customFormat="false" ht="15" hidden="false" customHeight="false" outlineLevel="0" collapsed="false">
      <c r="I246" s="41" t="str">
        <f aca="false">IF(F246="","",IFERROR(IF(ISNUMBER(SEARCH(Assumptions!$C$5,F246)),Assumptions!$D$5,IF(ISNUMBER(SEARCH(Assumptions!$C$6,F246)),Assumptions!$D$6,IF(ISNUMBER(SEARCH(Assumptions!$C$7,F246)),Assumptions!$D$7,"Other Services"))),"Other Services"))</f>
        <v/>
      </c>
    </row>
    <row r="247" customFormat="false" ht="15" hidden="false" customHeight="false" outlineLevel="0" collapsed="false">
      <c r="I247" s="41" t="str">
        <f aca="false">IF(F247="","",IFERROR(IF(ISNUMBER(SEARCH(Assumptions!$C$5,F247)),Assumptions!$D$5,IF(ISNUMBER(SEARCH(Assumptions!$C$6,F247)),Assumptions!$D$6,IF(ISNUMBER(SEARCH(Assumptions!$C$7,F247)),Assumptions!$D$7,"Other Services"))),"Other Services"))</f>
        <v/>
      </c>
    </row>
    <row r="248" customFormat="false" ht="15" hidden="false" customHeight="false" outlineLevel="0" collapsed="false">
      <c r="I248" s="41" t="str">
        <f aca="false">IF(F248="","",IFERROR(IF(ISNUMBER(SEARCH(Assumptions!$C$5,F248)),Assumptions!$D$5,IF(ISNUMBER(SEARCH(Assumptions!$C$6,F248)),Assumptions!$D$6,IF(ISNUMBER(SEARCH(Assumptions!$C$7,F248)),Assumptions!$D$7,"Other Services"))),"Other Services"))</f>
        <v/>
      </c>
    </row>
    <row r="249" customFormat="false" ht="15" hidden="false" customHeight="false" outlineLevel="0" collapsed="false">
      <c r="I249" s="41" t="str">
        <f aca="false">IF(F249="","",IFERROR(IF(ISNUMBER(SEARCH(Assumptions!$C$5,F249)),Assumptions!$D$5,IF(ISNUMBER(SEARCH(Assumptions!$C$6,F249)),Assumptions!$D$6,IF(ISNUMBER(SEARCH(Assumptions!$C$7,F249)),Assumptions!$D$7,"Other Services"))),"Other Services"))</f>
        <v/>
      </c>
    </row>
    <row r="250" customFormat="false" ht="15" hidden="false" customHeight="false" outlineLevel="0" collapsed="false">
      <c r="I250" s="41" t="str">
        <f aca="false">IF(F250="","",IFERROR(IF(ISNUMBER(SEARCH(Assumptions!$C$5,F250)),Assumptions!$D$5,IF(ISNUMBER(SEARCH(Assumptions!$C$6,F250)),Assumptions!$D$6,IF(ISNUMBER(SEARCH(Assumptions!$C$7,F250)),Assumptions!$D$7,"Other Services"))),"Other Services"))</f>
        <v/>
      </c>
    </row>
    <row r="251" customFormat="false" ht="15" hidden="false" customHeight="false" outlineLevel="0" collapsed="false">
      <c r="I251" s="41" t="str">
        <f aca="false">IF(F251="","",IFERROR(IF(ISNUMBER(SEARCH(Assumptions!$C$5,F251)),Assumptions!$D$5,IF(ISNUMBER(SEARCH(Assumptions!$C$6,F251)),Assumptions!$D$6,IF(ISNUMBER(SEARCH(Assumptions!$C$7,F251)),Assumptions!$D$7,"Other Services"))),"Other Services"))</f>
        <v/>
      </c>
    </row>
    <row r="252" customFormat="false" ht="15" hidden="false" customHeight="false" outlineLevel="0" collapsed="false">
      <c r="I252" s="41" t="str">
        <f aca="false">IF(F252="","",IFERROR(IF(ISNUMBER(SEARCH(Assumptions!$C$5,F252)),Assumptions!$D$5,IF(ISNUMBER(SEARCH(Assumptions!$C$6,F252)),Assumptions!$D$6,IF(ISNUMBER(SEARCH(Assumptions!$C$7,F252)),Assumptions!$D$7,"Other Services"))),"Other Services"))</f>
        <v/>
      </c>
    </row>
    <row r="253" customFormat="false" ht="15" hidden="false" customHeight="false" outlineLevel="0" collapsed="false">
      <c r="I253" s="41" t="str">
        <f aca="false">IF(F253="","",IFERROR(IF(ISNUMBER(SEARCH(Assumptions!$C$5,F253)),Assumptions!$D$5,IF(ISNUMBER(SEARCH(Assumptions!$C$6,F253)),Assumptions!$D$6,IF(ISNUMBER(SEARCH(Assumptions!$C$7,F253)),Assumptions!$D$7,"Other Services"))),"Other Services"))</f>
        <v/>
      </c>
    </row>
    <row r="254" customFormat="false" ht="15" hidden="false" customHeight="false" outlineLevel="0" collapsed="false">
      <c r="I254" s="41" t="str">
        <f aca="false">IF(F254="","",IFERROR(IF(ISNUMBER(SEARCH(Assumptions!$C$5,F254)),Assumptions!$D$5,IF(ISNUMBER(SEARCH(Assumptions!$C$6,F254)),Assumptions!$D$6,IF(ISNUMBER(SEARCH(Assumptions!$C$7,F254)),Assumptions!$D$7,"Other Services"))),"Other Services"))</f>
        <v/>
      </c>
    </row>
    <row r="255" customFormat="false" ht="15" hidden="false" customHeight="false" outlineLevel="0" collapsed="false">
      <c r="I255" s="41" t="str">
        <f aca="false">IF(F255="","",IFERROR(IF(ISNUMBER(SEARCH(Assumptions!$C$5,F255)),Assumptions!$D$5,IF(ISNUMBER(SEARCH(Assumptions!$C$6,F255)),Assumptions!$D$6,IF(ISNUMBER(SEARCH(Assumptions!$C$7,F255)),Assumptions!$D$7,"Other Services"))),"Other Services"))</f>
        <v/>
      </c>
    </row>
    <row r="256" customFormat="false" ht="15" hidden="false" customHeight="false" outlineLevel="0" collapsed="false">
      <c r="I256" s="41" t="str">
        <f aca="false">IF(F256="","",IFERROR(IF(ISNUMBER(SEARCH(Assumptions!$C$5,F256)),Assumptions!$D$5,IF(ISNUMBER(SEARCH(Assumptions!$C$6,F256)),Assumptions!$D$6,IF(ISNUMBER(SEARCH(Assumptions!$C$7,F256)),Assumptions!$D$7,"Other Services"))),"Other Services"))</f>
        <v/>
      </c>
    </row>
    <row r="257" customFormat="false" ht="15" hidden="false" customHeight="false" outlineLevel="0" collapsed="false">
      <c r="I257" s="41" t="str">
        <f aca="false">IF(F257="","",IFERROR(IF(ISNUMBER(SEARCH(Assumptions!$C$5,F257)),Assumptions!$D$5,IF(ISNUMBER(SEARCH(Assumptions!$C$6,F257)),Assumptions!$D$6,IF(ISNUMBER(SEARCH(Assumptions!$C$7,F257)),Assumptions!$D$7,"Other Services"))),"Other Services"))</f>
        <v/>
      </c>
    </row>
    <row r="258" customFormat="false" ht="15" hidden="false" customHeight="false" outlineLevel="0" collapsed="false">
      <c r="I258" s="41" t="str">
        <f aca="false">IF(F258="","",IFERROR(IF(ISNUMBER(SEARCH(Assumptions!$C$5,F258)),Assumptions!$D$5,IF(ISNUMBER(SEARCH(Assumptions!$C$6,F258)),Assumptions!$D$6,IF(ISNUMBER(SEARCH(Assumptions!$C$7,F258)),Assumptions!$D$7,"Other Services"))),"Other Services"))</f>
        <v/>
      </c>
    </row>
    <row r="259" customFormat="false" ht="15" hidden="false" customHeight="false" outlineLevel="0" collapsed="false">
      <c r="I259" s="41" t="str">
        <f aca="false">IF(F259="","",IFERROR(IF(ISNUMBER(SEARCH(Assumptions!$C$5,F259)),Assumptions!$D$5,IF(ISNUMBER(SEARCH(Assumptions!$C$6,F259)),Assumptions!$D$6,IF(ISNUMBER(SEARCH(Assumptions!$C$7,F259)),Assumptions!$D$7,"Other Services"))),"Other Services"))</f>
        <v/>
      </c>
    </row>
    <row r="260" customFormat="false" ht="15" hidden="false" customHeight="false" outlineLevel="0" collapsed="false">
      <c r="I260" s="41" t="str">
        <f aca="false">IF(F260="","",IFERROR(IF(ISNUMBER(SEARCH(Assumptions!$C$5,F260)),Assumptions!$D$5,IF(ISNUMBER(SEARCH(Assumptions!$C$6,F260)),Assumptions!$D$6,IF(ISNUMBER(SEARCH(Assumptions!$C$7,F260)),Assumptions!$D$7,"Other Services"))),"Other Services"))</f>
        <v/>
      </c>
    </row>
    <row r="261" customFormat="false" ht="15" hidden="false" customHeight="false" outlineLevel="0" collapsed="false">
      <c r="I261" s="41" t="str">
        <f aca="false">IF(F261="","",IFERROR(IF(ISNUMBER(SEARCH(Assumptions!$C$5,F261)),Assumptions!$D$5,IF(ISNUMBER(SEARCH(Assumptions!$C$6,F261)),Assumptions!$D$6,IF(ISNUMBER(SEARCH(Assumptions!$C$7,F261)),Assumptions!$D$7,"Other Services"))),"Other Services"))</f>
        <v/>
      </c>
    </row>
    <row r="262" customFormat="false" ht="15" hidden="false" customHeight="false" outlineLevel="0" collapsed="false">
      <c r="I262" s="41" t="str">
        <f aca="false">IF(F262="","",IFERROR(IF(ISNUMBER(SEARCH(Assumptions!$C$5,F262)),Assumptions!$D$5,IF(ISNUMBER(SEARCH(Assumptions!$C$6,F262)),Assumptions!$D$6,IF(ISNUMBER(SEARCH(Assumptions!$C$7,F262)),Assumptions!$D$7,"Other Services"))),"Other Services"))</f>
        <v/>
      </c>
    </row>
    <row r="263" customFormat="false" ht="15" hidden="false" customHeight="false" outlineLevel="0" collapsed="false">
      <c r="I263" s="41" t="str">
        <f aca="false">IF(F263="","",IFERROR(IF(ISNUMBER(SEARCH(Assumptions!$C$5,F263)),Assumptions!$D$5,IF(ISNUMBER(SEARCH(Assumptions!$C$6,F263)),Assumptions!$D$6,IF(ISNUMBER(SEARCH(Assumptions!$C$7,F263)),Assumptions!$D$7,"Other Services"))),"Other Services"))</f>
        <v/>
      </c>
    </row>
    <row r="264" customFormat="false" ht="15" hidden="false" customHeight="false" outlineLevel="0" collapsed="false">
      <c r="I264" s="41" t="str">
        <f aca="false">IF(F264="","",IFERROR(IF(ISNUMBER(SEARCH(Assumptions!$C$5,F264)),Assumptions!$D$5,IF(ISNUMBER(SEARCH(Assumptions!$C$6,F264)),Assumptions!$D$6,IF(ISNUMBER(SEARCH(Assumptions!$C$7,F264)),Assumptions!$D$7,"Other Services"))),"Other Services"))</f>
        <v/>
      </c>
    </row>
    <row r="265" customFormat="false" ht="15" hidden="false" customHeight="false" outlineLevel="0" collapsed="false">
      <c r="I265" s="41" t="str">
        <f aca="false">IF(F265="","",IFERROR(IF(ISNUMBER(SEARCH(Assumptions!$C$5,F265)),Assumptions!$D$5,IF(ISNUMBER(SEARCH(Assumptions!$C$6,F265)),Assumptions!$D$6,IF(ISNUMBER(SEARCH(Assumptions!$C$7,F265)),Assumptions!$D$7,"Other Services"))),"Other Services"))</f>
        <v/>
      </c>
    </row>
    <row r="266" customFormat="false" ht="15" hidden="false" customHeight="false" outlineLevel="0" collapsed="false">
      <c r="I266" s="41" t="str">
        <f aca="false">IF(F266="","",IFERROR(IF(ISNUMBER(SEARCH(Assumptions!$C$5,F266)),Assumptions!$D$5,IF(ISNUMBER(SEARCH(Assumptions!$C$6,F266)),Assumptions!$D$6,IF(ISNUMBER(SEARCH(Assumptions!$C$7,F266)),Assumptions!$D$7,"Other Services"))),"Other Services"))</f>
        <v/>
      </c>
    </row>
    <row r="267" customFormat="false" ht="15" hidden="false" customHeight="false" outlineLevel="0" collapsed="false">
      <c r="I267" s="41" t="str">
        <f aca="false">IF(F267="","",IFERROR(IF(ISNUMBER(SEARCH(Assumptions!$C$5,F267)),Assumptions!$D$5,IF(ISNUMBER(SEARCH(Assumptions!$C$6,F267)),Assumptions!$D$6,IF(ISNUMBER(SEARCH(Assumptions!$C$7,F267)),Assumptions!$D$7,"Other Services"))),"Other Services"))</f>
        <v/>
      </c>
    </row>
    <row r="268" customFormat="false" ht="15" hidden="false" customHeight="false" outlineLevel="0" collapsed="false">
      <c r="I268" s="41" t="str">
        <f aca="false">IF(F268="","",IFERROR(IF(ISNUMBER(SEARCH(Assumptions!$C$5,F268)),Assumptions!$D$5,IF(ISNUMBER(SEARCH(Assumptions!$C$6,F268)),Assumptions!$D$6,IF(ISNUMBER(SEARCH(Assumptions!$C$7,F268)),Assumptions!$D$7,"Other Services"))),"Other Services"))</f>
        <v/>
      </c>
    </row>
    <row r="269" customFormat="false" ht="15" hidden="false" customHeight="false" outlineLevel="0" collapsed="false">
      <c r="I269" s="41" t="str">
        <f aca="false">IF(F269="","",IFERROR(IF(ISNUMBER(SEARCH(Assumptions!$C$5,F269)),Assumptions!$D$5,IF(ISNUMBER(SEARCH(Assumptions!$C$6,F269)),Assumptions!$D$6,IF(ISNUMBER(SEARCH(Assumptions!$C$7,F269)),Assumptions!$D$7,"Other Services"))),"Other Services"))</f>
        <v/>
      </c>
    </row>
    <row r="270" customFormat="false" ht="15" hidden="false" customHeight="false" outlineLevel="0" collapsed="false">
      <c r="I270" s="41" t="str">
        <f aca="false">IF(F270="","",IFERROR(IF(ISNUMBER(SEARCH(Assumptions!$C$5,F270)),Assumptions!$D$5,IF(ISNUMBER(SEARCH(Assumptions!$C$6,F270)),Assumptions!$D$6,IF(ISNUMBER(SEARCH(Assumptions!$C$7,F270)),Assumptions!$D$7,"Other Services"))),"Other Services"))</f>
        <v/>
      </c>
    </row>
    <row r="271" customFormat="false" ht="15" hidden="false" customHeight="false" outlineLevel="0" collapsed="false">
      <c r="I271" s="41" t="str">
        <f aca="false">IF(F271="","",IFERROR(IF(ISNUMBER(SEARCH(Assumptions!$C$5,F271)),Assumptions!$D$5,IF(ISNUMBER(SEARCH(Assumptions!$C$6,F271)),Assumptions!$D$6,IF(ISNUMBER(SEARCH(Assumptions!$C$7,F271)),Assumptions!$D$7,"Other Services"))),"Other Services"))</f>
        <v/>
      </c>
    </row>
    <row r="272" customFormat="false" ht="15" hidden="false" customHeight="false" outlineLevel="0" collapsed="false">
      <c r="I272" s="41" t="str">
        <f aca="false">IF(F272="","",IFERROR(IF(ISNUMBER(SEARCH(Assumptions!$C$5,F272)),Assumptions!$D$5,IF(ISNUMBER(SEARCH(Assumptions!$C$6,F272)),Assumptions!$D$6,IF(ISNUMBER(SEARCH(Assumptions!$C$7,F272)),Assumptions!$D$7,"Other Services"))),"Other Services"))</f>
        <v/>
      </c>
    </row>
    <row r="273" customFormat="false" ht="15" hidden="false" customHeight="false" outlineLevel="0" collapsed="false">
      <c r="I273" s="41" t="str">
        <f aca="false">IF(F273="","",IFERROR(IF(ISNUMBER(SEARCH(Assumptions!$C$5,F273)),Assumptions!$D$5,IF(ISNUMBER(SEARCH(Assumptions!$C$6,F273)),Assumptions!$D$6,IF(ISNUMBER(SEARCH(Assumptions!$C$7,F273)),Assumptions!$D$7,"Other Services"))),"Other Services"))</f>
        <v/>
      </c>
    </row>
    <row r="274" customFormat="false" ht="15" hidden="false" customHeight="false" outlineLevel="0" collapsed="false">
      <c r="I274" s="41" t="str">
        <f aca="false">IF(F274="","",IFERROR(IF(ISNUMBER(SEARCH(Assumptions!$C$5,F274)),Assumptions!$D$5,IF(ISNUMBER(SEARCH(Assumptions!$C$6,F274)),Assumptions!$D$6,IF(ISNUMBER(SEARCH(Assumptions!$C$7,F274)),Assumptions!$D$7,"Other Services"))),"Other Services"))</f>
        <v/>
      </c>
    </row>
    <row r="275" customFormat="false" ht="15" hidden="false" customHeight="false" outlineLevel="0" collapsed="false">
      <c r="I275" s="41" t="str">
        <f aca="false">IF(F275="","",IFERROR(IF(ISNUMBER(SEARCH(Assumptions!$C$5,F275)),Assumptions!$D$5,IF(ISNUMBER(SEARCH(Assumptions!$C$6,F275)),Assumptions!$D$6,IF(ISNUMBER(SEARCH(Assumptions!$C$7,F275)),Assumptions!$D$7,"Other Services"))),"Other Services"))</f>
        <v/>
      </c>
    </row>
    <row r="276" customFormat="false" ht="15" hidden="false" customHeight="false" outlineLevel="0" collapsed="false">
      <c r="I276" s="41" t="str">
        <f aca="false">IF(F276="","",IFERROR(IF(ISNUMBER(SEARCH(Assumptions!$C$5,F276)),Assumptions!$D$5,IF(ISNUMBER(SEARCH(Assumptions!$C$6,F276)),Assumptions!$D$6,IF(ISNUMBER(SEARCH(Assumptions!$C$7,F276)),Assumptions!$D$7,"Other Services"))),"Other Services"))</f>
        <v/>
      </c>
    </row>
    <row r="277" customFormat="false" ht="15" hidden="false" customHeight="false" outlineLevel="0" collapsed="false">
      <c r="I277" s="41" t="str">
        <f aca="false">IF(F277="","",IFERROR(IF(ISNUMBER(SEARCH(Assumptions!$C$5,F277)),Assumptions!$D$5,IF(ISNUMBER(SEARCH(Assumptions!$C$6,F277)),Assumptions!$D$6,IF(ISNUMBER(SEARCH(Assumptions!$C$7,F277)),Assumptions!$D$7,"Other Services"))),"Other Services"))</f>
        <v/>
      </c>
    </row>
    <row r="278" customFormat="false" ht="15" hidden="false" customHeight="false" outlineLevel="0" collapsed="false">
      <c r="I278" s="41" t="str">
        <f aca="false">IF(F278="","",IFERROR(IF(ISNUMBER(SEARCH(Assumptions!$C$5,F278)),Assumptions!$D$5,IF(ISNUMBER(SEARCH(Assumptions!$C$6,F278)),Assumptions!$D$6,IF(ISNUMBER(SEARCH(Assumptions!$C$7,F278)),Assumptions!$D$7,"Other Services"))),"Other Services"))</f>
        <v/>
      </c>
    </row>
    <row r="279" customFormat="false" ht="15" hidden="false" customHeight="false" outlineLevel="0" collapsed="false">
      <c r="I279" s="41" t="str">
        <f aca="false">IF(F279="","",IFERROR(IF(ISNUMBER(SEARCH(Assumptions!$C$5,F279)),Assumptions!$D$5,IF(ISNUMBER(SEARCH(Assumptions!$C$6,F279)),Assumptions!$D$6,IF(ISNUMBER(SEARCH(Assumptions!$C$7,F279)),Assumptions!$D$7,"Other Services"))),"Other Services"))</f>
        <v/>
      </c>
    </row>
    <row r="280" customFormat="false" ht="15" hidden="false" customHeight="false" outlineLevel="0" collapsed="false">
      <c r="I280" s="41" t="str">
        <f aca="false">IF(F280="","",IFERROR(IF(ISNUMBER(SEARCH(Assumptions!$C$5,F280)),Assumptions!$D$5,IF(ISNUMBER(SEARCH(Assumptions!$C$6,F280)),Assumptions!$D$6,IF(ISNUMBER(SEARCH(Assumptions!$C$7,F280)),Assumptions!$D$7,"Other Services"))),"Other Services"))</f>
        <v/>
      </c>
    </row>
    <row r="281" customFormat="false" ht="15" hidden="false" customHeight="false" outlineLevel="0" collapsed="false">
      <c r="I281" s="41" t="str">
        <f aca="false">IF(F281="","",IFERROR(IF(ISNUMBER(SEARCH(Assumptions!$C$5,F281)),Assumptions!$D$5,IF(ISNUMBER(SEARCH(Assumptions!$C$6,F281)),Assumptions!$D$6,IF(ISNUMBER(SEARCH(Assumptions!$C$7,F281)),Assumptions!$D$7,"Other Services"))),"Other Services"))</f>
        <v/>
      </c>
    </row>
    <row r="282" customFormat="false" ht="15" hidden="false" customHeight="false" outlineLevel="0" collapsed="false">
      <c r="I282" s="41" t="str">
        <f aca="false">IF(F282="","",IFERROR(IF(ISNUMBER(SEARCH(Assumptions!$C$5,F282)),Assumptions!$D$5,IF(ISNUMBER(SEARCH(Assumptions!$C$6,F282)),Assumptions!$D$6,IF(ISNUMBER(SEARCH(Assumptions!$C$7,F282)),Assumptions!$D$7,"Other Services"))),"Other Services"))</f>
        <v/>
      </c>
    </row>
    <row r="283" customFormat="false" ht="15" hidden="false" customHeight="false" outlineLevel="0" collapsed="false">
      <c r="I283" s="41" t="str">
        <f aca="false">IF(F283="","",IFERROR(IF(ISNUMBER(SEARCH(Assumptions!$C$5,F283)),Assumptions!$D$5,IF(ISNUMBER(SEARCH(Assumptions!$C$6,F283)),Assumptions!$D$6,IF(ISNUMBER(SEARCH(Assumptions!$C$7,F283)),Assumptions!$D$7,"Other Services"))),"Other Services"))</f>
        <v/>
      </c>
    </row>
    <row r="284" customFormat="false" ht="15" hidden="false" customHeight="false" outlineLevel="0" collapsed="false">
      <c r="I284" s="41" t="str">
        <f aca="false">IF(F284="","",IFERROR(IF(ISNUMBER(SEARCH(Assumptions!$C$5,F284)),Assumptions!$D$5,IF(ISNUMBER(SEARCH(Assumptions!$C$6,F284)),Assumptions!$D$6,IF(ISNUMBER(SEARCH(Assumptions!$C$7,F284)),Assumptions!$D$7,"Other Services"))),"Other Services"))</f>
        <v/>
      </c>
    </row>
    <row r="285" customFormat="false" ht="15" hidden="false" customHeight="false" outlineLevel="0" collapsed="false">
      <c r="I285" s="41" t="str">
        <f aca="false">IF(F285="","",IFERROR(IF(ISNUMBER(SEARCH(Assumptions!$C$5,F285)),Assumptions!$D$5,IF(ISNUMBER(SEARCH(Assumptions!$C$6,F285)),Assumptions!$D$6,IF(ISNUMBER(SEARCH(Assumptions!$C$7,F285)),Assumptions!$D$7,"Other Services"))),"Other Services"))</f>
        <v/>
      </c>
    </row>
    <row r="286" customFormat="false" ht="15" hidden="false" customHeight="false" outlineLevel="0" collapsed="false">
      <c r="I286" s="41" t="str">
        <f aca="false">IF(F286="","",IFERROR(IF(ISNUMBER(SEARCH(Assumptions!$C$5,F286)),Assumptions!$D$5,IF(ISNUMBER(SEARCH(Assumptions!$C$6,F286)),Assumptions!$D$6,IF(ISNUMBER(SEARCH(Assumptions!$C$7,F286)),Assumptions!$D$7,"Other Services"))),"Other Services"))</f>
        <v/>
      </c>
    </row>
    <row r="287" customFormat="false" ht="15" hidden="false" customHeight="false" outlineLevel="0" collapsed="false">
      <c r="I287" s="41" t="str">
        <f aca="false">IF(F287="","",IFERROR(IF(ISNUMBER(SEARCH(Assumptions!$C$5,F287)),Assumptions!$D$5,IF(ISNUMBER(SEARCH(Assumptions!$C$6,F287)),Assumptions!$D$6,IF(ISNUMBER(SEARCH(Assumptions!$C$7,F287)),Assumptions!$D$7,"Other Services"))),"Other Services"))</f>
        <v/>
      </c>
    </row>
    <row r="288" customFormat="false" ht="15" hidden="false" customHeight="false" outlineLevel="0" collapsed="false">
      <c r="I288" s="41" t="str">
        <f aca="false">IF(F288="","",IFERROR(IF(ISNUMBER(SEARCH(Assumptions!$C$5,F288)),Assumptions!$D$5,IF(ISNUMBER(SEARCH(Assumptions!$C$6,F288)),Assumptions!$D$6,IF(ISNUMBER(SEARCH(Assumptions!$C$7,F288)),Assumptions!$D$7,"Other Services"))),"Other Services"))</f>
        <v/>
      </c>
    </row>
    <row r="289" customFormat="false" ht="15" hidden="false" customHeight="false" outlineLevel="0" collapsed="false">
      <c r="I289" s="41" t="str">
        <f aca="false">IF(F289="","",IFERROR(IF(ISNUMBER(SEARCH(Assumptions!$C$5,F289)),Assumptions!$D$5,IF(ISNUMBER(SEARCH(Assumptions!$C$6,F289)),Assumptions!$D$6,IF(ISNUMBER(SEARCH(Assumptions!$C$7,F289)),Assumptions!$D$7,"Other Services"))),"Other Services"))</f>
        <v/>
      </c>
    </row>
    <row r="290" customFormat="false" ht="15" hidden="false" customHeight="false" outlineLevel="0" collapsed="false">
      <c r="I290" s="41" t="str">
        <f aca="false">IF(F290="","",IFERROR(IF(ISNUMBER(SEARCH(Assumptions!$C$5,F290)),Assumptions!$D$5,IF(ISNUMBER(SEARCH(Assumptions!$C$6,F290)),Assumptions!$D$6,IF(ISNUMBER(SEARCH(Assumptions!$C$7,F290)),Assumptions!$D$7,"Other Services"))),"Other Services"))</f>
        <v/>
      </c>
    </row>
    <row r="291" customFormat="false" ht="15" hidden="false" customHeight="false" outlineLevel="0" collapsed="false">
      <c r="I291" s="41" t="str">
        <f aca="false">IF(F291="","",IFERROR(IF(ISNUMBER(SEARCH(Assumptions!$C$5,F291)),Assumptions!$D$5,IF(ISNUMBER(SEARCH(Assumptions!$C$6,F291)),Assumptions!$D$6,IF(ISNUMBER(SEARCH(Assumptions!$C$7,F291)),Assumptions!$D$7,"Other Services"))),"Other Services"))</f>
        <v/>
      </c>
    </row>
    <row r="292" customFormat="false" ht="15" hidden="false" customHeight="false" outlineLevel="0" collapsed="false">
      <c r="I292" s="41" t="str">
        <f aca="false">IF(F292="","",IFERROR(IF(ISNUMBER(SEARCH(Assumptions!$C$5,F292)),Assumptions!$D$5,IF(ISNUMBER(SEARCH(Assumptions!$C$6,F292)),Assumptions!$D$6,IF(ISNUMBER(SEARCH(Assumptions!$C$7,F292)),Assumptions!$D$7,"Other Services"))),"Other Services"))</f>
        <v/>
      </c>
    </row>
    <row r="293" customFormat="false" ht="15" hidden="false" customHeight="false" outlineLevel="0" collapsed="false">
      <c r="I293" s="41" t="str">
        <f aca="false">IF(F293="","",IFERROR(IF(ISNUMBER(SEARCH(Assumptions!$C$5,F293)),Assumptions!$D$5,IF(ISNUMBER(SEARCH(Assumptions!$C$6,F293)),Assumptions!$D$6,IF(ISNUMBER(SEARCH(Assumptions!$C$7,F293)),Assumptions!$D$7,"Other Services"))),"Other Services"))</f>
        <v/>
      </c>
    </row>
    <row r="294" customFormat="false" ht="15" hidden="false" customHeight="false" outlineLevel="0" collapsed="false">
      <c r="I294" s="41" t="str">
        <f aca="false">IF(F294="","",IFERROR(IF(ISNUMBER(SEARCH(Assumptions!$C$5,F294)),Assumptions!$D$5,IF(ISNUMBER(SEARCH(Assumptions!$C$6,F294)),Assumptions!$D$6,IF(ISNUMBER(SEARCH(Assumptions!$C$7,F294)),Assumptions!$D$7,"Other Services"))),"Other Services"))</f>
        <v/>
      </c>
    </row>
    <row r="295" customFormat="false" ht="15" hidden="false" customHeight="false" outlineLevel="0" collapsed="false">
      <c r="I295" s="41" t="str">
        <f aca="false">IF(F295="","",IFERROR(IF(ISNUMBER(SEARCH(Assumptions!$C$5,F295)),Assumptions!$D$5,IF(ISNUMBER(SEARCH(Assumptions!$C$6,F295)),Assumptions!$D$6,IF(ISNUMBER(SEARCH(Assumptions!$C$7,F295)),Assumptions!$D$7,"Other Services"))),"Other Services"))</f>
        <v/>
      </c>
    </row>
    <row r="296" customFormat="false" ht="15" hidden="false" customHeight="false" outlineLevel="0" collapsed="false">
      <c r="I296" s="41" t="str">
        <f aca="false">IF(F296="","",IFERROR(IF(ISNUMBER(SEARCH(Assumptions!$C$5,F296)),Assumptions!$D$5,IF(ISNUMBER(SEARCH(Assumptions!$C$6,F296)),Assumptions!$D$6,IF(ISNUMBER(SEARCH(Assumptions!$C$7,F296)),Assumptions!$D$7,"Other Services"))),"Other Services"))</f>
        <v/>
      </c>
    </row>
    <row r="297" customFormat="false" ht="15" hidden="false" customHeight="false" outlineLevel="0" collapsed="false">
      <c r="I297" s="41" t="str">
        <f aca="false">IF(F297="","",IFERROR(IF(ISNUMBER(SEARCH(Assumptions!$C$5,F297)),Assumptions!$D$5,IF(ISNUMBER(SEARCH(Assumptions!$C$6,F297)),Assumptions!$D$6,IF(ISNUMBER(SEARCH(Assumptions!$C$7,F297)),Assumptions!$D$7,"Other Services"))),"Other Services"))</f>
        <v/>
      </c>
    </row>
    <row r="298" customFormat="false" ht="15" hidden="false" customHeight="false" outlineLevel="0" collapsed="false">
      <c r="I298" s="41" t="str">
        <f aca="false">IF(F298="","",IFERROR(IF(ISNUMBER(SEARCH(Assumptions!$C$5,F298)),Assumptions!$D$5,IF(ISNUMBER(SEARCH(Assumptions!$C$6,F298)),Assumptions!$D$6,IF(ISNUMBER(SEARCH(Assumptions!$C$7,F298)),Assumptions!$D$7,"Other Services"))),"Other Services"))</f>
        <v/>
      </c>
    </row>
    <row r="299" customFormat="false" ht="15" hidden="false" customHeight="false" outlineLevel="0" collapsed="false">
      <c r="I299" s="41" t="str">
        <f aca="false">IF(F299="","",IFERROR(IF(ISNUMBER(SEARCH(Assumptions!$C$5,F299)),Assumptions!$D$5,IF(ISNUMBER(SEARCH(Assumptions!$C$6,F299)),Assumptions!$D$6,IF(ISNUMBER(SEARCH(Assumptions!$C$7,F299)),Assumptions!$D$7,"Other Services"))),"Other Services"))</f>
        <v/>
      </c>
    </row>
    <row r="300" customFormat="false" ht="15" hidden="false" customHeight="false" outlineLevel="0" collapsed="false">
      <c r="I300" s="41" t="str">
        <f aca="false">IF(F300="","",IFERROR(IF(ISNUMBER(SEARCH(Assumptions!$C$5,F300)),Assumptions!$D$5,IF(ISNUMBER(SEARCH(Assumptions!$C$6,F300)),Assumptions!$D$6,IF(ISNUMBER(SEARCH(Assumptions!$C$7,F300)),Assumptions!$D$7,"Other Services"))),"Other Services"))</f>
        <v/>
      </c>
    </row>
    <row r="301" customFormat="false" ht="15" hidden="false" customHeight="false" outlineLevel="0" collapsed="false">
      <c r="I301" s="41" t="str">
        <f aca="false">IF(F301="","",IFERROR(IF(ISNUMBER(SEARCH(Assumptions!$C$5,F301)),Assumptions!$D$5,IF(ISNUMBER(SEARCH(Assumptions!$C$6,F301)),Assumptions!$D$6,IF(ISNUMBER(SEARCH(Assumptions!$C$7,F301)),Assumptions!$D$7,"Other Services"))),"Other Services"))</f>
        <v/>
      </c>
    </row>
    <row r="302" customFormat="false" ht="15" hidden="false" customHeight="false" outlineLevel="0" collapsed="false">
      <c r="I302" s="41" t="str">
        <f aca="false">IF(F302="","",IFERROR(IF(ISNUMBER(SEARCH(Assumptions!$C$5,F302)),Assumptions!$D$5,IF(ISNUMBER(SEARCH(Assumptions!$C$6,F302)),Assumptions!$D$6,IF(ISNUMBER(SEARCH(Assumptions!$C$7,F302)),Assumptions!$D$7,"Other Services"))),"Other Services"))</f>
        <v/>
      </c>
    </row>
    <row r="303" customFormat="false" ht="15" hidden="false" customHeight="false" outlineLevel="0" collapsed="false">
      <c r="I303" s="41" t="str">
        <f aca="false">IF(F303="","",IFERROR(IF(ISNUMBER(SEARCH(Assumptions!$C$5,F303)),Assumptions!$D$5,IF(ISNUMBER(SEARCH(Assumptions!$C$6,F303)),Assumptions!$D$6,IF(ISNUMBER(SEARCH(Assumptions!$C$7,F303)),Assumptions!$D$7,"Other Services"))),"Other Services"))</f>
        <v/>
      </c>
    </row>
    <row r="304" customFormat="false" ht="15" hidden="false" customHeight="false" outlineLevel="0" collapsed="false">
      <c r="I304" s="41" t="str">
        <f aca="false">IF(F304="","",IFERROR(IF(ISNUMBER(SEARCH(Assumptions!$C$5,F304)),Assumptions!$D$5,IF(ISNUMBER(SEARCH(Assumptions!$C$6,F304)),Assumptions!$D$6,IF(ISNUMBER(SEARCH(Assumptions!$C$7,F304)),Assumptions!$D$7,"Other Services"))),"Other Services"))</f>
        <v/>
      </c>
    </row>
    <row r="305" customFormat="false" ht="15" hidden="false" customHeight="false" outlineLevel="0" collapsed="false">
      <c r="I305" s="41" t="str">
        <f aca="false">IF(F305="","",IFERROR(IF(ISNUMBER(SEARCH(Assumptions!$C$5,F305)),Assumptions!$D$5,IF(ISNUMBER(SEARCH(Assumptions!$C$6,F305)),Assumptions!$D$6,IF(ISNUMBER(SEARCH(Assumptions!$C$7,F305)),Assumptions!$D$7,"Other Services"))),"Other Services"))</f>
        <v/>
      </c>
    </row>
    <row r="306" customFormat="false" ht="15" hidden="false" customHeight="false" outlineLevel="0" collapsed="false">
      <c r="I306" s="41" t="str">
        <f aca="false">IF(F306="","",IFERROR(IF(ISNUMBER(SEARCH(Assumptions!$C$5,F306)),Assumptions!$D$5,IF(ISNUMBER(SEARCH(Assumptions!$C$6,F306)),Assumptions!$D$6,IF(ISNUMBER(SEARCH(Assumptions!$C$7,F306)),Assumptions!$D$7,"Other Services"))),"Other Services"))</f>
        <v/>
      </c>
    </row>
    <row r="307" customFormat="false" ht="15" hidden="false" customHeight="false" outlineLevel="0" collapsed="false">
      <c r="I307" s="41" t="str">
        <f aca="false">IF(F307="","",IFERROR(IF(ISNUMBER(SEARCH(Assumptions!$C$5,F307)),Assumptions!$D$5,IF(ISNUMBER(SEARCH(Assumptions!$C$6,F307)),Assumptions!$D$6,IF(ISNUMBER(SEARCH(Assumptions!$C$7,F307)),Assumptions!$D$7,"Other Services"))),"Other Services"))</f>
        <v/>
      </c>
    </row>
    <row r="308" customFormat="false" ht="15" hidden="false" customHeight="false" outlineLevel="0" collapsed="false">
      <c r="I308" s="41" t="str">
        <f aca="false">IF(F308="","",IFERROR(IF(ISNUMBER(SEARCH(Assumptions!$C$5,F308)),Assumptions!$D$5,IF(ISNUMBER(SEARCH(Assumptions!$C$6,F308)),Assumptions!$D$6,IF(ISNUMBER(SEARCH(Assumptions!$C$7,F308)),Assumptions!$D$7,"Other Services"))),"Other Services"))</f>
        <v/>
      </c>
    </row>
    <row r="309" customFormat="false" ht="15" hidden="false" customHeight="false" outlineLevel="0" collapsed="false">
      <c r="I309" s="41" t="str">
        <f aca="false">IF(F309="","",IFERROR(IF(ISNUMBER(SEARCH(Assumptions!$C$5,F309)),Assumptions!$D$5,IF(ISNUMBER(SEARCH(Assumptions!$C$6,F309)),Assumptions!$D$6,IF(ISNUMBER(SEARCH(Assumptions!$C$7,F309)),Assumptions!$D$7,"Other Services"))),"Other Services"))</f>
        <v/>
      </c>
    </row>
    <row r="310" customFormat="false" ht="15" hidden="false" customHeight="false" outlineLevel="0" collapsed="false">
      <c r="I310" s="41" t="str">
        <f aca="false">IF(F310="","",IFERROR(IF(ISNUMBER(SEARCH(Assumptions!$C$5,F310)),Assumptions!$D$5,IF(ISNUMBER(SEARCH(Assumptions!$C$6,F310)),Assumptions!$D$6,IF(ISNUMBER(SEARCH(Assumptions!$C$7,F310)),Assumptions!$D$7,"Other Services"))),"Other Services"))</f>
        <v/>
      </c>
    </row>
    <row r="311" customFormat="false" ht="15" hidden="false" customHeight="false" outlineLevel="0" collapsed="false">
      <c r="I311" s="41" t="str">
        <f aca="false">IF(F311="","",IFERROR(IF(ISNUMBER(SEARCH(Assumptions!$C$5,F311)),Assumptions!$D$5,IF(ISNUMBER(SEARCH(Assumptions!$C$6,F311)),Assumptions!$D$6,IF(ISNUMBER(SEARCH(Assumptions!$C$7,F311)),Assumptions!$D$7,"Other Services"))),"Other Services"))</f>
        <v/>
      </c>
    </row>
    <row r="312" customFormat="false" ht="15" hidden="false" customHeight="false" outlineLevel="0" collapsed="false">
      <c r="I312" s="41" t="str">
        <f aca="false">IF(F312="","",IFERROR(IF(ISNUMBER(SEARCH(Assumptions!$C$5,F312)),Assumptions!$D$5,IF(ISNUMBER(SEARCH(Assumptions!$C$6,F312)),Assumptions!$D$6,IF(ISNUMBER(SEARCH(Assumptions!$C$7,F312)),Assumptions!$D$7,"Other Services"))),"Other Services"))</f>
        <v/>
      </c>
    </row>
    <row r="313" customFormat="false" ht="15" hidden="false" customHeight="false" outlineLevel="0" collapsed="false">
      <c r="I313" s="41" t="str">
        <f aca="false">IF(F313="","",IFERROR(IF(ISNUMBER(SEARCH(Assumptions!$C$5,F313)),Assumptions!$D$5,IF(ISNUMBER(SEARCH(Assumptions!$C$6,F313)),Assumptions!$D$6,IF(ISNUMBER(SEARCH(Assumptions!$C$7,F313)),Assumptions!$D$7,"Other Services"))),"Other Services"))</f>
        <v/>
      </c>
    </row>
    <row r="314" customFormat="false" ht="15" hidden="false" customHeight="false" outlineLevel="0" collapsed="false">
      <c r="I314" s="41" t="str">
        <f aca="false">IF(F314="","",IFERROR(IF(ISNUMBER(SEARCH(Assumptions!$C$5,F314)),Assumptions!$D$5,IF(ISNUMBER(SEARCH(Assumptions!$C$6,F314)),Assumptions!$D$6,IF(ISNUMBER(SEARCH(Assumptions!$C$7,F314)),Assumptions!$D$7,"Other Services"))),"Other Services"))</f>
        <v/>
      </c>
    </row>
    <row r="315" customFormat="false" ht="15" hidden="false" customHeight="false" outlineLevel="0" collapsed="false">
      <c r="I315" s="41" t="str">
        <f aca="false">IF(F315="","",IFERROR(IF(ISNUMBER(SEARCH(Assumptions!$C$5,F315)),Assumptions!$D$5,IF(ISNUMBER(SEARCH(Assumptions!$C$6,F315)),Assumptions!$D$6,IF(ISNUMBER(SEARCH(Assumptions!$C$7,F315)),Assumptions!$D$7,"Other Services"))),"Other Services"))</f>
        <v/>
      </c>
    </row>
    <row r="316" customFormat="false" ht="15" hidden="false" customHeight="false" outlineLevel="0" collapsed="false">
      <c r="I316" s="41" t="str">
        <f aca="false">IF(F316="","",IFERROR(IF(ISNUMBER(SEARCH(Assumptions!$C$5,F316)),Assumptions!$D$5,IF(ISNUMBER(SEARCH(Assumptions!$C$6,F316)),Assumptions!$D$6,IF(ISNUMBER(SEARCH(Assumptions!$C$7,F316)),Assumptions!$D$7,"Other Services"))),"Other Services"))</f>
        <v/>
      </c>
    </row>
    <row r="317" customFormat="false" ht="15" hidden="false" customHeight="false" outlineLevel="0" collapsed="false">
      <c r="I317" s="41" t="str">
        <f aca="false">IF(F317="","",IFERROR(IF(ISNUMBER(SEARCH(Assumptions!$C$5,F317)),Assumptions!$D$5,IF(ISNUMBER(SEARCH(Assumptions!$C$6,F317)),Assumptions!$D$6,IF(ISNUMBER(SEARCH(Assumptions!$C$7,F317)),Assumptions!$D$7,"Other Services"))),"Other Services"))</f>
        <v/>
      </c>
    </row>
    <row r="318" customFormat="false" ht="15" hidden="false" customHeight="false" outlineLevel="0" collapsed="false">
      <c r="I318" s="41" t="str">
        <f aca="false">IF(F318="","",IFERROR(IF(ISNUMBER(SEARCH(Assumptions!$C$5,F318)),Assumptions!$D$5,IF(ISNUMBER(SEARCH(Assumptions!$C$6,F318)),Assumptions!$D$6,IF(ISNUMBER(SEARCH(Assumptions!$C$7,F318)),Assumptions!$D$7,"Other Services"))),"Other Services"))</f>
        <v/>
      </c>
    </row>
    <row r="319" customFormat="false" ht="15" hidden="false" customHeight="false" outlineLevel="0" collapsed="false">
      <c r="I319" s="41" t="str">
        <f aca="false">IF(F319="","",IFERROR(IF(ISNUMBER(SEARCH(Assumptions!$C$5,F319)),Assumptions!$D$5,IF(ISNUMBER(SEARCH(Assumptions!$C$6,F319)),Assumptions!$D$6,IF(ISNUMBER(SEARCH(Assumptions!$C$7,F319)),Assumptions!$D$7,"Other Services"))),"Other Services"))</f>
        <v/>
      </c>
    </row>
    <row r="320" customFormat="false" ht="15" hidden="false" customHeight="false" outlineLevel="0" collapsed="false">
      <c r="I320" s="41" t="str">
        <f aca="false">IF(F320="","",IFERROR(IF(ISNUMBER(SEARCH(Assumptions!$C$5,F320)),Assumptions!$D$5,IF(ISNUMBER(SEARCH(Assumptions!$C$6,F320)),Assumptions!$D$6,IF(ISNUMBER(SEARCH(Assumptions!$C$7,F320)),Assumptions!$D$7,"Other Services"))),"Other Services"))</f>
        <v/>
      </c>
    </row>
    <row r="321" customFormat="false" ht="15" hidden="false" customHeight="false" outlineLevel="0" collapsed="false">
      <c r="I321" s="41" t="str">
        <f aca="false">IF(F321="","",IFERROR(IF(ISNUMBER(SEARCH(Assumptions!$C$5,F321)),Assumptions!$D$5,IF(ISNUMBER(SEARCH(Assumptions!$C$6,F321)),Assumptions!$D$6,IF(ISNUMBER(SEARCH(Assumptions!$C$7,F321)),Assumptions!$D$7,"Other Services"))),"Other Services"))</f>
        <v/>
      </c>
    </row>
    <row r="322" customFormat="false" ht="15" hidden="false" customHeight="false" outlineLevel="0" collapsed="false">
      <c r="I322" s="41" t="str">
        <f aca="false">IF(F322="","",IFERROR(IF(ISNUMBER(SEARCH(Assumptions!$C$5,F322)),Assumptions!$D$5,IF(ISNUMBER(SEARCH(Assumptions!$C$6,F322)),Assumptions!$D$6,IF(ISNUMBER(SEARCH(Assumptions!$C$7,F322)),Assumptions!$D$7,"Other Services"))),"Other Services"))</f>
        <v/>
      </c>
    </row>
    <row r="323" customFormat="false" ht="15" hidden="false" customHeight="false" outlineLevel="0" collapsed="false">
      <c r="I323" s="41" t="str">
        <f aca="false">IF(F323="","",IFERROR(IF(ISNUMBER(SEARCH(Assumptions!$C$5,F323)),Assumptions!$D$5,IF(ISNUMBER(SEARCH(Assumptions!$C$6,F323)),Assumptions!$D$6,IF(ISNUMBER(SEARCH(Assumptions!$C$7,F323)),Assumptions!$D$7,"Other Services"))),"Other Services"))</f>
        <v/>
      </c>
    </row>
    <row r="324" customFormat="false" ht="15" hidden="false" customHeight="false" outlineLevel="0" collapsed="false">
      <c r="I324" s="41" t="str">
        <f aca="false">IF(F324="","",IFERROR(IF(ISNUMBER(SEARCH(Assumptions!$C$5,F324)),Assumptions!$D$5,IF(ISNUMBER(SEARCH(Assumptions!$C$6,F324)),Assumptions!$D$6,IF(ISNUMBER(SEARCH(Assumptions!$C$7,F324)),Assumptions!$D$7,"Other Services"))),"Other Services"))</f>
        <v/>
      </c>
    </row>
    <row r="325" customFormat="false" ht="15" hidden="false" customHeight="false" outlineLevel="0" collapsed="false">
      <c r="I325" s="41" t="str">
        <f aca="false">IF(F325="","",IFERROR(IF(ISNUMBER(SEARCH(Assumptions!$C$5,F325)),Assumptions!$D$5,IF(ISNUMBER(SEARCH(Assumptions!$C$6,F325)),Assumptions!$D$6,IF(ISNUMBER(SEARCH(Assumptions!$C$7,F325)),Assumptions!$D$7,"Other Services"))),"Other Services"))</f>
        <v/>
      </c>
    </row>
    <row r="326" customFormat="false" ht="15" hidden="false" customHeight="false" outlineLevel="0" collapsed="false">
      <c r="I326" s="41" t="str">
        <f aca="false">IF(F326="","",IFERROR(IF(ISNUMBER(SEARCH(Assumptions!$C$5,F326)),Assumptions!$D$5,IF(ISNUMBER(SEARCH(Assumptions!$C$6,F326)),Assumptions!$D$6,IF(ISNUMBER(SEARCH(Assumptions!$C$7,F326)),Assumptions!$D$7,"Other Services"))),"Other Services"))</f>
        <v/>
      </c>
    </row>
    <row r="327" customFormat="false" ht="15" hidden="false" customHeight="false" outlineLevel="0" collapsed="false">
      <c r="I327" s="41" t="str">
        <f aca="false">IF(F327="","",IFERROR(IF(ISNUMBER(SEARCH(Assumptions!$C$5,F327)),Assumptions!$D$5,IF(ISNUMBER(SEARCH(Assumptions!$C$6,F327)),Assumptions!$D$6,IF(ISNUMBER(SEARCH(Assumptions!$C$7,F327)),Assumptions!$D$7,"Other Services"))),"Other Services"))</f>
        <v/>
      </c>
    </row>
    <row r="328" customFormat="false" ht="15" hidden="false" customHeight="false" outlineLevel="0" collapsed="false">
      <c r="I328" s="41" t="str">
        <f aca="false">IF(F328="","",IFERROR(IF(ISNUMBER(SEARCH(Assumptions!$C$5,F328)),Assumptions!$D$5,IF(ISNUMBER(SEARCH(Assumptions!$C$6,F328)),Assumptions!$D$6,IF(ISNUMBER(SEARCH(Assumptions!$C$7,F328)),Assumptions!$D$7,"Other Services"))),"Other Services"))</f>
        <v/>
      </c>
    </row>
    <row r="329" customFormat="false" ht="15" hidden="false" customHeight="false" outlineLevel="0" collapsed="false">
      <c r="I329" s="41" t="str">
        <f aca="false">IF(F329="","",IFERROR(IF(ISNUMBER(SEARCH(Assumptions!$C$5,F329)),Assumptions!$D$5,IF(ISNUMBER(SEARCH(Assumptions!$C$6,F329)),Assumptions!$D$6,IF(ISNUMBER(SEARCH(Assumptions!$C$7,F329)),Assumptions!$D$7,"Other Services"))),"Other Services"))</f>
        <v/>
      </c>
    </row>
    <row r="330" customFormat="false" ht="15" hidden="false" customHeight="false" outlineLevel="0" collapsed="false">
      <c r="I330" s="41" t="str">
        <f aca="false">IF(F330="","",IFERROR(IF(ISNUMBER(SEARCH(Assumptions!$C$5,F330)),Assumptions!$D$5,IF(ISNUMBER(SEARCH(Assumptions!$C$6,F330)),Assumptions!$D$6,IF(ISNUMBER(SEARCH(Assumptions!$C$7,F330)),Assumptions!$D$7,"Other Services"))),"Other Services"))</f>
        <v/>
      </c>
    </row>
    <row r="331" customFormat="false" ht="15" hidden="false" customHeight="false" outlineLevel="0" collapsed="false">
      <c r="I331" s="41" t="str">
        <f aca="false">IF(F331="","",IFERROR(IF(ISNUMBER(SEARCH(Assumptions!$C$5,F331)),Assumptions!$D$5,IF(ISNUMBER(SEARCH(Assumptions!$C$6,F331)),Assumptions!$D$6,IF(ISNUMBER(SEARCH(Assumptions!$C$7,F331)),Assumptions!$D$7,"Other Services"))),"Other Services"))</f>
        <v/>
      </c>
    </row>
    <row r="332" customFormat="false" ht="15" hidden="false" customHeight="false" outlineLevel="0" collapsed="false">
      <c r="I332" s="41" t="str">
        <f aca="false">IF(F332="","",IFERROR(IF(ISNUMBER(SEARCH(Assumptions!$C$5,F332)),Assumptions!$D$5,IF(ISNUMBER(SEARCH(Assumptions!$C$6,F332)),Assumptions!$D$6,IF(ISNUMBER(SEARCH(Assumptions!$C$7,F332)),Assumptions!$D$7,"Other Services"))),"Other Services"))</f>
        <v/>
      </c>
    </row>
    <row r="333" customFormat="false" ht="15" hidden="false" customHeight="false" outlineLevel="0" collapsed="false">
      <c r="I333" s="41" t="str">
        <f aca="false">IF(F333="","",IFERROR(IF(ISNUMBER(SEARCH(Assumptions!$C$5,F333)),Assumptions!$D$5,IF(ISNUMBER(SEARCH(Assumptions!$C$6,F333)),Assumptions!$D$6,IF(ISNUMBER(SEARCH(Assumptions!$C$7,F333)),Assumptions!$D$7,"Other Services"))),"Other Services"))</f>
        <v/>
      </c>
    </row>
    <row r="334" customFormat="false" ht="15" hidden="false" customHeight="false" outlineLevel="0" collapsed="false">
      <c r="I334" s="41" t="str">
        <f aca="false">IF(F334="","",IFERROR(IF(ISNUMBER(SEARCH(Assumptions!$C$5,F334)),Assumptions!$D$5,IF(ISNUMBER(SEARCH(Assumptions!$C$6,F334)),Assumptions!$D$6,IF(ISNUMBER(SEARCH(Assumptions!$C$7,F334)),Assumptions!$D$7,"Other Services"))),"Other Services"))</f>
        <v/>
      </c>
    </row>
    <row r="335" customFormat="false" ht="15" hidden="false" customHeight="false" outlineLevel="0" collapsed="false">
      <c r="I335" s="41" t="str">
        <f aca="false">IF(F335="","",IFERROR(IF(ISNUMBER(SEARCH(Assumptions!$C$5,F335)),Assumptions!$D$5,IF(ISNUMBER(SEARCH(Assumptions!$C$6,F335)),Assumptions!$D$6,IF(ISNUMBER(SEARCH(Assumptions!$C$7,F335)),Assumptions!$D$7,"Other Services"))),"Other Services"))</f>
        <v/>
      </c>
    </row>
    <row r="336" customFormat="false" ht="15" hidden="false" customHeight="false" outlineLevel="0" collapsed="false">
      <c r="I336" s="41" t="str">
        <f aca="false">IF(F336="","",IFERROR(IF(ISNUMBER(SEARCH(Assumptions!$C$5,F336)),Assumptions!$D$5,IF(ISNUMBER(SEARCH(Assumptions!$C$6,F336)),Assumptions!$D$6,IF(ISNUMBER(SEARCH(Assumptions!$C$7,F336)),Assumptions!$D$7,"Other Services"))),"Other Services"))</f>
        <v/>
      </c>
    </row>
    <row r="337" customFormat="false" ht="15" hidden="false" customHeight="false" outlineLevel="0" collapsed="false">
      <c r="I337" s="41" t="str">
        <f aca="false">IF(F337="","",IFERROR(IF(ISNUMBER(SEARCH(Assumptions!$C$5,F337)),Assumptions!$D$5,IF(ISNUMBER(SEARCH(Assumptions!$C$6,F337)),Assumptions!$D$6,IF(ISNUMBER(SEARCH(Assumptions!$C$7,F337)),Assumptions!$D$7,"Other Services"))),"Other Services"))</f>
        <v/>
      </c>
    </row>
    <row r="338" customFormat="false" ht="15" hidden="false" customHeight="false" outlineLevel="0" collapsed="false">
      <c r="I338" s="41" t="str">
        <f aca="false">IF(F338="","",IFERROR(IF(ISNUMBER(SEARCH(Assumptions!$C$5,F338)),Assumptions!$D$5,IF(ISNUMBER(SEARCH(Assumptions!$C$6,F338)),Assumptions!$D$6,IF(ISNUMBER(SEARCH(Assumptions!$C$7,F338)),Assumptions!$D$7,"Other Services"))),"Other Services"))</f>
        <v/>
      </c>
    </row>
    <row r="339" customFormat="false" ht="15" hidden="false" customHeight="false" outlineLevel="0" collapsed="false">
      <c r="I339" s="41" t="str">
        <f aca="false">IF(F339="","",IFERROR(IF(ISNUMBER(SEARCH(Assumptions!$C$5,F339)),Assumptions!$D$5,IF(ISNUMBER(SEARCH(Assumptions!$C$6,F339)),Assumptions!$D$6,IF(ISNUMBER(SEARCH(Assumptions!$C$7,F339)),Assumptions!$D$7,"Other Services"))),"Other Services"))</f>
        <v/>
      </c>
    </row>
    <row r="340" customFormat="false" ht="15" hidden="false" customHeight="false" outlineLevel="0" collapsed="false">
      <c r="I340" s="41" t="str">
        <f aca="false">IF(F340="","",IFERROR(IF(ISNUMBER(SEARCH(Assumptions!$C$5,F340)),Assumptions!$D$5,IF(ISNUMBER(SEARCH(Assumptions!$C$6,F340)),Assumptions!$D$6,IF(ISNUMBER(SEARCH(Assumptions!$C$7,F340)),Assumptions!$D$7,"Other Services"))),"Other Services"))</f>
        <v/>
      </c>
    </row>
    <row r="341" customFormat="false" ht="15" hidden="false" customHeight="false" outlineLevel="0" collapsed="false">
      <c r="I341" s="41" t="str">
        <f aca="false">IF(F341="","",IFERROR(IF(ISNUMBER(SEARCH(Assumptions!$C$5,F341)),Assumptions!$D$5,IF(ISNUMBER(SEARCH(Assumptions!$C$6,F341)),Assumptions!$D$6,IF(ISNUMBER(SEARCH(Assumptions!$C$7,F341)),Assumptions!$D$7,"Other Services"))),"Other Services"))</f>
        <v/>
      </c>
    </row>
    <row r="342" customFormat="false" ht="15" hidden="false" customHeight="false" outlineLevel="0" collapsed="false">
      <c r="I342" s="41" t="str">
        <f aca="false">IF(F342="","",IFERROR(IF(ISNUMBER(SEARCH(Assumptions!$C$5,F342)),Assumptions!$D$5,IF(ISNUMBER(SEARCH(Assumptions!$C$6,F342)),Assumptions!$D$6,IF(ISNUMBER(SEARCH(Assumptions!$C$7,F342)),Assumptions!$D$7,"Other Services"))),"Other Services"))</f>
        <v/>
      </c>
    </row>
    <row r="343" customFormat="false" ht="15" hidden="false" customHeight="false" outlineLevel="0" collapsed="false">
      <c r="I343" s="41" t="str">
        <f aca="false">IF(F343="","",IFERROR(IF(ISNUMBER(SEARCH(Assumptions!$C$5,F343)),Assumptions!$D$5,IF(ISNUMBER(SEARCH(Assumptions!$C$6,F343)),Assumptions!$D$6,IF(ISNUMBER(SEARCH(Assumptions!$C$7,F343)),Assumptions!$D$7,"Other Services"))),"Other Services"))</f>
        <v/>
      </c>
    </row>
    <row r="344" customFormat="false" ht="15" hidden="false" customHeight="false" outlineLevel="0" collapsed="false">
      <c r="I344" s="41" t="str">
        <f aca="false">IF(F344="","",IFERROR(IF(ISNUMBER(SEARCH(Assumptions!$C$5,F344)),Assumptions!$D$5,IF(ISNUMBER(SEARCH(Assumptions!$C$6,F344)),Assumptions!$D$6,IF(ISNUMBER(SEARCH(Assumptions!$C$7,F344)),Assumptions!$D$7,"Other Services"))),"Other Services"))</f>
        <v/>
      </c>
    </row>
    <row r="345" customFormat="false" ht="15" hidden="false" customHeight="false" outlineLevel="0" collapsed="false">
      <c r="I345" s="41" t="str">
        <f aca="false">IF(F345="","",IFERROR(IF(ISNUMBER(SEARCH(Assumptions!$C$5,F345)),Assumptions!$D$5,IF(ISNUMBER(SEARCH(Assumptions!$C$6,F345)),Assumptions!$D$6,IF(ISNUMBER(SEARCH(Assumptions!$C$7,F345)),Assumptions!$D$7,"Other Services"))),"Other Services"))</f>
        <v/>
      </c>
    </row>
    <row r="346" customFormat="false" ht="15" hidden="false" customHeight="false" outlineLevel="0" collapsed="false">
      <c r="I346" s="41" t="str">
        <f aca="false">IF(F346="","",IFERROR(IF(ISNUMBER(SEARCH(Assumptions!$C$5,F346)),Assumptions!$D$5,IF(ISNUMBER(SEARCH(Assumptions!$C$6,F346)),Assumptions!$D$6,IF(ISNUMBER(SEARCH(Assumptions!$C$7,F346)),Assumptions!$D$7,"Other Services"))),"Other Services"))</f>
        <v/>
      </c>
    </row>
    <row r="347" customFormat="false" ht="15" hidden="false" customHeight="false" outlineLevel="0" collapsed="false">
      <c r="I347" s="41" t="str">
        <f aca="false">IF(F347="","",IFERROR(IF(ISNUMBER(SEARCH(Assumptions!$C$5,F347)),Assumptions!$D$5,IF(ISNUMBER(SEARCH(Assumptions!$C$6,F347)),Assumptions!$D$6,IF(ISNUMBER(SEARCH(Assumptions!$C$7,F347)),Assumptions!$D$7,"Other Services"))),"Other Services"))</f>
        <v/>
      </c>
    </row>
    <row r="348" customFormat="false" ht="15" hidden="false" customHeight="false" outlineLevel="0" collapsed="false">
      <c r="I348" s="41" t="str">
        <f aca="false">IF(F348="","",IFERROR(IF(ISNUMBER(SEARCH(Assumptions!$C$5,F348)),Assumptions!$D$5,IF(ISNUMBER(SEARCH(Assumptions!$C$6,F348)),Assumptions!$D$6,IF(ISNUMBER(SEARCH(Assumptions!$C$7,F348)),Assumptions!$D$7,"Other Services"))),"Other Services"))</f>
        <v/>
      </c>
    </row>
    <row r="349" customFormat="false" ht="15" hidden="false" customHeight="false" outlineLevel="0" collapsed="false">
      <c r="I349" s="41" t="str">
        <f aca="false">IF(F349="","",IFERROR(IF(ISNUMBER(SEARCH(Assumptions!$C$5,F349)),Assumptions!$D$5,IF(ISNUMBER(SEARCH(Assumptions!$C$6,F349)),Assumptions!$D$6,IF(ISNUMBER(SEARCH(Assumptions!$C$7,F349)),Assumptions!$D$7,"Other Services"))),"Other Services"))</f>
        <v/>
      </c>
    </row>
    <row r="350" customFormat="false" ht="15" hidden="false" customHeight="false" outlineLevel="0" collapsed="false">
      <c r="I350" s="41" t="str">
        <f aca="false">IF(F350="","",IFERROR(IF(ISNUMBER(SEARCH(Assumptions!$C$5,F350)),Assumptions!$D$5,IF(ISNUMBER(SEARCH(Assumptions!$C$6,F350)),Assumptions!$D$6,IF(ISNUMBER(SEARCH(Assumptions!$C$7,F350)),Assumptions!$D$7,"Other Services"))),"Other Services"))</f>
        <v/>
      </c>
    </row>
    <row r="351" customFormat="false" ht="15" hidden="false" customHeight="false" outlineLevel="0" collapsed="false">
      <c r="I351" s="41" t="str">
        <f aca="false">IF(F351="","",IFERROR(IF(ISNUMBER(SEARCH(Assumptions!$C$5,F351)),Assumptions!$D$5,IF(ISNUMBER(SEARCH(Assumptions!$C$6,F351)),Assumptions!$D$6,IF(ISNUMBER(SEARCH(Assumptions!$C$7,F351)),Assumptions!$D$7,"Other Services"))),"Other Services"))</f>
        <v/>
      </c>
    </row>
    <row r="352" customFormat="false" ht="15" hidden="false" customHeight="false" outlineLevel="0" collapsed="false">
      <c r="I352" s="41" t="str">
        <f aca="false">IF(F352="","",IFERROR(IF(ISNUMBER(SEARCH(Assumptions!$C$5,F352)),Assumptions!$D$5,IF(ISNUMBER(SEARCH(Assumptions!$C$6,F352)),Assumptions!$D$6,IF(ISNUMBER(SEARCH(Assumptions!$C$7,F352)),Assumptions!$D$7,"Other Services"))),"Other Services"))</f>
        <v/>
      </c>
    </row>
    <row r="353" customFormat="false" ht="15" hidden="false" customHeight="false" outlineLevel="0" collapsed="false">
      <c r="I353" s="41" t="str">
        <f aca="false">IF(F353="","",IFERROR(IF(ISNUMBER(SEARCH(Assumptions!$C$5,F353)),Assumptions!$D$5,IF(ISNUMBER(SEARCH(Assumptions!$C$6,F353)),Assumptions!$D$6,IF(ISNUMBER(SEARCH(Assumptions!$C$7,F353)),Assumptions!$D$7,"Other Services"))),"Other Services"))</f>
        <v/>
      </c>
    </row>
    <row r="354" customFormat="false" ht="15" hidden="false" customHeight="false" outlineLevel="0" collapsed="false">
      <c r="I354" s="41" t="str">
        <f aca="false">IF(F354="","",IFERROR(IF(ISNUMBER(SEARCH(Assumptions!$C$5,F354)),Assumptions!$D$5,IF(ISNUMBER(SEARCH(Assumptions!$C$6,F354)),Assumptions!$D$6,IF(ISNUMBER(SEARCH(Assumptions!$C$7,F354)),Assumptions!$D$7,"Other Services"))),"Other Services"))</f>
        <v/>
      </c>
    </row>
    <row r="355" customFormat="false" ht="15" hidden="false" customHeight="false" outlineLevel="0" collapsed="false">
      <c r="I355" s="41" t="str">
        <f aca="false">IF(F355="","",IFERROR(IF(ISNUMBER(SEARCH(Assumptions!$C$5,F355)),Assumptions!$D$5,IF(ISNUMBER(SEARCH(Assumptions!$C$6,F355)),Assumptions!$D$6,IF(ISNUMBER(SEARCH(Assumptions!$C$7,F355)),Assumptions!$D$7,"Other Services"))),"Other Services"))</f>
        <v/>
      </c>
    </row>
    <row r="356" customFormat="false" ht="15" hidden="false" customHeight="false" outlineLevel="0" collapsed="false">
      <c r="I356" s="41" t="str">
        <f aca="false">IF(F356="","",IFERROR(IF(ISNUMBER(SEARCH(Assumptions!$C$5,F356)),Assumptions!$D$5,IF(ISNUMBER(SEARCH(Assumptions!$C$6,F356)),Assumptions!$D$6,IF(ISNUMBER(SEARCH(Assumptions!$C$7,F356)),Assumptions!$D$7,"Other Services"))),"Other Services"))</f>
        <v/>
      </c>
    </row>
    <row r="357" customFormat="false" ht="15" hidden="false" customHeight="false" outlineLevel="0" collapsed="false">
      <c r="I357" s="41" t="str">
        <f aca="false">IF(F357="","",IFERROR(IF(ISNUMBER(SEARCH(Assumptions!$C$5,F357)),Assumptions!$D$5,IF(ISNUMBER(SEARCH(Assumptions!$C$6,F357)),Assumptions!$D$6,IF(ISNUMBER(SEARCH(Assumptions!$C$7,F357)),Assumptions!$D$7,"Other Services"))),"Other Services"))</f>
        <v/>
      </c>
    </row>
    <row r="358" customFormat="false" ht="15" hidden="false" customHeight="false" outlineLevel="0" collapsed="false">
      <c r="I358" s="41" t="str">
        <f aca="false">IF(F358="","",IFERROR(IF(ISNUMBER(SEARCH(Assumptions!$C$5,F358)),Assumptions!$D$5,IF(ISNUMBER(SEARCH(Assumptions!$C$6,F358)),Assumptions!$D$6,IF(ISNUMBER(SEARCH(Assumptions!$C$7,F358)),Assumptions!$D$7,"Other Services"))),"Other Services"))</f>
        <v/>
      </c>
    </row>
    <row r="359" customFormat="false" ht="15" hidden="false" customHeight="false" outlineLevel="0" collapsed="false">
      <c r="I359" s="41" t="str">
        <f aca="false">IF(F359="","",IFERROR(IF(ISNUMBER(SEARCH(Assumptions!$C$5,F359)),Assumptions!$D$5,IF(ISNUMBER(SEARCH(Assumptions!$C$6,F359)),Assumptions!$D$6,IF(ISNUMBER(SEARCH(Assumptions!$C$7,F359)),Assumptions!$D$7,"Other Services"))),"Other Services"))</f>
        <v/>
      </c>
    </row>
    <row r="360" customFormat="false" ht="15" hidden="false" customHeight="false" outlineLevel="0" collapsed="false">
      <c r="I360" s="41" t="str">
        <f aca="false">IF(F360="","",IFERROR(IF(ISNUMBER(SEARCH(Assumptions!$C$5,F360)),Assumptions!$D$5,IF(ISNUMBER(SEARCH(Assumptions!$C$6,F360)),Assumptions!$D$6,IF(ISNUMBER(SEARCH(Assumptions!$C$7,F360)),Assumptions!$D$7,"Other Services"))),"Other Services"))</f>
        <v/>
      </c>
    </row>
    <row r="361" customFormat="false" ht="15" hidden="false" customHeight="false" outlineLevel="0" collapsed="false">
      <c r="I361" s="41" t="str">
        <f aca="false">IF(F361="","",IFERROR(IF(ISNUMBER(SEARCH(Assumptions!$C$5,F361)),Assumptions!$D$5,IF(ISNUMBER(SEARCH(Assumptions!$C$6,F361)),Assumptions!$D$6,IF(ISNUMBER(SEARCH(Assumptions!$C$7,F361)),Assumptions!$D$7,"Other Services"))),"Other Services"))</f>
        <v/>
      </c>
    </row>
    <row r="362" customFormat="false" ht="15" hidden="false" customHeight="false" outlineLevel="0" collapsed="false">
      <c r="I362" s="41" t="str">
        <f aca="false">IF(F362="","",IFERROR(IF(ISNUMBER(SEARCH(Assumptions!$C$5,F362)),Assumptions!$D$5,IF(ISNUMBER(SEARCH(Assumptions!$C$6,F362)),Assumptions!$D$6,IF(ISNUMBER(SEARCH(Assumptions!$C$7,F362)),Assumptions!$D$7,"Other Services"))),"Other Services"))</f>
        <v/>
      </c>
    </row>
    <row r="363" customFormat="false" ht="15" hidden="false" customHeight="false" outlineLevel="0" collapsed="false">
      <c r="I363" s="41" t="str">
        <f aca="false">IF(F363="","",IFERROR(IF(ISNUMBER(SEARCH(Assumptions!$C$5,F363)),Assumptions!$D$5,IF(ISNUMBER(SEARCH(Assumptions!$C$6,F363)),Assumptions!$D$6,IF(ISNUMBER(SEARCH(Assumptions!$C$7,F363)),Assumptions!$D$7,"Other Services"))),"Other Services"))</f>
        <v/>
      </c>
    </row>
    <row r="364" customFormat="false" ht="15" hidden="false" customHeight="false" outlineLevel="0" collapsed="false">
      <c r="I364" s="41" t="str">
        <f aca="false">IF(F364="","",IFERROR(IF(ISNUMBER(SEARCH(Assumptions!$C$5,F364)),Assumptions!$D$5,IF(ISNUMBER(SEARCH(Assumptions!$C$6,F364)),Assumptions!$D$6,IF(ISNUMBER(SEARCH(Assumptions!$C$7,F364)),Assumptions!$D$7,"Other Services"))),"Other Services"))</f>
        <v/>
      </c>
    </row>
    <row r="365" customFormat="false" ht="15" hidden="false" customHeight="false" outlineLevel="0" collapsed="false">
      <c r="I365" s="41" t="str">
        <f aca="false">IF(F365="","",IFERROR(IF(ISNUMBER(SEARCH(Assumptions!$C$5,F365)),Assumptions!$D$5,IF(ISNUMBER(SEARCH(Assumptions!$C$6,F365)),Assumptions!$D$6,IF(ISNUMBER(SEARCH(Assumptions!$C$7,F365)),Assumptions!$D$7,"Other Services"))),"Other Services"))</f>
        <v/>
      </c>
    </row>
    <row r="366" customFormat="false" ht="15" hidden="false" customHeight="false" outlineLevel="0" collapsed="false">
      <c r="I366" s="41" t="str">
        <f aca="false">IF(F366="","",IFERROR(IF(ISNUMBER(SEARCH(Assumptions!$C$5,F366)),Assumptions!$D$5,IF(ISNUMBER(SEARCH(Assumptions!$C$6,F366)),Assumptions!$D$6,IF(ISNUMBER(SEARCH(Assumptions!$C$7,F366)),Assumptions!$D$7,"Other Services"))),"Other Services"))</f>
        <v/>
      </c>
    </row>
    <row r="367" customFormat="false" ht="15" hidden="false" customHeight="false" outlineLevel="0" collapsed="false">
      <c r="I367" s="41" t="str">
        <f aca="false">IF(F367="","",IFERROR(IF(ISNUMBER(SEARCH(Assumptions!$C$5,F367)),Assumptions!$D$5,IF(ISNUMBER(SEARCH(Assumptions!$C$6,F367)),Assumptions!$D$6,IF(ISNUMBER(SEARCH(Assumptions!$C$7,F367)),Assumptions!$D$7,"Other Services"))),"Other Services"))</f>
        <v/>
      </c>
    </row>
    <row r="368" customFormat="false" ht="15" hidden="false" customHeight="false" outlineLevel="0" collapsed="false">
      <c r="I368" s="41" t="str">
        <f aca="false">IF(F368="","",IFERROR(IF(ISNUMBER(SEARCH(Assumptions!$C$5,F368)),Assumptions!$D$5,IF(ISNUMBER(SEARCH(Assumptions!$C$6,F368)),Assumptions!$D$6,IF(ISNUMBER(SEARCH(Assumptions!$C$7,F368)),Assumptions!$D$7,"Other Services"))),"Other Services"))</f>
        <v/>
      </c>
    </row>
    <row r="369" customFormat="false" ht="15" hidden="false" customHeight="false" outlineLevel="0" collapsed="false">
      <c r="I369" s="41" t="str">
        <f aca="false">IF(F369="","",IFERROR(IF(ISNUMBER(SEARCH(Assumptions!$C$5,F369)),Assumptions!$D$5,IF(ISNUMBER(SEARCH(Assumptions!$C$6,F369)),Assumptions!$D$6,IF(ISNUMBER(SEARCH(Assumptions!$C$7,F369)),Assumptions!$D$7,"Other Services"))),"Other Services"))</f>
        <v/>
      </c>
    </row>
    <row r="370" customFormat="false" ht="15" hidden="false" customHeight="false" outlineLevel="0" collapsed="false">
      <c r="I370" s="41" t="str">
        <f aca="false">IF(F370="","",IFERROR(IF(ISNUMBER(SEARCH(Assumptions!$C$5,F370)),Assumptions!$D$5,IF(ISNUMBER(SEARCH(Assumptions!$C$6,F370)),Assumptions!$D$6,IF(ISNUMBER(SEARCH(Assumptions!$C$7,F370)),Assumptions!$D$7,"Other Services"))),"Other Services"))</f>
        <v/>
      </c>
    </row>
    <row r="371" customFormat="false" ht="15" hidden="false" customHeight="false" outlineLevel="0" collapsed="false">
      <c r="I371" s="41" t="str">
        <f aca="false">IF(F371="","",IFERROR(IF(ISNUMBER(SEARCH(Assumptions!$C$5,F371)),Assumptions!$D$5,IF(ISNUMBER(SEARCH(Assumptions!$C$6,F371)),Assumptions!$D$6,IF(ISNUMBER(SEARCH(Assumptions!$C$7,F371)),Assumptions!$D$7,"Other Services"))),"Other Services"))</f>
        <v/>
      </c>
    </row>
    <row r="372" customFormat="false" ht="15" hidden="false" customHeight="false" outlineLevel="0" collapsed="false">
      <c r="I372" s="41" t="str">
        <f aca="false">IF(F372="","",IFERROR(IF(ISNUMBER(SEARCH(Assumptions!$C$5,F372)),Assumptions!$D$5,IF(ISNUMBER(SEARCH(Assumptions!$C$6,F372)),Assumptions!$D$6,IF(ISNUMBER(SEARCH(Assumptions!$C$7,F372)),Assumptions!$D$7,"Other Services"))),"Other Services"))</f>
        <v/>
      </c>
    </row>
    <row r="373" customFormat="false" ht="15" hidden="false" customHeight="false" outlineLevel="0" collapsed="false">
      <c r="I373" s="41" t="str">
        <f aca="false">IF(F373="","",IFERROR(IF(ISNUMBER(SEARCH(Assumptions!$C$5,F373)),Assumptions!$D$5,IF(ISNUMBER(SEARCH(Assumptions!$C$6,F373)),Assumptions!$D$6,IF(ISNUMBER(SEARCH(Assumptions!$C$7,F373)),Assumptions!$D$7,"Other Services"))),"Other Services"))</f>
        <v/>
      </c>
    </row>
    <row r="374" customFormat="false" ht="15" hidden="false" customHeight="false" outlineLevel="0" collapsed="false">
      <c r="I374" s="41" t="str">
        <f aca="false">IF(F374="","",IFERROR(IF(ISNUMBER(SEARCH(Assumptions!$C$5,F374)),Assumptions!$D$5,IF(ISNUMBER(SEARCH(Assumptions!$C$6,F374)),Assumptions!$D$6,IF(ISNUMBER(SEARCH(Assumptions!$C$7,F374)),Assumptions!$D$7,"Other Services"))),"Other Services"))</f>
        <v/>
      </c>
    </row>
    <row r="375" customFormat="false" ht="15" hidden="false" customHeight="false" outlineLevel="0" collapsed="false">
      <c r="I375" s="41" t="str">
        <f aca="false">IF(F375="","",IFERROR(IF(ISNUMBER(SEARCH(Assumptions!$C$5,F375)),Assumptions!$D$5,IF(ISNUMBER(SEARCH(Assumptions!$C$6,F375)),Assumptions!$D$6,IF(ISNUMBER(SEARCH(Assumptions!$C$7,F375)),Assumptions!$D$7,"Other Services"))),"Other Services"))</f>
        <v/>
      </c>
    </row>
    <row r="376" customFormat="false" ht="15" hidden="false" customHeight="false" outlineLevel="0" collapsed="false">
      <c r="I376" s="41" t="str">
        <f aca="false">IF(F376="","",IFERROR(IF(ISNUMBER(SEARCH(Assumptions!$C$5,F376)),Assumptions!$D$5,IF(ISNUMBER(SEARCH(Assumptions!$C$6,F376)),Assumptions!$D$6,IF(ISNUMBER(SEARCH(Assumptions!$C$7,F376)),Assumptions!$D$7,"Other Services"))),"Other Services"))</f>
        <v/>
      </c>
    </row>
    <row r="377" customFormat="false" ht="15" hidden="false" customHeight="false" outlineLevel="0" collapsed="false">
      <c r="I377" s="41" t="str">
        <f aca="false">IF(F377="","",IFERROR(IF(ISNUMBER(SEARCH(Assumptions!$C$5,F377)),Assumptions!$D$5,IF(ISNUMBER(SEARCH(Assumptions!$C$6,F377)),Assumptions!$D$6,IF(ISNUMBER(SEARCH(Assumptions!$C$7,F377)),Assumptions!$D$7,"Other Services"))),"Other Services"))</f>
        <v/>
      </c>
    </row>
    <row r="378" customFormat="false" ht="15" hidden="false" customHeight="false" outlineLevel="0" collapsed="false">
      <c r="I378" s="41" t="str">
        <f aca="false">IF(F378="","",IFERROR(IF(ISNUMBER(SEARCH(Assumptions!$C$5,F378)),Assumptions!$D$5,IF(ISNUMBER(SEARCH(Assumptions!$C$6,F378)),Assumptions!$D$6,IF(ISNUMBER(SEARCH(Assumptions!$C$7,F378)),Assumptions!$D$7,"Other Services"))),"Other Services"))</f>
        <v/>
      </c>
    </row>
    <row r="379" customFormat="false" ht="15" hidden="false" customHeight="false" outlineLevel="0" collapsed="false">
      <c r="I379" s="41" t="str">
        <f aca="false">IF(F379="","",IFERROR(IF(ISNUMBER(SEARCH(Assumptions!$C$5,F379)),Assumptions!$D$5,IF(ISNUMBER(SEARCH(Assumptions!$C$6,F379)),Assumptions!$D$6,IF(ISNUMBER(SEARCH(Assumptions!$C$7,F379)),Assumptions!$D$7,"Other Services"))),"Other Services"))</f>
        <v/>
      </c>
    </row>
    <row r="380" customFormat="false" ht="15" hidden="false" customHeight="false" outlineLevel="0" collapsed="false">
      <c r="I380" s="41" t="str">
        <f aca="false">IF(F380="","",IFERROR(IF(ISNUMBER(SEARCH(Assumptions!$C$5,F380)),Assumptions!$D$5,IF(ISNUMBER(SEARCH(Assumptions!$C$6,F380)),Assumptions!$D$6,IF(ISNUMBER(SEARCH(Assumptions!$C$7,F380)),Assumptions!$D$7,"Other Services"))),"Other Services"))</f>
        <v/>
      </c>
    </row>
    <row r="381" customFormat="false" ht="15" hidden="false" customHeight="false" outlineLevel="0" collapsed="false">
      <c r="I381" s="41" t="str">
        <f aca="false">IF(F381="","",IFERROR(IF(ISNUMBER(SEARCH(Assumptions!$C$5,F381)),Assumptions!$D$5,IF(ISNUMBER(SEARCH(Assumptions!$C$6,F381)),Assumptions!$D$6,IF(ISNUMBER(SEARCH(Assumptions!$C$7,F381)),Assumptions!$D$7,"Other Services"))),"Other Services"))</f>
        <v/>
      </c>
    </row>
    <row r="382" customFormat="false" ht="15" hidden="false" customHeight="false" outlineLevel="0" collapsed="false">
      <c r="I382" s="41" t="str">
        <f aca="false">IF(F382="","",IFERROR(IF(ISNUMBER(SEARCH(Assumptions!$C$5,F382)),Assumptions!$D$5,IF(ISNUMBER(SEARCH(Assumptions!$C$6,F382)),Assumptions!$D$6,IF(ISNUMBER(SEARCH(Assumptions!$C$7,F382)),Assumptions!$D$7,"Other Services"))),"Other Services"))</f>
        <v/>
      </c>
    </row>
    <row r="383" customFormat="false" ht="15" hidden="false" customHeight="false" outlineLevel="0" collapsed="false">
      <c r="I383" s="41" t="str">
        <f aca="false">IF(F383="","",IFERROR(IF(ISNUMBER(SEARCH(Assumptions!$C$5,F383)),Assumptions!$D$5,IF(ISNUMBER(SEARCH(Assumptions!$C$6,F383)),Assumptions!$D$6,IF(ISNUMBER(SEARCH(Assumptions!$C$7,F383)),Assumptions!$D$7,"Other Services"))),"Other Services"))</f>
        <v/>
      </c>
    </row>
    <row r="384" customFormat="false" ht="15" hidden="false" customHeight="false" outlineLevel="0" collapsed="false">
      <c r="I384" s="41" t="str">
        <f aca="false">IF(F384="","",IFERROR(IF(ISNUMBER(SEARCH(Assumptions!$C$5,F384)),Assumptions!$D$5,IF(ISNUMBER(SEARCH(Assumptions!$C$6,F384)),Assumptions!$D$6,IF(ISNUMBER(SEARCH(Assumptions!$C$7,F384)),Assumptions!$D$7,"Other Services"))),"Other Services"))</f>
        <v/>
      </c>
    </row>
    <row r="385" customFormat="false" ht="15" hidden="false" customHeight="false" outlineLevel="0" collapsed="false">
      <c r="I385" s="41" t="str">
        <f aca="false">IF(F385="","",IFERROR(IF(ISNUMBER(SEARCH(Assumptions!$C$5,F385)),Assumptions!$D$5,IF(ISNUMBER(SEARCH(Assumptions!$C$6,F385)),Assumptions!$D$6,IF(ISNUMBER(SEARCH(Assumptions!$C$7,F385)),Assumptions!$D$7,"Other Services"))),"Other Services"))</f>
        <v/>
      </c>
    </row>
    <row r="386" customFormat="false" ht="15" hidden="false" customHeight="false" outlineLevel="0" collapsed="false">
      <c r="I386" s="41" t="str">
        <f aca="false">IF(F386="","",IFERROR(IF(ISNUMBER(SEARCH(Assumptions!$C$5,F386)),Assumptions!$D$5,IF(ISNUMBER(SEARCH(Assumptions!$C$6,F386)),Assumptions!$D$6,IF(ISNUMBER(SEARCH(Assumptions!$C$7,F386)),Assumptions!$D$7,"Other Services"))),"Other Services"))</f>
        <v/>
      </c>
    </row>
    <row r="387" customFormat="false" ht="15" hidden="false" customHeight="false" outlineLevel="0" collapsed="false">
      <c r="I387" s="41" t="str">
        <f aca="false">IF(F387="","",IFERROR(IF(ISNUMBER(SEARCH(Assumptions!$C$5,F387)),Assumptions!$D$5,IF(ISNUMBER(SEARCH(Assumptions!$C$6,F387)),Assumptions!$D$6,IF(ISNUMBER(SEARCH(Assumptions!$C$7,F387)),Assumptions!$D$7,"Other Services"))),"Other Services"))</f>
        <v/>
      </c>
    </row>
    <row r="388" customFormat="false" ht="15" hidden="false" customHeight="false" outlineLevel="0" collapsed="false">
      <c r="I388" s="41" t="str">
        <f aca="false">IF(F388="","",IFERROR(IF(ISNUMBER(SEARCH(Assumptions!$C$5,F388)),Assumptions!$D$5,IF(ISNUMBER(SEARCH(Assumptions!$C$6,F388)),Assumptions!$D$6,IF(ISNUMBER(SEARCH(Assumptions!$C$7,F388)),Assumptions!$D$7,"Other Services"))),"Other Services"))</f>
        <v/>
      </c>
    </row>
    <row r="389" customFormat="false" ht="15" hidden="false" customHeight="false" outlineLevel="0" collapsed="false">
      <c r="I389" s="41" t="str">
        <f aca="false">IF(F389="","",IFERROR(IF(ISNUMBER(SEARCH(Assumptions!$C$5,F389)),Assumptions!$D$5,IF(ISNUMBER(SEARCH(Assumptions!$C$6,F389)),Assumptions!$D$6,IF(ISNUMBER(SEARCH(Assumptions!$C$7,F389)),Assumptions!$D$7,"Other Services"))),"Other Services"))</f>
        <v/>
      </c>
    </row>
    <row r="390" customFormat="false" ht="15" hidden="false" customHeight="false" outlineLevel="0" collapsed="false">
      <c r="I390" s="41" t="str">
        <f aca="false">IF(F390="","",IFERROR(IF(ISNUMBER(SEARCH(Assumptions!$C$5,F390)),Assumptions!$D$5,IF(ISNUMBER(SEARCH(Assumptions!$C$6,F390)),Assumptions!$D$6,IF(ISNUMBER(SEARCH(Assumptions!$C$7,F390)),Assumptions!$D$7,"Other Services"))),"Other Services"))</f>
        <v/>
      </c>
    </row>
    <row r="391" customFormat="false" ht="15" hidden="false" customHeight="false" outlineLevel="0" collapsed="false">
      <c r="I391" s="41" t="str">
        <f aca="false">IF(F391="","",IFERROR(IF(ISNUMBER(SEARCH(Assumptions!$C$5,F391)),Assumptions!$D$5,IF(ISNUMBER(SEARCH(Assumptions!$C$6,F391)),Assumptions!$D$6,IF(ISNUMBER(SEARCH(Assumptions!$C$7,F391)),Assumptions!$D$7,"Other Services"))),"Other Services"))</f>
        <v/>
      </c>
    </row>
    <row r="392" customFormat="false" ht="15" hidden="false" customHeight="false" outlineLevel="0" collapsed="false">
      <c r="I392" s="41" t="str">
        <f aca="false">IF(F392="","",IFERROR(IF(ISNUMBER(SEARCH(Assumptions!$C$5,F392)),Assumptions!$D$5,IF(ISNUMBER(SEARCH(Assumptions!$C$6,F392)),Assumptions!$D$6,IF(ISNUMBER(SEARCH(Assumptions!$C$7,F392)),Assumptions!$D$7,"Other Services"))),"Other Services"))</f>
        <v/>
      </c>
    </row>
    <row r="393" customFormat="false" ht="15" hidden="false" customHeight="false" outlineLevel="0" collapsed="false">
      <c r="I393" s="41" t="str">
        <f aca="false">IF(F393="","",IFERROR(IF(ISNUMBER(SEARCH(Assumptions!$C$5,F393)),Assumptions!$D$5,IF(ISNUMBER(SEARCH(Assumptions!$C$6,F393)),Assumptions!$D$6,IF(ISNUMBER(SEARCH(Assumptions!$C$7,F393)),Assumptions!$D$7,"Other Services"))),"Other Services"))</f>
        <v/>
      </c>
    </row>
    <row r="394" customFormat="false" ht="15" hidden="false" customHeight="false" outlineLevel="0" collapsed="false">
      <c r="I394" s="41" t="str">
        <f aca="false">IF(F394="","",IFERROR(IF(ISNUMBER(SEARCH(Assumptions!$C$5,F394)),Assumptions!$D$5,IF(ISNUMBER(SEARCH(Assumptions!$C$6,F394)),Assumptions!$D$6,IF(ISNUMBER(SEARCH(Assumptions!$C$7,F394)),Assumptions!$D$7,"Other Services"))),"Other Services"))</f>
        <v/>
      </c>
    </row>
    <row r="395" customFormat="false" ht="15" hidden="false" customHeight="false" outlineLevel="0" collapsed="false">
      <c r="I395" s="41" t="str">
        <f aca="false">IF(F395="","",IFERROR(IF(ISNUMBER(SEARCH(Assumptions!$C$5,F395)),Assumptions!$D$5,IF(ISNUMBER(SEARCH(Assumptions!$C$6,F395)),Assumptions!$D$6,IF(ISNUMBER(SEARCH(Assumptions!$C$7,F395)),Assumptions!$D$7,"Other Services"))),"Other Services"))</f>
        <v/>
      </c>
    </row>
    <row r="396" customFormat="false" ht="15" hidden="false" customHeight="false" outlineLevel="0" collapsed="false">
      <c r="I396" s="41" t="str">
        <f aca="false">IF(F396="","",IFERROR(IF(ISNUMBER(SEARCH(Assumptions!$C$5,F396)),Assumptions!$D$5,IF(ISNUMBER(SEARCH(Assumptions!$C$6,F396)),Assumptions!$D$6,IF(ISNUMBER(SEARCH(Assumptions!$C$7,F396)),Assumptions!$D$7,"Other Services"))),"Other Services"))</f>
        <v/>
      </c>
    </row>
    <row r="397" customFormat="false" ht="15" hidden="false" customHeight="false" outlineLevel="0" collapsed="false">
      <c r="I397" s="41" t="str">
        <f aca="false">IF(F397="","",IFERROR(IF(ISNUMBER(SEARCH(Assumptions!$C$5,F397)),Assumptions!$D$5,IF(ISNUMBER(SEARCH(Assumptions!$C$6,F397)),Assumptions!$D$6,IF(ISNUMBER(SEARCH(Assumptions!$C$7,F397)),Assumptions!$D$7,"Other Services"))),"Other Services"))</f>
        <v/>
      </c>
    </row>
    <row r="398" customFormat="false" ht="15" hidden="false" customHeight="false" outlineLevel="0" collapsed="false">
      <c r="I398" s="41" t="str">
        <f aca="false">IF(F398="","",IFERROR(IF(ISNUMBER(SEARCH(Assumptions!$C$5,F398)),Assumptions!$D$5,IF(ISNUMBER(SEARCH(Assumptions!$C$6,F398)),Assumptions!$D$6,IF(ISNUMBER(SEARCH(Assumptions!$C$7,F398)),Assumptions!$D$7,"Other Services"))),"Other Services"))</f>
        <v/>
      </c>
    </row>
    <row r="399" customFormat="false" ht="15" hidden="false" customHeight="false" outlineLevel="0" collapsed="false">
      <c r="I399" s="41" t="str">
        <f aca="false">IF(F399="","",IFERROR(IF(ISNUMBER(SEARCH(Assumptions!$C$5,F399)),Assumptions!$D$5,IF(ISNUMBER(SEARCH(Assumptions!$C$6,F399)),Assumptions!$D$6,IF(ISNUMBER(SEARCH(Assumptions!$C$7,F399)),Assumptions!$D$7,"Other Services"))),"Other Services"))</f>
        <v/>
      </c>
    </row>
    <row r="400" customFormat="false" ht="15" hidden="false" customHeight="false" outlineLevel="0" collapsed="false">
      <c r="I400" s="41" t="str">
        <f aca="false">IF(F400="","",IFERROR(IF(ISNUMBER(SEARCH(Assumptions!$C$5,F400)),Assumptions!$D$5,IF(ISNUMBER(SEARCH(Assumptions!$C$6,F400)),Assumptions!$D$6,IF(ISNUMBER(SEARCH(Assumptions!$C$7,F400)),Assumptions!$D$7,"Other Services"))),"Other Services"))</f>
        <v/>
      </c>
    </row>
    <row r="401" customFormat="false" ht="15" hidden="false" customHeight="false" outlineLevel="0" collapsed="false">
      <c r="I401" s="41" t="str">
        <f aca="false">IF(F401="","",IFERROR(IF(ISNUMBER(SEARCH(Assumptions!$C$5,F401)),Assumptions!$D$5,IF(ISNUMBER(SEARCH(Assumptions!$C$6,F401)),Assumptions!$D$6,IF(ISNUMBER(SEARCH(Assumptions!$C$7,F401)),Assumptions!$D$7,"Other Services"))),"Other Services"))</f>
        <v/>
      </c>
    </row>
    <row r="402" customFormat="false" ht="15" hidden="false" customHeight="false" outlineLevel="0" collapsed="false">
      <c r="I402" s="41" t="str">
        <f aca="false">IF(F402="","",IFERROR(IF(ISNUMBER(SEARCH(Assumptions!$C$5,F402)),Assumptions!$D$5,IF(ISNUMBER(SEARCH(Assumptions!$C$6,F402)),Assumptions!$D$6,IF(ISNUMBER(SEARCH(Assumptions!$C$7,F402)),Assumptions!$D$7,"Other Services"))),"Other Services"))</f>
        <v/>
      </c>
    </row>
    <row r="403" customFormat="false" ht="15" hidden="false" customHeight="false" outlineLevel="0" collapsed="false">
      <c r="I403" s="41" t="str">
        <f aca="false">IF(F403="","",IFERROR(IF(ISNUMBER(SEARCH(Assumptions!$C$5,F403)),Assumptions!$D$5,IF(ISNUMBER(SEARCH(Assumptions!$C$6,F403)),Assumptions!$D$6,IF(ISNUMBER(SEARCH(Assumptions!$C$7,F403)),Assumptions!$D$7,"Other Services"))),"Other Services"))</f>
        <v/>
      </c>
    </row>
    <row r="404" customFormat="false" ht="15" hidden="false" customHeight="false" outlineLevel="0" collapsed="false">
      <c r="I404" s="41" t="str">
        <f aca="false">IF(F404="","",IFERROR(IF(ISNUMBER(SEARCH(Assumptions!$C$5,F404)),Assumptions!$D$5,IF(ISNUMBER(SEARCH(Assumptions!$C$6,F404)),Assumptions!$D$6,IF(ISNUMBER(SEARCH(Assumptions!$C$7,F404)),Assumptions!$D$7,"Other Services"))),"Other Services"))</f>
        <v/>
      </c>
    </row>
    <row r="405" customFormat="false" ht="15" hidden="false" customHeight="false" outlineLevel="0" collapsed="false">
      <c r="I405" s="41" t="str">
        <f aca="false">IF(F405="","",IFERROR(IF(ISNUMBER(SEARCH(Assumptions!$C$5,F405)),Assumptions!$D$5,IF(ISNUMBER(SEARCH(Assumptions!$C$6,F405)),Assumptions!$D$6,IF(ISNUMBER(SEARCH(Assumptions!$C$7,F405)),Assumptions!$D$7,"Other Services"))),"Other Services"))</f>
        <v/>
      </c>
    </row>
    <row r="406" customFormat="false" ht="15" hidden="false" customHeight="false" outlineLevel="0" collapsed="false">
      <c r="I406" s="41" t="str">
        <f aca="false">IF(F406="","",IFERROR(IF(ISNUMBER(SEARCH(Assumptions!$C$5,F406)),Assumptions!$D$5,IF(ISNUMBER(SEARCH(Assumptions!$C$6,F406)),Assumptions!$D$6,IF(ISNUMBER(SEARCH(Assumptions!$C$7,F406)),Assumptions!$D$7,"Other Services"))),"Other Services"))</f>
        <v/>
      </c>
    </row>
    <row r="407" customFormat="false" ht="15" hidden="false" customHeight="false" outlineLevel="0" collapsed="false">
      <c r="I407" s="41" t="str">
        <f aca="false">IF(F407="","",IFERROR(IF(ISNUMBER(SEARCH(Assumptions!$C$5,F407)),Assumptions!$D$5,IF(ISNUMBER(SEARCH(Assumptions!$C$6,F407)),Assumptions!$D$6,IF(ISNUMBER(SEARCH(Assumptions!$C$7,F407)),Assumptions!$D$7,"Other Services"))),"Other Services"))</f>
        <v/>
      </c>
    </row>
    <row r="408" customFormat="false" ht="15" hidden="false" customHeight="false" outlineLevel="0" collapsed="false">
      <c r="I408" s="41" t="str">
        <f aca="false">IF(F408="","",IFERROR(IF(ISNUMBER(SEARCH(Assumptions!$C$5,F408)),Assumptions!$D$5,IF(ISNUMBER(SEARCH(Assumptions!$C$6,F408)),Assumptions!$D$6,IF(ISNUMBER(SEARCH(Assumptions!$C$7,F408)),Assumptions!$D$7,"Other Services"))),"Other Services"))</f>
        <v/>
      </c>
    </row>
    <row r="409" customFormat="false" ht="15" hidden="false" customHeight="false" outlineLevel="0" collapsed="false">
      <c r="I409" s="41" t="str">
        <f aca="false">IF(F409="","",IFERROR(IF(ISNUMBER(SEARCH(Assumptions!$C$5,F409)),Assumptions!$D$5,IF(ISNUMBER(SEARCH(Assumptions!$C$6,F409)),Assumptions!$D$6,IF(ISNUMBER(SEARCH(Assumptions!$C$7,F409)),Assumptions!$D$7,"Other Services"))),"Other Services"))</f>
        <v/>
      </c>
    </row>
    <row r="410" customFormat="false" ht="15" hidden="false" customHeight="false" outlineLevel="0" collapsed="false">
      <c r="I410" s="41" t="str">
        <f aca="false">IF(F410="","",IFERROR(IF(ISNUMBER(SEARCH(Assumptions!$C$5,F410)),Assumptions!$D$5,IF(ISNUMBER(SEARCH(Assumptions!$C$6,F410)),Assumptions!$D$6,IF(ISNUMBER(SEARCH(Assumptions!$C$7,F410)),Assumptions!$D$7,"Other Services"))),"Other Services"))</f>
        <v/>
      </c>
    </row>
    <row r="411" customFormat="false" ht="15" hidden="false" customHeight="false" outlineLevel="0" collapsed="false">
      <c r="I411" s="41" t="str">
        <f aca="false">IF(F411="","",IFERROR(IF(ISNUMBER(SEARCH(Assumptions!$C$5,F411)),Assumptions!$D$5,IF(ISNUMBER(SEARCH(Assumptions!$C$6,F411)),Assumptions!$D$6,IF(ISNUMBER(SEARCH(Assumptions!$C$7,F411)),Assumptions!$D$7,"Other Services"))),"Other Services"))</f>
        <v/>
      </c>
    </row>
    <row r="412" customFormat="false" ht="15" hidden="false" customHeight="false" outlineLevel="0" collapsed="false">
      <c r="I412" s="41" t="str">
        <f aca="false">IF(F412="","",IFERROR(IF(ISNUMBER(SEARCH(Assumptions!$C$5,F412)),Assumptions!$D$5,IF(ISNUMBER(SEARCH(Assumptions!$C$6,F412)),Assumptions!$D$6,IF(ISNUMBER(SEARCH(Assumptions!$C$7,F412)),Assumptions!$D$7,"Other Services"))),"Other Services"))</f>
        <v/>
      </c>
    </row>
    <row r="413" customFormat="false" ht="15" hidden="false" customHeight="false" outlineLevel="0" collapsed="false">
      <c r="I413" s="41" t="str">
        <f aca="false">IF(F413="","",IFERROR(IF(ISNUMBER(SEARCH(Assumptions!$C$5,F413)),Assumptions!$D$5,IF(ISNUMBER(SEARCH(Assumptions!$C$6,F413)),Assumptions!$D$6,IF(ISNUMBER(SEARCH(Assumptions!$C$7,F413)),Assumptions!$D$7,"Other Services"))),"Other Services"))</f>
        <v/>
      </c>
    </row>
    <row r="414" customFormat="false" ht="15" hidden="false" customHeight="false" outlineLevel="0" collapsed="false">
      <c r="I414" s="41" t="str">
        <f aca="false">IF(F414="","",IFERROR(IF(ISNUMBER(SEARCH(Assumptions!$C$5,F414)),Assumptions!$D$5,IF(ISNUMBER(SEARCH(Assumptions!$C$6,F414)),Assumptions!$D$6,IF(ISNUMBER(SEARCH(Assumptions!$C$7,F414)),Assumptions!$D$7,"Other Services"))),"Other Services"))</f>
        <v/>
      </c>
    </row>
    <row r="415" customFormat="false" ht="15" hidden="false" customHeight="false" outlineLevel="0" collapsed="false">
      <c r="I415" s="41" t="str">
        <f aca="false">IF(F415="","",IFERROR(IF(ISNUMBER(SEARCH(Assumptions!$C$5,F415)),Assumptions!$D$5,IF(ISNUMBER(SEARCH(Assumptions!$C$6,F415)),Assumptions!$D$6,IF(ISNUMBER(SEARCH(Assumptions!$C$7,F415)),Assumptions!$D$7,"Other Services"))),"Other Services"))</f>
        <v/>
      </c>
    </row>
    <row r="416" customFormat="false" ht="15" hidden="false" customHeight="false" outlineLevel="0" collapsed="false">
      <c r="I416" s="41" t="str">
        <f aca="false">IF(F416="","",IFERROR(IF(ISNUMBER(SEARCH(Assumptions!$C$5,F416)),Assumptions!$D$5,IF(ISNUMBER(SEARCH(Assumptions!$C$6,F416)),Assumptions!$D$6,IF(ISNUMBER(SEARCH(Assumptions!$C$7,F416)),Assumptions!$D$7,"Other Services"))),"Other Services"))</f>
        <v/>
      </c>
    </row>
    <row r="417" customFormat="false" ht="15" hidden="false" customHeight="false" outlineLevel="0" collapsed="false">
      <c r="I417" s="41" t="str">
        <f aca="false">IF(F417="","",IFERROR(IF(ISNUMBER(SEARCH(Assumptions!$C$5,F417)),Assumptions!$D$5,IF(ISNUMBER(SEARCH(Assumptions!$C$6,F417)),Assumptions!$D$6,IF(ISNUMBER(SEARCH(Assumptions!$C$7,F417)),Assumptions!$D$7,"Other Services"))),"Other Services"))</f>
        <v/>
      </c>
    </row>
    <row r="418" customFormat="false" ht="15" hidden="false" customHeight="false" outlineLevel="0" collapsed="false">
      <c r="I418" s="41" t="str">
        <f aca="false">IF(F418="","",IFERROR(IF(ISNUMBER(SEARCH(Assumptions!$C$5,F418)),Assumptions!$D$5,IF(ISNUMBER(SEARCH(Assumptions!$C$6,F418)),Assumptions!$D$6,IF(ISNUMBER(SEARCH(Assumptions!$C$7,F418)),Assumptions!$D$7,"Other Services"))),"Other Services"))</f>
        <v/>
      </c>
    </row>
    <row r="419" customFormat="false" ht="15" hidden="false" customHeight="false" outlineLevel="0" collapsed="false">
      <c r="I419" s="41" t="str">
        <f aca="false">IF(F419="","",IFERROR(IF(ISNUMBER(SEARCH(Assumptions!$C$5,F419)),Assumptions!$D$5,IF(ISNUMBER(SEARCH(Assumptions!$C$6,F419)),Assumptions!$D$6,IF(ISNUMBER(SEARCH(Assumptions!$C$7,F419)),Assumptions!$D$7,"Other Services"))),"Other Services"))</f>
        <v/>
      </c>
    </row>
    <row r="420" customFormat="false" ht="15" hidden="false" customHeight="false" outlineLevel="0" collapsed="false">
      <c r="I420" s="41" t="str">
        <f aca="false">IF(F420="","",IFERROR(IF(ISNUMBER(SEARCH(Assumptions!$C$5,F420)),Assumptions!$D$5,IF(ISNUMBER(SEARCH(Assumptions!$C$6,F420)),Assumptions!$D$6,IF(ISNUMBER(SEARCH(Assumptions!$C$7,F420)),Assumptions!$D$7,"Other Services"))),"Other Services"))</f>
        <v/>
      </c>
    </row>
    <row r="421" customFormat="false" ht="15" hidden="false" customHeight="false" outlineLevel="0" collapsed="false">
      <c r="I421" s="41" t="str">
        <f aca="false">IF(F421="","",IFERROR(IF(ISNUMBER(SEARCH(Assumptions!$C$5,F421)),Assumptions!$D$5,IF(ISNUMBER(SEARCH(Assumptions!$C$6,F421)),Assumptions!$D$6,IF(ISNUMBER(SEARCH(Assumptions!$C$7,F421)),Assumptions!$D$7,"Other Services"))),"Other Services"))</f>
        <v/>
      </c>
    </row>
    <row r="422" customFormat="false" ht="15" hidden="false" customHeight="false" outlineLevel="0" collapsed="false">
      <c r="I422" s="41" t="str">
        <f aca="false">IF(F422="","",IFERROR(IF(ISNUMBER(SEARCH(Assumptions!$C$5,F422)),Assumptions!$D$5,IF(ISNUMBER(SEARCH(Assumptions!$C$6,F422)),Assumptions!$D$6,IF(ISNUMBER(SEARCH(Assumptions!$C$7,F422)),Assumptions!$D$7,"Other Services"))),"Other Services"))</f>
        <v/>
      </c>
    </row>
    <row r="423" customFormat="false" ht="15" hidden="false" customHeight="false" outlineLevel="0" collapsed="false">
      <c r="I423" s="41" t="str">
        <f aca="false">IF(F423="","",IFERROR(IF(ISNUMBER(SEARCH(Assumptions!$C$5,F423)),Assumptions!$D$5,IF(ISNUMBER(SEARCH(Assumptions!$C$6,F423)),Assumptions!$D$6,IF(ISNUMBER(SEARCH(Assumptions!$C$7,F423)),Assumptions!$D$7,"Other Services"))),"Other Services"))</f>
        <v/>
      </c>
    </row>
    <row r="424" customFormat="false" ht="15" hidden="false" customHeight="false" outlineLevel="0" collapsed="false">
      <c r="I424" s="41" t="str">
        <f aca="false">IF(F424="","",IFERROR(IF(ISNUMBER(SEARCH(Assumptions!$C$5,F424)),Assumptions!$D$5,IF(ISNUMBER(SEARCH(Assumptions!$C$6,F424)),Assumptions!$D$6,IF(ISNUMBER(SEARCH(Assumptions!$C$7,F424)),Assumptions!$D$7,"Other Services"))),"Other Services"))</f>
        <v/>
      </c>
    </row>
    <row r="425" customFormat="false" ht="15" hidden="false" customHeight="false" outlineLevel="0" collapsed="false">
      <c r="I425" s="41" t="str">
        <f aca="false">IF(F425="","",IFERROR(IF(ISNUMBER(SEARCH(Assumptions!$C$5,F425)),Assumptions!$D$5,IF(ISNUMBER(SEARCH(Assumptions!$C$6,F425)),Assumptions!$D$6,IF(ISNUMBER(SEARCH(Assumptions!$C$7,F425)),Assumptions!$D$7,"Other Services"))),"Other Services"))</f>
        <v/>
      </c>
    </row>
    <row r="426" customFormat="false" ht="15" hidden="false" customHeight="false" outlineLevel="0" collapsed="false">
      <c r="I426" s="41" t="str">
        <f aca="false">IF(F426="","",IFERROR(IF(ISNUMBER(SEARCH(Assumptions!$C$5,F426)),Assumptions!$D$5,IF(ISNUMBER(SEARCH(Assumptions!$C$6,F426)),Assumptions!$D$6,IF(ISNUMBER(SEARCH(Assumptions!$C$7,F426)),Assumptions!$D$7,"Other Services"))),"Other Services"))</f>
        <v/>
      </c>
    </row>
    <row r="427" customFormat="false" ht="15" hidden="false" customHeight="false" outlineLevel="0" collapsed="false">
      <c r="I427" s="41" t="str">
        <f aca="false">IF(F427="","",IFERROR(IF(ISNUMBER(SEARCH(Assumptions!$C$5,F427)),Assumptions!$D$5,IF(ISNUMBER(SEARCH(Assumptions!$C$6,F427)),Assumptions!$D$6,IF(ISNUMBER(SEARCH(Assumptions!$C$7,F427)),Assumptions!$D$7,"Other Services"))),"Other Services"))</f>
        <v/>
      </c>
    </row>
    <row r="428" customFormat="false" ht="15" hidden="false" customHeight="false" outlineLevel="0" collapsed="false">
      <c r="I428" s="41" t="str">
        <f aca="false">IF(F428="","",IFERROR(IF(ISNUMBER(SEARCH(Assumptions!$C$5,F428)),Assumptions!$D$5,IF(ISNUMBER(SEARCH(Assumptions!$C$6,F428)),Assumptions!$D$6,IF(ISNUMBER(SEARCH(Assumptions!$C$7,F428)),Assumptions!$D$7,"Other Services"))),"Other Services"))</f>
        <v/>
      </c>
    </row>
    <row r="429" customFormat="false" ht="15" hidden="false" customHeight="false" outlineLevel="0" collapsed="false">
      <c r="I429" s="41" t="str">
        <f aca="false">IF(F429="","",IFERROR(IF(ISNUMBER(SEARCH(Assumptions!$C$5,F429)),Assumptions!$D$5,IF(ISNUMBER(SEARCH(Assumptions!$C$6,F429)),Assumptions!$D$6,IF(ISNUMBER(SEARCH(Assumptions!$C$7,F429)),Assumptions!$D$7,"Other Services"))),"Other Services"))</f>
        <v/>
      </c>
    </row>
    <row r="430" customFormat="false" ht="15" hidden="false" customHeight="false" outlineLevel="0" collapsed="false">
      <c r="I430" s="41" t="str">
        <f aca="false">IF(F430="","",IFERROR(IF(ISNUMBER(SEARCH(Assumptions!$C$5,F430)),Assumptions!$D$5,IF(ISNUMBER(SEARCH(Assumptions!$C$6,F430)),Assumptions!$D$6,IF(ISNUMBER(SEARCH(Assumptions!$C$7,F430)),Assumptions!$D$7,"Other Services"))),"Other Services"))</f>
        <v/>
      </c>
    </row>
    <row r="431" customFormat="false" ht="15" hidden="false" customHeight="false" outlineLevel="0" collapsed="false">
      <c r="I431" s="41" t="str">
        <f aca="false">IF(F431="","",IFERROR(IF(ISNUMBER(SEARCH(Assumptions!$C$5,F431)),Assumptions!$D$5,IF(ISNUMBER(SEARCH(Assumptions!$C$6,F431)),Assumptions!$D$6,IF(ISNUMBER(SEARCH(Assumptions!$C$7,F431)),Assumptions!$D$7,"Other Services"))),"Other Services"))</f>
        <v/>
      </c>
    </row>
    <row r="432" customFormat="false" ht="15" hidden="false" customHeight="false" outlineLevel="0" collapsed="false">
      <c r="I432" s="41" t="str">
        <f aca="false">IF(F432="","",IFERROR(IF(ISNUMBER(SEARCH(Assumptions!$C$5,F432)),Assumptions!$D$5,IF(ISNUMBER(SEARCH(Assumptions!$C$6,F432)),Assumptions!$D$6,IF(ISNUMBER(SEARCH(Assumptions!$C$7,F432)),Assumptions!$D$7,"Other Services"))),"Other Services"))</f>
        <v/>
      </c>
    </row>
    <row r="433" customFormat="false" ht="15" hidden="false" customHeight="false" outlineLevel="0" collapsed="false">
      <c r="I433" s="41" t="str">
        <f aca="false">IF(F433="","",IFERROR(IF(ISNUMBER(SEARCH(Assumptions!$C$5,F433)),Assumptions!$D$5,IF(ISNUMBER(SEARCH(Assumptions!$C$6,F433)),Assumptions!$D$6,IF(ISNUMBER(SEARCH(Assumptions!$C$7,F433)),Assumptions!$D$7,"Other Services"))),"Other Services"))</f>
        <v/>
      </c>
    </row>
    <row r="434" customFormat="false" ht="15" hidden="false" customHeight="false" outlineLevel="0" collapsed="false">
      <c r="I434" s="41" t="str">
        <f aca="false">IF(F434="","",IFERROR(IF(ISNUMBER(SEARCH(Assumptions!$C$5,F434)),Assumptions!$D$5,IF(ISNUMBER(SEARCH(Assumptions!$C$6,F434)),Assumptions!$D$6,IF(ISNUMBER(SEARCH(Assumptions!$C$7,F434)),Assumptions!$D$7,"Other Services"))),"Other Services"))</f>
        <v/>
      </c>
    </row>
    <row r="435" customFormat="false" ht="15" hidden="false" customHeight="false" outlineLevel="0" collapsed="false">
      <c r="I435" s="41" t="str">
        <f aca="false">IF(F435="","",IFERROR(IF(ISNUMBER(SEARCH(Assumptions!$C$5,F435)),Assumptions!$D$5,IF(ISNUMBER(SEARCH(Assumptions!$C$6,F435)),Assumptions!$D$6,IF(ISNUMBER(SEARCH(Assumptions!$C$7,F435)),Assumptions!$D$7,"Other Services"))),"Other Services"))</f>
        <v/>
      </c>
    </row>
    <row r="436" customFormat="false" ht="15" hidden="false" customHeight="false" outlineLevel="0" collapsed="false">
      <c r="I436" s="41" t="str">
        <f aca="false">IF(F436="","",IFERROR(IF(ISNUMBER(SEARCH(Assumptions!$C$5,F436)),Assumptions!$D$5,IF(ISNUMBER(SEARCH(Assumptions!$C$6,F436)),Assumptions!$D$6,IF(ISNUMBER(SEARCH(Assumptions!$C$7,F436)),Assumptions!$D$7,"Other Services"))),"Other Services"))</f>
        <v/>
      </c>
    </row>
    <row r="437" customFormat="false" ht="15" hidden="false" customHeight="false" outlineLevel="0" collapsed="false">
      <c r="I437" s="41" t="str">
        <f aca="false">IF(F437="","",IFERROR(IF(ISNUMBER(SEARCH(Assumptions!$C$5,F437)),Assumptions!$D$5,IF(ISNUMBER(SEARCH(Assumptions!$C$6,F437)),Assumptions!$D$6,IF(ISNUMBER(SEARCH(Assumptions!$C$7,F437)),Assumptions!$D$7,"Other Services"))),"Other Services"))</f>
        <v/>
      </c>
    </row>
    <row r="438" customFormat="false" ht="15" hidden="false" customHeight="false" outlineLevel="0" collapsed="false">
      <c r="I438" s="41" t="str">
        <f aca="false">IF(F438="","",IFERROR(IF(ISNUMBER(SEARCH(Assumptions!$C$5,F438)),Assumptions!$D$5,IF(ISNUMBER(SEARCH(Assumptions!$C$6,F438)),Assumptions!$D$6,IF(ISNUMBER(SEARCH(Assumptions!$C$7,F438)),Assumptions!$D$7,"Other Services"))),"Other Services"))</f>
        <v/>
      </c>
    </row>
    <row r="439" customFormat="false" ht="15" hidden="false" customHeight="false" outlineLevel="0" collapsed="false">
      <c r="I439" s="41" t="str">
        <f aca="false">IF(F439="","",IFERROR(IF(ISNUMBER(SEARCH(Assumptions!$C$5,F439)),Assumptions!$D$5,IF(ISNUMBER(SEARCH(Assumptions!$C$6,F439)),Assumptions!$D$6,IF(ISNUMBER(SEARCH(Assumptions!$C$7,F439)),Assumptions!$D$7,"Other Services"))),"Other Services"))</f>
        <v/>
      </c>
    </row>
    <row r="440" customFormat="false" ht="15" hidden="false" customHeight="false" outlineLevel="0" collapsed="false">
      <c r="I440" s="41" t="str">
        <f aca="false">IF(F440="","",IFERROR(IF(ISNUMBER(SEARCH(Assumptions!$C$5,F440)),Assumptions!$D$5,IF(ISNUMBER(SEARCH(Assumptions!$C$6,F440)),Assumptions!$D$6,IF(ISNUMBER(SEARCH(Assumptions!$C$7,F440)),Assumptions!$D$7,"Other Services"))),"Other Services"))</f>
        <v/>
      </c>
    </row>
    <row r="441" customFormat="false" ht="15" hidden="false" customHeight="false" outlineLevel="0" collapsed="false">
      <c r="I441" s="41" t="str">
        <f aca="false">IF(F441="","",IFERROR(IF(ISNUMBER(SEARCH(Assumptions!$C$5,F441)),Assumptions!$D$5,IF(ISNUMBER(SEARCH(Assumptions!$C$6,F441)),Assumptions!$D$6,IF(ISNUMBER(SEARCH(Assumptions!$C$7,F441)),Assumptions!$D$7,"Other Services"))),"Other Services"))</f>
        <v/>
      </c>
    </row>
    <row r="442" customFormat="false" ht="15" hidden="false" customHeight="false" outlineLevel="0" collapsed="false">
      <c r="I442" s="41" t="str">
        <f aca="false">IF(F442="","",IFERROR(IF(ISNUMBER(SEARCH(Assumptions!$C$5,F442)),Assumptions!$D$5,IF(ISNUMBER(SEARCH(Assumptions!$C$6,F442)),Assumptions!$D$6,IF(ISNUMBER(SEARCH(Assumptions!$C$7,F442)),Assumptions!$D$7,"Other Services"))),"Other Services"))</f>
        <v/>
      </c>
    </row>
    <row r="443" customFormat="false" ht="15" hidden="false" customHeight="false" outlineLevel="0" collapsed="false">
      <c r="I443" s="41" t="str">
        <f aca="false">IF(F443="","",IFERROR(IF(ISNUMBER(SEARCH(Assumptions!$C$5,F443)),Assumptions!$D$5,IF(ISNUMBER(SEARCH(Assumptions!$C$6,F443)),Assumptions!$D$6,IF(ISNUMBER(SEARCH(Assumptions!$C$7,F443)),Assumptions!$D$7,"Other Services"))),"Other Services"))</f>
        <v/>
      </c>
    </row>
    <row r="444" customFormat="false" ht="15" hidden="false" customHeight="false" outlineLevel="0" collapsed="false">
      <c r="I444" s="41" t="str">
        <f aca="false">IF(F444="","",IFERROR(IF(ISNUMBER(SEARCH(Assumptions!$C$5,F444)),Assumptions!$D$5,IF(ISNUMBER(SEARCH(Assumptions!$C$6,F444)),Assumptions!$D$6,IF(ISNUMBER(SEARCH(Assumptions!$C$7,F444)),Assumptions!$D$7,"Other Services"))),"Other Services"))</f>
        <v/>
      </c>
    </row>
    <row r="445" customFormat="false" ht="15" hidden="false" customHeight="false" outlineLevel="0" collapsed="false">
      <c r="I445" s="41" t="str">
        <f aca="false">IF(F445="","",IFERROR(IF(ISNUMBER(SEARCH(Assumptions!$C$5,F445)),Assumptions!$D$5,IF(ISNUMBER(SEARCH(Assumptions!$C$6,F445)),Assumptions!$D$6,IF(ISNUMBER(SEARCH(Assumptions!$C$7,F445)),Assumptions!$D$7,"Other Services"))),"Other Services"))</f>
        <v/>
      </c>
    </row>
    <row r="446" customFormat="false" ht="15" hidden="false" customHeight="false" outlineLevel="0" collapsed="false">
      <c r="I446" s="41" t="str">
        <f aca="false">IF(F446="","",IFERROR(IF(ISNUMBER(SEARCH(Assumptions!$C$5,F446)),Assumptions!$D$5,IF(ISNUMBER(SEARCH(Assumptions!$C$6,F446)),Assumptions!$D$6,IF(ISNUMBER(SEARCH(Assumptions!$C$7,F446)),Assumptions!$D$7,"Other Services"))),"Other Services"))</f>
        <v/>
      </c>
    </row>
    <row r="447" customFormat="false" ht="15" hidden="false" customHeight="false" outlineLevel="0" collapsed="false">
      <c r="I447" s="41" t="str">
        <f aca="false">IF(F447="","",IFERROR(IF(ISNUMBER(SEARCH(Assumptions!$C$5,F447)),Assumptions!$D$5,IF(ISNUMBER(SEARCH(Assumptions!$C$6,F447)),Assumptions!$D$6,IF(ISNUMBER(SEARCH(Assumptions!$C$7,F447)),Assumptions!$D$7,"Other Services"))),"Other Services"))</f>
        <v/>
      </c>
    </row>
    <row r="448" customFormat="false" ht="15" hidden="false" customHeight="false" outlineLevel="0" collapsed="false">
      <c r="I448" s="41" t="str">
        <f aca="false">IF(F448="","",IFERROR(IF(ISNUMBER(SEARCH(Assumptions!$C$5,F448)),Assumptions!$D$5,IF(ISNUMBER(SEARCH(Assumptions!$C$6,F448)),Assumptions!$D$6,IF(ISNUMBER(SEARCH(Assumptions!$C$7,F448)),Assumptions!$D$7,"Other Services"))),"Other Services"))</f>
        <v/>
      </c>
    </row>
    <row r="449" customFormat="false" ht="15" hidden="false" customHeight="false" outlineLevel="0" collapsed="false">
      <c r="I449" s="41" t="str">
        <f aca="false">IF(F449="","",IFERROR(IF(ISNUMBER(SEARCH(Assumptions!$C$5,F449)),Assumptions!$D$5,IF(ISNUMBER(SEARCH(Assumptions!$C$6,F449)),Assumptions!$D$6,IF(ISNUMBER(SEARCH(Assumptions!$C$7,F449)),Assumptions!$D$7,"Other Services"))),"Other Services"))</f>
        <v/>
      </c>
    </row>
    <row r="450" customFormat="false" ht="15" hidden="false" customHeight="false" outlineLevel="0" collapsed="false">
      <c r="I450" s="41" t="str">
        <f aca="false">IF(F450="","",IFERROR(IF(ISNUMBER(SEARCH(Assumptions!$C$5,F450)),Assumptions!$D$5,IF(ISNUMBER(SEARCH(Assumptions!$C$6,F450)),Assumptions!$D$6,IF(ISNUMBER(SEARCH(Assumptions!$C$7,F450)),Assumptions!$D$7,"Other Services"))),"Other Services"))</f>
        <v/>
      </c>
    </row>
    <row r="451" customFormat="false" ht="15" hidden="false" customHeight="false" outlineLevel="0" collapsed="false">
      <c r="I451" s="41" t="str">
        <f aca="false">IF(F451="","",IFERROR(IF(ISNUMBER(SEARCH(Assumptions!$C$5,F451)),Assumptions!$D$5,IF(ISNUMBER(SEARCH(Assumptions!$C$6,F451)),Assumptions!$D$6,IF(ISNUMBER(SEARCH(Assumptions!$C$7,F451)),Assumptions!$D$7,"Other Services"))),"Other Services"))</f>
        <v/>
      </c>
    </row>
    <row r="452" customFormat="false" ht="15" hidden="false" customHeight="false" outlineLevel="0" collapsed="false">
      <c r="I452" s="41" t="str">
        <f aca="false">IF(F452="","",IFERROR(IF(ISNUMBER(SEARCH(Assumptions!$C$5,F452)),Assumptions!$D$5,IF(ISNUMBER(SEARCH(Assumptions!$C$6,F452)),Assumptions!$D$6,IF(ISNUMBER(SEARCH(Assumptions!$C$7,F452)),Assumptions!$D$7,"Other Services"))),"Other Services"))</f>
        <v/>
      </c>
    </row>
    <row r="453" customFormat="false" ht="15" hidden="false" customHeight="false" outlineLevel="0" collapsed="false">
      <c r="I453" s="41" t="str">
        <f aca="false">IF(F453="","",IFERROR(IF(ISNUMBER(SEARCH(Assumptions!$C$5,F453)),Assumptions!$D$5,IF(ISNUMBER(SEARCH(Assumptions!$C$6,F453)),Assumptions!$D$6,IF(ISNUMBER(SEARCH(Assumptions!$C$7,F453)),Assumptions!$D$7,"Other Services"))),"Other Services"))</f>
        <v/>
      </c>
    </row>
    <row r="454" customFormat="false" ht="15" hidden="false" customHeight="false" outlineLevel="0" collapsed="false">
      <c r="I454" s="41" t="str">
        <f aca="false">IF(F454="","",IFERROR(IF(ISNUMBER(SEARCH(Assumptions!$C$5,F454)),Assumptions!$D$5,IF(ISNUMBER(SEARCH(Assumptions!$C$6,F454)),Assumptions!$D$6,IF(ISNUMBER(SEARCH(Assumptions!$C$7,F454)),Assumptions!$D$7,"Other Services"))),"Other Services"))</f>
        <v/>
      </c>
    </row>
    <row r="455" customFormat="false" ht="15" hidden="false" customHeight="false" outlineLevel="0" collapsed="false">
      <c r="I455" s="41" t="str">
        <f aca="false">IF(F455="","",IFERROR(IF(ISNUMBER(SEARCH(Assumptions!$C$5,F455)),Assumptions!$D$5,IF(ISNUMBER(SEARCH(Assumptions!$C$6,F455)),Assumptions!$D$6,IF(ISNUMBER(SEARCH(Assumptions!$C$7,F455)),Assumptions!$D$7,"Other Services"))),"Other Services"))</f>
        <v/>
      </c>
    </row>
    <row r="456" customFormat="false" ht="15" hidden="false" customHeight="false" outlineLevel="0" collapsed="false">
      <c r="I456" s="41" t="str">
        <f aca="false">IF(F456="","",IFERROR(IF(ISNUMBER(SEARCH(Assumptions!$C$5,F456)),Assumptions!$D$5,IF(ISNUMBER(SEARCH(Assumptions!$C$6,F456)),Assumptions!$D$6,IF(ISNUMBER(SEARCH(Assumptions!$C$7,F456)),Assumptions!$D$7,"Other Services"))),"Other Services"))</f>
        <v/>
      </c>
    </row>
    <row r="457" customFormat="false" ht="15" hidden="false" customHeight="false" outlineLevel="0" collapsed="false">
      <c r="I457" s="41" t="str">
        <f aca="false">IF(F457="","",IFERROR(IF(ISNUMBER(SEARCH(Assumptions!$C$5,F457)),Assumptions!$D$5,IF(ISNUMBER(SEARCH(Assumptions!$C$6,F457)),Assumptions!$D$6,IF(ISNUMBER(SEARCH(Assumptions!$C$7,F457)),Assumptions!$D$7,"Other Services"))),"Other Services"))</f>
        <v/>
      </c>
    </row>
    <row r="458" customFormat="false" ht="15" hidden="false" customHeight="false" outlineLevel="0" collapsed="false">
      <c r="I458" s="41" t="str">
        <f aca="false">IF(F458="","",IFERROR(IF(ISNUMBER(SEARCH(Assumptions!$C$5,F458)),Assumptions!$D$5,IF(ISNUMBER(SEARCH(Assumptions!$C$6,F458)),Assumptions!$D$6,IF(ISNUMBER(SEARCH(Assumptions!$C$7,F458)),Assumptions!$D$7,"Other Services"))),"Other Services"))</f>
        <v/>
      </c>
    </row>
    <row r="459" customFormat="false" ht="15" hidden="false" customHeight="false" outlineLevel="0" collapsed="false">
      <c r="I459" s="41" t="str">
        <f aca="false">IF(F459="","",IFERROR(IF(ISNUMBER(SEARCH(Assumptions!$C$5,F459)),Assumptions!$D$5,IF(ISNUMBER(SEARCH(Assumptions!$C$6,F459)),Assumptions!$D$6,IF(ISNUMBER(SEARCH(Assumptions!$C$7,F459)),Assumptions!$D$7,"Other Services"))),"Other Services"))</f>
        <v/>
      </c>
    </row>
    <row r="460" customFormat="false" ht="15" hidden="false" customHeight="false" outlineLevel="0" collapsed="false">
      <c r="I460" s="41" t="str">
        <f aca="false">IF(F460="","",IFERROR(IF(ISNUMBER(SEARCH(Assumptions!$C$5,F460)),Assumptions!$D$5,IF(ISNUMBER(SEARCH(Assumptions!$C$6,F460)),Assumptions!$D$6,IF(ISNUMBER(SEARCH(Assumptions!$C$7,F460)),Assumptions!$D$7,"Other Services"))),"Other Services"))</f>
        <v/>
      </c>
    </row>
    <row r="461" customFormat="false" ht="15" hidden="false" customHeight="false" outlineLevel="0" collapsed="false">
      <c r="I461" s="41" t="str">
        <f aca="false">IF(F461="","",IFERROR(IF(ISNUMBER(SEARCH(Assumptions!$C$5,F461)),Assumptions!$D$5,IF(ISNUMBER(SEARCH(Assumptions!$C$6,F461)),Assumptions!$D$6,IF(ISNUMBER(SEARCH(Assumptions!$C$7,F461)),Assumptions!$D$7,"Other Services"))),"Other Services"))</f>
        <v/>
      </c>
    </row>
    <row r="462" customFormat="false" ht="15" hidden="false" customHeight="false" outlineLevel="0" collapsed="false">
      <c r="I462" s="41" t="str">
        <f aca="false">IF(F462="","",IFERROR(IF(ISNUMBER(SEARCH(Assumptions!$C$5,F462)),Assumptions!$D$5,IF(ISNUMBER(SEARCH(Assumptions!$C$6,F462)),Assumptions!$D$6,IF(ISNUMBER(SEARCH(Assumptions!$C$7,F462)),Assumptions!$D$7,"Other Services"))),"Other Services"))</f>
        <v/>
      </c>
    </row>
    <row r="463" customFormat="false" ht="15" hidden="false" customHeight="false" outlineLevel="0" collapsed="false">
      <c r="I463" s="41" t="str">
        <f aca="false">IF(F463="","",IFERROR(IF(ISNUMBER(SEARCH(Assumptions!$C$5,F463)),Assumptions!$D$5,IF(ISNUMBER(SEARCH(Assumptions!$C$6,F463)),Assumptions!$D$6,IF(ISNUMBER(SEARCH(Assumptions!$C$7,F463)),Assumptions!$D$7,"Other Services"))),"Other Services"))</f>
        <v/>
      </c>
    </row>
    <row r="464" customFormat="false" ht="15" hidden="false" customHeight="false" outlineLevel="0" collapsed="false">
      <c r="I464" s="41" t="str">
        <f aca="false">IF(F464="","",IFERROR(IF(ISNUMBER(SEARCH(Assumptions!$C$5,F464)),Assumptions!$D$5,IF(ISNUMBER(SEARCH(Assumptions!$C$6,F464)),Assumptions!$D$6,IF(ISNUMBER(SEARCH(Assumptions!$C$7,F464)),Assumptions!$D$7,"Other Services"))),"Other Services"))</f>
        <v/>
      </c>
    </row>
    <row r="465" customFormat="false" ht="15" hidden="false" customHeight="false" outlineLevel="0" collapsed="false">
      <c r="I465" s="41" t="str">
        <f aca="false">IF(F465="","",IFERROR(IF(ISNUMBER(SEARCH(Assumptions!$C$5,F465)),Assumptions!$D$5,IF(ISNUMBER(SEARCH(Assumptions!$C$6,F465)),Assumptions!$D$6,IF(ISNUMBER(SEARCH(Assumptions!$C$7,F465)),Assumptions!$D$7,"Other Services"))),"Other Services"))</f>
        <v/>
      </c>
    </row>
    <row r="466" customFormat="false" ht="15" hidden="false" customHeight="false" outlineLevel="0" collapsed="false">
      <c r="I466" s="41" t="str">
        <f aca="false">IF(F466="","",IFERROR(IF(ISNUMBER(SEARCH(Assumptions!$C$5,F466)),Assumptions!$D$5,IF(ISNUMBER(SEARCH(Assumptions!$C$6,F466)),Assumptions!$D$6,IF(ISNUMBER(SEARCH(Assumptions!$C$7,F466)),Assumptions!$D$7,"Other Services"))),"Other Services"))</f>
        <v/>
      </c>
    </row>
    <row r="467" customFormat="false" ht="15" hidden="false" customHeight="false" outlineLevel="0" collapsed="false">
      <c r="I467" s="41" t="str">
        <f aca="false">IF(F467="","",IFERROR(IF(ISNUMBER(SEARCH(Assumptions!$C$5,F467)),Assumptions!$D$5,IF(ISNUMBER(SEARCH(Assumptions!$C$6,F467)),Assumptions!$D$6,IF(ISNUMBER(SEARCH(Assumptions!$C$7,F467)),Assumptions!$D$7,"Other Services"))),"Other Services"))</f>
        <v/>
      </c>
    </row>
    <row r="468" customFormat="false" ht="15" hidden="false" customHeight="false" outlineLevel="0" collapsed="false">
      <c r="I468" s="41" t="str">
        <f aca="false">IF(F468="","",IFERROR(IF(ISNUMBER(SEARCH(Assumptions!$C$5,F468)),Assumptions!$D$5,IF(ISNUMBER(SEARCH(Assumptions!$C$6,F468)),Assumptions!$D$6,IF(ISNUMBER(SEARCH(Assumptions!$C$7,F468)),Assumptions!$D$7,"Other Services"))),"Other Services"))</f>
        <v/>
      </c>
    </row>
    <row r="469" customFormat="false" ht="15" hidden="false" customHeight="false" outlineLevel="0" collapsed="false">
      <c r="I469" s="41" t="str">
        <f aca="false">IF(F469="","",IFERROR(IF(ISNUMBER(SEARCH(Assumptions!$C$5,F469)),Assumptions!$D$5,IF(ISNUMBER(SEARCH(Assumptions!$C$6,F469)),Assumptions!$D$6,IF(ISNUMBER(SEARCH(Assumptions!$C$7,F469)),Assumptions!$D$7,"Other Services"))),"Other Services"))</f>
        <v/>
      </c>
    </row>
    <row r="470" customFormat="false" ht="15" hidden="false" customHeight="false" outlineLevel="0" collapsed="false">
      <c r="I470" s="41" t="str">
        <f aca="false">IF(F470="","",IFERROR(IF(ISNUMBER(SEARCH(Assumptions!$C$5,F470)),Assumptions!$D$5,IF(ISNUMBER(SEARCH(Assumptions!$C$6,F470)),Assumptions!$D$6,IF(ISNUMBER(SEARCH(Assumptions!$C$7,F470)),Assumptions!$D$7,"Other Services"))),"Other Services"))</f>
        <v/>
      </c>
    </row>
    <row r="471" customFormat="false" ht="15" hidden="false" customHeight="false" outlineLevel="0" collapsed="false">
      <c r="I471" s="41" t="str">
        <f aca="false">IF(F471="","",IFERROR(IF(ISNUMBER(SEARCH(Assumptions!$C$5,F471)),Assumptions!$D$5,IF(ISNUMBER(SEARCH(Assumptions!$C$6,F471)),Assumptions!$D$6,IF(ISNUMBER(SEARCH(Assumptions!$C$7,F471)),Assumptions!$D$7,"Other Services"))),"Other Services"))</f>
        <v/>
      </c>
    </row>
    <row r="472" customFormat="false" ht="15" hidden="false" customHeight="false" outlineLevel="0" collapsed="false">
      <c r="I472" s="41" t="str">
        <f aca="false">IF(F472="","",IFERROR(IF(ISNUMBER(SEARCH(Assumptions!$C$5,F472)),Assumptions!$D$5,IF(ISNUMBER(SEARCH(Assumptions!$C$6,F472)),Assumptions!$D$6,IF(ISNUMBER(SEARCH(Assumptions!$C$7,F472)),Assumptions!$D$7,"Other Services"))),"Other Services"))</f>
        <v/>
      </c>
    </row>
    <row r="473" customFormat="false" ht="15" hidden="false" customHeight="false" outlineLevel="0" collapsed="false">
      <c r="I473" s="41" t="str">
        <f aca="false">IF(F473="","",IFERROR(IF(ISNUMBER(SEARCH(Assumptions!$C$5,F473)),Assumptions!$D$5,IF(ISNUMBER(SEARCH(Assumptions!$C$6,F473)),Assumptions!$D$6,IF(ISNUMBER(SEARCH(Assumptions!$C$7,F473)),Assumptions!$D$7,"Other Services"))),"Other Services"))</f>
        <v/>
      </c>
    </row>
    <row r="474" customFormat="false" ht="15" hidden="false" customHeight="false" outlineLevel="0" collapsed="false">
      <c r="I474" s="41" t="str">
        <f aca="false">IF(F474="","",IFERROR(IF(ISNUMBER(SEARCH(Assumptions!$C$5,F474)),Assumptions!$D$5,IF(ISNUMBER(SEARCH(Assumptions!$C$6,F474)),Assumptions!$D$6,IF(ISNUMBER(SEARCH(Assumptions!$C$7,F474)),Assumptions!$D$7,"Other Services"))),"Other Services"))</f>
        <v/>
      </c>
    </row>
    <row r="475" customFormat="false" ht="15" hidden="false" customHeight="false" outlineLevel="0" collapsed="false">
      <c r="I475" s="41" t="str">
        <f aca="false">IF(F475="","",IFERROR(IF(ISNUMBER(SEARCH(Assumptions!$C$5,F475)),Assumptions!$D$5,IF(ISNUMBER(SEARCH(Assumptions!$C$6,F475)),Assumptions!$D$6,IF(ISNUMBER(SEARCH(Assumptions!$C$7,F475)),Assumptions!$D$7,"Other Services"))),"Other Services"))</f>
        <v/>
      </c>
    </row>
    <row r="476" customFormat="false" ht="15" hidden="false" customHeight="false" outlineLevel="0" collapsed="false">
      <c r="I476" s="41" t="str">
        <f aca="false">IF(F476="","",IFERROR(IF(ISNUMBER(SEARCH(Assumptions!$C$5,F476)),Assumptions!$D$5,IF(ISNUMBER(SEARCH(Assumptions!$C$6,F476)),Assumptions!$D$6,IF(ISNUMBER(SEARCH(Assumptions!$C$7,F476)),Assumptions!$D$7,"Other Services"))),"Other Services"))</f>
        <v/>
      </c>
    </row>
    <row r="477" customFormat="false" ht="15" hidden="false" customHeight="false" outlineLevel="0" collapsed="false">
      <c r="I477" s="41" t="str">
        <f aca="false">IF(F477="","",IFERROR(IF(ISNUMBER(SEARCH(Assumptions!$C$5,F477)),Assumptions!$D$5,IF(ISNUMBER(SEARCH(Assumptions!$C$6,F477)),Assumptions!$D$6,IF(ISNUMBER(SEARCH(Assumptions!$C$7,F477)),Assumptions!$D$7,"Other Services"))),"Other Services"))</f>
        <v/>
      </c>
    </row>
    <row r="478" customFormat="false" ht="15" hidden="false" customHeight="false" outlineLevel="0" collapsed="false">
      <c r="I478" s="41" t="str">
        <f aca="false">IF(F478="","",IFERROR(IF(ISNUMBER(SEARCH(Assumptions!$C$5,F478)),Assumptions!$D$5,IF(ISNUMBER(SEARCH(Assumptions!$C$6,F478)),Assumptions!$D$6,IF(ISNUMBER(SEARCH(Assumptions!$C$7,F478)),Assumptions!$D$7,"Other Services"))),"Other Services"))</f>
        <v/>
      </c>
    </row>
    <row r="479" customFormat="false" ht="15" hidden="false" customHeight="false" outlineLevel="0" collapsed="false">
      <c r="I479" s="41" t="str">
        <f aca="false">IF(F479="","",IFERROR(IF(ISNUMBER(SEARCH(Assumptions!$C$5,F479)),Assumptions!$D$5,IF(ISNUMBER(SEARCH(Assumptions!$C$6,F479)),Assumptions!$D$6,IF(ISNUMBER(SEARCH(Assumptions!$C$7,F479)),Assumptions!$D$7,"Other Services"))),"Other Services"))</f>
        <v/>
      </c>
    </row>
    <row r="480" customFormat="false" ht="15" hidden="false" customHeight="false" outlineLevel="0" collapsed="false">
      <c r="I480" s="41" t="str">
        <f aca="false">IF(F480="","",IFERROR(IF(ISNUMBER(SEARCH(Assumptions!$C$5,F480)),Assumptions!$D$5,IF(ISNUMBER(SEARCH(Assumptions!$C$6,F480)),Assumptions!$D$6,IF(ISNUMBER(SEARCH(Assumptions!$C$7,F480)),Assumptions!$D$7,"Other Services"))),"Other Services"))</f>
        <v/>
      </c>
    </row>
    <row r="481" customFormat="false" ht="15" hidden="false" customHeight="false" outlineLevel="0" collapsed="false">
      <c r="I481" s="41" t="str">
        <f aca="false">IF(F481="","",IFERROR(IF(ISNUMBER(SEARCH(Assumptions!$C$5,F481)),Assumptions!$D$5,IF(ISNUMBER(SEARCH(Assumptions!$C$6,F481)),Assumptions!$D$6,IF(ISNUMBER(SEARCH(Assumptions!$C$7,F481)),Assumptions!$D$7,"Other Services"))),"Other Services"))</f>
        <v/>
      </c>
    </row>
    <row r="482" customFormat="false" ht="15" hidden="false" customHeight="false" outlineLevel="0" collapsed="false">
      <c r="I482" s="41" t="str">
        <f aca="false">IF(F482="","",IFERROR(IF(ISNUMBER(SEARCH(Assumptions!$C$5,F482)),Assumptions!$D$5,IF(ISNUMBER(SEARCH(Assumptions!$C$6,F482)),Assumptions!$D$6,IF(ISNUMBER(SEARCH(Assumptions!$C$7,F482)),Assumptions!$D$7,"Other Services"))),"Other Services"))</f>
        <v/>
      </c>
    </row>
    <row r="483" customFormat="false" ht="15" hidden="false" customHeight="false" outlineLevel="0" collapsed="false">
      <c r="I483" s="41" t="str">
        <f aca="false">IF(F483="","",IFERROR(IF(ISNUMBER(SEARCH(Assumptions!$C$5,F483)),Assumptions!$D$5,IF(ISNUMBER(SEARCH(Assumptions!$C$6,F483)),Assumptions!$D$6,IF(ISNUMBER(SEARCH(Assumptions!$C$7,F483)),Assumptions!$D$7,"Other Services"))),"Other Services"))</f>
        <v/>
      </c>
    </row>
    <row r="484" customFormat="false" ht="15" hidden="false" customHeight="false" outlineLevel="0" collapsed="false">
      <c r="I484" s="41" t="str">
        <f aca="false">IF(F484="","",IFERROR(IF(ISNUMBER(SEARCH(Assumptions!$C$5,F484)),Assumptions!$D$5,IF(ISNUMBER(SEARCH(Assumptions!$C$6,F484)),Assumptions!$D$6,IF(ISNUMBER(SEARCH(Assumptions!$C$7,F484)),Assumptions!$D$7,"Other Services"))),"Other Services"))</f>
        <v/>
      </c>
    </row>
    <row r="485" customFormat="false" ht="15" hidden="false" customHeight="false" outlineLevel="0" collapsed="false">
      <c r="I485" s="41" t="str">
        <f aca="false">IF(F485="","",IFERROR(IF(ISNUMBER(SEARCH(Assumptions!$C$5,F485)),Assumptions!$D$5,IF(ISNUMBER(SEARCH(Assumptions!$C$6,F485)),Assumptions!$D$6,IF(ISNUMBER(SEARCH(Assumptions!$C$7,F485)),Assumptions!$D$7,"Other Services"))),"Other Services"))</f>
        <v/>
      </c>
    </row>
    <row r="486" customFormat="false" ht="15" hidden="false" customHeight="false" outlineLevel="0" collapsed="false">
      <c r="I486" s="41" t="str">
        <f aca="false">IF(F486="","",IFERROR(IF(ISNUMBER(SEARCH(Assumptions!$C$5,F486)),Assumptions!$D$5,IF(ISNUMBER(SEARCH(Assumptions!$C$6,F486)),Assumptions!$D$6,IF(ISNUMBER(SEARCH(Assumptions!$C$7,F486)),Assumptions!$D$7,"Other Services"))),"Other Services"))</f>
        <v/>
      </c>
    </row>
    <row r="487" customFormat="false" ht="15" hidden="false" customHeight="false" outlineLevel="0" collapsed="false">
      <c r="I487" s="41" t="str">
        <f aca="false">IF(F487="","",IFERROR(IF(ISNUMBER(SEARCH(Assumptions!$C$5,F487)),Assumptions!$D$5,IF(ISNUMBER(SEARCH(Assumptions!$C$6,F487)),Assumptions!$D$6,IF(ISNUMBER(SEARCH(Assumptions!$C$7,F487)),Assumptions!$D$7,"Other Services"))),"Other Services"))</f>
        <v/>
      </c>
    </row>
    <row r="488" customFormat="false" ht="15" hidden="false" customHeight="false" outlineLevel="0" collapsed="false">
      <c r="I488" s="41" t="str">
        <f aca="false">IF(F488="","",IFERROR(IF(ISNUMBER(SEARCH(Assumptions!$C$5,F488)),Assumptions!$D$5,IF(ISNUMBER(SEARCH(Assumptions!$C$6,F488)),Assumptions!$D$6,IF(ISNUMBER(SEARCH(Assumptions!$C$7,F488)),Assumptions!$D$7,"Other Services"))),"Other Services"))</f>
        <v/>
      </c>
    </row>
    <row r="489" customFormat="false" ht="15" hidden="false" customHeight="false" outlineLevel="0" collapsed="false">
      <c r="I489" s="41" t="str">
        <f aca="false">IF(F489="","",IFERROR(IF(ISNUMBER(SEARCH(Assumptions!$C$5,F489)),Assumptions!$D$5,IF(ISNUMBER(SEARCH(Assumptions!$C$6,F489)),Assumptions!$D$6,IF(ISNUMBER(SEARCH(Assumptions!$C$7,F489)),Assumptions!$D$7,"Other Services"))),"Other Services"))</f>
        <v/>
      </c>
    </row>
    <row r="490" customFormat="false" ht="15" hidden="false" customHeight="false" outlineLevel="0" collapsed="false">
      <c r="I490" s="41" t="str">
        <f aca="false">IF(F490="","",IFERROR(IF(ISNUMBER(SEARCH(Assumptions!$C$5,F490)),Assumptions!$D$5,IF(ISNUMBER(SEARCH(Assumptions!$C$6,F490)),Assumptions!$D$6,IF(ISNUMBER(SEARCH(Assumptions!$C$7,F490)),Assumptions!$D$7,"Other Services"))),"Other Services"))</f>
        <v/>
      </c>
    </row>
    <row r="491" customFormat="false" ht="15" hidden="false" customHeight="false" outlineLevel="0" collapsed="false">
      <c r="I491" s="41" t="str">
        <f aca="false">IF(F491="","",IFERROR(IF(ISNUMBER(SEARCH(Assumptions!$C$5,F491)),Assumptions!$D$5,IF(ISNUMBER(SEARCH(Assumptions!$C$6,F491)),Assumptions!$D$6,IF(ISNUMBER(SEARCH(Assumptions!$C$7,F491)),Assumptions!$D$7,"Other Services"))),"Other Services"))</f>
        <v/>
      </c>
    </row>
    <row r="492" customFormat="false" ht="15" hidden="false" customHeight="false" outlineLevel="0" collapsed="false">
      <c r="I492" s="41" t="str">
        <f aca="false">IF(F492="","",IFERROR(IF(ISNUMBER(SEARCH(Assumptions!$C$5,F492)),Assumptions!$D$5,IF(ISNUMBER(SEARCH(Assumptions!$C$6,F492)),Assumptions!$D$6,IF(ISNUMBER(SEARCH(Assumptions!$C$7,F492)),Assumptions!$D$7,"Other Services"))),"Other Services"))</f>
        <v/>
      </c>
    </row>
    <row r="493" customFormat="false" ht="15" hidden="false" customHeight="false" outlineLevel="0" collapsed="false">
      <c r="I493" s="41" t="str">
        <f aca="false">IF(F493="","",IFERROR(IF(ISNUMBER(SEARCH(Assumptions!$C$5,F493)),Assumptions!$D$5,IF(ISNUMBER(SEARCH(Assumptions!$C$6,F493)),Assumptions!$D$6,IF(ISNUMBER(SEARCH(Assumptions!$C$7,F493)),Assumptions!$D$7,"Other Services"))),"Other Services"))</f>
        <v/>
      </c>
    </row>
    <row r="494" customFormat="false" ht="15" hidden="false" customHeight="false" outlineLevel="0" collapsed="false">
      <c r="I494" s="41" t="str">
        <f aca="false">IF(F494="","",IFERROR(IF(ISNUMBER(SEARCH(Assumptions!$C$5,F494)),Assumptions!$D$5,IF(ISNUMBER(SEARCH(Assumptions!$C$6,F494)),Assumptions!$D$6,IF(ISNUMBER(SEARCH(Assumptions!$C$7,F494)),Assumptions!$D$7,"Other Services"))),"Other Services"))</f>
        <v/>
      </c>
    </row>
    <row r="495" customFormat="false" ht="15" hidden="false" customHeight="false" outlineLevel="0" collapsed="false">
      <c r="I495" s="41" t="str">
        <f aca="false">IF(F495="","",IFERROR(IF(ISNUMBER(SEARCH(Assumptions!$C$5,F495)),Assumptions!$D$5,IF(ISNUMBER(SEARCH(Assumptions!$C$6,F495)),Assumptions!$D$6,IF(ISNUMBER(SEARCH(Assumptions!$C$7,F495)),Assumptions!$D$7,"Other Services"))),"Other Services"))</f>
        <v/>
      </c>
    </row>
    <row r="496" customFormat="false" ht="15" hidden="false" customHeight="false" outlineLevel="0" collapsed="false">
      <c r="I496" s="41" t="str">
        <f aca="false">IF(F496="","",IFERROR(IF(ISNUMBER(SEARCH(Assumptions!$C$5,F496)),Assumptions!$D$5,IF(ISNUMBER(SEARCH(Assumptions!$C$6,F496)),Assumptions!$D$6,IF(ISNUMBER(SEARCH(Assumptions!$C$7,F496)),Assumptions!$D$7,"Other Services"))),"Other Services"))</f>
        <v/>
      </c>
    </row>
    <row r="497" customFormat="false" ht="15" hidden="false" customHeight="false" outlineLevel="0" collapsed="false">
      <c r="I497" s="41" t="str">
        <f aca="false">IF(F497="","",IFERROR(IF(ISNUMBER(SEARCH(Assumptions!$C$5,F497)),Assumptions!$D$5,IF(ISNUMBER(SEARCH(Assumptions!$C$6,F497)),Assumptions!$D$6,IF(ISNUMBER(SEARCH(Assumptions!$C$7,F497)),Assumptions!$D$7,"Other Services"))),"Other Services"))</f>
        <v/>
      </c>
    </row>
    <row r="498" customFormat="false" ht="15" hidden="false" customHeight="false" outlineLevel="0" collapsed="false">
      <c r="I498" s="41" t="str">
        <f aca="false">IF(F498="","",IFERROR(IF(ISNUMBER(SEARCH(Assumptions!$C$5,F498)),Assumptions!$D$5,IF(ISNUMBER(SEARCH(Assumptions!$C$6,F498)),Assumptions!$D$6,IF(ISNUMBER(SEARCH(Assumptions!$C$7,F498)),Assumptions!$D$7,"Other Services"))),"Other Services"))</f>
        <v/>
      </c>
    </row>
    <row r="499" customFormat="false" ht="15" hidden="false" customHeight="false" outlineLevel="0" collapsed="false">
      <c r="I499" s="41" t="str">
        <f aca="false">IF(F499="","",IFERROR(IF(ISNUMBER(SEARCH(Assumptions!$C$5,F499)),Assumptions!$D$5,IF(ISNUMBER(SEARCH(Assumptions!$C$6,F499)),Assumptions!$D$6,IF(ISNUMBER(SEARCH(Assumptions!$C$7,F499)),Assumptions!$D$7,"Other Services"))),"Other Services"))</f>
        <v/>
      </c>
    </row>
    <row r="500" customFormat="false" ht="15" hidden="false" customHeight="false" outlineLevel="0" collapsed="false">
      <c r="I500" s="41" t="str">
        <f aca="false">IF(F500="","",IFERROR(IF(ISNUMBER(SEARCH(Assumptions!$C$5,F500)),Assumptions!$D$5,IF(ISNUMBER(SEARCH(Assumptions!$C$6,F500)),Assumptions!$D$6,IF(ISNUMBER(SEARCH(Assumptions!$C$7,F500)),Assumptions!$D$7,"Other Services"))),"Other Services"))</f>
        <v/>
      </c>
    </row>
    <row r="501" customFormat="false" ht="15" hidden="false" customHeight="false" outlineLevel="0" collapsed="false">
      <c r="I501" s="41" t="str">
        <f aca="false">IF(F501="","",IFERROR(IF(ISNUMBER(SEARCH(Assumptions!$C$5,F501)),Assumptions!$D$5,IF(ISNUMBER(SEARCH(Assumptions!$C$6,F501)),Assumptions!$D$6,IF(ISNUMBER(SEARCH(Assumptions!$C$7,F501)),Assumptions!$D$7,"Other Services"))),"Other Services"))</f>
        <v/>
      </c>
    </row>
    <row r="502" customFormat="false" ht="15" hidden="false" customHeight="false" outlineLevel="0" collapsed="false">
      <c r="I502" s="41" t="str">
        <f aca="false">IF(F502="","",IFERROR(IF(ISNUMBER(SEARCH(Assumptions!$C$5,F502)),Assumptions!$D$5,IF(ISNUMBER(SEARCH(Assumptions!$C$6,F502)),Assumptions!$D$6,IF(ISNUMBER(SEARCH(Assumptions!$C$7,F502)),Assumptions!$D$7,"Other Services"))),"Other Services"))</f>
        <v/>
      </c>
    </row>
    <row r="503" customFormat="false" ht="15" hidden="false" customHeight="false" outlineLevel="0" collapsed="false">
      <c r="I503" s="41" t="str">
        <f aca="false">IF(F503="","",IFERROR(IF(ISNUMBER(SEARCH(Assumptions!$C$5,F503)),Assumptions!$D$5,IF(ISNUMBER(SEARCH(Assumptions!$C$6,F503)),Assumptions!$D$6,IF(ISNUMBER(SEARCH(Assumptions!$C$7,F503)),Assumptions!$D$7,"Other Services"))),"Other Services"))</f>
        <v/>
      </c>
    </row>
    <row r="504" customFormat="false" ht="15" hidden="false" customHeight="false" outlineLevel="0" collapsed="false">
      <c r="I504" s="41" t="str">
        <f aca="false">IF(F504="","",IFERROR(IF(ISNUMBER(SEARCH(Assumptions!$C$5,F504)),Assumptions!$D$5,IF(ISNUMBER(SEARCH(Assumptions!$C$6,F504)),Assumptions!$D$6,IF(ISNUMBER(SEARCH(Assumptions!$C$7,F504)),Assumptions!$D$7,"Other Services"))),"Other Services"))</f>
        <v/>
      </c>
    </row>
    <row r="505" customFormat="false" ht="15" hidden="false" customHeight="false" outlineLevel="0" collapsed="false">
      <c r="I505" s="41" t="str">
        <f aca="false">IF(F505="","",IFERROR(IF(ISNUMBER(SEARCH(Assumptions!$C$5,F505)),Assumptions!$D$5,IF(ISNUMBER(SEARCH(Assumptions!$C$6,F505)),Assumptions!$D$6,IF(ISNUMBER(SEARCH(Assumptions!$C$7,F505)),Assumptions!$D$7,"Other Services"))),"Other Services"))</f>
        <v/>
      </c>
    </row>
    <row r="506" customFormat="false" ht="15" hidden="false" customHeight="false" outlineLevel="0" collapsed="false">
      <c r="I506" s="41" t="str">
        <f aca="false">IF(F506="","",IFERROR(IF(ISNUMBER(SEARCH(Assumptions!$C$5,F506)),Assumptions!$D$5,IF(ISNUMBER(SEARCH(Assumptions!$C$6,F506)),Assumptions!$D$6,IF(ISNUMBER(SEARCH(Assumptions!$C$7,F506)),Assumptions!$D$7,"Other Services"))),"Other Services"))</f>
        <v/>
      </c>
    </row>
    <row r="507" customFormat="false" ht="15" hidden="false" customHeight="false" outlineLevel="0" collapsed="false">
      <c r="I507" s="41" t="str">
        <f aca="false">IF(F507="","",IFERROR(IF(ISNUMBER(SEARCH(Assumptions!$C$5,F507)),Assumptions!$D$5,IF(ISNUMBER(SEARCH(Assumptions!$C$6,F507)),Assumptions!$D$6,IF(ISNUMBER(SEARCH(Assumptions!$C$7,F507)),Assumptions!$D$7,"Other Services"))),"Other Services"))</f>
        <v/>
      </c>
    </row>
    <row r="508" customFormat="false" ht="15" hidden="false" customHeight="false" outlineLevel="0" collapsed="false">
      <c r="I508" s="41" t="str">
        <f aca="false">IF(F508="","",IFERROR(IF(ISNUMBER(SEARCH(Assumptions!$C$5,F508)),Assumptions!$D$5,IF(ISNUMBER(SEARCH(Assumptions!$C$6,F508)),Assumptions!$D$6,IF(ISNUMBER(SEARCH(Assumptions!$C$7,F508)),Assumptions!$D$7,"Other Services"))),"Other Services"))</f>
        <v/>
      </c>
    </row>
    <row r="509" customFormat="false" ht="15" hidden="false" customHeight="false" outlineLevel="0" collapsed="false">
      <c r="I509" s="41" t="str">
        <f aca="false">IF(F509="","",IFERROR(IF(ISNUMBER(SEARCH(Assumptions!$C$5,F509)),Assumptions!$D$5,IF(ISNUMBER(SEARCH(Assumptions!$C$6,F509)),Assumptions!$D$6,IF(ISNUMBER(SEARCH(Assumptions!$C$7,F509)),Assumptions!$D$7,"Other Services"))),"Other Services"))</f>
        <v/>
      </c>
    </row>
    <row r="510" customFormat="false" ht="15" hidden="false" customHeight="false" outlineLevel="0" collapsed="false">
      <c r="I510" s="41" t="str">
        <f aca="false">IF(F510="","",IFERROR(IF(ISNUMBER(SEARCH(Assumptions!$C$5,F510)),Assumptions!$D$5,IF(ISNUMBER(SEARCH(Assumptions!$C$6,F510)),Assumptions!$D$6,IF(ISNUMBER(SEARCH(Assumptions!$C$7,F510)),Assumptions!$D$7,"Other Services"))),"Other Services"))</f>
        <v/>
      </c>
    </row>
    <row r="511" customFormat="false" ht="15" hidden="false" customHeight="false" outlineLevel="0" collapsed="false">
      <c r="I511" s="41" t="str">
        <f aca="false">IF(F511="","",IFERROR(IF(ISNUMBER(SEARCH(Assumptions!$C$5,F511)),Assumptions!$D$5,IF(ISNUMBER(SEARCH(Assumptions!$C$6,F511)),Assumptions!$D$6,IF(ISNUMBER(SEARCH(Assumptions!$C$7,F511)),Assumptions!$D$7,"Other Services"))),"Other Services"))</f>
        <v/>
      </c>
    </row>
    <row r="512" customFormat="false" ht="15" hidden="false" customHeight="false" outlineLevel="0" collapsed="false">
      <c r="I512" s="41" t="str">
        <f aca="false">IF(F512="","",IFERROR(IF(ISNUMBER(SEARCH(Assumptions!$C$5,F512)),Assumptions!$D$5,IF(ISNUMBER(SEARCH(Assumptions!$C$6,F512)),Assumptions!$D$6,IF(ISNUMBER(SEARCH(Assumptions!$C$7,F512)),Assumptions!$D$7,"Other Services"))),"Other Services"))</f>
        <v/>
      </c>
    </row>
    <row r="513" customFormat="false" ht="15" hidden="false" customHeight="false" outlineLevel="0" collapsed="false">
      <c r="I513" s="41" t="str">
        <f aca="false">IF(F513="","",IFERROR(IF(ISNUMBER(SEARCH(Assumptions!$C$5,F513)),Assumptions!$D$5,IF(ISNUMBER(SEARCH(Assumptions!$C$6,F513)),Assumptions!$D$6,IF(ISNUMBER(SEARCH(Assumptions!$C$7,F513)),Assumptions!$D$7,"Other Services"))),"Other Services"))</f>
        <v/>
      </c>
    </row>
    <row r="514" customFormat="false" ht="15" hidden="false" customHeight="false" outlineLevel="0" collapsed="false">
      <c r="I514" s="41" t="str">
        <f aca="false">IF(F514="","",IFERROR(IF(ISNUMBER(SEARCH(Assumptions!$C$5,F514)),Assumptions!$D$5,IF(ISNUMBER(SEARCH(Assumptions!$C$6,F514)),Assumptions!$D$6,IF(ISNUMBER(SEARCH(Assumptions!$C$7,F514)),Assumptions!$D$7,"Other Services"))),"Other Services"))</f>
        <v/>
      </c>
    </row>
    <row r="515" customFormat="false" ht="15" hidden="false" customHeight="false" outlineLevel="0" collapsed="false">
      <c r="I515" s="41" t="str">
        <f aca="false">IF(F515="","",IFERROR(IF(ISNUMBER(SEARCH(Assumptions!$C$5,F515)),Assumptions!$D$5,IF(ISNUMBER(SEARCH(Assumptions!$C$6,F515)),Assumptions!$D$6,IF(ISNUMBER(SEARCH(Assumptions!$C$7,F515)),Assumptions!$D$7,"Other Services"))),"Other Services"))</f>
        <v/>
      </c>
    </row>
    <row r="516" customFormat="false" ht="15" hidden="false" customHeight="false" outlineLevel="0" collapsed="false">
      <c r="I516" s="41" t="str">
        <f aca="false">IF(F516="","",IFERROR(IF(ISNUMBER(SEARCH(Assumptions!$C$5,F516)),Assumptions!$D$5,IF(ISNUMBER(SEARCH(Assumptions!$C$6,F516)),Assumptions!$D$6,IF(ISNUMBER(SEARCH(Assumptions!$C$7,F516)),Assumptions!$D$7,"Other Services"))),"Other Services"))</f>
        <v/>
      </c>
    </row>
    <row r="517" customFormat="false" ht="15" hidden="false" customHeight="false" outlineLevel="0" collapsed="false">
      <c r="I517" s="41" t="str">
        <f aca="false">IF(F517="","",IFERROR(IF(ISNUMBER(SEARCH(Assumptions!$C$5,F517)),Assumptions!$D$5,IF(ISNUMBER(SEARCH(Assumptions!$C$6,F517)),Assumptions!$D$6,IF(ISNUMBER(SEARCH(Assumptions!$C$7,F517)),Assumptions!$D$7,"Other Services"))),"Other Services"))</f>
        <v/>
      </c>
    </row>
    <row r="518" customFormat="false" ht="15" hidden="false" customHeight="false" outlineLevel="0" collapsed="false">
      <c r="I518" s="41" t="str">
        <f aca="false">IF(F518="","",IFERROR(IF(ISNUMBER(SEARCH(Assumptions!$C$5,F518)),Assumptions!$D$5,IF(ISNUMBER(SEARCH(Assumptions!$C$6,F518)),Assumptions!$D$6,IF(ISNUMBER(SEARCH(Assumptions!$C$7,F518)),Assumptions!$D$7,"Other Services"))),"Other Services"))</f>
        <v/>
      </c>
    </row>
    <row r="519" customFormat="false" ht="15" hidden="false" customHeight="false" outlineLevel="0" collapsed="false">
      <c r="I519" s="41" t="str">
        <f aca="false">IF(F519="","",IFERROR(IF(ISNUMBER(SEARCH(Assumptions!$C$5,F519)),Assumptions!$D$5,IF(ISNUMBER(SEARCH(Assumptions!$C$6,F519)),Assumptions!$D$6,IF(ISNUMBER(SEARCH(Assumptions!$C$7,F519)),Assumptions!$D$7,"Other Services"))),"Other Services"))</f>
        <v/>
      </c>
    </row>
    <row r="520" customFormat="false" ht="15" hidden="false" customHeight="false" outlineLevel="0" collapsed="false">
      <c r="I520" s="41" t="str">
        <f aca="false">IF(F520="","",IFERROR(IF(ISNUMBER(SEARCH(Assumptions!$C$5,F520)),Assumptions!$D$5,IF(ISNUMBER(SEARCH(Assumptions!$C$6,F520)),Assumptions!$D$6,IF(ISNUMBER(SEARCH(Assumptions!$C$7,F520)),Assumptions!$D$7,"Other Services"))),"Other Services"))</f>
        <v/>
      </c>
    </row>
    <row r="521" customFormat="false" ht="15" hidden="false" customHeight="false" outlineLevel="0" collapsed="false">
      <c r="I521" s="41" t="str">
        <f aca="false">IF(F521="","",IFERROR(IF(ISNUMBER(SEARCH(Assumptions!$C$5,F521)),Assumptions!$D$5,IF(ISNUMBER(SEARCH(Assumptions!$C$6,F521)),Assumptions!$D$6,IF(ISNUMBER(SEARCH(Assumptions!$C$7,F521)),Assumptions!$D$7,"Other Services"))),"Other Services"))</f>
        <v/>
      </c>
    </row>
    <row r="522" customFormat="false" ht="15" hidden="false" customHeight="false" outlineLevel="0" collapsed="false">
      <c r="I522" s="41" t="str">
        <f aca="false">IF(F522="","",IFERROR(IF(ISNUMBER(SEARCH(Assumptions!$C$5,F522)),Assumptions!$D$5,IF(ISNUMBER(SEARCH(Assumptions!$C$6,F522)),Assumptions!$D$6,IF(ISNUMBER(SEARCH(Assumptions!$C$7,F522)),Assumptions!$D$7,"Other Services"))),"Other Services"))</f>
        <v/>
      </c>
    </row>
    <row r="523" customFormat="false" ht="15" hidden="false" customHeight="false" outlineLevel="0" collapsed="false">
      <c r="I523" s="41" t="str">
        <f aca="false">IF(F523="","",IFERROR(IF(ISNUMBER(SEARCH(Assumptions!$C$5,F523)),Assumptions!$D$5,IF(ISNUMBER(SEARCH(Assumptions!$C$6,F523)),Assumptions!$D$6,IF(ISNUMBER(SEARCH(Assumptions!$C$7,F523)),Assumptions!$D$7,"Other Services"))),"Other Services"))</f>
        <v/>
      </c>
    </row>
    <row r="524" customFormat="false" ht="15" hidden="false" customHeight="false" outlineLevel="0" collapsed="false">
      <c r="I524" s="41" t="str">
        <f aca="false">IF(F524="","",IFERROR(IF(ISNUMBER(SEARCH(Assumptions!$C$5,F524)),Assumptions!$D$5,IF(ISNUMBER(SEARCH(Assumptions!$C$6,F524)),Assumptions!$D$6,IF(ISNUMBER(SEARCH(Assumptions!$C$7,F524)),Assumptions!$D$7,"Other Services"))),"Other Services"))</f>
        <v/>
      </c>
    </row>
    <row r="525" customFormat="false" ht="15" hidden="false" customHeight="false" outlineLevel="0" collapsed="false">
      <c r="I525" s="41" t="str">
        <f aca="false">IF(F525="","",IFERROR(IF(ISNUMBER(SEARCH(Assumptions!$C$5,F525)),Assumptions!$D$5,IF(ISNUMBER(SEARCH(Assumptions!$C$6,F525)),Assumptions!$D$6,IF(ISNUMBER(SEARCH(Assumptions!$C$7,F525)),Assumptions!$D$7,"Other Services"))),"Other Services"))</f>
        <v/>
      </c>
    </row>
    <row r="526" customFormat="false" ht="15" hidden="false" customHeight="false" outlineLevel="0" collapsed="false">
      <c r="I526" s="41" t="str">
        <f aca="false">IF(F526="","",IFERROR(IF(ISNUMBER(SEARCH(Assumptions!$C$5,F526)),Assumptions!$D$5,IF(ISNUMBER(SEARCH(Assumptions!$C$6,F526)),Assumptions!$D$6,IF(ISNUMBER(SEARCH(Assumptions!$C$7,F526)),Assumptions!$D$7,"Other Services"))),"Other Services"))</f>
        <v/>
      </c>
    </row>
    <row r="527" customFormat="false" ht="15" hidden="false" customHeight="false" outlineLevel="0" collapsed="false">
      <c r="I527" s="41" t="str">
        <f aca="false">IF(F527="","",IFERROR(IF(ISNUMBER(SEARCH(Assumptions!$C$5,F527)),Assumptions!$D$5,IF(ISNUMBER(SEARCH(Assumptions!$C$6,F527)),Assumptions!$D$6,IF(ISNUMBER(SEARCH(Assumptions!$C$7,F527)),Assumptions!$D$7,"Other Services"))),"Other Services"))</f>
        <v/>
      </c>
    </row>
    <row r="528" customFormat="false" ht="15" hidden="false" customHeight="false" outlineLevel="0" collapsed="false">
      <c r="I528" s="41" t="str">
        <f aca="false">IF(F528="","",IFERROR(IF(ISNUMBER(SEARCH(Assumptions!$C$5,F528)),Assumptions!$D$5,IF(ISNUMBER(SEARCH(Assumptions!$C$6,F528)),Assumptions!$D$6,IF(ISNUMBER(SEARCH(Assumptions!$C$7,F528)),Assumptions!$D$7,"Other Services"))),"Other Services"))</f>
        <v/>
      </c>
    </row>
    <row r="529" customFormat="false" ht="15" hidden="false" customHeight="false" outlineLevel="0" collapsed="false">
      <c r="I529" s="41" t="str">
        <f aca="false">IF(F529="","",IFERROR(IF(ISNUMBER(SEARCH(Assumptions!$C$5,F529)),Assumptions!$D$5,IF(ISNUMBER(SEARCH(Assumptions!$C$6,F529)),Assumptions!$D$6,IF(ISNUMBER(SEARCH(Assumptions!$C$7,F529)),Assumptions!$D$7,"Other Services"))),"Other Services"))</f>
        <v/>
      </c>
    </row>
    <row r="530" customFormat="false" ht="15" hidden="false" customHeight="false" outlineLevel="0" collapsed="false">
      <c r="I530" s="41" t="str">
        <f aca="false">IF(F530="","",IFERROR(IF(ISNUMBER(SEARCH(Assumptions!$C$5,F530)),Assumptions!$D$5,IF(ISNUMBER(SEARCH(Assumptions!$C$6,F530)),Assumptions!$D$6,IF(ISNUMBER(SEARCH(Assumptions!$C$7,F530)),Assumptions!$D$7,"Other Services"))),"Other Services"))</f>
        <v/>
      </c>
    </row>
    <row r="531" customFormat="false" ht="15" hidden="false" customHeight="false" outlineLevel="0" collapsed="false">
      <c r="I531" s="41" t="str">
        <f aca="false">IF(F531="","",IFERROR(IF(ISNUMBER(SEARCH(Assumptions!$C$5,F531)),Assumptions!$D$5,IF(ISNUMBER(SEARCH(Assumptions!$C$6,F531)),Assumptions!$D$6,IF(ISNUMBER(SEARCH(Assumptions!$C$7,F531)),Assumptions!$D$7,"Other Services"))),"Other Services"))</f>
        <v/>
      </c>
    </row>
    <row r="532" customFormat="false" ht="15" hidden="false" customHeight="false" outlineLevel="0" collapsed="false">
      <c r="I532" s="41" t="str">
        <f aca="false">IF(F532="","",IFERROR(IF(ISNUMBER(SEARCH(Assumptions!$C$5,F532)),Assumptions!$D$5,IF(ISNUMBER(SEARCH(Assumptions!$C$6,F532)),Assumptions!$D$6,IF(ISNUMBER(SEARCH(Assumptions!$C$7,F532)),Assumptions!$D$7,"Other Services"))),"Other Services"))</f>
        <v/>
      </c>
    </row>
    <row r="533" customFormat="false" ht="15" hidden="false" customHeight="false" outlineLevel="0" collapsed="false">
      <c r="I533" s="41" t="str">
        <f aca="false">IF(F533="","",IFERROR(IF(ISNUMBER(SEARCH(Assumptions!$C$5,F533)),Assumptions!$D$5,IF(ISNUMBER(SEARCH(Assumptions!$C$6,F533)),Assumptions!$D$6,IF(ISNUMBER(SEARCH(Assumptions!$C$7,F533)),Assumptions!$D$7,"Other Services"))),"Other Services"))</f>
        <v/>
      </c>
    </row>
    <row r="534" customFormat="false" ht="15" hidden="false" customHeight="false" outlineLevel="0" collapsed="false">
      <c r="I534" s="41" t="str">
        <f aca="false">IF(F534="","",IFERROR(IF(ISNUMBER(SEARCH(Assumptions!$C$5,F534)),Assumptions!$D$5,IF(ISNUMBER(SEARCH(Assumptions!$C$6,F534)),Assumptions!$D$6,IF(ISNUMBER(SEARCH(Assumptions!$C$7,F534)),Assumptions!$D$7,"Other Services"))),"Other Services"))</f>
        <v/>
      </c>
    </row>
    <row r="535" customFormat="false" ht="15" hidden="false" customHeight="false" outlineLevel="0" collapsed="false">
      <c r="I535" s="41" t="str">
        <f aca="false">IF(F535="","",IFERROR(IF(ISNUMBER(SEARCH(Assumptions!$C$5,F535)),Assumptions!$D$5,IF(ISNUMBER(SEARCH(Assumptions!$C$6,F535)),Assumptions!$D$6,IF(ISNUMBER(SEARCH(Assumptions!$C$7,F535)),Assumptions!$D$7,"Other Services"))),"Other Services"))</f>
        <v/>
      </c>
    </row>
    <row r="536" customFormat="false" ht="15" hidden="false" customHeight="false" outlineLevel="0" collapsed="false">
      <c r="I536" s="41" t="str">
        <f aca="false">IF(F536="","",IFERROR(IF(ISNUMBER(SEARCH(Assumptions!$C$5,F536)),Assumptions!$D$5,IF(ISNUMBER(SEARCH(Assumptions!$C$6,F536)),Assumptions!$D$6,IF(ISNUMBER(SEARCH(Assumptions!$C$7,F536)),Assumptions!$D$7,"Other Services"))),"Other Services"))</f>
        <v/>
      </c>
    </row>
    <row r="537" customFormat="false" ht="15" hidden="false" customHeight="false" outlineLevel="0" collapsed="false">
      <c r="I537" s="41" t="str">
        <f aca="false">IF(F537="","",IFERROR(IF(ISNUMBER(SEARCH(Assumptions!$C$5,F537)),Assumptions!$D$5,IF(ISNUMBER(SEARCH(Assumptions!$C$6,F537)),Assumptions!$D$6,IF(ISNUMBER(SEARCH(Assumptions!$C$7,F537)),Assumptions!$D$7,"Other Services"))),"Other Services"))</f>
        <v/>
      </c>
    </row>
    <row r="538" customFormat="false" ht="15" hidden="false" customHeight="false" outlineLevel="0" collapsed="false">
      <c r="I538" s="41" t="str">
        <f aca="false">IF(F538="","",IFERROR(IF(ISNUMBER(SEARCH(Assumptions!$C$5,F538)),Assumptions!$D$5,IF(ISNUMBER(SEARCH(Assumptions!$C$6,F538)),Assumptions!$D$6,IF(ISNUMBER(SEARCH(Assumptions!$C$7,F538)),Assumptions!$D$7,"Other Services"))),"Other Services"))</f>
        <v/>
      </c>
    </row>
    <row r="539" customFormat="false" ht="15" hidden="false" customHeight="false" outlineLevel="0" collapsed="false">
      <c r="I539" s="41" t="str">
        <f aca="false">IF(F539="","",IFERROR(IF(ISNUMBER(SEARCH(Assumptions!$C$5,F539)),Assumptions!$D$5,IF(ISNUMBER(SEARCH(Assumptions!$C$6,F539)),Assumptions!$D$6,IF(ISNUMBER(SEARCH(Assumptions!$C$7,F539)),Assumptions!$D$7,"Other Services"))),"Other Services"))</f>
        <v/>
      </c>
    </row>
    <row r="540" customFormat="false" ht="15" hidden="false" customHeight="false" outlineLevel="0" collapsed="false">
      <c r="I540" s="41" t="str">
        <f aca="false">IF(F540="","",IFERROR(IF(ISNUMBER(SEARCH(Assumptions!$C$5,F540)),Assumptions!$D$5,IF(ISNUMBER(SEARCH(Assumptions!$C$6,F540)),Assumptions!$D$6,IF(ISNUMBER(SEARCH(Assumptions!$C$7,F540)),Assumptions!$D$7,"Other Services"))),"Other Services"))</f>
        <v/>
      </c>
    </row>
    <row r="541" customFormat="false" ht="15" hidden="false" customHeight="false" outlineLevel="0" collapsed="false">
      <c r="I541" s="41" t="str">
        <f aca="false">IF(F541="","",IFERROR(IF(ISNUMBER(SEARCH(Assumptions!$C$5,F541)),Assumptions!$D$5,IF(ISNUMBER(SEARCH(Assumptions!$C$6,F541)),Assumptions!$D$6,IF(ISNUMBER(SEARCH(Assumptions!$C$7,F541)),Assumptions!$D$7,"Other Services"))),"Other Services"))</f>
        <v/>
      </c>
    </row>
    <row r="542" customFormat="false" ht="15" hidden="false" customHeight="false" outlineLevel="0" collapsed="false">
      <c r="I542" s="41" t="str">
        <f aca="false">IF(F542="","",IFERROR(IF(ISNUMBER(SEARCH(Assumptions!$C$5,F542)),Assumptions!$D$5,IF(ISNUMBER(SEARCH(Assumptions!$C$6,F542)),Assumptions!$D$6,IF(ISNUMBER(SEARCH(Assumptions!$C$7,F542)),Assumptions!$D$7,"Other Services"))),"Other Services"))</f>
        <v/>
      </c>
    </row>
    <row r="543" customFormat="false" ht="15" hidden="false" customHeight="false" outlineLevel="0" collapsed="false">
      <c r="I543" s="41" t="str">
        <f aca="false">IF(F543="","",IFERROR(IF(ISNUMBER(SEARCH(Assumptions!$C$5,F543)),Assumptions!$D$5,IF(ISNUMBER(SEARCH(Assumptions!$C$6,F543)),Assumptions!$D$6,IF(ISNUMBER(SEARCH(Assumptions!$C$7,F543)),Assumptions!$D$7,"Other Services"))),"Other Services"))</f>
        <v/>
      </c>
    </row>
    <row r="544" customFormat="false" ht="15" hidden="false" customHeight="false" outlineLevel="0" collapsed="false">
      <c r="I544" s="41" t="str">
        <f aca="false">IF(F544="","",IFERROR(IF(ISNUMBER(SEARCH(Assumptions!$C$5,F544)),Assumptions!$D$5,IF(ISNUMBER(SEARCH(Assumptions!$C$6,F544)),Assumptions!$D$6,IF(ISNUMBER(SEARCH(Assumptions!$C$7,F544)),Assumptions!$D$7,"Other Services"))),"Other Services"))</f>
        <v/>
      </c>
    </row>
    <row r="545" customFormat="false" ht="15" hidden="false" customHeight="false" outlineLevel="0" collapsed="false">
      <c r="I545" s="41" t="str">
        <f aca="false">IF(F545="","",IFERROR(IF(ISNUMBER(SEARCH(Assumptions!$C$5,F545)),Assumptions!$D$5,IF(ISNUMBER(SEARCH(Assumptions!$C$6,F545)),Assumptions!$D$6,IF(ISNUMBER(SEARCH(Assumptions!$C$7,F545)),Assumptions!$D$7,"Other Services"))),"Other Services"))</f>
        <v/>
      </c>
    </row>
    <row r="546" customFormat="false" ht="15" hidden="false" customHeight="false" outlineLevel="0" collapsed="false">
      <c r="I546" s="41" t="str">
        <f aca="false">IF(F546="","",IFERROR(IF(ISNUMBER(SEARCH(Assumptions!$C$5,F546)),Assumptions!$D$5,IF(ISNUMBER(SEARCH(Assumptions!$C$6,F546)),Assumptions!$D$6,IF(ISNUMBER(SEARCH(Assumptions!$C$7,F546)),Assumptions!$D$7,"Other Services"))),"Other Services"))</f>
        <v/>
      </c>
    </row>
    <row r="547" customFormat="false" ht="15" hidden="false" customHeight="false" outlineLevel="0" collapsed="false">
      <c r="I547" s="41" t="str">
        <f aca="false">IF(F547="","",IFERROR(IF(ISNUMBER(SEARCH(Assumptions!$C$5,F547)),Assumptions!$D$5,IF(ISNUMBER(SEARCH(Assumptions!$C$6,F547)),Assumptions!$D$6,IF(ISNUMBER(SEARCH(Assumptions!$C$7,F547)),Assumptions!$D$7,"Other Services"))),"Other Services"))</f>
        <v/>
      </c>
    </row>
    <row r="548" customFormat="false" ht="15" hidden="false" customHeight="false" outlineLevel="0" collapsed="false">
      <c r="I548" s="41" t="str">
        <f aca="false">IF(F548="","",IFERROR(IF(ISNUMBER(SEARCH(Assumptions!$C$5,F548)),Assumptions!$D$5,IF(ISNUMBER(SEARCH(Assumptions!$C$6,F548)),Assumptions!$D$6,IF(ISNUMBER(SEARCH(Assumptions!$C$7,F548)),Assumptions!$D$7,"Other Services"))),"Other Services"))</f>
        <v/>
      </c>
    </row>
    <row r="549" customFormat="false" ht="15" hidden="false" customHeight="false" outlineLevel="0" collapsed="false">
      <c r="I549" s="41" t="str">
        <f aca="false">IF(F549="","",IFERROR(IF(ISNUMBER(SEARCH(Assumptions!$C$5,F549)),Assumptions!$D$5,IF(ISNUMBER(SEARCH(Assumptions!$C$6,F549)),Assumptions!$D$6,IF(ISNUMBER(SEARCH(Assumptions!$C$7,F549)),Assumptions!$D$7,"Other Services"))),"Other Services"))</f>
        <v/>
      </c>
    </row>
    <row r="550" customFormat="false" ht="15" hidden="false" customHeight="false" outlineLevel="0" collapsed="false">
      <c r="I550" s="41" t="str">
        <f aca="false">IF(F550="","",IFERROR(IF(ISNUMBER(SEARCH(Assumptions!$C$5,F550)),Assumptions!$D$5,IF(ISNUMBER(SEARCH(Assumptions!$C$6,F550)),Assumptions!$D$6,IF(ISNUMBER(SEARCH(Assumptions!$C$7,F550)),Assumptions!$D$7,"Other Services"))),"Other Services"))</f>
        <v/>
      </c>
    </row>
    <row r="551" customFormat="false" ht="15" hidden="false" customHeight="false" outlineLevel="0" collapsed="false">
      <c r="I551" s="41" t="str">
        <f aca="false">IF(F551="","",IFERROR(IF(ISNUMBER(SEARCH(Assumptions!$C$5,F551)),Assumptions!$D$5,IF(ISNUMBER(SEARCH(Assumptions!$C$6,F551)),Assumptions!$D$6,IF(ISNUMBER(SEARCH(Assumptions!$C$7,F551)),Assumptions!$D$7,"Other Services"))),"Other Services"))</f>
        <v/>
      </c>
    </row>
    <row r="552" customFormat="false" ht="15" hidden="false" customHeight="false" outlineLevel="0" collapsed="false">
      <c r="I552" s="41" t="str">
        <f aca="false">IF(F552="","",IFERROR(IF(ISNUMBER(SEARCH(Assumptions!$C$5,F552)),Assumptions!$D$5,IF(ISNUMBER(SEARCH(Assumptions!$C$6,F552)),Assumptions!$D$6,IF(ISNUMBER(SEARCH(Assumptions!$C$7,F552)),Assumptions!$D$7,"Other Services"))),"Other Services"))</f>
        <v/>
      </c>
    </row>
    <row r="553" customFormat="false" ht="15" hidden="false" customHeight="false" outlineLevel="0" collapsed="false">
      <c r="I553" s="41" t="str">
        <f aca="false">IF(F553="","",IFERROR(IF(ISNUMBER(SEARCH(Assumptions!$C$5,F553)),Assumptions!$D$5,IF(ISNUMBER(SEARCH(Assumptions!$C$6,F553)),Assumptions!$D$6,IF(ISNUMBER(SEARCH(Assumptions!$C$7,F553)),Assumptions!$D$7,"Other Services"))),"Other Services"))</f>
        <v/>
      </c>
    </row>
    <row r="554" customFormat="false" ht="15" hidden="false" customHeight="false" outlineLevel="0" collapsed="false">
      <c r="I554" s="41" t="str">
        <f aca="false">IF(F554="","",IFERROR(IF(ISNUMBER(SEARCH(Assumptions!$C$5,F554)),Assumptions!$D$5,IF(ISNUMBER(SEARCH(Assumptions!$C$6,F554)),Assumptions!$D$6,IF(ISNUMBER(SEARCH(Assumptions!$C$7,F554)),Assumptions!$D$7,"Other Services"))),"Other Services"))</f>
        <v/>
      </c>
    </row>
    <row r="555" customFormat="false" ht="15" hidden="false" customHeight="false" outlineLevel="0" collapsed="false">
      <c r="I555" s="41" t="str">
        <f aca="false">IF(F555="","",IFERROR(IF(ISNUMBER(SEARCH(Assumptions!$C$5,F555)),Assumptions!$D$5,IF(ISNUMBER(SEARCH(Assumptions!$C$6,F555)),Assumptions!$D$6,IF(ISNUMBER(SEARCH(Assumptions!$C$7,F555)),Assumptions!$D$7,"Other Services"))),"Other Services"))</f>
        <v/>
      </c>
    </row>
    <row r="556" customFormat="false" ht="15" hidden="false" customHeight="false" outlineLevel="0" collapsed="false">
      <c r="I556" s="41" t="str">
        <f aca="false">IF(F556="","",IFERROR(IF(ISNUMBER(SEARCH(Assumptions!$C$5,F556)),Assumptions!$D$5,IF(ISNUMBER(SEARCH(Assumptions!$C$6,F556)),Assumptions!$D$6,IF(ISNUMBER(SEARCH(Assumptions!$C$7,F556)),Assumptions!$D$7,"Other Services"))),"Other Services"))</f>
        <v/>
      </c>
    </row>
    <row r="557" customFormat="false" ht="15" hidden="false" customHeight="false" outlineLevel="0" collapsed="false">
      <c r="I557" s="41" t="str">
        <f aca="false">IF(F557="","",IFERROR(IF(ISNUMBER(SEARCH(Assumptions!$C$5,F557)),Assumptions!$D$5,IF(ISNUMBER(SEARCH(Assumptions!$C$6,F557)),Assumptions!$D$6,IF(ISNUMBER(SEARCH(Assumptions!$C$7,F557)),Assumptions!$D$7,"Other Services"))),"Other Services"))</f>
        <v/>
      </c>
    </row>
    <row r="558" customFormat="false" ht="15" hidden="false" customHeight="false" outlineLevel="0" collapsed="false">
      <c r="I558" s="41" t="str">
        <f aca="false">IF(F558="","",IFERROR(IF(ISNUMBER(SEARCH(Assumptions!$C$5,F558)),Assumptions!$D$5,IF(ISNUMBER(SEARCH(Assumptions!$C$6,F558)),Assumptions!$D$6,IF(ISNUMBER(SEARCH(Assumptions!$C$7,F558)),Assumptions!$D$7,"Other Services"))),"Other Services"))</f>
        <v/>
      </c>
    </row>
    <row r="559" customFormat="false" ht="15" hidden="false" customHeight="false" outlineLevel="0" collapsed="false">
      <c r="I559" s="41" t="str">
        <f aca="false">IF(F559="","",IFERROR(IF(ISNUMBER(SEARCH(Assumptions!$C$5,F559)),Assumptions!$D$5,IF(ISNUMBER(SEARCH(Assumptions!$C$6,F559)),Assumptions!$D$6,IF(ISNUMBER(SEARCH(Assumptions!$C$7,F559)),Assumptions!$D$7,"Other Services"))),"Other Services"))</f>
        <v/>
      </c>
    </row>
    <row r="560" customFormat="false" ht="15" hidden="false" customHeight="false" outlineLevel="0" collapsed="false">
      <c r="I560" s="41" t="str">
        <f aca="false">IF(F560="","",IFERROR(IF(ISNUMBER(SEARCH(Assumptions!$C$5,F560)),Assumptions!$D$5,IF(ISNUMBER(SEARCH(Assumptions!$C$6,F560)),Assumptions!$D$6,IF(ISNUMBER(SEARCH(Assumptions!$C$7,F560)),Assumptions!$D$7,"Other Services"))),"Other Services"))</f>
        <v/>
      </c>
    </row>
    <row r="561" customFormat="false" ht="15" hidden="false" customHeight="false" outlineLevel="0" collapsed="false">
      <c r="I561" s="41" t="str">
        <f aca="false">IF(F561="","",IFERROR(IF(ISNUMBER(SEARCH(Assumptions!$C$5,F561)),Assumptions!$D$5,IF(ISNUMBER(SEARCH(Assumptions!$C$6,F561)),Assumptions!$D$6,IF(ISNUMBER(SEARCH(Assumptions!$C$7,F561)),Assumptions!$D$7,"Other Services"))),"Other Services"))</f>
        <v/>
      </c>
    </row>
    <row r="562" customFormat="false" ht="15" hidden="false" customHeight="false" outlineLevel="0" collapsed="false">
      <c r="I562" s="41" t="str">
        <f aca="false">IF(F562="","",IFERROR(IF(ISNUMBER(SEARCH(Assumptions!$C$5,F562)),Assumptions!$D$5,IF(ISNUMBER(SEARCH(Assumptions!$C$6,F562)),Assumptions!$D$6,IF(ISNUMBER(SEARCH(Assumptions!$C$7,F562)),Assumptions!$D$7,"Other Services"))),"Other Services"))</f>
        <v/>
      </c>
    </row>
    <row r="563" customFormat="false" ht="15" hidden="false" customHeight="false" outlineLevel="0" collapsed="false">
      <c r="I563" s="41" t="str">
        <f aca="false">IF(F563="","",IFERROR(IF(ISNUMBER(SEARCH(Assumptions!$C$5,F563)),Assumptions!$D$5,IF(ISNUMBER(SEARCH(Assumptions!$C$6,F563)),Assumptions!$D$6,IF(ISNUMBER(SEARCH(Assumptions!$C$7,F563)),Assumptions!$D$7,"Other Services"))),"Other Services"))</f>
        <v/>
      </c>
    </row>
    <row r="564" customFormat="false" ht="15" hidden="false" customHeight="false" outlineLevel="0" collapsed="false">
      <c r="I564" s="41" t="str">
        <f aca="false">IF(F564="","",IFERROR(IF(ISNUMBER(SEARCH(Assumptions!$C$5,F564)),Assumptions!$D$5,IF(ISNUMBER(SEARCH(Assumptions!$C$6,F564)),Assumptions!$D$6,IF(ISNUMBER(SEARCH(Assumptions!$C$7,F564)),Assumptions!$D$7,"Other Services"))),"Other Services"))</f>
        <v/>
      </c>
    </row>
    <row r="565" customFormat="false" ht="15" hidden="false" customHeight="false" outlineLevel="0" collapsed="false">
      <c r="I565" s="41" t="str">
        <f aca="false">IF(F565="","",IFERROR(IF(ISNUMBER(SEARCH(Assumptions!$C$5,F565)),Assumptions!$D$5,IF(ISNUMBER(SEARCH(Assumptions!$C$6,F565)),Assumptions!$D$6,IF(ISNUMBER(SEARCH(Assumptions!$C$7,F565)),Assumptions!$D$7,"Other Services"))),"Other Services"))</f>
        <v/>
      </c>
    </row>
    <row r="566" customFormat="false" ht="15" hidden="false" customHeight="false" outlineLevel="0" collapsed="false">
      <c r="I566" s="41" t="str">
        <f aca="false">IF(F566="","",IFERROR(IF(ISNUMBER(SEARCH(Assumptions!$C$5,F566)),Assumptions!$D$5,IF(ISNUMBER(SEARCH(Assumptions!$C$6,F566)),Assumptions!$D$6,IF(ISNUMBER(SEARCH(Assumptions!$C$7,F566)),Assumptions!$D$7,"Other Services"))),"Other Services"))</f>
        <v/>
      </c>
    </row>
    <row r="567" customFormat="false" ht="15" hidden="false" customHeight="false" outlineLevel="0" collapsed="false">
      <c r="I567" s="41" t="str">
        <f aca="false">IF(F567="","",IFERROR(IF(ISNUMBER(SEARCH(Assumptions!$C$5,F567)),Assumptions!$D$5,IF(ISNUMBER(SEARCH(Assumptions!$C$6,F567)),Assumptions!$D$6,IF(ISNUMBER(SEARCH(Assumptions!$C$7,F567)),Assumptions!$D$7,"Other Services"))),"Other Services"))</f>
        <v/>
      </c>
    </row>
    <row r="568" customFormat="false" ht="15" hidden="false" customHeight="false" outlineLevel="0" collapsed="false">
      <c r="I568" s="41" t="str">
        <f aca="false">IF(F568="","",IFERROR(IF(ISNUMBER(SEARCH(Assumptions!$C$5,F568)),Assumptions!$D$5,IF(ISNUMBER(SEARCH(Assumptions!$C$6,F568)),Assumptions!$D$6,IF(ISNUMBER(SEARCH(Assumptions!$C$7,F568)),Assumptions!$D$7,"Other Services"))),"Other Services"))</f>
        <v/>
      </c>
    </row>
    <row r="569" customFormat="false" ht="15" hidden="false" customHeight="false" outlineLevel="0" collapsed="false">
      <c r="I569" s="41" t="str">
        <f aca="false">IF(F569="","",IFERROR(IF(ISNUMBER(SEARCH(Assumptions!$C$5,F569)),Assumptions!$D$5,IF(ISNUMBER(SEARCH(Assumptions!$C$6,F569)),Assumptions!$D$6,IF(ISNUMBER(SEARCH(Assumptions!$C$7,F569)),Assumptions!$D$7,"Other Services"))),"Other Services"))</f>
        <v/>
      </c>
    </row>
    <row r="570" customFormat="false" ht="15" hidden="false" customHeight="false" outlineLevel="0" collapsed="false">
      <c r="I570" s="41" t="str">
        <f aca="false">IF(F570="","",IFERROR(IF(ISNUMBER(SEARCH(Assumptions!$C$5,F570)),Assumptions!$D$5,IF(ISNUMBER(SEARCH(Assumptions!$C$6,F570)),Assumptions!$D$6,IF(ISNUMBER(SEARCH(Assumptions!$C$7,F570)),Assumptions!$D$7,"Other Services"))),"Other Services"))</f>
        <v/>
      </c>
    </row>
    <row r="571" customFormat="false" ht="15" hidden="false" customHeight="false" outlineLevel="0" collapsed="false">
      <c r="I571" s="41" t="str">
        <f aca="false">IF(F571="","",IFERROR(IF(ISNUMBER(SEARCH(Assumptions!$C$5,F571)),Assumptions!$D$5,IF(ISNUMBER(SEARCH(Assumptions!$C$6,F571)),Assumptions!$D$6,IF(ISNUMBER(SEARCH(Assumptions!$C$7,F571)),Assumptions!$D$7,"Other Services"))),"Other Services"))</f>
        <v/>
      </c>
    </row>
    <row r="572" customFormat="false" ht="15" hidden="false" customHeight="false" outlineLevel="0" collapsed="false">
      <c r="I572" s="41" t="str">
        <f aca="false">IF(F572="","",IFERROR(IF(ISNUMBER(SEARCH(Assumptions!$C$5,F572)),Assumptions!$D$5,IF(ISNUMBER(SEARCH(Assumptions!$C$6,F572)),Assumptions!$D$6,IF(ISNUMBER(SEARCH(Assumptions!$C$7,F572)),Assumptions!$D$7,"Other Services"))),"Other Services"))</f>
        <v/>
      </c>
    </row>
    <row r="573" customFormat="false" ht="15" hidden="false" customHeight="false" outlineLevel="0" collapsed="false">
      <c r="I573" s="41" t="str">
        <f aca="false">IF(F573="","",IFERROR(IF(ISNUMBER(SEARCH(Assumptions!$C$5,F573)),Assumptions!$D$5,IF(ISNUMBER(SEARCH(Assumptions!$C$6,F573)),Assumptions!$D$6,IF(ISNUMBER(SEARCH(Assumptions!$C$7,F573)),Assumptions!$D$7,"Other Services"))),"Other Services"))</f>
        <v/>
      </c>
    </row>
    <row r="574" customFormat="false" ht="15" hidden="false" customHeight="false" outlineLevel="0" collapsed="false">
      <c r="I574" s="41" t="str">
        <f aca="false">IF(F574="","",IFERROR(IF(ISNUMBER(SEARCH(Assumptions!$C$5,F574)),Assumptions!$D$5,IF(ISNUMBER(SEARCH(Assumptions!$C$6,F574)),Assumptions!$D$6,IF(ISNUMBER(SEARCH(Assumptions!$C$7,F574)),Assumptions!$D$7,"Other Services"))),"Other Services"))</f>
        <v/>
      </c>
    </row>
    <row r="575" customFormat="false" ht="15" hidden="false" customHeight="false" outlineLevel="0" collapsed="false">
      <c r="I575" s="41" t="str">
        <f aca="false">IF(F575="","",IFERROR(IF(ISNUMBER(SEARCH(Assumptions!$C$5,F575)),Assumptions!$D$5,IF(ISNUMBER(SEARCH(Assumptions!$C$6,F575)),Assumptions!$D$6,IF(ISNUMBER(SEARCH(Assumptions!$C$7,F575)),Assumptions!$D$7,"Other Services"))),"Other Services"))</f>
        <v/>
      </c>
    </row>
    <row r="576" customFormat="false" ht="15" hidden="false" customHeight="false" outlineLevel="0" collapsed="false">
      <c r="I576" s="41" t="str">
        <f aca="false">IF(F576="","",IFERROR(IF(ISNUMBER(SEARCH(Assumptions!$C$5,F576)),Assumptions!$D$5,IF(ISNUMBER(SEARCH(Assumptions!$C$6,F576)),Assumptions!$D$6,IF(ISNUMBER(SEARCH(Assumptions!$C$7,F576)),Assumptions!$D$7,"Other Services"))),"Other Services"))</f>
        <v/>
      </c>
    </row>
    <row r="577" customFormat="false" ht="15" hidden="false" customHeight="false" outlineLevel="0" collapsed="false">
      <c r="I577" s="41" t="str">
        <f aca="false">IF(F577="","",IFERROR(IF(ISNUMBER(SEARCH(Assumptions!$C$5,F577)),Assumptions!$D$5,IF(ISNUMBER(SEARCH(Assumptions!$C$6,F577)),Assumptions!$D$6,IF(ISNUMBER(SEARCH(Assumptions!$C$7,F577)),Assumptions!$D$7,"Other Services"))),"Other Services"))</f>
        <v/>
      </c>
    </row>
    <row r="578" customFormat="false" ht="15" hidden="false" customHeight="false" outlineLevel="0" collapsed="false">
      <c r="I578" s="41" t="str">
        <f aca="false">IF(F578="","",IFERROR(IF(ISNUMBER(SEARCH(Assumptions!$C$5,F578)),Assumptions!$D$5,IF(ISNUMBER(SEARCH(Assumptions!$C$6,F578)),Assumptions!$D$6,IF(ISNUMBER(SEARCH(Assumptions!$C$7,F578)),Assumptions!$D$7,"Other Services"))),"Other Services"))</f>
        <v/>
      </c>
    </row>
    <row r="579" customFormat="false" ht="15" hidden="false" customHeight="false" outlineLevel="0" collapsed="false">
      <c r="I579" s="41" t="str">
        <f aca="false">IF(F579="","",IFERROR(IF(ISNUMBER(SEARCH(Assumptions!$C$5,F579)),Assumptions!$D$5,IF(ISNUMBER(SEARCH(Assumptions!$C$6,F579)),Assumptions!$D$6,IF(ISNUMBER(SEARCH(Assumptions!$C$7,F579)),Assumptions!$D$7,"Other Services"))),"Other Services"))</f>
        <v/>
      </c>
    </row>
    <row r="580" customFormat="false" ht="15" hidden="false" customHeight="false" outlineLevel="0" collapsed="false">
      <c r="I580" s="41" t="str">
        <f aca="false">IF(F580="","",IFERROR(IF(ISNUMBER(SEARCH(Assumptions!$C$5,F580)),Assumptions!$D$5,IF(ISNUMBER(SEARCH(Assumptions!$C$6,F580)),Assumptions!$D$6,IF(ISNUMBER(SEARCH(Assumptions!$C$7,F580)),Assumptions!$D$7,"Other Services"))),"Other Services"))</f>
        <v/>
      </c>
    </row>
    <row r="581" customFormat="false" ht="15" hidden="false" customHeight="false" outlineLevel="0" collapsed="false">
      <c r="I581" s="41" t="str">
        <f aca="false">IF(F581="","",IFERROR(IF(ISNUMBER(SEARCH(Assumptions!$C$5,F581)),Assumptions!$D$5,IF(ISNUMBER(SEARCH(Assumptions!$C$6,F581)),Assumptions!$D$6,IF(ISNUMBER(SEARCH(Assumptions!$C$7,F581)),Assumptions!$D$7,"Other Services"))),"Other Services"))</f>
        <v/>
      </c>
    </row>
    <row r="582" customFormat="false" ht="15" hidden="false" customHeight="false" outlineLevel="0" collapsed="false">
      <c r="I582" s="41" t="str">
        <f aca="false">IF(F582="","",IFERROR(IF(ISNUMBER(SEARCH(Assumptions!$C$5,F582)),Assumptions!$D$5,IF(ISNUMBER(SEARCH(Assumptions!$C$6,F582)),Assumptions!$D$6,IF(ISNUMBER(SEARCH(Assumptions!$C$7,F582)),Assumptions!$D$7,"Other Services"))),"Other Services"))</f>
        <v/>
      </c>
    </row>
    <row r="583" customFormat="false" ht="15" hidden="false" customHeight="false" outlineLevel="0" collapsed="false">
      <c r="I583" s="41" t="str">
        <f aca="false">IF(F583="","",IFERROR(IF(ISNUMBER(SEARCH(Assumptions!$C$5,F583)),Assumptions!$D$5,IF(ISNUMBER(SEARCH(Assumptions!$C$6,F583)),Assumptions!$D$6,IF(ISNUMBER(SEARCH(Assumptions!$C$7,F583)),Assumptions!$D$7,"Other Services"))),"Other Services"))</f>
        <v/>
      </c>
    </row>
    <row r="584" customFormat="false" ht="15" hidden="false" customHeight="false" outlineLevel="0" collapsed="false">
      <c r="I584" s="41" t="str">
        <f aca="false">IF(F584="","",IFERROR(IF(ISNUMBER(SEARCH(Assumptions!$C$5,F584)),Assumptions!$D$5,IF(ISNUMBER(SEARCH(Assumptions!$C$6,F584)),Assumptions!$D$6,IF(ISNUMBER(SEARCH(Assumptions!$C$7,F584)),Assumptions!$D$7,"Other Services"))),"Other Services"))</f>
        <v/>
      </c>
    </row>
    <row r="585" customFormat="false" ht="15" hidden="false" customHeight="false" outlineLevel="0" collapsed="false">
      <c r="I585" s="41" t="str">
        <f aca="false">IF(F585="","",IFERROR(IF(ISNUMBER(SEARCH(Assumptions!$C$5,F585)),Assumptions!$D$5,IF(ISNUMBER(SEARCH(Assumptions!$C$6,F585)),Assumptions!$D$6,IF(ISNUMBER(SEARCH(Assumptions!$C$7,F585)),Assumptions!$D$7,"Other Services"))),"Other Services"))</f>
        <v/>
      </c>
    </row>
    <row r="586" customFormat="false" ht="15" hidden="false" customHeight="false" outlineLevel="0" collapsed="false">
      <c r="I586" s="41" t="str">
        <f aca="false">IF(F586="","",IFERROR(IF(ISNUMBER(SEARCH(Assumptions!$C$5,F586)),Assumptions!$D$5,IF(ISNUMBER(SEARCH(Assumptions!$C$6,F586)),Assumptions!$D$6,IF(ISNUMBER(SEARCH(Assumptions!$C$7,F586)),Assumptions!$D$7,"Other Services"))),"Other Services"))</f>
        <v/>
      </c>
    </row>
    <row r="587" customFormat="false" ht="15" hidden="false" customHeight="false" outlineLevel="0" collapsed="false">
      <c r="I587" s="41" t="str">
        <f aca="false">IF(F587="","",IFERROR(IF(ISNUMBER(SEARCH(Assumptions!$C$5,F587)),Assumptions!$D$5,IF(ISNUMBER(SEARCH(Assumptions!$C$6,F587)),Assumptions!$D$6,IF(ISNUMBER(SEARCH(Assumptions!$C$7,F587)),Assumptions!$D$7,"Other Services"))),"Other Services"))</f>
        <v/>
      </c>
    </row>
    <row r="588" customFormat="false" ht="15" hidden="false" customHeight="false" outlineLevel="0" collapsed="false">
      <c r="I588" s="41" t="str">
        <f aca="false">IF(F588="","",IFERROR(IF(ISNUMBER(SEARCH(Assumptions!$C$5,F588)),Assumptions!$D$5,IF(ISNUMBER(SEARCH(Assumptions!$C$6,F588)),Assumptions!$D$6,IF(ISNUMBER(SEARCH(Assumptions!$C$7,F588)),Assumptions!$D$7,"Other Services"))),"Other Services"))</f>
        <v/>
      </c>
    </row>
    <row r="589" customFormat="false" ht="15" hidden="false" customHeight="false" outlineLevel="0" collapsed="false">
      <c r="I589" s="41" t="str">
        <f aca="false">IF(F589="","",IFERROR(IF(ISNUMBER(SEARCH(Assumptions!$C$5,F589)),Assumptions!$D$5,IF(ISNUMBER(SEARCH(Assumptions!$C$6,F589)),Assumptions!$D$6,IF(ISNUMBER(SEARCH(Assumptions!$C$7,F589)),Assumptions!$D$7,"Other Services"))),"Other Services"))</f>
        <v/>
      </c>
    </row>
    <row r="590" customFormat="false" ht="15" hidden="false" customHeight="false" outlineLevel="0" collapsed="false">
      <c r="I590" s="41" t="str">
        <f aca="false">IF(F590="","",IFERROR(IF(ISNUMBER(SEARCH(Assumptions!$C$5,F590)),Assumptions!$D$5,IF(ISNUMBER(SEARCH(Assumptions!$C$6,F590)),Assumptions!$D$6,IF(ISNUMBER(SEARCH(Assumptions!$C$7,F590)),Assumptions!$D$7,"Other Services"))),"Other Services"))</f>
        <v/>
      </c>
    </row>
    <row r="591" customFormat="false" ht="15" hidden="false" customHeight="false" outlineLevel="0" collapsed="false">
      <c r="I591" s="41" t="str">
        <f aca="false">IF(F591="","",IFERROR(IF(ISNUMBER(SEARCH(Assumptions!$C$5,F591)),Assumptions!$D$5,IF(ISNUMBER(SEARCH(Assumptions!$C$6,F591)),Assumptions!$D$6,IF(ISNUMBER(SEARCH(Assumptions!$C$7,F591)),Assumptions!$D$7,"Other Services"))),"Other Services"))</f>
        <v/>
      </c>
    </row>
    <row r="592" customFormat="false" ht="15" hidden="false" customHeight="false" outlineLevel="0" collapsed="false">
      <c r="I592" s="41" t="str">
        <f aca="false">IF(F592="","",IFERROR(IF(ISNUMBER(SEARCH(Assumptions!$C$5,F592)),Assumptions!$D$5,IF(ISNUMBER(SEARCH(Assumptions!$C$6,F592)),Assumptions!$D$6,IF(ISNUMBER(SEARCH(Assumptions!$C$7,F592)),Assumptions!$D$7,"Other Services"))),"Other Services"))</f>
        <v/>
      </c>
    </row>
    <row r="593" customFormat="false" ht="15" hidden="false" customHeight="false" outlineLevel="0" collapsed="false">
      <c r="I593" s="41" t="str">
        <f aca="false">IF(F593="","",IFERROR(IF(ISNUMBER(SEARCH(Assumptions!$C$5,F593)),Assumptions!$D$5,IF(ISNUMBER(SEARCH(Assumptions!$C$6,F593)),Assumptions!$D$6,IF(ISNUMBER(SEARCH(Assumptions!$C$7,F593)),Assumptions!$D$7,"Other Services"))),"Other Services"))</f>
        <v/>
      </c>
    </row>
    <row r="594" customFormat="false" ht="15" hidden="false" customHeight="false" outlineLevel="0" collapsed="false">
      <c r="I594" s="41" t="str">
        <f aca="false">IF(F594="","",IFERROR(IF(ISNUMBER(SEARCH(Assumptions!$C$5,F594)),Assumptions!$D$5,IF(ISNUMBER(SEARCH(Assumptions!$C$6,F594)),Assumptions!$D$6,IF(ISNUMBER(SEARCH(Assumptions!$C$7,F594)),Assumptions!$D$7,"Other Services"))),"Other Services"))</f>
        <v/>
      </c>
    </row>
    <row r="595" customFormat="false" ht="15" hidden="false" customHeight="false" outlineLevel="0" collapsed="false">
      <c r="I595" s="41" t="str">
        <f aca="false">IF(F595="","",IFERROR(IF(ISNUMBER(SEARCH(Assumptions!$C$5,F595)),Assumptions!$D$5,IF(ISNUMBER(SEARCH(Assumptions!$C$6,F595)),Assumptions!$D$6,IF(ISNUMBER(SEARCH(Assumptions!$C$7,F595)),Assumptions!$D$7,"Other Services"))),"Other Services"))</f>
        <v/>
      </c>
    </row>
    <row r="596" customFormat="false" ht="15" hidden="false" customHeight="false" outlineLevel="0" collapsed="false">
      <c r="I596" s="41" t="str">
        <f aca="false">IF(F596="","",IFERROR(IF(ISNUMBER(SEARCH(Assumptions!$C$5,F596)),Assumptions!$D$5,IF(ISNUMBER(SEARCH(Assumptions!$C$6,F596)),Assumptions!$D$6,IF(ISNUMBER(SEARCH(Assumptions!$C$7,F596)),Assumptions!$D$7,"Other Services"))),"Other Services"))</f>
        <v/>
      </c>
    </row>
    <row r="597" customFormat="false" ht="15" hidden="false" customHeight="false" outlineLevel="0" collapsed="false">
      <c r="I597" s="41" t="str">
        <f aca="false">IF(F597="","",IFERROR(IF(ISNUMBER(SEARCH(Assumptions!$C$5,F597)),Assumptions!$D$5,IF(ISNUMBER(SEARCH(Assumptions!$C$6,F597)),Assumptions!$D$6,IF(ISNUMBER(SEARCH(Assumptions!$C$7,F597)),Assumptions!$D$7,"Other Services"))),"Other Services"))</f>
        <v/>
      </c>
    </row>
    <row r="598" customFormat="false" ht="15" hidden="false" customHeight="false" outlineLevel="0" collapsed="false">
      <c r="I598" s="41" t="str">
        <f aca="false">IF(F598="","",IFERROR(IF(ISNUMBER(SEARCH(Assumptions!$C$5,F598)),Assumptions!$D$5,IF(ISNUMBER(SEARCH(Assumptions!$C$6,F598)),Assumptions!$D$6,IF(ISNUMBER(SEARCH(Assumptions!$C$7,F598)),Assumptions!$D$7,"Other Services"))),"Other Services"))</f>
        <v/>
      </c>
    </row>
    <row r="599" customFormat="false" ht="15" hidden="false" customHeight="false" outlineLevel="0" collapsed="false">
      <c r="I599" s="41" t="str">
        <f aca="false">IF(F599="","",IFERROR(IF(ISNUMBER(SEARCH(Assumptions!$C$5,F599)),Assumptions!$D$5,IF(ISNUMBER(SEARCH(Assumptions!$C$6,F599)),Assumptions!$D$6,IF(ISNUMBER(SEARCH(Assumptions!$C$7,F599)),Assumptions!$D$7,"Other Services"))),"Other Services"))</f>
        <v/>
      </c>
    </row>
    <row r="600" customFormat="false" ht="15" hidden="false" customHeight="false" outlineLevel="0" collapsed="false">
      <c r="I600" s="41" t="str">
        <f aca="false">IF(F600="","",IFERROR(IF(ISNUMBER(SEARCH(Assumptions!$C$5,F600)),Assumptions!$D$5,IF(ISNUMBER(SEARCH(Assumptions!$C$6,F600)),Assumptions!$D$6,IF(ISNUMBER(SEARCH(Assumptions!$C$7,F600)),Assumptions!$D$7,"Other Services"))),"Other Services"))</f>
        <v/>
      </c>
    </row>
    <row r="601" customFormat="false" ht="15" hidden="false" customHeight="false" outlineLevel="0" collapsed="false">
      <c r="I601" s="41" t="str">
        <f aca="false">IF(F601="","",IFERROR(IF(ISNUMBER(SEARCH(Assumptions!$C$5,F601)),Assumptions!$D$5,IF(ISNUMBER(SEARCH(Assumptions!$C$6,F601)),Assumptions!$D$6,IF(ISNUMBER(SEARCH(Assumptions!$C$7,F601)),Assumptions!$D$7,"Other Services"))),"Other Services"))</f>
        <v/>
      </c>
    </row>
    <row r="602" customFormat="false" ht="15" hidden="false" customHeight="false" outlineLevel="0" collapsed="false">
      <c r="I602" s="41" t="str">
        <f aca="false">IF(F602="","",IFERROR(IF(ISNUMBER(SEARCH(Assumptions!$C$5,F602)),Assumptions!$D$5,IF(ISNUMBER(SEARCH(Assumptions!$C$6,F602)),Assumptions!$D$6,IF(ISNUMBER(SEARCH(Assumptions!$C$7,F602)),Assumptions!$D$7,"Other Services"))),"Other Services"))</f>
        <v/>
      </c>
    </row>
    <row r="603" customFormat="false" ht="15" hidden="false" customHeight="false" outlineLevel="0" collapsed="false">
      <c r="I603" s="41" t="str">
        <f aca="false">IF(F603="","",IFERROR(IF(ISNUMBER(SEARCH(Assumptions!$C$5,F603)),Assumptions!$D$5,IF(ISNUMBER(SEARCH(Assumptions!$C$6,F603)),Assumptions!$D$6,IF(ISNUMBER(SEARCH(Assumptions!$C$7,F603)),Assumptions!$D$7,"Other Services"))),"Other Services"))</f>
        <v/>
      </c>
    </row>
    <row r="604" customFormat="false" ht="15" hidden="false" customHeight="false" outlineLevel="0" collapsed="false">
      <c r="I604" s="41" t="str">
        <f aca="false">IF(F604="","",IFERROR(IF(ISNUMBER(SEARCH(Assumptions!$C$5,F604)),Assumptions!$D$5,IF(ISNUMBER(SEARCH(Assumptions!$C$6,F604)),Assumptions!$D$6,IF(ISNUMBER(SEARCH(Assumptions!$C$7,F604)),Assumptions!$D$7,"Other Services"))),"Other Services"))</f>
        <v/>
      </c>
    </row>
    <row r="605" customFormat="false" ht="15" hidden="false" customHeight="false" outlineLevel="0" collapsed="false">
      <c r="I605" s="41" t="str">
        <f aca="false">IF(F605="","",IFERROR(IF(ISNUMBER(SEARCH(Assumptions!$C$5,F605)),Assumptions!$D$5,IF(ISNUMBER(SEARCH(Assumptions!$C$6,F605)),Assumptions!$D$6,IF(ISNUMBER(SEARCH(Assumptions!$C$7,F605)),Assumptions!$D$7,"Other Services"))),"Other Services"))</f>
        <v/>
      </c>
    </row>
    <row r="606" customFormat="false" ht="15" hidden="false" customHeight="false" outlineLevel="0" collapsed="false">
      <c r="I606" s="41" t="str">
        <f aca="false">IF(F606="","",IFERROR(IF(ISNUMBER(SEARCH(Assumptions!$C$5,F606)),Assumptions!$D$5,IF(ISNUMBER(SEARCH(Assumptions!$C$6,F606)),Assumptions!$D$6,IF(ISNUMBER(SEARCH(Assumptions!$C$7,F606)),Assumptions!$D$7,"Other Services"))),"Other Services"))</f>
        <v/>
      </c>
    </row>
    <row r="607" customFormat="false" ht="15" hidden="false" customHeight="false" outlineLevel="0" collapsed="false">
      <c r="I607" s="41" t="str">
        <f aca="false">IF(F607="","",IFERROR(IF(ISNUMBER(SEARCH(Assumptions!$C$5,F607)),Assumptions!$D$5,IF(ISNUMBER(SEARCH(Assumptions!$C$6,F607)),Assumptions!$D$6,IF(ISNUMBER(SEARCH(Assumptions!$C$7,F607)),Assumptions!$D$7,"Other Services"))),"Other Services"))</f>
        <v/>
      </c>
    </row>
    <row r="608" customFormat="false" ht="15" hidden="false" customHeight="false" outlineLevel="0" collapsed="false">
      <c r="I608" s="41" t="str">
        <f aca="false">IF(F608="","",IFERROR(IF(ISNUMBER(SEARCH(Assumptions!$C$5,F608)),Assumptions!$D$5,IF(ISNUMBER(SEARCH(Assumptions!$C$6,F608)),Assumptions!$D$6,IF(ISNUMBER(SEARCH(Assumptions!$C$7,F608)),Assumptions!$D$7,"Other Services"))),"Other Services"))</f>
        <v/>
      </c>
    </row>
    <row r="609" customFormat="false" ht="15" hidden="false" customHeight="false" outlineLevel="0" collapsed="false">
      <c r="I609" s="41" t="str">
        <f aca="false">IF(F609="","",IFERROR(IF(ISNUMBER(SEARCH(Assumptions!$C$5,F609)),Assumptions!$D$5,IF(ISNUMBER(SEARCH(Assumptions!$C$6,F609)),Assumptions!$D$6,IF(ISNUMBER(SEARCH(Assumptions!$C$7,F609)),Assumptions!$D$7,"Other Services"))),"Other Services"))</f>
        <v/>
      </c>
    </row>
    <row r="610" customFormat="false" ht="15" hidden="false" customHeight="false" outlineLevel="0" collapsed="false">
      <c r="I610" s="41" t="str">
        <f aca="false">IF(F610="","",IFERROR(IF(ISNUMBER(SEARCH(Assumptions!$C$5,F610)),Assumptions!$D$5,IF(ISNUMBER(SEARCH(Assumptions!$C$6,F610)),Assumptions!$D$6,IF(ISNUMBER(SEARCH(Assumptions!$C$7,F610)),Assumptions!$D$7,"Other Services"))),"Other Services"))</f>
        <v/>
      </c>
    </row>
    <row r="611" customFormat="false" ht="15" hidden="false" customHeight="false" outlineLevel="0" collapsed="false">
      <c r="I611" s="41" t="str">
        <f aca="false">IF(F611="","",IFERROR(IF(ISNUMBER(SEARCH(Assumptions!$C$5,F611)),Assumptions!$D$5,IF(ISNUMBER(SEARCH(Assumptions!$C$6,F611)),Assumptions!$D$6,IF(ISNUMBER(SEARCH(Assumptions!$C$7,F611)),Assumptions!$D$7,"Other Services"))),"Other Services"))</f>
        <v/>
      </c>
    </row>
    <row r="612" customFormat="false" ht="15" hidden="false" customHeight="false" outlineLevel="0" collapsed="false">
      <c r="I612" s="41" t="str">
        <f aca="false">IF(F612="","",IFERROR(IF(ISNUMBER(SEARCH(Assumptions!$C$5,F612)),Assumptions!$D$5,IF(ISNUMBER(SEARCH(Assumptions!$C$6,F612)),Assumptions!$D$6,IF(ISNUMBER(SEARCH(Assumptions!$C$7,F612)),Assumptions!$D$7,"Other Services"))),"Other Services"))</f>
        <v/>
      </c>
    </row>
    <row r="613" customFormat="false" ht="15" hidden="false" customHeight="false" outlineLevel="0" collapsed="false">
      <c r="I613" s="41" t="str">
        <f aca="false">IF(F613="","",IFERROR(IF(ISNUMBER(SEARCH(Assumptions!$C$5,F613)),Assumptions!$D$5,IF(ISNUMBER(SEARCH(Assumptions!$C$6,F613)),Assumptions!$D$6,IF(ISNUMBER(SEARCH(Assumptions!$C$7,F613)),Assumptions!$D$7,"Other Services"))),"Other Services"))</f>
        <v/>
      </c>
    </row>
    <row r="614" customFormat="false" ht="15" hidden="false" customHeight="false" outlineLevel="0" collapsed="false">
      <c r="I614" s="41" t="str">
        <f aca="false">IF(F614="","",IFERROR(IF(ISNUMBER(SEARCH(Assumptions!$C$5,F614)),Assumptions!$D$5,IF(ISNUMBER(SEARCH(Assumptions!$C$6,F614)),Assumptions!$D$6,IF(ISNUMBER(SEARCH(Assumptions!$C$7,F614)),Assumptions!$D$7,"Other Services"))),"Other Services"))</f>
        <v/>
      </c>
    </row>
    <row r="615" customFormat="false" ht="15" hidden="false" customHeight="false" outlineLevel="0" collapsed="false">
      <c r="I615" s="41" t="str">
        <f aca="false">IF(F615="","",IFERROR(IF(ISNUMBER(SEARCH(Assumptions!$C$5,F615)),Assumptions!$D$5,IF(ISNUMBER(SEARCH(Assumptions!$C$6,F615)),Assumptions!$D$6,IF(ISNUMBER(SEARCH(Assumptions!$C$7,F615)),Assumptions!$D$7,"Other Services"))),"Other Services"))</f>
        <v/>
      </c>
    </row>
    <row r="616" customFormat="false" ht="15" hidden="false" customHeight="false" outlineLevel="0" collapsed="false">
      <c r="I616" s="41" t="str">
        <f aca="false">IF(F616="","",IFERROR(IF(ISNUMBER(SEARCH(Assumptions!$C$5,F616)),Assumptions!$D$5,IF(ISNUMBER(SEARCH(Assumptions!$C$6,F616)),Assumptions!$D$6,IF(ISNUMBER(SEARCH(Assumptions!$C$7,F616)),Assumptions!$D$7,"Other Services"))),"Other Services"))</f>
        <v/>
      </c>
    </row>
    <row r="617" customFormat="false" ht="15" hidden="false" customHeight="false" outlineLevel="0" collapsed="false">
      <c r="I617" s="41" t="str">
        <f aca="false">IF(F617="","",IFERROR(IF(ISNUMBER(SEARCH(Assumptions!$C$5,F617)),Assumptions!$D$5,IF(ISNUMBER(SEARCH(Assumptions!$C$6,F617)),Assumptions!$D$6,IF(ISNUMBER(SEARCH(Assumptions!$C$7,F617)),Assumptions!$D$7,"Other Services"))),"Other Services"))</f>
        <v/>
      </c>
    </row>
    <row r="618" customFormat="false" ht="15" hidden="false" customHeight="false" outlineLevel="0" collapsed="false">
      <c r="I618" s="41" t="str">
        <f aca="false">IF(F618="","",IFERROR(IF(ISNUMBER(SEARCH(Assumptions!$C$5,F618)),Assumptions!$D$5,IF(ISNUMBER(SEARCH(Assumptions!$C$6,F618)),Assumptions!$D$6,IF(ISNUMBER(SEARCH(Assumptions!$C$7,F618)),Assumptions!$D$7,"Other Services"))),"Other Services"))</f>
        <v/>
      </c>
    </row>
    <row r="619" customFormat="false" ht="15" hidden="false" customHeight="false" outlineLevel="0" collapsed="false">
      <c r="I619" s="41" t="str">
        <f aca="false">IF(F619="","",IFERROR(IF(ISNUMBER(SEARCH(Assumptions!$C$5,F619)),Assumptions!$D$5,IF(ISNUMBER(SEARCH(Assumptions!$C$6,F619)),Assumptions!$D$6,IF(ISNUMBER(SEARCH(Assumptions!$C$7,F619)),Assumptions!$D$7,"Other Services"))),"Other Services"))</f>
        <v/>
      </c>
    </row>
    <row r="620" customFormat="false" ht="15" hidden="false" customHeight="false" outlineLevel="0" collapsed="false">
      <c r="I620" s="41" t="str">
        <f aca="false">IF(F620="","",IFERROR(IF(ISNUMBER(SEARCH(Assumptions!$C$5,F620)),Assumptions!$D$5,IF(ISNUMBER(SEARCH(Assumptions!$C$6,F620)),Assumptions!$D$6,IF(ISNUMBER(SEARCH(Assumptions!$C$7,F620)),Assumptions!$D$7,"Other Services"))),"Other Services"))</f>
        <v/>
      </c>
    </row>
    <row r="621" customFormat="false" ht="15" hidden="false" customHeight="false" outlineLevel="0" collapsed="false">
      <c r="I621" s="41" t="str">
        <f aca="false">IF(F621="","",IFERROR(IF(ISNUMBER(SEARCH(Assumptions!$C$5,F621)),Assumptions!$D$5,IF(ISNUMBER(SEARCH(Assumptions!$C$6,F621)),Assumptions!$D$6,IF(ISNUMBER(SEARCH(Assumptions!$C$7,F621)),Assumptions!$D$7,"Other Services"))),"Other Services"))</f>
        <v/>
      </c>
    </row>
    <row r="622" customFormat="false" ht="15" hidden="false" customHeight="false" outlineLevel="0" collapsed="false">
      <c r="I622" s="41" t="str">
        <f aca="false">IF(F622="","",IFERROR(IF(ISNUMBER(SEARCH(Assumptions!$C$5,F622)),Assumptions!$D$5,IF(ISNUMBER(SEARCH(Assumptions!$C$6,F622)),Assumptions!$D$6,IF(ISNUMBER(SEARCH(Assumptions!$C$7,F622)),Assumptions!$D$7,"Other Services"))),"Other Services"))</f>
        <v/>
      </c>
    </row>
    <row r="623" customFormat="false" ht="15" hidden="false" customHeight="false" outlineLevel="0" collapsed="false">
      <c r="I623" s="41" t="str">
        <f aca="false">IF(F623="","",IFERROR(IF(ISNUMBER(SEARCH(Assumptions!$C$5,F623)),Assumptions!$D$5,IF(ISNUMBER(SEARCH(Assumptions!$C$6,F623)),Assumptions!$D$6,IF(ISNUMBER(SEARCH(Assumptions!$C$7,F623)),Assumptions!$D$7,"Other Services"))),"Other Services"))</f>
        <v/>
      </c>
    </row>
    <row r="624" customFormat="false" ht="15" hidden="false" customHeight="false" outlineLevel="0" collapsed="false">
      <c r="I624" s="41" t="str">
        <f aca="false">IF(F624="","",IFERROR(IF(ISNUMBER(SEARCH(Assumptions!$C$5,F624)),Assumptions!$D$5,IF(ISNUMBER(SEARCH(Assumptions!$C$6,F624)),Assumptions!$D$6,IF(ISNUMBER(SEARCH(Assumptions!$C$7,F624)),Assumptions!$D$7,"Other Services"))),"Other Services"))</f>
        <v/>
      </c>
    </row>
    <row r="625" customFormat="false" ht="15" hidden="false" customHeight="false" outlineLevel="0" collapsed="false">
      <c r="I625" s="41" t="str">
        <f aca="false">IF(F625="","",IFERROR(IF(ISNUMBER(SEARCH(Assumptions!$C$5,F625)),Assumptions!$D$5,IF(ISNUMBER(SEARCH(Assumptions!$C$6,F625)),Assumptions!$D$6,IF(ISNUMBER(SEARCH(Assumptions!$C$7,F625)),Assumptions!$D$7,"Other Services"))),"Other Services"))</f>
        <v/>
      </c>
    </row>
    <row r="626" customFormat="false" ht="15" hidden="false" customHeight="false" outlineLevel="0" collapsed="false">
      <c r="I626" s="41" t="str">
        <f aca="false">IF(F626="","",IFERROR(IF(ISNUMBER(SEARCH(Assumptions!$C$5,F626)),Assumptions!$D$5,IF(ISNUMBER(SEARCH(Assumptions!$C$6,F626)),Assumptions!$D$6,IF(ISNUMBER(SEARCH(Assumptions!$C$7,F626)),Assumptions!$D$7,"Other Services"))),"Other Services"))</f>
        <v/>
      </c>
    </row>
    <row r="627" customFormat="false" ht="15" hidden="false" customHeight="false" outlineLevel="0" collapsed="false">
      <c r="I627" s="41" t="str">
        <f aca="false">IF(F627="","",IFERROR(IF(ISNUMBER(SEARCH(Assumptions!$C$5,F627)),Assumptions!$D$5,IF(ISNUMBER(SEARCH(Assumptions!$C$6,F627)),Assumptions!$D$6,IF(ISNUMBER(SEARCH(Assumptions!$C$7,F627)),Assumptions!$D$7,"Other Services"))),"Other Services"))</f>
        <v/>
      </c>
    </row>
    <row r="628" customFormat="false" ht="15" hidden="false" customHeight="false" outlineLevel="0" collapsed="false">
      <c r="I628" s="41" t="str">
        <f aca="false">IF(F628="","",IFERROR(IF(ISNUMBER(SEARCH(Assumptions!$C$5,F628)),Assumptions!$D$5,IF(ISNUMBER(SEARCH(Assumptions!$C$6,F628)),Assumptions!$D$6,IF(ISNUMBER(SEARCH(Assumptions!$C$7,F628)),Assumptions!$D$7,"Other Services"))),"Other Services"))</f>
        <v/>
      </c>
    </row>
    <row r="629" customFormat="false" ht="15" hidden="false" customHeight="false" outlineLevel="0" collapsed="false">
      <c r="I629" s="41" t="str">
        <f aca="false">IF(F629="","",IFERROR(IF(ISNUMBER(SEARCH(Assumptions!$C$5,F629)),Assumptions!$D$5,IF(ISNUMBER(SEARCH(Assumptions!$C$6,F629)),Assumptions!$D$6,IF(ISNUMBER(SEARCH(Assumptions!$C$7,F629)),Assumptions!$D$7,"Other Services"))),"Other Services"))</f>
        <v/>
      </c>
    </row>
    <row r="630" customFormat="false" ht="15" hidden="false" customHeight="false" outlineLevel="0" collapsed="false">
      <c r="I630" s="41" t="str">
        <f aca="false">IF(F630="","",IFERROR(IF(ISNUMBER(SEARCH(Assumptions!$C$5,F630)),Assumptions!$D$5,IF(ISNUMBER(SEARCH(Assumptions!$C$6,F630)),Assumptions!$D$6,IF(ISNUMBER(SEARCH(Assumptions!$C$7,F630)),Assumptions!$D$7,"Other Services"))),"Other Services"))</f>
        <v/>
      </c>
    </row>
    <row r="631" customFormat="false" ht="15" hidden="false" customHeight="false" outlineLevel="0" collapsed="false">
      <c r="I631" s="41" t="str">
        <f aca="false">IF(F631="","",IFERROR(IF(ISNUMBER(SEARCH(Assumptions!$C$5,F631)),Assumptions!$D$5,IF(ISNUMBER(SEARCH(Assumptions!$C$6,F631)),Assumptions!$D$6,IF(ISNUMBER(SEARCH(Assumptions!$C$7,F631)),Assumptions!$D$7,"Other Services"))),"Other Services"))</f>
        <v/>
      </c>
    </row>
    <row r="632" customFormat="false" ht="15" hidden="false" customHeight="false" outlineLevel="0" collapsed="false">
      <c r="I632" s="41" t="str">
        <f aca="false">IF(F632="","",IFERROR(IF(ISNUMBER(SEARCH(Assumptions!$C$5,F632)),Assumptions!$D$5,IF(ISNUMBER(SEARCH(Assumptions!$C$6,F632)),Assumptions!$D$6,IF(ISNUMBER(SEARCH(Assumptions!$C$7,F632)),Assumptions!$D$7,"Other Services"))),"Other Services"))</f>
        <v/>
      </c>
    </row>
    <row r="633" customFormat="false" ht="15" hidden="false" customHeight="false" outlineLevel="0" collapsed="false">
      <c r="I633" s="41" t="str">
        <f aca="false">IF(F633="","",IFERROR(IF(ISNUMBER(SEARCH(Assumptions!$C$5,F633)),Assumptions!$D$5,IF(ISNUMBER(SEARCH(Assumptions!$C$6,F633)),Assumptions!$D$6,IF(ISNUMBER(SEARCH(Assumptions!$C$7,F633)),Assumptions!$D$7,"Other Services"))),"Other Services"))</f>
        <v/>
      </c>
    </row>
    <row r="634" customFormat="false" ht="15" hidden="false" customHeight="false" outlineLevel="0" collapsed="false">
      <c r="I634" s="41" t="str">
        <f aca="false">IF(F634="","",IFERROR(IF(ISNUMBER(SEARCH(Assumptions!$C$5,F634)),Assumptions!$D$5,IF(ISNUMBER(SEARCH(Assumptions!$C$6,F634)),Assumptions!$D$6,IF(ISNUMBER(SEARCH(Assumptions!$C$7,F634)),Assumptions!$D$7,"Other Services"))),"Other Services"))</f>
        <v/>
      </c>
    </row>
    <row r="635" customFormat="false" ht="15" hidden="false" customHeight="false" outlineLevel="0" collapsed="false">
      <c r="I635" s="41" t="str">
        <f aca="false">IF(F635="","",IFERROR(IF(ISNUMBER(SEARCH(Assumptions!$C$5,F635)),Assumptions!$D$5,IF(ISNUMBER(SEARCH(Assumptions!$C$6,F635)),Assumptions!$D$6,IF(ISNUMBER(SEARCH(Assumptions!$C$7,F635)),Assumptions!$D$7,"Other Services"))),"Other Services"))</f>
        <v/>
      </c>
    </row>
    <row r="636" customFormat="false" ht="15" hidden="false" customHeight="false" outlineLevel="0" collapsed="false">
      <c r="I636" s="41" t="str">
        <f aca="false">IF(F636="","",IFERROR(IF(ISNUMBER(SEARCH(Assumptions!$C$5,F636)),Assumptions!$D$5,IF(ISNUMBER(SEARCH(Assumptions!$C$6,F636)),Assumptions!$D$6,IF(ISNUMBER(SEARCH(Assumptions!$C$7,F636)),Assumptions!$D$7,"Other Services"))),"Other Services"))</f>
        <v/>
      </c>
    </row>
    <row r="637" customFormat="false" ht="15" hidden="false" customHeight="false" outlineLevel="0" collapsed="false">
      <c r="I637" s="41" t="str">
        <f aca="false">IF(F637="","",IFERROR(IF(ISNUMBER(SEARCH(Assumptions!$C$5,F637)),Assumptions!$D$5,IF(ISNUMBER(SEARCH(Assumptions!$C$6,F637)),Assumptions!$D$6,IF(ISNUMBER(SEARCH(Assumptions!$C$7,F637)),Assumptions!$D$7,"Other Services"))),"Other Services"))</f>
        <v/>
      </c>
    </row>
    <row r="638" customFormat="false" ht="15" hidden="false" customHeight="false" outlineLevel="0" collapsed="false">
      <c r="I638" s="41" t="str">
        <f aca="false">IF(F638="","",IFERROR(IF(ISNUMBER(SEARCH(Assumptions!$C$5,F638)),Assumptions!$D$5,IF(ISNUMBER(SEARCH(Assumptions!$C$6,F638)),Assumptions!$D$6,IF(ISNUMBER(SEARCH(Assumptions!$C$7,F638)),Assumptions!$D$7,"Other Services"))),"Other Services"))</f>
        <v/>
      </c>
    </row>
    <row r="639" customFormat="false" ht="15" hidden="false" customHeight="false" outlineLevel="0" collapsed="false">
      <c r="I639" s="41" t="str">
        <f aca="false">IF(F639="","",IFERROR(IF(ISNUMBER(SEARCH(Assumptions!$C$5,F639)),Assumptions!$D$5,IF(ISNUMBER(SEARCH(Assumptions!$C$6,F639)),Assumptions!$D$6,IF(ISNUMBER(SEARCH(Assumptions!$C$7,F639)),Assumptions!$D$7,"Other Services"))),"Other Services"))</f>
        <v/>
      </c>
    </row>
    <row r="640" customFormat="false" ht="15" hidden="false" customHeight="false" outlineLevel="0" collapsed="false">
      <c r="I640" s="41" t="str">
        <f aca="false">IF(F640="","",IFERROR(IF(ISNUMBER(SEARCH(Assumptions!$C$5,F640)),Assumptions!$D$5,IF(ISNUMBER(SEARCH(Assumptions!$C$6,F640)),Assumptions!$D$6,IF(ISNUMBER(SEARCH(Assumptions!$C$7,F640)),Assumptions!$D$7,"Other Services"))),"Other Services"))</f>
        <v/>
      </c>
    </row>
    <row r="641" customFormat="false" ht="15" hidden="false" customHeight="false" outlineLevel="0" collapsed="false">
      <c r="I641" s="41" t="str">
        <f aca="false">IF(F641="","",IFERROR(IF(ISNUMBER(SEARCH(Assumptions!$C$5,F641)),Assumptions!$D$5,IF(ISNUMBER(SEARCH(Assumptions!$C$6,F641)),Assumptions!$D$6,IF(ISNUMBER(SEARCH(Assumptions!$C$7,F641)),Assumptions!$D$7,"Other Services"))),"Other Services"))</f>
        <v/>
      </c>
    </row>
    <row r="642" customFormat="false" ht="15" hidden="false" customHeight="false" outlineLevel="0" collapsed="false">
      <c r="I642" s="41" t="str">
        <f aca="false">IF(F642="","",IFERROR(IF(ISNUMBER(SEARCH(Assumptions!$C$5,F642)),Assumptions!$D$5,IF(ISNUMBER(SEARCH(Assumptions!$C$6,F642)),Assumptions!$D$6,IF(ISNUMBER(SEARCH(Assumptions!$C$7,F642)),Assumptions!$D$7,"Other Services"))),"Other Services"))</f>
        <v/>
      </c>
    </row>
    <row r="643" customFormat="false" ht="15" hidden="false" customHeight="false" outlineLevel="0" collapsed="false">
      <c r="I643" s="41" t="str">
        <f aca="false">IF(F643="","",IFERROR(IF(ISNUMBER(SEARCH(Assumptions!$C$5,F643)),Assumptions!$D$5,IF(ISNUMBER(SEARCH(Assumptions!$C$6,F643)),Assumptions!$D$6,IF(ISNUMBER(SEARCH(Assumptions!$C$7,F643)),Assumptions!$D$7,"Other Services"))),"Other Services"))</f>
        <v/>
      </c>
    </row>
    <row r="644" customFormat="false" ht="15" hidden="false" customHeight="false" outlineLevel="0" collapsed="false">
      <c r="I644" s="41" t="str">
        <f aca="false">IF(F644="","",IFERROR(IF(ISNUMBER(SEARCH(Assumptions!$C$5,F644)),Assumptions!$D$5,IF(ISNUMBER(SEARCH(Assumptions!$C$6,F644)),Assumptions!$D$6,IF(ISNUMBER(SEARCH(Assumptions!$C$7,F644)),Assumptions!$D$7,"Other Services"))),"Other Services"))</f>
        <v/>
      </c>
    </row>
    <row r="645" customFormat="false" ht="15" hidden="false" customHeight="false" outlineLevel="0" collapsed="false">
      <c r="I645" s="41" t="str">
        <f aca="false">IF(F645="","",IFERROR(IF(ISNUMBER(SEARCH(Assumptions!$C$5,F645)),Assumptions!$D$5,IF(ISNUMBER(SEARCH(Assumptions!$C$6,F645)),Assumptions!$D$6,IF(ISNUMBER(SEARCH(Assumptions!$C$7,F645)),Assumptions!$D$7,"Other Services"))),"Other Services"))</f>
        <v/>
      </c>
    </row>
    <row r="646" customFormat="false" ht="15" hidden="false" customHeight="false" outlineLevel="0" collapsed="false">
      <c r="I646" s="41" t="str">
        <f aca="false">IF(F646="","",IFERROR(IF(ISNUMBER(SEARCH(Assumptions!$C$5,F646)),Assumptions!$D$5,IF(ISNUMBER(SEARCH(Assumptions!$C$6,F646)),Assumptions!$D$6,IF(ISNUMBER(SEARCH(Assumptions!$C$7,F646)),Assumptions!$D$7,"Other Services"))),"Other Services"))</f>
        <v/>
      </c>
    </row>
    <row r="647" customFormat="false" ht="15" hidden="false" customHeight="false" outlineLevel="0" collapsed="false">
      <c r="I647" s="41" t="str">
        <f aca="false">IF(F647="","",IFERROR(IF(ISNUMBER(SEARCH(Assumptions!$C$5,F647)),Assumptions!$D$5,IF(ISNUMBER(SEARCH(Assumptions!$C$6,F647)),Assumptions!$D$6,IF(ISNUMBER(SEARCH(Assumptions!$C$7,F647)),Assumptions!$D$7,"Other Services"))),"Other Services"))</f>
        <v/>
      </c>
    </row>
    <row r="648" customFormat="false" ht="15" hidden="false" customHeight="false" outlineLevel="0" collapsed="false">
      <c r="I648" s="41" t="str">
        <f aca="false">IF(F648="","",IFERROR(IF(ISNUMBER(SEARCH(Assumptions!$C$5,F648)),Assumptions!$D$5,IF(ISNUMBER(SEARCH(Assumptions!$C$6,F648)),Assumptions!$D$6,IF(ISNUMBER(SEARCH(Assumptions!$C$7,F648)),Assumptions!$D$7,"Other Services"))),"Other Services"))</f>
        <v/>
      </c>
    </row>
    <row r="649" customFormat="false" ht="15" hidden="false" customHeight="false" outlineLevel="0" collapsed="false">
      <c r="I649" s="41" t="str">
        <f aca="false">IF(F649="","",IFERROR(IF(ISNUMBER(SEARCH(Assumptions!$C$5,F649)),Assumptions!$D$5,IF(ISNUMBER(SEARCH(Assumptions!$C$6,F649)),Assumptions!$D$6,IF(ISNUMBER(SEARCH(Assumptions!$C$7,F649)),Assumptions!$D$7,"Other Services"))),"Other Services"))</f>
        <v/>
      </c>
    </row>
    <row r="650" customFormat="false" ht="15" hidden="false" customHeight="false" outlineLevel="0" collapsed="false">
      <c r="I650" s="41" t="str">
        <f aca="false">IF(F650="","",IFERROR(IF(ISNUMBER(SEARCH(Assumptions!$C$5,F650)),Assumptions!$D$5,IF(ISNUMBER(SEARCH(Assumptions!$C$6,F650)),Assumptions!$D$6,IF(ISNUMBER(SEARCH(Assumptions!$C$7,F650)),Assumptions!$D$7,"Other Services"))),"Other Services"))</f>
        <v/>
      </c>
    </row>
    <row r="651" customFormat="false" ht="15" hidden="false" customHeight="false" outlineLevel="0" collapsed="false">
      <c r="I651" s="41" t="str">
        <f aca="false">IF(F651="","",IFERROR(IF(ISNUMBER(SEARCH(Assumptions!$C$5,F651)),Assumptions!$D$5,IF(ISNUMBER(SEARCH(Assumptions!$C$6,F651)),Assumptions!$D$6,IF(ISNUMBER(SEARCH(Assumptions!$C$7,F651)),Assumptions!$D$7,"Other Services"))),"Other Services"))</f>
        <v/>
      </c>
    </row>
    <row r="652" customFormat="false" ht="15" hidden="false" customHeight="false" outlineLevel="0" collapsed="false">
      <c r="I652" s="41" t="str">
        <f aca="false">IF(F652="","",IFERROR(IF(ISNUMBER(SEARCH(Assumptions!$C$5,F652)),Assumptions!$D$5,IF(ISNUMBER(SEARCH(Assumptions!$C$6,F652)),Assumptions!$D$6,IF(ISNUMBER(SEARCH(Assumptions!$C$7,F652)),Assumptions!$D$7,"Other Services"))),"Other Services"))</f>
        <v/>
      </c>
    </row>
    <row r="653" customFormat="false" ht="15" hidden="false" customHeight="false" outlineLevel="0" collapsed="false">
      <c r="I653" s="41" t="str">
        <f aca="false">IF(F653="","",IFERROR(IF(ISNUMBER(SEARCH(Assumptions!$C$5,F653)),Assumptions!$D$5,IF(ISNUMBER(SEARCH(Assumptions!$C$6,F653)),Assumptions!$D$6,IF(ISNUMBER(SEARCH(Assumptions!$C$7,F653)),Assumptions!$D$7,"Other Services"))),"Other Services"))</f>
        <v/>
      </c>
    </row>
    <row r="654" customFormat="false" ht="15" hidden="false" customHeight="false" outlineLevel="0" collapsed="false">
      <c r="I654" s="41" t="str">
        <f aca="false">IF(F654="","",IFERROR(IF(ISNUMBER(SEARCH(Assumptions!$C$5,F654)),Assumptions!$D$5,IF(ISNUMBER(SEARCH(Assumptions!$C$6,F654)),Assumptions!$D$6,IF(ISNUMBER(SEARCH(Assumptions!$C$7,F654)),Assumptions!$D$7,"Other Services"))),"Other Services"))</f>
        <v/>
      </c>
    </row>
    <row r="655" customFormat="false" ht="15" hidden="false" customHeight="false" outlineLevel="0" collapsed="false">
      <c r="I655" s="41" t="str">
        <f aca="false">IF(F655="","",IFERROR(IF(ISNUMBER(SEARCH(Assumptions!$C$5,F655)),Assumptions!$D$5,IF(ISNUMBER(SEARCH(Assumptions!$C$6,F655)),Assumptions!$D$6,IF(ISNUMBER(SEARCH(Assumptions!$C$7,F655)),Assumptions!$D$7,"Other Services"))),"Other Services"))</f>
        <v/>
      </c>
    </row>
    <row r="656" customFormat="false" ht="15" hidden="false" customHeight="false" outlineLevel="0" collapsed="false">
      <c r="I656" s="41" t="str">
        <f aca="false">IF(F656="","",IFERROR(IF(ISNUMBER(SEARCH(Assumptions!$C$5,F656)),Assumptions!$D$5,IF(ISNUMBER(SEARCH(Assumptions!$C$6,F656)),Assumptions!$D$6,IF(ISNUMBER(SEARCH(Assumptions!$C$7,F656)),Assumptions!$D$7,"Other Services"))),"Other Services"))</f>
        <v/>
      </c>
    </row>
    <row r="657" customFormat="false" ht="15" hidden="false" customHeight="false" outlineLevel="0" collapsed="false">
      <c r="I657" s="41" t="str">
        <f aca="false">IF(F657="","",IFERROR(IF(ISNUMBER(SEARCH(Assumptions!$C$5,F657)),Assumptions!$D$5,IF(ISNUMBER(SEARCH(Assumptions!$C$6,F657)),Assumptions!$D$6,IF(ISNUMBER(SEARCH(Assumptions!$C$7,F657)),Assumptions!$D$7,"Other Services"))),"Other Services"))</f>
        <v/>
      </c>
    </row>
    <row r="658" customFormat="false" ht="15" hidden="false" customHeight="false" outlineLevel="0" collapsed="false">
      <c r="I658" s="41" t="str">
        <f aca="false">IF(F658="","",IFERROR(IF(ISNUMBER(SEARCH(Assumptions!$C$5,F658)),Assumptions!$D$5,IF(ISNUMBER(SEARCH(Assumptions!$C$6,F658)),Assumptions!$D$6,IF(ISNUMBER(SEARCH(Assumptions!$C$7,F658)),Assumptions!$D$7,"Other Services"))),"Other Services"))</f>
        <v/>
      </c>
    </row>
    <row r="659" customFormat="false" ht="15" hidden="false" customHeight="false" outlineLevel="0" collapsed="false">
      <c r="I659" s="41" t="str">
        <f aca="false">IF(F659="","",IFERROR(IF(ISNUMBER(SEARCH(Assumptions!$C$5,F659)),Assumptions!$D$5,IF(ISNUMBER(SEARCH(Assumptions!$C$6,F659)),Assumptions!$D$6,IF(ISNUMBER(SEARCH(Assumptions!$C$7,F659)),Assumptions!$D$7,"Other Services"))),"Other Services"))</f>
        <v/>
      </c>
    </row>
    <row r="660" customFormat="false" ht="15" hidden="false" customHeight="false" outlineLevel="0" collapsed="false">
      <c r="I660" s="41" t="str">
        <f aca="false">IF(F660="","",IFERROR(IF(ISNUMBER(SEARCH(Assumptions!$C$5,F660)),Assumptions!$D$5,IF(ISNUMBER(SEARCH(Assumptions!$C$6,F660)),Assumptions!$D$6,IF(ISNUMBER(SEARCH(Assumptions!$C$7,F660)),Assumptions!$D$7,"Other Services"))),"Other Services"))</f>
        <v/>
      </c>
    </row>
    <row r="661" customFormat="false" ht="15" hidden="false" customHeight="false" outlineLevel="0" collapsed="false">
      <c r="I661" s="41" t="str">
        <f aca="false">IF(F661="","",IFERROR(IF(ISNUMBER(SEARCH(Assumptions!$C$5,F661)),Assumptions!$D$5,IF(ISNUMBER(SEARCH(Assumptions!$C$6,F661)),Assumptions!$D$6,IF(ISNUMBER(SEARCH(Assumptions!$C$7,F661)),Assumptions!$D$7,"Other Services"))),"Other Services"))</f>
        <v/>
      </c>
    </row>
    <row r="662" customFormat="false" ht="15" hidden="false" customHeight="false" outlineLevel="0" collapsed="false">
      <c r="I662" s="41" t="str">
        <f aca="false">IF(F662="","",IFERROR(IF(ISNUMBER(SEARCH(Assumptions!$C$5,F662)),Assumptions!$D$5,IF(ISNUMBER(SEARCH(Assumptions!$C$6,F662)),Assumptions!$D$6,IF(ISNUMBER(SEARCH(Assumptions!$C$7,F662)),Assumptions!$D$7,"Other Services"))),"Other Services"))</f>
        <v/>
      </c>
    </row>
    <row r="663" customFormat="false" ht="15" hidden="false" customHeight="false" outlineLevel="0" collapsed="false">
      <c r="I663" s="41" t="str">
        <f aca="false">IF(F663="","",IFERROR(IF(ISNUMBER(SEARCH(Assumptions!$C$5,F663)),Assumptions!$D$5,IF(ISNUMBER(SEARCH(Assumptions!$C$6,F663)),Assumptions!$D$6,IF(ISNUMBER(SEARCH(Assumptions!$C$7,F663)),Assumptions!$D$7,"Other Services"))),"Other Services"))</f>
        <v/>
      </c>
    </row>
    <row r="664" customFormat="false" ht="15" hidden="false" customHeight="false" outlineLevel="0" collapsed="false">
      <c r="I664" s="41" t="str">
        <f aca="false">IF(F664="","",IFERROR(IF(ISNUMBER(SEARCH(Assumptions!$C$5,F664)),Assumptions!$D$5,IF(ISNUMBER(SEARCH(Assumptions!$C$6,F664)),Assumptions!$D$6,IF(ISNUMBER(SEARCH(Assumptions!$C$7,F664)),Assumptions!$D$7,"Other Services"))),"Other Services"))</f>
        <v/>
      </c>
    </row>
    <row r="665" customFormat="false" ht="15" hidden="false" customHeight="false" outlineLevel="0" collapsed="false">
      <c r="I665" s="41" t="str">
        <f aca="false">IF(F665="","",IFERROR(IF(ISNUMBER(SEARCH(Assumptions!$C$5,F665)),Assumptions!$D$5,IF(ISNUMBER(SEARCH(Assumptions!$C$6,F665)),Assumptions!$D$6,IF(ISNUMBER(SEARCH(Assumptions!$C$7,F665)),Assumptions!$D$7,"Other Services"))),"Other Services"))</f>
        <v/>
      </c>
    </row>
    <row r="666" customFormat="false" ht="15" hidden="false" customHeight="false" outlineLevel="0" collapsed="false">
      <c r="I666" s="41" t="str">
        <f aca="false">IF(F666="","",IFERROR(IF(ISNUMBER(SEARCH(Assumptions!$C$5,F666)),Assumptions!$D$5,IF(ISNUMBER(SEARCH(Assumptions!$C$6,F666)),Assumptions!$D$6,IF(ISNUMBER(SEARCH(Assumptions!$C$7,F666)),Assumptions!$D$7,"Other Services"))),"Other Services"))</f>
        <v/>
      </c>
    </row>
    <row r="667" customFormat="false" ht="15" hidden="false" customHeight="false" outlineLevel="0" collapsed="false">
      <c r="I667" s="41" t="str">
        <f aca="false">IF(F667="","",IFERROR(IF(ISNUMBER(SEARCH(Assumptions!$C$5,F667)),Assumptions!$D$5,IF(ISNUMBER(SEARCH(Assumptions!$C$6,F667)),Assumptions!$D$6,IF(ISNUMBER(SEARCH(Assumptions!$C$7,F667)),Assumptions!$D$7,"Other Services"))),"Other Services"))</f>
        <v/>
      </c>
    </row>
    <row r="668" customFormat="false" ht="15" hidden="false" customHeight="false" outlineLevel="0" collapsed="false">
      <c r="I668" s="41" t="str">
        <f aca="false">IF(F668="","",IFERROR(IF(ISNUMBER(SEARCH(Assumptions!$C$5,F668)),Assumptions!$D$5,IF(ISNUMBER(SEARCH(Assumptions!$C$6,F668)),Assumptions!$D$6,IF(ISNUMBER(SEARCH(Assumptions!$C$7,F668)),Assumptions!$D$7,"Other Services"))),"Other Services"))</f>
        <v/>
      </c>
    </row>
    <row r="669" customFormat="false" ht="15" hidden="false" customHeight="false" outlineLevel="0" collapsed="false">
      <c r="I669" s="41" t="str">
        <f aca="false">IF(F669="","",IFERROR(IF(ISNUMBER(SEARCH(Assumptions!$C$5,F669)),Assumptions!$D$5,IF(ISNUMBER(SEARCH(Assumptions!$C$6,F669)),Assumptions!$D$6,IF(ISNUMBER(SEARCH(Assumptions!$C$7,F669)),Assumptions!$D$7,"Other Services"))),"Other Services"))</f>
        <v/>
      </c>
    </row>
    <row r="670" customFormat="false" ht="15" hidden="false" customHeight="false" outlineLevel="0" collapsed="false">
      <c r="I670" s="41" t="str">
        <f aca="false">IF(F670="","",IFERROR(IF(ISNUMBER(SEARCH(Assumptions!$C$5,F670)),Assumptions!$D$5,IF(ISNUMBER(SEARCH(Assumptions!$C$6,F670)),Assumptions!$D$6,IF(ISNUMBER(SEARCH(Assumptions!$C$7,F670)),Assumptions!$D$7,"Other Services"))),"Other Services"))</f>
        <v/>
      </c>
    </row>
    <row r="671" customFormat="false" ht="15" hidden="false" customHeight="false" outlineLevel="0" collapsed="false">
      <c r="I671" s="41" t="str">
        <f aca="false">IF(F671="","",IFERROR(IF(ISNUMBER(SEARCH(Assumptions!$C$5,F671)),Assumptions!$D$5,IF(ISNUMBER(SEARCH(Assumptions!$C$6,F671)),Assumptions!$D$6,IF(ISNUMBER(SEARCH(Assumptions!$C$7,F671)),Assumptions!$D$7,"Other Services"))),"Other Services"))</f>
        <v/>
      </c>
    </row>
    <row r="672" customFormat="false" ht="15" hidden="false" customHeight="false" outlineLevel="0" collapsed="false">
      <c r="I672" s="41" t="str">
        <f aca="false">IF(F672="","",IFERROR(IF(ISNUMBER(SEARCH(Assumptions!$C$5,F672)),Assumptions!$D$5,IF(ISNUMBER(SEARCH(Assumptions!$C$6,F672)),Assumptions!$D$6,IF(ISNUMBER(SEARCH(Assumptions!$C$7,F672)),Assumptions!$D$7,"Other Services"))),"Other Services"))</f>
        <v/>
      </c>
    </row>
    <row r="673" customFormat="false" ht="15" hidden="false" customHeight="false" outlineLevel="0" collapsed="false">
      <c r="I673" s="41" t="str">
        <f aca="false">IF(F673="","",IFERROR(IF(ISNUMBER(SEARCH(Assumptions!$C$5,F673)),Assumptions!$D$5,IF(ISNUMBER(SEARCH(Assumptions!$C$6,F673)),Assumptions!$D$6,IF(ISNUMBER(SEARCH(Assumptions!$C$7,F673)),Assumptions!$D$7,"Other Services"))),"Other Services"))</f>
        <v/>
      </c>
    </row>
    <row r="674" customFormat="false" ht="15" hidden="false" customHeight="false" outlineLevel="0" collapsed="false">
      <c r="I674" s="41" t="str">
        <f aca="false">IF(F674="","",IFERROR(IF(ISNUMBER(SEARCH(Assumptions!$C$5,F674)),Assumptions!$D$5,IF(ISNUMBER(SEARCH(Assumptions!$C$6,F674)),Assumptions!$D$6,IF(ISNUMBER(SEARCH(Assumptions!$C$7,F674)),Assumptions!$D$7,"Other Services"))),"Other Services"))</f>
        <v/>
      </c>
    </row>
    <row r="675" customFormat="false" ht="15" hidden="false" customHeight="false" outlineLevel="0" collapsed="false">
      <c r="I675" s="41" t="str">
        <f aca="false">IF(F675="","",IFERROR(IF(ISNUMBER(SEARCH(Assumptions!$C$5,F675)),Assumptions!$D$5,IF(ISNUMBER(SEARCH(Assumptions!$C$6,F675)),Assumptions!$D$6,IF(ISNUMBER(SEARCH(Assumptions!$C$7,F675)),Assumptions!$D$7,"Other Services"))),"Other Services"))</f>
        <v/>
      </c>
    </row>
    <row r="676" customFormat="false" ht="15" hidden="false" customHeight="false" outlineLevel="0" collapsed="false">
      <c r="I676" s="41" t="str">
        <f aca="false">IF(F676="","",IFERROR(IF(ISNUMBER(SEARCH(Assumptions!$C$5,F676)),Assumptions!$D$5,IF(ISNUMBER(SEARCH(Assumptions!$C$6,F676)),Assumptions!$D$6,IF(ISNUMBER(SEARCH(Assumptions!$C$7,F676)),Assumptions!$D$7,"Other Services"))),"Other Services"))</f>
        <v/>
      </c>
    </row>
    <row r="677" customFormat="false" ht="15" hidden="false" customHeight="false" outlineLevel="0" collapsed="false">
      <c r="I677" s="41" t="str">
        <f aca="false">IF(F677="","",IFERROR(IF(ISNUMBER(SEARCH(Assumptions!$C$5,F677)),Assumptions!$D$5,IF(ISNUMBER(SEARCH(Assumptions!$C$6,F677)),Assumptions!$D$6,IF(ISNUMBER(SEARCH(Assumptions!$C$7,F677)),Assumptions!$D$7,"Other Services"))),"Other Services"))</f>
        <v/>
      </c>
    </row>
    <row r="678" customFormat="false" ht="15" hidden="false" customHeight="false" outlineLevel="0" collapsed="false">
      <c r="I678" s="41" t="str">
        <f aca="false">IF(F678="","",IFERROR(IF(ISNUMBER(SEARCH(Assumptions!$C$5,F678)),Assumptions!$D$5,IF(ISNUMBER(SEARCH(Assumptions!$C$6,F678)),Assumptions!$D$6,IF(ISNUMBER(SEARCH(Assumptions!$C$7,F678)),Assumptions!$D$7,"Other Services"))),"Other Services"))</f>
        <v/>
      </c>
    </row>
    <row r="679" customFormat="false" ht="15" hidden="false" customHeight="false" outlineLevel="0" collapsed="false">
      <c r="I679" s="41" t="str">
        <f aca="false">IF(F679="","",IFERROR(IF(ISNUMBER(SEARCH(Assumptions!$C$5,F679)),Assumptions!$D$5,IF(ISNUMBER(SEARCH(Assumptions!$C$6,F679)),Assumptions!$D$6,IF(ISNUMBER(SEARCH(Assumptions!$C$7,F679)),Assumptions!$D$7,"Other Services"))),"Other Services"))</f>
        <v/>
      </c>
    </row>
    <row r="680" customFormat="false" ht="15" hidden="false" customHeight="false" outlineLevel="0" collapsed="false">
      <c r="I680" s="41" t="str">
        <f aca="false">IF(F680="","",IFERROR(IF(ISNUMBER(SEARCH(Assumptions!$C$5,F680)),Assumptions!$D$5,IF(ISNUMBER(SEARCH(Assumptions!$C$6,F680)),Assumptions!$D$6,IF(ISNUMBER(SEARCH(Assumptions!$C$7,F680)),Assumptions!$D$7,"Other Services"))),"Other Services"))</f>
        <v/>
      </c>
    </row>
    <row r="681" customFormat="false" ht="15" hidden="false" customHeight="false" outlineLevel="0" collapsed="false">
      <c r="I681" s="41" t="str">
        <f aca="false">IF(F681="","",IFERROR(IF(ISNUMBER(SEARCH(Assumptions!$C$5,F681)),Assumptions!$D$5,IF(ISNUMBER(SEARCH(Assumptions!$C$6,F681)),Assumptions!$D$6,IF(ISNUMBER(SEARCH(Assumptions!$C$7,F681)),Assumptions!$D$7,"Other Services"))),"Other Services"))</f>
        <v/>
      </c>
    </row>
    <row r="682" customFormat="false" ht="15" hidden="false" customHeight="false" outlineLevel="0" collapsed="false">
      <c r="I682" s="41" t="str">
        <f aca="false">IF(F682="","",IFERROR(IF(ISNUMBER(SEARCH(Assumptions!$C$5,F682)),Assumptions!$D$5,IF(ISNUMBER(SEARCH(Assumptions!$C$6,F682)),Assumptions!$D$6,IF(ISNUMBER(SEARCH(Assumptions!$C$7,F682)),Assumptions!$D$7,"Other Services"))),"Other Services"))</f>
        <v/>
      </c>
    </row>
    <row r="683" customFormat="false" ht="15" hidden="false" customHeight="false" outlineLevel="0" collapsed="false">
      <c r="I683" s="41" t="str">
        <f aca="false">IF(F683="","",IFERROR(IF(ISNUMBER(SEARCH(Assumptions!$C$5,F683)),Assumptions!$D$5,IF(ISNUMBER(SEARCH(Assumptions!$C$6,F683)),Assumptions!$D$6,IF(ISNUMBER(SEARCH(Assumptions!$C$7,F683)),Assumptions!$D$7,"Other Services"))),"Other Services"))</f>
        <v/>
      </c>
    </row>
    <row r="684" customFormat="false" ht="15" hidden="false" customHeight="false" outlineLevel="0" collapsed="false">
      <c r="I684" s="41" t="str">
        <f aca="false">IF(F684="","",IFERROR(IF(ISNUMBER(SEARCH(Assumptions!$C$5,F684)),Assumptions!$D$5,IF(ISNUMBER(SEARCH(Assumptions!$C$6,F684)),Assumptions!$D$6,IF(ISNUMBER(SEARCH(Assumptions!$C$7,F684)),Assumptions!$D$7,"Other Services"))),"Other Services"))</f>
        <v/>
      </c>
    </row>
    <row r="685" customFormat="false" ht="15" hidden="false" customHeight="false" outlineLevel="0" collapsed="false">
      <c r="I685" s="41" t="str">
        <f aca="false">IF(F685="","",IFERROR(IF(ISNUMBER(SEARCH(Assumptions!$C$5,F685)),Assumptions!$D$5,IF(ISNUMBER(SEARCH(Assumptions!$C$6,F685)),Assumptions!$D$6,IF(ISNUMBER(SEARCH(Assumptions!$C$7,F685)),Assumptions!$D$7,"Other Services"))),"Other Services"))</f>
        <v/>
      </c>
    </row>
    <row r="686" customFormat="false" ht="15" hidden="false" customHeight="false" outlineLevel="0" collapsed="false">
      <c r="I686" s="41" t="str">
        <f aca="false">IF(F686="","",IFERROR(IF(ISNUMBER(SEARCH(Assumptions!$C$5,F686)),Assumptions!$D$5,IF(ISNUMBER(SEARCH(Assumptions!$C$6,F686)),Assumptions!$D$6,IF(ISNUMBER(SEARCH(Assumptions!$C$7,F686)),Assumptions!$D$7,"Other Services"))),"Other Services"))</f>
        <v/>
      </c>
    </row>
    <row r="687" customFormat="false" ht="15" hidden="false" customHeight="false" outlineLevel="0" collapsed="false">
      <c r="I687" s="41" t="str">
        <f aca="false">IF(F687="","",IFERROR(IF(ISNUMBER(SEARCH(Assumptions!$C$5,F687)),Assumptions!$D$5,IF(ISNUMBER(SEARCH(Assumptions!$C$6,F687)),Assumptions!$D$6,IF(ISNUMBER(SEARCH(Assumptions!$C$7,F687)),Assumptions!$D$7,"Other Services"))),"Other Services"))</f>
        <v/>
      </c>
    </row>
    <row r="688" customFormat="false" ht="15" hidden="false" customHeight="false" outlineLevel="0" collapsed="false">
      <c r="I688" s="41" t="str">
        <f aca="false">IF(F688="","",IFERROR(IF(ISNUMBER(SEARCH(Assumptions!$C$5,F688)),Assumptions!$D$5,IF(ISNUMBER(SEARCH(Assumptions!$C$6,F688)),Assumptions!$D$6,IF(ISNUMBER(SEARCH(Assumptions!$C$7,F688)),Assumptions!$D$7,"Other Services"))),"Other Services"))</f>
        <v/>
      </c>
    </row>
    <row r="689" customFormat="false" ht="15" hidden="false" customHeight="false" outlineLevel="0" collapsed="false">
      <c r="I689" s="41" t="str">
        <f aca="false">IF(F689="","",IFERROR(IF(ISNUMBER(SEARCH(Assumptions!$C$5,F689)),Assumptions!$D$5,IF(ISNUMBER(SEARCH(Assumptions!$C$6,F689)),Assumptions!$D$6,IF(ISNUMBER(SEARCH(Assumptions!$C$7,F689)),Assumptions!$D$7,"Other Services"))),"Other Services"))</f>
        <v/>
      </c>
    </row>
    <row r="690" customFormat="false" ht="15" hidden="false" customHeight="false" outlineLevel="0" collapsed="false">
      <c r="I690" s="41" t="str">
        <f aca="false">IF(F690="","",IFERROR(IF(ISNUMBER(SEARCH(Assumptions!$C$5,F690)),Assumptions!$D$5,IF(ISNUMBER(SEARCH(Assumptions!$C$6,F690)),Assumptions!$D$6,IF(ISNUMBER(SEARCH(Assumptions!$C$7,F690)),Assumptions!$D$7,"Other Services"))),"Other Services"))</f>
        <v/>
      </c>
    </row>
    <row r="691" customFormat="false" ht="15" hidden="false" customHeight="false" outlineLevel="0" collapsed="false">
      <c r="I691" s="41" t="str">
        <f aca="false">IF(F691="","",IFERROR(IF(ISNUMBER(SEARCH(Assumptions!$C$5,F691)),Assumptions!$D$5,IF(ISNUMBER(SEARCH(Assumptions!$C$6,F691)),Assumptions!$D$6,IF(ISNUMBER(SEARCH(Assumptions!$C$7,F691)),Assumptions!$D$7,"Other Services"))),"Other Services"))</f>
        <v/>
      </c>
    </row>
    <row r="692" customFormat="false" ht="15" hidden="false" customHeight="false" outlineLevel="0" collapsed="false">
      <c r="I692" s="41" t="str">
        <f aca="false">IF(F692="","",IFERROR(IF(ISNUMBER(SEARCH(Assumptions!$C$5,F692)),Assumptions!$D$5,IF(ISNUMBER(SEARCH(Assumptions!$C$6,F692)),Assumptions!$D$6,IF(ISNUMBER(SEARCH(Assumptions!$C$7,F692)),Assumptions!$D$7,"Other Services"))),"Other Services"))</f>
        <v/>
      </c>
    </row>
    <row r="693" customFormat="false" ht="15" hidden="false" customHeight="false" outlineLevel="0" collapsed="false">
      <c r="I693" s="41" t="str">
        <f aca="false">IF(F693="","",IFERROR(IF(ISNUMBER(SEARCH(Assumptions!$C$5,F693)),Assumptions!$D$5,IF(ISNUMBER(SEARCH(Assumptions!$C$6,F693)),Assumptions!$D$6,IF(ISNUMBER(SEARCH(Assumptions!$C$7,F693)),Assumptions!$D$7,"Other Services"))),"Other Services"))</f>
        <v/>
      </c>
    </row>
    <row r="694" customFormat="false" ht="15" hidden="false" customHeight="false" outlineLevel="0" collapsed="false">
      <c r="I694" s="41" t="str">
        <f aca="false">IF(F694="","",IFERROR(IF(ISNUMBER(SEARCH(Assumptions!$C$5,F694)),Assumptions!$D$5,IF(ISNUMBER(SEARCH(Assumptions!$C$6,F694)),Assumptions!$D$6,IF(ISNUMBER(SEARCH(Assumptions!$C$7,F694)),Assumptions!$D$7,"Other Services"))),"Other Services"))</f>
        <v/>
      </c>
    </row>
    <row r="695" customFormat="false" ht="15" hidden="false" customHeight="false" outlineLevel="0" collapsed="false">
      <c r="I695" s="41" t="str">
        <f aca="false">IF(F695="","",IFERROR(IF(ISNUMBER(SEARCH(Assumptions!$C$5,F695)),Assumptions!$D$5,IF(ISNUMBER(SEARCH(Assumptions!$C$6,F695)),Assumptions!$D$6,IF(ISNUMBER(SEARCH(Assumptions!$C$7,F695)),Assumptions!$D$7,"Other Services"))),"Other Services"))</f>
        <v/>
      </c>
    </row>
    <row r="696" customFormat="false" ht="15" hidden="false" customHeight="false" outlineLevel="0" collapsed="false">
      <c r="I696" s="41" t="str">
        <f aca="false">IF(F696="","",IFERROR(IF(ISNUMBER(SEARCH(Assumptions!$C$5,F696)),Assumptions!$D$5,IF(ISNUMBER(SEARCH(Assumptions!$C$6,F696)),Assumptions!$D$6,IF(ISNUMBER(SEARCH(Assumptions!$C$7,F696)),Assumptions!$D$7,"Other Services"))),"Other Services"))</f>
        <v/>
      </c>
    </row>
    <row r="697" customFormat="false" ht="15" hidden="false" customHeight="false" outlineLevel="0" collapsed="false">
      <c r="I697" s="41" t="str">
        <f aca="false">IF(F697="","",IFERROR(IF(ISNUMBER(SEARCH(Assumptions!$C$5,F697)),Assumptions!$D$5,IF(ISNUMBER(SEARCH(Assumptions!$C$6,F697)),Assumptions!$D$6,IF(ISNUMBER(SEARCH(Assumptions!$C$7,F697)),Assumptions!$D$7,"Other Services"))),"Other Services"))</f>
        <v/>
      </c>
    </row>
    <row r="698" customFormat="false" ht="15" hidden="false" customHeight="false" outlineLevel="0" collapsed="false">
      <c r="I698" s="41" t="str">
        <f aca="false">IF(F698="","",IFERROR(IF(ISNUMBER(SEARCH(Assumptions!$C$5,F698)),Assumptions!$D$5,IF(ISNUMBER(SEARCH(Assumptions!$C$6,F698)),Assumptions!$D$6,IF(ISNUMBER(SEARCH(Assumptions!$C$7,F698)),Assumptions!$D$7,"Other Services"))),"Other Services"))</f>
        <v/>
      </c>
    </row>
    <row r="699" customFormat="false" ht="15" hidden="false" customHeight="false" outlineLevel="0" collapsed="false">
      <c r="I699" s="41" t="str">
        <f aca="false">IF(F699="","",IFERROR(IF(ISNUMBER(SEARCH(Assumptions!$C$5,F699)),Assumptions!$D$5,IF(ISNUMBER(SEARCH(Assumptions!$C$6,F699)),Assumptions!$D$6,IF(ISNUMBER(SEARCH(Assumptions!$C$7,F699)),Assumptions!$D$7,"Other Services"))),"Other Services"))</f>
        <v/>
      </c>
    </row>
    <row r="700" customFormat="false" ht="15" hidden="false" customHeight="false" outlineLevel="0" collapsed="false">
      <c r="I700" s="41" t="str">
        <f aca="false">IF(F700="","",IFERROR(IF(ISNUMBER(SEARCH(Assumptions!$C$5,F700)),Assumptions!$D$5,IF(ISNUMBER(SEARCH(Assumptions!$C$6,F700)),Assumptions!$D$6,IF(ISNUMBER(SEARCH(Assumptions!$C$7,F700)),Assumptions!$D$7,"Other Services"))),"Other Services"))</f>
        <v/>
      </c>
    </row>
    <row r="701" customFormat="false" ht="15" hidden="false" customHeight="false" outlineLevel="0" collapsed="false">
      <c r="I701" s="41" t="str">
        <f aca="false">IF(F701="","",IFERROR(IF(ISNUMBER(SEARCH(Assumptions!$C$5,F701)),Assumptions!$D$5,IF(ISNUMBER(SEARCH(Assumptions!$C$6,F701)),Assumptions!$D$6,IF(ISNUMBER(SEARCH(Assumptions!$C$7,F701)),Assumptions!$D$7,"Other Services"))),"Other Services"))</f>
        <v/>
      </c>
    </row>
    <row r="702" customFormat="false" ht="15" hidden="false" customHeight="false" outlineLevel="0" collapsed="false">
      <c r="I702" s="41" t="str">
        <f aca="false">IF(F702="","",IFERROR(IF(ISNUMBER(SEARCH(Assumptions!$C$5,F702)),Assumptions!$D$5,IF(ISNUMBER(SEARCH(Assumptions!$C$6,F702)),Assumptions!$D$6,IF(ISNUMBER(SEARCH(Assumptions!$C$7,F702)),Assumptions!$D$7,"Other Services"))),"Other Services"))</f>
        <v/>
      </c>
    </row>
    <row r="703" customFormat="false" ht="15" hidden="false" customHeight="false" outlineLevel="0" collapsed="false">
      <c r="I703" s="41" t="str">
        <f aca="false">IF(F703="","",IFERROR(IF(ISNUMBER(SEARCH(Assumptions!$C$5,F703)),Assumptions!$D$5,IF(ISNUMBER(SEARCH(Assumptions!$C$6,F703)),Assumptions!$D$6,IF(ISNUMBER(SEARCH(Assumptions!$C$7,F703)),Assumptions!$D$7,"Other Services"))),"Other Services"))</f>
        <v/>
      </c>
    </row>
    <row r="704" customFormat="false" ht="15" hidden="false" customHeight="false" outlineLevel="0" collapsed="false">
      <c r="I704" s="41" t="str">
        <f aca="false">IF(F704="","",IFERROR(IF(ISNUMBER(SEARCH(Assumptions!$C$5,F704)),Assumptions!$D$5,IF(ISNUMBER(SEARCH(Assumptions!$C$6,F704)),Assumptions!$D$6,IF(ISNUMBER(SEARCH(Assumptions!$C$7,F704)),Assumptions!$D$7,"Other Services"))),"Other Services"))</f>
        <v/>
      </c>
    </row>
    <row r="705" customFormat="false" ht="15" hidden="false" customHeight="false" outlineLevel="0" collapsed="false">
      <c r="I705" s="41" t="str">
        <f aca="false">IF(F705="","",IFERROR(IF(ISNUMBER(SEARCH(Assumptions!$C$5,F705)),Assumptions!$D$5,IF(ISNUMBER(SEARCH(Assumptions!$C$6,F705)),Assumptions!$D$6,IF(ISNUMBER(SEARCH(Assumptions!$C$7,F705)),Assumptions!$D$7,"Other Services"))),"Other Services"))</f>
        <v/>
      </c>
    </row>
    <row r="706" customFormat="false" ht="15" hidden="false" customHeight="false" outlineLevel="0" collapsed="false">
      <c r="I706" s="41" t="str">
        <f aca="false">IF(F706="","",IFERROR(IF(ISNUMBER(SEARCH(Assumptions!$C$5,F706)),Assumptions!$D$5,IF(ISNUMBER(SEARCH(Assumptions!$C$6,F706)),Assumptions!$D$6,IF(ISNUMBER(SEARCH(Assumptions!$C$7,F706)),Assumptions!$D$7,"Other Services"))),"Other Services"))</f>
        <v/>
      </c>
    </row>
    <row r="707" customFormat="false" ht="15" hidden="false" customHeight="false" outlineLevel="0" collapsed="false">
      <c r="I707" s="41" t="str">
        <f aca="false">IF(F707="","",IFERROR(IF(ISNUMBER(SEARCH(Assumptions!$C$5,F707)),Assumptions!$D$5,IF(ISNUMBER(SEARCH(Assumptions!$C$6,F707)),Assumptions!$D$6,IF(ISNUMBER(SEARCH(Assumptions!$C$7,F707)),Assumptions!$D$7,"Other Services"))),"Other Services"))</f>
        <v/>
      </c>
    </row>
    <row r="708" customFormat="false" ht="15" hidden="false" customHeight="false" outlineLevel="0" collapsed="false">
      <c r="I708" s="41" t="str">
        <f aca="false">IF(F708="","",IFERROR(IF(ISNUMBER(SEARCH(Assumptions!$C$5,F708)),Assumptions!$D$5,IF(ISNUMBER(SEARCH(Assumptions!$C$6,F708)),Assumptions!$D$6,IF(ISNUMBER(SEARCH(Assumptions!$C$7,F708)),Assumptions!$D$7,"Other Services"))),"Other Services"))</f>
        <v/>
      </c>
    </row>
    <row r="709" customFormat="false" ht="15" hidden="false" customHeight="false" outlineLevel="0" collapsed="false">
      <c r="I709" s="41" t="str">
        <f aca="false">IF(F709="","",IFERROR(IF(ISNUMBER(SEARCH(Assumptions!$C$5,F709)),Assumptions!$D$5,IF(ISNUMBER(SEARCH(Assumptions!$C$6,F709)),Assumptions!$D$6,IF(ISNUMBER(SEARCH(Assumptions!$C$7,F709)),Assumptions!$D$7,"Other Services"))),"Other Services"))</f>
        <v/>
      </c>
    </row>
    <row r="710" customFormat="false" ht="15" hidden="false" customHeight="false" outlineLevel="0" collapsed="false">
      <c r="I710" s="41" t="str">
        <f aca="false">IF(F710="","",IFERROR(IF(ISNUMBER(SEARCH(Assumptions!$C$5,F710)),Assumptions!$D$5,IF(ISNUMBER(SEARCH(Assumptions!$C$6,F710)),Assumptions!$D$6,IF(ISNUMBER(SEARCH(Assumptions!$C$7,F710)),Assumptions!$D$7,"Other Services"))),"Other Services"))</f>
        <v/>
      </c>
    </row>
    <row r="711" customFormat="false" ht="15" hidden="false" customHeight="false" outlineLevel="0" collapsed="false">
      <c r="I711" s="41" t="str">
        <f aca="false">IF(F711="","",IFERROR(IF(ISNUMBER(SEARCH(Assumptions!$C$5,F711)),Assumptions!$D$5,IF(ISNUMBER(SEARCH(Assumptions!$C$6,F711)),Assumptions!$D$6,IF(ISNUMBER(SEARCH(Assumptions!$C$7,F711)),Assumptions!$D$7,"Other Services"))),"Other Services"))</f>
        <v/>
      </c>
    </row>
    <row r="712" customFormat="false" ht="15" hidden="false" customHeight="false" outlineLevel="0" collapsed="false">
      <c r="I712" s="41" t="str">
        <f aca="false">IF(F712="","",IFERROR(IF(ISNUMBER(SEARCH(Assumptions!$C$5,F712)),Assumptions!$D$5,IF(ISNUMBER(SEARCH(Assumptions!$C$6,F712)),Assumptions!$D$6,IF(ISNUMBER(SEARCH(Assumptions!$C$7,F712)),Assumptions!$D$7,"Other Services"))),"Other Services"))</f>
        <v/>
      </c>
    </row>
    <row r="713" customFormat="false" ht="15" hidden="false" customHeight="false" outlineLevel="0" collapsed="false">
      <c r="I713" s="41" t="str">
        <f aca="false">IF(F713="","",IFERROR(IF(ISNUMBER(SEARCH(Assumptions!$C$5,F713)),Assumptions!$D$5,IF(ISNUMBER(SEARCH(Assumptions!$C$6,F713)),Assumptions!$D$6,IF(ISNUMBER(SEARCH(Assumptions!$C$7,F713)),Assumptions!$D$7,"Other Services"))),"Other Services"))</f>
        <v/>
      </c>
    </row>
    <row r="714" customFormat="false" ht="15" hidden="false" customHeight="false" outlineLevel="0" collapsed="false">
      <c r="I714" s="41" t="str">
        <f aca="false">IF(F714="","",IFERROR(IF(ISNUMBER(SEARCH(Assumptions!$C$5,F714)),Assumptions!$D$5,IF(ISNUMBER(SEARCH(Assumptions!$C$6,F714)),Assumptions!$D$6,IF(ISNUMBER(SEARCH(Assumptions!$C$7,F714)),Assumptions!$D$7,"Other Services"))),"Other Services"))</f>
        <v/>
      </c>
    </row>
    <row r="715" customFormat="false" ht="15" hidden="false" customHeight="false" outlineLevel="0" collapsed="false">
      <c r="I715" s="41" t="str">
        <f aca="false">IF(F715="","",IFERROR(IF(ISNUMBER(SEARCH(Assumptions!$C$5,F715)),Assumptions!$D$5,IF(ISNUMBER(SEARCH(Assumptions!$C$6,F715)),Assumptions!$D$6,IF(ISNUMBER(SEARCH(Assumptions!$C$7,F715)),Assumptions!$D$7,"Other Services"))),"Other Services"))</f>
        <v/>
      </c>
    </row>
    <row r="716" customFormat="false" ht="15" hidden="false" customHeight="false" outlineLevel="0" collapsed="false">
      <c r="I716" s="41" t="str">
        <f aca="false">IF(F716="","",IFERROR(IF(ISNUMBER(SEARCH(Assumptions!$C$5,F716)),Assumptions!$D$5,IF(ISNUMBER(SEARCH(Assumptions!$C$6,F716)),Assumptions!$D$6,IF(ISNUMBER(SEARCH(Assumptions!$C$7,F716)),Assumptions!$D$7,"Other Services"))),"Other Services"))</f>
        <v/>
      </c>
    </row>
    <row r="717" customFormat="false" ht="15" hidden="false" customHeight="false" outlineLevel="0" collapsed="false">
      <c r="I717" s="41" t="str">
        <f aca="false">IF(F717="","",IFERROR(IF(ISNUMBER(SEARCH(Assumptions!$C$5,F717)),Assumptions!$D$5,IF(ISNUMBER(SEARCH(Assumptions!$C$6,F717)),Assumptions!$D$6,IF(ISNUMBER(SEARCH(Assumptions!$C$7,F717)),Assumptions!$D$7,"Other Services"))),"Other Services"))</f>
        <v/>
      </c>
    </row>
    <row r="718" customFormat="false" ht="15" hidden="false" customHeight="false" outlineLevel="0" collapsed="false">
      <c r="I718" s="41" t="str">
        <f aca="false">IF(F718="","",IFERROR(IF(ISNUMBER(SEARCH(Assumptions!$C$5,F718)),Assumptions!$D$5,IF(ISNUMBER(SEARCH(Assumptions!$C$6,F718)),Assumptions!$D$6,IF(ISNUMBER(SEARCH(Assumptions!$C$7,F718)),Assumptions!$D$7,"Other Services"))),"Other Services"))</f>
        <v/>
      </c>
    </row>
    <row r="719" customFormat="false" ht="15" hidden="false" customHeight="false" outlineLevel="0" collapsed="false">
      <c r="I719" s="41" t="str">
        <f aca="false">IF(F719="","",IFERROR(IF(ISNUMBER(SEARCH(Assumptions!$C$5,F719)),Assumptions!$D$5,IF(ISNUMBER(SEARCH(Assumptions!$C$6,F719)),Assumptions!$D$6,IF(ISNUMBER(SEARCH(Assumptions!$C$7,F719)),Assumptions!$D$7,"Other Services"))),"Other Services"))</f>
        <v/>
      </c>
    </row>
    <row r="720" customFormat="false" ht="15" hidden="false" customHeight="false" outlineLevel="0" collapsed="false">
      <c r="I720" s="41" t="str">
        <f aca="false">IF(F720="","",IFERROR(IF(ISNUMBER(SEARCH(Assumptions!$C$5,F720)),Assumptions!$D$5,IF(ISNUMBER(SEARCH(Assumptions!$C$6,F720)),Assumptions!$D$6,IF(ISNUMBER(SEARCH(Assumptions!$C$7,F720)),Assumptions!$D$7,"Other Services"))),"Other Services"))</f>
        <v/>
      </c>
    </row>
    <row r="721" customFormat="false" ht="15" hidden="false" customHeight="false" outlineLevel="0" collapsed="false">
      <c r="I721" s="41" t="str">
        <f aca="false">IF(F721="","",IFERROR(IF(ISNUMBER(SEARCH(Assumptions!$C$5,F721)),Assumptions!$D$5,IF(ISNUMBER(SEARCH(Assumptions!$C$6,F721)),Assumptions!$D$6,IF(ISNUMBER(SEARCH(Assumptions!$C$7,F721)),Assumptions!$D$7,"Other Services"))),"Other Services"))</f>
        <v/>
      </c>
    </row>
    <row r="722" customFormat="false" ht="15" hidden="false" customHeight="false" outlineLevel="0" collapsed="false">
      <c r="I722" s="41" t="str">
        <f aca="false">IF(F722="","",IFERROR(IF(ISNUMBER(SEARCH(Assumptions!$C$5,F722)),Assumptions!$D$5,IF(ISNUMBER(SEARCH(Assumptions!$C$6,F722)),Assumptions!$D$6,IF(ISNUMBER(SEARCH(Assumptions!$C$7,F722)),Assumptions!$D$7,"Other Services"))),"Other Services"))</f>
        <v/>
      </c>
    </row>
    <row r="723" customFormat="false" ht="15" hidden="false" customHeight="false" outlineLevel="0" collapsed="false">
      <c r="I723" s="41" t="str">
        <f aca="false">IF(F723="","",IFERROR(IF(ISNUMBER(SEARCH(Assumptions!$C$5,F723)),Assumptions!$D$5,IF(ISNUMBER(SEARCH(Assumptions!$C$6,F723)),Assumptions!$D$6,IF(ISNUMBER(SEARCH(Assumptions!$C$7,F723)),Assumptions!$D$7,"Other Services"))),"Other Services"))</f>
        <v/>
      </c>
    </row>
    <row r="724" customFormat="false" ht="15" hidden="false" customHeight="false" outlineLevel="0" collapsed="false">
      <c r="I724" s="41" t="str">
        <f aca="false">IF(F724="","",IFERROR(IF(ISNUMBER(SEARCH(Assumptions!$C$5,F724)),Assumptions!$D$5,IF(ISNUMBER(SEARCH(Assumptions!$C$6,F724)),Assumptions!$D$6,IF(ISNUMBER(SEARCH(Assumptions!$C$7,F724)),Assumptions!$D$7,"Other Services"))),"Other Services"))</f>
        <v/>
      </c>
    </row>
    <row r="725" customFormat="false" ht="15" hidden="false" customHeight="false" outlineLevel="0" collapsed="false">
      <c r="I725" s="41" t="str">
        <f aca="false">IF(F725="","",IFERROR(IF(ISNUMBER(SEARCH(Assumptions!$C$5,F725)),Assumptions!$D$5,IF(ISNUMBER(SEARCH(Assumptions!$C$6,F725)),Assumptions!$D$6,IF(ISNUMBER(SEARCH(Assumptions!$C$7,F725)),Assumptions!$D$7,"Other Services"))),"Other Services"))</f>
        <v/>
      </c>
    </row>
    <row r="726" customFormat="false" ht="15" hidden="false" customHeight="false" outlineLevel="0" collapsed="false">
      <c r="I726" s="41" t="str">
        <f aca="false">IF(F726="","",IFERROR(IF(ISNUMBER(SEARCH(Assumptions!$C$5,F726)),Assumptions!$D$5,IF(ISNUMBER(SEARCH(Assumptions!$C$6,F726)),Assumptions!$D$6,IF(ISNUMBER(SEARCH(Assumptions!$C$7,F726)),Assumptions!$D$7,"Other Services"))),"Other Services"))</f>
        <v/>
      </c>
    </row>
    <row r="727" customFormat="false" ht="15" hidden="false" customHeight="false" outlineLevel="0" collapsed="false">
      <c r="I727" s="41" t="str">
        <f aca="false">IF(F727="","",IFERROR(IF(ISNUMBER(SEARCH(Assumptions!$C$5,F727)),Assumptions!$D$5,IF(ISNUMBER(SEARCH(Assumptions!$C$6,F727)),Assumptions!$D$6,IF(ISNUMBER(SEARCH(Assumptions!$C$7,F727)),Assumptions!$D$7,"Other Services"))),"Other Services"))</f>
        <v/>
      </c>
    </row>
    <row r="728" customFormat="false" ht="15" hidden="false" customHeight="false" outlineLevel="0" collapsed="false">
      <c r="I728" s="41" t="str">
        <f aca="false">IF(F728="","",IFERROR(IF(ISNUMBER(SEARCH(Assumptions!$C$5,F728)),Assumptions!$D$5,IF(ISNUMBER(SEARCH(Assumptions!$C$6,F728)),Assumptions!$D$6,IF(ISNUMBER(SEARCH(Assumptions!$C$7,F728)),Assumptions!$D$7,"Other Services"))),"Other Services"))</f>
        <v/>
      </c>
    </row>
    <row r="729" customFormat="false" ht="15" hidden="false" customHeight="false" outlineLevel="0" collapsed="false">
      <c r="I729" s="41" t="str">
        <f aca="false">IF(F729="","",IFERROR(IF(ISNUMBER(SEARCH(Assumptions!$C$5,F729)),Assumptions!$D$5,IF(ISNUMBER(SEARCH(Assumptions!$C$6,F729)),Assumptions!$D$6,IF(ISNUMBER(SEARCH(Assumptions!$C$7,F729)),Assumptions!$D$7,"Other Services"))),"Other Services"))</f>
        <v/>
      </c>
    </row>
    <row r="730" customFormat="false" ht="15" hidden="false" customHeight="false" outlineLevel="0" collapsed="false">
      <c r="I730" s="41" t="str">
        <f aca="false">IF(F730="","",IFERROR(IF(ISNUMBER(SEARCH(Assumptions!$C$5,F730)),Assumptions!$D$5,IF(ISNUMBER(SEARCH(Assumptions!$C$6,F730)),Assumptions!$D$6,IF(ISNUMBER(SEARCH(Assumptions!$C$7,F730)),Assumptions!$D$7,"Other Services"))),"Other Services"))</f>
        <v/>
      </c>
    </row>
    <row r="731" customFormat="false" ht="15" hidden="false" customHeight="false" outlineLevel="0" collapsed="false">
      <c r="I731" s="41" t="str">
        <f aca="false">IF(F731="","",IFERROR(IF(ISNUMBER(SEARCH(Assumptions!$C$5,F731)),Assumptions!$D$5,IF(ISNUMBER(SEARCH(Assumptions!$C$6,F731)),Assumptions!$D$6,IF(ISNUMBER(SEARCH(Assumptions!$C$7,F731)),Assumptions!$D$7,"Other Services"))),"Other Services"))</f>
        <v/>
      </c>
    </row>
    <row r="732" customFormat="false" ht="15" hidden="false" customHeight="false" outlineLevel="0" collapsed="false">
      <c r="I732" s="41" t="str">
        <f aca="false">IF(F732="","",IFERROR(IF(ISNUMBER(SEARCH(Assumptions!$C$5,F732)),Assumptions!$D$5,IF(ISNUMBER(SEARCH(Assumptions!$C$6,F732)),Assumptions!$D$6,IF(ISNUMBER(SEARCH(Assumptions!$C$7,F732)),Assumptions!$D$7,"Other Services"))),"Other Services"))</f>
        <v/>
      </c>
    </row>
    <row r="733" customFormat="false" ht="15" hidden="false" customHeight="false" outlineLevel="0" collapsed="false">
      <c r="I733" s="41" t="str">
        <f aca="false">IF(F733="","",IFERROR(IF(ISNUMBER(SEARCH(Assumptions!$C$5,F733)),Assumptions!$D$5,IF(ISNUMBER(SEARCH(Assumptions!$C$6,F733)),Assumptions!$D$6,IF(ISNUMBER(SEARCH(Assumptions!$C$7,F733)),Assumptions!$D$7,"Other Services"))),"Other Services"))</f>
        <v/>
      </c>
    </row>
    <row r="734" customFormat="false" ht="15" hidden="false" customHeight="false" outlineLevel="0" collapsed="false">
      <c r="I734" s="41" t="str">
        <f aca="false">IF(F734="","",IFERROR(IF(ISNUMBER(SEARCH(Assumptions!$C$5,F734)),Assumptions!$D$5,IF(ISNUMBER(SEARCH(Assumptions!$C$6,F734)),Assumptions!$D$6,IF(ISNUMBER(SEARCH(Assumptions!$C$7,F734)),Assumptions!$D$7,"Other Services"))),"Other Services"))</f>
        <v/>
      </c>
    </row>
    <row r="735" customFormat="false" ht="15" hidden="false" customHeight="false" outlineLevel="0" collapsed="false">
      <c r="I735" s="41" t="str">
        <f aca="false">IF(F735="","",IFERROR(IF(ISNUMBER(SEARCH(Assumptions!$C$5,F735)),Assumptions!$D$5,IF(ISNUMBER(SEARCH(Assumptions!$C$6,F735)),Assumptions!$D$6,IF(ISNUMBER(SEARCH(Assumptions!$C$7,F735)),Assumptions!$D$7,"Other Services"))),"Other Services"))</f>
        <v/>
      </c>
    </row>
    <row r="736" customFormat="false" ht="15" hidden="false" customHeight="false" outlineLevel="0" collapsed="false">
      <c r="I736" s="41" t="str">
        <f aca="false">IF(F736="","",IFERROR(IF(ISNUMBER(SEARCH(Assumptions!$C$5,F736)),Assumptions!$D$5,IF(ISNUMBER(SEARCH(Assumptions!$C$6,F736)),Assumptions!$D$6,IF(ISNUMBER(SEARCH(Assumptions!$C$7,F736)),Assumptions!$D$7,"Other Services"))),"Other Services"))</f>
        <v/>
      </c>
    </row>
    <row r="737" customFormat="false" ht="15" hidden="false" customHeight="false" outlineLevel="0" collapsed="false">
      <c r="I737" s="41" t="str">
        <f aca="false">IF(F737="","",IFERROR(IF(ISNUMBER(SEARCH(Assumptions!$C$5,F737)),Assumptions!$D$5,IF(ISNUMBER(SEARCH(Assumptions!$C$6,F737)),Assumptions!$D$6,IF(ISNUMBER(SEARCH(Assumptions!$C$7,F737)),Assumptions!$D$7,"Other Services"))),"Other Services"))</f>
        <v/>
      </c>
    </row>
    <row r="738" customFormat="false" ht="15" hidden="false" customHeight="false" outlineLevel="0" collapsed="false">
      <c r="I738" s="41" t="str">
        <f aca="false">IF(F738="","",IFERROR(IF(ISNUMBER(SEARCH(Assumptions!$C$5,F738)),Assumptions!$D$5,IF(ISNUMBER(SEARCH(Assumptions!$C$6,F738)),Assumptions!$D$6,IF(ISNUMBER(SEARCH(Assumptions!$C$7,F738)),Assumptions!$D$7,"Other Services"))),"Other Services"))</f>
        <v/>
      </c>
    </row>
    <row r="739" customFormat="false" ht="15" hidden="false" customHeight="false" outlineLevel="0" collapsed="false">
      <c r="I739" s="41" t="str">
        <f aca="false">IF(F739="","",IFERROR(IF(ISNUMBER(SEARCH(Assumptions!$C$5,F739)),Assumptions!$D$5,IF(ISNUMBER(SEARCH(Assumptions!$C$6,F739)),Assumptions!$D$6,IF(ISNUMBER(SEARCH(Assumptions!$C$7,F739)),Assumptions!$D$7,"Other Services"))),"Other Services"))</f>
        <v/>
      </c>
    </row>
    <row r="740" customFormat="false" ht="15" hidden="false" customHeight="false" outlineLevel="0" collapsed="false">
      <c r="I740" s="41" t="str">
        <f aca="false">IF(F740="","",IFERROR(IF(ISNUMBER(SEARCH(Assumptions!$C$5,F740)),Assumptions!$D$5,IF(ISNUMBER(SEARCH(Assumptions!$C$6,F740)),Assumptions!$D$6,IF(ISNUMBER(SEARCH(Assumptions!$C$7,F740)),Assumptions!$D$7,"Other Services"))),"Other Services"))</f>
        <v/>
      </c>
    </row>
    <row r="741" customFormat="false" ht="15" hidden="false" customHeight="false" outlineLevel="0" collapsed="false">
      <c r="I741" s="41" t="str">
        <f aca="false">IF(F741="","",IFERROR(IF(ISNUMBER(SEARCH(Assumptions!$C$5,F741)),Assumptions!$D$5,IF(ISNUMBER(SEARCH(Assumptions!$C$6,F741)),Assumptions!$D$6,IF(ISNUMBER(SEARCH(Assumptions!$C$7,F741)),Assumptions!$D$7,"Other Services"))),"Other Services"))</f>
        <v/>
      </c>
    </row>
    <row r="742" customFormat="false" ht="15" hidden="false" customHeight="false" outlineLevel="0" collapsed="false">
      <c r="I742" s="41" t="str">
        <f aca="false">IF(F742="","",IFERROR(IF(ISNUMBER(SEARCH(Assumptions!$C$5,F742)),Assumptions!$D$5,IF(ISNUMBER(SEARCH(Assumptions!$C$6,F742)),Assumptions!$D$6,IF(ISNUMBER(SEARCH(Assumptions!$C$7,F742)),Assumptions!$D$7,"Other Services"))),"Other Services"))</f>
        <v/>
      </c>
    </row>
    <row r="743" customFormat="false" ht="15" hidden="false" customHeight="false" outlineLevel="0" collapsed="false">
      <c r="I743" s="41" t="str">
        <f aca="false">IF(F743="","",IFERROR(IF(ISNUMBER(SEARCH(Assumptions!$C$5,F743)),Assumptions!$D$5,IF(ISNUMBER(SEARCH(Assumptions!$C$6,F743)),Assumptions!$D$6,IF(ISNUMBER(SEARCH(Assumptions!$C$7,F743)),Assumptions!$D$7,"Other Services"))),"Other Services"))</f>
        <v/>
      </c>
    </row>
    <row r="744" customFormat="false" ht="15" hidden="false" customHeight="false" outlineLevel="0" collapsed="false">
      <c r="I744" s="41" t="str">
        <f aca="false">IF(F744="","",IFERROR(IF(ISNUMBER(SEARCH(Assumptions!$C$5,F744)),Assumptions!$D$5,IF(ISNUMBER(SEARCH(Assumptions!$C$6,F744)),Assumptions!$D$6,IF(ISNUMBER(SEARCH(Assumptions!$C$7,F744)),Assumptions!$D$7,"Other Services"))),"Other Services"))</f>
        <v/>
      </c>
    </row>
    <row r="745" customFormat="false" ht="15" hidden="false" customHeight="false" outlineLevel="0" collapsed="false">
      <c r="I745" s="41" t="str">
        <f aca="false">IF(F745="","",IFERROR(IF(ISNUMBER(SEARCH(Assumptions!$C$5,F745)),Assumptions!$D$5,IF(ISNUMBER(SEARCH(Assumptions!$C$6,F745)),Assumptions!$D$6,IF(ISNUMBER(SEARCH(Assumptions!$C$7,F745)),Assumptions!$D$7,"Other Services"))),"Other Services"))</f>
        <v/>
      </c>
    </row>
    <row r="746" customFormat="false" ht="15" hidden="false" customHeight="false" outlineLevel="0" collapsed="false">
      <c r="I746" s="41" t="str">
        <f aca="false">IF(F746="","",IFERROR(IF(ISNUMBER(SEARCH(Assumptions!$C$5,F746)),Assumptions!$D$5,IF(ISNUMBER(SEARCH(Assumptions!$C$6,F746)),Assumptions!$D$6,IF(ISNUMBER(SEARCH(Assumptions!$C$7,F746)),Assumptions!$D$7,"Other Services"))),"Other Services"))</f>
        <v/>
      </c>
    </row>
    <row r="747" customFormat="false" ht="15" hidden="false" customHeight="false" outlineLevel="0" collapsed="false">
      <c r="I747" s="41" t="str">
        <f aca="false">IF(F747="","",IFERROR(IF(ISNUMBER(SEARCH(Assumptions!$C$5,F747)),Assumptions!$D$5,IF(ISNUMBER(SEARCH(Assumptions!$C$6,F747)),Assumptions!$D$6,IF(ISNUMBER(SEARCH(Assumptions!$C$7,F747)),Assumptions!$D$7,"Other Services"))),"Other Services"))</f>
        <v/>
      </c>
    </row>
    <row r="748" customFormat="false" ht="15" hidden="false" customHeight="false" outlineLevel="0" collapsed="false">
      <c r="I748" s="41" t="str">
        <f aca="false">IF(F748="","",IFERROR(IF(ISNUMBER(SEARCH(Assumptions!$C$5,F748)),Assumptions!$D$5,IF(ISNUMBER(SEARCH(Assumptions!$C$6,F748)),Assumptions!$D$6,IF(ISNUMBER(SEARCH(Assumptions!$C$7,F748)),Assumptions!$D$7,"Other Services"))),"Other Services"))</f>
        <v/>
      </c>
    </row>
    <row r="749" customFormat="false" ht="15" hidden="false" customHeight="false" outlineLevel="0" collapsed="false">
      <c r="I749" s="41" t="str">
        <f aca="false">IF(F749="","",IFERROR(IF(ISNUMBER(SEARCH(Assumptions!$C$5,F749)),Assumptions!$D$5,IF(ISNUMBER(SEARCH(Assumptions!$C$6,F749)),Assumptions!$D$6,IF(ISNUMBER(SEARCH(Assumptions!$C$7,F749)),Assumptions!$D$7,"Other Services"))),"Other Services"))</f>
        <v/>
      </c>
    </row>
    <row r="750" customFormat="false" ht="15" hidden="false" customHeight="false" outlineLevel="0" collapsed="false">
      <c r="I750" s="41" t="str">
        <f aca="false">IF(F750="","",IFERROR(IF(ISNUMBER(SEARCH(Assumptions!$C$5,F750)),Assumptions!$D$5,IF(ISNUMBER(SEARCH(Assumptions!$C$6,F750)),Assumptions!$D$6,IF(ISNUMBER(SEARCH(Assumptions!$C$7,F750)),Assumptions!$D$7,"Other Services"))),"Other Services"))</f>
        <v/>
      </c>
    </row>
    <row r="751" customFormat="false" ht="15" hidden="false" customHeight="false" outlineLevel="0" collapsed="false">
      <c r="I751" s="41" t="str">
        <f aca="false">IF(F751="","",IFERROR(IF(ISNUMBER(SEARCH(Assumptions!$C$5,F751)),Assumptions!$D$5,IF(ISNUMBER(SEARCH(Assumptions!$C$6,F751)),Assumptions!$D$6,IF(ISNUMBER(SEARCH(Assumptions!$C$7,F751)),Assumptions!$D$7,"Other Services"))),"Other Services"))</f>
        <v/>
      </c>
    </row>
    <row r="752" customFormat="false" ht="15" hidden="false" customHeight="false" outlineLevel="0" collapsed="false">
      <c r="I752" s="41" t="str">
        <f aca="false">IF(F752="","",IFERROR(IF(ISNUMBER(SEARCH(Assumptions!$C$5,F752)),Assumptions!$D$5,IF(ISNUMBER(SEARCH(Assumptions!$C$6,F752)),Assumptions!$D$6,IF(ISNUMBER(SEARCH(Assumptions!$C$7,F752)),Assumptions!$D$7,"Other Services"))),"Other Services"))</f>
        <v/>
      </c>
    </row>
    <row r="753" customFormat="false" ht="15" hidden="false" customHeight="false" outlineLevel="0" collapsed="false">
      <c r="I753" s="41" t="str">
        <f aca="false">IF(F753="","",IFERROR(IF(ISNUMBER(SEARCH(Assumptions!$C$5,F753)),Assumptions!$D$5,IF(ISNUMBER(SEARCH(Assumptions!$C$6,F753)),Assumptions!$D$6,IF(ISNUMBER(SEARCH(Assumptions!$C$7,F753)),Assumptions!$D$7,"Other Services"))),"Other Services"))</f>
        <v/>
      </c>
    </row>
    <row r="754" customFormat="false" ht="15" hidden="false" customHeight="false" outlineLevel="0" collapsed="false">
      <c r="I754" s="41" t="str">
        <f aca="false">IF(F754="","",IFERROR(IF(ISNUMBER(SEARCH(Assumptions!$C$5,F754)),Assumptions!$D$5,IF(ISNUMBER(SEARCH(Assumptions!$C$6,F754)),Assumptions!$D$6,IF(ISNUMBER(SEARCH(Assumptions!$C$7,F754)),Assumptions!$D$7,"Other Services"))),"Other Services"))</f>
        <v/>
      </c>
    </row>
    <row r="755" customFormat="false" ht="15" hidden="false" customHeight="false" outlineLevel="0" collapsed="false">
      <c r="I755" s="41" t="str">
        <f aca="false">IF(F755="","",IFERROR(IF(ISNUMBER(SEARCH(Assumptions!$C$5,F755)),Assumptions!$D$5,IF(ISNUMBER(SEARCH(Assumptions!$C$6,F755)),Assumptions!$D$6,IF(ISNUMBER(SEARCH(Assumptions!$C$7,F755)),Assumptions!$D$7,"Other Services"))),"Other Services"))</f>
        <v/>
      </c>
    </row>
    <row r="756" customFormat="false" ht="15" hidden="false" customHeight="false" outlineLevel="0" collapsed="false">
      <c r="I756" s="41" t="str">
        <f aca="false">IF(F756="","",IFERROR(IF(ISNUMBER(SEARCH(Assumptions!$C$5,F756)),Assumptions!$D$5,IF(ISNUMBER(SEARCH(Assumptions!$C$6,F756)),Assumptions!$D$6,IF(ISNUMBER(SEARCH(Assumptions!$C$7,F756)),Assumptions!$D$7,"Other Services"))),"Other Services"))</f>
        <v/>
      </c>
    </row>
    <row r="757" customFormat="false" ht="15" hidden="false" customHeight="false" outlineLevel="0" collapsed="false">
      <c r="I757" s="41" t="str">
        <f aca="false">IF(F757="","",IFERROR(IF(ISNUMBER(SEARCH(Assumptions!$C$5,F757)),Assumptions!$D$5,IF(ISNUMBER(SEARCH(Assumptions!$C$6,F757)),Assumptions!$D$6,IF(ISNUMBER(SEARCH(Assumptions!$C$7,F757)),Assumptions!$D$7,"Other Services"))),"Other Services"))</f>
        <v/>
      </c>
    </row>
    <row r="758" customFormat="false" ht="15" hidden="false" customHeight="false" outlineLevel="0" collapsed="false">
      <c r="I758" s="41" t="str">
        <f aca="false">IF(F758="","",IFERROR(IF(ISNUMBER(SEARCH(Assumptions!$C$5,F758)),Assumptions!$D$5,IF(ISNUMBER(SEARCH(Assumptions!$C$6,F758)),Assumptions!$D$6,IF(ISNUMBER(SEARCH(Assumptions!$C$7,F758)),Assumptions!$D$7,"Other Services"))),"Other Services"))</f>
        <v/>
      </c>
    </row>
    <row r="759" customFormat="false" ht="15" hidden="false" customHeight="false" outlineLevel="0" collapsed="false">
      <c r="I759" s="41" t="str">
        <f aca="false">IF(F759="","",IFERROR(IF(ISNUMBER(SEARCH(Assumptions!$C$5,F759)),Assumptions!$D$5,IF(ISNUMBER(SEARCH(Assumptions!$C$6,F759)),Assumptions!$D$6,IF(ISNUMBER(SEARCH(Assumptions!$C$7,F759)),Assumptions!$D$7,"Other Services"))),"Other Services"))</f>
        <v/>
      </c>
    </row>
    <row r="760" customFormat="false" ht="15" hidden="false" customHeight="false" outlineLevel="0" collapsed="false">
      <c r="I760" s="41" t="str">
        <f aca="false">IF(F760="","",IFERROR(IF(ISNUMBER(SEARCH(Assumptions!$C$5,F760)),Assumptions!$D$5,IF(ISNUMBER(SEARCH(Assumptions!$C$6,F760)),Assumptions!$D$6,IF(ISNUMBER(SEARCH(Assumptions!$C$7,F760)),Assumptions!$D$7,"Other Services"))),"Other Services"))</f>
        <v/>
      </c>
    </row>
    <row r="761" customFormat="false" ht="15" hidden="false" customHeight="false" outlineLevel="0" collapsed="false">
      <c r="I761" s="41" t="str">
        <f aca="false">IF(F761="","",IFERROR(IF(ISNUMBER(SEARCH(Assumptions!$C$5,F761)),Assumptions!$D$5,IF(ISNUMBER(SEARCH(Assumptions!$C$6,F761)),Assumptions!$D$6,IF(ISNUMBER(SEARCH(Assumptions!$C$7,F761)),Assumptions!$D$7,"Other Services"))),"Other Services"))</f>
        <v/>
      </c>
    </row>
    <row r="762" customFormat="false" ht="15" hidden="false" customHeight="false" outlineLevel="0" collapsed="false">
      <c r="I762" s="41" t="str">
        <f aca="false">IF(F762="","",IFERROR(IF(ISNUMBER(SEARCH(Assumptions!$C$5,F762)),Assumptions!$D$5,IF(ISNUMBER(SEARCH(Assumptions!$C$6,F762)),Assumptions!$D$6,IF(ISNUMBER(SEARCH(Assumptions!$C$7,F762)),Assumptions!$D$7,"Other Services"))),"Other Services"))</f>
        <v/>
      </c>
    </row>
    <row r="763" customFormat="false" ht="15" hidden="false" customHeight="false" outlineLevel="0" collapsed="false">
      <c r="I763" s="41" t="str">
        <f aca="false">IF(F763="","",IFERROR(IF(ISNUMBER(SEARCH(Assumptions!$C$5,F763)),Assumptions!$D$5,IF(ISNUMBER(SEARCH(Assumptions!$C$6,F763)),Assumptions!$D$6,IF(ISNUMBER(SEARCH(Assumptions!$C$7,F763)),Assumptions!$D$7,"Other Services"))),"Other Services"))</f>
        <v/>
      </c>
    </row>
    <row r="764" customFormat="false" ht="15" hidden="false" customHeight="false" outlineLevel="0" collapsed="false">
      <c r="I764" s="41" t="str">
        <f aca="false">IF(F764="","",IFERROR(IF(ISNUMBER(SEARCH(Assumptions!$C$5,F764)),Assumptions!$D$5,IF(ISNUMBER(SEARCH(Assumptions!$C$6,F764)),Assumptions!$D$6,IF(ISNUMBER(SEARCH(Assumptions!$C$7,F764)),Assumptions!$D$7,"Other Services"))),"Other Services"))</f>
        <v/>
      </c>
    </row>
    <row r="765" customFormat="false" ht="15" hidden="false" customHeight="false" outlineLevel="0" collapsed="false">
      <c r="I765" s="41" t="str">
        <f aca="false">IF(F765="","",IFERROR(IF(ISNUMBER(SEARCH(Assumptions!$C$5,F765)),Assumptions!$D$5,IF(ISNUMBER(SEARCH(Assumptions!$C$6,F765)),Assumptions!$D$6,IF(ISNUMBER(SEARCH(Assumptions!$C$7,F765)),Assumptions!$D$7,"Other Services"))),"Other Services"))</f>
        <v/>
      </c>
    </row>
    <row r="766" customFormat="false" ht="15" hidden="false" customHeight="false" outlineLevel="0" collapsed="false">
      <c r="I766" s="41" t="str">
        <f aca="false">IF(F766="","",IFERROR(IF(ISNUMBER(SEARCH(Assumptions!$C$5,F766)),Assumptions!$D$5,IF(ISNUMBER(SEARCH(Assumptions!$C$6,F766)),Assumptions!$D$6,IF(ISNUMBER(SEARCH(Assumptions!$C$7,F766)),Assumptions!$D$7,"Other Services"))),"Other Services"))</f>
        <v/>
      </c>
    </row>
    <row r="767" customFormat="false" ht="15" hidden="false" customHeight="false" outlineLevel="0" collapsed="false">
      <c r="I767" s="41" t="str">
        <f aca="false">IF(F767="","",IFERROR(IF(ISNUMBER(SEARCH(Assumptions!$C$5,F767)),Assumptions!$D$5,IF(ISNUMBER(SEARCH(Assumptions!$C$6,F767)),Assumptions!$D$6,IF(ISNUMBER(SEARCH(Assumptions!$C$7,F767)),Assumptions!$D$7,"Other Services"))),"Other Services"))</f>
        <v/>
      </c>
    </row>
    <row r="768" customFormat="false" ht="15" hidden="false" customHeight="false" outlineLevel="0" collapsed="false">
      <c r="I768" s="41" t="str">
        <f aca="false">IF(F768="","",IFERROR(IF(ISNUMBER(SEARCH(Assumptions!$C$5,F768)),Assumptions!$D$5,IF(ISNUMBER(SEARCH(Assumptions!$C$6,F768)),Assumptions!$D$6,IF(ISNUMBER(SEARCH(Assumptions!$C$7,F768)),Assumptions!$D$7,"Other Services"))),"Other Services"))</f>
        <v/>
      </c>
    </row>
    <row r="769" customFormat="false" ht="15" hidden="false" customHeight="false" outlineLevel="0" collapsed="false">
      <c r="I769" s="41" t="str">
        <f aca="false">IF(F769="","",IFERROR(IF(ISNUMBER(SEARCH(Assumptions!$C$5,F769)),Assumptions!$D$5,IF(ISNUMBER(SEARCH(Assumptions!$C$6,F769)),Assumptions!$D$6,IF(ISNUMBER(SEARCH(Assumptions!$C$7,F769)),Assumptions!$D$7,"Other Services"))),"Other Services"))</f>
        <v/>
      </c>
    </row>
    <row r="770" customFormat="false" ht="15" hidden="false" customHeight="false" outlineLevel="0" collapsed="false">
      <c r="I770" s="41" t="str">
        <f aca="false">IF(F770="","",IFERROR(IF(ISNUMBER(SEARCH(Assumptions!$C$5,F770)),Assumptions!$D$5,IF(ISNUMBER(SEARCH(Assumptions!$C$6,F770)),Assumptions!$D$6,IF(ISNUMBER(SEARCH(Assumptions!$C$7,F770)),Assumptions!$D$7,"Other Services"))),"Other Services"))</f>
        <v/>
      </c>
    </row>
    <row r="771" customFormat="false" ht="15" hidden="false" customHeight="false" outlineLevel="0" collapsed="false">
      <c r="I771" s="41" t="str">
        <f aca="false">IF(F771="","",IFERROR(IF(ISNUMBER(SEARCH(Assumptions!$C$5,F771)),Assumptions!$D$5,IF(ISNUMBER(SEARCH(Assumptions!$C$6,F771)),Assumptions!$D$6,IF(ISNUMBER(SEARCH(Assumptions!$C$7,F771)),Assumptions!$D$7,"Other Services"))),"Other Services"))</f>
        <v/>
      </c>
    </row>
    <row r="772" customFormat="false" ht="15" hidden="false" customHeight="false" outlineLevel="0" collapsed="false">
      <c r="I772" s="41" t="str">
        <f aca="false">IF(F772="","",IFERROR(IF(ISNUMBER(SEARCH(Assumptions!$C$5,F772)),Assumptions!$D$5,IF(ISNUMBER(SEARCH(Assumptions!$C$6,F772)),Assumptions!$D$6,IF(ISNUMBER(SEARCH(Assumptions!$C$7,F772)),Assumptions!$D$7,"Other Services"))),"Other Services"))</f>
        <v/>
      </c>
    </row>
    <row r="773" customFormat="false" ht="15" hidden="false" customHeight="false" outlineLevel="0" collapsed="false">
      <c r="I773" s="41" t="str">
        <f aca="false">IF(F773="","",IFERROR(IF(ISNUMBER(SEARCH(Assumptions!$C$5,F773)),Assumptions!$D$5,IF(ISNUMBER(SEARCH(Assumptions!$C$6,F773)),Assumptions!$D$6,IF(ISNUMBER(SEARCH(Assumptions!$C$7,F773)),Assumptions!$D$7,"Other Services"))),"Other Services"))</f>
        <v/>
      </c>
    </row>
    <row r="774" customFormat="false" ht="15" hidden="false" customHeight="false" outlineLevel="0" collapsed="false">
      <c r="I774" s="41" t="str">
        <f aca="false">IF(F774="","",IFERROR(IF(ISNUMBER(SEARCH(Assumptions!$C$5,F774)),Assumptions!$D$5,IF(ISNUMBER(SEARCH(Assumptions!$C$6,F774)),Assumptions!$D$6,IF(ISNUMBER(SEARCH(Assumptions!$C$7,F774)),Assumptions!$D$7,"Other Services"))),"Other Services"))</f>
        <v/>
      </c>
    </row>
    <row r="775" customFormat="false" ht="15" hidden="false" customHeight="false" outlineLevel="0" collapsed="false">
      <c r="I775" s="41" t="str">
        <f aca="false">IF(F775="","",IFERROR(IF(ISNUMBER(SEARCH(Assumptions!$C$5,F775)),Assumptions!$D$5,IF(ISNUMBER(SEARCH(Assumptions!$C$6,F775)),Assumptions!$D$6,IF(ISNUMBER(SEARCH(Assumptions!$C$7,F775)),Assumptions!$D$7,"Other Services"))),"Other Services"))</f>
        <v/>
      </c>
    </row>
    <row r="776" customFormat="false" ht="15" hidden="false" customHeight="false" outlineLevel="0" collapsed="false">
      <c r="I776" s="41" t="str">
        <f aca="false">IF(F776="","",IFERROR(IF(ISNUMBER(SEARCH(Assumptions!$C$5,F776)),Assumptions!$D$5,IF(ISNUMBER(SEARCH(Assumptions!$C$6,F776)),Assumptions!$D$6,IF(ISNUMBER(SEARCH(Assumptions!$C$7,F776)),Assumptions!$D$7,"Other Services"))),"Other Services"))</f>
        <v/>
      </c>
    </row>
    <row r="777" customFormat="false" ht="15" hidden="false" customHeight="false" outlineLevel="0" collapsed="false">
      <c r="I777" s="41" t="str">
        <f aca="false">IF(F777="","",IFERROR(IF(ISNUMBER(SEARCH(Assumptions!$C$5,F777)),Assumptions!$D$5,IF(ISNUMBER(SEARCH(Assumptions!$C$6,F777)),Assumptions!$D$6,IF(ISNUMBER(SEARCH(Assumptions!$C$7,F777)),Assumptions!$D$7,"Other Services"))),"Other Services"))</f>
        <v/>
      </c>
    </row>
    <row r="778" customFormat="false" ht="15" hidden="false" customHeight="false" outlineLevel="0" collapsed="false">
      <c r="I778" s="41" t="str">
        <f aca="false">IF(F778="","",IFERROR(IF(ISNUMBER(SEARCH(Assumptions!$C$5,F778)),Assumptions!$D$5,IF(ISNUMBER(SEARCH(Assumptions!$C$6,F778)),Assumptions!$D$6,IF(ISNUMBER(SEARCH(Assumptions!$C$7,F778)),Assumptions!$D$7,"Other Services"))),"Other Services"))</f>
        <v/>
      </c>
    </row>
    <row r="779" customFormat="false" ht="15" hidden="false" customHeight="false" outlineLevel="0" collapsed="false">
      <c r="I779" s="41" t="str">
        <f aca="false">IF(F779="","",IFERROR(IF(ISNUMBER(SEARCH(Assumptions!$C$5,F779)),Assumptions!$D$5,IF(ISNUMBER(SEARCH(Assumptions!$C$6,F779)),Assumptions!$D$6,IF(ISNUMBER(SEARCH(Assumptions!$C$7,F779)),Assumptions!$D$7,"Other Services"))),"Other Services"))</f>
        <v/>
      </c>
    </row>
    <row r="780" customFormat="false" ht="15" hidden="false" customHeight="false" outlineLevel="0" collapsed="false">
      <c r="I780" s="41" t="str">
        <f aca="false">IF(F780="","",IFERROR(IF(ISNUMBER(SEARCH(Assumptions!$C$5,F780)),Assumptions!$D$5,IF(ISNUMBER(SEARCH(Assumptions!$C$6,F780)),Assumptions!$D$6,IF(ISNUMBER(SEARCH(Assumptions!$C$7,F780)),Assumptions!$D$7,"Other Services"))),"Other Services"))</f>
        <v/>
      </c>
    </row>
    <row r="781" customFormat="false" ht="15" hidden="false" customHeight="false" outlineLevel="0" collapsed="false">
      <c r="I781" s="41" t="str">
        <f aca="false">IF(F781="","",IFERROR(IF(ISNUMBER(SEARCH(Assumptions!$C$5,F781)),Assumptions!$D$5,IF(ISNUMBER(SEARCH(Assumptions!$C$6,F781)),Assumptions!$D$6,IF(ISNUMBER(SEARCH(Assumptions!$C$7,F781)),Assumptions!$D$7,"Other Services"))),"Other Services"))</f>
        <v/>
      </c>
    </row>
    <row r="782" customFormat="false" ht="15" hidden="false" customHeight="false" outlineLevel="0" collapsed="false">
      <c r="I782" s="41" t="str">
        <f aca="false">IF(F782="","",IFERROR(IF(ISNUMBER(SEARCH(Assumptions!$C$5,F782)),Assumptions!$D$5,IF(ISNUMBER(SEARCH(Assumptions!$C$6,F782)),Assumptions!$D$6,IF(ISNUMBER(SEARCH(Assumptions!$C$7,F782)),Assumptions!$D$7,"Other Services"))),"Other Services"))</f>
        <v/>
      </c>
    </row>
    <row r="783" customFormat="false" ht="15" hidden="false" customHeight="false" outlineLevel="0" collapsed="false">
      <c r="I783" s="41" t="str">
        <f aca="false">IF(F783="","",IFERROR(IF(ISNUMBER(SEARCH(Assumptions!$C$5,F783)),Assumptions!$D$5,IF(ISNUMBER(SEARCH(Assumptions!$C$6,F783)),Assumptions!$D$6,IF(ISNUMBER(SEARCH(Assumptions!$C$7,F783)),Assumptions!$D$7,"Other Services"))),"Other Services"))</f>
        <v/>
      </c>
    </row>
    <row r="784" customFormat="false" ht="15" hidden="false" customHeight="false" outlineLevel="0" collapsed="false">
      <c r="I784" s="41" t="str">
        <f aca="false">IF(F784="","",IFERROR(IF(ISNUMBER(SEARCH(Assumptions!$C$5,F784)),Assumptions!$D$5,IF(ISNUMBER(SEARCH(Assumptions!$C$6,F784)),Assumptions!$D$6,IF(ISNUMBER(SEARCH(Assumptions!$C$7,F784)),Assumptions!$D$7,"Other Services"))),"Other Services"))</f>
        <v/>
      </c>
    </row>
    <row r="785" customFormat="false" ht="15" hidden="false" customHeight="false" outlineLevel="0" collapsed="false">
      <c r="I785" s="41" t="str">
        <f aca="false">IF(F785="","",IFERROR(IF(ISNUMBER(SEARCH(Assumptions!$C$5,F785)),Assumptions!$D$5,IF(ISNUMBER(SEARCH(Assumptions!$C$6,F785)),Assumptions!$D$6,IF(ISNUMBER(SEARCH(Assumptions!$C$7,F785)),Assumptions!$D$7,"Other Services"))),"Other Services"))</f>
        <v/>
      </c>
    </row>
    <row r="786" customFormat="false" ht="15" hidden="false" customHeight="false" outlineLevel="0" collapsed="false">
      <c r="I786" s="41" t="str">
        <f aca="false">IF(F786="","",IFERROR(IF(ISNUMBER(SEARCH(Assumptions!$C$5,F786)),Assumptions!$D$5,IF(ISNUMBER(SEARCH(Assumptions!$C$6,F786)),Assumptions!$D$6,IF(ISNUMBER(SEARCH(Assumptions!$C$7,F786)),Assumptions!$D$7,"Other Services"))),"Other Services"))</f>
        <v/>
      </c>
    </row>
    <row r="787" customFormat="false" ht="15" hidden="false" customHeight="false" outlineLevel="0" collapsed="false">
      <c r="I787" s="41" t="str">
        <f aca="false">IF(F787="","",IFERROR(IF(ISNUMBER(SEARCH(Assumptions!$C$5,F787)),Assumptions!$D$5,IF(ISNUMBER(SEARCH(Assumptions!$C$6,F787)),Assumptions!$D$6,IF(ISNUMBER(SEARCH(Assumptions!$C$7,F787)),Assumptions!$D$7,"Other Services"))),"Other Services"))</f>
        <v/>
      </c>
    </row>
    <row r="788" customFormat="false" ht="15" hidden="false" customHeight="false" outlineLevel="0" collapsed="false">
      <c r="I788" s="41" t="str">
        <f aca="false">IF(F788="","",IFERROR(IF(ISNUMBER(SEARCH(Assumptions!$C$5,F788)),Assumptions!$D$5,IF(ISNUMBER(SEARCH(Assumptions!$C$6,F788)),Assumptions!$D$6,IF(ISNUMBER(SEARCH(Assumptions!$C$7,F788)),Assumptions!$D$7,"Other Services"))),"Other Services"))</f>
        <v/>
      </c>
    </row>
    <row r="789" customFormat="false" ht="15" hidden="false" customHeight="false" outlineLevel="0" collapsed="false">
      <c r="I789" s="41" t="str">
        <f aca="false">IF(F789="","",IFERROR(IF(ISNUMBER(SEARCH(Assumptions!$C$5,F789)),Assumptions!$D$5,IF(ISNUMBER(SEARCH(Assumptions!$C$6,F789)),Assumptions!$D$6,IF(ISNUMBER(SEARCH(Assumptions!$C$7,F789)),Assumptions!$D$7,"Other Services"))),"Other Services"))</f>
        <v/>
      </c>
    </row>
    <row r="790" customFormat="false" ht="15" hidden="false" customHeight="false" outlineLevel="0" collapsed="false">
      <c r="I790" s="41" t="str">
        <f aca="false">IF(F790="","",IFERROR(IF(ISNUMBER(SEARCH(Assumptions!$C$5,F790)),Assumptions!$D$5,IF(ISNUMBER(SEARCH(Assumptions!$C$6,F790)),Assumptions!$D$6,IF(ISNUMBER(SEARCH(Assumptions!$C$7,F790)),Assumptions!$D$7,"Other Services"))),"Other Services"))</f>
        <v/>
      </c>
    </row>
    <row r="791" customFormat="false" ht="15" hidden="false" customHeight="false" outlineLevel="0" collapsed="false">
      <c r="I791" s="41" t="str">
        <f aca="false">IF(F791="","",IFERROR(IF(ISNUMBER(SEARCH(Assumptions!$C$5,F791)),Assumptions!$D$5,IF(ISNUMBER(SEARCH(Assumptions!$C$6,F791)),Assumptions!$D$6,IF(ISNUMBER(SEARCH(Assumptions!$C$7,F791)),Assumptions!$D$7,"Other Services"))),"Other Services"))</f>
        <v/>
      </c>
    </row>
    <row r="792" customFormat="false" ht="15" hidden="false" customHeight="false" outlineLevel="0" collapsed="false">
      <c r="I792" s="41" t="str">
        <f aca="false">IF(F792="","",IFERROR(IF(ISNUMBER(SEARCH(Assumptions!$C$5,F792)),Assumptions!$D$5,IF(ISNUMBER(SEARCH(Assumptions!$C$6,F792)),Assumptions!$D$6,IF(ISNUMBER(SEARCH(Assumptions!$C$7,F792)),Assumptions!$D$7,"Other Services"))),"Other Services"))</f>
        <v/>
      </c>
    </row>
    <row r="793" customFormat="false" ht="15" hidden="false" customHeight="false" outlineLevel="0" collapsed="false">
      <c r="I793" s="41" t="str">
        <f aca="false">IF(F793="","",IFERROR(IF(ISNUMBER(SEARCH(Assumptions!$C$5,F793)),Assumptions!$D$5,IF(ISNUMBER(SEARCH(Assumptions!$C$6,F793)),Assumptions!$D$6,IF(ISNUMBER(SEARCH(Assumptions!$C$7,F793)),Assumptions!$D$7,"Other Services"))),"Other Services"))</f>
        <v/>
      </c>
    </row>
    <row r="794" customFormat="false" ht="15" hidden="false" customHeight="false" outlineLevel="0" collapsed="false">
      <c r="I794" s="41" t="str">
        <f aca="false">IF(F794="","",IFERROR(IF(ISNUMBER(SEARCH(Assumptions!$C$5,F794)),Assumptions!$D$5,IF(ISNUMBER(SEARCH(Assumptions!$C$6,F794)),Assumptions!$D$6,IF(ISNUMBER(SEARCH(Assumptions!$C$7,F794)),Assumptions!$D$7,"Other Services"))),"Other Services"))</f>
        <v/>
      </c>
    </row>
    <row r="795" customFormat="false" ht="15" hidden="false" customHeight="false" outlineLevel="0" collapsed="false">
      <c r="I795" s="41" t="str">
        <f aca="false">IF(F795="","",IFERROR(IF(ISNUMBER(SEARCH(Assumptions!$C$5,F795)),Assumptions!$D$5,IF(ISNUMBER(SEARCH(Assumptions!$C$6,F795)),Assumptions!$D$6,IF(ISNUMBER(SEARCH(Assumptions!$C$7,F795)),Assumptions!$D$7,"Other Services"))),"Other Services"))</f>
        <v/>
      </c>
    </row>
    <row r="796" customFormat="false" ht="15" hidden="false" customHeight="false" outlineLevel="0" collapsed="false">
      <c r="I796" s="41" t="str">
        <f aca="false">IF(F796="","",IFERROR(IF(ISNUMBER(SEARCH(Assumptions!$C$5,F796)),Assumptions!$D$5,IF(ISNUMBER(SEARCH(Assumptions!$C$6,F796)),Assumptions!$D$6,IF(ISNUMBER(SEARCH(Assumptions!$C$7,F796)),Assumptions!$D$7,"Other Services"))),"Other Services"))</f>
        <v/>
      </c>
    </row>
    <row r="797" customFormat="false" ht="15" hidden="false" customHeight="false" outlineLevel="0" collapsed="false">
      <c r="I797" s="41" t="str">
        <f aca="false">IF(F797="","",IFERROR(IF(ISNUMBER(SEARCH(Assumptions!$C$5,F797)),Assumptions!$D$5,IF(ISNUMBER(SEARCH(Assumptions!$C$6,F797)),Assumptions!$D$6,IF(ISNUMBER(SEARCH(Assumptions!$C$7,F797)),Assumptions!$D$7,"Other Services"))),"Other Services"))</f>
        <v/>
      </c>
    </row>
    <row r="798" customFormat="false" ht="15" hidden="false" customHeight="false" outlineLevel="0" collapsed="false">
      <c r="I798" s="41" t="str">
        <f aca="false">IF(F798="","",IFERROR(IF(ISNUMBER(SEARCH(Assumptions!$C$5,F798)),Assumptions!$D$5,IF(ISNUMBER(SEARCH(Assumptions!$C$6,F798)),Assumptions!$D$6,IF(ISNUMBER(SEARCH(Assumptions!$C$7,F798)),Assumptions!$D$7,"Other Services"))),"Other Services"))</f>
        <v/>
      </c>
    </row>
    <row r="799" customFormat="false" ht="15" hidden="false" customHeight="false" outlineLevel="0" collapsed="false">
      <c r="I799" s="41" t="str">
        <f aca="false">IF(F799="","",IFERROR(IF(ISNUMBER(SEARCH(Assumptions!$C$5,F799)),Assumptions!$D$5,IF(ISNUMBER(SEARCH(Assumptions!$C$6,F799)),Assumptions!$D$6,IF(ISNUMBER(SEARCH(Assumptions!$C$7,F799)),Assumptions!$D$7,"Other Services"))),"Other Services"))</f>
        <v/>
      </c>
    </row>
    <row r="800" customFormat="false" ht="15" hidden="false" customHeight="false" outlineLevel="0" collapsed="false">
      <c r="I800" s="41" t="str">
        <f aca="false">IF(F800="","",IFERROR(IF(ISNUMBER(SEARCH(Assumptions!$C$5,F800)),Assumptions!$D$5,IF(ISNUMBER(SEARCH(Assumptions!$C$6,F800)),Assumptions!$D$6,IF(ISNUMBER(SEARCH(Assumptions!$C$7,F800)),Assumptions!$D$7,"Other Services"))),"Other Services"))</f>
        <v/>
      </c>
    </row>
    <row r="801" customFormat="false" ht="15" hidden="false" customHeight="false" outlineLevel="0" collapsed="false">
      <c r="I801" s="41" t="str">
        <f aca="false">IF(F801="","",IFERROR(IF(ISNUMBER(SEARCH(Assumptions!$C$5,F801)),Assumptions!$D$5,IF(ISNUMBER(SEARCH(Assumptions!$C$6,F801)),Assumptions!$D$6,IF(ISNUMBER(SEARCH(Assumptions!$C$7,F801)),Assumptions!$D$7,"Other Services"))),"Other Services"))</f>
        <v/>
      </c>
    </row>
    <row r="802" customFormat="false" ht="15" hidden="false" customHeight="false" outlineLevel="0" collapsed="false">
      <c r="I802" s="41" t="str">
        <f aca="false">IF(F802="","",IFERROR(IF(ISNUMBER(SEARCH(Assumptions!$C$5,F802)),Assumptions!$D$5,IF(ISNUMBER(SEARCH(Assumptions!$C$6,F802)),Assumptions!$D$6,IF(ISNUMBER(SEARCH(Assumptions!$C$7,F802)),Assumptions!$D$7,"Other Services"))),"Other Services"))</f>
        <v/>
      </c>
    </row>
    <row r="803" customFormat="false" ht="15" hidden="false" customHeight="false" outlineLevel="0" collapsed="false">
      <c r="I803" s="41" t="str">
        <f aca="false">IF(F803="","",IFERROR(IF(ISNUMBER(SEARCH(Assumptions!$C$5,F803)),Assumptions!$D$5,IF(ISNUMBER(SEARCH(Assumptions!$C$6,F803)),Assumptions!$D$6,IF(ISNUMBER(SEARCH(Assumptions!$C$7,F803)),Assumptions!$D$7,"Other Services"))),"Other Services"))</f>
        <v/>
      </c>
    </row>
    <row r="804" customFormat="false" ht="15" hidden="false" customHeight="false" outlineLevel="0" collapsed="false">
      <c r="I804" s="41" t="str">
        <f aca="false">IF(F804="","",IFERROR(IF(ISNUMBER(SEARCH(Assumptions!$C$5,F804)),Assumptions!$D$5,IF(ISNUMBER(SEARCH(Assumptions!$C$6,F804)),Assumptions!$D$6,IF(ISNUMBER(SEARCH(Assumptions!$C$7,F804)),Assumptions!$D$7,"Other Services"))),"Other Services"))</f>
        <v/>
      </c>
    </row>
    <row r="805" customFormat="false" ht="15" hidden="false" customHeight="false" outlineLevel="0" collapsed="false">
      <c r="I805" s="41" t="str">
        <f aca="false">IF(F805="","",IFERROR(IF(ISNUMBER(SEARCH(Assumptions!$C$5,F805)),Assumptions!$D$5,IF(ISNUMBER(SEARCH(Assumptions!$C$6,F805)),Assumptions!$D$6,IF(ISNUMBER(SEARCH(Assumptions!$C$7,F805)),Assumptions!$D$7,"Other Services"))),"Other Services"))</f>
        <v/>
      </c>
    </row>
    <row r="806" customFormat="false" ht="15" hidden="false" customHeight="false" outlineLevel="0" collapsed="false">
      <c r="I806" s="41" t="str">
        <f aca="false">IF(F806="","",IFERROR(IF(ISNUMBER(SEARCH(Assumptions!$C$5,F806)),Assumptions!$D$5,IF(ISNUMBER(SEARCH(Assumptions!$C$6,F806)),Assumptions!$D$6,IF(ISNUMBER(SEARCH(Assumptions!$C$7,F806)),Assumptions!$D$7,"Other Services"))),"Other Services"))</f>
        <v/>
      </c>
    </row>
    <row r="807" customFormat="false" ht="15" hidden="false" customHeight="false" outlineLevel="0" collapsed="false">
      <c r="I807" s="41" t="str">
        <f aca="false">IF(F807="","",IFERROR(IF(ISNUMBER(SEARCH(Assumptions!$C$5,F807)),Assumptions!$D$5,IF(ISNUMBER(SEARCH(Assumptions!$C$6,F807)),Assumptions!$D$6,IF(ISNUMBER(SEARCH(Assumptions!$C$7,F807)),Assumptions!$D$7,"Other Services"))),"Other Services"))</f>
        <v/>
      </c>
    </row>
    <row r="808" customFormat="false" ht="15" hidden="false" customHeight="false" outlineLevel="0" collapsed="false">
      <c r="I808" s="41" t="str">
        <f aca="false">IF(F808="","",IFERROR(IF(ISNUMBER(SEARCH(Assumptions!$C$5,F808)),Assumptions!$D$5,IF(ISNUMBER(SEARCH(Assumptions!$C$6,F808)),Assumptions!$D$6,IF(ISNUMBER(SEARCH(Assumptions!$C$7,F808)),Assumptions!$D$7,"Other Services"))),"Other Services"))</f>
        <v/>
      </c>
    </row>
    <row r="809" customFormat="false" ht="15" hidden="false" customHeight="false" outlineLevel="0" collapsed="false">
      <c r="I809" s="41" t="str">
        <f aca="false">IF(F809="","",IFERROR(IF(ISNUMBER(SEARCH(Assumptions!$C$5,F809)),Assumptions!$D$5,IF(ISNUMBER(SEARCH(Assumptions!$C$6,F809)),Assumptions!$D$6,IF(ISNUMBER(SEARCH(Assumptions!$C$7,F809)),Assumptions!$D$7,"Other Services"))),"Other Services"))</f>
        <v/>
      </c>
    </row>
    <row r="810" customFormat="false" ht="15" hidden="false" customHeight="false" outlineLevel="0" collapsed="false">
      <c r="I810" s="41" t="str">
        <f aca="false">IF(F810="","",IFERROR(IF(ISNUMBER(SEARCH(Assumptions!$C$5,F810)),Assumptions!$D$5,IF(ISNUMBER(SEARCH(Assumptions!$C$6,F810)),Assumptions!$D$6,IF(ISNUMBER(SEARCH(Assumptions!$C$7,F810)),Assumptions!$D$7,"Other Services"))),"Other Services"))</f>
        <v/>
      </c>
    </row>
    <row r="811" customFormat="false" ht="15" hidden="false" customHeight="false" outlineLevel="0" collapsed="false">
      <c r="I811" s="41" t="str">
        <f aca="false">IF(F811="","",IFERROR(IF(ISNUMBER(SEARCH(Assumptions!$C$5,F811)),Assumptions!$D$5,IF(ISNUMBER(SEARCH(Assumptions!$C$6,F811)),Assumptions!$D$6,IF(ISNUMBER(SEARCH(Assumptions!$C$7,F811)),Assumptions!$D$7,"Other Services"))),"Other Services"))</f>
        <v/>
      </c>
    </row>
    <row r="812" customFormat="false" ht="15" hidden="false" customHeight="false" outlineLevel="0" collapsed="false">
      <c r="I812" s="41" t="str">
        <f aca="false">IF(F812="","",IFERROR(IF(ISNUMBER(SEARCH(Assumptions!$C$5,F812)),Assumptions!$D$5,IF(ISNUMBER(SEARCH(Assumptions!$C$6,F812)),Assumptions!$D$6,IF(ISNUMBER(SEARCH(Assumptions!$C$7,F812)),Assumptions!$D$7,"Other Services"))),"Other Services"))</f>
        <v/>
      </c>
    </row>
    <row r="813" customFormat="false" ht="15" hidden="false" customHeight="false" outlineLevel="0" collapsed="false">
      <c r="I813" s="41" t="str">
        <f aca="false">IF(F813="","",IFERROR(IF(ISNUMBER(SEARCH(Assumptions!$C$5,F813)),Assumptions!$D$5,IF(ISNUMBER(SEARCH(Assumptions!$C$6,F813)),Assumptions!$D$6,IF(ISNUMBER(SEARCH(Assumptions!$C$7,F813)),Assumptions!$D$7,"Other Services"))),"Other Services"))</f>
        <v/>
      </c>
    </row>
    <row r="814" customFormat="false" ht="15" hidden="false" customHeight="false" outlineLevel="0" collapsed="false">
      <c r="I814" s="41" t="str">
        <f aca="false">IF(F814="","",IFERROR(IF(ISNUMBER(SEARCH(Assumptions!$C$5,F814)),Assumptions!$D$5,IF(ISNUMBER(SEARCH(Assumptions!$C$6,F814)),Assumptions!$D$6,IF(ISNUMBER(SEARCH(Assumptions!$C$7,F814)),Assumptions!$D$7,"Other Services"))),"Other Services"))</f>
        <v/>
      </c>
    </row>
    <row r="815" customFormat="false" ht="15" hidden="false" customHeight="false" outlineLevel="0" collapsed="false">
      <c r="I815" s="41" t="str">
        <f aca="false">IF(F815="","",IFERROR(IF(ISNUMBER(SEARCH(Assumptions!$C$5,F815)),Assumptions!$D$5,IF(ISNUMBER(SEARCH(Assumptions!$C$6,F815)),Assumptions!$D$6,IF(ISNUMBER(SEARCH(Assumptions!$C$7,F815)),Assumptions!$D$7,"Other Services"))),"Other Services"))</f>
        <v/>
      </c>
    </row>
    <row r="816" customFormat="false" ht="15" hidden="false" customHeight="false" outlineLevel="0" collapsed="false">
      <c r="I816" s="41" t="str">
        <f aca="false">IF(F816="","",IFERROR(IF(ISNUMBER(SEARCH(Assumptions!$C$5,F816)),Assumptions!$D$5,IF(ISNUMBER(SEARCH(Assumptions!$C$6,F816)),Assumptions!$D$6,IF(ISNUMBER(SEARCH(Assumptions!$C$7,F816)),Assumptions!$D$7,"Other Services"))),"Other Services"))</f>
        <v/>
      </c>
    </row>
    <row r="817" customFormat="false" ht="15" hidden="false" customHeight="false" outlineLevel="0" collapsed="false">
      <c r="I817" s="41" t="str">
        <f aca="false">IF(F817="","",IFERROR(IF(ISNUMBER(SEARCH(Assumptions!$C$5,F817)),Assumptions!$D$5,IF(ISNUMBER(SEARCH(Assumptions!$C$6,F817)),Assumptions!$D$6,IF(ISNUMBER(SEARCH(Assumptions!$C$7,F817)),Assumptions!$D$7,"Other Services"))),"Other Services"))</f>
        <v/>
      </c>
    </row>
    <row r="818" customFormat="false" ht="15" hidden="false" customHeight="false" outlineLevel="0" collapsed="false">
      <c r="I818" s="41" t="str">
        <f aca="false">IF(F818="","",IFERROR(IF(ISNUMBER(SEARCH(Assumptions!$C$5,F818)),Assumptions!$D$5,IF(ISNUMBER(SEARCH(Assumptions!$C$6,F818)),Assumptions!$D$6,IF(ISNUMBER(SEARCH(Assumptions!$C$7,F818)),Assumptions!$D$7,"Other Services"))),"Other Services"))</f>
        <v/>
      </c>
    </row>
    <row r="819" customFormat="false" ht="15" hidden="false" customHeight="false" outlineLevel="0" collapsed="false">
      <c r="I819" s="41" t="str">
        <f aca="false">IF(F819="","",IFERROR(IF(ISNUMBER(SEARCH(Assumptions!$C$5,F819)),Assumptions!$D$5,IF(ISNUMBER(SEARCH(Assumptions!$C$6,F819)),Assumptions!$D$6,IF(ISNUMBER(SEARCH(Assumptions!$C$7,F819)),Assumptions!$D$7,"Other Services"))),"Other Services"))</f>
        <v/>
      </c>
    </row>
    <row r="820" customFormat="false" ht="15" hidden="false" customHeight="false" outlineLevel="0" collapsed="false">
      <c r="I820" s="41" t="str">
        <f aca="false">IF(F820="","",IFERROR(IF(ISNUMBER(SEARCH(Assumptions!$C$5,F820)),Assumptions!$D$5,IF(ISNUMBER(SEARCH(Assumptions!$C$6,F820)),Assumptions!$D$6,IF(ISNUMBER(SEARCH(Assumptions!$C$7,F820)),Assumptions!$D$7,"Other Services"))),"Other Services"))</f>
        <v/>
      </c>
    </row>
    <row r="821" customFormat="false" ht="15" hidden="false" customHeight="false" outlineLevel="0" collapsed="false">
      <c r="I821" s="41" t="str">
        <f aca="false">IF(F821="","",IFERROR(IF(ISNUMBER(SEARCH(Assumptions!$C$5,F821)),Assumptions!$D$5,IF(ISNUMBER(SEARCH(Assumptions!$C$6,F821)),Assumptions!$D$6,IF(ISNUMBER(SEARCH(Assumptions!$C$7,F821)),Assumptions!$D$7,"Other Services"))),"Other Services"))</f>
        <v/>
      </c>
    </row>
    <row r="822" customFormat="false" ht="15" hidden="false" customHeight="false" outlineLevel="0" collapsed="false">
      <c r="I822" s="41" t="str">
        <f aca="false">IF(F822="","",IFERROR(IF(ISNUMBER(SEARCH(Assumptions!$C$5,F822)),Assumptions!$D$5,IF(ISNUMBER(SEARCH(Assumptions!$C$6,F822)),Assumptions!$D$6,IF(ISNUMBER(SEARCH(Assumptions!$C$7,F822)),Assumptions!$D$7,"Other Services"))),"Other Services"))</f>
        <v/>
      </c>
    </row>
    <row r="823" customFormat="false" ht="15" hidden="false" customHeight="false" outlineLevel="0" collapsed="false">
      <c r="I823" s="41" t="str">
        <f aca="false">IF(F823="","",IFERROR(IF(ISNUMBER(SEARCH(Assumptions!$C$5,F823)),Assumptions!$D$5,IF(ISNUMBER(SEARCH(Assumptions!$C$6,F823)),Assumptions!$D$6,IF(ISNUMBER(SEARCH(Assumptions!$C$7,F823)),Assumptions!$D$7,"Other Services"))),"Other Services"))</f>
        <v/>
      </c>
    </row>
    <row r="824" customFormat="false" ht="15" hidden="false" customHeight="false" outlineLevel="0" collapsed="false">
      <c r="I824" s="41" t="str">
        <f aca="false">IF(F824="","",IFERROR(IF(ISNUMBER(SEARCH(Assumptions!$C$5,F824)),Assumptions!$D$5,IF(ISNUMBER(SEARCH(Assumptions!$C$6,F824)),Assumptions!$D$6,IF(ISNUMBER(SEARCH(Assumptions!$C$7,F824)),Assumptions!$D$7,"Other Services"))),"Other Services"))</f>
        <v/>
      </c>
    </row>
    <row r="825" customFormat="false" ht="15" hidden="false" customHeight="false" outlineLevel="0" collapsed="false">
      <c r="I825" s="41" t="str">
        <f aca="false">IF(F825="","",IFERROR(IF(ISNUMBER(SEARCH(Assumptions!$C$5,F825)),Assumptions!$D$5,IF(ISNUMBER(SEARCH(Assumptions!$C$6,F825)),Assumptions!$D$6,IF(ISNUMBER(SEARCH(Assumptions!$C$7,F825)),Assumptions!$D$7,"Other Services"))),"Other Services"))</f>
        <v/>
      </c>
    </row>
    <row r="826" customFormat="false" ht="15" hidden="false" customHeight="false" outlineLevel="0" collapsed="false">
      <c r="I826" s="41" t="str">
        <f aca="false">IF(F826="","",IFERROR(IF(ISNUMBER(SEARCH(Assumptions!$C$5,F826)),Assumptions!$D$5,IF(ISNUMBER(SEARCH(Assumptions!$C$6,F826)),Assumptions!$D$6,IF(ISNUMBER(SEARCH(Assumptions!$C$7,F826)),Assumptions!$D$7,"Other Services"))),"Other Services"))</f>
        <v/>
      </c>
    </row>
    <row r="827" customFormat="false" ht="15" hidden="false" customHeight="false" outlineLevel="0" collapsed="false">
      <c r="I827" s="41" t="str">
        <f aca="false">IF(F827="","",IFERROR(IF(ISNUMBER(SEARCH(Assumptions!$C$5,F827)),Assumptions!$D$5,IF(ISNUMBER(SEARCH(Assumptions!$C$6,F827)),Assumptions!$D$6,IF(ISNUMBER(SEARCH(Assumptions!$C$7,F827)),Assumptions!$D$7,"Other Services"))),"Other Services"))</f>
        <v/>
      </c>
    </row>
    <row r="828" customFormat="false" ht="15" hidden="false" customHeight="false" outlineLevel="0" collapsed="false">
      <c r="I828" s="41" t="str">
        <f aca="false">IF(F828="","",IFERROR(IF(ISNUMBER(SEARCH(Assumptions!$C$5,F828)),Assumptions!$D$5,IF(ISNUMBER(SEARCH(Assumptions!$C$6,F828)),Assumptions!$D$6,IF(ISNUMBER(SEARCH(Assumptions!$C$7,F828)),Assumptions!$D$7,"Other Services"))),"Other Services"))</f>
        <v/>
      </c>
    </row>
    <row r="829" customFormat="false" ht="15" hidden="false" customHeight="false" outlineLevel="0" collapsed="false">
      <c r="I829" s="41" t="str">
        <f aca="false">IF(F829="","",IFERROR(IF(ISNUMBER(SEARCH(Assumptions!$C$5,F829)),Assumptions!$D$5,IF(ISNUMBER(SEARCH(Assumptions!$C$6,F829)),Assumptions!$D$6,IF(ISNUMBER(SEARCH(Assumptions!$C$7,F829)),Assumptions!$D$7,"Other Services"))),"Other Services"))</f>
        <v/>
      </c>
    </row>
    <row r="830" customFormat="false" ht="15" hidden="false" customHeight="false" outlineLevel="0" collapsed="false">
      <c r="I830" s="41" t="str">
        <f aca="false">IF(F830="","",IFERROR(IF(ISNUMBER(SEARCH(Assumptions!$C$5,F830)),Assumptions!$D$5,IF(ISNUMBER(SEARCH(Assumptions!$C$6,F830)),Assumptions!$D$6,IF(ISNUMBER(SEARCH(Assumptions!$C$7,F830)),Assumptions!$D$7,"Other Services"))),"Other Services"))</f>
        <v/>
      </c>
    </row>
    <row r="831" customFormat="false" ht="15" hidden="false" customHeight="false" outlineLevel="0" collapsed="false">
      <c r="I831" s="41" t="str">
        <f aca="false">IF(F831="","",IFERROR(IF(ISNUMBER(SEARCH(Assumptions!$C$5,F831)),Assumptions!$D$5,IF(ISNUMBER(SEARCH(Assumptions!$C$6,F831)),Assumptions!$D$6,IF(ISNUMBER(SEARCH(Assumptions!$C$7,F831)),Assumptions!$D$7,"Other Services"))),"Other Services"))</f>
        <v/>
      </c>
    </row>
    <row r="832" customFormat="false" ht="15" hidden="false" customHeight="false" outlineLevel="0" collapsed="false">
      <c r="I832" s="41" t="str">
        <f aca="false">IF(F832="","",IFERROR(IF(ISNUMBER(SEARCH(Assumptions!$C$5,F832)),Assumptions!$D$5,IF(ISNUMBER(SEARCH(Assumptions!$C$6,F832)),Assumptions!$D$6,IF(ISNUMBER(SEARCH(Assumptions!$C$7,F832)),Assumptions!$D$7,"Other Services"))),"Other Services"))</f>
        <v/>
      </c>
    </row>
    <row r="833" customFormat="false" ht="15" hidden="false" customHeight="false" outlineLevel="0" collapsed="false">
      <c r="I833" s="41" t="str">
        <f aca="false">IF(F833="","",IFERROR(IF(ISNUMBER(SEARCH(Assumptions!$C$5,F833)),Assumptions!$D$5,IF(ISNUMBER(SEARCH(Assumptions!$C$6,F833)),Assumptions!$D$6,IF(ISNUMBER(SEARCH(Assumptions!$C$7,F833)),Assumptions!$D$7,"Other Services"))),"Other Services"))</f>
        <v/>
      </c>
    </row>
    <row r="834" customFormat="false" ht="15" hidden="false" customHeight="false" outlineLevel="0" collapsed="false">
      <c r="I834" s="41" t="str">
        <f aca="false">IF(F834="","",IFERROR(IF(ISNUMBER(SEARCH(Assumptions!$C$5,F834)),Assumptions!$D$5,IF(ISNUMBER(SEARCH(Assumptions!$C$6,F834)),Assumptions!$D$6,IF(ISNUMBER(SEARCH(Assumptions!$C$7,F834)),Assumptions!$D$7,"Other Services"))),"Other Services"))</f>
        <v/>
      </c>
    </row>
    <row r="835" customFormat="false" ht="15" hidden="false" customHeight="false" outlineLevel="0" collapsed="false">
      <c r="I835" s="41" t="str">
        <f aca="false">IF(F835="","",IFERROR(IF(ISNUMBER(SEARCH(Assumptions!$C$5,F835)),Assumptions!$D$5,IF(ISNUMBER(SEARCH(Assumptions!$C$6,F835)),Assumptions!$D$6,IF(ISNUMBER(SEARCH(Assumptions!$C$7,F835)),Assumptions!$D$7,"Other Services"))),"Other Services"))</f>
        <v/>
      </c>
    </row>
    <row r="836" customFormat="false" ht="15" hidden="false" customHeight="false" outlineLevel="0" collapsed="false">
      <c r="I836" s="41" t="str">
        <f aca="false">IF(F836="","",IFERROR(IF(ISNUMBER(SEARCH(Assumptions!$C$5,F836)),Assumptions!$D$5,IF(ISNUMBER(SEARCH(Assumptions!$C$6,F836)),Assumptions!$D$6,IF(ISNUMBER(SEARCH(Assumptions!$C$7,F836)),Assumptions!$D$7,"Other Services"))),"Other Services"))</f>
        <v/>
      </c>
    </row>
    <row r="837" customFormat="false" ht="15" hidden="false" customHeight="false" outlineLevel="0" collapsed="false">
      <c r="I837" s="41" t="str">
        <f aca="false">IF(F837="","",IFERROR(IF(ISNUMBER(SEARCH(Assumptions!$C$5,F837)),Assumptions!$D$5,IF(ISNUMBER(SEARCH(Assumptions!$C$6,F837)),Assumptions!$D$6,IF(ISNUMBER(SEARCH(Assumptions!$C$7,F837)),Assumptions!$D$7,"Other Services"))),"Other Services"))</f>
        <v/>
      </c>
    </row>
    <row r="838" customFormat="false" ht="15" hidden="false" customHeight="false" outlineLevel="0" collapsed="false">
      <c r="I838" s="41" t="str">
        <f aca="false">IF(F838="","",IFERROR(IF(ISNUMBER(SEARCH(Assumptions!$C$5,F838)),Assumptions!$D$5,IF(ISNUMBER(SEARCH(Assumptions!$C$6,F838)),Assumptions!$D$6,IF(ISNUMBER(SEARCH(Assumptions!$C$7,F838)),Assumptions!$D$7,"Other Services"))),"Other Services"))</f>
        <v/>
      </c>
    </row>
    <row r="839" customFormat="false" ht="15" hidden="false" customHeight="false" outlineLevel="0" collapsed="false">
      <c r="I839" s="41" t="str">
        <f aca="false">IF(F839="","",IFERROR(IF(ISNUMBER(SEARCH(Assumptions!$C$5,F839)),Assumptions!$D$5,IF(ISNUMBER(SEARCH(Assumptions!$C$6,F839)),Assumptions!$D$6,IF(ISNUMBER(SEARCH(Assumptions!$C$7,F839)),Assumptions!$D$7,"Other Services"))),"Other Services"))</f>
        <v/>
      </c>
    </row>
    <row r="840" customFormat="false" ht="15" hidden="false" customHeight="false" outlineLevel="0" collapsed="false">
      <c r="I840" s="41" t="str">
        <f aca="false">IF(F840="","",IFERROR(IF(ISNUMBER(SEARCH(Assumptions!$C$5,F840)),Assumptions!$D$5,IF(ISNUMBER(SEARCH(Assumptions!$C$6,F840)),Assumptions!$D$6,IF(ISNUMBER(SEARCH(Assumptions!$C$7,F840)),Assumptions!$D$7,"Other Services"))),"Other Services"))</f>
        <v/>
      </c>
    </row>
    <row r="841" customFormat="false" ht="15" hidden="false" customHeight="false" outlineLevel="0" collapsed="false">
      <c r="I841" s="41" t="str">
        <f aca="false">IF(F841="","",IFERROR(IF(ISNUMBER(SEARCH(Assumptions!$C$5,F841)),Assumptions!$D$5,IF(ISNUMBER(SEARCH(Assumptions!$C$6,F841)),Assumptions!$D$6,IF(ISNUMBER(SEARCH(Assumptions!$C$7,F841)),Assumptions!$D$7,"Other Services"))),"Other Services"))</f>
        <v/>
      </c>
    </row>
    <row r="842" customFormat="false" ht="15" hidden="false" customHeight="false" outlineLevel="0" collapsed="false">
      <c r="I842" s="41" t="str">
        <f aca="false">IF(F842="","",IFERROR(IF(ISNUMBER(SEARCH(Assumptions!$C$5,F842)),Assumptions!$D$5,IF(ISNUMBER(SEARCH(Assumptions!$C$6,F842)),Assumptions!$D$6,IF(ISNUMBER(SEARCH(Assumptions!$C$7,F842)),Assumptions!$D$7,"Other Services"))),"Other Services"))</f>
        <v/>
      </c>
    </row>
    <row r="843" customFormat="false" ht="15" hidden="false" customHeight="false" outlineLevel="0" collapsed="false">
      <c r="I843" s="41" t="str">
        <f aca="false">IF(F843="","",IFERROR(IF(ISNUMBER(SEARCH(Assumptions!$C$5,F843)),Assumptions!$D$5,IF(ISNUMBER(SEARCH(Assumptions!$C$6,F843)),Assumptions!$D$6,IF(ISNUMBER(SEARCH(Assumptions!$C$7,F843)),Assumptions!$D$7,"Other Services"))),"Other Services"))</f>
        <v/>
      </c>
    </row>
    <row r="844" customFormat="false" ht="15" hidden="false" customHeight="false" outlineLevel="0" collapsed="false">
      <c r="I844" s="41" t="str">
        <f aca="false">IF(F844="","",IFERROR(IF(ISNUMBER(SEARCH(Assumptions!$C$5,F844)),Assumptions!$D$5,IF(ISNUMBER(SEARCH(Assumptions!$C$6,F844)),Assumptions!$D$6,IF(ISNUMBER(SEARCH(Assumptions!$C$7,F844)),Assumptions!$D$7,"Other Services"))),"Other Services"))</f>
        <v/>
      </c>
    </row>
    <row r="845" customFormat="false" ht="15" hidden="false" customHeight="false" outlineLevel="0" collapsed="false">
      <c r="I845" s="41" t="str">
        <f aca="false">IF(F845="","",IFERROR(IF(ISNUMBER(SEARCH(Assumptions!$C$5,F845)),Assumptions!$D$5,IF(ISNUMBER(SEARCH(Assumptions!$C$6,F845)),Assumptions!$D$6,IF(ISNUMBER(SEARCH(Assumptions!$C$7,F845)),Assumptions!$D$7,"Other Services"))),"Other Services"))</f>
        <v/>
      </c>
    </row>
    <row r="846" customFormat="false" ht="15" hidden="false" customHeight="false" outlineLevel="0" collapsed="false">
      <c r="I846" s="41" t="str">
        <f aca="false">IF(F846="","",IFERROR(IF(ISNUMBER(SEARCH(Assumptions!$C$5,F846)),Assumptions!$D$5,IF(ISNUMBER(SEARCH(Assumptions!$C$6,F846)),Assumptions!$D$6,IF(ISNUMBER(SEARCH(Assumptions!$C$7,F846)),Assumptions!$D$7,"Other Services"))),"Other Services"))</f>
        <v/>
      </c>
    </row>
    <row r="847" customFormat="false" ht="15" hidden="false" customHeight="false" outlineLevel="0" collapsed="false">
      <c r="I847" s="41" t="str">
        <f aca="false">IF(F847="","",IFERROR(IF(ISNUMBER(SEARCH(Assumptions!$C$5,F847)),Assumptions!$D$5,IF(ISNUMBER(SEARCH(Assumptions!$C$6,F847)),Assumptions!$D$6,IF(ISNUMBER(SEARCH(Assumptions!$C$7,F847)),Assumptions!$D$7,"Other Services"))),"Other Services"))</f>
        <v/>
      </c>
    </row>
    <row r="848" customFormat="false" ht="15" hidden="false" customHeight="false" outlineLevel="0" collapsed="false">
      <c r="I848" s="41" t="str">
        <f aca="false">IF(F848="","",IFERROR(IF(ISNUMBER(SEARCH(Assumptions!$C$5,F848)),Assumptions!$D$5,IF(ISNUMBER(SEARCH(Assumptions!$C$6,F848)),Assumptions!$D$6,IF(ISNUMBER(SEARCH(Assumptions!$C$7,F848)),Assumptions!$D$7,"Other Services"))),"Other Services"))</f>
        <v/>
      </c>
    </row>
    <row r="849" customFormat="false" ht="15" hidden="false" customHeight="false" outlineLevel="0" collapsed="false">
      <c r="I849" s="41" t="str">
        <f aca="false">IF(F849="","",IFERROR(IF(ISNUMBER(SEARCH(Assumptions!$C$5,F849)),Assumptions!$D$5,IF(ISNUMBER(SEARCH(Assumptions!$C$6,F849)),Assumptions!$D$6,IF(ISNUMBER(SEARCH(Assumptions!$C$7,F849)),Assumptions!$D$7,"Other Services"))),"Other Services"))</f>
        <v/>
      </c>
    </row>
    <row r="850" customFormat="false" ht="15" hidden="false" customHeight="false" outlineLevel="0" collapsed="false">
      <c r="I850" s="41" t="str">
        <f aca="false">IF(F850="","",IFERROR(IF(ISNUMBER(SEARCH(Assumptions!$C$5,F850)),Assumptions!$D$5,IF(ISNUMBER(SEARCH(Assumptions!$C$6,F850)),Assumptions!$D$6,IF(ISNUMBER(SEARCH(Assumptions!$C$7,F850)),Assumptions!$D$7,"Other Services"))),"Other Services"))</f>
        <v/>
      </c>
    </row>
    <row r="851" customFormat="false" ht="15" hidden="false" customHeight="false" outlineLevel="0" collapsed="false">
      <c r="I851" s="41" t="str">
        <f aca="false">IF(F851="","",IFERROR(IF(ISNUMBER(SEARCH(Assumptions!$C$5,F851)),Assumptions!$D$5,IF(ISNUMBER(SEARCH(Assumptions!$C$6,F851)),Assumptions!$D$6,IF(ISNUMBER(SEARCH(Assumptions!$C$7,F851)),Assumptions!$D$7,"Other Services"))),"Other Services"))</f>
        <v/>
      </c>
    </row>
    <row r="852" customFormat="false" ht="15" hidden="false" customHeight="false" outlineLevel="0" collapsed="false">
      <c r="I852" s="41" t="str">
        <f aca="false">IF(F852="","",IFERROR(IF(ISNUMBER(SEARCH(Assumptions!$C$5,F852)),Assumptions!$D$5,IF(ISNUMBER(SEARCH(Assumptions!$C$6,F852)),Assumptions!$D$6,IF(ISNUMBER(SEARCH(Assumptions!$C$7,F852)),Assumptions!$D$7,"Other Services"))),"Other Services"))</f>
        <v/>
      </c>
    </row>
    <row r="853" customFormat="false" ht="15" hidden="false" customHeight="false" outlineLevel="0" collapsed="false">
      <c r="I853" s="41" t="str">
        <f aca="false">IF(F853="","",IFERROR(IF(ISNUMBER(SEARCH(Assumptions!$C$5,F853)),Assumptions!$D$5,IF(ISNUMBER(SEARCH(Assumptions!$C$6,F853)),Assumptions!$D$6,IF(ISNUMBER(SEARCH(Assumptions!$C$7,F853)),Assumptions!$D$7,"Other Services"))),"Other Services"))</f>
        <v/>
      </c>
    </row>
    <row r="854" customFormat="false" ht="15" hidden="false" customHeight="false" outlineLevel="0" collapsed="false">
      <c r="I854" s="41" t="str">
        <f aca="false">IF(F854="","",IFERROR(IF(ISNUMBER(SEARCH(Assumptions!$C$5,F854)),Assumptions!$D$5,IF(ISNUMBER(SEARCH(Assumptions!$C$6,F854)),Assumptions!$D$6,IF(ISNUMBER(SEARCH(Assumptions!$C$7,F854)),Assumptions!$D$7,"Other Services"))),"Other Services"))</f>
        <v/>
      </c>
    </row>
    <row r="855" customFormat="false" ht="15" hidden="false" customHeight="false" outlineLevel="0" collapsed="false">
      <c r="I855" s="41" t="str">
        <f aca="false">IF(F855="","",IFERROR(IF(ISNUMBER(SEARCH(Assumptions!$C$5,F855)),Assumptions!$D$5,IF(ISNUMBER(SEARCH(Assumptions!$C$6,F855)),Assumptions!$D$6,IF(ISNUMBER(SEARCH(Assumptions!$C$7,F855)),Assumptions!$D$7,"Other Services"))),"Other Services"))</f>
        <v/>
      </c>
    </row>
    <row r="856" customFormat="false" ht="15" hidden="false" customHeight="false" outlineLevel="0" collapsed="false">
      <c r="I856" s="41" t="str">
        <f aca="false">IF(F856="","",IFERROR(IF(ISNUMBER(SEARCH(Assumptions!$C$5,F856)),Assumptions!$D$5,IF(ISNUMBER(SEARCH(Assumptions!$C$6,F856)),Assumptions!$D$6,IF(ISNUMBER(SEARCH(Assumptions!$C$7,F856)),Assumptions!$D$7,"Other Services"))),"Other Services"))</f>
        <v/>
      </c>
    </row>
    <row r="857" customFormat="false" ht="15" hidden="false" customHeight="false" outlineLevel="0" collapsed="false">
      <c r="I857" s="41" t="str">
        <f aca="false">IF(F857="","",IFERROR(IF(ISNUMBER(SEARCH(Assumptions!$C$5,F857)),Assumptions!$D$5,IF(ISNUMBER(SEARCH(Assumptions!$C$6,F857)),Assumptions!$D$6,IF(ISNUMBER(SEARCH(Assumptions!$C$7,F857)),Assumptions!$D$7,"Other Services"))),"Other Services"))</f>
        <v/>
      </c>
    </row>
    <row r="858" customFormat="false" ht="15" hidden="false" customHeight="false" outlineLevel="0" collapsed="false">
      <c r="I858" s="41" t="str">
        <f aca="false">IF(F858="","",IFERROR(IF(ISNUMBER(SEARCH(Assumptions!$C$5,F858)),Assumptions!$D$5,IF(ISNUMBER(SEARCH(Assumptions!$C$6,F858)),Assumptions!$D$6,IF(ISNUMBER(SEARCH(Assumptions!$C$7,F858)),Assumptions!$D$7,"Other Services"))),"Other Services"))</f>
        <v/>
      </c>
    </row>
    <row r="859" customFormat="false" ht="15" hidden="false" customHeight="false" outlineLevel="0" collapsed="false">
      <c r="I859" s="41" t="str">
        <f aca="false">IF(F859="","",IFERROR(IF(ISNUMBER(SEARCH(Assumptions!$C$5,F859)),Assumptions!$D$5,IF(ISNUMBER(SEARCH(Assumptions!$C$6,F859)),Assumptions!$D$6,IF(ISNUMBER(SEARCH(Assumptions!$C$7,F859)),Assumptions!$D$7,"Other Services"))),"Other Services"))</f>
        <v/>
      </c>
    </row>
    <row r="860" customFormat="false" ht="15" hidden="false" customHeight="false" outlineLevel="0" collapsed="false">
      <c r="I860" s="41" t="str">
        <f aca="false">IF(F860="","",IFERROR(IF(ISNUMBER(SEARCH(Assumptions!$C$5,F860)),Assumptions!$D$5,IF(ISNUMBER(SEARCH(Assumptions!$C$6,F860)),Assumptions!$D$6,IF(ISNUMBER(SEARCH(Assumptions!$C$7,F860)),Assumptions!$D$7,"Other Services"))),"Other Services"))</f>
        <v/>
      </c>
    </row>
    <row r="861" customFormat="false" ht="15" hidden="false" customHeight="false" outlineLevel="0" collapsed="false">
      <c r="I861" s="41" t="str">
        <f aca="false">IF(F861="","",IFERROR(IF(ISNUMBER(SEARCH(Assumptions!$C$5,F861)),Assumptions!$D$5,IF(ISNUMBER(SEARCH(Assumptions!$C$6,F861)),Assumptions!$D$6,IF(ISNUMBER(SEARCH(Assumptions!$C$7,F861)),Assumptions!$D$7,"Other Services"))),"Other Services"))</f>
        <v/>
      </c>
    </row>
    <row r="862" customFormat="false" ht="15" hidden="false" customHeight="false" outlineLevel="0" collapsed="false">
      <c r="I862" s="41" t="str">
        <f aca="false">IF(F862="","",IFERROR(IF(ISNUMBER(SEARCH(Assumptions!$C$5,F862)),Assumptions!$D$5,IF(ISNUMBER(SEARCH(Assumptions!$C$6,F862)),Assumptions!$D$6,IF(ISNUMBER(SEARCH(Assumptions!$C$7,F862)),Assumptions!$D$7,"Other Services"))),"Other Services"))</f>
        <v/>
      </c>
    </row>
    <row r="863" customFormat="false" ht="15" hidden="false" customHeight="false" outlineLevel="0" collapsed="false">
      <c r="I863" s="41" t="str">
        <f aca="false">IF(F863="","",IFERROR(IF(ISNUMBER(SEARCH(Assumptions!$C$5,F863)),Assumptions!$D$5,IF(ISNUMBER(SEARCH(Assumptions!$C$6,F863)),Assumptions!$D$6,IF(ISNUMBER(SEARCH(Assumptions!$C$7,F863)),Assumptions!$D$7,"Other Services"))),"Other Services"))</f>
        <v/>
      </c>
    </row>
    <row r="864" customFormat="false" ht="15" hidden="false" customHeight="false" outlineLevel="0" collapsed="false">
      <c r="I864" s="41" t="str">
        <f aca="false">IF(F864="","",IFERROR(IF(ISNUMBER(SEARCH(Assumptions!$C$5,F864)),Assumptions!$D$5,IF(ISNUMBER(SEARCH(Assumptions!$C$6,F864)),Assumptions!$D$6,IF(ISNUMBER(SEARCH(Assumptions!$C$7,F864)),Assumptions!$D$7,"Other Services"))),"Other Services"))</f>
        <v/>
      </c>
    </row>
    <row r="865" customFormat="false" ht="15" hidden="false" customHeight="false" outlineLevel="0" collapsed="false">
      <c r="I865" s="41" t="str">
        <f aca="false">IF(F865="","",IFERROR(IF(ISNUMBER(SEARCH(Assumptions!$C$5,F865)),Assumptions!$D$5,IF(ISNUMBER(SEARCH(Assumptions!$C$6,F865)),Assumptions!$D$6,IF(ISNUMBER(SEARCH(Assumptions!$C$7,F865)),Assumptions!$D$7,"Other Services"))),"Other Services"))</f>
        <v/>
      </c>
    </row>
    <row r="866" customFormat="false" ht="15" hidden="false" customHeight="false" outlineLevel="0" collapsed="false">
      <c r="I866" s="41" t="str">
        <f aca="false">IF(F866="","",IFERROR(IF(ISNUMBER(SEARCH(Assumptions!$C$5,F866)),Assumptions!$D$5,IF(ISNUMBER(SEARCH(Assumptions!$C$6,F866)),Assumptions!$D$6,IF(ISNUMBER(SEARCH(Assumptions!$C$7,F866)),Assumptions!$D$7,"Other Services"))),"Other Services"))</f>
        <v/>
      </c>
    </row>
    <row r="867" customFormat="false" ht="15" hidden="false" customHeight="false" outlineLevel="0" collapsed="false">
      <c r="I867" s="41" t="str">
        <f aca="false">IF(F867="","",IFERROR(IF(ISNUMBER(SEARCH(Assumptions!$C$5,F867)),Assumptions!$D$5,IF(ISNUMBER(SEARCH(Assumptions!$C$6,F867)),Assumptions!$D$6,IF(ISNUMBER(SEARCH(Assumptions!$C$7,F867)),Assumptions!$D$7,"Other Services"))),"Other Services"))</f>
        <v/>
      </c>
    </row>
    <row r="868" customFormat="false" ht="15" hidden="false" customHeight="false" outlineLevel="0" collapsed="false">
      <c r="I868" s="41" t="str">
        <f aca="false">IF(F868="","",IFERROR(IF(ISNUMBER(SEARCH(Assumptions!$C$5,F868)),Assumptions!$D$5,IF(ISNUMBER(SEARCH(Assumptions!$C$6,F868)),Assumptions!$D$6,IF(ISNUMBER(SEARCH(Assumptions!$C$7,F868)),Assumptions!$D$7,"Other Services"))),"Other Services"))</f>
        <v/>
      </c>
    </row>
    <row r="869" customFormat="false" ht="15" hidden="false" customHeight="false" outlineLevel="0" collapsed="false">
      <c r="I869" s="41" t="str">
        <f aca="false">IF(F869="","",IFERROR(IF(ISNUMBER(SEARCH(Assumptions!$C$5,F869)),Assumptions!$D$5,IF(ISNUMBER(SEARCH(Assumptions!$C$6,F869)),Assumptions!$D$6,IF(ISNUMBER(SEARCH(Assumptions!$C$7,F869)),Assumptions!$D$7,"Other Services"))),"Other Services"))</f>
        <v/>
      </c>
    </row>
    <row r="870" customFormat="false" ht="15" hidden="false" customHeight="false" outlineLevel="0" collapsed="false">
      <c r="I870" s="41" t="str">
        <f aca="false">IF(F870="","",IFERROR(IF(ISNUMBER(SEARCH(Assumptions!$C$5,F870)),Assumptions!$D$5,IF(ISNUMBER(SEARCH(Assumptions!$C$6,F870)),Assumptions!$D$6,IF(ISNUMBER(SEARCH(Assumptions!$C$7,F870)),Assumptions!$D$7,"Other Services"))),"Other Services"))</f>
        <v/>
      </c>
    </row>
    <row r="871" customFormat="false" ht="15" hidden="false" customHeight="false" outlineLevel="0" collapsed="false">
      <c r="I871" s="41" t="str">
        <f aca="false">IF(F871="","",IFERROR(IF(ISNUMBER(SEARCH(Assumptions!$C$5,F871)),Assumptions!$D$5,IF(ISNUMBER(SEARCH(Assumptions!$C$6,F871)),Assumptions!$D$6,IF(ISNUMBER(SEARCH(Assumptions!$C$7,F871)),Assumptions!$D$7,"Other Services"))),"Other Services"))</f>
        <v/>
      </c>
    </row>
    <row r="872" customFormat="false" ht="15" hidden="false" customHeight="false" outlineLevel="0" collapsed="false">
      <c r="I872" s="41" t="str">
        <f aca="false">IF(F872="","",IFERROR(IF(ISNUMBER(SEARCH(Assumptions!$C$5,F872)),Assumptions!$D$5,IF(ISNUMBER(SEARCH(Assumptions!$C$6,F872)),Assumptions!$D$6,IF(ISNUMBER(SEARCH(Assumptions!$C$7,F872)),Assumptions!$D$7,"Other Services"))),"Other Services"))</f>
        <v/>
      </c>
    </row>
    <row r="873" customFormat="false" ht="15" hidden="false" customHeight="false" outlineLevel="0" collapsed="false">
      <c r="I873" s="41" t="str">
        <f aca="false">IF(F873="","",IFERROR(IF(ISNUMBER(SEARCH(Assumptions!$C$5,F873)),Assumptions!$D$5,IF(ISNUMBER(SEARCH(Assumptions!$C$6,F873)),Assumptions!$D$6,IF(ISNUMBER(SEARCH(Assumptions!$C$7,F873)),Assumptions!$D$7,"Other Services"))),"Other Services"))</f>
        <v/>
      </c>
    </row>
    <row r="874" customFormat="false" ht="15" hidden="false" customHeight="false" outlineLevel="0" collapsed="false">
      <c r="I874" s="41" t="str">
        <f aca="false">IF(F874="","",IFERROR(IF(ISNUMBER(SEARCH(Assumptions!$C$5,F874)),Assumptions!$D$5,IF(ISNUMBER(SEARCH(Assumptions!$C$6,F874)),Assumptions!$D$6,IF(ISNUMBER(SEARCH(Assumptions!$C$7,F874)),Assumptions!$D$7,"Other Services"))),"Other Services"))</f>
        <v/>
      </c>
    </row>
    <row r="875" customFormat="false" ht="15" hidden="false" customHeight="false" outlineLevel="0" collapsed="false">
      <c r="I875" s="41" t="str">
        <f aca="false">IF(F875="","",IFERROR(IF(ISNUMBER(SEARCH(Assumptions!$C$5,F875)),Assumptions!$D$5,IF(ISNUMBER(SEARCH(Assumptions!$C$6,F875)),Assumptions!$D$6,IF(ISNUMBER(SEARCH(Assumptions!$C$7,F875)),Assumptions!$D$7,"Other Services"))),"Other Services"))</f>
        <v/>
      </c>
    </row>
    <row r="876" customFormat="false" ht="15" hidden="false" customHeight="false" outlineLevel="0" collapsed="false">
      <c r="I876" s="41" t="str">
        <f aca="false">IF(F876="","",IFERROR(IF(ISNUMBER(SEARCH(Assumptions!$C$5,F876)),Assumptions!$D$5,IF(ISNUMBER(SEARCH(Assumptions!$C$6,F876)),Assumptions!$D$6,IF(ISNUMBER(SEARCH(Assumptions!$C$7,F876)),Assumptions!$D$7,"Other Services"))),"Other Services"))</f>
        <v/>
      </c>
    </row>
    <row r="877" customFormat="false" ht="15" hidden="false" customHeight="false" outlineLevel="0" collapsed="false">
      <c r="I877" s="41" t="str">
        <f aca="false">IF(F877="","",IFERROR(IF(ISNUMBER(SEARCH(Assumptions!$C$5,F877)),Assumptions!$D$5,IF(ISNUMBER(SEARCH(Assumptions!$C$6,F877)),Assumptions!$D$6,IF(ISNUMBER(SEARCH(Assumptions!$C$7,F877)),Assumptions!$D$7,"Other Services"))),"Other Services"))</f>
        <v/>
      </c>
    </row>
    <row r="878" customFormat="false" ht="15" hidden="false" customHeight="false" outlineLevel="0" collapsed="false">
      <c r="I878" s="41" t="str">
        <f aca="false">IF(F878="","",IFERROR(IF(ISNUMBER(SEARCH(Assumptions!$C$5,F878)),Assumptions!$D$5,IF(ISNUMBER(SEARCH(Assumptions!$C$6,F878)),Assumptions!$D$6,IF(ISNUMBER(SEARCH(Assumptions!$C$7,F878)),Assumptions!$D$7,"Other Services"))),"Other Services"))</f>
        <v/>
      </c>
    </row>
    <row r="879" customFormat="false" ht="15" hidden="false" customHeight="false" outlineLevel="0" collapsed="false">
      <c r="I879" s="41" t="str">
        <f aca="false">IF(F879="","",IFERROR(IF(ISNUMBER(SEARCH(Assumptions!$C$5,F879)),Assumptions!$D$5,IF(ISNUMBER(SEARCH(Assumptions!$C$6,F879)),Assumptions!$D$6,IF(ISNUMBER(SEARCH(Assumptions!$C$7,F879)),Assumptions!$D$7,"Other Services"))),"Other Services"))</f>
        <v/>
      </c>
    </row>
    <row r="880" customFormat="false" ht="15" hidden="false" customHeight="false" outlineLevel="0" collapsed="false">
      <c r="I880" s="41" t="str">
        <f aca="false">IF(F880="","",IFERROR(IF(ISNUMBER(SEARCH(Assumptions!$C$5,F880)),Assumptions!$D$5,IF(ISNUMBER(SEARCH(Assumptions!$C$6,F880)),Assumptions!$D$6,IF(ISNUMBER(SEARCH(Assumptions!$C$7,F880)),Assumptions!$D$7,"Other Services"))),"Other Services"))</f>
        <v/>
      </c>
    </row>
    <row r="881" customFormat="false" ht="15" hidden="false" customHeight="false" outlineLevel="0" collapsed="false">
      <c r="I881" s="41" t="str">
        <f aca="false">IF(F881="","",IFERROR(IF(ISNUMBER(SEARCH(Assumptions!$C$5,F881)),Assumptions!$D$5,IF(ISNUMBER(SEARCH(Assumptions!$C$6,F881)),Assumptions!$D$6,IF(ISNUMBER(SEARCH(Assumptions!$C$7,F881)),Assumptions!$D$7,"Other Services"))),"Other Services"))</f>
        <v/>
      </c>
    </row>
    <row r="882" customFormat="false" ht="15" hidden="false" customHeight="false" outlineLevel="0" collapsed="false">
      <c r="I882" s="41" t="str">
        <f aca="false">IF(F882="","",IFERROR(IF(ISNUMBER(SEARCH(Assumptions!$C$5,F882)),Assumptions!$D$5,IF(ISNUMBER(SEARCH(Assumptions!$C$6,F882)),Assumptions!$D$6,IF(ISNUMBER(SEARCH(Assumptions!$C$7,F882)),Assumptions!$D$7,"Other Services"))),"Other Services"))</f>
        <v/>
      </c>
    </row>
    <row r="883" customFormat="false" ht="15" hidden="false" customHeight="false" outlineLevel="0" collapsed="false">
      <c r="I883" s="41" t="str">
        <f aca="false">IF(F883="","",IFERROR(IF(ISNUMBER(SEARCH(Assumptions!$C$5,F883)),Assumptions!$D$5,IF(ISNUMBER(SEARCH(Assumptions!$C$6,F883)),Assumptions!$D$6,IF(ISNUMBER(SEARCH(Assumptions!$C$7,F883)),Assumptions!$D$7,"Other Services"))),"Other Services"))</f>
        <v/>
      </c>
    </row>
    <row r="884" customFormat="false" ht="15" hidden="false" customHeight="false" outlineLevel="0" collapsed="false">
      <c r="I884" s="41" t="str">
        <f aca="false">IF(F884="","",IFERROR(IF(ISNUMBER(SEARCH(Assumptions!$C$5,F884)),Assumptions!$D$5,IF(ISNUMBER(SEARCH(Assumptions!$C$6,F884)),Assumptions!$D$6,IF(ISNUMBER(SEARCH(Assumptions!$C$7,F884)),Assumptions!$D$7,"Other Services"))),"Other Services"))</f>
        <v/>
      </c>
    </row>
    <row r="885" customFormat="false" ht="15" hidden="false" customHeight="false" outlineLevel="0" collapsed="false">
      <c r="I885" s="41" t="str">
        <f aca="false">IF(F885="","",IFERROR(IF(ISNUMBER(SEARCH(Assumptions!$C$5,F885)),Assumptions!$D$5,IF(ISNUMBER(SEARCH(Assumptions!$C$6,F885)),Assumptions!$D$6,IF(ISNUMBER(SEARCH(Assumptions!$C$7,F885)),Assumptions!$D$7,"Other Services"))),"Other Services"))</f>
        <v/>
      </c>
    </row>
    <row r="886" customFormat="false" ht="15" hidden="false" customHeight="false" outlineLevel="0" collapsed="false">
      <c r="I886" s="41" t="str">
        <f aca="false">IF(F886="","",IFERROR(IF(ISNUMBER(SEARCH(Assumptions!$C$5,F886)),Assumptions!$D$5,IF(ISNUMBER(SEARCH(Assumptions!$C$6,F886)),Assumptions!$D$6,IF(ISNUMBER(SEARCH(Assumptions!$C$7,F886)),Assumptions!$D$7,"Other Services"))),"Other Services"))</f>
        <v/>
      </c>
    </row>
    <row r="887" customFormat="false" ht="15" hidden="false" customHeight="false" outlineLevel="0" collapsed="false">
      <c r="I887" s="41" t="str">
        <f aca="false">IF(F887="","",IFERROR(IF(ISNUMBER(SEARCH(Assumptions!$C$5,F887)),Assumptions!$D$5,IF(ISNUMBER(SEARCH(Assumptions!$C$6,F887)),Assumptions!$D$6,IF(ISNUMBER(SEARCH(Assumptions!$C$7,F887)),Assumptions!$D$7,"Other Services"))),"Other Services"))</f>
        <v/>
      </c>
    </row>
    <row r="888" customFormat="false" ht="15" hidden="false" customHeight="false" outlineLevel="0" collapsed="false">
      <c r="I888" s="41" t="str">
        <f aca="false">IF(F888="","",IFERROR(IF(ISNUMBER(SEARCH(Assumptions!$C$5,F888)),Assumptions!$D$5,IF(ISNUMBER(SEARCH(Assumptions!$C$6,F888)),Assumptions!$D$6,IF(ISNUMBER(SEARCH(Assumptions!$C$7,F888)),Assumptions!$D$7,"Other Services"))),"Other Services"))</f>
        <v/>
      </c>
    </row>
    <row r="889" customFormat="false" ht="15" hidden="false" customHeight="false" outlineLevel="0" collapsed="false">
      <c r="I889" s="41" t="str">
        <f aca="false">IF(F889="","",IFERROR(IF(ISNUMBER(SEARCH(Assumptions!$C$5,F889)),Assumptions!$D$5,IF(ISNUMBER(SEARCH(Assumptions!$C$6,F889)),Assumptions!$D$6,IF(ISNUMBER(SEARCH(Assumptions!$C$7,F889)),Assumptions!$D$7,"Other Services"))),"Other Services"))</f>
        <v/>
      </c>
    </row>
    <row r="890" customFormat="false" ht="15" hidden="false" customHeight="false" outlineLevel="0" collapsed="false">
      <c r="I890" s="41" t="str">
        <f aca="false">IF(F890="","",IFERROR(IF(ISNUMBER(SEARCH(Assumptions!$C$5,F890)),Assumptions!$D$5,IF(ISNUMBER(SEARCH(Assumptions!$C$6,F890)),Assumptions!$D$6,IF(ISNUMBER(SEARCH(Assumptions!$C$7,F890)),Assumptions!$D$7,"Other Services"))),"Other Services"))</f>
        <v/>
      </c>
    </row>
    <row r="891" customFormat="false" ht="15" hidden="false" customHeight="false" outlineLevel="0" collapsed="false">
      <c r="I891" s="41" t="str">
        <f aca="false">IF(F891="","",IFERROR(IF(ISNUMBER(SEARCH(Assumptions!$C$5,F891)),Assumptions!$D$5,IF(ISNUMBER(SEARCH(Assumptions!$C$6,F891)),Assumptions!$D$6,IF(ISNUMBER(SEARCH(Assumptions!$C$7,F891)),Assumptions!$D$7,"Other Services"))),"Other Services"))</f>
        <v/>
      </c>
    </row>
    <row r="892" customFormat="false" ht="15" hidden="false" customHeight="false" outlineLevel="0" collapsed="false">
      <c r="I892" s="41" t="str">
        <f aca="false">IF(F892="","",IFERROR(IF(ISNUMBER(SEARCH(Assumptions!$C$5,F892)),Assumptions!$D$5,IF(ISNUMBER(SEARCH(Assumptions!$C$6,F892)),Assumptions!$D$6,IF(ISNUMBER(SEARCH(Assumptions!$C$7,F892)),Assumptions!$D$7,"Other Services"))),"Other Services"))</f>
        <v/>
      </c>
    </row>
    <row r="893" customFormat="false" ht="15" hidden="false" customHeight="false" outlineLevel="0" collapsed="false">
      <c r="I893" s="41" t="str">
        <f aca="false">IF(F893="","",IFERROR(IF(ISNUMBER(SEARCH(Assumptions!$C$5,F893)),Assumptions!$D$5,IF(ISNUMBER(SEARCH(Assumptions!$C$6,F893)),Assumptions!$D$6,IF(ISNUMBER(SEARCH(Assumptions!$C$7,F893)),Assumptions!$D$7,"Other Services"))),"Other Services"))</f>
        <v/>
      </c>
    </row>
    <row r="894" customFormat="false" ht="15" hidden="false" customHeight="false" outlineLevel="0" collapsed="false">
      <c r="I894" s="41" t="str">
        <f aca="false">IF(F894="","",IFERROR(IF(ISNUMBER(SEARCH(Assumptions!$C$5,F894)),Assumptions!$D$5,IF(ISNUMBER(SEARCH(Assumptions!$C$6,F894)),Assumptions!$D$6,IF(ISNUMBER(SEARCH(Assumptions!$C$7,F894)),Assumptions!$D$7,"Other Services"))),"Other Services"))</f>
        <v/>
      </c>
    </row>
    <row r="895" customFormat="false" ht="15" hidden="false" customHeight="false" outlineLevel="0" collapsed="false">
      <c r="I895" s="41" t="str">
        <f aca="false">IF(F895="","",IFERROR(IF(ISNUMBER(SEARCH(Assumptions!$C$5,F895)),Assumptions!$D$5,IF(ISNUMBER(SEARCH(Assumptions!$C$6,F895)),Assumptions!$D$6,IF(ISNUMBER(SEARCH(Assumptions!$C$7,F895)),Assumptions!$D$7,"Other Services"))),"Other Services"))</f>
        <v/>
      </c>
    </row>
    <row r="896" customFormat="false" ht="15" hidden="false" customHeight="false" outlineLevel="0" collapsed="false">
      <c r="I896" s="41" t="str">
        <f aca="false">IF(F896="","",IFERROR(IF(ISNUMBER(SEARCH(Assumptions!$C$5,F896)),Assumptions!$D$5,IF(ISNUMBER(SEARCH(Assumptions!$C$6,F896)),Assumptions!$D$6,IF(ISNUMBER(SEARCH(Assumptions!$C$7,F896)),Assumptions!$D$7,"Other Services"))),"Other Services"))</f>
        <v/>
      </c>
    </row>
    <row r="897" customFormat="false" ht="15" hidden="false" customHeight="false" outlineLevel="0" collapsed="false">
      <c r="I897" s="41" t="str">
        <f aca="false">IF(F897="","",IFERROR(IF(ISNUMBER(SEARCH(Assumptions!$C$5,F897)),Assumptions!$D$5,IF(ISNUMBER(SEARCH(Assumptions!$C$6,F897)),Assumptions!$D$6,IF(ISNUMBER(SEARCH(Assumptions!$C$7,F897)),Assumptions!$D$7,"Other Services"))),"Other Services"))</f>
        <v/>
      </c>
    </row>
    <row r="898" customFormat="false" ht="15" hidden="false" customHeight="false" outlineLevel="0" collapsed="false">
      <c r="I898" s="41" t="str">
        <f aca="false">IF(F898="","",IFERROR(IF(ISNUMBER(SEARCH(Assumptions!$C$5,F898)),Assumptions!$D$5,IF(ISNUMBER(SEARCH(Assumptions!$C$6,F898)),Assumptions!$D$6,IF(ISNUMBER(SEARCH(Assumptions!$C$7,F898)),Assumptions!$D$7,"Other Services"))),"Other Services"))</f>
        <v/>
      </c>
    </row>
    <row r="899" customFormat="false" ht="15" hidden="false" customHeight="false" outlineLevel="0" collapsed="false">
      <c r="I899" s="41" t="str">
        <f aca="false">IF(F899="","",IFERROR(IF(ISNUMBER(SEARCH(Assumptions!$C$5,F899)),Assumptions!$D$5,IF(ISNUMBER(SEARCH(Assumptions!$C$6,F899)),Assumptions!$D$6,IF(ISNUMBER(SEARCH(Assumptions!$C$7,F899)),Assumptions!$D$7,"Other Services"))),"Other Services"))</f>
        <v/>
      </c>
    </row>
    <row r="900" customFormat="false" ht="15" hidden="false" customHeight="false" outlineLevel="0" collapsed="false">
      <c r="I900" s="41" t="str">
        <f aca="false">IF(F900="","",IFERROR(IF(ISNUMBER(SEARCH(Assumptions!$C$5,F900)),Assumptions!$D$5,IF(ISNUMBER(SEARCH(Assumptions!$C$6,F900)),Assumptions!$D$6,IF(ISNUMBER(SEARCH(Assumptions!$C$7,F900)),Assumptions!$D$7,"Other Services"))),"Other Services"))</f>
        <v/>
      </c>
    </row>
    <row r="901" customFormat="false" ht="15" hidden="false" customHeight="false" outlineLevel="0" collapsed="false">
      <c r="I901" s="41" t="str">
        <f aca="false">IF(F901="","",IFERROR(IF(ISNUMBER(SEARCH(Assumptions!$C$5,F901)),Assumptions!$D$5,IF(ISNUMBER(SEARCH(Assumptions!$C$6,F901)),Assumptions!$D$6,IF(ISNUMBER(SEARCH(Assumptions!$C$7,F901)),Assumptions!$D$7,"Other Services"))),"Other Services"))</f>
        <v/>
      </c>
    </row>
    <row r="902" customFormat="false" ht="15" hidden="false" customHeight="false" outlineLevel="0" collapsed="false">
      <c r="I902" s="41" t="str">
        <f aca="false">IF(F902="","",IFERROR(IF(ISNUMBER(SEARCH(Assumptions!$C$5,F902)),Assumptions!$D$5,IF(ISNUMBER(SEARCH(Assumptions!$C$6,F902)),Assumptions!$D$6,IF(ISNUMBER(SEARCH(Assumptions!$C$7,F902)),Assumptions!$D$7,"Other Services"))),"Other Services"))</f>
        <v/>
      </c>
    </row>
    <row r="903" customFormat="false" ht="15" hidden="false" customHeight="false" outlineLevel="0" collapsed="false">
      <c r="I903" s="41" t="str">
        <f aca="false">IF(F903="","",IFERROR(IF(ISNUMBER(SEARCH(Assumptions!$C$5,F903)),Assumptions!$D$5,IF(ISNUMBER(SEARCH(Assumptions!$C$6,F903)),Assumptions!$D$6,IF(ISNUMBER(SEARCH(Assumptions!$C$7,F903)),Assumptions!$D$7,"Other Services"))),"Other Services"))</f>
        <v/>
      </c>
    </row>
    <row r="904" customFormat="false" ht="15" hidden="false" customHeight="false" outlineLevel="0" collapsed="false">
      <c r="I904" s="41" t="str">
        <f aca="false">IF(F904="","",IFERROR(IF(ISNUMBER(SEARCH(Assumptions!$C$5,F904)),Assumptions!$D$5,IF(ISNUMBER(SEARCH(Assumptions!$C$6,F904)),Assumptions!$D$6,IF(ISNUMBER(SEARCH(Assumptions!$C$7,F904)),Assumptions!$D$7,"Other Services"))),"Other Services"))</f>
        <v/>
      </c>
    </row>
    <row r="905" customFormat="false" ht="15" hidden="false" customHeight="false" outlineLevel="0" collapsed="false">
      <c r="I905" s="41" t="str">
        <f aca="false">IF(F905="","",IFERROR(IF(ISNUMBER(SEARCH(Assumptions!$C$5,F905)),Assumptions!$D$5,IF(ISNUMBER(SEARCH(Assumptions!$C$6,F905)),Assumptions!$D$6,IF(ISNUMBER(SEARCH(Assumptions!$C$7,F905)),Assumptions!$D$7,"Other Services"))),"Other Services"))</f>
        <v/>
      </c>
    </row>
    <row r="906" customFormat="false" ht="15" hidden="false" customHeight="false" outlineLevel="0" collapsed="false">
      <c r="I906" s="41" t="str">
        <f aca="false">IF(F906="","",IFERROR(IF(ISNUMBER(SEARCH(Assumptions!$C$5,F906)),Assumptions!$D$5,IF(ISNUMBER(SEARCH(Assumptions!$C$6,F906)),Assumptions!$D$6,IF(ISNUMBER(SEARCH(Assumptions!$C$7,F906)),Assumptions!$D$7,"Other Services"))),"Other Services"))</f>
        <v/>
      </c>
    </row>
    <row r="907" customFormat="false" ht="15" hidden="false" customHeight="false" outlineLevel="0" collapsed="false">
      <c r="I907" s="41" t="str">
        <f aca="false">IF(F907="","",IFERROR(IF(ISNUMBER(SEARCH(Assumptions!$C$5,F907)),Assumptions!$D$5,IF(ISNUMBER(SEARCH(Assumptions!$C$6,F907)),Assumptions!$D$6,IF(ISNUMBER(SEARCH(Assumptions!$C$7,F907)),Assumptions!$D$7,"Other Services"))),"Other Services"))</f>
        <v/>
      </c>
    </row>
    <row r="908" customFormat="false" ht="15" hidden="false" customHeight="false" outlineLevel="0" collapsed="false">
      <c r="I908" s="41" t="str">
        <f aca="false">IF(F908="","",IFERROR(IF(ISNUMBER(SEARCH(Assumptions!$C$5,F908)),Assumptions!$D$5,IF(ISNUMBER(SEARCH(Assumptions!$C$6,F908)),Assumptions!$D$6,IF(ISNUMBER(SEARCH(Assumptions!$C$7,F908)),Assumptions!$D$7,"Other Services"))),"Other Services"))</f>
        <v/>
      </c>
    </row>
    <row r="909" customFormat="false" ht="15" hidden="false" customHeight="false" outlineLevel="0" collapsed="false">
      <c r="I909" s="41" t="str">
        <f aca="false">IF(F909="","",IFERROR(IF(ISNUMBER(SEARCH(Assumptions!$C$5,F909)),Assumptions!$D$5,IF(ISNUMBER(SEARCH(Assumptions!$C$6,F909)),Assumptions!$D$6,IF(ISNUMBER(SEARCH(Assumptions!$C$7,F909)),Assumptions!$D$7,"Other Services"))),"Other Services"))</f>
        <v/>
      </c>
    </row>
    <row r="910" customFormat="false" ht="15" hidden="false" customHeight="false" outlineLevel="0" collapsed="false">
      <c r="I910" s="41" t="str">
        <f aca="false">IF(F910="","",IFERROR(IF(ISNUMBER(SEARCH(Assumptions!$C$5,F910)),Assumptions!$D$5,IF(ISNUMBER(SEARCH(Assumptions!$C$6,F910)),Assumptions!$D$6,IF(ISNUMBER(SEARCH(Assumptions!$C$7,F910)),Assumptions!$D$7,"Other Services"))),"Other Services"))</f>
        <v/>
      </c>
    </row>
    <row r="911" customFormat="false" ht="15" hidden="false" customHeight="false" outlineLevel="0" collapsed="false">
      <c r="I911" s="41" t="str">
        <f aca="false">IF(F911="","",IFERROR(IF(ISNUMBER(SEARCH(Assumptions!$C$5,F911)),Assumptions!$D$5,IF(ISNUMBER(SEARCH(Assumptions!$C$6,F911)),Assumptions!$D$6,IF(ISNUMBER(SEARCH(Assumptions!$C$7,F911)),Assumptions!$D$7,"Other Services"))),"Other Services"))</f>
        <v/>
      </c>
    </row>
    <row r="912" customFormat="false" ht="15" hidden="false" customHeight="false" outlineLevel="0" collapsed="false">
      <c r="I912" s="41" t="str">
        <f aca="false">IF(F912="","",IFERROR(IF(ISNUMBER(SEARCH(Assumptions!$C$5,F912)),Assumptions!$D$5,IF(ISNUMBER(SEARCH(Assumptions!$C$6,F912)),Assumptions!$D$6,IF(ISNUMBER(SEARCH(Assumptions!$C$7,F912)),Assumptions!$D$7,"Other Services"))),"Other Services"))</f>
        <v/>
      </c>
    </row>
    <row r="913" customFormat="false" ht="15" hidden="false" customHeight="false" outlineLevel="0" collapsed="false">
      <c r="I913" s="41" t="str">
        <f aca="false">IF(F913="","",IFERROR(IF(ISNUMBER(SEARCH(Assumptions!$C$5,F913)),Assumptions!$D$5,IF(ISNUMBER(SEARCH(Assumptions!$C$6,F913)),Assumptions!$D$6,IF(ISNUMBER(SEARCH(Assumptions!$C$7,F913)),Assumptions!$D$7,"Other Services"))),"Other Services"))</f>
        <v/>
      </c>
    </row>
    <row r="914" customFormat="false" ht="15" hidden="false" customHeight="false" outlineLevel="0" collapsed="false">
      <c r="I914" s="41" t="str">
        <f aca="false">IF(F914="","",IFERROR(IF(ISNUMBER(SEARCH(Assumptions!$C$5,F914)),Assumptions!$D$5,IF(ISNUMBER(SEARCH(Assumptions!$C$6,F914)),Assumptions!$D$6,IF(ISNUMBER(SEARCH(Assumptions!$C$7,F914)),Assumptions!$D$7,"Other Services"))),"Other Services"))</f>
        <v/>
      </c>
    </row>
    <row r="915" customFormat="false" ht="15" hidden="false" customHeight="false" outlineLevel="0" collapsed="false">
      <c r="I915" s="41" t="str">
        <f aca="false">IF(F915="","",IFERROR(IF(ISNUMBER(SEARCH(Assumptions!$C$5,F915)),Assumptions!$D$5,IF(ISNUMBER(SEARCH(Assumptions!$C$6,F915)),Assumptions!$D$6,IF(ISNUMBER(SEARCH(Assumptions!$C$7,F915)),Assumptions!$D$7,"Other Services"))),"Other Services"))</f>
        <v/>
      </c>
    </row>
    <row r="916" customFormat="false" ht="15" hidden="false" customHeight="false" outlineLevel="0" collapsed="false">
      <c r="I916" s="41" t="str">
        <f aca="false">IF(F916="","",IFERROR(IF(ISNUMBER(SEARCH(Assumptions!$C$5,F916)),Assumptions!$D$5,IF(ISNUMBER(SEARCH(Assumptions!$C$6,F916)),Assumptions!$D$6,IF(ISNUMBER(SEARCH(Assumptions!$C$7,F916)),Assumptions!$D$7,"Other Services"))),"Other Services"))</f>
        <v/>
      </c>
    </row>
    <row r="917" customFormat="false" ht="15" hidden="false" customHeight="false" outlineLevel="0" collapsed="false">
      <c r="I917" s="41" t="str">
        <f aca="false">IF(F917="","",IFERROR(IF(ISNUMBER(SEARCH(Assumptions!$C$5,F917)),Assumptions!$D$5,IF(ISNUMBER(SEARCH(Assumptions!$C$6,F917)),Assumptions!$D$6,IF(ISNUMBER(SEARCH(Assumptions!$C$7,F917)),Assumptions!$D$7,"Other Services"))),"Other Services"))</f>
        <v/>
      </c>
    </row>
    <row r="918" customFormat="false" ht="15" hidden="false" customHeight="false" outlineLevel="0" collapsed="false">
      <c r="I918" s="41" t="str">
        <f aca="false">IF(F918="","",IFERROR(IF(ISNUMBER(SEARCH(Assumptions!$C$5,F918)),Assumptions!$D$5,IF(ISNUMBER(SEARCH(Assumptions!$C$6,F918)),Assumptions!$D$6,IF(ISNUMBER(SEARCH(Assumptions!$C$7,F918)),Assumptions!$D$7,"Other Services"))),"Other Services"))</f>
        <v/>
      </c>
    </row>
    <row r="919" customFormat="false" ht="15" hidden="false" customHeight="false" outlineLevel="0" collapsed="false">
      <c r="I919" s="41" t="str">
        <f aca="false">IF(F919="","",IFERROR(IF(ISNUMBER(SEARCH(Assumptions!$C$5,F919)),Assumptions!$D$5,IF(ISNUMBER(SEARCH(Assumptions!$C$6,F919)),Assumptions!$D$6,IF(ISNUMBER(SEARCH(Assumptions!$C$7,F919)),Assumptions!$D$7,"Other Services"))),"Other Services"))</f>
        <v/>
      </c>
    </row>
    <row r="920" customFormat="false" ht="15" hidden="false" customHeight="false" outlineLevel="0" collapsed="false">
      <c r="I920" s="41" t="str">
        <f aca="false">IF(F920="","",IFERROR(IF(ISNUMBER(SEARCH(Assumptions!$C$5,F920)),Assumptions!$D$5,IF(ISNUMBER(SEARCH(Assumptions!$C$6,F920)),Assumptions!$D$6,IF(ISNUMBER(SEARCH(Assumptions!$C$7,F920)),Assumptions!$D$7,"Other Services"))),"Other Services"))</f>
        <v/>
      </c>
    </row>
    <row r="921" customFormat="false" ht="15" hidden="false" customHeight="false" outlineLevel="0" collapsed="false">
      <c r="I921" s="41" t="str">
        <f aca="false">IF(F921="","",IFERROR(IF(ISNUMBER(SEARCH(Assumptions!$C$5,F921)),Assumptions!$D$5,IF(ISNUMBER(SEARCH(Assumptions!$C$6,F921)),Assumptions!$D$6,IF(ISNUMBER(SEARCH(Assumptions!$C$7,F921)),Assumptions!$D$7,"Other Services"))),"Other Services"))</f>
        <v/>
      </c>
    </row>
    <row r="922" customFormat="false" ht="15" hidden="false" customHeight="false" outlineLevel="0" collapsed="false">
      <c r="I922" s="41" t="str">
        <f aca="false">IF(F922="","",IFERROR(IF(ISNUMBER(SEARCH(Assumptions!$C$5,F922)),Assumptions!$D$5,IF(ISNUMBER(SEARCH(Assumptions!$C$6,F922)),Assumptions!$D$6,IF(ISNUMBER(SEARCH(Assumptions!$C$7,F922)),Assumptions!$D$7,"Other Services"))),"Other Services"))</f>
        <v/>
      </c>
    </row>
    <row r="923" customFormat="false" ht="15" hidden="false" customHeight="false" outlineLevel="0" collapsed="false">
      <c r="I923" s="41" t="str">
        <f aca="false">IF(F923="","",IFERROR(IF(ISNUMBER(SEARCH(Assumptions!$C$5,F923)),Assumptions!$D$5,IF(ISNUMBER(SEARCH(Assumptions!$C$6,F923)),Assumptions!$D$6,IF(ISNUMBER(SEARCH(Assumptions!$C$7,F923)),Assumptions!$D$7,"Other Services"))),"Other Services"))</f>
        <v/>
      </c>
    </row>
    <row r="924" customFormat="false" ht="15" hidden="false" customHeight="false" outlineLevel="0" collapsed="false">
      <c r="I924" s="41" t="str">
        <f aca="false">IF(F924="","",IFERROR(IF(ISNUMBER(SEARCH(Assumptions!$C$5,F924)),Assumptions!$D$5,IF(ISNUMBER(SEARCH(Assumptions!$C$6,F924)),Assumptions!$D$6,IF(ISNUMBER(SEARCH(Assumptions!$C$7,F924)),Assumptions!$D$7,"Other Services"))),"Other Services"))</f>
        <v/>
      </c>
    </row>
    <row r="925" customFormat="false" ht="15" hidden="false" customHeight="false" outlineLevel="0" collapsed="false">
      <c r="I925" s="41" t="str">
        <f aca="false">IF(F925="","",IFERROR(IF(ISNUMBER(SEARCH(Assumptions!$C$5,F925)),Assumptions!$D$5,IF(ISNUMBER(SEARCH(Assumptions!$C$6,F925)),Assumptions!$D$6,IF(ISNUMBER(SEARCH(Assumptions!$C$7,F925)),Assumptions!$D$7,"Other Services"))),"Other Services"))</f>
        <v/>
      </c>
    </row>
    <row r="926" customFormat="false" ht="15" hidden="false" customHeight="false" outlineLevel="0" collapsed="false">
      <c r="I926" s="41" t="str">
        <f aca="false">IF(F926="","",IFERROR(IF(ISNUMBER(SEARCH(Assumptions!$C$5,F926)),Assumptions!$D$5,IF(ISNUMBER(SEARCH(Assumptions!$C$6,F926)),Assumptions!$D$6,IF(ISNUMBER(SEARCH(Assumptions!$C$7,F926)),Assumptions!$D$7,"Other Services"))),"Other Services"))</f>
        <v/>
      </c>
    </row>
    <row r="927" customFormat="false" ht="15" hidden="false" customHeight="false" outlineLevel="0" collapsed="false">
      <c r="I927" s="41" t="str">
        <f aca="false">IF(F927="","",IFERROR(IF(ISNUMBER(SEARCH(Assumptions!$C$5,F927)),Assumptions!$D$5,IF(ISNUMBER(SEARCH(Assumptions!$C$6,F927)),Assumptions!$D$6,IF(ISNUMBER(SEARCH(Assumptions!$C$7,F927)),Assumptions!$D$7,"Other Services"))),"Other Services"))</f>
        <v/>
      </c>
    </row>
    <row r="928" customFormat="false" ht="15" hidden="false" customHeight="false" outlineLevel="0" collapsed="false">
      <c r="I928" s="41" t="str">
        <f aca="false">IF(F928="","",IFERROR(IF(ISNUMBER(SEARCH(Assumptions!$C$5,F928)),Assumptions!$D$5,IF(ISNUMBER(SEARCH(Assumptions!$C$6,F928)),Assumptions!$D$6,IF(ISNUMBER(SEARCH(Assumptions!$C$7,F928)),Assumptions!$D$7,"Other Services"))),"Other Services"))</f>
        <v/>
      </c>
    </row>
    <row r="929" customFormat="false" ht="15" hidden="false" customHeight="false" outlineLevel="0" collapsed="false">
      <c r="I929" s="41" t="str">
        <f aca="false">IF(F929="","",IFERROR(IF(ISNUMBER(SEARCH(Assumptions!$C$5,F929)),Assumptions!$D$5,IF(ISNUMBER(SEARCH(Assumptions!$C$6,F929)),Assumptions!$D$6,IF(ISNUMBER(SEARCH(Assumptions!$C$7,F929)),Assumptions!$D$7,"Other Services"))),"Other Services"))</f>
        <v/>
      </c>
    </row>
    <row r="930" customFormat="false" ht="15" hidden="false" customHeight="false" outlineLevel="0" collapsed="false">
      <c r="I930" s="41" t="str">
        <f aca="false">IF(F930="","",IFERROR(IF(ISNUMBER(SEARCH(Assumptions!$C$5,F930)),Assumptions!$D$5,IF(ISNUMBER(SEARCH(Assumptions!$C$6,F930)),Assumptions!$D$6,IF(ISNUMBER(SEARCH(Assumptions!$C$7,F930)),Assumptions!$D$7,"Other Services"))),"Other Services"))</f>
        <v/>
      </c>
    </row>
    <row r="931" customFormat="false" ht="15" hidden="false" customHeight="false" outlineLevel="0" collapsed="false">
      <c r="I931" s="41" t="str">
        <f aca="false">IF(F931="","",IFERROR(IF(ISNUMBER(SEARCH(Assumptions!$C$5,F931)),Assumptions!$D$5,IF(ISNUMBER(SEARCH(Assumptions!$C$6,F931)),Assumptions!$D$6,IF(ISNUMBER(SEARCH(Assumptions!$C$7,F931)),Assumptions!$D$7,"Other Services"))),"Other Services"))</f>
        <v/>
      </c>
    </row>
    <row r="932" customFormat="false" ht="15" hidden="false" customHeight="false" outlineLevel="0" collapsed="false">
      <c r="I932" s="41" t="str">
        <f aca="false">IF(F932="","",IFERROR(IF(ISNUMBER(SEARCH(Assumptions!$C$5,F932)),Assumptions!$D$5,IF(ISNUMBER(SEARCH(Assumptions!$C$6,F932)),Assumptions!$D$6,IF(ISNUMBER(SEARCH(Assumptions!$C$7,F932)),Assumptions!$D$7,"Other Services"))),"Other Services"))</f>
        <v/>
      </c>
    </row>
    <row r="933" customFormat="false" ht="15" hidden="false" customHeight="false" outlineLevel="0" collapsed="false">
      <c r="I933" s="41" t="str">
        <f aca="false">IF(F933="","",IFERROR(IF(ISNUMBER(SEARCH(Assumptions!$C$5,F933)),Assumptions!$D$5,IF(ISNUMBER(SEARCH(Assumptions!$C$6,F933)),Assumptions!$D$6,IF(ISNUMBER(SEARCH(Assumptions!$C$7,F933)),Assumptions!$D$7,"Other Services"))),"Other Services"))</f>
        <v/>
      </c>
    </row>
    <row r="934" customFormat="false" ht="15" hidden="false" customHeight="false" outlineLevel="0" collapsed="false">
      <c r="I934" s="41" t="str">
        <f aca="false">IF(F934="","",IFERROR(IF(ISNUMBER(SEARCH(Assumptions!$C$5,F934)),Assumptions!$D$5,IF(ISNUMBER(SEARCH(Assumptions!$C$6,F934)),Assumptions!$D$6,IF(ISNUMBER(SEARCH(Assumptions!$C$7,F934)),Assumptions!$D$7,"Other Services"))),"Other Services"))</f>
        <v/>
      </c>
    </row>
    <row r="935" customFormat="false" ht="15" hidden="false" customHeight="false" outlineLevel="0" collapsed="false">
      <c r="I935" s="41" t="str">
        <f aca="false">IF(F935="","",IFERROR(IF(ISNUMBER(SEARCH(Assumptions!$C$5,F935)),Assumptions!$D$5,IF(ISNUMBER(SEARCH(Assumptions!$C$6,F935)),Assumptions!$D$6,IF(ISNUMBER(SEARCH(Assumptions!$C$7,F935)),Assumptions!$D$7,"Other Services"))),"Other Services"))</f>
        <v/>
      </c>
    </row>
    <row r="936" customFormat="false" ht="15" hidden="false" customHeight="false" outlineLevel="0" collapsed="false">
      <c r="I936" s="41" t="str">
        <f aca="false">IF(F936="","",IFERROR(IF(ISNUMBER(SEARCH(Assumptions!$C$5,F936)),Assumptions!$D$5,IF(ISNUMBER(SEARCH(Assumptions!$C$6,F936)),Assumptions!$D$6,IF(ISNUMBER(SEARCH(Assumptions!$C$7,F936)),Assumptions!$D$7,"Other Services"))),"Other Services"))</f>
        <v/>
      </c>
    </row>
    <row r="937" customFormat="false" ht="15" hidden="false" customHeight="false" outlineLevel="0" collapsed="false">
      <c r="I937" s="41" t="str">
        <f aca="false">IF(F937="","",IFERROR(IF(ISNUMBER(SEARCH(Assumptions!$C$5,F937)),Assumptions!$D$5,IF(ISNUMBER(SEARCH(Assumptions!$C$6,F937)),Assumptions!$D$6,IF(ISNUMBER(SEARCH(Assumptions!$C$7,F937)),Assumptions!$D$7,"Other Services"))),"Other Services"))</f>
        <v/>
      </c>
    </row>
    <row r="938" customFormat="false" ht="15" hidden="false" customHeight="false" outlineLevel="0" collapsed="false">
      <c r="I938" s="41" t="str">
        <f aca="false">IF(F938="","",IFERROR(IF(ISNUMBER(SEARCH(Assumptions!$C$5,F938)),Assumptions!$D$5,IF(ISNUMBER(SEARCH(Assumptions!$C$6,F938)),Assumptions!$D$6,IF(ISNUMBER(SEARCH(Assumptions!$C$7,F938)),Assumptions!$D$7,"Other Services"))),"Other Services"))</f>
        <v/>
      </c>
    </row>
    <row r="939" customFormat="false" ht="15" hidden="false" customHeight="false" outlineLevel="0" collapsed="false">
      <c r="I939" s="41" t="str">
        <f aca="false">IF(F939="","",IFERROR(IF(ISNUMBER(SEARCH(Assumptions!$C$5,F939)),Assumptions!$D$5,IF(ISNUMBER(SEARCH(Assumptions!$C$6,F939)),Assumptions!$D$6,IF(ISNUMBER(SEARCH(Assumptions!$C$7,F939)),Assumptions!$D$7,"Other Services"))),"Other Services"))</f>
        <v/>
      </c>
    </row>
    <row r="940" customFormat="false" ht="15" hidden="false" customHeight="false" outlineLevel="0" collapsed="false">
      <c r="I940" s="41" t="str">
        <f aca="false">IF(F940="","",IFERROR(IF(ISNUMBER(SEARCH(Assumptions!$C$5,F940)),Assumptions!$D$5,IF(ISNUMBER(SEARCH(Assumptions!$C$6,F940)),Assumptions!$D$6,IF(ISNUMBER(SEARCH(Assumptions!$C$7,F940)),Assumptions!$D$7,"Other Services"))),"Other Services"))</f>
        <v/>
      </c>
    </row>
    <row r="941" customFormat="false" ht="15" hidden="false" customHeight="false" outlineLevel="0" collapsed="false">
      <c r="I941" s="41" t="str">
        <f aca="false">IF(F941="","",IFERROR(IF(ISNUMBER(SEARCH(Assumptions!$C$5,F941)),Assumptions!$D$5,IF(ISNUMBER(SEARCH(Assumptions!$C$6,F941)),Assumptions!$D$6,IF(ISNUMBER(SEARCH(Assumptions!$C$7,F941)),Assumptions!$D$7,"Other Services"))),"Other Services"))</f>
        <v/>
      </c>
    </row>
    <row r="942" customFormat="false" ht="15" hidden="false" customHeight="false" outlineLevel="0" collapsed="false">
      <c r="I942" s="41" t="str">
        <f aca="false">IF(F942="","",IFERROR(IF(ISNUMBER(SEARCH(Assumptions!$C$5,F942)),Assumptions!$D$5,IF(ISNUMBER(SEARCH(Assumptions!$C$6,F942)),Assumptions!$D$6,IF(ISNUMBER(SEARCH(Assumptions!$C$7,F942)),Assumptions!$D$7,"Other Services"))),"Other Services"))</f>
        <v/>
      </c>
    </row>
    <row r="943" customFormat="false" ht="15" hidden="false" customHeight="false" outlineLevel="0" collapsed="false">
      <c r="I943" s="41" t="str">
        <f aca="false">IF(F943="","",IFERROR(IF(ISNUMBER(SEARCH(Assumptions!$C$5,F943)),Assumptions!$D$5,IF(ISNUMBER(SEARCH(Assumptions!$C$6,F943)),Assumptions!$D$6,IF(ISNUMBER(SEARCH(Assumptions!$C$7,F943)),Assumptions!$D$7,"Other Services"))),"Other Services"))</f>
        <v/>
      </c>
    </row>
    <row r="944" customFormat="false" ht="15" hidden="false" customHeight="false" outlineLevel="0" collapsed="false">
      <c r="I944" s="41" t="str">
        <f aca="false">IF(F944="","",IFERROR(IF(ISNUMBER(SEARCH(Assumptions!$C$5,F944)),Assumptions!$D$5,IF(ISNUMBER(SEARCH(Assumptions!$C$6,F944)),Assumptions!$D$6,IF(ISNUMBER(SEARCH(Assumptions!$C$7,F944)),Assumptions!$D$7,"Other Services"))),"Other Services"))</f>
        <v/>
      </c>
    </row>
    <row r="945" customFormat="false" ht="15" hidden="false" customHeight="false" outlineLevel="0" collapsed="false">
      <c r="I945" s="41" t="str">
        <f aca="false">IF(F945="","",IFERROR(IF(ISNUMBER(SEARCH(Assumptions!$C$5,F945)),Assumptions!$D$5,IF(ISNUMBER(SEARCH(Assumptions!$C$6,F945)),Assumptions!$D$6,IF(ISNUMBER(SEARCH(Assumptions!$C$7,F945)),Assumptions!$D$7,"Other Services"))),"Other Services"))</f>
        <v/>
      </c>
    </row>
    <row r="946" customFormat="false" ht="15" hidden="false" customHeight="false" outlineLevel="0" collapsed="false">
      <c r="I946" s="41" t="str">
        <f aca="false">IF(F946="","",IFERROR(IF(ISNUMBER(SEARCH(Assumptions!$C$5,F946)),Assumptions!$D$5,IF(ISNUMBER(SEARCH(Assumptions!$C$6,F946)),Assumptions!$D$6,IF(ISNUMBER(SEARCH(Assumptions!$C$7,F946)),Assumptions!$D$7,"Other Services"))),"Other Services"))</f>
        <v/>
      </c>
    </row>
    <row r="947" customFormat="false" ht="15" hidden="false" customHeight="false" outlineLevel="0" collapsed="false">
      <c r="I947" s="41" t="str">
        <f aca="false">IF(F947="","",IFERROR(IF(ISNUMBER(SEARCH(Assumptions!$C$5,F947)),Assumptions!$D$5,IF(ISNUMBER(SEARCH(Assumptions!$C$6,F947)),Assumptions!$D$6,IF(ISNUMBER(SEARCH(Assumptions!$C$7,F947)),Assumptions!$D$7,"Other Services"))),"Other Services"))</f>
        <v/>
      </c>
    </row>
    <row r="948" customFormat="false" ht="15" hidden="false" customHeight="false" outlineLevel="0" collapsed="false">
      <c r="I948" s="41" t="str">
        <f aca="false">IF(F948="","",IFERROR(IF(ISNUMBER(SEARCH(Assumptions!$C$5,F948)),Assumptions!$D$5,IF(ISNUMBER(SEARCH(Assumptions!$C$6,F948)),Assumptions!$D$6,IF(ISNUMBER(SEARCH(Assumptions!$C$7,F948)),Assumptions!$D$7,"Other Services"))),"Other Services"))</f>
        <v/>
      </c>
    </row>
    <row r="949" customFormat="false" ht="15" hidden="false" customHeight="false" outlineLevel="0" collapsed="false">
      <c r="I949" s="41" t="str">
        <f aca="false">IF(F949="","",IFERROR(IF(ISNUMBER(SEARCH(Assumptions!$C$5,F949)),Assumptions!$D$5,IF(ISNUMBER(SEARCH(Assumptions!$C$6,F949)),Assumptions!$D$6,IF(ISNUMBER(SEARCH(Assumptions!$C$7,F949)),Assumptions!$D$7,"Other Services"))),"Other Services"))</f>
        <v/>
      </c>
    </row>
    <row r="950" customFormat="false" ht="15" hidden="false" customHeight="false" outlineLevel="0" collapsed="false">
      <c r="I950" s="41" t="str">
        <f aca="false">IF(F950="","",IFERROR(IF(ISNUMBER(SEARCH(Assumptions!$C$5,F950)),Assumptions!$D$5,IF(ISNUMBER(SEARCH(Assumptions!$C$6,F950)),Assumptions!$D$6,IF(ISNUMBER(SEARCH(Assumptions!$C$7,F950)),Assumptions!$D$7,"Other Services"))),"Other Services"))</f>
        <v/>
      </c>
    </row>
    <row r="951" customFormat="false" ht="15" hidden="false" customHeight="false" outlineLevel="0" collapsed="false">
      <c r="I951" s="41" t="str">
        <f aca="false">IF(F951="","",IFERROR(IF(ISNUMBER(SEARCH(Assumptions!$C$5,F951)),Assumptions!$D$5,IF(ISNUMBER(SEARCH(Assumptions!$C$6,F951)),Assumptions!$D$6,IF(ISNUMBER(SEARCH(Assumptions!$C$7,F951)),Assumptions!$D$7,"Other Services"))),"Other Services"))</f>
        <v/>
      </c>
    </row>
    <row r="952" customFormat="false" ht="15" hidden="false" customHeight="false" outlineLevel="0" collapsed="false">
      <c r="I952" s="41" t="str">
        <f aca="false">IF(F952="","",IFERROR(IF(ISNUMBER(SEARCH(Assumptions!$C$5,F952)),Assumptions!$D$5,IF(ISNUMBER(SEARCH(Assumptions!$C$6,F952)),Assumptions!$D$6,IF(ISNUMBER(SEARCH(Assumptions!$C$7,F952)),Assumptions!$D$7,"Other Services"))),"Other Services"))</f>
        <v/>
      </c>
    </row>
    <row r="953" customFormat="false" ht="15" hidden="false" customHeight="false" outlineLevel="0" collapsed="false">
      <c r="I953" s="41" t="str">
        <f aca="false">IF(F953="","",IFERROR(IF(ISNUMBER(SEARCH(Assumptions!$C$5,F953)),Assumptions!$D$5,IF(ISNUMBER(SEARCH(Assumptions!$C$6,F953)),Assumptions!$D$6,IF(ISNUMBER(SEARCH(Assumptions!$C$7,F953)),Assumptions!$D$7,"Other Services"))),"Other Services"))</f>
        <v/>
      </c>
    </row>
    <row r="954" customFormat="false" ht="15" hidden="false" customHeight="false" outlineLevel="0" collapsed="false">
      <c r="I954" s="41" t="str">
        <f aca="false">IF(F954="","",IFERROR(IF(ISNUMBER(SEARCH(Assumptions!$C$5,F954)),Assumptions!$D$5,IF(ISNUMBER(SEARCH(Assumptions!$C$6,F954)),Assumptions!$D$6,IF(ISNUMBER(SEARCH(Assumptions!$C$7,F954)),Assumptions!$D$7,"Other Services"))),"Other Services"))</f>
        <v/>
      </c>
    </row>
    <row r="955" customFormat="false" ht="15" hidden="false" customHeight="false" outlineLevel="0" collapsed="false">
      <c r="I955" s="41" t="str">
        <f aca="false">IF(F955="","",IFERROR(IF(ISNUMBER(SEARCH(Assumptions!$C$5,F955)),Assumptions!$D$5,IF(ISNUMBER(SEARCH(Assumptions!$C$6,F955)),Assumptions!$D$6,IF(ISNUMBER(SEARCH(Assumptions!$C$7,F955)),Assumptions!$D$7,"Other Services"))),"Other Services"))</f>
        <v/>
      </c>
    </row>
    <row r="956" customFormat="false" ht="15" hidden="false" customHeight="false" outlineLevel="0" collapsed="false">
      <c r="I956" s="41" t="str">
        <f aca="false">IF(F956="","",IFERROR(IF(ISNUMBER(SEARCH(Assumptions!$C$5,F956)),Assumptions!$D$5,IF(ISNUMBER(SEARCH(Assumptions!$C$6,F956)),Assumptions!$D$6,IF(ISNUMBER(SEARCH(Assumptions!$C$7,F956)),Assumptions!$D$7,"Other Services"))),"Other Services"))</f>
        <v/>
      </c>
    </row>
    <row r="957" customFormat="false" ht="15" hidden="false" customHeight="false" outlineLevel="0" collapsed="false">
      <c r="I957" s="41" t="str">
        <f aca="false">IF(F957="","",IFERROR(IF(ISNUMBER(SEARCH(Assumptions!$C$5,F957)),Assumptions!$D$5,IF(ISNUMBER(SEARCH(Assumptions!$C$6,F957)),Assumptions!$D$6,IF(ISNUMBER(SEARCH(Assumptions!$C$7,F957)),Assumptions!$D$7,"Other Services"))),"Other Services"))</f>
        <v/>
      </c>
    </row>
    <row r="958" customFormat="false" ht="15" hidden="false" customHeight="false" outlineLevel="0" collapsed="false">
      <c r="I958" s="41" t="str">
        <f aca="false">IF(F958="","",IFERROR(IF(ISNUMBER(SEARCH(Assumptions!$C$5,F958)),Assumptions!$D$5,IF(ISNUMBER(SEARCH(Assumptions!$C$6,F958)),Assumptions!$D$6,IF(ISNUMBER(SEARCH(Assumptions!$C$7,F958)),Assumptions!$D$7,"Other Services"))),"Other Services"))</f>
        <v/>
      </c>
    </row>
    <row r="959" customFormat="false" ht="15" hidden="false" customHeight="false" outlineLevel="0" collapsed="false">
      <c r="I959" s="41" t="str">
        <f aca="false">IF(F959="","",IFERROR(IF(ISNUMBER(SEARCH(Assumptions!$C$5,F959)),Assumptions!$D$5,IF(ISNUMBER(SEARCH(Assumptions!$C$6,F959)),Assumptions!$D$6,IF(ISNUMBER(SEARCH(Assumptions!$C$7,F959)),Assumptions!$D$7,"Other Services"))),"Other Services"))</f>
        <v/>
      </c>
    </row>
    <row r="960" customFormat="false" ht="15" hidden="false" customHeight="false" outlineLevel="0" collapsed="false">
      <c r="I960" s="41" t="str">
        <f aca="false">IF(F960="","",IFERROR(IF(ISNUMBER(SEARCH(Assumptions!$C$5,F960)),Assumptions!$D$5,IF(ISNUMBER(SEARCH(Assumptions!$C$6,F960)),Assumptions!$D$6,IF(ISNUMBER(SEARCH(Assumptions!$C$7,F960)),Assumptions!$D$7,"Other Services"))),"Other Services"))</f>
        <v/>
      </c>
    </row>
    <row r="961" customFormat="false" ht="15" hidden="false" customHeight="false" outlineLevel="0" collapsed="false">
      <c r="I961" s="41" t="str">
        <f aca="false">IF(F961="","",IFERROR(IF(ISNUMBER(SEARCH(Assumptions!$C$5,F961)),Assumptions!$D$5,IF(ISNUMBER(SEARCH(Assumptions!$C$6,F961)),Assumptions!$D$6,IF(ISNUMBER(SEARCH(Assumptions!$C$7,F961)),Assumptions!$D$7,"Other Services"))),"Other Services"))</f>
        <v/>
      </c>
    </row>
    <row r="962" customFormat="false" ht="15" hidden="false" customHeight="false" outlineLevel="0" collapsed="false">
      <c r="I962" s="41" t="str">
        <f aca="false">IF(F962="","",IFERROR(IF(ISNUMBER(SEARCH(Assumptions!$C$5,F962)),Assumptions!$D$5,IF(ISNUMBER(SEARCH(Assumptions!$C$6,F962)),Assumptions!$D$6,IF(ISNUMBER(SEARCH(Assumptions!$C$7,F962)),Assumptions!$D$7,"Other Services"))),"Other Services"))</f>
        <v/>
      </c>
    </row>
    <row r="963" customFormat="false" ht="15" hidden="false" customHeight="false" outlineLevel="0" collapsed="false">
      <c r="I963" s="41" t="str">
        <f aca="false">IF(F963="","",IFERROR(IF(ISNUMBER(SEARCH(Assumptions!$C$5,F963)),Assumptions!$D$5,IF(ISNUMBER(SEARCH(Assumptions!$C$6,F963)),Assumptions!$D$6,IF(ISNUMBER(SEARCH(Assumptions!$C$7,F963)),Assumptions!$D$7,"Other Services"))),"Other Services"))</f>
        <v/>
      </c>
    </row>
    <row r="964" customFormat="false" ht="15" hidden="false" customHeight="false" outlineLevel="0" collapsed="false">
      <c r="I964" s="41" t="str">
        <f aca="false">IF(F964="","",IFERROR(IF(ISNUMBER(SEARCH(Assumptions!$C$5,F964)),Assumptions!$D$5,IF(ISNUMBER(SEARCH(Assumptions!$C$6,F964)),Assumptions!$D$6,IF(ISNUMBER(SEARCH(Assumptions!$C$7,F964)),Assumptions!$D$7,"Other Services"))),"Other Services"))</f>
        <v/>
      </c>
    </row>
    <row r="965" customFormat="false" ht="15" hidden="false" customHeight="false" outlineLevel="0" collapsed="false">
      <c r="I965" s="41" t="str">
        <f aca="false">IF(F965="","",IFERROR(IF(ISNUMBER(SEARCH(Assumptions!$C$5,F965)),Assumptions!$D$5,IF(ISNUMBER(SEARCH(Assumptions!$C$6,F965)),Assumptions!$D$6,IF(ISNUMBER(SEARCH(Assumptions!$C$7,F965)),Assumptions!$D$7,"Other Services"))),"Other Services"))</f>
        <v/>
      </c>
    </row>
    <row r="966" customFormat="false" ht="15" hidden="false" customHeight="false" outlineLevel="0" collapsed="false">
      <c r="I966" s="41" t="str">
        <f aca="false">IF(F966="","",IFERROR(IF(ISNUMBER(SEARCH(Assumptions!$C$5,F966)),Assumptions!$D$5,IF(ISNUMBER(SEARCH(Assumptions!$C$6,F966)),Assumptions!$D$6,IF(ISNUMBER(SEARCH(Assumptions!$C$7,F966)),Assumptions!$D$7,"Other Services"))),"Other Services"))</f>
        <v/>
      </c>
    </row>
    <row r="967" customFormat="false" ht="15" hidden="false" customHeight="false" outlineLevel="0" collapsed="false">
      <c r="I967" s="41" t="str">
        <f aca="false">IF(F967="","",IFERROR(IF(ISNUMBER(SEARCH(Assumptions!$C$5,F967)),Assumptions!$D$5,IF(ISNUMBER(SEARCH(Assumptions!$C$6,F967)),Assumptions!$D$6,IF(ISNUMBER(SEARCH(Assumptions!$C$7,F967)),Assumptions!$D$7,"Other Services"))),"Other Services"))</f>
        <v/>
      </c>
    </row>
    <row r="968" customFormat="false" ht="15" hidden="false" customHeight="false" outlineLevel="0" collapsed="false">
      <c r="I968" s="41" t="str">
        <f aca="false">IF(F968="","",IFERROR(IF(ISNUMBER(SEARCH(Assumptions!$C$5,F968)),Assumptions!$D$5,IF(ISNUMBER(SEARCH(Assumptions!$C$6,F968)),Assumptions!$D$6,IF(ISNUMBER(SEARCH(Assumptions!$C$7,F968)),Assumptions!$D$7,"Other Services"))),"Other Services"))</f>
        <v/>
      </c>
    </row>
    <row r="969" customFormat="false" ht="15" hidden="false" customHeight="false" outlineLevel="0" collapsed="false">
      <c r="I969" s="41" t="str">
        <f aca="false">IF(F969="","",IFERROR(IF(ISNUMBER(SEARCH(Assumptions!$C$5,F969)),Assumptions!$D$5,IF(ISNUMBER(SEARCH(Assumptions!$C$6,F969)),Assumptions!$D$6,IF(ISNUMBER(SEARCH(Assumptions!$C$7,F969)),Assumptions!$D$7,"Other Services"))),"Other Services"))</f>
        <v/>
      </c>
    </row>
    <row r="970" customFormat="false" ht="15" hidden="false" customHeight="false" outlineLevel="0" collapsed="false">
      <c r="I970" s="41" t="str">
        <f aca="false">IF(F970="","",IFERROR(IF(ISNUMBER(SEARCH(Assumptions!$C$5,F970)),Assumptions!$D$5,IF(ISNUMBER(SEARCH(Assumptions!$C$6,F970)),Assumptions!$D$6,IF(ISNUMBER(SEARCH(Assumptions!$C$7,F970)),Assumptions!$D$7,"Other Services"))),"Other Services"))</f>
        <v/>
      </c>
    </row>
    <row r="971" customFormat="false" ht="15" hidden="false" customHeight="false" outlineLevel="0" collapsed="false">
      <c r="I971" s="41" t="str">
        <f aca="false">IF(F971="","",IFERROR(IF(ISNUMBER(SEARCH(Assumptions!$C$5,F971)),Assumptions!$D$5,IF(ISNUMBER(SEARCH(Assumptions!$C$6,F971)),Assumptions!$D$6,IF(ISNUMBER(SEARCH(Assumptions!$C$7,F971)),Assumptions!$D$7,"Other Services"))),"Other Services"))</f>
        <v/>
      </c>
    </row>
    <row r="972" customFormat="false" ht="15" hidden="false" customHeight="false" outlineLevel="0" collapsed="false">
      <c r="I972" s="41" t="str">
        <f aca="false">IF(F972="","",IFERROR(IF(ISNUMBER(SEARCH(Assumptions!$C$5,F972)),Assumptions!$D$5,IF(ISNUMBER(SEARCH(Assumptions!$C$6,F972)),Assumptions!$D$6,IF(ISNUMBER(SEARCH(Assumptions!$C$7,F972)),Assumptions!$D$7,"Other Services"))),"Other Services"))</f>
        <v/>
      </c>
    </row>
    <row r="973" customFormat="false" ht="15" hidden="false" customHeight="false" outlineLevel="0" collapsed="false">
      <c r="I973" s="41" t="str">
        <f aca="false">IF(F973="","",IFERROR(IF(ISNUMBER(SEARCH(Assumptions!$C$5,F973)),Assumptions!$D$5,IF(ISNUMBER(SEARCH(Assumptions!$C$6,F973)),Assumptions!$D$6,IF(ISNUMBER(SEARCH(Assumptions!$C$7,F973)),Assumptions!$D$7,"Other Services"))),"Other Services"))</f>
        <v/>
      </c>
    </row>
    <row r="974" customFormat="false" ht="15" hidden="false" customHeight="false" outlineLevel="0" collapsed="false">
      <c r="I974" s="41" t="str">
        <f aca="false">IF(F974="","",IFERROR(IF(ISNUMBER(SEARCH(Assumptions!$C$5,F974)),Assumptions!$D$5,IF(ISNUMBER(SEARCH(Assumptions!$C$6,F974)),Assumptions!$D$6,IF(ISNUMBER(SEARCH(Assumptions!$C$7,F974)),Assumptions!$D$7,"Other Services"))),"Other Services"))</f>
        <v/>
      </c>
    </row>
    <row r="975" customFormat="false" ht="15" hidden="false" customHeight="false" outlineLevel="0" collapsed="false">
      <c r="I975" s="41" t="str">
        <f aca="false">IF(F975="","",IFERROR(IF(ISNUMBER(SEARCH(Assumptions!$C$5,F975)),Assumptions!$D$5,IF(ISNUMBER(SEARCH(Assumptions!$C$6,F975)),Assumptions!$D$6,IF(ISNUMBER(SEARCH(Assumptions!$C$7,F975)),Assumptions!$D$7,"Other Services"))),"Other Services"))</f>
        <v/>
      </c>
    </row>
    <row r="976" customFormat="false" ht="15" hidden="false" customHeight="false" outlineLevel="0" collapsed="false">
      <c r="I976" s="41" t="str">
        <f aca="false">IF(F976="","",IFERROR(IF(ISNUMBER(SEARCH(Assumptions!$C$5,F976)),Assumptions!$D$5,IF(ISNUMBER(SEARCH(Assumptions!$C$6,F976)),Assumptions!$D$6,IF(ISNUMBER(SEARCH(Assumptions!$C$7,F976)),Assumptions!$D$7,"Other Services"))),"Other Services"))</f>
        <v/>
      </c>
    </row>
    <row r="977" customFormat="false" ht="15" hidden="false" customHeight="false" outlineLevel="0" collapsed="false">
      <c r="I977" s="41" t="str">
        <f aca="false">IF(F977="","",IFERROR(IF(ISNUMBER(SEARCH(Assumptions!$C$5,F977)),Assumptions!$D$5,IF(ISNUMBER(SEARCH(Assumptions!$C$6,F977)),Assumptions!$D$6,IF(ISNUMBER(SEARCH(Assumptions!$C$7,F977)),Assumptions!$D$7,"Other Services"))),"Other Services"))</f>
        <v/>
      </c>
    </row>
    <row r="978" customFormat="false" ht="15" hidden="false" customHeight="false" outlineLevel="0" collapsed="false">
      <c r="I978" s="41" t="str">
        <f aca="false">IF(F978="","",IFERROR(IF(ISNUMBER(SEARCH(Assumptions!$C$5,F978)),Assumptions!$D$5,IF(ISNUMBER(SEARCH(Assumptions!$C$6,F978)),Assumptions!$D$6,IF(ISNUMBER(SEARCH(Assumptions!$C$7,F978)),Assumptions!$D$7,"Other Services"))),"Other Services"))</f>
        <v/>
      </c>
    </row>
    <row r="979" customFormat="false" ht="15" hidden="false" customHeight="false" outlineLevel="0" collapsed="false">
      <c r="I979" s="41" t="str">
        <f aca="false">IF(F979="","",IFERROR(IF(ISNUMBER(SEARCH(Assumptions!$C$5,F979)),Assumptions!$D$5,IF(ISNUMBER(SEARCH(Assumptions!$C$6,F979)),Assumptions!$D$6,IF(ISNUMBER(SEARCH(Assumptions!$C$7,F979)),Assumptions!$D$7,"Other Services"))),"Other Services"))</f>
        <v/>
      </c>
    </row>
    <row r="980" customFormat="false" ht="15" hidden="false" customHeight="false" outlineLevel="0" collapsed="false">
      <c r="I980" s="41" t="str">
        <f aca="false">IF(F980="","",IFERROR(IF(ISNUMBER(SEARCH(Assumptions!$C$5,F980)),Assumptions!$D$5,IF(ISNUMBER(SEARCH(Assumptions!$C$6,F980)),Assumptions!$D$6,IF(ISNUMBER(SEARCH(Assumptions!$C$7,F980)),Assumptions!$D$7,"Other Services"))),"Other Services"))</f>
        <v/>
      </c>
    </row>
    <row r="981" customFormat="false" ht="15" hidden="false" customHeight="false" outlineLevel="0" collapsed="false">
      <c r="I981" s="41" t="str">
        <f aca="false">IF(F981="","",IFERROR(IF(ISNUMBER(SEARCH(Assumptions!$C$5,F981)),Assumptions!$D$5,IF(ISNUMBER(SEARCH(Assumptions!$C$6,F981)),Assumptions!$D$6,IF(ISNUMBER(SEARCH(Assumptions!$C$7,F981)),Assumptions!$D$7,"Other Services"))),"Other Services"))</f>
        <v/>
      </c>
    </row>
    <row r="982" customFormat="false" ht="15" hidden="false" customHeight="false" outlineLevel="0" collapsed="false">
      <c r="I982" s="41" t="str">
        <f aca="false">IF(F982="","",IFERROR(IF(ISNUMBER(SEARCH(Assumptions!$C$5,F982)),Assumptions!$D$5,IF(ISNUMBER(SEARCH(Assumptions!$C$6,F982)),Assumptions!$D$6,IF(ISNUMBER(SEARCH(Assumptions!$C$7,F982)),Assumptions!$D$7,"Other Services"))),"Other Services"))</f>
        <v/>
      </c>
    </row>
    <row r="983" customFormat="false" ht="15" hidden="false" customHeight="false" outlineLevel="0" collapsed="false">
      <c r="I983" s="41" t="str">
        <f aca="false">IF(F983="","",IFERROR(IF(ISNUMBER(SEARCH(Assumptions!$C$5,F983)),Assumptions!$D$5,IF(ISNUMBER(SEARCH(Assumptions!$C$6,F983)),Assumptions!$D$6,IF(ISNUMBER(SEARCH(Assumptions!$C$7,F983)),Assumptions!$D$7,"Other Services"))),"Other Services"))</f>
        <v/>
      </c>
    </row>
    <row r="984" customFormat="false" ht="15" hidden="false" customHeight="false" outlineLevel="0" collapsed="false">
      <c r="I984" s="41" t="str">
        <f aca="false">IF(F984="","",IFERROR(IF(ISNUMBER(SEARCH(Assumptions!$C$5,F984)),Assumptions!$D$5,IF(ISNUMBER(SEARCH(Assumptions!$C$6,F984)),Assumptions!$D$6,IF(ISNUMBER(SEARCH(Assumptions!$C$7,F984)),Assumptions!$D$7,"Other Services"))),"Other Services"))</f>
        <v/>
      </c>
    </row>
    <row r="985" customFormat="false" ht="15" hidden="false" customHeight="false" outlineLevel="0" collapsed="false">
      <c r="I985" s="41" t="str">
        <f aca="false">IF(F985="","",IFERROR(IF(ISNUMBER(SEARCH(Assumptions!$C$5,F985)),Assumptions!$D$5,IF(ISNUMBER(SEARCH(Assumptions!$C$6,F985)),Assumptions!$D$6,IF(ISNUMBER(SEARCH(Assumptions!$C$7,F985)),Assumptions!$D$7,"Other Services"))),"Other Services"))</f>
        <v/>
      </c>
    </row>
    <row r="986" customFormat="false" ht="15" hidden="false" customHeight="false" outlineLevel="0" collapsed="false">
      <c r="I986" s="41" t="str">
        <f aca="false">IF(F986="","",IFERROR(IF(ISNUMBER(SEARCH(Assumptions!$C$5,F986)),Assumptions!$D$5,IF(ISNUMBER(SEARCH(Assumptions!$C$6,F986)),Assumptions!$D$6,IF(ISNUMBER(SEARCH(Assumptions!$C$7,F986)),Assumptions!$D$7,"Other Services"))),"Other Services"))</f>
        <v/>
      </c>
    </row>
    <row r="987" customFormat="false" ht="15" hidden="false" customHeight="false" outlineLevel="0" collapsed="false">
      <c r="I987" s="41" t="str">
        <f aca="false">IF(F987="","",IFERROR(IF(ISNUMBER(SEARCH(Assumptions!$C$5,F987)),Assumptions!$D$5,IF(ISNUMBER(SEARCH(Assumptions!$C$6,F987)),Assumptions!$D$6,IF(ISNUMBER(SEARCH(Assumptions!$C$7,F987)),Assumptions!$D$7,"Other Services"))),"Other Services"))</f>
        <v/>
      </c>
    </row>
    <row r="988" customFormat="false" ht="15" hidden="false" customHeight="false" outlineLevel="0" collapsed="false">
      <c r="I988" s="41" t="str">
        <f aca="false">IF(F988="","",IFERROR(IF(ISNUMBER(SEARCH(Assumptions!$C$5,F988)),Assumptions!$D$5,IF(ISNUMBER(SEARCH(Assumptions!$C$6,F988)),Assumptions!$D$6,IF(ISNUMBER(SEARCH(Assumptions!$C$7,F988)),Assumptions!$D$7,"Other Services"))),"Other Services"))</f>
        <v/>
      </c>
    </row>
    <row r="989" customFormat="false" ht="15" hidden="false" customHeight="false" outlineLevel="0" collapsed="false">
      <c r="I989" s="41" t="str">
        <f aca="false">IF(F989="","",IFERROR(IF(ISNUMBER(SEARCH(Assumptions!$C$5,F989)),Assumptions!$D$5,IF(ISNUMBER(SEARCH(Assumptions!$C$6,F989)),Assumptions!$D$6,IF(ISNUMBER(SEARCH(Assumptions!$C$7,F989)),Assumptions!$D$7,"Other Services"))),"Other Services"))</f>
        <v/>
      </c>
    </row>
    <row r="990" customFormat="false" ht="15" hidden="false" customHeight="false" outlineLevel="0" collapsed="false">
      <c r="I990" s="41" t="str">
        <f aca="false">IF(F990="","",IFERROR(IF(ISNUMBER(SEARCH(Assumptions!$C$5,F990)),Assumptions!$D$5,IF(ISNUMBER(SEARCH(Assumptions!$C$6,F990)),Assumptions!$D$6,IF(ISNUMBER(SEARCH(Assumptions!$C$7,F990)),Assumptions!$D$7,"Other Services"))),"Other Services"))</f>
        <v/>
      </c>
    </row>
    <row r="991" customFormat="false" ht="15" hidden="false" customHeight="false" outlineLevel="0" collapsed="false">
      <c r="I991" s="41" t="str">
        <f aca="false">IF(F991="","",IFERROR(IF(ISNUMBER(SEARCH(Assumptions!$C$5,F991)),Assumptions!$D$5,IF(ISNUMBER(SEARCH(Assumptions!$C$6,F991)),Assumptions!$D$6,IF(ISNUMBER(SEARCH(Assumptions!$C$7,F991)),Assumptions!$D$7,"Other Services"))),"Other Services"))</f>
        <v/>
      </c>
    </row>
    <row r="992" customFormat="false" ht="15" hidden="false" customHeight="false" outlineLevel="0" collapsed="false">
      <c r="I992" s="41" t="str">
        <f aca="false">IF(F992="","",IFERROR(IF(ISNUMBER(SEARCH(Assumptions!$C$5,F992)),Assumptions!$D$5,IF(ISNUMBER(SEARCH(Assumptions!$C$6,F992)),Assumptions!$D$6,IF(ISNUMBER(SEARCH(Assumptions!$C$7,F992)),Assumptions!$D$7,"Other Services"))),"Other Services"))</f>
        <v/>
      </c>
    </row>
    <row r="993" customFormat="false" ht="15" hidden="false" customHeight="false" outlineLevel="0" collapsed="false">
      <c r="I993" s="41" t="str">
        <f aca="false">IF(F993="","",IFERROR(IF(ISNUMBER(SEARCH(Assumptions!$C$5,F993)),Assumptions!$D$5,IF(ISNUMBER(SEARCH(Assumptions!$C$6,F993)),Assumptions!$D$6,IF(ISNUMBER(SEARCH(Assumptions!$C$7,F993)),Assumptions!$D$7,"Other Services"))),"Other Services"))</f>
        <v/>
      </c>
    </row>
    <row r="994" customFormat="false" ht="15" hidden="false" customHeight="false" outlineLevel="0" collapsed="false">
      <c r="I994" s="41" t="str">
        <f aca="false">IF(F994="","",IFERROR(IF(ISNUMBER(SEARCH(Assumptions!$C$5,F994)),Assumptions!$D$5,IF(ISNUMBER(SEARCH(Assumptions!$C$6,F994)),Assumptions!$D$6,IF(ISNUMBER(SEARCH(Assumptions!$C$7,F994)),Assumptions!$D$7,"Other Services"))),"Other Services"))</f>
        <v/>
      </c>
    </row>
    <row r="995" customFormat="false" ht="15" hidden="false" customHeight="false" outlineLevel="0" collapsed="false">
      <c r="I995" s="41" t="str">
        <f aca="false">IF(F995="","",IFERROR(IF(ISNUMBER(SEARCH(Assumptions!$C$5,F995)),Assumptions!$D$5,IF(ISNUMBER(SEARCH(Assumptions!$C$6,F995)),Assumptions!$D$6,IF(ISNUMBER(SEARCH(Assumptions!$C$7,F995)),Assumptions!$D$7,"Other Services"))),"Other Services"))</f>
        <v/>
      </c>
    </row>
    <row r="996" customFormat="false" ht="15" hidden="false" customHeight="false" outlineLevel="0" collapsed="false">
      <c r="I996" s="41" t="str">
        <f aca="false">IF(F996="","",IFERROR(IF(ISNUMBER(SEARCH(Assumptions!$C$5,F996)),Assumptions!$D$5,IF(ISNUMBER(SEARCH(Assumptions!$C$6,F996)),Assumptions!$D$6,IF(ISNUMBER(SEARCH(Assumptions!$C$7,F996)),Assumptions!$D$7,"Other Services"))),"Other Services"))</f>
        <v/>
      </c>
    </row>
    <row r="997" customFormat="false" ht="15" hidden="false" customHeight="false" outlineLevel="0" collapsed="false">
      <c r="I997" s="41" t="str">
        <f aca="false">IF(F997="","",IFERROR(IF(ISNUMBER(SEARCH(Assumptions!$C$5,F997)),Assumptions!$D$5,IF(ISNUMBER(SEARCH(Assumptions!$C$6,F997)),Assumptions!$D$6,IF(ISNUMBER(SEARCH(Assumptions!$C$7,F997)),Assumptions!$D$7,"Other Services"))),"Other Services"))</f>
        <v/>
      </c>
    </row>
    <row r="998" customFormat="false" ht="15" hidden="false" customHeight="false" outlineLevel="0" collapsed="false">
      <c r="I998" s="41" t="str">
        <f aca="false">IF(F998="","",IFERROR(IF(ISNUMBER(SEARCH(Assumptions!$C$5,F998)),Assumptions!$D$5,IF(ISNUMBER(SEARCH(Assumptions!$C$6,F998)),Assumptions!$D$6,IF(ISNUMBER(SEARCH(Assumptions!$C$7,F998)),Assumptions!$D$7,"Other Services"))),"Other Services"))</f>
        <v/>
      </c>
    </row>
    <row r="999" customFormat="false" ht="15" hidden="false" customHeight="false" outlineLevel="0" collapsed="false">
      <c r="I999" s="41" t="str">
        <f aca="false">IF(F999="","",IFERROR(IF(ISNUMBER(SEARCH(Assumptions!$C$5,F999)),Assumptions!$D$5,IF(ISNUMBER(SEARCH(Assumptions!$C$6,F999)),Assumptions!$D$6,IF(ISNUMBER(SEARCH(Assumptions!$C$7,F999)),Assumptions!$D$7,"Other Services"))),"Other Services"))</f>
        <v/>
      </c>
    </row>
    <row r="1000" customFormat="false" ht="15" hidden="false" customHeight="false" outlineLevel="0" collapsed="false">
      <c r="I1000" s="41" t="str">
        <f aca="false">IF(F1000="","",IFERROR(IF(ISNUMBER(SEARCH(Assumptions!$C$5,F1000)),Assumptions!$D$5,IF(ISNUMBER(SEARCH(Assumptions!$C$6,F1000)),Assumptions!$D$6,IF(ISNUMBER(SEARCH(Assumptions!$C$7,F1000)),Assumptions!$D$7,"Other Services"))),"Other Services"))</f>
        <v/>
      </c>
    </row>
    <row r="1001" customFormat="false" ht="15" hidden="false" customHeight="false" outlineLevel="0" collapsed="false">
      <c r="I1001" s="41" t="str">
        <f aca="false">IF(F1001="","",IFERROR(IF(ISNUMBER(SEARCH(Assumptions!$C$5,F1001)),Assumptions!$D$5,IF(ISNUMBER(SEARCH(Assumptions!$C$6,F1001)),Assumptions!$D$6,IF(ISNUMBER(SEARCH(Assumptions!$C$7,F1001)),Assumptions!$D$7,"Other Services"))),"Other Services"))</f>
        <v/>
      </c>
    </row>
    <row r="1002" customFormat="false" ht="15" hidden="false" customHeight="false" outlineLevel="0" collapsed="false">
      <c r="I1002" s="41" t="str">
        <f aca="false">IF(F1002="","",IFERROR(IF(ISNUMBER(SEARCH(Assumptions!$C$5,F1002)),Assumptions!$D$5,IF(ISNUMBER(SEARCH(Assumptions!$C$6,F1002)),Assumptions!$D$6,IF(ISNUMBER(SEARCH(Assumptions!$C$7,F1002)),Assumptions!$D$7,"Other Services"))),"Other Services"))</f>
        <v/>
      </c>
    </row>
    <row r="1003" customFormat="false" ht="15" hidden="false" customHeight="false" outlineLevel="0" collapsed="false">
      <c r="I1003" s="41" t="str">
        <f aca="false">IF(F1003="","",IFERROR(IF(ISNUMBER(SEARCH(Assumptions!$C$5,F1003)),Assumptions!$D$5,IF(ISNUMBER(SEARCH(Assumptions!$C$6,F1003)),Assumptions!$D$6,IF(ISNUMBER(SEARCH(Assumptions!$C$7,F1003)),Assumptions!$D$7,"Other Services"))),"Other Services"))</f>
        <v/>
      </c>
    </row>
    <row r="1004" customFormat="false" ht="15" hidden="false" customHeight="false" outlineLevel="0" collapsed="false">
      <c r="I1004" s="41" t="str">
        <f aca="false">IF(F1004="","",IFERROR(IF(ISNUMBER(SEARCH(Assumptions!$C$5,F1004)),Assumptions!$D$5,IF(ISNUMBER(SEARCH(Assumptions!$C$6,F1004)),Assumptions!$D$6,IF(ISNUMBER(SEARCH(Assumptions!$C$7,F1004)),Assumptions!$D$7,"Other Services"))),"Other Services"))</f>
        <v/>
      </c>
    </row>
    <row r="1005" customFormat="false" ht="15" hidden="false" customHeight="false" outlineLevel="0" collapsed="false">
      <c r="I1005" s="41" t="str">
        <f aca="false">IF(F1005="","",IFERROR(IF(ISNUMBER(SEARCH(Assumptions!$C$5,F1005)),Assumptions!$D$5,IF(ISNUMBER(SEARCH(Assumptions!$C$6,F1005)),Assumptions!$D$6,IF(ISNUMBER(SEARCH(Assumptions!$C$7,F1005)),Assumptions!$D$7,"Other Services"))),"Other Services"))</f>
        <v/>
      </c>
    </row>
    <row r="1006" customFormat="false" ht="15" hidden="false" customHeight="false" outlineLevel="0" collapsed="false">
      <c r="I1006" s="41" t="str">
        <f aca="false">IF(F1006="","",IFERROR(IF(ISNUMBER(SEARCH(Assumptions!$C$5,F1006)),Assumptions!$D$5,IF(ISNUMBER(SEARCH(Assumptions!$C$6,F1006)),Assumptions!$D$6,IF(ISNUMBER(SEARCH(Assumptions!$C$7,F1006)),Assumptions!$D$7,"Other Services"))),"Other Services"))</f>
        <v/>
      </c>
    </row>
    <row r="1007" customFormat="false" ht="15" hidden="false" customHeight="false" outlineLevel="0" collapsed="false">
      <c r="I1007" s="41" t="str">
        <f aca="false">IF(F1007="","",IFERROR(IF(ISNUMBER(SEARCH(Assumptions!$C$5,F1007)),Assumptions!$D$5,IF(ISNUMBER(SEARCH(Assumptions!$C$6,F1007)),Assumptions!$D$6,IF(ISNUMBER(SEARCH(Assumptions!$C$7,F1007)),Assumptions!$D$7,"Other Services"))),"Other Services"))</f>
        <v/>
      </c>
    </row>
    <row r="1008" customFormat="false" ht="15" hidden="false" customHeight="false" outlineLevel="0" collapsed="false">
      <c r="I1008" s="41" t="str">
        <f aca="false">IF(F1008="","",IFERROR(IF(ISNUMBER(SEARCH(Assumptions!$C$5,F1008)),Assumptions!$D$5,IF(ISNUMBER(SEARCH(Assumptions!$C$6,F1008)),Assumptions!$D$6,IF(ISNUMBER(SEARCH(Assumptions!$C$7,F1008)),Assumptions!$D$7,"Other Services"))),"Other Services"))</f>
        <v/>
      </c>
    </row>
    <row r="1009" customFormat="false" ht="15" hidden="false" customHeight="false" outlineLevel="0" collapsed="false">
      <c r="I1009" s="41" t="str">
        <f aca="false">IF(F1009="","",IFERROR(IF(ISNUMBER(SEARCH(Assumptions!$C$5,F1009)),Assumptions!$D$5,IF(ISNUMBER(SEARCH(Assumptions!$C$6,F1009)),Assumptions!$D$6,IF(ISNUMBER(SEARCH(Assumptions!$C$7,F1009)),Assumptions!$D$7,"Other Services"))),"Other Services"))</f>
        <v/>
      </c>
    </row>
    <row r="1010" customFormat="false" ht="15" hidden="false" customHeight="false" outlineLevel="0" collapsed="false">
      <c r="I1010" s="41" t="str">
        <f aca="false">IF(F1010="","",IFERROR(IF(ISNUMBER(SEARCH(Assumptions!$C$5,F1010)),Assumptions!$D$5,IF(ISNUMBER(SEARCH(Assumptions!$C$6,F1010)),Assumptions!$D$6,IF(ISNUMBER(SEARCH(Assumptions!$C$7,F1010)),Assumptions!$D$7,"Other Services"))),"Other Services"))</f>
        <v/>
      </c>
    </row>
    <row r="1011" customFormat="false" ht="15" hidden="false" customHeight="false" outlineLevel="0" collapsed="false">
      <c r="I1011" s="41" t="str">
        <f aca="false">IF(F1011="","",IFERROR(IF(ISNUMBER(SEARCH(Assumptions!$C$5,F1011)),Assumptions!$D$5,IF(ISNUMBER(SEARCH(Assumptions!$C$6,F1011)),Assumptions!$D$6,IF(ISNUMBER(SEARCH(Assumptions!$C$7,F1011)),Assumptions!$D$7,"Other Services"))),"Other Services"))</f>
        <v/>
      </c>
    </row>
    <row r="1012" customFormat="false" ht="15" hidden="false" customHeight="false" outlineLevel="0" collapsed="false">
      <c r="I1012" s="41" t="str">
        <f aca="false">IF(F1012="","",IFERROR(IF(ISNUMBER(SEARCH(Assumptions!$C$5,F1012)),Assumptions!$D$5,IF(ISNUMBER(SEARCH(Assumptions!$C$6,F1012)),Assumptions!$D$6,IF(ISNUMBER(SEARCH(Assumptions!$C$7,F1012)),Assumptions!$D$7,"Other Services"))),"Other Services"))</f>
        <v/>
      </c>
    </row>
    <row r="1013" customFormat="false" ht="15" hidden="false" customHeight="false" outlineLevel="0" collapsed="false">
      <c r="I1013" s="41" t="str">
        <f aca="false">IF(F1013="","",IFERROR(IF(ISNUMBER(SEARCH(Assumptions!$C$5,F1013)),Assumptions!$D$5,IF(ISNUMBER(SEARCH(Assumptions!$C$6,F1013)),Assumptions!$D$6,IF(ISNUMBER(SEARCH(Assumptions!$C$7,F1013)),Assumptions!$D$7,"Other Services"))),"Other Services"))</f>
        <v/>
      </c>
    </row>
    <row r="1014" customFormat="false" ht="15" hidden="false" customHeight="false" outlineLevel="0" collapsed="false">
      <c r="I1014" s="41" t="str">
        <f aca="false">IF(F1014="","",IFERROR(IF(ISNUMBER(SEARCH(Assumptions!$C$5,F1014)),Assumptions!$D$5,IF(ISNUMBER(SEARCH(Assumptions!$C$6,F1014)),Assumptions!$D$6,IF(ISNUMBER(SEARCH(Assumptions!$C$7,F1014)),Assumptions!$D$7,"Other Services"))),"Other Services"))</f>
        <v/>
      </c>
    </row>
    <row r="1015" customFormat="false" ht="15" hidden="false" customHeight="false" outlineLevel="0" collapsed="false">
      <c r="I1015" s="41" t="str">
        <f aca="false">IF(F1015="","",IFERROR(IF(ISNUMBER(SEARCH(Assumptions!$C$5,F1015)),Assumptions!$D$5,IF(ISNUMBER(SEARCH(Assumptions!$C$6,F1015)),Assumptions!$D$6,IF(ISNUMBER(SEARCH(Assumptions!$C$7,F1015)),Assumptions!$D$7,"Other Services"))),"Other Services"))</f>
        <v/>
      </c>
    </row>
    <row r="1016" customFormat="false" ht="15" hidden="false" customHeight="false" outlineLevel="0" collapsed="false">
      <c r="I1016" s="41" t="str">
        <f aca="false">IF(F1016="","",IFERROR(IF(ISNUMBER(SEARCH(Assumptions!$C$5,F1016)),Assumptions!$D$5,IF(ISNUMBER(SEARCH(Assumptions!$C$6,F1016)),Assumptions!$D$6,IF(ISNUMBER(SEARCH(Assumptions!$C$7,F1016)),Assumptions!$D$7,"Other Services"))),"Other Services"))</f>
        <v/>
      </c>
    </row>
    <row r="1017" customFormat="false" ht="15" hidden="false" customHeight="false" outlineLevel="0" collapsed="false">
      <c r="I1017" s="41" t="str">
        <f aca="false">IF(F1017="","",IFERROR(IF(ISNUMBER(SEARCH(Assumptions!$C$5,F1017)),Assumptions!$D$5,IF(ISNUMBER(SEARCH(Assumptions!$C$6,F1017)),Assumptions!$D$6,IF(ISNUMBER(SEARCH(Assumptions!$C$7,F1017)),Assumptions!$D$7,"Other Services"))),"Other Services"))</f>
        <v/>
      </c>
    </row>
    <row r="1018" customFormat="false" ht="15" hidden="false" customHeight="false" outlineLevel="0" collapsed="false">
      <c r="I1018" s="41" t="str">
        <f aca="false">IF(F1018="","",IFERROR(IF(ISNUMBER(SEARCH(Assumptions!$C$5,F1018)),Assumptions!$D$5,IF(ISNUMBER(SEARCH(Assumptions!$C$6,F1018)),Assumptions!$D$6,IF(ISNUMBER(SEARCH(Assumptions!$C$7,F1018)),Assumptions!$D$7,"Other Services"))),"Other Services"))</f>
        <v/>
      </c>
    </row>
    <row r="1019" customFormat="false" ht="15" hidden="false" customHeight="false" outlineLevel="0" collapsed="false">
      <c r="I1019" s="41" t="str">
        <f aca="false">IF(F1019="","",IFERROR(IF(ISNUMBER(SEARCH(Assumptions!$C$5,F1019)),Assumptions!$D$5,IF(ISNUMBER(SEARCH(Assumptions!$C$6,F1019)),Assumptions!$D$6,IF(ISNUMBER(SEARCH(Assumptions!$C$7,F1019)),Assumptions!$D$7,"Other Services"))),"Other Services"))</f>
        <v/>
      </c>
    </row>
    <row r="1020" customFormat="false" ht="15" hidden="false" customHeight="false" outlineLevel="0" collapsed="false">
      <c r="I1020" s="41" t="str">
        <f aca="false">IF(F1020="","",IFERROR(IF(ISNUMBER(SEARCH(Assumptions!$C$5,F1020)),Assumptions!$D$5,IF(ISNUMBER(SEARCH(Assumptions!$C$6,F1020)),Assumptions!$D$6,IF(ISNUMBER(SEARCH(Assumptions!$C$7,F1020)),Assumptions!$D$7,"Other Services"))),"Other Services"))</f>
        <v/>
      </c>
    </row>
    <row r="1021" customFormat="false" ht="15" hidden="false" customHeight="false" outlineLevel="0" collapsed="false">
      <c r="I1021" s="41" t="str">
        <f aca="false">IF(F1021="","",IFERROR(IF(ISNUMBER(SEARCH(Assumptions!$C$5,F1021)),Assumptions!$D$5,IF(ISNUMBER(SEARCH(Assumptions!$C$6,F1021)),Assumptions!$D$6,IF(ISNUMBER(SEARCH(Assumptions!$C$7,F1021)),Assumptions!$D$7,"Other Services"))),"Other Services"))</f>
        <v/>
      </c>
    </row>
    <row r="1022" customFormat="false" ht="15" hidden="false" customHeight="false" outlineLevel="0" collapsed="false">
      <c r="I1022" s="41" t="str">
        <f aca="false">IF(F1022="","",IFERROR(IF(ISNUMBER(SEARCH(Assumptions!$C$5,F1022)),Assumptions!$D$5,IF(ISNUMBER(SEARCH(Assumptions!$C$6,F1022)),Assumptions!$D$6,IF(ISNUMBER(SEARCH(Assumptions!$C$7,F1022)),Assumptions!$D$7,"Other Services"))),"Other Services"))</f>
        <v/>
      </c>
    </row>
    <row r="1023" customFormat="false" ht="15" hidden="false" customHeight="false" outlineLevel="0" collapsed="false">
      <c r="I1023" s="41" t="str">
        <f aca="false">IF(F1023="","",IFERROR(IF(ISNUMBER(SEARCH(Assumptions!$C$5,F1023)),Assumptions!$D$5,IF(ISNUMBER(SEARCH(Assumptions!$C$6,F1023)),Assumptions!$D$6,IF(ISNUMBER(SEARCH(Assumptions!$C$7,F1023)),Assumptions!$D$7,"Other Services"))),"Other Services"))</f>
        <v/>
      </c>
    </row>
    <row r="1024" customFormat="false" ht="15" hidden="false" customHeight="false" outlineLevel="0" collapsed="false">
      <c r="I1024" s="41" t="str">
        <f aca="false">IF(F1024="","",IFERROR(IF(ISNUMBER(SEARCH(Assumptions!$C$5,F1024)),Assumptions!$D$5,IF(ISNUMBER(SEARCH(Assumptions!$C$6,F1024)),Assumptions!$D$6,IF(ISNUMBER(SEARCH(Assumptions!$C$7,F1024)),Assumptions!$D$7,"Other Services"))),"Other Services"))</f>
        <v/>
      </c>
    </row>
    <row r="1025" customFormat="false" ht="15" hidden="false" customHeight="false" outlineLevel="0" collapsed="false">
      <c r="I1025" s="41" t="str">
        <f aca="false">IF(F1025="","",IFERROR(IF(ISNUMBER(SEARCH(Assumptions!$C$5,F1025)),Assumptions!$D$5,IF(ISNUMBER(SEARCH(Assumptions!$C$6,F1025)),Assumptions!$D$6,IF(ISNUMBER(SEARCH(Assumptions!$C$7,F1025)),Assumptions!$D$7,"Other Services"))),"Other Services"))</f>
        <v/>
      </c>
    </row>
    <row r="1026" customFormat="false" ht="15" hidden="false" customHeight="false" outlineLevel="0" collapsed="false">
      <c r="I1026" s="41" t="str">
        <f aca="false">IF(F1026="","",IFERROR(IF(ISNUMBER(SEARCH(Assumptions!$C$5,F1026)),Assumptions!$D$5,IF(ISNUMBER(SEARCH(Assumptions!$C$6,F1026)),Assumptions!$D$6,IF(ISNUMBER(SEARCH(Assumptions!$C$7,F1026)),Assumptions!$D$7,"Other Services"))),"Other Services"))</f>
        <v/>
      </c>
    </row>
    <row r="1027" customFormat="false" ht="15" hidden="false" customHeight="false" outlineLevel="0" collapsed="false">
      <c r="I1027" s="41" t="str">
        <f aca="false">IF(F1027="","",IFERROR(IF(ISNUMBER(SEARCH(Assumptions!$C$5,F1027)),Assumptions!$D$5,IF(ISNUMBER(SEARCH(Assumptions!$C$6,F1027)),Assumptions!$D$6,IF(ISNUMBER(SEARCH(Assumptions!$C$7,F1027)),Assumptions!$D$7,"Other Services"))),"Other Services"))</f>
        <v/>
      </c>
    </row>
    <row r="1028" customFormat="false" ht="15" hidden="false" customHeight="false" outlineLevel="0" collapsed="false">
      <c r="I1028" s="41" t="str">
        <f aca="false">IF(F1028="","",IFERROR(IF(ISNUMBER(SEARCH(Assumptions!$C$5,F1028)),Assumptions!$D$5,IF(ISNUMBER(SEARCH(Assumptions!$C$6,F1028)),Assumptions!$D$6,IF(ISNUMBER(SEARCH(Assumptions!$C$7,F1028)),Assumptions!$D$7,"Other Services"))),"Other Services"))</f>
        <v/>
      </c>
    </row>
    <row r="1029" customFormat="false" ht="15" hidden="false" customHeight="false" outlineLevel="0" collapsed="false">
      <c r="I1029" s="41" t="str">
        <f aca="false">IF(F1029="","",IFERROR(IF(ISNUMBER(SEARCH(Assumptions!$C$5,F1029)),Assumptions!$D$5,IF(ISNUMBER(SEARCH(Assumptions!$C$6,F1029)),Assumptions!$D$6,IF(ISNUMBER(SEARCH(Assumptions!$C$7,F1029)),Assumptions!$D$7,"Other Services"))),"Other Services"))</f>
        <v/>
      </c>
    </row>
    <row r="1030" customFormat="false" ht="15" hidden="false" customHeight="false" outlineLevel="0" collapsed="false">
      <c r="I1030" s="41" t="str">
        <f aca="false">IF(F1030="","",IFERROR(IF(ISNUMBER(SEARCH(Assumptions!$C$5,F1030)),Assumptions!$D$5,IF(ISNUMBER(SEARCH(Assumptions!$C$6,F1030)),Assumptions!$D$6,IF(ISNUMBER(SEARCH(Assumptions!$C$7,F1030)),Assumptions!$D$7,"Other Services"))),"Other Services"))</f>
        <v/>
      </c>
    </row>
    <row r="1031" customFormat="false" ht="15" hidden="false" customHeight="false" outlineLevel="0" collapsed="false">
      <c r="I1031" s="41" t="str">
        <f aca="false">IF(F1031="","",IFERROR(IF(ISNUMBER(SEARCH(Assumptions!$C$5,F1031)),Assumptions!$D$5,IF(ISNUMBER(SEARCH(Assumptions!$C$6,F1031)),Assumptions!$D$6,IF(ISNUMBER(SEARCH(Assumptions!$C$7,F1031)),Assumptions!$D$7,"Other Services"))),"Other Services"))</f>
        <v/>
      </c>
    </row>
    <row r="1032" customFormat="false" ht="15" hidden="false" customHeight="false" outlineLevel="0" collapsed="false">
      <c r="I1032" s="41" t="str">
        <f aca="false">IF(F1032="","",IFERROR(IF(ISNUMBER(SEARCH(Assumptions!$C$5,F1032)),Assumptions!$D$5,IF(ISNUMBER(SEARCH(Assumptions!$C$6,F1032)),Assumptions!$D$6,IF(ISNUMBER(SEARCH(Assumptions!$C$7,F1032)),Assumptions!$D$7,"Other Services"))),"Other Services"))</f>
        <v/>
      </c>
    </row>
    <row r="1033" customFormat="false" ht="15" hidden="false" customHeight="false" outlineLevel="0" collapsed="false">
      <c r="I1033" s="41" t="str">
        <f aca="false">IF(F1033="","",IFERROR(IF(ISNUMBER(SEARCH(Assumptions!$C$5,F1033)),Assumptions!$D$5,IF(ISNUMBER(SEARCH(Assumptions!$C$6,F1033)),Assumptions!$D$6,IF(ISNUMBER(SEARCH(Assumptions!$C$7,F1033)),Assumptions!$D$7,"Other Services"))),"Other Services"))</f>
        <v/>
      </c>
    </row>
    <row r="1034" customFormat="false" ht="15" hidden="false" customHeight="false" outlineLevel="0" collapsed="false">
      <c r="I1034" s="41" t="str">
        <f aca="false">IF(F1034="","",IFERROR(IF(ISNUMBER(SEARCH(Assumptions!$C$5,F1034)),Assumptions!$D$5,IF(ISNUMBER(SEARCH(Assumptions!$C$6,F1034)),Assumptions!$D$6,IF(ISNUMBER(SEARCH(Assumptions!$C$7,F1034)),Assumptions!$D$7,"Other Services"))),"Other Services"))</f>
        <v/>
      </c>
    </row>
    <row r="1035" customFormat="false" ht="15" hidden="false" customHeight="false" outlineLevel="0" collapsed="false">
      <c r="I1035" s="41" t="str">
        <f aca="false">IF(F1035="","",IFERROR(IF(ISNUMBER(SEARCH(Assumptions!$C$5,F1035)),Assumptions!$D$5,IF(ISNUMBER(SEARCH(Assumptions!$C$6,F1035)),Assumptions!$D$6,IF(ISNUMBER(SEARCH(Assumptions!$C$7,F1035)),Assumptions!$D$7,"Other Services"))),"Other Services"))</f>
        <v/>
      </c>
    </row>
    <row r="1036" customFormat="false" ht="15" hidden="false" customHeight="false" outlineLevel="0" collapsed="false">
      <c r="I1036" s="41" t="str">
        <f aca="false">IF(F1036="","",IFERROR(IF(ISNUMBER(SEARCH(Assumptions!$C$5,F1036)),Assumptions!$D$5,IF(ISNUMBER(SEARCH(Assumptions!$C$6,F1036)),Assumptions!$D$6,IF(ISNUMBER(SEARCH(Assumptions!$C$7,F1036)),Assumptions!$D$7,"Other Services"))),"Other Services"))</f>
        <v/>
      </c>
    </row>
    <row r="1037" customFormat="false" ht="15" hidden="false" customHeight="false" outlineLevel="0" collapsed="false">
      <c r="I1037" s="41" t="str">
        <f aca="false">IF(F1037="","",IFERROR(IF(ISNUMBER(SEARCH(Assumptions!$C$5,F1037)),Assumptions!$D$5,IF(ISNUMBER(SEARCH(Assumptions!$C$6,F1037)),Assumptions!$D$6,IF(ISNUMBER(SEARCH(Assumptions!$C$7,F1037)),Assumptions!$D$7,"Other Services"))),"Other Services"))</f>
        <v/>
      </c>
    </row>
    <row r="1038" customFormat="false" ht="15" hidden="false" customHeight="false" outlineLevel="0" collapsed="false">
      <c r="I1038" s="41" t="str">
        <f aca="false">IF(F1038="","",IFERROR(IF(ISNUMBER(SEARCH(Assumptions!$C$5,F1038)),Assumptions!$D$5,IF(ISNUMBER(SEARCH(Assumptions!$C$6,F1038)),Assumptions!$D$6,IF(ISNUMBER(SEARCH(Assumptions!$C$7,F1038)),Assumptions!$D$7,"Other Services"))),"Other Services"))</f>
        <v/>
      </c>
    </row>
    <row r="1039" customFormat="false" ht="15" hidden="false" customHeight="false" outlineLevel="0" collapsed="false">
      <c r="I1039" s="41" t="str">
        <f aca="false">IF(F1039="","",IFERROR(IF(ISNUMBER(SEARCH(Assumptions!$C$5,F1039)),Assumptions!$D$5,IF(ISNUMBER(SEARCH(Assumptions!$C$6,F1039)),Assumptions!$D$6,IF(ISNUMBER(SEARCH(Assumptions!$C$7,F1039)),Assumptions!$D$7,"Other Services"))),"Other Services"))</f>
        <v/>
      </c>
    </row>
    <row r="1040" customFormat="false" ht="15" hidden="false" customHeight="false" outlineLevel="0" collapsed="false">
      <c r="I1040" s="41" t="str">
        <f aca="false">IF(F1040="","",IFERROR(IF(ISNUMBER(SEARCH(Assumptions!$C$5,F1040)),Assumptions!$D$5,IF(ISNUMBER(SEARCH(Assumptions!$C$6,F1040)),Assumptions!$D$6,IF(ISNUMBER(SEARCH(Assumptions!$C$7,F1040)),Assumptions!$D$7,"Other Services"))),"Other Services"))</f>
        <v/>
      </c>
    </row>
    <row r="1041" customFormat="false" ht="15" hidden="false" customHeight="false" outlineLevel="0" collapsed="false">
      <c r="I1041" s="41" t="str">
        <f aca="false">IF(F1041="","",IFERROR(IF(ISNUMBER(SEARCH(Assumptions!$C$5,F1041)),Assumptions!$D$5,IF(ISNUMBER(SEARCH(Assumptions!$C$6,F1041)),Assumptions!$D$6,IF(ISNUMBER(SEARCH(Assumptions!$C$7,F1041)),Assumptions!$D$7,"Other Services"))),"Other Services"))</f>
        <v/>
      </c>
    </row>
    <row r="1042" customFormat="false" ht="15" hidden="false" customHeight="false" outlineLevel="0" collapsed="false">
      <c r="I1042" s="41" t="str">
        <f aca="false">IF(F1042="","",IFERROR(IF(ISNUMBER(SEARCH(Assumptions!$C$5,F1042)),Assumptions!$D$5,IF(ISNUMBER(SEARCH(Assumptions!$C$6,F1042)),Assumptions!$D$6,IF(ISNUMBER(SEARCH(Assumptions!$C$7,F1042)),Assumptions!$D$7,"Other Services"))),"Other Services"))</f>
        <v/>
      </c>
    </row>
    <row r="1043" customFormat="false" ht="15" hidden="false" customHeight="false" outlineLevel="0" collapsed="false">
      <c r="I1043" s="41" t="str">
        <f aca="false">IF(F1043="","",IFERROR(IF(ISNUMBER(SEARCH(Assumptions!$C$5,F1043)),Assumptions!$D$5,IF(ISNUMBER(SEARCH(Assumptions!$C$6,F1043)),Assumptions!$D$6,IF(ISNUMBER(SEARCH(Assumptions!$C$7,F1043)),Assumptions!$D$7,"Other Services"))),"Other Services"))</f>
        <v/>
      </c>
    </row>
    <row r="1044" customFormat="false" ht="15" hidden="false" customHeight="false" outlineLevel="0" collapsed="false">
      <c r="I1044" s="41" t="str">
        <f aca="false">IF(F1044="","",IFERROR(IF(ISNUMBER(SEARCH(Assumptions!$C$5,F1044)),Assumptions!$D$5,IF(ISNUMBER(SEARCH(Assumptions!$C$6,F1044)),Assumptions!$D$6,IF(ISNUMBER(SEARCH(Assumptions!$C$7,F1044)),Assumptions!$D$7,"Other Services"))),"Other Services"))</f>
        <v/>
      </c>
    </row>
    <row r="1045" customFormat="false" ht="15" hidden="false" customHeight="false" outlineLevel="0" collapsed="false">
      <c r="I1045" s="41" t="str">
        <f aca="false">IF(F1045="","",IFERROR(IF(ISNUMBER(SEARCH(Assumptions!$C$5,F1045)),Assumptions!$D$5,IF(ISNUMBER(SEARCH(Assumptions!$C$6,F1045)),Assumptions!$D$6,IF(ISNUMBER(SEARCH(Assumptions!$C$7,F1045)),Assumptions!$D$7,"Other Services"))),"Other Services"))</f>
        <v/>
      </c>
    </row>
    <row r="1046" customFormat="false" ht="15" hidden="false" customHeight="false" outlineLevel="0" collapsed="false">
      <c r="I1046" s="41" t="str">
        <f aca="false">IF(F1046="","",IFERROR(IF(ISNUMBER(SEARCH(Assumptions!$C$5,F1046)),Assumptions!$D$5,IF(ISNUMBER(SEARCH(Assumptions!$C$6,F1046)),Assumptions!$D$6,IF(ISNUMBER(SEARCH(Assumptions!$C$7,F1046)),Assumptions!$D$7,"Other Services"))),"Other Services"))</f>
        <v/>
      </c>
    </row>
    <row r="1047" customFormat="false" ht="15" hidden="false" customHeight="false" outlineLevel="0" collapsed="false">
      <c r="I1047" s="41" t="str">
        <f aca="false">IF(F1047="","",IFERROR(IF(ISNUMBER(SEARCH(Assumptions!$C$5,F1047)),Assumptions!$D$5,IF(ISNUMBER(SEARCH(Assumptions!$C$6,F1047)),Assumptions!$D$6,IF(ISNUMBER(SEARCH(Assumptions!$C$7,F1047)),Assumptions!$D$7,"Other Services"))),"Other Services"))</f>
        <v/>
      </c>
    </row>
    <row r="1048" customFormat="false" ht="15" hidden="false" customHeight="false" outlineLevel="0" collapsed="false">
      <c r="I1048" s="41" t="str">
        <f aca="false">IF(F1048="","",IFERROR(IF(ISNUMBER(SEARCH(Assumptions!$C$5,F1048)),Assumptions!$D$5,IF(ISNUMBER(SEARCH(Assumptions!$C$6,F1048)),Assumptions!$D$6,IF(ISNUMBER(SEARCH(Assumptions!$C$7,F1048)),Assumptions!$D$7,"Other Services"))),"Other Services"))</f>
        <v/>
      </c>
    </row>
    <row r="1049" customFormat="false" ht="15" hidden="false" customHeight="false" outlineLevel="0" collapsed="false">
      <c r="I1049" s="41" t="str">
        <f aca="false">IF(F1049="","",IFERROR(IF(ISNUMBER(SEARCH(Assumptions!$C$5,F1049)),Assumptions!$D$5,IF(ISNUMBER(SEARCH(Assumptions!$C$6,F1049)),Assumptions!$D$6,IF(ISNUMBER(SEARCH(Assumptions!$C$7,F1049)),Assumptions!$D$7,"Other Services"))),"Other Services"))</f>
        <v/>
      </c>
    </row>
    <row r="1050" customFormat="false" ht="15" hidden="false" customHeight="false" outlineLevel="0" collapsed="false">
      <c r="I1050" s="41" t="str">
        <f aca="false">IF(F1050="","",IFERROR(IF(ISNUMBER(SEARCH(Assumptions!$C$5,F1050)),Assumptions!$D$5,IF(ISNUMBER(SEARCH(Assumptions!$C$6,F1050)),Assumptions!$D$6,IF(ISNUMBER(SEARCH(Assumptions!$C$7,F1050)),Assumptions!$D$7,"Other Services"))),"Other Services"))</f>
        <v/>
      </c>
    </row>
    <row r="1051" customFormat="false" ht="15" hidden="false" customHeight="false" outlineLevel="0" collapsed="false">
      <c r="I1051" s="41" t="str">
        <f aca="false">IF(F1051="","",IFERROR(IF(ISNUMBER(SEARCH(Assumptions!$C$5,F1051)),Assumptions!$D$5,IF(ISNUMBER(SEARCH(Assumptions!$C$6,F1051)),Assumptions!$D$6,IF(ISNUMBER(SEARCH(Assumptions!$C$7,F1051)),Assumptions!$D$7,"Other Services"))),"Other Services"))</f>
        <v/>
      </c>
    </row>
    <row r="1052" customFormat="false" ht="15" hidden="false" customHeight="false" outlineLevel="0" collapsed="false">
      <c r="I1052" s="41" t="str">
        <f aca="false">IF(F1052="","",IFERROR(IF(ISNUMBER(SEARCH(Assumptions!$C$5,F1052)),Assumptions!$D$5,IF(ISNUMBER(SEARCH(Assumptions!$C$6,F1052)),Assumptions!$D$6,IF(ISNUMBER(SEARCH(Assumptions!$C$7,F1052)),Assumptions!$D$7,"Other Services"))),"Other Services"))</f>
        <v/>
      </c>
    </row>
    <row r="1053" customFormat="false" ht="15" hidden="false" customHeight="false" outlineLevel="0" collapsed="false">
      <c r="I1053" s="41" t="str">
        <f aca="false">IF(F1053="","",IFERROR(IF(ISNUMBER(SEARCH(Assumptions!$C$5,F1053)),Assumptions!$D$5,IF(ISNUMBER(SEARCH(Assumptions!$C$6,F1053)),Assumptions!$D$6,IF(ISNUMBER(SEARCH(Assumptions!$C$7,F1053)),Assumptions!$D$7,"Other Services"))),"Other Services"))</f>
        <v/>
      </c>
    </row>
    <row r="1054" customFormat="false" ht="15" hidden="false" customHeight="false" outlineLevel="0" collapsed="false">
      <c r="I1054" s="41" t="str">
        <f aca="false">IF(F1054="","",IFERROR(IF(ISNUMBER(SEARCH(Assumptions!$C$5,F1054)),Assumptions!$D$5,IF(ISNUMBER(SEARCH(Assumptions!$C$6,F1054)),Assumptions!$D$6,IF(ISNUMBER(SEARCH(Assumptions!$C$7,F1054)),Assumptions!$D$7,"Other Services"))),"Other Services"))</f>
        <v/>
      </c>
    </row>
    <row r="1055" customFormat="false" ht="15" hidden="false" customHeight="false" outlineLevel="0" collapsed="false">
      <c r="I1055" s="41" t="str">
        <f aca="false">IF(F1055="","",IFERROR(IF(ISNUMBER(SEARCH(Assumptions!$C$5,F1055)),Assumptions!$D$5,IF(ISNUMBER(SEARCH(Assumptions!$C$6,F1055)),Assumptions!$D$6,IF(ISNUMBER(SEARCH(Assumptions!$C$7,F1055)),Assumptions!$D$7,"Other Services"))),"Other Services"))</f>
        <v/>
      </c>
    </row>
    <row r="1056" customFormat="false" ht="15" hidden="false" customHeight="false" outlineLevel="0" collapsed="false">
      <c r="I1056" s="41" t="str">
        <f aca="false">IF(F1056="","",IFERROR(IF(ISNUMBER(SEARCH(Assumptions!$C$5,F1056)),Assumptions!$D$5,IF(ISNUMBER(SEARCH(Assumptions!$C$6,F1056)),Assumptions!$D$6,IF(ISNUMBER(SEARCH(Assumptions!$C$7,F1056)),Assumptions!$D$7,"Other Services"))),"Other Services"))</f>
        <v/>
      </c>
    </row>
    <row r="1057" customFormat="false" ht="15" hidden="false" customHeight="false" outlineLevel="0" collapsed="false">
      <c r="I1057" s="41" t="str">
        <f aca="false">IF(F1057="","",IFERROR(IF(ISNUMBER(SEARCH(Assumptions!$C$5,F1057)),Assumptions!$D$5,IF(ISNUMBER(SEARCH(Assumptions!$C$6,F1057)),Assumptions!$D$6,IF(ISNUMBER(SEARCH(Assumptions!$C$7,F1057)),Assumptions!$D$7,"Other Services"))),"Other Services"))</f>
        <v/>
      </c>
    </row>
    <row r="1058" customFormat="false" ht="15" hidden="false" customHeight="false" outlineLevel="0" collapsed="false">
      <c r="I1058" s="41" t="str">
        <f aca="false">IF(F1058="","",IFERROR(IF(ISNUMBER(SEARCH(Assumptions!$C$5,F1058)),Assumptions!$D$5,IF(ISNUMBER(SEARCH(Assumptions!$C$6,F1058)),Assumptions!$D$6,IF(ISNUMBER(SEARCH(Assumptions!$C$7,F1058)),Assumptions!$D$7,"Other Services"))),"Other Services"))</f>
        <v/>
      </c>
    </row>
    <row r="1059" customFormat="false" ht="15" hidden="false" customHeight="false" outlineLevel="0" collapsed="false">
      <c r="I1059" s="41" t="str">
        <f aca="false">IF(F1059="","",IFERROR(IF(ISNUMBER(SEARCH(Assumptions!$C$5,F1059)),Assumptions!$D$5,IF(ISNUMBER(SEARCH(Assumptions!$C$6,F1059)),Assumptions!$D$6,IF(ISNUMBER(SEARCH(Assumptions!$C$7,F1059)),Assumptions!$D$7,"Other Services"))),"Other Services"))</f>
        <v/>
      </c>
    </row>
    <row r="1060" customFormat="false" ht="15" hidden="false" customHeight="false" outlineLevel="0" collapsed="false">
      <c r="I1060" s="41" t="str">
        <f aca="false">IF(F1060="","",IFERROR(IF(ISNUMBER(SEARCH(Assumptions!$C$5,F1060)),Assumptions!$D$5,IF(ISNUMBER(SEARCH(Assumptions!$C$6,F1060)),Assumptions!$D$6,IF(ISNUMBER(SEARCH(Assumptions!$C$7,F1060)),Assumptions!$D$7,"Other Services"))),"Other Services"))</f>
        <v/>
      </c>
    </row>
    <row r="1061" customFormat="false" ht="15" hidden="false" customHeight="false" outlineLevel="0" collapsed="false">
      <c r="I1061" s="41" t="str">
        <f aca="false">IF(F1061="","",IFERROR(IF(ISNUMBER(SEARCH(Assumptions!$C$5,F1061)),Assumptions!$D$5,IF(ISNUMBER(SEARCH(Assumptions!$C$6,F1061)),Assumptions!$D$6,IF(ISNUMBER(SEARCH(Assumptions!$C$7,F1061)),Assumptions!$D$7,"Other Services"))),"Other Services"))</f>
        <v/>
      </c>
    </row>
    <row r="1062" customFormat="false" ht="15" hidden="false" customHeight="false" outlineLevel="0" collapsed="false">
      <c r="I1062" s="41" t="str">
        <f aca="false">IF(F1062="","",IFERROR(IF(ISNUMBER(SEARCH(Assumptions!$C$5,F1062)),Assumptions!$D$5,IF(ISNUMBER(SEARCH(Assumptions!$C$6,F1062)),Assumptions!$D$6,IF(ISNUMBER(SEARCH(Assumptions!$C$7,F1062)),Assumptions!$D$7,"Other Services"))),"Other Services"))</f>
        <v/>
      </c>
    </row>
    <row r="1063" customFormat="false" ht="15" hidden="false" customHeight="false" outlineLevel="0" collapsed="false">
      <c r="I1063" s="41" t="str">
        <f aca="false">IF(F1063="","",IFERROR(IF(ISNUMBER(SEARCH(Assumptions!$C$5,F1063)),Assumptions!$D$5,IF(ISNUMBER(SEARCH(Assumptions!$C$6,F1063)),Assumptions!$D$6,IF(ISNUMBER(SEARCH(Assumptions!$C$7,F1063)),Assumptions!$D$7,"Other Services"))),"Other Services"))</f>
        <v/>
      </c>
    </row>
    <row r="1064" customFormat="false" ht="15" hidden="false" customHeight="false" outlineLevel="0" collapsed="false">
      <c r="I1064" s="41" t="str">
        <f aca="false">IF(F1064="","",IFERROR(IF(ISNUMBER(SEARCH(Assumptions!$C$5,F1064)),Assumptions!$D$5,IF(ISNUMBER(SEARCH(Assumptions!$C$6,F1064)),Assumptions!$D$6,IF(ISNUMBER(SEARCH(Assumptions!$C$7,F1064)),Assumptions!$D$7,"Other Services"))),"Other Services"))</f>
        <v/>
      </c>
    </row>
    <row r="1065" customFormat="false" ht="15" hidden="false" customHeight="false" outlineLevel="0" collapsed="false">
      <c r="I1065" s="41" t="str">
        <f aca="false">IF(F1065="","",IFERROR(IF(ISNUMBER(SEARCH(Assumptions!$C$5,F1065)),Assumptions!$D$5,IF(ISNUMBER(SEARCH(Assumptions!$C$6,F1065)),Assumptions!$D$6,IF(ISNUMBER(SEARCH(Assumptions!$C$7,F1065)),Assumptions!$D$7,"Other Services"))),"Other Services"))</f>
        <v/>
      </c>
    </row>
    <row r="1066" customFormat="false" ht="15" hidden="false" customHeight="false" outlineLevel="0" collapsed="false">
      <c r="I1066" s="41" t="str">
        <f aca="false">IF(F1066="","",IFERROR(IF(ISNUMBER(SEARCH(Assumptions!$C$5,F1066)),Assumptions!$D$5,IF(ISNUMBER(SEARCH(Assumptions!$C$6,F1066)),Assumptions!$D$6,IF(ISNUMBER(SEARCH(Assumptions!$C$7,F1066)),Assumptions!$D$7,"Other Services"))),"Other Services"))</f>
        <v/>
      </c>
    </row>
    <row r="1067" customFormat="false" ht="15" hidden="false" customHeight="false" outlineLevel="0" collapsed="false">
      <c r="I1067" s="41" t="str">
        <f aca="false">IF(F1067="","",IFERROR(IF(ISNUMBER(SEARCH(Assumptions!$C$5,F1067)),Assumptions!$D$5,IF(ISNUMBER(SEARCH(Assumptions!$C$6,F1067)),Assumptions!$D$6,IF(ISNUMBER(SEARCH(Assumptions!$C$7,F1067)),Assumptions!$D$7,"Other Services"))),"Other Services"))</f>
        <v/>
      </c>
    </row>
    <row r="1068" customFormat="false" ht="15" hidden="false" customHeight="false" outlineLevel="0" collapsed="false">
      <c r="I1068" s="41" t="str">
        <f aca="false">IF(F1068="","",IFERROR(IF(ISNUMBER(SEARCH(Assumptions!$C$5,F1068)),Assumptions!$D$5,IF(ISNUMBER(SEARCH(Assumptions!$C$6,F1068)),Assumptions!$D$6,IF(ISNUMBER(SEARCH(Assumptions!$C$7,F1068)),Assumptions!$D$7,"Other Services"))),"Other Services"))</f>
        <v/>
      </c>
    </row>
    <row r="1069" customFormat="false" ht="15" hidden="false" customHeight="false" outlineLevel="0" collapsed="false">
      <c r="I1069" s="41" t="str">
        <f aca="false">IF(F1069="","",IFERROR(IF(ISNUMBER(SEARCH(Assumptions!$C$5,F1069)),Assumptions!$D$5,IF(ISNUMBER(SEARCH(Assumptions!$C$6,F1069)),Assumptions!$D$6,IF(ISNUMBER(SEARCH(Assumptions!$C$7,F1069)),Assumptions!$D$7,"Other Services"))),"Other Services"))</f>
        <v/>
      </c>
    </row>
    <row r="1070" customFormat="false" ht="15" hidden="false" customHeight="false" outlineLevel="0" collapsed="false">
      <c r="I1070" s="41" t="str">
        <f aca="false">IF(F1070="","",IFERROR(IF(ISNUMBER(SEARCH(Assumptions!$C$5,F1070)),Assumptions!$D$5,IF(ISNUMBER(SEARCH(Assumptions!$C$6,F1070)),Assumptions!$D$6,IF(ISNUMBER(SEARCH(Assumptions!$C$7,F1070)),Assumptions!$D$7,"Other Services"))),"Other Services"))</f>
        <v/>
      </c>
    </row>
    <row r="1071" customFormat="false" ht="15" hidden="false" customHeight="false" outlineLevel="0" collapsed="false">
      <c r="I1071" s="41" t="str">
        <f aca="false">IF(F1071="","",IFERROR(IF(ISNUMBER(SEARCH(Assumptions!$C$5,F1071)),Assumptions!$D$5,IF(ISNUMBER(SEARCH(Assumptions!$C$6,F1071)),Assumptions!$D$6,IF(ISNUMBER(SEARCH(Assumptions!$C$7,F1071)),Assumptions!$D$7,"Other Services"))),"Other Services"))</f>
        <v/>
      </c>
    </row>
    <row r="1072" customFormat="false" ht="15" hidden="false" customHeight="false" outlineLevel="0" collapsed="false">
      <c r="I1072" s="41" t="str">
        <f aca="false">IF(F1072="","",IFERROR(IF(ISNUMBER(SEARCH(Assumptions!$C$5,F1072)),Assumptions!$D$5,IF(ISNUMBER(SEARCH(Assumptions!$C$6,F1072)),Assumptions!$D$6,IF(ISNUMBER(SEARCH(Assumptions!$C$7,F1072)),Assumptions!$D$7,"Other Services"))),"Other Services"))</f>
        <v/>
      </c>
    </row>
    <row r="1073" customFormat="false" ht="15" hidden="false" customHeight="false" outlineLevel="0" collapsed="false">
      <c r="I1073" s="41" t="str">
        <f aca="false">IF(F1073="","",IFERROR(IF(ISNUMBER(SEARCH(Assumptions!$C$5,F1073)),Assumptions!$D$5,IF(ISNUMBER(SEARCH(Assumptions!$C$6,F1073)),Assumptions!$D$6,IF(ISNUMBER(SEARCH(Assumptions!$C$7,F1073)),Assumptions!$D$7,"Other Services"))),"Other Services"))</f>
        <v/>
      </c>
    </row>
    <row r="1074" customFormat="false" ht="15" hidden="false" customHeight="false" outlineLevel="0" collapsed="false">
      <c r="I1074" s="41" t="str">
        <f aca="false">IF(F1074="","",IFERROR(IF(ISNUMBER(SEARCH(Assumptions!$C$5,F1074)),Assumptions!$D$5,IF(ISNUMBER(SEARCH(Assumptions!$C$6,F1074)),Assumptions!$D$6,IF(ISNUMBER(SEARCH(Assumptions!$C$7,F1074)),Assumptions!$D$7,"Other Services"))),"Other Services"))</f>
        <v/>
      </c>
    </row>
    <row r="1075" customFormat="false" ht="15" hidden="false" customHeight="false" outlineLevel="0" collapsed="false">
      <c r="I1075" s="41" t="str">
        <f aca="false">IF(F1075="","",IFERROR(IF(ISNUMBER(SEARCH(Assumptions!$C$5,F1075)),Assumptions!$D$5,IF(ISNUMBER(SEARCH(Assumptions!$C$6,F1075)),Assumptions!$D$6,IF(ISNUMBER(SEARCH(Assumptions!$C$7,F1075)),Assumptions!$D$7,"Other Services"))),"Other Services"))</f>
        <v/>
      </c>
    </row>
    <row r="1076" customFormat="false" ht="15" hidden="false" customHeight="false" outlineLevel="0" collapsed="false">
      <c r="I1076" s="41" t="str">
        <f aca="false">IF(F1076="","",IFERROR(IF(ISNUMBER(SEARCH(Assumptions!$C$5,F1076)),Assumptions!$D$5,IF(ISNUMBER(SEARCH(Assumptions!$C$6,F1076)),Assumptions!$D$6,IF(ISNUMBER(SEARCH(Assumptions!$C$7,F1076)),Assumptions!$D$7,"Other Services"))),"Other Services"))</f>
        <v/>
      </c>
    </row>
    <row r="1077" customFormat="false" ht="15" hidden="false" customHeight="false" outlineLevel="0" collapsed="false">
      <c r="I1077" s="41" t="str">
        <f aca="false">IF(F1077="","",IFERROR(IF(ISNUMBER(SEARCH(Assumptions!$C$5,F1077)),Assumptions!$D$5,IF(ISNUMBER(SEARCH(Assumptions!$C$6,F1077)),Assumptions!$D$6,IF(ISNUMBER(SEARCH(Assumptions!$C$7,F1077)),Assumptions!$D$7,"Other Services"))),"Other Services"))</f>
        <v/>
      </c>
    </row>
    <row r="1078" customFormat="false" ht="15" hidden="false" customHeight="false" outlineLevel="0" collapsed="false">
      <c r="I1078" s="41" t="str">
        <f aca="false">IF(F1078="","",IFERROR(IF(ISNUMBER(SEARCH(Assumptions!$C$5,F1078)),Assumptions!$D$5,IF(ISNUMBER(SEARCH(Assumptions!$C$6,F1078)),Assumptions!$D$6,IF(ISNUMBER(SEARCH(Assumptions!$C$7,F1078)),Assumptions!$D$7,"Other Services"))),"Other Services"))</f>
        <v/>
      </c>
    </row>
    <row r="1079" customFormat="false" ht="15" hidden="false" customHeight="false" outlineLevel="0" collapsed="false">
      <c r="I1079" s="41" t="str">
        <f aca="false">IF(F1079="","",IFERROR(IF(ISNUMBER(SEARCH(Assumptions!$C$5,F1079)),Assumptions!$D$5,IF(ISNUMBER(SEARCH(Assumptions!$C$6,F1079)),Assumptions!$D$6,IF(ISNUMBER(SEARCH(Assumptions!$C$7,F1079)),Assumptions!$D$7,"Other Services"))),"Other Services"))</f>
        <v/>
      </c>
    </row>
    <row r="1080" customFormat="false" ht="15" hidden="false" customHeight="false" outlineLevel="0" collapsed="false">
      <c r="I1080" s="41" t="str">
        <f aca="false">IF(F1080="","",IFERROR(IF(ISNUMBER(SEARCH(Assumptions!$C$5,F1080)),Assumptions!$D$5,IF(ISNUMBER(SEARCH(Assumptions!$C$6,F1080)),Assumptions!$D$6,IF(ISNUMBER(SEARCH(Assumptions!$C$7,F1080)),Assumptions!$D$7,"Other Services"))),"Other Services"))</f>
        <v/>
      </c>
    </row>
    <row r="1081" customFormat="false" ht="15" hidden="false" customHeight="false" outlineLevel="0" collapsed="false">
      <c r="I1081" s="41" t="str">
        <f aca="false">IF(F1081="","",IFERROR(IF(ISNUMBER(SEARCH(Assumptions!$C$5,F1081)),Assumptions!$D$5,IF(ISNUMBER(SEARCH(Assumptions!$C$6,F1081)),Assumptions!$D$6,IF(ISNUMBER(SEARCH(Assumptions!$C$7,F1081)),Assumptions!$D$7,"Other Services"))),"Other Services"))</f>
        <v/>
      </c>
    </row>
    <row r="1082" customFormat="false" ht="15" hidden="false" customHeight="false" outlineLevel="0" collapsed="false">
      <c r="I1082" s="41" t="str">
        <f aca="false">IF(F1082="","",IFERROR(IF(ISNUMBER(SEARCH(Assumptions!$C$5,F1082)),Assumptions!$D$5,IF(ISNUMBER(SEARCH(Assumptions!$C$6,F1082)),Assumptions!$D$6,IF(ISNUMBER(SEARCH(Assumptions!$C$7,F1082)),Assumptions!$D$7,"Other Services"))),"Other Services"))</f>
        <v/>
      </c>
    </row>
    <row r="1083" customFormat="false" ht="15" hidden="false" customHeight="false" outlineLevel="0" collapsed="false">
      <c r="I1083" s="41" t="str">
        <f aca="false">IF(F1083="","",IFERROR(IF(ISNUMBER(SEARCH(Assumptions!$C$5,F1083)),Assumptions!$D$5,IF(ISNUMBER(SEARCH(Assumptions!$C$6,F1083)),Assumptions!$D$6,IF(ISNUMBER(SEARCH(Assumptions!$C$7,F1083)),Assumptions!$D$7,"Other Services"))),"Other Services"))</f>
        <v/>
      </c>
    </row>
    <row r="1084" customFormat="false" ht="15" hidden="false" customHeight="false" outlineLevel="0" collapsed="false">
      <c r="I1084" s="41" t="str">
        <f aca="false">IF(F1084="","",IFERROR(IF(ISNUMBER(SEARCH(Assumptions!$C$5,F1084)),Assumptions!$D$5,IF(ISNUMBER(SEARCH(Assumptions!$C$6,F1084)),Assumptions!$D$6,IF(ISNUMBER(SEARCH(Assumptions!$C$7,F1084)),Assumptions!$D$7,"Other Services"))),"Other Services"))</f>
        <v/>
      </c>
    </row>
    <row r="1085" customFormat="false" ht="15" hidden="false" customHeight="false" outlineLevel="0" collapsed="false">
      <c r="I1085" s="41" t="str">
        <f aca="false">IF(F1085="","",IFERROR(IF(ISNUMBER(SEARCH(Assumptions!$C$5,F1085)),Assumptions!$D$5,IF(ISNUMBER(SEARCH(Assumptions!$C$6,F1085)),Assumptions!$D$6,IF(ISNUMBER(SEARCH(Assumptions!$C$7,F1085)),Assumptions!$D$7,"Other Services"))),"Other Services"))</f>
        <v/>
      </c>
    </row>
    <row r="1086" customFormat="false" ht="15" hidden="false" customHeight="false" outlineLevel="0" collapsed="false">
      <c r="I1086" s="41" t="str">
        <f aca="false">IF(F1086="","",IFERROR(IF(ISNUMBER(SEARCH(Assumptions!$C$5,F1086)),Assumptions!$D$5,IF(ISNUMBER(SEARCH(Assumptions!$C$6,F1086)),Assumptions!$D$6,IF(ISNUMBER(SEARCH(Assumptions!$C$7,F1086)),Assumptions!$D$7,"Other Services"))),"Other Services"))</f>
        <v/>
      </c>
    </row>
    <row r="1087" customFormat="false" ht="15" hidden="false" customHeight="false" outlineLevel="0" collapsed="false">
      <c r="I1087" s="41" t="str">
        <f aca="false">IF(F1087="","",IFERROR(IF(ISNUMBER(SEARCH(Assumptions!$C$5,F1087)),Assumptions!$D$5,IF(ISNUMBER(SEARCH(Assumptions!$C$6,F1087)),Assumptions!$D$6,IF(ISNUMBER(SEARCH(Assumptions!$C$7,F1087)),Assumptions!$D$7,"Other Services"))),"Other Services"))</f>
        <v/>
      </c>
    </row>
    <row r="1088" customFormat="false" ht="15" hidden="false" customHeight="false" outlineLevel="0" collapsed="false">
      <c r="I1088" s="41" t="str">
        <f aca="false">IF(F1088="","",IFERROR(IF(ISNUMBER(SEARCH(Assumptions!$C$5,F1088)),Assumptions!$D$5,IF(ISNUMBER(SEARCH(Assumptions!$C$6,F1088)),Assumptions!$D$6,IF(ISNUMBER(SEARCH(Assumptions!$C$7,F1088)),Assumptions!$D$7,"Other Services"))),"Other Services"))</f>
        <v/>
      </c>
    </row>
    <row r="1089" customFormat="false" ht="15" hidden="false" customHeight="false" outlineLevel="0" collapsed="false">
      <c r="I1089" s="41" t="str">
        <f aca="false">IF(F1089="","",IFERROR(IF(ISNUMBER(SEARCH(Assumptions!$C$5,F1089)),Assumptions!$D$5,IF(ISNUMBER(SEARCH(Assumptions!$C$6,F1089)),Assumptions!$D$6,IF(ISNUMBER(SEARCH(Assumptions!$C$7,F1089)),Assumptions!$D$7,"Other Services"))),"Other Services"))</f>
        <v/>
      </c>
    </row>
    <row r="1090" customFormat="false" ht="15" hidden="false" customHeight="false" outlineLevel="0" collapsed="false">
      <c r="I1090" s="41" t="str">
        <f aca="false">IF(F1090="","",IFERROR(IF(ISNUMBER(SEARCH(Assumptions!$C$5,F1090)),Assumptions!$D$5,IF(ISNUMBER(SEARCH(Assumptions!$C$6,F1090)),Assumptions!$D$6,IF(ISNUMBER(SEARCH(Assumptions!$C$7,F1090)),Assumptions!$D$7,"Other Services"))),"Other Services"))</f>
        <v/>
      </c>
    </row>
    <row r="1091" customFormat="false" ht="15" hidden="false" customHeight="false" outlineLevel="0" collapsed="false">
      <c r="I1091" s="41" t="str">
        <f aca="false">IF(F1091="","",IFERROR(IF(ISNUMBER(SEARCH(Assumptions!$C$5,F1091)),Assumptions!$D$5,IF(ISNUMBER(SEARCH(Assumptions!$C$6,F1091)),Assumptions!$D$6,IF(ISNUMBER(SEARCH(Assumptions!$C$7,F1091)),Assumptions!$D$7,"Other Services"))),"Other Services"))</f>
        <v/>
      </c>
    </row>
    <row r="1092" customFormat="false" ht="15" hidden="false" customHeight="false" outlineLevel="0" collapsed="false">
      <c r="I1092" s="41" t="str">
        <f aca="false">IF(F1092="","",IFERROR(IF(ISNUMBER(SEARCH(Assumptions!$C$5,F1092)),Assumptions!$D$5,IF(ISNUMBER(SEARCH(Assumptions!$C$6,F1092)),Assumptions!$D$6,IF(ISNUMBER(SEARCH(Assumptions!$C$7,F1092)),Assumptions!$D$7,"Other Services"))),"Other Services"))</f>
        <v/>
      </c>
    </row>
    <row r="1093" customFormat="false" ht="15" hidden="false" customHeight="false" outlineLevel="0" collapsed="false">
      <c r="I1093" s="41" t="str">
        <f aca="false">IF(F1093="","",IFERROR(IF(ISNUMBER(SEARCH(Assumptions!$C$5,F1093)),Assumptions!$D$5,IF(ISNUMBER(SEARCH(Assumptions!$C$6,F1093)),Assumptions!$D$6,IF(ISNUMBER(SEARCH(Assumptions!$C$7,F1093)),Assumptions!$D$7,"Other Services"))),"Other Services"))</f>
        <v/>
      </c>
    </row>
    <row r="1094" customFormat="false" ht="15" hidden="false" customHeight="false" outlineLevel="0" collapsed="false">
      <c r="I1094" s="41" t="str">
        <f aca="false">IF(F1094="","",IFERROR(IF(ISNUMBER(SEARCH(Assumptions!$C$5,F1094)),Assumptions!$D$5,IF(ISNUMBER(SEARCH(Assumptions!$C$6,F1094)),Assumptions!$D$6,IF(ISNUMBER(SEARCH(Assumptions!$C$7,F1094)),Assumptions!$D$7,"Other Services"))),"Other Services"))</f>
        <v/>
      </c>
    </row>
    <row r="1095" customFormat="false" ht="15" hidden="false" customHeight="false" outlineLevel="0" collapsed="false">
      <c r="I1095" s="41" t="str">
        <f aca="false">IF(F1095="","",IFERROR(IF(ISNUMBER(SEARCH(Assumptions!$C$5,F1095)),Assumptions!$D$5,IF(ISNUMBER(SEARCH(Assumptions!$C$6,F1095)),Assumptions!$D$6,IF(ISNUMBER(SEARCH(Assumptions!$C$7,F1095)),Assumptions!$D$7,"Other Services"))),"Other Services"))</f>
        <v/>
      </c>
    </row>
    <row r="1096" customFormat="false" ht="15" hidden="false" customHeight="false" outlineLevel="0" collapsed="false">
      <c r="I1096" s="41" t="str">
        <f aca="false">IF(F1096="","",IFERROR(IF(ISNUMBER(SEARCH(Assumptions!$C$5,F1096)),Assumptions!$D$5,IF(ISNUMBER(SEARCH(Assumptions!$C$6,F1096)),Assumptions!$D$6,IF(ISNUMBER(SEARCH(Assumptions!$C$7,F1096)),Assumptions!$D$7,"Other Services"))),"Other Services"))</f>
        <v/>
      </c>
    </row>
    <row r="1097" customFormat="false" ht="15" hidden="false" customHeight="false" outlineLevel="0" collapsed="false">
      <c r="I1097" s="41" t="str">
        <f aca="false">IF(F1097="","",IFERROR(IF(ISNUMBER(SEARCH(Assumptions!$C$5,F1097)),Assumptions!$D$5,IF(ISNUMBER(SEARCH(Assumptions!$C$6,F1097)),Assumptions!$D$6,IF(ISNUMBER(SEARCH(Assumptions!$C$7,F1097)),Assumptions!$D$7,"Other Services"))),"Other Services"))</f>
        <v/>
      </c>
    </row>
    <row r="1098" customFormat="false" ht="15" hidden="false" customHeight="false" outlineLevel="0" collapsed="false">
      <c r="I1098" s="41" t="str">
        <f aca="false">IF(F1098="","",IFERROR(IF(ISNUMBER(SEARCH(Assumptions!$C$5,F1098)),Assumptions!$D$5,IF(ISNUMBER(SEARCH(Assumptions!$C$6,F1098)),Assumptions!$D$6,IF(ISNUMBER(SEARCH(Assumptions!$C$7,F1098)),Assumptions!$D$7,"Other Services"))),"Other Services"))</f>
        <v/>
      </c>
    </row>
    <row r="1099" customFormat="false" ht="15" hidden="false" customHeight="false" outlineLevel="0" collapsed="false">
      <c r="I1099" s="41" t="str">
        <f aca="false">IF(F1099="","",IFERROR(IF(ISNUMBER(SEARCH(Assumptions!$C$5,F1099)),Assumptions!$D$5,IF(ISNUMBER(SEARCH(Assumptions!$C$6,F1099)),Assumptions!$D$6,IF(ISNUMBER(SEARCH(Assumptions!$C$7,F1099)),Assumptions!$D$7,"Other Services"))),"Other Services"))</f>
        <v/>
      </c>
    </row>
    <row r="1100" customFormat="false" ht="15" hidden="false" customHeight="false" outlineLevel="0" collapsed="false">
      <c r="I1100" s="41" t="str">
        <f aca="false">IF(F1100="","",IFERROR(IF(ISNUMBER(SEARCH(Assumptions!$C$5,F1100)),Assumptions!$D$5,IF(ISNUMBER(SEARCH(Assumptions!$C$6,F1100)),Assumptions!$D$6,IF(ISNUMBER(SEARCH(Assumptions!$C$7,F1100)),Assumptions!$D$7,"Other Services"))),"Other Services"))</f>
        <v/>
      </c>
    </row>
    <row r="1101" customFormat="false" ht="15" hidden="false" customHeight="false" outlineLevel="0" collapsed="false">
      <c r="I1101" s="41" t="str">
        <f aca="false">IF(F1101="","",IFERROR(IF(ISNUMBER(SEARCH(Assumptions!$C$5,F1101)),Assumptions!$D$5,IF(ISNUMBER(SEARCH(Assumptions!$C$6,F1101)),Assumptions!$D$6,IF(ISNUMBER(SEARCH(Assumptions!$C$7,F1101)),Assumptions!$D$7,"Other Services"))),"Other Services"))</f>
        <v/>
      </c>
    </row>
    <row r="1102" customFormat="false" ht="15" hidden="false" customHeight="false" outlineLevel="0" collapsed="false">
      <c r="I1102" s="41" t="str">
        <f aca="false">IF(F1102="","",IFERROR(IF(ISNUMBER(SEARCH(Assumptions!$C$5,F1102)),Assumptions!$D$5,IF(ISNUMBER(SEARCH(Assumptions!$C$6,F1102)),Assumptions!$D$6,IF(ISNUMBER(SEARCH(Assumptions!$C$7,F1102)),Assumptions!$D$7,"Other Services"))),"Other Services"))</f>
        <v/>
      </c>
    </row>
    <row r="1103" customFormat="false" ht="15" hidden="false" customHeight="false" outlineLevel="0" collapsed="false">
      <c r="I1103" s="41" t="str">
        <f aca="false">IF(F1103="","",IFERROR(IF(ISNUMBER(SEARCH(Assumptions!$C$5,F1103)),Assumptions!$D$5,IF(ISNUMBER(SEARCH(Assumptions!$C$6,F1103)),Assumptions!$D$6,IF(ISNUMBER(SEARCH(Assumptions!$C$7,F1103)),Assumptions!$D$7,"Other Services"))),"Other Services"))</f>
        <v/>
      </c>
    </row>
    <row r="1104" customFormat="false" ht="15" hidden="false" customHeight="false" outlineLevel="0" collapsed="false">
      <c r="I1104" s="41" t="str">
        <f aca="false">IF(F1104="","",IFERROR(IF(ISNUMBER(SEARCH(Assumptions!$C$5,F1104)),Assumptions!$D$5,IF(ISNUMBER(SEARCH(Assumptions!$C$6,F1104)),Assumptions!$D$6,IF(ISNUMBER(SEARCH(Assumptions!$C$7,F1104)),Assumptions!$D$7,"Other Services"))),"Other Services"))</f>
        <v/>
      </c>
    </row>
    <row r="1105" customFormat="false" ht="15" hidden="false" customHeight="false" outlineLevel="0" collapsed="false">
      <c r="I1105" s="41" t="str">
        <f aca="false">IF(F1105="","",IFERROR(IF(ISNUMBER(SEARCH(Assumptions!$C$5,F1105)),Assumptions!$D$5,IF(ISNUMBER(SEARCH(Assumptions!$C$6,F1105)),Assumptions!$D$6,IF(ISNUMBER(SEARCH(Assumptions!$C$7,F1105)),Assumptions!$D$7,"Other Services"))),"Other Services"))</f>
        <v/>
      </c>
    </row>
    <row r="1106" customFormat="false" ht="15" hidden="false" customHeight="false" outlineLevel="0" collapsed="false">
      <c r="I1106" s="41" t="str">
        <f aca="false">IF(F1106="","",IFERROR(IF(ISNUMBER(SEARCH(Assumptions!$C$5,F1106)),Assumptions!$D$5,IF(ISNUMBER(SEARCH(Assumptions!$C$6,F1106)),Assumptions!$D$6,IF(ISNUMBER(SEARCH(Assumptions!$C$7,F1106)),Assumptions!$D$7,"Other Services"))),"Other Services"))</f>
        <v/>
      </c>
    </row>
    <row r="1107" customFormat="false" ht="15" hidden="false" customHeight="false" outlineLevel="0" collapsed="false">
      <c r="I1107" s="41" t="str">
        <f aca="false">IF(F1107="","",IFERROR(IF(ISNUMBER(SEARCH(Assumptions!$C$5,F1107)),Assumptions!$D$5,IF(ISNUMBER(SEARCH(Assumptions!$C$6,F1107)),Assumptions!$D$6,IF(ISNUMBER(SEARCH(Assumptions!$C$7,F1107)),Assumptions!$D$7,"Other Services"))),"Other Services"))</f>
        <v/>
      </c>
    </row>
    <row r="1108" customFormat="false" ht="15" hidden="false" customHeight="false" outlineLevel="0" collapsed="false">
      <c r="I1108" s="41" t="str">
        <f aca="false">IF(F1108="","",IFERROR(IF(ISNUMBER(SEARCH(Assumptions!$C$5,F1108)),Assumptions!$D$5,IF(ISNUMBER(SEARCH(Assumptions!$C$6,F1108)),Assumptions!$D$6,IF(ISNUMBER(SEARCH(Assumptions!$C$7,F1108)),Assumptions!$D$7,"Other Services"))),"Other Services"))</f>
        <v/>
      </c>
    </row>
    <row r="1109" customFormat="false" ht="15" hidden="false" customHeight="false" outlineLevel="0" collapsed="false">
      <c r="I1109" s="41" t="str">
        <f aca="false">IF(F1109="","",IFERROR(IF(ISNUMBER(SEARCH(Assumptions!$C$5,F1109)),Assumptions!$D$5,IF(ISNUMBER(SEARCH(Assumptions!$C$6,F1109)),Assumptions!$D$6,IF(ISNUMBER(SEARCH(Assumptions!$C$7,F1109)),Assumptions!$D$7,"Other Services"))),"Other Services"))</f>
        <v/>
      </c>
    </row>
    <row r="1110" customFormat="false" ht="15" hidden="false" customHeight="false" outlineLevel="0" collapsed="false">
      <c r="I1110" s="41" t="str">
        <f aca="false">IF(F1110="","",IFERROR(IF(ISNUMBER(SEARCH(Assumptions!$C$5,F1110)),Assumptions!$D$5,IF(ISNUMBER(SEARCH(Assumptions!$C$6,F1110)),Assumptions!$D$6,IF(ISNUMBER(SEARCH(Assumptions!$C$7,F1110)),Assumptions!$D$7,"Other Services"))),"Other Services"))</f>
        <v/>
      </c>
    </row>
    <row r="1111" customFormat="false" ht="15" hidden="false" customHeight="false" outlineLevel="0" collapsed="false">
      <c r="I1111" s="41" t="str">
        <f aca="false">IF(F1111="","",IFERROR(IF(ISNUMBER(SEARCH(Assumptions!$C$5,F1111)),Assumptions!$D$5,IF(ISNUMBER(SEARCH(Assumptions!$C$6,F1111)),Assumptions!$D$6,IF(ISNUMBER(SEARCH(Assumptions!$C$7,F1111)),Assumptions!$D$7,"Other Services"))),"Other Services"))</f>
        <v/>
      </c>
    </row>
    <row r="1112" customFormat="false" ht="15" hidden="false" customHeight="false" outlineLevel="0" collapsed="false">
      <c r="I1112" s="41" t="str">
        <f aca="false">IF(F1112="","",IFERROR(IF(ISNUMBER(SEARCH(Assumptions!$C$5,F1112)),Assumptions!$D$5,IF(ISNUMBER(SEARCH(Assumptions!$C$6,F1112)),Assumptions!$D$6,IF(ISNUMBER(SEARCH(Assumptions!$C$7,F1112)),Assumptions!$D$7,"Other Services"))),"Other Services"))</f>
        <v/>
      </c>
    </row>
    <row r="1113" customFormat="false" ht="15" hidden="false" customHeight="false" outlineLevel="0" collapsed="false">
      <c r="I1113" s="41" t="str">
        <f aca="false">IF(F1113="","",IFERROR(IF(ISNUMBER(SEARCH(Assumptions!$C$5,F1113)),Assumptions!$D$5,IF(ISNUMBER(SEARCH(Assumptions!$C$6,F1113)),Assumptions!$D$6,IF(ISNUMBER(SEARCH(Assumptions!$C$7,F1113)),Assumptions!$D$7,"Other Services"))),"Other Services"))</f>
        <v/>
      </c>
    </row>
    <row r="1114" customFormat="false" ht="15" hidden="false" customHeight="false" outlineLevel="0" collapsed="false">
      <c r="I1114" s="41" t="str">
        <f aca="false">IF(F1114="","",IFERROR(IF(ISNUMBER(SEARCH(Assumptions!$C$5,F1114)),Assumptions!$D$5,IF(ISNUMBER(SEARCH(Assumptions!$C$6,F1114)),Assumptions!$D$6,IF(ISNUMBER(SEARCH(Assumptions!$C$7,F1114)),Assumptions!$D$7,"Other Services"))),"Other Services"))</f>
        <v/>
      </c>
    </row>
    <row r="1115" customFormat="false" ht="15" hidden="false" customHeight="false" outlineLevel="0" collapsed="false">
      <c r="I1115" s="41" t="str">
        <f aca="false">IF(F1115="","",IFERROR(IF(ISNUMBER(SEARCH(Assumptions!$C$5,F1115)),Assumptions!$D$5,IF(ISNUMBER(SEARCH(Assumptions!$C$6,F1115)),Assumptions!$D$6,IF(ISNUMBER(SEARCH(Assumptions!$C$7,F1115)),Assumptions!$D$7,"Other Services"))),"Other Services"))</f>
        <v/>
      </c>
    </row>
    <row r="1116" customFormat="false" ht="15" hidden="false" customHeight="false" outlineLevel="0" collapsed="false">
      <c r="I1116" s="41" t="str">
        <f aca="false">IF(F1116="","",IFERROR(IF(ISNUMBER(SEARCH(Assumptions!$C$5,F1116)),Assumptions!$D$5,IF(ISNUMBER(SEARCH(Assumptions!$C$6,F1116)),Assumptions!$D$6,IF(ISNUMBER(SEARCH(Assumptions!$C$7,F1116)),Assumptions!$D$7,"Other Services"))),"Other Services"))</f>
        <v/>
      </c>
    </row>
    <row r="1117" customFormat="false" ht="15" hidden="false" customHeight="false" outlineLevel="0" collapsed="false">
      <c r="I1117" s="41" t="str">
        <f aca="false">IF(F1117="","",IFERROR(IF(ISNUMBER(SEARCH(Assumptions!$C$5,F1117)),Assumptions!$D$5,IF(ISNUMBER(SEARCH(Assumptions!$C$6,F1117)),Assumptions!$D$6,IF(ISNUMBER(SEARCH(Assumptions!$C$7,F1117)),Assumptions!$D$7,"Other Services"))),"Other Services"))</f>
        <v/>
      </c>
    </row>
    <row r="1118" customFormat="false" ht="15" hidden="false" customHeight="false" outlineLevel="0" collapsed="false">
      <c r="I1118" s="41" t="str">
        <f aca="false">IF(F1118="","",IFERROR(IF(ISNUMBER(SEARCH(Assumptions!$C$5,F1118)),Assumptions!$D$5,IF(ISNUMBER(SEARCH(Assumptions!$C$6,F1118)),Assumptions!$D$6,IF(ISNUMBER(SEARCH(Assumptions!$C$7,F1118)),Assumptions!$D$7,"Other Services"))),"Other Services"))</f>
        <v/>
      </c>
    </row>
    <row r="1119" customFormat="false" ht="15" hidden="false" customHeight="false" outlineLevel="0" collapsed="false">
      <c r="I1119" s="41" t="str">
        <f aca="false">IF(F1119="","",IFERROR(IF(ISNUMBER(SEARCH(Assumptions!$C$5,F1119)),Assumptions!$D$5,IF(ISNUMBER(SEARCH(Assumptions!$C$6,F1119)),Assumptions!$D$6,IF(ISNUMBER(SEARCH(Assumptions!$C$7,F1119)),Assumptions!$D$7,"Other Services"))),"Other Services"))</f>
        <v/>
      </c>
    </row>
    <row r="1120" customFormat="false" ht="15" hidden="false" customHeight="false" outlineLevel="0" collapsed="false">
      <c r="I1120" s="41" t="str">
        <f aca="false">IF(F1120="","",IFERROR(IF(ISNUMBER(SEARCH(Assumptions!$C$5,F1120)),Assumptions!$D$5,IF(ISNUMBER(SEARCH(Assumptions!$C$6,F1120)),Assumptions!$D$6,IF(ISNUMBER(SEARCH(Assumptions!$C$7,F1120)),Assumptions!$D$7,"Other Services"))),"Other Services"))</f>
        <v/>
      </c>
    </row>
    <row r="1121" customFormat="false" ht="15" hidden="false" customHeight="false" outlineLevel="0" collapsed="false">
      <c r="I1121" s="41" t="str">
        <f aca="false">IF(F1121="","",IFERROR(IF(ISNUMBER(SEARCH(Assumptions!$C$5,F1121)),Assumptions!$D$5,IF(ISNUMBER(SEARCH(Assumptions!$C$6,F1121)),Assumptions!$D$6,IF(ISNUMBER(SEARCH(Assumptions!$C$7,F1121)),Assumptions!$D$7,"Other Services"))),"Other Services"))</f>
        <v/>
      </c>
    </row>
    <row r="1122" customFormat="false" ht="15" hidden="false" customHeight="false" outlineLevel="0" collapsed="false">
      <c r="I1122" s="41" t="str">
        <f aca="false">IF(F1122="","",IFERROR(IF(ISNUMBER(SEARCH(Assumptions!$C$5,F1122)),Assumptions!$D$5,IF(ISNUMBER(SEARCH(Assumptions!$C$6,F1122)),Assumptions!$D$6,IF(ISNUMBER(SEARCH(Assumptions!$C$7,F1122)),Assumptions!$D$7,"Other Services"))),"Other Services"))</f>
        <v/>
      </c>
    </row>
    <row r="1123" customFormat="false" ht="15" hidden="false" customHeight="false" outlineLevel="0" collapsed="false">
      <c r="I1123" s="41" t="str">
        <f aca="false">IF(F1123="","",IFERROR(IF(ISNUMBER(SEARCH(Assumptions!$C$5,F1123)),Assumptions!$D$5,IF(ISNUMBER(SEARCH(Assumptions!$C$6,F1123)),Assumptions!$D$6,IF(ISNUMBER(SEARCH(Assumptions!$C$7,F1123)),Assumptions!$D$7,"Other Services"))),"Other Services"))</f>
        <v/>
      </c>
    </row>
    <row r="1124" customFormat="false" ht="15" hidden="false" customHeight="false" outlineLevel="0" collapsed="false">
      <c r="I1124" s="41" t="str">
        <f aca="false">IF(F1124="","",IFERROR(IF(ISNUMBER(SEARCH(Assumptions!$C$5,F1124)),Assumptions!$D$5,IF(ISNUMBER(SEARCH(Assumptions!$C$6,F1124)),Assumptions!$D$6,IF(ISNUMBER(SEARCH(Assumptions!$C$7,F1124)),Assumptions!$D$7,"Other Services"))),"Other Services"))</f>
        <v/>
      </c>
    </row>
    <row r="1125" customFormat="false" ht="15" hidden="false" customHeight="false" outlineLevel="0" collapsed="false">
      <c r="I1125" s="41" t="str">
        <f aca="false">IF(F1125="","",IFERROR(IF(ISNUMBER(SEARCH(Assumptions!$C$5,F1125)),Assumptions!$D$5,IF(ISNUMBER(SEARCH(Assumptions!$C$6,F1125)),Assumptions!$D$6,IF(ISNUMBER(SEARCH(Assumptions!$C$7,F1125)),Assumptions!$D$7,"Other Services"))),"Other Services"))</f>
        <v/>
      </c>
    </row>
    <row r="1126" customFormat="false" ht="15" hidden="false" customHeight="false" outlineLevel="0" collapsed="false">
      <c r="I1126" s="41" t="str">
        <f aca="false">IF(F1126="","",IFERROR(IF(ISNUMBER(SEARCH(Assumptions!$C$5,F1126)),Assumptions!$D$5,IF(ISNUMBER(SEARCH(Assumptions!$C$6,F1126)),Assumptions!$D$6,IF(ISNUMBER(SEARCH(Assumptions!$C$7,F1126)),Assumptions!$D$7,"Other Services"))),"Other Services"))</f>
        <v/>
      </c>
    </row>
    <row r="1127" customFormat="false" ht="15" hidden="false" customHeight="false" outlineLevel="0" collapsed="false">
      <c r="I1127" s="41" t="str">
        <f aca="false">IF(F1127="","",IFERROR(IF(ISNUMBER(SEARCH(Assumptions!$C$5,F1127)),Assumptions!$D$5,IF(ISNUMBER(SEARCH(Assumptions!$C$6,F1127)),Assumptions!$D$6,IF(ISNUMBER(SEARCH(Assumptions!$C$7,F1127)),Assumptions!$D$7,"Other Services"))),"Other Services"))</f>
        <v/>
      </c>
    </row>
    <row r="1128" customFormat="false" ht="15" hidden="false" customHeight="false" outlineLevel="0" collapsed="false">
      <c r="I1128" s="41" t="str">
        <f aca="false">IF(F1128="","",IFERROR(IF(ISNUMBER(SEARCH(Assumptions!$C$5,F1128)),Assumptions!$D$5,IF(ISNUMBER(SEARCH(Assumptions!$C$6,F1128)),Assumptions!$D$6,IF(ISNUMBER(SEARCH(Assumptions!$C$7,F1128)),Assumptions!$D$7,"Other Services"))),"Other Services"))</f>
        <v/>
      </c>
    </row>
    <row r="1129" customFormat="false" ht="15" hidden="false" customHeight="false" outlineLevel="0" collapsed="false">
      <c r="I1129" s="41" t="str">
        <f aca="false">IF(F1129="","",IFERROR(IF(ISNUMBER(SEARCH(Assumptions!$C$5,F1129)),Assumptions!$D$5,IF(ISNUMBER(SEARCH(Assumptions!$C$6,F1129)),Assumptions!$D$6,IF(ISNUMBER(SEARCH(Assumptions!$C$7,F1129)),Assumptions!$D$7,"Other Services"))),"Other Services"))</f>
        <v/>
      </c>
    </row>
    <row r="1130" customFormat="false" ht="15" hidden="false" customHeight="false" outlineLevel="0" collapsed="false">
      <c r="I1130" s="41" t="str">
        <f aca="false">IF(F1130="","",IFERROR(IF(ISNUMBER(SEARCH(Assumptions!$C$5,F1130)),Assumptions!$D$5,IF(ISNUMBER(SEARCH(Assumptions!$C$6,F1130)),Assumptions!$D$6,IF(ISNUMBER(SEARCH(Assumptions!$C$7,F1130)),Assumptions!$D$7,"Other Services"))),"Other Services"))</f>
        <v/>
      </c>
    </row>
    <row r="1131" customFormat="false" ht="15" hidden="false" customHeight="false" outlineLevel="0" collapsed="false">
      <c r="I1131" s="41" t="str">
        <f aca="false">IF(F1131="","",IFERROR(IF(ISNUMBER(SEARCH(Assumptions!$C$5,F1131)),Assumptions!$D$5,IF(ISNUMBER(SEARCH(Assumptions!$C$6,F1131)),Assumptions!$D$6,IF(ISNUMBER(SEARCH(Assumptions!$C$7,F1131)),Assumptions!$D$7,"Other Services"))),"Other Services"))</f>
        <v/>
      </c>
    </row>
    <row r="1132" customFormat="false" ht="15" hidden="false" customHeight="false" outlineLevel="0" collapsed="false">
      <c r="I1132" s="41" t="str">
        <f aca="false">IF(F1132="","",IFERROR(IF(ISNUMBER(SEARCH(Assumptions!$C$5,F1132)),Assumptions!$D$5,IF(ISNUMBER(SEARCH(Assumptions!$C$6,F1132)),Assumptions!$D$6,IF(ISNUMBER(SEARCH(Assumptions!$C$7,F1132)),Assumptions!$D$7,"Other Services"))),"Other Services"))</f>
        <v/>
      </c>
    </row>
    <row r="1133" customFormat="false" ht="15" hidden="false" customHeight="false" outlineLevel="0" collapsed="false">
      <c r="I1133" s="41" t="str">
        <f aca="false">IF(F1133="","",IFERROR(IF(ISNUMBER(SEARCH(Assumptions!$C$5,F1133)),Assumptions!$D$5,IF(ISNUMBER(SEARCH(Assumptions!$C$6,F1133)),Assumptions!$D$6,IF(ISNUMBER(SEARCH(Assumptions!$C$7,F1133)),Assumptions!$D$7,"Other Services"))),"Other Services"))</f>
        <v/>
      </c>
    </row>
    <row r="1134" customFormat="false" ht="15" hidden="false" customHeight="false" outlineLevel="0" collapsed="false">
      <c r="I1134" s="41" t="str">
        <f aca="false">IF(F1134="","",IFERROR(IF(ISNUMBER(SEARCH(Assumptions!$C$5,F1134)),Assumptions!$D$5,IF(ISNUMBER(SEARCH(Assumptions!$C$6,F1134)),Assumptions!$D$6,IF(ISNUMBER(SEARCH(Assumptions!$C$7,F1134)),Assumptions!$D$7,"Other Services"))),"Other Services"))</f>
        <v/>
      </c>
    </row>
    <row r="1135" customFormat="false" ht="15" hidden="false" customHeight="false" outlineLevel="0" collapsed="false">
      <c r="I1135" s="41" t="str">
        <f aca="false">IF(F1135="","",IFERROR(IF(ISNUMBER(SEARCH(Assumptions!$C$5,F1135)),Assumptions!$D$5,IF(ISNUMBER(SEARCH(Assumptions!$C$6,F1135)),Assumptions!$D$6,IF(ISNUMBER(SEARCH(Assumptions!$C$7,F1135)),Assumptions!$D$7,"Other Services"))),"Other Services"))</f>
        <v/>
      </c>
    </row>
    <row r="1136" customFormat="false" ht="15" hidden="false" customHeight="false" outlineLevel="0" collapsed="false">
      <c r="I1136" s="41" t="str">
        <f aca="false">IF(F1136="","",IFERROR(IF(ISNUMBER(SEARCH(Assumptions!$C$5,F1136)),Assumptions!$D$5,IF(ISNUMBER(SEARCH(Assumptions!$C$6,F1136)),Assumptions!$D$6,IF(ISNUMBER(SEARCH(Assumptions!$C$7,F1136)),Assumptions!$D$7,"Other Services"))),"Other Services"))</f>
        <v/>
      </c>
    </row>
    <row r="1137" customFormat="false" ht="15" hidden="false" customHeight="false" outlineLevel="0" collapsed="false">
      <c r="I1137" s="41" t="str">
        <f aca="false">IF(F1137="","",IFERROR(IF(ISNUMBER(SEARCH(Assumptions!$C$5,F1137)),Assumptions!$D$5,IF(ISNUMBER(SEARCH(Assumptions!$C$6,F1137)),Assumptions!$D$6,IF(ISNUMBER(SEARCH(Assumptions!$C$7,F1137)),Assumptions!$D$7,"Other Services"))),"Other Services"))</f>
        <v/>
      </c>
    </row>
    <row r="1138" customFormat="false" ht="15" hidden="false" customHeight="false" outlineLevel="0" collapsed="false">
      <c r="I1138" s="41" t="str">
        <f aca="false">IF(F1138="","",IFERROR(IF(ISNUMBER(SEARCH(Assumptions!$C$5,F1138)),Assumptions!$D$5,IF(ISNUMBER(SEARCH(Assumptions!$C$6,F1138)),Assumptions!$D$6,IF(ISNUMBER(SEARCH(Assumptions!$C$7,F1138)),Assumptions!$D$7,"Other Services"))),"Other Services"))</f>
        <v/>
      </c>
    </row>
    <row r="1139" customFormat="false" ht="15" hidden="false" customHeight="false" outlineLevel="0" collapsed="false">
      <c r="I1139" s="41" t="str">
        <f aca="false">IF(F1139="","",IFERROR(IF(ISNUMBER(SEARCH(Assumptions!$C$5,F1139)),Assumptions!$D$5,IF(ISNUMBER(SEARCH(Assumptions!$C$6,F1139)),Assumptions!$D$6,IF(ISNUMBER(SEARCH(Assumptions!$C$7,F1139)),Assumptions!$D$7,"Other Services"))),"Other Services"))</f>
        <v/>
      </c>
    </row>
    <row r="1140" customFormat="false" ht="15" hidden="false" customHeight="false" outlineLevel="0" collapsed="false">
      <c r="I1140" s="41" t="str">
        <f aca="false">IF(F1140="","",IFERROR(IF(ISNUMBER(SEARCH(Assumptions!$C$5,F1140)),Assumptions!$D$5,IF(ISNUMBER(SEARCH(Assumptions!$C$6,F1140)),Assumptions!$D$6,IF(ISNUMBER(SEARCH(Assumptions!$C$7,F1140)),Assumptions!$D$7,"Other Services"))),"Other Services"))</f>
        <v/>
      </c>
    </row>
    <row r="1141" customFormat="false" ht="15" hidden="false" customHeight="false" outlineLevel="0" collapsed="false">
      <c r="I1141" s="41" t="str">
        <f aca="false">IF(F1141="","",IFERROR(IF(ISNUMBER(SEARCH(Assumptions!$C$5,F1141)),Assumptions!$D$5,IF(ISNUMBER(SEARCH(Assumptions!$C$6,F1141)),Assumptions!$D$6,IF(ISNUMBER(SEARCH(Assumptions!$C$7,F1141)),Assumptions!$D$7,"Other Services"))),"Other Services"))</f>
        <v/>
      </c>
    </row>
    <row r="1142" customFormat="false" ht="15" hidden="false" customHeight="false" outlineLevel="0" collapsed="false">
      <c r="I1142" s="41" t="str">
        <f aca="false">IF(F1142="","",IFERROR(IF(ISNUMBER(SEARCH(Assumptions!$C$5,F1142)),Assumptions!$D$5,IF(ISNUMBER(SEARCH(Assumptions!$C$6,F1142)),Assumptions!$D$6,IF(ISNUMBER(SEARCH(Assumptions!$C$7,F1142)),Assumptions!$D$7,"Other Services"))),"Other Services"))</f>
        <v/>
      </c>
    </row>
    <row r="1143" customFormat="false" ht="15" hidden="false" customHeight="false" outlineLevel="0" collapsed="false">
      <c r="I1143" s="41" t="str">
        <f aca="false">IF(F1143="","",IFERROR(IF(ISNUMBER(SEARCH(Assumptions!$C$5,F1143)),Assumptions!$D$5,IF(ISNUMBER(SEARCH(Assumptions!$C$6,F1143)),Assumptions!$D$6,IF(ISNUMBER(SEARCH(Assumptions!$C$7,F1143)),Assumptions!$D$7,"Other Services"))),"Other Services"))</f>
        <v/>
      </c>
    </row>
    <row r="1144" customFormat="false" ht="15" hidden="false" customHeight="false" outlineLevel="0" collapsed="false">
      <c r="I1144" s="41" t="str">
        <f aca="false">IF(F1144="","",IFERROR(IF(ISNUMBER(SEARCH(Assumptions!$C$5,F1144)),Assumptions!$D$5,IF(ISNUMBER(SEARCH(Assumptions!$C$6,F1144)),Assumptions!$D$6,IF(ISNUMBER(SEARCH(Assumptions!$C$7,F1144)),Assumptions!$D$7,"Other Services"))),"Other Services"))</f>
        <v/>
      </c>
    </row>
    <row r="1145" customFormat="false" ht="15" hidden="false" customHeight="false" outlineLevel="0" collapsed="false">
      <c r="I1145" s="41" t="str">
        <f aca="false">IF(F1145="","",IFERROR(IF(ISNUMBER(SEARCH(Assumptions!$C$5,F1145)),Assumptions!$D$5,IF(ISNUMBER(SEARCH(Assumptions!$C$6,F1145)),Assumptions!$D$6,IF(ISNUMBER(SEARCH(Assumptions!$C$7,F1145)),Assumptions!$D$7,"Other Services"))),"Other Services"))</f>
        <v/>
      </c>
    </row>
    <row r="1146" customFormat="false" ht="15" hidden="false" customHeight="false" outlineLevel="0" collapsed="false">
      <c r="I1146" s="41" t="str">
        <f aca="false">IF(F1146="","",IFERROR(IF(ISNUMBER(SEARCH(Assumptions!$C$5,F1146)),Assumptions!$D$5,IF(ISNUMBER(SEARCH(Assumptions!$C$6,F1146)),Assumptions!$D$6,IF(ISNUMBER(SEARCH(Assumptions!$C$7,F1146)),Assumptions!$D$7,"Other Services"))),"Other Services"))</f>
        <v/>
      </c>
    </row>
    <row r="1147" customFormat="false" ht="15" hidden="false" customHeight="false" outlineLevel="0" collapsed="false">
      <c r="I1147" s="41" t="str">
        <f aca="false">IF(F1147="","",IFERROR(IF(ISNUMBER(SEARCH(Assumptions!$C$5,F1147)),Assumptions!$D$5,IF(ISNUMBER(SEARCH(Assumptions!$C$6,F1147)),Assumptions!$D$6,IF(ISNUMBER(SEARCH(Assumptions!$C$7,F1147)),Assumptions!$D$7,"Other Services"))),"Other Services"))</f>
        <v/>
      </c>
    </row>
    <row r="1148" customFormat="false" ht="15" hidden="false" customHeight="false" outlineLevel="0" collapsed="false">
      <c r="I1148" s="41" t="str">
        <f aca="false">IF(F1148="","",IFERROR(IF(ISNUMBER(SEARCH(Assumptions!$C$5,F1148)),Assumptions!$D$5,IF(ISNUMBER(SEARCH(Assumptions!$C$6,F1148)),Assumptions!$D$6,IF(ISNUMBER(SEARCH(Assumptions!$C$7,F1148)),Assumptions!$D$7,"Other Services"))),"Other Services"))</f>
        <v/>
      </c>
    </row>
    <row r="1149" customFormat="false" ht="15" hidden="false" customHeight="false" outlineLevel="0" collapsed="false">
      <c r="I1149" s="41" t="str">
        <f aca="false">IF(F1149="","",IFERROR(IF(ISNUMBER(SEARCH(Assumptions!$C$5,F1149)),Assumptions!$D$5,IF(ISNUMBER(SEARCH(Assumptions!$C$6,F1149)),Assumptions!$D$6,IF(ISNUMBER(SEARCH(Assumptions!$C$7,F1149)),Assumptions!$D$7,"Other Services"))),"Other Services"))</f>
        <v/>
      </c>
    </row>
    <row r="1150" customFormat="false" ht="15" hidden="false" customHeight="false" outlineLevel="0" collapsed="false">
      <c r="I1150" s="41" t="str">
        <f aca="false">IF(F1150="","",IFERROR(IF(ISNUMBER(SEARCH(Assumptions!$C$5,F1150)),Assumptions!$D$5,IF(ISNUMBER(SEARCH(Assumptions!$C$6,F1150)),Assumptions!$D$6,IF(ISNUMBER(SEARCH(Assumptions!$C$7,F1150)),Assumptions!$D$7,"Other Services"))),"Other Services"))</f>
        <v/>
      </c>
    </row>
    <row r="1151" customFormat="false" ht="15" hidden="false" customHeight="false" outlineLevel="0" collapsed="false">
      <c r="I1151" s="41" t="str">
        <f aca="false">IF(F1151="","",IFERROR(IF(ISNUMBER(SEARCH(Assumptions!$C$5,F1151)),Assumptions!$D$5,IF(ISNUMBER(SEARCH(Assumptions!$C$6,F1151)),Assumptions!$D$6,IF(ISNUMBER(SEARCH(Assumptions!$C$7,F1151)),Assumptions!$D$7,"Other Services"))),"Other Services"))</f>
        <v/>
      </c>
    </row>
    <row r="1152" customFormat="false" ht="15" hidden="false" customHeight="false" outlineLevel="0" collapsed="false">
      <c r="I1152" s="41" t="str">
        <f aca="false">IF(F1152="","",IFERROR(IF(ISNUMBER(SEARCH(Assumptions!$C$5,F1152)),Assumptions!$D$5,IF(ISNUMBER(SEARCH(Assumptions!$C$6,F1152)),Assumptions!$D$6,IF(ISNUMBER(SEARCH(Assumptions!$C$7,F1152)),Assumptions!$D$7,"Other Services"))),"Other Services"))</f>
        <v/>
      </c>
    </row>
    <row r="1153" customFormat="false" ht="15" hidden="false" customHeight="false" outlineLevel="0" collapsed="false">
      <c r="I1153" s="41" t="str">
        <f aca="false">IF(F1153="","",IFERROR(IF(ISNUMBER(SEARCH(Assumptions!$C$5,F1153)),Assumptions!$D$5,IF(ISNUMBER(SEARCH(Assumptions!$C$6,F1153)),Assumptions!$D$6,IF(ISNUMBER(SEARCH(Assumptions!$C$7,F1153)),Assumptions!$D$7,"Other Services"))),"Other Services"))</f>
        <v/>
      </c>
    </row>
    <row r="1154" customFormat="false" ht="15" hidden="false" customHeight="false" outlineLevel="0" collapsed="false">
      <c r="I1154" s="41" t="str">
        <f aca="false">IF(F1154="","",IFERROR(IF(ISNUMBER(SEARCH(Assumptions!$C$5,F1154)),Assumptions!$D$5,IF(ISNUMBER(SEARCH(Assumptions!$C$6,F1154)),Assumptions!$D$6,IF(ISNUMBER(SEARCH(Assumptions!$C$7,F1154)),Assumptions!$D$7,"Other Services"))),"Other Services"))</f>
        <v/>
      </c>
    </row>
    <row r="1155" customFormat="false" ht="15" hidden="false" customHeight="false" outlineLevel="0" collapsed="false">
      <c r="I1155" s="41" t="str">
        <f aca="false">IF(F1155="","",IFERROR(IF(ISNUMBER(SEARCH(Assumptions!$C$5,F1155)),Assumptions!$D$5,IF(ISNUMBER(SEARCH(Assumptions!$C$6,F1155)),Assumptions!$D$6,IF(ISNUMBER(SEARCH(Assumptions!$C$7,F1155)),Assumptions!$D$7,"Other Services"))),"Other Services"))</f>
        <v/>
      </c>
    </row>
    <row r="1156" customFormat="false" ht="15" hidden="false" customHeight="false" outlineLevel="0" collapsed="false">
      <c r="I1156" s="41" t="str">
        <f aca="false">IF(F1156="","",IFERROR(IF(ISNUMBER(SEARCH(Assumptions!$C$5,F1156)),Assumptions!$D$5,IF(ISNUMBER(SEARCH(Assumptions!$C$6,F1156)),Assumptions!$D$6,IF(ISNUMBER(SEARCH(Assumptions!$C$7,F1156)),Assumptions!$D$7,"Other Services"))),"Other Services"))</f>
        <v/>
      </c>
    </row>
    <row r="1157" customFormat="false" ht="15" hidden="false" customHeight="false" outlineLevel="0" collapsed="false">
      <c r="I1157" s="41" t="str">
        <f aca="false">IF(F1157="","",IFERROR(IF(ISNUMBER(SEARCH(Assumptions!$C$5,F1157)),Assumptions!$D$5,IF(ISNUMBER(SEARCH(Assumptions!$C$6,F1157)),Assumptions!$D$6,IF(ISNUMBER(SEARCH(Assumptions!$C$7,F1157)),Assumptions!$D$7,"Other Services"))),"Other Services"))</f>
        <v/>
      </c>
    </row>
    <row r="1158" customFormat="false" ht="15" hidden="false" customHeight="false" outlineLevel="0" collapsed="false">
      <c r="I1158" s="41" t="str">
        <f aca="false">IF(F1158="","",IFERROR(IF(ISNUMBER(SEARCH(Assumptions!$C$5,F1158)),Assumptions!$D$5,IF(ISNUMBER(SEARCH(Assumptions!$C$6,F1158)),Assumptions!$D$6,IF(ISNUMBER(SEARCH(Assumptions!$C$7,F1158)),Assumptions!$D$7,"Other Services"))),"Other Services"))</f>
        <v/>
      </c>
    </row>
    <row r="1159" customFormat="false" ht="15" hidden="false" customHeight="false" outlineLevel="0" collapsed="false">
      <c r="I1159" s="41" t="str">
        <f aca="false">IF(F1159="","",IFERROR(IF(ISNUMBER(SEARCH(Assumptions!$C$5,F1159)),Assumptions!$D$5,IF(ISNUMBER(SEARCH(Assumptions!$C$6,F1159)),Assumptions!$D$6,IF(ISNUMBER(SEARCH(Assumptions!$C$7,F1159)),Assumptions!$D$7,"Other Services"))),"Other Services"))</f>
        <v/>
      </c>
    </row>
    <row r="1160" customFormat="false" ht="15" hidden="false" customHeight="false" outlineLevel="0" collapsed="false">
      <c r="I1160" s="41" t="str">
        <f aca="false">IF(F1160="","",IFERROR(IF(ISNUMBER(SEARCH(Assumptions!$C$5,F1160)),Assumptions!$D$5,IF(ISNUMBER(SEARCH(Assumptions!$C$6,F1160)),Assumptions!$D$6,IF(ISNUMBER(SEARCH(Assumptions!$C$7,F1160)),Assumptions!$D$7,"Other Services"))),"Other Services"))</f>
        <v/>
      </c>
    </row>
    <row r="1161" customFormat="false" ht="15" hidden="false" customHeight="false" outlineLevel="0" collapsed="false">
      <c r="I1161" s="41" t="str">
        <f aca="false">IF(F1161="","",IFERROR(IF(ISNUMBER(SEARCH(Assumptions!$C$5,F1161)),Assumptions!$D$5,IF(ISNUMBER(SEARCH(Assumptions!$C$6,F1161)),Assumptions!$D$6,IF(ISNUMBER(SEARCH(Assumptions!$C$7,F1161)),Assumptions!$D$7,"Other Services"))),"Other Services"))</f>
        <v/>
      </c>
    </row>
    <row r="1162" customFormat="false" ht="15" hidden="false" customHeight="false" outlineLevel="0" collapsed="false">
      <c r="I1162" s="41" t="str">
        <f aca="false">IF(F1162="","",IFERROR(IF(ISNUMBER(SEARCH(Assumptions!$C$5,F1162)),Assumptions!$D$5,IF(ISNUMBER(SEARCH(Assumptions!$C$6,F1162)),Assumptions!$D$6,IF(ISNUMBER(SEARCH(Assumptions!$C$7,F1162)),Assumptions!$D$7,"Other Services"))),"Other Services"))</f>
        <v/>
      </c>
    </row>
    <row r="1163" customFormat="false" ht="15" hidden="false" customHeight="false" outlineLevel="0" collapsed="false">
      <c r="I1163" s="41" t="str">
        <f aca="false">IF(F1163="","",IFERROR(IF(ISNUMBER(SEARCH(Assumptions!$C$5,F1163)),Assumptions!$D$5,IF(ISNUMBER(SEARCH(Assumptions!$C$6,F1163)),Assumptions!$D$6,IF(ISNUMBER(SEARCH(Assumptions!$C$7,F1163)),Assumptions!$D$7,"Other Services"))),"Other Services"))</f>
        <v/>
      </c>
    </row>
    <row r="1164" customFormat="false" ht="15" hidden="false" customHeight="false" outlineLevel="0" collapsed="false">
      <c r="I1164" s="41" t="str">
        <f aca="false">IF(F1164="","",IFERROR(IF(ISNUMBER(SEARCH(Assumptions!$C$5,F1164)),Assumptions!$D$5,IF(ISNUMBER(SEARCH(Assumptions!$C$6,F1164)),Assumptions!$D$6,IF(ISNUMBER(SEARCH(Assumptions!$C$7,F1164)),Assumptions!$D$7,"Other Services"))),"Other Services"))</f>
        <v/>
      </c>
    </row>
    <row r="1165" customFormat="false" ht="15" hidden="false" customHeight="false" outlineLevel="0" collapsed="false">
      <c r="I1165" s="41" t="str">
        <f aca="false">IF(F1165="","",IFERROR(IF(ISNUMBER(SEARCH(Assumptions!$C$5,F1165)),Assumptions!$D$5,IF(ISNUMBER(SEARCH(Assumptions!$C$6,F1165)),Assumptions!$D$6,IF(ISNUMBER(SEARCH(Assumptions!$C$7,F1165)),Assumptions!$D$7,"Other Services"))),"Other Services"))</f>
        <v/>
      </c>
    </row>
    <row r="1166" customFormat="false" ht="15" hidden="false" customHeight="false" outlineLevel="0" collapsed="false">
      <c r="I1166" s="41" t="str">
        <f aca="false">IF(F1166="","",IFERROR(IF(ISNUMBER(SEARCH(Assumptions!$C$5,F1166)),Assumptions!$D$5,IF(ISNUMBER(SEARCH(Assumptions!$C$6,F1166)),Assumptions!$D$6,IF(ISNUMBER(SEARCH(Assumptions!$C$7,F1166)),Assumptions!$D$7,"Other Services"))),"Other Services"))</f>
        <v/>
      </c>
    </row>
    <row r="1167" customFormat="false" ht="15" hidden="false" customHeight="false" outlineLevel="0" collapsed="false">
      <c r="I1167" s="41" t="str">
        <f aca="false">IF(F1167="","",IFERROR(IF(ISNUMBER(SEARCH(Assumptions!$C$5,F1167)),Assumptions!$D$5,IF(ISNUMBER(SEARCH(Assumptions!$C$6,F1167)),Assumptions!$D$6,IF(ISNUMBER(SEARCH(Assumptions!$C$7,F1167)),Assumptions!$D$7,"Other Services"))),"Other Services"))</f>
        <v/>
      </c>
    </row>
    <row r="1168" customFormat="false" ht="15" hidden="false" customHeight="false" outlineLevel="0" collapsed="false">
      <c r="I1168" s="41" t="str">
        <f aca="false">IF(F1168="","",IFERROR(IF(ISNUMBER(SEARCH(Assumptions!$C$5,F1168)),Assumptions!$D$5,IF(ISNUMBER(SEARCH(Assumptions!$C$6,F1168)),Assumptions!$D$6,IF(ISNUMBER(SEARCH(Assumptions!$C$7,F1168)),Assumptions!$D$7,"Other Services"))),"Other Services"))</f>
        <v/>
      </c>
    </row>
    <row r="1169" customFormat="false" ht="15" hidden="false" customHeight="false" outlineLevel="0" collapsed="false">
      <c r="I1169" s="41" t="str">
        <f aca="false">IF(F1169="","",IFERROR(IF(ISNUMBER(SEARCH(Assumptions!$C$5,F1169)),Assumptions!$D$5,IF(ISNUMBER(SEARCH(Assumptions!$C$6,F1169)),Assumptions!$D$6,IF(ISNUMBER(SEARCH(Assumptions!$C$7,F1169)),Assumptions!$D$7,"Other Services"))),"Other Services"))</f>
        <v/>
      </c>
    </row>
    <row r="1170" customFormat="false" ht="15" hidden="false" customHeight="false" outlineLevel="0" collapsed="false">
      <c r="I1170" s="41" t="str">
        <f aca="false">IF(F1170="","",IFERROR(IF(ISNUMBER(SEARCH(Assumptions!$C$5,F1170)),Assumptions!$D$5,IF(ISNUMBER(SEARCH(Assumptions!$C$6,F1170)),Assumptions!$D$6,IF(ISNUMBER(SEARCH(Assumptions!$C$7,F1170)),Assumptions!$D$7,"Other Services"))),"Other Services"))</f>
        <v/>
      </c>
    </row>
    <row r="1171" customFormat="false" ht="15" hidden="false" customHeight="false" outlineLevel="0" collapsed="false">
      <c r="I1171" s="41" t="str">
        <f aca="false">IF(F1171="","",IFERROR(IF(ISNUMBER(SEARCH(Assumptions!$C$5,F1171)),Assumptions!$D$5,IF(ISNUMBER(SEARCH(Assumptions!$C$6,F1171)),Assumptions!$D$6,IF(ISNUMBER(SEARCH(Assumptions!$C$7,F1171)),Assumptions!$D$7,"Other Services"))),"Other Services"))</f>
        <v/>
      </c>
    </row>
    <row r="1172" customFormat="false" ht="15" hidden="false" customHeight="false" outlineLevel="0" collapsed="false">
      <c r="I1172" s="41" t="str">
        <f aca="false">IF(F1172="","",IFERROR(IF(ISNUMBER(SEARCH(Assumptions!$C$5,F1172)),Assumptions!$D$5,IF(ISNUMBER(SEARCH(Assumptions!$C$6,F1172)),Assumptions!$D$6,IF(ISNUMBER(SEARCH(Assumptions!$C$7,F1172)),Assumptions!$D$7,"Other Services"))),"Other Services"))</f>
        <v/>
      </c>
    </row>
    <row r="1173" customFormat="false" ht="15" hidden="false" customHeight="false" outlineLevel="0" collapsed="false">
      <c r="I1173" s="41" t="str">
        <f aca="false">IF(F1173="","",IFERROR(IF(ISNUMBER(SEARCH(Assumptions!$C$5,F1173)),Assumptions!$D$5,IF(ISNUMBER(SEARCH(Assumptions!$C$6,F1173)),Assumptions!$D$6,IF(ISNUMBER(SEARCH(Assumptions!$C$7,F1173)),Assumptions!$D$7,"Other Services"))),"Other Services"))</f>
        <v/>
      </c>
    </row>
    <row r="1174" customFormat="false" ht="15" hidden="false" customHeight="false" outlineLevel="0" collapsed="false">
      <c r="I1174" s="41" t="str">
        <f aca="false">IF(F1174="","",IFERROR(IF(ISNUMBER(SEARCH(Assumptions!$C$5,F1174)),Assumptions!$D$5,IF(ISNUMBER(SEARCH(Assumptions!$C$6,F1174)),Assumptions!$D$6,IF(ISNUMBER(SEARCH(Assumptions!$C$7,F1174)),Assumptions!$D$7,"Other Services"))),"Other Services"))</f>
        <v/>
      </c>
    </row>
    <row r="1175" customFormat="false" ht="15" hidden="false" customHeight="false" outlineLevel="0" collapsed="false">
      <c r="I1175" s="41" t="str">
        <f aca="false">IF(F1175="","",IFERROR(IF(ISNUMBER(SEARCH(Assumptions!$C$5,F1175)),Assumptions!$D$5,IF(ISNUMBER(SEARCH(Assumptions!$C$6,F1175)),Assumptions!$D$6,IF(ISNUMBER(SEARCH(Assumptions!$C$7,F1175)),Assumptions!$D$7,"Other Services"))),"Other Services"))</f>
        <v/>
      </c>
    </row>
    <row r="1176" customFormat="false" ht="15" hidden="false" customHeight="false" outlineLevel="0" collapsed="false">
      <c r="I1176" s="41" t="str">
        <f aca="false">IF(F1176="","",IFERROR(IF(ISNUMBER(SEARCH(Assumptions!$C$5,F1176)),Assumptions!$D$5,IF(ISNUMBER(SEARCH(Assumptions!$C$6,F1176)),Assumptions!$D$6,IF(ISNUMBER(SEARCH(Assumptions!$C$7,F1176)),Assumptions!$D$7,"Other Services"))),"Other Services"))</f>
        <v/>
      </c>
    </row>
    <row r="1177" customFormat="false" ht="15" hidden="false" customHeight="false" outlineLevel="0" collapsed="false">
      <c r="I1177" s="41" t="str">
        <f aca="false">IF(F1177="","",IFERROR(IF(ISNUMBER(SEARCH(Assumptions!$C$5,F1177)),Assumptions!$D$5,IF(ISNUMBER(SEARCH(Assumptions!$C$6,F1177)),Assumptions!$D$6,IF(ISNUMBER(SEARCH(Assumptions!$C$7,F1177)),Assumptions!$D$7,"Other Services"))),"Other Services"))</f>
        <v/>
      </c>
    </row>
    <row r="1178" customFormat="false" ht="15" hidden="false" customHeight="false" outlineLevel="0" collapsed="false">
      <c r="I1178" s="41" t="str">
        <f aca="false">IF(F1178="","",IFERROR(IF(ISNUMBER(SEARCH(Assumptions!$C$5,F1178)),Assumptions!$D$5,IF(ISNUMBER(SEARCH(Assumptions!$C$6,F1178)),Assumptions!$D$6,IF(ISNUMBER(SEARCH(Assumptions!$C$7,F1178)),Assumptions!$D$7,"Other Services"))),"Other Services"))</f>
        <v/>
      </c>
    </row>
    <row r="1179" customFormat="false" ht="15" hidden="false" customHeight="false" outlineLevel="0" collapsed="false">
      <c r="I1179" s="41" t="str">
        <f aca="false">IF(F1179="","",IFERROR(IF(ISNUMBER(SEARCH(Assumptions!$C$5,F1179)),Assumptions!$D$5,IF(ISNUMBER(SEARCH(Assumptions!$C$6,F1179)),Assumptions!$D$6,IF(ISNUMBER(SEARCH(Assumptions!$C$7,F1179)),Assumptions!$D$7,"Other Services"))),"Other Services"))</f>
        <v/>
      </c>
    </row>
    <row r="1180" customFormat="false" ht="15" hidden="false" customHeight="false" outlineLevel="0" collapsed="false">
      <c r="I1180" s="41" t="str">
        <f aca="false">IF(F1180="","",IFERROR(IF(ISNUMBER(SEARCH(Assumptions!$C$5,F1180)),Assumptions!$D$5,IF(ISNUMBER(SEARCH(Assumptions!$C$6,F1180)),Assumptions!$D$6,IF(ISNUMBER(SEARCH(Assumptions!$C$7,F1180)),Assumptions!$D$7,"Other Services"))),"Other Services"))</f>
        <v/>
      </c>
    </row>
    <row r="1181" customFormat="false" ht="15" hidden="false" customHeight="false" outlineLevel="0" collapsed="false">
      <c r="I1181" s="41" t="str">
        <f aca="false">IF(F1181="","",IFERROR(IF(ISNUMBER(SEARCH(Assumptions!$C$5,F1181)),Assumptions!$D$5,IF(ISNUMBER(SEARCH(Assumptions!$C$6,F1181)),Assumptions!$D$6,IF(ISNUMBER(SEARCH(Assumptions!$C$7,F1181)),Assumptions!$D$7,"Other Services"))),"Other Services"))</f>
        <v/>
      </c>
    </row>
    <row r="1182" customFormat="false" ht="15" hidden="false" customHeight="false" outlineLevel="0" collapsed="false">
      <c r="I1182" s="41" t="str">
        <f aca="false">IF(F1182="","",IFERROR(IF(ISNUMBER(SEARCH(Assumptions!$C$5,F1182)),Assumptions!$D$5,IF(ISNUMBER(SEARCH(Assumptions!$C$6,F1182)),Assumptions!$D$6,IF(ISNUMBER(SEARCH(Assumptions!$C$7,F1182)),Assumptions!$D$7,"Other Services"))),"Other Services"))</f>
        <v/>
      </c>
    </row>
    <row r="1183" customFormat="false" ht="15" hidden="false" customHeight="false" outlineLevel="0" collapsed="false">
      <c r="I1183" s="41" t="str">
        <f aca="false">IF(F1183="","",IFERROR(IF(ISNUMBER(SEARCH(Assumptions!$C$5,F1183)),Assumptions!$D$5,IF(ISNUMBER(SEARCH(Assumptions!$C$6,F1183)),Assumptions!$D$6,IF(ISNUMBER(SEARCH(Assumptions!$C$7,F1183)),Assumptions!$D$7,"Other Services"))),"Other Services"))</f>
        <v/>
      </c>
    </row>
    <row r="1184" customFormat="false" ht="15" hidden="false" customHeight="false" outlineLevel="0" collapsed="false">
      <c r="I1184" s="41" t="str">
        <f aca="false">IF(F1184="","",IFERROR(IF(ISNUMBER(SEARCH(Assumptions!$C$5,F1184)),Assumptions!$D$5,IF(ISNUMBER(SEARCH(Assumptions!$C$6,F1184)),Assumptions!$D$6,IF(ISNUMBER(SEARCH(Assumptions!$C$7,F1184)),Assumptions!$D$7,"Other Services"))),"Other Services"))</f>
        <v/>
      </c>
    </row>
    <row r="1185" customFormat="false" ht="15" hidden="false" customHeight="false" outlineLevel="0" collapsed="false">
      <c r="I1185" s="41" t="str">
        <f aca="false">IF(F1185="","",IFERROR(IF(ISNUMBER(SEARCH(Assumptions!$C$5,F1185)),Assumptions!$D$5,IF(ISNUMBER(SEARCH(Assumptions!$C$6,F1185)),Assumptions!$D$6,IF(ISNUMBER(SEARCH(Assumptions!$C$7,F1185)),Assumptions!$D$7,"Other Services"))),"Other Services"))</f>
        <v/>
      </c>
    </row>
    <row r="1186" customFormat="false" ht="15" hidden="false" customHeight="false" outlineLevel="0" collapsed="false">
      <c r="I1186" s="41" t="str">
        <f aca="false">IF(F1186="","",IFERROR(IF(ISNUMBER(SEARCH(Assumptions!$C$5,F1186)),Assumptions!$D$5,IF(ISNUMBER(SEARCH(Assumptions!$C$6,F1186)),Assumptions!$D$6,IF(ISNUMBER(SEARCH(Assumptions!$C$7,F1186)),Assumptions!$D$7,"Other Services"))),"Other Services"))</f>
        <v/>
      </c>
    </row>
    <row r="1187" customFormat="false" ht="15" hidden="false" customHeight="false" outlineLevel="0" collapsed="false">
      <c r="I1187" s="41" t="str">
        <f aca="false">IF(F1187="","",IFERROR(IF(ISNUMBER(SEARCH(Assumptions!$C$5,F1187)),Assumptions!$D$5,IF(ISNUMBER(SEARCH(Assumptions!$C$6,F1187)),Assumptions!$D$6,IF(ISNUMBER(SEARCH(Assumptions!$C$7,F1187)),Assumptions!$D$7,"Other Services"))),"Other Services"))</f>
        <v/>
      </c>
    </row>
    <row r="1188" customFormat="false" ht="15" hidden="false" customHeight="false" outlineLevel="0" collapsed="false">
      <c r="I1188" s="41" t="str">
        <f aca="false">IF(F1188="","",IFERROR(IF(ISNUMBER(SEARCH(Assumptions!$C$5,F1188)),Assumptions!$D$5,IF(ISNUMBER(SEARCH(Assumptions!$C$6,F1188)),Assumptions!$D$6,IF(ISNUMBER(SEARCH(Assumptions!$C$7,F1188)),Assumptions!$D$7,"Other Services"))),"Other Services"))</f>
        <v/>
      </c>
    </row>
    <row r="1189" customFormat="false" ht="15" hidden="false" customHeight="false" outlineLevel="0" collapsed="false">
      <c r="I1189" s="41" t="str">
        <f aca="false">IF(F1189="","",IFERROR(IF(ISNUMBER(SEARCH(Assumptions!$C$5,F1189)),Assumptions!$D$5,IF(ISNUMBER(SEARCH(Assumptions!$C$6,F1189)),Assumptions!$D$6,IF(ISNUMBER(SEARCH(Assumptions!$C$7,F1189)),Assumptions!$D$7,"Other Services"))),"Other Services"))</f>
        <v/>
      </c>
    </row>
    <row r="1190" customFormat="false" ht="15" hidden="false" customHeight="false" outlineLevel="0" collapsed="false">
      <c r="I1190" s="41" t="str">
        <f aca="false">IF(F1190="","",IFERROR(IF(ISNUMBER(SEARCH(Assumptions!$C$5,F1190)),Assumptions!$D$5,IF(ISNUMBER(SEARCH(Assumptions!$C$6,F1190)),Assumptions!$D$6,IF(ISNUMBER(SEARCH(Assumptions!$C$7,F1190)),Assumptions!$D$7,"Other Services"))),"Other Services"))</f>
        <v/>
      </c>
    </row>
    <row r="1191" customFormat="false" ht="15" hidden="false" customHeight="false" outlineLevel="0" collapsed="false">
      <c r="I1191" s="41" t="str">
        <f aca="false">IF(F1191="","",IFERROR(IF(ISNUMBER(SEARCH(Assumptions!$C$5,F1191)),Assumptions!$D$5,IF(ISNUMBER(SEARCH(Assumptions!$C$6,F1191)),Assumptions!$D$6,IF(ISNUMBER(SEARCH(Assumptions!$C$7,F1191)),Assumptions!$D$7,"Other Services"))),"Other Services"))</f>
        <v/>
      </c>
    </row>
    <row r="1192" customFormat="false" ht="15" hidden="false" customHeight="false" outlineLevel="0" collapsed="false">
      <c r="I1192" s="41" t="str">
        <f aca="false">IF(F1192="","",IFERROR(IF(ISNUMBER(SEARCH(Assumptions!$C$5,F1192)),Assumptions!$D$5,IF(ISNUMBER(SEARCH(Assumptions!$C$6,F1192)),Assumptions!$D$6,IF(ISNUMBER(SEARCH(Assumptions!$C$7,F1192)),Assumptions!$D$7,"Other Services"))),"Other Services"))</f>
        <v/>
      </c>
    </row>
    <row r="1193" customFormat="false" ht="15" hidden="false" customHeight="false" outlineLevel="0" collapsed="false">
      <c r="I1193" s="41" t="str">
        <f aca="false">IF(F1193="","",IFERROR(IF(ISNUMBER(SEARCH(Assumptions!$C$5,F1193)),Assumptions!$D$5,IF(ISNUMBER(SEARCH(Assumptions!$C$6,F1193)),Assumptions!$D$6,IF(ISNUMBER(SEARCH(Assumptions!$C$7,F1193)),Assumptions!$D$7,"Other Services"))),"Other Services"))</f>
        <v/>
      </c>
    </row>
    <row r="1194" customFormat="false" ht="15" hidden="false" customHeight="false" outlineLevel="0" collapsed="false">
      <c r="I1194" s="41" t="str">
        <f aca="false">IF(F1194="","",IFERROR(IF(ISNUMBER(SEARCH(Assumptions!$C$5,F1194)),Assumptions!$D$5,IF(ISNUMBER(SEARCH(Assumptions!$C$6,F1194)),Assumptions!$D$6,IF(ISNUMBER(SEARCH(Assumptions!$C$7,F1194)),Assumptions!$D$7,"Other Services"))),"Other Services"))</f>
        <v/>
      </c>
    </row>
    <row r="1195" customFormat="false" ht="15" hidden="false" customHeight="false" outlineLevel="0" collapsed="false">
      <c r="I1195" s="41" t="str">
        <f aca="false">IF(F1195="","",IFERROR(IF(ISNUMBER(SEARCH(Assumptions!$C$5,F1195)),Assumptions!$D$5,IF(ISNUMBER(SEARCH(Assumptions!$C$6,F1195)),Assumptions!$D$6,IF(ISNUMBER(SEARCH(Assumptions!$C$7,F1195)),Assumptions!$D$7,"Other Services"))),"Other Services"))</f>
        <v/>
      </c>
    </row>
    <row r="1196" customFormat="false" ht="15" hidden="false" customHeight="false" outlineLevel="0" collapsed="false">
      <c r="I1196" s="41" t="str">
        <f aca="false">IF(F1196="","",IFERROR(IF(ISNUMBER(SEARCH(Assumptions!$C$5,F1196)),Assumptions!$D$5,IF(ISNUMBER(SEARCH(Assumptions!$C$6,F1196)),Assumptions!$D$6,IF(ISNUMBER(SEARCH(Assumptions!$C$7,F1196)),Assumptions!$D$7,"Other Services"))),"Other Services"))</f>
        <v/>
      </c>
    </row>
    <row r="1197" customFormat="false" ht="15" hidden="false" customHeight="false" outlineLevel="0" collapsed="false">
      <c r="I1197" s="41" t="str">
        <f aca="false">IF(F1197="","",IFERROR(IF(ISNUMBER(SEARCH(Assumptions!$C$5,F1197)),Assumptions!$D$5,IF(ISNUMBER(SEARCH(Assumptions!$C$6,F1197)),Assumptions!$D$6,IF(ISNUMBER(SEARCH(Assumptions!$C$7,F1197)),Assumptions!$D$7,"Other Services"))),"Other Services"))</f>
        <v/>
      </c>
    </row>
    <row r="1198" customFormat="false" ht="15" hidden="false" customHeight="false" outlineLevel="0" collapsed="false">
      <c r="I1198" s="41" t="str">
        <f aca="false">IF(F1198="","",IFERROR(IF(ISNUMBER(SEARCH(Assumptions!$C$5,F1198)),Assumptions!$D$5,IF(ISNUMBER(SEARCH(Assumptions!$C$6,F1198)),Assumptions!$D$6,IF(ISNUMBER(SEARCH(Assumptions!$C$7,F1198)),Assumptions!$D$7,"Other Services"))),"Other Services"))</f>
        <v/>
      </c>
    </row>
    <row r="1199" customFormat="false" ht="15" hidden="false" customHeight="false" outlineLevel="0" collapsed="false">
      <c r="I1199" s="41" t="str">
        <f aca="false">IF(F1199="","",IFERROR(IF(ISNUMBER(SEARCH(Assumptions!$C$5,F1199)),Assumptions!$D$5,IF(ISNUMBER(SEARCH(Assumptions!$C$6,F1199)),Assumptions!$D$6,IF(ISNUMBER(SEARCH(Assumptions!$C$7,F1199)),Assumptions!$D$7,"Other Services"))),"Other Services"))</f>
        <v/>
      </c>
    </row>
    <row r="1200" customFormat="false" ht="15" hidden="false" customHeight="false" outlineLevel="0" collapsed="false">
      <c r="I1200" s="41" t="str">
        <f aca="false">IF(F1200="","",IFERROR(IF(ISNUMBER(SEARCH(Assumptions!$C$5,F1200)),Assumptions!$D$5,IF(ISNUMBER(SEARCH(Assumptions!$C$6,F1200)),Assumptions!$D$6,IF(ISNUMBER(SEARCH(Assumptions!$C$7,F1200)),Assumptions!$D$7,"Other Services"))),"Other Services"))</f>
        <v/>
      </c>
    </row>
    <row r="1201" customFormat="false" ht="15" hidden="false" customHeight="false" outlineLevel="0" collapsed="false">
      <c r="I1201" s="41" t="str">
        <f aca="false">IF(F1201="","",IFERROR(IF(ISNUMBER(SEARCH(Assumptions!$C$5,F1201)),Assumptions!$D$5,IF(ISNUMBER(SEARCH(Assumptions!$C$6,F1201)),Assumptions!$D$6,IF(ISNUMBER(SEARCH(Assumptions!$C$7,F1201)),Assumptions!$D$7,"Other Services"))),"Other Services"))</f>
        <v/>
      </c>
    </row>
    <row r="1202" customFormat="false" ht="15" hidden="false" customHeight="false" outlineLevel="0" collapsed="false">
      <c r="I1202" s="41" t="str">
        <f aca="false">IF(F1202="","",IFERROR(IF(ISNUMBER(SEARCH(Assumptions!$C$5,F1202)),Assumptions!$D$5,IF(ISNUMBER(SEARCH(Assumptions!$C$6,F1202)),Assumptions!$D$6,IF(ISNUMBER(SEARCH(Assumptions!$C$7,F1202)),Assumptions!$D$7,"Other Services"))),"Other Services"))</f>
        <v/>
      </c>
    </row>
    <row r="1203" customFormat="false" ht="15" hidden="false" customHeight="false" outlineLevel="0" collapsed="false">
      <c r="I1203" s="41" t="str">
        <f aca="false">IF(F1203="","",IFERROR(IF(ISNUMBER(SEARCH(Assumptions!$C$5,F1203)),Assumptions!$D$5,IF(ISNUMBER(SEARCH(Assumptions!$C$6,F1203)),Assumptions!$D$6,IF(ISNUMBER(SEARCH(Assumptions!$C$7,F1203)),Assumptions!$D$7,"Other Services"))),"Other Services"))</f>
        <v/>
      </c>
    </row>
    <row r="1204" customFormat="false" ht="15" hidden="false" customHeight="false" outlineLevel="0" collapsed="false">
      <c r="I1204" s="41" t="str">
        <f aca="false">IF(F1204="","",IFERROR(IF(ISNUMBER(SEARCH(Assumptions!$C$5,F1204)),Assumptions!$D$5,IF(ISNUMBER(SEARCH(Assumptions!$C$6,F1204)),Assumptions!$D$6,IF(ISNUMBER(SEARCH(Assumptions!$C$7,F1204)),Assumptions!$D$7,"Other Services"))),"Other Services"))</f>
        <v/>
      </c>
    </row>
    <row r="1205" customFormat="false" ht="15" hidden="false" customHeight="false" outlineLevel="0" collapsed="false">
      <c r="I1205" s="41" t="str">
        <f aca="false">IF(F1205="","",IFERROR(IF(ISNUMBER(SEARCH(Assumptions!$C$5,F1205)),Assumptions!$D$5,IF(ISNUMBER(SEARCH(Assumptions!$C$6,F1205)),Assumptions!$D$6,IF(ISNUMBER(SEARCH(Assumptions!$C$7,F1205)),Assumptions!$D$7,"Other Services"))),"Other Services"))</f>
        <v/>
      </c>
    </row>
    <row r="1206" customFormat="false" ht="15" hidden="false" customHeight="false" outlineLevel="0" collapsed="false">
      <c r="I1206" s="41" t="str">
        <f aca="false">IF(F1206="","",IFERROR(IF(ISNUMBER(SEARCH(Assumptions!$C$5,F1206)),Assumptions!$D$5,IF(ISNUMBER(SEARCH(Assumptions!$C$6,F1206)),Assumptions!$D$6,IF(ISNUMBER(SEARCH(Assumptions!$C$7,F1206)),Assumptions!$D$7,"Other Services"))),"Other Services"))</f>
        <v/>
      </c>
    </row>
    <row r="1207" customFormat="false" ht="15" hidden="false" customHeight="false" outlineLevel="0" collapsed="false">
      <c r="I1207" s="41" t="str">
        <f aca="false">IF(F1207="","",IFERROR(IF(ISNUMBER(SEARCH(Assumptions!$C$5,F1207)),Assumptions!$D$5,IF(ISNUMBER(SEARCH(Assumptions!$C$6,F1207)),Assumptions!$D$6,IF(ISNUMBER(SEARCH(Assumptions!$C$7,F1207)),Assumptions!$D$7,"Other Services"))),"Other Services"))</f>
        <v/>
      </c>
    </row>
    <row r="1208" customFormat="false" ht="15" hidden="false" customHeight="false" outlineLevel="0" collapsed="false">
      <c r="I1208" s="41" t="str">
        <f aca="false">IF(F1208="","",IFERROR(IF(ISNUMBER(SEARCH(Assumptions!$C$5,F1208)),Assumptions!$D$5,IF(ISNUMBER(SEARCH(Assumptions!$C$6,F1208)),Assumptions!$D$6,IF(ISNUMBER(SEARCH(Assumptions!$C$7,F1208)),Assumptions!$D$7,"Other Services"))),"Other Services"))</f>
        <v/>
      </c>
    </row>
    <row r="1209" customFormat="false" ht="15" hidden="false" customHeight="false" outlineLevel="0" collapsed="false">
      <c r="I1209" s="41" t="str">
        <f aca="false">IF(F1209="","",IFERROR(IF(ISNUMBER(SEARCH(Assumptions!$C$5,F1209)),Assumptions!$D$5,IF(ISNUMBER(SEARCH(Assumptions!$C$6,F1209)),Assumptions!$D$6,IF(ISNUMBER(SEARCH(Assumptions!$C$7,F1209)),Assumptions!$D$7,"Other Services"))),"Other Services"))</f>
        <v/>
      </c>
    </row>
    <row r="1210" customFormat="false" ht="15" hidden="false" customHeight="false" outlineLevel="0" collapsed="false">
      <c r="I1210" s="41" t="str">
        <f aca="false">IF(F1210="","",IFERROR(IF(ISNUMBER(SEARCH(Assumptions!$C$5,F1210)),Assumptions!$D$5,IF(ISNUMBER(SEARCH(Assumptions!$C$6,F1210)),Assumptions!$D$6,IF(ISNUMBER(SEARCH(Assumptions!$C$7,F1210)),Assumptions!$D$7,"Other Services"))),"Other Services"))</f>
        <v/>
      </c>
    </row>
    <row r="1211" customFormat="false" ht="15" hidden="false" customHeight="false" outlineLevel="0" collapsed="false">
      <c r="I1211" s="41" t="str">
        <f aca="false">IF(F1211="","",IFERROR(IF(ISNUMBER(SEARCH(Assumptions!$C$5,F1211)),Assumptions!$D$5,IF(ISNUMBER(SEARCH(Assumptions!$C$6,F1211)),Assumptions!$D$6,IF(ISNUMBER(SEARCH(Assumptions!$C$7,F1211)),Assumptions!$D$7,"Other Services"))),"Other Services"))</f>
        <v/>
      </c>
    </row>
    <row r="1212" customFormat="false" ht="15" hidden="false" customHeight="false" outlineLevel="0" collapsed="false">
      <c r="I1212" s="41" t="str">
        <f aca="false">IF(F1212="","",IFERROR(IF(ISNUMBER(SEARCH(Assumptions!$C$5,F1212)),Assumptions!$D$5,IF(ISNUMBER(SEARCH(Assumptions!$C$6,F1212)),Assumptions!$D$6,IF(ISNUMBER(SEARCH(Assumptions!$C$7,F1212)),Assumptions!$D$7,"Other Services"))),"Other Services"))</f>
        <v/>
      </c>
    </row>
    <row r="1213" customFormat="false" ht="15" hidden="false" customHeight="false" outlineLevel="0" collapsed="false">
      <c r="I1213" s="41" t="str">
        <f aca="false">IF(F1213="","",IFERROR(IF(ISNUMBER(SEARCH(Assumptions!$C$5,F1213)),Assumptions!$D$5,IF(ISNUMBER(SEARCH(Assumptions!$C$6,F1213)),Assumptions!$D$6,IF(ISNUMBER(SEARCH(Assumptions!$C$7,F1213)),Assumptions!$D$7,"Other Services"))),"Other Services"))</f>
        <v/>
      </c>
    </row>
    <row r="1214" customFormat="false" ht="15" hidden="false" customHeight="false" outlineLevel="0" collapsed="false">
      <c r="I1214" s="41" t="str">
        <f aca="false">IF(F1214="","",IFERROR(IF(ISNUMBER(SEARCH(Assumptions!$C$5,F1214)),Assumptions!$D$5,IF(ISNUMBER(SEARCH(Assumptions!$C$6,F1214)),Assumptions!$D$6,IF(ISNUMBER(SEARCH(Assumptions!$C$7,F1214)),Assumptions!$D$7,"Other Services"))),"Other Services"))</f>
        <v/>
      </c>
    </row>
    <row r="1215" customFormat="false" ht="15" hidden="false" customHeight="false" outlineLevel="0" collapsed="false">
      <c r="I1215" s="41" t="str">
        <f aca="false">IF(F1215="","",IFERROR(IF(ISNUMBER(SEARCH(Assumptions!$C$5,F1215)),Assumptions!$D$5,IF(ISNUMBER(SEARCH(Assumptions!$C$6,F1215)),Assumptions!$D$6,IF(ISNUMBER(SEARCH(Assumptions!$C$7,F1215)),Assumptions!$D$7,"Other Services"))),"Other Services"))</f>
        <v/>
      </c>
    </row>
    <row r="1216" customFormat="false" ht="15" hidden="false" customHeight="false" outlineLevel="0" collapsed="false">
      <c r="I1216" s="41" t="str">
        <f aca="false">IF(F1216="","",IFERROR(IF(ISNUMBER(SEARCH(Assumptions!$C$5,F1216)),Assumptions!$D$5,IF(ISNUMBER(SEARCH(Assumptions!$C$6,F1216)),Assumptions!$D$6,IF(ISNUMBER(SEARCH(Assumptions!$C$7,F1216)),Assumptions!$D$7,"Other Services"))),"Other Services"))</f>
        <v/>
      </c>
    </row>
    <row r="1217" customFormat="false" ht="15" hidden="false" customHeight="false" outlineLevel="0" collapsed="false">
      <c r="I1217" s="41" t="str">
        <f aca="false">IF(F1217="","",IFERROR(IF(ISNUMBER(SEARCH(Assumptions!$C$5,F1217)),Assumptions!$D$5,IF(ISNUMBER(SEARCH(Assumptions!$C$6,F1217)),Assumptions!$D$6,IF(ISNUMBER(SEARCH(Assumptions!$C$7,F1217)),Assumptions!$D$7,"Other Services"))),"Other Services"))</f>
        <v/>
      </c>
    </row>
    <row r="1218" customFormat="false" ht="15" hidden="false" customHeight="false" outlineLevel="0" collapsed="false">
      <c r="I1218" s="41" t="str">
        <f aca="false">IF(F1218="","",IFERROR(IF(ISNUMBER(SEARCH(Assumptions!$C$5,F1218)),Assumptions!$D$5,IF(ISNUMBER(SEARCH(Assumptions!$C$6,F1218)),Assumptions!$D$6,IF(ISNUMBER(SEARCH(Assumptions!$C$7,F1218)),Assumptions!$D$7,"Other Services"))),"Other Services"))</f>
        <v/>
      </c>
    </row>
    <row r="1219" customFormat="false" ht="15" hidden="false" customHeight="false" outlineLevel="0" collapsed="false">
      <c r="I1219" s="41" t="str">
        <f aca="false">IF(F1219="","",IFERROR(IF(ISNUMBER(SEARCH(Assumptions!$C$5,F1219)),Assumptions!$D$5,IF(ISNUMBER(SEARCH(Assumptions!$C$6,F1219)),Assumptions!$D$6,IF(ISNUMBER(SEARCH(Assumptions!$C$7,F1219)),Assumptions!$D$7,"Other Services"))),"Other Services"))</f>
        <v/>
      </c>
    </row>
    <row r="1220" customFormat="false" ht="15" hidden="false" customHeight="false" outlineLevel="0" collapsed="false">
      <c r="I1220" s="41" t="str">
        <f aca="false">IF(F1220="","",IFERROR(IF(ISNUMBER(SEARCH(Assumptions!$C$5,F1220)),Assumptions!$D$5,IF(ISNUMBER(SEARCH(Assumptions!$C$6,F1220)),Assumptions!$D$6,IF(ISNUMBER(SEARCH(Assumptions!$C$7,F1220)),Assumptions!$D$7,"Other Services"))),"Other Services"))</f>
        <v/>
      </c>
    </row>
    <row r="1221" customFormat="false" ht="15" hidden="false" customHeight="false" outlineLevel="0" collapsed="false">
      <c r="I1221" s="41" t="str">
        <f aca="false">IF(F1221="","",IFERROR(IF(ISNUMBER(SEARCH(Assumptions!$C$5,F1221)),Assumptions!$D$5,IF(ISNUMBER(SEARCH(Assumptions!$C$6,F1221)),Assumptions!$D$6,IF(ISNUMBER(SEARCH(Assumptions!$C$7,F1221)),Assumptions!$D$7,"Other Services"))),"Other Services"))</f>
        <v/>
      </c>
    </row>
    <row r="1222" customFormat="false" ht="15" hidden="false" customHeight="false" outlineLevel="0" collapsed="false">
      <c r="I1222" s="41" t="str">
        <f aca="false">IF(F1222="","",IFERROR(IF(ISNUMBER(SEARCH(Assumptions!$C$5,F1222)),Assumptions!$D$5,IF(ISNUMBER(SEARCH(Assumptions!$C$6,F1222)),Assumptions!$D$6,IF(ISNUMBER(SEARCH(Assumptions!$C$7,F1222)),Assumptions!$D$7,"Other Services"))),"Other Services"))</f>
        <v/>
      </c>
    </row>
    <row r="1223" customFormat="false" ht="15" hidden="false" customHeight="false" outlineLevel="0" collapsed="false">
      <c r="I1223" s="41" t="str">
        <f aca="false">IF(F1223="","",IFERROR(IF(ISNUMBER(SEARCH(Assumptions!$C$5,F1223)),Assumptions!$D$5,IF(ISNUMBER(SEARCH(Assumptions!$C$6,F1223)),Assumptions!$D$6,IF(ISNUMBER(SEARCH(Assumptions!$C$7,F1223)),Assumptions!$D$7,"Other Services"))),"Other Services"))</f>
        <v/>
      </c>
    </row>
    <row r="1224" customFormat="false" ht="15" hidden="false" customHeight="false" outlineLevel="0" collapsed="false">
      <c r="I1224" s="41" t="str">
        <f aca="false">IF(F1224="","",IFERROR(IF(ISNUMBER(SEARCH(Assumptions!$C$5,F1224)),Assumptions!$D$5,IF(ISNUMBER(SEARCH(Assumptions!$C$6,F1224)),Assumptions!$D$6,IF(ISNUMBER(SEARCH(Assumptions!$C$7,F1224)),Assumptions!$D$7,"Other Services"))),"Other Services"))</f>
        <v/>
      </c>
    </row>
    <row r="1225" customFormat="false" ht="15" hidden="false" customHeight="false" outlineLevel="0" collapsed="false">
      <c r="I1225" s="41" t="str">
        <f aca="false">IF(F1225="","",IFERROR(IF(ISNUMBER(SEARCH(Assumptions!$C$5,F1225)),Assumptions!$D$5,IF(ISNUMBER(SEARCH(Assumptions!$C$6,F1225)),Assumptions!$D$6,IF(ISNUMBER(SEARCH(Assumptions!$C$7,F1225)),Assumptions!$D$7,"Other Services"))),"Other Services"))</f>
        <v/>
      </c>
    </row>
    <row r="1226" customFormat="false" ht="15" hidden="false" customHeight="false" outlineLevel="0" collapsed="false">
      <c r="I1226" s="41" t="str">
        <f aca="false">IF(F1226="","",IFERROR(IF(ISNUMBER(SEARCH(Assumptions!$C$5,F1226)),Assumptions!$D$5,IF(ISNUMBER(SEARCH(Assumptions!$C$6,F1226)),Assumptions!$D$6,IF(ISNUMBER(SEARCH(Assumptions!$C$7,F1226)),Assumptions!$D$7,"Other Services"))),"Other Services"))</f>
        <v/>
      </c>
    </row>
    <row r="1227" customFormat="false" ht="15" hidden="false" customHeight="false" outlineLevel="0" collapsed="false">
      <c r="I1227" s="41" t="str">
        <f aca="false">IF(F1227="","",IFERROR(IF(ISNUMBER(SEARCH(Assumptions!$C$5,F1227)),Assumptions!$D$5,IF(ISNUMBER(SEARCH(Assumptions!$C$6,F1227)),Assumptions!$D$6,IF(ISNUMBER(SEARCH(Assumptions!$C$7,F1227)),Assumptions!$D$7,"Other Services"))),"Other Services"))</f>
        <v/>
      </c>
    </row>
    <row r="1228" customFormat="false" ht="15" hidden="false" customHeight="false" outlineLevel="0" collapsed="false">
      <c r="I1228" s="41" t="str">
        <f aca="false">IF(F1228="","",IFERROR(IF(ISNUMBER(SEARCH(Assumptions!$C$5,F1228)),Assumptions!$D$5,IF(ISNUMBER(SEARCH(Assumptions!$C$6,F1228)),Assumptions!$D$6,IF(ISNUMBER(SEARCH(Assumptions!$C$7,F1228)),Assumptions!$D$7,"Other Services"))),"Other Services"))</f>
        <v/>
      </c>
    </row>
    <row r="1229" customFormat="false" ht="15" hidden="false" customHeight="false" outlineLevel="0" collapsed="false">
      <c r="I1229" s="41" t="str">
        <f aca="false">IF(F1229="","",IFERROR(IF(ISNUMBER(SEARCH(Assumptions!$C$5,F1229)),Assumptions!$D$5,IF(ISNUMBER(SEARCH(Assumptions!$C$6,F1229)),Assumptions!$D$6,IF(ISNUMBER(SEARCH(Assumptions!$C$7,F1229)),Assumptions!$D$7,"Other Services"))),"Other Services"))</f>
        <v/>
      </c>
    </row>
    <row r="1230" customFormat="false" ht="15" hidden="false" customHeight="false" outlineLevel="0" collapsed="false">
      <c r="I1230" s="41" t="str">
        <f aca="false">IF(F1230="","",IFERROR(IF(ISNUMBER(SEARCH(Assumptions!$C$5,F1230)),Assumptions!$D$5,IF(ISNUMBER(SEARCH(Assumptions!$C$6,F1230)),Assumptions!$D$6,IF(ISNUMBER(SEARCH(Assumptions!$C$7,F1230)),Assumptions!$D$7,"Other Services"))),"Other Services"))</f>
        <v/>
      </c>
    </row>
    <row r="1231" customFormat="false" ht="15" hidden="false" customHeight="false" outlineLevel="0" collapsed="false">
      <c r="I1231" s="41" t="str">
        <f aca="false">IF(F1231="","",IFERROR(IF(ISNUMBER(SEARCH(Assumptions!$C$5,F1231)),Assumptions!$D$5,IF(ISNUMBER(SEARCH(Assumptions!$C$6,F1231)),Assumptions!$D$6,IF(ISNUMBER(SEARCH(Assumptions!$C$7,F1231)),Assumptions!$D$7,"Other Services"))),"Other Services"))</f>
        <v/>
      </c>
    </row>
    <row r="1232" customFormat="false" ht="15" hidden="false" customHeight="false" outlineLevel="0" collapsed="false">
      <c r="I1232" s="41" t="str">
        <f aca="false">IF(F1232="","",IFERROR(IF(ISNUMBER(SEARCH(Assumptions!$C$5,F1232)),Assumptions!$D$5,IF(ISNUMBER(SEARCH(Assumptions!$C$6,F1232)),Assumptions!$D$6,IF(ISNUMBER(SEARCH(Assumptions!$C$7,F1232)),Assumptions!$D$7,"Other Services"))),"Other Services"))</f>
        <v/>
      </c>
    </row>
    <row r="1233" customFormat="false" ht="15" hidden="false" customHeight="false" outlineLevel="0" collapsed="false">
      <c r="I1233" s="41" t="str">
        <f aca="false">IF(F1233="","",IFERROR(IF(ISNUMBER(SEARCH(Assumptions!$C$5,F1233)),Assumptions!$D$5,IF(ISNUMBER(SEARCH(Assumptions!$C$6,F1233)),Assumptions!$D$6,IF(ISNUMBER(SEARCH(Assumptions!$C$7,F1233)),Assumptions!$D$7,"Other Services"))),"Other Services"))</f>
        <v/>
      </c>
    </row>
    <row r="1234" customFormat="false" ht="15" hidden="false" customHeight="false" outlineLevel="0" collapsed="false">
      <c r="I1234" s="41" t="str">
        <f aca="false">IF(F1234="","",IFERROR(IF(ISNUMBER(SEARCH(Assumptions!$C$5,F1234)),Assumptions!$D$5,IF(ISNUMBER(SEARCH(Assumptions!$C$6,F1234)),Assumptions!$D$6,IF(ISNUMBER(SEARCH(Assumptions!$C$7,F1234)),Assumptions!$D$7,"Other Services"))),"Other Services"))</f>
        <v/>
      </c>
    </row>
    <row r="1235" customFormat="false" ht="15" hidden="false" customHeight="false" outlineLevel="0" collapsed="false">
      <c r="I1235" s="41" t="str">
        <f aca="false">IF(F1235="","",IFERROR(IF(ISNUMBER(SEARCH(Assumptions!$C$5,F1235)),Assumptions!$D$5,IF(ISNUMBER(SEARCH(Assumptions!$C$6,F1235)),Assumptions!$D$6,IF(ISNUMBER(SEARCH(Assumptions!$C$7,F1235)),Assumptions!$D$7,"Other Services"))),"Other Services"))</f>
        <v/>
      </c>
    </row>
    <row r="1236" customFormat="false" ht="15" hidden="false" customHeight="false" outlineLevel="0" collapsed="false">
      <c r="I1236" s="41" t="str">
        <f aca="false">IF(F1236="","",IFERROR(IF(ISNUMBER(SEARCH(Assumptions!$C$5,F1236)),Assumptions!$D$5,IF(ISNUMBER(SEARCH(Assumptions!$C$6,F1236)),Assumptions!$D$6,IF(ISNUMBER(SEARCH(Assumptions!$C$7,F1236)),Assumptions!$D$7,"Other Services"))),"Other Services"))</f>
        <v/>
      </c>
    </row>
    <row r="1237" customFormat="false" ht="15" hidden="false" customHeight="false" outlineLevel="0" collapsed="false">
      <c r="I1237" s="41" t="str">
        <f aca="false">IF(F1237="","",IFERROR(IF(ISNUMBER(SEARCH(Assumptions!$C$5,F1237)),Assumptions!$D$5,IF(ISNUMBER(SEARCH(Assumptions!$C$6,F1237)),Assumptions!$D$6,IF(ISNUMBER(SEARCH(Assumptions!$C$7,F1237)),Assumptions!$D$7,"Other Services"))),"Other Services"))</f>
        <v/>
      </c>
    </row>
    <row r="1238" customFormat="false" ht="15" hidden="false" customHeight="false" outlineLevel="0" collapsed="false">
      <c r="I1238" s="41" t="str">
        <f aca="false">IF(F1238="","",IFERROR(IF(ISNUMBER(SEARCH(Assumptions!$C$5,F1238)),Assumptions!$D$5,IF(ISNUMBER(SEARCH(Assumptions!$C$6,F1238)),Assumptions!$D$6,IF(ISNUMBER(SEARCH(Assumptions!$C$7,F1238)),Assumptions!$D$7,"Other Services"))),"Other Services"))</f>
        <v/>
      </c>
    </row>
    <row r="1239" customFormat="false" ht="15" hidden="false" customHeight="false" outlineLevel="0" collapsed="false">
      <c r="I1239" s="41" t="str">
        <f aca="false">IF(F1239="","",IFERROR(IF(ISNUMBER(SEARCH(Assumptions!$C$5,F1239)),Assumptions!$D$5,IF(ISNUMBER(SEARCH(Assumptions!$C$6,F1239)),Assumptions!$D$6,IF(ISNUMBER(SEARCH(Assumptions!$C$7,F1239)),Assumptions!$D$7,"Other Services"))),"Other Services"))</f>
        <v/>
      </c>
    </row>
    <row r="1240" customFormat="false" ht="15" hidden="false" customHeight="false" outlineLevel="0" collapsed="false">
      <c r="I1240" s="41" t="str">
        <f aca="false">IF(F1240="","",IFERROR(IF(ISNUMBER(SEARCH(Assumptions!$C$5,F1240)),Assumptions!$D$5,IF(ISNUMBER(SEARCH(Assumptions!$C$6,F1240)),Assumptions!$D$6,IF(ISNUMBER(SEARCH(Assumptions!$C$7,F1240)),Assumptions!$D$7,"Other Services"))),"Other Services"))</f>
        <v/>
      </c>
    </row>
    <row r="1241" customFormat="false" ht="15" hidden="false" customHeight="false" outlineLevel="0" collapsed="false">
      <c r="I1241" s="41" t="str">
        <f aca="false">IF(F1241="","",IFERROR(IF(ISNUMBER(SEARCH(Assumptions!$C$5,F1241)),Assumptions!$D$5,IF(ISNUMBER(SEARCH(Assumptions!$C$6,F1241)),Assumptions!$D$6,IF(ISNUMBER(SEARCH(Assumptions!$C$7,F1241)),Assumptions!$D$7,"Other Services"))),"Other Services"))</f>
        <v/>
      </c>
    </row>
    <row r="1242" customFormat="false" ht="15" hidden="false" customHeight="false" outlineLevel="0" collapsed="false">
      <c r="I1242" s="41" t="str">
        <f aca="false">IF(F1242="","",IFERROR(IF(ISNUMBER(SEARCH(Assumptions!$C$5,F1242)),Assumptions!$D$5,IF(ISNUMBER(SEARCH(Assumptions!$C$6,F1242)),Assumptions!$D$6,IF(ISNUMBER(SEARCH(Assumptions!$C$7,F1242)),Assumptions!$D$7,"Other Services"))),"Other Services"))</f>
        <v/>
      </c>
    </row>
    <row r="1243" customFormat="false" ht="15" hidden="false" customHeight="false" outlineLevel="0" collapsed="false">
      <c r="I1243" s="41" t="str">
        <f aca="false">IF(F1243="","",IFERROR(IF(ISNUMBER(SEARCH(Assumptions!$C$5,F1243)),Assumptions!$D$5,IF(ISNUMBER(SEARCH(Assumptions!$C$6,F1243)),Assumptions!$D$6,IF(ISNUMBER(SEARCH(Assumptions!$C$7,F1243)),Assumptions!$D$7,"Other Services"))),"Other Services"))</f>
        <v/>
      </c>
    </row>
    <row r="1244" customFormat="false" ht="15" hidden="false" customHeight="false" outlineLevel="0" collapsed="false">
      <c r="I1244" s="41" t="str">
        <f aca="false">IF(F1244="","",IFERROR(IF(ISNUMBER(SEARCH(Assumptions!$C$5,F1244)),Assumptions!$D$5,IF(ISNUMBER(SEARCH(Assumptions!$C$6,F1244)),Assumptions!$D$6,IF(ISNUMBER(SEARCH(Assumptions!$C$7,F1244)),Assumptions!$D$7,"Other Services"))),"Other Services"))</f>
        <v/>
      </c>
    </row>
    <row r="1245" customFormat="false" ht="15" hidden="false" customHeight="false" outlineLevel="0" collapsed="false">
      <c r="I1245" s="41" t="str">
        <f aca="false">IF(F1245="","",IFERROR(IF(ISNUMBER(SEARCH(Assumptions!$C$5,F1245)),Assumptions!$D$5,IF(ISNUMBER(SEARCH(Assumptions!$C$6,F1245)),Assumptions!$D$6,IF(ISNUMBER(SEARCH(Assumptions!$C$7,F1245)),Assumptions!$D$7,"Other Services"))),"Other Services"))</f>
        <v/>
      </c>
    </row>
    <row r="1246" customFormat="false" ht="15" hidden="false" customHeight="false" outlineLevel="0" collapsed="false">
      <c r="I1246" s="41" t="str">
        <f aca="false">IF(F1246="","",IFERROR(IF(ISNUMBER(SEARCH(Assumptions!$C$5,F1246)),Assumptions!$D$5,IF(ISNUMBER(SEARCH(Assumptions!$C$6,F1246)),Assumptions!$D$6,IF(ISNUMBER(SEARCH(Assumptions!$C$7,F1246)),Assumptions!$D$7,"Other Services"))),"Other Services"))</f>
        <v/>
      </c>
    </row>
    <row r="1247" customFormat="false" ht="15" hidden="false" customHeight="false" outlineLevel="0" collapsed="false">
      <c r="I1247" s="41" t="str">
        <f aca="false">IF(F1247="","",IFERROR(IF(ISNUMBER(SEARCH(Assumptions!$C$5,F1247)),Assumptions!$D$5,IF(ISNUMBER(SEARCH(Assumptions!$C$6,F1247)),Assumptions!$D$6,IF(ISNUMBER(SEARCH(Assumptions!$C$7,F1247)),Assumptions!$D$7,"Other Services"))),"Other Services"))</f>
        <v/>
      </c>
    </row>
    <row r="1248" customFormat="false" ht="15" hidden="false" customHeight="false" outlineLevel="0" collapsed="false">
      <c r="I1248" s="41" t="str">
        <f aca="false">IF(F1248="","",IFERROR(IF(ISNUMBER(SEARCH(Assumptions!$C$5,F1248)),Assumptions!$D$5,IF(ISNUMBER(SEARCH(Assumptions!$C$6,F1248)),Assumptions!$D$6,IF(ISNUMBER(SEARCH(Assumptions!$C$7,F1248)),Assumptions!$D$7,"Other Services"))),"Other Services"))</f>
        <v/>
      </c>
    </row>
    <row r="1249" customFormat="false" ht="15" hidden="false" customHeight="false" outlineLevel="0" collapsed="false">
      <c r="I1249" s="41" t="str">
        <f aca="false">IF(F1249="","",IFERROR(IF(ISNUMBER(SEARCH(Assumptions!$C$5,F1249)),Assumptions!$D$5,IF(ISNUMBER(SEARCH(Assumptions!$C$6,F1249)),Assumptions!$D$6,IF(ISNUMBER(SEARCH(Assumptions!$C$7,F1249)),Assumptions!$D$7,"Other Services"))),"Other Services"))</f>
        <v/>
      </c>
    </row>
    <row r="1250" customFormat="false" ht="15" hidden="false" customHeight="false" outlineLevel="0" collapsed="false">
      <c r="I1250" s="41" t="str">
        <f aca="false">IF(F1250="","",IFERROR(IF(ISNUMBER(SEARCH(Assumptions!$C$5,F1250)),Assumptions!$D$5,IF(ISNUMBER(SEARCH(Assumptions!$C$6,F1250)),Assumptions!$D$6,IF(ISNUMBER(SEARCH(Assumptions!$C$7,F1250)),Assumptions!$D$7,"Other Services"))),"Other Services"))</f>
        <v/>
      </c>
    </row>
    <row r="1251" customFormat="false" ht="15" hidden="false" customHeight="false" outlineLevel="0" collapsed="false">
      <c r="I1251" s="41" t="str">
        <f aca="false">IF(F1251="","",IFERROR(IF(ISNUMBER(SEARCH(Assumptions!$C$5,F1251)),Assumptions!$D$5,IF(ISNUMBER(SEARCH(Assumptions!$C$6,F1251)),Assumptions!$D$6,IF(ISNUMBER(SEARCH(Assumptions!$C$7,F1251)),Assumptions!$D$7,"Other Services"))),"Other Services"))</f>
        <v/>
      </c>
    </row>
    <row r="1252" customFormat="false" ht="15" hidden="false" customHeight="false" outlineLevel="0" collapsed="false">
      <c r="I1252" s="41" t="str">
        <f aca="false">IF(F1252="","",IFERROR(IF(ISNUMBER(SEARCH(Assumptions!$C$5,F1252)),Assumptions!$D$5,IF(ISNUMBER(SEARCH(Assumptions!$C$6,F1252)),Assumptions!$D$6,IF(ISNUMBER(SEARCH(Assumptions!$C$7,F1252)),Assumptions!$D$7,"Other Services"))),"Other Services"))</f>
        <v/>
      </c>
    </row>
    <row r="1253" customFormat="false" ht="15" hidden="false" customHeight="false" outlineLevel="0" collapsed="false">
      <c r="I1253" s="41" t="str">
        <f aca="false">IF(F1253="","",IFERROR(IF(ISNUMBER(SEARCH(Assumptions!$C$5,F1253)),Assumptions!$D$5,IF(ISNUMBER(SEARCH(Assumptions!$C$6,F1253)),Assumptions!$D$6,IF(ISNUMBER(SEARCH(Assumptions!$C$7,F1253)),Assumptions!$D$7,"Other Services"))),"Other Services"))</f>
        <v/>
      </c>
    </row>
    <row r="1254" customFormat="false" ht="15" hidden="false" customHeight="false" outlineLevel="0" collapsed="false">
      <c r="I1254" s="41" t="str">
        <f aca="false">IF(F1254="","",IFERROR(IF(ISNUMBER(SEARCH(Assumptions!$C$5,F1254)),Assumptions!$D$5,IF(ISNUMBER(SEARCH(Assumptions!$C$6,F1254)),Assumptions!$D$6,IF(ISNUMBER(SEARCH(Assumptions!$C$7,F1254)),Assumptions!$D$7,"Other Services"))),"Other Services"))</f>
        <v/>
      </c>
    </row>
    <row r="1255" customFormat="false" ht="15" hidden="false" customHeight="false" outlineLevel="0" collapsed="false">
      <c r="I1255" s="41" t="str">
        <f aca="false">IF(F1255="","",IFERROR(IF(ISNUMBER(SEARCH(Assumptions!$C$5,F1255)),Assumptions!$D$5,IF(ISNUMBER(SEARCH(Assumptions!$C$6,F1255)),Assumptions!$D$6,IF(ISNUMBER(SEARCH(Assumptions!$C$7,F1255)),Assumptions!$D$7,"Other Services"))),"Other Services"))</f>
        <v/>
      </c>
    </row>
    <row r="1256" customFormat="false" ht="15" hidden="false" customHeight="false" outlineLevel="0" collapsed="false">
      <c r="I1256" s="41" t="str">
        <f aca="false">IF(F1256="","",IFERROR(IF(ISNUMBER(SEARCH(Assumptions!$C$5,F1256)),Assumptions!$D$5,IF(ISNUMBER(SEARCH(Assumptions!$C$6,F1256)),Assumptions!$D$6,IF(ISNUMBER(SEARCH(Assumptions!$C$7,F1256)),Assumptions!$D$7,"Other Services"))),"Other Services"))</f>
        <v/>
      </c>
    </row>
    <row r="1257" customFormat="false" ht="15" hidden="false" customHeight="false" outlineLevel="0" collapsed="false">
      <c r="I1257" s="41" t="str">
        <f aca="false">IF(F1257="","",IFERROR(IF(ISNUMBER(SEARCH(Assumptions!$C$5,F1257)),Assumptions!$D$5,IF(ISNUMBER(SEARCH(Assumptions!$C$6,F1257)),Assumptions!$D$6,IF(ISNUMBER(SEARCH(Assumptions!$C$7,F1257)),Assumptions!$D$7,"Other Services"))),"Other Services"))</f>
        <v/>
      </c>
    </row>
    <row r="1258" customFormat="false" ht="15" hidden="false" customHeight="false" outlineLevel="0" collapsed="false">
      <c r="I1258" s="41" t="str">
        <f aca="false">IF(F1258="","",IFERROR(IF(ISNUMBER(SEARCH(Assumptions!$C$5,F1258)),Assumptions!$D$5,IF(ISNUMBER(SEARCH(Assumptions!$C$6,F1258)),Assumptions!$D$6,IF(ISNUMBER(SEARCH(Assumptions!$C$7,F1258)),Assumptions!$D$7,"Other Services"))),"Other Services"))</f>
        <v/>
      </c>
    </row>
    <row r="1259" customFormat="false" ht="15" hidden="false" customHeight="false" outlineLevel="0" collapsed="false">
      <c r="I1259" s="41" t="str">
        <f aca="false">IF(F1259="","",IFERROR(IF(ISNUMBER(SEARCH(Assumptions!$C$5,F1259)),Assumptions!$D$5,IF(ISNUMBER(SEARCH(Assumptions!$C$6,F1259)),Assumptions!$D$6,IF(ISNUMBER(SEARCH(Assumptions!$C$7,F1259)),Assumptions!$D$7,"Other Services"))),"Other Services"))</f>
        <v/>
      </c>
    </row>
    <row r="1260" customFormat="false" ht="15" hidden="false" customHeight="false" outlineLevel="0" collapsed="false">
      <c r="I1260" s="41" t="str">
        <f aca="false">IF(F1260="","",IFERROR(IF(ISNUMBER(SEARCH(Assumptions!$C$5,F1260)),Assumptions!$D$5,IF(ISNUMBER(SEARCH(Assumptions!$C$6,F1260)),Assumptions!$D$6,IF(ISNUMBER(SEARCH(Assumptions!$C$7,F1260)),Assumptions!$D$7,"Other Services"))),"Other Services"))</f>
        <v/>
      </c>
    </row>
    <row r="1261" customFormat="false" ht="15" hidden="false" customHeight="false" outlineLevel="0" collapsed="false">
      <c r="I1261" s="41" t="str">
        <f aca="false">IF(F1261="","",IFERROR(IF(ISNUMBER(SEARCH(Assumptions!$C$5,F1261)),Assumptions!$D$5,IF(ISNUMBER(SEARCH(Assumptions!$C$6,F1261)),Assumptions!$D$6,IF(ISNUMBER(SEARCH(Assumptions!$C$7,F1261)),Assumptions!$D$7,"Other Services"))),"Other Services"))</f>
        <v/>
      </c>
    </row>
    <row r="1262" customFormat="false" ht="15" hidden="false" customHeight="false" outlineLevel="0" collapsed="false">
      <c r="I1262" s="41" t="str">
        <f aca="false">IF(F1262="","",IFERROR(IF(ISNUMBER(SEARCH(Assumptions!$C$5,F1262)),Assumptions!$D$5,IF(ISNUMBER(SEARCH(Assumptions!$C$6,F1262)),Assumptions!$D$6,IF(ISNUMBER(SEARCH(Assumptions!$C$7,F1262)),Assumptions!$D$7,"Other Services"))),"Other Services"))</f>
        <v/>
      </c>
    </row>
    <row r="1263" customFormat="false" ht="15" hidden="false" customHeight="false" outlineLevel="0" collapsed="false">
      <c r="I1263" s="41" t="str">
        <f aca="false">IF(F1263="","",IFERROR(IF(ISNUMBER(SEARCH(Assumptions!$C$5,F1263)),Assumptions!$D$5,IF(ISNUMBER(SEARCH(Assumptions!$C$6,F1263)),Assumptions!$D$6,IF(ISNUMBER(SEARCH(Assumptions!$C$7,F1263)),Assumptions!$D$7,"Other Services"))),"Other Services"))</f>
        <v/>
      </c>
    </row>
    <row r="1264" customFormat="false" ht="15" hidden="false" customHeight="false" outlineLevel="0" collapsed="false">
      <c r="I1264" s="41" t="str">
        <f aca="false">IF(F1264="","",IFERROR(IF(ISNUMBER(SEARCH(Assumptions!$C$5,F1264)),Assumptions!$D$5,IF(ISNUMBER(SEARCH(Assumptions!$C$6,F1264)),Assumptions!$D$6,IF(ISNUMBER(SEARCH(Assumptions!$C$7,F1264)),Assumptions!$D$7,"Other Services"))),"Other Services"))</f>
        <v/>
      </c>
    </row>
    <row r="1265" customFormat="false" ht="15" hidden="false" customHeight="false" outlineLevel="0" collapsed="false">
      <c r="I1265" s="41" t="str">
        <f aca="false">IF(F1265="","",IFERROR(IF(ISNUMBER(SEARCH(Assumptions!$C$5,F1265)),Assumptions!$D$5,IF(ISNUMBER(SEARCH(Assumptions!$C$6,F1265)),Assumptions!$D$6,IF(ISNUMBER(SEARCH(Assumptions!$C$7,F1265)),Assumptions!$D$7,"Other Services"))),"Other Services"))</f>
        <v/>
      </c>
    </row>
    <row r="1266" customFormat="false" ht="15" hidden="false" customHeight="false" outlineLevel="0" collapsed="false">
      <c r="I1266" s="41" t="str">
        <f aca="false">IF(F1266="","",IFERROR(IF(ISNUMBER(SEARCH(Assumptions!$C$5,F1266)),Assumptions!$D$5,IF(ISNUMBER(SEARCH(Assumptions!$C$6,F1266)),Assumptions!$D$6,IF(ISNUMBER(SEARCH(Assumptions!$C$7,F1266)),Assumptions!$D$7,"Other Services"))),"Other Services"))</f>
        <v/>
      </c>
    </row>
    <row r="1267" customFormat="false" ht="15" hidden="false" customHeight="false" outlineLevel="0" collapsed="false">
      <c r="I1267" s="41" t="str">
        <f aca="false">IF(F1267="","",IFERROR(IF(ISNUMBER(SEARCH(Assumptions!$C$5,F1267)),Assumptions!$D$5,IF(ISNUMBER(SEARCH(Assumptions!$C$6,F1267)),Assumptions!$D$6,IF(ISNUMBER(SEARCH(Assumptions!$C$7,F1267)),Assumptions!$D$7,"Other Services"))),"Other Services"))</f>
        <v/>
      </c>
    </row>
    <row r="1268" customFormat="false" ht="15" hidden="false" customHeight="false" outlineLevel="0" collapsed="false">
      <c r="I1268" s="41" t="str">
        <f aca="false">IF(F1268="","",IFERROR(IF(ISNUMBER(SEARCH(Assumptions!$C$5,F1268)),Assumptions!$D$5,IF(ISNUMBER(SEARCH(Assumptions!$C$6,F1268)),Assumptions!$D$6,IF(ISNUMBER(SEARCH(Assumptions!$C$7,F1268)),Assumptions!$D$7,"Other Services"))),"Other Services"))</f>
        <v/>
      </c>
    </row>
    <row r="1269" customFormat="false" ht="15" hidden="false" customHeight="false" outlineLevel="0" collapsed="false">
      <c r="I1269" s="41" t="str">
        <f aca="false">IF(F1269="","",IFERROR(IF(ISNUMBER(SEARCH(Assumptions!$C$5,F1269)),Assumptions!$D$5,IF(ISNUMBER(SEARCH(Assumptions!$C$6,F1269)),Assumptions!$D$6,IF(ISNUMBER(SEARCH(Assumptions!$C$7,F1269)),Assumptions!$D$7,"Other Services"))),"Other Services"))</f>
        <v/>
      </c>
    </row>
    <row r="1270" customFormat="false" ht="15" hidden="false" customHeight="false" outlineLevel="0" collapsed="false">
      <c r="I1270" s="41" t="str">
        <f aca="false">IF(F1270="","",IFERROR(IF(ISNUMBER(SEARCH(Assumptions!$C$5,F1270)),Assumptions!$D$5,IF(ISNUMBER(SEARCH(Assumptions!$C$6,F1270)),Assumptions!$D$6,IF(ISNUMBER(SEARCH(Assumptions!$C$7,F1270)),Assumptions!$D$7,"Other Services"))),"Other Services"))</f>
        <v/>
      </c>
    </row>
    <row r="1271" customFormat="false" ht="15" hidden="false" customHeight="false" outlineLevel="0" collapsed="false">
      <c r="I1271" s="41" t="str">
        <f aca="false">IF(F1271="","",IFERROR(IF(ISNUMBER(SEARCH(Assumptions!$C$5,F1271)),Assumptions!$D$5,IF(ISNUMBER(SEARCH(Assumptions!$C$6,F1271)),Assumptions!$D$6,IF(ISNUMBER(SEARCH(Assumptions!$C$7,F1271)),Assumptions!$D$7,"Other Services"))),"Other Services"))</f>
        <v/>
      </c>
    </row>
    <row r="1272" customFormat="false" ht="15" hidden="false" customHeight="false" outlineLevel="0" collapsed="false">
      <c r="I1272" s="41" t="str">
        <f aca="false">IF(F1272="","",IFERROR(IF(ISNUMBER(SEARCH(Assumptions!$C$5,F1272)),Assumptions!$D$5,IF(ISNUMBER(SEARCH(Assumptions!$C$6,F1272)),Assumptions!$D$6,IF(ISNUMBER(SEARCH(Assumptions!$C$7,F1272)),Assumptions!$D$7,"Other Services"))),"Other Services"))</f>
        <v/>
      </c>
    </row>
    <row r="1273" customFormat="false" ht="15" hidden="false" customHeight="false" outlineLevel="0" collapsed="false">
      <c r="I1273" s="41" t="str">
        <f aca="false">IF(F1273="","",IFERROR(IF(ISNUMBER(SEARCH(Assumptions!$C$5,F1273)),Assumptions!$D$5,IF(ISNUMBER(SEARCH(Assumptions!$C$6,F1273)),Assumptions!$D$6,IF(ISNUMBER(SEARCH(Assumptions!$C$7,F1273)),Assumptions!$D$7,"Other Services"))),"Other Services"))</f>
        <v/>
      </c>
    </row>
    <row r="1274" customFormat="false" ht="15" hidden="false" customHeight="false" outlineLevel="0" collapsed="false">
      <c r="I1274" s="41" t="str">
        <f aca="false">IF(F1274="","",IFERROR(IF(ISNUMBER(SEARCH(Assumptions!$C$5,F1274)),Assumptions!$D$5,IF(ISNUMBER(SEARCH(Assumptions!$C$6,F1274)),Assumptions!$D$6,IF(ISNUMBER(SEARCH(Assumptions!$C$7,F1274)),Assumptions!$D$7,"Other Services"))),"Other Services"))</f>
        <v/>
      </c>
    </row>
    <row r="1275" customFormat="false" ht="15" hidden="false" customHeight="false" outlineLevel="0" collapsed="false">
      <c r="I1275" s="41" t="str">
        <f aca="false">IF(F1275="","",IFERROR(IF(ISNUMBER(SEARCH(Assumptions!$C$5,F1275)),Assumptions!$D$5,IF(ISNUMBER(SEARCH(Assumptions!$C$6,F1275)),Assumptions!$D$6,IF(ISNUMBER(SEARCH(Assumptions!$C$7,F1275)),Assumptions!$D$7,"Other Services"))),"Other Services"))</f>
        <v/>
      </c>
    </row>
    <row r="1276" customFormat="false" ht="15" hidden="false" customHeight="false" outlineLevel="0" collapsed="false">
      <c r="I1276" s="41" t="str">
        <f aca="false">IF(F1276="","",IFERROR(IF(ISNUMBER(SEARCH(Assumptions!$C$5,F1276)),Assumptions!$D$5,IF(ISNUMBER(SEARCH(Assumptions!$C$6,F1276)),Assumptions!$D$6,IF(ISNUMBER(SEARCH(Assumptions!$C$7,F1276)),Assumptions!$D$7,"Other Services"))),"Other Services"))</f>
        <v/>
      </c>
    </row>
    <row r="1277" customFormat="false" ht="15" hidden="false" customHeight="false" outlineLevel="0" collapsed="false">
      <c r="I1277" s="41" t="str">
        <f aca="false">IF(F1277="","",IFERROR(IF(ISNUMBER(SEARCH(Assumptions!$C$5,F1277)),Assumptions!$D$5,IF(ISNUMBER(SEARCH(Assumptions!$C$6,F1277)),Assumptions!$D$6,IF(ISNUMBER(SEARCH(Assumptions!$C$7,F1277)),Assumptions!$D$7,"Other Services"))),"Other Services"))</f>
        <v/>
      </c>
    </row>
    <row r="1278" customFormat="false" ht="15" hidden="false" customHeight="false" outlineLevel="0" collapsed="false">
      <c r="I1278" s="41" t="str">
        <f aca="false">IF(F1278="","",IFERROR(IF(ISNUMBER(SEARCH(Assumptions!$C$5,F1278)),Assumptions!$D$5,IF(ISNUMBER(SEARCH(Assumptions!$C$6,F1278)),Assumptions!$D$6,IF(ISNUMBER(SEARCH(Assumptions!$C$7,F1278)),Assumptions!$D$7,"Other Services"))),"Other Services"))</f>
        <v/>
      </c>
    </row>
    <row r="1279" customFormat="false" ht="15" hidden="false" customHeight="false" outlineLevel="0" collapsed="false">
      <c r="I1279" s="41" t="str">
        <f aca="false">IF(F1279="","",IFERROR(IF(ISNUMBER(SEARCH(Assumptions!$C$5,F1279)),Assumptions!$D$5,IF(ISNUMBER(SEARCH(Assumptions!$C$6,F1279)),Assumptions!$D$6,IF(ISNUMBER(SEARCH(Assumptions!$C$7,F1279)),Assumptions!$D$7,"Other Services"))),"Other Services"))</f>
        <v/>
      </c>
    </row>
    <row r="1280" customFormat="false" ht="15" hidden="false" customHeight="false" outlineLevel="0" collapsed="false">
      <c r="I1280" s="41" t="str">
        <f aca="false">IF(F1280="","",IFERROR(IF(ISNUMBER(SEARCH(Assumptions!$C$5,F1280)),Assumptions!$D$5,IF(ISNUMBER(SEARCH(Assumptions!$C$6,F1280)),Assumptions!$D$6,IF(ISNUMBER(SEARCH(Assumptions!$C$7,F1280)),Assumptions!$D$7,"Other Services"))),"Other Services"))</f>
        <v/>
      </c>
    </row>
    <row r="1281" customFormat="false" ht="15" hidden="false" customHeight="false" outlineLevel="0" collapsed="false">
      <c r="I1281" s="41" t="str">
        <f aca="false">IF(F1281="","",IFERROR(IF(ISNUMBER(SEARCH(Assumptions!$C$5,F1281)),Assumptions!$D$5,IF(ISNUMBER(SEARCH(Assumptions!$C$6,F1281)),Assumptions!$D$6,IF(ISNUMBER(SEARCH(Assumptions!$C$7,F1281)),Assumptions!$D$7,"Other Services"))),"Other Services"))</f>
        <v/>
      </c>
    </row>
    <row r="1282" customFormat="false" ht="15" hidden="false" customHeight="false" outlineLevel="0" collapsed="false">
      <c r="I1282" s="41" t="str">
        <f aca="false">IF(F1282="","",IFERROR(IF(ISNUMBER(SEARCH(Assumptions!$C$5,F1282)),Assumptions!$D$5,IF(ISNUMBER(SEARCH(Assumptions!$C$6,F1282)),Assumptions!$D$6,IF(ISNUMBER(SEARCH(Assumptions!$C$7,F1282)),Assumptions!$D$7,"Other Services"))),"Other Services"))</f>
        <v/>
      </c>
    </row>
    <row r="1283" customFormat="false" ht="15" hidden="false" customHeight="false" outlineLevel="0" collapsed="false">
      <c r="I1283" s="41" t="str">
        <f aca="false">IF(F1283="","",IFERROR(IF(ISNUMBER(SEARCH(Assumptions!$C$5,F1283)),Assumptions!$D$5,IF(ISNUMBER(SEARCH(Assumptions!$C$6,F1283)),Assumptions!$D$6,IF(ISNUMBER(SEARCH(Assumptions!$C$7,F1283)),Assumptions!$D$7,"Other Services"))),"Other Services"))</f>
        <v/>
      </c>
    </row>
    <row r="1284" customFormat="false" ht="15" hidden="false" customHeight="false" outlineLevel="0" collapsed="false">
      <c r="I1284" s="41" t="str">
        <f aca="false">IF(F1284="","",IFERROR(IF(ISNUMBER(SEARCH(Assumptions!$C$5,F1284)),Assumptions!$D$5,IF(ISNUMBER(SEARCH(Assumptions!$C$6,F1284)),Assumptions!$D$6,IF(ISNUMBER(SEARCH(Assumptions!$C$7,F1284)),Assumptions!$D$7,"Other Services"))),"Other Services"))</f>
        <v/>
      </c>
    </row>
    <row r="1285" customFormat="false" ht="15" hidden="false" customHeight="false" outlineLevel="0" collapsed="false">
      <c r="I1285" s="41" t="str">
        <f aca="false">IF(F1285="","",IFERROR(IF(ISNUMBER(SEARCH(Assumptions!$C$5,F1285)),Assumptions!$D$5,IF(ISNUMBER(SEARCH(Assumptions!$C$6,F1285)),Assumptions!$D$6,IF(ISNUMBER(SEARCH(Assumptions!$C$7,F1285)),Assumptions!$D$7,"Other Services"))),"Other Services"))</f>
        <v/>
      </c>
    </row>
    <row r="1286" customFormat="false" ht="15" hidden="false" customHeight="false" outlineLevel="0" collapsed="false">
      <c r="I1286" s="41" t="str">
        <f aca="false">IF(F1286="","",IFERROR(IF(ISNUMBER(SEARCH(Assumptions!$C$5,F1286)),Assumptions!$D$5,IF(ISNUMBER(SEARCH(Assumptions!$C$6,F1286)),Assumptions!$D$6,IF(ISNUMBER(SEARCH(Assumptions!$C$7,F1286)),Assumptions!$D$7,"Other Services"))),"Other Services"))</f>
        <v/>
      </c>
    </row>
    <row r="1287" customFormat="false" ht="15" hidden="false" customHeight="false" outlineLevel="0" collapsed="false">
      <c r="I1287" s="41" t="str">
        <f aca="false">IF(F1287="","",IFERROR(IF(ISNUMBER(SEARCH(Assumptions!$C$5,F1287)),Assumptions!$D$5,IF(ISNUMBER(SEARCH(Assumptions!$C$6,F1287)),Assumptions!$D$6,IF(ISNUMBER(SEARCH(Assumptions!$C$7,F1287)),Assumptions!$D$7,"Other Services"))),"Other Services"))</f>
        <v/>
      </c>
    </row>
    <row r="1288" customFormat="false" ht="15" hidden="false" customHeight="false" outlineLevel="0" collapsed="false">
      <c r="I1288" s="41" t="str">
        <f aca="false">IF(F1288="","",IFERROR(IF(ISNUMBER(SEARCH(Assumptions!$C$5,F1288)),Assumptions!$D$5,IF(ISNUMBER(SEARCH(Assumptions!$C$6,F1288)),Assumptions!$D$6,IF(ISNUMBER(SEARCH(Assumptions!$C$7,F1288)),Assumptions!$D$7,"Other Services"))),"Other Services"))</f>
        <v/>
      </c>
    </row>
    <row r="1289" customFormat="false" ht="15" hidden="false" customHeight="false" outlineLevel="0" collapsed="false">
      <c r="I1289" s="41" t="str">
        <f aca="false">IF(F1289="","",IFERROR(IF(ISNUMBER(SEARCH(Assumptions!$C$5,F1289)),Assumptions!$D$5,IF(ISNUMBER(SEARCH(Assumptions!$C$6,F1289)),Assumptions!$D$6,IF(ISNUMBER(SEARCH(Assumptions!$C$7,F1289)),Assumptions!$D$7,"Other Services"))),"Other Services"))</f>
        <v/>
      </c>
    </row>
    <row r="1290" customFormat="false" ht="15" hidden="false" customHeight="false" outlineLevel="0" collapsed="false">
      <c r="I1290" s="41" t="str">
        <f aca="false">IF(F1290="","",IFERROR(IF(ISNUMBER(SEARCH(Assumptions!$C$5,F1290)),Assumptions!$D$5,IF(ISNUMBER(SEARCH(Assumptions!$C$6,F1290)),Assumptions!$D$6,IF(ISNUMBER(SEARCH(Assumptions!$C$7,F1290)),Assumptions!$D$7,"Other Services"))),"Other Services"))</f>
        <v/>
      </c>
    </row>
    <row r="1291" customFormat="false" ht="15" hidden="false" customHeight="false" outlineLevel="0" collapsed="false">
      <c r="I1291" s="41" t="str">
        <f aca="false">IF(F1291="","",IFERROR(IF(ISNUMBER(SEARCH(Assumptions!$C$5,F1291)),Assumptions!$D$5,IF(ISNUMBER(SEARCH(Assumptions!$C$6,F1291)),Assumptions!$D$6,IF(ISNUMBER(SEARCH(Assumptions!$C$7,F1291)),Assumptions!$D$7,"Other Services"))),"Other Services"))</f>
        <v/>
      </c>
    </row>
    <row r="1292" customFormat="false" ht="15" hidden="false" customHeight="false" outlineLevel="0" collapsed="false">
      <c r="I1292" s="41" t="str">
        <f aca="false">IF(F1292="","",IFERROR(IF(ISNUMBER(SEARCH(Assumptions!$C$5,F1292)),Assumptions!$D$5,IF(ISNUMBER(SEARCH(Assumptions!$C$6,F1292)),Assumptions!$D$6,IF(ISNUMBER(SEARCH(Assumptions!$C$7,F1292)),Assumptions!$D$7,"Other Services"))),"Other Services"))</f>
        <v/>
      </c>
    </row>
    <row r="1293" customFormat="false" ht="15" hidden="false" customHeight="false" outlineLevel="0" collapsed="false">
      <c r="I1293" s="41" t="str">
        <f aca="false">IF(F1293="","",IFERROR(IF(ISNUMBER(SEARCH(Assumptions!$C$5,F1293)),Assumptions!$D$5,IF(ISNUMBER(SEARCH(Assumptions!$C$6,F1293)),Assumptions!$D$6,IF(ISNUMBER(SEARCH(Assumptions!$C$7,F1293)),Assumptions!$D$7,"Other Services"))),"Other Services"))</f>
        <v/>
      </c>
    </row>
    <row r="1294" customFormat="false" ht="15" hidden="false" customHeight="false" outlineLevel="0" collapsed="false">
      <c r="I1294" s="41" t="str">
        <f aca="false">IF(F1294="","",IFERROR(IF(ISNUMBER(SEARCH(Assumptions!$C$5,F1294)),Assumptions!$D$5,IF(ISNUMBER(SEARCH(Assumptions!$C$6,F1294)),Assumptions!$D$6,IF(ISNUMBER(SEARCH(Assumptions!$C$7,F1294)),Assumptions!$D$7,"Other Services"))),"Other Services"))</f>
        <v/>
      </c>
    </row>
    <row r="1295" customFormat="false" ht="15" hidden="false" customHeight="false" outlineLevel="0" collapsed="false">
      <c r="I1295" s="41" t="str">
        <f aca="false">IF(F1295="","",IFERROR(IF(ISNUMBER(SEARCH(Assumptions!$C$5,F1295)),Assumptions!$D$5,IF(ISNUMBER(SEARCH(Assumptions!$C$6,F1295)),Assumptions!$D$6,IF(ISNUMBER(SEARCH(Assumptions!$C$7,F1295)),Assumptions!$D$7,"Other Services"))),"Other Services"))</f>
        <v/>
      </c>
    </row>
    <row r="1296" customFormat="false" ht="15" hidden="false" customHeight="false" outlineLevel="0" collapsed="false">
      <c r="I1296" s="41" t="str">
        <f aca="false">IF(F1296="","",IFERROR(IF(ISNUMBER(SEARCH(Assumptions!$C$5,F1296)),Assumptions!$D$5,IF(ISNUMBER(SEARCH(Assumptions!$C$6,F1296)),Assumptions!$D$6,IF(ISNUMBER(SEARCH(Assumptions!$C$7,F1296)),Assumptions!$D$7,"Other Services"))),"Other Services"))</f>
        <v/>
      </c>
    </row>
    <row r="1297" customFormat="false" ht="15" hidden="false" customHeight="false" outlineLevel="0" collapsed="false">
      <c r="I1297" s="41" t="str">
        <f aca="false">IF(F1297="","",IFERROR(IF(ISNUMBER(SEARCH(Assumptions!$C$5,F1297)),Assumptions!$D$5,IF(ISNUMBER(SEARCH(Assumptions!$C$6,F1297)),Assumptions!$D$6,IF(ISNUMBER(SEARCH(Assumptions!$C$7,F1297)),Assumptions!$D$7,"Other Services"))),"Other Services"))</f>
        <v/>
      </c>
    </row>
    <row r="1298" customFormat="false" ht="15" hidden="false" customHeight="false" outlineLevel="0" collapsed="false">
      <c r="I1298" s="41" t="str">
        <f aca="false">IF(F1298="","",IFERROR(IF(ISNUMBER(SEARCH(Assumptions!$C$5,F1298)),Assumptions!$D$5,IF(ISNUMBER(SEARCH(Assumptions!$C$6,F1298)),Assumptions!$D$6,IF(ISNUMBER(SEARCH(Assumptions!$C$7,F1298)),Assumptions!$D$7,"Other Services"))),"Other Services"))</f>
        <v/>
      </c>
    </row>
    <row r="1299" customFormat="false" ht="15" hidden="false" customHeight="false" outlineLevel="0" collapsed="false">
      <c r="I1299" s="41" t="str">
        <f aca="false">IF(F1299="","",IFERROR(IF(ISNUMBER(SEARCH(Assumptions!$C$5,F1299)),Assumptions!$D$5,IF(ISNUMBER(SEARCH(Assumptions!$C$6,F1299)),Assumptions!$D$6,IF(ISNUMBER(SEARCH(Assumptions!$C$7,F1299)),Assumptions!$D$7,"Other Services"))),"Other Services"))</f>
        <v/>
      </c>
    </row>
    <row r="1300" customFormat="false" ht="15" hidden="false" customHeight="false" outlineLevel="0" collapsed="false">
      <c r="I1300" s="41" t="str">
        <f aca="false">IF(F1300="","",IFERROR(IF(ISNUMBER(SEARCH(Assumptions!$C$5,F1300)),Assumptions!$D$5,IF(ISNUMBER(SEARCH(Assumptions!$C$6,F1300)),Assumptions!$D$6,IF(ISNUMBER(SEARCH(Assumptions!$C$7,F1300)),Assumptions!$D$7,"Other Services"))),"Other Services"))</f>
        <v/>
      </c>
    </row>
    <row r="1301" customFormat="false" ht="15" hidden="false" customHeight="false" outlineLevel="0" collapsed="false">
      <c r="I1301" s="41" t="str">
        <f aca="false">IF(F1301="","",IFERROR(IF(ISNUMBER(SEARCH(Assumptions!$C$5,F1301)),Assumptions!$D$5,IF(ISNUMBER(SEARCH(Assumptions!$C$6,F1301)),Assumptions!$D$6,IF(ISNUMBER(SEARCH(Assumptions!$C$7,F1301)),Assumptions!$D$7,"Other Services"))),"Other Services"))</f>
        <v/>
      </c>
    </row>
    <row r="1302" customFormat="false" ht="15" hidden="false" customHeight="false" outlineLevel="0" collapsed="false">
      <c r="I1302" s="41" t="str">
        <f aca="false">IF(F1302="","",IFERROR(IF(ISNUMBER(SEARCH(Assumptions!$C$5,F1302)),Assumptions!$D$5,IF(ISNUMBER(SEARCH(Assumptions!$C$6,F1302)),Assumptions!$D$6,IF(ISNUMBER(SEARCH(Assumptions!$C$7,F1302)),Assumptions!$D$7,"Other Services"))),"Other Services"))</f>
        <v/>
      </c>
    </row>
    <row r="1303" customFormat="false" ht="15" hidden="false" customHeight="false" outlineLevel="0" collapsed="false">
      <c r="I1303" s="41" t="str">
        <f aca="false">IF(F1303="","",IFERROR(IF(ISNUMBER(SEARCH(Assumptions!$C$5,F1303)),Assumptions!$D$5,IF(ISNUMBER(SEARCH(Assumptions!$C$6,F1303)),Assumptions!$D$6,IF(ISNUMBER(SEARCH(Assumptions!$C$7,F1303)),Assumptions!$D$7,"Other Services"))),"Other Services"))</f>
        <v/>
      </c>
    </row>
    <row r="1304" customFormat="false" ht="15" hidden="false" customHeight="false" outlineLevel="0" collapsed="false">
      <c r="I1304" s="41" t="str">
        <f aca="false">IF(F1304="","",IFERROR(IF(ISNUMBER(SEARCH(Assumptions!$C$5,F1304)),Assumptions!$D$5,IF(ISNUMBER(SEARCH(Assumptions!$C$6,F1304)),Assumptions!$D$6,IF(ISNUMBER(SEARCH(Assumptions!$C$7,F1304)),Assumptions!$D$7,"Other Services"))),"Other Services"))</f>
        <v/>
      </c>
    </row>
    <row r="1305" customFormat="false" ht="15" hidden="false" customHeight="false" outlineLevel="0" collapsed="false">
      <c r="I1305" s="41" t="str">
        <f aca="false">IF(F1305="","",IFERROR(IF(ISNUMBER(SEARCH(Assumptions!$C$5,F1305)),Assumptions!$D$5,IF(ISNUMBER(SEARCH(Assumptions!$C$6,F1305)),Assumptions!$D$6,IF(ISNUMBER(SEARCH(Assumptions!$C$7,F1305)),Assumptions!$D$7,"Other Services"))),"Other Services"))</f>
        <v/>
      </c>
    </row>
    <row r="1306" customFormat="false" ht="15" hidden="false" customHeight="false" outlineLevel="0" collapsed="false">
      <c r="I1306" s="41" t="str">
        <f aca="false">IF(F1306="","",IFERROR(IF(ISNUMBER(SEARCH(Assumptions!$C$5,F1306)),Assumptions!$D$5,IF(ISNUMBER(SEARCH(Assumptions!$C$6,F1306)),Assumptions!$D$6,IF(ISNUMBER(SEARCH(Assumptions!$C$7,F1306)),Assumptions!$D$7,"Other Services"))),"Other Services"))</f>
        <v/>
      </c>
    </row>
    <row r="1307" customFormat="false" ht="15" hidden="false" customHeight="false" outlineLevel="0" collapsed="false">
      <c r="I1307" s="41" t="str">
        <f aca="false">IF(F1307="","",IFERROR(IF(ISNUMBER(SEARCH(Assumptions!$C$5,F1307)),Assumptions!$D$5,IF(ISNUMBER(SEARCH(Assumptions!$C$6,F1307)),Assumptions!$D$6,IF(ISNUMBER(SEARCH(Assumptions!$C$7,F1307)),Assumptions!$D$7,"Other Services"))),"Other Services"))</f>
        <v/>
      </c>
    </row>
    <row r="1308" customFormat="false" ht="15" hidden="false" customHeight="false" outlineLevel="0" collapsed="false">
      <c r="I1308" s="41" t="str">
        <f aca="false">IF(F1308="","",IFERROR(IF(ISNUMBER(SEARCH(Assumptions!$C$5,F1308)),Assumptions!$D$5,IF(ISNUMBER(SEARCH(Assumptions!$C$6,F1308)),Assumptions!$D$6,IF(ISNUMBER(SEARCH(Assumptions!$C$7,F1308)),Assumptions!$D$7,"Other Services"))),"Other Services"))</f>
        <v/>
      </c>
    </row>
    <row r="1309" customFormat="false" ht="15" hidden="false" customHeight="false" outlineLevel="0" collapsed="false">
      <c r="I1309" s="41" t="str">
        <f aca="false">IF(F1309="","",IFERROR(IF(ISNUMBER(SEARCH(Assumptions!$C$5,F1309)),Assumptions!$D$5,IF(ISNUMBER(SEARCH(Assumptions!$C$6,F1309)),Assumptions!$D$6,IF(ISNUMBER(SEARCH(Assumptions!$C$7,F1309)),Assumptions!$D$7,"Other Services"))),"Other Services"))</f>
        <v/>
      </c>
    </row>
    <row r="1310" customFormat="false" ht="15" hidden="false" customHeight="false" outlineLevel="0" collapsed="false">
      <c r="I1310" s="41" t="str">
        <f aca="false">IF(F1310="","",IFERROR(IF(ISNUMBER(SEARCH(Assumptions!$C$5,F1310)),Assumptions!$D$5,IF(ISNUMBER(SEARCH(Assumptions!$C$6,F1310)),Assumptions!$D$6,IF(ISNUMBER(SEARCH(Assumptions!$C$7,F1310)),Assumptions!$D$7,"Other Services"))),"Other Services"))</f>
        <v/>
      </c>
    </row>
    <row r="1311" customFormat="false" ht="15" hidden="false" customHeight="false" outlineLevel="0" collapsed="false">
      <c r="I1311" s="41" t="str">
        <f aca="false">IF(F1311="","",IFERROR(IF(ISNUMBER(SEARCH(Assumptions!$C$5,F1311)),Assumptions!$D$5,IF(ISNUMBER(SEARCH(Assumptions!$C$6,F1311)),Assumptions!$D$6,IF(ISNUMBER(SEARCH(Assumptions!$C$7,F1311)),Assumptions!$D$7,"Other Services"))),"Other Services"))</f>
        <v/>
      </c>
    </row>
    <row r="1312" customFormat="false" ht="15" hidden="false" customHeight="false" outlineLevel="0" collapsed="false">
      <c r="I1312" s="41" t="str">
        <f aca="false">IF(F1312="","",IFERROR(IF(ISNUMBER(SEARCH(Assumptions!$C$5,F1312)),Assumptions!$D$5,IF(ISNUMBER(SEARCH(Assumptions!$C$6,F1312)),Assumptions!$D$6,IF(ISNUMBER(SEARCH(Assumptions!$C$7,F1312)),Assumptions!$D$7,"Other Services"))),"Other Services"))</f>
        <v/>
      </c>
    </row>
    <row r="1313" customFormat="false" ht="15" hidden="false" customHeight="false" outlineLevel="0" collapsed="false">
      <c r="I1313" s="41" t="str">
        <f aca="false">IF(F1313="","",IFERROR(IF(ISNUMBER(SEARCH(Assumptions!$C$5,F1313)),Assumptions!$D$5,IF(ISNUMBER(SEARCH(Assumptions!$C$6,F1313)),Assumptions!$D$6,IF(ISNUMBER(SEARCH(Assumptions!$C$7,F1313)),Assumptions!$D$7,"Other Services"))),"Other Services"))</f>
        <v/>
      </c>
    </row>
    <row r="1314" customFormat="false" ht="15" hidden="false" customHeight="false" outlineLevel="0" collapsed="false">
      <c r="I1314" s="41" t="str">
        <f aca="false">IF(F1314="","",IFERROR(IF(ISNUMBER(SEARCH(Assumptions!$C$5,F1314)),Assumptions!$D$5,IF(ISNUMBER(SEARCH(Assumptions!$C$6,F1314)),Assumptions!$D$6,IF(ISNUMBER(SEARCH(Assumptions!$C$7,F1314)),Assumptions!$D$7,"Other Services"))),"Other Services"))</f>
        <v/>
      </c>
    </row>
    <row r="1315" customFormat="false" ht="15" hidden="false" customHeight="false" outlineLevel="0" collapsed="false">
      <c r="I1315" s="41" t="str">
        <f aca="false">IF(F1315="","",IFERROR(IF(ISNUMBER(SEARCH(Assumptions!$C$5,F1315)),Assumptions!$D$5,IF(ISNUMBER(SEARCH(Assumptions!$C$6,F1315)),Assumptions!$D$6,IF(ISNUMBER(SEARCH(Assumptions!$C$7,F1315)),Assumptions!$D$7,"Other Services"))),"Other Services"))</f>
        <v/>
      </c>
    </row>
    <row r="1316" customFormat="false" ht="15" hidden="false" customHeight="false" outlineLevel="0" collapsed="false">
      <c r="I1316" s="41" t="str">
        <f aca="false">IF(F1316="","",IFERROR(IF(ISNUMBER(SEARCH(Assumptions!$C$5,F1316)),Assumptions!$D$5,IF(ISNUMBER(SEARCH(Assumptions!$C$6,F1316)),Assumptions!$D$6,IF(ISNUMBER(SEARCH(Assumptions!$C$7,F1316)),Assumptions!$D$7,"Other Services"))),"Other Services"))</f>
        <v/>
      </c>
    </row>
    <row r="1317" customFormat="false" ht="15" hidden="false" customHeight="false" outlineLevel="0" collapsed="false">
      <c r="I1317" s="41" t="str">
        <f aca="false">IF(F1317="","",IFERROR(IF(ISNUMBER(SEARCH(Assumptions!$C$5,F1317)),Assumptions!$D$5,IF(ISNUMBER(SEARCH(Assumptions!$C$6,F1317)),Assumptions!$D$6,IF(ISNUMBER(SEARCH(Assumptions!$C$7,F1317)),Assumptions!$D$7,"Other Services"))),"Other Services"))</f>
        <v/>
      </c>
    </row>
    <row r="1318" customFormat="false" ht="15" hidden="false" customHeight="false" outlineLevel="0" collapsed="false">
      <c r="I1318" s="41" t="str">
        <f aca="false">IF(F1318="","",IFERROR(IF(ISNUMBER(SEARCH(Assumptions!$C$5,F1318)),Assumptions!$D$5,IF(ISNUMBER(SEARCH(Assumptions!$C$6,F1318)),Assumptions!$D$6,IF(ISNUMBER(SEARCH(Assumptions!$C$7,F1318)),Assumptions!$D$7,"Other Services"))),"Other Services"))</f>
        <v/>
      </c>
    </row>
    <row r="1319" customFormat="false" ht="15" hidden="false" customHeight="false" outlineLevel="0" collapsed="false">
      <c r="I1319" s="41" t="str">
        <f aca="false">IF(F1319="","",IFERROR(IF(ISNUMBER(SEARCH(Assumptions!$C$5,F1319)),Assumptions!$D$5,IF(ISNUMBER(SEARCH(Assumptions!$C$6,F1319)),Assumptions!$D$6,IF(ISNUMBER(SEARCH(Assumptions!$C$7,F1319)),Assumptions!$D$7,"Other Services"))),"Other Services"))</f>
        <v/>
      </c>
    </row>
    <row r="1320" customFormat="false" ht="15" hidden="false" customHeight="false" outlineLevel="0" collapsed="false">
      <c r="I1320" s="41" t="str">
        <f aca="false">IF(F1320="","",IFERROR(IF(ISNUMBER(SEARCH(Assumptions!$C$5,F1320)),Assumptions!$D$5,IF(ISNUMBER(SEARCH(Assumptions!$C$6,F1320)),Assumptions!$D$6,IF(ISNUMBER(SEARCH(Assumptions!$C$7,F1320)),Assumptions!$D$7,"Other Services"))),"Other Services"))</f>
        <v/>
      </c>
    </row>
    <row r="1321" customFormat="false" ht="15" hidden="false" customHeight="false" outlineLevel="0" collapsed="false">
      <c r="I1321" s="41" t="str">
        <f aca="false">IF(F1321="","",IFERROR(IF(ISNUMBER(SEARCH(Assumptions!$C$5,F1321)),Assumptions!$D$5,IF(ISNUMBER(SEARCH(Assumptions!$C$6,F1321)),Assumptions!$D$6,IF(ISNUMBER(SEARCH(Assumptions!$C$7,F1321)),Assumptions!$D$7,"Other Services"))),"Other Services"))</f>
        <v/>
      </c>
    </row>
    <row r="1322" customFormat="false" ht="15" hidden="false" customHeight="false" outlineLevel="0" collapsed="false">
      <c r="I1322" s="41" t="str">
        <f aca="false">IF(F1322="","",IFERROR(IF(ISNUMBER(SEARCH(Assumptions!$C$5,F1322)),Assumptions!$D$5,IF(ISNUMBER(SEARCH(Assumptions!$C$6,F1322)),Assumptions!$D$6,IF(ISNUMBER(SEARCH(Assumptions!$C$7,F1322)),Assumptions!$D$7,"Other Services"))),"Other Services"))</f>
        <v/>
      </c>
    </row>
    <row r="1323" customFormat="false" ht="15" hidden="false" customHeight="false" outlineLevel="0" collapsed="false">
      <c r="I1323" s="41" t="str">
        <f aca="false">IF(F1323="","",IFERROR(IF(ISNUMBER(SEARCH(Assumptions!$C$5,F1323)),Assumptions!$D$5,IF(ISNUMBER(SEARCH(Assumptions!$C$6,F1323)),Assumptions!$D$6,IF(ISNUMBER(SEARCH(Assumptions!$C$7,F1323)),Assumptions!$D$7,"Other Services"))),"Other Services"))</f>
        <v/>
      </c>
    </row>
    <row r="1324" customFormat="false" ht="15" hidden="false" customHeight="false" outlineLevel="0" collapsed="false">
      <c r="I1324" s="41" t="str">
        <f aca="false">IF(F1324="","",IFERROR(IF(ISNUMBER(SEARCH(Assumptions!$C$5,F1324)),Assumptions!$D$5,IF(ISNUMBER(SEARCH(Assumptions!$C$6,F1324)),Assumptions!$D$6,IF(ISNUMBER(SEARCH(Assumptions!$C$7,F1324)),Assumptions!$D$7,"Other Services"))),"Other Services"))</f>
        <v/>
      </c>
    </row>
    <row r="1325" customFormat="false" ht="15" hidden="false" customHeight="false" outlineLevel="0" collapsed="false">
      <c r="I1325" s="41" t="str">
        <f aca="false">IF(F1325="","",IFERROR(IF(ISNUMBER(SEARCH(Assumptions!$C$5,F1325)),Assumptions!$D$5,IF(ISNUMBER(SEARCH(Assumptions!$C$6,F1325)),Assumptions!$D$6,IF(ISNUMBER(SEARCH(Assumptions!$C$7,F1325)),Assumptions!$D$7,"Other Services"))),"Other Services"))</f>
        <v/>
      </c>
    </row>
    <row r="1326" customFormat="false" ht="15" hidden="false" customHeight="false" outlineLevel="0" collapsed="false">
      <c r="I1326" s="41" t="str">
        <f aca="false">IF(F1326="","",IFERROR(IF(ISNUMBER(SEARCH(Assumptions!$C$5,F1326)),Assumptions!$D$5,IF(ISNUMBER(SEARCH(Assumptions!$C$6,F1326)),Assumptions!$D$6,IF(ISNUMBER(SEARCH(Assumptions!$C$7,F1326)),Assumptions!$D$7,"Other Services"))),"Other Services"))</f>
        <v/>
      </c>
    </row>
    <row r="1327" customFormat="false" ht="15" hidden="false" customHeight="false" outlineLevel="0" collapsed="false">
      <c r="I1327" s="41" t="str">
        <f aca="false">IF(F1327="","",IFERROR(IF(ISNUMBER(SEARCH(Assumptions!$C$5,F1327)),Assumptions!$D$5,IF(ISNUMBER(SEARCH(Assumptions!$C$6,F1327)),Assumptions!$D$6,IF(ISNUMBER(SEARCH(Assumptions!$C$7,F1327)),Assumptions!$D$7,"Other Services"))),"Other Services"))</f>
        <v/>
      </c>
    </row>
    <row r="1328" customFormat="false" ht="15" hidden="false" customHeight="false" outlineLevel="0" collapsed="false">
      <c r="I1328" s="41" t="str">
        <f aca="false">IF(F1328="","",IFERROR(IF(ISNUMBER(SEARCH(Assumptions!$C$5,F1328)),Assumptions!$D$5,IF(ISNUMBER(SEARCH(Assumptions!$C$6,F1328)),Assumptions!$D$6,IF(ISNUMBER(SEARCH(Assumptions!$C$7,F1328)),Assumptions!$D$7,"Other Services"))),"Other Services"))</f>
        <v/>
      </c>
    </row>
    <row r="1329" customFormat="false" ht="15" hidden="false" customHeight="false" outlineLevel="0" collapsed="false">
      <c r="I1329" s="41" t="str">
        <f aca="false">IF(F1329="","",IFERROR(IF(ISNUMBER(SEARCH(Assumptions!$C$5,F1329)),Assumptions!$D$5,IF(ISNUMBER(SEARCH(Assumptions!$C$6,F1329)),Assumptions!$D$6,IF(ISNUMBER(SEARCH(Assumptions!$C$7,F1329)),Assumptions!$D$7,"Other Services"))),"Other Services"))</f>
        <v/>
      </c>
    </row>
    <row r="1330" customFormat="false" ht="15" hidden="false" customHeight="false" outlineLevel="0" collapsed="false">
      <c r="I1330" s="41" t="str">
        <f aca="false">IF(F1330="","",IFERROR(IF(ISNUMBER(SEARCH(Assumptions!$C$5,F1330)),Assumptions!$D$5,IF(ISNUMBER(SEARCH(Assumptions!$C$6,F1330)),Assumptions!$D$6,IF(ISNUMBER(SEARCH(Assumptions!$C$7,F1330)),Assumptions!$D$7,"Other Services"))),"Other Services"))</f>
        <v/>
      </c>
    </row>
    <row r="1331" customFormat="false" ht="15" hidden="false" customHeight="false" outlineLevel="0" collapsed="false">
      <c r="I1331" s="41" t="str">
        <f aca="false">IF(F1331="","",IFERROR(IF(ISNUMBER(SEARCH(Assumptions!$C$5,F1331)),Assumptions!$D$5,IF(ISNUMBER(SEARCH(Assumptions!$C$6,F1331)),Assumptions!$D$6,IF(ISNUMBER(SEARCH(Assumptions!$C$7,F1331)),Assumptions!$D$7,"Other Services"))),"Other Services"))</f>
        <v/>
      </c>
    </row>
    <row r="1332" customFormat="false" ht="15" hidden="false" customHeight="false" outlineLevel="0" collapsed="false">
      <c r="I1332" s="41" t="str">
        <f aca="false">IF(F1332="","",IFERROR(IF(ISNUMBER(SEARCH(Assumptions!$C$5,F1332)),Assumptions!$D$5,IF(ISNUMBER(SEARCH(Assumptions!$C$6,F1332)),Assumptions!$D$6,IF(ISNUMBER(SEARCH(Assumptions!$C$7,F1332)),Assumptions!$D$7,"Other Services"))),"Other Services"))</f>
        <v/>
      </c>
    </row>
    <row r="1333" customFormat="false" ht="15" hidden="false" customHeight="false" outlineLevel="0" collapsed="false">
      <c r="I1333" s="41" t="str">
        <f aca="false">IF(F1333="","",IFERROR(IF(ISNUMBER(SEARCH(Assumptions!$C$5,F1333)),Assumptions!$D$5,IF(ISNUMBER(SEARCH(Assumptions!$C$6,F1333)),Assumptions!$D$6,IF(ISNUMBER(SEARCH(Assumptions!$C$7,F1333)),Assumptions!$D$7,"Other Services"))),"Other Services"))</f>
        <v/>
      </c>
    </row>
    <row r="1334" customFormat="false" ht="15" hidden="false" customHeight="false" outlineLevel="0" collapsed="false">
      <c r="I1334" s="41" t="str">
        <f aca="false">IF(F1334="","",IFERROR(IF(ISNUMBER(SEARCH(Assumptions!$C$5,F1334)),Assumptions!$D$5,IF(ISNUMBER(SEARCH(Assumptions!$C$6,F1334)),Assumptions!$D$6,IF(ISNUMBER(SEARCH(Assumptions!$C$7,F1334)),Assumptions!$D$7,"Other Services"))),"Other Services"))</f>
        <v/>
      </c>
    </row>
    <row r="1335" customFormat="false" ht="15" hidden="false" customHeight="false" outlineLevel="0" collapsed="false">
      <c r="I1335" s="41" t="str">
        <f aca="false">IF(F1335="","",IFERROR(IF(ISNUMBER(SEARCH(Assumptions!$C$5,F1335)),Assumptions!$D$5,IF(ISNUMBER(SEARCH(Assumptions!$C$6,F1335)),Assumptions!$D$6,IF(ISNUMBER(SEARCH(Assumptions!$C$7,F1335)),Assumptions!$D$7,"Other Services"))),"Other Services"))</f>
        <v/>
      </c>
    </row>
    <row r="1336" customFormat="false" ht="15" hidden="false" customHeight="false" outlineLevel="0" collapsed="false">
      <c r="I1336" s="41" t="str">
        <f aca="false">IF(F1336="","",IFERROR(IF(ISNUMBER(SEARCH(Assumptions!$C$5,F1336)),Assumptions!$D$5,IF(ISNUMBER(SEARCH(Assumptions!$C$6,F1336)),Assumptions!$D$6,IF(ISNUMBER(SEARCH(Assumptions!$C$7,F1336)),Assumptions!$D$7,"Other Services"))),"Other Services"))</f>
        <v/>
      </c>
    </row>
    <row r="1337" customFormat="false" ht="15" hidden="false" customHeight="false" outlineLevel="0" collapsed="false">
      <c r="I1337" s="41" t="str">
        <f aca="false">IF(F1337="","",IFERROR(IF(ISNUMBER(SEARCH(Assumptions!$C$5,F1337)),Assumptions!$D$5,IF(ISNUMBER(SEARCH(Assumptions!$C$6,F1337)),Assumptions!$D$6,IF(ISNUMBER(SEARCH(Assumptions!$C$7,F1337)),Assumptions!$D$7,"Other Services"))),"Other Services"))</f>
        <v/>
      </c>
    </row>
    <row r="1338" customFormat="false" ht="15" hidden="false" customHeight="false" outlineLevel="0" collapsed="false">
      <c r="I1338" s="41" t="str">
        <f aca="false">IF(F1338="","",IFERROR(IF(ISNUMBER(SEARCH(Assumptions!$C$5,F1338)),Assumptions!$D$5,IF(ISNUMBER(SEARCH(Assumptions!$C$6,F1338)),Assumptions!$D$6,IF(ISNUMBER(SEARCH(Assumptions!$C$7,F1338)),Assumptions!$D$7,"Other Services"))),"Other Services"))</f>
        <v/>
      </c>
    </row>
    <row r="1339" customFormat="false" ht="15" hidden="false" customHeight="false" outlineLevel="0" collapsed="false">
      <c r="I1339" s="41" t="str">
        <f aca="false">IF(F1339="","",IFERROR(IF(ISNUMBER(SEARCH(Assumptions!$C$5,F1339)),Assumptions!$D$5,IF(ISNUMBER(SEARCH(Assumptions!$C$6,F1339)),Assumptions!$D$6,IF(ISNUMBER(SEARCH(Assumptions!$C$7,F1339)),Assumptions!$D$7,"Other Services"))),"Other Services"))</f>
        <v/>
      </c>
    </row>
    <row r="1340" customFormat="false" ht="15" hidden="false" customHeight="false" outlineLevel="0" collapsed="false">
      <c r="I1340" s="41" t="str">
        <f aca="false">IF(F1340="","",IFERROR(IF(ISNUMBER(SEARCH(Assumptions!$C$5,F1340)),Assumptions!$D$5,IF(ISNUMBER(SEARCH(Assumptions!$C$6,F1340)),Assumptions!$D$6,IF(ISNUMBER(SEARCH(Assumptions!$C$7,F1340)),Assumptions!$D$7,"Other Services"))),"Other Services"))</f>
        <v/>
      </c>
    </row>
    <row r="1341" customFormat="false" ht="15" hidden="false" customHeight="false" outlineLevel="0" collapsed="false">
      <c r="I1341" s="41" t="str">
        <f aca="false">IF(F1341="","",IFERROR(IF(ISNUMBER(SEARCH(Assumptions!$C$5,F1341)),Assumptions!$D$5,IF(ISNUMBER(SEARCH(Assumptions!$C$6,F1341)),Assumptions!$D$6,IF(ISNUMBER(SEARCH(Assumptions!$C$7,F1341)),Assumptions!$D$7,"Other Services"))),"Other Services"))</f>
        <v/>
      </c>
    </row>
    <row r="1342" customFormat="false" ht="15" hidden="false" customHeight="false" outlineLevel="0" collapsed="false">
      <c r="I1342" s="41" t="str">
        <f aca="false">IF(F1342="","",IFERROR(IF(ISNUMBER(SEARCH(Assumptions!$C$5,F1342)),Assumptions!$D$5,IF(ISNUMBER(SEARCH(Assumptions!$C$6,F1342)),Assumptions!$D$6,IF(ISNUMBER(SEARCH(Assumptions!$C$7,F1342)),Assumptions!$D$7,"Other Services"))),"Other Services"))</f>
        <v/>
      </c>
    </row>
    <row r="1343" customFormat="false" ht="15" hidden="false" customHeight="false" outlineLevel="0" collapsed="false">
      <c r="I1343" s="41" t="str">
        <f aca="false">IF(F1343="","",IFERROR(IF(ISNUMBER(SEARCH(Assumptions!$C$5,F1343)),Assumptions!$D$5,IF(ISNUMBER(SEARCH(Assumptions!$C$6,F1343)),Assumptions!$D$6,IF(ISNUMBER(SEARCH(Assumptions!$C$7,F1343)),Assumptions!$D$7,"Other Services"))),"Other Services"))</f>
        <v/>
      </c>
    </row>
    <row r="1344" customFormat="false" ht="15" hidden="false" customHeight="false" outlineLevel="0" collapsed="false">
      <c r="I1344" s="41" t="str">
        <f aca="false">IF(F1344="","",IFERROR(IF(ISNUMBER(SEARCH(Assumptions!$C$5,F1344)),Assumptions!$D$5,IF(ISNUMBER(SEARCH(Assumptions!$C$6,F1344)),Assumptions!$D$6,IF(ISNUMBER(SEARCH(Assumptions!$C$7,F1344)),Assumptions!$D$7,"Other Services"))),"Other Services"))</f>
        <v/>
      </c>
    </row>
    <row r="1345" customFormat="false" ht="15" hidden="false" customHeight="false" outlineLevel="0" collapsed="false">
      <c r="I1345" s="41" t="str">
        <f aca="false">IF(F1345="","",IFERROR(IF(ISNUMBER(SEARCH(Assumptions!$C$5,F1345)),Assumptions!$D$5,IF(ISNUMBER(SEARCH(Assumptions!$C$6,F1345)),Assumptions!$D$6,IF(ISNUMBER(SEARCH(Assumptions!$C$7,F1345)),Assumptions!$D$7,"Other Services"))),"Other Services"))</f>
        <v/>
      </c>
    </row>
    <row r="1346" customFormat="false" ht="15" hidden="false" customHeight="false" outlineLevel="0" collapsed="false">
      <c r="I1346" s="41" t="str">
        <f aca="false">IF(F1346="","",IFERROR(IF(ISNUMBER(SEARCH(Assumptions!$C$5,F1346)),Assumptions!$D$5,IF(ISNUMBER(SEARCH(Assumptions!$C$6,F1346)),Assumptions!$D$6,IF(ISNUMBER(SEARCH(Assumptions!$C$7,F1346)),Assumptions!$D$7,"Other Services"))),"Other Services"))</f>
        <v/>
      </c>
    </row>
    <row r="1347" customFormat="false" ht="15" hidden="false" customHeight="false" outlineLevel="0" collapsed="false">
      <c r="I1347" s="41" t="str">
        <f aca="false">IF(F1347="","",IFERROR(IF(ISNUMBER(SEARCH(Assumptions!$C$5,F1347)),Assumptions!$D$5,IF(ISNUMBER(SEARCH(Assumptions!$C$6,F1347)),Assumptions!$D$6,IF(ISNUMBER(SEARCH(Assumptions!$C$7,F1347)),Assumptions!$D$7,"Other Services"))),"Other Services"))</f>
        <v/>
      </c>
    </row>
    <row r="1348" customFormat="false" ht="15" hidden="false" customHeight="false" outlineLevel="0" collapsed="false">
      <c r="I1348" s="41" t="str">
        <f aca="false">IF(F1348="","",IFERROR(IF(ISNUMBER(SEARCH(Assumptions!$C$5,F1348)),Assumptions!$D$5,IF(ISNUMBER(SEARCH(Assumptions!$C$6,F1348)),Assumptions!$D$6,IF(ISNUMBER(SEARCH(Assumptions!$C$7,F1348)),Assumptions!$D$7,"Other Services"))),"Other Services"))</f>
        <v/>
      </c>
    </row>
    <row r="1349" customFormat="false" ht="15" hidden="false" customHeight="false" outlineLevel="0" collapsed="false">
      <c r="I1349" s="41" t="str">
        <f aca="false">IF(F1349="","",IFERROR(IF(ISNUMBER(SEARCH(Assumptions!$C$5,F1349)),Assumptions!$D$5,IF(ISNUMBER(SEARCH(Assumptions!$C$6,F1349)),Assumptions!$D$6,IF(ISNUMBER(SEARCH(Assumptions!$C$7,F1349)),Assumptions!$D$7,"Other Services"))),"Other Services"))</f>
        <v/>
      </c>
    </row>
    <row r="1350" customFormat="false" ht="15" hidden="false" customHeight="false" outlineLevel="0" collapsed="false">
      <c r="I1350" s="41" t="str">
        <f aca="false">IF(F1350="","",IFERROR(IF(ISNUMBER(SEARCH(Assumptions!$C$5,F1350)),Assumptions!$D$5,IF(ISNUMBER(SEARCH(Assumptions!$C$6,F1350)),Assumptions!$D$6,IF(ISNUMBER(SEARCH(Assumptions!$C$7,F1350)),Assumptions!$D$7,"Other Services"))),"Other Services"))</f>
        <v/>
      </c>
    </row>
    <row r="1351" customFormat="false" ht="15" hidden="false" customHeight="false" outlineLevel="0" collapsed="false">
      <c r="I1351" s="41" t="str">
        <f aca="false">IF(F1351="","",IFERROR(IF(ISNUMBER(SEARCH(Assumptions!$C$5,F1351)),Assumptions!$D$5,IF(ISNUMBER(SEARCH(Assumptions!$C$6,F1351)),Assumptions!$D$6,IF(ISNUMBER(SEARCH(Assumptions!$C$7,F1351)),Assumptions!$D$7,"Other Services"))),"Other Services"))</f>
        <v/>
      </c>
    </row>
    <row r="1352" customFormat="false" ht="15" hidden="false" customHeight="false" outlineLevel="0" collapsed="false">
      <c r="I1352" s="41" t="str">
        <f aca="false">IF(F1352="","",IFERROR(IF(ISNUMBER(SEARCH(Assumptions!$C$5,F1352)),Assumptions!$D$5,IF(ISNUMBER(SEARCH(Assumptions!$C$6,F1352)),Assumptions!$D$6,IF(ISNUMBER(SEARCH(Assumptions!$C$7,F1352)),Assumptions!$D$7,"Other Services"))),"Other Services"))</f>
        <v/>
      </c>
    </row>
    <row r="1353" customFormat="false" ht="15" hidden="false" customHeight="false" outlineLevel="0" collapsed="false">
      <c r="I1353" s="41" t="str">
        <f aca="false">IF(F1353="","",IFERROR(IF(ISNUMBER(SEARCH(Assumptions!$C$5,F1353)),Assumptions!$D$5,IF(ISNUMBER(SEARCH(Assumptions!$C$6,F1353)),Assumptions!$D$6,IF(ISNUMBER(SEARCH(Assumptions!$C$7,F1353)),Assumptions!$D$7,"Other Services"))),"Other Services"))</f>
        <v/>
      </c>
    </row>
    <row r="1354" customFormat="false" ht="15" hidden="false" customHeight="false" outlineLevel="0" collapsed="false">
      <c r="I1354" s="41" t="str">
        <f aca="false">IF(F1354="","",IFERROR(IF(ISNUMBER(SEARCH(Assumptions!$C$5,F1354)),Assumptions!$D$5,IF(ISNUMBER(SEARCH(Assumptions!$C$6,F1354)),Assumptions!$D$6,IF(ISNUMBER(SEARCH(Assumptions!$C$7,F1354)),Assumptions!$D$7,"Other Services"))),"Other Services"))</f>
        <v/>
      </c>
    </row>
    <row r="1355" customFormat="false" ht="15" hidden="false" customHeight="false" outlineLevel="0" collapsed="false">
      <c r="I1355" s="41" t="str">
        <f aca="false">IF(F1355="","",IFERROR(IF(ISNUMBER(SEARCH(Assumptions!$C$5,F1355)),Assumptions!$D$5,IF(ISNUMBER(SEARCH(Assumptions!$C$6,F1355)),Assumptions!$D$6,IF(ISNUMBER(SEARCH(Assumptions!$C$7,F1355)),Assumptions!$D$7,"Other Services"))),"Other Services"))</f>
        <v/>
      </c>
    </row>
    <row r="1356" customFormat="false" ht="15" hidden="false" customHeight="false" outlineLevel="0" collapsed="false">
      <c r="I1356" s="41" t="str">
        <f aca="false">IF(F1356="","",IFERROR(IF(ISNUMBER(SEARCH(Assumptions!$C$5,F1356)),Assumptions!$D$5,IF(ISNUMBER(SEARCH(Assumptions!$C$6,F1356)),Assumptions!$D$6,IF(ISNUMBER(SEARCH(Assumptions!$C$7,F1356)),Assumptions!$D$7,"Other Services"))),"Other Services"))</f>
        <v/>
      </c>
    </row>
    <row r="1357" customFormat="false" ht="15" hidden="false" customHeight="false" outlineLevel="0" collapsed="false">
      <c r="I1357" s="41" t="str">
        <f aca="false">IF(F1357="","",IFERROR(IF(ISNUMBER(SEARCH(Assumptions!$C$5,F1357)),Assumptions!$D$5,IF(ISNUMBER(SEARCH(Assumptions!$C$6,F1357)),Assumptions!$D$6,IF(ISNUMBER(SEARCH(Assumptions!$C$7,F1357)),Assumptions!$D$7,"Other Services"))),"Other Services"))</f>
        <v/>
      </c>
    </row>
    <row r="1358" customFormat="false" ht="15" hidden="false" customHeight="false" outlineLevel="0" collapsed="false">
      <c r="I1358" s="41" t="str">
        <f aca="false">IF(F1358="","",IFERROR(IF(ISNUMBER(SEARCH(Assumptions!$C$5,F1358)),Assumptions!$D$5,IF(ISNUMBER(SEARCH(Assumptions!$C$6,F1358)),Assumptions!$D$6,IF(ISNUMBER(SEARCH(Assumptions!$C$7,F1358)),Assumptions!$D$7,"Other Services"))),"Other Services"))</f>
        <v/>
      </c>
    </row>
    <row r="1359" customFormat="false" ht="15" hidden="false" customHeight="false" outlineLevel="0" collapsed="false">
      <c r="I1359" s="41" t="str">
        <f aca="false">IF(F1359="","",IFERROR(IF(ISNUMBER(SEARCH(Assumptions!$C$5,F1359)),Assumptions!$D$5,IF(ISNUMBER(SEARCH(Assumptions!$C$6,F1359)),Assumptions!$D$6,IF(ISNUMBER(SEARCH(Assumptions!$C$7,F1359)),Assumptions!$D$7,"Other Services"))),"Other Services"))</f>
        <v/>
      </c>
    </row>
    <row r="1360" customFormat="false" ht="15" hidden="false" customHeight="false" outlineLevel="0" collapsed="false">
      <c r="I1360" s="41" t="str">
        <f aca="false">IF(F1360="","",IFERROR(IF(ISNUMBER(SEARCH(Assumptions!$C$5,F1360)),Assumptions!$D$5,IF(ISNUMBER(SEARCH(Assumptions!$C$6,F1360)),Assumptions!$D$6,IF(ISNUMBER(SEARCH(Assumptions!$C$7,F1360)),Assumptions!$D$7,"Other Services"))),"Other Services"))</f>
        <v/>
      </c>
    </row>
    <row r="1361" customFormat="false" ht="15" hidden="false" customHeight="false" outlineLevel="0" collapsed="false">
      <c r="I1361" s="41" t="str">
        <f aca="false">IF(F1361="","",IFERROR(IF(ISNUMBER(SEARCH(Assumptions!$C$5,F1361)),Assumptions!$D$5,IF(ISNUMBER(SEARCH(Assumptions!$C$6,F1361)),Assumptions!$D$6,IF(ISNUMBER(SEARCH(Assumptions!$C$7,F1361)),Assumptions!$D$7,"Other Services"))),"Other Services"))</f>
        <v/>
      </c>
    </row>
    <row r="1362" customFormat="false" ht="15" hidden="false" customHeight="false" outlineLevel="0" collapsed="false">
      <c r="I1362" s="41" t="str">
        <f aca="false">IF(F1362="","",IFERROR(IF(ISNUMBER(SEARCH(Assumptions!$C$5,F1362)),Assumptions!$D$5,IF(ISNUMBER(SEARCH(Assumptions!$C$6,F1362)),Assumptions!$D$6,IF(ISNUMBER(SEARCH(Assumptions!$C$7,F1362)),Assumptions!$D$7,"Other Services"))),"Other Services"))</f>
        <v/>
      </c>
    </row>
    <row r="1363" customFormat="false" ht="15" hidden="false" customHeight="false" outlineLevel="0" collapsed="false">
      <c r="I1363" s="41" t="str">
        <f aca="false">IF(F1363="","",IFERROR(IF(ISNUMBER(SEARCH(Assumptions!$C$5,F1363)),Assumptions!$D$5,IF(ISNUMBER(SEARCH(Assumptions!$C$6,F1363)),Assumptions!$D$6,IF(ISNUMBER(SEARCH(Assumptions!$C$7,F1363)),Assumptions!$D$7,"Other Services"))),"Other Services"))</f>
        <v/>
      </c>
    </row>
    <row r="1364" customFormat="false" ht="15" hidden="false" customHeight="false" outlineLevel="0" collapsed="false">
      <c r="I1364" s="41" t="str">
        <f aca="false">IF(F1364="","",IFERROR(IF(ISNUMBER(SEARCH(Assumptions!$C$5,F1364)),Assumptions!$D$5,IF(ISNUMBER(SEARCH(Assumptions!$C$6,F1364)),Assumptions!$D$6,IF(ISNUMBER(SEARCH(Assumptions!$C$7,F1364)),Assumptions!$D$7,"Other Services"))),"Other Services"))</f>
        <v/>
      </c>
    </row>
    <row r="1365" customFormat="false" ht="15" hidden="false" customHeight="false" outlineLevel="0" collapsed="false">
      <c r="I1365" s="41" t="str">
        <f aca="false">IF(F1365="","",IFERROR(IF(ISNUMBER(SEARCH(Assumptions!$C$5,F1365)),Assumptions!$D$5,IF(ISNUMBER(SEARCH(Assumptions!$C$6,F1365)),Assumptions!$D$6,IF(ISNUMBER(SEARCH(Assumptions!$C$7,F1365)),Assumptions!$D$7,"Other Services"))),"Other Services"))</f>
        <v/>
      </c>
    </row>
    <row r="1366" customFormat="false" ht="15" hidden="false" customHeight="false" outlineLevel="0" collapsed="false">
      <c r="I1366" s="41" t="str">
        <f aca="false">IF(F1366="","",IFERROR(IF(ISNUMBER(SEARCH(Assumptions!$C$5,F1366)),Assumptions!$D$5,IF(ISNUMBER(SEARCH(Assumptions!$C$6,F1366)),Assumptions!$D$6,IF(ISNUMBER(SEARCH(Assumptions!$C$7,F1366)),Assumptions!$D$7,"Other Services"))),"Other Services"))</f>
        <v/>
      </c>
    </row>
    <row r="1367" customFormat="false" ht="15" hidden="false" customHeight="false" outlineLevel="0" collapsed="false">
      <c r="I1367" s="41" t="str">
        <f aca="false">IF(F1367="","",IFERROR(IF(ISNUMBER(SEARCH(Assumptions!$C$5,F1367)),Assumptions!$D$5,IF(ISNUMBER(SEARCH(Assumptions!$C$6,F1367)),Assumptions!$D$6,IF(ISNUMBER(SEARCH(Assumptions!$C$7,F1367)),Assumptions!$D$7,"Other Services"))),"Other Services"))</f>
        <v/>
      </c>
    </row>
    <row r="1368" customFormat="false" ht="15" hidden="false" customHeight="false" outlineLevel="0" collapsed="false">
      <c r="I1368" s="41" t="str">
        <f aca="false">IF(F1368="","",IFERROR(IF(ISNUMBER(SEARCH(Assumptions!$C$5,F1368)),Assumptions!$D$5,IF(ISNUMBER(SEARCH(Assumptions!$C$6,F1368)),Assumptions!$D$6,IF(ISNUMBER(SEARCH(Assumptions!$C$7,F1368)),Assumptions!$D$7,"Other Services"))),"Other Services"))</f>
        <v/>
      </c>
    </row>
    <row r="1369" customFormat="false" ht="15" hidden="false" customHeight="false" outlineLevel="0" collapsed="false">
      <c r="I1369" s="41" t="str">
        <f aca="false">IF(F1369="","",IFERROR(IF(ISNUMBER(SEARCH(Assumptions!$C$5,F1369)),Assumptions!$D$5,IF(ISNUMBER(SEARCH(Assumptions!$C$6,F1369)),Assumptions!$D$6,IF(ISNUMBER(SEARCH(Assumptions!$C$7,F1369)),Assumptions!$D$7,"Other Services"))),"Other Services"))</f>
        <v/>
      </c>
    </row>
    <row r="1370" customFormat="false" ht="15" hidden="false" customHeight="false" outlineLevel="0" collapsed="false">
      <c r="I1370" s="41" t="str">
        <f aca="false">IF(F1370="","",IFERROR(IF(ISNUMBER(SEARCH(Assumptions!$C$5,F1370)),Assumptions!$D$5,IF(ISNUMBER(SEARCH(Assumptions!$C$6,F1370)),Assumptions!$D$6,IF(ISNUMBER(SEARCH(Assumptions!$C$7,F1370)),Assumptions!$D$7,"Other Services"))),"Other Services"))</f>
        <v/>
      </c>
    </row>
    <row r="1371" customFormat="false" ht="15" hidden="false" customHeight="false" outlineLevel="0" collapsed="false">
      <c r="I1371" s="41" t="str">
        <f aca="false">IF(F1371="","",IFERROR(IF(ISNUMBER(SEARCH(Assumptions!$C$5,F1371)),Assumptions!$D$5,IF(ISNUMBER(SEARCH(Assumptions!$C$6,F1371)),Assumptions!$D$6,IF(ISNUMBER(SEARCH(Assumptions!$C$7,F1371)),Assumptions!$D$7,"Other Services"))),"Other Services"))</f>
        <v/>
      </c>
    </row>
    <row r="1372" customFormat="false" ht="15" hidden="false" customHeight="false" outlineLevel="0" collapsed="false">
      <c r="I1372" s="41" t="str">
        <f aca="false">IF(F1372="","",IFERROR(IF(ISNUMBER(SEARCH(Assumptions!$C$5,F1372)),Assumptions!$D$5,IF(ISNUMBER(SEARCH(Assumptions!$C$6,F1372)),Assumptions!$D$6,IF(ISNUMBER(SEARCH(Assumptions!$C$7,F1372)),Assumptions!$D$7,"Other Services"))),"Other Services"))</f>
        <v/>
      </c>
    </row>
    <row r="1373" customFormat="false" ht="15" hidden="false" customHeight="false" outlineLevel="0" collapsed="false">
      <c r="I1373" s="41" t="str">
        <f aca="false">IF(F1373="","",IFERROR(IF(ISNUMBER(SEARCH(Assumptions!$C$5,F1373)),Assumptions!$D$5,IF(ISNUMBER(SEARCH(Assumptions!$C$6,F1373)),Assumptions!$D$6,IF(ISNUMBER(SEARCH(Assumptions!$C$7,F1373)),Assumptions!$D$7,"Other Services"))),"Other Services"))</f>
        <v/>
      </c>
    </row>
    <row r="1374" customFormat="false" ht="15" hidden="false" customHeight="false" outlineLevel="0" collapsed="false">
      <c r="I1374" s="41" t="str">
        <f aca="false">IF(F1374="","",IFERROR(IF(ISNUMBER(SEARCH(Assumptions!$C$5,F1374)),Assumptions!$D$5,IF(ISNUMBER(SEARCH(Assumptions!$C$6,F1374)),Assumptions!$D$6,IF(ISNUMBER(SEARCH(Assumptions!$C$7,F1374)),Assumptions!$D$7,"Other Services"))),"Other Services"))</f>
        <v/>
      </c>
    </row>
    <row r="1375" customFormat="false" ht="15" hidden="false" customHeight="false" outlineLevel="0" collapsed="false">
      <c r="I1375" s="41" t="str">
        <f aca="false">IF(F1375="","",IFERROR(IF(ISNUMBER(SEARCH(Assumptions!$C$5,F1375)),Assumptions!$D$5,IF(ISNUMBER(SEARCH(Assumptions!$C$6,F1375)),Assumptions!$D$6,IF(ISNUMBER(SEARCH(Assumptions!$C$7,F1375)),Assumptions!$D$7,"Other Services"))),"Other Services"))</f>
        <v/>
      </c>
    </row>
    <row r="1376" customFormat="false" ht="15" hidden="false" customHeight="false" outlineLevel="0" collapsed="false">
      <c r="I1376" s="41" t="str">
        <f aca="false">IF(F1376="","",IFERROR(IF(ISNUMBER(SEARCH(Assumptions!$C$5,F1376)),Assumptions!$D$5,IF(ISNUMBER(SEARCH(Assumptions!$C$6,F1376)),Assumptions!$D$6,IF(ISNUMBER(SEARCH(Assumptions!$C$7,F1376)),Assumptions!$D$7,"Other Services"))),"Other Services"))</f>
        <v/>
      </c>
    </row>
    <row r="1377" customFormat="false" ht="15" hidden="false" customHeight="false" outlineLevel="0" collapsed="false">
      <c r="I1377" s="41" t="str">
        <f aca="false">IF(F1377="","",IFERROR(IF(ISNUMBER(SEARCH(Assumptions!$C$5,F1377)),Assumptions!$D$5,IF(ISNUMBER(SEARCH(Assumptions!$C$6,F1377)),Assumptions!$D$6,IF(ISNUMBER(SEARCH(Assumptions!$C$7,F1377)),Assumptions!$D$7,"Other Services"))),"Other Services"))</f>
        <v/>
      </c>
    </row>
    <row r="1378" customFormat="false" ht="15" hidden="false" customHeight="false" outlineLevel="0" collapsed="false">
      <c r="I1378" s="41" t="str">
        <f aca="false">IF(F1378="","",IFERROR(IF(ISNUMBER(SEARCH(Assumptions!$C$5,F1378)),Assumptions!$D$5,IF(ISNUMBER(SEARCH(Assumptions!$C$6,F1378)),Assumptions!$D$6,IF(ISNUMBER(SEARCH(Assumptions!$C$7,F1378)),Assumptions!$D$7,"Other Services"))),"Other Services"))</f>
        <v/>
      </c>
    </row>
    <row r="1379" customFormat="false" ht="15" hidden="false" customHeight="false" outlineLevel="0" collapsed="false">
      <c r="I1379" s="41" t="str">
        <f aca="false">IF(F1379="","",IFERROR(IF(ISNUMBER(SEARCH(Assumptions!$C$5,F1379)),Assumptions!$D$5,IF(ISNUMBER(SEARCH(Assumptions!$C$6,F1379)),Assumptions!$D$6,IF(ISNUMBER(SEARCH(Assumptions!$C$7,F1379)),Assumptions!$D$7,"Other Services"))),"Other Services"))</f>
        <v/>
      </c>
    </row>
    <row r="1380" customFormat="false" ht="15" hidden="false" customHeight="false" outlineLevel="0" collapsed="false">
      <c r="I1380" s="41" t="str">
        <f aca="false">IF(F1380="","",IFERROR(IF(ISNUMBER(SEARCH(Assumptions!$C$5,F1380)),Assumptions!$D$5,IF(ISNUMBER(SEARCH(Assumptions!$C$6,F1380)),Assumptions!$D$6,IF(ISNUMBER(SEARCH(Assumptions!$C$7,F1380)),Assumptions!$D$7,"Other Services"))),"Other Services"))</f>
        <v/>
      </c>
    </row>
    <row r="1381" customFormat="false" ht="15" hidden="false" customHeight="false" outlineLevel="0" collapsed="false">
      <c r="I1381" s="41" t="str">
        <f aca="false">IF(F1381="","",IFERROR(IF(ISNUMBER(SEARCH(Assumptions!$C$5,F1381)),Assumptions!$D$5,IF(ISNUMBER(SEARCH(Assumptions!$C$6,F1381)),Assumptions!$D$6,IF(ISNUMBER(SEARCH(Assumptions!$C$7,F1381)),Assumptions!$D$7,"Other Services"))),"Other Services"))</f>
        <v/>
      </c>
    </row>
    <row r="1382" customFormat="false" ht="15" hidden="false" customHeight="false" outlineLevel="0" collapsed="false">
      <c r="I1382" s="41" t="str">
        <f aca="false">IF(F1382="","",IFERROR(IF(ISNUMBER(SEARCH(Assumptions!$C$5,F1382)),Assumptions!$D$5,IF(ISNUMBER(SEARCH(Assumptions!$C$6,F1382)),Assumptions!$D$6,IF(ISNUMBER(SEARCH(Assumptions!$C$7,F1382)),Assumptions!$D$7,"Other Services"))),"Other Services"))</f>
        <v/>
      </c>
    </row>
    <row r="1383" customFormat="false" ht="15" hidden="false" customHeight="false" outlineLevel="0" collapsed="false">
      <c r="I1383" s="41" t="str">
        <f aca="false">IF(F1383="","",IFERROR(IF(ISNUMBER(SEARCH(Assumptions!$C$5,F1383)),Assumptions!$D$5,IF(ISNUMBER(SEARCH(Assumptions!$C$6,F1383)),Assumptions!$D$6,IF(ISNUMBER(SEARCH(Assumptions!$C$7,F1383)),Assumptions!$D$7,"Other Services"))),"Other Services"))</f>
        <v/>
      </c>
    </row>
    <row r="1384" customFormat="false" ht="15" hidden="false" customHeight="false" outlineLevel="0" collapsed="false">
      <c r="I1384" s="41" t="str">
        <f aca="false">IF(F1384="","",IFERROR(IF(ISNUMBER(SEARCH(Assumptions!$C$5,F1384)),Assumptions!$D$5,IF(ISNUMBER(SEARCH(Assumptions!$C$6,F1384)),Assumptions!$D$6,IF(ISNUMBER(SEARCH(Assumptions!$C$7,F1384)),Assumptions!$D$7,"Other Services"))),"Other Services"))</f>
        <v/>
      </c>
    </row>
    <row r="1385" customFormat="false" ht="15" hidden="false" customHeight="false" outlineLevel="0" collapsed="false">
      <c r="I1385" s="41" t="str">
        <f aca="false">IF(F1385="","",IFERROR(IF(ISNUMBER(SEARCH(Assumptions!$C$5,F1385)),Assumptions!$D$5,IF(ISNUMBER(SEARCH(Assumptions!$C$6,F1385)),Assumptions!$D$6,IF(ISNUMBER(SEARCH(Assumptions!$C$7,F1385)),Assumptions!$D$7,"Other Services"))),"Other Services"))</f>
        <v/>
      </c>
    </row>
    <row r="1386" customFormat="false" ht="15" hidden="false" customHeight="false" outlineLevel="0" collapsed="false">
      <c r="I1386" s="41" t="str">
        <f aca="false">IF(F1386="","",IFERROR(IF(ISNUMBER(SEARCH(Assumptions!$C$5,F1386)),Assumptions!$D$5,IF(ISNUMBER(SEARCH(Assumptions!$C$6,F1386)),Assumptions!$D$6,IF(ISNUMBER(SEARCH(Assumptions!$C$7,F1386)),Assumptions!$D$7,"Other Services"))),"Other Services"))</f>
        <v/>
      </c>
    </row>
    <row r="1387" customFormat="false" ht="15" hidden="false" customHeight="false" outlineLevel="0" collapsed="false">
      <c r="I1387" s="41" t="str">
        <f aca="false">IF(F1387="","",IFERROR(IF(ISNUMBER(SEARCH(Assumptions!$C$5,F1387)),Assumptions!$D$5,IF(ISNUMBER(SEARCH(Assumptions!$C$6,F1387)),Assumptions!$D$6,IF(ISNUMBER(SEARCH(Assumptions!$C$7,F1387)),Assumptions!$D$7,"Other Services"))),"Other Services"))</f>
        <v/>
      </c>
    </row>
    <row r="1388" customFormat="false" ht="15" hidden="false" customHeight="false" outlineLevel="0" collapsed="false">
      <c r="I1388" s="41" t="str">
        <f aca="false">IF(F1388="","",IFERROR(IF(ISNUMBER(SEARCH(Assumptions!$C$5,F1388)),Assumptions!$D$5,IF(ISNUMBER(SEARCH(Assumptions!$C$6,F1388)),Assumptions!$D$6,IF(ISNUMBER(SEARCH(Assumptions!$C$7,F1388)),Assumptions!$D$7,"Other Services"))),"Other Services"))</f>
        <v/>
      </c>
    </row>
    <row r="1389" customFormat="false" ht="15" hidden="false" customHeight="false" outlineLevel="0" collapsed="false">
      <c r="I1389" s="41" t="str">
        <f aca="false">IF(F1389="","",IFERROR(IF(ISNUMBER(SEARCH(Assumptions!$C$5,F1389)),Assumptions!$D$5,IF(ISNUMBER(SEARCH(Assumptions!$C$6,F1389)),Assumptions!$D$6,IF(ISNUMBER(SEARCH(Assumptions!$C$7,F1389)),Assumptions!$D$7,"Other Services"))),"Other Services"))</f>
        <v/>
      </c>
    </row>
    <row r="1390" customFormat="false" ht="15" hidden="false" customHeight="false" outlineLevel="0" collapsed="false">
      <c r="I1390" s="41" t="str">
        <f aca="false">IF(F1390="","",IFERROR(IF(ISNUMBER(SEARCH(Assumptions!$C$5,F1390)),Assumptions!$D$5,IF(ISNUMBER(SEARCH(Assumptions!$C$6,F1390)),Assumptions!$D$6,IF(ISNUMBER(SEARCH(Assumptions!$C$7,F1390)),Assumptions!$D$7,"Other Services"))),"Other Services"))</f>
        <v/>
      </c>
    </row>
    <row r="1391" customFormat="false" ht="15" hidden="false" customHeight="false" outlineLevel="0" collapsed="false">
      <c r="I1391" s="41" t="str">
        <f aca="false">IF(F1391="","",IFERROR(IF(ISNUMBER(SEARCH(Assumptions!$C$5,F1391)),Assumptions!$D$5,IF(ISNUMBER(SEARCH(Assumptions!$C$6,F1391)),Assumptions!$D$6,IF(ISNUMBER(SEARCH(Assumptions!$C$7,F1391)),Assumptions!$D$7,"Other Services"))),"Other Services"))</f>
        <v/>
      </c>
    </row>
    <row r="1392" customFormat="false" ht="15" hidden="false" customHeight="false" outlineLevel="0" collapsed="false">
      <c r="I1392" s="41" t="str">
        <f aca="false">IF(F1392="","",IFERROR(IF(ISNUMBER(SEARCH(Assumptions!$C$5,F1392)),Assumptions!$D$5,IF(ISNUMBER(SEARCH(Assumptions!$C$6,F1392)),Assumptions!$D$6,IF(ISNUMBER(SEARCH(Assumptions!$C$7,F1392)),Assumptions!$D$7,"Other Services"))),"Other Services"))</f>
        <v/>
      </c>
    </row>
    <row r="1393" customFormat="false" ht="15" hidden="false" customHeight="false" outlineLevel="0" collapsed="false">
      <c r="I1393" s="41" t="str">
        <f aca="false">IF(F1393="","",IFERROR(IF(ISNUMBER(SEARCH(Assumptions!$C$5,F1393)),Assumptions!$D$5,IF(ISNUMBER(SEARCH(Assumptions!$C$6,F1393)),Assumptions!$D$6,IF(ISNUMBER(SEARCH(Assumptions!$C$7,F1393)),Assumptions!$D$7,"Other Services"))),"Other Services"))</f>
        <v/>
      </c>
    </row>
    <row r="1394" customFormat="false" ht="15" hidden="false" customHeight="false" outlineLevel="0" collapsed="false">
      <c r="I1394" s="41" t="str">
        <f aca="false">IF(F1394="","",IFERROR(IF(ISNUMBER(SEARCH(Assumptions!$C$5,F1394)),Assumptions!$D$5,IF(ISNUMBER(SEARCH(Assumptions!$C$6,F1394)),Assumptions!$D$6,IF(ISNUMBER(SEARCH(Assumptions!$C$7,F1394)),Assumptions!$D$7,"Other Services"))),"Other Services"))</f>
        <v/>
      </c>
    </row>
    <row r="1395" customFormat="false" ht="15" hidden="false" customHeight="false" outlineLevel="0" collapsed="false">
      <c r="I1395" s="41" t="str">
        <f aca="false">IF(F1395="","",IFERROR(IF(ISNUMBER(SEARCH(Assumptions!$C$5,F1395)),Assumptions!$D$5,IF(ISNUMBER(SEARCH(Assumptions!$C$6,F1395)),Assumptions!$D$6,IF(ISNUMBER(SEARCH(Assumptions!$C$7,F1395)),Assumptions!$D$7,"Other Services"))),"Other Services"))</f>
        <v/>
      </c>
    </row>
    <row r="1396" customFormat="false" ht="15" hidden="false" customHeight="false" outlineLevel="0" collapsed="false">
      <c r="I1396" s="41" t="str">
        <f aca="false">IF(F1396="","",IFERROR(IF(ISNUMBER(SEARCH(Assumptions!$C$5,F1396)),Assumptions!$D$5,IF(ISNUMBER(SEARCH(Assumptions!$C$6,F1396)),Assumptions!$D$6,IF(ISNUMBER(SEARCH(Assumptions!$C$7,F1396)),Assumptions!$D$7,"Other Services"))),"Other Services"))</f>
        <v/>
      </c>
    </row>
    <row r="1397" customFormat="false" ht="15" hidden="false" customHeight="false" outlineLevel="0" collapsed="false">
      <c r="I1397" s="41" t="str">
        <f aca="false">IF(F1397="","",IFERROR(IF(ISNUMBER(SEARCH(Assumptions!$C$5,F1397)),Assumptions!$D$5,IF(ISNUMBER(SEARCH(Assumptions!$C$6,F1397)),Assumptions!$D$6,IF(ISNUMBER(SEARCH(Assumptions!$C$7,F1397)),Assumptions!$D$7,"Other Services"))),"Other Services"))</f>
        <v/>
      </c>
    </row>
    <row r="1398" customFormat="false" ht="15" hidden="false" customHeight="false" outlineLevel="0" collapsed="false">
      <c r="I1398" s="41" t="str">
        <f aca="false">IF(F1398="","",IFERROR(IF(ISNUMBER(SEARCH(Assumptions!$C$5,F1398)),Assumptions!$D$5,IF(ISNUMBER(SEARCH(Assumptions!$C$6,F1398)),Assumptions!$D$6,IF(ISNUMBER(SEARCH(Assumptions!$C$7,F1398)),Assumptions!$D$7,"Other Services"))),"Other Services"))</f>
        <v/>
      </c>
    </row>
    <row r="1399" customFormat="false" ht="15" hidden="false" customHeight="false" outlineLevel="0" collapsed="false">
      <c r="I1399" s="41" t="str">
        <f aca="false">IF(F1399="","",IFERROR(IF(ISNUMBER(SEARCH(Assumptions!$C$5,F1399)),Assumptions!$D$5,IF(ISNUMBER(SEARCH(Assumptions!$C$6,F1399)),Assumptions!$D$6,IF(ISNUMBER(SEARCH(Assumptions!$C$7,F1399)),Assumptions!$D$7,"Other Services"))),"Other Services"))</f>
        <v/>
      </c>
    </row>
    <row r="1400" customFormat="false" ht="15" hidden="false" customHeight="false" outlineLevel="0" collapsed="false">
      <c r="I1400" s="41" t="str">
        <f aca="false">IF(F1400="","",IFERROR(IF(ISNUMBER(SEARCH(Assumptions!$C$5,F1400)),Assumptions!$D$5,IF(ISNUMBER(SEARCH(Assumptions!$C$6,F1400)),Assumptions!$D$6,IF(ISNUMBER(SEARCH(Assumptions!$C$7,F1400)),Assumptions!$D$7,"Other Services"))),"Other Services"))</f>
        <v/>
      </c>
    </row>
    <row r="1401" customFormat="false" ht="15" hidden="false" customHeight="false" outlineLevel="0" collapsed="false">
      <c r="I1401" s="41" t="str">
        <f aca="false">IF(F1401="","",IFERROR(IF(ISNUMBER(SEARCH(Assumptions!$C$5,F1401)),Assumptions!$D$5,IF(ISNUMBER(SEARCH(Assumptions!$C$6,F1401)),Assumptions!$D$6,IF(ISNUMBER(SEARCH(Assumptions!$C$7,F1401)),Assumptions!$D$7,"Other Services"))),"Other Services"))</f>
        <v/>
      </c>
    </row>
    <row r="1402" customFormat="false" ht="15" hidden="false" customHeight="false" outlineLevel="0" collapsed="false">
      <c r="I1402" s="41" t="str">
        <f aca="false">IF(F1402="","",IFERROR(IF(ISNUMBER(SEARCH(Assumptions!$C$5,F1402)),Assumptions!$D$5,IF(ISNUMBER(SEARCH(Assumptions!$C$6,F1402)),Assumptions!$D$6,IF(ISNUMBER(SEARCH(Assumptions!$C$7,F1402)),Assumptions!$D$7,"Other Services"))),"Other Services"))</f>
        <v/>
      </c>
    </row>
    <row r="1403" customFormat="false" ht="15" hidden="false" customHeight="false" outlineLevel="0" collapsed="false">
      <c r="I1403" s="41" t="str">
        <f aca="false">IF(F1403="","",IFERROR(IF(ISNUMBER(SEARCH(Assumptions!$C$5,F1403)),Assumptions!$D$5,IF(ISNUMBER(SEARCH(Assumptions!$C$6,F1403)),Assumptions!$D$6,IF(ISNUMBER(SEARCH(Assumptions!$C$7,F1403)),Assumptions!$D$7,"Other Services"))),"Other Services"))</f>
        <v/>
      </c>
    </row>
    <row r="1404" customFormat="false" ht="15" hidden="false" customHeight="false" outlineLevel="0" collapsed="false">
      <c r="I1404" s="41" t="str">
        <f aca="false">IF(F1404="","",IFERROR(IF(ISNUMBER(SEARCH(Assumptions!$C$5,F1404)),Assumptions!$D$5,IF(ISNUMBER(SEARCH(Assumptions!$C$6,F1404)),Assumptions!$D$6,IF(ISNUMBER(SEARCH(Assumptions!$C$7,F1404)),Assumptions!$D$7,"Other Services"))),"Other Services"))</f>
        <v/>
      </c>
    </row>
    <row r="1405" customFormat="false" ht="15" hidden="false" customHeight="false" outlineLevel="0" collapsed="false">
      <c r="I1405" s="41" t="str">
        <f aca="false">IF(F1405="","",IFERROR(IF(ISNUMBER(SEARCH(Assumptions!$C$5,F1405)),Assumptions!$D$5,IF(ISNUMBER(SEARCH(Assumptions!$C$6,F1405)),Assumptions!$D$6,IF(ISNUMBER(SEARCH(Assumptions!$C$7,F1405)),Assumptions!$D$7,"Other Services"))),"Other Services"))</f>
        <v/>
      </c>
    </row>
    <row r="1406" customFormat="false" ht="15" hidden="false" customHeight="false" outlineLevel="0" collapsed="false">
      <c r="I1406" s="41" t="str">
        <f aca="false">IF(F1406="","",IFERROR(IF(ISNUMBER(SEARCH(Assumptions!$C$5,F1406)),Assumptions!$D$5,IF(ISNUMBER(SEARCH(Assumptions!$C$6,F1406)),Assumptions!$D$6,IF(ISNUMBER(SEARCH(Assumptions!$C$7,F1406)),Assumptions!$D$7,"Other Services"))),"Other Services"))</f>
        <v/>
      </c>
    </row>
    <row r="1407" customFormat="false" ht="15" hidden="false" customHeight="false" outlineLevel="0" collapsed="false">
      <c r="I1407" s="41" t="str">
        <f aca="false">IF(F1407="","",IFERROR(IF(ISNUMBER(SEARCH(Assumptions!$C$5,F1407)),Assumptions!$D$5,IF(ISNUMBER(SEARCH(Assumptions!$C$6,F1407)),Assumptions!$D$6,IF(ISNUMBER(SEARCH(Assumptions!$C$7,F1407)),Assumptions!$D$7,"Other Services"))),"Other Services"))</f>
        <v/>
      </c>
    </row>
    <row r="1408" customFormat="false" ht="15" hidden="false" customHeight="false" outlineLevel="0" collapsed="false">
      <c r="I1408" s="41" t="str">
        <f aca="false">IF(F1408="","",IFERROR(IF(ISNUMBER(SEARCH(Assumptions!$C$5,F1408)),Assumptions!$D$5,IF(ISNUMBER(SEARCH(Assumptions!$C$6,F1408)),Assumptions!$D$6,IF(ISNUMBER(SEARCH(Assumptions!$C$7,F1408)),Assumptions!$D$7,"Other Services"))),"Other Services"))</f>
        <v/>
      </c>
    </row>
    <row r="1409" customFormat="false" ht="15" hidden="false" customHeight="false" outlineLevel="0" collapsed="false">
      <c r="I1409" s="41" t="str">
        <f aca="false">IF(F1409="","",IFERROR(IF(ISNUMBER(SEARCH(Assumptions!$C$5,F1409)),Assumptions!$D$5,IF(ISNUMBER(SEARCH(Assumptions!$C$6,F1409)),Assumptions!$D$6,IF(ISNUMBER(SEARCH(Assumptions!$C$7,F1409)),Assumptions!$D$7,"Other Services"))),"Other Services"))</f>
        <v/>
      </c>
    </row>
    <row r="1410" customFormat="false" ht="15" hidden="false" customHeight="false" outlineLevel="0" collapsed="false">
      <c r="I1410" s="41" t="str">
        <f aca="false">IF(F1410="","",IFERROR(IF(ISNUMBER(SEARCH(Assumptions!$C$5,F1410)),Assumptions!$D$5,IF(ISNUMBER(SEARCH(Assumptions!$C$6,F1410)),Assumptions!$D$6,IF(ISNUMBER(SEARCH(Assumptions!$C$7,F1410)),Assumptions!$D$7,"Other Services"))),"Other Services"))</f>
        <v/>
      </c>
    </row>
    <row r="1411" customFormat="false" ht="15" hidden="false" customHeight="false" outlineLevel="0" collapsed="false">
      <c r="I1411" s="41" t="str">
        <f aca="false">IF(F1411="","",IFERROR(IF(ISNUMBER(SEARCH(Assumptions!$C$5,F1411)),Assumptions!$D$5,IF(ISNUMBER(SEARCH(Assumptions!$C$6,F1411)),Assumptions!$D$6,IF(ISNUMBER(SEARCH(Assumptions!$C$7,F1411)),Assumptions!$D$7,"Other Services"))),"Other Services"))</f>
        <v/>
      </c>
    </row>
    <row r="1412" customFormat="false" ht="15" hidden="false" customHeight="false" outlineLevel="0" collapsed="false">
      <c r="I1412" s="41" t="str">
        <f aca="false">IF(F1412="","",IFERROR(IF(ISNUMBER(SEARCH(Assumptions!$C$5,F1412)),Assumptions!$D$5,IF(ISNUMBER(SEARCH(Assumptions!$C$6,F1412)),Assumptions!$D$6,IF(ISNUMBER(SEARCH(Assumptions!$C$7,F1412)),Assumptions!$D$7,"Other Services"))),"Other Services"))</f>
        <v/>
      </c>
    </row>
    <row r="1413" customFormat="false" ht="15" hidden="false" customHeight="false" outlineLevel="0" collapsed="false">
      <c r="I1413" s="41" t="str">
        <f aca="false">IF(F1413="","",IFERROR(IF(ISNUMBER(SEARCH(Assumptions!$C$5,F1413)),Assumptions!$D$5,IF(ISNUMBER(SEARCH(Assumptions!$C$6,F1413)),Assumptions!$D$6,IF(ISNUMBER(SEARCH(Assumptions!$C$7,F1413)),Assumptions!$D$7,"Other Services"))),"Other Services"))</f>
        <v/>
      </c>
    </row>
    <row r="1414" customFormat="false" ht="15" hidden="false" customHeight="false" outlineLevel="0" collapsed="false">
      <c r="I1414" s="41" t="str">
        <f aca="false">IF(F1414="","",IFERROR(IF(ISNUMBER(SEARCH(Assumptions!$C$5,F1414)),Assumptions!$D$5,IF(ISNUMBER(SEARCH(Assumptions!$C$6,F1414)),Assumptions!$D$6,IF(ISNUMBER(SEARCH(Assumptions!$C$7,F1414)),Assumptions!$D$7,"Other Services"))),"Other Services"))</f>
        <v/>
      </c>
    </row>
    <row r="1415" customFormat="false" ht="15" hidden="false" customHeight="false" outlineLevel="0" collapsed="false">
      <c r="I1415" s="41" t="str">
        <f aca="false">IF(F1415="","",IFERROR(IF(ISNUMBER(SEARCH(Assumptions!$C$5,F1415)),Assumptions!$D$5,IF(ISNUMBER(SEARCH(Assumptions!$C$6,F1415)),Assumptions!$D$6,IF(ISNUMBER(SEARCH(Assumptions!$C$7,F1415)),Assumptions!$D$7,"Other Services"))),"Other Services"))</f>
        <v/>
      </c>
    </row>
    <row r="1416" customFormat="false" ht="15" hidden="false" customHeight="false" outlineLevel="0" collapsed="false">
      <c r="I1416" s="41" t="str">
        <f aca="false">IF(F1416="","",IFERROR(IF(ISNUMBER(SEARCH(Assumptions!$C$5,F1416)),Assumptions!$D$5,IF(ISNUMBER(SEARCH(Assumptions!$C$6,F1416)),Assumptions!$D$6,IF(ISNUMBER(SEARCH(Assumptions!$C$7,F1416)),Assumptions!$D$7,"Other Services"))),"Other Services"))</f>
        <v/>
      </c>
    </row>
    <row r="1417" customFormat="false" ht="15" hidden="false" customHeight="false" outlineLevel="0" collapsed="false">
      <c r="I1417" s="41" t="str">
        <f aca="false">IF(F1417="","",IFERROR(IF(ISNUMBER(SEARCH(Assumptions!$C$5,F1417)),Assumptions!$D$5,IF(ISNUMBER(SEARCH(Assumptions!$C$6,F1417)),Assumptions!$D$6,IF(ISNUMBER(SEARCH(Assumptions!$C$7,F1417)),Assumptions!$D$7,"Other Services"))),"Other Services"))</f>
        <v/>
      </c>
    </row>
    <row r="1418" customFormat="false" ht="15" hidden="false" customHeight="false" outlineLevel="0" collapsed="false">
      <c r="I1418" s="41" t="str">
        <f aca="false">IF(F1418="","",IFERROR(IF(ISNUMBER(SEARCH(Assumptions!$C$5,F1418)),Assumptions!$D$5,IF(ISNUMBER(SEARCH(Assumptions!$C$6,F1418)),Assumptions!$D$6,IF(ISNUMBER(SEARCH(Assumptions!$C$7,F1418)),Assumptions!$D$7,"Other Services"))),"Other Services"))</f>
        <v/>
      </c>
    </row>
    <row r="1419" customFormat="false" ht="15" hidden="false" customHeight="false" outlineLevel="0" collapsed="false">
      <c r="I1419" s="41" t="str">
        <f aca="false">IF(F1419="","",IFERROR(IF(ISNUMBER(SEARCH(Assumptions!$C$5,F1419)),Assumptions!$D$5,IF(ISNUMBER(SEARCH(Assumptions!$C$6,F1419)),Assumptions!$D$6,IF(ISNUMBER(SEARCH(Assumptions!$C$7,F1419)),Assumptions!$D$7,"Other Services"))),"Other Services"))</f>
        <v/>
      </c>
    </row>
    <row r="1420" customFormat="false" ht="15" hidden="false" customHeight="false" outlineLevel="0" collapsed="false">
      <c r="I1420" s="41" t="str">
        <f aca="false">IF(F1420="","",IFERROR(IF(ISNUMBER(SEARCH(Assumptions!$C$5,F1420)),Assumptions!$D$5,IF(ISNUMBER(SEARCH(Assumptions!$C$6,F1420)),Assumptions!$D$6,IF(ISNUMBER(SEARCH(Assumptions!$C$7,F1420)),Assumptions!$D$7,"Other Services"))),"Other Services"))</f>
        <v/>
      </c>
    </row>
    <row r="1421" customFormat="false" ht="15" hidden="false" customHeight="false" outlineLevel="0" collapsed="false">
      <c r="I1421" s="41" t="str">
        <f aca="false">IF(F1421="","",IFERROR(IF(ISNUMBER(SEARCH(Assumptions!$C$5,F1421)),Assumptions!$D$5,IF(ISNUMBER(SEARCH(Assumptions!$C$6,F1421)),Assumptions!$D$6,IF(ISNUMBER(SEARCH(Assumptions!$C$7,F1421)),Assumptions!$D$7,"Other Services"))),"Other Services"))</f>
        <v/>
      </c>
    </row>
    <row r="1422" customFormat="false" ht="15" hidden="false" customHeight="false" outlineLevel="0" collapsed="false">
      <c r="I1422" s="41" t="str">
        <f aca="false">IF(F1422="","",IFERROR(IF(ISNUMBER(SEARCH(Assumptions!$C$5,F1422)),Assumptions!$D$5,IF(ISNUMBER(SEARCH(Assumptions!$C$6,F1422)),Assumptions!$D$6,IF(ISNUMBER(SEARCH(Assumptions!$C$7,F1422)),Assumptions!$D$7,"Other Services"))),"Other Services"))</f>
        <v/>
      </c>
    </row>
    <row r="1423" customFormat="false" ht="15" hidden="false" customHeight="false" outlineLevel="0" collapsed="false">
      <c r="I1423" s="41" t="str">
        <f aca="false">IF(F1423="","",IFERROR(IF(ISNUMBER(SEARCH(Assumptions!$C$5,F1423)),Assumptions!$D$5,IF(ISNUMBER(SEARCH(Assumptions!$C$6,F1423)),Assumptions!$D$6,IF(ISNUMBER(SEARCH(Assumptions!$C$7,F1423)),Assumptions!$D$7,"Other Services"))),"Other Services"))</f>
        <v/>
      </c>
    </row>
    <row r="1424" customFormat="false" ht="15" hidden="false" customHeight="false" outlineLevel="0" collapsed="false">
      <c r="I1424" s="41" t="str">
        <f aca="false">IF(F1424="","",IFERROR(IF(ISNUMBER(SEARCH(Assumptions!$C$5,F1424)),Assumptions!$D$5,IF(ISNUMBER(SEARCH(Assumptions!$C$6,F1424)),Assumptions!$D$6,IF(ISNUMBER(SEARCH(Assumptions!$C$7,F1424)),Assumptions!$D$7,"Other Services"))),"Other Services"))</f>
        <v/>
      </c>
    </row>
    <row r="1425" customFormat="false" ht="15" hidden="false" customHeight="false" outlineLevel="0" collapsed="false">
      <c r="I1425" s="41" t="str">
        <f aca="false">IF(F1425="","",IFERROR(IF(ISNUMBER(SEARCH(Assumptions!$C$5,F1425)),Assumptions!$D$5,IF(ISNUMBER(SEARCH(Assumptions!$C$6,F1425)),Assumptions!$D$6,IF(ISNUMBER(SEARCH(Assumptions!$C$7,F1425)),Assumptions!$D$7,"Other Services"))),"Other Services"))</f>
        <v/>
      </c>
    </row>
    <row r="1426" customFormat="false" ht="15" hidden="false" customHeight="false" outlineLevel="0" collapsed="false">
      <c r="I1426" s="41" t="str">
        <f aca="false">IF(F1426="","",IFERROR(IF(ISNUMBER(SEARCH(Assumptions!$C$5,F1426)),Assumptions!$D$5,IF(ISNUMBER(SEARCH(Assumptions!$C$6,F1426)),Assumptions!$D$6,IF(ISNUMBER(SEARCH(Assumptions!$C$7,F1426)),Assumptions!$D$7,"Other Services"))),"Other Services"))</f>
        <v/>
      </c>
    </row>
    <row r="1427" customFormat="false" ht="15" hidden="false" customHeight="false" outlineLevel="0" collapsed="false">
      <c r="I1427" s="41" t="str">
        <f aca="false">IF(F1427="","",IFERROR(IF(ISNUMBER(SEARCH(Assumptions!$C$5,F1427)),Assumptions!$D$5,IF(ISNUMBER(SEARCH(Assumptions!$C$6,F1427)),Assumptions!$D$6,IF(ISNUMBER(SEARCH(Assumptions!$C$7,F1427)),Assumptions!$D$7,"Other Services"))),"Other Services"))</f>
        <v/>
      </c>
    </row>
    <row r="1428" customFormat="false" ht="15" hidden="false" customHeight="false" outlineLevel="0" collapsed="false">
      <c r="I1428" s="41" t="str">
        <f aca="false">IF(F1428="","",IFERROR(IF(ISNUMBER(SEARCH(Assumptions!$C$5,F1428)),Assumptions!$D$5,IF(ISNUMBER(SEARCH(Assumptions!$C$6,F1428)),Assumptions!$D$6,IF(ISNUMBER(SEARCH(Assumptions!$C$7,F1428)),Assumptions!$D$7,"Other Services"))),"Other Services"))</f>
        <v/>
      </c>
    </row>
    <row r="1429" customFormat="false" ht="15" hidden="false" customHeight="false" outlineLevel="0" collapsed="false">
      <c r="I1429" s="41" t="str">
        <f aca="false">IF(F1429="","",IFERROR(IF(ISNUMBER(SEARCH(Assumptions!$C$5,F1429)),Assumptions!$D$5,IF(ISNUMBER(SEARCH(Assumptions!$C$6,F1429)),Assumptions!$D$6,IF(ISNUMBER(SEARCH(Assumptions!$C$7,F1429)),Assumptions!$D$7,"Other Services"))),"Other Services"))</f>
        <v/>
      </c>
    </row>
    <row r="1430" customFormat="false" ht="15" hidden="false" customHeight="false" outlineLevel="0" collapsed="false">
      <c r="I1430" s="41" t="str">
        <f aca="false">IF(F1430="","",IFERROR(IF(ISNUMBER(SEARCH(Assumptions!$C$5,F1430)),Assumptions!$D$5,IF(ISNUMBER(SEARCH(Assumptions!$C$6,F1430)),Assumptions!$D$6,IF(ISNUMBER(SEARCH(Assumptions!$C$7,F1430)),Assumptions!$D$7,"Other Services"))),"Other Services"))</f>
        <v/>
      </c>
    </row>
    <row r="1431" customFormat="false" ht="15" hidden="false" customHeight="false" outlineLevel="0" collapsed="false">
      <c r="I1431" s="41" t="str">
        <f aca="false">IF(F1431="","",IFERROR(IF(ISNUMBER(SEARCH(Assumptions!$C$5,F1431)),Assumptions!$D$5,IF(ISNUMBER(SEARCH(Assumptions!$C$6,F1431)),Assumptions!$D$6,IF(ISNUMBER(SEARCH(Assumptions!$C$7,F1431)),Assumptions!$D$7,"Other Services"))),"Other Services"))</f>
        <v/>
      </c>
    </row>
    <row r="1432" customFormat="false" ht="15" hidden="false" customHeight="false" outlineLevel="0" collapsed="false">
      <c r="I1432" s="41" t="str">
        <f aca="false">IF(F1432="","",IFERROR(IF(ISNUMBER(SEARCH(Assumptions!$C$5,F1432)),Assumptions!$D$5,IF(ISNUMBER(SEARCH(Assumptions!$C$6,F1432)),Assumptions!$D$6,IF(ISNUMBER(SEARCH(Assumptions!$C$7,F1432)),Assumptions!$D$7,"Other Services"))),"Other Services"))</f>
        <v/>
      </c>
    </row>
    <row r="1433" customFormat="false" ht="15" hidden="false" customHeight="false" outlineLevel="0" collapsed="false">
      <c r="I1433" s="41" t="str">
        <f aca="false">IF(F1433="","",IFERROR(IF(ISNUMBER(SEARCH(Assumptions!$C$5,F1433)),Assumptions!$D$5,IF(ISNUMBER(SEARCH(Assumptions!$C$6,F1433)),Assumptions!$D$6,IF(ISNUMBER(SEARCH(Assumptions!$C$7,F1433)),Assumptions!$D$7,"Other Services"))),"Other Services"))</f>
        <v/>
      </c>
    </row>
    <row r="1434" customFormat="false" ht="15" hidden="false" customHeight="false" outlineLevel="0" collapsed="false">
      <c r="I1434" s="41" t="str">
        <f aca="false">IF(F1434="","",IFERROR(IF(ISNUMBER(SEARCH(Assumptions!$C$5,F1434)),Assumptions!$D$5,IF(ISNUMBER(SEARCH(Assumptions!$C$6,F1434)),Assumptions!$D$6,IF(ISNUMBER(SEARCH(Assumptions!$C$7,F1434)),Assumptions!$D$7,"Other Services"))),"Other Services"))</f>
        <v/>
      </c>
    </row>
    <row r="1435" customFormat="false" ht="15" hidden="false" customHeight="false" outlineLevel="0" collapsed="false">
      <c r="I1435" s="41" t="str">
        <f aca="false">IF(F1435="","",IFERROR(IF(ISNUMBER(SEARCH(Assumptions!$C$5,F1435)),Assumptions!$D$5,IF(ISNUMBER(SEARCH(Assumptions!$C$6,F1435)),Assumptions!$D$6,IF(ISNUMBER(SEARCH(Assumptions!$C$7,F1435)),Assumptions!$D$7,"Other Services"))),"Other Services"))</f>
        <v/>
      </c>
    </row>
    <row r="1436" customFormat="false" ht="15" hidden="false" customHeight="false" outlineLevel="0" collapsed="false">
      <c r="I1436" s="41" t="str">
        <f aca="false">IF(F1436="","",IFERROR(IF(ISNUMBER(SEARCH(Assumptions!$C$5,F1436)),Assumptions!$D$5,IF(ISNUMBER(SEARCH(Assumptions!$C$6,F1436)),Assumptions!$D$6,IF(ISNUMBER(SEARCH(Assumptions!$C$7,F1436)),Assumptions!$D$7,"Other Services"))),"Other Services"))</f>
        <v/>
      </c>
    </row>
    <row r="1437" customFormat="false" ht="15" hidden="false" customHeight="false" outlineLevel="0" collapsed="false">
      <c r="I1437" s="41" t="str">
        <f aca="false">IF(F1437="","",IFERROR(IF(ISNUMBER(SEARCH(Assumptions!$C$5,F1437)),Assumptions!$D$5,IF(ISNUMBER(SEARCH(Assumptions!$C$6,F1437)),Assumptions!$D$6,IF(ISNUMBER(SEARCH(Assumptions!$C$7,F1437)),Assumptions!$D$7,"Other Services"))),"Other Services"))</f>
        <v/>
      </c>
    </row>
    <row r="1438" customFormat="false" ht="15" hidden="false" customHeight="false" outlineLevel="0" collapsed="false">
      <c r="I1438" s="41" t="str">
        <f aca="false">IF(F1438="","",IFERROR(IF(ISNUMBER(SEARCH(Assumptions!$C$5,F1438)),Assumptions!$D$5,IF(ISNUMBER(SEARCH(Assumptions!$C$6,F1438)),Assumptions!$D$6,IF(ISNUMBER(SEARCH(Assumptions!$C$7,F1438)),Assumptions!$D$7,"Other Services"))),"Other Services"))</f>
        <v/>
      </c>
    </row>
    <row r="1439" customFormat="false" ht="15" hidden="false" customHeight="false" outlineLevel="0" collapsed="false">
      <c r="I1439" s="41" t="str">
        <f aca="false">IF(F1439="","",IFERROR(IF(ISNUMBER(SEARCH(Assumptions!$C$5,F1439)),Assumptions!$D$5,IF(ISNUMBER(SEARCH(Assumptions!$C$6,F1439)),Assumptions!$D$6,IF(ISNUMBER(SEARCH(Assumptions!$C$7,F1439)),Assumptions!$D$7,"Other Services"))),"Other Services"))</f>
        <v/>
      </c>
    </row>
    <row r="1440" customFormat="false" ht="15" hidden="false" customHeight="false" outlineLevel="0" collapsed="false">
      <c r="I1440" s="41" t="str">
        <f aca="false">IF(F1440="","",IFERROR(IF(ISNUMBER(SEARCH(Assumptions!$C$5,F1440)),Assumptions!$D$5,IF(ISNUMBER(SEARCH(Assumptions!$C$6,F1440)),Assumptions!$D$6,IF(ISNUMBER(SEARCH(Assumptions!$C$7,F1440)),Assumptions!$D$7,"Other Services"))),"Other Services"))</f>
        <v/>
      </c>
    </row>
    <row r="1441" customFormat="false" ht="15" hidden="false" customHeight="false" outlineLevel="0" collapsed="false">
      <c r="I1441" s="41" t="str">
        <f aca="false">IF(F1441="","",IFERROR(IF(ISNUMBER(SEARCH(Assumptions!$C$5,F1441)),Assumptions!$D$5,IF(ISNUMBER(SEARCH(Assumptions!$C$6,F1441)),Assumptions!$D$6,IF(ISNUMBER(SEARCH(Assumptions!$C$7,F1441)),Assumptions!$D$7,"Other Services"))),"Other Services"))</f>
        <v/>
      </c>
    </row>
    <row r="1442" customFormat="false" ht="15" hidden="false" customHeight="false" outlineLevel="0" collapsed="false">
      <c r="I1442" s="41" t="str">
        <f aca="false">IF(F1442="","",IFERROR(IF(ISNUMBER(SEARCH(Assumptions!$C$5,F1442)),Assumptions!$D$5,IF(ISNUMBER(SEARCH(Assumptions!$C$6,F1442)),Assumptions!$D$6,IF(ISNUMBER(SEARCH(Assumptions!$C$7,F1442)),Assumptions!$D$7,"Other Services"))),"Other Services"))</f>
        <v/>
      </c>
    </row>
    <row r="1443" customFormat="false" ht="15" hidden="false" customHeight="false" outlineLevel="0" collapsed="false">
      <c r="I1443" s="41" t="str">
        <f aca="false">IF(F1443="","",IFERROR(IF(ISNUMBER(SEARCH(Assumptions!$C$5,F1443)),Assumptions!$D$5,IF(ISNUMBER(SEARCH(Assumptions!$C$6,F1443)),Assumptions!$D$6,IF(ISNUMBER(SEARCH(Assumptions!$C$7,F1443)),Assumptions!$D$7,"Other Services"))),"Other Services"))</f>
        <v/>
      </c>
    </row>
    <row r="1444" customFormat="false" ht="15" hidden="false" customHeight="false" outlineLevel="0" collapsed="false">
      <c r="I1444" s="41" t="str">
        <f aca="false">IF(F1444="","",IFERROR(IF(ISNUMBER(SEARCH(Assumptions!$C$5,F1444)),Assumptions!$D$5,IF(ISNUMBER(SEARCH(Assumptions!$C$6,F1444)),Assumptions!$D$6,IF(ISNUMBER(SEARCH(Assumptions!$C$7,F1444)),Assumptions!$D$7,"Other Services"))),"Other Services"))</f>
        <v/>
      </c>
    </row>
    <row r="1445" customFormat="false" ht="15" hidden="false" customHeight="false" outlineLevel="0" collapsed="false">
      <c r="I1445" s="41" t="str">
        <f aca="false">IF(F1445="","",IFERROR(IF(ISNUMBER(SEARCH(Assumptions!$C$5,F1445)),Assumptions!$D$5,IF(ISNUMBER(SEARCH(Assumptions!$C$6,F1445)),Assumptions!$D$6,IF(ISNUMBER(SEARCH(Assumptions!$C$7,F1445)),Assumptions!$D$7,"Other Services"))),"Other Services"))</f>
        <v/>
      </c>
    </row>
    <row r="1446" customFormat="false" ht="15" hidden="false" customHeight="false" outlineLevel="0" collapsed="false">
      <c r="I1446" s="41" t="str">
        <f aca="false">IF(F1446="","",IFERROR(IF(ISNUMBER(SEARCH(Assumptions!$C$5,F1446)),Assumptions!$D$5,IF(ISNUMBER(SEARCH(Assumptions!$C$6,F1446)),Assumptions!$D$6,IF(ISNUMBER(SEARCH(Assumptions!$C$7,F1446)),Assumptions!$D$7,"Other Services"))),"Other Services"))</f>
        <v/>
      </c>
    </row>
    <row r="1447" customFormat="false" ht="15" hidden="false" customHeight="false" outlineLevel="0" collapsed="false">
      <c r="I1447" s="41" t="str">
        <f aca="false">IF(F1447="","",IFERROR(IF(ISNUMBER(SEARCH(Assumptions!$C$5,F1447)),Assumptions!$D$5,IF(ISNUMBER(SEARCH(Assumptions!$C$6,F1447)),Assumptions!$D$6,IF(ISNUMBER(SEARCH(Assumptions!$C$7,F1447)),Assumptions!$D$7,"Other Services"))),"Other Services"))</f>
        <v/>
      </c>
    </row>
    <row r="1448" customFormat="false" ht="15" hidden="false" customHeight="false" outlineLevel="0" collapsed="false">
      <c r="I1448" s="41" t="str">
        <f aca="false">IF(F1448="","",IFERROR(IF(ISNUMBER(SEARCH(Assumptions!$C$5,F1448)),Assumptions!$D$5,IF(ISNUMBER(SEARCH(Assumptions!$C$6,F1448)),Assumptions!$D$6,IF(ISNUMBER(SEARCH(Assumptions!$C$7,F1448)),Assumptions!$D$7,"Other Services"))),"Other Services"))</f>
        <v/>
      </c>
    </row>
    <row r="1449" customFormat="false" ht="15" hidden="false" customHeight="false" outlineLevel="0" collapsed="false">
      <c r="I1449" s="41" t="str">
        <f aca="false">IF(F1449="","",IFERROR(IF(ISNUMBER(SEARCH(Assumptions!$C$5,F1449)),Assumptions!$D$5,IF(ISNUMBER(SEARCH(Assumptions!$C$6,F1449)),Assumptions!$D$6,IF(ISNUMBER(SEARCH(Assumptions!$C$7,F1449)),Assumptions!$D$7,"Other Services"))),"Other Services"))</f>
        <v/>
      </c>
    </row>
    <row r="1450" customFormat="false" ht="15" hidden="false" customHeight="false" outlineLevel="0" collapsed="false">
      <c r="I1450" s="41" t="str">
        <f aca="false">IF(F1450="","",IFERROR(IF(ISNUMBER(SEARCH(Assumptions!$C$5,F1450)),Assumptions!$D$5,IF(ISNUMBER(SEARCH(Assumptions!$C$6,F1450)),Assumptions!$D$6,IF(ISNUMBER(SEARCH(Assumptions!$C$7,F1450)),Assumptions!$D$7,"Other Services"))),"Other Services"))</f>
        <v/>
      </c>
    </row>
    <row r="1451" customFormat="false" ht="15" hidden="false" customHeight="false" outlineLevel="0" collapsed="false">
      <c r="I1451" s="41" t="str">
        <f aca="false">IF(F1451="","",IFERROR(IF(ISNUMBER(SEARCH(Assumptions!$C$5,F1451)),Assumptions!$D$5,IF(ISNUMBER(SEARCH(Assumptions!$C$6,F1451)),Assumptions!$D$6,IF(ISNUMBER(SEARCH(Assumptions!$C$7,F1451)),Assumptions!$D$7,"Other Services"))),"Other Services"))</f>
        <v/>
      </c>
    </row>
    <row r="1452" customFormat="false" ht="15" hidden="false" customHeight="false" outlineLevel="0" collapsed="false">
      <c r="I1452" s="41" t="str">
        <f aca="false">IF(F1452="","",IFERROR(IF(ISNUMBER(SEARCH(Assumptions!$C$5,F1452)),Assumptions!$D$5,IF(ISNUMBER(SEARCH(Assumptions!$C$6,F1452)),Assumptions!$D$6,IF(ISNUMBER(SEARCH(Assumptions!$C$7,F1452)),Assumptions!$D$7,"Other Services"))),"Other Services"))</f>
        <v/>
      </c>
    </row>
    <row r="1453" customFormat="false" ht="15" hidden="false" customHeight="false" outlineLevel="0" collapsed="false">
      <c r="I1453" s="41" t="str">
        <f aca="false">IF(F1453="","",IFERROR(IF(ISNUMBER(SEARCH(Assumptions!$C$5,F1453)),Assumptions!$D$5,IF(ISNUMBER(SEARCH(Assumptions!$C$6,F1453)),Assumptions!$D$6,IF(ISNUMBER(SEARCH(Assumptions!$C$7,F1453)),Assumptions!$D$7,"Other Services"))),"Other Services"))</f>
        <v/>
      </c>
    </row>
    <row r="1454" customFormat="false" ht="15" hidden="false" customHeight="false" outlineLevel="0" collapsed="false">
      <c r="I1454" s="41" t="str">
        <f aca="false">IF(F1454="","",IFERROR(IF(ISNUMBER(SEARCH(Assumptions!$C$5,F1454)),Assumptions!$D$5,IF(ISNUMBER(SEARCH(Assumptions!$C$6,F1454)),Assumptions!$D$6,IF(ISNUMBER(SEARCH(Assumptions!$C$7,F1454)),Assumptions!$D$7,"Other Services"))),"Other Services"))</f>
        <v/>
      </c>
    </row>
    <row r="1455" customFormat="false" ht="15" hidden="false" customHeight="false" outlineLevel="0" collapsed="false">
      <c r="I1455" s="41" t="str">
        <f aca="false">IF(F1455="","",IFERROR(IF(ISNUMBER(SEARCH(Assumptions!$C$5,F1455)),Assumptions!$D$5,IF(ISNUMBER(SEARCH(Assumptions!$C$6,F1455)),Assumptions!$D$6,IF(ISNUMBER(SEARCH(Assumptions!$C$7,F1455)),Assumptions!$D$7,"Other Services"))),"Other Services"))</f>
        <v/>
      </c>
    </row>
    <row r="1456" customFormat="false" ht="15" hidden="false" customHeight="false" outlineLevel="0" collapsed="false">
      <c r="I1456" s="41" t="str">
        <f aca="false">IF(F1456="","",IFERROR(IF(ISNUMBER(SEARCH(Assumptions!$C$5,F1456)),Assumptions!$D$5,IF(ISNUMBER(SEARCH(Assumptions!$C$6,F1456)),Assumptions!$D$6,IF(ISNUMBER(SEARCH(Assumptions!$C$7,F1456)),Assumptions!$D$7,"Other Services"))),"Other Services"))</f>
        <v/>
      </c>
    </row>
    <row r="1457" customFormat="false" ht="15" hidden="false" customHeight="false" outlineLevel="0" collapsed="false">
      <c r="I1457" s="41" t="str">
        <f aca="false">IF(F1457="","",IFERROR(IF(ISNUMBER(SEARCH(Assumptions!$C$5,F1457)),Assumptions!$D$5,IF(ISNUMBER(SEARCH(Assumptions!$C$6,F1457)),Assumptions!$D$6,IF(ISNUMBER(SEARCH(Assumptions!$C$7,F1457)),Assumptions!$D$7,"Other Services"))),"Other Services"))</f>
        <v/>
      </c>
    </row>
    <row r="1458" customFormat="false" ht="15" hidden="false" customHeight="false" outlineLevel="0" collapsed="false">
      <c r="I1458" s="41" t="str">
        <f aca="false">IF(F1458="","",IFERROR(IF(ISNUMBER(SEARCH(Assumptions!$C$5,F1458)),Assumptions!$D$5,IF(ISNUMBER(SEARCH(Assumptions!$C$6,F1458)),Assumptions!$D$6,IF(ISNUMBER(SEARCH(Assumptions!$C$7,F1458)),Assumptions!$D$7,"Other Services"))),"Other Services"))</f>
        <v/>
      </c>
    </row>
    <row r="1459" customFormat="false" ht="15" hidden="false" customHeight="false" outlineLevel="0" collapsed="false">
      <c r="I1459" s="41" t="str">
        <f aca="false">IF(F1459="","",IFERROR(IF(ISNUMBER(SEARCH(Assumptions!$C$5,F1459)),Assumptions!$D$5,IF(ISNUMBER(SEARCH(Assumptions!$C$6,F1459)),Assumptions!$D$6,IF(ISNUMBER(SEARCH(Assumptions!$C$7,F1459)),Assumptions!$D$7,"Other Services"))),"Other Services"))</f>
        <v/>
      </c>
    </row>
    <row r="1460" customFormat="false" ht="15" hidden="false" customHeight="false" outlineLevel="0" collapsed="false">
      <c r="I1460" s="41" t="str">
        <f aca="false">IF(F1460="","",IFERROR(IF(ISNUMBER(SEARCH(Assumptions!$C$5,F1460)),Assumptions!$D$5,IF(ISNUMBER(SEARCH(Assumptions!$C$6,F1460)),Assumptions!$D$6,IF(ISNUMBER(SEARCH(Assumptions!$C$7,F1460)),Assumptions!$D$7,"Other Services"))),"Other Services"))</f>
        <v/>
      </c>
    </row>
    <row r="1461" customFormat="false" ht="15" hidden="false" customHeight="false" outlineLevel="0" collapsed="false">
      <c r="I1461" s="41" t="str">
        <f aca="false">IF(F1461="","",IFERROR(IF(ISNUMBER(SEARCH(Assumptions!$C$5,F1461)),Assumptions!$D$5,IF(ISNUMBER(SEARCH(Assumptions!$C$6,F1461)),Assumptions!$D$6,IF(ISNUMBER(SEARCH(Assumptions!$C$7,F1461)),Assumptions!$D$7,"Other Services"))),"Other Services"))</f>
        <v/>
      </c>
    </row>
    <row r="1462" customFormat="false" ht="15" hidden="false" customHeight="false" outlineLevel="0" collapsed="false">
      <c r="I1462" s="41" t="str">
        <f aca="false">IF(F1462="","",IFERROR(IF(ISNUMBER(SEARCH(Assumptions!$C$5,F1462)),Assumptions!$D$5,IF(ISNUMBER(SEARCH(Assumptions!$C$6,F1462)),Assumptions!$D$6,IF(ISNUMBER(SEARCH(Assumptions!$C$7,F1462)),Assumptions!$D$7,"Other Services"))),"Other Services"))</f>
        <v/>
      </c>
    </row>
    <row r="1463" customFormat="false" ht="15" hidden="false" customHeight="false" outlineLevel="0" collapsed="false">
      <c r="I1463" s="41" t="str">
        <f aca="false">IF(F1463="","",IFERROR(IF(ISNUMBER(SEARCH(Assumptions!$C$5,F1463)),Assumptions!$D$5,IF(ISNUMBER(SEARCH(Assumptions!$C$6,F1463)),Assumptions!$D$6,IF(ISNUMBER(SEARCH(Assumptions!$C$7,F1463)),Assumptions!$D$7,"Other Services"))),"Other Services"))</f>
        <v/>
      </c>
    </row>
    <row r="1464" customFormat="false" ht="15" hidden="false" customHeight="false" outlineLevel="0" collapsed="false">
      <c r="I1464" s="41" t="str">
        <f aca="false">IF(F1464="","",IFERROR(IF(ISNUMBER(SEARCH(Assumptions!$C$5,F1464)),Assumptions!$D$5,IF(ISNUMBER(SEARCH(Assumptions!$C$6,F1464)),Assumptions!$D$6,IF(ISNUMBER(SEARCH(Assumptions!$C$7,F1464)),Assumptions!$D$7,"Other Services"))),"Other Services"))</f>
        <v/>
      </c>
    </row>
    <row r="1465" customFormat="false" ht="15" hidden="false" customHeight="false" outlineLevel="0" collapsed="false">
      <c r="I1465" s="41" t="str">
        <f aca="false">IF(F1465="","",IFERROR(IF(ISNUMBER(SEARCH(Assumptions!$C$5,F1465)),Assumptions!$D$5,IF(ISNUMBER(SEARCH(Assumptions!$C$6,F1465)),Assumptions!$D$6,IF(ISNUMBER(SEARCH(Assumptions!$C$7,F1465)),Assumptions!$D$7,"Other Services"))),"Other Services"))</f>
        <v/>
      </c>
    </row>
    <row r="1466" customFormat="false" ht="15" hidden="false" customHeight="false" outlineLevel="0" collapsed="false">
      <c r="I1466" s="41" t="str">
        <f aca="false">IF(F1466="","",IFERROR(IF(ISNUMBER(SEARCH(Assumptions!$C$5,F1466)),Assumptions!$D$5,IF(ISNUMBER(SEARCH(Assumptions!$C$6,F1466)),Assumptions!$D$6,IF(ISNUMBER(SEARCH(Assumptions!$C$7,F1466)),Assumptions!$D$7,"Other Services"))),"Other Services"))</f>
        <v/>
      </c>
    </row>
    <row r="1467" customFormat="false" ht="15" hidden="false" customHeight="false" outlineLevel="0" collapsed="false">
      <c r="I1467" s="41" t="str">
        <f aca="false">IF(F1467="","",IFERROR(IF(ISNUMBER(SEARCH(Assumptions!$C$5,F1467)),Assumptions!$D$5,IF(ISNUMBER(SEARCH(Assumptions!$C$6,F1467)),Assumptions!$D$6,IF(ISNUMBER(SEARCH(Assumptions!$C$7,F1467)),Assumptions!$D$7,"Other Services"))),"Other Services"))</f>
        <v/>
      </c>
    </row>
    <row r="1468" customFormat="false" ht="15" hidden="false" customHeight="false" outlineLevel="0" collapsed="false">
      <c r="I1468" s="41" t="str">
        <f aca="false">IF(F1468="","",IFERROR(IF(ISNUMBER(SEARCH(Assumptions!$C$5,F1468)),Assumptions!$D$5,IF(ISNUMBER(SEARCH(Assumptions!$C$6,F1468)),Assumptions!$D$6,IF(ISNUMBER(SEARCH(Assumptions!$C$7,F1468)),Assumptions!$D$7,"Other Services"))),"Other Services"))</f>
        <v/>
      </c>
    </row>
    <row r="1469" customFormat="false" ht="15" hidden="false" customHeight="false" outlineLevel="0" collapsed="false">
      <c r="I1469" s="41" t="str">
        <f aca="false">IF(F1469="","",IFERROR(IF(ISNUMBER(SEARCH(Assumptions!$C$5,F1469)),Assumptions!$D$5,IF(ISNUMBER(SEARCH(Assumptions!$C$6,F1469)),Assumptions!$D$6,IF(ISNUMBER(SEARCH(Assumptions!$C$7,F1469)),Assumptions!$D$7,"Other Services"))),"Other Services"))</f>
        <v/>
      </c>
    </row>
    <row r="1470" customFormat="false" ht="15" hidden="false" customHeight="false" outlineLevel="0" collapsed="false">
      <c r="I1470" s="41" t="str">
        <f aca="false">IF(F1470="","",IFERROR(IF(ISNUMBER(SEARCH(Assumptions!$C$5,F1470)),Assumptions!$D$5,IF(ISNUMBER(SEARCH(Assumptions!$C$6,F1470)),Assumptions!$D$6,IF(ISNUMBER(SEARCH(Assumptions!$C$7,F1470)),Assumptions!$D$7,"Other Services"))),"Other Services"))</f>
        <v/>
      </c>
    </row>
    <row r="1471" customFormat="false" ht="15" hidden="false" customHeight="false" outlineLevel="0" collapsed="false">
      <c r="I1471" s="41" t="str">
        <f aca="false">IF(F1471="","",IFERROR(IF(ISNUMBER(SEARCH(Assumptions!$C$5,F1471)),Assumptions!$D$5,IF(ISNUMBER(SEARCH(Assumptions!$C$6,F1471)),Assumptions!$D$6,IF(ISNUMBER(SEARCH(Assumptions!$C$7,F1471)),Assumptions!$D$7,"Other Services"))),"Other Services"))</f>
        <v/>
      </c>
    </row>
    <row r="1472" customFormat="false" ht="15" hidden="false" customHeight="false" outlineLevel="0" collapsed="false">
      <c r="I1472" s="41" t="str">
        <f aca="false">IF(F1472="","",IFERROR(IF(ISNUMBER(SEARCH(Assumptions!$C$5,F1472)),Assumptions!$D$5,IF(ISNUMBER(SEARCH(Assumptions!$C$6,F1472)),Assumptions!$D$6,IF(ISNUMBER(SEARCH(Assumptions!$C$7,F1472)),Assumptions!$D$7,"Other Services"))),"Other Services"))</f>
        <v/>
      </c>
    </row>
    <row r="1473" customFormat="false" ht="15" hidden="false" customHeight="false" outlineLevel="0" collapsed="false">
      <c r="I1473" s="41" t="str">
        <f aca="false">IF(F1473="","",IFERROR(IF(ISNUMBER(SEARCH(Assumptions!$C$5,F1473)),Assumptions!$D$5,IF(ISNUMBER(SEARCH(Assumptions!$C$6,F1473)),Assumptions!$D$6,IF(ISNUMBER(SEARCH(Assumptions!$C$7,F1473)),Assumptions!$D$7,"Other Services"))),"Other Services"))</f>
        <v/>
      </c>
    </row>
    <row r="1474" customFormat="false" ht="15" hidden="false" customHeight="false" outlineLevel="0" collapsed="false">
      <c r="I1474" s="41" t="str">
        <f aca="false">IF(F1474="","",IFERROR(IF(ISNUMBER(SEARCH(Assumptions!$C$5,F1474)),Assumptions!$D$5,IF(ISNUMBER(SEARCH(Assumptions!$C$6,F1474)),Assumptions!$D$6,IF(ISNUMBER(SEARCH(Assumptions!$C$7,F1474)),Assumptions!$D$7,"Other Services"))),"Other Services"))</f>
        <v/>
      </c>
    </row>
    <row r="1475" customFormat="false" ht="15" hidden="false" customHeight="false" outlineLevel="0" collapsed="false">
      <c r="I1475" s="41" t="str">
        <f aca="false">IF(F1475="","",IFERROR(IF(ISNUMBER(SEARCH(Assumptions!$C$5,F1475)),Assumptions!$D$5,IF(ISNUMBER(SEARCH(Assumptions!$C$6,F1475)),Assumptions!$D$6,IF(ISNUMBER(SEARCH(Assumptions!$C$7,F1475)),Assumptions!$D$7,"Other Services"))),"Other Services"))</f>
        <v/>
      </c>
    </row>
    <row r="1476" customFormat="false" ht="15" hidden="false" customHeight="false" outlineLevel="0" collapsed="false">
      <c r="I1476" s="41" t="str">
        <f aca="false">IF(F1476="","",IFERROR(IF(ISNUMBER(SEARCH(Assumptions!$C$5,F1476)),Assumptions!$D$5,IF(ISNUMBER(SEARCH(Assumptions!$C$6,F1476)),Assumptions!$D$6,IF(ISNUMBER(SEARCH(Assumptions!$C$7,F1476)),Assumptions!$D$7,"Other Services"))),"Other Services"))</f>
        <v/>
      </c>
    </row>
    <row r="1477" customFormat="false" ht="15" hidden="false" customHeight="false" outlineLevel="0" collapsed="false">
      <c r="I1477" s="41" t="str">
        <f aca="false">IF(F1477="","",IFERROR(IF(ISNUMBER(SEARCH(Assumptions!$C$5,F1477)),Assumptions!$D$5,IF(ISNUMBER(SEARCH(Assumptions!$C$6,F1477)),Assumptions!$D$6,IF(ISNUMBER(SEARCH(Assumptions!$C$7,F1477)),Assumptions!$D$7,"Other Services"))),"Other Services"))</f>
        <v/>
      </c>
    </row>
    <row r="1478" customFormat="false" ht="15" hidden="false" customHeight="false" outlineLevel="0" collapsed="false">
      <c r="I1478" s="41" t="str">
        <f aca="false">IF(F1478="","",IFERROR(IF(ISNUMBER(SEARCH(Assumptions!$C$5,F1478)),Assumptions!$D$5,IF(ISNUMBER(SEARCH(Assumptions!$C$6,F1478)),Assumptions!$D$6,IF(ISNUMBER(SEARCH(Assumptions!$C$7,F1478)),Assumptions!$D$7,"Other Services"))),"Other Services"))</f>
        <v/>
      </c>
    </row>
    <row r="1479" customFormat="false" ht="15" hidden="false" customHeight="false" outlineLevel="0" collapsed="false">
      <c r="I1479" s="41" t="str">
        <f aca="false">IF(F1479="","",IFERROR(IF(ISNUMBER(SEARCH(Assumptions!$C$5,F1479)),Assumptions!$D$5,IF(ISNUMBER(SEARCH(Assumptions!$C$6,F1479)),Assumptions!$D$6,IF(ISNUMBER(SEARCH(Assumptions!$C$7,F1479)),Assumptions!$D$7,"Other Services"))),"Other Services"))</f>
        <v/>
      </c>
    </row>
    <row r="1480" customFormat="false" ht="15" hidden="false" customHeight="false" outlineLevel="0" collapsed="false">
      <c r="I1480" s="41" t="str">
        <f aca="false">IF(F1480="","",IFERROR(IF(ISNUMBER(SEARCH(Assumptions!$C$5,F1480)),Assumptions!$D$5,IF(ISNUMBER(SEARCH(Assumptions!$C$6,F1480)),Assumptions!$D$6,IF(ISNUMBER(SEARCH(Assumptions!$C$7,F1480)),Assumptions!$D$7,"Other Services"))),"Other Services"))</f>
        <v/>
      </c>
    </row>
    <row r="1481" customFormat="false" ht="15" hidden="false" customHeight="false" outlineLevel="0" collapsed="false">
      <c r="I1481" s="41" t="str">
        <f aca="false">IF(F1481="","",IFERROR(IF(ISNUMBER(SEARCH(Assumptions!$C$5,F1481)),Assumptions!$D$5,IF(ISNUMBER(SEARCH(Assumptions!$C$6,F1481)),Assumptions!$D$6,IF(ISNUMBER(SEARCH(Assumptions!$C$7,F1481)),Assumptions!$D$7,"Other Services"))),"Other Services"))</f>
        <v/>
      </c>
    </row>
    <row r="1482" customFormat="false" ht="15" hidden="false" customHeight="false" outlineLevel="0" collapsed="false">
      <c r="I1482" s="41" t="str">
        <f aca="false">IF(F1482="","",IFERROR(IF(ISNUMBER(SEARCH(Assumptions!$C$5,F1482)),Assumptions!$D$5,IF(ISNUMBER(SEARCH(Assumptions!$C$6,F1482)),Assumptions!$D$6,IF(ISNUMBER(SEARCH(Assumptions!$C$7,F1482)),Assumptions!$D$7,"Other Services"))),"Other Services"))</f>
        <v/>
      </c>
    </row>
    <row r="1483" customFormat="false" ht="15" hidden="false" customHeight="false" outlineLevel="0" collapsed="false">
      <c r="I1483" s="41" t="str">
        <f aca="false">IF(F1483="","",IFERROR(IF(ISNUMBER(SEARCH(Assumptions!$C$5,F1483)),Assumptions!$D$5,IF(ISNUMBER(SEARCH(Assumptions!$C$6,F1483)),Assumptions!$D$6,IF(ISNUMBER(SEARCH(Assumptions!$C$7,F1483)),Assumptions!$D$7,"Other Services"))),"Other Services"))</f>
        <v/>
      </c>
    </row>
    <row r="1484" customFormat="false" ht="15" hidden="false" customHeight="false" outlineLevel="0" collapsed="false">
      <c r="I1484" s="41" t="str">
        <f aca="false">IF(F1484="","",IFERROR(IF(ISNUMBER(SEARCH(Assumptions!$C$5,F1484)),Assumptions!$D$5,IF(ISNUMBER(SEARCH(Assumptions!$C$6,F1484)),Assumptions!$D$6,IF(ISNUMBER(SEARCH(Assumptions!$C$7,F1484)),Assumptions!$D$7,"Other Services"))),"Other Services"))</f>
        <v/>
      </c>
    </row>
    <row r="1485" customFormat="false" ht="15" hidden="false" customHeight="false" outlineLevel="0" collapsed="false">
      <c r="I1485" s="41" t="str">
        <f aca="false">IF(F1485="","",IFERROR(IF(ISNUMBER(SEARCH(Assumptions!$C$5,F1485)),Assumptions!$D$5,IF(ISNUMBER(SEARCH(Assumptions!$C$6,F1485)),Assumptions!$D$6,IF(ISNUMBER(SEARCH(Assumptions!$C$7,F1485)),Assumptions!$D$7,"Other Services"))),"Other Services"))</f>
        <v/>
      </c>
    </row>
    <row r="1486" customFormat="false" ht="15" hidden="false" customHeight="false" outlineLevel="0" collapsed="false">
      <c r="I1486" s="41" t="str">
        <f aca="false">IF(F1486="","",IFERROR(IF(ISNUMBER(SEARCH(Assumptions!$C$5,F1486)),Assumptions!$D$5,IF(ISNUMBER(SEARCH(Assumptions!$C$6,F1486)),Assumptions!$D$6,IF(ISNUMBER(SEARCH(Assumptions!$C$7,F1486)),Assumptions!$D$7,"Other Services"))),"Other Services"))</f>
        <v/>
      </c>
    </row>
    <row r="1487" customFormat="false" ht="15" hidden="false" customHeight="false" outlineLevel="0" collapsed="false">
      <c r="I1487" s="41" t="str">
        <f aca="false">IF(F1487="","",IFERROR(IF(ISNUMBER(SEARCH(Assumptions!$C$5,F1487)),Assumptions!$D$5,IF(ISNUMBER(SEARCH(Assumptions!$C$6,F1487)),Assumptions!$D$6,IF(ISNUMBER(SEARCH(Assumptions!$C$7,F1487)),Assumptions!$D$7,"Other Services"))),"Other Services"))</f>
        <v/>
      </c>
    </row>
    <row r="1488" customFormat="false" ht="15" hidden="false" customHeight="false" outlineLevel="0" collapsed="false">
      <c r="I1488" s="41" t="str">
        <f aca="false">IF(F1488="","",IFERROR(IF(ISNUMBER(SEARCH(Assumptions!$C$5,F1488)),Assumptions!$D$5,IF(ISNUMBER(SEARCH(Assumptions!$C$6,F1488)),Assumptions!$D$6,IF(ISNUMBER(SEARCH(Assumptions!$C$7,F1488)),Assumptions!$D$7,"Other Services"))),"Other Services"))</f>
        <v/>
      </c>
    </row>
    <row r="1489" customFormat="false" ht="15" hidden="false" customHeight="false" outlineLevel="0" collapsed="false">
      <c r="I1489" s="41" t="str">
        <f aca="false">IF(F1489="","",IFERROR(IF(ISNUMBER(SEARCH(Assumptions!$C$5,F1489)),Assumptions!$D$5,IF(ISNUMBER(SEARCH(Assumptions!$C$6,F1489)),Assumptions!$D$6,IF(ISNUMBER(SEARCH(Assumptions!$C$7,F1489)),Assumptions!$D$7,"Other Services"))),"Other Services"))</f>
        <v/>
      </c>
    </row>
    <row r="1490" customFormat="false" ht="15" hidden="false" customHeight="false" outlineLevel="0" collapsed="false">
      <c r="I1490" s="41" t="str">
        <f aca="false">IF(F1490="","",IFERROR(IF(ISNUMBER(SEARCH(Assumptions!$C$5,F1490)),Assumptions!$D$5,IF(ISNUMBER(SEARCH(Assumptions!$C$6,F1490)),Assumptions!$D$6,IF(ISNUMBER(SEARCH(Assumptions!$C$7,F1490)),Assumptions!$D$7,"Other Services"))),"Other Services"))</f>
        <v/>
      </c>
    </row>
    <row r="1491" customFormat="false" ht="15" hidden="false" customHeight="false" outlineLevel="0" collapsed="false">
      <c r="I1491" s="41" t="str">
        <f aca="false">IF(F1491="","",IFERROR(IF(ISNUMBER(SEARCH(Assumptions!$C$5,F1491)),Assumptions!$D$5,IF(ISNUMBER(SEARCH(Assumptions!$C$6,F1491)),Assumptions!$D$6,IF(ISNUMBER(SEARCH(Assumptions!$C$7,F1491)),Assumptions!$D$7,"Other Services"))),"Other Services"))</f>
        <v/>
      </c>
    </row>
    <row r="1492" customFormat="false" ht="15" hidden="false" customHeight="false" outlineLevel="0" collapsed="false">
      <c r="I1492" s="41" t="str">
        <f aca="false">IF(F1492="","",IFERROR(IF(ISNUMBER(SEARCH(Assumptions!$C$5,F1492)),Assumptions!$D$5,IF(ISNUMBER(SEARCH(Assumptions!$C$6,F1492)),Assumptions!$D$6,IF(ISNUMBER(SEARCH(Assumptions!$C$7,F1492)),Assumptions!$D$7,"Other Services"))),"Other Services"))</f>
        <v/>
      </c>
    </row>
    <row r="1493" customFormat="false" ht="15" hidden="false" customHeight="false" outlineLevel="0" collapsed="false">
      <c r="I1493" s="41" t="str">
        <f aca="false">IF(F1493="","",IFERROR(IF(ISNUMBER(SEARCH(Assumptions!$C$5,F1493)),Assumptions!$D$5,IF(ISNUMBER(SEARCH(Assumptions!$C$6,F1493)),Assumptions!$D$6,IF(ISNUMBER(SEARCH(Assumptions!$C$7,F1493)),Assumptions!$D$7,"Other Services"))),"Other Services"))</f>
        <v/>
      </c>
    </row>
    <row r="1494" customFormat="false" ht="15" hidden="false" customHeight="false" outlineLevel="0" collapsed="false">
      <c r="I1494" s="41" t="str">
        <f aca="false">IF(F1494="","",IFERROR(IF(ISNUMBER(SEARCH(Assumptions!$C$5,F1494)),Assumptions!$D$5,IF(ISNUMBER(SEARCH(Assumptions!$C$6,F1494)),Assumptions!$D$6,IF(ISNUMBER(SEARCH(Assumptions!$C$7,F1494)),Assumptions!$D$7,"Other Services"))),"Other Services"))</f>
        <v/>
      </c>
    </row>
    <row r="1495" customFormat="false" ht="15" hidden="false" customHeight="false" outlineLevel="0" collapsed="false">
      <c r="I1495" s="41" t="str">
        <f aca="false">IF(F1495="","",IFERROR(IF(ISNUMBER(SEARCH(Assumptions!$C$5,F1495)),Assumptions!$D$5,IF(ISNUMBER(SEARCH(Assumptions!$C$6,F1495)),Assumptions!$D$6,IF(ISNUMBER(SEARCH(Assumptions!$C$7,F1495)),Assumptions!$D$7,"Other Services"))),"Other Services"))</f>
        <v/>
      </c>
    </row>
    <row r="1496" customFormat="false" ht="15" hidden="false" customHeight="false" outlineLevel="0" collapsed="false">
      <c r="I1496" s="41" t="str">
        <f aca="false">IF(F1496="","",IFERROR(IF(ISNUMBER(SEARCH(Assumptions!$C$5,F1496)),Assumptions!$D$5,IF(ISNUMBER(SEARCH(Assumptions!$C$6,F1496)),Assumptions!$D$6,IF(ISNUMBER(SEARCH(Assumptions!$C$7,F1496)),Assumptions!$D$7,"Other Services"))),"Other Services"))</f>
        <v/>
      </c>
    </row>
    <row r="1497" customFormat="false" ht="15" hidden="false" customHeight="false" outlineLevel="0" collapsed="false">
      <c r="I1497" s="41" t="str">
        <f aca="false">IF(F1497="","",IFERROR(IF(ISNUMBER(SEARCH(Assumptions!$C$5,F1497)),Assumptions!$D$5,IF(ISNUMBER(SEARCH(Assumptions!$C$6,F1497)),Assumptions!$D$6,IF(ISNUMBER(SEARCH(Assumptions!$C$7,F1497)),Assumptions!$D$7,"Other Services"))),"Other Services"))</f>
        <v/>
      </c>
    </row>
    <row r="1498" customFormat="false" ht="15" hidden="false" customHeight="false" outlineLevel="0" collapsed="false">
      <c r="I1498" s="41" t="str">
        <f aca="false">IF(F1498="","",IFERROR(IF(ISNUMBER(SEARCH(Assumptions!$C$5,F1498)),Assumptions!$D$5,IF(ISNUMBER(SEARCH(Assumptions!$C$6,F1498)),Assumptions!$D$6,IF(ISNUMBER(SEARCH(Assumptions!$C$7,F1498)),Assumptions!$D$7,"Other Services"))),"Other Services"))</f>
        <v/>
      </c>
    </row>
    <row r="1499" customFormat="false" ht="15" hidden="false" customHeight="false" outlineLevel="0" collapsed="false">
      <c r="I1499" s="41" t="str">
        <f aca="false">IF(F1499="","",IFERROR(IF(ISNUMBER(SEARCH(Assumptions!$C$5,F1499)),Assumptions!$D$5,IF(ISNUMBER(SEARCH(Assumptions!$C$6,F1499)),Assumptions!$D$6,IF(ISNUMBER(SEARCH(Assumptions!$C$7,F1499)),Assumptions!$D$7,"Other Services"))),"Other Services"))</f>
        <v/>
      </c>
    </row>
    <row r="1500" customFormat="false" ht="15" hidden="false" customHeight="false" outlineLevel="0" collapsed="false">
      <c r="I1500" s="41" t="str">
        <f aca="false">IF(F1500="","",IFERROR(IF(ISNUMBER(SEARCH(Assumptions!$C$5,F1500)),Assumptions!$D$5,IF(ISNUMBER(SEARCH(Assumptions!$C$6,F1500)),Assumptions!$D$6,IF(ISNUMBER(SEARCH(Assumptions!$C$7,F1500)),Assumptions!$D$7,"Other Services"))),"Other Services"))</f>
        <v/>
      </c>
    </row>
    <row r="1501" customFormat="false" ht="15" hidden="false" customHeight="false" outlineLevel="0" collapsed="false">
      <c r="I1501" s="41" t="str">
        <f aca="false">IF(F1501="","",IFERROR(IF(ISNUMBER(SEARCH(Assumptions!$C$5,F1501)),Assumptions!$D$5,IF(ISNUMBER(SEARCH(Assumptions!$C$6,F1501)),Assumptions!$D$6,IF(ISNUMBER(SEARCH(Assumptions!$C$7,F1501)),Assumptions!$D$7,"Other Services"))),"Other Services"))</f>
        <v/>
      </c>
    </row>
    <row r="1502" customFormat="false" ht="15" hidden="false" customHeight="false" outlineLevel="0" collapsed="false">
      <c r="I1502" s="41" t="str">
        <f aca="false">IF(F1502="","",IFERROR(IF(ISNUMBER(SEARCH(Assumptions!$C$5,F1502)),Assumptions!$D$5,IF(ISNUMBER(SEARCH(Assumptions!$C$6,F1502)),Assumptions!$D$6,IF(ISNUMBER(SEARCH(Assumptions!$C$7,F1502)),Assumptions!$D$7,"Other Services"))),"Other Services"))</f>
        <v/>
      </c>
    </row>
    <row r="1503" customFormat="false" ht="15" hidden="false" customHeight="false" outlineLevel="0" collapsed="false">
      <c r="I1503" s="41" t="str">
        <f aca="false">IF(F1503="","",IFERROR(IF(ISNUMBER(SEARCH(Assumptions!$C$5,F1503)),Assumptions!$D$5,IF(ISNUMBER(SEARCH(Assumptions!$C$6,F1503)),Assumptions!$D$6,IF(ISNUMBER(SEARCH(Assumptions!$C$7,F1503)),Assumptions!$D$7,"Other Services"))),"Other Services"))</f>
        <v/>
      </c>
    </row>
    <row r="1504" customFormat="false" ht="15" hidden="false" customHeight="false" outlineLevel="0" collapsed="false">
      <c r="I1504" s="41" t="str">
        <f aca="false">IF(F1504="","",IFERROR(IF(ISNUMBER(SEARCH(Assumptions!$C$5,F1504)),Assumptions!$D$5,IF(ISNUMBER(SEARCH(Assumptions!$C$6,F1504)),Assumptions!$D$6,IF(ISNUMBER(SEARCH(Assumptions!$C$7,F1504)),Assumptions!$D$7,"Other Services"))),"Other Services"))</f>
        <v/>
      </c>
    </row>
    <row r="1505" customFormat="false" ht="15" hidden="false" customHeight="false" outlineLevel="0" collapsed="false">
      <c r="I1505" s="41" t="str">
        <f aca="false">IF(F1505="","",IFERROR(IF(ISNUMBER(SEARCH(Assumptions!$C$5,F1505)),Assumptions!$D$5,IF(ISNUMBER(SEARCH(Assumptions!$C$6,F1505)),Assumptions!$D$6,IF(ISNUMBER(SEARCH(Assumptions!$C$7,F1505)),Assumptions!$D$7,"Other Services"))),"Other Services"))</f>
        <v/>
      </c>
    </row>
    <row r="1506" customFormat="false" ht="15" hidden="false" customHeight="false" outlineLevel="0" collapsed="false">
      <c r="I1506" s="41" t="str">
        <f aca="false">IF(F1506="","",IFERROR(IF(ISNUMBER(SEARCH(Assumptions!$C$5,F1506)),Assumptions!$D$5,IF(ISNUMBER(SEARCH(Assumptions!$C$6,F1506)),Assumptions!$D$6,IF(ISNUMBER(SEARCH(Assumptions!$C$7,F1506)),Assumptions!$D$7,"Other Services"))),"Other Services"))</f>
        <v/>
      </c>
    </row>
    <row r="1507" customFormat="false" ht="15" hidden="false" customHeight="false" outlineLevel="0" collapsed="false">
      <c r="I1507" s="41" t="str">
        <f aca="false">IF(F1507="","",IFERROR(IF(ISNUMBER(SEARCH(Assumptions!$C$5,F1507)),Assumptions!$D$5,IF(ISNUMBER(SEARCH(Assumptions!$C$6,F1507)),Assumptions!$D$6,IF(ISNUMBER(SEARCH(Assumptions!$C$7,F1507)),Assumptions!$D$7,"Other Services"))),"Other Services"))</f>
        <v/>
      </c>
    </row>
    <row r="1508" customFormat="false" ht="15" hidden="false" customHeight="false" outlineLevel="0" collapsed="false">
      <c r="I1508" s="41" t="str">
        <f aca="false">IF(F1508="","",IFERROR(IF(ISNUMBER(SEARCH(Assumptions!$C$5,F1508)),Assumptions!$D$5,IF(ISNUMBER(SEARCH(Assumptions!$C$6,F1508)),Assumptions!$D$6,IF(ISNUMBER(SEARCH(Assumptions!$C$7,F1508)),Assumptions!$D$7,"Other Services"))),"Other Services"))</f>
        <v/>
      </c>
    </row>
    <row r="1509" customFormat="false" ht="15" hidden="false" customHeight="false" outlineLevel="0" collapsed="false">
      <c r="I1509" s="41" t="str">
        <f aca="false">IF(F1509="","",IFERROR(IF(ISNUMBER(SEARCH(Assumptions!$C$5,F1509)),Assumptions!$D$5,IF(ISNUMBER(SEARCH(Assumptions!$C$6,F1509)),Assumptions!$D$6,IF(ISNUMBER(SEARCH(Assumptions!$C$7,F1509)),Assumptions!$D$7,"Other Services"))),"Other Services"))</f>
        <v/>
      </c>
    </row>
    <row r="1510" customFormat="false" ht="15" hidden="false" customHeight="false" outlineLevel="0" collapsed="false">
      <c r="I1510" s="41" t="str">
        <f aca="false">IF(F1510="","",IFERROR(IF(ISNUMBER(SEARCH(Assumptions!$C$5,F1510)),Assumptions!$D$5,IF(ISNUMBER(SEARCH(Assumptions!$C$6,F1510)),Assumptions!$D$6,IF(ISNUMBER(SEARCH(Assumptions!$C$7,F1510)),Assumptions!$D$7,"Other Services"))),"Other Services"))</f>
        <v/>
      </c>
    </row>
    <row r="1511" customFormat="false" ht="15" hidden="false" customHeight="false" outlineLevel="0" collapsed="false">
      <c r="I1511" s="41" t="str">
        <f aca="false">IF(F1511="","",IFERROR(IF(ISNUMBER(SEARCH(Assumptions!$C$5,F1511)),Assumptions!$D$5,IF(ISNUMBER(SEARCH(Assumptions!$C$6,F1511)),Assumptions!$D$6,IF(ISNUMBER(SEARCH(Assumptions!$C$7,F1511)),Assumptions!$D$7,"Other Services"))),"Other Services"))</f>
        <v/>
      </c>
    </row>
    <row r="1512" customFormat="false" ht="15" hidden="false" customHeight="false" outlineLevel="0" collapsed="false">
      <c r="I1512" s="41" t="str">
        <f aca="false">IF(F1512="","",IFERROR(IF(ISNUMBER(SEARCH(Assumptions!$C$5,F1512)),Assumptions!$D$5,IF(ISNUMBER(SEARCH(Assumptions!$C$6,F1512)),Assumptions!$D$6,IF(ISNUMBER(SEARCH(Assumptions!$C$7,F1512)),Assumptions!$D$7,"Other Services"))),"Other Services"))</f>
        <v/>
      </c>
    </row>
    <row r="1513" customFormat="false" ht="15" hidden="false" customHeight="false" outlineLevel="0" collapsed="false">
      <c r="I1513" s="41" t="str">
        <f aca="false">IF(F1513="","",IFERROR(IF(ISNUMBER(SEARCH(Assumptions!$C$5,F1513)),Assumptions!$D$5,IF(ISNUMBER(SEARCH(Assumptions!$C$6,F1513)),Assumptions!$D$6,IF(ISNUMBER(SEARCH(Assumptions!$C$7,F1513)),Assumptions!$D$7,"Other Services"))),"Other Services"))</f>
        <v/>
      </c>
    </row>
    <row r="1514" customFormat="false" ht="15" hidden="false" customHeight="false" outlineLevel="0" collapsed="false">
      <c r="I1514" s="41" t="str">
        <f aca="false">IF(F1514="","",IFERROR(IF(ISNUMBER(SEARCH(Assumptions!$C$5,F1514)),Assumptions!$D$5,IF(ISNUMBER(SEARCH(Assumptions!$C$6,F1514)),Assumptions!$D$6,IF(ISNUMBER(SEARCH(Assumptions!$C$7,F1514)),Assumptions!$D$7,"Other Services"))),"Other Services"))</f>
        <v/>
      </c>
    </row>
    <row r="1515" customFormat="false" ht="15" hidden="false" customHeight="false" outlineLevel="0" collapsed="false">
      <c r="I1515" s="41" t="str">
        <f aca="false">IF(F1515="","",IFERROR(IF(ISNUMBER(SEARCH(Assumptions!$C$5,F1515)),Assumptions!$D$5,IF(ISNUMBER(SEARCH(Assumptions!$C$6,F1515)),Assumptions!$D$6,IF(ISNUMBER(SEARCH(Assumptions!$C$7,F1515)),Assumptions!$D$7,"Other Services"))),"Other Services"))</f>
        <v/>
      </c>
    </row>
    <row r="1516" customFormat="false" ht="15" hidden="false" customHeight="false" outlineLevel="0" collapsed="false">
      <c r="I1516" s="41" t="str">
        <f aca="false">IF(F1516="","",IFERROR(IF(ISNUMBER(SEARCH(Assumptions!$C$5,F1516)),Assumptions!$D$5,IF(ISNUMBER(SEARCH(Assumptions!$C$6,F1516)),Assumptions!$D$6,IF(ISNUMBER(SEARCH(Assumptions!$C$7,F1516)),Assumptions!$D$7,"Other Services"))),"Other Services"))</f>
        <v/>
      </c>
    </row>
    <row r="1517" customFormat="false" ht="15" hidden="false" customHeight="false" outlineLevel="0" collapsed="false">
      <c r="I1517" s="41" t="str">
        <f aca="false">IF(F1517="","",IFERROR(IF(ISNUMBER(SEARCH(Assumptions!$C$5,F1517)),Assumptions!$D$5,IF(ISNUMBER(SEARCH(Assumptions!$C$6,F1517)),Assumptions!$D$6,IF(ISNUMBER(SEARCH(Assumptions!$C$7,F1517)),Assumptions!$D$7,"Other Services"))),"Other Services"))</f>
        <v/>
      </c>
    </row>
    <row r="1518" customFormat="false" ht="15" hidden="false" customHeight="false" outlineLevel="0" collapsed="false">
      <c r="I1518" s="41" t="str">
        <f aca="false">IF(F1518="","",IFERROR(IF(ISNUMBER(SEARCH(Assumptions!$C$5,F1518)),Assumptions!$D$5,IF(ISNUMBER(SEARCH(Assumptions!$C$6,F1518)),Assumptions!$D$6,IF(ISNUMBER(SEARCH(Assumptions!$C$7,F1518)),Assumptions!$D$7,"Other Services"))),"Other Services"))</f>
        <v/>
      </c>
    </row>
    <row r="1519" customFormat="false" ht="15" hidden="false" customHeight="false" outlineLevel="0" collapsed="false">
      <c r="I1519" s="41" t="str">
        <f aca="false">IF(F1519="","",IFERROR(IF(ISNUMBER(SEARCH(Assumptions!$C$5,F1519)),Assumptions!$D$5,IF(ISNUMBER(SEARCH(Assumptions!$C$6,F1519)),Assumptions!$D$6,IF(ISNUMBER(SEARCH(Assumptions!$C$7,F1519)),Assumptions!$D$7,"Other Services"))),"Other Services"))</f>
        <v/>
      </c>
    </row>
    <row r="1520" customFormat="false" ht="15" hidden="false" customHeight="false" outlineLevel="0" collapsed="false">
      <c r="I1520" s="41" t="str">
        <f aca="false">IF(F1520="","",IFERROR(IF(ISNUMBER(SEARCH(Assumptions!$C$5,F1520)),Assumptions!$D$5,IF(ISNUMBER(SEARCH(Assumptions!$C$6,F1520)),Assumptions!$D$6,IF(ISNUMBER(SEARCH(Assumptions!$C$7,F1520)),Assumptions!$D$7,"Other Services"))),"Other Services"))</f>
        <v/>
      </c>
    </row>
    <row r="1521" customFormat="false" ht="15" hidden="false" customHeight="false" outlineLevel="0" collapsed="false">
      <c r="I1521" s="41" t="str">
        <f aca="false">IF(F1521="","",IFERROR(IF(ISNUMBER(SEARCH(Assumptions!$C$5,F1521)),Assumptions!$D$5,IF(ISNUMBER(SEARCH(Assumptions!$C$6,F1521)),Assumptions!$D$6,IF(ISNUMBER(SEARCH(Assumptions!$C$7,F1521)),Assumptions!$D$7,"Other Services"))),"Other Services"))</f>
        <v/>
      </c>
    </row>
    <row r="1522" customFormat="false" ht="15" hidden="false" customHeight="false" outlineLevel="0" collapsed="false">
      <c r="I1522" s="41" t="str">
        <f aca="false">IF(F1522="","",IFERROR(IF(ISNUMBER(SEARCH(Assumptions!$C$5,F1522)),Assumptions!$D$5,IF(ISNUMBER(SEARCH(Assumptions!$C$6,F1522)),Assumptions!$D$6,IF(ISNUMBER(SEARCH(Assumptions!$C$7,F1522)),Assumptions!$D$7,"Other Services"))),"Other Services"))</f>
        <v/>
      </c>
    </row>
    <row r="1523" customFormat="false" ht="15" hidden="false" customHeight="false" outlineLevel="0" collapsed="false">
      <c r="I1523" s="41" t="str">
        <f aca="false">IF(F1523="","",IFERROR(IF(ISNUMBER(SEARCH(Assumptions!$C$5,F1523)),Assumptions!$D$5,IF(ISNUMBER(SEARCH(Assumptions!$C$6,F1523)),Assumptions!$D$6,IF(ISNUMBER(SEARCH(Assumptions!$C$7,F1523)),Assumptions!$D$7,"Other Services"))),"Other Services"))</f>
        <v/>
      </c>
    </row>
    <row r="1524" customFormat="false" ht="15" hidden="false" customHeight="false" outlineLevel="0" collapsed="false">
      <c r="I1524" s="41" t="str">
        <f aca="false">IF(F1524="","",IFERROR(IF(ISNUMBER(SEARCH(Assumptions!$C$5,F1524)),Assumptions!$D$5,IF(ISNUMBER(SEARCH(Assumptions!$C$6,F1524)),Assumptions!$D$6,IF(ISNUMBER(SEARCH(Assumptions!$C$7,F1524)),Assumptions!$D$7,"Other Services"))),"Other Services"))</f>
        <v/>
      </c>
    </row>
    <row r="1525" customFormat="false" ht="15" hidden="false" customHeight="false" outlineLevel="0" collapsed="false">
      <c r="I1525" s="41" t="str">
        <f aca="false">IF(F1525="","",IFERROR(IF(ISNUMBER(SEARCH(Assumptions!$C$5,F1525)),Assumptions!$D$5,IF(ISNUMBER(SEARCH(Assumptions!$C$6,F1525)),Assumptions!$D$6,IF(ISNUMBER(SEARCH(Assumptions!$C$7,F1525)),Assumptions!$D$7,"Other Services"))),"Other Services"))</f>
        <v/>
      </c>
    </row>
    <row r="1526" customFormat="false" ht="15" hidden="false" customHeight="false" outlineLevel="0" collapsed="false">
      <c r="I1526" s="41" t="str">
        <f aca="false">IF(F1526="","",IFERROR(IF(ISNUMBER(SEARCH(Assumptions!$C$5,F1526)),Assumptions!$D$5,IF(ISNUMBER(SEARCH(Assumptions!$C$6,F1526)),Assumptions!$D$6,IF(ISNUMBER(SEARCH(Assumptions!$C$7,F1526)),Assumptions!$D$7,"Other Services"))),"Other Services"))</f>
        <v/>
      </c>
    </row>
    <row r="1527" customFormat="false" ht="15" hidden="false" customHeight="false" outlineLevel="0" collapsed="false">
      <c r="I1527" s="41" t="str">
        <f aca="false">IF(F1527="","",IFERROR(IF(ISNUMBER(SEARCH(Assumptions!$C$5,F1527)),Assumptions!$D$5,IF(ISNUMBER(SEARCH(Assumptions!$C$6,F1527)),Assumptions!$D$6,IF(ISNUMBER(SEARCH(Assumptions!$C$7,F1527)),Assumptions!$D$7,"Other Services"))),"Other Services"))</f>
        <v/>
      </c>
    </row>
    <row r="1528" customFormat="false" ht="15" hidden="false" customHeight="false" outlineLevel="0" collapsed="false">
      <c r="I1528" s="41" t="str">
        <f aca="false">IF(F1528="","",IFERROR(IF(ISNUMBER(SEARCH(Assumptions!$C$5,F1528)),Assumptions!$D$5,IF(ISNUMBER(SEARCH(Assumptions!$C$6,F1528)),Assumptions!$D$6,IF(ISNUMBER(SEARCH(Assumptions!$C$7,F1528)),Assumptions!$D$7,"Other Services"))),"Other Services"))</f>
        <v/>
      </c>
    </row>
    <row r="1529" customFormat="false" ht="15" hidden="false" customHeight="false" outlineLevel="0" collapsed="false">
      <c r="I1529" s="41" t="str">
        <f aca="false">IF(F1529="","",IFERROR(IF(ISNUMBER(SEARCH(Assumptions!$C$5,F1529)),Assumptions!$D$5,IF(ISNUMBER(SEARCH(Assumptions!$C$6,F1529)),Assumptions!$D$6,IF(ISNUMBER(SEARCH(Assumptions!$C$7,F1529)),Assumptions!$D$7,"Other Services"))),"Other Services"))</f>
        <v/>
      </c>
    </row>
    <row r="1530" customFormat="false" ht="15" hidden="false" customHeight="false" outlineLevel="0" collapsed="false">
      <c r="I1530" s="41" t="str">
        <f aca="false">IF(F1530="","",IFERROR(IF(ISNUMBER(SEARCH(Assumptions!$C$5,F1530)),Assumptions!$D$5,IF(ISNUMBER(SEARCH(Assumptions!$C$6,F1530)),Assumptions!$D$6,IF(ISNUMBER(SEARCH(Assumptions!$C$7,F1530)),Assumptions!$D$7,"Other Services"))),"Other Services"))</f>
        <v/>
      </c>
    </row>
    <row r="1531" customFormat="false" ht="15" hidden="false" customHeight="false" outlineLevel="0" collapsed="false">
      <c r="I1531" s="41" t="str">
        <f aca="false">IF(F1531="","",IFERROR(IF(ISNUMBER(SEARCH(Assumptions!$C$5,F1531)),Assumptions!$D$5,IF(ISNUMBER(SEARCH(Assumptions!$C$6,F1531)),Assumptions!$D$6,IF(ISNUMBER(SEARCH(Assumptions!$C$7,F1531)),Assumptions!$D$7,"Other Services"))),"Other Services"))</f>
        <v/>
      </c>
    </row>
    <row r="1532" customFormat="false" ht="15" hidden="false" customHeight="false" outlineLevel="0" collapsed="false">
      <c r="I1532" s="41" t="str">
        <f aca="false">IF(F1532="","",IFERROR(IF(ISNUMBER(SEARCH(Assumptions!$C$5,F1532)),Assumptions!$D$5,IF(ISNUMBER(SEARCH(Assumptions!$C$6,F1532)),Assumptions!$D$6,IF(ISNUMBER(SEARCH(Assumptions!$C$7,F1532)),Assumptions!$D$7,"Other Services"))),"Other Services"))</f>
        <v/>
      </c>
    </row>
    <row r="1533" customFormat="false" ht="15" hidden="false" customHeight="false" outlineLevel="0" collapsed="false">
      <c r="I1533" s="41" t="str">
        <f aca="false">IF(F1533="","",IFERROR(IF(ISNUMBER(SEARCH(Assumptions!$C$5,F1533)),Assumptions!$D$5,IF(ISNUMBER(SEARCH(Assumptions!$C$6,F1533)),Assumptions!$D$6,IF(ISNUMBER(SEARCH(Assumptions!$C$7,F1533)),Assumptions!$D$7,"Other Services"))),"Other Services"))</f>
        <v/>
      </c>
    </row>
    <row r="1534" customFormat="false" ht="15" hidden="false" customHeight="false" outlineLevel="0" collapsed="false">
      <c r="I1534" s="41" t="str">
        <f aca="false">IF(F1534="","",IFERROR(IF(ISNUMBER(SEARCH(Assumptions!$C$5,F1534)),Assumptions!$D$5,IF(ISNUMBER(SEARCH(Assumptions!$C$6,F1534)),Assumptions!$D$6,IF(ISNUMBER(SEARCH(Assumptions!$C$7,F1534)),Assumptions!$D$7,"Other Services"))),"Other Services"))</f>
        <v/>
      </c>
    </row>
    <row r="1535" customFormat="false" ht="15" hidden="false" customHeight="false" outlineLevel="0" collapsed="false">
      <c r="I1535" s="41" t="str">
        <f aca="false">IF(F1535="","",IFERROR(IF(ISNUMBER(SEARCH(Assumptions!$C$5,F1535)),Assumptions!$D$5,IF(ISNUMBER(SEARCH(Assumptions!$C$6,F1535)),Assumptions!$D$6,IF(ISNUMBER(SEARCH(Assumptions!$C$7,F1535)),Assumptions!$D$7,"Other Services"))),"Other Services"))</f>
        <v/>
      </c>
    </row>
    <row r="1536" customFormat="false" ht="15" hidden="false" customHeight="false" outlineLevel="0" collapsed="false">
      <c r="I1536" s="41" t="str">
        <f aca="false">IF(F1536="","",IFERROR(IF(ISNUMBER(SEARCH(Assumptions!$C$5,F1536)),Assumptions!$D$5,IF(ISNUMBER(SEARCH(Assumptions!$C$6,F1536)),Assumptions!$D$6,IF(ISNUMBER(SEARCH(Assumptions!$C$7,F1536)),Assumptions!$D$7,"Other Services"))),"Other Services"))</f>
        <v/>
      </c>
    </row>
    <row r="1537" customFormat="false" ht="15" hidden="false" customHeight="false" outlineLevel="0" collapsed="false">
      <c r="I1537" s="41" t="str">
        <f aca="false">IF(F1537="","",IFERROR(IF(ISNUMBER(SEARCH(Assumptions!$C$5,F1537)),Assumptions!$D$5,IF(ISNUMBER(SEARCH(Assumptions!$C$6,F1537)),Assumptions!$D$6,IF(ISNUMBER(SEARCH(Assumptions!$C$7,F1537)),Assumptions!$D$7,"Other Services"))),"Other Services"))</f>
        <v/>
      </c>
    </row>
    <row r="1538" customFormat="false" ht="15" hidden="false" customHeight="false" outlineLevel="0" collapsed="false">
      <c r="I1538" s="41" t="str">
        <f aca="false">IF(F1538="","",IFERROR(IF(ISNUMBER(SEARCH(Assumptions!$C$5,F1538)),Assumptions!$D$5,IF(ISNUMBER(SEARCH(Assumptions!$C$6,F1538)),Assumptions!$D$6,IF(ISNUMBER(SEARCH(Assumptions!$C$7,F1538)),Assumptions!$D$7,"Other Services"))),"Other Services"))</f>
        <v/>
      </c>
    </row>
    <row r="1539" customFormat="false" ht="15" hidden="false" customHeight="false" outlineLevel="0" collapsed="false">
      <c r="I1539" s="41" t="str">
        <f aca="false">IF(F1539="","",IFERROR(IF(ISNUMBER(SEARCH(Assumptions!$C$5,F1539)),Assumptions!$D$5,IF(ISNUMBER(SEARCH(Assumptions!$C$6,F1539)),Assumptions!$D$6,IF(ISNUMBER(SEARCH(Assumptions!$C$7,F1539)),Assumptions!$D$7,"Other Services"))),"Other Services"))</f>
        <v/>
      </c>
    </row>
    <row r="1540" customFormat="false" ht="15" hidden="false" customHeight="false" outlineLevel="0" collapsed="false">
      <c r="I1540" s="41" t="str">
        <f aca="false">IF(F1540="","",IFERROR(IF(ISNUMBER(SEARCH(Assumptions!$C$5,F1540)),Assumptions!$D$5,IF(ISNUMBER(SEARCH(Assumptions!$C$6,F1540)),Assumptions!$D$6,IF(ISNUMBER(SEARCH(Assumptions!$C$7,F1540)),Assumptions!$D$7,"Other Services"))),"Other Services"))</f>
        <v/>
      </c>
    </row>
    <row r="1541" customFormat="false" ht="15" hidden="false" customHeight="false" outlineLevel="0" collapsed="false">
      <c r="I1541" s="41" t="str">
        <f aca="false">IF(F1541="","",IFERROR(IF(ISNUMBER(SEARCH(Assumptions!$C$5,F1541)),Assumptions!$D$5,IF(ISNUMBER(SEARCH(Assumptions!$C$6,F1541)),Assumptions!$D$6,IF(ISNUMBER(SEARCH(Assumptions!$C$7,F1541)),Assumptions!$D$7,"Other Services"))),"Other Services"))</f>
        <v/>
      </c>
    </row>
    <row r="1542" customFormat="false" ht="15" hidden="false" customHeight="false" outlineLevel="0" collapsed="false">
      <c r="I1542" s="41" t="str">
        <f aca="false">IF(F1542="","",IFERROR(IF(ISNUMBER(SEARCH(Assumptions!$C$5,F1542)),Assumptions!$D$5,IF(ISNUMBER(SEARCH(Assumptions!$C$6,F1542)),Assumptions!$D$6,IF(ISNUMBER(SEARCH(Assumptions!$C$7,F1542)),Assumptions!$D$7,"Other Services"))),"Other Services"))</f>
        <v/>
      </c>
    </row>
    <row r="1543" customFormat="false" ht="15" hidden="false" customHeight="false" outlineLevel="0" collapsed="false">
      <c r="I1543" s="41" t="str">
        <f aca="false">IF(F1543="","",IFERROR(IF(ISNUMBER(SEARCH(Assumptions!$C$5,F1543)),Assumptions!$D$5,IF(ISNUMBER(SEARCH(Assumptions!$C$6,F1543)),Assumptions!$D$6,IF(ISNUMBER(SEARCH(Assumptions!$C$7,F1543)),Assumptions!$D$7,"Other Services"))),"Other Services"))</f>
        <v/>
      </c>
    </row>
    <row r="1544" customFormat="false" ht="15" hidden="false" customHeight="false" outlineLevel="0" collapsed="false">
      <c r="I1544" s="41" t="str">
        <f aca="false">IF(F1544="","",IFERROR(IF(ISNUMBER(SEARCH(Assumptions!$C$5,F1544)),Assumptions!$D$5,IF(ISNUMBER(SEARCH(Assumptions!$C$6,F1544)),Assumptions!$D$6,IF(ISNUMBER(SEARCH(Assumptions!$C$7,F1544)),Assumptions!$D$7,"Other Services"))),"Other Services"))</f>
        <v/>
      </c>
    </row>
    <row r="1545" customFormat="false" ht="15" hidden="false" customHeight="false" outlineLevel="0" collapsed="false">
      <c r="I1545" s="41" t="str">
        <f aca="false">IF(F1545="","",IFERROR(IF(ISNUMBER(SEARCH(Assumptions!$C$5,F1545)),Assumptions!$D$5,IF(ISNUMBER(SEARCH(Assumptions!$C$6,F1545)),Assumptions!$D$6,IF(ISNUMBER(SEARCH(Assumptions!$C$7,F1545)),Assumptions!$D$7,"Other Services"))),"Other Services"))</f>
        <v/>
      </c>
    </row>
    <row r="1546" customFormat="false" ht="15" hidden="false" customHeight="false" outlineLevel="0" collapsed="false">
      <c r="I1546" s="41" t="str">
        <f aca="false">IF(F1546="","",IFERROR(IF(ISNUMBER(SEARCH(Assumptions!$C$5,F1546)),Assumptions!$D$5,IF(ISNUMBER(SEARCH(Assumptions!$C$6,F1546)),Assumptions!$D$6,IF(ISNUMBER(SEARCH(Assumptions!$C$7,F1546)),Assumptions!$D$7,"Other Services"))),"Other Services"))</f>
        <v/>
      </c>
    </row>
    <row r="1547" customFormat="false" ht="15" hidden="false" customHeight="false" outlineLevel="0" collapsed="false">
      <c r="I1547" s="41" t="str">
        <f aca="false">IF(F1547="","",IFERROR(IF(ISNUMBER(SEARCH(Assumptions!$C$5,F1547)),Assumptions!$D$5,IF(ISNUMBER(SEARCH(Assumptions!$C$6,F1547)),Assumptions!$D$6,IF(ISNUMBER(SEARCH(Assumptions!$C$7,F1547)),Assumptions!$D$7,"Other Services"))),"Other Services"))</f>
        <v/>
      </c>
    </row>
    <row r="1548" customFormat="false" ht="15" hidden="false" customHeight="false" outlineLevel="0" collapsed="false">
      <c r="I1548" s="41" t="str">
        <f aca="false">IF(F1548="","",IFERROR(IF(ISNUMBER(SEARCH(Assumptions!$C$5,F1548)),Assumptions!$D$5,IF(ISNUMBER(SEARCH(Assumptions!$C$6,F1548)),Assumptions!$D$6,IF(ISNUMBER(SEARCH(Assumptions!$C$7,F1548)),Assumptions!$D$7,"Other Services"))),"Other Services"))</f>
        <v/>
      </c>
    </row>
    <row r="1549" customFormat="false" ht="15" hidden="false" customHeight="false" outlineLevel="0" collapsed="false">
      <c r="I1549" s="41" t="str">
        <f aca="false">IF(F1549="","",IFERROR(IF(ISNUMBER(SEARCH(Assumptions!$C$5,F1549)),Assumptions!$D$5,IF(ISNUMBER(SEARCH(Assumptions!$C$6,F1549)),Assumptions!$D$6,IF(ISNUMBER(SEARCH(Assumptions!$C$7,F1549)),Assumptions!$D$7,"Other Services"))),"Other Services"))</f>
        <v/>
      </c>
    </row>
    <row r="1550" customFormat="false" ht="15" hidden="false" customHeight="false" outlineLevel="0" collapsed="false">
      <c r="I1550" s="41" t="str">
        <f aca="false">IF(F1550="","",IFERROR(IF(ISNUMBER(SEARCH(Assumptions!$C$5,F1550)),Assumptions!$D$5,IF(ISNUMBER(SEARCH(Assumptions!$C$6,F1550)),Assumptions!$D$6,IF(ISNUMBER(SEARCH(Assumptions!$C$7,F1550)),Assumptions!$D$7,"Other Services"))),"Other Services"))</f>
        <v/>
      </c>
    </row>
    <row r="1551" customFormat="false" ht="15" hidden="false" customHeight="false" outlineLevel="0" collapsed="false">
      <c r="I1551" s="41" t="str">
        <f aca="false">IF(F1551="","",IFERROR(IF(ISNUMBER(SEARCH(Assumptions!$C$5,F1551)),Assumptions!$D$5,IF(ISNUMBER(SEARCH(Assumptions!$C$6,F1551)),Assumptions!$D$6,IF(ISNUMBER(SEARCH(Assumptions!$C$7,F1551)),Assumptions!$D$7,"Other Services"))),"Other Services"))</f>
        <v/>
      </c>
    </row>
    <row r="1552" customFormat="false" ht="15" hidden="false" customHeight="false" outlineLevel="0" collapsed="false">
      <c r="I1552" s="41" t="str">
        <f aca="false">IF(F1552="","",IFERROR(IF(ISNUMBER(SEARCH(Assumptions!$C$5,F1552)),Assumptions!$D$5,IF(ISNUMBER(SEARCH(Assumptions!$C$6,F1552)),Assumptions!$D$6,IF(ISNUMBER(SEARCH(Assumptions!$C$7,F1552)),Assumptions!$D$7,"Other Services"))),"Other Services"))</f>
        <v/>
      </c>
    </row>
    <row r="1553" customFormat="false" ht="15" hidden="false" customHeight="false" outlineLevel="0" collapsed="false">
      <c r="I1553" s="41" t="str">
        <f aca="false">IF(F1553="","",IFERROR(IF(ISNUMBER(SEARCH(Assumptions!$C$5,F1553)),Assumptions!$D$5,IF(ISNUMBER(SEARCH(Assumptions!$C$6,F1553)),Assumptions!$D$6,IF(ISNUMBER(SEARCH(Assumptions!$C$7,F1553)),Assumptions!$D$7,"Other Services"))),"Other Services"))</f>
        <v/>
      </c>
    </row>
    <row r="1554" customFormat="false" ht="15" hidden="false" customHeight="false" outlineLevel="0" collapsed="false">
      <c r="I1554" s="41" t="str">
        <f aca="false">IF(F1554="","",IFERROR(IF(ISNUMBER(SEARCH(Assumptions!$C$5,F1554)),Assumptions!$D$5,IF(ISNUMBER(SEARCH(Assumptions!$C$6,F1554)),Assumptions!$D$6,IF(ISNUMBER(SEARCH(Assumptions!$C$7,F1554)),Assumptions!$D$7,"Other Services"))),"Other Services"))</f>
        <v/>
      </c>
    </row>
    <row r="1555" customFormat="false" ht="15" hidden="false" customHeight="false" outlineLevel="0" collapsed="false">
      <c r="I1555" s="41" t="str">
        <f aca="false">IF(F1555="","",IFERROR(IF(ISNUMBER(SEARCH(Assumptions!$C$5,F1555)),Assumptions!$D$5,IF(ISNUMBER(SEARCH(Assumptions!$C$6,F1555)),Assumptions!$D$6,IF(ISNUMBER(SEARCH(Assumptions!$C$7,F1555)),Assumptions!$D$7,"Other Services"))),"Other Services"))</f>
        <v/>
      </c>
    </row>
    <row r="1556" customFormat="false" ht="15" hidden="false" customHeight="false" outlineLevel="0" collapsed="false">
      <c r="I1556" s="41" t="str">
        <f aca="false">IF(F1556="","",IFERROR(IF(ISNUMBER(SEARCH(Assumptions!$C$5,F1556)),Assumptions!$D$5,IF(ISNUMBER(SEARCH(Assumptions!$C$6,F1556)),Assumptions!$D$6,IF(ISNUMBER(SEARCH(Assumptions!$C$7,F1556)),Assumptions!$D$7,"Other Services"))),"Other Services"))</f>
        <v/>
      </c>
    </row>
    <row r="1557" customFormat="false" ht="15" hidden="false" customHeight="false" outlineLevel="0" collapsed="false">
      <c r="I1557" s="41" t="str">
        <f aca="false">IF(F1557="","",IFERROR(IF(ISNUMBER(SEARCH(Assumptions!$C$5,F1557)),Assumptions!$D$5,IF(ISNUMBER(SEARCH(Assumptions!$C$6,F1557)),Assumptions!$D$6,IF(ISNUMBER(SEARCH(Assumptions!$C$7,F1557)),Assumptions!$D$7,"Other Services"))),"Other Services"))</f>
        <v/>
      </c>
    </row>
    <row r="1558" customFormat="false" ht="15" hidden="false" customHeight="false" outlineLevel="0" collapsed="false">
      <c r="I1558" s="41" t="str">
        <f aca="false">IF(F1558="","",IFERROR(IF(ISNUMBER(SEARCH(Assumptions!$C$5,F1558)),Assumptions!$D$5,IF(ISNUMBER(SEARCH(Assumptions!$C$6,F1558)),Assumptions!$D$6,IF(ISNUMBER(SEARCH(Assumptions!$C$7,F1558)),Assumptions!$D$7,"Other Services"))),"Other Services"))</f>
        <v/>
      </c>
    </row>
    <row r="1559" customFormat="false" ht="15" hidden="false" customHeight="false" outlineLevel="0" collapsed="false">
      <c r="I1559" s="41" t="str">
        <f aca="false">IF(F1559="","",IFERROR(IF(ISNUMBER(SEARCH(Assumptions!$C$5,F1559)),Assumptions!$D$5,IF(ISNUMBER(SEARCH(Assumptions!$C$6,F1559)),Assumptions!$D$6,IF(ISNUMBER(SEARCH(Assumptions!$C$7,F1559)),Assumptions!$D$7,"Other Services"))),"Other Services"))</f>
        <v/>
      </c>
    </row>
    <row r="1560" customFormat="false" ht="15" hidden="false" customHeight="false" outlineLevel="0" collapsed="false">
      <c r="I1560" s="41" t="str">
        <f aca="false">IF(F1560="","",IFERROR(IF(ISNUMBER(SEARCH(Assumptions!$C$5,F1560)),Assumptions!$D$5,IF(ISNUMBER(SEARCH(Assumptions!$C$6,F1560)),Assumptions!$D$6,IF(ISNUMBER(SEARCH(Assumptions!$C$7,F1560)),Assumptions!$D$7,"Other Services"))),"Other Services"))</f>
        <v/>
      </c>
    </row>
    <row r="1561" customFormat="false" ht="15" hidden="false" customHeight="false" outlineLevel="0" collapsed="false">
      <c r="I1561" s="41" t="str">
        <f aca="false">IF(F1561="","",IFERROR(IF(ISNUMBER(SEARCH(Assumptions!$C$5,F1561)),Assumptions!$D$5,IF(ISNUMBER(SEARCH(Assumptions!$C$6,F1561)),Assumptions!$D$6,IF(ISNUMBER(SEARCH(Assumptions!$C$7,F1561)),Assumptions!$D$7,"Other Services"))),"Other Services"))</f>
        <v/>
      </c>
    </row>
    <row r="1562" customFormat="false" ht="15" hidden="false" customHeight="false" outlineLevel="0" collapsed="false">
      <c r="I1562" s="41" t="str">
        <f aca="false">IF(F1562="","",IFERROR(IF(ISNUMBER(SEARCH(Assumptions!$C$5,F1562)),Assumptions!$D$5,IF(ISNUMBER(SEARCH(Assumptions!$C$6,F1562)),Assumptions!$D$6,IF(ISNUMBER(SEARCH(Assumptions!$C$7,F1562)),Assumptions!$D$7,"Other Services"))),"Other Services"))</f>
        <v/>
      </c>
    </row>
    <row r="1563" customFormat="false" ht="15" hidden="false" customHeight="false" outlineLevel="0" collapsed="false">
      <c r="I1563" s="41" t="str">
        <f aca="false">IF(F1563="","",IFERROR(IF(ISNUMBER(SEARCH(Assumptions!$C$5,F1563)),Assumptions!$D$5,IF(ISNUMBER(SEARCH(Assumptions!$C$6,F1563)),Assumptions!$D$6,IF(ISNUMBER(SEARCH(Assumptions!$C$7,F1563)),Assumptions!$D$7,"Other Services"))),"Other Services"))</f>
        <v/>
      </c>
    </row>
    <row r="1564" customFormat="false" ht="15" hidden="false" customHeight="false" outlineLevel="0" collapsed="false">
      <c r="I1564" s="41" t="str">
        <f aca="false">IF(F1564="","",IFERROR(IF(ISNUMBER(SEARCH(Assumptions!$C$5,F1564)),Assumptions!$D$5,IF(ISNUMBER(SEARCH(Assumptions!$C$6,F1564)),Assumptions!$D$6,IF(ISNUMBER(SEARCH(Assumptions!$C$7,F1564)),Assumptions!$D$7,"Other Services"))),"Other Services"))</f>
        <v/>
      </c>
    </row>
    <row r="1565" customFormat="false" ht="15" hidden="false" customHeight="false" outlineLevel="0" collapsed="false">
      <c r="I1565" s="41" t="str">
        <f aca="false">IF(F1565="","",IFERROR(IF(ISNUMBER(SEARCH(Assumptions!$C$5,F1565)),Assumptions!$D$5,IF(ISNUMBER(SEARCH(Assumptions!$C$6,F1565)),Assumptions!$D$6,IF(ISNUMBER(SEARCH(Assumptions!$C$7,F1565)),Assumptions!$D$7,"Other Services"))),"Other Services"))</f>
        <v/>
      </c>
    </row>
    <row r="1566" customFormat="false" ht="15" hidden="false" customHeight="false" outlineLevel="0" collapsed="false">
      <c r="I1566" s="41" t="str">
        <f aca="false">IF(F1566="","",IFERROR(IF(ISNUMBER(SEARCH(Assumptions!$C$5,F1566)),Assumptions!$D$5,IF(ISNUMBER(SEARCH(Assumptions!$C$6,F1566)),Assumptions!$D$6,IF(ISNUMBER(SEARCH(Assumptions!$C$7,F1566)),Assumptions!$D$7,"Other Services"))),"Other Services"))</f>
        <v/>
      </c>
    </row>
    <row r="1567" customFormat="false" ht="15" hidden="false" customHeight="false" outlineLevel="0" collapsed="false">
      <c r="I1567" s="41" t="str">
        <f aca="false">IF(F1567="","",IFERROR(IF(ISNUMBER(SEARCH(Assumptions!$C$5,F1567)),Assumptions!$D$5,IF(ISNUMBER(SEARCH(Assumptions!$C$6,F1567)),Assumptions!$D$6,IF(ISNUMBER(SEARCH(Assumptions!$C$7,F1567)),Assumptions!$D$7,"Other Services"))),"Other Services"))</f>
        <v/>
      </c>
    </row>
    <row r="1568" customFormat="false" ht="15" hidden="false" customHeight="false" outlineLevel="0" collapsed="false">
      <c r="I1568" s="41" t="str">
        <f aca="false">IF(F1568="","",IFERROR(IF(ISNUMBER(SEARCH(Assumptions!$C$5,F1568)),Assumptions!$D$5,IF(ISNUMBER(SEARCH(Assumptions!$C$6,F1568)),Assumptions!$D$6,IF(ISNUMBER(SEARCH(Assumptions!$C$7,F1568)),Assumptions!$D$7,"Other Services"))),"Other Services"))</f>
        <v/>
      </c>
    </row>
    <row r="1569" customFormat="false" ht="15" hidden="false" customHeight="false" outlineLevel="0" collapsed="false">
      <c r="I1569" s="41" t="str">
        <f aca="false">IF(F1569="","",IFERROR(IF(ISNUMBER(SEARCH(Assumptions!$C$5,F1569)),Assumptions!$D$5,IF(ISNUMBER(SEARCH(Assumptions!$C$6,F1569)),Assumptions!$D$6,IF(ISNUMBER(SEARCH(Assumptions!$C$7,F1569)),Assumptions!$D$7,"Other Services"))),"Other Services"))</f>
        <v/>
      </c>
    </row>
    <row r="1570" customFormat="false" ht="15" hidden="false" customHeight="false" outlineLevel="0" collapsed="false">
      <c r="I1570" s="41" t="str">
        <f aca="false">IF(F1570="","",IFERROR(IF(ISNUMBER(SEARCH(Assumptions!$C$5,F1570)),Assumptions!$D$5,IF(ISNUMBER(SEARCH(Assumptions!$C$6,F1570)),Assumptions!$D$6,IF(ISNUMBER(SEARCH(Assumptions!$C$7,F1570)),Assumptions!$D$7,"Other Services"))),"Other Services"))</f>
        <v/>
      </c>
    </row>
    <row r="1571" customFormat="false" ht="15" hidden="false" customHeight="false" outlineLevel="0" collapsed="false">
      <c r="I1571" s="41" t="str">
        <f aca="false">IF(F1571="","",IFERROR(IF(ISNUMBER(SEARCH(Assumptions!$C$5,F1571)),Assumptions!$D$5,IF(ISNUMBER(SEARCH(Assumptions!$C$6,F1571)),Assumptions!$D$6,IF(ISNUMBER(SEARCH(Assumptions!$C$7,F1571)),Assumptions!$D$7,"Other Services"))),"Other Services"))</f>
        <v/>
      </c>
    </row>
    <row r="1572" customFormat="false" ht="15" hidden="false" customHeight="false" outlineLevel="0" collapsed="false">
      <c r="I1572" s="41" t="str">
        <f aca="false">IF(F1572="","",IFERROR(IF(ISNUMBER(SEARCH(Assumptions!$C$5,F1572)),Assumptions!$D$5,IF(ISNUMBER(SEARCH(Assumptions!$C$6,F1572)),Assumptions!$D$6,IF(ISNUMBER(SEARCH(Assumptions!$C$7,F1572)),Assumptions!$D$7,"Other Services"))),"Other Services"))</f>
        <v/>
      </c>
    </row>
    <row r="1573" customFormat="false" ht="15" hidden="false" customHeight="false" outlineLevel="0" collapsed="false">
      <c r="I1573" s="41" t="str">
        <f aca="false">IF(F1573="","",IFERROR(IF(ISNUMBER(SEARCH(Assumptions!$C$5,F1573)),Assumptions!$D$5,IF(ISNUMBER(SEARCH(Assumptions!$C$6,F1573)),Assumptions!$D$6,IF(ISNUMBER(SEARCH(Assumptions!$C$7,F1573)),Assumptions!$D$7,"Other Services"))),"Other Services"))</f>
        <v/>
      </c>
    </row>
    <row r="1574" customFormat="false" ht="15" hidden="false" customHeight="false" outlineLevel="0" collapsed="false">
      <c r="I1574" s="41" t="str">
        <f aca="false">IF(F1574="","",IFERROR(IF(ISNUMBER(SEARCH(Assumptions!$C$5,F1574)),Assumptions!$D$5,IF(ISNUMBER(SEARCH(Assumptions!$C$6,F1574)),Assumptions!$D$6,IF(ISNUMBER(SEARCH(Assumptions!$C$7,F1574)),Assumptions!$D$7,"Other Services"))),"Other Services"))</f>
        <v/>
      </c>
    </row>
    <row r="1575" customFormat="false" ht="15" hidden="false" customHeight="false" outlineLevel="0" collapsed="false">
      <c r="I1575" s="41" t="str">
        <f aca="false">IF(F1575="","",IFERROR(IF(ISNUMBER(SEARCH(Assumptions!$C$5,F1575)),Assumptions!$D$5,IF(ISNUMBER(SEARCH(Assumptions!$C$6,F1575)),Assumptions!$D$6,IF(ISNUMBER(SEARCH(Assumptions!$C$7,F1575)),Assumptions!$D$7,"Other Services"))),"Other Services"))</f>
        <v/>
      </c>
    </row>
    <row r="1576" customFormat="false" ht="15" hidden="false" customHeight="false" outlineLevel="0" collapsed="false">
      <c r="I1576" s="41" t="str">
        <f aca="false">IF(F1576="","",IFERROR(IF(ISNUMBER(SEARCH(Assumptions!$C$5,F1576)),Assumptions!$D$5,IF(ISNUMBER(SEARCH(Assumptions!$C$6,F1576)),Assumptions!$D$6,IF(ISNUMBER(SEARCH(Assumptions!$C$7,F1576)),Assumptions!$D$7,"Other Services"))),"Other Services"))</f>
        <v/>
      </c>
    </row>
    <row r="1577" customFormat="false" ht="15" hidden="false" customHeight="false" outlineLevel="0" collapsed="false">
      <c r="I1577" s="41" t="str">
        <f aca="false">IF(F1577="","",IFERROR(IF(ISNUMBER(SEARCH(Assumptions!$C$5,F1577)),Assumptions!$D$5,IF(ISNUMBER(SEARCH(Assumptions!$C$6,F1577)),Assumptions!$D$6,IF(ISNUMBER(SEARCH(Assumptions!$C$7,F1577)),Assumptions!$D$7,"Other Services"))),"Other Services"))</f>
        <v/>
      </c>
    </row>
    <row r="1578" customFormat="false" ht="15" hidden="false" customHeight="false" outlineLevel="0" collapsed="false">
      <c r="I1578" s="41" t="str">
        <f aca="false">IF(F1578="","",IFERROR(IF(ISNUMBER(SEARCH(Assumptions!$C$5,F1578)),Assumptions!$D$5,IF(ISNUMBER(SEARCH(Assumptions!$C$6,F1578)),Assumptions!$D$6,IF(ISNUMBER(SEARCH(Assumptions!$C$7,F1578)),Assumptions!$D$7,"Other Services"))),"Other Services"))</f>
        <v/>
      </c>
    </row>
    <row r="1579" customFormat="false" ht="15" hidden="false" customHeight="false" outlineLevel="0" collapsed="false">
      <c r="I1579" s="41" t="str">
        <f aca="false">IF(F1579="","",IFERROR(IF(ISNUMBER(SEARCH(Assumptions!$C$5,F1579)),Assumptions!$D$5,IF(ISNUMBER(SEARCH(Assumptions!$C$6,F1579)),Assumptions!$D$6,IF(ISNUMBER(SEARCH(Assumptions!$C$7,F1579)),Assumptions!$D$7,"Other Services"))),"Other Services"))</f>
        <v/>
      </c>
    </row>
    <row r="1580" customFormat="false" ht="15" hidden="false" customHeight="false" outlineLevel="0" collapsed="false">
      <c r="I1580" s="41" t="str">
        <f aca="false">IF(F1580="","",IFERROR(IF(ISNUMBER(SEARCH(Assumptions!$C$5,F1580)),Assumptions!$D$5,IF(ISNUMBER(SEARCH(Assumptions!$C$6,F1580)),Assumptions!$D$6,IF(ISNUMBER(SEARCH(Assumptions!$C$7,F1580)),Assumptions!$D$7,"Other Services"))),"Other Services"))</f>
        <v/>
      </c>
    </row>
    <row r="1581" customFormat="false" ht="15" hidden="false" customHeight="false" outlineLevel="0" collapsed="false">
      <c r="I1581" s="41" t="str">
        <f aca="false">IF(F1581="","",IFERROR(IF(ISNUMBER(SEARCH(Assumptions!$C$5,F1581)),Assumptions!$D$5,IF(ISNUMBER(SEARCH(Assumptions!$C$6,F1581)),Assumptions!$D$6,IF(ISNUMBER(SEARCH(Assumptions!$C$7,F1581)),Assumptions!$D$7,"Other Services"))),"Other Services"))</f>
        <v/>
      </c>
    </row>
    <row r="1582" customFormat="false" ht="15" hidden="false" customHeight="false" outlineLevel="0" collapsed="false">
      <c r="I1582" s="41" t="str">
        <f aca="false">IF(F1582="","",IFERROR(IF(ISNUMBER(SEARCH(Assumptions!$C$5,F1582)),Assumptions!$D$5,IF(ISNUMBER(SEARCH(Assumptions!$C$6,F1582)),Assumptions!$D$6,IF(ISNUMBER(SEARCH(Assumptions!$C$7,F1582)),Assumptions!$D$7,"Other Services"))),"Other Services"))</f>
        <v/>
      </c>
    </row>
    <row r="1583" customFormat="false" ht="15" hidden="false" customHeight="false" outlineLevel="0" collapsed="false">
      <c r="I1583" s="41" t="str">
        <f aca="false">IF(F1583="","",IFERROR(IF(ISNUMBER(SEARCH(Assumptions!$C$5,F1583)),Assumptions!$D$5,IF(ISNUMBER(SEARCH(Assumptions!$C$6,F1583)),Assumptions!$D$6,IF(ISNUMBER(SEARCH(Assumptions!$C$7,F1583)),Assumptions!$D$7,"Other Services"))),"Other Services"))</f>
        <v/>
      </c>
    </row>
    <row r="1584" customFormat="false" ht="15" hidden="false" customHeight="false" outlineLevel="0" collapsed="false">
      <c r="I1584" s="41" t="str">
        <f aca="false">IF(F1584="","",IFERROR(IF(ISNUMBER(SEARCH(Assumptions!$C$5,F1584)),Assumptions!$D$5,IF(ISNUMBER(SEARCH(Assumptions!$C$6,F1584)),Assumptions!$D$6,IF(ISNUMBER(SEARCH(Assumptions!$C$7,F1584)),Assumptions!$D$7,"Other Services"))),"Other Services"))</f>
        <v/>
      </c>
    </row>
    <row r="1585" customFormat="false" ht="15" hidden="false" customHeight="false" outlineLevel="0" collapsed="false">
      <c r="I1585" s="41" t="str">
        <f aca="false">IF(F1585="","",IFERROR(IF(ISNUMBER(SEARCH(Assumptions!$C$5,F1585)),Assumptions!$D$5,IF(ISNUMBER(SEARCH(Assumptions!$C$6,F1585)),Assumptions!$D$6,IF(ISNUMBER(SEARCH(Assumptions!$C$7,F1585)),Assumptions!$D$7,"Other Services"))),"Other Services"))</f>
        <v/>
      </c>
    </row>
    <row r="1586" customFormat="false" ht="15" hidden="false" customHeight="false" outlineLevel="0" collapsed="false">
      <c r="I1586" s="41" t="str">
        <f aca="false">IF(F1586="","",IFERROR(IF(ISNUMBER(SEARCH(Assumptions!$C$5,F1586)),Assumptions!$D$5,IF(ISNUMBER(SEARCH(Assumptions!$C$6,F1586)),Assumptions!$D$6,IF(ISNUMBER(SEARCH(Assumptions!$C$7,F1586)),Assumptions!$D$7,"Other Services"))),"Other Services"))</f>
        <v/>
      </c>
    </row>
    <row r="1587" customFormat="false" ht="15" hidden="false" customHeight="false" outlineLevel="0" collapsed="false">
      <c r="I1587" s="41" t="str">
        <f aca="false">IF(F1587="","",IFERROR(IF(ISNUMBER(SEARCH(Assumptions!$C$5,F1587)),Assumptions!$D$5,IF(ISNUMBER(SEARCH(Assumptions!$C$6,F1587)),Assumptions!$D$6,IF(ISNUMBER(SEARCH(Assumptions!$C$7,F1587)),Assumptions!$D$7,"Other Services"))),"Other Services"))</f>
        <v/>
      </c>
    </row>
    <row r="1588" customFormat="false" ht="15" hidden="false" customHeight="false" outlineLevel="0" collapsed="false">
      <c r="I1588" s="41" t="str">
        <f aca="false">IF(F1588="","",IFERROR(IF(ISNUMBER(SEARCH(Assumptions!$C$5,F1588)),Assumptions!$D$5,IF(ISNUMBER(SEARCH(Assumptions!$C$6,F1588)),Assumptions!$D$6,IF(ISNUMBER(SEARCH(Assumptions!$C$7,F1588)),Assumptions!$D$7,"Other Services"))),"Other Services"))</f>
        <v/>
      </c>
    </row>
    <row r="1589" customFormat="false" ht="15" hidden="false" customHeight="false" outlineLevel="0" collapsed="false">
      <c r="I1589" s="41" t="str">
        <f aca="false">IF(F1589="","",IFERROR(IF(ISNUMBER(SEARCH(Assumptions!$C$5,F1589)),Assumptions!$D$5,IF(ISNUMBER(SEARCH(Assumptions!$C$6,F1589)),Assumptions!$D$6,IF(ISNUMBER(SEARCH(Assumptions!$C$7,F1589)),Assumptions!$D$7,"Other Services"))),"Other Services"))</f>
        <v/>
      </c>
    </row>
    <row r="1590" customFormat="false" ht="15" hidden="false" customHeight="false" outlineLevel="0" collapsed="false">
      <c r="I1590" s="41" t="str">
        <f aca="false">IF(F1590="","",IFERROR(IF(ISNUMBER(SEARCH(Assumptions!$C$5,F1590)),Assumptions!$D$5,IF(ISNUMBER(SEARCH(Assumptions!$C$6,F1590)),Assumptions!$D$6,IF(ISNUMBER(SEARCH(Assumptions!$C$7,F1590)),Assumptions!$D$7,"Other Services"))),"Other Services"))</f>
        <v/>
      </c>
    </row>
    <row r="1591" customFormat="false" ht="15" hidden="false" customHeight="false" outlineLevel="0" collapsed="false">
      <c r="I1591" s="41" t="str">
        <f aca="false">IF(F1591="","",IFERROR(IF(ISNUMBER(SEARCH(Assumptions!$C$5,F1591)),Assumptions!$D$5,IF(ISNUMBER(SEARCH(Assumptions!$C$6,F1591)),Assumptions!$D$6,IF(ISNUMBER(SEARCH(Assumptions!$C$7,F1591)),Assumptions!$D$7,"Other Services"))),"Other Services"))</f>
        <v/>
      </c>
    </row>
    <row r="1592" customFormat="false" ht="15" hidden="false" customHeight="false" outlineLevel="0" collapsed="false">
      <c r="I1592" s="41" t="str">
        <f aca="false">IF(F1592="","",IFERROR(IF(ISNUMBER(SEARCH(Assumptions!$C$5,F1592)),Assumptions!$D$5,IF(ISNUMBER(SEARCH(Assumptions!$C$6,F1592)),Assumptions!$D$6,IF(ISNUMBER(SEARCH(Assumptions!$C$7,F1592)),Assumptions!$D$7,"Other Services"))),"Other Services"))</f>
        <v/>
      </c>
    </row>
    <row r="1593" customFormat="false" ht="15" hidden="false" customHeight="false" outlineLevel="0" collapsed="false">
      <c r="I1593" s="41" t="str">
        <f aca="false">IF(F1593="","",IFERROR(IF(ISNUMBER(SEARCH(Assumptions!$C$5,F1593)),Assumptions!$D$5,IF(ISNUMBER(SEARCH(Assumptions!$C$6,F1593)),Assumptions!$D$6,IF(ISNUMBER(SEARCH(Assumptions!$C$7,F1593)),Assumptions!$D$7,"Other Services"))),"Other Services"))</f>
        <v/>
      </c>
    </row>
    <row r="1594" customFormat="false" ht="15" hidden="false" customHeight="false" outlineLevel="0" collapsed="false">
      <c r="I1594" s="41" t="str">
        <f aca="false">IF(F1594="","",IFERROR(IF(ISNUMBER(SEARCH(Assumptions!$C$5,F1594)),Assumptions!$D$5,IF(ISNUMBER(SEARCH(Assumptions!$C$6,F1594)),Assumptions!$D$6,IF(ISNUMBER(SEARCH(Assumptions!$C$7,F1594)),Assumptions!$D$7,"Other Services"))),"Other Services"))</f>
        <v/>
      </c>
    </row>
    <row r="1595" customFormat="false" ht="15" hidden="false" customHeight="false" outlineLevel="0" collapsed="false">
      <c r="I1595" s="41" t="str">
        <f aca="false">IF(F1595="","",IFERROR(IF(ISNUMBER(SEARCH(Assumptions!$C$5,F1595)),Assumptions!$D$5,IF(ISNUMBER(SEARCH(Assumptions!$C$6,F1595)),Assumptions!$D$6,IF(ISNUMBER(SEARCH(Assumptions!$C$7,F1595)),Assumptions!$D$7,"Other Services"))),"Other Services"))</f>
        <v/>
      </c>
    </row>
    <row r="1596" customFormat="false" ht="15" hidden="false" customHeight="false" outlineLevel="0" collapsed="false">
      <c r="I1596" s="41" t="str">
        <f aca="false">IF(F1596="","",IFERROR(IF(ISNUMBER(SEARCH(Assumptions!$C$5,F1596)),Assumptions!$D$5,IF(ISNUMBER(SEARCH(Assumptions!$C$6,F1596)),Assumptions!$D$6,IF(ISNUMBER(SEARCH(Assumptions!$C$7,F1596)),Assumptions!$D$7,"Other Services"))),"Other Services"))</f>
        <v/>
      </c>
    </row>
    <row r="1597" customFormat="false" ht="15" hidden="false" customHeight="false" outlineLevel="0" collapsed="false">
      <c r="I1597" s="41" t="str">
        <f aca="false">IF(F1597="","",IFERROR(IF(ISNUMBER(SEARCH(Assumptions!$C$5,F1597)),Assumptions!$D$5,IF(ISNUMBER(SEARCH(Assumptions!$C$6,F1597)),Assumptions!$D$6,IF(ISNUMBER(SEARCH(Assumptions!$C$7,F1597)),Assumptions!$D$7,"Other Services"))),"Other Services"))</f>
        <v/>
      </c>
    </row>
    <row r="1598" customFormat="false" ht="15" hidden="false" customHeight="false" outlineLevel="0" collapsed="false">
      <c r="I1598" s="41" t="str">
        <f aca="false">IF(F1598="","",IFERROR(IF(ISNUMBER(SEARCH(Assumptions!$C$5,F1598)),Assumptions!$D$5,IF(ISNUMBER(SEARCH(Assumptions!$C$6,F1598)),Assumptions!$D$6,IF(ISNUMBER(SEARCH(Assumptions!$C$7,F1598)),Assumptions!$D$7,"Other Services"))),"Other Services"))</f>
        <v/>
      </c>
    </row>
    <row r="1599" customFormat="false" ht="15" hidden="false" customHeight="false" outlineLevel="0" collapsed="false">
      <c r="I1599" s="41" t="str">
        <f aca="false">IF(F1599="","",IFERROR(IF(ISNUMBER(SEARCH(Assumptions!$C$5,F1599)),Assumptions!$D$5,IF(ISNUMBER(SEARCH(Assumptions!$C$6,F1599)),Assumptions!$D$6,IF(ISNUMBER(SEARCH(Assumptions!$C$7,F1599)),Assumptions!$D$7,"Other Services"))),"Other Services"))</f>
        <v/>
      </c>
    </row>
    <row r="1600" customFormat="false" ht="15" hidden="false" customHeight="false" outlineLevel="0" collapsed="false">
      <c r="I1600" s="41" t="str">
        <f aca="false">IF(F1600="","",IFERROR(IF(ISNUMBER(SEARCH(Assumptions!$C$5,F1600)),Assumptions!$D$5,IF(ISNUMBER(SEARCH(Assumptions!$C$6,F1600)),Assumptions!$D$6,IF(ISNUMBER(SEARCH(Assumptions!$C$7,F1600)),Assumptions!$D$7,"Other Services"))),"Other Services"))</f>
        <v/>
      </c>
    </row>
    <row r="1601" customFormat="false" ht="15" hidden="false" customHeight="false" outlineLevel="0" collapsed="false">
      <c r="I1601" s="41" t="str">
        <f aca="false">IF(F1601="","",IFERROR(IF(ISNUMBER(SEARCH(Assumptions!$C$5,F1601)),Assumptions!$D$5,IF(ISNUMBER(SEARCH(Assumptions!$C$6,F1601)),Assumptions!$D$6,IF(ISNUMBER(SEARCH(Assumptions!$C$7,F1601)),Assumptions!$D$7,"Other Services"))),"Other Services"))</f>
        <v/>
      </c>
    </row>
    <row r="1602" customFormat="false" ht="15" hidden="false" customHeight="false" outlineLevel="0" collapsed="false">
      <c r="I1602" s="41" t="str">
        <f aca="false">IF(F1602="","",IFERROR(IF(ISNUMBER(SEARCH(Assumptions!$C$5,F1602)),Assumptions!$D$5,IF(ISNUMBER(SEARCH(Assumptions!$C$6,F1602)),Assumptions!$D$6,IF(ISNUMBER(SEARCH(Assumptions!$C$7,F1602)),Assumptions!$D$7,"Other Services"))),"Other Services"))</f>
        <v/>
      </c>
    </row>
    <row r="1603" customFormat="false" ht="15" hidden="false" customHeight="false" outlineLevel="0" collapsed="false">
      <c r="I1603" s="41" t="str">
        <f aca="false">IF(F1603="","",IFERROR(IF(ISNUMBER(SEARCH(Assumptions!$C$5,F1603)),Assumptions!$D$5,IF(ISNUMBER(SEARCH(Assumptions!$C$6,F1603)),Assumptions!$D$6,IF(ISNUMBER(SEARCH(Assumptions!$C$7,F1603)),Assumptions!$D$7,"Other Services"))),"Other Services"))</f>
        <v/>
      </c>
    </row>
    <row r="1604" customFormat="false" ht="15" hidden="false" customHeight="false" outlineLevel="0" collapsed="false">
      <c r="I1604" s="41" t="str">
        <f aca="false">IF(F1604="","",IFERROR(IF(ISNUMBER(SEARCH(Assumptions!$C$5,F1604)),Assumptions!$D$5,IF(ISNUMBER(SEARCH(Assumptions!$C$6,F1604)),Assumptions!$D$6,IF(ISNUMBER(SEARCH(Assumptions!$C$7,F1604)),Assumptions!$D$7,"Other Services"))),"Other Services"))</f>
        <v/>
      </c>
    </row>
    <row r="1605" customFormat="false" ht="15" hidden="false" customHeight="false" outlineLevel="0" collapsed="false">
      <c r="I1605" s="41" t="str">
        <f aca="false">IF(F1605="","",IFERROR(IF(ISNUMBER(SEARCH(Assumptions!$C$5,F1605)),Assumptions!$D$5,IF(ISNUMBER(SEARCH(Assumptions!$C$6,F1605)),Assumptions!$D$6,IF(ISNUMBER(SEARCH(Assumptions!$C$7,F1605)),Assumptions!$D$7,"Other Services"))),"Other Services"))</f>
        <v/>
      </c>
    </row>
    <row r="1606" customFormat="false" ht="15" hidden="false" customHeight="false" outlineLevel="0" collapsed="false">
      <c r="I1606" s="41" t="str">
        <f aca="false">IF(F1606="","",IFERROR(IF(ISNUMBER(SEARCH(Assumptions!$C$5,F1606)),Assumptions!$D$5,IF(ISNUMBER(SEARCH(Assumptions!$C$6,F1606)),Assumptions!$D$6,IF(ISNUMBER(SEARCH(Assumptions!$C$7,F1606)),Assumptions!$D$7,"Other Services"))),"Other Services"))</f>
        <v/>
      </c>
    </row>
    <row r="1607" customFormat="false" ht="15" hidden="false" customHeight="false" outlineLevel="0" collapsed="false">
      <c r="I1607" s="41" t="str">
        <f aca="false">IF(F1607="","",IFERROR(IF(ISNUMBER(SEARCH(Assumptions!$C$5,F1607)),Assumptions!$D$5,IF(ISNUMBER(SEARCH(Assumptions!$C$6,F1607)),Assumptions!$D$6,IF(ISNUMBER(SEARCH(Assumptions!$C$7,F1607)),Assumptions!$D$7,"Other Services"))),"Other Services"))</f>
        <v/>
      </c>
    </row>
    <row r="1608" customFormat="false" ht="15" hidden="false" customHeight="false" outlineLevel="0" collapsed="false">
      <c r="I1608" s="41" t="str">
        <f aca="false">IF(F1608="","",IFERROR(IF(ISNUMBER(SEARCH(Assumptions!$C$5,F1608)),Assumptions!$D$5,IF(ISNUMBER(SEARCH(Assumptions!$C$6,F1608)),Assumptions!$D$6,IF(ISNUMBER(SEARCH(Assumptions!$C$7,F1608)),Assumptions!$D$7,"Other Services"))),"Other Services"))</f>
        <v/>
      </c>
    </row>
    <row r="1609" customFormat="false" ht="15" hidden="false" customHeight="false" outlineLevel="0" collapsed="false">
      <c r="I1609" s="41" t="str">
        <f aca="false">IF(F1609="","",IFERROR(IF(ISNUMBER(SEARCH(Assumptions!$C$5,F1609)),Assumptions!$D$5,IF(ISNUMBER(SEARCH(Assumptions!$C$6,F1609)),Assumptions!$D$6,IF(ISNUMBER(SEARCH(Assumptions!$C$7,F1609)),Assumptions!$D$7,"Other Services"))),"Other Services"))</f>
        <v/>
      </c>
    </row>
    <row r="1610" customFormat="false" ht="15" hidden="false" customHeight="false" outlineLevel="0" collapsed="false">
      <c r="I1610" s="41" t="str">
        <f aca="false">IF(F1610="","",IFERROR(IF(ISNUMBER(SEARCH(Assumptions!$C$5,F1610)),Assumptions!$D$5,IF(ISNUMBER(SEARCH(Assumptions!$C$6,F1610)),Assumptions!$D$6,IF(ISNUMBER(SEARCH(Assumptions!$C$7,F1610)),Assumptions!$D$7,"Other Services"))),"Other Services"))</f>
        <v/>
      </c>
    </row>
    <row r="1611" customFormat="false" ht="15" hidden="false" customHeight="false" outlineLevel="0" collapsed="false">
      <c r="I1611" s="41" t="str">
        <f aca="false">IF(F1611="","",IFERROR(IF(ISNUMBER(SEARCH(Assumptions!$C$5,F1611)),Assumptions!$D$5,IF(ISNUMBER(SEARCH(Assumptions!$C$6,F1611)),Assumptions!$D$6,IF(ISNUMBER(SEARCH(Assumptions!$C$7,F1611)),Assumptions!$D$7,"Other Services"))),"Other Services"))</f>
        <v/>
      </c>
    </row>
    <row r="1612" customFormat="false" ht="15" hidden="false" customHeight="false" outlineLevel="0" collapsed="false">
      <c r="I1612" s="41" t="str">
        <f aca="false">IF(F1612="","",IFERROR(IF(ISNUMBER(SEARCH(Assumptions!$C$5,F1612)),Assumptions!$D$5,IF(ISNUMBER(SEARCH(Assumptions!$C$6,F1612)),Assumptions!$D$6,IF(ISNUMBER(SEARCH(Assumptions!$C$7,F1612)),Assumptions!$D$7,"Other Services"))),"Other Services"))</f>
        <v/>
      </c>
    </row>
    <row r="1613" customFormat="false" ht="15" hidden="false" customHeight="false" outlineLevel="0" collapsed="false">
      <c r="I1613" s="41" t="str">
        <f aca="false">IF(F1613="","",IFERROR(IF(ISNUMBER(SEARCH(Assumptions!$C$5,F1613)),Assumptions!$D$5,IF(ISNUMBER(SEARCH(Assumptions!$C$6,F1613)),Assumptions!$D$6,IF(ISNUMBER(SEARCH(Assumptions!$C$7,F1613)),Assumptions!$D$7,"Other Services"))),"Other Services"))</f>
        <v/>
      </c>
    </row>
    <row r="1614" customFormat="false" ht="15" hidden="false" customHeight="false" outlineLevel="0" collapsed="false">
      <c r="I1614" s="41" t="str">
        <f aca="false">IF(F1614="","",IFERROR(IF(ISNUMBER(SEARCH(Assumptions!$C$5,F1614)),Assumptions!$D$5,IF(ISNUMBER(SEARCH(Assumptions!$C$6,F1614)),Assumptions!$D$6,IF(ISNUMBER(SEARCH(Assumptions!$C$7,F1614)),Assumptions!$D$7,"Other Services"))),"Other Services"))</f>
        <v/>
      </c>
    </row>
    <row r="1615" customFormat="false" ht="15" hidden="false" customHeight="false" outlineLevel="0" collapsed="false">
      <c r="I1615" s="41" t="str">
        <f aca="false">IF(F1615="","",IFERROR(IF(ISNUMBER(SEARCH(Assumptions!$C$5,F1615)),Assumptions!$D$5,IF(ISNUMBER(SEARCH(Assumptions!$C$6,F1615)),Assumptions!$D$6,IF(ISNUMBER(SEARCH(Assumptions!$C$7,F1615)),Assumptions!$D$7,"Other Services"))),"Other Services"))</f>
        <v/>
      </c>
    </row>
    <row r="1616" customFormat="false" ht="15" hidden="false" customHeight="false" outlineLevel="0" collapsed="false">
      <c r="I1616" s="41" t="str">
        <f aca="false">IF(F1616="","",IFERROR(IF(ISNUMBER(SEARCH(Assumptions!$C$5,F1616)),Assumptions!$D$5,IF(ISNUMBER(SEARCH(Assumptions!$C$6,F1616)),Assumptions!$D$6,IF(ISNUMBER(SEARCH(Assumptions!$C$7,F1616)),Assumptions!$D$7,"Other Services"))),"Other Services"))</f>
        <v/>
      </c>
    </row>
    <row r="1617" customFormat="false" ht="15" hidden="false" customHeight="false" outlineLevel="0" collapsed="false">
      <c r="I1617" s="41" t="str">
        <f aca="false">IF(F1617="","",IFERROR(IF(ISNUMBER(SEARCH(Assumptions!$C$5,F1617)),Assumptions!$D$5,IF(ISNUMBER(SEARCH(Assumptions!$C$6,F1617)),Assumptions!$D$6,IF(ISNUMBER(SEARCH(Assumptions!$C$7,F1617)),Assumptions!$D$7,"Other Services"))),"Other Services"))</f>
        <v/>
      </c>
    </row>
    <row r="1618" customFormat="false" ht="15" hidden="false" customHeight="false" outlineLevel="0" collapsed="false">
      <c r="I1618" s="41" t="str">
        <f aca="false">IF(F1618="","",IFERROR(IF(ISNUMBER(SEARCH(Assumptions!$C$5,F1618)),Assumptions!$D$5,IF(ISNUMBER(SEARCH(Assumptions!$C$6,F1618)),Assumptions!$D$6,IF(ISNUMBER(SEARCH(Assumptions!$C$7,F1618)),Assumptions!$D$7,"Other Services"))),"Other Services"))</f>
        <v/>
      </c>
    </row>
    <row r="1619" customFormat="false" ht="15" hidden="false" customHeight="false" outlineLevel="0" collapsed="false">
      <c r="I1619" s="41" t="str">
        <f aca="false">IF(F1619="","",IFERROR(IF(ISNUMBER(SEARCH(Assumptions!$C$5,F1619)),Assumptions!$D$5,IF(ISNUMBER(SEARCH(Assumptions!$C$6,F1619)),Assumptions!$D$6,IF(ISNUMBER(SEARCH(Assumptions!$C$7,F1619)),Assumptions!$D$7,"Other Services"))),"Other Services"))</f>
        <v/>
      </c>
    </row>
    <row r="1620" customFormat="false" ht="15" hidden="false" customHeight="false" outlineLevel="0" collapsed="false">
      <c r="I1620" s="41" t="str">
        <f aca="false">IF(F1620="","",IFERROR(IF(ISNUMBER(SEARCH(Assumptions!$C$5,F1620)),Assumptions!$D$5,IF(ISNUMBER(SEARCH(Assumptions!$C$6,F1620)),Assumptions!$D$6,IF(ISNUMBER(SEARCH(Assumptions!$C$7,F1620)),Assumptions!$D$7,"Other Services"))),"Other Services"))</f>
        <v/>
      </c>
    </row>
    <row r="1621" customFormat="false" ht="15" hidden="false" customHeight="false" outlineLevel="0" collapsed="false">
      <c r="I1621" s="41" t="str">
        <f aca="false">IF(F1621="","",IFERROR(IF(ISNUMBER(SEARCH(Assumptions!$C$5,F1621)),Assumptions!$D$5,IF(ISNUMBER(SEARCH(Assumptions!$C$6,F1621)),Assumptions!$D$6,IF(ISNUMBER(SEARCH(Assumptions!$C$7,F1621)),Assumptions!$D$7,"Other Services"))),"Other Services"))</f>
        <v/>
      </c>
    </row>
    <row r="1622" customFormat="false" ht="15" hidden="false" customHeight="false" outlineLevel="0" collapsed="false">
      <c r="I1622" s="41" t="str">
        <f aca="false">IF(F1622="","",IFERROR(IF(ISNUMBER(SEARCH(Assumptions!$C$5,F1622)),Assumptions!$D$5,IF(ISNUMBER(SEARCH(Assumptions!$C$6,F1622)),Assumptions!$D$6,IF(ISNUMBER(SEARCH(Assumptions!$C$7,F1622)),Assumptions!$D$7,"Other Services"))),"Other Services"))</f>
        <v/>
      </c>
    </row>
    <row r="1623" customFormat="false" ht="15" hidden="false" customHeight="false" outlineLevel="0" collapsed="false">
      <c r="I1623" s="41" t="str">
        <f aca="false">IF(F1623="","",IFERROR(IF(ISNUMBER(SEARCH(Assumptions!$C$5,F1623)),Assumptions!$D$5,IF(ISNUMBER(SEARCH(Assumptions!$C$6,F1623)),Assumptions!$D$6,IF(ISNUMBER(SEARCH(Assumptions!$C$7,F1623)),Assumptions!$D$7,"Other Services"))),"Other Services"))</f>
        <v/>
      </c>
    </row>
    <row r="1624" customFormat="false" ht="15" hidden="false" customHeight="false" outlineLevel="0" collapsed="false">
      <c r="I1624" s="41" t="str">
        <f aca="false">IF(F1624="","",IFERROR(IF(ISNUMBER(SEARCH(Assumptions!$C$5,F1624)),Assumptions!$D$5,IF(ISNUMBER(SEARCH(Assumptions!$C$6,F1624)),Assumptions!$D$6,IF(ISNUMBER(SEARCH(Assumptions!$C$7,F1624)),Assumptions!$D$7,"Other Services"))),"Other Services"))</f>
        <v/>
      </c>
    </row>
    <row r="1625" customFormat="false" ht="15" hidden="false" customHeight="false" outlineLevel="0" collapsed="false">
      <c r="I1625" s="41" t="str">
        <f aca="false">IF(F1625="","",IFERROR(IF(ISNUMBER(SEARCH(Assumptions!$C$5,F1625)),Assumptions!$D$5,IF(ISNUMBER(SEARCH(Assumptions!$C$6,F1625)),Assumptions!$D$6,IF(ISNUMBER(SEARCH(Assumptions!$C$7,F1625)),Assumptions!$D$7,"Other Services"))),"Other Services"))</f>
        <v/>
      </c>
    </row>
    <row r="1626" customFormat="false" ht="15" hidden="false" customHeight="false" outlineLevel="0" collapsed="false">
      <c r="I1626" s="41" t="str">
        <f aca="false">IF(F1626="","",IFERROR(IF(ISNUMBER(SEARCH(Assumptions!$C$5,F1626)),Assumptions!$D$5,IF(ISNUMBER(SEARCH(Assumptions!$C$6,F1626)),Assumptions!$D$6,IF(ISNUMBER(SEARCH(Assumptions!$C$7,F1626)),Assumptions!$D$7,"Other Services"))),"Other Services"))</f>
        <v/>
      </c>
    </row>
    <row r="1627" customFormat="false" ht="15" hidden="false" customHeight="false" outlineLevel="0" collapsed="false">
      <c r="I1627" s="41" t="str">
        <f aca="false">IF(F1627="","",IFERROR(IF(ISNUMBER(SEARCH(Assumptions!$C$5,F1627)),Assumptions!$D$5,IF(ISNUMBER(SEARCH(Assumptions!$C$6,F1627)),Assumptions!$D$6,IF(ISNUMBER(SEARCH(Assumptions!$C$7,F1627)),Assumptions!$D$7,"Other Services"))),"Other Services"))</f>
        <v/>
      </c>
    </row>
    <row r="1628" customFormat="false" ht="15" hidden="false" customHeight="false" outlineLevel="0" collapsed="false">
      <c r="I1628" s="41" t="str">
        <f aca="false">IF(F1628="","",IFERROR(IF(ISNUMBER(SEARCH(Assumptions!$C$5,F1628)),Assumptions!$D$5,IF(ISNUMBER(SEARCH(Assumptions!$C$6,F1628)),Assumptions!$D$6,IF(ISNUMBER(SEARCH(Assumptions!$C$7,F1628)),Assumptions!$D$7,"Other Services"))),"Other Services"))</f>
        <v/>
      </c>
    </row>
    <row r="1629" customFormat="false" ht="15" hidden="false" customHeight="false" outlineLevel="0" collapsed="false">
      <c r="I1629" s="41" t="str">
        <f aca="false">IF(F1629="","",IFERROR(IF(ISNUMBER(SEARCH(Assumptions!$C$5,F1629)),Assumptions!$D$5,IF(ISNUMBER(SEARCH(Assumptions!$C$6,F1629)),Assumptions!$D$6,IF(ISNUMBER(SEARCH(Assumptions!$C$7,F1629)),Assumptions!$D$7,"Other Services"))),"Other Services"))</f>
        <v/>
      </c>
    </row>
    <row r="1630" customFormat="false" ht="15" hidden="false" customHeight="false" outlineLevel="0" collapsed="false">
      <c r="I1630" s="41" t="str">
        <f aca="false">IF(F1630="","",IFERROR(IF(ISNUMBER(SEARCH(Assumptions!$C$5,F1630)),Assumptions!$D$5,IF(ISNUMBER(SEARCH(Assumptions!$C$6,F1630)),Assumptions!$D$6,IF(ISNUMBER(SEARCH(Assumptions!$C$7,F1630)),Assumptions!$D$7,"Other Services"))),"Other Services"))</f>
        <v/>
      </c>
    </row>
    <row r="1631" customFormat="false" ht="15" hidden="false" customHeight="false" outlineLevel="0" collapsed="false">
      <c r="I1631" s="41" t="str">
        <f aca="false">IF(F1631="","",IFERROR(IF(ISNUMBER(SEARCH(Assumptions!$C$5,F1631)),Assumptions!$D$5,IF(ISNUMBER(SEARCH(Assumptions!$C$6,F1631)),Assumptions!$D$6,IF(ISNUMBER(SEARCH(Assumptions!$C$7,F1631)),Assumptions!$D$7,"Other Services"))),"Other Services"))</f>
        <v/>
      </c>
    </row>
    <row r="1632" customFormat="false" ht="15" hidden="false" customHeight="false" outlineLevel="0" collapsed="false">
      <c r="I1632" s="41" t="str">
        <f aca="false">IF(F1632="","",IFERROR(IF(ISNUMBER(SEARCH(Assumptions!$C$5,F1632)),Assumptions!$D$5,IF(ISNUMBER(SEARCH(Assumptions!$C$6,F1632)),Assumptions!$D$6,IF(ISNUMBER(SEARCH(Assumptions!$C$7,F1632)),Assumptions!$D$7,"Other Services"))),"Other Services"))</f>
        <v/>
      </c>
    </row>
    <row r="1633" customFormat="false" ht="15" hidden="false" customHeight="false" outlineLevel="0" collapsed="false">
      <c r="I1633" s="41" t="str">
        <f aca="false">IF(F1633="","",IFERROR(IF(ISNUMBER(SEARCH(Assumptions!$C$5,F1633)),Assumptions!$D$5,IF(ISNUMBER(SEARCH(Assumptions!$C$6,F1633)),Assumptions!$D$6,IF(ISNUMBER(SEARCH(Assumptions!$C$7,F1633)),Assumptions!$D$7,"Other Services"))),"Other Services"))</f>
        <v/>
      </c>
    </row>
    <row r="1634" customFormat="false" ht="15" hidden="false" customHeight="false" outlineLevel="0" collapsed="false">
      <c r="I1634" s="41" t="str">
        <f aca="false">IF(F1634="","",IFERROR(IF(ISNUMBER(SEARCH(Assumptions!$C$5,F1634)),Assumptions!$D$5,IF(ISNUMBER(SEARCH(Assumptions!$C$6,F1634)),Assumptions!$D$6,IF(ISNUMBER(SEARCH(Assumptions!$C$7,F1634)),Assumptions!$D$7,"Other Services"))),"Other Services"))</f>
        <v/>
      </c>
    </row>
    <row r="1635" customFormat="false" ht="15" hidden="false" customHeight="false" outlineLevel="0" collapsed="false">
      <c r="I1635" s="41" t="str">
        <f aca="false">IF(F1635="","",IFERROR(IF(ISNUMBER(SEARCH(Assumptions!$C$5,F1635)),Assumptions!$D$5,IF(ISNUMBER(SEARCH(Assumptions!$C$6,F1635)),Assumptions!$D$6,IF(ISNUMBER(SEARCH(Assumptions!$C$7,F1635)),Assumptions!$D$7,"Other Services"))),"Other Services"))</f>
        <v/>
      </c>
    </row>
    <row r="1636" customFormat="false" ht="15" hidden="false" customHeight="false" outlineLevel="0" collapsed="false">
      <c r="I1636" s="41" t="str">
        <f aca="false">IF(F1636="","",IFERROR(IF(ISNUMBER(SEARCH(Assumptions!$C$5,F1636)),Assumptions!$D$5,IF(ISNUMBER(SEARCH(Assumptions!$C$6,F1636)),Assumptions!$D$6,IF(ISNUMBER(SEARCH(Assumptions!$C$7,F1636)),Assumptions!$D$7,"Other Services"))),"Other Services"))</f>
        <v/>
      </c>
    </row>
    <row r="1637" customFormat="false" ht="15" hidden="false" customHeight="false" outlineLevel="0" collapsed="false">
      <c r="I1637" s="41" t="str">
        <f aca="false">IF(F1637="","",IFERROR(IF(ISNUMBER(SEARCH(Assumptions!$C$5,F1637)),Assumptions!$D$5,IF(ISNUMBER(SEARCH(Assumptions!$C$6,F1637)),Assumptions!$D$6,IF(ISNUMBER(SEARCH(Assumptions!$C$7,F1637)),Assumptions!$D$7,"Other Services"))),"Other Services"))</f>
        <v/>
      </c>
    </row>
    <row r="1638" customFormat="false" ht="15" hidden="false" customHeight="false" outlineLevel="0" collapsed="false">
      <c r="I1638" s="41" t="str">
        <f aca="false">IF(F1638="","",IFERROR(IF(ISNUMBER(SEARCH(Assumptions!$C$5,F1638)),Assumptions!$D$5,IF(ISNUMBER(SEARCH(Assumptions!$C$6,F1638)),Assumptions!$D$6,IF(ISNUMBER(SEARCH(Assumptions!$C$7,F1638)),Assumptions!$D$7,"Other Services"))),"Other Services"))</f>
        <v/>
      </c>
    </row>
    <row r="1639" customFormat="false" ht="15" hidden="false" customHeight="false" outlineLevel="0" collapsed="false">
      <c r="I1639" s="41" t="str">
        <f aca="false">IF(F1639="","",IFERROR(IF(ISNUMBER(SEARCH(Assumptions!$C$5,F1639)),Assumptions!$D$5,IF(ISNUMBER(SEARCH(Assumptions!$C$6,F1639)),Assumptions!$D$6,IF(ISNUMBER(SEARCH(Assumptions!$C$7,F1639)),Assumptions!$D$7,"Other Services"))),"Other Services"))</f>
        <v/>
      </c>
    </row>
    <row r="1640" customFormat="false" ht="15" hidden="false" customHeight="false" outlineLevel="0" collapsed="false">
      <c r="I1640" s="41" t="str">
        <f aca="false">IF(F1640="","",IFERROR(IF(ISNUMBER(SEARCH(Assumptions!$C$5,F1640)),Assumptions!$D$5,IF(ISNUMBER(SEARCH(Assumptions!$C$6,F1640)),Assumptions!$D$6,IF(ISNUMBER(SEARCH(Assumptions!$C$7,F1640)),Assumptions!$D$7,"Other Services"))),"Other Services"))</f>
        <v/>
      </c>
    </row>
    <row r="1641" customFormat="false" ht="15" hidden="false" customHeight="false" outlineLevel="0" collapsed="false">
      <c r="I1641" s="41" t="str">
        <f aca="false">IF(F1641="","",IFERROR(IF(ISNUMBER(SEARCH(Assumptions!$C$5,F1641)),Assumptions!$D$5,IF(ISNUMBER(SEARCH(Assumptions!$C$6,F1641)),Assumptions!$D$6,IF(ISNUMBER(SEARCH(Assumptions!$C$7,F1641)),Assumptions!$D$7,"Other Services"))),"Other Services"))</f>
        <v/>
      </c>
    </row>
    <row r="1642" customFormat="false" ht="15" hidden="false" customHeight="false" outlineLevel="0" collapsed="false">
      <c r="I1642" s="41" t="str">
        <f aca="false">IF(F1642="","",IFERROR(IF(ISNUMBER(SEARCH(Assumptions!$C$5,F1642)),Assumptions!$D$5,IF(ISNUMBER(SEARCH(Assumptions!$C$6,F1642)),Assumptions!$D$6,IF(ISNUMBER(SEARCH(Assumptions!$C$7,F1642)),Assumptions!$D$7,"Other Services"))),"Other Services"))</f>
        <v/>
      </c>
    </row>
    <row r="1643" customFormat="false" ht="15" hidden="false" customHeight="false" outlineLevel="0" collapsed="false">
      <c r="I1643" s="41" t="str">
        <f aca="false">IF(F1643="","",IFERROR(IF(ISNUMBER(SEARCH(Assumptions!$C$5,F1643)),Assumptions!$D$5,IF(ISNUMBER(SEARCH(Assumptions!$C$6,F1643)),Assumptions!$D$6,IF(ISNUMBER(SEARCH(Assumptions!$C$7,F1643)),Assumptions!$D$7,"Other Services"))),"Other Services"))</f>
        <v/>
      </c>
    </row>
    <row r="1644" customFormat="false" ht="15" hidden="false" customHeight="false" outlineLevel="0" collapsed="false">
      <c r="I1644" s="41" t="str">
        <f aca="false">IF(F1644="","",IFERROR(IF(ISNUMBER(SEARCH(Assumptions!$C$5,F1644)),Assumptions!$D$5,IF(ISNUMBER(SEARCH(Assumptions!$C$6,F1644)),Assumptions!$D$6,IF(ISNUMBER(SEARCH(Assumptions!$C$7,F1644)),Assumptions!$D$7,"Other Services"))),"Other Services"))</f>
        <v/>
      </c>
    </row>
    <row r="1645" customFormat="false" ht="15" hidden="false" customHeight="false" outlineLevel="0" collapsed="false">
      <c r="I1645" s="41" t="str">
        <f aca="false">IF(F1645="","",IFERROR(IF(ISNUMBER(SEARCH(Assumptions!$C$5,F1645)),Assumptions!$D$5,IF(ISNUMBER(SEARCH(Assumptions!$C$6,F1645)),Assumptions!$D$6,IF(ISNUMBER(SEARCH(Assumptions!$C$7,F1645)),Assumptions!$D$7,"Other Services"))),"Other Services"))</f>
        <v/>
      </c>
    </row>
    <row r="1646" customFormat="false" ht="15" hidden="false" customHeight="false" outlineLevel="0" collapsed="false">
      <c r="I1646" s="41" t="str">
        <f aca="false">IF(F1646="","",IFERROR(IF(ISNUMBER(SEARCH(Assumptions!$C$5,F1646)),Assumptions!$D$5,IF(ISNUMBER(SEARCH(Assumptions!$C$6,F1646)),Assumptions!$D$6,IF(ISNUMBER(SEARCH(Assumptions!$C$7,F1646)),Assumptions!$D$7,"Other Services"))),"Other Services"))</f>
        <v/>
      </c>
    </row>
    <row r="1647" customFormat="false" ht="15" hidden="false" customHeight="false" outlineLevel="0" collapsed="false">
      <c r="I1647" s="41" t="str">
        <f aca="false">IF(F1647="","",IFERROR(IF(ISNUMBER(SEARCH(Assumptions!$C$5,F1647)),Assumptions!$D$5,IF(ISNUMBER(SEARCH(Assumptions!$C$6,F1647)),Assumptions!$D$6,IF(ISNUMBER(SEARCH(Assumptions!$C$7,F1647)),Assumptions!$D$7,"Other Services"))),"Other Services"))</f>
        <v/>
      </c>
    </row>
    <row r="1648" customFormat="false" ht="15" hidden="false" customHeight="false" outlineLevel="0" collapsed="false">
      <c r="I1648" s="41" t="str">
        <f aca="false">IF(F1648="","",IFERROR(IF(ISNUMBER(SEARCH(Assumptions!$C$5,F1648)),Assumptions!$D$5,IF(ISNUMBER(SEARCH(Assumptions!$C$6,F1648)),Assumptions!$D$6,IF(ISNUMBER(SEARCH(Assumptions!$C$7,F1648)),Assumptions!$D$7,"Other Services"))),"Other Services"))</f>
        <v/>
      </c>
    </row>
    <row r="1649" customFormat="false" ht="15" hidden="false" customHeight="false" outlineLevel="0" collapsed="false">
      <c r="I1649" s="41" t="str">
        <f aca="false">IF(F1649="","",IFERROR(IF(ISNUMBER(SEARCH(Assumptions!$C$5,F1649)),Assumptions!$D$5,IF(ISNUMBER(SEARCH(Assumptions!$C$6,F1649)),Assumptions!$D$6,IF(ISNUMBER(SEARCH(Assumptions!$C$7,F1649)),Assumptions!$D$7,"Other Services"))),"Other Services"))</f>
        <v/>
      </c>
    </row>
    <row r="1650" customFormat="false" ht="15" hidden="false" customHeight="false" outlineLevel="0" collapsed="false">
      <c r="I1650" s="41" t="str">
        <f aca="false">IF(F1650="","",IFERROR(IF(ISNUMBER(SEARCH(Assumptions!$C$5,F1650)),Assumptions!$D$5,IF(ISNUMBER(SEARCH(Assumptions!$C$6,F1650)),Assumptions!$D$6,IF(ISNUMBER(SEARCH(Assumptions!$C$7,F1650)),Assumptions!$D$7,"Other Services"))),"Other Services"))</f>
        <v/>
      </c>
    </row>
    <row r="1651" customFormat="false" ht="15" hidden="false" customHeight="false" outlineLevel="0" collapsed="false">
      <c r="I1651" s="41" t="str">
        <f aca="false">IF(F1651="","",IFERROR(IF(ISNUMBER(SEARCH(Assumptions!$C$5,F1651)),Assumptions!$D$5,IF(ISNUMBER(SEARCH(Assumptions!$C$6,F1651)),Assumptions!$D$6,IF(ISNUMBER(SEARCH(Assumptions!$C$7,F1651)),Assumptions!$D$7,"Other Services"))),"Other Services"))</f>
        <v/>
      </c>
    </row>
    <row r="1652" customFormat="false" ht="15" hidden="false" customHeight="false" outlineLevel="0" collapsed="false">
      <c r="I1652" s="41" t="str">
        <f aca="false">IF(F1652="","",IFERROR(IF(ISNUMBER(SEARCH(Assumptions!$C$5,F1652)),Assumptions!$D$5,IF(ISNUMBER(SEARCH(Assumptions!$C$6,F1652)),Assumptions!$D$6,IF(ISNUMBER(SEARCH(Assumptions!$C$7,F1652)),Assumptions!$D$7,"Other Services"))),"Other Services"))</f>
        <v/>
      </c>
    </row>
    <row r="1653" customFormat="false" ht="15" hidden="false" customHeight="false" outlineLevel="0" collapsed="false">
      <c r="I1653" s="41" t="str">
        <f aca="false">IF(F1653="","",IFERROR(IF(ISNUMBER(SEARCH(Assumptions!$C$5,F1653)),Assumptions!$D$5,IF(ISNUMBER(SEARCH(Assumptions!$C$6,F1653)),Assumptions!$D$6,IF(ISNUMBER(SEARCH(Assumptions!$C$7,F1653)),Assumptions!$D$7,"Other Services"))),"Other Services"))</f>
        <v/>
      </c>
    </row>
    <row r="1654" customFormat="false" ht="15" hidden="false" customHeight="false" outlineLevel="0" collapsed="false">
      <c r="I1654" s="41" t="str">
        <f aca="false">IF(F1654="","",IFERROR(IF(ISNUMBER(SEARCH(Assumptions!$C$5,F1654)),Assumptions!$D$5,IF(ISNUMBER(SEARCH(Assumptions!$C$6,F1654)),Assumptions!$D$6,IF(ISNUMBER(SEARCH(Assumptions!$C$7,F1654)),Assumptions!$D$7,"Other Services"))),"Other Services"))</f>
        <v/>
      </c>
    </row>
    <row r="1655" customFormat="false" ht="15" hidden="false" customHeight="false" outlineLevel="0" collapsed="false">
      <c r="I1655" s="41" t="str">
        <f aca="false">IF(F1655="","",IFERROR(IF(ISNUMBER(SEARCH(Assumptions!$C$5,F1655)),Assumptions!$D$5,IF(ISNUMBER(SEARCH(Assumptions!$C$6,F1655)),Assumptions!$D$6,IF(ISNUMBER(SEARCH(Assumptions!$C$7,F1655)),Assumptions!$D$7,"Other Services"))),"Other Services"))</f>
        <v/>
      </c>
    </row>
    <row r="1656" customFormat="false" ht="15" hidden="false" customHeight="false" outlineLevel="0" collapsed="false">
      <c r="I1656" s="41" t="str">
        <f aca="false">IF(F1656="","",IFERROR(IF(ISNUMBER(SEARCH(Assumptions!$C$5,F1656)),Assumptions!$D$5,IF(ISNUMBER(SEARCH(Assumptions!$C$6,F1656)),Assumptions!$D$6,IF(ISNUMBER(SEARCH(Assumptions!$C$7,F1656)),Assumptions!$D$7,"Other Services"))),"Other Services"))</f>
        <v/>
      </c>
    </row>
    <row r="1657" customFormat="false" ht="15" hidden="false" customHeight="false" outlineLevel="0" collapsed="false">
      <c r="I1657" s="41" t="str">
        <f aca="false">IF(F1657="","",IFERROR(IF(ISNUMBER(SEARCH(Assumptions!$C$5,F1657)),Assumptions!$D$5,IF(ISNUMBER(SEARCH(Assumptions!$C$6,F1657)),Assumptions!$D$6,IF(ISNUMBER(SEARCH(Assumptions!$C$7,F1657)),Assumptions!$D$7,"Other Services"))),"Other Services"))</f>
        <v/>
      </c>
    </row>
    <row r="1658" customFormat="false" ht="15" hidden="false" customHeight="false" outlineLevel="0" collapsed="false">
      <c r="I1658" s="41" t="str">
        <f aca="false">IF(F1658="","",IFERROR(IF(ISNUMBER(SEARCH(Assumptions!$C$5,F1658)),Assumptions!$D$5,IF(ISNUMBER(SEARCH(Assumptions!$C$6,F1658)),Assumptions!$D$6,IF(ISNUMBER(SEARCH(Assumptions!$C$7,F1658)),Assumptions!$D$7,"Other Services"))),"Other Services"))</f>
        <v/>
      </c>
    </row>
    <row r="1659" customFormat="false" ht="15" hidden="false" customHeight="false" outlineLevel="0" collapsed="false">
      <c r="I1659" s="41" t="str">
        <f aca="false">IF(F1659="","",IFERROR(IF(ISNUMBER(SEARCH(Assumptions!$C$5,F1659)),Assumptions!$D$5,IF(ISNUMBER(SEARCH(Assumptions!$C$6,F1659)),Assumptions!$D$6,IF(ISNUMBER(SEARCH(Assumptions!$C$7,F1659)),Assumptions!$D$7,"Other Services"))),"Other Services"))</f>
        <v/>
      </c>
    </row>
    <row r="1660" customFormat="false" ht="15" hidden="false" customHeight="false" outlineLevel="0" collapsed="false">
      <c r="I1660" s="41" t="str">
        <f aca="false">IF(F1660="","",IFERROR(IF(ISNUMBER(SEARCH(Assumptions!$C$5,F1660)),Assumptions!$D$5,IF(ISNUMBER(SEARCH(Assumptions!$C$6,F1660)),Assumptions!$D$6,IF(ISNUMBER(SEARCH(Assumptions!$C$7,F1660)),Assumptions!$D$7,"Other Services"))),"Other Services"))</f>
        <v/>
      </c>
    </row>
    <row r="1661" customFormat="false" ht="15" hidden="false" customHeight="false" outlineLevel="0" collapsed="false">
      <c r="I1661" s="41" t="str">
        <f aca="false">IF(F1661="","",IFERROR(IF(ISNUMBER(SEARCH(Assumptions!$C$5,F1661)),Assumptions!$D$5,IF(ISNUMBER(SEARCH(Assumptions!$C$6,F1661)),Assumptions!$D$6,IF(ISNUMBER(SEARCH(Assumptions!$C$7,F1661)),Assumptions!$D$7,"Other Services"))),"Other Services"))</f>
        <v/>
      </c>
    </row>
    <row r="1662" customFormat="false" ht="15" hidden="false" customHeight="false" outlineLevel="0" collapsed="false">
      <c r="I1662" s="41" t="str">
        <f aca="false">IF(F1662="","",IFERROR(IF(ISNUMBER(SEARCH(Assumptions!$C$5,F1662)),Assumptions!$D$5,IF(ISNUMBER(SEARCH(Assumptions!$C$6,F1662)),Assumptions!$D$6,IF(ISNUMBER(SEARCH(Assumptions!$C$7,F1662)),Assumptions!$D$7,"Other Services"))),"Other Services"))</f>
        <v/>
      </c>
    </row>
    <row r="1663" customFormat="false" ht="15" hidden="false" customHeight="false" outlineLevel="0" collapsed="false">
      <c r="I1663" s="41" t="str">
        <f aca="false">IF(F1663="","",IFERROR(IF(ISNUMBER(SEARCH(Assumptions!$C$5,F1663)),Assumptions!$D$5,IF(ISNUMBER(SEARCH(Assumptions!$C$6,F1663)),Assumptions!$D$6,IF(ISNUMBER(SEARCH(Assumptions!$C$7,F1663)),Assumptions!$D$7,"Other Services"))),"Other Services"))</f>
        <v/>
      </c>
    </row>
    <row r="1664" customFormat="false" ht="15" hidden="false" customHeight="false" outlineLevel="0" collapsed="false">
      <c r="I1664" s="41" t="str">
        <f aca="false">IF(F1664="","",IFERROR(IF(ISNUMBER(SEARCH(Assumptions!$C$5,F1664)),Assumptions!$D$5,IF(ISNUMBER(SEARCH(Assumptions!$C$6,F1664)),Assumptions!$D$6,IF(ISNUMBER(SEARCH(Assumptions!$C$7,F1664)),Assumptions!$D$7,"Other Services"))),"Other Services"))</f>
        <v/>
      </c>
    </row>
    <row r="1665" customFormat="false" ht="15" hidden="false" customHeight="false" outlineLevel="0" collapsed="false">
      <c r="I1665" s="41" t="str">
        <f aca="false">IF(F1665="","",IFERROR(IF(ISNUMBER(SEARCH(Assumptions!$C$5,F1665)),Assumptions!$D$5,IF(ISNUMBER(SEARCH(Assumptions!$C$6,F1665)),Assumptions!$D$6,IF(ISNUMBER(SEARCH(Assumptions!$C$7,F1665)),Assumptions!$D$7,"Other Services"))),"Other Services"))</f>
        <v/>
      </c>
    </row>
    <row r="1666" customFormat="false" ht="15" hidden="false" customHeight="false" outlineLevel="0" collapsed="false">
      <c r="I1666" s="41" t="str">
        <f aca="false">IF(F1666="","",IFERROR(IF(ISNUMBER(SEARCH(Assumptions!$C$5,F1666)),Assumptions!$D$5,IF(ISNUMBER(SEARCH(Assumptions!$C$6,F1666)),Assumptions!$D$6,IF(ISNUMBER(SEARCH(Assumptions!$C$7,F1666)),Assumptions!$D$7,"Other Services"))),"Other Services"))</f>
        <v/>
      </c>
    </row>
    <row r="1667" customFormat="false" ht="15" hidden="false" customHeight="false" outlineLevel="0" collapsed="false">
      <c r="I1667" s="41" t="str">
        <f aca="false">IF(F1667="","",IFERROR(IF(ISNUMBER(SEARCH(Assumptions!$C$5,F1667)),Assumptions!$D$5,IF(ISNUMBER(SEARCH(Assumptions!$C$6,F1667)),Assumptions!$D$6,IF(ISNUMBER(SEARCH(Assumptions!$C$7,F1667)),Assumptions!$D$7,"Other Services"))),"Other Services"))</f>
        <v/>
      </c>
    </row>
    <row r="1668" customFormat="false" ht="15" hidden="false" customHeight="false" outlineLevel="0" collapsed="false">
      <c r="I1668" s="41" t="str">
        <f aca="false">IF(F1668="","",IFERROR(IF(ISNUMBER(SEARCH(Assumptions!$C$5,F1668)),Assumptions!$D$5,IF(ISNUMBER(SEARCH(Assumptions!$C$6,F1668)),Assumptions!$D$6,IF(ISNUMBER(SEARCH(Assumptions!$C$7,F1668)),Assumptions!$D$7,"Other Services"))),"Other Services"))</f>
        <v/>
      </c>
    </row>
    <row r="1669" customFormat="false" ht="15" hidden="false" customHeight="false" outlineLevel="0" collapsed="false">
      <c r="I1669" s="41" t="str">
        <f aca="false">IF(F1669="","",IFERROR(IF(ISNUMBER(SEARCH(Assumptions!$C$5,F1669)),Assumptions!$D$5,IF(ISNUMBER(SEARCH(Assumptions!$C$6,F1669)),Assumptions!$D$6,IF(ISNUMBER(SEARCH(Assumptions!$C$7,F1669)),Assumptions!$D$7,"Other Services"))),"Other Services"))</f>
        <v/>
      </c>
    </row>
    <row r="1670" customFormat="false" ht="15" hidden="false" customHeight="false" outlineLevel="0" collapsed="false">
      <c r="I1670" s="41" t="str">
        <f aca="false">IF(F1670="","",IFERROR(IF(ISNUMBER(SEARCH(Assumptions!$C$5,F1670)),Assumptions!$D$5,IF(ISNUMBER(SEARCH(Assumptions!$C$6,F1670)),Assumptions!$D$6,IF(ISNUMBER(SEARCH(Assumptions!$C$7,F1670)),Assumptions!$D$7,"Other Services"))),"Other Services"))</f>
        <v/>
      </c>
    </row>
    <row r="1671" customFormat="false" ht="15" hidden="false" customHeight="false" outlineLevel="0" collapsed="false">
      <c r="I1671" s="41" t="str">
        <f aca="false">IF(F1671="","",IFERROR(IF(ISNUMBER(SEARCH(Assumptions!$C$5,F1671)),Assumptions!$D$5,IF(ISNUMBER(SEARCH(Assumptions!$C$6,F1671)),Assumptions!$D$6,IF(ISNUMBER(SEARCH(Assumptions!$C$7,F1671)),Assumptions!$D$7,"Other Services"))),"Other Services"))</f>
        <v/>
      </c>
    </row>
    <row r="1672" customFormat="false" ht="15" hidden="false" customHeight="false" outlineLevel="0" collapsed="false">
      <c r="I1672" s="41" t="str">
        <f aca="false">IF(F1672="","",IFERROR(IF(ISNUMBER(SEARCH(Assumptions!$C$5,F1672)),Assumptions!$D$5,IF(ISNUMBER(SEARCH(Assumptions!$C$6,F1672)),Assumptions!$D$6,IF(ISNUMBER(SEARCH(Assumptions!$C$7,F1672)),Assumptions!$D$7,"Other Services"))),"Other Services"))</f>
        <v/>
      </c>
    </row>
    <row r="1673" customFormat="false" ht="15" hidden="false" customHeight="false" outlineLevel="0" collapsed="false">
      <c r="I1673" s="41" t="str">
        <f aca="false">IF(F1673="","",IFERROR(IF(ISNUMBER(SEARCH(Assumptions!$C$5,F1673)),Assumptions!$D$5,IF(ISNUMBER(SEARCH(Assumptions!$C$6,F1673)),Assumptions!$D$6,IF(ISNUMBER(SEARCH(Assumptions!$C$7,F1673)),Assumptions!$D$7,"Other Services"))),"Other Services"))</f>
        <v/>
      </c>
    </row>
    <row r="1674" customFormat="false" ht="15" hidden="false" customHeight="false" outlineLevel="0" collapsed="false">
      <c r="I1674" s="41" t="str">
        <f aca="false">IF(F1674="","",IFERROR(IF(ISNUMBER(SEARCH(Assumptions!$C$5,F1674)),Assumptions!$D$5,IF(ISNUMBER(SEARCH(Assumptions!$C$6,F1674)),Assumptions!$D$6,IF(ISNUMBER(SEARCH(Assumptions!$C$7,F1674)),Assumptions!$D$7,"Other Services"))),"Other Services"))</f>
        <v/>
      </c>
    </row>
    <row r="1675" customFormat="false" ht="15" hidden="false" customHeight="false" outlineLevel="0" collapsed="false">
      <c r="I1675" s="41" t="str">
        <f aca="false">IF(F1675="","",IFERROR(IF(ISNUMBER(SEARCH(Assumptions!$C$5,F1675)),Assumptions!$D$5,IF(ISNUMBER(SEARCH(Assumptions!$C$6,F1675)),Assumptions!$D$6,IF(ISNUMBER(SEARCH(Assumptions!$C$7,F1675)),Assumptions!$D$7,"Other Services"))),"Other Services"))</f>
        <v/>
      </c>
    </row>
    <row r="1676" customFormat="false" ht="15" hidden="false" customHeight="false" outlineLevel="0" collapsed="false">
      <c r="I1676" s="41" t="str">
        <f aca="false">IF(F1676="","",IFERROR(IF(ISNUMBER(SEARCH(Assumptions!$C$5,F1676)),Assumptions!$D$5,IF(ISNUMBER(SEARCH(Assumptions!$C$6,F1676)),Assumptions!$D$6,IF(ISNUMBER(SEARCH(Assumptions!$C$7,F1676)),Assumptions!$D$7,"Other Services"))),"Other Services"))</f>
        <v/>
      </c>
    </row>
    <row r="1677" customFormat="false" ht="15" hidden="false" customHeight="false" outlineLevel="0" collapsed="false">
      <c r="I1677" s="41" t="str">
        <f aca="false">IF(F1677="","",IFERROR(IF(ISNUMBER(SEARCH(Assumptions!$C$5,F1677)),Assumptions!$D$5,IF(ISNUMBER(SEARCH(Assumptions!$C$6,F1677)),Assumptions!$D$6,IF(ISNUMBER(SEARCH(Assumptions!$C$7,F1677)),Assumptions!$D$7,"Other Services"))),"Other Services"))</f>
        <v/>
      </c>
    </row>
    <row r="1678" customFormat="false" ht="15" hidden="false" customHeight="false" outlineLevel="0" collapsed="false">
      <c r="I1678" s="41" t="str">
        <f aca="false">IF(F1678="","",IFERROR(IF(ISNUMBER(SEARCH(Assumptions!$C$5,F1678)),Assumptions!$D$5,IF(ISNUMBER(SEARCH(Assumptions!$C$6,F1678)),Assumptions!$D$6,IF(ISNUMBER(SEARCH(Assumptions!$C$7,F1678)),Assumptions!$D$7,"Other Services"))),"Other Services"))</f>
        <v/>
      </c>
    </row>
    <row r="1679" customFormat="false" ht="15" hidden="false" customHeight="false" outlineLevel="0" collapsed="false">
      <c r="I1679" s="41" t="str">
        <f aca="false">IF(F1679="","",IFERROR(IF(ISNUMBER(SEARCH(Assumptions!$C$5,F1679)),Assumptions!$D$5,IF(ISNUMBER(SEARCH(Assumptions!$C$6,F1679)),Assumptions!$D$6,IF(ISNUMBER(SEARCH(Assumptions!$C$7,F1679)),Assumptions!$D$7,"Other Services"))),"Other Services"))</f>
        <v/>
      </c>
    </row>
    <row r="1680" customFormat="false" ht="15" hidden="false" customHeight="false" outlineLevel="0" collapsed="false">
      <c r="I1680" s="41" t="str">
        <f aca="false">IF(F1680="","",IFERROR(IF(ISNUMBER(SEARCH(Assumptions!$C$5,F1680)),Assumptions!$D$5,IF(ISNUMBER(SEARCH(Assumptions!$C$6,F1680)),Assumptions!$D$6,IF(ISNUMBER(SEARCH(Assumptions!$C$7,F1680)),Assumptions!$D$7,"Other Services"))),"Other Services"))</f>
        <v/>
      </c>
    </row>
    <row r="1681" customFormat="false" ht="15" hidden="false" customHeight="false" outlineLevel="0" collapsed="false">
      <c r="I1681" s="41" t="str">
        <f aca="false">IF(F1681="","",IFERROR(IF(ISNUMBER(SEARCH(Assumptions!$C$5,F1681)),Assumptions!$D$5,IF(ISNUMBER(SEARCH(Assumptions!$C$6,F1681)),Assumptions!$D$6,IF(ISNUMBER(SEARCH(Assumptions!$C$7,F1681)),Assumptions!$D$7,"Other Services"))),"Other Services"))</f>
        <v/>
      </c>
    </row>
    <row r="1682" customFormat="false" ht="15" hidden="false" customHeight="false" outlineLevel="0" collapsed="false">
      <c r="I1682" s="41" t="str">
        <f aca="false">IF(F1682="","",IFERROR(IF(ISNUMBER(SEARCH(Assumptions!$C$5,F1682)),Assumptions!$D$5,IF(ISNUMBER(SEARCH(Assumptions!$C$6,F1682)),Assumptions!$D$6,IF(ISNUMBER(SEARCH(Assumptions!$C$7,F1682)),Assumptions!$D$7,"Other Services"))),"Other Services"))</f>
        <v/>
      </c>
    </row>
    <row r="1683" customFormat="false" ht="15" hidden="false" customHeight="false" outlineLevel="0" collapsed="false">
      <c r="I1683" s="41" t="str">
        <f aca="false">IF(F1683="","",IFERROR(IF(ISNUMBER(SEARCH(Assumptions!$C$5,F1683)),Assumptions!$D$5,IF(ISNUMBER(SEARCH(Assumptions!$C$6,F1683)),Assumptions!$D$6,IF(ISNUMBER(SEARCH(Assumptions!$C$7,F1683)),Assumptions!$D$7,"Other Services"))),"Other Services"))</f>
        <v/>
      </c>
    </row>
    <row r="1684" customFormat="false" ht="15" hidden="false" customHeight="false" outlineLevel="0" collapsed="false">
      <c r="I1684" s="41" t="str">
        <f aca="false">IF(F1684="","",IFERROR(IF(ISNUMBER(SEARCH(Assumptions!$C$5,F1684)),Assumptions!$D$5,IF(ISNUMBER(SEARCH(Assumptions!$C$6,F1684)),Assumptions!$D$6,IF(ISNUMBER(SEARCH(Assumptions!$C$7,F1684)),Assumptions!$D$7,"Other Services"))),"Other Services"))</f>
        <v/>
      </c>
    </row>
    <row r="1685" customFormat="false" ht="15" hidden="false" customHeight="false" outlineLevel="0" collapsed="false">
      <c r="I1685" s="41" t="str">
        <f aca="false">IF(F1685="","",IFERROR(IF(ISNUMBER(SEARCH(Assumptions!$C$5,F1685)),Assumptions!$D$5,IF(ISNUMBER(SEARCH(Assumptions!$C$6,F1685)),Assumptions!$D$6,IF(ISNUMBER(SEARCH(Assumptions!$C$7,F1685)),Assumptions!$D$7,"Other Services"))),"Other Services"))</f>
        <v/>
      </c>
    </row>
    <row r="1686" customFormat="false" ht="15" hidden="false" customHeight="false" outlineLevel="0" collapsed="false">
      <c r="I1686" s="41" t="str">
        <f aca="false">IF(F1686="","",IFERROR(IF(ISNUMBER(SEARCH(Assumptions!$C$5,F1686)),Assumptions!$D$5,IF(ISNUMBER(SEARCH(Assumptions!$C$6,F1686)),Assumptions!$D$6,IF(ISNUMBER(SEARCH(Assumptions!$C$7,F1686)),Assumptions!$D$7,"Other Services"))),"Other Services"))</f>
        <v/>
      </c>
    </row>
    <row r="1687" customFormat="false" ht="15" hidden="false" customHeight="false" outlineLevel="0" collapsed="false">
      <c r="I1687" s="41" t="str">
        <f aca="false">IF(F1687="","",IFERROR(IF(ISNUMBER(SEARCH(Assumptions!$C$5,F1687)),Assumptions!$D$5,IF(ISNUMBER(SEARCH(Assumptions!$C$6,F1687)),Assumptions!$D$6,IF(ISNUMBER(SEARCH(Assumptions!$C$7,F1687)),Assumptions!$D$7,"Other Services"))),"Other Services"))</f>
        <v/>
      </c>
    </row>
    <row r="1688" customFormat="false" ht="15" hidden="false" customHeight="false" outlineLevel="0" collapsed="false">
      <c r="I1688" s="41" t="str">
        <f aca="false">IF(F1688="","",IFERROR(IF(ISNUMBER(SEARCH(Assumptions!$C$5,F1688)),Assumptions!$D$5,IF(ISNUMBER(SEARCH(Assumptions!$C$6,F1688)),Assumptions!$D$6,IF(ISNUMBER(SEARCH(Assumptions!$C$7,F1688)),Assumptions!$D$7,"Other Services"))),"Other Services"))</f>
        <v/>
      </c>
    </row>
    <row r="1689" customFormat="false" ht="15" hidden="false" customHeight="false" outlineLevel="0" collapsed="false">
      <c r="I1689" s="41" t="str">
        <f aca="false">IF(F1689="","",IFERROR(IF(ISNUMBER(SEARCH(Assumptions!$C$5,F1689)),Assumptions!$D$5,IF(ISNUMBER(SEARCH(Assumptions!$C$6,F1689)),Assumptions!$D$6,IF(ISNUMBER(SEARCH(Assumptions!$C$7,F1689)),Assumptions!$D$7,"Other Services"))),"Other Services"))</f>
        <v/>
      </c>
    </row>
    <row r="1690" customFormat="false" ht="15" hidden="false" customHeight="false" outlineLevel="0" collapsed="false">
      <c r="I1690" s="41" t="str">
        <f aca="false">IF(F1690="","",IFERROR(IF(ISNUMBER(SEARCH(Assumptions!$C$5,F1690)),Assumptions!$D$5,IF(ISNUMBER(SEARCH(Assumptions!$C$6,F1690)),Assumptions!$D$6,IF(ISNUMBER(SEARCH(Assumptions!$C$7,F1690)),Assumptions!$D$7,"Other Services"))),"Other Services"))</f>
        <v/>
      </c>
    </row>
    <row r="1691" customFormat="false" ht="15" hidden="false" customHeight="false" outlineLevel="0" collapsed="false">
      <c r="I1691" s="41" t="str">
        <f aca="false">IF(F1691="","",IFERROR(IF(ISNUMBER(SEARCH(Assumptions!$C$5,F1691)),Assumptions!$D$5,IF(ISNUMBER(SEARCH(Assumptions!$C$6,F1691)),Assumptions!$D$6,IF(ISNUMBER(SEARCH(Assumptions!$C$7,F1691)),Assumptions!$D$7,"Other Services"))),"Other Services"))</f>
        <v/>
      </c>
    </row>
    <row r="1692" customFormat="false" ht="15" hidden="false" customHeight="false" outlineLevel="0" collapsed="false">
      <c r="I1692" s="41" t="str">
        <f aca="false">IF(F1692="","",IFERROR(IF(ISNUMBER(SEARCH(Assumptions!$C$5,F1692)),Assumptions!$D$5,IF(ISNUMBER(SEARCH(Assumptions!$C$6,F1692)),Assumptions!$D$6,IF(ISNUMBER(SEARCH(Assumptions!$C$7,F1692)),Assumptions!$D$7,"Other Services"))),"Other Services"))</f>
        <v/>
      </c>
    </row>
    <row r="1693" customFormat="false" ht="15" hidden="false" customHeight="false" outlineLevel="0" collapsed="false">
      <c r="I1693" s="41" t="str">
        <f aca="false">IF(F1693="","",IFERROR(IF(ISNUMBER(SEARCH(Assumptions!$C$5,F1693)),Assumptions!$D$5,IF(ISNUMBER(SEARCH(Assumptions!$C$6,F1693)),Assumptions!$D$6,IF(ISNUMBER(SEARCH(Assumptions!$C$7,F1693)),Assumptions!$D$7,"Other Services"))),"Other Services"))</f>
        <v/>
      </c>
    </row>
    <row r="1694" customFormat="false" ht="15" hidden="false" customHeight="false" outlineLevel="0" collapsed="false">
      <c r="I1694" s="41" t="str">
        <f aca="false">IF(F1694="","",IFERROR(IF(ISNUMBER(SEARCH(Assumptions!$C$5,F1694)),Assumptions!$D$5,IF(ISNUMBER(SEARCH(Assumptions!$C$6,F1694)),Assumptions!$D$6,IF(ISNUMBER(SEARCH(Assumptions!$C$7,F1694)),Assumptions!$D$7,"Other Services"))),"Other Services"))</f>
        <v/>
      </c>
    </row>
    <row r="1695" customFormat="false" ht="15" hidden="false" customHeight="false" outlineLevel="0" collapsed="false">
      <c r="I1695" s="41" t="str">
        <f aca="false">IF(F1695="","",IFERROR(IF(ISNUMBER(SEARCH(Assumptions!$C$5,F1695)),Assumptions!$D$5,IF(ISNUMBER(SEARCH(Assumptions!$C$6,F1695)),Assumptions!$D$6,IF(ISNUMBER(SEARCH(Assumptions!$C$7,F1695)),Assumptions!$D$7,"Other Services"))),"Other Services"))</f>
        <v/>
      </c>
    </row>
    <row r="1696" customFormat="false" ht="15" hidden="false" customHeight="false" outlineLevel="0" collapsed="false">
      <c r="I1696" s="41" t="str">
        <f aca="false">IF(F1696="","",IFERROR(IF(ISNUMBER(SEARCH(Assumptions!$C$5,F1696)),Assumptions!$D$5,IF(ISNUMBER(SEARCH(Assumptions!$C$6,F1696)),Assumptions!$D$6,IF(ISNUMBER(SEARCH(Assumptions!$C$7,F1696)),Assumptions!$D$7,"Other Services"))),"Other Services"))</f>
        <v/>
      </c>
    </row>
    <row r="1697" customFormat="false" ht="15" hidden="false" customHeight="false" outlineLevel="0" collapsed="false">
      <c r="I1697" s="41" t="str">
        <f aca="false">IF(F1697="","",IFERROR(IF(ISNUMBER(SEARCH(Assumptions!$C$5,F1697)),Assumptions!$D$5,IF(ISNUMBER(SEARCH(Assumptions!$C$6,F1697)),Assumptions!$D$6,IF(ISNUMBER(SEARCH(Assumptions!$C$7,F1697)),Assumptions!$D$7,"Other Services"))),"Other Services"))</f>
        <v/>
      </c>
    </row>
    <row r="1698" customFormat="false" ht="15" hidden="false" customHeight="false" outlineLevel="0" collapsed="false">
      <c r="I1698" s="41" t="str">
        <f aca="false">IF(F1698="","",IFERROR(IF(ISNUMBER(SEARCH(Assumptions!$C$5,F1698)),Assumptions!$D$5,IF(ISNUMBER(SEARCH(Assumptions!$C$6,F1698)),Assumptions!$D$6,IF(ISNUMBER(SEARCH(Assumptions!$C$7,F1698)),Assumptions!$D$7,"Other Services"))),"Other Services"))</f>
        <v/>
      </c>
    </row>
    <row r="1699" customFormat="false" ht="15" hidden="false" customHeight="false" outlineLevel="0" collapsed="false">
      <c r="I1699" s="41" t="str">
        <f aca="false">IF(F1699="","",IFERROR(IF(ISNUMBER(SEARCH(Assumptions!$C$5,F1699)),Assumptions!$D$5,IF(ISNUMBER(SEARCH(Assumptions!$C$6,F1699)),Assumptions!$D$6,IF(ISNUMBER(SEARCH(Assumptions!$C$7,F1699)),Assumptions!$D$7,"Other Services"))),"Other Services"))</f>
        <v/>
      </c>
    </row>
    <row r="1700" customFormat="false" ht="15" hidden="false" customHeight="false" outlineLevel="0" collapsed="false">
      <c r="I1700" s="41" t="str">
        <f aca="false">IF(F1700="","",IFERROR(IF(ISNUMBER(SEARCH(Assumptions!$C$5,F1700)),Assumptions!$D$5,IF(ISNUMBER(SEARCH(Assumptions!$C$6,F1700)),Assumptions!$D$6,IF(ISNUMBER(SEARCH(Assumptions!$C$7,F1700)),Assumptions!$D$7,"Other Services"))),"Other Services"))</f>
        <v/>
      </c>
    </row>
    <row r="1701" customFormat="false" ht="15" hidden="false" customHeight="false" outlineLevel="0" collapsed="false">
      <c r="I1701" s="41" t="str">
        <f aca="false">IF(F1701="","",IFERROR(IF(ISNUMBER(SEARCH(Assumptions!$C$5,F1701)),Assumptions!$D$5,IF(ISNUMBER(SEARCH(Assumptions!$C$6,F1701)),Assumptions!$D$6,IF(ISNUMBER(SEARCH(Assumptions!$C$7,F1701)),Assumptions!$D$7,"Other Services"))),"Other Services"))</f>
        <v/>
      </c>
    </row>
    <row r="1702" customFormat="false" ht="15" hidden="false" customHeight="false" outlineLevel="0" collapsed="false">
      <c r="I1702" s="41" t="str">
        <f aca="false">IF(F1702="","",IFERROR(IF(ISNUMBER(SEARCH(Assumptions!$C$5,F1702)),Assumptions!$D$5,IF(ISNUMBER(SEARCH(Assumptions!$C$6,F1702)),Assumptions!$D$6,IF(ISNUMBER(SEARCH(Assumptions!$C$7,F1702)),Assumptions!$D$7,"Other Services"))),"Other Services"))</f>
        <v/>
      </c>
    </row>
    <row r="1703" customFormat="false" ht="15" hidden="false" customHeight="false" outlineLevel="0" collapsed="false">
      <c r="I1703" s="41" t="str">
        <f aca="false">IF(F1703="","",IFERROR(IF(ISNUMBER(SEARCH(Assumptions!$C$5,F1703)),Assumptions!$D$5,IF(ISNUMBER(SEARCH(Assumptions!$C$6,F1703)),Assumptions!$D$6,IF(ISNUMBER(SEARCH(Assumptions!$C$7,F1703)),Assumptions!$D$7,"Other Services"))),"Other Services"))</f>
        <v/>
      </c>
    </row>
    <row r="1704" customFormat="false" ht="15" hidden="false" customHeight="false" outlineLevel="0" collapsed="false">
      <c r="I1704" s="41" t="str">
        <f aca="false">IF(F1704="","",IFERROR(IF(ISNUMBER(SEARCH(Assumptions!$C$5,F1704)),Assumptions!$D$5,IF(ISNUMBER(SEARCH(Assumptions!$C$6,F1704)),Assumptions!$D$6,IF(ISNUMBER(SEARCH(Assumptions!$C$7,F1704)),Assumptions!$D$7,"Other Services"))),"Other Services"))</f>
        <v/>
      </c>
    </row>
    <row r="1705" customFormat="false" ht="15" hidden="false" customHeight="false" outlineLevel="0" collapsed="false">
      <c r="I1705" s="41" t="str">
        <f aca="false">IF(F1705="","",IFERROR(IF(ISNUMBER(SEARCH(Assumptions!$C$5,F1705)),Assumptions!$D$5,IF(ISNUMBER(SEARCH(Assumptions!$C$6,F1705)),Assumptions!$D$6,IF(ISNUMBER(SEARCH(Assumptions!$C$7,F1705)),Assumptions!$D$7,"Other Services"))),"Other Services"))</f>
        <v/>
      </c>
    </row>
    <row r="1706" customFormat="false" ht="15" hidden="false" customHeight="false" outlineLevel="0" collapsed="false">
      <c r="I1706" s="41" t="str">
        <f aca="false">IF(F1706="","",IFERROR(IF(ISNUMBER(SEARCH(Assumptions!$C$5,F1706)),Assumptions!$D$5,IF(ISNUMBER(SEARCH(Assumptions!$C$6,F1706)),Assumptions!$D$6,IF(ISNUMBER(SEARCH(Assumptions!$C$7,F1706)),Assumptions!$D$7,"Other Services"))),"Other Services"))</f>
        <v/>
      </c>
    </row>
    <row r="1707" customFormat="false" ht="15" hidden="false" customHeight="false" outlineLevel="0" collapsed="false">
      <c r="I1707" s="41" t="str">
        <f aca="false">IF(F1707="","",IFERROR(IF(ISNUMBER(SEARCH(Assumptions!$C$5,F1707)),Assumptions!$D$5,IF(ISNUMBER(SEARCH(Assumptions!$C$6,F1707)),Assumptions!$D$6,IF(ISNUMBER(SEARCH(Assumptions!$C$7,F1707)),Assumptions!$D$7,"Other Services"))),"Other Services"))</f>
        <v/>
      </c>
    </row>
    <row r="1708" customFormat="false" ht="15" hidden="false" customHeight="false" outlineLevel="0" collapsed="false">
      <c r="I1708" s="41" t="str">
        <f aca="false">IF(F1708="","",IFERROR(IF(ISNUMBER(SEARCH(Assumptions!$C$5,F1708)),Assumptions!$D$5,IF(ISNUMBER(SEARCH(Assumptions!$C$6,F1708)),Assumptions!$D$6,IF(ISNUMBER(SEARCH(Assumptions!$C$7,F1708)),Assumptions!$D$7,"Other Services"))),"Other Services"))</f>
        <v/>
      </c>
    </row>
    <row r="1709" customFormat="false" ht="15" hidden="false" customHeight="false" outlineLevel="0" collapsed="false">
      <c r="I1709" s="41" t="str">
        <f aca="false">IF(F1709="","",IFERROR(IF(ISNUMBER(SEARCH(Assumptions!$C$5,F1709)),Assumptions!$D$5,IF(ISNUMBER(SEARCH(Assumptions!$C$6,F1709)),Assumptions!$D$6,IF(ISNUMBER(SEARCH(Assumptions!$C$7,F1709)),Assumptions!$D$7,"Other Services"))),"Other Services"))</f>
        <v/>
      </c>
    </row>
    <row r="1710" customFormat="false" ht="15" hidden="false" customHeight="false" outlineLevel="0" collapsed="false">
      <c r="I1710" s="41" t="str">
        <f aca="false">IF(F1710="","",IFERROR(IF(ISNUMBER(SEARCH(Assumptions!$C$5,F1710)),Assumptions!$D$5,IF(ISNUMBER(SEARCH(Assumptions!$C$6,F1710)),Assumptions!$D$6,IF(ISNUMBER(SEARCH(Assumptions!$C$7,F1710)),Assumptions!$D$7,"Other Services"))),"Other Services"))</f>
        <v/>
      </c>
    </row>
    <row r="1711" customFormat="false" ht="15" hidden="false" customHeight="false" outlineLevel="0" collapsed="false">
      <c r="I1711" s="41" t="str">
        <f aca="false">IF(F1711="","",IFERROR(IF(ISNUMBER(SEARCH(Assumptions!$C$5,F1711)),Assumptions!$D$5,IF(ISNUMBER(SEARCH(Assumptions!$C$6,F1711)),Assumptions!$D$6,IF(ISNUMBER(SEARCH(Assumptions!$C$7,F1711)),Assumptions!$D$7,"Other Services"))),"Other Services"))</f>
        <v/>
      </c>
    </row>
    <row r="1712" customFormat="false" ht="15" hidden="false" customHeight="false" outlineLevel="0" collapsed="false">
      <c r="I1712" s="41" t="str">
        <f aca="false">IF(F1712="","",IFERROR(IF(ISNUMBER(SEARCH(Assumptions!$C$5,F1712)),Assumptions!$D$5,IF(ISNUMBER(SEARCH(Assumptions!$C$6,F1712)),Assumptions!$D$6,IF(ISNUMBER(SEARCH(Assumptions!$C$7,F1712)),Assumptions!$D$7,"Other Services"))),"Other Services"))</f>
        <v/>
      </c>
    </row>
    <row r="1713" customFormat="false" ht="15" hidden="false" customHeight="false" outlineLevel="0" collapsed="false">
      <c r="I1713" s="41" t="str">
        <f aca="false">IF(F1713="","",IFERROR(IF(ISNUMBER(SEARCH(Assumptions!$C$5,F1713)),Assumptions!$D$5,IF(ISNUMBER(SEARCH(Assumptions!$C$6,F1713)),Assumptions!$D$6,IF(ISNUMBER(SEARCH(Assumptions!$C$7,F1713)),Assumptions!$D$7,"Other Services"))),"Other Services"))</f>
        <v/>
      </c>
    </row>
    <row r="1714" customFormat="false" ht="15" hidden="false" customHeight="false" outlineLevel="0" collapsed="false">
      <c r="I1714" s="41" t="str">
        <f aca="false">IF(F1714="","",IFERROR(IF(ISNUMBER(SEARCH(Assumptions!$C$5,F1714)),Assumptions!$D$5,IF(ISNUMBER(SEARCH(Assumptions!$C$6,F1714)),Assumptions!$D$6,IF(ISNUMBER(SEARCH(Assumptions!$C$7,F1714)),Assumptions!$D$7,"Other Services"))),"Other Services"))</f>
        <v/>
      </c>
    </row>
    <row r="1715" customFormat="false" ht="15" hidden="false" customHeight="false" outlineLevel="0" collapsed="false">
      <c r="I1715" s="41" t="str">
        <f aca="false">IF(F1715="","",IFERROR(IF(ISNUMBER(SEARCH(Assumptions!$C$5,F1715)),Assumptions!$D$5,IF(ISNUMBER(SEARCH(Assumptions!$C$6,F1715)),Assumptions!$D$6,IF(ISNUMBER(SEARCH(Assumptions!$C$7,F1715)),Assumptions!$D$7,"Other Services"))),"Other Services"))</f>
        <v/>
      </c>
    </row>
    <row r="1716" customFormat="false" ht="15" hidden="false" customHeight="false" outlineLevel="0" collapsed="false">
      <c r="I1716" s="41" t="str">
        <f aca="false">IF(F1716="","",IFERROR(IF(ISNUMBER(SEARCH(Assumptions!$C$5,F1716)),Assumptions!$D$5,IF(ISNUMBER(SEARCH(Assumptions!$C$6,F1716)),Assumptions!$D$6,IF(ISNUMBER(SEARCH(Assumptions!$C$7,F1716)),Assumptions!$D$7,"Other Services"))),"Other Services"))</f>
        <v/>
      </c>
    </row>
    <row r="1717" customFormat="false" ht="15" hidden="false" customHeight="false" outlineLevel="0" collapsed="false">
      <c r="I1717" s="41" t="str">
        <f aca="false">IF(F1717="","",IFERROR(IF(ISNUMBER(SEARCH(Assumptions!$C$5,F1717)),Assumptions!$D$5,IF(ISNUMBER(SEARCH(Assumptions!$C$6,F1717)),Assumptions!$D$6,IF(ISNUMBER(SEARCH(Assumptions!$C$7,F1717)),Assumptions!$D$7,"Other Services"))),"Other Services"))</f>
        <v/>
      </c>
    </row>
    <row r="1718" customFormat="false" ht="15" hidden="false" customHeight="false" outlineLevel="0" collapsed="false">
      <c r="I1718" s="41" t="str">
        <f aca="false">IF(F1718="","",IFERROR(IF(ISNUMBER(SEARCH(Assumptions!$C$5,F1718)),Assumptions!$D$5,IF(ISNUMBER(SEARCH(Assumptions!$C$6,F1718)),Assumptions!$D$6,IF(ISNUMBER(SEARCH(Assumptions!$C$7,F1718)),Assumptions!$D$7,"Other Services"))),"Other Services"))</f>
        <v/>
      </c>
    </row>
    <row r="1719" customFormat="false" ht="15" hidden="false" customHeight="false" outlineLevel="0" collapsed="false">
      <c r="I1719" s="41" t="str">
        <f aca="false">IF(F1719="","",IFERROR(IF(ISNUMBER(SEARCH(Assumptions!$C$5,F1719)),Assumptions!$D$5,IF(ISNUMBER(SEARCH(Assumptions!$C$6,F1719)),Assumptions!$D$6,IF(ISNUMBER(SEARCH(Assumptions!$C$7,F1719)),Assumptions!$D$7,"Other Services"))),"Other Services"))</f>
        <v/>
      </c>
    </row>
    <row r="1720" customFormat="false" ht="15" hidden="false" customHeight="false" outlineLevel="0" collapsed="false">
      <c r="I1720" s="41" t="str">
        <f aca="false">IF(F1720="","",IFERROR(IF(ISNUMBER(SEARCH(Assumptions!$C$5,F1720)),Assumptions!$D$5,IF(ISNUMBER(SEARCH(Assumptions!$C$6,F1720)),Assumptions!$D$6,IF(ISNUMBER(SEARCH(Assumptions!$C$7,F1720)),Assumptions!$D$7,"Other Services"))),"Other Services"))</f>
        <v/>
      </c>
    </row>
    <row r="1721" customFormat="false" ht="15" hidden="false" customHeight="false" outlineLevel="0" collapsed="false">
      <c r="I1721" s="41" t="str">
        <f aca="false">IF(F1721="","",IFERROR(IF(ISNUMBER(SEARCH(Assumptions!$C$5,F1721)),Assumptions!$D$5,IF(ISNUMBER(SEARCH(Assumptions!$C$6,F1721)),Assumptions!$D$6,IF(ISNUMBER(SEARCH(Assumptions!$C$7,F1721)),Assumptions!$D$7,"Other Services"))),"Other Services"))</f>
        <v/>
      </c>
    </row>
    <row r="1722" customFormat="false" ht="15" hidden="false" customHeight="false" outlineLevel="0" collapsed="false">
      <c r="I1722" s="41" t="str">
        <f aca="false">IF(F1722="","",IFERROR(IF(ISNUMBER(SEARCH(Assumptions!$C$5,F1722)),Assumptions!$D$5,IF(ISNUMBER(SEARCH(Assumptions!$C$6,F1722)),Assumptions!$D$6,IF(ISNUMBER(SEARCH(Assumptions!$C$7,F1722)),Assumptions!$D$7,"Other Services"))),"Other Services"))</f>
        <v/>
      </c>
    </row>
    <row r="1723" customFormat="false" ht="15" hidden="false" customHeight="false" outlineLevel="0" collapsed="false">
      <c r="I1723" s="41" t="str">
        <f aca="false">IF(F1723="","",IFERROR(IF(ISNUMBER(SEARCH(Assumptions!$C$5,F1723)),Assumptions!$D$5,IF(ISNUMBER(SEARCH(Assumptions!$C$6,F1723)),Assumptions!$D$6,IF(ISNUMBER(SEARCH(Assumptions!$C$7,F1723)),Assumptions!$D$7,"Other Services"))),"Other Services"))</f>
        <v/>
      </c>
    </row>
    <row r="1724" customFormat="false" ht="15" hidden="false" customHeight="false" outlineLevel="0" collapsed="false">
      <c r="I1724" s="41" t="str">
        <f aca="false">IF(F1724="","",IFERROR(IF(ISNUMBER(SEARCH(Assumptions!$C$5,F1724)),Assumptions!$D$5,IF(ISNUMBER(SEARCH(Assumptions!$C$6,F1724)),Assumptions!$D$6,IF(ISNUMBER(SEARCH(Assumptions!$C$7,F1724)),Assumptions!$D$7,"Other Services"))),"Other Services"))</f>
        <v/>
      </c>
    </row>
    <row r="1725" customFormat="false" ht="15" hidden="false" customHeight="false" outlineLevel="0" collapsed="false">
      <c r="I1725" s="41" t="str">
        <f aca="false">IF(F1725="","",IFERROR(IF(ISNUMBER(SEARCH(Assumptions!$C$5,F1725)),Assumptions!$D$5,IF(ISNUMBER(SEARCH(Assumptions!$C$6,F1725)),Assumptions!$D$6,IF(ISNUMBER(SEARCH(Assumptions!$C$7,F1725)),Assumptions!$D$7,"Other Services"))),"Other Services"))</f>
        <v/>
      </c>
    </row>
    <row r="1726" customFormat="false" ht="15" hidden="false" customHeight="false" outlineLevel="0" collapsed="false">
      <c r="I1726" s="41" t="str">
        <f aca="false">IF(F1726="","",IFERROR(IF(ISNUMBER(SEARCH(Assumptions!$C$5,F1726)),Assumptions!$D$5,IF(ISNUMBER(SEARCH(Assumptions!$C$6,F1726)),Assumptions!$D$6,IF(ISNUMBER(SEARCH(Assumptions!$C$7,F1726)),Assumptions!$D$7,"Other Services"))),"Other Services"))</f>
        <v/>
      </c>
    </row>
    <row r="1727" customFormat="false" ht="15" hidden="false" customHeight="false" outlineLevel="0" collapsed="false">
      <c r="I1727" s="41" t="str">
        <f aca="false">IF(F1727="","",IFERROR(IF(ISNUMBER(SEARCH(Assumptions!$C$5,F1727)),Assumptions!$D$5,IF(ISNUMBER(SEARCH(Assumptions!$C$6,F1727)),Assumptions!$D$6,IF(ISNUMBER(SEARCH(Assumptions!$C$7,F1727)),Assumptions!$D$7,"Other Services"))),"Other Services"))</f>
        <v/>
      </c>
    </row>
    <row r="1728" customFormat="false" ht="15" hidden="false" customHeight="false" outlineLevel="0" collapsed="false">
      <c r="I1728" s="41" t="str">
        <f aca="false">IF(F1728="","",IFERROR(IF(ISNUMBER(SEARCH(Assumptions!$C$5,F1728)),Assumptions!$D$5,IF(ISNUMBER(SEARCH(Assumptions!$C$6,F1728)),Assumptions!$D$6,IF(ISNUMBER(SEARCH(Assumptions!$C$7,F1728)),Assumptions!$D$7,"Other Services"))),"Other Services"))</f>
        <v/>
      </c>
    </row>
    <row r="1729" customFormat="false" ht="15" hidden="false" customHeight="false" outlineLevel="0" collapsed="false">
      <c r="I1729" s="41" t="str">
        <f aca="false">IF(F1729="","",IFERROR(IF(ISNUMBER(SEARCH(Assumptions!$C$5,F1729)),Assumptions!$D$5,IF(ISNUMBER(SEARCH(Assumptions!$C$6,F1729)),Assumptions!$D$6,IF(ISNUMBER(SEARCH(Assumptions!$C$7,F1729)),Assumptions!$D$7,"Other Services"))),"Other Services"))</f>
        <v/>
      </c>
    </row>
    <row r="1730" customFormat="false" ht="15" hidden="false" customHeight="false" outlineLevel="0" collapsed="false">
      <c r="I1730" s="41" t="str">
        <f aca="false">IF(F1730="","",IFERROR(IF(ISNUMBER(SEARCH(Assumptions!$C$5,F1730)),Assumptions!$D$5,IF(ISNUMBER(SEARCH(Assumptions!$C$6,F1730)),Assumptions!$D$6,IF(ISNUMBER(SEARCH(Assumptions!$C$7,F1730)),Assumptions!$D$7,"Other Services"))),"Other Services"))</f>
        <v/>
      </c>
    </row>
    <row r="1731" customFormat="false" ht="15" hidden="false" customHeight="false" outlineLevel="0" collapsed="false">
      <c r="I1731" s="41" t="str">
        <f aca="false">IF(F1731="","",IFERROR(IF(ISNUMBER(SEARCH(Assumptions!$C$5,F1731)),Assumptions!$D$5,IF(ISNUMBER(SEARCH(Assumptions!$C$6,F1731)),Assumptions!$D$6,IF(ISNUMBER(SEARCH(Assumptions!$C$7,F1731)),Assumptions!$D$7,"Other Services"))),"Other Services"))</f>
        <v/>
      </c>
    </row>
    <row r="1732" customFormat="false" ht="15" hidden="false" customHeight="false" outlineLevel="0" collapsed="false">
      <c r="I1732" s="41" t="str">
        <f aca="false">IF(F1732="","",IFERROR(IF(ISNUMBER(SEARCH(Assumptions!$C$5,F1732)),Assumptions!$D$5,IF(ISNUMBER(SEARCH(Assumptions!$C$6,F1732)),Assumptions!$D$6,IF(ISNUMBER(SEARCH(Assumptions!$C$7,F1732)),Assumptions!$D$7,"Other Services"))),"Other Services"))</f>
        <v/>
      </c>
    </row>
    <row r="1733" customFormat="false" ht="15" hidden="false" customHeight="false" outlineLevel="0" collapsed="false">
      <c r="I1733" s="41" t="str">
        <f aca="false">IF(F1733="","",IFERROR(IF(ISNUMBER(SEARCH(Assumptions!$C$5,F1733)),Assumptions!$D$5,IF(ISNUMBER(SEARCH(Assumptions!$C$6,F1733)),Assumptions!$D$6,IF(ISNUMBER(SEARCH(Assumptions!$C$7,F1733)),Assumptions!$D$7,"Other Services"))),"Other Services"))</f>
        <v/>
      </c>
    </row>
    <row r="1734" customFormat="false" ht="15" hidden="false" customHeight="false" outlineLevel="0" collapsed="false">
      <c r="I1734" s="41" t="str">
        <f aca="false">IF(F1734="","",IFERROR(IF(ISNUMBER(SEARCH(Assumptions!$C$5,F1734)),Assumptions!$D$5,IF(ISNUMBER(SEARCH(Assumptions!$C$6,F1734)),Assumptions!$D$6,IF(ISNUMBER(SEARCH(Assumptions!$C$7,F1734)),Assumptions!$D$7,"Other Services"))),"Other Services"))</f>
        <v/>
      </c>
    </row>
    <row r="1735" customFormat="false" ht="15" hidden="false" customHeight="false" outlineLevel="0" collapsed="false">
      <c r="I1735" s="41" t="str">
        <f aca="false">IF(F1735="","",IFERROR(IF(ISNUMBER(SEARCH(Assumptions!$C$5,F1735)),Assumptions!$D$5,IF(ISNUMBER(SEARCH(Assumptions!$C$6,F1735)),Assumptions!$D$6,IF(ISNUMBER(SEARCH(Assumptions!$C$7,F1735)),Assumptions!$D$7,"Other Services"))),"Other Services"))</f>
        <v/>
      </c>
    </row>
    <row r="1736" customFormat="false" ht="15" hidden="false" customHeight="false" outlineLevel="0" collapsed="false">
      <c r="I1736" s="41" t="str">
        <f aca="false">IF(F1736="","",IFERROR(IF(ISNUMBER(SEARCH(Assumptions!$C$5,F1736)),Assumptions!$D$5,IF(ISNUMBER(SEARCH(Assumptions!$C$6,F1736)),Assumptions!$D$6,IF(ISNUMBER(SEARCH(Assumptions!$C$7,F1736)),Assumptions!$D$7,"Other Services"))),"Other Services"))</f>
        <v/>
      </c>
    </row>
    <row r="1737" customFormat="false" ht="15" hidden="false" customHeight="false" outlineLevel="0" collapsed="false">
      <c r="I1737" s="41" t="str">
        <f aca="false">IF(F1737="","",IFERROR(IF(ISNUMBER(SEARCH(Assumptions!$C$5,F1737)),Assumptions!$D$5,IF(ISNUMBER(SEARCH(Assumptions!$C$6,F1737)),Assumptions!$D$6,IF(ISNUMBER(SEARCH(Assumptions!$C$7,F1737)),Assumptions!$D$7,"Other Services"))),"Other Services"))</f>
        <v/>
      </c>
    </row>
    <row r="1738" customFormat="false" ht="15" hidden="false" customHeight="false" outlineLevel="0" collapsed="false">
      <c r="I1738" s="41" t="str">
        <f aca="false">IF(F1738="","",IFERROR(IF(ISNUMBER(SEARCH(Assumptions!$C$5,F1738)),Assumptions!$D$5,IF(ISNUMBER(SEARCH(Assumptions!$C$6,F1738)),Assumptions!$D$6,IF(ISNUMBER(SEARCH(Assumptions!$C$7,F1738)),Assumptions!$D$7,"Other Services"))),"Other Services"))</f>
        <v/>
      </c>
    </row>
    <row r="1739" customFormat="false" ht="15" hidden="false" customHeight="false" outlineLevel="0" collapsed="false">
      <c r="I1739" s="41" t="str">
        <f aca="false">IF(F1739="","",IFERROR(IF(ISNUMBER(SEARCH(Assumptions!$C$5,F1739)),Assumptions!$D$5,IF(ISNUMBER(SEARCH(Assumptions!$C$6,F1739)),Assumptions!$D$6,IF(ISNUMBER(SEARCH(Assumptions!$C$7,F1739)),Assumptions!$D$7,"Other Services"))),"Other Services"))</f>
        <v/>
      </c>
    </row>
    <row r="1740" customFormat="false" ht="15" hidden="false" customHeight="false" outlineLevel="0" collapsed="false">
      <c r="I1740" s="41" t="str">
        <f aca="false">IF(F1740="","",IFERROR(IF(ISNUMBER(SEARCH(Assumptions!$C$5,F1740)),Assumptions!$D$5,IF(ISNUMBER(SEARCH(Assumptions!$C$6,F1740)),Assumptions!$D$6,IF(ISNUMBER(SEARCH(Assumptions!$C$7,F1740)),Assumptions!$D$7,"Other Services"))),"Other Services"))</f>
        <v/>
      </c>
    </row>
    <row r="1741" customFormat="false" ht="15" hidden="false" customHeight="false" outlineLevel="0" collapsed="false">
      <c r="I1741" s="41" t="str">
        <f aca="false">IF(F1741="","",IFERROR(IF(ISNUMBER(SEARCH(Assumptions!$C$5,F1741)),Assumptions!$D$5,IF(ISNUMBER(SEARCH(Assumptions!$C$6,F1741)),Assumptions!$D$6,IF(ISNUMBER(SEARCH(Assumptions!$C$7,F1741)),Assumptions!$D$7,"Other Services"))),"Other Services"))</f>
        <v/>
      </c>
    </row>
    <row r="1742" customFormat="false" ht="15" hidden="false" customHeight="false" outlineLevel="0" collapsed="false">
      <c r="I1742" s="41" t="str">
        <f aca="false">IF(F1742="","",IFERROR(IF(ISNUMBER(SEARCH(Assumptions!$C$5,F1742)),Assumptions!$D$5,IF(ISNUMBER(SEARCH(Assumptions!$C$6,F1742)),Assumptions!$D$6,IF(ISNUMBER(SEARCH(Assumptions!$C$7,F1742)),Assumptions!$D$7,"Other Services"))),"Other Services"))</f>
        <v/>
      </c>
    </row>
    <row r="1743" customFormat="false" ht="15" hidden="false" customHeight="false" outlineLevel="0" collapsed="false">
      <c r="I1743" s="41" t="str">
        <f aca="false">IF(F1743="","",IFERROR(IF(ISNUMBER(SEARCH(Assumptions!$C$5,F1743)),Assumptions!$D$5,IF(ISNUMBER(SEARCH(Assumptions!$C$6,F1743)),Assumptions!$D$6,IF(ISNUMBER(SEARCH(Assumptions!$C$7,F1743)),Assumptions!$D$7,"Other Services"))),"Other Services"))</f>
        <v/>
      </c>
    </row>
    <row r="1744" customFormat="false" ht="15" hidden="false" customHeight="false" outlineLevel="0" collapsed="false">
      <c r="I1744" s="41" t="str">
        <f aca="false">IF(F1744="","",IFERROR(IF(ISNUMBER(SEARCH(Assumptions!$C$5,F1744)),Assumptions!$D$5,IF(ISNUMBER(SEARCH(Assumptions!$C$6,F1744)),Assumptions!$D$6,IF(ISNUMBER(SEARCH(Assumptions!$C$7,F1744)),Assumptions!$D$7,"Other Services"))),"Other Services"))</f>
        <v/>
      </c>
    </row>
    <row r="1745" customFormat="false" ht="15" hidden="false" customHeight="false" outlineLevel="0" collapsed="false">
      <c r="I1745" s="41" t="str">
        <f aca="false">IF(F1745="","",IFERROR(IF(ISNUMBER(SEARCH(Assumptions!$C$5,F1745)),Assumptions!$D$5,IF(ISNUMBER(SEARCH(Assumptions!$C$6,F1745)),Assumptions!$D$6,IF(ISNUMBER(SEARCH(Assumptions!$C$7,F1745)),Assumptions!$D$7,"Other Services"))),"Other Services"))</f>
        <v/>
      </c>
    </row>
    <row r="1746" customFormat="false" ht="15" hidden="false" customHeight="false" outlineLevel="0" collapsed="false">
      <c r="I1746" s="41" t="str">
        <f aca="false">IF(F1746="","",IFERROR(IF(ISNUMBER(SEARCH(Assumptions!$C$5,F1746)),Assumptions!$D$5,IF(ISNUMBER(SEARCH(Assumptions!$C$6,F1746)),Assumptions!$D$6,IF(ISNUMBER(SEARCH(Assumptions!$C$7,F1746)),Assumptions!$D$7,"Other Services"))),"Other Services"))</f>
        <v/>
      </c>
    </row>
    <row r="1747" customFormat="false" ht="15" hidden="false" customHeight="false" outlineLevel="0" collapsed="false">
      <c r="I1747" s="41" t="str">
        <f aca="false">IF(F1747="","",IFERROR(IF(ISNUMBER(SEARCH(Assumptions!$C$5,F1747)),Assumptions!$D$5,IF(ISNUMBER(SEARCH(Assumptions!$C$6,F1747)),Assumptions!$D$6,IF(ISNUMBER(SEARCH(Assumptions!$C$7,F1747)),Assumptions!$D$7,"Other Services"))),"Other Services"))</f>
        <v/>
      </c>
    </row>
    <row r="1748" customFormat="false" ht="15" hidden="false" customHeight="false" outlineLevel="0" collapsed="false">
      <c r="I1748" s="41" t="str">
        <f aca="false">IF(F1748="","",IFERROR(IF(ISNUMBER(SEARCH(Assumptions!$C$5,F1748)),Assumptions!$D$5,IF(ISNUMBER(SEARCH(Assumptions!$C$6,F1748)),Assumptions!$D$6,IF(ISNUMBER(SEARCH(Assumptions!$C$7,F1748)),Assumptions!$D$7,"Other Services"))),"Other Services"))</f>
        <v/>
      </c>
    </row>
    <row r="1749" customFormat="false" ht="15" hidden="false" customHeight="false" outlineLevel="0" collapsed="false">
      <c r="I1749" s="41" t="str">
        <f aca="false">IF(F1749="","",IFERROR(IF(ISNUMBER(SEARCH(Assumptions!$C$5,F1749)),Assumptions!$D$5,IF(ISNUMBER(SEARCH(Assumptions!$C$6,F1749)),Assumptions!$D$6,IF(ISNUMBER(SEARCH(Assumptions!$C$7,F1749)),Assumptions!$D$7,"Other Services"))),"Other Services"))</f>
        <v/>
      </c>
    </row>
    <row r="1750" customFormat="false" ht="15" hidden="false" customHeight="false" outlineLevel="0" collapsed="false">
      <c r="I1750" s="41" t="str">
        <f aca="false">IF(F1750="","",IFERROR(IF(ISNUMBER(SEARCH(Assumptions!$C$5,F1750)),Assumptions!$D$5,IF(ISNUMBER(SEARCH(Assumptions!$C$6,F1750)),Assumptions!$D$6,IF(ISNUMBER(SEARCH(Assumptions!$C$7,F1750)),Assumptions!$D$7,"Other Services"))),"Other Services"))</f>
        <v/>
      </c>
    </row>
    <row r="1751" customFormat="false" ht="15" hidden="false" customHeight="false" outlineLevel="0" collapsed="false">
      <c r="I1751" s="41" t="str">
        <f aca="false">IF(F1751="","",IFERROR(IF(ISNUMBER(SEARCH(Assumptions!$C$5,F1751)),Assumptions!$D$5,IF(ISNUMBER(SEARCH(Assumptions!$C$6,F1751)),Assumptions!$D$6,IF(ISNUMBER(SEARCH(Assumptions!$C$7,F1751)),Assumptions!$D$7,"Other Services"))),"Other Services"))</f>
        <v/>
      </c>
    </row>
    <row r="1752" customFormat="false" ht="15" hidden="false" customHeight="false" outlineLevel="0" collapsed="false">
      <c r="I1752" s="41" t="str">
        <f aca="false">IF(F1752="","",IFERROR(IF(ISNUMBER(SEARCH(Assumptions!$C$5,F1752)),Assumptions!$D$5,IF(ISNUMBER(SEARCH(Assumptions!$C$6,F1752)),Assumptions!$D$6,IF(ISNUMBER(SEARCH(Assumptions!$C$7,F1752)),Assumptions!$D$7,"Other Services"))),"Other Services"))</f>
        <v/>
      </c>
    </row>
    <row r="1753" customFormat="false" ht="15" hidden="false" customHeight="false" outlineLevel="0" collapsed="false">
      <c r="I1753" s="41" t="str">
        <f aca="false">IF(F1753="","",IFERROR(IF(ISNUMBER(SEARCH(Assumptions!$C$5,F1753)),Assumptions!$D$5,IF(ISNUMBER(SEARCH(Assumptions!$C$6,F1753)),Assumptions!$D$6,IF(ISNUMBER(SEARCH(Assumptions!$C$7,F1753)),Assumptions!$D$7,"Other Services"))),"Other Services"))</f>
        <v/>
      </c>
    </row>
    <row r="1754" customFormat="false" ht="15" hidden="false" customHeight="false" outlineLevel="0" collapsed="false">
      <c r="I1754" s="41" t="str">
        <f aca="false">IF(F1754="","",IFERROR(IF(ISNUMBER(SEARCH(Assumptions!$C$5,F1754)),Assumptions!$D$5,IF(ISNUMBER(SEARCH(Assumptions!$C$6,F1754)),Assumptions!$D$6,IF(ISNUMBER(SEARCH(Assumptions!$C$7,F1754)),Assumptions!$D$7,"Other Services"))),"Other Services"))</f>
        <v/>
      </c>
    </row>
    <row r="1755" customFormat="false" ht="15" hidden="false" customHeight="false" outlineLevel="0" collapsed="false">
      <c r="I1755" s="41" t="str">
        <f aca="false">IF(F1755="","",IFERROR(IF(ISNUMBER(SEARCH(Assumptions!$C$5,F1755)),Assumptions!$D$5,IF(ISNUMBER(SEARCH(Assumptions!$C$6,F1755)),Assumptions!$D$6,IF(ISNUMBER(SEARCH(Assumptions!$C$7,F1755)),Assumptions!$D$7,"Other Services"))),"Other Services"))</f>
        <v/>
      </c>
    </row>
    <row r="1756" customFormat="false" ht="15" hidden="false" customHeight="false" outlineLevel="0" collapsed="false">
      <c r="I1756" s="41" t="str">
        <f aca="false">IF(F1756="","",IFERROR(IF(ISNUMBER(SEARCH(Assumptions!$C$5,F1756)),Assumptions!$D$5,IF(ISNUMBER(SEARCH(Assumptions!$C$6,F1756)),Assumptions!$D$6,IF(ISNUMBER(SEARCH(Assumptions!$C$7,F1756)),Assumptions!$D$7,"Other Services"))),"Other Services"))</f>
        <v/>
      </c>
    </row>
    <row r="1757" customFormat="false" ht="15" hidden="false" customHeight="false" outlineLevel="0" collapsed="false">
      <c r="I1757" s="41" t="str">
        <f aca="false">IF(F1757="","",IFERROR(IF(ISNUMBER(SEARCH(Assumptions!$C$5,F1757)),Assumptions!$D$5,IF(ISNUMBER(SEARCH(Assumptions!$C$6,F1757)),Assumptions!$D$6,IF(ISNUMBER(SEARCH(Assumptions!$C$7,F1757)),Assumptions!$D$7,"Other Services"))),"Other Services"))</f>
        <v/>
      </c>
    </row>
    <row r="1758" customFormat="false" ht="15" hidden="false" customHeight="false" outlineLevel="0" collapsed="false">
      <c r="I1758" s="41" t="str">
        <f aca="false">IF(F1758="","",IFERROR(IF(ISNUMBER(SEARCH(Assumptions!$C$5,F1758)),Assumptions!$D$5,IF(ISNUMBER(SEARCH(Assumptions!$C$6,F1758)),Assumptions!$D$6,IF(ISNUMBER(SEARCH(Assumptions!$C$7,F1758)),Assumptions!$D$7,"Other Services"))),"Other Services"))</f>
        <v/>
      </c>
    </row>
    <row r="1759" customFormat="false" ht="15" hidden="false" customHeight="false" outlineLevel="0" collapsed="false">
      <c r="I1759" s="41" t="str">
        <f aca="false">IF(F1759="","",IFERROR(IF(ISNUMBER(SEARCH(Assumptions!$C$5,F1759)),Assumptions!$D$5,IF(ISNUMBER(SEARCH(Assumptions!$C$6,F1759)),Assumptions!$D$6,IF(ISNUMBER(SEARCH(Assumptions!$C$7,F1759)),Assumptions!$D$7,"Other Services"))),"Other Services"))</f>
        <v/>
      </c>
    </row>
    <row r="1760" customFormat="false" ht="15" hidden="false" customHeight="false" outlineLevel="0" collapsed="false">
      <c r="I1760" s="41" t="str">
        <f aca="false">IF(F1760="","",IFERROR(IF(ISNUMBER(SEARCH(Assumptions!$C$5,F1760)),Assumptions!$D$5,IF(ISNUMBER(SEARCH(Assumptions!$C$6,F1760)),Assumptions!$D$6,IF(ISNUMBER(SEARCH(Assumptions!$C$7,F1760)),Assumptions!$D$7,"Other Services"))),"Other Services"))</f>
        <v/>
      </c>
    </row>
    <row r="1761" customFormat="false" ht="15" hidden="false" customHeight="false" outlineLevel="0" collapsed="false">
      <c r="I1761" s="41" t="str">
        <f aca="false">IF(F1761="","",IFERROR(IF(ISNUMBER(SEARCH(Assumptions!$C$5,F1761)),Assumptions!$D$5,IF(ISNUMBER(SEARCH(Assumptions!$C$6,F1761)),Assumptions!$D$6,IF(ISNUMBER(SEARCH(Assumptions!$C$7,F1761)),Assumptions!$D$7,"Other Services"))),"Other Services"))</f>
        <v/>
      </c>
    </row>
    <row r="1762" customFormat="false" ht="15" hidden="false" customHeight="false" outlineLevel="0" collapsed="false">
      <c r="I1762" s="41" t="str">
        <f aca="false">IF(F1762="","",IFERROR(IF(ISNUMBER(SEARCH(Assumptions!$C$5,F1762)),Assumptions!$D$5,IF(ISNUMBER(SEARCH(Assumptions!$C$6,F1762)),Assumptions!$D$6,IF(ISNUMBER(SEARCH(Assumptions!$C$7,F1762)),Assumptions!$D$7,"Other Services"))),"Other Services"))</f>
        <v/>
      </c>
    </row>
    <row r="1763" customFormat="false" ht="15" hidden="false" customHeight="false" outlineLevel="0" collapsed="false">
      <c r="I1763" s="41" t="str">
        <f aca="false">IF(F1763="","",IFERROR(IF(ISNUMBER(SEARCH(Assumptions!$C$5,F1763)),Assumptions!$D$5,IF(ISNUMBER(SEARCH(Assumptions!$C$6,F1763)),Assumptions!$D$6,IF(ISNUMBER(SEARCH(Assumptions!$C$7,F1763)),Assumptions!$D$7,"Other Services"))),"Other Services"))</f>
        <v/>
      </c>
    </row>
    <row r="1764" customFormat="false" ht="15" hidden="false" customHeight="false" outlineLevel="0" collapsed="false">
      <c r="I1764" s="41" t="str">
        <f aca="false">IF(F1764="","",IFERROR(IF(ISNUMBER(SEARCH(Assumptions!$C$5,F1764)),Assumptions!$D$5,IF(ISNUMBER(SEARCH(Assumptions!$C$6,F1764)),Assumptions!$D$6,IF(ISNUMBER(SEARCH(Assumptions!$C$7,F1764)),Assumptions!$D$7,"Other Services"))),"Other Services"))</f>
        <v/>
      </c>
    </row>
    <row r="1765" customFormat="false" ht="15" hidden="false" customHeight="false" outlineLevel="0" collapsed="false">
      <c r="I1765" s="41" t="str">
        <f aca="false">IF(F1765="","",IFERROR(IF(ISNUMBER(SEARCH(Assumptions!$C$5,F1765)),Assumptions!$D$5,IF(ISNUMBER(SEARCH(Assumptions!$C$6,F1765)),Assumptions!$D$6,IF(ISNUMBER(SEARCH(Assumptions!$C$7,F1765)),Assumptions!$D$7,"Other Services"))),"Other Services"))</f>
        <v/>
      </c>
    </row>
    <row r="1766" customFormat="false" ht="15" hidden="false" customHeight="false" outlineLevel="0" collapsed="false">
      <c r="I1766" s="41" t="str">
        <f aca="false">IF(F1766="","",IFERROR(IF(ISNUMBER(SEARCH(Assumptions!$C$5,F1766)),Assumptions!$D$5,IF(ISNUMBER(SEARCH(Assumptions!$C$6,F1766)),Assumptions!$D$6,IF(ISNUMBER(SEARCH(Assumptions!$C$7,F1766)),Assumptions!$D$7,"Other Services"))),"Other Services"))</f>
        <v/>
      </c>
    </row>
    <row r="1767" customFormat="false" ht="15" hidden="false" customHeight="false" outlineLevel="0" collapsed="false">
      <c r="I1767" s="41" t="str">
        <f aca="false">IF(F1767="","",IFERROR(IF(ISNUMBER(SEARCH(Assumptions!$C$5,F1767)),Assumptions!$D$5,IF(ISNUMBER(SEARCH(Assumptions!$C$6,F1767)),Assumptions!$D$6,IF(ISNUMBER(SEARCH(Assumptions!$C$7,F1767)),Assumptions!$D$7,"Other Services"))),"Other Services"))</f>
        <v/>
      </c>
    </row>
    <row r="1768" customFormat="false" ht="15" hidden="false" customHeight="false" outlineLevel="0" collapsed="false">
      <c r="I1768" s="41" t="str">
        <f aca="false">IF(F1768="","",IFERROR(IF(ISNUMBER(SEARCH(Assumptions!$C$5,F1768)),Assumptions!$D$5,IF(ISNUMBER(SEARCH(Assumptions!$C$6,F1768)),Assumptions!$D$6,IF(ISNUMBER(SEARCH(Assumptions!$C$7,F1768)),Assumptions!$D$7,"Other Services"))),"Other Services"))</f>
        <v/>
      </c>
    </row>
    <row r="1769" customFormat="false" ht="15" hidden="false" customHeight="false" outlineLevel="0" collapsed="false">
      <c r="I1769" s="41" t="str">
        <f aca="false">IF(F1769="","",IFERROR(IF(ISNUMBER(SEARCH(Assumptions!$C$5,F1769)),Assumptions!$D$5,IF(ISNUMBER(SEARCH(Assumptions!$C$6,F1769)),Assumptions!$D$6,IF(ISNUMBER(SEARCH(Assumptions!$C$7,F1769)),Assumptions!$D$7,"Other Services"))),"Other Services"))</f>
        <v/>
      </c>
    </row>
    <row r="1770" customFormat="false" ht="15" hidden="false" customHeight="false" outlineLevel="0" collapsed="false">
      <c r="I1770" s="41" t="str">
        <f aca="false">IF(F1770="","",IFERROR(IF(ISNUMBER(SEARCH(Assumptions!$C$5,F1770)),Assumptions!$D$5,IF(ISNUMBER(SEARCH(Assumptions!$C$6,F1770)),Assumptions!$D$6,IF(ISNUMBER(SEARCH(Assumptions!$C$7,F1770)),Assumptions!$D$7,"Other Services"))),"Other Services"))</f>
        <v/>
      </c>
    </row>
    <row r="1771" customFormat="false" ht="15" hidden="false" customHeight="false" outlineLevel="0" collapsed="false">
      <c r="I1771" s="41" t="str">
        <f aca="false">IF(F1771="","",IFERROR(IF(ISNUMBER(SEARCH(Assumptions!$C$5,F1771)),Assumptions!$D$5,IF(ISNUMBER(SEARCH(Assumptions!$C$6,F1771)),Assumptions!$D$6,IF(ISNUMBER(SEARCH(Assumptions!$C$7,F1771)),Assumptions!$D$7,"Other Services"))),"Other Services"))</f>
        <v/>
      </c>
    </row>
    <row r="1772" customFormat="false" ht="15" hidden="false" customHeight="false" outlineLevel="0" collapsed="false">
      <c r="I1772" s="41" t="str">
        <f aca="false">IF(F1772="","",IFERROR(IF(ISNUMBER(SEARCH(Assumptions!$C$5,F1772)),Assumptions!$D$5,IF(ISNUMBER(SEARCH(Assumptions!$C$6,F1772)),Assumptions!$D$6,IF(ISNUMBER(SEARCH(Assumptions!$C$7,F1772)),Assumptions!$D$7,"Other Services"))),"Other Services"))</f>
        <v/>
      </c>
    </row>
    <row r="1773" customFormat="false" ht="15" hidden="false" customHeight="false" outlineLevel="0" collapsed="false">
      <c r="I1773" s="41" t="str">
        <f aca="false">IF(F1773="","",IFERROR(IF(ISNUMBER(SEARCH(Assumptions!$C$5,F1773)),Assumptions!$D$5,IF(ISNUMBER(SEARCH(Assumptions!$C$6,F1773)),Assumptions!$D$6,IF(ISNUMBER(SEARCH(Assumptions!$C$7,F1773)),Assumptions!$D$7,"Other Services"))),"Other Services"))</f>
        <v/>
      </c>
    </row>
    <row r="1774" customFormat="false" ht="15" hidden="false" customHeight="false" outlineLevel="0" collapsed="false">
      <c r="I1774" s="41" t="str">
        <f aca="false">IF(F1774="","",IFERROR(IF(ISNUMBER(SEARCH(Assumptions!$C$5,F1774)),Assumptions!$D$5,IF(ISNUMBER(SEARCH(Assumptions!$C$6,F1774)),Assumptions!$D$6,IF(ISNUMBER(SEARCH(Assumptions!$C$7,F1774)),Assumptions!$D$7,"Other Services"))),"Other Services"))</f>
        <v/>
      </c>
    </row>
    <row r="1775" customFormat="false" ht="15" hidden="false" customHeight="false" outlineLevel="0" collapsed="false">
      <c r="I1775" s="41" t="str">
        <f aca="false">IF(F1775="","",IFERROR(IF(ISNUMBER(SEARCH(Assumptions!$C$5,F1775)),Assumptions!$D$5,IF(ISNUMBER(SEARCH(Assumptions!$C$6,F1775)),Assumptions!$D$6,IF(ISNUMBER(SEARCH(Assumptions!$C$7,F1775)),Assumptions!$D$7,"Other Services"))),"Other Services"))</f>
        <v/>
      </c>
    </row>
    <row r="1776" customFormat="false" ht="15" hidden="false" customHeight="false" outlineLevel="0" collapsed="false">
      <c r="I1776" s="41" t="str">
        <f aca="false">IF(F1776="","",IFERROR(IF(ISNUMBER(SEARCH(Assumptions!$C$5,F1776)),Assumptions!$D$5,IF(ISNUMBER(SEARCH(Assumptions!$C$6,F1776)),Assumptions!$D$6,IF(ISNUMBER(SEARCH(Assumptions!$C$7,F1776)),Assumptions!$D$7,"Other Services"))),"Other Services"))</f>
        <v/>
      </c>
    </row>
    <row r="1777" customFormat="false" ht="15" hidden="false" customHeight="false" outlineLevel="0" collapsed="false">
      <c r="I1777" s="41" t="str">
        <f aca="false">IF(F1777="","",IFERROR(IF(ISNUMBER(SEARCH(Assumptions!$C$5,F1777)),Assumptions!$D$5,IF(ISNUMBER(SEARCH(Assumptions!$C$6,F1777)),Assumptions!$D$6,IF(ISNUMBER(SEARCH(Assumptions!$C$7,F1777)),Assumptions!$D$7,"Other Services"))),"Other Services"))</f>
        <v/>
      </c>
    </row>
    <row r="1778" customFormat="false" ht="15" hidden="false" customHeight="false" outlineLevel="0" collapsed="false">
      <c r="I1778" s="41" t="str">
        <f aca="false">IF(F1778="","",IFERROR(IF(ISNUMBER(SEARCH(Assumptions!$C$5,F1778)),Assumptions!$D$5,IF(ISNUMBER(SEARCH(Assumptions!$C$6,F1778)),Assumptions!$D$6,IF(ISNUMBER(SEARCH(Assumptions!$C$7,F1778)),Assumptions!$D$7,"Other Services"))),"Other Services"))</f>
        <v/>
      </c>
    </row>
    <row r="1779" customFormat="false" ht="15" hidden="false" customHeight="false" outlineLevel="0" collapsed="false">
      <c r="I1779" s="41" t="str">
        <f aca="false">IF(F1779="","",IFERROR(IF(ISNUMBER(SEARCH(Assumptions!$C$5,F1779)),Assumptions!$D$5,IF(ISNUMBER(SEARCH(Assumptions!$C$6,F1779)),Assumptions!$D$6,IF(ISNUMBER(SEARCH(Assumptions!$C$7,F1779)),Assumptions!$D$7,"Other Services"))),"Other Services"))</f>
        <v/>
      </c>
    </row>
    <row r="1780" customFormat="false" ht="15" hidden="false" customHeight="false" outlineLevel="0" collapsed="false">
      <c r="I1780" s="41" t="str">
        <f aca="false">IF(F1780="","",IFERROR(IF(ISNUMBER(SEARCH(Assumptions!$C$5,F1780)),Assumptions!$D$5,IF(ISNUMBER(SEARCH(Assumptions!$C$6,F1780)),Assumptions!$D$6,IF(ISNUMBER(SEARCH(Assumptions!$C$7,F1780)),Assumptions!$D$7,"Other Services"))),"Other Services"))</f>
        <v/>
      </c>
    </row>
    <row r="1781" customFormat="false" ht="15" hidden="false" customHeight="false" outlineLevel="0" collapsed="false">
      <c r="I1781" s="41" t="str">
        <f aca="false">IF(F1781="","",IFERROR(IF(ISNUMBER(SEARCH(Assumptions!$C$5,F1781)),Assumptions!$D$5,IF(ISNUMBER(SEARCH(Assumptions!$C$6,F1781)),Assumptions!$D$6,IF(ISNUMBER(SEARCH(Assumptions!$C$7,F1781)),Assumptions!$D$7,"Other Services"))),"Other Services"))</f>
        <v/>
      </c>
    </row>
    <row r="1782" customFormat="false" ht="15" hidden="false" customHeight="false" outlineLevel="0" collapsed="false">
      <c r="I1782" s="41" t="str">
        <f aca="false">IF(F1782="","",IFERROR(IF(ISNUMBER(SEARCH(Assumptions!$C$5,F1782)),Assumptions!$D$5,IF(ISNUMBER(SEARCH(Assumptions!$C$6,F1782)),Assumptions!$D$6,IF(ISNUMBER(SEARCH(Assumptions!$C$7,F1782)),Assumptions!$D$7,"Other Services"))),"Other Services"))</f>
        <v/>
      </c>
    </row>
    <row r="1783" customFormat="false" ht="15" hidden="false" customHeight="false" outlineLevel="0" collapsed="false">
      <c r="I1783" s="41" t="str">
        <f aca="false">IF(F1783="","",IFERROR(IF(ISNUMBER(SEARCH(Assumptions!$C$5,F1783)),Assumptions!$D$5,IF(ISNUMBER(SEARCH(Assumptions!$C$6,F1783)),Assumptions!$D$6,IF(ISNUMBER(SEARCH(Assumptions!$C$7,F1783)),Assumptions!$D$7,"Other Services"))),"Other Services"))</f>
        <v/>
      </c>
    </row>
    <row r="1784" customFormat="false" ht="15" hidden="false" customHeight="false" outlineLevel="0" collapsed="false">
      <c r="I1784" s="41" t="str">
        <f aca="false">IF(F1784="","",IFERROR(IF(ISNUMBER(SEARCH(Assumptions!$C$5,F1784)),Assumptions!$D$5,IF(ISNUMBER(SEARCH(Assumptions!$C$6,F1784)),Assumptions!$D$6,IF(ISNUMBER(SEARCH(Assumptions!$C$7,F1784)),Assumptions!$D$7,"Other Services"))),"Other Services"))</f>
        <v/>
      </c>
    </row>
    <row r="1785" customFormat="false" ht="15" hidden="false" customHeight="false" outlineLevel="0" collapsed="false">
      <c r="I1785" s="41" t="str">
        <f aca="false">IF(F1785="","",IFERROR(IF(ISNUMBER(SEARCH(Assumptions!$C$5,F1785)),Assumptions!$D$5,IF(ISNUMBER(SEARCH(Assumptions!$C$6,F1785)),Assumptions!$D$6,IF(ISNUMBER(SEARCH(Assumptions!$C$7,F1785)),Assumptions!$D$7,"Other Services"))),"Other Services"))</f>
        <v/>
      </c>
    </row>
    <row r="1786" customFormat="false" ht="15" hidden="false" customHeight="false" outlineLevel="0" collapsed="false">
      <c r="I1786" s="41" t="str">
        <f aca="false">IF(F1786="","",IFERROR(IF(ISNUMBER(SEARCH(Assumptions!$C$5,F1786)),Assumptions!$D$5,IF(ISNUMBER(SEARCH(Assumptions!$C$6,F1786)),Assumptions!$D$6,IF(ISNUMBER(SEARCH(Assumptions!$C$7,F1786)),Assumptions!$D$7,"Other Services"))),"Other Services"))</f>
        <v/>
      </c>
    </row>
    <row r="1787" customFormat="false" ht="15" hidden="false" customHeight="false" outlineLevel="0" collapsed="false">
      <c r="I1787" s="41" t="str">
        <f aca="false">IF(F1787="","",IFERROR(IF(ISNUMBER(SEARCH(Assumptions!$C$5,F1787)),Assumptions!$D$5,IF(ISNUMBER(SEARCH(Assumptions!$C$6,F1787)),Assumptions!$D$6,IF(ISNUMBER(SEARCH(Assumptions!$C$7,F1787)),Assumptions!$D$7,"Other Services"))),"Other Services"))</f>
        <v/>
      </c>
    </row>
    <row r="1788" customFormat="false" ht="15" hidden="false" customHeight="false" outlineLevel="0" collapsed="false">
      <c r="I1788" s="41" t="str">
        <f aca="false">IF(F1788="","",IFERROR(IF(ISNUMBER(SEARCH(Assumptions!$C$5,F1788)),Assumptions!$D$5,IF(ISNUMBER(SEARCH(Assumptions!$C$6,F1788)),Assumptions!$D$6,IF(ISNUMBER(SEARCH(Assumptions!$C$7,F1788)),Assumptions!$D$7,"Other Services"))),"Other Services"))</f>
        <v/>
      </c>
    </row>
    <row r="1789" customFormat="false" ht="15" hidden="false" customHeight="false" outlineLevel="0" collapsed="false">
      <c r="I1789" s="41" t="str">
        <f aca="false">IF(F1789="","",IFERROR(IF(ISNUMBER(SEARCH(Assumptions!$C$5,F1789)),Assumptions!$D$5,IF(ISNUMBER(SEARCH(Assumptions!$C$6,F1789)),Assumptions!$D$6,IF(ISNUMBER(SEARCH(Assumptions!$C$7,F1789)),Assumptions!$D$7,"Other Services"))),"Other Services"))</f>
        <v/>
      </c>
    </row>
    <row r="1790" customFormat="false" ht="15" hidden="false" customHeight="false" outlineLevel="0" collapsed="false">
      <c r="I1790" s="41" t="str">
        <f aca="false">IF(F1790="","",IFERROR(IF(ISNUMBER(SEARCH(Assumptions!$C$5,F1790)),Assumptions!$D$5,IF(ISNUMBER(SEARCH(Assumptions!$C$6,F1790)),Assumptions!$D$6,IF(ISNUMBER(SEARCH(Assumptions!$C$7,F1790)),Assumptions!$D$7,"Other Services"))),"Other Services"))</f>
        <v/>
      </c>
    </row>
    <row r="1791" customFormat="false" ht="15" hidden="false" customHeight="false" outlineLevel="0" collapsed="false">
      <c r="I1791" s="41" t="str">
        <f aca="false">IF(F1791="","",IFERROR(IF(ISNUMBER(SEARCH(Assumptions!$C$5,F1791)),Assumptions!$D$5,IF(ISNUMBER(SEARCH(Assumptions!$C$6,F1791)),Assumptions!$D$6,IF(ISNUMBER(SEARCH(Assumptions!$C$7,F1791)),Assumptions!$D$7,"Other Services"))),"Other Services"))</f>
        <v/>
      </c>
    </row>
    <row r="1792" customFormat="false" ht="15" hidden="false" customHeight="false" outlineLevel="0" collapsed="false">
      <c r="I1792" s="41" t="str">
        <f aca="false">IF(F1792="","",IFERROR(IF(ISNUMBER(SEARCH(Assumptions!$C$5,F1792)),Assumptions!$D$5,IF(ISNUMBER(SEARCH(Assumptions!$C$6,F1792)),Assumptions!$D$6,IF(ISNUMBER(SEARCH(Assumptions!$C$7,F1792)),Assumptions!$D$7,"Other Services"))),"Other Services"))</f>
        <v/>
      </c>
    </row>
    <row r="1793" customFormat="false" ht="15" hidden="false" customHeight="false" outlineLevel="0" collapsed="false">
      <c r="I1793" s="41" t="str">
        <f aca="false">IF(F1793="","",IFERROR(IF(ISNUMBER(SEARCH(Assumptions!$C$5,F1793)),Assumptions!$D$5,IF(ISNUMBER(SEARCH(Assumptions!$C$6,F1793)),Assumptions!$D$6,IF(ISNUMBER(SEARCH(Assumptions!$C$7,F1793)),Assumptions!$D$7,"Other Services"))),"Other Services"))</f>
        <v/>
      </c>
    </row>
    <row r="1794" customFormat="false" ht="15" hidden="false" customHeight="false" outlineLevel="0" collapsed="false">
      <c r="I1794" s="41" t="str">
        <f aca="false">IF(F1794="","",IFERROR(IF(ISNUMBER(SEARCH(Assumptions!$C$5,F1794)),Assumptions!$D$5,IF(ISNUMBER(SEARCH(Assumptions!$C$6,F1794)),Assumptions!$D$6,IF(ISNUMBER(SEARCH(Assumptions!$C$7,F1794)),Assumptions!$D$7,"Other Services"))),"Other Services"))</f>
        <v/>
      </c>
    </row>
    <row r="1795" customFormat="false" ht="15" hidden="false" customHeight="false" outlineLevel="0" collapsed="false">
      <c r="I1795" s="41" t="str">
        <f aca="false">IF(F1795="","",IFERROR(IF(ISNUMBER(SEARCH(Assumptions!$C$5,F1795)),Assumptions!$D$5,IF(ISNUMBER(SEARCH(Assumptions!$C$6,F1795)),Assumptions!$D$6,IF(ISNUMBER(SEARCH(Assumptions!$C$7,F1795)),Assumptions!$D$7,"Other Services"))),"Other Services"))</f>
        <v/>
      </c>
    </row>
    <row r="1796" customFormat="false" ht="15" hidden="false" customHeight="false" outlineLevel="0" collapsed="false">
      <c r="I1796" s="41" t="str">
        <f aca="false">IF(F1796="","",IFERROR(IF(ISNUMBER(SEARCH(Assumptions!$C$5,F1796)),Assumptions!$D$5,IF(ISNUMBER(SEARCH(Assumptions!$C$6,F1796)),Assumptions!$D$6,IF(ISNUMBER(SEARCH(Assumptions!$C$7,F1796)),Assumptions!$D$7,"Other Services"))),"Other Services"))</f>
        <v/>
      </c>
    </row>
    <row r="1797" customFormat="false" ht="15" hidden="false" customHeight="false" outlineLevel="0" collapsed="false">
      <c r="I1797" s="41" t="str">
        <f aca="false">IF(F1797="","",IFERROR(IF(ISNUMBER(SEARCH(Assumptions!$C$5,F1797)),Assumptions!$D$5,IF(ISNUMBER(SEARCH(Assumptions!$C$6,F1797)),Assumptions!$D$6,IF(ISNUMBER(SEARCH(Assumptions!$C$7,F1797)),Assumptions!$D$7,"Other Services"))),"Other Services"))</f>
        <v/>
      </c>
    </row>
    <row r="1798" customFormat="false" ht="15" hidden="false" customHeight="false" outlineLevel="0" collapsed="false">
      <c r="I1798" s="41" t="str">
        <f aca="false">IF(F1798="","",IFERROR(IF(ISNUMBER(SEARCH(Assumptions!$C$5,F1798)),Assumptions!$D$5,IF(ISNUMBER(SEARCH(Assumptions!$C$6,F1798)),Assumptions!$D$6,IF(ISNUMBER(SEARCH(Assumptions!$C$7,F1798)),Assumptions!$D$7,"Other Services"))),"Other Services"))</f>
        <v/>
      </c>
    </row>
    <row r="1799" customFormat="false" ht="15" hidden="false" customHeight="false" outlineLevel="0" collapsed="false">
      <c r="I1799" s="41" t="str">
        <f aca="false">IF(F1799="","",IFERROR(IF(ISNUMBER(SEARCH(Assumptions!$C$5,F1799)),Assumptions!$D$5,IF(ISNUMBER(SEARCH(Assumptions!$C$6,F1799)),Assumptions!$D$6,IF(ISNUMBER(SEARCH(Assumptions!$C$7,F1799)),Assumptions!$D$7,"Other Services"))),"Other Services"))</f>
        <v/>
      </c>
    </row>
    <row r="1800" customFormat="false" ht="15" hidden="false" customHeight="false" outlineLevel="0" collapsed="false">
      <c r="I1800" s="41" t="str">
        <f aca="false">IF(F1800="","",IFERROR(IF(ISNUMBER(SEARCH(Assumptions!$C$5,F1800)),Assumptions!$D$5,IF(ISNUMBER(SEARCH(Assumptions!$C$6,F1800)),Assumptions!$D$6,IF(ISNUMBER(SEARCH(Assumptions!$C$7,F1800)),Assumptions!$D$7,"Other Services"))),"Other Services"))</f>
        <v/>
      </c>
    </row>
    <row r="1801" customFormat="false" ht="15" hidden="false" customHeight="false" outlineLevel="0" collapsed="false">
      <c r="I1801" s="41" t="str">
        <f aca="false">IF(F1801="","",IFERROR(IF(ISNUMBER(SEARCH(Assumptions!$C$5,F1801)),Assumptions!$D$5,IF(ISNUMBER(SEARCH(Assumptions!$C$6,F1801)),Assumptions!$D$6,IF(ISNUMBER(SEARCH(Assumptions!$C$7,F1801)),Assumptions!$D$7,"Other Services"))),"Other Services"))</f>
        <v/>
      </c>
    </row>
    <row r="1802" customFormat="false" ht="15" hidden="false" customHeight="false" outlineLevel="0" collapsed="false">
      <c r="I1802" s="41" t="str">
        <f aca="false">IF(F1802="","",IFERROR(IF(ISNUMBER(SEARCH(Assumptions!$C$5,F1802)),Assumptions!$D$5,IF(ISNUMBER(SEARCH(Assumptions!$C$6,F1802)),Assumptions!$D$6,IF(ISNUMBER(SEARCH(Assumptions!$C$7,F1802)),Assumptions!$D$7,"Other Services"))),"Other Services"))</f>
        <v/>
      </c>
    </row>
    <row r="1803" customFormat="false" ht="15" hidden="false" customHeight="false" outlineLevel="0" collapsed="false">
      <c r="I1803" s="41" t="str">
        <f aca="false">IF(F1803="","",IFERROR(IF(ISNUMBER(SEARCH(Assumptions!$C$5,F1803)),Assumptions!$D$5,IF(ISNUMBER(SEARCH(Assumptions!$C$6,F1803)),Assumptions!$D$6,IF(ISNUMBER(SEARCH(Assumptions!$C$7,F1803)),Assumptions!$D$7,"Other Services"))),"Other Services"))</f>
        <v/>
      </c>
    </row>
    <row r="1804" customFormat="false" ht="15" hidden="false" customHeight="false" outlineLevel="0" collapsed="false">
      <c r="I1804" s="41" t="str">
        <f aca="false">IF(F1804="","",IFERROR(IF(ISNUMBER(SEARCH(Assumptions!$C$5,F1804)),Assumptions!$D$5,IF(ISNUMBER(SEARCH(Assumptions!$C$6,F1804)),Assumptions!$D$6,IF(ISNUMBER(SEARCH(Assumptions!$C$7,F1804)),Assumptions!$D$7,"Other Services"))),"Other Services"))</f>
        <v/>
      </c>
    </row>
    <row r="1805" customFormat="false" ht="15" hidden="false" customHeight="false" outlineLevel="0" collapsed="false">
      <c r="I1805" s="41" t="str">
        <f aca="false">IF(F1805="","",IFERROR(IF(ISNUMBER(SEARCH(Assumptions!$C$5,F1805)),Assumptions!$D$5,IF(ISNUMBER(SEARCH(Assumptions!$C$6,F1805)),Assumptions!$D$6,IF(ISNUMBER(SEARCH(Assumptions!$C$7,F1805)),Assumptions!$D$7,"Other Services"))),"Other Services"))</f>
        <v/>
      </c>
    </row>
    <row r="1806" customFormat="false" ht="15" hidden="false" customHeight="false" outlineLevel="0" collapsed="false">
      <c r="I1806" s="41" t="str">
        <f aca="false">IF(F1806="","",IFERROR(IF(ISNUMBER(SEARCH(Assumptions!$C$5,F1806)),Assumptions!$D$5,IF(ISNUMBER(SEARCH(Assumptions!$C$6,F1806)),Assumptions!$D$6,IF(ISNUMBER(SEARCH(Assumptions!$C$7,F1806)),Assumptions!$D$7,"Other Services"))),"Other Services"))</f>
        <v/>
      </c>
    </row>
    <row r="1807" customFormat="false" ht="15" hidden="false" customHeight="false" outlineLevel="0" collapsed="false">
      <c r="I1807" s="41" t="str">
        <f aca="false">IF(F1807="","",IFERROR(IF(ISNUMBER(SEARCH(Assumptions!$C$5,F1807)),Assumptions!$D$5,IF(ISNUMBER(SEARCH(Assumptions!$C$6,F1807)),Assumptions!$D$6,IF(ISNUMBER(SEARCH(Assumptions!$C$7,F1807)),Assumptions!$D$7,"Other Services"))),"Other Services"))</f>
        <v/>
      </c>
    </row>
    <row r="1808" customFormat="false" ht="15" hidden="false" customHeight="false" outlineLevel="0" collapsed="false">
      <c r="I1808" s="41" t="str">
        <f aca="false">IF(F1808="","",IFERROR(IF(ISNUMBER(SEARCH(Assumptions!$C$5,F1808)),Assumptions!$D$5,IF(ISNUMBER(SEARCH(Assumptions!$C$6,F1808)),Assumptions!$D$6,IF(ISNUMBER(SEARCH(Assumptions!$C$7,F1808)),Assumptions!$D$7,"Other Services"))),"Other Services"))</f>
        <v/>
      </c>
    </row>
    <row r="1809" customFormat="false" ht="15" hidden="false" customHeight="false" outlineLevel="0" collapsed="false">
      <c r="I1809" s="41" t="str">
        <f aca="false">IF(F1809="","",IFERROR(IF(ISNUMBER(SEARCH(Assumptions!$C$5,F1809)),Assumptions!$D$5,IF(ISNUMBER(SEARCH(Assumptions!$C$6,F1809)),Assumptions!$D$6,IF(ISNUMBER(SEARCH(Assumptions!$C$7,F1809)),Assumptions!$D$7,"Other Services"))),"Other Services"))</f>
        <v/>
      </c>
    </row>
    <row r="1810" customFormat="false" ht="15" hidden="false" customHeight="false" outlineLevel="0" collapsed="false">
      <c r="I1810" s="41" t="str">
        <f aca="false">IF(F1810="","",IFERROR(IF(ISNUMBER(SEARCH(Assumptions!$C$5,F1810)),Assumptions!$D$5,IF(ISNUMBER(SEARCH(Assumptions!$C$6,F1810)),Assumptions!$D$6,IF(ISNUMBER(SEARCH(Assumptions!$C$7,F1810)),Assumptions!$D$7,"Other Services"))),"Other Services"))</f>
        <v/>
      </c>
    </row>
    <row r="1811" customFormat="false" ht="15" hidden="false" customHeight="false" outlineLevel="0" collapsed="false">
      <c r="I1811" s="41" t="str">
        <f aca="false">IF(F1811="","",IFERROR(IF(ISNUMBER(SEARCH(Assumptions!$C$5,F1811)),Assumptions!$D$5,IF(ISNUMBER(SEARCH(Assumptions!$C$6,F1811)),Assumptions!$D$6,IF(ISNUMBER(SEARCH(Assumptions!$C$7,F1811)),Assumptions!$D$7,"Other Services"))),"Other Services"))</f>
        <v/>
      </c>
    </row>
    <row r="1812" customFormat="false" ht="15" hidden="false" customHeight="false" outlineLevel="0" collapsed="false">
      <c r="I1812" s="41" t="str">
        <f aca="false">IF(F1812="","",IFERROR(IF(ISNUMBER(SEARCH(Assumptions!$C$5,F1812)),Assumptions!$D$5,IF(ISNUMBER(SEARCH(Assumptions!$C$6,F1812)),Assumptions!$D$6,IF(ISNUMBER(SEARCH(Assumptions!$C$7,F1812)),Assumptions!$D$7,"Other Services"))),"Other Services"))</f>
        <v/>
      </c>
    </row>
    <row r="1813" customFormat="false" ht="15" hidden="false" customHeight="false" outlineLevel="0" collapsed="false">
      <c r="I1813" s="41" t="str">
        <f aca="false">IF(F1813="","",IFERROR(IF(ISNUMBER(SEARCH(Assumptions!$C$5,F1813)),Assumptions!$D$5,IF(ISNUMBER(SEARCH(Assumptions!$C$6,F1813)),Assumptions!$D$6,IF(ISNUMBER(SEARCH(Assumptions!$C$7,F1813)),Assumptions!$D$7,"Other Services"))),"Other Services"))</f>
        <v/>
      </c>
    </row>
    <row r="1814" customFormat="false" ht="15" hidden="false" customHeight="false" outlineLevel="0" collapsed="false">
      <c r="I1814" s="41" t="str">
        <f aca="false">IF(F1814="","",IFERROR(IF(ISNUMBER(SEARCH(Assumptions!$C$5,F1814)),Assumptions!$D$5,IF(ISNUMBER(SEARCH(Assumptions!$C$6,F1814)),Assumptions!$D$6,IF(ISNUMBER(SEARCH(Assumptions!$C$7,F1814)),Assumptions!$D$7,"Other Services"))),"Other Services"))</f>
        <v/>
      </c>
    </row>
    <row r="1815" customFormat="false" ht="15" hidden="false" customHeight="false" outlineLevel="0" collapsed="false">
      <c r="I1815" s="41" t="str">
        <f aca="false">IF(F1815="","",IFERROR(IF(ISNUMBER(SEARCH(Assumptions!$C$5,F1815)),Assumptions!$D$5,IF(ISNUMBER(SEARCH(Assumptions!$C$6,F1815)),Assumptions!$D$6,IF(ISNUMBER(SEARCH(Assumptions!$C$7,F1815)),Assumptions!$D$7,"Other Services"))),"Other Services"))</f>
        <v/>
      </c>
    </row>
    <row r="1816" customFormat="false" ht="15" hidden="false" customHeight="false" outlineLevel="0" collapsed="false">
      <c r="I1816" s="41" t="str">
        <f aca="false">IF(F1816="","",IFERROR(IF(ISNUMBER(SEARCH(Assumptions!$C$5,F1816)),Assumptions!$D$5,IF(ISNUMBER(SEARCH(Assumptions!$C$6,F1816)),Assumptions!$D$6,IF(ISNUMBER(SEARCH(Assumptions!$C$7,F1816)),Assumptions!$D$7,"Other Services"))),"Other Services"))</f>
        <v/>
      </c>
    </row>
    <row r="1817" customFormat="false" ht="15" hidden="false" customHeight="false" outlineLevel="0" collapsed="false">
      <c r="I1817" s="41" t="str">
        <f aca="false">IF(F1817="","",IFERROR(IF(ISNUMBER(SEARCH(Assumptions!$C$5,F1817)),Assumptions!$D$5,IF(ISNUMBER(SEARCH(Assumptions!$C$6,F1817)),Assumptions!$D$6,IF(ISNUMBER(SEARCH(Assumptions!$C$7,F1817)),Assumptions!$D$7,"Other Services"))),"Other Services"))</f>
        <v/>
      </c>
    </row>
    <row r="1818" customFormat="false" ht="15" hidden="false" customHeight="false" outlineLevel="0" collapsed="false">
      <c r="I1818" s="41" t="str">
        <f aca="false">IF(F1818="","",IFERROR(IF(ISNUMBER(SEARCH(Assumptions!$C$5,F1818)),Assumptions!$D$5,IF(ISNUMBER(SEARCH(Assumptions!$C$6,F1818)),Assumptions!$D$6,IF(ISNUMBER(SEARCH(Assumptions!$C$7,F1818)),Assumptions!$D$7,"Other Services"))),"Other Services"))</f>
        <v/>
      </c>
    </row>
    <row r="1819" customFormat="false" ht="15" hidden="false" customHeight="false" outlineLevel="0" collapsed="false">
      <c r="I1819" s="41" t="str">
        <f aca="false">IF(F1819="","",IFERROR(IF(ISNUMBER(SEARCH(Assumptions!$C$5,F1819)),Assumptions!$D$5,IF(ISNUMBER(SEARCH(Assumptions!$C$6,F1819)),Assumptions!$D$6,IF(ISNUMBER(SEARCH(Assumptions!$C$7,F1819)),Assumptions!$D$7,"Other Services"))),"Other Services"))</f>
        <v/>
      </c>
    </row>
    <row r="1820" customFormat="false" ht="15" hidden="false" customHeight="false" outlineLevel="0" collapsed="false">
      <c r="I1820" s="41" t="str">
        <f aca="false">IF(F1820="","",IFERROR(IF(ISNUMBER(SEARCH(Assumptions!$C$5,F1820)),Assumptions!$D$5,IF(ISNUMBER(SEARCH(Assumptions!$C$6,F1820)),Assumptions!$D$6,IF(ISNUMBER(SEARCH(Assumptions!$C$7,F1820)),Assumptions!$D$7,"Other Services"))),"Other Services"))</f>
        <v/>
      </c>
    </row>
    <row r="1821" customFormat="false" ht="15" hidden="false" customHeight="false" outlineLevel="0" collapsed="false">
      <c r="I1821" s="41" t="str">
        <f aca="false">IF(F1821="","",IFERROR(IF(ISNUMBER(SEARCH(Assumptions!$C$5,F1821)),Assumptions!$D$5,IF(ISNUMBER(SEARCH(Assumptions!$C$6,F1821)),Assumptions!$D$6,IF(ISNUMBER(SEARCH(Assumptions!$C$7,F1821)),Assumptions!$D$7,"Other Services"))),"Other Services"))</f>
        <v/>
      </c>
    </row>
    <row r="1822" customFormat="false" ht="15" hidden="false" customHeight="false" outlineLevel="0" collapsed="false">
      <c r="I1822" s="41" t="str">
        <f aca="false">IF(F1822="","",IFERROR(IF(ISNUMBER(SEARCH(Assumptions!$C$5,F1822)),Assumptions!$D$5,IF(ISNUMBER(SEARCH(Assumptions!$C$6,F1822)),Assumptions!$D$6,IF(ISNUMBER(SEARCH(Assumptions!$C$7,F1822)),Assumptions!$D$7,"Other Services"))),"Other Services"))</f>
        <v/>
      </c>
    </row>
    <row r="1823" customFormat="false" ht="15" hidden="false" customHeight="false" outlineLevel="0" collapsed="false">
      <c r="I1823" s="41" t="str">
        <f aca="false">IF(F1823="","",IFERROR(IF(ISNUMBER(SEARCH(Assumptions!$C$5,F1823)),Assumptions!$D$5,IF(ISNUMBER(SEARCH(Assumptions!$C$6,F1823)),Assumptions!$D$6,IF(ISNUMBER(SEARCH(Assumptions!$C$7,F1823)),Assumptions!$D$7,"Other Services"))),"Other Services"))</f>
        <v/>
      </c>
    </row>
    <row r="1824" customFormat="false" ht="15" hidden="false" customHeight="false" outlineLevel="0" collapsed="false">
      <c r="I1824" s="41" t="str">
        <f aca="false">IF(F1824="","",IFERROR(IF(ISNUMBER(SEARCH(Assumptions!$C$5,F1824)),Assumptions!$D$5,IF(ISNUMBER(SEARCH(Assumptions!$C$6,F1824)),Assumptions!$D$6,IF(ISNUMBER(SEARCH(Assumptions!$C$7,F1824)),Assumptions!$D$7,"Other Services"))),"Other Services"))</f>
        <v/>
      </c>
    </row>
    <row r="1825" customFormat="false" ht="15" hidden="false" customHeight="false" outlineLevel="0" collapsed="false">
      <c r="I1825" s="41" t="str">
        <f aca="false">IF(F1825="","",IFERROR(IF(ISNUMBER(SEARCH(Assumptions!$C$5,F1825)),Assumptions!$D$5,IF(ISNUMBER(SEARCH(Assumptions!$C$6,F1825)),Assumptions!$D$6,IF(ISNUMBER(SEARCH(Assumptions!$C$7,F1825)),Assumptions!$D$7,"Other Services"))),"Other Services"))</f>
        <v/>
      </c>
    </row>
    <row r="1826" customFormat="false" ht="15" hidden="false" customHeight="false" outlineLevel="0" collapsed="false">
      <c r="I1826" s="41" t="str">
        <f aca="false">IF(F1826="","",IFERROR(IF(ISNUMBER(SEARCH(Assumptions!$C$5,F1826)),Assumptions!$D$5,IF(ISNUMBER(SEARCH(Assumptions!$C$6,F1826)),Assumptions!$D$6,IF(ISNUMBER(SEARCH(Assumptions!$C$7,F1826)),Assumptions!$D$7,"Other Services"))),"Other Services"))</f>
        <v/>
      </c>
    </row>
    <row r="1827" customFormat="false" ht="15" hidden="false" customHeight="false" outlineLevel="0" collapsed="false">
      <c r="I1827" s="41" t="str">
        <f aca="false">IF(F1827="","",IFERROR(IF(ISNUMBER(SEARCH(Assumptions!$C$5,F1827)),Assumptions!$D$5,IF(ISNUMBER(SEARCH(Assumptions!$C$6,F1827)),Assumptions!$D$6,IF(ISNUMBER(SEARCH(Assumptions!$C$7,F1827)),Assumptions!$D$7,"Other Services"))),"Other Services"))</f>
        <v/>
      </c>
    </row>
    <row r="1828" customFormat="false" ht="15" hidden="false" customHeight="false" outlineLevel="0" collapsed="false">
      <c r="I1828" s="41" t="str">
        <f aca="false">IF(F1828="","",IFERROR(IF(ISNUMBER(SEARCH(Assumptions!$C$5,F1828)),Assumptions!$D$5,IF(ISNUMBER(SEARCH(Assumptions!$C$6,F1828)),Assumptions!$D$6,IF(ISNUMBER(SEARCH(Assumptions!$C$7,F1828)),Assumptions!$D$7,"Other Services"))),"Other Services"))</f>
        <v/>
      </c>
    </row>
    <row r="1829" customFormat="false" ht="15" hidden="false" customHeight="false" outlineLevel="0" collapsed="false">
      <c r="I1829" s="41" t="str">
        <f aca="false">IF(F1829="","",IFERROR(IF(ISNUMBER(SEARCH(Assumptions!$C$5,F1829)),Assumptions!$D$5,IF(ISNUMBER(SEARCH(Assumptions!$C$6,F1829)),Assumptions!$D$6,IF(ISNUMBER(SEARCH(Assumptions!$C$7,F1829)),Assumptions!$D$7,"Other Services"))),"Other Services"))</f>
        <v/>
      </c>
    </row>
    <row r="1830" customFormat="false" ht="15" hidden="false" customHeight="false" outlineLevel="0" collapsed="false">
      <c r="I1830" s="41" t="str">
        <f aca="false">IF(F1830="","",IFERROR(IF(ISNUMBER(SEARCH(Assumptions!$C$5,F1830)),Assumptions!$D$5,IF(ISNUMBER(SEARCH(Assumptions!$C$6,F1830)),Assumptions!$D$6,IF(ISNUMBER(SEARCH(Assumptions!$C$7,F1830)),Assumptions!$D$7,"Other Services"))),"Other Services"))</f>
        <v/>
      </c>
    </row>
    <row r="1831" customFormat="false" ht="15" hidden="false" customHeight="false" outlineLevel="0" collapsed="false">
      <c r="I1831" s="41" t="str">
        <f aca="false">IF(F1831="","",IFERROR(IF(ISNUMBER(SEARCH(Assumptions!$C$5,F1831)),Assumptions!$D$5,IF(ISNUMBER(SEARCH(Assumptions!$C$6,F1831)),Assumptions!$D$6,IF(ISNUMBER(SEARCH(Assumptions!$C$7,F1831)),Assumptions!$D$7,"Other Services"))),"Other Services"))</f>
        <v/>
      </c>
    </row>
    <row r="1832" customFormat="false" ht="15" hidden="false" customHeight="false" outlineLevel="0" collapsed="false">
      <c r="I1832" s="41" t="str">
        <f aca="false">IF(F1832="","",IFERROR(IF(ISNUMBER(SEARCH(Assumptions!$C$5,F1832)),Assumptions!$D$5,IF(ISNUMBER(SEARCH(Assumptions!$C$6,F1832)),Assumptions!$D$6,IF(ISNUMBER(SEARCH(Assumptions!$C$7,F1832)),Assumptions!$D$7,"Other Services"))),"Other Services"))</f>
        <v/>
      </c>
    </row>
    <row r="1833" customFormat="false" ht="15" hidden="false" customHeight="false" outlineLevel="0" collapsed="false">
      <c r="I1833" s="41" t="str">
        <f aca="false">IF(F1833="","",IFERROR(IF(ISNUMBER(SEARCH(Assumptions!$C$5,F1833)),Assumptions!$D$5,IF(ISNUMBER(SEARCH(Assumptions!$C$6,F1833)),Assumptions!$D$6,IF(ISNUMBER(SEARCH(Assumptions!$C$7,F1833)),Assumptions!$D$7,"Other Services"))),"Other Services"))</f>
        <v/>
      </c>
    </row>
    <row r="1834" customFormat="false" ht="15" hidden="false" customHeight="false" outlineLevel="0" collapsed="false">
      <c r="I1834" s="41" t="str">
        <f aca="false">IF(F1834="","",IFERROR(IF(ISNUMBER(SEARCH(Assumptions!$C$5,F1834)),Assumptions!$D$5,IF(ISNUMBER(SEARCH(Assumptions!$C$6,F1834)),Assumptions!$D$6,IF(ISNUMBER(SEARCH(Assumptions!$C$7,F1834)),Assumptions!$D$7,"Other Services"))),"Other Services"))</f>
        <v/>
      </c>
    </row>
    <row r="1835" customFormat="false" ht="15" hidden="false" customHeight="false" outlineLevel="0" collapsed="false">
      <c r="I1835" s="41" t="str">
        <f aca="false">IF(F1835="","",IFERROR(IF(ISNUMBER(SEARCH(Assumptions!$C$5,F1835)),Assumptions!$D$5,IF(ISNUMBER(SEARCH(Assumptions!$C$6,F1835)),Assumptions!$D$6,IF(ISNUMBER(SEARCH(Assumptions!$C$7,F1835)),Assumptions!$D$7,"Other Services"))),"Other Services"))</f>
        <v/>
      </c>
    </row>
    <row r="1836" customFormat="false" ht="15" hidden="false" customHeight="false" outlineLevel="0" collapsed="false">
      <c r="I1836" s="41" t="str">
        <f aca="false">IF(F1836="","",IFERROR(IF(ISNUMBER(SEARCH(Assumptions!$C$5,F1836)),Assumptions!$D$5,IF(ISNUMBER(SEARCH(Assumptions!$C$6,F1836)),Assumptions!$D$6,IF(ISNUMBER(SEARCH(Assumptions!$C$7,F1836)),Assumptions!$D$7,"Other Services"))),"Other Services"))</f>
        <v/>
      </c>
    </row>
    <row r="1837" customFormat="false" ht="15" hidden="false" customHeight="false" outlineLevel="0" collapsed="false">
      <c r="I1837" s="41" t="str">
        <f aca="false">IF(F1837="","",IFERROR(IF(ISNUMBER(SEARCH(Assumptions!$C$5,F1837)),Assumptions!$D$5,IF(ISNUMBER(SEARCH(Assumptions!$C$6,F1837)),Assumptions!$D$6,IF(ISNUMBER(SEARCH(Assumptions!$C$7,F1837)),Assumptions!$D$7,"Other Services"))),"Other Services"))</f>
        <v/>
      </c>
    </row>
    <row r="1838" customFormat="false" ht="15" hidden="false" customHeight="false" outlineLevel="0" collapsed="false">
      <c r="I1838" s="41" t="str">
        <f aca="false">IF(F1838="","",IFERROR(IF(ISNUMBER(SEARCH(Assumptions!$C$5,F1838)),Assumptions!$D$5,IF(ISNUMBER(SEARCH(Assumptions!$C$6,F1838)),Assumptions!$D$6,IF(ISNUMBER(SEARCH(Assumptions!$C$7,F1838)),Assumptions!$D$7,"Other Services"))),"Other Services"))</f>
        <v/>
      </c>
    </row>
    <row r="1839" customFormat="false" ht="15" hidden="false" customHeight="false" outlineLevel="0" collapsed="false">
      <c r="I1839" s="41" t="str">
        <f aca="false">IF(F1839="","",IFERROR(IF(ISNUMBER(SEARCH(Assumptions!$C$5,F1839)),Assumptions!$D$5,IF(ISNUMBER(SEARCH(Assumptions!$C$6,F1839)),Assumptions!$D$6,IF(ISNUMBER(SEARCH(Assumptions!$C$7,F1839)),Assumptions!$D$7,"Other Services"))),"Other Services"))</f>
        <v/>
      </c>
    </row>
    <row r="1840" customFormat="false" ht="15" hidden="false" customHeight="false" outlineLevel="0" collapsed="false">
      <c r="I1840" s="41" t="str">
        <f aca="false">IF(F1840="","",IFERROR(IF(ISNUMBER(SEARCH(Assumptions!$C$5,F1840)),Assumptions!$D$5,IF(ISNUMBER(SEARCH(Assumptions!$C$6,F1840)),Assumptions!$D$6,IF(ISNUMBER(SEARCH(Assumptions!$C$7,F1840)),Assumptions!$D$7,"Other Services"))),"Other Services"))</f>
        <v/>
      </c>
    </row>
    <row r="1841" customFormat="false" ht="15" hidden="false" customHeight="false" outlineLevel="0" collapsed="false">
      <c r="I1841" s="41" t="str">
        <f aca="false">IF(F1841="","",IFERROR(IF(ISNUMBER(SEARCH(Assumptions!$C$5,F1841)),Assumptions!$D$5,IF(ISNUMBER(SEARCH(Assumptions!$C$6,F1841)),Assumptions!$D$6,IF(ISNUMBER(SEARCH(Assumptions!$C$7,F1841)),Assumptions!$D$7,"Other Services"))),"Other Services"))</f>
        <v/>
      </c>
    </row>
    <row r="1842" customFormat="false" ht="15" hidden="false" customHeight="false" outlineLevel="0" collapsed="false">
      <c r="I1842" s="41" t="str">
        <f aca="false">IF(F1842="","",IFERROR(IF(ISNUMBER(SEARCH(Assumptions!$C$5,F1842)),Assumptions!$D$5,IF(ISNUMBER(SEARCH(Assumptions!$C$6,F1842)),Assumptions!$D$6,IF(ISNUMBER(SEARCH(Assumptions!$C$7,F1842)),Assumptions!$D$7,"Other Services"))),"Other Services"))</f>
        <v/>
      </c>
    </row>
    <row r="1843" customFormat="false" ht="15" hidden="false" customHeight="false" outlineLevel="0" collapsed="false">
      <c r="I1843" s="41" t="str">
        <f aca="false">IF(F1843="","",IFERROR(IF(ISNUMBER(SEARCH(Assumptions!$C$5,F1843)),Assumptions!$D$5,IF(ISNUMBER(SEARCH(Assumptions!$C$6,F1843)),Assumptions!$D$6,IF(ISNUMBER(SEARCH(Assumptions!$C$7,F1843)),Assumptions!$D$7,"Other Services"))),"Other Services"))</f>
        <v/>
      </c>
    </row>
    <row r="1844" customFormat="false" ht="15" hidden="false" customHeight="false" outlineLevel="0" collapsed="false">
      <c r="I1844" s="41" t="str">
        <f aca="false">IF(F1844="","",IFERROR(IF(ISNUMBER(SEARCH(Assumptions!$C$5,F1844)),Assumptions!$D$5,IF(ISNUMBER(SEARCH(Assumptions!$C$6,F1844)),Assumptions!$D$6,IF(ISNUMBER(SEARCH(Assumptions!$C$7,F1844)),Assumptions!$D$7,"Other Services"))),"Other Services"))</f>
        <v/>
      </c>
    </row>
    <row r="1845" customFormat="false" ht="15" hidden="false" customHeight="false" outlineLevel="0" collapsed="false">
      <c r="I1845" s="41" t="str">
        <f aca="false">IF(F1845="","",IFERROR(IF(ISNUMBER(SEARCH(Assumptions!$C$5,F1845)),Assumptions!$D$5,IF(ISNUMBER(SEARCH(Assumptions!$C$6,F1845)),Assumptions!$D$6,IF(ISNUMBER(SEARCH(Assumptions!$C$7,F1845)),Assumptions!$D$7,"Other Services"))),"Other Services"))</f>
        <v/>
      </c>
    </row>
    <row r="1846" customFormat="false" ht="15" hidden="false" customHeight="false" outlineLevel="0" collapsed="false">
      <c r="I1846" s="41" t="str">
        <f aca="false">IF(F1846="","",IFERROR(IF(ISNUMBER(SEARCH(Assumptions!$C$5,F1846)),Assumptions!$D$5,IF(ISNUMBER(SEARCH(Assumptions!$C$6,F1846)),Assumptions!$D$6,IF(ISNUMBER(SEARCH(Assumptions!$C$7,F1846)),Assumptions!$D$7,"Other Services"))),"Other Services"))</f>
        <v/>
      </c>
    </row>
    <row r="1847" customFormat="false" ht="15" hidden="false" customHeight="false" outlineLevel="0" collapsed="false">
      <c r="I1847" s="41" t="str">
        <f aca="false">IF(F1847="","",IFERROR(IF(ISNUMBER(SEARCH(Assumptions!$C$5,F1847)),Assumptions!$D$5,IF(ISNUMBER(SEARCH(Assumptions!$C$6,F1847)),Assumptions!$D$6,IF(ISNUMBER(SEARCH(Assumptions!$C$7,F1847)),Assumptions!$D$7,"Other Services"))),"Other Services"))</f>
        <v/>
      </c>
    </row>
    <row r="1848" customFormat="false" ht="15" hidden="false" customHeight="false" outlineLevel="0" collapsed="false">
      <c r="I1848" s="41" t="str">
        <f aca="false">IF(F1848="","",IFERROR(IF(ISNUMBER(SEARCH(Assumptions!$C$5,F1848)),Assumptions!$D$5,IF(ISNUMBER(SEARCH(Assumptions!$C$6,F1848)),Assumptions!$D$6,IF(ISNUMBER(SEARCH(Assumptions!$C$7,F1848)),Assumptions!$D$7,"Other Services"))),"Other Services"))</f>
        <v/>
      </c>
    </row>
    <row r="1849" customFormat="false" ht="15" hidden="false" customHeight="false" outlineLevel="0" collapsed="false">
      <c r="I1849" s="41" t="str">
        <f aca="false">IF(F1849="","",IFERROR(IF(ISNUMBER(SEARCH(Assumptions!$C$5,F1849)),Assumptions!$D$5,IF(ISNUMBER(SEARCH(Assumptions!$C$6,F1849)),Assumptions!$D$6,IF(ISNUMBER(SEARCH(Assumptions!$C$7,F1849)),Assumptions!$D$7,"Other Services"))),"Other Services"))</f>
        <v/>
      </c>
    </row>
    <row r="1850" customFormat="false" ht="15" hidden="false" customHeight="false" outlineLevel="0" collapsed="false">
      <c r="I1850" s="41" t="str">
        <f aca="false">IF(F1850="","",IFERROR(IF(ISNUMBER(SEARCH(Assumptions!$C$5,F1850)),Assumptions!$D$5,IF(ISNUMBER(SEARCH(Assumptions!$C$6,F1850)),Assumptions!$D$6,IF(ISNUMBER(SEARCH(Assumptions!$C$7,F1850)),Assumptions!$D$7,"Other Services"))),"Other Services"))</f>
        <v/>
      </c>
    </row>
    <row r="1851" customFormat="false" ht="15" hidden="false" customHeight="false" outlineLevel="0" collapsed="false">
      <c r="I1851" s="41" t="str">
        <f aca="false">IF(F1851="","",IFERROR(IF(ISNUMBER(SEARCH(Assumptions!$C$5,F1851)),Assumptions!$D$5,IF(ISNUMBER(SEARCH(Assumptions!$C$6,F1851)),Assumptions!$D$6,IF(ISNUMBER(SEARCH(Assumptions!$C$7,F1851)),Assumptions!$D$7,"Other Services"))),"Other Services"))</f>
        <v/>
      </c>
    </row>
    <row r="1852" customFormat="false" ht="15" hidden="false" customHeight="false" outlineLevel="0" collapsed="false">
      <c r="I1852" s="41" t="str">
        <f aca="false">IF(F1852="","",IFERROR(IF(ISNUMBER(SEARCH(Assumptions!$C$5,F1852)),Assumptions!$D$5,IF(ISNUMBER(SEARCH(Assumptions!$C$6,F1852)),Assumptions!$D$6,IF(ISNUMBER(SEARCH(Assumptions!$C$7,F1852)),Assumptions!$D$7,"Other Services"))),"Other Services"))</f>
        <v/>
      </c>
    </row>
    <row r="1853" customFormat="false" ht="15" hidden="false" customHeight="false" outlineLevel="0" collapsed="false">
      <c r="I1853" s="41" t="str">
        <f aca="false">IF(F1853="","",IFERROR(IF(ISNUMBER(SEARCH(Assumptions!$C$5,F1853)),Assumptions!$D$5,IF(ISNUMBER(SEARCH(Assumptions!$C$6,F1853)),Assumptions!$D$6,IF(ISNUMBER(SEARCH(Assumptions!$C$7,F1853)),Assumptions!$D$7,"Other Services"))),"Other Services"))</f>
        <v/>
      </c>
    </row>
    <row r="1854" customFormat="false" ht="15" hidden="false" customHeight="false" outlineLevel="0" collapsed="false">
      <c r="I1854" s="41" t="str">
        <f aca="false">IF(F1854="","",IFERROR(IF(ISNUMBER(SEARCH(Assumptions!$C$5,F1854)),Assumptions!$D$5,IF(ISNUMBER(SEARCH(Assumptions!$C$6,F1854)),Assumptions!$D$6,IF(ISNUMBER(SEARCH(Assumptions!$C$7,F1854)),Assumptions!$D$7,"Other Services"))),"Other Services"))</f>
        <v/>
      </c>
    </row>
    <row r="1855" customFormat="false" ht="15" hidden="false" customHeight="false" outlineLevel="0" collapsed="false">
      <c r="I1855" s="41" t="str">
        <f aca="false">IF(F1855="","",IFERROR(IF(ISNUMBER(SEARCH(Assumptions!$C$5,F1855)),Assumptions!$D$5,IF(ISNUMBER(SEARCH(Assumptions!$C$6,F1855)),Assumptions!$D$6,IF(ISNUMBER(SEARCH(Assumptions!$C$7,F1855)),Assumptions!$D$7,"Other Services"))),"Other Services"))</f>
        <v/>
      </c>
    </row>
    <row r="1856" customFormat="false" ht="15" hidden="false" customHeight="false" outlineLevel="0" collapsed="false">
      <c r="I1856" s="41" t="str">
        <f aca="false">IF(F1856="","",IFERROR(IF(ISNUMBER(SEARCH(Assumptions!$C$5,F1856)),Assumptions!$D$5,IF(ISNUMBER(SEARCH(Assumptions!$C$6,F1856)),Assumptions!$D$6,IF(ISNUMBER(SEARCH(Assumptions!$C$7,F1856)),Assumptions!$D$7,"Other Services"))),"Other Services"))</f>
        <v/>
      </c>
    </row>
    <row r="1857" customFormat="false" ht="15" hidden="false" customHeight="false" outlineLevel="0" collapsed="false">
      <c r="I1857" s="41" t="str">
        <f aca="false">IF(F1857="","",IFERROR(IF(ISNUMBER(SEARCH(Assumptions!$C$5,F1857)),Assumptions!$D$5,IF(ISNUMBER(SEARCH(Assumptions!$C$6,F1857)),Assumptions!$D$6,IF(ISNUMBER(SEARCH(Assumptions!$C$7,F1857)),Assumptions!$D$7,"Other Services"))),"Other Services"))</f>
        <v/>
      </c>
    </row>
    <row r="1858" customFormat="false" ht="15" hidden="false" customHeight="false" outlineLevel="0" collapsed="false">
      <c r="I1858" s="41" t="str">
        <f aca="false">IF(F1858="","",IFERROR(IF(ISNUMBER(SEARCH(Assumptions!$C$5,F1858)),Assumptions!$D$5,IF(ISNUMBER(SEARCH(Assumptions!$C$6,F1858)),Assumptions!$D$6,IF(ISNUMBER(SEARCH(Assumptions!$C$7,F1858)),Assumptions!$D$7,"Other Services"))),"Other Services"))</f>
        <v/>
      </c>
    </row>
    <row r="1859" customFormat="false" ht="15" hidden="false" customHeight="false" outlineLevel="0" collapsed="false">
      <c r="I1859" s="41" t="str">
        <f aca="false">IF(F1859="","",IFERROR(IF(ISNUMBER(SEARCH(Assumptions!$C$5,F1859)),Assumptions!$D$5,IF(ISNUMBER(SEARCH(Assumptions!$C$6,F1859)),Assumptions!$D$6,IF(ISNUMBER(SEARCH(Assumptions!$C$7,F1859)),Assumptions!$D$7,"Other Services"))),"Other Services"))</f>
        <v/>
      </c>
    </row>
    <row r="1860" customFormat="false" ht="15" hidden="false" customHeight="false" outlineLevel="0" collapsed="false">
      <c r="I1860" s="41" t="str">
        <f aca="false">IF(F1860="","",IFERROR(IF(ISNUMBER(SEARCH(Assumptions!$C$5,F1860)),Assumptions!$D$5,IF(ISNUMBER(SEARCH(Assumptions!$C$6,F1860)),Assumptions!$D$6,IF(ISNUMBER(SEARCH(Assumptions!$C$7,F1860)),Assumptions!$D$7,"Other Services"))),"Other Services"))</f>
        <v/>
      </c>
    </row>
    <row r="1861" customFormat="false" ht="15" hidden="false" customHeight="false" outlineLevel="0" collapsed="false">
      <c r="I1861" s="41" t="str">
        <f aca="false">IF(F1861="","",IFERROR(IF(ISNUMBER(SEARCH(Assumptions!$C$5,F1861)),Assumptions!$D$5,IF(ISNUMBER(SEARCH(Assumptions!$C$6,F1861)),Assumptions!$D$6,IF(ISNUMBER(SEARCH(Assumptions!$C$7,F1861)),Assumptions!$D$7,"Other Services"))),"Other Services"))</f>
        <v/>
      </c>
    </row>
    <row r="1862" customFormat="false" ht="15" hidden="false" customHeight="false" outlineLevel="0" collapsed="false">
      <c r="I1862" s="41" t="str">
        <f aca="false">IF(F1862="","",IFERROR(IF(ISNUMBER(SEARCH(Assumptions!$C$5,F1862)),Assumptions!$D$5,IF(ISNUMBER(SEARCH(Assumptions!$C$6,F1862)),Assumptions!$D$6,IF(ISNUMBER(SEARCH(Assumptions!$C$7,F1862)),Assumptions!$D$7,"Other Services"))),"Other Services"))</f>
        <v/>
      </c>
    </row>
    <row r="1863" customFormat="false" ht="15" hidden="false" customHeight="false" outlineLevel="0" collapsed="false">
      <c r="I1863" s="41" t="str">
        <f aca="false">IF(F1863="","",IFERROR(IF(ISNUMBER(SEARCH(Assumptions!$C$5,F1863)),Assumptions!$D$5,IF(ISNUMBER(SEARCH(Assumptions!$C$6,F1863)),Assumptions!$D$6,IF(ISNUMBER(SEARCH(Assumptions!$C$7,F1863)),Assumptions!$D$7,"Other Services"))),"Other Services"))</f>
        <v/>
      </c>
    </row>
    <row r="1864" customFormat="false" ht="15" hidden="false" customHeight="false" outlineLevel="0" collapsed="false">
      <c r="I1864" s="41" t="str">
        <f aca="false">IF(F1864="","",IFERROR(IF(ISNUMBER(SEARCH(Assumptions!$C$5,F1864)),Assumptions!$D$5,IF(ISNUMBER(SEARCH(Assumptions!$C$6,F1864)),Assumptions!$D$6,IF(ISNUMBER(SEARCH(Assumptions!$C$7,F1864)),Assumptions!$D$7,"Other Services"))),"Other Services"))</f>
        <v/>
      </c>
    </row>
    <row r="1865" customFormat="false" ht="15" hidden="false" customHeight="false" outlineLevel="0" collapsed="false">
      <c r="I1865" s="41" t="str">
        <f aca="false">IF(F1865="","",IFERROR(IF(ISNUMBER(SEARCH(Assumptions!$C$5,F1865)),Assumptions!$D$5,IF(ISNUMBER(SEARCH(Assumptions!$C$6,F1865)),Assumptions!$D$6,IF(ISNUMBER(SEARCH(Assumptions!$C$7,F1865)),Assumptions!$D$7,"Other Services"))),"Other Services"))</f>
        <v/>
      </c>
    </row>
    <row r="1866" customFormat="false" ht="15" hidden="false" customHeight="false" outlineLevel="0" collapsed="false">
      <c r="I1866" s="41" t="str">
        <f aca="false">IF(F1866="","",IFERROR(IF(ISNUMBER(SEARCH(Assumptions!$C$5,F1866)),Assumptions!$D$5,IF(ISNUMBER(SEARCH(Assumptions!$C$6,F1866)),Assumptions!$D$6,IF(ISNUMBER(SEARCH(Assumptions!$C$7,F1866)),Assumptions!$D$7,"Other Services"))),"Other Services"))</f>
        <v/>
      </c>
    </row>
    <row r="1867" customFormat="false" ht="15" hidden="false" customHeight="false" outlineLevel="0" collapsed="false">
      <c r="I1867" s="41" t="str">
        <f aca="false">IF(F1867="","",IFERROR(IF(ISNUMBER(SEARCH(Assumptions!$C$5,F1867)),Assumptions!$D$5,IF(ISNUMBER(SEARCH(Assumptions!$C$6,F1867)),Assumptions!$D$6,IF(ISNUMBER(SEARCH(Assumptions!$C$7,F1867)),Assumptions!$D$7,"Other Services"))),"Other Services"))</f>
        <v/>
      </c>
    </row>
    <row r="1868" customFormat="false" ht="15" hidden="false" customHeight="false" outlineLevel="0" collapsed="false">
      <c r="I1868" s="41" t="str">
        <f aca="false">IF(F1868="","",IFERROR(IF(ISNUMBER(SEARCH(Assumptions!$C$5,F1868)),Assumptions!$D$5,IF(ISNUMBER(SEARCH(Assumptions!$C$6,F1868)),Assumptions!$D$6,IF(ISNUMBER(SEARCH(Assumptions!$C$7,F1868)),Assumptions!$D$7,"Other Services"))),"Other Services"))</f>
        <v/>
      </c>
    </row>
    <row r="1869" customFormat="false" ht="15" hidden="false" customHeight="false" outlineLevel="0" collapsed="false">
      <c r="I1869" s="41" t="str">
        <f aca="false">IF(F1869="","",IFERROR(IF(ISNUMBER(SEARCH(Assumptions!$C$5,F1869)),Assumptions!$D$5,IF(ISNUMBER(SEARCH(Assumptions!$C$6,F1869)),Assumptions!$D$6,IF(ISNUMBER(SEARCH(Assumptions!$C$7,F1869)),Assumptions!$D$7,"Other Services"))),"Other Services"))</f>
        <v/>
      </c>
    </row>
    <row r="1870" customFormat="false" ht="15" hidden="false" customHeight="false" outlineLevel="0" collapsed="false">
      <c r="I1870" s="41" t="str">
        <f aca="false">IF(F1870="","",IFERROR(IF(ISNUMBER(SEARCH(Assumptions!$C$5,F1870)),Assumptions!$D$5,IF(ISNUMBER(SEARCH(Assumptions!$C$6,F1870)),Assumptions!$D$6,IF(ISNUMBER(SEARCH(Assumptions!$C$7,F1870)),Assumptions!$D$7,"Other Services"))),"Other Services"))</f>
        <v/>
      </c>
    </row>
    <row r="1871" customFormat="false" ht="15" hidden="false" customHeight="false" outlineLevel="0" collapsed="false">
      <c r="I1871" s="41" t="str">
        <f aca="false">IF(F1871="","",IFERROR(IF(ISNUMBER(SEARCH(Assumptions!$C$5,F1871)),Assumptions!$D$5,IF(ISNUMBER(SEARCH(Assumptions!$C$6,F1871)),Assumptions!$D$6,IF(ISNUMBER(SEARCH(Assumptions!$C$7,F1871)),Assumptions!$D$7,"Other Services"))),"Other Services"))</f>
        <v/>
      </c>
    </row>
    <row r="1872" customFormat="false" ht="15" hidden="false" customHeight="false" outlineLevel="0" collapsed="false">
      <c r="I1872" s="41" t="str">
        <f aca="false">IF(F1872="","",IFERROR(IF(ISNUMBER(SEARCH(Assumptions!$C$5,F1872)),Assumptions!$D$5,IF(ISNUMBER(SEARCH(Assumptions!$C$6,F1872)),Assumptions!$D$6,IF(ISNUMBER(SEARCH(Assumptions!$C$7,F1872)),Assumptions!$D$7,"Other Services"))),"Other Services"))</f>
        <v/>
      </c>
    </row>
    <row r="1873" customFormat="false" ht="15" hidden="false" customHeight="false" outlineLevel="0" collapsed="false">
      <c r="I1873" s="41" t="str">
        <f aca="false">IF(F1873="","",IFERROR(IF(ISNUMBER(SEARCH(Assumptions!$C$5,F1873)),Assumptions!$D$5,IF(ISNUMBER(SEARCH(Assumptions!$C$6,F1873)),Assumptions!$D$6,IF(ISNUMBER(SEARCH(Assumptions!$C$7,F1873)),Assumptions!$D$7,"Other Services"))),"Other Services"))</f>
        <v/>
      </c>
    </row>
    <row r="1874" customFormat="false" ht="15" hidden="false" customHeight="false" outlineLevel="0" collapsed="false">
      <c r="I1874" s="41" t="str">
        <f aca="false">IF(F1874="","",IFERROR(IF(ISNUMBER(SEARCH(Assumptions!$C$5,F1874)),Assumptions!$D$5,IF(ISNUMBER(SEARCH(Assumptions!$C$6,F1874)),Assumptions!$D$6,IF(ISNUMBER(SEARCH(Assumptions!$C$7,F1874)),Assumptions!$D$7,"Other Services"))),"Other Services"))</f>
        <v/>
      </c>
    </row>
    <row r="1875" customFormat="false" ht="15" hidden="false" customHeight="false" outlineLevel="0" collapsed="false">
      <c r="I1875" s="41" t="str">
        <f aca="false">IF(F1875="","",IFERROR(IF(ISNUMBER(SEARCH(Assumptions!$C$5,F1875)),Assumptions!$D$5,IF(ISNUMBER(SEARCH(Assumptions!$C$6,F1875)),Assumptions!$D$6,IF(ISNUMBER(SEARCH(Assumptions!$C$7,F1875)),Assumptions!$D$7,"Other Services"))),"Other Services"))</f>
        <v/>
      </c>
    </row>
    <row r="1876" customFormat="false" ht="15" hidden="false" customHeight="false" outlineLevel="0" collapsed="false">
      <c r="I1876" s="41" t="str">
        <f aca="false">IF(F1876="","",IFERROR(IF(ISNUMBER(SEARCH(Assumptions!$C$5,F1876)),Assumptions!$D$5,IF(ISNUMBER(SEARCH(Assumptions!$C$6,F1876)),Assumptions!$D$6,IF(ISNUMBER(SEARCH(Assumptions!$C$7,F1876)),Assumptions!$D$7,"Other Services"))),"Other Services"))</f>
        <v/>
      </c>
    </row>
    <row r="1877" customFormat="false" ht="15" hidden="false" customHeight="false" outlineLevel="0" collapsed="false">
      <c r="I1877" s="41" t="str">
        <f aca="false">IF(F1877="","",IFERROR(IF(ISNUMBER(SEARCH(Assumptions!$C$5,F1877)),Assumptions!$D$5,IF(ISNUMBER(SEARCH(Assumptions!$C$6,F1877)),Assumptions!$D$6,IF(ISNUMBER(SEARCH(Assumptions!$C$7,F1877)),Assumptions!$D$7,"Other Services"))),"Other Services"))</f>
        <v/>
      </c>
    </row>
    <row r="1878" customFormat="false" ht="15" hidden="false" customHeight="false" outlineLevel="0" collapsed="false">
      <c r="I1878" s="41" t="str">
        <f aca="false">IF(F1878="","",IFERROR(IF(ISNUMBER(SEARCH(Assumptions!$C$5,F1878)),Assumptions!$D$5,IF(ISNUMBER(SEARCH(Assumptions!$C$6,F1878)),Assumptions!$D$6,IF(ISNUMBER(SEARCH(Assumptions!$C$7,F1878)),Assumptions!$D$7,"Other Services"))),"Other Services"))</f>
        <v/>
      </c>
    </row>
    <row r="1879" customFormat="false" ht="15" hidden="false" customHeight="false" outlineLevel="0" collapsed="false">
      <c r="I1879" s="41" t="str">
        <f aca="false">IF(F1879="","",IFERROR(IF(ISNUMBER(SEARCH(Assumptions!$C$5,F1879)),Assumptions!$D$5,IF(ISNUMBER(SEARCH(Assumptions!$C$6,F1879)),Assumptions!$D$6,IF(ISNUMBER(SEARCH(Assumptions!$C$7,F1879)),Assumptions!$D$7,"Other Services"))),"Other Services"))</f>
        <v/>
      </c>
    </row>
    <row r="1880" customFormat="false" ht="15" hidden="false" customHeight="false" outlineLevel="0" collapsed="false">
      <c r="I1880" s="41" t="str">
        <f aca="false">IF(F1880="","",IFERROR(IF(ISNUMBER(SEARCH(Assumptions!$C$5,F1880)),Assumptions!$D$5,IF(ISNUMBER(SEARCH(Assumptions!$C$6,F1880)),Assumptions!$D$6,IF(ISNUMBER(SEARCH(Assumptions!$C$7,F1880)),Assumptions!$D$7,"Other Services"))),"Other Services"))</f>
        <v/>
      </c>
    </row>
    <row r="1881" customFormat="false" ht="15" hidden="false" customHeight="false" outlineLevel="0" collapsed="false">
      <c r="I1881" s="41" t="str">
        <f aca="false">IF(F1881="","",IFERROR(IF(ISNUMBER(SEARCH(Assumptions!$C$5,F1881)),Assumptions!$D$5,IF(ISNUMBER(SEARCH(Assumptions!$C$6,F1881)),Assumptions!$D$6,IF(ISNUMBER(SEARCH(Assumptions!$C$7,F1881)),Assumptions!$D$7,"Other Services"))),"Other Services"))</f>
        <v/>
      </c>
    </row>
    <row r="1882" customFormat="false" ht="15" hidden="false" customHeight="false" outlineLevel="0" collapsed="false">
      <c r="I1882" s="41" t="str">
        <f aca="false">IF(F1882="","",IFERROR(IF(ISNUMBER(SEARCH(Assumptions!$C$5,F1882)),Assumptions!$D$5,IF(ISNUMBER(SEARCH(Assumptions!$C$6,F1882)),Assumptions!$D$6,IF(ISNUMBER(SEARCH(Assumptions!$C$7,F1882)),Assumptions!$D$7,"Other Services"))),"Other Services"))</f>
        <v/>
      </c>
    </row>
    <row r="1883" customFormat="false" ht="15" hidden="false" customHeight="false" outlineLevel="0" collapsed="false">
      <c r="I1883" s="41" t="str">
        <f aca="false">IF(F1883="","",IFERROR(IF(ISNUMBER(SEARCH(Assumptions!$C$5,F1883)),Assumptions!$D$5,IF(ISNUMBER(SEARCH(Assumptions!$C$6,F1883)),Assumptions!$D$6,IF(ISNUMBER(SEARCH(Assumptions!$C$7,F1883)),Assumptions!$D$7,"Other Services"))),"Other Services"))</f>
        <v/>
      </c>
    </row>
    <row r="1884" customFormat="false" ht="15" hidden="false" customHeight="false" outlineLevel="0" collapsed="false">
      <c r="I1884" s="41" t="str">
        <f aca="false">IF(F1884="","",IFERROR(IF(ISNUMBER(SEARCH(Assumptions!$C$5,F1884)),Assumptions!$D$5,IF(ISNUMBER(SEARCH(Assumptions!$C$6,F1884)),Assumptions!$D$6,IF(ISNUMBER(SEARCH(Assumptions!$C$7,F1884)),Assumptions!$D$7,"Other Services"))),"Other Services"))</f>
        <v/>
      </c>
    </row>
    <row r="1885" customFormat="false" ht="15" hidden="false" customHeight="false" outlineLevel="0" collapsed="false">
      <c r="I1885" s="41" t="str">
        <f aca="false">IF(F1885="","",IFERROR(IF(ISNUMBER(SEARCH(Assumptions!$C$5,F1885)),Assumptions!$D$5,IF(ISNUMBER(SEARCH(Assumptions!$C$6,F1885)),Assumptions!$D$6,IF(ISNUMBER(SEARCH(Assumptions!$C$7,F1885)),Assumptions!$D$7,"Other Services"))),"Other Services"))</f>
        <v/>
      </c>
    </row>
    <row r="1886" customFormat="false" ht="15" hidden="false" customHeight="false" outlineLevel="0" collapsed="false">
      <c r="I1886" s="41" t="str">
        <f aca="false">IF(F1886="","",IFERROR(IF(ISNUMBER(SEARCH(Assumptions!$C$5,F1886)),Assumptions!$D$5,IF(ISNUMBER(SEARCH(Assumptions!$C$6,F1886)),Assumptions!$D$6,IF(ISNUMBER(SEARCH(Assumptions!$C$7,F1886)),Assumptions!$D$7,"Other Services"))),"Other Services"))</f>
        <v/>
      </c>
    </row>
    <row r="1887" customFormat="false" ht="15" hidden="false" customHeight="false" outlineLevel="0" collapsed="false">
      <c r="I1887" s="41" t="str">
        <f aca="false">IF(F1887="","",IFERROR(IF(ISNUMBER(SEARCH(Assumptions!$C$5,F1887)),Assumptions!$D$5,IF(ISNUMBER(SEARCH(Assumptions!$C$6,F1887)),Assumptions!$D$6,IF(ISNUMBER(SEARCH(Assumptions!$C$7,F1887)),Assumptions!$D$7,"Other Services"))),"Other Services"))</f>
        <v/>
      </c>
    </row>
    <row r="1888" customFormat="false" ht="15" hidden="false" customHeight="false" outlineLevel="0" collapsed="false">
      <c r="I1888" s="41" t="str">
        <f aca="false">IF(F1888="","",IFERROR(IF(ISNUMBER(SEARCH(Assumptions!$C$5,F1888)),Assumptions!$D$5,IF(ISNUMBER(SEARCH(Assumptions!$C$6,F1888)),Assumptions!$D$6,IF(ISNUMBER(SEARCH(Assumptions!$C$7,F1888)),Assumptions!$D$7,"Other Services"))),"Other Services"))</f>
        <v/>
      </c>
    </row>
    <row r="1889" customFormat="false" ht="15" hidden="false" customHeight="false" outlineLevel="0" collapsed="false">
      <c r="I1889" s="41" t="str">
        <f aca="false">IF(F1889="","",IFERROR(IF(ISNUMBER(SEARCH(Assumptions!$C$5,F1889)),Assumptions!$D$5,IF(ISNUMBER(SEARCH(Assumptions!$C$6,F1889)),Assumptions!$D$6,IF(ISNUMBER(SEARCH(Assumptions!$C$7,F1889)),Assumptions!$D$7,"Other Services"))),"Other Services"))</f>
        <v/>
      </c>
    </row>
    <row r="1890" customFormat="false" ht="15" hidden="false" customHeight="false" outlineLevel="0" collapsed="false">
      <c r="I1890" s="41" t="str">
        <f aca="false">IF(F1890="","",IFERROR(IF(ISNUMBER(SEARCH(Assumptions!$C$5,F1890)),Assumptions!$D$5,IF(ISNUMBER(SEARCH(Assumptions!$C$6,F1890)),Assumptions!$D$6,IF(ISNUMBER(SEARCH(Assumptions!$C$7,F1890)),Assumptions!$D$7,"Other Services"))),"Other Services"))</f>
        <v/>
      </c>
    </row>
    <row r="1891" customFormat="false" ht="15" hidden="false" customHeight="false" outlineLevel="0" collapsed="false">
      <c r="I1891" s="41" t="str">
        <f aca="false">IF(F1891="","",IFERROR(IF(ISNUMBER(SEARCH(Assumptions!$C$5,F1891)),Assumptions!$D$5,IF(ISNUMBER(SEARCH(Assumptions!$C$6,F1891)),Assumptions!$D$6,IF(ISNUMBER(SEARCH(Assumptions!$C$7,F1891)),Assumptions!$D$7,"Other Services"))),"Other Services"))</f>
        <v/>
      </c>
    </row>
    <row r="1892" customFormat="false" ht="15" hidden="false" customHeight="false" outlineLevel="0" collapsed="false">
      <c r="I1892" s="41" t="str">
        <f aca="false">IF(F1892="","",IFERROR(IF(ISNUMBER(SEARCH(Assumptions!$C$5,F1892)),Assumptions!$D$5,IF(ISNUMBER(SEARCH(Assumptions!$C$6,F1892)),Assumptions!$D$6,IF(ISNUMBER(SEARCH(Assumptions!$C$7,F1892)),Assumptions!$D$7,"Other Services"))),"Other Services"))</f>
        <v/>
      </c>
    </row>
    <row r="1893" customFormat="false" ht="15" hidden="false" customHeight="false" outlineLevel="0" collapsed="false">
      <c r="I1893" s="41" t="str">
        <f aca="false">IF(F1893="","",IFERROR(IF(ISNUMBER(SEARCH(Assumptions!$C$5,F1893)),Assumptions!$D$5,IF(ISNUMBER(SEARCH(Assumptions!$C$6,F1893)),Assumptions!$D$6,IF(ISNUMBER(SEARCH(Assumptions!$C$7,F1893)),Assumptions!$D$7,"Other Services"))),"Other Services"))</f>
        <v/>
      </c>
    </row>
    <row r="1894" customFormat="false" ht="15" hidden="false" customHeight="false" outlineLevel="0" collapsed="false">
      <c r="I1894" s="41" t="str">
        <f aca="false">IF(F1894="","",IFERROR(IF(ISNUMBER(SEARCH(Assumptions!$C$5,F1894)),Assumptions!$D$5,IF(ISNUMBER(SEARCH(Assumptions!$C$6,F1894)),Assumptions!$D$6,IF(ISNUMBER(SEARCH(Assumptions!$C$7,F1894)),Assumptions!$D$7,"Other Services"))),"Other Services"))</f>
        <v/>
      </c>
    </row>
    <row r="1895" customFormat="false" ht="15" hidden="false" customHeight="false" outlineLevel="0" collapsed="false">
      <c r="I1895" s="41" t="str">
        <f aca="false">IF(F1895="","",IFERROR(IF(ISNUMBER(SEARCH(Assumptions!$C$5,F1895)),Assumptions!$D$5,IF(ISNUMBER(SEARCH(Assumptions!$C$6,F1895)),Assumptions!$D$6,IF(ISNUMBER(SEARCH(Assumptions!$C$7,F1895)),Assumptions!$D$7,"Other Services"))),"Other Services"))</f>
        <v/>
      </c>
    </row>
    <row r="1896" customFormat="false" ht="15" hidden="false" customHeight="false" outlineLevel="0" collapsed="false">
      <c r="I1896" s="41" t="str">
        <f aca="false">IF(F1896="","",IFERROR(IF(ISNUMBER(SEARCH(Assumptions!$C$5,F1896)),Assumptions!$D$5,IF(ISNUMBER(SEARCH(Assumptions!$C$6,F1896)),Assumptions!$D$6,IF(ISNUMBER(SEARCH(Assumptions!$C$7,F1896)),Assumptions!$D$7,"Other Services"))),"Other Services"))</f>
        <v/>
      </c>
    </row>
    <row r="1897" customFormat="false" ht="15" hidden="false" customHeight="false" outlineLevel="0" collapsed="false">
      <c r="I1897" s="41" t="str">
        <f aca="false">IF(F1897="","",IFERROR(IF(ISNUMBER(SEARCH(Assumptions!$C$5,F1897)),Assumptions!$D$5,IF(ISNUMBER(SEARCH(Assumptions!$C$6,F1897)),Assumptions!$D$6,IF(ISNUMBER(SEARCH(Assumptions!$C$7,F1897)),Assumptions!$D$7,"Other Services"))),"Other Services"))</f>
        <v/>
      </c>
    </row>
    <row r="1898" customFormat="false" ht="15" hidden="false" customHeight="false" outlineLevel="0" collapsed="false">
      <c r="I1898" s="41" t="str">
        <f aca="false">IF(F1898="","",IFERROR(IF(ISNUMBER(SEARCH(Assumptions!$C$5,F1898)),Assumptions!$D$5,IF(ISNUMBER(SEARCH(Assumptions!$C$6,F1898)),Assumptions!$D$6,IF(ISNUMBER(SEARCH(Assumptions!$C$7,F1898)),Assumptions!$D$7,"Other Services"))),"Other Services"))</f>
        <v/>
      </c>
    </row>
    <row r="1899" customFormat="false" ht="15" hidden="false" customHeight="false" outlineLevel="0" collapsed="false">
      <c r="I1899" s="41" t="str">
        <f aca="false">IF(F1899="","",IFERROR(IF(ISNUMBER(SEARCH(Assumptions!$C$5,F1899)),Assumptions!$D$5,IF(ISNUMBER(SEARCH(Assumptions!$C$6,F1899)),Assumptions!$D$6,IF(ISNUMBER(SEARCH(Assumptions!$C$7,F1899)),Assumptions!$D$7,"Other Services"))),"Other Services"))</f>
        <v/>
      </c>
    </row>
    <row r="1900" customFormat="false" ht="15" hidden="false" customHeight="false" outlineLevel="0" collapsed="false">
      <c r="I1900" s="41" t="str">
        <f aca="false">IF(F1900="","",IFERROR(IF(ISNUMBER(SEARCH(Assumptions!$C$5,F1900)),Assumptions!$D$5,IF(ISNUMBER(SEARCH(Assumptions!$C$6,F1900)),Assumptions!$D$6,IF(ISNUMBER(SEARCH(Assumptions!$C$7,F1900)),Assumptions!$D$7,"Other Services"))),"Other Services"))</f>
        <v/>
      </c>
    </row>
    <row r="1901" customFormat="false" ht="15" hidden="false" customHeight="false" outlineLevel="0" collapsed="false">
      <c r="I1901" s="41" t="str">
        <f aca="false">IF(F1901="","",IFERROR(IF(ISNUMBER(SEARCH(Assumptions!$C$5,F1901)),Assumptions!$D$5,IF(ISNUMBER(SEARCH(Assumptions!$C$6,F1901)),Assumptions!$D$6,IF(ISNUMBER(SEARCH(Assumptions!$C$7,F1901)),Assumptions!$D$7,"Other Services"))),"Other Services"))</f>
        <v/>
      </c>
    </row>
    <row r="1902" customFormat="false" ht="15" hidden="false" customHeight="false" outlineLevel="0" collapsed="false">
      <c r="I1902" s="41" t="str">
        <f aca="false">IF(F1902="","",IFERROR(IF(ISNUMBER(SEARCH(Assumptions!$C$5,F1902)),Assumptions!$D$5,IF(ISNUMBER(SEARCH(Assumptions!$C$6,F1902)),Assumptions!$D$6,IF(ISNUMBER(SEARCH(Assumptions!$C$7,F1902)),Assumptions!$D$7,"Other Services"))),"Other Services"))</f>
        <v/>
      </c>
    </row>
    <row r="1903" customFormat="false" ht="15" hidden="false" customHeight="false" outlineLevel="0" collapsed="false">
      <c r="I1903" s="41" t="str">
        <f aca="false">IF(F1903="","",IFERROR(IF(ISNUMBER(SEARCH(Assumptions!$C$5,F1903)),Assumptions!$D$5,IF(ISNUMBER(SEARCH(Assumptions!$C$6,F1903)),Assumptions!$D$6,IF(ISNUMBER(SEARCH(Assumptions!$C$7,F1903)),Assumptions!$D$7,"Other Services"))),"Other Services"))</f>
        <v/>
      </c>
    </row>
    <row r="1904" customFormat="false" ht="15" hidden="false" customHeight="false" outlineLevel="0" collapsed="false">
      <c r="I1904" s="41" t="str">
        <f aca="false">IF(F1904="","",IFERROR(IF(ISNUMBER(SEARCH(Assumptions!$C$5,F1904)),Assumptions!$D$5,IF(ISNUMBER(SEARCH(Assumptions!$C$6,F1904)),Assumptions!$D$6,IF(ISNUMBER(SEARCH(Assumptions!$C$7,F1904)),Assumptions!$D$7,"Other Services"))),"Other Services"))</f>
        <v/>
      </c>
    </row>
    <row r="1905" customFormat="false" ht="15" hidden="false" customHeight="false" outlineLevel="0" collapsed="false">
      <c r="I1905" s="41" t="str">
        <f aca="false">IF(F1905="","",IFERROR(IF(ISNUMBER(SEARCH(Assumptions!$C$5,F1905)),Assumptions!$D$5,IF(ISNUMBER(SEARCH(Assumptions!$C$6,F1905)),Assumptions!$D$6,IF(ISNUMBER(SEARCH(Assumptions!$C$7,F1905)),Assumptions!$D$7,"Other Services"))),"Other Services"))</f>
        <v/>
      </c>
    </row>
    <row r="1906" customFormat="false" ht="15" hidden="false" customHeight="false" outlineLevel="0" collapsed="false">
      <c r="I1906" s="41" t="str">
        <f aca="false">IF(F1906="","",IFERROR(IF(ISNUMBER(SEARCH(Assumptions!$C$5,F1906)),Assumptions!$D$5,IF(ISNUMBER(SEARCH(Assumptions!$C$6,F1906)),Assumptions!$D$6,IF(ISNUMBER(SEARCH(Assumptions!$C$7,F1906)),Assumptions!$D$7,"Other Services"))),"Other Services"))</f>
        <v/>
      </c>
    </row>
    <row r="1907" customFormat="false" ht="15" hidden="false" customHeight="false" outlineLevel="0" collapsed="false">
      <c r="I1907" s="41" t="str">
        <f aca="false">IF(F1907="","",IFERROR(IF(ISNUMBER(SEARCH(Assumptions!$C$5,F1907)),Assumptions!$D$5,IF(ISNUMBER(SEARCH(Assumptions!$C$6,F1907)),Assumptions!$D$6,IF(ISNUMBER(SEARCH(Assumptions!$C$7,F1907)),Assumptions!$D$7,"Other Services"))),"Other Services"))</f>
        <v/>
      </c>
    </row>
    <row r="1908" customFormat="false" ht="15" hidden="false" customHeight="false" outlineLevel="0" collapsed="false">
      <c r="I1908" s="41" t="str">
        <f aca="false">IF(F1908="","",IFERROR(IF(ISNUMBER(SEARCH(Assumptions!$C$5,F1908)),Assumptions!$D$5,IF(ISNUMBER(SEARCH(Assumptions!$C$6,F1908)),Assumptions!$D$6,IF(ISNUMBER(SEARCH(Assumptions!$C$7,F1908)),Assumptions!$D$7,"Other Services"))),"Other Services"))</f>
        <v/>
      </c>
    </row>
    <row r="1909" customFormat="false" ht="15" hidden="false" customHeight="false" outlineLevel="0" collapsed="false">
      <c r="I1909" s="41" t="str">
        <f aca="false">IF(F1909="","",IFERROR(IF(ISNUMBER(SEARCH(Assumptions!$C$5,F1909)),Assumptions!$D$5,IF(ISNUMBER(SEARCH(Assumptions!$C$6,F1909)),Assumptions!$D$6,IF(ISNUMBER(SEARCH(Assumptions!$C$7,F1909)),Assumptions!$D$7,"Other Services"))),"Other Services"))</f>
        <v/>
      </c>
    </row>
    <row r="1910" customFormat="false" ht="15" hidden="false" customHeight="false" outlineLevel="0" collapsed="false">
      <c r="I1910" s="41" t="str">
        <f aca="false">IF(F1910="","",IFERROR(IF(ISNUMBER(SEARCH(Assumptions!$C$5,F1910)),Assumptions!$D$5,IF(ISNUMBER(SEARCH(Assumptions!$C$6,F1910)),Assumptions!$D$6,IF(ISNUMBER(SEARCH(Assumptions!$C$7,F1910)),Assumptions!$D$7,"Other Services"))),"Other Services"))</f>
        <v/>
      </c>
    </row>
    <row r="1911" customFormat="false" ht="15" hidden="false" customHeight="false" outlineLevel="0" collapsed="false">
      <c r="I1911" s="41" t="str">
        <f aca="false">IF(F1911="","",IFERROR(IF(ISNUMBER(SEARCH(Assumptions!$C$5,F1911)),Assumptions!$D$5,IF(ISNUMBER(SEARCH(Assumptions!$C$6,F1911)),Assumptions!$D$6,IF(ISNUMBER(SEARCH(Assumptions!$C$7,F1911)),Assumptions!$D$7,"Other Services"))),"Other Services"))</f>
        <v/>
      </c>
    </row>
    <row r="1912" customFormat="false" ht="15" hidden="false" customHeight="false" outlineLevel="0" collapsed="false">
      <c r="I1912" s="41" t="str">
        <f aca="false">IF(F1912="","",IFERROR(IF(ISNUMBER(SEARCH(Assumptions!$C$5,F1912)),Assumptions!$D$5,IF(ISNUMBER(SEARCH(Assumptions!$C$6,F1912)),Assumptions!$D$6,IF(ISNUMBER(SEARCH(Assumptions!$C$7,F1912)),Assumptions!$D$7,"Other Services"))),"Other Services"))</f>
        <v/>
      </c>
    </row>
    <row r="1913" customFormat="false" ht="15" hidden="false" customHeight="false" outlineLevel="0" collapsed="false">
      <c r="I1913" s="41" t="str">
        <f aca="false">IF(F1913="","",IFERROR(IF(ISNUMBER(SEARCH(Assumptions!$C$5,F1913)),Assumptions!$D$5,IF(ISNUMBER(SEARCH(Assumptions!$C$6,F1913)),Assumptions!$D$6,IF(ISNUMBER(SEARCH(Assumptions!$C$7,F1913)),Assumptions!$D$7,"Other Services"))),"Other Services"))</f>
        <v/>
      </c>
    </row>
    <row r="1914" customFormat="false" ht="15" hidden="false" customHeight="false" outlineLevel="0" collapsed="false">
      <c r="I1914" s="41" t="str">
        <f aca="false">IF(F1914="","",IFERROR(IF(ISNUMBER(SEARCH(Assumptions!$C$5,F1914)),Assumptions!$D$5,IF(ISNUMBER(SEARCH(Assumptions!$C$6,F1914)),Assumptions!$D$6,IF(ISNUMBER(SEARCH(Assumptions!$C$7,F1914)),Assumptions!$D$7,"Other Services"))),"Other Services"))</f>
        <v/>
      </c>
    </row>
    <row r="1915" customFormat="false" ht="15" hidden="false" customHeight="false" outlineLevel="0" collapsed="false">
      <c r="I1915" s="41" t="str">
        <f aca="false">IF(F1915="","",IFERROR(IF(ISNUMBER(SEARCH(Assumptions!$C$5,F1915)),Assumptions!$D$5,IF(ISNUMBER(SEARCH(Assumptions!$C$6,F1915)),Assumptions!$D$6,IF(ISNUMBER(SEARCH(Assumptions!$C$7,F1915)),Assumptions!$D$7,"Other Services"))),"Other Services"))</f>
        <v/>
      </c>
    </row>
    <row r="1916" customFormat="false" ht="15" hidden="false" customHeight="false" outlineLevel="0" collapsed="false">
      <c r="I1916" s="41" t="str">
        <f aca="false">IF(F1916="","",IFERROR(IF(ISNUMBER(SEARCH(Assumptions!$C$5,F1916)),Assumptions!$D$5,IF(ISNUMBER(SEARCH(Assumptions!$C$6,F1916)),Assumptions!$D$6,IF(ISNUMBER(SEARCH(Assumptions!$C$7,F1916)),Assumptions!$D$7,"Other Services"))),"Other Services"))</f>
        <v/>
      </c>
    </row>
    <row r="1917" customFormat="false" ht="15" hidden="false" customHeight="false" outlineLevel="0" collapsed="false">
      <c r="I1917" s="41" t="str">
        <f aca="false">IF(F1917="","",IFERROR(IF(ISNUMBER(SEARCH(Assumptions!$C$5,F1917)),Assumptions!$D$5,IF(ISNUMBER(SEARCH(Assumptions!$C$6,F1917)),Assumptions!$D$6,IF(ISNUMBER(SEARCH(Assumptions!$C$7,F1917)),Assumptions!$D$7,"Other Services"))),"Other Services"))</f>
        <v/>
      </c>
    </row>
    <row r="1918" customFormat="false" ht="15" hidden="false" customHeight="false" outlineLevel="0" collapsed="false">
      <c r="I1918" s="41" t="str">
        <f aca="false">IF(F1918="","",IFERROR(IF(ISNUMBER(SEARCH(Assumptions!$C$5,F1918)),Assumptions!$D$5,IF(ISNUMBER(SEARCH(Assumptions!$C$6,F1918)),Assumptions!$D$6,IF(ISNUMBER(SEARCH(Assumptions!$C$7,F1918)),Assumptions!$D$7,"Other Services"))),"Other Services"))</f>
        <v/>
      </c>
    </row>
    <row r="1919" customFormat="false" ht="15" hidden="false" customHeight="false" outlineLevel="0" collapsed="false">
      <c r="I1919" s="41" t="str">
        <f aca="false">IF(F1919="","",IFERROR(IF(ISNUMBER(SEARCH(Assumptions!$C$5,F1919)),Assumptions!$D$5,IF(ISNUMBER(SEARCH(Assumptions!$C$6,F1919)),Assumptions!$D$6,IF(ISNUMBER(SEARCH(Assumptions!$C$7,F1919)),Assumptions!$D$7,"Other Services"))),"Other Services"))</f>
        <v/>
      </c>
    </row>
    <row r="1920" customFormat="false" ht="15" hidden="false" customHeight="false" outlineLevel="0" collapsed="false">
      <c r="I1920" s="41" t="str">
        <f aca="false">IF(F1920="","",IFERROR(IF(ISNUMBER(SEARCH(Assumptions!$C$5,F1920)),Assumptions!$D$5,IF(ISNUMBER(SEARCH(Assumptions!$C$6,F1920)),Assumptions!$D$6,IF(ISNUMBER(SEARCH(Assumptions!$C$7,F1920)),Assumptions!$D$7,"Other Services"))),"Other Services"))</f>
        <v/>
      </c>
    </row>
    <row r="1921" customFormat="false" ht="15" hidden="false" customHeight="false" outlineLevel="0" collapsed="false">
      <c r="I1921" s="41" t="str">
        <f aca="false">IF(F1921="","",IFERROR(IF(ISNUMBER(SEARCH(Assumptions!$C$5,F1921)),Assumptions!$D$5,IF(ISNUMBER(SEARCH(Assumptions!$C$6,F1921)),Assumptions!$D$6,IF(ISNUMBER(SEARCH(Assumptions!$C$7,F1921)),Assumptions!$D$7,"Other Services"))),"Other Services"))</f>
        <v/>
      </c>
    </row>
    <row r="1922" customFormat="false" ht="15" hidden="false" customHeight="false" outlineLevel="0" collapsed="false">
      <c r="I1922" s="41" t="str">
        <f aca="false">IF(F1922="","",IFERROR(IF(ISNUMBER(SEARCH(Assumptions!$C$5,F1922)),Assumptions!$D$5,IF(ISNUMBER(SEARCH(Assumptions!$C$6,F1922)),Assumptions!$D$6,IF(ISNUMBER(SEARCH(Assumptions!$C$7,F1922)),Assumptions!$D$7,"Other Services"))),"Other Services"))</f>
        <v/>
      </c>
    </row>
    <row r="1923" customFormat="false" ht="15" hidden="false" customHeight="false" outlineLevel="0" collapsed="false">
      <c r="I1923" s="41" t="str">
        <f aca="false">IF(F1923="","",IFERROR(IF(ISNUMBER(SEARCH(Assumptions!$C$5,F1923)),Assumptions!$D$5,IF(ISNUMBER(SEARCH(Assumptions!$C$6,F1923)),Assumptions!$D$6,IF(ISNUMBER(SEARCH(Assumptions!$C$7,F1923)),Assumptions!$D$7,"Other Services"))),"Other Services"))</f>
        <v/>
      </c>
    </row>
    <row r="1924" customFormat="false" ht="15" hidden="false" customHeight="false" outlineLevel="0" collapsed="false">
      <c r="I1924" s="41" t="str">
        <f aca="false">IF(F1924="","",IFERROR(IF(ISNUMBER(SEARCH(Assumptions!$C$5,F1924)),Assumptions!$D$5,IF(ISNUMBER(SEARCH(Assumptions!$C$6,F1924)),Assumptions!$D$6,IF(ISNUMBER(SEARCH(Assumptions!$C$7,F1924)),Assumptions!$D$7,"Other Services"))),"Other Services"))</f>
        <v/>
      </c>
    </row>
    <row r="1925" customFormat="false" ht="15" hidden="false" customHeight="false" outlineLevel="0" collapsed="false">
      <c r="I1925" s="41" t="str">
        <f aca="false">IF(F1925="","",IFERROR(IF(ISNUMBER(SEARCH(Assumptions!$C$5,F1925)),Assumptions!$D$5,IF(ISNUMBER(SEARCH(Assumptions!$C$6,F1925)),Assumptions!$D$6,IF(ISNUMBER(SEARCH(Assumptions!$C$7,F1925)),Assumptions!$D$7,"Other Services"))),"Other Services"))</f>
        <v/>
      </c>
    </row>
    <row r="1926" customFormat="false" ht="15" hidden="false" customHeight="false" outlineLevel="0" collapsed="false">
      <c r="I1926" s="41" t="str">
        <f aca="false">IF(F1926="","",IFERROR(IF(ISNUMBER(SEARCH(Assumptions!$C$5,F1926)),Assumptions!$D$5,IF(ISNUMBER(SEARCH(Assumptions!$C$6,F1926)),Assumptions!$D$6,IF(ISNUMBER(SEARCH(Assumptions!$C$7,F1926)),Assumptions!$D$7,"Other Services"))),"Other Services"))</f>
        <v/>
      </c>
    </row>
    <row r="1927" customFormat="false" ht="15" hidden="false" customHeight="false" outlineLevel="0" collapsed="false">
      <c r="I1927" s="41" t="str">
        <f aca="false">IF(F1927="","",IFERROR(IF(ISNUMBER(SEARCH(Assumptions!$C$5,F1927)),Assumptions!$D$5,IF(ISNUMBER(SEARCH(Assumptions!$C$6,F1927)),Assumptions!$D$6,IF(ISNUMBER(SEARCH(Assumptions!$C$7,F1927)),Assumptions!$D$7,"Other Services"))),"Other Services"))</f>
        <v/>
      </c>
    </row>
    <row r="1928" customFormat="false" ht="15" hidden="false" customHeight="false" outlineLevel="0" collapsed="false">
      <c r="I1928" s="41" t="str">
        <f aca="false">IF(F1928="","",IFERROR(IF(ISNUMBER(SEARCH(Assumptions!$C$5,F1928)),Assumptions!$D$5,IF(ISNUMBER(SEARCH(Assumptions!$C$6,F1928)),Assumptions!$D$6,IF(ISNUMBER(SEARCH(Assumptions!$C$7,F1928)),Assumptions!$D$7,"Other Services"))),"Other Services"))</f>
        <v/>
      </c>
    </row>
    <row r="1929" customFormat="false" ht="15" hidden="false" customHeight="false" outlineLevel="0" collapsed="false">
      <c r="I1929" s="41" t="str">
        <f aca="false">IF(F1929="","",IFERROR(IF(ISNUMBER(SEARCH(Assumptions!$C$5,F1929)),Assumptions!$D$5,IF(ISNUMBER(SEARCH(Assumptions!$C$6,F1929)),Assumptions!$D$6,IF(ISNUMBER(SEARCH(Assumptions!$C$7,F1929)),Assumptions!$D$7,"Other Services"))),"Other Services"))</f>
        <v/>
      </c>
    </row>
    <row r="1930" customFormat="false" ht="15" hidden="false" customHeight="false" outlineLevel="0" collapsed="false">
      <c r="I1930" s="41" t="str">
        <f aca="false">IF(F1930="","",IFERROR(IF(ISNUMBER(SEARCH(Assumptions!$C$5,F1930)),Assumptions!$D$5,IF(ISNUMBER(SEARCH(Assumptions!$C$6,F1930)),Assumptions!$D$6,IF(ISNUMBER(SEARCH(Assumptions!$C$7,F1930)),Assumptions!$D$7,"Other Services"))),"Other Services"))</f>
        <v/>
      </c>
    </row>
    <row r="1931" customFormat="false" ht="15" hidden="false" customHeight="false" outlineLevel="0" collapsed="false">
      <c r="I1931" s="41" t="str">
        <f aca="false">IF(F1931="","",IFERROR(IF(ISNUMBER(SEARCH(Assumptions!$C$5,F1931)),Assumptions!$D$5,IF(ISNUMBER(SEARCH(Assumptions!$C$6,F1931)),Assumptions!$D$6,IF(ISNUMBER(SEARCH(Assumptions!$C$7,F1931)),Assumptions!$D$7,"Other Services"))),"Other Services"))</f>
        <v/>
      </c>
    </row>
    <row r="1932" customFormat="false" ht="15" hidden="false" customHeight="false" outlineLevel="0" collapsed="false">
      <c r="I1932" s="41" t="str">
        <f aca="false">IF(F1932="","",IFERROR(IF(ISNUMBER(SEARCH(Assumptions!$C$5,F1932)),Assumptions!$D$5,IF(ISNUMBER(SEARCH(Assumptions!$C$6,F1932)),Assumptions!$D$6,IF(ISNUMBER(SEARCH(Assumptions!$C$7,F1932)),Assumptions!$D$7,"Other Services"))),"Other Services"))</f>
        <v/>
      </c>
    </row>
    <row r="1933" customFormat="false" ht="15" hidden="false" customHeight="false" outlineLevel="0" collapsed="false">
      <c r="I1933" s="41" t="str">
        <f aca="false">IF(F1933="","",IFERROR(IF(ISNUMBER(SEARCH(Assumptions!$C$5,F1933)),Assumptions!$D$5,IF(ISNUMBER(SEARCH(Assumptions!$C$6,F1933)),Assumptions!$D$6,IF(ISNUMBER(SEARCH(Assumptions!$C$7,F1933)),Assumptions!$D$7,"Other Services"))),"Other Services"))</f>
        <v/>
      </c>
    </row>
    <row r="1934" customFormat="false" ht="15" hidden="false" customHeight="false" outlineLevel="0" collapsed="false">
      <c r="I1934" s="41" t="str">
        <f aca="false">IF(F1934="","",IFERROR(IF(ISNUMBER(SEARCH(Assumptions!$C$5,F1934)),Assumptions!$D$5,IF(ISNUMBER(SEARCH(Assumptions!$C$6,F1934)),Assumptions!$D$6,IF(ISNUMBER(SEARCH(Assumptions!$C$7,F1934)),Assumptions!$D$7,"Other Services"))),"Other Services"))</f>
        <v/>
      </c>
    </row>
    <row r="1935" customFormat="false" ht="15" hidden="false" customHeight="false" outlineLevel="0" collapsed="false">
      <c r="I1935" s="41" t="str">
        <f aca="false">IF(F1935="","",IFERROR(IF(ISNUMBER(SEARCH(Assumptions!$C$5,F1935)),Assumptions!$D$5,IF(ISNUMBER(SEARCH(Assumptions!$C$6,F1935)),Assumptions!$D$6,IF(ISNUMBER(SEARCH(Assumptions!$C$7,F1935)),Assumptions!$D$7,"Other Services"))),"Other Services"))</f>
        <v/>
      </c>
    </row>
    <row r="1936" customFormat="false" ht="15" hidden="false" customHeight="false" outlineLevel="0" collapsed="false">
      <c r="I1936" s="41" t="str">
        <f aca="false">IF(F1936="","",IFERROR(IF(ISNUMBER(SEARCH(Assumptions!$C$5,F1936)),Assumptions!$D$5,IF(ISNUMBER(SEARCH(Assumptions!$C$6,F1936)),Assumptions!$D$6,IF(ISNUMBER(SEARCH(Assumptions!$C$7,F1936)),Assumptions!$D$7,"Other Services"))),"Other Services"))</f>
        <v/>
      </c>
    </row>
    <row r="1937" customFormat="false" ht="15" hidden="false" customHeight="false" outlineLevel="0" collapsed="false">
      <c r="I1937" s="41" t="str">
        <f aca="false">IF(F1937="","",IFERROR(IF(ISNUMBER(SEARCH(Assumptions!$C$5,F1937)),Assumptions!$D$5,IF(ISNUMBER(SEARCH(Assumptions!$C$6,F1937)),Assumptions!$D$6,IF(ISNUMBER(SEARCH(Assumptions!$C$7,F1937)),Assumptions!$D$7,"Other Services"))),"Other Services"))</f>
        <v/>
      </c>
    </row>
    <row r="1938" customFormat="false" ht="15" hidden="false" customHeight="false" outlineLevel="0" collapsed="false">
      <c r="I1938" s="41" t="str">
        <f aca="false">IF(F1938="","",IFERROR(IF(ISNUMBER(SEARCH(Assumptions!$C$5,F1938)),Assumptions!$D$5,IF(ISNUMBER(SEARCH(Assumptions!$C$6,F1938)),Assumptions!$D$6,IF(ISNUMBER(SEARCH(Assumptions!$C$7,F1938)),Assumptions!$D$7,"Other Services"))),"Other Services"))</f>
        <v/>
      </c>
    </row>
    <row r="1939" customFormat="false" ht="15" hidden="false" customHeight="false" outlineLevel="0" collapsed="false">
      <c r="I1939" s="41" t="str">
        <f aca="false">IF(F1939="","",IFERROR(IF(ISNUMBER(SEARCH(Assumptions!$C$5,F1939)),Assumptions!$D$5,IF(ISNUMBER(SEARCH(Assumptions!$C$6,F1939)),Assumptions!$D$6,IF(ISNUMBER(SEARCH(Assumptions!$C$7,F1939)),Assumptions!$D$7,"Other Services"))),"Other Services"))</f>
        <v/>
      </c>
    </row>
    <row r="1940" customFormat="false" ht="15" hidden="false" customHeight="false" outlineLevel="0" collapsed="false">
      <c r="I1940" s="41" t="str">
        <f aca="false">IF(F1940="","",IFERROR(IF(ISNUMBER(SEARCH(Assumptions!$C$5,F1940)),Assumptions!$D$5,IF(ISNUMBER(SEARCH(Assumptions!$C$6,F1940)),Assumptions!$D$6,IF(ISNUMBER(SEARCH(Assumptions!$C$7,F1940)),Assumptions!$D$7,"Other Services"))),"Other Services"))</f>
        <v/>
      </c>
    </row>
    <row r="1941" customFormat="false" ht="15" hidden="false" customHeight="false" outlineLevel="0" collapsed="false">
      <c r="I1941" s="41" t="str">
        <f aca="false">IF(F1941="","",IFERROR(IF(ISNUMBER(SEARCH(Assumptions!$C$5,F1941)),Assumptions!$D$5,IF(ISNUMBER(SEARCH(Assumptions!$C$6,F1941)),Assumptions!$D$6,IF(ISNUMBER(SEARCH(Assumptions!$C$7,F1941)),Assumptions!$D$7,"Other Services"))),"Other Services"))</f>
        <v/>
      </c>
    </row>
    <row r="1942" customFormat="false" ht="15" hidden="false" customHeight="false" outlineLevel="0" collapsed="false">
      <c r="I1942" s="41" t="str">
        <f aca="false">IF(F1942="","",IFERROR(IF(ISNUMBER(SEARCH(Assumptions!$C$5,F1942)),Assumptions!$D$5,IF(ISNUMBER(SEARCH(Assumptions!$C$6,F1942)),Assumptions!$D$6,IF(ISNUMBER(SEARCH(Assumptions!$C$7,F1942)),Assumptions!$D$7,"Other Services"))),"Other Services"))</f>
        <v/>
      </c>
    </row>
    <row r="1943" customFormat="false" ht="15" hidden="false" customHeight="false" outlineLevel="0" collapsed="false">
      <c r="I1943" s="41" t="str">
        <f aca="false">IF(F1943="","",IFERROR(IF(ISNUMBER(SEARCH(Assumptions!$C$5,F1943)),Assumptions!$D$5,IF(ISNUMBER(SEARCH(Assumptions!$C$6,F1943)),Assumptions!$D$6,IF(ISNUMBER(SEARCH(Assumptions!$C$7,F1943)),Assumptions!$D$7,"Other Services"))),"Other Services"))</f>
        <v/>
      </c>
    </row>
    <row r="1944" customFormat="false" ht="15" hidden="false" customHeight="false" outlineLevel="0" collapsed="false">
      <c r="I1944" s="41" t="str">
        <f aca="false">IF(F1944="","",IFERROR(IF(ISNUMBER(SEARCH(Assumptions!$C$5,F1944)),Assumptions!$D$5,IF(ISNUMBER(SEARCH(Assumptions!$C$6,F1944)),Assumptions!$D$6,IF(ISNUMBER(SEARCH(Assumptions!$C$7,F1944)),Assumptions!$D$7,"Other Services"))),"Other Services"))</f>
        <v/>
      </c>
    </row>
    <row r="1945" customFormat="false" ht="15" hidden="false" customHeight="false" outlineLevel="0" collapsed="false">
      <c r="I1945" s="41" t="str">
        <f aca="false">IF(F1945="","",IFERROR(IF(ISNUMBER(SEARCH(Assumptions!$C$5,F1945)),Assumptions!$D$5,IF(ISNUMBER(SEARCH(Assumptions!$C$6,F1945)),Assumptions!$D$6,IF(ISNUMBER(SEARCH(Assumptions!$C$7,F1945)),Assumptions!$D$7,"Other Services"))),"Other Services"))</f>
        <v/>
      </c>
    </row>
    <row r="1946" customFormat="false" ht="15" hidden="false" customHeight="false" outlineLevel="0" collapsed="false">
      <c r="I1946" s="41" t="str">
        <f aca="false">IF(F1946="","",IFERROR(IF(ISNUMBER(SEARCH(Assumptions!$C$5,F1946)),Assumptions!$D$5,IF(ISNUMBER(SEARCH(Assumptions!$C$6,F1946)),Assumptions!$D$6,IF(ISNUMBER(SEARCH(Assumptions!$C$7,F1946)),Assumptions!$D$7,"Other Services"))),"Other Services"))</f>
        <v/>
      </c>
    </row>
    <row r="1947" customFormat="false" ht="15" hidden="false" customHeight="false" outlineLevel="0" collapsed="false">
      <c r="I1947" s="41" t="str">
        <f aca="false">IF(F1947="","",IFERROR(IF(ISNUMBER(SEARCH(Assumptions!$C$5,F1947)),Assumptions!$D$5,IF(ISNUMBER(SEARCH(Assumptions!$C$6,F1947)),Assumptions!$D$6,IF(ISNUMBER(SEARCH(Assumptions!$C$7,F1947)),Assumptions!$D$7,"Other Services"))),"Other Services"))</f>
        <v/>
      </c>
    </row>
    <row r="1948" customFormat="false" ht="15" hidden="false" customHeight="false" outlineLevel="0" collapsed="false">
      <c r="I1948" s="41" t="str">
        <f aca="false">IF(F1948="","",IFERROR(IF(ISNUMBER(SEARCH(Assumptions!$C$5,F1948)),Assumptions!$D$5,IF(ISNUMBER(SEARCH(Assumptions!$C$6,F1948)),Assumptions!$D$6,IF(ISNUMBER(SEARCH(Assumptions!$C$7,F1948)),Assumptions!$D$7,"Other Services"))),"Other Services"))</f>
        <v/>
      </c>
    </row>
    <row r="1949" customFormat="false" ht="15" hidden="false" customHeight="false" outlineLevel="0" collapsed="false">
      <c r="I1949" s="41" t="str">
        <f aca="false">IF(F1949="","",IFERROR(IF(ISNUMBER(SEARCH(Assumptions!$C$5,F1949)),Assumptions!$D$5,IF(ISNUMBER(SEARCH(Assumptions!$C$6,F1949)),Assumptions!$D$6,IF(ISNUMBER(SEARCH(Assumptions!$C$7,F1949)),Assumptions!$D$7,"Other Services"))),"Other Services"))</f>
        <v/>
      </c>
    </row>
    <row r="1950" customFormat="false" ht="15" hidden="false" customHeight="false" outlineLevel="0" collapsed="false">
      <c r="I1950" s="41" t="str">
        <f aca="false">IF(F1950="","",IFERROR(IF(ISNUMBER(SEARCH(Assumptions!$C$5,F1950)),Assumptions!$D$5,IF(ISNUMBER(SEARCH(Assumptions!$C$6,F1950)),Assumptions!$D$6,IF(ISNUMBER(SEARCH(Assumptions!$C$7,F1950)),Assumptions!$D$7,"Other Services"))),"Other Services"))</f>
        <v/>
      </c>
    </row>
    <row r="1951" customFormat="false" ht="15" hidden="false" customHeight="false" outlineLevel="0" collapsed="false">
      <c r="I1951" s="41" t="str">
        <f aca="false">IF(F1951="","",IFERROR(IF(ISNUMBER(SEARCH(Assumptions!$C$5,F1951)),Assumptions!$D$5,IF(ISNUMBER(SEARCH(Assumptions!$C$6,F1951)),Assumptions!$D$6,IF(ISNUMBER(SEARCH(Assumptions!$C$7,F1951)),Assumptions!$D$7,"Other Services"))),"Other Services"))</f>
        <v/>
      </c>
    </row>
    <row r="1952" customFormat="false" ht="15" hidden="false" customHeight="false" outlineLevel="0" collapsed="false">
      <c r="I1952" s="41" t="str">
        <f aca="false">IF(F1952="","",IFERROR(IF(ISNUMBER(SEARCH(Assumptions!$C$5,F1952)),Assumptions!$D$5,IF(ISNUMBER(SEARCH(Assumptions!$C$6,F1952)),Assumptions!$D$6,IF(ISNUMBER(SEARCH(Assumptions!$C$7,F1952)),Assumptions!$D$7,"Other Services"))),"Other Services"))</f>
        <v/>
      </c>
    </row>
    <row r="1953" customFormat="false" ht="15" hidden="false" customHeight="false" outlineLevel="0" collapsed="false">
      <c r="I1953" s="41" t="str">
        <f aca="false">IF(F1953="","",IFERROR(IF(ISNUMBER(SEARCH(Assumptions!$C$5,F1953)),Assumptions!$D$5,IF(ISNUMBER(SEARCH(Assumptions!$C$6,F1953)),Assumptions!$D$6,IF(ISNUMBER(SEARCH(Assumptions!$C$7,F1953)),Assumptions!$D$7,"Other Services"))),"Other Services"))</f>
        <v/>
      </c>
    </row>
    <row r="1954" customFormat="false" ht="15" hidden="false" customHeight="false" outlineLevel="0" collapsed="false">
      <c r="I1954" s="41" t="str">
        <f aca="false">IF(F1954="","",IFERROR(IF(ISNUMBER(SEARCH(Assumptions!$C$5,F1954)),Assumptions!$D$5,IF(ISNUMBER(SEARCH(Assumptions!$C$6,F1954)),Assumptions!$D$6,IF(ISNUMBER(SEARCH(Assumptions!$C$7,F1954)),Assumptions!$D$7,"Other Services"))),"Other Services"))</f>
        <v/>
      </c>
    </row>
    <row r="1955" customFormat="false" ht="15" hidden="false" customHeight="false" outlineLevel="0" collapsed="false">
      <c r="I1955" s="41" t="str">
        <f aca="false">IF(F1955="","",IFERROR(IF(ISNUMBER(SEARCH(Assumptions!$C$5,F1955)),Assumptions!$D$5,IF(ISNUMBER(SEARCH(Assumptions!$C$6,F1955)),Assumptions!$D$6,IF(ISNUMBER(SEARCH(Assumptions!$C$7,F1955)),Assumptions!$D$7,"Other Services"))),"Other Services"))</f>
        <v/>
      </c>
    </row>
    <row r="1956" customFormat="false" ht="15" hidden="false" customHeight="false" outlineLevel="0" collapsed="false">
      <c r="I1956" s="41" t="str">
        <f aca="false">IF(F1956="","",IFERROR(IF(ISNUMBER(SEARCH(Assumptions!$C$5,F1956)),Assumptions!$D$5,IF(ISNUMBER(SEARCH(Assumptions!$C$6,F1956)),Assumptions!$D$6,IF(ISNUMBER(SEARCH(Assumptions!$C$7,F1956)),Assumptions!$D$7,"Other Services"))),"Other Services"))</f>
        <v/>
      </c>
    </row>
    <row r="1957" customFormat="false" ht="15" hidden="false" customHeight="false" outlineLevel="0" collapsed="false">
      <c r="I1957" s="41" t="str">
        <f aca="false">IF(F1957="","",IFERROR(IF(ISNUMBER(SEARCH(Assumptions!$C$5,F1957)),Assumptions!$D$5,IF(ISNUMBER(SEARCH(Assumptions!$C$6,F1957)),Assumptions!$D$6,IF(ISNUMBER(SEARCH(Assumptions!$C$7,F1957)),Assumptions!$D$7,"Other Services"))),"Other Services"))</f>
        <v/>
      </c>
    </row>
    <row r="1958" customFormat="false" ht="15" hidden="false" customHeight="false" outlineLevel="0" collapsed="false">
      <c r="I1958" s="41" t="str">
        <f aca="false">IF(F1958="","",IFERROR(IF(ISNUMBER(SEARCH(Assumptions!$C$5,F1958)),Assumptions!$D$5,IF(ISNUMBER(SEARCH(Assumptions!$C$6,F1958)),Assumptions!$D$6,IF(ISNUMBER(SEARCH(Assumptions!$C$7,F1958)),Assumptions!$D$7,"Other Services"))),"Other Services"))</f>
        <v/>
      </c>
    </row>
    <row r="1959" customFormat="false" ht="15" hidden="false" customHeight="false" outlineLevel="0" collapsed="false">
      <c r="I1959" s="41" t="str">
        <f aca="false">IF(F1959="","",IFERROR(IF(ISNUMBER(SEARCH(Assumptions!$C$5,F1959)),Assumptions!$D$5,IF(ISNUMBER(SEARCH(Assumptions!$C$6,F1959)),Assumptions!$D$6,IF(ISNUMBER(SEARCH(Assumptions!$C$7,F1959)),Assumptions!$D$7,"Other Services"))),"Other Services"))</f>
        <v/>
      </c>
    </row>
    <row r="1960" customFormat="false" ht="15" hidden="false" customHeight="false" outlineLevel="0" collapsed="false">
      <c r="I1960" s="41" t="str">
        <f aca="false">IF(F1960="","",IFERROR(IF(ISNUMBER(SEARCH(Assumptions!$C$5,F1960)),Assumptions!$D$5,IF(ISNUMBER(SEARCH(Assumptions!$C$6,F1960)),Assumptions!$D$6,IF(ISNUMBER(SEARCH(Assumptions!$C$7,F1960)),Assumptions!$D$7,"Other Services"))),"Other Services"))</f>
        <v/>
      </c>
    </row>
    <row r="1961" customFormat="false" ht="15" hidden="false" customHeight="false" outlineLevel="0" collapsed="false">
      <c r="I1961" s="41" t="str">
        <f aca="false">IF(F1961="","",IFERROR(IF(ISNUMBER(SEARCH(Assumptions!$C$5,F1961)),Assumptions!$D$5,IF(ISNUMBER(SEARCH(Assumptions!$C$6,F1961)),Assumptions!$D$6,IF(ISNUMBER(SEARCH(Assumptions!$C$7,F1961)),Assumptions!$D$7,"Other Services"))),"Other Services"))</f>
        <v/>
      </c>
    </row>
    <row r="1962" customFormat="false" ht="15" hidden="false" customHeight="false" outlineLevel="0" collapsed="false">
      <c r="I1962" s="41" t="str">
        <f aca="false">IF(F1962="","",IFERROR(IF(ISNUMBER(SEARCH(Assumptions!$C$5,F1962)),Assumptions!$D$5,IF(ISNUMBER(SEARCH(Assumptions!$C$6,F1962)),Assumptions!$D$6,IF(ISNUMBER(SEARCH(Assumptions!$C$7,F1962)),Assumptions!$D$7,"Other Services"))),"Other Services"))</f>
        <v/>
      </c>
    </row>
    <row r="1963" customFormat="false" ht="15" hidden="false" customHeight="false" outlineLevel="0" collapsed="false">
      <c r="I1963" s="41" t="str">
        <f aca="false">IF(F1963="","",IFERROR(IF(ISNUMBER(SEARCH(Assumptions!$C$5,F1963)),Assumptions!$D$5,IF(ISNUMBER(SEARCH(Assumptions!$C$6,F1963)),Assumptions!$D$6,IF(ISNUMBER(SEARCH(Assumptions!$C$7,F1963)),Assumptions!$D$7,"Other Services"))),"Other Services"))</f>
        <v/>
      </c>
    </row>
    <row r="1964" customFormat="false" ht="15" hidden="false" customHeight="false" outlineLevel="0" collapsed="false">
      <c r="I1964" s="41" t="str">
        <f aca="false">IF(F1964="","",IFERROR(IF(ISNUMBER(SEARCH(Assumptions!$C$5,F1964)),Assumptions!$D$5,IF(ISNUMBER(SEARCH(Assumptions!$C$6,F1964)),Assumptions!$D$6,IF(ISNUMBER(SEARCH(Assumptions!$C$7,F1964)),Assumptions!$D$7,"Other Services"))),"Other Services"))</f>
        <v/>
      </c>
    </row>
    <row r="1965" customFormat="false" ht="15" hidden="false" customHeight="false" outlineLevel="0" collapsed="false">
      <c r="I1965" s="41" t="str">
        <f aca="false">IF(F1965="","",IFERROR(IF(ISNUMBER(SEARCH(Assumptions!$C$5,F1965)),Assumptions!$D$5,IF(ISNUMBER(SEARCH(Assumptions!$C$6,F1965)),Assumptions!$D$6,IF(ISNUMBER(SEARCH(Assumptions!$C$7,F1965)),Assumptions!$D$7,"Other Services"))),"Other Services"))</f>
        <v/>
      </c>
    </row>
    <row r="1966" customFormat="false" ht="15" hidden="false" customHeight="false" outlineLevel="0" collapsed="false">
      <c r="I1966" s="41" t="str">
        <f aca="false">IF(F1966="","",IFERROR(IF(ISNUMBER(SEARCH(Assumptions!$C$5,F1966)),Assumptions!$D$5,IF(ISNUMBER(SEARCH(Assumptions!$C$6,F1966)),Assumptions!$D$6,IF(ISNUMBER(SEARCH(Assumptions!$C$7,F1966)),Assumptions!$D$7,"Other Services"))),"Other Services"))</f>
        <v/>
      </c>
    </row>
    <row r="1967" customFormat="false" ht="15" hidden="false" customHeight="false" outlineLevel="0" collapsed="false">
      <c r="I1967" s="41" t="str">
        <f aca="false">IF(F1967="","",IFERROR(IF(ISNUMBER(SEARCH(Assumptions!$C$5,F1967)),Assumptions!$D$5,IF(ISNUMBER(SEARCH(Assumptions!$C$6,F1967)),Assumptions!$D$6,IF(ISNUMBER(SEARCH(Assumptions!$C$7,F1967)),Assumptions!$D$7,"Other Services"))),"Other Services"))</f>
        <v/>
      </c>
    </row>
    <row r="1968" customFormat="false" ht="15" hidden="false" customHeight="false" outlineLevel="0" collapsed="false">
      <c r="I1968" s="41" t="str">
        <f aca="false">IF(F1968="","",IFERROR(IF(ISNUMBER(SEARCH(Assumptions!$C$5,F1968)),Assumptions!$D$5,IF(ISNUMBER(SEARCH(Assumptions!$C$6,F1968)),Assumptions!$D$6,IF(ISNUMBER(SEARCH(Assumptions!$C$7,F1968)),Assumptions!$D$7,"Other Services"))),"Other Services"))</f>
        <v/>
      </c>
    </row>
    <row r="1969" customFormat="false" ht="15" hidden="false" customHeight="false" outlineLevel="0" collapsed="false">
      <c r="I1969" s="41" t="str">
        <f aca="false">IF(F1969="","",IFERROR(IF(ISNUMBER(SEARCH(Assumptions!$C$5,F1969)),Assumptions!$D$5,IF(ISNUMBER(SEARCH(Assumptions!$C$6,F1969)),Assumptions!$D$6,IF(ISNUMBER(SEARCH(Assumptions!$C$7,F1969)),Assumptions!$D$7,"Other Services"))),"Other Services"))</f>
        <v/>
      </c>
    </row>
    <row r="1970" customFormat="false" ht="15" hidden="false" customHeight="false" outlineLevel="0" collapsed="false">
      <c r="I1970" s="41" t="str">
        <f aca="false">IF(F1970="","",IFERROR(IF(ISNUMBER(SEARCH(Assumptions!$C$5,F1970)),Assumptions!$D$5,IF(ISNUMBER(SEARCH(Assumptions!$C$6,F1970)),Assumptions!$D$6,IF(ISNUMBER(SEARCH(Assumptions!$C$7,F1970)),Assumptions!$D$7,"Other Services"))),"Other Services"))</f>
        <v/>
      </c>
    </row>
    <row r="1971" customFormat="false" ht="15" hidden="false" customHeight="false" outlineLevel="0" collapsed="false">
      <c r="I1971" s="41" t="str">
        <f aca="false">IF(F1971="","",IFERROR(IF(ISNUMBER(SEARCH(Assumptions!$C$5,F1971)),Assumptions!$D$5,IF(ISNUMBER(SEARCH(Assumptions!$C$6,F1971)),Assumptions!$D$6,IF(ISNUMBER(SEARCH(Assumptions!$C$7,F1971)),Assumptions!$D$7,"Other Services"))),"Other Services"))</f>
        <v/>
      </c>
    </row>
    <row r="1972" customFormat="false" ht="15" hidden="false" customHeight="false" outlineLevel="0" collapsed="false">
      <c r="I1972" s="41" t="str">
        <f aca="false">IF(F1972="","",IFERROR(IF(ISNUMBER(SEARCH(Assumptions!$C$5,F1972)),Assumptions!$D$5,IF(ISNUMBER(SEARCH(Assumptions!$C$6,F1972)),Assumptions!$D$6,IF(ISNUMBER(SEARCH(Assumptions!$C$7,F1972)),Assumptions!$D$7,"Other Services"))),"Other Services"))</f>
        <v/>
      </c>
    </row>
    <row r="1973" customFormat="false" ht="15" hidden="false" customHeight="false" outlineLevel="0" collapsed="false">
      <c r="I1973" s="41" t="str">
        <f aca="false">IF(F1973="","",IFERROR(IF(ISNUMBER(SEARCH(Assumptions!$C$5,F1973)),Assumptions!$D$5,IF(ISNUMBER(SEARCH(Assumptions!$C$6,F1973)),Assumptions!$D$6,IF(ISNUMBER(SEARCH(Assumptions!$C$7,F1973)),Assumptions!$D$7,"Other Services"))),"Other Services"))</f>
        <v/>
      </c>
    </row>
    <row r="1974" customFormat="false" ht="15" hidden="false" customHeight="false" outlineLevel="0" collapsed="false">
      <c r="I1974" s="41" t="str">
        <f aca="false">IF(F1974="","",IFERROR(IF(ISNUMBER(SEARCH(Assumptions!$C$5,F1974)),Assumptions!$D$5,IF(ISNUMBER(SEARCH(Assumptions!$C$6,F1974)),Assumptions!$D$6,IF(ISNUMBER(SEARCH(Assumptions!$C$7,F1974)),Assumptions!$D$7,"Other Services"))),"Other Services"))</f>
        <v/>
      </c>
    </row>
    <row r="1975" customFormat="false" ht="15" hidden="false" customHeight="false" outlineLevel="0" collapsed="false">
      <c r="I1975" s="41" t="str">
        <f aca="false">IF(F1975="","",IFERROR(IF(ISNUMBER(SEARCH(Assumptions!$C$5,F1975)),Assumptions!$D$5,IF(ISNUMBER(SEARCH(Assumptions!$C$6,F1975)),Assumptions!$D$6,IF(ISNUMBER(SEARCH(Assumptions!$C$7,F1975)),Assumptions!$D$7,"Other Services"))),"Other Services"))</f>
        <v/>
      </c>
    </row>
    <row r="1976" customFormat="false" ht="15" hidden="false" customHeight="false" outlineLevel="0" collapsed="false">
      <c r="I1976" s="41" t="str">
        <f aca="false">IF(F1976="","",IFERROR(IF(ISNUMBER(SEARCH(Assumptions!$C$5,F1976)),Assumptions!$D$5,IF(ISNUMBER(SEARCH(Assumptions!$C$6,F1976)),Assumptions!$D$6,IF(ISNUMBER(SEARCH(Assumptions!$C$7,F1976)),Assumptions!$D$7,"Other Services"))),"Other Services"))</f>
        <v/>
      </c>
    </row>
    <row r="1977" customFormat="false" ht="15" hidden="false" customHeight="false" outlineLevel="0" collapsed="false">
      <c r="I1977" s="41" t="str">
        <f aca="false">IF(F1977="","",IFERROR(IF(ISNUMBER(SEARCH(Assumptions!$C$5,F1977)),Assumptions!$D$5,IF(ISNUMBER(SEARCH(Assumptions!$C$6,F1977)),Assumptions!$D$6,IF(ISNUMBER(SEARCH(Assumptions!$C$7,F1977)),Assumptions!$D$7,"Other Services"))),"Other Services"))</f>
        <v/>
      </c>
    </row>
    <row r="1978" customFormat="false" ht="15" hidden="false" customHeight="false" outlineLevel="0" collapsed="false">
      <c r="I1978" s="41" t="str">
        <f aca="false">IF(F1978="","",IFERROR(IF(ISNUMBER(SEARCH(Assumptions!$C$5,F1978)),Assumptions!$D$5,IF(ISNUMBER(SEARCH(Assumptions!$C$6,F1978)),Assumptions!$D$6,IF(ISNUMBER(SEARCH(Assumptions!$C$7,F1978)),Assumptions!$D$7,"Other Services"))),"Other Services"))</f>
        <v/>
      </c>
    </row>
    <row r="1979" customFormat="false" ht="15" hidden="false" customHeight="false" outlineLevel="0" collapsed="false">
      <c r="I1979" s="41" t="str">
        <f aca="false">IF(F1979="","",IFERROR(IF(ISNUMBER(SEARCH(Assumptions!$C$5,F1979)),Assumptions!$D$5,IF(ISNUMBER(SEARCH(Assumptions!$C$6,F1979)),Assumptions!$D$6,IF(ISNUMBER(SEARCH(Assumptions!$C$7,F1979)),Assumptions!$D$7,"Other Services"))),"Other Services"))</f>
        <v/>
      </c>
    </row>
    <row r="1980" customFormat="false" ht="15" hidden="false" customHeight="false" outlineLevel="0" collapsed="false">
      <c r="I1980" s="41" t="str">
        <f aca="false">IF(F1980="","",IFERROR(IF(ISNUMBER(SEARCH(Assumptions!$C$5,F1980)),Assumptions!$D$5,IF(ISNUMBER(SEARCH(Assumptions!$C$6,F1980)),Assumptions!$D$6,IF(ISNUMBER(SEARCH(Assumptions!$C$7,F1980)),Assumptions!$D$7,"Other Services"))),"Other Services"))</f>
        <v/>
      </c>
    </row>
    <row r="1981" customFormat="false" ht="15" hidden="false" customHeight="false" outlineLevel="0" collapsed="false">
      <c r="I1981" s="41" t="str">
        <f aca="false">IF(F1981="","",IFERROR(IF(ISNUMBER(SEARCH(Assumptions!$C$5,F1981)),Assumptions!$D$5,IF(ISNUMBER(SEARCH(Assumptions!$C$6,F1981)),Assumptions!$D$6,IF(ISNUMBER(SEARCH(Assumptions!$C$7,F1981)),Assumptions!$D$7,"Other Services"))),"Other Services"))</f>
        <v/>
      </c>
    </row>
    <row r="1982" customFormat="false" ht="15" hidden="false" customHeight="false" outlineLevel="0" collapsed="false">
      <c r="I1982" s="41" t="str">
        <f aca="false">IF(F1982="","",IFERROR(IF(ISNUMBER(SEARCH(Assumptions!$C$5,F1982)),Assumptions!$D$5,IF(ISNUMBER(SEARCH(Assumptions!$C$6,F1982)),Assumptions!$D$6,IF(ISNUMBER(SEARCH(Assumptions!$C$7,F1982)),Assumptions!$D$7,"Other Services"))),"Other Services"))</f>
        <v/>
      </c>
    </row>
    <row r="1983" customFormat="false" ht="15" hidden="false" customHeight="false" outlineLevel="0" collapsed="false">
      <c r="I1983" s="41" t="str">
        <f aca="false">IF(F1983="","",IFERROR(IF(ISNUMBER(SEARCH(Assumptions!$C$5,F1983)),Assumptions!$D$5,IF(ISNUMBER(SEARCH(Assumptions!$C$6,F1983)),Assumptions!$D$6,IF(ISNUMBER(SEARCH(Assumptions!$C$7,F1983)),Assumptions!$D$7,"Other Services"))),"Other Services"))</f>
        <v/>
      </c>
    </row>
    <row r="1984" customFormat="false" ht="15" hidden="false" customHeight="false" outlineLevel="0" collapsed="false">
      <c r="I1984" s="41" t="str">
        <f aca="false">IF(F1984="","",IFERROR(IF(ISNUMBER(SEARCH(Assumptions!$C$5,F1984)),Assumptions!$D$5,IF(ISNUMBER(SEARCH(Assumptions!$C$6,F1984)),Assumptions!$D$6,IF(ISNUMBER(SEARCH(Assumptions!$C$7,F1984)),Assumptions!$D$7,"Other Services"))),"Other Services"))</f>
        <v/>
      </c>
    </row>
    <row r="1985" customFormat="false" ht="15" hidden="false" customHeight="false" outlineLevel="0" collapsed="false">
      <c r="I1985" s="41" t="str">
        <f aca="false">IF(F1985="","",IFERROR(IF(ISNUMBER(SEARCH(Assumptions!$C$5,F1985)),Assumptions!$D$5,IF(ISNUMBER(SEARCH(Assumptions!$C$6,F1985)),Assumptions!$D$6,IF(ISNUMBER(SEARCH(Assumptions!$C$7,F1985)),Assumptions!$D$7,"Other Services"))),"Other Services"))</f>
        <v/>
      </c>
    </row>
    <row r="1986" customFormat="false" ht="15" hidden="false" customHeight="false" outlineLevel="0" collapsed="false">
      <c r="I1986" s="41" t="str">
        <f aca="false">IF(F1986="","",IFERROR(IF(ISNUMBER(SEARCH(Assumptions!$C$5,F1986)),Assumptions!$D$5,IF(ISNUMBER(SEARCH(Assumptions!$C$6,F1986)),Assumptions!$D$6,IF(ISNUMBER(SEARCH(Assumptions!$C$7,F1986)),Assumptions!$D$7,"Other Services"))),"Other Services"))</f>
        <v/>
      </c>
    </row>
    <row r="1987" customFormat="false" ht="15" hidden="false" customHeight="false" outlineLevel="0" collapsed="false">
      <c r="I1987" s="41" t="str">
        <f aca="false">IF(F1987="","",IFERROR(IF(ISNUMBER(SEARCH(Assumptions!$C$5,F1987)),Assumptions!$D$5,IF(ISNUMBER(SEARCH(Assumptions!$C$6,F1987)),Assumptions!$D$6,IF(ISNUMBER(SEARCH(Assumptions!$C$7,F1987)),Assumptions!$D$7,"Other Services"))),"Other Services"))</f>
        <v/>
      </c>
    </row>
    <row r="1988" customFormat="false" ht="15" hidden="false" customHeight="false" outlineLevel="0" collapsed="false">
      <c r="I1988" s="41" t="str">
        <f aca="false">IF(F1988="","",IFERROR(IF(ISNUMBER(SEARCH(Assumptions!$C$5,F1988)),Assumptions!$D$5,IF(ISNUMBER(SEARCH(Assumptions!$C$6,F1988)),Assumptions!$D$6,IF(ISNUMBER(SEARCH(Assumptions!$C$7,F1988)),Assumptions!$D$7,"Other Services"))),"Other Services"))</f>
        <v/>
      </c>
    </row>
    <row r="1989" customFormat="false" ht="15" hidden="false" customHeight="false" outlineLevel="0" collapsed="false">
      <c r="I1989" s="41" t="str">
        <f aca="false">IF(F1989="","",IFERROR(IF(ISNUMBER(SEARCH(Assumptions!$C$5,F1989)),Assumptions!$D$5,IF(ISNUMBER(SEARCH(Assumptions!$C$6,F1989)),Assumptions!$D$6,IF(ISNUMBER(SEARCH(Assumptions!$C$7,F1989)),Assumptions!$D$7,"Other Services"))),"Other Services"))</f>
        <v/>
      </c>
    </row>
    <row r="1990" customFormat="false" ht="15" hidden="false" customHeight="false" outlineLevel="0" collapsed="false">
      <c r="I1990" s="41" t="str">
        <f aca="false">IF(F1990="","",IFERROR(IF(ISNUMBER(SEARCH(Assumptions!$C$5,F1990)),Assumptions!$D$5,IF(ISNUMBER(SEARCH(Assumptions!$C$6,F1990)),Assumptions!$D$6,IF(ISNUMBER(SEARCH(Assumptions!$C$7,F1990)),Assumptions!$D$7,"Other Services"))),"Other Services"))</f>
        <v/>
      </c>
    </row>
    <row r="1991" customFormat="false" ht="15" hidden="false" customHeight="false" outlineLevel="0" collapsed="false">
      <c r="I1991" s="41" t="str">
        <f aca="false">IF(F1991="","",IFERROR(IF(ISNUMBER(SEARCH(Assumptions!$C$5,F1991)),Assumptions!$D$5,IF(ISNUMBER(SEARCH(Assumptions!$C$6,F1991)),Assumptions!$D$6,IF(ISNUMBER(SEARCH(Assumptions!$C$7,F1991)),Assumptions!$D$7,"Other Services"))),"Other Services"))</f>
        <v/>
      </c>
    </row>
    <row r="1992" customFormat="false" ht="15" hidden="false" customHeight="false" outlineLevel="0" collapsed="false">
      <c r="I1992" s="41" t="str">
        <f aca="false">IF(F1992="","",IFERROR(IF(ISNUMBER(SEARCH(Assumptions!$C$5,F1992)),Assumptions!$D$5,IF(ISNUMBER(SEARCH(Assumptions!$C$6,F1992)),Assumptions!$D$6,IF(ISNUMBER(SEARCH(Assumptions!$C$7,F1992)),Assumptions!$D$7,"Other Services"))),"Other Services"))</f>
        <v/>
      </c>
    </row>
    <row r="1993" customFormat="false" ht="15" hidden="false" customHeight="false" outlineLevel="0" collapsed="false">
      <c r="I1993" s="41" t="str">
        <f aca="false">IF(F1993="","",IFERROR(IF(ISNUMBER(SEARCH(Assumptions!$C$5,F1993)),Assumptions!$D$5,IF(ISNUMBER(SEARCH(Assumptions!$C$6,F1993)),Assumptions!$D$6,IF(ISNUMBER(SEARCH(Assumptions!$C$7,F1993)),Assumptions!$D$7,"Other Services"))),"Other Services"))</f>
        <v/>
      </c>
    </row>
    <row r="1994" customFormat="false" ht="15" hidden="false" customHeight="false" outlineLevel="0" collapsed="false">
      <c r="I1994" s="41" t="str">
        <f aca="false">IF(F1994="","",IFERROR(IF(ISNUMBER(SEARCH(Assumptions!$C$5,F1994)),Assumptions!$D$5,IF(ISNUMBER(SEARCH(Assumptions!$C$6,F1994)),Assumptions!$D$6,IF(ISNUMBER(SEARCH(Assumptions!$C$7,F1994)),Assumptions!$D$7,"Other Services"))),"Other Services"))</f>
        <v/>
      </c>
    </row>
    <row r="1995" customFormat="false" ht="15" hidden="false" customHeight="false" outlineLevel="0" collapsed="false">
      <c r="I1995" s="41" t="str">
        <f aca="false">IF(F1995="","",IFERROR(IF(ISNUMBER(SEARCH(Assumptions!$C$5,F1995)),Assumptions!$D$5,IF(ISNUMBER(SEARCH(Assumptions!$C$6,F1995)),Assumptions!$D$6,IF(ISNUMBER(SEARCH(Assumptions!$C$7,F1995)),Assumptions!$D$7,"Other Services"))),"Other Services"))</f>
        <v/>
      </c>
    </row>
    <row r="1996" customFormat="false" ht="15" hidden="false" customHeight="false" outlineLevel="0" collapsed="false">
      <c r="I1996" s="41" t="str">
        <f aca="false">IF(F1996="","",IFERROR(IF(ISNUMBER(SEARCH(Assumptions!$C$5,F1996)),Assumptions!$D$5,IF(ISNUMBER(SEARCH(Assumptions!$C$6,F1996)),Assumptions!$D$6,IF(ISNUMBER(SEARCH(Assumptions!$C$7,F1996)),Assumptions!$D$7,"Other Services"))),"Other Services"))</f>
        <v/>
      </c>
    </row>
    <row r="1997" customFormat="false" ht="15" hidden="false" customHeight="false" outlineLevel="0" collapsed="false">
      <c r="I1997" s="41" t="str">
        <f aca="false">IF(F1997="","",IFERROR(IF(ISNUMBER(SEARCH(Assumptions!$C$5,F1997)),Assumptions!$D$5,IF(ISNUMBER(SEARCH(Assumptions!$C$6,F1997)),Assumptions!$D$6,IF(ISNUMBER(SEARCH(Assumptions!$C$7,F1997)),Assumptions!$D$7,"Other Services"))),"Other Services"))</f>
        <v/>
      </c>
    </row>
    <row r="1998" customFormat="false" ht="15" hidden="false" customHeight="false" outlineLevel="0" collapsed="false">
      <c r="I1998" s="41" t="str">
        <f aca="false">IF(F1998="","",IFERROR(IF(ISNUMBER(SEARCH(Assumptions!$C$5,F1998)),Assumptions!$D$5,IF(ISNUMBER(SEARCH(Assumptions!$C$6,F1998)),Assumptions!$D$6,IF(ISNUMBER(SEARCH(Assumptions!$C$7,F1998)),Assumptions!$D$7,"Other Services"))),"Other Services"))</f>
        <v/>
      </c>
    </row>
    <row r="1999" customFormat="false" ht="15" hidden="false" customHeight="false" outlineLevel="0" collapsed="false">
      <c r="I1999" s="41" t="str">
        <f aca="false">IF(F1999="","",IFERROR(IF(ISNUMBER(SEARCH(Assumptions!$C$5,F1999)),Assumptions!$D$5,IF(ISNUMBER(SEARCH(Assumptions!$C$6,F1999)),Assumptions!$D$6,IF(ISNUMBER(SEARCH(Assumptions!$C$7,F1999)),Assumptions!$D$7,"Other Services"))),"Other Services"))</f>
        <v/>
      </c>
    </row>
    <row r="2000" customFormat="false" ht="15" hidden="false" customHeight="false" outlineLevel="0" collapsed="false">
      <c r="I2000" s="41" t="str">
        <f aca="false">IF(F2000="","",IFERROR(IF(ISNUMBER(SEARCH(Assumptions!$C$5,F2000)),Assumptions!$D$5,IF(ISNUMBER(SEARCH(Assumptions!$C$6,F2000)),Assumptions!$D$6,IF(ISNUMBER(SEARCH(Assumptions!$C$7,F2000)),Assumptions!$D$7,"Other Services"))),"Other Services"))</f>
        <v/>
      </c>
    </row>
    <row r="2001" customFormat="false" ht="15" hidden="false" customHeight="false" outlineLevel="0" collapsed="false">
      <c r="I2001" s="41" t="str">
        <f aca="false">IF(F2001="","",IFERROR(IF(ISNUMBER(SEARCH(Assumptions!$C$5,F2001)),Assumptions!$D$5,IF(ISNUMBER(SEARCH(Assumptions!$C$6,F2001)),Assumptions!$D$6,IF(ISNUMBER(SEARCH(Assumptions!$C$7,F2001)),Assumptions!$D$7,"Other Services"))),"Other Services"))</f>
        <v/>
      </c>
    </row>
    <row r="2002" customFormat="false" ht="15" hidden="false" customHeight="false" outlineLevel="0" collapsed="false">
      <c r="I2002" s="41" t="str">
        <f aca="false">IF(F2002="","",IFERROR(IF(ISNUMBER(SEARCH(Assumptions!$C$5,F2002)),Assumptions!$D$5,IF(ISNUMBER(SEARCH(Assumptions!$C$6,F2002)),Assumptions!$D$6,IF(ISNUMBER(SEARCH(Assumptions!$C$7,F2002)),Assumptions!$D$7,"Other Services"))),"Other Services"))</f>
        <v/>
      </c>
    </row>
    <row r="2003" customFormat="false" ht="15" hidden="false" customHeight="false" outlineLevel="0" collapsed="false">
      <c r="I2003" s="41" t="str">
        <f aca="false">IF(F2003="","",IFERROR(IF(ISNUMBER(SEARCH(Assumptions!$C$5,F2003)),Assumptions!$D$5,IF(ISNUMBER(SEARCH(Assumptions!$C$6,F2003)),Assumptions!$D$6,IF(ISNUMBER(SEARCH(Assumptions!$C$7,F2003)),Assumptions!$D$7,"Other Services"))),"Other Services"))</f>
        <v/>
      </c>
    </row>
    <row r="2004" customFormat="false" ht="15" hidden="false" customHeight="false" outlineLevel="0" collapsed="false">
      <c r="I2004" s="41" t="str">
        <f aca="false">IF(F2004="","",IFERROR(IF(ISNUMBER(SEARCH(Assumptions!$C$5,F2004)),Assumptions!$D$5,IF(ISNUMBER(SEARCH(Assumptions!$C$6,F2004)),Assumptions!$D$6,IF(ISNUMBER(SEARCH(Assumptions!$C$7,F2004)),Assumptions!$D$7,"Other Services"))),"Other Services"))</f>
        <v/>
      </c>
    </row>
    <row r="2005" customFormat="false" ht="15" hidden="false" customHeight="false" outlineLevel="0" collapsed="false">
      <c r="I2005" s="41" t="str">
        <f aca="false">IF(F2005="","",IFERROR(IF(ISNUMBER(SEARCH(Assumptions!$C$5,F2005)),Assumptions!$D$5,IF(ISNUMBER(SEARCH(Assumptions!$C$6,F2005)),Assumptions!$D$6,IF(ISNUMBER(SEARCH(Assumptions!$C$7,F2005)),Assumptions!$D$7,"Other Services"))),"Other Services"))</f>
        <v/>
      </c>
    </row>
    <row r="2006" customFormat="false" ht="15" hidden="false" customHeight="false" outlineLevel="0" collapsed="false">
      <c r="I2006" s="41" t="str">
        <f aca="false">IF(F2006="","",IFERROR(IF(ISNUMBER(SEARCH(Assumptions!$C$5,F2006)),Assumptions!$D$5,IF(ISNUMBER(SEARCH(Assumptions!$C$6,F2006)),Assumptions!$D$6,IF(ISNUMBER(SEARCH(Assumptions!$C$7,F2006)),Assumptions!$D$7,"Other Services"))),"Other Services"))</f>
        <v/>
      </c>
    </row>
    <row r="2007" customFormat="false" ht="15" hidden="false" customHeight="false" outlineLevel="0" collapsed="false">
      <c r="I2007" s="41" t="str">
        <f aca="false">IF(F2007="","",IFERROR(IF(ISNUMBER(SEARCH(Assumptions!$C$5,F2007)),Assumptions!$D$5,IF(ISNUMBER(SEARCH(Assumptions!$C$6,F2007)),Assumptions!$D$6,IF(ISNUMBER(SEARCH(Assumptions!$C$7,F2007)),Assumptions!$D$7,"Other Services"))),"Other Services"))</f>
        <v/>
      </c>
    </row>
    <row r="2008" customFormat="false" ht="15" hidden="false" customHeight="false" outlineLevel="0" collapsed="false">
      <c r="I2008" s="41" t="str">
        <f aca="false">IF(F2008="","",IFERROR(IF(ISNUMBER(SEARCH(Assumptions!$C$5,F2008)),Assumptions!$D$5,IF(ISNUMBER(SEARCH(Assumptions!$C$6,F2008)),Assumptions!$D$6,IF(ISNUMBER(SEARCH(Assumptions!$C$7,F2008)),Assumptions!$D$7,"Other Services"))),"Other Services"))</f>
        <v/>
      </c>
    </row>
    <row r="2009" customFormat="false" ht="15" hidden="false" customHeight="false" outlineLevel="0" collapsed="false">
      <c r="I2009" s="41" t="str">
        <f aca="false">IF(F2009="","",IFERROR(IF(ISNUMBER(SEARCH(Assumptions!$C$5,F2009)),Assumptions!$D$5,IF(ISNUMBER(SEARCH(Assumptions!$C$6,F2009)),Assumptions!$D$6,IF(ISNUMBER(SEARCH(Assumptions!$C$7,F2009)),Assumptions!$D$7,"Other Services"))),"Other Services"))</f>
        <v/>
      </c>
    </row>
    <row r="2010" customFormat="false" ht="15" hidden="false" customHeight="false" outlineLevel="0" collapsed="false">
      <c r="I2010" s="41" t="str">
        <f aca="false">IF(F2010="","",IFERROR(IF(ISNUMBER(SEARCH(Assumptions!$C$5,F2010)),Assumptions!$D$5,IF(ISNUMBER(SEARCH(Assumptions!$C$6,F2010)),Assumptions!$D$6,IF(ISNUMBER(SEARCH(Assumptions!$C$7,F2010)),Assumptions!$D$7,"Other Services"))),"Other Services"))</f>
        <v/>
      </c>
    </row>
    <row r="2011" customFormat="false" ht="15" hidden="false" customHeight="false" outlineLevel="0" collapsed="false">
      <c r="I2011" s="41" t="str">
        <f aca="false">IF(F2011="","",IFERROR(IF(ISNUMBER(SEARCH(Assumptions!$C$5,F2011)),Assumptions!$D$5,IF(ISNUMBER(SEARCH(Assumptions!$C$6,F2011)),Assumptions!$D$6,IF(ISNUMBER(SEARCH(Assumptions!$C$7,F2011)),Assumptions!$D$7,"Other Services"))),"Other Services"))</f>
        <v/>
      </c>
    </row>
    <row r="2012" customFormat="false" ht="15" hidden="false" customHeight="false" outlineLevel="0" collapsed="false">
      <c r="I2012" s="41" t="str">
        <f aca="false">IF(F2012="","",IFERROR(IF(ISNUMBER(SEARCH(Assumptions!$C$5,F2012)),Assumptions!$D$5,IF(ISNUMBER(SEARCH(Assumptions!$C$6,F2012)),Assumptions!$D$6,IF(ISNUMBER(SEARCH(Assumptions!$C$7,F2012)),Assumptions!$D$7,"Other Services"))),"Other Services"))</f>
        <v/>
      </c>
    </row>
    <row r="2013" customFormat="false" ht="15" hidden="false" customHeight="false" outlineLevel="0" collapsed="false">
      <c r="I2013" s="41" t="str">
        <f aca="false">IF(F2013="","",IFERROR(IF(ISNUMBER(SEARCH(Assumptions!$C$5,F2013)),Assumptions!$D$5,IF(ISNUMBER(SEARCH(Assumptions!$C$6,F2013)),Assumptions!$D$6,IF(ISNUMBER(SEARCH(Assumptions!$C$7,F2013)),Assumptions!$D$7,"Other Services"))),"Other Services"))</f>
        <v/>
      </c>
    </row>
    <row r="2014" customFormat="false" ht="15" hidden="false" customHeight="false" outlineLevel="0" collapsed="false">
      <c r="I2014" s="41" t="str">
        <f aca="false">IF(F2014="","",IFERROR(IF(ISNUMBER(SEARCH(Assumptions!$C$5,F2014)),Assumptions!$D$5,IF(ISNUMBER(SEARCH(Assumptions!$C$6,F2014)),Assumptions!$D$6,IF(ISNUMBER(SEARCH(Assumptions!$C$7,F2014)),Assumptions!$D$7,"Other Services"))),"Other Services"))</f>
        <v/>
      </c>
    </row>
    <row r="2015" customFormat="false" ht="15" hidden="false" customHeight="false" outlineLevel="0" collapsed="false">
      <c r="I2015" s="41" t="str">
        <f aca="false">IF(F2015="","",IFERROR(IF(ISNUMBER(SEARCH(Assumptions!$C$5,F2015)),Assumptions!$D$5,IF(ISNUMBER(SEARCH(Assumptions!$C$6,F2015)),Assumptions!$D$6,IF(ISNUMBER(SEARCH(Assumptions!$C$7,F2015)),Assumptions!$D$7,"Other Services"))),"Other Services"))</f>
        <v/>
      </c>
    </row>
    <row r="2016" customFormat="false" ht="15" hidden="false" customHeight="false" outlineLevel="0" collapsed="false">
      <c r="I2016" s="41" t="str">
        <f aca="false">IF(F2016="","",IFERROR(IF(ISNUMBER(SEARCH(Assumptions!$C$5,F2016)),Assumptions!$D$5,IF(ISNUMBER(SEARCH(Assumptions!$C$6,F2016)),Assumptions!$D$6,IF(ISNUMBER(SEARCH(Assumptions!$C$7,F2016)),Assumptions!$D$7,"Other Services"))),"Other Services"))</f>
        <v/>
      </c>
    </row>
    <row r="2017" customFormat="false" ht="15" hidden="false" customHeight="false" outlineLevel="0" collapsed="false">
      <c r="I2017" s="41" t="str">
        <f aca="false">IF(F2017="","",IFERROR(IF(ISNUMBER(SEARCH(Assumptions!$C$5,F2017)),Assumptions!$D$5,IF(ISNUMBER(SEARCH(Assumptions!$C$6,F2017)),Assumptions!$D$6,IF(ISNUMBER(SEARCH(Assumptions!$C$7,F2017)),Assumptions!$D$7,"Other Services"))),"Other Services"))</f>
        <v/>
      </c>
    </row>
    <row r="2018" customFormat="false" ht="15" hidden="false" customHeight="false" outlineLevel="0" collapsed="false">
      <c r="I2018" s="41" t="str">
        <f aca="false">IF(F2018="","",IFERROR(IF(ISNUMBER(SEARCH(Assumptions!$C$5,F2018)),Assumptions!$D$5,IF(ISNUMBER(SEARCH(Assumptions!$C$6,F2018)),Assumptions!$D$6,IF(ISNUMBER(SEARCH(Assumptions!$C$7,F2018)),Assumptions!$D$7,"Other Services"))),"Other Services"))</f>
        <v/>
      </c>
    </row>
    <row r="2019" customFormat="false" ht="15" hidden="false" customHeight="false" outlineLevel="0" collapsed="false">
      <c r="I2019" s="41" t="str">
        <f aca="false">IF(F2019="","",IFERROR(IF(ISNUMBER(SEARCH(Assumptions!$C$5,F2019)),Assumptions!$D$5,IF(ISNUMBER(SEARCH(Assumptions!$C$6,F2019)),Assumptions!$D$6,IF(ISNUMBER(SEARCH(Assumptions!$C$7,F2019)),Assumptions!$D$7,"Other Services"))),"Other Services"))</f>
        <v/>
      </c>
    </row>
    <row r="2020" customFormat="false" ht="15" hidden="false" customHeight="false" outlineLevel="0" collapsed="false">
      <c r="I2020" s="41" t="str">
        <f aca="false">IF(F2020="","",IFERROR(IF(ISNUMBER(SEARCH(Assumptions!$C$5,F2020)),Assumptions!$D$5,IF(ISNUMBER(SEARCH(Assumptions!$C$6,F2020)),Assumptions!$D$6,IF(ISNUMBER(SEARCH(Assumptions!$C$7,F2020)),Assumptions!$D$7,"Other Services"))),"Other Services"))</f>
        <v/>
      </c>
    </row>
    <row r="2021" customFormat="false" ht="15" hidden="false" customHeight="false" outlineLevel="0" collapsed="false">
      <c r="I2021" s="41" t="str">
        <f aca="false">IF(F2021="","",IFERROR(IF(ISNUMBER(SEARCH(Assumptions!$C$5,F2021)),Assumptions!$D$5,IF(ISNUMBER(SEARCH(Assumptions!$C$6,F2021)),Assumptions!$D$6,IF(ISNUMBER(SEARCH(Assumptions!$C$7,F2021)),Assumptions!$D$7,"Other Services"))),"Other Services"))</f>
        <v/>
      </c>
    </row>
    <row r="2022" customFormat="false" ht="15" hidden="false" customHeight="false" outlineLevel="0" collapsed="false">
      <c r="I2022" s="41" t="str">
        <f aca="false">IF(F2022="","",IFERROR(IF(ISNUMBER(SEARCH(Assumptions!$C$5,F2022)),Assumptions!$D$5,IF(ISNUMBER(SEARCH(Assumptions!$C$6,F2022)),Assumptions!$D$6,IF(ISNUMBER(SEARCH(Assumptions!$C$7,F2022)),Assumptions!$D$7,"Other Services"))),"Other Services"))</f>
        <v/>
      </c>
    </row>
    <row r="2023" customFormat="false" ht="15" hidden="false" customHeight="false" outlineLevel="0" collapsed="false">
      <c r="I2023" s="41" t="str">
        <f aca="false">IF(F2023="","",IFERROR(IF(ISNUMBER(SEARCH(Assumptions!$C$5,F2023)),Assumptions!$D$5,IF(ISNUMBER(SEARCH(Assumptions!$C$6,F2023)),Assumptions!$D$6,IF(ISNUMBER(SEARCH(Assumptions!$C$7,F2023)),Assumptions!$D$7,"Other Services"))),"Other Services"))</f>
        <v/>
      </c>
    </row>
    <row r="2024" customFormat="false" ht="15" hidden="false" customHeight="false" outlineLevel="0" collapsed="false">
      <c r="I2024" s="41" t="str">
        <f aca="false">IF(F2024="","",IFERROR(IF(ISNUMBER(SEARCH(Assumptions!$C$5,F2024)),Assumptions!$D$5,IF(ISNUMBER(SEARCH(Assumptions!$C$6,F2024)),Assumptions!$D$6,IF(ISNUMBER(SEARCH(Assumptions!$C$7,F2024)),Assumptions!$D$7,"Other Services"))),"Other Services"))</f>
        <v/>
      </c>
    </row>
    <row r="2025" customFormat="false" ht="15" hidden="false" customHeight="false" outlineLevel="0" collapsed="false">
      <c r="I2025" s="41" t="str">
        <f aca="false">IF(F2025="","",IFERROR(IF(ISNUMBER(SEARCH(Assumptions!$C$5,F2025)),Assumptions!$D$5,IF(ISNUMBER(SEARCH(Assumptions!$C$6,F2025)),Assumptions!$D$6,IF(ISNUMBER(SEARCH(Assumptions!$C$7,F2025)),Assumptions!$D$7,"Other Services"))),"Other Services"))</f>
        <v/>
      </c>
    </row>
    <row r="2026" customFormat="false" ht="15" hidden="false" customHeight="false" outlineLevel="0" collapsed="false">
      <c r="I2026" s="41" t="str">
        <f aca="false">IF(F2026="","",IFERROR(IF(ISNUMBER(SEARCH(Assumptions!$C$5,F2026)),Assumptions!$D$5,IF(ISNUMBER(SEARCH(Assumptions!$C$6,F2026)),Assumptions!$D$6,IF(ISNUMBER(SEARCH(Assumptions!$C$7,F2026)),Assumptions!$D$7,"Other Services"))),"Other Services"))</f>
        <v/>
      </c>
    </row>
    <row r="2027" customFormat="false" ht="15" hidden="false" customHeight="false" outlineLevel="0" collapsed="false">
      <c r="I2027" s="41" t="str">
        <f aca="false">IF(F2027="","",IFERROR(IF(ISNUMBER(SEARCH(Assumptions!$C$5,F2027)),Assumptions!$D$5,IF(ISNUMBER(SEARCH(Assumptions!$C$6,F2027)),Assumptions!$D$6,IF(ISNUMBER(SEARCH(Assumptions!$C$7,F2027)),Assumptions!$D$7,"Other Services"))),"Other Services"))</f>
        <v/>
      </c>
    </row>
    <row r="2028" customFormat="false" ht="15" hidden="false" customHeight="false" outlineLevel="0" collapsed="false">
      <c r="I2028" s="41" t="str">
        <f aca="false">IF(F2028="","",IFERROR(IF(ISNUMBER(SEARCH(Assumptions!$C$5,F2028)),Assumptions!$D$5,IF(ISNUMBER(SEARCH(Assumptions!$C$6,F2028)),Assumptions!$D$6,IF(ISNUMBER(SEARCH(Assumptions!$C$7,F2028)),Assumptions!$D$7,"Other Services"))),"Other Services"))</f>
        <v/>
      </c>
    </row>
    <row r="2029" customFormat="false" ht="15" hidden="false" customHeight="false" outlineLevel="0" collapsed="false">
      <c r="I2029" s="41" t="str">
        <f aca="false">IF(F2029="","",IFERROR(IF(ISNUMBER(SEARCH(Assumptions!$C$5,F2029)),Assumptions!$D$5,IF(ISNUMBER(SEARCH(Assumptions!$C$6,F2029)),Assumptions!$D$6,IF(ISNUMBER(SEARCH(Assumptions!$C$7,F2029)),Assumptions!$D$7,"Other Services"))),"Other Services"))</f>
        <v/>
      </c>
    </row>
    <row r="2030" customFormat="false" ht="15" hidden="false" customHeight="false" outlineLevel="0" collapsed="false">
      <c r="I2030" s="41" t="str">
        <f aca="false">IF(F2030="","",IFERROR(IF(ISNUMBER(SEARCH(Assumptions!$C$5,F2030)),Assumptions!$D$5,IF(ISNUMBER(SEARCH(Assumptions!$C$6,F2030)),Assumptions!$D$6,IF(ISNUMBER(SEARCH(Assumptions!$C$7,F2030)),Assumptions!$D$7,"Other Services"))),"Other Services"))</f>
        <v/>
      </c>
    </row>
    <row r="2031" customFormat="false" ht="15" hidden="false" customHeight="false" outlineLevel="0" collapsed="false">
      <c r="I2031" s="41" t="str">
        <f aca="false">IF(F2031="","",IFERROR(IF(ISNUMBER(SEARCH(Assumptions!$C$5,F2031)),Assumptions!$D$5,IF(ISNUMBER(SEARCH(Assumptions!$C$6,F2031)),Assumptions!$D$6,IF(ISNUMBER(SEARCH(Assumptions!$C$7,F2031)),Assumptions!$D$7,"Other Services"))),"Other Services"))</f>
        <v/>
      </c>
    </row>
    <row r="2032" customFormat="false" ht="15" hidden="false" customHeight="false" outlineLevel="0" collapsed="false">
      <c r="I2032" s="41" t="str">
        <f aca="false">IF(F2032="","",IFERROR(IF(ISNUMBER(SEARCH(Assumptions!$C$5,F2032)),Assumptions!$D$5,IF(ISNUMBER(SEARCH(Assumptions!$C$6,F2032)),Assumptions!$D$6,IF(ISNUMBER(SEARCH(Assumptions!$C$7,F2032)),Assumptions!$D$7,"Other Services"))),"Other Services"))</f>
        <v/>
      </c>
    </row>
    <row r="2033" customFormat="false" ht="15" hidden="false" customHeight="false" outlineLevel="0" collapsed="false">
      <c r="I2033" s="41" t="str">
        <f aca="false">IF(F2033="","",IFERROR(IF(ISNUMBER(SEARCH(Assumptions!$C$5,F2033)),Assumptions!$D$5,IF(ISNUMBER(SEARCH(Assumptions!$C$6,F2033)),Assumptions!$D$6,IF(ISNUMBER(SEARCH(Assumptions!$C$7,F2033)),Assumptions!$D$7,"Other Services"))),"Other Services"))</f>
        <v/>
      </c>
    </row>
    <row r="2034" customFormat="false" ht="15" hidden="false" customHeight="false" outlineLevel="0" collapsed="false">
      <c r="I2034" s="41" t="str">
        <f aca="false">IF(F2034="","",IFERROR(IF(ISNUMBER(SEARCH(Assumptions!$C$5,F2034)),Assumptions!$D$5,IF(ISNUMBER(SEARCH(Assumptions!$C$6,F2034)),Assumptions!$D$6,IF(ISNUMBER(SEARCH(Assumptions!$C$7,F2034)),Assumptions!$D$7,"Other Services"))),"Other Services"))</f>
        <v/>
      </c>
    </row>
    <row r="2035" customFormat="false" ht="15" hidden="false" customHeight="false" outlineLevel="0" collapsed="false">
      <c r="I2035" s="41" t="str">
        <f aca="false">IF(F2035="","",IFERROR(IF(ISNUMBER(SEARCH(Assumptions!$C$5,F2035)),Assumptions!$D$5,IF(ISNUMBER(SEARCH(Assumptions!$C$6,F2035)),Assumptions!$D$6,IF(ISNUMBER(SEARCH(Assumptions!$C$7,F2035)),Assumptions!$D$7,"Other Services"))),"Other Services"))</f>
        <v/>
      </c>
    </row>
    <row r="2036" customFormat="false" ht="15" hidden="false" customHeight="false" outlineLevel="0" collapsed="false">
      <c r="I2036" s="41" t="str">
        <f aca="false">IF(F2036="","",IFERROR(IF(ISNUMBER(SEARCH(Assumptions!$C$5,F2036)),Assumptions!$D$5,IF(ISNUMBER(SEARCH(Assumptions!$C$6,F2036)),Assumptions!$D$6,IF(ISNUMBER(SEARCH(Assumptions!$C$7,F2036)),Assumptions!$D$7,"Other Services"))),"Other Services"))</f>
        <v/>
      </c>
    </row>
    <row r="2037" customFormat="false" ht="15" hidden="false" customHeight="false" outlineLevel="0" collapsed="false">
      <c r="I2037" s="41" t="str">
        <f aca="false">IF(F2037="","",IFERROR(IF(ISNUMBER(SEARCH(Assumptions!$C$5,F2037)),Assumptions!$D$5,IF(ISNUMBER(SEARCH(Assumptions!$C$6,F2037)),Assumptions!$D$6,IF(ISNUMBER(SEARCH(Assumptions!$C$7,F2037)),Assumptions!$D$7,"Other Services"))),"Other Services"))</f>
        <v/>
      </c>
    </row>
    <row r="2038" customFormat="false" ht="15" hidden="false" customHeight="false" outlineLevel="0" collapsed="false">
      <c r="I2038" s="41" t="str">
        <f aca="false">IF(F2038="","",IFERROR(IF(ISNUMBER(SEARCH(Assumptions!$C$5,F2038)),Assumptions!$D$5,IF(ISNUMBER(SEARCH(Assumptions!$C$6,F2038)),Assumptions!$D$6,IF(ISNUMBER(SEARCH(Assumptions!$C$7,F2038)),Assumptions!$D$7,"Other Services"))),"Other Services"))</f>
        <v/>
      </c>
    </row>
    <row r="2039" customFormat="false" ht="15" hidden="false" customHeight="false" outlineLevel="0" collapsed="false">
      <c r="I2039" s="41" t="str">
        <f aca="false">IF(F2039="","",IFERROR(IF(ISNUMBER(SEARCH(Assumptions!$C$5,F2039)),Assumptions!$D$5,IF(ISNUMBER(SEARCH(Assumptions!$C$6,F2039)),Assumptions!$D$6,IF(ISNUMBER(SEARCH(Assumptions!$C$7,F2039)),Assumptions!$D$7,"Other Services"))),"Other Services"))</f>
        <v/>
      </c>
    </row>
    <row r="2040" customFormat="false" ht="15" hidden="false" customHeight="false" outlineLevel="0" collapsed="false">
      <c r="I2040" s="41" t="str">
        <f aca="false">IF(F2040="","",IFERROR(IF(ISNUMBER(SEARCH(Assumptions!$C$5,F2040)),Assumptions!$D$5,IF(ISNUMBER(SEARCH(Assumptions!$C$6,F2040)),Assumptions!$D$6,IF(ISNUMBER(SEARCH(Assumptions!$C$7,F2040)),Assumptions!$D$7,"Other Services"))),"Other Services"))</f>
        <v/>
      </c>
    </row>
    <row r="2041" customFormat="false" ht="15" hidden="false" customHeight="false" outlineLevel="0" collapsed="false">
      <c r="I2041" s="41" t="str">
        <f aca="false">IF(F2041="","",IFERROR(IF(ISNUMBER(SEARCH(Assumptions!$C$5,F2041)),Assumptions!$D$5,IF(ISNUMBER(SEARCH(Assumptions!$C$6,F2041)),Assumptions!$D$6,IF(ISNUMBER(SEARCH(Assumptions!$C$7,F2041)),Assumptions!$D$7,"Other Services"))),"Other Services"))</f>
        <v/>
      </c>
    </row>
    <row r="2042" customFormat="false" ht="15" hidden="false" customHeight="false" outlineLevel="0" collapsed="false">
      <c r="I2042" s="41" t="str">
        <f aca="false">IF(F2042="","",IFERROR(IF(ISNUMBER(SEARCH(Assumptions!$C$5,F2042)),Assumptions!$D$5,IF(ISNUMBER(SEARCH(Assumptions!$C$6,F2042)),Assumptions!$D$6,IF(ISNUMBER(SEARCH(Assumptions!$C$7,F2042)),Assumptions!$D$7,"Other Services"))),"Other Services"))</f>
        <v/>
      </c>
    </row>
    <row r="2043" customFormat="false" ht="15" hidden="false" customHeight="false" outlineLevel="0" collapsed="false">
      <c r="I2043" s="41" t="str">
        <f aca="false">IF(F2043="","",IFERROR(IF(ISNUMBER(SEARCH(Assumptions!$C$5,F2043)),Assumptions!$D$5,IF(ISNUMBER(SEARCH(Assumptions!$C$6,F2043)),Assumptions!$D$6,IF(ISNUMBER(SEARCH(Assumptions!$C$7,F2043)),Assumptions!$D$7,"Other Services"))),"Other Services"))</f>
        <v/>
      </c>
    </row>
    <row r="2044" customFormat="false" ht="15" hidden="false" customHeight="false" outlineLevel="0" collapsed="false">
      <c r="I2044" s="41" t="str">
        <f aca="false">IF(F2044="","",IFERROR(IF(ISNUMBER(SEARCH(Assumptions!$C$5,F2044)),Assumptions!$D$5,IF(ISNUMBER(SEARCH(Assumptions!$C$6,F2044)),Assumptions!$D$6,IF(ISNUMBER(SEARCH(Assumptions!$C$7,F2044)),Assumptions!$D$7,"Other Services"))),"Other Services"))</f>
        <v/>
      </c>
    </row>
    <row r="2045" customFormat="false" ht="15" hidden="false" customHeight="false" outlineLevel="0" collapsed="false">
      <c r="I2045" s="41" t="str">
        <f aca="false">IF(F2045="","",IFERROR(IF(ISNUMBER(SEARCH(Assumptions!$C$5,F2045)),Assumptions!$D$5,IF(ISNUMBER(SEARCH(Assumptions!$C$6,F2045)),Assumptions!$D$6,IF(ISNUMBER(SEARCH(Assumptions!$C$7,F2045)),Assumptions!$D$7,"Other Services"))),"Other Services"))</f>
        <v/>
      </c>
    </row>
    <row r="2046" customFormat="false" ht="15" hidden="false" customHeight="false" outlineLevel="0" collapsed="false">
      <c r="I2046" s="41" t="str">
        <f aca="false">IF(F2046="","",IFERROR(IF(ISNUMBER(SEARCH(Assumptions!$C$5,F2046)),Assumptions!$D$5,IF(ISNUMBER(SEARCH(Assumptions!$C$6,F2046)),Assumptions!$D$6,IF(ISNUMBER(SEARCH(Assumptions!$C$7,F2046)),Assumptions!$D$7,"Other Services"))),"Other Services"))</f>
        <v/>
      </c>
    </row>
    <row r="2047" customFormat="false" ht="15" hidden="false" customHeight="false" outlineLevel="0" collapsed="false">
      <c r="I2047" s="41" t="str">
        <f aca="false">IF(F2047="","",IFERROR(IF(ISNUMBER(SEARCH(Assumptions!$C$5,F2047)),Assumptions!$D$5,IF(ISNUMBER(SEARCH(Assumptions!$C$6,F2047)),Assumptions!$D$6,IF(ISNUMBER(SEARCH(Assumptions!$C$7,F2047)),Assumptions!$D$7,"Other Services"))),"Other Services"))</f>
        <v/>
      </c>
    </row>
    <row r="2048" customFormat="false" ht="15" hidden="false" customHeight="false" outlineLevel="0" collapsed="false">
      <c r="I2048" s="41" t="str">
        <f aca="false">IF(F2048="","",IFERROR(IF(ISNUMBER(SEARCH(Assumptions!$C$5,F2048)),Assumptions!$D$5,IF(ISNUMBER(SEARCH(Assumptions!$C$6,F2048)),Assumptions!$D$6,IF(ISNUMBER(SEARCH(Assumptions!$C$7,F2048)),Assumptions!$D$7,"Other Services"))),"Other Services"))</f>
        <v/>
      </c>
    </row>
    <row r="2049" customFormat="false" ht="15" hidden="false" customHeight="false" outlineLevel="0" collapsed="false">
      <c r="I2049" s="41" t="str">
        <f aca="false">IF(F2049="","",IFERROR(IF(ISNUMBER(SEARCH(Assumptions!$C$5,F2049)),Assumptions!$D$5,IF(ISNUMBER(SEARCH(Assumptions!$C$6,F2049)),Assumptions!$D$6,IF(ISNUMBER(SEARCH(Assumptions!$C$7,F2049)),Assumptions!$D$7,"Other Services"))),"Other Services"))</f>
        <v/>
      </c>
    </row>
    <row r="2050" customFormat="false" ht="15" hidden="false" customHeight="false" outlineLevel="0" collapsed="false">
      <c r="I2050" s="41" t="str">
        <f aca="false">IF(F2050="","",IFERROR(IF(ISNUMBER(SEARCH(Assumptions!$C$5,F2050)),Assumptions!$D$5,IF(ISNUMBER(SEARCH(Assumptions!$C$6,F2050)),Assumptions!$D$6,IF(ISNUMBER(SEARCH(Assumptions!$C$7,F2050)),Assumptions!$D$7,"Other Services"))),"Other Services"))</f>
        <v/>
      </c>
    </row>
    <row r="2051" customFormat="false" ht="15" hidden="false" customHeight="false" outlineLevel="0" collapsed="false">
      <c r="I2051" s="41" t="str">
        <f aca="false">IF(F2051="","",IFERROR(IF(ISNUMBER(SEARCH(Assumptions!$C$5,F2051)),Assumptions!$D$5,IF(ISNUMBER(SEARCH(Assumptions!$C$6,F2051)),Assumptions!$D$6,IF(ISNUMBER(SEARCH(Assumptions!$C$7,F2051)),Assumptions!$D$7,"Other Services"))),"Other Services"))</f>
        <v/>
      </c>
    </row>
    <row r="2052" customFormat="false" ht="15" hidden="false" customHeight="false" outlineLevel="0" collapsed="false">
      <c r="I2052" s="41" t="str">
        <f aca="false">IF(F2052="","",IFERROR(IF(ISNUMBER(SEARCH(Assumptions!$C$5,F2052)),Assumptions!$D$5,IF(ISNUMBER(SEARCH(Assumptions!$C$6,F2052)),Assumptions!$D$6,IF(ISNUMBER(SEARCH(Assumptions!$C$7,F2052)),Assumptions!$D$7,"Other Services"))),"Other Services"))</f>
        <v/>
      </c>
    </row>
    <row r="2053" customFormat="false" ht="15" hidden="false" customHeight="false" outlineLevel="0" collapsed="false">
      <c r="I2053" s="41" t="str">
        <f aca="false">IF(F2053="","",IFERROR(IF(ISNUMBER(SEARCH(Assumptions!$C$5,F2053)),Assumptions!$D$5,IF(ISNUMBER(SEARCH(Assumptions!$C$6,F2053)),Assumptions!$D$6,IF(ISNUMBER(SEARCH(Assumptions!$C$7,F2053)),Assumptions!$D$7,"Other Services"))),"Other Services"))</f>
        <v/>
      </c>
    </row>
    <row r="2054" customFormat="false" ht="15" hidden="false" customHeight="false" outlineLevel="0" collapsed="false">
      <c r="I2054" s="41" t="str">
        <f aca="false">IF(F2054="","",IFERROR(IF(ISNUMBER(SEARCH(Assumptions!$C$5,F2054)),Assumptions!$D$5,IF(ISNUMBER(SEARCH(Assumptions!$C$6,F2054)),Assumptions!$D$6,IF(ISNUMBER(SEARCH(Assumptions!$C$7,F2054)),Assumptions!$D$7,"Other Services"))),"Other Services"))</f>
        <v/>
      </c>
    </row>
    <row r="2055" customFormat="false" ht="15" hidden="false" customHeight="false" outlineLevel="0" collapsed="false">
      <c r="I2055" s="41" t="str">
        <f aca="false">IF(F2055="","",IFERROR(IF(ISNUMBER(SEARCH(Assumptions!$C$5,F2055)),Assumptions!$D$5,IF(ISNUMBER(SEARCH(Assumptions!$C$6,F2055)),Assumptions!$D$6,IF(ISNUMBER(SEARCH(Assumptions!$C$7,F2055)),Assumptions!$D$7,"Other Services"))),"Other Services"))</f>
        <v/>
      </c>
    </row>
    <row r="2056" customFormat="false" ht="15" hidden="false" customHeight="false" outlineLevel="0" collapsed="false">
      <c r="I2056" s="41" t="str">
        <f aca="false">IF(F2056="","",IFERROR(IF(ISNUMBER(SEARCH(Assumptions!$C$5,F2056)),Assumptions!$D$5,IF(ISNUMBER(SEARCH(Assumptions!$C$6,F2056)),Assumptions!$D$6,IF(ISNUMBER(SEARCH(Assumptions!$C$7,F2056)),Assumptions!$D$7,"Other Services"))),"Other Services"))</f>
        <v/>
      </c>
    </row>
    <row r="2057" customFormat="false" ht="15" hidden="false" customHeight="false" outlineLevel="0" collapsed="false">
      <c r="I2057" s="41" t="str">
        <f aca="false">IF(F2057="","",IFERROR(IF(ISNUMBER(SEARCH(Assumptions!$C$5,F2057)),Assumptions!$D$5,IF(ISNUMBER(SEARCH(Assumptions!$C$6,F2057)),Assumptions!$D$6,IF(ISNUMBER(SEARCH(Assumptions!$C$7,F2057)),Assumptions!$D$7,"Other Services"))),"Other Services"))</f>
        <v/>
      </c>
    </row>
    <row r="2058" customFormat="false" ht="15" hidden="false" customHeight="false" outlineLevel="0" collapsed="false">
      <c r="I2058" s="41" t="str">
        <f aca="false">IF(F2058="","",IFERROR(IF(ISNUMBER(SEARCH(Assumptions!$C$5,F2058)),Assumptions!$D$5,IF(ISNUMBER(SEARCH(Assumptions!$C$6,F2058)),Assumptions!$D$6,IF(ISNUMBER(SEARCH(Assumptions!$C$7,F2058)),Assumptions!$D$7,"Other Services"))),"Other Services"))</f>
        <v/>
      </c>
    </row>
    <row r="2059" customFormat="false" ht="15" hidden="false" customHeight="false" outlineLevel="0" collapsed="false">
      <c r="I2059" s="41" t="str">
        <f aca="false">IF(F2059="","",IFERROR(IF(ISNUMBER(SEARCH(Assumptions!$C$5,F2059)),Assumptions!$D$5,IF(ISNUMBER(SEARCH(Assumptions!$C$6,F2059)),Assumptions!$D$6,IF(ISNUMBER(SEARCH(Assumptions!$C$7,F2059)),Assumptions!$D$7,"Other Services"))),"Other Services"))</f>
        <v/>
      </c>
    </row>
    <row r="2060" customFormat="false" ht="15" hidden="false" customHeight="false" outlineLevel="0" collapsed="false">
      <c r="I2060" s="41" t="str">
        <f aca="false">IF(F2060="","",IFERROR(IF(ISNUMBER(SEARCH(Assumptions!$C$5,F2060)),Assumptions!$D$5,IF(ISNUMBER(SEARCH(Assumptions!$C$6,F2060)),Assumptions!$D$6,IF(ISNUMBER(SEARCH(Assumptions!$C$7,F2060)),Assumptions!$D$7,"Other Services"))),"Other Services"))</f>
        <v/>
      </c>
    </row>
    <row r="2061" customFormat="false" ht="15" hidden="false" customHeight="false" outlineLevel="0" collapsed="false">
      <c r="I2061" s="41" t="str">
        <f aca="false">IF(F2061="","",IFERROR(IF(ISNUMBER(SEARCH(Assumptions!$C$5,F2061)),Assumptions!$D$5,IF(ISNUMBER(SEARCH(Assumptions!$C$6,F2061)),Assumptions!$D$6,IF(ISNUMBER(SEARCH(Assumptions!$C$7,F2061)),Assumptions!$D$7,"Other Services"))),"Other Services"))</f>
        <v/>
      </c>
    </row>
    <row r="2062" customFormat="false" ht="15" hidden="false" customHeight="false" outlineLevel="0" collapsed="false">
      <c r="I2062" s="41" t="str">
        <f aca="false">IF(F2062="","",IFERROR(IF(ISNUMBER(SEARCH(Assumptions!$C$5,F2062)),Assumptions!$D$5,IF(ISNUMBER(SEARCH(Assumptions!$C$6,F2062)),Assumptions!$D$6,IF(ISNUMBER(SEARCH(Assumptions!$C$7,F2062)),Assumptions!$D$7,"Other Services"))),"Other Services"))</f>
        <v/>
      </c>
    </row>
    <row r="2063" customFormat="false" ht="15" hidden="false" customHeight="false" outlineLevel="0" collapsed="false">
      <c r="I2063" s="41" t="str">
        <f aca="false">IF(F2063="","",IFERROR(IF(ISNUMBER(SEARCH(Assumptions!$C$5,F2063)),Assumptions!$D$5,IF(ISNUMBER(SEARCH(Assumptions!$C$6,F2063)),Assumptions!$D$6,IF(ISNUMBER(SEARCH(Assumptions!$C$7,F2063)),Assumptions!$D$7,"Other Services"))),"Other Services"))</f>
        <v/>
      </c>
    </row>
    <row r="2064" customFormat="false" ht="15" hidden="false" customHeight="false" outlineLevel="0" collapsed="false">
      <c r="I2064" s="41" t="str">
        <f aca="false">IF(F2064="","",IFERROR(IF(ISNUMBER(SEARCH(Assumptions!$C$5,F2064)),Assumptions!$D$5,IF(ISNUMBER(SEARCH(Assumptions!$C$6,F2064)),Assumptions!$D$6,IF(ISNUMBER(SEARCH(Assumptions!$C$7,F2064)),Assumptions!$D$7,"Other Services"))),"Other Services"))</f>
        <v/>
      </c>
    </row>
    <row r="2065" customFormat="false" ht="15" hidden="false" customHeight="false" outlineLevel="0" collapsed="false">
      <c r="I2065" s="41" t="str">
        <f aca="false">IF(F2065="","",IFERROR(IF(ISNUMBER(SEARCH(Assumptions!$C$5,F2065)),Assumptions!$D$5,IF(ISNUMBER(SEARCH(Assumptions!$C$6,F2065)),Assumptions!$D$6,IF(ISNUMBER(SEARCH(Assumptions!$C$7,F2065)),Assumptions!$D$7,"Other Services"))),"Other Services"))</f>
        <v/>
      </c>
    </row>
    <row r="2066" customFormat="false" ht="15" hidden="false" customHeight="false" outlineLevel="0" collapsed="false">
      <c r="I2066" s="41" t="str">
        <f aca="false">IF(F2066="","",IFERROR(IF(ISNUMBER(SEARCH(Assumptions!$C$5,F2066)),Assumptions!$D$5,IF(ISNUMBER(SEARCH(Assumptions!$C$6,F2066)),Assumptions!$D$6,IF(ISNUMBER(SEARCH(Assumptions!$C$7,F2066)),Assumptions!$D$7,"Other Services"))),"Other Services"))</f>
        <v/>
      </c>
    </row>
    <row r="2067" customFormat="false" ht="15" hidden="false" customHeight="false" outlineLevel="0" collapsed="false">
      <c r="I2067" s="41" t="str">
        <f aca="false">IF(F2067="","",IFERROR(IF(ISNUMBER(SEARCH(Assumptions!$C$5,F2067)),Assumptions!$D$5,IF(ISNUMBER(SEARCH(Assumptions!$C$6,F2067)),Assumptions!$D$6,IF(ISNUMBER(SEARCH(Assumptions!$C$7,F2067)),Assumptions!$D$7,"Other Services"))),"Other Services"))</f>
        <v/>
      </c>
    </row>
    <row r="2068" customFormat="false" ht="15" hidden="false" customHeight="false" outlineLevel="0" collapsed="false">
      <c r="I2068" s="41" t="str">
        <f aca="false">IF(F2068="","",IFERROR(IF(ISNUMBER(SEARCH(Assumptions!$C$5,F2068)),Assumptions!$D$5,IF(ISNUMBER(SEARCH(Assumptions!$C$6,F2068)),Assumptions!$D$6,IF(ISNUMBER(SEARCH(Assumptions!$C$7,F2068)),Assumptions!$D$7,"Other Services"))),"Other Services"))</f>
        <v/>
      </c>
    </row>
    <row r="2069" customFormat="false" ht="15" hidden="false" customHeight="false" outlineLevel="0" collapsed="false">
      <c r="I2069" s="41" t="str">
        <f aca="false">IF(F2069="","",IFERROR(IF(ISNUMBER(SEARCH(Assumptions!$C$5,F2069)),Assumptions!$D$5,IF(ISNUMBER(SEARCH(Assumptions!$C$6,F2069)),Assumptions!$D$6,IF(ISNUMBER(SEARCH(Assumptions!$C$7,F2069)),Assumptions!$D$7,"Other Services"))),"Other Services"))</f>
        <v/>
      </c>
    </row>
    <row r="2070" customFormat="false" ht="15" hidden="false" customHeight="false" outlineLevel="0" collapsed="false">
      <c r="I2070" s="41" t="str">
        <f aca="false">IF(F2070="","",IFERROR(IF(ISNUMBER(SEARCH(Assumptions!$C$5,F2070)),Assumptions!$D$5,IF(ISNUMBER(SEARCH(Assumptions!$C$6,F2070)),Assumptions!$D$6,IF(ISNUMBER(SEARCH(Assumptions!$C$7,F2070)),Assumptions!$D$7,"Other Services"))),"Other Services"))</f>
        <v/>
      </c>
    </row>
    <row r="2071" customFormat="false" ht="15" hidden="false" customHeight="false" outlineLevel="0" collapsed="false">
      <c r="I2071" s="41" t="str">
        <f aca="false">IF(F2071="","",IFERROR(IF(ISNUMBER(SEARCH(Assumptions!$C$5,F2071)),Assumptions!$D$5,IF(ISNUMBER(SEARCH(Assumptions!$C$6,F2071)),Assumptions!$D$6,IF(ISNUMBER(SEARCH(Assumptions!$C$7,F2071)),Assumptions!$D$7,"Other Services"))),"Other Services"))</f>
        <v/>
      </c>
    </row>
    <row r="2072" customFormat="false" ht="15" hidden="false" customHeight="false" outlineLevel="0" collapsed="false">
      <c r="I2072" s="41" t="str">
        <f aca="false">IF(F2072="","",IFERROR(IF(ISNUMBER(SEARCH(Assumptions!$C$5,F2072)),Assumptions!$D$5,IF(ISNUMBER(SEARCH(Assumptions!$C$6,F2072)),Assumptions!$D$6,IF(ISNUMBER(SEARCH(Assumptions!$C$7,F2072)),Assumptions!$D$7,"Other Services"))),"Other Services"))</f>
        <v/>
      </c>
    </row>
    <row r="2073" customFormat="false" ht="15" hidden="false" customHeight="false" outlineLevel="0" collapsed="false">
      <c r="I2073" s="41" t="str">
        <f aca="false">IF(F2073="","",IFERROR(IF(ISNUMBER(SEARCH(Assumptions!$C$5,F2073)),Assumptions!$D$5,IF(ISNUMBER(SEARCH(Assumptions!$C$6,F2073)),Assumptions!$D$6,IF(ISNUMBER(SEARCH(Assumptions!$C$7,F2073)),Assumptions!$D$7,"Other Services"))),"Other Services"))</f>
        <v/>
      </c>
    </row>
    <row r="2074" customFormat="false" ht="15" hidden="false" customHeight="false" outlineLevel="0" collapsed="false">
      <c r="I2074" s="41" t="str">
        <f aca="false">IF(F2074="","",IFERROR(IF(ISNUMBER(SEARCH(Assumptions!$C$5,F2074)),Assumptions!$D$5,IF(ISNUMBER(SEARCH(Assumptions!$C$6,F2074)),Assumptions!$D$6,IF(ISNUMBER(SEARCH(Assumptions!$C$7,F2074)),Assumptions!$D$7,"Other Services"))),"Other Services"))</f>
        <v/>
      </c>
    </row>
    <row r="2075" customFormat="false" ht="15" hidden="false" customHeight="false" outlineLevel="0" collapsed="false">
      <c r="I2075" s="41" t="str">
        <f aca="false">IF(F2075="","",IFERROR(IF(ISNUMBER(SEARCH(Assumptions!$C$5,F2075)),Assumptions!$D$5,IF(ISNUMBER(SEARCH(Assumptions!$C$6,F2075)),Assumptions!$D$6,IF(ISNUMBER(SEARCH(Assumptions!$C$7,F2075)),Assumptions!$D$7,"Other Services"))),"Other Services"))</f>
        <v/>
      </c>
    </row>
    <row r="2076" customFormat="false" ht="15" hidden="false" customHeight="false" outlineLevel="0" collapsed="false">
      <c r="I2076" s="41" t="str">
        <f aca="false">IF(F2076="","",IFERROR(IF(ISNUMBER(SEARCH(Assumptions!$C$5,F2076)),Assumptions!$D$5,IF(ISNUMBER(SEARCH(Assumptions!$C$6,F2076)),Assumptions!$D$6,IF(ISNUMBER(SEARCH(Assumptions!$C$7,F2076)),Assumptions!$D$7,"Other Services"))),"Other Services"))</f>
        <v/>
      </c>
    </row>
    <row r="2077" customFormat="false" ht="15" hidden="false" customHeight="false" outlineLevel="0" collapsed="false">
      <c r="I2077" s="41" t="str">
        <f aca="false">IF(F2077="","",IFERROR(IF(ISNUMBER(SEARCH(Assumptions!$C$5,F2077)),Assumptions!$D$5,IF(ISNUMBER(SEARCH(Assumptions!$C$6,F2077)),Assumptions!$D$6,IF(ISNUMBER(SEARCH(Assumptions!$C$7,F2077)),Assumptions!$D$7,"Other Services"))),"Other Services"))</f>
        <v/>
      </c>
    </row>
    <row r="2078" customFormat="false" ht="15" hidden="false" customHeight="false" outlineLevel="0" collapsed="false">
      <c r="I2078" s="41" t="str">
        <f aca="false">IF(F2078="","",IFERROR(IF(ISNUMBER(SEARCH(Assumptions!$C$5,F2078)),Assumptions!$D$5,IF(ISNUMBER(SEARCH(Assumptions!$C$6,F2078)),Assumptions!$D$6,IF(ISNUMBER(SEARCH(Assumptions!$C$7,F2078)),Assumptions!$D$7,"Other Services"))),"Other Services"))</f>
        <v/>
      </c>
    </row>
    <row r="2079" customFormat="false" ht="15" hidden="false" customHeight="false" outlineLevel="0" collapsed="false">
      <c r="I2079" s="41" t="str">
        <f aca="false">IF(F2079="","",IFERROR(IF(ISNUMBER(SEARCH(Assumptions!$C$5,F2079)),Assumptions!$D$5,IF(ISNUMBER(SEARCH(Assumptions!$C$6,F2079)),Assumptions!$D$6,IF(ISNUMBER(SEARCH(Assumptions!$C$7,F2079)),Assumptions!$D$7,"Other Services"))),"Other Services"))</f>
        <v/>
      </c>
    </row>
    <row r="2080" customFormat="false" ht="15" hidden="false" customHeight="false" outlineLevel="0" collapsed="false">
      <c r="I2080" s="41" t="str">
        <f aca="false">IF(F2080="","",IFERROR(IF(ISNUMBER(SEARCH(Assumptions!$C$5,F2080)),Assumptions!$D$5,IF(ISNUMBER(SEARCH(Assumptions!$C$6,F2080)),Assumptions!$D$6,IF(ISNUMBER(SEARCH(Assumptions!$C$7,F2080)),Assumptions!$D$7,"Other Services"))),"Other Services"))</f>
        <v/>
      </c>
    </row>
    <row r="2081" customFormat="false" ht="15" hidden="false" customHeight="false" outlineLevel="0" collapsed="false">
      <c r="I2081" s="41" t="str">
        <f aca="false">IF(F2081="","",IFERROR(IF(ISNUMBER(SEARCH(Assumptions!$C$5,F2081)),Assumptions!$D$5,IF(ISNUMBER(SEARCH(Assumptions!$C$6,F2081)),Assumptions!$D$6,IF(ISNUMBER(SEARCH(Assumptions!$C$7,F2081)),Assumptions!$D$7,"Other Services"))),"Other Services"))</f>
        <v/>
      </c>
    </row>
    <row r="2082" customFormat="false" ht="15" hidden="false" customHeight="false" outlineLevel="0" collapsed="false">
      <c r="I2082" s="41" t="str">
        <f aca="false">IF(F2082="","",IFERROR(IF(ISNUMBER(SEARCH(Assumptions!$C$5,F2082)),Assumptions!$D$5,IF(ISNUMBER(SEARCH(Assumptions!$C$6,F2082)),Assumptions!$D$6,IF(ISNUMBER(SEARCH(Assumptions!$C$7,F2082)),Assumptions!$D$7,"Other Services"))),"Other Services"))</f>
        <v/>
      </c>
    </row>
    <row r="2083" customFormat="false" ht="15" hidden="false" customHeight="false" outlineLevel="0" collapsed="false">
      <c r="I2083" s="41" t="str">
        <f aca="false">IF(F2083="","",IFERROR(IF(ISNUMBER(SEARCH(Assumptions!$C$5,F2083)),Assumptions!$D$5,IF(ISNUMBER(SEARCH(Assumptions!$C$6,F2083)),Assumptions!$D$6,IF(ISNUMBER(SEARCH(Assumptions!$C$7,F2083)),Assumptions!$D$7,"Other Services"))),"Other Services"))</f>
        <v/>
      </c>
    </row>
    <row r="2084" customFormat="false" ht="15" hidden="false" customHeight="false" outlineLevel="0" collapsed="false">
      <c r="I2084" s="41" t="str">
        <f aca="false">IF(F2084="","",IFERROR(IF(ISNUMBER(SEARCH(Assumptions!$C$5,F2084)),Assumptions!$D$5,IF(ISNUMBER(SEARCH(Assumptions!$C$6,F2084)),Assumptions!$D$6,IF(ISNUMBER(SEARCH(Assumptions!$C$7,F2084)),Assumptions!$D$7,"Other Services"))),"Other Services"))</f>
        <v/>
      </c>
    </row>
    <row r="2085" customFormat="false" ht="15" hidden="false" customHeight="false" outlineLevel="0" collapsed="false">
      <c r="I2085" s="41" t="str">
        <f aca="false">IF(F2085="","",IFERROR(IF(ISNUMBER(SEARCH(Assumptions!$C$5,F2085)),Assumptions!$D$5,IF(ISNUMBER(SEARCH(Assumptions!$C$6,F2085)),Assumptions!$D$6,IF(ISNUMBER(SEARCH(Assumptions!$C$7,F2085)),Assumptions!$D$7,"Other Services"))),"Other Services"))</f>
        <v/>
      </c>
    </row>
    <row r="2086" customFormat="false" ht="15" hidden="false" customHeight="false" outlineLevel="0" collapsed="false">
      <c r="I2086" s="41" t="str">
        <f aca="false">IF(F2086="","",IFERROR(IF(ISNUMBER(SEARCH(Assumptions!$C$5,F2086)),Assumptions!$D$5,IF(ISNUMBER(SEARCH(Assumptions!$C$6,F2086)),Assumptions!$D$6,IF(ISNUMBER(SEARCH(Assumptions!$C$7,F2086)),Assumptions!$D$7,"Other Services"))),"Other Services"))</f>
        <v/>
      </c>
    </row>
    <row r="2087" customFormat="false" ht="15" hidden="false" customHeight="false" outlineLevel="0" collapsed="false">
      <c r="I2087" s="41" t="str">
        <f aca="false">IF(F2087="","",IFERROR(IF(ISNUMBER(SEARCH(Assumptions!$C$5,F2087)),Assumptions!$D$5,IF(ISNUMBER(SEARCH(Assumptions!$C$6,F2087)),Assumptions!$D$6,IF(ISNUMBER(SEARCH(Assumptions!$C$7,F2087)),Assumptions!$D$7,"Other Services"))),"Other Services"))</f>
        <v/>
      </c>
    </row>
    <row r="2088" customFormat="false" ht="15" hidden="false" customHeight="false" outlineLevel="0" collapsed="false">
      <c r="I2088" s="41" t="str">
        <f aca="false">IF(F2088="","",IFERROR(IF(ISNUMBER(SEARCH(Assumptions!$C$5,F2088)),Assumptions!$D$5,IF(ISNUMBER(SEARCH(Assumptions!$C$6,F2088)),Assumptions!$D$6,IF(ISNUMBER(SEARCH(Assumptions!$C$7,F2088)),Assumptions!$D$7,"Other Services"))),"Other Services"))</f>
        <v/>
      </c>
    </row>
    <row r="2089" customFormat="false" ht="15" hidden="false" customHeight="false" outlineLevel="0" collapsed="false">
      <c r="I2089" s="41" t="str">
        <f aca="false">IF(F2089="","",IFERROR(IF(ISNUMBER(SEARCH(Assumptions!$C$5,F2089)),Assumptions!$D$5,IF(ISNUMBER(SEARCH(Assumptions!$C$6,F2089)),Assumptions!$D$6,IF(ISNUMBER(SEARCH(Assumptions!$C$7,F2089)),Assumptions!$D$7,"Other Services"))),"Other Services"))</f>
        <v/>
      </c>
    </row>
    <row r="2090" customFormat="false" ht="15" hidden="false" customHeight="false" outlineLevel="0" collapsed="false">
      <c r="I2090" s="41" t="str">
        <f aca="false">IF(F2090="","",IFERROR(IF(ISNUMBER(SEARCH(Assumptions!$C$5,F2090)),Assumptions!$D$5,IF(ISNUMBER(SEARCH(Assumptions!$C$6,F2090)),Assumptions!$D$6,IF(ISNUMBER(SEARCH(Assumptions!$C$7,F2090)),Assumptions!$D$7,"Other Services"))),"Other Services"))</f>
        <v/>
      </c>
    </row>
    <row r="2091" customFormat="false" ht="15" hidden="false" customHeight="false" outlineLevel="0" collapsed="false">
      <c r="I2091" s="41" t="str">
        <f aca="false">IF(F2091="","",IFERROR(IF(ISNUMBER(SEARCH(Assumptions!$C$5,F2091)),Assumptions!$D$5,IF(ISNUMBER(SEARCH(Assumptions!$C$6,F2091)),Assumptions!$D$6,IF(ISNUMBER(SEARCH(Assumptions!$C$7,F2091)),Assumptions!$D$7,"Other Services"))),"Other Services"))</f>
        <v/>
      </c>
    </row>
    <row r="2092" customFormat="false" ht="15" hidden="false" customHeight="false" outlineLevel="0" collapsed="false">
      <c r="I2092" s="41" t="str">
        <f aca="false">IF(F2092="","",IFERROR(IF(ISNUMBER(SEARCH(Assumptions!$C$5,F2092)),Assumptions!$D$5,IF(ISNUMBER(SEARCH(Assumptions!$C$6,F2092)),Assumptions!$D$6,IF(ISNUMBER(SEARCH(Assumptions!$C$7,F2092)),Assumptions!$D$7,"Other Services"))),"Other Services"))</f>
        <v/>
      </c>
    </row>
    <row r="2093" customFormat="false" ht="15" hidden="false" customHeight="false" outlineLevel="0" collapsed="false">
      <c r="I2093" s="41" t="str">
        <f aca="false">IF(F2093="","",IFERROR(IF(ISNUMBER(SEARCH(Assumptions!$C$5,F2093)),Assumptions!$D$5,IF(ISNUMBER(SEARCH(Assumptions!$C$6,F2093)),Assumptions!$D$6,IF(ISNUMBER(SEARCH(Assumptions!$C$7,F2093)),Assumptions!$D$7,"Other Services"))),"Other Services"))</f>
        <v/>
      </c>
    </row>
    <row r="2094" customFormat="false" ht="15" hidden="false" customHeight="false" outlineLevel="0" collapsed="false">
      <c r="I2094" s="41" t="str">
        <f aca="false">IF(F2094="","",IFERROR(IF(ISNUMBER(SEARCH(Assumptions!$C$5,F2094)),Assumptions!$D$5,IF(ISNUMBER(SEARCH(Assumptions!$C$6,F2094)),Assumptions!$D$6,IF(ISNUMBER(SEARCH(Assumptions!$C$7,F2094)),Assumptions!$D$7,"Other Services"))),"Other Services"))</f>
        <v/>
      </c>
    </row>
    <row r="2095" customFormat="false" ht="15" hidden="false" customHeight="false" outlineLevel="0" collapsed="false">
      <c r="I2095" s="41" t="str">
        <f aca="false">IF(F2095="","",IFERROR(IF(ISNUMBER(SEARCH(Assumptions!$C$5,F2095)),Assumptions!$D$5,IF(ISNUMBER(SEARCH(Assumptions!$C$6,F2095)),Assumptions!$D$6,IF(ISNUMBER(SEARCH(Assumptions!$C$7,F2095)),Assumptions!$D$7,"Other Services"))),"Other Services"))</f>
        <v/>
      </c>
    </row>
    <row r="2096" customFormat="false" ht="15" hidden="false" customHeight="false" outlineLevel="0" collapsed="false">
      <c r="I2096" s="41" t="str">
        <f aca="false">IF(F2096="","",IFERROR(IF(ISNUMBER(SEARCH(Assumptions!$C$5,F2096)),Assumptions!$D$5,IF(ISNUMBER(SEARCH(Assumptions!$C$6,F2096)),Assumptions!$D$6,IF(ISNUMBER(SEARCH(Assumptions!$C$7,F2096)),Assumptions!$D$7,"Other Services"))),"Other Services"))</f>
        <v/>
      </c>
    </row>
    <row r="2097" customFormat="false" ht="15" hidden="false" customHeight="false" outlineLevel="0" collapsed="false">
      <c r="I2097" s="41" t="str">
        <f aca="false">IF(F2097="","",IFERROR(IF(ISNUMBER(SEARCH(Assumptions!$C$5,F2097)),Assumptions!$D$5,IF(ISNUMBER(SEARCH(Assumptions!$C$6,F2097)),Assumptions!$D$6,IF(ISNUMBER(SEARCH(Assumptions!$C$7,F2097)),Assumptions!$D$7,"Other Services"))),"Other Services"))</f>
        <v/>
      </c>
    </row>
    <row r="2098" customFormat="false" ht="15" hidden="false" customHeight="false" outlineLevel="0" collapsed="false">
      <c r="I2098" s="41" t="str">
        <f aca="false">IF(F2098="","",IFERROR(IF(ISNUMBER(SEARCH(Assumptions!$C$5,F2098)),Assumptions!$D$5,IF(ISNUMBER(SEARCH(Assumptions!$C$6,F2098)),Assumptions!$D$6,IF(ISNUMBER(SEARCH(Assumptions!$C$7,F2098)),Assumptions!$D$7,"Other Services"))),"Other Services"))</f>
        <v/>
      </c>
    </row>
    <row r="2099" customFormat="false" ht="15" hidden="false" customHeight="false" outlineLevel="0" collapsed="false">
      <c r="I2099" s="41" t="str">
        <f aca="false">IF(F2099="","",IFERROR(IF(ISNUMBER(SEARCH(Assumptions!$C$5,F2099)),Assumptions!$D$5,IF(ISNUMBER(SEARCH(Assumptions!$C$6,F2099)),Assumptions!$D$6,IF(ISNUMBER(SEARCH(Assumptions!$C$7,F2099)),Assumptions!$D$7,"Other Services"))),"Other Services"))</f>
        <v/>
      </c>
    </row>
    <row r="2100" customFormat="false" ht="15" hidden="false" customHeight="false" outlineLevel="0" collapsed="false">
      <c r="I2100" s="41" t="str">
        <f aca="false">IF(F2100="","",IFERROR(IF(ISNUMBER(SEARCH(Assumptions!$C$5,F2100)),Assumptions!$D$5,IF(ISNUMBER(SEARCH(Assumptions!$C$6,F2100)),Assumptions!$D$6,IF(ISNUMBER(SEARCH(Assumptions!$C$7,F2100)),Assumptions!$D$7,"Other Services"))),"Other Services"))</f>
        <v/>
      </c>
    </row>
    <row r="2101" customFormat="false" ht="15" hidden="false" customHeight="false" outlineLevel="0" collapsed="false">
      <c r="I2101" s="41" t="str">
        <f aca="false">IF(F2101="","",IFERROR(IF(ISNUMBER(SEARCH(Assumptions!$C$5,F2101)),Assumptions!$D$5,IF(ISNUMBER(SEARCH(Assumptions!$C$6,F2101)),Assumptions!$D$6,IF(ISNUMBER(SEARCH(Assumptions!$C$7,F2101)),Assumptions!$D$7,"Other Services"))),"Other Services"))</f>
        <v/>
      </c>
    </row>
    <row r="2102" customFormat="false" ht="15" hidden="false" customHeight="false" outlineLevel="0" collapsed="false">
      <c r="I2102" s="41" t="str">
        <f aca="false">IF(F2102="","",IFERROR(IF(ISNUMBER(SEARCH(Assumptions!$C$5,F2102)),Assumptions!$D$5,IF(ISNUMBER(SEARCH(Assumptions!$C$6,F2102)),Assumptions!$D$6,IF(ISNUMBER(SEARCH(Assumptions!$C$7,F2102)),Assumptions!$D$7,"Other Services"))),"Other Services"))</f>
        <v/>
      </c>
    </row>
    <row r="2103" customFormat="false" ht="15" hidden="false" customHeight="false" outlineLevel="0" collapsed="false">
      <c r="I2103" s="41" t="str">
        <f aca="false">IF(F2103="","",IFERROR(IF(ISNUMBER(SEARCH(Assumptions!$C$5,F2103)),Assumptions!$D$5,IF(ISNUMBER(SEARCH(Assumptions!$C$6,F2103)),Assumptions!$D$6,IF(ISNUMBER(SEARCH(Assumptions!$C$7,F2103)),Assumptions!$D$7,"Other Services"))),"Other Services"))</f>
        <v/>
      </c>
    </row>
    <row r="2104" customFormat="false" ht="15" hidden="false" customHeight="false" outlineLevel="0" collapsed="false">
      <c r="I2104" s="41" t="str">
        <f aca="false">IF(F2104="","",IFERROR(IF(ISNUMBER(SEARCH(Assumptions!$C$5,F2104)),Assumptions!$D$5,IF(ISNUMBER(SEARCH(Assumptions!$C$6,F2104)),Assumptions!$D$6,IF(ISNUMBER(SEARCH(Assumptions!$C$7,F2104)),Assumptions!$D$7,"Other Services"))),"Other Services"))</f>
        <v/>
      </c>
    </row>
    <row r="2105" customFormat="false" ht="15" hidden="false" customHeight="false" outlineLevel="0" collapsed="false">
      <c r="I2105" s="41" t="str">
        <f aca="false">IF(F2105="","",IFERROR(IF(ISNUMBER(SEARCH(Assumptions!$C$5,F2105)),Assumptions!$D$5,IF(ISNUMBER(SEARCH(Assumptions!$C$6,F2105)),Assumptions!$D$6,IF(ISNUMBER(SEARCH(Assumptions!$C$7,F2105)),Assumptions!$D$7,"Other Services"))),"Other Services"))</f>
        <v/>
      </c>
    </row>
    <row r="2106" customFormat="false" ht="15" hidden="false" customHeight="false" outlineLevel="0" collapsed="false">
      <c r="I2106" s="41" t="str">
        <f aca="false">IF(F2106="","",IFERROR(IF(ISNUMBER(SEARCH(Assumptions!$C$5,F2106)),Assumptions!$D$5,IF(ISNUMBER(SEARCH(Assumptions!$C$6,F2106)),Assumptions!$D$6,IF(ISNUMBER(SEARCH(Assumptions!$C$7,F2106)),Assumptions!$D$7,"Other Services"))),"Other Services"))</f>
        <v/>
      </c>
    </row>
    <row r="2107" customFormat="false" ht="15" hidden="false" customHeight="false" outlineLevel="0" collapsed="false">
      <c r="I2107" s="41" t="str">
        <f aca="false">IF(F2107="","",IFERROR(IF(ISNUMBER(SEARCH(Assumptions!$C$5,F2107)),Assumptions!$D$5,IF(ISNUMBER(SEARCH(Assumptions!$C$6,F2107)),Assumptions!$D$6,IF(ISNUMBER(SEARCH(Assumptions!$C$7,F2107)),Assumptions!$D$7,"Other Services"))),"Other Services"))</f>
        <v/>
      </c>
    </row>
    <row r="2108" customFormat="false" ht="15" hidden="false" customHeight="false" outlineLevel="0" collapsed="false">
      <c r="I2108" s="41" t="str">
        <f aca="false">IF(F2108="","",IFERROR(IF(ISNUMBER(SEARCH(Assumptions!$C$5,F2108)),Assumptions!$D$5,IF(ISNUMBER(SEARCH(Assumptions!$C$6,F2108)),Assumptions!$D$6,IF(ISNUMBER(SEARCH(Assumptions!$C$7,F2108)),Assumptions!$D$7,"Other Services"))),"Other Services"))</f>
        <v/>
      </c>
    </row>
    <row r="2109" customFormat="false" ht="15" hidden="false" customHeight="false" outlineLevel="0" collapsed="false">
      <c r="I2109" s="41" t="str">
        <f aca="false">IF(F2109="","",IFERROR(IF(ISNUMBER(SEARCH(Assumptions!$C$5,F2109)),Assumptions!$D$5,IF(ISNUMBER(SEARCH(Assumptions!$C$6,F2109)),Assumptions!$D$6,IF(ISNUMBER(SEARCH(Assumptions!$C$7,F2109)),Assumptions!$D$7,"Other Services"))),"Other Services"))</f>
        <v/>
      </c>
    </row>
    <row r="2110" customFormat="false" ht="15" hidden="false" customHeight="false" outlineLevel="0" collapsed="false">
      <c r="I2110" s="41" t="str">
        <f aca="false">IF(F2110="","",IFERROR(IF(ISNUMBER(SEARCH(Assumptions!$C$5,F2110)),Assumptions!$D$5,IF(ISNUMBER(SEARCH(Assumptions!$C$6,F2110)),Assumptions!$D$6,IF(ISNUMBER(SEARCH(Assumptions!$C$7,F2110)),Assumptions!$D$7,"Other Services"))),"Other Services"))</f>
        <v/>
      </c>
    </row>
    <row r="2111" customFormat="false" ht="15" hidden="false" customHeight="false" outlineLevel="0" collapsed="false">
      <c r="I2111" s="41" t="str">
        <f aca="false">IF(F2111="","",IFERROR(IF(ISNUMBER(SEARCH(Assumptions!$C$5,F2111)),Assumptions!$D$5,IF(ISNUMBER(SEARCH(Assumptions!$C$6,F2111)),Assumptions!$D$6,IF(ISNUMBER(SEARCH(Assumptions!$C$7,F2111)),Assumptions!$D$7,"Other Services"))),"Other Services"))</f>
        <v/>
      </c>
    </row>
    <row r="2112" customFormat="false" ht="15" hidden="false" customHeight="false" outlineLevel="0" collapsed="false">
      <c r="I2112" s="41" t="str">
        <f aca="false">IF(F2112="","",IFERROR(IF(ISNUMBER(SEARCH(Assumptions!$C$5,F2112)),Assumptions!$D$5,IF(ISNUMBER(SEARCH(Assumptions!$C$6,F2112)),Assumptions!$D$6,IF(ISNUMBER(SEARCH(Assumptions!$C$7,F2112)),Assumptions!$D$7,"Other Services"))),"Other Services"))</f>
        <v/>
      </c>
    </row>
    <row r="2113" customFormat="false" ht="15" hidden="false" customHeight="false" outlineLevel="0" collapsed="false">
      <c r="I2113" s="41" t="str">
        <f aca="false">IF(F2113="","",IFERROR(IF(ISNUMBER(SEARCH(Assumptions!$C$5,F2113)),Assumptions!$D$5,IF(ISNUMBER(SEARCH(Assumptions!$C$6,F2113)),Assumptions!$D$6,IF(ISNUMBER(SEARCH(Assumptions!$C$7,F2113)),Assumptions!$D$7,"Other Services"))),"Other Services"))</f>
        <v/>
      </c>
    </row>
    <row r="2114" customFormat="false" ht="15" hidden="false" customHeight="false" outlineLevel="0" collapsed="false">
      <c r="I2114" s="41" t="str">
        <f aca="false">IF(F2114="","",IFERROR(IF(ISNUMBER(SEARCH(Assumptions!$C$5,F2114)),Assumptions!$D$5,IF(ISNUMBER(SEARCH(Assumptions!$C$6,F2114)),Assumptions!$D$6,IF(ISNUMBER(SEARCH(Assumptions!$C$7,F2114)),Assumptions!$D$7,"Other Services"))),"Other Services"))</f>
        <v/>
      </c>
    </row>
    <row r="2115" customFormat="false" ht="15" hidden="false" customHeight="false" outlineLevel="0" collapsed="false">
      <c r="I2115" s="41" t="str">
        <f aca="false">IF(F2115="","",IFERROR(IF(ISNUMBER(SEARCH(Assumptions!$C$5,F2115)),Assumptions!$D$5,IF(ISNUMBER(SEARCH(Assumptions!$C$6,F2115)),Assumptions!$D$6,IF(ISNUMBER(SEARCH(Assumptions!$C$7,F2115)),Assumptions!$D$7,"Other Services"))),"Other Services"))</f>
        <v/>
      </c>
    </row>
    <row r="2116" customFormat="false" ht="15" hidden="false" customHeight="false" outlineLevel="0" collapsed="false">
      <c r="I2116" s="41" t="str">
        <f aca="false">IF(F2116="","",IFERROR(IF(ISNUMBER(SEARCH(Assumptions!$C$5,F2116)),Assumptions!$D$5,IF(ISNUMBER(SEARCH(Assumptions!$C$6,F2116)),Assumptions!$D$6,IF(ISNUMBER(SEARCH(Assumptions!$C$7,F2116)),Assumptions!$D$7,"Other Services"))),"Other Services"))</f>
        <v/>
      </c>
    </row>
    <row r="2117" customFormat="false" ht="15" hidden="false" customHeight="false" outlineLevel="0" collapsed="false">
      <c r="I2117" s="41" t="str">
        <f aca="false">IF(F2117="","",IFERROR(IF(ISNUMBER(SEARCH(Assumptions!$C$5,F2117)),Assumptions!$D$5,IF(ISNUMBER(SEARCH(Assumptions!$C$6,F2117)),Assumptions!$D$6,IF(ISNUMBER(SEARCH(Assumptions!$C$7,F2117)),Assumptions!$D$7,"Other Services"))),"Other Services"))</f>
        <v/>
      </c>
    </row>
    <row r="2118" customFormat="false" ht="15" hidden="false" customHeight="false" outlineLevel="0" collapsed="false">
      <c r="I2118" s="41" t="str">
        <f aca="false">IF(F2118="","",IFERROR(IF(ISNUMBER(SEARCH(Assumptions!$C$5,F2118)),Assumptions!$D$5,IF(ISNUMBER(SEARCH(Assumptions!$C$6,F2118)),Assumptions!$D$6,IF(ISNUMBER(SEARCH(Assumptions!$C$7,F2118)),Assumptions!$D$7,"Other Services"))),"Other Services"))</f>
        <v/>
      </c>
    </row>
    <row r="2119" customFormat="false" ht="15" hidden="false" customHeight="false" outlineLevel="0" collapsed="false">
      <c r="I2119" s="41" t="str">
        <f aca="false">IF(F2119="","",IFERROR(IF(ISNUMBER(SEARCH(Assumptions!$C$5,F2119)),Assumptions!$D$5,IF(ISNUMBER(SEARCH(Assumptions!$C$6,F2119)),Assumptions!$D$6,IF(ISNUMBER(SEARCH(Assumptions!$C$7,F2119)),Assumptions!$D$7,"Other Services"))),"Other Services"))</f>
        <v/>
      </c>
    </row>
    <row r="2120" customFormat="false" ht="15" hidden="false" customHeight="false" outlineLevel="0" collapsed="false">
      <c r="I2120" s="41" t="str">
        <f aca="false">IF(F2120="","",IFERROR(IF(ISNUMBER(SEARCH(Assumptions!$C$5,F2120)),Assumptions!$D$5,IF(ISNUMBER(SEARCH(Assumptions!$C$6,F2120)),Assumptions!$D$6,IF(ISNUMBER(SEARCH(Assumptions!$C$7,F2120)),Assumptions!$D$7,"Other Services"))),"Other Services"))</f>
        <v/>
      </c>
    </row>
    <row r="2121" customFormat="false" ht="15" hidden="false" customHeight="false" outlineLevel="0" collapsed="false">
      <c r="I2121" s="41" t="str">
        <f aca="false">IF(F2121="","",IFERROR(IF(ISNUMBER(SEARCH(Assumptions!$C$5,F2121)),Assumptions!$D$5,IF(ISNUMBER(SEARCH(Assumptions!$C$6,F2121)),Assumptions!$D$6,IF(ISNUMBER(SEARCH(Assumptions!$C$7,F2121)),Assumptions!$D$7,"Other Services"))),"Other Services"))</f>
        <v/>
      </c>
    </row>
    <row r="2122" customFormat="false" ht="15" hidden="false" customHeight="false" outlineLevel="0" collapsed="false">
      <c r="I2122" s="41" t="str">
        <f aca="false">IF(F2122="","",IFERROR(IF(ISNUMBER(SEARCH(Assumptions!$C$5,F2122)),Assumptions!$D$5,IF(ISNUMBER(SEARCH(Assumptions!$C$6,F2122)),Assumptions!$D$6,IF(ISNUMBER(SEARCH(Assumptions!$C$7,F2122)),Assumptions!$D$7,"Other Services"))),"Other Services"))</f>
        <v/>
      </c>
    </row>
    <row r="2123" customFormat="false" ht="15" hidden="false" customHeight="false" outlineLevel="0" collapsed="false">
      <c r="I2123" s="41" t="str">
        <f aca="false">IF(F2123="","",IFERROR(IF(ISNUMBER(SEARCH(Assumptions!$C$5,F2123)),Assumptions!$D$5,IF(ISNUMBER(SEARCH(Assumptions!$C$6,F2123)),Assumptions!$D$6,IF(ISNUMBER(SEARCH(Assumptions!$C$7,F2123)),Assumptions!$D$7,"Other Services"))),"Other Services"))</f>
        <v/>
      </c>
    </row>
    <row r="2124" customFormat="false" ht="15" hidden="false" customHeight="false" outlineLevel="0" collapsed="false">
      <c r="I2124" s="41" t="str">
        <f aca="false">IF(F2124="","",IFERROR(IF(ISNUMBER(SEARCH(Assumptions!$C$5,F2124)),Assumptions!$D$5,IF(ISNUMBER(SEARCH(Assumptions!$C$6,F2124)),Assumptions!$D$6,IF(ISNUMBER(SEARCH(Assumptions!$C$7,F2124)),Assumptions!$D$7,"Other Services"))),"Other Services"))</f>
        <v/>
      </c>
    </row>
    <row r="2125" customFormat="false" ht="15" hidden="false" customHeight="false" outlineLevel="0" collapsed="false">
      <c r="I2125" s="41" t="str">
        <f aca="false">IF(F2125="","",IFERROR(IF(ISNUMBER(SEARCH(Assumptions!$C$5,F2125)),Assumptions!$D$5,IF(ISNUMBER(SEARCH(Assumptions!$C$6,F2125)),Assumptions!$D$6,IF(ISNUMBER(SEARCH(Assumptions!$C$7,F2125)),Assumptions!$D$7,"Other Services"))),"Other Services"))</f>
        <v/>
      </c>
    </row>
    <row r="2126" customFormat="false" ht="15" hidden="false" customHeight="false" outlineLevel="0" collapsed="false">
      <c r="I2126" s="41" t="str">
        <f aca="false">IF(F2126="","",IFERROR(IF(ISNUMBER(SEARCH(Assumptions!$C$5,F2126)),Assumptions!$D$5,IF(ISNUMBER(SEARCH(Assumptions!$C$6,F2126)),Assumptions!$D$6,IF(ISNUMBER(SEARCH(Assumptions!$C$7,F2126)),Assumptions!$D$7,"Other Services"))),"Other Services"))</f>
        <v/>
      </c>
    </row>
    <row r="2127" customFormat="false" ht="15" hidden="false" customHeight="false" outlineLevel="0" collapsed="false">
      <c r="I2127" s="41" t="str">
        <f aca="false">IF(F2127="","",IFERROR(IF(ISNUMBER(SEARCH(Assumptions!$C$5,F2127)),Assumptions!$D$5,IF(ISNUMBER(SEARCH(Assumptions!$C$6,F2127)),Assumptions!$D$6,IF(ISNUMBER(SEARCH(Assumptions!$C$7,F2127)),Assumptions!$D$7,"Other Services"))),"Other Services"))</f>
        <v/>
      </c>
    </row>
    <row r="2128" customFormat="false" ht="15" hidden="false" customHeight="false" outlineLevel="0" collapsed="false">
      <c r="I2128" s="41" t="str">
        <f aca="false">IF(F2128="","",IFERROR(IF(ISNUMBER(SEARCH(Assumptions!$C$5,F2128)),Assumptions!$D$5,IF(ISNUMBER(SEARCH(Assumptions!$C$6,F2128)),Assumptions!$D$6,IF(ISNUMBER(SEARCH(Assumptions!$C$7,F2128)),Assumptions!$D$7,"Other Services"))),"Other Services"))</f>
        <v/>
      </c>
    </row>
    <row r="2129" customFormat="false" ht="15" hidden="false" customHeight="false" outlineLevel="0" collapsed="false">
      <c r="I2129" s="41" t="str">
        <f aca="false">IF(F2129="","",IFERROR(IF(ISNUMBER(SEARCH(Assumptions!$C$5,F2129)),Assumptions!$D$5,IF(ISNUMBER(SEARCH(Assumptions!$C$6,F2129)),Assumptions!$D$6,IF(ISNUMBER(SEARCH(Assumptions!$C$7,F2129)),Assumptions!$D$7,"Other Services"))),"Other Services"))</f>
        <v/>
      </c>
    </row>
    <row r="2130" customFormat="false" ht="15" hidden="false" customHeight="false" outlineLevel="0" collapsed="false">
      <c r="I2130" s="41" t="str">
        <f aca="false">IF(F2130="","",IFERROR(IF(ISNUMBER(SEARCH(Assumptions!$C$5,F2130)),Assumptions!$D$5,IF(ISNUMBER(SEARCH(Assumptions!$C$6,F2130)),Assumptions!$D$6,IF(ISNUMBER(SEARCH(Assumptions!$C$7,F2130)),Assumptions!$D$7,"Other Services"))),"Other Services"))</f>
        <v/>
      </c>
    </row>
    <row r="2131" customFormat="false" ht="15" hidden="false" customHeight="false" outlineLevel="0" collapsed="false">
      <c r="I2131" s="41" t="str">
        <f aca="false">IF(F2131="","",IFERROR(IF(ISNUMBER(SEARCH(Assumptions!$C$5,F2131)),Assumptions!$D$5,IF(ISNUMBER(SEARCH(Assumptions!$C$6,F2131)),Assumptions!$D$6,IF(ISNUMBER(SEARCH(Assumptions!$C$7,F2131)),Assumptions!$D$7,"Other Services"))),"Other Services"))</f>
        <v/>
      </c>
    </row>
    <row r="2132" customFormat="false" ht="15" hidden="false" customHeight="false" outlineLevel="0" collapsed="false">
      <c r="I2132" s="41" t="str">
        <f aca="false">IF(F2132="","",IFERROR(IF(ISNUMBER(SEARCH(Assumptions!$C$5,F2132)),Assumptions!$D$5,IF(ISNUMBER(SEARCH(Assumptions!$C$6,F2132)),Assumptions!$D$6,IF(ISNUMBER(SEARCH(Assumptions!$C$7,F2132)),Assumptions!$D$7,"Other Services"))),"Other Services"))</f>
        <v/>
      </c>
    </row>
    <row r="2133" customFormat="false" ht="15" hidden="false" customHeight="false" outlineLevel="0" collapsed="false">
      <c r="I2133" s="41" t="str">
        <f aca="false">IF(F2133="","",IFERROR(IF(ISNUMBER(SEARCH(Assumptions!$C$5,F2133)),Assumptions!$D$5,IF(ISNUMBER(SEARCH(Assumptions!$C$6,F2133)),Assumptions!$D$6,IF(ISNUMBER(SEARCH(Assumptions!$C$7,F2133)),Assumptions!$D$7,"Other Services"))),"Other Services"))</f>
        <v/>
      </c>
    </row>
    <row r="2134" customFormat="false" ht="15" hidden="false" customHeight="false" outlineLevel="0" collapsed="false">
      <c r="I2134" s="41" t="str">
        <f aca="false">IF(F2134="","",IFERROR(IF(ISNUMBER(SEARCH(Assumptions!$C$5,F2134)),Assumptions!$D$5,IF(ISNUMBER(SEARCH(Assumptions!$C$6,F2134)),Assumptions!$D$6,IF(ISNUMBER(SEARCH(Assumptions!$C$7,F2134)),Assumptions!$D$7,"Other Services"))),"Other Services"))</f>
        <v/>
      </c>
    </row>
    <row r="2135" customFormat="false" ht="15" hidden="false" customHeight="false" outlineLevel="0" collapsed="false">
      <c r="I2135" s="41" t="str">
        <f aca="false">IF(F2135="","",IFERROR(IF(ISNUMBER(SEARCH(Assumptions!$C$5,F2135)),Assumptions!$D$5,IF(ISNUMBER(SEARCH(Assumptions!$C$6,F2135)),Assumptions!$D$6,IF(ISNUMBER(SEARCH(Assumptions!$C$7,F2135)),Assumptions!$D$7,"Other Services"))),"Other Services"))</f>
        <v/>
      </c>
    </row>
    <row r="2136" customFormat="false" ht="15" hidden="false" customHeight="false" outlineLevel="0" collapsed="false">
      <c r="I2136" s="41" t="str">
        <f aca="false">IF(F2136="","",IFERROR(IF(ISNUMBER(SEARCH(Assumptions!$C$5,F2136)),Assumptions!$D$5,IF(ISNUMBER(SEARCH(Assumptions!$C$6,F2136)),Assumptions!$D$6,IF(ISNUMBER(SEARCH(Assumptions!$C$7,F2136)),Assumptions!$D$7,"Other Services"))),"Other Services"))</f>
        <v/>
      </c>
    </row>
    <row r="2137" customFormat="false" ht="15" hidden="false" customHeight="false" outlineLevel="0" collapsed="false">
      <c r="I2137" s="41" t="str">
        <f aca="false">IF(F2137="","",IFERROR(IF(ISNUMBER(SEARCH(Assumptions!$C$5,F2137)),Assumptions!$D$5,IF(ISNUMBER(SEARCH(Assumptions!$C$6,F2137)),Assumptions!$D$6,IF(ISNUMBER(SEARCH(Assumptions!$C$7,F2137)),Assumptions!$D$7,"Other Services"))),"Other Services"))</f>
        <v/>
      </c>
    </row>
    <row r="2138" customFormat="false" ht="15" hidden="false" customHeight="false" outlineLevel="0" collapsed="false">
      <c r="I2138" s="41" t="str">
        <f aca="false">IF(F2138="","",IFERROR(IF(ISNUMBER(SEARCH(Assumptions!$C$5,F2138)),Assumptions!$D$5,IF(ISNUMBER(SEARCH(Assumptions!$C$6,F2138)),Assumptions!$D$6,IF(ISNUMBER(SEARCH(Assumptions!$C$7,F2138)),Assumptions!$D$7,"Other Services"))),"Other Services"))</f>
        <v/>
      </c>
    </row>
    <row r="2139" customFormat="false" ht="15" hidden="false" customHeight="false" outlineLevel="0" collapsed="false">
      <c r="I2139" s="41" t="str">
        <f aca="false">IF(F2139="","",IFERROR(IF(ISNUMBER(SEARCH(Assumptions!$C$5,F2139)),Assumptions!$D$5,IF(ISNUMBER(SEARCH(Assumptions!$C$6,F2139)),Assumptions!$D$6,IF(ISNUMBER(SEARCH(Assumptions!$C$7,F2139)),Assumptions!$D$7,"Other Services"))),"Other Services"))</f>
        <v/>
      </c>
    </row>
    <row r="2140" customFormat="false" ht="15" hidden="false" customHeight="false" outlineLevel="0" collapsed="false">
      <c r="I2140" s="41" t="str">
        <f aca="false">IF(F2140="","",IFERROR(IF(ISNUMBER(SEARCH(Assumptions!$C$5,F2140)),Assumptions!$D$5,IF(ISNUMBER(SEARCH(Assumptions!$C$6,F2140)),Assumptions!$D$6,IF(ISNUMBER(SEARCH(Assumptions!$C$7,F2140)),Assumptions!$D$7,"Other Services"))),"Other Services"))</f>
        <v/>
      </c>
    </row>
    <row r="2141" customFormat="false" ht="15" hidden="false" customHeight="false" outlineLevel="0" collapsed="false">
      <c r="I2141" s="41" t="str">
        <f aca="false">IF(F2141="","",IFERROR(IF(ISNUMBER(SEARCH(Assumptions!$C$5,F2141)),Assumptions!$D$5,IF(ISNUMBER(SEARCH(Assumptions!$C$6,F2141)),Assumptions!$D$6,IF(ISNUMBER(SEARCH(Assumptions!$C$7,F2141)),Assumptions!$D$7,"Other Services"))),"Other Services"))</f>
        <v/>
      </c>
    </row>
    <row r="2142" customFormat="false" ht="15" hidden="false" customHeight="false" outlineLevel="0" collapsed="false">
      <c r="I2142" s="41" t="str">
        <f aca="false">IF(F2142="","",IFERROR(IF(ISNUMBER(SEARCH(Assumptions!$C$5,F2142)),Assumptions!$D$5,IF(ISNUMBER(SEARCH(Assumptions!$C$6,F2142)),Assumptions!$D$6,IF(ISNUMBER(SEARCH(Assumptions!$C$7,F2142)),Assumptions!$D$7,"Other Services"))),"Other Services"))</f>
        <v/>
      </c>
    </row>
    <row r="2143" customFormat="false" ht="15" hidden="false" customHeight="false" outlineLevel="0" collapsed="false">
      <c r="I2143" s="41" t="str">
        <f aca="false">IF(F2143="","",IFERROR(IF(ISNUMBER(SEARCH(Assumptions!$C$5,F2143)),Assumptions!$D$5,IF(ISNUMBER(SEARCH(Assumptions!$C$6,F2143)),Assumptions!$D$6,IF(ISNUMBER(SEARCH(Assumptions!$C$7,F2143)),Assumptions!$D$7,"Other Services"))),"Other Services"))</f>
        <v/>
      </c>
    </row>
    <row r="2144" customFormat="false" ht="15" hidden="false" customHeight="false" outlineLevel="0" collapsed="false">
      <c r="I2144" s="41" t="str">
        <f aca="false">IF(F2144="","",IFERROR(IF(ISNUMBER(SEARCH(Assumptions!$C$5,F2144)),Assumptions!$D$5,IF(ISNUMBER(SEARCH(Assumptions!$C$6,F2144)),Assumptions!$D$6,IF(ISNUMBER(SEARCH(Assumptions!$C$7,F2144)),Assumptions!$D$7,"Other Services"))),"Other Services"))</f>
        <v/>
      </c>
    </row>
    <row r="2145" customFormat="false" ht="15" hidden="false" customHeight="false" outlineLevel="0" collapsed="false">
      <c r="I2145" s="41" t="str">
        <f aca="false">IF(F2145="","",IFERROR(IF(ISNUMBER(SEARCH(Assumptions!$C$5,F2145)),Assumptions!$D$5,IF(ISNUMBER(SEARCH(Assumptions!$C$6,F2145)),Assumptions!$D$6,IF(ISNUMBER(SEARCH(Assumptions!$C$7,F2145)),Assumptions!$D$7,"Other Services"))),"Other Services"))</f>
        <v/>
      </c>
    </row>
    <row r="2146" customFormat="false" ht="15" hidden="false" customHeight="false" outlineLevel="0" collapsed="false">
      <c r="I2146" s="41" t="str">
        <f aca="false">IF(F2146="","",IFERROR(IF(ISNUMBER(SEARCH(Assumptions!$C$5,F2146)),Assumptions!$D$5,IF(ISNUMBER(SEARCH(Assumptions!$C$6,F2146)),Assumptions!$D$6,IF(ISNUMBER(SEARCH(Assumptions!$C$7,F2146)),Assumptions!$D$7,"Other Services"))),"Other Services"))</f>
        <v/>
      </c>
    </row>
    <row r="2147" customFormat="false" ht="15" hidden="false" customHeight="false" outlineLevel="0" collapsed="false">
      <c r="I2147" s="41" t="str">
        <f aca="false">IF(F2147="","",IFERROR(IF(ISNUMBER(SEARCH(Assumptions!$C$5,F2147)),Assumptions!$D$5,IF(ISNUMBER(SEARCH(Assumptions!$C$6,F2147)),Assumptions!$D$6,IF(ISNUMBER(SEARCH(Assumptions!$C$7,F2147)),Assumptions!$D$7,"Other Services"))),"Other Services"))</f>
        <v/>
      </c>
    </row>
    <row r="2148" customFormat="false" ht="15" hidden="false" customHeight="false" outlineLevel="0" collapsed="false">
      <c r="I2148" s="41" t="str">
        <f aca="false">IF(F2148="","",IFERROR(IF(ISNUMBER(SEARCH(Assumptions!$C$5,F2148)),Assumptions!$D$5,IF(ISNUMBER(SEARCH(Assumptions!$C$6,F2148)),Assumptions!$D$6,IF(ISNUMBER(SEARCH(Assumptions!$C$7,F2148)),Assumptions!$D$7,"Other Services"))),"Other Services"))</f>
        <v/>
      </c>
    </row>
    <row r="2149" customFormat="false" ht="15" hidden="false" customHeight="false" outlineLevel="0" collapsed="false">
      <c r="I2149" s="41" t="str">
        <f aca="false">IF(F2149="","",IFERROR(IF(ISNUMBER(SEARCH(Assumptions!$C$5,F2149)),Assumptions!$D$5,IF(ISNUMBER(SEARCH(Assumptions!$C$6,F2149)),Assumptions!$D$6,IF(ISNUMBER(SEARCH(Assumptions!$C$7,F2149)),Assumptions!$D$7,"Other Services"))),"Other Services"))</f>
        <v/>
      </c>
    </row>
    <row r="2150" customFormat="false" ht="15" hidden="false" customHeight="false" outlineLevel="0" collapsed="false">
      <c r="I2150" s="41" t="str">
        <f aca="false">IF(F2150="","",IFERROR(IF(ISNUMBER(SEARCH(Assumptions!$C$5,F2150)),Assumptions!$D$5,IF(ISNUMBER(SEARCH(Assumptions!$C$6,F2150)),Assumptions!$D$6,IF(ISNUMBER(SEARCH(Assumptions!$C$7,F2150)),Assumptions!$D$7,"Other Services"))),"Other Services"))</f>
        <v/>
      </c>
    </row>
    <row r="2151" customFormat="false" ht="15" hidden="false" customHeight="false" outlineLevel="0" collapsed="false">
      <c r="I2151" s="41" t="str">
        <f aca="false">IF(F2151="","",IFERROR(IF(ISNUMBER(SEARCH(Assumptions!$C$5,F2151)),Assumptions!$D$5,IF(ISNUMBER(SEARCH(Assumptions!$C$6,F2151)),Assumptions!$D$6,IF(ISNUMBER(SEARCH(Assumptions!$C$7,F2151)),Assumptions!$D$7,"Other Services"))),"Other Services"))</f>
        <v/>
      </c>
    </row>
    <row r="2152" customFormat="false" ht="15" hidden="false" customHeight="false" outlineLevel="0" collapsed="false">
      <c r="I2152" s="41" t="str">
        <f aca="false">IF(F2152="","",IFERROR(IF(ISNUMBER(SEARCH(Assumptions!$C$5,F2152)),Assumptions!$D$5,IF(ISNUMBER(SEARCH(Assumptions!$C$6,F2152)),Assumptions!$D$6,IF(ISNUMBER(SEARCH(Assumptions!$C$7,F2152)),Assumptions!$D$7,"Other Services"))),"Other Services"))</f>
        <v/>
      </c>
    </row>
    <row r="2153" customFormat="false" ht="15" hidden="false" customHeight="false" outlineLevel="0" collapsed="false">
      <c r="I2153" s="41" t="str">
        <f aca="false">IF(F2153="","",IFERROR(IF(ISNUMBER(SEARCH(Assumptions!$C$5,F2153)),Assumptions!$D$5,IF(ISNUMBER(SEARCH(Assumptions!$C$6,F2153)),Assumptions!$D$6,IF(ISNUMBER(SEARCH(Assumptions!$C$7,F2153)),Assumptions!$D$7,"Other Services"))),"Other Services"))</f>
        <v/>
      </c>
    </row>
    <row r="2154" customFormat="false" ht="15" hidden="false" customHeight="false" outlineLevel="0" collapsed="false">
      <c r="I2154" s="41" t="str">
        <f aca="false">IF(F2154="","",IFERROR(IF(ISNUMBER(SEARCH(Assumptions!$C$5,F2154)),Assumptions!$D$5,IF(ISNUMBER(SEARCH(Assumptions!$C$6,F2154)),Assumptions!$D$6,IF(ISNUMBER(SEARCH(Assumptions!$C$7,F2154)),Assumptions!$D$7,"Other Services"))),"Other Services"))</f>
        <v/>
      </c>
    </row>
    <row r="2155" customFormat="false" ht="15" hidden="false" customHeight="false" outlineLevel="0" collapsed="false">
      <c r="I2155" s="41" t="str">
        <f aca="false">IF(F2155="","",IFERROR(IF(ISNUMBER(SEARCH(Assumptions!$C$5,F2155)),Assumptions!$D$5,IF(ISNUMBER(SEARCH(Assumptions!$C$6,F2155)),Assumptions!$D$6,IF(ISNUMBER(SEARCH(Assumptions!$C$7,F2155)),Assumptions!$D$7,"Other Services"))),"Other Services"))</f>
        <v/>
      </c>
    </row>
    <row r="2156" customFormat="false" ht="15" hidden="false" customHeight="false" outlineLevel="0" collapsed="false">
      <c r="I2156" s="41" t="str">
        <f aca="false">IF(F2156="","",IFERROR(IF(ISNUMBER(SEARCH(Assumptions!$C$5,F2156)),Assumptions!$D$5,IF(ISNUMBER(SEARCH(Assumptions!$C$6,F2156)),Assumptions!$D$6,IF(ISNUMBER(SEARCH(Assumptions!$C$7,F2156)),Assumptions!$D$7,"Other Services"))),"Other Services"))</f>
        <v/>
      </c>
    </row>
    <row r="2157" customFormat="false" ht="15" hidden="false" customHeight="false" outlineLevel="0" collapsed="false">
      <c r="I2157" s="41" t="str">
        <f aca="false">IF(F2157="","",IFERROR(IF(ISNUMBER(SEARCH(Assumptions!$C$5,F2157)),Assumptions!$D$5,IF(ISNUMBER(SEARCH(Assumptions!$C$6,F2157)),Assumptions!$D$6,IF(ISNUMBER(SEARCH(Assumptions!$C$7,F2157)),Assumptions!$D$7,"Other Services"))),"Other Services"))</f>
        <v/>
      </c>
    </row>
    <row r="2158" customFormat="false" ht="15" hidden="false" customHeight="false" outlineLevel="0" collapsed="false">
      <c r="I2158" s="41" t="str">
        <f aca="false">IF(F2158="","",IFERROR(IF(ISNUMBER(SEARCH(Assumptions!$C$5,F2158)),Assumptions!$D$5,IF(ISNUMBER(SEARCH(Assumptions!$C$6,F2158)),Assumptions!$D$6,IF(ISNUMBER(SEARCH(Assumptions!$C$7,F2158)),Assumptions!$D$7,"Other Services"))),"Other Services"))</f>
        <v/>
      </c>
    </row>
    <row r="2159" customFormat="false" ht="15" hidden="false" customHeight="false" outlineLevel="0" collapsed="false">
      <c r="I2159" s="41" t="str">
        <f aca="false">IF(F2159="","",IFERROR(IF(ISNUMBER(SEARCH(Assumptions!$C$5,F2159)),Assumptions!$D$5,IF(ISNUMBER(SEARCH(Assumptions!$C$6,F2159)),Assumptions!$D$6,IF(ISNUMBER(SEARCH(Assumptions!$C$7,F2159)),Assumptions!$D$7,"Other Services"))),"Other Services"))</f>
        <v/>
      </c>
    </row>
    <row r="2160" customFormat="false" ht="15" hidden="false" customHeight="false" outlineLevel="0" collapsed="false">
      <c r="I2160" s="41" t="str">
        <f aca="false">IF(F2160="","",IFERROR(IF(ISNUMBER(SEARCH(Assumptions!$C$5,F2160)),Assumptions!$D$5,IF(ISNUMBER(SEARCH(Assumptions!$C$6,F2160)),Assumptions!$D$6,IF(ISNUMBER(SEARCH(Assumptions!$C$7,F2160)),Assumptions!$D$7,"Other Services"))),"Other Services"))</f>
        <v/>
      </c>
    </row>
    <row r="2161" customFormat="false" ht="15" hidden="false" customHeight="false" outlineLevel="0" collapsed="false">
      <c r="I2161" s="41" t="str">
        <f aca="false">IF(F2161="","",IFERROR(IF(ISNUMBER(SEARCH(Assumptions!$C$5,F2161)),Assumptions!$D$5,IF(ISNUMBER(SEARCH(Assumptions!$C$6,F2161)),Assumptions!$D$6,IF(ISNUMBER(SEARCH(Assumptions!$C$7,F2161)),Assumptions!$D$7,"Other Services"))),"Other Services"))</f>
        <v/>
      </c>
    </row>
    <row r="2162" customFormat="false" ht="15" hidden="false" customHeight="false" outlineLevel="0" collapsed="false">
      <c r="I2162" s="41" t="str">
        <f aca="false">IF(F2162="","",IFERROR(IF(ISNUMBER(SEARCH(Assumptions!$C$5,F2162)),Assumptions!$D$5,IF(ISNUMBER(SEARCH(Assumptions!$C$6,F2162)),Assumptions!$D$6,IF(ISNUMBER(SEARCH(Assumptions!$C$7,F2162)),Assumptions!$D$7,"Other Services"))),"Other Services"))</f>
        <v/>
      </c>
    </row>
    <row r="2163" customFormat="false" ht="15" hidden="false" customHeight="false" outlineLevel="0" collapsed="false">
      <c r="I2163" s="41" t="str">
        <f aca="false">IF(F2163="","",IFERROR(IF(ISNUMBER(SEARCH(Assumptions!$C$5,F2163)),Assumptions!$D$5,IF(ISNUMBER(SEARCH(Assumptions!$C$6,F2163)),Assumptions!$D$6,IF(ISNUMBER(SEARCH(Assumptions!$C$7,F2163)),Assumptions!$D$7,"Other Services"))),"Other Services"))</f>
        <v/>
      </c>
    </row>
    <row r="2164" customFormat="false" ht="15" hidden="false" customHeight="false" outlineLevel="0" collapsed="false">
      <c r="I2164" s="41" t="str">
        <f aca="false">IF(F2164="","",IFERROR(IF(ISNUMBER(SEARCH(Assumptions!$C$5,F2164)),Assumptions!$D$5,IF(ISNUMBER(SEARCH(Assumptions!$C$6,F2164)),Assumptions!$D$6,IF(ISNUMBER(SEARCH(Assumptions!$C$7,F2164)),Assumptions!$D$7,"Other Services"))),"Other Services"))</f>
        <v/>
      </c>
    </row>
    <row r="2165" customFormat="false" ht="15" hidden="false" customHeight="false" outlineLevel="0" collapsed="false">
      <c r="I2165" s="41" t="str">
        <f aca="false">IF(F2165="","",IFERROR(IF(ISNUMBER(SEARCH(Assumptions!$C$5,F2165)),Assumptions!$D$5,IF(ISNUMBER(SEARCH(Assumptions!$C$6,F2165)),Assumptions!$D$6,IF(ISNUMBER(SEARCH(Assumptions!$C$7,F2165)),Assumptions!$D$7,"Other Services"))),"Other Services"))</f>
        <v/>
      </c>
    </row>
    <row r="2166" customFormat="false" ht="15" hidden="false" customHeight="false" outlineLevel="0" collapsed="false">
      <c r="I2166" s="41" t="str">
        <f aca="false">IF(F2166="","",IFERROR(IF(ISNUMBER(SEARCH(Assumptions!$C$5,F2166)),Assumptions!$D$5,IF(ISNUMBER(SEARCH(Assumptions!$C$6,F2166)),Assumptions!$D$6,IF(ISNUMBER(SEARCH(Assumptions!$C$7,F2166)),Assumptions!$D$7,"Other Services"))),"Other Services"))</f>
        <v/>
      </c>
    </row>
    <row r="2167" customFormat="false" ht="15" hidden="false" customHeight="false" outlineLevel="0" collapsed="false">
      <c r="I2167" s="41" t="str">
        <f aca="false">IF(F2167="","",IFERROR(IF(ISNUMBER(SEARCH(Assumptions!$C$5,F2167)),Assumptions!$D$5,IF(ISNUMBER(SEARCH(Assumptions!$C$6,F2167)),Assumptions!$D$6,IF(ISNUMBER(SEARCH(Assumptions!$C$7,F2167)),Assumptions!$D$7,"Other Services"))),"Other Services"))</f>
        <v/>
      </c>
    </row>
    <row r="2168" customFormat="false" ht="15" hidden="false" customHeight="false" outlineLevel="0" collapsed="false">
      <c r="I2168" s="41" t="str">
        <f aca="false">IF(F2168="","",IFERROR(IF(ISNUMBER(SEARCH(Assumptions!$C$5,F2168)),Assumptions!$D$5,IF(ISNUMBER(SEARCH(Assumptions!$C$6,F2168)),Assumptions!$D$6,IF(ISNUMBER(SEARCH(Assumptions!$C$7,F2168)),Assumptions!$D$7,"Other Services"))),"Other Services"))</f>
        <v/>
      </c>
    </row>
    <row r="2169" customFormat="false" ht="15" hidden="false" customHeight="false" outlineLevel="0" collapsed="false">
      <c r="I2169" s="41" t="str">
        <f aca="false">IF(F2169="","",IFERROR(IF(ISNUMBER(SEARCH(Assumptions!$C$5,F2169)),Assumptions!$D$5,IF(ISNUMBER(SEARCH(Assumptions!$C$6,F2169)),Assumptions!$D$6,IF(ISNUMBER(SEARCH(Assumptions!$C$7,F2169)),Assumptions!$D$7,"Other Services"))),"Other Services"))</f>
        <v/>
      </c>
    </row>
    <row r="2170" customFormat="false" ht="15" hidden="false" customHeight="false" outlineLevel="0" collapsed="false">
      <c r="I2170" s="41" t="str">
        <f aca="false">IF(F2170="","",IFERROR(IF(ISNUMBER(SEARCH(Assumptions!$C$5,F2170)),Assumptions!$D$5,IF(ISNUMBER(SEARCH(Assumptions!$C$6,F2170)),Assumptions!$D$6,IF(ISNUMBER(SEARCH(Assumptions!$C$7,F2170)),Assumptions!$D$7,"Other Services"))),"Other Services"))</f>
        <v/>
      </c>
    </row>
    <row r="2171" customFormat="false" ht="15" hidden="false" customHeight="false" outlineLevel="0" collapsed="false">
      <c r="I2171" s="41" t="str">
        <f aca="false">IF(F2171="","",IFERROR(IF(ISNUMBER(SEARCH(Assumptions!$C$5,F2171)),Assumptions!$D$5,IF(ISNUMBER(SEARCH(Assumptions!$C$6,F2171)),Assumptions!$D$6,IF(ISNUMBER(SEARCH(Assumptions!$C$7,F2171)),Assumptions!$D$7,"Other Services"))),"Other Services"))</f>
        <v/>
      </c>
    </row>
    <row r="2172" customFormat="false" ht="15" hidden="false" customHeight="false" outlineLevel="0" collapsed="false">
      <c r="I2172" s="41" t="str">
        <f aca="false">IF(F2172="","",IFERROR(IF(ISNUMBER(SEARCH(Assumptions!$C$5,F2172)),Assumptions!$D$5,IF(ISNUMBER(SEARCH(Assumptions!$C$6,F2172)),Assumptions!$D$6,IF(ISNUMBER(SEARCH(Assumptions!$C$7,F2172)),Assumptions!$D$7,"Other Services"))),"Other Services"))</f>
        <v/>
      </c>
    </row>
    <row r="2173" customFormat="false" ht="15" hidden="false" customHeight="false" outlineLevel="0" collapsed="false">
      <c r="I2173" s="41" t="str">
        <f aca="false">IF(F2173="","",IFERROR(IF(ISNUMBER(SEARCH(Assumptions!$C$5,F2173)),Assumptions!$D$5,IF(ISNUMBER(SEARCH(Assumptions!$C$6,F2173)),Assumptions!$D$6,IF(ISNUMBER(SEARCH(Assumptions!$C$7,F2173)),Assumptions!$D$7,"Other Services"))),"Other Services"))</f>
        <v/>
      </c>
    </row>
    <row r="2174" customFormat="false" ht="15" hidden="false" customHeight="false" outlineLevel="0" collapsed="false">
      <c r="I2174" s="41" t="str">
        <f aca="false">IF(F2174="","",IFERROR(IF(ISNUMBER(SEARCH(Assumptions!$C$5,F2174)),Assumptions!$D$5,IF(ISNUMBER(SEARCH(Assumptions!$C$6,F2174)),Assumptions!$D$6,IF(ISNUMBER(SEARCH(Assumptions!$C$7,F2174)),Assumptions!$D$7,"Other Services"))),"Other Services"))</f>
        <v/>
      </c>
    </row>
    <row r="2175" customFormat="false" ht="15" hidden="false" customHeight="false" outlineLevel="0" collapsed="false">
      <c r="I2175" s="41" t="str">
        <f aca="false">IF(F2175="","",IFERROR(IF(ISNUMBER(SEARCH(Assumptions!$C$5,F2175)),Assumptions!$D$5,IF(ISNUMBER(SEARCH(Assumptions!$C$6,F2175)),Assumptions!$D$6,IF(ISNUMBER(SEARCH(Assumptions!$C$7,F2175)),Assumptions!$D$7,"Other Services"))),"Other Services"))</f>
        <v/>
      </c>
    </row>
    <row r="2176" customFormat="false" ht="15" hidden="false" customHeight="false" outlineLevel="0" collapsed="false">
      <c r="I2176" s="41" t="str">
        <f aca="false">IF(F2176="","",IFERROR(IF(ISNUMBER(SEARCH(Assumptions!$C$5,F2176)),Assumptions!$D$5,IF(ISNUMBER(SEARCH(Assumptions!$C$6,F2176)),Assumptions!$D$6,IF(ISNUMBER(SEARCH(Assumptions!$C$7,F2176)),Assumptions!$D$7,"Other Services"))),"Other Services"))</f>
        <v/>
      </c>
    </row>
    <row r="2177" customFormat="false" ht="15" hidden="false" customHeight="false" outlineLevel="0" collapsed="false">
      <c r="I2177" s="41" t="str">
        <f aca="false">IF(F2177="","",IFERROR(IF(ISNUMBER(SEARCH(Assumptions!$C$5,F2177)),Assumptions!$D$5,IF(ISNUMBER(SEARCH(Assumptions!$C$6,F2177)),Assumptions!$D$6,IF(ISNUMBER(SEARCH(Assumptions!$C$7,F2177)),Assumptions!$D$7,"Other Services"))),"Other Services"))</f>
        <v/>
      </c>
    </row>
    <row r="2178" customFormat="false" ht="15" hidden="false" customHeight="false" outlineLevel="0" collapsed="false">
      <c r="I2178" s="41" t="str">
        <f aca="false">IF(F2178="","",IFERROR(IF(ISNUMBER(SEARCH(Assumptions!$C$5,F2178)),Assumptions!$D$5,IF(ISNUMBER(SEARCH(Assumptions!$C$6,F2178)),Assumptions!$D$6,IF(ISNUMBER(SEARCH(Assumptions!$C$7,F2178)),Assumptions!$D$7,"Other Services"))),"Other Services"))</f>
        <v/>
      </c>
    </row>
    <row r="2179" customFormat="false" ht="15" hidden="false" customHeight="false" outlineLevel="0" collapsed="false">
      <c r="I2179" s="41" t="str">
        <f aca="false">IF(F2179="","",IFERROR(IF(ISNUMBER(SEARCH(Assumptions!$C$5,F2179)),Assumptions!$D$5,IF(ISNUMBER(SEARCH(Assumptions!$C$6,F2179)),Assumptions!$D$6,IF(ISNUMBER(SEARCH(Assumptions!$C$7,F2179)),Assumptions!$D$7,"Other Services"))),"Other Services"))</f>
        <v/>
      </c>
    </row>
    <row r="2180" customFormat="false" ht="15" hidden="false" customHeight="false" outlineLevel="0" collapsed="false">
      <c r="I2180" s="41" t="str">
        <f aca="false">IF(F2180="","",IFERROR(IF(ISNUMBER(SEARCH(Assumptions!$C$5,F2180)),Assumptions!$D$5,IF(ISNUMBER(SEARCH(Assumptions!$C$6,F2180)),Assumptions!$D$6,IF(ISNUMBER(SEARCH(Assumptions!$C$7,F2180)),Assumptions!$D$7,"Other Services"))),"Other Services"))</f>
        <v/>
      </c>
    </row>
    <row r="2181" customFormat="false" ht="15" hidden="false" customHeight="false" outlineLevel="0" collapsed="false">
      <c r="I2181" s="41" t="str">
        <f aca="false">IF(F2181="","",IFERROR(IF(ISNUMBER(SEARCH(Assumptions!$C$5,F2181)),Assumptions!$D$5,IF(ISNUMBER(SEARCH(Assumptions!$C$6,F2181)),Assumptions!$D$6,IF(ISNUMBER(SEARCH(Assumptions!$C$7,F2181)),Assumptions!$D$7,"Other Services"))),"Other Services"))</f>
        <v/>
      </c>
    </row>
    <row r="2182" customFormat="false" ht="15" hidden="false" customHeight="false" outlineLevel="0" collapsed="false">
      <c r="I2182" s="41" t="str">
        <f aca="false">IF(F2182="","",IFERROR(IF(ISNUMBER(SEARCH(Assumptions!$C$5,F2182)),Assumptions!$D$5,IF(ISNUMBER(SEARCH(Assumptions!$C$6,F2182)),Assumptions!$D$6,IF(ISNUMBER(SEARCH(Assumptions!$C$7,F2182)),Assumptions!$D$7,"Other Services"))),"Other Services"))</f>
        <v/>
      </c>
    </row>
    <row r="2183" customFormat="false" ht="15" hidden="false" customHeight="false" outlineLevel="0" collapsed="false">
      <c r="I2183" s="41" t="str">
        <f aca="false">IF(F2183="","",IFERROR(IF(ISNUMBER(SEARCH(Assumptions!$C$5,F2183)),Assumptions!$D$5,IF(ISNUMBER(SEARCH(Assumptions!$C$6,F2183)),Assumptions!$D$6,IF(ISNUMBER(SEARCH(Assumptions!$C$7,F2183)),Assumptions!$D$7,"Other Services"))),"Other Services"))</f>
        <v/>
      </c>
    </row>
    <row r="2184" customFormat="false" ht="15" hidden="false" customHeight="false" outlineLevel="0" collapsed="false">
      <c r="I2184" s="41" t="str">
        <f aca="false">IF(F2184="","",IFERROR(IF(ISNUMBER(SEARCH(Assumptions!$C$5,F2184)),Assumptions!$D$5,IF(ISNUMBER(SEARCH(Assumptions!$C$6,F2184)),Assumptions!$D$6,IF(ISNUMBER(SEARCH(Assumptions!$C$7,F2184)),Assumptions!$D$7,"Other Services"))),"Other Services"))</f>
        <v/>
      </c>
    </row>
    <row r="2185" customFormat="false" ht="15" hidden="false" customHeight="false" outlineLevel="0" collapsed="false">
      <c r="I2185" s="41" t="str">
        <f aca="false">IF(F2185="","",IFERROR(IF(ISNUMBER(SEARCH(Assumptions!$C$5,F2185)),Assumptions!$D$5,IF(ISNUMBER(SEARCH(Assumptions!$C$6,F2185)),Assumptions!$D$6,IF(ISNUMBER(SEARCH(Assumptions!$C$7,F2185)),Assumptions!$D$7,"Other Services"))),"Other Services"))</f>
        <v/>
      </c>
    </row>
    <row r="2186" customFormat="false" ht="15" hidden="false" customHeight="false" outlineLevel="0" collapsed="false">
      <c r="I2186" s="41" t="str">
        <f aca="false">IF(F2186="","",IFERROR(IF(ISNUMBER(SEARCH(Assumptions!$C$5,F2186)),Assumptions!$D$5,IF(ISNUMBER(SEARCH(Assumptions!$C$6,F2186)),Assumptions!$D$6,IF(ISNUMBER(SEARCH(Assumptions!$C$7,F2186)),Assumptions!$D$7,"Other Services"))),"Other Services"))</f>
        <v/>
      </c>
    </row>
    <row r="2187" customFormat="false" ht="15" hidden="false" customHeight="false" outlineLevel="0" collapsed="false">
      <c r="I2187" s="41" t="str">
        <f aca="false">IF(F2187="","",IFERROR(IF(ISNUMBER(SEARCH(Assumptions!$C$5,F2187)),Assumptions!$D$5,IF(ISNUMBER(SEARCH(Assumptions!$C$6,F2187)),Assumptions!$D$6,IF(ISNUMBER(SEARCH(Assumptions!$C$7,F2187)),Assumptions!$D$7,"Other Services"))),"Other Services"))</f>
        <v/>
      </c>
    </row>
    <row r="2188" customFormat="false" ht="15" hidden="false" customHeight="false" outlineLevel="0" collapsed="false">
      <c r="I2188" s="41" t="str">
        <f aca="false">IF(F2188="","",IFERROR(IF(ISNUMBER(SEARCH(Assumptions!$C$5,F2188)),Assumptions!$D$5,IF(ISNUMBER(SEARCH(Assumptions!$C$6,F2188)),Assumptions!$D$6,IF(ISNUMBER(SEARCH(Assumptions!$C$7,F2188)),Assumptions!$D$7,"Other Services"))),"Other Services"))</f>
        <v/>
      </c>
    </row>
    <row r="2189" customFormat="false" ht="15" hidden="false" customHeight="false" outlineLevel="0" collapsed="false">
      <c r="I2189" s="41" t="str">
        <f aca="false">IF(F2189="","",IFERROR(IF(ISNUMBER(SEARCH(Assumptions!$C$5,F2189)),Assumptions!$D$5,IF(ISNUMBER(SEARCH(Assumptions!$C$6,F2189)),Assumptions!$D$6,IF(ISNUMBER(SEARCH(Assumptions!$C$7,F2189)),Assumptions!$D$7,"Other Services"))),"Other Services"))</f>
        <v/>
      </c>
    </row>
    <row r="2190" customFormat="false" ht="15" hidden="false" customHeight="false" outlineLevel="0" collapsed="false">
      <c r="I2190" s="41" t="str">
        <f aca="false">IF(F2190="","",IFERROR(IF(ISNUMBER(SEARCH(Assumptions!$C$5,F2190)),Assumptions!$D$5,IF(ISNUMBER(SEARCH(Assumptions!$C$6,F2190)),Assumptions!$D$6,IF(ISNUMBER(SEARCH(Assumptions!$C$7,F2190)),Assumptions!$D$7,"Other Services"))),"Other Services"))</f>
        <v/>
      </c>
    </row>
    <row r="2191" customFormat="false" ht="15" hidden="false" customHeight="false" outlineLevel="0" collapsed="false">
      <c r="I2191" s="41" t="str">
        <f aca="false">IF(F2191="","",IFERROR(IF(ISNUMBER(SEARCH(Assumptions!$C$5,F2191)),Assumptions!$D$5,IF(ISNUMBER(SEARCH(Assumptions!$C$6,F2191)),Assumptions!$D$6,IF(ISNUMBER(SEARCH(Assumptions!$C$7,F2191)),Assumptions!$D$7,"Other Services"))),"Other Services"))</f>
        <v/>
      </c>
    </row>
    <row r="2192" customFormat="false" ht="15" hidden="false" customHeight="false" outlineLevel="0" collapsed="false">
      <c r="I2192" s="41" t="str">
        <f aca="false">IF(F2192="","",IFERROR(IF(ISNUMBER(SEARCH(Assumptions!$C$5,F2192)),Assumptions!$D$5,IF(ISNUMBER(SEARCH(Assumptions!$C$6,F2192)),Assumptions!$D$6,IF(ISNUMBER(SEARCH(Assumptions!$C$7,F2192)),Assumptions!$D$7,"Other Services"))),"Other Services"))</f>
        <v/>
      </c>
    </row>
    <row r="2193" customFormat="false" ht="15" hidden="false" customHeight="false" outlineLevel="0" collapsed="false">
      <c r="I2193" s="41" t="str">
        <f aca="false">IF(F2193="","",IFERROR(IF(ISNUMBER(SEARCH(Assumptions!$C$5,F2193)),Assumptions!$D$5,IF(ISNUMBER(SEARCH(Assumptions!$C$6,F2193)),Assumptions!$D$6,IF(ISNUMBER(SEARCH(Assumptions!$C$7,F2193)),Assumptions!$D$7,"Other Services"))),"Other Services"))</f>
        <v/>
      </c>
    </row>
    <row r="2194" customFormat="false" ht="15" hidden="false" customHeight="false" outlineLevel="0" collapsed="false">
      <c r="I2194" s="41" t="str">
        <f aca="false">IF(F2194="","",IFERROR(IF(ISNUMBER(SEARCH(Assumptions!$C$5,F2194)),Assumptions!$D$5,IF(ISNUMBER(SEARCH(Assumptions!$C$6,F2194)),Assumptions!$D$6,IF(ISNUMBER(SEARCH(Assumptions!$C$7,F2194)),Assumptions!$D$7,"Other Services"))),"Other Services"))</f>
        <v/>
      </c>
    </row>
    <row r="2195" customFormat="false" ht="15" hidden="false" customHeight="false" outlineLevel="0" collapsed="false">
      <c r="I2195" s="41" t="str">
        <f aca="false">IF(F2195="","",IFERROR(IF(ISNUMBER(SEARCH(Assumptions!$C$5,F2195)),Assumptions!$D$5,IF(ISNUMBER(SEARCH(Assumptions!$C$6,F2195)),Assumptions!$D$6,IF(ISNUMBER(SEARCH(Assumptions!$C$7,F2195)),Assumptions!$D$7,"Other Services"))),"Other Services"))</f>
        <v/>
      </c>
    </row>
    <row r="2196" customFormat="false" ht="15" hidden="false" customHeight="false" outlineLevel="0" collapsed="false">
      <c r="I2196" s="41" t="str">
        <f aca="false">IF(F2196="","",IFERROR(IF(ISNUMBER(SEARCH(Assumptions!$C$5,F2196)),Assumptions!$D$5,IF(ISNUMBER(SEARCH(Assumptions!$C$6,F2196)),Assumptions!$D$6,IF(ISNUMBER(SEARCH(Assumptions!$C$7,F2196)),Assumptions!$D$7,"Other Services"))),"Other Services"))</f>
        <v/>
      </c>
    </row>
    <row r="2197" customFormat="false" ht="15" hidden="false" customHeight="false" outlineLevel="0" collapsed="false">
      <c r="I2197" s="41" t="str">
        <f aca="false">IF(F2197="","",IFERROR(IF(ISNUMBER(SEARCH(Assumptions!$C$5,F2197)),Assumptions!$D$5,IF(ISNUMBER(SEARCH(Assumptions!$C$6,F2197)),Assumptions!$D$6,IF(ISNUMBER(SEARCH(Assumptions!$C$7,F2197)),Assumptions!$D$7,"Other Services"))),"Other Services"))</f>
        <v/>
      </c>
    </row>
    <row r="2198" customFormat="false" ht="15" hidden="false" customHeight="false" outlineLevel="0" collapsed="false">
      <c r="I2198" s="41" t="str">
        <f aca="false">IF(F2198="","",IFERROR(IF(ISNUMBER(SEARCH(Assumptions!$C$5,F2198)),Assumptions!$D$5,IF(ISNUMBER(SEARCH(Assumptions!$C$6,F2198)),Assumptions!$D$6,IF(ISNUMBER(SEARCH(Assumptions!$C$7,F2198)),Assumptions!$D$7,"Other Services"))),"Other Services"))</f>
        <v/>
      </c>
    </row>
    <row r="2199" customFormat="false" ht="15" hidden="false" customHeight="false" outlineLevel="0" collapsed="false">
      <c r="I2199" s="41" t="str">
        <f aca="false">IF(F2199="","",IFERROR(IF(ISNUMBER(SEARCH(Assumptions!$C$5,F2199)),Assumptions!$D$5,IF(ISNUMBER(SEARCH(Assumptions!$C$6,F2199)),Assumptions!$D$6,IF(ISNUMBER(SEARCH(Assumptions!$C$7,F2199)),Assumptions!$D$7,"Other Services"))),"Other Services"))</f>
        <v/>
      </c>
    </row>
    <row r="2200" customFormat="false" ht="15" hidden="false" customHeight="false" outlineLevel="0" collapsed="false">
      <c r="I2200" s="41" t="str">
        <f aca="false">IF(F2200="","",IFERROR(IF(ISNUMBER(SEARCH(Assumptions!$C$5,F2200)),Assumptions!$D$5,IF(ISNUMBER(SEARCH(Assumptions!$C$6,F2200)),Assumptions!$D$6,IF(ISNUMBER(SEARCH(Assumptions!$C$7,F2200)),Assumptions!$D$7,"Other Services"))),"Other Services"))</f>
        <v/>
      </c>
    </row>
    <row r="2201" customFormat="false" ht="15" hidden="false" customHeight="false" outlineLevel="0" collapsed="false">
      <c r="I2201" s="41" t="str">
        <f aca="false">IF(F2201="","",IFERROR(IF(ISNUMBER(SEARCH(Assumptions!$C$5,F2201)),Assumptions!$D$5,IF(ISNUMBER(SEARCH(Assumptions!$C$6,F2201)),Assumptions!$D$6,IF(ISNUMBER(SEARCH(Assumptions!$C$7,F2201)),Assumptions!$D$7,"Other Services"))),"Other Services"))</f>
        <v/>
      </c>
    </row>
    <row r="2202" customFormat="false" ht="15" hidden="false" customHeight="false" outlineLevel="0" collapsed="false">
      <c r="I2202" s="41" t="str">
        <f aca="false">IF(F2202="","",IFERROR(IF(ISNUMBER(SEARCH(Assumptions!$C$5,F2202)),Assumptions!$D$5,IF(ISNUMBER(SEARCH(Assumptions!$C$6,F2202)),Assumptions!$D$6,IF(ISNUMBER(SEARCH(Assumptions!$C$7,F2202)),Assumptions!$D$7,"Other Services"))),"Other Services"))</f>
        <v/>
      </c>
    </row>
    <row r="2203" customFormat="false" ht="15" hidden="false" customHeight="false" outlineLevel="0" collapsed="false">
      <c r="I2203" s="41" t="str">
        <f aca="false">IF(F2203="","",IFERROR(IF(ISNUMBER(SEARCH(Assumptions!$C$5,F2203)),Assumptions!$D$5,IF(ISNUMBER(SEARCH(Assumptions!$C$6,F2203)),Assumptions!$D$6,IF(ISNUMBER(SEARCH(Assumptions!$C$7,F2203)),Assumptions!$D$7,"Other Services"))),"Other Services"))</f>
        <v/>
      </c>
    </row>
    <row r="2204" customFormat="false" ht="15" hidden="false" customHeight="false" outlineLevel="0" collapsed="false">
      <c r="I2204" s="41" t="str">
        <f aca="false">IF(F2204="","",IFERROR(IF(ISNUMBER(SEARCH(Assumptions!$C$5,F2204)),Assumptions!$D$5,IF(ISNUMBER(SEARCH(Assumptions!$C$6,F2204)),Assumptions!$D$6,IF(ISNUMBER(SEARCH(Assumptions!$C$7,F2204)),Assumptions!$D$7,"Other Services"))),"Other Services"))</f>
        <v/>
      </c>
    </row>
    <row r="2205" customFormat="false" ht="15" hidden="false" customHeight="false" outlineLevel="0" collapsed="false">
      <c r="I2205" s="41" t="str">
        <f aca="false">IF(F2205="","",IFERROR(IF(ISNUMBER(SEARCH(Assumptions!$C$5,F2205)),Assumptions!$D$5,IF(ISNUMBER(SEARCH(Assumptions!$C$6,F2205)),Assumptions!$D$6,IF(ISNUMBER(SEARCH(Assumptions!$C$7,F2205)),Assumptions!$D$7,"Other Services"))),"Other Services"))</f>
        <v/>
      </c>
    </row>
    <row r="2206" customFormat="false" ht="15" hidden="false" customHeight="false" outlineLevel="0" collapsed="false">
      <c r="I2206" s="41" t="str">
        <f aca="false">IF(F2206="","",IFERROR(IF(ISNUMBER(SEARCH(Assumptions!$C$5,F2206)),Assumptions!$D$5,IF(ISNUMBER(SEARCH(Assumptions!$C$6,F2206)),Assumptions!$D$6,IF(ISNUMBER(SEARCH(Assumptions!$C$7,F2206)),Assumptions!$D$7,"Other Services"))),"Other Services"))</f>
        <v/>
      </c>
    </row>
    <row r="2207" customFormat="false" ht="15" hidden="false" customHeight="false" outlineLevel="0" collapsed="false">
      <c r="I2207" s="41" t="str">
        <f aca="false">IF(F2207="","",IFERROR(IF(ISNUMBER(SEARCH(Assumptions!$C$5,F2207)),Assumptions!$D$5,IF(ISNUMBER(SEARCH(Assumptions!$C$6,F2207)),Assumptions!$D$6,IF(ISNUMBER(SEARCH(Assumptions!$C$7,F2207)),Assumptions!$D$7,"Other Services"))),"Other Services"))</f>
        <v/>
      </c>
    </row>
    <row r="2208" customFormat="false" ht="15" hidden="false" customHeight="false" outlineLevel="0" collapsed="false">
      <c r="I2208" s="41" t="str">
        <f aca="false">IF(F2208="","",IFERROR(IF(ISNUMBER(SEARCH(Assumptions!$C$5,F2208)),Assumptions!$D$5,IF(ISNUMBER(SEARCH(Assumptions!$C$6,F2208)),Assumptions!$D$6,IF(ISNUMBER(SEARCH(Assumptions!$C$7,F2208)),Assumptions!$D$7,"Other Services"))),"Other Services"))</f>
        <v/>
      </c>
    </row>
    <row r="2209" customFormat="false" ht="15" hidden="false" customHeight="false" outlineLevel="0" collapsed="false">
      <c r="I2209" s="41" t="str">
        <f aca="false">IF(F2209="","",IFERROR(IF(ISNUMBER(SEARCH(Assumptions!$C$5,F2209)),Assumptions!$D$5,IF(ISNUMBER(SEARCH(Assumptions!$C$6,F2209)),Assumptions!$D$6,IF(ISNUMBER(SEARCH(Assumptions!$C$7,F2209)),Assumptions!$D$7,"Other Services"))),"Other Services"))</f>
        <v/>
      </c>
    </row>
    <row r="2210" customFormat="false" ht="15" hidden="false" customHeight="false" outlineLevel="0" collapsed="false">
      <c r="I2210" s="41" t="str">
        <f aca="false">IF(F2210="","",IFERROR(IF(ISNUMBER(SEARCH(Assumptions!$C$5,F2210)),Assumptions!$D$5,IF(ISNUMBER(SEARCH(Assumptions!$C$6,F2210)),Assumptions!$D$6,IF(ISNUMBER(SEARCH(Assumptions!$C$7,F2210)),Assumptions!$D$7,"Other Services"))),"Other Services"))</f>
        <v/>
      </c>
    </row>
    <row r="2211" customFormat="false" ht="15" hidden="false" customHeight="false" outlineLevel="0" collapsed="false">
      <c r="I2211" s="41" t="str">
        <f aca="false">IF(F2211="","",IFERROR(IF(ISNUMBER(SEARCH(Assumptions!$C$5,F2211)),Assumptions!$D$5,IF(ISNUMBER(SEARCH(Assumptions!$C$6,F2211)),Assumptions!$D$6,IF(ISNUMBER(SEARCH(Assumptions!$C$7,F2211)),Assumptions!$D$7,"Other Services"))),"Other Services"))</f>
        <v/>
      </c>
    </row>
    <row r="2212" customFormat="false" ht="15" hidden="false" customHeight="false" outlineLevel="0" collapsed="false">
      <c r="I2212" s="41" t="str">
        <f aca="false">IF(F2212="","",IFERROR(IF(ISNUMBER(SEARCH(Assumptions!$C$5,F2212)),Assumptions!$D$5,IF(ISNUMBER(SEARCH(Assumptions!$C$6,F2212)),Assumptions!$D$6,IF(ISNUMBER(SEARCH(Assumptions!$C$7,F2212)),Assumptions!$D$7,"Other Services"))),"Other Services"))</f>
        <v/>
      </c>
    </row>
    <row r="2213" customFormat="false" ht="15" hidden="false" customHeight="false" outlineLevel="0" collapsed="false">
      <c r="I2213" s="41" t="str">
        <f aca="false">IF(F2213="","",IFERROR(IF(ISNUMBER(SEARCH(Assumptions!$C$5,F2213)),Assumptions!$D$5,IF(ISNUMBER(SEARCH(Assumptions!$C$6,F2213)),Assumptions!$D$6,IF(ISNUMBER(SEARCH(Assumptions!$C$7,F2213)),Assumptions!$D$7,"Other Services"))),"Other Services"))</f>
        <v/>
      </c>
    </row>
    <row r="2214" customFormat="false" ht="15" hidden="false" customHeight="false" outlineLevel="0" collapsed="false">
      <c r="I2214" s="41" t="str">
        <f aca="false">IF(F2214="","",IFERROR(IF(ISNUMBER(SEARCH(Assumptions!$C$5,F2214)),Assumptions!$D$5,IF(ISNUMBER(SEARCH(Assumptions!$C$6,F2214)),Assumptions!$D$6,IF(ISNUMBER(SEARCH(Assumptions!$C$7,F2214)),Assumptions!$D$7,"Other Services"))),"Other Services"))</f>
        <v/>
      </c>
    </row>
    <row r="2215" customFormat="false" ht="15" hidden="false" customHeight="false" outlineLevel="0" collapsed="false">
      <c r="I2215" s="41" t="str">
        <f aca="false">IF(F2215="","",IFERROR(IF(ISNUMBER(SEARCH(Assumptions!$C$5,F2215)),Assumptions!$D$5,IF(ISNUMBER(SEARCH(Assumptions!$C$6,F2215)),Assumptions!$D$6,IF(ISNUMBER(SEARCH(Assumptions!$C$7,F2215)),Assumptions!$D$7,"Other Services"))),"Other Services"))</f>
        <v/>
      </c>
    </row>
    <row r="2216" customFormat="false" ht="15" hidden="false" customHeight="false" outlineLevel="0" collapsed="false">
      <c r="I2216" s="41" t="str">
        <f aca="false">IF(F2216="","",IFERROR(IF(ISNUMBER(SEARCH(Assumptions!$C$5,F2216)),Assumptions!$D$5,IF(ISNUMBER(SEARCH(Assumptions!$C$6,F2216)),Assumptions!$D$6,IF(ISNUMBER(SEARCH(Assumptions!$C$7,F2216)),Assumptions!$D$7,"Other Services"))),"Other Services"))</f>
        <v/>
      </c>
    </row>
    <row r="2217" customFormat="false" ht="15" hidden="false" customHeight="false" outlineLevel="0" collapsed="false">
      <c r="I2217" s="41" t="str">
        <f aca="false">IF(F2217="","",IFERROR(IF(ISNUMBER(SEARCH(Assumptions!$C$5,F2217)),Assumptions!$D$5,IF(ISNUMBER(SEARCH(Assumptions!$C$6,F2217)),Assumptions!$D$6,IF(ISNUMBER(SEARCH(Assumptions!$C$7,F2217)),Assumptions!$D$7,"Other Services"))),"Other Services"))</f>
        <v/>
      </c>
    </row>
    <row r="2218" customFormat="false" ht="15" hidden="false" customHeight="false" outlineLevel="0" collapsed="false">
      <c r="I2218" s="41" t="str">
        <f aca="false">IF(F2218="","",IFERROR(IF(ISNUMBER(SEARCH(Assumptions!$C$5,F2218)),Assumptions!$D$5,IF(ISNUMBER(SEARCH(Assumptions!$C$6,F2218)),Assumptions!$D$6,IF(ISNUMBER(SEARCH(Assumptions!$C$7,F2218)),Assumptions!$D$7,"Other Services"))),"Other Services"))</f>
        <v/>
      </c>
    </row>
    <row r="2219" customFormat="false" ht="15" hidden="false" customHeight="false" outlineLevel="0" collapsed="false">
      <c r="I2219" s="41" t="str">
        <f aca="false">IF(F2219="","",IFERROR(IF(ISNUMBER(SEARCH(Assumptions!$C$5,F2219)),Assumptions!$D$5,IF(ISNUMBER(SEARCH(Assumptions!$C$6,F2219)),Assumptions!$D$6,IF(ISNUMBER(SEARCH(Assumptions!$C$7,F2219)),Assumptions!$D$7,"Other Services"))),"Other Services"))</f>
        <v/>
      </c>
    </row>
    <row r="2220" customFormat="false" ht="15" hidden="false" customHeight="false" outlineLevel="0" collapsed="false">
      <c r="I2220" s="41" t="str">
        <f aca="false">IF(F2220="","",IFERROR(IF(ISNUMBER(SEARCH(Assumptions!$C$5,F2220)),Assumptions!$D$5,IF(ISNUMBER(SEARCH(Assumptions!$C$6,F2220)),Assumptions!$D$6,IF(ISNUMBER(SEARCH(Assumptions!$C$7,F2220)),Assumptions!$D$7,"Other Services"))),"Other Services"))</f>
        <v/>
      </c>
    </row>
    <row r="2221" customFormat="false" ht="15" hidden="false" customHeight="false" outlineLevel="0" collapsed="false">
      <c r="I2221" s="41" t="str">
        <f aca="false">IF(F2221="","",IFERROR(IF(ISNUMBER(SEARCH(Assumptions!$C$5,F2221)),Assumptions!$D$5,IF(ISNUMBER(SEARCH(Assumptions!$C$6,F2221)),Assumptions!$D$6,IF(ISNUMBER(SEARCH(Assumptions!$C$7,F2221)),Assumptions!$D$7,"Other Services"))),"Other Services"))</f>
        <v/>
      </c>
    </row>
    <row r="2222" customFormat="false" ht="15" hidden="false" customHeight="false" outlineLevel="0" collapsed="false">
      <c r="I2222" s="41" t="str">
        <f aca="false">IF(F2222="","",IFERROR(IF(ISNUMBER(SEARCH(Assumptions!$C$5,F2222)),Assumptions!$D$5,IF(ISNUMBER(SEARCH(Assumptions!$C$6,F2222)),Assumptions!$D$6,IF(ISNUMBER(SEARCH(Assumptions!$C$7,F2222)),Assumptions!$D$7,"Other Services"))),"Other Services"))</f>
        <v/>
      </c>
    </row>
    <row r="2223" customFormat="false" ht="15" hidden="false" customHeight="false" outlineLevel="0" collapsed="false">
      <c r="I2223" s="41" t="str">
        <f aca="false">IF(F2223="","",IFERROR(IF(ISNUMBER(SEARCH(Assumptions!$C$5,F2223)),Assumptions!$D$5,IF(ISNUMBER(SEARCH(Assumptions!$C$6,F2223)),Assumptions!$D$6,IF(ISNUMBER(SEARCH(Assumptions!$C$7,F2223)),Assumptions!$D$7,"Other Services"))),"Other Services"))</f>
        <v/>
      </c>
    </row>
    <row r="2224" customFormat="false" ht="15" hidden="false" customHeight="false" outlineLevel="0" collapsed="false">
      <c r="I2224" s="41" t="str">
        <f aca="false">IF(F2224="","",IFERROR(IF(ISNUMBER(SEARCH(Assumptions!$C$5,F2224)),Assumptions!$D$5,IF(ISNUMBER(SEARCH(Assumptions!$C$6,F2224)),Assumptions!$D$6,IF(ISNUMBER(SEARCH(Assumptions!$C$7,F2224)),Assumptions!$D$7,"Other Services"))),"Other Services"))</f>
        <v/>
      </c>
    </row>
    <row r="2225" customFormat="false" ht="15" hidden="false" customHeight="false" outlineLevel="0" collapsed="false">
      <c r="I2225" s="41" t="str">
        <f aca="false">IF(F2225="","",IFERROR(IF(ISNUMBER(SEARCH(Assumptions!$C$5,F2225)),Assumptions!$D$5,IF(ISNUMBER(SEARCH(Assumptions!$C$6,F2225)),Assumptions!$D$6,IF(ISNUMBER(SEARCH(Assumptions!$C$7,F2225)),Assumptions!$D$7,"Other Services"))),"Other Services"))</f>
        <v/>
      </c>
    </row>
    <row r="2226" customFormat="false" ht="15" hidden="false" customHeight="false" outlineLevel="0" collapsed="false">
      <c r="I2226" s="41" t="str">
        <f aca="false">IF(F2226="","",IFERROR(IF(ISNUMBER(SEARCH(Assumptions!$C$5,F2226)),Assumptions!$D$5,IF(ISNUMBER(SEARCH(Assumptions!$C$6,F2226)),Assumptions!$D$6,IF(ISNUMBER(SEARCH(Assumptions!$C$7,F2226)),Assumptions!$D$7,"Other Services"))),"Other Services"))</f>
        <v/>
      </c>
    </row>
    <row r="2227" customFormat="false" ht="15" hidden="false" customHeight="false" outlineLevel="0" collapsed="false">
      <c r="I2227" s="41" t="str">
        <f aca="false">IF(F2227="","",IFERROR(IF(ISNUMBER(SEARCH(Assumptions!$C$5,F2227)),Assumptions!$D$5,IF(ISNUMBER(SEARCH(Assumptions!$C$6,F2227)),Assumptions!$D$6,IF(ISNUMBER(SEARCH(Assumptions!$C$7,F2227)),Assumptions!$D$7,"Other Services"))),"Other Services"))</f>
        <v/>
      </c>
    </row>
    <row r="2228" customFormat="false" ht="15" hidden="false" customHeight="false" outlineLevel="0" collapsed="false">
      <c r="I2228" s="41" t="str">
        <f aca="false">IF(F2228="","",IFERROR(IF(ISNUMBER(SEARCH(Assumptions!$C$5,F2228)),Assumptions!$D$5,IF(ISNUMBER(SEARCH(Assumptions!$C$6,F2228)),Assumptions!$D$6,IF(ISNUMBER(SEARCH(Assumptions!$C$7,F2228)),Assumptions!$D$7,"Other Services"))),"Other Services"))</f>
        <v/>
      </c>
    </row>
    <row r="2229" customFormat="false" ht="15" hidden="false" customHeight="false" outlineLevel="0" collapsed="false">
      <c r="I2229" s="41" t="str">
        <f aca="false">IF(F2229="","",IFERROR(IF(ISNUMBER(SEARCH(Assumptions!$C$5,F2229)),Assumptions!$D$5,IF(ISNUMBER(SEARCH(Assumptions!$C$6,F2229)),Assumptions!$D$6,IF(ISNUMBER(SEARCH(Assumptions!$C$7,F2229)),Assumptions!$D$7,"Other Services"))),"Other Services"))</f>
        <v/>
      </c>
    </row>
    <row r="2230" customFormat="false" ht="15" hidden="false" customHeight="false" outlineLevel="0" collapsed="false">
      <c r="I2230" s="41" t="str">
        <f aca="false">IF(F2230="","",IFERROR(IF(ISNUMBER(SEARCH(Assumptions!$C$5,F2230)),Assumptions!$D$5,IF(ISNUMBER(SEARCH(Assumptions!$C$6,F2230)),Assumptions!$D$6,IF(ISNUMBER(SEARCH(Assumptions!$C$7,F2230)),Assumptions!$D$7,"Other Services"))),"Other Services"))</f>
        <v/>
      </c>
    </row>
    <row r="2231" customFormat="false" ht="15" hidden="false" customHeight="false" outlineLevel="0" collapsed="false">
      <c r="I2231" s="41" t="str">
        <f aca="false">IF(F2231="","",IFERROR(IF(ISNUMBER(SEARCH(Assumptions!$C$5,F2231)),Assumptions!$D$5,IF(ISNUMBER(SEARCH(Assumptions!$C$6,F2231)),Assumptions!$D$6,IF(ISNUMBER(SEARCH(Assumptions!$C$7,F2231)),Assumptions!$D$7,"Other Services"))),"Other Services"))</f>
        <v/>
      </c>
    </row>
    <row r="2232" customFormat="false" ht="15" hidden="false" customHeight="false" outlineLevel="0" collapsed="false">
      <c r="I2232" s="41" t="str">
        <f aca="false">IF(F2232="","",IFERROR(IF(ISNUMBER(SEARCH(Assumptions!$C$5,F2232)),Assumptions!$D$5,IF(ISNUMBER(SEARCH(Assumptions!$C$6,F2232)),Assumptions!$D$6,IF(ISNUMBER(SEARCH(Assumptions!$C$7,F2232)),Assumptions!$D$7,"Other Services"))),"Other Services"))</f>
        <v/>
      </c>
    </row>
    <row r="2233" customFormat="false" ht="15" hidden="false" customHeight="false" outlineLevel="0" collapsed="false">
      <c r="I2233" s="41" t="str">
        <f aca="false">IF(F2233="","",IFERROR(IF(ISNUMBER(SEARCH(Assumptions!$C$5,F2233)),Assumptions!$D$5,IF(ISNUMBER(SEARCH(Assumptions!$C$6,F2233)),Assumptions!$D$6,IF(ISNUMBER(SEARCH(Assumptions!$C$7,F2233)),Assumptions!$D$7,"Other Services"))),"Other Services"))</f>
        <v/>
      </c>
    </row>
    <row r="2234" customFormat="false" ht="15" hidden="false" customHeight="false" outlineLevel="0" collapsed="false">
      <c r="I2234" s="41" t="str">
        <f aca="false">IF(F2234="","",IFERROR(IF(ISNUMBER(SEARCH(Assumptions!$C$5,F2234)),Assumptions!$D$5,IF(ISNUMBER(SEARCH(Assumptions!$C$6,F2234)),Assumptions!$D$6,IF(ISNUMBER(SEARCH(Assumptions!$C$7,F2234)),Assumptions!$D$7,"Other Services"))),"Other Services"))</f>
        <v/>
      </c>
    </row>
    <row r="2235" customFormat="false" ht="15" hidden="false" customHeight="false" outlineLevel="0" collapsed="false">
      <c r="I2235" s="41" t="str">
        <f aca="false">IF(F2235="","",IFERROR(IF(ISNUMBER(SEARCH(Assumptions!$C$5,F2235)),Assumptions!$D$5,IF(ISNUMBER(SEARCH(Assumptions!$C$6,F2235)),Assumptions!$D$6,IF(ISNUMBER(SEARCH(Assumptions!$C$7,F2235)),Assumptions!$D$7,"Other Services"))),"Other Services"))</f>
        <v/>
      </c>
    </row>
    <row r="2236" customFormat="false" ht="15" hidden="false" customHeight="false" outlineLevel="0" collapsed="false">
      <c r="I2236" s="41" t="str">
        <f aca="false">IF(F2236="","",IFERROR(IF(ISNUMBER(SEARCH(Assumptions!$C$5,F2236)),Assumptions!$D$5,IF(ISNUMBER(SEARCH(Assumptions!$C$6,F2236)),Assumptions!$D$6,IF(ISNUMBER(SEARCH(Assumptions!$C$7,F2236)),Assumptions!$D$7,"Other Services"))),"Other Services"))</f>
        <v/>
      </c>
    </row>
    <row r="2237" customFormat="false" ht="15" hidden="false" customHeight="false" outlineLevel="0" collapsed="false">
      <c r="I2237" s="41" t="str">
        <f aca="false">IF(F2237="","",IFERROR(IF(ISNUMBER(SEARCH(Assumptions!$C$5,F2237)),Assumptions!$D$5,IF(ISNUMBER(SEARCH(Assumptions!$C$6,F2237)),Assumptions!$D$6,IF(ISNUMBER(SEARCH(Assumptions!$C$7,F2237)),Assumptions!$D$7,"Other Services"))),"Other Services"))</f>
        <v/>
      </c>
    </row>
    <row r="2238" customFormat="false" ht="15" hidden="false" customHeight="false" outlineLevel="0" collapsed="false">
      <c r="I2238" s="41" t="str">
        <f aca="false">IF(F2238="","",IFERROR(IF(ISNUMBER(SEARCH(Assumptions!$C$5,F2238)),Assumptions!$D$5,IF(ISNUMBER(SEARCH(Assumptions!$C$6,F2238)),Assumptions!$D$6,IF(ISNUMBER(SEARCH(Assumptions!$C$7,F2238)),Assumptions!$D$7,"Other Services"))),"Other Services"))</f>
        <v/>
      </c>
    </row>
    <row r="2239" customFormat="false" ht="15" hidden="false" customHeight="false" outlineLevel="0" collapsed="false">
      <c r="I2239" s="41" t="str">
        <f aca="false">IF(F2239="","",IFERROR(IF(ISNUMBER(SEARCH(Assumptions!$C$5,F2239)),Assumptions!$D$5,IF(ISNUMBER(SEARCH(Assumptions!$C$6,F2239)),Assumptions!$D$6,IF(ISNUMBER(SEARCH(Assumptions!$C$7,F2239)),Assumptions!$D$7,"Other Services"))),"Other Services"))</f>
        <v/>
      </c>
    </row>
    <row r="2240" customFormat="false" ht="15" hidden="false" customHeight="false" outlineLevel="0" collapsed="false">
      <c r="I2240" s="41" t="str">
        <f aca="false">IF(F2240="","",IFERROR(IF(ISNUMBER(SEARCH(Assumptions!$C$5,F2240)),Assumptions!$D$5,IF(ISNUMBER(SEARCH(Assumptions!$C$6,F2240)),Assumptions!$D$6,IF(ISNUMBER(SEARCH(Assumptions!$C$7,F2240)),Assumptions!$D$7,"Other Services"))),"Other Services"))</f>
        <v/>
      </c>
    </row>
    <row r="2241" customFormat="false" ht="15" hidden="false" customHeight="false" outlineLevel="0" collapsed="false">
      <c r="I2241" s="41" t="str">
        <f aca="false">IF(F2241="","",IFERROR(IF(ISNUMBER(SEARCH(Assumptions!$C$5,F2241)),Assumptions!$D$5,IF(ISNUMBER(SEARCH(Assumptions!$C$6,F2241)),Assumptions!$D$6,IF(ISNUMBER(SEARCH(Assumptions!$C$7,F2241)),Assumptions!$D$7,"Other Services"))),"Other Services"))</f>
        <v/>
      </c>
    </row>
    <row r="2242" customFormat="false" ht="15" hidden="false" customHeight="false" outlineLevel="0" collapsed="false">
      <c r="I2242" s="41" t="str">
        <f aca="false">IF(F2242="","",IFERROR(IF(ISNUMBER(SEARCH(Assumptions!$C$5,F2242)),Assumptions!$D$5,IF(ISNUMBER(SEARCH(Assumptions!$C$6,F2242)),Assumptions!$D$6,IF(ISNUMBER(SEARCH(Assumptions!$C$7,F2242)),Assumptions!$D$7,"Other Services"))),"Other Services"))</f>
        <v/>
      </c>
    </row>
    <row r="2243" customFormat="false" ht="15" hidden="false" customHeight="false" outlineLevel="0" collapsed="false">
      <c r="I2243" s="41" t="str">
        <f aca="false">IF(F2243="","",IFERROR(IF(ISNUMBER(SEARCH(Assumptions!$C$5,F2243)),Assumptions!$D$5,IF(ISNUMBER(SEARCH(Assumptions!$C$6,F2243)),Assumptions!$D$6,IF(ISNUMBER(SEARCH(Assumptions!$C$7,F2243)),Assumptions!$D$7,"Other Services"))),"Other Services"))</f>
        <v/>
      </c>
    </row>
    <row r="2244" customFormat="false" ht="15" hidden="false" customHeight="false" outlineLevel="0" collapsed="false">
      <c r="I2244" s="41" t="str">
        <f aca="false">IF(F2244="","",IFERROR(IF(ISNUMBER(SEARCH(Assumptions!$C$5,F2244)),Assumptions!$D$5,IF(ISNUMBER(SEARCH(Assumptions!$C$6,F2244)),Assumptions!$D$6,IF(ISNUMBER(SEARCH(Assumptions!$C$7,F2244)),Assumptions!$D$7,"Other Services"))),"Other Services"))</f>
        <v/>
      </c>
    </row>
    <row r="2245" customFormat="false" ht="15" hidden="false" customHeight="false" outlineLevel="0" collapsed="false">
      <c r="I2245" s="41" t="str">
        <f aca="false">IF(F2245="","",IFERROR(IF(ISNUMBER(SEARCH(Assumptions!$C$5,F2245)),Assumptions!$D$5,IF(ISNUMBER(SEARCH(Assumptions!$C$6,F2245)),Assumptions!$D$6,IF(ISNUMBER(SEARCH(Assumptions!$C$7,F2245)),Assumptions!$D$7,"Other Services"))),"Other Services"))</f>
        <v/>
      </c>
    </row>
    <row r="2246" customFormat="false" ht="15" hidden="false" customHeight="false" outlineLevel="0" collapsed="false">
      <c r="I2246" s="41" t="str">
        <f aca="false">IF(F2246="","",IFERROR(IF(ISNUMBER(SEARCH(Assumptions!$C$5,F2246)),Assumptions!$D$5,IF(ISNUMBER(SEARCH(Assumptions!$C$6,F2246)),Assumptions!$D$6,IF(ISNUMBER(SEARCH(Assumptions!$C$7,F2246)),Assumptions!$D$7,"Other Services"))),"Other Services"))</f>
        <v/>
      </c>
    </row>
    <row r="2247" customFormat="false" ht="15" hidden="false" customHeight="false" outlineLevel="0" collapsed="false">
      <c r="I2247" s="41" t="str">
        <f aca="false">IF(F2247="","",IFERROR(IF(ISNUMBER(SEARCH(Assumptions!$C$5,F2247)),Assumptions!$D$5,IF(ISNUMBER(SEARCH(Assumptions!$C$6,F2247)),Assumptions!$D$6,IF(ISNUMBER(SEARCH(Assumptions!$C$7,F2247)),Assumptions!$D$7,"Other Services"))),"Other Services"))</f>
        <v/>
      </c>
    </row>
    <row r="2248" customFormat="false" ht="15" hidden="false" customHeight="false" outlineLevel="0" collapsed="false">
      <c r="I2248" s="41" t="str">
        <f aca="false">IF(F2248="","",IFERROR(IF(ISNUMBER(SEARCH(Assumptions!$C$5,F2248)),Assumptions!$D$5,IF(ISNUMBER(SEARCH(Assumptions!$C$6,F2248)),Assumptions!$D$6,IF(ISNUMBER(SEARCH(Assumptions!$C$7,F2248)),Assumptions!$D$7,"Other Services"))),"Other Services"))</f>
        <v/>
      </c>
    </row>
    <row r="2249" customFormat="false" ht="15" hidden="false" customHeight="false" outlineLevel="0" collapsed="false">
      <c r="I2249" s="41" t="str">
        <f aca="false">IF(F2249="","",IFERROR(IF(ISNUMBER(SEARCH(Assumptions!$C$5,F2249)),Assumptions!$D$5,IF(ISNUMBER(SEARCH(Assumptions!$C$6,F2249)),Assumptions!$D$6,IF(ISNUMBER(SEARCH(Assumptions!$C$7,F2249)),Assumptions!$D$7,"Other Services"))),"Other Services"))</f>
        <v/>
      </c>
    </row>
    <row r="2250" customFormat="false" ht="15" hidden="false" customHeight="false" outlineLevel="0" collapsed="false">
      <c r="I2250" s="41" t="str">
        <f aca="false">IF(F2250="","",IFERROR(IF(ISNUMBER(SEARCH(Assumptions!$C$5,F2250)),Assumptions!$D$5,IF(ISNUMBER(SEARCH(Assumptions!$C$6,F2250)),Assumptions!$D$6,IF(ISNUMBER(SEARCH(Assumptions!$C$7,F2250)),Assumptions!$D$7,"Other Services"))),"Other Services"))</f>
        <v/>
      </c>
    </row>
    <row r="2251" customFormat="false" ht="15" hidden="false" customHeight="false" outlineLevel="0" collapsed="false">
      <c r="I2251" s="41" t="str">
        <f aca="false">IF(F2251="","",IFERROR(IF(ISNUMBER(SEARCH(Assumptions!$C$5,F2251)),Assumptions!$D$5,IF(ISNUMBER(SEARCH(Assumptions!$C$6,F2251)),Assumptions!$D$6,IF(ISNUMBER(SEARCH(Assumptions!$C$7,F2251)),Assumptions!$D$7,"Other Services"))),"Other Services"))</f>
        <v/>
      </c>
    </row>
    <row r="2252" customFormat="false" ht="15" hidden="false" customHeight="false" outlineLevel="0" collapsed="false">
      <c r="I2252" s="41" t="str">
        <f aca="false">IF(F2252="","",IFERROR(IF(ISNUMBER(SEARCH(Assumptions!$C$5,F2252)),Assumptions!$D$5,IF(ISNUMBER(SEARCH(Assumptions!$C$6,F2252)),Assumptions!$D$6,IF(ISNUMBER(SEARCH(Assumptions!$C$7,F2252)),Assumptions!$D$7,"Other Services"))),"Other Services"))</f>
        <v/>
      </c>
    </row>
    <row r="2253" customFormat="false" ht="15" hidden="false" customHeight="false" outlineLevel="0" collapsed="false">
      <c r="I2253" s="41" t="str">
        <f aca="false">IF(F2253="","",IFERROR(IF(ISNUMBER(SEARCH(Assumptions!$C$5,F2253)),Assumptions!$D$5,IF(ISNUMBER(SEARCH(Assumptions!$C$6,F2253)),Assumptions!$D$6,IF(ISNUMBER(SEARCH(Assumptions!$C$7,F2253)),Assumptions!$D$7,"Other Services"))),"Other Services"))</f>
        <v/>
      </c>
    </row>
    <row r="2254" customFormat="false" ht="15" hidden="false" customHeight="false" outlineLevel="0" collapsed="false">
      <c r="I2254" s="41" t="str">
        <f aca="false">IF(F2254="","",IFERROR(IF(ISNUMBER(SEARCH(Assumptions!$C$5,F2254)),Assumptions!$D$5,IF(ISNUMBER(SEARCH(Assumptions!$C$6,F2254)),Assumptions!$D$6,IF(ISNUMBER(SEARCH(Assumptions!$C$7,F2254)),Assumptions!$D$7,"Other Services"))),"Other Services"))</f>
        <v/>
      </c>
    </row>
    <row r="2255" customFormat="false" ht="15" hidden="false" customHeight="false" outlineLevel="0" collapsed="false">
      <c r="I2255" s="41" t="str">
        <f aca="false">IF(F2255="","",IFERROR(IF(ISNUMBER(SEARCH(Assumptions!$C$5,F2255)),Assumptions!$D$5,IF(ISNUMBER(SEARCH(Assumptions!$C$6,F2255)),Assumptions!$D$6,IF(ISNUMBER(SEARCH(Assumptions!$C$7,F2255)),Assumptions!$D$7,"Other Services"))),"Other Services"))</f>
        <v/>
      </c>
    </row>
    <row r="2256" customFormat="false" ht="15" hidden="false" customHeight="false" outlineLevel="0" collapsed="false">
      <c r="I2256" s="41" t="str">
        <f aca="false">IF(F2256="","",IFERROR(IF(ISNUMBER(SEARCH(Assumptions!$C$5,F2256)),Assumptions!$D$5,IF(ISNUMBER(SEARCH(Assumptions!$C$6,F2256)),Assumptions!$D$6,IF(ISNUMBER(SEARCH(Assumptions!$C$7,F2256)),Assumptions!$D$7,"Other Services"))),"Other Services"))</f>
        <v/>
      </c>
    </row>
    <row r="2257" customFormat="false" ht="15" hidden="false" customHeight="false" outlineLevel="0" collapsed="false">
      <c r="I2257" s="41" t="str">
        <f aca="false">IF(F2257="","",IFERROR(IF(ISNUMBER(SEARCH(Assumptions!$C$5,F2257)),Assumptions!$D$5,IF(ISNUMBER(SEARCH(Assumptions!$C$6,F2257)),Assumptions!$D$6,IF(ISNUMBER(SEARCH(Assumptions!$C$7,F2257)),Assumptions!$D$7,"Other Services"))),"Other Services"))</f>
        <v/>
      </c>
    </row>
    <row r="2258" customFormat="false" ht="15" hidden="false" customHeight="false" outlineLevel="0" collapsed="false">
      <c r="I2258" s="41" t="str">
        <f aca="false">IF(F2258="","",IFERROR(IF(ISNUMBER(SEARCH(Assumptions!$C$5,F2258)),Assumptions!$D$5,IF(ISNUMBER(SEARCH(Assumptions!$C$6,F2258)),Assumptions!$D$6,IF(ISNUMBER(SEARCH(Assumptions!$C$7,F2258)),Assumptions!$D$7,"Other Services"))),"Other Services"))</f>
        <v/>
      </c>
    </row>
    <row r="2259" customFormat="false" ht="15" hidden="false" customHeight="false" outlineLevel="0" collapsed="false">
      <c r="I2259" s="41" t="str">
        <f aca="false">IF(F2259="","",IFERROR(IF(ISNUMBER(SEARCH(Assumptions!$C$5,F2259)),Assumptions!$D$5,IF(ISNUMBER(SEARCH(Assumptions!$C$6,F2259)),Assumptions!$D$6,IF(ISNUMBER(SEARCH(Assumptions!$C$7,F2259)),Assumptions!$D$7,"Other Services"))),"Other Services"))</f>
        <v/>
      </c>
    </row>
    <row r="2260" customFormat="false" ht="15" hidden="false" customHeight="false" outlineLevel="0" collapsed="false">
      <c r="I2260" s="41" t="str">
        <f aca="false">IF(F2260="","",IFERROR(IF(ISNUMBER(SEARCH(Assumptions!$C$5,F2260)),Assumptions!$D$5,IF(ISNUMBER(SEARCH(Assumptions!$C$6,F2260)),Assumptions!$D$6,IF(ISNUMBER(SEARCH(Assumptions!$C$7,F2260)),Assumptions!$D$7,"Other Services"))),"Other Services"))</f>
        <v/>
      </c>
    </row>
    <row r="2261" customFormat="false" ht="15" hidden="false" customHeight="false" outlineLevel="0" collapsed="false">
      <c r="I2261" s="41" t="str">
        <f aca="false">IF(F2261="","",IFERROR(IF(ISNUMBER(SEARCH(Assumptions!$C$5,F2261)),Assumptions!$D$5,IF(ISNUMBER(SEARCH(Assumptions!$C$6,F2261)),Assumptions!$D$6,IF(ISNUMBER(SEARCH(Assumptions!$C$7,F2261)),Assumptions!$D$7,"Other Services"))),"Other Services"))</f>
        <v/>
      </c>
    </row>
    <row r="2262" customFormat="false" ht="15" hidden="false" customHeight="false" outlineLevel="0" collapsed="false">
      <c r="I2262" s="41" t="str">
        <f aca="false">IF(F2262="","",IFERROR(IF(ISNUMBER(SEARCH(Assumptions!$C$5,F2262)),Assumptions!$D$5,IF(ISNUMBER(SEARCH(Assumptions!$C$6,F2262)),Assumptions!$D$6,IF(ISNUMBER(SEARCH(Assumptions!$C$7,F2262)),Assumptions!$D$7,"Other Services"))),"Other Services"))</f>
        <v/>
      </c>
    </row>
    <row r="2263" customFormat="false" ht="15" hidden="false" customHeight="false" outlineLevel="0" collapsed="false">
      <c r="I2263" s="41" t="str">
        <f aca="false">IF(F2263="","",IFERROR(IF(ISNUMBER(SEARCH(Assumptions!$C$5,F2263)),Assumptions!$D$5,IF(ISNUMBER(SEARCH(Assumptions!$C$6,F2263)),Assumptions!$D$6,IF(ISNUMBER(SEARCH(Assumptions!$C$7,F2263)),Assumptions!$D$7,"Other Services"))),"Other Services"))</f>
        <v/>
      </c>
    </row>
    <row r="2264" customFormat="false" ht="15" hidden="false" customHeight="false" outlineLevel="0" collapsed="false">
      <c r="I2264" s="41" t="str">
        <f aca="false">IF(F2264="","",IFERROR(IF(ISNUMBER(SEARCH(Assumptions!$C$5,F2264)),Assumptions!$D$5,IF(ISNUMBER(SEARCH(Assumptions!$C$6,F2264)),Assumptions!$D$6,IF(ISNUMBER(SEARCH(Assumptions!$C$7,F2264)),Assumptions!$D$7,"Other Services"))),"Other Services"))</f>
        <v/>
      </c>
    </row>
    <row r="2265" customFormat="false" ht="15" hidden="false" customHeight="false" outlineLevel="0" collapsed="false">
      <c r="I2265" s="41" t="str">
        <f aca="false">IF(F2265="","",IFERROR(IF(ISNUMBER(SEARCH(Assumptions!$C$5,F2265)),Assumptions!$D$5,IF(ISNUMBER(SEARCH(Assumptions!$C$6,F2265)),Assumptions!$D$6,IF(ISNUMBER(SEARCH(Assumptions!$C$7,F2265)),Assumptions!$D$7,"Other Services"))),"Other Services"))</f>
        <v/>
      </c>
    </row>
    <row r="2266" customFormat="false" ht="15" hidden="false" customHeight="false" outlineLevel="0" collapsed="false">
      <c r="I2266" s="41" t="str">
        <f aca="false">IF(F2266="","",IFERROR(IF(ISNUMBER(SEARCH(Assumptions!$C$5,F2266)),Assumptions!$D$5,IF(ISNUMBER(SEARCH(Assumptions!$C$6,F2266)),Assumptions!$D$6,IF(ISNUMBER(SEARCH(Assumptions!$C$7,F2266)),Assumptions!$D$7,"Other Services"))),"Other Services"))</f>
        <v/>
      </c>
    </row>
    <row r="2267" customFormat="false" ht="15" hidden="false" customHeight="false" outlineLevel="0" collapsed="false">
      <c r="I2267" s="41" t="str">
        <f aca="false">IF(F2267="","",IFERROR(IF(ISNUMBER(SEARCH(Assumptions!$C$5,F2267)),Assumptions!$D$5,IF(ISNUMBER(SEARCH(Assumptions!$C$6,F2267)),Assumptions!$D$6,IF(ISNUMBER(SEARCH(Assumptions!$C$7,F2267)),Assumptions!$D$7,"Other Services"))),"Other Services"))</f>
        <v/>
      </c>
    </row>
    <row r="2268" customFormat="false" ht="15" hidden="false" customHeight="false" outlineLevel="0" collapsed="false">
      <c r="I2268" s="41" t="str">
        <f aca="false">IF(F2268="","",IFERROR(IF(ISNUMBER(SEARCH(Assumptions!$C$5,F2268)),Assumptions!$D$5,IF(ISNUMBER(SEARCH(Assumptions!$C$6,F2268)),Assumptions!$D$6,IF(ISNUMBER(SEARCH(Assumptions!$C$7,F2268)),Assumptions!$D$7,"Other Services"))),"Other Services"))</f>
        <v/>
      </c>
    </row>
    <row r="2269" customFormat="false" ht="15" hidden="false" customHeight="false" outlineLevel="0" collapsed="false">
      <c r="I2269" s="41" t="str">
        <f aca="false">IF(F2269="","",IFERROR(IF(ISNUMBER(SEARCH(Assumptions!$C$5,F2269)),Assumptions!$D$5,IF(ISNUMBER(SEARCH(Assumptions!$C$6,F2269)),Assumptions!$D$6,IF(ISNUMBER(SEARCH(Assumptions!$C$7,F2269)),Assumptions!$D$7,"Other Services"))),"Other Services"))</f>
        <v/>
      </c>
    </row>
    <row r="2270" customFormat="false" ht="15" hidden="false" customHeight="false" outlineLevel="0" collapsed="false">
      <c r="I2270" s="41" t="str">
        <f aca="false">IF(F2270="","",IFERROR(IF(ISNUMBER(SEARCH(Assumptions!$C$5,F2270)),Assumptions!$D$5,IF(ISNUMBER(SEARCH(Assumptions!$C$6,F2270)),Assumptions!$D$6,IF(ISNUMBER(SEARCH(Assumptions!$C$7,F2270)),Assumptions!$D$7,"Other Services"))),"Other Services"))</f>
        <v/>
      </c>
    </row>
    <row r="2271" customFormat="false" ht="15" hidden="false" customHeight="false" outlineLevel="0" collapsed="false">
      <c r="I2271" s="41" t="str">
        <f aca="false">IF(F2271="","",IFERROR(IF(ISNUMBER(SEARCH(Assumptions!$C$5,F2271)),Assumptions!$D$5,IF(ISNUMBER(SEARCH(Assumptions!$C$6,F2271)),Assumptions!$D$6,IF(ISNUMBER(SEARCH(Assumptions!$C$7,F2271)),Assumptions!$D$7,"Other Services"))),"Other Services"))</f>
        <v/>
      </c>
    </row>
    <row r="2272" customFormat="false" ht="15" hidden="false" customHeight="false" outlineLevel="0" collapsed="false">
      <c r="I2272" s="41" t="str">
        <f aca="false">IF(F2272="","",IFERROR(IF(ISNUMBER(SEARCH(Assumptions!$C$5,F2272)),Assumptions!$D$5,IF(ISNUMBER(SEARCH(Assumptions!$C$6,F2272)),Assumptions!$D$6,IF(ISNUMBER(SEARCH(Assumptions!$C$7,F2272)),Assumptions!$D$7,"Other Services"))),"Other Services"))</f>
        <v/>
      </c>
    </row>
    <row r="2273" customFormat="false" ht="15" hidden="false" customHeight="false" outlineLevel="0" collapsed="false">
      <c r="I2273" s="41" t="str">
        <f aca="false">IF(F2273="","",IFERROR(IF(ISNUMBER(SEARCH(Assumptions!$C$5,F2273)),Assumptions!$D$5,IF(ISNUMBER(SEARCH(Assumptions!$C$6,F2273)),Assumptions!$D$6,IF(ISNUMBER(SEARCH(Assumptions!$C$7,F2273)),Assumptions!$D$7,"Other Services"))),"Other Services"))</f>
        <v/>
      </c>
    </row>
    <row r="2274" customFormat="false" ht="15" hidden="false" customHeight="false" outlineLevel="0" collapsed="false">
      <c r="I2274" s="41" t="str">
        <f aca="false">IF(F2274="","",IFERROR(IF(ISNUMBER(SEARCH(Assumptions!$C$5,F2274)),Assumptions!$D$5,IF(ISNUMBER(SEARCH(Assumptions!$C$6,F2274)),Assumptions!$D$6,IF(ISNUMBER(SEARCH(Assumptions!$C$7,F2274)),Assumptions!$D$7,"Other Services"))),"Other Services"))</f>
        <v/>
      </c>
    </row>
    <row r="2275" customFormat="false" ht="15" hidden="false" customHeight="false" outlineLevel="0" collapsed="false">
      <c r="I2275" s="41" t="str">
        <f aca="false">IF(F2275="","",IFERROR(IF(ISNUMBER(SEARCH(Assumptions!$C$5,F2275)),Assumptions!$D$5,IF(ISNUMBER(SEARCH(Assumptions!$C$6,F2275)),Assumptions!$D$6,IF(ISNUMBER(SEARCH(Assumptions!$C$7,F2275)),Assumptions!$D$7,"Other Services"))),"Other Services"))</f>
        <v/>
      </c>
    </row>
    <row r="2276" customFormat="false" ht="15" hidden="false" customHeight="false" outlineLevel="0" collapsed="false">
      <c r="I2276" s="41" t="str">
        <f aca="false">IF(F2276="","",IFERROR(IF(ISNUMBER(SEARCH(Assumptions!$C$5,F2276)),Assumptions!$D$5,IF(ISNUMBER(SEARCH(Assumptions!$C$6,F2276)),Assumptions!$D$6,IF(ISNUMBER(SEARCH(Assumptions!$C$7,F2276)),Assumptions!$D$7,"Other Services"))),"Other Services"))</f>
        <v/>
      </c>
    </row>
    <row r="2277" customFormat="false" ht="15" hidden="false" customHeight="false" outlineLevel="0" collapsed="false">
      <c r="I2277" s="41" t="str">
        <f aca="false">IF(F2277="","",IFERROR(IF(ISNUMBER(SEARCH(Assumptions!$C$5,F2277)),Assumptions!$D$5,IF(ISNUMBER(SEARCH(Assumptions!$C$6,F2277)),Assumptions!$D$6,IF(ISNUMBER(SEARCH(Assumptions!$C$7,F2277)),Assumptions!$D$7,"Other Services"))),"Other Services"))</f>
        <v/>
      </c>
    </row>
    <row r="2278" customFormat="false" ht="15" hidden="false" customHeight="false" outlineLevel="0" collapsed="false">
      <c r="I2278" s="41" t="str">
        <f aca="false">IF(F2278="","",IFERROR(IF(ISNUMBER(SEARCH(Assumptions!$C$5,F2278)),Assumptions!$D$5,IF(ISNUMBER(SEARCH(Assumptions!$C$6,F2278)),Assumptions!$D$6,IF(ISNUMBER(SEARCH(Assumptions!$C$7,F2278)),Assumptions!$D$7,"Other Services"))),"Other Services"))</f>
        <v/>
      </c>
    </row>
    <row r="2279" customFormat="false" ht="15" hidden="false" customHeight="false" outlineLevel="0" collapsed="false">
      <c r="I2279" s="41" t="str">
        <f aca="false">IF(F2279="","",IFERROR(IF(ISNUMBER(SEARCH(Assumptions!$C$5,F2279)),Assumptions!$D$5,IF(ISNUMBER(SEARCH(Assumptions!$C$6,F2279)),Assumptions!$D$6,IF(ISNUMBER(SEARCH(Assumptions!$C$7,F2279)),Assumptions!$D$7,"Other Services"))),"Other Services"))</f>
        <v/>
      </c>
    </row>
    <row r="2280" customFormat="false" ht="15" hidden="false" customHeight="false" outlineLevel="0" collapsed="false">
      <c r="I2280" s="41" t="str">
        <f aca="false">IF(F2280="","",IFERROR(IF(ISNUMBER(SEARCH(Assumptions!$C$5,F2280)),Assumptions!$D$5,IF(ISNUMBER(SEARCH(Assumptions!$C$6,F2280)),Assumptions!$D$6,IF(ISNUMBER(SEARCH(Assumptions!$C$7,F2280)),Assumptions!$D$7,"Other Services"))),"Other Services"))</f>
        <v/>
      </c>
    </row>
    <row r="2281" customFormat="false" ht="15" hidden="false" customHeight="false" outlineLevel="0" collapsed="false">
      <c r="I2281" s="41" t="str">
        <f aca="false">IF(F2281="","",IFERROR(IF(ISNUMBER(SEARCH(Assumptions!$C$5,F2281)),Assumptions!$D$5,IF(ISNUMBER(SEARCH(Assumptions!$C$6,F2281)),Assumptions!$D$6,IF(ISNUMBER(SEARCH(Assumptions!$C$7,F2281)),Assumptions!$D$7,"Other Services"))),"Other Services"))</f>
        <v/>
      </c>
    </row>
    <row r="2282" customFormat="false" ht="15" hidden="false" customHeight="false" outlineLevel="0" collapsed="false">
      <c r="I2282" s="41" t="str">
        <f aca="false">IF(F2282="","",IFERROR(IF(ISNUMBER(SEARCH(Assumptions!$C$5,F2282)),Assumptions!$D$5,IF(ISNUMBER(SEARCH(Assumptions!$C$6,F2282)),Assumptions!$D$6,IF(ISNUMBER(SEARCH(Assumptions!$C$7,F2282)),Assumptions!$D$7,"Other Services"))),"Other Services"))</f>
        <v/>
      </c>
    </row>
    <row r="2283" customFormat="false" ht="15" hidden="false" customHeight="false" outlineLevel="0" collapsed="false">
      <c r="I2283" s="41" t="str">
        <f aca="false">IF(F2283="","",IFERROR(IF(ISNUMBER(SEARCH(Assumptions!$C$5,F2283)),Assumptions!$D$5,IF(ISNUMBER(SEARCH(Assumptions!$C$6,F2283)),Assumptions!$D$6,IF(ISNUMBER(SEARCH(Assumptions!$C$7,F2283)),Assumptions!$D$7,"Other Services"))),"Other Services"))</f>
        <v/>
      </c>
    </row>
    <row r="2284" customFormat="false" ht="15" hidden="false" customHeight="false" outlineLevel="0" collapsed="false">
      <c r="I2284" s="41" t="str">
        <f aca="false">IF(F2284="","",IFERROR(IF(ISNUMBER(SEARCH(Assumptions!$C$5,F2284)),Assumptions!$D$5,IF(ISNUMBER(SEARCH(Assumptions!$C$6,F2284)),Assumptions!$D$6,IF(ISNUMBER(SEARCH(Assumptions!$C$7,F2284)),Assumptions!$D$7,"Other Services"))),"Other Services"))</f>
        <v/>
      </c>
    </row>
    <row r="2285" customFormat="false" ht="15" hidden="false" customHeight="false" outlineLevel="0" collapsed="false">
      <c r="I2285" s="41" t="str">
        <f aca="false">IF(F2285="","",IFERROR(IF(ISNUMBER(SEARCH(Assumptions!$C$5,F2285)),Assumptions!$D$5,IF(ISNUMBER(SEARCH(Assumptions!$C$6,F2285)),Assumptions!$D$6,IF(ISNUMBER(SEARCH(Assumptions!$C$7,F2285)),Assumptions!$D$7,"Other Services"))),"Other Services"))</f>
        <v/>
      </c>
    </row>
    <row r="2286" customFormat="false" ht="15" hidden="false" customHeight="false" outlineLevel="0" collapsed="false">
      <c r="I2286" s="41" t="str">
        <f aca="false">IF(F2286="","",IFERROR(IF(ISNUMBER(SEARCH(Assumptions!$C$5,F2286)),Assumptions!$D$5,IF(ISNUMBER(SEARCH(Assumptions!$C$6,F2286)),Assumptions!$D$6,IF(ISNUMBER(SEARCH(Assumptions!$C$7,F2286)),Assumptions!$D$7,"Other Services"))),"Other Services"))</f>
        <v/>
      </c>
    </row>
    <row r="2287" customFormat="false" ht="15" hidden="false" customHeight="false" outlineLevel="0" collapsed="false">
      <c r="I2287" s="41" t="str">
        <f aca="false">IF(F2287="","",IFERROR(IF(ISNUMBER(SEARCH(Assumptions!$C$5,F2287)),Assumptions!$D$5,IF(ISNUMBER(SEARCH(Assumptions!$C$6,F2287)),Assumptions!$D$6,IF(ISNUMBER(SEARCH(Assumptions!$C$7,F2287)),Assumptions!$D$7,"Other Services"))),"Other Services"))</f>
        <v/>
      </c>
    </row>
    <row r="2288" customFormat="false" ht="15" hidden="false" customHeight="false" outlineLevel="0" collapsed="false">
      <c r="I2288" s="41" t="str">
        <f aca="false">IF(F2288="","",IFERROR(IF(ISNUMBER(SEARCH(Assumptions!$C$5,F2288)),Assumptions!$D$5,IF(ISNUMBER(SEARCH(Assumptions!$C$6,F2288)),Assumptions!$D$6,IF(ISNUMBER(SEARCH(Assumptions!$C$7,F2288)),Assumptions!$D$7,"Other Services"))),"Other Services"))</f>
        <v/>
      </c>
    </row>
    <row r="2289" customFormat="false" ht="15" hidden="false" customHeight="false" outlineLevel="0" collapsed="false">
      <c r="I2289" s="41" t="str">
        <f aca="false">IF(F2289="","",IFERROR(IF(ISNUMBER(SEARCH(Assumptions!$C$5,F2289)),Assumptions!$D$5,IF(ISNUMBER(SEARCH(Assumptions!$C$6,F2289)),Assumptions!$D$6,IF(ISNUMBER(SEARCH(Assumptions!$C$7,F2289)),Assumptions!$D$7,"Other Services"))),"Other Services"))</f>
        <v/>
      </c>
    </row>
    <row r="2290" customFormat="false" ht="15" hidden="false" customHeight="false" outlineLevel="0" collapsed="false">
      <c r="I2290" s="41" t="str">
        <f aca="false">IF(F2290="","",IFERROR(IF(ISNUMBER(SEARCH(Assumptions!$C$5,F2290)),Assumptions!$D$5,IF(ISNUMBER(SEARCH(Assumptions!$C$6,F2290)),Assumptions!$D$6,IF(ISNUMBER(SEARCH(Assumptions!$C$7,F2290)),Assumptions!$D$7,"Other Services"))),"Other Services"))</f>
        <v/>
      </c>
    </row>
    <row r="2291" customFormat="false" ht="15" hidden="false" customHeight="false" outlineLevel="0" collapsed="false">
      <c r="I2291" s="41" t="str">
        <f aca="false">IF(F2291="","",IFERROR(IF(ISNUMBER(SEARCH(Assumptions!$C$5,F2291)),Assumptions!$D$5,IF(ISNUMBER(SEARCH(Assumptions!$C$6,F2291)),Assumptions!$D$6,IF(ISNUMBER(SEARCH(Assumptions!$C$7,F2291)),Assumptions!$D$7,"Other Services"))),"Other Services"))</f>
        <v/>
      </c>
    </row>
    <row r="2292" customFormat="false" ht="15" hidden="false" customHeight="false" outlineLevel="0" collapsed="false">
      <c r="I2292" s="41" t="str">
        <f aca="false">IF(F2292="","",IFERROR(IF(ISNUMBER(SEARCH(Assumptions!$C$5,F2292)),Assumptions!$D$5,IF(ISNUMBER(SEARCH(Assumptions!$C$6,F2292)),Assumptions!$D$6,IF(ISNUMBER(SEARCH(Assumptions!$C$7,F2292)),Assumptions!$D$7,"Other Services"))),"Other Services"))</f>
        <v/>
      </c>
    </row>
    <row r="2293" customFormat="false" ht="15" hidden="false" customHeight="false" outlineLevel="0" collapsed="false">
      <c r="I2293" s="41" t="str">
        <f aca="false">IF(F2293="","",IFERROR(IF(ISNUMBER(SEARCH(Assumptions!$C$5,F2293)),Assumptions!$D$5,IF(ISNUMBER(SEARCH(Assumptions!$C$6,F2293)),Assumptions!$D$6,IF(ISNUMBER(SEARCH(Assumptions!$C$7,F2293)),Assumptions!$D$7,"Other Services"))),"Other Services"))</f>
        <v/>
      </c>
    </row>
    <row r="2294" customFormat="false" ht="15" hidden="false" customHeight="false" outlineLevel="0" collapsed="false">
      <c r="I2294" s="41" t="str">
        <f aca="false">IF(F2294="","",IFERROR(IF(ISNUMBER(SEARCH(Assumptions!$C$5,F2294)),Assumptions!$D$5,IF(ISNUMBER(SEARCH(Assumptions!$C$6,F2294)),Assumptions!$D$6,IF(ISNUMBER(SEARCH(Assumptions!$C$7,F2294)),Assumptions!$D$7,"Other Services"))),"Other Services"))</f>
        <v/>
      </c>
    </row>
    <row r="2295" customFormat="false" ht="15" hidden="false" customHeight="false" outlineLevel="0" collapsed="false">
      <c r="I2295" s="41" t="str">
        <f aca="false">IF(F2295="","",IFERROR(IF(ISNUMBER(SEARCH(Assumptions!$C$5,F2295)),Assumptions!$D$5,IF(ISNUMBER(SEARCH(Assumptions!$C$6,F2295)),Assumptions!$D$6,IF(ISNUMBER(SEARCH(Assumptions!$C$7,F2295)),Assumptions!$D$7,"Other Services"))),"Other Services"))</f>
        <v/>
      </c>
    </row>
    <row r="2296" customFormat="false" ht="15" hidden="false" customHeight="false" outlineLevel="0" collapsed="false">
      <c r="I2296" s="41" t="str">
        <f aca="false">IF(F2296="","",IFERROR(IF(ISNUMBER(SEARCH(Assumptions!$C$5,F2296)),Assumptions!$D$5,IF(ISNUMBER(SEARCH(Assumptions!$C$6,F2296)),Assumptions!$D$6,IF(ISNUMBER(SEARCH(Assumptions!$C$7,F2296)),Assumptions!$D$7,"Other Services"))),"Other Services"))</f>
        <v/>
      </c>
    </row>
    <row r="2297" customFormat="false" ht="15" hidden="false" customHeight="false" outlineLevel="0" collapsed="false">
      <c r="I2297" s="41" t="str">
        <f aca="false">IF(F2297="","",IFERROR(IF(ISNUMBER(SEARCH(Assumptions!$C$5,F2297)),Assumptions!$D$5,IF(ISNUMBER(SEARCH(Assumptions!$C$6,F2297)),Assumptions!$D$6,IF(ISNUMBER(SEARCH(Assumptions!$C$7,F2297)),Assumptions!$D$7,"Other Services"))),"Other Services"))</f>
        <v/>
      </c>
    </row>
    <row r="2298" customFormat="false" ht="15" hidden="false" customHeight="false" outlineLevel="0" collapsed="false">
      <c r="I2298" s="41" t="str">
        <f aca="false">IF(F2298="","",IFERROR(IF(ISNUMBER(SEARCH(Assumptions!$C$5,F2298)),Assumptions!$D$5,IF(ISNUMBER(SEARCH(Assumptions!$C$6,F2298)),Assumptions!$D$6,IF(ISNUMBER(SEARCH(Assumptions!$C$7,F2298)),Assumptions!$D$7,"Other Services"))),"Other Services"))</f>
        <v/>
      </c>
    </row>
    <row r="2299" customFormat="false" ht="15" hidden="false" customHeight="false" outlineLevel="0" collapsed="false">
      <c r="I2299" s="41" t="str">
        <f aca="false">IF(F2299="","",IFERROR(IF(ISNUMBER(SEARCH(Assumptions!$C$5,F2299)),Assumptions!$D$5,IF(ISNUMBER(SEARCH(Assumptions!$C$6,F2299)),Assumptions!$D$6,IF(ISNUMBER(SEARCH(Assumptions!$C$7,F2299)),Assumptions!$D$7,"Other Services"))),"Other Services"))</f>
        <v/>
      </c>
    </row>
    <row r="2300" customFormat="false" ht="15" hidden="false" customHeight="false" outlineLevel="0" collapsed="false">
      <c r="I2300" s="41" t="str">
        <f aca="false">IF(F2300="","",IFERROR(IF(ISNUMBER(SEARCH(Assumptions!$C$5,F2300)),Assumptions!$D$5,IF(ISNUMBER(SEARCH(Assumptions!$C$6,F2300)),Assumptions!$D$6,IF(ISNUMBER(SEARCH(Assumptions!$C$7,F2300)),Assumptions!$D$7,"Other Services"))),"Other Services"))</f>
        <v/>
      </c>
    </row>
    <row r="2301" customFormat="false" ht="15" hidden="false" customHeight="false" outlineLevel="0" collapsed="false">
      <c r="I2301" s="41" t="str">
        <f aca="false">IF(F2301="","",IFERROR(IF(ISNUMBER(SEARCH(Assumptions!$C$5,F2301)),Assumptions!$D$5,IF(ISNUMBER(SEARCH(Assumptions!$C$6,F2301)),Assumptions!$D$6,IF(ISNUMBER(SEARCH(Assumptions!$C$7,F2301)),Assumptions!$D$7,"Other Services"))),"Other Services"))</f>
        <v/>
      </c>
    </row>
    <row r="2302" customFormat="false" ht="15" hidden="false" customHeight="false" outlineLevel="0" collapsed="false">
      <c r="I2302" s="41" t="str">
        <f aca="false">IF(F2302="","",IFERROR(IF(ISNUMBER(SEARCH(Assumptions!$C$5,F2302)),Assumptions!$D$5,IF(ISNUMBER(SEARCH(Assumptions!$C$6,F2302)),Assumptions!$D$6,IF(ISNUMBER(SEARCH(Assumptions!$C$7,F2302)),Assumptions!$D$7,"Other Services"))),"Other Services"))</f>
        <v/>
      </c>
    </row>
    <row r="2303" customFormat="false" ht="15" hidden="false" customHeight="false" outlineLevel="0" collapsed="false">
      <c r="I2303" s="41" t="str">
        <f aca="false">IF(F2303="","",IFERROR(IF(ISNUMBER(SEARCH(Assumptions!$C$5,F2303)),Assumptions!$D$5,IF(ISNUMBER(SEARCH(Assumptions!$C$6,F2303)),Assumptions!$D$6,IF(ISNUMBER(SEARCH(Assumptions!$C$7,F2303)),Assumptions!$D$7,"Other Services"))),"Other Services"))</f>
        <v/>
      </c>
    </row>
    <row r="2304" customFormat="false" ht="15" hidden="false" customHeight="false" outlineLevel="0" collapsed="false">
      <c r="I2304" s="41" t="str">
        <f aca="false">IF(F2304="","",IFERROR(IF(ISNUMBER(SEARCH(Assumptions!$C$5,F2304)),Assumptions!$D$5,IF(ISNUMBER(SEARCH(Assumptions!$C$6,F2304)),Assumptions!$D$6,IF(ISNUMBER(SEARCH(Assumptions!$C$7,F2304)),Assumptions!$D$7,"Other Services"))),"Other Services"))</f>
        <v/>
      </c>
    </row>
    <row r="2305" customFormat="false" ht="15" hidden="false" customHeight="false" outlineLevel="0" collapsed="false">
      <c r="I2305" s="41" t="str">
        <f aca="false">IF(F2305="","",IFERROR(IF(ISNUMBER(SEARCH(Assumptions!$C$5,F2305)),Assumptions!$D$5,IF(ISNUMBER(SEARCH(Assumptions!$C$6,F2305)),Assumptions!$D$6,IF(ISNUMBER(SEARCH(Assumptions!$C$7,F2305)),Assumptions!$D$7,"Other Services"))),"Other Services"))</f>
        <v/>
      </c>
    </row>
    <row r="2306" customFormat="false" ht="15" hidden="false" customHeight="false" outlineLevel="0" collapsed="false">
      <c r="I2306" s="41" t="str">
        <f aca="false">IF(F2306="","",IFERROR(IF(ISNUMBER(SEARCH(Assumptions!$C$5,F2306)),Assumptions!$D$5,IF(ISNUMBER(SEARCH(Assumptions!$C$6,F2306)),Assumptions!$D$6,IF(ISNUMBER(SEARCH(Assumptions!$C$7,F2306)),Assumptions!$D$7,"Other Services"))),"Other Services"))</f>
        <v/>
      </c>
    </row>
    <row r="2307" customFormat="false" ht="15" hidden="false" customHeight="false" outlineLevel="0" collapsed="false">
      <c r="I2307" s="41" t="str">
        <f aca="false">IF(F2307="","",IFERROR(IF(ISNUMBER(SEARCH(Assumptions!$C$5,F2307)),Assumptions!$D$5,IF(ISNUMBER(SEARCH(Assumptions!$C$6,F2307)),Assumptions!$D$6,IF(ISNUMBER(SEARCH(Assumptions!$C$7,F2307)),Assumptions!$D$7,"Other Services"))),"Other Services"))</f>
        <v/>
      </c>
    </row>
    <row r="2308" customFormat="false" ht="15" hidden="false" customHeight="false" outlineLevel="0" collapsed="false">
      <c r="I2308" s="41" t="str">
        <f aca="false">IF(F2308="","",IFERROR(IF(ISNUMBER(SEARCH(Assumptions!$C$5,F2308)),Assumptions!$D$5,IF(ISNUMBER(SEARCH(Assumptions!$C$6,F2308)),Assumptions!$D$6,IF(ISNUMBER(SEARCH(Assumptions!$C$7,F2308)),Assumptions!$D$7,"Other Services"))),"Other Services"))</f>
        <v/>
      </c>
    </row>
    <row r="2309" customFormat="false" ht="15" hidden="false" customHeight="false" outlineLevel="0" collapsed="false">
      <c r="I2309" s="41" t="str">
        <f aca="false">IF(F2309="","",IFERROR(IF(ISNUMBER(SEARCH(Assumptions!$C$5,F2309)),Assumptions!$D$5,IF(ISNUMBER(SEARCH(Assumptions!$C$6,F2309)),Assumptions!$D$6,IF(ISNUMBER(SEARCH(Assumptions!$C$7,F2309)),Assumptions!$D$7,"Other Services"))),"Other Services"))</f>
        <v/>
      </c>
    </row>
    <row r="2310" customFormat="false" ht="15" hidden="false" customHeight="false" outlineLevel="0" collapsed="false">
      <c r="I2310" s="41" t="str">
        <f aca="false">IF(F2310="","",IFERROR(IF(ISNUMBER(SEARCH(Assumptions!$C$5,F2310)),Assumptions!$D$5,IF(ISNUMBER(SEARCH(Assumptions!$C$6,F2310)),Assumptions!$D$6,IF(ISNUMBER(SEARCH(Assumptions!$C$7,F2310)),Assumptions!$D$7,"Other Services"))),"Other Services"))</f>
        <v/>
      </c>
    </row>
    <row r="2311" customFormat="false" ht="15" hidden="false" customHeight="false" outlineLevel="0" collapsed="false">
      <c r="I2311" s="41" t="str">
        <f aca="false">IF(F2311="","",IFERROR(IF(ISNUMBER(SEARCH(Assumptions!$C$5,F2311)),Assumptions!$D$5,IF(ISNUMBER(SEARCH(Assumptions!$C$6,F2311)),Assumptions!$D$6,IF(ISNUMBER(SEARCH(Assumptions!$C$7,F2311)),Assumptions!$D$7,"Other Services"))),"Other Services"))</f>
        <v/>
      </c>
    </row>
    <row r="2312" customFormat="false" ht="15" hidden="false" customHeight="false" outlineLevel="0" collapsed="false">
      <c r="I2312" s="41" t="str">
        <f aca="false">IF(F2312="","",IFERROR(IF(ISNUMBER(SEARCH(Assumptions!$C$5,F2312)),Assumptions!$D$5,IF(ISNUMBER(SEARCH(Assumptions!$C$6,F2312)),Assumptions!$D$6,IF(ISNUMBER(SEARCH(Assumptions!$C$7,F2312)),Assumptions!$D$7,"Other Services"))),"Other Services"))</f>
        <v/>
      </c>
    </row>
    <row r="2313" customFormat="false" ht="15" hidden="false" customHeight="false" outlineLevel="0" collapsed="false">
      <c r="I2313" s="41" t="str">
        <f aca="false">IF(F2313="","",IFERROR(IF(ISNUMBER(SEARCH(Assumptions!$C$5,F2313)),Assumptions!$D$5,IF(ISNUMBER(SEARCH(Assumptions!$C$6,F2313)),Assumptions!$D$6,IF(ISNUMBER(SEARCH(Assumptions!$C$7,F2313)),Assumptions!$D$7,"Other Services"))),"Other Services"))</f>
        <v/>
      </c>
    </row>
    <row r="2314" customFormat="false" ht="15" hidden="false" customHeight="false" outlineLevel="0" collapsed="false">
      <c r="I2314" s="41" t="str">
        <f aca="false">IF(F2314="","",IFERROR(IF(ISNUMBER(SEARCH(Assumptions!$C$5,F2314)),Assumptions!$D$5,IF(ISNUMBER(SEARCH(Assumptions!$C$6,F2314)),Assumptions!$D$6,IF(ISNUMBER(SEARCH(Assumptions!$C$7,F2314)),Assumptions!$D$7,"Other Services"))),"Other Services"))</f>
        <v/>
      </c>
    </row>
    <row r="2315" customFormat="false" ht="15" hidden="false" customHeight="false" outlineLevel="0" collapsed="false">
      <c r="I2315" s="41" t="str">
        <f aca="false">IF(F2315="","",IFERROR(IF(ISNUMBER(SEARCH(Assumptions!$C$5,F2315)),Assumptions!$D$5,IF(ISNUMBER(SEARCH(Assumptions!$C$6,F2315)),Assumptions!$D$6,IF(ISNUMBER(SEARCH(Assumptions!$C$7,F2315)),Assumptions!$D$7,"Other Services"))),"Other Services"))</f>
        <v/>
      </c>
    </row>
    <row r="2316" customFormat="false" ht="15" hidden="false" customHeight="false" outlineLevel="0" collapsed="false">
      <c r="I2316" s="41" t="str">
        <f aca="false">IF(F2316="","",IFERROR(IF(ISNUMBER(SEARCH(Assumptions!$C$5,F2316)),Assumptions!$D$5,IF(ISNUMBER(SEARCH(Assumptions!$C$6,F2316)),Assumptions!$D$6,IF(ISNUMBER(SEARCH(Assumptions!$C$7,F2316)),Assumptions!$D$7,"Other Services"))),"Other Services"))</f>
        <v/>
      </c>
    </row>
    <row r="2317" customFormat="false" ht="15" hidden="false" customHeight="false" outlineLevel="0" collapsed="false">
      <c r="I2317" s="41" t="str">
        <f aca="false">IF(F2317="","",IFERROR(IF(ISNUMBER(SEARCH(Assumptions!$C$5,F2317)),Assumptions!$D$5,IF(ISNUMBER(SEARCH(Assumptions!$C$6,F2317)),Assumptions!$D$6,IF(ISNUMBER(SEARCH(Assumptions!$C$7,F2317)),Assumptions!$D$7,"Other Services"))),"Other Services"))</f>
        <v/>
      </c>
    </row>
    <row r="2318" customFormat="false" ht="15" hidden="false" customHeight="false" outlineLevel="0" collapsed="false">
      <c r="I2318" s="41" t="str">
        <f aca="false">IF(F2318="","",IFERROR(IF(ISNUMBER(SEARCH(Assumptions!$C$5,F2318)),Assumptions!$D$5,IF(ISNUMBER(SEARCH(Assumptions!$C$6,F2318)),Assumptions!$D$6,IF(ISNUMBER(SEARCH(Assumptions!$C$7,F2318)),Assumptions!$D$7,"Other Services"))),"Other Services"))</f>
        <v/>
      </c>
    </row>
    <row r="2319" customFormat="false" ht="15" hidden="false" customHeight="false" outlineLevel="0" collapsed="false">
      <c r="I2319" s="41" t="str">
        <f aca="false">IF(F2319="","",IFERROR(IF(ISNUMBER(SEARCH(Assumptions!$C$5,F2319)),Assumptions!$D$5,IF(ISNUMBER(SEARCH(Assumptions!$C$6,F2319)),Assumptions!$D$6,IF(ISNUMBER(SEARCH(Assumptions!$C$7,F2319)),Assumptions!$D$7,"Other Services"))),"Other Services"))</f>
        <v/>
      </c>
    </row>
    <row r="2320" customFormat="false" ht="15" hidden="false" customHeight="false" outlineLevel="0" collapsed="false">
      <c r="I2320" s="41" t="str">
        <f aca="false">IF(F2320="","",IFERROR(IF(ISNUMBER(SEARCH(Assumptions!$C$5,F2320)),Assumptions!$D$5,IF(ISNUMBER(SEARCH(Assumptions!$C$6,F2320)),Assumptions!$D$6,IF(ISNUMBER(SEARCH(Assumptions!$C$7,F2320)),Assumptions!$D$7,"Other Services"))),"Other Services"))</f>
        <v/>
      </c>
    </row>
    <row r="2321" customFormat="false" ht="15" hidden="false" customHeight="false" outlineLevel="0" collapsed="false">
      <c r="I2321" s="41" t="str">
        <f aca="false">IF(F2321="","",IFERROR(IF(ISNUMBER(SEARCH(Assumptions!$C$5,F2321)),Assumptions!$D$5,IF(ISNUMBER(SEARCH(Assumptions!$C$6,F2321)),Assumptions!$D$6,IF(ISNUMBER(SEARCH(Assumptions!$C$7,F2321)),Assumptions!$D$7,"Other Services"))),"Other Services"))</f>
        <v/>
      </c>
    </row>
    <row r="2322" customFormat="false" ht="15" hidden="false" customHeight="false" outlineLevel="0" collapsed="false">
      <c r="I2322" s="41" t="str">
        <f aca="false">IF(F2322="","",IFERROR(IF(ISNUMBER(SEARCH(Assumptions!$C$5,F2322)),Assumptions!$D$5,IF(ISNUMBER(SEARCH(Assumptions!$C$6,F2322)),Assumptions!$D$6,IF(ISNUMBER(SEARCH(Assumptions!$C$7,F2322)),Assumptions!$D$7,"Other Services"))),"Other Services"))</f>
        <v/>
      </c>
    </row>
    <row r="2323" customFormat="false" ht="15" hidden="false" customHeight="false" outlineLevel="0" collapsed="false">
      <c r="I2323" s="41" t="str">
        <f aca="false">IF(F2323="","",IFERROR(IF(ISNUMBER(SEARCH(Assumptions!$C$5,F2323)),Assumptions!$D$5,IF(ISNUMBER(SEARCH(Assumptions!$C$6,F2323)),Assumptions!$D$6,IF(ISNUMBER(SEARCH(Assumptions!$C$7,F2323)),Assumptions!$D$7,"Other Services"))),"Other Services"))</f>
        <v/>
      </c>
    </row>
    <row r="2324" customFormat="false" ht="15" hidden="false" customHeight="false" outlineLevel="0" collapsed="false">
      <c r="I2324" s="41" t="str">
        <f aca="false">IF(F2324="","",IFERROR(IF(ISNUMBER(SEARCH(Assumptions!$C$5,F2324)),Assumptions!$D$5,IF(ISNUMBER(SEARCH(Assumptions!$C$6,F2324)),Assumptions!$D$6,IF(ISNUMBER(SEARCH(Assumptions!$C$7,F2324)),Assumptions!$D$7,"Other Services"))),"Other Services"))</f>
        <v/>
      </c>
    </row>
    <row r="2325" customFormat="false" ht="15" hidden="false" customHeight="false" outlineLevel="0" collapsed="false">
      <c r="I2325" s="41" t="str">
        <f aca="false">IF(F2325="","",IFERROR(IF(ISNUMBER(SEARCH(Assumptions!$C$5,F2325)),Assumptions!$D$5,IF(ISNUMBER(SEARCH(Assumptions!$C$6,F2325)),Assumptions!$D$6,IF(ISNUMBER(SEARCH(Assumptions!$C$7,F2325)),Assumptions!$D$7,"Other Services"))),"Other Services"))</f>
        <v/>
      </c>
    </row>
    <row r="2326" customFormat="false" ht="15" hidden="false" customHeight="false" outlineLevel="0" collapsed="false">
      <c r="I2326" s="41" t="str">
        <f aca="false">IF(F2326="","",IFERROR(IF(ISNUMBER(SEARCH(Assumptions!$C$5,F2326)),Assumptions!$D$5,IF(ISNUMBER(SEARCH(Assumptions!$C$6,F2326)),Assumptions!$D$6,IF(ISNUMBER(SEARCH(Assumptions!$C$7,F2326)),Assumptions!$D$7,"Other Services"))),"Other Services"))</f>
        <v/>
      </c>
    </row>
    <row r="2327" customFormat="false" ht="15" hidden="false" customHeight="false" outlineLevel="0" collapsed="false">
      <c r="I2327" s="41" t="str">
        <f aca="false">IF(F2327="","",IFERROR(IF(ISNUMBER(SEARCH(Assumptions!$C$5,F2327)),Assumptions!$D$5,IF(ISNUMBER(SEARCH(Assumptions!$C$6,F2327)),Assumptions!$D$6,IF(ISNUMBER(SEARCH(Assumptions!$C$7,F2327)),Assumptions!$D$7,"Other Services"))),"Other Services"))</f>
        <v/>
      </c>
    </row>
    <row r="2328" customFormat="false" ht="15" hidden="false" customHeight="false" outlineLevel="0" collapsed="false">
      <c r="I2328" s="41" t="str">
        <f aca="false">IF(F2328="","",IFERROR(IF(ISNUMBER(SEARCH(Assumptions!$C$5,F2328)),Assumptions!$D$5,IF(ISNUMBER(SEARCH(Assumptions!$C$6,F2328)),Assumptions!$D$6,IF(ISNUMBER(SEARCH(Assumptions!$C$7,F2328)),Assumptions!$D$7,"Other Services"))),"Other Services"))</f>
        <v/>
      </c>
    </row>
    <row r="2329" customFormat="false" ht="15" hidden="false" customHeight="false" outlineLevel="0" collapsed="false">
      <c r="I2329" s="41" t="str">
        <f aca="false">IF(F2329="","",IFERROR(IF(ISNUMBER(SEARCH(Assumptions!$C$5,F2329)),Assumptions!$D$5,IF(ISNUMBER(SEARCH(Assumptions!$C$6,F2329)),Assumptions!$D$6,IF(ISNUMBER(SEARCH(Assumptions!$C$7,F2329)),Assumptions!$D$7,"Other Services"))),"Other Services"))</f>
        <v/>
      </c>
    </row>
    <row r="2330" customFormat="false" ht="15" hidden="false" customHeight="false" outlineLevel="0" collapsed="false">
      <c r="I2330" s="41" t="str">
        <f aca="false">IF(F2330="","",IFERROR(IF(ISNUMBER(SEARCH(Assumptions!$C$5,F2330)),Assumptions!$D$5,IF(ISNUMBER(SEARCH(Assumptions!$C$6,F2330)),Assumptions!$D$6,IF(ISNUMBER(SEARCH(Assumptions!$C$7,F2330)),Assumptions!$D$7,"Other Services"))),"Other Services"))</f>
        <v/>
      </c>
    </row>
    <row r="2331" customFormat="false" ht="15" hidden="false" customHeight="false" outlineLevel="0" collapsed="false">
      <c r="I2331" s="41" t="str">
        <f aca="false">IF(F2331="","",IFERROR(IF(ISNUMBER(SEARCH(Assumptions!$C$5,F2331)),Assumptions!$D$5,IF(ISNUMBER(SEARCH(Assumptions!$C$6,F2331)),Assumptions!$D$6,IF(ISNUMBER(SEARCH(Assumptions!$C$7,F2331)),Assumptions!$D$7,"Other Services"))),"Other Services"))</f>
        <v/>
      </c>
    </row>
    <row r="2332" customFormat="false" ht="15" hidden="false" customHeight="false" outlineLevel="0" collapsed="false">
      <c r="I2332" s="41" t="str">
        <f aca="false">IF(F2332="","",IFERROR(IF(ISNUMBER(SEARCH(Assumptions!$C$5,F2332)),Assumptions!$D$5,IF(ISNUMBER(SEARCH(Assumptions!$C$6,F2332)),Assumptions!$D$6,IF(ISNUMBER(SEARCH(Assumptions!$C$7,F2332)),Assumptions!$D$7,"Other Services"))),"Other Services"))</f>
        <v/>
      </c>
    </row>
    <row r="2333" customFormat="false" ht="15" hidden="false" customHeight="false" outlineLevel="0" collapsed="false">
      <c r="I2333" s="41" t="str">
        <f aca="false">IF(F2333="","",IFERROR(IF(ISNUMBER(SEARCH(Assumptions!$C$5,F2333)),Assumptions!$D$5,IF(ISNUMBER(SEARCH(Assumptions!$C$6,F2333)),Assumptions!$D$6,IF(ISNUMBER(SEARCH(Assumptions!$C$7,F2333)),Assumptions!$D$7,"Other Services"))),"Other Services"))</f>
        <v/>
      </c>
    </row>
    <row r="2334" customFormat="false" ht="15" hidden="false" customHeight="false" outlineLevel="0" collapsed="false">
      <c r="I2334" s="41" t="str">
        <f aca="false">IF(F2334="","",IFERROR(IF(ISNUMBER(SEARCH(Assumptions!$C$5,F2334)),Assumptions!$D$5,IF(ISNUMBER(SEARCH(Assumptions!$C$6,F2334)),Assumptions!$D$6,IF(ISNUMBER(SEARCH(Assumptions!$C$7,F2334)),Assumptions!$D$7,"Other Services"))),"Other Services"))</f>
        <v/>
      </c>
    </row>
    <row r="2335" customFormat="false" ht="15" hidden="false" customHeight="false" outlineLevel="0" collapsed="false">
      <c r="I2335" s="41" t="str">
        <f aca="false">IF(F2335="","",IFERROR(IF(ISNUMBER(SEARCH(Assumptions!$C$5,F2335)),Assumptions!$D$5,IF(ISNUMBER(SEARCH(Assumptions!$C$6,F2335)),Assumptions!$D$6,IF(ISNUMBER(SEARCH(Assumptions!$C$7,F2335)),Assumptions!$D$7,"Other Services"))),"Other Services"))</f>
        <v/>
      </c>
    </row>
    <row r="2336" customFormat="false" ht="15" hidden="false" customHeight="false" outlineLevel="0" collapsed="false">
      <c r="I2336" s="41" t="str">
        <f aca="false">IF(F2336="","",IFERROR(IF(ISNUMBER(SEARCH(Assumptions!$C$5,F2336)),Assumptions!$D$5,IF(ISNUMBER(SEARCH(Assumptions!$C$6,F2336)),Assumptions!$D$6,IF(ISNUMBER(SEARCH(Assumptions!$C$7,F2336)),Assumptions!$D$7,"Other Services"))),"Other Services"))</f>
        <v/>
      </c>
    </row>
    <row r="2337" customFormat="false" ht="15" hidden="false" customHeight="false" outlineLevel="0" collapsed="false">
      <c r="I2337" s="41" t="str">
        <f aca="false">IF(F2337="","",IFERROR(IF(ISNUMBER(SEARCH(Assumptions!$C$5,F2337)),Assumptions!$D$5,IF(ISNUMBER(SEARCH(Assumptions!$C$6,F2337)),Assumptions!$D$6,IF(ISNUMBER(SEARCH(Assumptions!$C$7,F2337)),Assumptions!$D$7,"Other Services"))),"Other Services"))</f>
        <v/>
      </c>
    </row>
    <row r="2338" customFormat="false" ht="15" hidden="false" customHeight="false" outlineLevel="0" collapsed="false">
      <c r="I2338" s="41" t="str">
        <f aca="false">IF(F2338="","",IFERROR(IF(ISNUMBER(SEARCH(Assumptions!$C$5,F2338)),Assumptions!$D$5,IF(ISNUMBER(SEARCH(Assumptions!$C$6,F2338)),Assumptions!$D$6,IF(ISNUMBER(SEARCH(Assumptions!$C$7,F2338)),Assumptions!$D$7,"Other Services"))),"Other Services"))</f>
        <v/>
      </c>
    </row>
    <row r="2339" customFormat="false" ht="15" hidden="false" customHeight="false" outlineLevel="0" collapsed="false">
      <c r="I2339" s="41" t="str">
        <f aca="false">IF(F2339="","",IFERROR(IF(ISNUMBER(SEARCH(Assumptions!$C$5,F2339)),Assumptions!$D$5,IF(ISNUMBER(SEARCH(Assumptions!$C$6,F2339)),Assumptions!$D$6,IF(ISNUMBER(SEARCH(Assumptions!$C$7,F2339)),Assumptions!$D$7,"Other Services"))),"Other Services"))</f>
        <v/>
      </c>
    </row>
    <row r="2340" customFormat="false" ht="15" hidden="false" customHeight="false" outlineLevel="0" collapsed="false">
      <c r="I2340" s="41" t="str">
        <f aca="false">IF(F2340="","",IFERROR(IF(ISNUMBER(SEARCH(Assumptions!$C$5,F2340)),Assumptions!$D$5,IF(ISNUMBER(SEARCH(Assumptions!$C$6,F2340)),Assumptions!$D$6,IF(ISNUMBER(SEARCH(Assumptions!$C$7,F2340)),Assumptions!$D$7,"Other Services"))),"Other Services"))</f>
        <v/>
      </c>
    </row>
    <row r="2341" customFormat="false" ht="15" hidden="false" customHeight="false" outlineLevel="0" collapsed="false">
      <c r="I2341" s="41" t="str">
        <f aca="false">IF(F2341="","",IFERROR(IF(ISNUMBER(SEARCH(Assumptions!$C$5,F2341)),Assumptions!$D$5,IF(ISNUMBER(SEARCH(Assumptions!$C$6,F2341)),Assumptions!$D$6,IF(ISNUMBER(SEARCH(Assumptions!$C$7,F2341)),Assumptions!$D$7,"Other Services"))),"Other Services"))</f>
        <v/>
      </c>
    </row>
    <row r="2342" customFormat="false" ht="15" hidden="false" customHeight="false" outlineLevel="0" collapsed="false">
      <c r="I2342" s="41" t="str">
        <f aca="false">IF(F2342="","",IFERROR(IF(ISNUMBER(SEARCH(Assumptions!$C$5,F2342)),Assumptions!$D$5,IF(ISNUMBER(SEARCH(Assumptions!$C$6,F2342)),Assumptions!$D$6,IF(ISNUMBER(SEARCH(Assumptions!$C$7,F2342)),Assumptions!$D$7,"Other Services"))),"Other Services"))</f>
        <v/>
      </c>
    </row>
    <row r="2343" customFormat="false" ht="15" hidden="false" customHeight="false" outlineLevel="0" collapsed="false">
      <c r="I2343" s="41" t="str">
        <f aca="false">IF(F2343="","",IFERROR(IF(ISNUMBER(SEARCH(Assumptions!$C$5,F2343)),Assumptions!$D$5,IF(ISNUMBER(SEARCH(Assumptions!$C$6,F2343)),Assumptions!$D$6,IF(ISNUMBER(SEARCH(Assumptions!$C$7,F2343)),Assumptions!$D$7,"Other Services"))),"Other Services"))</f>
        <v/>
      </c>
    </row>
    <row r="2344" customFormat="false" ht="15" hidden="false" customHeight="false" outlineLevel="0" collapsed="false">
      <c r="I2344" s="41" t="str">
        <f aca="false">IF(F2344="","",IFERROR(IF(ISNUMBER(SEARCH(Assumptions!$C$5,F2344)),Assumptions!$D$5,IF(ISNUMBER(SEARCH(Assumptions!$C$6,F2344)),Assumptions!$D$6,IF(ISNUMBER(SEARCH(Assumptions!$C$7,F2344)),Assumptions!$D$7,"Other Services"))),"Other Services"))</f>
        <v/>
      </c>
    </row>
    <row r="2345" customFormat="false" ht="15" hidden="false" customHeight="false" outlineLevel="0" collapsed="false">
      <c r="I2345" s="41" t="str">
        <f aca="false">IF(F2345="","",IFERROR(IF(ISNUMBER(SEARCH(Assumptions!$C$5,F2345)),Assumptions!$D$5,IF(ISNUMBER(SEARCH(Assumptions!$C$6,F2345)),Assumptions!$D$6,IF(ISNUMBER(SEARCH(Assumptions!$C$7,F2345)),Assumptions!$D$7,"Other Services"))),"Other Services"))</f>
        <v/>
      </c>
    </row>
    <row r="2346" customFormat="false" ht="15" hidden="false" customHeight="false" outlineLevel="0" collapsed="false">
      <c r="I2346" s="41" t="str">
        <f aca="false">IF(F2346="","",IFERROR(IF(ISNUMBER(SEARCH(Assumptions!$C$5,F2346)),Assumptions!$D$5,IF(ISNUMBER(SEARCH(Assumptions!$C$6,F2346)),Assumptions!$D$6,IF(ISNUMBER(SEARCH(Assumptions!$C$7,F2346)),Assumptions!$D$7,"Other Services"))),"Other Services"))</f>
        <v/>
      </c>
    </row>
    <row r="2347" customFormat="false" ht="15" hidden="false" customHeight="false" outlineLevel="0" collapsed="false">
      <c r="I2347" s="41" t="str">
        <f aca="false">IF(F2347="","",IFERROR(IF(ISNUMBER(SEARCH(Assumptions!$C$5,F2347)),Assumptions!$D$5,IF(ISNUMBER(SEARCH(Assumptions!$C$6,F2347)),Assumptions!$D$6,IF(ISNUMBER(SEARCH(Assumptions!$C$7,F2347)),Assumptions!$D$7,"Other Services"))),"Other Services"))</f>
        <v/>
      </c>
    </row>
    <row r="2348" customFormat="false" ht="15" hidden="false" customHeight="false" outlineLevel="0" collapsed="false">
      <c r="I2348" s="41" t="str">
        <f aca="false">IF(F2348="","",IFERROR(IF(ISNUMBER(SEARCH(Assumptions!$C$5,F2348)),Assumptions!$D$5,IF(ISNUMBER(SEARCH(Assumptions!$C$6,F2348)),Assumptions!$D$6,IF(ISNUMBER(SEARCH(Assumptions!$C$7,F2348)),Assumptions!$D$7,"Other Services"))),"Other Services"))</f>
        <v/>
      </c>
    </row>
    <row r="2349" customFormat="false" ht="15" hidden="false" customHeight="false" outlineLevel="0" collapsed="false">
      <c r="I2349" s="41" t="str">
        <f aca="false">IF(F2349="","",IFERROR(IF(ISNUMBER(SEARCH(Assumptions!$C$5,F2349)),Assumptions!$D$5,IF(ISNUMBER(SEARCH(Assumptions!$C$6,F2349)),Assumptions!$D$6,IF(ISNUMBER(SEARCH(Assumptions!$C$7,F2349)),Assumptions!$D$7,"Other Services"))),"Other Services"))</f>
        <v/>
      </c>
    </row>
    <row r="2350" customFormat="false" ht="15" hidden="false" customHeight="false" outlineLevel="0" collapsed="false">
      <c r="I2350" s="41" t="str">
        <f aca="false">IF(F2350="","",IFERROR(IF(ISNUMBER(SEARCH(Assumptions!$C$5,F2350)),Assumptions!$D$5,IF(ISNUMBER(SEARCH(Assumptions!$C$6,F2350)),Assumptions!$D$6,IF(ISNUMBER(SEARCH(Assumptions!$C$7,F2350)),Assumptions!$D$7,"Other Services"))),"Other Services"))</f>
        <v/>
      </c>
    </row>
    <row r="2351" customFormat="false" ht="15" hidden="false" customHeight="false" outlineLevel="0" collapsed="false">
      <c r="I2351" s="41" t="str">
        <f aca="false">IF(F2351="","",IFERROR(IF(ISNUMBER(SEARCH(Assumptions!$C$5,F2351)),Assumptions!$D$5,IF(ISNUMBER(SEARCH(Assumptions!$C$6,F2351)),Assumptions!$D$6,IF(ISNUMBER(SEARCH(Assumptions!$C$7,F2351)),Assumptions!$D$7,"Other Services"))),"Other Services"))</f>
        <v/>
      </c>
    </row>
    <row r="2352" customFormat="false" ht="15" hidden="false" customHeight="false" outlineLevel="0" collapsed="false">
      <c r="I2352" s="41" t="str">
        <f aca="false">IF(F2352="","",IFERROR(IF(ISNUMBER(SEARCH(Assumptions!$C$5,F2352)),Assumptions!$D$5,IF(ISNUMBER(SEARCH(Assumptions!$C$6,F2352)),Assumptions!$D$6,IF(ISNUMBER(SEARCH(Assumptions!$C$7,F2352)),Assumptions!$D$7,"Other Services"))),"Other Services"))</f>
        <v/>
      </c>
    </row>
    <row r="2353" customFormat="false" ht="15" hidden="false" customHeight="false" outlineLevel="0" collapsed="false">
      <c r="I2353" s="41" t="str">
        <f aca="false">IF(F2353="","",IFERROR(IF(ISNUMBER(SEARCH(Assumptions!$C$5,F2353)),Assumptions!$D$5,IF(ISNUMBER(SEARCH(Assumptions!$C$6,F2353)),Assumptions!$D$6,IF(ISNUMBER(SEARCH(Assumptions!$C$7,F2353)),Assumptions!$D$7,"Other Services"))),"Other Services"))</f>
        <v/>
      </c>
    </row>
    <row r="2354" customFormat="false" ht="15" hidden="false" customHeight="false" outlineLevel="0" collapsed="false">
      <c r="I2354" s="41" t="str">
        <f aca="false">IF(F2354="","",IFERROR(IF(ISNUMBER(SEARCH(Assumptions!$C$5,F2354)),Assumptions!$D$5,IF(ISNUMBER(SEARCH(Assumptions!$C$6,F2354)),Assumptions!$D$6,IF(ISNUMBER(SEARCH(Assumptions!$C$7,F2354)),Assumptions!$D$7,"Other Services"))),"Other Services"))</f>
        <v/>
      </c>
    </row>
    <row r="2355" customFormat="false" ht="15" hidden="false" customHeight="false" outlineLevel="0" collapsed="false">
      <c r="I2355" s="41" t="str">
        <f aca="false">IF(F2355="","",IFERROR(IF(ISNUMBER(SEARCH(Assumptions!$C$5,F2355)),Assumptions!$D$5,IF(ISNUMBER(SEARCH(Assumptions!$C$6,F2355)),Assumptions!$D$6,IF(ISNUMBER(SEARCH(Assumptions!$C$7,F2355)),Assumptions!$D$7,"Other Services"))),"Other Services"))</f>
        <v/>
      </c>
    </row>
    <row r="2356" customFormat="false" ht="15" hidden="false" customHeight="false" outlineLevel="0" collapsed="false">
      <c r="I2356" s="41" t="str">
        <f aca="false">IF(F2356="","",IFERROR(IF(ISNUMBER(SEARCH(Assumptions!$C$5,F2356)),Assumptions!$D$5,IF(ISNUMBER(SEARCH(Assumptions!$C$6,F2356)),Assumptions!$D$6,IF(ISNUMBER(SEARCH(Assumptions!$C$7,F2356)),Assumptions!$D$7,"Other Services"))),"Other Services"))</f>
        <v/>
      </c>
    </row>
    <row r="2357" customFormat="false" ht="15" hidden="false" customHeight="false" outlineLevel="0" collapsed="false">
      <c r="I2357" s="41" t="str">
        <f aca="false">IF(F2357="","",IFERROR(IF(ISNUMBER(SEARCH(Assumptions!$C$5,F2357)),Assumptions!$D$5,IF(ISNUMBER(SEARCH(Assumptions!$C$6,F2357)),Assumptions!$D$6,IF(ISNUMBER(SEARCH(Assumptions!$C$7,F2357)),Assumptions!$D$7,"Other Services"))),"Other Services"))</f>
        <v/>
      </c>
    </row>
    <row r="2358" customFormat="false" ht="15" hidden="false" customHeight="false" outlineLevel="0" collapsed="false">
      <c r="I2358" s="41" t="str">
        <f aca="false">IF(F2358="","",IFERROR(IF(ISNUMBER(SEARCH(Assumptions!$C$5,F2358)),Assumptions!$D$5,IF(ISNUMBER(SEARCH(Assumptions!$C$6,F2358)),Assumptions!$D$6,IF(ISNUMBER(SEARCH(Assumptions!$C$7,F2358)),Assumptions!$D$7,"Other Services"))),"Other Services"))</f>
        <v/>
      </c>
    </row>
    <row r="2359" customFormat="false" ht="15" hidden="false" customHeight="false" outlineLevel="0" collapsed="false">
      <c r="I2359" s="41" t="str">
        <f aca="false">IF(F2359="","",IFERROR(IF(ISNUMBER(SEARCH(Assumptions!$C$5,F2359)),Assumptions!$D$5,IF(ISNUMBER(SEARCH(Assumptions!$C$6,F2359)),Assumptions!$D$6,IF(ISNUMBER(SEARCH(Assumptions!$C$7,F2359)),Assumptions!$D$7,"Other Services"))),"Other Services"))</f>
        <v/>
      </c>
    </row>
    <row r="2360" customFormat="false" ht="15" hidden="false" customHeight="false" outlineLevel="0" collapsed="false">
      <c r="I2360" s="41" t="str">
        <f aca="false">IF(F2360="","",IFERROR(IF(ISNUMBER(SEARCH(Assumptions!$C$5,F2360)),Assumptions!$D$5,IF(ISNUMBER(SEARCH(Assumptions!$C$6,F2360)),Assumptions!$D$6,IF(ISNUMBER(SEARCH(Assumptions!$C$7,F2360)),Assumptions!$D$7,"Other Services"))),"Other Services"))</f>
        <v/>
      </c>
    </row>
    <row r="2361" customFormat="false" ht="15" hidden="false" customHeight="false" outlineLevel="0" collapsed="false">
      <c r="I2361" s="41" t="str">
        <f aca="false">IF(F2361="","",IFERROR(IF(ISNUMBER(SEARCH(Assumptions!$C$5,F2361)),Assumptions!$D$5,IF(ISNUMBER(SEARCH(Assumptions!$C$6,F2361)),Assumptions!$D$6,IF(ISNUMBER(SEARCH(Assumptions!$C$7,F2361)),Assumptions!$D$7,"Other Services"))),"Other Services"))</f>
        <v/>
      </c>
    </row>
    <row r="2362" customFormat="false" ht="15" hidden="false" customHeight="false" outlineLevel="0" collapsed="false">
      <c r="I2362" s="41" t="str">
        <f aca="false">IF(F2362="","",IFERROR(IF(ISNUMBER(SEARCH(Assumptions!$C$5,F2362)),Assumptions!$D$5,IF(ISNUMBER(SEARCH(Assumptions!$C$6,F2362)),Assumptions!$D$6,IF(ISNUMBER(SEARCH(Assumptions!$C$7,F2362)),Assumptions!$D$7,"Other Services"))),"Other Services"))</f>
        <v/>
      </c>
    </row>
    <row r="2363" customFormat="false" ht="15" hidden="false" customHeight="false" outlineLevel="0" collapsed="false">
      <c r="I2363" s="41" t="str">
        <f aca="false">IF(F2363="","",IFERROR(IF(ISNUMBER(SEARCH(Assumptions!$C$5,F2363)),Assumptions!$D$5,IF(ISNUMBER(SEARCH(Assumptions!$C$6,F2363)),Assumptions!$D$6,IF(ISNUMBER(SEARCH(Assumptions!$C$7,F2363)),Assumptions!$D$7,"Other Services"))),"Other Services"))</f>
        <v/>
      </c>
    </row>
    <row r="2364" customFormat="false" ht="15" hidden="false" customHeight="false" outlineLevel="0" collapsed="false">
      <c r="I2364" s="41" t="str">
        <f aca="false">IF(F2364="","",IFERROR(IF(ISNUMBER(SEARCH(Assumptions!$C$5,F2364)),Assumptions!$D$5,IF(ISNUMBER(SEARCH(Assumptions!$C$6,F2364)),Assumptions!$D$6,IF(ISNUMBER(SEARCH(Assumptions!$C$7,F2364)),Assumptions!$D$7,"Other Services"))),"Other Services"))</f>
        <v/>
      </c>
    </row>
    <row r="2365" customFormat="false" ht="15" hidden="false" customHeight="false" outlineLevel="0" collapsed="false">
      <c r="I2365" s="41" t="str">
        <f aca="false">IF(F2365="","",IFERROR(IF(ISNUMBER(SEARCH(Assumptions!$C$5,F2365)),Assumptions!$D$5,IF(ISNUMBER(SEARCH(Assumptions!$C$6,F2365)),Assumptions!$D$6,IF(ISNUMBER(SEARCH(Assumptions!$C$7,F2365)),Assumptions!$D$7,"Other Services"))),"Other Services"))</f>
        <v/>
      </c>
    </row>
    <row r="2366" customFormat="false" ht="15" hidden="false" customHeight="false" outlineLevel="0" collapsed="false">
      <c r="I2366" s="41" t="str">
        <f aca="false">IF(F2366="","",IFERROR(IF(ISNUMBER(SEARCH(Assumptions!$C$5,F2366)),Assumptions!$D$5,IF(ISNUMBER(SEARCH(Assumptions!$C$6,F2366)),Assumptions!$D$6,IF(ISNUMBER(SEARCH(Assumptions!$C$7,F2366)),Assumptions!$D$7,"Other Services"))),"Other Services"))</f>
        <v/>
      </c>
    </row>
    <row r="2367" customFormat="false" ht="15" hidden="false" customHeight="false" outlineLevel="0" collapsed="false">
      <c r="I2367" s="41" t="str">
        <f aca="false">IF(F2367="","",IFERROR(IF(ISNUMBER(SEARCH(Assumptions!$C$5,F2367)),Assumptions!$D$5,IF(ISNUMBER(SEARCH(Assumptions!$C$6,F2367)),Assumptions!$D$6,IF(ISNUMBER(SEARCH(Assumptions!$C$7,F2367)),Assumptions!$D$7,"Other Services"))),"Other Services"))</f>
        <v/>
      </c>
    </row>
    <row r="2368" customFormat="false" ht="15" hidden="false" customHeight="false" outlineLevel="0" collapsed="false">
      <c r="I2368" s="41" t="str">
        <f aca="false">IF(F2368="","",IFERROR(IF(ISNUMBER(SEARCH(Assumptions!$C$5,F2368)),Assumptions!$D$5,IF(ISNUMBER(SEARCH(Assumptions!$C$6,F2368)),Assumptions!$D$6,IF(ISNUMBER(SEARCH(Assumptions!$C$7,F2368)),Assumptions!$D$7,"Other Services"))),"Other Services"))</f>
        <v/>
      </c>
    </row>
    <row r="2369" customFormat="false" ht="15" hidden="false" customHeight="false" outlineLevel="0" collapsed="false">
      <c r="I2369" s="41" t="str">
        <f aca="false">IF(F2369="","",IFERROR(IF(ISNUMBER(SEARCH(Assumptions!$C$5,F2369)),Assumptions!$D$5,IF(ISNUMBER(SEARCH(Assumptions!$C$6,F2369)),Assumptions!$D$6,IF(ISNUMBER(SEARCH(Assumptions!$C$7,F2369)),Assumptions!$D$7,"Other Services"))),"Other Services"))</f>
        <v/>
      </c>
    </row>
    <row r="2370" customFormat="false" ht="15" hidden="false" customHeight="false" outlineLevel="0" collapsed="false">
      <c r="I2370" s="41" t="str">
        <f aca="false">IF(F2370="","",IFERROR(IF(ISNUMBER(SEARCH(Assumptions!$C$5,F2370)),Assumptions!$D$5,IF(ISNUMBER(SEARCH(Assumptions!$C$6,F2370)),Assumptions!$D$6,IF(ISNUMBER(SEARCH(Assumptions!$C$7,F2370)),Assumptions!$D$7,"Other Services"))),"Other Services"))</f>
        <v/>
      </c>
    </row>
    <row r="2371" customFormat="false" ht="15" hidden="false" customHeight="false" outlineLevel="0" collapsed="false">
      <c r="I2371" s="41" t="str">
        <f aca="false">IF(F2371="","",IFERROR(IF(ISNUMBER(SEARCH(Assumptions!$C$5,F2371)),Assumptions!$D$5,IF(ISNUMBER(SEARCH(Assumptions!$C$6,F2371)),Assumptions!$D$6,IF(ISNUMBER(SEARCH(Assumptions!$C$7,F2371)),Assumptions!$D$7,"Other Services"))),"Other Services"))</f>
        <v/>
      </c>
    </row>
    <row r="2372" customFormat="false" ht="15" hidden="false" customHeight="false" outlineLevel="0" collapsed="false">
      <c r="I2372" s="41" t="str">
        <f aca="false">IF(F2372="","",IFERROR(IF(ISNUMBER(SEARCH(Assumptions!$C$5,F2372)),Assumptions!$D$5,IF(ISNUMBER(SEARCH(Assumptions!$C$6,F2372)),Assumptions!$D$6,IF(ISNUMBER(SEARCH(Assumptions!$C$7,F2372)),Assumptions!$D$7,"Other Services"))),"Other Services"))</f>
        <v/>
      </c>
    </row>
    <row r="2373" customFormat="false" ht="15" hidden="false" customHeight="false" outlineLevel="0" collapsed="false">
      <c r="I2373" s="41" t="str">
        <f aca="false">IF(F2373="","",IFERROR(IF(ISNUMBER(SEARCH(Assumptions!$C$5,F2373)),Assumptions!$D$5,IF(ISNUMBER(SEARCH(Assumptions!$C$6,F2373)),Assumptions!$D$6,IF(ISNUMBER(SEARCH(Assumptions!$C$7,F2373)),Assumptions!$D$7,"Other Services"))),"Other Services"))</f>
        <v/>
      </c>
    </row>
    <row r="2374" customFormat="false" ht="15" hidden="false" customHeight="false" outlineLevel="0" collapsed="false">
      <c r="I2374" s="41" t="str">
        <f aca="false">IF(F2374="","",IFERROR(IF(ISNUMBER(SEARCH(Assumptions!$C$5,F2374)),Assumptions!$D$5,IF(ISNUMBER(SEARCH(Assumptions!$C$6,F2374)),Assumptions!$D$6,IF(ISNUMBER(SEARCH(Assumptions!$C$7,F2374)),Assumptions!$D$7,"Other Services"))),"Other Services"))</f>
        <v/>
      </c>
    </row>
    <row r="2375" customFormat="false" ht="15" hidden="false" customHeight="false" outlineLevel="0" collapsed="false">
      <c r="I2375" s="41" t="str">
        <f aca="false">IF(F2375="","",IFERROR(IF(ISNUMBER(SEARCH(Assumptions!$C$5,F2375)),Assumptions!$D$5,IF(ISNUMBER(SEARCH(Assumptions!$C$6,F2375)),Assumptions!$D$6,IF(ISNUMBER(SEARCH(Assumptions!$C$7,F2375)),Assumptions!$D$7,"Other Services"))),"Other Services"))</f>
        <v/>
      </c>
    </row>
    <row r="2376" customFormat="false" ht="15" hidden="false" customHeight="false" outlineLevel="0" collapsed="false">
      <c r="I2376" s="41" t="str">
        <f aca="false">IF(F2376="","",IFERROR(IF(ISNUMBER(SEARCH(Assumptions!$C$5,F2376)),Assumptions!$D$5,IF(ISNUMBER(SEARCH(Assumptions!$C$6,F2376)),Assumptions!$D$6,IF(ISNUMBER(SEARCH(Assumptions!$C$7,F2376)),Assumptions!$D$7,"Other Services"))),"Other Services"))</f>
        <v/>
      </c>
    </row>
    <row r="2377" customFormat="false" ht="15" hidden="false" customHeight="false" outlineLevel="0" collapsed="false">
      <c r="I2377" s="41" t="str">
        <f aca="false">IF(F2377="","",IFERROR(IF(ISNUMBER(SEARCH(Assumptions!$C$5,F2377)),Assumptions!$D$5,IF(ISNUMBER(SEARCH(Assumptions!$C$6,F2377)),Assumptions!$D$6,IF(ISNUMBER(SEARCH(Assumptions!$C$7,F2377)),Assumptions!$D$7,"Other Services"))),"Other Services"))</f>
        <v/>
      </c>
    </row>
    <row r="2378" customFormat="false" ht="15" hidden="false" customHeight="false" outlineLevel="0" collapsed="false">
      <c r="I2378" s="41" t="str">
        <f aca="false">IF(F2378="","",IFERROR(IF(ISNUMBER(SEARCH(Assumptions!$C$5,F2378)),Assumptions!$D$5,IF(ISNUMBER(SEARCH(Assumptions!$C$6,F2378)),Assumptions!$D$6,IF(ISNUMBER(SEARCH(Assumptions!$C$7,F2378)),Assumptions!$D$7,"Other Services"))),"Other Services"))</f>
        <v/>
      </c>
    </row>
    <row r="2379" customFormat="false" ht="15" hidden="false" customHeight="false" outlineLevel="0" collapsed="false">
      <c r="I2379" s="41" t="str">
        <f aca="false">IF(F2379="","",IFERROR(IF(ISNUMBER(SEARCH(Assumptions!$C$5,F2379)),Assumptions!$D$5,IF(ISNUMBER(SEARCH(Assumptions!$C$6,F2379)),Assumptions!$D$6,IF(ISNUMBER(SEARCH(Assumptions!$C$7,F2379)),Assumptions!$D$7,"Other Services"))),"Other Services"))</f>
        <v/>
      </c>
    </row>
    <row r="2380" customFormat="false" ht="15" hidden="false" customHeight="false" outlineLevel="0" collapsed="false">
      <c r="I2380" s="41" t="str">
        <f aca="false">IF(F2380="","",IFERROR(IF(ISNUMBER(SEARCH(Assumptions!$C$5,F2380)),Assumptions!$D$5,IF(ISNUMBER(SEARCH(Assumptions!$C$6,F2380)),Assumptions!$D$6,IF(ISNUMBER(SEARCH(Assumptions!$C$7,F2380)),Assumptions!$D$7,"Other Services"))),"Other Services"))</f>
        <v/>
      </c>
    </row>
    <row r="2381" customFormat="false" ht="15" hidden="false" customHeight="false" outlineLevel="0" collapsed="false">
      <c r="I2381" s="41" t="str">
        <f aca="false">IF(F2381="","",IFERROR(IF(ISNUMBER(SEARCH(Assumptions!$C$5,F2381)),Assumptions!$D$5,IF(ISNUMBER(SEARCH(Assumptions!$C$6,F2381)),Assumptions!$D$6,IF(ISNUMBER(SEARCH(Assumptions!$C$7,F2381)),Assumptions!$D$7,"Other Services"))),"Other Services"))</f>
        <v/>
      </c>
    </row>
    <row r="2382" customFormat="false" ht="15" hidden="false" customHeight="false" outlineLevel="0" collapsed="false">
      <c r="I2382" s="41" t="str">
        <f aca="false">IF(F2382="","",IFERROR(IF(ISNUMBER(SEARCH(Assumptions!$C$5,F2382)),Assumptions!$D$5,IF(ISNUMBER(SEARCH(Assumptions!$C$6,F2382)),Assumptions!$D$6,IF(ISNUMBER(SEARCH(Assumptions!$C$7,F2382)),Assumptions!$D$7,"Other Services"))),"Other Services"))</f>
        <v/>
      </c>
    </row>
    <row r="2383" customFormat="false" ht="15" hidden="false" customHeight="false" outlineLevel="0" collapsed="false">
      <c r="I2383" s="41" t="str">
        <f aca="false">IF(F2383="","",IFERROR(IF(ISNUMBER(SEARCH(Assumptions!$C$5,F2383)),Assumptions!$D$5,IF(ISNUMBER(SEARCH(Assumptions!$C$6,F2383)),Assumptions!$D$6,IF(ISNUMBER(SEARCH(Assumptions!$C$7,F2383)),Assumptions!$D$7,"Other Services"))),"Other Services"))</f>
        <v/>
      </c>
    </row>
    <row r="2384" customFormat="false" ht="15" hidden="false" customHeight="false" outlineLevel="0" collapsed="false">
      <c r="I2384" s="41" t="str">
        <f aca="false">IF(F2384="","",IFERROR(IF(ISNUMBER(SEARCH(Assumptions!$C$5,F2384)),Assumptions!$D$5,IF(ISNUMBER(SEARCH(Assumptions!$C$6,F2384)),Assumptions!$D$6,IF(ISNUMBER(SEARCH(Assumptions!$C$7,F2384)),Assumptions!$D$7,"Other Services"))),"Other Services"))</f>
        <v/>
      </c>
    </row>
    <row r="2385" customFormat="false" ht="15" hidden="false" customHeight="false" outlineLevel="0" collapsed="false">
      <c r="I2385" s="41" t="str">
        <f aca="false">IF(F2385="","",IFERROR(IF(ISNUMBER(SEARCH(Assumptions!$C$5,F2385)),Assumptions!$D$5,IF(ISNUMBER(SEARCH(Assumptions!$C$6,F2385)),Assumptions!$D$6,IF(ISNUMBER(SEARCH(Assumptions!$C$7,F2385)),Assumptions!$D$7,"Other Services"))),"Other Services"))</f>
        <v/>
      </c>
    </row>
    <row r="2386" customFormat="false" ht="15" hidden="false" customHeight="false" outlineLevel="0" collapsed="false">
      <c r="I2386" s="41" t="str">
        <f aca="false">IF(F2386="","",IFERROR(IF(ISNUMBER(SEARCH(Assumptions!$C$5,F2386)),Assumptions!$D$5,IF(ISNUMBER(SEARCH(Assumptions!$C$6,F2386)),Assumptions!$D$6,IF(ISNUMBER(SEARCH(Assumptions!$C$7,F2386)),Assumptions!$D$7,"Other Services"))),"Other Services"))</f>
        <v/>
      </c>
    </row>
    <row r="2387" customFormat="false" ht="15" hidden="false" customHeight="false" outlineLevel="0" collapsed="false">
      <c r="I2387" s="41" t="str">
        <f aca="false">IF(F2387="","",IFERROR(IF(ISNUMBER(SEARCH(Assumptions!$C$5,F2387)),Assumptions!$D$5,IF(ISNUMBER(SEARCH(Assumptions!$C$6,F2387)),Assumptions!$D$6,IF(ISNUMBER(SEARCH(Assumptions!$C$7,F2387)),Assumptions!$D$7,"Other Services"))),"Other Services"))</f>
        <v/>
      </c>
    </row>
    <row r="2388" customFormat="false" ht="15" hidden="false" customHeight="false" outlineLevel="0" collapsed="false">
      <c r="I2388" s="41" t="str">
        <f aca="false">IF(F2388="","",IFERROR(IF(ISNUMBER(SEARCH(Assumptions!$C$5,F2388)),Assumptions!$D$5,IF(ISNUMBER(SEARCH(Assumptions!$C$6,F2388)),Assumptions!$D$6,IF(ISNUMBER(SEARCH(Assumptions!$C$7,F2388)),Assumptions!$D$7,"Other Services"))),"Other Services"))</f>
        <v/>
      </c>
    </row>
    <row r="2389" customFormat="false" ht="15" hidden="false" customHeight="false" outlineLevel="0" collapsed="false">
      <c r="I2389" s="41" t="str">
        <f aca="false">IF(F2389="","",IFERROR(IF(ISNUMBER(SEARCH(Assumptions!$C$5,F2389)),Assumptions!$D$5,IF(ISNUMBER(SEARCH(Assumptions!$C$6,F2389)),Assumptions!$D$6,IF(ISNUMBER(SEARCH(Assumptions!$C$7,F2389)),Assumptions!$D$7,"Other Services"))),"Other Services"))</f>
        <v/>
      </c>
    </row>
    <row r="2390" customFormat="false" ht="15" hidden="false" customHeight="false" outlineLevel="0" collapsed="false">
      <c r="I2390" s="41" t="str">
        <f aca="false">IF(F2390="","",IFERROR(IF(ISNUMBER(SEARCH(Assumptions!$C$5,F2390)),Assumptions!$D$5,IF(ISNUMBER(SEARCH(Assumptions!$C$6,F2390)),Assumptions!$D$6,IF(ISNUMBER(SEARCH(Assumptions!$C$7,F2390)),Assumptions!$D$7,"Other Services"))),"Other Services"))</f>
        <v/>
      </c>
    </row>
    <row r="2391" customFormat="false" ht="15" hidden="false" customHeight="false" outlineLevel="0" collapsed="false">
      <c r="I2391" s="41" t="str">
        <f aca="false">IF(F2391="","",IFERROR(IF(ISNUMBER(SEARCH(Assumptions!$C$5,F2391)),Assumptions!$D$5,IF(ISNUMBER(SEARCH(Assumptions!$C$6,F2391)),Assumptions!$D$6,IF(ISNUMBER(SEARCH(Assumptions!$C$7,F2391)),Assumptions!$D$7,"Other Services"))),"Other Services"))</f>
        <v/>
      </c>
    </row>
    <row r="2392" customFormat="false" ht="15" hidden="false" customHeight="false" outlineLevel="0" collapsed="false">
      <c r="I2392" s="41" t="str">
        <f aca="false">IF(F2392="","",IFERROR(IF(ISNUMBER(SEARCH(Assumptions!$C$5,F2392)),Assumptions!$D$5,IF(ISNUMBER(SEARCH(Assumptions!$C$6,F2392)),Assumptions!$D$6,IF(ISNUMBER(SEARCH(Assumptions!$C$7,F2392)),Assumptions!$D$7,"Other Services"))),"Other Services"))</f>
        <v/>
      </c>
    </row>
    <row r="2393" customFormat="false" ht="15" hidden="false" customHeight="false" outlineLevel="0" collapsed="false">
      <c r="I2393" s="41" t="str">
        <f aca="false">IF(F2393="","",IFERROR(IF(ISNUMBER(SEARCH(Assumptions!$C$5,F2393)),Assumptions!$D$5,IF(ISNUMBER(SEARCH(Assumptions!$C$6,F2393)),Assumptions!$D$6,IF(ISNUMBER(SEARCH(Assumptions!$C$7,F2393)),Assumptions!$D$7,"Other Services"))),"Other Services"))</f>
        <v/>
      </c>
    </row>
    <row r="2394" customFormat="false" ht="15" hidden="false" customHeight="false" outlineLevel="0" collapsed="false">
      <c r="I2394" s="41" t="str">
        <f aca="false">IF(F2394="","",IFERROR(IF(ISNUMBER(SEARCH(Assumptions!$C$5,F2394)),Assumptions!$D$5,IF(ISNUMBER(SEARCH(Assumptions!$C$6,F2394)),Assumptions!$D$6,IF(ISNUMBER(SEARCH(Assumptions!$C$7,F2394)),Assumptions!$D$7,"Other Services"))),"Other Services"))</f>
        <v/>
      </c>
    </row>
    <row r="2395" customFormat="false" ht="15" hidden="false" customHeight="false" outlineLevel="0" collapsed="false">
      <c r="I2395" s="41" t="str">
        <f aca="false">IF(F2395="","",IFERROR(IF(ISNUMBER(SEARCH(Assumptions!$C$5,F2395)),Assumptions!$D$5,IF(ISNUMBER(SEARCH(Assumptions!$C$6,F2395)),Assumptions!$D$6,IF(ISNUMBER(SEARCH(Assumptions!$C$7,F2395)),Assumptions!$D$7,"Other Services"))),"Other Services"))</f>
        <v/>
      </c>
    </row>
    <row r="2396" customFormat="false" ht="15" hidden="false" customHeight="false" outlineLevel="0" collapsed="false">
      <c r="I2396" s="41" t="str">
        <f aca="false">IF(F2396="","",IFERROR(IF(ISNUMBER(SEARCH(Assumptions!$C$5,F2396)),Assumptions!$D$5,IF(ISNUMBER(SEARCH(Assumptions!$C$6,F2396)),Assumptions!$D$6,IF(ISNUMBER(SEARCH(Assumptions!$C$7,F2396)),Assumptions!$D$7,"Other Services"))),"Other Services"))</f>
        <v/>
      </c>
    </row>
    <row r="2397" customFormat="false" ht="15" hidden="false" customHeight="false" outlineLevel="0" collapsed="false">
      <c r="I2397" s="41" t="str">
        <f aca="false">IF(F2397="","",IFERROR(IF(ISNUMBER(SEARCH(Assumptions!$C$5,F2397)),Assumptions!$D$5,IF(ISNUMBER(SEARCH(Assumptions!$C$6,F2397)),Assumptions!$D$6,IF(ISNUMBER(SEARCH(Assumptions!$C$7,F2397)),Assumptions!$D$7,"Other Services"))),"Other Services"))</f>
        <v/>
      </c>
    </row>
    <row r="2398" customFormat="false" ht="15" hidden="false" customHeight="false" outlineLevel="0" collapsed="false">
      <c r="I2398" s="41" t="str">
        <f aca="false">IF(F2398="","",IFERROR(IF(ISNUMBER(SEARCH(Assumptions!$C$5,F2398)),Assumptions!$D$5,IF(ISNUMBER(SEARCH(Assumptions!$C$6,F2398)),Assumptions!$D$6,IF(ISNUMBER(SEARCH(Assumptions!$C$7,F2398)),Assumptions!$D$7,"Other Services"))),"Other Services"))</f>
        <v/>
      </c>
    </row>
    <row r="2399" customFormat="false" ht="15" hidden="false" customHeight="false" outlineLevel="0" collapsed="false">
      <c r="I2399" s="41" t="str">
        <f aca="false">IF(F2399="","",IFERROR(IF(ISNUMBER(SEARCH(Assumptions!$C$5,F2399)),Assumptions!$D$5,IF(ISNUMBER(SEARCH(Assumptions!$C$6,F2399)),Assumptions!$D$6,IF(ISNUMBER(SEARCH(Assumptions!$C$7,F2399)),Assumptions!$D$7,"Other Services"))),"Other Services"))</f>
        <v/>
      </c>
    </row>
    <row r="2400" customFormat="false" ht="15" hidden="false" customHeight="false" outlineLevel="0" collapsed="false">
      <c r="I2400" s="41" t="str">
        <f aca="false">IF(F2400="","",IFERROR(IF(ISNUMBER(SEARCH(Assumptions!$C$5,F2400)),Assumptions!$D$5,IF(ISNUMBER(SEARCH(Assumptions!$C$6,F2400)),Assumptions!$D$6,IF(ISNUMBER(SEARCH(Assumptions!$C$7,F2400)),Assumptions!$D$7,"Other Services"))),"Other Services"))</f>
        <v/>
      </c>
    </row>
    <row r="2401" customFormat="false" ht="15" hidden="false" customHeight="false" outlineLevel="0" collapsed="false">
      <c r="I2401" s="41" t="str">
        <f aca="false">IF(F2401="","",IFERROR(IF(ISNUMBER(SEARCH(Assumptions!$C$5,F2401)),Assumptions!$D$5,IF(ISNUMBER(SEARCH(Assumptions!$C$6,F2401)),Assumptions!$D$6,IF(ISNUMBER(SEARCH(Assumptions!$C$7,F2401)),Assumptions!$D$7,"Other Services"))),"Other Services"))</f>
        <v/>
      </c>
    </row>
    <row r="2402" customFormat="false" ht="15" hidden="false" customHeight="false" outlineLevel="0" collapsed="false">
      <c r="I2402" s="41" t="str">
        <f aca="false">IF(F2402="","",IFERROR(IF(ISNUMBER(SEARCH(Assumptions!$C$5,F2402)),Assumptions!$D$5,IF(ISNUMBER(SEARCH(Assumptions!$C$6,F2402)),Assumptions!$D$6,IF(ISNUMBER(SEARCH(Assumptions!$C$7,F2402)),Assumptions!$D$7,"Other Services"))),"Other Services"))</f>
        <v/>
      </c>
    </row>
    <row r="2403" customFormat="false" ht="15" hidden="false" customHeight="false" outlineLevel="0" collapsed="false">
      <c r="I2403" s="41" t="str">
        <f aca="false">IF(F2403="","",IFERROR(IF(ISNUMBER(SEARCH(Assumptions!$C$5,F2403)),Assumptions!$D$5,IF(ISNUMBER(SEARCH(Assumptions!$C$6,F2403)),Assumptions!$D$6,IF(ISNUMBER(SEARCH(Assumptions!$C$7,F2403)),Assumptions!$D$7,"Other Services"))),"Other Services"))</f>
        <v/>
      </c>
    </row>
    <row r="2404" customFormat="false" ht="15" hidden="false" customHeight="false" outlineLevel="0" collapsed="false">
      <c r="I2404" s="41" t="str">
        <f aca="false">IF(F2404="","",IFERROR(IF(ISNUMBER(SEARCH(Assumptions!$C$5,F2404)),Assumptions!$D$5,IF(ISNUMBER(SEARCH(Assumptions!$C$6,F2404)),Assumptions!$D$6,IF(ISNUMBER(SEARCH(Assumptions!$C$7,F2404)),Assumptions!$D$7,"Other Services"))),"Other Services"))</f>
        <v/>
      </c>
    </row>
    <row r="2405" customFormat="false" ht="15" hidden="false" customHeight="false" outlineLevel="0" collapsed="false">
      <c r="I2405" s="41" t="str">
        <f aca="false">IF(F2405="","",IFERROR(IF(ISNUMBER(SEARCH(Assumptions!$C$5,F2405)),Assumptions!$D$5,IF(ISNUMBER(SEARCH(Assumptions!$C$6,F2405)),Assumptions!$D$6,IF(ISNUMBER(SEARCH(Assumptions!$C$7,F2405)),Assumptions!$D$7,"Other Services"))),"Other Services"))</f>
        <v/>
      </c>
    </row>
    <row r="2406" customFormat="false" ht="15" hidden="false" customHeight="false" outlineLevel="0" collapsed="false">
      <c r="I2406" s="41" t="str">
        <f aca="false">IF(F2406="","",IFERROR(IF(ISNUMBER(SEARCH(Assumptions!$C$5,F2406)),Assumptions!$D$5,IF(ISNUMBER(SEARCH(Assumptions!$C$6,F2406)),Assumptions!$D$6,IF(ISNUMBER(SEARCH(Assumptions!$C$7,F2406)),Assumptions!$D$7,"Other Services"))),"Other Services"))</f>
        <v/>
      </c>
    </row>
    <row r="2407" customFormat="false" ht="15" hidden="false" customHeight="false" outlineLevel="0" collapsed="false">
      <c r="I2407" s="41" t="str">
        <f aca="false">IF(F2407="","",IFERROR(IF(ISNUMBER(SEARCH(Assumptions!$C$5,F2407)),Assumptions!$D$5,IF(ISNUMBER(SEARCH(Assumptions!$C$6,F2407)),Assumptions!$D$6,IF(ISNUMBER(SEARCH(Assumptions!$C$7,F2407)),Assumptions!$D$7,"Other Services"))),"Other Services"))</f>
        <v/>
      </c>
    </row>
    <row r="2408" customFormat="false" ht="15" hidden="false" customHeight="false" outlineLevel="0" collapsed="false">
      <c r="I2408" s="41" t="str">
        <f aca="false">IF(F2408="","",IFERROR(IF(ISNUMBER(SEARCH(Assumptions!$C$5,F2408)),Assumptions!$D$5,IF(ISNUMBER(SEARCH(Assumptions!$C$6,F2408)),Assumptions!$D$6,IF(ISNUMBER(SEARCH(Assumptions!$C$7,F2408)),Assumptions!$D$7,"Other Services"))),"Other Services"))</f>
        <v/>
      </c>
    </row>
    <row r="2409" customFormat="false" ht="15" hidden="false" customHeight="false" outlineLevel="0" collapsed="false">
      <c r="I2409" s="41" t="str">
        <f aca="false">IF(F2409="","",IFERROR(IF(ISNUMBER(SEARCH(Assumptions!$C$5,F2409)),Assumptions!$D$5,IF(ISNUMBER(SEARCH(Assumptions!$C$6,F2409)),Assumptions!$D$6,IF(ISNUMBER(SEARCH(Assumptions!$C$7,F2409)),Assumptions!$D$7,"Other Services"))),"Other Services"))</f>
        <v/>
      </c>
    </row>
    <row r="2410" customFormat="false" ht="15" hidden="false" customHeight="false" outlineLevel="0" collapsed="false">
      <c r="I2410" s="41" t="str">
        <f aca="false">IF(F2410="","",IFERROR(IF(ISNUMBER(SEARCH(Assumptions!$C$5,F2410)),Assumptions!$D$5,IF(ISNUMBER(SEARCH(Assumptions!$C$6,F2410)),Assumptions!$D$6,IF(ISNUMBER(SEARCH(Assumptions!$C$7,F2410)),Assumptions!$D$7,"Other Services"))),"Other Services"))</f>
        <v/>
      </c>
    </row>
    <row r="2411" customFormat="false" ht="15" hidden="false" customHeight="false" outlineLevel="0" collapsed="false">
      <c r="I2411" s="41" t="str">
        <f aca="false">IF(F2411="","",IFERROR(IF(ISNUMBER(SEARCH(Assumptions!$C$5,F2411)),Assumptions!$D$5,IF(ISNUMBER(SEARCH(Assumptions!$C$6,F2411)),Assumptions!$D$6,IF(ISNUMBER(SEARCH(Assumptions!$C$7,F2411)),Assumptions!$D$7,"Other Services"))),"Other Services"))</f>
        <v/>
      </c>
    </row>
    <row r="2412" customFormat="false" ht="15" hidden="false" customHeight="false" outlineLevel="0" collapsed="false">
      <c r="I2412" s="41" t="str">
        <f aca="false">IF(F2412="","",IFERROR(IF(ISNUMBER(SEARCH(Assumptions!$C$5,F2412)),Assumptions!$D$5,IF(ISNUMBER(SEARCH(Assumptions!$C$6,F2412)),Assumptions!$D$6,IF(ISNUMBER(SEARCH(Assumptions!$C$7,F2412)),Assumptions!$D$7,"Other Services"))),"Other Services"))</f>
        <v/>
      </c>
    </row>
    <row r="2413" customFormat="false" ht="15" hidden="false" customHeight="false" outlineLevel="0" collapsed="false">
      <c r="I2413" s="41" t="str">
        <f aca="false">IF(F2413="","",IFERROR(IF(ISNUMBER(SEARCH(Assumptions!$C$5,F2413)),Assumptions!$D$5,IF(ISNUMBER(SEARCH(Assumptions!$C$6,F2413)),Assumptions!$D$6,IF(ISNUMBER(SEARCH(Assumptions!$C$7,F2413)),Assumptions!$D$7,"Other Services"))),"Other Services"))</f>
        <v/>
      </c>
    </row>
    <row r="2414" customFormat="false" ht="15" hidden="false" customHeight="false" outlineLevel="0" collapsed="false">
      <c r="I2414" s="41" t="str">
        <f aca="false">IF(F2414="","",IFERROR(IF(ISNUMBER(SEARCH(Assumptions!$C$5,F2414)),Assumptions!$D$5,IF(ISNUMBER(SEARCH(Assumptions!$C$6,F2414)),Assumptions!$D$6,IF(ISNUMBER(SEARCH(Assumptions!$C$7,F2414)),Assumptions!$D$7,"Other Services"))),"Other Services"))</f>
        <v/>
      </c>
    </row>
    <row r="2415" customFormat="false" ht="15" hidden="false" customHeight="false" outlineLevel="0" collapsed="false">
      <c r="I2415" s="41" t="str">
        <f aca="false">IF(F2415="","",IFERROR(IF(ISNUMBER(SEARCH(Assumptions!$C$5,F2415)),Assumptions!$D$5,IF(ISNUMBER(SEARCH(Assumptions!$C$6,F2415)),Assumptions!$D$6,IF(ISNUMBER(SEARCH(Assumptions!$C$7,F2415)),Assumptions!$D$7,"Other Services"))),"Other Services"))</f>
        <v/>
      </c>
    </row>
    <row r="2416" customFormat="false" ht="15" hidden="false" customHeight="false" outlineLevel="0" collapsed="false">
      <c r="I2416" s="41" t="str">
        <f aca="false">IF(F2416="","",IFERROR(IF(ISNUMBER(SEARCH(Assumptions!$C$5,F2416)),Assumptions!$D$5,IF(ISNUMBER(SEARCH(Assumptions!$C$6,F2416)),Assumptions!$D$6,IF(ISNUMBER(SEARCH(Assumptions!$C$7,F2416)),Assumptions!$D$7,"Other Services"))),"Other Services"))</f>
        <v/>
      </c>
    </row>
    <row r="2417" customFormat="false" ht="15" hidden="false" customHeight="false" outlineLevel="0" collapsed="false">
      <c r="I2417" s="41" t="str">
        <f aca="false">IF(F2417="","",IFERROR(IF(ISNUMBER(SEARCH(Assumptions!$C$5,F2417)),Assumptions!$D$5,IF(ISNUMBER(SEARCH(Assumptions!$C$6,F2417)),Assumptions!$D$6,IF(ISNUMBER(SEARCH(Assumptions!$C$7,F2417)),Assumptions!$D$7,"Other Services"))),"Other Services"))</f>
        <v/>
      </c>
    </row>
    <row r="2418" customFormat="false" ht="15" hidden="false" customHeight="false" outlineLevel="0" collapsed="false">
      <c r="I2418" s="41" t="str">
        <f aca="false">IF(F2418="","",IFERROR(IF(ISNUMBER(SEARCH(Assumptions!$C$5,F2418)),Assumptions!$D$5,IF(ISNUMBER(SEARCH(Assumptions!$C$6,F2418)),Assumptions!$D$6,IF(ISNUMBER(SEARCH(Assumptions!$C$7,F2418)),Assumptions!$D$7,"Other Services"))),"Other Services"))</f>
        <v/>
      </c>
    </row>
    <row r="2419" customFormat="false" ht="15" hidden="false" customHeight="false" outlineLevel="0" collapsed="false">
      <c r="I2419" s="41" t="str">
        <f aca="false">IF(F2419="","",IFERROR(IF(ISNUMBER(SEARCH(Assumptions!$C$5,F2419)),Assumptions!$D$5,IF(ISNUMBER(SEARCH(Assumptions!$C$6,F2419)),Assumptions!$D$6,IF(ISNUMBER(SEARCH(Assumptions!$C$7,F2419)),Assumptions!$D$7,"Other Services"))),"Other Services"))</f>
        <v/>
      </c>
    </row>
    <row r="2420" customFormat="false" ht="15" hidden="false" customHeight="false" outlineLevel="0" collapsed="false">
      <c r="I2420" s="41" t="str">
        <f aca="false">IF(F2420="","",IFERROR(IF(ISNUMBER(SEARCH(Assumptions!$C$5,F2420)),Assumptions!$D$5,IF(ISNUMBER(SEARCH(Assumptions!$C$6,F2420)),Assumptions!$D$6,IF(ISNUMBER(SEARCH(Assumptions!$C$7,F2420)),Assumptions!$D$7,"Other Services"))),"Other Services"))</f>
        <v/>
      </c>
    </row>
    <row r="2421" customFormat="false" ht="15" hidden="false" customHeight="false" outlineLevel="0" collapsed="false">
      <c r="I2421" s="41" t="str">
        <f aca="false">IF(F2421="","",IFERROR(IF(ISNUMBER(SEARCH(Assumptions!$C$5,F2421)),Assumptions!$D$5,IF(ISNUMBER(SEARCH(Assumptions!$C$6,F2421)),Assumptions!$D$6,IF(ISNUMBER(SEARCH(Assumptions!$C$7,F2421)),Assumptions!$D$7,"Other Services"))),"Other Services"))</f>
        <v/>
      </c>
    </row>
    <row r="2422" customFormat="false" ht="15" hidden="false" customHeight="false" outlineLevel="0" collapsed="false">
      <c r="I2422" s="41" t="str">
        <f aca="false">IF(F2422="","",IFERROR(IF(ISNUMBER(SEARCH(Assumptions!$C$5,F2422)),Assumptions!$D$5,IF(ISNUMBER(SEARCH(Assumptions!$C$6,F2422)),Assumptions!$D$6,IF(ISNUMBER(SEARCH(Assumptions!$C$7,F2422)),Assumptions!$D$7,"Other Services"))),"Other Services"))</f>
        <v/>
      </c>
    </row>
    <row r="2423" customFormat="false" ht="15" hidden="false" customHeight="false" outlineLevel="0" collapsed="false">
      <c r="I2423" s="41" t="str">
        <f aca="false">IF(F2423="","",IFERROR(IF(ISNUMBER(SEARCH(Assumptions!$C$5,F2423)),Assumptions!$D$5,IF(ISNUMBER(SEARCH(Assumptions!$C$6,F2423)),Assumptions!$D$6,IF(ISNUMBER(SEARCH(Assumptions!$C$7,F2423)),Assumptions!$D$7,"Other Services"))),"Other Services"))</f>
        <v/>
      </c>
    </row>
    <row r="2424" customFormat="false" ht="15" hidden="false" customHeight="false" outlineLevel="0" collapsed="false">
      <c r="I2424" s="41" t="str">
        <f aca="false">IF(F2424="","",IFERROR(IF(ISNUMBER(SEARCH(Assumptions!$C$5,F2424)),Assumptions!$D$5,IF(ISNUMBER(SEARCH(Assumptions!$C$6,F2424)),Assumptions!$D$6,IF(ISNUMBER(SEARCH(Assumptions!$C$7,F2424)),Assumptions!$D$7,"Other Services"))),"Other Services"))</f>
        <v/>
      </c>
    </row>
    <row r="2425" customFormat="false" ht="15" hidden="false" customHeight="false" outlineLevel="0" collapsed="false">
      <c r="I2425" s="41" t="str">
        <f aca="false">IF(F2425="","",IFERROR(IF(ISNUMBER(SEARCH(Assumptions!$C$5,F2425)),Assumptions!$D$5,IF(ISNUMBER(SEARCH(Assumptions!$C$6,F2425)),Assumptions!$D$6,IF(ISNUMBER(SEARCH(Assumptions!$C$7,F2425)),Assumptions!$D$7,"Other Services"))),"Other Services"))</f>
        <v/>
      </c>
    </row>
    <row r="2426" customFormat="false" ht="15" hidden="false" customHeight="false" outlineLevel="0" collapsed="false">
      <c r="I2426" s="41" t="str">
        <f aca="false">IF(F2426="","",IFERROR(IF(ISNUMBER(SEARCH(Assumptions!$C$5,F2426)),Assumptions!$D$5,IF(ISNUMBER(SEARCH(Assumptions!$C$6,F2426)),Assumptions!$D$6,IF(ISNUMBER(SEARCH(Assumptions!$C$7,F2426)),Assumptions!$D$7,"Other Services"))),"Other Services"))</f>
        <v/>
      </c>
    </row>
    <row r="2427" customFormat="false" ht="15" hidden="false" customHeight="false" outlineLevel="0" collapsed="false">
      <c r="I2427" s="41" t="str">
        <f aca="false">IF(F2427="","",IFERROR(IF(ISNUMBER(SEARCH(Assumptions!$C$5,F2427)),Assumptions!$D$5,IF(ISNUMBER(SEARCH(Assumptions!$C$6,F2427)),Assumptions!$D$6,IF(ISNUMBER(SEARCH(Assumptions!$C$7,F2427)),Assumptions!$D$7,"Other Services"))),"Other Services"))</f>
        <v/>
      </c>
    </row>
    <row r="2428" customFormat="false" ht="15" hidden="false" customHeight="false" outlineLevel="0" collapsed="false">
      <c r="I2428" s="41" t="str">
        <f aca="false">IF(F2428="","",IFERROR(IF(ISNUMBER(SEARCH(Assumptions!$C$5,F2428)),Assumptions!$D$5,IF(ISNUMBER(SEARCH(Assumptions!$C$6,F2428)),Assumptions!$D$6,IF(ISNUMBER(SEARCH(Assumptions!$C$7,F2428)),Assumptions!$D$7,"Other Services"))),"Other Services"))</f>
        <v/>
      </c>
    </row>
    <row r="2429" customFormat="false" ht="15" hidden="false" customHeight="false" outlineLevel="0" collapsed="false">
      <c r="I2429" s="41" t="str">
        <f aca="false">IF(F2429="","",IFERROR(IF(ISNUMBER(SEARCH(Assumptions!$C$5,F2429)),Assumptions!$D$5,IF(ISNUMBER(SEARCH(Assumptions!$C$6,F2429)),Assumptions!$D$6,IF(ISNUMBER(SEARCH(Assumptions!$C$7,F2429)),Assumptions!$D$7,"Other Services"))),"Other Services"))</f>
        <v/>
      </c>
    </row>
    <row r="2430" customFormat="false" ht="15" hidden="false" customHeight="false" outlineLevel="0" collapsed="false">
      <c r="I2430" s="41" t="str">
        <f aca="false">IF(F2430="","",IFERROR(IF(ISNUMBER(SEARCH(Assumptions!$C$5,F2430)),Assumptions!$D$5,IF(ISNUMBER(SEARCH(Assumptions!$C$6,F2430)),Assumptions!$D$6,IF(ISNUMBER(SEARCH(Assumptions!$C$7,F2430)),Assumptions!$D$7,"Other Services"))),"Other Services"))</f>
        <v/>
      </c>
    </row>
    <row r="2431" customFormat="false" ht="15" hidden="false" customHeight="false" outlineLevel="0" collapsed="false">
      <c r="I2431" s="41" t="str">
        <f aca="false">IF(F2431="","",IFERROR(IF(ISNUMBER(SEARCH(Assumptions!$C$5,F2431)),Assumptions!$D$5,IF(ISNUMBER(SEARCH(Assumptions!$C$6,F2431)),Assumptions!$D$6,IF(ISNUMBER(SEARCH(Assumptions!$C$7,F2431)),Assumptions!$D$7,"Other Services"))),"Other Services"))</f>
        <v/>
      </c>
    </row>
    <row r="2432" customFormat="false" ht="15" hidden="false" customHeight="false" outlineLevel="0" collapsed="false">
      <c r="I2432" s="41" t="str">
        <f aca="false">IF(F2432="","",IFERROR(IF(ISNUMBER(SEARCH(Assumptions!$C$5,F2432)),Assumptions!$D$5,IF(ISNUMBER(SEARCH(Assumptions!$C$6,F2432)),Assumptions!$D$6,IF(ISNUMBER(SEARCH(Assumptions!$C$7,F2432)),Assumptions!$D$7,"Other Services"))),"Other Services"))</f>
        <v/>
      </c>
    </row>
    <row r="2433" customFormat="false" ht="15" hidden="false" customHeight="false" outlineLevel="0" collapsed="false">
      <c r="I2433" s="41" t="str">
        <f aca="false">IF(F2433="","",IFERROR(IF(ISNUMBER(SEARCH(Assumptions!$C$5,F2433)),Assumptions!$D$5,IF(ISNUMBER(SEARCH(Assumptions!$C$6,F2433)),Assumptions!$D$6,IF(ISNUMBER(SEARCH(Assumptions!$C$7,F2433)),Assumptions!$D$7,"Other Services"))),"Other Services"))</f>
        <v/>
      </c>
    </row>
    <row r="2434" customFormat="false" ht="15" hidden="false" customHeight="false" outlineLevel="0" collapsed="false">
      <c r="I2434" s="41" t="str">
        <f aca="false">IF(F2434="","",IFERROR(IF(ISNUMBER(SEARCH(Assumptions!$C$5,F2434)),Assumptions!$D$5,IF(ISNUMBER(SEARCH(Assumptions!$C$6,F2434)),Assumptions!$D$6,IF(ISNUMBER(SEARCH(Assumptions!$C$7,F2434)),Assumptions!$D$7,"Other Services"))),"Other Services"))</f>
        <v/>
      </c>
    </row>
    <row r="2435" customFormat="false" ht="15" hidden="false" customHeight="false" outlineLevel="0" collapsed="false">
      <c r="I2435" s="41" t="str">
        <f aca="false">IF(F2435="","",IFERROR(IF(ISNUMBER(SEARCH(Assumptions!$C$5,F2435)),Assumptions!$D$5,IF(ISNUMBER(SEARCH(Assumptions!$C$6,F2435)),Assumptions!$D$6,IF(ISNUMBER(SEARCH(Assumptions!$C$7,F2435)),Assumptions!$D$7,"Other Services"))),"Other Services"))</f>
        <v/>
      </c>
    </row>
    <row r="2436" customFormat="false" ht="15" hidden="false" customHeight="false" outlineLevel="0" collapsed="false">
      <c r="I2436" s="41" t="str">
        <f aca="false">IF(F2436="","",IFERROR(IF(ISNUMBER(SEARCH(Assumptions!$C$5,F2436)),Assumptions!$D$5,IF(ISNUMBER(SEARCH(Assumptions!$C$6,F2436)),Assumptions!$D$6,IF(ISNUMBER(SEARCH(Assumptions!$C$7,F2436)),Assumptions!$D$7,"Other Services"))),"Other Services"))</f>
        <v/>
      </c>
    </row>
    <row r="2437" customFormat="false" ht="15" hidden="false" customHeight="false" outlineLevel="0" collapsed="false">
      <c r="I2437" s="41" t="str">
        <f aca="false">IF(F2437="","",IFERROR(IF(ISNUMBER(SEARCH(Assumptions!$C$5,F2437)),Assumptions!$D$5,IF(ISNUMBER(SEARCH(Assumptions!$C$6,F2437)),Assumptions!$D$6,IF(ISNUMBER(SEARCH(Assumptions!$C$7,F2437)),Assumptions!$D$7,"Other Services"))),"Other Services"))</f>
        <v/>
      </c>
    </row>
    <row r="2438" customFormat="false" ht="15" hidden="false" customHeight="false" outlineLevel="0" collapsed="false">
      <c r="I2438" s="41" t="str">
        <f aca="false">IF(F2438="","",IFERROR(IF(ISNUMBER(SEARCH(Assumptions!$C$5,F2438)),Assumptions!$D$5,IF(ISNUMBER(SEARCH(Assumptions!$C$6,F2438)),Assumptions!$D$6,IF(ISNUMBER(SEARCH(Assumptions!$C$7,F2438)),Assumptions!$D$7,"Other Services"))),"Other Services"))</f>
        <v/>
      </c>
    </row>
    <row r="2439" customFormat="false" ht="15" hidden="false" customHeight="false" outlineLevel="0" collapsed="false">
      <c r="I2439" s="41" t="str">
        <f aca="false">IF(F2439="","",IFERROR(IF(ISNUMBER(SEARCH(Assumptions!$C$5,F2439)),Assumptions!$D$5,IF(ISNUMBER(SEARCH(Assumptions!$C$6,F2439)),Assumptions!$D$6,IF(ISNUMBER(SEARCH(Assumptions!$C$7,F2439)),Assumptions!$D$7,"Other Services"))),"Other Services"))</f>
        <v/>
      </c>
    </row>
    <row r="2440" customFormat="false" ht="15" hidden="false" customHeight="false" outlineLevel="0" collapsed="false">
      <c r="I2440" s="41" t="str">
        <f aca="false">IF(F2440="","",IFERROR(IF(ISNUMBER(SEARCH(Assumptions!$C$5,F2440)),Assumptions!$D$5,IF(ISNUMBER(SEARCH(Assumptions!$C$6,F2440)),Assumptions!$D$6,IF(ISNUMBER(SEARCH(Assumptions!$C$7,F2440)),Assumptions!$D$7,"Other Services"))),"Other Services"))</f>
        <v/>
      </c>
    </row>
    <row r="2441" customFormat="false" ht="15" hidden="false" customHeight="false" outlineLevel="0" collapsed="false">
      <c r="I2441" s="41" t="str">
        <f aca="false">IF(F2441="","",IFERROR(IF(ISNUMBER(SEARCH(Assumptions!$C$5,F2441)),Assumptions!$D$5,IF(ISNUMBER(SEARCH(Assumptions!$C$6,F2441)),Assumptions!$D$6,IF(ISNUMBER(SEARCH(Assumptions!$C$7,F2441)),Assumptions!$D$7,"Other Services"))),"Other Services"))</f>
        <v/>
      </c>
    </row>
    <row r="2442" customFormat="false" ht="15" hidden="false" customHeight="false" outlineLevel="0" collapsed="false">
      <c r="I2442" s="41" t="str">
        <f aca="false">IF(F2442="","",IFERROR(IF(ISNUMBER(SEARCH(Assumptions!$C$5,F2442)),Assumptions!$D$5,IF(ISNUMBER(SEARCH(Assumptions!$C$6,F2442)),Assumptions!$D$6,IF(ISNUMBER(SEARCH(Assumptions!$C$7,F2442)),Assumptions!$D$7,"Other Services"))),"Other Services"))</f>
        <v/>
      </c>
    </row>
    <row r="2443" customFormat="false" ht="15" hidden="false" customHeight="false" outlineLevel="0" collapsed="false">
      <c r="I2443" s="41" t="str">
        <f aca="false">IF(F2443="","",IFERROR(IF(ISNUMBER(SEARCH(Assumptions!$C$5,F2443)),Assumptions!$D$5,IF(ISNUMBER(SEARCH(Assumptions!$C$6,F2443)),Assumptions!$D$6,IF(ISNUMBER(SEARCH(Assumptions!$C$7,F2443)),Assumptions!$D$7,"Other Services"))),"Other Services"))</f>
        <v/>
      </c>
    </row>
    <row r="2444" customFormat="false" ht="15" hidden="false" customHeight="false" outlineLevel="0" collapsed="false">
      <c r="I2444" s="41" t="str">
        <f aca="false">IF(F2444="","",IFERROR(IF(ISNUMBER(SEARCH(Assumptions!$C$5,F2444)),Assumptions!$D$5,IF(ISNUMBER(SEARCH(Assumptions!$C$6,F2444)),Assumptions!$D$6,IF(ISNUMBER(SEARCH(Assumptions!$C$7,F2444)),Assumptions!$D$7,"Other Services"))),"Other Services"))</f>
        <v/>
      </c>
    </row>
    <row r="2445" customFormat="false" ht="15" hidden="false" customHeight="false" outlineLevel="0" collapsed="false">
      <c r="I2445" s="41" t="str">
        <f aca="false">IF(F2445="","",IFERROR(IF(ISNUMBER(SEARCH(Assumptions!$C$5,F2445)),Assumptions!$D$5,IF(ISNUMBER(SEARCH(Assumptions!$C$6,F2445)),Assumptions!$D$6,IF(ISNUMBER(SEARCH(Assumptions!$C$7,F2445)),Assumptions!$D$7,"Other Services"))),"Other Services"))</f>
        <v/>
      </c>
    </row>
    <row r="2446" customFormat="false" ht="15" hidden="false" customHeight="false" outlineLevel="0" collapsed="false">
      <c r="I2446" s="41" t="str">
        <f aca="false">IF(F2446="","",IFERROR(IF(ISNUMBER(SEARCH(Assumptions!$C$5,F2446)),Assumptions!$D$5,IF(ISNUMBER(SEARCH(Assumptions!$C$6,F2446)),Assumptions!$D$6,IF(ISNUMBER(SEARCH(Assumptions!$C$7,F2446)),Assumptions!$D$7,"Other Services"))),"Other Services"))</f>
        <v/>
      </c>
    </row>
    <row r="2447" customFormat="false" ht="15" hidden="false" customHeight="false" outlineLevel="0" collapsed="false">
      <c r="I2447" s="41" t="str">
        <f aca="false">IF(F2447="","",IFERROR(IF(ISNUMBER(SEARCH(Assumptions!$C$5,F2447)),Assumptions!$D$5,IF(ISNUMBER(SEARCH(Assumptions!$C$6,F2447)),Assumptions!$D$6,IF(ISNUMBER(SEARCH(Assumptions!$C$7,F2447)),Assumptions!$D$7,"Other Services"))),"Other Services"))</f>
        <v/>
      </c>
    </row>
    <row r="2448" customFormat="false" ht="15" hidden="false" customHeight="false" outlineLevel="0" collapsed="false">
      <c r="I2448" s="41" t="str">
        <f aca="false">IF(F2448="","",IFERROR(IF(ISNUMBER(SEARCH(Assumptions!$C$5,F2448)),Assumptions!$D$5,IF(ISNUMBER(SEARCH(Assumptions!$C$6,F2448)),Assumptions!$D$6,IF(ISNUMBER(SEARCH(Assumptions!$C$7,F2448)),Assumptions!$D$7,"Other Services"))),"Other Services"))</f>
        <v/>
      </c>
    </row>
    <row r="2449" customFormat="false" ht="15" hidden="false" customHeight="false" outlineLevel="0" collapsed="false">
      <c r="I2449" s="41" t="str">
        <f aca="false">IF(F2449="","",IFERROR(IF(ISNUMBER(SEARCH(Assumptions!$C$5,F2449)),Assumptions!$D$5,IF(ISNUMBER(SEARCH(Assumptions!$C$6,F2449)),Assumptions!$D$6,IF(ISNUMBER(SEARCH(Assumptions!$C$7,F2449)),Assumptions!$D$7,"Other Services"))),"Other Services"))</f>
        <v/>
      </c>
    </row>
    <row r="2450" customFormat="false" ht="15" hidden="false" customHeight="false" outlineLevel="0" collapsed="false">
      <c r="I2450" s="41" t="str">
        <f aca="false">IF(F2450="","",IFERROR(IF(ISNUMBER(SEARCH(Assumptions!$C$5,F2450)),Assumptions!$D$5,IF(ISNUMBER(SEARCH(Assumptions!$C$6,F2450)),Assumptions!$D$6,IF(ISNUMBER(SEARCH(Assumptions!$C$7,F2450)),Assumptions!$D$7,"Other Services"))),"Other Services"))</f>
        <v/>
      </c>
    </row>
    <row r="2451" customFormat="false" ht="15" hidden="false" customHeight="false" outlineLevel="0" collapsed="false">
      <c r="I2451" s="41" t="str">
        <f aca="false">IF(F2451="","",IFERROR(IF(ISNUMBER(SEARCH(Assumptions!$C$5,F2451)),Assumptions!$D$5,IF(ISNUMBER(SEARCH(Assumptions!$C$6,F2451)),Assumptions!$D$6,IF(ISNUMBER(SEARCH(Assumptions!$C$7,F2451)),Assumptions!$D$7,"Other Services"))),"Other Services"))</f>
        <v/>
      </c>
    </row>
    <row r="2452" customFormat="false" ht="15" hidden="false" customHeight="false" outlineLevel="0" collapsed="false">
      <c r="I2452" s="41" t="str">
        <f aca="false">IF(F2452="","",IFERROR(IF(ISNUMBER(SEARCH(Assumptions!$C$5,F2452)),Assumptions!$D$5,IF(ISNUMBER(SEARCH(Assumptions!$C$6,F2452)),Assumptions!$D$6,IF(ISNUMBER(SEARCH(Assumptions!$C$7,F2452)),Assumptions!$D$7,"Other Services"))),"Other Services"))</f>
        <v/>
      </c>
    </row>
    <row r="2453" customFormat="false" ht="15" hidden="false" customHeight="false" outlineLevel="0" collapsed="false">
      <c r="I2453" s="41" t="str">
        <f aca="false">IF(F2453="","",IFERROR(IF(ISNUMBER(SEARCH(Assumptions!$C$5,F2453)),Assumptions!$D$5,IF(ISNUMBER(SEARCH(Assumptions!$C$6,F2453)),Assumptions!$D$6,IF(ISNUMBER(SEARCH(Assumptions!$C$7,F2453)),Assumptions!$D$7,"Other Services"))),"Other Services"))</f>
        <v/>
      </c>
    </row>
    <row r="2454" customFormat="false" ht="15" hidden="false" customHeight="false" outlineLevel="0" collapsed="false">
      <c r="I2454" s="41" t="str">
        <f aca="false">IF(F2454="","",IFERROR(IF(ISNUMBER(SEARCH(Assumptions!$C$5,F2454)),Assumptions!$D$5,IF(ISNUMBER(SEARCH(Assumptions!$C$6,F2454)),Assumptions!$D$6,IF(ISNUMBER(SEARCH(Assumptions!$C$7,F2454)),Assumptions!$D$7,"Other Services"))),"Other Services"))</f>
        <v/>
      </c>
    </row>
    <row r="2455" customFormat="false" ht="15" hidden="false" customHeight="false" outlineLevel="0" collapsed="false">
      <c r="I2455" s="41" t="str">
        <f aca="false">IF(F2455="","",IFERROR(IF(ISNUMBER(SEARCH(Assumptions!$C$5,F2455)),Assumptions!$D$5,IF(ISNUMBER(SEARCH(Assumptions!$C$6,F2455)),Assumptions!$D$6,IF(ISNUMBER(SEARCH(Assumptions!$C$7,F2455)),Assumptions!$D$7,"Other Services"))),"Other Services"))</f>
        <v/>
      </c>
    </row>
    <row r="2456" customFormat="false" ht="15" hidden="false" customHeight="false" outlineLevel="0" collapsed="false">
      <c r="I2456" s="41" t="str">
        <f aca="false">IF(F2456="","",IFERROR(IF(ISNUMBER(SEARCH(Assumptions!$C$5,F2456)),Assumptions!$D$5,IF(ISNUMBER(SEARCH(Assumptions!$C$6,F2456)),Assumptions!$D$6,IF(ISNUMBER(SEARCH(Assumptions!$C$7,F2456)),Assumptions!$D$7,"Other Services"))),"Other Services"))</f>
        <v/>
      </c>
    </row>
    <row r="2457" customFormat="false" ht="15" hidden="false" customHeight="false" outlineLevel="0" collapsed="false">
      <c r="I2457" s="41" t="str">
        <f aca="false">IF(F2457="","",IFERROR(IF(ISNUMBER(SEARCH(Assumptions!$C$5,F2457)),Assumptions!$D$5,IF(ISNUMBER(SEARCH(Assumptions!$C$6,F2457)),Assumptions!$D$6,IF(ISNUMBER(SEARCH(Assumptions!$C$7,F2457)),Assumptions!$D$7,"Other Services"))),"Other Services"))</f>
        <v/>
      </c>
    </row>
    <row r="2458" customFormat="false" ht="15" hidden="false" customHeight="false" outlineLevel="0" collapsed="false">
      <c r="I2458" s="41" t="str">
        <f aca="false">IF(F2458="","",IFERROR(IF(ISNUMBER(SEARCH(Assumptions!$C$5,F2458)),Assumptions!$D$5,IF(ISNUMBER(SEARCH(Assumptions!$C$6,F2458)),Assumptions!$D$6,IF(ISNUMBER(SEARCH(Assumptions!$C$7,F2458)),Assumptions!$D$7,"Other Services"))),"Other Services"))</f>
        <v/>
      </c>
    </row>
    <row r="2459" customFormat="false" ht="15" hidden="false" customHeight="false" outlineLevel="0" collapsed="false">
      <c r="I2459" s="41" t="str">
        <f aca="false">IF(F2459="","",IFERROR(IF(ISNUMBER(SEARCH(Assumptions!$C$5,F2459)),Assumptions!$D$5,IF(ISNUMBER(SEARCH(Assumptions!$C$6,F2459)),Assumptions!$D$6,IF(ISNUMBER(SEARCH(Assumptions!$C$7,F2459)),Assumptions!$D$7,"Other Services"))),"Other Services"))</f>
        <v/>
      </c>
    </row>
    <row r="2460" customFormat="false" ht="15" hidden="false" customHeight="false" outlineLevel="0" collapsed="false">
      <c r="I2460" s="41" t="str">
        <f aca="false">IF(F2460="","",IFERROR(IF(ISNUMBER(SEARCH(Assumptions!$C$5,F2460)),Assumptions!$D$5,IF(ISNUMBER(SEARCH(Assumptions!$C$6,F2460)),Assumptions!$D$6,IF(ISNUMBER(SEARCH(Assumptions!$C$7,F2460)),Assumptions!$D$7,"Other Services"))),"Other Services"))</f>
        <v/>
      </c>
    </row>
    <row r="2461" customFormat="false" ht="15" hidden="false" customHeight="false" outlineLevel="0" collapsed="false">
      <c r="I2461" s="41" t="str">
        <f aca="false">IF(F2461="","",IFERROR(IF(ISNUMBER(SEARCH(Assumptions!$C$5,F2461)),Assumptions!$D$5,IF(ISNUMBER(SEARCH(Assumptions!$C$6,F2461)),Assumptions!$D$6,IF(ISNUMBER(SEARCH(Assumptions!$C$7,F2461)),Assumptions!$D$7,"Other Services"))),"Other Services"))</f>
        <v/>
      </c>
    </row>
    <row r="2462" customFormat="false" ht="15" hidden="false" customHeight="false" outlineLevel="0" collapsed="false">
      <c r="I2462" s="41" t="str">
        <f aca="false">IF(F2462="","",IFERROR(IF(ISNUMBER(SEARCH(Assumptions!$C$5,F2462)),Assumptions!$D$5,IF(ISNUMBER(SEARCH(Assumptions!$C$6,F2462)),Assumptions!$D$6,IF(ISNUMBER(SEARCH(Assumptions!$C$7,F2462)),Assumptions!$D$7,"Other Services"))),"Other Services"))</f>
        <v/>
      </c>
    </row>
    <row r="2463" customFormat="false" ht="15" hidden="false" customHeight="false" outlineLevel="0" collapsed="false">
      <c r="I2463" s="41" t="str">
        <f aca="false">IF(F2463="","",IFERROR(IF(ISNUMBER(SEARCH(Assumptions!$C$5,F2463)),Assumptions!$D$5,IF(ISNUMBER(SEARCH(Assumptions!$C$6,F2463)),Assumptions!$D$6,IF(ISNUMBER(SEARCH(Assumptions!$C$7,F2463)),Assumptions!$D$7,"Other Services"))),"Other Services"))</f>
        <v/>
      </c>
    </row>
    <row r="2464" customFormat="false" ht="15" hidden="false" customHeight="false" outlineLevel="0" collapsed="false">
      <c r="I2464" s="41" t="str">
        <f aca="false">IF(F2464="","",IFERROR(IF(ISNUMBER(SEARCH(Assumptions!$C$5,F2464)),Assumptions!$D$5,IF(ISNUMBER(SEARCH(Assumptions!$C$6,F2464)),Assumptions!$D$6,IF(ISNUMBER(SEARCH(Assumptions!$C$7,F2464)),Assumptions!$D$7,"Other Services"))),"Other Services"))</f>
        <v/>
      </c>
    </row>
    <row r="2465" customFormat="false" ht="15" hidden="false" customHeight="false" outlineLevel="0" collapsed="false">
      <c r="I2465" s="41" t="str">
        <f aca="false">IF(F2465="","",IFERROR(IF(ISNUMBER(SEARCH(Assumptions!$C$5,F2465)),Assumptions!$D$5,IF(ISNUMBER(SEARCH(Assumptions!$C$6,F2465)),Assumptions!$D$6,IF(ISNUMBER(SEARCH(Assumptions!$C$7,F2465)),Assumptions!$D$7,"Other Services"))),"Other Services"))</f>
        <v/>
      </c>
    </row>
    <row r="2466" customFormat="false" ht="15" hidden="false" customHeight="false" outlineLevel="0" collapsed="false">
      <c r="I2466" s="41" t="str">
        <f aca="false">IF(F2466="","",IFERROR(IF(ISNUMBER(SEARCH(Assumptions!$C$5,F2466)),Assumptions!$D$5,IF(ISNUMBER(SEARCH(Assumptions!$C$6,F2466)),Assumptions!$D$6,IF(ISNUMBER(SEARCH(Assumptions!$C$7,F2466)),Assumptions!$D$7,"Other Services"))),"Other Services"))</f>
        <v/>
      </c>
    </row>
    <row r="2467" customFormat="false" ht="15" hidden="false" customHeight="false" outlineLevel="0" collapsed="false">
      <c r="I2467" s="41" t="str">
        <f aca="false">IF(F2467="","",IFERROR(IF(ISNUMBER(SEARCH(Assumptions!$C$5,F2467)),Assumptions!$D$5,IF(ISNUMBER(SEARCH(Assumptions!$C$6,F2467)),Assumptions!$D$6,IF(ISNUMBER(SEARCH(Assumptions!$C$7,F2467)),Assumptions!$D$7,"Other Services"))),"Other Services"))</f>
        <v/>
      </c>
    </row>
    <row r="2468" customFormat="false" ht="15" hidden="false" customHeight="false" outlineLevel="0" collapsed="false">
      <c r="I2468" s="41" t="str">
        <f aca="false">IF(F2468="","",IFERROR(IF(ISNUMBER(SEARCH(Assumptions!$C$5,F2468)),Assumptions!$D$5,IF(ISNUMBER(SEARCH(Assumptions!$C$6,F2468)),Assumptions!$D$6,IF(ISNUMBER(SEARCH(Assumptions!$C$7,F2468)),Assumptions!$D$7,"Other Services"))),"Other Services"))</f>
        <v/>
      </c>
    </row>
    <row r="2469" customFormat="false" ht="15" hidden="false" customHeight="false" outlineLevel="0" collapsed="false">
      <c r="I2469" s="41" t="str">
        <f aca="false">IF(F2469="","",IFERROR(IF(ISNUMBER(SEARCH(Assumptions!$C$5,F2469)),Assumptions!$D$5,IF(ISNUMBER(SEARCH(Assumptions!$C$6,F2469)),Assumptions!$D$6,IF(ISNUMBER(SEARCH(Assumptions!$C$7,F2469)),Assumptions!$D$7,"Other Services"))),"Other Services"))</f>
        <v/>
      </c>
    </row>
    <row r="2470" customFormat="false" ht="15" hidden="false" customHeight="false" outlineLevel="0" collapsed="false">
      <c r="I2470" s="41" t="str">
        <f aca="false">IF(F2470="","",IFERROR(IF(ISNUMBER(SEARCH(Assumptions!$C$5,F2470)),Assumptions!$D$5,IF(ISNUMBER(SEARCH(Assumptions!$C$6,F2470)),Assumptions!$D$6,IF(ISNUMBER(SEARCH(Assumptions!$C$7,F2470)),Assumptions!$D$7,"Other Services"))),"Other Services"))</f>
        <v/>
      </c>
    </row>
    <row r="2471" customFormat="false" ht="15" hidden="false" customHeight="false" outlineLevel="0" collapsed="false">
      <c r="I2471" s="41" t="str">
        <f aca="false">IF(F2471="","",IFERROR(IF(ISNUMBER(SEARCH(Assumptions!$C$5,F2471)),Assumptions!$D$5,IF(ISNUMBER(SEARCH(Assumptions!$C$6,F2471)),Assumptions!$D$6,IF(ISNUMBER(SEARCH(Assumptions!$C$7,F2471)),Assumptions!$D$7,"Other Services"))),"Other Services"))</f>
        <v/>
      </c>
    </row>
    <row r="2472" customFormat="false" ht="15" hidden="false" customHeight="false" outlineLevel="0" collapsed="false">
      <c r="I2472" s="41" t="str">
        <f aca="false">IF(F2472="","",IFERROR(IF(ISNUMBER(SEARCH(Assumptions!$C$5,F2472)),Assumptions!$D$5,IF(ISNUMBER(SEARCH(Assumptions!$C$6,F2472)),Assumptions!$D$6,IF(ISNUMBER(SEARCH(Assumptions!$C$7,F2472)),Assumptions!$D$7,"Other Services"))),"Other Services"))</f>
        <v/>
      </c>
    </row>
    <row r="2473" customFormat="false" ht="15" hidden="false" customHeight="false" outlineLevel="0" collapsed="false">
      <c r="I2473" s="41" t="str">
        <f aca="false">IF(F2473="","",IFERROR(IF(ISNUMBER(SEARCH(Assumptions!$C$5,F2473)),Assumptions!$D$5,IF(ISNUMBER(SEARCH(Assumptions!$C$6,F2473)),Assumptions!$D$6,IF(ISNUMBER(SEARCH(Assumptions!$C$7,F2473)),Assumptions!$D$7,"Other Services"))),"Other Services"))</f>
        <v/>
      </c>
    </row>
    <row r="2474" customFormat="false" ht="15" hidden="false" customHeight="false" outlineLevel="0" collapsed="false">
      <c r="I2474" s="41" t="str">
        <f aca="false">IF(F2474="","",IFERROR(IF(ISNUMBER(SEARCH(Assumptions!$C$5,F2474)),Assumptions!$D$5,IF(ISNUMBER(SEARCH(Assumptions!$C$6,F2474)),Assumptions!$D$6,IF(ISNUMBER(SEARCH(Assumptions!$C$7,F2474)),Assumptions!$D$7,"Other Services"))),"Other Services"))</f>
        <v/>
      </c>
    </row>
    <row r="2475" customFormat="false" ht="15" hidden="false" customHeight="false" outlineLevel="0" collapsed="false">
      <c r="I2475" s="41" t="str">
        <f aca="false">IF(F2475="","",IFERROR(IF(ISNUMBER(SEARCH(Assumptions!$C$5,F2475)),Assumptions!$D$5,IF(ISNUMBER(SEARCH(Assumptions!$C$6,F2475)),Assumptions!$D$6,IF(ISNUMBER(SEARCH(Assumptions!$C$7,F2475)),Assumptions!$D$7,"Other Services"))),"Other Services"))</f>
        <v/>
      </c>
    </row>
    <row r="2476" customFormat="false" ht="15" hidden="false" customHeight="false" outlineLevel="0" collapsed="false">
      <c r="I2476" s="41" t="str">
        <f aca="false">IF(F2476="","",IFERROR(IF(ISNUMBER(SEARCH(Assumptions!$C$5,F2476)),Assumptions!$D$5,IF(ISNUMBER(SEARCH(Assumptions!$C$6,F2476)),Assumptions!$D$6,IF(ISNUMBER(SEARCH(Assumptions!$C$7,F2476)),Assumptions!$D$7,"Other Services"))),"Other Services"))</f>
        <v/>
      </c>
    </row>
    <row r="2477" customFormat="false" ht="15" hidden="false" customHeight="false" outlineLevel="0" collapsed="false">
      <c r="I2477" s="41" t="str">
        <f aca="false">IF(F2477="","",IFERROR(IF(ISNUMBER(SEARCH(Assumptions!$C$5,F2477)),Assumptions!$D$5,IF(ISNUMBER(SEARCH(Assumptions!$C$6,F2477)),Assumptions!$D$6,IF(ISNUMBER(SEARCH(Assumptions!$C$7,F2477)),Assumptions!$D$7,"Other Services"))),"Other Services"))</f>
        <v/>
      </c>
    </row>
    <row r="2478" customFormat="false" ht="15" hidden="false" customHeight="false" outlineLevel="0" collapsed="false">
      <c r="I2478" s="41" t="str">
        <f aca="false">IF(F2478="","",IFERROR(IF(ISNUMBER(SEARCH(Assumptions!$C$5,F2478)),Assumptions!$D$5,IF(ISNUMBER(SEARCH(Assumptions!$C$6,F2478)),Assumptions!$D$6,IF(ISNUMBER(SEARCH(Assumptions!$C$7,F2478)),Assumptions!$D$7,"Other Services"))),"Other Services"))</f>
        <v/>
      </c>
    </row>
    <row r="2479" customFormat="false" ht="15" hidden="false" customHeight="false" outlineLevel="0" collapsed="false">
      <c r="I2479" s="41" t="str">
        <f aca="false">IF(F2479="","",IFERROR(IF(ISNUMBER(SEARCH(Assumptions!$C$5,F2479)),Assumptions!$D$5,IF(ISNUMBER(SEARCH(Assumptions!$C$6,F2479)),Assumptions!$D$6,IF(ISNUMBER(SEARCH(Assumptions!$C$7,F2479)),Assumptions!$D$7,"Other Services"))),"Other Services"))</f>
        <v/>
      </c>
    </row>
    <row r="2480" customFormat="false" ht="15" hidden="false" customHeight="false" outlineLevel="0" collapsed="false">
      <c r="I2480" s="41" t="str">
        <f aca="false">IF(F2480="","",IFERROR(IF(ISNUMBER(SEARCH(Assumptions!$C$5,F2480)),Assumptions!$D$5,IF(ISNUMBER(SEARCH(Assumptions!$C$6,F2480)),Assumptions!$D$6,IF(ISNUMBER(SEARCH(Assumptions!$C$7,F2480)),Assumptions!$D$7,"Other Services"))),"Other Services"))</f>
        <v/>
      </c>
    </row>
    <row r="2481" customFormat="false" ht="15" hidden="false" customHeight="false" outlineLevel="0" collapsed="false">
      <c r="I2481" s="41" t="str">
        <f aca="false">IF(F2481="","",IFERROR(IF(ISNUMBER(SEARCH(Assumptions!$C$5,F2481)),Assumptions!$D$5,IF(ISNUMBER(SEARCH(Assumptions!$C$6,F2481)),Assumptions!$D$6,IF(ISNUMBER(SEARCH(Assumptions!$C$7,F2481)),Assumptions!$D$7,"Other Services"))),"Other Services"))</f>
        <v/>
      </c>
    </row>
    <row r="2482" customFormat="false" ht="15" hidden="false" customHeight="false" outlineLevel="0" collapsed="false">
      <c r="I2482" s="41" t="str">
        <f aca="false">IF(F2482="","",IFERROR(IF(ISNUMBER(SEARCH(Assumptions!$C$5,F2482)),Assumptions!$D$5,IF(ISNUMBER(SEARCH(Assumptions!$C$6,F2482)),Assumptions!$D$6,IF(ISNUMBER(SEARCH(Assumptions!$C$7,F2482)),Assumptions!$D$7,"Other Services"))),"Other Services"))</f>
        <v/>
      </c>
    </row>
    <row r="2483" customFormat="false" ht="15" hidden="false" customHeight="false" outlineLevel="0" collapsed="false">
      <c r="I2483" s="41" t="str">
        <f aca="false">IF(F2483="","",IFERROR(IF(ISNUMBER(SEARCH(Assumptions!$C$5,F2483)),Assumptions!$D$5,IF(ISNUMBER(SEARCH(Assumptions!$C$6,F2483)),Assumptions!$D$6,IF(ISNUMBER(SEARCH(Assumptions!$C$7,F2483)),Assumptions!$D$7,"Other Services"))),"Other Services"))</f>
        <v/>
      </c>
    </row>
    <row r="2484" customFormat="false" ht="15" hidden="false" customHeight="false" outlineLevel="0" collapsed="false">
      <c r="I2484" s="41" t="str">
        <f aca="false">IF(F2484="","",IFERROR(IF(ISNUMBER(SEARCH(Assumptions!$C$5,F2484)),Assumptions!$D$5,IF(ISNUMBER(SEARCH(Assumptions!$C$6,F2484)),Assumptions!$D$6,IF(ISNUMBER(SEARCH(Assumptions!$C$7,F2484)),Assumptions!$D$7,"Other Services"))),"Other Services"))</f>
        <v/>
      </c>
    </row>
    <row r="2485" customFormat="false" ht="15" hidden="false" customHeight="false" outlineLevel="0" collapsed="false">
      <c r="I2485" s="41" t="str">
        <f aca="false">IF(F2485="","",IFERROR(IF(ISNUMBER(SEARCH(Assumptions!$C$5,F2485)),Assumptions!$D$5,IF(ISNUMBER(SEARCH(Assumptions!$C$6,F2485)),Assumptions!$D$6,IF(ISNUMBER(SEARCH(Assumptions!$C$7,F2485)),Assumptions!$D$7,"Other Services"))),"Other Services"))</f>
        <v/>
      </c>
    </row>
    <row r="2486" customFormat="false" ht="15" hidden="false" customHeight="false" outlineLevel="0" collapsed="false">
      <c r="I2486" s="41" t="str">
        <f aca="false">IF(F2486="","",IFERROR(IF(ISNUMBER(SEARCH(Assumptions!$C$5,F2486)),Assumptions!$D$5,IF(ISNUMBER(SEARCH(Assumptions!$C$6,F2486)),Assumptions!$D$6,IF(ISNUMBER(SEARCH(Assumptions!$C$7,F2486)),Assumptions!$D$7,"Other Services"))),"Other Services"))</f>
        <v/>
      </c>
    </row>
    <row r="2487" customFormat="false" ht="15" hidden="false" customHeight="false" outlineLevel="0" collapsed="false">
      <c r="I2487" s="41" t="str">
        <f aca="false">IF(F2487="","",IFERROR(IF(ISNUMBER(SEARCH(Assumptions!$C$5,F2487)),Assumptions!$D$5,IF(ISNUMBER(SEARCH(Assumptions!$C$6,F2487)),Assumptions!$D$6,IF(ISNUMBER(SEARCH(Assumptions!$C$7,F2487)),Assumptions!$D$7,"Other Services"))),"Other Services"))</f>
        <v/>
      </c>
    </row>
    <row r="2488" customFormat="false" ht="15" hidden="false" customHeight="false" outlineLevel="0" collapsed="false">
      <c r="I2488" s="41" t="str">
        <f aca="false">IF(F2488="","",IFERROR(IF(ISNUMBER(SEARCH(Assumptions!$C$5,F2488)),Assumptions!$D$5,IF(ISNUMBER(SEARCH(Assumptions!$C$6,F2488)),Assumptions!$D$6,IF(ISNUMBER(SEARCH(Assumptions!$C$7,F2488)),Assumptions!$D$7,"Other Services"))),"Other Services"))</f>
        <v/>
      </c>
    </row>
    <row r="2489" customFormat="false" ht="15" hidden="false" customHeight="false" outlineLevel="0" collapsed="false">
      <c r="I2489" s="41" t="str">
        <f aca="false">IF(F2489="","",IFERROR(IF(ISNUMBER(SEARCH(Assumptions!$C$5,F2489)),Assumptions!$D$5,IF(ISNUMBER(SEARCH(Assumptions!$C$6,F2489)),Assumptions!$D$6,IF(ISNUMBER(SEARCH(Assumptions!$C$7,F2489)),Assumptions!$D$7,"Other Services"))),"Other Services"))</f>
        <v/>
      </c>
    </row>
    <row r="2490" customFormat="false" ht="15" hidden="false" customHeight="false" outlineLevel="0" collapsed="false">
      <c r="I2490" s="41" t="str">
        <f aca="false">IF(F2490="","",IFERROR(IF(ISNUMBER(SEARCH(Assumptions!$C$5,F2490)),Assumptions!$D$5,IF(ISNUMBER(SEARCH(Assumptions!$C$6,F2490)),Assumptions!$D$6,IF(ISNUMBER(SEARCH(Assumptions!$C$7,F2490)),Assumptions!$D$7,"Other Services"))),"Other Services"))</f>
        <v/>
      </c>
    </row>
    <row r="2491" customFormat="false" ht="15" hidden="false" customHeight="false" outlineLevel="0" collapsed="false">
      <c r="I2491" s="41" t="str">
        <f aca="false">IF(F2491="","",IFERROR(IF(ISNUMBER(SEARCH(Assumptions!$C$5,F2491)),Assumptions!$D$5,IF(ISNUMBER(SEARCH(Assumptions!$C$6,F2491)),Assumptions!$D$6,IF(ISNUMBER(SEARCH(Assumptions!$C$7,F2491)),Assumptions!$D$7,"Other Services"))),"Other Services"))</f>
        <v/>
      </c>
    </row>
    <row r="2492" customFormat="false" ht="15" hidden="false" customHeight="false" outlineLevel="0" collapsed="false">
      <c r="I2492" s="41" t="str">
        <f aca="false">IF(F2492="","",IFERROR(IF(ISNUMBER(SEARCH(Assumptions!$C$5,F2492)),Assumptions!$D$5,IF(ISNUMBER(SEARCH(Assumptions!$C$6,F2492)),Assumptions!$D$6,IF(ISNUMBER(SEARCH(Assumptions!$C$7,F2492)),Assumptions!$D$7,"Other Services"))),"Other Services"))</f>
        <v/>
      </c>
    </row>
    <row r="2493" customFormat="false" ht="15" hidden="false" customHeight="false" outlineLevel="0" collapsed="false">
      <c r="I2493" s="41" t="str">
        <f aca="false">IF(F2493="","",IFERROR(IF(ISNUMBER(SEARCH(Assumptions!$C$5,F2493)),Assumptions!$D$5,IF(ISNUMBER(SEARCH(Assumptions!$C$6,F2493)),Assumptions!$D$6,IF(ISNUMBER(SEARCH(Assumptions!$C$7,F2493)),Assumptions!$D$7,"Other Services"))),"Other Services"))</f>
        <v/>
      </c>
    </row>
    <row r="2494" customFormat="false" ht="15" hidden="false" customHeight="false" outlineLevel="0" collapsed="false">
      <c r="I2494" s="41" t="str">
        <f aca="false">IF(F2494="","",IFERROR(IF(ISNUMBER(SEARCH(Assumptions!$C$5,F2494)),Assumptions!$D$5,IF(ISNUMBER(SEARCH(Assumptions!$C$6,F2494)),Assumptions!$D$6,IF(ISNUMBER(SEARCH(Assumptions!$C$7,F2494)),Assumptions!$D$7,"Other Services"))),"Other Services"))</f>
        <v/>
      </c>
    </row>
    <row r="2495" customFormat="false" ht="15" hidden="false" customHeight="false" outlineLevel="0" collapsed="false">
      <c r="I2495" s="41" t="str">
        <f aca="false">IF(F2495="","",IFERROR(IF(ISNUMBER(SEARCH(Assumptions!$C$5,F2495)),Assumptions!$D$5,IF(ISNUMBER(SEARCH(Assumptions!$C$6,F2495)),Assumptions!$D$6,IF(ISNUMBER(SEARCH(Assumptions!$C$7,F2495)),Assumptions!$D$7,"Other Services"))),"Other Services"))</f>
        <v/>
      </c>
    </row>
    <row r="2496" customFormat="false" ht="15" hidden="false" customHeight="false" outlineLevel="0" collapsed="false">
      <c r="I2496" s="41" t="str">
        <f aca="false">IF(F2496="","",IFERROR(IF(ISNUMBER(SEARCH(Assumptions!$C$5,F2496)),Assumptions!$D$5,IF(ISNUMBER(SEARCH(Assumptions!$C$6,F2496)),Assumptions!$D$6,IF(ISNUMBER(SEARCH(Assumptions!$C$7,F2496)),Assumptions!$D$7,"Other Services"))),"Other Services"))</f>
        <v/>
      </c>
    </row>
    <row r="2497" customFormat="false" ht="15" hidden="false" customHeight="false" outlineLevel="0" collapsed="false">
      <c r="I2497" s="41" t="str">
        <f aca="false">IF(F2497="","",IFERROR(IF(ISNUMBER(SEARCH(Assumptions!$C$5,F2497)),Assumptions!$D$5,IF(ISNUMBER(SEARCH(Assumptions!$C$6,F2497)),Assumptions!$D$6,IF(ISNUMBER(SEARCH(Assumptions!$C$7,F2497)),Assumptions!$D$7,"Other Services"))),"Other Services"))</f>
        <v/>
      </c>
    </row>
    <row r="2498" customFormat="false" ht="15" hidden="false" customHeight="false" outlineLevel="0" collapsed="false">
      <c r="I2498" s="41" t="str">
        <f aca="false">IF(F2498="","",IFERROR(IF(ISNUMBER(SEARCH(Assumptions!$C$5,F2498)),Assumptions!$D$5,IF(ISNUMBER(SEARCH(Assumptions!$C$6,F2498)),Assumptions!$D$6,IF(ISNUMBER(SEARCH(Assumptions!$C$7,F2498)),Assumptions!$D$7,"Other Services"))),"Other Services"))</f>
        <v/>
      </c>
    </row>
    <row r="2499" customFormat="false" ht="15" hidden="false" customHeight="false" outlineLevel="0" collapsed="false">
      <c r="I2499" s="41" t="str">
        <f aca="false">IF(F2499="","",IFERROR(IF(ISNUMBER(SEARCH(Assumptions!$C$5,F2499)),Assumptions!$D$5,IF(ISNUMBER(SEARCH(Assumptions!$C$6,F2499)),Assumptions!$D$6,IF(ISNUMBER(SEARCH(Assumptions!$C$7,F2499)),Assumptions!$D$7,"Other Services"))),"Other Services"))</f>
        <v/>
      </c>
    </row>
    <row r="2500" customFormat="false" ht="15" hidden="false" customHeight="false" outlineLevel="0" collapsed="false">
      <c r="I2500" s="41" t="str">
        <f aca="false">IF(F2500="","",IFERROR(IF(ISNUMBER(SEARCH(Assumptions!$C$5,F2500)),Assumptions!$D$5,IF(ISNUMBER(SEARCH(Assumptions!$C$6,F2500)),Assumptions!$D$6,IF(ISNUMBER(SEARCH(Assumptions!$C$7,F2500)),Assumptions!$D$7,"Other Services"))),"Other Services"))</f>
        <v/>
      </c>
    </row>
    <row r="2501" customFormat="false" ht="15" hidden="false" customHeight="false" outlineLevel="0" collapsed="false">
      <c r="I2501" s="41" t="str">
        <f aca="false">IF(F2501="","",IFERROR(IF(ISNUMBER(SEARCH(Assumptions!$C$5,F2501)),Assumptions!$D$5,IF(ISNUMBER(SEARCH(Assumptions!$C$6,F2501)),Assumptions!$D$6,IF(ISNUMBER(SEARCH(Assumptions!$C$7,F2501)),Assumptions!$D$7,"Other Services"))),"Other Services"))</f>
        <v/>
      </c>
    </row>
    <row r="2502" customFormat="false" ht="15" hidden="false" customHeight="false" outlineLevel="0" collapsed="false">
      <c r="I2502" s="41" t="str">
        <f aca="false">IF(F2502="","",IFERROR(IF(ISNUMBER(SEARCH(Assumptions!$C$5,F2502)),Assumptions!$D$5,IF(ISNUMBER(SEARCH(Assumptions!$C$6,F2502)),Assumptions!$D$6,IF(ISNUMBER(SEARCH(Assumptions!$C$7,F2502)),Assumptions!$D$7,"Other Services"))),"Other Services"))</f>
        <v/>
      </c>
    </row>
    <row r="2503" customFormat="false" ht="15" hidden="false" customHeight="false" outlineLevel="0" collapsed="false">
      <c r="I2503" s="41" t="str">
        <f aca="false">IF(F2503="","",IFERROR(IF(ISNUMBER(SEARCH(Assumptions!$C$5,F2503)),Assumptions!$D$5,IF(ISNUMBER(SEARCH(Assumptions!$C$6,F2503)),Assumptions!$D$6,IF(ISNUMBER(SEARCH(Assumptions!$C$7,F2503)),Assumptions!$D$7,"Other Services"))),"Other Services"))</f>
        <v/>
      </c>
    </row>
    <row r="2504" customFormat="false" ht="15" hidden="false" customHeight="false" outlineLevel="0" collapsed="false">
      <c r="I2504" s="41" t="str">
        <f aca="false">IF(F2504="","",IFERROR(IF(ISNUMBER(SEARCH(Assumptions!$C$5,F2504)),Assumptions!$D$5,IF(ISNUMBER(SEARCH(Assumptions!$C$6,F2504)),Assumptions!$D$6,IF(ISNUMBER(SEARCH(Assumptions!$C$7,F2504)),Assumptions!$D$7,"Other Services"))),"Other Services"))</f>
        <v/>
      </c>
    </row>
    <row r="2505" customFormat="false" ht="15" hidden="false" customHeight="false" outlineLevel="0" collapsed="false">
      <c r="I2505" s="41" t="str">
        <f aca="false">IF(F2505="","",IFERROR(IF(ISNUMBER(SEARCH(Assumptions!$C$5,F2505)),Assumptions!$D$5,IF(ISNUMBER(SEARCH(Assumptions!$C$6,F2505)),Assumptions!$D$6,IF(ISNUMBER(SEARCH(Assumptions!$C$7,F2505)),Assumptions!$D$7,"Other Services"))),"Other Services"))</f>
        <v/>
      </c>
    </row>
    <row r="2506" customFormat="false" ht="15" hidden="false" customHeight="false" outlineLevel="0" collapsed="false">
      <c r="I2506" s="41" t="str">
        <f aca="false">IF(F2506="","",IFERROR(IF(ISNUMBER(SEARCH(Assumptions!$C$5,F2506)),Assumptions!$D$5,IF(ISNUMBER(SEARCH(Assumptions!$C$6,F2506)),Assumptions!$D$6,IF(ISNUMBER(SEARCH(Assumptions!$C$7,F2506)),Assumptions!$D$7,"Other Services"))),"Other Services"))</f>
        <v/>
      </c>
    </row>
    <row r="2507" customFormat="false" ht="15" hidden="false" customHeight="false" outlineLevel="0" collapsed="false">
      <c r="I2507" s="41" t="str">
        <f aca="false">IF(F2507="","",IFERROR(IF(ISNUMBER(SEARCH(Assumptions!$C$5,F2507)),Assumptions!$D$5,IF(ISNUMBER(SEARCH(Assumptions!$C$6,F2507)),Assumptions!$D$6,IF(ISNUMBER(SEARCH(Assumptions!$C$7,F2507)),Assumptions!$D$7,"Other Services"))),"Other Services"))</f>
        <v/>
      </c>
    </row>
    <row r="2508" customFormat="false" ht="15" hidden="false" customHeight="false" outlineLevel="0" collapsed="false">
      <c r="I2508" s="41" t="str">
        <f aca="false">IF(F2508="","",IFERROR(IF(ISNUMBER(SEARCH(Assumptions!$C$5,F2508)),Assumptions!$D$5,IF(ISNUMBER(SEARCH(Assumptions!$C$6,F2508)),Assumptions!$D$6,IF(ISNUMBER(SEARCH(Assumptions!$C$7,F2508)),Assumptions!$D$7,"Other Services"))),"Other Services"))</f>
        <v/>
      </c>
    </row>
    <row r="2509" customFormat="false" ht="15" hidden="false" customHeight="false" outlineLevel="0" collapsed="false">
      <c r="I2509" s="41" t="str">
        <f aca="false">IF(F2509="","",IFERROR(IF(ISNUMBER(SEARCH(Assumptions!$C$5,F2509)),Assumptions!$D$5,IF(ISNUMBER(SEARCH(Assumptions!$C$6,F2509)),Assumptions!$D$6,IF(ISNUMBER(SEARCH(Assumptions!$C$7,F2509)),Assumptions!$D$7,"Other Services"))),"Other Services"))</f>
        <v/>
      </c>
    </row>
    <row r="2510" customFormat="false" ht="15" hidden="false" customHeight="false" outlineLevel="0" collapsed="false">
      <c r="I2510" s="41" t="str">
        <f aca="false">IF(F2510="","",IFERROR(IF(ISNUMBER(SEARCH(Assumptions!$C$5,F2510)),Assumptions!$D$5,IF(ISNUMBER(SEARCH(Assumptions!$C$6,F2510)),Assumptions!$D$6,IF(ISNUMBER(SEARCH(Assumptions!$C$7,F2510)),Assumptions!$D$7,"Other Services"))),"Other Services"))</f>
        <v/>
      </c>
    </row>
    <row r="2511" customFormat="false" ht="15" hidden="false" customHeight="false" outlineLevel="0" collapsed="false">
      <c r="I2511" s="41" t="str">
        <f aca="false">IF(F2511="","",IFERROR(IF(ISNUMBER(SEARCH(Assumptions!$C$5,F2511)),Assumptions!$D$5,IF(ISNUMBER(SEARCH(Assumptions!$C$6,F2511)),Assumptions!$D$6,IF(ISNUMBER(SEARCH(Assumptions!$C$7,F2511)),Assumptions!$D$7,"Other Services"))),"Other Services"))</f>
        <v/>
      </c>
    </row>
    <row r="2512" customFormat="false" ht="15" hidden="false" customHeight="false" outlineLevel="0" collapsed="false">
      <c r="I2512" s="41" t="str">
        <f aca="false">IF(F2512="","",IFERROR(IF(ISNUMBER(SEARCH(Assumptions!$C$5,F2512)),Assumptions!$D$5,IF(ISNUMBER(SEARCH(Assumptions!$C$6,F2512)),Assumptions!$D$6,IF(ISNUMBER(SEARCH(Assumptions!$C$7,F2512)),Assumptions!$D$7,"Other Services"))),"Other Services"))</f>
        <v/>
      </c>
    </row>
    <row r="2513" customFormat="false" ht="15" hidden="false" customHeight="false" outlineLevel="0" collapsed="false">
      <c r="I2513" s="41" t="str">
        <f aca="false">IF(F2513="","",IFERROR(IF(ISNUMBER(SEARCH(Assumptions!$C$5,F2513)),Assumptions!$D$5,IF(ISNUMBER(SEARCH(Assumptions!$C$6,F2513)),Assumptions!$D$6,IF(ISNUMBER(SEARCH(Assumptions!$C$7,F2513)),Assumptions!$D$7,"Other Services"))),"Other Services"))</f>
        <v/>
      </c>
    </row>
    <row r="2514" customFormat="false" ht="15" hidden="false" customHeight="false" outlineLevel="0" collapsed="false">
      <c r="I2514" s="41" t="str">
        <f aca="false">IF(F2514="","",IFERROR(IF(ISNUMBER(SEARCH(Assumptions!$C$5,F2514)),Assumptions!$D$5,IF(ISNUMBER(SEARCH(Assumptions!$C$6,F2514)),Assumptions!$D$6,IF(ISNUMBER(SEARCH(Assumptions!$C$7,F2514)),Assumptions!$D$7,"Other Services"))),"Other Services"))</f>
        <v/>
      </c>
    </row>
    <row r="2515" customFormat="false" ht="15" hidden="false" customHeight="false" outlineLevel="0" collapsed="false">
      <c r="I2515" s="41" t="str">
        <f aca="false">IF(F2515="","",IFERROR(IF(ISNUMBER(SEARCH(Assumptions!$C$5,F2515)),Assumptions!$D$5,IF(ISNUMBER(SEARCH(Assumptions!$C$6,F2515)),Assumptions!$D$6,IF(ISNUMBER(SEARCH(Assumptions!$C$7,F2515)),Assumptions!$D$7,"Other Services"))),"Other Services"))</f>
        <v/>
      </c>
    </row>
    <row r="2516" customFormat="false" ht="15" hidden="false" customHeight="false" outlineLevel="0" collapsed="false">
      <c r="I2516" s="41" t="str">
        <f aca="false">IF(F2516="","",IFERROR(IF(ISNUMBER(SEARCH(Assumptions!$C$5,F2516)),Assumptions!$D$5,IF(ISNUMBER(SEARCH(Assumptions!$C$6,F2516)),Assumptions!$D$6,IF(ISNUMBER(SEARCH(Assumptions!$C$7,F2516)),Assumptions!$D$7,"Other Services"))),"Other Services"))</f>
        <v/>
      </c>
    </row>
    <row r="2517" customFormat="false" ht="15" hidden="false" customHeight="false" outlineLevel="0" collapsed="false">
      <c r="I2517" s="41" t="str">
        <f aca="false">IF(F2517="","",IFERROR(IF(ISNUMBER(SEARCH(Assumptions!$C$5,F2517)),Assumptions!$D$5,IF(ISNUMBER(SEARCH(Assumptions!$C$6,F2517)),Assumptions!$D$6,IF(ISNUMBER(SEARCH(Assumptions!$C$7,F2517)),Assumptions!$D$7,"Other Services"))),"Other Services"))</f>
        <v/>
      </c>
    </row>
    <row r="2518" customFormat="false" ht="15" hidden="false" customHeight="false" outlineLevel="0" collapsed="false">
      <c r="I2518" s="41" t="str">
        <f aca="false">IF(F2518="","",IFERROR(IF(ISNUMBER(SEARCH(Assumptions!$C$5,F2518)),Assumptions!$D$5,IF(ISNUMBER(SEARCH(Assumptions!$C$6,F2518)),Assumptions!$D$6,IF(ISNUMBER(SEARCH(Assumptions!$C$7,F2518)),Assumptions!$D$7,"Other Services"))),"Other Services"))</f>
        <v/>
      </c>
    </row>
    <row r="2519" customFormat="false" ht="15" hidden="false" customHeight="false" outlineLevel="0" collapsed="false">
      <c r="I2519" s="41" t="str">
        <f aca="false">IF(F2519="","",IFERROR(IF(ISNUMBER(SEARCH(Assumptions!$C$5,F2519)),Assumptions!$D$5,IF(ISNUMBER(SEARCH(Assumptions!$C$6,F2519)),Assumptions!$D$6,IF(ISNUMBER(SEARCH(Assumptions!$C$7,F2519)),Assumptions!$D$7,"Other Services"))),"Other Services"))</f>
        <v/>
      </c>
    </row>
    <row r="2520" customFormat="false" ht="15" hidden="false" customHeight="false" outlineLevel="0" collapsed="false">
      <c r="I2520" s="41" t="str">
        <f aca="false">IF(F2520="","",IFERROR(IF(ISNUMBER(SEARCH(Assumptions!$C$5,F2520)),Assumptions!$D$5,IF(ISNUMBER(SEARCH(Assumptions!$C$6,F2520)),Assumptions!$D$6,IF(ISNUMBER(SEARCH(Assumptions!$C$7,F2520)),Assumptions!$D$7,"Other Services"))),"Other Services"))</f>
        <v/>
      </c>
    </row>
    <row r="2521" customFormat="false" ht="15" hidden="false" customHeight="false" outlineLevel="0" collapsed="false">
      <c r="I2521" s="41" t="str">
        <f aca="false">IF(F2521="","",IFERROR(IF(ISNUMBER(SEARCH(Assumptions!$C$5,F2521)),Assumptions!$D$5,IF(ISNUMBER(SEARCH(Assumptions!$C$6,F2521)),Assumptions!$D$6,IF(ISNUMBER(SEARCH(Assumptions!$C$7,F2521)),Assumptions!$D$7,"Other Services"))),"Other Services"))</f>
        <v/>
      </c>
    </row>
    <row r="2522" customFormat="false" ht="15" hidden="false" customHeight="false" outlineLevel="0" collapsed="false">
      <c r="I2522" s="41" t="str">
        <f aca="false">IF(F2522="","",IFERROR(IF(ISNUMBER(SEARCH(Assumptions!$C$5,F2522)),Assumptions!$D$5,IF(ISNUMBER(SEARCH(Assumptions!$C$6,F2522)),Assumptions!$D$6,IF(ISNUMBER(SEARCH(Assumptions!$C$7,F2522)),Assumptions!$D$7,"Other Services"))),"Other Services"))</f>
        <v/>
      </c>
    </row>
    <row r="2523" customFormat="false" ht="15" hidden="false" customHeight="false" outlineLevel="0" collapsed="false">
      <c r="I2523" s="41" t="str">
        <f aca="false">IF(F2523="","",IFERROR(IF(ISNUMBER(SEARCH(Assumptions!$C$5,F2523)),Assumptions!$D$5,IF(ISNUMBER(SEARCH(Assumptions!$C$6,F2523)),Assumptions!$D$6,IF(ISNUMBER(SEARCH(Assumptions!$C$7,F2523)),Assumptions!$D$7,"Other Services"))),"Other Services"))</f>
        <v/>
      </c>
    </row>
    <row r="2524" customFormat="false" ht="15" hidden="false" customHeight="false" outlineLevel="0" collapsed="false">
      <c r="I2524" s="41" t="str">
        <f aca="false">IF(F2524="","",IFERROR(IF(ISNUMBER(SEARCH(Assumptions!$C$5,F2524)),Assumptions!$D$5,IF(ISNUMBER(SEARCH(Assumptions!$C$6,F2524)),Assumptions!$D$6,IF(ISNUMBER(SEARCH(Assumptions!$C$7,F2524)),Assumptions!$D$7,"Other Services"))),"Other Services"))</f>
        <v/>
      </c>
    </row>
    <row r="2525" customFormat="false" ht="15" hidden="false" customHeight="false" outlineLevel="0" collapsed="false">
      <c r="I2525" s="41" t="str">
        <f aca="false">IF(F2525="","",IFERROR(IF(ISNUMBER(SEARCH(Assumptions!$C$5,F2525)),Assumptions!$D$5,IF(ISNUMBER(SEARCH(Assumptions!$C$6,F2525)),Assumptions!$D$6,IF(ISNUMBER(SEARCH(Assumptions!$C$7,F2525)),Assumptions!$D$7,"Other Services"))),"Other Services"))</f>
        <v/>
      </c>
    </row>
    <row r="2526" customFormat="false" ht="15" hidden="false" customHeight="false" outlineLevel="0" collapsed="false">
      <c r="I2526" s="41" t="str">
        <f aca="false">IF(F2526="","",IFERROR(IF(ISNUMBER(SEARCH(Assumptions!$C$5,F2526)),Assumptions!$D$5,IF(ISNUMBER(SEARCH(Assumptions!$C$6,F2526)),Assumptions!$D$6,IF(ISNUMBER(SEARCH(Assumptions!$C$7,F2526)),Assumptions!$D$7,"Other Services"))),"Other Services"))</f>
        <v/>
      </c>
    </row>
    <row r="2527" customFormat="false" ht="15" hidden="false" customHeight="false" outlineLevel="0" collapsed="false">
      <c r="I2527" s="41" t="str">
        <f aca="false">IF(F2527="","",IFERROR(IF(ISNUMBER(SEARCH(Assumptions!$C$5,F2527)),Assumptions!$D$5,IF(ISNUMBER(SEARCH(Assumptions!$C$6,F2527)),Assumptions!$D$6,IF(ISNUMBER(SEARCH(Assumptions!$C$7,F2527)),Assumptions!$D$7,"Other Services"))),"Other Services"))</f>
        <v/>
      </c>
    </row>
    <row r="2528" customFormat="false" ht="15" hidden="false" customHeight="false" outlineLevel="0" collapsed="false">
      <c r="I2528" s="41" t="str">
        <f aca="false">IF(F2528="","",IFERROR(IF(ISNUMBER(SEARCH(Assumptions!$C$5,F2528)),Assumptions!$D$5,IF(ISNUMBER(SEARCH(Assumptions!$C$6,F2528)),Assumptions!$D$6,IF(ISNUMBER(SEARCH(Assumptions!$C$7,F2528)),Assumptions!$D$7,"Other Services"))),"Other Services"))</f>
        <v/>
      </c>
    </row>
    <row r="2529" customFormat="false" ht="15" hidden="false" customHeight="false" outlineLevel="0" collapsed="false">
      <c r="I2529" s="41" t="str">
        <f aca="false">IF(F2529="","",IFERROR(IF(ISNUMBER(SEARCH(Assumptions!$C$5,F2529)),Assumptions!$D$5,IF(ISNUMBER(SEARCH(Assumptions!$C$6,F2529)),Assumptions!$D$6,IF(ISNUMBER(SEARCH(Assumptions!$C$7,F2529)),Assumptions!$D$7,"Other Services"))),"Other Services"))</f>
        <v/>
      </c>
    </row>
    <row r="2530" customFormat="false" ht="15" hidden="false" customHeight="false" outlineLevel="0" collapsed="false">
      <c r="I2530" s="41" t="str">
        <f aca="false">IF(F2530="","",IFERROR(IF(ISNUMBER(SEARCH(Assumptions!$C$5,F2530)),Assumptions!$D$5,IF(ISNUMBER(SEARCH(Assumptions!$C$6,F2530)),Assumptions!$D$6,IF(ISNUMBER(SEARCH(Assumptions!$C$7,F2530)),Assumptions!$D$7,"Other Services"))),"Other Services"))</f>
        <v/>
      </c>
    </row>
    <row r="2531" customFormat="false" ht="15" hidden="false" customHeight="false" outlineLevel="0" collapsed="false">
      <c r="I2531" s="41" t="str">
        <f aca="false">IF(F2531="","",IFERROR(IF(ISNUMBER(SEARCH(Assumptions!$C$5,F2531)),Assumptions!$D$5,IF(ISNUMBER(SEARCH(Assumptions!$C$6,F2531)),Assumptions!$D$6,IF(ISNUMBER(SEARCH(Assumptions!$C$7,F2531)),Assumptions!$D$7,"Other Services"))),"Other Services"))</f>
        <v/>
      </c>
    </row>
    <row r="2532" customFormat="false" ht="15" hidden="false" customHeight="false" outlineLevel="0" collapsed="false">
      <c r="I2532" s="41" t="str">
        <f aca="false">IF(F2532="","",IFERROR(IF(ISNUMBER(SEARCH(Assumptions!$C$5,F2532)),Assumptions!$D$5,IF(ISNUMBER(SEARCH(Assumptions!$C$6,F2532)),Assumptions!$D$6,IF(ISNUMBER(SEARCH(Assumptions!$C$7,F2532)),Assumptions!$D$7,"Other Services"))),"Other Services"))</f>
        <v/>
      </c>
    </row>
    <row r="2533" customFormat="false" ht="15" hidden="false" customHeight="false" outlineLevel="0" collapsed="false">
      <c r="I2533" s="41" t="str">
        <f aca="false">IF(F2533="","",IFERROR(IF(ISNUMBER(SEARCH(Assumptions!$C$5,F2533)),Assumptions!$D$5,IF(ISNUMBER(SEARCH(Assumptions!$C$6,F2533)),Assumptions!$D$6,IF(ISNUMBER(SEARCH(Assumptions!$C$7,F2533)),Assumptions!$D$7,"Other Services"))),"Other Services"))</f>
        <v/>
      </c>
    </row>
    <row r="2534" customFormat="false" ht="15" hidden="false" customHeight="false" outlineLevel="0" collapsed="false">
      <c r="I2534" s="41" t="str">
        <f aca="false">IF(F2534="","",IFERROR(IF(ISNUMBER(SEARCH(Assumptions!$C$5,F2534)),Assumptions!$D$5,IF(ISNUMBER(SEARCH(Assumptions!$C$6,F2534)),Assumptions!$D$6,IF(ISNUMBER(SEARCH(Assumptions!$C$7,F2534)),Assumptions!$D$7,"Other Services"))),"Other Services"))</f>
        <v/>
      </c>
    </row>
    <row r="2535" customFormat="false" ht="15" hidden="false" customHeight="false" outlineLevel="0" collapsed="false">
      <c r="I2535" s="41" t="str">
        <f aca="false">IF(F2535="","",IFERROR(IF(ISNUMBER(SEARCH(Assumptions!$C$5,F2535)),Assumptions!$D$5,IF(ISNUMBER(SEARCH(Assumptions!$C$6,F2535)),Assumptions!$D$6,IF(ISNUMBER(SEARCH(Assumptions!$C$7,F2535)),Assumptions!$D$7,"Other Services"))),"Other Services"))</f>
        <v/>
      </c>
    </row>
    <row r="2536" customFormat="false" ht="15" hidden="false" customHeight="false" outlineLevel="0" collapsed="false">
      <c r="I2536" s="41" t="str">
        <f aca="false">IF(F2536="","",IFERROR(IF(ISNUMBER(SEARCH(Assumptions!$C$5,F2536)),Assumptions!$D$5,IF(ISNUMBER(SEARCH(Assumptions!$C$6,F2536)),Assumptions!$D$6,IF(ISNUMBER(SEARCH(Assumptions!$C$7,F2536)),Assumptions!$D$7,"Other Services"))),"Other Services"))</f>
        <v/>
      </c>
    </row>
    <row r="2537" customFormat="false" ht="15" hidden="false" customHeight="false" outlineLevel="0" collapsed="false">
      <c r="I2537" s="41" t="str">
        <f aca="false">IF(F2537="","",IFERROR(IF(ISNUMBER(SEARCH(Assumptions!$C$5,F2537)),Assumptions!$D$5,IF(ISNUMBER(SEARCH(Assumptions!$C$6,F2537)),Assumptions!$D$6,IF(ISNUMBER(SEARCH(Assumptions!$C$7,F2537)),Assumptions!$D$7,"Other Services"))),"Other Services"))</f>
        <v/>
      </c>
    </row>
    <row r="2538" customFormat="false" ht="15" hidden="false" customHeight="false" outlineLevel="0" collapsed="false">
      <c r="I2538" s="41" t="str">
        <f aca="false">IF(F2538="","",IFERROR(IF(ISNUMBER(SEARCH(Assumptions!$C$5,F2538)),Assumptions!$D$5,IF(ISNUMBER(SEARCH(Assumptions!$C$6,F2538)),Assumptions!$D$6,IF(ISNUMBER(SEARCH(Assumptions!$C$7,F2538)),Assumptions!$D$7,"Other Services"))),"Other Services"))</f>
        <v/>
      </c>
    </row>
    <row r="2539" customFormat="false" ht="15" hidden="false" customHeight="false" outlineLevel="0" collapsed="false">
      <c r="I2539" s="41" t="str">
        <f aca="false">IF(F2539="","",IFERROR(IF(ISNUMBER(SEARCH(Assumptions!$C$5,F2539)),Assumptions!$D$5,IF(ISNUMBER(SEARCH(Assumptions!$C$6,F2539)),Assumptions!$D$6,IF(ISNUMBER(SEARCH(Assumptions!$C$7,F2539)),Assumptions!$D$7,"Other Services"))),"Other Services"))</f>
        <v/>
      </c>
    </row>
    <row r="2540" customFormat="false" ht="15" hidden="false" customHeight="false" outlineLevel="0" collapsed="false">
      <c r="I2540" s="41" t="str">
        <f aca="false">IF(F2540="","",IFERROR(IF(ISNUMBER(SEARCH(Assumptions!$C$5,F2540)),Assumptions!$D$5,IF(ISNUMBER(SEARCH(Assumptions!$C$6,F2540)),Assumptions!$D$6,IF(ISNUMBER(SEARCH(Assumptions!$C$7,F2540)),Assumptions!$D$7,"Other Services"))),"Other Services"))</f>
        <v/>
      </c>
    </row>
    <row r="2541" customFormat="false" ht="15" hidden="false" customHeight="false" outlineLevel="0" collapsed="false">
      <c r="I2541" s="41" t="str">
        <f aca="false">IF(F2541="","",IFERROR(IF(ISNUMBER(SEARCH(Assumptions!$C$5,F2541)),Assumptions!$D$5,IF(ISNUMBER(SEARCH(Assumptions!$C$6,F2541)),Assumptions!$D$6,IF(ISNUMBER(SEARCH(Assumptions!$C$7,F2541)),Assumptions!$D$7,"Other Services"))),"Other Services"))</f>
        <v/>
      </c>
    </row>
    <row r="2542" customFormat="false" ht="15" hidden="false" customHeight="false" outlineLevel="0" collapsed="false">
      <c r="I2542" s="41" t="str">
        <f aca="false">IF(F2542="","",IFERROR(IF(ISNUMBER(SEARCH(Assumptions!$C$5,F2542)),Assumptions!$D$5,IF(ISNUMBER(SEARCH(Assumptions!$C$6,F2542)),Assumptions!$D$6,IF(ISNUMBER(SEARCH(Assumptions!$C$7,F2542)),Assumptions!$D$7,"Other Services"))),"Other Services"))</f>
        <v/>
      </c>
    </row>
    <row r="2543" customFormat="false" ht="15" hidden="false" customHeight="false" outlineLevel="0" collapsed="false">
      <c r="I2543" s="41" t="str">
        <f aca="false">IF(F2543="","",IFERROR(IF(ISNUMBER(SEARCH(Assumptions!$C$5,F2543)),Assumptions!$D$5,IF(ISNUMBER(SEARCH(Assumptions!$C$6,F2543)),Assumptions!$D$6,IF(ISNUMBER(SEARCH(Assumptions!$C$7,F2543)),Assumptions!$D$7,"Other Services"))),"Other Services"))</f>
        <v/>
      </c>
    </row>
    <row r="2544" customFormat="false" ht="15" hidden="false" customHeight="false" outlineLevel="0" collapsed="false">
      <c r="I2544" s="41" t="str">
        <f aca="false">IF(F2544="","",IFERROR(IF(ISNUMBER(SEARCH(Assumptions!$C$5,F2544)),Assumptions!$D$5,IF(ISNUMBER(SEARCH(Assumptions!$C$6,F2544)),Assumptions!$D$6,IF(ISNUMBER(SEARCH(Assumptions!$C$7,F2544)),Assumptions!$D$7,"Other Services"))),"Other Services"))</f>
        <v/>
      </c>
    </row>
    <row r="2545" customFormat="false" ht="15" hidden="false" customHeight="false" outlineLevel="0" collapsed="false">
      <c r="I2545" s="41" t="str">
        <f aca="false">IF(F2545="","",IFERROR(IF(ISNUMBER(SEARCH(Assumptions!$C$5,F2545)),Assumptions!$D$5,IF(ISNUMBER(SEARCH(Assumptions!$C$6,F2545)),Assumptions!$D$6,IF(ISNUMBER(SEARCH(Assumptions!$C$7,F2545)),Assumptions!$D$7,"Other Services"))),"Other Services"))</f>
        <v/>
      </c>
    </row>
    <row r="2546" customFormat="false" ht="15" hidden="false" customHeight="false" outlineLevel="0" collapsed="false">
      <c r="I2546" s="41" t="str">
        <f aca="false">IF(F2546="","",IFERROR(IF(ISNUMBER(SEARCH(Assumptions!$C$5,F2546)),Assumptions!$D$5,IF(ISNUMBER(SEARCH(Assumptions!$C$6,F2546)),Assumptions!$D$6,IF(ISNUMBER(SEARCH(Assumptions!$C$7,F2546)),Assumptions!$D$7,"Other Services"))),"Other Services"))</f>
        <v/>
      </c>
    </row>
    <row r="2547" customFormat="false" ht="15" hidden="false" customHeight="false" outlineLevel="0" collapsed="false">
      <c r="I2547" s="41" t="str">
        <f aca="false">IF(F2547="","",IFERROR(IF(ISNUMBER(SEARCH(Assumptions!$C$5,F2547)),Assumptions!$D$5,IF(ISNUMBER(SEARCH(Assumptions!$C$6,F2547)),Assumptions!$D$6,IF(ISNUMBER(SEARCH(Assumptions!$C$7,F2547)),Assumptions!$D$7,"Other Services"))),"Other Services"))</f>
        <v/>
      </c>
    </row>
    <row r="2548" customFormat="false" ht="15" hidden="false" customHeight="false" outlineLevel="0" collapsed="false">
      <c r="I2548" s="41" t="str">
        <f aca="false">IF(F2548="","",IFERROR(IF(ISNUMBER(SEARCH(Assumptions!$C$5,F2548)),Assumptions!$D$5,IF(ISNUMBER(SEARCH(Assumptions!$C$6,F2548)),Assumptions!$D$6,IF(ISNUMBER(SEARCH(Assumptions!$C$7,F2548)),Assumptions!$D$7,"Other Services"))),"Other Services"))</f>
        <v/>
      </c>
    </row>
    <row r="2549" customFormat="false" ht="15" hidden="false" customHeight="false" outlineLevel="0" collapsed="false">
      <c r="I2549" s="41" t="str">
        <f aca="false">IF(F2549="","",IFERROR(IF(ISNUMBER(SEARCH(Assumptions!$C$5,F2549)),Assumptions!$D$5,IF(ISNUMBER(SEARCH(Assumptions!$C$6,F2549)),Assumptions!$D$6,IF(ISNUMBER(SEARCH(Assumptions!$C$7,F2549)),Assumptions!$D$7,"Other Services"))),"Other Services"))</f>
        <v/>
      </c>
    </row>
    <row r="2550" customFormat="false" ht="15" hidden="false" customHeight="false" outlineLevel="0" collapsed="false">
      <c r="I2550" s="41" t="str">
        <f aca="false">IF(F2550="","",IFERROR(IF(ISNUMBER(SEARCH(Assumptions!$C$5,F2550)),Assumptions!$D$5,IF(ISNUMBER(SEARCH(Assumptions!$C$6,F2550)),Assumptions!$D$6,IF(ISNUMBER(SEARCH(Assumptions!$C$7,F2550)),Assumptions!$D$7,"Other Services"))),"Other Services"))</f>
        <v/>
      </c>
    </row>
    <row r="2551" customFormat="false" ht="15" hidden="false" customHeight="false" outlineLevel="0" collapsed="false">
      <c r="I2551" s="41" t="str">
        <f aca="false">IF(F2551="","",IFERROR(IF(ISNUMBER(SEARCH(Assumptions!$C$5,F2551)),Assumptions!$D$5,IF(ISNUMBER(SEARCH(Assumptions!$C$6,F2551)),Assumptions!$D$6,IF(ISNUMBER(SEARCH(Assumptions!$C$7,F2551)),Assumptions!$D$7,"Other Services"))),"Other Services"))</f>
        <v/>
      </c>
    </row>
    <row r="2552" customFormat="false" ht="15" hidden="false" customHeight="false" outlineLevel="0" collapsed="false">
      <c r="I2552" s="41" t="str">
        <f aca="false">IF(F2552="","",IFERROR(IF(ISNUMBER(SEARCH(Assumptions!$C$5,F2552)),Assumptions!$D$5,IF(ISNUMBER(SEARCH(Assumptions!$C$6,F2552)),Assumptions!$D$6,IF(ISNUMBER(SEARCH(Assumptions!$C$7,F2552)),Assumptions!$D$7,"Other Services"))),"Other Services"))</f>
        <v/>
      </c>
    </row>
    <row r="2553" customFormat="false" ht="15" hidden="false" customHeight="false" outlineLevel="0" collapsed="false">
      <c r="I2553" s="41" t="str">
        <f aca="false">IF(F2553="","",IFERROR(IF(ISNUMBER(SEARCH(Assumptions!$C$5,F2553)),Assumptions!$D$5,IF(ISNUMBER(SEARCH(Assumptions!$C$6,F2553)),Assumptions!$D$6,IF(ISNUMBER(SEARCH(Assumptions!$C$7,F2553)),Assumptions!$D$7,"Other Services"))),"Other Services"))</f>
        <v/>
      </c>
    </row>
    <row r="2554" customFormat="false" ht="15" hidden="false" customHeight="false" outlineLevel="0" collapsed="false">
      <c r="I2554" s="41" t="str">
        <f aca="false">IF(F2554="","",IFERROR(IF(ISNUMBER(SEARCH(Assumptions!$C$5,F2554)),Assumptions!$D$5,IF(ISNUMBER(SEARCH(Assumptions!$C$6,F2554)),Assumptions!$D$6,IF(ISNUMBER(SEARCH(Assumptions!$C$7,F2554)),Assumptions!$D$7,"Other Services"))),"Other Services"))</f>
        <v/>
      </c>
    </row>
    <row r="2555" customFormat="false" ht="15" hidden="false" customHeight="false" outlineLevel="0" collapsed="false">
      <c r="I2555" s="41" t="str">
        <f aca="false">IF(F2555="","",IFERROR(IF(ISNUMBER(SEARCH(Assumptions!$C$5,F2555)),Assumptions!$D$5,IF(ISNUMBER(SEARCH(Assumptions!$C$6,F2555)),Assumptions!$D$6,IF(ISNUMBER(SEARCH(Assumptions!$C$7,F2555)),Assumptions!$D$7,"Other Services"))),"Other Services"))</f>
        <v/>
      </c>
    </row>
    <row r="2556" customFormat="false" ht="15" hidden="false" customHeight="false" outlineLevel="0" collapsed="false">
      <c r="I2556" s="41" t="str">
        <f aca="false">IF(F2556="","",IFERROR(IF(ISNUMBER(SEARCH(Assumptions!$C$5,F2556)),Assumptions!$D$5,IF(ISNUMBER(SEARCH(Assumptions!$C$6,F2556)),Assumptions!$D$6,IF(ISNUMBER(SEARCH(Assumptions!$C$7,F2556)),Assumptions!$D$7,"Other Services"))),"Other Services"))</f>
        <v/>
      </c>
    </row>
    <row r="2557" customFormat="false" ht="15" hidden="false" customHeight="false" outlineLevel="0" collapsed="false">
      <c r="I2557" s="41" t="str">
        <f aca="false">IF(F2557="","",IFERROR(IF(ISNUMBER(SEARCH(Assumptions!$C$5,F2557)),Assumptions!$D$5,IF(ISNUMBER(SEARCH(Assumptions!$C$6,F2557)),Assumptions!$D$6,IF(ISNUMBER(SEARCH(Assumptions!$C$7,F2557)),Assumptions!$D$7,"Other Services"))),"Other Services"))</f>
        <v/>
      </c>
    </row>
    <row r="2558" customFormat="false" ht="15" hidden="false" customHeight="false" outlineLevel="0" collapsed="false">
      <c r="I2558" s="41" t="str">
        <f aca="false">IF(F2558="","",IFERROR(IF(ISNUMBER(SEARCH(Assumptions!$C$5,F2558)),Assumptions!$D$5,IF(ISNUMBER(SEARCH(Assumptions!$C$6,F2558)),Assumptions!$D$6,IF(ISNUMBER(SEARCH(Assumptions!$C$7,F2558)),Assumptions!$D$7,"Other Services"))),"Other Services"))</f>
        <v/>
      </c>
    </row>
    <row r="2559" customFormat="false" ht="15" hidden="false" customHeight="false" outlineLevel="0" collapsed="false">
      <c r="I2559" s="41" t="str">
        <f aca="false">IF(F2559="","",IFERROR(IF(ISNUMBER(SEARCH(Assumptions!$C$5,F2559)),Assumptions!$D$5,IF(ISNUMBER(SEARCH(Assumptions!$C$6,F2559)),Assumptions!$D$6,IF(ISNUMBER(SEARCH(Assumptions!$C$7,F2559)),Assumptions!$D$7,"Other Services"))),"Other Services"))</f>
        <v/>
      </c>
    </row>
    <row r="2560" customFormat="false" ht="15" hidden="false" customHeight="false" outlineLevel="0" collapsed="false">
      <c r="I2560" s="41" t="str">
        <f aca="false">IF(F2560="","",IFERROR(IF(ISNUMBER(SEARCH(Assumptions!$C$5,F2560)),Assumptions!$D$5,IF(ISNUMBER(SEARCH(Assumptions!$C$6,F2560)),Assumptions!$D$6,IF(ISNUMBER(SEARCH(Assumptions!$C$7,F2560)),Assumptions!$D$7,"Other Services"))),"Other Services"))</f>
        <v/>
      </c>
    </row>
    <row r="2561" customFormat="false" ht="15" hidden="false" customHeight="false" outlineLevel="0" collapsed="false">
      <c r="I2561" s="41" t="str">
        <f aca="false">IF(F2561="","",IFERROR(IF(ISNUMBER(SEARCH(Assumptions!$C$5,F2561)),Assumptions!$D$5,IF(ISNUMBER(SEARCH(Assumptions!$C$6,F2561)),Assumptions!$D$6,IF(ISNUMBER(SEARCH(Assumptions!$C$7,F2561)),Assumptions!$D$7,"Other Services"))),"Other Services"))</f>
        <v/>
      </c>
    </row>
    <row r="2562" customFormat="false" ht="15" hidden="false" customHeight="false" outlineLevel="0" collapsed="false">
      <c r="I2562" s="41" t="str">
        <f aca="false">IF(F2562="","",IFERROR(IF(ISNUMBER(SEARCH(Assumptions!$C$5,F2562)),Assumptions!$D$5,IF(ISNUMBER(SEARCH(Assumptions!$C$6,F2562)),Assumptions!$D$6,IF(ISNUMBER(SEARCH(Assumptions!$C$7,F2562)),Assumptions!$D$7,"Other Services"))),"Other Services"))</f>
        <v/>
      </c>
    </row>
    <row r="2563" customFormat="false" ht="15" hidden="false" customHeight="false" outlineLevel="0" collapsed="false">
      <c r="I2563" s="41" t="str">
        <f aca="false">IF(F2563="","",IFERROR(IF(ISNUMBER(SEARCH(Assumptions!$C$5,F2563)),Assumptions!$D$5,IF(ISNUMBER(SEARCH(Assumptions!$C$6,F2563)),Assumptions!$D$6,IF(ISNUMBER(SEARCH(Assumptions!$C$7,F2563)),Assumptions!$D$7,"Other Services"))),"Other Services"))</f>
        <v/>
      </c>
    </row>
    <row r="2564" customFormat="false" ht="15" hidden="false" customHeight="false" outlineLevel="0" collapsed="false">
      <c r="I2564" s="41" t="str">
        <f aca="false">IF(F2564="","",IFERROR(IF(ISNUMBER(SEARCH(Assumptions!$C$5,F2564)),Assumptions!$D$5,IF(ISNUMBER(SEARCH(Assumptions!$C$6,F2564)),Assumptions!$D$6,IF(ISNUMBER(SEARCH(Assumptions!$C$7,F2564)),Assumptions!$D$7,"Other Services"))),"Other Services"))</f>
        <v/>
      </c>
    </row>
    <row r="2565" customFormat="false" ht="15" hidden="false" customHeight="false" outlineLevel="0" collapsed="false">
      <c r="I2565" s="41" t="str">
        <f aca="false">IF(F2565="","",IFERROR(IF(ISNUMBER(SEARCH(Assumptions!$C$5,F2565)),Assumptions!$D$5,IF(ISNUMBER(SEARCH(Assumptions!$C$6,F2565)),Assumptions!$D$6,IF(ISNUMBER(SEARCH(Assumptions!$C$7,F2565)),Assumptions!$D$7,"Other Services"))),"Other Services"))</f>
        <v/>
      </c>
    </row>
    <row r="2566" customFormat="false" ht="15" hidden="false" customHeight="false" outlineLevel="0" collapsed="false">
      <c r="I2566" s="41" t="str">
        <f aca="false">IF(F2566="","",IFERROR(IF(ISNUMBER(SEARCH(Assumptions!$C$5,F2566)),Assumptions!$D$5,IF(ISNUMBER(SEARCH(Assumptions!$C$6,F2566)),Assumptions!$D$6,IF(ISNUMBER(SEARCH(Assumptions!$C$7,F2566)),Assumptions!$D$7,"Other Services"))),"Other Services"))</f>
        <v/>
      </c>
    </row>
    <row r="2567" customFormat="false" ht="15" hidden="false" customHeight="false" outlineLevel="0" collapsed="false">
      <c r="I2567" s="41" t="str">
        <f aca="false">IF(F2567="","",IFERROR(IF(ISNUMBER(SEARCH(Assumptions!$C$5,F2567)),Assumptions!$D$5,IF(ISNUMBER(SEARCH(Assumptions!$C$6,F2567)),Assumptions!$D$6,IF(ISNUMBER(SEARCH(Assumptions!$C$7,F2567)),Assumptions!$D$7,"Other Services"))),"Other Services"))</f>
        <v/>
      </c>
    </row>
    <row r="2568" customFormat="false" ht="15" hidden="false" customHeight="false" outlineLevel="0" collapsed="false">
      <c r="I2568" s="41" t="str">
        <f aca="false">IF(F2568="","",IFERROR(IF(ISNUMBER(SEARCH(Assumptions!$C$5,F2568)),Assumptions!$D$5,IF(ISNUMBER(SEARCH(Assumptions!$C$6,F2568)),Assumptions!$D$6,IF(ISNUMBER(SEARCH(Assumptions!$C$7,F2568)),Assumptions!$D$7,"Other Services"))),"Other Services"))</f>
        <v/>
      </c>
    </row>
    <row r="2569" customFormat="false" ht="15" hidden="false" customHeight="false" outlineLevel="0" collapsed="false">
      <c r="I2569" s="41" t="str">
        <f aca="false">IF(F2569="","",IFERROR(IF(ISNUMBER(SEARCH(Assumptions!$C$5,F2569)),Assumptions!$D$5,IF(ISNUMBER(SEARCH(Assumptions!$C$6,F2569)),Assumptions!$D$6,IF(ISNUMBER(SEARCH(Assumptions!$C$7,F2569)),Assumptions!$D$7,"Other Services"))),"Other Services"))</f>
        <v/>
      </c>
    </row>
    <row r="2570" customFormat="false" ht="15" hidden="false" customHeight="false" outlineLevel="0" collapsed="false">
      <c r="I2570" s="41" t="str">
        <f aca="false">IF(F2570="","",IFERROR(IF(ISNUMBER(SEARCH(Assumptions!$C$5,F2570)),Assumptions!$D$5,IF(ISNUMBER(SEARCH(Assumptions!$C$6,F2570)),Assumptions!$D$6,IF(ISNUMBER(SEARCH(Assumptions!$C$7,F2570)),Assumptions!$D$7,"Other Services"))),"Other Services"))</f>
        <v/>
      </c>
    </row>
    <row r="2571" customFormat="false" ht="15" hidden="false" customHeight="false" outlineLevel="0" collapsed="false">
      <c r="I2571" s="41" t="str">
        <f aca="false">IF(F2571="","",IFERROR(IF(ISNUMBER(SEARCH(Assumptions!$C$5,F2571)),Assumptions!$D$5,IF(ISNUMBER(SEARCH(Assumptions!$C$6,F2571)),Assumptions!$D$6,IF(ISNUMBER(SEARCH(Assumptions!$C$7,F2571)),Assumptions!$D$7,"Other Services"))),"Other Services"))</f>
        <v/>
      </c>
    </row>
    <row r="2572" customFormat="false" ht="15" hidden="false" customHeight="false" outlineLevel="0" collapsed="false">
      <c r="I2572" s="41" t="str">
        <f aca="false">IF(F2572="","",IFERROR(IF(ISNUMBER(SEARCH(Assumptions!$C$5,F2572)),Assumptions!$D$5,IF(ISNUMBER(SEARCH(Assumptions!$C$6,F2572)),Assumptions!$D$6,IF(ISNUMBER(SEARCH(Assumptions!$C$7,F2572)),Assumptions!$D$7,"Other Services"))),"Other Services"))</f>
        <v/>
      </c>
    </row>
    <row r="2573" customFormat="false" ht="15" hidden="false" customHeight="false" outlineLevel="0" collapsed="false">
      <c r="I2573" s="41" t="str">
        <f aca="false">IF(F2573="","",IFERROR(IF(ISNUMBER(SEARCH(Assumptions!$C$5,F2573)),Assumptions!$D$5,IF(ISNUMBER(SEARCH(Assumptions!$C$6,F2573)),Assumptions!$D$6,IF(ISNUMBER(SEARCH(Assumptions!$C$7,F2573)),Assumptions!$D$7,"Other Services"))),"Other Services"))</f>
        <v/>
      </c>
    </row>
    <row r="2574" customFormat="false" ht="15" hidden="false" customHeight="false" outlineLevel="0" collapsed="false">
      <c r="I2574" s="41" t="str">
        <f aca="false">IF(F2574="","",IFERROR(IF(ISNUMBER(SEARCH(Assumptions!$C$5,F2574)),Assumptions!$D$5,IF(ISNUMBER(SEARCH(Assumptions!$C$6,F2574)),Assumptions!$D$6,IF(ISNUMBER(SEARCH(Assumptions!$C$7,F2574)),Assumptions!$D$7,"Other Services"))),"Other Services"))</f>
        <v/>
      </c>
    </row>
    <row r="2575" customFormat="false" ht="15" hidden="false" customHeight="false" outlineLevel="0" collapsed="false">
      <c r="I2575" s="41" t="str">
        <f aca="false">IF(F2575="","",IFERROR(IF(ISNUMBER(SEARCH(Assumptions!$C$5,F2575)),Assumptions!$D$5,IF(ISNUMBER(SEARCH(Assumptions!$C$6,F2575)),Assumptions!$D$6,IF(ISNUMBER(SEARCH(Assumptions!$C$7,F2575)),Assumptions!$D$7,"Other Services"))),"Other Services"))</f>
        <v/>
      </c>
    </row>
    <row r="2576" customFormat="false" ht="15" hidden="false" customHeight="false" outlineLevel="0" collapsed="false">
      <c r="I2576" s="41" t="str">
        <f aca="false">IF(F2576="","",IFERROR(IF(ISNUMBER(SEARCH(Assumptions!$C$5,F2576)),Assumptions!$D$5,IF(ISNUMBER(SEARCH(Assumptions!$C$6,F2576)),Assumptions!$D$6,IF(ISNUMBER(SEARCH(Assumptions!$C$7,F2576)),Assumptions!$D$7,"Other Services"))),"Other Services"))</f>
        <v/>
      </c>
    </row>
    <row r="2577" customFormat="false" ht="15" hidden="false" customHeight="false" outlineLevel="0" collapsed="false">
      <c r="I2577" s="41" t="str">
        <f aca="false">IF(F2577="","",IFERROR(IF(ISNUMBER(SEARCH(Assumptions!$C$5,F2577)),Assumptions!$D$5,IF(ISNUMBER(SEARCH(Assumptions!$C$6,F2577)),Assumptions!$D$6,IF(ISNUMBER(SEARCH(Assumptions!$C$7,F2577)),Assumptions!$D$7,"Other Services"))),"Other Services"))</f>
        <v/>
      </c>
    </row>
    <row r="2578" customFormat="false" ht="15" hidden="false" customHeight="false" outlineLevel="0" collapsed="false">
      <c r="I2578" s="41" t="str">
        <f aca="false">IF(F2578="","",IFERROR(IF(ISNUMBER(SEARCH(Assumptions!$C$5,F2578)),Assumptions!$D$5,IF(ISNUMBER(SEARCH(Assumptions!$C$6,F2578)),Assumptions!$D$6,IF(ISNUMBER(SEARCH(Assumptions!$C$7,F2578)),Assumptions!$D$7,"Other Services"))),"Other Services"))</f>
        <v/>
      </c>
    </row>
    <row r="2579" customFormat="false" ht="15" hidden="false" customHeight="false" outlineLevel="0" collapsed="false">
      <c r="I2579" s="41" t="str">
        <f aca="false">IF(F2579="","",IFERROR(IF(ISNUMBER(SEARCH(Assumptions!$C$5,F2579)),Assumptions!$D$5,IF(ISNUMBER(SEARCH(Assumptions!$C$6,F2579)),Assumptions!$D$6,IF(ISNUMBER(SEARCH(Assumptions!$C$7,F2579)),Assumptions!$D$7,"Other Services"))),"Other Services"))</f>
        <v/>
      </c>
    </row>
    <row r="2580" customFormat="false" ht="15" hidden="false" customHeight="false" outlineLevel="0" collapsed="false">
      <c r="I2580" s="41" t="str">
        <f aca="false">IF(F2580="","",IFERROR(IF(ISNUMBER(SEARCH(Assumptions!$C$5,F2580)),Assumptions!$D$5,IF(ISNUMBER(SEARCH(Assumptions!$C$6,F2580)),Assumptions!$D$6,IF(ISNUMBER(SEARCH(Assumptions!$C$7,F2580)),Assumptions!$D$7,"Other Services"))),"Other Services"))</f>
        <v/>
      </c>
    </row>
    <row r="2581" customFormat="false" ht="15" hidden="false" customHeight="false" outlineLevel="0" collapsed="false">
      <c r="I2581" s="41" t="str">
        <f aca="false">IF(F2581="","",IFERROR(IF(ISNUMBER(SEARCH(Assumptions!$C$5,F2581)),Assumptions!$D$5,IF(ISNUMBER(SEARCH(Assumptions!$C$6,F2581)),Assumptions!$D$6,IF(ISNUMBER(SEARCH(Assumptions!$C$7,F2581)),Assumptions!$D$7,"Other Services"))),"Other Services"))</f>
        <v/>
      </c>
    </row>
    <row r="2582" customFormat="false" ht="15" hidden="false" customHeight="false" outlineLevel="0" collapsed="false">
      <c r="I2582" s="41" t="str">
        <f aca="false">IF(F2582="","",IFERROR(IF(ISNUMBER(SEARCH(Assumptions!$C$5,F2582)),Assumptions!$D$5,IF(ISNUMBER(SEARCH(Assumptions!$C$6,F2582)),Assumptions!$D$6,IF(ISNUMBER(SEARCH(Assumptions!$C$7,F2582)),Assumptions!$D$7,"Other Services"))),"Other Services"))</f>
        <v/>
      </c>
    </row>
    <row r="2583" customFormat="false" ht="15" hidden="false" customHeight="false" outlineLevel="0" collapsed="false">
      <c r="I2583" s="41" t="str">
        <f aca="false">IF(F2583="","",IFERROR(IF(ISNUMBER(SEARCH(Assumptions!$C$5,F2583)),Assumptions!$D$5,IF(ISNUMBER(SEARCH(Assumptions!$C$6,F2583)),Assumptions!$D$6,IF(ISNUMBER(SEARCH(Assumptions!$C$7,F2583)),Assumptions!$D$7,"Other Services"))),"Other Services"))</f>
        <v/>
      </c>
    </row>
    <row r="2584" customFormat="false" ht="15" hidden="false" customHeight="false" outlineLevel="0" collapsed="false">
      <c r="I2584" s="41" t="str">
        <f aca="false">IF(F2584="","",IFERROR(IF(ISNUMBER(SEARCH(Assumptions!$C$5,F2584)),Assumptions!$D$5,IF(ISNUMBER(SEARCH(Assumptions!$C$6,F2584)),Assumptions!$D$6,IF(ISNUMBER(SEARCH(Assumptions!$C$7,F2584)),Assumptions!$D$7,"Other Services"))),"Other Services"))</f>
        <v/>
      </c>
    </row>
    <row r="2585" customFormat="false" ht="15" hidden="false" customHeight="false" outlineLevel="0" collapsed="false">
      <c r="I2585" s="41" t="str">
        <f aca="false">IF(F2585="","",IFERROR(IF(ISNUMBER(SEARCH(Assumptions!$C$5,F2585)),Assumptions!$D$5,IF(ISNUMBER(SEARCH(Assumptions!$C$6,F2585)),Assumptions!$D$6,IF(ISNUMBER(SEARCH(Assumptions!$C$7,F2585)),Assumptions!$D$7,"Other Services"))),"Other Services"))</f>
        <v/>
      </c>
    </row>
    <row r="2586" customFormat="false" ht="15" hidden="false" customHeight="false" outlineLevel="0" collapsed="false">
      <c r="I2586" s="41" t="str">
        <f aca="false">IF(F2586="","",IFERROR(IF(ISNUMBER(SEARCH(Assumptions!$C$5,F2586)),Assumptions!$D$5,IF(ISNUMBER(SEARCH(Assumptions!$C$6,F2586)),Assumptions!$D$6,IF(ISNUMBER(SEARCH(Assumptions!$C$7,F2586)),Assumptions!$D$7,"Other Services"))),"Other Services"))</f>
        <v/>
      </c>
    </row>
    <row r="2587" customFormat="false" ht="15" hidden="false" customHeight="false" outlineLevel="0" collapsed="false">
      <c r="I2587" s="41" t="str">
        <f aca="false">IF(F2587="","",IFERROR(IF(ISNUMBER(SEARCH(Assumptions!$C$5,F2587)),Assumptions!$D$5,IF(ISNUMBER(SEARCH(Assumptions!$C$6,F2587)),Assumptions!$D$6,IF(ISNUMBER(SEARCH(Assumptions!$C$7,F2587)),Assumptions!$D$7,"Other Services"))),"Other Services"))</f>
        <v/>
      </c>
    </row>
    <row r="2588" customFormat="false" ht="15" hidden="false" customHeight="false" outlineLevel="0" collapsed="false">
      <c r="I2588" s="41" t="str">
        <f aca="false">IF(F2588="","",IFERROR(IF(ISNUMBER(SEARCH(Assumptions!$C$5,F2588)),Assumptions!$D$5,IF(ISNUMBER(SEARCH(Assumptions!$C$6,F2588)),Assumptions!$D$6,IF(ISNUMBER(SEARCH(Assumptions!$C$7,F2588)),Assumptions!$D$7,"Other Services"))),"Other Services"))</f>
        <v/>
      </c>
    </row>
    <row r="2589" customFormat="false" ht="15" hidden="false" customHeight="false" outlineLevel="0" collapsed="false">
      <c r="I2589" s="41" t="str">
        <f aca="false">IF(F2589="","",IFERROR(IF(ISNUMBER(SEARCH(Assumptions!$C$5,F2589)),Assumptions!$D$5,IF(ISNUMBER(SEARCH(Assumptions!$C$6,F2589)),Assumptions!$D$6,IF(ISNUMBER(SEARCH(Assumptions!$C$7,F2589)),Assumptions!$D$7,"Other Services"))),"Other Services"))</f>
        <v/>
      </c>
    </row>
    <row r="2590" customFormat="false" ht="15" hidden="false" customHeight="false" outlineLevel="0" collapsed="false">
      <c r="I2590" s="41" t="str">
        <f aca="false">IF(F2590="","",IFERROR(IF(ISNUMBER(SEARCH(Assumptions!$C$5,F2590)),Assumptions!$D$5,IF(ISNUMBER(SEARCH(Assumptions!$C$6,F2590)),Assumptions!$D$6,IF(ISNUMBER(SEARCH(Assumptions!$C$7,F2590)),Assumptions!$D$7,"Other Services"))),"Other Services"))</f>
        <v/>
      </c>
    </row>
    <row r="2591" customFormat="false" ht="15" hidden="false" customHeight="false" outlineLevel="0" collapsed="false">
      <c r="I2591" s="41" t="str">
        <f aca="false">IF(F2591="","",IFERROR(IF(ISNUMBER(SEARCH(Assumptions!$C$5,F2591)),Assumptions!$D$5,IF(ISNUMBER(SEARCH(Assumptions!$C$6,F2591)),Assumptions!$D$6,IF(ISNUMBER(SEARCH(Assumptions!$C$7,F2591)),Assumptions!$D$7,"Other Services"))),"Other Services"))</f>
        <v/>
      </c>
    </row>
    <row r="2592" customFormat="false" ht="15" hidden="false" customHeight="false" outlineLevel="0" collapsed="false">
      <c r="I2592" s="41" t="str">
        <f aca="false">IF(F2592="","",IFERROR(IF(ISNUMBER(SEARCH(Assumptions!$C$5,F2592)),Assumptions!$D$5,IF(ISNUMBER(SEARCH(Assumptions!$C$6,F2592)),Assumptions!$D$6,IF(ISNUMBER(SEARCH(Assumptions!$C$7,F2592)),Assumptions!$D$7,"Other Services"))),"Other Services"))</f>
        <v/>
      </c>
    </row>
    <row r="2593" customFormat="false" ht="15" hidden="false" customHeight="false" outlineLevel="0" collapsed="false">
      <c r="I2593" s="41" t="str">
        <f aca="false">IF(F2593="","",IFERROR(IF(ISNUMBER(SEARCH(Assumptions!$C$5,F2593)),Assumptions!$D$5,IF(ISNUMBER(SEARCH(Assumptions!$C$6,F2593)),Assumptions!$D$6,IF(ISNUMBER(SEARCH(Assumptions!$C$7,F2593)),Assumptions!$D$7,"Other Services"))),"Other Services"))</f>
        <v/>
      </c>
    </row>
    <row r="2594" customFormat="false" ht="15" hidden="false" customHeight="false" outlineLevel="0" collapsed="false">
      <c r="I2594" s="41" t="str">
        <f aca="false">IF(F2594="","",IFERROR(IF(ISNUMBER(SEARCH(Assumptions!$C$5,F2594)),Assumptions!$D$5,IF(ISNUMBER(SEARCH(Assumptions!$C$6,F2594)),Assumptions!$D$6,IF(ISNUMBER(SEARCH(Assumptions!$C$7,F2594)),Assumptions!$D$7,"Other Services"))),"Other Services"))</f>
        <v/>
      </c>
    </row>
    <row r="2595" customFormat="false" ht="15" hidden="false" customHeight="false" outlineLevel="0" collapsed="false">
      <c r="I2595" s="41" t="str">
        <f aca="false">IF(F2595="","",IFERROR(IF(ISNUMBER(SEARCH(Assumptions!$C$5,F2595)),Assumptions!$D$5,IF(ISNUMBER(SEARCH(Assumptions!$C$6,F2595)),Assumptions!$D$6,IF(ISNUMBER(SEARCH(Assumptions!$C$7,F2595)),Assumptions!$D$7,"Other Services"))),"Other Services"))</f>
        <v/>
      </c>
    </row>
    <row r="2596" customFormat="false" ht="15" hidden="false" customHeight="false" outlineLevel="0" collapsed="false">
      <c r="I2596" s="41" t="str">
        <f aca="false">IF(F2596="","",IFERROR(IF(ISNUMBER(SEARCH(Assumptions!$C$5,F2596)),Assumptions!$D$5,IF(ISNUMBER(SEARCH(Assumptions!$C$6,F2596)),Assumptions!$D$6,IF(ISNUMBER(SEARCH(Assumptions!$C$7,F2596)),Assumptions!$D$7,"Other Services"))),"Other Services"))</f>
        <v/>
      </c>
    </row>
    <row r="2597" customFormat="false" ht="15" hidden="false" customHeight="false" outlineLevel="0" collapsed="false">
      <c r="I2597" s="41" t="str">
        <f aca="false">IF(F2597="","",IFERROR(IF(ISNUMBER(SEARCH(Assumptions!$C$5,F2597)),Assumptions!$D$5,IF(ISNUMBER(SEARCH(Assumptions!$C$6,F2597)),Assumptions!$D$6,IF(ISNUMBER(SEARCH(Assumptions!$C$7,F2597)),Assumptions!$D$7,"Other Services"))),"Other Services"))</f>
        <v/>
      </c>
    </row>
    <row r="2598" customFormat="false" ht="15" hidden="false" customHeight="false" outlineLevel="0" collapsed="false">
      <c r="I2598" s="41" t="str">
        <f aca="false">IF(F2598="","",IFERROR(IF(ISNUMBER(SEARCH(Assumptions!$C$5,F2598)),Assumptions!$D$5,IF(ISNUMBER(SEARCH(Assumptions!$C$6,F2598)),Assumptions!$D$6,IF(ISNUMBER(SEARCH(Assumptions!$C$7,F2598)),Assumptions!$D$7,"Other Services"))),"Other Services"))</f>
        <v/>
      </c>
    </row>
    <row r="2599" customFormat="false" ht="15" hidden="false" customHeight="false" outlineLevel="0" collapsed="false">
      <c r="I2599" s="41" t="str">
        <f aca="false">IF(F2599="","",IFERROR(IF(ISNUMBER(SEARCH(Assumptions!$C$5,F2599)),Assumptions!$D$5,IF(ISNUMBER(SEARCH(Assumptions!$C$6,F2599)),Assumptions!$D$6,IF(ISNUMBER(SEARCH(Assumptions!$C$7,F2599)),Assumptions!$D$7,"Other Services"))),"Other Services"))</f>
        <v/>
      </c>
    </row>
    <row r="2600" customFormat="false" ht="15" hidden="false" customHeight="false" outlineLevel="0" collapsed="false">
      <c r="I2600" s="41" t="str">
        <f aca="false">IF(F2600="","",IFERROR(IF(ISNUMBER(SEARCH(Assumptions!$C$5,F2600)),Assumptions!$D$5,IF(ISNUMBER(SEARCH(Assumptions!$C$6,F2600)),Assumptions!$D$6,IF(ISNUMBER(SEARCH(Assumptions!$C$7,F2600)),Assumptions!$D$7,"Other Services"))),"Other Services"))</f>
        <v/>
      </c>
    </row>
    <row r="2601" customFormat="false" ht="15" hidden="false" customHeight="false" outlineLevel="0" collapsed="false">
      <c r="I2601" s="41" t="str">
        <f aca="false">IF(F2601="","",IFERROR(IF(ISNUMBER(SEARCH(Assumptions!$C$5,F2601)),Assumptions!$D$5,IF(ISNUMBER(SEARCH(Assumptions!$C$6,F2601)),Assumptions!$D$6,IF(ISNUMBER(SEARCH(Assumptions!$C$7,F2601)),Assumptions!$D$7,"Other Services"))),"Other Services"))</f>
        <v/>
      </c>
    </row>
    <row r="2602" customFormat="false" ht="15" hidden="false" customHeight="false" outlineLevel="0" collapsed="false">
      <c r="I2602" s="41" t="str">
        <f aca="false">IF(F2602="","",IFERROR(IF(ISNUMBER(SEARCH(Assumptions!$C$5,F2602)),Assumptions!$D$5,IF(ISNUMBER(SEARCH(Assumptions!$C$6,F2602)),Assumptions!$D$6,IF(ISNUMBER(SEARCH(Assumptions!$C$7,F2602)),Assumptions!$D$7,"Other Services"))),"Other Services"))</f>
        <v/>
      </c>
    </row>
    <row r="2603" customFormat="false" ht="15" hidden="false" customHeight="false" outlineLevel="0" collapsed="false">
      <c r="I2603" s="41" t="str">
        <f aca="false">IF(F2603="","",IFERROR(IF(ISNUMBER(SEARCH(Assumptions!$C$5,F2603)),Assumptions!$D$5,IF(ISNUMBER(SEARCH(Assumptions!$C$6,F2603)),Assumptions!$D$6,IF(ISNUMBER(SEARCH(Assumptions!$C$7,F2603)),Assumptions!$D$7,"Other Services"))),"Other Services"))</f>
        <v/>
      </c>
    </row>
    <row r="2604" customFormat="false" ht="15" hidden="false" customHeight="false" outlineLevel="0" collapsed="false">
      <c r="I2604" s="41" t="str">
        <f aca="false">IF(F2604="","",IFERROR(IF(ISNUMBER(SEARCH(Assumptions!$C$5,F2604)),Assumptions!$D$5,IF(ISNUMBER(SEARCH(Assumptions!$C$6,F2604)),Assumptions!$D$6,IF(ISNUMBER(SEARCH(Assumptions!$C$7,F2604)),Assumptions!$D$7,"Other Services"))),"Other Services"))</f>
        <v/>
      </c>
    </row>
    <row r="2605" customFormat="false" ht="15" hidden="false" customHeight="false" outlineLevel="0" collapsed="false">
      <c r="I2605" s="41" t="str">
        <f aca="false">IF(F2605="","",IFERROR(IF(ISNUMBER(SEARCH(Assumptions!$C$5,F2605)),Assumptions!$D$5,IF(ISNUMBER(SEARCH(Assumptions!$C$6,F2605)),Assumptions!$D$6,IF(ISNUMBER(SEARCH(Assumptions!$C$7,F2605)),Assumptions!$D$7,"Other Services"))),"Other Services"))</f>
        <v/>
      </c>
    </row>
    <row r="2606" customFormat="false" ht="15" hidden="false" customHeight="false" outlineLevel="0" collapsed="false">
      <c r="I2606" s="41" t="str">
        <f aca="false">IF(F2606="","",IFERROR(IF(ISNUMBER(SEARCH(Assumptions!$C$5,F2606)),Assumptions!$D$5,IF(ISNUMBER(SEARCH(Assumptions!$C$6,F2606)),Assumptions!$D$6,IF(ISNUMBER(SEARCH(Assumptions!$C$7,F2606)),Assumptions!$D$7,"Other Services"))),"Other Services"))</f>
        <v/>
      </c>
    </row>
    <row r="2607" customFormat="false" ht="15" hidden="false" customHeight="false" outlineLevel="0" collapsed="false">
      <c r="I2607" s="41" t="str">
        <f aca="false">IF(F2607="","",IFERROR(IF(ISNUMBER(SEARCH(Assumptions!$C$5,F2607)),Assumptions!$D$5,IF(ISNUMBER(SEARCH(Assumptions!$C$6,F2607)),Assumptions!$D$6,IF(ISNUMBER(SEARCH(Assumptions!$C$7,F2607)),Assumptions!$D$7,"Other Services"))),"Other Services"))</f>
        <v/>
      </c>
    </row>
    <row r="2608" customFormat="false" ht="15" hidden="false" customHeight="false" outlineLevel="0" collapsed="false">
      <c r="I2608" s="41" t="str">
        <f aca="false">IF(F2608="","",IFERROR(IF(ISNUMBER(SEARCH(Assumptions!$C$5,F2608)),Assumptions!$D$5,IF(ISNUMBER(SEARCH(Assumptions!$C$6,F2608)),Assumptions!$D$6,IF(ISNUMBER(SEARCH(Assumptions!$C$7,F2608)),Assumptions!$D$7,"Other Services"))),"Other Services"))</f>
        <v/>
      </c>
    </row>
    <row r="2609" customFormat="false" ht="15" hidden="false" customHeight="false" outlineLevel="0" collapsed="false">
      <c r="I2609" s="41" t="str">
        <f aca="false">IF(F2609="","",IFERROR(IF(ISNUMBER(SEARCH(Assumptions!$C$5,F2609)),Assumptions!$D$5,IF(ISNUMBER(SEARCH(Assumptions!$C$6,F2609)),Assumptions!$D$6,IF(ISNUMBER(SEARCH(Assumptions!$C$7,F2609)),Assumptions!$D$7,"Other Services"))),"Other Services"))</f>
        <v/>
      </c>
    </row>
    <row r="2610" customFormat="false" ht="15" hidden="false" customHeight="false" outlineLevel="0" collapsed="false">
      <c r="I2610" s="41" t="str">
        <f aca="false">IF(F2610="","",IFERROR(IF(ISNUMBER(SEARCH(Assumptions!$C$5,F2610)),Assumptions!$D$5,IF(ISNUMBER(SEARCH(Assumptions!$C$6,F2610)),Assumptions!$D$6,IF(ISNUMBER(SEARCH(Assumptions!$C$7,F2610)),Assumptions!$D$7,"Other Services"))),"Other Services"))</f>
        <v/>
      </c>
    </row>
    <row r="2611" customFormat="false" ht="15" hidden="false" customHeight="false" outlineLevel="0" collapsed="false">
      <c r="I2611" s="41" t="str">
        <f aca="false">IF(F2611="","",IFERROR(IF(ISNUMBER(SEARCH(Assumptions!$C$5,F2611)),Assumptions!$D$5,IF(ISNUMBER(SEARCH(Assumptions!$C$6,F2611)),Assumptions!$D$6,IF(ISNUMBER(SEARCH(Assumptions!$C$7,F2611)),Assumptions!$D$7,"Other Services"))),"Other Services"))</f>
        <v/>
      </c>
    </row>
    <row r="2612" customFormat="false" ht="15" hidden="false" customHeight="false" outlineLevel="0" collapsed="false">
      <c r="I2612" s="41" t="str">
        <f aca="false">IF(F2612="","",IFERROR(IF(ISNUMBER(SEARCH(Assumptions!$C$5,F2612)),Assumptions!$D$5,IF(ISNUMBER(SEARCH(Assumptions!$C$6,F2612)),Assumptions!$D$6,IF(ISNUMBER(SEARCH(Assumptions!$C$7,F2612)),Assumptions!$D$7,"Other Services"))),"Other Services"))</f>
        <v/>
      </c>
    </row>
    <row r="2613" customFormat="false" ht="15" hidden="false" customHeight="false" outlineLevel="0" collapsed="false">
      <c r="I2613" s="41" t="str">
        <f aca="false">IF(F2613="","",IFERROR(IF(ISNUMBER(SEARCH(Assumptions!$C$5,F2613)),Assumptions!$D$5,IF(ISNUMBER(SEARCH(Assumptions!$C$6,F2613)),Assumptions!$D$6,IF(ISNUMBER(SEARCH(Assumptions!$C$7,F2613)),Assumptions!$D$7,"Other Services"))),"Other Services"))</f>
        <v/>
      </c>
    </row>
    <row r="2614" customFormat="false" ht="15" hidden="false" customHeight="false" outlineLevel="0" collapsed="false">
      <c r="I2614" s="41" t="str">
        <f aca="false">IF(F2614="","",IFERROR(IF(ISNUMBER(SEARCH(Assumptions!$C$5,F2614)),Assumptions!$D$5,IF(ISNUMBER(SEARCH(Assumptions!$C$6,F2614)),Assumptions!$D$6,IF(ISNUMBER(SEARCH(Assumptions!$C$7,F2614)),Assumptions!$D$7,"Other Services"))),"Other Services"))</f>
        <v/>
      </c>
    </row>
    <row r="2615" customFormat="false" ht="15" hidden="false" customHeight="false" outlineLevel="0" collapsed="false">
      <c r="I2615" s="41" t="str">
        <f aca="false">IF(F2615="","",IFERROR(IF(ISNUMBER(SEARCH(Assumptions!$C$5,F2615)),Assumptions!$D$5,IF(ISNUMBER(SEARCH(Assumptions!$C$6,F2615)),Assumptions!$D$6,IF(ISNUMBER(SEARCH(Assumptions!$C$7,F2615)),Assumptions!$D$7,"Other Services"))),"Other Services"))</f>
        <v/>
      </c>
    </row>
    <row r="2616" customFormat="false" ht="15" hidden="false" customHeight="false" outlineLevel="0" collapsed="false">
      <c r="I2616" s="41" t="str">
        <f aca="false">IF(F2616="","",IFERROR(IF(ISNUMBER(SEARCH(Assumptions!$C$5,F2616)),Assumptions!$D$5,IF(ISNUMBER(SEARCH(Assumptions!$C$6,F2616)),Assumptions!$D$6,IF(ISNUMBER(SEARCH(Assumptions!$C$7,F2616)),Assumptions!$D$7,"Other Services"))),"Other Services"))</f>
        <v/>
      </c>
    </row>
    <row r="2617" customFormat="false" ht="15" hidden="false" customHeight="false" outlineLevel="0" collapsed="false">
      <c r="I2617" s="41" t="str">
        <f aca="false">IF(F2617="","",IFERROR(IF(ISNUMBER(SEARCH(Assumptions!$C$5,F2617)),Assumptions!$D$5,IF(ISNUMBER(SEARCH(Assumptions!$C$6,F2617)),Assumptions!$D$6,IF(ISNUMBER(SEARCH(Assumptions!$C$7,F2617)),Assumptions!$D$7,"Other Services"))),"Other Services"))</f>
        <v/>
      </c>
    </row>
    <row r="2618" customFormat="false" ht="15" hidden="false" customHeight="false" outlineLevel="0" collapsed="false">
      <c r="I2618" s="41" t="str">
        <f aca="false">IF(F2618="","",IFERROR(IF(ISNUMBER(SEARCH(Assumptions!$C$5,F2618)),Assumptions!$D$5,IF(ISNUMBER(SEARCH(Assumptions!$C$6,F2618)),Assumptions!$D$6,IF(ISNUMBER(SEARCH(Assumptions!$C$7,F2618)),Assumptions!$D$7,"Other Services"))),"Other Services"))</f>
        <v/>
      </c>
    </row>
    <row r="2619" customFormat="false" ht="15" hidden="false" customHeight="false" outlineLevel="0" collapsed="false">
      <c r="I2619" s="41" t="str">
        <f aca="false">IF(F2619="","",IFERROR(IF(ISNUMBER(SEARCH(Assumptions!$C$5,F2619)),Assumptions!$D$5,IF(ISNUMBER(SEARCH(Assumptions!$C$6,F2619)),Assumptions!$D$6,IF(ISNUMBER(SEARCH(Assumptions!$C$7,F2619)),Assumptions!$D$7,"Other Services"))),"Other Services"))</f>
        <v/>
      </c>
    </row>
    <row r="2620" customFormat="false" ht="15" hidden="false" customHeight="false" outlineLevel="0" collapsed="false">
      <c r="I2620" s="41" t="str">
        <f aca="false">IF(F2620="","",IFERROR(IF(ISNUMBER(SEARCH(Assumptions!$C$5,F2620)),Assumptions!$D$5,IF(ISNUMBER(SEARCH(Assumptions!$C$6,F2620)),Assumptions!$D$6,IF(ISNUMBER(SEARCH(Assumptions!$C$7,F2620)),Assumptions!$D$7,"Other Services"))),"Other Services"))</f>
        <v/>
      </c>
    </row>
    <row r="2621" customFormat="false" ht="15" hidden="false" customHeight="false" outlineLevel="0" collapsed="false">
      <c r="I2621" s="41" t="str">
        <f aca="false">IF(F2621="","",IFERROR(IF(ISNUMBER(SEARCH(Assumptions!$C$5,F2621)),Assumptions!$D$5,IF(ISNUMBER(SEARCH(Assumptions!$C$6,F2621)),Assumptions!$D$6,IF(ISNUMBER(SEARCH(Assumptions!$C$7,F2621)),Assumptions!$D$7,"Other Services"))),"Other Services"))</f>
        <v/>
      </c>
    </row>
    <row r="2622" customFormat="false" ht="15" hidden="false" customHeight="false" outlineLevel="0" collapsed="false">
      <c r="I2622" s="41" t="str">
        <f aca="false">IF(F2622="","",IFERROR(IF(ISNUMBER(SEARCH(Assumptions!$C$5,F2622)),Assumptions!$D$5,IF(ISNUMBER(SEARCH(Assumptions!$C$6,F2622)),Assumptions!$D$6,IF(ISNUMBER(SEARCH(Assumptions!$C$7,F2622)),Assumptions!$D$7,"Other Services"))),"Other Services"))</f>
        <v/>
      </c>
    </row>
    <row r="2623" customFormat="false" ht="15" hidden="false" customHeight="false" outlineLevel="0" collapsed="false">
      <c r="I2623" s="41" t="str">
        <f aca="false">IF(F2623="","",IFERROR(IF(ISNUMBER(SEARCH(Assumptions!$C$5,F2623)),Assumptions!$D$5,IF(ISNUMBER(SEARCH(Assumptions!$C$6,F2623)),Assumptions!$D$6,IF(ISNUMBER(SEARCH(Assumptions!$C$7,F2623)),Assumptions!$D$7,"Other Services"))),"Other Services"))</f>
        <v/>
      </c>
    </row>
    <row r="2624" customFormat="false" ht="15" hidden="false" customHeight="false" outlineLevel="0" collapsed="false">
      <c r="I2624" s="41" t="str">
        <f aca="false">IF(F2624="","",IFERROR(IF(ISNUMBER(SEARCH(Assumptions!$C$5,F2624)),Assumptions!$D$5,IF(ISNUMBER(SEARCH(Assumptions!$C$6,F2624)),Assumptions!$D$6,IF(ISNUMBER(SEARCH(Assumptions!$C$7,F2624)),Assumptions!$D$7,"Other Services"))),"Other Services"))</f>
        <v/>
      </c>
    </row>
    <row r="2625" customFormat="false" ht="15" hidden="false" customHeight="false" outlineLevel="0" collapsed="false">
      <c r="I2625" s="41" t="str">
        <f aca="false">IF(F2625="","",IFERROR(IF(ISNUMBER(SEARCH(Assumptions!$C$5,F2625)),Assumptions!$D$5,IF(ISNUMBER(SEARCH(Assumptions!$C$6,F2625)),Assumptions!$D$6,IF(ISNUMBER(SEARCH(Assumptions!$C$7,F2625)),Assumptions!$D$7,"Other Services"))),"Other Services"))</f>
        <v/>
      </c>
    </row>
    <row r="2626" customFormat="false" ht="15" hidden="false" customHeight="false" outlineLevel="0" collapsed="false">
      <c r="I2626" s="41" t="str">
        <f aca="false">IF(F2626="","",IFERROR(IF(ISNUMBER(SEARCH(Assumptions!$C$5,F2626)),Assumptions!$D$5,IF(ISNUMBER(SEARCH(Assumptions!$C$6,F2626)),Assumptions!$D$6,IF(ISNUMBER(SEARCH(Assumptions!$C$7,F2626)),Assumptions!$D$7,"Other Services"))),"Other Services"))</f>
        <v/>
      </c>
    </row>
    <row r="2627" customFormat="false" ht="15" hidden="false" customHeight="false" outlineLevel="0" collapsed="false">
      <c r="I2627" s="41" t="str">
        <f aca="false">IF(F2627="","",IFERROR(IF(ISNUMBER(SEARCH(Assumptions!$C$5,F2627)),Assumptions!$D$5,IF(ISNUMBER(SEARCH(Assumptions!$C$6,F2627)),Assumptions!$D$6,IF(ISNUMBER(SEARCH(Assumptions!$C$7,F2627)),Assumptions!$D$7,"Other Services"))),"Other Services"))</f>
        <v/>
      </c>
    </row>
    <row r="2628" customFormat="false" ht="15" hidden="false" customHeight="false" outlineLevel="0" collapsed="false">
      <c r="I2628" s="41" t="str">
        <f aca="false">IF(F2628="","",IFERROR(IF(ISNUMBER(SEARCH(Assumptions!$C$5,F2628)),Assumptions!$D$5,IF(ISNUMBER(SEARCH(Assumptions!$C$6,F2628)),Assumptions!$D$6,IF(ISNUMBER(SEARCH(Assumptions!$C$7,F2628)),Assumptions!$D$7,"Other Services"))),"Other Services"))</f>
        <v/>
      </c>
    </row>
    <row r="2629" customFormat="false" ht="15" hidden="false" customHeight="false" outlineLevel="0" collapsed="false">
      <c r="I2629" s="41" t="str">
        <f aca="false">IF(F2629="","",IFERROR(IF(ISNUMBER(SEARCH(Assumptions!$C$5,F2629)),Assumptions!$D$5,IF(ISNUMBER(SEARCH(Assumptions!$C$6,F2629)),Assumptions!$D$6,IF(ISNUMBER(SEARCH(Assumptions!$C$7,F2629)),Assumptions!$D$7,"Other Services"))),"Other Services"))</f>
        <v/>
      </c>
    </row>
    <row r="2630" customFormat="false" ht="15" hidden="false" customHeight="false" outlineLevel="0" collapsed="false">
      <c r="I2630" s="41" t="str">
        <f aca="false">IF(F2630="","",IFERROR(IF(ISNUMBER(SEARCH(Assumptions!$C$5,F2630)),Assumptions!$D$5,IF(ISNUMBER(SEARCH(Assumptions!$C$6,F2630)),Assumptions!$D$6,IF(ISNUMBER(SEARCH(Assumptions!$C$7,F2630)),Assumptions!$D$7,"Other Services"))),"Other Services"))</f>
        <v/>
      </c>
    </row>
    <row r="2631" customFormat="false" ht="15" hidden="false" customHeight="false" outlineLevel="0" collapsed="false">
      <c r="I2631" s="41" t="str">
        <f aca="false">IF(F2631="","",IFERROR(IF(ISNUMBER(SEARCH(Assumptions!$C$5,F2631)),Assumptions!$D$5,IF(ISNUMBER(SEARCH(Assumptions!$C$6,F2631)),Assumptions!$D$6,IF(ISNUMBER(SEARCH(Assumptions!$C$7,F2631)),Assumptions!$D$7,"Other Services"))),"Other Services"))</f>
        <v/>
      </c>
    </row>
    <row r="2632" customFormat="false" ht="15" hidden="false" customHeight="false" outlineLevel="0" collapsed="false">
      <c r="I2632" s="41" t="str">
        <f aca="false">IF(F2632="","",IFERROR(IF(ISNUMBER(SEARCH(Assumptions!$C$5,F2632)),Assumptions!$D$5,IF(ISNUMBER(SEARCH(Assumptions!$C$6,F2632)),Assumptions!$D$6,IF(ISNUMBER(SEARCH(Assumptions!$C$7,F2632)),Assumptions!$D$7,"Other Services"))),"Other Services"))</f>
        <v/>
      </c>
    </row>
    <row r="2633" customFormat="false" ht="15" hidden="false" customHeight="false" outlineLevel="0" collapsed="false">
      <c r="I2633" s="41" t="str">
        <f aca="false">IF(F2633="","",IFERROR(IF(ISNUMBER(SEARCH(Assumptions!$C$5,F2633)),Assumptions!$D$5,IF(ISNUMBER(SEARCH(Assumptions!$C$6,F2633)),Assumptions!$D$6,IF(ISNUMBER(SEARCH(Assumptions!$C$7,F2633)),Assumptions!$D$7,"Other Services"))),"Other Services"))</f>
        <v/>
      </c>
    </row>
    <row r="2634" customFormat="false" ht="15" hidden="false" customHeight="false" outlineLevel="0" collapsed="false">
      <c r="I2634" s="41" t="str">
        <f aca="false">IF(F2634="","",IFERROR(IF(ISNUMBER(SEARCH(Assumptions!$C$5,F2634)),Assumptions!$D$5,IF(ISNUMBER(SEARCH(Assumptions!$C$6,F2634)),Assumptions!$D$6,IF(ISNUMBER(SEARCH(Assumptions!$C$7,F2634)),Assumptions!$D$7,"Other Services"))),"Other Services"))</f>
        <v/>
      </c>
    </row>
    <row r="2635" customFormat="false" ht="15" hidden="false" customHeight="false" outlineLevel="0" collapsed="false">
      <c r="I2635" s="41" t="str">
        <f aca="false">IF(F2635="","",IFERROR(IF(ISNUMBER(SEARCH(Assumptions!$C$5,F2635)),Assumptions!$D$5,IF(ISNUMBER(SEARCH(Assumptions!$C$6,F2635)),Assumptions!$D$6,IF(ISNUMBER(SEARCH(Assumptions!$C$7,F2635)),Assumptions!$D$7,"Other Services"))),"Other Services"))</f>
        <v/>
      </c>
    </row>
    <row r="2636" customFormat="false" ht="15" hidden="false" customHeight="false" outlineLevel="0" collapsed="false">
      <c r="I2636" s="41" t="str">
        <f aca="false">IF(F2636="","",IFERROR(IF(ISNUMBER(SEARCH(Assumptions!$C$5,F2636)),Assumptions!$D$5,IF(ISNUMBER(SEARCH(Assumptions!$C$6,F2636)),Assumptions!$D$6,IF(ISNUMBER(SEARCH(Assumptions!$C$7,F2636)),Assumptions!$D$7,"Other Services"))),"Other Services"))</f>
        <v/>
      </c>
    </row>
    <row r="2637" customFormat="false" ht="15" hidden="false" customHeight="false" outlineLevel="0" collapsed="false">
      <c r="I2637" s="41" t="str">
        <f aca="false">IF(F2637="","",IFERROR(IF(ISNUMBER(SEARCH(Assumptions!$C$5,F2637)),Assumptions!$D$5,IF(ISNUMBER(SEARCH(Assumptions!$C$6,F2637)),Assumptions!$D$6,IF(ISNUMBER(SEARCH(Assumptions!$C$7,F2637)),Assumptions!$D$7,"Other Services"))),"Other Services"))</f>
        <v/>
      </c>
    </row>
    <row r="2638" customFormat="false" ht="15" hidden="false" customHeight="false" outlineLevel="0" collapsed="false">
      <c r="I2638" s="41" t="str">
        <f aca="false">IF(F2638="","",IFERROR(IF(ISNUMBER(SEARCH(Assumptions!$C$5,F2638)),Assumptions!$D$5,IF(ISNUMBER(SEARCH(Assumptions!$C$6,F2638)),Assumptions!$D$6,IF(ISNUMBER(SEARCH(Assumptions!$C$7,F2638)),Assumptions!$D$7,"Other Services"))),"Other Services"))</f>
        <v/>
      </c>
    </row>
    <row r="2639" customFormat="false" ht="15" hidden="false" customHeight="false" outlineLevel="0" collapsed="false">
      <c r="I2639" s="41" t="str">
        <f aca="false">IF(F2639="","",IFERROR(IF(ISNUMBER(SEARCH(Assumptions!$C$5,F2639)),Assumptions!$D$5,IF(ISNUMBER(SEARCH(Assumptions!$C$6,F2639)),Assumptions!$D$6,IF(ISNUMBER(SEARCH(Assumptions!$C$7,F2639)),Assumptions!$D$7,"Other Services"))),"Other Services"))</f>
        <v/>
      </c>
    </row>
    <row r="2640" customFormat="false" ht="15" hidden="false" customHeight="false" outlineLevel="0" collapsed="false">
      <c r="I2640" s="41" t="str">
        <f aca="false">IF(F2640="","",IFERROR(IF(ISNUMBER(SEARCH(Assumptions!$C$5,F2640)),Assumptions!$D$5,IF(ISNUMBER(SEARCH(Assumptions!$C$6,F2640)),Assumptions!$D$6,IF(ISNUMBER(SEARCH(Assumptions!$C$7,F2640)),Assumptions!$D$7,"Other Services"))),"Other Services"))</f>
        <v/>
      </c>
    </row>
    <row r="2641" customFormat="false" ht="15" hidden="false" customHeight="false" outlineLevel="0" collapsed="false">
      <c r="I2641" s="41" t="str">
        <f aca="false">IF(F2641="","",IFERROR(IF(ISNUMBER(SEARCH(Assumptions!$C$5,F2641)),Assumptions!$D$5,IF(ISNUMBER(SEARCH(Assumptions!$C$6,F2641)),Assumptions!$D$6,IF(ISNUMBER(SEARCH(Assumptions!$C$7,F2641)),Assumptions!$D$7,"Other Services"))),"Other Services"))</f>
        <v/>
      </c>
    </row>
    <row r="2642" customFormat="false" ht="15" hidden="false" customHeight="false" outlineLevel="0" collapsed="false">
      <c r="I2642" s="41" t="str">
        <f aca="false">IF(F2642="","",IFERROR(IF(ISNUMBER(SEARCH(Assumptions!$C$5,F2642)),Assumptions!$D$5,IF(ISNUMBER(SEARCH(Assumptions!$C$6,F2642)),Assumptions!$D$6,IF(ISNUMBER(SEARCH(Assumptions!$C$7,F2642)),Assumptions!$D$7,"Other Services"))),"Other Services"))</f>
        <v/>
      </c>
    </row>
    <row r="2643" customFormat="false" ht="15" hidden="false" customHeight="false" outlineLevel="0" collapsed="false">
      <c r="I2643" s="41" t="str">
        <f aca="false">IF(F2643="","",IFERROR(IF(ISNUMBER(SEARCH(Assumptions!$C$5,F2643)),Assumptions!$D$5,IF(ISNUMBER(SEARCH(Assumptions!$C$6,F2643)),Assumptions!$D$6,IF(ISNUMBER(SEARCH(Assumptions!$C$7,F2643)),Assumptions!$D$7,"Other Services"))),"Other Services"))</f>
        <v/>
      </c>
    </row>
    <row r="2644" customFormat="false" ht="15" hidden="false" customHeight="false" outlineLevel="0" collapsed="false">
      <c r="I2644" s="41" t="str">
        <f aca="false">IF(F2644="","",IFERROR(IF(ISNUMBER(SEARCH(Assumptions!$C$5,F2644)),Assumptions!$D$5,IF(ISNUMBER(SEARCH(Assumptions!$C$6,F2644)),Assumptions!$D$6,IF(ISNUMBER(SEARCH(Assumptions!$C$7,F2644)),Assumptions!$D$7,"Other Services"))),"Other Services"))</f>
        <v/>
      </c>
    </row>
    <row r="2645" customFormat="false" ht="15" hidden="false" customHeight="false" outlineLevel="0" collapsed="false">
      <c r="I2645" s="41" t="str">
        <f aca="false">IF(F2645="","",IFERROR(IF(ISNUMBER(SEARCH(Assumptions!$C$5,F2645)),Assumptions!$D$5,IF(ISNUMBER(SEARCH(Assumptions!$C$6,F2645)),Assumptions!$D$6,IF(ISNUMBER(SEARCH(Assumptions!$C$7,F2645)),Assumptions!$D$7,"Other Services"))),"Other Services"))</f>
        <v/>
      </c>
    </row>
    <row r="2646" customFormat="false" ht="15" hidden="false" customHeight="false" outlineLevel="0" collapsed="false">
      <c r="I2646" s="41" t="str">
        <f aca="false">IF(F2646="","",IFERROR(IF(ISNUMBER(SEARCH(Assumptions!$C$5,F2646)),Assumptions!$D$5,IF(ISNUMBER(SEARCH(Assumptions!$C$6,F2646)),Assumptions!$D$6,IF(ISNUMBER(SEARCH(Assumptions!$C$7,F2646)),Assumptions!$D$7,"Other Services"))),"Other Services"))</f>
        <v/>
      </c>
    </row>
    <row r="2647" customFormat="false" ht="15" hidden="false" customHeight="false" outlineLevel="0" collapsed="false">
      <c r="I2647" s="41" t="str">
        <f aca="false">IF(F2647="","",IFERROR(IF(ISNUMBER(SEARCH(Assumptions!$C$5,F2647)),Assumptions!$D$5,IF(ISNUMBER(SEARCH(Assumptions!$C$6,F2647)),Assumptions!$D$6,IF(ISNUMBER(SEARCH(Assumptions!$C$7,F2647)),Assumptions!$D$7,"Other Services"))),"Other Services"))</f>
        <v/>
      </c>
    </row>
    <row r="2648" customFormat="false" ht="15" hidden="false" customHeight="false" outlineLevel="0" collapsed="false">
      <c r="I2648" s="41" t="str">
        <f aca="false">IF(F2648="","",IFERROR(IF(ISNUMBER(SEARCH(Assumptions!$C$5,F2648)),Assumptions!$D$5,IF(ISNUMBER(SEARCH(Assumptions!$C$6,F2648)),Assumptions!$D$6,IF(ISNUMBER(SEARCH(Assumptions!$C$7,F2648)),Assumptions!$D$7,"Other Services"))),"Other Services"))</f>
        <v/>
      </c>
    </row>
    <row r="2649" customFormat="false" ht="15" hidden="false" customHeight="false" outlineLevel="0" collapsed="false">
      <c r="I2649" s="41" t="str">
        <f aca="false">IF(F2649="","",IFERROR(IF(ISNUMBER(SEARCH(Assumptions!$C$5,F2649)),Assumptions!$D$5,IF(ISNUMBER(SEARCH(Assumptions!$C$6,F2649)),Assumptions!$D$6,IF(ISNUMBER(SEARCH(Assumptions!$C$7,F2649)),Assumptions!$D$7,"Other Services"))),"Other Services"))</f>
        <v/>
      </c>
    </row>
    <row r="2650" customFormat="false" ht="15" hidden="false" customHeight="false" outlineLevel="0" collapsed="false">
      <c r="I2650" s="41" t="str">
        <f aca="false">IF(F2650="","",IFERROR(IF(ISNUMBER(SEARCH(Assumptions!$C$5,F2650)),Assumptions!$D$5,IF(ISNUMBER(SEARCH(Assumptions!$C$6,F2650)),Assumptions!$D$6,IF(ISNUMBER(SEARCH(Assumptions!$C$7,F2650)),Assumptions!$D$7,"Other Services"))),"Other Services"))</f>
        <v/>
      </c>
    </row>
    <row r="2651" customFormat="false" ht="15" hidden="false" customHeight="false" outlineLevel="0" collapsed="false">
      <c r="I2651" s="41" t="str">
        <f aca="false">IF(F2651="","",IFERROR(IF(ISNUMBER(SEARCH(Assumptions!$C$5,F2651)),Assumptions!$D$5,IF(ISNUMBER(SEARCH(Assumptions!$C$6,F2651)),Assumptions!$D$6,IF(ISNUMBER(SEARCH(Assumptions!$C$7,F2651)),Assumptions!$D$7,"Other Services"))),"Other Services"))</f>
        <v/>
      </c>
    </row>
    <row r="2652" customFormat="false" ht="15" hidden="false" customHeight="false" outlineLevel="0" collapsed="false">
      <c r="I2652" s="41" t="str">
        <f aca="false">IF(F2652="","",IFERROR(IF(ISNUMBER(SEARCH(Assumptions!$C$5,F2652)),Assumptions!$D$5,IF(ISNUMBER(SEARCH(Assumptions!$C$6,F2652)),Assumptions!$D$6,IF(ISNUMBER(SEARCH(Assumptions!$C$7,F2652)),Assumptions!$D$7,"Other Services"))),"Other Services"))</f>
        <v/>
      </c>
    </row>
    <row r="2653" customFormat="false" ht="15" hidden="false" customHeight="false" outlineLevel="0" collapsed="false">
      <c r="I2653" s="41" t="str">
        <f aca="false">IF(F2653="","",IFERROR(IF(ISNUMBER(SEARCH(Assumptions!$C$5,F2653)),Assumptions!$D$5,IF(ISNUMBER(SEARCH(Assumptions!$C$6,F2653)),Assumptions!$D$6,IF(ISNUMBER(SEARCH(Assumptions!$C$7,F2653)),Assumptions!$D$7,"Other Services"))),"Other Services"))</f>
        <v/>
      </c>
    </row>
    <row r="2654" customFormat="false" ht="15" hidden="false" customHeight="false" outlineLevel="0" collapsed="false">
      <c r="I2654" s="41" t="str">
        <f aca="false">IF(F2654="","",IFERROR(IF(ISNUMBER(SEARCH(Assumptions!$C$5,F2654)),Assumptions!$D$5,IF(ISNUMBER(SEARCH(Assumptions!$C$6,F2654)),Assumptions!$D$6,IF(ISNUMBER(SEARCH(Assumptions!$C$7,F2654)),Assumptions!$D$7,"Other Services"))),"Other Services"))</f>
        <v/>
      </c>
    </row>
    <row r="2655" customFormat="false" ht="15" hidden="false" customHeight="false" outlineLevel="0" collapsed="false">
      <c r="I2655" s="41" t="str">
        <f aca="false">IF(F2655="","",IFERROR(IF(ISNUMBER(SEARCH(Assumptions!$C$5,F2655)),Assumptions!$D$5,IF(ISNUMBER(SEARCH(Assumptions!$C$6,F2655)),Assumptions!$D$6,IF(ISNUMBER(SEARCH(Assumptions!$C$7,F2655)),Assumptions!$D$7,"Other Services"))),"Other Services"))</f>
        <v/>
      </c>
    </row>
    <row r="2656" customFormat="false" ht="15" hidden="false" customHeight="false" outlineLevel="0" collapsed="false">
      <c r="I2656" s="41" t="str">
        <f aca="false">IF(F2656="","",IFERROR(IF(ISNUMBER(SEARCH(Assumptions!$C$5,F2656)),Assumptions!$D$5,IF(ISNUMBER(SEARCH(Assumptions!$C$6,F2656)),Assumptions!$D$6,IF(ISNUMBER(SEARCH(Assumptions!$C$7,F2656)),Assumptions!$D$7,"Other Services"))),"Other Services"))</f>
        <v/>
      </c>
    </row>
    <row r="2657" customFormat="false" ht="15" hidden="false" customHeight="false" outlineLevel="0" collapsed="false">
      <c r="I2657" s="41" t="str">
        <f aca="false">IF(F2657="","",IFERROR(IF(ISNUMBER(SEARCH(Assumptions!$C$5,F2657)),Assumptions!$D$5,IF(ISNUMBER(SEARCH(Assumptions!$C$6,F2657)),Assumptions!$D$6,IF(ISNUMBER(SEARCH(Assumptions!$C$7,F2657)),Assumptions!$D$7,"Other Services"))),"Other Services"))</f>
        <v/>
      </c>
    </row>
    <row r="2658" customFormat="false" ht="15" hidden="false" customHeight="false" outlineLevel="0" collapsed="false">
      <c r="I2658" s="41" t="str">
        <f aca="false">IF(F2658="","",IFERROR(IF(ISNUMBER(SEARCH(Assumptions!$C$5,F2658)),Assumptions!$D$5,IF(ISNUMBER(SEARCH(Assumptions!$C$6,F2658)),Assumptions!$D$6,IF(ISNUMBER(SEARCH(Assumptions!$C$7,F2658)),Assumptions!$D$7,"Other Services"))),"Other Services"))</f>
        <v/>
      </c>
    </row>
    <row r="2659" customFormat="false" ht="15" hidden="false" customHeight="false" outlineLevel="0" collapsed="false">
      <c r="I2659" s="41" t="str">
        <f aca="false">IF(F2659="","",IFERROR(IF(ISNUMBER(SEARCH(Assumptions!$C$5,F2659)),Assumptions!$D$5,IF(ISNUMBER(SEARCH(Assumptions!$C$6,F2659)),Assumptions!$D$6,IF(ISNUMBER(SEARCH(Assumptions!$C$7,F2659)),Assumptions!$D$7,"Other Services"))),"Other Services"))</f>
        <v/>
      </c>
    </row>
    <row r="2660" customFormat="false" ht="15" hidden="false" customHeight="false" outlineLevel="0" collapsed="false">
      <c r="I2660" s="41" t="str">
        <f aca="false">IF(F2660="","",IFERROR(IF(ISNUMBER(SEARCH(Assumptions!$C$5,F2660)),Assumptions!$D$5,IF(ISNUMBER(SEARCH(Assumptions!$C$6,F2660)),Assumptions!$D$6,IF(ISNUMBER(SEARCH(Assumptions!$C$7,F2660)),Assumptions!$D$7,"Other Services"))),"Other Services"))</f>
        <v/>
      </c>
    </row>
    <row r="2661" customFormat="false" ht="15" hidden="false" customHeight="false" outlineLevel="0" collapsed="false">
      <c r="I2661" s="41" t="str">
        <f aca="false">IF(F2661="","",IFERROR(IF(ISNUMBER(SEARCH(Assumptions!$C$5,F2661)),Assumptions!$D$5,IF(ISNUMBER(SEARCH(Assumptions!$C$6,F2661)),Assumptions!$D$6,IF(ISNUMBER(SEARCH(Assumptions!$C$7,F2661)),Assumptions!$D$7,"Other Services"))),"Other Services"))</f>
        <v/>
      </c>
    </row>
    <row r="2662" customFormat="false" ht="15" hidden="false" customHeight="false" outlineLevel="0" collapsed="false">
      <c r="I2662" s="41" t="str">
        <f aca="false">IF(F2662="","",IFERROR(IF(ISNUMBER(SEARCH(Assumptions!$C$5,F2662)),Assumptions!$D$5,IF(ISNUMBER(SEARCH(Assumptions!$C$6,F2662)),Assumptions!$D$6,IF(ISNUMBER(SEARCH(Assumptions!$C$7,F2662)),Assumptions!$D$7,"Other Services"))),"Other Services"))</f>
        <v/>
      </c>
    </row>
    <row r="2663" customFormat="false" ht="15" hidden="false" customHeight="false" outlineLevel="0" collapsed="false">
      <c r="I2663" s="41" t="str">
        <f aca="false">IF(F2663="","",IFERROR(IF(ISNUMBER(SEARCH(Assumptions!$C$5,F2663)),Assumptions!$D$5,IF(ISNUMBER(SEARCH(Assumptions!$C$6,F2663)),Assumptions!$D$6,IF(ISNUMBER(SEARCH(Assumptions!$C$7,F2663)),Assumptions!$D$7,"Other Services"))),"Other Services"))</f>
        <v/>
      </c>
    </row>
    <row r="2664" customFormat="false" ht="15" hidden="false" customHeight="false" outlineLevel="0" collapsed="false">
      <c r="I2664" s="41" t="str">
        <f aca="false">IF(F2664="","",IFERROR(IF(ISNUMBER(SEARCH(Assumptions!$C$5,F2664)),Assumptions!$D$5,IF(ISNUMBER(SEARCH(Assumptions!$C$6,F2664)),Assumptions!$D$6,IF(ISNUMBER(SEARCH(Assumptions!$C$7,F2664)),Assumptions!$D$7,"Other Services"))),"Other Services"))</f>
        <v/>
      </c>
    </row>
    <row r="2665" customFormat="false" ht="15" hidden="false" customHeight="false" outlineLevel="0" collapsed="false">
      <c r="I2665" s="41" t="str">
        <f aca="false">IF(F2665="","",IFERROR(IF(ISNUMBER(SEARCH(Assumptions!$C$5,F2665)),Assumptions!$D$5,IF(ISNUMBER(SEARCH(Assumptions!$C$6,F2665)),Assumptions!$D$6,IF(ISNUMBER(SEARCH(Assumptions!$C$7,F2665)),Assumptions!$D$7,"Other Services"))),"Other Services"))</f>
        <v/>
      </c>
    </row>
    <row r="2666" customFormat="false" ht="15" hidden="false" customHeight="false" outlineLevel="0" collapsed="false">
      <c r="I2666" s="41" t="str">
        <f aca="false">IF(F2666="","",IFERROR(IF(ISNUMBER(SEARCH(Assumptions!$C$5,F2666)),Assumptions!$D$5,IF(ISNUMBER(SEARCH(Assumptions!$C$6,F2666)),Assumptions!$D$6,IF(ISNUMBER(SEARCH(Assumptions!$C$7,F2666)),Assumptions!$D$7,"Other Services"))),"Other Services"))</f>
        <v/>
      </c>
    </row>
    <row r="2667" customFormat="false" ht="15" hidden="false" customHeight="false" outlineLevel="0" collapsed="false">
      <c r="I2667" s="41" t="str">
        <f aca="false">IF(F2667="","",IFERROR(IF(ISNUMBER(SEARCH(Assumptions!$C$5,F2667)),Assumptions!$D$5,IF(ISNUMBER(SEARCH(Assumptions!$C$6,F2667)),Assumptions!$D$6,IF(ISNUMBER(SEARCH(Assumptions!$C$7,F2667)),Assumptions!$D$7,"Other Services"))),"Other Services"))</f>
        <v/>
      </c>
    </row>
    <row r="2668" customFormat="false" ht="15" hidden="false" customHeight="false" outlineLevel="0" collapsed="false">
      <c r="I2668" s="41" t="str">
        <f aca="false">IF(F2668="","",IFERROR(IF(ISNUMBER(SEARCH(Assumptions!$C$5,F2668)),Assumptions!$D$5,IF(ISNUMBER(SEARCH(Assumptions!$C$6,F2668)),Assumptions!$D$6,IF(ISNUMBER(SEARCH(Assumptions!$C$7,F2668)),Assumptions!$D$7,"Other Services"))),"Other Services"))</f>
        <v/>
      </c>
    </row>
    <row r="2669" customFormat="false" ht="15" hidden="false" customHeight="false" outlineLevel="0" collapsed="false">
      <c r="I2669" s="41" t="str">
        <f aca="false">IF(F2669="","",IFERROR(IF(ISNUMBER(SEARCH(Assumptions!$C$5,F2669)),Assumptions!$D$5,IF(ISNUMBER(SEARCH(Assumptions!$C$6,F2669)),Assumptions!$D$6,IF(ISNUMBER(SEARCH(Assumptions!$C$7,F2669)),Assumptions!$D$7,"Other Services"))),"Other Services"))</f>
        <v/>
      </c>
    </row>
    <row r="2670" customFormat="false" ht="15" hidden="false" customHeight="false" outlineLevel="0" collapsed="false">
      <c r="I2670" s="41" t="str">
        <f aca="false">IF(F2670="","",IFERROR(IF(ISNUMBER(SEARCH(Assumptions!$C$5,F2670)),Assumptions!$D$5,IF(ISNUMBER(SEARCH(Assumptions!$C$6,F2670)),Assumptions!$D$6,IF(ISNUMBER(SEARCH(Assumptions!$C$7,F2670)),Assumptions!$D$7,"Other Services"))),"Other Services"))</f>
        <v/>
      </c>
    </row>
    <row r="2671" customFormat="false" ht="15" hidden="false" customHeight="false" outlineLevel="0" collapsed="false">
      <c r="I2671" s="41" t="str">
        <f aca="false">IF(F2671="","",IFERROR(IF(ISNUMBER(SEARCH(Assumptions!$C$5,F2671)),Assumptions!$D$5,IF(ISNUMBER(SEARCH(Assumptions!$C$6,F2671)),Assumptions!$D$6,IF(ISNUMBER(SEARCH(Assumptions!$C$7,F2671)),Assumptions!$D$7,"Other Services"))),"Other Services"))</f>
        <v/>
      </c>
    </row>
    <row r="2672" customFormat="false" ht="15" hidden="false" customHeight="false" outlineLevel="0" collapsed="false">
      <c r="I2672" s="41" t="str">
        <f aca="false">IF(F2672="","",IFERROR(IF(ISNUMBER(SEARCH(Assumptions!$C$5,F2672)),Assumptions!$D$5,IF(ISNUMBER(SEARCH(Assumptions!$C$6,F2672)),Assumptions!$D$6,IF(ISNUMBER(SEARCH(Assumptions!$C$7,F2672)),Assumptions!$D$7,"Other Services"))),"Other Services"))</f>
        <v/>
      </c>
    </row>
    <row r="2673" customFormat="false" ht="15" hidden="false" customHeight="false" outlineLevel="0" collapsed="false">
      <c r="I2673" s="41" t="str">
        <f aca="false">IF(F2673="","",IFERROR(IF(ISNUMBER(SEARCH(Assumptions!$C$5,F2673)),Assumptions!$D$5,IF(ISNUMBER(SEARCH(Assumptions!$C$6,F2673)),Assumptions!$D$6,IF(ISNUMBER(SEARCH(Assumptions!$C$7,F2673)),Assumptions!$D$7,"Other Services"))),"Other Services"))</f>
        <v/>
      </c>
    </row>
    <row r="2674" customFormat="false" ht="15" hidden="false" customHeight="false" outlineLevel="0" collapsed="false">
      <c r="I2674" s="41" t="str">
        <f aca="false">IF(F2674="","",IFERROR(IF(ISNUMBER(SEARCH(Assumptions!$C$5,F2674)),Assumptions!$D$5,IF(ISNUMBER(SEARCH(Assumptions!$C$6,F2674)),Assumptions!$D$6,IF(ISNUMBER(SEARCH(Assumptions!$C$7,F2674)),Assumptions!$D$7,"Other Services"))),"Other Services"))</f>
        <v/>
      </c>
    </row>
    <row r="2675" customFormat="false" ht="15" hidden="false" customHeight="false" outlineLevel="0" collapsed="false">
      <c r="I2675" s="41" t="str">
        <f aca="false">IF(F2675="","",IFERROR(IF(ISNUMBER(SEARCH(Assumptions!$C$5,F2675)),Assumptions!$D$5,IF(ISNUMBER(SEARCH(Assumptions!$C$6,F2675)),Assumptions!$D$6,IF(ISNUMBER(SEARCH(Assumptions!$C$7,F2675)),Assumptions!$D$7,"Other Services"))),"Other Services"))</f>
        <v/>
      </c>
    </row>
    <row r="2676" customFormat="false" ht="15" hidden="false" customHeight="false" outlineLevel="0" collapsed="false">
      <c r="I2676" s="41" t="str">
        <f aca="false">IF(F2676="","",IFERROR(IF(ISNUMBER(SEARCH(Assumptions!$C$5,F2676)),Assumptions!$D$5,IF(ISNUMBER(SEARCH(Assumptions!$C$6,F2676)),Assumptions!$D$6,IF(ISNUMBER(SEARCH(Assumptions!$C$7,F2676)),Assumptions!$D$7,"Other Services"))),"Other Services"))</f>
        <v/>
      </c>
    </row>
    <row r="2677" customFormat="false" ht="15" hidden="false" customHeight="false" outlineLevel="0" collapsed="false">
      <c r="I2677" s="41" t="str">
        <f aca="false">IF(F2677="","",IFERROR(IF(ISNUMBER(SEARCH(Assumptions!$C$5,F2677)),Assumptions!$D$5,IF(ISNUMBER(SEARCH(Assumptions!$C$6,F2677)),Assumptions!$D$6,IF(ISNUMBER(SEARCH(Assumptions!$C$7,F2677)),Assumptions!$D$7,"Other Services"))),"Other Services"))</f>
        <v/>
      </c>
    </row>
    <row r="2678" customFormat="false" ht="15" hidden="false" customHeight="false" outlineLevel="0" collapsed="false">
      <c r="I2678" s="41" t="str">
        <f aca="false">IF(F2678="","",IFERROR(IF(ISNUMBER(SEARCH(Assumptions!$C$5,F2678)),Assumptions!$D$5,IF(ISNUMBER(SEARCH(Assumptions!$C$6,F2678)),Assumptions!$D$6,IF(ISNUMBER(SEARCH(Assumptions!$C$7,F2678)),Assumptions!$D$7,"Other Services"))),"Other Services"))</f>
        <v/>
      </c>
    </row>
    <row r="2679" customFormat="false" ht="15" hidden="false" customHeight="false" outlineLevel="0" collapsed="false">
      <c r="I2679" s="41" t="str">
        <f aca="false">IF(F2679="","",IFERROR(IF(ISNUMBER(SEARCH(Assumptions!$C$5,F2679)),Assumptions!$D$5,IF(ISNUMBER(SEARCH(Assumptions!$C$6,F2679)),Assumptions!$D$6,IF(ISNUMBER(SEARCH(Assumptions!$C$7,F2679)),Assumptions!$D$7,"Other Services"))),"Other Services"))</f>
        <v/>
      </c>
    </row>
    <row r="2680" customFormat="false" ht="15" hidden="false" customHeight="false" outlineLevel="0" collapsed="false">
      <c r="I2680" s="41" t="str">
        <f aca="false">IF(F2680="","",IFERROR(IF(ISNUMBER(SEARCH(Assumptions!$C$5,F2680)),Assumptions!$D$5,IF(ISNUMBER(SEARCH(Assumptions!$C$6,F2680)),Assumptions!$D$6,IF(ISNUMBER(SEARCH(Assumptions!$C$7,F2680)),Assumptions!$D$7,"Other Services"))),"Other Services"))</f>
        <v/>
      </c>
    </row>
    <row r="2681" customFormat="false" ht="15" hidden="false" customHeight="false" outlineLevel="0" collapsed="false">
      <c r="I2681" s="41" t="str">
        <f aca="false">IF(F2681="","",IFERROR(IF(ISNUMBER(SEARCH(Assumptions!$C$5,F2681)),Assumptions!$D$5,IF(ISNUMBER(SEARCH(Assumptions!$C$6,F2681)),Assumptions!$D$6,IF(ISNUMBER(SEARCH(Assumptions!$C$7,F2681)),Assumptions!$D$7,"Other Services"))),"Other Services"))</f>
        <v/>
      </c>
    </row>
    <row r="2682" customFormat="false" ht="15" hidden="false" customHeight="false" outlineLevel="0" collapsed="false">
      <c r="I2682" s="41" t="str">
        <f aca="false">IF(F2682="","",IFERROR(IF(ISNUMBER(SEARCH(Assumptions!$C$5,F2682)),Assumptions!$D$5,IF(ISNUMBER(SEARCH(Assumptions!$C$6,F2682)),Assumptions!$D$6,IF(ISNUMBER(SEARCH(Assumptions!$C$7,F2682)),Assumptions!$D$7,"Other Services"))),"Other Services"))</f>
        <v/>
      </c>
    </row>
    <row r="2683" customFormat="false" ht="15" hidden="false" customHeight="false" outlineLevel="0" collapsed="false">
      <c r="I2683" s="41" t="str">
        <f aca="false">IF(F2683="","",IFERROR(IF(ISNUMBER(SEARCH(Assumptions!$C$5,F2683)),Assumptions!$D$5,IF(ISNUMBER(SEARCH(Assumptions!$C$6,F2683)),Assumptions!$D$6,IF(ISNUMBER(SEARCH(Assumptions!$C$7,F2683)),Assumptions!$D$7,"Other Services"))),"Other Services"))</f>
        <v/>
      </c>
    </row>
    <row r="2684" customFormat="false" ht="15" hidden="false" customHeight="false" outlineLevel="0" collapsed="false">
      <c r="I2684" s="41" t="str">
        <f aca="false">IF(F2684="","",IFERROR(IF(ISNUMBER(SEARCH(Assumptions!$C$5,F2684)),Assumptions!$D$5,IF(ISNUMBER(SEARCH(Assumptions!$C$6,F2684)),Assumptions!$D$6,IF(ISNUMBER(SEARCH(Assumptions!$C$7,F2684)),Assumptions!$D$7,"Other Services"))),"Other Services"))</f>
        <v/>
      </c>
    </row>
    <row r="2685" customFormat="false" ht="15" hidden="false" customHeight="false" outlineLevel="0" collapsed="false">
      <c r="I2685" s="41" t="str">
        <f aca="false">IF(F2685="","",IFERROR(IF(ISNUMBER(SEARCH(Assumptions!$C$5,F2685)),Assumptions!$D$5,IF(ISNUMBER(SEARCH(Assumptions!$C$6,F2685)),Assumptions!$D$6,IF(ISNUMBER(SEARCH(Assumptions!$C$7,F2685)),Assumptions!$D$7,"Other Services"))),"Other Services"))</f>
        <v/>
      </c>
    </row>
    <row r="2686" customFormat="false" ht="15" hidden="false" customHeight="false" outlineLevel="0" collapsed="false">
      <c r="I2686" s="41" t="str">
        <f aca="false">IF(F2686="","",IFERROR(IF(ISNUMBER(SEARCH(Assumptions!$C$5,F2686)),Assumptions!$D$5,IF(ISNUMBER(SEARCH(Assumptions!$C$6,F2686)),Assumptions!$D$6,IF(ISNUMBER(SEARCH(Assumptions!$C$7,F2686)),Assumptions!$D$7,"Other Services"))),"Other Services"))</f>
        <v/>
      </c>
    </row>
    <row r="2687" customFormat="false" ht="15" hidden="false" customHeight="false" outlineLevel="0" collapsed="false">
      <c r="I2687" s="41" t="str">
        <f aca="false">IF(F2687="","",IFERROR(IF(ISNUMBER(SEARCH(Assumptions!$C$5,F2687)),Assumptions!$D$5,IF(ISNUMBER(SEARCH(Assumptions!$C$6,F2687)),Assumptions!$D$6,IF(ISNUMBER(SEARCH(Assumptions!$C$7,F2687)),Assumptions!$D$7,"Other Services"))),"Other Services"))</f>
        <v/>
      </c>
    </row>
    <row r="2688" customFormat="false" ht="15" hidden="false" customHeight="false" outlineLevel="0" collapsed="false">
      <c r="I2688" s="41" t="str">
        <f aca="false">IF(F2688="","",IFERROR(IF(ISNUMBER(SEARCH(Assumptions!$C$5,F2688)),Assumptions!$D$5,IF(ISNUMBER(SEARCH(Assumptions!$C$6,F2688)),Assumptions!$D$6,IF(ISNUMBER(SEARCH(Assumptions!$C$7,F2688)),Assumptions!$D$7,"Other Services"))),"Other Services"))</f>
        <v/>
      </c>
    </row>
    <row r="2689" customFormat="false" ht="15" hidden="false" customHeight="false" outlineLevel="0" collapsed="false">
      <c r="I2689" s="41" t="str">
        <f aca="false">IF(F2689="","",IFERROR(IF(ISNUMBER(SEARCH(Assumptions!$C$5,F2689)),Assumptions!$D$5,IF(ISNUMBER(SEARCH(Assumptions!$C$6,F2689)),Assumptions!$D$6,IF(ISNUMBER(SEARCH(Assumptions!$C$7,F2689)),Assumptions!$D$7,"Other Services"))),"Other Services"))</f>
        <v/>
      </c>
    </row>
    <row r="2690" customFormat="false" ht="15" hidden="false" customHeight="false" outlineLevel="0" collapsed="false">
      <c r="I2690" s="41" t="str">
        <f aca="false">IF(F2690="","",IFERROR(IF(ISNUMBER(SEARCH(Assumptions!$C$5,F2690)),Assumptions!$D$5,IF(ISNUMBER(SEARCH(Assumptions!$C$6,F2690)),Assumptions!$D$6,IF(ISNUMBER(SEARCH(Assumptions!$C$7,F2690)),Assumptions!$D$7,"Other Services"))),"Other Services"))</f>
        <v/>
      </c>
    </row>
    <row r="2691" customFormat="false" ht="15" hidden="false" customHeight="false" outlineLevel="0" collapsed="false">
      <c r="I2691" s="41" t="str">
        <f aca="false">IF(F2691="","",IFERROR(IF(ISNUMBER(SEARCH(Assumptions!$C$5,F2691)),Assumptions!$D$5,IF(ISNUMBER(SEARCH(Assumptions!$C$6,F2691)),Assumptions!$D$6,IF(ISNUMBER(SEARCH(Assumptions!$C$7,F2691)),Assumptions!$D$7,"Other Services"))),"Other Services"))</f>
        <v/>
      </c>
    </row>
    <row r="2692" customFormat="false" ht="15" hidden="false" customHeight="false" outlineLevel="0" collapsed="false">
      <c r="I2692" s="41" t="str">
        <f aca="false">IF(F2692="","",IFERROR(IF(ISNUMBER(SEARCH(Assumptions!$C$5,F2692)),Assumptions!$D$5,IF(ISNUMBER(SEARCH(Assumptions!$C$6,F2692)),Assumptions!$D$6,IF(ISNUMBER(SEARCH(Assumptions!$C$7,F2692)),Assumptions!$D$7,"Other Services"))),"Other Services"))</f>
        <v/>
      </c>
    </row>
    <row r="2693" customFormat="false" ht="15" hidden="false" customHeight="false" outlineLevel="0" collapsed="false">
      <c r="I2693" s="41" t="str">
        <f aca="false">IF(F2693="","",IFERROR(IF(ISNUMBER(SEARCH(Assumptions!$C$5,F2693)),Assumptions!$D$5,IF(ISNUMBER(SEARCH(Assumptions!$C$6,F2693)),Assumptions!$D$6,IF(ISNUMBER(SEARCH(Assumptions!$C$7,F2693)),Assumptions!$D$7,"Other Services"))),"Other Services"))</f>
        <v/>
      </c>
    </row>
    <row r="2694" customFormat="false" ht="15" hidden="false" customHeight="false" outlineLevel="0" collapsed="false">
      <c r="I2694" s="41" t="str">
        <f aca="false">IF(F2694="","",IFERROR(IF(ISNUMBER(SEARCH(Assumptions!$C$5,F2694)),Assumptions!$D$5,IF(ISNUMBER(SEARCH(Assumptions!$C$6,F2694)),Assumptions!$D$6,IF(ISNUMBER(SEARCH(Assumptions!$C$7,F2694)),Assumptions!$D$7,"Other Services"))),"Other Services"))</f>
        <v/>
      </c>
    </row>
    <row r="2695" customFormat="false" ht="15" hidden="false" customHeight="false" outlineLevel="0" collapsed="false">
      <c r="I2695" s="41" t="str">
        <f aca="false">IF(F2695="","",IFERROR(IF(ISNUMBER(SEARCH(Assumptions!$C$5,F2695)),Assumptions!$D$5,IF(ISNUMBER(SEARCH(Assumptions!$C$6,F2695)),Assumptions!$D$6,IF(ISNUMBER(SEARCH(Assumptions!$C$7,F2695)),Assumptions!$D$7,"Other Services"))),"Other Services"))</f>
        <v/>
      </c>
    </row>
    <row r="2696" customFormat="false" ht="15" hidden="false" customHeight="false" outlineLevel="0" collapsed="false">
      <c r="I2696" s="41" t="str">
        <f aca="false">IF(F2696="","",IFERROR(IF(ISNUMBER(SEARCH(Assumptions!$C$5,F2696)),Assumptions!$D$5,IF(ISNUMBER(SEARCH(Assumptions!$C$6,F2696)),Assumptions!$D$6,IF(ISNUMBER(SEARCH(Assumptions!$C$7,F2696)),Assumptions!$D$7,"Other Services"))),"Other Services"))</f>
        <v/>
      </c>
    </row>
    <row r="2697" customFormat="false" ht="15" hidden="false" customHeight="false" outlineLevel="0" collapsed="false">
      <c r="I2697" s="41" t="str">
        <f aca="false">IF(F2697="","",IFERROR(IF(ISNUMBER(SEARCH(Assumptions!$C$5,F2697)),Assumptions!$D$5,IF(ISNUMBER(SEARCH(Assumptions!$C$6,F2697)),Assumptions!$D$6,IF(ISNUMBER(SEARCH(Assumptions!$C$7,F2697)),Assumptions!$D$7,"Other Services"))),"Other Services"))</f>
        <v/>
      </c>
    </row>
    <row r="2698" customFormat="false" ht="15" hidden="false" customHeight="false" outlineLevel="0" collapsed="false">
      <c r="I2698" s="41" t="str">
        <f aca="false">IF(F2698="","",IFERROR(IF(ISNUMBER(SEARCH(Assumptions!$C$5,F2698)),Assumptions!$D$5,IF(ISNUMBER(SEARCH(Assumptions!$C$6,F2698)),Assumptions!$D$6,IF(ISNUMBER(SEARCH(Assumptions!$C$7,F2698)),Assumptions!$D$7,"Other Services"))),"Other Services"))</f>
        <v/>
      </c>
    </row>
    <row r="2699" customFormat="false" ht="15" hidden="false" customHeight="false" outlineLevel="0" collapsed="false">
      <c r="I2699" s="41" t="str">
        <f aca="false">IF(F2699="","",IFERROR(IF(ISNUMBER(SEARCH(Assumptions!$C$5,F2699)),Assumptions!$D$5,IF(ISNUMBER(SEARCH(Assumptions!$C$6,F2699)),Assumptions!$D$6,IF(ISNUMBER(SEARCH(Assumptions!$C$7,F2699)),Assumptions!$D$7,"Other Services"))),"Other Services"))</f>
        <v/>
      </c>
    </row>
    <row r="2700" customFormat="false" ht="15" hidden="false" customHeight="false" outlineLevel="0" collapsed="false">
      <c r="I2700" s="41" t="str">
        <f aca="false">IF(F2700="","",IFERROR(IF(ISNUMBER(SEARCH(Assumptions!$C$5,F2700)),Assumptions!$D$5,IF(ISNUMBER(SEARCH(Assumptions!$C$6,F2700)),Assumptions!$D$6,IF(ISNUMBER(SEARCH(Assumptions!$C$7,F2700)),Assumptions!$D$7,"Other Services"))),"Other Services"))</f>
        <v/>
      </c>
    </row>
    <row r="2701" customFormat="false" ht="15" hidden="false" customHeight="false" outlineLevel="0" collapsed="false">
      <c r="I2701" s="41" t="str">
        <f aca="false">IF(F2701="","",IFERROR(IF(ISNUMBER(SEARCH(Assumptions!$C$5,F2701)),Assumptions!$D$5,IF(ISNUMBER(SEARCH(Assumptions!$C$6,F2701)),Assumptions!$D$6,IF(ISNUMBER(SEARCH(Assumptions!$C$7,F2701)),Assumptions!$D$7,"Other Services"))),"Other Services"))</f>
        <v/>
      </c>
    </row>
    <row r="2702" customFormat="false" ht="15" hidden="false" customHeight="false" outlineLevel="0" collapsed="false">
      <c r="I2702" s="41" t="str">
        <f aca="false">IF(F2702="","",IFERROR(IF(ISNUMBER(SEARCH(Assumptions!$C$5,F2702)),Assumptions!$D$5,IF(ISNUMBER(SEARCH(Assumptions!$C$6,F2702)),Assumptions!$D$6,IF(ISNUMBER(SEARCH(Assumptions!$C$7,F2702)),Assumptions!$D$7,"Other Services"))),"Other Services"))</f>
        <v/>
      </c>
    </row>
    <row r="2703" customFormat="false" ht="15" hidden="false" customHeight="false" outlineLevel="0" collapsed="false">
      <c r="I2703" s="41" t="str">
        <f aca="false">IF(F2703="","",IFERROR(IF(ISNUMBER(SEARCH(Assumptions!$C$5,F2703)),Assumptions!$D$5,IF(ISNUMBER(SEARCH(Assumptions!$C$6,F2703)),Assumptions!$D$6,IF(ISNUMBER(SEARCH(Assumptions!$C$7,F2703)),Assumptions!$D$7,"Other Services"))),"Other Services"))</f>
        <v/>
      </c>
    </row>
    <row r="2704" customFormat="false" ht="15" hidden="false" customHeight="false" outlineLevel="0" collapsed="false">
      <c r="I2704" s="41" t="str">
        <f aca="false">IF(F2704="","",IFERROR(IF(ISNUMBER(SEARCH(Assumptions!$C$5,F2704)),Assumptions!$D$5,IF(ISNUMBER(SEARCH(Assumptions!$C$6,F2704)),Assumptions!$D$6,IF(ISNUMBER(SEARCH(Assumptions!$C$7,F2704)),Assumptions!$D$7,"Other Services"))),"Other Services"))</f>
        <v/>
      </c>
    </row>
    <row r="2705" customFormat="false" ht="15" hidden="false" customHeight="false" outlineLevel="0" collapsed="false">
      <c r="I2705" s="41" t="str">
        <f aca="false">IF(F2705="","",IFERROR(IF(ISNUMBER(SEARCH(Assumptions!$C$5,F2705)),Assumptions!$D$5,IF(ISNUMBER(SEARCH(Assumptions!$C$6,F2705)),Assumptions!$D$6,IF(ISNUMBER(SEARCH(Assumptions!$C$7,F2705)),Assumptions!$D$7,"Other Services"))),"Other Services"))</f>
        <v/>
      </c>
    </row>
    <row r="2706" customFormat="false" ht="15" hidden="false" customHeight="false" outlineLevel="0" collapsed="false">
      <c r="I2706" s="41" t="str">
        <f aca="false">IF(F2706="","",IFERROR(IF(ISNUMBER(SEARCH(Assumptions!$C$5,F2706)),Assumptions!$D$5,IF(ISNUMBER(SEARCH(Assumptions!$C$6,F2706)),Assumptions!$D$6,IF(ISNUMBER(SEARCH(Assumptions!$C$7,F2706)),Assumptions!$D$7,"Other Services"))),"Other Services"))</f>
        <v/>
      </c>
    </row>
    <row r="2707" customFormat="false" ht="15" hidden="false" customHeight="false" outlineLevel="0" collapsed="false">
      <c r="I2707" s="41" t="str">
        <f aca="false">IF(F2707="","",IFERROR(IF(ISNUMBER(SEARCH(Assumptions!$C$5,F2707)),Assumptions!$D$5,IF(ISNUMBER(SEARCH(Assumptions!$C$6,F2707)),Assumptions!$D$6,IF(ISNUMBER(SEARCH(Assumptions!$C$7,F2707)),Assumptions!$D$7,"Other Services"))),"Other Services"))</f>
        <v/>
      </c>
    </row>
    <row r="2708" customFormat="false" ht="15" hidden="false" customHeight="false" outlineLevel="0" collapsed="false">
      <c r="I2708" s="41" t="str">
        <f aca="false">IF(F2708="","",IFERROR(IF(ISNUMBER(SEARCH(Assumptions!$C$5,F2708)),Assumptions!$D$5,IF(ISNUMBER(SEARCH(Assumptions!$C$6,F2708)),Assumptions!$D$6,IF(ISNUMBER(SEARCH(Assumptions!$C$7,F2708)),Assumptions!$D$7,"Other Services"))),"Other Services"))</f>
        <v/>
      </c>
    </row>
    <row r="2709" customFormat="false" ht="15" hidden="false" customHeight="false" outlineLevel="0" collapsed="false">
      <c r="I2709" s="41" t="str">
        <f aca="false">IF(F2709="","",IFERROR(IF(ISNUMBER(SEARCH(Assumptions!$C$5,F2709)),Assumptions!$D$5,IF(ISNUMBER(SEARCH(Assumptions!$C$6,F2709)),Assumptions!$D$6,IF(ISNUMBER(SEARCH(Assumptions!$C$7,F2709)),Assumptions!$D$7,"Other Services"))),"Other Services"))</f>
        <v/>
      </c>
    </row>
    <row r="2710" customFormat="false" ht="15" hidden="false" customHeight="false" outlineLevel="0" collapsed="false">
      <c r="I2710" s="41" t="str">
        <f aca="false">IF(F2710="","",IFERROR(IF(ISNUMBER(SEARCH(Assumptions!$C$5,F2710)),Assumptions!$D$5,IF(ISNUMBER(SEARCH(Assumptions!$C$6,F2710)),Assumptions!$D$6,IF(ISNUMBER(SEARCH(Assumptions!$C$7,F2710)),Assumptions!$D$7,"Other Services"))),"Other Services"))</f>
        <v/>
      </c>
    </row>
    <row r="2711" customFormat="false" ht="15" hidden="false" customHeight="false" outlineLevel="0" collapsed="false">
      <c r="I2711" s="41" t="str">
        <f aca="false">IF(F2711="","",IFERROR(IF(ISNUMBER(SEARCH(Assumptions!$C$5,F2711)),Assumptions!$D$5,IF(ISNUMBER(SEARCH(Assumptions!$C$6,F2711)),Assumptions!$D$6,IF(ISNUMBER(SEARCH(Assumptions!$C$7,F2711)),Assumptions!$D$7,"Other Services"))),"Other Services"))</f>
        <v/>
      </c>
    </row>
    <row r="2712" customFormat="false" ht="15" hidden="false" customHeight="false" outlineLevel="0" collapsed="false">
      <c r="I2712" s="41" t="str">
        <f aca="false">IF(F2712="","",IFERROR(IF(ISNUMBER(SEARCH(Assumptions!$C$5,F2712)),Assumptions!$D$5,IF(ISNUMBER(SEARCH(Assumptions!$C$6,F2712)),Assumptions!$D$6,IF(ISNUMBER(SEARCH(Assumptions!$C$7,F2712)),Assumptions!$D$7,"Other Services"))),"Other Services"))</f>
        <v/>
      </c>
    </row>
    <row r="2713" customFormat="false" ht="15" hidden="false" customHeight="false" outlineLevel="0" collapsed="false">
      <c r="I2713" s="41" t="str">
        <f aca="false">IF(F2713="","",IFERROR(IF(ISNUMBER(SEARCH(Assumptions!$C$5,F2713)),Assumptions!$D$5,IF(ISNUMBER(SEARCH(Assumptions!$C$6,F2713)),Assumptions!$D$6,IF(ISNUMBER(SEARCH(Assumptions!$C$7,F2713)),Assumptions!$D$7,"Other Services"))),"Other Services"))</f>
        <v/>
      </c>
    </row>
    <row r="2714" customFormat="false" ht="15" hidden="false" customHeight="false" outlineLevel="0" collapsed="false">
      <c r="I2714" s="41" t="str">
        <f aca="false">IF(F2714="","",IFERROR(IF(ISNUMBER(SEARCH(Assumptions!$C$5,F2714)),Assumptions!$D$5,IF(ISNUMBER(SEARCH(Assumptions!$C$6,F2714)),Assumptions!$D$6,IF(ISNUMBER(SEARCH(Assumptions!$C$7,F2714)),Assumptions!$D$7,"Other Services"))),"Other Services"))</f>
        <v/>
      </c>
    </row>
    <row r="2715" customFormat="false" ht="15" hidden="false" customHeight="false" outlineLevel="0" collapsed="false">
      <c r="I2715" s="41" t="str">
        <f aca="false">IF(F2715="","",IFERROR(IF(ISNUMBER(SEARCH(Assumptions!$C$5,F2715)),Assumptions!$D$5,IF(ISNUMBER(SEARCH(Assumptions!$C$6,F2715)),Assumptions!$D$6,IF(ISNUMBER(SEARCH(Assumptions!$C$7,F2715)),Assumptions!$D$7,"Other Services"))),"Other Services"))</f>
        <v/>
      </c>
    </row>
    <row r="2716" customFormat="false" ht="15" hidden="false" customHeight="false" outlineLevel="0" collapsed="false">
      <c r="I2716" s="41" t="str">
        <f aca="false">IF(F2716="","",IFERROR(IF(ISNUMBER(SEARCH(Assumptions!$C$5,F2716)),Assumptions!$D$5,IF(ISNUMBER(SEARCH(Assumptions!$C$6,F2716)),Assumptions!$D$6,IF(ISNUMBER(SEARCH(Assumptions!$C$7,F2716)),Assumptions!$D$7,"Other Services"))),"Other Services"))</f>
        <v/>
      </c>
    </row>
    <row r="2717" customFormat="false" ht="15" hidden="false" customHeight="false" outlineLevel="0" collapsed="false">
      <c r="I2717" s="41" t="str">
        <f aca="false">IF(F2717="","",IFERROR(IF(ISNUMBER(SEARCH(Assumptions!$C$5,F2717)),Assumptions!$D$5,IF(ISNUMBER(SEARCH(Assumptions!$C$6,F2717)),Assumptions!$D$6,IF(ISNUMBER(SEARCH(Assumptions!$C$7,F2717)),Assumptions!$D$7,"Other Services"))),"Other Services"))</f>
        <v/>
      </c>
    </row>
    <row r="2718" customFormat="false" ht="15" hidden="false" customHeight="false" outlineLevel="0" collapsed="false">
      <c r="I2718" s="41" t="str">
        <f aca="false">IF(F2718="","",IFERROR(IF(ISNUMBER(SEARCH(Assumptions!$C$5,F2718)),Assumptions!$D$5,IF(ISNUMBER(SEARCH(Assumptions!$C$6,F2718)),Assumptions!$D$6,IF(ISNUMBER(SEARCH(Assumptions!$C$7,F2718)),Assumptions!$D$7,"Other Services"))),"Other Services"))</f>
        <v/>
      </c>
    </row>
    <row r="2719" customFormat="false" ht="15" hidden="false" customHeight="false" outlineLevel="0" collapsed="false">
      <c r="I2719" s="41" t="str">
        <f aca="false">IF(F2719="","",IFERROR(IF(ISNUMBER(SEARCH(Assumptions!$C$5,F2719)),Assumptions!$D$5,IF(ISNUMBER(SEARCH(Assumptions!$C$6,F2719)),Assumptions!$D$6,IF(ISNUMBER(SEARCH(Assumptions!$C$7,F2719)),Assumptions!$D$7,"Other Services"))),"Other Services"))</f>
        <v/>
      </c>
    </row>
    <row r="2720" customFormat="false" ht="15" hidden="false" customHeight="false" outlineLevel="0" collapsed="false">
      <c r="I2720" s="41" t="str">
        <f aca="false">IF(F2720="","",IFERROR(IF(ISNUMBER(SEARCH(Assumptions!$C$5,F2720)),Assumptions!$D$5,IF(ISNUMBER(SEARCH(Assumptions!$C$6,F2720)),Assumptions!$D$6,IF(ISNUMBER(SEARCH(Assumptions!$C$7,F2720)),Assumptions!$D$7,"Other Services"))),"Other Services"))</f>
        <v/>
      </c>
    </row>
    <row r="2721" customFormat="false" ht="15" hidden="false" customHeight="false" outlineLevel="0" collapsed="false">
      <c r="I2721" s="41" t="str">
        <f aca="false">IF(F2721="","",IFERROR(IF(ISNUMBER(SEARCH(Assumptions!$C$5,F2721)),Assumptions!$D$5,IF(ISNUMBER(SEARCH(Assumptions!$C$6,F2721)),Assumptions!$D$6,IF(ISNUMBER(SEARCH(Assumptions!$C$7,F2721)),Assumptions!$D$7,"Other Services"))),"Other Services"))</f>
        <v/>
      </c>
    </row>
    <row r="2722" customFormat="false" ht="15" hidden="false" customHeight="false" outlineLevel="0" collapsed="false">
      <c r="I2722" s="41" t="str">
        <f aca="false">IF(F2722="","",IFERROR(IF(ISNUMBER(SEARCH(Assumptions!$C$5,F2722)),Assumptions!$D$5,IF(ISNUMBER(SEARCH(Assumptions!$C$6,F2722)),Assumptions!$D$6,IF(ISNUMBER(SEARCH(Assumptions!$C$7,F2722)),Assumptions!$D$7,"Other Services"))),"Other Services"))</f>
        <v/>
      </c>
    </row>
    <row r="2723" customFormat="false" ht="15" hidden="false" customHeight="false" outlineLevel="0" collapsed="false">
      <c r="I2723" s="41" t="str">
        <f aca="false">IF(F2723="","",IFERROR(IF(ISNUMBER(SEARCH(Assumptions!$C$5,F2723)),Assumptions!$D$5,IF(ISNUMBER(SEARCH(Assumptions!$C$6,F2723)),Assumptions!$D$6,IF(ISNUMBER(SEARCH(Assumptions!$C$7,F2723)),Assumptions!$D$7,"Other Services"))),"Other Services"))</f>
        <v/>
      </c>
    </row>
    <row r="2724" customFormat="false" ht="15" hidden="false" customHeight="false" outlineLevel="0" collapsed="false">
      <c r="I2724" s="41" t="str">
        <f aca="false">IF(F2724="","",IFERROR(IF(ISNUMBER(SEARCH(Assumptions!$C$5,F2724)),Assumptions!$D$5,IF(ISNUMBER(SEARCH(Assumptions!$C$6,F2724)),Assumptions!$D$6,IF(ISNUMBER(SEARCH(Assumptions!$C$7,F2724)),Assumptions!$D$7,"Other Services"))),"Other Services"))</f>
        <v/>
      </c>
    </row>
    <row r="2725" customFormat="false" ht="15" hidden="false" customHeight="false" outlineLevel="0" collapsed="false">
      <c r="I2725" s="41" t="str">
        <f aca="false">IF(F2725="","",IFERROR(IF(ISNUMBER(SEARCH(Assumptions!$C$5,F2725)),Assumptions!$D$5,IF(ISNUMBER(SEARCH(Assumptions!$C$6,F2725)),Assumptions!$D$6,IF(ISNUMBER(SEARCH(Assumptions!$C$7,F2725)),Assumptions!$D$7,"Other Services"))),"Other Services"))</f>
        <v/>
      </c>
    </row>
    <row r="2726" customFormat="false" ht="15" hidden="false" customHeight="false" outlineLevel="0" collapsed="false">
      <c r="I2726" s="41" t="str">
        <f aca="false">IF(F2726="","",IFERROR(IF(ISNUMBER(SEARCH(Assumptions!$C$5,F2726)),Assumptions!$D$5,IF(ISNUMBER(SEARCH(Assumptions!$C$6,F2726)),Assumptions!$D$6,IF(ISNUMBER(SEARCH(Assumptions!$C$7,F2726)),Assumptions!$D$7,"Other Services"))),"Other Services"))</f>
        <v/>
      </c>
    </row>
    <row r="2727" customFormat="false" ht="15" hidden="false" customHeight="false" outlineLevel="0" collapsed="false">
      <c r="I2727" s="41" t="str">
        <f aca="false">IF(F2727="","",IFERROR(IF(ISNUMBER(SEARCH(Assumptions!$C$5,F2727)),Assumptions!$D$5,IF(ISNUMBER(SEARCH(Assumptions!$C$6,F2727)),Assumptions!$D$6,IF(ISNUMBER(SEARCH(Assumptions!$C$7,F2727)),Assumptions!$D$7,"Other Services"))),"Other Services"))</f>
        <v/>
      </c>
    </row>
    <row r="2728" customFormat="false" ht="15" hidden="false" customHeight="false" outlineLevel="0" collapsed="false">
      <c r="I2728" s="41" t="str">
        <f aca="false">IF(F2728="","",IFERROR(IF(ISNUMBER(SEARCH(Assumptions!$C$5,F2728)),Assumptions!$D$5,IF(ISNUMBER(SEARCH(Assumptions!$C$6,F2728)),Assumptions!$D$6,IF(ISNUMBER(SEARCH(Assumptions!$C$7,F2728)),Assumptions!$D$7,"Other Services"))),"Other Services"))</f>
        <v/>
      </c>
    </row>
    <row r="2729" customFormat="false" ht="15" hidden="false" customHeight="false" outlineLevel="0" collapsed="false">
      <c r="I2729" s="41" t="str">
        <f aca="false">IF(F2729="","",IFERROR(IF(ISNUMBER(SEARCH(Assumptions!$C$5,F2729)),Assumptions!$D$5,IF(ISNUMBER(SEARCH(Assumptions!$C$6,F2729)),Assumptions!$D$6,IF(ISNUMBER(SEARCH(Assumptions!$C$7,F2729)),Assumptions!$D$7,"Other Services"))),"Other Services"))</f>
        <v/>
      </c>
    </row>
    <row r="2730" customFormat="false" ht="15" hidden="false" customHeight="false" outlineLevel="0" collapsed="false">
      <c r="I2730" s="41" t="str">
        <f aca="false">IF(F2730="","",IFERROR(IF(ISNUMBER(SEARCH(Assumptions!$C$5,F2730)),Assumptions!$D$5,IF(ISNUMBER(SEARCH(Assumptions!$C$6,F2730)),Assumptions!$D$6,IF(ISNUMBER(SEARCH(Assumptions!$C$7,F2730)),Assumptions!$D$7,"Other Services"))),"Other Services"))</f>
        <v/>
      </c>
    </row>
    <row r="2731" customFormat="false" ht="15" hidden="false" customHeight="false" outlineLevel="0" collapsed="false">
      <c r="I2731" s="41" t="str">
        <f aca="false">IF(F2731="","",IFERROR(IF(ISNUMBER(SEARCH(Assumptions!$C$5,F2731)),Assumptions!$D$5,IF(ISNUMBER(SEARCH(Assumptions!$C$6,F2731)),Assumptions!$D$6,IF(ISNUMBER(SEARCH(Assumptions!$C$7,F2731)),Assumptions!$D$7,"Other Services"))),"Other Services"))</f>
        <v/>
      </c>
    </row>
    <row r="2732" customFormat="false" ht="15" hidden="false" customHeight="false" outlineLevel="0" collapsed="false">
      <c r="I2732" s="41" t="str">
        <f aca="false">IF(F2732="","",IFERROR(IF(ISNUMBER(SEARCH(Assumptions!$C$5,F2732)),Assumptions!$D$5,IF(ISNUMBER(SEARCH(Assumptions!$C$6,F2732)),Assumptions!$D$6,IF(ISNUMBER(SEARCH(Assumptions!$C$7,F2732)),Assumptions!$D$7,"Other Services"))),"Other Services"))</f>
        <v/>
      </c>
    </row>
    <row r="2733" customFormat="false" ht="15" hidden="false" customHeight="false" outlineLevel="0" collapsed="false">
      <c r="I2733" s="41" t="str">
        <f aca="false">IF(F2733="","",IFERROR(IF(ISNUMBER(SEARCH(Assumptions!$C$5,F2733)),Assumptions!$D$5,IF(ISNUMBER(SEARCH(Assumptions!$C$6,F2733)),Assumptions!$D$6,IF(ISNUMBER(SEARCH(Assumptions!$C$7,F2733)),Assumptions!$D$7,"Other Services"))),"Other Services"))</f>
        <v/>
      </c>
    </row>
    <row r="2734" customFormat="false" ht="15" hidden="false" customHeight="false" outlineLevel="0" collapsed="false">
      <c r="I2734" s="41" t="str">
        <f aca="false">IF(F2734="","",IFERROR(IF(ISNUMBER(SEARCH(Assumptions!$C$5,F2734)),Assumptions!$D$5,IF(ISNUMBER(SEARCH(Assumptions!$C$6,F2734)),Assumptions!$D$6,IF(ISNUMBER(SEARCH(Assumptions!$C$7,F2734)),Assumptions!$D$7,"Other Services"))),"Other Services"))</f>
        <v/>
      </c>
    </row>
    <row r="2735" customFormat="false" ht="15" hidden="false" customHeight="false" outlineLevel="0" collapsed="false">
      <c r="I2735" s="41" t="str">
        <f aca="false">IF(F2735="","",IFERROR(IF(ISNUMBER(SEARCH(Assumptions!$C$5,F2735)),Assumptions!$D$5,IF(ISNUMBER(SEARCH(Assumptions!$C$6,F2735)),Assumptions!$D$6,IF(ISNUMBER(SEARCH(Assumptions!$C$7,F2735)),Assumptions!$D$7,"Other Services"))),"Other Services"))</f>
        <v/>
      </c>
    </row>
    <row r="2736" customFormat="false" ht="15" hidden="false" customHeight="false" outlineLevel="0" collapsed="false">
      <c r="I2736" s="41" t="str">
        <f aca="false">IF(F2736="","",IFERROR(IF(ISNUMBER(SEARCH(Assumptions!$C$5,F2736)),Assumptions!$D$5,IF(ISNUMBER(SEARCH(Assumptions!$C$6,F2736)),Assumptions!$D$6,IF(ISNUMBER(SEARCH(Assumptions!$C$7,F2736)),Assumptions!$D$7,"Other Services"))),"Other Services"))</f>
        <v/>
      </c>
    </row>
    <row r="2737" customFormat="false" ht="15" hidden="false" customHeight="false" outlineLevel="0" collapsed="false">
      <c r="I2737" s="41" t="str">
        <f aca="false">IF(F2737="","",IFERROR(IF(ISNUMBER(SEARCH(Assumptions!$C$5,F2737)),Assumptions!$D$5,IF(ISNUMBER(SEARCH(Assumptions!$C$6,F2737)),Assumptions!$D$6,IF(ISNUMBER(SEARCH(Assumptions!$C$7,F2737)),Assumptions!$D$7,"Other Services"))),"Other Services"))</f>
        <v/>
      </c>
    </row>
    <row r="2738" customFormat="false" ht="15" hidden="false" customHeight="false" outlineLevel="0" collapsed="false">
      <c r="I2738" s="41" t="str">
        <f aca="false">IF(F2738="","",IFERROR(IF(ISNUMBER(SEARCH(Assumptions!$C$5,F2738)),Assumptions!$D$5,IF(ISNUMBER(SEARCH(Assumptions!$C$6,F2738)),Assumptions!$D$6,IF(ISNUMBER(SEARCH(Assumptions!$C$7,F2738)),Assumptions!$D$7,"Other Services"))),"Other Services"))</f>
        <v/>
      </c>
    </row>
    <row r="2739" customFormat="false" ht="15" hidden="false" customHeight="false" outlineLevel="0" collapsed="false">
      <c r="I2739" s="41" t="str">
        <f aca="false">IF(F2739="","",IFERROR(IF(ISNUMBER(SEARCH(Assumptions!$C$5,F2739)),Assumptions!$D$5,IF(ISNUMBER(SEARCH(Assumptions!$C$6,F2739)),Assumptions!$D$6,IF(ISNUMBER(SEARCH(Assumptions!$C$7,F2739)),Assumptions!$D$7,"Other Services"))),"Other Services"))</f>
        <v/>
      </c>
    </row>
    <row r="2740" customFormat="false" ht="15" hidden="false" customHeight="false" outlineLevel="0" collapsed="false">
      <c r="I2740" s="41" t="str">
        <f aca="false">IF(F2740="","",IFERROR(IF(ISNUMBER(SEARCH(Assumptions!$C$5,F2740)),Assumptions!$D$5,IF(ISNUMBER(SEARCH(Assumptions!$C$6,F2740)),Assumptions!$D$6,IF(ISNUMBER(SEARCH(Assumptions!$C$7,F2740)),Assumptions!$D$7,"Other Services"))),"Other Services"))</f>
        <v/>
      </c>
    </row>
    <row r="2741" customFormat="false" ht="15" hidden="false" customHeight="false" outlineLevel="0" collapsed="false">
      <c r="I2741" s="41" t="str">
        <f aca="false">IF(F2741="","",IFERROR(IF(ISNUMBER(SEARCH(Assumptions!$C$5,F2741)),Assumptions!$D$5,IF(ISNUMBER(SEARCH(Assumptions!$C$6,F2741)),Assumptions!$D$6,IF(ISNUMBER(SEARCH(Assumptions!$C$7,F2741)),Assumptions!$D$7,"Other Services"))),"Other Services"))</f>
        <v/>
      </c>
    </row>
    <row r="2742" customFormat="false" ht="15" hidden="false" customHeight="false" outlineLevel="0" collapsed="false">
      <c r="I2742" s="41" t="str">
        <f aca="false">IF(F2742="","",IFERROR(IF(ISNUMBER(SEARCH(Assumptions!$C$5,F2742)),Assumptions!$D$5,IF(ISNUMBER(SEARCH(Assumptions!$C$6,F2742)),Assumptions!$D$6,IF(ISNUMBER(SEARCH(Assumptions!$C$7,F2742)),Assumptions!$D$7,"Other Services"))),"Other Services"))</f>
        <v/>
      </c>
    </row>
    <row r="2743" customFormat="false" ht="15" hidden="false" customHeight="false" outlineLevel="0" collapsed="false">
      <c r="I2743" s="41" t="str">
        <f aca="false">IF(F2743="","",IFERROR(IF(ISNUMBER(SEARCH(Assumptions!$C$5,F2743)),Assumptions!$D$5,IF(ISNUMBER(SEARCH(Assumptions!$C$6,F2743)),Assumptions!$D$6,IF(ISNUMBER(SEARCH(Assumptions!$C$7,F2743)),Assumptions!$D$7,"Other Services"))),"Other Services"))</f>
        <v/>
      </c>
    </row>
    <row r="2744" customFormat="false" ht="15" hidden="false" customHeight="false" outlineLevel="0" collapsed="false">
      <c r="I2744" s="41" t="str">
        <f aca="false">IF(F2744="","",IFERROR(IF(ISNUMBER(SEARCH(Assumptions!$C$5,F2744)),Assumptions!$D$5,IF(ISNUMBER(SEARCH(Assumptions!$C$6,F2744)),Assumptions!$D$6,IF(ISNUMBER(SEARCH(Assumptions!$C$7,F2744)),Assumptions!$D$7,"Other Services"))),"Other Services"))</f>
        <v/>
      </c>
    </row>
    <row r="2745" customFormat="false" ht="15" hidden="false" customHeight="false" outlineLevel="0" collapsed="false">
      <c r="I2745" s="41" t="str">
        <f aca="false">IF(F2745="","",IFERROR(IF(ISNUMBER(SEARCH(Assumptions!$C$5,F2745)),Assumptions!$D$5,IF(ISNUMBER(SEARCH(Assumptions!$C$6,F2745)),Assumptions!$D$6,IF(ISNUMBER(SEARCH(Assumptions!$C$7,F2745)),Assumptions!$D$7,"Other Services"))),"Other Services"))</f>
        <v/>
      </c>
    </row>
    <row r="2746" customFormat="false" ht="15" hidden="false" customHeight="false" outlineLevel="0" collapsed="false">
      <c r="I2746" s="41" t="str">
        <f aca="false">IF(F2746="","",IFERROR(IF(ISNUMBER(SEARCH(Assumptions!$C$5,F2746)),Assumptions!$D$5,IF(ISNUMBER(SEARCH(Assumptions!$C$6,F2746)),Assumptions!$D$6,IF(ISNUMBER(SEARCH(Assumptions!$C$7,F2746)),Assumptions!$D$7,"Other Services"))),"Other Services"))</f>
        <v/>
      </c>
    </row>
    <row r="2747" customFormat="false" ht="15" hidden="false" customHeight="false" outlineLevel="0" collapsed="false">
      <c r="I2747" s="41" t="str">
        <f aca="false">IF(F2747="","",IFERROR(IF(ISNUMBER(SEARCH(Assumptions!$C$5,F2747)),Assumptions!$D$5,IF(ISNUMBER(SEARCH(Assumptions!$C$6,F2747)),Assumptions!$D$6,IF(ISNUMBER(SEARCH(Assumptions!$C$7,F2747)),Assumptions!$D$7,"Other Services"))),"Other Services"))</f>
        <v/>
      </c>
    </row>
    <row r="2748" customFormat="false" ht="15" hidden="false" customHeight="false" outlineLevel="0" collapsed="false">
      <c r="I2748" s="41" t="str">
        <f aca="false">IF(F2748="","",IFERROR(IF(ISNUMBER(SEARCH(Assumptions!$C$5,F2748)),Assumptions!$D$5,IF(ISNUMBER(SEARCH(Assumptions!$C$6,F2748)),Assumptions!$D$6,IF(ISNUMBER(SEARCH(Assumptions!$C$7,F2748)),Assumptions!$D$7,"Other Services"))),"Other Services"))</f>
        <v/>
      </c>
    </row>
    <row r="2749" customFormat="false" ht="15" hidden="false" customHeight="false" outlineLevel="0" collapsed="false">
      <c r="I2749" s="41" t="str">
        <f aca="false">IF(F2749="","",IFERROR(IF(ISNUMBER(SEARCH(Assumptions!$C$5,F2749)),Assumptions!$D$5,IF(ISNUMBER(SEARCH(Assumptions!$C$6,F2749)),Assumptions!$D$6,IF(ISNUMBER(SEARCH(Assumptions!$C$7,F2749)),Assumptions!$D$7,"Other Services"))),"Other Services"))</f>
        <v/>
      </c>
    </row>
    <row r="2750" customFormat="false" ht="15" hidden="false" customHeight="false" outlineLevel="0" collapsed="false">
      <c r="I2750" s="41" t="str">
        <f aca="false">IF(F2750="","",IFERROR(IF(ISNUMBER(SEARCH(Assumptions!$C$5,F2750)),Assumptions!$D$5,IF(ISNUMBER(SEARCH(Assumptions!$C$6,F2750)),Assumptions!$D$6,IF(ISNUMBER(SEARCH(Assumptions!$C$7,F2750)),Assumptions!$D$7,"Other Services"))),"Other Services"))</f>
        <v/>
      </c>
    </row>
    <row r="2751" customFormat="false" ht="15" hidden="false" customHeight="false" outlineLevel="0" collapsed="false">
      <c r="I2751" s="41" t="str">
        <f aca="false">IF(F2751="","",IFERROR(IF(ISNUMBER(SEARCH(Assumptions!$C$5,F2751)),Assumptions!$D$5,IF(ISNUMBER(SEARCH(Assumptions!$C$6,F2751)),Assumptions!$D$6,IF(ISNUMBER(SEARCH(Assumptions!$C$7,F2751)),Assumptions!$D$7,"Other Services"))),"Other Services"))</f>
        <v/>
      </c>
    </row>
    <row r="2752" customFormat="false" ht="15" hidden="false" customHeight="false" outlineLevel="0" collapsed="false">
      <c r="I2752" s="41" t="str">
        <f aca="false">IF(F2752="","",IFERROR(IF(ISNUMBER(SEARCH(Assumptions!$C$5,F2752)),Assumptions!$D$5,IF(ISNUMBER(SEARCH(Assumptions!$C$6,F2752)),Assumptions!$D$6,IF(ISNUMBER(SEARCH(Assumptions!$C$7,F2752)),Assumptions!$D$7,"Other Services"))),"Other Services"))</f>
        <v/>
      </c>
    </row>
    <row r="2753" customFormat="false" ht="15" hidden="false" customHeight="false" outlineLevel="0" collapsed="false">
      <c r="I2753" s="41" t="str">
        <f aca="false">IF(F2753="","",IFERROR(IF(ISNUMBER(SEARCH(Assumptions!$C$5,F2753)),Assumptions!$D$5,IF(ISNUMBER(SEARCH(Assumptions!$C$6,F2753)),Assumptions!$D$6,IF(ISNUMBER(SEARCH(Assumptions!$C$7,F2753)),Assumptions!$D$7,"Other Services"))),"Other Services"))</f>
        <v/>
      </c>
    </row>
    <row r="2754" customFormat="false" ht="15" hidden="false" customHeight="false" outlineLevel="0" collapsed="false">
      <c r="I2754" s="41" t="str">
        <f aca="false">IF(F2754="","",IFERROR(IF(ISNUMBER(SEARCH(Assumptions!$C$5,F2754)),Assumptions!$D$5,IF(ISNUMBER(SEARCH(Assumptions!$C$6,F2754)),Assumptions!$D$6,IF(ISNUMBER(SEARCH(Assumptions!$C$7,F2754)),Assumptions!$D$7,"Other Services"))),"Other Services"))</f>
        <v/>
      </c>
    </row>
    <row r="2755" customFormat="false" ht="15" hidden="false" customHeight="false" outlineLevel="0" collapsed="false">
      <c r="I2755" s="41" t="str">
        <f aca="false">IF(F2755="","",IFERROR(IF(ISNUMBER(SEARCH(Assumptions!$C$5,F2755)),Assumptions!$D$5,IF(ISNUMBER(SEARCH(Assumptions!$C$6,F2755)),Assumptions!$D$6,IF(ISNUMBER(SEARCH(Assumptions!$C$7,F2755)),Assumptions!$D$7,"Other Services"))),"Other Services"))</f>
        <v/>
      </c>
    </row>
    <row r="2756" customFormat="false" ht="15" hidden="false" customHeight="false" outlineLevel="0" collapsed="false">
      <c r="I2756" s="41" t="str">
        <f aca="false">IF(F2756="","",IFERROR(IF(ISNUMBER(SEARCH(Assumptions!$C$5,F2756)),Assumptions!$D$5,IF(ISNUMBER(SEARCH(Assumptions!$C$6,F2756)),Assumptions!$D$6,IF(ISNUMBER(SEARCH(Assumptions!$C$7,F2756)),Assumptions!$D$7,"Other Services"))),"Other Services"))</f>
        <v/>
      </c>
    </row>
    <row r="2757" customFormat="false" ht="15" hidden="false" customHeight="false" outlineLevel="0" collapsed="false">
      <c r="I2757" s="41" t="str">
        <f aca="false">IF(F2757="","",IFERROR(IF(ISNUMBER(SEARCH(Assumptions!$C$5,F2757)),Assumptions!$D$5,IF(ISNUMBER(SEARCH(Assumptions!$C$6,F2757)),Assumptions!$D$6,IF(ISNUMBER(SEARCH(Assumptions!$C$7,F2757)),Assumptions!$D$7,"Other Services"))),"Other Services"))</f>
        <v/>
      </c>
    </row>
    <row r="2758" customFormat="false" ht="15" hidden="false" customHeight="false" outlineLevel="0" collapsed="false">
      <c r="I2758" s="41" t="str">
        <f aca="false">IF(F2758="","",IFERROR(IF(ISNUMBER(SEARCH(Assumptions!$C$5,F2758)),Assumptions!$D$5,IF(ISNUMBER(SEARCH(Assumptions!$C$6,F2758)),Assumptions!$D$6,IF(ISNUMBER(SEARCH(Assumptions!$C$7,F2758)),Assumptions!$D$7,"Other Services"))),"Other Services"))</f>
        <v/>
      </c>
    </row>
    <row r="2759" customFormat="false" ht="15" hidden="false" customHeight="false" outlineLevel="0" collapsed="false">
      <c r="I2759" s="41" t="str">
        <f aca="false">IF(F2759="","",IFERROR(IF(ISNUMBER(SEARCH(Assumptions!$C$5,F2759)),Assumptions!$D$5,IF(ISNUMBER(SEARCH(Assumptions!$C$6,F2759)),Assumptions!$D$6,IF(ISNUMBER(SEARCH(Assumptions!$C$7,F2759)),Assumptions!$D$7,"Other Services"))),"Other Services"))</f>
        <v/>
      </c>
    </row>
    <row r="2760" customFormat="false" ht="15" hidden="false" customHeight="false" outlineLevel="0" collapsed="false">
      <c r="I2760" s="41" t="str">
        <f aca="false">IF(F2760="","",IFERROR(IF(ISNUMBER(SEARCH(Assumptions!$C$5,F2760)),Assumptions!$D$5,IF(ISNUMBER(SEARCH(Assumptions!$C$6,F2760)),Assumptions!$D$6,IF(ISNUMBER(SEARCH(Assumptions!$C$7,F2760)),Assumptions!$D$7,"Other Services"))),"Other Services"))</f>
        <v/>
      </c>
    </row>
    <row r="2761" customFormat="false" ht="15" hidden="false" customHeight="false" outlineLevel="0" collapsed="false">
      <c r="I2761" s="41" t="str">
        <f aca="false">IF(F2761="","",IFERROR(IF(ISNUMBER(SEARCH(Assumptions!$C$5,F2761)),Assumptions!$D$5,IF(ISNUMBER(SEARCH(Assumptions!$C$6,F2761)),Assumptions!$D$6,IF(ISNUMBER(SEARCH(Assumptions!$C$7,F2761)),Assumptions!$D$7,"Other Services"))),"Other Services"))</f>
        <v/>
      </c>
    </row>
    <row r="2762" customFormat="false" ht="15" hidden="false" customHeight="false" outlineLevel="0" collapsed="false">
      <c r="I2762" s="41" t="str">
        <f aca="false">IF(F2762="","",IFERROR(IF(ISNUMBER(SEARCH(Assumptions!$C$5,F2762)),Assumptions!$D$5,IF(ISNUMBER(SEARCH(Assumptions!$C$6,F2762)),Assumptions!$D$6,IF(ISNUMBER(SEARCH(Assumptions!$C$7,F2762)),Assumptions!$D$7,"Other Services"))),"Other Services"))</f>
        <v/>
      </c>
    </row>
    <row r="2763" customFormat="false" ht="15" hidden="false" customHeight="false" outlineLevel="0" collapsed="false">
      <c r="I2763" s="41" t="str">
        <f aca="false">IF(F2763="","",IFERROR(IF(ISNUMBER(SEARCH(Assumptions!$C$5,F2763)),Assumptions!$D$5,IF(ISNUMBER(SEARCH(Assumptions!$C$6,F2763)),Assumptions!$D$6,IF(ISNUMBER(SEARCH(Assumptions!$C$7,F2763)),Assumptions!$D$7,"Other Services"))),"Other Services"))</f>
        <v/>
      </c>
    </row>
    <row r="2764" customFormat="false" ht="15" hidden="false" customHeight="false" outlineLevel="0" collapsed="false">
      <c r="I2764" s="41" t="str">
        <f aca="false">IF(F2764="","",IFERROR(IF(ISNUMBER(SEARCH(Assumptions!$C$5,F2764)),Assumptions!$D$5,IF(ISNUMBER(SEARCH(Assumptions!$C$6,F2764)),Assumptions!$D$6,IF(ISNUMBER(SEARCH(Assumptions!$C$7,F2764)),Assumptions!$D$7,"Other Services"))),"Other Services"))</f>
        <v/>
      </c>
    </row>
    <row r="2765" customFormat="false" ht="15" hidden="false" customHeight="false" outlineLevel="0" collapsed="false">
      <c r="I2765" s="41" t="str">
        <f aca="false">IF(F2765="","",IFERROR(IF(ISNUMBER(SEARCH(Assumptions!$C$5,F2765)),Assumptions!$D$5,IF(ISNUMBER(SEARCH(Assumptions!$C$6,F2765)),Assumptions!$D$6,IF(ISNUMBER(SEARCH(Assumptions!$C$7,F2765)),Assumptions!$D$7,"Other Services"))),"Other Services"))</f>
        <v/>
      </c>
    </row>
    <row r="2766" customFormat="false" ht="15" hidden="false" customHeight="false" outlineLevel="0" collapsed="false">
      <c r="I2766" s="41" t="str">
        <f aca="false">IF(F2766="","",IFERROR(IF(ISNUMBER(SEARCH(Assumptions!$C$5,F2766)),Assumptions!$D$5,IF(ISNUMBER(SEARCH(Assumptions!$C$6,F2766)),Assumptions!$D$6,IF(ISNUMBER(SEARCH(Assumptions!$C$7,F2766)),Assumptions!$D$7,"Other Services"))),"Other Services"))</f>
        <v/>
      </c>
    </row>
    <row r="2767" customFormat="false" ht="15" hidden="false" customHeight="false" outlineLevel="0" collapsed="false">
      <c r="I2767" s="41" t="str">
        <f aca="false">IF(F2767="","",IFERROR(IF(ISNUMBER(SEARCH(Assumptions!$C$5,F2767)),Assumptions!$D$5,IF(ISNUMBER(SEARCH(Assumptions!$C$6,F2767)),Assumptions!$D$6,IF(ISNUMBER(SEARCH(Assumptions!$C$7,F2767)),Assumptions!$D$7,"Other Services"))),"Other Services"))</f>
        <v/>
      </c>
    </row>
    <row r="2768" customFormat="false" ht="15" hidden="false" customHeight="false" outlineLevel="0" collapsed="false">
      <c r="I2768" s="41" t="str">
        <f aca="false">IF(F2768="","",IFERROR(IF(ISNUMBER(SEARCH(Assumptions!$C$5,F2768)),Assumptions!$D$5,IF(ISNUMBER(SEARCH(Assumptions!$C$6,F2768)),Assumptions!$D$6,IF(ISNUMBER(SEARCH(Assumptions!$C$7,F2768)),Assumptions!$D$7,"Other Services"))),"Other Services"))</f>
        <v/>
      </c>
    </row>
    <row r="2769" customFormat="false" ht="15" hidden="false" customHeight="false" outlineLevel="0" collapsed="false">
      <c r="I2769" s="41" t="str">
        <f aca="false">IF(F2769="","",IFERROR(IF(ISNUMBER(SEARCH(Assumptions!$C$5,F2769)),Assumptions!$D$5,IF(ISNUMBER(SEARCH(Assumptions!$C$6,F2769)),Assumptions!$D$6,IF(ISNUMBER(SEARCH(Assumptions!$C$7,F2769)),Assumptions!$D$7,"Other Services"))),"Other Services"))</f>
        <v/>
      </c>
    </row>
    <row r="2770" customFormat="false" ht="15" hidden="false" customHeight="false" outlineLevel="0" collapsed="false">
      <c r="I2770" s="41" t="str">
        <f aca="false">IF(F2770="","",IFERROR(IF(ISNUMBER(SEARCH(Assumptions!$C$5,F2770)),Assumptions!$D$5,IF(ISNUMBER(SEARCH(Assumptions!$C$6,F2770)),Assumptions!$D$6,IF(ISNUMBER(SEARCH(Assumptions!$C$7,F2770)),Assumptions!$D$7,"Other Services"))),"Other Services"))</f>
        <v/>
      </c>
    </row>
    <row r="2771" customFormat="false" ht="15" hidden="false" customHeight="false" outlineLevel="0" collapsed="false">
      <c r="I2771" s="41" t="str">
        <f aca="false">IF(F2771="","",IFERROR(IF(ISNUMBER(SEARCH(Assumptions!$C$5,F2771)),Assumptions!$D$5,IF(ISNUMBER(SEARCH(Assumptions!$C$6,F2771)),Assumptions!$D$6,IF(ISNUMBER(SEARCH(Assumptions!$C$7,F2771)),Assumptions!$D$7,"Other Services"))),"Other Services"))</f>
        <v/>
      </c>
    </row>
    <row r="2772" customFormat="false" ht="15" hidden="false" customHeight="false" outlineLevel="0" collapsed="false">
      <c r="I2772" s="41" t="str">
        <f aca="false">IF(F2772="","",IFERROR(IF(ISNUMBER(SEARCH(Assumptions!$C$5,F2772)),Assumptions!$D$5,IF(ISNUMBER(SEARCH(Assumptions!$C$6,F2772)),Assumptions!$D$6,IF(ISNUMBER(SEARCH(Assumptions!$C$7,F2772)),Assumptions!$D$7,"Other Services"))),"Other Services"))</f>
        <v/>
      </c>
    </row>
    <row r="2773" customFormat="false" ht="15" hidden="false" customHeight="false" outlineLevel="0" collapsed="false">
      <c r="I2773" s="41" t="str">
        <f aca="false">IF(F2773="","",IFERROR(IF(ISNUMBER(SEARCH(Assumptions!$C$5,F2773)),Assumptions!$D$5,IF(ISNUMBER(SEARCH(Assumptions!$C$6,F2773)),Assumptions!$D$6,IF(ISNUMBER(SEARCH(Assumptions!$C$7,F2773)),Assumptions!$D$7,"Other Services"))),"Other Services"))</f>
        <v/>
      </c>
    </row>
    <row r="2774" customFormat="false" ht="15" hidden="false" customHeight="false" outlineLevel="0" collapsed="false">
      <c r="I2774" s="41" t="str">
        <f aca="false">IF(F2774="","",IFERROR(IF(ISNUMBER(SEARCH(Assumptions!$C$5,F2774)),Assumptions!$D$5,IF(ISNUMBER(SEARCH(Assumptions!$C$6,F2774)),Assumptions!$D$6,IF(ISNUMBER(SEARCH(Assumptions!$C$7,F2774)),Assumptions!$D$7,"Other Services"))),"Other Services"))</f>
        <v/>
      </c>
    </row>
    <row r="2775" customFormat="false" ht="15" hidden="false" customHeight="false" outlineLevel="0" collapsed="false">
      <c r="I2775" s="41" t="str">
        <f aca="false">IF(F2775="","",IFERROR(IF(ISNUMBER(SEARCH(Assumptions!$C$5,F2775)),Assumptions!$D$5,IF(ISNUMBER(SEARCH(Assumptions!$C$6,F2775)),Assumptions!$D$6,IF(ISNUMBER(SEARCH(Assumptions!$C$7,F2775)),Assumptions!$D$7,"Other Services"))),"Other Services"))</f>
        <v/>
      </c>
    </row>
    <row r="2776" customFormat="false" ht="15" hidden="false" customHeight="false" outlineLevel="0" collapsed="false">
      <c r="I2776" s="41" t="str">
        <f aca="false">IF(F2776="","",IFERROR(IF(ISNUMBER(SEARCH(Assumptions!$C$5,F2776)),Assumptions!$D$5,IF(ISNUMBER(SEARCH(Assumptions!$C$6,F2776)),Assumptions!$D$6,IF(ISNUMBER(SEARCH(Assumptions!$C$7,F2776)),Assumptions!$D$7,"Other Services"))),"Other Services"))</f>
        <v/>
      </c>
    </row>
    <row r="2777" customFormat="false" ht="15" hidden="false" customHeight="false" outlineLevel="0" collapsed="false">
      <c r="I2777" s="41" t="str">
        <f aca="false">IF(F2777="","",IFERROR(IF(ISNUMBER(SEARCH(Assumptions!$C$5,F2777)),Assumptions!$D$5,IF(ISNUMBER(SEARCH(Assumptions!$C$6,F2777)),Assumptions!$D$6,IF(ISNUMBER(SEARCH(Assumptions!$C$7,F2777)),Assumptions!$D$7,"Other Services"))),"Other Services"))</f>
        <v/>
      </c>
    </row>
    <row r="2778" customFormat="false" ht="15" hidden="false" customHeight="false" outlineLevel="0" collapsed="false">
      <c r="I2778" s="41" t="str">
        <f aca="false">IF(F2778="","",IFERROR(IF(ISNUMBER(SEARCH(Assumptions!$C$5,F2778)),Assumptions!$D$5,IF(ISNUMBER(SEARCH(Assumptions!$C$6,F2778)),Assumptions!$D$6,IF(ISNUMBER(SEARCH(Assumptions!$C$7,F2778)),Assumptions!$D$7,"Other Services"))),"Other Services"))</f>
        <v/>
      </c>
    </row>
    <row r="2779" customFormat="false" ht="15" hidden="false" customHeight="false" outlineLevel="0" collapsed="false">
      <c r="I2779" s="41" t="str">
        <f aca="false">IF(F2779="","",IFERROR(IF(ISNUMBER(SEARCH(Assumptions!$C$5,F2779)),Assumptions!$D$5,IF(ISNUMBER(SEARCH(Assumptions!$C$6,F2779)),Assumptions!$D$6,IF(ISNUMBER(SEARCH(Assumptions!$C$7,F2779)),Assumptions!$D$7,"Other Services"))),"Other Services"))</f>
        <v/>
      </c>
    </row>
    <row r="2780" customFormat="false" ht="15" hidden="false" customHeight="false" outlineLevel="0" collapsed="false">
      <c r="I2780" s="41" t="str">
        <f aca="false">IF(F2780="","",IFERROR(IF(ISNUMBER(SEARCH(Assumptions!$C$5,F2780)),Assumptions!$D$5,IF(ISNUMBER(SEARCH(Assumptions!$C$6,F2780)),Assumptions!$D$6,IF(ISNUMBER(SEARCH(Assumptions!$C$7,F2780)),Assumptions!$D$7,"Other Services"))),"Other Services"))</f>
        <v/>
      </c>
    </row>
    <row r="2781" customFormat="false" ht="15" hidden="false" customHeight="false" outlineLevel="0" collapsed="false">
      <c r="I2781" s="41" t="str">
        <f aca="false">IF(F2781="","",IFERROR(IF(ISNUMBER(SEARCH(Assumptions!$C$5,F2781)),Assumptions!$D$5,IF(ISNUMBER(SEARCH(Assumptions!$C$6,F2781)),Assumptions!$D$6,IF(ISNUMBER(SEARCH(Assumptions!$C$7,F2781)),Assumptions!$D$7,"Other Services"))),"Other Services"))</f>
        <v/>
      </c>
    </row>
    <row r="2782" customFormat="false" ht="15" hidden="false" customHeight="false" outlineLevel="0" collapsed="false">
      <c r="I2782" s="41" t="str">
        <f aca="false">IF(F2782="","",IFERROR(IF(ISNUMBER(SEARCH(Assumptions!$C$5,F2782)),Assumptions!$D$5,IF(ISNUMBER(SEARCH(Assumptions!$C$6,F2782)),Assumptions!$D$6,IF(ISNUMBER(SEARCH(Assumptions!$C$7,F2782)),Assumptions!$D$7,"Other Services"))),"Other Services"))</f>
        <v/>
      </c>
    </row>
    <row r="2783" customFormat="false" ht="15" hidden="false" customHeight="false" outlineLevel="0" collapsed="false">
      <c r="I2783" s="41" t="str">
        <f aca="false">IF(F2783="","",IFERROR(IF(ISNUMBER(SEARCH(Assumptions!$C$5,F2783)),Assumptions!$D$5,IF(ISNUMBER(SEARCH(Assumptions!$C$6,F2783)),Assumptions!$D$6,IF(ISNUMBER(SEARCH(Assumptions!$C$7,F2783)),Assumptions!$D$7,"Other Services"))),"Other Services"))</f>
        <v/>
      </c>
    </row>
    <row r="2784" customFormat="false" ht="15" hidden="false" customHeight="false" outlineLevel="0" collapsed="false">
      <c r="I2784" s="41" t="str">
        <f aca="false">IF(F2784="","",IFERROR(IF(ISNUMBER(SEARCH(Assumptions!$C$5,F2784)),Assumptions!$D$5,IF(ISNUMBER(SEARCH(Assumptions!$C$6,F2784)),Assumptions!$D$6,IF(ISNUMBER(SEARCH(Assumptions!$C$7,F2784)),Assumptions!$D$7,"Other Services"))),"Other Services"))</f>
        <v/>
      </c>
    </row>
    <row r="2785" customFormat="false" ht="15" hidden="false" customHeight="false" outlineLevel="0" collapsed="false">
      <c r="I2785" s="41" t="str">
        <f aca="false">IF(F2785="","",IFERROR(IF(ISNUMBER(SEARCH(Assumptions!$C$5,F2785)),Assumptions!$D$5,IF(ISNUMBER(SEARCH(Assumptions!$C$6,F2785)),Assumptions!$D$6,IF(ISNUMBER(SEARCH(Assumptions!$C$7,F2785)),Assumptions!$D$7,"Other Services"))),"Other Services"))</f>
        <v/>
      </c>
    </row>
    <row r="2786" customFormat="false" ht="15" hidden="false" customHeight="false" outlineLevel="0" collapsed="false">
      <c r="I2786" s="41" t="str">
        <f aca="false">IF(F2786="","",IFERROR(IF(ISNUMBER(SEARCH(Assumptions!$C$5,F2786)),Assumptions!$D$5,IF(ISNUMBER(SEARCH(Assumptions!$C$6,F2786)),Assumptions!$D$6,IF(ISNUMBER(SEARCH(Assumptions!$C$7,F2786)),Assumptions!$D$7,"Other Services"))),"Other Services"))</f>
        <v/>
      </c>
    </row>
    <row r="2787" customFormat="false" ht="15" hidden="false" customHeight="false" outlineLevel="0" collapsed="false">
      <c r="I2787" s="41" t="str">
        <f aca="false">IF(F2787="","",IFERROR(IF(ISNUMBER(SEARCH(Assumptions!$C$5,F2787)),Assumptions!$D$5,IF(ISNUMBER(SEARCH(Assumptions!$C$6,F2787)),Assumptions!$D$6,IF(ISNUMBER(SEARCH(Assumptions!$C$7,F2787)),Assumptions!$D$7,"Other Services"))),"Other Services"))</f>
        <v/>
      </c>
    </row>
    <row r="2788" customFormat="false" ht="15" hidden="false" customHeight="false" outlineLevel="0" collapsed="false">
      <c r="I2788" s="41" t="str">
        <f aca="false">IF(F2788="","",IFERROR(IF(ISNUMBER(SEARCH(Assumptions!$C$5,F2788)),Assumptions!$D$5,IF(ISNUMBER(SEARCH(Assumptions!$C$6,F2788)),Assumptions!$D$6,IF(ISNUMBER(SEARCH(Assumptions!$C$7,F2788)),Assumptions!$D$7,"Other Services"))),"Other Services"))</f>
        <v/>
      </c>
    </row>
    <row r="2789" customFormat="false" ht="15" hidden="false" customHeight="false" outlineLevel="0" collapsed="false">
      <c r="I2789" s="41" t="str">
        <f aca="false">IF(F2789="","",IFERROR(IF(ISNUMBER(SEARCH(Assumptions!$C$5,F2789)),Assumptions!$D$5,IF(ISNUMBER(SEARCH(Assumptions!$C$6,F2789)),Assumptions!$D$6,IF(ISNUMBER(SEARCH(Assumptions!$C$7,F2789)),Assumptions!$D$7,"Other Services"))),"Other Services"))</f>
        <v/>
      </c>
    </row>
    <row r="2790" customFormat="false" ht="15" hidden="false" customHeight="false" outlineLevel="0" collapsed="false">
      <c r="I2790" s="41" t="str">
        <f aca="false">IF(F2790="","",IFERROR(IF(ISNUMBER(SEARCH(Assumptions!$C$5,F2790)),Assumptions!$D$5,IF(ISNUMBER(SEARCH(Assumptions!$C$6,F2790)),Assumptions!$D$6,IF(ISNUMBER(SEARCH(Assumptions!$C$7,F2790)),Assumptions!$D$7,"Other Services"))),"Other Services"))</f>
        <v/>
      </c>
    </row>
    <row r="2791" customFormat="false" ht="15" hidden="false" customHeight="false" outlineLevel="0" collapsed="false">
      <c r="I2791" s="41" t="str">
        <f aca="false">IF(F2791="","",IFERROR(IF(ISNUMBER(SEARCH(Assumptions!$C$5,F2791)),Assumptions!$D$5,IF(ISNUMBER(SEARCH(Assumptions!$C$6,F2791)),Assumptions!$D$6,IF(ISNUMBER(SEARCH(Assumptions!$C$7,F2791)),Assumptions!$D$7,"Other Services"))),"Other Services"))</f>
        <v/>
      </c>
    </row>
    <row r="2792" customFormat="false" ht="15" hidden="false" customHeight="false" outlineLevel="0" collapsed="false">
      <c r="I2792" s="41" t="str">
        <f aca="false">IF(F2792="","",IFERROR(IF(ISNUMBER(SEARCH(Assumptions!$C$5,F2792)),Assumptions!$D$5,IF(ISNUMBER(SEARCH(Assumptions!$C$6,F2792)),Assumptions!$D$6,IF(ISNUMBER(SEARCH(Assumptions!$C$7,F2792)),Assumptions!$D$7,"Other Services"))),"Other Services"))</f>
        <v/>
      </c>
    </row>
    <row r="2793" customFormat="false" ht="15" hidden="false" customHeight="false" outlineLevel="0" collapsed="false">
      <c r="I2793" s="41" t="str">
        <f aca="false">IF(F2793="","",IFERROR(IF(ISNUMBER(SEARCH(Assumptions!$C$5,F2793)),Assumptions!$D$5,IF(ISNUMBER(SEARCH(Assumptions!$C$6,F2793)),Assumptions!$D$6,IF(ISNUMBER(SEARCH(Assumptions!$C$7,F2793)),Assumptions!$D$7,"Other Services"))),"Other Services"))</f>
        <v/>
      </c>
    </row>
    <row r="2794" customFormat="false" ht="15" hidden="false" customHeight="false" outlineLevel="0" collapsed="false">
      <c r="I2794" s="41" t="str">
        <f aca="false">IF(F2794="","",IFERROR(IF(ISNUMBER(SEARCH(Assumptions!$C$5,F2794)),Assumptions!$D$5,IF(ISNUMBER(SEARCH(Assumptions!$C$6,F2794)),Assumptions!$D$6,IF(ISNUMBER(SEARCH(Assumptions!$C$7,F2794)),Assumptions!$D$7,"Other Services"))),"Other Services"))</f>
        <v/>
      </c>
    </row>
    <row r="2795" customFormat="false" ht="15" hidden="false" customHeight="false" outlineLevel="0" collapsed="false">
      <c r="I2795" s="41" t="str">
        <f aca="false">IF(F2795="","",IFERROR(IF(ISNUMBER(SEARCH(Assumptions!$C$5,F2795)),Assumptions!$D$5,IF(ISNUMBER(SEARCH(Assumptions!$C$6,F2795)),Assumptions!$D$6,IF(ISNUMBER(SEARCH(Assumptions!$C$7,F2795)),Assumptions!$D$7,"Other Services"))),"Other Services"))</f>
        <v/>
      </c>
    </row>
    <row r="2796" customFormat="false" ht="15" hidden="false" customHeight="false" outlineLevel="0" collapsed="false">
      <c r="I2796" s="41" t="str">
        <f aca="false">IF(F2796="","",IFERROR(IF(ISNUMBER(SEARCH(Assumptions!$C$5,F2796)),Assumptions!$D$5,IF(ISNUMBER(SEARCH(Assumptions!$C$6,F2796)),Assumptions!$D$6,IF(ISNUMBER(SEARCH(Assumptions!$C$7,F2796)),Assumptions!$D$7,"Other Services"))),"Other Services"))</f>
        <v/>
      </c>
    </row>
    <row r="2797" customFormat="false" ht="15" hidden="false" customHeight="false" outlineLevel="0" collapsed="false">
      <c r="I2797" s="41" t="str">
        <f aca="false">IF(F2797="","",IFERROR(IF(ISNUMBER(SEARCH(Assumptions!$C$5,F2797)),Assumptions!$D$5,IF(ISNUMBER(SEARCH(Assumptions!$C$6,F2797)),Assumptions!$D$6,IF(ISNUMBER(SEARCH(Assumptions!$C$7,F2797)),Assumptions!$D$7,"Other Services"))),"Other Services"))</f>
        <v/>
      </c>
    </row>
    <row r="2798" customFormat="false" ht="15" hidden="false" customHeight="false" outlineLevel="0" collapsed="false">
      <c r="I2798" s="41" t="str">
        <f aca="false">IF(F2798="","",IFERROR(IF(ISNUMBER(SEARCH(Assumptions!$C$5,F2798)),Assumptions!$D$5,IF(ISNUMBER(SEARCH(Assumptions!$C$6,F2798)),Assumptions!$D$6,IF(ISNUMBER(SEARCH(Assumptions!$C$7,F2798)),Assumptions!$D$7,"Other Services"))),"Other Services"))</f>
        <v/>
      </c>
    </row>
    <row r="2799" customFormat="false" ht="15" hidden="false" customHeight="false" outlineLevel="0" collapsed="false">
      <c r="I2799" s="41" t="str">
        <f aca="false">IF(F2799="","",IFERROR(IF(ISNUMBER(SEARCH(Assumptions!$C$5,F2799)),Assumptions!$D$5,IF(ISNUMBER(SEARCH(Assumptions!$C$6,F2799)),Assumptions!$D$6,IF(ISNUMBER(SEARCH(Assumptions!$C$7,F2799)),Assumptions!$D$7,"Other Services"))),"Other Services"))</f>
        <v/>
      </c>
    </row>
    <row r="2800" customFormat="false" ht="15" hidden="false" customHeight="false" outlineLevel="0" collapsed="false">
      <c r="I2800" s="41" t="str">
        <f aca="false">IF(F2800="","",IFERROR(IF(ISNUMBER(SEARCH(Assumptions!$C$5,F2800)),Assumptions!$D$5,IF(ISNUMBER(SEARCH(Assumptions!$C$6,F2800)),Assumptions!$D$6,IF(ISNUMBER(SEARCH(Assumptions!$C$7,F2800)),Assumptions!$D$7,"Other Services"))),"Other Services"))</f>
        <v/>
      </c>
    </row>
    <row r="2801" customFormat="false" ht="15" hidden="false" customHeight="false" outlineLevel="0" collapsed="false">
      <c r="I2801" s="41" t="str">
        <f aca="false">IF(F2801="","",IFERROR(IF(ISNUMBER(SEARCH(Assumptions!$C$5,F2801)),Assumptions!$D$5,IF(ISNUMBER(SEARCH(Assumptions!$C$6,F2801)),Assumptions!$D$6,IF(ISNUMBER(SEARCH(Assumptions!$C$7,F2801)),Assumptions!$D$7,"Other Services"))),"Other Services"))</f>
        <v/>
      </c>
    </row>
    <row r="2802" customFormat="false" ht="15" hidden="false" customHeight="false" outlineLevel="0" collapsed="false">
      <c r="I2802" s="41" t="str">
        <f aca="false">IF(F2802="","",IFERROR(IF(ISNUMBER(SEARCH(Assumptions!$C$5,F2802)),Assumptions!$D$5,IF(ISNUMBER(SEARCH(Assumptions!$C$6,F2802)),Assumptions!$D$6,IF(ISNUMBER(SEARCH(Assumptions!$C$7,F2802)),Assumptions!$D$7,"Other Services"))),"Other Services"))</f>
        <v/>
      </c>
    </row>
    <row r="2803" customFormat="false" ht="15" hidden="false" customHeight="false" outlineLevel="0" collapsed="false">
      <c r="I2803" s="41" t="str">
        <f aca="false">IF(F2803="","",IFERROR(IF(ISNUMBER(SEARCH(Assumptions!$C$5,F2803)),Assumptions!$D$5,IF(ISNUMBER(SEARCH(Assumptions!$C$6,F2803)),Assumptions!$D$6,IF(ISNUMBER(SEARCH(Assumptions!$C$7,F2803)),Assumptions!$D$7,"Other Services"))),"Other Services"))</f>
        <v/>
      </c>
    </row>
    <row r="2804" customFormat="false" ht="15" hidden="false" customHeight="false" outlineLevel="0" collapsed="false">
      <c r="I2804" s="41" t="str">
        <f aca="false">IF(F2804="","",IFERROR(IF(ISNUMBER(SEARCH(Assumptions!$C$5,F2804)),Assumptions!$D$5,IF(ISNUMBER(SEARCH(Assumptions!$C$6,F2804)),Assumptions!$D$6,IF(ISNUMBER(SEARCH(Assumptions!$C$7,F2804)),Assumptions!$D$7,"Other Services"))),"Other Services"))</f>
        <v/>
      </c>
    </row>
    <row r="2805" customFormat="false" ht="15" hidden="false" customHeight="false" outlineLevel="0" collapsed="false">
      <c r="I2805" s="41" t="str">
        <f aca="false">IF(F2805="","",IFERROR(IF(ISNUMBER(SEARCH(Assumptions!$C$5,F2805)),Assumptions!$D$5,IF(ISNUMBER(SEARCH(Assumptions!$C$6,F2805)),Assumptions!$D$6,IF(ISNUMBER(SEARCH(Assumptions!$C$7,F2805)),Assumptions!$D$7,"Other Services"))),"Other Services"))</f>
        <v/>
      </c>
    </row>
    <row r="2806" customFormat="false" ht="15" hidden="false" customHeight="false" outlineLevel="0" collapsed="false">
      <c r="I2806" s="41" t="str">
        <f aca="false">IF(F2806="","",IFERROR(IF(ISNUMBER(SEARCH(Assumptions!$C$5,F2806)),Assumptions!$D$5,IF(ISNUMBER(SEARCH(Assumptions!$C$6,F2806)),Assumptions!$D$6,IF(ISNUMBER(SEARCH(Assumptions!$C$7,F2806)),Assumptions!$D$7,"Other Services"))),"Other Services"))</f>
        <v/>
      </c>
    </row>
    <row r="2807" customFormat="false" ht="15" hidden="false" customHeight="false" outlineLevel="0" collapsed="false">
      <c r="I2807" s="41" t="str">
        <f aca="false">IF(F2807="","",IFERROR(IF(ISNUMBER(SEARCH(Assumptions!$C$5,F2807)),Assumptions!$D$5,IF(ISNUMBER(SEARCH(Assumptions!$C$6,F2807)),Assumptions!$D$6,IF(ISNUMBER(SEARCH(Assumptions!$C$7,F2807)),Assumptions!$D$7,"Other Services"))),"Other Services"))</f>
        <v/>
      </c>
    </row>
    <row r="2808" customFormat="false" ht="15" hidden="false" customHeight="false" outlineLevel="0" collapsed="false">
      <c r="I2808" s="41" t="str">
        <f aca="false">IF(F2808="","",IFERROR(IF(ISNUMBER(SEARCH(Assumptions!$C$5,F2808)),Assumptions!$D$5,IF(ISNUMBER(SEARCH(Assumptions!$C$6,F2808)),Assumptions!$D$6,IF(ISNUMBER(SEARCH(Assumptions!$C$7,F2808)),Assumptions!$D$7,"Other Services"))),"Other Services"))</f>
        <v/>
      </c>
    </row>
    <row r="2809" customFormat="false" ht="15" hidden="false" customHeight="false" outlineLevel="0" collapsed="false">
      <c r="I2809" s="41" t="str">
        <f aca="false">IF(F2809="","",IFERROR(IF(ISNUMBER(SEARCH(Assumptions!$C$5,F2809)),Assumptions!$D$5,IF(ISNUMBER(SEARCH(Assumptions!$C$6,F2809)),Assumptions!$D$6,IF(ISNUMBER(SEARCH(Assumptions!$C$7,F2809)),Assumptions!$D$7,"Other Services"))),"Other Services"))</f>
        <v/>
      </c>
    </row>
    <row r="2810" customFormat="false" ht="15" hidden="false" customHeight="false" outlineLevel="0" collapsed="false">
      <c r="I2810" s="41" t="str">
        <f aca="false">IF(F2810="","",IFERROR(IF(ISNUMBER(SEARCH(Assumptions!$C$5,F2810)),Assumptions!$D$5,IF(ISNUMBER(SEARCH(Assumptions!$C$6,F2810)),Assumptions!$D$6,IF(ISNUMBER(SEARCH(Assumptions!$C$7,F2810)),Assumptions!$D$7,"Other Services"))),"Other Services"))</f>
        <v/>
      </c>
    </row>
    <row r="2811" customFormat="false" ht="15" hidden="false" customHeight="false" outlineLevel="0" collapsed="false">
      <c r="I2811" s="41" t="str">
        <f aca="false">IF(F2811="","",IFERROR(IF(ISNUMBER(SEARCH(Assumptions!$C$5,F2811)),Assumptions!$D$5,IF(ISNUMBER(SEARCH(Assumptions!$C$6,F2811)),Assumptions!$D$6,IF(ISNUMBER(SEARCH(Assumptions!$C$7,F2811)),Assumptions!$D$7,"Other Services"))),"Other Services"))</f>
        <v/>
      </c>
    </row>
    <row r="2812" customFormat="false" ht="15" hidden="false" customHeight="false" outlineLevel="0" collapsed="false">
      <c r="I2812" s="41" t="str">
        <f aca="false">IF(F2812="","",IFERROR(IF(ISNUMBER(SEARCH(Assumptions!$C$5,F2812)),Assumptions!$D$5,IF(ISNUMBER(SEARCH(Assumptions!$C$6,F2812)),Assumptions!$D$6,IF(ISNUMBER(SEARCH(Assumptions!$C$7,F2812)),Assumptions!$D$7,"Other Services"))),"Other Services"))</f>
        <v/>
      </c>
    </row>
    <row r="2813" customFormat="false" ht="15" hidden="false" customHeight="false" outlineLevel="0" collapsed="false">
      <c r="I2813" s="41" t="str">
        <f aca="false">IF(F2813="","",IFERROR(IF(ISNUMBER(SEARCH(Assumptions!$C$5,F2813)),Assumptions!$D$5,IF(ISNUMBER(SEARCH(Assumptions!$C$6,F2813)),Assumptions!$D$6,IF(ISNUMBER(SEARCH(Assumptions!$C$7,F2813)),Assumptions!$D$7,"Other Services"))),"Other Services"))</f>
        <v/>
      </c>
    </row>
    <row r="2814" customFormat="false" ht="15" hidden="false" customHeight="false" outlineLevel="0" collapsed="false">
      <c r="I2814" s="41" t="str">
        <f aca="false">IF(F2814="","",IFERROR(IF(ISNUMBER(SEARCH(Assumptions!$C$5,F2814)),Assumptions!$D$5,IF(ISNUMBER(SEARCH(Assumptions!$C$6,F2814)),Assumptions!$D$6,IF(ISNUMBER(SEARCH(Assumptions!$C$7,F2814)),Assumptions!$D$7,"Other Services"))),"Other Services"))</f>
        <v/>
      </c>
    </row>
    <row r="2815" customFormat="false" ht="15" hidden="false" customHeight="false" outlineLevel="0" collapsed="false">
      <c r="I2815" s="41" t="str">
        <f aca="false">IF(F2815="","",IFERROR(IF(ISNUMBER(SEARCH(Assumptions!$C$5,F2815)),Assumptions!$D$5,IF(ISNUMBER(SEARCH(Assumptions!$C$6,F2815)),Assumptions!$D$6,IF(ISNUMBER(SEARCH(Assumptions!$C$7,F2815)),Assumptions!$D$7,"Other Services"))),"Other Services"))</f>
        <v/>
      </c>
    </row>
    <row r="2816" customFormat="false" ht="15" hidden="false" customHeight="false" outlineLevel="0" collapsed="false">
      <c r="I2816" s="41" t="str">
        <f aca="false">IF(F2816="","",IFERROR(IF(ISNUMBER(SEARCH(Assumptions!$C$5,F2816)),Assumptions!$D$5,IF(ISNUMBER(SEARCH(Assumptions!$C$6,F2816)),Assumptions!$D$6,IF(ISNUMBER(SEARCH(Assumptions!$C$7,F2816)),Assumptions!$D$7,"Other Services"))),"Other Services"))</f>
        <v/>
      </c>
    </row>
    <row r="2817" customFormat="false" ht="15" hidden="false" customHeight="false" outlineLevel="0" collapsed="false">
      <c r="I2817" s="41" t="str">
        <f aca="false">IF(F2817="","",IFERROR(IF(ISNUMBER(SEARCH(Assumptions!$C$5,F2817)),Assumptions!$D$5,IF(ISNUMBER(SEARCH(Assumptions!$C$6,F2817)),Assumptions!$D$6,IF(ISNUMBER(SEARCH(Assumptions!$C$7,F2817)),Assumptions!$D$7,"Other Services"))),"Other Services"))</f>
        <v/>
      </c>
    </row>
    <row r="2818" customFormat="false" ht="15" hidden="false" customHeight="false" outlineLevel="0" collapsed="false">
      <c r="I2818" s="41" t="str">
        <f aca="false">IF(F2818="","",IFERROR(IF(ISNUMBER(SEARCH(Assumptions!$C$5,F2818)),Assumptions!$D$5,IF(ISNUMBER(SEARCH(Assumptions!$C$6,F2818)),Assumptions!$D$6,IF(ISNUMBER(SEARCH(Assumptions!$C$7,F2818)),Assumptions!$D$7,"Other Services"))),"Other Services"))</f>
        <v/>
      </c>
    </row>
    <row r="2819" customFormat="false" ht="15" hidden="false" customHeight="false" outlineLevel="0" collapsed="false">
      <c r="I2819" s="41" t="str">
        <f aca="false">IF(F2819="","",IFERROR(IF(ISNUMBER(SEARCH(Assumptions!$C$5,F2819)),Assumptions!$D$5,IF(ISNUMBER(SEARCH(Assumptions!$C$6,F2819)),Assumptions!$D$6,IF(ISNUMBER(SEARCH(Assumptions!$C$7,F2819)),Assumptions!$D$7,"Other Services"))),"Other Services"))</f>
        <v/>
      </c>
    </row>
    <row r="2820" customFormat="false" ht="15" hidden="false" customHeight="false" outlineLevel="0" collapsed="false">
      <c r="I2820" s="41" t="str">
        <f aca="false">IF(F2820="","",IFERROR(IF(ISNUMBER(SEARCH(Assumptions!$C$5,F2820)),Assumptions!$D$5,IF(ISNUMBER(SEARCH(Assumptions!$C$6,F2820)),Assumptions!$D$6,IF(ISNUMBER(SEARCH(Assumptions!$C$7,F2820)),Assumptions!$D$7,"Other Services"))),"Other Services"))</f>
        <v/>
      </c>
    </row>
    <row r="2821" customFormat="false" ht="15" hidden="false" customHeight="false" outlineLevel="0" collapsed="false">
      <c r="I2821" s="41" t="str">
        <f aca="false">IF(F2821="","",IFERROR(IF(ISNUMBER(SEARCH(Assumptions!$C$5,F2821)),Assumptions!$D$5,IF(ISNUMBER(SEARCH(Assumptions!$C$6,F2821)),Assumptions!$D$6,IF(ISNUMBER(SEARCH(Assumptions!$C$7,F2821)),Assumptions!$D$7,"Other Services"))),"Other Services"))</f>
        <v/>
      </c>
    </row>
    <row r="2822" customFormat="false" ht="15" hidden="false" customHeight="false" outlineLevel="0" collapsed="false">
      <c r="I2822" s="41" t="str">
        <f aca="false">IF(F2822="","",IFERROR(IF(ISNUMBER(SEARCH(Assumptions!$C$5,F2822)),Assumptions!$D$5,IF(ISNUMBER(SEARCH(Assumptions!$C$6,F2822)),Assumptions!$D$6,IF(ISNUMBER(SEARCH(Assumptions!$C$7,F2822)),Assumptions!$D$7,"Other Services"))),"Other Services"))</f>
        <v/>
      </c>
    </row>
    <row r="2823" customFormat="false" ht="15" hidden="false" customHeight="false" outlineLevel="0" collapsed="false">
      <c r="I2823" s="41" t="str">
        <f aca="false">IF(F2823="","",IFERROR(IF(ISNUMBER(SEARCH(Assumptions!$C$5,F2823)),Assumptions!$D$5,IF(ISNUMBER(SEARCH(Assumptions!$C$6,F2823)),Assumptions!$D$6,IF(ISNUMBER(SEARCH(Assumptions!$C$7,F2823)),Assumptions!$D$7,"Other Services"))),"Other Services"))</f>
        <v/>
      </c>
    </row>
    <row r="2824" customFormat="false" ht="15" hidden="false" customHeight="false" outlineLevel="0" collapsed="false">
      <c r="I2824" s="41" t="str">
        <f aca="false">IF(F2824="","",IFERROR(IF(ISNUMBER(SEARCH(Assumptions!$C$5,F2824)),Assumptions!$D$5,IF(ISNUMBER(SEARCH(Assumptions!$C$6,F2824)),Assumptions!$D$6,IF(ISNUMBER(SEARCH(Assumptions!$C$7,F2824)),Assumptions!$D$7,"Other Services"))),"Other Services"))</f>
        <v/>
      </c>
    </row>
    <row r="2825" customFormat="false" ht="15" hidden="false" customHeight="false" outlineLevel="0" collapsed="false">
      <c r="I2825" s="41" t="str">
        <f aca="false">IF(F2825="","",IFERROR(IF(ISNUMBER(SEARCH(Assumptions!$C$5,F2825)),Assumptions!$D$5,IF(ISNUMBER(SEARCH(Assumptions!$C$6,F2825)),Assumptions!$D$6,IF(ISNUMBER(SEARCH(Assumptions!$C$7,F2825)),Assumptions!$D$7,"Other Services"))),"Other Services"))</f>
        <v/>
      </c>
    </row>
    <row r="2826" customFormat="false" ht="15" hidden="false" customHeight="false" outlineLevel="0" collapsed="false">
      <c r="I2826" s="41" t="str">
        <f aca="false">IF(F2826="","",IFERROR(IF(ISNUMBER(SEARCH(Assumptions!$C$5,F2826)),Assumptions!$D$5,IF(ISNUMBER(SEARCH(Assumptions!$C$6,F2826)),Assumptions!$D$6,IF(ISNUMBER(SEARCH(Assumptions!$C$7,F2826)),Assumptions!$D$7,"Other Services"))),"Other Services"))</f>
        <v/>
      </c>
    </row>
    <row r="2827" customFormat="false" ht="15" hidden="false" customHeight="false" outlineLevel="0" collapsed="false">
      <c r="I2827" s="41" t="str">
        <f aca="false">IF(F2827="","",IFERROR(IF(ISNUMBER(SEARCH(Assumptions!$C$5,F2827)),Assumptions!$D$5,IF(ISNUMBER(SEARCH(Assumptions!$C$6,F2827)),Assumptions!$D$6,IF(ISNUMBER(SEARCH(Assumptions!$C$7,F2827)),Assumptions!$D$7,"Other Services"))),"Other Services"))</f>
        <v/>
      </c>
    </row>
    <row r="2828" customFormat="false" ht="15" hidden="false" customHeight="false" outlineLevel="0" collapsed="false">
      <c r="I2828" s="41" t="str">
        <f aca="false">IF(F2828="","",IFERROR(IF(ISNUMBER(SEARCH(Assumptions!$C$5,F2828)),Assumptions!$D$5,IF(ISNUMBER(SEARCH(Assumptions!$C$6,F2828)),Assumptions!$D$6,IF(ISNUMBER(SEARCH(Assumptions!$C$7,F2828)),Assumptions!$D$7,"Other Services"))),"Other Services"))</f>
        <v/>
      </c>
    </row>
    <row r="2829" customFormat="false" ht="15" hidden="false" customHeight="false" outlineLevel="0" collapsed="false">
      <c r="I2829" s="41" t="str">
        <f aca="false">IF(F2829="","",IFERROR(IF(ISNUMBER(SEARCH(Assumptions!$C$5,F2829)),Assumptions!$D$5,IF(ISNUMBER(SEARCH(Assumptions!$C$6,F2829)),Assumptions!$D$6,IF(ISNUMBER(SEARCH(Assumptions!$C$7,F2829)),Assumptions!$D$7,"Other Services"))),"Other Services"))</f>
        <v/>
      </c>
    </row>
    <row r="2830" customFormat="false" ht="15" hidden="false" customHeight="false" outlineLevel="0" collapsed="false">
      <c r="I2830" s="41" t="str">
        <f aca="false">IF(F2830="","",IFERROR(IF(ISNUMBER(SEARCH(Assumptions!$C$5,F2830)),Assumptions!$D$5,IF(ISNUMBER(SEARCH(Assumptions!$C$6,F2830)),Assumptions!$D$6,IF(ISNUMBER(SEARCH(Assumptions!$C$7,F2830)),Assumptions!$D$7,"Other Services"))),"Other Services"))</f>
        <v/>
      </c>
    </row>
    <row r="2831" customFormat="false" ht="15" hidden="false" customHeight="false" outlineLevel="0" collapsed="false">
      <c r="I2831" s="41" t="str">
        <f aca="false">IF(F2831="","",IFERROR(IF(ISNUMBER(SEARCH(Assumptions!$C$5,F2831)),Assumptions!$D$5,IF(ISNUMBER(SEARCH(Assumptions!$C$6,F2831)),Assumptions!$D$6,IF(ISNUMBER(SEARCH(Assumptions!$C$7,F2831)),Assumptions!$D$7,"Other Services"))),"Other Services"))</f>
        <v/>
      </c>
    </row>
    <row r="2832" customFormat="false" ht="15" hidden="false" customHeight="false" outlineLevel="0" collapsed="false">
      <c r="I2832" s="41" t="str">
        <f aca="false">IF(F2832="","",IFERROR(IF(ISNUMBER(SEARCH(Assumptions!$C$5,F2832)),Assumptions!$D$5,IF(ISNUMBER(SEARCH(Assumptions!$C$6,F2832)),Assumptions!$D$6,IF(ISNUMBER(SEARCH(Assumptions!$C$7,F2832)),Assumptions!$D$7,"Other Services"))),"Other Services"))</f>
        <v/>
      </c>
    </row>
    <row r="2833" customFormat="false" ht="15" hidden="false" customHeight="false" outlineLevel="0" collapsed="false">
      <c r="I2833" s="41" t="str">
        <f aca="false">IF(F2833="","",IFERROR(IF(ISNUMBER(SEARCH(Assumptions!$C$5,F2833)),Assumptions!$D$5,IF(ISNUMBER(SEARCH(Assumptions!$C$6,F2833)),Assumptions!$D$6,IF(ISNUMBER(SEARCH(Assumptions!$C$7,F2833)),Assumptions!$D$7,"Other Services"))),"Other Services"))</f>
        <v/>
      </c>
    </row>
    <row r="2834" customFormat="false" ht="15" hidden="false" customHeight="false" outlineLevel="0" collapsed="false">
      <c r="I2834" s="41" t="str">
        <f aca="false">IF(F2834="","",IFERROR(IF(ISNUMBER(SEARCH(Assumptions!$C$5,F2834)),Assumptions!$D$5,IF(ISNUMBER(SEARCH(Assumptions!$C$6,F2834)),Assumptions!$D$6,IF(ISNUMBER(SEARCH(Assumptions!$C$7,F2834)),Assumptions!$D$7,"Other Services"))),"Other Services"))</f>
        <v/>
      </c>
    </row>
    <row r="2835" customFormat="false" ht="15" hidden="false" customHeight="false" outlineLevel="0" collapsed="false">
      <c r="I2835" s="41" t="str">
        <f aca="false">IF(F2835="","",IFERROR(IF(ISNUMBER(SEARCH(Assumptions!$C$5,F2835)),Assumptions!$D$5,IF(ISNUMBER(SEARCH(Assumptions!$C$6,F2835)),Assumptions!$D$6,IF(ISNUMBER(SEARCH(Assumptions!$C$7,F2835)),Assumptions!$D$7,"Other Services"))),"Other Services"))</f>
        <v/>
      </c>
    </row>
    <row r="2836" customFormat="false" ht="15" hidden="false" customHeight="false" outlineLevel="0" collapsed="false">
      <c r="I2836" s="41" t="str">
        <f aca="false">IF(F2836="","",IFERROR(IF(ISNUMBER(SEARCH(Assumptions!$C$5,F2836)),Assumptions!$D$5,IF(ISNUMBER(SEARCH(Assumptions!$C$6,F2836)),Assumptions!$D$6,IF(ISNUMBER(SEARCH(Assumptions!$C$7,F2836)),Assumptions!$D$7,"Other Services"))),"Other Services"))</f>
        <v/>
      </c>
    </row>
    <row r="2837" customFormat="false" ht="15" hidden="false" customHeight="false" outlineLevel="0" collapsed="false">
      <c r="I2837" s="41" t="str">
        <f aca="false">IF(F2837="","",IFERROR(IF(ISNUMBER(SEARCH(Assumptions!$C$5,F2837)),Assumptions!$D$5,IF(ISNUMBER(SEARCH(Assumptions!$C$6,F2837)),Assumptions!$D$6,IF(ISNUMBER(SEARCH(Assumptions!$C$7,F2837)),Assumptions!$D$7,"Other Services"))),"Other Services"))</f>
        <v/>
      </c>
    </row>
    <row r="2838" customFormat="false" ht="15" hidden="false" customHeight="false" outlineLevel="0" collapsed="false">
      <c r="I2838" s="41" t="str">
        <f aca="false">IF(F2838="","",IFERROR(IF(ISNUMBER(SEARCH(Assumptions!$C$5,F2838)),Assumptions!$D$5,IF(ISNUMBER(SEARCH(Assumptions!$C$6,F2838)),Assumptions!$D$6,IF(ISNUMBER(SEARCH(Assumptions!$C$7,F2838)),Assumptions!$D$7,"Other Services"))),"Other Services"))</f>
        <v/>
      </c>
    </row>
    <row r="2839" customFormat="false" ht="15" hidden="false" customHeight="false" outlineLevel="0" collapsed="false">
      <c r="I2839" s="41" t="str">
        <f aca="false">IF(F2839="","",IFERROR(IF(ISNUMBER(SEARCH(Assumptions!$C$5,F2839)),Assumptions!$D$5,IF(ISNUMBER(SEARCH(Assumptions!$C$6,F2839)),Assumptions!$D$6,IF(ISNUMBER(SEARCH(Assumptions!$C$7,F2839)),Assumptions!$D$7,"Other Services"))),"Other Services"))</f>
        <v/>
      </c>
    </row>
    <row r="2840" customFormat="false" ht="15" hidden="false" customHeight="false" outlineLevel="0" collapsed="false">
      <c r="I2840" s="41" t="str">
        <f aca="false">IF(F2840="","",IFERROR(IF(ISNUMBER(SEARCH(Assumptions!$C$5,F2840)),Assumptions!$D$5,IF(ISNUMBER(SEARCH(Assumptions!$C$6,F2840)),Assumptions!$D$6,IF(ISNUMBER(SEARCH(Assumptions!$C$7,F2840)),Assumptions!$D$7,"Other Services"))),"Other Services"))</f>
        <v/>
      </c>
    </row>
    <row r="2841" customFormat="false" ht="15" hidden="false" customHeight="false" outlineLevel="0" collapsed="false">
      <c r="I2841" s="41" t="str">
        <f aca="false">IF(F2841="","",IFERROR(IF(ISNUMBER(SEARCH(Assumptions!$C$5,F2841)),Assumptions!$D$5,IF(ISNUMBER(SEARCH(Assumptions!$C$6,F2841)),Assumptions!$D$6,IF(ISNUMBER(SEARCH(Assumptions!$C$7,F2841)),Assumptions!$D$7,"Other Services"))),"Other Services"))</f>
        <v/>
      </c>
    </row>
    <row r="2842" customFormat="false" ht="15" hidden="false" customHeight="false" outlineLevel="0" collapsed="false">
      <c r="I2842" s="41" t="str">
        <f aca="false">IF(F2842="","",IFERROR(IF(ISNUMBER(SEARCH(Assumptions!$C$5,F2842)),Assumptions!$D$5,IF(ISNUMBER(SEARCH(Assumptions!$C$6,F2842)),Assumptions!$D$6,IF(ISNUMBER(SEARCH(Assumptions!$C$7,F2842)),Assumptions!$D$7,"Other Services"))),"Other Services"))</f>
        <v/>
      </c>
    </row>
    <row r="2843" customFormat="false" ht="15" hidden="false" customHeight="false" outlineLevel="0" collapsed="false">
      <c r="I2843" s="41" t="str">
        <f aca="false">IF(F2843="","",IFERROR(IF(ISNUMBER(SEARCH(Assumptions!$C$5,F2843)),Assumptions!$D$5,IF(ISNUMBER(SEARCH(Assumptions!$C$6,F2843)),Assumptions!$D$6,IF(ISNUMBER(SEARCH(Assumptions!$C$7,F2843)),Assumptions!$D$7,"Other Services"))),"Other Services"))</f>
        <v/>
      </c>
    </row>
    <row r="2844" customFormat="false" ht="15" hidden="false" customHeight="false" outlineLevel="0" collapsed="false">
      <c r="I2844" s="41" t="str">
        <f aca="false">IF(F2844="","",IFERROR(IF(ISNUMBER(SEARCH(Assumptions!$C$5,F2844)),Assumptions!$D$5,IF(ISNUMBER(SEARCH(Assumptions!$C$6,F2844)),Assumptions!$D$6,IF(ISNUMBER(SEARCH(Assumptions!$C$7,F2844)),Assumptions!$D$7,"Other Services"))),"Other Services"))</f>
        <v/>
      </c>
    </row>
    <row r="2845" customFormat="false" ht="15" hidden="false" customHeight="false" outlineLevel="0" collapsed="false">
      <c r="I2845" s="41" t="str">
        <f aca="false">IF(F2845="","",IFERROR(IF(ISNUMBER(SEARCH(Assumptions!$C$5,F2845)),Assumptions!$D$5,IF(ISNUMBER(SEARCH(Assumptions!$C$6,F2845)),Assumptions!$D$6,IF(ISNUMBER(SEARCH(Assumptions!$C$7,F2845)),Assumptions!$D$7,"Other Services"))),"Other Services"))</f>
        <v/>
      </c>
    </row>
    <row r="2846" customFormat="false" ht="15" hidden="false" customHeight="false" outlineLevel="0" collapsed="false">
      <c r="I2846" s="41" t="str">
        <f aca="false">IF(F2846="","",IFERROR(IF(ISNUMBER(SEARCH(Assumptions!$C$5,F2846)),Assumptions!$D$5,IF(ISNUMBER(SEARCH(Assumptions!$C$6,F2846)),Assumptions!$D$6,IF(ISNUMBER(SEARCH(Assumptions!$C$7,F2846)),Assumptions!$D$7,"Other Services"))),"Other Services"))</f>
        <v/>
      </c>
    </row>
    <row r="2847" customFormat="false" ht="15" hidden="false" customHeight="false" outlineLevel="0" collapsed="false">
      <c r="I2847" s="41" t="str">
        <f aca="false">IF(F2847="","",IFERROR(IF(ISNUMBER(SEARCH(Assumptions!$C$5,F2847)),Assumptions!$D$5,IF(ISNUMBER(SEARCH(Assumptions!$C$6,F2847)),Assumptions!$D$6,IF(ISNUMBER(SEARCH(Assumptions!$C$7,F2847)),Assumptions!$D$7,"Other Services"))),"Other Services"))</f>
        <v/>
      </c>
    </row>
    <row r="2848" customFormat="false" ht="15" hidden="false" customHeight="false" outlineLevel="0" collapsed="false">
      <c r="I2848" s="41" t="str">
        <f aca="false">IF(F2848="","",IFERROR(IF(ISNUMBER(SEARCH(Assumptions!$C$5,F2848)),Assumptions!$D$5,IF(ISNUMBER(SEARCH(Assumptions!$C$6,F2848)),Assumptions!$D$6,IF(ISNUMBER(SEARCH(Assumptions!$C$7,F2848)),Assumptions!$D$7,"Other Services"))),"Other Services"))</f>
        <v/>
      </c>
    </row>
    <row r="2849" customFormat="false" ht="15" hidden="false" customHeight="false" outlineLevel="0" collapsed="false">
      <c r="I2849" s="41" t="str">
        <f aca="false">IF(F2849="","",IFERROR(IF(ISNUMBER(SEARCH(Assumptions!$C$5,F2849)),Assumptions!$D$5,IF(ISNUMBER(SEARCH(Assumptions!$C$6,F2849)),Assumptions!$D$6,IF(ISNUMBER(SEARCH(Assumptions!$C$7,F2849)),Assumptions!$D$7,"Other Services"))),"Other Services"))</f>
        <v/>
      </c>
    </row>
    <row r="2850" customFormat="false" ht="15" hidden="false" customHeight="false" outlineLevel="0" collapsed="false">
      <c r="I2850" s="41" t="str">
        <f aca="false">IF(F2850="","",IFERROR(IF(ISNUMBER(SEARCH(Assumptions!$C$5,F2850)),Assumptions!$D$5,IF(ISNUMBER(SEARCH(Assumptions!$C$6,F2850)),Assumptions!$D$6,IF(ISNUMBER(SEARCH(Assumptions!$C$7,F2850)),Assumptions!$D$7,"Other Services"))),"Other Services"))</f>
        <v/>
      </c>
    </row>
    <row r="2851" customFormat="false" ht="15" hidden="false" customHeight="false" outlineLevel="0" collapsed="false">
      <c r="I2851" s="41" t="str">
        <f aca="false">IF(F2851="","",IFERROR(IF(ISNUMBER(SEARCH(Assumptions!$C$5,F2851)),Assumptions!$D$5,IF(ISNUMBER(SEARCH(Assumptions!$C$6,F2851)),Assumptions!$D$6,IF(ISNUMBER(SEARCH(Assumptions!$C$7,F2851)),Assumptions!$D$7,"Other Services"))),"Other Services"))</f>
        <v/>
      </c>
    </row>
    <row r="2852" customFormat="false" ht="15" hidden="false" customHeight="false" outlineLevel="0" collapsed="false">
      <c r="I2852" s="41" t="str">
        <f aca="false">IF(F2852="","",IFERROR(IF(ISNUMBER(SEARCH(Assumptions!$C$5,F2852)),Assumptions!$D$5,IF(ISNUMBER(SEARCH(Assumptions!$C$6,F2852)),Assumptions!$D$6,IF(ISNUMBER(SEARCH(Assumptions!$C$7,F2852)),Assumptions!$D$7,"Other Services"))),"Other Services"))</f>
        <v/>
      </c>
    </row>
    <row r="2853" customFormat="false" ht="15" hidden="false" customHeight="false" outlineLevel="0" collapsed="false">
      <c r="I2853" s="41" t="str">
        <f aca="false">IF(F2853="","",IFERROR(IF(ISNUMBER(SEARCH(Assumptions!$C$5,F2853)),Assumptions!$D$5,IF(ISNUMBER(SEARCH(Assumptions!$C$6,F2853)),Assumptions!$D$6,IF(ISNUMBER(SEARCH(Assumptions!$C$7,F2853)),Assumptions!$D$7,"Other Services"))),"Other Services"))</f>
        <v/>
      </c>
    </row>
    <row r="2854" customFormat="false" ht="15" hidden="false" customHeight="false" outlineLevel="0" collapsed="false">
      <c r="I2854" s="41" t="str">
        <f aca="false">IF(F2854="","",IFERROR(IF(ISNUMBER(SEARCH(Assumptions!$C$5,F2854)),Assumptions!$D$5,IF(ISNUMBER(SEARCH(Assumptions!$C$6,F2854)),Assumptions!$D$6,IF(ISNUMBER(SEARCH(Assumptions!$C$7,F2854)),Assumptions!$D$7,"Other Services"))),"Other Services"))</f>
        <v/>
      </c>
    </row>
    <row r="2855" customFormat="false" ht="15" hidden="false" customHeight="false" outlineLevel="0" collapsed="false">
      <c r="I2855" s="41" t="str">
        <f aca="false">IF(F2855="","",IFERROR(IF(ISNUMBER(SEARCH(Assumptions!$C$5,F2855)),Assumptions!$D$5,IF(ISNUMBER(SEARCH(Assumptions!$C$6,F2855)),Assumptions!$D$6,IF(ISNUMBER(SEARCH(Assumptions!$C$7,F2855)),Assumptions!$D$7,"Other Services"))),"Other Services"))</f>
        <v/>
      </c>
    </row>
    <row r="2856" customFormat="false" ht="15" hidden="false" customHeight="false" outlineLevel="0" collapsed="false">
      <c r="I2856" s="41" t="str">
        <f aca="false">IF(F2856="","",IFERROR(IF(ISNUMBER(SEARCH(Assumptions!$C$5,F2856)),Assumptions!$D$5,IF(ISNUMBER(SEARCH(Assumptions!$C$6,F2856)),Assumptions!$D$6,IF(ISNUMBER(SEARCH(Assumptions!$C$7,F2856)),Assumptions!$D$7,"Other Services"))),"Other Services"))</f>
        <v/>
      </c>
    </row>
    <row r="2857" customFormat="false" ht="15" hidden="false" customHeight="false" outlineLevel="0" collapsed="false">
      <c r="I2857" s="41" t="str">
        <f aca="false">IF(F2857="","",IFERROR(IF(ISNUMBER(SEARCH(Assumptions!$C$5,F2857)),Assumptions!$D$5,IF(ISNUMBER(SEARCH(Assumptions!$C$6,F2857)),Assumptions!$D$6,IF(ISNUMBER(SEARCH(Assumptions!$C$7,F2857)),Assumptions!$D$7,"Other Services"))),"Other Services"))</f>
        <v/>
      </c>
    </row>
    <row r="2858" customFormat="false" ht="15" hidden="false" customHeight="false" outlineLevel="0" collapsed="false">
      <c r="I2858" s="41" t="str">
        <f aca="false">IF(F2858="","",IFERROR(IF(ISNUMBER(SEARCH(Assumptions!$C$5,F2858)),Assumptions!$D$5,IF(ISNUMBER(SEARCH(Assumptions!$C$6,F2858)),Assumptions!$D$6,IF(ISNUMBER(SEARCH(Assumptions!$C$7,F2858)),Assumptions!$D$7,"Other Services"))),"Other Services"))</f>
        <v/>
      </c>
    </row>
    <row r="2859" customFormat="false" ht="15" hidden="false" customHeight="false" outlineLevel="0" collapsed="false">
      <c r="I2859" s="41" t="str">
        <f aca="false">IF(F2859="","",IFERROR(IF(ISNUMBER(SEARCH(Assumptions!$C$5,F2859)),Assumptions!$D$5,IF(ISNUMBER(SEARCH(Assumptions!$C$6,F2859)),Assumptions!$D$6,IF(ISNUMBER(SEARCH(Assumptions!$C$7,F2859)),Assumptions!$D$7,"Other Services"))),"Other Services"))</f>
        <v/>
      </c>
    </row>
    <row r="2860" customFormat="false" ht="15" hidden="false" customHeight="false" outlineLevel="0" collapsed="false">
      <c r="I2860" s="41" t="str">
        <f aca="false">IF(F2860="","",IFERROR(IF(ISNUMBER(SEARCH(Assumptions!$C$5,F2860)),Assumptions!$D$5,IF(ISNUMBER(SEARCH(Assumptions!$C$6,F2860)),Assumptions!$D$6,IF(ISNUMBER(SEARCH(Assumptions!$C$7,F2860)),Assumptions!$D$7,"Other Services"))),"Other Services"))</f>
        <v/>
      </c>
    </row>
    <row r="2861" customFormat="false" ht="15" hidden="false" customHeight="false" outlineLevel="0" collapsed="false">
      <c r="I2861" s="41" t="str">
        <f aca="false">IF(F2861="","",IFERROR(IF(ISNUMBER(SEARCH(Assumptions!$C$5,F2861)),Assumptions!$D$5,IF(ISNUMBER(SEARCH(Assumptions!$C$6,F2861)),Assumptions!$D$6,IF(ISNUMBER(SEARCH(Assumptions!$C$7,F2861)),Assumptions!$D$7,"Other Services"))),"Other Services"))</f>
        <v/>
      </c>
    </row>
    <row r="2862" customFormat="false" ht="15" hidden="false" customHeight="false" outlineLevel="0" collapsed="false">
      <c r="I2862" s="41" t="str">
        <f aca="false">IF(F2862="","",IFERROR(IF(ISNUMBER(SEARCH(Assumptions!$C$5,F2862)),Assumptions!$D$5,IF(ISNUMBER(SEARCH(Assumptions!$C$6,F2862)),Assumptions!$D$6,IF(ISNUMBER(SEARCH(Assumptions!$C$7,F2862)),Assumptions!$D$7,"Other Services"))),"Other Services"))</f>
        <v/>
      </c>
    </row>
    <row r="2863" customFormat="false" ht="15" hidden="false" customHeight="false" outlineLevel="0" collapsed="false">
      <c r="I2863" s="41" t="str">
        <f aca="false">IF(F2863="","",IFERROR(IF(ISNUMBER(SEARCH(Assumptions!$C$5,F2863)),Assumptions!$D$5,IF(ISNUMBER(SEARCH(Assumptions!$C$6,F2863)),Assumptions!$D$6,IF(ISNUMBER(SEARCH(Assumptions!$C$7,F2863)),Assumptions!$D$7,"Other Services"))),"Other Services"))</f>
        <v/>
      </c>
    </row>
    <row r="2864" customFormat="false" ht="15" hidden="false" customHeight="false" outlineLevel="0" collapsed="false">
      <c r="I2864" s="41" t="str">
        <f aca="false">IF(F2864="","",IFERROR(IF(ISNUMBER(SEARCH(Assumptions!$C$5,F2864)),Assumptions!$D$5,IF(ISNUMBER(SEARCH(Assumptions!$C$6,F2864)),Assumptions!$D$6,IF(ISNUMBER(SEARCH(Assumptions!$C$7,F2864)),Assumptions!$D$7,"Other Services"))),"Other Services"))</f>
        <v/>
      </c>
    </row>
    <row r="2865" customFormat="false" ht="15" hidden="false" customHeight="false" outlineLevel="0" collapsed="false">
      <c r="I2865" s="41" t="str">
        <f aca="false">IF(F2865="","",IFERROR(IF(ISNUMBER(SEARCH(Assumptions!$C$5,F2865)),Assumptions!$D$5,IF(ISNUMBER(SEARCH(Assumptions!$C$6,F2865)),Assumptions!$D$6,IF(ISNUMBER(SEARCH(Assumptions!$C$7,F2865)),Assumptions!$D$7,"Other Services"))),"Other Services"))</f>
        <v/>
      </c>
    </row>
    <row r="2866" customFormat="false" ht="15" hidden="false" customHeight="false" outlineLevel="0" collapsed="false">
      <c r="I2866" s="41" t="str">
        <f aca="false">IF(F2866="","",IFERROR(IF(ISNUMBER(SEARCH(Assumptions!$C$5,F2866)),Assumptions!$D$5,IF(ISNUMBER(SEARCH(Assumptions!$C$6,F2866)),Assumptions!$D$6,IF(ISNUMBER(SEARCH(Assumptions!$C$7,F2866)),Assumptions!$D$7,"Other Services"))),"Other Services"))</f>
        <v/>
      </c>
    </row>
    <row r="2867" customFormat="false" ht="15" hidden="false" customHeight="false" outlineLevel="0" collapsed="false">
      <c r="I2867" s="41" t="str">
        <f aca="false">IF(F2867="","",IFERROR(IF(ISNUMBER(SEARCH(Assumptions!$C$5,F2867)),Assumptions!$D$5,IF(ISNUMBER(SEARCH(Assumptions!$C$6,F2867)),Assumptions!$D$6,IF(ISNUMBER(SEARCH(Assumptions!$C$7,F2867)),Assumptions!$D$7,"Other Services"))),"Other Services"))</f>
        <v/>
      </c>
    </row>
    <row r="2868" customFormat="false" ht="15" hidden="false" customHeight="false" outlineLevel="0" collapsed="false">
      <c r="I2868" s="41" t="str">
        <f aca="false">IF(F2868="","",IFERROR(IF(ISNUMBER(SEARCH(Assumptions!$C$5,F2868)),Assumptions!$D$5,IF(ISNUMBER(SEARCH(Assumptions!$C$6,F2868)),Assumptions!$D$6,IF(ISNUMBER(SEARCH(Assumptions!$C$7,F2868)),Assumptions!$D$7,"Other Services"))),"Other Services"))</f>
        <v/>
      </c>
    </row>
    <row r="2869" customFormat="false" ht="15" hidden="false" customHeight="false" outlineLevel="0" collapsed="false">
      <c r="I2869" s="41" t="str">
        <f aca="false">IF(F2869="","",IFERROR(IF(ISNUMBER(SEARCH(Assumptions!$C$5,F2869)),Assumptions!$D$5,IF(ISNUMBER(SEARCH(Assumptions!$C$6,F2869)),Assumptions!$D$6,IF(ISNUMBER(SEARCH(Assumptions!$C$7,F2869)),Assumptions!$D$7,"Other Services"))),"Other Services"))</f>
        <v/>
      </c>
    </row>
    <row r="2870" customFormat="false" ht="15" hidden="false" customHeight="false" outlineLevel="0" collapsed="false">
      <c r="I2870" s="41" t="str">
        <f aca="false">IF(F2870="","",IFERROR(IF(ISNUMBER(SEARCH(Assumptions!$C$5,F2870)),Assumptions!$D$5,IF(ISNUMBER(SEARCH(Assumptions!$C$6,F2870)),Assumptions!$D$6,IF(ISNUMBER(SEARCH(Assumptions!$C$7,F2870)),Assumptions!$D$7,"Other Services"))),"Other Services"))</f>
        <v/>
      </c>
    </row>
    <row r="2871" customFormat="false" ht="15" hidden="false" customHeight="false" outlineLevel="0" collapsed="false">
      <c r="I2871" s="41" t="str">
        <f aca="false">IF(F2871="","",IFERROR(IF(ISNUMBER(SEARCH(Assumptions!$C$5,F2871)),Assumptions!$D$5,IF(ISNUMBER(SEARCH(Assumptions!$C$6,F2871)),Assumptions!$D$6,IF(ISNUMBER(SEARCH(Assumptions!$C$7,F2871)),Assumptions!$D$7,"Other Services"))),"Other Services"))</f>
        <v/>
      </c>
    </row>
    <row r="2872" customFormat="false" ht="15" hidden="false" customHeight="false" outlineLevel="0" collapsed="false">
      <c r="I2872" s="41" t="str">
        <f aca="false">IF(F2872="","",IFERROR(IF(ISNUMBER(SEARCH(Assumptions!$C$5,F2872)),Assumptions!$D$5,IF(ISNUMBER(SEARCH(Assumptions!$C$6,F2872)),Assumptions!$D$6,IF(ISNUMBER(SEARCH(Assumptions!$C$7,F2872)),Assumptions!$D$7,"Other Services"))),"Other Services"))</f>
        <v/>
      </c>
    </row>
    <row r="2873" customFormat="false" ht="15" hidden="false" customHeight="false" outlineLevel="0" collapsed="false">
      <c r="I2873" s="41" t="str">
        <f aca="false">IF(F2873="","",IFERROR(IF(ISNUMBER(SEARCH(Assumptions!$C$5,F2873)),Assumptions!$D$5,IF(ISNUMBER(SEARCH(Assumptions!$C$6,F2873)),Assumptions!$D$6,IF(ISNUMBER(SEARCH(Assumptions!$C$7,F2873)),Assumptions!$D$7,"Other Services"))),"Other Services"))</f>
        <v/>
      </c>
    </row>
    <row r="2874" customFormat="false" ht="15" hidden="false" customHeight="false" outlineLevel="0" collapsed="false">
      <c r="I2874" s="41" t="str">
        <f aca="false">IF(F2874="","",IFERROR(IF(ISNUMBER(SEARCH(Assumptions!$C$5,F2874)),Assumptions!$D$5,IF(ISNUMBER(SEARCH(Assumptions!$C$6,F2874)),Assumptions!$D$6,IF(ISNUMBER(SEARCH(Assumptions!$C$7,F2874)),Assumptions!$D$7,"Other Services"))),"Other Services"))</f>
        <v/>
      </c>
    </row>
    <row r="2875" customFormat="false" ht="15" hidden="false" customHeight="false" outlineLevel="0" collapsed="false">
      <c r="I2875" s="41" t="str">
        <f aca="false">IF(F2875="","",IFERROR(IF(ISNUMBER(SEARCH(Assumptions!$C$5,F2875)),Assumptions!$D$5,IF(ISNUMBER(SEARCH(Assumptions!$C$6,F2875)),Assumptions!$D$6,IF(ISNUMBER(SEARCH(Assumptions!$C$7,F2875)),Assumptions!$D$7,"Other Services"))),"Other Services"))</f>
        <v/>
      </c>
    </row>
    <row r="2876" customFormat="false" ht="15" hidden="false" customHeight="false" outlineLevel="0" collapsed="false">
      <c r="I2876" s="41" t="str">
        <f aca="false">IF(F2876="","",IFERROR(IF(ISNUMBER(SEARCH(Assumptions!$C$5,F2876)),Assumptions!$D$5,IF(ISNUMBER(SEARCH(Assumptions!$C$6,F2876)),Assumptions!$D$6,IF(ISNUMBER(SEARCH(Assumptions!$C$7,F2876)),Assumptions!$D$7,"Other Services"))),"Other Services"))</f>
        <v/>
      </c>
    </row>
    <row r="2877" customFormat="false" ht="15" hidden="false" customHeight="false" outlineLevel="0" collapsed="false">
      <c r="I2877" s="41" t="str">
        <f aca="false">IF(F2877="","",IFERROR(IF(ISNUMBER(SEARCH(Assumptions!$C$5,F2877)),Assumptions!$D$5,IF(ISNUMBER(SEARCH(Assumptions!$C$6,F2877)),Assumptions!$D$6,IF(ISNUMBER(SEARCH(Assumptions!$C$7,F2877)),Assumptions!$D$7,"Other Services"))),"Other Services"))</f>
        <v/>
      </c>
    </row>
    <row r="2878" customFormat="false" ht="15" hidden="false" customHeight="false" outlineLevel="0" collapsed="false">
      <c r="I2878" s="41" t="str">
        <f aca="false">IF(F2878="","",IFERROR(IF(ISNUMBER(SEARCH(Assumptions!$C$5,F2878)),Assumptions!$D$5,IF(ISNUMBER(SEARCH(Assumptions!$C$6,F2878)),Assumptions!$D$6,IF(ISNUMBER(SEARCH(Assumptions!$C$7,F2878)),Assumptions!$D$7,"Other Services"))),"Other Services"))</f>
        <v/>
      </c>
    </row>
    <row r="2879" customFormat="false" ht="15" hidden="false" customHeight="false" outlineLevel="0" collapsed="false">
      <c r="I2879" s="41" t="str">
        <f aca="false">IF(F2879="","",IFERROR(IF(ISNUMBER(SEARCH(Assumptions!$C$5,F2879)),Assumptions!$D$5,IF(ISNUMBER(SEARCH(Assumptions!$C$6,F2879)),Assumptions!$D$6,IF(ISNUMBER(SEARCH(Assumptions!$C$7,F2879)),Assumptions!$D$7,"Other Services"))),"Other Services"))</f>
        <v/>
      </c>
    </row>
    <row r="2880" customFormat="false" ht="15" hidden="false" customHeight="false" outlineLevel="0" collapsed="false">
      <c r="I2880" s="41" t="str">
        <f aca="false">IF(F2880="","",IFERROR(IF(ISNUMBER(SEARCH(Assumptions!$C$5,F2880)),Assumptions!$D$5,IF(ISNUMBER(SEARCH(Assumptions!$C$6,F2880)),Assumptions!$D$6,IF(ISNUMBER(SEARCH(Assumptions!$C$7,F2880)),Assumptions!$D$7,"Other Services"))),"Other Services"))</f>
        <v/>
      </c>
    </row>
    <row r="2881" customFormat="false" ht="15" hidden="false" customHeight="false" outlineLevel="0" collapsed="false">
      <c r="I2881" s="41" t="str">
        <f aca="false">IF(F2881="","",IFERROR(IF(ISNUMBER(SEARCH(Assumptions!$C$5,F2881)),Assumptions!$D$5,IF(ISNUMBER(SEARCH(Assumptions!$C$6,F2881)),Assumptions!$D$6,IF(ISNUMBER(SEARCH(Assumptions!$C$7,F2881)),Assumptions!$D$7,"Other Services"))),"Other Services"))</f>
        <v/>
      </c>
    </row>
    <row r="2882" customFormat="false" ht="15" hidden="false" customHeight="false" outlineLevel="0" collapsed="false">
      <c r="I2882" s="41" t="str">
        <f aca="false">IF(F2882="","",IFERROR(IF(ISNUMBER(SEARCH(Assumptions!$C$5,F2882)),Assumptions!$D$5,IF(ISNUMBER(SEARCH(Assumptions!$C$6,F2882)),Assumptions!$D$6,IF(ISNUMBER(SEARCH(Assumptions!$C$7,F2882)),Assumptions!$D$7,"Other Services"))),"Other Services"))</f>
        <v/>
      </c>
    </row>
    <row r="2883" customFormat="false" ht="15" hidden="false" customHeight="false" outlineLevel="0" collapsed="false">
      <c r="I2883" s="41" t="str">
        <f aca="false">IF(F2883="","",IFERROR(IF(ISNUMBER(SEARCH(Assumptions!$C$5,F2883)),Assumptions!$D$5,IF(ISNUMBER(SEARCH(Assumptions!$C$6,F2883)),Assumptions!$D$6,IF(ISNUMBER(SEARCH(Assumptions!$C$7,F2883)),Assumptions!$D$7,"Other Services"))),"Other Services"))</f>
        <v/>
      </c>
    </row>
    <row r="2884" customFormat="false" ht="15" hidden="false" customHeight="false" outlineLevel="0" collapsed="false">
      <c r="I2884" s="41" t="str">
        <f aca="false">IF(F2884="","",IFERROR(IF(ISNUMBER(SEARCH(Assumptions!$C$5,F2884)),Assumptions!$D$5,IF(ISNUMBER(SEARCH(Assumptions!$C$6,F2884)),Assumptions!$D$6,IF(ISNUMBER(SEARCH(Assumptions!$C$7,F2884)),Assumptions!$D$7,"Other Services"))),"Other Services"))</f>
        <v/>
      </c>
    </row>
    <row r="2885" customFormat="false" ht="15" hidden="false" customHeight="false" outlineLevel="0" collapsed="false">
      <c r="I2885" s="41" t="str">
        <f aca="false">IF(F2885="","",IFERROR(IF(ISNUMBER(SEARCH(Assumptions!$C$5,F2885)),Assumptions!$D$5,IF(ISNUMBER(SEARCH(Assumptions!$C$6,F2885)),Assumptions!$D$6,IF(ISNUMBER(SEARCH(Assumptions!$C$7,F2885)),Assumptions!$D$7,"Other Services"))),"Other Services"))</f>
        <v/>
      </c>
    </row>
    <row r="2886" customFormat="false" ht="15" hidden="false" customHeight="false" outlineLevel="0" collapsed="false">
      <c r="I2886" s="41" t="str">
        <f aca="false">IF(F2886="","",IFERROR(IF(ISNUMBER(SEARCH(Assumptions!$C$5,F2886)),Assumptions!$D$5,IF(ISNUMBER(SEARCH(Assumptions!$C$6,F2886)),Assumptions!$D$6,IF(ISNUMBER(SEARCH(Assumptions!$C$7,F2886)),Assumptions!$D$7,"Other Services"))),"Other Services"))</f>
        <v/>
      </c>
    </row>
    <row r="2887" customFormat="false" ht="15" hidden="false" customHeight="false" outlineLevel="0" collapsed="false">
      <c r="I2887" s="41" t="str">
        <f aca="false">IF(F2887="","",IFERROR(IF(ISNUMBER(SEARCH(Assumptions!$C$5,F2887)),Assumptions!$D$5,IF(ISNUMBER(SEARCH(Assumptions!$C$6,F2887)),Assumptions!$D$6,IF(ISNUMBER(SEARCH(Assumptions!$C$7,F2887)),Assumptions!$D$7,"Other Services"))),"Other Services"))</f>
        <v/>
      </c>
    </row>
    <row r="2888" customFormat="false" ht="15" hidden="false" customHeight="false" outlineLevel="0" collapsed="false">
      <c r="I2888" s="41" t="str">
        <f aca="false">IF(F2888="","",IFERROR(IF(ISNUMBER(SEARCH(Assumptions!$C$5,F2888)),Assumptions!$D$5,IF(ISNUMBER(SEARCH(Assumptions!$C$6,F2888)),Assumptions!$D$6,IF(ISNUMBER(SEARCH(Assumptions!$C$7,F2888)),Assumptions!$D$7,"Other Services"))),"Other Services"))</f>
        <v/>
      </c>
    </row>
    <row r="2889" customFormat="false" ht="15" hidden="false" customHeight="false" outlineLevel="0" collapsed="false">
      <c r="I2889" s="41" t="str">
        <f aca="false">IF(F2889="","",IFERROR(IF(ISNUMBER(SEARCH(Assumptions!$C$5,F2889)),Assumptions!$D$5,IF(ISNUMBER(SEARCH(Assumptions!$C$6,F2889)),Assumptions!$D$6,IF(ISNUMBER(SEARCH(Assumptions!$C$7,F2889)),Assumptions!$D$7,"Other Services"))),"Other Services"))</f>
        <v/>
      </c>
    </row>
    <row r="2890" customFormat="false" ht="15" hidden="false" customHeight="false" outlineLevel="0" collapsed="false">
      <c r="I2890" s="41" t="str">
        <f aca="false">IF(F2890="","",IFERROR(IF(ISNUMBER(SEARCH(Assumptions!$C$5,F2890)),Assumptions!$D$5,IF(ISNUMBER(SEARCH(Assumptions!$C$6,F2890)),Assumptions!$D$6,IF(ISNUMBER(SEARCH(Assumptions!$C$7,F2890)),Assumptions!$D$7,"Other Services"))),"Other Services"))</f>
        <v/>
      </c>
    </row>
    <row r="2891" customFormat="false" ht="15" hidden="false" customHeight="false" outlineLevel="0" collapsed="false">
      <c r="I2891" s="41" t="str">
        <f aca="false">IF(F2891="","",IFERROR(IF(ISNUMBER(SEARCH(Assumptions!$C$5,F2891)),Assumptions!$D$5,IF(ISNUMBER(SEARCH(Assumptions!$C$6,F2891)),Assumptions!$D$6,IF(ISNUMBER(SEARCH(Assumptions!$C$7,F2891)),Assumptions!$D$7,"Other Services"))),"Other Services"))</f>
        <v/>
      </c>
    </row>
    <row r="2892" customFormat="false" ht="15" hidden="false" customHeight="false" outlineLevel="0" collapsed="false">
      <c r="I2892" s="41" t="str">
        <f aca="false">IF(F2892="","",IFERROR(IF(ISNUMBER(SEARCH(Assumptions!$C$5,F2892)),Assumptions!$D$5,IF(ISNUMBER(SEARCH(Assumptions!$C$6,F2892)),Assumptions!$D$6,IF(ISNUMBER(SEARCH(Assumptions!$C$7,F2892)),Assumptions!$D$7,"Other Services"))),"Other Services"))</f>
        <v/>
      </c>
    </row>
    <row r="2893" customFormat="false" ht="15" hidden="false" customHeight="false" outlineLevel="0" collapsed="false">
      <c r="I2893" s="41" t="str">
        <f aca="false">IF(F2893="","",IFERROR(IF(ISNUMBER(SEARCH(Assumptions!$C$5,F2893)),Assumptions!$D$5,IF(ISNUMBER(SEARCH(Assumptions!$C$6,F2893)),Assumptions!$D$6,IF(ISNUMBER(SEARCH(Assumptions!$C$7,F2893)),Assumptions!$D$7,"Other Services"))),"Other Services"))</f>
        <v/>
      </c>
    </row>
    <row r="2894" customFormat="false" ht="15" hidden="false" customHeight="false" outlineLevel="0" collapsed="false">
      <c r="I2894" s="41" t="str">
        <f aca="false">IF(F2894="","",IFERROR(IF(ISNUMBER(SEARCH(Assumptions!$C$5,F2894)),Assumptions!$D$5,IF(ISNUMBER(SEARCH(Assumptions!$C$6,F2894)),Assumptions!$D$6,IF(ISNUMBER(SEARCH(Assumptions!$C$7,F2894)),Assumptions!$D$7,"Other Services"))),"Other Services"))</f>
        <v/>
      </c>
    </row>
    <row r="2895" customFormat="false" ht="15" hidden="false" customHeight="false" outlineLevel="0" collapsed="false">
      <c r="I2895" s="41" t="str">
        <f aca="false">IF(F2895="","",IFERROR(IF(ISNUMBER(SEARCH(Assumptions!$C$5,F2895)),Assumptions!$D$5,IF(ISNUMBER(SEARCH(Assumptions!$C$6,F2895)),Assumptions!$D$6,IF(ISNUMBER(SEARCH(Assumptions!$C$7,F2895)),Assumptions!$D$7,"Other Services"))),"Other Services"))</f>
        <v/>
      </c>
    </row>
    <row r="2896" customFormat="false" ht="15" hidden="false" customHeight="false" outlineLevel="0" collapsed="false">
      <c r="I2896" s="41" t="str">
        <f aca="false">IF(F2896="","",IFERROR(IF(ISNUMBER(SEARCH(Assumptions!$C$5,F2896)),Assumptions!$D$5,IF(ISNUMBER(SEARCH(Assumptions!$C$6,F2896)),Assumptions!$D$6,IF(ISNUMBER(SEARCH(Assumptions!$C$7,F2896)),Assumptions!$D$7,"Other Services"))),"Other Services"))</f>
        <v/>
      </c>
    </row>
    <row r="2897" customFormat="false" ht="15" hidden="false" customHeight="false" outlineLevel="0" collapsed="false">
      <c r="I2897" s="41" t="str">
        <f aca="false">IF(F2897="","",IFERROR(IF(ISNUMBER(SEARCH(Assumptions!$C$5,F2897)),Assumptions!$D$5,IF(ISNUMBER(SEARCH(Assumptions!$C$6,F2897)),Assumptions!$D$6,IF(ISNUMBER(SEARCH(Assumptions!$C$7,F2897)),Assumptions!$D$7,"Other Services"))),"Other Services"))</f>
        <v/>
      </c>
    </row>
    <row r="2898" customFormat="false" ht="15" hidden="false" customHeight="false" outlineLevel="0" collapsed="false">
      <c r="I2898" s="41" t="str">
        <f aca="false">IF(F2898="","",IFERROR(IF(ISNUMBER(SEARCH(Assumptions!$C$5,F2898)),Assumptions!$D$5,IF(ISNUMBER(SEARCH(Assumptions!$C$6,F2898)),Assumptions!$D$6,IF(ISNUMBER(SEARCH(Assumptions!$C$7,F2898)),Assumptions!$D$7,"Other Services"))),"Other Services"))</f>
        <v/>
      </c>
    </row>
    <row r="2899" customFormat="false" ht="15" hidden="false" customHeight="false" outlineLevel="0" collapsed="false">
      <c r="I2899" s="41" t="str">
        <f aca="false">IF(F2899="","",IFERROR(IF(ISNUMBER(SEARCH(Assumptions!$C$5,F2899)),Assumptions!$D$5,IF(ISNUMBER(SEARCH(Assumptions!$C$6,F2899)),Assumptions!$D$6,IF(ISNUMBER(SEARCH(Assumptions!$C$7,F2899)),Assumptions!$D$7,"Other Services"))),"Other Services"))</f>
        <v/>
      </c>
    </row>
    <row r="2900" customFormat="false" ht="15" hidden="false" customHeight="false" outlineLevel="0" collapsed="false">
      <c r="I2900" s="41" t="str">
        <f aca="false">IF(F2900="","",IFERROR(IF(ISNUMBER(SEARCH(Assumptions!$C$5,F2900)),Assumptions!$D$5,IF(ISNUMBER(SEARCH(Assumptions!$C$6,F2900)),Assumptions!$D$6,IF(ISNUMBER(SEARCH(Assumptions!$C$7,F2900)),Assumptions!$D$7,"Other Services"))),"Other Services"))</f>
        <v/>
      </c>
    </row>
    <row r="2901" customFormat="false" ht="15" hidden="false" customHeight="false" outlineLevel="0" collapsed="false">
      <c r="I2901" s="41" t="str">
        <f aca="false">IF(F2901="","",IFERROR(IF(ISNUMBER(SEARCH(Assumptions!$C$5,F2901)),Assumptions!$D$5,IF(ISNUMBER(SEARCH(Assumptions!$C$6,F2901)),Assumptions!$D$6,IF(ISNUMBER(SEARCH(Assumptions!$C$7,F2901)),Assumptions!$D$7,"Other Services"))),"Other Services"))</f>
        <v/>
      </c>
    </row>
    <row r="2902" customFormat="false" ht="15" hidden="false" customHeight="false" outlineLevel="0" collapsed="false">
      <c r="I2902" s="41" t="str">
        <f aca="false">IF(F2902="","",IFERROR(IF(ISNUMBER(SEARCH(Assumptions!$C$5,F2902)),Assumptions!$D$5,IF(ISNUMBER(SEARCH(Assumptions!$C$6,F2902)),Assumptions!$D$6,IF(ISNUMBER(SEARCH(Assumptions!$C$7,F2902)),Assumptions!$D$7,"Other Services"))),"Other Services"))</f>
        <v/>
      </c>
    </row>
    <row r="2903" customFormat="false" ht="15" hidden="false" customHeight="false" outlineLevel="0" collapsed="false">
      <c r="I2903" s="41" t="str">
        <f aca="false">IF(F2903="","",IFERROR(IF(ISNUMBER(SEARCH(Assumptions!$C$5,F2903)),Assumptions!$D$5,IF(ISNUMBER(SEARCH(Assumptions!$C$6,F2903)),Assumptions!$D$6,IF(ISNUMBER(SEARCH(Assumptions!$C$7,F2903)),Assumptions!$D$7,"Other Services"))),"Other Services"))</f>
        <v/>
      </c>
    </row>
    <row r="2904" customFormat="false" ht="15" hidden="false" customHeight="false" outlineLevel="0" collapsed="false">
      <c r="I2904" s="41" t="str">
        <f aca="false">IF(F2904="","",IFERROR(IF(ISNUMBER(SEARCH(Assumptions!$C$5,F2904)),Assumptions!$D$5,IF(ISNUMBER(SEARCH(Assumptions!$C$6,F2904)),Assumptions!$D$6,IF(ISNUMBER(SEARCH(Assumptions!$C$7,F2904)),Assumptions!$D$7,"Other Services"))),"Other Services"))</f>
        <v/>
      </c>
    </row>
    <row r="2905" customFormat="false" ht="15" hidden="false" customHeight="false" outlineLevel="0" collapsed="false">
      <c r="I2905" s="41" t="str">
        <f aca="false">IF(F2905="","",IFERROR(IF(ISNUMBER(SEARCH(Assumptions!$C$5,F2905)),Assumptions!$D$5,IF(ISNUMBER(SEARCH(Assumptions!$C$6,F2905)),Assumptions!$D$6,IF(ISNUMBER(SEARCH(Assumptions!$C$7,F2905)),Assumptions!$D$7,"Other Services"))),"Other Services"))</f>
        <v/>
      </c>
    </row>
    <row r="2906" customFormat="false" ht="15" hidden="false" customHeight="false" outlineLevel="0" collapsed="false">
      <c r="I2906" s="41" t="str">
        <f aca="false">IF(F2906="","",IFERROR(IF(ISNUMBER(SEARCH(Assumptions!$C$5,F2906)),Assumptions!$D$5,IF(ISNUMBER(SEARCH(Assumptions!$C$6,F2906)),Assumptions!$D$6,IF(ISNUMBER(SEARCH(Assumptions!$C$7,F2906)),Assumptions!$D$7,"Other Services"))),"Other Services"))</f>
        <v/>
      </c>
    </row>
    <row r="2907" customFormat="false" ht="15" hidden="false" customHeight="false" outlineLevel="0" collapsed="false">
      <c r="I2907" s="41" t="str">
        <f aca="false">IF(F2907="","",IFERROR(IF(ISNUMBER(SEARCH(Assumptions!$C$5,F2907)),Assumptions!$D$5,IF(ISNUMBER(SEARCH(Assumptions!$C$6,F2907)),Assumptions!$D$6,IF(ISNUMBER(SEARCH(Assumptions!$C$7,F2907)),Assumptions!$D$7,"Other Services"))),"Other Services"))</f>
        <v/>
      </c>
    </row>
    <row r="2908" customFormat="false" ht="15" hidden="false" customHeight="false" outlineLevel="0" collapsed="false">
      <c r="I2908" s="41" t="str">
        <f aca="false">IF(F2908="","",IFERROR(IF(ISNUMBER(SEARCH(Assumptions!$C$5,F2908)),Assumptions!$D$5,IF(ISNUMBER(SEARCH(Assumptions!$C$6,F2908)),Assumptions!$D$6,IF(ISNUMBER(SEARCH(Assumptions!$C$7,F2908)),Assumptions!$D$7,"Other Services"))),"Other Services"))</f>
        <v/>
      </c>
    </row>
    <row r="2909" customFormat="false" ht="15" hidden="false" customHeight="false" outlineLevel="0" collapsed="false">
      <c r="I2909" s="41" t="str">
        <f aca="false">IF(F2909="","",IFERROR(IF(ISNUMBER(SEARCH(Assumptions!$C$5,F2909)),Assumptions!$D$5,IF(ISNUMBER(SEARCH(Assumptions!$C$6,F2909)),Assumptions!$D$6,IF(ISNUMBER(SEARCH(Assumptions!$C$7,F2909)),Assumptions!$D$7,"Other Services"))),"Other Services"))</f>
        <v/>
      </c>
    </row>
    <row r="2910" customFormat="false" ht="15" hidden="false" customHeight="false" outlineLevel="0" collapsed="false">
      <c r="I2910" s="41" t="str">
        <f aca="false">IF(F2910="","",IFERROR(IF(ISNUMBER(SEARCH(Assumptions!$C$5,F2910)),Assumptions!$D$5,IF(ISNUMBER(SEARCH(Assumptions!$C$6,F2910)),Assumptions!$D$6,IF(ISNUMBER(SEARCH(Assumptions!$C$7,F2910)),Assumptions!$D$7,"Other Services"))),"Other Services"))</f>
        <v/>
      </c>
    </row>
    <row r="2911" customFormat="false" ht="15" hidden="false" customHeight="false" outlineLevel="0" collapsed="false">
      <c r="I2911" s="41" t="str">
        <f aca="false">IF(F2911="","",IFERROR(IF(ISNUMBER(SEARCH(Assumptions!$C$5,F2911)),Assumptions!$D$5,IF(ISNUMBER(SEARCH(Assumptions!$C$6,F2911)),Assumptions!$D$6,IF(ISNUMBER(SEARCH(Assumptions!$C$7,F2911)),Assumptions!$D$7,"Other Services"))),"Other Services"))</f>
        <v/>
      </c>
    </row>
    <row r="2912" customFormat="false" ht="15" hidden="false" customHeight="false" outlineLevel="0" collapsed="false">
      <c r="I2912" s="41" t="str">
        <f aca="false">IF(F2912="","",IFERROR(IF(ISNUMBER(SEARCH(Assumptions!$C$5,F2912)),Assumptions!$D$5,IF(ISNUMBER(SEARCH(Assumptions!$C$6,F2912)),Assumptions!$D$6,IF(ISNUMBER(SEARCH(Assumptions!$C$7,F2912)),Assumptions!$D$7,"Other Services"))),"Other Services"))</f>
        <v/>
      </c>
    </row>
    <row r="2913" customFormat="false" ht="15" hidden="false" customHeight="false" outlineLevel="0" collapsed="false">
      <c r="I2913" s="41" t="str">
        <f aca="false">IF(F2913="","",IFERROR(IF(ISNUMBER(SEARCH(Assumptions!$C$5,F2913)),Assumptions!$D$5,IF(ISNUMBER(SEARCH(Assumptions!$C$6,F2913)),Assumptions!$D$6,IF(ISNUMBER(SEARCH(Assumptions!$C$7,F2913)),Assumptions!$D$7,"Other Services"))),"Other Services"))</f>
        <v/>
      </c>
    </row>
    <row r="2914" customFormat="false" ht="15" hidden="false" customHeight="false" outlineLevel="0" collapsed="false">
      <c r="I2914" s="41" t="str">
        <f aca="false">IF(F2914="","",IFERROR(IF(ISNUMBER(SEARCH(Assumptions!$C$5,F2914)),Assumptions!$D$5,IF(ISNUMBER(SEARCH(Assumptions!$C$6,F2914)),Assumptions!$D$6,IF(ISNUMBER(SEARCH(Assumptions!$C$7,F2914)),Assumptions!$D$7,"Other Services"))),"Other Services"))</f>
        <v/>
      </c>
    </row>
    <row r="2915" customFormat="false" ht="15" hidden="false" customHeight="false" outlineLevel="0" collapsed="false">
      <c r="I2915" s="41" t="str">
        <f aca="false">IF(F2915="","",IFERROR(IF(ISNUMBER(SEARCH(Assumptions!$C$5,F2915)),Assumptions!$D$5,IF(ISNUMBER(SEARCH(Assumptions!$C$6,F2915)),Assumptions!$D$6,IF(ISNUMBER(SEARCH(Assumptions!$C$7,F2915)),Assumptions!$D$7,"Other Services"))),"Other Services"))</f>
        <v/>
      </c>
    </row>
    <row r="2916" customFormat="false" ht="15" hidden="false" customHeight="false" outlineLevel="0" collapsed="false">
      <c r="I2916" s="41" t="str">
        <f aca="false">IF(F2916="","",IFERROR(IF(ISNUMBER(SEARCH(Assumptions!$C$5,F2916)),Assumptions!$D$5,IF(ISNUMBER(SEARCH(Assumptions!$C$6,F2916)),Assumptions!$D$6,IF(ISNUMBER(SEARCH(Assumptions!$C$7,F2916)),Assumptions!$D$7,"Other Services"))),"Other Services"))</f>
        <v/>
      </c>
    </row>
    <row r="2917" customFormat="false" ht="15" hidden="false" customHeight="false" outlineLevel="0" collapsed="false">
      <c r="I2917" s="41" t="str">
        <f aca="false">IF(F2917="","",IFERROR(IF(ISNUMBER(SEARCH(Assumptions!$C$5,F2917)),Assumptions!$D$5,IF(ISNUMBER(SEARCH(Assumptions!$C$6,F2917)),Assumptions!$D$6,IF(ISNUMBER(SEARCH(Assumptions!$C$7,F2917)),Assumptions!$D$7,"Other Services"))),"Other Services"))</f>
        <v/>
      </c>
    </row>
    <row r="2918" customFormat="false" ht="15" hidden="false" customHeight="false" outlineLevel="0" collapsed="false">
      <c r="I2918" s="41" t="str">
        <f aca="false">IF(F2918="","",IFERROR(IF(ISNUMBER(SEARCH(Assumptions!$C$5,F2918)),Assumptions!$D$5,IF(ISNUMBER(SEARCH(Assumptions!$C$6,F2918)),Assumptions!$D$6,IF(ISNUMBER(SEARCH(Assumptions!$C$7,F2918)),Assumptions!$D$7,"Other Services"))),"Other Services"))</f>
        <v/>
      </c>
    </row>
    <row r="2919" customFormat="false" ht="15" hidden="false" customHeight="false" outlineLevel="0" collapsed="false">
      <c r="I2919" s="41" t="str">
        <f aca="false">IF(F2919="","",IFERROR(IF(ISNUMBER(SEARCH(Assumptions!$C$5,F2919)),Assumptions!$D$5,IF(ISNUMBER(SEARCH(Assumptions!$C$6,F2919)),Assumptions!$D$6,IF(ISNUMBER(SEARCH(Assumptions!$C$7,F2919)),Assumptions!$D$7,"Other Services"))),"Other Services"))</f>
        <v/>
      </c>
    </row>
    <row r="2920" customFormat="false" ht="15" hidden="false" customHeight="false" outlineLevel="0" collapsed="false">
      <c r="I2920" s="41" t="str">
        <f aca="false">IF(F2920="","",IFERROR(IF(ISNUMBER(SEARCH(Assumptions!$C$5,F2920)),Assumptions!$D$5,IF(ISNUMBER(SEARCH(Assumptions!$C$6,F2920)),Assumptions!$D$6,IF(ISNUMBER(SEARCH(Assumptions!$C$7,F2920)),Assumptions!$D$7,"Other Services"))),"Other Services"))</f>
        <v/>
      </c>
    </row>
    <row r="2921" customFormat="false" ht="15" hidden="false" customHeight="false" outlineLevel="0" collapsed="false">
      <c r="I2921" s="41" t="str">
        <f aca="false">IF(F2921="","",IFERROR(IF(ISNUMBER(SEARCH(Assumptions!$C$5,F2921)),Assumptions!$D$5,IF(ISNUMBER(SEARCH(Assumptions!$C$6,F2921)),Assumptions!$D$6,IF(ISNUMBER(SEARCH(Assumptions!$C$7,F2921)),Assumptions!$D$7,"Other Services"))),"Other Services"))</f>
        <v/>
      </c>
    </row>
    <row r="2922" customFormat="false" ht="15" hidden="false" customHeight="false" outlineLevel="0" collapsed="false">
      <c r="I2922" s="41" t="str">
        <f aca="false">IF(F2922="","",IFERROR(IF(ISNUMBER(SEARCH(Assumptions!$C$5,F2922)),Assumptions!$D$5,IF(ISNUMBER(SEARCH(Assumptions!$C$6,F2922)),Assumptions!$D$6,IF(ISNUMBER(SEARCH(Assumptions!$C$7,F2922)),Assumptions!$D$7,"Other Services"))),"Other Services"))</f>
        <v/>
      </c>
    </row>
    <row r="2923" customFormat="false" ht="15" hidden="false" customHeight="false" outlineLevel="0" collapsed="false">
      <c r="I2923" s="41" t="str">
        <f aca="false">IF(F2923="","",IFERROR(IF(ISNUMBER(SEARCH(Assumptions!$C$5,F2923)),Assumptions!$D$5,IF(ISNUMBER(SEARCH(Assumptions!$C$6,F2923)),Assumptions!$D$6,IF(ISNUMBER(SEARCH(Assumptions!$C$7,F2923)),Assumptions!$D$7,"Other Services"))),"Other Services"))</f>
        <v/>
      </c>
    </row>
    <row r="2924" customFormat="false" ht="15" hidden="false" customHeight="false" outlineLevel="0" collapsed="false">
      <c r="I2924" s="41" t="str">
        <f aca="false">IF(F2924="","",IFERROR(IF(ISNUMBER(SEARCH(Assumptions!$C$5,F2924)),Assumptions!$D$5,IF(ISNUMBER(SEARCH(Assumptions!$C$6,F2924)),Assumptions!$D$6,IF(ISNUMBER(SEARCH(Assumptions!$C$7,F2924)),Assumptions!$D$7,"Other Services"))),"Other Services"))</f>
        <v/>
      </c>
    </row>
    <row r="2925" customFormat="false" ht="15" hidden="false" customHeight="false" outlineLevel="0" collapsed="false">
      <c r="I2925" s="41" t="str">
        <f aca="false">IF(F2925="","",IFERROR(IF(ISNUMBER(SEARCH(Assumptions!$C$5,F2925)),Assumptions!$D$5,IF(ISNUMBER(SEARCH(Assumptions!$C$6,F2925)),Assumptions!$D$6,IF(ISNUMBER(SEARCH(Assumptions!$C$7,F2925)),Assumptions!$D$7,"Other Services"))),"Other Services"))</f>
        <v/>
      </c>
    </row>
    <row r="2926" customFormat="false" ht="15" hidden="false" customHeight="false" outlineLevel="0" collapsed="false">
      <c r="I2926" s="41" t="str">
        <f aca="false">IF(F2926="","",IFERROR(IF(ISNUMBER(SEARCH(Assumptions!$C$5,F2926)),Assumptions!$D$5,IF(ISNUMBER(SEARCH(Assumptions!$C$6,F2926)),Assumptions!$D$6,IF(ISNUMBER(SEARCH(Assumptions!$C$7,F2926)),Assumptions!$D$7,"Other Services"))),"Other Services"))</f>
        <v/>
      </c>
    </row>
    <row r="2927" customFormat="false" ht="15" hidden="false" customHeight="false" outlineLevel="0" collapsed="false">
      <c r="I2927" s="41" t="str">
        <f aca="false">IF(F2927="","",IFERROR(IF(ISNUMBER(SEARCH(Assumptions!$C$5,F2927)),Assumptions!$D$5,IF(ISNUMBER(SEARCH(Assumptions!$C$6,F2927)),Assumptions!$D$6,IF(ISNUMBER(SEARCH(Assumptions!$C$7,F2927)),Assumptions!$D$7,"Other Services"))),"Other Services"))</f>
        <v/>
      </c>
    </row>
    <row r="2928" customFormat="false" ht="15" hidden="false" customHeight="false" outlineLevel="0" collapsed="false">
      <c r="I2928" s="41" t="str">
        <f aca="false">IF(F2928="","",IFERROR(IF(ISNUMBER(SEARCH(Assumptions!$C$5,F2928)),Assumptions!$D$5,IF(ISNUMBER(SEARCH(Assumptions!$C$6,F2928)),Assumptions!$D$6,IF(ISNUMBER(SEARCH(Assumptions!$C$7,F2928)),Assumptions!$D$7,"Other Services"))),"Other Services"))</f>
        <v/>
      </c>
    </row>
    <row r="2929" customFormat="false" ht="15" hidden="false" customHeight="false" outlineLevel="0" collapsed="false">
      <c r="I2929" s="41" t="str">
        <f aca="false">IF(F2929="","",IFERROR(IF(ISNUMBER(SEARCH(Assumptions!$C$5,F2929)),Assumptions!$D$5,IF(ISNUMBER(SEARCH(Assumptions!$C$6,F2929)),Assumptions!$D$6,IF(ISNUMBER(SEARCH(Assumptions!$C$7,F2929)),Assumptions!$D$7,"Other Services"))),"Other Services"))</f>
        <v/>
      </c>
    </row>
    <row r="2930" customFormat="false" ht="15" hidden="false" customHeight="false" outlineLevel="0" collapsed="false">
      <c r="I2930" s="41" t="str">
        <f aca="false">IF(F2930="","",IFERROR(IF(ISNUMBER(SEARCH(Assumptions!$C$5,F2930)),Assumptions!$D$5,IF(ISNUMBER(SEARCH(Assumptions!$C$6,F2930)),Assumptions!$D$6,IF(ISNUMBER(SEARCH(Assumptions!$C$7,F2930)),Assumptions!$D$7,"Other Services"))),"Other Services"))</f>
        <v/>
      </c>
    </row>
    <row r="2931" customFormat="false" ht="15" hidden="false" customHeight="false" outlineLevel="0" collapsed="false">
      <c r="I2931" s="41" t="str">
        <f aca="false">IF(F2931="","",IFERROR(IF(ISNUMBER(SEARCH(Assumptions!$C$5,F2931)),Assumptions!$D$5,IF(ISNUMBER(SEARCH(Assumptions!$C$6,F2931)),Assumptions!$D$6,IF(ISNUMBER(SEARCH(Assumptions!$C$7,F2931)),Assumptions!$D$7,"Other Services"))),"Other Services"))</f>
        <v/>
      </c>
    </row>
    <row r="2932" customFormat="false" ht="15" hidden="false" customHeight="false" outlineLevel="0" collapsed="false">
      <c r="I2932" s="41" t="str">
        <f aca="false">IF(F2932="","",IFERROR(IF(ISNUMBER(SEARCH(Assumptions!$C$5,F2932)),Assumptions!$D$5,IF(ISNUMBER(SEARCH(Assumptions!$C$6,F2932)),Assumptions!$D$6,IF(ISNUMBER(SEARCH(Assumptions!$C$7,F2932)),Assumptions!$D$7,"Other Services"))),"Other Services"))</f>
        <v/>
      </c>
    </row>
    <row r="2933" customFormat="false" ht="15" hidden="false" customHeight="false" outlineLevel="0" collapsed="false">
      <c r="I2933" s="41" t="str">
        <f aca="false">IF(F2933="","",IFERROR(IF(ISNUMBER(SEARCH(Assumptions!$C$5,F2933)),Assumptions!$D$5,IF(ISNUMBER(SEARCH(Assumptions!$C$6,F2933)),Assumptions!$D$6,IF(ISNUMBER(SEARCH(Assumptions!$C$7,F2933)),Assumptions!$D$7,"Other Services"))),"Other Services"))</f>
        <v/>
      </c>
    </row>
    <row r="2934" customFormat="false" ht="15" hidden="false" customHeight="false" outlineLevel="0" collapsed="false">
      <c r="I2934" s="41" t="str">
        <f aca="false">IF(F2934="","",IFERROR(IF(ISNUMBER(SEARCH(Assumptions!$C$5,F2934)),Assumptions!$D$5,IF(ISNUMBER(SEARCH(Assumptions!$C$6,F2934)),Assumptions!$D$6,IF(ISNUMBER(SEARCH(Assumptions!$C$7,F2934)),Assumptions!$D$7,"Other Services"))),"Other Services"))</f>
        <v/>
      </c>
    </row>
    <row r="2935" customFormat="false" ht="15" hidden="false" customHeight="false" outlineLevel="0" collapsed="false">
      <c r="I2935" s="41" t="str">
        <f aca="false">IF(F2935="","",IFERROR(IF(ISNUMBER(SEARCH(Assumptions!$C$5,F2935)),Assumptions!$D$5,IF(ISNUMBER(SEARCH(Assumptions!$C$6,F2935)),Assumptions!$D$6,IF(ISNUMBER(SEARCH(Assumptions!$C$7,F2935)),Assumptions!$D$7,"Other Services"))),"Other Services"))</f>
        <v/>
      </c>
    </row>
    <row r="2936" customFormat="false" ht="15" hidden="false" customHeight="false" outlineLevel="0" collapsed="false">
      <c r="I2936" s="41" t="str">
        <f aca="false">IF(F2936="","",IFERROR(IF(ISNUMBER(SEARCH(Assumptions!$C$5,F2936)),Assumptions!$D$5,IF(ISNUMBER(SEARCH(Assumptions!$C$6,F2936)),Assumptions!$D$6,IF(ISNUMBER(SEARCH(Assumptions!$C$7,F2936)),Assumptions!$D$7,"Other Services"))),"Other Services"))</f>
        <v/>
      </c>
    </row>
    <row r="2937" customFormat="false" ht="15" hidden="false" customHeight="false" outlineLevel="0" collapsed="false">
      <c r="I2937" s="41" t="str">
        <f aca="false">IF(F2937="","",IFERROR(IF(ISNUMBER(SEARCH(Assumptions!$C$5,F2937)),Assumptions!$D$5,IF(ISNUMBER(SEARCH(Assumptions!$C$6,F2937)),Assumptions!$D$6,IF(ISNUMBER(SEARCH(Assumptions!$C$7,F2937)),Assumptions!$D$7,"Other Services"))),"Other Services"))</f>
        <v/>
      </c>
    </row>
    <row r="2938" customFormat="false" ht="15" hidden="false" customHeight="false" outlineLevel="0" collapsed="false">
      <c r="I2938" s="41" t="str">
        <f aca="false">IF(F2938="","",IFERROR(IF(ISNUMBER(SEARCH(Assumptions!$C$5,F2938)),Assumptions!$D$5,IF(ISNUMBER(SEARCH(Assumptions!$C$6,F2938)),Assumptions!$D$6,IF(ISNUMBER(SEARCH(Assumptions!$C$7,F2938)),Assumptions!$D$7,"Other Services"))),"Other Services"))</f>
        <v/>
      </c>
    </row>
    <row r="2939" customFormat="false" ht="15" hidden="false" customHeight="false" outlineLevel="0" collapsed="false">
      <c r="I2939" s="41" t="str">
        <f aca="false">IF(F2939="","",IFERROR(IF(ISNUMBER(SEARCH(Assumptions!$C$5,F2939)),Assumptions!$D$5,IF(ISNUMBER(SEARCH(Assumptions!$C$6,F2939)),Assumptions!$D$6,IF(ISNUMBER(SEARCH(Assumptions!$C$7,F2939)),Assumptions!$D$7,"Other Services"))),"Other Services"))</f>
        <v/>
      </c>
    </row>
    <row r="2940" customFormat="false" ht="15" hidden="false" customHeight="false" outlineLevel="0" collapsed="false">
      <c r="I2940" s="41" t="str">
        <f aca="false">IF(F2940="","",IFERROR(IF(ISNUMBER(SEARCH(Assumptions!$C$5,F2940)),Assumptions!$D$5,IF(ISNUMBER(SEARCH(Assumptions!$C$6,F2940)),Assumptions!$D$6,IF(ISNUMBER(SEARCH(Assumptions!$C$7,F2940)),Assumptions!$D$7,"Other Services"))),"Other Services"))</f>
        <v/>
      </c>
    </row>
    <row r="2941" customFormat="false" ht="15" hidden="false" customHeight="false" outlineLevel="0" collapsed="false">
      <c r="I2941" s="41" t="str">
        <f aca="false">IF(F2941="","",IFERROR(IF(ISNUMBER(SEARCH(Assumptions!$C$5,F2941)),Assumptions!$D$5,IF(ISNUMBER(SEARCH(Assumptions!$C$6,F2941)),Assumptions!$D$6,IF(ISNUMBER(SEARCH(Assumptions!$C$7,F2941)),Assumptions!$D$7,"Other Services"))),"Other Services"))</f>
        <v/>
      </c>
    </row>
    <row r="2942" customFormat="false" ht="15" hidden="false" customHeight="false" outlineLevel="0" collapsed="false">
      <c r="I2942" s="41" t="str">
        <f aca="false">IF(F2942="","",IFERROR(IF(ISNUMBER(SEARCH(Assumptions!$C$5,F2942)),Assumptions!$D$5,IF(ISNUMBER(SEARCH(Assumptions!$C$6,F2942)),Assumptions!$D$6,IF(ISNUMBER(SEARCH(Assumptions!$C$7,F2942)),Assumptions!$D$7,"Other Services"))),"Other Services"))</f>
        <v/>
      </c>
    </row>
    <row r="2943" customFormat="false" ht="15" hidden="false" customHeight="false" outlineLevel="0" collapsed="false">
      <c r="I2943" s="41" t="str">
        <f aca="false">IF(F2943="","",IFERROR(IF(ISNUMBER(SEARCH(Assumptions!$C$5,F2943)),Assumptions!$D$5,IF(ISNUMBER(SEARCH(Assumptions!$C$6,F2943)),Assumptions!$D$6,IF(ISNUMBER(SEARCH(Assumptions!$C$7,F2943)),Assumptions!$D$7,"Other Services"))),"Other Services"))</f>
        <v/>
      </c>
    </row>
    <row r="2944" customFormat="false" ht="15" hidden="false" customHeight="false" outlineLevel="0" collapsed="false">
      <c r="I2944" s="41" t="str">
        <f aca="false">IF(F2944="","",IFERROR(IF(ISNUMBER(SEARCH(Assumptions!$C$5,F2944)),Assumptions!$D$5,IF(ISNUMBER(SEARCH(Assumptions!$C$6,F2944)),Assumptions!$D$6,IF(ISNUMBER(SEARCH(Assumptions!$C$7,F2944)),Assumptions!$D$7,"Other Services"))),"Other Services"))</f>
        <v/>
      </c>
    </row>
    <row r="2945" customFormat="false" ht="15" hidden="false" customHeight="false" outlineLevel="0" collapsed="false">
      <c r="I2945" s="41" t="str">
        <f aca="false">IF(F2945="","",IFERROR(IF(ISNUMBER(SEARCH(Assumptions!$C$5,F2945)),Assumptions!$D$5,IF(ISNUMBER(SEARCH(Assumptions!$C$6,F2945)),Assumptions!$D$6,IF(ISNUMBER(SEARCH(Assumptions!$C$7,F2945)),Assumptions!$D$7,"Other Services"))),"Other Services"))</f>
        <v/>
      </c>
    </row>
    <row r="2946" customFormat="false" ht="15" hidden="false" customHeight="false" outlineLevel="0" collapsed="false">
      <c r="I2946" s="41" t="str">
        <f aca="false">IF(F2946="","",IFERROR(IF(ISNUMBER(SEARCH(Assumptions!$C$5,F2946)),Assumptions!$D$5,IF(ISNUMBER(SEARCH(Assumptions!$C$6,F2946)),Assumptions!$D$6,IF(ISNUMBER(SEARCH(Assumptions!$C$7,F2946)),Assumptions!$D$7,"Other Services"))),"Other Services"))</f>
        <v/>
      </c>
    </row>
    <row r="2947" customFormat="false" ht="15" hidden="false" customHeight="false" outlineLevel="0" collapsed="false">
      <c r="I2947" s="41" t="str">
        <f aca="false">IF(F2947="","",IFERROR(IF(ISNUMBER(SEARCH(Assumptions!$C$5,F2947)),Assumptions!$D$5,IF(ISNUMBER(SEARCH(Assumptions!$C$6,F2947)),Assumptions!$D$6,IF(ISNUMBER(SEARCH(Assumptions!$C$7,F2947)),Assumptions!$D$7,"Other Services"))),"Other Services"))</f>
        <v/>
      </c>
    </row>
    <row r="2948" customFormat="false" ht="15" hidden="false" customHeight="false" outlineLevel="0" collapsed="false">
      <c r="I2948" s="41" t="str">
        <f aca="false">IF(F2948="","",IFERROR(IF(ISNUMBER(SEARCH(Assumptions!$C$5,F2948)),Assumptions!$D$5,IF(ISNUMBER(SEARCH(Assumptions!$C$6,F2948)),Assumptions!$D$6,IF(ISNUMBER(SEARCH(Assumptions!$C$7,F2948)),Assumptions!$D$7,"Other Services"))),"Other Services"))</f>
        <v/>
      </c>
    </row>
    <row r="2949" customFormat="false" ht="15" hidden="false" customHeight="false" outlineLevel="0" collapsed="false">
      <c r="I2949" s="41" t="str">
        <f aca="false">IF(F2949="","",IFERROR(IF(ISNUMBER(SEARCH(Assumptions!$C$5,F2949)),Assumptions!$D$5,IF(ISNUMBER(SEARCH(Assumptions!$C$6,F2949)),Assumptions!$D$6,IF(ISNUMBER(SEARCH(Assumptions!$C$7,F2949)),Assumptions!$D$7,"Other Services"))),"Other Services"))</f>
        <v/>
      </c>
    </row>
    <row r="2950" customFormat="false" ht="15" hidden="false" customHeight="false" outlineLevel="0" collapsed="false">
      <c r="I2950" s="41" t="str">
        <f aca="false">IF(F2950="","",IFERROR(IF(ISNUMBER(SEARCH(Assumptions!$C$5,F2950)),Assumptions!$D$5,IF(ISNUMBER(SEARCH(Assumptions!$C$6,F2950)),Assumptions!$D$6,IF(ISNUMBER(SEARCH(Assumptions!$C$7,F2950)),Assumptions!$D$7,"Other Services"))),"Other Services"))</f>
        <v/>
      </c>
    </row>
    <row r="2951" customFormat="false" ht="15" hidden="false" customHeight="false" outlineLevel="0" collapsed="false">
      <c r="I2951" s="41" t="str">
        <f aca="false">IF(F2951="","",IFERROR(IF(ISNUMBER(SEARCH(Assumptions!$C$5,F2951)),Assumptions!$D$5,IF(ISNUMBER(SEARCH(Assumptions!$C$6,F2951)),Assumptions!$D$6,IF(ISNUMBER(SEARCH(Assumptions!$C$7,F2951)),Assumptions!$D$7,"Other Services"))),"Other Services"))</f>
        <v/>
      </c>
    </row>
    <row r="2952" customFormat="false" ht="15" hidden="false" customHeight="false" outlineLevel="0" collapsed="false">
      <c r="I2952" s="41" t="str">
        <f aca="false">IF(F2952="","",IFERROR(IF(ISNUMBER(SEARCH(Assumptions!$C$5,F2952)),Assumptions!$D$5,IF(ISNUMBER(SEARCH(Assumptions!$C$6,F2952)),Assumptions!$D$6,IF(ISNUMBER(SEARCH(Assumptions!$C$7,F2952)),Assumptions!$D$7,"Other Services"))),"Other Services"))</f>
        <v/>
      </c>
    </row>
    <row r="2953" customFormat="false" ht="15" hidden="false" customHeight="false" outlineLevel="0" collapsed="false">
      <c r="I2953" s="41" t="str">
        <f aca="false">IF(F2953="","",IFERROR(IF(ISNUMBER(SEARCH(Assumptions!$C$5,F2953)),Assumptions!$D$5,IF(ISNUMBER(SEARCH(Assumptions!$C$6,F2953)),Assumptions!$D$6,IF(ISNUMBER(SEARCH(Assumptions!$C$7,F2953)),Assumptions!$D$7,"Other Services"))),"Other Services"))</f>
        <v/>
      </c>
    </row>
    <row r="2954" customFormat="false" ht="15" hidden="false" customHeight="false" outlineLevel="0" collapsed="false">
      <c r="I2954" s="41" t="str">
        <f aca="false">IF(F2954="","",IFERROR(IF(ISNUMBER(SEARCH(Assumptions!$C$5,F2954)),Assumptions!$D$5,IF(ISNUMBER(SEARCH(Assumptions!$C$6,F2954)),Assumptions!$D$6,IF(ISNUMBER(SEARCH(Assumptions!$C$7,F2954)),Assumptions!$D$7,"Other Services"))),"Other Services"))</f>
        <v/>
      </c>
    </row>
    <row r="2955" customFormat="false" ht="15" hidden="false" customHeight="false" outlineLevel="0" collapsed="false">
      <c r="I2955" s="41" t="str">
        <f aca="false">IF(F2955="","",IFERROR(IF(ISNUMBER(SEARCH(Assumptions!$C$5,F2955)),Assumptions!$D$5,IF(ISNUMBER(SEARCH(Assumptions!$C$6,F2955)),Assumptions!$D$6,IF(ISNUMBER(SEARCH(Assumptions!$C$7,F2955)),Assumptions!$D$7,"Other Services"))),"Other Services"))</f>
        <v/>
      </c>
    </row>
    <row r="2956" customFormat="false" ht="15" hidden="false" customHeight="false" outlineLevel="0" collapsed="false">
      <c r="I2956" s="41" t="str">
        <f aca="false">IF(F2956="","",IFERROR(IF(ISNUMBER(SEARCH(Assumptions!$C$5,F2956)),Assumptions!$D$5,IF(ISNUMBER(SEARCH(Assumptions!$C$6,F2956)),Assumptions!$D$6,IF(ISNUMBER(SEARCH(Assumptions!$C$7,F2956)),Assumptions!$D$7,"Other Services"))),"Other Services"))</f>
        <v/>
      </c>
    </row>
    <row r="2957" customFormat="false" ht="15" hidden="false" customHeight="false" outlineLevel="0" collapsed="false">
      <c r="I2957" s="41" t="str">
        <f aca="false">IF(F2957="","",IFERROR(IF(ISNUMBER(SEARCH(Assumptions!$C$5,F2957)),Assumptions!$D$5,IF(ISNUMBER(SEARCH(Assumptions!$C$6,F2957)),Assumptions!$D$6,IF(ISNUMBER(SEARCH(Assumptions!$C$7,F2957)),Assumptions!$D$7,"Other Services"))),"Other Services"))</f>
        <v/>
      </c>
    </row>
    <row r="2958" customFormat="false" ht="15" hidden="false" customHeight="false" outlineLevel="0" collapsed="false">
      <c r="I2958" s="41" t="str">
        <f aca="false">IF(F2958="","",IFERROR(IF(ISNUMBER(SEARCH(Assumptions!$C$5,F2958)),Assumptions!$D$5,IF(ISNUMBER(SEARCH(Assumptions!$C$6,F2958)),Assumptions!$D$6,IF(ISNUMBER(SEARCH(Assumptions!$C$7,F2958)),Assumptions!$D$7,"Other Services"))),"Other Services"))</f>
        <v/>
      </c>
    </row>
    <row r="2959" customFormat="false" ht="15" hidden="false" customHeight="false" outlineLevel="0" collapsed="false">
      <c r="I2959" s="41" t="str">
        <f aca="false">IF(F2959="","",IFERROR(IF(ISNUMBER(SEARCH(Assumptions!$C$5,F2959)),Assumptions!$D$5,IF(ISNUMBER(SEARCH(Assumptions!$C$6,F2959)),Assumptions!$D$6,IF(ISNUMBER(SEARCH(Assumptions!$C$7,F2959)),Assumptions!$D$7,"Other Services"))),"Other Services"))</f>
        <v/>
      </c>
    </row>
    <row r="2960" customFormat="false" ht="15" hidden="false" customHeight="false" outlineLevel="0" collapsed="false">
      <c r="I2960" s="41" t="str">
        <f aca="false">IF(F2960="","",IFERROR(IF(ISNUMBER(SEARCH(Assumptions!$C$5,F2960)),Assumptions!$D$5,IF(ISNUMBER(SEARCH(Assumptions!$C$6,F2960)),Assumptions!$D$6,IF(ISNUMBER(SEARCH(Assumptions!$C$7,F2960)),Assumptions!$D$7,"Other Services"))),"Other Services"))</f>
        <v/>
      </c>
    </row>
    <row r="2961" customFormat="false" ht="15" hidden="false" customHeight="false" outlineLevel="0" collapsed="false">
      <c r="I2961" s="41" t="str">
        <f aca="false">IF(F2961="","",IFERROR(IF(ISNUMBER(SEARCH(Assumptions!$C$5,F2961)),Assumptions!$D$5,IF(ISNUMBER(SEARCH(Assumptions!$C$6,F2961)),Assumptions!$D$6,IF(ISNUMBER(SEARCH(Assumptions!$C$7,F2961)),Assumptions!$D$7,"Other Services"))),"Other Services"))</f>
        <v/>
      </c>
    </row>
    <row r="2962" customFormat="false" ht="15" hidden="false" customHeight="false" outlineLevel="0" collapsed="false">
      <c r="I2962" s="41" t="str">
        <f aca="false">IF(F2962="","",IFERROR(IF(ISNUMBER(SEARCH(Assumptions!$C$5,F2962)),Assumptions!$D$5,IF(ISNUMBER(SEARCH(Assumptions!$C$6,F2962)),Assumptions!$D$6,IF(ISNUMBER(SEARCH(Assumptions!$C$7,F2962)),Assumptions!$D$7,"Other Services"))),"Other Services"))</f>
        <v/>
      </c>
    </row>
    <row r="2963" customFormat="false" ht="15" hidden="false" customHeight="false" outlineLevel="0" collapsed="false">
      <c r="I2963" s="41" t="str">
        <f aca="false">IF(F2963="","",IFERROR(IF(ISNUMBER(SEARCH(Assumptions!$C$5,F2963)),Assumptions!$D$5,IF(ISNUMBER(SEARCH(Assumptions!$C$6,F2963)),Assumptions!$D$6,IF(ISNUMBER(SEARCH(Assumptions!$C$7,F2963)),Assumptions!$D$7,"Other Services"))),"Other Services"))</f>
        <v/>
      </c>
    </row>
    <row r="2964" customFormat="false" ht="15" hidden="false" customHeight="false" outlineLevel="0" collapsed="false">
      <c r="I2964" s="41" t="str">
        <f aca="false">IF(F2964="","",IFERROR(IF(ISNUMBER(SEARCH(Assumptions!$C$5,F2964)),Assumptions!$D$5,IF(ISNUMBER(SEARCH(Assumptions!$C$6,F2964)),Assumptions!$D$6,IF(ISNUMBER(SEARCH(Assumptions!$C$7,F2964)),Assumptions!$D$7,"Other Services"))),"Other Services"))</f>
        <v/>
      </c>
    </row>
    <row r="2965" customFormat="false" ht="15" hidden="false" customHeight="false" outlineLevel="0" collapsed="false">
      <c r="I2965" s="41" t="str">
        <f aca="false">IF(F2965="","",IFERROR(IF(ISNUMBER(SEARCH(Assumptions!$C$5,F2965)),Assumptions!$D$5,IF(ISNUMBER(SEARCH(Assumptions!$C$6,F2965)),Assumptions!$D$6,IF(ISNUMBER(SEARCH(Assumptions!$C$7,F2965)),Assumptions!$D$7,"Other Services"))),"Other Services"))</f>
        <v/>
      </c>
    </row>
    <row r="2966" customFormat="false" ht="15" hidden="false" customHeight="false" outlineLevel="0" collapsed="false">
      <c r="I2966" s="41" t="str">
        <f aca="false">IF(F2966="","",IFERROR(IF(ISNUMBER(SEARCH(Assumptions!$C$5,F2966)),Assumptions!$D$5,IF(ISNUMBER(SEARCH(Assumptions!$C$6,F2966)),Assumptions!$D$6,IF(ISNUMBER(SEARCH(Assumptions!$C$7,F2966)),Assumptions!$D$7,"Other Services"))),"Other Services"))</f>
        <v/>
      </c>
    </row>
    <row r="2967" customFormat="false" ht="15" hidden="false" customHeight="false" outlineLevel="0" collapsed="false">
      <c r="I2967" s="41" t="str">
        <f aca="false">IF(F2967="","",IFERROR(IF(ISNUMBER(SEARCH(Assumptions!$C$5,F2967)),Assumptions!$D$5,IF(ISNUMBER(SEARCH(Assumptions!$C$6,F2967)),Assumptions!$D$6,IF(ISNUMBER(SEARCH(Assumptions!$C$7,F2967)),Assumptions!$D$7,"Other Services"))),"Other Services"))</f>
        <v/>
      </c>
    </row>
    <row r="2968" customFormat="false" ht="15" hidden="false" customHeight="false" outlineLevel="0" collapsed="false">
      <c r="I2968" s="41" t="str">
        <f aca="false">IF(F2968="","",IFERROR(IF(ISNUMBER(SEARCH(Assumptions!$C$5,F2968)),Assumptions!$D$5,IF(ISNUMBER(SEARCH(Assumptions!$C$6,F2968)),Assumptions!$D$6,IF(ISNUMBER(SEARCH(Assumptions!$C$7,F2968)),Assumptions!$D$7,"Other Services"))),"Other Services"))</f>
        <v/>
      </c>
    </row>
    <row r="2969" customFormat="false" ht="15" hidden="false" customHeight="false" outlineLevel="0" collapsed="false">
      <c r="I2969" s="41" t="str">
        <f aca="false">IF(F2969="","",IFERROR(IF(ISNUMBER(SEARCH(Assumptions!$C$5,F2969)),Assumptions!$D$5,IF(ISNUMBER(SEARCH(Assumptions!$C$6,F2969)),Assumptions!$D$6,IF(ISNUMBER(SEARCH(Assumptions!$C$7,F2969)),Assumptions!$D$7,"Other Services"))),"Other Services"))</f>
        <v/>
      </c>
    </row>
    <row r="2970" customFormat="false" ht="15" hidden="false" customHeight="false" outlineLevel="0" collapsed="false">
      <c r="I2970" s="41" t="str">
        <f aca="false">IF(F2970="","",IFERROR(IF(ISNUMBER(SEARCH(Assumptions!$C$5,F2970)),Assumptions!$D$5,IF(ISNUMBER(SEARCH(Assumptions!$C$6,F2970)),Assumptions!$D$6,IF(ISNUMBER(SEARCH(Assumptions!$C$7,F2970)),Assumptions!$D$7,"Other Services"))),"Other Services"))</f>
        <v/>
      </c>
    </row>
    <row r="2971" customFormat="false" ht="15" hidden="false" customHeight="false" outlineLevel="0" collapsed="false">
      <c r="I2971" s="41" t="str">
        <f aca="false">IF(F2971="","",IFERROR(IF(ISNUMBER(SEARCH(Assumptions!$C$5,F2971)),Assumptions!$D$5,IF(ISNUMBER(SEARCH(Assumptions!$C$6,F2971)),Assumptions!$D$6,IF(ISNUMBER(SEARCH(Assumptions!$C$7,F2971)),Assumptions!$D$7,"Other Services"))),"Other Services"))</f>
        <v/>
      </c>
    </row>
    <row r="2972" customFormat="false" ht="15" hidden="false" customHeight="false" outlineLevel="0" collapsed="false">
      <c r="I2972" s="41" t="str">
        <f aca="false">IF(F2972="","",IFERROR(IF(ISNUMBER(SEARCH(Assumptions!$C$5,F2972)),Assumptions!$D$5,IF(ISNUMBER(SEARCH(Assumptions!$C$6,F2972)),Assumptions!$D$6,IF(ISNUMBER(SEARCH(Assumptions!$C$7,F2972)),Assumptions!$D$7,"Other Services"))),"Other Services"))</f>
        <v/>
      </c>
    </row>
    <row r="2973" customFormat="false" ht="15" hidden="false" customHeight="false" outlineLevel="0" collapsed="false">
      <c r="I2973" s="41" t="str">
        <f aca="false">IF(F2973="","",IFERROR(IF(ISNUMBER(SEARCH(Assumptions!$C$5,F2973)),Assumptions!$D$5,IF(ISNUMBER(SEARCH(Assumptions!$C$6,F2973)),Assumptions!$D$6,IF(ISNUMBER(SEARCH(Assumptions!$C$7,F2973)),Assumptions!$D$7,"Other Services"))),"Other Services"))</f>
        <v/>
      </c>
    </row>
    <row r="2974" customFormat="false" ht="15" hidden="false" customHeight="false" outlineLevel="0" collapsed="false">
      <c r="I2974" s="41" t="str">
        <f aca="false">IF(F2974="","",IFERROR(IF(ISNUMBER(SEARCH(Assumptions!$C$5,F2974)),Assumptions!$D$5,IF(ISNUMBER(SEARCH(Assumptions!$C$6,F2974)),Assumptions!$D$6,IF(ISNUMBER(SEARCH(Assumptions!$C$7,F2974)),Assumptions!$D$7,"Other Services"))),"Other Services"))</f>
        <v/>
      </c>
    </row>
    <row r="2975" customFormat="false" ht="15" hidden="false" customHeight="false" outlineLevel="0" collapsed="false">
      <c r="I2975" s="41" t="str">
        <f aca="false">IF(F2975="","",IFERROR(IF(ISNUMBER(SEARCH(Assumptions!$C$5,F2975)),Assumptions!$D$5,IF(ISNUMBER(SEARCH(Assumptions!$C$6,F2975)),Assumptions!$D$6,IF(ISNUMBER(SEARCH(Assumptions!$C$7,F2975)),Assumptions!$D$7,"Other Services"))),"Other Services"))</f>
        <v/>
      </c>
    </row>
    <row r="2976" customFormat="false" ht="15" hidden="false" customHeight="false" outlineLevel="0" collapsed="false">
      <c r="I2976" s="41" t="str">
        <f aca="false">IF(F2976="","",IFERROR(IF(ISNUMBER(SEARCH(Assumptions!$C$5,F2976)),Assumptions!$D$5,IF(ISNUMBER(SEARCH(Assumptions!$C$6,F2976)),Assumptions!$D$6,IF(ISNUMBER(SEARCH(Assumptions!$C$7,F2976)),Assumptions!$D$7,"Other Services"))),"Other Services"))</f>
        <v/>
      </c>
    </row>
    <row r="2977" customFormat="false" ht="15" hidden="false" customHeight="false" outlineLevel="0" collapsed="false">
      <c r="I2977" s="41" t="str">
        <f aca="false">IF(F2977="","",IFERROR(IF(ISNUMBER(SEARCH(Assumptions!$C$5,F2977)),Assumptions!$D$5,IF(ISNUMBER(SEARCH(Assumptions!$C$6,F2977)),Assumptions!$D$6,IF(ISNUMBER(SEARCH(Assumptions!$C$7,F2977)),Assumptions!$D$7,"Other Services"))),"Other Services"))</f>
        <v/>
      </c>
    </row>
    <row r="2978" customFormat="false" ht="15" hidden="false" customHeight="false" outlineLevel="0" collapsed="false">
      <c r="I2978" s="41" t="str">
        <f aca="false">IF(F2978="","",IFERROR(IF(ISNUMBER(SEARCH(Assumptions!$C$5,F2978)),Assumptions!$D$5,IF(ISNUMBER(SEARCH(Assumptions!$C$6,F2978)),Assumptions!$D$6,IF(ISNUMBER(SEARCH(Assumptions!$C$7,F2978)),Assumptions!$D$7,"Other Services"))),"Other Services"))</f>
        <v/>
      </c>
    </row>
    <row r="2979" customFormat="false" ht="15" hidden="false" customHeight="false" outlineLevel="0" collapsed="false">
      <c r="I2979" s="41" t="str">
        <f aca="false">IF(F2979="","",IFERROR(IF(ISNUMBER(SEARCH(Assumptions!$C$5,F2979)),Assumptions!$D$5,IF(ISNUMBER(SEARCH(Assumptions!$C$6,F2979)),Assumptions!$D$6,IF(ISNUMBER(SEARCH(Assumptions!$C$7,F2979)),Assumptions!$D$7,"Other Services"))),"Other Services"))</f>
        <v/>
      </c>
    </row>
    <row r="2980" customFormat="false" ht="15" hidden="false" customHeight="false" outlineLevel="0" collapsed="false">
      <c r="I2980" s="41" t="str">
        <f aca="false">IF(F2980="","",IFERROR(IF(ISNUMBER(SEARCH(Assumptions!$C$5,F2980)),Assumptions!$D$5,IF(ISNUMBER(SEARCH(Assumptions!$C$6,F2980)),Assumptions!$D$6,IF(ISNUMBER(SEARCH(Assumptions!$C$7,F2980)),Assumptions!$D$7,"Other Services"))),"Other Services"))</f>
        <v/>
      </c>
    </row>
    <row r="2981" customFormat="false" ht="15" hidden="false" customHeight="false" outlineLevel="0" collapsed="false">
      <c r="I2981" s="41" t="str">
        <f aca="false">IF(F2981="","",IFERROR(IF(ISNUMBER(SEARCH(Assumptions!$C$5,F2981)),Assumptions!$D$5,IF(ISNUMBER(SEARCH(Assumptions!$C$6,F2981)),Assumptions!$D$6,IF(ISNUMBER(SEARCH(Assumptions!$C$7,F2981)),Assumptions!$D$7,"Other Services"))),"Other Services"))</f>
        <v/>
      </c>
    </row>
    <row r="2982" customFormat="false" ht="15" hidden="false" customHeight="false" outlineLevel="0" collapsed="false">
      <c r="I2982" s="41" t="str">
        <f aca="false">IF(F2982="","",IFERROR(IF(ISNUMBER(SEARCH(Assumptions!$C$5,F2982)),Assumptions!$D$5,IF(ISNUMBER(SEARCH(Assumptions!$C$6,F2982)),Assumptions!$D$6,IF(ISNUMBER(SEARCH(Assumptions!$C$7,F2982)),Assumptions!$D$7,"Other Services"))),"Other Services"))</f>
        <v/>
      </c>
    </row>
    <row r="2983" customFormat="false" ht="15" hidden="false" customHeight="false" outlineLevel="0" collapsed="false">
      <c r="I2983" s="41" t="str">
        <f aca="false">IF(F2983="","",IFERROR(IF(ISNUMBER(SEARCH(Assumptions!$C$5,F2983)),Assumptions!$D$5,IF(ISNUMBER(SEARCH(Assumptions!$C$6,F2983)),Assumptions!$D$6,IF(ISNUMBER(SEARCH(Assumptions!$C$7,F2983)),Assumptions!$D$7,"Other Services"))),"Other Services"))</f>
        <v/>
      </c>
    </row>
    <row r="2984" customFormat="false" ht="15" hidden="false" customHeight="false" outlineLevel="0" collapsed="false">
      <c r="I2984" s="41" t="str">
        <f aca="false">IF(F2984="","",IFERROR(IF(ISNUMBER(SEARCH(Assumptions!$C$5,F2984)),Assumptions!$D$5,IF(ISNUMBER(SEARCH(Assumptions!$C$6,F2984)),Assumptions!$D$6,IF(ISNUMBER(SEARCH(Assumptions!$C$7,F2984)),Assumptions!$D$7,"Other Services"))),"Other Services"))</f>
        <v/>
      </c>
    </row>
    <row r="2985" customFormat="false" ht="15" hidden="false" customHeight="false" outlineLevel="0" collapsed="false">
      <c r="I2985" s="41" t="str">
        <f aca="false">IF(F2985="","",IFERROR(IF(ISNUMBER(SEARCH(Assumptions!$C$5,F2985)),Assumptions!$D$5,IF(ISNUMBER(SEARCH(Assumptions!$C$6,F2985)),Assumptions!$D$6,IF(ISNUMBER(SEARCH(Assumptions!$C$7,F2985)),Assumptions!$D$7,"Other Services"))),"Other Services"))</f>
        <v/>
      </c>
    </row>
    <row r="2986" customFormat="false" ht="15" hidden="false" customHeight="false" outlineLevel="0" collapsed="false">
      <c r="I2986" s="41" t="str">
        <f aca="false">IF(F2986="","",IFERROR(IF(ISNUMBER(SEARCH(Assumptions!$C$5,F2986)),Assumptions!$D$5,IF(ISNUMBER(SEARCH(Assumptions!$C$6,F2986)),Assumptions!$D$6,IF(ISNUMBER(SEARCH(Assumptions!$C$7,F2986)),Assumptions!$D$7,"Other Services"))),"Other Services"))</f>
        <v/>
      </c>
    </row>
    <row r="2987" customFormat="false" ht="15" hidden="false" customHeight="false" outlineLevel="0" collapsed="false">
      <c r="I2987" s="41" t="str">
        <f aca="false">IF(F2987="","",IFERROR(IF(ISNUMBER(SEARCH(Assumptions!$C$5,F2987)),Assumptions!$D$5,IF(ISNUMBER(SEARCH(Assumptions!$C$6,F2987)),Assumptions!$D$6,IF(ISNUMBER(SEARCH(Assumptions!$C$7,F2987)),Assumptions!$D$7,"Other Services"))),"Other Services"))</f>
        <v/>
      </c>
    </row>
    <row r="2988" customFormat="false" ht="15" hidden="false" customHeight="false" outlineLevel="0" collapsed="false">
      <c r="I2988" s="41" t="str">
        <f aca="false">IF(F2988="","",IFERROR(IF(ISNUMBER(SEARCH(Assumptions!$C$5,F2988)),Assumptions!$D$5,IF(ISNUMBER(SEARCH(Assumptions!$C$6,F2988)),Assumptions!$D$6,IF(ISNUMBER(SEARCH(Assumptions!$C$7,F2988)),Assumptions!$D$7,"Other Services"))),"Other Services"))</f>
        <v/>
      </c>
    </row>
    <row r="2989" customFormat="false" ht="15" hidden="false" customHeight="false" outlineLevel="0" collapsed="false">
      <c r="I2989" s="41" t="str">
        <f aca="false">IF(F2989="","",IFERROR(IF(ISNUMBER(SEARCH(Assumptions!$C$5,F2989)),Assumptions!$D$5,IF(ISNUMBER(SEARCH(Assumptions!$C$6,F2989)),Assumptions!$D$6,IF(ISNUMBER(SEARCH(Assumptions!$C$7,F2989)),Assumptions!$D$7,"Other Services"))),"Other Services"))</f>
        <v/>
      </c>
    </row>
    <row r="2990" customFormat="false" ht="15" hidden="false" customHeight="false" outlineLevel="0" collapsed="false">
      <c r="I2990" s="41" t="str">
        <f aca="false">IF(F2990="","",IFERROR(IF(ISNUMBER(SEARCH(Assumptions!$C$5,F2990)),Assumptions!$D$5,IF(ISNUMBER(SEARCH(Assumptions!$C$6,F2990)),Assumptions!$D$6,IF(ISNUMBER(SEARCH(Assumptions!$C$7,F2990)),Assumptions!$D$7,"Other Services"))),"Other Services"))</f>
        <v/>
      </c>
    </row>
    <row r="2991" customFormat="false" ht="15" hidden="false" customHeight="false" outlineLevel="0" collapsed="false">
      <c r="I2991" s="41" t="str">
        <f aca="false">IF(F2991="","",IFERROR(IF(ISNUMBER(SEARCH(Assumptions!$C$5,F2991)),Assumptions!$D$5,IF(ISNUMBER(SEARCH(Assumptions!$C$6,F2991)),Assumptions!$D$6,IF(ISNUMBER(SEARCH(Assumptions!$C$7,F2991)),Assumptions!$D$7,"Other Services"))),"Other Services"))</f>
        <v/>
      </c>
    </row>
    <row r="2992" customFormat="false" ht="15" hidden="false" customHeight="false" outlineLevel="0" collapsed="false">
      <c r="I2992" s="41" t="str">
        <f aca="false">IF(F2992="","",IFERROR(IF(ISNUMBER(SEARCH(Assumptions!$C$5,F2992)),Assumptions!$D$5,IF(ISNUMBER(SEARCH(Assumptions!$C$6,F2992)),Assumptions!$D$6,IF(ISNUMBER(SEARCH(Assumptions!$C$7,F2992)),Assumptions!$D$7,"Other Services"))),"Other Services"))</f>
        <v/>
      </c>
    </row>
    <row r="2993" customFormat="false" ht="15" hidden="false" customHeight="false" outlineLevel="0" collapsed="false">
      <c r="I2993" s="41" t="str">
        <f aca="false">IF(F2993="","",IFERROR(IF(ISNUMBER(SEARCH(Assumptions!$C$5,F2993)),Assumptions!$D$5,IF(ISNUMBER(SEARCH(Assumptions!$C$6,F2993)),Assumptions!$D$6,IF(ISNUMBER(SEARCH(Assumptions!$C$7,F2993)),Assumptions!$D$7,"Other Services"))),"Other Services"))</f>
        <v/>
      </c>
    </row>
    <row r="2994" customFormat="false" ht="15" hidden="false" customHeight="false" outlineLevel="0" collapsed="false">
      <c r="I2994" s="41" t="str">
        <f aca="false">IF(F2994="","",IFERROR(IF(ISNUMBER(SEARCH(Assumptions!$C$5,F2994)),Assumptions!$D$5,IF(ISNUMBER(SEARCH(Assumptions!$C$6,F2994)),Assumptions!$D$6,IF(ISNUMBER(SEARCH(Assumptions!$C$7,F2994)),Assumptions!$D$7,"Other Services"))),"Other Services"))</f>
        <v/>
      </c>
    </row>
    <row r="2995" customFormat="false" ht="15" hidden="false" customHeight="false" outlineLevel="0" collapsed="false">
      <c r="I2995" s="41" t="str">
        <f aca="false">IF(F2995="","",IFERROR(IF(ISNUMBER(SEARCH(Assumptions!$C$5,F2995)),Assumptions!$D$5,IF(ISNUMBER(SEARCH(Assumptions!$C$6,F2995)),Assumptions!$D$6,IF(ISNUMBER(SEARCH(Assumptions!$C$7,F2995)),Assumptions!$D$7,"Other Services"))),"Other Services"))</f>
        <v/>
      </c>
    </row>
    <row r="2996" customFormat="false" ht="15" hidden="false" customHeight="false" outlineLevel="0" collapsed="false">
      <c r="I2996" s="41" t="str">
        <f aca="false">IF(F2996="","",IFERROR(IF(ISNUMBER(SEARCH(Assumptions!$C$5,F2996)),Assumptions!$D$5,IF(ISNUMBER(SEARCH(Assumptions!$C$6,F2996)),Assumptions!$D$6,IF(ISNUMBER(SEARCH(Assumptions!$C$7,F2996)),Assumptions!$D$7,"Other Services"))),"Other Services"))</f>
        <v/>
      </c>
    </row>
    <row r="2997" customFormat="false" ht="15" hidden="false" customHeight="false" outlineLevel="0" collapsed="false">
      <c r="I2997" s="41" t="str">
        <f aca="false">IF(F2997="","",IFERROR(IF(ISNUMBER(SEARCH(Assumptions!$C$5,F2997)),Assumptions!$D$5,IF(ISNUMBER(SEARCH(Assumptions!$C$6,F2997)),Assumptions!$D$6,IF(ISNUMBER(SEARCH(Assumptions!$C$7,F2997)),Assumptions!$D$7,"Other Services"))),"Other Services"))</f>
        <v/>
      </c>
    </row>
    <row r="2998" customFormat="false" ht="15" hidden="false" customHeight="false" outlineLevel="0" collapsed="false">
      <c r="I2998" s="41" t="str">
        <f aca="false">IF(F2998="","",IFERROR(IF(ISNUMBER(SEARCH(Assumptions!$C$5,F2998)),Assumptions!$D$5,IF(ISNUMBER(SEARCH(Assumptions!$C$6,F2998)),Assumptions!$D$6,IF(ISNUMBER(SEARCH(Assumptions!$C$7,F2998)),Assumptions!$D$7,"Other Services"))),"Other Services"))</f>
        <v/>
      </c>
    </row>
    <row r="2999" customFormat="false" ht="15" hidden="false" customHeight="false" outlineLevel="0" collapsed="false">
      <c r="I2999" s="41" t="str">
        <f aca="false">IF(F2999="","",IFERROR(IF(ISNUMBER(SEARCH(Assumptions!$C$5,F2999)),Assumptions!$D$5,IF(ISNUMBER(SEARCH(Assumptions!$C$6,F2999)),Assumptions!$D$6,IF(ISNUMBER(SEARCH(Assumptions!$C$7,F2999)),Assumptions!$D$7,"Other Services"))),"Other Services"))</f>
        <v/>
      </c>
    </row>
    <row r="3000" customFormat="false" ht="15" hidden="false" customHeight="false" outlineLevel="0" collapsed="false">
      <c r="I3000" s="41" t="str">
        <f aca="false">IF(F3000="","",IFERROR(IF(ISNUMBER(SEARCH(Assumptions!$C$5,F3000)),Assumptions!$D$5,IF(ISNUMBER(SEARCH(Assumptions!$C$6,F3000)),Assumptions!$D$6,IF(ISNUMBER(SEARCH(Assumptions!$C$7,F3000)),Assumptions!$D$7,"Other Services"))),"Other Services"))</f>
        <v/>
      </c>
    </row>
    <row r="3001" customFormat="false" ht="15" hidden="false" customHeight="false" outlineLevel="0" collapsed="false">
      <c r="I3001" s="41" t="str">
        <f aca="false">IF(F3001="","",IFERROR(IF(ISNUMBER(SEARCH(Assumptions!$C$5,F3001)),Assumptions!$D$5,IF(ISNUMBER(SEARCH(Assumptions!$C$6,F3001)),Assumptions!$D$6,IF(ISNUMBER(SEARCH(Assumptions!$C$7,F3001)),Assumptions!$D$7,"Other Services"))),"Other Services"))</f>
        <v/>
      </c>
    </row>
    <row r="3002" customFormat="false" ht="15" hidden="false" customHeight="false" outlineLevel="0" collapsed="false">
      <c r="I3002" s="41" t="str">
        <f aca="false">IF(F3002="","",IFERROR(IF(ISNUMBER(SEARCH(Assumptions!$C$5,F3002)),Assumptions!$D$5,IF(ISNUMBER(SEARCH(Assumptions!$C$6,F3002)),Assumptions!$D$6,IF(ISNUMBER(SEARCH(Assumptions!$C$7,F3002)),Assumptions!$D$7,"Other Services"))),"Other Services"))</f>
        <v/>
      </c>
    </row>
    <row r="3003" customFormat="false" ht="15" hidden="false" customHeight="false" outlineLevel="0" collapsed="false">
      <c r="I3003" s="41" t="str">
        <f aca="false">IF(F3003="","",IFERROR(IF(ISNUMBER(SEARCH(Assumptions!$C$5,F3003)),Assumptions!$D$5,IF(ISNUMBER(SEARCH(Assumptions!$C$6,F3003)),Assumptions!$D$6,IF(ISNUMBER(SEARCH(Assumptions!$C$7,F3003)),Assumptions!$D$7,"Other Services"))),"Other Services"))</f>
        <v/>
      </c>
    </row>
    <row r="3004" customFormat="false" ht="15" hidden="false" customHeight="false" outlineLevel="0" collapsed="false">
      <c r="I3004" s="41" t="str">
        <f aca="false">IF(F3004="","",IFERROR(IF(ISNUMBER(SEARCH(Assumptions!$C$5,F3004)),Assumptions!$D$5,IF(ISNUMBER(SEARCH(Assumptions!$C$6,F3004)),Assumptions!$D$6,IF(ISNUMBER(SEARCH(Assumptions!$C$7,F3004)),Assumptions!$D$7,"Other Services"))),"Other Services"))</f>
        <v/>
      </c>
    </row>
    <row r="3005" customFormat="false" ht="15" hidden="false" customHeight="false" outlineLevel="0" collapsed="false">
      <c r="I3005" s="41" t="str">
        <f aca="false">IF(F3005="","",IFERROR(IF(ISNUMBER(SEARCH(Assumptions!$C$5,F3005)),Assumptions!$D$5,IF(ISNUMBER(SEARCH(Assumptions!$C$6,F3005)),Assumptions!$D$6,IF(ISNUMBER(SEARCH(Assumptions!$C$7,F3005)),Assumptions!$D$7,"Other Services"))),"Other Services"))</f>
        <v/>
      </c>
    </row>
    <row r="3006" customFormat="false" ht="15" hidden="false" customHeight="false" outlineLevel="0" collapsed="false">
      <c r="I3006" s="41" t="str">
        <f aca="false">IF(F3006="","",IFERROR(IF(ISNUMBER(SEARCH(Assumptions!$C$5,F3006)),Assumptions!$D$5,IF(ISNUMBER(SEARCH(Assumptions!$C$6,F3006)),Assumptions!$D$6,IF(ISNUMBER(SEARCH(Assumptions!$C$7,F3006)),Assumptions!$D$7,"Other Services"))),"Other Services"))</f>
        <v/>
      </c>
    </row>
    <row r="3007" customFormat="false" ht="15" hidden="false" customHeight="false" outlineLevel="0" collapsed="false">
      <c r="I3007" s="41" t="str">
        <f aca="false">IF(F3007="","",IFERROR(IF(ISNUMBER(SEARCH(Assumptions!$C$5,F3007)),Assumptions!$D$5,IF(ISNUMBER(SEARCH(Assumptions!$C$6,F3007)),Assumptions!$D$6,IF(ISNUMBER(SEARCH(Assumptions!$C$7,F3007)),Assumptions!$D$7,"Other Services"))),"Other Services"))</f>
        <v/>
      </c>
    </row>
    <row r="3008" customFormat="false" ht="15" hidden="false" customHeight="false" outlineLevel="0" collapsed="false">
      <c r="I3008" s="41" t="str">
        <f aca="false">IF(F3008="","",IFERROR(IF(ISNUMBER(SEARCH(Assumptions!$C$5,F3008)),Assumptions!$D$5,IF(ISNUMBER(SEARCH(Assumptions!$C$6,F3008)),Assumptions!$D$6,IF(ISNUMBER(SEARCH(Assumptions!$C$7,F3008)),Assumptions!$D$7,"Other Services"))),"Other Services"))</f>
        <v/>
      </c>
    </row>
    <row r="3009" customFormat="false" ht="15" hidden="false" customHeight="false" outlineLevel="0" collapsed="false">
      <c r="I3009" s="41" t="str">
        <f aca="false">IF(F3009="","",IFERROR(IF(ISNUMBER(SEARCH(Assumptions!$C$5,F3009)),Assumptions!$D$5,IF(ISNUMBER(SEARCH(Assumptions!$C$6,F3009)),Assumptions!$D$6,IF(ISNUMBER(SEARCH(Assumptions!$C$7,F3009)),Assumptions!$D$7,"Other Services"))),"Other Services"))</f>
        <v/>
      </c>
    </row>
    <row r="3010" customFormat="false" ht="15" hidden="false" customHeight="false" outlineLevel="0" collapsed="false">
      <c r="I3010" s="41" t="str">
        <f aca="false">IF(F3010="","",IFERROR(IF(ISNUMBER(SEARCH(Assumptions!$C$5,F3010)),Assumptions!$D$5,IF(ISNUMBER(SEARCH(Assumptions!$C$6,F3010)),Assumptions!$D$6,IF(ISNUMBER(SEARCH(Assumptions!$C$7,F3010)),Assumptions!$D$7,"Other Services"))),"Other Services"))</f>
        <v/>
      </c>
    </row>
    <row r="3011" customFormat="false" ht="15" hidden="false" customHeight="false" outlineLevel="0" collapsed="false">
      <c r="I3011" s="41" t="str">
        <f aca="false">IF(F3011="","",IFERROR(IF(ISNUMBER(SEARCH(Assumptions!$C$5,F3011)),Assumptions!$D$5,IF(ISNUMBER(SEARCH(Assumptions!$C$6,F3011)),Assumptions!$D$6,IF(ISNUMBER(SEARCH(Assumptions!$C$7,F3011)),Assumptions!$D$7,"Other Services"))),"Other Services"))</f>
        <v/>
      </c>
    </row>
    <row r="3012" customFormat="false" ht="15" hidden="false" customHeight="false" outlineLevel="0" collapsed="false">
      <c r="I3012" s="41" t="str">
        <f aca="false">IF(F3012="","",IFERROR(IF(ISNUMBER(SEARCH(Assumptions!$C$5,F3012)),Assumptions!$D$5,IF(ISNUMBER(SEARCH(Assumptions!$C$6,F3012)),Assumptions!$D$6,IF(ISNUMBER(SEARCH(Assumptions!$C$7,F3012)),Assumptions!$D$7,"Other Services"))),"Other Services"))</f>
        <v/>
      </c>
    </row>
    <row r="3013" customFormat="false" ht="15" hidden="false" customHeight="false" outlineLevel="0" collapsed="false">
      <c r="I3013" s="41" t="str">
        <f aca="false">IF(F3013="","",IFERROR(IF(ISNUMBER(SEARCH(Assumptions!$C$5,F3013)),Assumptions!$D$5,IF(ISNUMBER(SEARCH(Assumptions!$C$6,F3013)),Assumptions!$D$6,IF(ISNUMBER(SEARCH(Assumptions!$C$7,F3013)),Assumptions!$D$7,"Other Services"))),"Other Services"))</f>
        <v/>
      </c>
    </row>
    <row r="3014" customFormat="false" ht="15" hidden="false" customHeight="false" outlineLevel="0" collapsed="false">
      <c r="I3014" s="41" t="str">
        <f aca="false">IF(F3014="","",IFERROR(IF(ISNUMBER(SEARCH(Assumptions!$C$5,F3014)),Assumptions!$D$5,IF(ISNUMBER(SEARCH(Assumptions!$C$6,F3014)),Assumptions!$D$6,IF(ISNUMBER(SEARCH(Assumptions!$C$7,F3014)),Assumptions!$D$7,"Other Services"))),"Other Services"))</f>
        <v/>
      </c>
    </row>
    <row r="3015" customFormat="false" ht="15" hidden="false" customHeight="false" outlineLevel="0" collapsed="false">
      <c r="I3015" s="41" t="str">
        <f aca="false">IF(F3015="","",IFERROR(IF(ISNUMBER(SEARCH(Assumptions!$C$5,F3015)),Assumptions!$D$5,IF(ISNUMBER(SEARCH(Assumptions!$C$6,F3015)),Assumptions!$D$6,IF(ISNUMBER(SEARCH(Assumptions!$C$7,F3015)),Assumptions!$D$7,"Other Services"))),"Other Services"))</f>
        <v/>
      </c>
    </row>
    <row r="3016" customFormat="false" ht="15" hidden="false" customHeight="false" outlineLevel="0" collapsed="false">
      <c r="I3016" s="41" t="str">
        <f aca="false">IF(F3016="","",IFERROR(IF(ISNUMBER(SEARCH(Assumptions!$C$5,F3016)),Assumptions!$D$5,IF(ISNUMBER(SEARCH(Assumptions!$C$6,F3016)),Assumptions!$D$6,IF(ISNUMBER(SEARCH(Assumptions!$C$7,F3016)),Assumptions!$D$7,"Other Services"))),"Other Services"))</f>
        <v/>
      </c>
    </row>
    <row r="3017" customFormat="false" ht="15" hidden="false" customHeight="false" outlineLevel="0" collapsed="false">
      <c r="I3017" s="41" t="str">
        <f aca="false">IF(F3017="","",IFERROR(IF(ISNUMBER(SEARCH(Assumptions!$C$5,F3017)),Assumptions!$D$5,IF(ISNUMBER(SEARCH(Assumptions!$C$6,F3017)),Assumptions!$D$6,IF(ISNUMBER(SEARCH(Assumptions!$C$7,F3017)),Assumptions!$D$7,"Other Services"))),"Other Services"))</f>
        <v/>
      </c>
    </row>
    <row r="3018" customFormat="false" ht="15" hidden="false" customHeight="false" outlineLevel="0" collapsed="false">
      <c r="I3018" s="41" t="str">
        <f aca="false">IF(F3018="","",IFERROR(IF(ISNUMBER(SEARCH(Assumptions!$C$5,F3018)),Assumptions!$D$5,IF(ISNUMBER(SEARCH(Assumptions!$C$6,F3018)),Assumptions!$D$6,IF(ISNUMBER(SEARCH(Assumptions!$C$7,F3018)),Assumptions!$D$7,"Other Services"))),"Other Services"))</f>
        <v/>
      </c>
    </row>
    <row r="3019" customFormat="false" ht="15" hidden="false" customHeight="false" outlineLevel="0" collapsed="false">
      <c r="I3019" s="41" t="str">
        <f aca="false">IF(F3019="","",IFERROR(IF(ISNUMBER(SEARCH(Assumptions!$C$5,F3019)),Assumptions!$D$5,IF(ISNUMBER(SEARCH(Assumptions!$C$6,F3019)),Assumptions!$D$6,IF(ISNUMBER(SEARCH(Assumptions!$C$7,F3019)),Assumptions!$D$7,"Other Services"))),"Other Services"))</f>
        <v/>
      </c>
    </row>
    <row r="3020" customFormat="false" ht="15" hidden="false" customHeight="false" outlineLevel="0" collapsed="false">
      <c r="I3020" s="41" t="str">
        <f aca="false">IF(F3020="","",IFERROR(IF(ISNUMBER(SEARCH(Assumptions!$C$5,F3020)),Assumptions!$D$5,IF(ISNUMBER(SEARCH(Assumptions!$C$6,F3020)),Assumptions!$D$6,IF(ISNUMBER(SEARCH(Assumptions!$C$7,F3020)),Assumptions!$D$7,"Other Services"))),"Other Services"))</f>
        <v/>
      </c>
    </row>
    <row r="3021" customFormat="false" ht="15" hidden="false" customHeight="false" outlineLevel="0" collapsed="false">
      <c r="I3021" s="41" t="str">
        <f aca="false">IF(F3021="","",IFERROR(IF(ISNUMBER(SEARCH(Assumptions!$C$5,F3021)),Assumptions!$D$5,IF(ISNUMBER(SEARCH(Assumptions!$C$6,F3021)),Assumptions!$D$6,IF(ISNUMBER(SEARCH(Assumptions!$C$7,F3021)),Assumptions!$D$7,"Other Services"))),"Other Services"))</f>
        <v/>
      </c>
    </row>
    <row r="3022" customFormat="false" ht="15" hidden="false" customHeight="false" outlineLevel="0" collapsed="false">
      <c r="I3022" s="41" t="str">
        <f aca="false">IF(F3022="","",IFERROR(IF(ISNUMBER(SEARCH(Assumptions!$C$5,F3022)),Assumptions!$D$5,IF(ISNUMBER(SEARCH(Assumptions!$C$6,F3022)),Assumptions!$D$6,IF(ISNUMBER(SEARCH(Assumptions!$C$7,F3022)),Assumptions!$D$7,"Other Services"))),"Other Services"))</f>
        <v/>
      </c>
    </row>
    <row r="3023" customFormat="false" ht="15" hidden="false" customHeight="false" outlineLevel="0" collapsed="false">
      <c r="I3023" s="41" t="str">
        <f aca="false">IF(F3023="","",IFERROR(IF(ISNUMBER(SEARCH(Assumptions!$C$5,F3023)),Assumptions!$D$5,IF(ISNUMBER(SEARCH(Assumptions!$C$6,F3023)),Assumptions!$D$6,IF(ISNUMBER(SEARCH(Assumptions!$C$7,F3023)),Assumptions!$D$7,"Other Services"))),"Other Services"))</f>
        <v/>
      </c>
    </row>
    <row r="3024" customFormat="false" ht="15" hidden="false" customHeight="false" outlineLevel="0" collapsed="false">
      <c r="I3024" s="41" t="str">
        <f aca="false">IF(F3024="","",IFERROR(IF(ISNUMBER(SEARCH(Assumptions!$C$5,F3024)),Assumptions!$D$5,IF(ISNUMBER(SEARCH(Assumptions!$C$6,F3024)),Assumptions!$D$6,IF(ISNUMBER(SEARCH(Assumptions!$C$7,F3024)),Assumptions!$D$7,"Other Services"))),"Other Services"))</f>
        <v/>
      </c>
    </row>
    <row r="3025" customFormat="false" ht="15" hidden="false" customHeight="false" outlineLevel="0" collapsed="false">
      <c r="I3025" s="41" t="str">
        <f aca="false">IF(F3025="","",IFERROR(IF(ISNUMBER(SEARCH(Assumptions!$C$5,F3025)),Assumptions!$D$5,IF(ISNUMBER(SEARCH(Assumptions!$C$6,F3025)),Assumptions!$D$6,IF(ISNUMBER(SEARCH(Assumptions!$C$7,F3025)),Assumptions!$D$7,"Other Services"))),"Other Services"))</f>
        <v/>
      </c>
    </row>
    <row r="3026" customFormat="false" ht="15" hidden="false" customHeight="false" outlineLevel="0" collapsed="false">
      <c r="I3026" s="41" t="str">
        <f aca="false">IF(F3026="","",IFERROR(IF(ISNUMBER(SEARCH(Assumptions!$C$5,F3026)),Assumptions!$D$5,IF(ISNUMBER(SEARCH(Assumptions!$C$6,F3026)),Assumptions!$D$6,IF(ISNUMBER(SEARCH(Assumptions!$C$7,F3026)),Assumptions!$D$7,"Other Services"))),"Other Services"))</f>
        <v/>
      </c>
    </row>
    <row r="3027" customFormat="false" ht="15" hidden="false" customHeight="false" outlineLevel="0" collapsed="false">
      <c r="I3027" s="41" t="str">
        <f aca="false">IF(F3027="","",IFERROR(IF(ISNUMBER(SEARCH(Assumptions!$C$5,F3027)),Assumptions!$D$5,IF(ISNUMBER(SEARCH(Assumptions!$C$6,F3027)),Assumptions!$D$6,IF(ISNUMBER(SEARCH(Assumptions!$C$7,F3027)),Assumptions!$D$7,"Other Services"))),"Other Services"))</f>
        <v/>
      </c>
    </row>
    <row r="3028" customFormat="false" ht="15" hidden="false" customHeight="false" outlineLevel="0" collapsed="false">
      <c r="I3028" s="41" t="str">
        <f aca="false">IF(F3028="","",IFERROR(IF(ISNUMBER(SEARCH(Assumptions!$C$5,F3028)),Assumptions!$D$5,IF(ISNUMBER(SEARCH(Assumptions!$C$6,F3028)),Assumptions!$D$6,IF(ISNUMBER(SEARCH(Assumptions!$C$7,F3028)),Assumptions!$D$7,"Other Services"))),"Other Services"))</f>
        <v/>
      </c>
    </row>
    <row r="3029" customFormat="false" ht="15" hidden="false" customHeight="false" outlineLevel="0" collapsed="false">
      <c r="I3029" s="41" t="str">
        <f aca="false">IF(F3029="","",IFERROR(IF(ISNUMBER(SEARCH(Assumptions!$C$5,F3029)),Assumptions!$D$5,IF(ISNUMBER(SEARCH(Assumptions!$C$6,F3029)),Assumptions!$D$6,IF(ISNUMBER(SEARCH(Assumptions!$C$7,F3029)),Assumptions!$D$7,"Other Services"))),"Other Services"))</f>
        <v/>
      </c>
    </row>
    <row r="3030" customFormat="false" ht="15" hidden="false" customHeight="false" outlineLevel="0" collapsed="false">
      <c r="I3030" s="41" t="str">
        <f aca="false">IF(F3030="","",IFERROR(IF(ISNUMBER(SEARCH(Assumptions!$C$5,F3030)),Assumptions!$D$5,IF(ISNUMBER(SEARCH(Assumptions!$C$6,F3030)),Assumptions!$D$6,IF(ISNUMBER(SEARCH(Assumptions!$C$7,F3030)),Assumptions!$D$7,"Other Services"))),"Other Services"))</f>
        <v/>
      </c>
    </row>
    <row r="3031" customFormat="false" ht="15" hidden="false" customHeight="false" outlineLevel="0" collapsed="false">
      <c r="I3031" s="41" t="str">
        <f aca="false">IF(F3031="","",IFERROR(IF(ISNUMBER(SEARCH(Assumptions!$C$5,F3031)),Assumptions!$D$5,IF(ISNUMBER(SEARCH(Assumptions!$C$6,F3031)),Assumptions!$D$6,IF(ISNUMBER(SEARCH(Assumptions!$C$7,F3031)),Assumptions!$D$7,"Other Services"))),"Other Services"))</f>
        <v/>
      </c>
    </row>
    <row r="3032" customFormat="false" ht="15" hidden="false" customHeight="false" outlineLevel="0" collapsed="false">
      <c r="I3032" s="41" t="str">
        <f aca="false">IF(F3032="","",IFERROR(IF(ISNUMBER(SEARCH(Assumptions!$C$5,F3032)),Assumptions!$D$5,IF(ISNUMBER(SEARCH(Assumptions!$C$6,F3032)),Assumptions!$D$6,IF(ISNUMBER(SEARCH(Assumptions!$C$7,F3032)),Assumptions!$D$7,"Other Services"))),"Other Services"))</f>
        <v/>
      </c>
    </row>
    <row r="3033" customFormat="false" ht="15" hidden="false" customHeight="false" outlineLevel="0" collapsed="false">
      <c r="I3033" s="41" t="str">
        <f aca="false">IF(F3033="","",IFERROR(IF(ISNUMBER(SEARCH(Assumptions!$C$5,F3033)),Assumptions!$D$5,IF(ISNUMBER(SEARCH(Assumptions!$C$6,F3033)),Assumptions!$D$6,IF(ISNUMBER(SEARCH(Assumptions!$C$7,F3033)),Assumptions!$D$7,"Other Services"))),"Other Services"))</f>
        <v/>
      </c>
    </row>
    <row r="3034" customFormat="false" ht="15" hidden="false" customHeight="false" outlineLevel="0" collapsed="false">
      <c r="I3034" s="41" t="str">
        <f aca="false">IF(F3034="","",IFERROR(IF(ISNUMBER(SEARCH(Assumptions!$C$5,F3034)),Assumptions!$D$5,IF(ISNUMBER(SEARCH(Assumptions!$C$6,F3034)),Assumptions!$D$6,IF(ISNUMBER(SEARCH(Assumptions!$C$7,F3034)),Assumptions!$D$7,"Other Services"))),"Other Services"))</f>
        <v/>
      </c>
    </row>
    <row r="3035" customFormat="false" ht="15" hidden="false" customHeight="false" outlineLevel="0" collapsed="false">
      <c r="I3035" s="41" t="str">
        <f aca="false">IF(F3035="","",IFERROR(IF(ISNUMBER(SEARCH(Assumptions!$C$5,F3035)),Assumptions!$D$5,IF(ISNUMBER(SEARCH(Assumptions!$C$6,F3035)),Assumptions!$D$6,IF(ISNUMBER(SEARCH(Assumptions!$C$7,F3035)),Assumptions!$D$7,"Other Services"))),"Other Services"))</f>
        <v/>
      </c>
    </row>
    <row r="3036" customFormat="false" ht="15" hidden="false" customHeight="false" outlineLevel="0" collapsed="false">
      <c r="I3036" s="41" t="str">
        <f aca="false">IF(F3036="","",IFERROR(IF(ISNUMBER(SEARCH(Assumptions!$C$5,F3036)),Assumptions!$D$5,IF(ISNUMBER(SEARCH(Assumptions!$C$6,F3036)),Assumptions!$D$6,IF(ISNUMBER(SEARCH(Assumptions!$C$7,F3036)),Assumptions!$D$7,"Other Services"))),"Other Services"))</f>
        <v/>
      </c>
    </row>
    <row r="3037" customFormat="false" ht="15" hidden="false" customHeight="false" outlineLevel="0" collapsed="false">
      <c r="I3037" s="41" t="str">
        <f aca="false">IF(F3037="","",IFERROR(IF(ISNUMBER(SEARCH(Assumptions!$C$5,F3037)),Assumptions!$D$5,IF(ISNUMBER(SEARCH(Assumptions!$C$6,F3037)),Assumptions!$D$6,IF(ISNUMBER(SEARCH(Assumptions!$C$7,F3037)),Assumptions!$D$7,"Other Services"))),"Other Services"))</f>
        <v/>
      </c>
    </row>
    <row r="3038" customFormat="false" ht="15" hidden="false" customHeight="false" outlineLevel="0" collapsed="false">
      <c r="I3038" s="41" t="str">
        <f aca="false">IF(F3038="","",IFERROR(IF(ISNUMBER(SEARCH(Assumptions!$C$5,F3038)),Assumptions!$D$5,IF(ISNUMBER(SEARCH(Assumptions!$C$6,F3038)),Assumptions!$D$6,IF(ISNUMBER(SEARCH(Assumptions!$C$7,F3038)),Assumptions!$D$7,"Other Services"))),"Other Services"))</f>
        <v/>
      </c>
    </row>
    <row r="3039" customFormat="false" ht="15" hidden="false" customHeight="false" outlineLevel="0" collapsed="false">
      <c r="I3039" s="41" t="str">
        <f aca="false">IF(F3039="","",IFERROR(IF(ISNUMBER(SEARCH(Assumptions!$C$5,F3039)),Assumptions!$D$5,IF(ISNUMBER(SEARCH(Assumptions!$C$6,F3039)),Assumptions!$D$6,IF(ISNUMBER(SEARCH(Assumptions!$C$7,F3039)),Assumptions!$D$7,"Other Services"))),"Other Services"))</f>
        <v/>
      </c>
    </row>
    <row r="3040" customFormat="false" ht="15" hidden="false" customHeight="false" outlineLevel="0" collapsed="false">
      <c r="I3040" s="41" t="str">
        <f aca="false">IF(F3040="","",IFERROR(IF(ISNUMBER(SEARCH(Assumptions!$C$5,F3040)),Assumptions!$D$5,IF(ISNUMBER(SEARCH(Assumptions!$C$6,F3040)),Assumptions!$D$6,IF(ISNUMBER(SEARCH(Assumptions!$C$7,F3040)),Assumptions!$D$7,"Other Services"))),"Other Services"))</f>
        <v/>
      </c>
    </row>
    <row r="3041" customFormat="false" ht="15" hidden="false" customHeight="false" outlineLevel="0" collapsed="false">
      <c r="I3041" s="41" t="str">
        <f aca="false">IF(F3041="","",IFERROR(IF(ISNUMBER(SEARCH(Assumptions!$C$5,F3041)),Assumptions!$D$5,IF(ISNUMBER(SEARCH(Assumptions!$C$6,F3041)),Assumptions!$D$6,IF(ISNUMBER(SEARCH(Assumptions!$C$7,F3041)),Assumptions!$D$7,"Other Services"))),"Other Services"))</f>
        <v/>
      </c>
    </row>
    <row r="3042" customFormat="false" ht="15" hidden="false" customHeight="false" outlineLevel="0" collapsed="false">
      <c r="I3042" s="41" t="str">
        <f aca="false">IF(F3042="","",IFERROR(IF(ISNUMBER(SEARCH(Assumptions!$C$5,F3042)),Assumptions!$D$5,IF(ISNUMBER(SEARCH(Assumptions!$C$6,F3042)),Assumptions!$D$6,IF(ISNUMBER(SEARCH(Assumptions!$C$7,F3042)),Assumptions!$D$7,"Other Services"))),"Other Services"))</f>
        <v/>
      </c>
    </row>
    <row r="3043" customFormat="false" ht="15" hidden="false" customHeight="false" outlineLevel="0" collapsed="false">
      <c r="I3043" s="41" t="str">
        <f aca="false">IF(F3043="","",IFERROR(IF(ISNUMBER(SEARCH(Assumptions!$C$5,F3043)),Assumptions!$D$5,IF(ISNUMBER(SEARCH(Assumptions!$C$6,F3043)),Assumptions!$D$6,IF(ISNUMBER(SEARCH(Assumptions!$C$7,F3043)),Assumptions!$D$7,"Other Services"))),"Other Services"))</f>
        <v/>
      </c>
    </row>
    <row r="3044" customFormat="false" ht="15" hidden="false" customHeight="false" outlineLevel="0" collapsed="false">
      <c r="I3044" s="41" t="str">
        <f aca="false">IF(F3044="","",IFERROR(IF(ISNUMBER(SEARCH(Assumptions!$C$5,F3044)),Assumptions!$D$5,IF(ISNUMBER(SEARCH(Assumptions!$C$6,F3044)),Assumptions!$D$6,IF(ISNUMBER(SEARCH(Assumptions!$C$7,F3044)),Assumptions!$D$7,"Other Services"))),"Other Services"))</f>
        <v/>
      </c>
    </row>
    <row r="3045" customFormat="false" ht="15" hidden="false" customHeight="false" outlineLevel="0" collapsed="false">
      <c r="I3045" s="41" t="str">
        <f aca="false">IF(F3045="","",IFERROR(IF(ISNUMBER(SEARCH(Assumptions!$C$5,F3045)),Assumptions!$D$5,IF(ISNUMBER(SEARCH(Assumptions!$C$6,F3045)),Assumptions!$D$6,IF(ISNUMBER(SEARCH(Assumptions!$C$7,F3045)),Assumptions!$D$7,"Other Services"))),"Other Services"))</f>
        <v/>
      </c>
    </row>
    <row r="3046" customFormat="false" ht="15" hidden="false" customHeight="false" outlineLevel="0" collapsed="false">
      <c r="I3046" s="41" t="str">
        <f aca="false">IF(F3046="","",IFERROR(IF(ISNUMBER(SEARCH(Assumptions!$C$5,F3046)),Assumptions!$D$5,IF(ISNUMBER(SEARCH(Assumptions!$C$6,F3046)),Assumptions!$D$6,IF(ISNUMBER(SEARCH(Assumptions!$C$7,F3046)),Assumptions!$D$7,"Other Services"))),"Other Services"))</f>
        <v/>
      </c>
    </row>
    <row r="3047" customFormat="false" ht="15" hidden="false" customHeight="false" outlineLevel="0" collapsed="false">
      <c r="I3047" s="41" t="str">
        <f aca="false">IF(F3047="","",IFERROR(IF(ISNUMBER(SEARCH(Assumptions!$C$5,F3047)),Assumptions!$D$5,IF(ISNUMBER(SEARCH(Assumptions!$C$6,F3047)),Assumptions!$D$6,IF(ISNUMBER(SEARCH(Assumptions!$C$7,F3047)),Assumptions!$D$7,"Other Services"))),"Other Services"))</f>
        <v/>
      </c>
    </row>
    <row r="3048" customFormat="false" ht="15" hidden="false" customHeight="false" outlineLevel="0" collapsed="false">
      <c r="I3048" s="41" t="str">
        <f aca="false">IF(F3048="","",IFERROR(IF(ISNUMBER(SEARCH(Assumptions!$C$5,F3048)),Assumptions!$D$5,IF(ISNUMBER(SEARCH(Assumptions!$C$6,F3048)),Assumptions!$D$6,IF(ISNUMBER(SEARCH(Assumptions!$C$7,F3048)),Assumptions!$D$7,"Other Services"))),"Other Services"))</f>
        <v/>
      </c>
    </row>
    <row r="3049" customFormat="false" ht="15" hidden="false" customHeight="false" outlineLevel="0" collapsed="false">
      <c r="I3049" s="41" t="str">
        <f aca="false">IF(F3049="","",IFERROR(IF(ISNUMBER(SEARCH(Assumptions!$C$5,F3049)),Assumptions!$D$5,IF(ISNUMBER(SEARCH(Assumptions!$C$6,F3049)),Assumptions!$D$6,IF(ISNUMBER(SEARCH(Assumptions!$C$7,F3049)),Assumptions!$D$7,"Other Services"))),"Other Services"))</f>
        <v/>
      </c>
    </row>
    <row r="3050" customFormat="false" ht="15" hidden="false" customHeight="false" outlineLevel="0" collapsed="false">
      <c r="I3050" s="41" t="str">
        <f aca="false">IF(F3050="","",IFERROR(IF(ISNUMBER(SEARCH(Assumptions!$C$5,F3050)),Assumptions!$D$5,IF(ISNUMBER(SEARCH(Assumptions!$C$6,F3050)),Assumptions!$D$6,IF(ISNUMBER(SEARCH(Assumptions!$C$7,F3050)),Assumptions!$D$7,"Other Services"))),"Other Services"))</f>
        <v/>
      </c>
    </row>
    <row r="3051" customFormat="false" ht="15" hidden="false" customHeight="false" outlineLevel="0" collapsed="false">
      <c r="I3051" s="41" t="str">
        <f aca="false">IF(F3051="","",IFERROR(IF(ISNUMBER(SEARCH(Assumptions!$C$5,F3051)),Assumptions!$D$5,IF(ISNUMBER(SEARCH(Assumptions!$C$6,F3051)),Assumptions!$D$6,IF(ISNUMBER(SEARCH(Assumptions!$C$7,F3051)),Assumptions!$D$7,"Other Services"))),"Other Services"))</f>
        <v/>
      </c>
    </row>
    <row r="3052" customFormat="false" ht="15" hidden="false" customHeight="false" outlineLevel="0" collapsed="false">
      <c r="I3052" s="41" t="str">
        <f aca="false">IF(F3052="","",IFERROR(IF(ISNUMBER(SEARCH(Assumptions!$C$5,F3052)),Assumptions!$D$5,IF(ISNUMBER(SEARCH(Assumptions!$C$6,F3052)),Assumptions!$D$6,IF(ISNUMBER(SEARCH(Assumptions!$C$7,F3052)),Assumptions!$D$7,"Other Services"))),"Other Services"))</f>
        <v/>
      </c>
    </row>
    <row r="3053" customFormat="false" ht="15" hidden="false" customHeight="false" outlineLevel="0" collapsed="false">
      <c r="I3053" s="41" t="str">
        <f aca="false">IF(F3053="","",IFERROR(IF(ISNUMBER(SEARCH(Assumptions!$C$5,F3053)),Assumptions!$D$5,IF(ISNUMBER(SEARCH(Assumptions!$C$6,F3053)),Assumptions!$D$6,IF(ISNUMBER(SEARCH(Assumptions!$C$7,F3053)),Assumptions!$D$7,"Other Services"))),"Other Services"))</f>
        <v/>
      </c>
    </row>
    <row r="3054" customFormat="false" ht="15" hidden="false" customHeight="false" outlineLevel="0" collapsed="false">
      <c r="I3054" s="41" t="str">
        <f aca="false">IF(F3054="","",IFERROR(IF(ISNUMBER(SEARCH(Assumptions!$C$5,F3054)),Assumptions!$D$5,IF(ISNUMBER(SEARCH(Assumptions!$C$6,F3054)),Assumptions!$D$6,IF(ISNUMBER(SEARCH(Assumptions!$C$7,F3054)),Assumptions!$D$7,"Other Services"))),"Other Services"))</f>
        <v/>
      </c>
    </row>
    <row r="3055" customFormat="false" ht="15" hidden="false" customHeight="false" outlineLevel="0" collapsed="false">
      <c r="I3055" s="41" t="str">
        <f aca="false">IF(F3055="","",IFERROR(IF(ISNUMBER(SEARCH(Assumptions!$C$5,F3055)),Assumptions!$D$5,IF(ISNUMBER(SEARCH(Assumptions!$C$6,F3055)),Assumptions!$D$6,IF(ISNUMBER(SEARCH(Assumptions!$C$7,F3055)),Assumptions!$D$7,"Other Services"))),"Other Services"))</f>
        <v/>
      </c>
    </row>
    <row r="3056" customFormat="false" ht="15" hidden="false" customHeight="false" outlineLevel="0" collapsed="false">
      <c r="I3056" s="41" t="str">
        <f aca="false">IF(F3056="","",IFERROR(IF(ISNUMBER(SEARCH(Assumptions!$C$5,F3056)),Assumptions!$D$5,IF(ISNUMBER(SEARCH(Assumptions!$C$6,F3056)),Assumptions!$D$6,IF(ISNUMBER(SEARCH(Assumptions!$C$7,F3056)),Assumptions!$D$7,"Other Services"))),"Other Services"))</f>
        <v/>
      </c>
    </row>
    <row r="3057" customFormat="false" ht="15" hidden="false" customHeight="false" outlineLevel="0" collapsed="false">
      <c r="I3057" s="41" t="str">
        <f aca="false">IF(F3057="","",IFERROR(IF(ISNUMBER(SEARCH(Assumptions!$C$5,F3057)),Assumptions!$D$5,IF(ISNUMBER(SEARCH(Assumptions!$C$6,F3057)),Assumptions!$D$6,IF(ISNUMBER(SEARCH(Assumptions!$C$7,F3057)),Assumptions!$D$7,"Other Services"))),"Other Services"))</f>
        <v/>
      </c>
    </row>
    <row r="3058" customFormat="false" ht="15" hidden="false" customHeight="false" outlineLevel="0" collapsed="false">
      <c r="I3058" s="41" t="str">
        <f aca="false">IF(F3058="","",IFERROR(IF(ISNUMBER(SEARCH(Assumptions!$C$5,F3058)),Assumptions!$D$5,IF(ISNUMBER(SEARCH(Assumptions!$C$6,F3058)),Assumptions!$D$6,IF(ISNUMBER(SEARCH(Assumptions!$C$7,F3058)),Assumptions!$D$7,"Other Services"))),"Other Services"))</f>
        <v/>
      </c>
    </row>
    <row r="3059" customFormat="false" ht="15" hidden="false" customHeight="false" outlineLevel="0" collapsed="false">
      <c r="I3059" s="41" t="str">
        <f aca="false">IF(F3059="","",IFERROR(IF(ISNUMBER(SEARCH(Assumptions!$C$5,F3059)),Assumptions!$D$5,IF(ISNUMBER(SEARCH(Assumptions!$C$6,F3059)),Assumptions!$D$6,IF(ISNUMBER(SEARCH(Assumptions!$C$7,F3059)),Assumptions!$D$7,"Other Services"))),"Other Services"))</f>
        <v/>
      </c>
    </row>
    <row r="3060" customFormat="false" ht="15" hidden="false" customHeight="false" outlineLevel="0" collapsed="false">
      <c r="I3060" s="41" t="str">
        <f aca="false">IF(F3060="","",IFERROR(IF(ISNUMBER(SEARCH(Assumptions!$C$5,F3060)),Assumptions!$D$5,IF(ISNUMBER(SEARCH(Assumptions!$C$6,F3060)),Assumptions!$D$6,IF(ISNUMBER(SEARCH(Assumptions!$C$7,F3060)),Assumptions!$D$7,"Other Services"))),"Other Services"))</f>
        <v/>
      </c>
    </row>
    <row r="3061" customFormat="false" ht="15" hidden="false" customHeight="false" outlineLevel="0" collapsed="false">
      <c r="I3061" s="41" t="str">
        <f aca="false">IF(F3061="","",IFERROR(IF(ISNUMBER(SEARCH(Assumptions!$C$5,F3061)),Assumptions!$D$5,IF(ISNUMBER(SEARCH(Assumptions!$C$6,F3061)),Assumptions!$D$6,IF(ISNUMBER(SEARCH(Assumptions!$C$7,F3061)),Assumptions!$D$7,"Other Services"))),"Other Services"))</f>
        <v/>
      </c>
    </row>
    <row r="3062" customFormat="false" ht="15" hidden="false" customHeight="false" outlineLevel="0" collapsed="false">
      <c r="I3062" s="41" t="str">
        <f aca="false">IF(F3062="","",IFERROR(IF(ISNUMBER(SEARCH(Assumptions!$C$5,F3062)),Assumptions!$D$5,IF(ISNUMBER(SEARCH(Assumptions!$C$6,F3062)),Assumptions!$D$6,IF(ISNUMBER(SEARCH(Assumptions!$C$7,F3062)),Assumptions!$D$7,"Other Services"))),"Other Services"))</f>
        <v/>
      </c>
    </row>
    <row r="3063" customFormat="false" ht="15" hidden="false" customHeight="false" outlineLevel="0" collapsed="false">
      <c r="I3063" s="41" t="str">
        <f aca="false">IF(F3063="","",IFERROR(IF(ISNUMBER(SEARCH(Assumptions!$C$5,F3063)),Assumptions!$D$5,IF(ISNUMBER(SEARCH(Assumptions!$C$6,F3063)),Assumptions!$D$6,IF(ISNUMBER(SEARCH(Assumptions!$C$7,F3063)),Assumptions!$D$7,"Other Services"))),"Other Services"))</f>
        <v/>
      </c>
    </row>
    <row r="3064" customFormat="false" ht="15" hidden="false" customHeight="false" outlineLevel="0" collapsed="false">
      <c r="I3064" s="41" t="str">
        <f aca="false">IF(F3064="","",IFERROR(IF(ISNUMBER(SEARCH(Assumptions!$C$5,F3064)),Assumptions!$D$5,IF(ISNUMBER(SEARCH(Assumptions!$C$6,F3064)),Assumptions!$D$6,IF(ISNUMBER(SEARCH(Assumptions!$C$7,F3064)),Assumptions!$D$7,"Other Services"))),"Other Services"))</f>
        <v/>
      </c>
    </row>
    <row r="3065" customFormat="false" ht="15" hidden="false" customHeight="false" outlineLevel="0" collapsed="false">
      <c r="I3065" s="41" t="str">
        <f aca="false">IF(F3065="","",IFERROR(IF(ISNUMBER(SEARCH(Assumptions!$C$5,F3065)),Assumptions!$D$5,IF(ISNUMBER(SEARCH(Assumptions!$C$6,F3065)),Assumptions!$D$6,IF(ISNUMBER(SEARCH(Assumptions!$C$7,F3065)),Assumptions!$D$7,"Other Services"))),"Other Services"))</f>
        <v/>
      </c>
    </row>
    <row r="3066" customFormat="false" ht="15" hidden="false" customHeight="false" outlineLevel="0" collapsed="false">
      <c r="I3066" s="41" t="str">
        <f aca="false">IF(F3066="","",IFERROR(IF(ISNUMBER(SEARCH(Assumptions!$C$5,F3066)),Assumptions!$D$5,IF(ISNUMBER(SEARCH(Assumptions!$C$6,F3066)),Assumptions!$D$6,IF(ISNUMBER(SEARCH(Assumptions!$C$7,F3066)),Assumptions!$D$7,"Other Services"))),"Other Services"))</f>
        <v/>
      </c>
    </row>
    <row r="3067" customFormat="false" ht="15" hidden="false" customHeight="false" outlineLevel="0" collapsed="false">
      <c r="I3067" s="41" t="str">
        <f aca="false">IF(F3067="","",IFERROR(IF(ISNUMBER(SEARCH(Assumptions!$C$5,F3067)),Assumptions!$D$5,IF(ISNUMBER(SEARCH(Assumptions!$C$6,F3067)),Assumptions!$D$6,IF(ISNUMBER(SEARCH(Assumptions!$C$7,F3067)),Assumptions!$D$7,"Other Services"))),"Other Services"))</f>
        <v/>
      </c>
    </row>
    <row r="3068" customFormat="false" ht="15" hidden="false" customHeight="false" outlineLevel="0" collapsed="false">
      <c r="I3068" s="41" t="str">
        <f aca="false">IF(F3068="","",IFERROR(IF(ISNUMBER(SEARCH(Assumptions!$C$5,F3068)),Assumptions!$D$5,IF(ISNUMBER(SEARCH(Assumptions!$C$6,F3068)),Assumptions!$D$6,IF(ISNUMBER(SEARCH(Assumptions!$C$7,F3068)),Assumptions!$D$7,"Other Services"))),"Other Services"))</f>
        <v/>
      </c>
    </row>
    <row r="3069" customFormat="false" ht="15" hidden="false" customHeight="false" outlineLevel="0" collapsed="false">
      <c r="I3069" s="41" t="str">
        <f aca="false">IF(F3069="","",IFERROR(IF(ISNUMBER(SEARCH(Assumptions!$C$5,F3069)),Assumptions!$D$5,IF(ISNUMBER(SEARCH(Assumptions!$C$6,F3069)),Assumptions!$D$6,IF(ISNUMBER(SEARCH(Assumptions!$C$7,F3069)),Assumptions!$D$7,"Other Services"))),"Other Services"))</f>
        <v/>
      </c>
    </row>
    <row r="3070" customFormat="false" ht="15" hidden="false" customHeight="false" outlineLevel="0" collapsed="false">
      <c r="I3070" s="41" t="str">
        <f aca="false">IF(F3070="","",IFERROR(IF(ISNUMBER(SEARCH(Assumptions!$C$5,F3070)),Assumptions!$D$5,IF(ISNUMBER(SEARCH(Assumptions!$C$6,F3070)),Assumptions!$D$6,IF(ISNUMBER(SEARCH(Assumptions!$C$7,F3070)),Assumptions!$D$7,"Other Services"))),"Other Services"))</f>
        <v/>
      </c>
    </row>
    <row r="3071" customFormat="false" ht="15" hidden="false" customHeight="false" outlineLevel="0" collapsed="false">
      <c r="I3071" s="41" t="str">
        <f aca="false">IF(F3071="","",IFERROR(IF(ISNUMBER(SEARCH(Assumptions!$C$5,F3071)),Assumptions!$D$5,IF(ISNUMBER(SEARCH(Assumptions!$C$6,F3071)),Assumptions!$D$6,IF(ISNUMBER(SEARCH(Assumptions!$C$7,F3071)),Assumptions!$D$7,"Other Services"))),"Other Services"))</f>
        <v/>
      </c>
    </row>
    <row r="3072" customFormat="false" ht="15" hidden="false" customHeight="false" outlineLevel="0" collapsed="false">
      <c r="I3072" s="41" t="str">
        <f aca="false">IF(F3072="","",IFERROR(IF(ISNUMBER(SEARCH(Assumptions!$C$5,F3072)),Assumptions!$D$5,IF(ISNUMBER(SEARCH(Assumptions!$C$6,F3072)),Assumptions!$D$6,IF(ISNUMBER(SEARCH(Assumptions!$C$7,F3072)),Assumptions!$D$7,"Other Services"))),"Other Services"))</f>
        <v/>
      </c>
    </row>
    <row r="3073" customFormat="false" ht="15" hidden="false" customHeight="false" outlineLevel="0" collapsed="false">
      <c r="I3073" s="41" t="str">
        <f aca="false">IF(F3073="","",IFERROR(IF(ISNUMBER(SEARCH(Assumptions!$C$5,F3073)),Assumptions!$D$5,IF(ISNUMBER(SEARCH(Assumptions!$C$6,F3073)),Assumptions!$D$6,IF(ISNUMBER(SEARCH(Assumptions!$C$7,F3073)),Assumptions!$D$7,"Other Services"))),"Other Services"))</f>
        <v/>
      </c>
    </row>
    <row r="3074" customFormat="false" ht="15" hidden="false" customHeight="false" outlineLevel="0" collapsed="false">
      <c r="I3074" s="41" t="str">
        <f aca="false">IF(F3074="","",IFERROR(IF(ISNUMBER(SEARCH(Assumptions!$C$5,F3074)),Assumptions!$D$5,IF(ISNUMBER(SEARCH(Assumptions!$C$6,F3074)),Assumptions!$D$6,IF(ISNUMBER(SEARCH(Assumptions!$C$7,F3074)),Assumptions!$D$7,"Other Services"))),"Other Services"))</f>
        <v/>
      </c>
    </row>
    <row r="3075" customFormat="false" ht="15" hidden="false" customHeight="false" outlineLevel="0" collapsed="false">
      <c r="I3075" s="41" t="str">
        <f aca="false">IF(F3075="","",IFERROR(IF(ISNUMBER(SEARCH(Assumptions!$C$5,F3075)),Assumptions!$D$5,IF(ISNUMBER(SEARCH(Assumptions!$C$6,F3075)),Assumptions!$D$6,IF(ISNUMBER(SEARCH(Assumptions!$C$7,F3075)),Assumptions!$D$7,"Other Services"))),"Other Services"))</f>
        <v/>
      </c>
    </row>
    <row r="3076" customFormat="false" ht="15" hidden="false" customHeight="false" outlineLevel="0" collapsed="false">
      <c r="I3076" s="41" t="str">
        <f aca="false">IF(F3076="","",IFERROR(IF(ISNUMBER(SEARCH(Assumptions!$C$5,F3076)),Assumptions!$D$5,IF(ISNUMBER(SEARCH(Assumptions!$C$6,F3076)),Assumptions!$D$6,IF(ISNUMBER(SEARCH(Assumptions!$C$7,F3076)),Assumptions!$D$7,"Other Services"))),"Other Services"))</f>
        <v/>
      </c>
    </row>
    <row r="3077" customFormat="false" ht="15" hidden="false" customHeight="false" outlineLevel="0" collapsed="false">
      <c r="I3077" s="41" t="str">
        <f aca="false">IF(F3077="","",IFERROR(IF(ISNUMBER(SEARCH(Assumptions!$C$5,F3077)),Assumptions!$D$5,IF(ISNUMBER(SEARCH(Assumptions!$C$6,F3077)),Assumptions!$D$6,IF(ISNUMBER(SEARCH(Assumptions!$C$7,F3077)),Assumptions!$D$7,"Other Services"))),"Other Services"))</f>
        <v/>
      </c>
    </row>
    <row r="3078" customFormat="false" ht="15" hidden="false" customHeight="false" outlineLevel="0" collapsed="false">
      <c r="I3078" s="41" t="str">
        <f aca="false">IF(F3078="","",IFERROR(IF(ISNUMBER(SEARCH(Assumptions!$C$5,F3078)),Assumptions!$D$5,IF(ISNUMBER(SEARCH(Assumptions!$C$6,F3078)),Assumptions!$D$6,IF(ISNUMBER(SEARCH(Assumptions!$C$7,F3078)),Assumptions!$D$7,"Other Services"))),"Other Services"))</f>
        <v/>
      </c>
    </row>
    <row r="3079" customFormat="false" ht="15" hidden="false" customHeight="false" outlineLevel="0" collapsed="false">
      <c r="I3079" s="41" t="str">
        <f aca="false">IF(F3079="","",IFERROR(IF(ISNUMBER(SEARCH(Assumptions!$C$5,F3079)),Assumptions!$D$5,IF(ISNUMBER(SEARCH(Assumptions!$C$6,F3079)),Assumptions!$D$6,IF(ISNUMBER(SEARCH(Assumptions!$C$7,F3079)),Assumptions!$D$7,"Other Services"))),"Other Services"))</f>
        <v/>
      </c>
    </row>
    <row r="3080" customFormat="false" ht="15" hidden="false" customHeight="false" outlineLevel="0" collapsed="false">
      <c r="I3080" s="41" t="str">
        <f aca="false">IF(F3080="","",IFERROR(IF(ISNUMBER(SEARCH(Assumptions!$C$5,F3080)),Assumptions!$D$5,IF(ISNUMBER(SEARCH(Assumptions!$C$6,F3080)),Assumptions!$D$6,IF(ISNUMBER(SEARCH(Assumptions!$C$7,F3080)),Assumptions!$D$7,"Other Services"))),"Other Services"))</f>
        <v/>
      </c>
    </row>
    <row r="3081" customFormat="false" ht="15" hidden="false" customHeight="false" outlineLevel="0" collapsed="false">
      <c r="I3081" s="41" t="str">
        <f aca="false">IF(F3081="","",IFERROR(IF(ISNUMBER(SEARCH(Assumptions!$C$5,F3081)),Assumptions!$D$5,IF(ISNUMBER(SEARCH(Assumptions!$C$6,F3081)),Assumptions!$D$6,IF(ISNUMBER(SEARCH(Assumptions!$C$7,F3081)),Assumptions!$D$7,"Other Services"))),"Other Services"))</f>
        <v/>
      </c>
    </row>
    <row r="3082" customFormat="false" ht="15" hidden="false" customHeight="false" outlineLevel="0" collapsed="false">
      <c r="I3082" s="41" t="str">
        <f aca="false">IF(F3082="","",IFERROR(IF(ISNUMBER(SEARCH(Assumptions!$C$5,F3082)),Assumptions!$D$5,IF(ISNUMBER(SEARCH(Assumptions!$C$6,F3082)),Assumptions!$D$6,IF(ISNUMBER(SEARCH(Assumptions!$C$7,F3082)),Assumptions!$D$7,"Other Services"))),"Other Services"))</f>
        <v/>
      </c>
    </row>
    <row r="3083" customFormat="false" ht="15" hidden="false" customHeight="false" outlineLevel="0" collapsed="false">
      <c r="I3083" s="41" t="str">
        <f aca="false">IF(F3083="","",IFERROR(IF(ISNUMBER(SEARCH(Assumptions!$C$5,F3083)),Assumptions!$D$5,IF(ISNUMBER(SEARCH(Assumptions!$C$6,F3083)),Assumptions!$D$6,IF(ISNUMBER(SEARCH(Assumptions!$C$7,F3083)),Assumptions!$D$7,"Other Services"))),"Other Services"))</f>
        <v/>
      </c>
    </row>
    <row r="3084" customFormat="false" ht="15" hidden="false" customHeight="false" outlineLevel="0" collapsed="false">
      <c r="I3084" s="41" t="str">
        <f aca="false">IF(F3084="","",IFERROR(IF(ISNUMBER(SEARCH(Assumptions!$C$5,F3084)),Assumptions!$D$5,IF(ISNUMBER(SEARCH(Assumptions!$C$6,F3084)),Assumptions!$D$6,IF(ISNUMBER(SEARCH(Assumptions!$C$7,F3084)),Assumptions!$D$7,"Other Services"))),"Other Services"))</f>
        <v/>
      </c>
    </row>
    <row r="3085" customFormat="false" ht="15" hidden="false" customHeight="false" outlineLevel="0" collapsed="false">
      <c r="I3085" s="41" t="str">
        <f aca="false">IF(F3085="","",IFERROR(IF(ISNUMBER(SEARCH(Assumptions!$C$5,F3085)),Assumptions!$D$5,IF(ISNUMBER(SEARCH(Assumptions!$C$6,F3085)),Assumptions!$D$6,IF(ISNUMBER(SEARCH(Assumptions!$C$7,F3085)),Assumptions!$D$7,"Other Services"))),"Other Services"))</f>
        <v/>
      </c>
    </row>
    <row r="3086" customFormat="false" ht="15" hidden="false" customHeight="false" outlineLevel="0" collapsed="false">
      <c r="I3086" s="41" t="str">
        <f aca="false">IF(F3086="","",IFERROR(IF(ISNUMBER(SEARCH(Assumptions!$C$5,F3086)),Assumptions!$D$5,IF(ISNUMBER(SEARCH(Assumptions!$C$6,F3086)),Assumptions!$D$6,IF(ISNUMBER(SEARCH(Assumptions!$C$7,F3086)),Assumptions!$D$7,"Other Services"))),"Other Services"))</f>
        <v/>
      </c>
    </row>
    <row r="3087" customFormat="false" ht="15" hidden="false" customHeight="false" outlineLevel="0" collapsed="false">
      <c r="I3087" s="41" t="str">
        <f aca="false">IF(F3087="","",IFERROR(IF(ISNUMBER(SEARCH(Assumptions!$C$5,F3087)),Assumptions!$D$5,IF(ISNUMBER(SEARCH(Assumptions!$C$6,F3087)),Assumptions!$D$6,IF(ISNUMBER(SEARCH(Assumptions!$C$7,F3087)),Assumptions!$D$7,"Other Services"))),"Other Services"))</f>
        <v/>
      </c>
    </row>
    <row r="3088" customFormat="false" ht="15" hidden="false" customHeight="false" outlineLevel="0" collapsed="false">
      <c r="I3088" s="41" t="str">
        <f aca="false">IF(F3088="","",IFERROR(IF(ISNUMBER(SEARCH(Assumptions!$C$5,F3088)),Assumptions!$D$5,IF(ISNUMBER(SEARCH(Assumptions!$C$6,F3088)),Assumptions!$D$6,IF(ISNUMBER(SEARCH(Assumptions!$C$7,F3088)),Assumptions!$D$7,"Other Services"))),"Other Services"))</f>
        <v/>
      </c>
    </row>
    <row r="3089" customFormat="false" ht="15" hidden="false" customHeight="false" outlineLevel="0" collapsed="false">
      <c r="I3089" s="41" t="str">
        <f aca="false">IF(F3089="","",IFERROR(IF(ISNUMBER(SEARCH(Assumptions!$C$5,F3089)),Assumptions!$D$5,IF(ISNUMBER(SEARCH(Assumptions!$C$6,F3089)),Assumptions!$D$6,IF(ISNUMBER(SEARCH(Assumptions!$C$7,F3089)),Assumptions!$D$7,"Other Services"))),"Other Services"))</f>
        <v/>
      </c>
    </row>
    <row r="3090" customFormat="false" ht="15" hidden="false" customHeight="false" outlineLevel="0" collapsed="false">
      <c r="I3090" s="41" t="str">
        <f aca="false">IF(F3090="","",IFERROR(IF(ISNUMBER(SEARCH(Assumptions!$C$5,F3090)),Assumptions!$D$5,IF(ISNUMBER(SEARCH(Assumptions!$C$6,F3090)),Assumptions!$D$6,IF(ISNUMBER(SEARCH(Assumptions!$C$7,F3090)),Assumptions!$D$7,"Other Services"))),"Other Services"))</f>
        <v/>
      </c>
    </row>
    <row r="3091" customFormat="false" ht="15" hidden="false" customHeight="false" outlineLevel="0" collapsed="false">
      <c r="I3091" s="41" t="str">
        <f aca="false">IF(F3091="","",IFERROR(IF(ISNUMBER(SEARCH(Assumptions!$C$5,F3091)),Assumptions!$D$5,IF(ISNUMBER(SEARCH(Assumptions!$C$6,F3091)),Assumptions!$D$6,IF(ISNUMBER(SEARCH(Assumptions!$C$7,F3091)),Assumptions!$D$7,"Other Services"))),"Other Services"))</f>
        <v/>
      </c>
    </row>
    <row r="3092" customFormat="false" ht="15" hidden="false" customHeight="false" outlineLevel="0" collapsed="false">
      <c r="I3092" s="41" t="str">
        <f aca="false">IF(F3092="","",IFERROR(IF(ISNUMBER(SEARCH(Assumptions!$C$5,F3092)),Assumptions!$D$5,IF(ISNUMBER(SEARCH(Assumptions!$C$6,F3092)),Assumptions!$D$6,IF(ISNUMBER(SEARCH(Assumptions!$C$7,F3092)),Assumptions!$D$7,"Other Services"))),"Other Services"))</f>
        <v/>
      </c>
    </row>
    <row r="3093" customFormat="false" ht="15" hidden="false" customHeight="false" outlineLevel="0" collapsed="false">
      <c r="I3093" s="41" t="str">
        <f aca="false">IF(F3093="","",IFERROR(IF(ISNUMBER(SEARCH(Assumptions!$C$5,F3093)),Assumptions!$D$5,IF(ISNUMBER(SEARCH(Assumptions!$C$6,F3093)),Assumptions!$D$6,IF(ISNUMBER(SEARCH(Assumptions!$C$7,F3093)),Assumptions!$D$7,"Other Services"))),"Other Services"))</f>
        <v/>
      </c>
    </row>
    <row r="3094" customFormat="false" ht="15" hidden="false" customHeight="false" outlineLevel="0" collapsed="false">
      <c r="I3094" s="41" t="str">
        <f aca="false">IF(F3094="","",IFERROR(IF(ISNUMBER(SEARCH(Assumptions!$C$5,F3094)),Assumptions!$D$5,IF(ISNUMBER(SEARCH(Assumptions!$C$6,F3094)),Assumptions!$D$6,IF(ISNUMBER(SEARCH(Assumptions!$C$7,F3094)),Assumptions!$D$7,"Other Services"))),"Other Services"))</f>
        <v/>
      </c>
    </row>
    <row r="3095" customFormat="false" ht="15" hidden="false" customHeight="false" outlineLevel="0" collapsed="false">
      <c r="I3095" s="41" t="str">
        <f aca="false">IF(F3095="","",IFERROR(IF(ISNUMBER(SEARCH(Assumptions!$C$5,F3095)),Assumptions!$D$5,IF(ISNUMBER(SEARCH(Assumptions!$C$6,F3095)),Assumptions!$D$6,IF(ISNUMBER(SEARCH(Assumptions!$C$7,F3095)),Assumptions!$D$7,"Other Services"))),"Other Services"))</f>
        <v/>
      </c>
    </row>
    <row r="3096" customFormat="false" ht="15" hidden="false" customHeight="false" outlineLevel="0" collapsed="false">
      <c r="I3096" s="41" t="str">
        <f aca="false">IF(F3096="","",IFERROR(IF(ISNUMBER(SEARCH(Assumptions!$C$5,F3096)),Assumptions!$D$5,IF(ISNUMBER(SEARCH(Assumptions!$C$6,F3096)),Assumptions!$D$6,IF(ISNUMBER(SEARCH(Assumptions!$C$7,F3096)),Assumptions!$D$7,"Other Services"))),"Other Services"))</f>
        <v/>
      </c>
    </row>
    <row r="3097" customFormat="false" ht="15" hidden="false" customHeight="false" outlineLevel="0" collapsed="false">
      <c r="I3097" s="41" t="str">
        <f aca="false">IF(F3097="","",IFERROR(IF(ISNUMBER(SEARCH(Assumptions!$C$5,F3097)),Assumptions!$D$5,IF(ISNUMBER(SEARCH(Assumptions!$C$6,F3097)),Assumptions!$D$6,IF(ISNUMBER(SEARCH(Assumptions!$C$7,F3097)),Assumptions!$D$7,"Other Services"))),"Other Services"))</f>
        <v/>
      </c>
    </row>
    <row r="3098" customFormat="false" ht="15" hidden="false" customHeight="false" outlineLevel="0" collapsed="false">
      <c r="I3098" s="41" t="str">
        <f aca="false">IF(F3098="","",IFERROR(IF(ISNUMBER(SEARCH(Assumptions!$C$5,F3098)),Assumptions!$D$5,IF(ISNUMBER(SEARCH(Assumptions!$C$6,F3098)),Assumptions!$D$6,IF(ISNUMBER(SEARCH(Assumptions!$C$7,F3098)),Assumptions!$D$7,"Other Services"))),"Other Services"))</f>
        <v/>
      </c>
    </row>
    <row r="3099" customFormat="false" ht="15" hidden="false" customHeight="false" outlineLevel="0" collapsed="false">
      <c r="I3099" s="41" t="str">
        <f aca="false">IF(F3099="","",IFERROR(IF(ISNUMBER(SEARCH(Assumptions!$C$5,F3099)),Assumptions!$D$5,IF(ISNUMBER(SEARCH(Assumptions!$C$6,F3099)),Assumptions!$D$6,IF(ISNUMBER(SEARCH(Assumptions!$C$7,F3099)),Assumptions!$D$7,"Other Services"))),"Other Services"))</f>
        <v/>
      </c>
    </row>
    <row r="3100" customFormat="false" ht="15" hidden="false" customHeight="false" outlineLevel="0" collapsed="false">
      <c r="I3100" s="41" t="str">
        <f aca="false">IF(F3100="","",IFERROR(IF(ISNUMBER(SEARCH(Assumptions!$C$5,F3100)),Assumptions!$D$5,IF(ISNUMBER(SEARCH(Assumptions!$C$6,F3100)),Assumptions!$D$6,IF(ISNUMBER(SEARCH(Assumptions!$C$7,F3100)),Assumptions!$D$7,"Other Services"))),"Other Services"))</f>
        <v/>
      </c>
    </row>
    <row r="3101" customFormat="false" ht="15" hidden="false" customHeight="false" outlineLevel="0" collapsed="false">
      <c r="I3101" s="41" t="str">
        <f aca="false">IF(F3101="","",IFERROR(IF(ISNUMBER(SEARCH(Assumptions!$C$5,F3101)),Assumptions!$D$5,IF(ISNUMBER(SEARCH(Assumptions!$C$6,F3101)),Assumptions!$D$6,IF(ISNUMBER(SEARCH(Assumptions!$C$7,F3101)),Assumptions!$D$7,"Other Services"))),"Other Services"))</f>
        <v/>
      </c>
    </row>
    <row r="3102" customFormat="false" ht="15" hidden="false" customHeight="false" outlineLevel="0" collapsed="false">
      <c r="I3102" s="41" t="str">
        <f aca="false">IF(F3102="","",IFERROR(IF(ISNUMBER(SEARCH(Assumptions!$C$5,F3102)),Assumptions!$D$5,IF(ISNUMBER(SEARCH(Assumptions!$C$6,F3102)),Assumptions!$D$6,IF(ISNUMBER(SEARCH(Assumptions!$C$7,F3102)),Assumptions!$D$7,"Other Services"))),"Other Services"))</f>
        <v/>
      </c>
    </row>
    <row r="3103" customFormat="false" ht="15" hidden="false" customHeight="false" outlineLevel="0" collapsed="false">
      <c r="I3103" s="41" t="str">
        <f aca="false">IF(F3103="","",IFERROR(IF(ISNUMBER(SEARCH(Assumptions!$C$5,F3103)),Assumptions!$D$5,IF(ISNUMBER(SEARCH(Assumptions!$C$6,F3103)),Assumptions!$D$6,IF(ISNUMBER(SEARCH(Assumptions!$C$7,F3103)),Assumptions!$D$7,"Other Services"))),"Other Services"))</f>
        <v/>
      </c>
    </row>
    <row r="3104" customFormat="false" ht="15" hidden="false" customHeight="false" outlineLevel="0" collapsed="false">
      <c r="I3104" s="41" t="str">
        <f aca="false">IF(F3104="","",IFERROR(IF(ISNUMBER(SEARCH(Assumptions!$C$5,F3104)),Assumptions!$D$5,IF(ISNUMBER(SEARCH(Assumptions!$C$6,F3104)),Assumptions!$D$6,IF(ISNUMBER(SEARCH(Assumptions!$C$7,F3104)),Assumptions!$D$7,"Other Services"))),"Other Services"))</f>
        <v/>
      </c>
    </row>
    <row r="3105" customFormat="false" ht="15" hidden="false" customHeight="false" outlineLevel="0" collapsed="false">
      <c r="I3105" s="41" t="str">
        <f aca="false">IF(F3105="","",IFERROR(IF(ISNUMBER(SEARCH(Assumptions!$C$5,F3105)),Assumptions!$D$5,IF(ISNUMBER(SEARCH(Assumptions!$C$6,F3105)),Assumptions!$D$6,IF(ISNUMBER(SEARCH(Assumptions!$C$7,F3105)),Assumptions!$D$7,"Other Services"))),"Other Services"))</f>
        <v/>
      </c>
    </row>
    <row r="3106" customFormat="false" ht="15" hidden="false" customHeight="false" outlineLevel="0" collapsed="false">
      <c r="I3106" s="41" t="str">
        <f aca="false">IF(F3106="","",IFERROR(IF(ISNUMBER(SEARCH(Assumptions!$C$5,F3106)),Assumptions!$D$5,IF(ISNUMBER(SEARCH(Assumptions!$C$6,F3106)),Assumptions!$D$6,IF(ISNUMBER(SEARCH(Assumptions!$C$7,F3106)),Assumptions!$D$7,"Other Services"))),"Other Services"))</f>
        <v/>
      </c>
    </row>
    <row r="3107" customFormat="false" ht="15" hidden="false" customHeight="false" outlineLevel="0" collapsed="false">
      <c r="I3107" s="41" t="str">
        <f aca="false">IF(F3107="","",IFERROR(IF(ISNUMBER(SEARCH(Assumptions!$C$5,F3107)),Assumptions!$D$5,IF(ISNUMBER(SEARCH(Assumptions!$C$6,F3107)),Assumptions!$D$6,IF(ISNUMBER(SEARCH(Assumptions!$C$7,F3107)),Assumptions!$D$7,"Other Services"))),"Other Services"))</f>
        <v/>
      </c>
    </row>
    <row r="3108" customFormat="false" ht="15" hidden="false" customHeight="false" outlineLevel="0" collapsed="false">
      <c r="I3108" s="41" t="str">
        <f aca="false">IF(F3108="","",IFERROR(IF(ISNUMBER(SEARCH(Assumptions!$C$5,F3108)),Assumptions!$D$5,IF(ISNUMBER(SEARCH(Assumptions!$C$6,F3108)),Assumptions!$D$6,IF(ISNUMBER(SEARCH(Assumptions!$C$7,F3108)),Assumptions!$D$7,"Other Services"))),"Other Services"))</f>
        <v/>
      </c>
    </row>
    <row r="3109" customFormat="false" ht="15" hidden="false" customHeight="false" outlineLevel="0" collapsed="false">
      <c r="I3109" s="41" t="str">
        <f aca="false">IF(F3109="","",IFERROR(IF(ISNUMBER(SEARCH(Assumptions!$C$5,F3109)),Assumptions!$D$5,IF(ISNUMBER(SEARCH(Assumptions!$C$6,F3109)),Assumptions!$D$6,IF(ISNUMBER(SEARCH(Assumptions!$C$7,F3109)),Assumptions!$D$7,"Other Services"))),"Other Services"))</f>
        <v/>
      </c>
    </row>
    <row r="3110" customFormat="false" ht="15" hidden="false" customHeight="false" outlineLevel="0" collapsed="false">
      <c r="I3110" s="41" t="str">
        <f aca="false">IF(F3110="","",IFERROR(IF(ISNUMBER(SEARCH(Assumptions!$C$5,F3110)),Assumptions!$D$5,IF(ISNUMBER(SEARCH(Assumptions!$C$6,F3110)),Assumptions!$D$6,IF(ISNUMBER(SEARCH(Assumptions!$C$7,F3110)),Assumptions!$D$7,"Other Services"))),"Other Services"))</f>
        <v/>
      </c>
    </row>
    <row r="3111" customFormat="false" ht="15" hidden="false" customHeight="false" outlineLevel="0" collapsed="false">
      <c r="I3111" s="41" t="str">
        <f aca="false">IF(F3111="","",IFERROR(IF(ISNUMBER(SEARCH(Assumptions!$C$5,F3111)),Assumptions!$D$5,IF(ISNUMBER(SEARCH(Assumptions!$C$6,F3111)),Assumptions!$D$6,IF(ISNUMBER(SEARCH(Assumptions!$C$7,F3111)),Assumptions!$D$7,"Other Services"))),"Other Services"))</f>
        <v/>
      </c>
    </row>
    <row r="3112" customFormat="false" ht="15" hidden="false" customHeight="false" outlineLevel="0" collapsed="false">
      <c r="I3112" s="41" t="str">
        <f aca="false">IF(F3112="","",IFERROR(IF(ISNUMBER(SEARCH(Assumptions!$C$5,F3112)),Assumptions!$D$5,IF(ISNUMBER(SEARCH(Assumptions!$C$6,F3112)),Assumptions!$D$6,IF(ISNUMBER(SEARCH(Assumptions!$C$7,F3112)),Assumptions!$D$7,"Other Services"))),"Other Services"))</f>
        <v/>
      </c>
    </row>
    <row r="3113" customFormat="false" ht="15" hidden="false" customHeight="false" outlineLevel="0" collapsed="false">
      <c r="I3113" s="41" t="str">
        <f aca="false">IF(F3113="","",IFERROR(IF(ISNUMBER(SEARCH(Assumptions!$C$5,F3113)),Assumptions!$D$5,IF(ISNUMBER(SEARCH(Assumptions!$C$6,F3113)),Assumptions!$D$6,IF(ISNUMBER(SEARCH(Assumptions!$C$7,F3113)),Assumptions!$D$7,"Other Services"))),"Other Services"))</f>
        <v/>
      </c>
    </row>
    <row r="3114" customFormat="false" ht="15" hidden="false" customHeight="false" outlineLevel="0" collapsed="false">
      <c r="I3114" s="41" t="str">
        <f aca="false">IF(F3114="","",IFERROR(IF(ISNUMBER(SEARCH(Assumptions!$C$5,F3114)),Assumptions!$D$5,IF(ISNUMBER(SEARCH(Assumptions!$C$6,F3114)),Assumptions!$D$6,IF(ISNUMBER(SEARCH(Assumptions!$C$7,F3114)),Assumptions!$D$7,"Other Services"))),"Other Services"))</f>
        <v/>
      </c>
    </row>
    <row r="3115" customFormat="false" ht="15" hidden="false" customHeight="false" outlineLevel="0" collapsed="false">
      <c r="I3115" s="41" t="str">
        <f aca="false">IF(F3115="","",IFERROR(IF(ISNUMBER(SEARCH(Assumptions!$C$5,F3115)),Assumptions!$D$5,IF(ISNUMBER(SEARCH(Assumptions!$C$6,F3115)),Assumptions!$D$6,IF(ISNUMBER(SEARCH(Assumptions!$C$7,F3115)),Assumptions!$D$7,"Other Services"))),"Other Services"))</f>
        <v/>
      </c>
    </row>
    <row r="3116" customFormat="false" ht="15" hidden="false" customHeight="false" outlineLevel="0" collapsed="false">
      <c r="I3116" s="41" t="str">
        <f aca="false">IF(F3116="","",IFERROR(IF(ISNUMBER(SEARCH(Assumptions!$C$5,F3116)),Assumptions!$D$5,IF(ISNUMBER(SEARCH(Assumptions!$C$6,F3116)),Assumptions!$D$6,IF(ISNUMBER(SEARCH(Assumptions!$C$7,F3116)),Assumptions!$D$7,"Other Services"))),"Other Services"))</f>
        <v/>
      </c>
    </row>
    <row r="3117" customFormat="false" ht="15" hidden="false" customHeight="false" outlineLevel="0" collapsed="false">
      <c r="I3117" s="41" t="str">
        <f aca="false">IF(F3117="","",IFERROR(IF(ISNUMBER(SEARCH(Assumptions!$C$5,F3117)),Assumptions!$D$5,IF(ISNUMBER(SEARCH(Assumptions!$C$6,F3117)),Assumptions!$D$6,IF(ISNUMBER(SEARCH(Assumptions!$C$7,F3117)),Assumptions!$D$7,"Other Services"))),"Other Services"))</f>
        <v/>
      </c>
    </row>
    <row r="3118" customFormat="false" ht="15" hidden="false" customHeight="false" outlineLevel="0" collapsed="false">
      <c r="I3118" s="41" t="str">
        <f aca="false">IF(F3118="","",IFERROR(IF(ISNUMBER(SEARCH(Assumptions!$C$5,F3118)),Assumptions!$D$5,IF(ISNUMBER(SEARCH(Assumptions!$C$6,F3118)),Assumptions!$D$6,IF(ISNUMBER(SEARCH(Assumptions!$C$7,F3118)),Assumptions!$D$7,"Other Services"))),"Other Services"))</f>
        <v/>
      </c>
    </row>
    <row r="3119" customFormat="false" ht="15" hidden="false" customHeight="false" outlineLevel="0" collapsed="false">
      <c r="I3119" s="41" t="str">
        <f aca="false">IF(F3119="","",IFERROR(IF(ISNUMBER(SEARCH(Assumptions!$C$5,F3119)),Assumptions!$D$5,IF(ISNUMBER(SEARCH(Assumptions!$C$6,F3119)),Assumptions!$D$6,IF(ISNUMBER(SEARCH(Assumptions!$C$7,F3119)),Assumptions!$D$7,"Other Services"))),"Other Services"))</f>
        <v/>
      </c>
    </row>
    <row r="3120" customFormat="false" ht="15" hidden="false" customHeight="false" outlineLevel="0" collapsed="false">
      <c r="I3120" s="41" t="str">
        <f aca="false">IF(F3120="","",IFERROR(IF(ISNUMBER(SEARCH(Assumptions!$C$5,F3120)),Assumptions!$D$5,IF(ISNUMBER(SEARCH(Assumptions!$C$6,F3120)),Assumptions!$D$6,IF(ISNUMBER(SEARCH(Assumptions!$C$7,F3120)),Assumptions!$D$7,"Other Services"))),"Other Services"))</f>
        <v/>
      </c>
    </row>
    <row r="3121" customFormat="false" ht="15" hidden="false" customHeight="false" outlineLevel="0" collapsed="false">
      <c r="I3121" s="41" t="str">
        <f aca="false">IF(F3121="","",IFERROR(IF(ISNUMBER(SEARCH(Assumptions!$C$5,F3121)),Assumptions!$D$5,IF(ISNUMBER(SEARCH(Assumptions!$C$6,F3121)),Assumptions!$D$6,IF(ISNUMBER(SEARCH(Assumptions!$C$7,F3121)),Assumptions!$D$7,"Other Services"))),"Other Services"))</f>
        <v/>
      </c>
    </row>
    <row r="3122" customFormat="false" ht="15" hidden="false" customHeight="false" outlineLevel="0" collapsed="false">
      <c r="I3122" s="41" t="str">
        <f aca="false">IF(F3122="","",IFERROR(IF(ISNUMBER(SEARCH(Assumptions!$C$5,F3122)),Assumptions!$D$5,IF(ISNUMBER(SEARCH(Assumptions!$C$6,F3122)),Assumptions!$D$6,IF(ISNUMBER(SEARCH(Assumptions!$C$7,F3122)),Assumptions!$D$7,"Other Services"))),"Other Services"))</f>
        <v/>
      </c>
    </row>
    <row r="3123" customFormat="false" ht="15" hidden="false" customHeight="false" outlineLevel="0" collapsed="false">
      <c r="I3123" s="41" t="str">
        <f aca="false">IF(F3123="","",IFERROR(IF(ISNUMBER(SEARCH(Assumptions!$C$5,F3123)),Assumptions!$D$5,IF(ISNUMBER(SEARCH(Assumptions!$C$6,F3123)),Assumptions!$D$6,IF(ISNUMBER(SEARCH(Assumptions!$C$7,F3123)),Assumptions!$D$7,"Other Services"))),"Other Services"))</f>
        <v/>
      </c>
    </row>
    <row r="3124" customFormat="false" ht="15" hidden="false" customHeight="false" outlineLevel="0" collapsed="false">
      <c r="I3124" s="41" t="str">
        <f aca="false">IF(F3124="","",IFERROR(IF(ISNUMBER(SEARCH(Assumptions!$C$5,F3124)),Assumptions!$D$5,IF(ISNUMBER(SEARCH(Assumptions!$C$6,F3124)),Assumptions!$D$6,IF(ISNUMBER(SEARCH(Assumptions!$C$7,F3124)),Assumptions!$D$7,"Other Services"))),"Other Services"))</f>
        <v/>
      </c>
    </row>
    <row r="3125" customFormat="false" ht="15" hidden="false" customHeight="false" outlineLevel="0" collapsed="false">
      <c r="I3125" s="41" t="str">
        <f aca="false">IF(F3125="","",IFERROR(IF(ISNUMBER(SEARCH(Assumptions!$C$5,F3125)),Assumptions!$D$5,IF(ISNUMBER(SEARCH(Assumptions!$C$6,F3125)),Assumptions!$D$6,IF(ISNUMBER(SEARCH(Assumptions!$C$7,F3125)),Assumptions!$D$7,"Other Services"))),"Other Services"))</f>
        <v/>
      </c>
    </row>
    <row r="3126" customFormat="false" ht="15" hidden="false" customHeight="false" outlineLevel="0" collapsed="false">
      <c r="I3126" s="41" t="str">
        <f aca="false">IF(F3126="","",IFERROR(IF(ISNUMBER(SEARCH(Assumptions!$C$5,F3126)),Assumptions!$D$5,IF(ISNUMBER(SEARCH(Assumptions!$C$6,F3126)),Assumptions!$D$6,IF(ISNUMBER(SEARCH(Assumptions!$C$7,F3126)),Assumptions!$D$7,"Other Services"))),"Other Services"))</f>
        <v/>
      </c>
    </row>
    <row r="3127" customFormat="false" ht="15" hidden="false" customHeight="false" outlineLevel="0" collapsed="false">
      <c r="I3127" s="41" t="str">
        <f aca="false">IF(F3127="","",IFERROR(IF(ISNUMBER(SEARCH(Assumptions!$C$5,F3127)),Assumptions!$D$5,IF(ISNUMBER(SEARCH(Assumptions!$C$6,F3127)),Assumptions!$D$6,IF(ISNUMBER(SEARCH(Assumptions!$C$7,F3127)),Assumptions!$D$7,"Other Services"))),"Other Services"))</f>
        <v/>
      </c>
    </row>
    <row r="3128" customFormat="false" ht="15" hidden="false" customHeight="false" outlineLevel="0" collapsed="false">
      <c r="I3128" s="41" t="str">
        <f aca="false">IF(F3128="","",IFERROR(IF(ISNUMBER(SEARCH(Assumptions!$C$5,F3128)),Assumptions!$D$5,IF(ISNUMBER(SEARCH(Assumptions!$C$6,F3128)),Assumptions!$D$6,IF(ISNUMBER(SEARCH(Assumptions!$C$7,F3128)),Assumptions!$D$7,"Other Services"))),"Other Services"))</f>
        <v/>
      </c>
    </row>
    <row r="3129" customFormat="false" ht="15" hidden="false" customHeight="false" outlineLevel="0" collapsed="false">
      <c r="I3129" s="41" t="str">
        <f aca="false">IF(F3129="","",IFERROR(IF(ISNUMBER(SEARCH(Assumptions!$C$5,F3129)),Assumptions!$D$5,IF(ISNUMBER(SEARCH(Assumptions!$C$6,F3129)),Assumptions!$D$6,IF(ISNUMBER(SEARCH(Assumptions!$C$7,F3129)),Assumptions!$D$7,"Other Services"))),"Other Services"))</f>
        <v/>
      </c>
    </row>
    <row r="3130" customFormat="false" ht="15" hidden="false" customHeight="false" outlineLevel="0" collapsed="false">
      <c r="I3130" s="41" t="str">
        <f aca="false">IF(F3130="","",IFERROR(IF(ISNUMBER(SEARCH(Assumptions!$C$5,F3130)),Assumptions!$D$5,IF(ISNUMBER(SEARCH(Assumptions!$C$6,F3130)),Assumptions!$D$6,IF(ISNUMBER(SEARCH(Assumptions!$C$7,F3130)),Assumptions!$D$7,"Other Services"))),"Other Services"))</f>
        <v/>
      </c>
    </row>
    <row r="3131" customFormat="false" ht="15" hidden="false" customHeight="false" outlineLevel="0" collapsed="false">
      <c r="I3131" s="41" t="str">
        <f aca="false">IF(F3131="","",IFERROR(IF(ISNUMBER(SEARCH(Assumptions!$C$5,F3131)),Assumptions!$D$5,IF(ISNUMBER(SEARCH(Assumptions!$C$6,F3131)),Assumptions!$D$6,IF(ISNUMBER(SEARCH(Assumptions!$C$7,F3131)),Assumptions!$D$7,"Other Services"))),"Other Services"))</f>
        <v/>
      </c>
    </row>
    <row r="3132" customFormat="false" ht="15" hidden="false" customHeight="false" outlineLevel="0" collapsed="false">
      <c r="I3132" s="41" t="str">
        <f aca="false">IF(F3132="","",IFERROR(IF(ISNUMBER(SEARCH(Assumptions!$C$5,F3132)),Assumptions!$D$5,IF(ISNUMBER(SEARCH(Assumptions!$C$6,F3132)),Assumptions!$D$6,IF(ISNUMBER(SEARCH(Assumptions!$C$7,F3132)),Assumptions!$D$7,"Other Services"))),"Other Services"))</f>
        <v/>
      </c>
    </row>
    <row r="3133" customFormat="false" ht="15" hidden="false" customHeight="false" outlineLevel="0" collapsed="false">
      <c r="I3133" s="41" t="str">
        <f aca="false">IF(F3133="","",IFERROR(IF(ISNUMBER(SEARCH(Assumptions!$C$5,F3133)),Assumptions!$D$5,IF(ISNUMBER(SEARCH(Assumptions!$C$6,F3133)),Assumptions!$D$6,IF(ISNUMBER(SEARCH(Assumptions!$C$7,F3133)),Assumptions!$D$7,"Other Services"))),"Other Services"))</f>
        <v/>
      </c>
    </row>
    <row r="3134" customFormat="false" ht="15" hidden="false" customHeight="false" outlineLevel="0" collapsed="false">
      <c r="I3134" s="41" t="str">
        <f aca="false">IF(F3134="","",IFERROR(IF(ISNUMBER(SEARCH(Assumptions!$C$5,F3134)),Assumptions!$D$5,IF(ISNUMBER(SEARCH(Assumptions!$C$6,F3134)),Assumptions!$D$6,IF(ISNUMBER(SEARCH(Assumptions!$C$7,F3134)),Assumptions!$D$7,"Other Services"))),"Other Services"))</f>
        <v/>
      </c>
    </row>
    <row r="3135" customFormat="false" ht="15" hidden="false" customHeight="false" outlineLevel="0" collapsed="false">
      <c r="I3135" s="41" t="str">
        <f aca="false">IF(F3135="","",IFERROR(IF(ISNUMBER(SEARCH(Assumptions!$C$5,F3135)),Assumptions!$D$5,IF(ISNUMBER(SEARCH(Assumptions!$C$6,F3135)),Assumptions!$D$6,IF(ISNUMBER(SEARCH(Assumptions!$C$7,F3135)),Assumptions!$D$7,"Other Services"))),"Other Services"))</f>
        <v/>
      </c>
    </row>
    <row r="3136" customFormat="false" ht="15" hidden="false" customHeight="false" outlineLevel="0" collapsed="false">
      <c r="I3136" s="41" t="str">
        <f aca="false">IF(F3136="","",IFERROR(IF(ISNUMBER(SEARCH(Assumptions!$C$5,F3136)),Assumptions!$D$5,IF(ISNUMBER(SEARCH(Assumptions!$C$6,F3136)),Assumptions!$D$6,IF(ISNUMBER(SEARCH(Assumptions!$C$7,F3136)),Assumptions!$D$7,"Other Services"))),"Other Services"))</f>
        <v/>
      </c>
    </row>
    <row r="3137" customFormat="false" ht="15" hidden="false" customHeight="false" outlineLevel="0" collapsed="false">
      <c r="I3137" s="41" t="str">
        <f aca="false">IF(F3137="","",IFERROR(IF(ISNUMBER(SEARCH(Assumptions!$C$5,F3137)),Assumptions!$D$5,IF(ISNUMBER(SEARCH(Assumptions!$C$6,F3137)),Assumptions!$D$6,IF(ISNUMBER(SEARCH(Assumptions!$C$7,F3137)),Assumptions!$D$7,"Other Services"))),"Other Services"))</f>
        <v/>
      </c>
    </row>
    <row r="3138" customFormat="false" ht="15" hidden="false" customHeight="false" outlineLevel="0" collapsed="false">
      <c r="I3138" s="41" t="str">
        <f aca="false">IF(F3138="","",IFERROR(IF(ISNUMBER(SEARCH(Assumptions!$C$5,F3138)),Assumptions!$D$5,IF(ISNUMBER(SEARCH(Assumptions!$C$6,F3138)),Assumptions!$D$6,IF(ISNUMBER(SEARCH(Assumptions!$C$7,F3138)),Assumptions!$D$7,"Other Services"))),"Other Services"))</f>
        <v/>
      </c>
    </row>
    <row r="3139" customFormat="false" ht="15" hidden="false" customHeight="false" outlineLevel="0" collapsed="false">
      <c r="I3139" s="41" t="str">
        <f aca="false">IF(F3139="","",IFERROR(IF(ISNUMBER(SEARCH(Assumptions!$C$5,F3139)),Assumptions!$D$5,IF(ISNUMBER(SEARCH(Assumptions!$C$6,F3139)),Assumptions!$D$6,IF(ISNUMBER(SEARCH(Assumptions!$C$7,F3139)),Assumptions!$D$7,"Other Services"))),"Other Services"))</f>
        <v/>
      </c>
    </row>
    <row r="3140" customFormat="false" ht="15" hidden="false" customHeight="false" outlineLevel="0" collapsed="false">
      <c r="I3140" s="41" t="str">
        <f aca="false">IF(F3140="","",IFERROR(IF(ISNUMBER(SEARCH(Assumptions!$C$5,F3140)),Assumptions!$D$5,IF(ISNUMBER(SEARCH(Assumptions!$C$6,F3140)),Assumptions!$D$6,IF(ISNUMBER(SEARCH(Assumptions!$C$7,F3140)),Assumptions!$D$7,"Other Services"))),"Other Services"))</f>
        <v/>
      </c>
    </row>
    <row r="3141" customFormat="false" ht="15" hidden="false" customHeight="false" outlineLevel="0" collapsed="false">
      <c r="I3141" s="41" t="str">
        <f aca="false">IF(F3141="","",IFERROR(IF(ISNUMBER(SEARCH(Assumptions!$C$5,F3141)),Assumptions!$D$5,IF(ISNUMBER(SEARCH(Assumptions!$C$6,F3141)),Assumptions!$D$6,IF(ISNUMBER(SEARCH(Assumptions!$C$7,F3141)),Assumptions!$D$7,"Other Services"))),"Other Services"))</f>
        <v/>
      </c>
    </row>
    <row r="3142" customFormat="false" ht="15" hidden="false" customHeight="false" outlineLevel="0" collapsed="false">
      <c r="I3142" s="41" t="str">
        <f aca="false">IF(F3142="","",IFERROR(IF(ISNUMBER(SEARCH(Assumptions!$C$5,F3142)),Assumptions!$D$5,IF(ISNUMBER(SEARCH(Assumptions!$C$6,F3142)),Assumptions!$D$6,IF(ISNUMBER(SEARCH(Assumptions!$C$7,F3142)),Assumptions!$D$7,"Other Services"))),"Other Services"))</f>
        <v/>
      </c>
    </row>
    <row r="3143" customFormat="false" ht="15" hidden="false" customHeight="false" outlineLevel="0" collapsed="false">
      <c r="I3143" s="41" t="str">
        <f aca="false">IF(F3143="","",IFERROR(IF(ISNUMBER(SEARCH(Assumptions!$C$5,F3143)),Assumptions!$D$5,IF(ISNUMBER(SEARCH(Assumptions!$C$6,F3143)),Assumptions!$D$6,IF(ISNUMBER(SEARCH(Assumptions!$C$7,F3143)),Assumptions!$D$7,"Other Services"))),"Other Services"))</f>
        <v/>
      </c>
    </row>
    <row r="3144" customFormat="false" ht="15" hidden="false" customHeight="false" outlineLevel="0" collapsed="false">
      <c r="I3144" s="41" t="str">
        <f aca="false">IF(F3144="","",IFERROR(IF(ISNUMBER(SEARCH(Assumptions!$C$5,F3144)),Assumptions!$D$5,IF(ISNUMBER(SEARCH(Assumptions!$C$6,F3144)),Assumptions!$D$6,IF(ISNUMBER(SEARCH(Assumptions!$C$7,F3144)),Assumptions!$D$7,"Other Services"))),"Other Services"))</f>
        <v/>
      </c>
    </row>
    <row r="3145" customFormat="false" ht="15" hidden="false" customHeight="false" outlineLevel="0" collapsed="false">
      <c r="I3145" s="41" t="str">
        <f aca="false">IF(F3145="","",IFERROR(IF(ISNUMBER(SEARCH(Assumptions!$C$5,F3145)),Assumptions!$D$5,IF(ISNUMBER(SEARCH(Assumptions!$C$6,F3145)),Assumptions!$D$6,IF(ISNUMBER(SEARCH(Assumptions!$C$7,F3145)),Assumptions!$D$7,"Other Services"))),"Other Services"))</f>
        <v/>
      </c>
    </row>
    <row r="3146" customFormat="false" ht="15" hidden="false" customHeight="false" outlineLevel="0" collapsed="false">
      <c r="I3146" s="41" t="str">
        <f aca="false">IF(F3146="","",IFERROR(IF(ISNUMBER(SEARCH(Assumptions!$C$5,F3146)),Assumptions!$D$5,IF(ISNUMBER(SEARCH(Assumptions!$C$6,F3146)),Assumptions!$D$6,IF(ISNUMBER(SEARCH(Assumptions!$C$7,F3146)),Assumptions!$D$7,"Other Services"))),"Other Services"))</f>
        <v/>
      </c>
    </row>
    <row r="3147" customFormat="false" ht="15" hidden="false" customHeight="false" outlineLevel="0" collapsed="false">
      <c r="I3147" s="41" t="str">
        <f aca="false">IF(F3147="","",IFERROR(IF(ISNUMBER(SEARCH(Assumptions!$C$5,F3147)),Assumptions!$D$5,IF(ISNUMBER(SEARCH(Assumptions!$C$6,F3147)),Assumptions!$D$6,IF(ISNUMBER(SEARCH(Assumptions!$C$7,F3147)),Assumptions!$D$7,"Other Services"))),"Other Services"))</f>
        <v/>
      </c>
    </row>
    <row r="3148" customFormat="false" ht="15" hidden="false" customHeight="false" outlineLevel="0" collapsed="false">
      <c r="I3148" s="41" t="str">
        <f aca="false">IF(F3148="","",IFERROR(IF(ISNUMBER(SEARCH(Assumptions!$C$5,F3148)),Assumptions!$D$5,IF(ISNUMBER(SEARCH(Assumptions!$C$6,F3148)),Assumptions!$D$6,IF(ISNUMBER(SEARCH(Assumptions!$C$7,F3148)),Assumptions!$D$7,"Other Services"))),"Other Services"))</f>
        <v/>
      </c>
    </row>
    <row r="3149" customFormat="false" ht="15" hidden="false" customHeight="false" outlineLevel="0" collapsed="false">
      <c r="I3149" s="41" t="str">
        <f aca="false">IF(F3149="","",IFERROR(IF(ISNUMBER(SEARCH(Assumptions!$C$5,F3149)),Assumptions!$D$5,IF(ISNUMBER(SEARCH(Assumptions!$C$6,F3149)),Assumptions!$D$6,IF(ISNUMBER(SEARCH(Assumptions!$C$7,F3149)),Assumptions!$D$7,"Other Services"))),"Other Services"))</f>
        <v/>
      </c>
    </row>
    <row r="3150" customFormat="false" ht="15" hidden="false" customHeight="false" outlineLevel="0" collapsed="false">
      <c r="I3150" s="41" t="str">
        <f aca="false">IF(F3150="","",IFERROR(IF(ISNUMBER(SEARCH(Assumptions!$C$5,F3150)),Assumptions!$D$5,IF(ISNUMBER(SEARCH(Assumptions!$C$6,F3150)),Assumptions!$D$6,IF(ISNUMBER(SEARCH(Assumptions!$C$7,F3150)),Assumptions!$D$7,"Other Services"))),"Other Services"))</f>
        <v/>
      </c>
    </row>
    <row r="3151" customFormat="false" ht="15" hidden="false" customHeight="false" outlineLevel="0" collapsed="false">
      <c r="I3151" s="41" t="str">
        <f aca="false">IF(F3151="","",IFERROR(IF(ISNUMBER(SEARCH(Assumptions!$C$5,F3151)),Assumptions!$D$5,IF(ISNUMBER(SEARCH(Assumptions!$C$6,F3151)),Assumptions!$D$6,IF(ISNUMBER(SEARCH(Assumptions!$C$7,F3151)),Assumptions!$D$7,"Other Services"))),"Other Services"))</f>
        <v/>
      </c>
    </row>
    <row r="3152" customFormat="false" ht="15" hidden="false" customHeight="false" outlineLevel="0" collapsed="false">
      <c r="I3152" s="41" t="str">
        <f aca="false">IF(F3152="","",IFERROR(IF(ISNUMBER(SEARCH(Assumptions!$C$5,F3152)),Assumptions!$D$5,IF(ISNUMBER(SEARCH(Assumptions!$C$6,F3152)),Assumptions!$D$6,IF(ISNUMBER(SEARCH(Assumptions!$C$7,F3152)),Assumptions!$D$7,"Other Services"))),"Other Services"))</f>
        <v/>
      </c>
    </row>
    <row r="3153" customFormat="false" ht="15" hidden="false" customHeight="false" outlineLevel="0" collapsed="false">
      <c r="I3153" s="41" t="str">
        <f aca="false">IF(F3153="","",IFERROR(IF(ISNUMBER(SEARCH(Assumptions!$C$5,F3153)),Assumptions!$D$5,IF(ISNUMBER(SEARCH(Assumptions!$C$6,F3153)),Assumptions!$D$6,IF(ISNUMBER(SEARCH(Assumptions!$C$7,F3153)),Assumptions!$D$7,"Other Services"))),"Other Services"))</f>
        <v/>
      </c>
    </row>
    <row r="3154" customFormat="false" ht="15" hidden="false" customHeight="false" outlineLevel="0" collapsed="false">
      <c r="I3154" s="41" t="str">
        <f aca="false">IF(F3154="","",IFERROR(IF(ISNUMBER(SEARCH(Assumptions!$C$5,F3154)),Assumptions!$D$5,IF(ISNUMBER(SEARCH(Assumptions!$C$6,F3154)),Assumptions!$D$6,IF(ISNUMBER(SEARCH(Assumptions!$C$7,F3154)),Assumptions!$D$7,"Other Services"))),"Other Services"))</f>
        <v/>
      </c>
    </row>
    <row r="3155" customFormat="false" ht="15" hidden="false" customHeight="false" outlineLevel="0" collapsed="false">
      <c r="I3155" s="41" t="str">
        <f aca="false">IF(F3155="","",IFERROR(IF(ISNUMBER(SEARCH(Assumptions!$C$5,F3155)),Assumptions!$D$5,IF(ISNUMBER(SEARCH(Assumptions!$C$6,F3155)),Assumptions!$D$6,IF(ISNUMBER(SEARCH(Assumptions!$C$7,F3155)),Assumptions!$D$7,"Other Services"))),"Other Services"))</f>
        <v/>
      </c>
    </row>
    <row r="3156" customFormat="false" ht="15" hidden="false" customHeight="false" outlineLevel="0" collapsed="false">
      <c r="I3156" s="41" t="str">
        <f aca="false">IF(F3156="","",IFERROR(IF(ISNUMBER(SEARCH(Assumptions!$C$5,F3156)),Assumptions!$D$5,IF(ISNUMBER(SEARCH(Assumptions!$C$6,F3156)),Assumptions!$D$6,IF(ISNUMBER(SEARCH(Assumptions!$C$7,F3156)),Assumptions!$D$7,"Other Services"))),"Other Services"))</f>
        <v/>
      </c>
    </row>
    <row r="3157" customFormat="false" ht="15" hidden="false" customHeight="false" outlineLevel="0" collapsed="false">
      <c r="I3157" s="41" t="str">
        <f aca="false">IF(F3157="","",IFERROR(IF(ISNUMBER(SEARCH(Assumptions!$C$5,F3157)),Assumptions!$D$5,IF(ISNUMBER(SEARCH(Assumptions!$C$6,F3157)),Assumptions!$D$6,IF(ISNUMBER(SEARCH(Assumptions!$C$7,F3157)),Assumptions!$D$7,"Other Services"))),"Other Services"))</f>
        <v/>
      </c>
    </row>
    <row r="3158" customFormat="false" ht="15" hidden="false" customHeight="false" outlineLevel="0" collapsed="false">
      <c r="I3158" s="41" t="str">
        <f aca="false">IF(F3158="","",IFERROR(IF(ISNUMBER(SEARCH(Assumptions!$C$5,F3158)),Assumptions!$D$5,IF(ISNUMBER(SEARCH(Assumptions!$C$6,F3158)),Assumptions!$D$6,IF(ISNUMBER(SEARCH(Assumptions!$C$7,F3158)),Assumptions!$D$7,"Other Services"))),"Other Services"))</f>
        <v/>
      </c>
    </row>
    <row r="3159" customFormat="false" ht="15" hidden="false" customHeight="false" outlineLevel="0" collapsed="false">
      <c r="I3159" s="41" t="str">
        <f aca="false">IF(F3159="","",IFERROR(IF(ISNUMBER(SEARCH(Assumptions!$C$5,F3159)),Assumptions!$D$5,IF(ISNUMBER(SEARCH(Assumptions!$C$6,F3159)),Assumptions!$D$6,IF(ISNUMBER(SEARCH(Assumptions!$C$7,F3159)),Assumptions!$D$7,"Other Services"))),"Other Services"))</f>
        <v/>
      </c>
    </row>
    <row r="3160" customFormat="false" ht="15" hidden="false" customHeight="false" outlineLevel="0" collapsed="false">
      <c r="I3160" s="41" t="str">
        <f aca="false">IF(F3160="","",IFERROR(IF(ISNUMBER(SEARCH(Assumptions!$C$5,F3160)),Assumptions!$D$5,IF(ISNUMBER(SEARCH(Assumptions!$C$6,F3160)),Assumptions!$D$6,IF(ISNUMBER(SEARCH(Assumptions!$C$7,F3160)),Assumptions!$D$7,"Other Services"))),"Other Services"))</f>
        <v/>
      </c>
    </row>
    <row r="3161" customFormat="false" ht="15" hidden="false" customHeight="false" outlineLevel="0" collapsed="false">
      <c r="I3161" s="41" t="str">
        <f aca="false">IF(F3161="","",IFERROR(IF(ISNUMBER(SEARCH(Assumptions!$C$5,F3161)),Assumptions!$D$5,IF(ISNUMBER(SEARCH(Assumptions!$C$6,F3161)),Assumptions!$D$6,IF(ISNUMBER(SEARCH(Assumptions!$C$7,F3161)),Assumptions!$D$7,"Other Services"))),"Other Services"))</f>
        <v/>
      </c>
    </row>
    <row r="3162" customFormat="false" ht="15" hidden="false" customHeight="false" outlineLevel="0" collapsed="false">
      <c r="I3162" s="41" t="str">
        <f aca="false">IF(F3162="","",IFERROR(IF(ISNUMBER(SEARCH(Assumptions!$C$5,F3162)),Assumptions!$D$5,IF(ISNUMBER(SEARCH(Assumptions!$C$6,F3162)),Assumptions!$D$6,IF(ISNUMBER(SEARCH(Assumptions!$C$7,F3162)),Assumptions!$D$7,"Other Services"))),"Other Services"))</f>
        <v/>
      </c>
    </row>
    <row r="3163" customFormat="false" ht="15" hidden="false" customHeight="false" outlineLevel="0" collapsed="false">
      <c r="I3163" s="41" t="str">
        <f aca="false">IF(F3163="","",IFERROR(IF(ISNUMBER(SEARCH(Assumptions!$C$5,F3163)),Assumptions!$D$5,IF(ISNUMBER(SEARCH(Assumptions!$C$6,F3163)),Assumptions!$D$6,IF(ISNUMBER(SEARCH(Assumptions!$C$7,F3163)),Assumptions!$D$7,"Other Services"))),"Other Services"))</f>
        <v/>
      </c>
    </row>
    <row r="3164" customFormat="false" ht="15" hidden="false" customHeight="false" outlineLevel="0" collapsed="false">
      <c r="I3164" s="41" t="str">
        <f aca="false">IF(F3164="","",IFERROR(IF(ISNUMBER(SEARCH(Assumptions!$C$5,F3164)),Assumptions!$D$5,IF(ISNUMBER(SEARCH(Assumptions!$C$6,F3164)),Assumptions!$D$6,IF(ISNUMBER(SEARCH(Assumptions!$C$7,F3164)),Assumptions!$D$7,"Other Services"))),"Other Services"))</f>
        <v/>
      </c>
    </row>
    <row r="3165" customFormat="false" ht="15" hidden="false" customHeight="false" outlineLevel="0" collapsed="false">
      <c r="I3165" s="41" t="str">
        <f aca="false">IF(F3165="","",IFERROR(IF(ISNUMBER(SEARCH(Assumptions!$C$5,F3165)),Assumptions!$D$5,IF(ISNUMBER(SEARCH(Assumptions!$C$6,F3165)),Assumptions!$D$6,IF(ISNUMBER(SEARCH(Assumptions!$C$7,F3165)),Assumptions!$D$7,"Other Services"))),"Other Services"))</f>
        <v/>
      </c>
    </row>
    <row r="3166" customFormat="false" ht="15" hidden="false" customHeight="false" outlineLevel="0" collapsed="false">
      <c r="I3166" s="41" t="str">
        <f aca="false">IF(F3166="","",IFERROR(IF(ISNUMBER(SEARCH(Assumptions!$C$5,F3166)),Assumptions!$D$5,IF(ISNUMBER(SEARCH(Assumptions!$C$6,F3166)),Assumptions!$D$6,IF(ISNUMBER(SEARCH(Assumptions!$C$7,F3166)),Assumptions!$D$7,"Other Services"))),"Other Services"))</f>
        <v/>
      </c>
    </row>
    <row r="3167" customFormat="false" ht="15" hidden="false" customHeight="false" outlineLevel="0" collapsed="false">
      <c r="I3167" s="41" t="str">
        <f aca="false">IF(F3167="","",IFERROR(IF(ISNUMBER(SEARCH(Assumptions!$C$5,F3167)),Assumptions!$D$5,IF(ISNUMBER(SEARCH(Assumptions!$C$6,F3167)),Assumptions!$D$6,IF(ISNUMBER(SEARCH(Assumptions!$C$7,F3167)),Assumptions!$D$7,"Other Services"))),"Other Services"))</f>
        <v/>
      </c>
    </row>
    <row r="3168" customFormat="false" ht="15" hidden="false" customHeight="false" outlineLevel="0" collapsed="false">
      <c r="I3168" s="41" t="str">
        <f aca="false">IF(F3168="","",IFERROR(IF(ISNUMBER(SEARCH(Assumptions!$C$5,F3168)),Assumptions!$D$5,IF(ISNUMBER(SEARCH(Assumptions!$C$6,F3168)),Assumptions!$D$6,IF(ISNUMBER(SEARCH(Assumptions!$C$7,F3168)),Assumptions!$D$7,"Other Services"))),"Other Services"))</f>
        <v/>
      </c>
    </row>
    <row r="3169" customFormat="false" ht="15" hidden="false" customHeight="false" outlineLevel="0" collapsed="false">
      <c r="I3169" s="41" t="str">
        <f aca="false">IF(F3169="","",IFERROR(IF(ISNUMBER(SEARCH(Assumptions!$C$5,F3169)),Assumptions!$D$5,IF(ISNUMBER(SEARCH(Assumptions!$C$6,F3169)),Assumptions!$D$6,IF(ISNUMBER(SEARCH(Assumptions!$C$7,F3169)),Assumptions!$D$7,"Other Services"))),"Other Services"))</f>
        <v/>
      </c>
    </row>
    <row r="3170" customFormat="false" ht="15" hidden="false" customHeight="false" outlineLevel="0" collapsed="false">
      <c r="I3170" s="41" t="str">
        <f aca="false">IF(F3170="","",IFERROR(IF(ISNUMBER(SEARCH(Assumptions!$C$5,F3170)),Assumptions!$D$5,IF(ISNUMBER(SEARCH(Assumptions!$C$6,F3170)),Assumptions!$D$6,IF(ISNUMBER(SEARCH(Assumptions!$C$7,F3170)),Assumptions!$D$7,"Other Services"))),"Other Services"))</f>
        <v/>
      </c>
    </row>
    <row r="3171" customFormat="false" ht="15" hidden="false" customHeight="false" outlineLevel="0" collapsed="false">
      <c r="I3171" s="41" t="str">
        <f aca="false">IF(F3171="","",IFERROR(IF(ISNUMBER(SEARCH(Assumptions!$C$5,F3171)),Assumptions!$D$5,IF(ISNUMBER(SEARCH(Assumptions!$C$6,F3171)),Assumptions!$D$6,IF(ISNUMBER(SEARCH(Assumptions!$C$7,F3171)),Assumptions!$D$7,"Other Services"))),"Other Services"))</f>
        <v/>
      </c>
    </row>
    <row r="3172" customFormat="false" ht="15" hidden="false" customHeight="false" outlineLevel="0" collapsed="false">
      <c r="I3172" s="41" t="str">
        <f aca="false">IF(F3172="","",IFERROR(IF(ISNUMBER(SEARCH(Assumptions!$C$5,F3172)),Assumptions!$D$5,IF(ISNUMBER(SEARCH(Assumptions!$C$6,F3172)),Assumptions!$D$6,IF(ISNUMBER(SEARCH(Assumptions!$C$7,F3172)),Assumptions!$D$7,"Other Services"))),"Other Services"))</f>
        <v/>
      </c>
    </row>
    <row r="3173" customFormat="false" ht="15" hidden="false" customHeight="false" outlineLevel="0" collapsed="false">
      <c r="I3173" s="41" t="str">
        <f aca="false">IF(F3173="","",IFERROR(IF(ISNUMBER(SEARCH(Assumptions!$C$5,F3173)),Assumptions!$D$5,IF(ISNUMBER(SEARCH(Assumptions!$C$6,F3173)),Assumptions!$D$6,IF(ISNUMBER(SEARCH(Assumptions!$C$7,F3173)),Assumptions!$D$7,"Other Services"))),"Other Services"))</f>
        <v/>
      </c>
    </row>
    <row r="3174" customFormat="false" ht="15" hidden="false" customHeight="false" outlineLevel="0" collapsed="false">
      <c r="I3174" s="41" t="str">
        <f aca="false">IF(F3174="","",IFERROR(IF(ISNUMBER(SEARCH(Assumptions!$C$5,F3174)),Assumptions!$D$5,IF(ISNUMBER(SEARCH(Assumptions!$C$6,F3174)),Assumptions!$D$6,IF(ISNUMBER(SEARCH(Assumptions!$C$7,F3174)),Assumptions!$D$7,"Other Services"))),"Other Services"))</f>
        <v/>
      </c>
    </row>
    <row r="3175" customFormat="false" ht="15" hidden="false" customHeight="false" outlineLevel="0" collapsed="false">
      <c r="I3175" s="41" t="str">
        <f aca="false">IF(F3175="","",IFERROR(IF(ISNUMBER(SEARCH(Assumptions!$C$5,F3175)),Assumptions!$D$5,IF(ISNUMBER(SEARCH(Assumptions!$C$6,F3175)),Assumptions!$D$6,IF(ISNUMBER(SEARCH(Assumptions!$C$7,F3175)),Assumptions!$D$7,"Other Services"))),"Other Services"))</f>
        <v/>
      </c>
    </row>
    <row r="3176" customFormat="false" ht="15" hidden="false" customHeight="false" outlineLevel="0" collapsed="false">
      <c r="I3176" s="41" t="str">
        <f aca="false">IF(F3176="","",IFERROR(IF(ISNUMBER(SEARCH(Assumptions!$C$5,F3176)),Assumptions!$D$5,IF(ISNUMBER(SEARCH(Assumptions!$C$6,F3176)),Assumptions!$D$6,IF(ISNUMBER(SEARCH(Assumptions!$C$7,F3176)),Assumptions!$D$7,"Other Services"))),"Other Services"))</f>
        <v/>
      </c>
    </row>
    <row r="3177" customFormat="false" ht="15" hidden="false" customHeight="false" outlineLevel="0" collapsed="false">
      <c r="I3177" s="41" t="str">
        <f aca="false">IF(F3177="","",IFERROR(IF(ISNUMBER(SEARCH(Assumptions!$C$5,F3177)),Assumptions!$D$5,IF(ISNUMBER(SEARCH(Assumptions!$C$6,F3177)),Assumptions!$D$6,IF(ISNUMBER(SEARCH(Assumptions!$C$7,F3177)),Assumptions!$D$7,"Other Services"))),"Other Services"))</f>
        <v/>
      </c>
    </row>
    <row r="3178" customFormat="false" ht="15" hidden="false" customHeight="false" outlineLevel="0" collapsed="false">
      <c r="I3178" s="41" t="str">
        <f aca="false">IF(F3178="","",IFERROR(IF(ISNUMBER(SEARCH(Assumptions!$C$5,F3178)),Assumptions!$D$5,IF(ISNUMBER(SEARCH(Assumptions!$C$6,F3178)),Assumptions!$D$6,IF(ISNUMBER(SEARCH(Assumptions!$C$7,F3178)),Assumptions!$D$7,"Other Services"))),"Other Services"))</f>
        <v/>
      </c>
    </row>
    <row r="3179" customFormat="false" ht="15" hidden="false" customHeight="false" outlineLevel="0" collapsed="false">
      <c r="I3179" s="41" t="str">
        <f aca="false">IF(F3179="","",IFERROR(IF(ISNUMBER(SEARCH(Assumptions!$C$5,F3179)),Assumptions!$D$5,IF(ISNUMBER(SEARCH(Assumptions!$C$6,F3179)),Assumptions!$D$6,IF(ISNUMBER(SEARCH(Assumptions!$C$7,F3179)),Assumptions!$D$7,"Other Services"))),"Other Services"))</f>
        <v/>
      </c>
    </row>
    <row r="3180" customFormat="false" ht="15" hidden="false" customHeight="false" outlineLevel="0" collapsed="false">
      <c r="I3180" s="41" t="str">
        <f aca="false">IF(F3180="","",IFERROR(IF(ISNUMBER(SEARCH(Assumptions!$C$5,F3180)),Assumptions!$D$5,IF(ISNUMBER(SEARCH(Assumptions!$C$6,F3180)),Assumptions!$D$6,IF(ISNUMBER(SEARCH(Assumptions!$C$7,F3180)),Assumptions!$D$7,"Other Services"))),"Other Services"))</f>
        <v/>
      </c>
    </row>
    <row r="3181" customFormat="false" ht="15" hidden="false" customHeight="false" outlineLevel="0" collapsed="false">
      <c r="I3181" s="41" t="str">
        <f aca="false">IF(F3181="","",IFERROR(IF(ISNUMBER(SEARCH(Assumptions!$C$5,F3181)),Assumptions!$D$5,IF(ISNUMBER(SEARCH(Assumptions!$C$6,F3181)),Assumptions!$D$6,IF(ISNUMBER(SEARCH(Assumptions!$C$7,F3181)),Assumptions!$D$7,"Other Services"))),"Other Services"))</f>
        <v/>
      </c>
    </row>
    <row r="3182" customFormat="false" ht="15" hidden="false" customHeight="false" outlineLevel="0" collapsed="false">
      <c r="I3182" s="41" t="str">
        <f aca="false">IF(F3182="","",IFERROR(IF(ISNUMBER(SEARCH(Assumptions!$C$5,F3182)),Assumptions!$D$5,IF(ISNUMBER(SEARCH(Assumptions!$C$6,F3182)),Assumptions!$D$6,IF(ISNUMBER(SEARCH(Assumptions!$C$7,F3182)),Assumptions!$D$7,"Other Services"))),"Other Services"))</f>
        <v/>
      </c>
    </row>
    <row r="3183" customFormat="false" ht="15" hidden="false" customHeight="false" outlineLevel="0" collapsed="false">
      <c r="I3183" s="41" t="str">
        <f aca="false">IF(F3183="","",IFERROR(IF(ISNUMBER(SEARCH(Assumptions!$C$5,F3183)),Assumptions!$D$5,IF(ISNUMBER(SEARCH(Assumptions!$C$6,F3183)),Assumptions!$D$6,IF(ISNUMBER(SEARCH(Assumptions!$C$7,F3183)),Assumptions!$D$7,"Other Services"))),"Other Services"))</f>
        <v/>
      </c>
    </row>
    <row r="3184" customFormat="false" ht="15" hidden="false" customHeight="false" outlineLevel="0" collapsed="false">
      <c r="I3184" s="41" t="str">
        <f aca="false">IF(F3184="","",IFERROR(IF(ISNUMBER(SEARCH(Assumptions!$C$5,F3184)),Assumptions!$D$5,IF(ISNUMBER(SEARCH(Assumptions!$C$6,F3184)),Assumptions!$D$6,IF(ISNUMBER(SEARCH(Assumptions!$C$7,F3184)),Assumptions!$D$7,"Other Services"))),"Other Services"))</f>
        <v/>
      </c>
    </row>
    <row r="3185" customFormat="false" ht="15" hidden="false" customHeight="false" outlineLevel="0" collapsed="false">
      <c r="I3185" s="41" t="str">
        <f aca="false">IF(F3185="","",IFERROR(IF(ISNUMBER(SEARCH(Assumptions!$C$5,F3185)),Assumptions!$D$5,IF(ISNUMBER(SEARCH(Assumptions!$C$6,F3185)),Assumptions!$D$6,IF(ISNUMBER(SEARCH(Assumptions!$C$7,F3185)),Assumptions!$D$7,"Other Services"))),"Other Services"))</f>
        <v/>
      </c>
    </row>
    <row r="3186" customFormat="false" ht="15" hidden="false" customHeight="false" outlineLevel="0" collapsed="false">
      <c r="I3186" s="41" t="str">
        <f aca="false">IF(F3186="","",IFERROR(IF(ISNUMBER(SEARCH(Assumptions!$C$5,F3186)),Assumptions!$D$5,IF(ISNUMBER(SEARCH(Assumptions!$C$6,F3186)),Assumptions!$D$6,IF(ISNUMBER(SEARCH(Assumptions!$C$7,F3186)),Assumptions!$D$7,"Other Services"))),"Other Services"))</f>
        <v/>
      </c>
    </row>
    <row r="3187" customFormat="false" ht="15" hidden="false" customHeight="false" outlineLevel="0" collapsed="false">
      <c r="I3187" s="41" t="str">
        <f aca="false">IF(F3187="","",IFERROR(IF(ISNUMBER(SEARCH(Assumptions!$C$5,F3187)),Assumptions!$D$5,IF(ISNUMBER(SEARCH(Assumptions!$C$6,F3187)),Assumptions!$D$6,IF(ISNUMBER(SEARCH(Assumptions!$C$7,F3187)),Assumptions!$D$7,"Other Services"))),"Other Services"))</f>
        <v/>
      </c>
    </row>
    <row r="3188" customFormat="false" ht="15" hidden="false" customHeight="false" outlineLevel="0" collapsed="false">
      <c r="I3188" s="41" t="str">
        <f aca="false">IF(F3188="","",IFERROR(IF(ISNUMBER(SEARCH(Assumptions!$C$5,F3188)),Assumptions!$D$5,IF(ISNUMBER(SEARCH(Assumptions!$C$6,F3188)),Assumptions!$D$6,IF(ISNUMBER(SEARCH(Assumptions!$C$7,F3188)),Assumptions!$D$7,"Other Services"))),"Other Services"))</f>
        <v/>
      </c>
    </row>
    <row r="3189" customFormat="false" ht="15" hidden="false" customHeight="false" outlineLevel="0" collapsed="false">
      <c r="I3189" s="41" t="str">
        <f aca="false">IF(F3189="","",IFERROR(IF(ISNUMBER(SEARCH(Assumptions!$C$5,F3189)),Assumptions!$D$5,IF(ISNUMBER(SEARCH(Assumptions!$C$6,F3189)),Assumptions!$D$6,IF(ISNUMBER(SEARCH(Assumptions!$C$7,F3189)),Assumptions!$D$7,"Other Services"))),"Other Services"))</f>
        <v/>
      </c>
    </row>
    <row r="3190" customFormat="false" ht="15" hidden="false" customHeight="false" outlineLevel="0" collapsed="false">
      <c r="I3190" s="41" t="str">
        <f aca="false">IF(F3190="","",IFERROR(IF(ISNUMBER(SEARCH(Assumptions!$C$5,F3190)),Assumptions!$D$5,IF(ISNUMBER(SEARCH(Assumptions!$C$6,F3190)),Assumptions!$D$6,IF(ISNUMBER(SEARCH(Assumptions!$C$7,F3190)),Assumptions!$D$7,"Other Services"))),"Other Services"))</f>
        <v/>
      </c>
    </row>
    <row r="3191" customFormat="false" ht="15" hidden="false" customHeight="false" outlineLevel="0" collapsed="false">
      <c r="I3191" s="41" t="str">
        <f aca="false">IF(F3191="","",IFERROR(IF(ISNUMBER(SEARCH(Assumptions!$C$5,F3191)),Assumptions!$D$5,IF(ISNUMBER(SEARCH(Assumptions!$C$6,F3191)),Assumptions!$D$6,IF(ISNUMBER(SEARCH(Assumptions!$C$7,F3191)),Assumptions!$D$7,"Other Services"))),"Other Services"))</f>
        <v/>
      </c>
    </row>
    <row r="3192" customFormat="false" ht="15" hidden="false" customHeight="false" outlineLevel="0" collapsed="false">
      <c r="I3192" s="41" t="str">
        <f aca="false">IF(F3192="","",IFERROR(IF(ISNUMBER(SEARCH(Assumptions!$C$5,F3192)),Assumptions!$D$5,IF(ISNUMBER(SEARCH(Assumptions!$C$6,F3192)),Assumptions!$D$6,IF(ISNUMBER(SEARCH(Assumptions!$C$7,F3192)),Assumptions!$D$7,"Other Services"))),"Other Services"))</f>
        <v/>
      </c>
    </row>
    <row r="3193" customFormat="false" ht="15" hidden="false" customHeight="false" outlineLevel="0" collapsed="false">
      <c r="I3193" s="41" t="str">
        <f aca="false">IF(F3193="","",IFERROR(IF(ISNUMBER(SEARCH(Assumptions!$C$5,F3193)),Assumptions!$D$5,IF(ISNUMBER(SEARCH(Assumptions!$C$6,F3193)),Assumptions!$D$6,IF(ISNUMBER(SEARCH(Assumptions!$C$7,F3193)),Assumptions!$D$7,"Other Services"))),"Other Services"))</f>
        <v/>
      </c>
    </row>
    <row r="3194" customFormat="false" ht="15" hidden="false" customHeight="false" outlineLevel="0" collapsed="false">
      <c r="I3194" s="41" t="str">
        <f aca="false">IF(F3194="","",IFERROR(IF(ISNUMBER(SEARCH(Assumptions!$C$5,F3194)),Assumptions!$D$5,IF(ISNUMBER(SEARCH(Assumptions!$C$6,F3194)),Assumptions!$D$6,IF(ISNUMBER(SEARCH(Assumptions!$C$7,F3194)),Assumptions!$D$7,"Other Services"))),"Other Services"))</f>
        <v/>
      </c>
    </row>
    <row r="3195" customFormat="false" ht="15" hidden="false" customHeight="false" outlineLevel="0" collapsed="false">
      <c r="I3195" s="41" t="str">
        <f aca="false">IF(F3195="","",IFERROR(IF(ISNUMBER(SEARCH(Assumptions!$C$5,F3195)),Assumptions!$D$5,IF(ISNUMBER(SEARCH(Assumptions!$C$6,F3195)),Assumptions!$D$6,IF(ISNUMBER(SEARCH(Assumptions!$C$7,F3195)),Assumptions!$D$7,"Other Services"))),"Other Services"))</f>
        <v/>
      </c>
    </row>
    <row r="3196" customFormat="false" ht="15" hidden="false" customHeight="false" outlineLevel="0" collapsed="false">
      <c r="I3196" s="41" t="str">
        <f aca="false">IF(F3196="","",IFERROR(IF(ISNUMBER(SEARCH(Assumptions!$C$5,F3196)),Assumptions!$D$5,IF(ISNUMBER(SEARCH(Assumptions!$C$6,F3196)),Assumptions!$D$6,IF(ISNUMBER(SEARCH(Assumptions!$C$7,F3196)),Assumptions!$D$7,"Other Services"))),"Other Services"))</f>
        <v/>
      </c>
    </row>
    <row r="3197" customFormat="false" ht="15" hidden="false" customHeight="false" outlineLevel="0" collapsed="false">
      <c r="I3197" s="41" t="str">
        <f aca="false">IF(F3197="","",IFERROR(IF(ISNUMBER(SEARCH(Assumptions!$C$5,F3197)),Assumptions!$D$5,IF(ISNUMBER(SEARCH(Assumptions!$C$6,F3197)),Assumptions!$D$6,IF(ISNUMBER(SEARCH(Assumptions!$C$7,F3197)),Assumptions!$D$7,"Other Services"))),"Other Services"))</f>
        <v/>
      </c>
    </row>
    <row r="3198" customFormat="false" ht="15" hidden="false" customHeight="false" outlineLevel="0" collapsed="false">
      <c r="I3198" s="41" t="str">
        <f aca="false">IF(F3198="","",IFERROR(IF(ISNUMBER(SEARCH(Assumptions!$C$5,F3198)),Assumptions!$D$5,IF(ISNUMBER(SEARCH(Assumptions!$C$6,F3198)),Assumptions!$D$6,IF(ISNUMBER(SEARCH(Assumptions!$C$7,F3198)),Assumptions!$D$7,"Other Services"))),"Other Services"))</f>
        <v/>
      </c>
    </row>
    <row r="3199" customFormat="false" ht="15" hidden="false" customHeight="false" outlineLevel="0" collapsed="false">
      <c r="I3199" s="41" t="str">
        <f aca="false">IF(F3199="","",IFERROR(IF(ISNUMBER(SEARCH(Assumptions!$C$5,F3199)),Assumptions!$D$5,IF(ISNUMBER(SEARCH(Assumptions!$C$6,F3199)),Assumptions!$D$6,IF(ISNUMBER(SEARCH(Assumptions!$C$7,F3199)),Assumptions!$D$7,"Other Services"))),"Other Services"))</f>
        <v/>
      </c>
    </row>
    <row r="3200" customFormat="false" ht="15" hidden="false" customHeight="false" outlineLevel="0" collapsed="false">
      <c r="I3200" s="41" t="str">
        <f aca="false">IF(F3200="","",IFERROR(IF(ISNUMBER(SEARCH(Assumptions!$C$5,F3200)),Assumptions!$D$5,IF(ISNUMBER(SEARCH(Assumptions!$C$6,F3200)),Assumptions!$D$6,IF(ISNUMBER(SEARCH(Assumptions!$C$7,F3200)),Assumptions!$D$7,"Other Services"))),"Other Services"))</f>
        <v/>
      </c>
    </row>
    <row r="3201" customFormat="false" ht="15" hidden="false" customHeight="false" outlineLevel="0" collapsed="false">
      <c r="I3201" s="41" t="str">
        <f aca="false">IF(F3201="","",IFERROR(IF(ISNUMBER(SEARCH(Assumptions!$C$5,F3201)),Assumptions!$D$5,IF(ISNUMBER(SEARCH(Assumptions!$C$6,F3201)),Assumptions!$D$6,IF(ISNUMBER(SEARCH(Assumptions!$C$7,F3201)),Assumptions!$D$7,"Other Services"))),"Other Services"))</f>
        <v/>
      </c>
    </row>
    <row r="3202" customFormat="false" ht="15" hidden="false" customHeight="false" outlineLevel="0" collapsed="false">
      <c r="I3202" s="41" t="str">
        <f aca="false">IF(F3202="","",IFERROR(IF(ISNUMBER(SEARCH(Assumptions!$C$5,F3202)),Assumptions!$D$5,IF(ISNUMBER(SEARCH(Assumptions!$C$6,F3202)),Assumptions!$D$6,IF(ISNUMBER(SEARCH(Assumptions!$C$7,F3202)),Assumptions!$D$7,"Other Services"))),"Other Services"))</f>
        <v/>
      </c>
    </row>
    <row r="3203" customFormat="false" ht="15" hidden="false" customHeight="false" outlineLevel="0" collapsed="false">
      <c r="I3203" s="41" t="str">
        <f aca="false">IF(F3203="","",IFERROR(IF(ISNUMBER(SEARCH(Assumptions!$C$5,F3203)),Assumptions!$D$5,IF(ISNUMBER(SEARCH(Assumptions!$C$6,F3203)),Assumptions!$D$6,IF(ISNUMBER(SEARCH(Assumptions!$C$7,F3203)),Assumptions!$D$7,"Other Services"))),"Other Services"))</f>
        <v/>
      </c>
    </row>
    <row r="3204" customFormat="false" ht="15" hidden="false" customHeight="false" outlineLevel="0" collapsed="false">
      <c r="I3204" s="41" t="str">
        <f aca="false">IF(F3204="","",IFERROR(IF(ISNUMBER(SEARCH(Assumptions!$C$5,F3204)),Assumptions!$D$5,IF(ISNUMBER(SEARCH(Assumptions!$C$6,F3204)),Assumptions!$D$6,IF(ISNUMBER(SEARCH(Assumptions!$C$7,F3204)),Assumptions!$D$7,"Other Services"))),"Other Services"))</f>
        <v/>
      </c>
    </row>
    <row r="3205" customFormat="false" ht="15" hidden="false" customHeight="false" outlineLevel="0" collapsed="false">
      <c r="I3205" s="41" t="str">
        <f aca="false">IF(F3205="","",IFERROR(IF(ISNUMBER(SEARCH(Assumptions!$C$5,F3205)),Assumptions!$D$5,IF(ISNUMBER(SEARCH(Assumptions!$C$6,F3205)),Assumptions!$D$6,IF(ISNUMBER(SEARCH(Assumptions!$C$7,F3205)),Assumptions!$D$7,"Other Services"))),"Other Services"))</f>
        <v/>
      </c>
    </row>
    <row r="3206" customFormat="false" ht="15" hidden="false" customHeight="false" outlineLevel="0" collapsed="false">
      <c r="I3206" s="41" t="str">
        <f aca="false">IF(F3206="","",IFERROR(IF(ISNUMBER(SEARCH(Assumptions!$C$5,F3206)),Assumptions!$D$5,IF(ISNUMBER(SEARCH(Assumptions!$C$6,F3206)),Assumptions!$D$6,IF(ISNUMBER(SEARCH(Assumptions!$C$7,F3206)),Assumptions!$D$7,"Other Services"))),"Other Services"))</f>
        <v/>
      </c>
    </row>
    <row r="3207" customFormat="false" ht="15" hidden="false" customHeight="false" outlineLevel="0" collapsed="false">
      <c r="I3207" s="41" t="str">
        <f aca="false">IF(F3207="","",IFERROR(IF(ISNUMBER(SEARCH(Assumptions!$C$5,F3207)),Assumptions!$D$5,IF(ISNUMBER(SEARCH(Assumptions!$C$6,F3207)),Assumptions!$D$6,IF(ISNUMBER(SEARCH(Assumptions!$C$7,F3207)),Assumptions!$D$7,"Other Services"))),"Other Services"))</f>
        <v/>
      </c>
    </row>
    <row r="3208" customFormat="false" ht="15" hidden="false" customHeight="false" outlineLevel="0" collapsed="false">
      <c r="I3208" s="41" t="str">
        <f aca="false">IF(F3208="","",IFERROR(IF(ISNUMBER(SEARCH(Assumptions!$C$5,F3208)),Assumptions!$D$5,IF(ISNUMBER(SEARCH(Assumptions!$C$6,F3208)),Assumptions!$D$6,IF(ISNUMBER(SEARCH(Assumptions!$C$7,F3208)),Assumptions!$D$7,"Other Services"))),"Other Services"))</f>
        <v/>
      </c>
    </row>
    <row r="3209" customFormat="false" ht="15" hidden="false" customHeight="false" outlineLevel="0" collapsed="false">
      <c r="I3209" s="41" t="str">
        <f aca="false">IF(F3209="","",IFERROR(IF(ISNUMBER(SEARCH(Assumptions!$C$5,F3209)),Assumptions!$D$5,IF(ISNUMBER(SEARCH(Assumptions!$C$6,F3209)),Assumptions!$D$6,IF(ISNUMBER(SEARCH(Assumptions!$C$7,F3209)),Assumptions!$D$7,"Other Services"))),"Other Services"))</f>
        <v/>
      </c>
    </row>
    <row r="3210" customFormat="false" ht="15" hidden="false" customHeight="false" outlineLevel="0" collapsed="false">
      <c r="I3210" s="41" t="str">
        <f aca="false">IF(F3210="","",IFERROR(IF(ISNUMBER(SEARCH(Assumptions!$C$5,F3210)),Assumptions!$D$5,IF(ISNUMBER(SEARCH(Assumptions!$C$6,F3210)),Assumptions!$D$6,IF(ISNUMBER(SEARCH(Assumptions!$C$7,F3210)),Assumptions!$D$7,"Other Services"))),"Other Services"))</f>
        <v/>
      </c>
    </row>
    <row r="3211" customFormat="false" ht="15" hidden="false" customHeight="false" outlineLevel="0" collapsed="false">
      <c r="I3211" s="41" t="str">
        <f aca="false">IF(F3211="","",IFERROR(IF(ISNUMBER(SEARCH(Assumptions!$C$5,F3211)),Assumptions!$D$5,IF(ISNUMBER(SEARCH(Assumptions!$C$6,F3211)),Assumptions!$D$6,IF(ISNUMBER(SEARCH(Assumptions!$C$7,F3211)),Assumptions!$D$7,"Other Services"))),"Other Services"))</f>
        <v/>
      </c>
    </row>
    <row r="3212" customFormat="false" ht="15" hidden="false" customHeight="false" outlineLevel="0" collapsed="false">
      <c r="I3212" s="41" t="str">
        <f aca="false">IF(F3212="","",IFERROR(IF(ISNUMBER(SEARCH(Assumptions!$C$5,F3212)),Assumptions!$D$5,IF(ISNUMBER(SEARCH(Assumptions!$C$6,F3212)),Assumptions!$D$6,IF(ISNUMBER(SEARCH(Assumptions!$C$7,F3212)),Assumptions!$D$7,"Other Services"))),"Other Services"))</f>
        <v/>
      </c>
    </row>
    <row r="3213" customFormat="false" ht="15" hidden="false" customHeight="false" outlineLevel="0" collapsed="false">
      <c r="I3213" s="41" t="str">
        <f aca="false">IF(F3213="","",IFERROR(IF(ISNUMBER(SEARCH(Assumptions!$C$5,F3213)),Assumptions!$D$5,IF(ISNUMBER(SEARCH(Assumptions!$C$6,F3213)),Assumptions!$D$6,IF(ISNUMBER(SEARCH(Assumptions!$C$7,F3213)),Assumptions!$D$7,"Other Services"))),"Other Services"))</f>
        <v/>
      </c>
    </row>
    <row r="3214" customFormat="false" ht="15" hidden="false" customHeight="false" outlineLevel="0" collapsed="false">
      <c r="I3214" s="41" t="str">
        <f aca="false">IF(F3214="","",IFERROR(IF(ISNUMBER(SEARCH(Assumptions!$C$5,F3214)),Assumptions!$D$5,IF(ISNUMBER(SEARCH(Assumptions!$C$6,F3214)),Assumptions!$D$6,IF(ISNUMBER(SEARCH(Assumptions!$C$7,F3214)),Assumptions!$D$7,"Other Services"))),"Other Services"))</f>
        <v/>
      </c>
    </row>
    <row r="3215" customFormat="false" ht="15" hidden="false" customHeight="false" outlineLevel="0" collapsed="false">
      <c r="I3215" s="41" t="str">
        <f aca="false">IF(F3215="","",IFERROR(IF(ISNUMBER(SEARCH(Assumptions!$C$5,F3215)),Assumptions!$D$5,IF(ISNUMBER(SEARCH(Assumptions!$C$6,F3215)),Assumptions!$D$6,IF(ISNUMBER(SEARCH(Assumptions!$C$7,F3215)),Assumptions!$D$7,"Other Services"))),"Other Services"))</f>
        <v/>
      </c>
    </row>
    <row r="3216" customFormat="false" ht="15" hidden="false" customHeight="false" outlineLevel="0" collapsed="false">
      <c r="I3216" s="41" t="str">
        <f aca="false">IF(F3216="","",IFERROR(IF(ISNUMBER(SEARCH(Assumptions!$C$5,F3216)),Assumptions!$D$5,IF(ISNUMBER(SEARCH(Assumptions!$C$6,F3216)),Assumptions!$D$6,IF(ISNUMBER(SEARCH(Assumptions!$C$7,F3216)),Assumptions!$D$7,"Other Services"))),"Other Services"))</f>
        <v/>
      </c>
    </row>
    <row r="3217" customFormat="false" ht="15" hidden="false" customHeight="false" outlineLevel="0" collapsed="false">
      <c r="I3217" s="41" t="str">
        <f aca="false">IF(F3217="","",IFERROR(IF(ISNUMBER(SEARCH(Assumptions!$C$5,F3217)),Assumptions!$D$5,IF(ISNUMBER(SEARCH(Assumptions!$C$6,F3217)),Assumptions!$D$6,IF(ISNUMBER(SEARCH(Assumptions!$C$7,F3217)),Assumptions!$D$7,"Other Services"))),"Other Services"))</f>
        <v/>
      </c>
    </row>
    <row r="3218" customFormat="false" ht="15" hidden="false" customHeight="false" outlineLevel="0" collapsed="false">
      <c r="I3218" s="41" t="str">
        <f aca="false">IF(F3218="","",IFERROR(IF(ISNUMBER(SEARCH(Assumptions!$C$5,F3218)),Assumptions!$D$5,IF(ISNUMBER(SEARCH(Assumptions!$C$6,F3218)),Assumptions!$D$6,IF(ISNUMBER(SEARCH(Assumptions!$C$7,F3218)),Assumptions!$D$7,"Other Services"))),"Other Services"))</f>
        <v/>
      </c>
    </row>
    <row r="3219" customFormat="false" ht="15" hidden="false" customHeight="false" outlineLevel="0" collapsed="false">
      <c r="I3219" s="41" t="str">
        <f aca="false">IF(F3219="","",IFERROR(IF(ISNUMBER(SEARCH(Assumptions!$C$5,F3219)),Assumptions!$D$5,IF(ISNUMBER(SEARCH(Assumptions!$C$6,F3219)),Assumptions!$D$6,IF(ISNUMBER(SEARCH(Assumptions!$C$7,F3219)),Assumptions!$D$7,"Other Services"))),"Other Services"))</f>
        <v/>
      </c>
    </row>
    <row r="3220" customFormat="false" ht="15" hidden="false" customHeight="false" outlineLevel="0" collapsed="false">
      <c r="I3220" s="41" t="str">
        <f aca="false">IF(F3220="","",IFERROR(IF(ISNUMBER(SEARCH(Assumptions!$C$5,F3220)),Assumptions!$D$5,IF(ISNUMBER(SEARCH(Assumptions!$C$6,F3220)),Assumptions!$D$6,IF(ISNUMBER(SEARCH(Assumptions!$C$7,F3220)),Assumptions!$D$7,"Other Services"))),"Other Services"))</f>
        <v/>
      </c>
    </row>
    <row r="3221" customFormat="false" ht="15" hidden="false" customHeight="false" outlineLevel="0" collapsed="false">
      <c r="I3221" s="41" t="str">
        <f aca="false">IF(F3221="","",IFERROR(IF(ISNUMBER(SEARCH(Assumptions!$C$5,F3221)),Assumptions!$D$5,IF(ISNUMBER(SEARCH(Assumptions!$C$6,F3221)),Assumptions!$D$6,IF(ISNUMBER(SEARCH(Assumptions!$C$7,F3221)),Assumptions!$D$7,"Other Services"))),"Other Services"))</f>
        <v/>
      </c>
    </row>
    <row r="3222" customFormat="false" ht="15" hidden="false" customHeight="false" outlineLevel="0" collapsed="false">
      <c r="I3222" s="41" t="str">
        <f aca="false">IF(F3222="","",IFERROR(IF(ISNUMBER(SEARCH(Assumptions!$C$5,F3222)),Assumptions!$D$5,IF(ISNUMBER(SEARCH(Assumptions!$C$6,F3222)),Assumptions!$D$6,IF(ISNUMBER(SEARCH(Assumptions!$C$7,F3222)),Assumptions!$D$7,"Other Services"))),"Other Services"))</f>
        <v/>
      </c>
    </row>
    <row r="3223" customFormat="false" ht="15" hidden="false" customHeight="false" outlineLevel="0" collapsed="false">
      <c r="I3223" s="41" t="str">
        <f aca="false">IF(F3223="","",IFERROR(IF(ISNUMBER(SEARCH(Assumptions!$C$5,F3223)),Assumptions!$D$5,IF(ISNUMBER(SEARCH(Assumptions!$C$6,F3223)),Assumptions!$D$6,IF(ISNUMBER(SEARCH(Assumptions!$C$7,F3223)),Assumptions!$D$7,"Other Services"))),"Other Services"))</f>
        <v/>
      </c>
    </row>
    <row r="3224" customFormat="false" ht="15" hidden="false" customHeight="false" outlineLevel="0" collapsed="false">
      <c r="I3224" s="41" t="str">
        <f aca="false">IF(F3224="","",IFERROR(IF(ISNUMBER(SEARCH(Assumptions!$C$5,F3224)),Assumptions!$D$5,IF(ISNUMBER(SEARCH(Assumptions!$C$6,F3224)),Assumptions!$D$6,IF(ISNUMBER(SEARCH(Assumptions!$C$7,F3224)),Assumptions!$D$7,"Other Services"))),"Other Services"))</f>
        <v/>
      </c>
    </row>
    <row r="3225" customFormat="false" ht="15" hidden="false" customHeight="false" outlineLevel="0" collapsed="false">
      <c r="I3225" s="41" t="str">
        <f aca="false">IF(F3225="","",IFERROR(IF(ISNUMBER(SEARCH(Assumptions!$C$5,F3225)),Assumptions!$D$5,IF(ISNUMBER(SEARCH(Assumptions!$C$6,F3225)),Assumptions!$D$6,IF(ISNUMBER(SEARCH(Assumptions!$C$7,F3225)),Assumptions!$D$7,"Other Services"))),"Other Services"))</f>
        <v/>
      </c>
    </row>
    <row r="3226" customFormat="false" ht="15" hidden="false" customHeight="false" outlineLevel="0" collapsed="false">
      <c r="I3226" s="41" t="str">
        <f aca="false">IF(F3226="","",IFERROR(IF(ISNUMBER(SEARCH(Assumptions!$C$5,F3226)),Assumptions!$D$5,IF(ISNUMBER(SEARCH(Assumptions!$C$6,F3226)),Assumptions!$D$6,IF(ISNUMBER(SEARCH(Assumptions!$C$7,F3226)),Assumptions!$D$7,"Other Services"))),"Other Services"))</f>
        <v/>
      </c>
    </row>
    <row r="3227" customFormat="false" ht="15" hidden="false" customHeight="false" outlineLevel="0" collapsed="false">
      <c r="I3227" s="41" t="str">
        <f aca="false">IF(F3227="","",IFERROR(IF(ISNUMBER(SEARCH(Assumptions!$C$5,F3227)),Assumptions!$D$5,IF(ISNUMBER(SEARCH(Assumptions!$C$6,F3227)),Assumptions!$D$6,IF(ISNUMBER(SEARCH(Assumptions!$C$7,F3227)),Assumptions!$D$7,"Other Services"))),"Other Services"))</f>
        <v/>
      </c>
    </row>
    <row r="3228" customFormat="false" ht="15" hidden="false" customHeight="false" outlineLevel="0" collapsed="false">
      <c r="I3228" s="41" t="str">
        <f aca="false">IF(F3228="","",IFERROR(IF(ISNUMBER(SEARCH(Assumptions!$C$5,F3228)),Assumptions!$D$5,IF(ISNUMBER(SEARCH(Assumptions!$C$6,F3228)),Assumptions!$D$6,IF(ISNUMBER(SEARCH(Assumptions!$C$7,F3228)),Assumptions!$D$7,"Other Services"))),"Other Services"))</f>
        <v/>
      </c>
    </row>
    <row r="3229" customFormat="false" ht="15" hidden="false" customHeight="false" outlineLevel="0" collapsed="false">
      <c r="I3229" s="41" t="str">
        <f aca="false">IF(F3229="","",IFERROR(IF(ISNUMBER(SEARCH(Assumptions!$C$5,F3229)),Assumptions!$D$5,IF(ISNUMBER(SEARCH(Assumptions!$C$6,F3229)),Assumptions!$D$6,IF(ISNUMBER(SEARCH(Assumptions!$C$7,F3229)),Assumptions!$D$7,"Other Services"))),"Other Services"))</f>
        <v/>
      </c>
    </row>
    <row r="3230" customFormat="false" ht="15" hidden="false" customHeight="false" outlineLevel="0" collapsed="false">
      <c r="I3230" s="41" t="str">
        <f aca="false">IF(F3230="","",IFERROR(IF(ISNUMBER(SEARCH(Assumptions!$C$5,F3230)),Assumptions!$D$5,IF(ISNUMBER(SEARCH(Assumptions!$C$6,F3230)),Assumptions!$D$6,IF(ISNUMBER(SEARCH(Assumptions!$C$7,F3230)),Assumptions!$D$7,"Other Services"))),"Other Services"))</f>
        <v/>
      </c>
    </row>
    <row r="3231" customFormat="false" ht="15" hidden="false" customHeight="false" outlineLevel="0" collapsed="false">
      <c r="I3231" s="41" t="str">
        <f aca="false">IF(F3231="","",IFERROR(IF(ISNUMBER(SEARCH(Assumptions!$C$5,F3231)),Assumptions!$D$5,IF(ISNUMBER(SEARCH(Assumptions!$C$6,F3231)),Assumptions!$D$6,IF(ISNUMBER(SEARCH(Assumptions!$C$7,F3231)),Assumptions!$D$7,"Other Services"))),"Other Services"))</f>
        <v/>
      </c>
    </row>
    <row r="3232" customFormat="false" ht="15" hidden="false" customHeight="false" outlineLevel="0" collapsed="false">
      <c r="I3232" s="41" t="str">
        <f aca="false">IF(F3232="","",IFERROR(IF(ISNUMBER(SEARCH(Assumptions!$C$5,F3232)),Assumptions!$D$5,IF(ISNUMBER(SEARCH(Assumptions!$C$6,F3232)),Assumptions!$D$6,IF(ISNUMBER(SEARCH(Assumptions!$C$7,F3232)),Assumptions!$D$7,"Other Services"))),"Other Services"))</f>
        <v/>
      </c>
    </row>
    <row r="3233" customFormat="false" ht="15" hidden="false" customHeight="false" outlineLevel="0" collapsed="false">
      <c r="I3233" s="41" t="str">
        <f aca="false">IF(F3233="","",IFERROR(IF(ISNUMBER(SEARCH(Assumptions!$C$5,F3233)),Assumptions!$D$5,IF(ISNUMBER(SEARCH(Assumptions!$C$6,F3233)),Assumptions!$D$6,IF(ISNUMBER(SEARCH(Assumptions!$C$7,F3233)),Assumptions!$D$7,"Other Services"))),"Other Services"))</f>
        <v/>
      </c>
    </row>
    <row r="3234" customFormat="false" ht="15" hidden="false" customHeight="false" outlineLevel="0" collapsed="false">
      <c r="I3234" s="41" t="str">
        <f aca="false">IF(F3234="","",IFERROR(IF(ISNUMBER(SEARCH(Assumptions!$C$5,F3234)),Assumptions!$D$5,IF(ISNUMBER(SEARCH(Assumptions!$C$6,F3234)),Assumptions!$D$6,IF(ISNUMBER(SEARCH(Assumptions!$C$7,F3234)),Assumptions!$D$7,"Other Services"))),"Other Services"))</f>
        <v/>
      </c>
    </row>
    <row r="3235" customFormat="false" ht="15" hidden="false" customHeight="false" outlineLevel="0" collapsed="false">
      <c r="I3235" s="41" t="str">
        <f aca="false">IF(F3235="","",IFERROR(IF(ISNUMBER(SEARCH(Assumptions!$C$5,F3235)),Assumptions!$D$5,IF(ISNUMBER(SEARCH(Assumptions!$C$6,F3235)),Assumptions!$D$6,IF(ISNUMBER(SEARCH(Assumptions!$C$7,F3235)),Assumptions!$D$7,"Other Services"))),"Other Services"))</f>
        <v/>
      </c>
    </row>
    <row r="3236" customFormat="false" ht="15" hidden="false" customHeight="false" outlineLevel="0" collapsed="false">
      <c r="I3236" s="41" t="str">
        <f aca="false">IF(F3236="","",IFERROR(IF(ISNUMBER(SEARCH(Assumptions!$C$5,F3236)),Assumptions!$D$5,IF(ISNUMBER(SEARCH(Assumptions!$C$6,F3236)),Assumptions!$D$6,IF(ISNUMBER(SEARCH(Assumptions!$C$7,F3236)),Assumptions!$D$7,"Other Services"))),"Other Services"))</f>
        <v/>
      </c>
    </row>
    <row r="3237" customFormat="false" ht="15" hidden="false" customHeight="false" outlineLevel="0" collapsed="false">
      <c r="I3237" s="41" t="str">
        <f aca="false">IF(F3237="","",IFERROR(IF(ISNUMBER(SEARCH(Assumptions!$C$5,F3237)),Assumptions!$D$5,IF(ISNUMBER(SEARCH(Assumptions!$C$6,F3237)),Assumptions!$D$6,IF(ISNUMBER(SEARCH(Assumptions!$C$7,F3237)),Assumptions!$D$7,"Other Services"))),"Other Services"))</f>
        <v/>
      </c>
    </row>
    <row r="3238" customFormat="false" ht="15" hidden="false" customHeight="false" outlineLevel="0" collapsed="false">
      <c r="I3238" s="41" t="str">
        <f aca="false">IF(F3238="","",IFERROR(IF(ISNUMBER(SEARCH(Assumptions!$C$5,F3238)),Assumptions!$D$5,IF(ISNUMBER(SEARCH(Assumptions!$C$6,F3238)),Assumptions!$D$6,IF(ISNUMBER(SEARCH(Assumptions!$C$7,F3238)),Assumptions!$D$7,"Other Services"))),"Other Services"))</f>
        <v/>
      </c>
    </row>
    <row r="3239" customFormat="false" ht="15" hidden="false" customHeight="false" outlineLevel="0" collapsed="false">
      <c r="I3239" s="41" t="str">
        <f aca="false">IF(F3239="","",IFERROR(IF(ISNUMBER(SEARCH(Assumptions!$C$5,F3239)),Assumptions!$D$5,IF(ISNUMBER(SEARCH(Assumptions!$C$6,F3239)),Assumptions!$D$6,IF(ISNUMBER(SEARCH(Assumptions!$C$7,F3239)),Assumptions!$D$7,"Other Services"))),"Other Services"))</f>
        <v/>
      </c>
    </row>
    <row r="3240" customFormat="false" ht="15" hidden="false" customHeight="false" outlineLevel="0" collapsed="false">
      <c r="I3240" s="41" t="str">
        <f aca="false">IF(F3240="","",IFERROR(IF(ISNUMBER(SEARCH(Assumptions!$C$5,F3240)),Assumptions!$D$5,IF(ISNUMBER(SEARCH(Assumptions!$C$6,F3240)),Assumptions!$D$6,IF(ISNUMBER(SEARCH(Assumptions!$C$7,F3240)),Assumptions!$D$7,"Other Services"))),"Other Services"))</f>
        <v/>
      </c>
    </row>
    <row r="3241" customFormat="false" ht="15" hidden="false" customHeight="false" outlineLevel="0" collapsed="false">
      <c r="I3241" s="41" t="str">
        <f aca="false">IF(F3241="","",IFERROR(IF(ISNUMBER(SEARCH(Assumptions!$C$5,F3241)),Assumptions!$D$5,IF(ISNUMBER(SEARCH(Assumptions!$C$6,F3241)),Assumptions!$D$6,IF(ISNUMBER(SEARCH(Assumptions!$C$7,F3241)),Assumptions!$D$7,"Other Services"))),"Other Services"))</f>
        <v/>
      </c>
    </row>
    <row r="3242" customFormat="false" ht="15" hidden="false" customHeight="false" outlineLevel="0" collapsed="false">
      <c r="I3242" s="41" t="str">
        <f aca="false">IF(F3242="","",IFERROR(IF(ISNUMBER(SEARCH(Assumptions!$C$5,F3242)),Assumptions!$D$5,IF(ISNUMBER(SEARCH(Assumptions!$C$6,F3242)),Assumptions!$D$6,IF(ISNUMBER(SEARCH(Assumptions!$C$7,F3242)),Assumptions!$D$7,"Other Services"))),"Other Services"))</f>
        <v/>
      </c>
    </row>
    <row r="3243" customFormat="false" ht="15" hidden="false" customHeight="false" outlineLevel="0" collapsed="false">
      <c r="I3243" s="41" t="str">
        <f aca="false">IF(F3243="","",IFERROR(IF(ISNUMBER(SEARCH(Assumptions!$C$5,F3243)),Assumptions!$D$5,IF(ISNUMBER(SEARCH(Assumptions!$C$6,F3243)),Assumptions!$D$6,IF(ISNUMBER(SEARCH(Assumptions!$C$7,F3243)),Assumptions!$D$7,"Other Services"))),"Other Services"))</f>
        <v/>
      </c>
    </row>
    <row r="3244" customFormat="false" ht="15" hidden="false" customHeight="false" outlineLevel="0" collapsed="false">
      <c r="I3244" s="41" t="str">
        <f aca="false">IF(F3244="","",IFERROR(IF(ISNUMBER(SEARCH(Assumptions!$C$5,F3244)),Assumptions!$D$5,IF(ISNUMBER(SEARCH(Assumptions!$C$6,F3244)),Assumptions!$D$6,IF(ISNUMBER(SEARCH(Assumptions!$C$7,F3244)),Assumptions!$D$7,"Other Services"))),"Other Services"))</f>
        <v/>
      </c>
    </row>
    <row r="3245" customFormat="false" ht="15" hidden="false" customHeight="false" outlineLevel="0" collapsed="false">
      <c r="I3245" s="41" t="str">
        <f aca="false">IF(F3245="","",IFERROR(IF(ISNUMBER(SEARCH(Assumptions!$C$5,F3245)),Assumptions!$D$5,IF(ISNUMBER(SEARCH(Assumptions!$C$6,F3245)),Assumptions!$D$6,IF(ISNUMBER(SEARCH(Assumptions!$C$7,F3245)),Assumptions!$D$7,"Other Services"))),"Other Services"))</f>
        <v/>
      </c>
    </row>
    <row r="3246" customFormat="false" ht="15" hidden="false" customHeight="false" outlineLevel="0" collapsed="false">
      <c r="I3246" s="41" t="str">
        <f aca="false">IF(F3246="","",IFERROR(IF(ISNUMBER(SEARCH(Assumptions!$C$5,F3246)),Assumptions!$D$5,IF(ISNUMBER(SEARCH(Assumptions!$C$6,F3246)),Assumptions!$D$6,IF(ISNUMBER(SEARCH(Assumptions!$C$7,F3246)),Assumptions!$D$7,"Other Services"))),"Other Services"))</f>
        <v/>
      </c>
    </row>
    <row r="3247" customFormat="false" ht="15" hidden="false" customHeight="false" outlineLevel="0" collapsed="false">
      <c r="I3247" s="41" t="str">
        <f aca="false">IF(F3247="","",IFERROR(IF(ISNUMBER(SEARCH(Assumptions!$C$5,F3247)),Assumptions!$D$5,IF(ISNUMBER(SEARCH(Assumptions!$C$6,F3247)),Assumptions!$D$6,IF(ISNUMBER(SEARCH(Assumptions!$C$7,F3247)),Assumptions!$D$7,"Other Services"))),"Other Services"))</f>
        <v/>
      </c>
    </row>
    <row r="3248" customFormat="false" ht="15" hidden="false" customHeight="false" outlineLevel="0" collapsed="false">
      <c r="I3248" s="41" t="str">
        <f aca="false">IF(F3248="","",IFERROR(IF(ISNUMBER(SEARCH(Assumptions!$C$5,F3248)),Assumptions!$D$5,IF(ISNUMBER(SEARCH(Assumptions!$C$6,F3248)),Assumptions!$D$6,IF(ISNUMBER(SEARCH(Assumptions!$C$7,F3248)),Assumptions!$D$7,"Other Services"))),"Other Services"))</f>
        <v/>
      </c>
    </row>
    <row r="3249" customFormat="false" ht="15" hidden="false" customHeight="false" outlineLevel="0" collapsed="false">
      <c r="I3249" s="41" t="str">
        <f aca="false">IF(F3249="","",IFERROR(IF(ISNUMBER(SEARCH(Assumptions!$C$5,F3249)),Assumptions!$D$5,IF(ISNUMBER(SEARCH(Assumptions!$C$6,F3249)),Assumptions!$D$6,IF(ISNUMBER(SEARCH(Assumptions!$C$7,F3249)),Assumptions!$D$7,"Other Services"))),"Other Services"))</f>
        <v/>
      </c>
    </row>
    <row r="3250" customFormat="false" ht="15" hidden="false" customHeight="false" outlineLevel="0" collapsed="false">
      <c r="I3250" s="41" t="str">
        <f aca="false">IF(F3250="","",IFERROR(IF(ISNUMBER(SEARCH(Assumptions!$C$5,F3250)),Assumptions!$D$5,IF(ISNUMBER(SEARCH(Assumptions!$C$6,F3250)),Assumptions!$D$6,IF(ISNUMBER(SEARCH(Assumptions!$C$7,F3250)),Assumptions!$D$7,"Other Services"))),"Other Services"))</f>
        <v/>
      </c>
    </row>
    <row r="3251" customFormat="false" ht="15" hidden="false" customHeight="false" outlineLevel="0" collapsed="false">
      <c r="I3251" s="41" t="str">
        <f aca="false">IF(F3251="","",IFERROR(IF(ISNUMBER(SEARCH(Assumptions!$C$5,F3251)),Assumptions!$D$5,IF(ISNUMBER(SEARCH(Assumptions!$C$6,F3251)),Assumptions!$D$6,IF(ISNUMBER(SEARCH(Assumptions!$C$7,F3251)),Assumptions!$D$7,"Other Services"))),"Other Services"))</f>
        <v/>
      </c>
    </row>
    <row r="3252" customFormat="false" ht="15" hidden="false" customHeight="false" outlineLevel="0" collapsed="false">
      <c r="I3252" s="41" t="str">
        <f aca="false">IF(F3252="","",IFERROR(IF(ISNUMBER(SEARCH(Assumptions!$C$5,F3252)),Assumptions!$D$5,IF(ISNUMBER(SEARCH(Assumptions!$C$6,F3252)),Assumptions!$D$6,IF(ISNUMBER(SEARCH(Assumptions!$C$7,F3252)),Assumptions!$D$7,"Other Services"))),"Other Services"))</f>
        <v/>
      </c>
    </row>
    <row r="3253" customFormat="false" ht="15" hidden="false" customHeight="false" outlineLevel="0" collapsed="false">
      <c r="I3253" s="41" t="str">
        <f aca="false">IF(F3253="","",IFERROR(IF(ISNUMBER(SEARCH(Assumptions!$C$5,F3253)),Assumptions!$D$5,IF(ISNUMBER(SEARCH(Assumptions!$C$6,F3253)),Assumptions!$D$6,IF(ISNUMBER(SEARCH(Assumptions!$C$7,F3253)),Assumptions!$D$7,"Other Services"))),"Other Services"))</f>
        <v/>
      </c>
    </row>
    <row r="3254" customFormat="false" ht="15" hidden="false" customHeight="false" outlineLevel="0" collapsed="false">
      <c r="I3254" s="41" t="str">
        <f aca="false">IF(F3254="","",IFERROR(IF(ISNUMBER(SEARCH(Assumptions!$C$5,F3254)),Assumptions!$D$5,IF(ISNUMBER(SEARCH(Assumptions!$C$6,F3254)),Assumptions!$D$6,IF(ISNUMBER(SEARCH(Assumptions!$C$7,F3254)),Assumptions!$D$7,"Other Services"))),"Other Services"))</f>
        <v/>
      </c>
    </row>
    <row r="3255" customFormat="false" ht="15" hidden="false" customHeight="false" outlineLevel="0" collapsed="false">
      <c r="I3255" s="41" t="str">
        <f aca="false">IF(F3255="","",IFERROR(IF(ISNUMBER(SEARCH(Assumptions!$C$5,F3255)),Assumptions!$D$5,IF(ISNUMBER(SEARCH(Assumptions!$C$6,F3255)),Assumptions!$D$6,IF(ISNUMBER(SEARCH(Assumptions!$C$7,F3255)),Assumptions!$D$7,"Other Services"))),"Other Services"))</f>
        <v/>
      </c>
    </row>
    <row r="3256" customFormat="false" ht="15" hidden="false" customHeight="false" outlineLevel="0" collapsed="false">
      <c r="I3256" s="41" t="str">
        <f aca="false">IF(F3256="","",IFERROR(IF(ISNUMBER(SEARCH(Assumptions!$C$5,F3256)),Assumptions!$D$5,IF(ISNUMBER(SEARCH(Assumptions!$C$6,F3256)),Assumptions!$D$6,IF(ISNUMBER(SEARCH(Assumptions!$C$7,F3256)),Assumptions!$D$7,"Other Services"))),"Other Services"))</f>
        <v/>
      </c>
    </row>
    <row r="3257" customFormat="false" ht="15" hidden="false" customHeight="false" outlineLevel="0" collapsed="false">
      <c r="I3257" s="41" t="str">
        <f aca="false">IF(F3257="","",IFERROR(IF(ISNUMBER(SEARCH(Assumptions!$C$5,F3257)),Assumptions!$D$5,IF(ISNUMBER(SEARCH(Assumptions!$C$6,F3257)),Assumptions!$D$6,IF(ISNUMBER(SEARCH(Assumptions!$C$7,F3257)),Assumptions!$D$7,"Other Services"))),"Other Services"))</f>
        <v/>
      </c>
    </row>
    <row r="3258" customFormat="false" ht="15" hidden="false" customHeight="false" outlineLevel="0" collapsed="false">
      <c r="I3258" s="41" t="str">
        <f aca="false">IF(F3258="","",IFERROR(IF(ISNUMBER(SEARCH(Assumptions!$C$5,F3258)),Assumptions!$D$5,IF(ISNUMBER(SEARCH(Assumptions!$C$6,F3258)),Assumptions!$D$6,IF(ISNUMBER(SEARCH(Assumptions!$C$7,F3258)),Assumptions!$D$7,"Other Services"))),"Other Services"))</f>
        <v/>
      </c>
    </row>
    <row r="3259" customFormat="false" ht="15" hidden="false" customHeight="false" outlineLevel="0" collapsed="false">
      <c r="I3259" s="41" t="str">
        <f aca="false">IF(F3259="","",IFERROR(IF(ISNUMBER(SEARCH(Assumptions!$C$5,F3259)),Assumptions!$D$5,IF(ISNUMBER(SEARCH(Assumptions!$C$6,F3259)),Assumptions!$D$6,IF(ISNUMBER(SEARCH(Assumptions!$C$7,F3259)),Assumptions!$D$7,"Other Services"))),"Other Services"))</f>
        <v/>
      </c>
    </row>
    <row r="3260" customFormat="false" ht="15" hidden="false" customHeight="false" outlineLevel="0" collapsed="false">
      <c r="I3260" s="41" t="str">
        <f aca="false">IF(F3260="","",IFERROR(IF(ISNUMBER(SEARCH(Assumptions!$C$5,F3260)),Assumptions!$D$5,IF(ISNUMBER(SEARCH(Assumptions!$C$6,F3260)),Assumptions!$D$6,IF(ISNUMBER(SEARCH(Assumptions!$C$7,F3260)),Assumptions!$D$7,"Other Services"))),"Other Services"))</f>
        <v/>
      </c>
    </row>
    <row r="3261" customFormat="false" ht="15" hidden="false" customHeight="false" outlineLevel="0" collapsed="false">
      <c r="I3261" s="41" t="str">
        <f aca="false">IF(F3261="","",IFERROR(IF(ISNUMBER(SEARCH(Assumptions!$C$5,F3261)),Assumptions!$D$5,IF(ISNUMBER(SEARCH(Assumptions!$C$6,F3261)),Assumptions!$D$6,IF(ISNUMBER(SEARCH(Assumptions!$C$7,F3261)),Assumptions!$D$7,"Other Services"))),"Other Services"))</f>
        <v/>
      </c>
    </row>
    <row r="3262" customFormat="false" ht="15" hidden="false" customHeight="false" outlineLevel="0" collapsed="false">
      <c r="I3262" s="41" t="str">
        <f aca="false">IF(F3262="","",IFERROR(IF(ISNUMBER(SEARCH(Assumptions!$C$5,F3262)),Assumptions!$D$5,IF(ISNUMBER(SEARCH(Assumptions!$C$6,F3262)),Assumptions!$D$6,IF(ISNUMBER(SEARCH(Assumptions!$C$7,F3262)),Assumptions!$D$7,"Other Services"))),"Other Services"))</f>
        <v/>
      </c>
    </row>
    <row r="3263" customFormat="false" ht="15" hidden="false" customHeight="false" outlineLevel="0" collapsed="false">
      <c r="I3263" s="41" t="str">
        <f aca="false">IF(F3263="","",IFERROR(IF(ISNUMBER(SEARCH(Assumptions!$C$5,F3263)),Assumptions!$D$5,IF(ISNUMBER(SEARCH(Assumptions!$C$6,F3263)),Assumptions!$D$6,IF(ISNUMBER(SEARCH(Assumptions!$C$7,F3263)),Assumptions!$D$7,"Other Services"))),"Other Services"))</f>
        <v/>
      </c>
    </row>
    <row r="3264" customFormat="false" ht="15" hidden="false" customHeight="false" outlineLevel="0" collapsed="false">
      <c r="I3264" s="41" t="str">
        <f aca="false">IF(F3264="","",IFERROR(IF(ISNUMBER(SEARCH(Assumptions!$C$5,F3264)),Assumptions!$D$5,IF(ISNUMBER(SEARCH(Assumptions!$C$6,F3264)),Assumptions!$D$6,IF(ISNUMBER(SEARCH(Assumptions!$C$7,F3264)),Assumptions!$D$7,"Other Services"))),"Other Services"))</f>
        <v/>
      </c>
    </row>
    <row r="3265" customFormat="false" ht="15" hidden="false" customHeight="false" outlineLevel="0" collapsed="false">
      <c r="I3265" s="41" t="str">
        <f aca="false">IF(F3265="","",IFERROR(IF(ISNUMBER(SEARCH(Assumptions!$C$5,F3265)),Assumptions!$D$5,IF(ISNUMBER(SEARCH(Assumptions!$C$6,F3265)),Assumptions!$D$6,IF(ISNUMBER(SEARCH(Assumptions!$C$7,F3265)),Assumptions!$D$7,"Other Services"))),"Other Services"))</f>
        <v/>
      </c>
    </row>
    <row r="3266" customFormat="false" ht="15" hidden="false" customHeight="false" outlineLevel="0" collapsed="false">
      <c r="I3266" s="41" t="str">
        <f aca="false">IF(F3266="","",IFERROR(IF(ISNUMBER(SEARCH(Assumptions!$C$5,F3266)),Assumptions!$D$5,IF(ISNUMBER(SEARCH(Assumptions!$C$6,F3266)),Assumptions!$D$6,IF(ISNUMBER(SEARCH(Assumptions!$C$7,F3266)),Assumptions!$D$7,"Other Services"))),"Other Services"))</f>
        <v/>
      </c>
    </row>
    <row r="3267" customFormat="false" ht="15" hidden="false" customHeight="false" outlineLevel="0" collapsed="false">
      <c r="I3267" s="41" t="str">
        <f aca="false">IF(F3267="","",IFERROR(IF(ISNUMBER(SEARCH(Assumptions!$C$5,F3267)),Assumptions!$D$5,IF(ISNUMBER(SEARCH(Assumptions!$C$6,F3267)),Assumptions!$D$6,IF(ISNUMBER(SEARCH(Assumptions!$C$7,F3267)),Assumptions!$D$7,"Other Services"))),"Other Services"))</f>
        <v/>
      </c>
    </row>
    <row r="3268" customFormat="false" ht="15" hidden="false" customHeight="false" outlineLevel="0" collapsed="false">
      <c r="I3268" s="41" t="str">
        <f aca="false">IF(F3268="","",IFERROR(IF(ISNUMBER(SEARCH(Assumptions!$C$5,F3268)),Assumptions!$D$5,IF(ISNUMBER(SEARCH(Assumptions!$C$6,F3268)),Assumptions!$D$6,IF(ISNUMBER(SEARCH(Assumptions!$C$7,F3268)),Assumptions!$D$7,"Other Services"))),"Other Services"))</f>
        <v/>
      </c>
    </row>
    <row r="3269" customFormat="false" ht="15" hidden="false" customHeight="false" outlineLevel="0" collapsed="false">
      <c r="I3269" s="41" t="str">
        <f aca="false">IF(F3269="","",IFERROR(IF(ISNUMBER(SEARCH(Assumptions!$C$5,F3269)),Assumptions!$D$5,IF(ISNUMBER(SEARCH(Assumptions!$C$6,F3269)),Assumptions!$D$6,IF(ISNUMBER(SEARCH(Assumptions!$C$7,F3269)),Assumptions!$D$7,"Other Services"))),"Other Services"))</f>
        <v/>
      </c>
    </row>
    <row r="3270" customFormat="false" ht="15" hidden="false" customHeight="false" outlineLevel="0" collapsed="false">
      <c r="I3270" s="41" t="str">
        <f aca="false">IF(F3270="","",IFERROR(IF(ISNUMBER(SEARCH(Assumptions!$C$5,F3270)),Assumptions!$D$5,IF(ISNUMBER(SEARCH(Assumptions!$C$6,F3270)),Assumptions!$D$6,IF(ISNUMBER(SEARCH(Assumptions!$C$7,F3270)),Assumptions!$D$7,"Other Services"))),"Other Services"))</f>
        <v/>
      </c>
    </row>
    <row r="3271" customFormat="false" ht="15" hidden="false" customHeight="false" outlineLevel="0" collapsed="false">
      <c r="I3271" s="41" t="str">
        <f aca="false">IF(F3271="","",IFERROR(IF(ISNUMBER(SEARCH(Assumptions!$C$5,F3271)),Assumptions!$D$5,IF(ISNUMBER(SEARCH(Assumptions!$C$6,F3271)),Assumptions!$D$6,IF(ISNUMBER(SEARCH(Assumptions!$C$7,F3271)),Assumptions!$D$7,"Other Services"))),"Other Services"))</f>
        <v/>
      </c>
    </row>
    <row r="3272" customFormat="false" ht="15" hidden="false" customHeight="false" outlineLevel="0" collapsed="false">
      <c r="I3272" s="41" t="str">
        <f aca="false">IF(F3272="","",IFERROR(IF(ISNUMBER(SEARCH(Assumptions!$C$5,F3272)),Assumptions!$D$5,IF(ISNUMBER(SEARCH(Assumptions!$C$6,F3272)),Assumptions!$D$6,IF(ISNUMBER(SEARCH(Assumptions!$C$7,F3272)),Assumptions!$D$7,"Other Services"))),"Other Services"))</f>
        <v/>
      </c>
    </row>
    <row r="3273" customFormat="false" ht="15" hidden="false" customHeight="false" outlineLevel="0" collapsed="false">
      <c r="I3273" s="41" t="str">
        <f aca="false">IF(F3273="","",IFERROR(IF(ISNUMBER(SEARCH(Assumptions!$C$5,F3273)),Assumptions!$D$5,IF(ISNUMBER(SEARCH(Assumptions!$C$6,F3273)),Assumptions!$D$6,IF(ISNUMBER(SEARCH(Assumptions!$C$7,F3273)),Assumptions!$D$7,"Other Services"))),"Other Services"))</f>
        <v/>
      </c>
    </row>
    <row r="3274" customFormat="false" ht="15" hidden="false" customHeight="false" outlineLevel="0" collapsed="false">
      <c r="I3274" s="41" t="str">
        <f aca="false">IF(F3274="","",IFERROR(IF(ISNUMBER(SEARCH(Assumptions!$C$5,F3274)),Assumptions!$D$5,IF(ISNUMBER(SEARCH(Assumptions!$C$6,F3274)),Assumptions!$D$6,IF(ISNUMBER(SEARCH(Assumptions!$C$7,F3274)),Assumptions!$D$7,"Other Services"))),"Other Services"))</f>
        <v/>
      </c>
    </row>
    <row r="3275" customFormat="false" ht="15" hidden="false" customHeight="false" outlineLevel="0" collapsed="false">
      <c r="I3275" s="41" t="str">
        <f aca="false">IF(F3275="","",IFERROR(IF(ISNUMBER(SEARCH(Assumptions!$C$5,F3275)),Assumptions!$D$5,IF(ISNUMBER(SEARCH(Assumptions!$C$6,F3275)),Assumptions!$D$6,IF(ISNUMBER(SEARCH(Assumptions!$C$7,F3275)),Assumptions!$D$7,"Other Services"))),"Other Services"))</f>
        <v/>
      </c>
    </row>
    <row r="3276" customFormat="false" ht="15" hidden="false" customHeight="false" outlineLevel="0" collapsed="false">
      <c r="I3276" s="41" t="str">
        <f aca="false">IF(F3276="","",IFERROR(IF(ISNUMBER(SEARCH(Assumptions!$C$5,F3276)),Assumptions!$D$5,IF(ISNUMBER(SEARCH(Assumptions!$C$6,F3276)),Assumptions!$D$6,IF(ISNUMBER(SEARCH(Assumptions!$C$7,F3276)),Assumptions!$D$7,"Other Services"))),"Other Services"))</f>
        <v/>
      </c>
    </row>
    <row r="3277" customFormat="false" ht="15" hidden="false" customHeight="false" outlineLevel="0" collapsed="false">
      <c r="I3277" s="41" t="str">
        <f aca="false">IF(F3277="","",IFERROR(IF(ISNUMBER(SEARCH(Assumptions!$C$5,F3277)),Assumptions!$D$5,IF(ISNUMBER(SEARCH(Assumptions!$C$6,F3277)),Assumptions!$D$6,IF(ISNUMBER(SEARCH(Assumptions!$C$7,F3277)),Assumptions!$D$7,"Other Services"))),"Other Services"))</f>
        <v/>
      </c>
    </row>
    <row r="3278" customFormat="false" ht="15" hidden="false" customHeight="false" outlineLevel="0" collapsed="false">
      <c r="I3278" s="41" t="str">
        <f aca="false">IF(F3278="","",IFERROR(IF(ISNUMBER(SEARCH(Assumptions!$C$5,F3278)),Assumptions!$D$5,IF(ISNUMBER(SEARCH(Assumptions!$C$6,F3278)),Assumptions!$D$6,IF(ISNUMBER(SEARCH(Assumptions!$C$7,F3278)),Assumptions!$D$7,"Other Services"))),"Other Services"))</f>
        <v/>
      </c>
    </row>
    <row r="3279" customFormat="false" ht="15" hidden="false" customHeight="false" outlineLevel="0" collapsed="false">
      <c r="I3279" s="41" t="str">
        <f aca="false">IF(F3279="","",IFERROR(IF(ISNUMBER(SEARCH(Assumptions!$C$5,F3279)),Assumptions!$D$5,IF(ISNUMBER(SEARCH(Assumptions!$C$6,F3279)),Assumptions!$D$6,IF(ISNUMBER(SEARCH(Assumptions!$C$7,F3279)),Assumptions!$D$7,"Other Services"))),"Other Services"))</f>
        <v/>
      </c>
    </row>
    <row r="3280" customFormat="false" ht="15" hidden="false" customHeight="false" outlineLevel="0" collapsed="false">
      <c r="I3280" s="41" t="str">
        <f aca="false">IF(F3280="","",IFERROR(IF(ISNUMBER(SEARCH(Assumptions!$C$5,F3280)),Assumptions!$D$5,IF(ISNUMBER(SEARCH(Assumptions!$C$6,F3280)),Assumptions!$D$6,IF(ISNUMBER(SEARCH(Assumptions!$C$7,F3280)),Assumptions!$D$7,"Other Services"))),"Other Services"))</f>
        <v/>
      </c>
    </row>
    <row r="3281" customFormat="false" ht="15" hidden="false" customHeight="false" outlineLevel="0" collapsed="false">
      <c r="I3281" s="41" t="str">
        <f aca="false">IF(F3281="","",IFERROR(IF(ISNUMBER(SEARCH(Assumptions!$C$5,F3281)),Assumptions!$D$5,IF(ISNUMBER(SEARCH(Assumptions!$C$6,F3281)),Assumptions!$D$6,IF(ISNUMBER(SEARCH(Assumptions!$C$7,F3281)),Assumptions!$D$7,"Other Services"))),"Other Services"))</f>
        <v/>
      </c>
    </row>
    <row r="3282" customFormat="false" ht="15" hidden="false" customHeight="false" outlineLevel="0" collapsed="false">
      <c r="I3282" s="41" t="str">
        <f aca="false">IF(F3282="","",IFERROR(IF(ISNUMBER(SEARCH(Assumptions!$C$5,F3282)),Assumptions!$D$5,IF(ISNUMBER(SEARCH(Assumptions!$C$6,F3282)),Assumptions!$D$6,IF(ISNUMBER(SEARCH(Assumptions!$C$7,F3282)),Assumptions!$D$7,"Other Services"))),"Other Services"))</f>
        <v/>
      </c>
    </row>
    <row r="3283" customFormat="false" ht="15" hidden="false" customHeight="false" outlineLevel="0" collapsed="false">
      <c r="I3283" s="41" t="str">
        <f aca="false">IF(F3283="","",IFERROR(IF(ISNUMBER(SEARCH(Assumptions!$C$5,F3283)),Assumptions!$D$5,IF(ISNUMBER(SEARCH(Assumptions!$C$6,F3283)),Assumptions!$D$6,IF(ISNUMBER(SEARCH(Assumptions!$C$7,F3283)),Assumptions!$D$7,"Other Services"))),"Other Services"))</f>
        <v/>
      </c>
    </row>
    <row r="3284" customFormat="false" ht="15" hidden="false" customHeight="false" outlineLevel="0" collapsed="false">
      <c r="I3284" s="41" t="str">
        <f aca="false">IF(F3284="","",IFERROR(IF(ISNUMBER(SEARCH(Assumptions!$C$5,F3284)),Assumptions!$D$5,IF(ISNUMBER(SEARCH(Assumptions!$C$6,F3284)),Assumptions!$D$6,IF(ISNUMBER(SEARCH(Assumptions!$C$7,F3284)),Assumptions!$D$7,"Other Services"))),"Other Services"))</f>
        <v/>
      </c>
    </row>
    <row r="3285" customFormat="false" ht="15" hidden="false" customHeight="false" outlineLevel="0" collapsed="false">
      <c r="I3285" s="41" t="str">
        <f aca="false">IF(F3285="","",IFERROR(IF(ISNUMBER(SEARCH(Assumptions!$C$5,F3285)),Assumptions!$D$5,IF(ISNUMBER(SEARCH(Assumptions!$C$6,F3285)),Assumptions!$D$6,IF(ISNUMBER(SEARCH(Assumptions!$C$7,F3285)),Assumptions!$D$7,"Other Services"))),"Other Services"))</f>
        <v/>
      </c>
    </row>
    <row r="3286" customFormat="false" ht="15" hidden="false" customHeight="false" outlineLevel="0" collapsed="false">
      <c r="I3286" s="41" t="str">
        <f aca="false">IF(F3286="","",IFERROR(IF(ISNUMBER(SEARCH(Assumptions!$C$5,F3286)),Assumptions!$D$5,IF(ISNUMBER(SEARCH(Assumptions!$C$6,F3286)),Assumptions!$D$6,IF(ISNUMBER(SEARCH(Assumptions!$C$7,F3286)),Assumptions!$D$7,"Other Services"))),"Other Services"))</f>
        <v/>
      </c>
    </row>
    <row r="3287" customFormat="false" ht="15" hidden="false" customHeight="false" outlineLevel="0" collapsed="false">
      <c r="I3287" s="41" t="str">
        <f aca="false">IF(F3287="","",IFERROR(IF(ISNUMBER(SEARCH(Assumptions!$C$5,F3287)),Assumptions!$D$5,IF(ISNUMBER(SEARCH(Assumptions!$C$6,F3287)),Assumptions!$D$6,IF(ISNUMBER(SEARCH(Assumptions!$C$7,F3287)),Assumptions!$D$7,"Other Services"))),"Other Services"))</f>
        <v/>
      </c>
    </row>
    <row r="3288" customFormat="false" ht="15" hidden="false" customHeight="false" outlineLevel="0" collapsed="false">
      <c r="I3288" s="41" t="str">
        <f aca="false">IF(F3288="","",IFERROR(IF(ISNUMBER(SEARCH(Assumptions!$C$5,F3288)),Assumptions!$D$5,IF(ISNUMBER(SEARCH(Assumptions!$C$6,F3288)),Assumptions!$D$6,IF(ISNUMBER(SEARCH(Assumptions!$C$7,F3288)),Assumptions!$D$7,"Other Services"))),"Other Services"))</f>
        <v/>
      </c>
    </row>
    <row r="3289" customFormat="false" ht="15" hidden="false" customHeight="false" outlineLevel="0" collapsed="false">
      <c r="I3289" s="41" t="str">
        <f aca="false">IF(F3289="","",IFERROR(IF(ISNUMBER(SEARCH(Assumptions!$C$5,F3289)),Assumptions!$D$5,IF(ISNUMBER(SEARCH(Assumptions!$C$6,F3289)),Assumptions!$D$6,IF(ISNUMBER(SEARCH(Assumptions!$C$7,F3289)),Assumptions!$D$7,"Other Services"))),"Other Services"))</f>
        <v/>
      </c>
    </row>
    <row r="3290" customFormat="false" ht="15" hidden="false" customHeight="false" outlineLevel="0" collapsed="false">
      <c r="I3290" s="41" t="str">
        <f aca="false">IF(F3290="","",IFERROR(IF(ISNUMBER(SEARCH(Assumptions!$C$5,F3290)),Assumptions!$D$5,IF(ISNUMBER(SEARCH(Assumptions!$C$6,F3290)),Assumptions!$D$6,IF(ISNUMBER(SEARCH(Assumptions!$C$7,F3290)),Assumptions!$D$7,"Other Services"))),"Other Services"))</f>
        <v/>
      </c>
    </row>
    <row r="3291" customFormat="false" ht="15" hidden="false" customHeight="false" outlineLevel="0" collapsed="false">
      <c r="I3291" s="41" t="str">
        <f aca="false">IF(F3291="","",IFERROR(IF(ISNUMBER(SEARCH(Assumptions!$C$5,F3291)),Assumptions!$D$5,IF(ISNUMBER(SEARCH(Assumptions!$C$6,F3291)),Assumptions!$D$6,IF(ISNUMBER(SEARCH(Assumptions!$C$7,F3291)),Assumptions!$D$7,"Other Services"))),"Other Services"))</f>
        <v/>
      </c>
    </row>
    <row r="3292" customFormat="false" ht="15" hidden="false" customHeight="false" outlineLevel="0" collapsed="false">
      <c r="I3292" s="41" t="str">
        <f aca="false">IF(F3292="","",IFERROR(IF(ISNUMBER(SEARCH(Assumptions!$C$5,F3292)),Assumptions!$D$5,IF(ISNUMBER(SEARCH(Assumptions!$C$6,F3292)),Assumptions!$D$6,IF(ISNUMBER(SEARCH(Assumptions!$C$7,F3292)),Assumptions!$D$7,"Other Services"))),"Other Services"))</f>
        <v/>
      </c>
    </row>
    <row r="3293" customFormat="false" ht="15" hidden="false" customHeight="false" outlineLevel="0" collapsed="false">
      <c r="I3293" s="41" t="str">
        <f aca="false">IF(F3293="","",IFERROR(IF(ISNUMBER(SEARCH(Assumptions!$C$5,F3293)),Assumptions!$D$5,IF(ISNUMBER(SEARCH(Assumptions!$C$6,F3293)),Assumptions!$D$6,IF(ISNUMBER(SEARCH(Assumptions!$C$7,F3293)),Assumptions!$D$7,"Other Services"))),"Other Services"))</f>
        <v/>
      </c>
    </row>
    <row r="3294" customFormat="false" ht="15" hidden="false" customHeight="false" outlineLevel="0" collapsed="false">
      <c r="I3294" s="41" t="str">
        <f aca="false">IF(F3294="","",IFERROR(IF(ISNUMBER(SEARCH(Assumptions!$C$5,F3294)),Assumptions!$D$5,IF(ISNUMBER(SEARCH(Assumptions!$C$6,F3294)),Assumptions!$D$6,IF(ISNUMBER(SEARCH(Assumptions!$C$7,F3294)),Assumptions!$D$7,"Other Services"))),"Other Services"))</f>
        <v/>
      </c>
    </row>
    <row r="3295" customFormat="false" ht="15" hidden="false" customHeight="false" outlineLevel="0" collapsed="false">
      <c r="I3295" s="41" t="str">
        <f aca="false">IF(F3295="","",IFERROR(IF(ISNUMBER(SEARCH(Assumptions!$C$5,F3295)),Assumptions!$D$5,IF(ISNUMBER(SEARCH(Assumptions!$C$6,F3295)),Assumptions!$D$6,IF(ISNUMBER(SEARCH(Assumptions!$C$7,F3295)),Assumptions!$D$7,"Other Services"))),"Other Services"))</f>
        <v/>
      </c>
    </row>
    <row r="3296" customFormat="false" ht="15" hidden="false" customHeight="false" outlineLevel="0" collapsed="false">
      <c r="I3296" s="41" t="str">
        <f aca="false">IF(F3296="","",IFERROR(IF(ISNUMBER(SEARCH(Assumptions!$C$5,F3296)),Assumptions!$D$5,IF(ISNUMBER(SEARCH(Assumptions!$C$6,F3296)),Assumptions!$D$6,IF(ISNUMBER(SEARCH(Assumptions!$C$7,F3296)),Assumptions!$D$7,"Other Services"))),"Other Services"))</f>
        <v/>
      </c>
    </row>
    <row r="3297" customFormat="false" ht="15" hidden="false" customHeight="false" outlineLevel="0" collapsed="false">
      <c r="I3297" s="41" t="str">
        <f aca="false">IF(F3297="","",IFERROR(IF(ISNUMBER(SEARCH(Assumptions!$C$5,F3297)),Assumptions!$D$5,IF(ISNUMBER(SEARCH(Assumptions!$C$6,F3297)),Assumptions!$D$6,IF(ISNUMBER(SEARCH(Assumptions!$C$7,F3297)),Assumptions!$D$7,"Other Services"))),"Other Services"))</f>
        <v/>
      </c>
    </row>
    <row r="3298" customFormat="false" ht="15" hidden="false" customHeight="false" outlineLevel="0" collapsed="false">
      <c r="I3298" s="41" t="str">
        <f aca="false">IF(F3298="","",IFERROR(IF(ISNUMBER(SEARCH(Assumptions!$C$5,F3298)),Assumptions!$D$5,IF(ISNUMBER(SEARCH(Assumptions!$C$6,F3298)),Assumptions!$D$6,IF(ISNUMBER(SEARCH(Assumptions!$C$7,F3298)),Assumptions!$D$7,"Other Services"))),"Other Services"))</f>
        <v/>
      </c>
    </row>
    <row r="3299" customFormat="false" ht="15" hidden="false" customHeight="false" outlineLevel="0" collapsed="false">
      <c r="I3299" s="41" t="str">
        <f aca="false">IF(F3299="","",IFERROR(IF(ISNUMBER(SEARCH(Assumptions!$C$5,F3299)),Assumptions!$D$5,IF(ISNUMBER(SEARCH(Assumptions!$C$6,F3299)),Assumptions!$D$6,IF(ISNUMBER(SEARCH(Assumptions!$C$7,F3299)),Assumptions!$D$7,"Other Services"))),"Other Services"))</f>
        <v/>
      </c>
    </row>
    <row r="3300" customFormat="false" ht="15" hidden="false" customHeight="false" outlineLevel="0" collapsed="false">
      <c r="I3300" s="41" t="str">
        <f aca="false">IF(F3300="","",IFERROR(IF(ISNUMBER(SEARCH(Assumptions!$C$5,F3300)),Assumptions!$D$5,IF(ISNUMBER(SEARCH(Assumptions!$C$6,F3300)),Assumptions!$D$6,IF(ISNUMBER(SEARCH(Assumptions!$C$7,F3300)),Assumptions!$D$7,"Other Services"))),"Other Services"))</f>
        <v/>
      </c>
    </row>
    <row r="3301" customFormat="false" ht="15" hidden="false" customHeight="false" outlineLevel="0" collapsed="false">
      <c r="I3301" s="41" t="str">
        <f aca="false">IF(F3301="","",IFERROR(IF(ISNUMBER(SEARCH(Assumptions!$C$5,F3301)),Assumptions!$D$5,IF(ISNUMBER(SEARCH(Assumptions!$C$6,F3301)),Assumptions!$D$6,IF(ISNUMBER(SEARCH(Assumptions!$C$7,F3301)),Assumptions!$D$7,"Other Services"))),"Other Services"))</f>
        <v/>
      </c>
    </row>
    <row r="3302" customFormat="false" ht="15" hidden="false" customHeight="false" outlineLevel="0" collapsed="false">
      <c r="I3302" s="41" t="str">
        <f aca="false">IF(F3302="","",IFERROR(IF(ISNUMBER(SEARCH(Assumptions!$C$5,F3302)),Assumptions!$D$5,IF(ISNUMBER(SEARCH(Assumptions!$C$6,F3302)),Assumptions!$D$6,IF(ISNUMBER(SEARCH(Assumptions!$C$7,F3302)),Assumptions!$D$7,"Other Services"))),"Other Services"))</f>
        <v/>
      </c>
    </row>
    <row r="3303" customFormat="false" ht="15" hidden="false" customHeight="false" outlineLevel="0" collapsed="false">
      <c r="I3303" s="41" t="str">
        <f aca="false">IF(F3303="","",IFERROR(IF(ISNUMBER(SEARCH(Assumptions!$C$5,F3303)),Assumptions!$D$5,IF(ISNUMBER(SEARCH(Assumptions!$C$6,F3303)),Assumptions!$D$6,IF(ISNUMBER(SEARCH(Assumptions!$C$7,F3303)),Assumptions!$D$7,"Other Services"))),"Other Services"))</f>
        <v/>
      </c>
    </row>
    <row r="3304" customFormat="false" ht="15" hidden="false" customHeight="false" outlineLevel="0" collapsed="false">
      <c r="I3304" s="41" t="str">
        <f aca="false">IF(F3304="","",IFERROR(IF(ISNUMBER(SEARCH(Assumptions!$C$5,F3304)),Assumptions!$D$5,IF(ISNUMBER(SEARCH(Assumptions!$C$6,F3304)),Assumptions!$D$6,IF(ISNUMBER(SEARCH(Assumptions!$C$7,F3304)),Assumptions!$D$7,"Other Services"))),"Other Services"))</f>
        <v/>
      </c>
    </row>
    <row r="3305" customFormat="false" ht="15" hidden="false" customHeight="false" outlineLevel="0" collapsed="false">
      <c r="I3305" s="41" t="str">
        <f aca="false">IF(F3305="","",IFERROR(IF(ISNUMBER(SEARCH(Assumptions!$C$5,F3305)),Assumptions!$D$5,IF(ISNUMBER(SEARCH(Assumptions!$C$6,F3305)),Assumptions!$D$6,IF(ISNUMBER(SEARCH(Assumptions!$C$7,F3305)),Assumptions!$D$7,"Other Services"))),"Other Services"))</f>
        <v/>
      </c>
    </row>
    <row r="3306" customFormat="false" ht="15" hidden="false" customHeight="false" outlineLevel="0" collapsed="false">
      <c r="I3306" s="41" t="str">
        <f aca="false">IF(F3306="","",IFERROR(IF(ISNUMBER(SEARCH(Assumptions!$C$5,F3306)),Assumptions!$D$5,IF(ISNUMBER(SEARCH(Assumptions!$C$6,F3306)),Assumptions!$D$6,IF(ISNUMBER(SEARCH(Assumptions!$C$7,F3306)),Assumptions!$D$7,"Other Services"))),"Other Services"))</f>
        <v/>
      </c>
    </row>
    <row r="3307" customFormat="false" ht="15" hidden="false" customHeight="false" outlineLevel="0" collapsed="false">
      <c r="I3307" s="41" t="str">
        <f aca="false">IF(F3307="","",IFERROR(IF(ISNUMBER(SEARCH(Assumptions!$C$5,F3307)),Assumptions!$D$5,IF(ISNUMBER(SEARCH(Assumptions!$C$6,F3307)),Assumptions!$D$6,IF(ISNUMBER(SEARCH(Assumptions!$C$7,F3307)),Assumptions!$D$7,"Other Services"))),"Other Services"))</f>
        <v/>
      </c>
    </row>
    <row r="3308" customFormat="false" ht="15" hidden="false" customHeight="false" outlineLevel="0" collapsed="false">
      <c r="I3308" s="41" t="str">
        <f aca="false">IF(F3308="","",IFERROR(IF(ISNUMBER(SEARCH(Assumptions!$C$5,F3308)),Assumptions!$D$5,IF(ISNUMBER(SEARCH(Assumptions!$C$6,F3308)),Assumptions!$D$6,IF(ISNUMBER(SEARCH(Assumptions!$C$7,F3308)),Assumptions!$D$7,"Other Services"))),"Other Services"))</f>
        <v/>
      </c>
    </row>
    <row r="3309" customFormat="false" ht="15" hidden="false" customHeight="false" outlineLevel="0" collapsed="false">
      <c r="I3309" s="41" t="str">
        <f aca="false">IF(F3309="","",IFERROR(IF(ISNUMBER(SEARCH(Assumptions!$C$5,F3309)),Assumptions!$D$5,IF(ISNUMBER(SEARCH(Assumptions!$C$6,F3309)),Assumptions!$D$6,IF(ISNUMBER(SEARCH(Assumptions!$C$7,F3309)),Assumptions!$D$7,"Other Services"))),"Other Services"))</f>
        <v/>
      </c>
    </row>
    <row r="3310" customFormat="false" ht="15" hidden="false" customHeight="false" outlineLevel="0" collapsed="false">
      <c r="I3310" s="41" t="str">
        <f aca="false">IF(F3310="","",IFERROR(IF(ISNUMBER(SEARCH(Assumptions!$C$5,F3310)),Assumptions!$D$5,IF(ISNUMBER(SEARCH(Assumptions!$C$6,F3310)),Assumptions!$D$6,IF(ISNUMBER(SEARCH(Assumptions!$C$7,F3310)),Assumptions!$D$7,"Other Services"))),"Other Services"))</f>
        <v/>
      </c>
    </row>
    <row r="3311" customFormat="false" ht="15" hidden="false" customHeight="false" outlineLevel="0" collapsed="false">
      <c r="I3311" s="41" t="str">
        <f aca="false">IF(F3311="","",IFERROR(IF(ISNUMBER(SEARCH(Assumptions!$C$5,F3311)),Assumptions!$D$5,IF(ISNUMBER(SEARCH(Assumptions!$C$6,F3311)),Assumptions!$D$6,IF(ISNUMBER(SEARCH(Assumptions!$C$7,F3311)),Assumptions!$D$7,"Other Services"))),"Other Services"))</f>
        <v/>
      </c>
    </row>
    <row r="3312" customFormat="false" ht="15" hidden="false" customHeight="false" outlineLevel="0" collapsed="false">
      <c r="I3312" s="41" t="str">
        <f aca="false">IF(F3312="","",IFERROR(IF(ISNUMBER(SEARCH(Assumptions!$C$5,F3312)),Assumptions!$D$5,IF(ISNUMBER(SEARCH(Assumptions!$C$6,F3312)),Assumptions!$D$6,IF(ISNUMBER(SEARCH(Assumptions!$C$7,F3312)),Assumptions!$D$7,"Other Services"))),"Other Services"))</f>
        <v/>
      </c>
    </row>
    <row r="3313" customFormat="false" ht="15" hidden="false" customHeight="false" outlineLevel="0" collapsed="false">
      <c r="I3313" s="41" t="str">
        <f aca="false">IF(F3313="","",IFERROR(IF(ISNUMBER(SEARCH(Assumptions!$C$5,F3313)),Assumptions!$D$5,IF(ISNUMBER(SEARCH(Assumptions!$C$6,F3313)),Assumptions!$D$6,IF(ISNUMBER(SEARCH(Assumptions!$C$7,F3313)),Assumptions!$D$7,"Other Services"))),"Other Services"))</f>
        <v/>
      </c>
    </row>
    <row r="3314" customFormat="false" ht="15" hidden="false" customHeight="false" outlineLevel="0" collapsed="false">
      <c r="I3314" s="41" t="str">
        <f aca="false">IF(F3314="","",IFERROR(IF(ISNUMBER(SEARCH(Assumptions!$C$5,F3314)),Assumptions!$D$5,IF(ISNUMBER(SEARCH(Assumptions!$C$6,F3314)),Assumptions!$D$6,IF(ISNUMBER(SEARCH(Assumptions!$C$7,F3314)),Assumptions!$D$7,"Other Services"))),"Other Services"))</f>
        <v/>
      </c>
    </row>
    <row r="3315" customFormat="false" ht="15" hidden="false" customHeight="false" outlineLevel="0" collapsed="false">
      <c r="I3315" s="41" t="str">
        <f aca="false">IF(F3315="","",IFERROR(IF(ISNUMBER(SEARCH(Assumptions!$C$5,F3315)),Assumptions!$D$5,IF(ISNUMBER(SEARCH(Assumptions!$C$6,F3315)),Assumptions!$D$6,IF(ISNUMBER(SEARCH(Assumptions!$C$7,F3315)),Assumptions!$D$7,"Other Services"))),"Other Services"))</f>
        <v/>
      </c>
    </row>
    <row r="3316" customFormat="false" ht="15" hidden="false" customHeight="false" outlineLevel="0" collapsed="false">
      <c r="I3316" s="41" t="str">
        <f aca="false">IF(F3316="","",IFERROR(IF(ISNUMBER(SEARCH(Assumptions!$C$5,F3316)),Assumptions!$D$5,IF(ISNUMBER(SEARCH(Assumptions!$C$6,F3316)),Assumptions!$D$6,IF(ISNUMBER(SEARCH(Assumptions!$C$7,F3316)),Assumptions!$D$7,"Other Services"))),"Other Services"))</f>
        <v/>
      </c>
    </row>
    <row r="3317" customFormat="false" ht="15" hidden="false" customHeight="false" outlineLevel="0" collapsed="false">
      <c r="I3317" s="41" t="str">
        <f aca="false">IF(F3317="","",IFERROR(IF(ISNUMBER(SEARCH(Assumptions!$C$5,F3317)),Assumptions!$D$5,IF(ISNUMBER(SEARCH(Assumptions!$C$6,F3317)),Assumptions!$D$6,IF(ISNUMBER(SEARCH(Assumptions!$C$7,F3317)),Assumptions!$D$7,"Other Services"))),"Other Services"))</f>
        <v/>
      </c>
    </row>
    <row r="3318" customFormat="false" ht="15" hidden="false" customHeight="false" outlineLevel="0" collapsed="false">
      <c r="I3318" s="41" t="str">
        <f aca="false">IF(F3318="","",IFERROR(IF(ISNUMBER(SEARCH(Assumptions!$C$5,F3318)),Assumptions!$D$5,IF(ISNUMBER(SEARCH(Assumptions!$C$6,F3318)),Assumptions!$D$6,IF(ISNUMBER(SEARCH(Assumptions!$C$7,F3318)),Assumptions!$D$7,"Other Services"))),"Other Services"))</f>
        <v/>
      </c>
    </row>
    <row r="3319" customFormat="false" ht="15" hidden="false" customHeight="false" outlineLevel="0" collapsed="false">
      <c r="I3319" s="41" t="str">
        <f aca="false">IF(F3319="","",IFERROR(IF(ISNUMBER(SEARCH(Assumptions!$C$5,F3319)),Assumptions!$D$5,IF(ISNUMBER(SEARCH(Assumptions!$C$6,F3319)),Assumptions!$D$6,IF(ISNUMBER(SEARCH(Assumptions!$C$7,F3319)),Assumptions!$D$7,"Other Services"))),"Other Services"))</f>
        <v/>
      </c>
    </row>
    <row r="3320" customFormat="false" ht="15" hidden="false" customHeight="false" outlineLevel="0" collapsed="false">
      <c r="I3320" s="41" t="str">
        <f aca="false">IF(F3320="","",IFERROR(IF(ISNUMBER(SEARCH(Assumptions!$C$5,F3320)),Assumptions!$D$5,IF(ISNUMBER(SEARCH(Assumptions!$C$6,F3320)),Assumptions!$D$6,IF(ISNUMBER(SEARCH(Assumptions!$C$7,F3320)),Assumptions!$D$7,"Other Services"))),"Other Services"))</f>
        <v/>
      </c>
    </row>
    <row r="3321" customFormat="false" ht="15" hidden="false" customHeight="false" outlineLevel="0" collapsed="false">
      <c r="I3321" s="41" t="str">
        <f aca="false">IF(F3321="","",IFERROR(IF(ISNUMBER(SEARCH(Assumptions!$C$5,F3321)),Assumptions!$D$5,IF(ISNUMBER(SEARCH(Assumptions!$C$6,F3321)),Assumptions!$D$6,IF(ISNUMBER(SEARCH(Assumptions!$C$7,F3321)),Assumptions!$D$7,"Other Services"))),"Other Services"))</f>
        <v/>
      </c>
    </row>
    <row r="3322" customFormat="false" ht="15" hidden="false" customHeight="false" outlineLevel="0" collapsed="false">
      <c r="I3322" s="41" t="str">
        <f aca="false">IF(F3322="","",IFERROR(IF(ISNUMBER(SEARCH(Assumptions!$C$5,F3322)),Assumptions!$D$5,IF(ISNUMBER(SEARCH(Assumptions!$C$6,F3322)),Assumptions!$D$6,IF(ISNUMBER(SEARCH(Assumptions!$C$7,F3322)),Assumptions!$D$7,"Other Services"))),"Other Services"))</f>
        <v/>
      </c>
    </row>
    <row r="3323" customFormat="false" ht="15" hidden="false" customHeight="false" outlineLevel="0" collapsed="false">
      <c r="I3323" s="41" t="str">
        <f aca="false">IF(F3323="","",IFERROR(IF(ISNUMBER(SEARCH(Assumptions!$C$5,F3323)),Assumptions!$D$5,IF(ISNUMBER(SEARCH(Assumptions!$C$6,F3323)),Assumptions!$D$6,IF(ISNUMBER(SEARCH(Assumptions!$C$7,F3323)),Assumptions!$D$7,"Other Services"))),"Other Services"))</f>
        <v/>
      </c>
    </row>
    <row r="3324" customFormat="false" ht="15" hidden="false" customHeight="false" outlineLevel="0" collapsed="false">
      <c r="I3324" s="41" t="str">
        <f aca="false">IF(F3324="","",IFERROR(IF(ISNUMBER(SEARCH(Assumptions!$C$5,F3324)),Assumptions!$D$5,IF(ISNUMBER(SEARCH(Assumptions!$C$6,F3324)),Assumptions!$D$6,IF(ISNUMBER(SEARCH(Assumptions!$C$7,F3324)),Assumptions!$D$7,"Other Services"))),"Other Services"))</f>
        <v/>
      </c>
    </row>
    <row r="3325" customFormat="false" ht="15" hidden="false" customHeight="false" outlineLevel="0" collapsed="false">
      <c r="I3325" s="41" t="str">
        <f aca="false">IF(F3325="","",IFERROR(IF(ISNUMBER(SEARCH(Assumptions!$C$5,F3325)),Assumptions!$D$5,IF(ISNUMBER(SEARCH(Assumptions!$C$6,F3325)),Assumptions!$D$6,IF(ISNUMBER(SEARCH(Assumptions!$C$7,F3325)),Assumptions!$D$7,"Other Services"))),"Other Services"))</f>
        <v/>
      </c>
    </row>
    <row r="3326" customFormat="false" ht="15" hidden="false" customHeight="false" outlineLevel="0" collapsed="false">
      <c r="I3326" s="41" t="str">
        <f aca="false">IF(F3326="","",IFERROR(IF(ISNUMBER(SEARCH(Assumptions!$C$5,F3326)),Assumptions!$D$5,IF(ISNUMBER(SEARCH(Assumptions!$C$6,F3326)),Assumptions!$D$6,IF(ISNUMBER(SEARCH(Assumptions!$C$7,F3326)),Assumptions!$D$7,"Other Services"))),"Other Services"))</f>
        <v/>
      </c>
    </row>
    <row r="3327" customFormat="false" ht="15" hidden="false" customHeight="false" outlineLevel="0" collapsed="false">
      <c r="I3327" s="41" t="str">
        <f aca="false">IF(F3327="","",IFERROR(IF(ISNUMBER(SEARCH(Assumptions!$C$5,F3327)),Assumptions!$D$5,IF(ISNUMBER(SEARCH(Assumptions!$C$6,F3327)),Assumptions!$D$6,IF(ISNUMBER(SEARCH(Assumptions!$C$7,F3327)),Assumptions!$D$7,"Other Services"))),"Other Services"))</f>
        <v/>
      </c>
    </row>
    <row r="3328" customFormat="false" ht="15" hidden="false" customHeight="false" outlineLevel="0" collapsed="false">
      <c r="I3328" s="41" t="str">
        <f aca="false">IF(F3328="","",IFERROR(IF(ISNUMBER(SEARCH(Assumptions!$C$5,F3328)),Assumptions!$D$5,IF(ISNUMBER(SEARCH(Assumptions!$C$6,F3328)),Assumptions!$D$6,IF(ISNUMBER(SEARCH(Assumptions!$C$7,F3328)),Assumptions!$D$7,"Other Services"))),"Other Services"))</f>
        <v/>
      </c>
    </row>
    <row r="3329" customFormat="false" ht="15" hidden="false" customHeight="false" outlineLevel="0" collapsed="false">
      <c r="I3329" s="41" t="str">
        <f aca="false">IF(F3329="","",IFERROR(IF(ISNUMBER(SEARCH(Assumptions!$C$5,F3329)),Assumptions!$D$5,IF(ISNUMBER(SEARCH(Assumptions!$C$6,F3329)),Assumptions!$D$6,IF(ISNUMBER(SEARCH(Assumptions!$C$7,F3329)),Assumptions!$D$7,"Other Services"))),"Other Services"))</f>
        <v/>
      </c>
    </row>
    <row r="3330" customFormat="false" ht="15" hidden="false" customHeight="false" outlineLevel="0" collapsed="false">
      <c r="I3330" s="41" t="str">
        <f aca="false">IF(F3330="","",IFERROR(IF(ISNUMBER(SEARCH(Assumptions!$C$5,F3330)),Assumptions!$D$5,IF(ISNUMBER(SEARCH(Assumptions!$C$6,F3330)),Assumptions!$D$6,IF(ISNUMBER(SEARCH(Assumptions!$C$7,F3330)),Assumptions!$D$7,"Other Services"))),"Other Services"))</f>
        <v/>
      </c>
    </row>
    <row r="3331" customFormat="false" ht="15" hidden="false" customHeight="false" outlineLevel="0" collapsed="false">
      <c r="I3331" s="41" t="str">
        <f aca="false">IF(F3331="","",IFERROR(IF(ISNUMBER(SEARCH(Assumptions!$C$5,F3331)),Assumptions!$D$5,IF(ISNUMBER(SEARCH(Assumptions!$C$6,F3331)),Assumptions!$D$6,IF(ISNUMBER(SEARCH(Assumptions!$C$7,F3331)),Assumptions!$D$7,"Other Services"))),"Other Services"))</f>
        <v/>
      </c>
    </row>
    <row r="3332" customFormat="false" ht="15" hidden="false" customHeight="false" outlineLevel="0" collapsed="false">
      <c r="I3332" s="41" t="str">
        <f aca="false">IF(F3332="","",IFERROR(IF(ISNUMBER(SEARCH(Assumptions!$C$5,F3332)),Assumptions!$D$5,IF(ISNUMBER(SEARCH(Assumptions!$C$6,F3332)),Assumptions!$D$6,IF(ISNUMBER(SEARCH(Assumptions!$C$7,F3332)),Assumptions!$D$7,"Other Services"))),"Other Services"))</f>
        <v/>
      </c>
    </row>
    <row r="3333" customFormat="false" ht="15" hidden="false" customHeight="false" outlineLevel="0" collapsed="false">
      <c r="I3333" s="41" t="str">
        <f aca="false">IF(F3333="","",IFERROR(IF(ISNUMBER(SEARCH(Assumptions!$C$5,F3333)),Assumptions!$D$5,IF(ISNUMBER(SEARCH(Assumptions!$C$6,F3333)),Assumptions!$D$6,IF(ISNUMBER(SEARCH(Assumptions!$C$7,F3333)),Assumptions!$D$7,"Other Services"))),"Other Services"))</f>
        <v/>
      </c>
    </row>
    <row r="3334" customFormat="false" ht="15" hidden="false" customHeight="false" outlineLevel="0" collapsed="false">
      <c r="I3334" s="41" t="str">
        <f aca="false">IF(F3334="","",IFERROR(IF(ISNUMBER(SEARCH(Assumptions!$C$5,F3334)),Assumptions!$D$5,IF(ISNUMBER(SEARCH(Assumptions!$C$6,F3334)),Assumptions!$D$6,IF(ISNUMBER(SEARCH(Assumptions!$C$7,F3334)),Assumptions!$D$7,"Other Services"))),"Other Services"))</f>
        <v/>
      </c>
    </row>
    <row r="3335" customFormat="false" ht="15" hidden="false" customHeight="false" outlineLevel="0" collapsed="false">
      <c r="I3335" s="41" t="str">
        <f aca="false">IF(F3335="","",IFERROR(IF(ISNUMBER(SEARCH(Assumptions!$C$5,F3335)),Assumptions!$D$5,IF(ISNUMBER(SEARCH(Assumptions!$C$6,F3335)),Assumptions!$D$6,IF(ISNUMBER(SEARCH(Assumptions!$C$7,F3335)),Assumptions!$D$7,"Other Services"))),"Other Services"))</f>
        <v/>
      </c>
    </row>
    <row r="3336" customFormat="false" ht="15" hidden="false" customHeight="false" outlineLevel="0" collapsed="false">
      <c r="I3336" s="41" t="str">
        <f aca="false">IF(F3336="","",IFERROR(IF(ISNUMBER(SEARCH(Assumptions!$C$5,F3336)),Assumptions!$D$5,IF(ISNUMBER(SEARCH(Assumptions!$C$6,F3336)),Assumptions!$D$6,IF(ISNUMBER(SEARCH(Assumptions!$C$7,F3336)),Assumptions!$D$7,"Other Services"))),"Other Services"))</f>
        <v/>
      </c>
    </row>
    <row r="3337" customFormat="false" ht="15" hidden="false" customHeight="false" outlineLevel="0" collapsed="false">
      <c r="I3337" s="41" t="str">
        <f aca="false">IF(F3337="","",IFERROR(IF(ISNUMBER(SEARCH(Assumptions!$C$5,F3337)),Assumptions!$D$5,IF(ISNUMBER(SEARCH(Assumptions!$C$6,F3337)),Assumptions!$D$6,IF(ISNUMBER(SEARCH(Assumptions!$C$7,F3337)),Assumptions!$D$7,"Other Services"))),"Other Services"))</f>
        <v/>
      </c>
    </row>
    <row r="3338" customFormat="false" ht="15" hidden="false" customHeight="false" outlineLevel="0" collapsed="false">
      <c r="I3338" s="41" t="str">
        <f aca="false">IF(F3338="","",IFERROR(IF(ISNUMBER(SEARCH(Assumptions!$C$5,F3338)),Assumptions!$D$5,IF(ISNUMBER(SEARCH(Assumptions!$C$6,F3338)),Assumptions!$D$6,IF(ISNUMBER(SEARCH(Assumptions!$C$7,F3338)),Assumptions!$D$7,"Other Services"))),"Other Services"))</f>
        <v/>
      </c>
    </row>
    <row r="3339" customFormat="false" ht="15" hidden="false" customHeight="false" outlineLevel="0" collapsed="false">
      <c r="I3339" s="41" t="str">
        <f aca="false">IF(F3339="","",IFERROR(IF(ISNUMBER(SEARCH(Assumptions!$C$5,F3339)),Assumptions!$D$5,IF(ISNUMBER(SEARCH(Assumptions!$C$6,F3339)),Assumptions!$D$6,IF(ISNUMBER(SEARCH(Assumptions!$C$7,F3339)),Assumptions!$D$7,"Other Services"))),"Other Services"))</f>
        <v/>
      </c>
    </row>
    <row r="3340" customFormat="false" ht="15" hidden="false" customHeight="false" outlineLevel="0" collapsed="false">
      <c r="I3340" s="41" t="str">
        <f aca="false">IF(F3340="","",IFERROR(IF(ISNUMBER(SEARCH(Assumptions!$C$5,F3340)),Assumptions!$D$5,IF(ISNUMBER(SEARCH(Assumptions!$C$6,F3340)),Assumptions!$D$6,IF(ISNUMBER(SEARCH(Assumptions!$C$7,F3340)),Assumptions!$D$7,"Other Services"))),"Other Services"))</f>
        <v/>
      </c>
    </row>
    <row r="3341" customFormat="false" ht="15" hidden="false" customHeight="false" outlineLevel="0" collapsed="false">
      <c r="I3341" s="41" t="str">
        <f aca="false">IF(F3341="","",IFERROR(IF(ISNUMBER(SEARCH(Assumptions!$C$5,F3341)),Assumptions!$D$5,IF(ISNUMBER(SEARCH(Assumptions!$C$6,F3341)),Assumptions!$D$6,IF(ISNUMBER(SEARCH(Assumptions!$C$7,F3341)),Assumptions!$D$7,"Other Services"))),"Other Services"))</f>
        <v/>
      </c>
    </row>
    <row r="3342" customFormat="false" ht="15" hidden="false" customHeight="false" outlineLevel="0" collapsed="false">
      <c r="I3342" s="41" t="str">
        <f aca="false">IF(F3342="","",IFERROR(IF(ISNUMBER(SEARCH(Assumptions!$C$5,F3342)),Assumptions!$D$5,IF(ISNUMBER(SEARCH(Assumptions!$C$6,F3342)),Assumptions!$D$6,IF(ISNUMBER(SEARCH(Assumptions!$C$7,F3342)),Assumptions!$D$7,"Other Services"))),"Other Services"))</f>
        <v/>
      </c>
    </row>
    <row r="3343" customFormat="false" ht="15" hidden="false" customHeight="false" outlineLevel="0" collapsed="false">
      <c r="I3343" s="41" t="str">
        <f aca="false">IF(F3343="","",IFERROR(IF(ISNUMBER(SEARCH(Assumptions!$C$5,F3343)),Assumptions!$D$5,IF(ISNUMBER(SEARCH(Assumptions!$C$6,F3343)),Assumptions!$D$6,IF(ISNUMBER(SEARCH(Assumptions!$C$7,F3343)),Assumptions!$D$7,"Other Services"))),"Other Services"))</f>
        <v/>
      </c>
    </row>
    <row r="3344" customFormat="false" ht="15" hidden="false" customHeight="false" outlineLevel="0" collapsed="false">
      <c r="I3344" s="41" t="str">
        <f aca="false">IF(F3344="","",IFERROR(IF(ISNUMBER(SEARCH(Assumptions!$C$5,F3344)),Assumptions!$D$5,IF(ISNUMBER(SEARCH(Assumptions!$C$6,F3344)),Assumptions!$D$6,IF(ISNUMBER(SEARCH(Assumptions!$C$7,F3344)),Assumptions!$D$7,"Other Services"))),"Other Services"))</f>
        <v/>
      </c>
    </row>
    <row r="3345" customFormat="false" ht="15" hidden="false" customHeight="false" outlineLevel="0" collapsed="false">
      <c r="I3345" s="41" t="str">
        <f aca="false">IF(F3345="","",IFERROR(IF(ISNUMBER(SEARCH(Assumptions!$C$5,F3345)),Assumptions!$D$5,IF(ISNUMBER(SEARCH(Assumptions!$C$6,F3345)),Assumptions!$D$6,IF(ISNUMBER(SEARCH(Assumptions!$C$7,F3345)),Assumptions!$D$7,"Other Services"))),"Other Services"))</f>
        <v/>
      </c>
    </row>
    <row r="3346" customFormat="false" ht="15" hidden="false" customHeight="false" outlineLevel="0" collapsed="false">
      <c r="I3346" s="41" t="str">
        <f aca="false">IF(F3346="","",IFERROR(IF(ISNUMBER(SEARCH(Assumptions!$C$5,F3346)),Assumptions!$D$5,IF(ISNUMBER(SEARCH(Assumptions!$C$6,F3346)),Assumptions!$D$6,IF(ISNUMBER(SEARCH(Assumptions!$C$7,F3346)),Assumptions!$D$7,"Other Services"))),"Other Services"))</f>
        <v/>
      </c>
    </row>
    <row r="3347" customFormat="false" ht="15" hidden="false" customHeight="false" outlineLevel="0" collapsed="false">
      <c r="I3347" s="41" t="str">
        <f aca="false">IF(F3347="","",IFERROR(IF(ISNUMBER(SEARCH(Assumptions!$C$5,F3347)),Assumptions!$D$5,IF(ISNUMBER(SEARCH(Assumptions!$C$6,F3347)),Assumptions!$D$6,IF(ISNUMBER(SEARCH(Assumptions!$C$7,F3347)),Assumptions!$D$7,"Other Services"))),"Other Services"))</f>
        <v/>
      </c>
    </row>
    <row r="3348" customFormat="false" ht="15" hidden="false" customHeight="false" outlineLevel="0" collapsed="false">
      <c r="I3348" s="41" t="str">
        <f aca="false">IF(F3348="","",IFERROR(IF(ISNUMBER(SEARCH(Assumptions!$C$5,F3348)),Assumptions!$D$5,IF(ISNUMBER(SEARCH(Assumptions!$C$6,F3348)),Assumptions!$D$6,IF(ISNUMBER(SEARCH(Assumptions!$C$7,F3348)),Assumptions!$D$7,"Other Services"))),"Other Services"))</f>
        <v/>
      </c>
    </row>
    <row r="3349" customFormat="false" ht="15" hidden="false" customHeight="false" outlineLevel="0" collapsed="false">
      <c r="I3349" s="41" t="str">
        <f aca="false">IF(F3349="","",IFERROR(IF(ISNUMBER(SEARCH(Assumptions!$C$5,F3349)),Assumptions!$D$5,IF(ISNUMBER(SEARCH(Assumptions!$C$6,F3349)),Assumptions!$D$6,IF(ISNUMBER(SEARCH(Assumptions!$C$7,F3349)),Assumptions!$D$7,"Other Services"))),"Other Services"))</f>
        <v/>
      </c>
    </row>
    <row r="3350" customFormat="false" ht="15" hidden="false" customHeight="false" outlineLevel="0" collapsed="false">
      <c r="I3350" s="41" t="str">
        <f aca="false">IF(F3350="","",IFERROR(IF(ISNUMBER(SEARCH(Assumptions!$C$5,F3350)),Assumptions!$D$5,IF(ISNUMBER(SEARCH(Assumptions!$C$6,F3350)),Assumptions!$D$6,IF(ISNUMBER(SEARCH(Assumptions!$C$7,F3350)),Assumptions!$D$7,"Other Services"))),"Other Services"))</f>
        <v/>
      </c>
    </row>
    <row r="3351" customFormat="false" ht="15" hidden="false" customHeight="false" outlineLevel="0" collapsed="false">
      <c r="I3351" s="41" t="str">
        <f aca="false">IF(F3351="","",IFERROR(IF(ISNUMBER(SEARCH(Assumptions!$C$5,F3351)),Assumptions!$D$5,IF(ISNUMBER(SEARCH(Assumptions!$C$6,F3351)),Assumptions!$D$6,IF(ISNUMBER(SEARCH(Assumptions!$C$7,F3351)),Assumptions!$D$7,"Other Services"))),"Other Services"))</f>
        <v/>
      </c>
    </row>
    <row r="3352" customFormat="false" ht="15" hidden="false" customHeight="false" outlineLevel="0" collapsed="false">
      <c r="I3352" s="41" t="str">
        <f aca="false">IF(F3352="","",IFERROR(IF(ISNUMBER(SEARCH(Assumptions!$C$5,F3352)),Assumptions!$D$5,IF(ISNUMBER(SEARCH(Assumptions!$C$6,F3352)),Assumptions!$D$6,IF(ISNUMBER(SEARCH(Assumptions!$C$7,F3352)),Assumptions!$D$7,"Other Services"))),"Other Services"))</f>
        <v/>
      </c>
    </row>
    <row r="3353" customFormat="false" ht="15" hidden="false" customHeight="false" outlineLevel="0" collapsed="false">
      <c r="I3353" s="41" t="str">
        <f aca="false">IF(F3353="","",IFERROR(IF(ISNUMBER(SEARCH(Assumptions!$C$5,F3353)),Assumptions!$D$5,IF(ISNUMBER(SEARCH(Assumptions!$C$6,F3353)),Assumptions!$D$6,IF(ISNUMBER(SEARCH(Assumptions!$C$7,F3353)),Assumptions!$D$7,"Other Services"))),"Other Services"))</f>
        <v/>
      </c>
    </row>
    <row r="3354" customFormat="false" ht="15" hidden="false" customHeight="false" outlineLevel="0" collapsed="false">
      <c r="I3354" s="41" t="str">
        <f aca="false">IF(F3354="","",IFERROR(IF(ISNUMBER(SEARCH(Assumptions!$C$5,F3354)),Assumptions!$D$5,IF(ISNUMBER(SEARCH(Assumptions!$C$6,F3354)),Assumptions!$D$6,IF(ISNUMBER(SEARCH(Assumptions!$C$7,F3354)),Assumptions!$D$7,"Other Services"))),"Other Services"))</f>
        <v/>
      </c>
    </row>
    <row r="3355" customFormat="false" ht="15" hidden="false" customHeight="false" outlineLevel="0" collapsed="false">
      <c r="I3355" s="41" t="str">
        <f aca="false">IF(F3355="","",IFERROR(IF(ISNUMBER(SEARCH(Assumptions!$C$5,F3355)),Assumptions!$D$5,IF(ISNUMBER(SEARCH(Assumptions!$C$6,F3355)),Assumptions!$D$6,IF(ISNUMBER(SEARCH(Assumptions!$C$7,F3355)),Assumptions!$D$7,"Other Services"))),"Other Services"))</f>
        <v/>
      </c>
    </row>
    <row r="3356" customFormat="false" ht="15" hidden="false" customHeight="false" outlineLevel="0" collapsed="false">
      <c r="I3356" s="41" t="str">
        <f aca="false">IF(F3356="","",IFERROR(IF(ISNUMBER(SEARCH(Assumptions!$C$5,F3356)),Assumptions!$D$5,IF(ISNUMBER(SEARCH(Assumptions!$C$6,F3356)),Assumptions!$D$6,IF(ISNUMBER(SEARCH(Assumptions!$C$7,F3356)),Assumptions!$D$7,"Other Services"))),"Other Services"))</f>
        <v/>
      </c>
    </row>
    <row r="3357" customFormat="false" ht="15" hidden="false" customHeight="false" outlineLevel="0" collapsed="false">
      <c r="I3357" s="41" t="str">
        <f aca="false">IF(F3357="","",IFERROR(IF(ISNUMBER(SEARCH(Assumptions!$C$5,F3357)),Assumptions!$D$5,IF(ISNUMBER(SEARCH(Assumptions!$C$6,F3357)),Assumptions!$D$6,IF(ISNUMBER(SEARCH(Assumptions!$C$7,F3357)),Assumptions!$D$7,"Other Services"))),"Other Services"))</f>
        <v/>
      </c>
    </row>
    <row r="3358" customFormat="false" ht="15" hidden="false" customHeight="false" outlineLevel="0" collapsed="false">
      <c r="I3358" s="41" t="str">
        <f aca="false">IF(F3358="","",IFERROR(IF(ISNUMBER(SEARCH(Assumptions!$C$5,F3358)),Assumptions!$D$5,IF(ISNUMBER(SEARCH(Assumptions!$C$6,F3358)),Assumptions!$D$6,IF(ISNUMBER(SEARCH(Assumptions!$C$7,F3358)),Assumptions!$D$7,"Other Services"))),"Other Services"))</f>
        <v/>
      </c>
    </row>
    <row r="3359" customFormat="false" ht="15" hidden="false" customHeight="false" outlineLevel="0" collapsed="false">
      <c r="I3359" s="41" t="str">
        <f aca="false">IF(F3359="","",IFERROR(IF(ISNUMBER(SEARCH(Assumptions!$C$5,F3359)),Assumptions!$D$5,IF(ISNUMBER(SEARCH(Assumptions!$C$6,F3359)),Assumptions!$D$6,IF(ISNUMBER(SEARCH(Assumptions!$C$7,F3359)),Assumptions!$D$7,"Other Services"))),"Other Services"))</f>
        <v/>
      </c>
    </row>
    <row r="3360" customFormat="false" ht="15" hidden="false" customHeight="false" outlineLevel="0" collapsed="false">
      <c r="I3360" s="41" t="str">
        <f aca="false">IF(F3360="","",IFERROR(IF(ISNUMBER(SEARCH(Assumptions!$C$5,F3360)),Assumptions!$D$5,IF(ISNUMBER(SEARCH(Assumptions!$C$6,F3360)),Assumptions!$D$6,IF(ISNUMBER(SEARCH(Assumptions!$C$7,F3360)),Assumptions!$D$7,"Other Services"))),"Other Services"))</f>
        <v/>
      </c>
    </row>
    <row r="3361" customFormat="false" ht="15" hidden="false" customHeight="false" outlineLevel="0" collapsed="false">
      <c r="I3361" s="41" t="str">
        <f aca="false">IF(F3361="","",IFERROR(IF(ISNUMBER(SEARCH(Assumptions!$C$5,F3361)),Assumptions!$D$5,IF(ISNUMBER(SEARCH(Assumptions!$C$6,F3361)),Assumptions!$D$6,IF(ISNUMBER(SEARCH(Assumptions!$C$7,F3361)),Assumptions!$D$7,"Other Services"))),"Other Services"))</f>
        <v/>
      </c>
    </row>
    <row r="3362" customFormat="false" ht="15" hidden="false" customHeight="false" outlineLevel="0" collapsed="false">
      <c r="I3362" s="41" t="str">
        <f aca="false">IF(F3362="","",IFERROR(IF(ISNUMBER(SEARCH(Assumptions!$C$5,F3362)),Assumptions!$D$5,IF(ISNUMBER(SEARCH(Assumptions!$C$6,F3362)),Assumptions!$D$6,IF(ISNUMBER(SEARCH(Assumptions!$C$7,F3362)),Assumptions!$D$7,"Other Services"))),"Other Services"))</f>
        <v/>
      </c>
    </row>
    <row r="3363" customFormat="false" ht="15" hidden="false" customHeight="false" outlineLevel="0" collapsed="false">
      <c r="I3363" s="41" t="str">
        <f aca="false">IF(F3363="","",IFERROR(IF(ISNUMBER(SEARCH(Assumptions!$C$5,F3363)),Assumptions!$D$5,IF(ISNUMBER(SEARCH(Assumptions!$C$6,F3363)),Assumptions!$D$6,IF(ISNUMBER(SEARCH(Assumptions!$C$7,F3363)),Assumptions!$D$7,"Other Services"))),"Other Services"))</f>
        <v/>
      </c>
    </row>
    <row r="3364" customFormat="false" ht="15" hidden="false" customHeight="false" outlineLevel="0" collapsed="false">
      <c r="I3364" s="41" t="str">
        <f aca="false">IF(F3364="","",IFERROR(IF(ISNUMBER(SEARCH(Assumptions!$C$5,F3364)),Assumptions!$D$5,IF(ISNUMBER(SEARCH(Assumptions!$C$6,F3364)),Assumptions!$D$6,IF(ISNUMBER(SEARCH(Assumptions!$C$7,F3364)),Assumptions!$D$7,"Other Services"))),"Other Services"))</f>
        <v/>
      </c>
    </row>
    <row r="3365" customFormat="false" ht="15" hidden="false" customHeight="false" outlineLevel="0" collapsed="false">
      <c r="I3365" s="41" t="str">
        <f aca="false">IF(F3365="","",IFERROR(IF(ISNUMBER(SEARCH(Assumptions!$C$5,F3365)),Assumptions!$D$5,IF(ISNUMBER(SEARCH(Assumptions!$C$6,F3365)),Assumptions!$D$6,IF(ISNUMBER(SEARCH(Assumptions!$C$7,F3365)),Assumptions!$D$7,"Other Services"))),"Other Services"))</f>
        <v/>
      </c>
    </row>
    <row r="3366" customFormat="false" ht="15" hidden="false" customHeight="false" outlineLevel="0" collapsed="false">
      <c r="I3366" s="41" t="str">
        <f aca="false">IF(F3366="","",IFERROR(IF(ISNUMBER(SEARCH(Assumptions!$C$5,F3366)),Assumptions!$D$5,IF(ISNUMBER(SEARCH(Assumptions!$C$6,F3366)),Assumptions!$D$6,IF(ISNUMBER(SEARCH(Assumptions!$C$7,F3366)),Assumptions!$D$7,"Other Services"))),"Other Services"))</f>
        <v/>
      </c>
    </row>
    <row r="3367" customFormat="false" ht="15" hidden="false" customHeight="false" outlineLevel="0" collapsed="false">
      <c r="I3367" s="41" t="str">
        <f aca="false">IF(F3367="","",IFERROR(IF(ISNUMBER(SEARCH(Assumptions!$C$5,F3367)),Assumptions!$D$5,IF(ISNUMBER(SEARCH(Assumptions!$C$6,F3367)),Assumptions!$D$6,IF(ISNUMBER(SEARCH(Assumptions!$C$7,F3367)),Assumptions!$D$7,"Other Services"))),"Other Services"))</f>
        <v/>
      </c>
    </row>
    <row r="3368" customFormat="false" ht="15" hidden="false" customHeight="false" outlineLevel="0" collapsed="false">
      <c r="I3368" s="41" t="str">
        <f aca="false">IF(F3368="","",IFERROR(IF(ISNUMBER(SEARCH(Assumptions!$C$5,F3368)),Assumptions!$D$5,IF(ISNUMBER(SEARCH(Assumptions!$C$6,F3368)),Assumptions!$D$6,IF(ISNUMBER(SEARCH(Assumptions!$C$7,F3368)),Assumptions!$D$7,"Other Services"))),"Other Services"))</f>
        <v/>
      </c>
    </row>
    <row r="3369" customFormat="false" ht="15" hidden="false" customHeight="false" outlineLevel="0" collapsed="false">
      <c r="I3369" s="41" t="str">
        <f aca="false">IF(F3369="","",IFERROR(IF(ISNUMBER(SEARCH(Assumptions!$C$5,F3369)),Assumptions!$D$5,IF(ISNUMBER(SEARCH(Assumptions!$C$6,F3369)),Assumptions!$D$6,IF(ISNUMBER(SEARCH(Assumptions!$C$7,F3369)),Assumptions!$D$7,"Other Services"))),"Other Services"))</f>
        <v/>
      </c>
    </row>
    <row r="3370" customFormat="false" ht="15" hidden="false" customHeight="false" outlineLevel="0" collapsed="false">
      <c r="I3370" s="41" t="str">
        <f aca="false">IF(F3370="","",IFERROR(IF(ISNUMBER(SEARCH(Assumptions!$C$5,F3370)),Assumptions!$D$5,IF(ISNUMBER(SEARCH(Assumptions!$C$6,F3370)),Assumptions!$D$6,IF(ISNUMBER(SEARCH(Assumptions!$C$7,F3370)),Assumptions!$D$7,"Other Services"))),"Other Services"))</f>
        <v/>
      </c>
    </row>
    <row r="3371" customFormat="false" ht="15" hidden="false" customHeight="false" outlineLevel="0" collapsed="false">
      <c r="I3371" s="41" t="str">
        <f aca="false">IF(F3371="","",IFERROR(IF(ISNUMBER(SEARCH(Assumptions!$C$5,F3371)),Assumptions!$D$5,IF(ISNUMBER(SEARCH(Assumptions!$C$6,F3371)),Assumptions!$D$6,IF(ISNUMBER(SEARCH(Assumptions!$C$7,F3371)),Assumptions!$D$7,"Other Services"))),"Other Services"))</f>
        <v/>
      </c>
    </row>
    <row r="3372" customFormat="false" ht="15" hidden="false" customHeight="false" outlineLevel="0" collapsed="false">
      <c r="I3372" s="41" t="str">
        <f aca="false">IF(F3372="","",IFERROR(IF(ISNUMBER(SEARCH(Assumptions!$C$5,F3372)),Assumptions!$D$5,IF(ISNUMBER(SEARCH(Assumptions!$C$6,F3372)),Assumptions!$D$6,IF(ISNUMBER(SEARCH(Assumptions!$C$7,F3372)),Assumptions!$D$7,"Other Services"))),"Other Services"))</f>
        <v/>
      </c>
    </row>
    <row r="3373" customFormat="false" ht="15" hidden="false" customHeight="false" outlineLevel="0" collapsed="false">
      <c r="I3373" s="41" t="str">
        <f aca="false">IF(F3373="","",IFERROR(IF(ISNUMBER(SEARCH(Assumptions!$C$5,F3373)),Assumptions!$D$5,IF(ISNUMBER(SEARCH(Assumptions!$C$6,F3373)),Assumptions!$D$6,IF(ISNUMBER(SEARCH(Assumptions!$C$7,F3373)),Assumptions!$D$7,"Other Services"))),"Other Services"))</f>
        <v/>
      </c>
    </row>
    <row r="3374" customFormat="false" ht="15" hidden="false" customHeight="false" outlineLevel="0" collapsed="false">
      <c r="I3374" s="41" t="str">
        <f aca="false">IF(F3374="","",IFERROR(IF(ISNUMBER(SEARCH(Assumptions!$C$5,F3374)),Assumptions!$D$5,IF(ISNUMBER(SEARCH(Assumptions!$C$6,F3374)),Assumptions!$D$6,IF(ISNUMBER(SEARCH(Assumptions!$C$7,F3374)),Assumptions!$D$7,"Other Services"))),"Other Services"))</f>
        <v/>
      </c>
    </row>
    <row r="3375" customFormat="false" ht="15" hidden="false" customHeight="false" outlineLevel="0" collapsed="false">
      <c r="I3375" s="41" t="str">
        <f aca="false">IF(F3375="","",IFERROR(IF(ISNUMBER(SEARCH(Assumptions!$C$5,F3375)),Assumptions!$D$5,IF(ISNUMBER(SEARCH(Assumptions!$C$6,F3375)),Assumptions!$D$6,IF(ISNUMBER(SEARCH(Assumptions!$C$7,F3375)),Assumptions!$D$7,"Other Services"))),"Other Services"))</f>
        <v/>
      </c>
    </row>
    <row r="3376" customFormat="false" ht="15" hidden="false" customHeight="false" outlineLevel="0" collapsed="false">
      <c r="I3376" s="41" t="str">
        <f aca="false">IF(F3376="","",IFERROR(IF(ISNUMBER(SEARCH(Assumptions!$C$5,F3376)),Assumptions!$D$5,IF(ISNUMBER(SEARCH(Assumptions!$C$6,F3376)),Assumptions!$D$6,IF(ISNUMBER(SEARCH(Assumptions!$C$7,F3376)),Assumptions!$D$7,"Other Services"))),"Other Services"))</f>
        <v/>
      </c>
    </row>
    <row r="3377" customFormat="false" ht="15" hidden="false" customHeight="false" outlineLevel="0" collapsed="false">
      <c r="I3377" s="41" t="str">
        <f aca="false">IF(F3377="","",IFERROR(IF(ISNUMBER(SEARCH(Assumptions!$C$5,F3377)),Assumptions!$D$5,IF(ISNUMBER(SEARCH(Assumptions!$C$6,F3377)),Assumptions!$D$6,IF(ISNUMBER(SEARCH(Assumptions!$C$7,F3377)),Assumptions!$D$7,"Other Services"))),"Other Services"))</f>
        <v/>
      </c>
    </row>
    <row r="3378" customFormat="false" ht="15" hidden="false" customHeight="false" outlineLevel="0" collapsed="false">
      <c r="I3378" s="41" t="str">
        <f aca="false">IF(F3378="","",IFERROR(IF(ISNUMBER(SEARCH(Assumptions!$C$5,F3378)),Assumptions!$D$5,IF(ISNUMBER(SEARCH(Assumptions!$C$6,F3378)),Assumptions!$D$6,IF(ISNUMBER(SEARCH(Assumptions!$C$7,F3378)),Assumptions!$D$7,"Other Services"))),"Other Services"))</f>
        <v/>
      </c>
    </row>
    <row r="3379" customFormat="false" ht="15" hidden="false" customHeight="false" outlineLevel="0" collapsed="false">
      <c r="I3379" s="41" t="str">
        <f aca="false">IF(F3379="","",IFERROR(IF(ISNUMBER(SEARCH(Assumptions!$C$5,F3379)),Assumptions!$D$5,IF(ISNUMBER(SEARCH(Assumptions!$C$6,F3379)),Assumptions!$D$6,IF(ISNUMBER(SEARCH(Assumptions!$C$7,F3379)),Assumptions!$D$7,"Other Services"))),"Other Services"))</f>
        <v/>
      </c>
    </row>
    <row r="3380" customFormat="false" ht="15" hidden="false" customHeight="false" outlineLevel="0" collapsed="false">
      <c r="I3380" s="41" t="str">
        <f aca="false">IF(F3380="","",IFERROR(IF(ISNUMBER(SEARCH(Assumptions!$C$5,F3380)),Assumptions!$D$5,IF(ISNUMBER(SEARCH(Assumptions!$C$6,F3380)),Assumptions!$D$6,IF(ISNUMBER(SEARCH(Assumptions!$C$7,F3380)),Assumptions!$D$7,"Other Services"))),"Other Services"))</f>
        <v/>
      </c>
    </row>
    <row r="3381" customFormat="false" ht="15" hidden="false" customHeight="false" outlineLevel="0" collapsed="false">
      <c r="I3381" s="41" t="str">
        <f aca="false">IF(F3381="","",IFERROR(IF(ISNUMBER(SEARCH(Assumptions!$C$5,F3381)),Assumptions!$D$5,IF(ISNUMBER(SEARCH(Assumptions!$C$6,F3381)),Assumptions!$D$6,IF(ISNUMBER(SEARCH(Assumptions!$C$7,F3381)),Assumptions!$D$7,"Other Services"))),"Other Services"))</f>
        <v/>
      </c>
    </row>
    <row r="3382" customFormat="false" ht="15" hidden="false" customHeight="false" outlineLevel="0" collapsed="false">
      <c r="I3382" s="41" t="str">
        <f aca="false">IF(F3382="","",IFERROR(IF(ISNUMBER(SEARCH(Assumptions!$C$5,F3382)),Assumptions!$D$5,IF(ISNUMBER(SEARCH(Assumptions!$C$6,F3382)),Assumptions!$D$6,IF(ISNUMBER(SEARCH(Assumptions!$C$7,F3382)),Assumptions!$D$7,"Other Services"))),"Other Services"))</f>
        <v/>
      </c>
    </row>
    <row r="3383" customFormat="false" ht="15" hidden="false" customHeight="false" outlineLevel="0" collapsed="false">
      <c r="I3383" s="41" t="str">
        <f aca="false">IF(F3383="","",IFERROR(IF(ISNUMBER(SEARCH(Assumptions!$C$5,F3383)),Assumptions!$D$5,IF(ISNUMBER(SEARCH(Assumptions!$C$6,F3383)),Assumptions!$D$6,IF(ISNUMBER(SEARCH(Assumptions!$C$7,F3383)),Assumptions!$D$7,"Other Services"))),"Other Services"))</f>
        <v/>
      </c>
    </row>
    <row r="3384" customFormat="false" ht="15" hidden="false" customHeight="false" outlineLevel="0" collapsed="false">
      <c r="I3384" s="41" t="str">
        <f aca="false">IF(F3384="","",IFERROR(IF(ISNUMBER(SEARCH(Assumptions!$C$5,F3384)),Assumptions!$D$5,IF(ISNUMBER(SEARCH(Assumptions!$C$6,F3384)),Assumptions!$D$6,IF(ISNUMBER(SEARCH(Assumptions!$C$7,F3384)),Assumptions!$D$7,"Other Services"))),"Other Services"))</f>
        <v/>
      </c>
    </row>
    <row r="3385" customFormat="false" ht="15" hidden="false" customHeight="false" outlineLevel="0" collapsed="false">
      <c r="I3385" s="41" t="str">
        <f aca="false">IF(F3385="","",IFERROR(IF(ISNUMBER(SEARCH(Assumptions!$C$5,F3385)),Assumptions!$D$5,IF(ISNUMBER(SEARCH(Assumptions!$C$6,F3385)),Assumptions!$D$6,IF(ISNUMBER(SEARCH(Assumptions!$C$7,F3385)),Assumptions!$D$7,"Other Services"))),"Other Services"))</f>
        <v/>
      </c>
    </row>
    <row r="3386" customFormat="false" ht="15" hidden="false" customHeight="false" outlineLevel="0" collapsed="false">
      <c r="I3386" s="41" t="str">
        <f aca="false">IF(F3386="","",IFERROR(IF(ISNUMBER(SEARCH(Assumptions!$C$5,F3386)),Assumptions!$D$5,IF(ISNUMBER(SEARCH(Assumptions!$C$6,F3386)),Assumptions!$D$6,IF(ISNUMBER(SEARCH(Assumptions!$C$7,F3386)),Assumptions!$D$7,"Other Services"))),"Other Services"))</f>
        <v/>
      </c>
    </row>
    <row r="3387" customFormat="false" ht="15" hidden="false" customHeight="false" outlineLevel="0" collapsed="false">
      <c r="I3387" s="41" t="str">
        <f aca="false">IF(F3387="","",IFERROR(IF(ISNUMBER(SEARCH(Assumptions!$C$5,F3387)),Assumptions!$D$5,IF(ISNUMBER(SEARCH(Assumptions!$C$6,F3387)),Assumptions!$D$6,IF(ISNUMBER(SEARCH(Assumptions!$C$7,F3387)),Assumptions!$D$7,"Other Services"))),"Other Services"))</f>
        <v/>
      </c>
    </row>
    <row r="3388" customFormat="false" ht="15" hidden="false" customHeight="false" outlineLevel="0" collapsed="false">
      <c r="I3388" s="41" t="str">
        <f aca="false">IF(F3388="","",IFERROR(IF(ISNUMBER(SEARCH(Assumptions!$C$5,F3388)),Assumptions!$D$5,IF(ISNUMBER(SEARCH(Assumptions!$C$6,F3388)),Assumptions!$D$6,IF(ISNUMBER(SEARCH(Assumptions!$C$7,F3388)),Assumptions!$D$7,"Other Services"))),"Other Services"))</f>
        <v/>
      </c>
    </row>
    <row r="3389" customFormat="false" ht="15" hidden="false" customHeight="false" outlineLevel="0" collapsed="false">
      <c r="I3389" s="41" t="str">
        <f aca="false">IF(F3389="","",IFERROR(IF(ISNUMBER(SEARCH(Assumptions!$C$5,F3389)),Assumptions!$D$5,IF(ISNUMBER(SEARCH(Assumptions!$C$6,F3389)),Assumptions!$D$6,IF(ISNUMBER(SEARCH(Assumptions!$C$7,F3389)),Assumptions!$D$7,"Other Services"))),"Other Services"))</f>
        <v/>
      </c>
    </row>
    <row r="3390" customFormat="false" ht="15" hidden="false" customHeight="false" outlineLevel="0" collapsed="false">
      <c r="I3390" s="41" t="str">
        <f aca="false">IF(F3390="","",IFERROR(IF(ISNUMBER(SEARCH(Assumptions!$C$5,F3390)),Assumptions!$D$5,IF(ISNUMBER(SEARCH(Assumptions!$C$6,F3390)),Assumptions!$D$6,IF(ISNUMBER(SEARCH(Assumptions!$C$7,F3390)),Assumptions!$D$7,"Other Services"))),"Other Services"))</f>
        <v/>
      </c>
    </row>
    <row r="3391" customFormat="false" ht="15" hidden="false" customHeight="false" outlineLevel="0" collapsed="false">
      <c r="I3391" s="41" t="str">
        <f aca="false">IF(F3391="","",IFERROR(IF(ISNUMBER(SEARCH(Assumptions!$C$5,F3391)),Assumptions!$D$5,IF(ISNUMBER(SEARCH(Assumptions!$C$6,F3391)),Assumptions!$D$6,IF(ISNUMBER(SEARCH(Assumptions!$C$7,F3391)),Assumptions!$D$7,"Other Services"))),"Other Services"))</f>
        <v/>
      </c>
    </row>
    <row r="3392" customFormat="false" ht="15" hidden="false" customHeight="false" outlineLevel="0" collapsed="false">
      <c r="I3392" s="41" t="str">
        <f aca="false">IF(F3392="","",IFERROR(IF(ISNUMBER(SEARCH(Assumptions!$C$5,F3392)),Assumptions!$D$5,IF(ISNUMBER(SEARCH(Assumptions!$C$6,F3392)),Assumptions!$D$6,IF(ISNUMBER(SEARCH(Assumptions!$C$7,F3392)),Assumptions!$D$7,"Other Services"))),"Other Services"))</f>
        <v/>
      </c>
    </row>
    <row r="3393" customFormat="false" ht="15" hidden="false" customHeight="false" outlineLevel="0" collapsed="false">
      <c r="I3393" s="41" t="str">
        <f aca="false">IF(F3393="","",IFERROR(IF(ISNUMBER(SEARCH(Assumptions!$C$5,F3393)),Assumptions!$D$5,IF(ISNUMBER(SEARCH(Assumptions!$C$6,F3393)),Assumptions!$D$6,IF(ISNUMBER(SEARCH(Assumptions!$C$7,F3393)),Assumptions!$D$7,"Other Services"))),"Other Services"))</f>
        <v/>
      </c>
    </row>
    <row r="3394" customFormat="false" ht="15" hidden="false" customHeight="false" outlineLevel="0" collapsed="false">
      <c r="I3394" s="41" t="str">
        <f aca="false">IF(F3394="","",IFERROR(IF(ISNUMBER(SEARCH(Assumptions!$C$5,F3394)),Assumptions!$D$5,IF(ISNUMBER(SEARCH(Assumptions!$C$6,F3394)),Assumptions!$D$6,IF(ISNUMBER(SEARCH(Assumptions!$C$7,F3394)),Assumptions!$D$7,"Other Services"))),"Other Services"))</f>
        <v/>
      </c>
    </row>
    <row r="3395" customFormat="false" ht="15" hidden="false" customHeight="false" outlineLevel="0" collapsed="false">
      <c r="I3395" s="41" t="str">
        <f aca="false">IF(F3395="","",IFERROR(IF(ISNUMBER(SEARCH(Assumptions!$C$5,F3395)),Assumptions!$D$5,IF(ISNUMBER(SEARCH(Assumptions!$C$6,F3395)),Assumptions!$D$6,IF(ISNUMBER(SEARCH(Assumptions!$C$7,F3395)),Assumptions!$D$7,"Other Services"))),"Other Services"))</f>
        <v/>
      </c>
    </row>
    <row r="3396" customFormat="false" ht="15" hidden="false" customHeight="false" outlineLevel="0" collapsed="false">
      <c r="I3396" s="41" t="str">
        <f aca="false">IF(F3396="","",IFERROR(IF(ISNUMBER(SEARCH(Assumptions!$C$5,F3396)),Assumptions!$D$5,IF(ISNUMBER(SEARCH(Assumptions!$C$6,F3396)),Assumptions!$D$6,IF(ISNUMBER(SEARCH(Assumptions!$C$7,F3396)),Assumptions!$D$7,"Other Services"))),"Other Services"))</f>
        <v/>
      </c>
    </row>
    <row r="3397" customFormat="false" ht="15" hidden="false" customHeight="false" outlineLevel="0" collapsed="false">
      <c r="I3397" s="41" t="str">
        <f aca="false">IF(F3397="","",IFERROR(IF(ISNUMBER(SEARCH(Assumptions!$C$5,F3397)),Assumptions!$D$5,IF(ISNUMBER(SEARCH(Assumptions!$C$6,F3397)),Assumptions!$D$6,IF(ISNUMBER(SEARCH(Assumptions!$C$7,F3397)),Assumptions!$D$7,"Other Services"))),"Other Services"))</f>
        <v/>
      </c>
    </row>
    <row r="3398" customFormat="false" ht="15" hidden="false" customHeight="false" outlineLevel="0" collapsed="false">
      <c r="I3398" s="41" t="str">
        <f aca="false">IF(F3398="","",IFERROR(IF(ISNUMBER(SEARCH(Assumptions!$C$5,F3398)),Assumptions!$D$5,IF(ISNUMBER(SEARCH(Assumptions!$C$6,F3398)),Assumptions!$D$6,IF(ISNUMBER(SEARCH(Assumptions!$C$7,F3398)),Assumptions!$D$7,"Other Services"))),"Other Services"))</f>
        <v/>
      </c>
    </row>
    <row r="3399" customFormat="false" ht="15" hidden="false" customHeight="false" outlineLevel="0" collapsed="false">
      <c r="I3399" s="41" t="str">
        <f aca="false">IF(F3399="","",IFERROR(IF(ISNUMBER(SEARCH(Assumptions!$C$5,F3399)),Assumptions!$D$5,IF(ISNUMBER(SEARCH(Assumptions!$C$6,F3399)),Assumptions!$D$6,IF(ISNUMBER(SEARCH(Assumptions!$C$7,F3399)),Assumptions!$D$7,"Other Services"))),"Other Services"))</f>
        <v/>
      </c>
    </row>
    <row r="3400" customFormat="false" ht="15" hidden="false" customHeight="false" outlineLevel="0" collapsed="false">
      <c r="I3400" s="41" t="str">
        <f aca="false">IF(F3400="","",IFERROR(IF(ISNUMBER(SEARCH(Assumptions!$C$5,F3400)),Assumptions!$D$5,IF(ISNUMBER(SEARCH(Assumptions!$C$6,F3400)),Assumptions!$D$6,IF(ISNUMBER(SEARCH(Assumptions!$C$7,F3400)),Assumptions!$D$7,"Other Services"))),"Other Services"))</f>
        <v/>
      </c>
    </row>
    <row r="3401" customFormat="false" ht="15" hidden="false" customHeight="false" outlineLevel="0" collapsed="false">
      <c r="I3401" s="41" t="str">
        <f aca="false">IF(F3401="","",IFERROR(IF(ISNUMBER(SEARCH(Assumptions!$C$5,F3401)),Assumptions!$D$5,IF(ISNUMBER(SEARCH(Assumptions!$C$6,F3401)),Assumptions!$D$6,IF(ISNUMBER(SEARCH(Assumptions!$C$7,F3401)),Assumptions!$D$7,"Other Services"))),"Other Services"))</f>
        <v/>
      </c>
    </row>
    <row r="3402" customFormat="false" ht="15" hidden="false" customHeight="false" outlineLevel="0" collapsed="false">
      <c r="I3402" s="41" t="str">
        <f aca="false">IF(F3402="","",IFERROR(IF(ISNUMBER(SEARCH(Assumptions!$C$5,F3402)),Assumptions!$D$5,IF(ISNUMBER(SEARCH(Assumptions!$C$6,F3402)),Assumptions!$D$6,IF(ISNUMBER(SEARCH(Assumptions!$C$7,F3402)),Assumptions!$D$7,"Other Services"))),"Other Services"))</f>
        <v/>
      </c>
    </row>
    <row r="3403" customFormat="false" ht="15" hidden="false" customHeight="false" outlineLevel="0" collapsed="false">
      <c r="I3403" s="41" t="str">
        <f aca="false">IF(F3403="","",IFERROR(IF(ISNUMBER(SEARCH(Assumptions!$C$5,F3403)),Assumptions!$D$5,IF(ISNUMBER(SEARCH(Assumptions!$C$6,F3403)),Assumptions!$D$6,IF(ISNUMBER(SEARCH(Assumptions!$C$7,F3403)),Assumptions!$D$7,"Other Services"))),"Other Services"))</f>
        <v/>
      </c>
    </row>
    <row r="3404" customFormat="false" ht="15" hidden="false" customHeight="false" outlineLevel="0" collapsed="false">
      <c r="I3404" s="41" t="str">
        <f aca="false">IF(F3404="","",IFERROR(IF(ISNUMBER(SEARCH(Assumptions!$C$5,F3404)),Assumptions!$D$5,IF(ISNUMBER(SEARCH(Assumptions!$C$6,F3404)),Assumptions!$D$6,IF(ISNUMBER(SEARCH(Assumptions!$C$7,F3404)),Assumptions!$D$7,"Other Services"))),"Other Services"))</f>
        <v/>
      </c>
    </row>
    <row r="3405" customFormat="false" ht="15" hidden="false" customHeight="false" outlineLevel="0" collapsed="false">
      <c r="I3405" s="41" t="str">
        <f aca="false">IF(F3405="","",IFERROR(IF(ISNUMBER(SEARCH(Assumptions!$C$5,F3405)),Assumptions!$D$5,IF(ISNUMBER(SEARCH(Assumptions!$C$6,F3405)),Assumptions!$D$6,IF(ISNUMBER(SEARCH(Assumptions!$C$7,F3405)),Assumptions!$D$7,"Other Services"))),"Other Services"))</f>
        <v/>
      </c>
    </row>
    <row r="3406" customFormat="false" ht="15" hidden="false" customHeight="false" outlineLevel="0" collapsed="false">
      <c r="I3406" s="41" t="str">
        <f aca="false">IF(F3406="","",IFERROR(IF(ISNUMBER(SEARCH(Assumptions!$C$5,F3406)),Assumptions!$D$5,IF(ISNUMBER(SEARCH(Assumptions!$C$6,F3406)),Assumptions!$D$6,IF(ISNUMBER(SEARCH(Assumptions!$C$7,F3406)),Assumptions!$D$7,"Other Services"))),"Other Services"))</f>
        <v/>
      </c>
    </row>
    <row r="3407" customFormat="false" ht="15" hidden="false" customHeight="false" outlineLevel="0" collapsed="false">
      <c r="I3407" s="41" t="str">
        <f aca="false">IF(F3407="","",IFERROR(IF(ISNUMBER(SEARCH(Assumptions!$C$5,F3407)),Assumptions!$D$5,IF(ISNUMBER(SEARCH(Assumptions!$C$6,F3407)),Assumptions!$D$6,IF(ISNUMBER(SEARCH(Assumptions!$C$7,F3407)),Assumptions!$D$7,"Other Services"))),"Other Services"))</f>
        <v/>
      </c>
    </row>
    <row r="3408" customFormat="false" ht="15" hidden="false" customHeight="false" outlineLevel="0" collapsed="false">
      <c r="I3408" s="41" t="str">
        <f aca="false">IF(F3408="","",IFERROR(IF(ISNUMBER(SEARCH(Assumptions!$C$5,F3408)),Assumptions!$D$5,IF(ISNUMBER(SEARCH(Assumptions!$C$6,F3408)),Assumptions!$D$6,IF(ISNUMBER(SEARCH(Assumptions!$C$7,F3408)),Assumptions!$D$7,"Other Services"))),"Other Services"))</f>
        <v/>
      </c>
    </row>
    <row r="3409" customFormat="false" ht="15" hidden="false" customHeight="false" outlineLevel="0" collapsed="false">
      <c r="I3409" s="41" t="str">
        <f aca="false">IF(F3409="","",IFERROR(IF(ISNUMBER(SEARCH(Assumptions!$C$5,F3409)),Assumptions!$D$5,IF(ISNUMBER(SEARCH(Assumptions!$C$6,F3409)),Assumptions!$D$6,IF(ISNUMBER(SEARCH(Assumptions!$C$7,F3409)),Assumptions!$D$7,"Other Services"))),"Other Services"))</f>
        <v/>
      </c>
    </row>
    <row r="3410" customFormat="false" ht="15" hidden="false" customHeight="false" outlineLevel="0" collapsed="false">
      <c r="I3410" s="41" t="str">
        <f aca="false">IF(F3410="","",IFERROR(IF(ISNUMBER(SEARCH(Assumptions!$C$5,F3410)),Assumptions!$D$5,IF(ISNUMBER(SEARCH(Assumptions!$C$6,F3410)),Assumptions!$D$6,IF(ISNUMBER(SEARCH(Assumptions!$C$7,F3410)),Assumptions!$D$7,"Other Services"))),"Other Services"))</f>
        <v/>
      </c>
    </row>
    <row r="3411" customFormat="false" ht="15" hidden="false" customHeight="false" outlineLevel="0" collapsed="false">
      <c r="I3411" s="41" t="str">
        <f aca="false">IF(F3411="","",IFERROR(IF(ISNUMBER(SEARCH(Assumptions!$C$5,F3411)),Assumptions!$D$5,IF(ISNUMBER(SEARCH(Assumptions!$C$6,F3411)),Assumptions!$D$6,IF(ISNUMBER(SEARCH(Assumptions!$C$7,F3411)),Assumptions!$D$7,"Other Services"))),"Other Services"))</f>
        <v/>
      </c>
    </row>
    <row r="3412" customFormat="false" ht="15" hidden="false" customHeight="false" outlineLevel="0" collapsed="false">
      <c r="I3412" s="41" t="str">
        <f aca="false">IF(F3412="","",IFERROR(IF(ISNUMBER(SEARCH(Assumptions!$C$5,F3412)),Assumptions!$D$5,IF(ISNUMBER(SEARCH(Assumptions!$C$6,F3412)),Assumptions!$D$6,IF(ISNUMBER(SEARCH(Assumptions!$C$7,F3412)),Assumptions!$D$7,"Other Services"))),"Other Services"))</f>
        <v/>
      </c>
    </row>
    <row r="3413" customFormat="false" ht="15" hidden="false" customHeight="false" outlineLevel="0" collapsed="false">
      <c r="I3413" s="41" t="str">
        <f aca="false">IF(F3413="","",IFERROR(IF(ISNUMBER(SEARCH(Assumptions!$C$5,F3413)),Assumptions!$D$5,IF(ISNUMBER(SEARCH(Assumptions!$C$6,F3413)),Assumptions!$D$6,IF(ISNUMBER(SEARCH(Assumptions!$C$7,F3413)),Assumptions!$D$7,"Other Services"))),"Other Services"))</f>
        <v/>
      </c>
    </row>
    <row r="3414" customFormat="false" ht="15" hidden="false" customHeight="false" outlineLevel="0" collapsed="false">
      <c r="I3414" s="41" t="str">
        <f aca="false">IF(F3414="","",IFERROR(IF(ISNUMBER(SEARCH(Assumptions!$C$5,F3414)),Assumptions!$D$5,IF(ISNUMBER(SEARCH(Assumptions!$C$6,F3414)),Assumptions!$D$6,IF(ISNUMBER(SEARCH(Assumptions!$C$7,F3414)),Assumptions!$D$7,"Other Services"))),"Other Services"))</f>
        <v/>
      </c>
    </row>
    <row r="3415" customFormat="false" ht="15" hidden="false" customHeight="false" outlineLevel="0" collapsed="false">
      <c r="I3415" s="41" t="str">
        <f aca="false">IF(F3415="","",IFERROR(IF(ISNUMBER(SEARCH(Assumptions!$C$5,F3415)),Assumptions!$D$5,IF(ISNUMBER(SEARCH(Assumptions!$C$6,F3415)),Assumptions!$D$6,IF(ISNUMBER(SEARCH(Assumptions!$C$7,F3415)),Assumptions!$D$7,"Other Services"))),"Other Services"))</f>
        <v/>
      </c>
    </row>
    <row r="3416" customFormat="false" ht="15" hidden="false" customHeight="false" outlineLevel="0" collapsed="false">
      <c r="I3416" s="41" t="str">
        <f aca="false">IF(F3416="","",IFERROR(IF(ISNUMBER(SEARCH(Assumptions!$C$5,F3416)),Assumptions!$D$5,IF(ISNUMBER(SEARCH(Assumptions!$C$6,F3416)),Assumptions!$D$6,IF(ISNUMBER(SEARCH(Assumptions!$C$7,F3416)),Assumptions!$D$7,"Other Services"))),"Other Services"))</f>
        <v/>
      </c>
    </row>
    <row r="3417" customFormat="false" ht="15" hidden="false" customHeight="false" outlineLevel="0" collapsed="false">
      <c r="I3417" s="41" t="str">
        <f aca="false">IF(F3417="","",IFERROR(IF(ISNUMBER(SEARCH(Assumptions!$C$5,F3417)),Assumptions!$D$5,IF(ISNUMBER(SEARCH(Assumptions!$C$6,F3417)),Assumptions!$D$6,IF(ISNUMBER(SEARCH(Assumptions!$C$7,F3417)),Assumptions!$D$7,"Other Services"))),"Other Services"))</f>
        <v/>
      </c>
    </row>
    <row r="3418" customFormat="false" ht="15" hidden="false" customHeight="false" outlineLevel="0" collapsed="false">
      <c r="I3418" s="41" t="str">
        <f aca="false">IF(F3418="","",IFERROR(IF(ISNUMBER(SEARCH(Assumptions!$C$5,F3418)),Assumptions!$D$5,IF(ISNUMBER(SEARCH(Assumptions!$C$6,F3418)),Assumptions!$D$6,IF(ISNUMBER(SEARCH(Assumptions!$C$7,F3418)),Assumptions!$D$7,"Other Services"))),"Other Services"))</f>
        <v/>
      </c>
    </row>
    <row r="3419" customFormat="false" ht="15" hidden="false" customHeight="false" outlineLevel="0" collapsed="false">
      <c r="I3419" s="41" t="str">
        <f aca="false">IF(F3419="","",IFERROR(IF(ISNUMBER(SEARCH(Assumptions!$C$5,F3419)),Assumptions!$D$5,IF(ISNUMBER(SEARCH(Assumptions!$C$6,F3419)),Assumptions!$D$6,IF(ISNUMBER(SEARCH(Assumptions!$C$7,F3419)),Assumptions!$D$7,"Other Services"))),"Other Services"))</f>
        <v/>
      </c>
    </row>
    <row r="3420" customFormat="false" ht="15" hidden="false" customHeight="false" outlineLevel="0" collapsed="false">
      <c r="I3420" s="41" t="str">
        <f aca="false">IF(F3420="","",IFERROR(IF(ISNUMBER(SEARCH(Assumptions!$C$5,F3420)),Assumptions!$D$5,IF(ISNUMBER(SEARCH(Assumptions!$C$6,F3420)),Assumptions!$D$6,IF(ISNUMBER(SEARCH(Assumptions!$C$7,F3420)),Assumptions!$D$7,"Other Services"))),"Other Services"))</f>
        <v/>
      </c>
    </row>
    <row r="3421" customFormat="false" ht="15" hidden="false" customHeight="false" outlineLevel="0" collapsed="false">
      <c r="I3421" s="41" t="str">
        <f aca="false">IF(F3421="","",IFERROR(IF(ISNUMBER(SEARCH(Assumptions!$C$5,F3421)),Assumptions!$D$5,IF(ISNUMBER(SEARCH(Assumptions!$C$6,F3421)),Assumptions!$D$6,IF(ISNUMBER(SEARCH(Assumptions!$C$7,F3421)),Assumptions!$D$7,"Other Services"))),"Other Services"))</f>
        <v/>
      </c>
    </row>
    <row r="3422" customFormat="false" ht="15" hidden="false" customHeight="false" outlineLevel="0" collapsed="false">
      <c r="I3422" s="41" t="str">
        <f aca="false">IF(F3422="","",IFERROR(IF(ISNUMBER(SEARCH(Assumptions!$C$5,F3422)),Assumptions!$D$5,IF(ISNUMBER(SEARCH(Assumptions!$C$6,F3422)),Assumptions!$D$6,IF(ISNUMBER(SEARCH(Assumptions!$C$7,F3422)),Assumptions!$D$7,"Other Services"))),"Other Services"))</f>
        <v/>
      </c>
    </row>
    <row r="3423" customFormat="false" ht="15" hidden="false" customHeight="false" outlineLevel="0" collapsed="false">
      <c r="I3423" s="41" t="str">
        <f aca="false">IF(F3423="","",IFERROR(IF(ISNUMBER(SEARCH(Assumptions!$C$5,F3423)),Assumptions!$D$5,IF(ISNUMBER(SEARCH(Assumptions!$C$6,F3423)),Assumptions!$D$6,IF(ISNUMBER(SEARCH(Assumptions!$C$7,F3423)),Assumptions!$D$7,"Other Services"))),"Other Services"))</f>
        <v/>
      </c>
    </row>
    <row r="3424" customFormat="false" ht="15" hidden="false" customHeight="false" outlineLevel="0" collapsed="false">
      <c r="I3424" s="41" t="str">
        <f aca="false">IF(F3424="","",IFERROR(IF(ISNUMBER(SEARCH(Assumptions!$C$5,F3424)),Assumptions!$D$5,IF(ISNUMBER(SEARCH(Assumptions!$C$6,F3424)),Assumptions!$D$6,IF(ISNUMBER(SEARCH(Assumptions!$C$7,F3424)),Assumptions!$D$7,"Other Services"))),"Other Services"))</f>
        <v/>
      </c>
    </row>
    <row r="3425" customFormat="false" ht="15" hidden="false" customHeight="false" outlineLevel="0" collapsed="false">
      <c r="I3425" s="41" t="str">
        <f aca="false">IF(F3425="","",IFERROR(IF(ISNUMBER(SEARCH(Assumptions!$C$5,F3425)),Assumptions!$D$5,IF(ISNUMBER(SEARCH(Assumptions!$C$6,F3425)),Assumptions!$D$6,IF(ISNUMBER(SEARCH(Assumptions!$C$7,F3425)),Assumptions!$D$7,"Other Services"))),"Other Services"))</f>
        <v/>
      </c>
    </row>
    <row r="3426" customFormat="false" ht="15" hidden="false" customHeight="false" outlineLevel="0" collapsed="false">
      <c r="I3426" s="41" t="str">
        <f aca="false">IF(F3426="","",IFERROR(IF(ISNUMBER(SEARCH(Assumptions!$C$5,F3426)),Assumptions!$D$5,IF(ISNUMBER(SEARCH(Assumptions!$C$6,F3426)),Assumptions!$D$6,IF(ISNUMBER(SEARCH(Assumptions!$C$7,F3426)),Assumptions!$D$7,"Other Services"))),"Other Services"))</f>
        <v/>
      </c>
    </row>
    <row r="3427" customFormat="false" ht="15" hidden="false" customHeight="false" outlineLevel="0" collapsed="false">
      <c r="I3427" s="41" t="str">
        <f aca="false">IF(F3427="","",IFERROR(IF(ISNUMBER(SEARCH(Assumptions!$C$5,F3427)),Assumptions!$D$5,IF(ISNUMBER(SEARCH(Assumptions!$C$6,F3427)),Assumptions!$D$6,IF(ISNUMBER(SEARCH(Assumptions!$C$7,F3427)),Assumptions!$D$7,"Other Services"))),"Other Services"))</f>
        <v/>
      </c>
    </row>
    <row r="3428" customFormat="false" ht="15" hidden="false" customHeight="false" outlineLevel="0" collapsed="false">
      <c r="I3428" s="41" t="str">
        <f aca="false">IF(F3428="","",IFERROR(IF(ISNUMBER(SEARCH(Assumptions!$C$5,F3428)),Assumptions!$D$5,IF(ISNUMBER(SEARCH(Assumptions!$C$6,F3428)),Assumptions!$D$6,IF(ISNUMBER(SEARCH(Assumptions!$C$7,F3428)),Assumptions!$D$7,"Other Services"))),"Other Services"))</f>
        <v/>
      </c>
    </row>
    <row r="3429" customFormat="false" ht="15" hidden="false" customHeight="false" outlineLevel="0" collapsed="false">
      <c r="I3429" s="41" t="str">
        <f aca="false">IF(F3429="","",IFERROR(IF(ISNUMBER(SEARCH(Assumptions!$C$5,F3429)),Assumptions!$D$5,IF(ISNUMBER(SEARCH(Assumptions!$C$6,F3429)),Assumptions!$D$6,IF(ISNUMBER(SEARCH(Assumptions!$C$7,F3429)),Assumptions!$D$7,"Other Services"))),"Other Services"))</f>
        <v/>
      </c>
    </row>
    <row r="3430" customFormat="false" ht="15" hidden="false" customHeight="false" outlineLevel="0" collapsed="false">
      <c r="I3430" s="41" t="str">
        <f aca="false">IF(F3430="","",IFERROR(IF(ISNUMBER(SEARCH(Assumptions!$C$5,F3430)),Assumptions!$D$5,IF(ISNUMBER(SEARCH(Assumptions!$C$6,F3430)),Assumptions!$D$6,IF(ISNUMBER(SEARCH(Assumptions!$C$7,F3430)),Assumptions!$D$7,"Other Services"))),"Other Services"))</f>
        <v/>
      </c>
    </row>
    <row r="3431" customFormat="false" ht="15" hidden="false" customHeight="false" outlineLevel="0" collapsed="false">
      <c r="I3431" s="41" t="str">
        <f aca="false">IF(F3431="","",IFERROR(IF(ISNUMBER(SEARCH(Assumptions!$C$5,F3431)),Assumptions!$D$5,IF(ISNUMBER(SEARCH(Assumptions!$C$6,F3431)),Assumptions!$D$6,IF(ISNUMBER(SEARCH(Assumptions!$C$7,F3431)),Assumptions!$D$7,"Other Services"))),"Other Services"))</f>
        <v/>
      </c>
    </row>
    <row r="3432" customFormat="false" ht="15" hidden="false" customHeight="false" outlineLevel="0" collapsed="false">
      <c r="I3432" s="41" t="str">
        <f aca="false">IF(F3432="","",IFERROR(IF(ISNUMBER(SEARCH(Assumptions!$C$5,F3432)),Assumptions!$D$5,IF(ISNUMBER(SEARCH(Assumptions!$C$6,F3432)),Assumptions!$D$6,IF(ISNUMBER(SEARCH(Assumptions!$C$7,F3432)),Assumptions!$D$7,"Other Services"))),"Other Services"))</f>
        <v/>
      </c>
    </row>
    <row r="3433" customFormat="false" ht="15" hidden="false" customHeight="false" outlineLevel="0" collapsed="false">
      <c r="I3433" s="41" t="str">
        <f aca="false">IF(F3433="","",IFERROR(IF(ISNUMBER(SEARCH(Assumptions!$C$5,F3433)),Assumptions!$D$5,IF(ISNUMBER(SEARCH(Assumptions!$C$6,F3433)),Assumptions!$D$6,IF(ISNUMBER(SEARCH(Assumptions!$C$7,F3433)),Assumptions!$D$7,"Other Services"))),"Other Services"))</f>
        <v/>
      </c>
    </row>
    <row r="3434" customFormat="false" ht="15" hidden="false" customHeight="false" outlineLevel="0" collapsed="false">
      <c r="I3434" s="41" t="str">
        <f aca="false">IF(F3434="","",IFERROR(IF(ISNUMBER(SEARCH(Assumptions!$C$5,F3434)),Assumptions!$D$5,IF(ISNUMBER(SEARCH(Assumptions!$C$6,F3434)),Assumptions!$D$6,IF(ISNUMBER(SEARCH(Assumptions!$C$7,F3434)),Assumptions!$D$7,"Other Services"))),"Other Services"))</f>
        <v/>
      </c>
    </row>
    <row r="3435" customFormat="false" ht="15" hidden="false" customHeight="false" outlineLevel="0" collapsed="false">
      <c r="I3435" s="41" t="str">
        <f aca="false">IF(F3435="","",IFERROR(IF(ISNUMBER(SEARCH(Assumptions!$C$5,F3435)),Assumptions!$D$5,IF(ISNUMBER(SEARCH(Assumptions!$C$6,F3435)),Assumptions!$D$6,IF(ISNUMBER(SEARCH(Assumptions!$C$7,F3435)),Assumptions!$D$7,"Other Services"))),"Other Services"))</f>
        <v/>
      </c>
    </row>
    <row r="3436" customFormat="false" ht="15" hidden="false" customHeight="false" outlineLevel="0" collapsed="false">
      <c r="I3436" s="41" t="str">
        <f aca="false">IF(F3436="","",IFERROR(IF(ISNUMBER(SEARCH(Assumptions!$C$5,F3436)),Assumptions!$D$5,IF(ISNUMBER(SEARCH(Assumptions!$C$6,F3436)),Assumptions!$D$6,IF(ISNUMBER(SEARCH(Assumptions!$C$7,F3436)),Assumptions!$D$7,"Other Services"))),"Other Services"))</f>
        <v/>
      </c>
    </row>
    <row r="3437" customFormat="false" ht="15" hidden="false" customHeight="false" outlineLevel="0" collapsed="false">
      <c r="I3437" s="41" t="str">
        <f aca="false">IF(F3437="","",IFERROR(IF(ISNUMBER(SEARCH(Assumptions!$C$5,F3437)),Assumptions!$D$5,IF(ISNUMBER(SEARCH(Assumptions!$C$6,F3437)),Assumptions!$D$6,IF(ISNUMBER(SEARCH(Assumptions!$C$7,F3437)),Assumptions!$D$7,"Other Services"))),"Other Services"))</f>
        <v/>
      </c>
    </row>
    <row r="3438" customFormat="false" ht="15" hidden="false" customHeight="false" outlineLevel="0" collapsed="false">
      <c r="I3438" s="41" t="str">
        <f aca="false">IF(F3438="","",IFERROR(IF(ISNUMBER(SEARCH(Assumptions!$C$5,F3438)),Assumptions!$D$5,IF(ISNUMBER(SEARCH(Assumptions!$C$6,F3438)),Assumptions!$D$6,IF(ISNUMBER(SEARCH(Assumptions!$C$7,F3438)),Assumptions!$D$7,"Other Services"))),"Other Services"))</f>
        <v/>
      </c>
    </row>
    <row r="3439" customFormat="false" ht="15" hidden="false" customHeight="false" outlineLevel="0" collapsed="false">
      <c r="I3439" s="41" t="str">
        <f aca="false">IF(F3439="","",IFERROR(IF(ISNUMBER(SEARCH(Assumptions!$C$5,F3439)),Assumptions!$D$5,IF(ISNUMBER(SEARCH(Assumptions!$C$6,F3439)),Assumptions!$D$6,IF(ISNUMBER(SEARCH(Assumptions!$C$7,F3439)),Assumptions!$D$7,"Other Services"))),"Other Services"))</f>
        <v/>
      </c>
    </row>
    <row r="3440" customFormat="false" ht="15" hidden="false" customHeight="false" outlineLevel="0" collapsed="false">
      <c r="I3440" s="41" t="str">
        <f aca="false">IF(F3440="","",IFERROR(IF(ISNUMBER(SEARCH(Assumptions!$C$5,F3440)),Assumptions!$D$5,IF(ISNUMBER(SEARCH(Assumptions!$C$6,F3440)),Assumptions!$D$6,IF(ISNUMBER(SEARCH(Assumptions!$C$7,F3440)),Assumptions!$D$7,"Other Services"))),"Other Services"))</f>
        <v/>
      </c>
    </row>
    <row r="3441" customFormat="false" ht="15" hidden="false" customHeight="false" outlineLevel="0" collapsed="false">
      <c r="I3441" s="41" t="str">
        <f aca="false">IF(F3441="","",IFERROR(IF(ISNUMBER(SEARCH(Assumptions!$C$5,F3441)),Assumptions!$D$5,IF(ISNUMBER(SEARCH(Assumptions!$C$6,F3441)),Assumptions!$D$6,IF(ISNUMBER(SEARCH(Assumptions!$C$7,F3441)),Assumptions!$D$7,"Other Services"))),"Other Services"))</f>
        <v/>
      </c>
    </row>
    <row r="3442" customFormat="false" ht="15" hidden="false" customHeight="false" outlineLevel="0" collapsed="false">
      <c r="I3442" s="41" t="str">
        <f aca="false">IF(F3442="","",IFERROR(IF(ISNUMBER(SEARCH(Assumptions!$C$5,F3442)),Assumptions!$D$5,IF(ISNUMBER(SEARCH(Assumptions!$C$6,F3442)),Assumptions!$D$6,IF(ISNUMBER(SEARCH(Assumptions!$C$7,F3442)),Assumptions!$D$7,"Other Services"))),"Other Services"))</f>
        <v/>
      </c>
    </row>
    <row r="3443" customFormat="false" ht="15" hidden="false" customHeight="false" outlineLevel="0" collapsed="false">
      <c r="I3443" s="41" t="str">
        <f aca="false">IF(F3443="","",IFERROR(IF(ISNUMBER(SEARCH(Assumptions!$C$5,F3443)),Assumptions!$D$5,IF(ISNUMBER(SEARCH(Assumptions!$C$6,F3443)),Assumptions!$D$6,IF(ISNUMBER(SEARCH(Assumptions!$C$7,F3443)),Assumptions!$D$7,"Other Services"))),"Other Services"))</f>
        <v/>
      </c>
    </row>
    <row r="3444" customFormat="false" ht="15" hidden="false" customHeight="false" outlineLevel="0" collapsed="false">
      <c r="I3444" s="41" t="str">
        <f aca="false">IF(F3444="","",IFERROR(IF(ISNUMBER(SEARCH(Assumptions!$C$5,F3444)),Assumptions!$D$5,IF(ISNUMBER(SEARCH(Assumptions!$C$6,F3444)),Assumptions!$D$6,IF(ISNUMBER(SEARCH(Assumptions!$C$7,F3444)),Assumptions!$D$7,"Other Services"))),"Other Services"))</f>
        <v/>
      </c>
    </row>
    <row r="3445" customFormat="false" ht="15" hidden="false" customHeight="false" outlineLevel="0" collapsed="false">
      <c r="I3445" s="41" t="str">
        <f aca="false">IF(F3445="","",IFERROR(IF(ISNUMBER(SEARCH(Assumptions!$C$5,F3445)),Assumptions!$D$5,IF(ISNUMBER(SEARCH(Assumptions!$C$6,F3445)),Assumptions!$D$6,IF(ISNUMBER(SEARCH(Assumptions!$C$7,F3445)),Assumptions!$D$7,"Other Services"))),"Other Services"))</f>
        <v/>
      </c>
    </row>
    <row r="3446" customFormat="false" ht="15" hidden="false" customHeight="false" outlineLevel="0" collapsed="false">
      <c r="I3446" s="41" t="str">
        <f aca="false">IF(F3446="","",IFERROR(IF(ISNUMBER(SEARCH(Assumptions!$C$5,F3446)),Assumptions!$D$5,IF(ISNUMBER(SEARCH(Assumptions!$C$6,F3446)),Assumptions!$D$6,IF(ISNUMBER(SEARCH(Assumptions!$C$7,F3446)),Assumptions!$D$7,"Other Services"))),"Other Services"))</f>
        <v/>
      </c>
    </row>
    <row r="3447" customFormat="false" ht="15" hidden="false" customHeight="false" outlineLevel="0" collapsed="false">
      <c r="I3447" s="41" t="str">
        <f aca="false">IF(F3447="","",IFERROR(IF(ISNUMBER(SEARCH(Assumptions!$C$5,F3447)),Assumptions!$D$5,IF(ISNUMBER(SEARCH(Assumptions!$C$6,F3447)),Assumptions!$D$6,IF(ISNUMBER(SEARCH(Assumptions!$C$7,F3447)),Assumptions!$D$7,"Other Services"))),"Other Services"))</f>
        <v/>
      </c>
    </row>
    <row r="3448" customFormat="false" ht="15" hidden="false" customHeight="false" outlineLevel="0" collapsed="false">
      <c r="I3448" s="41" t="str">
        <f aca="false">IF(F3448="","",IFERROR(IF(ISNUMBER(SEARCH(Assumptions!$C$5,F3448)),Assumptions!$D$5,IF(ISNUMBER(SEARCH(Assumptions!$C$6,F3448)),Assumptions!$D$6,IF(ISNUMBER(SEARCH(Assumptions!$C$7,F3448)),Assumptions!$D$7,"Other Services"))),"Other Services"))</f>
        <v/>
      </c>
    </row>
    <row r="3449" customFormat="false" ht="15" hidden="false" customHeight="false" outlineLevel="0" collapsed="false">
      <c r="I3449" s="41" t="str">
        <f aca="false">IF(F3449="","",IFERROR(IF(ISNUMBER(SEARCH(Assumptions!$C$5,F3449)),Assumptions!$D$5,IF(ISNUMBER(SEARCH(Assumptions!$C$6,F3449)),Assumptions!$D$6,IF(ISNUMBER(SEARCH(Assumptions!$C$7,F3449)),Assumptions!$D$7,"Other Services"))),"Other Services"))</f>
        <v/>
      </c>
    </row>
    <row r="3450" customFormat="false" ht="15" hidden="false" customHeight="false" outlineLevel="0" collapsed="false">
      <c r="I3450" s="41" t="str">
        <f aca="false">IF(F3450="","",IFERROR(IF(ISNUMBER(SEARCH(Assumptions!$C$5,F3450)),Assumptions!$D$5,IF(ISNUMBER(SEARCH(Assumptions!$C$6,F3450)),Assumptions!$D$6,IF(ISNUMBER(SEARCH(Assumptions!$C$7,F3450)),Assumptions!$D$7,"Other Services"))),"Other Services"))</f>
        <v/>
      </c>
    </row>
    <row r="3451" customFormat="false" ht="15" hidden="false" customHeight="false" outlineLevel="0" collapsed="false">
      <c r="I3451" s="41" t="str">
        <f aca="false">IF(F3451="","",IFERROR(IF(ISNUMBER(SEARCH(Assumptions!$C$5,F3451)),Assumptions!$D$5,IF(ISNUMBER(SEARCH(Assumptions!$C$6,F3451)),Assumptions!$D$6,IF(ISNUMBER(SEARCH(Assumptions!$C$7,F3451)),Assumptions!$D$7,"Other Services"))),"Other Services"))</f>
        <v/>
      </c>
    </row>
    <row r="3452" customFormat="false" ht="15" hidden="false" customHeight="false" outlineLevel="0" collapsed="false">
      <c r="I3452" s="41" t="str">
        <f aca="false">IF(F3452="","",IFERROR(IF(ISNUMBER(SEARCH(Assumptions!$C$5,F3452)),Assumptions!$D$5,IF(ISNUMBER(SEARCH(Assumptions!$C$6,F3452)),Assumptions!$D$6,IF(ISNUMBER(SEARCH(Assumptions!$C$7,F3452)),Assumptions!$D$7,"Other Services"))),"Other Services"))</f>
        <v/>
      </c>
    </row>
    <row r="3453" customFormat="false" ht="15" hidden="false" customHeight="false" outlineLevel="0" collapsed="false">
      <c r="I3453" s="41" t="str">
        <f aca="false">IF(F3453="","",IFERROR(IF(ISNUMBER(SEARCH(Assumptions!$C$5,F3453)),Assumptions!$D$5,IF(ISNUMBER(SEARCH(Assumptions!$C$6,F3453)),Assumptions!$D$6,IF(ISNUMBER(SEARCH(Assumptions!$C$7,F3453)),Assumptions!$D$7,"Other Services"))),"Other Services"))</f>
        <v/>
      </c>
    </row>
    <row r="3454" customFormat="false" ht="15" hidden="false" customHeight="false" outlineLevel="0" collapsed="false">
      <c r="I3454" s="41" t="str">
        <f aca="false">IF(F3454="","",IFERROR(IF(ISNUMBER(SEARCH(Assumptions!$C$5,F3454)),Assumptions!$D$5,IF(ISNUMBER(SEARCH(Assumptions!$C$6,F3454)),Assumptions!$D$6,IF(ISNUMBER(SEARCH(Assumptions!$C$7,F3454)),Assumptions!$D$7,"Other Services"))),"Other Services"))</f>
        <v/>
      </c>
    </row>
    <row r="3455" customFormat="false" ht="15" hidden="false" customHeight="false" outlineLevel="0" collapsed="false">
      <c r="I3455" s="41" t="str">
        <f aca="false">IF(F3455="","",IFERROR(IF(ISNUMBER(SEARCH(Assumptions!$C$5,F3455)),Assumptions!$D$5,IF(ISNUMBER(SEARCH(Assumptions!$C$6,F3455)),Assumptions!$D$6,IF(ISNUMBER(SEARCH(Assumptions!$C$7,F3455)),Assumptions!$D$7,"Other Services"))),"Other Services"))</f>
        <v/>
      </c>
    </row>
    <row r="3456" customFormat="false" ht="15" hidden="false" customHeight="false" outlineLevel="0" collapsed="false">
      <c r="I3456" s="41" t="str">
        <f aca="false">IF(F3456="","",IFERROR(IF(ISNUMBER(SEARCH(Assumptions!$C$5,F3456)),Assumptions!$D$5,IF(ISNUMBER(SEARCH(Assumptions!$C$6,F3456)),Assumptions!$D$6,IF(ISNUMBER(SEARCH(Assumptions!$C$7,F3456)),Assumptions!$D$7,"Other Services"))),"Other Services"))</f>
        <v/>
      </c>
    </row>
    <row r="3457" customFormat="false" ht="15" hidden="false" customHeight="false" outlineLevel="0" collapsed="false">
      <c r="I3457" s="41" t="str">
        <f aca="false">IF(F3457="","",IFERROR(IF(ISNUMBER(SEARCH(Assumptions!$C$5,F3457)),Assumptions!$D$5,IF(ISNUMBER(SEARCH(Assumptions!$C$6,F3457)),Assumptions!$D$6,IF(ISNUMBER(SEARCH(Assumptions!$C$7,F3457)),Assumptions!$D$7,"Other Services"))),"Other Services"))</f>
        <v/>
      </c>
    </row>
    <row r="3458" customFormat="false" ht="15" hidden="false" customHeight="false" outlineLevel="0" collapsed="false">
      <c r="I3458" s="41" t="str">
        <f aca="false">IF(F3458="","",IFERROR(IF(ISNUMBER(SEARCH(Assumptions!$C$5,F3458)),Assumptions!$D$5,IF(ISNUMBER(SEARCH(Assumptions!$C$6,F3458)),Assumptions!$D$6,IF(ISNUMBER(SEARCH(Assumptions!$C$7,F3458)),Assumptions!$D$7,"Other Services"))),"Other Services"))</f>
        <v/>
      </c>
    </row>
    <row r="3459" customFormat="false" ht="15" hidden="false" customHeight="false" outlineLevel="0" collapsed="false">
      <c r="I3459" s="41" t="str">
        <f aca="false">IF(F3459="","",IFERROR(IF(ISNUMBER(SEARCH(Assumptions!$C$5,F3459)),Assumptions!$D$5,IF(ISNUMBER(SEARCH(Assumptions!$C$6,F3459)),Assumptions!$D$6,IF(ISNUMBER(SEARCH(Assumptions!$C$7,F3459)),Assumptions!$D$7,"Other Services"))),"Other Services"))</f>
        <v/>
      </c>
    </row>
    <row r="3460" customFormat="false" ht="15" hidden="false" customHeight="false" outlineLevel="0" collapsed="false">
      <c r="I3460" s="41" t="str">
        <f aca="false">IF(F3460="","",IFERROR(IF(ISNUMBER(SEARCH(Assumptions!$C$5,F3460)),Assumptions!$D$5,IF(ISNUMBER(SEARCH(Assumptions!$C$6,F3460)),Assumptions!$D$6,IF(ISNUMBER(SEARCH(Assumptions!$C$7,F3460)),Assumptions!$D$7,"Other Services"))),"Other Services"))</f>
        <v/>
      </c>
    </row>
    <row r="3461" customFormat="false" ht="15" hidden="false" customHeight="false" outlineLevel="0" collapsed="false">
      <c r="I3461" s="41" t="str">
        <f aca="false">IF(F3461="","",IFERROR(IF(ISNUMBER(SEARCH(Assumptions!$C$5,F3461)),Assumptions!$D$5,IF(ISNUMBER(SEARCH(Assumptions!$C$6,F3461)),Assumptions!$D$6,IF(ISNUMBER(SEARCH(Assumptions!$C$7,F3461)),Assumptions!$D$7,"Other Services"))),"Other Services"))</f>
        <v/>
      </c>
    </row>
    <row r="3462" customFormat="false" ht="15" hidden="false" customHeight="false" outlineLevel="0" collapsed="false">
      <c r="I3462" s="41" t="str">
        <f aca="false">IF(F3462="","",IFERROR(IF(ISNUMBER(SEARCH(Assumptions!$C$5,F3462)),Assumptions!$D$5,IF(ISNUMBER(SEARCH(Assumptions!$C$6,F3462)),Assumptions!$D$6,IF(ISNUMBER(SEARCH(Assumptions!$C$7,F3462)),Assumptions!$D$7,"Other Services"))),"Other Services"))</f>
        <v/>
      </c>
    </row>
    <row r="3463" customFormat="false" ht="15" hidden="false" customHeight="false" outlineLevel="0" collapsed="false">
      <c r="I3463" s="41" t="str">
        <f aca="false">IF(F3463="","",IFERROR(IF(ISNUMBER(SEARCH(Assumptions!$C$5,F3463)),Assumptions!$D$5,IF(ISNUMBER(SEARCH(Assumptions!$C$6,F3463)),Assumptions!$D$6,IF(ISNUMBER(SEARCH(Assumptions!$C$7,F3463)),Assumptions!$D$7,"Other Services"))),"Other Services"))</f>
        <v/>
      </c>
    </row>
    <row r="3464" customFormat="false" ht="15" hidden="false" customHeight="false" outlineLevel="0" collapsed="false">
      <c r="I3464" s="41" t="str">
        <f aca="false">IF(F3464="","",IFERROR(IF(ISNUMBER(SEARCH(Assumptions!$C$5,F3464)),Assumptions!$D$5,IF(ISNUMBER(SEARCH(Assumptions!$C$6,F3464)),Assumptions!$D$6,IF(ISNUMBER(SEARCH(Assumptions!$C$7,F3464)),Assumptions!$D$7,"Other Services"))),"Other Services"))</f>
        <v/>
      </c>
    </row>
    <row r="3465" customFormat="false" ht="15" hidden="false" customHeight="false" outlineLevel="0" collapsed="false">
      <c r="I3465" s="41" t="str">
        <f aca="false">IF(F3465="","",IFERROR(IF(ISNUMBER(SEARCH(Assumptions!$C$5,F3465)),Assumptions!$D$5,IF(ISNUMBER(SEARCH(Assumptions!$C$6,F3465)),Assumptions!$D$6,IF(ISNUMBER(SEARCH(Assumptions!$C$7,F3465)),Assumptions!$D$7,"Other Services"))),"Other Services"))</f>
        <v/>
      </c>
    </row>
    <row r="3466" customFormat="false" ht="15" hidden="false" customHeight="false" outlineLevel="0" collapsed="false">
      <c r="I3466" s="41" t="str">
        <f aca="false">IF(F3466="","",IFERROR(IF(ISNUMBER(SEARCH(Assumptions!$C$5,F3466)),Assumptions!$D$5,IF(ISNUMBER(SEARCH(Assumptions!$C$6,F3466)),Assumptions!$D$6,IF(ISNUMBER(SEARCH(Assumptions!$C$7,F3466)),Assumptions!$D$7,"Other Services"))),"Other Services"))</f>
        <v/>
      </c>
    </row>
    <row r="3467" customFormat="false" ht="15" hidden="false" customHeight="false" outlineLevel="0" collapsed="false">
      <c r="I3467" s="41" t="str">
        <f aca="false">IF(F3467="","",IFERROR(IF(ISNUMBER(SEARCH(Assumptions!$C$5,F3467)),Assumptions!$D$5,IF(ISNUMBER(SEARCH(Assumptions!$C$6,F3467)),Assumptions!$D$6,IF(ISNUMBER(SEARCH(Assumptions!$C$7,F3467)),Assumptions!$D$7,"Other Services"))),"Other Services"))</f>
        <v/>
      </c>
    </row>
    <row r="3468" customFormat="false" ht="15" hidden="false" customHeight="false" outlineLevel="0" collapsed="false">
      <c r="I3468" s="41" t="str">
        <f aca="false">IF(F3468="","",IFERROR(IF(ISNUMBER(SEARCH(Assumptions!$C$5,F3468)),Assumptions!$D$5,IF(ISNUMBER(SEARCH(Assumptions!$C$6,F3468)),Assumptions!$D$6,IF(ISNUMBER(SEARCH(Assumptions!$C$7,F3468)),Assumptions!$D$7,"Other Services"))),"Other Services"))</f>
        <v/>
      </c>
    </row>
    <row r="3469" customFormat="false" ht="15" hidden="false" customHeight="false" outlineLevel="0" collapsed="false">
      <c r="I3469" s="41" t="str">
        <f aca="false">IF(F3469="","",IFERROR(IF(ISNUMBER(SEARCH(Assumptions!$C$5,F3469)),Assumptions!$D$5,IF(ISNUMBER(SEARCH(Assumptions!$C$6,F3469)),Assumptions!$D$6,IF(ISNUMBER(SEARCH(Assumptions!$C$7,F3469)),Assumptions!$D$7,"Other Services"))),"Other Services"))</f>
        <v/>
      </c>
    </row>
    <row r="3470" customFormat="false" ht="15" hidden="false" customHeight="false" outlineLevel="0" collapsed="false">
      <c r="I3470" s="41" t="str">
        <f aca="false">IF(F3470="","",IFERROR(IF(ISNUMBER(SEARCH(Assumptions!$C$5,F3470)),Assumptions!$D$5,IF(ISNUMBER(SEARCH(Assumptions!$C$6,F3470)),Assumptions!$D$6,IF(ISNUMBER(SEARCH(Assumptions!$C$7,F3470)),Assumptions!$D$7,"Other Services"))),"Other Services"))</f>
        <v/>
      </c>
    </row>
    <row r="3471" customFormat="false" ht="15" hidden="false" customHeight="false" outlineLevel="0" collapsed="false">
      <c r="I3471" s="41" t="str">
        <f aca="false">IF(F3471="","",IFERROR(IF(ISNUMBER(SEARCH(Assumptions!$C$5,F3471)),Assumptions!$D$5,IF(ISNUMBER(SEARCH(Assumptions!$C$6,F3471)),Assumptions!$D$6,IF(ISNUMBER(SEARCH(Assumptions!$C$7,F3471)),Assumptions!$D$7,"Other Services"))),"Other Services"))</f>
        <v/>
      </c>
    </row>
    <row r="3472" customFormat="false" ht="15" hidden="false" customHeight="false" outlineLevel="0" collapsed="false">
      <c r="I3472" s="41" t="str">
        <f aca="false">IF(F3472="","",IFERROR(IF(ISNUMBER(SEARCH(Assumptions!$C$5,F3472)),Assumptions!$D$5,IF(ISNUMBER(SEARCH(Assumptions!$C$6,F3472)),Assumptions!$D$6,IF(ISNUMBER(SEARCH(Assumptions!$C$7,F3472)),Assumptions!$D$7,"Other Services"))),"Other Services"))</f>
        <v/>
      </c>
    </row>
    <row r="3473" customFormat="false" ht="15" hidden="false" customHeight="false" outlineLevel="0" collapsed="false">
      <c r="I3473" s="41" t="str">
        <f aca="false">IF(F3473="","",IFERROR(IF(ISNUMBER(SEARCH(Assumptions!$C$5,F3473)),Assumptions!$D$5,IF(ISNUMBER(SEARCH(Assumptions!$C$6,F3473)),Assumptions!$D$6,IF(ISNUMBER(SEARCH(Assumptions!$C$7,F3473)),Assumptions!$D$7,"Other Services"))),"Other Services"))</f>
        <v/>
      </c>
    </row>
    <row r="3474" customFormat="false" ht="15" hidden="false" customHeight="false" outlineLevel="0" collapsed="false">
      <c r="I3474" s="41" t="str">
        <f aca="false">IF(F3474="","",IFERROR(IF(ISNUMBER(SEARCH(Assumptions!$C$5,F3474)),Assumptions!$D$5,IF(ISNUMBER(SEARCH(Assumptions!$C$6,F3474)),Assumptions!$D$6,IF(ISNUMBER(SEARCH(Assumptions!$C$7,F3474)),Assumptions!$D$7,"Other Services"))),"Other Services"))</f>
        <v/>
      </c>
    </row>
    <row r="3475" customFormat="false" ht="15" hidden="false" customHeight="false" outlineLevel="0" collapsed="false">
      <c r="I3475" s="41" t="str">
        <f aca="false">IF(F3475="","",IFERROR(IF(ISNUMBER(SEARCH(Assumptions!$C$5,F3475)),Assumptions!$D$5,IF(ISNUMBER(SEARCH(Assumptions!$C$6,F3475)),Assumptions!$D$6,IF(ISNUMBER(SEARCH(Assumptions!$C$7,F3475)),Assumptions!$D$7,"Other Services"))),"Other Services"))</f>
        <v/>
      </c>
    </row>
    <row r="3476" customFormat="false" ht="15" hidden="false" customHeight="false" outlineLevel="0" collapsed="false">
      <c r="I3476" s="41" t="str">
        <f aca="false">IF(F3476="","",IFERROR(IF(ISNUMBER(SEARCH(Assumptions!$C$5,F3476)),Assumptions!$D$5,IF(ISNUMBER(SEARCH(Assumptions!$C$6,F3476)),Assumptions!$D$6,IF(ISNUMBER(SEARCH(Assumptions!$C$7,F3476)),Assumptions!$D$7,"Other Services"))),"Other Services"))</f>
        <v/>
      </c>
    </row>
    <row r="3477" customFormat="false" ht="15" hidden="false" customHeight="false" outlineLevel="0" collapsed="false">
      <c r="I3477" s="41" t="str">
        <f aca="false">IF(F3477="","",IFERROR(IF(ISNUMBER(SEARCH(Assumptions!$C$5,F3477)),Assumptions!$D$5,IF(ISNUMBER(SEARCH(Assumptions!$C$6,F3477)),Assumptions!$D$6,IF(ISNUMBER(SEARCH(Assumptions!$C$7,F3477)),Assumptions!$D$7,"Other Services"))),"Other Services"))</f>
        <v/>
      </c>
    </row>
    <row r="3478" customFormat="false" ht="15" hidden="false" customHeight="false" outlineLevel="0" collapsed="false">
      <c r="I3478" s="41" t="str">
        <f aca="false">IF(F3478="","",IFERROR(IF(ISNUMBER(SEARCH(Assumptions!$C$5,F3478)),Assumptions!$D$5,IF(ISNUMBER(SEARCH(Assumptions!$C$6,F3478)),Assumptions!$D$6,IF(ISNUMBER(SEARCH(Assumptions!$C$7,F3478)),Assumptions!$D$7,"Other Services"))),"Other Services"))</f>
        <v/>
      </c>
    </row>
    <row r="3479" customFormat="false" ht="15" hidden="false" customHeight="false" outlineLevel="0" collapsed="false">
      <c r="I3479" s="41" t="str">
        <f aca="false">IF(F3479="","",IFERROR(IF(ISNUMBER(SEARCH(Assumptions!$C$5,F3479)),Assumptions!$D$5,IF(ISNUMBER(SEARCH(Assumptions!$C$6,F3479)),Assumptions!$D$6,IF(ISNUMBER(SEARCH(Assumptions!$C$7,F3479)),Assumptions!$D$7,"Other Services"))),"Other Services"))</f>
        <v/>
      </c>
    </row>
    <row r="3480" customFormat="false" ht="15" hidden="false" customHeight="false" outlineLevel="0" collapsed="false">
      <c r="I3480" s="41" t="str">
        <f aca="false">IF(F3480="","",IFERROR(IF(ISNUMBER(SEARCH(Assumptions!$C$5,F3480)),Assumptions!$D$5,IF(ISNUMBER(SEARCH(Assumptions!$C$6,F3480)),Assumptions!$D$6,IF(ISNUMBER(SEARCH(Assumptions!$C$7,F3480)),Assumptions!$D$7,"Other Services"))),"Other Services"))</f>
        <v/>
      </c>
    </row>
    <row r="3481" customFormat="false" ht="15" hidden="false" customHeight="false" outlineLevel="0" collapsed="false">
      <c r="I3481" s="41" t="str">
        <f aca="false">IF(F3481="","",IFERROR(IF(ISNUMBER(SEARCH(Assumptions!$C$5,F3481)),Assumptions!$D$5,IF(ISNUMBER(SEARCH(Assumptions!$C$6,F3481)),Assumptions!$D$6,IF(ISNUMBER(SEARCH(Assumptions!$C$7,F3481)),Assumptions!$D$7,"Other Services"))),"Other Services"))</f>
        <v/>
      </c>
    </row>
    <row r="3482" customFormat="false" ht="15" hidden="false" customHeight="false" outlineLevel="0" collapsed="false">
      <c r="I3482" s="41" t="str">
        <f aca="false">IF(F3482="","",IFERROR(IF(ISNUMBER(SEARCH(Assumptions!$C$5,F3482)),Assumptions!$D$5,IF(ISNUMBER(SEARCH(Assumptions!$C$6,F3482)),Assumptions!$D$6,IF(ISNUMBER(SEARCH(Assumptions!$C$7,F3482)),Assumptions!$D$7,"Other Services"))),"Other Services"))</f>
        <v/>
      </c>
    </row>
    <row r="3483" customFormat="false" ht="15" hidden="false" customHeight="false" outlineLevel="0" collapsed="false">
      <c r="I3483" s="41" t="str">
        <f aca="false">IF(F3483="","",IFERROR(IF(ISNUMBER(SEARCH(Assumptions!$C$5,F3483)),Assumptions!$D$5,IF(ISNUMBER(SEARCH(Assumptions!$C$6,F3483)),Assumptions!$D$6,IF(ISNUMBER(SEARCH(Assumptions!$C$7,F3483)),Assumptions!$D$7,"Other Services"))),"Other Services"))</f>
        <v/>
      </c>
    </row>
    <row r="3484" customFormat="false" ht="15" hidden="false" customHeight="false" outlineLevel="0" collapsed="false">
      <c r="I3484" s="41" t="str">
        <f aca="false">IF(F3484="","",IFERROR(IF(ISNUMBER(SEARCH(Assumptions!$C$5,F3484)),Assumptions!$D$5,IF(ISNUMBER(SEARCH(Assumptions!$C$6,F3484)),Assumptions!$D$6,IF(ISNUMBER(SEARCH(Assumptions!$C$7,F3484)),Assumptions!$D$7,"Other Services"))),"Other Services"))</f>
        <v/>
      </c>
    </row>
    <row r="3485" customFormat="false" ht="15" hidden="false" customHeight="false" outlineLevel="0" collapsed="false">
      <c r="I3485" s="41" t="str">
        <f aca="false">IF(F3485="","",IFERROR(IF(ISNUMBER(SEARCH(Assumptions!$C$5,F3485)),Assumptions!$D$5,IF(ISNUMBER(SEARCH(Assumptions!$C$6,F3485)),Assumptions!$D$6,IF(ISNUMBER(SEARCH(Assumptions!$C$7,F3485)),Assumptions!$D$7,"Other Services"))),"Other Services"))</f>
        <v/>
      </c>
    </row>
    <row r="3486" customFormat="false" ht="15" hidden="false" customHeight="false" outlineLevel="0" collapsed="false">
      <c r="I3486" s="41" t="str">
        <f aca="false">IF(F3486="","",IFERROR(IF(ISNUMBER(SEARCH(Assumptions!$C$5,F3486)),Assumptions!$D$5,IF(ISNUMBER(SEARCH(Assumptions!$C$6,F3486)),Assumptions!$D$6,IF(ISNUMBER(SEARCH(Assumptions!$C$7,F3486)),Assumptions!$D$7,"Other Services"))),"Other Services"))</f>
        <v/>
      </c>
    </row>
    <row r="3487" customFormat="false" ht="15" hidden="false" customHeight="false" outlineLevel="0" collapsed="false">
      <c r="I3487" s="41" t="str">
        <f aca="false">IF(F3487="","",IFERROR(IF(ISNUMBER(SEARCH(Assumptions!$C$5,F3487)),Assumptions!$D$5,IF(ISNUMBER(SEARCH(Assumptions!$C$6,F3487)),Assumptions!$D$6,IF(ISNUMBER(SEARCH(Assumptions!$C$7,F3487)),Assumptions!$D$7,"Other Services"))),"Other Services"))</f>
        <v/>
      </c>
    </row>
    <row r="3488" customFormat="false" ht="15" hidden="false" customHeight="false" outlineLevel="0" collapsed="false">
      <c r="I3488" s="41" t="str">
        <f aca="false">IF(F3488="","",IFERROR(IF(ISNUMBER(SEARCH(Assumptions!$C$5,F3488)),Assumptions!$D$5,IF(ISNUMBER(SEARCH(Assumptions!$C$6,F3488)),Assumptions!$D$6,IF(ISNUMBER(SEARCH(Assumptions!$C$7,F3488)),Assumptions!$D$7,"Other Services"))),"Other Services"))</f>
        <v/>
      </c>
    </row>
    <row r="3489" customFormat="false" ht="15" hidden="false" customHeight="false" outlineLevel="0" collapsed="false">
      <c r="I3489" s="41" t="str">
        <f aca="false">IF(F3489="","",IFERROR(IF(ISNUMBER(SEARCH(Assumptions!$C$5,F3489)),Assumptions!$D$5,IF(ISNUMBER(SEARCH(Assumptions!$C$6,F3489)),Assumptions!$D$6,IF(ISNUMBER(SEARCH(Assumptions!$C$7,F3489)),Assumptions!$D$7,"Other Services"))),"Other Services"))</f>
        <v/>
      </c>
    </row>
    <row r="3490" customFormat="false" ht="15" hidden="false" customHeight="false" outlineLevel="0" collapsed="false">
      <c r="I3490" s="41" t="str">
        <f aca="false">IF(F3490="","",IFERROR(IF(ISNUMBER(SEARCH(Assumptions!$C$5,F3490)),Assumptions!$D$5,IF(ISNUMBER(SEARCH(Assumptions!$C$6,F3490)),Assumptions!$D$6,IF(ISNUMBER(SEARCH(Assumptions!$C$7,F3490)),Assumptions!$D$7,"Other Services"))),"Other Services"))</f>
        <v/>
      </c>
    </row>
    <row r="3491" customFormat="false" ht="15" hidden="false" customHeight="false" outlineLevel="0" collapsed="false">
      <c r="I3491" s="41" t="str">
        <f aca="false">IF(F3491="","",IFERROR(IF(ISNUMBER(SEARCH(Assumptions!$C$5,F3491)),Assumptions!$D$5,IF(ISNUMBER(SEARCH(Assumptions!$C$6,F3491)),Assumptions!$D$6,IF(ISNUMBER(SEARCH(Assumptions!$C$7,F3491)),Assumptions!$D$7,"Other Services"))),"Other Services"))</f>
        <v/>
      </c>
    </row>
    <row r="3492" customFormat="false" ht="15" hidden="false" customHeight="false" outlineLevel="0" collapsed="false">
      <c r="I3492" s="41" t="str">
        <f aca="false">IF(F3492="","",IFERROR(IF(ISNUMBER(SEARCH(Assumptions!$C$5,F3492)),Assumptions!$D$5,IF(ISNUMBER(SEARCH(Assumptions!$C$6,F3492)),Assumptions!$D$6,IF(ISNUMBER(SEARCH(Assumptions!$C$7,F3492)),Assumptions!$D$7,"Other Services"))),"Other Services"))</f>
        <v/>
      </c>
    </row>
    <row r="3493" customFormat="false" ht="15" hidden="false" customHeight="false" outlineLevel="0" collapsed="false">
      <c r="I3493" s="41" t="str">
        <f aca="false">IF(F3493="","",IFERROR(IF(ISNUMBER(SEARCH(Assumptions!$C$5,F3493)),Assumptions!$D$5,IF(ISNUMBER(SEARCH(Assumptions!$C$6,F3493)),Assumptions!$D$6,IF(ISNUMBER(SEARCH(Assumptions!$C$7,F3493)),Assumptions!$D$7,"Other Services"))),"Other Services"))</f>
        <v/>
      </c>
    </row>
    <row r="3494" customFormat="false" ht="15" hidden="false" customHeight="false" outlineLevel="0" collapsed="false">
      <c r="I3494" s="41" t="str">
        <f aca="false">IF(F3494="","",IFERROR(IF(ISNUMBER(SEARCH(Assumptions!$C$5,F3494)),Assumptions!$D$5,IF(ISNUMBER(SEARCH(Assumptions!$C$6,F3494)),Assumptions!$D$6,IF(ISNUMBER(SEARCH(Assumptions!$C$7,F3494)),Assumptions!$D$7,"Other Services"))),"Other Services"))</f>
        <v/>
      </c>
    </row>
    <row r="3495" customFormat="false" ht="15" hidden="false" customHeight="false" outlineLevel="0" collapsed="false">
      <c r="I3495" s="41" t="str">
        <f aca="false">IF(F3495="","",IFERROR(IF(ISNUMBER(SEARCH(Assumptions!$C$5,F3495)),Assumptions!$D$5,IF(ISNUMBER(SEARCH(Assumptions!$C$6,F3495)),Assumptions!$D$6,IF(ISNUMBER(SEARCH(Assumptions!$C$7,F3495)),Assumptions!$D$7,"Other Services"))),"Other Services"))</f>
        <v/>
      </c>
    </row>
    <row r="3496" customFormat="false" ht="15" hidden="false" customHeight="false" outlineLevel="0" collapsed="false">
      <c r="I3496" s="41" t="str">
        <f aca="false">IF(F3496="","",IFERROR(IF(ISNUMBER(SEARCH(Assumptions!$C$5,F3496)),Assumptions!$D$5,IF(ISNUMBER(SEARCH(Assumptions!$C$6,F3496)),Assumptions!$D$6,IF(ISNUMBER(SEARCH(Assumptions!$C$7,F3496)),Assumptions!$D$7,"Other Services"))),"Other Services"))</f>
        <v/>
      </c>
    </row>
    <row r="3497" customFormat="false" ht="15" hidden="false" customHeight="false" outlineLevel="0" collapsed="false">
      <c r="I3497" s="41" t="str">
        <f aca="false">IF(F3497="","",IFERROR(IF(ISNUMBER(SEARCH(Assumptions!$C$5,F3497)),Assumptions!$D$5,IF(ISNUMBER(SEARCH(Assumptions!$C$6,F3497)),Assumptions!$D$6,IF(ISNUMBER(SEARCH(Assumptions!$C$7,F3497)),Assumptions!$D$7,"Other Services"))),"Other Services"))</f>
        <v/>
      </c>
    </row>
    <row r="3498" customFormat="false" ht="15" hidden="false" customHeight="false" outlineLevel="0" collapsed="false">
      <c r="I3498" s="41" t="str">
        <f aca="false">IF(F3498="","",IFERROR(IF(ISNUMBER(SEARCH(Assumptions!$C$5,F3498)),Assumptions!$D$5,IF(ISNUMBER(SEARCH(Assumptions!$C$6,F3498)),Assumptions!$D$6,IF(ISNUMBER(SEARCH(Assumptions!$C$7,F3498)),Assumptions!$D$7,"Other Services"))),"Other Services"))</f>
        <v/>
      </c>
    </row>
    <row r="3499" customFormat="false" ht="15" hidden="false" customHeight="false" outlineLevel="0" collapsed="false">
      <c r="I3499" s="41" t="str">
        <f aca="false">IF(F3499="","",IFERROR(IF(ISNUMBER(SEARCH(Assumptions!$C$5,F3499)),Assumptions!$D$5,IF(ISNUMBER(SEARCH(Assumptions!$C$6,F3499)),Assumptions!$D$6,IF(ISNUMBER(SEARCH(Assumptions!$C$7,F3499)),Assumptions!$D$7,"Other Services"))),"Other Services"))</f>
        <v/>
      </c>
    </row>
    <row r="3500" customFormat="false" ht="15" hidden="false" customHeight="false" outlineLevel="0" collapsed="false">
      <c r="I3500" s="41" t="str">
        <f aca="false">IF(F3500="","",IFERROR(IF(ISNUMBER(SEARCH(Assumptions!$C$5,F3500)),Assumptions!$D$5,IF(ISNUMBER(SEARCH(Assumptions!$C$6,F3500)),Assumptions!$D$6,IF(ISNUMBER(SEARCH(Assumptions!$C$7,F3500)),Assumptions!$D$7,"Other Services"))),"Other Services"))</f>
        <v/>
      </c>
    </row>
    <row r="3501" customFormat="false" ht="15" hidden="false" customHeight="false" outlineLevel="0" collapsed="false">
      <c r="I3501" s="41" t="str">
        <f aca="false">IF(F3501="","",IFERROR(IF(ISNUMBER(SEARCH(Assumptions!$C$5,F3501)),Assumptions!$D$5,IF(ISNUMBER(SEARCH(Assumptions!$C$6,F3501)),Assumptions!$D$6,IF(ISNUMBER(SEARCH(Assumptions!$C$7,F3501)),Assumptions!$D$7,"Other Services"))),"Other Services"))</f>
        <v/>
      </c>
    </row>
    <row r="3502" customFormat="false" ht="15" hidden="false" customHeight="false" outlineLevel="0" collapsed="false">
      <c r="I3502" s="41" t="str">
        <f aca="false">IF(F3502="","",IFERROR(IF(ISNUMBER(SEARCH(Assumptions!$C$5,F3502)),Assumptions!$D$5,IF(ISNUMBER(SEARCH(Assumptions!$C$6,F3502)),Assumptions!$D$6,IF(ISNUMBER(SEARCH(Assumptions!$C$7,F3502)),Assumptions!$D$7,"Other Services"))),"Other Services"))</f>
        <v/>
      </c>
    </row>
    <row r="3503" customFormat="false" ht="15" hidden="false" customHeight="false" outlineLevel="0" collapsed="false">
      <c r="I3503" s="41" t="str">
        <f aca="false">IF(F3503="","",IFERROR(IF(ISNUMBER(SEARCH(Assumptions!$C$5,F3503)),Assumptions!$D$5,IF(ISNUMBER(SEARCH(Assumptions!$C$6,F3503)),Assumptions!$D$6,IF(ISNUMBER(SEARCH(Assumptions!$C$7,F3503)),Assumptions!$D$7,"Other Services"))),"Other Services"))</f>
        <v/>
      </c>
    </row>
    <row r="3504" customFormat="false" ht="15" hidden="false" customHeight="false" outlineLevel="0" collapsed="false">
      <c r="I3504" s="41" t="str">
        <f aca="false">IF(F3504="","",IFERROR(IF(ISNUMBER(SEARCH(Assumptions!$C$5,F3504)),Assumptions!$D$5,IF(ISNUMBER(SEARCH(Assumptions!$C$6,F3504)),Assumptions!$D$6,IF(ISNUMBER(SEARCH(Assumptions!$C$7,F3504)),Assumptions!$D$7,"Other Services"))),"Other Services"))</f>
        <v/>
      </c>
    </row>
    <row r="3505" customFormat="false" ht="15" hidden="false" customHeight="false" outlineLevel="0" collapsed="false">
      <c r="I3505" s="41" t="str">
        <f aca="false">IF(F3505="","",IFERROR(IF(ISNUMBER(SEARCH(Assumptions!$C$5,F3505)),Assumptions!$D$5,IF(ISNUMBER(SEARCH(Assumptions!$C$6,F3505)),Assumptions!$D$6,IF(ISNUMBER(SEARCH(Assumptions!$C$7,F3505)),Assumptions!$D$7,"Other Services"))),"Other Services"))</f>
        <v/>
      </c>
    </row>
    <row r="3506" customFormat="false" ht="15" hidden="false" customHeight="false" outlineLevel="0" collapsed="false">
      <c r="I3506" s="41" t="str">
        <f aca="false">IF(F3506="","",IFERROR(IF(ISNUMBER(SEARCH(Assumptions!$C$5,F3506)),Assumptions!$D$5,IF(ISNUMBER(SEARCH(Assumptions!$C$6,F3506)),Assumptions!$D$6,IF(ISNUMBER(SEARCH(Assumptions!$C$7,F3506)),Assumptions!$D$7,"Other Services"))),"Other Services"))</f>
        <v/>
      </c>
    </row>
    <row r="3507" customFormat="false" ht="15" hidden="false" customHeight="false" outlineLevel="0" collapsed="false">
      <c r="I3507" s="41" t="str">
        <f aca="false">IF(F3507="","",IFERROR(IF(ISNUMBER(SEARCH(Assumptions!$C$5,F3507)),Assumptions!$D$5,IF(ISNUMBER(SEARCH(Assumptions!$C$6,F3507)),Assumptions!$D$6,IF(ISNUMBER(SEARCH(Assumptions!$C$7,F3507)),Assumptions!$D$7,"Other Services"))),"Other Services"))</f>
        <v/>
      </c>
    </row>
    <row r="3508" customFormat="false" ht="15" hidden="false" customHeight="false" outlineLevel="0" collapsed="false">
      <c r="I3508" s="41" t="str">
        <f aca="false">IF(F3508="","",IFERROR(IF(ISNUMBER(SEARCH(Assumptions!$C$5,F3508)),Assumptions!$D$5,IF(ISNUMBER(SEARCH(Assumptions!$C$6,F3508)),Assumptions!$D$6,IF(ISNUMBER(SEARCH(Assumptions!$C$7,F3508)),Assumptions!$D$7,"Other Services"))),"Other Services"))</f>
        <v/>
      </c>
    </row>
    <row r="3509" customFormat="false" ht="15" hidden="false" customHeight="false" outlineLevel="0" collapsed="false">
      <c r="I3509" s="41" t="str">
        <f aca="false">IF(F3509="","",IFERROR(IF(ISNUMBER(SEARCH(Assumptions!$C$5,F3509)),Assumptions!$D$5,IF(ISNUMBER(SEARCH(Assumptions!$C$6,F3509)),Assumptions!$D$6,IF(ISNUMBER(SEARCH(Assumptions!$C$7,F3509)),Assumptions!$D$7,"Other Services"))),"Other Services"))</f>
        <v/>
      </c>
    </row>
    <row r="3510" customFormat="false" ht="15" hidden="false" customHeight="false" outlineLevel="0" collapsed="false">
      <c r="I3510" s="41" t="str">
        <f aca="false">IF(F3510="","",IFERROR(IF(ISNUMBER(SEARCH(Assumptions!$C$5,F3510)),Assumptions!$D$5,IF(ISNUMBER(SEARCH(Assumptions!$C$6,F3510)),Assumptions!$D$6,IF(ISNUMBER(SEARCH(Assumptions!$C$7,F3510)),Assumptions!$D$7,"Other Services"))),"Other Services"))</f>
        <v/>
      </c>
    </row>
    <row r="3511" customFormat="false" ht="15" hidden="false" customHeight="false" outlineLevel="0" collapsed="false">
      <c r="I3511" s="41" t="str">
        <f aca="false">IF(F3511="","",IFERROR(IF(ISNUMBER(SEARCH(Assumptions!$C$5,F3511)),Assumptions!$D$5,IF(ISNUMBER(SEARCH(Assumptions!$C$6,F3511)),Assumptions!$D$6,IF(ISNUMBER(SEARCH(Assumptions!$C$7,F3511)),Assumptions!$D$7,"Other Services"))),"Other Services"))</f>
        <v/>
      </c>
    </row>
    <row r="3512" customFormat="false" ht="15" hidden="false" customHeight="false" outlineLevel="0" collapsed="false">
      <c r="I3512" s="41" t="str">
        <f aca="false">IF(F3512="","",IFERROR(IF(ISNUMBER(SEARCH(Assumptions!$C$5,F3512)),Assumptions!$D$5,IF(ISNUMBER(SEARCH(Assumptions!$C$6,F3512)),Assumptions!$D$6,IF(ISNUMBER(SEARCH(Assumptions!$C$7,F3512)),Assumptions!$D$7,"Other Services"))),"Other Services"))</f>
        <v/>
      </c>
    </row>
    <row r="3513" customFormat="false" ht="15" hidden="false" customHeight="false" outlineLevel="0" collapsed="false">
      <c r="I3513" s="41" t="str">
        <f aca="false">IF(F3513="","",IFERROR(IF(ISNUMBER(SEARCH(Assumptions!$C$5,F3513)),Assumptions!$D$5,IF(ISNUMBER(SEARCH(Assumptions!$C$6,F3513)),Assumptions!$D$6,IF(ISNUMBER(SEARCH(Assumptions!$C$7,F3513)),Assumptions!$D$7,"Other Services"))),"Other Services"))</f>
        <v/>
      </c>
    </row>
    <row r="3514" customFormat="false" ht="15" hidden="false" customHeight="false" outlineLevel="0" collapsed="false">
      <c r="I3514" s="41" t="str">
        <f aca="false">IF(F3514="","",IFERROR(IF(ISNUMBER(SEARCH(Assumptions!$C$5,F3514)),Assumptions!$D$5,IF(ISNUMBER(SEARCH(Assumptions!$C$6,F3514)),Assumptions!$D$6,IF(ISNUMBER(SEARCH(Assumptions!$C$7,F3514)),Assumptions!$D$7,"Other Services"))),"Other Services"))</f>
        <v/>
      </c>
    </row>
    <row r="3515" customFormat="false" ht="15" hidden="false" customHeight="false" outlineLevel="0" collapsed="false">
      <c r="I3515" s="41" t="str">
        <f aca="false">IF(F3515="","",IFERROR(IF(ISNUMBER(SEARCH(Assumptions!$C$5,F3515)),Assumptions!$D$5,IF(ISNUMBER(SEARCH(Assumptions!$C$6,F3515)),Assumptions!$D$6,IF(ISNUMBER(SEARCH(Assumptions!$C$7,F3515)),Assumptions!$D$7,"Other Services"))),"Other Services"))</f>
        <v/>
      </c>
    </row>
    <row r="3516" customFormat="false" ht="15" hidden="false" customHeight="false" outlineLevel="0" collapsed="false">
      <c r="I3516" s="41" t="str">
        <f aca="false">IF(F3516="","",IFERROR(IF(ISNUMBER(SEARCH(Assumptions!$C$5,F3516)),Assumptions!$D$5,IF(ISNUMBER(SEARCH(Assumptions!$C$6,F3516)),Assumptions!$D$6,IF(ISNUMBER(SEARCH(Assumptions!$C$7,F3516)),Assumptions!$D$7,"Other Services"))),"Other Services"))</f>
        <v/>
      </c>
    </row>
    <row r="3517" customFormat="false" ht="15" hidden="false" customHeight="false" outlineLevel="0" collapsed="false">
      <c r="I3517" s="41" t="str">
        <f aca="false">IF(F3517="","",IFERROR(IF(ISNUMBER(SEARCH(Assumptions!$C$5,F3517)),Assumptions!$D$5,IF(ISNUMBER(SEARCH(Assumptions!$C$6,F3517)),Assumptions!$D$6,IF(ISNUMBER(SEARCH(Assumptions!$C$7,F3517)),Assumptions!$D$7,"Other Services"))),"Other Services"))</f>
        <v/>
      </c>
    </row>
    <row r="3518" customFormat="false" ht="15" hidden="false" customHeight="false" outlineLevel="0" collapsed="false">
      <c r="I3518" s="41" t="str">
        <f aca="false">IF(F3518="","",IFERROR(IF(ISNUMBER(SEARCH(Assumptions!$C$5,F3518)),Assumptions!$D$5,IF(ISNUMBER(SEARCH(Assumptions!$C$6,F3518)),Assumptions!$D$6,IF(ISNUMBER(SEARCH(Assumptions!$C$7,F3518)),Assumptions!$D$7,"Other Services"))),"Other Services"))</f>
        <v/>
      </c>
    </row>
    <row r="3519" customFormat="false" ht="15" hidden="false" customHeight="false" outlineLevel="0" collapsed="false">
      <c r="I3519" s="41" t="str">
        <f aca="false">IF(F3519="","",IFERROR(IF(ISNUMBER(SEARCH(Assumptions!$C$5,F3519)),Assumptions!$D$5,IF(ISNUMBER(SEARCH(Assumptions!$C$6,F3519)),Assumptions!$D$6,IF(ISNUMBER(SEARCH(Assumptions!$C$7,F3519)),Assumptions!$D$7,"Other Services"))),"Other Services"))</f>
        <v/>
      </c>
    </row>
    <row r="3520" customFormat="false" ht="15" hidden="false" customHeight="false" outlineLevel="0" collapsed="false">
      <c r="I3520" s="41" t="str">
        <f aca="false">IF(F3520="","",IFERROR(IF(ISNUMBER(SEARCH(Assumptions!$C$5,F3520)),Assumptions!$D$5,IF(ISNUMBER(SEARCH(Assumptions!$C$6,F3520)),Assumptions!$D$6,IF(ISNUMBER(SEARCH(Assumptions!$C$7,F3520)),Assumptions!$D$7,"Other Services"))),"Other Services"))</f>
        <v/>
      </c>
    </row>
    <row r="3521" customFormat="false" ht="15" hidden="false" customHeight="false" outlineLevel="0" collapsed="false">
      <c r="I3521" s="41" t="str">
        <f aca="false">IF(F3521="","",IFERROR(IF(ISNUMBER(SEARCH(Assumptions!$C$5,F3521)),Assumptions!$D$5,IF(ISNUMBER(SEARCH(Assumptions!$C$6,F3521)),Assumptions!$D$6,IF(ISNUMBER(SEARCH(Assumptions!$C$7,F3521)),Assumptions!$D$7,"Other Services"))),"Other Services"))</f>
        <v/>
      </c>
    </row>
    <row r="3522" customFormat="false" ht="15" hidden="false" customHeight="false" outlineLevel="0" collapsed="false">
      <c r="I3522" s="41" t="str">
        <f aca="false">IF(F3522="","",IFERROR(IF(ISNUMBER(SEARCH(Assumptions!$C$5,F3522)),Assumptions!$D$5,IF(ISNUMBER(SEARCH(Assumptions!$C$6,F3522)),Assumptions!$D$6,IF(ISNUMBER(SEARCH(Assumptions!$C$7,F3522)),Assumptions!$D$7,"Other Services"))),"Other Services"))</f>
        <v/>
      </c>
    </row>
    <row r="3523" customFormat="false" ht="15" hidden="false" customHeight="false" outlineLevel="0" collapsed="false">
      <c r="I3523" s="41" t="str">
        <f aca="false">IF(F3523="","",IFERROR(IF(ISNUMBER(SEARCH(Assumptions!$C$5,F3523)),Assumptions!$D$5,IF(ISNUMBER(SEARCH(Assumptions!$C$6,F3523)),Assumptions!$D$6,IF(ISNUMBER(SEARCH(Assumptions!$C$7,F3523)),Assumptions!$D$7,"Other Services"))),"Other Services"))</f>
        <v/>
      </c>
    </row>
    <row r="3524" customFormat="false" ht="15" hidden="false" customHeight="false" outlineLevel="0" collapsed="false">
      <c r="I3524" s="41" t="str">
        <f aca="false">IF(F3524="","",IFERROR(IF(ISNUMBER(SEARCH(Assumptions!$C$5,F3524)),Assumptions!$D$5,IF(ISNUMBER(SEARCH(Assumptions!$C$6,F3524)),Assumptions!$D$6,IF(ISNUMBER(SEARCH(Assumptions!$C$7,F3524)),Assumptions!$D$7,"Other Services"))),"Other Services"))</f>
        <v/>
      </c>
    </row>
    <row r="3525" customFormat="false" ht="15" hidden="false" customHeight="false" outlineLevel="0" collapsed="false">
      <c r="I3525" s="41" t="str">
        <f aca="false">IF(F3525="","",IFERROR(IF(ISNUMBER(SEARCH(Assumptions!$C$5,F3525)),Assumptions!$D$5,IF(ISNUMBER(SEARCH(Assumptions!$C$6,F3525)),Assumptions!$D$6,IF(ISNUMBER(SEARCH(Assumptions!$C$7,F3525)),Assumptions!$D$7,"Other Services"))),"Other Services"))</f>
        <v/>
      </c>
    </row>
    <row r="3526" customFormat="false" ht="15" hidden="false" customHeight="false" outlineLevel="0" collapsed="false">
      <c r="I3526" s="41" t="str">
        <f aca="false">IF(F3526="","",IFERROR(IF(ISNUMBER(SEARCH(Assumptions!$C$5,F3526)),Assumptions!$D$5,IF(ISNUMBER(SEARCH(Assumptions!$C$6,F3526)),Assumptions!$D$6,IF(ISNUMBER(SEARCH(Assumptions!$C$7,F3526)),Assumptions!$D$7,"Other Services"))),"Other Services"))</f>
        <v/>
      </c>
    </row>
    <row r="3527" customFormat="false" ht="15" hidden="false" customHeight="false" outlineLevel="0" collapsed="false">
      <c r="I3527" s="41" t="str">
        <f aca="false">IF(F3527="","",IFERROR(IF(ISNUMBER(SEARCH(Assumptions!$C$5,F3527)),Assumptions!$D$5,IF(ISNUMBER(SEARCH(Assumptions!$C$6,F3527)),Assumptions!$D$6,IF(ISNUMBER(SEARCH(Assumptions!$C$7,F3527)),Assumptions!$D$7,"Other Services"))),"Other Services"))</f>
        <v/>
      </c>
    </row>
    <row r="3528" customFormat="false" ht="15" hidden="false" customHeight="false" outlineLevel="0" collapsed="false">
      <c r="I3528" s="41" t="str">
        <f aca="false">IF(F3528="","",IFERROR(IF(ISNUMBER(SEARCH(Assumptions!$C$5,F3528)),Assumptions!$D$5,IF(ISNUMBER(SEARCH(Assumptions!$C$6,F3528)),Assumptions!$D$6,IF(ISNUMBER(SEARCH(Assumptions!$C$7,F3528)),Assumptions!$D$7,"Other Services"))),"Other Services"))</f>
        <v/>
      </c>
    </row>
    <row r="3529" customFormat="false" ht="15" hidden="false" customHeight="false" outlineLevel="0" collapsed="false">
      <c r="I3529" s="41" t="str">
        <f aca="false">IF(F3529="","",IFERROR(IF(ISNUMBER(SEARCH(Assumptions!$C$5,F3529)),Assumptions!$D$5,IF(ISNUMBER(SEARCH(Assumptions!$C$6,F3529)),Assumptions!$D$6,IF(ISNUMBER(SEARCH(Assumptions!$C$7,F3529)),Assumptions!$D$7,"Other Services"))),"Other Services"))</f>
        <v/>
      </c>
    </row>
    <row r="3530" customFormat="false" ht="15" hidden="false" customHeight="false" outlineLevel="0" collapsed="false">
      <c r="I3530" s="41" t="str">
        <f aca="false">IF(F3530="","",IFERROR(IF(ISNUMBER(SEARCH(Assumptions!$C$5,F3530)),Assumptions!$D$5,IF(ISNUMBER(SEARCH(Assumptions!$C$6,F3530)),Assumptions!$D$6,IF(ISNUMBER(SEARCH(Assumptions!$C$7,F3530)),Assumptions!$D$7,"Other Services"))),"Other Services"))</f>
        <v/>
      </c>
    </row>
    <row r="3531" customFormat="false" ht="15" hidden="false" customHeight="false" outlineLevel="0" collapsed="false">
      <c r="I3531" s="41" t="str">
        <f aca="false">IF(F3531="","",IFERROR(IF(ISNUMBER(SEARCH(Assumptions!$C$5,F3531)),Assumptions!$D$5,IF(ISNUMBER(SEARCH(Assumptions!$C$6,F3531)),Assumptions!$D$6,IF(ISNUMBER(SEARCH(Assumptions!$C$7,F3531)),Assumptions!$D$7,"Other Services"))),"Other Services"))</f>
        <v/>
      </c>
    </row>
    <row r="3532" customFormat="false" ht="15" hidden="false" customHeight="false" outlineLevel="0" collapsed="false">
      <c r="I3532" s="41" t="str">
        <f aca="false">IF(F3532="","",IFERROR(IF(ISNUMBER(SEARCH(Assumptions!$C$5,F3532)),Assumptions!$D$5,IF(ISNUMBER(SEARCH(Assumptions!$C$6,F3532)),Assumptions!$D$6,IF(ISNUMBER(SEARCH(Assumptions!$C$7,F3532)),Assumptions!$D$7,"Other Services"))),"Other Services"))</f>
        <v/>
      </c>
    </row>
    <row r="3533" customFormat="false" ht="15" hidden="false" customHeight="false" outlineLevel="0" collapsed="false">
      <c r="I3533" s="41" t="str">
        <f aca="false">IF(F3533="","",IFERROR(IF(ISNUMBER(SEARCH(Assumptions!$C$5,F3533)),Assumptions!$D$5,IF(ISNUMBER(SEARCH(Assumptions!$C$6,F3533)),Assumptions!$D$6,IF(ISNUMBER(SEARCH(Assumptions!$C$7,F3533)),Assumptions!$D$7,"Other Services"))),"Other Services"))</f>
        <v/>
      </c>
    </row>
    <row r="3534" customFormat="false" ht="15" hidden="false" customHeight="false" outlineLevel="0" collapsed="false">
      <c r="I3534" s="41" t="str">
        <f aca="false">IF(F3534="","",IFERROR(IF(ISNUMBER(SEARCH(Assumptions!$C$5,F3534)),Assumptions!$D$5,IF(ISNUMBER(SEARCH(Assumptions!$C$6,F3534)),Assumptions!$D$6,IF(ISNUMBER(SEARCH(Assumptions!$C$7,F3534)),Assumptions!$D$7,"Other Services"))),"Other Services"))</f>
        <v/>
      </c>
    </row>
    <row r="3535" customFormat="false" ht="15" hidden="false" customHeight="false" outlineLevel="0" collapsed="false">
      <c r="I3535" s="41" t="str">
        <f aca="false">IF(F3535="","",IFERROR(IF(ISNUMBER(SEARCH(Assumptions!$C$5,F3535)),Assumptions!$D$5,IF(ISNUMBER(SEARCH(Assumptions!$C$6,F3535)),Assumptions!$D$6,IF(ISNUMBER(SEARCH(Assumptions!$C$7,F3535)),Assumptions!$D$7,"Other Services"))),"Other Services"))</f>
        <v/>
      </c>
    </row>
    <row r="3536" customFormat="false" ht="15" hidden="false" customHeight="false" outlineLevel="0" collapsed="false">
      <c r="I3536" s="41" t="str">
        <f aca="false">IF(F3536="","",IFERROR(IF(ISNUMBER(SEARCH(Assumptions!$C$5,F3536)),Assumptions!$D$5,IF(ISNUMBER(SEARCH(Assumptions!$C$6,F3536)),Assumptions!$D$6,IF(ISNUMBER(SEARCH(Assumptions!$C$7,F3536)),Assumptions!$D$7,"Other Services"))),"Other Services"))</f>
        <v/>
      </c>
    </row>
    <row r="3537" customFormat="false" ht="15" hidden="false" customHeight="false" outlineLevel="0" collapsed="false">
      <c r="I3537" s="41" t="str">
        <f aca="false">IF(F3537="","",IFERROR(IF(ISNUMBER(SEARCH(Assumptions!$C$5,F3537)),Assumptions!$D$5,IF(ISNUMBER(SEARCH(Assumptions!$C$6,F3537)),Assumptions!$D$6,IF(ISNUMBER(SEARCH(Assumptions!$C$7,F3537)),Assumptions!$D$7,"Other Services"))),"Other Services"))</f>
        <v/>
      </c>
    </row>
    <row r="3538" customFormat="false" ht="15" hidden="false" customHeight="false" outlineLevel="0" collapsed="false">
      <c r="I3538" s="41" t="str">
        <f aca="false">IF(F3538="","",IFERROR(IF(ISNUMBER(SEARCH(Assumptions!$C$5,F3538)),Assumptions!$D$5,IF(ISNUMBER(SEARCH(Assumptions!$C$6,F3538)),Assumptions!$D$6,IF(ISNUMBER(SEARCH(Assumptions!$C$7,F3538)),Assumptions!$D$7,"Other Services"))),"Other Services"))</f>
        <v/>
      </c>
    </row>
    <row r="3539" customFormat="false" ht="15" hidden="false" customHeight="false" outlineLevel="0" collapsed="false">
      <c r="I3539" s="41" t="str">
        <f aca="false">IF(F3539="","",IFERROR(IF(ISNUMBER(SEARCH(Assumptions!$C$5,F3539)),Assumptions!$D$5,IF(ISNUMBER(SEARCH(Assumptions!$C$6,F3539)),Assumptions!$D$6,IF(ISNUMBER(SEARCH(Assumptions!$C$7,F3539)),Assumptions!$D$7,"Other Services"))),"Other Services"))</f>
        <v/>
      </c>
    </row>
    <row r="3540" customFormat="false" ht="15" hidden="false" customHeight="false" outlineLevel="0" collapsed="false">
      <c r="I3540" s="41" t="str">
        <f aca="false">IF(F3540="","",IFERROR(IF(ISNUMBER(SEARCH(Assumptions!$C$5,F3540)),Assumptions!$D$5,IF(ISNUMBER(SEARCH(Assumptions!$C$6,F3540)),Assumptions!$D$6,IF(ISNUMBER(SEARCH(Assumptions!$C$7,F3540)),Assumptions!$D$7,"Other Services"))),"Other Services"))</f>
        <v/>
      </c>
    </row>
    <row r="3541" customFormat="false" ht="15" hidden="false" customHeight="false" outlineLevel="0" collapsed="false">
      <c r="I3541" s="41" t="str">
        <f aca="false">IF(F3541="","",IFERROR(IF(ISNUMBER(SEARCH(Assumptions!$C$5,F3541)),Assumptions!$D$5,IF(ISNUMBER(SEARCH(Assumptions!$C$6,F3541)),Assumptions!$D$6,IF(ISNUMBER(SEARCH(Assumptions!$C$7,F3541)),Assumptions!$D$7,"Other Services"))),"Other Services"))</f>
        <v/>
      </c>
    </row>
    <row r="3542" customFormat="false" ht="15" hidden="false" customHeight="false" outlineLevel="0" collapsed="false">
      <c r="I3542" s="41" t="str">
        <f aca="false">IF(F3542="","",IFERROR(IF(ISNUMBER(SEARCH(Assumptions!$C$5,F3542)),Assumptions!$D$5,IF(ISNUMBER(SEARCH(Assumptions!$C$6,F3542)),Assumptions!$D$6,IF(ISNUMBER(SEARCH(Assumptions!$C$7,F3542)),Assumptions!$D$7,"Other Services"))),"Other Services"))</f>
        <v/>
      </c>
    </row>
    <row r="3543" customFormat="false" ht="15" hidden="false" customHeight="false" outlineLevel="0" collapsed="false">
      <c r="I3543" s="41" t="str">
        <f aca="false">IF(F3543="","",IFERROR(IF(ISNUMBER(SEARCH(Assumptions!$C$5,F3543)),Assumptions!$D$5,IF(ISNUMBER(SEARCH(Assumptions!$C$6,F3543)),Assumptions!$D$6,IF(ISNUMBER(SEARCH(Assumptions!$C$7,F3543)),Assumptions!$D$7,"Other Services"))),"Other Services"))</f>
        <v/>
      </c>
    </row>
    <row r="3544" customFormat="false" ht="15" hidden="false" customHeight="false" outlineLevel="0" collapsed="false">
      <c r="I3544" s="41" t="str">
        <f aca="false">IF(F3544="","",IFERROR(IF(ISNUMBER(SEARCH(Assumptions!$C$5,F3544)),Assumptions!$D$5,IF(ISNUMBER(SEARCH(Assumptions!$C$6,F3544)),Assumptions!$D$6,IF(ISNUMBER(SEARCH(Assumptions!$C$7,F3544)),Assumptions!$D$7,"Other Services"))),"Other Services"))</f>
        <v/>
      </c>
    </row>
    <row r="3545" customFormat="false" ht="15" hidden="false" customHeight="false" outlineLevel="0" collapsed="false">
      <c r="I3545" s="41" t="str">
        <f aca="false">IF(F3545="","",IFERROR(IF(ISNUMBER(SEARCH(Assumptions!$C$5,F3545)),Assumptions!$D$5,IF(ISNUMBER(SEARCH(Assumptions!$C$6,F3545)),Assumptions!$D$6,IF(ISNUMBER(SEARCH(Assumptions!$C$7,F3545)),Assumptions!$D$7,"Other Services"))),"Other Services"))</f>
        <v/>
      </c>
    </row>
    <row r="3546" customFormat="false" ht="15" hidden="false" customHeight="false" outlineLevel="0" collapsed="false">
      <c r="I3546" s="41" t="str">
        <f aca="false">IF(F3546="","",IFERROR(IF(ISNUMBER(SEARCH(Assumptions!$C$5,F3546)),Assumptions!$D$5,IF(ISNUMBER(SEARCH(Assumptions!$C$6,F3546)),Assumptions!$D$6,IF(ISNUMBER(SEARCH(Assumptions!$C$7,F3546)),Assumptions!$D$7,"Other Services"))),"Other Services"))</f>
        <v/>
      </c>
    </row>
    <row r="3547" customFormat="false" ht="15" hidden="false" customHeight="false" outlineLevel="0" collapsed="false">
      <c r="I3547" s="41" t="str">
        <f aca="false">IF(F3547="","",IFERROR(IF(ISNUMBER(SEARCH(Assumptions!$C$5,F3547)),Assumptions!$D$5,IF(ISNUMBER(SEARCH(Assumptions!$C$6,F3547)),Assumptions!$D$6,IF(ISNUMBER(SEARCH(Assumptions!$C$7,F3547)),Assumptions!$D$7,"Other Services"))),"Other Services"))</f>
        <v/>
      </c>
    </row>
    <row r="3548" customFormat="false" ht="15" hidden="false" customHeight="false" outlineLevel="0" collapsed="false">
      <c r="I3548" s="41" t="str">
        <f aca="false">IF(F3548="","",IFERROR(IF(ISNUMBER(SEARCH(Assumptions!$C$5,F3548)),Assumptions!$D$5,IF(ISNUMBER(SEARCH(Assumptions!$C$6,F3548)),Assumptions!$D$6,IF(ISNUMBER(SEARCH(Assumptions!$C$7,F3548)),Assumptions!$D$7,"Other Services"))),"Other Services"))</f>
        <v/>
      </c>
    </row>
    <row r="3549" customFormat="false" ht="15" hidden="false" customHeight="false" outlineLevel="0" collapsed="false">
      <c r="I3549" s="41" t="str">
        <f aca="false">IF(F3549="","",IFERROR(IF(ISNUMBER(SEARCH(Assumptions!$C$5,F3549)),Assumptions!$D$5,IF(ISNUMBER(SEARCH(Assumptions!$C$6,F3549)),Assumptions!$D$6,IF(ISNUMBER(SEARCH(Assumptions!$C$7,F3549)),Assumptions!$D$7,"Other Services"))),"Other Services"))</f>
        <v/>
      </c>
    </row>
    <row r="3550" customFormat="false" ht="15" hidden="false" customHeight="false" outlineLevel="0" collapsed="false">
      <c r="I3550" s="41" t="str">
        <f aca="false">IF(F3550="","",IFERROR(IF(ISNUMBER(SEARCH(Assumptions!$C$5,F3550)),Assumptions!$D$5,IF(ISNUMBER(SEARCH(Assumptions!$C$6,F3550)),Assumptions!$D$6,IF(ISNUMBER(SEARCH(Assumptions!$C$7,F3550)),Assumptions!$D$7,"Other Services"))),"Other Services"))</f>
        <v/>
      </c>
    </row>
    <row r="3551" customFormat="false" ht="15" hidden="false" customHeight="false" outlineLevel="0" collapsed="false">
      <c r="I3551" s="41" t="str">
        <f aca="false">IF(F3551="","",IFERROR(IF(ISNUMBER(SEARCH(Assumptions!$C$5,F3551)),Assumptions!$D$5,IF(ISNUMBER(SEARCH(Assumptions!$C$6,F3551)),Assumptions!$D$6,IF(ISNUMBER(SEARCH(Assumptions!$C$7,F3551)),Assumptions!$D$7,"Other Services"))),"Other Services"))</f>
        <v/>
      </c>
    </row>
    <row r="3552" customFormat="false" ht="15" hidden="false" customHeight="false" outlineLevel="0" collapsed="false">
      <c r="I3552" s="41" t="str">
        <f aca="false">IF(F3552="","",IFERROR(IF(ISNUMBER(SEARCH(Assumptions!$C$5,F3552)),Assumptions!$D$5,IF(ISNUMBER(SEARCH(Assumptions!$C$6,F3552)),Assumptions!$D$6,IF(ISNUMBER(SEARCH(Assumptions!$C$7,F3552)),Assumptions!$D$7,"Other Services"))),"Other Services"))</f>
        <v/>
      </c>
    </row>
    <row r="3553" customFormat="false" ht="15" hidden="false" customHeight="false" outlineLevel="0" collapsed="false">
      <c r="I3553" s="41" t="str">
        <f aca="false">IF(F3553="","",IFERROR(IF(ISNUMBER(SEARCH(Assumptions!$C$5,F3553)),Assumptions!$D$5,IF(ISNUMBER(SEARCH(Assumptions!$C$6,F3553)),Assumptions!$D$6,IF(ISNUMBER(SEARCH(Assumptions!$C$7,F3553)),Assumptions!$D$7,"Other Services"))),"Other Services"))</f>
        <v/>
      </c>
    </row>
    <row r="3554" customFormat="false" ht="15" hidden="false" customHeight="false" outlineLevel="0" collapsed="false">
      <c r="I3554" s="41" t="str">
        <f aca="false">IF(F3554="","",IFERROR(IF(ISNUMBER(SEARCH(Assumptions!$C$5,F3554)),Assumptions!$D$5,IF(ISNUMBER(SEARCH(Assumptions!$C$6,F3554)),Assumptions!$D$6,IF(ISNUMBER(SEARCH(Assumptions!$C$7,F3554)),Assumptions!$D$7,"Other Services"))),"Other Services"))</f>
        <v/>
      </c>
    </row>
    <row r="3555" customFormat="false" ht="15" hidden="false" customHeight="false" outlineLevel="0" collapsed="false">
      <c r="I3555" s="41" t="str">
        <f aca="false">IF(F3555="","",IFERROR(IF(ISNUMBER(SEARCH(Assumptions!$C$5,F3555)),Assumptions!$D$5,IF(ISNUMBER(SEARCH(Assumptions!$C$6,F3555)),Assumptions!$D$6,IF(ISNUMBER(SEARCH(Assumptions!$C$7,F3555)),Assumptions!$D$7,"Other Services"))),"Other Services"))</f>
        <v/>
      </c>
    </row>
    <row r="3556" customFormat="false" ht="15" hidden="false" customHeight="false" outlineLevel="0" collapsed="false">
      <c r="I3556" s="41" t="str">
        <f aca="false">IF(F3556="","",IFERROR(IF(ISNUMBER(SEARCH(Assumptions!$C$5,F3556)),Assumptions!$D$5,IF(ISNUMBER(SEARCH(Assumptions!$C$6,F3556)),Assumptions!$D$6,IF(ISNUMBER(SEARCH(Assumptions!$C$7,F3556)),Assumptions!$D$7,"Other Services"))),"Other Services"))</f>
        <v/>
      </c>
    </row>
    <row r="3557" customFormat="false" ht="15" hidden="false" customHeight="false" outlineLevel="0" collapsed="false">
      <c r="I3557" s="41" t="str">
        <f aca="false">IF(F3557="","",IFERROR(IF(ISNUMBER(SEARCH(Assumptions!$C$5,F3557)),Assumptions!$D$5,IF(ISNUMBER(SEARCH(Assumptions!$C$6,F3557)),Assumptions!$D$6,IF(ISNUMBER(SEARCH(Assumptions!$C$7,F3557)),Assumptions!$D$7,"Other Services"))),"Other Services"))</f>
        <v/>
      </c>
    </row>
    <row r="3558" customFormat="false" ht="15" hidden="false" customHeight="false" outlineLevel="0" collapsed="false">
      <c r="I3558" s="41" t="str">
        <f aca="false">IF(F3558="","",IFERROR(IF(ISNUMBER(SEARCH(Assumptions!$C$5,F3558)),Assumptions!$D$5,IF(ISNUMBER(SEARCH(Assumptions!$C$6,F3558)),Assumptions!$D$6,IF(ISNUMBER(SEARCH(Assumptions!$C$7,F3558)),Assumptions!$D$7,"Other Services"))),"Other Services"))</f>
        <v/>
      </c>
    </row>
    <row r="3559" customFormat="false" ht="15" hidden="false" customHeight="false" outlineLevel="0" collapsed="false">
      <c r="I3559" s="41" t="str">
        <f aca="false">IF(F3559="","",IFERROR(IF(ISNUMBER(SEARCH(Assumptions!$C$5,F3559)),Assumptions!$D$5,IF(ISNUMBER(SEARCH(Assumptions!$C$6,F3559)),Assumptions!$D$6,IF(ISNUMBER(SEARCH(Assumptions!$C$7,F3559)),Assumptions!$D$7,"Other Services"))),"Other Services"))</f>
        <v/>
      </c>
    </row>
    <row r="3560" customFormat="false" ht="15" hidden="false" customHeight="false" outlineLevel="0" collapsed="false">
      <c r="I3560" s="41" t="str">
        <f aca="false">IF(F3560="","",IFERROR(IF(ISNUMBER(SEARCH(Assumptions!$C$5,F3560)),Assumptions!$D$5,IF(ISNUMBER(SEARCH(Assumptions!$C$6,F3560)),Assumptions!$D$6,IF(ISNUMBER(SEARCH(Assumptions!$C$7,F3560)),Assumptions!$D$7,"Other Services"))),"Other Services"))</f>
        <v/>
      </c>
    </row>
    <row r="3561" customFormat="false" ht="15" hidden="false" customHeight="false" outlineLevel="0" collapsed="false">
      <c r="I3561" s="41" t="str">
        <f aca="false">IF(F3561="","",IFERROR(IF(ISNUMBER(SEARCH(Assumptions!$C$5,F3561)),Assumptions!$D$5,IF(ISNUMBER(SEARCH(Assumptions!$C$6,F3561)),Assumptions!$D$6,IF(ISNUMBER(SEARCH(Assumptions!$C$7,F3561)),Assumptions!$D$7,"Other Services"))),"Other Services"))</f>
        <v/>
      </c>
    </row>
    <row r="3562" customFormat="false" ht="15" hidden="false" customHeight="false" outlineLevel="0" collapsed="false">
      <c r="I3562" s="41" t="str">
        <f aca="false">IF(F3562="","",IFERROR(IF(ISNUMBER(SEARCH(Assumptions!$C$5,F3562)),Assumptions!$D$5,IF(ISNUMBER(SEARCH(Assumptions!$C$6,F3562)),Assumptions!$D$6,IF(ISNUMBER(SEARCH(Assumptions!$C$7,F3562)),Assumptions!$D$7,"Other Services"))),"Other Services"))</f>
        <v/>
      </c>
    </row>
    <row r="3563" customFormat="false" ht="15" hidden="false" customHeight="false" outlineLevel="0" collapsed="false">
      <c r="I3563" s="41" t="str">
        <f aca="false">IF(F3563="","",IFERROR(IF(ISNUMBER(SEARCH(Assumptions!$C$5,F3563)),Assumptions!$D$5,IF(ISNUMBER(SEARCH(Assumptions!$C$6,F3563)),Assumptions!$D$6,IF(ISNUMBER(SEARCH(Assumptions!$C$7,F3563)),Assumptions!$D$7,"Other Services"))),"Other Services"))</f>
        <v/>
      </c>
    </row>
    <row r="3564" customFormat="false" ht="15" hidden="false" customHeight="false" outlineLevel="0" collapsed="false">
      <c r="I3564" s="41" t="str">
        <f aca="false">IF(F3564="","",IFERROR(IF(ISNUMBER(SEARCH(Assumptions!$C$5,F3564)),Assumptions!$D$5,IF(ISNUMBER(SEARCH(Assumptions!$C$6,F3564)),Assumptions!$D$6,IF(ISNUMBER(SEARCH(Assumptions!$C$7,F3564)),Assumptions!$D$7,"Other Services"))),"Other Services"))</f>
        <v/>
      </c>
    </row>
    <row r="3565" customFormat="false" ht="15" hidden="false" customHeight="false" outlineLevel="0" collapsed="false">
      <c r="I3565" s="41" t="str">
        <f aca="false">IF(F3565="","",IFERROR(IF(ISNUMBER(SEARCH(Assumptions!$C$5,F3565)),Assumptions!$D$5,IF(ISNUMBER(SEARCH(Assumptions!$C$6,F3565)),Assumptions!$D$6,IF(ISNUMBER(SEARCH(Assumptions!$C$7,F3565)),Assumptions!$D$7,"Other Services"))),"Other Services"))</f>
        <v/>
      </c>
    </row>
    <row r="3566" customFormat="false" ht="15" hidden="false" customHeight="false" outlineLevel="0" collapsed="false">
      <c r="I3566" s="41" t="str">
        <f aca="false">IF(F3566="","",IFERROR(IF(ISNUMBER(SEARCH(Assumptions!$C$5,F3566)),Assumptions!$D$5,IF(ISNUMBER(SEARCH(Assumptions!$C$6,F3566)),Assumptions!$D$6,IF(ISNUMBER(SEARCH(Assumptions!$C$7,F3566)),Assumptions!$D$7,"Other Services"))),"Other Services"))</f>
        <v/>
      </c>
    </row>
    <row r="3567" customFormat="false" ht="15" hidden="false" customHeight="false" outlineLevel="0" collapsed="false">
      <c r="I3567" s="41" t="str">
        <f aca="false">IF(F3567="","",IFERROR(IF(ISNUMBER(SEARCH(Assumptions!$C$5,F3567)),Assumptions!$D$5,IF(ISNUMBER(SEARCH(Assumptions!$C$6,F3567)),Assumptions!$D$6,IF(ISNUMBER(SEARCH(Assumptions!$C$7,F3567)),Assumptions!$D$7,"Other Services"))),"Other Services"))</f>
        <v/>
      </c>
    </row>
    <row r="3568" customFormat="false" ht="15" hidden="false" customHeight="false" outlineLevel="0" collapsed="false">
      <c r="I3568" s="41" t="str">
        <f aca="false">IF(F3568="","",IFERROR(IF(ISNUMBER(SEARCH(Assumptions!$C$5,F3568)),Assumptions!$D$5,IF(ISNUMBER(SEARCH(Assumptions!$C$6,F3568)),Assumptions!$D$6,IF(ISNUMBER(SEARCH(Assumptions!$C$7,F3568)),Assumptions!$D$7,"Other Services"))),"Other Services"))</f>
        <v/>
      </c>
    </row>
    <row r="3569" customFormat="false" ht="15" hidden="false" customHeight="false" outlineLevel="0" collapsed="false">
      <c r="I3569" s="41" t="str">
        <f aca="false">IF(F3569="","",IFERROR(IF(ISNUMBER(SEARCH(Assumptions!$C$5,F3569)),Assumptions!$D$5,IF(ISNUMBER(SEARCH(Assumptions!$C$6,F3569)),Assumptions!$D$6,IF(ISNUMBER(SEARCH(Assumptions!$C$7,F3569)),Assumptions!$D$7,"Other Services"))),"Other Services"))</f>
        <v/>
      </c>
    </row>
    <row r="3570" customFormat="false" ht="15" hidden="false" customHeight="false" outlineLevel="0" collapsed="false">
      <c r="I3570" s="41" t="str">
        <f aca="false">IF(F3570="","",IFERROR(IF(ISNUMBER(SEARCH(Assumptions!$C$5,F3570)),Assumptions!$D$5,IF(ISNUMBER(SEARCH(Assumptions!$C$6,F3570)),Assumptions!$D$6,IF(ISNUMBER(SEARCH(Assumptions!$C$7,F3570)),Assumptions!$D$7,"Other Services"))),"Other Services"))</f>
        <v/>
      </c>
    </row>
    <row r="3571" customFormat="false" ht="15" hidden="false" customHeight="false" outlineLevel="0" collapsed="false">
      <c r="I3571" s="41" t="str">
        <f aca="false">IF(F3571="","",IFERROR(IF(ISNUMBER(SEARCH(Assumptions!$C$5,F3571)),Assumptions!$D$5,IF(ISNUMBER(SEARCH(Assumptions!$C$6,F3571)),Assumptions!$D$6,IF(ISNUMBER(SEARCH(Assumptions!$C$7,F3571)),Assumptions!$D$7,"Other Services"))),"Other Services"))</f>
        <v/>
      </c>
    </row>
    <row r="3572" customFormat="false" ht="15" hidden="false" customHeight="false" outlineLevel="0" collapsed="false">
      <c r="I3572" s="41" t="str">
        <f aca="false">IF(F3572="","",IFERROR(IF(ISNUMBER(SEARCH(Assumptions!$C$5,F3572)),Assumptions!$D$5,IF(ISNUMBER(SEARCH(Assumptions!$C$6,F3572)),Assumptions!$D$6,IF(ISNUMBER(SEARCH(Assumptions!$C$7,F3572)),Assumptions!$D$7,"Other Services"))),"Other Services"))</f>
        <v/>
      </c>
    </row>
    <row r="3573" customFormat="false" ht="15" hidden="false" customHeight="false" outlineLevel="0" collapsed="false">
      <c r="I3573" s="41" t="str">
        <f aca="false">IF(F3573="","",IFERROR(IF(ISNUMBER(SEARCH(Assumptions!$C$5,F3573)),Assumptions!$D$5,IF(ISNUMBER(SEARCH(Assumptions!$C$6,F3573)),Assumptions!$D$6,IF(ISNUMBER(SEARCH(Assumptions!$C$7,F3573)),Assumptions!$D$7,"Other Services"))),"Other Services"))</f>
        <v/>
      </c>
    </row>
    <row r="3574" customFormat="false" ht="15" hidden="false" customHeight="false" outlineLevel="0" collapsed="false">
      <c r="I3574" s="41" t="str">
        <f aca="false">IF(F3574="","",IFERROR(IF(ISNUMBER(SEARCH(Assumptions!$C$5,F3574)),Assumptions!$D$5,IF(ISNUMBER(SEARCH(Assumptions!$C$6,F3574)),Assumptions!$D$6,IF(ISNUMBER(SEARCH(Assumptions!$C$7,F3574)),Assumptions!$D$7,"Other Services"))),"Other Services"))</f>
        <v/>
      </c>
    </row>
    <row r="3575" customFormat="false" ht="15" hidden="false" customHeight="false" outlineLevel="0" collapsed="false">
      <c r="I3575" s="41" t="str">
        <f aca="false">IF(F3575="","",IFERROR(IF(ISNUMBER(SEARCH(Assumptions!$C$5,F3575)),Assumptions!$D$5,IF(ISNUMBER(SEARCH(Assumptions!$C$6,F3575)),Assumptions!$D$6,IF(ISNUMBER(SEARCH(Assumptions!$C$7,F3575)),Assumptions!$D$7,"Other Services"))),"Other Services"))</f>
        <v/>
      </c>
    </row>
    <row r="3576" customFormat="false" ht="15" hidden="false" customHeight="false" outlineLevel="0" collapsed="false">
      <c r="I3576" s="41" t="str">
        <f aca="false">IF(F3576="","",IFERROR(IF(ISNUMBER(SEARCH(Assumptions!$C$5,F3576)),Assumptions!$D$5,IF(ISNUMBER(SEARCH(Assumptions!$C$6,F3576)),Assumptions!$D$6,IF(ISNUMBER(SEARCH(Assumptions!$C$7,F3576)),Assumptions!$D$7,"Other Services"))),"Other Services"))</f>
        <v/>
      </c>
    </row>
    <row r="3577" customFormat="false" ht="15" hidden="false" customHeight="false" outlineLevel="0" collapsed="false">
      <c r="I3577" s="41" t="str">
        <f aca="false">IF(F3577="","",IFERROR(IF(ISNUMBER(SEARCH(Assumptions!$C$5,F3577)),Assumptions!$D$5,IF(ISNUMBER(SEARCH(Assumptions!$C$6,F3577)),Assumptions!$D$6,IF(ISNUMBER(SEARCH(Assumptions!$C$7,F3577)),Assumptions!$D$7,"Other Services"))),"Other Services"))</f>
        <v/>
      </c>
    </row>
    <row r="3578" customFormat="false" ht="15" hidden="false" customHeight="false" outlineLevel="0" collapsed="false">
      <c r="I3578" s="41" t="str">
        <f aca="false">IF(F3578="","",IFERROR(IF(ISNUMBER(SEARCH(Assumptions!$C$5,F3578)),Assumptions!$D$5,IF(ISNUMBER(SEARCH(Assumptions!$C$6,F3578)),Assumptions!$D$6,IF(ISNUMBER(SEARCH(Assumptions!$C$7,F3578)),Assumptions!$D$7,"Other Services"))),"Other Services"))</f>
        <v/>
      </c>
    </row>
    <row r="3579" customFormat="false" ht="15" hidden="false" customHeight="false" outlineLevel="0" collapsed="false">
      <c r="I3579" s="41" t="str">
        <f aca="false">IF(F3579="","",IFERROR(IF(ISNUMBER(SEARCH(Assumptions!$C$5,F3579)),Assumptions!$D$5,IF(ISNUMBER(SEARCH(Assumptions!$C$6,F3579)),Assumptions!$D$6,IF(ISNUMBER(SEARCH(Assumptions!$C$7,F3579)),Assumptions!$D$7,"Other Services"))),"Other Services"))</f>
        <v/>
      </c>
    </row>
    <row r="3580" customFormat="false" ht="15" hidden="false" customHeight="false" outlineLevel="0" collapsed="false">
      <c r="I3580" s="41" t="str">
        <f aca="false">IF(F3580="","",IFERROR(IF(ISNUMBER(SEARCH(Assumptions!$C$5,F3580)),Assumptions!$D$5,IF(ISNUMBER(SEARCH(Assumptions!$C$6,F3580)),Assumptions!$D$6,IF(ISNUMBER(SEARCH(Assumptions!$C$7,F3580)),Assumptions!$D$7,"Other Services"))),"Other Services"))</f>
        <v/>
      </c>
    </row>
    <row r="3581" customFormat="false" ht="15" hidden="false" customHeight="false" outlineLevel="0" collapsed="false">
      <c r="I3581" s="41" t="str">
        <f aca="false">IF(F3581="","",IFERROR(IF(ISNUMBER(SEARCH(Assumptions!$C$5,F3581)),Assumptions!$D$5,IF(ISNUMBER(SEARCH(Assumptions!$C$6,F3581)),Assumptions!$D$6,IF(ISNUMBER(SEARCH(Assumptions!$C$7,F3581)),Assumptions!$D$7,"Other Services"))),"Other Services"))</f>
        <v/>
      </c>
    </row>
    <row r="3582" customFormat="false" ht="15" hidden="false" customHeight="false" outlineLevel="0" collapsed="false">
      <c r="I3582" s="41" t="str">
        <f aca="false">IF(F3582="","",IFERROR(IF(ISNUMBER(SEARCH(Assumptions!$C$5,F3582)),Assumptions!$D$5,IF(ISNUMBER(SEARCH(Assumptions!$C$6,F3582)),Assumptions!$D$6,IF(ISNUMBER(SEARCH(Assumptions!$C$7,F3582)),Assumptions!$D$7,"Other Services"))),"Other Services"))</f>
        <v/>
      </c>
    </row>
    <row r="3583" customFormat="false" ht="15" hidden="false" customHeight="false" outlineLevel="0" collapsed="false">
      <c r="I3583" s="41" t="str">
        <f aca="false">IF(F3583="","",IFERROR(IF(ISNUMBER(SEARCH(Assumptions!$C$5,F3583)),Assumptions!$D$5,IF(ISNUMBER(SEARCH(Assumptions!$C$6,F3583)),Assumptions!$D$6,IF(ISNUMBER(SEARCH(Assumptions!$C$7,F3583)),Assumptions!$D$7,"Other Services"))),"Other Services"))</f>
        <v/>
      </c>
    </row>
    <row r="3584" customFormat="false" ht="15" hidden="false" customHeight="false" outlineLevel="0" collapsed="false">
      <c r="I3584" s="41" t="str">
        <f aca="false">IF(F3584="","",IFERROR(IF(ISNUMBER(SEARCH(Assumptions!$C$5,F3584)),Assumptions!$D$5,IF(ISNUMBER(SEARCH(Assumptions!$C$6,F3584)),Assumptions!$D$6,IF(ISNUMBER(SEARCH(Assumptions!$C$7,F3584)),Assumptions!$D$7,"Other Services"))),"Other Services"))</f>
        <v/>
      </c>
    </row>
    <row r="3585" customFormat="false" ht="15" hidden="false" customHeight="false" outlineLevel="0" collapsed="false">
      <c r="I3585" s="41" t="str">
        <f aca="false">IF(F3585="","",IFERROR(IF(ISNUMBER(SEARCH(Assumptions!$C$5,F3585)),Assumptions!$D$5,IF(ISNUMBER(SEARCH(Assumptions!$C$6,F3585)),Assumptions!$D$6,IF(ISNUMBER(SEARCH(Assumptions!$C$7,F3585)),Assumptions!$D$7,"Other Services"))),"Other Services"))</f>
        <v/>
      </c>
    </row>
    <row r="3586" customFormat="false" ht="15" hidden="false" customHeight="false" outlineLevel="0" collapsed="false">
      <c r="I3586" s="41" t="str">
        <f aca="false">IF(F3586="","",IFERROR(IF(ISNUMBER(SEARCH(Assumptions!$C$5,F3586)),Assumptions!$D$5,IF(ISNUMBER(SEARCH(Assumptions!$C$6,F3586)),Assumptions!$D$6,IF(ISNUMBER(SEARCH(Assumptions!$C$7,F3586)),Assumptions!$D$7,"Other Services"))),"Other Services"))</f>
        <v/>
      </c>
    </row>
    <row r="3587" customFormat="false" ht="15" hidden="false" customHeight="false" outlineLevel="0" collapsed="false">
      <c r="I3587" s="41" t="str">
        <f aca="false">IF(F3587="","",IFERROR(IF(ISNUMBER(SEARCH(Assumptions!$C$5,F3587)),Assumptions!$D$5,IF(ISNUMBER(SEARCH(Assumptions!$C$6,F3587)),Assumptions!$D$6,IF(ISNUMBER(SEARCH(Assumptions!$C$7,F3587)),Assumptions!$D$7,"Other Services"))),"Other Services"))</f>
        <v/>
      </c>
    </row>
    <row r="3588" customFormat="false" ht="15" hidden="false" customHeight="false" outlineLevel="0" collapsed="false">
      <c r="I3588" s="41" t="str">
        <f aca="false">IF(F3588="","",IFERROR(IF(ISNUMBER(SEARCH(Assumptions!$C$5,F3588)),Assumptions!$D$5,IF(ISNUMBER(SEARCH(Assumptions!$C$6,F3588)),Assumptions!$D$6,IF(ISNUMBER(SEARCH(Assumptions!$C$7,F3588)),Assumptions!$D$7,"Other Services"))),"Other Services"))</f>
        <v/>
      </c>
    </row>
    <row r="3589" customFormat="false" ht="15" hidden="false" customHeight="false" outlineLevel="0" collapsed="false">
      <c r="I3589" s="41" t="str">
        <f aca="false">IF(F3589="","",IFERROR(IF(ISNUMBER(SEARCH(Assumptions!$C$5,F3589)),Assumptions!$D$5,IF(ISNUMBER(SEARCH(Assumptions!$C$6,F3589)),Assumptions!$D$6,IF(ISNUMBER(SEARCH(Assumptions!$C$7,F3589)),Assumptions!$D$7,"Other Services"))),"Other Services"))</f>
        <v/>
      </c>
    </row>
    <row r="3590" customFormat="false" ht="15" hidden="false" customHeight="false" outlineLevel="0" collapsed="false">
      <c r="I3590" s="41" t="str">
        <f aca="false">IF(F3590="","",IFERROR(IF(ISNUMBER(SEARCH(Assumptions!$C$5,F3590)),Assumptions!$D$5,IF(ISNUMBER(SEARCH(Assumptions!$C$6,F3590)),Assumptions!$D$6,IF(ISNUMBER(SEARCH(Assumptions!$C$7,F3590)),Assumptions!$D$7,"Other Services"))),"Other Services"))</f>
        <v/>
      </c>
    </row>
    <row r="3591" customFormat="false" ht="15" hidden="false" customHeight="false" outlineLevel="0" collapsed="false">
      <c r="I3591" s="41" t="str">
        <f aca="false">IF(F3591="","",IFERROR(IF(ISNUMBER(SEARCH(Assumptions!$C$5,F3591)),Assumptions!$D$5,IF(ISNUMBER(SEARCH(Assumptions!$C$6,F3591)),Assumptions!$D$6,IF(ISNUMBER(SEARCH(Assumptions!$C$7,F3591)),Assumptions!$D$7,"Other Services"))),"Other Services"))</f>
        <v/>
      </c>
    </row>
    <row r="3592" customFormat="false" ht="15" hidden="false" customHeight="false" outlineLevel="0" collapsed="false">
      <c r="I3592" s="41" t="str">
        <f aca="false">IF(F3592="","",IFERROR(IF(ISNUMBER(SEARCH(Assumptions!$C$5,F3592)),Assumptions!$D$5,IF(ISNUMBER(SEARCH(Assumptions!$C$6,F3592)),Assumptions!$D$6,IF(ISNUMBER(SEARCH(Assumptions!$C$7,F3592)),Assumptions!$D$7,"Other Services"))),"Other Services"))</f>
        <v/>
      </c>
    </row>
    <row r="3593" customFormat="false" ht="15" hidden="false" customHeight="false" outlineLevel="0" collapsed="false">
      <c r="I3593" s="41" t="str">
        <f aca="false">IF(F3593="","",IFERROR(IF(ISNUMBER(SEARCH(Assumptions!$C$5,F3593)),Assumptions!$D$5,IF(ISNUMBER(SEARCH(Assumptions!$C$6,F3593)),Assumptions!$D$6,IF(ISNUMBER(SEARCH(Assumptions!$C$7,F3593)),Assumptions!$D$7,"Other Services"))),"Other Services"))</f>
        <v/>
      </c>
    </row>
    <row r="3594" customFormat="false" ht="15" hidden="false" customHeight="false" outlineLevel="0" collapsed="false">
      <c r="I3594" s="41" t="str">
        <f aca="false">IF(F3594="","",IFERROR(IF(ISNUMBER(SEARCH(Assumptions!$C$5,F3594)),Assumptions!$D$5,IF(ISNUMBER(SEARCH(Assumptions!$C$6,F3594)),Assumptions!$D$6,IF(ISNUMBER(SEARCH(Assumptions!$C$7,F3594)),Assumptions!$D$7,"Other Services"))),"Other Services"))</f>
        <v/>
      </c>
    </row>
    <row r="3595" customFormat="false" ht="15" hidden="false" customHeight="false" outlineLevel="0" collapsed="false">
      <c r="I3595" s="41" t="str">
        <f aca="false">IF(F3595="","",IFERROR(IF(ISNUMBER(SEARCH(Assumptions!$C$5,F3595)),Assumptions!$D$5,IF(ISNUMBER(SEARCH(Assumptions!$C$6,F3595)),Assumptions!$D$6,IF(ISNUMBER(SEARCH(Assumptions!$C$7,F3595)),Assumptions!$D$7,"Other Services"))),"Other Services"))</f>
        <v/>
      </c>
    </row>
    <row r="3596" customFormat="false" ht="15" hidden="false" customHeight="false" outlineLevel="0" collapsed="false">
      <c r="I3596" s="41" t="str">
        <f aca="false">IF(F3596="","",IFERROR(IF(ISNUMBER(SEARCH(Assumptions!$C$5,F3596)),Assumptions!$D$5,IF(ISNUMBER(SEARCH(Assumptions!$C$6,F3596)),Assumptions!$D$6,IF(ISNUMBER(SEARCH(Assumptions!$C$7,F3596)),Assumptions!$D$7,"Other Services"))),"Other Services"))</f>
        <v/>
      </c>
    </row>
    <row r="3597" customFormat="false" ht="15" hidden="false" customHeight="false" outlineLevel="0" collapsed="false">
      <c r="I3597" s="41" t="str">
        <f aca="false">IF(F3597="","",IFERROR(IF(ISNUMBER(SEARCH(Assumptions!$C$5,F3597)),Assumptions!$D$5,IF(ISNUMBER(SEARCH(Assumptions!$C$6,F3597)),Assumptions!$D$6,IF(ISNUMBER(SEARCH(Assumptions!$C$7,F3597)),Assumptions!$D$7,"Other Services"))),"Other Services"))</f>
        <v/>
      </c>
    </row>
    <row r="3598" customFormat="false" ht="15" hidden="false" customHeight="false" outlineLevel="0" collapsed="false">
      <c r="I3598" s="41" t="str">
        <f aca="false">IF(F3598="","",IFERROR(IF(ISNUMBER(SEARCH(Assumptions!$C$5,F3598)),Assumptions!$D$5,IF(ISNUMBER(SEARCH(Assumptions!$C$6,F3598)),Assumptions!$D$6,IF(ISNUMBER(SEARCH(Assumptions!$C$7,F3598)),Assumptions!$D$7,"Other Services"))),"Other Services"))</f>
        <v/>
      </c>
    </row>
    <row r="3599" customFormat="false" ht="15" hidden="false" customHeight="false" outlineLevel="0" collapsed="false">
      <c r="I3599" s="41" t="str">
        <f aca="false">IF(F3599="","",IFERROR(IF(ISNUMBER(SEARCH(Assumptions!$C$5,F3599)),Assumptions!$D$5,IF(ISNUMBER(SEARCH(Assumptions!$C$6,F3599)),Assumptions!$D$6,IF(ISNUMBER(SEARCH(Assumptions!$C$7,F3599)),Assumptions!$D$7,"Other Services"))),"Other Services"))</f>
        <v/>
      </c>
    </row>
    <row r="3600" customFormat="false" ht="15" hidden="false" customHeight="false" outlineLevel="0" collapsed="false">
      <c r="I3600" s="41" t="str">
        <f aca="false">IF(F3600="","",IFERROR(IF(ISNUMBER(SEARCH(Assumptions!$C$5,F3600)),Assumptions!$D$5,IF(ISNUMBER(SEARCH(Assumptions!$C$6,F3600)),Assumptions!$D$6,IF(ISNUMBER(SEARCH(Assumptions!$C$7,F3600)),Assumptions!$D$7,"Other Services"))),"Other Services"))</f>
        <v/>
      </c>
    </row>
    <row r="3601" customFormat="false" ht="15" hidden="false" customHeight="false" outlineLevel="0" collapsed="false">
      <c r="I3601" s="41" t="str">
        <f aca="false">IF(F3601="","",IFERROR(IF(ISNUMBER(SEARCH(Assumptions!$C$5,F3601)),Assumptions!$D$5,IF(ISNUMBER(SEARCH(Assumptions!$C$6,F3601)),Assumptions!$D$6,IF(ISNUMBER(SEARCH(Assumptions!$C$7,F3601)),Assumptions!$D$7,"Other Services"))),"Other Services"))</f>
        <v/>
      </c>
    </row>
    <row r="3602" customFormat="false" ht="15" hidden="false" customHeight="false" outlineLevel="0" collapsed="false">
      <c r="I3602" s="41" t="str">
        <f aca="false">IF(F3602="","",IFERROR(IF(ISNUMBER(SEARCH(Assumptions!$C$5,F3602)),Assumptions!$D$5,IF(ISNUMBER(SEARCH(Assumptions!$C$6,F3602)),Assumptions!$D$6,IF(ISNUMBER(SEARCH(Assumptions!$C$7,F3602)),Assumptions!$D$7,"Other Services"))),"Other Services"))</f>
        <v/>
      </c>
    </row>
    <row r="3603" customFormat="false" ht="15" hidden="false" customHeight="false" outlineLevel="0" collapsed="false">
      <c r="I3603" s="41" t="str">
        <f aca="false">IF(F3603="","",IFERROR(IF(ISNUMBER(SEARCH(Assumptions!$C$5,F3603)),Assumptions!$D$5,IF(ISNUMBER(SEARCH(Assumptions!$C$6,F3603)),Assumptions!$D$6,IF(ISNUMBER(SEARCH(Assumptions!$C$7,F3603)),Assumptions!$D$7,"Other Services"))),"Other Services"))</f>
        <v/>
      </c>
    </row>
    <row r="3604" customFormat="false" ht="15" hidden="false" customHeight="false" outlineLevel="0" collapsed="false">
      <c r="I3604" s="41" t="str">
        <f aca="false">IF(F3604="","",IFERROR(IF(ISNUMBER(SEARCH(Assumptions!$C$5,F3604)),Assumptions!$D$5,IF(ISNUMBER(SEARCH(Assumptions!$C$6,F3604)),Assumptions!$D$6,IF(ISNUMBER(SEARCH(Assumptions!$C$7,F3604)),Assumptions!$D$7,"Other Services"))),"Other Services"))</f>
        <v/>
      </c>
    </row>
    <row r="3605" customFormat="false" ht="15" hidden="false" customHeight="false" outlineLevel="0" collapsed="false">
      <c r="I3605" s="41" t="str">
        <f aca="false">IF(F3605="","",IFERROR(IF(ISNUMBER(SEARCH(Assumptions!$C$5,F3605)),Assumptions!$D$5,IF(ISNUMBER(SEARCH(Assumptions!$C$6,F3605)),Assumptions!$D$6,IF(ISNUMBER(SEARCH(Assumptions!$C$7,F3605)),Assumptions!$D$7,"Other Services"))),"Other Services"))</f>
        <v/>
      </c>
    </row>
    <row r="3606" customFormat="false" ht="15" hidden="false" customHeight="false" outlineLevel="0" collapsed="false">
      <c r="I3606" s="41" t="str">
        <f aca="false">IF(F3606="","",IFERROR(IF(ISNUMBER(SEARCH(Assumptions!$C$5,F3606)),Assumptions!$D$5,IF(ISNUMBER(SEARCH(Assumptions!$C$6,F3606)),Assumptions!$D$6,IF(ISNUMBER(SEARCH(Assumptions!$C$7,F3606)),Assumptions!$D$7,"Other Services"))),"Other Services"))</f>
        <v/>
      </c>
    </row>
    <row r="3607" customFormat="false" ht="15" hidden="false" customHeight="false" outlineLevel="0" collapsed="false">
      <c r="I3607" s="41" t="str">
        <f aca="false">IF(F3607="","",IFERROR(IF(ISNUMBER(SEARCH(Assumptions!$C$5,F3607)),Assumptions!$D$5,IF(ISNUMBER(SEARCH(Assumptions!$C$6,F3607)),Assumptions!$D$6,IF(ISNUMBER(SEARCH(Assumptions!$C$7,F3607)),Assumptions!$D$7,"Other Services"))),"Other Services"))</f>
        <v/>
      </c>
    </row>
    <row r="3608" customFormat="false" ht="15" hidden="false" customHeight="false" outlineLevel="0" collapsed="false">
      <c r="I3608" s="41" t="str">
        <f aca="false">IF(F3608="","",IFERROR(IF(ISNUMBER(SEARCH(Assumptions!$C$5,F3608)),Assumptions!$D$5,IF(ISNUMBER(SEARCH(Assumptions!$C$6,F3608)),Assumptions!$D$6,IF(ISNUMBER(SEARCH(Assumptions!$C$7,F3608)),Assumptions!$D$7,"Other Services"))),"Other Services"))</f>
        <v/>
      </c>
    </row>
    <row r="3609" customFormat="false" ht="15" hidden="false" customHeight="false" outlineLevel="0" collapsed="false">
      <c r="I3609" s="41" t="str">
        <f aca="false">IF(F3609="","",IFERROR(IF(ISNUMBER(SEARCH(Assumptions!$C$5,F3609)),Assumptions!$D$5,IF(ISNUMBER(SEARCH(Assumptions!$C$6,F3609)),Assumptions!$D$6,IF(ISNUMBER(SEARCH(Assumptions!$C$7,F3609)),Assumptions!$D$7,"Other Services"))),"Other Services"))</f>
        <v/>
      </c>
    </row>
    <row r="3610" customFormat="false" ht="15" hidden="false" customHeight="false" outlineLevel="0" collapsed="false">
      <c r="I3610" s="41" t="str">
        <f aca="false">IF(F3610="","",IFERROR(IF(ISNUMBER(SEARCH(Assumptions!$C$5,F3610)),Assumptions!$D$5,IF(ISNUMBER(SEARCH(Assumptions!$C$6,F3610)),Assumptions!$D$6,IF(ISNUMBER(SEARCH(Assumptions!$C$7,F3610)),Assumptions!$D$7,"Other Services"))),"Other Services"))</f>
        <v/>
      </c>
    </row>
    <row r="3611" customFormat="false" ht="15" hidden="false" customHeight="false" outlineLevel="0" collapsed="false">
      <c r="I3611" s="41" t="str">
        <f aca="false">IF(F3611="","",IFERROR(IF(ISNUMBER(SEARCH(Assumptions!$C$5,F3611)),Assumptions!$D$5,IF(ISNUMBER(SEARCH(Assumptions!$C$6,F3611)),Assumptions!$D$6,IF(ISNUMBER(SEARCH(Assumptions!$C$7,F3611)),Assumptions!$D$7,"Other Services"))),"Other Services"))</f>
        <v/>
      </c>
    </row>
    <row r="3612" customFormat="false" ht="15" hidden="false" customHeight="false" outlineLevel="0" collapsed="false">
      <c r="I3612" s="41" t="str">
        <f aca="false">IF(F3612="","",IFERROR(IF(ISNUMBER(SEARCH(Assumptions!$C$5,F3612)),Assumptions!$D$5,IF(ISNUMBER(SEARCH(Assumptions!$C$6,F3612)),Assumptions!$D$6,IF(ISNUMBER(SEARCH(Assumptions!$C$7,F3612)),Assumptions!$D$7,"Other Services"))),"Other Services"))</f>
        <v/>
      </c>
    </row>
    <row r="3613" customFormat="false" ht="15" hidden="false" customHeight="false" outlineLevel="0" collapsed="false">
      <c r="I3613" s="41" t="str">
        <f aca="false">IF(F3613="","",IFERROR(IF(ISNUMBER(SEARCH(Assumptions!$C$5,F3613)),Assumptions!$D$5,IF(ISNUMBER(SEARCH(Assumptions!$C$6,F3613)),Assumptions!$D$6,IF(ISNUMBER(SEARCH(Assumptions!$C$7,F3613)),Assumptions!$D$7,"Other Services"))),"Other Services"))</f>
        <v/>
      </c>
    </row>
    <row r="3614" customFormat="false" ht="15" hidden="false" customHeight="false" outlineLevel="0" collapsed="false">
      <c r="I3614" s="41" t="str">
        <f aca="false">IF(F3614="","",IFERROR(IF(ISNUMBER(SEARCH(Assumptions!$C$5,F3614)),Assumptions!$D$5,IF(ISNUMBER(SEARCH(Assumptions!$C$6,F3614)),Assumptions!$D$6,IF(ISNUMBER(SEARCH(Assumptions!$C$7,F3614)),Assumptions!$D$7,"Other Services"))),"Other Services"))</f>
        <v/>
      </c>
    </row>
    <row r="3615" customFormat="false" ht="15" hidden="false" customHeight="false" outlineLevel="0" collapsed="false">
      <c r="I3615" s="41" t="str">
        <f aca="false">IF(F3615="","",IFERROR(IF(ISNUMBER(SEARCH(Assumptions!$C$5,F3615)),Assumptions!$D$5,IF(ISNUMBER(SEARCH(Assumptions!$C$6,F3615)),Assumptions!$D$6,IF(ISNUMBER(SEARCH(Assumptions!$C$7,F3615)),Assumptions!$D$7,"Other Services"))),"Other Services"))</f>
        <v/>
      </c>
    </row>
    <row r="3616" customFormat="false" ht="15" hidden="false" customHeight="false" outlineLevel="0" collapsed="false">
      <c r="I3616" s="41" t="str">
        <f aca="false">IF(F3616="","",IFERROR(IF(ISNUMBER(SEARCH(Assumptions!$C$5,F3616)),Assumptions!$D$5,IF(ISNUMBER(SEARCH(Assumptions!$C$6,F3616)),Assumptions!$D$6,IF(ISNUMBER(SEARCH(Assumptions!$C$7,F3616)),Assumptions!$D$7,"Other Services"))),"Other Services"))</f>
        <v/>
      </c>
    </row>
    <row r="3617" customFormat="false" ht="15" hidden="false" customHeight="false" outlineLevel="0" collapsed="false">
      <c r="I3617" s="41" t="str">
        <f aca="false">IF(F3617="","",IFERROR(IF(ISNUMBER(SEARCH(Assumptions!$C$5,F3617)),Assumptions!$D$5,IF(ISNUMBER(SEARCH(Assumptions!$C$6,F3617)),Assumptions!$D$6,IF(ISNUMBER(SEARCH(Assumptions!$C$7,F3617)),Assumptions!$D$7,"Other Services"))),"Other Services"))</f>
        <v/>
      </c>
    </row>
    <row r="3618" customFormat="false" ht="15" hidden="false" customHeight="false" outlineLevel="0" collapsed="false">
      <c r="I3618" s="41" t="str">
        <f aca="false">IF(F3618="","",IFERROR(IF(ISNUMBER(SEARCH(Assumptions!$C$5,F3618)),Assumptions!$D$5,IF(ISNUMBER(SEARCH(Assumptions!$C$6,F3618)),Assumptions!$D$6,IF(ISNUMBER(SEARCH(Assumptions!$C$7,F3618)),Assumptions!$D$7,"Other Services"))),"Other Services"))</f>
        <v/>
      </c>
    </row>
    <row r="3619" customFormat="false" ht="15" hidden="false" customHeight="false" outlineLevel="0" collapsed="false">
      <c r="I3619" s="41" t="str">
        <f aca="false">IF(F3619="","",IFERROR(IF(ISNUMBER(SEARCH(Assumptions!$C$5,F3619)),Assumptions!$D$5,IF(ISNUMBER(SEARCH(Assumptions!$C$6,F3619)),Assumptions!$D$6,IF(ISNUMBER(SEARCH(Assumptions!$C$7,F3619)),Assumptions!$D$7,"Other Services"))),"Other Services"))</f>
        <v/>
      </c>
    </row>
    <row r="3620" customFormat="false" ht="15" hidden="false" customHeight="false" outlineLevel="0" collapsed="false">
      <c r="I3620" s="41" t="str">
        <f aca="false">IF(F3620="","",IFERROR(IF(ISNUMBER(SEARCH(Assumptions!$C$5,F3620)),Assumptions!$D$5,IF(ISNUMBER(SEARCH(Assumptions!$C$6,F3620)),Assumptions!$D$6,IF(ISNUMBER(SEARCH(Assumptions!$C$7,F3620)),Assumptions!$D$7,"Other Services"))),"Other Services"))</f>
        <v/>
      </c>
    </row>
    <row r="3621" customFormat="false" ht="15" hidden="false" customHeight="false" outlineLevel="0" collapsed="false">
      <c r="I3621" s="41" t="str">
        <f aca="false">IF(F3621="","",IFERROR(IF(ISNUMBER(SEARCH(Assumptions!$C$5,F3621)),Assumptions!$D$5,IF(ISNUMBER(SEARCH(Assumptions!$C$6,F3621)),Assumptions!$D$6,IF(ISNUMBER(SEARCH(Assumptions!$C$7,F3621)),Assumptions!$D$7,"Other Services"))),"Other Services"))</f>
        <v/>
      </c>
    </row>
    <row r="3622" customFormat="false" ht="15" hidden="false" customHeight="false" outlineLevel="0" collapsed="false">
      <c r="I3622" s="41" t="str">
        <f aca="false">IF(F3622="","",IFERROR(IF(ISNUMBER(SEARCH(Assumptions!$C$5,F3622)),Assumptions!$D$5,IF(ISNUMBER(SEARCH(Assumptions!$C$6,F3622)),Assumptions!$D$6,IF(ISNUMBER(SEARCH(Assumptions!$C$7,F3622)),Assumptions!$D$7,"Other Services"))),"Other Services"))</f>
        <v/>
      </c>
    </row>
    <row r="3623" customFormat="false" ht="15" hidden="false" customHeight="false" outlineLevel="0" collapsed="false">
      <c r="I3623" s="41" t="str">
        <f aca="false">IF(F3623="","",IFERROR(IF(ISNUMBER(SEARCH(Assumptions!$C$5,F3623)),Assumptions!$D$5,IF(ISNUMBER(SEARCH(Assumptions!$C$6,F3623)),Assumptions!$D$6,IF(ISNUMBER(SEARCH(Assumptions!$C$7,F3623)),Assumptions!$D$7,"Other Services"))),"Other Services"))</f>
        <v/>
      </c>
    </row>
    <row r="3624" customFormat="false" ht="15" hidden="false" customHeight="false" outlineLevel="0" collapsed="false">
      <c r="I3624" s="41" t="str">
        <f aca="false">IF(F3624="","",IFERROR(IF(ISNUMBER(SEARCH(Assumptions!$C$5,F3624)),Assumptions!$D$5,IF(ISNUMBER(SEARCH(Assumptions!$C$6,F3624)),Assumptions!$D$6,IF(ISNUMBER(SEARCH(Assumptions!$C$7,F3624)),Assumptions!$D$7,"Other Services"))),"Other Services"))</f>
        <v/>
      </c>
    </row>
    <row r="3625" customFormat="false" ht="15" hidden="false" customHeight="false" outlineLevel="0" collapsed="false">
      <c r="I3625" s="41" t="str">
        <f aca="false">IF(F3625="","",IFERROR(IF(ISNUMBER(SEARCH(Assumptions!$C$5,F3625)),Assumptions!$D$5,IF(ISNUMBER(SEARCH(Assumptions!$C$6,F3625)),Assumptions!$D$6,IF(ISNUMBER(SEARCH(Assumptions!$C$7,F3625)),Assumptions!$D$7,"Other Services"))),"Other Services"))</f>
        <v/>
      </c>
    </row>
    <row r="3626" customFormat="false" ht="15" hidden="false" customHeight="false" outlineLevel="0" collapsed="false">
      <c r="I3626" s="41" t="str">
        <f aca="false">IF(F3626="","",IFERROR(IF(ISNUMBER(SEARCH(Assumptions!$C$5,F3626)),Assumptions!$D$5,IF(ISNUMBER(SEARCH(Assumptions!$C$6,F3626)),Assumptions!$D$6,IF(ISNUMBER(SEARCH(Assumptions!$C$7,F3626)),Assumptions!$D$7,"Other Services"))),"Other Services"))</f>
        <v/>
      </c>
    </row>
    <row r="3627" customFormat="false" ht="15" hidden="false" customHeight="false" outlineLevel="0" collapsed="false">
      <c r="I3627" s="41" t="str">
        <f aca="false">IF(F3627="","",IFERROR(IF(ISNUMBER(SEARCH(Assumptions!$C$5,F3627)),Assumptions!$D$5,IF(ISNUMBER(SEARCH(Assumptions!$C$6,F3627)),Assumptions!$D$6,IF(ISNUMBER(SEARCH(Assumptions!$C$7,F3627)),Assumptions!$D$7,"Other Services"))),"Other Services"))</f>
        <v/>
      </c>
    </row>
    <row r="3628" customFormat="false" ht="15" hidden="false" customHeight="false" outlineLevel="0" collapsed="false">
      <c r="I3628" s="41" t="str">
        <f aca="false">IF(F3628="","",IFERROR(IF(ISNUMBER(SEARCH(Assumptions!$C$5,F3628)),Assumptions!$D$5,IF(ISNUMBER(SEARCH(Assumptions!$C$6,F3628)),Assumptions!$D$6,IF(ISNUMBER(SEARCH(Assumptions!$C$7,F3628)),Assumptions!$D$7,"Other Services"))),"Other Services"))</f>
        <v/>
      </c>
    </row>
    <row r="3629" customFormat="false" ht="15" hidden="false" customHeight="false" outlineLevel="0" collapsed="false">
      <c r="I3629" s="41" t="str">
        <f aca="false">IF(F3629="","",IFERROR(IF(ISNUMBER(SEARCH(Assumptions!$C$5,F3629)),Assumptions!$D$5,IF(ISNUMBER(SEARCH(Assumptions!$C$6,F3629)),Assumptions!$D$6,IF(ISNUMBER(SEARCH(Assumptions!$C$7,F3629)),Assumptions!$D$7,"Other Services"))),"Other Services"))</f>
        <v/>
      </c>
    </row>
    <row r="3630" customFormat="false" ht="15" hidden="false" customHeight="false" outlineLevel="0" collapsed="false">
      <c r="I3630" s="41" t="str">
        <f aca="false">IF(F3630="","",IFERROR(IF(ISNUMBER(SEARCH(Assumptions!$C$5,F3630)),Assumptions!$D$5,IF(ISNUMBER(SEARCH(Assumptions!$C$6,F3630)),Assumptions!$D$6,IF(ISNUMBER(SEARCH(Assumptions!$C$7,F3630)),Assumptions!$D$7,"Other Services"))),"Other Services"))</f>
        <v/>
      </c>
    </row>
    <row r="3631" customFormat="false" ht="15" hidden="false" customHeight="false" outlineLevel="0" collapsed="false">
      <c r="I3631" s="41" t="str">
        <f aca="false">IF(F3631="","",IFERROR(IF(ISNUMBER(SEARCH(Assumptions!$C$5,F3631)),Assumptions!$D$5,IF(ISNUMBER(SEARCH(Assumptions!$C$6,F3631)),Assumptions!$D$6,IF(ISNUMBER(SEARCH(Assumptions!$C$7,F3631)),Assumptions!$D$7,"Other Services"))),"Other Services"))</f>
        <v/>
      </c>
    </row>
    <row r="3632" customFormat="false" ht="15" hidden="false" customHeight="false" outlineLevel="0" collapsed="false">
      <c r="I3632" s="41" t="str">
        <f aca="false">IF(F3632="","",IFERROR(IF(ISNUMBER(SEARCH(Assumptions!$C$5,F3632)),Assumptions!$D$5,IF(ISNUMBER(SEARCH(Assumptions!$C$6,F3632)),Assumptions!$D$6,IF(ISNUMBER(SEARCH(Assumptions!$C$7,F3632)),Assumptions!$D$7,"Other Services"))),"Other Services"))</f>
        <v/>
      </c>
    </row>
    <row r="3633" customFormat="false" ht="15" hidden="false" customHeight="false" outlineLevel="0" collapsed="false">
      <c r="I3633" s="41" t="str">
        <f aca="false">IF(F3633="","",IFERROR(IF(ISNUMBER(SEARCH(Assumptions!$C$5,F3633)),Assumptions!$D$5,IF(ISNUMBER(SEARCH(Assumptions!$C$6,F3633)),Assumptions!$D$6,IF(ISNUMBER(SEARCH(Assumptions!$C$7,F3633)),Assumptions!$D$7,"Other Services"))),"Other Services"))</f>
        <v/>
      </c>
    </row>
    <row r="3634" customFormat="false" ht="15" hidden="false" customHeight="false" outlineLevel="0" collapsed="false">
      <c r="I3634" s="41" t="str">
        <f aca="false">IF(F3634="","",IFERROR(IF(ISNUMBER(SEARCH(Assumptions!$C$5,F3634)),Assumptions!$D$5,IF(ISNUMBER(SEARCH(Assumptions!$C$6,F3634)),Assumptions!$D$6,IF(ISNUMBER(SEARCH(Assumptions!$C$7,F3634)),Assumptions!$D$7,"Other Services"))),"Other Services"))</f>
        <v/>
      </c>
    </row>
    <row r="3635" customFormat="false" ht="15" hidden="false" customHeight="false" outlineLevel="0" collapsed="false">
      <c r="I3635" s="41" t="str">
        <f aca="false">IF(F3635="","",IFERROR(IF(ISNUMBER(SEARCH(Assumptions!$C$5,F3635)),Assumptions!$D$5,IF(ISNUMBER(SEARCH(Assumptions!$C$6,F3635)),Assumptions!$D$6,IF(ISNUMBER(SEARCH(Assumptions!$C$7,F3635)),Assumptions!$D$7,"Other Services"))),"Other Services"))</f>
        <v/>
      </c>
    </row>
    <row r="3636" customFormat="false" ht="15" hidden="false" customHeight="false" outlineLevel="0" collapsed="false">
      <c r="I3636" s="41" t="str">
        <f aca="false">IF(F3636="","",IFERROR(IF(ISNUMBER(SEARCH(Assumptions!$C$5,F3636)),Assumptions!$D$5,IF(ISNUMBER(SEARCH(Assumptions!$C$6,F3636)),Assumptions!$D$6,IF(ISNUMBER(SEARCH(Assumptions!$C$7,F3636)),Assumptions!$D$7,"Other Services"))),"Other Services"))</f>
        <v/>
      </c>
    </row>
    <row r="3637" customFormat="false" ht="15" hidden="false" customHeight="false" outlineLevel="0" collapsed="false">
      <c r="I3637" s="41" t="str">
        <f aca="false">IF(F3637="","",IFERROR(IF(ISNUMBER(SEARCH(Assumptions!$C$5,F3637)),Assumptions!$D$5,IF(ISNUMBER(SEARCH(Assumptions!$C$6,F3637)),Assumptions!$D$6,IF(ISNUMBER(SEARCH(Assumptions!$C$7,F3637)),Assumptions!$D$7,"Other Services"))),"Other Services"))</f>
        <v/>
      </c>
    </row>
    <row r="3638" customFormat="false" ht="15" hidden="false" customHeight="false" outlineLevel="0" collapsed="false">
      <c r="I3638" s="41" t="str">
        <f aca="false">IF(F3638="","",IFERROR(IF(ISNUMBER(SEARCH(Assumptions!$C$5,F3638)),Assumptions!$D$5,IF(ISNUMBER(SEARCH(Assumptions!$C$6,F3638)),Assumptions!$D$6,IF(ISNUMBER(SEARCH(Assumptions!$C$7,F3638)),Assumptions!$D$7,"Other Services"))),"Other Services"))</f>
        <v/>
      </c>
    </row>
    <row r="3639" customFormat="false" ht="15" hidden="false" customHeight="false" outlineLevel="0" collapsed="false">
      <c r="I3639" s="41" t="str">
        <f aca="false">IF(F3639="","",IFERROR(IF(ISNUMBER(SEARCH(Assumptions!$C$5,F3639)),Assumptions!$D$5,IF(ISNUMBER(SEARCH(Assumptions!$C$6,F3639)),Assumptions!$D$6,IF(ISNUMBER(SEARCH(Assumptions!$C$7,F3639)),Assumptions!$D$7,"Other Services"))),"Other Services"))</f>
        <v/>
      </c>
    </row>
    <row r="3640" customFormat="false" ht="15" hidden="false" customHeight="false" outlineLevel="0" collapsed="false">
      <c r="I3640" s="41" t="str">
        <f aca="false">IF(F3640="","",IFERROR(IF(ISNUMBER(SEARCH(Assumptions!$C$5,F3640)),Assumptions!$D$5,IF(ISNUMBER(SEARCH(Assumptions!$C$6,F3640)),Assumptions!$D$6,IF(ISNUMBER(SEARCH(Assumptions!$C$7,F3640)),Assumptions!$D$7,"Other Services"))),"Other Services"))</f>
        <v/>
      </c>
    </row>
    <row r="3641" customFormat="false" ht="15" hidden="false" customHeight="false" outlineLevel="0" collapsed="false">
      <c r="I3641" s="41" t="str">
        <f aca="false">IF(F3641="","",IFERROR(IF(ISNUMBER(SEARCH(Assumptions!$C$5,F3641)),Assumptions!$D$5,IF(ISNUMBER(SEARCH(Assumptions!$C$6,F3641)),Assumptions!$D$6,IF(ISNUMBER(SEARCH(Assumptions!$C$7,F3641)),Assumptions!$D$7,"Other Services"))),"Other Services"))</f>
        <v/>
      </c>
    </row>
    <row r="3642" customFormat="false" ht="15" hidden="false" customHeight="false" outlineLevel="0" collapsed="false">
      <c r="I3642" s="41" t="str">
        <f aca="false">IF(F3642="","",IFERROR(IF(ISNUMBER(SEARCH(Assumptions!$C$5,F3642)),Assumptions!$D$5,IF(ISNUMBER(SEARCH(Assumptions!$C$6,F3642)),Assumptions!$D$6,IF(ISNUMBER(SEARCH(Assumptions!$C$7,F3642)),Assumptions!$D$7,"Other Services"))),"Other Services"))</f>
        <v/>
      </c>
    </row>
    <row r="3643" customFormat="false" ht="15" hidden="false" customHeight="false" outlineLevel="0" collapsed="false">
      <c r="I3643" s="41" t="str">
        <f aca="false">IF(F3643="","",IFERROR(IF(ISNUMBER(SEARCH(Assumptions!$C$5,F3643)),Assumptions!$D$5,IF(ISNUMBER(SEARCH(Assumptions!$C$6,F3643)),Assumptions!$D$6,IF(ISNUMBER(SEARCH(Assumptions!$C$7,F3643)),Assumptions!$D$7,"Other Services"))),"Other Services"))</f>
        <v/>
      </c>
    </row>
    <row r="3644" customFormat="false" ht="15" hidden="false" customHeight="false" outlineLevel="0" collapsed="false">
      <c r="I3644" s="41" t="str">
        <f aca="false">IF(F3644="","",IFERROR(IF(ISNUMBER(SEARCH(Assumptions!$C$5,F3644)),Assumptions!$D$5,IF(ISNUMBER(SEARCH(Assumptions!$C$6,F3644)),Assumptions!$D$6,IF(ISNUMBER(SEARCH(Assumptions!$C$7,F3644)),Assumptions!$D$7,"Other Services"))),"Other Services"))</f>
        <v/>
      </c>
    </row>
    <row r="3645" customFormat="false" ht="15" hidden="false" customHeight="false" outlineLevel="0" collapsed="false">
      <c r="I3645" s="41" t="str">
        <f aca="false">IF(F3645="","",IFERROR(IF(ISNUMBER(SEARCH(Assumptions!$C$5,F3645)),Assumptions!$D$5,IF(ISNUMBER(SEARCH(Assumptions!$C$6,F3645)),Assumptions!$D$6,IF(ISNUMBER(SEARCH(Assumptions!$C$7,F3645)),Assumptions!$D$7,"Other Services"))),"Other Services"))</f>
        <v/>
      </c>
    </row>
    <row r="3646" customFormat="false" ht="15" hidden="false" customHeight="false" outlineLevel="0" collapsed="false">
      <c r="I3646" s="41" t="str">
        <f aca="false">IF(F3646="","",IFERROR(IF(ISNUMBER(SEARCH(Assumptions!$C$5,F3646)),Assumptions!$D$5,IF(ISNUMBER(SEARCH(Assumptions!$C$6,F3646)),Assumptions!$D$6,IF(ISNUMBER(SEARCH(Assumptions!$C$7,F3646)),Assumptions!$D$7,"Other Services"))),"Other Services"))</f>
        <v/>
      </c>
    </row>
    <row r="3647" customFormat="false" ht="15" hidden="false" customHeight="false" outlineLevel="0" collapsed="false">
      <c r="I3647" s="41" t="str">
        <f aca="false">IF(F3647="","",IFERROR(IF(ISNUMBER(SEARCH(Assumptions!$C$5,F3647)),Assumptions!$D$5,IF(ISNUMBER(SEARCH(Assumptions!$C$6,F3647)),Assumptions!$D$6,IF(ISNUMBER(SEARCH(Assumptions!$C$7,F3647)),Assumptions!$D$7,"Other Services"))),"Other Services"))</f>
        <v/>
      </c>
    </row>
    <row r="3648" customFormat="false" ht="15" hidden="false" customHeight="false" outlineLevel="0" collapsed="false">
      <c r="I3648" s="41" t="str">
        <f aca="false">IF(F3648="","",IFERROR(IF(ISNUMBER(SEARCH(Assumptions!$C$5,F3648)),Assumptions!$D$5,IF(ISNUMBER(SEARCH(Assumptions!$C$6,F3648)),Assumptions!$D$6,IF(ISNUMBER(SEARCH(Assumptions!$C$7,F3648)),Assumptions!$D$7,"Other Services"))),"Other Services"))</f>
        <v/>
      </c>
    </row>
    <row r="3649" customFormat="false" ht="15" hidden="false" customHeight="false" outlineLevel="0" collapsed="false">
      <c r="I3649" s="41" t="str">
        <f aca="false">IF(F3649="","",IFERROR(IF(ISNUMBER(SEARCH(Assumptions!$C$5,F3649)),Assumptions!$D$5,IF(ISNUMBER(SEARCH(Assumptions!$C$6,F3649)),Assumptions!$D$6,IF(ISNUMBER(SEARCH(Assumptions!$C$7,F3649)),Assumptions!$D$7,"Other Services"))),"Other Services"))</f>
        <v/>
      </c>
    </row>
    <row r="3650" customFormat="false" ht="15" hidden="false" customHeight="false" outlineLevel="0" collapsed="false">
      <c r="I3650" s="41" t="str">
        <f aca="false">IF(F3650="","",IFERROR(IF(ISNUMBER(SEARCH(Assumptions!$C$5,F3650)),Assumptions!$D$5,IF(ISNUMBER(SEARCH(Assumptions!$C$6,F3650)),Assumptions!$D$6,IF(ISNUMBER(SEARCH(Assumptions!$C$7,F3650)),Assumptions!$D$7,"Other Services"))),"Other Services"))</f>
        <v/>
      </c>
    </row>
    <row r="3651" customFormat="false" ht="15" hidden="false" customHeight="false" outlineLevel="0" collapsed="false">
      <c r="I3651" s="41" t="str">
        <f aca="false">IF(F3651="","",IFERROR(IF(ISNUMBER(SEARCH(Assumptions!$C$5,F3651)),Assumptions!$D$5,IF(ISNUMBER(SEARCH(Assumptions!$C$6,F3651)),Assumptions!$D$6,IF(ISNUMBER(SEARCH(Assumptions!$C$7,F3651)),Assumptions!$D$7,"Other Services"))),"Other Services"))</f>
        <v/>
      </c>
    </row>
    <row r="3652" customFormat="false" ht="15" hidden="false" customHeight="false" outlineLevel="0" collapsed="false">
      <c r="I3652" s="41" t="str">
        <f aca="false">IF(F3652="","",IFERROR(IF(ISNUMBER(SEARCH(Assumptions!$C$5,F3652)),Assumptions!$D$5,IF(ISNUMBER(SEARCH(Assumptions!$C$6,F3652)),Assumptions!$D$6,IF(ISNUMBER(SEARCH(Assumptions!$C$7,F3652)),Assumptions!$D$7,"Other Services"))),"Other Services"))</f>
        <v/>
      </c>
    </row>
    <row r="3653" customFormat="false" ht="15" hidden="false" customHeight="false" outlineLevel="0" collapsed="false">
      <c r="I3653" s="41" t="str">
        <f aca="false">IF(F3653="","",IFERROR(IF(ISNUMBER(SEARCH(Assumptions!$C$5,F3653)),Assumptions!$D$5,IF(ISNUMBER(SEARCH(Assumptions!$C$6,F3653)),Assumptions!$D$6,IF(ISNUMBER(SEARCH(Assumptions!$C$7,F3653)),Assumptions!$D$7,"Other Services"))),"Other Services"))</f>
        <v/>
      </c>
    </row>
    <row r="3654" customFormat="false" ht="15" hidden="false" customHeight="false" outlineLevel="0" collapsed="false">
      <c r="I3654" s="41" t="str">
        <f aca="false">IF(F3654="","",IFERROR(IF(ISNUMBER(SEARCH(Assumptions!$C$5,F3654)),Assumptions!$D$5,IF(ISNUMBER(SEARCH(Assumptions!$C$6,F3654)),Assumptions!$D$6,IF(ISNUMBER(SEARCH(Assumptions!$C$7,F3654)),Assumptions!$D$7,"Other Services"))),"Other Services"))</f>
        <v/>
      </c>
    </row>
    <row r="3655" customFormat="false" ht="15" hidden="false" customHeight="false" outlineLevel="0" collapsed="false">
      <c r="I3655" s="41" t="str">
        <f aca="false">IF(F3655="","",IFERROR(IF(ISNUMBER(SEARCH(Assumptions!$C$5,F3655)),Assumptions!$D$5,IF(ISNUMBER(SEARCH(Assumptions!$C$6,F3655)),Assumptions!$D$6,IF(ISNUMBER(SEARCH(Assumptions!$C$7,F3655)),Assumptions!$D$7,"Other Services"))),"Other Services"))</f>
        <v/>
      </c>
    </row>
    <row r="3656" customFormat="false" ht="15" hidden="false" customHeight="false" outlineLevel="0" collapsed="false">
      <c r="I3656" s="41" t="str">
        <f aca="false">IF(F3656="","",IFERROR(IF(ISNUMBER(SEARCH(Assumptions!$C$5,F3656)),Assumptions!$D$5,IF(ISNUMBER(SEARCH(Assumptions!$C$6,F3656)),Assumptions!$D$6,IF(ISNUMBER(SEARCH(Assumptions!$C$7,F3656)),Assumptions!$D$7,"Other Services"))),"Other Services"))</f>
        <v/>
      </c>
    </row>
    <row r="3657" customFormat="false" ht="15" hidden="false" customHeight="false" outlineLevel="0" collapsed="false">
      <c r="I3657" s="41" t="str">
        <f aca="false">IF(F3657="","",IFERROR(IF(ISNUMBER(SEARCH(Assumptions!$C$5,F3657)),Assumptions!$D$5,IF(ISNUMBER(SEARCH(Assumptions!$C$6,F3657)),Assumptions!$D$6,IF(ISNUMBER(SEARCH(Assumptions!$C$7,F3657)),Assumptions!$D$7,"Other Services"))),"Other Services"))</f>
        <v/>
      </c>
    </row>
    <row r="3658" customFormat="false" ht="15" hidden="false" customHeight="false" outlineLevel="0" collapsed="false">
      <c r="I3658" s="41" t="str">
        <f aca="false">IF(F3658="","",IFERROR(IF(ISNUMBER(SEARCH(Assumptions!$C$5,F3658)),Assumptions!$D$5,IF(ISNUMBER(SEARCH(Assumptions!$C$6,F3658)),Assumptions!$D$6,IF(ISNUMBER(SEARCH(Assumptions!$C$7,F3658)),Assumptions!$D$7,"Other Services"))),"Other Services"))</f>
        <v/>
      </c>
    </row>
    <row r="3659" customFormat="false" ht="15" hidden="false" customHeight="false" outlineLevel="0" collapsed="false">
      <c r="I3659" s="41" t="str">
        <f aca="false">IF(F3659="","",IFERROR(IF(ISNUMBER(SEARCH(Assumptions!$C$5,F3659)),Assumptions!$D$5,IF(ISNUMBER(SEARCH(Assumptions!$C$6,F3659)),Assumptions!$D$6,IF(ISNUMBER(SEARCH(Assumptions!$C$7,F3659)),Assumptions!$D$7,"Other Services"))),"Other Services"))</f>
        <v/>
      </c>
    </row>
    <row r="3660" customFormat="false" ht="15" hidden="false" customHeight="false" outlineLevel="0" collapsed="false">
      <c r="I3660" s="41" t="str">
        <f aca="false">IF(F3660="","",IFERROR(IF(ISNUMBER(SEARCH(Assumptions!$C$5,F3660)),Assumptions!$D$5,IF(ISNUMBER(SEARCH(Assumptions!$C$6,F3660)),Assumptions!$D$6,IF(ISNUMBER(SEARCH(Assumptions!$C$7,F3660)),Assumptions!$D$7,"Other Services"))),"Other Services"))</f>
        <v/>
      </c>
    </row>
    <row r="3661" customFormat="false" ht="15" hidden="false" customHeight="false" outlineLevel="0" collapsed="false">
      <c r="I3661" s="41" t="str">
        <f aca="false">IF(F3661="","",IFERROR(IF(ISNUMBER(SEARCH(Assumptions!$C$5,F3661)),Assumptions!$D$5,IF(ISNUMBER(SEARCH(Assumptions!$C$6,F3661)),Assumptions!$D$6,IF(ISNUMBER(SEARCH(Assumptions!$C$7,F3661)),Assumptions!$D$7,"Other Services"))),"Other Services"))</f>
        <v/>
      </c>
    </row>
    <row r="3662" customFormat="false" ht="15" hidden="false" customHeight="false" outlineLevel="0" collapsed="false">
      <c r="I3662" s="41" t="str">
        <f aca="false">IF(F3662="","",IFERROR(IF(ISNUMBER(SEARCH(Assumptions!$C$5,F3662)),Assumptions!$D$5,IF(ISNUMBER(SEARCH(Assumptions!$C$6,F3662)),Assumptions!$D$6,IF(ISNUMBER(SEARCH(Assumptions!$C$7,F3662)),Assumptions!$D$7,"Other Services"))),"Other Services"))</f>
        <v/>
      </c>
    </row>
    <row r="3663" customFormat="false" ht="15" hidden="false" customHeight="false" outlineLevel="0" collapsed="false">
      <c r="I3663" s="41" t="str">
        <f aca="false">IF(F3663="","",IFERROR(IF(ISNUMBER(SEARCH(Assumptions!$C$5,F3663)),Assumptions!$D$5,IF(ISNUMBER(SEARCH(Assumptions!$C$6,F3663)),Assumptions!$D$6,IF(ISNUMBER(SEARCH(Assumptions!$C$7,F3663)),Assumptions!$D$7,"Other Services"))),"Other Services"))</f>
        <v/>
      </c>
    </row>
    <row r="3664" customFormat="false" ht="15" hidden="false" customHeight="false" outlineLevel="0" collapsed="false">
      <c r="I3664" s="41" t="str">
        <f aca="false">IF(F3664="","",IFERROR(IF(ISNUMBER(SEARCH(Assumptions!$C$5,F3664)),Assumptions!$D$5,IF(ISNUMBER(SEARCH(Assumptions!$C$6,F3664)),Assumptions!$D$6,IF(ISNUMBER(SEARCH(Assumptions!$C$7,F3664)),Assumptions!$D$7,"Other Services"))),"Other Services"))</f>
        <v/>
      </c>
    </row>
    <row r="3665" customFormat="false" ht="15" hidden="false" customHeight="false" outlineLevel="0" collapsed="false">
      <c r="I3665" s="41" t="str">
        <f aca="false">IF(F3665="","",IFERROR(IF(ISNUMBER(SEARCH(Assumptions!$C$5,F3665)),Assumptions!$D$5,IF(ISNUMBER(SEARCH(Assumptions!$C$6,F3665)),Assumptions!$D$6,IF(ISNUMBER(SEARCH(Assumptions!$C$7,F3665)),Assumptions!$D$7,"Other Services"))),"Other Services"))</f>
        <v/>
      </c>
    </row>
    <row r="3666" customFormat="false" ht="15" hidden="false" customHeight="false" outlineLevel="0" collapsed="false">
      <c r="I3666" s="41" t="str">
        <f aca="false">IF(F3666="","",IFERROR(IF(ISNUMBER(SEARCH(Assumptions!$C$5,F3666)),Assumptions!$D$5,IF(ISNUMBER(SEARCH(Assumptions!$C$6,F3666)),Assumptions!$D$6,IF(ISNUMBER(SEARCH(Assumptions!$C$7,F3666)),Assumptions!$D$7,"Other Services"))),"Other Services"))</f>
        <v/>
      </c>
    </row>
    <row r="3667" customFormat="false" ht="15" hidden="false" customHeight="false" outlineLevel="0" collapsed="false">
      <c r="I3667" s="41" t="str">
        <f aca="false">IF(F3667="","",IFERROR(IF(ISNUMBER(SEARCH(Assumptions!$C$5,F3667)),Assumptions!$D$5,IF(ISNUMBER(SEARCH(Assumptions!$C$6,F3667)),Assumptions!$D$6,IF(ISNUMBER(SEARCH(Assumptions!$C$7,F3667)),Assumptions!$D$7,"Other Services"))),"Other Services"))</f>
        <v/>
      </c>
    </row>
    <row r="3668" customFormat="false" ht="15" hidden="false" customHeight="false" outlineLevel="0" collapsed="false">
      <c r="I3668" s="41" t="str">
        <f aca="false">IF(F3668="","",IFERROR(IF(ISNUMBER(SEARCH(Assumptions!$C$5,F3668)),Assumptions!$D$5,IF(ISNUMBER(SEARCH(Assumptions!$C$6,F3668)),Assumptions!$D$6,IF(ISNUMBER(SEARCH(Assumptions!$C$7,F3668)),Assumptions!$D$7,"Other Services"))),"Other Services"))</f>
        <v/>
      </c>
    </row>
    <row r="3669" customFormat="false" ht="15" hidden="false" customHeight="false" outlineLevel="0" collapsed="false">
      <c r="I3669" s="41" t="str">
        <f aca="false">IF(F3669="","",IFERROR(IF(ISNUMBER(SEARCH(Assumptions!$C$5,F3669)),Assumptions!$D$5,IF(ISNUMBER(SEARCH(Assumptions!$C$6,F3669)),Assumptions!$D$6,IF(ISNUMBER(SEARCH(Assumptions!$C$7,F3669)),Assumptions!$D$7,"Other Services"))),"Other Services"))</f>
        <v/>
      </c>
    </row>
    <row r="3670" customFormat="false" ht="15" hidden="false" customHeight="false" outlineLevel="0" collapsed="false">
      <c r="I3670" s="41" t="str">
        <f aca="false">IF(F3670="","",IFERROR(IF(ISNUMBER(SEARCH(Assumptions!$C$5,F3670)),Assumptions!$D$5,IF(ISNUMBER(SEARCH(Assumptions!$C$6,F3670)),Assumptions!$D$6,IF(ISNUMBER(SEARCH(Assumptions!$C$7,F3670)),Assumptions!$D$7,"Other Services"))),"Other Services"))</f>
        <v/>
      </c>
    </row>
    <row r="3671" customFormat="false" ht="15" hidden="false" customHeight="false" outlineLevel="0" collapsed="false">
      <c r="I3671" s="41" t="str">
        <f aca="false">IF(F3671="","",IFERROR(IF(ISNUMBER(SEARCH(Assumptions!$C$5,F3671)),Assumptions!$D$5,IF(ISNUMBER(SEARCH(Assumptions!$C$6,F3671)),Assumptions!$D$6,IF(ISNUMBER(SEARCH(Assumptions!$C$7,F3671)),Assumptions!$D$7,"Other Services"))),"Other Services"))</f>
        <v/>
      </c>
    </row>
    <row r="3672" customFormat="false" ht="15" hidden="false" customHeight="false" outlineLevel="0" collapsed="false">
      <c r="I3672" s="41" t="str">
        <f aca="false">IF(F3672="","",IFERROR(IF(ISNUMBER(SEARCH(Assumptions!$C$5,F3672)),Assumptions!$D$5,IF(ISNUMBER(SEARCH(Assumptions!$C$6,F3672)),Assumptions!$D$6,IF(ISNUMBER(SEARCH(Assumptions!$C$7,F3672)),Assumptions!$D$7,"Other Services"))),"Other Services"))</f>
        <v/>
      </c>
    </row>
    <row r="3673" customFormat="false" ht="15" hidden="false" customHeight="false" outlineLevel="0" collapsed="false">
      <c r="I3673" s="41" t="str">
        <f aca="false">IF(F3673="","",IFERROR(IF(ISNUMBER(SEARCH(Assumptions!$C$5,F3673)),Assumptions!$D$5,IF(ISNUMBER(SEARCH(Assumptions!$C$6,F3673)),Assumptions!$D$6,IF(ISNUMBER(SEARCH(Assumptions!$C$7,F3673)),Assumptions!$D$7,"Other Services"))),"Other Services"))</f>
        <v/>
      </c>
    </row>
    <row r="3674" customFormat="false" ht="15" hidden="false" customHeight="false" outlineLevel="0" collapsed="false">
      <c r="I3674" s="41" t="str">
        <f aca="false">IF(F3674="","",IFERROR(IF(ISNUMBER(SEARCH(Assumptions!$C$5,F3674)),Assumptions!$D$5,IF(ISNUMBER(SEARCH(Assumptions!$C$6,F3674)),Assumptions!$D$6,IF(ISNUMBER(SEARCH(Assumptions!$C$7,F3674)),Assumptions!$D$7,"Other Services"))),"Other Services"))</f>
        <v/>
      </c>
    </row>
    <row r="3675" customFormat="false" ht="15" hidden="false" customHeight="false" outlineLevel="0" collapsed="false">
      <c r="I3675" s="41" t="str">
        <f aca="false">IF(F3675="","",IFERROR(IF(ISNUMBER(SEARCH(Assumptions!$C$5,F3675)),Assumptions!$D$5,IF(ISNUMBER(SEARCH(Assumptions!$C$6,F3675)),Assumptions!$D$6,IF(ISNUMBER(SEARCH(Assumptions!$C$7,F3675)),Assumptions!$D$7,"Other Services"))),"Other Services"))</f>
        <v/>
      </c>
    </row>
    <row r="3676" customFormat="false" ht="15" hidden="false" customHeight="false" outlineLevel="0" collapsed="false">
      <c r="I3676" s="41" t="str">
        <f aca="false">IF(F3676="","",IFERROR(IF(ISNUMBER(SEARCH(Assumptions!$C$5,F3676)),Assumptions!$D$5,IF(ISNUMBER(SEARCH(Assumptions!$C$6,F3676)),Assumptions!$D$6,IF(ISNUMBER(SEARCH(Assumptions!$C$7,F3676)),Assumptions!$D$7,"Other Services"))),"Other Services"))</f>
        <v/>
      </c>
    </row>
    <row r="3677" customFormat="false" ht="15" hidden="false" customHeight="false" outlineLevel="0" collapsed="false">
      <c r="I3677" s="41" t="str">
        <f aca="false">IF(F3677="","",IFERROR(IF(ISNUMBER(SEARCH(Assumptions!$C$5,F3677)),Assumptions!$D$5,IF(ISNUMBER(SEARCH(Assumptions!$C$6,F3677)),Assumptions!$D$6,IF(ISNUMBER(SEARCH(Assumptions!$C$7,F3677)),Assumptions!$D$7,"Other Services"))),"Other Services"))</f>
        <v/>
      </c>
    </row>
    <row r="3678" customFormat="false" ht="15" hidden="false" customHeight="false" outlineLevel="0" collapsed="false">
      <c r="I3678" s="41" t="str">
        <f aca="false">IF(F3678="","",IFERROR(IF(ISNUMBER(SEARCH(Assumptions!$C$5,F3678)),Assumptions!$D$5,IF(ISNUMBER(SEARCH(Assumptions!$C$6,F3678)),Assumptions!$D$6,IF(ISNUMBER(SEARCH(Assumptions!$C$7,F3678)),Assumptions!$D$7,"Other Services"))),"Other Services"))</f>
        <v/>
      </c>
    </row>
    <row r="3679" customFormat="false" ht="15" hidden="false" customHeight="false" outlineLevel="0" collapsed="false">
      <c r="I3679" s="41" t="str">
        <f aca="false">IF(F3679="","",IFERROR(IF(ISNUMBER(SEARCH(Assumptions!$C$5,F3679)),Assumptions!$D$5,IF(ISNUMBER(SEARCH(Assumptions!$C$6,F3679)),Assumptions!$D$6,IF(ISNUMBER(SEARCH(Assumptions!$C$7,F3679)),Assumptions!$D$7,"Other Services"))),"Other Services"))</f>
        <v/>
      </c>
    </row>
    <row r="3680" customFormat="false" ht="15" hidden="false" customHeight="false" outlineLevel="0" collapsed="false">
      <c r="I3680" s="41" t="str">
        <f aca="false">IF(F3680="","",IFERROR(IF(ISNUMBER(SEARCH(Assumptions!$C$5,F3680)),Assumptions!$D$5,IF(ISNUMBER(SEARCH(Assumptions!$C$6,F3680)),Assumptions!$D$6,IF(ISNUMBER(SEARCH(Assumptions!$C$7,F3680)),Assumptions!$D$7,"Other Services"))),"Other Services"))</f>
        <v/>
      </c>
    </row>
    <row r="3681" customFormat="false" ht="15" hidden="false" customHeight="false" outlineLevel="0" collapsed="false">
      <c r="I3681" s="41" t="str">
        <f aca="false">IF(F3681="","",IFERROR(IF(ISNUMBER(SEARCH(Assumptions!$C$5,F3681)),Assumptions!$D$5,IF(ISNUMBER(SEARCH(Assumptions!$C$6,F3681)),Assumptions!$D$6,IF(ISNUMBER(SEARCH(Assumptions!$C$7,F3681)),Assumptions!$D$7,"Other Services"))),"Other Services"))</f>
        <v/>
      </c>
    </row>
    <row r="3682" customFormat="false" ht="15" hidden="false" customHeight="false" outlineLevel="0" collapsed="false">
      <c r="I3682" s="41" t="str">
        <f aca="false">IF(F3682="","",IFERROR(IF(ISNUMBER(SEARCH(Assumptions!$C$5,F3682)),Assumptions!$D$5,IF(ISNUMBER(SEARCH(Assumptions!$C$6,F3682)),Assumptions!$D$6,IF(ISNUMBER(SEARCH(Assumptions!$C$7,F3682)),Assumptions!$D$7,"Other Services"))),"Other Services"))</f>
        <v/>
      </c>
    </row>
    <row r="3683" customFormat="false" ht="15" hidden="false" customHeight="false" outlineLevel="0" collapsed="false">
      <c r="I3683" s="41" t="str">
        <f aca="false">IF(F3683="","",IFERROR(IF(ISNUMBER(SEARCH(Assumptions!$C$5,F3683)),Assumptions!$D$5,IF(ISNUMBER(SEARCH(Assumptions!$C$6,F3683)),Assumptions!$D$6,IF(ISNUMBER(SEARCH(Assumptions!$C$7,F3683)),Assumptions!$D$7,"Other Services"))),"Other Services"))</f>
        <v/>
      </c>
    </row>
    <row r="3684" customFormat="false" ht="15" hidden="false" customHeight="false" outlineLevel="0" collapsed="false">
      <c r="I3684" s="41" t="str">
        <f aca="false">IF(F3684="","",IFERROR(IF(ISNUMBER(SEARCH(Assumptions!$C$5,F3684)),Assumptions!$D$5,IF(ISNUMBER(SEARCH(Assumptions!$C$6,F3684)),Assumptions!$D$6,IF(ISNUMBER(SEARCH(Assumptions!$C$7,F3684)),Assumptions!$D$7,"Other Services"))),"Other Services"))</f>
        <v/>
      </c>
    </row>
    <row r="3685" customFormat="false" ht="15" hidden="false" customHeight="false" outlineLevel="0" collapsed="false">
      <c r="I3685" s="41" t="str">
        <f aca="false">IF(F3685="","",IFERROR(IF(ISNUMBER(SEARCH(Assumptions!$C$5,F3685)),Assumptions!$D$5,IF(ISNUMBER(SEARCH(Assumptions!$C$6,F3685)),Assumptions!$D$6,IF(ISNUMBER(SEARCH(Assumptions!$C$7,F3685)),Assumptions!$D$7,"Other Services"))),"Other Services"))</f>
        <v/>
      </c>
    </row>
    <row r="3686" customFormat="false" ht="15" hidden="false" customHeight="false" outlineLevel="0" collapsed="false">
      <c r="I3686" s="41" t="str">
        <f aca="false">IF(F3686="","",IFERROR(IF(ISNUMBER(SEARCH(Assumptions!$C$5,F3686)),Assumptions!$D$5,IF(ISNUMBER(SEARCH(Assumptions!$C$6,F3686)),Assumptions!$D$6,IF(ISNUMBER(SEARCH(Assumptions!$C$7,F3686)),Assumptions!$D$7,"Other Services"))),"Other Services"))</f>
        <v/>
      </c>
    </row>
    <row r="3687" customFormat="false" ht="15" hidden="false" customHeight="false" outlineLevel="0" collapsed="false">
      <c r="I3687" s="41" t="str">
        <f aca="false">IF(F3687="","",IFERROR(IF(ISNUMBER(SEARCH(Assumptions!$C$5,F3687)),Assumptions!$D$5,IF(ISNUMBER(SEARCH(Assumptions!$C$6,F3687)),Assumptions!$D$6,IF(ISNUMBER(SEARCH(Assumptions!$C$7,F3687)),Assumptions!$D$7,"Other Services"))),"Other Services"))</f>
        <v/>
      </c>
    </row>
    <row r="3688" customFormat="false" ht="15" hidden="false" customHeight="false" outlineLevel="0" collapsed="false">
      <c r="I3688" s="41" t="str">
        <f aca="false">IF(F3688="","",IFERROR(IF(ISNUMBER(SEARCH(Assumptions!$C$5,F3688)),Assumptions!$D$5,IF(ISNUMBER(SEARCH(Assumptions!$C$6,F3688)),Assumptions!$D$6,IF(ISNUMBER(SEARCH(Assumptions!$C$7,F3688)),Assumptions!$D$7,"Other Services"))),"Other Services"))</f>
        <v/>
      </c>
    </row>
    <row r="3689" customFormat="false" ht="15" hidden="false" customHeight="false" outlineLevel="0" collapsed="false">
      <c r="I3689" s="41" t="str">
        <f aca="false">IF(F3689="","",IFERROR(IF(ISNUMBER(SEARCH(Assumptions!$C$5,F3689)),Assumptions!$D$5,IF(ISNUMBER(SEARCH(Assumptions!$C$6,F3689)),Assumptions!$D$6,IF(ISNUMBER(SEARCH(Assumptions!$C$7,F3689)),Assumptions!$D$7,"Other Services"))),"Other Services"))</f>
        <v/>
      </c>
    </row>
    <row r="3690" customFormat="false" ht="15" hidden="false" customHeight="false" outlineLevel="0" collapsed="false">
      <c r="I3690" s="41" t="str">
        <f aca="false">IF(F3690="","",IFERROR(IF(ISNUMBER(SEARCH(Assumptions!$C$5,F3690)),Assumptions!$D$5,IF(ISNUMBER(SEARCH(Assumptions!$C$6,F3690)),Assumptions!$D$6,IF(ISNUMBER(SEARCH(Assumptions!$C$7,F3690)),Assumptions!$D$7,"Other Services"))),"Other Services"))</f>
        <v/>
      </c>
    </row>
    <row r="3691" customFormat="false" ht="15" hidden="false" customHeight="false" outlineLevel="0" collapsed="false">
      <c r="I3691" s="41" t="str">
        <f aca="false">IF(F3691="","",IFERROR(IF(ISNUMBER(SEARCH(Assumptions!$C$5,F3691)),Assumptions!$D$5,IF(ISNUMBER(SEARCH(Assumptions!$C$6,F3691)),Assumptions!$D$6,IF(ISNUMBER(SEARCH(Assumptions!$C$7,F3691)),Assumptions!$D$7,"Other Services"))),"Other Services"))</f>
        <v/>
      </c>
    </row>
    <row r="3692" customFormat="false" ht="15" hidden="false" customHeight="false" outlineLevel="0" collapsed="false">
      <c r="I3692" s="41" t="str">
        <f aca="false">IF(F3692="","",IFERROR(IF(ISNUMBER(SEARCH(Assumptions!$C$5,F3692)),Assumptions!$D$5,IF(ISNUMBER(SEARCH(Assumptions!$C$6,F3692)),Assumptions!$D$6,IF(ISNUMBER(SEARCH(Assumptions!$C$7,F3692)),Assumptions!$D$7,"Other Services"))),"Other Services"))</f>
        <v/>
      </c>
    </row>
    <row r="3693" customFormat="false" ht="15" hidden="false" customHeight="false" outlineLevel="0" collapsed="false">
      <c r="I3693" s="41" t="str">
        <f aca="false">IF(F3693="","",IFERROR(IF(ISNUMBER(SEARCH(Assumptions!$C$5,F3693)),Assumptions!$D$5,IF(ISNUMBER(SEARCH(Assumptions!$C$6,F3693)),Assumptions!$D$6,IF(ISNUMBER(SEARCH(Assumptions!$C$7,F3693)),Assumptions!$D$7,"Other Services"))),"Other Services"))</f>
        <v/>
      </c>
    </row>
    <row r="3694" customFormat="false" ht="15" hidden="false" customHeight="false" outlineLevel="0" collapsed="false">
      <c r="I3694" s="41" t="str">
        <f aca="false">IF(F3694="","",IFERROR(IF(ISNUMBER(SEARCH(Assumptions!$C$5,F3694)),Assumptions!$D$5,IF(ISNUMBER(SEARCH(Assumptions!$C$6,F3694)),Assumptions!$D$6,IF(ISNUMBER(SEARCH(Assumptions!$C$7,F3694)),Assumptions!$D$7,"Other Services"))),"Other Services"))</f>
        <v/>
      </c>
    </row>
    <row r="3695" customFormat="false" ht="15" hidden="false" customHeight="false" outlineLevel="0" collapsed="false">
      <c r="I3695" s="41" t="str">
        <f aca="false">IF(F3695="","",IFERROR(IF(ISNUMBER(SEARCH(Assumptions!$C$5,F3695)),Assumptions!$D$5,IF(ISNUMBER(SEARCH(Assumptions!$C$6,F3695)),Assumptions!$D$6,IF(ISNUMBER(SEARCH(Assumptions!$C$7,F3695)),Assumptions!$D$7,"Other Services"))),"Other Services"))</f>
        <v/>
      </c>
    </row>
    <row r="3696" customFormat="false" ht="15" hidden="false" customHeight="false" outlineLevel="0" collapsed="false">
      <c r="I3696" s="41" t="str">
        <f aca="false">IF(F3696="","",IFERROR(IF(ISNUMBER(SEARCH(Assumptions!$C$5,F3696)),Assumptions!$D$5,IF(ISNUMBER(SEARCH(Assumptions!$C$6,F3696)),Assumptions!$D$6,IF(ISNUMBER(SEARCH(Assumptions!$C$7,F3696)),Assumptions!$D$7,"Other Services"))),"Other Services"))</f>
        <v/>
      </c>
    </row>
    <row r="3697" customFormat="false" ht="15" hidden="false" customHeight="false" outlineLevel="0" collapsed="false">
      <c r="I3697" s="41" t="str">
        <f aca="false">IF(F3697="","",IFERROR(IF(ISNUMBER(SEARCH(Assumptions!$C$5,F3697)),Assumptions!$D$5,IF(ISNUMBER(SEARCH(Assumptions!$C$6,F3697)),Assumptions!$D$6,IF(ISNUMBER(SEARCH(Assumptions!$C$7,F3697)),Assumptions!$D$7,"Other Services"))),"Other Services"))</f>
        <v/>
      </c>
    </row>
    <row r="3698" customFormat="false" ht="15" hidden="false" customHeight="false" outlineLevel="0" collapsed="false">
      <c r="I3698" s="41" t="str">
        <f aca="false">IF(F3698="","",IFERROR(IF(ISNUMBER(SEARCH(Assumptions!$C$5,F3698)),Assumptions!$D$5,IF(ISNUMBER(SEARCH(Assumptions!$C$6,F3698)),Assumptions!$D$6,IF(ISNUMBER(SEARCH(Assumptions!$C$7,F3698)),Assumptions!$D$7,"Other Services"))),"Other Services"))</f>
        <v/>
      </c>
    </row>
    <row r="3699" customFormat="false" ht="15" hidden="false" customHeight="false" outlineLevel="0" collapsed="false">
      <c r="I3699" s="41" t="str">
        <f aca="false">IF(F3699="","",IFERROR(IF(ISNUMBER(SEARCH(Assumptions!$C$5,F3699)),Assumptions!$D$5,IF(ISNUMBER(SEARCH(Assumptions!$C$6,F3699)),Assumptions!$D$6,IF(ISNUMBER(SEARCH(Assumptions!$C$7,F3699)),Assumptions!$D$7,"Other Services"))),"Other Services"))</f>
        <v/>
      </c>
    </row>
    <row r="3700" customFormat="false" ht="15" hidden="false" customHeight="false" outlineLevel="0" collapsed="false">
      <c r="I3700" s="41" t="str">
        <f aca="false">IF(F3700="","",IFERROR(IF(ISNUMBER(SEARCH(Assumptions!$C$5,F3700)),Assumptions!$D$5,IF(ISNUMBER(SEARCH(Assumptions!$C$6,F3700)),Assumptions!$D$6,IF(ISNUMBER(SEARCH(Assumptions!$C$7,F3700)),Assumptions!$D$7,"Other Services"))),"Other Services"))</f>
        <v/>
      </c>
    </row>
    <row r="3701" customFormat="false" ht="15" hidden="false" customHeight="false" outlineLevel="0" collapsed="false">
      <c r="I3701" s="41" t="str">
        <f aca="false">IF(F3701="","",IFERROR(IF(ISNUMBER(SEARCH(Assumptions!$C$5,F3701)),Assumptions!$D$5,IF(ISNUMBER(SEARCH(Assumptions!$C$6,F3701)),Assumptions!$D$6,IF(ISNUMBER(SEARCH(Assumptions!$C$7,F3701)),Assumptions!$D$7,"Other Services"))),"Other Services"))</f>
        <v/>
      </c>
    </row>
    <row r="3702" customFormat="false" ht="15" hidden="false" customHeight="false" outlineLevel="0" collapsed="false">
      <c r="I3702" s="41" t="str">
        <f aca="false">IF(F3702="","",IFERROR(IF(ISNUMBER(SEARCH(Assumptions!$C$5,F3702)),Assumptions!$D$5,IF(ISNUMBER(SEARCH(Assumptions!$C$6,F3702)),Assumptions!$D$6,IF(ISNUMBER(SEARCH(Assumptions!$C$7,F3702)),Assumptions!$D$7,"Other Services"))),"Other Services"))</f>
        <v/>
      </c>
    </row>
    <row r="3703" customFormat="false" ht="15" hidden="false" customHeight="false" outlineLevel="0" collapsed="false">
      <c r="I3703" s="41" t="str">
        <f aca="false">IF(F3703="","",IFERROR(IF(ISNUMBER(SEARCH(Assumptions!$C$5,F3703)),Assumptions!$D$5,IF(ISNUMBER(SEARCH(Assumptions!$C$6,F3703)),Assumptions!$D$6,IF(ISNUMBER(SEARCH(Assumptions!$C$7,F3703)),Assumptions!$D$7,"Other Services"))),"Other Services"))</f>
        <v/>
      </c>
    </row>
    <row r="3704" customFormat="false" ht="15" hidden="false" customHeight="false" outlineLevel="0" collapsed="false">
      <c r="I3704" s="41" t="str">
        <f aca="false">IF(F3704="","",IFERROR(IF(ISNUMBER(SEARCH(Assumptions!$C$5,F3704)),Assumptions!$D$5,IF(ISNUMBER(SEARCH(Assumptions!$C$6,F3704)),Assumptions!$D$6,IF(ISNUMBER(SEARCH(Assumptions!$C$7,F3704)),Assumptions!$D$7,"Other Services"))),"Other Services"))</f>
        <v/>
      </c>
    </row>
    <row r="3705" customFormat="false" ht="15" hidden="false" customHeight="false" outlineLevel="0" collapsed="false">
      <c r="I3705" s="41" t="str">
        <f aca="false">IF(F3705="","",IFERROR(IF(ISNUMBER(SEARCH(Assumptions!$C$5,F3705)),Assumptions!$D$5,IF(ISNUMBER(SEARCH(Assumptions!$C$6,F3705)),Assumptions!$D$6,IF(ISNUMBER(SEARCH(Assumptions!$C$7,F3705)),Assumptions!$D$7,"Other Services"))),"Other Services"))</f>
        <v/>
      </c>
    </row>
    <row r="3706" customFormat="false" ht="15" hidden="false" customHeight="false" outlineLevel="0" collapsed="false">
      <c r="I3706" s="41" t="str">
        <f aca="false">IF(F3706="","",IFERROR(IF(ISNUMBER(SEARCH(Assumptions!$C$5,F3706)),Assumptions!$D$5,IF(ISNUMBER(SEARCH(Assumptions!$C$6,F3706)),Assumptions!$D$6,IF(ISNUMBER(SEARCH(Assumptions!$C$7,F3706)),Assumptions!$D$7,"Other Services"))),"Other Services"))</f>
        <v/>
      </c>
    </row>
    <row r="3707" customFormat="false" ht="15" hidden="false" customHeight="false" outlineLevel="0" collapsed="false">
      <c r="I3707" s="41" t="str">
        <f aca="false">IF(F3707="","",IFERROR(IF(ISNUMBER(SEARCH(Assumptions!$C$5,F3707)),Assumptions!$D$5,IF(ISNUMBER(SEARCH(Assumptions!$C$6,F3707)),Assumptions!$D$6,IF(ISNUMBER(SEARCH(Assumptions!$C$7,F3707)),Assumptions!$D$7,"Other Services"))),"Other Services"))</f>
        <v/>
      </c>
    </row>
    <row r="3708" customFormat="false" ht="15" hidden="false" customHeight="false" outlineLevel="0" collapsed="false">
      <c r="I3708" s="41" t="str">
        <f aca="false">IF(F3708="","",IFERROR(IF(ISNUMBER(SEARCH(Assumptions!$C$5,F3708)),Assumptions!$D$5,IF(ISNUMBER(SEARCH(Assumptions!$C$6,F3708)),Assumptions!$D$6,IF(ISNUMBER(SEARCH(Assumptions!$C$7,F3708)),Assumptions!$D$7,"Other Services"))),"Other Services"))</f>
        <v/>
      </c>
    </row>
    <row r="3709" customFormat="false" ht="15" hidden="false" customHeight="false" outlineLevel="0" collapsed="false">
      <c r="I3709" s="41" t="str">
        <f aca="false">IF(F3709="","",IFERROR(IF(ISNUMBER(SEARCH(Assumptions!$C$5,F3709)),Assumptions!$D$5,IF(ISNUMBER(SEARCH(Assumptions!$C$6,F3709)),Assumptions!$D$6,IF(ISNUMBER(SEARCH(Assumptions!$C$7,F3709)),Assumptions!$D$7,"Other Services"))),"Other Services"))</f>
        <v/>
      </c>
    </row>
    <row r="3710" customFormat="false" ht="15" hidden="false" customHeight="false" outlineLevel="0" collapsed="false">
      <c r="I3710" s="41" t="str">
        <f aca="false">IF(F3710="","",IFERROR(IF(ISNUMBER(SEARCH(Assumptions!$C$5,F3710)),Assumptions!$D$5,IF(ISNUMBER(SEARCH(Assumptions!$C$6,F3710)),Assumptions!$D$6,IF(ISNUMBER(SEARCH(Assumptions!$C$7,F3710)),Assumptions!$D$7,"Other Services"))),"Other Services"))</f>
        <v/>
      </c>
    </row>
    <row r="3711" customFormat="false" ht="15" hidden="false" customHeight="false" outlineLevel="0" collapsed="false">
      <c r="I3711" s="41" t="str">
        <f aca="false">IF(F3711="","",IFERROR(IF(ISNUMBER(SEARCH(Assumptions!$C$5,F3711)),Assumptions!$D$5,IF(ISNUMBER(SEARCH(Assumptions!$C$6,F3711)),Assumptions!$D$6,IF(ISNUMBER(SEARCH(Assumptions!$C$7,F3711)),Assumptions!$D$7,"Other Services"))),"Other Services"))</f>
        <v/>
      </c>
    </row>
    <row r="3712" customFormat="false" ht="15" hidden="false" customHeight="false" outlineLevel="0" collapsed="false">
      <c r="I3712" s="41" t="str">
        <f aca="false">IF(F3712="","",IFERROR(IF(ISNUMBER(SEARCH(Assumptions!$C$5,F3712)),Assumptions!$D$5,IF(ISNUMBER(SEARCH(Assumptions!$C$6,F3712)),Assumptions!$D$6,IF(ISNUMBER(SEARCH(Assumptions!$C$7,F3712)),Assumptions!$D$7,"Other Services"))),"Other Services"))</f>
        <v/>
      </c>
    </row>
    <row r="3713" customFormat="false" ht="15" hidden="false" customHeight="false" outlineLevel="0" collapsed="false">
      <c r="I3713" s="41" t="str">
        <f aca="false">IF(F3713="","",IFERROR(IF(ISNUMBER(SEARCH(Assumptions!$C$5,F3713)),Assumptions!$D$5,IF(ISNUMBER(SEARCH(Assumptions!$C$6,F3713)),Assumptions!$D$6,IF(ISNUMBER(SEARCH(Assumptions!$C$7,F3713)),Assumptions!$D$7,"Other Services"))),"Other Services"))</f>
        <v/>
      </c>
    </row>
    <row r="3714" customFormat="false" ht="15" hidden="false" customHeight="false" outlineLevel="0" collapsed="false">
      <c r="I3714" s="41" t="str">
        <f aca="false">IF(F3714="","",IFERROR(IF(ISNUMBER(SEARCH(Assumptions!$C$5,F3714)),Assumptions!$D$5,IF(ISNUMBER(SEARCH(Assumptions!$C$6,F3714)),Assumptions!$D$6,IF(ISNUMBER(SEARCH(Assumptions!$C$7,F3714)),Assumptions!$D$7,"Other Services"))),"Other Services"))</f>
        <v/>
      </c>
    </row>
    <row r="3715" customFormat="false" ht="15" hidden="false" customHeight="false" outlineLevel="0" collapsed="false">
      <c r="I3715" s="41" t="str">
        <f aca="false">IF(F3715="","",IFERROR(IF(ISNUMBER(SEARCH(Assumptions!$C$5,F3715)),Assumptions!$D$5,IF(ISNUMBER(SEARCH(Assumptions!$C$6,F3715)),Assumptions!$D$6,IF(ISNUMBER(SEARCH(Assumptions!$C$7,F3715)),Assumptions!$D$7,"Other Services"))),"Other Services"))</f>
        <v/>
      </c>
    </row>
    <row r="3716" customFormat="false" ht="15" hidden="false" customHeight="false" outlineLevel="0" collapsed="false">
      <c r="I3716" s="41" t="str">
        <f aca="false">IF(F3716="","",IFERROR(IF(ISNUMBER(SEARCH(Assumptions!$C$5,F3716)),Assumptions!$D$5,IF(ISNUMBER(SEARCH(Assumptions!$C$6,F3716)),Assumptions!$D$6,IF(ISNUMBER(SEARCH(Assumptions!$C$7,F3716)),Assumptions!$D$7,"Other Services"))),"Other Services"))</f>
        <v/>
      </c>
    </row>
    <row r="3717" customFormat="false" ht="15" hidden="false" customHeight="false" outlineLevel="0" collapsed="false">
      <c r="I3717" s="41" t="str">
        <f aca="false">IF(F3717="","",IFERROR(IF(ISNUMBER(SEARCH(Assumptions!$C$5,F3717)),Assumptions!$D$5,IF(ISNUMBER(SEARCH(Assumptions!$C$6,F3717)),Assumptions!$D$6,IF(ISNUMBER(SEARCH(Assumptions!$C$7,F3717)),Assumptions!$D$7,"Other Services"))),"Other Services"))</f>
        <v/>
      </c>
    </row>
    <row r="3718" customFormat="false" ht="15" hidden="false" customHeight="false" outlineLevel="0" collapsed="false">
      <c r="I3718" s="41" t="str">
        <f aca="false">IF(F3718="","",IFERROR(IF(ISNUMBER(SEARCH(Assumptions!$C$5,F3718)),Assumptions!$D$5,IF(ISNUMBER(SEARCH(Assumptions!$C$6,F3718)),Assumptions!$D$6,IF(ISNUMBER(SEARCH(Assumptions!$C$7,F3718)),Assumptions!$D$7,"Other Services"))),"Other Services"))</f>
        <v/>
      </c>
    </row>
    <row r="3719" customFormat="false" ht="15" hidden="false" customHeight="false" outlineLevel="0" collapsed="false">
      <c r="I3719" s="41" t="str">
        <f aca="false">IF(F3719="","",IFERROR(IF(ISNUMBER(SEARCH(Assumptions!$C$5,F3719)),Assumptions!$D$5,IF(ISNUMBER(SEARCH(Assumptions!$C$6,F3719)),Assumptions!$D$6,IF(ISNUMBER(SEARCH(Assumptions!$C$7,F3719)),Assumptions!$D$7,"Other Services"))),"Other Services"))</f>
        <v/>
      </c>
    </row>
    <row r="3720" customFormat="false" ht="15" hidden="false" customHeight="false" outlineLevel="0" collapsed="false">
      <c r="I3720" s="41" t="str">
        <f aca="false">IF(F3720="","",IFERROR(IF(ISNUMBER(SEARCH(Assumptions!$C$5,F3720)),Assumptions!$D$5,IF(ISNUMBER(SEARCH(Assumptions!$C$6,F3720)),Assumptions!$D$6,IF(ISNUMBER(SEARCH(Assumptions!$C$7,F3720)),Assumptions!$D$7,"Other Services"))),"Other Services"))</f>
        <v/>
      </c>
    </row>
    <row r="3721" customFormat="false" ht="15" hidden="false" customHeight="false" outlineLevel="0" collapsed="false">
      <c r="I3721" s="41" t="str">
        <f aca="false">IF(F3721="","",IFERROR(IF(ISNUMBER(SEARCH(Assumptions!$C$5,F3721)),Assumptions!$D$5,IF(ISNUMBER(SEARCH(Assumptions!$C$6,F3721)),Assumptions!$D$6,IF(ISNUMBER(SEARCH(Assumptions!$C$7,F3721)),Assumptions!$D$7,"Other Services"))),"Other Services"))</f>
        <v/>
      </c>
    </row>
    <row r="3722" customFormat="false" ht="15" hidden="false" customHeight="false" outlineLevel="0" collapsed="false">
      <c r="I3722" s="41" t="str">
        <f aca="false">IF(F3722="","",IFERROR(IF(ISNUMBER(SEARCH(Assumptions!$C$5,F3722)),Assumptions!$D$5,IF(ISNUMBER(SEARCH(Assumptions!$C$6,F3722)),Assumptions!$D$6,IF(ISNUMBER(SEARCH(Assumptions!$C$7,F3722)),Assumptions!$D$7,"Other Services"))),"Other Services"))</f>
        <v/>
      </c>
    </row>
    <row r="3723" customFormat="false" ht="15" hidden="false" customHeight="false" outlineLevel="0" collapsed="false">
      <c r="I3723" s="41" t="str">
        <f aca="false">IF(F3723="","",IFERROR(IF(ISNUMBER(SEARCH(Assumptions!$C$5,F3723)),Assumptions!$D$5,IF(ISNUMBER(SEARCH(Assumptions!$C$6,F3723)),Assumptions!$D$6,IF(ISNUMBER(SEARCH(Assumptions!$C$7,F3723)),Assumptions!$D$7,"Other Services"))),"Other Services"))</f>
        <v/>
      </c>
    </row>
    <row r="3724" customFormat="false" ht="15" hidden="false" customHeight="false" outlineLevel="0" collapsed="false">
      <c r="I3724" s="41" t="str">
        <f aca="false">IF(F3724="","",IFERROR(IF(ISNUMBER(SEARCH(Assumptions!$C$5,F3724)),Assumptions!$D$5,IF(ISNUMBER(SEARCH(Assumptions!$C$6,F3724)),Assumptions!$D$6,IF(ISNUMBER(SEARCH(Assumptions!$C$7,F3724)),Assumptions!$D$7,"Other Services"))),"Other Services"))</f>
        <v/>
      </c>
    </row>
    <row r="3725" customFormat="false" ht="15" hidden="false" customHeight="false" outlineLevel="0" collapsed="false">
      <c r="I3725" s="41" t="str">
        <f aca="false">IF(F3725="","",IFERROR(IF(ISNUMBER(SEARCH(Assumptions!$C$5,F3725)),Assumptions!$D$5,IF(ISNUMBER(SEARCH(Assumptions!$C$6,F3725)),Assumptions!$D$6,IF(ISNUMBER(SEARCH(Assumptions!$C$7,F3725)),Assumptions!$D$7,"Other Services"))),"Other Services"))</f>
        <v/>
      </c>
    </row>
    <row r="3726" customFormat="false" ht="15" hidden="false" customHeight="false" outlineLevel="0" collapsed="false">
      <c r="I3726" s="41" t="str">
        <f aca="false">IF(F3726="","",IFERROR(IF(ISNUMBER(SEARCH(Assumptions!$C$5,F3726)),Assumptions!$D$5,IF(ISNUMBER(SEARCH(Assumptions!$C$6,F3726)),Assumptions!$D$6,IF(ISNUMBER(SEARCH(Assumptions!$C$7,F3726)),Assumptions!$D$7,"Other Services"))),"Other Services"))</f>
        <v/>
      </c>
    </row>
    <row r="3727" customFormat="false" ht="15" hidden="false" customHeight="false" outlineLevel="0" collapsed="false">
      <c r="I3727" s="41" t="str">
        <f aca="false">IF(F3727="","",IFERROR(IF(ISNUMBER(SEARCH(Assumptions!$C$5,F3727)),Assumptions!$D$5,IF(ISNUMBER(SEARCH(Assumptions!$C$6,F3727)),Assumptions!$D$6,IF(ISNUMBER(SEARCH(Assumptions!$C$7,F3727)),Assumptions!$D$7,"Other Services"))),"Other Services"))</f>
        <v/>
      </c>
    </row>
    <row r="3728" customFormat="false" ht="15" hidden="false" customHeight="false" outlineLevel="0" collapsed="false">
      <c r="I3728" s="41" t="str">
        <f aca="false">IF(F3728="","",IFERROR(IF(ISNUMBER(SEARCH(Assumptions!$C$5,F3728)),Assumptions!$D$5,IF(ISNUMBER(SEARCH(Assumptions!$C$6,F3728)),Assumptions!$D$6,IF(ISNUMBER(SEARCH(Assumptions!$C$7,F3728)),Assumptions!$D$7,"Other Services"))),"Other Services"))</f>
        <v/>
      </c>
    </row>
    <row r="3729" customFormat="false" ht="15" hidden="false" customHeight="false" outlineLevel="0" collapsed="false">
      <c r="I3729" s="41" t="str">
        <f aca="false">IF(F3729="","",IFERROR(IF(ISNUMBER(SEARCH(Assumptions!$C$5,F3729)),Assumptions!$D$5,IF(ISNUMBER(SEARCH(Assumptions!$C$6,F3729)),Assumptions!$D$6,IF(ISNUMBER(SEARCH(Assumptions!$C$7,F3729)),Assumptions!$D$7,"Other Services"))),"Other Services"))</f>
        <v/>
      </c>
    </row>
    <row r="3730" customFormat="false" ht="15" hidden="false" customHeight="false" outlineLevel="0" collapsed="false">
      <c r="I3730" s="41" t="str">
        <f aca="false">IF(F3730="","",IFERROR(IF(ISNUMBER(SEARCH(Assumptions!$C$5,F3730)),Assumptions!$D$5,IF(ISNUMBER(SEARCH(Assumptions!$C$6,F3730)),Assumptions!$D$6,IF(ISNUMBER(SEARCH(Assumptions!$C$7,F3730)),Assumptions!$D$7,"Other Services"))),"Other Services"))</f>
        <v/>
      </c>
    </row>
    <row r="3731" customFormat="false" ht="15" hidden="false" customHeight="false" outlineLevel="0" collapsed="false">
      <c r="I3731" s="41" t="str">
        <f aca="false">IF(F3731="","",IFERROR(IF(ISNUMBER(SEARCH(Assumptions!$C$5,F3731)),Assumptions!$D$5,IF(ISNUMBER(SEARCH(Assumptions!$C$6,F3731)),Assumptions!$D$6,IF(ISNUMBER(SEARCH(Assumptions!$C$7,F3731)),Assumptions!$D$7,"Other Services"))),"Other Services"))</f>
        <v/>
      </c>
    </row>
    <row r="3732" customFormat="false" ht="15" hidden="false" customHeight="false" outlineLevel="0" collapsed="false">
      <c r="I3732" s="41" t="str">
        <f aca="false">IF(F3732="","",IFERROR(IF(ISNUMBER(SEARCH(Assumptions!$C$5,F3732)),Assumptions!$D$5,IF(ISNUMBER(SEARCH(Assumptions!$C$6,F3732)),Assumptions!$D$6,IF(ISNUMBER(SEARCH(Assumptions!$C$7,F3732)),Assumptions!$D$7,"Other Services"))),"Other Services"))</f>
        <v/>
      </c>
    </row>
    <row r="3733" customFormat="false" ht="15" hidden="false" customHeight="false" outlineLevel="0" collapsed="false">
      <c r="I3733" s="41" t="str">
        <f aca="false">IF(F3733="","",IFERROR(IF(ISNUMBER(SEARCH(Assumptions!$C$5,F3733)),Assumptions!$D$5,IF(ISNUMBER(SEARCH(Assumptions!$C$6,F3733)),Assumptions!$D$6,IF(ISNUMBER(SEARCH(Assumptions!$C$7,F3733)),Assumptions!$D$7,"Other Services"))),"Other Services"))</f>
        <v/>
      </c>
    </row>
    <row r="3734" customFormat="false" ht="15" hidden="false" customHeight="false" outlineLevel="0" collapsed="false">
      <c r="I3734" s="41" t="str">
        <f aca="false">IF(F3734="","",IFERROR(IF(ISNUMBER(SEARCH(Assumptions!$C$5,F3734)),Assumptions!$D$5,IF(ISNUMBER(SEARCH(Assumptions!$C$6,F3734)),Assumptions!$D$6,IF(ISNUMBER(SEARCH(Assumptions!$C$7,F3734)),Assumptions!$D$7,"Other Services"))),"Other Services"))</f>
        <v/>
      </c>
    </row>
    <row r="3735" customFormat="false" ht="15" hidden="false" customHeight="false" outlineLevel="0" collapsed="false">
      <c r="I3735" s="41" t="str">
        <f aca="false">IF(F3735="","",IFERROR(IF(ISNUMBER(SEARCH(Assumptions!$C$5,F3735)),Assumptions!$D$5,IF(ISNUMBER(SEARCH(Assumptions!$C$6,F3735)),Assumptions!$D$6,IF(ISNUMBER(SEARCH(Assumptions!$C$7,F3735)),Assumptions!$D$7,"Other Services"))),"Other Services"))</f>
        <v/>
      </c>
    </row>
    <row r="3736" customFormat="false" ht="15" hidden="false" customHeight="false" outlineLevel="0" collapsed="false">
      <c r="I3736" s="41" t="str">
        <f aca="false">IF(F3736="","",IFERROR(IF(ISNUMBER(SEARCH(Assumptions!$C$5,F3736)),Assumptions!$D$5,IF(ISNUMBER(SEARCH(Assumptions!$C$6,F3736)),Assumptions!$D$6,IF(ISNUMBER(SEARCH(Assumptions!$C$7,F3736)),Assumptions!$D$7,"Other Services"))),"Other Services"))</f>
        <v/>
      </c>
    </row>
    <row r="3737" customFormat="false" ht="15" hidden="false" customHeight="false" outlineLevel="0" collapsed="false">
      <c r="I3737" s="41" t="str">
        <f aca="false">IF(F3737="","",IFERROR(IF(ISNUMBER(SEARCH(Assumptions!$C$5,F3737)),Assumptions!$D$5,IF(ISNUMBER(SEARCH(Assumptions!$C$6,F3737)),Assumptions!$D$6,IF(ISNUMBER(SEARCH(Assumptions!$C$7,F3737)),Assumptions!$D$7,"Other Services"))),"Other Services"))</f>
        <v/>
      </c>
    </row>
    <row r="3738" customFormat="false" ht="15" hidden="false" customHeight="false" outlineLevel="0" collapsed="false">
      <c r="I3738" s="41" t="str">
        <f aca="false">IF(F3738="","",IFERROR(IF(ISNUMBER(SEARCH(Assumptions!$C$5,F3738)),Assumptions!$D$5,IF(ISNUMBER(SEARCH(Assumptions!$C$6,F3738)),Assumptions!$D$6,IF(ISNUMBER(SEARCH(Assumptions!$C$7,F3738)),Assumptions!$D$7,"Other Services"))),"Other Services"))</f>
        <v/>
      </c>
    </row>
    <row r="3739" customFormat="false" ht="15" hidden="false" customHeight="false" outlineLevel="0" collapsed="false">
      <c r="I3739" s="41" t="str">
        <f aca="false">IF(F3739="","",IFERROR(IF(ISNUMBER(SEARCH(Assumptions!$C$5,F3739)),Assumptions!$D$5,IF(ISNUMBER(SEARCH(Assumptions!$C$6,F3739)),Assumptions!$D$6,IF(ISNUMBER(SEARCH(Assumptions!$C$7,F3739)),Assumptions!$D$7,"Other Services"))),"Other Services"))</f>
        <v/>
      </c>
    </row>
    <row r="3740" customFormat="false" ht="15" hidden="false" customHeight="false" outlineLevel="0" collapsed="false">
      <c r="I3740" s="41" t="str">
        <f aca="false">IF(F3740="","",IFERROR(IF(ISNUMBER(SEARCH(Assumptions!$C$5,F3740)),Assumptions!$D$5,IF(ISNUMBER(SEARCH(Assumptions!$C$6,F3740)),Assumptions!$D$6,IF(ISNUMBER(SEARCH(Assumptions!$C$7,F3740)),Assumptions!$D$7,"Other Services"))),"Other Services"))</f>
        <v/>
      </c>
    </row>
    <row r="3741" customFormat="false" ht="15" hidden="false" customHeight="false" outlineLevel="0" collapsed="false">
      <c r="I3741" s="41" t="str">
        <f aca="false">IF(F3741="","",IFERROR(IF(ISNUMBER(SEARCH(Assumptions!$C$5,F3741)),Assumptions!$D$5,IF(ISNUMBER(SEARCH(Assumptions!$C$6,F3741)),Assumptions!$D$6,IF(ISNUMBER(SEARCH(Assumptions!$C$7,F3741)),Assumptions!$D$7,"Other Services"))),"Other Services"))</f>
        <v/>
      </c>
    </row>
    <row r="3742" customFormat="false" ht="15" hidden="false" customHeight="false" outlineLevel="0" collapsed="false">
      <c r="I3742" s="41" t="str">
        <f aca="false">IF(F3742="","",IFERROR(IF(ISNUMBER(SEARCH(Assumptions!$C$5,F3742)),Assumptions!$D$5,IF(ISNUMBER(SEARCH(Assumptions!$C$6,F3742)),Assumptions!$D$6,IF(ISNUMBER(SEARCH(Assumptions!$C$7,F3742)),Assumptions!$D$7,"Other Services"))),"Other Services"))</f>
        <v/>
      </c>
    </row>
    <row r="3743" customFormat="false" ht="15" hidden="false" customHeight="false" outlineLevel="0" collapsed="false">
      <c r="I3743" s="41" t="str">
        <f aca="false">IF(F3743="","",IFERROR(IF(ISNUMBER(SEARCH(Assumptions!$C$5,F3743)),Assumptions!$D$5,IF(ISNUMBER(SEARCH(Assumptions!$C$6,F3743)),Assumptions!$D$6,IF(ISNUMBER(SEARCH(Assumptions!$C$7,F3743)),Assumptions!$D$7,"Other Services"))),"Other Services"))</f>
        <v/>
      </c>
    </row>
    <row r="3744" customFormat="false" ht="15" hidden="false" customHeight="false" outlineLevel="0" collapsed="false">
      <c r="I3744" s="41" t="str">
        <f aca="false">IF(F3744="","",IFERROR(IF(ISNUMBER(SEARCH(Assumptions!$C$5,F3744)),Assumptions!$D$5,IF(ISNUMBER(SEARCH(Assumptions!$C$6,F3744)),Assumptions!$D$6,IF(ISNUMBER(SEARCH(Assumptions!$C$7,F3744)),Assumptions!$D$7,"Other Services"))),"Other Services"))</f>
        <v/>
      </c>
    </row>
    <row r="3745" customFormat="false" ht="15" hidden="false" customHeight="false" outlineLevel="0" collapsed="false">
      <c r="I3745" s="41" t="str">
        <f aca="false">IF(F3745="","",IFERROR(IF(ISNUMBER(SEARCH(Assumptions!$C$5,F3745)),Assumptions!$D$5,IF(ISNUMBER(SEARCH(Assumptions!$C$6,F3745)),Assumptions!$D$6,IF(ISNUMBER(SEARCH(Assumptions!$C$7,F3745)),Assumptions!$D$7,"Other Services"))),"Other Services"))</f>
        <v/>
      </c>
    </row>
    <row r="3746" customFormat="false" ht="15" hidden="false" customHeight="false" outlineLevel="0" collapsed="false">
      <c r="I3746" s="41" t="str">
        <f aca="false">IF(F3746="","",IFERROR(IF(ISNUMBER(SEARCH(Assumptions!$C$5,F3746)),Assumptions!$D$5,IF(ISNUMBER(SEARCH(Assumptions!$C$6,F3746)),Assumptions!$D$6,IF(ISNUMBER(SEARCH(Assumptions!$C$7,F3746)),Assumptions!$D$7,"Other Services"))),"Other Services"))</f>
        <v/>
      </c>
    </row>
    <row r="3747" customFormat="false" ht="15" hidden="false" customHeight="false" outlineLevel="0" collapsed="false">
      <c r="I3747" s="41" t="str">
        <f aca="false">IF(F3747="","",IFERROR(IF(ISNUMBER(SEARCH(Assumptions!$C$5,F3747)),Assumptions!$D$5,IF(ISNUMBER(SEARCH(Assumptions!$C$6,F3747)),Assumptions!$D$6,IF(ISNUMBER(SEARCH(Assumptions!$C$7,F3747)),Assumptions!$D$7,"Other Services"))),"Other Services"))</f>
        <v/>
      </c>
    </row>
    <row r="3748" customFormat="false" ht="15" hidden="false" customHeight="false" outlineLevel="0" collapsed="false">
      <c r="I3748" s="41" t="str">
        <f aca="false">IF(F3748="","",IFERROR(IF(ISNUMBER(SEARCH(Assumptions!$C$5,F3748)),Assumptions!$D$5,IF(ISNUMBER(SEARCH(Assumptions!$C$6,F3748)),Assumptions!$D$6,IF(ISNUMBER(SEARCH(Assumptions!$C$7,F3748)),Assumptions!$D$7,"Other Services"))),"Other Services"))</f>
        <v/>
      </c>
    </row>
    <row r="3749" customFormat="false" ht="15" hidden="false" customHeight="false" outlineLevel="0" collapsed="false">
      <c r="I3749" s="41" t="str">
        <f aca="false">IF(F3749="","",IFERROR(IF(ISNUMBER(SEARCH(Assumptions!$C$5,F3749)),Assumptions!$D$5,IF(ISNUMBER(SEARCH(Assumptions!$C$6,F3749)),Assumptions!$D$6,IF(ISNUMBER(SEARCH(Assumptions!$C$7,F3749)),Assumptions!$D$7,"Other Services"))),"Other Services"))</f>
        <v/>
      </c>
    </row>
    <row r="3750" customFormat="false" ht="15" hidden="false" customHeight="false" outlineLevel="0" collapsed="false">
      <c r="I3750" s="41" t="str">
        <f aca="false">IF(F3750="","",IFERROR(IF(ISNUMBER(SEARCH(Assumptions!$C$5,F3750)),Assumptions!$D$5,IF(ISNUMBER(SEARCH(Assumptions!$C$6,F3750)),Assumptions!$D$6,IF(ISNUMBER(SEARCH(Assumptions!$C$7,F3750)),Assumptions!$D$7,"Other Services"))),"Other Services"))</f>
        <v/>
      </c>
    </row>
    <row r="3751" customFormat="false" ht="15" hidden="false" customHeight="false" outlineLevel="0" collapsed="false">
      <c r="I3751" s="41" t="str">
        <f aca="false">IF(F3751="","",IFERROR(IF(ISNUMBER(SEARCH(Assumptions!$C$5,F3751)),Assumptions!$D$5,IF(ISNUMBER(SEARCH(Assumptions!$C$6,F3751)),Assumptions!$D$6,IF(ISNUMBER(SEARCH(Assumptions!$C$7,F3751)),Assumptions!$D$7,"Other Services"))),"Other Services"))</f>
        <v/>
      </c>
    </row>
    <row r="3752" customFormat="false" ht="15" hidden="false" customHeight="false" outlineLevel="0" collapsed="false">
      <c r="I3752" s="41" t="str">
        <f aca="false">IF(F3752="","",IFERROR(IF(ISNUMBER(SEARCH(Assumptions!$C$5,F3752)),Assumptions!$D$5,IF(ISNUMBER(SEARCH(Assumptions!$C$6,F3752)),Assumptions!$D$6,IF(ISNUMBER(SEARCH(Assumptions!$C$7,F3752)),Assumptions!$D$7,"Other Services"))),"Other Services"))</f>
        <v/>
      </c>
    </row>
    <row r="3753" customFormat="false" ht="15" hidden="false" customHeight="false" outlineLevel="0" collapsed="false">
      <c r="I3753" s="41" t="str">
        <f aca="false">IF(F3753="","",IFERROR(IF(ISNUMBER(SEARCH(Assumptions!$C$5,F3753)),Assumptions!$D$5,IF(ISNUMBER(SEARCH(Assumptions!$C$6,F3753)),Assumptions!$D$6,IF(ISNUMBER(SEARCH(Assumptions!$C$7,F3753)),Assumptions!$D$7,"Other Services"))),"Other Services"))</f>
        <v/>
      </c>
    </row>
    <row r="3754" customFormat="false" ht="15" hidden="false" customHeight="false" outlineLevel="0" collapsed="false">
      <c r="I3754" s="41" t="str">
        <f aca="false">IF(F3754="","",IFERROR(IF(ISNUMBER(SEARCH(Assumptions!$C$5,F3754)),Assumptions!$D$5,IF(ISNUMBER(SEARCH(Assumptions!$C$6,F3754)),Assumptions!$D$6,IF(ISNUMBER(SEARCH(Assumptions!$C$7,F3754)),Assumptions!$D$7,"Other Services"))),"Other Services"))</f>
        <v/>
      </c>
    </row>
    <row r="3755" customFormat="false" ht="15" hidden="false" customHeight="false" outlineLevel="0" collapsed="false">
      <c r="I3755" s="41" t="str">
        <f aca="false">IF(F3755="","",IFERROR(IF(ISNUMBER(SEARCH(Assumptions!$C$5,F3755)),Assumptions!$D$5,IF(ISNUMBER(SEARCH(Assumptions!$C$6,F3755)),Assumptions!$D$6,IF(ISNUMBER(SEARCH(Assumptions!$C$7,F3755)),Assumptions!$D$7,"Other Services"))),"Other Services"))</f>
        <v/>
      </c>
    </row>
    <row r="3756" customFormat="false" ht="15" hidden="false" customHeight="false" outlineLevel="0" collapsed="false">
      <c r="I3756" s="41" t="str">
        <f aca="false">IF(F3756="","",IFERROR(IF(ISNUMBER(SEARCH(Assumptions!$C$5,F3756)),Assumptions!$D$5,IF(ISNUMBER(SEARCH(Assumptions!$C$6,F3756)),Assumptions!$D$6,IF(ISNUMBER(SEARCH(Assumptions!$C$7,F3756)),Assumptions!$D$7,"Other Services"))),"Other Services"))</f>
        <v/>
      </c>
    </row>
    <row r="3757" customFormat="false" ht="15" hidden="false" customHeight="false" outlineLevel="0" collapsed="false">
      <c r="I3757" s="41" t="str">
        <f aca="false">IF(F3757="","",IFERROR(IF(ISNUMBER(SEARCH(Assumptions!$C$5,F3757)),Assumptions!$D$5,IF(ISNUMBER(SEARCH(Assumptions!$C$6,F3757)),Assumptions!$D$6,IF(ISNUMBER(SEARCH(Assumptions!$C$7,F3757)),Assumptions!$D$7,"Other Services"))),"Other Services"))</f>
        <v/>
      </c>
    </row>
    <row r="3758" customFormat="false" ht="15" hidden="false" customHeight="false" outlineLevel="0" collapsed="false">
      <c r="I3758" s="41" t="str">
        <f aca="false">IF(F3758="","",IFERROR(IF(ISNUMBER(SEARCH(Assumptions!$C$5,F3758)),Assumptions!$D$5,IF(ISNUMBER(SEARCH(Assumptions!$C$6,F3758)),Assumptions!$D$6,IF(ISNUMBER(SEARCH(Assumptions!$C$7,F3758)),Assumptions!$D$7,"Other Services"))),"Other Services"))</f>
        <v/>
      </c>
    </row>
    <row r="3759" customFormat="false" ht="15" hidden="false" customHeight="false" outlineLevel="0" collapsed="false">
      <c r="I3759" s="41" t="str">
        <f aca="false">IF(F3759="","",IFERROR(IF(ISNUMBER(SEARCH(Assumptions!$C$5,F3759)),Assumptions!$D$5,IF(ISNUMBER(SEARCH(Assumptions!$C$6,F3759)),Assumptions!$D$6,IF(ISNUMBER(SEARCH(Assumptions!$C$7,F3759)),Assumptions!$D$7,"Other Services"))),"Other Services"))</f>
        <v/>
      </c>
    </row>
    <row r="3760" customFormat="false" ht="15" hidden="false" customHeight="false" outlineLevel="0" collapsed="false">
      <c r="I3760" s="41" t="str">
        <f aca="false">IF(F3760="","",IFERROR(IF(ISNUMBER(SEARCH(Assumptions!$C$5,F3760)),Assumptions!$D$5,IF(ISNUMBER(SEARCH(Assumptions!$C$6,F3760)),Assumptions!$D$6,IF(ISNUMBER(SEARCH(Assumptions!$C$7,F3760)),Assumptions!$D$7,"Other Services"))),"Other Services"))</f>
        <v/>
      </c>
    </row>
    <row r="3761" customFormat="false" ht="15" hidden="false" customHeight="false" outlineLevel="0" collapsed="false">
      <c r="I3761" s="41" t="str">
        <f aca="false">IF(F3761="","",IFERROR(IF(ISNUMBER(SEARCH(Assumptions!$C$5,F3761)),Assumptions!$D$5,IF(ISNUMBER(SEARCH(Assumptions!$C$6,F3761)),Assumptions!$D$6,IF(ISNUMBER(SEARCH(Assumptions!$C$7,F3761)),Assumptions!$D$7,"Other Services"))),"Other Services"))</f>
        <v/>
      </c>
    </row>
    <row r="3762" customFormat="false" ht="15" hidden="false" customHeight="false" outlineLevel="0" collapsed="false">
      <c r="I3762" s="41" t="str">
        <f aca="false">IF(F3762="","",IFERROR(IF(ISNUMBER(SEARCH(Assumptions!$C$5,F3762)),Assumptions!$D$5,IF(ISNUMBER(SEARCH(Assumptions!$C$6,F3762)),Assumptions!$D$6,IF(ISNUMBER(SEARCH(Assumptions!$C$7,F3762)),Assumptions!$D$7,"Other Services"))),"Other Services"))</f>
        <v/>
      </c>
    </row>
    <row r="3763" customFormat="false" ht="15" hidden="false" customHeight="false" outlineLevel="0" collapsed="false">
      <c r="I3763" s="41" t="str">
        <f aca="false">IF(F3763="","",IFERROR(IF(ISNUMBER(SEARCH(Assumptions!$C$5,F3763)),Assumptions!$D$5,IF(ISNUMBER(SEARCH(Assumptions!$C$6,F3763)),Assumptions!$D$6,IF(ISNUMBER(SEARCH(Assumptions!$C$7,F3763)),Assumptions!$D$7,"Other Services"))),"Other Services"))</f>
        <v/>
      </c>
    </row>
    <row r="3764" customFormat="false" ht="15" hidden="false" customHeight="false" outlineLevel="0" collapsed="false">
      <c r="I3764" s="41" t="str">
        <f aca="false">IF(F3764="","",IFERROR(IF(ISNUMBER(SEARCH(Assumptions!$C$5,F3764)),Assumptions!$D$5,IF(ISNUMBER(SEARCH(Assumptions!$C$6,F3764)),Assumptions!$D$6,IF(ISNUMBER(SEARCH(Assumptions!$C$7,F3764)),Assumptions!$D$7,"Other Services"))),"Other Services"))</f>
        <v/>
      </c>
    </row>
    <row r="3765" customFormat="false" ht="15" hidden="false" customHeight="false" outlineLevel="0" collapsed="false">
      <c r="I3765" s="41" t="str">
        <f aca="false">IF(F3765="","",IFERROR(IF(ISNUMBER(SEARCH(Assumptions!$C$5,F3765)),Assumptions!$D$5,IF(ISNUMBER(SEARCH(Assumptions!$C$6,F3765)),Assumptions!$D$6,IF(ISNUMBER(SEARCH(Assumptions!$C$7,F3765)),Assumptions!$D$7,"Other Services"))),"Other Services"))</f>
        <v/>
      </c>
    </row>
    <row r="3766" customFormat="false" ht="15" hidden="false" customHeight="false" outlineLevel="0" collapsed="false">
      <c r="I3766" s="41" t="str">
        <f aca="false">IF(F3766="","",IFERROR(IF(ISNUMBER(SEARCH(Assumptions!$C$5,F3766)),Assumptions!$D$5,IF(ISNUMBER(SEARCH(Assumptions!$C$6,F3766)),Assumptions!$D$6,IF(ISNUMBER(SEARCH(Assumptions!$C$7,F3766)),Assumptions!$D$7,"Other Services"))),"Other Services"))</f>
        <v/>
      </c>
    </row>
    <row r="3767" customFormat="false" ht="15" hidden="false" customHeight="false" outlineLevel="0" collapsed="false">
      <c r="I3767" s="41" t="str">
        <f aca="false">IF(F3767="","",IFERROR(IF(ISNUMBER(SEARCH(Assumptions!$C$5,F3767)),Assumptions!$D$5,IF(ISNUMBER(SEARCH(Assumptions!$C$6,F3767)),Assumptions!$D$6,IF(ISNUMBER(SEARCH(Assumptions!$C$7,F3767)),Assumptions!$D$7,"Other Services"))),"Other Services"))</f>
        <v/>
      </c>
    </row>
    <row r="3768" customFormat="false" ht="15" hidden="false" customHeight="false" outlineLevel="0" collapsed="false">
      <c r="I3768" s="41" t="str">
        <f aca="false">IF(F3768="","",IFERROR(IF(ISNUMBER(SEARCH(Assumptions!$C$5,F3768)),Assumptions!$D$5,IF(ISNUMBER(SEARCH(Assumptions!$C$6,F3768)),Assumptions!$D$6,IF(ISNUMBER(SEARCH(Assumptions!$C$7,F3768)),Assumptions!$D$7,"Other Services"))),"Other Services"))</f>
        <v/>
      </c>
    </row>
    <row r="3769" customFormat="false" ht="15" hidden="false" customHeight="false" outlineLevel="0" collapsed="false">
      <c r="I3769" s="41" t="str">
        <f aca="false">IF(F3769="","",IFERROR(IF(ISNUMBER(SEARCH(Assumptions!$C$5,F3769)),Assumptions!$D$5,IF(ISNUMBER(SEARCH(Assumptions!$C$6,F3769)),Assumptions!$D$6,IF(ISNUMBER(SEARCH(Assumptions!$C$7,F3769)),Assumptions!$D$7,"Other Services"))),"Other Services"))</f>
        <v/>
      </c>
    </row>
    <row r="3770" customFormat="false" ht="15" hidden="false" customHeight="false" outlineLevel="0" collapsed="false">
      <c r="I3770" s="41" t="str">
        <f aca="false">IF(F3770="","",IFERROR(IF(ISNUMBER(SEARCH(Assumptions!$C$5,F3770)),Assumptions!$D$5,IF(ISNUMBER(SEARCH(Assumptions!$C$6,F3770)),Assumptions!$D$6,IF(ISNUMBER(SEARCH(Assumptions!$C$7,F3770)),Assumptions!$D$7,"Other Services"))),"Other Services"))</f>
        <v/>
      </c>
    </row>
    <row r="3771" customFormat="false" ht="15" hidden="false" customHeight="false" outlineLevel="0" collapsed="false">
      <c r="I3771" s="41" t="str">
        <f aca="false">IF(F3771="","",IFERROR(IF(ISNUMBER(SEARCH(Assumptions!$C$5,F3771)),Assumptions!$D$5,IF(ISNUMBER(SEARCH(Assumptions!$C$6,F3771)),Assumptions!$D$6,IF(ISNUMBER(SEARCH(Assumptions!$C$7,F3771)),Assumptions!$D$7,"Other Services"))),"Other Services"))</f>
        <v/>
      </c>
    </row>
    <row r="3772" customFormat="false" ht="15" hidden="false" customHeight="false" outlineLevel="0" collapsed="false">
      <c r="I3772" s="41" t="str">
        <f aca="false">IF(F3772="","",IFERROR(IF(ISNUMBER(SEARCH(Assumptions!$C$5,F3772)),Assumptions!$D$5,IF(ISNUMBER(SEARCH(Assumptions!$C$6,F3772)),Assumptions!$D$6,IF(ISNUMBER(SEARCH(Assumptions!$C$7,F3772)),Assumptions!$D$7,"Other Services"))),"Other Services"))</f>
        <v/>
      </c>
    </row>
    <row r="3773" customFormat="false" ht="15" hidden="false" customHeight="false" outlineLevel="0" collapsed="false">
      <c r="I3773" s="41" t="str">
        <f aca="false">IF(F3773="","",IFERROR(IF(ISNUMBER(SEARCH(Assumptions!$C$5,F3773)),Assumptions!$D$5,IF(ISNUMBER(SEARCH(Assumptions!$C$6,F3773)),Assumptions!$D$6,IF(ISNUMBER(SEARCH(Assumptions!$C$7,F3773)),Assumptions!$D$7,"Other Services"))),"Other Services"))</f>
        <v/>
      </c>
    </row>
    <row r="3774" customFormat="false" ht="15" hidden="false" customHeight="false" outlineLevel="0" collapsed="false">
      <c r="I3774" s="41" t="str">
        <f aca="false">IF(F3774="","",IFERROR(IF(ISNUMBER(SEARCH(Assumptions!$C$5,F3774)),Assumptions!$D$5,IF(ISNUMBER(SEARCH(Assumptions!$C$6,F3774)),Assumptions!$D$6,IF(ISNUMBER(SEARCH(Assumptions!$C$7,F3774)),Assumptions!$D$7,"Other Services"))),"Other Services"))</f>
        <v/>
      </c>
    </row>
    <row r="3775" customFormat="false" ht="15" hidden="false" customHeight="false" outlineLevel="0" collapsed="false">
      <c r="I3775" s="41" t="str">
        <f aca="false">IF(F3775="","",IFERROR(IF(ISNUMBER(SEARCH(Assumptions!$C$5,F3775)),Assumptions!$D$5,IF(ISNUMBER(SEARCH(Assumptions!$C$6,F3775)),Assumptions!$D$6,IF(ISNUMBER(SEARCH(Assumptions!$C$7,F3775)),Assumptions!$D$7,"Other Services"))),"Other Services"))</f>
        <v/>
      </c>
    </row>
    <row r="3776" customFormat="false" ht="15" hidden="false" customHeight="false" outlineLevel="0" collapsed="false">
      <c r="I3776" s="41" t="str">
        <f aca="false">IF(F3776="","",IFERROR(IF(ISNUMBER(SEARCH(Assumptions!$C$5,F3776)),Assumptions!$D$5,IF(ISNUMBER(SEARCH(Assumptions!$C$6,F3776)),Assumptions!$D$6,IF(ISNUMBER(SEARCH(Assumptions!$C$7,F3776)),Assumptions!$D$7,"Other Services"))),"Other Services"))</f>
        <v/>
      </c>
    </row>
    <row r="3777" customFormat="false" ht="15" hidden="false" customHeight="false" outlineLevel="0" collapsed="false">
      <c r="I3777" s="41" t="str">
        <f aca="false">IF(F3777="","",IFERROR(IF(ISNUMBER(SEARCH(Assumptions!$C$5,F3777)),Assumptions!$D$5,IF(ISNUMBER(SEARCH(Assumptions!$C$6,F3777)),Assumptions!$D$6,IF(ISNUMBER(SEARCH(Assumptions!$C$7,F3777)),Assumptions!$D$7,"Other Services"))),"Other Services"))</f>
        <v/>
      </c>
    </row>
    <row r="3778" customFormat="false" ht="15" hidden="false" customHeight="false" outlineLevel="0" collapsed="false">
      <c r="I3778" s="41" t="str">
        <f aca="false">IF(F3778="","",IFERROR(IF(ISNUMBER(SEARCH(Assumptions!$C$5,F3778)),Assumptions!$D$5,IF(ISNUMBER(SEARCH(Assumptions!$C$6,F3778)),Assumptions!$D$6,IF(ISNUMBER(SEARCH(Assumptions!$C$7,F3778)),Assumptions!$D$7,"Other Services"))),"Other Services"))</f>
        <v/>
      </c>
    </row>
    <row r="3779" customFormat="false" ht="15" hidden="false" customHeight="false" outlineLevel="0" collapsed="false">
      <c r="I3779" s="41" t="str">
        <f aca="false">IF(F3779="","",IFERROR(IF(ISNUMBER(SEARCH(Assumptions!$C$5,F3779)),Assumptions!$D$5,IF(ISNUMBER(SEARCH(Assumptions!$C$6,F3779)),Assumptions!$D$6,IF(ISNUMBER(SEARCH(Assumptions!$C$7,F3779)),Assumptions!$D$7,"Other Services"))),"Other Services"))</f>
        <v/>
      </c>
    </row>
    <row r="3780" customFormat="false" ht="15" hidden="false" customHeight="false" outlineLevel="0" collapsed="false">
      <c r="I3780" s="41" t="str">
        <f aca="false">IF(F3780="","",IFERROR(IF(ISNUMBER(SEARCH(Assumptions!$C$5,F3780)),Assumptions!$D$5,IF(ISNUMBER(SEARCH(Assumptions!$C$6,F3780)),Assumptions!$D$6,IF(ISNUMBER(SEARCH(Assumptions!$C$7,F3780)),Assumptions!$D$7,"Other Services"))),"Other Services"))</f>
        <v/>
      </c>
    </row>
    <row r="3781" customFormat="false" ht="15" hidden="false" customHeight="false" outlineLevel="0" collapsed="false">
      <c r="I3781" s="41" t="str">
        <f aca="false">IF(F3781="","",IFERROR(IF(ISNUMBER(SEARCH(Assumptions!$C$5,F3781)),Assumptions!$D$5,IF(ISNUMBER(SEARCH(Assumptions!$C$6,F3781)),Assumptions!$D$6,IF(ISNUMBER(SEARCH(Assumptions!$C$7,F3781)),Assumptions!$D$7,"Other Services"))),"Other Services"))</f>
        <v/>
      </c>
    </row>
    <row r="3782" customFormat="false" ht="15" hidden="false" customHeight="false" outlineLevel="0" collapsed="false">
      <c r="I3782" s="41" t="str">
        <f aca="false">IF(F3782="","",IFERROR(IF(ISNUMBER(SEARCH(Assumptions!$C$5,F3782)),Assumptions!$D$5,IF(ISNUMBER(SEARCH(Assumptions!$C$6,F3782)),Assumptions!$D$6,IF(ISNUMBER(SEARCH(Assumptions!$C$7,F3782)),Assumptions!$D$7,"Other Services"))),"Other Services"))</f>
        <v/>
      </c>
    </row>
    <row r="3783" customFormat="false" ht="15" hidden="false" customHeight="false" outlineLevel="0" collapsed="false">
      <c r="I3783" s="41" t="str">
        <f aca="false">IF(F3783="","",IFERROR(IF(ISNUMBER(SEARCH(Assumptions!$C$5,F3783)),Assumptions!$D$5,IF(ISNUMBER(SEARCH(Assumptions!$C$6,F3783)),Assumptions!$D$6,IF(ISNUMBER(SEARCH(Assumptions!$C$7,F3783)),Assumptions!$D$7,"Other Services"))),"Other Services"))</f>
        <v/>
      </c>
    </row>
    <row r="3784" customFormat="false" ht="15" hidden="false" customHeight="false" outlineLevel="0" collapsed="false">
      <c r="I3784" s="41" t="str">
        <f aca="false">IF(F3784="","",IFERROR(IF(ISNUMBER(SEARCH(Assumptions!$C$5,F3784)),Assumptions!$D$5,IF(ISNUMBER(SEARCH(Assumptions!$C$6,F3784)),Assumptions!$D$6,IF(ISNUMBER(SEARCH(Assumptions!$C$7,F3784)),Assumptions!$D$7,"Other Services"))),"Other Services"))</f>
        <v/>
      </c>
    </row>
    <row r="3785" customFormat="false" ht="15" hidden="false" customHeight="false" outlineLevel="0" collapsed="false">
      <c r="I3785" s="41" t="str">
        <f aca="false">IF(F3785="","",IFERROR(IF(ISNUMBER(SEARCH(Assumptions!$C$5,F3785)),Assumptions!$D$5,IF(ISNUMBER(SEARCH(Assumptions!$C$6,F3785)),Assumptions!$D$6,IF(ISNUMBER(SEARCH(Assumptions!$C$7,F3785)),Assumptions!$D$7,"Other Services"))),"Other Services"))</f>
        <v/>
      </c>
    </row>
    <row r="3786" customFormat="false" ht="15" hidden="false" customHeight="false" outlineLevel="0" collapsed="false">
      <c r="I3786" s="41" t="str">
        <f aca="false">IF(F3786="","",IFERROR(IF(ISNUMBER(SEARCH(Assumptions!$C$5,F3786)),Assumptions!$D$5,IF(ISNUMBER(SEARCH(Assumptions!$C$6,F3786)),Assumptions!$D$6,IF(ISNUMBER(SEARCH(Assumptions!$C$7,F3786)),Assumptions!$D$7,"Other Services"))),"Other Services"))</f>
        <v/>
      </c>
    </row>
    <row r="3787" customFormat="false" ht="15" hidden="false" customHeight="false" outlineLevel="0" collapsed="false">
      <c r="I3787" s="41" t="str">
        <f aca="false">IF(F3787="","",IFERROR(IF(ISNUMBER(SEARCH(Assumptions!$C$5,F3787)),Assumptions!$D$5,IF(ISNUMBER(SEARCH(Assumptions!$C$6,F3787)),Assumptions!$D$6,IF(ISNUMBER(SEARCH(Assumptions!$C$7,F3787)),Assumptions!$D$7,"Other Services"))),"Other Services"))</f>
        <v/>
      </c>
    </row>
    <row r="3788" customFormat="false" ht="15" hidden="false" customHeight="false" outlineLevel="0" collapsed="false">
      <c r="I3788" s="41" t="str">
        <f aca="false">IF(F3788="","",IFERROR(IF(ISNUMBER(SEARCH(Assumptions!$C$5,F3788)),Assumptions!$D$5,IF(ISNUMBER(SEARCH(Assumptions!$C$6,F3788)),Assumptions!$D$6,IF(ISNUMBER(SEARCH(Assumptions!$C$7,F3788)),Assumptions!$D$7,"Other Services"))),"Other Services"))</f>
        <v/>
      </c>
    </row>
    <row r="3789" customFormat="false" ht="15" hidden="false" customHeight="false" outlineLevel="0" collapsed="false">
      <c r="I3789" s="41" t="str">
        <f aca="false">IF(F3789="","",IFERROR(IF(ISNUMBER(SEARCH(Assumptions!$C$5,F3789)),Assumptions!$D$5,IF(ISNUMBER(SEARCH(Assumptions!$C$6,F3789)),Assumptions!$D$6,IF(ISNUMBER(SEARCH(Assumptions!$C$7,F3789)),Assumptions!$D$7,"Other Services"))),"Other Services"))</f>
        <v/>
      </c>
    </row>
    <row r="3790" customFormat="false" ht="15" hidden="false" customHeight="false" outlineLevel="0" collapsed="false">
      <c r="I3790" s="41" t="str">
        <f aca="false">IF(F3790="","",IFERROR(IF(ISNUMBER(SEARCH(Assumptions!$C$5,F3790)),Assumptions!$D$5,IF(ISNUMBER(SEARCH(Assumptions!$C$6,F3790)),Assumptions!$D$6,IF(ISNUMBER(SEARCH(Assumptions!$C$7,F3790)),Assumptions!$D$7,"Other Services"))),"Other Services"))</f>
        <v/>
      </c>
    </row>
    <row r="3791" customFormat="false" ht="15" hidden="false" customHeight="false" outlineLevel="0" collapsed="false">
      <c r="I3791" s="41" t="str">
        <f aca="false">IF(F3791="","",IFERROR(IF(ISNUMBER(SEARCH(Assumptions!$C$5,F3791)),Assumptions!$D$5,IF(ISNUMBER(SEARCH(Assumptions!$C$6,F3791)),Assumptions!$D$6,IF(ISNUMBER(SEARCH(Assumptions!$C$7,F3791)),Assumptions!$D$7,"Other Services"))),"Other Services"))</f>
        <v/>
      </c>
    </row>
    <row r="3792" customFormat="false" ht="15" hidden="false" customHeight="false" outlineLevel="0" collapsed="false">
      <c r="I3792" s="41" t="str">
        <f aca="false">IF(F3792="","",IFERROR(IF(ISNUMBER(SEARCH(Assumptions!$C$5,F3792)),Assumptions!$D$5,IF(ISNUMBER(SEARCH(Assumptions!$C$6,F3792)),Assumptions!$D$6,IF(ISNUMBER(SEARCH(Assumptions!$C$7,F3792)),Assumptions!$D$7,"Other Services"))),"Other Services"))</f>
        <v/>
      </c>
    </row>
    <row r="3793" customFormat="false" ht="15" hidden="false" customHeight="false" outlineLevel="0" collapsed="false">
      <c r="I3793" s="41" t="str">
        <f aca="false">IF(F3793="","",IFERROR(IF(ISNUMBER(SEARCH(Assumptions!$C$5,F3793)),Assumptions!$D$5,IF(ISNUMBER(SEARCH(Assumptions!$C$6,F3793)),Assumptions!$D$6,IF(ISNUMBER(SEARCH(Assumptions!$C$7,F3793)),Assumptions!$D$7,"Other Services"))),"Other Services"))</f>
        <v/>
      </c>
    </row>
    <row r="3794" customFormat="false" ht="15" hidden="false" customHeight="false" outlineLevel="0" collapsed="false">
      <c r="I3794" s="41" t="str">
        <f aca="false">IF(F3794="","",IFERROR(IF(ISNUMBER(SEARCH(Assumptions!$C$5,F3794)),Assumptions!$D$5,IF(ISNUMBER(SEARCH(Assumptions!$C$6,F3794)),Assumptions!$D$6,IF(ISNUMBER(SEARCH(Assumptions!$C$7,F3794)),Assumptions!$D$7,"Other Services"))),"Other Services"))</f>
        <v/>
      </c>
    </row>
    <row r="3795" customFormat="false" ht="15" hidden="false" customHeight="false" outlineLevel="0" collapsed="false">
      <c r="I3795" s="41" t="str">
        <f aca="false">IF(F3795="","",IFERROR(IF(ISNUMBER(SEARCH(Assumptions!$C$5,F3795)),Assumptions!$D$5,IF(ISNUMBER(SEARCH(Assumptions!$C$6,F3795)),Assumptions!$D$6,IF(ISNUMBER(SEARCH(Assumptions!$C$7,F3795)),Assumptions!$D$7,"Other Services"))),"Other Services"))</f>
        <v/>
      </c>
    </row>
    <row r="3796" customFormat="false" ht="15" hidden="false" customHeight="false" outlineLevel="0" collapsed="false">
      <c r="I3796" s="41" t="str">
        <f aca="false">IF(F3796="","",IFERROR(IF(ISNUMBER(SEARCH(Assumptions!$C$5,F3796)),Assumptions!$D$5,IF(ISNUMBER(SEARCH(Assumptions!$C$6,F3796)),Assumptions!$D$6,IF(ISNUMBER(SEARCH(Assumptions!$C$7,F3796)),Assumptions!$D$7,"Other Services"))),"Other Services"))</f>
        <v/>
      </c>
    </row>
    <row r="3797" customFormat="false" ht="15" hidden="false" customHeight="false" outlineLevel="0" collapsed="false">
      <c r="I3797" s="41" t="str">
        <f aca="false">IF(F3797="","",IFERROR(IF(ISNUMBER(SEARCH(Assumptions!$C$5,F3797)),Assumptions!$D$5,IF(ISNUMBER(SEARCH(Assumptions!$C$6,F3797)),Assumptions!$D$6,IF(ISNUMBER(SEARCH(Assumptions!$C$7,F3797)),Assumptions!$D$7,"Other Services"))),"Other Services"))</f>
        <v/>
      </c>
    </row>
    <row r="3798" customFormat="false" ht="15" hidden="false" customHeight="false" outlineLevel="0" collapsed="false">
      <c r="I3798" s="41" t="str">
        <f aca="false">IF(F3798="","",IFERROR(IF(ISNUMBER(SEARCH(Assumptions!$C$5,F3798)),Assumptions!$D$5,IF(ISNUMBER(SEARCH(Assumptions!$C$6,F3798)),Assumptions!$D$6,IF(ISNUMBER(SEARCH(Assumptions!$C$7,F3798)),Assumptions!$D$7,"Other Services"))),"Other Services"))</f>
        <v/>
      </c>
    </row>
    <row r="3799" customFormat="false" ht="15" hidden="false" customHeight="false" outlineLevel="0" collapsed="false">
      <c r="I3799" s="41" t="str">
        <f aca="false">IF(F3799="","",IFERROR(IF(ISNUMBER(SEARCH(Assumptions!$C$5,F3799)),Assumptions!$D$5,IF(ISNUMBER(SEARCH(Assumptions!$C$6,F3799)),Assumptions!$D$6,IF(ISNUMBER(SEARCH(Assumptions!$C$7,F3799)),Assumptions!$D$7,"Other Services"))),"Other Services"))</f>
        <v/>
      </c>
    </row>
    <row r="3800" customFormat="false" ht="15" hidden="false" customHeight="false" outlineLevel="0" collapsed="false">
      <c r="I3800" s="41" t="str">
        <f aca="false">IF(F3800="","",IFERROR(IF(ISNUMBER(SEARCH(Assumptions!$C$5,F3800)),Assumptions!$D$5,IF(ISNUMBER(SEARCH(Assumptions!$C$6,F3800)),Assumptions!$D$6,IF(ISNUMBER(SEARCH(Assumptions!$C$7,F3800)),Assumptions!$D$7,"Other Services"))),"Other Services"))</f>
        <v/>
      </c>
    </row>
    <row r="3801" customFormat="false" ht="15" hidden="false" customHeight="false" outlineLevel="0" collapsed="false">
      <c r="I3801" s="41" t="str">
        <f aca="false">IF(F3801="","",IFERROR(IF(ISNUMBER(SEARCH(Assumptions!$C$5,F3801)),Assumptions!$D$5,IF(ISNUMBER(SEARCH(Assumptions!$C$6,F3801)),Assumptions!$D$6,IF(ISNUMBER(SEARCH(Assumptions!$C$7,F3801)),Assumptions!$D$7,"Other Services"))),"Other Services"))</f>
        <v/>
      </c>
    </row>
    <row r="3802" customFormat="false" ht="15" hidden="false" customHeight="false" outlineLevel="0" collapsed="false">
      <c r="I3802" s="41" t="str">
        <f aca="false">IF(F3802="","",IFERROR(IF(ISNUMBER(SEARCH(Assumptions!$C$5,F3802)),Assumptions!$D$5,IF(ISNUMBER(SEARCH(Assumptions!$C$6,F3802)),Assumptions!$D$6,IF(ISNUMBER(SEARCH(Assumptions!$C$7,F3802)),Assumptions!$D$7,"Other Services"))),"Other Services"))</f>
        <v/>
      </c>
    </row>
    <row r="3803" customFormat="false" ht="15" hidden="false" customHeight="false" outlineLevel="0" collapsed="false">
      <c r="I3803" s="41" t="str">
        <f aca="false">IF(F3803="","",IFERROR(IF(ISNUMBER(SEARCH(Assumptions!$C$5,F3803)),Assumptions!$D$5,IF(ISNUMBER(SEARCH(Assumptions!$C$6,F3803)),Assumptions!$D$6,IF(ISNUMBER(SEARCH(Assumptions!$C$7,F3803)),Assumptions!$D$7,"Other Services"))),"Other Services"))</f>
        <v/>
      </c>
    </row>
    <row r="3804" customFormat="false" ht="15" hidden="false" customHeight="false" outlineLevel="0" collapsed="false">
      <c r="I3804" s="41" t="str">
        <f aca="false">IF(F3804="","",IFERROR(IF(ISNUMBER(SEARCH(Assumptions!$C$5,F3804)),Assumptions!$D$5,IF(ISNUMBER(SEARCH(Assumptions!$C$6,F3804)),Assumptions!$D$6,IF(ISNUMBER(SEARCH(Assumptions!$C$7,F3804)),Assumptions!$D$7,"Other Services"))),"Other Services"))</f>
        <v/>
      </c>
    </row>
    <row r="3805" customFormat="false" ht="15" hidden="false" customHeight="false" outlineLevel="0" collapsed="false">
      <c r="I3805" s="41" t="str">
        <f aca="false">IF(F3805="","",IFERROR(IF(ISNUMBER(SEARCH(Assumptions!$C$5,F3805)),Assumptions!$D$5,IF(ISNUMBER(SEARCH(Assumptions!$C$6,F3805)),Assumptions!$D$6,IF(ISNUMBER(SEARCH(Assumptions!$C$7,F3805)),Assumptions!$D$7,"Other Services"))),"Other Services"))</f>
        <v/>
      </c>
    </row>
    <row r="3806" customFormat="false" ht="15" hidden="false" customHeight="false" outlineLevel="0" collapsed="false">
      <c r="I3806" s="41" t="str">
        <f aca="false">IF(F3806="","",IFERROR(IF(ISNUMBER(SEARCH(Assumptions!$C$5,F3806)),Assumptions!$D$5,IF(ISNUMBER(SEARCH(Assumptions!$C$6,F3806)),Assumptions!$D$6,IF(ISNUMBER(SEARCH(Assumptions!$C$7,F3806)),Assumptions!$D$7,"Other Services"))),"Other Services"))</f>
        <v/>
      </c>
    </row>
    <row r="3807" customFormat="false" ht="15" hidden="false" customHeight="false" outlineLevel="0" collapsed="false">
      <c r="I3807" s="41" t="str">
        <f aca="false">IF(F3807="","",IFERROR(IF(ISNUMBER(SEARCH(Assumptions!$C$5,F3807)),Assumptions!$D$5,IF(ISNUMBER(SEARCH(Assumptions!$C$6,F3807)),Assumptions!$D$6,IF(ISNUMBER(SEARCH(Assumptions!$C$7,F3807)),Assumptions!$D$7,"Other Services"))),"Other Services"))</f>
        <v/>
      </c>
    </row>
    <row r="3808" customFormat="false" ht="15" hidden="false" customHeight="false" outlineLevel="0" collapsed="false">
      <c r="I3808" s="41" t="str">
        <f aca="false">IF(F3808="","",IFERROR(IF(ISNUMBER(SEARCH(Assumptions!$C$5,F3808)),Assumptions!$D$5,IF(ISNUMBER(SEARCH(Assumptions!$C$6,F3808)),Assumptions!$D$6,IF(ISNUMBER(SEARCH(Assumptions!$C$7,F3808)),Assumptions!$D$7,"Other Services"))),"Other Services"))</f>
        <v/>
      </c>
    </row>
    <row r="3809" customFormat="false" ht="15" hidden="false" customHeight="false" outlineLevel="0" collapsed="false">
      <c r="I3809" s="41" t="str">
        <f aca="false">IF(F3809="","",IFERROR(IF(ISNUMBER(SEARCH(Assumptions!$C$5,F3809)),Assumptions!$D$5,IF(ISNUMBER(SEARCH(Assumptions!$C$6,F3809)),Assumptions!$D$6,IF(ISNUMBER(SEARCH(Assumptions!$C$7,F3809)),Assumptions!$D$7,"Other Services"))),"Other Services"))</f>
        <v/>
      </c>
    </row>
    <row r="3810" customFormat="false" ht="15" hidden="false" customHeight="false" outlineLevel="0" collapsed="false">
      <c r="I3810" s="41" t="str">
        <f aca="false">IF(F3810="","",IFERROR(IF(ISNUMBER(SEARCH(Assumptions!$C$5,F3810)),Assumptions!$D$5,IF(ISNUMBER(SEARCH(Assumptions!$C$6,F3810)),Assumptions!$D$6,IF(ISNUMBER(SEARCH(Assumptions!$C$7,F3810)),Assumptions!$D$7,"Other Services"))),"Other Services"))</f>
        <v/>
      </c>
    </row>
    <row r="3811" customFormat="false" ht="15" hidden="false" customHeight="false" outlineLevel="0" collapsed="false">
      <c r="I3811" s="41" t="str">
        <f aca="false">IF(F3811="","",IFERROR(IF(ISNUMBER(SEARCH(Assumptions!$C$5,F3811)),Assumptions!$D$5,IF(ISNUMBER(SEARCH(Assumptions!$C$6,F3811)),Assumptions!$D$6,IF(ISNUMBER(SEARCH(Assumptions!$C$7,F3811)),Assumptions!$D$7,"Other Services"))),"Other Services"))</f>
        <v/>
      </c>
    </row>
    <row r="3812" customFormat="false" ht="15" hidden="false" customHeight="false" outlineLevel="0" collapsed="false">
      <c r="I3812" s="41" t="str">
        <f aca="false">IF(F3812="","",IFERROR(IF(ISNUMBER(SEARCH(Assumptions!$C$5,F3812)),Assumptions!$D$5,IF(ISNUMBER(SEARCH(Assumptions!$C$6,F3812)),Assumptions!$D$6,IF(ISNUMBER(SEARCH(Assumptions!$C$7,F3812)),Assumptions!$D$7,"Other Services"))),"Other Services"))</f>
        <v/>
      </c>
    </row>
    <row r="3813" customFormat="false" ht="15" hidden="false" customHeight="false" outlineLevel="0" collapsed="false">
      <c r="I3813" s="41" t="str">
        <f aca="false">IF(F3813="","",IFERROR(IF(ISNUMBER(SEARCH(Assumptions!$C$5,F3813)),Assumptions!$D$5,IF(ISNUMBER(SEARCH(Assumptions!$C$6,F3813)),Assumptions!$D$6,IF(ISNUMBER(SEARCH(Assumptions!$C$7,F3813)),Assumptions!$D$7,"Other Services"))),"Other Services"))</f>
        <v/>
      </c>
    </row>
    <row r="3814" customFormat="false" ht="15" hidden="false" customHeight="false" outlineLevel="0" collapsed="false">
      <c r="I3814" s="41" t="str">
        <f aca="false">IF(F3814="","",IFERROR(IF(ISNUMBER(SEARCH(Assumptions!$C$5,F3814)),Assumptions!$D$5,IF(ISNUMBER(SEARCH(Assumptions!$C$6,F3814)),Assumptions!$D$6,IF(ISNUMBER(SEARCH(Assumptions!$C$7,F3814)),Assumptions!$D$7,"Other Services"))),"Other Services"))</f>
        <v/>
      </c>
    </row>
    <row r="3815" customFormat="false" ht="15" hidden="false" customHeight="false" outlineLevel="0" collapsed="false">
      <c r="I3815" s="41" t="str">
        <f aca="false">IF(F3815="","",IFERROR(IF(ISNUMBER(SEARCH(Assumptions!$C$5,F3815)),Assumptions!$D$5,IF(ISNUMBER(SEARCH(Assumptions!$C$6,F3815)),Assumptions!$D$6,IF(ISNUMBER(SEARCH(Assumptions!$C$7,F3815)),Assumptions!$D$7,"Other Services"))),"Other Services"))</f>
        <v/>
      </c>
    </row>
    <row r="3816" customFormat="false" ht="15" hidden="false" customHeight="false" outlineLevel="0" collapsed="false">
      <c r="I3816" s="41" t="str">
        <f aca="false">IF(F3816="","",IFERROR(IF(ISNUMBER(SEARCH(Assumptions!$C$5,F3816)),Assumptions!$D$5,IF(ISNUMBER(SEARCH(Assumptions!$C$6,F3816)),Assumptions!$D$6,IF(ISNUMBER(SEARCH(Assumptions!$C$7,F3816)),Assumptions!$D$7,"Other Services"))),"Other Services"))</f>
        <v/>
      </c>
    </row>
    <row r="3817" customFormat="false" ht="15" hidden="false" customHeight="false" outlineLevel="0" collapsed="false">
      <c r="I3817" s="41" t="str">
        <f aca="false">IF(F3817="","",IFERROR(IF(ISNUMBER(SEARCH(Assumptions!$C$5,F3817)),Assumptions!$D$5,IF(ISNUMBER(SEARCH(Assumptions!$C$6,F3817)),Assumptions!$D$6,IF(ISNUMBER(SEARCH(Assumptions!$C$7,F3817)),Assumptions!$D$7,"Other Services"))),"Other Services"))</f>
        <v/>
      </c>
    </row>
    <row r="3818" customFormat="false" ht="15" hidden="false" customHeight="false" outlineLevel="0" collapsed="false">
      <c r="I3818" s="41" t="str">
        <f aca="false">IF(F3818="","",IFERROR(IF(ISNUMBER(SEARCH(Assumptions!$C$5,F3818)),Assumptions!$D$5,IF(ISNUMBER(SEARCH(Assumptions!$C$6,F3818)),Assumptions!$D$6,IF(ISNUMBER(SEARCH(Assumptions!$C$7,F3818)),Assumptions!$D$7,"Other Services"))),"Other Services"))</f>
        <v/>
      </c>
    </row>
    <row r="3819" customFormat="false" ht="15" hidden="false" customHeight="false" outlineLevel="0" collapsed="false">
      <c r="I3819" s="41" t="str">
        <f aca="false">IF(F3819="","",IFERROR(IF(ISNUMBER(SEARCH(Assumptions!$C$5,F3819)),Assumptions!$D$5,IF(ISNUMBER(SEARCH(Assumptions!$C$6,F3819)),Assumptions!$D$6,IF(ISNUMBER(SEARCH(Assumptions!$C$7,F3819)),Assumptions!$D$7,"Other Services"))),"Other Services"))</f>
        <v/>
      </c>
    </row>
    <row r="3820" customFormat="false" ht="15" hidden="false" customHeight="false" outlineLevel="0" collapsed="false">
      <c r="I3820" s="41" t="str">
        <f aca="false">IF(F3820="","",IFERROR(IF(ISNUMBER(SEARCH(Assumptions!$C$5,F3820)),Assumptions!$D$5,IF(ISNUMBER(SEARCH(Assumptions!$C$6,F3820)),Assumptions!$D$6,IF(ISNUMBER(SEARCH(Assumptions!$C$7,F3820)),Assumptions!$D$7,"Other Services"))),"Other Services"))</f>
        <v/>
      </c>
    </row>
    <row r="3821" customFormat="false" ht="15" hidden="false" customHeight="false" outlineLevel="0" collapsed="false">
      <c r="I3821" s="41" t="str">
        <f aca="false">IF(F3821="","",IFERROR(IF(ISNUMBER(SEARCH(Assumptions!$C$5,F3821)),Assumptions!$D$5,IF(ISNUMBER(SEARCH(Assumptions!$C$6,F3821)),Assumptions!$D$6,IF(ISNUMBER(SEARCH(Assumptions!$C$7,F3821)),Assumptions!$D$7,"Other Services"))),"Other Services"))</f>
        <v/>
      </c>
    </row>
    <row r="3822" customFormat="false" ht="15" hidden="false" customHeight="false" outlineLevel="0" collapsed="false">
      <c r="I3822" s="41" t="str">
        <f aca="false">IF(F3822="","",IFERROR(IF(ISNUMBER(SEARCH(Assumptions!$C$5,F3822)),Assumptions!$D$5,IF(ISNUMBER(SEARCH(Assumptions!$C$6,F3822)),Assumptions!$D$6,IF(ISNUMBER(SEARCH(Assumptions!$C$7,F3822)),Assumptions!$D$7,"Other Services"))),"Other Services"))</f>
        <v/>
      </c>
    </row>
    <row r="3823" customFormat="false" ht="15" hidden="false" customHeight="false" outlineLevel="0" collapsed="false">
      <c r="I3823" s="41" t="str">
        <f aca="false">IF(F3823="","",IFERROR(IF(ISNUMBER(SEARCH(Assumptions!$C$5,F3823)),Assumptions!$D$5,IF(ISNUMBER(SEARCH(Assumptions!$C$6,F3823)),Assumptions!$D$6,IF(ISNUMBER(SEARCH(Assumptions!$C$7,F3823)),Assumptions!$D$7,"Other Services"))),"Other Services"))</f>
        <v/>
      </c>
    </row>
    <row r="3824" customFormat="false" ht="15" hidden="false" customHeight="false" outlineLevel="0" collapsed="false">
      <c r="I3824" s="41" t="str">
        <f aca="false">IF(F3824="","",IFERROR(IF(ISNUMBER(SEARCH(Assumptions!$C$5,F3824)),Assumptions!$D$5,IF(ISNUMBER(SEARCH(Assumptions!$C$6,F3824)),Assumptions!$D$6,IF(ISNUMBER(SEARCH(Assumptions!$C$7,F3824)),Assumptions!$D$7,"Other Services"))),"Other Services"))</f>
        <v/>
      </c>
    </row>
    <row r="3825" customFormat="false" ht="15" hidden="false" customHeight="false" outlineLevel="0" collapsed="false">
      <c r="I3825" s="41" t="str">
        <f aca="false">IF(F3825="","",IFERROR(IF(ISNUMBER(SEARCH(Assumptions!$C$5,F3825)),Assumptions!$D$5,IF(ISNUMBER(SEARCH(Assumptions!$C$6,F3825)),Assumptions!$D$6,IF(ISNUMBER(SEARCH(Assumptions!$C$7,F3825)),Assumptions!$D$7,"Other Services"))),"Other Services"))</f>
        <v/>
      </c>
    </row>
    <row r="3826" customFormat="false" ht="15" hidden="false" customHeight="false" outlineLevel="0" collapsed="false">
      <c r="I3826" s="41" t="str">
        <f aca="false">IF(F3826="","",IFERROR(IF(ISNUMBER(SEARCH(Assumptions!$C$5,F3826)),Assumptions!$D$5,IF(ISNUMBER(SEARCH(Assumptions!$C$6,F3826)),Assumptions!$D$6,IF(ISNUMBER(SEARCH(Assumptions!$C$7,F3826)),Assumptions!$D$7,"Other Services"))),"Other Services"))</f>
        <v/>
      </c>
    </row>
    <row r="3827" customFormat="false" ht="15" hidden="false" customHeight="false" outlineLevel="0" collapsed="false">
      <c r="I3827" s="41" t="str">
        <f aca="false">IF(F3827="","",IFERROR(IF(ISNUMBER(SEARCH(Assumptions!$C$5,F3827)),Assumptions!$D$5,IF(ISNUMBER(SEARCH(Assumptions!$C$6,F3827)),Assumptions!$D$6,IF(ISNUMBER(SEARCH(Assumptions!$C$7,F3827)),Assumptions!$D$7,"Other Services"))),"Other Services"))</f>
        <v/>
      </c>
    </row>
    <row r="3828" customFormat="false" ht="15" hidden="false" customHeight="false" outlineLevel="0" collapsed="false">
      <c r="I3828" s="41" t="str">
        <f aca="false">IF(F3828="","",IFERROR(IF(ISNUMBER(SEARCH(Assumptions!$C$5,F3828)),Assumptions!$D$5,IF(ISNUMBER(SEARCH(Assumptions!$C$6,F3828)),Assumptions!$D$6,IF(ISNUMBER(SEARCH(Assumptions!$C$7,F3828)),Assumptions!$D$7,"Other Services"))),"Other Services"))</f>
        <v/>
      </c>
    </row>
    <row r="3829" customFormat="false" ht="15" hidden="false" customHeight="false" outlineLevel="0" collapsed="false">
      <c r="I3829" s="41" t="str">
        <f aca="false">IF(F3829="","",IFERROR(IF(ISNUMBER(SEARCH(Assumptions!$C$5,F3829)),Assumptions!$D$5,IF(ISNUMBER(SEARCH(Assumptions!$C$6,F3829)),Assumptions!$D$6,IF(ISNUMBER(SEARCH(Assumptions!$C$7,F3829)),Assumptions!$D$7,"Other Services"))),"Other Services"))</f>
        <v/>
      </c>
    </row>
    <row r="3830" customFormat="false" ht="15" hidden="false" customHeight="false" outlineLevel="0" collapsed="false">
      <c r="I3830" s="41" t="str">
        <f aca="false">IF(F3830="","",IFERROR(IF(ISNUMBER(SEARCH(Assumptions!$C$5,F3830)),Assumptions!$D$5,IF(ISNUMBER(SEARCH(Assumptions!$C$6,F3830)),Assumptions!$D$6,IF(ISNUMBER(SEARCH(Assumptions!$C$7,F3830)),Assumptions!$D$7,"Other Services"))),"Other Services"))</f>
        <v/>
      </c>
    </row>
    <row r="3831" customFormat="false" ht="15" hidden="false" customHeight="false" outlineLevel="0" collapsed="false">
      <c r="I3831" s="41" t="str">
        <f aca="false">IF(F3831="","",IFERROR(IF(ISNUMBER(SEARCH(Assumptions!$C$5,F3831)),Assumptions!$D$5,IF(ISNUMBER(SEARCH(Assumptions!$C$6,F3831)),Assumptions!$D$6,IF(ISNUMBER(SEARCH(Assumptions!$C$7,F3831)),Assumptions!$D$7,"Other Services"))),"Other Services"))</f>
        <v/>
      </c>
    </row>
    <row r="3832" customFormat="false" ht="15" hidden="false" customHeight="false" outlineLevel="0" collapsed="false">
      <c r="I3832" s="41" t="str">
        <f aca="false">IF(F3832="","",IFERROR(IF(ISNUMBER(SEARCH(Assumptions!$C$5,F3832)),Assumptions!$D$5,IF(ISNUMBER(SEARCH(Assumptions!$C$6,F3832)),Assumptions!$D$6,IF(ISNUMBER(SEARCH(Assumptions!$C$7,F3832)),Assumptions!$D$7,"Other Services"))),"Other Services"))</f>
        <v/>
      </c>
    </row>
    <row r="3833" customFormat="false" ht="15" hidden="false" customHeight="false" outlineLevel="0" collapsed="false">
      <c r="I3833" s="41" t="str">
        <f aca="false">IF(F3833="","",IFERROR(IF(ISNUMBER(SEARCH(Assumptions!$C$5,F3833)),Assumptions!$D$5,IF(ISNUMBER(SEARCH(Assumptions!$C$6,F3833)),Assumptions!$D$6,IF(ISNUMBER(SEARCH(Assumptions!$C$7,F3833)),Assumptions!$D$7,"Other Services"))),"Other Services"))</f>
        <v/>
      </c>
    </row>
    <row r="3834" customFormat="false" ht="15" hidden="false" customHeight="false" outlineLevel="0" collapsed="false">
      <c r="I3834" s="41" t="str">
        <f aca="false">IF(F3834="","",IFERROR(IF(ISNUMBER(SEARCH(Assumptions!$C$5,F3834)),Assumptions!$D$5,IF(ISNUMBER(SEARCH(Assumptions!$C$6,F3834)),Assumptions!$D$6,IF(ISNUMBER(SEARCH(Assumptions!$C$7,F3834)),Assumptions!$D$7,"Other Services"))),"Other Services"))</f>
        <v/>
      </c>
    </row>
    <row r="3835" customFormat="false" ht="15" hidden="false" customHeight="false" outlineLevel="0" collapsed="false">
      <c r="I3835" s="41" t="str">
        <f aca="false">IF(F3835="","",IFERROR(IF(ISNUMBER(SEARCH(Assumptions!$C$5,F3835)),Assumptions!$D$5,IF(ISNUMBER(SEARCH(Assumptions!$C$6,F3835)),Assumptions!$D$6,IF(ISNUMBER(SEARCH(Assumptions!$C$7,F3835)),Assumptions!$D$7,"Other Services"))),"Other Services"))</f>
        <v/>
      </c>
    </row>
    <row r="3836" customFormat="false" ht="15" hidden="false" customHeight="false" outlineLevel="0" collapsed="false">
      <c r="I3836" s="41" t="str">
        <f aca="false">IF(F3836="","",IFERROR(IF(ISNUMBER(SEARCH(Assumptions!$C$5,F3836)),Assumptions!$D$5,IF(ISNUMBER(SEARCH(Assumptions!$C$6,F3836)),Assumptions!$D$6,IF(ISNUMBER(SEARCH(Assumptions!$C$7,F3836)),Assumptions!$D$7,"Other Services"))),"Other Services"))</f>
        <v/>
      </c>
    </row>
    <row r="3837" customFormat="false" ht="15" hidden="false" customHeight="false" outlineLevel="0" collapsed="false">
      <c r="I3837" s="41" t="str">
        <f aca="false">IF(F3837="","",IFERROR(IF(ISNUMBER(SEARCH(Assumptions!$C$5,F3837)),Assumptions!$D$5,IF(ISNUMBER(SEARCH(Assumptions!$C$6,F3837)),Assumptions!$D$6,IF(ISNUMBER(SEARCH(Assumptions!$C$7,F3837)),Assumptions!$D$7,"Other Services"))),"Other Services"))</f>
        <v/>
      </c>
    </row>
    <row r="3838" customFormat="false" ht="15" hidden="false" customHeight="false" outlineLevel="0" collapsed="false">
      <c r="I3838" s="41" t="str">
        <f aca="false">IF(F3838="","",IFERROR(IF(ISNUMBER(SEARCH(Assumptions!$C$5,F3838)),Assumptions!$D$5,IF(ISNUMBER(SEARCH(Assumptions!$C$6,F3838)),Assumptions!$D$6,IF(ISNUMBER(SEARCH(Assumptions!$C$7,F3838)),Assumptions!$D$7,"Other Services"))),"Other Services"))</f>
        <v/>
      </c>
    </row>
    <row r="3839" customFormat="false" ht="15" hidden="false" customHeight="false" outlineLevel="0" collapsed="false">
      <c r="I3839" s="41" t="str">
        <f aca="false">IF(F3839="","",IFERROR(IF(ISNUMBER(SEARCH(Assumptions!$C$5,F3839)),Assumptions!$D$5,IF(ISNUMBER(SEARCH(Assumptions!$C$6,F3839)),Assumptions!$D$6,IF(ISNUMBER(SEARCH(Assumptions!$C$7,F3839)),Assumptions!$D$7,"Other Services"))),"Other Services"))</f>
        <v/>
      </c>
    </row>
    <row r="3840" customFormat="false" ht="15" hidden="false" customHeight="false" outlineLevel="0" collapsed="false">
      <c r="I3840" s="41" t="str">
        <f aca="false">IF(F3840="","",IFERROR(IF(ISNUMBER(SEARCH(Assumptions!$C$5,F3840)),Assumptions!$D$5,IF(ISNUMBER(SEARCH(Assumptions!$C$6,F3840)),Assumptions!$D$6,IF(ISNUMBER(SEARCH(Assumptions!$C$7,F3840)),Assumptions!$D$7,"Other Services"))),"Other Services"))</f>
        <v/>
      </c>
    </row>
    <row r="3841" customFormat="false" ht="15" hidden="false" customHeight="false" outlineLevel="0" collapsed="false">
      <c r="I3841" s="41" t="str">
        <f aca="false">IF(F3841="","",IFERROR(IF(ISNUMBER(SEARCH(Assumptions!$C$5,F3841)),Assumptions!$D$5,IF(ISNUMBER(SEARCH(Assumptions!$C$6,F3841)),Assumptions!$D$6,IF(ISNUMBER(SEARCH(Assumptions!$C$7,F3841)),Assumptions!$D$7,"Other Services"))),"Other Services"))</f>
        <v/>
      </c>
    </row>
    <row r="3842" customFormat="false" ht="15" hidden="false" customHeight="false" outlineLevel="0" collapsed="false">
      <c r="I3842" s="41" t="str">
        <f aca="false">IF(F3842="","",IFERROR(IF(ISNUMBER(SEARCH(Assumptions!$C$5,F3842)),Assumptions!$D$5,IF(ISNUMBER(SEARCH(Assumptions!$C$6,F3842)),Assumptions!$D$6,IF(ISNUMBER(SEARCH(Assumptions!$C$7,F3842)),Assumptions!$D$7,"Other Services"))),"Other Services"))</f>
        <v/>
      </c>
    </row>
    <row r="3843" customFormat="false" ht="15" hidden="false" customHeight="false" outlineLevel="0" collapsed="false">
      <c r="I3843" s="41" t="str">
        <f aca="false">IF(F3843="","",IFERROR(IF(ISNUMBER(SEARCH(Assumptions!$C$5,F3843)),Assumptions!$D$5,IF(ISNUMBER(SEARCH(Assumptions!$C$6,F3843)),Assumptions!$D$6,IF(ISNUMBER(SEARCH(Assumptions!$C$7,F3843)),Assumptions!$D$7,"Other Services"))),"Other Services"))</f>
        <v/>
      </c>
    </row>
    <row r="3844" customFormat="false" ht="15" hidden="false" customHeight="false" outlineLevel="0" collapsed="false">
      <c r="I3844" s="41" t="str">
        <f aca="false">IF(F3844="","",IFERROR(IF(ISNUMBER(SEARCH(Assumptions!$C$5,F3844)),Assumptions!$D$5,IF(ISNUMBER(SEARCH(Assumptions!$C$6,F3844)),Assumptions!$D$6,IF(ISNUMBER(SEARCH(Assumptions!$C$7,F3844)),Assumptions!$D$7,"Other Services"))),"Other Services"))</f>
        <v/>
      </c>
    </row>
    <row r="3845" customFormat="false" ht="15" hidden="false" customHeight="false" outlineLevel="0" collapsed="false">
      <c r="I3845" s="41" t="str">
        <f aca="false">IF(F3845="","",IFERROR(IF(ISNUMBER(SEARCH(Assumptions!$C$5,F3845)),Assumptions!$D$5,IF(ISNUMBER(SEARCH(Assumptions!$C$6,F3845)),Assumptions!$D$6,IF(ISNUMBER(SEARCH(Assumptions!$C$7,F3845)),Assumptions!$D$7,"Other Services"))),"Other Services"))</f>
        <v/>
      </c>
    </row>
    <row r="3846" customFormat="false" ht="15" hidden="false" customHeight="false" outlineLevel="0" collapsed="false">
      <c r="I3846" s="41" t="str">
        <f aca="false">IF(F3846="","",IFERROR(IF(ISNUMBER(SEARCH(Assumptions!$C$5,F3846)),Assumptions!$D$5,IF(ISNUMBER(SEARCH(Assumptions!$C$6,F3846)),Assumptions!$D$6,IF(ISNUMBER(SEARCH(Assumptions!$C$7,F3846)),Assumptions!$D$7,"Other Services"))),"Other Services"))</f>
        <v/>
      </c>
    </row>
    <row r="3847" customFormat="false" ht="15" hidden="false" customHeight="false" outlineLevel="0" collapsed="false">
      <c r="I3847" s="41" t="str">
        <f aca="false">IF(F3847="","",IFERROR(IF(ISNUMBER(SEARCH(Assumptions!$C$5,F3847)),Assumptions!$D$5,IF(ISNUMBER(SEARCH(Assumptions!$C$6,F3847)),Assumptions!$D$6,IF(ISNUMBER(SEARCH(Assumptions!$C$7,F3847)),Assumptions!$D$7,"Other Services"))),"Other Services"))</f>
        <v/>
      </c>
    </row>
    <row r="3848" customFormat="false" ht="15" hidden="false" customHeight="false" outlineLevel="0" collapsed="false">
      <c r="I3848" s="41" t="str">
        <f aca="false">IF(F3848="","",IFERROR(IF(ISNUMBER(SEARCH(Assumptions!$C$5,F3848)),Assumptions!$D$5,IF(ISNUMBER(SEARCH(Assumptions!$C$6,F3848)),Assumptions!$D$6,IF(ISNUMBER(SEARCH(Assumptions!$C$7,F3848)),Assumptions!$D$7,"Other Services"))),"Other Services"))</f>
        <v/>
      </c>
    </row>
    <row r="3849" customFormat="false" ht="15" hidden="false" customHeight="false" outlineLevel="0" collapsed="false">
      <c r="I3849" s="41" t="str">
        <f aca="false">IF(F3849="","",IFERROR(IF(ISNUMBER(SEARCH(Assumptions!$C$5,F3849)),Assumptions!$D$5,IF(ISNUMBER(SEARCH(Assumptions!$C$6,F3849)),Assumptions!$D$6,IF(ISNUMBER(SEARCH(Assumptions!$C$7,F3849)),Assumptions!$D$7,"Other Services"))),"Other Services"))</f>
        <v/>
      </c>
    </row>
    <row r="3850" customFormat="false" ht="15" hidden="false" customHeight="false" outlineLevel="0" collapsed="false">
      <c r="I3850" s="41" t="str">
        <f aca="false">IF(F3850="","",IFERROR(IF(ISNUMBER(SEARCH(Assumptions!$C$5,F3850)),Assumptions!$D$5,IF(ISNUMBER(SEARCH(Assumptions!$C$6,F3850)),Assumptions!$D$6,IF(ISNUMBER(SEARCH(Assumptions!$C$7,F3850)),Assumptions!$D$7,"Other Services"))),"Other Services"))</f>
        <v/>
      </c>
    </row>
    <row r="3851" customFormat="false" ht="15" hidden="false" customHeight="false" outlineLevel="0" collapsed="false">
      <c r="I3851" s="41" t="str">
        <f aca="false">IF(F3851="","",IFERROR(IF(ISNUMBER(SEARCH(Assumptions!$C$5,F3851)),Assumptions!$D$5,IF(ISNUMBER(SEARCH(Assumptions!$C$6,F3851)),Assumptions!$D$6,IF(ISNUMBER(SEARCH(Assumptions!$C$7,F3851)),Assumptions!$D$7,"Other Services"))),"Other Services"))</f>
        <v/>
      </c>
    </row>
    <row r="3852" customFormat="false" ht="15" hidden="false" customHeight="false" outlineLevel="0" collapsed="false">
      <c r="I3852" s="41" t="str">
        <f aca="false">IF(F3852="","",IFERROR(IF(ISNUMBER(SEARCH(Assumptions!$C$5,F3852)),Assumptions!$D$5,IF(ISNUMBER(SEARCH(Assumptions!$C$6,F3852)),Assumptions!$D$6,IF(ISNUMBER(SEARCH(Assumptions!$C$7,F3852)),Assumptions!$D$7,"Other Services"))),"Other Services"))</f>
        <v/>
      </c>
    </row>
    <row r="3853" customFormat="false" ht="15" hidden="false" customHeight="false" outlineLevel="0" collapsed="false">
      <c r="I3853" s="41" t="str">
        <f aca="false">IF(F3853="","",IFERROR(IF(ISNUMBER(SEARCH(Assumptions!$C$5,F3853)),Assumptions!$D$5,IF(ISNUMBER(SEARCH(Assumptions!$C$6,F3853)),Assumptions!$D$6,IF(ISNUMBER(SEARCH(Assumptions!$C$7,F3853)),Assumptions!$D$7,"Other Services"))),"Other Services"))</f>
        <v/>
      </c>
    </row>
    <row r="3854" customFormat="false" ht="15" hidden="false" customHeight="false" outlineLevel="0" collapsed="false">
      <c r="I3854" s="41" t="str">
        <f aca="false">IF(F3854="","",IFERROR(IF(ISNUMBER(SEARCH(Assumptions!$C$5,F3854)),Assumptions!$D$5,IF(ISNUMBER(SEARCH(Assumptions!$C$6,F3854)),Assumptions!$D$6,IF(ISNUMBER(SEARCH(Assumptions!$C$7,F3854)),Assumptions!$D$7,"Other Services"))),"Other Services"))</f>
        <v/>
      </c>
    </row>
    <row r="3855" customFormat="false" ht="15" hidden="false" customHeight="false" outlineLevel="0" collapsed="false">
      <c r="I3855" s="41" t="str">
        <f aca="false">IF(F3855="","",IFERROR(IF(ISNUMBER(SEARCH(Assumptions!$C$5,F3855)),Assumptions!$D$5,IF(ISNUMBER(SEARCH(Assumptions!$C$6,F3855)),Assumptions!$D$6,IF(ISNUMBER(SEARCH(Assumptions!$C$7,F3855)),Assumptions!$D$7,"Other Services"))),"Other Services"))</f>
        <v/>
      </c>
    </row>
    <row r="3856" customFormat="false" ht="15" hidden="false" customHeight="false" outlineLevel="0" collapsed="false">
      <c r="I3856" s="41" t="str">
        <f aca="false">IF(F3856="","",IFERROR(IF(ISNUMBER(SEARCH(Assumptions!$C$5,F3856)),Assumptions!$D$5,IF(ISNUMBER(SEARCH(Assumptions!$C$6,F3856)),Assumptions!$D$6,IF(ISNUMBER(SEARCH(Assumptions!$C$7,F3856)),Assumptions!$D$7,"Other Services"))),"Other Services"))</f>
        <v/>
      </c>
    </row>
    <row r="3857" customFormat="false" ht="15" hidden="false" customHeight="false" outlineLevel="0" collapsed="false">
      <c r="I3857" s="41" t="str">
        <f aca="false">IF(F3857="","",IFERROR(IF(ISNUMBER(SEARCH(Assumptions!$C$5,F3857)),Assumptions!$D$5,IF(ISNUMBER(SEARCH(Assumptions!$C$6,F3857)),Assumptions!$D$6,IF(ISNUMBER(SEARCH(Assumptions!$C$7,F3857)),Assumptions!$D$7,"Other Services"))),"Other Services"))</f>
        <v/>
      </c>
    </row>
    <row r="3858" customFormat="false" ht="15" hidden="false" customHeight="false" outlineLevel="0" collapsed="false">
      <c r="I3858" s="41" t="str">
        <f aca="false">IF(F3858="","",IFERROR(IF(ISNUMBER(SEARCH(Assumptions!$C$5,F3858)),Assumptions!$D$5,IF(ISNUMBER(SEARCH(Assumptions!$C$6,F3858)),Assumptions!$D$6,IF(ISNUMBER(SEARCH(Assumptions!$C$7,F3858)),Assumptions!$D$7,"Other Services"))),"Other Services"))</f>
        <v/>
      </c>
    </row>
    <row r="3859" customFormat="false" ht="15" hidden="false" customHeight="false" outlineLevel="0" collapsed="false">
      <c r="I3859" s="41" t="str">
        <f aca="false">IF(F3859="","",IFERROR(IF(ISNUMBER(SEARCH(Assumptions!$C$5,F3859)),Assumptions!$D$5,IF(ISNUMBER(SEARCH(Assumptions!$C$6,F3859)),Assumptions!$D$6,IF(ISNUMBER(SEARCH(Assumptions!$C$7,F3859)),Assumptions!$D$7,"Other Services"))),"Other Services"))</f>
        <v/>
      </c>
    </row>
    <row r="3860" customFormat="false" ht="15" hidden="false" customHeight="false" outlineLevel="0" collapsed="false">
      <c r="I3860" s="41" t="str">
        <f aca="false">IF(F3860="","",IFERROR(IF(ISNUMBER(SEARCH(Assumptions!$C$5,F3860)),Assumptions!$D$5,IF(ISNUMBER(SEARCH(Assumptions!$C$6,F3860)),Assumptions!$D$6,IF(ISNUMBER(SEARCH(Assumptions!$C$7,F3860)),Assumptions!$D$7,"Other Services"))),"Other Services"))</f>
        <v/>
      </c>
    </row>
    <row r="3861" customFormat="false" ht="15" hidden="false" customHeight="false" outlineLevel="0" collapsed="false">
      <c r="I3861" s="41" t="str">
        <f aca="false">IF(F3861="","",IFERROR(IF(ISNUMBER(SEARCH(Assumptions!$C$5,F3861)),Assumptions!$D$5,IF(ISNUMBER(SEARCH(Assumptions!$C$6,F3861)),Assumptions!$D$6,IF(ISNUMBER(SEARCH(Assumptions!$C$7,F3861)),Assumptions!$D$7,"Other Services"))),"Other Services"))</f>
        <v/>
      </c>
    </row>
    <row r="3862" customFormat="false" ht="15" hidden="false" customHeight="false" outlineLevel="0" collapsed="false">
      <c r="I3862" s="41" t="str">
        <f aca="false">IF(F3862="","",IFERROR(IF(ISNUMBER(SEARCH(Assumptions!$C$5,F3862)),Assumptions!$D$5,IF(ISNUMBER(SEARCH(Assumptions!$C$6,F3862)),Assumptions!$D$6,IF(ISNUMBER(SEARCH(Assumptions!$C$7,F3862)),Assumptions!$D$7,"Other Services"))),"Other Services"))</f>
        <v/>
      </c>
    </row>
    <row r="3863" customFormat="false" ht="15" hidden="false" customHeight="false" outlineLevel="0" collapsed="false">
      <c r="I3863" s="41" t="str">
        <f aca="false">IF(F3863="","",IFERROR(IF(ISNUMBER(SEARCH(Assumptions!$C$5,F3863)),Assumptions!$D$5,IF(ISNUMBER(SEARCH(Assumptions!$C$6,F3863)),Assumptions!$D$6,IF(ISNUMBER(SEARCH(Assumptions!$C$7,F3863)),Assumptions!$D$7,"Other Services"))),"Other Services"))</f>
        <v/>
      </c>
    </row>
    <row r="3864" customFormat="false" ht="15" hidden="false" customHeight="false" outlineLevel="0" collapsed="false">
      <c r="I3864" s="41" t="str">
        <f aca="false">IF(F3864="","",IFERROR(IF(ISNUMBER(SEARCH(Assumptions!$C$5,F3864)),Assumptions!$D$5,IF(ISNUMBER(SEARCH(Assumptions!$C$6,F3864)),Assumptions!$D$6,IF(ISNUMBER(SEARCH(Assumptions!$C$7,F3864)),Assumptions!$D$7,"Other Services"))),"Other Services"))</f>
        <v/>
      </c>
    </row>
    <row r="3865" customFormat="false" ht="15" hidden="false" customHeight="false" outlineLevel="0" collapsed="false">
      <c r="I3865" s="41" t="str">
        <f aca="false">IF(F3865="","",IFERROR(IF(ISNUMBER(SEARCH(Assumptions!$C$5,F3865)),Assumptions!$D$5,IF(ISNUMBER(SEARCH(Assumptions!$C$6,F3865)),Assumptions!$D$6,IF(ISNUMBER(SEARCH(Assumptions!$C$7,F3865)),Assumptions!$D$7,"Other Services"))),"Other Services"))</f>
        <v/>
      </c>
    </row>
    <row r="3866" customFormat="false" ht="15" hidden="false" customHeight="false" outlineLevel="0" collapsed="false">
      <c r="I3866" s="41" t="str">
        <f aca="false">IF(F3866="","",IFERROR(IF(ISNUMBER(SEARCH(Assumptions!$C$5,F3866)),Assumptions!$D$5,IF(ISNUMBER(SEARCH(Assumptions!$C$6,F3866)),Assumptions!$D$6,IF(ISNUMBER(SEARCH(Assumptions!$C$7,F3866)),Assumptions!$D$7,"Other Services"))),"Other Services"))</f>
        <v/>
      </c>
    </row>
    <row r="3867" customFormat="false" ht="15" hidden="false" customHeight="false" outlineLevel="0" collapsed="false">
      <c r="I3867" s="41" t="str">
        <f aca="false">IF(F3867="","",IFERROR(IF(ISNUMBER(SEARCH(Assumptions!$C$5,F3867)),Assumptions!$D$5,IF(ISNUMBER(SEARCH(Assumptions!$C$6,F3867)),Assumptions!$D$6,IF(ISNUMBER(SEARCH(Assumptions!$C$7,F3867)),Assumptions!$D$7,"Other Services"))),"Other Services"))</f>
        <v/>
      </c>
    </row>
    <row r="3868" customFormat="false" ht="15" hidden="false" customHeight="false" outlineLevel="0" collapsed="false">
      <c r="I3868" s="41" t="str">
        <f aca="false">IF(F3868="","",IFERROR(IF(ISNUMBER(SEARCH(Assumptions!$C$5,F3868)),Assumptions!$D$5,IF(ISNUMBER(SEARCH(Assumptions!$C$6,F3868)),Assumptions!$D$6,IF(ISNUMBER(SEARCH(Assumptions!$C$7,F3868)),Assumptions!$D$7,"Other Services"))),"Other Services"))</f>
        <v/>
      </c>
    </row>
    <row r="3869" customFormat="false" ht="15" hidden="false" customHeight="false" outlineLevel="0" collapsed="false">
      <c r="I3869" s="41" t="str">
        <f aca="false">IF(F3869="","",IFERROR(IF(ISNUMBER(SEARCH(Assumptions!$C$5,F3869)),Assumptions!$D$5,IF(ISNUMBER(SEARCH(Assumptions!$C$6,F3869)),Assumptions!$D$6,IF(ISNUMBER(SEARCH(Assumptions!$C$7,F3869)),Assumptions!$D$7,"Other Services"))),"Other Services"))</f>
        <v/>
      </c>
    </row>
    <row r="3870" customFormat="false" ht="15" hidden="false" customHeight="false" outlineLevel="0" collapsed="false">
      <c r="I3870" s="41" t="str">
        <f aca="false">IF(F3870="","",IFERROR(IF(ISNUMBER(SEARCH(Assumptions!$C$5,F3870)),Assumptions!$D$5,IF(ISNUMBER(SEARCH(Assumptions!$C$6,F3870)),Assumptions!$D$6,IF(ISNUMBER(SEARCH(Assumptions!$C$7,F3870)),Assumptions!$D$7,"Other Services"))),"Other Services"))</f>
        <v/>
      </c>
    </row>
    <row r="3871" customFormat="false" ht="15" hidden="false" customHeight="false" outlineLevel="0" collapsed="false">
      <c r="I3871" s="41" t="str">
        <f aca="false">IF(F3871="","",IFERROR(IF(ISNUMBER(SEARCH(Assumptions!$C$5,F3871)),Assumptions!$D$5,IF(ISNUMBER(SEARCH(Assumptions!$C$6,F3871)),Assumptions!$D$6,IF(ISNUMBER(SEARCH(Assumptions!$C$7,F3871)),Assumptions!$D$7,"Other Services"))),"Other Services"))</f>
        <v/>
      </c>
    </row>
    <row r="3872" customFormat="false" ht="15" hidden="false" customHeight="false" outlineLevel="0" collapsed="false">
      <c r="I3872" s="41" t="str">
        <f aca="false">IF(F3872="","",IFERROR(IF(ISNUMBER(SEARCH(Assumptions!$C$5,F3872)),Assumptions!$D$5,IF(ISNUMBER(SEARCH(Assumptions!$C$6,F3872)),Assumptions!$D$6,IF(ISNUMBER(SEARCH(Assumptions!$C$7,F3872)),Assumptions!$D$7,"Other Services"))),"Other Services"))</f>
        <v/>
      </c>
    </row>
    <row r="3873" customFormat="false" ht="15" hidden="false" customHeight="false" outlineLevel="0" collapsed="false">
      <c r="I3873" s="41" t="str">
        <f aca="false">IF(F3873="","",IFERROR(IF(ISNUMBER(SEARCH(Assumptions!$C$5,F3873)),Assumptions!$D$5,IF(ISNUMBER(SEARCH(Assumptions!$C$6,F3873)),Assumptions!$D$6,IF(ISNUMBER(SEARCH(Assumptions!$C$7,F3873)),Assumptions!$D$7,"Other Services"))),"Other Services"))</f>
        <v/>
      </c>
    </row>
    <row r="3874" customFormat="false" ht="15" hidden="false" customHeight="false" outlineLevel="0" collapsed="false">
      <c r="I3874" s="41" t="str">
        <f aca="false">IF(F3874="","",IFERROR(IF(ISNUMBER(SEARCH(Assumptions!$C$5,F3874)),Assumptions!$D$5,IF(ISNUMBER(SEARCH(Assumptions!$C$6,F3874)),Assumptions!$D$6,IF(ISNUMBER(SEARCH(Assumptions!$C$7,F3874)),Assumptions!$D$7,"Other Services"))),"Other Services"))</f>
        <v/>
      </c>
    </row>
    <row r="3875" customFormat="false" ht="15" hidden="false" customHeight="false" outlineLevel="0" collapsed="false">
      <c r="I3875" s="41" t="str">
        <f aca="false">IF(F3875="","",IFERROR(IF(ISNUMBER(SEARCH(Assumptions!$C$5,F3875)),Assumptions!$D$5,IF(ISNUMBER(SEARCH(Assumptions!$C$6,F3875)),Assumptions!$D$6,IF(ISNUMBER(SEARCH(Assumptions!$C$7,F3875)),Assumptions!$D$7,"Other Services"))),"Other Services"))</f>
        <v/>
      </c>
    </row>
    <row r="3876" customFormat="false" ht="15" hidden="false" customHeight="false" outlineLevel="0" collapsed="false">
      <c r="I3876" s="41" t="str">
        <f aca="false">IF(F3876="","",IFERROR(IF(ISNUMBER(SEARCH(Assumptions!$C$5,F3876)),Assumptions!$D$5,IF(ISNUMBER(SEARCH(Assumptions!$C$6,F3876)),Assumptions!$D$6,IF(ISNUMBER(SEARCH(Assumptions!$C$7,F3876)),Assumptions!$D$7,"Other Services"))),"Other Services"))</f>
        <v/>
      </c>
    </row>
    <row r="3877" customFormat="false" ht="15" hidden="false" customHeight="false" outlineLevel="0" collapsed="false">
      <c r="I3877" s="41" t="str">
        <f aca="false">IF(F3877="","",IFERROR(IF(ISNUMBER(SEARCH(Assumptions!$C$5,F3877)),Assumptions!$D$5,IF(ISNUMBER(SEARCH(Assumptions!$C$6,F3877)),Assumptions!$D$6,IF(ISNUMBER(SEARCH(Assumptions!$C$7,F3877)),Assumptions!$D$7,"Other Services"))),"Other Services"))</f>
        <v/>
      </c>
    </row>
    <row r="3878" customFormat="false" ht="15" hidden="false" customHeight="false" outlineLevel="0" collapsed="false">
      <c r="I3878" s="41" t="str">
        <f aca="false">IF(F3878="","",IFERROR(IF(ISNUMBER(SEARCH(Assumptions!$C$5,F3878)),Assumptions!$D$5,IF(ISNUMBER(SEARCH(Assumptions!$C$6,F3878)),Assumptions!$D$6,IF(ISNUMBER(SEARCH(Assumptions!$C$7,F3878)),Assumptions!$D$7,"Other Services"))),"Other Services"))</f>
        <v/>
      </c>
    </row>
    <row r="3879" customFormat="false" ht="15" hidden="false" customHeight="false" outlineLevel="0" collapsed="false">
      <c r="I3879" s="41" t="str">
        <f aca="false">IF(F3879="","",IFERROR(IF(ISNUMBER(SEARCH(Assumptions!$C$5,F3879)),Assumptions!$D$5,IF(ISNUMBER(SEARCH(Assumptions!$C$6,F3879)),Assumptions!$D$6,IF(ISNUMBER(SEARCH(Assumptions!$C$7,F3879)),Assumptions!$D$7,"Other Services"))),"Other Services"))</f>
        <v/>
      </c>
    </row>
    <row r="3880" customFormat="false" ht="15" hidden="false" customHeight="false" outlineLevel="0" collapsed="false">
      <c r="I3880" s="41" t="str">
        <f aca="false">IF(F3880="","",IFERROR(IF(ISNUMBER(SEARCH(Assumptions!$C$5,F3880)),Assumptions!$D$5,IF(ISNUMBER(SEARCH(Assumptions!$C$6,F3880)),Assumptions!$D$6,IF(ISNUMBER(SEARCH(Assumptions!$C$7,F3880)),Assumptions!$D$7,"Other Services"))),"Other Services"))</f>
        <v/>
      </c>
    </row>
    <row r="3881" customFormat="false" ht="15" hidden="false" customHeight="false" outlineLevel="0" collapsed="false">
      <c r="I3881" s="41" t="str">
        <f aca="false">IF(F3881="","",IFERROR(IF(ISNUMBER(SEARCH(Assumptions!$C$5,F3881)),Assumptions!$D$5,IF(ISNUMBER(SEARCH(Assumptions!$C$6,F3881)),Assumptions!$D$6,IF(ISNUMBER(SEARCH(Assumptions!$C$7,F3881)),Assumptions!$D$7,"Other Services"))),"Other Services"))</f>
        <v/>
      </c>
    </row>
    <row r="3882" customFormat="false" ht="15" hidden="false" customHeight="false" outlineLevel="0" collapsed="false">
      <c r="I3882" s="41" t="str">
        <f aca="false">IF(F3882="","",IFERROR(IF(ISNUMBER(SEARCH(Assumptions!$C$5,F3882)),Assumptions!$D$5,IF(ISNUMBER(SEARCH(Assumptions!$C$6,F3882)),Assumptions!$D$6,IF(ISNUMBER(SEARCH(Assumptions!$C$7,F3882)),Assumptions!$D$7,"Other Services"))),"Other Services"))</f>
        <v/>
      </c>
    </row>
    <row r="3883" customFormat="false" ht="15" hidden="false" customHeight="false" outlineLevel="0" collapsed="false">
      <c r="I3883" s="41" t="str">
        <f aca="false">IF(F3883="","",IFERROR(IF(ISNUMBER(SEARCH(Assumptions!$C$5,F3883)),Assumptions!$D$5,IF(ISNUMBER(SEARCH(Assumptions!$C$6,F3883)),Assumptions!$D$6,IF(ISNUMBER(SEARCH(Assumptions!$C$7,F3883)),Assumptions!$D$7,"Other Services"))),"Other Services"))</f>
        <v/>
      </c>
    </row>
    <row r="3884" customFormat="false" ht="15" hidden="false" customHeight="false" outlineLevel="0" collapsed="false">
      <c r="I3884" s="41" t="str">
        <f aca="false">IF(F3884="","",IFERROR(IF(ISNUMBER(SEARCH(Assumptions!$C$5,F3884)),Assumptions!$D$5,IF(ISNUMBER(SEARCH(Assumptions!$C$6,F3884)),Assumptions!$D$6,IF(ISNUMBER(SEARCH(Assumptions!$C$7,F3884)),Assumptions!$D$7,"Other Services"))),"Other Services"))</f>
        <v/>
      </c>
    </row>
    <row r="3885" customFormat="false" ht="15" hidden="false" customHeight="false" outlineLevel="0" collapsed="false">
      <c r="I3885" s="41" t="str">
        <f aca="false">IF(F3885="","",IFERROR(IF(ISNUMBER(SEARCH(Assumptions!$C$5,F3885)),Assumptions!$D$5,IF(ISNUMBER(SEARCH(Assumptions!$C$6,F3885)),Assumptions!$D$6,IF(ISNUMBER(SEARCH(Assumptions!$C$7,F3885)),Assumptions!$D$7,"Other Services"))),"Other Services"))</f>
        <v/>
      </c>
    </row>
    <row r="3886" customFormat="false" ht="15" hidden="false" customHeight="false" outlineLevel="0" collapsed="false">
      <c r="I3886" s="41" t="str">
        <f aca="false">IF(F3886="","",IFERROR(IF(ISNUMBER(SEARCH(Assumptions!$C$5,F3886)),Assumptions!$D$5,IF(ISNUMBER(SEARCH(Assumptions!$C$6,F3886)),Assumptions!$D$6,IF(ISNUMBER(SEARCH(Assumptions!$C$7,F3886)),Assumptions!$D$7,"Other Services"))),"Other Services"))</f>
        <v/>
      </c>
    </row>
    <row r="3887" customFormat="false" ht="15" hidden="false" customHeight="false" outlineLevel="0" collapsed="false">
      <c r="I3887" s="41" t="str">
        <f aca="false">IF(F3887="","",IFERROR(IF(ISNUMBER(SEARCH(Assumptions!$C$5,F3887)),Assumptions!$D$5,IF(ISNUMBER(SEARCH(Assumptions!$C$6,F3887)),Assumptions!$D$6,IF(ISNUMBER(SEARCH(Assumptions!$C$7,F3887)),Assumptions!$D$7,"Other Services"))),"Other Services"))</f>
        <v/>
      </c>
    </row>
    <row r="3888" customFormat="false" ht="15" hidden="false" customHeight="false" outlineLevel="0" collapsed="false">
      <c r="I3888" s="41" t="str">
        <f aca="false">IF(F3888="","",IFERROR(IF(ISNUMBER(SEARCH(Assumptions!$C$5,F3888)),Assumptions!$D$5,IF(ISNUMBER(SEARCH(Assumptions!$C$6,F3888)),Assumptions!$D$6,IF(ISNUMBER(SEARCH(Assumptions!$C$7,F3888)),Assumptions!$D$7,"Other Services"))),"Other Services"))</f>
        <v/>
      </c>
    </row>
    <row r="3889" customFormat="false" ht="15" hidden="false" customHeight="false" outlineLevel="0" collapsed="false">
      <c r="I3889" s="41" t="str">
        <f aca="false">IF(F3889="","",IFERROR(IF(ISNUMBER(SEARCH(Assumptions!$C$5,F3889)),Assumptions!$D$5,IF(ISNUMBER(SEARCH(Assumptions!$C$6,F3889)),Assumptions!$D$6,IF(ISNUMBER(SEARCH(Assumptions!$C$7,F3889)),Assumptions!$D$7,"Other Services"))),"Other Services"))</f>
        <v/>
      </c>
    </row>
    <row r="3890" customFormat="false" ht="15" hidden="false" customHeight="false" outlineLevel="0" collapsed="false">
      <c r="I3890" s="41" t="str">
        <f aca="false">IF(F3890="","",IFERROR(IF(ISNUMBER(SEARCH(Assumptions!$C$5,F3890)),Assumptions!$D$5,IF(ISNUMBER(SEARCH(Assumptions!$C$6,F3890)),Assumptions!$D$6,IF(ISNUMBER(SEARCH(Assumptions!$C$7,F3890)),Assumptions!$D$7,"Other Services"))),"Other Services"))</f>
        <v/>
      </c>
    </row>
    <row r="3891" customFormat="false" ht="15" hidden="false" customHeight="false" outlineLevel="0" collapsed="false">
      <c r="I3891" s="41" t="str">
        <f aca="false">IF(F3891="","",IFERROR(IF(ISNUMBER(SEARCH(Assumptions!$C$5,F3891)),Assumptions!$D$5,IF(ISNUMBER(SEARCH(Assumptions!$C$6,F3891)),Assumptions!$D$6,IF(ISNUMBER(SEARCH(Assumptions!$C$7,F3891)),Assumptions!$D$7,"Other Services"))),"Other Services"))</f>
        <v/>
      </c>
    </row>
    <row r="3892" customFormat="false" ht="15" hidden="false" customHeight="false" outlineLevel="0" collapsed="false">
      <c r="I3892" s="41" t="str">
        <f aca="false">IF(F3892="","",IFERROR(IF(ISNUMBER(SEARCH(Assumptions!$C$5,F3892)),Assumptions!$D$5,IF(ISNUMBER(SEARCH(Assumptions!$C$6,F3892)),Assumptions!$D$6,IF(ISNUMBER(SEARCH(Assumptions!$C$7,F3892)),Assumptions!$D$7,"Other Services"))),"Other Services"))</f>
        <v/>
      </c>
    </row>
    <row r="3893" customFormat="false" ht="15" hidden="false" customHeight="false" outlineLevel="0" collapsed="false">
      <c r="I3893" s="41" t="str">
        <f aca="false">IF(F3893="","",IFERROR(IF(ISNUMBER(SEARCH(Assumptions!$C$5,F3893)),Assumptions!$D$5,IF(ISNUMBER(SEARCH(Assumptions!$C$6,F3893)),Assumptions!$D$6,IF(ISNUMBER(SEARCH(Assumptions!$C$7,F3893)),Assumptions!$D$7,"Other Services"))),"Other Services"))</f>
        <v/>
      </c>
    </row>
    <row r="3894" customFormat="false" ht="15" hidden="false" customHeight="false" outlineLevel="0" collapsed="false">
      <c r="I3894" s="41" t="str">
        <f aca="false">IF(F3894="","",IFERROR(IF(ISNUMBER(SEARCH(Assumptions!$C$5,F3894)),Assumptions!$D$5,IF(ISNUMBER(SEARCH(Assumptions!$C$6,F3894)),Assumptions!$D$6,IF(ISNUMBER(SEARCH(Assumptions!$C$7,F3894)),Assumptions!$D$7,"Other Services"))),"Other Services"))</f>
        <v/>
      </c>
    </row>
    <row r="3895" customFormat="false" ht="15" hidden="false" customHeight="false" outlineLevel="0" collapsed="false">
      <c r="I3895" s="41" t="str">
        <f aca="false">IF(F3895="","",IFERROR(IF(ISNUMBER(SEARCH(Assumptions!$C$5,F3895)),Assumptions!$D$5,IF(ISNUMBER(SEARCH(Assumptions!$C$6,F3895)),Assumptions!$D$6,IF(ISNUMBER(SEARCH(Assumptions!$C$7,F3895)),Assumptions!$D$7,"Other Services"))),"Other Services"))</f>
        <v/>
      </c>
    </row>
    <row r="3896" customFormat="false" ht="15" hidden="false" customHeight="false" outlineLevel="0" collapsed="false">
      <c r="I3896" s="41" t="str">
        <f aca="false">IF(F3896="","",IFERROR(IF(ISNUMBER(SEARCH(Assumptions!$C$5,F3896)),Assumptions!$D$5,IF(ISNUMBER(SEARCH(Assumptions!$C$6,F3896)),Assumptions!$D$6,IF(ISNUMBER(SEARCH(Assumptions!$C$7,F3896)),Assumptions!$D$7,"Other Services"))),"Other Services"))</f>
        <v/>
      </c>
    </row>
    <row r="3897" customFormat="false" ht="15" hidden="false" customHeight="false" outlineLevel="0" collapsed="false">
      <c r="I3897" s="41" t="str">
        <f aca="false">IF(F3897="","",IFERROR(IF(ISNUMBER(SEARCH(Assumptions!$C$5,F3897)),Assumptions!$D$5,IF(ISNUMBER(SEARCH(Assumptions!$C$6,F3897)),Assumptions!$D$6,IF(ISNUMBER(SEARCH(Assumptions!$C$7,F3897)),Assumptions!$D$7,"Other Services"))),"Other Services"))</f>
        <v/>
      </c>
    </row>
    <row r="3898" customFormat="false" ht="15" hidden="false" customHeight="false" outlineLevel="0" collapsed="false">
      <c r="I3898" s="41" t="str">
        <f aca="false">IF(F3898="","",IFERROR(IF(ISNUMBER(SEARCH(Assumptions!$C$5,F3898)),Assumptions!$D$5,IF(ISNUMBER(SEARCH(Assumptions!$C$6,F3898)),Assumptions!$D$6,IF(ISNUMBER(SEARCH(Assumptions!$C$7,F3898)),Assumptions!$D$7,"Other Services"))),"Other Services"))</f>
        <v/>
      </c>
    </row>
    <row r="3899" customFormat="false" ht="15" hidden="false" customHeight="false" outlineLevel="0" collapsed="false">
      <c r="I3899" s="41" t="str">
        <f aca="false">IF(F3899="","",IFERROR(IF(ISNUMBER(SEARCH(Assumptions!$C$5,F3899)),Assumptions!$D$5,IF(ISNUMBER(SEARCH(Assumptions!$C$6,F3899)),Assumptions!$D$6,IF(ISNUMBER(SEARCH(Assumptions!$C$7,F3899)),Assumptions!$D$7,"Other Services"))),"Other Services"))</f>
        <v/>
      </c>
    </row>
    <row r="3900" customFormat="false" ht="15" hidden="false" customHeight="false" outlineLevel="0" collapsed="false">
      <c r="I3900" s="41" t="str">
        <f aca="false">IF(F3900="","",IFERROR(IF(ISNUMBER(SEARCH(Assumptions!$C$5,F3900)),Assumptions!$D$5,IF(ISNUMBER(SEARCH(Assumptions!$C$6,F3900)),Assumptions!$D$6,IF(ISNUMBER(SEARCH(Assumptions!$C$7,F3900)),Assumptions!$D$7,"Other Services"))),"Other Services"))</f>
        <v/>
      </c>
    </row>
    <row r="3901" customFormat="false" ht="15" hidden="false" customHeight="false" outlineLevel="0" collapsed="false">
      <c r="I3901" s="41" t="str">
        <f aca="false">IF(F3901="","",IFERROR(IF(ISNUMBER(SEARCH(Assumptions!$C$5,F3901)),Assumptions!$D$5,IF(ISNUMBER(SEARCH(Assumptions!$C$6,F3901)),Assumptions!$D$6,IF(ISNUMBER(SEARCH(Assumptions!$C$7,F3901)),Assumptions!$D$7,"Other Services"))),"Other Services"))</f>
        <v/>
      </c>
    </row>
    <row r="3902" customFormat="false" ht="15" hidden="false" customHeight="false" outlineLevel="0" collapsed="false">
      <c r="I3902" s="41" t="str">
        <f aca="false">IF(F3902="","",IFERROR(IF(ISNUMBER(SEARCH(Assumptions!$C$5,F3902)),Assumptions!$D$5,IF(ISNUMBER(SEARCH(Assumptions!$C$6,F3902)),Assumptions!$D$6,IF(ISNUMBER(SEARCH(Assumptions!$C$7,F3902)),Assumptions!$D$7,"Other Services"))),"Other Services"))</f>
        <v/>
      </c>
    </row>
    <row r="3903" customFormat="false" ht="15" hidden="false" customHeight="false" outlineLevel="0" collapsed="false">
      <c r="I3903" s="41" t="str">
        <f aca="false">IF(F3903="","",IFERROR(IF(ISNUMBER(SEARCH(Assumptions!$C$5,F3903)),Assumptions!$D$5,IF(ISNUMBER(SEARCH(Assumptions!$C$6,F3903)),Assumptions!$D$6,IF(ISNUMBER(SEARCH(Assumptions!$C$7,F3903)),Assumptions!$D$7,"Other Services"))),"Other Services"))</f>
        <v/>
      </c>
    </row>
    <row r="3904" customFormat="false" ht="15" hidden="false" customHeight="false" outlineLevel="0" collapsed="false">
      <c r="I3904" s="41" t="str">
        <f aca="false">IF(F3904="","",IFERROR(IF(ISNUMBER(SEARCH(Assumptions!$C$5,F3904)),Assumptions!$D$5,IF(ISNUMBER(SEARCH(Assumptions!$C$6,F3904)),Assumptions!$D$6,IF(ISNUMBER(SEARCH(Assumptions!$C$7,F3904)),Assumptions!$D$7,"Other Services"))),"Other Services"))</f>
        <v/>
      </c>
    </row>
    <row r="3905" customFormat="false" ht="15" hidden="false" customHeight="false" outlineLevel="0" collapsed="false">
      <c r="I3905" s="41" t="str">
        <f aca="false">IF(F3905="","",IFERROR(IF(ISNUMBER(SEARCH(Assumptions!$C$5,F3905)),Assumptions!$D$5,IF(ISNUMBER(SEARCH(Assumptions!$C$6,F3905)),Assumptions!$D$6,IF(ISNUMBER(SEARCH(Assumptions!$C$7,F3905)),Assumptions!$D$7,"Other Services"))),"Other Services"))</f>
        <v/>
      </c>
    </row>
    <row r="3906" customFormat="false" ht="15" hidden="false" customHeight="false" outlineLevel="0" collapsed="false">
      <c r="I3906" s="41" t="str">
        <f aca="false">IF(F3906="","",IFERROR(IF(ISNUMBER(SEARCH(Assumptions!$C$5,F3906)),Assumptions!$D$5,IF(ISNUMBER(SEARCH(Assumptions!$C$6,F3906)),Assumptions!$D$6,IF(ISNUMBER(SEARCH(Assumptions!$C$7,F3906)),Assumptions!$D$7,"Other Services"))),"Other Services"))</f>
        <v/>
      </c>
    </row>
    <row r="3907" customFormat="false" ht="15" hidden="false" customHeight="false" outlineLevel="0" collapsed="false">
      <c r="I3907" s="41" t="str">
        <f aca="false">IF(F3907="","",IFERROR(IF(ISNUMBER(SEARCH(Assumptions!$C$5,F3907)),Assumptions!$D$5,IF(ISNUMBER(SEARCH(Assumptions!$C$6,F3907)),Assumptions!$D$6,IF(ISNUMBER(SEARCH(Assumptions!$C$7,F3907)),Assumptions!$D$7,"Other Services"))),"Other Services"))</f>
        <v/>
      </c>
    </row>
    <row r="3908" customFormat="false" ht="15" hidden="false" customHeight="false" outlineLevel="0" collapsed="false">
      <c r="I3908" s="41" t="str">
        <f aca="false">IF(F3908="","",IFERROR(IF(ISNUMBER(SEARCH(Assumptions!$C$5,F3908)),Assumptions!$D$5,IF(ISNUMBER(SEARCH(Assumptions!$C$6,F3908)),Assumptions!$D$6,IF(ISNUMBER(SEARCH(Assumptions!$C$7,F3908)),Assumptions!$D$7,"Other Services"))),"Other Services"))</f>
        <v/>
      </c>
    </row>
    <row r="3909" customFormat="false" ht="15" hidden="false" customHeight="false" outlineLevel="0" collapsed="false">
      <c r="I3909" s="41" t="str">
        <f aca="false">IF(F3909="","",IFERROR(IF(ISNUMBER(SEARCH(Assumptions!$C$5,F3909)),Assumptions!$D$5,IF(ISNUMBER(SEARCH(Assumptions!$C$6,F3909)),Assumptions!$D$6,IF(ISNUMBER(SEARCH(Assumptions!$C$7,F3909)),Assumptions!$D$7,"Other Services"))),"Other Services"))</f>
        <v/>
      </c>
    </row>
    <row r="3910" customFormat="false" ht="15" hidden="false" customHeight="false" outlineLevel="0" collapsed="false">
      <c r="I3910" s="41" t="str">
        <f aca="false">IF(F3910="","",IFERROR(IF(ISNUMBER(SEARCH(Assumptions!$C$5,F3910)),Assumptions!$D$5,IF(ISNUMBER(SEARCH(Assumptions!$C$6,F3910)),Assumptions!$D$6,IF(ISNUMBER(SEARCH(Assumptions!$C$7,F3910)),Assumptions!$D$7,"Other Services"))),"Other Services"))</f>
        <v/>
      </c>
    </row>
    <row r="3911" customFormat="false" ht="15" hidden="false" customHeight="false" outlineLevel="0" collapsed="false">
      <c r="I3911" s="41" t="str">
        <f aca="false">IF(F3911="","",IFERROR(IF(ISNUMBER(SEARCH(Assumptions!$C$5,F3911)),Assumptions!$D$5,IF(ISNUMBER(SEARCH(Assumptions!$C$6,F3911)),Assumptions!$D$6,IF(ISNUMBER(SEARCH(Assumptions!$C$7,F3911)),Assumptions!$D$7,"Other Services"))),"Other Services"))</f>
        <v/>
      </c>
    </row>
    <row r="3912" customFormat="false" ht="15" hidden="false" customHeight="false" outlineLevel="0" collapsed="false">
      <c r="I3912" s="41" t="str">
        <f aca="false">IF(F3912="","",IFERROR(IF(ISNUMBER(SEARCH(Assumptions!$C$5,F3912)),Assumptions!$D$5,IF(ISNUMBER(SEARCH(Assumptions!$C$6,F3912)),Assumptions!$D$6,IF(ISNUMBER(SEARCH(Assumptions!$C$7,F3912)),Assumptions!$D$7,"Other Services"))),"Other Services"))</f>
        <v/>
      </c>
    </row>
    <row r="3913" customFormat="false" ht="15" hidden="false" customHeight="false" outlineLevel="0" collapsed="false">
      <c r="I3913" s="41" t="str">
        <f aca="false">IF(F3913="","",IFERROR(IF(ISNUMBER(SEARCH(Assumptions!$C$5,F3913)),Assumptions!$D$5,IF(ISNUMBER(SEARCH(Assumptions!$C$6,F3913)),Assumptions!$D$6,IF(ISNUMBER(SEARCH(Assumptions!$C$7,F3913)),Assumptions!$D$7,"Other Services"))),"Other Services"))</f>
        <v/>
      </c>
    </row>
    <row r="3914" customFormat="false" ht="15" hidden="false" customHeight="false" outlineLevel="0" collapsed="false">
      <c r="I3914" s="41" t="str">
        <f aca="false">IF(F3914="","",IFERROR(IF(ISNUMBER(SEARCH(Assumptions!$C$5,F3914)),Assumptions!$D$5,IF(ISNUMBER(SEARCH(Assumptions!$C$6,F3914)),Assumptions!$D$6,IF(ISNUMBER(SEARCH(Assumptions!$C$7,F3914)),Assumptions!$D$7,"Other Services"))),"Other Services"))</f>
        <v/>
      </c>
    </row>
    <row r="3915" customFormat="false" ht="15" hidden="false" customHeight="false" outlineLevel="0" collapsed="false">
      <c r="I3915" s="41" t="str">
        <f aca="false">IF(F3915="","",IFERROR(IF(ISNUMBER(SEARCH(Assumptions!$C$5,F3915)),Assumptions!$D$5,IF(ISNUMBER(SEARCH(Assumptions!$C$6,F3915)),Assumptions!$D$6,IF(ISNUMBER(SEARCH(Assumptions!$C$7,F3915)),Assumptions!$D$7,"Other Services"))),"Other Services"))</f>
        <v/>
      </c>
    </row>
    <row r="3916" customFormat="false" ht="15" hidden="false" customHeight="false" outlineLevel="0" collapsed="false">
      <c r="I3916" s="41" t="str">
        <f aca="false">IF(F3916="","",IFERROR(IF(ISNUMBER(SEARCH(Assumptions!$C$5,F3916)),Assumptions!$D$5,IF(ISNUMBER(SEARCH(Assumptions!$C$6,F3916)),Assumptions!$D$6,IF(ISNUMBER(SEARCH(Assumptions!$C$7,F3916)),Assumptions!$D$7,"Other Services"))),"Other Services"))</f>
        <v/>
      </c>
    </row>
    <row r="3917" customFormat="false" ht="15" hidden="false" customHeight="false" outlineLevel="0" collapsed="false">
      <c r="I3917" s="41" t="str">
        <f aca="false">IF(F3917="","",IFERROR(IF(ISNUMBER(SEARCH(Assumptions!$C$5,F3917)),Assumptions!$D$5,IF(ISNUMBER(SEARCH(Assumptions!$C$6,F3917)),Assumptions!$D$6,IF(ISNUMBER(SEARCH(Assumptions!$C$7,F3917)),Assumptions!$D$7,"Other Services"))),"Other Services"))</f>
        <v/>
      </c>
    </row>
    <row r="3918" customFormat="false" ht="15" hidden="false" customHeight="false" outlineLevel="0" collapsed="false">
      <c r="I3918" s="41" t="str">
        <f aca="false">IF(F3918="","",IFERROR(IF(ISNUMBER(SEARCH(Assumptions!$C$5,F3918)),Assumptions!$D$5,IF(ISNUMBER(SEARCH(Assumptions!$C$6,F3918)),Assumptions!$D$6,IF(ISNUMBER(SEARCH(Assumptions!$C$7,F3918)),Assumptions!$D$7,"Other Services"))),"Other Services"))</f>
        <v/>
      </c>
    </row>
    <row r="3919" customFormat="false" ht="15" hidden="false" customHeight="false" outlineLevel="0" collapsed="false">
      <c r="I3919" s="41" t="str">
        <f aca="false">IF(F3919="","",IFERROR(IF(ISNUMBER(SEARCH(Assumptions!$C$5,F3919)),Assumptions!$D$5,IF(ISNUMBER(SEARCH(Assumptions!$C$6,F3919)),Assumptions!$D$6,IF(ISNUMBER(SEARCH(Assumptions!$C$7,F3919)),Assumptions!$D$7,"Other Services"))),"Other Services"))</f>
        <v/>
      </c>
    </row>
    <row r="3920" customFormat="false" ht="15" hidden="false" customHeight="false" outlineLevel="0" collapsed="false">
      <c r="I3920" s="41" t="str">
        <f aca="false">IF(F3920="","",IFERROR(IF(ISNUMBER(SEARCH(Assumptions!$C$5,F3920)),Assumptions!$D$5,IF(ISNUMBER(SEARCH(Assumptions!$C$6,F3920)),Assumptions!$D$6,IF(ISNUMBER(SEARCH(Assumptions!$C$7,F3920)),Assumptions!$D$7,"Other Services"))),"Other Services"))</f>
        <v/>
      </c>
    </row>
    <row r="3921" customFormat="false" ht="15" hidden="false" customHeight="false" outlineLevel="0" collapsed="false">
      <c r="I3921" s="41" t="str">
        <f aca="false">IF(F3921="","",IFERROR(IF(ISNUMBER(SEARCH(Assumptions!$C$5,F3921)),Assumptions!$D$5,IF(ISNUMBER(SEARCH(Assumptions!$C$6,F3921)),Assumptions!$D$6,IF(ISNUMBER(SEARCH(Assumptions!$C$7,F3921)),Assumptions!$D$7,"Other Services"))),"Other Services"))</f>
        <v/>
      </c>
    </row>
    <row r="3922" customFormat="false" ht="15" hidden="false" customHeight="false" outlineLevel="0" collapsed="false">
      <c r="I3922" s="41" t="str">
        <f aca="false">IF(F3922="","",IFERROR(IF(ISNUMBER(SEARCH(Assumptions!$C$5,F3922)),Assumptions!$D$5,IF(ISNUMBER(SEARCH(Assumptions!$C$6,F3922)),Assumptions!$D$6,IF(ISNUMBER(SEARCH(Assumptions!$C$7,F3922)),Assumptions!$D$7,"Other Services"))),"Other Services"))</f>
        <v/>
      </c>
    </row>
    <row r="3923" customFormat="false" ht="15" hidden="false" customHeight="false" outlineLevel="0" collapsed="false">
      <c r="I3923" s="41" t="str">
        <f aca="false">IF(F3923="","",IFERROR(IF(ISNUMBER(SEARCH(Assumptions!$C$5,F3923)),Assumptions!$D$5,IF(ISNUMBER(SEARCH(Assumptions!$C$6,F3923)),Assumptions!$D$6,IF(ISNUMBER(SEARCH(Assumptions!$C$7,F3923)),Assumptions!$D$7,"Other Services"))),"Other Services"))</f>
        <v/>
      </c>
    </row>
    <row r="3924" customFormat="false" ht="15" hidden="false" customHeight="false" outlineLevel="0" collapsed="false">
      <c r="I3924" s="41" t="str">
        <f aca="false">IF(F3924="","",IFERROR(IF(ISNUMBER(SEARCH(Assumptions!$C$5,F3924)),Assumptions!$D$5,IF(ISNUMBER(SEARCH(Assumptions!$C$6,F3924)),Assumptions!$D$6,IF(ISNUMBER(SEARCH(Assumptions!$C$7,F3924)),Assumptions!$D$7,"Other Services"))),"Other Services"))</f>
        <v/>
      </c>
    </row>
    <row r="3925" customFormat="false" ht="15" hidden="false" customHeight="false" outlineLevel="0" collapsed="false">
      <c r="I3925" s="41" t="str">
        <f aca="false">IF(F3925="","",IFERROR(IF(ISNUMBER(SEARCH(Assumptions!$C$5,F3925)),Assumptions!$D$5,IF(ISNUMBER(SEARCH(Assumptions!$C$6,F3925)),Assumptions!$D$6,IF(ISNUMBER(SEARCH(Assumptions!$C$7,F3925)),Assumptions!$D$7,"Other Services"))),"Other Services"))</f>
        <v/>
      </c>
    </row>
    <row r="3926" customFormat="false" ht="15" hidden="false" customHeight="false" outlineLevel="0" collapsed="false">
      <c r="I3926" s="41" t="str">
        <f aca="false">IF(F3926="","",IFERROR(IF(ISNUMBER(SEARCH(Assumptions!$C$5,F3926)),Assumptions!$D$5,IF(ISNUMBER(SEARCH(Assumptions!$C$6,F3926)),Assumptions!$D$6,IF(ISNUMBER(SEARCH(Assumptions!$C$7,F3926)),Assumptions!$D$7,"Other Services"))),"Other Services"))</f>
        <v/>
      </c>
    </row>
    <row r="3927" customFormat="false" ht="15" hidden="false" customHeight="false" outlineLevel="0" collapsed="false">
      <c r="I3927" s="41" t="str">
        <f aca="false">IF(F3927="","",IFERROR(IF(ISNUMBER(SEARCH(Assumptions!$C$5,F3927)),Assumptions!$D$5,IF(ISNUMBER(SEARCH(Assumptions!$C$6,F3927)),Assumptions!$D$6,IF(ISNUMBER(SEARCH(Assumptions!$C$7,F3927)),Assumptions!$D$7,"Other Services"))),"Other Services"))</f>
        <v/>
      </c>
    </row>
    <row r="3928" customFormat="false" ht="15" hidden="false" customHeight="false" outlineLevel="0" collapsed="false">
      <c r="I3928" s="41" t="str">
        <f aca="false">IF(F3928="","",IFERROR(IF(ISNUMBER(SEARCH(Assumptions!$C$5,F3928)),Assumptions!$D$5,IF(ISNUMBER(SEARCH(Assumptions!$C$6,F3928)),Assumptions!$D$6,IF(ISNUMBER(SEARCH(Assumptions!$C$7,F3928)),Assumptions!$D$7,"Other Services"))),"Other Services"))</f>
        <v/>
      </c>
    </row>
    <row r="3929" customFormat="false" ht="15" hidden="false" customHeight="false" outlineLevel="0" collapsed="false">
      <c r="I3929" s="41" t="str">
        <f aca="false">IF(F3929="","",IFERROR(IF(ISNUMBER(SEARCH(Assumptions!$C$5,F3929)),Assumptions!$D$5,IF(ISNUMBER(SEARCH(Assumptions!$C$6,F3929)),Assumptions!$D$6,IF(ISNUMBER(SEARCH(Assumptions!$C$7,F3929)),Assumptions!$D$7,"Other Services"))),"Other Services"))</f>
        <v/>
      </c>
    </row>
    <row r="3930" customFormat="false" ht="15" hidden="false" customHeight="false" outlineLevel="0" collapsed="false">
      <c r="I3930" s="41" t="str">
        <f aca="false">IF(F3930="","",IFERROR(IF(ISNUMBER(SEARCH(Assumptions!$C$5,F3930)),Assumptions!$D$5,IF(ISNUMBER(SEARCH(Assumptions!$C$6,F3930)),Assumptions!$D$6,IF(ISNUMBER(SEARCH(Assumptions!$C$7,F3930)),Assumptions!$D$7,"Other Services"))),"Other Services"))</f>
        <v/>
      </c>
    </row>
    <row r="3931" customFormat="false" ht="15" hidden="false" customHeight="false" outlineLevel="0" collapsed="false">
      <c r="I3931" s="41" t="str">
        <f aca="false">IF(F3931="","",IFERROR(IF(ISNUMBER(SEARCH(Assumptions!$C$5,F3931)),Assumptions!$D$5,IF(ISNUMBER(SEARCH(Assumptions!$C$6,F3931)),Assumptions!$D$6,IF(ISNUMBER(SEARCH(Assumptions!$C$7,F3931)),Assumptions!$D$7,"Other Services"))),"Other Services"))</f>
        <v/>
      </c>
    </row>
    <row r="3932" customFormat="false" ht="15" hidden="false" customHeight="false" outlineLevel="0" collapsed="false">
      <c r="I3932" s="41" t="str">
        <f aca="false">IF(F3932="","",IFERROR(IF(ISNUMBER(SEARCH(Assumptions!$C$5,F3932)),Assumptions!$D$5,IF(ISNUMBER(SEARCH(Assumptions!$C$6,F3932)),Assumptions!$D$6,IF(ISNUMBER(SEARCH(Assumptions!$C$7,F3932)),Assumptions!$D$7,"Other Services"))),"Other Services"))</f>
        <v/>
      </c>
    </row>
    <row r="3933" customFormat="false" ht="15" hidden="false" customHeight="false" outlineLevel="0" collapsed="false">
      <c r="I3933" s="41" t="str">
        <f aca="false">IF(F3933="","",IFERROR(IF(ISNUMBER(SEARCH(Assumptions!$C$5,F3933)),Assumptions!$D$5,IF(ISNUMBER(SEARCH(Assumptions!$C$6,F3933)),Assumptions!$D$6,IF(ISNUMBER(SEARCH(Assumptions!$C$7,F3933)),Assumptions!$D$7,"Other Services"))),"Other Services"))</f>
        <v/>
      </c>
    </row>
    <row r="3934" customFormat="false" ht="15" hidden="false" customHeight="false" outlineLevel="0" collapsed="false">
      <c r="I3934" s="41" t="str">
        <f aca="false">IF(F3934="","",IFERROR(IF(ISNUMBER(SEARCH(Assumptions!$C$5,F3934)),Assumptions!$D$5,IF(ISNUMBER(SEARCH(Assumptions!$C$6,F3934)),Assumptions!$D$6,IF(ISNUMBER(SEARCH(Assumptions!$C$7,F3934)),Assumptions!$D$7,"Other Services"))),"Other Services"))</f>
        <v/>
      </c>
    </row>
    <row r="3935" customFormat="false" ht="15" hidden="false" customHeight="false" outlineLevel="0" collapsed="false">
      <c r="I3935" s="41" t="str">
        <f aca="false">IF(F3935="","",IFERROR(IF(ISNUMBER(SEARCH(Assumptions!$C$5,F3935)),Assumptions!$D$5,IF(ISNUMBER(SEARCH(Assumptions!$C$6,F3935)),Assumptions!$D$6,IF(ISNUMBER(SEARCH(Assumptions!$C$7,F3935)),Assumptions!$D$7,"Other Services"))),"Other Services"))</f>
        <v/>
      </c>
    </row>
    <row r="3936" customFormat="false" ht="15" hidden="false" customHeight="false" outlineLevel="0" collapsed="false">
      <c r="I3936" s="41" t="str">
        <f aca="false">IF(F3936="","",IFERROR(IF(ISNUMBER(SEARCH(Assumptions!$C$5,F3936)),Assumptions!$D$5,IF(ISNUMBER(SEARCH(Assumptions!$C$6,F3936)),Assumptions!$D$6,IF(ISNUMBER(SEARCH(Assumptions!$C$7,F3936)),Assumptions!$D$7,"Other Services"))),"Other Services"))</f>
        <v/>
      </c>
    </row>
    <row r="3937" customFormat="false" ht="15" hidden="false" customHeight="false" outlineLevel="0" collapsed="false">
      <c r="I3937" s="41" t="str">
        <f aca="false">IF(F3937="","",IFERROR(IF(ISNUMBER(SEARCH(Assumptions!$C$5,F3937)),Assumptions!$D$5,IF(ISNUMBER(SEARCH(Assumptions!$C$6,F3937)),Assumptions!$D$6,IF(ISNUMBER(SEARCH(Assumptions!$C$7,F3937)),Assumptions!$D$7,"Other Services"))),"Other Services"))</f>
        <v/>
      </c>
    </row>
    <row r="3938" customFormat="false" ht="15" hidden="false" customHeight="false" outlineLevel="0" collapsed="false">
      <c r="I3938" s="41" t="str">
        <f aca="false">IF(F3938="","",IFERROR(IF(ISNUMBER(SEARCH(Assumptions!$C$5,F3938)),Assumptions!$D$5,IF(ISNUMBER(SEARCH(Assumptions!$C$6,F3938)),Assumptions!$D$6,IF(ISNUMBER(SEARCH(Assumptions!$C$7,F3938)),Assumptions!$D$7,"Other Services"))),"Other Services"))</f>
        <v/>
      </c>
    </row>
    <row r="3939" customFormat="false" ht="15" hidden="false" customHeight="false" outlineLevel="0" collapsed="false">
      <c r="I3939" s="41" t="str">
        <f aca="false">IF(F3939="","",IFERROR(IF(ISNUMBER(SEARCH(Assumptions!$C$5,F3939)),Assumptions!$D$5,IF(ISNUMBER(SEARCH(Assumptions!$C$6,F3939)),Assumptions!$D$6,IF(ISNUMBER(SEARCH(Assumptions!$C$7,F3939)),Assumptions!$D$7,"Other Services"))),"Other Services"))</f>
        <v/>
      </c>
    </row>
    <row r="3940" customFormat="false" ht="15" hidden="false" customHeight="false" outlineLevel="0" collapsed="false">
      <c r="I3940" s="41" t="str">
        <f aca="false">IF(F3940="","",IFERROR(IF(ISNUMBER(SEARCH(Assumptions!$C$5,F3940)),Assumptions!$D$5,IF(ISNUMBER(SEARCH(Assumptions!$C$6,F3940)),Assumptions!$D$6,IF(ISNUMBER(SEARCH(Assumptions!$C$7,F3940)),Assumptions!$D$7,"Other Services"))),"Other Services"))</f>
        <v/>
      </c>
    </row>
    <row r="3941" customFormat="false" ht="15" hidden="false" customHeight="false" outlineLevel="0" collapsed="false">
      <c r="I3941" s="41" t="str">
        <f aca="false">IF(F3941="","",IFERROR(IF(ISNUMBER(SEARCH(Assumptions!$C$5,F3941)),Assumptions!$D$5,IF(ISNUMBER(SEARCH(Assumptions!$C$6,F3941)),Assumptions!$D$6,IF(ISNUMBER(SEARCH(Assumptions!$C$7,F3941)),Assumptions!$D$7,"Other Services"))),"Other Services"))</f>
        <v/>
      </c>
    </row>
    <row r="3942" customFormat="false" ht="15" hidden="false" customHeight="false" outlineLevel="0" collapsed="false">
      <c r="I3942" s="41" t="str">
        <f aca="false">IF(F3942="","",IFERROR(IF(ISNUMBER(SEARCH(Assumptions!$C$5,F3942)),Assumptions!$D$5,IF(ISNUMBER(SEARCH(Assumptions!$C$6,F3942)),Assumptions!$D$6,IF(ISNUMBER(SEARCH(Assumptions!$C$7,F3942)),Assumptions!$D$7,"Other Services"))),"Other Services"))</f>
        <v/>
      </c>
    </row>
    <row r="3943" customFormat="false" ht="15" hidden="false" customHeight="false" outlineLevel="0" collapsed="false">
      <c r="I3943" s="41" t="str">
        <f aca="false">IF(F3943="","",IFERROR(IF(ISNUMBER(SEARCH(Assumptions!$C$5,F3943)),Assumptions!$D$5,IF(ISNUMBER(SEARCH(Assumptions!$C$6,F3943)),Assumptions!$D$6,IF(ISNUMBER(SEARCH(Assumptions!$C$7,F3943)),Assumptions!$D$7,"Other Services"))),"Other Services"))</f>
        <v/>
      </c>
    </row>
    <row r="3944" customFormat="false" ht="15" hidden="false" customHeight="false" outlineLevel="0" collapsed="false">
      <c r="I3944" s="41" t="str">
        <f aca="false">IF(F3944="","",IFERROR(IF(ISNUMBER(SEARCH(Assumptions!$C$5,F3944)),Assumptions!$D$5,IF(ISNUMBER(SEARCH(Assumptions!$C$6,F3944)),Assumptions!$D$6,IF(ISNUMBER(SEARCH(Assumptions!$C$7,F3944)),Assumptions!$D$7,"Other Services"))),"Other Services"))</f>
        <v/>
      </c>
    </row>
    <row r="3945" customFormat="false" ht="15" hidden="false" customHeight="false" outlineLevel="0" collapsed="false">
      <c r="I3945" s="41" t="str">
        <f aca="false">IF(F3945="","",IFERROR(IF(ISNUMBER(SEARCH(Assumptions!$C$5,F3945)),Assumptions!$D$5,IF(ISNUMBER(SEARCH(Assumptions!$C$6,F3945)),Assumptions!$D$6,IF(ISNUMBER(SEARCH(Assumptions!$C$7,F3945)),Assumptions!$D$7,"Other Services"))),"Other Services"))</f>
        <v/>
      </c>
    </row>
    <row r="3946" customFormat="false" ht="15" hidden="false" customHeight="false" outlineLevel="0" collapsed="false">
      <c r="I3946" s="41" t="str">
        <f aca="false">IF(F3946="","",IFERROR(IF(ISNUMBER(SEARCH(Assumptions!$C$5,F3946)),Assumptions!$D$5,IF(ISNUMBER(SEARCH(Assumptions!$C$6,F3946)),Assumptions!$D$6,IF(ISNUMBER(SEARCH(Assumptions!$C$7,F3946)),Assumptions!$D$7,"Other Services"))),"Other Services"))</f>
        <v/>
      </c>
    </row>
    <row r="3947" customFormat="false" ht="15" hidden="false" customHeight="false" outlineLevel="0" collapsed="false">
      <c r="I3947" s="41" t="str">
        <f aca="false">IF(F3947="","",IFERROR(IF(ISNUMBER(SEARCH(Assumptions!$C$5,F3947)),Assumptions!$D$5,IF(ISNUMBER(SEARCH(Assumptions!$C$6,F3947)),Assumptions!$D$6,IF(ISNUMBER(SEARCH(Assumptions!$C$7,F3947)),Assumptions!$D$7,"Other Services"))),"Other Services"))</f>
        <v/>
      </c>
    </row>
    <row r="3948" customFormat="false" ht="15" hidden="false" customHeight="false" outlineLevel="0" collapsed="false">
      <c r="I3948" s="41" t="str">
        <f aca="false">IF(F3948="","",IFERROR(IF(ISNUMBER(SEARCH(Assumptions!$C$5,F3948)),Assumptions!$D$5,IF(ISNUMBER(SEARCH(Assumptions!$C$6,F3948)),Assumptions!$D$6,IF(ISNUMBER(SEARCH(Assumptions!$C$7,F3948)),Assumptions!$D$7,"Other Services"))),"Other Services"))</f>
        <v/>
      </c>
    </row>
    <row r="3949" customFormat="false" ht="15" hidden="false" customHeight="false" outlineLevel="0" collapsed="false">
      <c r="I3949" s="41" t="str">
        <f aca="false">IF(F3949="","",IFERROR(IF(ISNUMBER(SEARCH(Assumptions!$C$5,F3949)),Assumptions!$D$5,IF(ISNUMBER(SEARCH(Assumptions!$C$6,F3949)),Assumptions!$D$6,IF(ISNUMBER(SEARCH(Assumptions!$C$7,F3949)),Assumptions!$D$7,"Other Services"))),"Other Services"))</f>
        <v/>
      </c>
    </row>
    <row r="3950" customFormat="false" ht="15" hidden="false" customHeight="false" outlineLevel="0" collapsed="false">
      <c r="I3950" s="41" t="str">
        <f aca="false">IF(F3950="","",IFERROR(IF(ISNUMBER(SEARCH(Assumptions!$C$5,F3950)),Assumptions!$D$5,IF(ISNUMBER(SEARCH(Assumptions!$C$6,F3950)),Assumptions!$D$6,IF(ISNUMBER(SEARCH(Assumptions!$C$7,F3950)),Assumptions!$D$7,"Other Services"))),"Other Services"))</f>
        <v/>
      </c>
    </row>
    <row r="3951" customFormat="false" ht="15" hidden="false" customHeight="false" outlineLevel="0" collapsed="false">
      <c r="I3951" s="41" t="str">
        <f aca="false">IF(F3951="","",IFERROR(IF(ISNUMBER(SEARCH(Assumptions!$C$5,F3951)),Assumptions!$D$5,IF(ISNUMBER(SEARCH(Assumptions!$C$6,F3951)),Assumptions!$D$6,IF(ISNUMBER(SEARCH(Assumptions!$C$7,F3951)),Assumptions!$D$7,"Other Services"))),"Other Services"))</f>
        <v/>
      </c>
    </row>
    <row r="3952" customFormat="false" ht="15" hidden="false" customHeight="false" outlineLevel="0" collapsed="false">
      <c r="I3952" s="41" t="str">
        <f aca="false">IF(F3952="","",IFERROR(IF(ISNUMBER(SEARCH(Assumptions!$C$5,F3952)),Assumptions!$D$5,IF(ISNUMBER(SEARCH(Assumptions!$C$6,F3952)),Assumptions!$D$6,IF(ISNUMBER(SEARCH(Assumptions!$C$7,F3952)),Assumptions!$D$7,"Other Services"))),"Other Services"))</f>
        <v/>
      </c>
    </row>
    <row r="3953" customFormat="false" ht="15" hidden="false" customHeight="false" outlineLevel="0" collapsed="false">
      <c r="I3953" s="41" t="str">
        <f aca="false">IF(F3953="","",IFERROR(IF(ISNUMBER(SEARCH(Assumptions!$C$5,F3953)),Assumptions!$D$5,IF(ISNUMBER(SEARCH(Assumptions!$C$6,F3953)),Assumptions!$D$6,IF(ISNUMBER(SEARCH(Assumptions!$C$7,F3953)),Assumptions!$D$7,"Other Services"))),"Other Services"))</f>
        <v/>
      </c>
    </row>
    <row r="3954" customFormat="false" ht="15" hidden="false" customHeight="false" outlineLevel="0" collapsed="false">
      <c r="I3954" s="41" t="str">
        <f aca="false">IF(F3954="","",IFERROR(IF(ISNUMBER(SEARCH(Assumptions!$C$5,F3954)),Assumptions!$D$5,IF(ISNUMBER(SEARCH(Assumptions!$C$6,F3954)),Assumptions!$D$6,IF(ISNUMBER(SEARCH(Assumptions!$C$7,F3954)),Assumptions!$D$7,"Other Services"))),"Other Services"))</f>
        <v/>
      </c>
    </row>
    <row r="3955" customFormat="false" ht="15" hidden="false" customHeight="false" outlineLevel="0" collapsed="false">
      <c r="I3955" s="41" t="str">
        <f aca="false">IF(F3955="","",IFERROR(IF(ISNUMBER(SEARCH(Assumptions!$C$5,F3955)),Assumptions!$D$5,IF(ISNUMBER(SEARCH(Assumptions!$C$6,F3955)),Assumptions!$D$6,IF(ISNUMBER(SEARCH(Assumptions!$C$7,F3955)),Assumptions!$D$7,"Other Services"))),"Other Services"))</f>
        <v/>
      </c>
    </row>
    <row r="3956" customFormat="false" ht="15" hidden="false" customHeight="false" outlineLevel="0" collapsed="false">
      <c r="I3956" s="41" t="str">
        <f aca="false">IF(F3956="","",IFERROR(IF(ISNUMBER(SEARCH(Assumptions!$C$5,F3956)),Assumptions!$D$5,IF(ISNUMBER(SEARCH(Assumptions!$C$6,F3956)),Assumptions!$D$6,IF(ISNUMBER(SEARCH(Assumptions!$C$7,F3956)),Assumptions!$D$7,"Other Services"))),"Other Services"))</f>
        <v/>
      </c>
    </row>
    <row r="3957" customFormat="false" ht="15" hidden="false" customHeight="false" outlineLevel="0" collapsed="false">
      <c r="I3957" s="41" t="str">
        <f aca="false">IF(F3957="","",IFERROR(IF(ISNUMBER(SEARCH(Assumptions!$C$5,F3957)),Assumptions!$D$5,IF(ISNUMBER(SEARCH(Assumptions!$C$6,F3957)),Assumptions!$D$6,IF(ISNUMBER(SEARCH(Assumptions!$C$7,F3957)),Assumptions!$D$7,"Other Services"))),"Other Services"))</f>
        <v/>
      </c>
    </row>
    <row r="3958" customFormat="false" ht="15" hidden="false" customHeight="false" outlineLevel="0" collapsed="false">
      <c r="I3958" s="41" t="str">
        <f aca="false">IF(F3958="","",IFERROR(IF(ISNUMBER(SEARCH(Assumptions!$C$5,F3958)),Assumptions!$D$5,IF(ISNUMBER(SEARCH(Assumptions!$C$6,F3958)),Assumptions!$D$6,IF(ISNUMBER(SEARCH(Assumptions!$C$7,F3958)),Assumptions!$D$7,"Other Services"))),"Other Services"))</f>
        <v/>
      </c>
    </row>
    <row r="3959" customFormat="false" ht="15" hidden="false" customHeight="false" outlineLevel="0" collapsed="false">
      <c r="I3959" s="41" t="str">
        <f aca="false">IF(F3959="","",IFERROR(IF(ISNUMBER(SEARCH(Assumptions!$C$5,F3959)),Assumptions!$D$5,IF(ISNUMBER(SEARCH(Assumptions!$C$6,F3959)),Assumptions!$D$6,IF(ISNUMBER(SEARCH(Assumptions!$C$7,F3959)),Assumptions!$D$7,"Other Services"))),"Other Services"))</f>
        <v/>
      </c>
    </row>
    <row r="3960" customFormat="false" ht="15" hidden="false" customHeight="false" outlineLevel="0" collapsed="false">
      <c r="I3960" s="41" t="str">
        <f aca="false">IF(F3960="","",IFERROR(IF(ISNUMBER(SEARCH(Assumptions!$C$5,F3960)),Assumptions!$D$5,IF(ISNUMBER(SEARCH(Assumptions!$C$6,F3960)),Assumptions!$D$6,IF(ISNUMBER(SEARCH(Assumptions!$C$7,F3960)),Assumptions!$D$7,"Other Services"))),"Other Services"))</f>
        <v/>
      </c>
    </row>
    <row r="3961" customFormat="false" ht="15" hidden="false" customHeight="false" outlineLevel="0" collapsed="false">
      <c r="I3961" s="41" t="str">
        <f aca="false">IF(F3961="","",IFERROR(IF(ISNUMBER(SEARCH(Assumptions!$C$5,F3961)),Assumptions!$D$5,IF(ISNUMBER(SEARCH(Assumptions!$C$6,F3961)),Assumptions!$D$6,IF(ISNUMBER(SEARCH(Assumptions!$C$7,F3961)),Assumptions!$D$7,"Other Services"))),"Other Services"))</f>
        <v/>
      </c>
    </row>
    <row r="3962" customFormat="false" ht="15" hidden="false" customHeight="false" outlineLevel="0" collapsed="false">
      <c r="I3962" s="41" t="str">
        <f aca="false">IF(F3962="","",IFERROR(IF(ISNUMBER(SEARCH(Assumptions!$C$5,F3962)),Assumptions!$D$5,IF(ISNUMBER(SEARCH(Assumptions!$C$6,F3962)),Assumptions!$D$6,IF(ISNUMBER(SEARCH(Assumptions!$C$7,F3962)),Assumptions!$D$7,"Other Services"))),"Other Services"))</f>
        <v/>
      </c>
    </row>
    <row r="3963" customFormat="false" ht="15" hidden="false" customHeight="false" outlineLevel="0" collapsed="false">
      <c r="I3963" s="41" t="str">
        <f aca="false">IF(F3963="","",IFERROR(IF(ISNUMBER(SEARCH(Assumptions!$C$5,F3963)),Assumptions!$D$5,IF(ISNUMBER(SEARCH(Assumptions!$C$6,F3963)),Assumptions!$D$6,IF(ISNUMBER(SEARCH(Assumptions!$C$7,F3963)),Assumptions!$D$7,"Other Services"))),"Other Services"))</f>
        <v/>
      </c>
    </row>
    <row r="3964" customFormat="false" ht="15" hidden="false" customHeight="false" outlineLevel="0" collapsed="false">
      <c r="I3964" s="41" t="str">
        <f aca="false">IF(F3964="","",IFERROR(IF(ISNUMBER(SEARCH(Assumptions!$C$5,F3964)),Assumptions!$D$5,IF(ISNUMBER(SEARCH(Assumptions!$C$6,F3964)),Assumptions!$D$6,IF(ISNUMBER(SEARCH(Assumptions!$C$7,F3964)),Assumptions!$D$7,"Other Services"))),"Other Services"))</f>
        <v/>
      </c>
    </row>
    <row r="3965" customFormat="false" ht="15" hidden="false" customHeight="false" outlineLevel="0" collapsed="false">
      <c r="I3965" s="41" t="str">
        <f aca="false">IF(F3965="","",IFERROR(IF(ISNUMBER(SEARCH(Assumptions!$C$5,F3965)),Assumptions!$D$5,IF(ISNUMBER(SEARCH(Assumptions!$C$6,F3965)),Assumptions!$D$6,IF(ISNUMBER(SEARCH(Assumptions!$C$7,F3965)),Assumptions!$D$7,"Other Services"))),"Other Services"))</f>
        <v/>
      </c>
    </row>
    <row r="3966" customFormat="false" ht="15" hidden="false" customHeight="false" outlineLevel="0" collapsed="false">
      <c r="I3966" s="41" t="str">
        <f aca="false">IF(F3966="","",IFERROR(IF(ISNUMBER(SEARCH(Assumptions!$C$5,F3966)),Assumptions!$D$5,IF(ISNUMBER(SEARCH(Assumptions!$C$6,F3966)),Assumptions!$D$6,IF(ISNUMBER(SEARCH(Assumptions!$C$7,F3966)),Assumptions!$D$7,"Other Services"))),"Other Services"))</f>
        <v/>
      </c>
    </row>
    <row r="3967" customFormat="false" ht="15" hidden="false" customHeight="false" outlineLevel="0" collapsed="false">
      <c r="I3967" s="41" t="str">
        <f aca="false">IF(F3967="","",IFERROR(IF(ISNUMBER(SEARCH(Assumptions!$C$5,F3967)),Assumptions!$D$5,IF(ISNUMBER(SEARCH(Assumptions!$C$6,F3967)),Assumptions!$D$6,IF(ISNUMBER(SEARCH(Assumptions!$C$7,F3967)),Assumptions!$D$7,"Other Services"))),"Other Services"))</f>
        <v/>
      </c>
    </row>
    <row r="3968" customFormat="false" ht="15" hidden="false" customHeight="false" outlineLevel="0" collapsed="false">
      <c r="I3968" s="41" t="str">
        <f aca="false">IF(F3968="","",IFERROR(IF(ISNUMBER(SEARCH(Assumptions!$C$5,F3968)),Assumptions!$D$5,IF(ISNUMBER(SEARCH(Assumptions!$C$6,F3968)),Assumptions!$D$6,IF(ISNUMBER(SEARCH(Assumptions!$C$7,F3968)),Assumptions!$D$7,"Other Services"))),"Other Services"))</f>
        <v/>
      </c>
    </row>
    <row r="3969" customFormat="false" ht="15" hidden="false" customHeight="false" outlineLevel="0" collapsed="false">
      <c r="I3969" s="41" t="str">
        <f aca="false">IF(F3969="","",IFERROR(IF(ISNUMBER(SEARCH(Assumptions!$C$5,F3969)),Assumptions!$D$5,IF(ISNUMBER(SEARCH(Assumptions!$C$6,F3969)),Assumptions!$D$6,IF(ISNUMBER(SEARCH(Assumptions!$C$7,F3969)),Assumptions!$D$7,"Other Services"))),"Other Services"))</f>
        <v/>
      </c>
    </row>
    <row r="3970" customFormat="false" ht="15" hidden="false" customHeight="false" outlineLevel="0" collapsed="false">
      <c r="I3970" s="41" t="str">
        <f aca="false">IF(F3970="","",IFERROR(IF(ISNUMBER(SEARCH(Assumptions!$C$5,F3970)),Assumptions!$D$5,IF(ISNUMBER(SEARCH(Assumptions!$C$6,F3970)),Assumptions!$D$6,IF(ISNUMBER(SEARCH(Assumptions!$C$7,F3970)),Assumptions!$D$7,"Other Services"))),"Other Services"))</f>
        <v/>
      </c>
    </row>
    <row r="3971" customFormat="false" ht="15" hidden="false" customHeight="false" outlineLevel="0" collapsed="false">
      <c r="I3971" s="41" t="str">
        <f aca="false">IF(F3971="","",IFERROR(IF(ISNUMBER(SEARCH(Assumptions!$C$5,F3971)),Assumptions!$D$5,IF(ISNUMBER(SEARCH(Assumptions!$C$6,F3971)),Assumptions!$D$6,IF(ISNUMBER(SEARCH(Assumptions!$C$7,F3971)),Assumptions!$D$7,"Other Services"))),"Other Services"))</f>
        <v/>
      </c>
    </row>
    <row r="3972" customFormat="false" ht="15" hidden="false" customHeight="false" outlineLevel="0" collapsed="false">
      <c r="I3972" s="41" t="str">
        <f aca="false">IF(F3972="","",IFERROR(IF(ISNUMBER(SEARCH(Assumptions!$C$5,F3972)),Assumptions!$D$5,IF(ISNUMBER(SEARCH(Assumptions!$C$6,F3972)),Assumptions!$D$6,IF(ISNUMBER(SEARCH(Assumptions!$C$7,F3972)),Assumptions!$D$7,"Other Services"))),"Other Services"))</f>
        <v/>
      </c>
    </row>
    <row r="3973" customFormat="false" ht="15" hidden="false" customHeight="false" outlineLevel="0" collapsed="false">
      <c r="I3973" s="41" t="str">
        <f aca="false">IF(F3973="","",IFERROR(IF(ISNUMBER(SEARCH(Assumptions!$C$5,F3973)),Assumptions!$D$5,IF(ISNUMBER(SEARCH(Assumptions!$C$6,F3973)),Assumptions!$D$6,IF(ISNUMBER(SEARCH(Assumptions!$C$7,F3973)),Assumptions!$D$7,"Other Services"))),"Other Services"))</f>
        <v/>
      </c>
    </row>
    <row r="3974" customFormat="false" ht="15" hidden="false" customHeight="false" outlineLevel="0" collapsed="false">
      <c r="I3974" s="41" t="str">
        <f aca="false">IF(F3974="","",IFERROR(IF(ISNUMBER(SEARCH(Assumptions!$C$5,F3974)),Assumptions!$D$5,IF(ISNUMBER(SEARCH(Assumptions!$C$6,F3974)),Assumptions!$D$6,IF(ISNUMBER(SEARCH(Assumptions!$C$7,F3974)),Assumptions!$D$7,"Other Services"))),"Other Services"))</f>
        <v/>
      </c>
    </row>
    <row r="3975" customFormat="false" ht="15" hidden="false" customHeight="false" outlineLevel="0" collapsed="false">
      <c r="I3975" s="41" t="str">
        <f aca="false">IF(F3975="","",IFERROR(IF(ISNUMBER(SEARCH(Assumptions!$C$5,F3975)),Assumptions!$D$5,IF(ISNUMBER(SEARCH(Assumptions!$C$6,F3975)),Assumptions!$D$6,IF(ISNUMBER(SEARCH(Assumptions!$C$7,F3975)),Assumptions!$D$7,"Other Services"))),"Other Services"))</f>
        <v/>
      </c>
    </row>
    <row r="3976" customFormat="false" ht="15" hidden="false" customHeight="false" outlineLevel="0" collapsed="false">
      <c r="I3976" s="41" t="str">
        <f aca="false">IF(F3976="","",IFERROR(IF(ISNUMBER(SEARCH(Assumptions!$C$5,F3976)),Assumptions!$D$5,IF(ISNUMBER(SEARCH(Assumptions!$C$6,F3976)),Assumptions!$D$6,IF(ISNUMBER(SEARCH(Assumptions!$C$7,F3976)),Assumptions!$D$7,"Other Services"))),"Other Services"))</f>
        <v/>
      </c>
    </row>
    <row r="3977" customFormat="false" ht="15" hidden="false" customHeight="false" outlineLevel="0" collapsed="false">
      <c r="I3977" s="41" t="str">
        <f aca="false">IF(F3977="","",IFERROR(IF(ISNUMBER(SEARCH(Assumptions!$C$5,F3977)),Assumptions!$D$5,IF(ISNUMBER(SEARCH(Assumptions!$C$6,F3977)),Assumptions!$D$6,IF(ISNUMBER(SEARCH(Assumptions!$C$7,F3977)),Assumptions!$D$7,"Other Services"))),"Other Services"))</f>
        <v/>
      </c>
    </row>
    <row r="3978" customFormat="false" ht="15" hidden="false" customHeight="false" outlineLevel="0" collapsed="false">
      <c r="I3978" s="41" t="str">
        <f aca="false">IF(F3978="","",IFERROR(IF(ISNUMBER(SEARCH(Assumptions!$C$5,F3978)),Assumptions!$D$5,IF(ISNUMBER(SEARCH(Assumptions!$C$6,F3978)),Assumptions!$D$6,IF(ISNUMBER(SEARCH(Assumptions!$C$7,F3978)),Assumptions!$D$7,"Other Services"))),"Other Services"))</f>
        <v/>
      </c>
    </row>
    <row r="3979" customFormat="false" ht="15" hidden="false" customHeight="false" outlineLevel="0" collapsed="false">
      <c r="I3979" s="41" t="str">
        <f aca="false">IF(F3979="","",IFERROR(IF(ISNUMBER(SEARCH(Assumptions!$C$5,F3979)),Assumptions!$D$5,IF(ISNUMBER(SEARCH(Assumptions!$C$6,F3979)),Assumptions!$D$6,IF(ISNUMBER(SEARCH(Assumptions!$C$7,F3979)),Assumptions!$D$7,"Other Services"))),"Other Services"))</f>
        <v/>
      </c>
    </row>
    <row r="3980" customFormat="false" ht="15" hidden="false" customHeight="false" outlineLevel="0" collapsed="false">
      <c r="I3980" s="41" t="str">
        <f aca="false">IF(F3980="","",IFERROR(IF(ISNUMBER(SEARCH(Assumptions!$C$5,F3980)),Assumptions!$D$5,IF(ISNUMBER(SEARCH(Assumptions!$C$6,F3980)),Assumptions!$D$6,IF(ISNUMBER(SEARCH(Assumptions!$C$7,F3980)),Assumptions!$D$7,"Other Services"))),"Other Services"))</f>
        <v/>
      </c>
    </row>
    <row r="3981" customFormat="false" ht="15" hidden="false" customHeight="false" outlineLevel="0" collapsed="false">
      <c r="I3981" s="41" t="str">
        <f aca="false">IF(F3981="","",IFERROR(IF(ISNUMBER(SEARCH(Assumptions!$C$5,F3981)),Assumptions!$D$5,IF(ISNUMBER(SEARCH(Assumptions!$C$6,F3981)),Assumptions!$D$6,IF(ISNUMBER(SEARCH(Assumptions!$C$7,F3981)),Assumptions!$D$7,"Other Services"))),"Other Services"))</f>
        <v/>
      </c>
    </row>
    <row r="3982" customFormat="false" ht="15" hidden="false" customHeight="false" outlineLevel="0" collapsed="false">
      <c r="I3982" s="41" t="str">
        <f aca="false">IF(F3982="","",IFERROR(IF(ISNUMBER(SEARCH(Assumptions!$C$5,F3982)),Assumptions!$D$5,IF(ISNUMBER(SEARCH(Assumptions!$C$6,F3982)),Assumptions!$D$6,IF(ISNUMBER(SEARCH(Assumptions!$C$7,F3982)),Assumptions!$D$7,"Other Services"))),"Other Services"))</f>
        <v/>
      </c>
    </row>
    <row r="3983" customFormat="false" ht="15" hidden="false" customHeight="false" outlineLevel="0" collapsed="false">
      <c r="I3983" s="41" t="str">
        <f aca="false">IF(F3983="","",IFERROR(IF(ISNUMBER(SEARCH(Assumptions!$C$5,F3983)),Assumptions!$D$5,IF(ISNUMBER(SEARCH(Assumptions!$C$6,F3983)),Assumptions!$D$6,IF(ISNUMBER(SEARCH(Assumptions!$C$7,F3983)),Assumptions!$D$7,"Other Services"))),"Other Services"))</f>
        <v/>
      </c>
    </row>
    <row r="3984" customFormat="false" ht="15" hidden="false" customHeight="false" outlineLevel="0" collapsed="false">
      <c r="I3984" s="41" t="str">
        <f aca="false">IF(F3984="","",IFERROR(IF(ISNUMBER(SEARCH(Assumptions!$C$5,F3984)),Assumptions!$D$5,IF(ISNUMBER(SEARCH(Assumptions!$C$6,F3984)),Assumptions!$D$6,IF(ISNUMBER(SEARCH(Assumptions!$C$7,F3984)),Assumptions!$D$7,"Other Services"))),"Other Services"))</f>
        <v/>
      </c>
    </row>
    <row r="3985" customFormat="false" ht="15" hidden="false" customHeight="false" outlineLevel="0" collapsed="false">
      <c r="I3985" s="41" t="str">
        <f aca="false">IF(F3985="","",IFERROR(IF(ISNUMBER(SEARCH(Assumptions!$C$5,F3985)),Assumptions!$D$5,IF(ISNUMBER(SEARCH(Assumptions!$C$6,F3985)),Assumptions!$D$6,IF(ISNUMBER(SEARCH(Assumptions!$C$7,F3985)),Assumptions!$D$7,"Other Services"))),"Other Services"))</f>
        <v/>
      </c>
    </row>
    <row r="3986" customFormat="false" ht="15" hidden="false" customHeight="false" outlineLevel="0" collapsed="false">
      <c r="I3986" s="41" t="str">
        <f aca="false">IF(F3986="","",IFERROR(IF(ISNUMBER(SEARCH(Assumptions!$C$5,F3986)),Assumptions!$D$5,IF(ISNUMBER(SEARCH(Assumptions!$C$6,F3986)),Assumptions!$D$6,IF(ISNUMBER(SEARCH(Assumptions!$C$7,F3986)),Assumptions!$D$7,"Other Services"))),"Other Services"))</f>
        <v/>
      </c>
    </row>
    <row r="3987" customFormat="false" ht="15" hidden="false" customHeight="false" outlineLevel="0" collapsed="false">
      <c r="I3987" s="41" t="str">
        <f aca="false">IF(F3987="","",IFERROR(IF(ISNUMBER(SEARCH(Assumptions!$C$5,F3987)),Assumptions!$D$5,IF(ISNUMBER(SEARCH(Assumptions!$C$6,F3987)),Assumptions!$D$6,IF(ISNUMBER(SEARCH(Assumptions!$C$7,F3987)),Assumptions!$D$7,"Other Services"))),"Other Services"))</f>
        <v/>
      </c>
    </row>
    <row r="3988" customFormat="false" ht="15" hidden="false" customHeight="false" outlineLevel="0" collapsed="false">
      <c r="I3988" s="41" t="str">
        <f aca="false">IF(F3988="","",IFERROR(IF(ISNUMBER(SEARCH(Assumptions!$C$5,F3988)),Assumptions!$D$5,IF(ISNUMBER(SEARCH(Assumptions!$C$6,F3988)),Assumptions!$D$6,IF(ISNUMBER(SEARCH(Assumptions!$C$7,F3988)),Assumptions!$D$7,"Other Services"))),"Other Services"))</f>
        <v/>
      </c>
    </row>
    <row r="3989" customFormat="false" ht="15" hidden="false" customHeight="false" outlineLevel="0" collapsed="false">
      <c r="I3989" s="41" t="str">
        <f aca="false">IF(F3989="","",IFERROR(IF(ISNUMBER(SEARCH(Assumptions!$C$5,F3989)),Assumptions!$D$5,IF(ISNUMBER(SEARCH(Assumptions!$C$6,F3989)),Assumptions!$D$6,IF(ISNUMBER(SEARCH(Assumptions!$C$7,F3989)),Assumptions!$D$7,"Other Services"))),"Other Services"))</f>
        <v/>
      </c>
    </row>
    <row r="3990" customFormat="false" ht="15" hidden="false" customHeight="false" outlineLevel="0" collapsed="false">
      <c r="I3990" s="41" t="str">
        <f aca="false">IF(F3990="","",IFERROR(IF(ISNUMBER(SEARCH(Assumptions!$C$5,F3990)),Assumptions!$D$5,IF(ISNUMBER(SEARCH(Assumptions!$C$6,F3990)),Assumptions!$D$6,IF(ISNUMBER(SEARCH(Assumptions!$C$7,F3990)),Assumptions!$D$7,"Other Services"))),"Other Services"))</f>
        <v/>
      </c>
    </row>
    <row r="3991" customFormat="false" ht="15" hidden="false" customHeight="false" outlineLevel="0" collapsed="false">
      <c r="I3991" s="41" t="str">
        <f aca="false">IF(F3991="","",IFERROR(IF(ISNUMBER(SEARCH(Assumptions!$C$5,F3991)),Assumptions!$D$5,IF(ISNUMBER(SEARCH(Assumptions!$C$6,F3991)),Assumptions!$D$6,IF(ISNUMBER(SEARCH(Assumptions!$C$7,F3991)),Assumptions!$D$7,"Other Services"))),"Other Services"))</f>
        <v/>
      </c>
    </row>
    <row r="3992" customFormat="false" ht="15" hidden="false" customHeight="false" outlineLevel="0" collapsed="false">
      <c r="I3992" s="41" t="str">
        <f aca="false">IF(F3992="","",IFERROR(IF(ISNUMBER(SEARCH(Assumptions!$C$5,F3992)),Assumptions!$D$5,IF(ISNUMBER(SEARCH(Assumptions!$C$6,F3992)),Assumptions!$D$6,IF(ISNUMBER(SEARCH(Assumptions!$C$7,F3992)),Assumptions!$D$7,"Other Services"))),"Other Services"))</f>
        <v/>
      </c>
    </row>
    <row r="3993" customFormat="false" ht="15" hidden="false" customHeight="false" outlineLevel="0" collapsed="false">
      <c r="I3993" s="41" t="str">
        <f aca="false">IF(F3993="","",IFERROR(IF(ISNUMBER(SEARCH(Assumptions!$C$5,F3993)),Assumptions!$D$5,IF(ISNUMBER(SEARCH(Assumptions!$C$6,F3993)),Assumptions!$D$6,IF(ISNUMBER(SEARCH(Assumptions!$C$7,F3993)),Assumptions!$D$7,"Other Services"))),"Other Services"))</f>
        <v/>
      </c>
    </row>
    <row r="3994" customFormat="false" ht="15" hidden="false" customHeight="false" outlineLevel="0" collapsed="false">
      <c r="I3994" s="41" t="str">
        <f aca="false">IF(F3994="","",IFERROR(IF(ISNUMBER(SEARCH(Assumptions!$C$5,F3994)),Assumptions!$D$5,IF(ISNUMBER(SEARCH(Assumptions!$C$6,F3994)),Assumptions!$D$6,IF(ISNUMBER(SEARCH(Assumptions!$C$7,F3994)),Assumptions!$D$7,"Other Services"))),"Other Services"))</f>
        <v/>
      </c>
    </row>
    <row r="3995" customFormat="false" ht="15" hidden="false" customHeight="false" outlineLevel="0" collapsed="false">
      <c r="I3995" s="41" t="str">
        <f aca="false">IF(F3995="","",IFERROR(IF(ISNUMBER(SEARCH(Assumptions!$C$5,F3995)),Assumptions!$D$5,IF(ISNUMBER(SEARCH(Assumptions!$C$6,F3995)),Assumptions!$D$6,IF(ISNUMBER(SEARCH(Assumptions!$C$7,F3995)),Assumptions!$D$7,"Other Services"))),"Other Services"))</f>
        <v/>
      </c>
    </row>
    <row r="3996" customFormat="false" ht="15" hidden="false" customHeight="false" outlineLevel="0" collapsed="false">
      <c r="I3996" s="41" t="str">
        <f aca="false">IF(F3996="","",IFERROR(IF(ISNUMBER(SEARCH(Assumptions!$C$5,F3996)),Assumptions!$D$5,IF(ISNUMBER(SEARCH(Assumptions!$C$6,F3996)),Assumptions!$D$6,IF(ISNUMBER(SEARCH(Assumptions!$C$7,F3996)),Assumptions!$D$7,"Other Services"))),"Other Services"))</f>
        <v/>
      </c>
    </row>
    <row r="3997" customFormat="false" ht="15" hidden="false" customHeight="false" outlineLevel="0" collapsed="false">
      <c r="I3997" s="41" t="str">
        <f aca="false">IF(F3997="","",IFERROR(IF(ISNUMBER(SEARCH(Assumptions!$C$5,F3997)),Assumptions!$D$5,IF(ISNUMBER(SEARCH(Assumptions!$C$6,F3997)),Assumptions!$D$6,IF(ISNUMBER(SEARCH(Assumptions!$C$7,F3997)),Assumptions!$D$7,"Other Services"))),"Other Services"))</f>
        <v/>
      </c>
    </row>
    <row r="3998" customFormat="false" ht="15" hidden="false" customHeight="false" outlineLevel="0" collapsed="false">
      <c r="I3998" s="41" t="str">
        <f aca="false">IF(F3998="","",IFERROR(IF(ISNUMBER(SEARCH(Assumptions!$C$5,F3998)),Assumptions!$D$5,IF(ISNUMBER(SEARCH(Assumptions!$C$6,F3998)),Assumptions!$D$6,IF(ISNUMBER(SEARCH(Assumptions!$C$7,F3998)),Assumptions!$D$7,"Other Services"))),"Other Services"))</f>
        <v/>
      </c>
    </row>
    <row r="3999" customFormat="false" ht="15" hidden="false" customHeight="false" outlineLevel="0" collapsed="false">
      <c r="I3999" s="41" t="str">
        <f aca="false">IF(F3999="","",IFERROR(IF(ISNUMBER(SEARCH(Assumptions!$C$5,F3999)),Assumptions!$D$5,IF(ISNUMBER(SEARCH(Assumptions!$C$6,F3999)),Assumptions!$D$6,IF(ISNUMBER(SEARCH(Assumptions!$C$7,F3999)),Assumptions!$D$7,"Other Services"))),"Other Services"))</f>
        <v/>
      </c>
    </row>
    <row r="4000" customFormat="false" ht="15" hidden="false" customHeight="false" outlineLevel="0" collapsed="false">
      <c r="I4000" s="41" t="str">
        <f aca="false">IF(F4000="","",IFERROR(IF(ISNUMBER(SEARCH(Assumptions!$C$5,F4000)),Assumptions!$D$5,IF(ISNUMBER(SEARCH(Assumptions!$C$6,F4000)),Assumptions!$D$6,IF(ISNUMBER(SEARCH(Assumptions!$C$7,F4000)),Assumptions!$D$7,"Other Services"))),"Other Services"))</f>
        <v/>
      </c>
    </row>
    <row r="4001" customFormat="false" ht="15" hidden="false" customHeight="false" outlineLevel="0" collapsed="false">
      <c r="I4001" s="41" t="str">
        <f aca="false">IF(F4001="","",IFERROR(IF(ISNUMBER(SEARCH(Assumptions!$C$5,F4001)),Assumptions!$D$5,IF(ISNUMBER(SEARCH(Assumptions!$C$6,F4001)),Assumptions!$D$6,IF(ISNUMBER(SEARCH(Assumptions!$C$7,F4001)),Assumptions!$D$7,"Other Services"))),"Other Services"))</f>
        <v/>
      </c>
    </row>
    <row r="4002" customFormat="false" ht="15" hidden="false" customHeight="false" outlineLevel="0" collapsed="false">
      <c r="I4002" s="41" t="str">
        <f aca="false">IF(F4002="","",IFERROR(IF(ISNUMBER(SEARCH(Assumptions!$C$5,F4002)),Assumptions!$D$5,IF(ISNUMBER(SEARCH(Assumptions!$C$6,F4002)),Assumptions!$D$6,IF(ISNUMBER(SEARCH(Assumptions!$C$7,F4002)),Assumptions!$D$7,"Other Services"))),"Other Services"))</f>
        <v/>
      </c>
    </row>
    <row r="4003" customFormat="false" ht="15" hidden="false" customHeight="false" outlineLevel="0" collapsed="false">
      <c r="I4003" s="41" t="str">
        <f aca="false">IF(F4003="","",IFERROR(IF(ISNUMBER(SEARCH(Assumptions!$C$5,F4003)),Assumptions!$D$5,IF(ISNUMBER(SEARCH(Assumptions!$C$6,F4003)),Assumptions!$D$6,IF(ISNUMBER(SEARCH(Assumptions!$C$7,F4003)),Assumptions!$D$7,"Other Services"))),"Other Services"))</f>
        <v/>
      </c>
    </row>
    <row r="4004" customFormat="false" ht="15" hidden="false" customHeight="false" outlineLevel="0" collapsed="false">
      <c r="I4004" s="41" t="str">
        <f aca="false">IF(F4004="","",IFERROR(IF(ISNUMBER(SEARCH(Assumptions!$C$5,F4004)),Assumptions!$D$5,IF(ISNUMBER(SEARCH(Assumptions!$C$6,F4004)),Assumptions!$D$6,IF(ISNUMBER(SEARCH(Assumptions!$C$7,F4004)),Assumptions!$D$7,"Other Services"))),"Other Services"))</f>
        <v/>
      </c>
    </row>
    <row r="4005" customFormat="false" ht="15" hidden="false" customHeight="false" outlineLevel="0" collapsed="false">
      <c r="I4005" s="41" t="str">
        <f aca="false">IF(F4005="","",IFERROR(IF(ISNUMBER(SEARCH(Assumptions!$C$5,F4005)),Assumptions!$D$5,IF(ISNUMBER(SEARCH(Assumptions!$C$6,F4005)),Assumptions!$D$6,IF(ISNUMBER(SEARCH(Assumptions!$C$7,F4005)),Assumptions!$D$7,"Other Services"))),"Other Services"))</f>
        <v/>
      </c>
    </row>
    <row r="4006" customFormat="false" ht="15" hidden="false" customHeight="false" outlineLevel="0" collapsed="false">
      <c r="I4006" s="41" t="str">
        <f aca="false">IF(F4006="","",IFERROR(IF(ISNUMBER(SEARCH(Assumptions!$C$5,F4006)),Assumptions!$D$5,IF(ISNUMBER(SEARCH(Assumptions!$C$6,F4006)),Assumptions!$D$6,IF(ISNUMBER(SEARCH(Assumptions!$C$7,F4006)),Assumptions!$D$7,"Other Services"))),"Other Services"))</f>
        <v/>
      </c>
    </row>
    <row r="4007" customFormat="false" ht="15" hidden="false" customHeight="false" outlineLevel="0" collapsed="false">
      <c r="I4007" s="41" t="str">
        <f aca="false">IF(F4007="","",IFERROR(IF(ISNUMBER(SEARCH(Assumptions!$C$5,F4007)),Assumptions!$D$5,IF(ISNUMBER(SEARCH(Assumptions!$C$6,F4007)),Assumptions!$D$6,IF(ISNUMBER(SEARCH(Assumptions!$C$7,F4007)),Assumptions!$D$7,"Other Services"))),"Other Services"))</f>
        <v/>
      </c>
    </row>
    <row r="4008" customFormat="false" ht="15" hidden="false" customHeight="false" outlineLevel="0" collapsed="false">
      <c r="I4008" s="41" t="str">
        <f aca="false">IF(F4008="","",IFERROR(IF(ISNUMBER(SEARCH(Assumptions!$C$5,F4008)),Assumptions!$D$5,IF(ISNUMBER(SEARCH(Assumptions!$C$6,F4008)),Assumptions!$D$6,IF(ISNUMBER(SEARCH(Assumptions!$C$7,F4008)),Assumptions!$D$7,"Other Services"))),"Other Services"))</f>
        <v/>
      </c>
    </row>
    <row r="4009" customFormat="false" ht="15" hidden="false" customHeight="false" outlineLevel="0" collapsed="false">
      <c r="I4009" s="41" t="str">
        <f aca="false">IF(F4009="","",IFERROR(IF(ISNUMBER(SEARCH(Assumptions!$C$5,F4009)),Assumptions!$D$5,IF(ISNUMBER(SEARCH(Assumptions!$C$6,F4009)),Assumptions!$D$6,IF(ISNUMBER(SEARCH(Assumptions!$C$7,F4009)),Assumptions!$D$7,"Other Services"))),"Other Services"))</f>
        <v/>
      </c>
    </row>
    <row r="4010" customFormat="false" ht="15" hidden="false" customHeight="false" outlineLevel="0" collapsed="false">
      <c r="I4010" s="41" t="str">
        <f aca="false">IF(F4010="","",IFERROR(IF(ISNUMBER(SEARCH(Assumptions!$C$5,F4010)),Assumptions!$D$5,IF(ISNUMBER(SEARCH(Assumptions!$C$6,F4010)),Assumptions!$D$6,IF(ISNUMBER(SEARCH(Assumptions!$C$7,F4010)),Assumptions!$D$7,"Other Services"))),"Other Services"))</f>
        <v/>
      </c>
    </row>
    <row r="4011" customFormat="false" ht="15" hidden="false" customHeight="false" outlineLevel="0" collapsed="false">
      <c r="I4011" s="41" t="str">
        <f aca="false">IF(F4011="","",IFERROR(IF(ISNUMBER(SEARCH(Assumptions!$C$5,F4011)),Assumptions!$D$5,IF(ISNUMBER(SEARCH(Assumptions!$C$6,F4011)),Assumptions!$D$6,IF(ISNUMBER(SEARCH(Assumptions!$C$7,F4011)),Assumptions!$D$7,"Other Services"))),"Other Services"))</f>
        <v/>
      </c>
    </row>
    <row r="4012" customFormat="false" ht="15" hidden="false" customHeight="false" outlineLevel="0" collapsed="false">
      <c r="I4012" s="41" t="str">
        <f aca="false">IF(F4012="","",IFERROR(IF(ISNUMBER(SEARCH(Assumptions!$C$5,F4012)),Assumptions!$D$5,IF(ISNUMBER(SEARCH(Assumptions!$C$6,F4012)),Assumptions!$D$6,IF(ISNUMBER(SEARCH(Assumptions!$C$7,F4012)),Assumptions!$D$7,"Other Services"))),"Other Services"))</f>
        <v/>
      </c>
    </row>
    <row r="4013" customFormat="false" ht="15" hidden="false" customHeight="false" outlineLevel="0" collapsed="false">
      <c r="I4013" s="41" t="str">
        <f aca="false">IF(F4013="","",IFERROR(IF(ISNUMBER(SEARCH(Assumptions!$C$5,F4013)),Assumptions!$D$5,IF(ISNUMBER(SEARCH(Assumptions!$C$6,F4013)),Assumptions!$D$6,IF(ISNUMBER(SEARCH(Assumptions!$C$7,F4013)),Assumptions!$D$7,"Other Services"))),"Other Services"))</f>
        <v/>
      </c>
    </row>
    <row r="4014" customFormat="false" ht="15" hidden="false" customHeight="false" outlineLevel="0" collapsed="false">
      <c r="I4014" s="41" t="str">
        <f aca="false">IF(F4014="","",IFERROR(IF(ISNUMBER(SEARCH(Assumptions!$C$5,F4014)),Assumptions!$D$5,IF(ISNUMBER(SEARCH(Assumptions!$C$6,F4014)),Assumptions!$D$6,IF(ISNUMBER(SEARCH(Assumptions!$C$7,F4014)),Assumptions!$D$7,"Other Services"))),"Other Services"))</f>
        <v/>
      </c>
    </row>
    <row r="4015" customFormat="false" ht="15" hidden="false" customHeight="false" outlineLevel="0" collapsed="false">
      <c r="I4015" s="41" t="str">
        <f aca="false">IF(F4015="","",IFERROR(IF(ISNUMBER(SEARCH(Assumptions!$C$5,F4015)),Assumptions!$D$5,IF(ISNUMBER(SEARCH(Assumptions!$C$6,F4015)),Assumptions!$D$6,IF(ISNUMBER(SEARCH(Assumptions!$C$7,F4015)),Assumptions!$D$7,"Other Services"))),"Other Services"))</f>
        <v/>
      </c>
    </row>
    <row r="4016" customFormat="false" ht="15" hidden="false" customHeight="false" outlineLevel="0" collapsed="false">
      <c r="I4016" s="41" t="str">
        <f aca="false">IF(F4016="","",IFERROR(IF(ISNUMBER(SEARCH(Assumptions!$C$5,F4016)),Assumptions!$D$5,IF(ISNUMBER(SEARCH(Assumptions!$C$6,F4016)),Assumptions!$D$6,IF(ISNUMBER(SEARCH(Assumptions!$C$7,F4016)),Assumptions!$D$7,"Other Services"))),"Other Services"))</f>
        <v/>
      </c>
    </row>
    <row r="4017" customFormat="false" ht="15" hidden="false" customHeight="false" outlineLevel="0" collapsed="false">
      <c r="I4017" s="41" t="str">
        <f aca="false">IF(F4017="","",IFERROR(IF(ISNUMBER(SEARCH(Assumptions!$C$5,F4017)),Assumptions!$D$5,IF(ISNUMBER(SEARCH(Assumptions!$C$6,F4017)),Assumptions!$D$6,IF(ISNUMBER(SEARCH(Assumptions!$C$7,F4017)),Assumptions!$D$7,"Other Services"))),"Other Services"))</f>
        <v/>
      </c>
    </row>
    <row r="4018" customFormat="false" ht="15" hidden="false" customHeight="false" outlineLevel="0" collapsed="false">
      <c r="I4018" s="41" t="str">
        <f aca="false">IF(F4018="","",IFERROR(IF(ISNUMBER(SEARCH(Assumptions!$C$5,F4018)),Assumptions!$D$5,IF(ISNUMBER(SEARCH(Assumptions!$C$6,F4018)),Assumptions!$D$6,IF(ISNUMBER(SEARCH(Assumptions!$C$7,F4018)),Assumptions!$D$7,"Other Services"))),"Other Services"))</f>
        <v/>
      </c>
    </row>
    <row r="4019" customFormat="false" ht="15" hidden="false" customHeight="false" outlineLevel="0" collapsed="false">
      <c r="I4019" s="41" t="str">
        <f aca="false">IF(F4019="","",IFERROR(IF(ISNUMBER(SEARCH(Assumptions!$C$5,F4019)),Assumptions!$D$5,IF(ISNUMBER(SEARCH(Assumptions!$C$6,F4019)),Assumptions!$D$6,IF(ISNUMBER(SEARCH(Assumptions!$C$7,F4019)),Assumptions!$D$7,"Other Services"))),"Other Services"))</f>
        <v/>
      </c>
    </row>
    <row r="4020" customFormat="false" ht="15" hidden="false" customHeight="false" outlineLevel="0" collapsed="false">
      <c r="I4020" s="41" t="str">
        <f aca="false">IF(F4020="","",IFERROR(IF(ISNUMBER(SEARCH(Assumptions!$C$5,F4020)),Assumptions!$D$5,IF(ISNUMBER(SEARCH(Assumptions!$C$6,F4020)),Assumptions!$D$6,IF(ISNUMBER(SEARCH(Assumptions!$C$7,F4020)),Assumptions!$D$7,"Other Services"))),"Other Services"))</f>
        <v/>
      </c>
    </row>
    <row r="4021" customFormat="false" ht="15" hidden="false" customHeight="false" outlineLevel="0" collapsed="false">
      <c r="I4021" s="41" t="str">
        <f aca="false">IF(F4021="","",IFERROR(IF(ISNUMBER(SEARCH(Assumptions!$C$5,F4021)),Assumptions!$D$5,IF(ISNUMBER(SEARCH(Assumptions!$C$6,F4021)),Assumptions!$D$6,IF(ISNUMBER(SEARCH(Assumptions!$C$7,F4021)),Assumptions!$D$7,"Other Services"))),"Other Services"))</f>
        <v/>
      </c>
    </row>
    <row r="4022" customFormat="false" ht="15" hidden="false" customHeight="false" outlineLevel="0" collapsed="false">
      <c r="I4022" s="41" t="str">
        <f aca="false">IF(F4022="","",IFERROR(IF(ISNUMBER(SEARCH(Assumptions!$C$5,F4022)),Assumptions!$D$5,IF(ISNUMBER(SEARCH(Assumptions!$C$6,F4022)),Assumptions!$D$6,IF(ISNUMBER(SEARCH(Assumptions!$C$7,F4022)),Assumptions!$D$7,"Other Services"))),"Other Services"))</f>
        <v/>
      </c>
    </row>
    <row r="4023" customFormat="false" ht="15" hidden="false" customHeight="false" outlineLevel="0" collapsed="false">
      <c r="I4023" s="41" t="str">
        <f aca="false">IF(F4023="","",IFERROR(IF(ISNUMBER(SEARCH(Assumptions!$C$5,F4023)),Assumptions!$D$5,IF(ISNUMBER(SEARCH(Assumptions!$C$6,F4023)),Assumptions!$D$6,IF(ISNUMBER(SEARCH(Assumptions!$C$7,F4023)),Assumptions!$D$7,"Other Services"))),"Other Services"))</f>
        <v/>
      </c>
    </row>
    <row r="4024" customFormat="false" ht="15" hidden="false" customHeight="false" outlineLevel="0" collapsed="false">
      <c r="I4024" s="41" t="str">
        <f aca="false">IF(F4024="","",IFERROR(IF(ISNUMBER(SEARCH(Assumptions!$C$5,F4024)),Assumptions!$D$5,IF(ISNUMBER(SEARCH(Assumptions!$C$6,F4024)),Assumptions!$D$6,IF(ISNUMBER(SEARCH(Assumptions!$C$7,F4024)),Assumptions!$D$7,"Other Services"))),"Other Services"))</f>
        <v/>
      </c>
    </row>
    <row r="4025" customFormat="false" ht="15" hidden="false" customHeight="false" outlineLevel="0" collapsed="false">
      <c r="I4025" s="41" t="str">
        <f aca="false">IF(F4025="","",IFERROR(IF(ISNUMBER(SEARCH(Assumptions!$C$5,F4025)),Assumptions!$D$5,IF(ISNUMBER(SEARCH(Assumptions!$C$6,F4025)),Assumptions!$D$6,IF(ISNUMBER(SEARCH(Assumptions!$C$7,F4025)),Assumptions!$D$7,"Other Services"))),"Other Services"))</f>
        <v/>
      </c>
    </row>
    <row r="4026" customFormat="false" ht="15" hidden="false" customHeight="false" outlineLevel="0" collapsed="false">
      <c r="I4026" s="41" t="str">
        <f aca="false">IF(F4026="","",IFERROR(IF(ISNUMBER(SEARCH(Assumptions!$C$5,F4026)),Assumptions!$D$5,IF(ISNUMBER(SEARCH(Assumptions!$C$6,F4026)),Assumptions!$D$6,IF(ISNUMBER(SEARCH(Assumptions!$C$7,F4026)),Assumptions!$D$7,"Other Services"))),"Other Services"))</f>
        <v/>
      </c>
    </row>
    <row r="4027" customFormat="false" ht="15" hidden="false" customHeight="false" outlineLevel="0" collapsed="false">
      <c r="I4027" s="41" t="str">
        <f aca="false">IF(F4027="","",IFERROR(IF(ISNUMBER(SEARCH(Assumptions!$C$5,F4027)),Assumptions!$D$5,IF(ISNUMBER(SEARCH(Assumptions!$C$6,F4027)),Assumptions!$D$6,IF(ISNUMBER(SEARCH(Assumptions!$C$7,F4027)),Assumptions!$D$7,"Other Services"))),"Other Services"))</f>
        <v/>
      </c>
    </row>
    <row r="4028" customFormat="false" ht="15" hidden="false" customHeight="false" outlineLevel="0" collapsed="false">
      <c r="I4028" s="41" t="str">
        <f aca="false">IF(F4028="","",IFERROR(IF(ISNUMBER(SEARCH(Assumptions!$C$5,F4028)),Assumptions!$D$5,IF(ISNUMBER(SEARCH(Assumptions!$C$6,F4028)),Assumptions!$D$6,IF(ISNUMBER(SEARCH(Assumptions!$C$7,F4028)),Assumptions!$D$7,"Other Services"))),"Other Services"))</f>
        <v/>
      </c>
    </row>
    <row r="4029" customFormat="false" ht="15" hidden="false" customHeight="false" outlineLevel="0" collapsed="false">
      <c r="I4029" s="41" t="str">
        <f aca="false">IF(F4029="","",IFERROR(IF(ISNUMBER(SEARCH(Assumptions!$C$5,F4029)),Assumptions!$D$5,IF(ISNUMBER(SEARCH(Assumptions!$C$6,F4029)),Assumptions!$D$6,IF(ISNUMBER(SEARCH(Assumptions!$C$7,F4029)),Assumptions!$D$7,"Other Services"))),"Other Services"))</f>
        <v/>
      </c>
    </row>
    <row r="4030" customFormat="false" ht="15" hidden="false" customHeight="false" outlineLevel="0" collapsed="false">
      <c r="I4030" s="41" t="str">
        <f aca="false">IF(F4030="","",IFERROR(IF(ISNUMBER(SEARCH(Assumptions!$C$5,F4030)),Assumptions!$D$5,IF(ISNUMBER(SEARCH(Assumptions!$C$6,F4030)),Assumptions!$D$6,IF(ISNUMBER(SEARCH(Assumptions!$C$7,F4030)),Assumptions!$D$7,"Other Services"))),"Other Services"))</f>
        <v/>
      </c>
    </row>
    <row r="4031" customFormat="false" ht="15" hidden="false" customHeight="false" outlineLevel="0" collapsed="false">
      <c r="I4031" s="41" t="str">
        <f aca="false">IF(F4031="","",IFERROR(IF(ISNUMBER(SEARCH(Assumptions!$C$5,F4031)),Assumptions!$D$5,IF(ISNUMBER(SEARCH(Assumptions!$C$6,F4031)),Assumptions!$D$6,IF(ISNUMBER(SEARCH(Assumptions!$C$7,F4031)),Assumptions!$D$7,"Other Services"))),"Other Services"))</f>
        <v/>
      </c>
    </row>
    <row r="4032" customFormat="false" ht="15" hidden="false" customHeight="false" outlineLevel="0" collapsed="false">
      <c r="I4032" s="41" t="str">
        <f aca="false">IF(F4032="","",IFERROR(IF(ISNUMBER(SEARCH(Assumptions!$C$5,F4032)),Assumptions!$D$5,IF(ISNUMBER(SEARCH(Assumptions!$C$6,F4032)),Assumptions!$D$6,IF(ISNUMBER(SEARCH(Assumptions!$C$7,F4032)),Assumptions!$D$7,"Other Services"))),"Other Services"))</f>
        <v/>
      </c>
    </row>
    <row r="4033" customFormat="false" ht="15" hidden="false" customHeight="false" outlineLevel="0" collapsed="false">
      <c r="I4033" s="41" t="str">
        <f aca="false">IF(F4033="","",IFERROR(IF(ISNUMBER(SEARCH(Assumptions!$C$5,F4033)),Assumptions!$D$5,IF(ISNUMBER(SEARCH(Assumptions!$C$6,F4033)),Assumptions!$D$6,IF(ISNUMBER(SEARCH(Assumptions!$C$7,F4033)),Assumptions!$D$7,"Other Services"))),"Other Services"))</f>
        <v/>
      </c>
    </row>
    <row r="4034" customFormat="false" ht="15" hidden="false" customHeight="false" outlineLevel="0" collapsed="false">
      <c r="I4034" s="41" t="str">
        <f aca="false">IF(F4034="","",IFERROR(IF(ISNUMBER(SEARCH(Assumptions!$C$5,F4034)),Assumptions!$D$5,IF(ISNUMBER(SEARCH(Assumptions!$C$6,F4034)),Assumptions!$D$6,IF(ISNUMBER(SEARCH(Assumptions!$C$7,F4034)),Assumptions!$D$7,"Other Services"))),"Other Services"))</f>
        <v/>
      </c>
    </row>
    <row r="4035" customFormat="false" ht="15" hidden="false" customHeight="false" outlineLevel="0" collapsed="false">
      <c r="I4035" s="41" t="str">
        <f aca="false">IF(F4035="","",IFERROR(IF(ISNUMBER(SEARCH(Assumptions!$C$5,F4035)),Assumptions!$D$5,IF(ISNUMBER(SEARCH(Assumptions!$C$6,F4035)),Assumptions!$D$6,IF(ISNUMBER(SEARCH(Assumptions!$C$7,F4035)),Assumptions!$D$7,"Other Services"))),"Other Services"))</f>
        <v/>
      </c>
    </row>
    <row r="4036" customFormat="false" ht="15" hidden="false" customHeight="false" outlineLevel="0" collapsed="false">
      <c r="I4036" s="41" t="str">
        <f aca="false">IF(F4036="","",IFERROR(IF(ISNUMBER(SEARCH(Assumptions!$C$5,F4036)),Assumptions!$D$5,IF(ISNUMBER(SEARCH(Assumptions!$C$6,F4036)),Assumptions!$D$6,IF(ISNUMBER(SEARCH(Assumptions!$C$7,F4036)),Assumptions!$D$7,"Other Services"))),"Other Services"))</f>
        <v/>
      </c>
    </row>
    <row r="4037" customFormat="false" ht="15" hidden="false" customHeight="false" outlineLevel="0" collapsed="false">
      <c r="I4037" s="41" t="str">
        <f aca="false">IF(F4037="","",IFERROR(IF(ISNUMBER(SEARCH(Assumptions!$C$5,F4037)),Assumptions!$D$5,IF(ISNUMBER(SEARCH(Assumptions!$C$6,F4037)),Assumptions!$D$6,IF(ISNUMBER(SEARCH(Assumptions!$C$7,F4037)),Assumptions!$D$7,"Other Services"))),"Other Services"))</f>
        <v/>
      </c>
    </row>
    <row r="4038" customFormat="false" ht="15" hidden="false" customHeight="false" outlineLevel="0" collapsed="false">
      <c r="I4038" s="41" t="str">
        <f aca="false">IF(F4038="","",IFERROR(IF(ISNUMBER(SEARCH(Assumptions!$C$5,F4038)),Assumptions!$D$5,IF(ISNUMBER(SEARCH(Assumptions!$C$6,F4038)),Assumptions!$D$6,IF(ISNUMBER(SEARCH(Assumptions!$C$7,F4038)),Assumptions!$D$7,"Other Services"))),"Other Services"))</f>
        <v/>
      </c>
    </row>
    <row r="4039" customFormat="false" ht="15" hidden="false" customHeight="false" outlineLevel="0" collapsed="false">
      <c r="I4039" s="41" t="str">
        <f aca="false">IF(F4039="","",IFERROR(IF(ISNUMBER(SEARCH(Assumptions!$C$5,F4039)),Assumptions!$D$5,IF(ISNUMBER(SEARCH(Assumptions!$C$6,F4039)),Assumptions!$D$6,IF(ISNUMBER(SEARCH(Assumptions!$C$7,F4039)),Assumptions!$D$7,"Other Services"))),"Other Services"))</f>
        <v/>
      </c>
    </row>
    <row r="4040" customFormat="false" ht="15" hidden="false" customHeight="false" outlineLevel="0" collapsed="false">
      <c r="I4040" s="41" t="str">
        <f aca="false">IF(F4040="","",IFERROR(IF(ISNUMBER(SEARCH(Assumptions!$C$5,F4040)),Assumptions!$D$5,IF(ISNUMBER(SEARCH(Assumptions!$C$6,F4040)),Assumptions!$D$6,IF(ISNUMBER(SEARCH(Assumptions!$C$7,F4040)),Assumptions!$D$7,"Other Services"))),"Other Services"))</f>
        <v/>
      </c>
    </row>
    <row r="4041" customFormat="false" ht="15" hidden="false" customHeight="false" outlineLevel="0" collapsed="false">
      <c r="I4041" s="41" t="str">
        <f aca="false">IF(F4041="","",IFERROR(IF(ISNUMBER(SEARCH(Assumptions!$C$5,F4041)),Assumptions!$D$5,IF(ISNUMBER(SEARCH(Assumptions!$C$6,F4041)),Assumptions!$D$6,IF(ISNUMBER(SEARCH(Assumptions!$C$7,F4041)),Assumptions!$D$7,"Other Services"))),"Other Services"))</f>
        <v/>
      </c>
    </row>
    <row r="4042" customFormat="false" ht="15" hidden="false" customHeight="false" outlineLevel="0" collapsed="false">
      <c r="I4042" s="41" t="str">
        <f aca="false">IF(F4042="","",IFERROR(IF(ISNUMBER(SEARCH(Assumptions!$C$5,F4042)),Assumptions!$D$5,IF(ISNUMBER(SEARCH(Assumptions!$C$6,F4042)),Assumptions!$D$6,IF(ISNUMBER(SEARCH(Assumptions!$C$7,F4042)),Assumptions!$D$7,"Other Services"))),"Other Services"))</f>
        <v/>
      </c>
    </row>
    <row r="4043" customFormat="false" ht="15" hidden="false" customHeight="false" outlineLevel="0" collapsed="false">
      <c r="I4043" s="41" t="str">
        <f aca="false">IF(F4043="","",IFERROR(IF(ISNUMBER(SEARCH(Assumptions!$C$5,F4043)),Assumptions!$D$5,IF(ISNUMBER(SEARCH(Assumptions!$C$6,F4043)),Assumptions!$D$6,IF(ISNUMBER(SEARCH(Assumptions!$C$7,F4043)),Assumptions!$D$7,"Other Services"))),"Other Services"))</f>
        <v/>
      </c>
    </row>
    <row r="4044" customFormat="false" ht="15" hidden="false" customHeight="false" outlineLevel="0" collapsed="false">
      <c r="I4044" s="41" t="str">
        <f aca="false">IF(F4044="","",IFERROR(IF(ISNUMBER(SEARCH(Assumptions!$C$5,F4044)),Assumptions!$D$5,IF(ISNUMBER(SEARCH(Assumptions!$C$6,F4044)),Assumptions!$D$6,IF(ISNUMBER(SEARCH(Assumptions!$C$7,F4044)),Assumptions!$D$7,"Other Services"))),"Other Services"))</f>
        <v/>
      </c>
    </row>
    <row r="4045" customFormat="false" ht="15" hidden="false" customHeight="false" outlineLevel="0" collapsed="false">
      <c r="I4045" s="41" t="str">
        <f aca="false">IF(F4045="","",IFERROR(IF(ISNUMBER(SEARCH(Assumptions!$C$5,F4045)),Assumptions!$D$5,IF(ISNUMBER(SEARCH(Assumptions!$C$6,F4045)),Assumptions!$D$6,IF(ISNUMBER(SEARCH(Assumptions!$C$7,F4045)),Assumptions!$D$7,"Other Services"))),"Other Services"))</f>
        <v/>
      </c>
    </row>
    <row r="4046" customFormat="false" ht="15" hidden="false" customHeight="false" outlineLevel="0" collapsed="false">
      <c r="I4046" s="41" t="str">
        <f aca="false">IF(F4046="","",IFERROR(IF(ISNUMBER(SEARCH(Assumptions!$C$5,F4046)),Assumptions!$D$5,IF(ISNUMBER(SEARCH(Assumptions!$C$6,F4046)),Assumptions!$D$6,IF(ISNUMBER(SEARCH(Assumptions!$C$7,F4046)),Assumptions!$D$7,"Other Services"))),"Other Services"))</f>
        <v/>
      </c>
    </row>
    <row r="4047" customFormat="false" ht="15" hidden="false" customHeight="false" outlineLevel="0" collapsed="false">
      <c r="I4047" s="41" t="str">
        <f aca="false">IF(F4047="","",IFERROR(IF(ISNUMBER(SEARCH(Assumptions!$C$5,F4047)),Assumptions!$D$5,IF(ISNUMBER(SEARCH(Assumptions!$C$6,F4047)),Assumptions!$D$6,IF(ISNUMBER(SEARCH(Assumptions!$C$7,F4047)),Assumptions!$D$7,"Other Services"))),"Other Services"))</f>
        <v/>
      </c>
    </row>
    <row r="4048" customFormat="false" ht="15" hidden="false" customHeight="false" outlineLevel="0" collapsed="false">
      <c r="I4048" s="41" t="str">
        <f aca="false">IF(F4048="","",IFERROR(IF(ISNUMBER(SEARCH(Assumptions!$C$5,F4048)),Assumptions!$D$5,IF(ISNUMBER(SEARCH(Assumptions!$C$6,F4048)),Assumptions!$D$6,IF(ISNUMBER(SEARCH(Assumptions!$C$7,F4048)),Assumptions!$D$7,"Other Services"))),"Other Services"))</f>
        <v/>
      </c>
    </row>
    <row r="4049" customFormat="false" ht="15" hidden="false" customHeight="false" outlineLevel="0" collapsed="false">
      <c r="I4049" s="41" t="str">
        <f aca="false">IF(F4049="","",IFERROR(IF(ISNUMBER(SEARCH(Assumptions!$C$5,F4049)),Assumptions!$D$5,IF(ISNUMBER(SEARCH(Assumptions!$C$6,F4049)),Assumptions!$D$6,IF(ISNUMBER(SEARCH(Assumptions!$C$7,F4049)),Assumptions!$D$7,"Other Services"))),"Other Services"))</f>
        <v/>
      </c>
    </row>
    <row r="4050" customFormat="false" ht="15" hidden="false" customHeight="false" outlineLevel="0" collapsed="false">
      <c r="I4050" s="41" t="str">
        <f aca="false">IF(F4050="","",IFERROR(IF(ISNUMBER(SEARCH(Assumptions!$C$5,F4050)),Assumptions!$D$5,IF(ISNUMBER(SEARCH(Assumptions!$C$6,F4050)),Assumptions!$D$6,IF(ISNUMBER(SEARCH(Assumptions!$C$7,F4050)),Assumptions!$D$7,"Other Services"))),"Other Services"))</f>
        <v/>
      </c>
    </row>
    <row r="4051" customFormat="false" ht="15" hidden="false" customHeight="false" outlineLevel="0" collapsed="false">
      <c r="I4051" s="41" t="str">
        <f aca="false">IF(F4051="","",IFERROR(IF(ISNUMBER(SEARCH(Assumptions!$C$5,F4051)),Assumptions!$D$5,IF(ISNUMBER(SEARCH(Assumptions!$C$6,F4051)),Assumptions!$D$6,IF(ISNUMBER(SEARCH(Assumptions!$C$7,F4051)),Assumptions!$D$7,"Other Services"))),"Other Services"))</f>
        <v/>
      </c>
    </row>
    <row r="4052" customFormat="false" ht="15" hidden="false" customHeight="false" outlineLevel="0" collapsed="false">
      <c r="I4052" s="41" t="str">
        <f aca="false">IF(F4052="","",IFERROR(IF(ISNUMBER(SEARCH(Assumptions!$C$5,F4052)),Assumptions!$D$5,IF(ISNUMBER(SEARCH(Assumptions!$C$6,F4052)),Assumptions!$D$6,IF(ISNUMBER(SEARCH(Assumptions!$C$7,F4052)),Assumptions!$D$7,"Other Services"))),"Other Services"))</f>
        <v/>
      </c>
    </row>
    <row r="4053" customFormat="false" ht="15" hidden="false" customHeight="false" outlineLevel="0" collapsed="false">
      <c r="I4053" s="41" t="str">
        <f aca="false">IF(F4053="","",IFERROR(IF(ISNUMBER(SEARCH(Assumptions!$C$5,F4053)),Assumptions!$D$5,IF(ISNUMBER(SEARCH(Assumptions!$C$6,F4053)),Assumptions!$D$6,IF(ISNUMBER(SEARCH(Assumptions!$C$7,F4053)),Assumptions!$D$7,"Other Services"))),"Other Services"))</f>
        <v/>
      </c>
    </row>
    <row r="4054" customFormat="false" ht="15" hidden="false" customHeight="false" outlineLevel="0" collapsed="false">
      <c r="I4054" s="41" t="str">
        <f aca="false">IF(F4054="","",IFERROR(IF(ISNUMBER(SEARCH(Assumptions!$C$5,F4054)),Assumptions!$D$5,IF(ISNUMBER(SEARCH(Assumptions!$C$6,F4054)),Assumptions!$D$6,IF(ISNUMBER(SEARCH(Assumptions!$C$7,F4054)),Assumptions!$D$7,"Other Services"))),"Other Services"))</f>
        <v/>
      </c>
    </row>
    <row r="4055" customFormat="false" ht="15" hidden="false" customHeight="false" outlineLevel="0" collapsed="false">
      <c r="I4055" s="41" t="str">
        <f aca="false">IF(F4055="","",IFERROR(IF(ISNUMBER(SEARCH(Assumptions!$C$5,F4055)),Assumptions!$D$5,IF(ISNUMBER(SEARCH(Assumptions!$C$6,F4055)),Assumptions!$D$6,IF(ISNUMBER(SEARCH(Assumptions!$C$7,F4055)),Assumptions!$D$7,"Other Services"))),"Other Services"))</f>
        <v/>
      </c>
    </row>
    <row r="4056" customFormat="false" ht="15" hidden="false" customHeight="false" outlineLevel="0" collapsed="false">
      <c r="I4056" s="41" t="str">
        <f aca="false">IF(F4056="","",IFERROR(IF(ISNUMBER(SEARCH(Assumptions!$C$5,F4056)),Assumptions!$D$5,IF(ISNUMBER(SEARCH(Assumptions!$C$6,F4056)),Assumptions!$D$6,IF(ISNUMBER(SEARCH(Assumptions!$C$7,F4056)),Assumptions!$D$7,"Other Services"))),"Other Services"))</f>
        <v/>
      </c>
    </row>
    <row r="4057" customFormat="false" ht="15" hidden="false" customHeight="false" outlineLevel="0" collapsed="false">
      <c r="I4057" s="41" t="str">
        <f aca="false">IF(F4057="","",IFERROR(IF(ISNUMBER(SEARCH(Assumptions!$C$5,F4057)),Assumptions!$D$5,IF(ISNUMBER(SEARCH(Assumptions!$C$6,F4057)),Assumptions!$D$6,IF(ISNUMBER(SEARCH(Assumptions!$C$7,F4057)),Assumptions!$D$7,"Other Services"))),"Other Services"))</f>
        <v/>
      </c>
    </row>
    <row r="4058" customFormat="false" ht="15" hidden="false" customHeight="false" outlineLevel="0" collapsed="false">
      <c r="I4058" s="41" t="str">
        <f aca="false">IF(F4058="","",IFERROR(IF(ISNUMBER(SEARCH(Assumptions!$C$5,F4058)),Assumptions!$D$5,IF(ISNUMBER(SEARCH(Assumptions!$C$6,F4058)),Assumptions!$D$6,IF(ISNUMBER(SEARCH(Assumptions!$C$7,F4058)),Assumptions!$D$7,"Other Services"))),"Other Services"))</f>
        <v/>
      </c>
    </row>
    <row r="4059" customFormat="false" ht="15" hidden="false" customHeight="false" outlineLevel="0" collapsed="false">
      <c r="I4059" s="41" t="str">
        <f aca="false">IF(F4059="","",IFERROR(IF(ISNUMBER(SEARCH(Assumptions!$C$5,F4059)),Assumptions!$D$5,IF(ISNUMBER(SEARCH(Assumptions!$C$6,F4059)),Assumptions!$D$6,IF(ISNUMBER(SEARCH(Assumptions!$C$7,F4059)),Assumptions!$D$7,"Other Services"))),"Other Services"))</f>
        <v/>
      </c>
    </row>
    <row r="4060" customFormat="false" ht="15" hidden="false" customHeight="false" outlineLevel="0" collapsed="false">
      <c r="I4060" s="41" t="str">
        <f aca="false">IF(F4060="","",IFERROR(IF(ISNUMBER(SEARCH(Assumptions!$C$5,F4060)),Assumptions!$D$5,IF(ISNUMBER(SEARCH(Assumptions!$C$6,F4060)),Assumptions!$D$6,IF(ISNUMBER(SEARCH(Assumptions!$C$7,F4060)),Assumptions!$D$7,"Other Services"))),"Other Services"))</f>
        <v/>
      </c>
    </row>
    <row r="4061" customFormat="false" ht="15" hidden="false" customHeight="false" outlineLevel="0" collapsed="false">
      <c r="I4061" s="41" t="str">
        <f aca="false">IF(F4061="","",IFERROR(IF(ISNUMBER(SEARCH(Assumptions!$C$5,F4061)),Assumptions!$D$5,IF(ISNUMBER(SEARCH(Assumptions!$C$6,F4061)),Assumptions!$D$6,IF(ISNUMBER(SEARCH(Assumptions!$C$7,F4061)),Assumptions!$D$7,"Other Services"))),"Other Services"))</f>
        <v/>
      </c>
    </row>
    <row r="4062" customFormat="false" ht="15" hidden="false" customHeight="false" outlineLevel="0" collapsed="false">
      <c r="I4062" s="41" t="str">
        <f aca="false">IF(F4062="","",IFERROR(IF(ISNUMBER(SEARCH(Assumptions!$C$5,F4062)),Assumptions!$D$5,IF(ISNUMBER(SEARCH(Assumptions!$C$6,F4062)),Assumptions!$D$6,IF(ISNUMBER(SEARCH(Assumptions!$C$7,F4062)),Assumptions!$D$7,"Other Services"))),"Other Services"))</f>
        <v/>
      </c>
    </row>
    <row r="4063" customFormat="false" ht="15" hidden="false" customHeight="false" outlineLevel="0" collapsed="false">
      <c r="I4063" s="41" t="str">
        <f aca="false">IF(F4063="","",IFERROR(IF(ISNUMBER(SEARCH(Assumptions!$C$5,F4063)),Assumptions!$D$5,IF(ISNUMBER(SEARCH(Assumptions!$C$6,F4063)),Assumptions!$D$6,IF(ISNUMBER(SEARCH(Assumptions!$C$7,F4063)),Assumptions!$D$7,"Other Services"))),"Other Services"))</f>
        <v/>
      </c>
    </row>
    <row r="4064" customFormat="false" ht="15" hidden="false" customHeight="false" outlineLevel="0" collapsed="false">
      <c r="I4064" s="41" t="str">
        <f aca="false">IF(F4064="","",IFERROR(IF(ISNUMBER(SEARCH(Assumptions!$C$5,F4064)),Assumptions!$D$5,IF(ISNUMBER(SEARCH(Assumptions!$C$6,F4064)),Assumptions!$D$6,IF(ISNUMBER(SEARCH(Assumptions!$C$7,F4064)),Assumptions!$D$7,"Other Services"))),"Other Services"))</f>
        <v/>
      </c>
    </row>
    <row r="4065" customFormat="false" ht="15" hidden="false" customHeight="false" outlineLevel="0" collapsed="false">
      <c r="I4065" s="41" t="str">
        <f aca="false">IF(F4065="","",IFERROR(IF(ISNUMBER(SEARCH(Assumptions!$C$5,F4065)),Assumptions!$D$5,IF(ISNUMBER(SEARCH(Assumptions!$C$6,F4065)),Assumptions!$D$6,IF(ISNUMBER(SEARCH(Assumptions!$C$7,F4065)),Assumptions!$D$7,"Other Services"))),"Other Services"))</f>
        <v/>
      </c>
    </row>
    <row r="4066" customFormat="false" ht="15" hidden="false" customHeight="false" outlineLevel="0" collapsed="false">
      <c r="I4066" s="41" t="str">
        <f aca="false">IF(F4066="","",IFERROR(IF(ISNUMBER(SEARCH(Assumptions!$C$5,F4066)),Assumptions!$D$5,IF(ISNUMBER(SEARCH(Assumptions!$C$6,F4066)),Assumptions!$D$6,IF(ISNUMBER(SEARCH(Assumptions!$C$7,F4066)),Assumptions!$D$7,"Other Services"))),"Other Services"))</f>
        <v/>
      </c>
    </row>
    <row r="4067" customFormat="false" ht="15" hidden="false" customHeight="false" outlineLevel="0" collapsed="false">
      <c r="I4067" s="41" t="str">
        <f aca="false">IF(F4067="","",IFERROR(IF(ISNUMBER(SEARCH(Assumptions!$C$5,F4067)),Assumptions!$D$5,IF(ISNUMBER(SEARCH(Assumptions!$C$6,F4067)),Assumptions!$D$6,IF(ISNUMBER(SEARCH(Assumptions!$C$7,F4067)),Assumptions!$D$7,"Other Services"))),"Other Services"))</f>
        <v/>
      </c>
    </row>
    <row r="4068" customFormat="false" ht="15" hidden="false" customHeight="false" outlineLevel="0" collapsed="false">
      <c r="I4068" s="41" t="str">
        <f aca="false">IF(F4068="","",IFERROR(IF(ISNUMBER(SEARCH(Assumptions!$C$5,F4068)),Assumptions!$D$5,IF(ISNUMBER(SEARCH(Assumptions!$C$6,F4068)),Assumptions!$D$6,IF(ISNUMBER(SEARCH(Assumptions!$C$7,F4068)),Assumptions!$D$7,"Other Services"))),"Other Services"))</f>
        <v/>
      </c>
    </row>
    <row r="4069" customFormat="false" ht="15" hidden="false" customHeight="false" outlineLevel="0" collapsed="false">
      <c r="I4069" s="41" t="str">
        <f aca="false">IF(F4069="","",IFERROR(IF(ISNUMBER(SEARCH(Assumptions!$C$5,F4069)),Assumptions!$D$5,IF(ISNUMBER(SEARCH(Assumptions!$C$6,F4069)),Assumptions!$D$6,IF(ISNUMBER(SEARCH(Assumptions!$C$7,F4069)),Assumptions!$D$7,"Other Services"))),"Other Services"))</f>
        <v/>
      </c>
    </row>
    <row r="4070" customFormat="false" ht="15" hidden="false" customHeight="false" outlineLevel="0" collapsed="false">
      <c r="I4070" s="41" t="str">
        <f aca="false">IF(F4070="","",IFERROR(IF(ISNUMBER(SEARCH(Assumptions!$C$5,F4070)),Assumptions!$D$5,IF(ISNUMBER(SEARCH(Assumptions!$C$6,F4070)),Assumptions!$D$6,IF(ISNUMBER(SEARCH(Assumptions!$C$7,F4070)),Assumptions!$D$7,"Other Services"))),"Other Services"))</f>
        <v/>
      </c>
    </row>
    <row r="4071" customFormat="false" ht="15" hidden="false" customHeight="false" outlineLevel="0" collapsed="false">
      <c r="I4071" s="41" t="str">
        <f aca="false">IF(F4071="","",IFERROR(IF(ISNUMBER(SEARCH(Assumptions!$C$5,F4071)),Assumptions!$D$5,IF(ISNUMBER(SEARCH(Assumptions!$C$6,F4071)),Assumptions!$D$6,IF(ISNUMBER(SEARCH(Assumptions!$C$7,F4071)),Assumptions!$D$7,"Other Services"))),"Other Services"))</f>
        <v/>
      </c>
    </row>
    <row r="4072" customFormat="false" ht="15" hidden="false" customHeight="false" outlineLevel="0" collapsed="false">
      <c r="I4072" s="41" t="str">
        <f aca="false">IF(F4072="","",IFERROR(IF(ISNUMBER(SEARCH(Assumptions!$C$5,F4072)),Assumptions!$D$5,IF(ISNUMBER(SEARCH(Assumptions!$C$6,F4072)),Assumptions!$D$6,IF(ISNUMBER(SEARCH(Assumptions!$C$7,F4072)),Assumptions!$D$7,"Other Services"))),"Other Services"))</f>
        <v/>
      </c>
    </row>
    <row r="4073" customFormat="false" ht="15" hidden="false" customHeight="false" outlineLevel="0" collapsed="false">
      <c r="I4073" s="41" t="str">
        <f aca="false">IF(F4073="","",IFERROR(IF(ISNUMBER(SEARCH(Assumptions!$C$5,F4073)),Assumptions!$D$5,IF(ISNUMBER(SEARCH(Assumptions!$C$6,F4073)),Assumptions!$D$6,IF(ISNUMBER(SEARCH(Assumptions!$C$7,F4073)),Assumptions!$D$7,"Other Services"))),"Other Services"))</f>
        <v/>
      </c>
    </row>
    <row r="4074" customFormat="false" ht="15" hidden="false" customHeight="false" outlineLevel="0" collapsed="false">
      <c r="I4074" s="41" t="str">
        <f aca="false">IF(F4074="","",IFERROR(IF(ISNUMBER(SEARCH(Assumptions!$C$5,F4074)),Assumptions!$D$5,IF(ISNUMBER(SEARCH(Assumptions!$C$6,F4074)),Assumptions!$D$6,IF(ISNUMBER(SEARCH(Assumptions!$C$7,F4074)),Assumptions!$D$7,"Other Services"))),"Other Services"))</f>
        <v/>
      </c>
    </row>
    <row r="4075" customFormat="false" ht="15" hidden="false" customHeight="false" outlineLevel="0" collapsed="false">
      <c r="I4075" s="41" t="str">
        <f aca="false">IF(F4075="","",IFERROR(IF(ISNUMBER(SEARCH(Assumptions!$C$5,F4075)),Assumptions!$D$5,IF(ISNUMBER(SEARCH(Assumptions!$C$6,F4075)),Assumptions!$D$6,IF(ISNUMBER(SEARCH(Assumptions!$C$7,F4075)),Assumptions!$D$7,"Other Services"))),"Other Services"))</f>
        <v/>
      </c>
    </row>
    <row r="4076" customFormat="false" ht="15" hidden="false" customHeight="false" outlineLevel="0" collapsed="false">
      <c r="I4076" s="41" t="str">
        <f aca="false">IF(F4076="","",IFERROR(IF(ISNUMBER(SEARCH(Assumptions!$C$5,F4076)),Assumptions!$D$5,IF(ISNUMBER(SEARCH(Assumptions!$C$6,F4076)),Assumptions!$D$6,IF(ISNUMBER(SEARCH(Assumptions!$C$7,F4076)),Assumptions!$D$7,"Other Services"))),"Other Services"))</f>
        <v/>
      </c>
    </row>
    <row r="4077" customFormat="false" ht="15" hidden="false" customHeight="false" outlineLevel="0" collapsed="false">
      <c r="I4077" s="41" t="str">
        <f aca="false">IF(F4077="","",IFERROR(IF(ISNUMBER(SEARCH(Assumptions!$C$5,F4077)),Assumptions!$D$5,IF(ISNUMBER(SEARCH(Assumptions!$C$6,F4077)),Assumptions!$D$6,IF(ISNUMBER(SEARCH(Assumptions!$C$7,F4077)),Assumptions!$D$7,"Other Services"))),"Other Services"))</f>
        <v/>
      </c>
    </row>
    <row r="4078" customFormat="false" ht="15" hidden="false" customHeight="false" outlineLevel="0" collapsed="false">
      <c r="I4078" s="41" t="str">
        <f aca="false">IF(F4078="","",IFERROR(IF(ISNUMBER(SEARCH(Assumptions!$C$5,F4078)),Assumptions!$D$5,IF(ISNUMBER(SEARCH(Assumptions!$C$6,F4078)),Assumptions!$D$6,IF(ISNUMBER(SEARCH(Assumptions!$C$7,F4078)),Assumptions!$D$7,"Other Services"))),"Other Services"))</f>
        <v/>
      </c>
    </row>
    <row r="4079" customFormat="false" ht="15" hidden="false" customHeight="false" outlineLevel="0" collapsed="false">
      <c r="I4079" s="41" t="str">
        <f aca="false">IF(F4079="","",IFERROR(IF(ISNUMBER(SEARCH(Assumptions!$C$5,F4079)),Assumptions!$D$5,IF(ISNUMBER(SEARCH(Assumptions!$C$6,F4079)),Assumptions!$D$6,IF(ISNUMBER(SEARCH(Assumptions!$C$7,F4079)),Assumptions!$D$7,"Other Services"))),"Other Services"))</f>
        <v/>
      </c>
    </row>
    <row r="4080" customFormat="false" ht="15" hidden="false" customHeight="false" outlineLevel="0" collapsed="false">
      <c r="I4080" s="41" t="str">
        <f aca="false">IF(F4080="","",IFERROR(IF(ISNUMBER(SEARCH(Assumptions!$C$5,F4080)),Assumptions!$D$5,IF(ISNUMBER(SEARCH(Assumptions!$C$6,F4080)),Assumptions!$D$6,IF(ISNUMBER(SEARCH(Assumptions!$C$7,F4080)),Assumptions!$D$7,"Other Services"))),"Other Services"))</f>
        <v/>
      </c>
    </row>
    <row r="4081" customFormat="false" ht="15" hidden="false" customHeight="false" outlineLevel="0" collapsed="false">
      <c r="I4081" s="41" t="str">
        <f aca="false">IF(F4081="","",IFERROR(IF(ISNUMBER(SEARCH(Assumptions!$C$5,F4081)),Assumptions!$D$5,IF(ISNUMBER(SEARCH(Assumptions!$C$6,F4081)),Assumptions!$D$6,IF(ISNUMBER(SEARCH(Assumptions!$C$7,F4081)),Assumptions!$D$7,"Other Services"))),"Other Services"))</f>
        <v/>
      </c>
    </row>
    <row r="4082" customFormat="false" ht="15" hidden="false" customHeight="false" outlineLevel="0" collapsed="false">
      <c r="I4082" s="41" t="str">
        <f aca="false">IF(F4082="","",IFERROR(IF(ISNUMBER(SEARCH(Assumptions!$C$5,F4082)),Assumptions!$D$5,IF(ISNUMBER(SEARCH(Assumptions!$C$6,F4082)),Assumptions!$D$6,IF(ISNUMBER(SEARCH(Assumptions!$C$7,F4082)),Assumptions!$D$7,"Other Services"))),"Other Services"))</f>
        <v/>
      </c>
    </row>
    <row r="4083" customFormat="false" ht="15" hidden="false" customHeight="false" outlineLevel="0" collapsed="false">
      <c r="I4083" s="41" t="str">
        <f aca="false">IF(F4083="","",IFERROR(IF(ISNUMBER(SEARCH(Assumptions!$C$5,F4083)),Assumptions!$D$5,IF(ISNUMBER(SEARCH(Assumptions!$C$6,F4083)),Assumptions!$D$6,IF(ISNUMBER(SEARCH(Assumptions!$C$7,F4083)),Assumptions!$D$7,"Other Services"))),"Other Services"))</f>
        <v/>
      </c>
    </row>
    <row r="4084" customFormat="false" ht="15" hidden="false" customHeight="false" outlineLevel="0" collapsed="false">
      <c r="I4084" s="41" t="str">
        <f aca="false">IF(F4084="","",IFERROR(IF(ISNUMBER(SEARCH(Assumptions!$C$5,F4084)),Assumptions!$D$5,IF(ISNUMBER(SEARCH(Assumptions!$C$6,F4084)),Assumptions!$D$6,IF(ISNUMBER(SEARCH(Assumptions!$C$7,F4084)),Assumptions!$D$7,"Other Services"))),"Other Services"))</f>
        <v/>
      </c>
    </row>
    <row r="4085" customFormat="false" ht="15" hidden="false" customHeight="false" outlineLevel="0" collapsed="false">
      <c r="I4085" s="41" t="str">
        <f aca="false">IF(F4085="","",IFERROR(IF(ISNUMBER(SEARCH(Assumptions!$C$5,F4085)),Assumptions!$D$5,IF(ISNUMBER(SEARCH(Assumptions!$C$6,F4085)),Assumptions!$D$6,IF(ISNUMBER(SEARCH(Assumptions!$C$7,F4085)),Assumptions!$D$7,"Other Services"))),"Other Services"))</f>
        <v/>
      </c>
    </row>
    <row r="4086" customFormat="false" ht="15" hidden="false" customHeight="false" outlineLevel="0" collapsed="false">
      <c r="I4086" s="41" t="str">
        <f aca="false">IF(F4086="","",IFERROR(IF(ISNUMBER(SEARCH(Assumptions!$C$5,F4086)),Assumptions!$D$5,IF(ISNUMBER(SEARCH(Assumptions!$C$6,F4086)),Assumptions!$D$6,IF(ISNUMBER(SEARCH(Assumptions!$C$7,F4086)),Assumptions!$D$7,"Other Services"))),"Other Services"))</f>
        <v/>
      </c>
    </row>
    <row r="4087" customFormat="false" ht="15" hidden="false" customHeight="false" outlineLevel="0" collapsed="false">
      <c r="I4087" s="41" t="str">
        <f aca="false">IF(F4087="","",IFERROR(IF(ISNUMBER(SEARCH(Assumptions!$C$5,F4087)),Assumptions!$D$5,IF(ISNUMBER(SEARCH(Assumptions!$C$6,F4087)),Assumptions!$D$6,IF(ISNUMBER(SEARCH(Assumptions!$C$7,F4087)),Assumptions!$D$7,"Other Services"))),"Other Services"))</f>
        <v/>
      </c>
    </row>
    <row r="4088" customFormat="false" ht="15" hidden="false" customHeight="false" outlineLevel="0" collapsed="false">
      <c r="I4088" s="41" t="str">
        <f aca="false">IF(F4088="","",IFERROR(IF(ISNUMBER(SEARCH(Assumptions!$C$5,F4088)),Assumptions!$D$5,IF(ISNUMBER(SEARCH(Assumptions!$C$6,F4088)),Assumptions!$D$6,IF(ISNUMBER(SEARCH(Assumptions!$C$7,F4088)),Assumptions!$D$7,"Other Services"))),"Other Services"))</f>
        <v/>
      </c>
    </row>
    <row r="4089" customFormat="false" ht="15" hidden="false" customHeight="false" outlineLevel="0" collapsed="false">
      <c r="I4089" s="41" t="str">
        <f aca="false">IF(F4089="","",IFERROR(IF(ISNUMBER(SEARCH(Assumptions!$C$5,F4089)),Assumptions!$D$5,IF(ISNUMBER(SEARCH(Assumptions!$C$6,F4089)),Assumptions!$D$6,IF(ISNUMBER(SEARCH(Assumptions!$C$7,F4089)),Assumptions!$D$7,"Other Services"))),"Other Services"))</f>
        <v/>
      </c>
    </row>
    <row r="4090" customFormat="false" ht="15" hidden="false" customHeight="false" outlineLevel="0" collapsed="false">
      <c r="I4090" s="41" t="str">
        <f aca="false">IF(F4090="","",IFERROR(IF(ISNUMBER(SEARCH(Assumptions!$C$5,F4090)),Assumptions!$D$5,IF(ISNUMBER(SEARCH(Assumptions!$C$6,F4090)),Assumptions!$D$6,IF(ISNUMBER(SEARCH(Assumptions!$C$7,F4090)),Assumptions!$D$7,"Other Services"))),"Other Services"))</f>
        <v/>
      </c>
    </row>
    <row r="4091" customFormat="false" ht="15" hidden="false" customHeight="false" outlineLevel="0" collapsed="false">
      <c r="I4091" s="41" t="str">
        <f aca="false">IF(F4091="","",IFERROR(IF(ISNUMBER(SEARCH(Assumptions!$C$5,F4091)),Assumptions!$D$5,IF(ISNUMBER(SEARCH(Assumptions!$C$6,F4091)),Assumptions!$D$6,IF(ISNUMBER(SEARCH(Assumptions!$C$7,F4091)),Assumptions!$D$7,"Other Services"))),"Other Services"))</f>
        <v/>
      </c>
    </row>
    <row r="4092" customFormat="false" ht="15" hidden="false" customHeight="false" outlineLevel="0" collapsed="false">
      <c r="I4092" s="41" t="str">
        <f aca="false">IF(F4092="","",IFERROR(IF(ISNUMBER(SEARCH(Assumptions!$C$5,F4092)),Assumptions!$D$5,IF(ISNUMBER(SEARCH(Assumptions!$C$6,F4092)),Assumptions!$D$6,IF(ISNUMBER(SEARCH(Assumptions!$C$7,F4092)),Assumptions!$D$7,"Other Services"))),"Other Services"))</f>
        <v/>
      </c>
    </row>
    <row r="4093" customFormat="false" ht="15" hidden="false" customHeight="false" outlineLevel="0" collapsed="false">
      <c r="I4093" s="41" t="str">
        <f aca="false">IF(F4093="","",IFERROR(IF(ISNUMBER(SEARCH(Assumptions!$C$5,F4093)),Assumptions!$D$5,IF(ISNUMBER(SEARCH(Assumptions!$C$6,F4093)),Assumptions!$D$6,IF(ISNUMBER(SEARCH(Assumptions!$C$7,F4093)),Assumptions!$D$7,"Other Services"))),"Other Services"))</f>
        <v/>
      </c>
    </row>
    <row r="4094" customFormat="false" ht="15" hidden="false" customHeight="false" outlineLevel="0" collapsed="false">
      <c r="I4094" s="41" t="str">
        <f aca="false">IF(F4094="","",IFERROR(IF(ISNUMBER(SEARCH(Assumptions!$C$5,F4094)),Assumptions!$D$5,IF(ISNUMBER(SEARCH(Assumptions!$C$6,F4094)),Assumptions!$D$6,IF(ISNUMBER(SEARCH(Assumptions!$C$7,F4094)),Assumptions!$D$7,"Other Services"))),"Other Services"))</f>
        <v/>
      </c>
    </row>
    <row r="4095" customFormat="false" ht="15" hidden="false" customHeight="false" outlineLevel="0" collapsed="false">
      <c r="I4095" s="41" t="str">
        <f aca="false">IF(F4095="","",IFERROR(IF(ISNUMBER(SEARCH(Assumptions!$C$5,F4095)),Assumptions!$D$5,IF(ISNUMBER(SEARCH(Assumptions!$C$6,F4095)),Assumptions!$D$6,IF(ISNUMBER(SEARCH(Assumptions!$C$7,F4095)),Assumptions!$D$7,"Other Services"))),"Other Services"))</f>
        <v/>
      </c>
    </row>
    <row r="4096" customFormat="false" ht="15" hidden="false" customHeight="false" outlineLevel="0" collapsed="false">
      <c r="I4096" s="41" t="str">
        <f aca="false">IF(F4096="","",IFERROR(IF(ISNUMBER(SEARCH(Assumptions!$C$5,F4096)),Assumptions!$D$5,IF(ISNUMBER(SEARCH(Assumptions!$C$6,F4096)),Assumptions!$D$6,IF(ISNUMBER(SEARCH(Assumptions!$C$7,F4096)),Assumptions!$D$7,"Other Services"))),"Other Services"))</f>
        <v/>
      </c>
    </row>
    <row r="4097" customFormat="false" ht="15" hidden="false" customHeight="false" outlineLevel="0" collapsed="false">
      <c r="I4097" s="41" t="str">
        <f aca="false">IF(F4097="","",IFERROR(IF(ISNUMBER(SEARCH(Assumptions!$C$5,F4097)),Assumptions!$D$5,IF(ISNUMBER(SEARCH(Assumptions!$C$6,F4097)),Assumptions!$D$6,IF(ISNUMBER(SEARCH(Assumptions!$C$7,F4097)),Assumptions!$D$7,"Other Services"))),"Other Services"))</f>
        <v/>
      </c>
    </row>
    <row r="4098" customFormat="false" ht="15" hidden="false" customHeight="false" outlineLevel="0" collapsed="false">
      <c r="I4098" s="41" t="str">
        <f aca="false">IF(F4098="","",IFERROR(IF(ISNUMBER(SEARCH(Assumptions!$C$5,F4098)),Assumptions!$D$5,IF(ISNUMBER(SEARCH(Assumptions!$C$6,F4098)),Assumptions!$D$6,IF(ISNUMBER(SEARCH(Assumptions!$C$7,F4098)),Assumptions!$D$7,"Other Services"))),"Other Services"))</f>
        <v/>
      </c>
    </row>
    <row r="4099" customFormat="false" ht="15" hidden="false" customHeight="false" outlineLevel="0" collapsed="false">
      <c r="I4099" s="41" t="str">
        <f aca="false">IF(F4099="","",IFERROR(IF(ISNUMBER(SEARCH(Assumptions!$C$5,F4099)),Assumptions!$D$5,IF(ISNUMBER(SEARCH(Assumptions!$C$6,F4099)),Assumptions!$D$6,IF(ISNUMBER(SEARCH(Assumptions!$C$7,F4099)),Assumptions!$D$7,"Other Services"))),"Other Services"))</f>
        <v/>
      </c>
    </row>
    <row r="4100" customFormat="false" ht="15" hidden="false" customHeight="false" outlineLevel="0" collapsed="false">
      <c r="I4100" s="41" t="str">
        <f aca="false">IF(F4100="","",IFERROR(IF(ISNUMBER(SEARCH(Assumptions!$C$5,F4100)),Assumptions!$D$5,IF(ISNUMBER(SEARCH(Assumptions!$C$6,F4100)),Assumptions!$D$6,IF(ISNUMBER(SEARCH(Assumptions!$C$7,F4100)),Assumptions!$D$7,"Other Services"))),"Other Services"))</f>
        <v/>
      </c>
    </row>
    <row r="4101" customFormat="false" ht="15" hidden="false" customHeight="false" outlineLevel="0" collapsed="false">
      <c r="I4101" s="41" t="str">
        <f aca="false">IF(F4101="","",IFERROR(IF(ISNUMBER(SEARCH(Assumptions!$C$5,F4101)),Assumptions!$D$5,IF(ISNUMBER(SEARCH(Assumptions!$C$6,F4101)),Assumptions!$D$6,IF(ISNUMBER(SEARCH(Assumptions!$C$7,F4101)),Assumptions!$D$7,"Other Services"))),"Other Services"))</f>
        <v/>
      </c>
    </row>
    <row r="4102" customFormat="false" ht="15" hidden="false" customHeight="false" outlineLevel="0" collapsed="false">
      <c r="I4102" s="41" t="str">
        <f aca="false">IF(F4102="","",IFERROR(IF(ISNUMBER(SEARCH(Assumptions!$C$5,F4102)),Assumptions!$D$5,IF(ISNUMBER(SEARCH(Assumptions!$C$6,F4102)),Assumptions!$D$6,IF(ISNUMBER(SEARCH(Assumptions!$C$7,F4102)),Assumptions!$D$7,"Other Services"))),"Other Services"))</f>
        <v/>
      </c>
    </row>
    <row r="4103" customFormat="false" ht="15" hidden="false" customHeight="false" outlineLevel="0" collapsed="false">
      <c r="I4103" s="41" t="str">
        <f aca="false">IF(F4103="","",IFERROR(IF(ISNUMBER(SEARCH(Assumptions!$C$5,F4103)),Assumptions!$D$5,IF(ISNUMBER(SEARCH(Assumptions!$C$6,F4103)),Assumptions!$D$6,IF(ISNUMBER(SEARCH(Assumptions!$C$7,F4103)),Assumptions!$D$7,"Other Services"))),"Other Services"))</f>
        <v/>
      </c>
    </row>
    <row r="4104" customFormat="false" ht="15" hidden="false" customHeight="false" outlineLevel="0" collapsed="false">
      <c r="I4104" s="41" t="str">
        <f aca="false">IF(F4104="","",IFERROR(IF(ISNUMBER(SEARCH(Assumptions!$C$5,F4104)),Assumptions!$D$5,IF(ISNUMBER(SEARCH(Assumptions!$C$6,F4104)),Assumptions!$D$6,IF(ISNUMBER(SEARCH(Assumptions!$C$7,F4104)),Assumptions!$D$7,"Other Services"))),"Other Services"))</f>
        <v/>
      </c>
    </row>
    <row r="4105" customFormat="false" ht="15" hidden="false" customHeight="false" outlineLevel="0" collapsed="false">
      <c r="I4105" s="41" t="str">
        <f aca="false">IF(F4105="","",IFERROR(IF(ISNUMBER(SEARCH(Assumptions!$C$5,F4105)),Assumptions!$D$5,IF(ISNUMBER(SEARCH(Assumptions!$C$6,F4105)),Assumptions!$D$6,IF(ISNUMBER(SEARCH(Assumptions!$C$7,F4105)),Assumptions!$D$7,"Other Services"))),"Other Services"))</f>
        <v/>
      </c>
    </row>
    <row r="4106" customFormat="false" ht="15" hidden="false" customHeight="false" outlineLevel="0" collapsed="false">
      <c r="I4106" s="41" t="str">
        <f aca="false">IF(F4106="","",IFERROR(IF(ISNUMBER(SEARCH(Assumptions!$C$5,F4106)),Assumptions!$D$5,IF(ISNUMBER(SEARCH(Assumptions!$C$6,F4106)),Assumptions!$D$6,IF(ISNUMBER(SEARCH(Assumptions!$C$7,F4106)),Assumptions!$D$7,"Other Services"))),"Other Services"))</f>
        <v/>
      </c>
    </row>
    <row r="4107" customFormat="false" ht="15" hidden="false" customHeight="false" outlineLevel="0" collapsed="false">
      <c r="I4107" s="41" t="str">
        <f aca="false">IF(F4107="","",IFERROR(IF(ISNUMBER(SEARCH(Assumptions!$C$5,F4107)),Assumptions!$D$5,IF(ISNUMBER(SEARCH(Assumptions!$C$6,F4107)),Assumptions!$D$6,IF(ISNUMBER(SEARCH(Assumptions!$C$7,F4107)),Assumptions!$D$7,"Other Services"))),"Other Services"))</f>
        <v/>
      </c>
    </row>
    <row r="4108" customFormat="false" ht="15" hidden="false" customHeight="false" outlineLevel="0" collapsed="false">
      <c r="I4108" s="41" t="str">
        <f aca="false">IF(F4108="","",IFERROR(IF(ISNUMBER(SEARCH(Assumptions!$C$5,F4108)),Assumptions!$D$5,IF(ISNUMBER(SEARCH(Assumptions!$C$6,F4108)),Assumptions!$D$6,IF(ISNUMBER(SEARCH(Assumptions!$C$7,F4108)),Assumptions!$D$7,"Other Services"))),"Other Services"))</f>
        <v/>
      </c>
    </row>
    <row r="4109" customFormat="false" ht="15" hidden="false" customHeight="false" outlineLevel="0" collapsed="false">
      <c r="I4109" s="41" t="str">
        <f aca="false">IF(F4109="","",IFERROR(IF(ISNUMBER(SEARCH(Assumptions!$C$5,F4109)),Assumptions!$D$5,IF(ISNUMBER(SEARCH(Assumptions!$C$6,F4109)),Assumptions!$D$6,IF(ISNUMBER(SEARCH(Assumptions!$C$7,F4109)),Assumptions!$D$7,"Other Services"))),"Other Services"))</f>
        <v/>
      </c>
    </row>
    <row r="4110" customFormat="false" ht="15" hidden="false" customHeight="false" outlineLevel="0" collapsed="false">
      <c r="I4110" s="41" t="str">
        <f aca="false">IF(F4110="","",IFERROR(IF(ISNUMBER(SEARCH(Assumptions!$C$5,F4110)),Assumptions!$D$5,IF(ISNUMBER(SEARCH(Assumptions!$C$6,F4110)),Assumptions!$D$6,IF(ISNUMBER(SEARCH(Assumptions!$C$7,F4110)),Assumptions!$D$7,"Other Services"))),"Other Services"))</f>
        <v/>
      </c>
    </row>
    <row r="4111" customFormat="false" ht="15" hidden="false" customHeight="false" outlineLevel="0" collapsed="false">
      <c r="I4111" s="41" t="str">
        <f aca="false">IF(F4111="","",IFERROR(IF(ISNUMBER(SEARCH(Assumptions!$C$5,F4111)),Assumptions!$D$5,IF(ISNUMBER(SEARCH(Assumptions!$C$6,F4111)),Assumptions!$D$6,IF(ISNUMBER(SEARCH(Assumptions!$C$7,F4111)),Assumptions!$D$7,"Other Services"))),"Other Services"))</f>
        <v/>
      </c>
    </row>
    <row r="4112" customFormat="false" ht="15" hidden="false" customHeight="false" outlineLevel="0" collapsed="false">
      <c r="I4112" s="41" t="str">
        <f aca="false">IF(F4112="","",IFERROR(IF(ISNUMBER(SEARCH(Assumptions!$C$5,F4112)),Assumptions!$D$5,IF(ISNUMBER(SEARCH(Assumptions!$C$6,F4112)),Assumptions!$D$6,IF(ISNUMBER(SEARCH(Assumptions!$C$7,F4112)),Assumptions!$D$7,"Other Services"))),"Other Services"))</f>
        <v/>
      </c>
    </row>
    <row r="4113" customFormat="false" ht="15" hidden="false" customHeight="false" outlineLevel="0" collapsed="false">
      <c r="I4113" s="41" t="str">
        <f aca="false">IF(F4113="","",IFERROR(IF(ISNUMBER(SEARCH(Assumptions!$C$5,F4113)),Assumptions!$D$5,IF(ISNUMBER(SEARCH(Assumptions!$C$6,F4113)),Assumptions!$D$6,IF(ISNUMBER(SEARCH(Assumptions!$C$7,F4113)),Assumptions!$D$7,"Other Services"))),"Other Services"))</f>
        <v/>
      </c>
    </row>
    <row r="4114" customFormat="false" ht="15" hidden="false" customHeight="false" outlineLevel="0" collapsed="false">
      <c r="I4114" s="41" t="str">
        <f aca="false">IF(F4114="","",IFERROR(IF(ISNUMBER(SEARCH(Assumptions!$C$5,F4114)),Assumptions!$D$5,IF(ISNUMBER(SEARCH(Assumptions!$C$6,F4114)),Assumptions!$D$6,IF(ISNUMBER(SEARCH(Assumptions!$C$7,F4114)),Assumptions!$D$7,"Other Services"))),"Other Services"))</f>
        <v/>
      </c>
    </row>
    <row r="4115" customFormat="false" ht="15" hidden="false" customHeight="false" outlineLevel="0" collapsed="false">
      <c r="I4115" s="41" t="str">
        <f aca="false">IF(F4115="","",IFERROR(IF(ISNUMBER(SEARCH(Assumptions!$C$5,F4115)),Assumptions!$D$5,IF(ISNUMBER(SEARCH(Assumptions!$C$6,F4115)),Assumptions!$D$6,IF(ISNUMBER(SEARCH(Assumptions!$C$7,F4115)),Assumptions!$D$7,"Other Services"))),"Other Services"))</f>
        <v/>
      </c>
    </row>
    <row r="4116" customFormat="false" ht="15" hidden="false" customHeight="false" outlineLevel="0" collapsed="false">
      <c r="I4116" s="41" t="str">
        <f aca="false">IF(F4116="","",IFERROR(IF(ISNUMBER(SEARCH(Assumptions!$C$5,F4116)),Assumptions!$D$5,IF(ISNUMBER(SEARCH(Assumptions!$C$6,F4116)),Assumptions!$D$6,IF(ISNUMBER(SEARCH(Assumptions!$C$7,F4116)),Assumptions!$D$7,"Other Services"))),"Other Services"))</f>
        <v/>
      </c>
    </row>
    <row r="4117" customFormat="false" ht="15" hidden="false" customHeight="false" outlineLevel="0" collapsed="false">
      <c r="I4117" s="41" t="str">
        <f aca="false">IF(F4117="","",IFERROR(IF(ISNUMBER(SEARCH(Assumptions!$C$5,F4117)),Assumptions!$D$5,IF(ISNUMBER(SEARCH(Assumptions!$C$6,F4117)),Assumptions!$D$6,IF(ISNUMBER(SEARCH(Assumptions!$C$7,F4117)),Assumptions!$D$7,"Other Services"))),"Other Services"))</f>
        <v/>
      </c>
    </row>
    <row r="4118" customFormat="false" ht="15" hidden="false" customHeight="false" outlineLevel="0" collapsed="false">
      <c r="I4118" s="41" t="str">
        <f aca="false">IF(F4118="","",IFERROR(IF(ISNUMBER(SEARCH(Assumptions!$C$5,F4118)),Assumptions!$D$5,IF(ISNUMBER(SEARCH(Assumptions!$C$6,F4118)),Assumptions!$D$6,IF(ISNUMBER(SEARCH(Assumptions!$C$7,F4118)),Assumptions!$D$7,"Other Services"))),"Other Services"))</f>
        <v/>
      </c>
    </row>
    <row r="4119" customFormat="false" ht="15" hidden="false" customHeight="false" outlineLevel="0" collapsed="false">
      <c r="I4119" s="41" t="str">
        <f aca="false">IF(F4119="","",IFERROR(IF(ISNUMBER(SEARCH(Assumptions!$C$5,F4119)),Assumptions!$D$5,IF(ISNUMBER(SEARCH(Assumptions!$C$6,F4119)),Assumptions!$D$6,IF(ISNUMBER(SEARCH(Assumptions!$C$7,F4119)),Assumptions!$D$7,"Other Services"))),"Other Services"))</f>
        <v/>
      </c>
    </row>
    <row r="4120" customFormat="false" ht="15" hidden="false" customHeight="false" outlineLevel="0" collapsed="false">
      <c r="I4120" s="41" t="str">
        <f aca="false">IF(F4120="","",IFERROR(IF(ISNUMBER(SEARCH(Assumptions!$C$5,F4120)),Assumptions!$D$5,IF(ISNUMBER(SEARCH(Assumptions!$C$6,F4120)),Assumptions!$D$6,IF(ISNUMBER(SEARCH(Assumptions!$C$7,F4120)),Assumptions!$D$7,"Other Services"))),"Other Services"))</f>
        <v/>
      </c>
    </row>
    <row r="4121" customFormat="false" ht="15" hidden="false" customHeight="false" outlineLevel="0" collapsed="false">
      <c r="I4121" s="41" t="str">
        <f aca="false">IF(F4121="","",IFERROR(IF(ISNUMBER(SEARCH(Assumptions!$C$5,F4121)),Assumptions!$D$5,IF(ISNUMBER(SEARCH(Assumptions!$C$6,F4121)),Assumptions!$D$6,IF(ISNUMBER(SEARCH(Assumptions!$C$7,F4121)),Assumptions!$D$7,"Other Services"))),"Other Services"))</f>
        <v/>
      </c>
    </row>
    <row r="4122" customFormat="false" ht="15" hidden="false" customHeight="false" outlineLevel="0" collapsed="false">
      <c r="I4122" s="41" t="str">
        <f aca="false">IF(F4122="","",IFERROR(IF(ISNUMBER(SEARCH(Assumptions!$C$5,F4122)),Assumptions!$D$5,IF(ISNUMBER(SEARCH(Assumptions!$C$6,F4122)),Assumptions!$D$6,IF(ISNUMBER(SEARCH(Assumptions!$C$7,F4122)),Assumptions!$D$7,"Other Services"))),"Other Services"))</f>
        <v/>
      </c>
    </row>
    <row r="4123" customFormat="false" ht="15" hidden="false" customHeight="false" outlineLevel="0" collapsed="false">
      <c r="I4123" s="41" t="str">
        <f aca="false">IF(F4123="","",IFERROR(IF(ISNUMBER(SEARCH(Assumptions!$C$5,F4123)),Assumptions!$D$5,IF(ISNUMBER(SEARCH(Assumptions!$C$6,F4123)),Assumptions!$D$6,IF(ISNUMBER(SEARCH(Assumptions!$C$7,F4123)),Assumptions!$D$7,"Other Services"))),"Other Services"))</f>
        <v/>
      </c>
    </row>
    <row r="4124" customFormat="false" ht="15" hidden="false" customHeight="false" outlineLevel="0" collapsed="false">
      <c r="I4124" s="41" t="str">
        <f aca="false">IF(F4124="","",IFERROR(IF(ISNUMBER(SEARCH(Assumptions!$C$5,F4124)),Assumptions!$D$5,IF(ISNUMBER(SEARCH(Assumptions!$C$6,F4124)),Assumptions!$D$6,IF(ISNUMBER(SEARCH(Assumptions!$C$7,F4124)),Assumptions!$D$7,"Other Services"))),"Other Services"))</f>
        <v/>
      </c>
    </row>
    <row r="4125" customFormat="false" ht="15" hidden="false" customHeight="false" outlineLevel="0" collapsed="false">
      <c r="I4125" s="41" t="str">
        <f aca="false">IF(F4125="","",IFERROR(IF(ISNUMBER(SEARCH(Assumptions!$C$5,F4125)),Assumptions!$D$5,IF(ISNUMBER(SEARCH(Assumptions!$C$6,F4125)),Assumptions!$D$6,IF(ISNUMBER(SEARCH(Assumptions!$C$7,F4125)),Assumptions!$D$7,"Other Services"))),"Other Services"))</f>
        <v/>
      </c>
    </row>
    <row r="4126" customFormat="false" ht="15" hidden="false" customHeight="false" outlineLevel="0" collapsed="false">
      <c r="I4126" s="41" t="str">
        <f aca="false">IF(F4126="","",IFERROR(IF(ISNUMBER(SEARCH(Assumptions!$C$5,F4126)),Assumptions!$D$5,IF(ISNUMBER(SEARCH(Assumptions!$C$6,F4126)),Assumptions!$D$6,IF(ISNUMBER(SEARCH(Assumptions!$C$7,F4126)),Assumptions!$D$7,"Other Services"))),"Other Services"))</f>
        <v/>
      </c>
    </row>
    <row r="4127" customFormat="false" ht="15" hidden="false" customHeight="false" outlineLevel="0" collapsed="false">
      <c r="I4127" s="41" t="str">
        <f aca="false">IF(F4127="","",IFERROR(IF(ISNUMBER(SEARCH(Assumptions!$C$5,F4127)),Assumptions!$D$5,IF(ISNUMBER(SEARCH(Assumptions!$C$6,F4127)),Assumptions!$D$6,IF(ISNUMBER(SEARCH(Assumptions!$C$7,F4127)),Assumptions!$D$7,"Other Services"))),"Other Services"))</f>
        <v/>
      </c>
    </row>
    <row r="4128" customFormat="false" ht="15" hidden="false" customHeight="false" outlineLevel="0" collapsed="false">
      <c r="I4128" s="41" t="str">
        <f aca="false">IF(F4128="","",IFERROR(IF(ISNUMBER(SEARCH(Assumptions!$C$5,F4128)),Assumptions!$D$5,IF(ISNUMBER(SEARCH(Assumptions!$C$6,F4128)),Assumptions!$D$6,IF(ISNUMBER(SEARCH(Assumptions!$C$7,F4128)),Assumptions!$D$7,"Other Services"))),"Other Services"))</f>
        <v/>
      </c>
    </row>
    <row r="4129" customFormat="false" ht="15" hidden="false" customHeight="false" outlineLevel="0" collapsed="false">
      <c r="I4129" s="41" t="str">
        <f aca="false">IF(F4129="","",IFERROR(IF(ISNUMBER(SEARCH(Assumptions!$C$5,F4129)),Assumptions!$D$5,IF(ISNUMBER(SEARCH(Assumptions!$C$6,F4129)),Assumptions!$D$6,IF(ISNUMBER(SEARCH(Assumptions!$C$7,F4129)),Assumptions!$D$7,"Other Services"))),"Other Services"))</f>
        <v/>
      </c>
    </row>
    <row r="4130" customFormat="false" ht="15" hidden="false" customHeight="false" outlineLevel="0" collapsed="false">
      <c r="I4130" s="41" t="str">
        <f aca="false">IF(F4130="","",IFERROR(IF(ISNUMBER(SEARCH(Assumptions!$C$5,F4130)),Assumptions!$D$5,IF(ISNUMBER(SEARCH(Assumptions!$C$6,F4130)),Assumptions!$D$6,IF(ISNUMBER(SEARCH(Assumptions!$C$7,F4130)),Assumptions!$D$7,"Other Services"))),"Other Services"))</f>
        <v/>
      </c>
    </row>
    <row r="4131" customFormat="false" ht="15" hidden="false" customHeight="false" outlineLevel="0" collapsed="false">
      <c r="I4131" s="41" t="str">
        <f aca="false">IF(F4131="","",IFERROR(IF(ISNUMBER(SEARCH(Assumptions!$C$5,F4131)),Assumptions!$D$5,IF(ISNUMBER(SEARCH(Assumptions!$C$6,F4131)),Assumptions!$D$6,IF(ISNUMBER(SEARCH(Assumptions!$C$7,F4131)),Assumptions!$D$7,"Other Services"))),"Other Services"))</f>
        <v/>
      </c>
    </row>
    <row r="4132" customFormat="false" ht="15" hidden="false" customHeight="false" outlineLevel="0" collapsed="false">
      <c r="I4132" s="41" t="str">
        <f aca="false">IF(F4132="","",IFERROR(IF(ISNUMBER(SEARCH(Assumptions!$C$5,F4132)),Assumptions!$D$5,IF(ISNUMBER(SEARCH(Assumptions!$C$6,F4132)),Assumptions!$D$6,IF(ISNUMBER(SEARCH(Assumptions!$C$7,F4132)),Assumptions!$D$7,"Other Services"))),"Other Services"))</f>
        <v/>
      </c>
    </row>
    <row r="4133" customFormat="false" ht="15" hidden="false" customHeight="false" outlineLevel="0" collapsed="false">
      <c r="I4133" s="41" t="str">
        <f aca="false">IF(F4133="","",IFERROR(IF(ISNUMBER(SEARCH(Assumptions!$C$5,F4133)),Assumptions!$D$5,IF(ISNUMBER(SEARCH(Assumptions!$C$6,F4133)),Assumptions!$D$6,IF(ISNUMBER(SEARCH(Assumptions!$C$7,F4133)),Assumptions!$D$7,"Other Services"))),"Other Services"))</f>
        <v/>
      </c>
    </row>
    <row r="4134" customFormat="false" ht="15" hidden="false" customHeight="false" outlineLevel="0" collapsed="false">
      <c r="I4134" s="41" t="str">
        <f aca="false">IF(F4134="","",IFERROR(IF(ISNUMBER(SEARCH(Assumptions!$C$5,F4134)),Assumptions!$D$5,IF(ISNUMBER(SEARCH(Assumptions!$C$6,F4134)),Assumptions!$D$6,IF(ISNUMBER(SEARCH(Assumptions!$C$7,F4134)),Assumptions!$D$7,"Other Services"))),"Other Services"))</f>
        <v/>
      </c>
    </row>
    <row r="4135" customFormat="false" ht="15" hidden="false" customHeight="false" outlineLevel="0" collapsed="false">
      <c r="I4135" s="41" t="str">
        <f aca="false">IF(F4135="","",IFERROR(IF(ISNUMBER(SEARCH(Assumptions!$C$5,F4135)),Assumptions!$D$5,IF(ISNUMBER(SEARCH(Assumptions!$C$6,F4135)),Assumptions!$D$6,IF(ISNUMBER(SEARCH(Assumptions!$C$7,F4135)),Assumptions!$D$7,"Other Services"))),"Other Services"))</f>
        <v/>
      </c>
    </row>
    <row r="4136" customFormat="false" ht="15" hidden="false" customHeight="false" outlineLevel="0" collapsed="false">
      <c r="I4136" s="41" t="str">
        <f aca="false">IF(F4136="","",IFERROR(IF(ISNUMBER(SEARCH(Assumptions!$C$5,F4136)),Assumptions!$D$5,IF(ISNUMBER(SEARCH(Assumptions!$C$6,F4136)),Assumptions!$D$6,IF(ISNUMBER(SEARCH(Assumptions!$C$7,F4136)),Assumptions!$D$7,"Other Services"))),"Other Services"))</f>
        <v/>
      </c>
    </row>
    <row r="4137" customFormat="false" ht="15" hidden="false" customHeight="false" outlineLevel="0" collapsed="false">
      <c r="I4137" s="41" t="str">
        <f aca="false">IF(F4137="","",IFERROR(IF(ISNUMBER(SEARCH(Assumptions!$C$5,F4137)),Assumptions!$D$5,IF(ISNUMBER(SEARCH(Assumptions!$C$6,F4137)),Assumptions!$D$6,IF(ISNUMBER(SEARCH(Assumptions!$C$7,F4137)),Assumptions!$D$7,"Other Services"))),"Other Services"))</f>
        <v/>
      </c>
    </row>
    <row r="4138" customFormat="false" ht="15" hidden="false" customHeight="false" outlineLevel="0" collapsed="false">
      <c r="I4138" s="41" t="str">
        <f aca="false">IF(F4138="","",IFERROR(IF(ISNUMBER(SEARCH(Assumptions!$C$5,F4138)),Assumptions!$D$5,IF(ISNUMBER(SEARCH(Assumptions!$C$6,F4138)),Assumptions!$D$6,IF(ISNUMBER(SEARCH(Assumptions!$C$7,F4138)),Assumptions!$D$7,"Other Services"))),"Other Services"))</f>
        <v/>
      </c>
    </row>
    <row r="4139" customFormat="false" ht="15" hidden="false" customHeight="false" outlineLevel="0" collapsed="false">
      <c r="I4139" s="41" t="str">
        <f aca="false">IF(F4139="","",IFERROR(IF(ISNUMBER(SEARCH(Assumptions!$C$5,F4139)),Assumptions!$D$5,IF(ISNUMBER(SEARCH(Assumptions!$C$6,F4139)),Assumptions!$D$6,IF(ISNUMBER(SEARCH(Assumptions!$C$7,F4139)),Assumptions!$D$7,"Other Services"))),"Other Services"))</f>
        <v/>
      </c>
    </row>
    <row r="4140" customFormat="false" ht="15" hidden="false" customHeight="false" outlineLevel="0" collapsed="false">
      <c r="I4140" s="41" t="str">
        <f aca="false">IF(F4140="","",IFERROR(IF(ISNUMBER(SEARCH(Assumptions!$C$5,F4140)),Assumptions!$D$5,IF(ISNUMBER(SEARCH(Assumptions!$C$6,F4140)),Assumptions!$D$6,IF(ISNUMBER(SEARCH(Assumptions!$C$7,F4140)),Assumptions!$D$7,"Other Services"))),"Other Services"))</f>
        <v/>
      </c>
    </row>
    <row r="4141" customFormat="false" ht="15" hidden="false" customHeight="false" outlineLevel="0" collapsed="false">
      <c r="I4141" s="41" t="str">
        <f aca="false">IF(F4141="","",IFERROR(IF(ISNUMBER(SEARCH(Assumptions!$C$5,F4141)),Assumptions!$D$5,IF(ISNUMBER(SEARCH(Assumptions!$C$6,F4141)),Assumptions!$D$6,IF(ISNUMBER(SEARCH(Assumptions!$C$7,F4141)),Assumptions!$D$7,"Other Services"))),"Other Services"))</f>
        <v/>
      </c>
    </row>
    <row r="4142" customFormat="false" ht="15" hidden="false" customHeight="false" outlineLevel="0" collapsed="false">
      <c r="I4142" s="41" t="str">
        <f aca="false">IF(F4142="","",IFERROR(IF(ISNUMBER(SEARCH(Assumptions!$C$5,F4142)),Assumptions!$D$5,IF(ISNUMBER(SEARCH(Assumptions!$C$6,F4142)),Assumptions!$D$6,IF(ISNUMBER(SEARCH(Assumptions!$C$7,F4142)),Assumptions!$D$7,"Other Services"))),"Other Services"))</f>
        <v/>
      </c>
    </row>
    <row r="4143" customFormat="false" ht="15" hidden="false" customHeight="false" outlineLevel="0" collapsed="false">
      <c r="I4143" s="41" t="str">
        <f aca="false">IF(F4143="","",IFERROR(IF(ISNUMBER(SEARCH(Assumptions!$C$5,F4143)),Assumptions!$D$5,IF(ISNUMBER(SEARCH(Assumptions!$C$6,F4143)),Assumptions!$D$6,IF(ISNUMBER(SEARCH(Assumptions!$C$7,F4143)),Assumptions!$D$7,"Other Services"))),"Other Services"))</f>
        <v/>
      </c>
    </row>
    <row r="4144" customFormat="false" ht="15" hidden="false" customHeight="false" outlineLevel="0" collapsed="false">
      <c r="I4144" s="41" t="str">
        <f aca="false">IF(F4144="","",IFERROR(IF(ISNUMBER(SEARCH(Assumptions!$C$5,F4144)),Assumptions!$D$5,IF(ISNUMBER(SEARCH(Assumptions!$C$6,F4144)),Assumptions!$D$6,IF(ISNUMBER(SEARCH(Assumptions!$C$7,F4144)),Assumptions!$D$7,"Other Services"))),"Other Services"))</f>
        <v/>
      </c>
    </row>
    <row r="4145" customFormat="false" ht="15" hidden="false" customHeight="false" outlineLevel="0" collapsed="false">
      <c r="I4145" s="41" t="str">
        <f aca="false">IF(F4145="","",IFERROR(IF(ISNUMBER(SEARCH(Assumptions!$C$5,F4145)),Assumptions!$D$5,IF(ISNUMBER(SEARCH(Assumptions!$C$6,F4145)),Assumptions!$D$6,IF(ISNUMBER(SEARCH(Assumptions!$C$7,F4145)),Assumptions!$D$7,"Other Services"))),"Other Services"))</f>
        <v/>
      </c>
    </row>
    <row r="4146" customFormat="false" ht="15" hidden="false" customHeight="false" outlineLevel="0" collapsed="false">
      <c r="I4146" s="41" t="str">
        <f aca="false">IF(F4146="","",IFERROR(IF(ISNUMBER(SEARCH(Assumptions!$C$5,F4146)),Assumptions!$D$5,IF(ISNUMBER(SEARCH(Assumptions!$C$6,F4146)),Assumptions!$D$6,IF(ISNUMBER(SEARCH(Assumptions!$C$7,F4146)),Assumptions!$D$7,"Other Services"))),"Other Services"))</f>
        <v/>
      </c>
    </row>
    <row r="4147" customFormat="false" ht="15" hidden="false" customHeight="false" outlineLevel="0" collapsed="false">
      <c r="I4147" s="41" t="str">
        <f aca="false">IF(F4147="","",IFERROR(IF(ISNUMBER(SEARCH(Assumptions!$C$5,F4147)),Assumptions!$D$5,IF(ISNUMBER(SEARCH(Assumptions!$C$6,F4147)),Assumptions!$D$6,IF(ISNUMBER(SEARCH(Assumptions!$C$7,F4147)),Assumptions!$D$7,"Other Services"))),"Other Services"))</f>
        <v/>
      </c>
    </row>
    <row r="4148" customFormat="false" ht="15" hidden="false" customHeight="false" outlineLevel="0" collapsed="false">
      <c r="I4148" s="41" t="str">
        <f aca="false">IF(F4148="","",IFERROR(IF(ISNUMBER(SEARCH(Assumptions!$C$5,F4148)),Assumptions!$D$5,IF(ISNUMBER(SEARCH(Assumptions!$C$6,F4148)),Assumptions!$D$6,IF(ISNUMBER(SEARCH(Assumptions!$C$7,F4148)),Assumptions!$D$7,"Other Services"))),"Other Services"))</f>
        <v/>
      </c>
    </row>
    <row r="4149" customFormat="false" ht="15" hidden="false" customHeight="false" outlineLevel="0" collapsed="false">
      <c r="I4149" s="41" t="str">
        <f aca="false">IF(F4149="","",IFERROR(IF(ISNUMBER(SEARCH(Assumptions!$C$5,F4149)),Assumptions!$D$5,IF(ISNUMBER(SEARCH(Assumptions!$C$6,F4149)),Assumptions!$D$6,IF(ISNUMBER(SEARCH(Assumptions!$C$7,F4149)),Assumptions!$D$7,"Other Services"))),"Other Services"))</f>
        <v/>
      </c>
    </row>
    <row r="4150" customFormat="false" ht="15" hidden="false" customHeight="false" outlineLevel="0" collapsed="false">
      <c r="I4150" s="41" t="str">
        <f aca="false">IF(F4150="","",IFERROR(IF(ISNUMBER(SEARCH(Assumptions!$C$5,F4150)),Assumptions!$D$5,IF(ISNUMBER(SEARCH(Assumptions!$C$6,F4150)),Assumptions!$D$6,IF(ISNUMBER(SEARCH(Assumptions!$C$7,F4150)),Assumptions!$D$7,"Other Services"))),"Other Services"))</f>
        <v/>
      </c>
    </row>
    <row r="4151" customFormat="false" ht="15" hidden="false" customHeight="false" outlineLevel="0" collapsed="false">
      <c r="I4151" s="41" t="str">
        <f aca="false">IF(F4151="","",IFERROR(IF(ISNUMBER(SEARCH(Assumptions!$C$5,F4151)),Assumptions!$D$5,IF(ISNUMBER(SEARCH(Assumptions!$C$6,F4151)),Assumptions!$D$6,IF(ISNUMBER(SEARCH(Assumptions!$C$7,F4151)),Assumptions!$D$7,"Other Services"))),"Other Services"))</f>
        <v/>
      </c>
    </row>
    <row r="4152" customFormat="false" ht="15" hidden="false" customHeight="false" outlineLevel="0" collapsed="false">
      <c r="I4152" s="41" t="str">
        <f aca="false">IF(F4152="","",IFERROR(IF(ISNUMBER(SEARCH(Assumptions!$C$5,F4152)),Assumptions!$D$5,IF(ISNUMBER(SEARCH(Assumptions!$C$6,F4152)),Assumptions!$D$6,IF(ISNUMBER(SEARCH(Assumptions!$C$7,F4152)),Assumptions!$D$7,"Other Services"))),"Other Services"))</f>
        <v/>
      </c>
    </row>
    <row r="4153" customFormat="false" ht="15" hidden="false" customHeight="false" outlineLevel="0" collapsed="false">
      <c r="I4153" s="41" t="str">
        <f aca="false">IF(F4153="","",IFERROR(IF(ISNUMBER(SEARCH(Assumptions!$C$5,F4153)),Assumptions!$D$5,IF(ISNUMBER(SEARCH(Assumptions!$C$6,F4153)),Assumptions!$D$6,IF(ISNUMBER(SEARCH(Assumptions!$C$7,F4153)),Assumptions!$D$7,"Other Services"))),"Other Services"))</f>
        <v/>
      </c>
    </row>
    <row r="4154" customFormat="false" ht="15" hidden="false" customHeight="false" outlineLevel="0" collapsed="false">
      <c r="I4154" s="41" t="str">
        <f aca="false">IF(F4154="","",IFERROR(IF(ISNUMBER(SEARCH(Assumptions!$C$5,F4154)),Assumptions!$D$5,IF(ISNUMBER(SEARCH(Assumptions!$C$6,F4154)),Assumptions!$D$6,IF(ISNUMBER(SEARCH(Assumptions!$C$7,F4154)),Assumptions!$D$7,"Other Services"))),"Other Services"))</f>
        <v/>
      </c>
    </row>
    <row r="4155" customFormat="false" ht="15" hidden="false" customHeight="false" outlineLevel="0" collapsed="false">
      <c r="I4155" s="41" t="str">
        <f aca="false">IF(F4155="","",IFERROR(IF(ISNUMBER(SEARCH(Assumptions!$C$5,F4155)),Assumptions!$D$5,IF(ISNUMBER(SEARCH(Assumptions!$C$6,F4155)),Assumptions!$D$6,IF(ISNUMBER(SEARCH(Assumptions!$C$7,F4155)),Assumptions!$D$7,"Other Services"))),"Other Services"))</f>
        <v/>
      </c>
    </row>
    <row r="4156" customFormat="false" ht="15" hidden="false" customHeight="false" outlineLevel="0" collapsed="false">
      <c r="I4156" s="41" t="str">
        <f aca="false">IF(F4156="","",IFERROR(IF(ISNUMBER(SEARCH(Assumptions!$C$5,F4156)),Assumptions!$D$5,IF(ISNUMBER(SEARCH(Assumptions!$C$6,F4156)),Assumptions!$D$6,IF(ISNUMBER(SEARCH(Assumptions!$C$7,F4156)),Assumptions!$D$7,"Other Services"))),"Other Services"))</f>
        <v/>
      </c>
    </row>
    <row r="4157" customFormat="false" ht="15" hidden="false" customHeight="false" outlineLevel="0" collapsed="false">
      <c r="I4157" s="41" t="str">
        <f aca="false">IF(F4157="","",IFERROR(IF(ISNUMBER(SEARCH(Assumptions!$C$5,F4157)),Assumptions!$D$5,IF(ISNUMBER(SEARCH(Assumptions!$C$6,F4157)),Assumptions!$D$6,IF(ISNUMBER(SEARCH(Assumptions!$C$7,F4157)),Assumptions!$D$7,"Other Services"))),"Other Services"))</f>
        <v/>
      </c>
    </row>
    <row r="4158" customFormat="false" ht="15" hidden="false" customHeight="false" outlineLevel="0" collapsed="false">
      <c r="I4158" s="41" t="str">
        <f aca="false">IF(F4158="","",IFERROR(IF(ISNUMBER(SEARCH(Assumptions!$C$5,F4158)),Assumptions!$D$5,IF(ISNUMBER(SEARCH(Assumptions!$C$6,F4158)),Assumptions!$D$6,IF(ISNUMBER(SEARCH(Assumptions!$C$7,F4158)),Assumptions!$D$7,"Other Services"))),"Other Services"))</f>
        <v/>
      </c>
    </row>
    <row r="4159" customFormat="false" ht="15" hidden="false" customHeight="false" outlineLevel="0" collapsed="false">
      <c r="I4159" s="41" t="str">
        <f aca="false">IF(F4159="","",IFERROR(IF(ISNUMBER(SEARCH(Assumptions!$C$5,F4159)),Assumptions!$D$5,IF(ISNUMBER(SEARCH(Assumptions!$C$6,F4159)),Assumptions!$D$6,IF(ISNUMBER(SEARCH(Assumptions!$C$7,F4159)),Assumptions!$D$7,"Other Services"))),"Other Services"))</f>
        <v/>
      </c>
    </row>
    <row r="4160" customFormat="false" ht="15" hidden="false" customHeight="false" outlineLevel="0" collapsed="false">
      <c r="I4160" s="41" t="str">
        <f aca="false">IF(F4160="","",IFERROR(IF(ISNUMBER(SEARCH(Assumptions!$C$5,F4160)),Assumptions!$D$5,IF(ISNUMBER(SEARCH(Assumptions!$C$6,F4160)),Assumptions!$D$6,IF(ISNUMBER(SEARCH(Assumptions!$C$7,F4160)),Assumptions!$D$7,"Other Services"))),"Other Services"))</f>
        <v/>
      </c>
    </row>
    <row r="4161" customFormat="false" ht="15" hidden="false" customHeight="false" outlineLevel="0" collapsed="false">
      <c r="I4161" s="41" t="str">
        <f aca="false">IF(F4161="","",IFERROR(IF(ISNUMBER(SEARCH(Assumptions!$C$5,F4161)),Assumptions!$D$5,IF(ISNUMBER(SEARCH(Assumptions!$C$6,F4161)),Assumptions!$D$6,IF(ISNUMBER(SEARCH(Assumptions!$C$7,F4161)),Assumptions!$D$7,"Other Services"))),"Other Services"))</f>
        <v/>
      </c>
    </row>
    <row r="4162" customFormat="false" ht="15" hidden="false" customHeight="false" outlineLevel="0" collapsed="false">
      <c r="I4162" s="41" t="str">
        <f aca="false">IF(F4162="","",IFERROR(IF(ISNUMBER(SEARCH(Assumptions!$C$5,F4162)),Assumptions!$D$5,IF(ISNUMBER(SEARCH(Assumptions!$C$6,F4162)),Assumptions!$D$6,IF(ISNUMBER(SEARCH(Assumptions!$C$7,F4162)),Assumptions!$D$7,"Other Services"))),"Other Services"))</f>
        <v/>
      </c>
    </row>
    <row r="4163" customFormat="false" ht="15" hidden="false" customHeight="false" outlineLevel="0" collapsed="false">
      <c r="I4163" s="41" t="str">
        <f aca="false">IF(F4163="","",IFERROR(IF(ISNUMBER(SEARCH(Assumptions!$C$5,F4163)),Assumptions!$D$5,IF(ISNUMBER(SEARCH(Assumptions!$C$6,F4163)),Assumptions!$D$6,IF(ISNUMBER(SEARCH(Assumptions!$C$7,F4163)),Assumptions!$D$7,"Other Services"))),"Other Services"))</f>
        <v/>
      </c>
    </row>
    <row r="4164" customFormat="false" ht="15" hidden="false" customHeight="false" outlineLevel="0" collapsed="false">
      <c r="I4164" s="41" t="str">
        <f aca="false">IF(F4164="","",IFERROR(IF(ISNUMBER(SEARCH(Assumptions!$C$5,F4164)),Assumptions!$D$5,IF(ISNUMBER(SEARCH(Assumptions!$C$6,F4164)),Assumptions!$D$6,IF(ISNUMBER(SEARCH(Assumptions!$C$7,F4164)),Assumptions!$D$7,"Other Services"))),"Other Services"))</f>
        <v/>
      </c>
    </row>
    <row r="4165" customFormat="false" ht="15" hidden="false" customHeight="false" outlineLevel="0" collapsed="false">
      <c r="I4165" s="41" t="str">
        <f aca="false">IF(F4165="","",IFERROR(IF(ISNUMBER(SEARCH(Assumptions!$C$5,F4165)),Assumptions!$D$5,IF(ISNUMBER(SEARCH(Assumptions!$C$6,F4165)),Assumptions!$D$6,IF(ISNUMBER(SEARCH(Assumptions!$C$7,F4165)),Assumptions!$D$7,"Other Services"))),"Other Services"))</f>
        <v/>
      </c>
    </row>
    <row r="4166" customFormat="false" ht="15" hidden="false" customHeight="false" outlineLevel="0" collapsed="false">
      <c r="I4166" s="41" t="str">
        <f aca="false">IF(F4166="","",IFERROR(IF(ISNUMBER(SEARCH(Assumptions!$C$5,F4166)),Assumptions!$D$5,IF(ISNUMBER(SEARCH(Assumptions!$C$6,F4166)),Assumptions!$D$6,IF(ISNUMBER(SEARCH(Assumptions!$C$7,F4166)),Assumptions!$D$7,"Other Services"))),"Other Services"))</f>
        <v/>
      </c>
    </row>
    <row r="4167" customFormat="false" ht="15" hidden="false" customHeight="false" outlineLevel="0" collapsed="false">
      <c r="I4167" s="41" t="str">
        <f aca="false">IF(F4167="","",IFERROR(IF(ISNUMBER(SEARCH(Assumptions!$C$5,F4167)),Assumptions!$D$5,IF(ISNUMBER(SEARCH(Assumptions!$C$6,F4167)),Assumptions!$D$6,IF(ISNUMBER(SEARCH(Assumptions!$C$7,F4167)),Assumptions!$D$7,"Other Services"))),"Other Services"))</f>
        <v/>
      </c>
    </row>
    <row r="4168" customFormat="false" ht="15" hidden="false" customHeight="false" outlineLevel="0" collapsed="false">
      <c r="I4168" s="41" t="str">
        <f aca="false">IF(F4168="","",IFERROR(IF(ISNUMBER(SEARCH(Assumptions!$C$5,F4168)),Assumptions!$D$5,IF(ISNUMBER(SEARCH(Assumptions!$C$6,F4168)),Assumptions!$D$6,IF(ISNUMBER(SEARCH(Assumptions!$C$7,F4168)),Assumptions!$D$7,"Other Services"))),"Other Services"))</f>
        <v/>
      </c>
    </row>
    <row r="4169" customFormat="false" ht="15" hidden="false" customHeight="false" outlineLevel="0" collapsed="false">
      <c r="I4169" s="41" t="str">
        <f aca="false">IF(F4169="","",IFERROR(IF(ISNUMBER(SEARCH(Assumptions!$C$5,F4169)),Assumptions!$D$5,IF(ISNUMBER(SEARCH(Assumptions!$C$6,F4169)),Assumptions!$D$6,IF(ISNUMBER(SEARCH(Assumptions!$C$7,F4169)),Assumptions!$D$7,"Other Services"))),"Other Services"))</f>
        <v/>
      </c>
    </row>
    <row r="4170" customFormat="false" ht="15" hidden="false" customHeight="false" outlineLevel="0" collapsed="false">
      <c r="I4170" s="41" t="str">
        <f aca="false">IF(F4170="","",IFERROR(IF(ISNUMBER(SEARCH(Assumptions!$C$5,F4170)),Assumptions!$D$5,IF(ISNUMBER(SEARCH(Assumptions!$C$6,F4170)),Assumptions!$D$6,IF(ISNUMBER(SEARCH(Assumptions!$C$7,F4170)),Assumptions!$D$7,"Other Services"))),"Other Services"))</f>
        <v/>
      </c>
    </row>
    <row r="4171" customFormat="false" ht="15" hidden="false" customHeight="false" outlineLevel="0" collapsed="false">
      <c r="I4171" s="41" t="str">
        <f aca="false">IF(F4171="","",IFERROR(IF(ISNUMBER(SEARCH(Assumptions!$C$5,F4171)),Assumptions!$D$5,IF(ISNUMBER(SEARCH(Assumptions!$C$6,F4171)),Assumptions!$D$6,IF(ISNUMBER(SEARCH(Assumptions!$C$7,F4171)),Assumptions!$D$7,"Other Services"))),"Other Services"))</f>
        <v/>
      </c>
    </row>
    <row r="4172" customFormat="false" ht="15" hidden="false" customHeight="false" outlineLevel="0" collapsed="false">
      <c r="I4172" s="41" t="str">
        <f aca="false">IF(F4172="","",IFERROR(IF(ISNUMBER(SEARCH(Assumptions!$C$5,F4172)),Assumptions!$D$5,IF(ISNUMBER(SEARCH(Assumptions!$C$6,F4172)),Assumptions!$D$6,IF(ISNUMBER(SEARCH(Assumptions!$C$7,F4172)),Assumptions!$D$7,"Other Services"))),"Other Services"))</f>
        <v/>
      </c>
    </row>
    <row r="4173" customFormat="false" ht="15" hidden="false" customHeight="false" outlineLevel="0" collapsed="false">
      <c r="I4173" s="41" t="str">
        <f aca="false">IF(F4173="","",IFERROR(IF(ISNUMBER(SEARCH(Assumptions!$C$5,F4173)),Assumptions!$D$5,IF(ISNUMBER(SEARCH(Assumptions!$C$6,F4173)),Assumptions!$D$6,IF(ISNUMBER(SEARCH(Assumptions!$C$7,F4173)),Assumptions!$D$7,"Other Services"))),"Other Services"))</f>
        <v/>
      </c>
    </row>
    <row r="4174" customFormat="false" ht="15" hidden="false" customHeight="false" outlineLevel="0" collapsed="false">
      <c r="I4174" s="41" t="str">
        <f aca="false">IF(F4174="","",IFERROR(IF(ISNUMBER(SEARCH(Assumptions!$C$5,F4174)),Assumptions!$D$5,IF(ISNUMBER(SEARCH(Assumptions!$C$6,F4174)),Assumptions!$D$6,IF(ISNUMBER(SEARCH(Assumptions!$C$7,F4174)),Assumptions!$D$7,"Other Services"))),"Other Services"))</f>
        <v/>
      </c>
    </row>
    <row r="4175" customFormat="false" ht="15" hidden="false" customHeight="false" outlineLevel="0" collapsed="false">
      <c r="I4175" s="41" t="str">
        <f aca="false">IF(F4175="","",IFERROR(IF(ISNUMBER(SEARCH(Assumptions!$C$5,F4175)),Assumptions!$D$5,IF(ISNUMBER(SEARCH(Assumptions!$C$6,F4175)),Assumptions!$D$6,IF(ISNUMBER(SEARCH(Assumptions!$C$7,F4175)),Assumptions!$D$7,"Other Services"))),"Other Services"))</f>
        <v/>
      </c>
    </row>
    <row r="4176" customFormat="false" ht="15" hidden="false" customHeight="false" outlineLevel="0" collapsed="false">
      <c r="I4176" s="41" t="str">
        <f aca="false">IF(F4176="","",IFERROR(IF(ISNUMBER(SEARCH(Assumptions!$C$5,F4176)),Assumptions!$D$5,IF(ISNUMBER(SEARCH(Assumptions!$C$6,F4176)),Assumptions!$D$6,IF(ISNUMBER(SEARCH(Assumptions!$C$7,F4176)),Assumptions!$D$7,"Other Services"))),"Other Services"))</f>
        <v/>
      </c>
    </row>
    <row r="4177" customFormat="false" ht="15" hidden="false" customHeight="false" outlineLevel="0" collapsed="false">
      <c r="I4177" s="41" t="str">
        <f aca="false">IF(F4177="","",IFERROR(IF(ISNUMBER(SEARCH(Assumptions!$C$5,F4177)),Assumptions!$D$5,IF(ISNUMBER(SEARCH(Assumptions!$C$6,F4177)),Assumptions!$D$6,IF(ISNUMBER(SEARCH(Assumptions!$C$7,F4177)),Assumptions!$D$7,"Other Services"))),"Other Services"))</f>
        <v/>
      </c>
    </row>
    <row r="4178" customFormat="false" ht="15" hidden="false" customHeight="false" outlineLevel="0" collapsed="false">
      <c r="I4178" s="41" t="str">
        <f aca="false">IF(F4178="","",IFERROR(IF(ISNUMBER(SEARCH(Assumptions!$C$5,F4178)),Assumptions!$D$5,IF(ISNUMBER(SEARCH(Assumptions!$C$6,F4178)),Assumptions!$D$6,IF(ISNUMBER(SEARCH(Assumptions!$C$7,F4178)),Assumptions!$D$7,"Other Services"))),"Other Services"))</f>
        <v/>
      </c>
    </row>
    <row r="4179" customFormat="false" ht="15" hidden="false" customHeight="false" outlineLevel="0" collapsed="false">
      <c r="I4179" s="41" t="str">
        <f aca="false">IF(F4179="","",IFERROR(IF(ISNUMBER(SEARCH(Assumptions!$C$5,F4179)),Assumptions!$D$5,IF(ISNUMBER(SEARCH(Assumptions!$C$6,F4179)),Assumptions!$D$6,IF(ISNUMBER(SEARCH(Assumptions!$C$7,F4179)),Assumptions!$D$7,"Other Services"))),"Other Services"))</f>
        <v/>
      </c>
    </row>
    <row r="4180" customFormat="false" ht="15" hidden="false" customHeight="false" outlineLevel="0" collapsed="false">
      <c r="I4180" s="41" t="str">
        <f aca="false">IF(F4180="","",IFERROR(IF(ISNUMBER(SEARCH(Assumptions!$C$5,F4180)),Assumptions!$D$5,IF(ISNUMBER(SEARCH(Assumptions!$C$6,F4180)),Assumptions!$D$6,IF(ISNUMBER(SEARCH(Assumptions!$C$7,F4180)),Assumptions!$D$7,"Other Services"))),"Other Services"))</f>
        <v/>
      </c>
    </row>
    <row r="4181" customFormat="false" ht="15" hidden="false" customHeight="false" outlineLevel="0" collapsed="false">
      <c r="I4181" s="41" t="str">
        <f aca="false">IF(F4181="","",IFERROR(IF(ISNUMBER(SEARCH(Assumptions!$C$5,F4181)),Assumptions!$D$5,IF(ISNUMBER(SEARCH(Assumptions!$C$6,F4181)),Assumptions!$D$6,IF(ISNUMBER(SEARCH(Assumptions!$C$7,F4181)),Assumptions!$D$7,"Other Services"))),"Other Services"))</f>
        <v/>
      </c>
    </row>
    <row r="4182" customFormat="false" ht="15" hidden="false" customHeight="false" outlineLevel="0" collapsed="false">
      <c r="I4182" s="41" t="str">
        <f aca="false">IF(F4182="","",IFERROR(IF(ISNUMBER(SEARCH(Assumptions!$C$5,F4182)),Assumptions!$D$5,IF(ISNUMBER(SEARCH(Assumptions!$C$6,F4182)),Assumptions!$D$6,IF(ISNUMBER(SEARCH(Assumptions!$C$7,F4182)),Assumptions!$D$7,"Other Services"))),"Other Services"))</f>
        <v/>
      </c>
    </row>
    <row r="4183" customFormat="false" ht="15" hidden="false" customHeight="false" outlineLevel="0" collapsed="false">
      <c r="I4183" s="41" t="str">
        <f aca="false">IF(F4183="","",IFERROR(IF(ISNUMBER(SEARCH(Assumptions!$C$5,F4183)),Assumptions!$D$5,IF(ISNUMBER(SEARCH(Assumptions!$C$6,F4183)),Assumptions!$D$6,IF(ISNUMBER(SEARCH(Assumptions!$C$7,F4183)),Assumptions!$D$7,"Other Services"))),"Other Services"))</f>
        <v/>
      </c>
    </row>
    <row r="4184" customFormat="false" ht="15" hidden="false" customHeight="false" outlineLevel="0" collapsed="false">
      <c r="I4184" s="41" t="str">
        <f aca="false">IF(F4184="","",IFERROR(IF(ISNUMBER(SEARCH(Assumptions!$C$5,F4184)),Assumptions!$D$5,IF(ISNUMBER(SEARCH(Assumptions!$C$6,F4184)),Assumptions!$D$6,IF(ISNUMBER(SEARCH(Assumptions!$C$7,F4184)),Assumptions!$D$7,"Other Services"))),"Other Services"))</f>
        <v/>
      </c>
    </row>
    <row r="4185" customFormat="false" ht="15" hidden="false" customHeight="false" outlineLevel="0" collapsed="false">
      <c r="I4185" s="41" t="str">
        <f aca="false">IF(F4185="","",IFERROR(IF(ISNUMBER(SEARCH(Assumptions!$C$5,F4185)),Assumptions!$D$5,IF(ISNUMBER(SEARCH(Assumptions!$C$6,F4185)),Assumptions!$D$6,IF(ISNUMBER(SEARCH(Assumptions!$C$7,F4185)),Assumptions!$D$7,"Other Services"))),"Other Services"))</f>
        <v/>
      </c>
    </row>
    <row r="4186" customFormat="false" ht="15" hidden="false" customHeight="false" outlineLevel="0" collapsed="false">
      <c r="I4186" s="41" t="str">
        <f aca="false">IF(F4186="","",IFERROR(IF(ISNUMBER(SEARCH(Assumptions!$C$5,F4186)),Assumptions!$D$5,IF(ISNUMBER(SEARCH(Assumptions!$C$6,F4186)),Assumptions!$D$6,IF(ISNUMBER(SEARCH(Assumptions!$C$7,F4186)),Assumptions!$D$7,"Other Services"))),"Other Services"))</f>
        <v/>
      </c>
    </row>
    <row r="4187" customFormat="false" ht="15" hidden="false" customHeight="false" outlineLevel="0" collapsed="false">
      <c r="I4187" s="41" t="str">
        <f aca="false">IF(F4187="","",IFERROR(IF(ISNUMBER(SEARCH(Assumptions!$C$5,F4187)),Assumptions!$D$5,IF(ISNUMBER(SEARCH(Assumptions!$C$6,F4187)),Assumptions!$D$6,IF(ISNUMBER(SEARCH(Assumptions!$C$7,F4187)),Assumptions!$D$7,"Other Services"))),"Other Services"))</f>
        <v/>
      </c>
    </row>
    <row r="4188" customFormat="false" ht="15" hidden="false" customHeight="false" outlineLevel="0" collapsed="false">
      <c r="I4188" s="41" t="str">
        <f aca="false">IF(F4188="","",IFERROR(IF(ISNUMBER(SEARCH(Assumptions!$C$5,F4188)),Assumptions!$D$5,IF(ISNUMBER(SEARCH(Assumptions!$C$6,F4188)),Assumptions!$D$6,IF(ISNUMBER(SEARCH(Assumptions!$C$7,F4188)),Assumptions!$D$7,"Other Services"))),"Other Services"))</f>
        <v/>
      </c>
    </row>
    <row r="4189" customFormat="false" ht="15" hidden="false" customHeight="false" outlineLevel="0" collapsed="false">
      <c r="I4189" s="41" t="str">
        <f aca="false">IF(F4189="","",IFERROR(IF(ISNUMBER(SEARCH(Assumptions!$C$5,F4189)),Assumptions!$D$5,IF(ISNUMBER(SEARCH(Assumptions!$C$6,F4189)),Assumptions!$D$6,IF(ISNUMBER(SEARCH(Assumptions!$C$7,F4189)),Assumptions!$D$7,"Other Services"))),"Other Services"))</f>
        <v/>
      </c>
    </row>
    <row r="4190" customFormat="false" ht="15" hidden="false" customHeight="false" outlineLevel="0" collapsed="false">
      <c r="I4190" s="41" t="str">
        <f aca="false">IF(F4190="","",IFERROR(IF(ISNUMBER(SEARCH(Assumptions!$C$5,F4190)),Assumptions!$D$5,IF(ISNUMBER(SEARCH(Assumptions!$C$6,F4190)),Assumptions!$D$6,IF(ISNUMBER(SEARCH(Assumptions!$C$7,F4190)),Assumptions!$D$7,"Other Services"))),"Other Services"))</f>
        <v/>
      </c>
    </row>
    <row r="4191" customFormat="false" ht="15" hidden="false" customHeight="false" outlineLevel="0" collapsed="false">
      <c r="I4191" s="41" t="str">
        <f aca="false">IF(F4191="","",IFERROR(IF(ISNUMBER(SEARCH(Assumptions!$C$5,F4191)),Assumptions!$D$5,IF(ISNUMBER(SEARCH(Assumptions!$C$6,F4191)),Assumptions!$D$6,IF(ISNUMBER(SEARCH(Assumptions!$C$7,F4191)),Assumptions!$D$7,"Other Services"))),"Other Services"))</f>
        <v/>
      </c>
    </row>
    <row r="4192" customFormat="false" ht="15" hidden="false" customHeight="false" outlineLevel="0" collapsed="false">
      <c r="I4192" s="41" t="str">
        <f aca="false">IF(F4192="","",IFERROR(IF(ISNUMBER(SEARCH(Assumptions!$C$5,F4192)),Assumptions!$D$5,IF(ISNUMBER(SEARCH(Assumptions!$C$6,F4192)),Assumptions!$D$6,IF(ISNUMBER(SEARCH(Assumptions!$C$7,F4192)),Assumptions!$D$7,"Other Services"))),"Other Services"))</f>
        <v/>
      </c>
    </row>
    <row r="4193" customFormat="false" ht="15" hidden="false" customHeight="false" outlineLevel="0" collapsed="false">
      <c r="I4193" s="41" t="str">
        <f aca="false">IF(F4193="","",IFERROR(IF(ISNUMBER(SEARCH(Assumptions!$C$5,F4193)),Assumptions!$D$5,IF(ISNUMBER(SEARCH(Assumptions!$C$6,F4193)),Assumptions!$D$6,IF(ISNUMBER(SEARCH(Assumptions!$C$7,F4193)),Assumptions!$D$7,"Other Services"))),"Other Services"))</f>
        <v/>
      </c>
    </row>
    <row r="4194" customFormat="false" ht="15" hidden="false" customHeight="false" outlineLevel="0" collapsed="false">
      <c r="I4194" s="41" t="str">
        <f aca="false">IF(F4194="","",IFERROR(IF(ISNUMBER(SEARCH(Assumptions!$C$5,F4194)),Assumptions!$D$5,IF(ISNUMBER(SEARCH(Assumptions!$C$6,F4194)),Assumptions!$D$6,IF(ISNUMBER(SEARCH(Assumptions!$C$7,F4194)),Assumptions!$D$7,"Other Services"))),"Other Services"))</f>
        <v/>
      </c>
    </row>
    <row r="4195" customFormat="false" ht="15" hidden="false" customHeight="false" outlineLevel="0" collapsed="false">
      <c r="I4195" s="41" t="str">
        <f aca="false">IF(F4195="","",IFERROR(IF(ISNUMBER(SEARCH(Assumptions!$C$5,F4195)),Assumptions!$D$5,IF(ISNUMBER(SEARCH(Assumptions!$C$6,F4195)),Assumptions!$D$6,IF(ISNUMBER(SEARCH(Assumptions!$C$7,F4195)),Assumptions!$D$7,"Other Services"))),"Other Services"))</f>
        <v/>
      </c>
    </row>
    <row r="4196" customFormat="false" ht="15" hidden="false" customHeight="false" outlineLevel="0" collapsed="false">
      <c r="I4196" s="41" t="str">
        <f aca="false">IF(F4196="","",IFERROR(IF(ISNUMBER(SEARCH(Assumptions!$C$5,F4196)),Assumptions!$D$5,IF(ISNUMBER(SEARCH(Assumptions!$C$6,F4196)),Assumptions!$D$6,IF(ISNUMBER(SEARCH(Assumptions!$C$7,F4196)),Assumptions!$D$7,"Other Services"))),"Other Services"))</f>
        <v/>
      </c>
    </row>
    <row r="4197" customFormat="false" ht="15" hidden="false" customHeight="false" outlineLevel="0" collapsed="false">
      <c r="I4197" s="41" t="str">
        <f aca="false">IF(F4197="","",IFERROR(IF(ISNUMBER(SEARCH(Assumptions!$C$5,F4197)),Assumptions!$D$5,IF(ISNUMBER(SEARCH(Assumptions!$C$6,F4197)),Assumptions!$D$6,IF(ISNUMBER(SEARCH(Assumptions!$C$7,F4197)),Assumptions!$D$7,"Other Services"))),"Other Services"))</f>
        <v/>
      </c>
    </row>
    <row r="4198" customFormat="false" ht="15" hidden="false" customHeight="false" outlineLevel="0" collapsed="false">
      <c r="I4198" s="41" t="str">
        <f aca="false">IF(F4198="","",IFERROR(IF(ISNUMBER(SEARCH(Assumptions!$C$5,F4198)),Assumptions!$D$5,IF(ISNUMBER(SEARCH(Assumptions!$C$6,F4198)),Assumptions!$D$6,IF(ISNUMBER(SEARCH(Assumptions!$C$7,F4198)),Assumptions!$D$7,"Other Services"))),"Other Services"))</f>
        <v/>
      </c>
    </row>
    <row r="4199" customFormat="false" ht="15" hidden="false" customHeight="false" outlineLevel="0" collapsed="false">
      <c r="I4199" s="41" t="str">
        <f aca="false">IF(F4199="","",IFERROR(IF(ISNUMBER(SEARCH(Assumptions!$C$5,F4199)),Assumptions!$D$5,IF(ISNUMBER(SEARCH(Assumptions!$C$6,F4199)),Assumptions!$D$6,IF(ISNUMBER(SEARCH(Assumptions!$C$7,F4199)),Assumptions!$D$7,"Other Services"))),"Other Services"))</f>
        <v/>
      </c>
    </row>
    <row r="4200" customFormat="false" ht="15" hidden="false" customHeight="false" outlineLevel="0" collapsed="false">
      <c r="I4200" s="41" t="str">
        <f aca="false">IF(F4200="","",IFERROR(IF(ISNUMBER(SEARCH(Assumptions!$C$5,F4200)),Assumptions!$D$5,IF(ISNUMBER(SEARCH(Assumptions!$C$6,F4200)),Assumptions!$D$6,IF(ISNUMBER(SEARCH(Assumptions!$C$7,F4200)),Assumptions!$D$7,"Other Services"))),"Other Services"))</f>
        <v/>
      </c>
    </row>
    <row r="4201" customFormat="false" ht="15" hidden="false" customHeight="false" outlineLevel="0" collapsed="false">
      <c r="I4201" s="41" t="str">
        <f aca="false">IF(F4201="","",IFERROR(IF(ISNUMBER(SEARCH(Assumptions!$C$5,F4201)),Assumptions!$D$5,IF(ISNUMBER(SEARCH(Assumptions!$C$6,F4201)),Assumptions!$D$6,IF(ISNUMBER(SEARCH(Assumptions!$C$7,F4201)),Assumptions!$D$7,"Other Services"))),"Other Services"))</f>
        <v/>
      </c>
    </row>
    <row r="4202" customFormat="false" ht="15" hidden="false" customHeight="false" outlineLevel="0" collapsed="false">
      <c r="I4202" s="41" t="str">
        <f aca="false">IF(F4202="","",IFERROR(IF(ISNUMBER(SEARCH(Assumptions!$C$5,F4202)),Assumptions!$D$5,IF(ISNUMBER(SEARCH(Assumptions!$C$6,F4202)),Assumptions!$D$6,IF(ISNUMBER(SEARCH(Assumptions!$C$7,F4202)),Assumptions!$D$7,"Other Services"))),"Other Services"))</f>
        <v/>
      </c>
    </row>
    <row r="4203" customFormat="false" ht="15" hidden="false" customHeight="false" outlineLevel="0" collapsed="false">
      <c r="I4203" s="41" t="str">
        <f aca="false">IF(F4203="","",IFERROR(IF(ISNUMBER(SEARCH(Assumptions!$C$5,F4203)),Assumptions!$D$5,IF(ISNUMBER(SEARCH(Assumptions!$C$6,F4203)),Assumptions!$D$6,IF(ISNUMBER(SEARCH(Assumptions!$C$7,F4203)),Assumptions!$D$7,"Other Services"))),"Other Services"))</f>
        <v/>
      </c>
    </row>
    <row r="4204" customFormat="false" ht="15" hidden="false" customHeight="false" outlineLevel="0" collapsed="false">
      <c r="I4204" s="41" t="str">
        <f aca="false">IF(F4204="","",IFERROR(IF(ISNUMBER(SEARCH(Assumptions!$C$5,F4204)),Assumptions!$D$5,IF(ISNUMBER(SEARCH(Assumptions!$C$6,F4204)),Assumptions!$D$6,IF(ISNUMBER(SEARCH(Assumptions!$C$7,F4204)),Assumptions!$D$7,"Other Services"))),"Other Services"))</f>
        <v/>
      </c>
    </row>
    <row r="4205" customFormat="false" ht="15" hidden="false" customHeight="false" outlineLevel="0" collapsed="false">
      <c r="I4205" s="41" t="str">
        <f aca="false">IF(F4205="","",IFERROR(IF(ISNUMBER(SEARCH(Assumptions!$C$5,F4205)),Assumptions!$D$5,IF(ISNUMBER(SEARCH(Assumptions!$C$6,F4205)),Assumptions!$D$6,IF(ISNUMBER(SEARCH(Assumptions!$C$7,F4205)),Assumptions!$D$7,"Other Services"))),"Other Services"))</f>
        <v/>
      </c>
    </row>
    <row r="4206" customFormat="false" ht="15" hidden="false" customHeight="false" outlineLevel="0" collapsed="false">
      <c r="I4206" s="41" t="str">
        <f aca="false">IF(F4206="","",IFERROR(IF(ISNUMBER(SEARCH(Assumptions!$C$5,F4206)),Assumptions!$D$5,IF(ISNUMBER(SEARCH(Assumptions!$C$6,F4206)),Assumptions!$D$6,IF(ISNUMBER(SEARCH(Assumptions!$C$7,F4206)),Assumptions!$D$7,"Other Services"))),"Other Services"))</f>
        <v/>
      </c>
    </row>
    <row r="4207" customFormat="false" ht="15" hidden="false" customHeight="false" outlineLevel="0" collapsed="false">
      <c r="I4207" s="41" t="str">
        <f aca="false">IF(F4207="","",IFERROR(IF(ISNUMBER(SEARCH(Assumptions!$C$5,F4207)),Assumptions!$D$5,IF(ISNUMBER(SEARCH(Assumptions!$C$6,F4207)),Assumptions!$D$6,IF(ISNUMBER(SEARCH(Assumptions!$C$7,F4207)),Assumptions!$D$7,"Other Services"))),"Other Services"))</f>
        <v/>
      </c>
    </row>
    <row r="4208" customFormat="false" ht="15" hidden="false" customHeight="false" outlineLevel="0" collapsed="false">
      <c r="I4208" s="41" t="str">
        <f aca="false">IF(F4208="","",IFERROR(IF(ISNUMBER(SEARCH(Assumptions!$C$5,F4208)),Assumptions!$D$5,IF(ISNUMBER(SEARCH(Assumptions!$C$6,F4208)),Assumptions!$D$6,IF(ISNUMBER(SEARCH(Assumptions!$C$7,F4208)),Assumptions!$D$7,"Other Services"))),"Other Services"))</f>
        <v/>
      </c>
    </row>
    <row r="4209" customFormat="false" ht="15" hidden="false" customHeight="false" outlineLevel="0" collapsed="false">
      <c r="I4209" s="41" t="str">
        <f aca="false">IF(F4209="","",IFERROR(IF(ISNUMBER(SEARCH(Assumptions!$C$5,F4209)),Assumptions!$D$5,IF(ISNUMBER(SEARCH(Assumptions!$C$6,F4209)),Assumptions!$D$6,IF(ISNUMBER(SEARCH(Assumptions!$C$7,F4209)),Assumptions!$D$7,"Other Services"))),"Other Services"))</f>
        <v/>
      </c>
    </row>
    <row r="4210" customFormat="false" ht="15" hidden="false" customHeight="false" outlineLevel="0" collapsed="false">
      <c r="I4210" s="41" t="str">
        <f aca="false">IF(F4210="","",IFERROR(IF(ISNUMBER(SEARCH(Assumptions!$C$5,F4210)),Assumptions!$D$5,IF(ISNUMBER(SEARCH(Assumptions!$C$6,F4210)),Assumptions!$D$6,IF(ISNUMBER(SEARCH(Assumptions!$C$7,F4210)),Assumptions!$D$7,"Other Services"))),"Other Services"))</f>
        <v/>
      </c>
    </row>
    <row r="4211" customFormat="false" ht="15" hidden="false" customHeight="false" outlineLevel="0" collapsed="false">
      <c r="I4211" s="41" t="str">
        <f aca="false">IF(F4211="","",IFERROR(IF(ISNUMBER(SEARCH(Assumptions!$C$5,F4211)),Assumptions!$D$5,IF(ISNUMBER(SEARCH(Assumptions!$C$6,F4211)),Assumptions!$D$6,IF(ISNUMBER(SEARCH(Assumptions!$C$7,F4211)),Assumptions!$D$7,"Other Services"))),"Other Services"))</f>
        <v/>
      </c>
    </row>
    <row r="4212" customFormat="false" ht="15" hidden="false" customHeight="false" outlineLevel="0" collapsed="false">
      <c r="I4212" s="41" t="str">
        <f aca="false">IF(F4212="","",IFERROR(IF(ISNUMBER(SEARCH(Assumptions!$C$5,F4212)),Assumptions!$D$5,IF(ISNUMBER(SEARCH(Assumptions!$C$6,F4212)),Assumptions!$D$6,IF(ISNUMBER(SEARCH(Assumptions!$C$7,F4212)),Assumptions!$D$7,"Other Services"))),"Other Services"))</f>
        <v/>
      </c>
    </row>
    <row r="4213" customFormat="false" ht="15" hidden="false" customHeight="false" outlineLevel="0" collapsed="false">
      <c r="I4213" s="41" t="str">
        <f aca="false">IF(F4213="","",IFERROR(IF(ISNUMBER(SEARCH(Assumptions!$C$5,F4213)),Assumptions!$D$5,IF(ISNUMBER(SEARCH(Assumptions!$C$6,F4213)),Assumptions!$D$6,IF(ISNUMBER(SEARCH(Assumptions!$C$7,F4213)),Assumptions!$D$7,"Other Services"))),"Other Services"))</f>
        <v/>
      </c>
    </row>
    <row r="4214" customFormat="false" ht="15" hidden="false" customHeight="false" outlineLevel="0" collapsed="false">
      <c r="I4214" s="41" t="str">
        <f aca="false">IF(F4214="","",IFERROR(IF(ISNUMBER(SEARCH(Assumptions!$C$5,F4214)),Assumptions!$D$5,IF(ISNUMBER(SEARCH(Assumptions!$C$6,F4214)),Assumptions!$D$6,IF(ISNUMBER(SEARCH(Assumptions!$C$7,F4214)),Assumptions!$D$7,"Other Services"))),"Other Services"))</f>
        <v/>
      </c>
    </row>
    <row r="4215" customFormat="false" ht="15" hidden="false" customHeight="false" outlineLevel="0" collapsed="false">
      <c r="I4215" s="41" t="str">
        <f aca="false">IF(F4215="","",IFERROR(IF(ISNUMBER(SEARCH(Assumptions!$C$5,F4215)),Assumptions!$D$5,IF(ISNUMBER(SEARCH(Assumptions!$C$6,F4215)),Assumptions!$D$6,IF(ISNUMBER(SEARCH(Assumptions!$C$7,F4215)),Assumptions!$D$7,"Other Services"))),"Other Services"))</f>
        <v/>
      </c>
    </row>
    <row r="4216" customFormat="false" ht="15" hidden="false" customHeight="false" outlineLevel="0" collapsed="false">
      <c r="I4216" s="41" t="str">
        <f aca="false">IF(F4216="","",IFERROR(IF(ISNUMBER(SEARCH(Assumptions!$C$5,F4216)),Assumptions!$D$5,IF(ISNUMBER(SEARCH(Assumptions!$C$6,F4216)),Assumptions!$D$6,IF(ISNUMBER(SEARCH(Assumptions!$C$7,F4216)),Assumptions!$D$7,"Other Services"))),"Other Services"))</f>
        <v/>
      </c>
    </row>
    <row r="4217" customFormat="false" ht="15" hidden="false" customHeight="false" outlineLevel="0" collapsed="false">
      <c r="I4217" s="41" t="str">
        <f aca="false">IF(F4217="","",IFERROR(IF(ISNUMBER(SEARCH(Assumptions!$C$5,F4217)),Assumptions!$D$5,IF(ISNUMBER(SEARCH(Assumptions!$C$6,F4217)),Assumptions!$D$6,IF(ISNUMBER(SEARCH(Assumptions!$C$7,F4217)),Assumptions!$D$7,"Other Services"))),"Other Services"))</f>
        <v/>
      </c>
    </row>
    <row r="4218" customFormat="false" ht="15" hidden="false" customHeight="false" outlineLevel="0" collapsed="false">
      <c r="I4218" s="41" t="str">
        <f aca="false">IF(F4218="","",IFERROR(IF(ISNUMBER(SEARCH(Assumptions!$C$5,F4218)),Assumptions!$D$5,IF(ISNUMBER(SEARCH(Assumptions!$C$6,F4218)),Assumptions!$D$6,IF(ISNUMBER(SEARCH(Assumptions!$C$7,F4218)),Assumptions!$D$7,"Other Services"))),"Other Services"))</f>
        <v/>
      </c>
    </row>
    <row r="4219" customFormat="false" ht="15" hidden="false" customHeight="false" outlineLevel="0" collapsed="false">
      <c r="I4219" s="41" t="str">
        <f aca="false">IF(F4219="","",IFERROR(IF(ISNUMBER(SEARCH(Assumptions!$C$5,F4219)),Assumptions!$D$5,IF(ISNUMBER(SEARCH(Assumptions!$C$6,F4219)),Assumptions!$D$6,IF(ISNUMBER(SEARCH(Assumptions!$C$7,F4219)),Assumptions!$D$7,"Other Services"))),"Other Services"))</f>
        <v/>
      </c>
    </row>
    <row r="4220" customFormat="false" ht="15" hidden="false" customHeight="false" outlineLevel="0" collapsed="false">
      <c r="I4220" s="41" t="str">
        <f aca="false">IF(F4220="","",IFERROR(IF(ISNUMBER(SEARCH(Assumptions!$C$5,F4220)),Assumptions!$D$5,IF(ISNUMBER(SEARCH(Assumptions!$C$6,F4220)),Assumptions!$D$6,IF(ISNUMBER(SEARCH(Assumptions!$C$7,F4220)),Assumptions!$D$7,"Other Services"))),"Other Services"))</f>
        <v/>
      </c>
    </row>
    <row r="4221" customFormat="false" ht="15" hidden="false" customHeight="false" outlineLevel="0" collapsed="false">
      <c r="I4221" s="41" t="str">
        <f aca="false">IF(F4221="","",IFERROR(IF(ISNUMBER(SEARCH(Assumptions!$C$5,F4221)),Assumptions!$D$5,IF(ISNUMBER(SEARCH(Assumptions!$C$6,F4221)),Assumptions!$D$6,IF(ISNUMBER(SEARCH(Assumptions!$C$7,F4221)),Assumptions!$D$7,"Other Services"))),"Other Services"))</f>
        <v/>
      </c>
    </row>
    <row r="4222" customFormat="false" ht="15" hidden="false" customHeight="false" outlineLevel="0" collapsed="false">
      <c r="I4222" s="41" t="str">
        <f aca="false">IF(F4222="","",IFERROR(IF(ISNUMBER(SEARCH(Assumptions!$C$5,F4222)),Assumptions!$D$5,IF(ISNUMBER(SEARCH(Assumptions!$C$6,F4222)),Assumptions!$D$6,IF(ISNUMBER(SEARCH(Assumptions!$C$7,F4222)),Assumptions!$D$7,"Other Services"))),"Other Services"))</f>
        <v/>
      </c>
    </row>
    <row r="4223" customFormat="false" ht="15" hidden="false" customHeight="false" outlineLevel="0" collapsed="false">
      <c r="I4223" s="41" t="str">
        <f aca="false">IF(F4223="","",IFERROR(IF(ISNUMBER(SEARCH(Assumptions!$C$5,F4223)),Assumptions!$D$5,IF(ISNUMBER(SEARCH(Assumptions!$C$6,F4223)),Assumptions!$D$6,IF(ISNUMBER(SEARCH(Assumptions!$C$7,F4223)),Assumptions!$D$7,"Other Services"))),"Other Services"))</f>
        <v/>
      </c>
    </row>
    <row r="4224" customFormat="false" ht="15" hidden="false" customHeight="false" outlineLevel="0" collapsed="false">
      <c r="I4224" s="41" t="str">
        <f aca="false">IF(F4224="","",IFERROR(IF(ISNUMBER(SEARCH(Assumptions!$C$5,F4224)),Assumptions!$D$5,IF(ISNUMBER(SEARCH(Assumptions!$C$6,F4224)),Assumptions!$D$6,IF(ISNUMBER(SEARCH(Assumptions!$C$7,F4224)),Assumptions!$D$7,"Other Services"))),"Other Services"))</f>
        <v/>
      </c>
    </row>
    <row r="4225" customFormat="false" ht="15" hidden="false" customHeight="false" outlineLevel="0" collapsed="false">
      <c r="I4225" s="41" t="str">
        <f aca="false">IF(F4225="","",IFERROR(IF(ISNUMBER(SEARCH(Assumptions!$C$5,F4225)),Assumptions!$D$5,IF(ISNUMBER(SEARCH(Assumptions!$C$6,F4225)),Assumptions!$D$6,IF(ISNUMBER(SEARCH(Assumptions!$C$7,F4225)),Assumptions!$D$7,"Other Services"))),"Other Services"))</f>
        <v/>
      </c>
    </row>
    <row r="4226" customFormat="false" ht="15" hidden="false" customHeight="false" outlineLevel="0" collapsed="false">
      <c r="I4226" s="41" t="str">
        <f aca="false">IF(F4226="","",IFERROR(IF(ISNUMBER(SEARCH(Assumptions!$C$5,F4226)),Assumptions!$D$5,IF(ISNUMBER(SEARCH(Assumptions!$C$6,F4226)),Assumptions!$D$6,IF(ISNUMBER(SEARCH(Assumptions!$C$7,F4226)),Assumptions!$D$7,"Other Services"))),"Other Services"))</f>
        <v/>
      </c>
    </row>
    <row r="4227" customFormat="false" ht="15" hidden="false" customHeight="false" outlineLevel="0" collapsed="false">
      <c r="I4227" s="41" t="str">
        <f aca="false">IF(F4227="","",IFERROR(IF(ISNUMBER(SEARCH(Assumptions!$C$5,F4227)),Assumptions!$D$5,IF(ISNUMBER(SEARCH(Assumptions!$C$6,F4227)),Assumptions!$D$6,IF(ISNUMBER(SEARCH(Assumptions!$C$7,F4227)),Assumptions!$D$7,"Other Services"))),"Other Services"))</f>
        <v/>
      </c>
    </row>
    <row r="4228" customFormat="false" ht="15" hidden="false" customHeight="false" outlineLevel="0" collapsed="false">
      <c r="I4228" s="41" t="str">
        <f aca="false">IF(F4228="","",IFERROR(IF(ISNUMBER(SEARCH(Assumptions!$C$5,F4228)),Assumptions!$D$5,IF(ISNUMBER(SEARCH(Assumptions!$C$6,F4228)),Assumptions!$D$6,IF(ISNUMBER(SEARCH(Assumptions!$C$7,F4228)),Assumptions!$D$7,"Other Services"))),"Other Services"))</f>
        <v/>
      </c>
    </row>
    <row r="4229" customFormat="false" ht="15" hidden="false" customHeight="false" outlineLevel="0" collapsed="false">
      <c r="I4229" s="41" t="str">
        <f aca="false">IF(F4229="","",IFERROR(IF(ISNUMBER(SEARCH(Assumptions!$C$5,F4229)),Assumptions!$D$5,IF(ISNUMBER(SEARCH(Assumptions!$C$6,F4229)),Assumptions!$D$6,IF(ISNUMBER(SEARCH(Assumptions!$C$7,F4229)),Assumptions!$D$7,"Other Services"))),"Other Services"))</f>
        <v/>
      </c>
    </row>
    <row r="4230" customFormat="false" ht="15" hidden="false" customHeight="false" outlineLevel="0" collapsed="false">
      <c r="I4230" s="41" t="str">
        <f aca="false">IF(F4230="","",IFERROR(IF(ISNUMBER(SEARCH(Assumptions!$C$5,F4230)),Assumptions!$D$5,IF(ISNUMBER(SEARCH(Assumptions!$C$6,F4230)),Assumptions!$D$6,IF(ISNUMBER(SEARCH(Assumptions!$C$7,F4230)),Assumptions!$D$7,"Other Services"))),"Other Services"))</f>
        <v/>
      </c>
    </row>
    <row r="4231" customFormat="false" ht="15" hidden="false" customHeight="false" outlineLevel="0" collapsed="false">
      <c r="I4231" s="41" t="str">
        <f aca="false">IF(F4231="","",IFERROR(IF(ISNUMBER(SEARCH(Assumptions!$C$5,F4231)),Assumptions!$D$5,IF(ISNUMBER(SEARCH(Assumptions!$C$6,F4231)),Assumptions!$D$6,IF(ISNUMBER(SEARCH(Assumptions!$C$7,F4231)),Assumptions!$D$7,"Other Services"))),"Other Services"))</f>
        <v/>
      </c>
    </row>
    <row r="4232" customFormat="false" ht="15" hidden="false" customHeight="false" outlineLevel="0" collapsed="false">
      <c r="I4232" s="41" t="str">
        <f aca="false">IF(F4232="","",IFERROR(IF(ISNUMBER(SEARCH(Assumptions!$C$5,F4232)),Assumptions!$D$5,IF(ISNUMBER(SEARCH(Assumptions!$C$6,F4232)),Assumptions!$D$6,IF(ISNUMBER(SEARCH(Assumptions!$C$7,F4232)),Assumptions!$D$7,"Other Services"))),"Other Services"))</f>
        <v/>
      </c>
    </row>
    <row r="4233" customFormat="false" ht="15" hidden="false" customHeight="false" outlineLevel="0" collapsed="false">
      <c r="I4233" s="41" t="str">
        <f aca="false">IF(F4233="","",IFERROR(IF(ISNUMBER(SEARCH(Assumptions!$C$5,F4233)),Assumptions!$D$5,IF(ISNUMBER(SEARCH(Assumptions!$C$6,F4233)),Assumptions!$D$6,IF(ISNUMBER(SEARCH(Assumptions!$C$7,F4233)),Assumptions!$D$7,"Other Services"))),"Other Services"))</f>
        <v/>
      </c>
    </row>
    <row r="4234" customFormat="false" ht="15" hidden="false" customHeight="false" outlineLevel="0" collapsed="false">
      <c r="I4234" s="41" t="str">
        <f aca="false">IF(F4234="","",IFERROR(IF(ISNUMBER(SEARCH(Assumptions!$C$5,F4234)),Assumptions!$D$5,IF(ISNUMBER(SEARCH(Assumptions!$C$6,F4234)),Assumptions!$D$6,IF(ISNUMBER(SEARCH(Assumptions!$C$7,F4234)),Assumptions!$D$7,"Other Services"))),"Other Services"))</f>
        <v/>
      </c>
    </row>
    <row r="4235" customFormat="false" ht="15" hidden="false" customHeight="false" outlineLevel="0" collapsed="false">
      <c r="I4235" s="41" t="str">
        <f aca="false">IF(F4235="","",IFERROR(IF(ISNUMBER(SEARCH(Assumptions!$C$5,F4235)),Assumptions!$D$5,IF(ISNUMBER(SEARCH(Assumptions!$C$6,F4235)),Assumptions!$D$6,IF(ISNUMBER(SEARCH(Assumptions!$C$7,F4235)),Assumptions!$D$7,"Other Services"))),"Other Services"))</f>
        <v/>
      </c>
    </row>
    <row r="4236" customFormat="false" ht="15" hidden="false" customHeight="false" outlineLevel="0" collapsed="false">
      <c r="I4236" s="41" t="str">
        <f aca="false">IF(F4236="","",IFERROR(IF(ISNUMBER(SEARCH(Assumptions!$C$5,F4236)),Assumptions!$D$5,IF(ISNUMBER(SEARCH(Assumptions!$C$6,F4236)),Assumptions!$D$6,IF(ISNUMBER(SEARCH(Assumptions!$C$7,F4236)),Assumptions!$D$7,"Other Services"))),"Other Services"))</f>
        <v/>
      </c>
    </row>
    <row r="4237" customFormat="false" ht="15" hidden="false" customHeight="false" outlineLevel="0" collapsed="false">
      <c r="I4237" s="41" t="str">
        <f aca="false">IF(F4237="","",IFERROR(IF(ISNUMBER(SEARCH(Assumptions!$C$5,F4237)),Assumptions!$D$5,IF(ISNUMBER(SEARCH(Assumptions!$C$6,F4237)),Assumptions!$D$6,IF(ISNUMBER(SEARCH(Assumptions!$C$7,F4237)),Assumptions!$D$7,"Other Services"))),"Other Services"))</f>
        <v/>
      </c>
    </row>
    <row r="4238" customFormat="false" ht="15" hidden="false" customHeight="false" outlineLevel="0" collapsed="false">
      <c r="I4238" s="41" t="str">
        <f aca="false">IF(F4238="","",IFERROR(IF(ISNUMBER(SEARCH(Assumptions!$C$5,F4238)),Assumptions!$D$5,IF(ISNUMBER(SEARCH(Assumptions!$C$6,F4238)),Assumptions!$D$6,IF(ISNUMBER(SEARCH(Assumptions!$C$7,F4238)),Assumptions!$D$7,"Other Services"))),"Other Services"))</f>
        <v/>
      </c>
    </row>
    <row r="4239" customFormat="false" ht="15" hidden="false" customHeight="false" outlineLevel="0" collapsed="false">
      <c r="I4239" s="41" t="str">
        <f aca="false">IF(F4239="","",IFERROR(IF(ISNUMBER(SEARCH(Assumptions!$C$5,F4239)),Assumptions!$D$5,IF(ISNUMBER(SEARCH(Assumptions!$C$6,F4239)),Assumptions!$D$6,IF(ISNUMBER(SEARCH(Assumptions!$C$7,F4239)),Assumptions!$D$7,"Other Services"))),"Other Services"))</f>
        <v/>
      </c>
    </row>
    <row r="4240" customFormat="false" ht="15" hidden="false" customHeight="false" outlineLevel="0" collapsed="false">
      <c r="I4240" s="41" t="str">
        <f aca="false">IF(F4240="","",IFERROR(IF(ISNUMBER(SEARCH(Assumptions!$C$5,F4240)),Assumptions!$D$5,IF(ISNUMBER(SEARCH(Assumptions!$C$6,F4240)),Assumptions!$D$6,IF(ISNUMBER(SEARCH(Assumptions!$C$7,F4240)),Assumptions!$D$7,"Other Services"))),"Other Services"))</f>
        <v/>
      </c>
    </row>
    <row r="4241" customFormat="false" ht="15" hidden="false" customHeight="false" outlineLevel="0" collapsed="false">
      <c r="I4241" s="41" t="str">
        <f aca="false">IF(F4241="","",IFERROR(IF(ISNUMBER(SEARCH(Assumptions!$C$5,F4241)),Assumptions!$D$5,IF(ISNUMBER(SEARCH(Assumptions!$C$6,F4241)),Assumptions!$D$6,IF(ISNUMBER(SEARCH(Assumptions!$C$7,F4241)),Assumptions!$D$7,"Other Services"))),"Other Services"))</f>
        <v/>
      </c>
    </row>
    <row r="4242" customFormat="false" ht="15" hidden="false" customHeight="false" outlineLevel="0" collapsed="false">
      <c r="I4242" s="41" t="str">
        <f aca="false">IF(F4242="","",IFERROR(IF(ISNUMBER(SEARCH(Assumptions!$C$5,F4242)),Assumptions!$D$5,IF(ISNUMBER(SEARCH(Assumptions!$C$6,F4242)),Assumptions!$D$6,IF(ISNUMBER(SEARCH(Assumptions!$C$7,F4242)),Assumptions!$D$7,"Other Services"))),"Other Services"))</f>
        <v/>
      </c>
    </row>
    <row r="4243" customFormat="false" ht="15" hidden="false" customHeight="false" outlineLevel="0" collapsed="false">
      <c r="I4243" s="41" t="str">
        <f aca="false">IF(F4243="","",IFERROR(IF(ISNUMBER(SEARCH(Assumptions!$C$5,F4243)),Assumptions!$D$5,IF(ISNUMBER(SEARCH(Assumptions!$C$6,F4243)),Assumptions!$D$6,IF(ISNUMBER(SEARCH(Assumptions!$C$7,F4243)),Assumptions!$D$7,"Other Services"))),"Other Services"))</f>
        <v/>
      </c>
    </row>
    <row r="4244" customFormat="false" ht="15" hidden="false" customHeight="false" outlineLevel="0" collapsed="false">
      <c r="I4244" s="41" t="str">
        <f aca="false">IF(F4244="","",IFERROR(IF(ISNUMBER(SEARCH(Assumptions!$C$5,F4244)),Assumptions!$D$5,IF(ISNUMBER(SEARCH(Assumptions!$C$6,F4244)),Assumptions!$D$6,IF(ISNUMBER(SEARCH(Assumptions!$C$7,F4244)),Assumptions!$D$7,"Other Services"))),"Other Services"))</f>
        <v/>
      </c>
    </row>
    <row r="4245" customFormat="false" ht="15" hidden="false" customHeight="false" outlineLevel="0" collapsed="false">
      <c r="I4245" s="41" t="str">
        <f aca="false">IF(F4245="","",IFERROR(IF(ISNUMBER(SEARCH(Assumptions!$C$5,F4245)),Assumptions!$D$5,IF(ISNUMBER(SEARCH(Assumptions!$C$6,F4245)),Assumptions!$D$6,IF(ISNUMBER(SEARCH(Assumptions!$C$7,F4245)),Assumptions!$D$7,"Other Services"))),"Other Services"))</f>
        <v/>
      </c>
    </row>
    <row r="4246" customFormat="false" ht="15" hidden="false" customHeight="false" outlineLevel="0" collapsed="false">
      <c r="I4246" s="41" t="str">
        <f aca="false">IF(F4246="","",IFERROR(IF(ISNUMBER(SEARCH(Assumptions!$C$5,F4246)),Assumptions!$D$5,IF(ISNUMBER(SEARCH(Assumptions!$C$6,F4246)),Assumptions!$D$6,IF(ISNUMBER(SEARCH(Assumptions!$C$7,F4246)),Assumptions!$D$7,"Other Services"))),"Other Services"))</f>
        <v/>
      </c>
    </row>
    <row r="4247" customFormat="false" ht="15" hidden="false" customHeight="false" outlineLevel="0" collapsed="false">
      <c r="I4247" s="41" t="str">
        <f aca="false">IF(F4247="","",IFERROR(IF(ISNUMBER(SEARCH(Assumptions!$C$5,F4247)),Assumptions!$D$5,IF(ISNUMBER(SEARCH(Assumptions!$C$6,F4247)),Assumptions!$D$6,IF(ISNUMBER(SEARCH(Assumptions!$C$7,F4247)),Assumptions!$D$7,"Other Services"))),"Other Services"))</f>
        <v/>
      </c>
    </row>
    <row r="4248" customFormat="false" ht="15" hidden="false" customHeight="false" outlineLevel="0" collapsed="false">
      <c r="I4248" s="41" t="str">
        <f aca="false">IF(F4248="","",IFERROR(IF(ISNUMBER(SEARCH(Assumptions!$C$5,F4248)),Assumptions!$D$5,IF(ISNUMBER(SEARCH(Assumptions!$C$6,F4248)),Assumptions!$D$6,IF(ISNUMBER(SEARCH(Assumptions!$C$7,F4248)),Assumptions!$D$7,"Other Services"))),"Other Services"))</f>
        <v/>
      </c>
    </row>
    <row r="4249" customFormat="false" ht="15" hidden="false" customHeight="false" outlineLevel="0" collapsed="false">
      <c r="I4249" s="41" t="str">
        <f aca="false">IF(F4249="","",IFERROR(IF(ISNUMBER(SEARCH(Assumptions!$C$5,F4249)),Assumptions!$D$5,IF(ISNUMBER(SEARCH(Assumptions!$C$6,F4249)),Assumptions!$D$6,IF(ISNUMBER(SEARCH(Assumptions!$C$7,F4249)),Assumptions!$D$7,"Other Services"))),"Other Services"))</f>
        <v/>
      </c>
    </row>
    <row r="4250" customFormat="false" ht="15" hidden="false" customHeight="false" outlineLevel="0" collapsed="false">
      <c r="I4250" s="41" t="str">
        <f aca="false">IF(F4250="","",IFERROR(IF(ISNUMBER(SEARCH(Assumptions!$C$5,F4250)),Assumptions!$D$5,IF(ISNUMBER(SEARCH(Assumptions!$C$6,F4250)),Assumptions!$D$6,IF(ISNUMBER(SEARCH(Assumptions!$C$7,F4250)),Assumptions!$D$7,"Other Services"))),"Other Services"))</f>
        <v/>
      </c>
    </row>
    <row r="4251" customFormat="false" ht="15" hidden="false" customHeight="false" outlineLevel="0" collapsed="false">
      <c r="I4251" s="41" t="str">
        <f aca="false">IF(F4251="","",IFERROR(IF(ISNUMBER(SEARCH(Assumptions!$C$5,F4251)),Assumptions!$D$5,IF(ISNUMBER(SEARCH(Assumptions!$C$6,F4251)),Assumptions!$D$6,IF(ISNUMBER(SEARCH(Assumptions!$C$7,F4251)),Assumptions!$D$7,"Other Services"))),"Other Services"))</f>
        <v/>
      </c>
    </row>
    <row r="4252" customFormat="false" ht="15" hidden="false" customHeight="false" outlineLevel="0" collapsed="false">
      <c r="I4252" s="41" t="str">
        <f aca="false">IF(F4252="","",IFERROR(IF(ISNUMBER(SEARCH(Assumptions!$C$5,F4252)),Assumptions!$D$5,IF(ISNUMBER(SEARCH(Assumptions!$C$6,F4252)),Assumptions!$D$6,IF(ISNUMBER(SEARCH(Assumptions!$C$7,F4252)),Assumptions!$D$7,"Other Services"))),"Other Services"))</f>
        <v/>
      </c>
    </row>
    <row r="4253" customFormat="false" ht="15" hidden="false" customHeight="false" outlineLevel="0" collapsed="false">
      <c r="I4253" s="41" t="str">
        <f aca="false">IF(F4253="","",IFERROR(IF(ISNUMBER(SEARCH(Assumptions!$C$5,F4253)),Assumptions!$D$5,IF(ISNUMBER(SEARCH(Assumptions!$C$6,F4253)),Assumptions!$D$6,IF(ISNUMBER(SEARCH(Assumptions!$C$7,F4253)),Assumptions!$D$7,"Other Services"))),"Other Services"))</f>
        <v/>
      </c>
    </row>
    <row r="4254" customFormat="false" ht="15" hidden="false" customHeight="false" outlineLevel="0" collapsed="false">
      <c r="I4254" s="41" t="str">
        <f aca="false">IF(F4254="","",IFERROR(IF(ISNUMBER(SEARCH(Assumptions!$C$5,F4254)),Assumptions!$D$5,IF(ISNUMBER(SEARCH(Assumptions!$C$6,F4254)),Assumptions!$D$6,IF(ISNUMBER(SEARCH(Assumptions!$C$7,F4254)),Assumptions!$D$7,"Other Services"))),"Other Services"))</f>
        <v/>
      </c>
    </row>
    <row r="4255" customFormat="false" ht="15" hidden="false" customHeight="false" outlineLevel="0" collapsed="false">
      <c r="I4255" s="41" t="str">
        <f aca="false">IF(F4255="","",IFERROR(IF(ISNUMBER(SEARCH(Assumptions!$C$5,F4255)),Assumptions!$D$5,IF(ISNUMBER(SEARCH(Assumptions!$C$6,F4255)),Assumptions!$D$6,IF(ISNUMBER(SEARCH(Assumptions!$C$7,F4255)),Assumptions!$D$7,"Other Services"))),"Other Services"))</f>
        <v/>
      </c>
    </row>
    <row r="4256" customFormat="false" ht="15" hidden="false" customHeight="false" outlineLevel="0" collapsed="false">
      <c r="I4256" s="41" t="str">
        <f aca="false">IF(F4256="","",IFERROR(IF(ISNUMBER(SEARCH(Assumptions!$C$5,F4256)),Assumptions!$D$5,IF(ISNUMBER(SEARCH(Assumptions!$C$6,F4256)),Assumptions!$D$6,IF(ISNUMBER(SEARCH(Assumptions!$C$7,F4256)),Assumptions!$D$7,"Other Services"))),"Other Services"))</f>
        <v/>
      </c>
    </row>
    <row r="4257" customFormat="false" ht="15" hidden="false" customHeight="false" outlineLevel="0" collapsed="false">
      <c r="I4257" s="41" t="str">
        <f aca="false">IF(F4257="","",IFERROR(IF(ISNUMBER(SEARCH(Assumptions!$C$5,F4257)),Assumptions!$D$5,IF(ISNUMBER(SEARCH(Assumptions!$C$6,F4257)),Assumptions!$D$6,IF(ISNUMBER(SEARCH(Assumptions!$C$7,F4257)),Assumptions!$D$7,"Other Services"))),"Other Services"))</f>
        <v/>
      </c>
    </row>
    <row r="4258" customFormat="false" ht="15" hidden="false" customHeight="false" outlineLevel="0" collapsed="false">
      <c r="I4258" s="41" t="str">
        <f aca="false">IF(F4258="","",IFERROR(IF(ISNUMBER(SEARCH(Assumptions!$C$5,F4258)),Assumptions!$D$5,IF(ISNUMBER(SEARCH(Assumptions!$C$6,F4258)),Assumptions!$D$6,IF(ISNUMBER(SEARCH(Assumptions!$C$7,F4258)),Assumptions!$D$7,"Other Services"))),"Other Services"))</f>
        <v/>
      </c>
    </row>
    <row r="4259" customFormat="false" ht="15" hidden="false" customHeight="false" outlineLevel="0" collapsed="false">
      <c r="I4259" s="41" t="str">
        <f aca="false">IF(F4259="","",IFERROR(IF(ISNUMBER(SEARCH(Assumptions!$C$5,F4259)),Assumptions!$D$5,IF(ISNUMBER(SEARCH(Assumptions!$C$6,F4259)),Assumptions!$D$6,IF(ISNUMBER(SEARCH(Assumptions!$C$7,F4259)),Assumptions!$D$7,"Other Services"))),"Other Services"))</f>
        <v/>
      </c>
    </row>
    <row r="4260" customFormat="false" ht="15" hidden="false" customHeight="false" outlineLevel="0" collapsed="false">
      <c r="I4260" s="41" t="str">
        <f aca="false">IF(F4260="","",IFERROR(IF(ISNUMBER(SEARCH(Assumptions!$C$5,F4260)),Assumptions!$D$5,IF(ISNUMBER(SEARCH(Assumptions!$C$6,F4260)),Assumptions!$D$6,IF(ISNUMBER(SEARCH(Assumptions!$C$7,F4260)),Assumptions!$D$7,"Other Services"))),"Other Services"))</f>
        <v/>
      </c>
    </row>
    <row r="4261" customFormat="false" ht="15" hidden="false" customHeight="false" outlineLevel="0" collapsed="false">
      <c r="I4261" s="41" t="str">
        <f aca="false">IF(F4261="","",IFERROR(IF(ISNUMBER(SEARCH(Assumptions!$C$5,F4261)),Assumptions!$D$5,IF(ISNUMBER(SEARCH(Assumptions!$C$6,F4261)),Assumptions!$D$6,IF(ISNUMBER(SEARCH(Assumptions!$C$7,F4261)),Assumptions!$D$7,"Other Services"))),"Other Services"))</f>
        <v/>
      </c>
    </row>
    <row r="4262" customFormat="false" ht="15" hidden="false" customHeight="false" outlineLevel="0" collapsed="false">
      <c r="I4262" s="41" t="str">
        <f aca="false">IF(F4262="","",IFERROR(IF(ISNUMBER(SEARCH(Assumptions!$C$5,F4262)),Assumptions!$D$5,IF(ISNUMBER(SEARCH(Assumptions!$C$6,F4262)),Assumptions!$D$6,IF(ISNUMBER(SEARCH(Assumptions!$C$7,F4262)),Assumptions!$D$7,"Other Services"))),"Other Services"))</f>
        <v/>
      </c>
    </row>
    <row r="4263" customFormat="false" ht="15" hidden="false" customHeight="false" outlineLevel="0" collapsed="false">
      <c r="I4263" s="41" t="str">
        <f aca="false">IF(F4263="","",IFERROR(IF(ISNUMBER(SEARCH(Assumptions!$C$5,F4263)),Assumptions!$D$5,IF(ISNUMBER(SEARCH(Assumptions!$C$6,F4263)),Assumptions!$D$6,IF(ISNUMBER(SEARCH(Assumptions!$C$7,F4263)),Assumptions!$D$7,"Other Services"))),"Other Services"))</f>
        <v/>
      </c>
    </row>
    <row r="4264" customFormat="false" ht="15" hidden="false" customHeight="false" outlineLevel="0" collapsed="false">
      <c r="I4264" s="41" t="str">
        <f aca="false">IF(F4264="","",IFERROR(IF(ISNUMBER(SEARCH(Assumptions!$C$5,F4264)),Assumptions!$D$5,IF(ISNUMBER(SEARCH(Assumptions!$C$6,F4264)),Assumptions!$D$6,IF(ISNUMBER(SEARCH(Assumptions!$C$7,F4264)),Assumptions!$D$7,"Other Services"))),"Other Services"))</f>
        <v/>
      </c>
    </row>
    <row r="4265" customFormat="false" ht="15" hidden="false" customHeight="false" outlineLevel="0" collapsed="false">
      <c r="I4265" s="41" t="str">
        <f aca="false">IF(F4265="","",IFERROR(IF(ISNUMBER(SEARCH(Assumptions!$C$5,F4265)),Assumptions!$D$5,IF(ISNUMBER(SEARCH(Assumptions!$C$6,F4265)),Assumptions!$D$6,IF(ISNUMBER(SEARCH(Assumptions!$C$7,F4265)),Assumptions!$D$7,"Other Services"))),"Other Services"))</f>
        <v/>
      </c>
    </row>
    <row r="4266" customFormat="false" ht="15" hidden="false" customHeight="false" outlineLevel="0" collapsed="false">
      <c r="I4266" s="41" t="str">
        <f aca="false">IF(F4266="","",IFERROR(IF(ISNUMBER(SEARCH(Assumptions!$C$5,F4266)),Assumptions!$D$5,IF(ISNUMBER(SEARCH(Assumptions!$C$6,F4266)),Assumptions!$D$6,IF(ISNUMBER(SEARCH(Assumptions!$C$7,F4266)),Assumptions!$D$7,"Other Services"))),"Other Services"))</f>
        <v/>
      </c>
    </row>
    <row r="4267" customFormat="false" ht="15" hidden="false" customHeight="false" outlineLevel="0" collapsed="false">
      <c r="I4267" s="41" t="str">
        <f aca="false">IF(F4267="","",IFERROR(IF(ISNUMBER(SEARCH(Assumptions!$C$5,F4267)),Assumptions!$D$5,IF(ISNUMBER(SEARCH(Assumptions!$C$6,F4267)),Assumptions!$D$6,IF(ISNUMBER(SEARCH(Assumptions!$C$7,F4267)),Assumptions!$D$7,"Other Services"))),"Other Services"))</f>
        <v/>
      </c>
    </row>
    <row r="4268" customFormat="false" ht="15" hidden="false" customHeight="false" outlineLevel="0" collapsed="false">
      <c r="I4268" s="41" t="str">
        <f aca="false">IF(F4268="","",IFERROR(IF(ISNUMBER(SEARCH(Assumptions!$C$5,F4268)),Assumptions!$D$5,IF(ISNUMBER(SEARCH(Assumptions!$C$6,F4268)),Assumptions!$D$6,IF(ISNUMBER(SEARCH(Assumptions!$C$7,F4268)),Assumptions!$D$7,"Other Services"))),"Other Services"))</f>
        <v/>
      </c>
    </row>
    <row r="4269" customFormat="false" ht="15" hidden="false" customHeight="false" outlineLevel="0" collapsed="false">
      <c r="I4269" s="41" t="str">
        <f aca="false">IF(F4269="","",IFERROR(IF(ISNUMBER(SEARCH(Assumptions!$C$5,F4269)),Assumptions!$D$5,IF(ISNUMBER(SEARCH(Assumptions!$C$6,F4269)),Assumptions!$D$6,IF(ISNUMBER(SEARCH(Assumptions!$C$7,F4269)),Assumptions!$D$7,"Other Services"))),"Other Services"))</f>
        <v/>
      </c>
    </row>
    <row r="4270" customFormat="false" ht="15" hidden="false" customHeight="false" outlineLevel="0" collapsed="false">
      <c r="I4270" s="41" t="str">
        <f aca="false">IF(F4270="","",IFERROR(IF(ISNUMBER(SEARCH(Assumptions!$C$5,F4270)),Assumptions!$D$5,IF(ISNUMBER(SEARCH(Assumptions!$C$6,F4270)),Assumptions!$D$6,IF(ISNUMBER(SEARCH(Assumptions!$C$7,F4270)),Assumptions!$D$7,"Other Services"))),"Other Services"))</f>
        <v/>
      </c>
    </row>
    <row r="4271" customFormat="false" ht="15" hidden="false" customHeight="false" outlineLevel="0" collapsed="false">
      <c r="I4271" s="41" t="str">
        <f aca="false">IF(F4271="","",IFERROR(IF(ISNUMBER(SEARCH(Assumptions!$C$5,F4271)),Assumptions!$D$5,IF(ISNUMBER(SEARCH(Assumptions!$C$6,F4271)),Assumptions!$D$6,IF(ISNUMBER(SEARCH(Assumptions!$C$7,F4271)),Assumptions!$D$7,"Other Services"))),"Other Services"))</f>
        <v/>
      </c>
    </row>
    <row r="4272" customFormat="false" ht="15" hidden="false" customHeight="false" outlineLevel="0" collapsed="false">
      <c r="I4272" s="41" t="str">
        <f aca="false">IF(F4272="","",IFERROR(IF(ISNUMBER(SEARCH(Assumptions!$C$5,F4272)),Assumptions!$D$5,IF(ISNUMBER(SEARCH(Assumptions!$C$6,F4272)),Assumptions!$D$6,IF(ISNUMBER(SEARCH(Assumptions!$C$7,F4272)),Assumptions!$D$7,"Other Services"))),"Other Services"))</f>
        <v/>
      </c>
    </row>
    <row r="4273" customFormat="false" ht="15" hidden="false" customHeight="false" outlineLevel="0" collapsed="false">
      <c r="I4273" s="41" t="str">
        <f aca="false">IF(F4273="","",IFERROR(IF(ISNUMBER(SEARCH(Assumptions!$C$5,F4273)),Assumptions!$D$5,IF(ISNUMBER(SEARCH(Assumptions!$C$6,F4273)),Assumptions!$D$6,IF(ISNUMBER(SEARCH(Assumptions!$C$7,F4273)),Assumptions!$D$7,"Other Services"))),"Other Services"))</f>
        <v/>
      </c>
    </row>
    <row r="4274" customFormat="false" ht="15" hidden="false" customHeight="false" outlineLevel="0" collapsed="false">
      <c r="I4274" s="41" t="str">
        <f aca="false">IF(F4274="","",IFERROR(IF(ISNUMBER(SEARCH(Assumptions!$C$5,F4274)),Assumptions!$D$5,IF(ISNUMBER(SEARCH(Assumptions!$C$6,F4274)),Assumptions!$D$6,IF(ISNUMBER(SEARCH(Assumptions!$C$7,F4274)),Assumptions!$D$7,"Other Services"))),"Other Services"))</f>
        <v/>
      </c>
    </row>
    <row r="4275" customFormat="false" ht="15" hidden="false" customHeight="false" outlineLevel="0" collapsed="false">
      <c r="I4275" s="41" t="str">
        <f aca="false">IF(F4275="","",IFERROR(IF(ISNUMBER(SEARCH(Assumptions!$C$5,F4275)),Assumptions!$D$5,IF(ISNUMBER(SEARCH(Assumptions!$C$6,F4275)),Assumptions!$D$6,IF(ISNUMBER(SEARCH(Assumptions!$C$7,F4275)),Assumptions!$D$7,"Other Services"))),"Other Services"))</f>
        <v/>
      </c>
    </row>
    <row r="4276" customFormat="false" ht="15" hidden="false" customHeight="false" outlineLevel="0" collapsed="false">
      <c r="I4276" s="41" t="str">
        <f aca="false">IF(F4276="","",IFERROR(IF(ISNUMBER(SEARCH(Assumptions!$C$5,F4276)),Assumptions!$D$5,IF(ISNUMBER(SEARCH(Assumptions!$C$6,F4276)),Assumptions!$D$6,IF(ISNUMBER(SEARCH(Assumptions!$C$7,F4276)),Assumptions!$D$7,"Other Services"))),"Other Services"))</f>
        <v/>
      </c>
    </row>
    <row r="4277" customFormat="false" ht="15" hidden="false" customHeight="false" outlineLevel="0" collapsed="false">
      <c r="I4277" s="41" t="str">
        <f aca="false">IF(F4277="","",IFERROR(IF(ISNUMBER(SEARCH(Assumptions!$C$5,F4277)),Assumptions!$D$5,IF(ISNUMBER(SEARCH(Assumptions!$C$6,F4277)),Assumptions!$D$6,IF(ISNUMBER(SEARCH(Assumptions!$C$7,F4277)),Assumptions!$D$7,"Other Services"))),"Other Services"))</f>
        <v/>
      </c>
    </row>
    <row r="4278" customFormat="false" ht="15" hidden="false" customHeight="false" outlineLevel="0" collapsed="false">
      <c r="I4278" s="41" t="str">
        <f aca="false">IF(F4278="","",IFERROR(IF(ISNUMBER(SEARCH(Assumptions!$C$5,F4278)),Assumptions!$D$5,IF(ISNUMBER(SEARCH(Assumptions!$C$6,F4278)),Assumptions!$D$6,IF(ISNUMBER(SEARCH(Assumptions!$C$7,F4278)),Assumptions!$D$7,"Other Services"))),"Other Services"))</f>
        <v/>
      </c>
    </row>
    <row r="4279" customFormat="false" ht="15" hidden="false" customHeight="false" outlineLevel="0" collapsed="false">
      <c r="I4279" s="41" t="str">
        <f aca="false">IF(F4279="","",IFERROR(IF(ISNUMBER(SEARCH(Assumptions!$C$5,F4279)),Assumptions!$D$5,IF(ISNUMBER(SEARCH(Assumptions!$C$6,F4279)),Assumptions!$D$6,IF(ISNUMBER(SEARCH(Assumptions!$C$7,F4279)),Assumptions!$D$7,"Other Services"))),"Other Services"))</f>
        <v/>
      </c>
    </row>
    <row r="4280" customFormat="false" ht="15" hidden="false" customHeight="false" outlineLevel="0" collapsed="false">
      <c r="I4280" s="41" t="str">
        <f aca="false">IF(F4280="","",IFERROR(IF(ISNUMBER(SEARCH(Assumptions!$C$5,F4280)),Assumptions!$D$5,IF(ISNUMBER(SEARCH(Assumptions!$C$6,F4280)),Assumptions!$D$6,IF(ISNUMBER(SEARCH(Assumptions!$C$7,F4280)),Assumptions!$D$7,"Other Services"))),"Other Services"))</f>
        <v/>
      </c>
    </row>
    <row r="4281" customFormat="false" ht="15" hidden="false" customHeight="false" outlineLevel="0" collapsed="false">
      <c r="I4281" s="41" t="str">
        <f aca="false">IF(F4281="","",IFERROR(IF(ISNUMBER(SEARCH(Assumptions!$C$5,F4281)),Assumptions!$D$5,IF(ISNUMBER(SEARCH(Assumptions!$C$6,F4281)),Assumptions!$D$6,IF(ISNUMBER(SEARCH(Assumptions!$C$7,F4281)),Assumptions!$D$7,"Other Services"))),"Other Services"))</f>
        <v/>
      </c>
    </row>
    <row r="4282" customFormat="false" ht="15" hidden="false" customHeight="false" outlineLevel="0" collapsed="false">
      <c r="I4282" s="41" t="str">
        <f aca="false">IF(F4282="","",IFERROR(IF(ISNUMBER(SEARCH(Assumptions!$C$5,F4282)),Assumptions!$D$5,IF(ISNUMBER(SEARCH(Assumptions!$C$6,F4282)),Assumptions!$D$6,IF(ISNUMBER(SEARCH(Assumptions!$C$7,F4282)),Assumptions!$D$7,"Other Services"))),"Other Services"))</f>
        <v/>
      </c>
    </row>
    <row r="4283" customFormat="false" ht="15" hidden="false" customHeight="false" outlineLevel="0" collapsed="false">
      <c r="I4283" s="41" t="str">
        <f aca="false">IF(F4283="","",IFERROR(IF(ISNUMBER(SEARCH(Assumptions!$C$5,F4283)),Assumptions!$D$5,IF(ISNUMBER(SEARCH(Assumptions!$C$6,F4283)),Assumptions!$D$6,IF(ISNUMBER(SEARCH(Assumptions!$C$7,F4283)),Assumptions!$D$7,"Other Services"))),"Other Services"))</f>
        <v/>
      </c>
    </row>
    <row r="4284" customFormat="false" ht="15" hidden="false" customHeight="false" outlineLevel="0" collapsed="false">
      <c r="I4284" s="41" t="str">
        <f aca="false">IF(F4284="","",IFERROR(IF(ISNUMBER(SEARCH(Assumptions!$C$5,F4284)),Assumptions!$D$5,IF(ISNUMBER(SEARCH(Assumptions!$C$6,F4284)),Assumptions!$D$6,IF(ISNUMBER(SEARCH(Assumptions!$C$7,F4284)),Assumptions!$D$7,"Other Services"))),"Other Services"))</f>
        <v/>
      </c>
    </row>
    <row r="4285" customFormat="false" ht="15" hidden="false" customHeight="false" outlineLevel="0" collapsed="false">
      <c r="I4285" s="41" t="str">
        <f aca="false">IF(F4285="","",IFERROR(IF(ISNUMBER(SEARCH(Assumptions!$C$5,F4285)),Assumptions!$D$5,IF(ISNUMBER(SEARCH(Assumptions!$C$6,F4285)),Assumptions!$D$6,IF(ISNUMBER(SEARCH(Assumptions!$C$7,F4285)),Assumptions!$D$7,"Other Services"))),"Other Services"))</f>
        <v/>
      </c>
    </row>
    <row r="4286" customFormat="false" ht="15" hidden="false" customHeight="false" outlineLevel="0" collapsed="false">
      <c r="I4286" s="41" t="str">
        <f aca="false">IF(F4286="","",IFERROR(IF(ISNUMBER(SEARCH(Assumptions!$C$5,F4286)),Assumptions!$D$5,IF(ISNUMBER(SEARCH(Assumptions!$C$6,F4286)),Assumptions!$D$6,IF(ISNUMBER(SEARCH(Assumptions!$C$7,F4286)),Assumptions!$D$7,"Other Services"))),"Other Services"))</f>
        <v/>
      </c>
    </row>
    <row r="4287" customFormat="false" ht="15" hidden="false" customHeight="false" outlineLevel="0" collapsed="false">
      <c r="I4287" s="41" t="str">
        <f aca="false">IF(F4287="","",IFERROR(IF(ISNUMBER(SEARCH(Assumptions!$C$5,F4287)),Assumptions!$D$5,IF(ISNUMBER(SEARCH(Assumptions!$C$6,F4287)),Assumptions!$D$6,IF(ISNUMBER(SEARCH(Assumptions!$C$7,F4287)),Assumptions!$D$7,"Other Services"))),"Other Services"))</f>
        <v/>
      </c>
    </row>
    <row r="4288" customFormat="false" ht="15" hidden="false" customHeight="false" outlineLevel="0" collapsed="false">
      <c r="I4288" s="41" t="str">
        <f aca="false">IF(F4288="","",IFERROR(IF(ISNUMBER(SEARCH(Assumptions!$C$5,F4288)),Assumptions!$D$5,IF(ISNUMBER(SEARCH(Assumptions!$C$6,F4288)),Assumptions!$D$6,IF(ISNUMBER(SEARCH(Assumptions!$C$7,F4288)),Assumptions!$D$7,"Other Services"))),"Other Services"))</f>
        <v/>
      </c>
    </row>
    <row r="4289" customFormat="false" ht="15" hidden="false" customHeight="false" outlineLevel="0" collapsed="false">
      <c r="I4289" s="41" t="str">
        <f aca="false">IF(F4289="","",IFERROR(IF(ISNUMBER(SEARCH(Assumptions!$C$5,F4289)),Assumptions!$D$5,IF(ISNUMBER(SEARCH(Assumptions!$C$6,F4289)),Assumptions!$D$6,IF(ISNUMBER(SEARCH(Assumptions!$C$7,F4289)),Assumptions!$D$7,"Other Services"))),"Other Services"))</f>
        <v/>
      </c>
    </row>
    <row r="4290" customFormat="false" ht="15" hidden="false" customHeight="false" outlineLevel="0" collapsed="false">
      <c r="I4290" s="41" t="str">
        <f aca="false">IF(F4290="","",IFERROR(IF(ISNUMBER(SEARCH(Assumptions!$C$5,F4290)),Assumptions!$D$5,IF(ISNUMBER(SEARCH(Assumptions!$C$6,F4290)),Assumptions!$D$6,IF(ISNUMBER(SEARCH(Assumptions!$C$7,F4290)),Assumptions!$D$7,"Other Services"))),"Other Services"))</f>
        <v/>
      </c>
    </row>
    <row r="4291" customFormat="false" ht="15" hidden="false" customHeight="false" outlineLevel="0" collapsed="false">
      <c r="I4291" s="41" t="str">
        <f aca="false">IF(F4291="","",IFERROR(IF(ISNUMBER(SEARCH(Assumptions!$C$5,F4291)),Assumptions!$D$5,IF(ISNUMBER(SEARCH(Assumptions!$C$6,F4291)),Assumptions!$D$6,IF(ISNUMBER(SEARCH(Assumptions!$C$7,F4291)),Assumptions!$D$7,"Other Services"))),"Other Services"))</f>
        <v/>
      </c>
    </row>
    <row r="4292" customFormat="false" ht="15" hidden="false" customHeight="false" outlineLevel="0" collapsed="false">
      <c r="I4292" s="41" t="str">
        <f aca="false">IF(F4292="","",IFERROR(IF(ISNUMBER(SEARCH(Assumptions!$C$5,F4292)),Assumptions!$D$5,IF(ISNUMBER(SEARCH(Assumptions!$C$6,F4292)),Assumptions!$D$6,IF(ISNUMBER(SEARCH(Assumptions!$C$7,F4292)),Assumptions!$D$7,"Other Services"))),"Other Services"))</f>
        <v/>
      </c>
    </row>
    <row r="4293" customFormat="false" ht="15" hidden="false" customHeight="false" outlineLevel="0" collapsed="false">
      <c r="I4293" s="41" t="str">
        <f aca="false">IF(F4293="","",IFERROR(IF(ISNUMBER(SEARCH(Assumptions!$C$5,F4293)),Assumptions!$D$5,IF(ISNUMBER(SEARCH(Assumptions!$C$6,F4293)),Assumptions!$D$6,IF(ISNUMBER(SEARCH(Assumptions!$C$7,F4293)),Assumptions!$D$7,"Other Services"))),"Other Services"))</f>
        <v/>
      </c>
    </row>
    <row r="4294" customFormat="false" ht="15" hidden="false" customHeight="false" outlineLevel="0" collapsed="false">
      <c r="I4294" s="41" t="str">
        <f aca="false">IF(F4294="","",IFERROR(IF(ISNUMBER(SEARCH(Assumptions!$C$5,F4294)),Assumptions!$D$5,IF(ISNUMBER(SEARCH(Assumptions!$C$6,F4294)),Assumptions!$D$6,IF(ISNUMBER(SEARCH(Assumptions!$C$7,F4294)),Assumptions!$D$7,"Other Services"))),"Other Services"))</f>
        <v/>
      </c>
    </row>
    <row r="4295" customFormat="false" ht="15" hidden="false" customHeight="false" outlineLevel="0" collapsed="false">
      <c r="I4295" s="41" t="str">
        <f aca="false">IF(F4295="","",IFERROR(IF(ISNUMBER(SEARCH(Assumptions!$C$5,F4295)),Assumptions!$D$5,IF(ISNUMBER(SEARCH(Assumptions!$C$6,F4295)),Assumptions!$D$6,IF(ISNUMBER(SEARCH(Assumptions!$C$7,F4295)),Assumptions!$D$7,"Other Services"))),"Other Services"))</f>
        <v/>
      </c>
    </row>
    <row r="4296" customFormat="false" ht="15" hidden="false" customHeight="false" outlineLevel="0" collapsed="false">
      <c r="I4296" s="41" t="str">
        <f aca="false">IF(F4296="","",IFERROR(IF(ISNUMBER(SEARCH(Assumptions!$C$5,F4296)),Assumptions!$D$5,IF(ISNUMBER(SEARCH(Assumptions!$C$6,F4296)),Assumptions!$D$6,IF(ISNUMBER(SEARCH(Assumptions!$C$7,F4296)),Assumptions!$D$7,"Other Services"))),"Other Services"))</f>
        <v/>
      </c>
    </row>
    <row r="4297" customFormat="false" ht="15" hidden="false" customHeight="false" outlineLevel="0" collapsed="false">
      <c r="I4297" s="41" t="str">
        <f aca="false">IF(F4297="","",IFERROR(IF(ISNUMBER(SEARCH(Assumptions!$C$5,F4297)),Assumptions!$D$5,IF(ISNUMBER(SEARCH(Assumptions!$C$6,F4297)),Assumptions!$D$6,IF(ISNUMBER(SEARCH(Assumptions!$C$7,F4297)),Assumptions!$D$7,"Other Services"))),"Other Services"))</f>
        <v/>
      </c>
    </row>
    <row r="4298" customFormat="false" ht="15" hidden="false" customHeight="false" outlineLevel="0" collapsed="false">
      <c r="I4298" s="41" t="str">
        <f aca="false">IF(F4298="","",IFERROR(IF(ISNUMBER(SEARCH(Assumptions!$C$5,F4298)),Assumptions!$D$5,IF(ISNUMBER(SEARCH(Assumptions!$C$6,F4298)),Assumptions!$D$6,IF(ISNUMBER(SEARCH(Assumptions!$C$7,F4298)),Assumptions!$D$7,"Other Services"))),"Other Services"))</f>
        <v/>
      </c>
    </row>
    <row r="4299" customFormat="false" ht="15" hidden="false" customHeight="false" outlineLevel="0" collapsed="false">
      <c r="I4299" s="41" t="str">
        <f aca="false">IF(F4299="","",IFERROR(IF(ISNUMBER(SEARCH(Assumptions!$C$5,F4299)),Assumptions!$D$5,IF(ISNUMBER(SEARCH(Assumptions!$C$6,F4299)),Assumptions!$D$6,IF(ISNUMBER(SEARCH(Assumptions!$C$7,F4299)),Assumptions!$D$7,"Other Services"))),"Other Services"))</f>
        <v/>
      </c>
    </row>
    <row r="4300" customFormat="false" ht="15" hidden="false" customHeight="false" outlineLevel="0" collapsed="false">
      <c r="I4300" s="41" t="str">
        <f aca="false">IF(F4300="","",IFERROR(IF(ISNUMBER(SEARCH(Assumptions!$C$5,F4300)),Assumptions!$D$5,IF(ISNUMBER(SEARCH(Assumptions!$C$6,F4300)),Assumptions!$D$6,IF(ISNUMBER(SEARCH(Assumptions!$C$7,F4300)),Assumptions!$D$7,"Other Services"))),"Other Services"))</f>
        <v/>
      </c>
    </row>
    <row r="4301" customFormat="false" ht="15" hidden="false" customHeight="false" outlineLevel="0" collapsed="false">
      <c r="I4301" s="41" t="str">
        <f aca="false">IF(F4301="","",IFERROR(IF(ISNUMBER(SEARCH(Assumptions!$C$5,F4301)),Assumptions!$D$5,IF(ISNUMBER(SEARCH(Assumptions!$C$6,F4301)),Assumptions!$D$6,IF(ISNUMBER(SEARCH(Assumptions!$C$7,F4301)),Assumptions!$D$7,"Other Services"))),"Other Services"))</f>
        <v/>
      </c>
    </row>
    <row r="4302" customFormat="false" ht="15" hidden="false" customHeight="false" outlineLevel="0" collapsed="false">
      <c r="I4302" s="41" t="str">
        <f aca="false">IF(F4302="","",IFERROR(IF(ISNUMBER(SEARCH(Assumptions!$C$5,F4302)),Assumptions!$D$5,IF(ISNUMBER(SEARCH(Assumptions!$C$6,F4302)),Assumptions!$D$6,IF(ISNUMBER(SEARCH(Assumptions!$C$7,F4302)),Assumptions!$D$7,"Other Services"))),"Other Services"))</f>
        <v/>
      </c>
    </row>
    <row r="4303" customFormat="false" ht="15" hidden="false" customHeight="false" outlineLevel="0" collapsed="false">
      <c r="I4303" s="41" t="str">
        <f aca="false">IF(F4303="","",IFERROR(IF(ISNUMBER(SEARCH(Assumptions!$C$5,F4303)),Assumptions!$D$5,IF(ISNUMBER(SEARCH(Assumptions!$C$6,F4303)),Assumptions!$D$6,IF(ISNUMBER(SEARCH(Assumptions!$C$7,F4303)),Assumptions!$D$7,"Other Services"))),"Other Services"))</f>
        <v/>
      </c>
    </row>
    <row r="4304" customFormat="false" ht="15" hidden="false" customHeight="false" outlineLevel="0" collapsed="false">
      <c r="I4304" s="41" t="str">
        <f aca="false">IF(F4304="","",IFERROR(IF(ISNUMBER(SEARCH(Assumptions!$C$5,F4304)),Assumptions!$D$5,IF(ISNUMBER(SEARCH(Assumptions!$C$6,F4304)),Assumptions!$D$6,IF(ISNUMBER(SEARCH(Assumptions!$C$7,F4304)),Assumptions!$D$7,"Other Services"))),"Other Services"))</f>
        <v/>
      </c>
    </row>
    <row r="4305" customFormat="false" ht="15" hidden="false" customHeight="false" outlineLevel="0" collapsed="false">
      <c r="I4305" s="41" t="str">
        <f aca="false">IF(F4305="","",IFERROR(IF(ISNUMBER(SEARCH(Assumptions!$C$5,F4305)),Assumptions!$D$5,IF(ISNUMBER(SEARCH(Assumptions!$C$6,F4305)),Assumptions!$D$6,IF(ISNUMBER(SEARCH(Assumptions!$C$7,F4305)),Assumptions!$D$7,"Other Services"))),"Other Services"))</f>
        <v/>
      </c>
    </row>
    <row r="4306" customFormat="false" ht="15" hidden="false" customHeight="false" outlineLevel="0" collapsed="false">
      <c r="I4306" s="41" t="str">
        <f aca="false">IF(F4306="","",IFERROR(IF(ISNUMBER(SEARCH(Assumptions!$C$5,F4306)),Assumptions!$D$5,IF(ISNUMBER(SEARCH(Assumptions!$C$6,F4306)),Assumptions!$D$6,IF(ISNUMBER(SEARCH(Assumptions!$C$7,F4306)),Assumptions!$D$7,"Other Services"))),"Other Services"))</f>
        <v/>
      </c>
    </row>
    <row r="4307" customFormat="false" ht="15" hidden="false" customHeight="false" outlineLevel="0" collapsed="false">
      <c r="I4307" s="41" t="str">
        <f aca="false">IF(F4307="","",IFERROR(IF(ISNUMBER(SEARCH(Assumptions!$C$5,F4307)),Assumptions!$D$5,IF(ISNUMBER(SEARCH(Assumptions!$C$6,F4307)),Assumptions!$D$6,IF(ISNUMBER(SEARCH(Assumptions!$C$7,F4307)),Assumptions!$D$7,"Other Services"))),"Other Services"))</f>
        <v/>
      </c>
    </row>
    <row r="4308" customFormat="false" ht="15" hidden="false" customHeight="false" outlineLevel="0" collapsed="false">
      <c r="I4308" s="41" t="str">
        <f aca="false">IF(F4308="","",IFERROR(IF(ISNUMBER(SEARCH(Assumptions!$C$5,F4308)),Assumptions!$D$5,IF(ISNUMBER(SEARCH(Assumptions!$C$6,F4308)),Assumptions!$D$6,IF(ISNUMBER(SEARCH(Assumptions!$C$7,F4308)),Assumptions!$D$7,"Other Services"))),"Other Services"))</f>
        <v/>
      </c>
    </row>
    <row r="4309" customFormat="false" ht="15" hidden="false" customHeight="false" outlineLevel="0" collapsed="false">
      <c r="I4309" s="41" t="str">
        <f aca="false">IF(F4309="","",IFERROR(IF(ISNUMBER(SEARCH(Assumptions!$C$5,F4309)),Assumptions!$D$5,IF(ISNUMBER(SEARCH(Assumptions!$C$6,F4309)),Assumptions!$D$6,IF(ISNUMBER(SEARCH(Assumptions!$C$7,F4309)),Assumptions!$D$7,"Other Services"))),"Other Services"))</f>
        <v/>
      </c>
    </row>
    <row r="4310" customFormat="false" ht="15" hidden="false" customHeight="false" outlineLevel="0" collapsed="false">
      <c r="I4310" s="41" t="str">
        <f aca="false">IF(F4310="","",IFERROR(IF(ISNUMBER(SEARCH(Assumptions!$C$5,F4310)),Assumptions!$D$5,IF(ISNUMBER(SEARCH(Assumptions!$C$6,F4310)),Assumptions!$D$6,IF(ISNUMBER(SEARCH(Assumptions!$C$7,F4310)),Assumptions!$D$7,"Other Services"))),"Other Services"))</f>
        <v/>
      </c>
    </row>
    <row r="4311" customFormat="false" ht="15" hidden="false" customHeight="false" outlineLevel="0" collapsed="false">
      <c r="I4311" s="41" t="str">
        <f aca="false">IF(F4311="","",IFERROR(IF(ISNUMBER(SEARCH(Assumptions!$C$5,F4311)),Assumptions!$D$5,IF(ISNUMBER(SEARCH(Assumptions!$C$6,F4311)),Assumptions!$D$6,IF(ISNUMBER(SEARCH(Assumptions!$C$7,F4311)),Assumptions!$D$7,"Other Services"))),"Other Services"))</f>
        <v/>
      </c>
    </row>
    <row r="4312" customFormat="false" ht="15" hidden="false" customHeight="false" outlineLevel="0" collapsed="false">
      <c r="I4312" s="41" t="str">
        <f aca="false">IF(F4312="","",IFERROR(IF(ISNUMBER(SEARCH(Assumptions!$C$5,F4312)),Assumptions!$D$5,IF(ISNUMBER(SEARCH(Assumptions!$C$6,F4312)),Assumptions!$D$6,IF(ISNUMBER(SEARCH(Assumptions!$C$7,F4312)),Assumptions!$D$7,"Other Services"))),"Other Services"))</f>
        <v/>
      </c>
    </row>
    <row r="4313" customFormat="false" ht="15" hidden="false" customHeight="false" outlineLevel="0" collapsed="false">
      <c r="I4313" s="41" t="str">
        <f aca="false">IF(F4313="","",IFERROR(IF(ISNUMBER(SEARCH(Assumptions!$C$5,F4313)),Assumptions!$D$5,IF(ISNUMBER(SEARCH(Assumptions!$C$6,F4313)),Assumptions!$D$6,IF(ISNUMBER(SEARCH(Assumptions!$C$7,F4313)),Assumptions!$D$7,"Other Services"))),"Other Services"))</f>
        <v/>
      </c>
    </row>
    <row r="4314" customFormat="false" ht="15" hidden="false" customHeight="false" outlineLevel="0" collapsed="false">
      <c r="I4314" s="41" t="str">
        <f aca="false">IF(F4314="","",IFERROR(IF(ISNUMBER(SEARCH(Assumptions!$C$5,F4314)),Assumptions!$D$5,IF(ISNUMBER(SEARCH(Assumptions!$C$6,F4314)),Assumptions!$D$6,IF(ISNUMBER(SEARCH(Assumptions!$C$7,F4314)),Assumptions!$D$7,"Other Services"))),"Other Services"))</f>
        <v/>
      </c>
    </row>
    <row r="4315" customFormat="false" ht="15" hidden="false" customHeight="false" outlineLevel="0" collapsed="false">
      <c r="I4315" s="41" t="str">
        <f aca="false">IF(F4315="","",IFERROR(IF(ISNUMBER(SEARCH(Assumptions!$C$5,F4315)),Assumptions!$D$5,IF(ISNUMBER(SEARCH(Assumptions!$C$6,F4315)),Assumptions!$D$6,IF(ISNUMBER(SEARCH(Assumptions!$C$7,F4315)),Assumptions!$D$7,"Other Services"))),"Other Services"))</f>
        <v/>
      </c>
    </row>
    <row r="4316" customFormat="false" ht="15" hidden="false" customHeight="false" outlineLevel="0" collapsed="false">
      <c r="I4316" s="41" t="str">
        <f aca="false">IF(F4316="","",IFERROR(IF(ISNUMBER(SEARCH(Assumptions!$C$5,F4316)),Assumptions!$D$5,IF(ISNUMBER(SEARCH(Assumptions!$C$6,F4316)),Assumptions!$D$6,IF(ISNUMBER(SEARCH(Assumptions!$C$7,F4316)),Assumptions!$D$7,"Other Services"))),"Other Services"))</f>
        <v/>
      </c>
    </row>
    <row r="4317" customFormat="false" ht="15" hidden="false" customHeight="false" outlineLevel="0" collapsed="false">
      <c r="I4317" s="41" t="str">
        <f aca="false">IF(F4317="","",IFERROR(IF(ISNUMBER(SEARCH(Assumptions!$C$5,F4317)),Assumptions!$D$5,IF(ISNUMBER(SEARCH(Assumptions!$C$6,F4317)),Assumptions!$D$6,IF(ISNUMBER(SEARCH(Assumptions!$C$7,F4317)),Assumptions!$D$7,"Other Services"))),"Other Services"))</f>
        <v/>
      </c>
    </row>
    <row r="4318" customFormat="false" ht="15" hidden="false" customHeight="false" outlineLevel="0" collapsed="false">
      <c r="I4318" s="41" t="str">
        <f aca="false">IF(F4318="","",IFERROR(IF(ISNUMBER(SEARCH(Assumptions!$C$5,F4318)),Assumptions!$D$5,IF(ISNUMBER(SEARCH(Assumptions!$C$6,F4318)),Assumptions!$D$6,IF(ISNUMBER(SEARCH(Assumptions!$C$7,F4318)),Assumptions!$D$7,"Other Services"))),"Other Services"))</f>
        <v/>
      </c>
    </row>
    <row r="4319" customFormat="false" ht="15" hidden="false" customHeight="false" outlineLevel="0" collapsed="false">
      <c r="I4319" s="41" t="str">
        <f aca="false">IF(F4319="","",IFERROR(IF(ISNUMBER(SEARCH(Assumptions!$C$5,F4319)),Assumptions!$D$5,IF(ISNUMBER(SEARCH(Assumptions!$C$6,F4319)),Assumptions!$D$6,IF(ISNUMBER(SEARCH(Assumptions!$C$7,F4319)),Assumptions!$D$7,"Other Services"))),"Other Services"))</f>
        <v/>
      </c>
    </row>
    <row r="4320" customFormat="false" ht="15" hidden="false" customHeight="false" outlineLevel="0" collapsed="false">
      <c r="I4320" s="41" t="str">
        <f aca="false">IF(F4320="","",IFERROR(IF(ISNUMBER(SEARCH(Assumptions!$C$5,F4320)),Assumptions!$D$5,IF(ISNUMBER(SEARCH(Assumptions!$C$6,F4320)),Assumptions!$D$6,IF(ISNUMBER(SEARCH(Assumptions!$C$7,F4320)),Assumptions!$D$7,"Other Services"))),"Other Services"))</f>
        <v/>
      </c>
    </row>
    <row r="4321" customFormat="false" ht="15" hidden="false" customHeight="false" outlineLevel="0" collapsed="false">
      <c r="I4321" s="41" t="str">
        <f aca="false">IF(F4321="","",IFERROR(IF(ISNUMBER(SEARCH(Assumptions!$C$5,F4321)),Assumptions!$D$5,IF(ISNUMBER(SEARCH(Assumptions!$C$6,F4321)),Assumptions!$D$6,IF(ISNUMBER(SEARCH(Assumptions!$C$7,F4321)),Assumptions!$D$7,"Other Services"))),"Other Services"))</f>
        <v/>
      </c>
    </row>
    <row r="4322" customFormat="false" ht="15" hidden="false" customHeight="false" outlineLevel="0" collapsed="false">
      <c r="I4322" s="41" t="str">
        <f aca="false">IF(F4322="","",IFERROR(IF(ISNUMBER(SEARCH(Assumptions!$C$5,F4322)),Assumptions!$D$5,IF(ISNUMBER(SEARCH(Assumptions!$C$6,F4322)),Assumptions!$D$6,IF(ISNUMBER(SEARCH(Assumptions!$C$7,F4322)),Assumptions!$D$7,"Other Services"))),"Other Services"))</f>
        <v/>
      </c>
    </row>
    <row r="4323" customFormat="false" ht="15" hidden="false" customHeight="false" outlineLevel="0" collapsed="false">
      <c r="I4323" s="41" t="str">
        <f aca="false">IF(F4323="","",IFERROR(IF(ISNUMBER(SEARCH(Assumptions!$C$5,F4323)),Assumptions!$D$5,IF(ISNUMBER(SEARCH(Assumptions!$C$6,F4323)),Assumptions!$D$6,IF(ISNUMBER(SEARCH(Assumptions!$C$7,F4323)),Assumptions!$D$7,"Other Services"))),"Other Services"))</f>
        <v/>
      </c>
    </row>
    <row r="4324" customFormat="false" ht="15" hidden="false" customHeight="false" outlineLevel="0" collapsed="false">
      <c r="I4324" s="41" t="str">
        <f aca="false">IF(F4324="","",IFERROR(IF(ISNUMBER(SEARCH(Assumptions!$C$5,F4324)),Assumptions!$D$5,IF(ISNUMBER(SEARCH(Assumptions!$C$6,F4324)),Assumptions!$D$6,IF(ISNUMBER(SEARCH(Assumptions!$C$7,F4324)),Assumptions!$D$7,"Other Services"))),"Other Services"))</f>
        <v/>
      </c>
    </row>
    <row r="4325" customFormat="false" ht="15" hidden="false" customHeight="false" outlineLevel="0" collapsed="false">
      <c r="I4325" s="41" t="str">
        <f aca="false">IF(F4325="","",IFERROR(IF(ISNUMBER(SEARCH(Assumptions!$C$5,F4325)),Assumptions!$D$5,IF(ISNUMBER(SEARCH(Assumptions!$C$6,F4325)),Assumptions!$D$6,IF(ISNUMBER(SEARCH(Assumptions!$C$7,F4325)),Assumptions!$D$7,"Other Services"))),"Other Services"))</f>
        <v/>
      </c>
    </row>
    <row r="4326" customFormat="false" ht="15" hidden="false" customHeight="false" outlineLevel="0" collapsed="false">
      <c r="I4326" s="41" t="str">
        <f aca="false">IF(F4326="","",IFERROR(IF(ISNUMBER(SEARCH(Assumptions!$C$5,F4326)),Assumptions!$D$5,IF(ISNUMBER(SEARCH(Assumptions!$C$6,F4326)),Assumptions!$D$6,IF(ISNUMBER(SEARCH(Assumptions!$C$7,F4326)),Assumptions!$D$7,"Other Services"))),"Other Services"))</f>
        <v/>
      </c>
    </row>
    <row r="4327" customFormat="false" ht="15" hidden="false" customHeight="false" outlineLevel="0" collapsed="false">
      <c r="I4327" s="41" t="str">
        <f aca="false">IF(F4327="","",IFERROR(IF(ISNUMBER(SEARCH(Assumptions!$C$5,F4327)),Assumptions!$D$5,IF(ISNUMBER(SEARCH(Assumptions!$C$6,F4327)),Assumptions!$D$6,IF(ISNUMBER(SEARCH(Assumptions!$C$7,F4327)),Assumptions!$D$7,"Other Services"))),"Other Services"))</f>
        <v/>
      </c>
    </row>
    <row r="4328" customFormat="false" ht="15" hidden="false" customHeight="false" outlineLevel="0" collapsed="false">
      <c r="I4328" s="41" t="str">
        <f aca="false">IF(F4328="","",IFERROR(IF(ISNUMBER(SEARCH(Assumptions!$C$5,F4328)),Assumptions!$D$5,IF(ISNUMBER(SEARCH(Assumptions!$C$6,F4328)),Assumptions!$D$6,IF(ISNUMBER(SEARCH(Assumptions!$C$7,F4328)),Assumptions!$D$7,"Other Services"))),"Other Services"))</f>
        <v/>
      </c>
    </row>
    <row r="4329" customFormat="false" ht="15" hidden="false" customHeight="false" outlineLevel="0" collapsed="false">
      <c r="I4329" s="41" t="str">
        <f aca="false">IF(F4329="","",IFERROR(IF(ISNUMBER(SEARCH(Assumptions!$C$5,F4329)),Assumptions!$D$5,IF(ISNUMBER(SEARCH(Assumptions!$C$6,F4329)),Assumptions!$D$6,IF(ISNUMBER(SEARCH(Assumptions!$C$7,F4329)),Assumptions!$D$7,"Other Services"))),"Other Services"))</f>
        <v/>
      </c>
    </row>
    <row r="4330" customFormat="false" ht="15" hidden="false" customHeight="false" outlineLevel="0" collapsed="false">
      <c r="I4330" s="41" t="str">
        <f aca="false">IF(F4330="","",IFERROR(IF(ISNUMBER(SEARCH(Assumptions!$C$5,F4330)),Assumptions!$D$5,IF(ISNUMBER(SEARCH(Assumptions!$C$6,F4330)),Assumptions!$D$6,IF(ISNUMBER(SEARCH(Assumptions!$C$7,F4330)),Assumptions!$D$7,"Other Services"))),"Other Services"))</f>
        <v/>
      </c>
    </row>
    <row r="4331" customFormat="false" ht="15" hidden="false" customHeight="false" outlineLevel="0" collapsed="false">
      <c r="I4331" s="41" t="str">
        <f aca="false">IF(F4331="","",IFERROR(IF(ISNUMBER(SEARCH(Assumptions!$C$5,F4331)),Assumptions!$D$5,IF(ISNUMBER(SEARCH(Assumptions!$C$6,F4331)),Assumptions!$D$6,IF(ISNUMBER(SEARCH(Assumptions!$C$7,F4331)),Assumptions!$D$7,"Other Services"))),"Other Services"))</f>
        <v/>
      </c>
    </row>
    <row r="4332" customFormat="false" ht="15" hidden="false" customHeight="false" outlineLevel="0" collapsed="false">
      <c r="I4332" s="41" t="str">
        <f aca="false">IF(F4332="","",IFERROR(IF(ISNUMBER(SEARCH(Assumptions!$C$5,F4332)),Assumptions!$D$5,IF(ISNUMBER(SEARCH(Assumptions!$C$6,F4332)),Assumptions!$D$6,IF(ISNUMBER(SEARCH(Assumptions!$C$7,F4332)),Assumptions!$D$7,"Other Services"))),"Other Services"))</f>
        <v/>
      </c>
    </row>
    <row r="4333" customFormat="false" ht="15" hidden="false" customHeight="false" outlineLevel="0" collapsed="false">
      <c r="I4333" s="41" t="str">
        <f aca="false">IF(F4333="","",IFERROR(IF(ISNUMBER(SEARCH(Assumptions!$C$5,F4333)),Assumptions!$D$5,IF(ISNUMBER(SEARCH(Assumptions!$C$6,F4333)),Assumptions!$D$6,IF(ISNUMBER(SEARCH(Assumptions!$C$7,F4333)),Assumptions!$D$7,"Other Services"))),"Other Services"))</f>
        <v/>
      </c>
    </row>
    <row r="4334" customFormat="false" ht="15" hidden="false" customHeight="false" outlineLevel="0" collapsed="false">
      <c r="I4334" s="41" t="str">
        <f aca="false">IF(F4334="","",IFERROR(IF(ISNUMBER(SEARCH(Assumptions!$C$5,F4334)),Assumptions!$D$5,IF(ISNUMBER(SEARCH(Assumptions!$C$6,F4334)),Assumptions!$D$6,IF(ISNUMBER(SEARCH(Assumptions!$C$7,F4334)),Assumptions!$D$7,"Other Services"))),"Other Services"))</f>
        <v/>
      </c>
    </row>
    <row r="4335" customFormat="false" ht="15" hidden="false" customHeight="false" outlineLevel="0" collapsed="false">
      <c r="I4335" s="41" t="str">
        <f aca="false">IF(F4335="","",IFERROR(IF(ISNUMBER(SEARCH(Assumptions!$C$5,F4335)),Assumptions!$D$5,IF(ISNUMBER(SEARCH(Assumptions!$C$6,F4335)),Assumptions!$D$6,IF(ISNUMBER(SEARCH(Assumptions!$C$7,F4335)),Assumptions!$D$7,"Other Services"))),"Other Services"))</f>
        <v/>
      </c>
    </row>
    <row r="4336" customFormat="false" ht="15" hidden="false" customHeight="false" outlineLevel="0" collapsed="false">
      <c r="I4336" s="41" t="str">
        <f aca="false">IF(F4336="","",IFERROR(IF(ISNUMBER(SEARCH(Assumptions!$C$5,F4336)),Assumptions!$D$5,IF(ISNUMBER(SEARCH(Assumptions!$C$6,F4336)),Assumptions!$D$6,IF(ISNUMBER(SEARCH(Assumptions!$C$7,F4336)),Assumptions!$D$7,"Other Services"))),"Other Services"))</f>
        <v/>
      </c>
    </row>
    <row r="4337" customFormat="false" ht="15" hidden="false" customHeight="false" outlineLevel="0" collapsed="false">
      <c r="I4337" s="41" t="str">
        <f aca="false">IF(F4337="","",IFERROR(IF(ISNUMBER(SEARCH(Assumptions!$C$5,F4337)),Assumptions!$D$5,IF(ISNUMBER(SEARCH(Assumptions!$C$6,F4337)),Assumptions!$D$6,IF(ISNUMBER(SEARCH(Assumptions!$C$7,F4337)),Assumptions!$D$7,"Other Services"))),"Other Services"))</f>
        <v/>
      </c>
    </row>
    <row r="4338" customFormat="false" ht="15" hidden="false" customHeight="false" outlineLevel="0" collapsed="false">
      <c r="I4338" s="41" t="str">
        <f aca="false">IF(F4338="","",IFERROR(IF(ISNUMBER(SEARCH(Assumptions!$C$5,F4338)),Assumptions!$D$5,IF(ISNUMBER(SEARCH(Assumptions!$C$6,F4338)),Assumptions!$D$6,IF(ISNUMBER(SEARCH(Assumptions!$C$7,F4338)),Assumptions!$D$7,"Other Services"))),"Other Services"))</f>
        <v/>
      </c>
    </row>
    <row r="4339" customFormat="false" ht="15" hidden="false" customHeight="false" outlineLevel="0" collapsed="false">
      <c r="I4339" s="41" t="str">
        <f aca="false">IF(F4339="","",IFERROR(IF(ISNUMBER(SEARCH(Assumptions!$C$5,F4339)),Assumptions!$D$5,IF(ISNUMBER(SEARCH(Assumptions!$C$6,F4339)),Assumptions!$D$6,IF(ISNUMBER(SEARCH(Assumptions!$C$7,F4339)),Assumptions!$D$7,"Other Services"))),"Other Services"))</f>
        <v/>
      </c>
    </row>
    <row r="4340" customFormat="false" ht="15" hidden="false" customHeight="false" outlineLevel="0" collapsed="false">
      <c r="I4340" s="41" t="str">
        <f aca="false">IF(F4340="","",IFERROR(IF(ISNUMBER(SEARCH(Assumptions!$C$5,F4340)),Assumptions!$D$5,IF(ISNUMBER(SEARCH(Assumptions!$C$6,F4340)),Assumptions!$D$6,IF(ISNUMBER(SEARCH(Assumptions!$C$7,F4340)),Assumptions!$D$7,"Other Services"))),"Other Services"))</f>
        <v/>
      </c>
    </row>
    <row r="4341" customFormat="false" ht="15" hidden="false" customHeight="false" outlineLevel="0" collapsed="false">
      <c r="I4341" s="41" t="str">
        <f aca="false">IF(F4341="","",IFERROR(IF(ISNUMBER(SEARCH(Assumptions!$C$5,F4341)),Assumptions!$D$5,IF(ISNUMBER(SEARCH(Assumptions!$C$6,F4341)),Assumptions!$D$6,IF(ISNUMBER(SEARCH(Assumptions!$C$7,F4341)),Assumptions!$D$7,"Other Services"))),"Other Services"))</f>
        <v/>
      </c>
    </row>
    <row r="4342" customFormat="false" ht="15" hidden="false" customHeight="false" outlineLevel="0" collapsed="false">
      <c r="I4342" s="41" t="str">
        <f aca="false">IF(F4342="","",IFERROR(IF(ISNUMBER(SEARCH(Assumptions!$C$5,F4342)),Assumptions!$D$5,IF(ISNUMBER(SEARCH(Assumptions!$C$6,F4342)),Assumptions!$D$6,IF(ISNUMBER(SEARCH(Assumptions!$C$7,F4342)),Assumptions!$D$7,"Other Services"))),"Other Services"))</f>
        <v/>
      </c>
    </row>
    <row r="4343" customFormat="false" ht="15" hidden="false" customHeight="false" outlineLevel="0" collapsed="false">
      <c r="I4343" s="41" t="str">
        <f aca="false">IF(F4343="","",IFERROR(IF(ISNUMBER(SEARCH(Assumptions!$C$5,F4343)),Assumptions!$D$5,IF(ISNUMBER(SEARCH(Assumptions!$C$6,F4343)),Assumptions!$D$6,IF(ISNUMBER(SEARCH(Assumptions!$C$7,F4343)),Assumptions!$D$7,"Other Services"))),"Other Services"))</f>
        <v/>
      </c>
    </row>
    <row r="4344" customFormat="false" ht="15" hidden="false" customHeight="false" outlineLevel="0" collapsed="false">
      <c r="I4344" s="41" t="str">
        <f aca="false">IF(F4344="","",IFERROR(IF(ISNUMBER(SEARCH(Assumptions!$C$5,F4344)),Assumptions!$D$5,IF(ISNUMBER(SEARCH(Assumptions!$C$6,F4344)),Assumptions!$D$6,IF(ISNUMBER(SEARCH(Assumptions!$C$7,F4344)),Assumptions!$D$7,"Other Services"))),"Other Services"))</f>
        <v/>
      </c>
    </row>
    <row r="4345" customFormat="false" ht="15" hidden="false" customHeight="false" outlineLevel="0" collapsed="false">
      <c r="I4345" s="41" t="str">
        <f aca="false">IF(F4345="","",IFERROR(IF(ISNUMBER(SEARCH(Assumptions!$C$5,F4345)),Assumptions!$D$5,IF(ISNUMBER(SEARCH(Assumptions!$C$6,F4345)),Assumptions!$D$6,IF(ISNUMBER(SEARCH(Assumptions!$C$7,F4345)),Assumptions!$D$7,"Other Services"))),"Other Services"))</f>
        <v/>
      </c>
    </row>
    <row r="4346" customFormat="false" ht="15" hidden="false" customHeight="false" outlineLevel="0" collapsed="false">
      <c r="I4346" s="41" t="str">
        <f aca="false">IF(F4346="","",IFERROR(IF(ISNUMBER(SEARCH(Assumptions!$C$5,F4346)),Assumptions!$D$5,IF(ISNUMBER(SEARCH(Assumptions!$C$6,F4346)),Assumptions!$D$6,IF(ISNUMBER(SEARCH(Assumptions!$C$7,F4346)),Assumptions!$D$7,"Other Services"))),"Other Services"))</f>
        <v/>
      </c>
    </row>
    <row r="4347" customFormat="false" ht="15" hidden="false" customHeight="false" outlineLevel="0" collapsed="false">
      <c r="I4347" s="41" t="str">
        <f aca="false">IF(F4347="","",IFERROR(IF(ISNUMBER(SEARCH(Assumptions!$C$5,F4347)),Assumptions!$D$5,IF(ISNUMBER(SEARCH(Assumptions!$C$6,F4347)),Assumptions!$D$6,IF(ISNUMBER(SEARCH(Assumptions!$C$7,F4347)),Assumptions!$D$7,"Other Services"))),"Other Services"))</f>
        <v/>
      </c>
    </row>
    <row r="4348" customFormat="false" ht="15" hidden="false" customHeight="false" outlineLevel="0" collapsed="false">
      <c r="I4348" s="41" t="str">
        <f aca="false">IF(F4348="","",IFERROR(IF(ISNUMBER(SEARCH(Assumptions!$C$5,F4348)),Assumptions!$D$5,IF(ISNUMBER(SEARCH(Assumptions!$C$6,F4348)),Assumptions!$D$6,IF(ISNUMBER(SEARCH(Assumptions!$C$7,F4348)),Assumptions!$D$7,"Other Services"))),"Other Services"))</f>
        <v/>
      </c>
    </row>
    <row r="4349" customFormat="false" ht="15" hidden="false" customHeight="false" outlineLevel="0" collapsed="false">
      <c r="I4349" s="41" t="str">
        <f aca="false">IF(F4349="","",IFERROR(IF(ISNUMBER(SEARCH(Assumptions!$C$5,F4349)),Assumptions!$D$5,IF(ISNUMBER(SEARCH(Assumptions!$C$6,F4349)),Assumptions!$D$6,IF(ISNUMBER(SEARCH(Assumptions!$C$7,F4349)),Assumptions!$D$7,"Other Services"))),"Other Services"))</f>
        <v/>
      </c>
    </row>
    <row r="4350" customFormat="false" ht="15" hidden="false" customHeight="false" outlineLevel="0" collapsed="false">
      <c r="I4350" s="41" t="str">
        <f aca="false">IF(F4350="","",IFERROR(IF(ISNUMBER(SEARCH(Assumptions!$C$5,F4350)),Assumptions!$D$5,IF(ISNUMBER(SEARCH(Assumptions!$C$6,F4350)),Assumptions!$D$6,IF(ISNUMBER(SEARCH(Assumptions!$C$7,F4350)),Assumptions!$D$7,"Other Services"))),"Other Services"))</f>
        <v/>
      </c>
    </row>
    <row r="4351" customFormat="false" ht="15" hidden="false" customHeight="false" outlineLevel="0" collapsed="false">
      <c r="I4351" s="41" t="str">
        <f aca="false">IF(F4351="","",IFERROR(IF(ISNUMBER(SEARCH(Assumptions!$C$5,F4351)),Assumptions!$D$5,IF(ISNUMBER(SEARCH(Assumptions!$C$6,F4351)),Assumptions!$D$6,IF(ISNUMBER(SEARCH(Assumptions!$C$7,F4351)),Assumptions!$D$7,"Other Services"))),"Other Services"))</f>
        <v/>
      </c>
    </row>
    <row r="4352" customFormat="false" ht="15" hidden="false" customHeight="false" outlineLevel="0" collapsed="false">
      <c r="I4352" s="41" t="str">
        <f aca="false">IF(F4352="","",IFERROR(IF(ISNUMBER(SEARCH(Assumptions!$C$5,F4352)),Assumptions!$D$5,IF(ISNUMBER(SEARCH(Assumptions!$C$6,F4352)),Assumptions!$D$6,IF(ISNUMBER(SEARCH(Assumptions!$C$7,F4352)),Assumptions!$D$7,"Other Services"))),"Other Services"))</f>
        <v/>
      </c>
    </row>
    <row r="4353" customFormat="false" ht="15" hidden="false" customHeight="false" outlineLevel="0" collapsed="false">
      <c r="I4353" s="41" t="str">
        <f aca="false">IF(F4353="","",IFERROR(IF(ISNUMBER(SEARCH(Assumptions!$C$5,F4353)),Assumptions!$D$5,IF(ISNUMBER(SEARCH(Assumptions!$C$6,F4353)),Assumptions!$D$6,IF(ISNUMBER(SEARCH(Assumptions!$C$7,F4353)),Assumptions!$D$7,"Other Services"))),"Other Services"))</f>
        <v/>
      </c>
    </row>
    <row r="4354" customFormat="false" ht="15" hidden="false" customHeight="false" outlineLevel="0" collapsed="false">
      <c r="I4354" s="41" t="str">
        <f aca="false">IF(F4354="","",IFERROR(IF(ISNUMBER(SEARCH(Assumptions!$C$5,F4354)),Assumptions!$D$5,IF(ISNUMBER(SEARCH(Assumptions!$C$6,F4354)),Assumptions!$D$6,IF(ISNUMBER(SEARCH(Assumptions!$C$7,F4354)),Assumptions!$D$7,"Other Services"))),"Other Services"))</f>
        <v/>
      </c>
    </row>
    <row r="4355" customFormat="false" ht="15" hidden="false" customHeight="false" outlineLevel="0" collapsed="false">
      <c r="I4355" s="41" t="str">
        <f aca="false">IF(F4355="","",IFERROR(IF(ISNUMBER(SEARCH(Assumptions!$C$5,F4355)),Assumptions!$D$5,IF(ISNUMBER(SEARCH(Assumptions!$C$6,F4355)),Assumptions!$D$6,IF(ISNUMBER(SEARCH(Assumptions!$C$7,F4355)),Assumptions!$D$7,"Other Services"))),"Other Services"))</f>
        <v/>
      </c>
    </row>
    <row r="4356" customFormat="false" ht="15" hidden="false" customHeight="false" outlineLevel="0" collapsed="false">
      <c r="I4356" s="41" t="str">
        <f aca="false">IF(F4356="","",IFERROR(IF(ISNUMBER(SEARCH(Assumptions!$C$5,F4356)),Assumptions!$D$5,IF(ISNUMBER(SEARCH(Assumptions!$C$6,F4356)),Assumptions!$D$6,IF(ISNUMBER(SEARCH(Assumptions!$C$7,F4356)),Assumptions!$D$7,"Other Services"))),"Other Services"))</f>
        <v/>
      </c>
    </row>
    <row r="4357" customFormat="false" ht="15" hidden="false" customHeight="false" outlineLevel="0" collapsed="false">
      <c r="I4357" s="41" t="str">
        <f aca="false">IF(F4357="","",IFERROR(IF(ISNUMBER(SEARCH(Assumptions!$C$5,F4357)),Assumptions!$D$5,IF(ISNUMBER(SEARCH(Assumptions!$C$6,F4357)),Assumptions!$D$6,IF(ISNUMBER(SEARCH(Assumptions!$C$7,F4357)),Assumptions!$D$7,"Other Services"))),"Other Services"))</f>
        <v/>
      </c>
    </row>
    <row r="4358" customFormat="false" ht="15" hidden="false" customHeight="false" outlineLevel="0" collapsed="false">
      <c r="I4358" s="41" t="str">
        <f aca="false">IF(F4358="","",IFERROR(IF(ISNUMBER(SEARCH(Assumptions!$C$5,F4358)),Assumptions!$D$5,IF(ISNUMBER(SEARCH(Assumptions!$C$6,F4358)),Assumptions!$D$6,IF(ISNUMBER(SEARCH(Assumptions!$C$7,F4358)),Assumptions!$D$7,"Other Services"))),"Other Services"))</f>
        <v/>
      </c>
    </row>
    <row r="4359" customFormat="false" ht="15" hidden="false" customHeight="false" outlineLevel="0" collapsed="false">
      <c r="I4359" s="41" t="str">
        <f aca="false">IF(F4359="","",IFERROR(IF(ISNUMBER(SEARCH(Assumptions!$C$5,F4359)),Assumptions!$D$5,IF(ISNUMBER(SEARCH(Assumptions!$C$6,F4359)),Assumptions!$D$6,IF(ISNUMBER(SEARCH(Assumptions!$C$7,F4359)),Assumptions!$D$7,"Other Services"))),"Other Services"))</f>
        <v/>
      </c>
    </row>
    <row r="4360" customFormat="false" ht="15" hidden="false" customHeight="false" outlineLevel="0" collapsed="false">
      <c r="I4360" s="41" t="str">
        <f aca="false">IF(F4360="","",IFERROR(IF(ISNUMBER(SEARCH(Assumptions!$C$5,F4360)),Assumptions!$D$5,IF(ISNUMBER(SEARCH(Assumptions!$C$6,F4360)),Assumptions!$D$6,IF(ISNUMBER(SEARCH(Assumptions!$C$7,F4360)),Assumptions!$D$7,"Other Services"))),"Other Services"))</f>
        <v/>
      </c>
    </row>
    <row r="4361" customFormat="false" ht="15" hidden="false" customHeight="false" outlineLevel="0" collapsed="false">
      <c r="I4361" s="41" t="str">
        <f aca="false">IF(F4361="","",IFERROR(IF(ISNUMBER(SEARCH(Assumptions!$C$5,F4361)),Assumptions!$D$5,IF(ISNUMBER(SEARCH(Assumptions!$C$6,F4361)),Assumptions!$D$6,IF(ISNUMBER(SEARCH(Assumptions!$C$7,F4361)),Assumptions!$D$7,"Other Services"))),"Other Services"))</f>
        <v/>
      </c>
    </row>
    <row r="4362" customFormat="false" ht="15" hidden="false" customHeight="false" outlineLevel="0" collapsed="false">
      <c r="I4362" s="41" t="str">
        <f aca="false">IF(F4362="","",IFERROR(IF(ISNUMBER(SEARCH(Assumptions!$C$5,F4362)),Assumptions!$D$5,IF(ISNUMBER(SEARCH(Assumptions!$C$6,F4362)),Assumptions!$D$6,IF(ISNUMBER(SEARCH(Assumptions!$C$7,F4362)),Assumptions!$D$7,"Other Services"))),"Other Services"))</f>
        <v/>
      </c>
    </row>
    <row r="4363" customFormat="false" ht="15" hidden="false" customHeight="false" outlineLevel="0" collapsed="false">
      <c r="I4363" s="41" t="str">
        <f aca="false">IF(F4363="","",IFERROR(IF(ISNUMBER(SEARCH(Assumptions!$C$5,F4363)),Assumptions!$D$5,IF(ISNUMBER(SEARCH(Assumptions!$C$6,F4363)),Assumptions!$D$6,IF(ISNUMBER(SEARCH(Assumptions!$C$7,F4363)),Assumptions!$D$7,"Other Services"))),"Other Services"))</f>
        <v/>
      </c>
    </row>
    <row r="4364" customFormat="false" ht="15" hidden="false" customHeight="false" outlineLevel="0" collapsed="false">
      <c r="I4364" s="41" t="str">
        <f aca="false">IF(F4364="","",IFERROR(IF(ISNUMBER(SEARCH(Assumptions!$C$5,F4364)),Assumptions!$D$5,IF(ISNUMBER(SEARCH(Assumptions!$C$6,F4364)),Assumptions!$D$6,IF(ISNUMBER(SEARCH(Assumptions!$C$7,F4364)),Assumptions!$D$7,"Other Services"))),"Other Services"))</f>
        <v/>
      </c>
    </row>
    <row r="4365" customFormat="false" ht="15" hidden="false" customHeight="false" outlineLevel="0" collapsed="false">
      <c r="I4365" s="41" t="str">
        <f aca="false">IF(F4365="","",IFERROR(IF(ISNUMBER(SEARCH(Assumptions!$C$5,F4365)),Assumptions!$D$5,IF(ISNUMBER(SEARCH(Assumptions!$C$6,F4365)),Assumptions!$D$6,IF(ISNUMBER(SEARCH(Assumptions!$C$7,F4365)),Assumptions!$D$7,"Other Services"))),"Other Services"))</f>
        <v/>
      </c>
    </row>
    <row r="4366" customFormat="false" ht="15" hidden="false" customHeight="false" outlineLevel="0" collapsed="false">
      <c r="I4366" s="41" t="str">
        <f aca="false">IF(F4366="","",IFERROR(IF(ISNUMBER(SEARCH(Assumptions!$C$5,F4366)),Assumptions!$D$5,IF(ISNUMBER(SEARCH(Assumptions!$C$6,F4366)),Assumptions!$D$6,IF(ISNUMBER(SEARCH(Assumptions!$C$7,F4366)),Assumptions!$D$7,"Other Services"))),"Other Services"))</f>
        <v/>
      </c>
    </row>
    <row r="4367" customFormat="false" ht="15" hidden="false" customHeight="false" outlineLevel="0" collapsed="false">
      <c r="I4367" s="41" t="str">
        <f aca="false">IF(F4367="","",IFERROR(IF(ISNUMBER(SEARCH(Assumptions!$C$5,F4367)),Assumptions!$D$5,IF(ISNUMBER(SEARCH(Assumptions!$C$6,F4367)),Assumptions!$D$6,IF(ISNUMBER(SEARCH(Assumptions!$C$7,F4367)),Assumptions!$D$7,"Other Services"))),"Other Services"))</f>
        <v/>
      </c>
    </row>
    <row r="4368" customFormat="false" ht="15" hidden="false" customHeight="false" outlineLevel="0" collapsed="false">
      <c r="I4368" s="41" t="str">
        <f aca="false">IF(F4368="","",IFERROR(IF(ISNUMBER(SEARCH(Assumptions!$C$5,F4368)),Assumptions!$D$5,IF(ISNUMBER(SEARCH(Assumptions!$C$6,F4368)),Assumptions!$D$6,IF(ISNUMBER(SEARCH(Assumptions!$C$7,F4368)),Assumptions!$D$7,"Other Services"))),"Other Services"))</f>
        <v/>
      </c>
    </row>
    <row r="4369" customFormat="false" ht="15" hidden="false" customHeight="false" outlineLevel="0" collapsed="false">
      <c r="I4369" s="41" t="str">
        <f aca="false">IF(F4369="","",IFERROR(IF(ISNUMBER(SEARCH(Assumptions!$C$5,F4369)),Assumptions!$D$5,IF(ISNUMBER(SEARCH(Assumptions!$C$6,F4369)),Assumptions!$D$6,IF(ISNUMBER(SEARCH(Assumptions!$C$7,F4369)),Assumptions!$D$7,"Other Services"))),"Other Services"))</f>
        <v/>
      </c>
    </row>
    <row r="4370" customFormat="false" ht="15" hidden="false" customHeight="false" outlineLevel="0" collapsed="false">
      <c r="I4370" s="41" t="str">
        <f aca="false">IF(F4370="","",IFERROR(IF(ISNUMBER(SEARCH(Assumptions!$C$5,F4370)),Assumptions!$D$5,IF(ISNUMBER(SEARCH(Assumptions!$C$6,F4370)),Assumptions!$D$6,IF(ISNUMBER(SEARCH(Assumptions!$C$7,F4370)),Assumptions!$D$7,"Other Services"))),"Other Services"))</f>
        <v/>
      </c>
    </row>
    <row r="4371" customFormat="false" ht="15" hidden="false" customHeight="false" outlineLevel="0" collapsed="false">
      <c r="I4371" s="41" t="str">
        <f aca="false">IF(F4371="","",IFERROR(IF(ISNUMBER(SEARCH(Assumptions!$C$5,F4371)),Assumptions!$D$5,IF(ISNUMBER(SEARCH(Assumptions!$C$6,F4371)),Assumptions!$D$6,IF(ISNUMBER(SEARCH(Assumptions!$C$7,F4371)),Assumptions!$D$7,"Other Services"))),"Other Services"))</f>
        <v/>
      </c>
    </row>
    <row r="4372" customFormat="false" ht="15" hidden="false" customHeight="false" outlineLevel="0" collapsed="false">
      <c r="I4372" s="41" t="str">
        <f aca="false">IF(F4372="","",IFERROR(IF(ISNUMBER(SEARCH(Assumptions!$C$5,F4372)),Assumptions!$D$5,IF(ISNUMBER(SEARCH(Assumptions!$C$6,F4372)),Assumptions!$D$6,IF(ISNUMBER(SEARCH(Assumptions!$C$7,F4372)),Assumptions!$D$7,"Other Services"))),"Other Services"))</f>
        <v/>
      </c>
    </row>
    <row r="4373" customFormat="false" ht="15" hidden="false" customHeight="false" outlineLevel="0" collapsed="false">
      <c r="I4373" s="41" t="str">
        <f aca="false">IF(F4373="","",IFERROR(IF(ISNUMBER(SEARCH(Assumptions!$C$5,F4373)),Assumptions!$D$5,IF(ISNUMBER(SEARCH(Assumptions!$C$6,F4373)),Assumptions!$D$6,IF(ISNUMBER(SEARCH(Assumptions!$C$7,F4373)),Assumptions!$D$7,"Other Services"))),"Other Services"))</f>
        <v/>
      </c>
    </row>
    <row r="4374" customFormat="false" ht="15" hidden="false" customHeight="false" outlineLevel="0" collapsed="false">
      <c r="I4374" s="41" t="str">
        <f aca="false">IF(F4374="","",IFERROR(IF(ISNUMBER(SEARCH(Assumptions!$C$5,F4374)),Assumptions!$D$5,IF(ISNUMBER(SEARCH(Assumptions!$C$6,F4374)),Assumptions!$D$6,IF(ISNUMBER(SEARCH(Assumptions!$C$7,F4374)),Assumptions!$D$7,"Other Services"))),"Other Services"))</f>
        <v/>
      </c>
    </row>
    <row r="4375" customFormat="false" ht="15" hidden="false" customHeight="false" outlineLevel="0" collapsed="false">
      <c r="I4375" s="41" t="str">
        <f aca="false">IF(F4375="","",IFERROR(IF(ISNUMBER(SEARCH(Assumptions!$C$5,F4375)),Assumptions!$D$5,IF(ISNUMBER(SEARCH(Assumptions!$C$6,F4375)),Assumptions!$D$6,IF(ISNUMBER(SEARCH(Assumptions!$C$7,F4375)),Assumptions!$D$7,"Other Services"))),"Other Services"))</f>
        <v/>
      </c>
    </row>
    <row r="4376" customFormat="false" ht="15" hidden="false" customHeight="false" outlineLevel="0" collapsed="false">
      <c r="I4376" s="41" t="str">
        <f aca="false">IF(F4376="","",IFERROR(IF(ISNUMBER(SEARCH(Assumptions!$C$5,F4376)),Assumptions!$D$5,IF(ISNUMBER(SEARCH(Assumptions!$C$6,F4376)),Assumptions!$D$6,IF(ISNUMBER(SEARCH(Assumptions!$C$7,F4376)),Assumptions!$D$7,"Other Services"))),"Other Services"))</f>
        <v/>
      </c>
    </row>
    <row r="4377" customFormat="false" ht="15" hidden="false" customHeight="false" outlineLevel="0" collapsed="false">
      <c r="I4377" s="41" t="str">
        <f aca="false">IF(F4377="","",IFERROR(IF(ISNUMBER(SEARCH(Assumptions!$C$5,F4377)),Assumptions!$D$5,IF(ISNUMBER(SEARCH(Assumptions!$C$6,F4377)),Assumptions!$D$6,IF(ISNUMBER(SEARCH(Assumptions!$C$7,F4377)),Assumptions!$D$7,"Other Services"))),"Other Services"))</f>
        <v/>
      </c>
    </row>
    <row r="4378" customFormat="false" ht="15" hidden="false" customHeight="false" outlineLevel="0" collapsed="false">
      <c r="I4378" s="41" t="str">
        <f aca="false">IF(F4378="","",IFERROR(IF(ISNUMBER(SEARCH(Assumptions!$C$5,F4378)),Assumptions!$D$5,IF(ISNUMBER(SEARCH(Assumptions!$C$6,F4378)),Assumptions!$D$6,IF(ISNUMBER(SEARCH(Assumptions!$C$7,F4378)),Assumptions!$D$7,"Other Services"))),"Other Services"))</f>
        <v/>
      </c>
    </row>
    <row r="4379" customFormat="false" ht="15" hidden="false" customHeight="false" outlineLevel="0" collapsed="false">
      <c r="I4379" s="41" t="str">
        <f aca="false">IF(F4379="","",IFERROR(IF(ISNUMBER(SEARCH(Assumptions!$C$5,F4379)),Assumptions!$D$5,IF(ISNUMBER(SEARCH(Assumptions!$C$6,F4379)),Assumptions!$D$6,IF(ISNUMBER(SEARCH(Assumptions!$C$7,F4379)),Assumptions!$D$7,"Other Services"))),"Other Services"))</f>
        <v/>
      </c>
    </row>
    <row r="4380" customFormat="false" ht="15" hidden="false" customHeight="false" outlineLevel="0" collapsed="false">
      <c r="I4380" s="41" t="str">
        <f aca="false">IF(F4380="","",IFERROR(IF(ISNUMBER(SEARCH(Assumptions!$C$5,F4380)),Assumptions!$D$5,IF(ISNUMBER(SEARCH(Assumptions!$C$6,F4380)),Assumptions!$D$6,IF(ISNUMBER(SEARCH(Assumptions!$C$7,F4380)),Assumptions!$D$7,"Other Services"))),"Other Services"))</f>
        <v/>
      </c>
    </row>
    <row r="4381" customFormat="false" ht="15" hidden="false" customHeight="false" outlineLevel="0" collapsed="false">
      <c r="I4381" s="41" t="str">
        <f aca="false">IF(F4381="","",IFERROR(IF(ISNUMBER(SEARCH(Assumptions!$C$5,F4381)),Assumptions!$D$5,IF(ISNUMBER(SEARCH(Assumptions!$C$6,F4381)),Assumptions!$D$6,IF(ISNUMBER(SEARCH(Assumptions!$C$7,F4381)),Assumptions!$D$7,"Other Services"))),"Other Services"))</f>
        <v/>
      </c>
    </row>
    <row r="4382" customFormat="false" ht="15" hidden="false" customHeight="false" outlineLevel="0" collapsed="false">
      <c r="I4382" s="41" t="str">
        <f aca="false">IF(F4382="","",IFERROR(IF(ISNUMBER(SEARCH(Assumptions!$C$5,F4382)),Assumptions!$D$5,IF(ISNUMBER(SEARCH(Assumptions!$C$6,F4382)),Assumptions!$D$6,IF(ISNUMBER(SEARCH(Assumptions!$C$7,F4382)),Assumptions!$D$7,"Other Services"))),"Other Services"))</f>
        <v/>
      </c>
    </row>
    <row r="4383" customFormat="false" ht="15" hidden="false" customHeight="false" outlineLevel="0" collapsed="false">
      <c r="I4383" s="41" t="str">
        <f aca="false">IF(F4383="","",IFERROR(IF(ISNUMBER(SEARCH(Assumptions!$C$5,F4383)),Assumptions!$D$5,IF(ISNUMBER(SEARCH(Assumptions!$C$6,F4383)),Assumptions!$D$6,IF(ISNUMBER(SEARCH(Assumptions!$C$7,F4383)),Assumptions!$D$7,"Other Services"))),"Other Services"))</f>
        <v/>
      </c>
    </row>
    <row r="4384" customFormat="false" ht="15" hidden="false" customHeight="false" outlineLevel="0" collapsed="false">
      <c r="I4384" s="41" t="str">
        <f aca="false">IF(F4384="","",IFERROR(IF(ISNUMBER(SEARCH(Assumptions!$C$5,F4384)),Assumptions!$D$5,IF(ISNUMBER(SEARCH(Assumptions!$C$6,F4384)),Assumptions!$D$6,IF(ISNUMBER(SEARCH(Assumptions!$C$7,F4384)),Assumptions!$D$7,"Other Services"))),"Other Services"))</f>
        <v/>
      </c>
    </row>
    <row r="4385" customFormat="false" ht="15" hidden="false" customHeight="false" outlineLevel="0" collapsed="false">
      <c r="I4385" s="41" t="str">
        <f aca="false">IF(F4385="","",IFERROR(IF(ISNUMBER(SEARCH(Assumptions!$C$5,F4385)),Assumptions!$D$5,IF(ISNUMBER(SEARCH(Assumptions!$C$6,F4385)),Assumptions!$D$6,IF(ISNUMBER(SEARCH(Assumptions!$C$7,F4385)),Assumptions!$D$7,"Other Services"))),"Other Services"))</f>
        <v/>
      </c>
    </row>
    <row r="4386" customFormat="false" ht="15" hidden="false" customHeight="false" outlineLevel="0" collapsed="false">
      <c r="I4386" s="41" t="str">
        <f aca="false">IF(F4386="","",IFERROR(IF(ISNUMBER(SEARCH(Assumptions!$C$5,F4386)),Assumptions!$D$5,IF(ISNUMBER(SEARCH(Assumptions!$C$6,F4386)),Assumptions!$D$6,IF(ISNUMBER(SEARCH(Assumptions!$C$7,F4386)),Assumptions!$D$7,"Other Services"))),"Other Services"))</f>
        <v/>
      </c>
    </row>
    <row r="4387" customFormat="false" ht="15" hidden="false" customHeight="false" outlineLevel="0" collapsed="false">
      <c r="I4387" s="41" t="str">
        <f aca="false">IF(F4387="","",IFERROR(IF(ISNUMBER(SEARCH(Assumptions!$C$5,F4387)),Assumptions!$D$5,IF(ISNUMBER(SEARCH(Assumptions!$C$6,F4387)),Assumptions!$D$6,IF(ISNUMBER(SEARCH(Assumptions!$C$7,F4387)),Assumptions!$D$7,"Other Services"))),"Other Services"))</f>
        <v/>
      </c>
    </row>
    <row r="4388" customFormat="false" ht="15" hidden="false" customHeight="false" outlineLevel="0" collapsed="false">
      <c r="I4388" s="41" t="str">
        <f aca="false">IF(F4388="","",IFERROR(IF(ISNUMBER(SEARCH(Assumptions!$C$5,F4388)),Assumptions!$D$5,IF(ISNUMBER(SEARCH(Assumptions!$C$6,F4388)),Assumptions!$D$6,IF(ISNUMBER(SEARCH(Assumptions!$C$7,F4388)),Assumptions!$D$7,"Other Services"))),"Other Services"))</f>
        <v/>
      </c>
    </row>
    <row r="4389" customFormat="false" ht="15" hidden="false" customHeight="false" outlineLevel="0" collapsed="false">
      <c r="I4389" s="41" t="str">
        <f aca="false">IF(F4389="","",IFERROR(IF(ISNUMBER(SEARCH(Assumptions!$C$5,F4389)),Assumptions!$D$5,IF(ISNUMBER(SEARCH(Assumptions!$C$6,F4389)),Assumptions!$D$6,IF(ISNUMBER(SEARCH(Assumptions!$C$7,F4389)),Assumptions!$D$7,"Other Services"))),"Other Services"))</f>
        <v/>
      </c>
    </row>
    <row r="4390" customFormat="false" ht="15" hidden="false" customHeight="false" outlineLevel="0" collapsed="false">
      <c r="I4390" s="41" t="str">
        <f aca="false">IF(F4390="","",IFERROR(IF(ISNUMBER(SEARCH(Assumptions!$C$5,F4390)),Assumptions!$D$5,IF(ISNUMBER(SEARCH(Assumptions!$C$6,F4390)),Assumptions!$D$6,IF(ISNUMBER(SEARCH(Assumptions!$C$7,F4390)),Assumptions!$D$7,"Other Services"))),"Other Services"))</f>
        <v/>
      </c>
    </row>
    <row r="4391" customFormat="false" ht="15" hidden="false" customHeight="false" outlineLevel="0" collapsed="false">
      <c r="I4391" s="41" t="str">
        <f aca="false">IF(F4391="","",IFERROR(IF(ISNUMBER(SEARCH(Assumptions!$C$5,F4391)),Assumptions!$D$5,IF(ISNUMBER(SEARCH(Assumptions!$C$6,F4391)),Assumptions!$D$6,IF(ISNUMBER(SEARCH(Assumptions!$C$7,F4391)),Assumptions!$D$7,"Other Services"))),"Other Services"))</f>
        <v/>
      </c>
    </row>
    <row r="4392" customFormat="false" ht="15" hidden="false" customHeight="false" outlineLevel="0" collapsed="false">
      <c r="I4392" s="41" t="str">
        <f aca="false">IF(F4392="","",IFERROR(IF(ISNUMBER(SEARCH(Assumptions!$C$5,F4392)),Assumptions!$D$5,IF(ISNUMBER(SEARCH(Assumptions!$C$6,F4392)),Assumptions!$D$6,IF(ISNUMBER(SEARCH(Assumptions!$C$7,F4392)),Assumptions!$D$7,"Other Services"))),"Other Services"))</f>
        <v/>
      </c>
    </row>
    <row r="4393" customFormat="false" ht="15" hidden="false" customHeight="false" outlineLevel="0" collapsed="false">
      <c r="I4393" s="41" t="str">
        <f aca="false">IF(F4393="","",IFERROR(IF(ISNUMBER(SEARCH(Assumptions!$C$5,F4393)),Assumptions!$D$5,IF(ISNUMBER(SEARCH(Assumptions!$C$6,F4393)),Assumptions!$D$6,IF(ISNUMBER(SEARCH(Assumptions!$C$7,F4393)),Assumptions!$D$7,"Other Services"))),"Other Services"))</f>
        <v/>
      </c>
    </row>
    <row r="4394" customFormat="false" ht="15" hidden="false" customHeight="false" outlineLevel="0" collapsed="false">
      <c r="I4394" s="41" t="str">
        <f aca="false">IF(F4394="","",IFERROR(IF(ISNUMBER(SEARCH(Assumptions!$C$5,F4394)),Assumptions!$D$5,IF(ISNUMBER(SEARCH(Assumptions!$C$6,F4394)),Assumptions!$D$6,IF(ISNUMBER(SEARCH(Assumptions!$C$7,F4394)),Assumptions!$D$7,"Other Services"))),"Other Services"))</f>
        <v/>
      </c>
    </row>
    <row r="4395" customFormat="false" ht="15" hidden="false" customHeight="false" outlineLevel="0" collapsed="false">
      <c r="I4395" s="41" t="str">
        <f aca="false">IF(F4395="","",IFERROR(IF(ISNUMBER(SEARCH(Assumptions!$C$5,F4395)),Assumptions!$D$5,IF(ISNUMBER(SEARCH(Assumptions!$C$6,F4395)),Assumptions!$D$6,IF(ISNUMBER(SEARCH(Assumptions!$C$7,F4395)),Assumptions!$D$7,"Other Services"))),"Other Services"))</f>
        <v/>
      </c>
    </row>
    <row r="4396" customFormat="false" ht="15" hidden="false" customHeight="false" outlineLevel="0" collapsed="false">
      <c r="I4396" s="41" t="str">
        <f aca="false">IF(F4396="","",IFERROR(IF(ISNUMBER(SEARCH(Assumptions!$C$5,F4396)),Assumptions!$D$5,IF(ISNUMBER(SEARCH(Assumptions!$C$6,F4396)),Assumptions!$D$6,IF(ISNUMBER(SEARCH(Assumptions!$C$7,F4396)),Assumptions!$D$7,"Other Services"))),"Other Services"))</f>
        <v/>
      </c>
    </row>
    <row r="4397" customFormat="false" ht="15" hidden="false" customHeight="false" outlineLevel="0" collapsed="false">
      <c r="I4397" s="41" t="str">
        <f aca="false">IF(F4397="","",IFERROR(IF(ISNUMBER(SEARCH(Assumptions!$C$5,F4397)),Assumptions!$D$5,IF(ISNUMBER(SEARCH(Assumptions!$C$6,F4397)),Assumptions!$D$6,IF(ISNUMBER(SEARCH(Assumptions!$C$7,F4397)),Assumptions!$D$7,"Other Services"))),"Other Services"))</f>
        <v/>
      </c>
    </row>
    <row r="4398" customFormat="false" ht="15" hidden="false" customHeight="false" outlineLevel="0" collapsed="false">
      <c r="I4398" s="41" t="str">
        <f aca="false">IF(F4398="","",IFERROR(IF(ISNUMBER(SEARCH(Assumptions!$C$5,F4398)),Assumptions!$D$5,IF(ISNUMBER(SEARCH(Assumptions!$C$6,F4398)),Assumptions!$D$6,IF(ISNUMBER(SEARCH(Assumptions!$C$7,F4398)),Assumptions!$D$7,"Other Services"))),"Other Services"))</f>
        <v/>
      </c>
    </row>
    <row r="4399" customFormat="false" ht="15" hidden="false" customHeight="false" outlineLevel="0" collapsed="false">
      <c r="I4399" s="41" t="str">
        <f aca="false">IF(F4399="","",IFERROR(IF(ISNUMBER(SEARCH(Assumptions!$C$5,F4399)),Assumptions!$D$5,IF(ISNUMBER(SEARCH(Assumptions!$C$6,F4399)),Assumptions!$D$6,IF(ISNUMBER(SEARCH(Assumptions!$C$7,F4399)),Assumptions!$D$7,"Other Services"))),"Other Services"))</f>
        <v/>
      </c>
    </row>
    <row r="4400" customFormat="false" ht="15" hidden="false" customHeight="false" outlineLevel="0" collapsed="false">
      <c r="I4400" s="41" t="str">
        <f aca="false">IF(F4400="","",IFERROR(IF(ISNUMBER(SEARCH(Assumptions!$C$5,F4400)),Assumptions!$D$5,IF(ISNUMBER(SEARCH(Assumptions!$C$6,F4400)),Assumptions!$D$6,IF(ISNUMBER(SEARCH(Assumptions!$C$7,F4400)),Assumptions!$D$7,"Other Services"))),"Other Services"))</f>
        <v/>
      </c>
    </row>
    <row r="4401" customFormat="false" ht="15" hidden="false" customHeight="false" outlineLevel="0" collapsed="false">
      <c r="I4401" s="41" t="str">
        <f aca="false">IF(F4401="","",IFERROR(IF(ISNUMBER(SEARCH(Assumptions!$C$5,F4401)),Assumptions!$D$5,IF(ISNUMBER(SEARCH(Assumptions!$C$6,F4401)),Assumptions!$D$6,IF(ISNUMBER(SEARCH(Assumptions!$C$7,F4401)),Assumptions!$D$7,"Other Services"))),"Other Services"))</f>
        <v/>
      </c>
    </row>
    <row r="4402" customFormat="false" ht="15" hidden="false" customHeight="false" outlineLevel="0" collapsed="false">
      <c r="I4402" s="41" t="str">
        <f aca="false">IF(F4402="","",IFERROR(IF(ISNUMBER(SEARCH(Assumptions!$C$5,F4402)),Assumptions!$D$5,IF(ISNUMBER(SEARCH(Assumptions!$C$6,F4402)),Assumptions!$D$6,IF(ISNUMBER(SEARCH(Assumptions!$C$7,F4402)),Assumptions!$D$7,"Other Services"))),"Other Services"))</f>
        <v/>
      </c>
    </row>
    <row r="4403" customFormat="false" ht="15" hidden="false" customHeight="false" outlineLevel="0" collapsed="false">
      <c r="I4403" s="41" t="str">
        <f aca="false">IF(F4403="","",IFERROR(IF(ISNUMBER(SEARCH(Assumptions!$C$5,F4403)),Assumptions!$D$5,IF(ISNUMBER(SEARCH(Assumptions!$C$6,F4403)),Assumptions!$D$6,IF(ISNUMBER(SEARCH(Assumptions!$C$7,F4403)),Assumptions!$D$7,"Other Services"))),"Other Services"))</f>
        <v/>
      </c>
    </row>
    <row r="4404" customFormat="false" ht="15" hidden="false" customHeight="false" outlineLevel="0" collapsed="false">
      <c r="I4404" s="41" t="str">
        <f aca="false">IF(F4404="","",IFERROR(IF(ISNUMBER(SEARCH(Assumptions!$C$5,F4404)),Assumptions!$D$5,IF(ISNUMBER(SEARCH(Assumptions!$C$6,F4404)),Assumptions!$D$6,IF(ISNUMBER(SEARCH(Assumptions!$C$7,F4404)),Assumptions!$D$7,"Other Services"))),"Other Services"))</f>
        <v/>
      </c>
    </row>
    <row r="4405" customFormat="false" ht="15" hidden="false" customHeight="false" outlineLevel="0" collapsed="false">
      <c r="I4405" s="41" t="str">
        <f aca="false">IF(F4405="","",IFERROR(IF(ISNUMBER(SEARCH(Assumptions!$C$5,F4405)),Assumptions!$D$5,IF(ISNUMBER(SEARCH(Assumptions!$C$6,F4405)),Assumptions!$D$6,IF(ISNUMBER(SEARCH(Assumptions!$C$7,F4405)),Assumptions!$D$7,"Other Services"))),"Other Services"))</f>
        <v/>
      </c>
    </row>
    <row r="4406" customFormat="false" ht="15" hidden="false" customHeight="false" outlineLevel="0" collapsed="false">
      <c r="I4406" s="41" t="str">
        <f aca="false">IF(F4406="","",IFERROR(IF(ISNUMBER(SEARCH(Assumptions!$C$5,F4406)),Assumptions!$D$5,IF(ISNUMBER(SEARCH(Assumptions!$C$6,F4406)),Assumptions!$D$6,IF(ISNUMBER(SEARCH(Assumptions!$C$7,F4406)),Assumptions!$D$7,"Other Services"))),"Other Services"))</f>
        <v/>
      </c>
    </row>
    <row r="4407" customFormat="false" ht="15" hidden="false" customHeight="false" outlineLevel="0" collapsed="false">
      <c r="I4407" s="41" t="str">
        <f aca="false">IF(F4407="","",IFERROR(IF(ISNUMBER(SEARCH(Assumptions!$C$5,F4407)),Assumptions!$D$5,IF(ISNUMBER(SEARCH(Assumptions!$C$6,F4407)),Assumptions!$D$6,IF(ISNUMBER(SEARCH(Assumptions!$C$7,F4407)),Assumptions!$D$7,"Other Services"))),"Other Services"))</f>
        <v/>
      </c>
    </row>
    <row r="4408" customFormat="false" ht="15" hidden="false" customHeight="false" outlineLevel="0" collapsed="false">
      <c r="I4408" s="41" t="str">
        <f aca="false">IF(F4408="","",IFERROR(IF(ISNUMBER(SEARCH(Assumptions!$C$5,F4408)),Assumptions!$D$5,IF(ISNUMBER(SEARCH(Assumptions!$C$6,F4408)),Assumptions!$D$6,IF(ISNUMBER(SEARCH(Assumptions!$C$7,F4408)),Assumptions!$D$7,"Other Services"))),"Other Services"))</f>
        <v/>
      </c>
    </row>
    <row r="4409" customFormat="false" ht="15" hidden="false" customHeight="false" outlineLevel="0" collapsed="false">
      <c r="I4409" s="41" t="str">
        <f aca="false">IF(F4409="","",IFERROR(IF(ISNUMBER(SEARCH(Assumptions!$C$5,F4409)),Assumptions!$D$5,IF(ISNUMBER(SEARCH(Assumptions!$C$6,F4409)),Assumptions!$D$6,IF(ISNUMBER(SEARCH(Assumptions!$C$7,F4409)),Assumptions!$D$7,"Other Services"))),"Other Services"))</f>
        <v/>
      </c>
    </row>
    <row r="4410" customFormat="false" ht="15" hidden="false" customHeight="false" outlineLevel="0" collapsed="false">
      <c r="I4410" s="41" t="str">
        <f aca="false">IF(F4410="","",IFERROR(IF(ISNUMBER(SEARCH(Assumptions!$C$5,F4410)),Assumptions!$D$5,IF(ISNUMBER(SEARCH(Assumptions!$C$6,F4410)),Assumptions!$D$6,IF(ISNUMBER(SEARCH(Assumptions!$C$7,F4410)),Assumptions!$D$7,"Other Services"))),"Other Services"))</f>
        <v/>
      </c>
    </row>
    <row r="4411" customFormat="false" ht="15" hidden="false" customHeight="false" outlineLevel="0" collapsed="false">
      <c r="I4411" s="41" t="str">
        <f aca="false">IF(F4411="","",IFERROR(IF(ISNUMBER(SEARCH(Assumptions!$C$5,F4411)),Assumptions!$D$5,IF(ISNUMBER(SEARCH(Assumptions!$C$6,F4411)),Assumptions!$D$6,IF(ISNUMBER(SEARCH(Assumptions!$C$7,F4411)),Assumptions!$D$7,"Other Services"))),"Other Services"))</f>
        <v/>
      </c>
    </row>
    <row r="4412" customFormat="false" ht="15" hidden="false" customHeight="false" outlineLevel="0" collapsed="false">
      <c r="I4412" s="41" t="str">
        <f aca="false">IF(F4412="","",IFERROR(IF(ISNUMBER(SEARCH(Assumptions!$C$5,F4412)),Assumptions!$D$5,IF(ISNUMBER(SEARCH(Assumptions!$C$6,F4412)),Assumptions!$D$6,IF(ISNUMBER(SEARCH(Assumptions!$C$7,F4412)),Assumptions!$D$7,"Other Services"))),"Other Services"))</f>
        <v/>
      </c>
    </row>
    <row r="4413" customFormat="false" ht="15" hidden="false" customHeight="false" outlineLevel="0" collapsed="false">
      <c r="I4413" s="41" t="str">
        <f aca="false">IF(F4413="","",IFERROR(IF(ISNUMBER(SEARCH(Assumptions!$C$5,F4413)),Assumptions!$D$5,IF(ISNUMBER(SEARCH(Assumptions!$C$6,F4413)),Assumptions!$D$6,IF(ISNUMBER(SEARCH(Assumptions!$C$7,F4413)),Assumptions!$D$7,"Other Services"))),"Other Services"))</f>
        <v/>
      </c>
    </row>
    <row r="4414" customFormat="false" ht="15" hidden="false" customHeight="false" outlineLevel="0" collapsed="false">
      <c r="I4414" s="41" t="str">
        <f aca="false">IF(F4414="","",IFERROR(IF(ISNUMBER(SEARCH(Assumptions!$C$5,F4414)),Assumptions!$D$5,IF(ISNUMBER(SEARCH(Assumptions!$C$6,F4414)),Assumptions!$D$6,IF(ISNUMBER(SEARCH(Assumptions!$C$7,F4414)),Assumptions!$D$7,"Other Services"))),"Other Services"))</f>
        <v/>
      </c>
    </row>
    <row r="4415" customFormat="false" ht="15" hidden="false" customHeight="false" outlineLevel="0" collapsed="false">
      <c r="I4415" s="41" t="str">
        <f aca="false">IF(F4415="","",IFERROR(IF(ISNUMBER(SEARCH(Assumptions!$C$5,F4415)),Assumptions!$D$5,IF(ISNUMBER(SEARCH(Assumptions!$C$6,F4415)),Assumptions!$D$6,IF(ISNUMBER(SEARCH(Assumptions!$C$7,F4415)),Assumptions!$D$7,"Other Services"))),"Other Services"))</f>
        <v/>
      </c>
    </row>
    <row r="4416" customFormat="false" ht="15" hidden="false" customHeight="false" outlineLevel="0" collapsed="false">
      <c r="I4416" s="41" t="str">
        <f aca="false">IF(F4416="","",IFERROR(IF(ISNUMBER(SEARCH(Assumptions!$C$5,F4416)),Assumptions!$D$5,IF(ISNUMBER(SEARCH(Assumptions!$C$6,F4416)),Assumptions!$D$6,IF(ISNUMBER(SEARCH(Assumptions!$C$7,F4416)),Assumptions!$D$7,"Other Services"))),"Other Services"))</f>
        <v/>
      </c>
    </row>
    <row r="4417" customFormat="false" ht="15" hidden="false" customHeight="false" outlineLevel="0" collapsed="false">
      <c r="I4417" s="41" t="str">
        <f aca="false">IF(F4417="","",IFERROR(IF(ISNUMBER(SEARCH(Assumptions!$C$5,F4417)),Assumptions!$D$5,IF(ISNUMBER(SEARCH(Assumptions!$C$6,F4417)),Assumptions!$D$6,IF(ISNUMBER(SEARCH(Assumptions!$C$7,F4417)),Assumptions!$D$7,"Other Services"))),"Other Services"))</f>
        <v/>
      </c>
    </row>
    <row r="4418" customFormat="false" ht="15" hidden="false" customHeight="false" outlineLevel="0" collapsed="false">
      <c r="I4418" s="41" t="str">
        <f aca="false">IF(F4418="","",IFERROR(IF(ISNUMBER(SEARCH(Assumptions!$C$5,F4418)),Assumptions!$D$5,IF(ISNUMBER(SEARCH(Assumptions!$C$6,F4418)),Assumptions!$D$6,IF(ISNUMBER(SEARCH(Assumptions!$C$7,F4418)),Assumptions!$D$7,"Other Services"))),"Other Services"))</f>
        <v/>
      </c>
    </row>
    <row r="4419" customFormat="false" ht="15" hidden="false" customHeight="false" outlineLevel="0" collapsed="false">
      <c r="I4419" s="41" t="str">
        <f aca="false">IF(F4419="","",IFERROR(IF(ISNUMBER(SEARCH(Assumptions!$C$5,F4419)),Assumptions!$D$5,IF(ISNUMBER(SEARCH(Assumptions!$C$6,F4419)),Assumptions!$D$6,IF(ISNUMBER(SEARCH(Assumptions!$C$7,F4419)),Assumptions!$D$7,"Other Services"))),"Other Services"))</f>
        <v/>
      </c>
    </row>
    <row r="4420" customFormat="false" ht="15" hidden="false" customHeight="false" outlineLevel="0" collapsed="false">
      <c r="I4420" s="41" t="str">
        <f aca="false">IF(F4420="","",IFERROR(IF(ISNUMBER(SEARCH(Assumptions!$C$5,F4420)),Assumptions!$D$5,IF(ISNUMBER(SEARCH(Assumptions!$C$6,F4420)),Assumptions!$D$6,IF(ISNUMBER(SEARCH(Assumptions!$C$7,F4420)),Assumptions!$D$7,"Other Services"))),"Other Services"))</f>
        <v/>
      </c>
    </row>
    <row r="4421" customFormat="false" ht="15" hidden="false" customHeight="false" outlineLevel="0" collapsed="false">
      <c r="I4421" s="41" t="str">
        <f aca="false">IF(F4421="","",IFERROR(IF(ISNUMBER(SEARCH(Assumptions!$C$5,F4421)),Assumptions!$D$5,IF(ISNUMBER(SEARCH(Assumptions!$C$6,F4421)),Assumptions!$D$6,IF(ISNUMBER(SEARCH(Assumptions!$C$7,F4421)),Assumptions!$D$7,"Other Services"))),"Other Services"))</f>
        <v/>
      </c>
    </row>
    <row r="4422" customFormat="false" ht="15" hidden="false" customHeight="false" outlineLevel="0" collapsed="false">
      <c r="I4422" s="41" t="str">
        <f aca="false">IF(F4422="","",IFERROR(IF(ISNUMBER(SEARCH(Assumptions!$C$5,F4422)),Assumptions!$D$5,IF(ISNUMBER(SEARCH(Assumptions!$C$6,F4422)),Assumptions!$D$6,IF(ISNUMBER(SEARCH(Assumptions!$C$7,F4422)),Assumptions!$D$7,"Other Services"))),"Other Services"))</f>
        <v/>
      </c>
    </row>
    <row r="4423" customFormat="false" ht="15" hidden="false" customHeight="false" outlineLevel="0" collapsed="false">
      <c r="I4423" s="41" t="str">
        <f aca="false">IF(F4423="","",IFERROR(IF(ISNUMBER(SEARCH(Assumptions!$C$5,F4423)),Assumptions!$D$5,IF(ISNUMBER(SEARCH(Assumptions!$C$6,F4423)),Assumptions!$D$6,IF(ISNUMBER(SEARCH(Assumptions!$C$7,F4423)),Assumptions!$D$7,"Other Services"))),"Other Services"))</f>
        <v/>
      </c>
    </row>
    <row r="4424" customFormat="false" ht="15" hidden="false" customHeight="false" outlineLevel="0" collapsed="false">
      <c r="I4424" s="41" t="str">
        <f aca="false">IF(F4424="","",IFERROR(IF(ISNUMBER(SEARCH(Assumptions!$C$5,F4424)),Assumptions!$D$5,IF(ISNUMBER(SEARCH(Assumptions!$C$6,F4424)),Assumptions!$D$6,IF(ISNUMBER(SEARCH(Assumptions!$C$7,F4424)),Assumptions!$D$7,"Other Services"))),"Other Services"))</f>
        <v/>
      </c>
    </row>
    <row r="4425" customFormat="false" ht="15" hidden="false" customHeight="false" outlineLevel="0" collapsed="false">
      <c r="I4425" s="41" t="str">
        <f aca="false">IF(F4425="","",IFERROR(IF(ISNUMBER(SEARCH(Assumptions!$C$5,F4425)),Assumptions!$D$5,IF(ISNUMBER(SEARCH(Assumptions!$C$6,F4425)),Assumptions!$D$6,IF(ISNUMBER(SEARCH(Assumptions!$C$7,F4425)),Assumptions!$D$7,"Other Services"))),"Other Services"))</f>
        <v/>
      </c>
    </row>
    <row r="4426" customFormat="false" ht="15" hidden="false" customHeight="false" outlineLevel="0" collapsed="false">
      <c r="I4426" s="41" t="str">
        <f aca="false">IF(F4426="","",IFERROR(IF(ISNUMBER(SEARCH(Assumptions!$C$5,F4426)),Assumptions!$D$5,IF(ISNUMBER(SEARCH(Assumptions!$C$6,F4426)),Assumptions!$D$6,IF(ISNUMBER(SEARCH(Assumptions!$C$7,F4426)),Assumptions!$D$7,"Other Services"))),"Other Services"))</f>
        <v/>
      </c>
    </row>
    <row r="4427" customFormat="false" ht="15" hidden="false" customHeight="false" outlineLevel="0" collapsed="false">
      <c r="I4427" s="41" t="str">
        <f aca="false">IF(F4427="","",IFERROR(IF(ISNUMBER(SEARCH(Assumptions!$C$5,F4427)),Assumptions!$D$5,IF(ISNUMBER(SEARCH(Assumptions!$C$6,F4427)),Assumptions!$D$6,IF(ISNUMBER(SEARCH(Assumptions!$C$7,F4427)),Assumptions!$D$7,"Other Services"))),"Other Services"))</f>
        <v/>
      </c>
    </row>
    <row r="4428" customFormat="false" ht="15" hidden="false" customHeight="false" outlineLevel="0" collapsed="false">
      <c r="I4428" s="41" t="str">
        <f aca="false">IF(F4428="","",IFERROR(IF(ISNUMBER(SEARCH(Assumptions!$C$5,F4428)),Assumptions!$D$5,IF(ISNUMBER(SEARCH(Assumptions!$C$6,F4428)),Assumptions!$D$6,IF(ISNUMBER(SEARCH(Assumptions!$C$7,F4428)),Assumptions!$D$7,"Other Services"))),"Other Services"))</f>
        <v/>
      </c>
    </row>
    <row r="4429" customFormat="false" ht="15" hidden="false" customHeight="false" outlineLevel="0" collapsed="false">
      <c r="I4429" s="41" t="str">
        <f aca="false">IF(F4429="","",IFERROR(IF(ISNUMBER(SEARCH(Assumptions!$C$5,F4429)),Assumptions!$D$5,IF(ISNUMBER(SEARCH(Assumptions!$C$6,F4429)),Assumptions!$D$6,IF(ISNUMBER(SEARCH(Assumptions!$C$7,F4429)),Assumptions!$D$7,"Other Services"))),"Other Services"))</f>
        <v/>
      </c>
    </row>
    <row r="4430" customFormat="false" ht="15" hidden="false" customHeight="false" outlineLevel="0" collapsed="false">
      <c r="I4430" s="41" t="str">
        <f aca="false">IF(F4430="","",IFERROR(IF(ISNUMBER(SEARCH(Assumptions!$C$5,F4430)),Assumptions!$D$5,IF(ISNUMBER(SEARCH(Assumptions!$C$6,F4430)),Assumptions!$D$6,IF(ISNUMBER(SEARCH(Assumptions!$C$7,F4430)),Assumptions!$D$7,"Other Services"))),"Other Services"))</f>
        <v/>
      </c>
    </row>
    <row r="4431" customFormat="false" ht="15" hidden="false" customHeight="false" outlineLevel="0" collapsed="false">
      <c r="I4431" s="41" t="str">
        <f aca="false">IF(F4431="","",IFERROR(IF(ISNUMBER(SEARCH(Assumptions!$C$5,F4431)),Assumptions!$D$5,IF(ISNUMBER(SEARCH(Assumptions!$C$6,F4431)),Assumptions!$D$6,IF(ISNUMBER(SEARCH(Assumptions!$C$7,F4431)),Assumptions!$D$7,"Other Services"))),"Other Services"))</f>
        <v/>
      </c>
    </row>
    <row r="4432" customFormat="false" ht="15" hidden="false" customHeight="false" outlineLevel="0" collapsed="false">
      <c r="I4432" s="41" t="str">
        <f aca="false">IF(F4432="","",IFERROR(IF(ISNUMBER(SEARCH(Assumptions!$C$5,F4432)),Assumptions!$D$5,IF(ISNUMBER(SEARCH(Assumptions!$C$6,F4432)),Assumptions!$D$6,IF(ISNUMBER(SEARCH(Assumptions!$C$7,F4432)),Assumptions!$D$7,"Other Services"))),"Other Services"))</f>
        <v/>
      </c>
    </row>
    <row r="4433" customFormat="false" ht="15" hidden="false" customHeight="false" outlineLevel="0" collapsed="false">
      <c r="I4433" s="41" t="str">
        <f aca="false">IF(F4433="","",IFERROR(IF(ISNUMBER(SEARCH(Assumptions!$C$5,F4433)),Assumptions!$D$5,IF(ISNUMBER(SEARCH(Assumptions!$C$6,F4433)),Assumptions!$D$6,IF(ISNUMBER(SEARCH(Assumptions!$C$7,F4433)),Assumptions!$D$7,"Other Services"))),"Other Services"))</f>
        <v/>
      </c>
    </row>
    <row r="4434" customFormat="false" ht="15" hidden="false" customHeight="false" outlineLevel="0" collapsed="false">
      <c r="I4434" s="41" t="str">
        <f aca="false">IF(F4434="","",IFERROR(IF(ISNUMBER(SEARCH(Assumptions!$C$5,F4434)),Assumptions!$D$5,IF(ISNUMBER(SEARCH(Assumptions!$C$6,F4434)),Assumptions!$D$6,IF(ISNUMBER(SEARCH(Assumptions!$C$7,F4434)),Assumptions!$D$7,"Other Services"))),"Other Services"))</f>
        <v/>
      </c>
    </row>
    <row r="4435" customFormat="false" ht="15" hidden="false" customHeight="false" outlineLevel="0" collapsed="false">
      <c r="I4435" s="41" t="str">
        <f aca="false">IF(F4435="","",IFERROR(IF(ISNUMBER(SEARCH(Assumptions!$C$5,F4435)),Assumptions!$D$5,IF(ISNUMBER(SEARCH(Assumptions!$C$6,F4435)),Assumptions!$D$6,IF(ISNUMBER(SEARCH(Assumptions!$C$7,F4435)),Assumptions!$D$7,"Other Services"))),"Other Services"))</f>
        <v/>
      </c>
    </row>
    <row r="4436" customFormat="false" ht="15" hidden="false" customHeight="false" outlineLevel="0" collapsed="false">
      <c r="I4436" s="41" t="str">
        <f aca="false">IF(F4436="","",IFERROR(IF(ISNUMBER(SEARCH(Assumptions!$C$5,F4436)),Assumptions!$D$5,IF(ISNUMBER(SEARCH(Assumptions!$C$6,F4436)),Assumptions!$D$6,IF(ISNUMBER(SEARCH(Assumptions!$C$7,F4436)),Assumptions!$D$7,"Other Services"))),"Other Services"))</f>
        <v/>
      </c>
    </row>
    <row r="4437" customFormat="false" ht="15" hidden="false" customHeight="false" outlineLevel="0" collapsed="false">
      <c r="I4437" s="41" t="str">
        <f aca="false">IF(F4437="","",IFERROR(IF(ISNUMBER(SEARCH(Assumptions!$C$5,F4437)),Assumptions!$D$5,IF(ISNUMBER(SEARCH(Assumptions!$C$6,F4437)),Assumptions!$D$6,IF(ISNUMBER(SEARCH(Assumptions!$C$7,F4437)),Assumptions!$D$7,"Other Services"))),"Other Services"))</f>
        <v/>
      </c>
    </row>
    <row r="4438" customFormat="false" ht="15" hidden="false" customHeight="false" outlineLevel="0" collapsed="false">
      <c r="I4438" s="41" t="str">
        <f aca="false">IF(F4438="","",IFERROR(IF(ISNUMBER(SEARCH(Assumptions!$C$5,F4438)),Assumptions!$D$5,IF(ISNUMBER(SEARCH(Assumptions!$C$6,F4438)),Assumptions!$D$6,IF(ISNUMBER(SEARCH(Assumptions!$C$7,F4438)),Assumptions!$D$7,"Other Services"))),"Other Services"))</f>
        <v/>
      </c>
    </row>
    <row r="4439" customFormat="false" ht="15" hidden="false" customHeight="false" outlineLevel="0" collapsed="false">
      <c r="I4439" s="41" t="str">
        <f aca="false">IF(F4439="","",IFERROR(IF(ISNUMBER(SEARCH(Assumptions!$C$5,F4439)),Assumptions!$D$5,IF(ISNUMBER(SEARCH(Assumptions!$C$6,F4439)),Assumptions!$D$6,IF(ISNUMBER(SEARCH(Assumptions!$C$7,F4439)),Assumptions!$D$7,"Other Services"))),"Other Services"))</f>
        <v/>
      </c>
    </row>
    <row r="4440" customFormat="false" ht="15" hidden="false" customHeight="false" outlineLevel="0" collapsed="false">
      <c r="I4440" s="41" t="str">
        <f aca="false">IF(F4440="","",IFERROR(IF(ISNUMBER(SEARCH(Assumptions!$C$5,F4440)),Assumptions!$D$5,IF(ISNUMBER(SEARCH(Assumptions!$C$6,F4440)),Assumptions!$D$6,IF(ISNUMBER(SEARCH(Assumptions!$C$7,F4440)),Assumptions!$D$7,"Other Services"))),"Other Services"))</f>
        <v/>
      </c>
    </row>
    <row r="4441" customFormat="false" ht="15" hidden="false" customHeight="false" outlineLevel="0" collapsed="false">
      <c r="I4441" s="41" t="str">
        <f aca="false">IF(F4441="","",IFERROR(IF(ISNUMBER(SEARCH(Assumptions!$C$5,F4441)),Assumptions!$D$5,IF(ISNUMBER(SEARCH(Assumptions!$C$6,F4441)),Assumptions!$D$6,IF(ISNUMBER(SEARCH(Assumptions!$C$7,F4441)),Assumptions!$D$7,"Other Services"))),"Other Services"))</f>
        <v/>
      </c>
    </row>
    <row r="4442" customFormat="false" ht="15" hidden="false" customHeight="false" outlineLevel="0" collapsed="false">
      <c r="I4442" s="41" t="str">
        <f aca="false">IF(F4442="","",IFERROR(IF(ISNUMBER(SEARCH(Assumptions!$C$5,F4442)),Assumptions!$D$5,IF(ISNUMBER(SEARCH(Assumptions!$C$6,F4442)),Assumptions!$D$6,IF(ISNUMBER(SEARCH(Assumptions!$C$7,F4442)),Assumptions!$D$7,"Other Services"))),"Other Services"))</f>
        <v/>
      </c>
    </row>
    <row r="4443" customFormat="false" ht="15" hidden="false" customHeight="false" outlineLevel="0" collapsed="false">
      <c r="I4443" s="41" t="str">
        <f aca="false">IF(F4443="","",IFERROR(IF(ISNUMBER(SEARCH(Assumptions!$C$5,F4443)),Assumptions!$D$5,IF(ISNUMBER(SEARCH(Assumptions!$C$6,F4443)),Assumptions!$D$6,IF(ISNUMBER(SEARCH(Assumptions!$C$7,F4443)),Assumptions!$D$7,"Other Services"))),"Other Services"))</f>
        <v/>
      </c>
    </row>
    <row r="4444" customFormat="false" ht="15" hidden="false" customHeight="false" outlineLevel="0" collapsed="false">
      <c r="I4444" s="41" t="str">
        <f aca="false">IF(F4444="","",IFERROR(IF(ISNUMBER(SEARCH(Assumptions!$C$5,F4444)),Assumptions!$D$5,IF(ISNUMBER(SEARCH(Assumptions!$C$6,F4444)),Assumptions!$D$6,IF(ISNUMBER(SEARCH(Assumptions!$C$7,F4444)),Assumptions!$D$7,"Other Services"))),"Other Services"))</f>
        <v/>
      </c>
    </row>
    <row r="4445" customFormat="false" ht="15" hidden="false" customHeight="false" outlineLevel="0" collapsed="false">
      <c r="I4445" s="41" t="str">
        <f aca="false">IF(F4445="","",IFERROR(IF(ISNUMBER(SEARCH(Assumptions!$C$5,F4445)),Assumptions!$D$5,IF(ISNUMBER(SEARCH(Assumptions!$C$6,F4445)),Assumptions!$D$6,IF(ISNUMBER(SEARCH(Assumptions!$C$7,F4445)),Assumptions!$D$7,"Other Services"))),"Other Services"))</f>
        <v/>
      </c>
    </row>
    <row r="4446" customFormat="false" ht="15" hidden="false" customHeight="false" outlineLevel="0" collapsed="false">
      <c r="I4446" s="41" t="str">
        <f aca="false">IF(F4446="","",IFERROR(IF(ISNUMBER(SEARCH(Assumptions!$C$5,F4446)),Assumptions!$D$5,IF(ISNUMBER(SEARCH(Assumptions!$C$6,F4446)),Assumptions!$D$6,IF(ISNUMBER(SEARCH(Assumptions!$C$7,F4446)),Assumptions!$D$7,"Other Services"))),"Other Services"))</f>
        <v/>
      </c>
    </row>
    <row r="4447" customFormat="false" ht="15" hidden="false" customHeight="false" outlineLevel="0" collapsed="false">
      <c r="I4447" s="41" t="str">
        <f aca="false">IF(F4447="","",IFERROR(IF(ISNUMBER(SEARCH(Assumptions!$C$5,F4447)),Assumptions!$D$5,IF(ISNUMBER(SEARCH(Assumptions!$C$6,F4447)),Assumptions!$D$6,IF(ISNUMBER(SEARCH(Assumptions!$C$7,F4447)),Assumptions!$D$7,"Other Services"))),"Other Services"))</f>
        <v/>
      </c>
    </row>
    <row r="4448" customFormat="false" ht="15" hidden="false" customHeight="false" outlineLevel="0" collapsed="false">
      <c r="I4448" s="41" t="str">
        <f aca="false">IF(F4448="","",IFERROR(IF(ISNUMBER(SEARCH(Assumptions!$C$5,F4448)),Assumptions!$D$5,IF(ISNUMBER(SEARCH(Assumptions!$C$6,F4448)),Assumptions!$D$6,IF(ISNUMBER(SEARCH(Assumptions!$C$7,F4448)),Assumptions!$D$7,"Other Services"))),"Other Services"))</f>
        <v/>
      </c>
    </row>
    <row r="4449" customFormat="false" ht="15" hidden="false" customHeight="false" outlineLevel="0" collapsed="false">
      <c r="I4449" s="41" t="str">
        <f aca="false">IF(F4449="","",IFERROR(IF(ISNUMBER(SEARCH(Assumptions!$C$5,F4449)),Assumptions!$D$5,IF(ISNUMBER(SEARCH(Assumptions!$C$6,F4449)),Assumptions!$D$6,IF(ISNUMBER(SEARCH(Assumptions!$C$7,F4449)),Assumptions!$D$7,"Other Services"))),"Other Services"))</f>
        <v/>
      </c>
    </row>
    <row r="4450" customFormat="false" ht="15" hidden="false" customHeight="false" outlineLevel="0" collapsed="false">
      <c r="I4450" s="41" t="str">
        <f aca="false">IF(F4450="","",IFERROR(IF(ISNUMBER(SEARCH(Assumptions!$C$5,F4450)),Assumptions!$D$5,IF(ISNUMBER(SEARCH(Assumptions!$C$6,F4450)),Assumptions!$D$6,IF(ISNUMBER(SEARCH(Assumptions!$C$7,F4450)),Assumptions!$D$7,"Other Services"))),"Other Services"))</f>
        <v/>
      </c>
    </row>
    <row r="4451" customFormat="false" ht="15" hidden="false" customHeight="false" outlineLevel="0" collapsed="false">
      <c r="I4451" s="41" t="str">
        <f aca="false">IF(F4451="","",IFERROR(IF(ISNUMBER(SEARCH(Assumptions!$C$5,F4451)),Assumptions!$D$5,IF(ISNUMBER(SEARCH(Assumptions!$C$6,F4451)),Assumptions!$D$6,IF(ISNUMBER(SEARCH(Assumptions!$C$7,F4451)),Assumptions!$D$7,"Other Services"))),"Other Services"))</f>
        <v/>
      </c>
    </row>
    <row r="4452" customFormat="false" ht="15" hidden="false" customHeight="false" outlineLevel="0" collapsed="false">
      <c r="I4452" s="41" t="str">
        <f aca="false">IF(F4452="","",IFERROR(IF(ISNUMBER(SEARCH(Assumptions!$C$5,F4452)),Assumptions!$D$5,IF(ISNUMBER(SEARCH(Assumptions!$C$6,F4452)),Assumptions!$D$6,IF(ISNUMBER(SEARCH(Assumptions!$C$7,F4452)),Assumptions!$D$7,"Other Services"))),"Other Services"))</f>
        <v/>
      </c>
    </row>
    <row r="4453" customFormat="false" ht="15" hidden="false" customHeight="false" outlineLevel="0" collapsed="false">
      <c r="I4453" s="41" t="str">
        <f aca="false">IF(F4453="","",IFERROR(IF(ISNUMBER(SEARCH(Assumptions!$C$5,F4453)),Assumptions!$D$5,IF(ISNUMBER(SEARCH(Assumptions!$C$6,F4453)),Assumptions!$D$6,IF(ISNUMBER(SEARCH(Assumptions!$C$7,F4453)),Assumptions!$D$7,"Other Services"))),"Other Services"))</f>
        <v/>
      </c>
    </row>
    <row r="4454" customFormat="false" ht="15" hidden="false" customHeight="false" outlineLevel="0" collapsed="false">
      <c r="I4454" s="41" t="str">
        <f aca="false">IF(F4454="","",IFERROR(IF(ISNUMBER(SEARCH(Assumptions!$C$5,F4454)),Assumptions!$D$5,IF(ISNUMBER(SEARCH(Assumptions!$C$6,F4454)),Assumptions!$D$6,IF(ISNUMBER(SEARCH(Assumptions!$C$7,F4454)),Assumptions!$D$7,"Other Services"))),"Other Services"))</f>
        <v/>
      </c>
    </row>
    <row r="4455" customFormat="false" ht="15" hidden="false" customHeight="false" outlineLevel="0" collapsed="false">
      <c r="I4455" s="41" t="str">
        <f aca="false">IF(F4455="","",IFERROR(IF(ISNUMBER(SEARCH(Assumptions!$C$5,F4455)),Assumptions!$D$5,IF(ISNUMBER(SEARCH(Assumptions!$C$6,F4455)),Assumptions!$D$6,IF(ISNUMBER(SEARCH(Assumptions!$C$7,F4455)),Assumptions!$D$7,"Other Services"))),"Other Services"))</f>
        <v/>
      </c>
    </row>
    <row r="4456" customFormat="false" ht="15" hidden="false" customHeight="false" outlineLevel="0" collapsed="false">
      <c r="I4456" s="41" t="str">
        <f aca="false">IF(F4456="","",IFERROR(IF(ISNUMBER(SEARCH(Assumptions!$C$5,F4456)),Assumptions!$D$5,IF(ISNUMBER(SEARCH(Assumptions!$C$6,F4456)),Assumptions!$D$6,IF(ISNUMBER(SEARCH(Assumptions!$C$7,F4456)),Assumptions!$D$7,"Other Services"))),"Other Services"))</f>
        <v/>
      </c>
    </row>
    <row r="4457" customFormat="false" ht="15" hidden="false" customHeight="false" outlineLevel="0" collapsed="false">
      <c r="I4457" s="41" t="str">
        <f aca="false">IF(F4457="","",IFERROR(IF(ISNUMBER(SEARCH(Assumptions!$C$5,F4457)),Assumptions!$D$5,IF(ISNUMBER(SEARCH(Assumptions!$C$6,F4457)),Assumptions!$D$6,IF(ISNUMBER(SEARCH(Assumptions!$C$7,F4457)),Assumptions!$D$7,"Other Services"))),"Other Services"))</f>
        <v/>
      </c>
    </row>
    <row r="4458" customFormat="false" ht="15" hidden="false" customHeight="false" outlineLevel="0" collapsed="false">
      <c r="I4458" s="41" t="str">
        <f aca="false">IF(F4458="","",IFERROR(IF(ISNUMBER(SEARCH(Assumptions!$C$5,F4458)),Assumptions!$D$5,IF(ISNUMBER(SEARCH(Assumptions!$C$6,F4458)),Assumptions!$D$6,IF(ISNUMBER(SEARCH(Assumptions!$C$7,F4458)),Assumptions!$D$7,"Other Services"))),"Other Services"))</f>
        <v/>
      </c>
    </row>
    <row r="4459" customFormat="false" ht="15" hidden="false" customHeight="false" outlineLevel="0" collapsed="false">
      <c r="I4459" s="41" t="str">
        <f aca="false">IF(F4459="","",IFERROR(IF(ISNUMBER(SEARCH(Assumptions!$C$5,F4459)),Assumptions!$D$5,IF(ISNUMBER(SEARCH(Assumptions!$C$6,F4459)),Assumptions!$D$6,IF(ISNUMBER(SEARCH(Assumptions!$C$7,F4459)),Assumptions!$D$7,"Other Services"))),"Other Services"))</f>
        <v/>
      </c>
    </row>
    <row r="4460" customFormat="false" ht="15" hidden="false" customHeight="false" outlineLevel="0" collapsed="false">
      <c r="I4460" s="41" t="str">
        <f aca="false">IF(F4460="","",IFERROR(IF(ISNUMBER(SEARCH(Assumptions!$C$5,F4460)),Assumptions!$D$5,IF(ISNUMBER(SEARCH(Assumptions!$C$6,F4460)),Assumptions!$D$6,IF(ISNUMBER(SEARCH(Assumptions!$C$7,F4460)),Assumptions!$D$7,"Other Services"))),"Other Services"))</f>
        <v/>
      </c>
    </row>
    <row r="4461" customFormat="false" ht="15" hidden="false" customHeight="false" outlineLevel="0" collapsed="false">
      <c r="I4461" s="41" t="str">
        <f aca="false">IF(F4461="","",IFERROR(IF(ISNUMBER(SEARCH(Assumptions!$C$5,F4461)),Assumptions!$D$5,IF(ISNUMBER(SEARCH(Assumptions!$C$6,F4461)),Assumptions!$D$6,IF(ISNUMBER(SEARCH(Assumptions!$C$7,F4461)),Assumptions!$D$7,"Other Services"))),"Other Services"))</f>
        <v/>
      </c>
    </row>
    <row r="4462" customFormat="false" ht="15" hidden="false" customHeight="false" outlineLevel="0" collapsed="false">
      <c r="I4462" s="41" t="str">
        <f aca="false">IF(F4462="","",IFERROR(IF(ISNUMBER(SEARCH(Assumptions!$C$5,F4462)),Assumptions!$D$5,IF(ISNUMBER(SEARCH(Assumptions!$C$6,F4462)),Assumptions!$D$6,IF(ISNUMBER(SEARCH(Assumptions!$C$7,F4462)),Assumptions!$D$7,"Other Services"))),"Other Services"))</f>
        <v/>
      </c>
    </row>
    <row r="4463" customFormat="false" ht="15" hidden="false" customHeight="false" outlineLevel="0" collapsed="false">
      <c r="I4463" s="41" t="str">
        <f aca="false">IF(F4463="","",IFERROR(IF(ISNUMBER(SEARCH(Assumptions!$C$5,F4463)),Assumptions!$D$5,IF(ISNUMBER(SEARCH(Assumptions!$C$6,F4463)),Assumptions!$D$6,IF(ISNUMBER(SEARCH(Assumptions!$C$7,F4463)),Assumptions!$D$7,"Other Services"))),"Other Services"))</f>
        <v/>
      </c>
    </row>
    <row r="4464" customFormat="false" ht="15" hidden="false" customHeight="false" outlineLevel="0" collapsed="false">
      <c r="I4464" s="41" t="str">
        <f aca="false">IF(F4464="","",IFERROR(IF(ISNUMBER(SEARCH(Assumptions!$C$5,F4464)),Assumptions!$D$5,IF(ISNUMBER(SEARCH(Assumptions!$C$6,F4464)),Assumptions!$D$6,IF(ISNUMBER(SEARCH(Assumptions!$C$7,F4464)),Assumptions!$D$7,"Other Services"))),"Other Services"))</f>
        <v/>
      </c>
    </row>
    <row r="4465" customFormat="false" ht="15" hidden="false" customHeight="false" outlineLevel="0" collapsed="false">
      <c r="I4465" s="41" t="str">
        <f aca="false">IF(F4465="","",IFERROR(IF(ISNUMBER(SEARCH(Assumptions!$C$5,F4465)),Assumptions!$D$5,IF(ISNUMBER(SEARCH(Assumptions!$C$6,F4465)),Assumptions!$D$6,IF(ISNUMBER(SEARCH(Assumptions!$C$7,F4465)),Assumptions!$D$7,"Other Services"))),"Other Services"))</f>
        <v/>
      </c>
    </row>
    <row r="4466" customFormat="false" ht="15" hidden="false" customHeight="false" outlineLevel="0" collapsed="false">
      <c r="I4466" s="41" t="str">
        <f aca="false">IF(F4466="","",IFERROR(IF(ISNUMBER(SEARCH(Assumptions!$C$5,F4466)),Assumptions!$D$5,IF(ISNUMBER(SEARCH(Assumptions!$C$6,F4466)),Assumptions!$D$6,IF(ISNUMBER(SEARCH(Assumptions!$C$7,F4466)),Assumptions!$D$7,"Other Services"))),"Other Services"))</f>
        <v/>
      </c>
    </row>
    <row r="4467" customFormat="false" ht="15" hidden="false" customHeight="false" outlineLevel="0" collapsed="false">
      <c r="I4467" s="41" t="str">
        <f aca="false">IF(F4467="","",IFERROR(IF(ISNUMBER(SEARCH(Assumptions!$C$5,F4467)),Assumptions!$D$5,IF(ISNUMBER(SEARCH(Assumptions!$C$6,F4467)),Assumptions!$D$6,IF(ISNUMBER(SEARCH(Assumptions!$C$7,F4467)),Assumptions!$D$7,"Other Services"))),"Other Services"))</f>
        <v/>
      </c>
    </row>
    <row r="4468" customFormat="false" ht="15" hidden="false" customHeight="false" outlineLevel="0" collapsed="false">
      <c r="I4468" s="41" t="str">
        <f aca="false">IF(F4468="","",IFERROR(IF(ISNUMBER(SEARCH(Assumptions!$C$5,F4468)),Assumptions!$D$5,IF(ISNUMBER(SEARCH(Assumptions!$C$6,F4468)),Assumptions!$D$6,IF(ISNUMBER(SEARCH(Assumptions!$C$7,F4468)),Assumptions!$D$7,"Other Services"))),"Other Services"))</f>
        <v/>
      </c>
    </row>
    <row r="4469" customFormat="false" ht="15" hidden="false" customHeight="false" outlineLevel="0" collapsed="false">
      <c r="I4469" s="41" t="str">
        <f aca="false">IF(F4469="","",IFERROR(IF(ISNUMBER(SEARCH(Assumptions!$C$5,F4469)),Assumptions!$D$5,IF(ISNUMBER(SEARCH(Assumptions!$C$6,F4469)),Assumptions!$D$6,IF(ISNUMBER(SEARCH(Assumptions!$C$7,F4469)),Assumptions!$D$7,"Other Services"))),"Other Services"))</f>
        <v/>
      </c>
    </row>
    <row r="4470" customFormat="false" ht="15" hidden="false" customHeight="false" outlineLevel="0" collapsed="false">
      <c r="I4470" s="41" t="str">
        <f aca="false">IF(F4470="","",IFERROR(IF(ISNUMBER(SEARCH(Assumptions!$C$5,F4470)),Assumptions!$D$5,IF(ISNUMBER(SEARCH(Assumptions!$C$6,F4470)),Assumptions!$D$6,IF(ISNUMBER(SEARCH(Assumptions!$C$7,F4470)),Assumptions!$D$7,"Other Services"))),"Other Services"))</f>
        <v/>
      </c>
    </row>
    <row r="4471" customFormat="false" ht="15" hidden="false" customHeight="false" outlineLevel="0" collapsed="false">
      <c r="I4471" s="41" t="str">
        <f aca="false">IF(F4471="","",IFERROR(IF(ISNUMBER(SEARCH(Assumptions!$C$5,F4471)),Assumptions!$D$5,IF(ISNUMBER(SEARCH(Assumptions!$C$6,F4471)),Assumptions!$D$6,IF(ISNUMBER(SEARCH(Assumptions!$C$7,F4471)),Assumptions!$D$7,"Other Services"))),"Other Services"))</f>
        <v/>
      </c>
    </row>
    <row r="4472" customFormat="false" ht="15" hidden="false" customHeight="false" outlineLevel="0" collapsed="false">
      <c r="I4472" s="41" t="str">
        <f aca="false">IF(F4472="","",IFERROR(IF(ISNUMBER(SEARCH(Assumptions!$C$5,F4472)),Assumptions!$D$5,IF(ISNUMBER(SEARCH(Assumptions!$C$6,F4472)),Assumptions!$D$6,IF(ISNUMBER(SEARCH(Assumptions!$C$7,F4472)),Assumptions!$D$7,"Other Services"))),"Other Services"))</f>
        <v/>
      </c>
    </row>
    <row r="4473" customFormat="false" ht="15" hidden="false" customHeight="false" outlineLevel="0" collapsed="false">
      <c r="I4473" s="41" t="str">
        <f aca="false">IF(F4473="","",IFERROR(IF(ISNUMBER(SEARCH(Assumptions!$C$5,F4473)),Assumptions!$D$5,IF(ISNUMBER(SEARCH(Assumptions!$C$6,F4473)),Assumptions!$D$6,IF(ISNUMBER(SEARCH(Assumptions!$C$7,F4473)),Assumptions!$D$7,"Other Services"))),"Other Services"))</f>
        <v/>
      </c>
    </row>
    <row r="4474" customFormat="false" ht="15" hidden="false" customHeight="false" outlineLevel="0" collapsed="false">
      <c r="I4474" s="41" t="str">
        <f aca="false">IF(F4474="","",IFERROR(IF(ISNUMBER(SEARCH(Assumptions!$C$5,F4474)),Assumptions!$D$5,IF(ISNUMBER(SEARCH(Assumptions!$C$6,F4474)),Assumptions!$D$6,IF(ISNUMBER(SEARCH(Assumptions!$C$7,F4474)),Assumptions!$D$7,"Other Services"))),"Other Services"))</f>
        <v/>
      </c>
    </row>
    <row r="4475" customFormat="false" ht="15" hidden="false" customHeight="false" outlineLevel="0" collapsed="false">
      <c r="I4475" s="41" t="str">
        <f aca="false">IF(F4475="","",IFERROR(IF(ISNUMBER(SEARCH(Assumptions!$C$5,F4475)),Assumptions!$D$5,IF(ISNUMBER(SEARCH(Assumptions!$C$6,F4475)),Assumptions!$D$6,IF(ISNUMBER(SEARCH(Assumptions!$C$7,F4475)),Assumptions!$D$7,"Other Services"))),"Other Services"))</f>
        <v/>
      </c>
    </row>
    <row r="4476" customFormat="false" ht="15" hidden="false" customHeight="false" outlineLevel="0" collapsed="false">
      <c r="I4476" s="41" t="str">
        <f aca="false">IF(F4476="","",IFERROR(IF(ISNUMBER(SEARCH(Assumptions!$C$5,F4476)),Assumptions!$D$5,IF(ISNUMBER(SEARCH(Assumptions!$C$6,F4476)),Assumptions!$D$6,IF(ISNUMBER(SEARCH(Assumptions!$C$7,F4476)),Assumptions!$D$7,"Other Services"))),"Other Services"))</f>
        <v/>
      </c>
    </row>
    <row r="4477" customFormat="false" ht="15" hidden="false" customHeight="false" outlineLevel="0" collapsed="false">
      <c r="I4477" s="41" t="str">
        <f aca="false">IF(F4477="","",IFERROR(IF(ISNUMBER(SEARCH(Assumptions!$C$5,F4477)),Assumptions!$D$5,IF(ISNUMBER(SEARCH(Assumptions!$C$6,F4477)),Assumptions!$D$6,IF(ISNUMBER(SEARCH(Assumptions!$C$7,F4477)),Assumptions!$D$7,"Other Services"))),"Other Services"))</f>
        <v/>
      </c>
    </row>
    <row r="4478" customFormat="false" ht="15" hidden="false" customHeight="false" outlineLevel="0" collapsed="false">
      <c r="I4478" s="41" t="str">
        <f aca="false">IF(F4478="","",IFERROR(IF(ISNUMBER(SEARCH(Assumptions!$C$5,F4478)),Assumptions!$D$5,IF(ISNUMBER(SEARCH(Assumptions!$C$6,F4478)),Assumptions!$D$6,IF(ISNUMBER(SEARCH(Assumptions!$C$7,F4478)),Assumptions!$D$7,"Other Services"))),"Other Services"))</f>
        <v/>
      </c>
    </row>
    <row r="4479" customFormat="false" ht="15" hidden="false" customHeight="false" outlineLevel="0" collapsed="false">
      <c r="I4479" s="41" t="str">
        <f aca="false">IF(F4479="","",IFERROR(IF(ISNUMBER(SEARCH(Assumptions!$C$5,F4479)),Assumptions!$D$5,IF(ISNUMBER(SEARCH(Assumptions!$C$6,F4479)),Assumptions!$D$6,IF(ISNUMBER(SEARCH(Assumptions!$C$7,F4479)),Assumptions!$D$7,"Other Services"))),"Other Services"))</f>
        <v/>
      </c>
    </row>
    <row r="4480" customFormat="false" ht="15" hidden="false" customHeight="false" outlineLevel="0" collapsed="false">
      <c r="I4480" s="41" t="str">
        <f aca="false">IF(F4480="","",IFERROR(IF(ISNUMBER(SEARCH(Assumptions!$C$5,F4480)),Assumptions!$D$5,IF(ISNUMBER(SEARCH(Assumptions!$C$6,F4480)),Assumptions!$D$6,IF(ISNUMBER(SEARCH(Assumptions!$C$7,F4480)),Assumptions!$D$7,"Other Services"))),"Other Services"))</f>
        <v/>
      </c>
    </row>
    <row r="4481" customFormat="false" ht="15" hidden="false" customHeight="false" outlineLevel="0" collapsed="false">
      <c r="I4481" s="41" t="str">
        <f aca="false">IF(F4481="","",IFERROR(IF(ISNUMBER(SEARCH(Assumptions!$C$5,F4481)),Assumptions!$D$5,IF(ISNUMBER(SEARCH(Assumptions!$C$6,F4481)),Assumptions!$D$6,IF(ISNUMBER(SEARCH(Assumptions!$C$7,F4481)),Assumptions!$D$7,"Other Services"))),"Other Services"))</f>
        <v/>
      </c>
    </row>
    <row r="4482" customFormat="false" ht="15" hidden="false" customHeight="false" outlineLevel="0" collapsed="false">
      <c r="I4482" s="41" t="str">
        <f aca="false">IF(F4482="","",IFERROR(IF(ISNUMBER(SEARCH(Assumptions!$C$5,F4482)),Assumptions!$D$5,IF(ISNUMBER(SEARCH(Assumptions!$C$6,F4482)),Assumptions!$D$6,IF(ISNUMBER(SEARCH(Assumptions!$C$7,F4482)),Assumptions!$D$7,"Other Services"))),"Other Services"))</f>
        <v/>
      </c>
    </row>
    <row r="4483" customFormat="false" ht="15" hidden="false" customHeight="false" outlineLevel="0" collapsed="false">
      <c r="I4483" s="41" t="str">
        <f aca="false">IF(F4483="","",IFERROR(IF(ISNUMBER(SEARCH(Assumptions!$C$5,F4483)),Assumptions!$D$5,IF(ISNUMBER(SEARCH(Assumptions!$C$6,F4483)),Assumptions!$D$6,IF(ISNUMBER(SEARCH(Assumptions!$C$7,F4483)),Assumptions!$D$7,"Other Services"))),"Other Services"))</f>
        <v/>
      </c>
    </row>
    <row r="4484" customFormat="false" ht="15" hidden="false" customHeight="false" outlineLevel="0" collapsed="false">
      <c r="I4484" s="41" t="str">
        <f aca="false">IF(F4484="","",IFERROR(IF(ISNUMBER(SEARCH(Assumptions!$C$5,F4484)),Assumptions!$D$5,IF(ISNUMBER(SEARCH(Assumptions!$C$6,F4484)),Assumptions!$D$6,IF(ISNUMBER(SEARCH(Assumptions!$C$7,F4484)),Assumptions!$D$7,"Other Services"))),"Other Services"))</f>
        <v/>
      </c>
    </row>
    <row r="4485" customFormat="false" ht="15" hidden="false" customHeight="false" outlineLevel="0" collapsed="false">
      <c r="I4485" s="41" t="str">
        <f aca="false">IF(F4485="","",IFERROR(IF(ISNUMBER(SEARCH(Assumptions!$C$5,F4485)),Assumptions!$D$5,IF(ISNUMBER(SEARCH(Assumptions!$C$6,F4485)),Assumptions!$D$6,IF(ISNUMBER(SEARCH(Assumptions!$C$7,F4485)),Assumptions!$D$7,"Other Services"))),"Other Services"))</f>
        <v/>
      </c>
    </row>
    <row r="4486" customFormat="false" ht="15" hidden="false" customHeight="false" outlineLevel="0" collapsed="false">
      <c r="I4486" s="41" t="str">
        <f aca="false">IF(F4486="","",IFERROR(IF(ISNUMBER(SEARCH(Assumptions!$C$5,F4486)),Assumptions!$D$5,IF(ISNUMBER(SEARCH(Assumptions!$C$6,F4486)),Assumptions!$D$6,IF(ISNUMBER(SEARCH(Assumptions!$C$7,F4486)),Assumptions!$D$7,"Other Services"))),"Other Services"))</f>
        <v/>
      </c>
    </row>
    <row r="4487" customFormat="false" ht="15" hidden="false" customHeight="false" outlineLevel="0" collapsed="false">
      <c r="I4487" s="41" t="str">
        <f aca="false">IF(F4487="","",IFERROR(IF(ISNUMBER(SEARCH(Assumptions!$C$5,F4487)),Assumptions!$D$5,IF(ISNUMBER(SEARCH(Assumptions!$C$6,F4487)),Assumptions!$D$6,IF(ISNUMBER(SEARCH(Assumptions!$C$7,F4487)),Assumptions!$D$7,"Other Services"))),"Other Services"))</f>
        <v/>
      </c>
    </row>
    <row r="4488" customFormat="false" ht="15" hidden="false" customHeight="false" outlineLevel="0" collapsed="false">
      <c r="I4488" s="41" t="str">
        <f aca="false">IF(F4488="","",IFERROR(IF(ISNUMBER(SEARCH(Assumptions!$C$5,F4488)),Assumptions!$D$5,IF(ISNUMBER(SEARCH(Assumptions!$C$6,F4488)),Assumptions!$D$6,IF(ISNUMBER(SEARCH(Assumptions!$C$7,F4488)),Assumptions!$D$7,"Other Services"))),"Other Services"))</f>
        <v/>
      </c>
    </row>
    <row r="4489" customFormat="false" ht="15" hidden="false" customHeight="false" outlineLevel="0" collapsed="false">
      <c r="I4489" s="41" t="str">
        <f aca="false">IF(F4489="","",IFERROR(IF(ISNUMBER(SEARCH(Assumptions!$C$5,F4489)),Assumptions!$D$5,IF(ISNUMBER(SEARCH(Assumptions!$C$6,F4489)),Assumptions!$D$6,IF(ISNUMBER(SEARCH(Assumptions!$C$7,F4489)),Assumptions!$D$7,"Other Services"))),"Other Services"))</f>
        <v/>
      </c>
    </row>
    <row r="4490" customFormat="false" ht="15" hidden="false" customHeight="false" outlineLevel="0" collapsed="false">
      <c r="I4490" s="41" t="str">
        <f aca="false">IF(F4490="","",IFERROR(IF(ISNUMBER(SEARCH(Assumptions!$C$5,F4490)),Assumptions!$D$5,IF(ISNUMBER(SEARCH(Assumptions!$C$6,F4490)),Assumptions!$D$6,IF(ISNUMBER(SEARCH(Assumptions!$C$7,F4490)),Assumptions!$D$7,"Other Services"))),"Other Services"))</f>
        <v/>
      </c>
    </row>
    <row r="4491" customFormat="false" ht="15" hidden="false" customHeight="false" outlineLevel="0" collapsed="false">
      <c r="I4491" s="41" t="str">
        <f aca="false">IF(F4491="","",IFERROR(IF(ISNUMBER(SEARCH(Assumptions!$C$5,F4491)),Assumptions!$D$5,IF(ISNUMBER(SEARCH(Assumptions!$C$6,F4491)),Assumptions!$D$6,IF(ISNUMBER(SEARCH(Assumptions!$C$7,F4491)),Assumptions!$D$7,"Other Services"))),"Other Services"))</f>
        <v/>
      </c>
    </row>
    <row r="4492" customFormat="false" ht="15" hidden="false" customHeight="false" outlineLevel="0" collapsed="false">
      <c r="I4492" s="41" t="str">
        <f aca="false">IF(F4492="","",IFERROR(IF(ISNUMBER(SEARCH(Assumptions!$C$5,F4492)),Assumptions!$D$5,IF(ISNUMBER(SEARCH(Assumptions!$C$6,F4492)),Assumptions!$D$6,IF(ISNUMBER(SEARCH(Assumptions!$C$7,F4492)),Assumptions!$D$7,"Other Services"))),"Other Services"))</f>
        <v/>
      </c>
    </row>
    <row r="4493" customFormat="false" ht="15" hidden="false" customHeight="false" outlineLevel="0" collapsed="false">
      <c r="I4493" s="41" t="str">
        <f aca="false">IF(F4493="","",IFERROR(IF(ISNUMBER(SEARCH(Assumptions!$C$5,F4493)),Assumptions!$D$5,IF(ISNUMBER(SEARCH(Assumptions!$C$6,F4493)),Assumptions!$D$6,IF(ISNUMBER(SEARCH(Assumptions!$C$7,F4493)),Assumptions!$D$7,"Other Services"))),"Other Services"))</f>
        <v/>
      </c>
    </row>
    <row r="4494" customFormat="false" ht="15" hidden="false" customHeight="false" outlineLevel="0" collapsed="false">
      <c r="I4494" s="41" t="str">
        <f aca="false">IF(F4494="","",IFERROR(IF(ISNUMBER(SEARCH(Assumptions!$C$5,F4494)),Assumptions!$D$5,IF(ISNUMBER(SEARCH(Assumptions!$C$6,F4494)),Assumptions!$D$6,IF(ISNUMBER(SEARCH(Assumptions!$C$7,F4494)),Assumptions!$D$7,"Other Services"))),"Other Services"))</f>
        <v/>
      </c>
    </row>
    <row r="4495" customFormat="false" ht="15" hidden="false" customHeight="false" outlineLevel="0" collapsed="false">
      <c r="I4495" s="41" t="str">
        <f aca="false">IF(F4495="","",IFERROR(IF(ISNUMBER(SEARCH(Assumptions!$C$5,F4495)),Assumptions!$D$5,IF(ISNUMBER(SEARCH(Assumptions!$C$6,F4495)),Assumptions!$D$6,IF(ISNUMBER(SEARCH(Assumptions!$C$7,F4495)),Assumptions!$D$7,"Other Services"))),"Other Services"))</f>
        <v/>
      </c>
    </row>
    <row r="4496" customFormat="false" ht="15" hidden="false" customHeight="false" outlineLevel="0" collapsed="false">
      <c r="I4496" s="41" t="str">
        <f aca="false">IF(F4496="","",IFERROR(IF(ISNUMBER(SEARCH(Assumptions!$C$5,F4496)),Assumptions!$D$5,IF(ISNUMBER(SEARCH(Assumptions!$C$6,F4496)),Assumptions!$D$6,IF(ISNUMBER(SEARCH(Assumptions!$C$7,F4496)),Assumptions!$D$7,"Other Services"))),"Other Services"))</f>
        <v/>
      </c>
    </row>
    <row r="4497" customFormat="false" ht="15" hidden="false" customHeight="false" outlineLevel="0" collapsed="false">
      <c r="I4497" s="41" t="str">
        <f aca="false">IF(F4497="","",IFERROR(IF(ISNUMBER(SEARCH(Assumptions!$C$5,F4497)),Assumptions!$D$5,IF(ISNUMBER(SEARCH(Assumptions!$C$6,F4497)),Assumptions!$D$6,IF(ISNUMBER(SEARCH(Assumptions!$C$7,F4497)),Assumptions!$D$7,"Other Services"))),"Other Services"))</f>
        <v/>
      </c>
    </row>
    <row r="4498" customFormat="false" ht="15" hidden="false" customHeight="false" outlineLevel="0" collapsed="false">
      <c r="I4498" s="41" t="str">
        <f aca="false">IF(F4498="","",IFERROR(IF(ISNUMBER(SEARCH(Assumptions!$C$5,F4498)),Assumptions!$D$5,IF(ISNUMBER(SEARCH(Assumptions!$C$6,F4498)),Assumptions!$D$6,IF(ISNUMBER(SEARCH(Assumptions!$C$7,F4498)),Assumptions!$D$7,"Other Services"))),"Other Services"))</f>
        <v/>
      </c>
    </row>
    <row r="4499" customFormat="false" ht="15" hidden="false" customHeight="false" outlineLevel="0" collapsed="false">
      <c r="I4499" s="41" t="str">
        <f aca="false">IF(F4499="","",IFERROR(IF(ISNUMBER(SEARCH(Assumptions!$C$5,F4499)),Assumptions!$D$5,IF(ISNUMBER(SEARCH(Assumptions!$C$6,F4499)),Assumptions!$D$6,IF(ISNUMBER(SEARCH(Assumptions!$C$7,F4499)),Assumptions!$D$7,"Other Services"))),"Other Services"))</f>
        <v/>
      </c>
    </row>
    <row r="4500" customFormat="false" ht="15" hidden="false" customHeight="false" outlineLevel="0" collapsed="false">
      <c r="I4500" s="41" t="str">
        <f aca="false">IF(F4500="","",IFERROR(IF(ISNUMBER(SEARCH(Assumptions!$C$5,F4500)),Assumptions!$D$5,IF(ISNUMBER(SEARCH(Assumptions!$C$6,F4500)),Assumptions!$D$6,IF(ISNUMBER(SEARCH(Assumptions!$C$7,F4500)),Assumptions!$D$7,"Other Services"))),"Other Services"))</f>
        <v/>
      </c>
    </row>
    <row r="4501" customFormat="false" ht="15" hidden="false" customHeight="false" outlineLevel="0" collapsed="false">
      <c r="I4501" s="41" t="str">
        <f aca="false">IF(F4501="","",IFERROR(IF(ISNUMBER(SEARCH(Assumptions!$C$5,F4501)),Assumptions!$D$5,IF(ISNUMBER(SEARCH(Assumptions!$C$6,F4501)),Assumptions!$D$6,IF(ISNUMBER(SEARCH(Assumptions!$C$7,F4501)),Assumptions!$D$7,"Other Services"))),"Other Services"))</f>
        <v/>
      </c>
    </row>
    <row r="4502" customFormat="false" ht="15" hidden="false" customHeight="false" outlineLevel="0" collapsed="false">
      <c r="I4502" s="41" t="str">
        <f aca="false">IF(F4502="","",IFERROR(IF(ISNUMBER(SEARCH(Assumptions!$C$5,F4502)),Assumptions!$D$5,IF(ISNUMBER(SEARCH(Assumptions!$C$6,F4502)),Assumptions!$D$6,IF(ISNUMBER(SEARCH(Assumptions!$C$7,F4502)),Assumptions!$D$7,"Other Services"))),"Other Services"))</f>
        <v/>
      </c>
    </row>
    <row r="4503" customFormat="false" ht="15" hidden="false" customHeight="false" outlineLevel="0" collapsed="false">
      <c r="I4503" s="41" t="str">
        <f aca="false">IF(F4503="","",IFERROR(IF(ISNUMBER(SEARCH(Assumptions!$C$5,F4503)),Assumptions!$D$5,IF(ISNUMBER(SEARCH(Assumptions!$C$6,F4503)),Assumptions!$D$6,IF(ISNUMBER(SEARCH(Assumptions!$C$7,F4503)),Assumptions!$D$7,"Other Services"))),"Other Services"))</f>
        <v/>
      </c>
    </row>
    <row r="4504" customFormat="false" ht="15" hidden="false" customHeight="false" outlineLevel="0" collapsed="false">
      <c r="I4504" s="41" t="str">
        <f aca="false">IF(F4504="","",IFERROR(IF(ISNUMBER(SEARCH(Assumptions!$C$5,F4504)),Assumptions!$D$5,IF(ISNUMBER(SEARCH(Assumptions!$C$6,F4504)),Assumptions!$D$6,IF(ISNUMBER(SEARCH(Assumptions!$C$7,F4504)),Assumptions!$D$7,"Other Services"))),"Other Services"))</f>
        <v/>
      </c>
    </row>
    <row r="4505" customFormat="false" ht="15" hidden="false" customHeight="false" outlineLevel="0" collapsed="false">
      <c r="I4505" s="41" t="str">
        <f aca="false">IF(F4505="","",IFERROR(IF(ISNUMBER(SEARCH(Assumptions!$C$5,F4505)),Assumptions!$D$5,IF(ISNUMBER(SEARCH(Assumptions!$C$6,F4505)),Assumptions!$D$6,IF(ISNUMBER(SEARCH(Assumptions!$C$7,F4505)),Assumptions!$D$7,"Other Services"))),"Other Services"))</f>
        <v/>
      </c>
    </row>
    <row r="4506" customFormat="false" ht="15" hidden="false" customHeight="false" outlineLevel="0" collapsed="false">
      <c r="I4506" s="41" t="str">
        <f aca="false">IF(F4506="","",IFERROR(IF(ISNUMBER(SEARCH(Assumptions!$C$5,F4506)),Assumptions!$D$5,IF(ISNUMBER(SEARCH(Assumptions!$C$6,F4506)),Assumptions!$D$6,IF(ISNUMBER(SEARCH(Assumptions!$C$7,F4506)),Assumptions!$D$7,"Other Services"))),"Other Services"))</f>
        <v/>
      </c>
    </row>
    <row r="4507" customFormat="false" ht="15" hidden="false" customHeight="false" outlineLevel="0" collapsed="false">
      <c r="I4507" s="41" t="str">
        <f aca="false">IF(F4507="","",IFERROR(IF(ISNUMBER(SEARCH(Assumptions!$C$5,F4507)),Assumptions!$D$5,IF(ISNUMBER(SEARCH(Assumptions!$C$6,F4507)),Assumptions!$D$6,IF(ISNUMBER(SEARCH(Assumptions!$C$7,F4507)),Assumptions!$D$7,"Other Services"))),"Other Services"))</f>
        <v/>
      </c>
    </row>
    <row r="4508" customFormat="false" ht="15" hidden="false" customHeight="false" outlineLevel="0" collapsed="false">
      <c r="I4508" s="41" t="str">
        <f aca="false">IF(F4508="","",IFERROR(IF(ISNUMBER(SEARCH(Assumptions!$C$5,F4508)),Assumptions!$D$5,IF(ISNUMBER(SEARCH(Assumptions!$C$6,F4508)),Assumptions!$D$6,IF(ISNUMBER(SEARCH(Assumptions!$C$7,F4508)),Assumptions!$D$7,"Other Services"))),"Other Services"))</f>
        <v/>
      </c>
    </row>
    <row r="4509" customFormat="false" ht="15" hidden="false" customHeight="false" outlineLevel="0" collapsed="false">
      <c r="I4509" s="41" t="str">
        <f aca="false">IF(F4509="","",IFERROR(IF(ISNUMBER(SEARCH(Assumptions!$C$5,F4509)),Assumptions!$D$5,IF(ISNUMBER(SEARCH(Assumptions!$C$6,F4509)),Assumptions!$D$6,IF(ISNUMBER(SEARCH(Assumptions!$C$7,F4509)),Assumptions!$D$7,"Other Services"))),"Other Services"))</f>
        <v/>
      </c>
    </row>
    <row r="4510" customFormat="false" ht="15" hidden="false" customHeight="false" outlineLevel="0" collapsed="false">
      <c r="I4510" s="41" t="str">
        <f aca="false">IF(F4510="","",IFERROR(IF(ISNUMBER(SEARCH(Assumptions!$C$5,F4510)),Assumptions!$D$5,IF(ISNUMBER(SEARCH(Assumptions!$C$6,F4510)),Assumptions!$D$6,IF(ISNUMBER(SEARCH(Assumptions!$C$7,F4510)),Assumptions!$D$7,"Other Services"))),"Other Services"))</f>
        <v/>
      </c>
    </row>
    <row r="4511" customFormat="false" ht="15" hidden="false" customHeight="false" outlineLevel="0" collapsed="false">
      <c r="I4511" s="41" t="str">
        <f aca="false">IF(F4511="","",IFERROR(IF(ISNUMBER(SEARCH(Assumptions!$C$5,F4511)),Assumptions!$D$5,IF(ISNUMBER(SEARCH(Assumptions!$C$6,F4511)),Assumptions!$D$6,IF(ISNUMBER(SEARCH(Assumptions!$C$7,F4511)),Assumptions!$D$7,"Other Services"))),"Other Services"))</f>
        <v/>
      </c>
    </row>
    <row r="4512" customFormat="false" ht="15" hidden="false" customHeight="false" outlineLevel="0" collapsed="false">
      <c r="I4512" s="41" t="str">
        <f aca="false">IF(F4512="","",IFERROR(IF(ISNUMBER(SEARCH(Assumptions!$C$5,F4512)),Assumptions!$D$5,IF(ISNUMBER(SEARCH(Assumptions!$C$6,F4512)),Assumptions!$D$6,IF(ISNUMBER(SEARCH(Assumptions!$C$7,F4512)),Assumptions!$D$7,"Other Services"))),"Other Services"))</f>
        <v/>
      </c>
    </row>
    <row r="4513" customFormat="false" ht="15" hidden="false" customHeight="false" outlineLevel="0" collapsed="false">
      <c r="I4513" s="41" t="str">
        <f aca="false">IF(F4513="","",IFERROR(IF(ISNUMBER(SEARCH(Assumptions!$C$5,F4513)),Assumptions!$D$5,IF(ISNUMBER(SEARCH(Assumptions!$C$6,F4513)),Assumptions!$D$6,IF(ISNUMBER(SEARCH(Assumptions!$C$7,F4513)),Assumptions!$D$7,"Other Services"))),"Other Services"))</f>
        <v/>
      </c>
    </row>
    <row r="4514" customFormat="false" ht="15" hidden="false" customHeight="false" outlineLevel="0" collapsed="false">
      <c r="I4514" s="41" t="str">
        <f aca="false">IF(F4514="","",IFERROR(IF(ISNUMBER(SEARCH(Assumptions!$C$5,F4514)),Assumptions!$D$5,IF(ISNUMBER(SEARCH(Assumptions!$C$6,F4514)),Assumptions!$D$6,IF(ISNUMBER(SEARCH(Assumptions!$C$7,F4514)),Assumptions!$D$7,"Other Services"))),"Other Services"))</f>
        <v/>
      </c>
    </row>
    <row r="4515" customFormat="false" ht="15" hidden="false" customHeight="false" outlineLevel="0" collapsed="false">
      <c r="I4515" s="41" t="str">
        <f aca="false">IF(F4515="","",IFERROR(IF(ISNUMBER(SEARCH(Assumptions!$C$5,F4515)),Assumptions!$D$5,IF(ISNUMBER(SEARCH(Assumptions!$C$6,F4515)),Assumptions!$D$6,IF(ISNUMBER(SEARCH(Assumptions!$C$7,F4515)),Assumptions!$D$7,"Other Services"))),"Other Services"))</f>
        <v/>
      </c>
    </row>
    <row r="4516" customFormat="false" ht="15" hidden="false" customHeight="false" outlineLevel="0" collapsed="false">
      <c r="I4516" s="41" t="str">
        <f aca="false">IF(F4516="","",IFERROR(IF(ISNUMBER(SEARCH(Assumptions!$C$5,F4516)),Assumptions!$D$5,IF(ISNUMBER(SEARCH(Assumptions!$C$6,F4516)),Assumptions!$D$6,IF(ISNUMBER(SEARCH(Assumptions!$C$7,F4516)),Assumptions!$D$7,"Other Services"))),"Other Services"))</f>
        <v/>
      </c>
    </row>
    <row r="4517" customFormat="false" ht="15" hidden="false" customHeight="false" outlineLevel="0" collapsed="false">
      <c r="I4517" s="41" t="str">
        <f aca="false">IF(F4517="","",IFERROR(IF(ISNUMBER(SEARCH(Assumptions!$C$5,F4517)),Assumptions!$D$5,IF(ISNUMBER(SEARCH(Assumptions!$C$6,F4517)),Assumptions!$D$6,IF(ISNUMBER(SEARCH(Assumptions!$C$7,F4517)),Assumptions!$D$7,"Other Services"))),"Other Services"))</f>
        <v/>
      </c>
    </row>
    <row r="4518" customFormat="false" ht="15" hidden="false" customHeight="false" outlineLevel="0" collapsed="false">
      <c r="I4518" s="41" t="str">
        <f aca="false">IF(F4518="","",IFERROR(IF(ISNUMBER(SEARCH(Assumptions!$C$5,F4518)),Assumptions!$D$5,IF(ISNUMBER(SEARCH(Assumptions!$C$6,F4518)),Assumptions!$D$6,IF(ISNUMBER(SEARCH(Assumptions!$C$7,F4518)),Assumptions!$D$7,"Other Services"))),"Other Services"))</f>
        <v/>
      </c>
    </row>
    <row r="4519" customFormat="false" ht="15" hidden="false" customHeight="false" outlineLevel="0" collapsed="false">
      <c r="I4519" s="41" t="str">
        <f aca="false">IF(F4519="","",IFERROR(IF(ISNUMBER(SEARCH(Assumptions!$C$5,F4519)),Assumptions!$D$5,IF(ISNUMBER(SEARCH(Assumptions!$C$6,F4519)),Assumptions!$D$6,IF(ISNUMBER(SEARCH(Assumptions!$C$7,F4519)),Assumptions!$D$7,"Other Services"))),"Other Services"))</f>
        <v/>
      </c>
    </row>
    <row r="4520" customFormat="false" ht="15" hidden="false" customHeight="false" outlineLevel="0" collapsed="false">
      <c r="I4520" s="41" t="str">
        <f aca="false">IF(F4520="","",IFERROR(IF(ISNUMBER(SEARCH(Assumptions!$C$5,F4520)),Assumptions!$D$5,IF(ISNUMBER(SEARCH(Assumptions!$C$6,F4520)),Assumptions!$D$6,IF(ISNUMBER(SEARCH(Assumptions!$C$7,F4520)),Assumptions!$D$7,"Other Services"))),"Other Services"))</f>
        <v/>
      </c>
    </row>
    <row r="4521" customFormat="false" ht="15" hidden="false" customHeight="false" outlineLevel="0" collapsed="false">
      <c r="I4521" s="41" t="str">
        <f aca="false">IF(F4521="","",IFERROR(IF(ISNUMBER(SEARCH(Assumptions!$C$5,F4521)),Assumptions!$D$5,IF(ISNUMBER(SEARCH(Assumptions!$C$6,F4521)),Assumptions!$D$6,IF(ISNUMBER(SEARCH(Assumptions!$C$7,F4521)),Assumptions!$D$7,"Other Services"))),"Other Services"))</f>
        <v/>
      </c>
    </row>
    <row r="4522" customFormat="false" ht="15" hidden="false" customHeight="false" outlineLevel="0" collapsed="false">
      <c r="I4522" s="41" t="str">
        <f aca="false">IF(F4522="","",IFERROR(IF(ISNUMBER(SEARCH(Assumptions!$C$5,F4522)),Assumptions!$D$5,IF(ISNUMBER(SEARCH(Assumptions!$C$6,F4522)),Assumptions!$D$6,IF(ISNUMBER(SEARCH(Assumptions!$C$7,F4522)),Assumptions!$D$7,"Other Services"))),"Other Services"))</f>
        <v/>
      </c>
    </row>
    <row r="4523" customFormat="false" ht="15" hidden="false" customHeight="false" outlineLevel="0" collapsed="false">
      <c r="I4523" s="41" t="str">
        <f aca="false">IF(F4523="","",IFERROR(IF(ISNUMBER(SEARCH(Assumptions!$C$5,F4523)),Assumptions!$D$5,IF(ISNUMBER(SEARCH(Assumptions!$C$6,F4523)),Assumptions!$D$6,IF(ISNUMBER(SEARCH(Assumptions!$C$7,F4523)),Assumptions!$D$7,"Other Services"))),"Other Services"))</f>
        <v/>
      </c>
    </row>
    <row r="4524" customFormat="false" ht="15" hidden="false" customHeight="false" outlineLevel="0" collapsed="false">
      <c r="I4524" s="41" t="str">
        <f aca="false">IF(F4524="","",IFERROR(IF(ISNUMBER(SEARCH(Assumptions!$C$5,F4524)),Assumptions!$D$5,IF(ISNUMBER(SEARCH(Assumptions!$C$6,F4524)),Assumptions!$D$6,IF(ISNUMBER(SEARCH(Assumptions!$C$7,F4524)),Assumptions!$D$7,"Other Services"))),"Other Services"))</f>
        <v/>
      </c>
    </row>
    <row r="4525" customFormat="false" ht="15" hidden="false" customHeight="false" outlineLevel="0" collapsed="false">
      <c r="I4525" s="41" t="str">
        <f aca="false">IF(F4525="","",IFERROR(IF(ISNUMBER(SEARCH(Assumptions!$C$5,F4525)),Assumptions!$D$5,IF(ISNUMBER(SEARCH(Assumptions!$C$6,F4525)),Assumptions!$D$6,IF(ISNUMBER(SEARCH(Assumptions!$C$7,F4525)),Assumptions!$D$7,"Other Services"))),"Other Services"))</f>
        <v/>
      </c>
    </row>
    <row r="4526" customFormat="false" ht="15" hidden="false" customHeight="false" outlineLevel="0" collapsed="false">
      <c r="I4526" s="41" t="str">
        <f aca="false">IF(F4526="","",IFERROR(IF(ISNUMBER(SEARCH(Assumptions!$C$5,F4526)),Assumptions!$D$5,IF(ISNUMBER(SEARCH(Assumptions!$C$6,F4526)),Assumptions!$D$6,IF(ISNUMBER(SEARCH(Assumptions!$C$7,F4526)),Assumptions!$D$7,"Other Services"))),"Other Services"))</f>
        <v/>
      </c>
    </row>
    <row r="4527" customFormat="false" ht="15" hidden="false" customHeight="false" outlineLevel="0" collapsed="false">
      <c r="I4527" s="41" t="str">
        <f aca="false">IF(F4527="","",IFERROR(IF(ISNUMBER(SEARCH(Assumptions!$C$5,F4527)),Assumptions!$D$5,IF(ISNUMBER(SEARCH(Assumptions!$C$6,F4527)),Assumptions!$D$6,IF(ISNUMBER(SEARCH(Assumptions!$C$7,F4527)),Assumptions!$D$7,"Other Services"))),"Other Services"))</f>
        <v/>
      </c>
    </row>
    <row r="4528" customFormat="false" ht="15" hidden="false" customHeight="false" outlineLevel="0" collapsed="false">
      <c r="I4528" s="41" t="str">
        <f aca="false">IF(F4528="","",IFERROR(IF(ISNUMBER(SEARCH(Assumptions!$C$5,F4528)),Assumptions!$D$5,IF(ISNUMBER(SEARCH(Assumptions!$C$6,F4528)),Assumptions!$D$6,IF(ISNUMBER(SEARCH(Assumptions!$C$7,F4528)),Assumptions!$D$7,"Other Services"))),"Other Services"))</f>
        <v/>
      </c>
    </row>
    <row r="4529" customFormat="false" ht="15" hidden="false" customHeight="false" outlineLevel="0" collapsed="false">
      <c r="I4529" s="41" t="str">
        <f aca="false">IF(F4529="","",IFERROR(IF(ISNUMBER(SEARCH(Assumptions!$C$5,F4529)),Assumptions!$D$5,IF(ISNUMBER(SEARCH(Assumptions!$C$6,F4529)),Assumptions!$D$6,IF(ISNUMBER(SEARCH(Assumptions!$C$7,F4529)),Assumptions!$D$7,"Other Services"))),"Other Services"))</f>
        <v/>
      </c>
    </row>
    <row r="4530" customFormat="false" ht="15" hidden="false" customHeight="false" outlineLevel="0" collapsed="false">
      <c r="I4530" s="41" t="str">
        <f aca="false">IF(F4530="","",IFERROR(IF(ISNUMBER(SEARCH(Assumptions!$C$5,F4530)),Assumptions!$D$5,IF(ISNUMBER(SEARCH(Assumptions!$C$6,F4530)),Assumptions!$D$6,IF(ISNUMBER(SEARCH(Assumptions!$C$7,F4530)),Assumptions!$D$7,"Other Services"))),"Other Services"))</f>
        <v/>
      </c>
    </row>
    <row r="4531" customFormat="false" ht="15" hidden="false" customHeight="false" outlineLevel="0" collapsed="false">
      <c r="I4531" s="41" t="str">
        <f aca="false">IF(F4531="","",IFERROR(IF(ISNUMBER(SEARCH(Assumptions!$C$5,F4531)),Assumptions!$D$5,IF(ISNUMBER(SEARCH(Assumptions!$C$6,F4531)),Assumptions!$D$6,IF(ISNUMBER(SEARCH(Assumptions!$C$7,F4531)),Assumptions!$D$7,"Other Services"))),"Other Services"))</f>
        <v/>
      </c>
    </row>
    <row r="4532" customFormat="false" ht="15" hidden="false" customHeight="false" outlineLevel="0" collapsed="false">
      <c r="I4532" s="41" t="str">
        <f aca="false">IF(F4532="","",IFERROR(IF(ISNUMBER(SEARCH(Assumptions!$C$5,F4532)),Assumptions!$D$5,IF(ISNUMBER(SEARCH(Assumptions!$C$6,F4532)),Assumptions!$D$6,IF(ISNUMBER(SEARCH(Assumptions!$C$7,F4532)),Assumptions!$D$7,"Other Services"))),"Other Services"))</f>
        <v/>
      </c>
    </row>
    <row r="4533" customFormat="false" ht="15" hidden="false" customHeight="false" outlineLevel="0" collapsed="false">
      <c r="I4533" s="41" t="str">
        <f aca="false">IF(F4533="","",IFERROR(IF(ISNUMBER(SEARCH(Assumptions!$C$5,F4533)),Assumptions!$D$5,IF(ISNUMBER(SEARCH(Assumptions!$C$6,F4533)),Assumptions!$D$6,IF(ISNUMBER(SEARCH(Assumptions!$C$7,F4533)),Assumptions!$D$7,"Other Services"))),"Other Services"))</f>
        <v/>
      </c>
    </row>
    <row r="4534" customFormat="false" ht="15" hidden="false" customHeight="false" outlineLevel="0" collapsed="false">
      <c r="I4534" s="41" t="str">
        <f aca="false">IF(F4534="","",IFERROR(IF(ISNUMBER(SEARCH(Assumptions!$C$5,F4534)),Assumptions!$D$5,IF(ISNUMBER(SEARCH(Assumptions!$C$6,F4534)),Assumptions!$D$6,IF(ISNUMBER(SEARCH(Assumptions!$C$7,F4534)),Assumptions!$D$7,"Other Services"))),"Other Services"))</f>
        <v/>
      </c>
    </row>
    <row r="4535" customFormat="false" ht="15" hidden="false" customHeight="false" outlineLevel="0" collapsed="false">
      <c r="I4535" s="41" t="str">
        <f aca="false">IF(F4535="","",IFERROR(IF(ISNUMBER(SEARCH(Assumptions!$C$5,F4535)),Assumptions!$D$5,IF(ISNUMBER(SEARCH(Assumptions!$C$6,F4535)),Assumptions!$D$6,IF(ISNUMBER(SEARCH(Assumptions!$C$7,F4535)),Assumptions!$D$7,"Other Services"))),"Other Services"))</f>
        <v/>
      </c>
    </row>
    <row r="4536" customFormat="false" ht="15" hidden="false" customHeight="false" outlineLevel="0" collapsed="false">
      <c r="I4536" s="41" t="str">
        <f aca="false">IF(F4536="","",IFERROR(IF(ISNUMBER(SEARCH(Assumptions!$C$5,F4536)),Assumptions!$D$5,IF(ISNUMBER(SEARCH(Assumptions!$C$6,F4536)),Assumptions!$D$6,IF(ISNUMBER(SEARCH(Assumptions!$C$7,F4536)),Assumptions!$D$7,"Other Services"))),"Other Services"))</f>
        <v/>
      </c>
    </row>
    <row r="4537" customFormat="false" ht="15" hidden="false" customHeight="false" outlineLevel="0" collapsed="false">
      <c r="I4537" s="41" t="str">
        <f aca="false">IF(F4537="","",IFERROR(IF(ISNUMBER(SEARCH(Assumptions!$C$5,F4537)),Assumptions!$D$5,IF(ISNUMBER(SEARCH(Assumptions!$C$6,F4537)),Assumptions!$D$6,IF(ISNUMBER(SEARCH(Assumptions!$C$7,F4537)),Assumptions!$D$7,"Other Services"))),"Other Services"))</f>
        <v/>
      </c>
    </row>
    <row r="4538" customFormat="false" ht="15" hidden="false" customHeight="false" outlineLevel="0" collapsed="false">
      <c r="I4538" s="41" t="str">
        <f aca="false">IF(F4538="","",IFERROR(IF(ISNUMBER(SEARCH(Assumptions!$C$5,F4538)),Assumptions!$D$5,IF(ISNUMBER(SEARCH(Assumptions!$C$6,F4538)),Assumptions!$D$6,IF(ISNUMBER(SEARCH(Assumptions!$C$7,F4538)),Assumptions!$D$7,"Other Services"))),"Other Services"))</f>
        <v/>
      </c>
    </row>
    <row r="4539" customFormat="false" ht="15" hidden="false" customHeight="false" outlineLevel="0" collapsed="false">
      <c r="I4539" s="41" t="str">
        <f aca="false">IF(F4539="","",IFERROR(IF(ISNUMBER(SEARCH(Assumptions!$C$5,F4539)),Assumptions!$D$5,IF(ISNUMBER(SEARCH(Assumptions!$C$6,F4539)),Assumptions!$D$6,IF(ISNUMBER(SEARCH(Assumptions!$C$7,F4539)),Assumptions!$D$7,"Other Services"))),"Other Services"))</f>
        <v/>
      </c>
    </row>
    <row r="4540" customFormat="false" ht="15" hidden="false" customHeight="false" outlineLevel="0" collapsed="false">
      <c r="I4540" s="41" t="str">
        <f aca="false">IF(F4540="","",IFERROR(IF(ISNUMBER(SEARCH(Assumptions!$C$5,F4540)),Assumptions!$D$5,IF(ISNUMBER(SEARCH(Assumptions!$C$6,F4540)),Assumptions!$D$6,IF(ISNUMBER(SEARCH(Assumptions!$C$7,F4540)),Assumptions!$D$7,"Other Services"))),"Other Services"))</f>
        <v/>
      </c>
    </row>
    <row r="4541" customFormat="false" ht="15" hidden="false" customHeight="false" outlineLevel="0" collapsed="false">
      <c r="I4541" s="41" t="str">
        <f aca="false">IF(F4541="","",IFERROR(IF(ISNUMBER(SEARCH(Assumptions!$C$5,F4541)),Assumptions!$D$5,IF(ISNUMBER(SEARCH(Assumptions!$C$6,F4541)),Assumptions!$D$6,IF(ISNUMBER(SEARCH(Assumptions!$C$7,F4541)),Assumptions!$D$7,"Other Services"))),"Other Services"))</f>
        <v/>
      </c>
    </row>
    <row r="4542" customFormat="false" ht="15" hidden="false" customHeight="false" outlineLevel="0" collapsed="false">
      <c r="I4542" s="41" t="str">
        <f aca="false">IF(F4542="","",IFERROR(IF(ISNUMBER(SEARCH(Assumptions!$C$5,F4542)),Assumptions!$D$5,IF(ISNUMBER(SEARCH(Assumptions!$C$6,F4542)),Assumptions!$D$6,IF(ISNUMBER(SEARCH(Assumptions!$C$7,F4542)),Assumptions!$D$7,"Other Services"))),"Other Services"))</f>
        <v/>
      </c>
    </row>
    <row r="4543" customFormat="false" ht="15" hidden="false" customHeight="false" outlineLevel="0" collapsed="false">
      <c r="I4543" s="41" t="str">
        <f aca="false">IF(F4543="","",IFERROR(IF(ISNUMBER(SEARCH(Assumptions!$C$5,F4543)),Assumptions!$D$5,IF(ISNUMBER(SEARCH(Assumptions!$C$6,F4543)),Assumptions!$D$6,IF(ISNUMBER(SEARCH(Assumptions!$C$7,F4543)),Assumptions!$D$7,"Other Services"))),"Other Services"))</f>
        <v/>
      </c>
    </row>
    <row r="4544" customFormat="false" ht="15" hidden="false" customHeight="false" outlineLevel="0" collapsed="false">
      <c r="I4544" s="41" t="str">
        <f aca="false">IF(F4544="","",IFERROR(IF(ISNUMBER(SEARCH(Assumptions!$C$5,F4544)),Assumptions!$D$5,IF(ISNUMBER(SEARCH(Assumptions!$C$6,F4544)),Assumptions!$D$6,IF(ISNUMBER(SEARCH(Assumptions!$C$7,F4544)),Assumptions!$D$7,"Other Services"))),"Other Services"))</f>
        <v/>
      </c>
    </row>
    <row r="4545" customFormat="false" ht="15" hidden="false" customHeight="false" outlineLevel="0" collapsed="false">
      <c r="I4545" s="41" t="str">
        <f aca="false">IF(F4545="","",IFERROR(IF(ISNUMBER(SEARCH(Assumptions!$C$5,F4545)),Assumptions!$D$5,IF(ISNUMBER(SEARCH(Assumptions!$C$6,F4545)),Assumptions!$D$6,IF(ISNUMBER(SEARCH(Assumptions!$C$7,F4545)),Assumptions!$D$7,"Other Services"))),"Other Services"))</f>
        <v/>
      </c>
    </row>
    <row r="4546" customFormat="false" ht="15" hidden="false" customHeight="false" outlineLevel="0" collapsed="false">
      <c r="I4546" s="41" t="str">
        <f aca="false">IF(F4546="","",IFERROR(IF(ISNUMBER(SEARCH(Assumptions!$C$5,F4546)),Assumptions!$D$5,IF(ISNUMBER(SEARCH(Assumptions!$C$6,F4546)),Assumptions!$D$6,IF(ISNUMBER(SEARCH(Assumptions!$C$7,F4546)),Assumptions!$D$7,"Other Services"))),"Other Services"))</f>
        <v/>
      </c>
    </row>
    <row r="4547" customFormat="false" ht="15" hidden="false" customHeight="false" outlineLevel="0" collapsed="false">
      <c r="I4547" s="41" t="str">
        <f aca="false">IF(F4547="","",IFERROR(IF(ISNUMBER(SEARCH(Assumptions!$C$5,F4547)),Assumptions!$D$5,IF(ISNUMBER(SEARCH(Assumptions!$C$6,F4547)),Assumptions!$D$6,IF(ISNUMBER(SEARCH(Assumptions!$C$7,F4547)),Assumptions!$D$7,"Other Services"))),"Other Services"))</f>
        <v/>
      </c>
    </row>
    <row r="4548" customFormat="false" ht="15" hidden="false" customHeight="false" outlineLevel="0" collapsed="false">
      <c r="I4548" s="41" t="str">
        <f aca="false">IF(F4548="","",IFERROR(IF(ISNUMBER(SEARCH(Assumptions!$C$5,F4548)),Assumptions!$D$5,IF(ISNUMBER(SEARCH(Assumptions!$C$6,F4548)),Assumptions!$D$6,IF(ISNUMBER(SEARCH(Assumptions!$C$7,F4548)),Assumptions!$D$7,"Other Services"))),"Other Services"))</f>
        <v/>
      </c>
    </row>
    <row r="4549" customFormat="false" ht="15" hidden="false" customHeight="false" outlineLevel="0" collapsed="false">
      <c r="I4549" s="41" t="str">
        <f aca="false">IF(F4549="","",IFERROR(IF(ISNUMBER(SEARCH(Assumptions!$C$5,F4549)),Assumptions!$D$5,IF(ISNUMBER(SEARCH(Assumptions!$C$6,F4549)),Assumptions!$D$6,IF(ISNUMBER(SEARCH(Assumptions!$C$7,F4549)),Assumptions!$D$7,"Other Services"))),"Other Services"))</f>
        <v/>
      </c>
    </row>
    <row r="4550" customFormat="false" ht="15" hidden="false" customHeight="false" outlineLevel="0" collapsed="false">
      <c r="I4550" s="41" t="str">
        <f aca="false">IF(F4550="","",IFERROR(IF(ISNUMBER(SEARCH(Assumptions!$C$5,F4550)),Assumptions!$D$5,IF(ISNUMBER(SEARCH(Assumptions!$C$6,F4550)),Assumptions!$D$6,IF(ISNUMBER(SEARCH(Assumptions!$C$7,F4550)),Assumptions!$D$7,"Other Services"))),"Other Services"))</f>
        <v/>
      </c>
    </row>
    <row r="4551" customFormat="false" ht="15" hidden="false" customHeight="false" outlineLevel="0" collapsed="false">
      <c r="I4551" s="41" t="str">
        <f aca="false">IF(F4551="","",IFERROR(IF(ISNUMBER(SEARCH(Assumptions!$C$5,F4551)),Assumptions!$D$5,IF(ISNUMBER(SEARCH(Assumptions!$C$6,F4551)),Assumptions!$D$6,IF(ISNUMBER(SEARCH(Assumptions!$C$7,F4551)),Assumptions!$D$7,"Other Services"))),"Other Services"))</f>
        <v/>
      </c>
    </row>
    <row r="4552" customFormat="false" ht="15" hidden="false" customHeight="false" outlineLevel="0" collapsed="false">
      <c r="I4552" s="41" t="str">
        <f aca="false">IF(F4552="","",IFERROR(IF(ISNUMBER(SEARCH(Assumptions!$C$5,F4552)),Assumptions!$D$5,IF(ISNUMBER(SEARCH(Assumptions!$C$6,F4552)),Assumptions!$D$6,IF(ISNUMBER(SEARCH(Assumptions!$C$7,F4552)),Assumptions!$D$7,"Other Services"))),"Other Services"))</f>
        <v/>
      </c>
    </row>
    <row r="4553" customFormat="false" ht="15" hidden="false" customHeight="false" outlineLevel="0" collapsed="false">
      <c r="I4553" s="41" t="str">
        <f aca="false">IF(F4553="","",IFERROR(IF(ISNUMBER(SEARCH(Assumptions!$C$5,F4553)),Assumptions!$D$5,IF(ISNUMBER(SEARCH(Assumptions!$C$6,F4553)),Assumptions!$D$6,IF(ISNUMBER(SEARCH(Assumptions!$C$7,F4553)),Assumptions!$D$7,"Other Services"))),"Other Services"))</f>
        <v/>
      </c>
    </row>
    <row r="4554" customFormat="false" ht="15" hidden="false" customHeight="false" outlineLevel="0" collapsed="false">
      <c r="I4554" s="41" t="str">
        <f aca="false">IF(F4554="","",IFERROR(IF(ISNUMBER(SEARCH(Assumptions!$C$5,F4554)),Assumptions!$D$5,IF(ISNUMBER(SEARCH(Assumptions!$C$6,F4554)),Assumptions!$D$6,IF(ISNUMBER(SEARCH(Assumptions!$C$7,F4554)),Assumptions!$D$7,"Other Services"))),"Other Services"))</f>
        <v/>
      </c>
    </row>
    <row r="4555" customFormat="false" ht="15" hidden="false" customHeight="false" outlineLevel="0" collapsed="false">
      <c r="I4555" s="41" t="str">
        <f aca="false">IF(F4555="","",IFERROR(IF(ISNUMBER(SEARCH(Assumptions!$C$5,F4555)),Assumptions!$D$5,IF(ISNUMBER(SEARCH(Assumptions!$C$6,F4555)),Assumptions!$D$6,IF(ISNUMBER(SEARCH(Assumptions!$C$7,F4555)),Assumptions!$D$7,"Other Services"))),"Other Services"))</f>
        <v/>
      </c>
    </row>
    <row r="4556" customFormat="false" ht="15" hidden="false" customHeight="false" outlineLevel="0" collapsed="false">
      <c r="I4556" s="41" t="str">
        <f aca="false">IF(F4556="","",IFERROR(IF(ISNUMBER(SEARCH(Assumptions!$C$5,F4556)),Assumptions!$D$5,IF(ISNUMBER(SEARCH(Assumptions!$C$6,F4556)),Assumptions!$D$6,IF(ISNUMBER(SEARCH(Assumptions!$C$7,F4556)),Assumptions!$D$7,"Other Services"))),"Other Services"))</f>
        <v/>
      </c>
    </row>
    <row r="4557" customFormat="false" ht="15" hidden="false" customHeight="false" outlineLevel="0" collapsed="false">
      <c r="I4557" s="41" t="str">
        <f aca="false">IF(F4557="","",IFERROR(IF(ISNUMBER(SEARCH(Assumptions!$C$5,F4557)),Assumptions!$D$5,IF(ISNUMBER(SEARCH(Assumptions!$C$6,F4557)),Assumptions!$D$6,IF(ISNUMBER(SEARCH(Assumptions!$C$7,F4557)),Assumptions!$D$7,"Other Services"))),"Other Services"))</f>
        <v/>
      </c>
    </row>
    <row r="4558" customFormat="false" ht="15" hidden="false" customHeight="false" outlineLevel="0" collapsed="false">
      <c r="I4558" s="41" t="str">
        <f aca="false">IF(F4558="","",IFERROR(IF(ISNUMBER(SEARCH(Assumptions!$C$5,F4558)),Assumptions!$D$5,IF(ISNUMBER(SEARCH(Assumptions!$C$6,F4558)),Assumptions!$D$6,IF(ISNUMBER(SEARCH(Assumptions!$C$7,F4558)),Assumptions!$D$7,"Other Services"))),"Other Services"))</f>
        <v/>
      </c>
    </row>
    <row r="4559" customFormat="false" ht="15" hidden="false" customHeight="false" outlineLevel="0" collapsed="false">
      <c r="I4559" s="41" t="str">
        <f aca="false">IF(F4559="","",IFERROR(IF(ISNUMBER(SEARCH(Assumptions!$C$5,F4559)),Assumptions!$D$5,IF(ISNUMBER(SEARCH(Assumptions!$C$6,F4559)),Assumptions!$D$6,IF(ISNUMBER(SEARCH(Assumptions!$C$7,F4559)),Assumptions!$D$7,"Other Services"))),"Other Services"))</f>
        <v/>
      </c>
    </row>
    <row r="4560" customFormat="false" ht="15" hidden="false" customHeight="false" outlineLevel="0" collapsed="false">
      <c r="I4560" s="41" t="str">
        <f aca="false">IF(F4560="","",IFERROR(IF(ISNUMBER(SEARCH(Assumptions!$C$5,F4560)),Assumptions!$D$5,IF(ISNUMBER(SEARCH(Assumptions!$C$6,F4560)),Assumptions!$D$6,IF(ISNUMBER(SEARCH(Assumptions!$C$7,F4560)),Assumptions!$D$7,"Other Services"))),"Other Services"))</f>
        <v/>
      </c>
    </row>
    <row r="4561" customFormat="false" ht="15" hidden="false" customHeight="false" outlineLevel="0" collapsed="false">
      <c r="I4561" s="41" t="str">
        <f aca="false">IF(F4561="","",IFERROR(IF(ISNUMBER(SEARCH(Assumptions!$C$5,F4561)),Assumptions!$D$5,IF(ISNUMBER(SEARCH(Assumptions!$C$6,F4561)),Assumptions!$D$6,IF(ISNUMBER(SEARCH(Assumptions!$C$7,F4561)),Assumptions!$D$7,"Other Services"))),"Other Services"))</f>
        <v/>
      </c>
    </row>
    <row r="4562" customFormat="false" ht="15" hidden="false" customHeight="false" outlineLevel="0" collapsed="false">
      <c r="I4562" s="41" t="str">
        <f aca="false">IF(F4562="","",IFERROR(IF(ISNUMBER(SEARCH(Assumptions!$C$5,F4562)),Assumptions!$D$5,IF(ISNUMBER(SEARCH(Assumptions!$C$6,F4562)),Assumptions!$D$6,IF(ISNUMBER(SEARCH(Assumptions!$C$7,F4562)),Assumptions!$D$7,"Other Services"))),"Other Services"))</f>
        <v/>
      </c>
    </row>
    <row r="4563" customFormat="false" ht="15" hidden="false" customHeight="false" outlineLevel="0" collapsed="false">
      <c r="I4563" s="41" t="str">
        <f aca="false">IF(F4563="","",IFERROR(IF(ISNUMBER(SEARCH(Assumptions!$C$5,F4563)),Assumptions!$D$5,IF(ISNUMBER(SEARCH(Assumptions!$C$6,F4563)),Assumptions!$D$6,IF(ISNUMBER(SEARCH(Assumptions!$C$7,F4563)),Assumptions!$D$7,"Other Services"))),"Other Services"))</f>
        <v/>
      </c>
    </row>
    <row r="4564" customFormat="false" ht="15" hidden="false" customHeight="false" outlineLevel="0" collapsed="false">
      <c r="I4564" s="41" t="str">
        <f aca="false">IF(F4564="","",IFERROR(IF(ISNUMBER(SEARCH(Assumptions!$C$5,F4564)),Assumptions!$D$5,IF(ISNUMBER(SEARCH(Assumptions!$C$6,F4564)),Assumptions!$D$6,IF(ISNUMBER(SEARCH(Assumptions!$C$7,F4564)),Assumptions!$D$7,"Other Services"))),"Other Services"))</f>
        <v/>
      </c>
    </row>
    <row r="4565" customFormat="false" ht="15" hidden="false" customHeight="false" outlineLevel="0" collapsed="false">
      <c r="I4565" s="41" t="str">
        <f aca="false">IF(F4565="","",IFERROR(IF(ISNUMBER(SEARCH(Assumptions!$C$5,F4565)),Assumptions!$D$5,IF(ISNUMBER(SEARCH(Assumptions!$C$6,F4565)),Assumptions!$D$6,IF(ISNUMBER(SEARCH(Assumptions!$C$7,F4565)),Assumptions!$D$7,"Other Services"))),"Other Services"))</f>
        <v/>
      </c>
    </row>
    <row r="4566" customFormat="false" ht="15" hidden="false" customHeight="false" outlineLevel="0" collapsed="false">
      <c r="I4566" s="41" t="str">
        <f aca="false">IF(F4566="","",IFERROR(IF(ISNUMBER(SEARCH(Assumptions!$C$5,F4566)),Assumptions!$D$5,IF(ISNUMBER(SEARCH(Assumptions!$C$6,F4566)),Assumptions!$D$6,IF(ISNUMBER(SEARCH(Assumptions!$C$7,F4566)),Assumptions!$D$7,"Other Services"))),"Other Services"))</f>
        <v/>
      </c>
    </row>
    <row r="4567" customFormat="false" ht="15" hidden="false" customHeight="false" outlineLevel="0" collapsed="false">
      <c r="I4567" s="41" t="str">
        <f aca="false">IF(F4567="","",IFERROR(IF(ISNUMBER(SEARCH(Assumptions!$C$5,F4567)),Assumptions!$D$5,IF(ISNUMBER(SEARCH(Assumptions!$C$6,F4567)),Assumptions!$D$6,IF(ISNUMBER(SEARCH(Assumptions!$C$7,F4567)),Assumptions!$D$7,"Other Services"))),"Other Services"))</f>
        <v/>
      </c>
    </row>
    <row r="4568" customFormat="false" ht="15" hidden="false" customHeight="false" outlineLevel="0" collapsed="false">
      <c r="I4568" s="41" t="str">
        <f aca="false">IF(F4568="","",IFERROR(IF(ISNUMBER(SEARCH(Assumptions!$C$5,F4568)),Assumptions!$D$5,IF(ISNUMBER(SEARCH(Assumptions!$C$6,F4568)),Assumptions!$D$6,IF(ISNUMBER(SEARCH(Assumptions!$C$7,F4568)),Assumptions!$D$7,"Other Services"))),"Other Services"))</f>
        <v/>
      </c>
    </row>
    <row r="4569" customFormat="false" ht="15" hidden="false" customHeight="false" outlineLevel="0" collapsed="false">
      <c r="I4569" s="41" t="str">
        <f aca="false">IF(F4569="","",IFERROR(IF(ISNUMBER(SEARCH(Assumptions!$C$5,F4569)),Assumptions!$D$5,IF(ISNUMBER(SEARCH(Assumptions!$C$6,F4569)),Assumptions!$D$6,IF(ISNUMBER(SEARCH(Assumptions!$C$7,F4569)),Assumptions!$D$7,"Other Services"))),"Other Services"))</f>
        <v/>
      </c>
    </row>
    <row r="4570" customFormat="false" ht="15" hidden="false" customHeight="false" outlineLevel="0" collapsed="false">
      <c r="I4570" s="41" t="str">
        <f aca="false">IF(F4570="","",IFERROR(IF(ISNUMBER(SEARCH(Assumptions!$C$5,F4570)),Assumptions!$D$5,IF(ISNUMBER(SEARCH(Assumptions!$C$6,F4570)),Assumptions!$D$6,IF(ISNUMBER(SEARCH(Assumptions!$C$7,F4570)),Assumptions!$D$7,"Other Services"))),"Other Services"))</f>
        <v/>
      </c>
    </row>
    <row r="4571" customFormat="false" ht="15" hidden="false" customHeight="false" outlineLevel="0" collapsed="false">
      <c r="I4571" s="41" t="str">
        <f aca="false">IF(F4571="","",IFERROR(IF(ISNUMBER(SEARCH(Assumptions!$C$5,F4571)),Assumptions!$D$5,IF(ISNUMBER(SEARCH(Assumptions!$C$6,F4571)),Assumptions!$D$6,IF(ISNUMBER(SEARCH(Assumptions!$C$7,F4571)),Assumptions!$D$7,"Other Services"))),"Other Services"))</f>
        <v/>
      </c>
    </row>
    <row r="4572" customFormat="false" ht="15" hidden="false" customHeight="false" outlineLevel="0" collapsed="false">
      <c r="I4572" s="41" t="str">
        <f aca="false">IF(F4572="","",IFERROR(IF(ISNUMBER(SEARCH(Assumptions!$C$5,F4572)),Assumptions!$D$5,IF(ISNUMBER(SEARCH(Assumptions!$C$6,F4572)),Assumptions!$D$6,IF(ISNUMBER(SEARCH(Assumptions!$C$7,F4572)),Assumptions!$D$7,"Other Services"))),"Other Services"))</f>
        <v/>
      </c>
    </row>
    <row r="4573" customFormat="false" ht="15" hidden="false" customHeight="false" outlineLevel="0" collapsed="false">
      <c r="I4573" s="41" t="str">
        <f aca="false">IF(F4573="","",IFERROR(IF(ISNUMBER(SEARCH(Assumptions!$C$5,F4573)),Assumptions!$D$5,IF(ISNUMBER(SEARCH(Assumptions!$C$6,F4573)),Assumptions!$D$6,IF(ISNUMBER(SEARCH(Assumptions!$C$7,F4573)),Assumptions!$D$7,"Other Services"))),"Other Services"))</f>
        <v/>
      </c>
    </row>
    <row r="4574" customFormat="false" ht="15" hidden="false" customHeight="false" outlineLevel="0" collapsed="false">
      <c r="I4574" s="41" t="str">
        <f aca="false">IF(F4574="","",IFERROR(IF(ISNUMBER(SEARCH(Assumptions!$C$5,F4574)),Assumptions!$D$5,IF(ISNUMBER(SEARCH(Assumptions!$C$6,F4574)),Assumptions!$D$6,IF(ISNUMBER(SEARCH(Assumptions!$C$7,F4574)),Assumptions!$D$7,"Other Services"))),"Other Services"))</f>
        <v/>
      </c>
    </row>
    <row r="4575" customFormat="false" ht="15" hidden="false" customHeight="false" outlineLevel="0" collapsed="false">
      <c r="I4575" s="41" t="str">
        <f aca="false">IF(F4575="","",IFERROR(IF(ISNUMBER(SEARCH(Assumptions!$C$5,F4575)),Assumptions!$D$5,IF(ISNUMBER(SEARCH(Assumptions!$C$6,F4575)),Assumptions!$D$6,IF(ISNUMBER(SEARCH(Assumptions!$C$7,F4575)),Assumptions!$D$7,"Other Services"))),"Other Services"))</f>
        <v/>
      </c>
    </row>
    <row r="4576" customFormat="false" ht="15" hidden="false" customHeight="false" outlineLevel="0" collapsed="false">
      <c r="I4576" s="41" t="str">
        <f aca="false">IF(F4576="","",IFERROR(IF(ISNUMBER(SEARCH(Assumptions!$C$5,F4576)),Assumptions!$D$5,IF(ISNUMBER(SEARCH(Assumptions!$C$6,F4576)),Assumptions!$D$6,IF(ISNUMBER(SEARCH(Assumptions!$C$7,F4576)),Assumptions!$D$7,"Other Services"))),"Other Services"))</f>
        <v/>
      </c>
    </row>
    <row r="4577" customFormat="false" ht="15" hidden="false" customHeight="false" outlineLevel="0" collapsed="false">
      <c r="I4577" s="41" t="str">
        <f aca="false">IF(F4577="","",IFERROR(IF(ISNUMBER(SEARCH(Assumptions!$C$5,F4577)),Assumptions!$D$5,IF(ISNUMBER(SEARCH(Assumptions!$C$6,F4577)),Assumptions!$D$6,IF(ISNUMBER(SEARCH(Assumptions!$C$7,F4577)),Assumptions!$D$7,"Other Services"))),"Other Services"))</f>
        <v/>
      </c>
    </row>
    <row r="4578" customFormat="false" ht="15" hidden="false" customHeight="false" outlineLevel="0" collapsed="false">
      <c r="I4578" s="41" t="str">
        <f aca="false">IF(F4578="","",IFERROR(IF(ISNUMBER(SEARCH(Assumptions!$C$5,F4578)),Assumptions!$D$5,IF(ISNUMBER(SEARCH(Assumptions!$C$6,F4578)),Assumptions!$D$6,IF(ISNUMBER(SEARCH(Assumptions!$C$7,F4578)),Assumptions!$D$7,"Other Services"))),"Other Services"))</f>
        <v/>
      </c>
    </row>
    <row r="4579" customFormat="false" ht="15" hidden="false" customHeight="false" outlineLevel="0" collapsed="false">
      <c r="I4579" s="41" t="str">
        <f aca="false">IF(F4579="","",IFERROR(IF(ISNUMBER(SEARCH(Assumptions!$C$5,F4579)),Assumptions!$D$5,IF(ISNUMBER(SEARCH(Assumptions!$C$6,F4579)),Assumptions!$D$6,IF(ISNUMBER(SEARCH(Assumptions!$C$7,F4579)),Assumptions!$D$7,"Other Services"))),"Other Services"))</f>
        <v/>
      </c>
    </row>
    <row r="4580" customFormat="false" ht="15" hidden="false" customHeight="false" outlineLevel="0" collapsed="false">
      <c r="I4580" s="41" t="str">
        <f aca="false">IF(F4580="","",IFERROR(IF(ISNUMBER(SEARCH(Assumptions!$C$5,F4580)),Assumptions!$D$5,IF(ISNUMBER(SEARCH(Assumptions!$C$6,F4580)),Assumptions!$D$6,IF(ISNUMBER(SEARCH(Assumptions!$C$7,F4580)),Assumptions!$D$7,"Other Services"))),"Other Services"))</f>
        <v/>
      </c>
    </row>
    <row r="4581" customFormat="false" ht="15" hidden="false" customHeight="false" outlineLevel="0" collapsed="false">
      <c r="I4581" s="41" t="str">
        <f aca="false">IF(F4581="","",IFERROR(IF(ISNUMBER(SEARCH(Assumptions!$C$5,F4581)),Assumptions!$D$5,IF(ISNUMBER(SEARCH(Assumptions!$C$6,F4581)),Assumptions!$D$6,IF(ISNUMBER(SEARCH(Assumptions!$C$7,F4581)),Assumptions!$D$7,"Other Services"))),"Other Services"))</f>
        <v/>
      </c>
    </row>
    <row r="4582" customFormat="false" ht="15" hidden="false" customHeight="false" outlineLevel="0" collapsed="false">
      <c r="I4582" s="41" t="str">
        <f aca="false">IF(F4582="","",IFERROR(IF(ISNUMBER(SEARCH(Assumptions!$C$5,F4582)),Assumptions!$D$5,IF(ISNUMBER(SEARCH(Assumptions!$C$6,F4582)),Assumptions!$D$6,IF(ISNUMBER(SEARCH(Assumptions!$C$7,F4582)),Assumptions!$D$7,"Other Services"))),"Other Services"))</f>
        <v/>
      </c>
    </row>
    <row r="4583" customFormat="false" ht="15" hidden="false" customHeight="false" outlineLevel="0" collapsed="false">
      <c r="I4583" s="41" t="str">
        <f aca="false">IF(F4583="","",IFERROR(IF(ISNUMBER(SEARCH(Assumptions!$C$5,F4583)),Assumptions!$D$5,IF(ISNUMBER(SEARCH(Assumptions!$C$6,F4583)),Assumptions!$D$6,IF(ISNUMBER(SEARCH(Assumptions!$C$7,F4583)),Assumptions!$D$7,"Other Services"))),"Other Services"))</f>
        <v/>
      </c>
    </row>
    <row r="4584" customFormat="false" ht="15" hidden="false" customHeight="false" outlineLevel="0" collapsed="false">
      <c r="I4584" s="41" t="str">
        <f aca="false">IF(F4584="","",IFERROR(IF(ISNUMBER(SEARCH(Assumptions!$C$5,F4584)),Assumptions!$D$5,IF(ISNUMBER(SEARCH(Assumptions!$C$6,F4584)),Assumptions!$D$6,IF(ISNUMBER(SEARCH(Assumptions!$C$7,F4584)),Assumptions!$D$7,"Other Services"))),"Other Services"))</f>
        <v/>
      </c>
    </row>
    <row r="4585" customFormat="false" ht="15" hidden="false" customHeight="false" outlineLevel="0" collapsed="false">
      <c r="I4585" s="41" t="str">
        <f aca="false">IF(F4585="","",IFERROR(IF(ISNUMBER(SEARCH(Assumptions!$C$5,F4585)),Assumptions!$D$5,IF(ISNUMBER(SEARCH(Assumptions!$C$6,F4585)),Assumptions!$D$6,IF(ISNUMBER(SEARCH(Assumptions!$C$7,F4585)),Assumptions!$D$7,"Other Services"))),"Other Services"))</f>
        <v/>
      </c>
    </row>
    <row r="4586" customFormat="false" ht="15" hidden="false" customHeight="false" outlineLevel="0" collapsed="false">
      <c r="I4586" s="41" t="str">
        <f aca="false">IF(F4586="","",IFERROR(IF(ISNUMBER(SEARCH(Assumptions!$C$5,F4586)),Assumptions!$D$5,IF(ISNUMBER(SEARCH(Assumptions!$C$6,F4586)),Assumptions!$D$6,IF(ISNUMBER(SEARCH(Assumptions!$C$7,F4586)),Assumptions!$D$7,"Other Services"))),"Other Services"))</f>
        <v/>
      </c>
    </row>
    <row r="4587" customFormat="false" ht="15" hidden="false" customHeight="false" outlineLevel="0" collapsed="false">
      <c r="I4587" s="41" t="str">
        <f aca="false">IF(F4587="","",IFERROR(IF(ISNUMBER(SEARCH(Assumptions!$C$5,F4587)),Assumptions!$D$5,IF(ISNUMBER(SEARCH(Assumptions!$C$6,F4587)),Assumptions!$D$6,IF(ISNUMBER(SEARCH(Assumptions!$C$7,F4587)),Assumptions!$D$7,"Other Services"))),"Other Services"))</f>
        <v/>
      </c>
    </row>
    <row r="4588" customFormat="false" ht="15" hidden="false" customHeight="false" outlineLevel="0" collapsed="false">
      <c r="I4588" s="41" t="str">
        <f aca="false">IF(F4588="","",IFERROR(IF(ISNUMBER(SEARCH(Assumptions!$C$5,F4588)),Assumptions!$D$5,IF(ISNUMBER(SEARCH(Assumptions!$C$6,F4588)),Assumptions!$D$6,IF(ISNUMBER(SEARCH(Assumptions!$C$7,F4588)),Assumptions!$D$7,"Other Services"))),"Other Services"))</f>
        <v/>
      </c>
    </row>
    <row r="4589" customFormat="false" ht="15" hidden="false" customHeight="false" outlineLevel="0" collapsed="false">
      <c r="I4589" s="41" t="str">
        <f aca="false">IF(F4589="","",IFERROR(IF(ISNUMBER(SEARCH(Assumptions!$C$5,F4589)),Assumptions!$D$5,IF(ISNUMBER(SEARCH(Assumptions!$C$6,F4589)),Assumptions!$D$6,IF(ISNUMBER(SEARCH(Assumptions!$C$7,F4589)),Assumptions!$D$7,"Other Services"))),"Other Services"))</f>
        <v/>
      </c>
    </row>
    <row r="4590" customFormat="false" ht="15" hidden="false" customHeight="false" outlineLevel="0" collapsed="false">
      <c r="I4590" s="41" t="str">
        <f aca="false">IF(F4590="","",IFERROR(IF(ISNUMBER(SEARCH(Assumptions!$C$5,F4590)),Assumptions!$D$5,IF(ISNUMBER(SEARCH(Assumptions!$C$6,F4590)),Assumptions!$D$6,IF(ISNUMBER(SEARCH(Assumptions!$C$7,F4590)),Assumptions!$D$7,"Other Services"))),"Other Services"))</f>
        <v/>
      </c>
    </row>
    <row r="4591" customFormat="false" ht="15" hidden="false" customHeight="false" outlineLevel="0" collapsed="false">
      <c r="I4591" s="41" t="str">
        <f aca="false">IF(F4591="","",IFERROR(IF(ISNUMBER(SEARCH(Assumptions!$C$5,F4591)),Assumptions!$D$5,IF(ISNUMBER(SEARCH(Assumptions!$C$6,F4591)),Assumptions!$D$6,IF(ISNUMBER(SEARCH(Assumptions!$C$7,F4591)),Assumptions!$D$7,"Other Services"))),"Other Services"))</f>
        <v/>
      </c>
    </row>
    <row r="4592" customFormat="false" ht="15" hidden="false" customHeight="false" outlineLevel="0" collapsed="false">
      <c r="I4592" s="41" t="str">
        <f aca="false">IF(F4592="","",IFERROR(IF(ISNUMBER(SEARCH(Assumptions!$C$5,F4592)),Assumptions!$D$5,IF(ISNUMBER(SEARCH(Assumptions!$C$6,F4592)),Assumptions!$D$6,IF(ISNUMBER(SEARCH(Assumptions!$C$7,F4592)),Assumptions!$D$7,"Other Services"))),"Other Services"))</f>
        <v/>
      </c>
    </row>
    <row r="4593" customFormat="false" ht="15" hidden="false" customHeight="false" outlineLevel="0" collapsed="false">
      <c r="I4593" s="41" t="str">
        <f aca="false">IF(F4593="","",IFERROR(IF(ISNUMBER(SEARCH(Assumptions!$C$5,F4593)),Assumptions!$D$5,IF(ISNUMBER(SEARCH(Assumptions!$C$6,F4593)),Assumptions!$D$6,IF(ISNUMBER(SEARCH(Assumptions!$C$7,F4593)),Assumptions!$D$7,"Other Services"))),"Other Services"))</f>
        <v/>
      </c>
    </row>
    <row r="4594" customFormat="false" ht="15" hidden="false" customHeight="false" outlineLevel="0" collapsed="false">
      <c r="I4594" s="41" t="str">
        <f aca="false">IF(F4594="","",IFERROR(IF(ISNUMBER(SEARCH(Assumptions!$C$5,F4594)),Assumptions!$D$5,IF(ISNUMBER(SEARCH(Assumptions!$C$6,F4594)),Assumptions!$D$6,IF(ISNUMBER(SEARCH(Assumptions!$C$7,F4594)),Assumptions!$D$7,"Other Services"))),"Other Services"))</f>
        <v/>
      </c>
    </row>
    <row r="4595" customFormat="false" ht="15" hidden="false" customHeight="false" outlineLevel="0" collapsed="false">
      <c r="I4595" s="41" t="str">
        <f aca="false">IF(F4595="","",IFERROR(IF(ISNUMBER(SEARCH(Assumptions!$C$5,F4595)),Assumptions!$D$5,IF(ISNUMBER(SEARCH(Assumptions!$C$6,F4595)),Assumptions!$D$6,IF(ISNUMBER(SEARCH(Assumptions!$C$7,F4595)),Assumptions!$D$7,"Other Services"))),"Other Services"))</f>
        <v/>
      </c>
    </row>
    <row r="4596" customFormat="false" ht="15" hidden="false" customHeight="false" outlineLevel="0" collapsed="false">
      <c r="I4596" s="41" t="str">
        <f aca="false">IF(F4596="","",IFERROR(IF(ISNUMBER(SEARCH(Assumptions!$C$5,F4596)),Assumptions!$D$5,IF(ISNUMBER(SEARCH(Assumptions!$C$6,F4596)),Assumptions!$D$6,IF(ISNUMBER(SEARCH(Assumptions!$C$7,F4596)),Assumptions!$D$7,"Other Services"))),"Other Services"))</f>
        <v/>
      </c>
    </row>
    <row r="4597" customFormat="false" ht="15" hidden="false" customHeight="false" outlineLevel="0" collapsed="false">
      <c r="I4597" s="41" t="str">
        <f aca="false">IF(F4597="","",IFERROR(IF(ISNUMBER(SEARCH(Assumptions!$C$5,F4597)),Assumptions!$D$5,IF(ISNUMBER(SEARCH(Assumptions!$C$6,F4597)),Assumptions!$D$6,IF(ISNUMBER(SEARCH(Assumptions!$C$7,F4597)),Assumptions!$D$7,"Other Services"))),"Other Services"))</f>
        <v/>
      </c>
    </row>
    <row r="4598" customFormat="false" ht="15" hidden="false" customHeight="false" outlineLevel="0" collapsed="false">
      <c r="I4598" s="41" t="str">
        <f aca="false">IF(F4598="","",IFERROR(IF(ISNUMBER(SEARCH(Assumptions!$C$5,F4598)),Assumptions!$D$5,IF(ISNUMBER(SEARCH(Assumptions!$C$6,F4598)),Assumptions!$D$6,IF(ISNUMBER(SEARCH(Assumptions!$C$7,F4598)),Assumptions!$D$7,"Other Services"))),"Other Services"))</f>
        <v/>
      </c>
    </row>
    <row r="4599" customFormat="false" ht="15" hidden="false" customHeight="false" outlineLevel="0" collapsed="false">
      <c r="I4599" s="41" t="str">
        <f aca="false">IF(F4599="","",IFERROR(IF(ISNUMBER(SEARCH(Assumptions!$C$5,F4599)),Assumptions!$D$5,IF(ISNUMBER(SEARCH(Assumptions!$C$6,F4599)),Assumptions!$D$6,IF(ISNUMBER(SEARCH(Assumptions!$C$7,F4599)),Assumptions!$D$7,"Other Services"))),"Other Services"))</f>
        <v/>
      </c>
    </row>
    <row r="4600" customFormat="false" ht="15" hidden="false" customHeight="false" outlineLevel="0" collapsed="false">
      <c r="I4600" s="41" t="str">
        <f aca="false">IF(F4600="","",IFERROR(IF(ISNUMBER(SEARCH(Assumptions!$C$5,F4600)),Assumptions!$D$5,IF(ISNUMBER(SEARCH(Assumptions!$C$6,F4600)),Assumptions!$D$6,IF(ISNUMBER(SEARCH(Assumptions!$C$7,F4600)),Assumptions!$D$7,"Other Services"))),"Other Services"))</f>
        <v/>
      </c>
    </row>
    <row r="4601" customFormat="false" ht="15" hidden="false" customHeight="false" outlineLevel="0" collapsed="false">
      <c r="I4601" s="41" t="str">
        <f aca="false">IF(F4601="","",IFERROR(IF(ISNUMBER(SEARCH(Assumptions!$C$5,F4601)),Assumptions!$D$5,IF(ISNUMBER(SEARCH(Assumptions!$C$6,F4601)),Assumptions!$D$6,IF(ISNUMBER(SEARCH(Assumptions!$C$7,F4601)),Assumptions!$D$7,"Other Services"))),"Other Services"))</f>
        <v/>
      </c>
    </row>
    <row r="4602" customFormat="false" ht="15" hidden="false" customHeight="false" outlineLevel="0" collapsed="false">
      <c r="I4602" s="41" t="str">
        <f aca="false">IF(F4602="","",IFERROR(IF(ISNUMBER(SEARCH(Assumptions!$C$5,F4602)),Assumptions!$D$5,IF(ISNUMBER(SEARCH(Assumptions!$C$6,F4602)),Assumptions!$D$6,IF(ISNUMBER(SEARCH(Assumptions!$C$7,F4602)),Assumptions!$D$7,"Other Services"))),"Other Services"))</f>
        <v/>
      </c>
    </row>
    <row r="4603" customFormat="false" ht="15" hidden="false" customHeight="false" outlineLevel="0" collapsed="false">
      <c r="I4603" s="41" t="str">
        <f aca="false">IF(F4603="","",IFERROR(IF(ISNUMBER(SEARCH(Assumptions!$C$5,F4603)),Assumptions!$D$5,IF(ISNUMBER(SEARCH(Assumptions!$C$6,F4603)),Assumptions!$D$6,IF(ISNUMBER(SEARCH(Assumptions!$C$7,F4603)),Assumptions!$D$7,"Other Services"))),"Other Services"))</f>
        <v/>
      </c>
    </row>
    <row r="4604" customFormat="false" ht="15" hidden="false" customHeight="false" outlineLevel="0" collapsed="false">
      <c r="I4604" s="41" t="str">
        <f aca="false">IF(F4604="","",IFERROR(IF(ISNUMBER(SEARCH(Assumptions!$C$5,F4604)),Assumptions!$D$5,IF(ISNUMBER(SEARCH(Assumptions!$C$6,F4604)),Assumptions!$D$6,IF(ISNUMBER(SEARCH(Assumptions!$C$7,F4604)),Assumptions!$D$7,"Other Services"))),"Other Services"))</f>
        <v/>
      </c>
    </row>
    <row r="4605" customFormat="false" ht="15" hidden="false" customHeight="false" outlineLevel="0" collapsed="false">
      <c r="I4605" s="41" t="str">
        <f aca="false">IF(F4605="","",IFERROR(IF(ISNUMBER(SEARCH(Assumptions!$C$5,F4605)),Assumptions!$D$5,IF(ISNUMBER(SEARCH(Assumptions!$C$6,F4605)),Assumptions!$D$6,IF(ISNUMBER(SEARCH(Assumptions!$C$7,F4605)),Assumptions!$D$7,"Other Services"))),"Other Services"))</f>
        <v/>
      </c>
    </row>
    <row r="4606" customFormat="false" ht="15" hidden="false" customHeight="false" outlineLevel="0" collapsed="false">
      <c r="I4606" s="41" t="str">
        <f aca="false">IF(F4606="","",IFERROR(IF(ISNUMBER(SEARCH(Assumptions!$C$5,F4606)),Assumptions!$D$5,IF(ISNUMBER(SEARCH(Assumptions!$C$6,F4606)),Assumptions!$D$6,IF(ISNUMBER(SEARCH(Assumptions!$C$7,F4606)),Assumptions!$D$7,"Other Services"))),"Other Services"))</f>
        <v/>
      </c>
    </row>
    <row r="4607" customFormat="false" ht="15" hidden="false" customHeight="false" outlineLevel="0" collapsed="false">
      <c r="I4607" s="41" t="str">
        <f aca="false">IF(F4607="","",IFERROR(IF(ISNUMBER(SEARCH(Assumptions!$C$5,F4607)),Assumptions!$D$5,IF(ISNUMBER(SEARCH(Assumptions!$C$6,F4607)),Assumptions!$D$6,IF(ISNUMBER(SEARCH(Assumptions!$C$7,F4607)),Assumptions!$D$7,"Other Services"))),"Other Services"))</f>
        <v/>
      </c>
    </row>
    <row r="4608" customFormat="false" ht="15" hidden="false" customHeight="false" outlineLevel="0" collapsed="false">
      <c r="I4608" s="41" t="str">
        <f aca="false">IF(F4608="","",IFERROR(IF(ISNUMBER(SEARCH(Assumptions!$C$5,F4608)),Assumptions!$D$5,IF(ISNUMBER(SEARCH(Assumptions!$C$6,F4608)),Assumptions!$D$6,IF(ISNUMBER(SEARCH(Assumptions!$C$7,F4608)),Assumptions!$D$7,"Other Services"))),"Other Services"))</f>
        <v/>
      </c>
    </row>
    <row r="4609" customFormat="false" ht="15" hidden="false" customHeight="false" outlineLevel="0" collapsed="false">
      <c r="I4609" s="41" t="str">
        <f aca="false">IF(F4609="","",IFERROR(IF(ISNUMBER(SEARCH(Assumptions!$C$5,F4609)),Assumptions!$D$5,IF(ISNUMBER(SEARCH(Assumptions!$C$6,F4609)),Assumptions!$D$6,IF(ISNUMBER(SEARCH(Assumptions!$C$7,F4609)),Assumptions!$D$7,"Other Services"))),"Other Services"))</f>
        <v/>
      </c>
    </row>
    <row r="4610" customFormat="false" ht="15" hidden="false" customHeight="false" outlineLevel="0" collapsed="false">
      <c r="I4610" s="41" t="str">
        <f aca="false">IF(F4610="","",IFERROR(IF(ISNUMBER(SEARCH(Assumptions!$C$5,F4610)),Assumptions!$D$5,IF(ISNUMBER(SEARCH(Assumptions!$C$6,F4610)),Assumptions!$D$6,IF(ISNUMBER(SEARCH(Assumptions!$C$7,F4610)),Assumptions!$D$7,"Other Services"))),"Other Services"))</f>
        <v/>
      </c>
    </row>
    <row r="4611" customFormat="false" ht="15" hidden="false" customHeight="false" outlineLevel="0" collapsed="false">
      <c r="I4611" s="41" t="str">
        <f aca="false">IF(F4611="","",IFERROR(IF(ISNUMBER(SEARCH(Assumptions!$C$5,F4611)),Assumptions!$D$5,IF(ISNUMBER(SEARCH(Assumptions!$C$6,F4611)),Assumptions!$D$6,IF(ISNUMBER(SEARCH(Assumptions!$C$7,F4611)),Assumptions!$D$7,"Other Services"))),"Other Services"))</f>
        <v/>
      </c>
    </row>
    <row r="4612" customFormat="false" ht="15" hidden="false" customHeight="false" outlineLevel="0" collapsed="false">
      <c r="I4612" s="41" t="str">
        <f aca="false">IF(F4612="","",IFERROR(IF(ISNUMBER(SEARCH(Assumptions!$C$5,F4612)),Assumptions!$D$5,IF(ISNUMBER(SEARCH(Assumptions!$C$6,F4612)),Assumptions!$D$6,IF(ISNUMBER(SEARCH(Assumptions!$C$7,F4612)),Assumptions!$D$7,"Other Services"))),"Other Services"))</f>
        <v/>
      </c>
    </row>
    <row r="4613" customFormat="false" ht="15" hidden="false" customHeight="false" outlineLevel="0" collapsed="false">
      <c r="I4613" s="41" t="str">
        <f aca="false">IF(F4613="","",IFERROR(IF(ISNUMBER(SEARCH(Assumptions!$C$5,F4613)),Assumptions!$D$5,IF(ISNUMBER(SEARCH(Assumptions!$C$6,F4613)),Assumptions!$D$6,IF(ISNUMBER(SEARCH(Assumptions!$C$7,F4613)),Assumptions!$D$7,"Other Services"))),"Other Services"))</f>
        <v/>
      </c>
    </row>
    <row r="4614" customFormat="false" ht="15" hidden="false" customHeight="false" outlineLevel="0" collapsed="false">
      <c r="I4614" s="41" t="str">
        <f aca="false">IF(F4614="","",IFERROR(IF(ISNUMBER(SEARCH(Assumptions!$C$5,F4614)),Assumptions!$D$5,IF(ISNUMBER(SEARCH(Assumptions!$C$6,F4614)),Assumptions!$D$6,IF(ISNUMBER(SEARCH(Assumptions!$C$7,F4614)),Assumptions!$D$7,"Other Services"))),"Other Services"))</f>
        <v/>
      </c>
    </row>
    <row r="4615" customFormat="false" ht="15" hidden="false" customHeight="false" outlineLevel="0" collapsed="false">
      <c r="I4615" s="41" t="str">
        <f aca="false">IF(F4615="","",IFERROR(IF(ISNUMBER(SEARCH(Assumptions!$C$5,F4615)),Assumptions!$D$5,IF(ISNUMBER(SEARCH(Assumptions!$C$6,F4615)),Assumptions!$D$6,IF(ISNUMBER(SEARCH(Assumptions!$C$7,F4615)),Assumptions!$D$7,"Other Services"))),"Other Services"))</f>
        <v/>
      </c>
    </row>
    <row r="4616" customFormat="false" ht="15" hidden="false" customHeight="false" outlineLevel="0" collapsed="false">
      <c r="I4616" s="41" t="str">
        <f aca="false">IF(F4616="","",IFERROR(IF(ISNUMBER(SEARCH(Assumptions!$C$5,F4616)),Assumptions!$D$5,IF(ISNUMBER(SEARCH(Assumptions!$C$6,F4616)),Assumptions!$D$6,IF(ISNUMBER(SEARCH(Assumptions!$C$7,F4616)),Assumptions!$D$7,"Other Services"))),"Other Services"))</f>
        <v/>
      </c>
    </row>
    <row r="4617" customFormat="false" ht="15" hidden="false" customHeight="false" outlineLevel="0" collapsed="false">
      <c r="I4617" s="41" t="str">
        <f aca="false">IF(F4617="","",IFERROR(IF(ISNUMBER(SEARCH(Assumptions!$C$5,F4617)),Assumptions!$D$5,IF(ISNUMBER(SEARCH(Assumptions!$C$6,F4617)),Assumptions!$D$6,IF(ISNUMBER(SEARCH(Assumptions!$C$7,F4617)),Assumptions!$D$7,"Other Services"))),"Other Services"))</f>
        <v/>
      </c>
    </row>
    <row r="4618" customFormat="false" ht="15" hidden="false" customHeight="false" outlineLevel="0" collapsed="false">
      <c r="I4618" s="41" t="str">
        <f aca="false">IF(F4618="","",IFERROR(IF(ISNUMBER(SEARCH(Assumptions!$C$5,F4618)),Assumptions!$D$5,IF(ISNUMBER(SEARCH(Assumptions!$C$6,F4618)),Assumptions!$D$6,IF(ISNUMBER(SEARCH(Assumptions!$C$7,F4618)),Assumptions!$D$7,"Other Services"))),"Other Services"))</f>
        <v/>
      </c>
    </row>
    <row r="4619" customFormat="false" ht="15" hidden="false" customHeight="false" outlineLevel="0" collapsed="false">
      <c r="I4619" s="41" t="str">
        <f aca="false">IF(F4619="","",IFERROR(IF(ISNUMBER(SEARCH(Assumptions!$C$5,F4619)),Assumptions!$D$5,IF(ISNUMBER(SEARCH(Assumptions!$C$6,F4619)),Assumptions!$D$6,IF(ISNUMBER(SEARCH(Assumptions!$C$7,F4619)),Assumptions!$D$7,"Other Services"))),"Other Services"))</f>
        <v/>
      </c>
    </row>
    <row r="4620" customFormat="false" ht="15" hidden="false" customHeight="false" outlineLevel="0" collapsed="false">
      <c r="I4620" s="41" t="str">
        <f aca="false">IF(F4620="","",IFERROR(IF(ISNUMBER(SEARCH(Assumptions!$C$5,F4620)),Assumptions!$D$5,IF(ISNUMBER(SEARCH(Assumptions!$C$6,F4620)),Assumptions!$D$6,IF(ISNUMBER(SEARCH(Assumptions!$C$7,F4620)),Assumptions!$D$7,"Other Services"))),"Other Services"))</f>
        <v/>
      </c>
    </row>
    <row r="4621" customFormat="false" ht="15" hidden="false" customHeight="false" outlineLevel="0" collapsed="false">
      <c r="I4621" s="41" t="str">
        <f aca="false">IF(F4621="","",IFERROR(IF(ISNUMBER(SEARCH(Assumptions!$C$5,F4621)),Assumptions!$D$5,IF(ISNUMBER(SEARCH(Assumptions!$C$6,F4621)),Assumptions!$D$6,IF(ISNUMBER(SEARCH(Assumptions!$C$7,F4621)),Assumptions!$D$7,"Other Services"))),"Other Services"))</f>
        <v/>
      </c>
    </row>
    <row r="4622" customFormat="false" ht="15" hidden="false" customHeight="false" outlineLevel="0" collapsed="false">
      <c r="I4622" s="41" t="str">
        <f aca="false">IF(F4622="","",IFERROR(IF(ISNUMBER(SEARCH(Assumptions!$C$5,F4622)),Assumptions!$D$5,IF(ISNUMBER(SEARCH(Assumptions!$C$6,F4622)),Assumptions!$D$6,IF(ISNUMBER(SEARCH(Assumptions!$C$7,F4622)),Assumptions!$D$7,"Other Services"))),"Other Services"))</f>
        <v/>
      </c>
    </row>
    <row r="4623" customFormat="false" ht="15" hidden="false" customHeight="false" outlineLevel="0" collapsed="false">
      <c r="I4623" s="41" t="str">
        <f aca="false">IF(F4623="","",IFERROR(IF(ISNUMBER(SEARCH(Assumptions!$C$5,F4623)),Assumptions!$D$5,IF(ISNUMBER(SEARCH(Assumptions!$C$6,F4623)),Assumptions!$D$6,IF(ISNUMBER(SEARCH(Assumptions!$C$7,F4623)),Assumptions!$D$7,"Other Services"))),"Other Services"))</f>
        <v/>
      </c>
    </row>
    <row r="4624" customFormat="false" ht="15" hidden="false" customHeight="false" outlineLevel="0" collapsed="false">
      <c r="I4624" s="41" t="str">
        <f aca="false">IF(F4624="","",IFERROR(IF(ISNUMBER(SEARCH(Assumptions!$C$5,F4624)),Assumptions!$D$5,IF(ISNUMBER(SEARCH(Assumptions!$C$6,F4624)),Assumptions!$D$6,IF(ISNUMBER(SEARCH(Assumptions!$C$7,F4624)),Assumptions!$D$7,"Other Services"))),"Other Services"))</f>
        <v/>
      </c>
    </row>
    <row r="4625" customFormat="false" ht="15" hidden="false" customHeight="false" outlineLevel="0" collapsed="false">
      <c r="I4625" s="41" t="str">
        <f aca="false">IF(F4625="","",IFERROR(IF(ISNUMBER(SEARCH(Assumptions!$C$5,F4625)),Assumptions!$D$5,IF(ISNUMBER(SEARCH(Assumptions!$C$6,F4625)),Assumptions!$D$6,IF(ISNUMBER(SEARCH(Assumptions!$C$7,F4625)),Assumptions!$D$7,"Other Services"))),"Other Services"))</f>
        <v/>
      </c>
    </row>
    <row r="4626" customFormat="false" ht="15" hidden="false" customHeight="false" outlineLevel="0" collapsed="false">
      <c r="I4626" s="41" t="str">
        <f aca="false">IF(F4626="","",IFERROR(IF(ISNUMBER(SEARCH(Assumptions!$C$5,F4626)),Assumptions!$D$5,IF(ISNUMBER(SEARCH(Assumptions!$C$6,F4626)),Assumptions!$D$6,IF(ISNUMBER(SEARCH(Assumptions!$C$7,F4626)),Assumptions!$D$7,"Other Services"))),"Other Services"))</f>
        <v/>
      </c>
    </row>
    <row r="4627" customFormat="false" ht="15" hidden="false" customHeight="false" outlineLevel="0" collapsed="false">
      <c r="I4627" s="41" t="str">
        <f aca="false">IF(F4627="","",IFERROR(IF(ISNUMBER(SEARCH(Assumptions!$C$5,F4627)),Assumptions!$D$5,IF(ISNUMBER(SEARCH(Assumptions!$C$6,F4627)),Assumptions!$D$6,IF(ISNUMBER(SEARCH(Assumptions!$C$7,F4627)),Assumptions!$D$7,"Other Services"))),"Other Services"))</f>
        <v/>
      </c>
    </row>
    <row r="4628" customFormat="false" ht="15" hidden="false" customHeight="false" outlineLevel="0" collapsed="false">
      <c r="I4628" s="41" t="str">
        <f aca="false">IF(F4628="","",IFERROR(IF(ISNUMBER(SEARCH(Assumptions!$C$5,F4628)),Assumptions!$D$5,IF(ISNUMBER(SEARCH(Assumptions!$C$6,F4628)),Assumptions!$D$6,IF(ISNUMBER(SEARCH(Assumptions!$C$7,F4628)),Assumptions!$D$7,"Other Services"))),"Other Services"))</f>
        <v/>
      </c>
    </row>
    <row r="4629" customFormat="false" ht="15" hidden="false" customHeight="false" outlineLevel="0" collapsed="false">
      <c r="I4629" s="41" t="str">
        <f aca="false">IF(F4629="","",IFERROR(IF(ISNUMBER(SEARCH(Assumptions!$C$5,F4629)),Assumptions!$D$5,IF(ISNUMBER(SEARCH(Assumptions!$C$6,F4629)),Assumptions!$D$6,IF(ISNUMBER(SEARCH(Assumptions!$C$7,F4629)),Assumptions!$D$7,"Other Services"))),"Other Services"))</f>
        <v/>
      </c>
    </row>
    <row r="4630" customFormat="false" ht="15" hidden="false" customHeight="false" outlineLevel="0" collapsed="false">
      <c r="I4630" s="41" t="str">
        <f aca="false">IF(F4630="","",IFERROR(IF(ISNUMBER(SEARCH(Assumptions!$C$5,F4630)),Assumptions!$D$5,IF(ISNUMBER(SEARCH(Assumptions!$C$6,F4630)),Assumptions!$D$6,IF(ISNUMBER(SEARCH(Assumptions!$C$7,F4630)),Assumptions!$D$7,"Other Services"))),"Other Services"))</f>
        <v/>
      </c>
    </row>
    <row r="4631" customFormat="false" ht="15" hidden="false" customHeight="false" outlineLevel="0" collapsed="false">
      <c r="I4631" s="41" t="str">
        <f aca="false">IF(F4631="","",IFERROR(IF(ISNUMBER(SEARCH(Assumptions!$C$5,F4631)),Assumptions!$D$5,IF(ISNUMBER(SEARCH(Assumptions!$C$6,F4631)),Assumptions!$D$6,IF(ISNUMBER(SEARCH(Assumptions!$C$7,F4631)),Assumptions!$D$7,"Other Services"))),"Other Services"))</f>
        <v/>
      </c>
    </row>
    <row r="4632" customFormat="false" ht="15" hidden="false" customHeight="false" outlineLevel="0" collapsed="false">
      <c r="I4632" s="41" t="str">
        <f aca="false">IF(F4632="","",IFERROR(IF(ISNUMBER(SEARCH(Assumptions!$C$5,F4632)),Assumptions!$D$5,IF(ISNUMBER(SEARCH(Assumptions!$C$6,F4632)),Assumptions!$D$6,IF(ISNUMBER(SEARCH(Assumptions!$C$7,F4632)),Assumptions!$D$7,"Other Services"))),"Other Services"))</f>
        <v/>
      </c>
    </row>
    <row r="4633" customFormat="false" ht="15" hidden="false" customHeight="false" outlineLevel="0" collapsed="false">
      <c r="I4633" s="41" t="str">
        <f aca="false">IF(F4633="","",IFERROR(IF(ISNUMBER(SEARCH(Assumptions!$C$5,F4633)),Assumptions!$D$5,IF(ISNUMBER(SEARCH(Assumptions!$C$6,F4633)),Assumptions!$D$6,IF(ISNUMBER(SEARCH(Assumptions!$C$7,F4633)),Assumptions!$D$7,"Other Services"))),"Other Services"))</f>
        <v/>
      </c>
    </row>
    <row r="4634" customFormat="false" ht="15" hidden="false" customHeight="false" outlineLevel="0" collapsed="false">
      <c r="I4634" s="41" t="str">
        <f aca="false">IF(F4634="","",IFERROR(IF(ISNUMBER(SEARCH(Assumptions!$C$5,F4634)),Assumptions!$D$5,IF(ISNUMBER(SEARCH(Assumptions!$C$6,F4634)),Assumptions!$D$6,IF(ISNUMBER(SEARCH(Assumptions!$C$7,F4634)),Assumptions!$D$7,"Other Services"))),"Other Services"))</f>
        <v/>
      </c>
    </row>
    <row r="4635" customFormat="false" ht="15" hidden="false" customHeight="false" outlineLevel="0" collapsed="false">
      <c r="I4635" s="41" t="str">
        <f aca="false">IF(F4635="","",IFERROR(IF(ISNUMBER(SEARCH(Assumptions!$C$5,F4635)),Assumptions!$D$5,IF(ISNUMBER(SEARCH(Assumptions!$C$6,F4635)),Assumptions!$D$6,IF(ISNUMBER(SEARCH(Assumptions!$C$7,F4635)),Assumptions!$D$7,"Other Services"))),"Other Services"))</f>
        <v/>
      </c>
    </row>
    <row r="4636" customFormat="false" ht="15" hidden="false" customHeight="false" outlineLevel="0" collapsed="false">
      <c r="I4636" s="41" t="str">
        <f aca="false">IF(F4636="","",IFERROR(IF(ISNUMBER(SEARCH(Assumptions!$C$5,F4636)),Assumptions!$D$5,IF(ISNUMBER(SEARCH(Assumptions!$C$6,F4636)),Assumptions!$D$6,IF(ISNUMBER(SEARCH(Assumptions!$C$7,F4636)),Assumptions!$D$7,"Other Services"))),"Other Services"))</f>
        <v/>
      </c>
    </row>
    <row r="4637" customFormat="false" ht="15" hidden="false" customHeight="false" outlineLevel="0" collapsed="false">
      <c r="I4637" s="41" t="str">
        <f aca="false">IF(F4637="","",IFERROR(IF(ISNUMBER(SEARCH(Assumptions!$C$5,F4637)),Assumptions!$D$5,IF(ISNUMBER(SEARCH(Assumptions!$C$6,F4637)),Assumptions!$D$6,IF(ISNUMBER(SEARCH(Assumptions!$C$7,F4637)),Assumptions!$D$7,"Other Services"))),"Other Services"))</f>
        <v/>
      </c>
    </row>
    <row r="4638" customFormat="false" ht="15" hidden="false" customHeight="false" outlineLevel="0" collapsed="false">
      <c r="I4638" s="41" t="str">
        <f aca="false">IF(F4638="","",IFERROR(IF(ISNUMBER(SEARCH(Assumptions!$C$5,F4638)),Assumptions!$D$5,IF(ISNUMBER(SEARCH(Assumptions!$C$6,F4638)),Assumptions!$D$6,IF(ISNUMBER(SEARCH(Assumptions!$C$7,F4638)),Assumptions!$D$7,"Other Services"))),"Other Services"))</f>
        <v/>
      </c>
    </row>
    <row r="4639" customFormat="false" ht="15" hidden="false" customHeight="false" outlineLevel="0" collapsed="false">
      <c r="I4639" s="41" t="str">
        <f aca="false">IF(F4639="","",IFERROR(IF(ISNUMBER(SEARCH(Assumptions!$C$5,F4639)),Assumptions!$D$5,IF(ISNUMBER(SEARCH(Assumptions!$C$6,F4639)),Assumptions!$D$6,IF(ISNUMBER(SEARCH(Assumptions!$C$7,F4639)),Assumptions!$D$7,"Other Services"))),"Other Services"))</f>
        <v/>
      </c>
    </row>
    <row r="4640" customFormat="false" ht="15" hidden="false" customHeight="false" outlineLevel="0" collapsed="false">
      <c r="I4640" s="41" t="str">
        <f aca="false">IF(F4640="","",IFERROR(IF(ISNUMBER(SEARCH(Assumptions!$C$5,F4640)),Assumptions!$D$5,IF(ISNUMBER(SEARCH(Assumptions!$C$6,F4640)),Assumptions!$D$6,IF(ISNUMBER(SEARCH(Assumptions!$C$7,F4640)),Assumptions!$D$7,"Other Services"))),"Other Services"))</f>
        <v/>
      </c>
    </row>
    <row r="4641" customFormat="false" ht="15" hidden="false" customHeight="false" outlineLevel="0" collapsed="false">
      <c r="I4641" s="41" t="str">
        <f aca="false">IF(F4641="","",IFERROR(IF(ISNUMBER(SEARCH(Assumptions!$C$5,F4641)),Assumptions!$D$5,IF(ISNUMBER(SEARCH(Assumptions!$C$6,F4641)),Assumptions!$D$6,IF(ISNUMBER(SEARCH(Assumptions!$C$7,F4641)),Assumptions!$D$7,"Other Services"))),"Other Services"))</f>
        <v/>
      </c>
    </row>
    <row r="4642" customFormat="false" ht="15" hidden="false" customHeight="false" outlineLevel="0" collapsed="false">
      <c r="I4642" s="41" t="str">
        <f aca="false">IF(F4642="","",IFERROR(IF(ISNUMBER(SEARCH(Assumptions!$C$5,F4642)),Assumptions!$D$5,IF(ISNUMBER(SEARCH(Assumptions!$C$6,F4642)),Assumptions!$D$6,IF(ISNUMBER(SEARCH(Assumptions!$C$7,F4642)),Assumptions!$D$7,"Other Services"))),"Other Services"))</f>
        <v/>
      </c>
    </row>
    <row r="4643" customFormat="false" ht="15" hidden="false" customHeight="false" outlineLevel="0" collapsed="false">
      <c r="I4643" s="41" t="str">
        <f aca="false">IF(F4643="","",IFERROR(IF(ISNUMBER(SEARCH(Assumptions!$C$5,F4643)),Assumptions!$D$5,IF(ISNUMBER(SEARCH(Assumptions!$C$6,F4643)),Assumptions!$D$6,IF(ISNUMBER(SEARCH(Assumptions!$C$7,F4643)),Assumptions!$D$7,"Other Services"))),"Other Services"))</f>
        <v/>
      </c>
    </row>
    <row r="4644" customFormat="false" ht="15" hidden="false" customHeight="false" outlineLevel="0" collapsed="false">
      <c r="I4644" s="41" t="str">
        <f aca="false">IF(F4644="","",IFERROR(IF(ISNUMBER(SEARCH(Assumptions!$C$5,F4644)),Assumptions!$D$5,IF(ISNUMBER(SEARCH(Assumptions!$C$6,F4644)),Assumptions!$D$6,IF(ISNUMBER(SEARCH(Assumptions!$C$7,F4644)),Assumptions!$D$7,"Other Services"))),"Other Services"))</f>
        <v/>
      </c>
    </row>
    <row r="4645" customFormat="false" ht="15" hidden="false" customHeight="false" outlineLevel="0" collapsed="false">
      <c r="I4645" s="41" t="str">
        <f aca="false">IF(F4645="","",IFERROR(IF(ISNUMBER(SEARCH(Assumptions!$C$5,F4645)),Assumptions!$D$5,IF(ISNUMBER(SEARCH(Assumptions!$C$6,F4645)),Assumptions!$D$6,IF(ISNUMBER(SEARCH(Assumptions!$C$7,F4645)),Assumptions!$D$7,"Other Services"))),"Other Services"))</f>
        <v/>
      </c>
    </row>
    <row r="4646" customFormat="false" ht="15" hidden="false" customHeight="false" outlineLevel="0" collapsed="false">
      <c r="I4646" s="41" t="str">
        <f aca="false">IF(F4646="","",IFERROR(IF(ISNUMBER(SEARCH(Assumptions!$C$5,F4646)),Assumptions!$D$5,IF(ISNUMBER(SEARCH(Assumptions!$C$6,F4646)),Assumptions!$D$6,IF(ISNUMBER(SEARCH(Assumptions!$C$7,F4646)),Assumptions!$D$7,"Other Services"))),"Other Services"))</f>
        <v/>
      </c>
    </row>
    <row r="4647" customFormat="false" ht="15" hidden="false" customHeight="false" outlineLevel="0" collapsed="false">
      <c r="I4647" s="41" t="str">
        <f aca="false">IF(F4647="","",IFERROR(IF(ISNUMBER(SEARCH(Assumptions!$C$5,F4647)),Assumptions!$D$5,IF(ISNUMBER(SEARCH(Assumptions!$C$6,F4647)),Assumptions!$D$6,IF(ISNUMBER(SEARCH(Assumptions!$C$7,F4647)),Assumptions!$D$7,"Other Services"))),"Other Services"))</f>
        <v/>
      </c>
    </row>
    <row r="4648" customFormat="false" ht="15" hidden="false" customHeight="false" outlineLevel="0" collapsed="false">
      <c r="I4648" s="41" t="str">
        <f aca="false">IF(F4648="","",IFERROR(IF(ISNUMBER(SEARCH(Assumptions!$C$5,F4648)),Assumptions!$D$5,IF(ISNUMBER(SEARCH(Assumptions!$C$6,F4648)),Assumptions!$D$6,IF(ISNUMBER(SEARCH(Assumptions!$C$7,F4648)),Assumptions!$D$7,"Other Services"))),"Other Services"))</f>
        <v/>
      </c>
    </row>
    <row r="4649" customFormat="false" ht="15" hidden="false" customHeight="false" outlineLevel="0" collapsed="false">
      <c r="I4649" s="41" t="str">
        <f aca="false">IF(F4649="","",IFERROR(IF(ISNUMBER(SEARCH(Assumptions!$C$5,F4649)),Assumptions!$D$5,IF(ISNUMBER(SEARCH(Assumptions!$C$6,F4649)),Assumptions!$D$6,IF(ISNUMBER(SEARCH(Assumptions!$C$7,F4649)),Assumptions!$D$7,"Other Services"))),"Other Services"))</f>
        <v/>
      </c>
    </row>
    <row r="4650" customFormat="false" ht="15" hidden="false" customHeight="false" outlineLevel="0" collapsed="false">
      <c r="I4650" s="41" t="str">
        <f aca="false">IF(F4650="","",IFERROR(IF(ISNUMBER(SEARCH(Assumptions!$C$5,F4650)),Assumptions!$D$5,IF(ISNUMBER(SEARCH(Assumptions!$C$6,F4650)),Assumptions!$D$6,IF(ISNUMBER(SEARCH(Assumptions!$C$7,F4650)),Assumptions!$D$7,"Other Services"))),"Other Services"))</f>
        <v/>
      </c>
    </row>
    <row r="4651" customFormat="false" ht="15" hidden="false" customHeight="false" outlineLevel="0" collapsed="false">
      <c r="I4651" s="41" t="str">
        <f aca="false">IF(F4651="","",IFERROR(IF(ISNUMBER(SEARCH(Assumptions!$C$5,F4651)),Assumptions!$D$5,IF(ISNUMBER(SEARCH(Assumptions!$C$6,F4651)),Assumptions!$D$6,IF(ISNUMBER(SEARCH(Assumptions!$C$7,F4651)),Assumptions!$D$7,"Other Services"))),"Other Services"))</f>
        <v/>
      </c>
    </row>
    <row r="4652" customFormat="false" ht="15" hidden="false" customHeight="false" outlineLevel="0" collapsed="false">
      <c r="I4652" s="41" t="str">
        <f aca="false">IF(F4652="","",IFERROR(IF(ISNUMBER(SEARCH(Assumptions!$C$5,F4652)),Assumptions!$D$5,IF(ISNUMBER(SEARCH(Assumptions!$C$6,F4652)),Assumptions!$D$6,IF(ISNUMBER(SEARCH(Assumptions!$C$7,F4652)),Assumptions!$D$7,"Other Services"))),"Other Services"))</f>
        <v/>
      </c>
    </row>
    <row r="4653" customFormat="false" ht="15" hidden="false" customHeight="false" outlineLevel="0" collapsed="false">
      <c r="I4653" s="41" t="str">
        <f aca="false">IF(F4653="","",IFERROR(IF(ISNUMBER(SEARCH(Assumptions!$C$5,F4653)),Assumptions!$D$5,IF(ISNUMBER(SEARCH(Assumptions!$C$6,F4653)),Assumptions!$D$6,IF(ISNUMBER(SEARCH(Assumptions!$C$7,F4653)),Assumptions!$D$7,"Other Services"))),"Other Services"))</f>
        <v/>
      </c>
    </row>
    <row r="4654" customFormat="false" ht="15" hidden="false" customHeight="false" outlineLevel="0" collapsed="false">
      <c r="I4654" s="41" t="str">
        <f aca="false">IF(F4654="","",IFERROR(IF(ISNUMBER(SEARCH(Assumptions!$C$5,F4654)),Assumptions!$D$5,IF(ISNUMBER(SEARCH(Assumptions!$C$6,F4654)),Assumptions!$D$6,IF(ISNUMBER(SEARCH(Assumptions!$C$7,F4654)),Assumptions!$D$7,"Other Services"))),"Other Services"))</f>
        <v/>
      </c>
    </row>
    <row r="4655" customFormat="false" ht="15" hidden="false" customHeight="false" outlineLevel="0" collapsed="false">
      <c r="I4655" s="41" t="str">
        <f aca="false">IF(F4655="","",IFERROR(IF(ISNUMBER(SEARCH(Assumptions!$C$5,F4655)),Assumptions!$D$5,IF(ISNUMBER(SEARCH(Assumptions!$C$6,F4655)),Assumptions!$D$6,IF(ISNUMBER(SEARCH(Assumptions!$C$7,F4655)),Assumptions!$D$7,"Other Services"))),"Other Services"))</f>
        <v/>
      </c>
    </row>
    <row r="4656" customFormat="false" ht="15" hidden="false" customHeight="false" outlineLevel="0" collapsed="false">
      <c r="I4656" s="41" t="str">
        <f aca="false">IF(F4656="","",IFERROR(IF(ISNUMBER(SEARCH(Assumptions!$C$5,F4656)),Assumptions!$D$5,IF(ISNUMBER(SEARCH(Assumptions!$C$6,F4656)),Assumptions!$D$6,IF(ISNUMBER(SEARCH(Assumptions!$C$7,F4656)),Assumptions!$D$7,"Other Services"))),"Other Services"))</f>
        <v/>
      </c>
    </row>
    <row r="4657" customFormat="false" ht="15" hidden="false" customHeight="false" outlineLevel="0" collapsed="false">
      <c r="I4657" s="41" t="str">
        <f aca="false">IF(F4657="","",IFERROR(IF(ISNUMBER(SEARCH(Assumptions!$C$5,F4657)),Assumptions!$D$5,IF(ISNUMBER(SEARCH(Assumptions!$C$6,F4657)),Assumptions!$D$6,IF(ISNUMBER(SEARCH(Assumptions!$C$7,F4657)),Assumptions!$D$7,"Other Services"))),"Other Services"))</f>
        <v/>
      </c>
    </row>
    <row r="4658" customFormat="false" ht="15" hidden="false" customHeight="false" outlineLevel="0" collapsed="false">
      <c r="I4658" s="41" t="str">
        <f aca="false">IF(F4658="","",IFERROR(IF(ISNUMBER(SEARCH(Assumptions!$C$5,F4658)),Assumptions!$D$5,IF(ISNUMBER(SEARCH(Assumptions!$C$6,F4658)),Assumptions!$D$6,IF(ISNUMBER(SEARCH(Assumptions!$C$7,F4658)),Assumptions!$D$7,"Other Services"))),"Other Services"))</f>
        <v/>
      </c>
    </row>
    <row r="4659" customFormat="false" ht="15" hidden="false" customHeight="false" outlineLevel="0" collapsed="false">
      <c r="I4659" s="41" t="str">
        <f aca="false">IF(F4659="","",IFERROR(IF(ISNUMBER(SEARCH(Assumptions!$C$5,F4659)),Assumptions!$D$5,IF(ISNUMBER(SEARCH(Assumptions!$C$6,F4659)),Assumptions!$D$6,IF(ISNUMBER(SEARCH(Assumptions!$C$7,F4659)),Assumptions!$D$7,"Other Services"))),"Other Services"))</f>
        <v/>
      </c>
    </row>
    <row r="4660" customFormat="false" ht="15" hidden="false" customHeight="false" outlineLevel="0" collapsed="false">
      <c r="I4660" s="41" t="str">
        <f aca="false">IF(F4660="","",IFERROR(IF(ISNUMBER(SEARCH(Assumptions!$C$5,F4660)),Assumptions!$D$5,IF(ISNUMBER(SEARCH(Assumptions!$C$6,F4660)),Assumptions!$D$6,IF(ISNUMBER(SEARCH(Assumptions!$C$7,F4660)),Assumptions!$D$7,"Other Services"))),"Other Services"))</f>
        <v/>
      </c>
    </row>
    <row r="4661" customFormat="false" ht="15" hidden="false" customHeight="false" outlineLevel="0" collapsed="false">
      <c r="I4661" s="41" t="str">
        <f aca="false">IF(F4661="","",IFERROR(IF(ISNUMBER(SEARCH(Assumptions!$C$5,F4661)),Assumptions!$D$5,IF(ISNUMBER(SEARCH(Assumptions!$C$6,F4661)),Assumptions!$D$6,IF(ISNUMBER(SEARCH(Assumptions!$C$7,F4661)),Assumptions!$D$7,"Other Services"))),"Other Services"))</f>
        <v/>
      </c>
    </row>
    <row r="4662" customFormat="false" ht="15" hidden="false" customHeight="false" outlineLevel="0" collapsed="false">
      <c r="I4662" s="41" t="str">
        <f aca="false">IF(F4662="","",IFERROR(IF(ISNUMBER(SEARCH(Assumptions!$C$5,F4662)),Assumptions!$D$5,IF(ISNUMBER(SEARCH(Assumptions!$C$6,F4662)),Assumptions!$D$6,IF(ISNUMBER(SEARCH(Assumptions!$C$7,F4662)),Assumptions!$D$7,"Other Services"))),"Other Services"))</f>
        <v/>
      </c>
    </row>
    <row r="4663" customFormat="false" ht="15" hidden="false" customHeight="false" outlineLevel="0" collapsed="false">
      <c r="I4663" s="41" t="str">
        <f aca="false">IF(F4663="","",IFERROR(IF(ISNUMBER(SEARCH(Assumptions!$C$5,F4663)),Assumptions!$D$5,IF(ISNUMBER(SEARCH(Assumptions!$C$6,F4663)),Assumptions!$D$6,IF(ISNUMBER(SEARCH(Assumptions!$C$7,F4663)),Assumptions!$D$7,"Other Services"))),"Other Services"))</f>
        <v/>
      </c>
    </row>
    <row r="4664" customFormat="false" ht="15" hidden="false" customHeight="false" outlineLevel="0" collapsed="false">
      <c r="I4664" s="41" t="str">
        <f aca="false">IF(F4664="","",IFERROR(IF(ISNUMBER(SEARCH(Assumptions!$C$5,F4664)),Assumptions!$D$5,IF(ISNUMBER(SEARCH(Assumptions!$C$6,F4664)),Assumptions!$D$6,IF(ISNUMBER(SEARCH(Assumptions!$C$7,F4664)),Assumptions!$D$7,"Other Services"))),"Other Services"))</f>
        <v/>
      </c>
    </row>
    <row r="4665" customFormat="false" ht="15" hidden="false" customHeight="false" outlineLevel="0" collapsed="false">
      <c r="I4665" s="41" t="str">
        <f aca="false">IF(F4665="","",IFERROR(IF(ISNUMBER(SEARCH(Assumptions!$C$5,F4665)),Assumptions!$D$5,IF(ISNUMBER(SEARCH(Assumptions!$C$6,F4665)),Assumptions!$D$6,IF(ISNUMBER(SEARCH(Assumptions!$C$7,F4665)),Assumptions!$D$7,"Other Services"))),"Other Services"))</f>
        <v/>
      </c>
    </row>
    <row r="4666" customFormat="false" ht="15" hidden="false" customHeight="false" outlineLevel="0" collapsed="false">
      <c r="I4666" s="41" t="str">
        <f aca="false">IF(F4666="","",IFERROR(IF(ISNUMBER(SEARCH(Assumptions!$C$5,F4666)),Assumptions!$D$5,IF(ISNUMBER(SEARCH(Assumptions!$C$6,F4666)),Assumptions!$D$6,IF(ISNUMBER(SEARCH(Assumptions!$C$7,F4666)),Assumptions!$D$7,"Other Services"))),"Other Services"))</f>
        <v/>
      </c>
    </row>
    <row r="4667" customFormat="false" ht="15" hidden="false" customHeight="false" outlineLevel="0" collapsed="false">
      <c r="I4667" s="41" t="str">
        <f aca="false">IF(F4667="","",IFERROR(IF(ISNUMBER(SEARCH(Assumptions!$C$5,F4667)),Assumptions!$D$5,IF(ISNUMBER(SEARCH(Assumptions!$C$6,F4667)),Assumptions!$D$6,IF(ISNUMBER(SEARCH(Assumptions!$C$7,F4667)),Assumptions!$D$7,"Other Services"))),"Other Services"))</f>
        <v/>
      </c>
    </row>
    <row r="4668" customFormat="false" ht="15" hidden="false" customHeight="false" outlineLevel="0" collapsed="false">
      <c r="I4668" s="41" t="str">
        <f aca="false">IF(F4668="","",IFERROR(IF(ISNUMBER(SEARCH(Assumptions!$C$5,F4668)),Assumptions!$D$5,IF(ISNUMBER(SEARCH(Assumptions!$C$6,F4668)),Assumptions!$D$6,IF(ISNUMBER(SEARCH(Assumptions!$C$7,F4668)),Assumptions!$D$7,"Other Services"))),"Other Services"))</f>
        <v/>
      </c>
    </row>
    <row r="4669" customFormat="false" ht="15" hidden="false" customHeight="false" outlineLevel="0" collapsed="false">
      <c r="I4669" s="41" t="str">
        <f aca="false">IF(F4669="","",IFERROR(IF(ISNUMBER(SEARCH(Assumptions!$C$5,F4669)),Assumptions!$D$5,IF(ISNUMBER(SEARCH(Assumptions!$C$6,F4669)),Assumptions!$D$6,IF(ISNUMBER(SEARCH(Assumptions!$C$7,F4669)),Assumptions!$D$7,"Other Services"))),"Other Services"))</f>
        <v/>
      </c>
    </row>
    <row r="4670" customFormat="false" ht="15" hidden="false" customHeight="false" outlineLevel="0" collapsed="false">
      <c r="I4670" s="41" t="str">
        <f aca="false">IF(F4670="","",IFERROR(IF(ISNUMBER(SEARCH(Assumptions!$C$5,F4670)),Assumptions!$D$5,IF(ISNUMBER(SEARCH(Assumptions!$C$6,F4670)),Assumptions!$D$6,IF(ISNUMBER(SEARCH(Assumptions!$C$7,F4670)),Assumptions!$D$7,"Other Services"))),"Other Services"))</f>
        <v/>
      </c>
    </row>
    <row r="4671" customFormat="false" ht="15" hidden="false" customHeight="false" outlineLevel="0" collapsed="false">
      <c r="I4671" s="41" t="str">
        <f aca="false">IF(F4671="","",IFERROR(IF(ISNUMBER(SEARCH(Assumptions!$C$5,F4671)),Assumptions!$D$5,IF(ISNUMBER(SEARCH(Assumptions!$C$6,F4671)),Assumptions!$D$6,IF(ISNUMBER(SEARCH(Assumptions!$C$7,F4671)),Assumptions!$D$7,"Other Services"))),"Other Services"))</f>
        <v/>
      </c>
    </row>
    <row r="4672" customFormat="false" ht="15" hidden="false" customHeight="false" outlineLevel="0" collapsed="false">
      <c r="I4672" s="41" t="str">
        <f aca="false">IF(F4672="","",IFERROR(IF(ISNUMBER(SEARCH(Assumptions!$C$5,F4672)),Assumptions!$D$5,IF(ISNUMBER(SEARCH(Assumptions!$C$6,F4672)),Assumptions!$D$6,IF(ISNUMBER(SEARCH(Assumptions!$C$7,F4672)),Assumptions!$D$7,"Other Services"))),"Other Services"))</f>
        <v/>
      </c>
    </row>
    <row r="4673" customFormat="false" ht="15" hidden="false" customHeight="false" outlineLevel="0" collapsed="false">
      <c r="I4673" s="41" t="str">
        <f aca="false">IF(F4673="","",IFERROR(IF(ISNUMBER(SEARCH(Assumptions!$C$5,F4673)),Assumptions!$D$5,IF(ISNUMBER(SEARCH(Assumptions!$C$6,F4673)),Assumptions!$D$6,IF(ISNUMBER(SEARCH(Assumptions!$C$7,F4673)),Assumptions!$D$7,"Other Services"))),"Other Services"))</f>
        <v/>
      </c>
    </row>
    <row r="4674" customFormat="false" ht="15" hidden="false" customHeight="false" outlineLevel="0" collapsed="false">
      <c r="I4674" s="41" t="str">
        <f aca="false">IF(F4674="","",IFERROR(IF(ISNUMBER(SEARCH(Assumptions!$C$5,F4674)),Assumptions!$D$5,IF(ISNUMBER(SEARCH(Assumptions!$C$6,F4674)),Assumptions!$D$6,IF(ISNUMBER(SEARCH(Assumptions!$C$7,F4674)),Assumptions!$D$7,"Other Services"))),"Other Services"))</f>
        <v/>
      </c>
    </row>
    <row r="4675" customFormat="false" ht="15" hidden="false" customHeight="false" outlineLevel="0" collapsed="false">
      <c r="I4675" s="41" t="str">
        <f aca="false">IF(F4675="","",IFERROR(IF(ISNUMBER(SEARCH(Assumptions!$C$5,F4675)),Assumptions!$D$5,IF(ISNUMBER(SEARCH(Assumptions!$C$6,F4675)),Assumptions!$D$6,IF(ISNUMBER(SEARCH(Assumptions!$C$7,F4675)),Assumptions!$D$7,"Other Services"))),"Other Services"))</f>
        <v/>
      </c>
    </row>
    <row r="4676" customFormat="false" ht="15" hidden="false" customHeight="false" outlineLevel="0" collapsed="false">
      <c r="I4676" s="41" t="str">
        <f aca="false">IF(F4676="","",IFERROR(IF(ISNUMBER(SEARCH(Assumptions!$C$5,F4676)),Assumptions!$D$5,IF(ISNUMBER(SEARCH(Assumptions!$C$6,F4676)),Assumptions!$D$6,IF(ISNUMBER(SEARCH(Assumptions!$C$7,F4676)),Assumptions!$D$7,"Other Services"))),"Other Services"))</f>
        <v/>
      </c>
    </row>
    <row r="4677" customFormat="false" ht="15" hidden="false" customHeight="false" outlineLevel="0" collapsed="false">
      <c r="I4677" s="41" t="str">
        <f aca="false">IF(F4677="","",IFERROR(IF(ISNUMBER(SEARCH(Assumptions!$C$5,F4677)),Assumptions!$D$5,IF(ISNUMBER(SEARCH(Assumptions!$C$6,F4677)),Assumptions!$D$6,IF(ISNUMBER(SEARCH(Assumptions!$C$7,F4677)),Assumptions!$D$7,"Other Services"))),"Other Services"))</f>
        <v/>
      </c>
    </row>
    <row r="4678" customFormat="false" ht="15" hidden="false" customHeight="false" outlineLevel="0" collapsed="false">
      <c r="I4678" s="41" t="str">
        <f aca="false">IF(F4678="","",IFERROR(IF(ISNUMBER(SEARCH(Assumptions!$C$5,F4678)),Assumptions!$D$5,IF(ISNUMBER(SEARCH(Assumptions!$C$6,F4678)),Assumptions!$D$6,IF(ISNUMBER(SEARCH(Assumptions!$C$7,F4678)),Assumptions!$D$7,"Other Services"))),"Other Services"))</f>
        <v/>
      </c>
    </row>
    <row r="4679" customFormat="false" ht="15" hidden="false" customHeight="false" outlineLevel="0" collapsed="false">
      <c r="I4679" s="41" t="str">
        <f aca="false">IF(F4679="","",IFERROR(IF(ISNUMBER(SEARCH(Assumptions!$C$5,F4679)),Assumptions!$D$5,IF(ISNUMBER(SEARCH(Assumptions!$C$6,F4679)),Assumptions!$D$6,IF(ISNUMBER(SEARCH(Assumptions!$C$7,F4679)),Assumptions!$D$7,"Other Services"))),"Other Services"))</f>
        <v/>
      </c>
    </row>
    <row r="4680" customFormat="false" ht="15" hidden="false" customHeight="false" outlineLevel="0" collapsed="false">
      <c r="I4680" s="41" t="str">
        <f aca="false">IF(F4680="","",IFERROR(IF(ISNUMBER(SEARCH(Assumptions!$C$5,F4680)),Assumptions!$D$5,IF(ISNUMBER(SEARCH(Assumptions!$C$6,F4680)),Assumptions!$D$6,IF(ISNUMBER(SEARCH(Assumptions!$C$7,F4680)),Assumptions!$D$7,"Other Services"))),"Other Services"))</f>
        <v/>
      </c>
    </row>
    <row r="4681" customFormat="false" ht="15" hidden="false" customHeight="false" outlineLevel="0" collapsed="false">
      <c r="I4681" s="41" t="str">
        <f aca="false">IF(F4681="","",IFERROR(IF(ISNUMBER(SEARCH(Assumptions!$C$5,F4681)),Assumptions!$D$5,IF(ISNUMBER(SEARCH(Assumptions!$C$6,F4681)),Assumptions!$D$6,IF(ISNUMBER(SEARCH(Assumptions!$C$7,F4681)),Assumptions!$D$7,"Other Services"))),"Other Services"))</f>
        <v/>
      </c>
    </row>
    <row r="4682" customFormat="false" ht="15" hidden="false" customHeight="false" outlineLevel="0" collapsed="false">
      <c r="I4682" s="41" t="str">
        <f aca="false">IF(F4682="","",IFERROR(IF(ISNUMBER(SEARCH(Assumptions!$C$5,F4682)),Assumptions!$D$5,IF(ISNUMBER(SEARCH(Assumptions!$C$6,F4682)),Assumptions!$D$6,IF(ISNUMBER(SEARCH(Assumptions!$C$7,F4682)),Assumptions!$D$7,"Other Services"))),"Other Services"))</f>
        <v/>
      </c>
    </row>
    <row r="4683" customFormat="false" ht="15" hidden="false" customHeight="false" outlineLevel="0" collapsed="false">
      <c r="I4683" s="41" t="str">
        <f aca="false">IF(F4683="","",IFERROR(IF(ISNUMBER(SEARCH(Assumptions!$C$5,F4683)),Assumptions!$D$5,IF(ISNUMBER(SEARCH(Assumptions!$C$6,F4683)),Assumptions!$D$6,IF(ISNUMBER(SEARCH(Assumptions!$C$7,F4683)),Assumptions!$D$7,"Other Services"))),"Other Services"))</f>
        <v/>
      </c>
    </row>
    <row r="4684" customFormat="false" ht="15" hidden="false" customHeight="false" outlineLevel="0" collapsed="false">
      <c r="I4684" s="41" t="str">
        <f aca="false">IF(F4684="","",IFERROR(IF(ISNUMBER(SEARCH(Assumptions!$C$5,F4684)),Assumptions!$D$5,IF(ISNUMBER(SEARCH(Assumptions!$C$6,F4684)),Assumptions!$D$6,IF(ISNUMBER(SEARCH(Assumptions!$C$7,F4684)),Assumptions!$D$7,"Other Services"))),"Other Services"))</f>
        <v/>
      </c>
    </row>
    <row r="4685" customFormat="false" ht="15" hidden="false" customHeight="false" outlineLevel="0" collapsed="false">
      <c r="I4685" s="41" t="str">
        <f aca="false">IF(F4685="","",IFERROR(IF(ISNUMBER(SEARCH(Assumptions!$C$5,F4685)),Assumptions!$D$5,IF(ISNUMBER(SEARCH(Assumptions!$C$6,F4685)),Assumptions!$D$6,IF(ISNUMBER(SEARCH(Assumptions!$C$7,F4685)),Assumptions!$D$7,"Other Services"))),"Other Services"))</f>
        <v/>
      </c>
    </row>
    <row r="4686" customFormat="false" ht="15" hidden="false" customHeight="false" outlineLevel="0" collapsed="false">
      <c r="I4686" s="41" t="str">
        <f aca="false">IF(F4686="","",IFERROR(IF(ISNUMBER(SEARCH(Assumptions!$C$5,F4686)),Assumptions!$D$5,IF(ISNUMBER(SEARCH(Assumptions!$C$6,F4686)),Assumptions!$D$6,IF(ISNUMBER(SEARCH(Assumptions!$C$7,F4686)),Assumptions!$D$7,"Other Services"))),"Other Services"))</f>
        <v/>
      </c>
    </row>
    <row r="4687" customFormat="false" ht="15" hidden="false" customHeight="false" outlineLevel="0" collapsed="false">
      <c r="I4687" s="41" t="str">
        <f aca="false">IF(F4687="","",IFERROR(IF(ISNUMBER(SEARCH(Assumptions!$C$5,F4687)),Assumptions!$D$5,IF(ISNUMBER(SEARCH(Assumptions!$C$6,F4687)),Assumptions!$D$6,IF(ISNUMBER(SEARCH(Assumptions!$C$7,F4687)),Assumptions!$D$7,"Other Services"))),"Other Services"))</f>
        <v/>
      </c>
    </row>
    <row r="4688" customFormat="false" ht="15" hidden="false" customHeight="false" outlineLevel="0" collapsed="false">
      <c r="I4688" s="41" t="str">
        <f aca="false">IF(F4688="","",IFERROR(IF(ISNUMBER(SEARCH(Assumptions!$C$5,F4688)),Assumptions!$D$5,IF(ISNUMBER(SEARCH(Assumptions!$C$6,F4688)),Assumptions!$D$6,IF(ISNUMBER(SEARCH(Assumptions!$C$7,F4688)),Assumptions!$D$7,"Other Services"))),"Other Services"))</f>
        <v/>
      </c>
    </row>
    <row r="4689" customFormat="false" ht="15" hidden="false" customHeight="false" outlineLevel="0" collapsed="false">
      <c r="I4689" s="41" t="str">
        <f aca="false">IF(F4689="","",IFERROR(IF(ISNUMBER(SEARCH(Assumptions!$C$5,F4689)),Assumptions!$D$5,IF(ISNUMBER(SEARCH(Assumptions!$C$6,F4689)),Assumptions!$D$6,IF(ISNUMBER(SEARCH(Assumptions!$C$7,F4689)),Assumptions!$D$7,"Other Services"))),"Other Services"))</f>
        <v/>
      </c>
    </row>
    <row r="4690" customFormat="false" ht="15" hidden="false" customHeight="false" outlineLevel="0" collapsed="false">
      <c r="I4690" s="41" t="str">
        <f aca="false">IF(F4690="","",IFERROR(IF(ISNUMBER(SEARCH(Assumptions!$C$5,F4690)),Assumptions!$D$5,IF(ISNUMBER(SEARCH(Assumptions!$C$6,F4690)),Assumptions!$D$6,IF(ISNUMBER(SEARCH(Assumptions!$C$7,F4690)),Assumptions!$D$7,"Other Services"))),"Other Services"))</f>
        <v/>
      </c>
    </row>
    <row r="4691" customFormat="false" ht="15" hidden="false" customHeight="false" outlineLevel="0" collapsed="false">
      <c r="I4691" s="41" t="str">
        <f aca="false">IF(F4691="","",IFERROR(IF(ISNUMBER(SEARCH(Assumptions!$C$5,F4691)),Assumptions!$D$5,IF(ISNUMBER(SEARCH(Assumptions!$C$6,F4691)),Assumptions!$D$6,IF(ISNUMBER(SEARCH(Assumptions!$C$7,F4691)),Assumptions!$D$7,"Other Services"))),"Other Services"))</f>
        <v/>
      </c>
    </row>
    <row r="4692" customFormat="false" ht="15" hidden="false" customHeight="false" outlineLevel="0" collapsed="false">
      <c r="I4692" s="41" t="str">
        <f aca="false">IF(F4692="","",IFERROR(IF(ISNUMBER(SEARCH(Assumptions!$C$5,F4692)),Assumptions!$D$5,IF(ISNUMBER(SEARCH(Assumptions!$C$6,F4692)),Assumptions!$D$6,IF(ISNUMBER(SEARCH(Assumptions!$C$7,F4692)),Assumptions!$D$7,"Other Services"))),"Other Services"))</f>
        <v/>
      </c>
    </row>
    <row r="4693" customFormat="false" ht="15" hidden="false" customHeight="false" outlineLevel="0" collapsed="false">
      <c r="I4693" s="41" t="str">
        <f aca="false">IF(F4693="","",IFERROR(IF(ISNUMBER(SEARCH(Assumptions!$C$5,F4693)),Assumptions!$D$5,IF(ISNUMBER(SEARCH(Assumptions!$C$6,F4693)),Assumptions!$D$6,IF(ISNUMBER(SEARCH(Assumptions!$C$7,F4693)),Assumptions!$D$7,"Other Services"))),"Other Services"))</f>
        <v/>
      </c>
    </row>
    <row r="4694" customFormat="false" ht="15" hidden="false" customHeight="false" outlineLevel="0" collapsed="false">
      <c r="I4694" s="41" t="str">
        <f aca="false">IF(F4694="","",IFERROR(IF(ISNUMBER(SEARCH(Assumptions!$C$5,F4694)),Assumptions!$D$5,IF(ISNUMBER(SEARCH(Assumptions!$C$6,F4694)),Assumptions!$D$6,IF(ISNUMBER(SEARCH(Assumptions!$C$7,F4694)),Assumptions!$D$7,"Other Services"))),"Other Services"))</f>
        <v/>
      </c>
    </row>
    <row r="4695" customFormat="false" ht="15" hidden="false" customHeight="false" outlineLevel="0" collapsed="false">
      <c r="I4695" s="41" t="str">
        <f aca="false">IF(F4695="","",IFERROR(IF(ISNUMBER(SEARCH(Assumptions!$C$5,F4695)),Assumptions!$D$5,IF(ISNUMBER(SEARCH(Assumptions!$C$6,F4695)),Assumptions!$D$6,IF(ISNUMBER(SEARCH(Assumptions!$C$7,F4695)),Assumptions!$D$7,"Other Services"))),"Other Services"))</f>
        <v/>
      </c>
    </row>
    <row r="4696" customFormat="false" ht="15" hidden="false" customHeight="false" outlineLevel="0" collapsed="false">
      <c r="I4696" s="41" t="str">
        <f aca="false">IF(F4696="","",IFERROR(IF(ISNUMBER(SEARCH(Assumptions!$C$5,F4696)),Assumptions!$D$5,IF(ISNUMBER(SEARCH(Assumptions!$C$6,F4696)),Assumptions!$D$6,IF(ISNUMBER(SEARCH(Assumptions!$C$7,F4696)),Assumptions!$D$7,"Other Services"))),"Other Services"))</f>
        <v/>
      </c>
    </row>
    <row r="4697" customFormat="false" ht="15" hidden="false" customHeight="false" outlineLevel="0" collapsed="false">
      <c r="I4697" s="41" t="str">
        <f aca="false">IF(F4697="","",IFERROR(IF(ISNUMBER(SEARCH(Assumptions!$C$5,F4697)),Assumptions!$D$5,IF(ISNUMBER(SEARCH(Assumptions!$C$6,F4697)),Assumptions!$D$6,IF(ISNUMBER(SEARCH(Assumptions!$C$7,F4697)),Assumptions!$D$7,"Other Services"))),"Other Services"))</f>
        <v/>
      </c>
    </row>
    <row r="4698" customFormat="false" ht="15" hidden="false" customHeight="false" outlineLevel="0" collapsed="false">
      <c r="I4698" s="41" t="str">
        <f aca="false">IF(F4698="","",IFERROR(IF(ISNUMBER(SEARCH(Assumptions!$C$5,F4698)),Assumptions!$D$5,IF(ISNUMBER(SEARCH(Assumptions!$C$6,F4698)),Assumptions!$D$6,IF(ISNUMBER(SEARCH(Assumptions!$C$7,F4698)),Assumptions!$D$7,"Other Services"))),"Other Services"))</f>
        <v/>
      </c>
    </row>
    <row r="4699" customFormat="false" ht="15" hidden="false" customHeight="false" outlineLevel="0" collapsed="false">
      <c r="I4699" s="41" t="str">
        <f aca="false">IF(F4699="","",IFERROR(IF(ISNUMBER(SEARCH(Assumptions!$C$5,F4699)),Assumptions!$D$5,IF(ISNUMBER(SEARCH(Assumptions!$C$6,F4699)),Assumptions!$D$6,IF(ISNUMBER(SEARCH(Assumptions!$C$7,F4699)),Assumptions!$D$7,"Other Services"))),"Other Services"))</f>
        <v/>
      </c>
    </row>
    <row r="4700" customFormat="false" ht="15" hidden="false" customHeight="false" outlineLevel="0" collapsed="false">
      <c r="I4700" s="41" t="str">
        <f aca="false">IF(F4700="","",IFERROR(IF(ISNUMBER(SEARCH(Assumptions!$C$5,F4700)),Assumptions!$D$5,IF(ISNUMBER(SEARCH(Assumptions!$C$6,F4700)),Assumptions!$D$6,IF(ISNUMBER(SEARCH(Assumptions!$C$7,F4700)),Assumptions!$D$7,"Other Services"))),"Other Services"))</f>
        <v/>
      </c>
    </row>
    <row r="4701" customFormat="false" ht="15" hidden="false" customHeight="false" outlineLevel="0" collapsed="false">
      <c r="I4701" s="41" t="str">
        <f aca="false">IF(F4701="","",IFERROR(IF(ISNUMBER(SEARCH(Assumptions!$C$5,F4701)),Assumptions!$D$5,IF(ISNUMBER(SEARCH(Assumptions!$C$6,F4701)),Assumptions!$D$6,IF(ISNUMBER(SEARCH(Assumptions!$C$7,F4701)),Assumptions!$D$7,"Other Services"))),"Other Services"))</f>
        <v/>
      </c>
    </row>
    <row r="4702" customFormat="false" ht="15" hidden="false" customHeight="false" outlineLevel="0" collapsed="false">
      <c r="I4702" s="41" t="str">
        <f aca="false">IF(F4702="","",IFERROR(IF(ISNUMBER(SEARCH(Assumptions!$C$5,F4702)),Assumptions!$D$5,IF(ISNUMBER(SEARCH(Assumptions!$C$6,F4702)),Assumptions!$D$6,IF(ISNUMBER(SEARCH(Assumptions!$C$7,F4702)),Assumptions!$D$7,"Other Services"))),"Other Services"))</f>
        <v/>
      </c>
    </row>
    <row r="4703" customFormat="false" ht="15" hidden="false" customHeight="false" outlineLevel="0" collapsed="false">
      <c r="I4703" s="41" t="str">
        <f aca="false">IF(F4703="","",IFERROR(IF(ISNUMBER(SEARCH(Assumptions!$C$5,F4703)),Assumptions!$D$5,IF(ISNUMBER(SEARCH(Assumptions!$C$6,F4703)),Assumptions!$D$6,IF(ISNUMBER(SEARCH(Assumptions!$C$7,F4703)),Assumptions!$D$7,"Other Services"))),"Other Services"))</f>
        <v/>
      </c>
    </row>
    <row r="4704" customFormat="false" ht="15" hidden="false" customHeight="false" outlineLevel="0" collapsed="false">
      <c r="I4704" s="41" t="str">
        <f aca="false">IF(F4704="","",IFERROR(IF(ISNUMBER(SEARCH(Assumptions!$C$5,F4704)),Assumptions!$D$5,IF(ISNUMBER(SEARCH(Assumptions!$C$6,F4704)),Assumptions!$D$6,IF(ISNUMBER(SEARCH(Assumptions!$C$7,F4704)),Assumptions!$D$7,"Other Services"))),"Other Services"))</f>
        <v/>
      </c>
    </row>
    <row r="4705" customFormat="false" ht="15" hidden="false" customHeight="false" outlineLevel="0" collapsed="false">
      <c r="I4705" s="41" t="str">
        <f aca="false">IF(F4705="","",IFERROR(IF(ISNUMBER(SEARCH(Assumptions!$C$5,F4705)),Assumptions!$D$5,IF(ISNUMBER(SEARCH(Assumptions!$C$6,F4705)),Assumptions!$D$6,IF(ISNUMBER(SEARCH(Assumptions!$C$7,F4705)),Assumptions!$D$7,"Other Services"))),"Other Services"))</f>
        <v/>
      </c>
    </row>
    <row r="4706" customFormat="false" ht="15" hidden="false" customHeight="false" outlineLevel="0" collapsed="false">
      <c r="I4706" s="41" t="str">
        <f aca="false">IF(F4706="","",IFERROR(IF(ISNUMBER(SEARCH(Assumptions!$C$5,F4706)),Assumptions!$D$5,IF(ISNUMBER(SEARCH(Assumptions!$C$6,F4706)),Assumptions!$D$6,IF(ISNUMBER(SEARCH(Assumptions!$C$7,F4706)),Assumptions!$D$7,"Other Services"))),"Other Services"))</f>
        <v/>
      </c>
    </row>
    <row r="4707" customFormat="false" ht="15" hidden="false" customHeight="false" outlineLevel="0" collapsed="false">
      <c r="I4707" s="41" t="str">
        <f aca="false">IF(F4707="","",IFERROR(IF(ISNUMBER(SEARCH(Assumptions!$C$5,F4707)),Assumptions!$D$5,IF(ISNUMBER(SEARCH(Assumptions!$C$6,F4707)),Assumptions!$D$6,IF(ISNUMBER(SEARCH(Assumptions!$C$7,F4707)),Assumptions!$D$7,"Other Services"))),"Other Services"))</f>
        <v/>
      </c>
    </row>
    <row r="4708" customFormat="false" ht="15" hidden="false" customHeight="false" outlineLevel="0" collapsed="false">
      <c r="I4708" s="41" t="str">
        <f aca="false">IF(F4708="","",IFERROR(IF(ISNUMBER(SEARCH(Assumptions!$C$5,F4708)),Assumptions!$D$5,IF(ISNUMBER(SEARCH(Assumptions!$C$6,F4708)),Assumptions!$D$6,IF(ISNUMBER(SEARCH(Assumptions!$C$7,F4708)),Assumptions!$D$7,"Other Services"))),"Other Services"))</f>
        <v/>
      </c>
    </row>
    <row r="4709" customFormat="false" ht="15" hidden="false" customHeight="false" outlineLevel="0" collapsed="false">
      <c r="I4709" s="41" t="str">
        <f aca="false">IF(F4709="","",IFERROR(IF(ISNUMBER(SEARCH(Assumptions!$C$5,F4709)),Assumptions!$D$5,IF(ISNUMBER(SEARCH(Assumptions!$C$6,F4709)),Assumptions!$D$6,IF(ISNUMBER(SEARCH(Assumptions!$C$7,F4709)),Assumptions!$D$7,"Other Services"))),"Other Services"))</f>
        <v/>
      </c>
    </row>
    <row r="4710" customFormat="false" ht="15" hidden="false" customHeight="false" outlineLevel="0" collapsed="false">
      <c r="I4710" s="41" t="str">
        <f aca="false">IF(F4710="","",IFERROR(IF(ISNUMBER(SEARCH(Assumptions!$C$5,F4710)),Assumptions!$D$5,IF(ISNUMBER(SEARCH(Assumptions!$C$6,F4710)),Assumptions!$D$6,IF(ISNUMBER(SEARCH(Assumptions!$C$7,F4710)),Assumptions!$D$7,"Other Services"))),"Other Services"))</f>
        <v/>
      </c>
    </row>
    <row r="4711" customFormat="false" ht="15" hidden="false" customHeight="false" outlineLevel="0" collapsed="false">
      <c r="I4711" s="41" t="str">
        <f aca="false">IF(F4711="","",IFERROR(IF(ISNUMBER(SEARCH(Assumptions!$C$5,F4711)),Assumptions!$D$5,IF(ISNUMBER(SEARCH(Assumptions!$C$6,F4711)),Assumptions!$D$6,IF(ISNUMBER(SEARCH(Assumptions!$C$7,F4711)),Assumptions!$D$7,"Other Services"))),"Other Services"))</f>
        <v/>
      </c>
    </row>
    <row r="4712" customFormat="false" ht="15" hidden="false" customHeight="false" outlineLevel="0" collapsed="false">
      <c r="I4712" s="41" t="str">
        <f aca="false">IF(F4712="","",IFERROR(IF(ISNUMBER(SEARCH(Assumptions!$C$5,F4712)),Assumptions!$D$5,IF(ISNUMBER(SEARCH(Assumptions!$C$6,F4712)),Assumptions!$D$6,IF(ISNUMBER(SEARCH(Assumptions!$C$7,F4712)),Assumptions!$D$7,"Other Services"))),"Other Services"))</f>
        <v/>
      </c>
    </row>
    <row r="4713" customFormat="false" ht="15" hidden="false" customHeight="false" outlineLevel="0" collapsed="false">
      <c r="I4713" s="41" t="str">
        <f aca="false">IF(F4713="","",IFERROR(IF(ISNUMBER(SEARCH(Assumptions!$C$5,F4713)),Assumptions!$D$5,IF(ISNUMBER(SEARCH(Assumptions!$C$6,F4713)),Assumptions!$D$6,IF(ISNUMBER(SEARCH(Assumptions!$C$7,F4713)),Assumptions!$D$7,"Other Services"))),"Other Services"))</f>
        <v/>
      </c>
    </row>
    <row r="4714" customFormat="false" ht="15" hidden="false" customHeight="false" outlineLevel="0" collapsed="false">
      <c r="I4714" s="41" t="str">
        <f aca="false">IF(F4714="","",IFERROR(IF(ISNUMBER(SEARCH(Assumptions!$C$5,F4714)),Assumptions!$D$5,IF(ISNUMBER(SEARCH(Assumptions!$C$6,F4714)),Assumptions!$D$6,IF(ISNUMBER(SEARCH(Assumptions!$C$7,F4714)),Assumptions!$D$7,"Other Services"))),"Other Services"))</f>
        <v/>
      </c>
    </row>
    <row r="4715" customFormat="false" ht="15" hidden="false" customHeight="false" outlineLevel="0" collapsed="false">
      <c r="I4715" s="41" t="str">
        <f aca="false">IF(F4715="","",IFERROR(IF(ISNUMBER(SEARCH(Assumptions!$C$5,F4715)),Assumptions!$D$5,IF(ISNUMBER(SEARCH(Assumptions!$C$6,F4715)),Assumptions!$D$6,IF(ISNUMBER(SEARCH(Assumptions!$C$7,F4715)),Assumptions!$D$7,"Other Services"))),"Other Services"))</f>
        <v/>
      </c>
    </row>
    <row r="4716" customFormat="false" ht="15" hidden="false" customHeight="false" outlineLevel="0" collapsed="false">
      <c r="I4716" s="41" t="str">
        <f aca="false">IF(F4716="","",IFERROR(IF(ISNUMBER(SEARCH(Assumptions!$C$5,F4716)),Assumptions!$D$5,IF(ISNUMBER(SEARCH(Assumptions!$C$6,F4716)),Assumptions!$D$6,IF(ISNUMBER(SEARCH(Assumptions!$C$7,F4716)),Assumptions!$D$7,"Other Services"))),"Other Services"))</f>
        <v/>
      </c>
    </row>
    <row r="4717" customFormat="false" ht="15" hidden="false" customHeight="false" outlineLevel="0" collapsed="false">
      <c r="I4717" s="41" t="str">
        <f aca="false">IF(F4717="","",IFERROR(IF(ISNUMBER(SEARCH(Assumptions!$C$5,F4717)),Assumptions!$D$5,IF(ISNUMBER(SEARCH(Assumptions!$C$6,F4717)),Assumptions!$D$6,IF(ISNUMBER(SEARCH(Assumptions!$C$7,F4717)),Assumptions!$D$7,"Other Services"))),"Other Services"))</f>
        <v/>
      </c>
    </row>
    <row r="4718" customFormat="false" ht="15" hidden="false" customHeight="false" outlineLevel="0" collapsed="false">
      <c r="I4718" s="41" t="str">
        <f aca="false">IF(F4718="","",IFERROR(IF(ISNUMBER(SEARCH(Assumptions!$C$5,F4718)),Assumptions!$D$5,IF(ISNUMBER(SEARCH(Assumptions!$C$6,F4718)),Assumptions!$D$6,IF(ISNUMBER(SEARCH(Assumptions!$C$7,F4718)),Assumptions!$D$7,"Other Services"))),"Other Services"))</f>
        <v/>
      </c>
    </row>
    <row r="4719" customFormat="false" ht="15" hidden="false" customHeight="false" outlineLevel="0" collapsed="false">
      <c r="I4719" s="41" t="str">
        <f aca="false">IF(F4719="","",IFERROR(IF(ISNUMBER(SEARCH(Assumptions!$C$5,F4719)),Assumptions!$D$5,IF(ISNUMBER(SEARCH(Assumptions!$C$6,F4719)),Assumptions!$D$6,IF(ISNUMBER(SEARCH(Assumptions!$C$7,F4719)),Assumptions!$D$7,"Other Services"))),"Other Services"))</f>
        <v/>
      </c>
    </row>
    <row r="4720" customFormat="false" ht="15" hidden="false" customHeight="false" outlineLevel="0" collapsed="false">
      <c r="I4720" s="41" t="str">
        <f aca="false">IF(F4720="","",IFERROR(IF(ISNUMBER(SEARCH(Assumptions!$C$5,F4720)),Assumptions!$D$5,IF(ISNUMBER(SEARCH(Assumptions!$C$6,F4720)),Assumptions!$D$6,IF(ISNUMBER(SEARCH(Assumptions!$C$7,F4720)),Assumptions!$D$7,"Other Services"))),"Other Services"))</f>
        <v/>
      </c>
    </row>
    <row r="4721" customFormat="false" ht="15" hidden="false" customHeight="false" outlineLevel="0" collapsed="false">
      <c r="I4721" s="41" t="str">
        <f aca="false">IF(F4721="","",IFERROR(IF(ISNUMBER(SEARCH(Assumptions!$C$5,F4721)),Assumptions!$D$5,IF(ISNUMBER(SEARCH(Assumptions!$C$6,F4721)),Assumptions!$D$6,IF(ISNUMBER(SEARCH(Assumptions!$C$7,F4721)),Assumptions!$D$7,"Other Services"))),"Other Services"))</f>
        <v/>
      </c>
    </row>
    <row r="4722" customFormat="false" ht="15" hidden="false" customHeight="false" outlineLevel="0" collapsed="false">
      <c r="I4722" s="41" t="str">
        <f aca="false">IF(F4722="","",IFERROR(IF(ISNUMBER(SEARCH(Assumptions!$C$5,F4722)),Assumptions!$D$5,IF(ISNUMBER(SEARCH(Assumptions!$C$6,F4722)),Assumptions!$D$6,IF(ISNUMBER(SEARCH(Assumptions!$C$7,F4722)),Assumptions!$D$7,"Other Services"))),"Other Services"))</f>
        <v/>
      </c>
    </row>
    <row r="4723" customFormat="false" ht="15" hidden="false" customHeight="false" outlineLevel="0" collapsed="false">
      <c r="I4723" s="41" t="str">
        <f aca="false">IF(F4723="","",IFERROR(IF(ISNUMBER(SEARCH(Assumptions!$C$5,F4723)),Assumptions!$D$5,IF(ISNUMBER(SEARCH(Assumptions!$C$6,F4723)),Assumptions!$D$6,IF(ISNUMBER(SEARCH(Assumptions!$C$7,F4723)),Assumptions!$D$7,"Other Services"))),"Other Services"))</f>
        <v/>
      </c>
    </row>
    <row r="4724" customFormat="false" ht="15" hidden="false" customHeight="false" outlineLevel="0" collapsed="false">
      <c r="I4724" s="41" t="str">
        <f aca="false">IF(F4724="","",IFERROR(IF(ISNUMBER(SEARCH(Assumptions!$C$5,F4724)),Assumptions!$D$5,IF(ISNUMBER(SEARCH(Assumptions!$C$6,F4724)),Assumptions!$D$6,IF(ISNUMBER(SEARCH(Assumptions!$C$7,F4724)),Assumptions!$D$7,"Other Services"))),"Other Services"))</f>
        <v/>
      </c>
    </row>
    <row r="4725" customFormat="false" ht="15" hidden="false" customHeight="false" outlineLevel="0" collapsed="false">
      <c r="I4725" s="41" t="str">
        <f aca="false">IF(F4725="","",IFERROR(IF(ISNUMBER(SEARCH(Assumptions!$C$5,F4725)),Assumptions!$D$5,IF(ISNUMBER(SEARCH(Assumptions!$C$6,F4725)),Assumptions!$D$6,IF(ISNUMBER(SEARCH(Assumptions!$C$7,F4725)),Assumptions!$D$7,"Other Services"))),"Other Services"))</f>
        <v/>
      </c>
    </row>
    <row r="4726" customFormat="false" ht="15" hidden="false" customHeight="false" outlineLevel="0" collapsed="false">
      <c r="I4726" s="41" t="str">
        <f aca="false">IF(F4726="","",IFERROR(IF(ISNUMBER(SEARCH(Assumptions!$C$5,F4726)),Assumptions!$D$5,IF(ISNUMBER(SEARCH(Assumptions!$C$6,F4726)),Assumptions!$D$6,IF(ISNUMBER(SEARCH(Assumptions!$C$7,F4726)),Assumptions!$D$7,"Other Services"))),"Other Services"))</f>
        <v/>
      </c>
    </row>
    <row r="4727" customFormat="false" ht="15" hidden="false" customHeight="false" outlineLevel="0" collapsed="false">
      <c r="I4727" s="41" t="str">
        <f aca="false">IF(F4727="","",IFERROR(IF(ISNUMBER(SEARCH(Assumptions!$C$5,F4727)),Assumptions!$D$5,IF(ISNUMBER(SEARCH(Assumptions!$C$6,F4727)),Assumptions!$D$6,IF(ISNUMBER(SEARCH(Assumptions!$C$7,F4727)),Assumptions!$D$7,"Other Services"))),"Other Services"))</f>
        <v/>
      </c>
    </row>
    <row r="4728" customFormat="false" ht="15" hidden="false" customHeight="false" outlineLevel="0" collapsed="false">
      <c r="I4728" s="41" t="str">
        <f aca="false">IF(F4728="","",IFERROR(IF(ISNUMBER(SEARCH(Assumptions!$C$5,F4728)),Assumptions!$D$5,IF(ISNUMBER(SEARCH(Assumptions!$C$6,F4728)),Assumptions!$D$6,IF(ISNUMBER(SEARCH(Assumptions!$C$7,F4728)),Assumptions!$D$7,"Other Services"))),"Other Services"))</f>
        <v/>
      </c>
    </row>
    <row r="4729" customFormat="false" ht="15" hidden="false" customHeight="false" outlineLevel="0" collapsed="false">
      <c r="I4729" s="41" t="str">
        <f aca="false">IF(F4729="","",IFERROR(IF(ISNUMBER(SEARCH(Assumptions!$C$5,F4729)),Assumptions!$D$5,IF(ISNUMBER(SEARCH(Assumptions!$C$6,F4729)),Assumptions!$D$6,IF(ISNUMBER(SEARCH(Assumptions!$C$7,F4729)),Assumptions!$D$7,"Other Services"))),"Other Services"))</f>
        <v/>
      </c>
    </row>
    <row r="4730" customFormat="false" ht="15" hidden="false" customHeight="false" outlineLevel="0" collapsed="false">
      <c r="I4730" s="41" t="str">
        <f aca="false">IF(F4730="","",IFERROR(IF(ISNUMBER(SEARCH(Assumptions!$C$5,F4730)),Assumptions!$D$5,IF(ISNUMBER(SEARCH(Assumptions!$C$6,F4730)),Assumptions!$D$6,IF(ISNUMBER(SEARCH(Assumptions!$C$7,F4730)),Assumptions!$D$7,"Other Services"))),"Other Services"))</f>
        <v/>
      </c>
    </row>
    <row r="4731" customFormat="false" ht="15" hidden="false" customHeight="false" outlineLevel="0" collapsed="false">
      <c r="I4731" s="41" t="str">
        <f aca="false">IF(F4731="","",IFERROR(IF(ISNUMBER(SEARCH(Assumptions!$C$5,F4731)),Assumptions!$D$5,IF(ISNUMBER(SEARCH(Assumptions!$C$6,F4731)),Assumptions!$D$6,IF(ISNUMBER(SEARCH(Assumptions!$C$7,F4731)),Assumptions!$D$7,"Other Services"))),"Other Services"))</f>
        <v/>
      </c>
    </row>
    <row r="4732" customFormat="false" ht="15" hidden="false" customHeight="false" outlineLevel="0" collapsed="false">
      <c r="I4732" s="41" t="str">
        <f aca="false">IF(F4732="","",IFERROR(IF(ISNUMBER(SEARCH(Assumptions!$C$5,F4732)),Assumptions!$D$5,IF(ISNUMBER(SEARCH(Assumptions!$C$6,F4732)),Assumptions!$D$6,IF(ISNUMBER(SEARCH(Assumptions!$C$7,F4732)),Assumptions!$D$7,"Other Services"))),"Other Services"))</f>
        <v/>
      </c>
    </row>
    <row r="4733" customFormat="false" ht="15" hidden="false" customHeight="false" outlineLevel="0" collapsed="false">
      <c r="I4733" s="41" t="str">
        <f aca="false">IF(F4733="","",IFERROR(IF(ISNUMBER(SEARCH(Assumptions!$C$5,F4733)),Assumptions!$D$5,IF(ISNUMBER(SEARCH(Assumptions!$C$6,F4733)),Assumptions!$D$6,IF(ISNUMBER(SEARCH(Assumptions!$C$7,F4733)),Assumptions!$D$7,"Other Services"))),"Other Services"))</f>
        <v/>
      </c>
    </row>
    <row r="4734" customFormat="false" ht="15" hidden="false" customHeight="false" outlineLevel="0" collapsed="false">
      <c r="I4734" s="41" t="str">
        <f aca="false">IF(F4734="","",IFERROR(IF(ISNUMBER(SEARCH(Assumptions!$C$5,F4734)),Assumptions!$D$5,IF(ISNUMBER(SEARCH(Assumptions!$C$6,F4734)),Assumptions!$D$6,IF(ISNUMBER(SEARCH(Assumptions!$C$7,F4734)),Assumptions!$D$7,"Other Services"))),"Other Services"))</f>
        <v/>
      </c>
    </row>
    <row r="4735" customFormat="false" ht="15" hidden="false" customHeight="false" outlineLevel="0" collapsed="false">
      <c r="I4735" s="41" t="str">
        <f aca="false">IF(F4735="","",IFERROR(IF(ISNUMBER(SEARCH(Assumptions!$C$5,F4735)),Assumptions!$D$5,IF(ISNUMBER(SEARCH(Assumptions!$C$6,F4735)),Assumptions!$D$6,IF(ISNUMBER(SEARCH(Assumptions!$C$7,F4735)),Assumptions!$D$7,"Other Services"))),"Other Services"))</f>
        <v/>
      </c>
    </row>
    <row r="4736" customFormat="false" ht="15" hidden="false" customHeight="false" outlineLevel="0" collapsed="false">
      <c r="I4736" s="41" t="str">
        <f aca="false">IF(F4736="","",IFERROR(IF(ISNUMBER(SEARCH(Assumptions!$C$5,F4736)),Assumptions!$D$5,IF(ISNUMBER(SEARCH(Assumptions!$C$6,F4736)),Assumptions!$D$6,IF(ISNUMBER(SEARCH(Assumptions!$C$7,F4736)),Assumptions!$D$7,"Other Services"))),"Other Services"))</f>
        <v/>
      </c>
    </row>
    <row r="4737" customFormat="false" ht="15" hidden="false" customHeight="false" outlineLevel="0" collapsed="false">
      <c r="I4737" s="41" t="str">
        <f aca="false">IF(F4737="","",IFERROR(IF(ISNUMBER(SEARCH(Assumptions!$C$5,F4737)),Assumptions!$D$5,IF(ISNUMBER(SEARCH(Assumptions!$C$6,F4737)),Assumptions!$D$6,IF(ISNUMBER(SEARCH(Assumptions!$C$7,F4737)),Assumptions!$D$7,"Other Services"))),"Other Services"))</f>
        <v/>
      </c>
    </row>
    <row r="4738" customFormat="false" ht="15" hidden="false" customHeight="false" outlineLevel="0" collapsed="false">
      <c r="I4738" s="41" t="str">
        <f aca="false">IF(F4738="","",IFERROR(IF(ISNUMBER(SEARCH(Assumptions!$C$5,F4738)),Assumptions!$D$5,IF(ISNUMBER(SEARCH(Assumptions!$C$6,F4738)),Assumptions!$D$6,IF(ISNUMBER(SEARCH(Assumptions!$C$7,F4738)),Assumptions!$D$7,"Other Services"))),"Other Services"))</f>
        <v/>
      </c>
    </row>
    <row r="4739" customFormat="false" ht="15" hidden="false" customHeight="false" outlineLevel="0" collapsed="false">
      <c r="I4739" s="41" t="str">
        <f aca="false">IF(F4739="","",IFERROR(IF(ISNUMBER(SEARCH(Assumptions!$C$5,F4739)),Assumptions!$D$5,IF(ISNUMBER(SEARCH(Assumptions!$C$6,F4739)),Assumptions!$D$6,IF(ISNUMBER(SEARCH(Assumptions!$C$7,F4739)),Assumptions!$D$7,"Other Services"))),"Other Services"))</f>
        <v/>
      </c>
    </row>
    <row r="4740" customFormat="false" ht="15" hidden="false" customHeight="false" outlineLevel="0" collapsed="false">
      <c r="I4740" s="41" t="str">
        <f aca="false">IF(F4740="","",IFERROR(IF(ISNUMBER(SEARCH(Assumptions!$C$5,F4740)),Assumptions!$D$5,IF(ISNUMBER(SEARCH(Assumptions!$C$6,F4740)),Assumptions!$D$6,IF(ISNUMBER(SEARCH(Assumptions!$C$7,F4740)),Assumptions!$D$7,"Other Services"))),"Other Services"))</f>
        <v/>
      </c>
    </row>
    <row r="4741" customFormat="false" ht="15" hidden="false" customHeight="false" outlineLevel="0" collapsed="false">
      <c r="I4741" s="41" t="str">
        <f aca="false">IF(F4741="","",IFERROR(IF(ISNUMBER(SEARCH(Assumptions!$C$5,F4741)),Assumptions!$D$5,IF(ISNUMBER(SEARCH(Assumptions!$C$6,F4741)),Assumptions!$D$6,IF(ISNUMBER(SEARCH(Assumptions!$C$7,F4741)),Assumptions!$D$7,"Other Services"))),"Other Services"))</f>
        <v/>
      </c>
    </row>
    <row r="4742" customFormat="false" ht="15" hidden="false" customHeight="false" outlineLevel="0" collapsed="false">
      <c r="I4742" s="41" t="str">
        <f aca="false">IF(F4742="","",IFERROR(IF(ISNUMBER(SEARCH(Assumptions!$C$5,F4742)),Assumptions!$D$5,IF(ISNUMBER(SEARCH(Assumptions!$C$6,F4742)),Assumptions!$D$6,IF(ISNUMBER(SEARCH(Assumptions!$C$7,F4742)),Assumptions!$D$7,"Other Services"))),"Other Services"))</f>
        <v/>
      </c>
    </row>
    <row r="4743" customFormat="false" ht="15" hidden="false" customHeight="false" outlineLevel="0" collapsed="false">
      <c r="I4743" s="41" t="str">
        <f aca="false">IF(F4743="","",IFERROR(IF(ISNUMBER(SEARCH(Assumptions!$C$5,F4743)),Assumptions!$D$5,IF(ISNUMBER(SEARCH(Assumptions!$C$6,F4743)),Assumptions!$D$6,IF(ISNUMBER(SEARCH(Assumptions!$C$7,F4743)),Assumptions!$D$7,"Other Services"))),"Other Services"))</f>
        <v/>
      </c>
    </row>
    <row r="4744" customFormat="false" ht="15" hidden="false" customHeight="false" outlineLevel="0" collapsed="false">
      <c r="I4744" s="41" t="str">
        <f aca="false">IF(F4744="","",IFERROR(IF(ISNUMBER(SEARCH(Assumptions!$C$5,F4744)),Assumptions!$D$5,IF(ISNUMBER(SEARCH(Assumptions!$C$6,F4744)),Assumptions!$D$6,IF(ISNUMBER(SEARCH(Assumptions!$C$7,F4744)),Assumptions!$D$7,"Other Services"))),"Other Services"))</f>
        <v/>
      </c>
    </row>
    <row r="4745" customFormat="false" ht="15" hidden="false" customHeight="false" outlineLevel="0" collapsed="false">
      <c r="I4745" s="41" t="str">
        <f aca="false">IF(F4745="","",IFERROR(IF(ISNUMBER(SEARCH(Assumptions!$C$5,F4745)),Assumptions!$D$5,IF(ISNUMBER(SEARCH(Assumptions!$C$6,F4745)),Assumptions!$D$6,IF(ISNUMBER(SEARCH(Assumptions!$C$7,F4745)),Assumptions!$D$7,"Other Services"))),"Other Services"))</f>
        <v/>
      </c>
    </row>
    <row r="4746" customFormat="false" ht="15" hidden="false" customHeight="false" outlineLevel="0" collapsed="false">
      <c r="I4746" s="41" t="str">
        <f aca="false">IF(F4746="","",IFERROR(IF(ISNUMBER(SEARCH(Assumptions!$C$5,F4746)),Assumptions!$D$5,IF(ISNUMBER(SEARCH(Assumptions!$C$6,F4746)),Assumptions!$D$6,IF(ISNUMBER(SEARCH(Assumptions!$C$7,F4746)),Assumptions!$D$7,"Other Services"))),"Other Services"))</f>
        <v/>
      </c>
    </row>
    <row r="4747" customFormat="false" ht="15" hidden="false" customHeight="false" outlineLevel="0" collapsed="false">
      <c r="I4747" s="41" t="str">
        <f aca="false">IF(F4747="","",IFERROR(IF(ISNUMBER(SEARCH(Assumptions!$C$5,F4747)),Assumptions!$D$5,IF(ISNUMBER(SEARCH(Assumptions!$C$6,F4747)),Assumptions!$D$6,IF(ISNUMBER(SEARCH(Assumptions!$C$7,F4747)),Assumptions!$D$7,"Other Services"))),"Other Services"))</f>
        <v/>
      </c>
    </row>
    <row r="4748" customFormat="false" ht="15" hidden="false" customHeight="false" outlineLevel="0" collapsed="false">
      <c r="I4748" s="41" t="str">
        <f aca="false">IF(F4748="","",IFERROR(IF(ISNUMBER(SEARCH(Assumptions!$C$5,F4748)),Assumptions!$D$5,IF(ISNUMBER(SEARCH(Assumptions!$C$6,F4748)),Assumptions!$D$6,IF(ISNUMBER(SEARCH(Assumptions!$C$7,F4748)),Assumptions!$D$7,"Other Services"))),"Other Services"))</f>
        <v/>
      </c>
    </row>
    <row r="4749" customFormat="false" ht="15" hidden="false" customHeight="false" outlineLevel="0" collapsed="false">
      <c r="I4749" s="41" t="str">
        <f aca="false">IF(F4749="","",IFERROR(IF(ISNUMBER(SEARCH(Assumptions!$C$5,F4749)),Assumptions!$D$5,IF(ISNUMBER(SEARCH(Assumptions!$C$6,F4749)),Assumptions!$D$6,IF(ISNUMBER(SEARCH(Assumptions!$C$7,F4749)),Assumptions!$D$7,"Other Services"))),"Other Services"))</f>
        <v/>
      </c>
    </row>
    <row r="4750" customFormat="false" ht="15" hidden="false" customHeight="false" outlineLevel="0" collapsed="false">
      <c r="I4750" s="41" t="str">
        <f aca="false">IF(F4750="","",IFERROR(IF(ISNUMBER(SEARCH(Assumptions!$C$5,F4750)),Assumptions!$D$5,IF(ISNUMBER(SEARCH(Assumptions!$C$6,F4750)),Assumptions!$D$6,IF(ISNUMBER(SEARCH(Assumptions!$C$7,F4750)),Assumptions!$D$7,"Other Services"))),"Other Services"))</f>
        <v/>
      </c>
    </row>
    <row r="4751" customFormat="false" ht="15" hidden="false" customHeight="false" outlineLevel="0" collapsed="false">
      <c r="I4751" s="41" t="str">
        <f aca="false">IF(F4751="","",IFERROR(IF(ISNUMBER(SEARCH(Assumptions!$C$5,F4751)),Assumptions!$D$5,IF(ISNUMBER(SEARCH(Assumptions!$C$6,F4751)),Assumptions!$D$6,IF(ISNUMBER(SEARCH(Assumptions!$C$7,F4751)),Assumptions!$D$7,"Other Services"))),"Other Services"))</f>
        <v/>
      </c>
    </row>
    <row r="4752" customFormat="false" ht="15" hidden="false" customHeight="false" outlineLevel="0" collapsed="false">
      <c r="I4752" s="41" t="str">
        <f aca="false">IF(F4752="","",IFERROR(IF(ISNUMBER(SEARCH(Assumptions!$C$5,F4752)),Assumptions!$D$5,IF(ISNUMBER(SEARCH(Assumptions!$C$6,F4752)),Assumptions!$D$6,IF(ISNUMBER(SEARCH(Assumptions!$C$7,F4752)),Assumptions!$D$7,"Other Services"))),"Other Services"))</f>
        <v/>
      </c>
    </row>
    <row r="4753" customFormat="false" ht="15" hidden="false" customHeight="false" outlineLevel="0" collapsed="false">
      <c r="I4753" s="41" t="str">
        <f aca="false">IF(F4753="","",IFERROR(IF(ISNUMBER(SEARCH(Assumptions!$C$5,F4753)),Assumptions!$D$5,IF(ISNUMBER(SEARCH(Assumptions!$C$6,F4753)),Assumptions!$D$6,IF(ISNUMBER(SEARCH(Assumptions!$C$7,F4753)),Assumptions!$D$7,"Other Services"))),"Other Services"))</f>
        <v/>
      </c>
    </row>
    <row r="4754" customFormat="false" ht="15" hidden="false" customHeight="false" outlineLevel="0" collapsed="false">
      <c r="I4754" s="41" t="str">
        <f aca="false">IF(F4754="","",IFERROR(IF(ISNUMBER(SEARCH(Assumptions!$C$5,F4754)),Assumptions!$D$5,IF(ISNUMBER(SEARCH(Assumptions!$C$6,F4754)),Assumptions!$D$6,IF(ISNUMBER(SEARCH(Assumptions!$C$7,F4754)),Assumptions!$D$7,"Other Services"))),"Other Services"))</f>
        <v/>
      </c>
    </row>
    <row r="4755" customFormat="false" ht="15" hidden="false" customHeight="false" outlineLevel="0" collapsed="false">
      <c r="I4755" s="41" t="str">
        <f aca="false">IF(F4755="","",IFERROR(IF(ISNUMBER(SEARCH(Assumptions!$C$5,F4755)),Assumptions!$D$5,IF(ISNUMBER(SEARCH(Assumptions!$C$6,F4755)),Assumptions!$D$6,IF(ISNUMBER(SEARCH(Assumptions!$C$7,F4755)),Assumptions!$D$7,"Other Services"))),"Other Services"))</f>
        <v/>
      </c>
    </row>
    <row r="4756" customFormat="false" ht="15" hidden="false" customHeight="false" outlineLevel="0" collapsed="false">
      <c r="I4756" s="41" t="str">
        <f aca="false">IF(F4756="","",IFERROR(IF(ISNUMBER(SEARCH(Assumptions!$C$5,F4756)),Assumptions!$D$5,IF(ISNUMBER(SEARCH(Assumptions!$C$6,F4756)),Assumptions!$D$6,IF(ISNUMBER(SEARCH(Assumptions!$C$7,F4756)),Assumptions!$D$7,"Other Services"))),"Other Services"))</f>
        <v/>
      </c>
    </row>
    <row r="4757" customFormat="false" ht="15" hidden="false" customHeight="false" outlineLevel="0" collapsed="false">
      <c r="I4757" s="41" t="str">
        <f aca="false">IF(F4757="","",IFERROR(IF(ISNUMBER(SEARCH(Assumptions!$C$5,F4757)),Assumptions!$D$5,IF(ISNUMBER(SEARCH(Assumptions!$C$6,F4757)),Assumptions!$D$6,IF(ISNUMBER(SEARCH(Assumptions!$C$7,F4757)),Assumptions!$D$7,"Other Services"))),"Other Services"))</f>
        <v/>
      </c>
    </row>
    <row r="4758" customFormat="false" ht="15" hidden="false" customHeight="false" outlineLevel="0" collapsed="false">
      <c r="I4758" s="41" t="str">
        <f aca="false">IF(F4758="","",IFERROR(IF(ISNUMBER(SEARCH(Assumptions!$C$5,F4758)),Assumptions!$D$5,IF(ISNUMBER(SEARCH(Assumptions!$C$6,F4758)),Assumptions!$D$6,IF(ISNUMBER(SEARCH(Assumptions!$C$7,F4758)),Assumptions!$D$7,"Other Services"))),"Other Services"))</f>
        <v/>
      </c>
    </row>
    <row r="4759" customFormat="false" ht="15" hidden="false" customHeight="false" outlineLevel="0" collapsed="false">
      <c r="I4759" s="41" t="str">
        <f aca="false">IF(F4759="","",IFERROR(IF(ISNUMBER(SEARCH(Assumptions!$C$5,F4759)),Assumptions!$D$5,IF(ISNUMBER(SEARCH(Assumptions!$C$6,F4759)),Assumptions!$D$6,IF(ISNUMBER(SEARCH(Assumptions!$C$7,F4759)),Assumptions!$D$7,"Other Services"))),"Other Services"))</f>
        <v/>
      </c>
    </row>
    <row r="4760" customFormat="false" ht="15" hidden="false" customHeight="false" outlineLevel="0" collapsed="false">
      <c r="I4760" s="41" t="str">
        <f aca="false">IF(F4760="","",IFERROR(IF(ISNUMBER(SEARCH(Assumptions!$C$5,F4760)),Assumptions!$D$5,IF(ISNUMBER(SEARCH(Assumptions!$C$6,F4760)),Assumptions!$D$6,IF(ISNUMBER(SEARCH(Assumptions!$C$7,F4760)),Assumptions!$D$7,"Other Services"))),"Other Services"))</f>
        <v/>
      </c>
    </row>
    <row r="4761" customFormat="false" ht="15" hidden="false" customHeight="false" outlineLevel="0" collapsed="false">
      <c r="I4761" s="41" t="str">
        <f aca="false">IF(F4761="","",IFERROR(IF(ISNUMBER(SEARCH(Assumptions!$C$5,F4761)),Assumptions!$D$5,IF(ISNUMBER(SEARCH(Assumptions!$C$6,F4761)),Assumptions!$D$6,IF(ISNUMBER(SEARCH(Assumptions!$C$7,F4761)),Assumptions!$D$7,"Other Services"))),"Other Services"))</f>
        <v/>
      </c>
    </row>
    <row r="4762" customFormat="false" ht="15" hidden="false" customHeight="false" outlineLevel="0" collapsed="false">
      <c r="I4762" s="41" t="str">
        <f aca="false">IF(F4762="","",IFERROR(IF(ISNUMBER(SEARCH(Assumptions!$C$5,F4762)),Assumptions!$D$5,IF(ISNUMBER(SEARCH(Assumptions!$C$6,F4762)),Assumptions!$D$6,IF(ISNUMBER(SEARCH(Assumptions!$C$7,F4762)),Assumptions!$D$7,"Other Services"))),"Other Services"))</f>
        <v/>
      </c>
    </row>
    <row r="4763" customFormat="false" ht="15" hidden="false" customHeight="false" outlineLevel="0" collapsed="false">
      <c r="I4763" s="41" t="str">
        <f aca="false">IF(F4763="","",IFERROR(IF(ISNUMBER(SEARCH(Assumptions!$C$5,F4763)),Assumptions!$D$5,IF(ISNUMBER(SEARCH(Assumptions!$C$6,F4763)),Assumptions!$D$6,IF(ISNUMBER(SEARCH(Assumptions!$C$7,F4763)),Assumptions!$D$7,"Other Services"))),"Other Services"))</f>
        <v/>
      </c>
    </row>
    <row r="4764" customFormat="false" ht="15" hidden="false" customHeight="false" outlineLevel="0" collapsed="false">
      <c r="I4764" s="41" t="str">
        <f aca="false">IF(F4764="","",IFERROR(IF(ISNUMBER(SEARCH(Assumptions!$C$5,F4764)),Assumptions!$D$5,IF(ISNUMBER(SEARCH(Assumptions!$C$6,F4764)),Assumptions!$D$6,IF(ISNUMBER(SEARCH(Assumptions!$C$7,F4764)),Assumptions!$D$7,"Other Services"))),"Other Services"))</f>
        <v/>
      </c>
    </row>
    <row r="4765" customFormat="false" ht="15" hidden="false" customHeight="false" outlineLevel="0" collapsed="false">
      <c r="I4765" s="41" t="str">
        <f aca="false">IF(F4765="","",IFERROR(IF(ISNUMBER(SEARCH(Assumptions!$C$5,F4765)),Assumptions!$D$5,IF(ISNUMBER(SEARCH(Assumptions!$C$6,F4765)),Assumptions!$D$6,IF(ISNUMBER(SEARCH(Assumptions!$C$7,F4765)),Assumptions!$D$7,"Other Services"))),"Other Services"))</f>
        <v/>
      </c>
    </row>
    <row r="4766" customFormat="false" ht="15" hidden="false" customHeight="false" outlineLevel="0" collapsed="false">
      <c r="I4766" s="41" t="str">
        <f aca="false">IF(F4766="","",IFERROR(IF(ISNUMBER(SEARCH(Assumptions!$C$5,F4766)),Assumptions!$D$5,IF(ISNUMBER(SEARCH(Assumptions!$C$6,F4766)),Assumptions!$D$6,IF(ISNUMBER(SEARCH(Assumptions!$C$7,F4766)),Assumptions!$D$7,"Other Services"))),"Other Services"))</f>
        <v/>
      </c>
    </row>
    <row r="4767" customFormat="false" ht="15" hidden="false" customHeight="false" outlineLevel="0" collapsed="false">
      <c r="I4767" s="41" t="str">
        <f aca="false">IF(F4767="","",IFERROR(IF(ISNUMBER(SEARCH(Assumptions!$C$5,F4767)),Assumptions!$D$5,IF(ISNUMBER(SEARCH(Assumptions!$C$6,F4767)),Assumptions!$D$6,IF(ISNUMBER(SEARCH(Assumptions!$C$7,F4767)),Assumptions!$D$7,"Other Services"))),"Other Services"))</f>
        <v/>
      </c>
    </row>
    <row r="4768" customFormat="false" ht="15" hidden="false" customHeight="false" outlineLevel="0" collapsed="false">
      <c r="I4768" s="41" t="str">
        <f aca="false">IF(F4768="","",IFERROR(IF(ISNUMBER(SEARCH(Assumptions!$C$5,F4768)),Assumptions!$D$5,IF(ISNUMBER(SEARCH(Assumptions!$C$6,F4768)),Assumptions!$D$6,IF(ISNUMBER(SEARCH(Assumptions!$C$7,F4768)),Assumptions!$D$7,"Other Services"))),"Other Services"))</f>
        <v/>
      </c>
    </row>
    <row r="4769" customFormat="false" ht="15" hidden="false" customHeight="false" outlineLevel="0" collapsed="false">
      <c r="I4769" s="41" t="str">
        <f aca="false">IF(F4769="","",IFERROR(IF(ISNUMBER(SEARCH(Assumptions!$C$5,F4769)),Assumptions!$D$5,IF(ISNUMBER(SEARCH(Assumptions!$C$6,F4769)),Assumptions!$D$6,IF(ISNUMBER(SEARCH(Assumptions!$C$7,F4769)),Assumptions!$D$7,"Other Services"))),"Other Services"))</f>
        <v/>
      </c>
    </row>
    <row r="4770" customFormat="false" ht="15" hidden="false" customHeight="false" outlineLevel="0" collapsed="false">
      <c r="I4770" s="41" t="str">
        <f aca="false">IF(F4770="","",IFERROR(IF(ISNUMBER(SEARCH(Assumptions!$C$5,F4770)),Assumptions!$D$5,IF(ISNUMBER(SEARCH(Assumptions!$C$6,F4770)),Assumptions!$D$6,IF(ISNUMBER(SEARCH(Assumptions!$C$7,F4770)),Assumptions!$D$7,"Other Services"))),"Other Services"))</f>
        <v/>
      </c>
    </row>
    <row r="4771" customFormat="false" ht="15" hidden="false" customHeight="false" outlineLevel="0" collapsed="false">
      <c r="I4771" s="41" t="str">
        <f aca="false">IF(F4771="","",IFERROR(IF(ISNUMBER(SEARCH(Assumptions!$C$5,F4771)),Assumptions!$D$5,IF(ISNUMBER(SEARCH(Assumptions!$C$6,F4771)),Assumptions!$D$6,IF(ISNUMBER(SEARCH(Assumptions!$C$7,F4771)),Assumptions!$D$7,"Other Services"))),"Other Services"))</f>
        <v/>
      </c>
    </row>
    <row r="4772" customFormat="false" ht="15" hidden="false" customHeight="false" outlineLevel="0" collapsed="false">
      <c r="I4772" s="41" t="str">
        <f aca="false">IF(F4772="","",IFERROR(IF(ISNUMBER(SEARCH(Assumptions!$C$5,F4772)),Assumptions!$D$5,IF(ISNUMBER(SEARCH(Assumptions!$C$6,F4772)),Assumptions!$D$6,IF(ISNUMBER(SEARCH(Assumptions!$C$7,F4772)),Assumptions!$D$7,"Other Services"))),"Other Services"))</f>
        <v/>
      </c>
    </row>
    <row r="4773" customFormat="false" ht="15" hidden="false" customHeight="false" outlineLevel="0" collapsed="false">
      <c r="I4773" s="41" t="str">
        <f aca="false">IF(F4773="","",IFERROR(IF(ISNUMBER(SEARCH(Assumptions!$C$5,F4773)),Assumptions!$D$5,IF(ISNUMBER(SEARCH(Assumptions!$C$6,F4773)),Assumptions!$D$6,IF(ISNUMBER(SEARCH(Assumptions!$C$7,F4773)),Assumptions!$D$7,"Other Services"))),"Other Services"))</f>
        <v/>
      </c>
    </row>
    <row r="4774" customFormat="false" ht="15" hidden="false" customHeight="false" outlineLevel="0" collapsed="false">
      <c r="I4774" s="41" t="str">
        <f aca="false">IF(F4774="","",IFERROR(IF(ISNUMBER(SEARCH(Assumptions!$C$5,F4774)),Assumptions!$D$5,IF(ISNUMBER(SEARCH(Assumptions!$C$6,F4774)),Assumptions!$D$6,IF(ISNUMBER(SEARCH(Assumptions!$C$7,F4774)),Assumptions!$D$7,"Other Services"))),"Other Services"))</f>
        <v/>
      </c>
    </row>
    <row r="4775" customFormat="false" ht="15" hidden="false" customHeight="false" outlineLevel="0" collapsed="false">
      <c r="I4775" s="41" t="str">
        <f aca="false">IF(F4775="","",IFERROR(IF(ISNUMBER(SEARCH(Assumptions!$C$5,F4775)),Assumptions!$D$5,IF(ISNUMBER(SEARCH(Assumptions!$C$6,F4775)),Assumptions!$D$6,IF(ISNUMBER(SEARCH(Assumptions!$C$7,F4775)),Assumptions!$D$7,"Other Services"))),"Other Services"))</f>
        <v/>
      </c>
    </row>
    <row r="4776" customFormat="false" ht="15" hidden="false" customHeight="false" outlineLevel="0" collapsed="false">
      <c r="I4776" s="41" t="str">
        <f aca="false">IF(F4776="","",IFERROR(IF(ISNUMBER(SEARCH(Assumptions!$C$5,F4776)),Assumptions!$D$5,IF(ISNUMBER(SEARCH(Assumptions!$C$6,F4776)),Assumptions!$D$6,IF(ISNUMBER(SEARCH(Assumptions!$C$7,F4776)),Assumptions!$D$7,"Other Services"))),"Other Services"))</f>
        <v/>
      </c>
    </row>
    <row r="4777" customFormat="false" ht="15" hidden="false" customHeight="false" outlineLevel="0" collapsed="false">
      <c r="I4777" s="41" t="str">
        <f aca="false">IF(F4777="","",IFERROR(IF(ISNUMBER(SEARCH(Assumptions!$C$5,F4777)),Assumptions!$D$5,IF(ISNUMBER(SEARCH(Assumptions!$C$6,F4777)),Assumptions!$D$6,IF(ISNUMBER(SEARCH(Assumptions!$C$7,F4777)),Assumptions!$D$7,"Other Services"))),"Other Services"))</f>
        <v/>
      </c>
    </row>
    <row r="4778" customFormat="false" ht="15" hidden="false" customHeight="false" outlineLevel="0" collapsed="false">
      <c r="I4778" s="41" t="str">
        <f aca="false">IF(F4778="","",IFERROR(IF(ISNUMBER(SEARCH(Assumptions!$C$5,F4778)),Assumptions!$D$5,IF(ISNUMBER(SEARCH(Assumptions!$C$6,F4778)),Assumptions!$D$6,IF(ISNUMBER(SEARCH(Assumptions!$C$7,F4778)),Assumptions!$D$7,"Other Services"))),"Other Services"))</f>
        <v/>
      </c>
    </row>
    <row r="4779" customFormat="false" ht="15" hidden="false" customHeight="false" outlineLevel="0" collapsed="false">
      <c r="I4779" s="41" t="str">
        <f aca="false">IF(F4779="","",IFERROR(IF(ISNUMBER(SEARCH(Assumptions!$C$5,F4779)),Assumptions!$D$5,IF(ISNUMBER(SEARCH(Assumptions!$C$6,F4779)),Assumptions!$D$6,IF(ISNUMBER(SEARCH(Assumptions!$C$7,F4779)),Assumptions!$D$7,"Other Services"))),"Other Services"))</f>
        <v/>
      </c>
    </row>
    <row r="4780" customFormat="false" ht="15" hidden="false" customHeight="false" outlineLevel="0" collapsed="false">
      <c r="I4780" s="41" t="str">
        <f aca="false">IF(F4780="","",IFERROR(IF(ISNUMBER(SEARCH(Assumptions!$C$5,F4780)),Assumptions!$D$5,IF(ISNUMBER(SEARCH(Assumptions!$C$6,F4780)),Assumptions!$D$6,IF(ISNUMBER(SEARCH(Assumptions!$C$7,F4780)),Assumptions!$D$7,"Other Services"))),"Other Services"))</f>
        <v/>
      </c>
    </row>
    <row r="4781" customFormat="false" ht="15" hidden="false" customHeight="false" outlineLevel="0" collapsed="false">
      <c r="I4781" s="41" t="str">
        <f aca="false">IF(F4781="","",IFERROR(IF(ISNUMBER(SEARCH(Assumptions!$C$5,F4781)),Assumptions!$D$5,IF(ISNUMBER(SEARCH(Assumptions!$C$6,F4781)),Assumptions!$D$6,IF(ISNUMBER(SEARCH(Assumptions!$C$7,F4781)),Assumptions!$D$7,"Other Services"))),"Other Services"))</f>
        <v/>
      </c>
    </row>
    <row r="4782" customFormat="false" ht="15" hidden="false" customHeight="false" outlineLevel="0" collapsed="false">
      <c r="I4782" s="41" t="str">
        <f aca="false">IF(F4782="","",IFERROR(IF(ISNUMBER(SEARCH(Assumptions!$C$5,F4782)),Assumptions!$D$5,IF(ISNUMBER(SEARCH(Assumptions!$C$6,F4782)),Assumptions!$D$6,IF(ISNUMBER(SEARCH(Assumptions!$C$7,F4782)),Assumptions!$D$7,"Other Services"))),"Other Services"))</f>
        <v/>
      </c>
    </row>
    <row r="4783" customFormat="false" ht="15" hidden="false" customHeight="false" outlineLevel="0" collapsed="false">
      <c r="I4783" s="41" t="str">
        <f aca="false">IF(F4783="","",IFERROR(IF(ISNUMBER(SEARCH(Assumptions!$C$5,F4783)),Assumptions!$D$5,IF(ISNUMBER(SEARCH(Assumptions!$C$6,F4783)),Assumptions!$D$6,IF(ISNUMBER(SEARCH(Assumptions!$C$7,F4783)),Assumptions!$D$7,"Other Services"))),"Other Services"))</f>
        <v/>
      </c>
    </row>
    <row r="4784" customFormat="false" ht="15" hidden="false" customHeight="false" outlineLevel="0" collapsed="false">
      <c r="I4784" s="41" t="str">
        <f aca="false">IF(F4784="","",IFERROR(IF(ISNUMBER(SEARCH(Assumptions!$C$5,F4784)),Assumptions!$D$5,IF(ISNUMBER(SEARCH(Assumptions!$C$6,F4784)),Assumptions!$D$6,IF(ISNUMBER(SEARCH(Assumptions!$C$7,F4784)),Assumptions!$D$7,"Other Services"))),"Other Services"))</f>
        <v/>
      </c>
    </row>
    <row r="4785" customFormat="false" ht="15" hidden="false" customHeight="false" outlineLevel="0" collapsed="false">
      <c r="I4785" s="41" t="str">
        <f aca="false">IF(F4785="","",IFERROR(IF(ISNUMBER(SEARCH(Assumptions!$C$5,F4785)),Assumptions!$D$5,IF(ISNUMBER(SEARCH(Assumptions!$C$6,F4785)),Assumptions!$D$6,IF(ISNUMBER(SEARCH(Assumptions!$C$7,F4785)),Assumptions!$D$7,"Other Services"))),"Other Services"))</f>
        <v/>
      </c>
    </row>
    <row r="4786" customFormat="false" ht="15" hidden="false" customHeight="false" outlineLevel="0" collapsed="false">
      <c r="I4786" s="41" t="str">
        <f aca="false">IF(F4786="","",IFERROR(IF(ISNUMBER(SEARCH(Assumptions!$C$5,F4786)),Assumptions!$D$5,IF(ISNUMBER(SEARCH(Assumptions!$C$6,F4786)),Assumptions!$D$6,IF(ISNUMBER(SEARCH(Assumptions!$C$7,F4786)),Assumptions!$D$7,"Other Services"))),"Other Services"))</f>
        <v/>
      </c>
    </row>
    <row r="4787" customFormat="false" ht="15" hidden="false" customHeight="false" outlineLevel="0" collapsed="false">
      <c r="I4787" s="41" t="str">
        <f aca="false">IF(F4787="","",IFERROR(IF(ISNUMBER(SEARCH(Assumptions!$C$5,F4787)),Assumptions!$D$5,IF(ISNUMBER(SEARCH(Assumptions!$C$6,F4787)),Assumptions!$D$6,IF(ISNUMBER(SEARCH(Assumptions!$C$7,F4787)),Assumptions!$D$7,"Other Services"))),"Other Services"))</f>
        <v/>
      </c>
    </row>
    <row r="4788" customFormat="false" ht="15" hidden="false" customHeight="false" outlineLevel="0" collapsed="false">
      <c r="I4788" s="41" t="str">
        <f aca="false">IF(F4788="","",IFERROR(IF(ISNUMBER(SEARCH(Assumptions!$C$5,F4788)),Assumptions!$D$5,IF(ISNUMBER(SEARCH(Assumptions!$C$6,F4788)),Assumptions!$D$6,IF(ISNUMBER(SEARCH(Assumptions!$C$7,F4788)),Assumptions!$D$7,"Other Services"))),"Other Services"))</f>
        <v/>
      </c>
    </row>
    <row r="4789" customFormat="false" ht="15" hidden="false" customHeight="false" outlineLevel="0" collapsed="false">
      <c r="I4789" s="41" t="str">
        <f aca="false">IF(F4789="","",IFERROR(IF(ISNUMBER(SEARCH(Assumptions!$C$5,F4789)),Assumptions!$D$5,IF(ISNUMBER(SEARCH(Assumptions!$C$6,F4789)),Assumptions!$D$6,IF(ISNUMBER(SEARCH(Assumptions!$C$7,F4789)),Assumptions!$D$7,"Other Services"))),"Other Services"))</f>
        <v/>
      </c>
    </row>
    <row r="4790" customFormat="false" ht="15" hidden="false" customHeight="false" outlineLevel="0" collapsed="false">
      <c r="I4790" s="41" t="str">
        <f aca="false">IF(F4790="","",IFERROR(IF(ISNUMBER(SEARCH(Assumptions!$C$5,F4790)),Assumptions!$D$5,IF(ISNUMBER(SEARCH(Assumptions!$C$6,F4790)),Assumptions!$D$6,IF(ISNUMBER(SEARCH(Assumptions!$C$7,F4790)),Assumptions!$D$7,"Other Services"))),"Other Services"))</f>
        <v/>
      </c>
    </row>
    <row r="4791" customFormat="false" ht="15" hidden="false" customHeight="false" outlineLevel="0" collapsed="false">
      <c r="I4791" s="41" t="str">
        <f aca="false">IF(F4791="","",IFERROR(IF(ISNUMBER(SEARCH(Assumptions!$C$5,F4791)),Assumptions!$D$5,IF(ISNUMBER(SEARCH(Assumptions!$C$6,F4791)),Assumptions!$D$6,IF(ISNUMBER(SEARCH(Assumptions!$C$7,F4791)),Assumptions!$D$7,"Other Services"))),"Other Services"))</f>
        <v/>
      </c>
    </row>
    <row r="4792" customFormat="false" ht="15" hidden="false" customHeight="false" outlineLevel="0" collapsed="false">
      <c r="I4792" s="41" t="str">
        <f aca="false">IF(F4792="","",IFERROR(IF(ISNUMBER(SEARCH(Assumptions!$C$5,F4792)),Assumptions!$D$5,IF(ISNUMBER(SEARCH(Assumptions!$C$6,F4792)),Assumptions!$D$6,IF(ISNUMBER(SEARCH(Assumptions!$C$7,F4792)),Assumptions!$D$7,"Other Services"))),"Other Services"))</f>
        <v/>
      </c>
    </row>
    <row r="4793" customFormat="false" ht="15" hidden="false" customHeight="false" outlineLevel="0" collapsed="false">
      <c r="I4793" s="41" t="str">
        <f aca="false">IF(F4793="","",IFERROR(IF(ISNUMBER(SEARCH(Assumptions!$C$5,F4793)),Assumptions!$D$5,IF(ISNUMBER(SEARCH(Assumptions!$C$6,F4793)),Assumptions!$D$6,IF(ISNUMBER(SEARCH(Assumptions!$C$7,F4793)),Assumptions!$D$7,"Other Services"))),"Other Services"))</f>
        <v/>
      </c>
    </row>
    <row r="4794" customFormat="false" ht="15" hidden="false" customHeight="false" outlineLevel="0" collapsed="false">
      <c r="I4794" s="41" t="str">
        <f aca="false">IF(F4794="","",IFERROR(IF(ISNUMBER(SEARCH(Assumptions!$C$5,F4794)),Assumptions!$D$5,IF(ISNUMBER(SEARCH(Assumptions!$C$6,F4794)),Assumptions!$D$6,IF(ISNUMBER(SEARCH(Assumptions!$C$7,F4794)),Assumptions!$D$7,"Other Services"))),"Other Services"))</f>
        <v/>
      </c>
    </row>
    <row r="4795" customFormat="false" ht="15" hidden="false" customHeight="false" outlineLevel="0" collapsed="false">
      <c r="I4795" s="41" t="str">
        <f aca="false">IF(F4795="","",IFERROR(IF(ISNUMBER(SEARCH(Assumptions!$C$5,F4795)),Assumptions!$D$5,IF(ISNUMBER(SEARCH(Assumptions!$C$6,F4795)),Assumptions!$D$6,IF(ISNUMBER(SEARCH(Assumptions!$C$7,F4795)),Assumptions!$D$7,"Other Services"))),"Other Services"))</f>
        <v/>
      </c>
    </row>
    <row r="4796" customFormat="false" ht="15" hidden="false" customHeight="false" outlineLevel="0" collapsed="false">
      <c r="I4796" s="41" t="str">
        <f aca="false">IF(F4796="","",IFERROR(IF(ISNUMBER(SEARCH(Assumptions!$C$5,F4796)),Assumptions!$D$5,IF(ISNUMBER(SEARCH(Assumptions!$C$6,F4796)),Assumptions!$D$6,IF(ISNUMBER(SEARCH(Assumptions!$C$7,F4796)),Assumptions!$D$7,"Other Services"))),"Other Services"))</f>
        <v/>
      </c>
    </row>
    <row r="4797" customFormat="false" ht="15" hidden="false" customHeight="false" outlineLevel="0" collapsed="false">
      <c r="I4797" s="41" t="str">
        <f aca="false">IF(F4797="","",IFERROR(IF(ISNUMBER(SEARCH(Assumptions!$C$5,F4797)),Assumptions!$D$5,IF(ISNUMBER(SEARCH(Assumptions!$C$6,F4797)),Assumptions!$D$6,IF(ISNUMBER(SEARCH(Assumptions!$C$7,F4797)),Assumptions!$D$7,"Other Services"))),"Other Services"))</f>
        <v/>
      </c>
    </row>
    <row r="4798" customFormat="false" ht="15" hidden="false" customHeight="false" outlineLevel="0" collapsed="false">
      <c r="I4798" s="41" t="str">
        <f aca="false">IF(F4798="","",IFERROR(IF(ISNUMBER(SEARCH(Assumptions!$C$5,F4798)),Assumptions!$D$5,IF(ISNUMBER(SEARCH(Assumptions!$C$6,F4798)),Assumptions!$D$6,IF(ISNUMBER(SEARCH(Assumptions!$C$7,F4798)),Assumptions!$D$7,"Other Services"))),"Other Services"))</f>
        <v/>
      </c>
    </row>
    <row r="4799" customFormat="false" ht="15" hidden="false" customHeight="false" outlineLevel="0" collapsed="false">
      <c r="I4799" s="41" t="str">
        <f aca="false">IF(F4799="","",IFERROR(IF(ISNUMBER(SEARCH(Assumptions!$C$5,F4799)),Assumptions!$D$5,IF(ISNUMBER(SEARCH(Assumptions!$C$6,F4799)),Assumptions!$D$6,IF(ISNUMBER(SEARCH(Assumptions!$C$7,F4799)),Assumptions!$D$7,"Other Services"))),"Other Services"))</f>
        <v/>
      </c>
    </row>
    <row r="4800" customFormat="false" ht="15" hidden="false" customHeight="false" outlineLevel="0" collapsed="false">
      <c r="I4800" s="41" t="str">
        <f aca="false">IF(F4800="","",IFERROR(IF(ISNUMBER(SEARCH(Assumptions!$C$5,F4800)),Assumptions!$D$5,IF(ISNUMBER(SEARCH(Assumptions!$C$6,F4800)),Assumptions!$D$6,IF(ISNUMBER(SEARCH(Assumptions!$C$7,F4800)),Assumptions!$D$7,"Other Services"))),"Other Services"))</f>
        <v/>
      </c>
    </row>
    <row r="4801" customFormat="false" ht="15" hidden="false" customHeight="false" outlineLevel="0" collapsed="false">
      <c r="I4801" s="41" t="str">
        <f aca="false">IF(F4801="","",IFERROR(IF(ISNUMBER(SEARCH(Assumptions!$C$5,F4801)),Assumptions!$D$5,IF(ISNUMBER(SEARCH(Assumptions!$C$6,F4801)),Assumptions!$D$6,IF(ISNUMBER(SEARCH(Assumptions!$C$7,F4801)),Assumptions!$D$7,"Other Services"))),"Other Services"))</f>
        <v/>
      </c>
    </row>
    <row r="4802" customFormat="false" ht="15" hidden="false" customHeight="false" outlineLevel="0" collapsed="false">
      <c r="I4802" s="41" t="str">
        <f aca="false">IF(F4802="","",IFERROR(IF(ISNUMBER(SEARCH(Assumptions!$C$5,F4802)),Assumptions!$D$5,IF(ISNUMBER(SEARCH(Assumptions!$C$6,F4802)),Assumptions!$D$6,IF(ISNUMBER(SEARCH(Assumptions!$C$7,F4802)),Assumptions!$D$7,"Other Services"))),"Other Services"))</f>
        <v/>
      </c>
    </row>
    <row r="4803" customFormat="false" ht="15" hidden="false" customHeight="false" outlineLevel="0" collapsed="false">
      <c r="I4803" s="41" t="str">
        <f aca="false">IF(F4803="","",IFERROR(IF(ISNUMBER(SEARCH(Assumptions!$C$5,F4803)),Assumptions!$D$5,IF(ISNUMBER(SEARCH(Assumptions!$C$6,F4803)),Assumptions!$D$6,IF(ISNUMBER(SEARCH(Assumptions!$C$7,F4803)),Assumptions!$D$7,"Other Services"))),"Other Services"))</f>
        <v/>
      </c>
    </row>
    <row r="4804" customFormat="false" ht="15" hidden="false" customHeight="false" outlineLevel="0" collapsed="false">
      <c r="I4804" s="41" t="str">
        <f aca="false">IF(F4804="","",IFERROR(IF(ISNUMBER(SEARCH(Assumptions!$C$5,F4804)),Assumptions!$D$5,IF(ISNUMBER(SEARCH(Assumptions!$C$6,F4804)),Assumptions!$D$6,IF(ISNUMBER(SEARCH(Assumptions!$C$7,F4804)),Assumptions!$D$7,"Other Services"))),"Other Services"))</f>
        <v/>
      </c>
    </row>
    <row r="4805" customFormat="false" ht="15" hidden="false" customHeight="false" outlineLevel="0" collapsed="false">
      <c r="I4805" s="41" t="str">
        <f aca="false">IF(F4805="","",IFERROR(IF(ISNUMBER(SEARCH(Assumptions!$C$5,F4805)),Assumptions!$D$5,IF(ISNUMBER(SEARCH(Assumptions!$C$6,F4805)),Assumptions!$D$6,IF(ISNUMBER(SEARCH(Assumptions!$C$7,F4805)),Assumptions!$D$7,"Other Services"))),"Other Services"))</f>
        <v/>
      </c>
    </row>
    <row r="4806" customFormat="false" ht="15" hidden="false" customHeight="false" outlineLevel="0" collapsed="false">
      <c r="I4806" s="41" t="str">
        <f aca="false">IF(F4806="","",IFERROR(IF(ISNUMBER(SEARCH(Assumptions!$C$5,F4806)),Assumptions!$D$5,IF(ISNUMBER(SEARCH(Assumptions!$C$6,F4806)),Assumptions!$D$6,IF(ISNUMBER(SEARCH(Assumptions!$C$7,F4806)),Assumptions!$D$7,"Other Services"))),"Other Services"))</f>
        <v/>
      </c>
    </row>
    <row r="4807" customFormat="false" ht="15" hidden="false" customHeight="false" outlineLevel="0" collapsed="false">
      <c r="I4807" s="41" t="str">
        <f aca="false">IF(F4807="","",IFERROR(IF(ISNUMBER(SEARCH(Assumptions!$C$5,F4807)),Assumptions!$D$5,IF(ISNUMBER(SEARCH(Assumptions!$C$6,F4807)),Assumptions!$D$6,IF(ISNUMBER(SEARCH(Assumptions!$C$7,F4807)),Assumptions!$D$7,"Other Services"))),"Other Services"))</f>
        <v/>
      </c>
    </row>
    <row r="4808" customFormat="false" ht="15" hidden="false" customHeight="false" outlineLevel="0" collapsed="false">
      <c r="I4808" s="41" t="str">
        <f aca="false">IF(F4808="","",IFERROR(IF(ISNUMBER(SEARCH(Assumptions!$C$5,F4808)),Assumptions!$D$5,IF(ISNUMBER(SEARCH(Assumptions!$C$6,F4808)),Assumptions!$D$6,IF(ISNUMBER(SEARCH(Assumptions!$C$7,F4808)),Assumptions!$D$7,"Other Services"))),"Other Services"))</f>
        <v/>
      </c>
    </row>
    <row r="4809" customFormat="false" ht="15" hidden="false" customHeight="false" outlineLevel="0" collapsed="false">
      <c r="I4809" s="41" t="str">
        <f aca="false">IF(F4809="","",IFERROR(IF(ISNUMBER(SEARCH(Assumptions!$C$5,F4809)),Assumptions!$D$5,IF(ISNUMBER(SEARCH(Assumptions!$C$6,F4809)),Assumptions!$D$6,IF(ISNUMBER(SEARCH(Assumptions!$C$7,F4809)),Assumptions!$D$7,"Other Services"))),"Other Services"))</f>
        <v/>
      </c>
    </row>
    <row r="4810" customFormat="false" ht="15" hidden="false" customHeight="false" outlineLevel="0" collapsed="false">
      <c r="I4810" s="41" t="str">
        <f aca="false">IF(F4810="","",IFERROR(IF(ISNUMBER(SEARCH(Assumptions!$C$5,F4810)),Assumptions!$D$5,IF(ISNUMBER(SEARCH(Assumptions!$C$6,F4810)),Assumptions!$D$6,IF(ISNUMBER(SEARCH(Assumptions!$C$7,F4810)),Assumptions!$D$7,"Other Services"))),"Other Services"))</f>
        <v/>
      </c>
    </row>
    <row r="4811" customFormat="false" ht="15" hidden="false" customHeight="false" outlineLevel="0" collapsed="false">
      <c r="I4811" s="41" t="str">
        <f aca="false">IF(F4811="","",IFERROR(IF(ISNUMBER(SEARCH(Assumptions!$C$5,F4811)),Assumptions!$D$5,IF(ISNUMBER(SEARCH(Assumptions!$C$6,F4811)),Assumptions!$D$6,IF(ISNUMBER(SEARCH(Assumptions!$C$7,F4811)),Assumptions!$D$7,"Other Services"))),"Other Services"))</f>
        <v/>
      </c>
    </row>
    <row r="4812" customFormat="false" ht="15" hidden="false" customHeight="false" outlineLevel="0" collapsed="false">
      <c r="I4812" s="41" t="str">
        <f aca="false">IF(F4812="","",IFERROR(IF(ISNUMBER(SEARCH(Assumptions!$C$5,F4812)),Assumptions!$D$5,IF(ISNUMBER(SEARCH(Assumptions!$C$6,F4812)),Assumptions!$D$6,IF(ISNUMBER(SEARCH(Assumptions!$C$7,F4812)),Assumptions!$D$7,"Other Services"))),"Other Services"))</f>
        <v/>
      </c>
    </row>
    <row r="4813" customFormat="false" ht="15" hidden="false" customHeight="false" outlineLevel="0" collapsed="false">
      <c r="I4813" s="41" t="str">
        <f aca="false">IF(F4813="","",IFERROR(IF(ISNUMBER(SEARCH(Assumptions!$C$5,F4813)),Assumptions!$D$5,IF(ISNUMBER(SEARCH(Assumptions!$C$6,F4813)),Assumptions!$D$6,IF(ISNUMBER(SEARCH(Assumptions!$C$7,F4813)),Assumptions!$D$7,"Other Services"))),"Other Services"))</f>
        <v/>
      </c>
    </row>
    <row r="4814" customFormat="false" ht="15" hidden="false" customHeight="false" outlineLevel="0" collapsed="false">
      <c r="I4814" s="41" t="str">
        <f aca="false">IF(F4814="","",IFERROR(IF(ISNUMBER(SEARCH(Assumptions!$C$5,F4814)),Assumptions!$D$5,IF(ISNUMBER(SEARCH(Assumptions!$C$6,F4814)),Assumptions!$D$6,IF(ISNUMBER(SEARCH(Assumptions!$C$7,F4814)),Assumptions!$D$7,"Other Services"))),"Other Services"))</f>
        <v/>
      </c>
    </row>
    <row r="4815" customFormat="false" ht="15" hidden="false" customHeight="false" outlineLevel="0" collapsed="false">
      <c r="I4815" s="41" t="str">
        <f aca="false">IF(F4815="","",IFERROR(IF(ISNUMBER(SEARCH(Assumptions!$C$5,F4815)),Assumptions!$D$5,IF(ISNUMBER(SEARCH(Assumptions!$C$6,F4815)),Assumptions!$D$6,IF(ISNUMBER(SEARCH(Assumptions!$C$7,F4815)),Assumptions!$D$7,"Other Services"))),"Other Services"))</f>
        <v/>
      </c>
    </row>
    <row r="4816" customFormat="false" ht="15" hidden="false" customHeight="false" outlineLevel="0" collapsed="false">
      <c r="I4816" s="41" t="str">
        <f aca="false">IF(F4816="","",IFERROR(IF(ISNUMBER(SEARCH(Assumptions!$C$5,F4816)),Assumptions!$D$5,IF(ISNUMBER(SEARCH(Assumptions!$C$6,F4816)),Assumptions!$D$6,IF(ISNUMBER(SEARCH(Assumptions!$C$7,F4816)),Assumptions!$D$7,"Other Services"))),"Other Services"))</f>
        <v/>
      </c>
    </row>
    <row r="4817" customFormat="false" ht="15" hidden="false" customHeight="false" outlineLevel="0" collapsed="false">
      <c r="I4817" s="41" t="str">
        <f aca="false">IF(F4817="","",IFERROR(IF(ISNUMBER(SEARCH(Assumptions!$C$5,F4817)),Assumptions!$D$5,IF(ISNUMBER(SEARCH(Assumptions!$C$6,F4817)),Assumptions!$D$6,IF(ISNUMBER(SEARCH(Assumptions!$C$7,F4817)),Assumptions!$D$7,"Other Services"))),"Other Services"))</f>
        <v/>
      </c>
    </row>
    <row r="4818" customFormat="false" ht="15" hidden="false" customHeight="false" outlineLevel="0" collapsed="false">
      <c r="I4818" s="41" t="str">
        <f aca="false">IF(F4818="","",IFERROR(IF(ISNUMBER(SEARCH(Assumptions!$C$5,F4818)),Assumptions!$D$5,IF(ISNUMBER(SEARCH(Assumptions!$C$6,F4818)),Assumptions!$D$6,IF(ISNUMBER(SEARCH(Assumptions!$C$7,F4818)),Assumptions!$D$7,"Other Services"))),"Other Services"))</f>
        <v/>
      </c>
    </row>
    <row r="4819" customFormat="false" ht="15" hidden="false" customHeight="false" outlineLevel="0" collapsed="false">
      <c r="I4819" s="41" t="str">
        <f aca="false">IF(F4819="","",IFERROR(IF(ISNUMBER(SEARCH(Assumptions!$C$5,F4819)),Assumptions!$D$5,IF(ISNUMBER(SEARCH(Assumptions!$C$6,F4819)),Assumptions!$D$6,IF(ISNUMBER(SEARCH(Assumptions!$C$7,F4819)),Assumptions!$D$7,"Other Services"))),"Other Services"))</f>
        <v/>
      </c>
    </row>
    <row r="4820" customFormat="false" ht="15" hidden="false" customHeight="false" outlineLevel="0" collapsed="false">
      <c r="I4820" s="41" t="str">
        <f aca="false">IF(F4820="","",IFERROR(IF(ISNUMBER(SEARCH(Assumptions!$C$5,F4820)),Assumptions!$D$5,IF(ISNUMBER(SEARCH(Assumptions!$C$6,F4820)),Assumptions!$D$6,IF(ISNUMBER(SEARCH(Assumptions!$C$7,F4820)),Assumptions!$D$7,"Other Services"))),"Other Services"))</f>
        <v/>
      </c>
    </row>
    <row r="4821" customFormat="false" ht="15" hidden="false" customHeight="false" outlineLevel="0" collapsed="false">
      <c r="I4821" s="41" t="str">
        <f aca="false">IF(F4821="","",IFERROR(IF(ISNUMBER(SEARCH(Assumptions!$C$5,F4821)),Assumptions!$D$5,IF(ISNUMBER(SEARCH(Assumptions!$C$6,F4821)),Assumptions!$D$6,IF(ISNUMBER(SEARCH(Assumptions!$C$7,F4821)),Assumptions!$D$7,"Other Services"))),"Other Services"))</f>
        <v/>
      </c>
    </row>
    <row r="4822" customFormat="false" ht="15" hidden="false" customHeight="false" outlineLevel="0" collapsed="false">
      <c r="I4822" s="41" t="str">
        <f aca="false">IF(F4822="","",IFERROR(IF(ISNUMBER(SEARCH(Assumptions!$C$5,F4822)),Assumptions!$D$5,IF(ISNUMBER(SEARCH(Assumptions!$C$6,F4822)),Assumptions!$D$6,IF(ISNUMBER(SEARCH(Assumptions!$C$7,F4822)),Assumptions!$D$7,"Other Services"))),"Other Services"))</f>
        <v/>
      </c>
    </row>
    <row r="4823" customFormat="false" ht="15" hidden="false" customHeight="false" outlineLevel="0" collapsed="false">
      <c r="I4823" s="41" t="str">
        <f aca="false">IF(F4823="","",IFERROR(IF(ISNUMBER(SEARCH(Assumptions!$C$5,F4823)),Assumptions!$D$5,IF(ISNUMBER(SEARCH(Assumptions!$C$6,F4823)),Assumptions!$D$6,IF(ISNUMBER(SEARCH(Assumptions!$C$7,F4823)),Assumptions!$D$7,"Other Services"))),"Other Services"))</f>
        <v/>
      </c>
    </row>
    <row r="4824" customFormat="false" ht="15" hidden="false" customHeight="false" outlineLevel="0" collapsed="false">
      <c r="I4824" s="41" t="str">
        <f aca="false">IF(F4824="","",IFERROR(IF(ISNUMBER(SEARCH(Assumptions!$C$5,F4824)),Assumptions!$D$5,IF(ISNUMBER(SEARCH(Assumptions!$C$6,F4824)),Assumptions!$D$6,IF(ISNUMBER(SEARCH(Assumptions!$C$7,F4824)),Assumptions!$D$7,"Other Services"))),"Other Services"))</f>
        <v/>
      </c>
    </row>
    <row r="4825" customFormat="false" ht="15" hidden="false" customHeight="false" outlineLevel="0" collapsed="false">
      <c r="I4825" s="41" t="str">
        <f aca="false">IF(F4825="","",IFERROR(IF(ISNUMBER(SEARCH(Assumptions!$C$5,F4825)),Assumptions!$D$5,IF(ISNUMBER(SEARCH(Assumptions!$C$6,F4825)),Assumptions!$D$6,IF(ISNUMBER(SEARCH(Assumptions!$C$7,F4825)),Assumptions!$D$7,"Other Services"))),"Other Services"))</f>
        <v/>
      </c>
    </row>
    <row r="4826" customFormat="false" ht="15" hidden="false" customHeight="false" outlineLevel="0" collapsed="false">
      <c r="I4826" s="41" t="str">
        <f aca="false">IF(F4826="","",IFERROR(IF(ISNUMBER(SEARCH(Assumptions!$C$5,F4826)),Assumptions!$D$5,IF(ISNUMBER(SEARCH(Assumptions!$C$6,F4826)),Assumptions!$D$6,IF(ISNUMBER(SEARCH(Assumptions!$C$7,F4826)),Assumptions!$D$7,"Other Services"))),"Other Services"))</f>
        <v/>
      </c>
    </row>
    <row r="4827" customFormat="false" ht="15" hidden="false" customHeight="false" outlineLevel="0" collapsed="false">
      <c r="I4827" s="41" t="str">
        <f aca="false">IF(F4827="","",IFERROR(IF(ISNUMBER(SEARCH(Assumptions!$C$5,F4827)),Assumptions!$D$5,IF(ISNUMBER(SEARCH(Assumptions!$C$6,F4827)),Assumptions!$D$6,IF(ISNUMBER(SEARCH(Assumptions!$C$7,F4827)),Assumptions!$D$7,"Other Services"))),"Other Services"))</f>
        <v/>
      </c>
    </row>
    <row r="4828" customFormat="false" ht="15" hidden="false" customHeight="false" outlineLevel="0" collapsed="false">
      <c r="I4828" s="41" t="str">
        <f aca="false">IF(F4828="","",IFERROR(IF(ISNUMBER(SEARCH(Assumptions!$C$5,F4828)),Assumptions!$D$5,IF(ISNUMBER(SEARCH(Assumptions!$C$6,F4828)),Assumptions!$D$6,IF(ISNUMBER(SEARCH(Assumptions!$C$7,F4828)),Assumptions!$D$7,"Other Services"))),"Other Services"))</f>
        <v/>
      </c>
    </row>
    <row r="4829" customFormat="false" ht="15" hidden="false" customHeight="false" outlineLevel="0" collapsed="false">
      <c r="I4829" s="41" t="str">
        <f aca="false">IF(F4829="","",IFERROR(IF(ISNUMBER(SEARCH(Assumptions!$C$5,F4829)),Assumptions!$D$5,IF(ISNUMBER(SEARCH(Assumptions!$C$6,F4829)),Assumptions!$D$6,IF(ISNUMBER(SEARCH(Assumptions!$C$7,F4829)),Assumptions!$D$7,"Other Services"))),"Other Services"))</f>
        <v/>
      </c>
    </row>
    <row r="4830" customFormat="false" ht="15" hidden="false" customHeight="false" outlineLevel="0" collapsed="false">
      <c r="I4830" s="41" t="str">
        <f aca="false">IF(F4830="","",IFERROR(IF(ISNUMBER(SEARCH(Assumptions!$C$5,F4830)),Assumptions!$D$5,IF(ISNUMBER(SEARCH(Assumptions!$C$6,F4830)),Assumptions!$D$6,IF(ISNUMBER(SEARCH(Assumptions!$C$7,F4830)),Assumptions!$D$7,"Other Services"))),"Other Services"))</f>
        <v/>
      </c>
    </row>
    <row r="4831" customFormat="false" ht="15" hidden="false" customHeight="false" outlineLevel="0" collapsed="false">
      <c r="I4831" s="41" t="str">
        <f aca="false">IF(F4831="","",IFERROR(IF(ISNUMBER(SEARCH(Assumptions!$C$5,F4831)),Assumptions!$D$5,IF(ISNUMBER(SEARCH(Assumptions!$C$6,F4831)),Assumptions!$D$6,IF(ISNUMBER(SEARCH(Assumptions!$C$7,F4831)),Assumptions!$D$7,"Other Services"))),"Other Services"))</f>
        <v/>
      </c>
    </row>
    <row r="4832" customFormat="false" ht="15" hidden="false" customHeight="false" outlineLevel="0" collapsed="false">
      <c r="I4832" s="41" t="str">
        <f aca="false">IF(F4832="","",IFERROR(IF(ISNUMBER(SEARCH(Assumptions!$C$5,F4832)),Assumptions!$D$5,IF(ISNUMBER(SEARCH(Assumptions!$C$6,F4832)),Assumptions!$D$6,IF(ISNUMBER(SEARCH(Assumptions!$C$7,F4832)),Assumptions!$D$7,"Other Services"))),"Other Services"))</f>
        <v/>
      </c>
    </row>
    <row r="4833" customFormat="false" ht="15" hidden="false" customHeight="false" outlineLevel="0" collapsed="false">
      <c r="I4833" s="41" t="str">
        <f aca="false">IF(F4833="","",IFERROR(IF(ISNUMBER(SEARCH(Assumptions!$C$5,F4833)),Assumptions!$D$5,IF(ISNUMBER(SEARCH(Assumptions!$C$6,F4833)),Assumptions!$D$6,IF(ISNUMBER(SEARCH(Assumptions!$C$7,F4833)),Assumptions!$D$7,"Other Services"))),"Other Services"))</f>
        <v/>
      </c>
    </row>
    <row r="4834" customFormat="false" ht="15" hidden="false" customHeight="false" outlineLevel="0" collapsed="false">
      <c r="I4834" s="41" t="str">
        <f aca="false">IF(F4834="","",IFERROR(IF(ISNUMBER(SEARCH(Assumptions!$C$5,F4834)),Assumptions!$D$5,IF(ISNUMBER(SEARCH(Assumptions!$C$6,F4834)),Assumptions!$D$6,IF(ISNUMBER(SEARCH(Assumptions!$C$7,F4834)),Assumptions!$D$7,"Other Services"))),"Other Services"))</f>
        <v/>
      </c>
    </row>
    <row r="4835" customFormat="false" ht="15" hidden="false" customHeight="false" outlineLevel="0" collapsed="false">
      <c r="I4835" s="41" t="str">
        <f aca="false">IF(F4835="","",IFERROR(IF(ISNUMBER(SEARCH(Assumptions!$C$5,F4835)),Assumptions!$D$5,IF(ISNUMBER(SEARCH(Assumptions!$C$6,F4835)),Assumptions!$D$6,IF(ISNUMBER(SEARCH(Assumptions!$C$7,F4835)),Assumptions!$D$7,"Other Services"))),"Other Services"))</f>
        <v/>
      </c>
    </row>
    <row r="4836" customFormat="false" ht="15" hidden="false" customHeight="false" outlineLevel="0" collapsed="false">
      <c r="I4836" s="41" t="str">
        <f aca="false">IF(F4836="","",IFERROR(IF(ISNUMBER(SEARCH(Assumptions!$C$5,F4836)),Assumptions!$D$5,IF(ISNUMBER(SEARCH(Assumptions!$C$6,F4836)),Assumptions!$D$6,IF(ISNUMBER(SEARCH(Assumptions!$C$7,F4836)),Assumptions!$D$7,"Other Services"))),"Other Services"))</f>
        <v/>
      </c>
    </row>
    <row r="4837" customFormat="false" ht="15" hidden="false" customHeight="false" outlineLevel="0" collapsed="false">
      <c r="I4837" s="41" t="str">
        <f aca="false">IF(F4837="","",IFERROR(IF(ISNUMBER(SEARCH(Assumptions!$C$5,F4837)),Assumptions!$D$5,IF(ISNUMBER(SEARCH(Assumptions!$C$6,F4837)),Assumptions!$D$6,IF(ISNUMBER(SEARCH(Assumptions!$C$7,F4837)),Assumptions!$D$7,"Other Services"))),"Other Services"))</f>
        <v/>
      </c>
    </row>
    <row r="4838" customFormat="false" ht="15" hidden="false" customHeight="false" outlineLevel="0" collapsed="false">
      <c r="I4838" s="41" t="str">
        <f aca="false">IF(F4838="","",IFERROR(IF(ISNUMBER(SEARCH(Assumptions!$C$5,F4838)),Assumptions!$D$5,IF(ISNUMBER(SEARCH(Assumptions!$C$6,F4838)),Assumptions!$D$6,IF(ISNUMBER(SEARCH(Assumptions!$C$7,F4838)),Assumptions!$D$7,"Other Services"))),"Other Services"))</f>
        <v/>
      </c>
    </row>
    <row r="4839" customFormat="false" ht="15" hidden="false" customHeight="false" outlineLevel="0" collapsed="false">
      <c r="I4839" s="41" t="str">
        <f aca="false">IF(F4839="","",IFERROR(IF(ISNUMBER(SEARCH(Assumptions!$C$5,F4839)),Assumptions!$D$5,IF(ISNUMBER(SEARCH(Assumptions!$C$6,F4839)),Assumptions!$D$6,IF(ISNUMBER(SEARCH(Assumptions!$C$7,F4839)),Assumptions!$D$7,"Other Services"))),"Other Services"))</f>
        <v/>
      </c>
    </row>
    <row r="4840" customFormat="false" ht="15" hidden="false" customHeight="false" outlineLevel="0" collapsed="false">
      <c r="I4840" s="41" t="str">
        <f aca="false">IF(F4840="","",IFERROR(IF(ISNUMBER(SEARCH(Assumptions!$C$5,F4840)),Assumptions!$D$5,IF(ISNUMBER(SEARCH(Assumptions!$C$6,F4840)),Assumptions!$D$6,IF(ISNUMBER(SEARCH(Assumptions!$C$7,F4840)),Assumptions!$D$7,"Other Services"))),"Other Services"))</f>
        <v/>
      </c>
    </row>
    <row r="4841" customFormat="false" ht="15" hidden="false" customHeight="false" outlineLevel="0" collapsed="false">
      <c r="I4841" s="41" t="str">
        <f aca="false">IF(F4841="","",IFERROR(IF(ISNUMBER(SEARCH(Assumptions!$C$5,F4841)),Assumptions!$D$5,IF(ISNUMBER(SEARCH(Assumptions!$C$6,F4841)),Assumptions!$D$6,IF(ISNUMBER(SEARCH(Assumptions!$C$7,F4841)),Assumptions!$D$7,"Other Services"))),"Other Services"))</f>
        <v/>
      </c>
    </row>
    <row r="4842" customFormat="false" ht="15" hidden="false" customHeight="false" outlineLevel="0" collapsed="false">
      <c r="I4842" s="41" t="str">
        <f aca="false">IF(F4842="","",IFERROR(IF(ISNUMBER(SEARCH(Assumptions!$C$5,F4842)),Assumptions!$D$5,IF(ISNUMBER(SEARCH(Assumptions!$C$6,F4842)),Assumptions!$D$6,IF(ISNUMBER(SEARCH(Assumptions!$C$7,F4842)),Assumptions!$D$7,"Other Services"))),"Other Services"))</f>
        <v/>
      </c>
    </row>
    <row r="4843" customFormat="false" ht="15" hidden="false" customHeight="false" outlineLevel="0" collapsed="false">
      <c r="I4843" s="41" t="str">
        <f aca="false">IF(F4843="","",IFERROR(IF(ISNUMBER(SEARCH(Assumptions!$C$5,F4843)),Assumptions!$D$5,IF(ISNUMBER(SEARCH(Assumptions!$C$6,F4843)),Assumptions!$D$6,IF(ISNUMBER(SEARCH(Assumptions!$C$7,F4843)),Assumptions!$D$7,"Other Services"))),"Other Services"))</f>
        <v/>
      </c>
    </row>
    <row r="4844" customFormat="false" ht="15" hidden="false" customHeight="false" outlineLevel="0" collapsed="false">
      <c r="I4844" s="41" t="str">
        <f aca="false">IF(F4844="","",IFERROR(IF(ISNUMBER(SEARCH(Assumptions!$C$5,F4844)),Assumptions!$D$5,IF(ISNUMBER(SEARCH(Assumptions!$C$6,F4844)),Assumptions!$D$6,IF(ISNUMBER(SEARCH(Assumptions!$C$7,F4844)),Assumptions!$D$7,"Other Services"))),"Other Services"))</f>
        <v/>
      </c>
    </row>
    <row r="4845" customFormat="false" ht="15" hidden="false" customHeight="false" outlineLevel="0" collapsed="false">
      <c r="I4845" s="41" t="str">
        <f aca="false">IF(F4845="","",IFERROR(IF(ISNUMBER(SEARCH(Assumptions!$C$5,F4845)),Assumptions!$D$5,IF(ISNUMBER(SEARCH(Assumptions!$C$6,F4845)),Assumptions!$D$6,IF(ISNUMBER(SEARCH(Assumptions!$C$7,F4845)),Assumptions!$D$7,"Other Services"))),"Other Services"))</f>
        <v/>
      </c>
    </row>
    <row r="4846" customFormat="false" ht="15" hidden="false" customHeight="false" outlineLevel="0" collapsed="false">
      <c r="I4846" s="41" t="str">
        <f aca="false">IF(F4846="","",IFERROR(IF(ISNUMBER(SEARCH(Assumptions!$C$5,F4846)),Assumptions!$D$5,IF(ISNUMBER(SEARCH(Assumptions!$C$6,F4846)),Assumptions!$D$6,IF(ISNUMBER(SEARCH(Assumptions!$C$7,F4846)),Assumptions!$D$7,"Other Services"))),"Other Services"))</f>
        <v/>
      </c>
    </row>
    <row r="4847" customFormat="false" ht="15" hidden="false" customHeight="false" outlineLevel="0" collapsed="false">
      <c r="I4847" s="41" t="str">
        <f aca="false">IF(F4847="","",IFERROR(IF(ISNUMBER(SEARCH(Assumptions!$C$5,F4847)),Assumptions!$D$5,IF(ISNUMBER(SEARCH(Assumptions!$C$6,F4847)),Assumptions!$D$6,IF(ISNUMBER(SEARCH(Assumptions!$C$7,F4847)),Assumptions!$D$7,"Other Services"))),"Other Services"))</f>
        <v/>
      </c>
    </row>
    <row r="4848" customFormat="false" ht="15" hidden="false" customHeight="false" outlineLevel="0" collapsed="false">
      <c r="I4848" s="41" t="str">
        <f aca="false">IF(F4848="","",IFERROR(IF(ISNUMBER(SEARCH(Assumptions!$C$5,F4848)),Assumptions!$D$5,IF(ISNUMBER(SEARCH(Assumptions!$C$6,F4848)),Assumptions!$D$6,IF(ISNUMBER(SEARCH(Assumptions!$C$7,F4848)),Assumptions!$D$7,"Other Services"))),"Other Services"))</f>
        <v/>
      </c>
    </row>
    <row r="4849" customFormat="false" ht="15" hidden="false" customHeight="false" outlineLevel="0" collapsed="false">
      <c r="I4849" s="41" t="str">
        <f aca="false">IF(F4849="","",IFERROR(IF(ISNUMBER(SEARCH(Assumptions!$C$5,F4849)),Assumptions!$D$5,IF(ISNUMBER(SEARCH(Assumptions!$C$6,F4849)),Assumptions!$D$6,IF(ISNUMBER(SEARCH(Assumptions!$C$7,F4849)),Assumptions!$D$7,"Other Services"))),"Other Services"))</f>
        <v/>
      </c>
    </row>
    <row r="4850" customFormat="false" ht="15" hidden="false" customHeight="false" outlineLevel="0" collapsed="false">
      <c r="I4850" s="41" t="str">
        <f aca="false">IF(F4850="","",IFERROR(IF(ISNUMBER(SEARCH(Assumptions!$C$5,F4850)),Assumptions!$D$5,IF(ISNUMBER(SEARCH(Assumptions!$C$6,F4850)),Assumptions!$D$6,IF(ISNUMBER(SEARCH(Assumptions!$C$7,F4850)),Assumptions!$D$7,"Other Services"))),"Other Services"))</f>
        <v/>
      </c>
    </row>
    <row r="4851" customFormat="false" ht="15" hidden="false" customHeight="false" outlineLevel="0" collapsed="false">
      <c r="I4851" s="41" t="str">
        <f aca="false">IF(F4851="","",IFERROR(IF(ISNUMBER(SEARCH(Assumptions!$C$5,F4851)),Assumptions!$D$5,IF(ISNUMBER(SEARCH(Assumptions!$C$6,F4851)),Assumptions!$D$6,IF(ISNUMBER(SEARCH(Assumptions!$C$7,F4851)),Assumptions!$D$7,"Other Services"))),"Other Services"))</f>
        <v/>
      </c>
    </row>
    <row r="4852" customFormat="false" ht="15" hidden="false" customHeight="false" outlineLevel="0" collapsed="false">
      <c r="I4852" s="41" t="str">
        <f aca="false">IF(F4852="","",IFERROR(IF(ISNUMBER(SEARCH(Assumptions!$C$5,F4852)),Assumptions!$D$5,IF(ISNUMBER(SEARCH(Assumptions!$C$6,F4852)),Assumptions!$D$6,IF(ISNUMBER(SEARCH(Assumptions!$C$7,F4852)),Assumptions!$D$7,"Other Services"))),"Other Services"))</f>
        <v/>
      </c>
    </row>
    <row r="4853" customFormat="false" ht="15" hidden="false" customHeight="false" outlineLevel="0" collapsed="false">
      <c r="I4853" s="41" t="str">
        <f aca="false">IF(F4853="","",IFERROR(IF(ISNUMBER(SEARCH(Assumptions!$C$5,F4853)),Assumptions!$D$5,IF(ISNUMBER(SEARCH(Assumptions!$C$6,F4853)),Assumptions!$D$6,IF(ISNUMBER(SEARCH(Assumptions!$C$7,F4853)),Assumptions!$D$7,"Other Services"))),"Other Services"))</f>
        <v/>
      </c>
    </row>
    <row r="4854" customFormat="false" ht="15" hidden="false" customHeight="false" outlineLevel="0" collapsed="false">
      <c r="I4854" s="41" t="str">
        <f aca="false">IF(F4854="","",IFERROR(IF(ISNUMBER(SEARCH(Assumptions!$C$5,F4854)),Assumptions!$D$5,IF(ISNUMBER(SEARCH(Assumptions!$C$6,F4854)),Assumptions!$D$6,IF(ISNUMBER(SEARCH(Assumptions!$C$7,F4854)),Assumptions!$D$7,"Other Services"))),"Other Services"))</f>
        <v/>
      </c>
    </row>
    <row r="4855" customFormat="false" ht="15" hidden="false" customHeight="false" outlineLevel="0" collapsed="false">
      <c r="I4855" s="41" t="str">
        <f aca="false">IF(F4855="","",IFERROR(IF(ISNUMBER(SEARCH(Assumptions!$C$5,F4855)),Assumptions!$D$5,IF(ISNUMBER(SEARCH(Assumptions!$C$6,F4855)),Assumptions!$D$6,IF(ISNUMBER(SEARCH(Assumptions!$C$7,F4855)),Assumptions!$D$7,"Other Services"))),"Other Services"))</f>
        <v/>
      </c>
    </row>
    <row r="4856" customFormat="false" ht="15" hidden="false" customHeight="false" outlineLevel="0" collapsed="false">
      <c r="I4856" s="41" t="str">
        <f aca="false">IF(F4856="","",IFERROR(IF(ISNUMBER(SEARCH(Assumptions!$C$5,F4856)),Assumptions!$D$5,IF(ISNUMBER(SEARCH(Assumptions!$C$6,F4856)),Assumptions!$D$6,IF(ISNUMBER(SEARCH(Assumptions!$C$7,F4856)),Assumptions!$D$7,"Other Services"))),"Other Services"))</f>
        <v/>
      </c>
    </row>
    <row r="4857" customFormat="false" ht="15" hidden="false" customHeight="false" outlineLevel="0" collapsed="false">
      <c r="I4857" s="41" t="str">
        <f aca="false">IF(F4857="","",IFERROR(IF(ISNUMBER(SEARCH(Assumptions!$C$5,F4857)),Assumptions!$D$5,IF(ISNUMBER(SEARCH(Assumptions!$C$6,F4857)),Assumptions!$D$6,IF(ISNUMBER(SEARCH(Assumptions!$C$7,F4857)),Assumptions!$D$7,"Other Services"))),"Other Services"))</f>
        <v/>
      </c>
    </row>
    <row r="4858" customFormat="false" ht="15" hidden="false" customHeight="false" outlineLevel="0" collapsed="false">
      <c r="I4858" s="41" t="str">
        <f aca="false">IF(F4858="","",IFERROR(IF(ISNUMBER(SEARCH(Assumptions!$C$5,F4858)),Assumptions!$D$5,IF(ISNUMBER(SEARCH(Assumptions!$C$6,F4858)),Assumptions!$D$6,IF(ISNUMBER(SEARCH(Assumptions!$C$7,F4858)),Assumptions!$D$7,"Other Services"))),"Other Services"))</f>
        <v/>
      </c>
    </row>
    <row r="4859" customFormat="false" ht="15" hidden="false" customHeight="false" outlineLevel="0" collapsed="false">
      <c r="I4859" s="41" t="str">
        <f aca="false">IF(F4859="","",IFERROR(IF(ISNUMBER(SEARCH(Assumptions!$C$5,F4859)),Assumptions!$D$5,IF(ISNUMBER(SEARCH(Assumptions!$C$6,F4859)),Assumptions!$D$6,IF(ISNUMBER(SEARCH(Assumptions!$C$7,F4859)),Assumptions!$D$7,"Other Services"))),"Other Services"))</f>
        <v/>
      </c>
    </row>
    <row r="4860" customFormat="false" ht="15" hidden="false" customHeight="false" outlineLevel="0" collapsed="false">
      <c r="I4860" s="41" t="str">
        <f aca="false">IF(F4860="","",IFERROR(IF(ISNUMBER(SEARCH(Assumptions!$C$5,F4860)),Assumptions!$D$5,IF(ISNUMBER(SEARCH(Assumptions!$C$6,F4860)),Assumptions!$D$6,IF(ISNUMBER(SEARCH(Assumptions!$C$7,F4860)),Assumptions!$D$7,"Other Services"))),"Other Services"))</f>
        <v/>
      </c>
    </row>
    <row r="4861" customFormat="false" ht="15" hidden="false" customHeight="false" outlineLevel="0" collapsed="false">
      <c r="I4861" s="41" t="str">
        <f aca="false">IF(F4861="","",IFERROR(IF(ISNUMBER(SEARCH(Assumptions!$C$5,F4861)),Assumptions!$D$5,IF(ISNUMBER(SEARCH(Assumptions!$C$6,F4861)),Assumptions!$D$6,IF(ISNUMBER(SEARCH(Assumptions!$C$7,F4861)),Assumptions!$D$7,"Other Services"))),"Other Services"))</f>
        <v/>
      </c>
    </row>
    <row r="4862" customFormat="false" ht="15" hidden="false" customHeight="false" outlineLevel="0" collapsed="false">
      <c r="I4862" s="41" t="str">
        <f aca="false">IF(F4862="","",IFERROR(IF(ISNUMBER(SEARCH(Assumptions!$C$5,F4862)),Assumptions!$D$5,IF(ISNUMBER(SEARCH(Assumptions!$C$6,F4862)),Assumptions!$D$6,IF(ISNUMBER(SEARCH(Assumptions!$C$7,F4862)),Assumptions!$D$7,"Other Services"))),"Other Services"))</f>
        <v/>
      </c>
    </row>
    <row r="4863" customFormat="false" ht="15" hidden="false" customHeight="false" outlineLevel="0" collapsed="false">
      <c r="I4863" s="41" t="str">
        <f aca="false">IF(F4863="","",IFERROR(IF(ISNUMBER(SEARCH(Assumptions!$C$5,F4863)),Assumptions!$D$5,IF(ISNUMBER(SEARCH(Assumptions!$C$6,F4863)),Assumptions!$D$6,IF(ISNUMBER(SEARCH(Assumptions!$C$7,F4863)),Assumptions!$D$7,"Other Services"))),"Other Services"))</f>
        <v/>
      </c>
    </row>
    <row r="4864" customFormat="false" ht="15" hidden="false" customHeight="false" outlineLevel="0" collapsed="false">
      <c r="I4864" s="41" t="str">
        <f aca="false">IF(F4864="","",IFERROR(IF(ISNUMBER(SEARCH(Assumptions!$C$5,F4864)),Assumptions!$D$5,IF(ISNUMBER(SEARCH(Assumptions!$C$6,F4864)),Assumptions!$D$6,IF(ISNUMBER(SEARCH(Assumptions!$C$7,F4864)),Assumptions!$D$7,"Other Services"))),"Other Services"))</f>
        <v/>
      </c>
    </row>
    <row r="4865" customFormat="false" ht="15" hidden="false" customHeight="false" outlineLevel="0" collapsed="false">
      <c r="I4865" s="41" t="str">
        <f aca="false">IF(F4865="","",IFERROR(IF(ISNUMBER(SEARCH(Assumptions!$C$5,F4865)),Assumptions!$D$5,IF(ISNUMBER(SEARCH(Assumptions!$C$6,F4865)),Assumptions!$D$6,IF(ISNUMBER(SEARCH(Assumptions!$C$7,F4865)),Assumptions!$D$7,"Other Services"))),"Other Services"))</f>
        <v/>
      </c>
    </row>
    <row r="4866" customFormat="false" ht="15" hidden="false" customHeight="false" outlineLevel="0" collapsed="false">
      <c r="I4866" s="41" t="str">
        <f aca="false">IF(F4866="","",IFERROR(IF(ISNUMBER(SEARCH(Assumptions!$C$5,F4866)),Assumptions!$D$5,IF(ISNUMBER(SEARCH(Assumptions!$C$6,F4866)),Assumptions!$D$6,IF(ISNUMBER(SEARCH(Assumptions!$C$7,F4866)),Assumptions!$D$7,"Other Services"))),"Other Services"))</f>
        <v/>
      </c>
    </row>
    <row r="4867" customFormat="false" ht="15" hidden="false" customHeight="false" outlineLevel="0" collapsed="false">
      <c r="I4867" s="41" t="str">
        <f aca="false">IF(F4867="","",IFERROR(IF(ISNUMBER(SEARCH(Assumptions!$C$5,F4867)),Assumptions!$D$5,IF(ISNUMBER(SEARCH(Assumptions!$C$6,F4867)),Assumptions!$D$6,IF(ISNUMBER(SEARCH(Assumptions!$C$7,F4867)),Assumptions!$D$7,"Other Services"))),"Other Services"))</f>
        <v/>
      </c>
    </row>
    <row r="4868" customFormat="false" ht="15" hidden="false" customHeight="false" outlineLevel="0" collapsed="false">
      <c r="I4868" s="41" t="str">
        <f aca="false">IF(F4868="","",IFERROR(IF(ISNUMBER(SEARCH(Assumptions!$C$5,F4868)),Assumptions!$D$5,IF(ISNUMBER(SEARCH(Assumptions!$C$6,F4868)),Assumptions!$D$6,IF(ISNUMBER(SEARCH(Assumptions!$C$7,F4868)),Assumptions!$D$7,"Other Services"))),"Other Services"))</f>
        <v/>
      </c>
    </row>
    <row r="4869" customFormat="false" ht="15" hidden="false" customHeight="false" outlineLevel="0" collapsed="false">
      <c r="I4869" s="41" t="str">
        <f aca="false">IF(F4869="","",IFERROR(IF(ISNUMBER(SEARCH(Assumptions!$C$5,F4869)),Assumptions!$D$5,IF(ISNUMBER(SEARCH(Assumptions!$C$6,F4869)),Assumptions!$D$6,IF(ISNUMBER(SEARCH(Assumptions!$C$7,F4869)),Assumptions!$D$7,"Other Services"))),"Other Services"))</f>
        <v/>
      </c>
    </row>
    <row r="4870" customFormat="false" ht="15" hidden="false" customHeight="false" outlineLevel="0" collapsed="false">
      <c r="I4870" s="41" t="str">
        <f aca="false">IF(F4870="","",IFERROR(IF(ISNUMBER(SEARCH(Assumptions!$C$5,F4870)),Assumptions!$D$5,IF(ISNUMBER(SEARCH(Assumptions!$C$6,F4870)),Assumptions!$D$6,IF(ISNUMBER(SEARCH(Assumptions!$C$7,F4870)),Assumptions!$D$7,"Other Services"))),"Other Services"))</f>
        <v/>
      </c>
    </row>
    <row r="4871" customFormat="false" ht="15" hidden="false" customHeight="false" outlineLevel="0" collapsed="false">
      <c r="I4871" s="41" t="str">
        <f aca="false">IF(F4871="","",IFERROR(IF(ISNUMBER(SEARCH(Assumptions!$C$5,F4871)),Assumptions!$D$5,IF(ISNUMBER(SEARCH(Assumptions!$C$6,F4871)),Assumptions!$D$6,IF(ISNUMBER(SEARCH(Assumptions!$C$7,F4871)),Assumptions!$D$7,"Other Services"))),"Other Services"))</f>
        <v/>
      </c>
    </row>
    <row r="4872" customFormat="false" ht="15" hidden="false" customHeight="false" outlineLevel="0" collapsed="false">
      <c r="I4872" s="41" t="str">
        <f aca="false">IF(F4872="","",IFERROR(IF(ISNUMBER(SEARCH(Assumptions!$C$5,F4872)),Assumptions!$D$5,IF(ISNUMBER(SEARCH(Assumptions!$C$6,F4872)),Assumptions!$D$6,IF(ISNUMBER(SEARCH(Assumptions!$C$7,F4872)),Assumptions!$D$7,"Other Services"))),"Other Services"))</f>
        <v/>
      </c>
    </row>
    <row r="4873" customFormat="false" ht="15" hidden="false" customHeight="false" outlineLevel="0" collapsed="false">
      <c r="I4873" s="41" t="str">
        <f aca="false">IF(F4873="","",IFERROR(IF(ISNUMBER(SEARCH(Assumptions!$C$5,F4873)),Assumptions!$D$5,IF(ISNUMBER(SEARCH(Assumptions!$C$6,F4873)),Assumptions!$D$6,IF(ISNUMBER(SEARCH(Assumptions!$C$7,F4873)),Assumptions!$D$7,"Other Services"))),"Other Services"))</f>
        <v/>
      </c>
    </row>
    <row r="4874" customFormat="false" ht="15" hidden="false" customHeight="false" outlineLevel="0" collapsed="false">
      <c r="I4874" s="41" t="str">
        <f aca="false">IF(F4874="","",IFERROR(IF(ISNUMBER(SEARCH(Assumptions!$C$5,F4874)),Assumptions!$D$5,IF(ISNUMBER(SEARCH(Assumptions!$C$6,F4874)),Assumptions!$D$6,IF(ISNUMBER(SEARCH(Assumptions!$C$7,F4874)),Assumptions!$D$7,"Other Services"))),"Other Services"))</f>
        <v/>
      </c>
    </row>
    <row r="4875" customFormat="false" ht="15" hidden="false" customHeight="false" outlineLevel="0" collapsed="false">
      <c r="I4875" s="41" t="str">
        <f aca="false">IF(F4875="","",IFERROR(IF(ISNUMBER(SEARCH(Assumptions!$C$5,F4875)),Assumptions!$D$5,IF(ISNUMBER(SEARCH(Assumptions!$C$6,F4875)),Assumptions!$D$6,IF(ISNUMBER(SEARCH(Assumptions!$C$7,F4875)),Assumptions!$D$7,"Other Services"))),"Other Services"))</f>
        <v/>
      </c>
    </row>
    <row r="4876" customFormat="false" ht="15" hidden="false" customHeight="false" outlineLevel="0" collapsed="false">
      <c r="I4876" s="41" t="str">
        <f aca="false">IF(F4876="","",IFERROR(IF(ISNUMBER(SEARCH(Assumptions!$C$5,F4876)),Assumptions!$D$5,IF(ISNUMBER(SEARCH(Assumptions!$C$6,F4876)),Assumptions!$D$6,IF(ISNUMBER(SEARCH(Assumptions!$C$7,F4876)),Assumptions!$D$7,"Other Services"))),"Other Services"))</f>
        <v/>
      </c>
    </row>
    <row r="4877" customFormat="false" ht="15" hidden="false" customHeight="false" outlineLevel="0" collapsed="false">
      <c r="I4877" s="41" t="str">
        <f aca="false">IF(F4877="","",IFERROR(IF(ISNUMBER(SEARCH(Assumptions!$C$5,F4877)),Assumptions!$D$5,IF(ISNUMBER(SEARCH(Assumptions!$C$6,F4877)),Assumptions!$D$6,IF(ISNUMBER(SEARCH(Assumptions!$C$7,F4877)),Assumptions!$D$7,"Other Services"))),"Other Services"))</f>
        <v/>
      </c>
    </row>
    <row r="4878" customFormat="false" ht="15" hidden="false" customHeight="false" outlineLevel="0" collapsed="false">
      <c r="I4878" s="41" t="str">
        <f aca="false">IF(F4878="","",IFERROR(IF(ISNUMBER(SEARCH(Assumptions!$C$5,F4878)),Assumptions!$D$5,IF(ISNUMBER(SEARCH(Assumptions!$C$6,F4878)),Assumptions!$D$6,IF(ISNUMBER(SEARCH(Assumptions!$C$7,F4878)),Assumptions!$D$7,"Other Services"))),"Other Services"))</f>
        <v/>
      </c>
    </row>
    <row r="4879" customFormat="false" ht="15" hidden="false" customHeight="false" outlineLevel="0" collapsed="false">
      <c r="I4879" s="41" t="str">
        <f aca="false">IF(F4879="","",IFERROR(IF(ISNUMBER(SEARCH(Assumptions!$C$5,F4879)),Assumptions!$D$5,IF(ISNUMBER(SEARCH(Assumptions!$C$6,F4879)),Assumptions!$D$6,IF(ISNUMBER(SEARCH(Assumptions!$C$7,F4879)),Assumptions!$D$7,"Other Services"))),"Other Services"))</f>
        <v/>
      </c>
    </row>
    <row r="4880" customFormat="false" ht="15" hidden="false" customHeight="false" outlineLevel="0" collapsed="false">
      <c r="I4880" s="41" t="str">
        <f aca="false">IF(F4880="","",IFERROR(IF(ISNUMBER(SEARCH(Assumptions!$C$5,F4880)),Assumptions!$D$5,IF(ISNUMBER(SEARCH(Assumptions!$C$6,F4880)),Assumptions!$D$6,IF(ISNUMBER(SEARCH(Assumptions!$C$7,F4880)),Assumptions!$D$7,"Other Services"))),"Other Services"))</f>
        <v/>
      </c>
    </row>
    <row r="4881" customFormat="false" ht="15" hidden="false" customHeight="false" outlineLevel="0" collapsed="false">
      <c r="I4881" s="41" t="str">
        <f aca="false">IF(F4881="","",IFERROR(IF(ISNUMBER(SEARCH(Assumptions!$C$5,F4881)),Assumptions!$D$5,IF(ISNUMBER(SEARCH(Assumptions!$C$6,F4881)),Assumptions!$D$6,IF(ISNUMBER(SEARCH(Assumptions!$C$7,F4881)),Assumptions!$D$7,"Other Services"))),"Other Services"))</f>
        <v/>
      </c>
    </row>
    <row r="4882" customFormat="false" ht="15" hidden="false" customHeight="false" outlineLevel="0" collapsed="false">
      <c r="I4882" s="41" t="str">
        <f aca="false">IF(F4882="","",IFERROR(IF(ISNUMBER(SEARCH(Assumptions!$C$5,F4882)),Assumptions!$D$5,IF(ISNUMBER(SEARCH(Assumptions!$C$6,F4882)),Assumptions!$D$6,IF(ISNUMBER(SEARCH(Assumptions!$C$7,F4882)),Assumptions!$D$7,"Other Services"))),"Other Services"))</f>
        <v/>
      </c>
    </row>
    <row r="4883" customFormat="false" ht="15" hidden="false" customHeight="false" outlineLevel="0" collapsed="false">
      <c r="I4883" s="41" t="str">
        <f aca="false">IF(F4883="","",IFERROR(IF(ISNUMBER(SEARCH(Assumptions!$C$5,F4883)),Assumptions!$D$5,IF(ISNUMBER(SEARCH(Assumptions!$C$6,F4883)),Assumptions!$D$6,IF(ISNUMBER(SEARCH(Assumptions!$C$7,F4883)),Assumptions!$D$7,"Other Services"))),"Other Services"))</f>
        <v/>
      </c>
    </row>
    <row r="4884" customFormat="false" ht="15" hidden="false" customHeight="false" outlineLevel="0" collapsed="false">
      <c r="I4884" s="41" t="str">
        <f aca="false">IF(F4884="","",IFERROR(IF(ISNUMBER(SEARCH(Assumptions!$C$5,F4884)),Assumptions!$D$5,IF(ISNUMBER(SEARCH(Assumptions!$C$6,F4884)),Assumptions!$D$6,IF(ISNUMBER(SEARCH(Assumptions!$C$7,F4884)),Assumptions!$D$7,"Other Services"))),"Other Services"))</f>
        <v/>
      </c>
    </row>
    <row r="4885" customFormat="false" ht="15" hidden="false" customHeight="false" outlineLevel="0" collapsed="false">
      <c r="I4885" s="41" t="str">
        <f aca="false">IF(F4885="","",IFERROR(IF(ISNUMBER(SEARCH(Assumptions!$C$5,F4885)),Assumptions!$D$5,IF(ISNUMBER(SEARCH(Assumptions!$C$6,F4885)),Assumptions!$D$6,IF(ISNUMBER(SEARCH(Assumptions!$C$7,F4885)),Assumptions!$D$7,"Other Services"))),"Other Services"))</f>
        <v/>
      </c>
    </row>
    <row r="4886" customFormat="false" ht="15" hidden="false" customHeight="false" outlineLevel="0" collapsed="false">
      <c r="I4886" s="41" t="str">
        <f aca="false">IF(F4886="","",IFERROR(IF(ISNUMBER(SEARCH(Assumptions!$C$5,F4886)),Assumptions!$D$5,IF(ISNUMBER(SEARCH(Assumptions!$C$6,F4886)),Assumptions!$D$6,IF(ISNUMBER(SEARCH(Assumptions!$C$7,F4886)),Assumptions!$D$7,"Other Services"))),"Other Services"))</f>
        <v/>
      </c>
    </row>
    <row r="4887" customFormat="false" ht="15" hidden="false" customHeight="false" outlineLevel="0" collapsed="false">
      <c r="I4887" s="41" t="str">
        <f aca="false">IF(F4887="","",IFERROR(IF(ISNUMBER(SEARCH(Assumptions!$C$5,F4887)),Assumptions!$D$5,IF(ISNUMBER(SEARCH(Assumptions!$C$6,F4887)),Assumptions!$D$6,IF(ISNUMBER(SEARCH(Assumptions!$C$7,F4887)),Assumptions!$D$7,"Other Services"))),"Other Services"))</f>
        <v/>
      </c>
    </row>
    <row r="4888" customFormat="false" ht="15" hidden="false" customHeight="false" outlineLevel="0" collapsed="false">
      <c r="I4888" s="41" t="str">
        <f aca="false">IF(F4888="","",IFERROR(IF(ISNUMBER(SEARCH(Assumptions!$C$5,F4888)),Assumptions!$D$5,IF(ISNUMBER(SEARCH(Assumptions!$C$6,F4888)),Assumptions!$D$6,IF(ISNUMBER(SEARCH(Assumptions!$C$7,F4888)),Assumptions!$D$7,"Other Services"))),"Other Services"))</f>
        <v/>
      </c>
    </row>
    <row r="4889" customFormat="false" ht="15" hidden="false" customHeight="false" outlineLevel="0" collapsed="false">
      <c r="I4889" s="41" t="str">
        <f aca="false">IF(F4889="","",IFERROR(IF(ISNUMBER(SEARCH(Assumptions!$C$5,F4889)),Assumptions!$D$5,IF(ISNUMBER(SEARCH(Assumptions!$C$6,F4889)),Assumptions!$D$6,IF(ISNUMBER(SEARCH(Assumptions!$C$7,F4889)),Assumptions!$D$7,"Other Services"))),"Other Services"))</f>
        <v/>
      </c>
    </row>
    <row r="4890" customFormat="false" ht="15" hidden="false" customHeight="false" outlineLevel="0" collapsed="false">
      <c r="I4890" s="41" t="str">
        <f aca="false">IF(F4890="","",IFERROR(IF(ISNUMBER(SEARCH(Assumptions!$C$5,F4890)),Assumptions!$D$5,IF(ISNUMBER(SEARCH(Assumptions!$C$6,F4890)),Assumptions!$D$6,IF(ISNUMBER(SEARCH(Assumptions!$C$7,F4890)),Assumptions!$D$7,"Other Services"))),"Other Services"))</f>
        <v/>
      </c>
    </row>
    <row r="4891" customFormat="false" ht="15" hidden="false" customHeight="false" outlineLevel="0" collapsed="false">
      <c r="I4891" s="41" t="str">
        <f aca="false">IF(F4891="","",IFERROR(IF(ISNUMBER(SEARCH(Assumptions!$C$5,F4891)),Assumptions!$D$5,IF(ISNUMBER(SEARCH(Assumptions!$C$6,F4891)),Assumptions!$D$6,IF(ISNUMBER(SEARCH(Assumptions!$C$7,F4891)),Assumptions!$D$7,"Other Services"))),"Other Services"))</f>
        <v/>
      </c>
    </row>
    <row r="4892" customFormat="false" ht="15" hidden="false" customHeight="false" outlineLevel="0" collapsed="false">
      <c r="I4892" s="41" t="str">
        <f aca="false">IF(F4892="","",IFERROR(IF(ISNUMBER(SEARCH(Assumptions!$C$5,F4892)),Assumptions!$D$5,IF(ISNUMBER(SEARCH(Assumptions!$C$6,F4892)),Assumptions!$D$6,IF(ISNUMBER(SEARCH(Assumptions!$C$7,F4892)),Assumptions!$D$7,"Other Services"))),"Other Services"))</f>
        <v/>
      </c>
    </row>
    <row r="4893" customFormat="false" ht="15" hidden="false" customHeight="false" outlineLevel="0" collapsed="false">
      <c r="I4893" s="41" t="str">
        <f aca="false">IF(F4893="","",IFERROR(IF(ISNUMBER(SEARCH(Assumptions!$C$5,F4893)),Assumptions!$D$5,IF(ISNUMBER(SEARCH(Assumptions!$C$6,F4893)),Assumptions!$D$6,IF(ISNUMBER(SEARCH(Assumptions!$C$7,F4893)),Assumptions!$D$7,"Other Services"))),"Other Services"))</f>
        <v/>
      </c>
    </row>
    <row r="4894" customFormat="false" ht="15" hidden="false" customHeight="false" outlineLevel="0" collapsed="false">
      <c r="I4894" s="41" t="str">
        <f aca="false">IF(F4894="","",IFERROR(IF(ISNUMBER(SEARCH(Assumptions!$C$5,F4894)),Assumptions!$D$5,IF(ISNUMBER(SEARCH(Assumptions!$C$6,F4894)),Assumptions!$D$6,IF(ISNUMBER(SEARCH(Assumptions!$C$7,F4894)),Assumptions!$D$7,"Other Services"))),"Other Services"))</f>
        <v/>
      </c>
    </row>
    <row r="4895" customFormat="false" ht="15" hidden="false" customHeight="false" outlineLevel="0" collapsed="false">
      <c r="I4895" s="41" t="str">
        <f aca="false">IF(F4895="","",IFERROR(IF(ISNUMBER(SEARCH(Assumptions!$C$5,F4895)),Assumptions!$D$5,IF(ISNUMBER(SEARCH(Assumptions!$C$6,F4895)),Assumptions!$D$6,IF(ISNUMBER(SEARCH(Assumptions!$C$7,F4895)),Assumptions!$D$7,"Other Services"))),"Other Services"))</f>
        <v/>
      </c>
    </row>
    <row r="4896" customFormat="false" ht="15" hidden="false" customHeight="false" outlineLevel="0" collapsed="false">
      <c r="I4896" s="41" t="str">
        <f aca="false">IF(F4896="","",IFERROR(IF(ISNUMBER(SEARCH(Assumptions!$C$5,F4896)),Assumptions!$D$5,IF(ISNUMBER(SEARCH(Assumptions!$C$6,F4896)),Assumptions!$D$6,IF(ISNUMBER(SEARCH(Assumptions!$C$7,F4896)),Assumptions!$D$7,"Other Services"))),"Other Services"))</f>
        <v/>
      </c>
    </row>
    <row r="4897" customFormat="false" ht="15" hidden="false" customHeight="false" outlineLevel="0" collapsed="false">
      <c r="I4897" s="41" t="str">
        <f aca="false">IF(F4897="","",IFERROR(IF(ISNUMBER(SEARCH(Assumptions!$C$5,F4897)),Assumptions!$D$5,IF(ISNUMBER(SEARCH(Assumptions!$C$6,F4897)),Assumptions!$D$6,IF(ISNUMBER(SEARCH(Assumptions!$C$7,F4897)),Assumptions!$D$7,"Other Services"))),"Other Services"))</f>
        <v/>
      </c>
    </row>
    <row r="4898" customFormat="false" ht="15" hidden="false" customHeight="false" outlineLevel="0" collapsed="false">
      <c r="I4898" s="41" t="str">
        <f aca="false">IF(F4898="","",IFERROR(IF(ISNUMBER(SEARCH(Assumptions!$C$5,F4898)),Assumptions!$D$5,IF(ISNUMBER(SEARCH(Assumptions!$C$6,F4898)),Assumptions!$D$6,IF(ISNUMBER(SEARCH(Assumptions!$C$7,F4898)),Assumptions!$D$7,"Other Services"))),"Other Services"))</f>
        <v/>
      </c>
    </row>
    <row r="4899" customFormat="false" ht="15" hidden="false" customHeight="false" outlineLevel="0" collapsed="false">
      <c r="I4899" s="41" t="str">
        <f aca="false">IF(F4899="","",IFERROR(IF(ISNUMBER(SEARCH(Assumptions!$C$5,F4899)),Assumptions!$D$5,IF(ISNUMBER(SEARCH(Assumptions!$C$6,F4899)),Assumptions!$D$6,IF(ISNUMBER(SEARCH(Assumptions!$C$7,F4899)),Assumptions!$D$7,"Other Services"))),"Other Services"))</f>
        <v/>
      </c>
    </row>
    <row r="4900" customFormat="false" ht="15" hidden="false" customHeight="false" outlineLevel="0" collapsed="false">
      <c r="I4900" s="41" t="str">
        <f aca="false">IF(F4900="","",IFERROR(IF(ISNUMBER(SEARCH(Assumptions!$C$5,F4900)),Assumptions!$D$5,IF(ISNUMBER(SEARCH(Assumptions!$C$6,F4900)),Assumptions!$D$6,IF(ISNUMBER(SEARCH(Assumptions!$C$7,F4900)),Assumptions!$D$7,"Other Services"))),"Other Services"))</f>
        <v/>
      </c>
    </row>
    <row r="4901" customFormat="false" ht="15" hidden="false" customHeight="false" outlineLevel="0" collapsed="false">
      <c r="I4901" s="41" t="str">
        <f aca="false">IF(F4901="","",IFERROR(IF(ISNUMBER(SEARCH(Assumptions!$C$5,F4901)),Assumptions!$D$5,IF(ISNUMBER(SEARCH(Assumptions!$C$6,F4901)),Assumptions!$D$6,IF(ISNUMBER(SEARCH(Assumptions!$C$7,F4901)),Assumptions!$D$7,"Other Services"))),"Other Services"))</f>
        <v/>
      </c>
    </row>
    <row r="4902" customFormat="false" ht="15" hidden="false" customHeight="false" outlineLevel="0" collapsed="false">
      <c r="I4902" s="41" t="str">
        <f aca="false">IF(F4902="","",IFERROR(IF(ISNUMBER(SEARCH(Assumptions!$C$5,F4902)),Assumptions!$D$5,IF(ISNUMBER(SEARCH(Assumptions!$C$6,F4902)),Assumptions!$D$6,IF(ISNUMBER(SEARCH(Assumptions!$C$7,F4902)),Assumptions!$D$7,"Other Services"))),"Other Services"))</f>
        <v/>
      </c>
    </row>
    <row r="4903" customFormat="false" ht="15" hidden="false" customHeight="false" outlineLevel="0" collapsed="false">
      <c r="I4903" s="41" t="str">
        <f aca="false">IF(F4903="","",IFERROR(IF(ISNUMBER(SEARCH(Assumptions!$C$5,F4903)),Assumptions!$D$5,IF(ISNUMBER(SEARCH(Assumptions!$C$6,F4903)),Assumptions!$D$6,IF(ISNUMBER(SEARCH(Assumptions!$C$7,F4903)),Assumptions!$D$7,"Other Services"))),"Other Services"))</f>
        <v/>
      </c>
    </row>
    <row r="4904" customFormat="false" ht="15" hidden="false" customHeight="false" outlineLevel="0" collapsed="false">
      <c r="I4904" s="41" t="str">
        <f aca="false">IF(F4904="","",IFERROR(IF(ISNUMBER(SEARCH(Assumptions!$C$5,F4904)),Assumptions!$D$5,IF(ISNUMBER(SEARCH(Assumptions!$C$6,F4904)),Assumptions!$D$6,IF(ISNUMBER(SEARCH(Assumptions!$C$7,F4904)),Assumptions!$D$7,"Other Services"))),"Other Services"))</f>
        <v/>
      </c>
    </row>
    <row r="4905" customFormat="false" ht="15" hidden="false" customHeight="false" outlineLevel="0" collapsed="false">
      <c r="I4905" s="41" t="str">
        <f aca="false">IF(F4905="","",IFERROR(IF(ISNUMBER(SEARCH(Assumptions!$C$5,F4905)),Assumptions!$D$5,IF(ISNUMBER(SEARCH(Assumptions!$C$6,F4905)),Assumptions!$D$6,IF(ISNUMBER(SEARCH(Assumptions!$C$7,F4905)),Assumptions!$D$7,"Other Services"))),"Other Services"))</f>
        <v/>
      </c>
    </row>
    <row r="4906" customFormat="false" ht="15" hidden="false" customHeight="false" outlineLevel="0" collapsed="false">
      <c r="I4906" s="41" t="str">
        <f aca="false">IF(F4906="","",IFERROR(IF(ISNUMBER(SEARCH(Assumptions!$C$5,F4906)),Assumptions!$D$5,IF(ISNUMBER(SEARCH(Assumptions!$C$6,F4906)),Assumptions!$D$6,IF(ISNUMBER(SEARCH(Assumptions!$C$7,F4906)),Assumptions!$D$7,"Other Services"))),"Other Services"))</f>
        <v/>
      </c>
    </row>
    <row r="4907" customFormat="false" ht="15" hidden="false" customHeight="false" outlineLevel="0" collapsed="false">
      <c r="I4907" s="41" t="str">
        <f aca="false">IF(F4907="","",IFERROR(IF(ISNUMBER(SEARCH(Assumptions!$C$5,F4907)),Assumptions!$D$5,IF(ISNUMBER(SEARCH(Assumptions!$C$6,F4907)),Assumptions!$D$6,IF(ISNUMBER(SEARCH(Assumptions!$C$7,F4907)),Assumptions!$D$7,"Other Services"))),"Other Services"))</f>
        <v/>
      </c>
    </row>
    <row r="4908" customFormat="false" ht="15" hidden="false" customHeight="false" outlineLevel="0" collapsed="false">
      <c r="I4908" s="41" t="str">
        <f aca="false">IF(F4908="","",IFERROR(IF(ISNUMBER(SEARCH(Assumptions!$C$5,F4908)),Assumptions!$D$5,IF(ISNUMBER(SEARCH(Assumptions!$C$6,F4908)),Assumptions!$D$6,IF(ISNUMBER(SEARCH(Assumptions!$C$7,F4908)),Assumptions!$D$7,"Other Services"))),"Other Services"))</f>
        <v/>
      </c>
    </row>
    <row r="4909" customFormat="false" ht="15" hidden="false" customHeight="false" outlineLevel="0" collapsed="false">
      <c r="I4909" s="41" t="str">
        <f aca="false">IF(F4909="","",IFERROR(IF(ISNUMBER(SEARCH(Assumptions!$C$5,F4909)),Assumptions!$D$5,IF(ISNUMBER(SEARCH(Assumptions!$C$6,F4909)),Assumptions!$D$6,IF(ISNUMBER(SEARCH(Assumptions!$C$7,F4909)),Assumptions!$D$7,"Other Services"))),"Other Services"))</f>
        <v/>
      </c>
    </row>
    <row r="4910" customFormat="false" ht="15" hidden="false" customHeight="false" outlineLevel="0" collapsed="false">
      <c r="I4910" s="41" t="str">
        <f aca="false">IF(F4910="","",IFERROR(IF(ISNUMBER(SEARCH(Assumptions!$C$5,F4910)),Assumptions!$D$5,IF(ISNUMBER(SEARCH(Assumptions!$C$6,F4910)),Assumptions!$D$6,IF(ISNUMBER(SEARCH(Assumptions!$C$7,F4910)),Assumptions!$D$7,"Other Services"))),"Other Services"))</f>
        <v/>
      </c>
    </row>
    <row r="4911" customFormat="false" ht="15" hidden="false" customHeight="false" outlineLevel="0" collapsed="false">
      <c r="I4911" s="41" t="str">
        <f aca="false">IF(F4911="","",IFERROR(IF(ISNUMBER(SEARCH(Assumptions!$C$5,F4911)),Assumptions!$D$5,IF(ISNUMBER(SEARCH(Assumptions!$C$6,F4911)),Assumptions!$D$6,IF(ISNUMBER(SEARCH(Assumptions!$C$7,F4911)),Assumptions!$D$7,"Other Services"))),"Other Services"))</f>
        <v/>
      </c>
    </row>
    <row r="4912" customFormat="false" ht="15" hidden="false" customHeight="false" outlineLevel="0" collapsed="false">
      <c r="I4912" s="41" t="str">
        <f aca="false">IF(F4912="","",IFERROR(IF(ISNUMBER(SEARCH(Assumptions!$C$5,F4912)),Assumptions!$D$5,IF(ISNUMBER(SEARCH(Assumptions!$C$6,F4912)),Assumptions!$D$6,IF(ISNUMBER(SEARCH(Assumptions!$C$7,F4912)),Assumptions!$D$7,"Other Services"))),"Other Services"))</f>
        <v/>
      </c>
    </row>
    <row r="4913" customFormat="false" ht="15" hidden="false" customHeight="false" outlineLevel="0" collapsed="false">
      <c r="I4913" s="41" t="str">
        <f aca="false">IF(F4913="","",IFERROR(IF(ISNUMBER(SEARCH(Assumptions!$C$5,F4913)),Assumptions!$D$5,IF(ISNUMBER(SEARCH(Assumptions!$C$6,F4913)),Assumptions!$D$6,IF(ISNUMBER(SEARCH(Assumptions!$C$7,F4913)),Assumptions!$D$7,"Other Services"))),"Other Services"))</f>
        <v/>
      </c>
    </row>
    <row r="4914" customFormat="false" ht="15" hidden="false" customHeight="false" outlineLevel="0" collapsed="false">
      <c r="I4914" s="41" t="str">
        <f aca="false">IF(F4914="","",IFERROR(IF(ISNUMBER(SEARCH(Assumptions!$C$5,F4914)),Assumptions!$D$5,IF(ISNUMBER(SEARCH(Assumptions!$C$6,F4914)),Assumptions!$D$6,IF(ISNUMBER(SEARCH(Assumptions!$C$7,F4914)),Assumptions!$D$7,"Other Services"))),"Other Services"))</f>
        <v/>
      </c>
    </row>
    <row r="4915" customFormat="false" ht="15" hidden="false" customHeight="false" outlineLevel="0" collapsed="false">
      <c r="I4915" s="41" t="str">
        <f aca="false">IF(F4915="","",IFERROR(IF(ISNUMBER(SEARCH(Assumptions!$C$5,F4915)),Assumptions!$D$5,IF(ISNUMBER(SEARCH(Assumptions!$C$6,F4915)),Assumptions!$D$6,IF(ISNUMBER(SEARCH(Assumptions!$C$7,F4915)),Assumptions!$D$7,"Other Services"))),"Other Services"))</f>
        <v/>
      </c>
    </row>
    <row r="4916" customFormat="false" ht="15" hidden="false" customHeight="false" outlineLevel="0" collapsed="false">
      <c r="I4916" s="41" t="str">
        <f aca="false">IF(F4916="","",IFERROR(IF(ISNUMBER(SEARCH(Assumptions!$C$5,F4916)),Assumptions!$D$5,IF(ISNUMBER(SEARCH(Assumptions!$C$6,F4916)),Assumptions!$D$6,IF(ISNUMBER(SEARCH(Assumptions!$C$7,F4916)),Assumptions!$D$7,"Other Services"))),"Other Services"))</f>
        <v/>
      </c>
    </row>
    <row r="4917" customFormat="false" ht="15" hidden="false" customHeight="false" outlineLevel="0" collapsed="false">
      <c r="I4917" s="41" t="str">
        <f aca="false">IF(F4917="","",IFERROR(IF(ISNUMBER(SEARCH(Assumptions!$C$5,F4917)),Assumptions!$D$5,IF(ISNUMBER(SEARCH(Assumptions!$C$6,F4917)),Assumptions!$D$6,IF(ISNUMBER(SEARCH(Assumptions!$C$7,F4917)),Assumptions!$D$7,"Other Services"))),"Other Services"))</f>
        <v/>
      </c>
    </row>
    <row r="4918" customFormat="false" ht="15" hidden="false" customHeight="false" outlineLevel="0" collapsed="false">
      <c r="I4918" s="41" t="str">
        <f aca="false">IF(F4918="","",IFERROR(IF(ISNUMBER(SEARCH(Assumptions!$C$5,F4918)),Assumptions!$D$5,IF(ISNUMBER(SEARCH(Assumptions!$C$6,F4918)),Assumptions!$D$6,IF(ISNUMBER(SEARCH(Assumptions!$C$7,F4918)),Assumptions!$D$7,"Other Services"))),"Other Services"))</f>
        <v/>
      </c>
    </row>
    <row r="4919" customFormat="false" ht="15" hidden="false" customHeight="false" outlineLevel="0" collapsed="false">
      <c r="I4919" s="41" t="str">
        <f aca="false">IF(F4919="","",IFERROR(IF(ISNUMBER(SEARCH(Assumptions!$C$5,F4919)),Assumptions!$D$5,IF(ISNUMBER(SEARCH(Assumptions!$C$6,F4919)),Assumptions!$D$6,IF(ISNUMBER(SEARCH(Assumptions!$C$7,F4919)),Assumptions!$D$7,"Other Services"))),"Other Services"))</f>
        <v/>
      </c>
    </row>
    <row r="4920" customFormat="false" ht="15" hidden="false" customHeight="false" outlineLevel="0" collapsed="false">
      <c r="I4920" s="41" t="str">
        <f aca="false">IF(F4920="","",IFERROR(IF(ISNUMBER(SEARCH(Assumptions!$C$5,F4920)),Assumptions!$D$5,IF(ISNUMBER(SEARCH(Assumptions!$C$6,F4920)),Assumptions!$D$6,IF(ISNUMBER(SEARCH(Assumptions!$C$7,F4920)),Assumptions!$D$7,"Other Services"))),"Other Services"))</f>
        <v/>
      </c>
    </row>
    <row r="4921" customFormat="false" ht="15" hidden="false" customHeight="false" outlineLevel="0" collapsed="false">
      <c r="I4921" s="41" t="str">
        <f aca="false">IF(F4921="","",IFERROR(IF(ISNUMBER(SEARCH(Assumptions!$C$5,F4921)),Assumptions!$D$5,IF(ISNUMBER(SEARCH(Assumptions!$C$6,F4921)),Assumptions!$D$6,IF(ISNUMBER(SEARCH(Assumptions!$C$7,F4921)),Assumptions!$D$7,"Other Services"))),"Other Services"))</f>
        <v/>
      </c>
    </row>
    <row r="4922" customFormat="false" ht="15" hidden="false" customHeight="false" outlineLevel="0" collapsed="false">
      <c r="I4922" s="41" t="str">
        <f aca="false">IF(F4922="","",IFERROR(IF(ISNUMBER(SEARCH(Assumptions!$C$5,F4922)),Assumptions!$D$5,IF(ISNUMBER(SEARCH(Assumptions!$C$6,F4922)),Assumptions!$D$6,IF(ISNUMBER(SEARCH(Assumptions!$C$7,F4922)),Assumptions!$D$7,"Other Services"))),"Other Services"))</f>
        <v/>
      </c>
    </row>
    <row r="4923" customFormat="false" ht="15" hidden="false" customHeight="false" outlineLevel="0" collapsed="false">
      <c r="I4923" s="41" t="str">
        <f aca="false">IF(F4923="","",IFERROR(IF(ISNUMBER(SEARCH(Assumptions!$C$5,F4923)),Assumptions!$D$5,IF(ISNUMBER(SEARCH(Assumptions!$C$6,F4923)),Assumptions!$D$6,IF(ISNUMBER(SEARCH(Assumptions!$C$7,F4923)),Assumptions!$D$7,"Other Services"))),"Other Services"))</f>
        <v/>
      </c>
    </row>
    <row r="4924" customFormat="false" ht="15" hidden="false" customHeight="false" outlineLevel="0" collapsed="false">
      <c r="I4924" s="41" t="str">
        <f aca="false">IF(F4924="","",IFERROR(IF(ISNUMBER(SEARCH(Assumptions!$C$5,F4924)),Assumptions!$D$5,IF(ISNUMBER(SEARCH(Assumptions!$C$6,F4924)),Assumptions!$D$6,IF(ISNUMBER(SEARCH(Assumptions!$C$7,F4924)),Assumptions!$D$7,"Other Services"))),"Other Services"))</f>
        <v/>
      </c>
    </row>
    <row r="4925" customFormat="false" ht="15" hidden="false" customHeight="false" outlineLevel="0" collapsed="false">
      <c r="I4925" s="41" t="str">
        <f aca="false">IF(F4925="","",IFERROR(IF(ISNUMBER(SEARCH(Assumptions!$C$5,F4925)),Assumptions!$D$5,IF(ISNUMBER(SEARCH(Assumptions!$C$6,F4925)),Assumptions!$D$6,IF(ISNUMBER(SEARCH(Assumptions!$C$7,F4925)),Assumptions!$D$7,"Other Services"))),"Other Services"))</f>
        <v/>
      </c>
    </row>
    <row r="4926" customFormat="false" ht="15" hidden="false" customHeight="false" outlineLevel="0" collapsed="false">
      <c r="I4926" s="41" t="str">
        <f aca="false">IF(F4926="","",IFERROR(IF(ISNUMBER(SEARCH(Assumptions!$C$5,F4926)),Assumptions!$D$5,IF(ISNUMBER(SEARCH(Assumptions!$C$6,F4926)),Assumptions!$D$6,IF(ISNUMBER(SEARCH(Assumptions!$C$7,F4926)),Assumptions!$D$7,"Other Services"))),"Other Services"))</f>
        <v/>
      </c>
    </row>
    <row r="4927" customFormat="false" ht="15" hidden="false" customHeight="false" outlineLevel="0" collapsed="false">
      <c r="I4927" s="41" t="str">
        <f aca="false">IF(F4927="","",IFERROR(IF(ISNUMBER(SEARCH(Assumptions!$C$5,F4927)),Assumptions!$D$5,IF(ISNUMBER(SEARCH(Assumptions!$C$6,F4927)),Assumptions!$D$6,IF(ISNUMBER(SEARCH(Assumptions!$C$7,F4927)),Assumptions!$D$7,"Other Services"))),"Other Services"))</f>
        <v/>
      </c>
    </row>
    <row r="4928" customFormat="false" ht="15" hidden="false" customHeight="false" outlineLevel="0" collapsed="false">
      <c r="I4928" s="41" t="str">
        <f aca="false">IF(F4928="","",IFERROR(IF(ISNUMBER(SEARCH(Assumptions!$C$5,F4928)),Assumptions!$D$5,IF(ISNUMBER(SEARCH(Assumptions!$C$6,F4928)),Assumptions!$D$6,IF(ISNUMBER(SEARCH(Assumptions!$C$7,F4928)),Assumptions!$D$7,"Other Services"))),"Other Services"))</f>
        <v/>
      </c>
    </row>
    <row r="4929" customFormat="false" ht="15" hidden="false" customHeight="false" outlineLevel="0" collapsed="false">
      <c r="I4929" s="41" t="str">
        <f aca="false">IF(F4929="","",IFERROR(IF(ISNUMBER(SEARCH(Assumptions!$C$5,F4929)),Assumptions!$D$5,IF(ISNUMBER(SEARCH(Assumptions!$C$6,F4929)),Assumptions!$D$6,IF(ISNUMBER(SEARCH(Assumptions!$C$7,F4929)),Assumptions!$D$7,"Other Services"))),"Other Services"))</f>
        <v/>
      </c>
    </row>
    <row r="4930" customFormat="false" ht="15" hidden="false" customHeight="false" outlineLevel="0" collapsed="false">
      <c r="I4930" s="41" t="str">
        <f aca="false">IF(F4930="","",IFERROR(IF(ISNUMBER(SEARCH(Assumptions!$C$5,F4930)),Assumptions!$D$5,IF(ISNUMBER(SEARCH(Assumptions!$C$6,F4930)),Assumptions!$D$6,IF(ISNUMBER(SEARCH(Assumptions!$C$7,F4930)),Assumptions!$D$7,"Other Services"))),"Other Services"))</f>
        <v/>
      </c>
    </row>
    <row r="4931" customFormat="false" ht="15" hidden="false" customHeight="false" outlineLevel="0" collapsed="false">
      <c r="I4931" s="41" t="str">
        <f aca="false">IF(F4931="","",IFERROR(IF(ISNUMBER(SEARCH(Assumptions!$C$5,F4931)),Assumptions!$D$5,IF(ISNUMBER(SEARCH(Assumptions!$C$6,F4931)),Assumptions!$D$6,IF(ISNUMBER(SEARCH(Assumptions!$C$7,F4931)),Assumptions!$D$7,"Other Services"))),"Other Services"))</f>
        <v/>
      </c>
    </row>
    <row r="4932" customFormat="false" ht="15" hidden="false" customHeight="false" outlineLevel="0" collapsed="false">
      <c r="I4932" s="41" t="str">
        <f aca="false">IF(F4932="","",IFERROR(IF(ISNUMBER(SEARCH(Assumptions!$C$5,F4932)),Assumptions!$D$5,IF(ISNUMBER(SEARCH(Assumptions!$C$6,F4932)),Assumptions!$D$6,IF(ISNUMBER(SEARCH(Assumptions!$C$7,F4932)),Assumptions!$D$7,"Other Services"))),"Other Services"))</f>
        <v/>
      </c>
    </row>
    <row r="4933" customFormat="false" ht="15" hidden="false" customHeight="false" outlineLevel="0" collapsed="false">
      <c r="I4933" s="41" t="str">
        <f aca="false">IF(F4933="","",IFERROR(IF(ISNUMBER(SEARCH(Assumptions!$C$5,F4933)),Assumptions!$D$5,IF(ISNUMBER(SEARCH(Assumptions!$C$6,F4933)),Assumptions!$D$6,IF(ISNUMBER(SEARCH(Assumptions!$C$7,F4933)),Assumptions!$D$7,"Other Services"))),"Other Services"))</f>
        <v/>
      </c>
    </row>
    <row r="4934" customFormat="false" ht="15" hidden="false" customHeight="false" outlineLevel="0" collapsed="false">
      <c r="I4934" s="41" t="str">
        <f aca="false">IF(F4934="","",IFERROR(IF(ISNUMBER(SEARCH(Assumptions!$C$5,F4934)),Assumptions!$D$5,IF(ISNUMBER(SEARCH(Assumptions!$C$6,F4934)),Assumptions!$D$6,IF(ISNUMBER(SEARCH(Assumptions!$C$7,F4934)),Assumptions!$D$7,"Other Services"))),"Other Services"))</f>
        <v/>
      </c>
    </row>
    <row r="4935" customFormat="false" ht="15" hidden="false" customHeight="false" outlineLevel="0" collapsed="false">
      <c r="I4935" s="41" t="str">
        <f aca="false">IF(F4935="","",IFERROR(IF(ISNUMBER(SEARCH(Assumptions!$C$5,F4935)),Assumptions!$D$5,IF(ISNUMBER(SEARCH(Assumptions!$C$6,F4935)),Assumptions!$D$6,IF(ISNUMBER(SEARCH(Assumptions!$C$7,F4935)),Assumptions!$D$7,"Other Services"))),"Other Services"))</f>
        <v/>
      </c>
    </row>
    <row r="4936" customFormat="false" ht="15" hidden="false" customHeight="false" outlineLevel="0" collapsed="false">
      <c r="I4936" s="41" t="str">
        <f aca="false">IF(F4936="","",IFERROR(IF(ISNUMBER(SEARCH(Assumptions!$C$5,F4936)),Assumptions!$D$5,IF(ISNUMBER(SEARCH(Assumptions!$C$6,F4936)),Assumptions!$D$6,IF(ISNUMBER(SEARCH(Assumptions!$C$7,F4936)),Assumptions!$D$7,"Other Services"))),"Other Services"))</f>
        <v/>
      </c>
    </row>
    <row r="4937" customFormat="false" ht="15" hidden="false" customHeight="false" outlineLevel="0" collapsed="false">
      <c r="I4937" s="41" t="str">
        <f aca="false">IF(F4937="","",IFERROR(IF(ISNUMBER(SEARCH(Assumptions!$C$5,F4937)),Assumptions!$D$5,IF(ISNUMBER(SEARCH(Assumptions!$C$6,F4937)),Assumptions!$D$6,IF(ISNUMBER(SEARCH(Assumptions!$C$7,F4937)),Assumptions!$D$7,"Other Services"))),"Other Services"))</f>
        <v/>
      </c>
    </row>
    <row r="4938" customFormat="false" ht="15" hidden="false" customHeight="false" outlineLevel="0" collapsed="false">
      <c r="I4938" s="41" t="str">
        <f aca="false">IF(F4938="","",IFERROR(IF(ISNUMBER(SEARCH(Assumptions!$C$5,F4938)),Assumptions!$D$5,IF(ISNUMBER(SEARCH(Assumptions!$C$6,F4938)),Assumptions!$D$6,IF(ISNUMBER(SEARCH(Assumptions!$C$7,F4938)),Assumptions!$D$7,"Other Services"))),"Other Services"))</f>
        <v/>
      </c>
    </row>
    <row r="4939" customFormat="false" ht="15" hidden="false" customHeight="false" outlineLevel="0" collapsed="false">
      <c r="I4939" s="41" t="str">
        <f aca="false">IF(F4939="","",IFERROR(IF(ISNUMBER(SEARCH(Assumptions!$C$5,F4939)),Assumptions!$D$5,IF(ISNUMBER(SEARCH(Assumptions!$C$6,F4939)),Assumptions!$D$6,IF(ISNUMBER(SEARCH(Assumptions!$C$7,F4939)),Assumptions!$D$7,"Other Services"))),"Other Services"))</f>
        <v/>
      </c>
    </row>
    <row r="4940" customFormat="false" ht="15" hidden="false" customHeight="false" outlineLevel="0" collapsed="false">
      <c r="I4940" s="41" t="str">
        <f aca="false">IF(F4940="","",IFERROR(IF(ISNUMBER(SEARCH(Assumptions!$C$5,F4940)),Assumptions!$D$5,IF(ISNUMBER(SEARCH(Assumptions!$C$6,F4940)),Assumptions!$D$6,IF(ISNUMBER(SEARCH(Assumptions!$C$7,F4940)),Assumptions!$D$7,"Other Services"))),"Other Services"))</f>
        <v/>
      </c>
    </row>
    <row r="4941" customFormat="false" ht="15" hidden="false" customHeight="false" outlineLevel="0" collapsed="false">
      <c r="I4941" s="41" t="str">
        <f aca="false">IF(F4941="","",IFERROR(IF(ISNUMBER(SEARCH(Assumptions!$C$5,F4941)),Assumptions!$D$5,IF(ISNUMBER(SEARCH(Assumptions!$C$6,F4941)),Assumptions!$D$6,IF(ISNUMBER(SEARCH(Assumptions!$C$7,F4941)),Assumptions!$D$7,"Other Services"))),"Other Services"))</f>
        <v/>
      </c>
    </row>
    <row r="4942" customFormat="false" ht="15" hidden="false" customHeight="false" outlineLevel="0" collapsed="false">
      <c r="I4942" s="41" t="str">
        <f aca="false">IF(F4942="","",IFERROR(IF(ISNUMBER(SEARCH(Assumptions!$C$5,F4942)),Assumptions!$D$5,IF(ISNUMBER(SEARCH(Assumptions!$C$6,F4942)),Assumptions!$D$6,IF(ISNUMBER(SEARCH(Assumptions!$C$7,F4942)),Assumptions!$D$7,"Other Services"))),"Other Services"))</f>
        <v/>
      </c>
    </row>
    <row r="4943" customFormat="false" ht="15" hidden="false" customHeight="false" outlineLevel="0" collapsed="false">
      <c r="I4943" s="41" t="str">
        <f aca="false">IF(F4943="","",IFERROR(IF(ISNUMBER(SEARCH(Assumptions!$C$5,F4943)),Assumptions!$D$5,IF(ISNUMBER(SEARCH(Assumptions!$C$6,F4943)),Assumptions!$D$6,IF(ISNUMBER(SEARCH(Assumptions!$C$7,F4943)),Assumptions!$D$7,"Other Services"))),"Other Services"))</f>
        <v/>
      </c>
    </row>
    <row r="4944" customFormat="false" ht="15" hidden="false" customHeight="false" outlineLevel="0" collapsed="false">
      <c r="I4944" s="41" t="str">
        <f aca="false">IF(F4944="","",IFERROR(IF(ISNUMBER(SEARCH(Assumptions!$C$5,F4944)),Assumptions!$D$5,IF(ISNUMBER(SEARCH(Assumptions!$C$6,F4944)),Assumptions!$D$6,IF(ISNUMBER(SEARCH(Assumptions!$C$7,F4944)),Assumptions!$D$7,"Other Services"))),"Other Services"))</f>
        <v/>
      </c>
    </row>
    <row r="4945" customFormat="false" ht="15" hidden="false" customHeight="false" outlineLevel="0" collapsed="false">
      <c r="I4945" s="41" t="str">
        <f aca="false">IF(F4945="","",IFERROR(IF(ISNUMBER(SEARCH(Assumptions!$C$5,F4945)),Assumptions!$D$5,IF(ISNUMBER(SEARCH(Assumptions!$C$6,F4945)),Assumptions!$D$6,IF(ISNUMBER(SEARCH(Assumptions!$C$7,F4945)),Assumptions!$D$7,"Other Services"))),"Other Services"))</f>
        <v/>
      </c>
    </row>
    <row r="4946" customFormat="false" ht="15" hidden="false" customHeight="false" outlineLevel="0" collapsed="false">
      <c r="I4946" s="41" t="str">
        <f aca="false">IF(F4946="","",IFERROR(IF(ISNUMBER(SEARCH(Assumptions!$C$5,F4946)),Assumptions!$D$5,IF(ISNUMBER(SEARCH(Assumptions!$C$6,F4946)),Assumptions!$D$6,IF(ISNUMBER(SEARCH(Assumptions!$C$7,F4946)),Assumptions!$D$7,"Other Services"))),"Other Services"))</f>
        <v/>
      </c>
    </row>
    <row r="4947" customFormat="false" ht="15" hidden="false" customHeight="false" outlineLevel="0" collapsed="false">
      <c r="I4947" s="41" t="str">
        <f aca="false">IF(F4947="","",IFERROR(IF(ISNUMBER(SEARCH(Assumptions!$C$5,F4947)),Assumptions!$D$5,IF(ISNUMBER(SEARCH(Assumptions!$C$6,F4947)),Assumptions!$D$6,IF(ISNUMBER(SEARCH(Assumptions!$C$7,F4947)),Assumptions!$D$7,"Other Services"))),"Other Services"))</f>
        <v/>
      </c>
    </row>
    <row r="4948" customFormat="false" ht="15" hidden="false" customHeight="false" outlineLevel="0" collapsed="false">
      <c r="I4948" s="41" t="str">
        <f aca="false">IF(F4948="","",IFERROR(IF(ISNUMBER(SEARCH(Assumptions!$C$5,F4948)),Assumptions!$D$5,IF(ISNUMBER(SEARCH(Assumptions!$C$6,F4948)),Assumptions!$D$6,IF(ISNUMBER(SEARCH(Assumptions!$C$7,F4948)),Assumptions!$D$7,"Other Services"))),"Other Services"))</f>
        <v/>
      </c>
    </row>
    <row r="4949" customFormat="false" ht="15" hidden="false" customHeight="false" outlineLevel="0" collapsed="false">
      <c r="I4949" s="41" t="str">
        <f aca="false">IF(F4949="","",IFERROR(IF(ISNUMBER(SEARCH(Assumptions!$C$5,F4949)),Assumptions!$D$5,IF(ISNUMBER(SEARCH(Assumptions!$C$6,F4949)),Assumptions!$D$6,IF(ISNUMBER(SEARCH(Assumptions!$C$7,F4949)),Assumptions!$D$7,"Other Services"))),"Other Services"))</f>
        <v/>
      </c>
    </row>
    <row r="4950" customFormat="false" ht="15" hidden="false" customHeight="false" outlineLevel="0" collapsed="false">
      <c r="I4950" s="41" t="str">
        <f aca="false">IF(F4950="","",IFERROR(IF(ISNUMBER(SEARCH(Assumptions!$C$5,F4950)),Assumptions!$D$5,IF(ISNUMBER(SEARCH(Assumptions!$C$6,F4950)),Assumptions!$D$6,IF(ISNUMBER(SEARCH(Assumptions!$C$7,F4950)),Assumptions!$D$7,"Other Services"))),"Other Services"))</f>
        <v/>
      </c>
    </row>
    <row r="4951" customFormat="false" ht="15" hidden="false" customHeight="false" outlineLevel="0" collapsed="false">
      <c r="I4951" s="41" t="str">
        <f aca="false">IF(F4951="","",IFERROR(IF(ISNUMBER(SEARCH(Assumptions!$C$5,F4951)),Assumptions!$D$5,IF(ISNUMBER(SEARCH(Assumptions!$C$6,F4951)),Assumptions!$D$6,IF(ISNUMBER(SEARCH(Assumptions!$C$7,F4951)),Assumptions!$D$7,"Other Services"))),"Other Services"))</f>
        <v/>
      </c>
    </row>
    <row r="4952" customFormat="false" ht="15" hidden="false" customHeight="false" outlineLevel="0" collapsed="false">
      <c r="I4952" s="41" t="str">
        <f aca="false">IF(F4952="","",IFERROR(IF(ISNUMBER(SEARCH(Assumptions!$C$5,F4952)),Assumptions!$D$5,IF(ISNUMBER(SEARCH(Assumptions!$C$6,F4952)),Assumptions!$D$6,IF(ISNUMBER(SEARCH(Assumptions!$C$7,F4952)),Assumptions!$D$7,"Other Services"))),"Other Services"))</f>
        <v/>
      </c>
    </row>
    <row r="4953" customFormat="false" ht="15" hidden="false" customHeight="false" outlineLevel="0" collapsed="false">
      <c r="I4953" s="41" t="str">
        <f aca="false">IF(F4953="","",IFERROR(IF(ISNUMBER(SEARCH(Assumptions!$C$5,F4953)),Assumptions!$D$5,IF(ISNUMBER(SEARCH(Assumptions!$C$6,F4953)),Assumptions!$D$6,IF(ISNUMBER(SEARCH(Assumptions!$C$7,F4953)),Assumptions!$D$7,"Other Services"))),"Other Services"))</f>
        <v/>
      </c>
    </row>
    <row r="4954" customFormat="false" ht="15" hidden="false" customHeight="false" outlineLevel="0" collapsed="false">
      <c r="I4954" s="41" t="str">
        <f aca="false">IF(F4954="","",IFERROR(IF(ISNUMBER(SEARCH(Assumptions!$C$5,F4954)),Assumptions!$D$5,IF(ISNUMBER(SEARCH(Assumptions!$C$6,F4954)),Assumptions!$D$6,IF(ISNUMBER(SEARCH(Assumptions!$C$7,F4954)),Assumptions!$D$7,"Other Services"))),"Other Services"))</f>
        <v/>
      </c>
    </row>
    <row r="4955" customFormat="false" ht="15" hidden="false" customHeight="false" outlineLevel="0" collapsed="false">
      <c r="I4955" s="41" t="str">
        <f aca="false">IF(F4955="","",IFERROR(IF(ISNUMBER(SEARCH(Assumptions!$C$5,F4955)),Assumptions!$D$5,IF(ISNUMBER(SEARCH(Assumptions!$C$6,F4955)),Assumptions!$D$6,IF(ISNUMBER(SEARCH(Assumptions!$C$7,F4955)),Assumptions!$D$7,"Other Services"))),"Other Services"))</f>
        <v/>
      </c>
    </row>
    <row r="4956" customFormat="false" ht="15" hidden="false" customHeight="false" outlineLevel="0" collapsed="false">
      <c r="I4956" s="41" t="str">
        <f aca="false">IF(F4956="","",IFERROR(IF(ISNUMBER(SEARCH(Assumptions!$C$5,F4956)),Assumptions!$D$5,IF(ISNUMBER(SEARCH(Assumptions!$C$6,F4956)),Assumptions!$D$6,IF(ISNUMBER(SEARCH(Assumptions!$C$7,F4956)),Assumptions!$D$7,"Other Services"))),"Other Services"))</f>
        <v/>
      </c>
    </row>
    <row r="4957" customFormat="false" ht="15" hidden="false" customHeight="false" outlineLevel="0" collapsed="false">
      <c r="I4957" s="41" t="str">
        <f aca="false">IF(F4957="","",IFERROR(IF(ISNUMBER(SEARCH(Assumptions!$C$5,F4957)),Assumptions!$D$5,IF(ISNUMBER(SEARCH(Assumptions!$C$6,F4957)),Assumptions!$D$6,IF(ISNUMBER(SEARCH(Assumptions!$C$7,F4957)),Assumptions!$D$7,"Other Services"))),"Other Services"))</f>
        <v/>
      </c>
    </row>
    <row r="4958" customFormat="false" ht="15" hidden="false" customHeight="false" outlineLevel="0" collapsed="false">
      <c r="I4958" s="41" t="str">
        <f aca="false">IF(F4958="","",IFERROR(IF(ISNUMBER(SEARCH(Assumptions!$C$5,F4958)),Assumptions!$D$5,IF(ISNUMBER(SEARCH(Assumptions!$C$6,F4958)),Assumptions!$D$6,IF(ISNUMBER(SEARCH(Assumptions!$C$7,F4958)),Assumptions!$D$7,"Other Services"))),"Other Services"))</f>
        <v/>
      </c>
    </row>
    <row r="4959" customFormat="false" ht="15" hidden="false" customHeight="false" outlineLevel="0" collapsed="false">
      <c r="I4959" s="41" t="str">
        <f aca="false">IF(F4959="","",IFERROR(IF(ISNUMBER(SEARCH(Assumptions!$C$5,F4959)),Assumptions!$D$5,IF(ISNUMBER(SEARCH(Assumptions!$C$6,F4959)),Assumptions!$D$6,IF(ISNUMBER(SEARCH(Assumptions!$C$7,F4959)),Assumptions!$D$7,"Other Services"))),"Other Services"))</f>
        <v/>
      </c>
    </row>
    <row r="4960" customFormat="false" ht="15" hidden="false" customHeight="false" outlineLevel="0" collapsed="false">
      <c r="I4960" s="41" t="str">
        <f aca="false">IF(F4960="","",IFERROR(IF(ISNUMBER(SEARCH(Assumptions!$C$5,F4960)),Assumptions!$D$5,IF(ISNUMBER(SEARCH(Assumptions!$C$6,F4960)),Assumptions!$D$6,IF(ISNUMBER(SEARCH(Assumptions!$C$7,F4960)),Assumptions!$D$7,"Other Services"))),"Other Services"))</f>
        <v/>
      </c>
    </row>
    <row r="4961" customFormat="false" ht="15" hidden="false" customHeight="false" outlineLevel="0" collapsed="false">
      <c r="I4961" s="41" t="str">
        <f aca="false">IF(F4961="","",IFERROR(IF(ISNUMBER(SEARCH(Assumptions!$C$5,F4961)),Assumptions!$D$5,IF(ISNUMBER(SEARCH(Assumptions!$C$6,F4961)),Assumptions!$D$6,IF(ISNUMBER(SEARCH(Assumptions!$C$7,F4961)),Assumptions!$D$7,"Other Services"))),"Other Services"))</f>
        <v/>
      </c>
    </row>
    <row r="4962" customFormat="false" ht="15" hidden="false" customHeight="false" outlineLevel="0" collapsed="false">
      <c r="I4962" s="41" t="str">
        <f aca="false">IF(F4962="","",IFERROR(IF(ISNUMBER(SEARCH(Assumptions!$C$5,F4962)),Assumptions!$D$5,IF(ISNUMBER(SEARCH(Assumptions!$C$6,F4962)),Assumptions!$D$6,IF(ISNUMBER(SEARCH(Assumptions!$C$7,F4962)),Assumptions!$D$7,"Other Services"))),"Other Services"))</f>
        <v/>
      </c>
    </row>
    <row r="4963" customFormat="false" ht="15" hidden="false" customHeight="false" outlineLevel="0" collapsed="false">
      <c r="I4963" s="41" t="str">
        <f aca="false">IF(F4963="","",IFERROR(IF(ISNUMBER(SEARCH(Assumptions!$C$5,F4963)),Assumptions!$D$5,IF(ISNUMBER(SEARCH(Assumptions!$C$6,F4963)),Assumptions!$D$6,IF(ISNUMBER(SEARCH(Assumptions!$C$7,F4963)),Assumptions!$D$7,"Other Services"))),"Other Services"))</f>
        <v/>
      </c>
    </row>
    <row r="4964" customFormat="false" ht="15" hidden="false" customHeight="false" outlineLevel="0" collapsed="false">
      <c r="I4964" s="41" t="str">
        <f aca="false">IF(F4964="","",IFERROR(IF(ISNUMBER(SEARCH(Assumptions!$C$5,F4964)),Assumptions!$D$5,IF(ISNUMBER(SEARCH(Assumptions!$C$6,F4964)),Assumptions!$D$6,IF(ISNUMBER(SEARCH(Assumptions!$C$7,F4964)),Assumptions!$D$7,"Other Services"))),"Other Services"))</f>
        <v/>
      </c>
    </row>
    <row r="4965" customFormat="false" ht="15" hidden="false" customHeight="false" outlineLevel="0" collapsed="false">
      <c r="I4965" s="41" t="str">
        <f aca="false">IF(F4965="","",IFERROR(IF(ISNUMBER(SEARCH(Assumptions!$C$5,F4965)),Assumptions!$D$5,IF(ISNUMBER(SEARCH(Assumptions!$C$6,F4965)),Assumptions!$D$6,IF(ISNUMBER(SEARCH(Assumptions!$C$7,F4965)),Assumptions!$D$7,"Other Services"))),"Other Services"))</f>
        <v/>
      </c>
    </row>
    <row r="4966" customFormat="false" ht="15" hidden="false" customHeight="false" outlineLevel="0" collapsed="false">
      <c r="I4966" s="41" t="str">
        <f aca="false">IF(F4966="","",IFERROR(IF(ISNUMBER(SEARCH(Assumptions!$C$5,F4966)),Assumptions!$D$5,IF(ISNUMBER(SEARCH(Assumptions!$C$6,F4966)),Assumptions!$D$6,IF(ISNUMBER(SEARCH(Assumptions!$C$7,F4966)),Assumptions!$D$7,"Other Services"))),"Other Services"))</f>
        <v/>
      </c>
    </row>
    <row r="4967" customFormat="false" ht="15" hidden="false" customHeight="false" outlineLevel="0" collapsed="false">
      <c r="I4967" s="41" t="str">
        <f aca="false">IF(F4967="","",IFERROR(IF(ISNUMBER(SEARCH(Assumptions!$C$5,F4967)),Assumptions!$D$5,IF(ISNUMBER(SEARCH(Assumptions!$C$6,F4967)),Assumptions!$D$6,IF(ISNUMBER(SEARCH(Assumptions!$C$7,F4967)),Assumptions!$D$7,"Other Services"))),"Other Services"))</f>
        <v/>
      </c>
    </row>
    <row r="4968" customFormat="false" ht="15" hidden="false" customHeight="false" outlineLevel="0" collapsed="false">
      <c r="I4968" s="41" t="str">
        <f aca="false">IF(F4968="","",IFERROR(IF(ISNUMBER(SEARCH(Assumptions!$C$5,F4968)),Assumptions!$D$5,IF(ISNUMBER(SEARCH(Assumptions!$C$6,F4968)),Assumptions!$D$6,IF(ISNUMBER(SEARCH(Assumptions!$C$7,F4968)),Assumptions!$D$7,"Other Services"))),"Other Services"))</f>
        <v/>
      </c>
    </row>
    <row r="4969" customFormat="false" ht="15" hidden="false" customHeight="false" outlineLevel="0" collapsed="false">
      <c r="I4969" s="41" t="str">
        <f aca="false">IF(F4969="","",IFERROR(IF(ISNUMBER(SEARCH(Assumptions!$C$5,F4969)),Assumptions!$D$5,IF(ISNUMBER(SEARCH(Assumptions!$C$6,F4969)),Assumptions!$D$6,IF(ISNUMBER(SEARCH(Assumptions!$C$7,F4969)),Assumptions!$D$7,"Other Services"))),"Other Services"))</f>
        <v/>
      </c>
    </row>
    <row r="4970" customFormat="false" ht="15" hidden="false" customHeight="false" outlineLevel="0" collapsed="false">
      <c r="I4970" s="41" t="str">
        <f aca="false">IF(F4970="","",IFERROR(IF(ISNUMBER(SEARCH(Assumptions!$C$5,F4970)),Assumptions!$D$5,IF(ISNUMBER(SEARCH(Assumptions!$C$6,F4970)),Assumptions!$D$6,IF(ISNUMBER(SEARCH(Assumptions!$C$7,F4970)),Assumptions!$D$7,"Other Services"))),"Other Services"))</f>
        <v/>
      </c>
    </row>
    <row r="4971" customFormat="false" ht="15" hidden="false" customHeight="false" outlineLevel="0" collapsed="false">
      <c r="I4971" s="41" t="str">
        <f aca="false">IF(F4971="","",IFERROR(IF(ISNUMBER(SEARCH(Assumptions!$C$5,F4971)),Assumptions!$D$5,IF(ISNUMBER(SEARCH(Assumptions!$C$6,F4971)),Assumptions!$D$6,IF(ISNUMBER(SEARCH(Assumptions!$C$7,F4971)),Assumptions!$D$7,"Other Services"))),"Other Services"))</f>
        <v/>
      </c>
    </row>
    <row r="4972" customFormat="false" ht="15" hidden="false" customHeight="false" outlineLevel="0" collapsed="false">
      <c r="I4972" s="41" t="str">
        <f aca="false">IF(F4972="","",IFERROR(IF(ISNUMBER(SEARCH(Assumptions!$C$5,F4972)),Assumptions!$D$5,IF(ISNUMBER(SEARCH(Assumptions!$C$6,F4972)),Assumptions!$D$6,IF(ISNUMBER(SEARCH(Assumptions!$C$7,F4972)),Assumptions!$D$7,"Other Services"))),"Other Services"))</f>
        <v/>
      </c>
    </row>
    <row r="4973" customFormat="false" ht="15" hidden="false" customHeight="false" outlineLevel="0" collapsed="false">
      <c r="I4973" s="41" t="str">
        <f aca="false">IF(F4973="","",IFERROR(IF(ISNUMBER(SEARCH(Assumptions!$C$5,F4973)),Assumptions!$D$5,IF(ISNUMBER(SEARCH(Assumptions!$C$6,F4973)),Assumptions!$D$6,IF(ISNUMBER(SEARCH(Assumptions!$C$7,F4973)),Assumptions!$D$7,"Other Services"))),"Other Services"))</f>
        <v/>
      </c>
    </row>
    <row r="4974" customFormat="false" ht="15" hidden="false" customHeight="false" outlineLevel="0" collapsed="false">
      <c r="I4974" s="41" t="str">
        <f aca="false">IF(F4974="","",IFERROR(IF(ISNUMBER(SEARCH(Assumptions!$C$5,F4974)),Assumptions!$D$5,IF(ISNUMBER(SEARCH(Assumptions!$C$6,F4974)),Assumptions!$D$6,IF(ISNUMBER(SEARCH(Assumptions!$C$7,F4974)),Assumptions!$D$7,"Other Services"))),"Other Services"))</f>
        <v/>
      </c>
    </row>
    <row r="4975" customFormat="false" ht="15" hidden="false" customHeight="false" outlineLevel="0" collapsed="false">
      <c r="I4975" s="41" t="str">
        <f aca="false">IF(F4975="","",IFERROR(IF(ISNUMBER(SEARCH(Assumptions!$C$5,F4975)),Assumptions!$D$5,IF(ISNUMBER(SEARCH(Assumptions!$C$6,F4975)),Assumptions!$D$6,IF(ISNUMBER(SEARCH(Assumptions!$C$7,F4975)),Assumptions!$D$7,"Other Services"))),"Other Services"))</f>
        <v/>
      </c>
    </row>
    <row r="4976" customFormat="false" ht="15" hidden="false" customHeight="false" outlineLevel="0" collapsed="false">
      <c r="I4976" s="41" t="str">
        <f aca="false">IF(F4976="","",IFERROR(IF(ISNUMBER(SEARCH(Assumptions!$C$5,F4976)),Assumptions!$D$5,IF(ISNUMBER(SEARCH(Assumptions!$C$6,F4976)),Assumptions!$D$6,IF(ISNUMBER(SEARCH(Assumptions!$C$7,F4976)),Assumptions!$D$7,"Other Services"))),"Other Services"))</f>
        <v/>
      </c>
    </row>
    <row r="4977" customFormat="false" ht="15" hidden="false" customHeight="false" outlineLevel="0" collapsed="false">
      <c r="I4977" s="41" t="str">
        <f aca="false">IF(F4977="","",IFERROR(IF(ISNUMBER(SEARCH(Assumptions!$C$5,F4977)),Assumptions!$D$5,IF(ISNUMBER(SEARCH(Assumptions!$C$6,F4977)),Assumptions!$D$6,IF(ISNUMBER(SEARCH(Assumptions!$C$7,F4977)),Assumptions!$D$7,"Other Services"))),"Other Services"))</f>
        <v/>
      </c>
    </row>
    <row r="4978" customFormat="false" ht="15" hidden="false" customHeight="false" outlineLevel="0" collapsed="false">
      <c r="I4978" s="41" t="str">
        <f aca="false">IF(F4978="","",IFERROR(IF(ISNUMBER(SEARCH(Assumptions!$C$5,F4978)),Assumptions!$D$5,IF(ISNUMBER(SEARCH(Assumptions!$C$6,F4978)),Assumptions!$D$6,IF(ISNUMBER(SEARCH(Assumptions!$C$7,F4978)),Assumptions!$D$7,"Other Services"))),"Other Services"))</f>
        <v/>
      </c>
    </row>
    <row r="4979" customFormat="false" ht="15" hidden="false" customHeight="false" outlineLevel="0" collapsed="false">
      <c r="I4979" s="41" t="str">
        <f aca="false">IF(F4979="","",IFERROR(IF(ISNUMBER(SEARCH(Assumptions!$C$5,F4979)),Assumptions!$D$5,IF(ISNUMBER(SEARCH(Assumptions!$C$6,F4979)),Assumptions!$D$6,IF(ISNUMBER(SEARCH(Assumptions!$C$7,F4979)),Assumptions!$D$7,"Other Services"))),"Other Services"))</f>
        <v/>
      </c>
    </row>
    <row r="4980" customFormat="false" ht="15" hidden="false" customHeight="false" outlineLevel="0" collapsed="false">
      <c r="I4980" s="41" t="str">
        <f aca="false">IF(F4980="","",IFERROR(IF(ISNUMBER(SEARCH(Assumptions!$C$5,F4980)),Assumptions!$D$5,IF(ISNUMBER(SEARCH(Assumptions!$C$6,F4980)),Assumptions!$D$6,IF(ISNUMBER(SEARCH(Assumptions!$C$7,F4980)),Assumptions!$D$7,"Other Services"))),"Other Services"))</f>
        <v/>
      </c>
    </row>
    <row r="4981" customFormat="false" ht="15" hidden="false" customHeight="false" outlineLevel="0" collapsed="false">
      <c r="I4981" s="41" t="str">
        <f aca="false">IF(F4981="","",IFERROR(IF(ISNUMBER(SEARCH(Assumptions!$C$5,F4981)),Assumptions!$D$5,IF(ISNUMBER(SEARCH(Assumptions!$C$6,F4981)),Assumptions!$D$6,IF(ISNUMBER(SEARCH(Assumptions!$C$7,F4981)),Assumptions!$D$7,"Other Services"))),"Other Services"))</f>
        <v/>
      </c>
    </row>
    <row r="4982" customFormat="false" ht="15" hidden="false" customHeight="false" outlineLevel="0" collapsed="false">
      <c r="I4982" s="41" t="str">
        <f aca="false">IF(F4982="","",IFERROR(IF(ISNUMBER(SEARCH(Assumptions!$C$5,F4982)),Assumptions!$D$5,IF(ISNUMBER(SEARCH(Assumptions!$C$6,F4982)),Assumptions!$D$6,IF(ISNUMBER(SEARCH(Assumptions!$C$7,F4982)),Assumptions!$D$7,"Other Services"))),"Other Services"))</f>
        <v/>
      </c>
    </row>
    <row r="4983" customFormat="false" ht="15" hidden="false" customHeight="false" outlineLevel="0" collapsed="false">
      <c r="I4983" s="41" t="str">
        <f aca="false">IF(F4983="","",IFERROR(IF(ISNUMBER(SEARCH(Assumptions!$C$5,F4983)),Assumptions!$D$5,IF(ISNUMBER(SEARCH(Assumptions!$C$6,F4983)),Assumptions!$D$6,IF(ISNUMBER(SEARCH(Assumptions!$C$7,F4983)),Assumptions!$D$7,"Other Services"))),"Other Services"))</f>
        <v/>
      </c>
    </row>
    <row r="4984" customFormat="false" ht="15" hidden="false" customHeight="false" outlineLevel="0" collapsed="false">
      <c r="I4984" s="41" t="str">
        <f aca="false">IF(F4984="","",IFERROR(IF(ISNUMBER(SEARCH(Assumptions!$C$5,F4984)),Assumptions!$D$5,IF(ISNUMBER(SEARCH(Assumptions!$C$6,F4984)),Assumptions!$D$6,IF(ISNUMBER(SEARCH(Assumptions!$C$7,F4984)),Assumptions!$D$7,"Other Services"))),"Other Services"))</f>
        <v/>
      </c>
    </row>
    <row r="4985" customFormat="false" ht="15" hidden="false" customHeight="false" outlineLevel="0" collapsed="false">
      <c r="I4985" s="41" t="str">
        <f aca="false">IF(F4985="","",IFERROR(IF(ISNUMBER(SEARCH(Assumptions!$C$5,F4985)),Assumptions!$D$5,IF(ISNUMBER(SEARCH(Assumptions!$C$6,F4985)),Assumptions!$D$6,IF(ISNUMBER(SEARCH(Assumptions!$C$7,F4985)),Assumptions!$D$7,"Other Services"))),"Other Services"))</f>
        <v/>
      </c>
    </row>
    <row r="4986" customFormat="false" ht="15" hidden="false" customHeight="false" outlineLevel="0" collapsed="false">
      <c r="I4986" s="41" t="str">
        <f aca="false">IF(F4986="","",IFERROR(IF(ISNUMBER(SEARCH(Assumptions!$C$5,F4986)),Assumptions!$D$5,IF(ISNUMBER(SEARCH(Assumptions!$C$6,F4986)),Assumptions!$D$6,IF(ISNUMBER(SEARCH(Assumptions!$C$7,F4986)),Assumptions!$D$7,"Other Services"))),"Other Services"))</f>
        <v/>
      </c>
    </row>
    <row r="4987" customFormat="false" ht="15" hidden="false" customHeight="false" outlineLevel="0" collapsed="false">
      <c r="I4987" s="41" t="str">
        <f aca="false">IF(F4987="","",IFERROR(IF(ISNUMBER(SEARCH(Assumptions!$C$5,F4987)),Assumptions!$D$5,IF(ISNUMBER(SEARCH(Assumptions!$C$6,F4987)),Assumptions!$D$6,IF(ISNUMBER(SEARCH(Assumptions!$C$7,F4987)),Assumptions!$D$7,"Other Services"))),"Other Services"))</f>
        <v/>
      </c>
    </row>
    <row r="4988" customFormat="false" ht="15" hidden="false" customHeight="false" outlineLevel="0" collapsed="false">
      <c r="I4988" s="41" t="str">
        <f aca="false">IF(F4988="","",IFERROR(IF(ISNUMBER(SEARCH(Assumptions!$C$5,F4988)),Assumptions!$D$5,IF(ISNUMBER(SEARCH(Assumptions!$C$6,F4988)),Assumptions!$D$6,IF(ISNUMBER(SEARCH(Assumptions!$C$7,F4988)),Assumptions!$D$7,"Other Services"))),"Other Services"))</f>
        <v/>
      </c>
    </row>
    <row r="4989" customFormat="false" ht="15" hidden="false" customHeight="false" outlineLevel="0" collapsed="false">
      <c r="I4989" s="41" t="str">
        <f aca="false">IF(F4989="","",IFERROR(IF(ISNUMBER(SEARCH(Assumptions!$C$5,F4989)),Assumptions!$D$5,IF(ISNUMBER(SEARCH(Assumptions!$C$6,F4989)),Assumptions!$D$6,IF(ISNUMBER(SEARCH(Assumptions!$C$7,F4989)),Assumptions!$D$7,"Other Services"))),"Other Services"))</f>
        <v/>
      </c>
    </row>
    <row r="4990" customFormat="false" ht="15" hidden="false" customHeight="false" outlineLevel="0" collapsed="false">
      <c r="I4990" s="41" t="str">
        <f aca="false">IF(F4990="","",IFERROR(IF(ISNUMBER(SEARCH(Assumptions!$C$5,F4990)),Assumptions!$D$5,IF(ISNUMBER(SEARCH(Assumptions!$C$6,F4990)),Assumptions!$D$6,IF(ISNUMBER(SEARCH(Assumptions!$C$7,F4990)),Assumptions!$D$7,"Other Services"))),"Other Services"))</f>
        <v/>
      </c>
    </row>
    <row r="4991" customFormat="false" ht="15" hidden="false" customHeight="false" outlineLevel="0" collapsed="false">
      <c r="I4991" s="41" t="str">
        <f aca="false">IF(F4991="","",IFERROR(IF(ISNUMBER(SEARCH(Assumptions!$C$5,F4991)),Assumptions!$D$5,IF(ISNUMBER(SEARCH(Assumptions!$C$6,F4991)),Assumptions!$D$6,IF(ISNUMBER(SEARCH(Assumptions!$C$7,F4991)),Assumptions!$D$7,"Other Services"))),"Other Services"))</f>
        <v/>
      </c>
    </row>
    <row r="4992" customFormat="false" ht="15" hidden="false" customHeight="false" outlineLevel="0" collapsed="false">
      <c r="I4992" s="41" t="str">
        <f aca="false">IF(F4992="","",IFERROR(IF(ISNUMBER(SEARCH(Assumptions!$C$5,F4992)),Assumptions!$D$5,IF(ISNUMBER(SEARCH(Assumptions!$C$6,F4992)),Assumptions!$D$6,IF(ISNUMBER(SEARCH(Assumptions!$C$7,F4992)),Assumptions!$D$7,"Other Services"))),"Other Services"))</f>
        <v/>
      </c>
    </row>
    <row r="4993" customFormat="false" ht="15" hidden="false" customHeight="false" outlineLevel="0" collapsed="false">
      <c r="I4993" s="41" t="str">
        <f aca="false">IF(F4993="","",IFERROR(IF(ISNUMBER(SEARCH(Assumptions!$C$5,F4993)),Assumptions!$D$5,IF(ISNUMBER(SEARCH(Assumptions!$C$6,F4993)),Assumptions!$D$6,IF(ISNUMBER(SEARCH(Assumptions!$C$7,F4993)),Assumptions!$D$7,"Other Services"))),"Other Services"))</f>
        <v/>
      </c>
    </row>
    <row r="4994" customFormat="false" ht="15" hidden="false" customHeight="false" outlineLevel="0" collapsed="false">
      <c r="I4994" s="41" t="str">
        <f aca="false">IF(F4994="","",IFERROR(IF(ISNUMBER(SEARCH(Assumptions!$C$5,F4994)),Assumptions!$D$5,IF(ISNUMBER(SEARCH(Assumptions!$C$6,F4994)),Assumptions!$D$6,IF(ISNUMBER(SEARCH(Assumptions!$C$7,F4994)),Assumptions!$D$7,"Other Services"))),"Other Services"))</f>
        <v/>
      </c>
    </row>
    <row r="4995" customFormat="false" ht="15" hidden="false" customHeight="false" outlineLevel="0" collapsed="false">
      <c r="I4995" s="41" t="str">
        <f aca="false">IF(F4995="","",IFERROR(IF(ISNUMBER(SEARCH(Assumptions!$C$5,F4995)),Assumptions!$D$5,IF(ISNUMBER(SEARCH(Assumptions!$C$6,F4995)),Assumptions!$D$6,IF(ISNUMBER(SEARCH(Assumptions!$C$7,F4995)),Assumptions!$D$7,"Other Services"))),"Other Services"))</f>
        <v/>
      </c>
    </row>
    <row r="4996" customFormat="false" ht="15" hidden="false" customHeight="false" outlineLevel="0" collapsed="false">
      <c r="I4996" s="41" t="str">
        <f aca="false">IF(F4996="","",IFERROR(IF(ISNUMBER(SEARCH(Assumptions!$C$5,F4996)),Assumptions!$D$5,IF(ISNUMBER(SEARCH(Assumptions!$C$6,F4996)),Assumptions!$D$6,IF(ISNUMBER(SEARCH(Assumptions!$C$7,F4996)),Assumptions!$D$7,"Other Services"))),"Other Services"))</f>
        <v/>
      </c>
    </row>
    <row r="4997" customFormat="false" ht="15" hidden="false" customHeight="false" outlineLevel="0" collapsed="false">
      <c r="I4997" s="41" t="str">
        <f aca="false">IF(F4997="","",IFERROR(IF(ISNUMBER(SEARCH(Assumptions!$C$5,F4997)),Assumptions!$D$5,IF(ISNUMBER(SEARCH(Assumptions!$C$6,F4997)),Assumptions!$D$6,IF(ISNUMBER(SEARCH(Assumptions!$C$7,F4997)),Assumptions!$D$7,"Other Services"))),"Other Services"))</f>
        <v/>
      </c>
    </row>
    <row r="4998" customFormat="false" ht="15" hidden="false" customHeight="false" outlineLevel="0" collapsed="false">
      <c r="I4998" s="41" t="str">
        <f aca="false">IF(F4998="","",IFERROR(IF(ISNUMBER(SEARCH(Assumptions!$C$5,F4998)),Assumptions!$D$5,IF(ISNUMBER(SEARCH(Assumptions!$C$6,F4998)),Assumptions!$D$6,IF(ISNUMBER(SEARCH(Assumptions!$C$7,F4998)),Assumptions!$D$7,"Other Services"))),"Other Services"))</f>
        <v/>
      </c>
    </row>
    <row r="4999" customFormat="false" ht="15" hidden="false" customHeight="false" outlineLevel="0" collapsed="false">
      <c r="I4999" s="41" t="str">
        <f aca="false">IF(F4999="","",IFERROR(IF(ISNUMBER(SEARCH(Assumptions!$C$5,F4999)),Assumptions!$D$5,IF(ISNUMBER(SEARCH(Assumptions!$C$6,F4999)),Assumptions!$D$6,IF(ISNUMBER(SEARCH(Assumptions!$C$7,F4999)),Assumptions!$D$7,"Other Services"))),"Other Services"))</f>
        <v/>
      </c>
    </row>
    <row r="5000" customFormat="false" ht="15" hidden="false" customHeight="false" outlineLevel="0" collapsed="false">
      <c r="I5000" s="41" t="str">
        <f aca="false">IF(F5000="","",IFERROR(IF(ISNUMBER(SEARCH(Assumptions!$C$5,F5000)),Assumptions!$D$5,IF(ISNUMBER(SEARCH(Assumptions!$C$6,F5000)),Assumptions!$D$6,IF(ISNUMBER(SEARCH(Assumptions!$C$7,F5000)),Assumptions!$D$7,"Other Services"))),"Other Services"))</f>
        <v/>
      </c>
    </row>
    <row r="5001" customFormat="false" ht="15" hidden="false" customHeight="false" outlineLevel="0" collapsed="false">
      <c r="I5001" s="41" t="str">
        <f aca="false">IF(F5001="","",IFERROR(IF(ISNUMBER(SEARCH(Assumptions!$C$5,F5001)),Assumptions!$D$5,IF(ISNUMBER(SEARCH(Assumptions!$C$6,F5001)),Assumptions!$D$6,IF(ISNUMBER(SEARCH(Assumptions!$C$7,F5001)),Assumptions!$D$7,"Other Services"))),"Other Services"))</f>
        <v/>
      </c>
    </row>
    <row r="5002" customFormat="false" ht="15" hidden="false" customHeight="false" outlineLevel="0" collapsed="false">
      <c r="I5002" s="41" t="str">
        <f aca="false">IF(F5002="","",IFERROR(IF(ISNUMBER(SEARCH(Assumptions!$C$5,F5002)),Assumptions!$D$5,IF(ISNUMBER(SEARCH(Assumptions!$C$6,F5002)),Assumptions!$D$6,IF(ISNUMBER(SEARCH(Assumptions!$C$7,F5002)),Assumptions!$D$7,"Other Services"))),"Other Services"))</f>
        <v/>
      </c>
    </row>
    <row r="5003" customFormat="false" ht="15" hidden="false" customHeight="false" outlineLevel="0" collapsed="false">
      <c r="I5003" s="41" t="str">
        <f aca="false">IF(F5003="","",IFERROR(IF(ISNUMBER(SEARCH(Assumptions!$C$5,F5003)),Assumptions!$D$5,IF(ISNUMBER(SEARCH(Assumptions!$C$6,F5003)),Assumptions!$D$6,IF(ISNUMBER(SEARCH(Assumptions!$C$7,F5003)),Assumptions!$D$7,"Other Services"))),"Other Services"))</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8D"/>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13"/>
    <col collapsed="false" customWidth="true" hidden="false" outlineLevel="0" max="2" min="2" style="25" width="26"/>
    <col collapsed="false" customWidth="true" hidden="false" outlineLevel="0" max="3" min="3" style="25" width="16"/>
    <col collapsed="false" customWidth="true" hidden="false" outlineLevel="0" max="4" min="4" style="25" width="14"/>
    <col collapsed="false" customWidth="true" hidden="false" outlineLevel="0" max="5" min="5" style="25" width="13"/>
    <col collapsed="false" customWidth="true" hidden="false" outlineLevel="0" max="6" min="6" style="25" width="22"/>
    <col collapsed="false" customWidth="true" hidden="false" outlineLevel="0" max="7" min="7" style="25" width="20"/>
    <col collapsed="false" customWidth="true" hidden="false" outlineLevel="0" max="8" min="8" style="25" width="34"/>
  </cols>
  <sheetData>
    <row r="1" customFormat="false" ht="15" hidden="false" customHeight="true" outlineLevel="0" collapsed="false">
      <c r="A1" s="56" t="s">
        <v>435</v>
      </c>
      <c r="B1" s="56"/>
      <c r="C1" s="56"/>
      <c r="D1" s="56"/>
      <c r="E1" s="56"/>
      <c r="F1" s="56"/>
      <c r="G1" s="56"/>
      <c r="H1" s="56"/>
      <c r="I1" s="56"/>
      <c r="J1" s="56"/>
      <c r="K1" s="56"/>
    </row>
    <row r="2" customFormat="false" ht="30" hidden="false" customHeight="true" outlineLevel="0" collapsed="false">
      <c r="A2" s="66" t="s">
        <v>436</v>
      </c>
      <c r="B2" s="66"/>
      <c r="C2" s="66"/>
      <c r="D2" s="66"/>
      <c r="E2" s="66"/>
      <c r="F2" s="66"/>
      <c r="G2" s="66"/>
      <c r="H2" s="66"/>
      <c r="I2" s="66"/>
      <c r="J2" s="66"/>
      <c r="K2" s="66"/>
    </row>
    <row r="3" customFormat="false" ht="21.75" hidden="false" customHeight="true" outlineLevel="0" collapsed="false">
      <c r="A3" s="33" t="s">
        <v>437</v>
      </c>
      <c r="B3" s="33" t="s">
        <v>438</v>
      </c>
      <c r="C3" s="33" t="s">
        <v>439</v>
      </c>
      <c r="D3" s="33" t="s">
        <v>440</v>
      </c>
      <c r="E3" s="33" t="s">
        <v>441</v>
      </c>
      <c r="F3" s="33" t="s">
        <v>442</v>
      </c>
      <c r="G3" s="33" t="s">
        <v>443</v>
      </c>
      <c r="H3" s="33" t="s">
        <v>444</v>
      </c>
    </row>
    <row r="4" customFormat="false" ht="15" hidden="false" customHeight="true" outlineLevel="0" collapsed="false">
      <c r="A4" s="34" t="n">
        <v>46204</v>
      </c>
      <c r="B4" s="35" t="s">
        <v>445</v>
      </c>
      <c r="C4" s="35" t="s">
        <v>446</v>
      </c>
      <c r="D4" s="35" t="s">
        <v>305</v>
      </c>
      <c r="E4" s="35" t="n">
        <v>20</v>
      </c>
      <c r="F4" s="35" t="s">
        <v>447</v>
      </c>
      <c r="G4" s="35" t="s">
        <v>448</v>
      </c>
      <c r="H4" s="35" t="s">
        <v>449</v>
      </c>
    </row>
    <row r="5" customFormat="false" ht="15" hidden="false" customHeight="true" outlineLevel="0" collapsed="false">
      <c r="A5" s="34" t="n">
        <v>46204</v>
      </c>
      <c r="B5" s="35" t="s">
        <v>450</v>
      </c>
      <c r="C5" s="35" t="s">
        <v>451</v>
      </c>
      <c r="D5" s="35" t="s">
        <v>305</v>
      </c>
      <c r="E5" s="35" t="n">
        <v>10</v>
      </c>
      <c r="F5" s="35" t="s">
        <v>452</v>
      </c>
      <c r="G5" s="35" t="s">
        <v>448</v>
      </c>
      <c r="H5" s="35" t="s">
        <v>453</v>
      </c>
    </row>
    <row r="6" customFormat="false" ht="15" hidden="false" customHeight="true" outlineLevel="0" collapsed="false">
      <c r="A6" s="34" t="n">
        <v>46204</v>
      </c>
      <c r="B6" s="35" t="s">
        <v>366</v>
      </c>
      <c r="C6" s="35" t="s">
        <v>454</v>
      </c>
      <c r="D6" s="35" t="s">
        <v>305</v>
      </c>
      <c r="E6" s="35" t="n">
        <v>1</v>
      </c>
      <c r="F6" s="35" t="s">
        <v>455</v>
      </c>
      <c r="G6" s="35" t="s">
        <v>448</v>
      </c>
      <c r="H6" s="35" t="s">
        <v>453</v>
      </c>
    </row>
    <row r="7" customFormat="false" ht="15" hidden="false" customHeight="true" outlineLevel="0" collapsed="false">
      <c r="A7" s="34" t="n">
        <v>46204</v>
      </c>
      <c r="B7" s="35" t="s">
        <v>400</v>
      </c>
      <c r="C7" s="35" t="s">
        <v>456</v>
      </c>
      <c r="D7" s="35" t="s">
        <v>305</v>
      </c>
      <c r="E7" s="35" t="n">
        <v>1</v>
      </c>
      <c r="F7" s="35" t="s">
        <v>457</v>
      </c>
      <c r="G7" s="35" t="s">
        <v>448</v>
      </c>
      <c r="H7" s="35" t="s">
        <v>453</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2B21"/>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25" width="13"/>
    <col collapsed="false" customWidth="true" hidden="false" outlineLevel="0" max="3" min="3" style="25" width="30"/>
    <col collapsed="false" customWidth="true" hidden="false" outlineLevel="0" max="4" min="4" style="25" width="14"/>
    <col collapsed="false" customWidth="true" hidden="false" outlineLevel="0" max="5" min="5" style="25" width="16"/>
    <col collapsed="false" customWidth="true" hidden="false" outlineLevel="0" max="7" min="6" style="25" width="12"/>
  </cols>
  <sheetData>
    <row r="1" customFormat="false" ht="15" hidden="false" customHeight="true" outlineLevel="0" collapsed="false">
      <c r="A1" s="56" t="s">
        <v>458</v>
      </c>
      <c r="B1" s="56"/>
      <c r="C1" s="56"/>
      <c r="D1" s="56"/>
      <c r="E1" s="56"/>
      <c r="F1" s="56"/>
      <c r="G1" s="56"/>
      <c r="H1" s="56"/>
    </row>
    <row r="2" customFormat="false" ht="15" hidden="false" customHeight="true" outlineLevel="0" collapsed="false">
      <c r="A2" s="44" t="s">
        <v>459</v>
      </c>
      <c r="B2" s="44"/>
      <c r="C2" s="44"/>
      <c r="D2" s="44"/>
      <c r="E2" s="44"/>
      <c r="F2" s="44"/>
      <c r="G2" s="44"/>
      <c r="H2" s="44"/>
    </row>
    <row r="4" customFormat="false" ht="15" hidden="false" customHeight="true" outlineLevel="0" collapsed="false">
      <c r="B4" s="67" t="s">
        <v>460</v>
      </c>
      <c r="C4" s="68" t="n">
        <f aca="false">DATE(2026,6,30)</f>
        <v>46203</v>
      </c>
    </row>
    <row r="6" customFormat="false" ht="15" hidden="false" customHeight="true" outlineLevel="0" collapsed="false">
      <c r="A6" s="69" t="s">
        <v>461</v>
      </c>
    </row>
    <row r="7" customFormat="false" ht="19.5" hidden="false" customHeight="true" outlineLevel="0" collapsed="false">
      <c r="A7" s="42" t="s">
        <v>257</v>
      </c>
      <c r="B7" s="42" t="s">
        <v>193</v>
      </c>
      <c r="C7" s="42" t="s">
        <v>399</v>
      </c>
      <c r="D7" s="42" t="s">
        <v>198</v>
      </c>
      <c r="E7" s="42" t="s">
        <v>134</v>
      </c>
      <c r="F7" s="42" t="s">
        <v>462</v>
      </c>
      <c r="G7" s="42" t="s">
        <v>463</v>
      </c>
    </row>
    <row r="8" customFormat="false" ht="15" hidden="false" customHeight="true" outlineLevel="0" collapsed="false">
      <c r="A8" s="70" t="str">
        <f aca="false">IF(Vendor_Invoices_Upload!$H$4&lt;&gt;"Paid",Vendor_Invoices_Upload!$B$4,"")</f>
        <v/>
      </c>
      <c r="B8" s="70" t="str">
        <f aca="false">IF(Vendor_Invoices_Upload!$H$4&lt;&gt;"Paid",Vendor_Invoices_Upload!$C$4,"")</f>
        <v/>
      </c>
      <c r="C8" s="71" t="str">
        <f aca="false">IF(Vendor_Invoices_Upload!$H$4&lt;&gt;"Paid",Vendor_Invoices_Upload!$E$4,"")</f>
        <v/>
      </c>
      <c r="D8" s="72" t="str">
        <f aca="false">IF(Vendor_Invoices_Upload!$H$4&lt;&gt;"Paid",Vendor_Invoices_Upload!$G$4,"")</f>
        <v/>
      </c>
      <c r="E8" s="71" t="str">
        <f aca="false">IF(Vendor_Invoices_Upload!$H$4&lt;&gt;"Paid",Vendor_Invoices_Upload!$H$4,"")</f>
        <v/>
      </c>
      <c r="F8" s="71" t="str">
        <f aca="false">IF(B8="","",MAX($C$4-B8,0))</f>
        <v/>
      </c>
      <c r="G8" s="37" t="str">
        <f aca="false">IF(F8="","",IF(F8&lt;=30,"0-30",IF(F8&lt;=60,"31-60",IF(F8&lt;=90,"61-90","90+"))))</f>
        <v/>
      </c>
    </row>
    <row r="9" customFormat="false" ht="15" hidden="false" customHeight="true" outlineLevel="0" collapsed="false">
      <c r="A9" s="70" t="str">
        <f aca="false">IF(Vendor_Invoices_Upload!$H$5&lt;&gt;"Paid",Vendor_Invoices_Upload!$B$5,"")</f>
        <v/>
      </c>
      <c r="B9" s="70" t="str">
        <f aca="false">IF(Vendor_Invoices_Upload!$H$5&lt;&gt;"Paid",Vendor_Invoices_Upload!$C$5,"")</f>
        <v/>
      </c>
      <c r="C9" s="71" t="str">
        <f aca="false">IF(Vendor_Invoices_Upload!$H$5&lt;&gt;"Paid",Vendor_Invoices_Upload!$E$5,"")</f>
        <v/>
      </c>
      <c r="D9" s="72" t="str">
        <f aca="false">IF(Vendor_Invoices_Upload!$H$5&lt;&gt;"Paid",Vendor_Invoices_Upload!$G$5,"")</f>
        <v/>
      </c>
      <c r="E9" s="71" t="str">
        <f aca="false">IF(Vendor_Invoices_Upload!$H$5&lt;&gt;"Paid",Vendor_Invoices_Upload!$H$5,"")</f>
        <v/>
      </c>
      <c r="F9" s="71" t="str">
        <f aca="false">IF(B9="","",MAX($C$4-B9,0))</f>
        <v/>
      </c>
      <c r="G9" s="37" t="str">
        <f aca="false">IF(F9="","",IF(F9&lt;=30,"0-30",IF(F9&lt;=60,"31-60",IF(F9&lt;=90,"61-90","90+"))))</f>
        <v/>
      </c>
    </row>
    <row r="10" customFormat="false" ht="15" hidden="false" customHeight="true" outlineLevel="0" collapsed="false">
      <c r="A10" s="70" t="str">
        <f aca="false">IF(Vendor_Invoices_Upload!$H$6&lt;&gt;"Paid",Vendor_Invoices_Upload!$B$6,"")</f>
        <v/>
      </c>
      <c r="B10" s="70" t="str">
        <f aca="false">IF(Vendor_Invoices_Upload!$H$6&lt;&gt;"Paid",Vendor_Invoices_Upload!$C$6,"")</f>
        <v/>
      </c>
      <c r="C10" s="71" t="str">
        <f aca="false">IF(Vendor_Invoices_Upload!$H$6&lt;&gt;"Paid",Vendor_Invoices_Upload!$E$6,"")</f>
        <v/>
      </c>
      <c r="D10" s="72" t="str">
        <f aca="false">IF(Vendor_Invoices_Upload!$H$6&lt;&gt;"Paid",Vendor_Invoices_Upload!$G$6,"")</f>
        <v/>
      </c>
      <c r="E10" s="71" t="str">
        <f aca="false">IF(Vendor_Invoices_Upload!$H$6&lt;&gt;"Paid",Vendor_Invoices_Upload!$H$6,"")</f>
        <v/>
      </c>
      <c r="F10" s="71" t="str">
        <f aca="false">IF(B10="","",MAX($C$4-B10,0))</f>
        <v/>
      </c>
      <c r="G10" s="37" t="str">
        <f aca="false">IF(F10="","",IF(F10&lt;=30,"0-30",IF(F10&lt;=60,"31-60",IF(F10&lt;=90,"61-90","90+"))))</f>
        <v/>
      </c>
    </row>
    <row r="11" customFormat="false" ht="15" hidden="false" customHeight="true" outlineLevel="0" collapsed="false">
      <c r="A11" s="70" t="str">
        <f aca="false">IF(Vendor_Invoices_Upload!$H$7&lt;&gt;"Paid",Vendor_Invoices_Upload!$B$7,"")</f>
        <v/>
      </c>
      <c r="B11" s="70" t="str">
        <f aca="false">IF(Vendor_Invoices_Upload!$H$7&lt;&gt;"Paid",Vendor_Invoices_Upload!$C$7,"")</f>
        <v/>
      </c>
      <c r="C11" s="71" t="str">
        <f aca="false">IF(Vendor_Invoices_Upload!$H$7&lt;&gt;"Paid",Vendor_Invoices_Upload!$E$7,"")</f>
        <v/>
      </c>
      <c r="D11" s="72" t="str">
        <f aca="false">IF(Vendor_Invoices_Upload!$H$7&lt;&gt;"Paid",Vendor_Invoices_Upload!$G$7,"")</f>
        <v/>
      </c>
      <c r="E11" s="71" t="str">
        <f aca="false">IF(Vendor_Invoices_Upload!$H$7&lt;&gt;"Paid",Vendor_Invoices_Upload!$H$7,"")</f>
        <v/>
      </c>
      <c r="F11" s="71" t="str">
        <f aca="false">IF(B11="","",MAX($C$4-B11,0))</f>
        <v/>
      </c>
      <c r="G11" s="37" t="str">
        <f aca="false">IF(F11="","",IF(F11&lt;=30,"0-30",IF(F11&lt;=60,"31-60",IF(F11&lt;=90,"61-90","90+"))))</f>
        <v/>
      </c>
    </row>
    <row r="12" customFormat="false" ht="15" hidden="false" customHeight="true" outlineLevel="0" collapsed="false">
      <c r="A12" s="70" t="n">
        <f aca="false">IF(Vendor_Invoices_Upload!$H$8&lt;&gt;"Paid",Vendor_Invoices_Upload!$B$8,"")</f>
        <v>46148</v>
      </c>
      <c r="B12" s="70" t="n">
        <f aca="false">IF(Vendor_Invoices_Upload!$H$8&lt;&gt;"Paid",Vendor_Invoices_Upload!$C$8,"")</f>
        <v>46163</v>
      </c>
      <c r="C12" s="71" t="str">
        <f aca="false">IF(Vendor_Invoices_Upload!$H$8&lt;&gt;"Paid",Vendor_Invoices_Upload!$E$8,"")</f>
        <v>Freelance Dev Studio FZE</v>
      </c>
      <c r="D12" s="72" t="n">
        <f aca="false">IF(Vendor_Invoices_Upload!$H$8&lt;&gt;"Paid",Vendor_Invoices_Upload!$G$8,"")</f>
        <v>4441.12</v>
      </c>
      <c r="E12" s="71" t="str">
        <f aca="false">IF(Vendor_Invoices_Upload!$H$8&lt;&gt;"Paid",Vendor_Invoices_Upload!$H$8,"")</f>
        <v>Awaiting Payment</v>
      </c>
      <c r="F12" s="71" t="n">
        <f aca="false">IF(B12="","",MAX($C$4-B12,0))</f>
        <v>40</v>
      </c>
      <c r="G12" s="37" t="str">
        <f aca="false">IF(F12="","",IF(F12&lt;=30,"0-30",IF(F12&lt;=60,"31-60",IF(F12&lt;=90,"61-90","90+"))))</f>
        <v>31-60</v>
      </c>
    </row>
    <row r="13" customFormat="false" ht="15" hidden="false" customHeight="true" outlineLevel="0" collapsed="false">
      <c r="A13" s="70" t="str">
        <f aca="false">IF(Vendor_Invoices_Upload!$H$9&lt;&gt;"Paid",Vendor_Invoices_Upload!$B$9,"")</f>
        <v/>
      </c>
      <c r="B13" s="70" t="str">
        <f aca="false">IF(Vendor_Invoices_Upload!$H$9&lt;&gt;"Paid",Vendor_Invoices_Upload!$C$9,"")</f>
        <v/>
      </c>
      <c r="C13" s="71" t="str">
        <f aca="false">IF(Vendor_Invoices_Upload!$H$9&lt;&gt;"Paid",Vendor_Invoices_Upload!$E$9,"")</f>
        <v/>
      </c>
      <c r="D13" s="72" t="str">
        <f aca="false">IF(Vendor_Invoices_Upload!$H$9&lt;&gt;"Paid",Vendor_Invoices_Upload!$G$9,"")</f>
        <v/>
      </c>
      <c r="E13" s="71" t="str">
        <f aca="false">IF(Vendor_Invoices_Upload!$H$9&lt;&gt;"Paid",Vendor_Invoices_Upload!$H$9,"")</f>
        <v/>
      </c>
      <c r="F13" s="71" t="str">
        <f aca="false">IF(B13="","",MAX($C$4-B13,0))</f>
        <v/>
      </c>
      <c r="G13" s="37" t="str">
        <f aca="false">IF(F13="","",IF(F13&lt;=30,"0-30",IF(F13&lt;=60,"31-60",IF(F13&lt;=90,"61-90","90+"))))</f>
        <v/>
      </c>
    </row>
    <row r="14" customFormat="false" ht="15" hidden="false" customHeight="true" outlineLevel="0" collapsed="false">
      <c r="A14" s="70" t="n">
        <f aca="false">IF(Vendor_Invoices_Upload!$H$10&lt;&gt;"Paid",Vendor_Invoices_Upload!$B$10,"")</f>
        <v>46161</v>
      </c>
      <c r="B14" s="70" t="n">
        <f aca="false">IF(Vendor_Invoices_Upload!$H$10&lt;&gt;"Paid",Vendor_Invoices_Upload!$C$10,"")</f>
        <v>46176</v>
      </c>
      <c r="C14" s="71" t="str">
        <f aca="false">IF(Vendor_Invoices_Upload!$H$10&lt;&gt;"Paid",Vendor_Invoices_Upload!$E$10,"")</f>
        <v>WPP Cloud Hosting LLC</v>
      </c>
      <c r="D14" s="72" t="n">
        <f aca="false">IF(Vendor_Invoices_Upload!$H$10&lt;&gt;"Paid",Vendor_Invoices_Upload!$G$10,"")</f>
        <v>4149.25</v>
      </c>
      <c r="E14" s="71" t="str">
        <f aca="false">IF(Vendor_Invoices_Upload!$H$10&lt;&gt;"Paid",Vendor_Invoices_Upload!$H$10,"")</f>
        <v>Awaiting Payment</v>
      </c>
      <c r="F14" s="71" t="n">
        <f aca="false">IF(B14="","",MAX($C$4-B14,0))</f>
        <v>27</v>
      </c>
      <c r="G14" s="37" t="str">
        <f aca="false">IF(F14="","",IF(F14&lt;=30,"0-30",IF(F14&lt;=60,"31-60",IF(F14&lt;=90,"61-90","90+"))))</f>
        <v>0-30</v>
      </c>
    </row>
    <row r="15" customFormat="false" ht="15" hidden="false" customHeight="true" outlineLevel="0" collapsed="false">
      <c r="A15" s="70" t="str">
        <f aca="false">IF(Vendor_Invoices_Upload!$H$11&lt;&gt;"Paid",Vendor_Invoices_Upload!$B$11,"")</f>
        <v/>
      </c>
      <c r="B15" s="70" t="str">
        <f aca="false">IF(Vendor_Invoices_Upload!$H$11&lt;&gt;"Paid",Vendor_Invoices_Upload!$C$11,"")</f>
        <v/>
      </c>
      <c r="C15" s="71" t="str">
        <f aca="false">IF(Vendor_Invoices_Upload!$H$11&lt;&gt;"Paid",Vendor_Invoices_Upload!$E$11,"")</f>
        <v/>
      </c>
      <c r="D15" s="72" t="str">
        <f aca="false">IF(Vendor_Invoices_Upload!$H$11&lt;&gt;"Paid",Vendor_Invoices_Upload!$G$11,"")</f>
        <v/>
      </c>
      <c r="E15" s="71" t="str">
        <f aca="false">IF(Vendor_Invoices_Upload!$H$11&lt;&gt;"Paid",Vendor_Invoices_Upload!$H$11,"")</f>
        <v/>
      </c>
      <c r="F15" s="71" t="str">
        <f aca="false">IF(B15="","",MAX($C$4-B15,0))</f>
        <v/>
      </c>
      <c r="G15" s="37" t="str">
        <f aca="false">IF(F15="","",IF(F15&lt;=30,"0-30",IF(F15&lt;=60,"31-60",IF(F15&lt;=90,"61-90","90+"))))</f>
        <v/>
      </c>
    </row>
    <row r="16" customFormat="false" ht="15" hidden="false" customHeight="true" outlineLevel="0" collapsed="false">
      <c r="A16" s="70" t="str">
        <f aca="false">IF(Vendor_Invoices_Upload!$H$12&lt;&gt;"Paid",Vendor_Invoices_Upload!$B$12,"")</f>
        <v/>
      </c>
      <c r="B16" s="70" t="str">
        <f aca="false">IF(Vendor_Invoices_Upload!$H$12&lt;&gt;"Paid",Vendor_Invoices_Upload!$C$12,"")</f>
        <v/>
      </c>
      <c r="C16" s="71" t="str">
        <f aca="false">IF(Vendor_Invoices_Upload!$H$12&lt;&gt;"Paid",Vendor_Invoices_Upload!$E$12,"")</f>
        <v/>
      </c>
      <c r="D16" s="72" t="str">
        <f aca="false">IF(Vendor_Invoices_Upload!$H$12&lt;&gt;"Paid",Vendor_Invoices_Upload!$G$12,"")</f>
        <v/>
      </c>
      <c r="E16" s="71" t="str">
        <f aca="false">IF(Vendor_Invoices_Upload!$H$12&lt;&gt;"Paid",Vendor_Invoices_Upload!$H$12,"")</f>
        <v/>
      </c>
      <c r="F16" s="71" t="str">
        <f aca="false">IF(B16="","",MAX($C$4-B16,0))</f>
        <v/>
      </c>
      <c r="G16" s="37" t="str">
        <f aca="false">IF(F16="","",IF(F16&lt;=30,"0-30",IF(F16&lt;=60,"31-60",IF(F16&lt;=90,"61-90","90+"))))</f>
        <v/>
      </c>
    </row>
    <row r="17" customFormat="false" ht="15" hidden="false" customHeight="true" outlineLevel="0" collapsed="false">
      <c r="A17" s="70" t="str">
        <f aca="false">IF(Vendor_Invoices_Upload!$H$13&lt;&gt;"Paid",Vendor_Invoices_Upload!$B$13,"")</f>
        <v/>
      </c>
      <c r="B17" s="70" t="str">
        <f aca="false">IF(Vendor_Invoices_Upload!$H$13&lt;&gt;"Paid",Vendor_Invoices_Upload!$C$13,"")</f>
        <v/>
      </c>
      <c r="C17" s="71" t="str">
        <f aca="false">IF(Vendor_Invoices_Upload!$H$13&lt;&gt;"Paid",Vendor_Invoices_Upload!$E$13,"")</f>
        <v/>
      </c>
      <c r="D17" s="72" t="str">
        <f aca="false">IF(Vendor_Invoices_Upload!$H$13&lt;&gt;"Paid",Vendor_Invoices_Upload!$G$13,"")</f>
        <v/>
      </c>
      <c r="E17" s="71" t="str">
        <f aca="false">IF(Vendor_Invoices_Upload!$H$13&lt;&gt;"Paid",Vendor_Invoices_Upload!$H$13,"")</f>
        <v/>
      </c>
      <c r="F17" s="71" t="str">
        <f aca="false">IF(B17="","",MAX($C$4-B17,0))</f>
        <v/>
      </c>
      <c r="G17" s="37" t="str">
        <f aca="false">IF(F17="","",IF(F17&lt;=30,"0-30",IF(F17&lt;=60,"31-60",IF(F17&lt;=90,"61-90","90+"))))</f>
        <v/>
      </c>
    </row>
    <row r="18" customFormat="false" ht="15" hidden="false" customHeight="true" outlineLevel="0" collapsed="false">
      <c r="A18" s="70" t="str">
        <f aca="false">IF(Vendor_Invoices_Upload!$H$14&lt;&gt;"Paid",Vendor_Invoices_Upload!$B$14,"")</f>
        <v/>
      </c>
      <c r="B18" s="70" t="str">
        <f aca="false">IF(Vendor_Invoices_Upload!$H$14&lt;&gt;"Paid",Vendor_Invoices_Upload!$C$14,"")</f>
        <v/>
      </c>
      <c r="C18" s="71" t="str">
        <f aca="false">IF(Vendor_Invoices_Upload!$H$14&lt;&gt;"Paid",Vendor_Invoices_Upload!$E$14,"")</f>
        <v/>
      </c>
      <c r="D18" s="72" t="str">
        <f aca="false">IF(Vendor_Invoices_Upload!$H$14&lt;&gt;"Paid",Vendor_Invoices_Upload!$G$14,"")</f>
        <v/>
      </c>
      <c r="E18" s="71" t="str">
        <f aca="false">IF(Vendor_Invoices_Upload!$H$14&lt;&gt;"Paid",Vendor_Invoices_Upload!$H$14,"")</f>
        <v/>
      </c>
      <c r="F18" s="71" t="str">
        <f aca="false">IF(B18="","",MAX($C$4-B18,0))</f>
        <v/>
      </c>
      <c r="G18" s="37" t="str">
        <f aca="false">IF(F18="","",IF(F18&lt;=30,"0-30",IF(F18&lt;=60,"31-60",IF(F18&lt;=90,"61-90","90+"))))</f>
        <v/>
      </c>
    </row>
    <row r="19" customFormat="false" ht="15" hidden="false" customHeight="true" outlineLevel="0" collapsed="false">
      <c r="A19" s="70" t="n">
        <f aca="false">IF(Vendor_Invoices_Upload!$H$15&lt;&gt;"Paid",Vendor_Invoices_Upload!$B$15,"")</f>
        <v>46181</v>
      </c>
      <c r="B19" s="70" t="n">
        <f aca="false">IF(Vendor_Invoices_Upload!$H$15&lt;&gt;"Paid",Vendor_Invoices_Upload!$C$15,"")</f>
        <v>46196</v>
      </c>
      <c r="C19" s="71" t="str">
        <f aca="false">IF(Vendor_Invoices_Upload!$H$15&lt;&gt;"Paid",Vendor_Invoices_Upload!$E$15,"")</f>
        <v>Emirates Trade License Authority</v>
      </c>
      <c r="D19" s="72" t="n">
        <f aca="false">IF(Vendor_Invoices_Upload!$H$15&lt;&gt;"Paid",Vendor_Invoices_Upload!$G$15,"")</f>
        <v>3442.89</v>
      </c>
      <c r="E19" s="71" t="str">
        <f aca="false">IF(Vendor_Invoices_Upload!$H$15&lt;&gt;"Paid",Vendor_Invoices_Upload!$H$15,"")</f>
        <v>Awaiting Payment</v>
      </c>
      <c r="F19" s="71" t="n">
        <f aca="false">IF(B19="","",MAX($C$4-B19,0))</f>
        <v>7</v>
      </c>
      <c r="G19" s="37" t="str">
        <f aca="false">IF(F19="","",IF(F19&lt;=30,"0-30",IF(F19&lt;=60,"31-60",IF(F19&lt;=90,"61-90","90+"))))</f>
        <v>0-30</v>
      </c>
    </row>
    <row r="21" customFormat="false" ht="15" hidden="false" customHeight="true" outlineLevel="0" collapsed="false">
      <c r="A21" s="69" t="s">
        <v>464</v>
      </c>
    </row>
    <row r="22" customFormat="false" ht="19.5" hidden="false" customHeight="true" outlineLevel="0" collapsed="false">
      <c r="A22" s="42" t="s">
        <v>257</v>
      </c>
      <c r="B22" s="42" t="s">
        <v>193</v>
      </c>
      <c r="C22" s="42" t="s">
        <v>399</v>
      </c>
      <c r="D22" s="42" t="s">
        <v>198</v>
      </c>
      <c r="E22" s="42" t="s">
        <v>134</v>
      </c>
      <c r="F22" s="42" t="s">
        <v>462</v>
      </c>
      <c r="G22" s="42" t="s">
        <v>463</v>
      </c>
    </row>
    <row r="23" customFormat="false" ht="15" hidden="false" customHeight="true" outlineLevel="0" collapsed="false">
      <c r="A23" s="70" t="str">
        <f aca="false">IF(AND(Xero_Raw!$C$4="Bill",Xero_Raw!$I$4&lt;&gt;"Paid"),Xero_Raw!$A$4,"")</f>
        <v/>
      </c>
      <c r="B23" s="70" t="str">
        <f aca="false">IF(AND(Xero_Raw!$C$4="Bill",Xero_Raw!$I$4&lt;&gt;"Paid"),Xero_Raw!$A$4+15,"")</f>
        <v/>
      </c>
      <c r="C23" s="71" t="str">
        <f aca="false">IF(AND(Xero_Raw!$C$4="Bill",Xero_Raw!$I$4&lt;&gt;"Paid"),Xero_Raw!$D$4,"")</f>
        <v/>
      </c>
      <c r="D23" s="72" t="str">
        <f aca="false">IF(AND(Xero_Raw!$C$4="Bill",Xero_Raw!$I$4&lt;&gt;"Paid"),Xero_Raw!$H$4,"")</f>
        <v/>
      </c>
      <c r="E23" s="71" t="str">
        <f aca="false">IF(AND(Xero_Raw!$C$4="Bill",Xero_Raw!$I$4&lt;&gt;"Paid"),Xero_Raw!$I$4,"")</f>
        <v/>
      </c>
      <c r="F23" s="71" t="str">
        <f aca="false">IF(B23="","",MAX($C$4-B23,0))</f>
        <v/>
      </c>
      <c r="G23" s="37" t="str">
        <f aca="false">IF(F23="","",IF(F23&lt;=30,"0-30",IF(F23&lt;=60,"31-60",IF(F23&lt;=90,"61-90","90+"))))</f>
        <v/>
      </c>
    </row>
    <row r="24" customFormat="false" ht="15" hidden="false" customHeight="true" outlineLevel="0" collapsed="false">
      <c r="A24" s="70" t="str">
        <f aca="false">IF(AND(Xero_Raw!$C$5="Bill",Xero_Raw!$I$5&lt;&gt;"Paid"),Xero_Raw!$A$5,"")</f>
        <v/>
      </c>
      <c r="B24" s="70" t="str">
        <f aca="false">IF(AND(Xero_Raw!$C$5="Bill",Xero_Raw!$I$5&lt;&gt;"Paid"),Xero_Raw!$A$5+15,"")</f>
        <v/>
      </c>
      <c r="C24" s="71" t="str">
        <f aca="false">IF(AND(Xero_Raw!$C$5="Bill",Xero_Raw!$I$5&lt;&gt;"Paid"),Xero_Raw!$D$5,"")</f>
        <v/>
      </c>
      <c r="D24" s="72" t="str">
        <f aca="false">IF(AND(Xero_Raw!$C$5="Bill",Xero_Raw!$I$5&lt;&gt;"Paid"),Xero_Raw!$H$5,"")</f>
        <v/>
      </c>
      <c r="E24" s="71" t="str">
        <f aca="false">IF(AND(Xero_Raw!$C$5="Bill",Xero_Raw!$I$5&lt;&gt;"Paid"),Xero_Raw!$I$5,"")</f>
        <v/>
      </c>
      <c r="F24" s="71" t="str">
        <f aca="false">IF(B24="","",MAX($C$4-B24,0))</f>
        <v/>
      </c>
      <c r="G24" s="37" t="str">
        <f aca="false">IF(F24="","",IF(F24&lt;=30,"0-30",IF(F24&lt;=60,"31-60",IF(F24&lt;=90,"61-90","90+"))))</f>
        <v/>
      </c>
    </row>
    <row r="25" customFormat="false" ht="15" hidden="false" customHeight="true" outlineLevel="0" collapsed="false">
      <c r="A25" s="70" t="str">
        <f aca="false">IF(AND(Xero_Raw!$C$6="Bill",Xero_Raw!$I$6&lt;&gt;"Paid"),Xero_Raw!$A$6,"")</f>
        <v/>
      </c>
      <c r="B25" s="70" t="str">
        <f aca="false">IF(AND(Xero_Raw!$C$6="Bill",Xero_Raw!$I$6&lt;&gt;"Paid"),Xero_Raw!$A$6+15,"")</f>
        <v/>
      </c>
      <c r="C25" s="71" t="str">
        <f aca="false">IF(AND(Xero_Raw!$C$6="Bill",Xero_Raw!$I$6&lt;&gt;"Paid"),Xero_Raw!$D$6,"")</f>
        <v/>
      </c>
      <c r="D25" s="72" t="str">
        <f aca="false">IF(AND(Xero_Raw!$C$6="Bill",Xero_Raw!$I$6&lt;&gt;"Paid"),Xero_Raw!$H$6,"")</f>
        <v/>
      </c>
      <c r="E25" s="71" t="str">
        <f aca="false">IF(AND(Xero_Raw!$C$6="Bill",Xero_Raw!$I$6&lt;&gt;"Paid"),Xero_Raw!$I$6,"")</f>
        <v/>
      </c>
      <c r="F25" s="71" t="str">
        <f aca="false">IF(B25="","",MAX($C$4-B25,0))</f>
        <v/>
      </c>
      <c r="G25" s="37" t="str">
        <f aca="false">IF(F25="","",IF(F25&lt;=30,"0-30",IF(F25&lt;=60,"31-60",IF(F25&lt;=90,"61-90","90+"))))</f>
        <v/>
      </c>
    </row>
    <row r="26" customFormat="false" ht="15" hidden="false" customHeight="true" outlineLevel="0" collapsed="false">
      <c r="A26" s="70" t="str">
        <f aca="false">IF(AND(Xero_Raw!$C$7="Bill",Xero_Raw!$I$7&lt;&gt;"Paid"),Xero_Raw!$A$7,"")</f>
        <v/>
      </c>
      <c r="B26" s="70" t="str">
        <f aca="false">IF(AND(Xero_Raw!$C$7="Bill",Xero_Raw!$I$7&lt;&gt;"Paid"),Xero_Raw!$A$7+15,"")</f>
        <v/>
      </c>
      <c r="C26" s="71" t="str">
        <f aca="false">IF(AND(Xero_Raw!$C$7="Bill",Xero_Raw!$I$7&lt;&gt;"Paid"),Xero_Raw!$D$7,"")</f>
        <v/>
      </c>
      <c r="D26" s="72" t="str">
        <f aca="false">IF(AND(Xero_Raw!$C$7="Bill",Xero_Raw!$I$7&lt;&gt;"Paid"),Xero_Raw!$H$7,"")</f>
        <v/>
      </c>
      <c r="E26" s="71" t="str">
        <f aca="false">IF(AND(Xero_Raw!$C$7="Bill",Xero_Raw!$I$7&lt;&gt;"Paid"),Xero_Raw!$I$7,"")</f>
        <v/>
      </c>
      <c r="F26" s="71" t="str">
        <f aca="false">IF(B26="","",MAX($C$4-B26,0))</f>
        <v/>
      </c>
      <c r="G26" s="37" t="str">
        <f aca="false">IF(F26="","",IF(F26&lt;=30,"0-30",IF(F26&lt;=60,"31-60",IF(F26&lt;=90,"61-90","90+"))))</f>
        <v/>
      </c>
    </row>
    <row r="27" customFormat="false" ht="15" hidden="false" customHeight="true" outlineLevel="0" collapsed="false">
      <c r="A27" s="70" t="str">
        <f aca="false">IF(AND(Xero_Raw!$C$8="Bill",Xero_Raw!$I$8&lt;&gt;"Paid"),Xero_Raw!$A$8,"")</f>
        <v/>
      </c>
      <c r="B27" s="70" t="str">
        <f aca="false">IF(AND(Xero_Raw!$C$8="Bill",Xero_Raw!$I$8&lt;&gt;"Paid"),Xero_Raw!$A$8+15,"")</f>
        <v/>
      </c>
      <c r="C27" s="71" t="str">
        <f aca="false">IF(AND(Xero_Raw!$C$8="Bill",Xero_Raw!$I$8&lt;&gt;"Paid"),Xero_Raw!$D$8,"")</f>
        <v/>
      </c>
      <c r="D27" s="72" t="str">
        <f aca="false">IF(AND(Xero_Raw!$C$8="Bill",Xero_Raw!$I$8&lt;&gt;"Paid"),Xero_Raw!$H$8,"")</f>
        <v/>
      </c>
      <c r="E27" s="71" t="str">
        <f aca="false">IF(AND(Xero_Raw!$C$8="Bill",Xero_Raw!$I$8&lt;&gt;"Paid"),Xero_Raw!$I$8,"")</f>
        <v/>
      </c>
      <c r="F27" s="71" t="str">
        <f aca="false">IF(B27="","",MAX($C$4-B27,0))</f>
        <v/>
      </c>
      <c r="G27" s="37" t="str">
        <f aca="false">IF(F27="","",IF(F27&lt;=30,"0-30",IF(F27&lt;=60,"31-60",IF(F27&lt;=90,"61-90","90+"))))</f>
        <v/>
      </c>
    </row>
    <row r="28" customFormat="false" ht="15" hidden="false" customHeight="true" outlineLevel="0" collapsed="false">
      <c r="A28" s="70" t="str">
        <f aca="false">IF(AND(Xero_Raw!$C$9="Bill",Xero_Raw!$I$9&lt;&gt;"Paid"),Xero_Raw!$A$9,"")</f>
        <v/>
      </c>
      <c r="B28" s="70" t="str">
        <f aca="false">IF(AND(Xero_Raw!$C$9="Bill",Xero_Raw!$I$9&lt;&gt;"Paid"),Xero_Raw!$A$9+15,"")</f>
        <v/>
      </c>
      <c r="C28" s="71" t="str">
        <f aca="false">IF(AND(Xero_Raw!$C$9="Bill",Xero_Raw!$I$9&lt;&gt;"Paid"),Xero_Raw!$D$9,"")</f>
        <v/>
      </c>
      <c r="D28" s="72" t="str">
        <f aca="false">IF(AND(Xero_Raw!$C$9="Bill",Xero_Raw!$I$9&lt;&gt;"Paid"),Xero_Raw!$H$9,"")</f>
        <v/>
      </c>
      <c r="E28" s="71" t="str">
        <f aca="false">IF(AND(Xero_Raw!$C$9="Bill",Xero_Raw!$I$9&lt;&gt;"Paid"),Xero_Raw!$I$9,"")</f>
        <v/>
      </c>
      <c r="F28" s="71" t="str">
        <f aca="false">IF(B28="","",MAX($C$4-B28,0))</f>
        <v/>
      </c>
      <c r="G28" s="37" t="str">
        <f aca="false">IF(F28="","",IF(F28&lt;=30,"0-30",IF(F28&lt;=60,"31-60",IF(F28&lt;=90,"61-90","90+"))))</f>
        <v/>
      </c>
    </row>
    <row r="29" customFormat="false" ht="15" hidden="false" customHeight="true" outlineLevel="0" collapsed="false">
      <c r="A29" s="70" t="str">
        <f aca="false">IF(AND(Xero_Raw!$C$10="Bill",Xero_Raw!$I$10&lt;&gt;"Paid"),Xero_Raw!$A$10,"")</f>
        <v/>
      </c>
      <c r="B29" s="70" t="str">
        <f aca="false">IF(AND(Xero_Raw!$C$10="Bill",Xero_Raw!$I$10&lt;&gt;"Paid"),Xero_Raw!$A$10+15,"")</f>
        <v/>
      </c>
      <c r="C29" s="71" t="str">
        <f aca="false">IF(AND(Xero_Raw!$C$10="Bill",Xero_Raw!$I$10&lt;&gt;"Paid"),Xero_Raw!$D$10,"")</f>
        <v/>
      </c>
      <c r="D29" s="72" t="str">
        <f aca="false">IF(AND(Xero_Raw!$C$10="Bill",Xero_Raw!$I$10&lt;&gt;"Paid"),Xero_Raw!$H$10,"")</f>
        <v/>
      </c>
      <c r="E29" s="71" t="str">
        <f aca="false">IF(AND(Xero_Raw!$C$10="Bill",Xero_Raw!$I$10&lt;&gt;"Paid"),Xero_Raw!$I$10,"")</f>
        <v/>
      </c>
      <c r="F29" s="71" t="str">
        <f aca="false">IF(B29="","",MAX($C$4-B29,0))</f>
        <v/>
      </c>
      <c r="G29" s="37" t="str">
        <f aca="false">IF(F29="","",IF(F29&lt;=30,"0-30",IF(F29&lt;=60,"31-60",IF(F29&lt;=90,"61-90","90+"))))</f>
        <v/>
      </c>
    </row>
    <row r="30" customFormat="false" ht="15" hidden="false" customHeight="true" outlineLevel="0" collapsed="false">
      <c r="A30" s="70" t="str">
        <f aca="false">IF(AND(Xero_Raw!$C$11="Bill",Xero_Raw!$I$11&lt;&gt;"Paid"),Xero_Raw!$A$11,"")</f>
        <v/>
      </c>
      <c r="B30" s="70" t="str">
        <f aca="false">IF(AND(Xero_Raw!$C$11="Bill",Xero_Raw!$I$11&lt;&gt;"Paid"),Xero_Raw!$A$11+15,"")</f>
        <v/>
      </c>
      <c r="C30" s="71" t="str">
        <f aca="false">IF(AND(Xero_Raw!$C$11="Bill",Xero_Raw!$I$11&lt;&gt;"Paid"),Xero_Raw!$D$11,"")</f>
        <v/>
      </c>
      <c r="D30" s="72" t="str">
        <f aca="false">IF(AND(Xero_Raw!$C$11="Bill",Xero_Raw!$I$11&lt;&gt;"Paid"),Xero_Raw!$H$11,"")</f>
        <v/>
      </c>
      <c r="E30" s="71" t="str">
        <f aca="false">IF(AND(Xero_Raw!$C$11="Bill",Xero_Raw!$I$11&lt;&gt;"Paid"),Xero_Raw!$I$11,"")</f>
        <v/>
      </c>
      <c r="F30" s="71" t="str">
        <f aca="false">IF(B30="","",MAX($C$4-B30,0))</f>
        <v/>
      </c>
      <c r="G30" s="37" t="str">
        <f aca="false">IF(F30="","",IF(F30&lt;=30,"0-30",IF(F30&lt;=60,"31-60",IF(F30&lt;=90,"61-90","90+"))))</f>
        <v/>
      </c>
    </row>
    <row r="31" customFormat="false" ht="15" hidden="false" customHeight="true" outlineLevel="0" collapsed="false">
      <c r="A31" s="70" t="str">
        <f aca="false">IF(AND(Xero_Raw!$C$12="Bill",Xero_Raw!$I$12&lt;&gt;"Paid"),Xero_Raw!$A$12,"")</f>
        <v/>
      </c>
      <c r="B31" s="70" t="str">
        <f aca="false">IF(AND(Xero_Raw!$C$12="Bill",Xero_Raw!$I$12&lt;&gt;"Paid"),Xero_Raw!$A$12+15,"")</f>
        <v/>
      </c>
      <c r="C31" s="71" t="str">
        <f aca="false">IF(AND(Xero_Raw!$C$12="Bill",Xero_Raw!$I$12&lt;&gt;"Paid"),Xero_Raw!$D$12,"")</f>
        <v/>
      </c>
      <c r="D31" s="72" t="str">
        <f aca="false">IF(AND(Xero_Raw!$C$12="Bill",Xero_Raw!$I$12&lt;&gt;"Paid"),Xero_Raw!$H$12,"")</f>
        <v/>
      </c>
      <c r="E31" s="71" t="str">
        <f aca="false">IF(AND(Xero_Raw!$C$12="Bill",Xero_Raw!$I$12&lt;&gt;"Paid"),Xero_Raw!$I$12,"")</f>
        <v/>
      </c>
      <c r="F31" s="71" t="str">
        <f aca="false">IF(B31="","",MAX($C$4-B31,0))</f>
        <v/>
      </c>
      <c r="G31" s="37" t="str">
        <f aca="false">IF(F31="","",IF(F31&lt;=30,"0-30",IF(F31&lt;=60,"31-60",IF(F31&lt;=90,"61-90","90+"))))</f>
        <v/>
      </c>
    </row>
    <row r="32" customFormat="false" ht="15" hidden="false" customHeight="true" outlineLevel="0" collapsed="false">
      <c r="A32" s="70" t="str">
        <f aca="false">IF(AND(Xero_Raw!$C$13="Bill",Xero_Raw!$I$13&lt;&gt;"Paid"),Xero_Raw!$A$13,"")</f>
        <v/>
      </c>
      <c r="B32" s="70" t="str">
        <f aca="false">IF(AND(Xero_Raw!$C$13="Bill",Xero_Raw!$I$13&lt;&gt;"Paid"),Xero_Raw!$A$13+15,"")</f>
        <v/>
      </c>
      <c r="C32" s="71" t="str">
        <f aca="false">IF(AND(Xero_Raw!$C$13="Bill",Xero_Raw!$I$13&lt;&gt;"Paid"),Xero_Raw!$D$13,"")</f>
        <v/>
      </c>
      <c r="D32" s="72" t="str">
        <f aca="false">IF(AND(Xero_Raw!$C$13="Bill",Xero_Raw!$I$13&lt;&gt;"Paid"),Xero_Raw!$H$13,"")</f>
        <v/>
      </c>
      <c r="E32" s="71" t="str">
        <f aca="false">IF(AND(Xero_Raw!$C$13="Bill",Xero_Raw!$I$13&lt;&gt;"Paid"),Xero_Raw!$I$13,"")</f>
        <v/>
      </c>
      <c r="F32" s="71" t="str">
        <f aca="false">IF(B32="","",MAX($C$4-B32,0))</f>
        <v/>
      </c>
      <c r="G32" s="37" t="str">
        <f aca="false">IF(F32="","",IF(F32&lt;=30,"0-30",IF(F32&lt;=60,"31-60",IF(F32&lt;=90,"61-90","90+"))))</f>
        <v/>
      </c>
    </row>
    <row r="33" customFormat="false" ht="15" hidden="false" customHeight="true" outlineLevel="0" collapsed="false">
      <c r="A33" s="70" t="str">
        <f aca="false">IF(AND(Xero_Raw!$C$14="Bill",Xero_Raw!$I$14&lt;&gt;"Paid"),Xero_Raw!$A$14,"")</f>
        <v/>
      </c>
      <c r="B33" s="70" t="str">
        <f aca="false">IF(AND(Xero_Raw!$C$14="Bill",Xero_Raw!$I$14&lt;&gt;"Paid"),Xero_Raw!$A$14+15,"")</f>
        <v/>
      </c>
      <c r="C33" s="71" t="str">
        <f aca="false">IF(AND(Xero_Raw!$C$14="Bill",Xero_Raw!$I$14&lt;&gt;"Paid"),Xero_Raw!$D$14,"")</f>
        <v/>
      </c>
      <c r="D33" s="72" t="str">
        <f aca="false">IF(AND(Xero_Raw!$C$14="Bill",Xero_Raw!$I$14&lt;&gt;"Paid"),Xero_Raw!$H$14,"")</f>
        <v/>
      </c>
      <c r="E33" s="71" t="str">
        <f aca="false">IF(AND(Xero_Raw!$C$14="Bill",Xero_Raw!$I$14&lt;&gt;"Paid"),Xero_Raw!$I$14,"")</f>
        <v/>
      </c>
      <c r="F33" s="71" t="str">
        <f aca="false">IF(B33="","",MAX($C$4-B33,0))</f>
        <v/>
      </c>
      <c r="G33" s="37" t="str">
        <f aca="false">IF(F33="","",IF(F33&lt;=30,"0-30",IF(F33&lt;=60,"31-60",IF(F33&lt;=90,"61-90","90+"))))</f>
        <v/>
      </c>
    </row>
    <row r="34" customFormat="false" ht="15" hidden="false" customHeight="true" outlineLevel="0" collapsed="false">
      <c r="A34" s="70" t="str">
        <f aca="false">IF(AND(Xero_Raw!$C$15="Bill",Xero_Raw!$I$15&lt;&gt;"Paid"),Xero_Raw!$A$15,"")</f>
        <v/>
      </c>
      <c r="B34" s="70" t="str">
        <f aca="false">IF(AND(Xero_Raw!$C$15="Bill",Xero_Raw!$I$15&lt;&gt;"Paid"),Xero_Raw!$A$15+15,"")</f>
        <v/>
      </c>
      <c r="C34" s="71" t="str">
        <f aca="false">IF(AND(Xero_Raw!$C$15="Bill",Xero_Raw!$I$15&lt;&gt;"Paid"),Xero_Raw!$D$15,"")</f>
        <v/>
      </c>
      <c r="D34" s="72" t="str">
        <f aca="false">IF(AND(Xero_Raw!$C$15="Bill",Xero_Raw!$I$15&lt;&gt;"Paid"),Xero_Raw!$H$15,"")</f>
        <v/>
      </c>
      <c r="E34" s="71" t="str">
        <f aca="false">IF(AND(Xero_Raw!$C$15="Bill",Xero_Raw!$I$15&lt;&gt;"Paid"),Xero_Raw!$I$15,"")</f>
        <v/>
      </c>
      <c r="F34" s="71" t="str">
        <f aca="false">IF(B34="","",MAX($C$4-B34,0))</f>
        <v/>
      </c>
      <c r="G34" s="37" t="str">
        <f aca="false">IF(F34="","",IF(F34&lt;=30,"0-30",IF(F34&lt;=60,"31-60",IF(F34&lt;=90,"61-90","90+"))))</f>
        <v/>
      </c>
    </row>
    <row r="35" customFormat="false" ht="15" hidden="false" customHeight="true" outlineLevel="0" collapsed="false">
      <c r="A35" s="70" t="str">
        <f aca="false">IF(AND(Xero_Raw!$C$16="Bill",Xero_Raw!$I$16&lt;&gt;"Paid"),Xero_Raw!$A$16,"")</f>
        <v/>
      </c>
      <c r="B35" s="70" t="str">
        <f aca="false">IF(AND(Xero_Raw!$C$16="Bill",Xero_Raw!$I$16&lt;&gt;"Paid"),Xero_Raw!$A$16+15,"")</f>
        <v/>
      </c>
      <c r="C35" s="71" t="str">
        <f aca="false">IF(AND(Xero_Raw!$C$16="Bill",Xero_Raw!$I$16&lt;&gt;"Paid"),Xero_Raw!$D$16,"")</f>
        <v/>
      </c>
      <c r="D35" s="72" t="str">
        <f aca="false">IF(AND(Xero_Raw!$C$16="Bill",Xero_Raw!$I$16&lt;&gt;"Paid"),Xero_Raw!$H$16,"")</f>
        <v/>
      </c>
      <c r="E35" s="71" t="str">
        <f aca="false">IF(AND(Xero_Raw!$C$16="Bill",Xero_Raw!$I$16&lt;&gt;"Paid"),Xero_Raw!$I$16,"")</f>
        <v/>
      </c>
      <c r="F35" s="71" t="str">
        <f aca="false">IF(B35="","",MAX($C$4-B35,0))</f>
        <v/>
      </c>
      <c r="G35" s="37" t="str">
        <f aca="false">IF(F35="","",IF(F35&lt;=30,"0-30",IF(F35&lt;=60,"31-60",IF(F35&lt;=90,"61-90","90+"))))</f>
        <v/>
      </c>
    </row>
    <row r="36" customFormat="false" ht="15" hidden="false" customHeight="true" outlineLevel="0" collapsed="false">
      <c r="A36" s="70" t="str">
        <f aca="false">IF(AND(Xero_Raw!$C$17="Bill",Xero_Raw!$I$17&lt;&gt;"Paid"),Xero_Raw!$A$17,"")</f>
        <v/>
      </c>
      <c r="B36" s="70" t="str">
        <f aca="false">IF(AND(Xero_Raw!$C$17="Bill",Xero_Raw!$I$17&lt;&gt;"Paid"),Xero_Raw!$A$17+15,"")</f>
        <v/>
      </c>
      <c r="C36" s="71" t="str">
        <f aca="false">IF(AND(Xero_Raw!$C$17="Bill",Xero_Raw!$I$17&lt;&gt;"Paid"),Xero_Raw!$D$17,"")</f>
        <v/>
      </c>
      <c r="D36" s="72" t="str">
        <f aca="false">IF(AND(Xero_Raw!$C$17="Bill",Xero_Raw!$I$17&lt;&gt;"Paid"),Xero_Raw!$H$17,"")</f>
        <v/>
      </c>
      <c r="E36" s="71" t="str">
        <f aca="false">IF(AND(Xero_Raw!$C$17="Bill",Xero_Raw!$I$17&lt;&gt;"Paid"),Xero_Raw!$I$17,"")</f>
        <v/>
      </c>
      <c r="F36" s="71" t="str">
        <f aca="false">IF(B36="","",MAX($C$4-B36,0))</f>
        <v/>
      </c>
      <c r="G36" s="37" t="str">
        <f aca="false">IF(F36="","",IF(F36&lt;=30,"0-30",IF(F36&lt;=60,"31-60",IF(F36&lt;=90,"61-90","90+"))))</f>
        <v/>
      </c>
    </row>
    <row r="37" customFormat="false" ht="15" hidden="false" customHeight="true" outlineLevel="0" collapsed="false">
      <c r="A37" s="70" t="str">
        <f aca="false">IF(AND(Xero_Raw!$C$18="Bill",Xero_Raw!$I$18&lt;&gt;"Paid"),Xero_Raw!$A$18,"")</f>
        <v/>
      </c>
      <c r="B37" s="70" t="str">
        <f aca="false">IF(AND(Xero_Raw!$C$18="Bill",Xero_Raw!$I$18&lt;&gt;"Paid"),Xero_Raw!$A$18+15,"")</f>
        <v/>
      </c>
      <c r="C37" s="71" t="str">
        <f aca="false">IF(AND(Xero_Raw!$C$18="Bill",Xero_Raw!$I$18&lt;&gt;"Paid"),Xero_Raw!$D$18,"")</f>
        <v/>
      </c>
      <c r="D37" s="72" t="str">
        <f aca="false">IF(AND(Xero_Raw!$C$18="Bill",Xero_Raw!$I$18&lt;&gt;"Paid"),Xero_Raw!$H$18,"")</f>
        <v/>
      </c>
      <c r="E37" s="71" t="str">
        <f aca="false">IF(AND(Xero_Raw!$C$18="Bill",Xero_Raw!$I$18&lt;&gt;"Paid"),Xero_Raw!$I$18,"")</f>
        <v/>
      </c>
      <c r="F37" s="71" t="str">
        <f aca="false">IF(B37="","",MAX($C$4-B37,0))</f>
        <v/>
      </c>
      <c r="G37" s="37" t="str">
        <f aca="false">IF(F37="","",IF(F37&lt;=30,"0-30",IF(F37&lt;=60,"31-60",IF(F37&lt;=90,"61-90","90+"))))</f>
        <v/>
      </c>
    </row>
    <row r="38" customFormat="false" ht="15" hidden="false" customHeight="true" outlineLevel="0" collapsed="false">
      <c r="A38" s="70" t="str">
        <f aca="false">IF(AND(Xero_Raw!$C$19="Bill",Xero_Raw!$I$19&lt;&gt;"Paid"),Xero_Raw!$A$19,"")</f>
        <v/>
      </c>
      <c r="B38" s="70" t="str">
        <f aca="false">IF(AND(Xero_Raw!$C$19="Bill",Xero_Raw!$I$19&lt;&gt;"Paid"),Xero_Raw!$A$19+15,"")</f>
        <v/>
      </c>
      <c r="C38" s="71" t="str">
        <f aca="false">IF(AND(Xero_Raw!$C$19="Bill",Xero_Raw!$I$19&lt;&gt;"Paid"),Xero_Raw!$D$19,"")</f>
        <v/>
      </c>
      <c r="D38" s="72" t="str">
        <f aca="false">IF(AND(Xero_Raw!$C$19="Bill",Xero_Raw!$I$19&lt;&gt;"Paid"),Xero_Raw!$H$19,"")</f>
        <v/>
      </c>
      <c r="E38" s="71" t="str">
        <f aca="false">IF(AND(Xero_Raw!$C$19="Bill",Xero_Raw!$I$19&lt;&gt;"Paid"),Xero_Raw!$I$19,"")</f>
        <v/>
      </c>
      <c r="F38" s="71" t="str">
        <f aca="false">IF(B38="","",MAX($C$4-B38,0))</f>
        <v/>
      </c>
      <c r="G38" s="37" t="str">
        <f aca="false">IF(F38="","",IF(F38&lt;=30,"0-30",IF(F38&lt;=60,"31-60",IF(F38&lt;=90,"61-90","90+"))))</f>
        <v/>
      </c>
    </row>
    <row r="39" customFormat="false" ht="15" hidden="false" customHeight="true" outlineLevel="0" collapsed="false">
      <c r="A39" s="70" t="str">
        <f aca="false">IF(AND(Xero_Raw!$C$20="Bill",Xero_Raw!$I$20&lt;&gt;"Paid"),Xero_Raw!$A$20,"")</f>
        <v/>
      </c>
      <c r="B39" s="70" t="str">
        <f aca="false">IF(AND(Xero_Raw!$C$20="Bill",Xero_Raw!$I$20&lt;&gt;"Paid"),Xero_Raw!$A$20+15,"")</f>
        <v/>
      </c>
      <c r="C39" s="71" t="str">
        <f aca="false">IF(AND(Xero_Raw!$C$20="Bill",Xero_Raw!$I$20&lt;&gt;"Paid"),Xero_Raw!$D$20,"")</f>
        <v/>
      </c>
      <c r="D39" s="72" t="str">
        <f aca="false">IF(AND(Xero_Raw!$C$20="Bill",Xero_Raw!$I$20&lt;&gt;"Paid"),Xero_Raw!$H$20,"")</f>
        <v/>
      </c>
      <c r="E39" s="71" t="str">
        <f aca="false">IF(AND(Xero_Raw!$C$20="Bill",Xero_Raw!$I$20&lt;&gt;"Paid"),Xero_Raw!$I$20,"")</f>
        <v/>
      </c>
      <c r="F39" s="71" t="str">
        <f aca="false">IF(B39="","",MAX($C$4-B39,0))</f>
        <v/>
      </c>
      <c r="G39" s="37" t="str">
        <f aca="false">IF(F39="","",IF(F39&lt;=30,"0-30",IF(F39&lt;=60,"31-60",IF(F39&lt;=90,"61-90","90+"))))</f>
        <v/>
      </c>
    </row>
    <row r="40" customFormat="false" ht="15" hidden="false" customHeight="true" outlineLevel="0" collapsed="false">
      <c r="A40" s="70" t="str">
        <f aca="false">IF(AND(Xero_Raw!$C$21="Bill",Xero_Raw!$I$21&lt;&gt;"Paid"),Xero_Raw!$A$21,"")</f>
        <v/>
      </c>
      <c r="B40" s="70" t="str">
        <f aca="false">IF(AND(Xero_Raw!$C$21="Bill",Xero_Raw!$I$21&lt;&gt;"Paid"),Xero_Raw!$A$21+15,"")</f>
        <v/>
      </c>
      <c r="C40" s="71" t="str">
        <f aca="false">IF(AND(Xero_Raw!$C$21="Bill",Xero_Raw!$I$21&lt;&gt;"Paid"),Xero_Raw!$D$21,"")</f>
        <v/>
      </c>
      <c r="D40" s="72" t="str">
        <f aca="false">IF(AND(Xero_Raw!$C$21="Bill",Xero_Raw!$I$21&lt;&gt;"Paid"),Xero_Raw!$H$21,"")</f>
        <v/>
      </c>
      <c r="E40" s="71" t="str">
        <f aca="false">IF(AND(Xero_Raw!$C$21="Bill",Xero_Raw!$I$21&lt;&gt;"Paid"),Xero_Raw!$I$21,"")</f>
        <v/>
      </c>
      <c r="F40" s="71" t="str">
        <f aca="false">IF(B40="","",MAX($C$4-B40,0))</f>
        <v/>
      </c>
      <c r="G40" s="37" t="str">
        <f aca="false">IF(F40="","",IF(F40&lt;=30,"0-30",IF(F40&lt;=60,"31-60",IF(F40&lt;=90,"61-90","90+"))))</f>
        <v/>
      </c>
    </row>
    <row r="41" customFormat="false" ht="15" hidden="false" customHeight="true" outlineLevel="0" collapsed="false">
      <c r="A41" s="70" t="str">
        <f aca="false">IF(AND(Xero_Raw!$C$22="Bill",Xero_Raw!$I$22&lt;&gt;"Paid"),Xero_Raw!$A$22,"")</f>
        <v/>
      </c>
      <c r="B41" s="70" t="str">
        <f aca="false">IF(AND(Xero_Raw!$C$22="Bill",Xero_Raw!$I$22&lt;&gt;"Paid"),Xero_Raw!$A$22+15,"")</f>
        <v/>
      </c>
      <c r="C41" s="71" t="str">
        <f aca="false">IF(AND(Xero_Raw!$C$22="Bill",Xero_Raw!$I$22&lt;&gt;"Paid"),Xero_Raw!$D$22,"")</f>
        <v/>
      </c>
      <c r="D41" s="72" t="str">
        <f aca="false">IF(AND(Xero_Raw!$C$22="Bill",Xero_Raw!$I$22&lt;&gt;"Paid"),Xero_Raw!$H$22,"")</f>
        <v/>
      </c>
      <c r="E41" s="71" t="str">
        <f aca="false">IF(AND(Xero_Raw!$C$22="Bill",Xero_Raw!$I$22&lt;&gt;"Paid"),Xero_Raw!$I$22,"")</f>
        <v/>
      </c>
      <c r="F41" s="71" t="str">
        <f aca="false">IF(B41="","",MAX($C$4-B41,0))</f>
        <v/>
      </c>
      <c r="G41" s="37" t="str">
        <f aca="false">IF(F41="","",IF(F41&lt;=30,"0-30",IF(F41&lt;=60,"31-60",IF(F41&lt;=90,"61-90","90+"))))</f>
        <v/>
      </c>
    </row>
    <row r="42" customFormat="false" ht="15" hidden="false" customHeight="true" outlineLevel="0" collapsed="false">
      <c r="A42" s="70" t="str">
        <f aca="false">IF(AND(Xero_Raw!$C$23="Bill",Xero_Raw!$I$23&lt;&gt;"Paid"),Xero_Raw!$A$23,"")</f>
        <v/>
      </c>
      <c r="B42" s="70" t="str">
        <f aca="false">IF(AND(Xero_Raw!$C$23="Bill",Xero_Raw!$I$23&lt;&gt;"Paid"),Xero_Raw!$A$23+15,"")</f>
        <v/>
      </c>
      <c r="C42" s="71" t="str">
        <f aca="false">IF(AND(Xero_Raw!$C$23="Bill",Xero_Raw!$I$23&lt;&gt;"Paid"),Xero_Raw!$D$23,"")</f>
        <v/>
      </c>
      <c r="D42" s="72" t="str">
        <f aca="false">IF(AND(Xero_Raw!$C$23="Bill",Xero_Raw!$I$23&lt;&gt;"Paid"),Xero_Raw!$H$23,"")</f>
        <v/>
      </c>
      <c r="E42" s="71" t="str">
        <f aca="false">IF(AND(Xero_Raw!$C$23="Bill",Xero_Raw!$I$23&lt;&gt;"Paid"),Xero_Raw!$I$23,"")</f>
        <v/>
      </c>
      <c r="F42" s="71" t="str">
        <f aca="false">IF(B42="","",MAX($C$4-B42,0))</f>
        <v/>
      </c>
      <c r="G42" s="37" t="str">
        <f aca="false">IF(F42="","",IF(F42&lt;=30,"0-30",IF(F42&lt;=60,"31-60",IF(F42&lt;=90,"61-90","90+"))))</f>
        <v/>
      </c>
    </row>
    <row r="43" customFormat="false" ht="15" hidden="false" customHeight="true" outlineLevel="0" collapsed="false">
      <c r="A43" s="70" t="str">
        <f aca="false">IF(AND(Xero_Raw!$C$24="Bill",Xero_Raw!$I$24&lt;&gt;"Paid"),Xero_Raw!$A$24,"")</f>
        <v/>
      </c>
      <c r="B43" s="70" t="str">
        <f aca="false">IF(AND(Xero_Raw!$C$24="Bill",Xero_Raw!$I$24&lt;&gt;"Paid"),Xero_Raw!$A$24+15,"")</f>
        <v/>
      </c>
      <c r="C43" s="71" t="str">
        <f aca="false">IF(AND(Xero_Raw!$C$24="Bill",Xero_Raw!$I$24&lt;&gt;"Paid"),Xero_Raw!$D$24,"")</f>
        <v/>
      </c>
      <c r="D43" s="72" t="str">
        <f aca="false">IF(AND(Xero_Raw!$C$24="Bill",Xero_Raw!$I$24&lt;&gt;"Paid"),Xero_Raw!$H$24,"")</f>
        <v/>
      </c>
      <c r="E43" s="71" t="str">
        <f aca="false">IF(AND(Xero_Raw!$C$24="Bill",Xero_Raw!$I$24&lt;&gt;"Paid"),Xero_Raw!$I$24,"")</f>
        <v/>
      </c>
      <c r="F43" s="71" t="str">
        <f aca="false">IF(B43="","",MAX($C$4-B43,0))</f>
        <v/>
      </c>
      <c r="G43" s="37" t="str">
        <f aca="false">IF(F43="","",IF(F43&lt;=30,"0-30",IF(F43&lt;=60,"31-60",IF(F43&lt;=90,"61-90","90+"))))</f>
        <v/>
      </c>
    </row>
    <row r="44" customFormat="false" ht="15" hidden="false" customHeight="true" outlineLevel="0" collapsed="false">
      <c r="A44" s="70" t="str">
        <f aca="false">IF(AND(Xero_Raw!$C$25="Bill",Xero_Raw!$I$25&lt;&gt;"Paid"),Xero_Raw!$A$25,"")</f>
        <v/>
      </c>
      <c r="B44" s="70" t="str">
        <f aca="false">IF(AND(Xero_Raw!$C$25="Bill",Xero_Raw!$I$25&lt;&gt;"Paid"),Xero_Raw!$A$25+15,"")</f>
        <v/>
      </c>
      <c r="C44" s="71" t="str">
        <f aca="false">IF(AND(Xero_Raw!$C$25="Bill",Xero_Raw!$I$25&lt;&gt;"Paid"),Xero_Raw!$D$25,"")</f>
        <v/>
      </c>
      <c r="D44" s="72" t="str">
        <f aca="false">IF(AND(Xero_Raw!$C$25="Bill",Xero_Raw!$I$25&lt;&gt;"Paid"),Xero_Raw!$H$25,"")</f>
        <v/>
      </c>
      <c r="E44" s="71" t="str">
        <f aca="false">IF(AND(Xero_Raw!$C$25="Bill",Xero_Raw!$I$25&lt;&gt;"Paid"),Xero_Raw!$I$25,"")</f>
        <v/>
      </c>
      <c r="F44" s="71" t="str">
        <f aca="false">IF(B44="","",MAX($C$4-B44,0))</f>
        <v/>
      </c>
      <c r="G44" s="37" t="str">
        <f aca="false">IF(F44="","",IF(F44&lt;=30,"0-30",IF(F44&lt;=60,"31-60",IF(F44&lt;=90,"61-90","90+"))))</f>
        <v/>
      </c>
    </row>
    <row r="45" customFormat="false" ht="15" hidden="false" customHeight="true" outlineLevel="0" collapsed="false">
      <c r="A45" s="70" t="str">
        <f aca="false">IF(AND(Xero_Raw!$C$26="Bill",Xero_Raw!$I$26&lt;&gt;"Paid"),Xero_Raw!$A$26,"")</f>
        <v/>
      </c>
      <c r="B45" s="70" t="str">
        <f aca="false">IF(AND(Xero_Raw!$C$26="Bill",Xero_Raw!$I$26&lt;&gt;"Paid"),Xero_Raw!$A$26+15,"")</f>
        <v/>
      </c>
      <c r="C45" s="71" t="str">
        <f aca="false">IF(AND(Xero_Raw!$C$26="Bill",Xero_Raw!$I$26&lt;&gt;"Paid"),Xero_Raw!$D$26,"")</f>
        <v/>
      </c>
      <c r="D45" s="72" t="str">
        <f aca="false">IF(AND(Xero_Raw!$C$26="Bill",Xero_Raw!$I$26&lt;&gt;"Paid"),Xero_Raw!$H$26,"")</f>
        <v/>
      </c>
      <c r="E45" s="71" t="str">
        <f aca="false">IF(AND(Xero_Raw!$C$26="Bill",Xero_Raw!$I$26&lt;&gt;"Paid"),Xero_Raw!$I$26,"")</f>
        <v/>
      </c>
      <c r="F45" s="71" t="str">
        <f aca="false">IF(B45="","",MAX($C$4-B45,0))</f>
        <v/>
      </c>
      <c r="G45" s="37" t="str">
        <f aca="false">IF(F45="","",IF(F45&lt;=30,"0-30",IF(F45&lt;=60,"31-60",IF(F45&lt;=90,"61-90","90+"))))</f>
        <v/>
      </c>
    </row>
    <row r="46" customFormat="false" ht="15" hidden="false" customHeight="true" outlineLevel="0" collapsed="false">
      <c r="A46" s="70" t="str">
        <f aca="false">IF(AND(Xero_Raw!$C$27="Bill",Xero_Raw!$I$27&lt;&gt;"Paid"),Xero_Raw!$A$27,"")</f>
        <v/>
      </c>
      <c r="B46" s="70" t="str">
        <f aca="false">IF(AND(Xero_Raw!$C$27="Bill",Xero_Raw!$I$27&lt;&gt;"Paid"),Xero_Raw!$A$27+15,"")</f>
        <v/>
      </c>
      <c r="C46" s="71" t="str">
        <f aca="false">IF(AND(Xero_Raw!$C$27="Bill",Xero_Raw!$I$27&lt;&gt;"Paid"),Xero_Raw!$D$27,"")</f>
        <v/>
      </c>
      <c r="D46" s="72" t="str">
        <f aca="false">IF(AND(Xero_Raw!$C$27="Bill",Xero_Raw!$I$27&lt;&gt;"Paid"),Xero_Raw!$H$27,"")</f>
        <v/>
      </c>
      <c r="E46" s="71" t="str">
        <f aca="false">IF(AND(Xero_Raw!$C$27="Bill",Xero_Raw!$I$27&lt;&gt;"Paid"),Xero_Raw!$I$27,"")</f>
        <v/>
      </c>
      <c r="F46" s="71" t="str">
        <f aca="false">IF(B46="","",MAX($C$4-B46,0))</f>
        <v/>
      </c>
      <c r="G46" s="37" t="str">
        <f aca="false">IF(F46="","",IF(F46&lt;=30,"0-30",IF(F46&lt;=60,"31-60",IF(F46&lt;=90,"61-90","90+"))))</f>
        <v/>
      </c>
    </row>
    <row r="47" customFormat="false" ht="15" hidden="false" customHeight="true" outlineLevel="0" collapsed="false">
      <c r="A47" s="70" t="str">
        <f aca="false">IF(AND(Xero_Raw!$C$28="Bill",Xero_Raw!$I$28&lt;&gt;"Paid"),Xero_Raw!$A$28,"")</f>
        <v/>
      </c>
      <c r="B47" s="70" t="str">
        <f aca="false">IF(AND(Xero_Raw!$C$28="Bill",Xero_Raw!$I$28&lt;&gt;"Paid"),Xero_Raw!$A$28+15,"")</f>
        <v/>
      </c>
      <c r="C47" s="71" t="str">
        <f aca="false">IF(AND(Xero_Raw!$C$28="Bill",Xero_Raw!$I$28&lt;&gt;"Paid"),Xero_Raw!$D$28,"")</f>
        <v/>
      </c>
      <c r="D47" s="72" t="str">
        <f aca="false">IF(AND(Xero_Raw!$C$28="Bill",Xero_Raw!$I$28&lt;&gt;"Paid"),Xero_Raw!$H$28,"")</f>
        <v/>
      </c>
      <c r="E47" s="71" t="str">
        <f aca="false">IF(AND(Xero_Raw!$C$28="Bill",Xero_Raw!$I$28&lt;&gt;"Paid"),Xero_Raw!$I$28,"")</f>
        <v/>
      </c>
      <c r="F47" s="71" t="str">
        <f aca="false">IF(B47="","",MAX($C$4-B47,0))</f>
        <v/>
      </c>
      <c r="G47" s="37" t="str">
        <f aca="false">IF(F47="","",IF(F47&lt;=30,"0-30",IF(F47&lt;=60,"31-60",IF(F47&lt;=90,"61-90","90+"))))</f>
        <v/>
      </c>
    </row>
    <row r="48" customFormat="false" ht="15" hidden="false" customHeight="true" outlineLevel="0" collapsed="false">
      <c r="A48" s="70" t="str">
        <f aca="false">IF(AND(Xero_Raw!$C$29="Bill",Xero_Raw!$I$29&lt;&gt;"Paid"),Xero_Raw!$A$29,"")</f>
        <v/>
      </c>
      <c r="B48" s="70" t="str">
        <f aca="false">IF(AND(Xero_Raw!$C$29="Bill",Xero_Raw!$I$29&lt;&gt;"Paid"),Xero_Raw!$A$29+15,"")</f>
        <v/>
      </c>
      <c r="C48" s="71" t="str">
        <f aca="false">IF(AND(Xero_Raw!$C$29="Bill",Xero_Raw!$I$29&lt;&gt;"Paid"),Xero_Raw!$D$29,"")</f>
        <v/>
      </c>
      <c r="D48" s="72" t="str">
        <f aca="false">IF(AND(Xero_Raw!$C$29="Bill",Xero_Raw!$I$29&lt;&gt;"Paid"),Xero_Raw!$H$29,"")</f>
        <v/>
      </c>
      <c r="E48" s="71" t="str">
        <f aca="false">IF(AND(Xero_Raw!$C$29="Bill",Xero_Raw!$I$29&lt;&gt;"Paid"),Xero_Raw!$I$29,"")</f>
        <v/>
      </c>
      <c r="F48" s="71" t="str">
        <f aca="false">IF(B48="","",MAX($C$4-B48,0))</f>
        <v/>
      </c>
      <c r="G48" s="37" t="str">
        <f aca="false">IF(F48="","",IF(F48&lt;=30,"0-30",IF(F48&lt;=60,"31-60",IF(F48&lt;=90,"61-90","90+"))))</f>
        <v/>
      </c>
    </row>
    <row r="49" customFormat="false" ht="15" hidden="false" customHeight="true" outlineLevel="0" collapsed="false">
      <c r="A49" s="70" t="str">
        <f aca="false">IF(AND(Xero_Raw!$C$30="Bill",Xero_Raw!$I$30&lt;&gt;"Paid"),Xero_Raw!$A$30,"")</f>
        <v/>
      </c>
      <c r="B49" s="70" t="str">
        <f aca="false">IF(AND(Xero_Raw!$C$30="Bill",Xero_Raw!$I$30&lt;&gt;"Paid"),Xero_Raw!$A$30+15,"")</f>
        <v/>
      </c>
      <c r="C49" s="71" t="str">
        <f aca="false">IF(AND(Xero_Raw!$C$30="Bill",Xero_Raw!$I$30&lt;&gt;"Paid"),Xero_Raw!$D$30,"")</f>
        <v/>
      </c>
      <c r="D49" s="72" t="str">
        <f aca="false">IF(AND(Xero_Raw!$C$30="Bill",Xero_Raw!$I$30&lt;&gt;"Paid"),Xero_Raw!$H$30,"")</f>
        <v/>
      </c>
      <c r="E49" s="71" t="str">
        <f aca="false">IF(AND(Xero_Raw!$C$30="Bill",Xero_Raw!$I$30&lt;&gt;"Paid"),Xero_Raw!$I$30,"")</f>
        <v/>
      </c>
      <c r="F49" s="71" t="str">
        <f aca="false">IF(B49="","",MAX($C$4-B49,0))</f>
        <v/>
      </c>
      <c r="G49" s="37" t="str">
        <f aca="false">IF(F49="","",IF(F49&lt;=30,"0-30",IF(F49&lt;=60,"31-60",IF(F49&lt;=90,"61-90","90+"))))</f>
        <v/>
      </c>
    </row>
    <row r="50" customFormat="false" ht="15" hidden="false" customHeight="true" outlineLevel="0" collapsed="false">
      <c r="A50" s="70" t="str">
        <f aca="false">IF(AND(Xero_Raw!$C$31="Bill",Xero_Raw!$I$31&lt;&gt;"Paid"),Xero_Raw!$A$31,"")</f>
        <v/>
      </c>
      <c r="B50" s="70" t="str">
        <f aca="false">IF(AND(Xero_Raw!$C$31="Bill",Xero_Raw!$I$31&lt;&gt;"Paid"),Xero_Raw!$A$31+15,"")</f>
        <v/>
      </c>
      <c r="C50" s="71" t="str">
        <f aca="false">IF(AND(Xero_Raw!$C$31="Bill",Xero_Raw!$I$31&lt;&gt;"Paid"),Xero_Raw!$D$31,"")</f>
        <v/>
      </c>
      <c r="D50" s="72" t="str">
        <f aca="false">IF(AND(Xero_Raw!$C$31="Bill",Xero_Raw!$I$31&lt;&gt;"Paid"),Xero_Raw!$H$31,"")</f>
        <v/>
      </c>
      <c r="E50" s="71" t="str">
        <f aca="false">IF(AND(Xero_Raw!$C$31="Bill",Xero_Raw!$I$31&lt;&gt;"Paid"),Xero_Raw!$I$31,"")</f>
        <v/>
      </c>
      <c r="F50" s="71" t="str">
        <f aca="false">IF(B50="","",MAX($C$4-B50,0))</f>
        <v/>
      </c>
      <c r="G50" s="37" t="str">
        <f aca="false">IF(F50="","",IF(F50&lt;=30,"0-30",IF(F50&lt;=60,"31-60",IF(F50&lt;=90,"61-90","90+"))))</f>
        <v/>
      </c>
    </row>
    <row r="51" customFormat="false" ht="15" hidden="false" customHeight="true" outlineLevel="0" collapsed="false">
      <c r="A51" s="70" t="str">
        <f aca="false">IF(AND(Xero_Raw!$C$32="Bill",Xero_Raw!$I$32&lt;&gt;"Paid"),Xero_Raw!$A$32,"")</f>
        <v/>
      </c>
      <c r="B51" s="70" t="str">
        <f aca="false">IF(AND(Xero_Raw!$C$32="Bill",Xero_Raw!$I$32&lt;&gt;"Paid"),Xero_Raw!$A$32+15,"")</f>
        <v/>
      </c>
      <c r="C51" s="71" t="str">
        <f aca="false">IF(AND(Xero_Raw!$C$32="Bill",Xero_Raw!$I$32&lt;&gt;"Paid"),Xero_Raw!$D$32,"")</f>
        <v/>
      </c>
      <c r="D51" s="72" t="str">
        <f aca="false">IF(AND(Xero_Raw!$C$32="Bill",Xero_Raw!$I$32&lt;&gt;"Paid"),Xero_Raw!$H$32,"")</f>
        <v/>
      </c>
      <c r="E51" s="71" t="str">
        <f aca="false">IF(AND(Xero_Raw!$C$32="Bill",Xero_Raw!$I$32&lt;&gt;"Paid"),Xero_Raw!$I$32,"")</f>
        <v/>
      </c>
      <c r="F51" s="71" t="str">
        <f aca="false">IF(B51="","",MAX($C$4-B51,0))</f>
        <v/>
      </c>
      <c r="G51" s="37" t="str">
        <f aca="false">IF(F51="","",IF(F51&lt;=30,"0-30",IF(F51&lt;=60,"31-60",IF(F51&lt;=90,"61-90","90+"))))</f>
        <v/>
      </c>
    </row>
    <row r="52" customFormat="false" ht="15" hidden="false" customHeight="true" outlineLevel="0" collapsed="false">
      <c r="A52" s="70" t="str">
        <f aca="false">IF(AND(Xero_Raw!$C$33="Bill",Xero_Raw!$I$33&lt;&gt;"Paid"),Xero_Raw!$A$33,"")</f>
        <v/>
      </c>
      <c r="B52" s="70" t="str">
        <f aca="false">IF(AND(Xero_Raw!$C$33="Bill",Xero_Raw!$I$33&lt;&gt;"Paid"),Xero_Raw!$A$33+15,"")</f>
        <v/>
      </c>
      <c r="C52" s="71" t="str">
        <f aca="false">IF(AND(Xero_Raw!$C$33="Bill",Xero_Raw!$I$33&lt;&gt;"Paid"),Xero_Raw!$D$33,"")</f>
        <v/>
      </c>
      <c r="D52" s="72" t="str">
        <f aca="false">IF(AND(Xero_Raw!$C$33="Bill",Xero_Raw!$I$33&lt;&gt;"Paid"),Xero_Raw!$H$33,"")</f>
        <v/>
      </c>
      <c r="E52" s="71" t="str">
        <f aca="false">IF(AND(Xero_Raw!$C$33="Bill",Xero_Raw!$I$33&lt;&gt;"Paid"),Xero_Raw!$I$33,"")</f>
        <v/>
      </c>
      <c r="F52" s="71" t="str">
        <f aca="false">IF(B52="","",MAX($C$4-B52,0))</f>
        <v/>
      </c>
      <c r="G52" s="37" t="str">
        <f aca="false">IF(F52="","",IF(F52&lt;=30,"0-30",IF(F52&lt;=60,"31-60",IF(F52&lt;=90,"61-90","90+"))))</f>
        <v/>
      </c>
    </row>
    <row r="53" customFormat="false" ht="15" hidden="false" customHeight="true" outlineLevel="0" collapsed="false">
      <c r="A53" s="70" t="str">
        <f aca="false">IF(AND(Xero_Raw!$C$34="Bill",Xero_Raw!$I$34&lt;&gt;"Paid"),Xero_Raw!$A$34,"")</f>
        <v/>
      </c>
      <c r="B53" s="70" t="str">
        <f aca="false">IF(AND(Xero_Raw!$C$34="Bill",Xero_Raw!$I$34&lt;&gt;"Paid"),Xero_Raw!$A$34+15,"")</f>
        <v/>
      </c>
      <c r="C53" s="71" t="str">
        <f aca="false">IF(AND(Xero_Raw!$C$34="Bill",Xero_Raw!$I$34&lt;&gt;"Paid"),Xero_Raw!$D$34,"")</f>
        <v/>
      </c>
      <c r="D53" s="72" t="str">
        <f aca="false">IF(AND(Xero_Raw!$C$34="Bill",Xero_Raw!$I$34&lt;&gt;"Paid"),Xero_Raw!$H$34,"")</f>
        <v/>
      </c>
      <c r="E53" s="71" t="str">
        <f aca="false">IF(AND(Xero_Raw!$C$34="Bill",Xero_Raw!$I$34&lt;&gt;"Paid"),Xero_Raw!$I$34,"")</f>
        <v/>
      </c>
      <c r="F53" s="71" t="str">
        <f aca="false">IF(B53="","",MAX($C$4-B53,0))</f>
        <v/>
      </c>
      <c r="G53" s="37" t="str">
        <f aca="false">IF(F53="","",IF(F53&lt;=30,"0-30",IF(F53&lt;=60,"31-60",IF(F53&lt;=90,"61-90","90+"))))</f>
        <v/>
      </c>
    </row>
    <row r="54" customFormat="false" ht="15" hidden="false" customHeight="true" outlineLevel="0" collapsed="false">
      <c r="A54" s="70" t="str">
        <f aca="false">IF(AND(Xero_Raw!$C$35="Bill",Xero_Raw!$I$35&lt;&gt;"Paid"),Xero_Raw!$A$35,"")</f>
        <v/>
      </c>
      <c r="B54" s="70" t="str">
        <f aca="false">IF(AND(Xero_Raw!$C$35="Bill",Xero_Raw!$I$35&lt;&gt;"Paid"),Xero_Raw!$A$35+15,"")</f>
        <v/>
      </c>
      <c r="C54" s="71" t="str">
        <f aca="false">IF(AND(Xero_Raw!$C$35="Bill",Xero_Raw!$I$35&lt;&gt;"Paid"),Xero_Raw!$D$35,"")</f>
        <v/>
      </c>
      <c r="D54" s="72" t="str">
        <f aca="false">IF(AND(Xero_Raw!$C$35="Bill",Xero_Raw!$I$35&lt;&gt;"Paid"),Xero_Raw!$H$35,"")</f>
        <v/>
      </c>
      <c r="E54" s="71" t="str">
        <f aca="false">IF(AND(Xero_Raw!$C$35="Bill",Xero_Raw!$I$35&lt;&gt;"Paid"),Xero_Raw!$I$35,"")</f>
        <v/>
      </c>
      <c r="F54" s="71" t="str">
        <f aca="false">IF(B54="","",MAX($C$4-B54,0))</f>
        <v/>
      </c>
      <c r="G54" s="37" t="str">
        <f aca="false">IF(F54="","",IF(F54&lt;=30,"0-30",IF(F54&lt;=60,"31-60",IF(F54&lt;=90,"61-90","90+"))))</f>
        <v/>
      </c>
    </row>
    <row r="55" customFormat="false" ht="15" hidden="false" customHeight="true" outlineLevel="0" collapsed="false">
      <c r="A55" s="70" t="str">
        <f aca="false">IF(AND(Xero_Raw!$C$36="Bill",Xero_Raw!$I$36&lt;&gt;"Paid"),Xero_Raw!$A$36,"")</f>
        <v/>
      </c>
      <c r="B55" s="70" t="str">
        <f aca="false">IF(AND(Xero_Raw!$C$36="Bill",Xero_Raw!$I$36&lt;&gt;"Paid"),Xero_Raw!$A$36+15,"")</f>
        <v/>
      </c>
      <c r="C55" s="71" t="str">
        <f aca="false">IF(AND(Xero_Raw!$C$36="Bill",Xero_Raw!$I$36&lt;&gt;"Paid"),Xero_Raw!$D$36,"")</f>
        <v/>
      </c>
      <c r="D55" s="72" t="str">
        <f aca="false">IF(AND(Xero_Raw!$C$36="Bill",Xero_Raw!$I$36&lt;&gt;"Paid"),Xero_Raw!$H$36,"")</f>
        <v/>
      </c>
      <c r="E55" s="71" t="str">
        <f aca="false">IF(AND(Xero_Raw!$C$36="Bill",Xero_Raw!$I$36&lt;&gt;"Paid"),Xero_Raw!$I$36,"")</f>
        <v/>
      </c>
      <c r="F55" s="71" t="str">
        <f aca="false">IF(B55="","",MAX($C$4-B55,0))</f>
        <v/>
      </c>
      <c r="G55" s="37" t="str">
        <f aca="false">IF(F55="","",IF(F55&lt;=30,"0-30",IF(F55&lt;=60,"31-60",IF(F55&lt;=90,"61-90","90+"))))</f>
        <v/>
      </c>
    </row>
    <row r="56" customFormat="false" ht="15" hidden="false" customHeight="true" outlineLevel="0" collapsed="false">
      <c r="A56" s="70" t="str">
        <f aca="false">IF(AND(Xero_Raw!$C$37="Bill",Xero_Raw!$I$37&lt;&gt;"Paid"),Xero_Raw!$A$37,"")</f>
        <v/>
      </c>
      <c r="B56" s="70" t="str">
        <f aca="false">IF(AND(Xero_Raw!$C$37="Bill",Xero_Raw!$I$37&lt;&gt;"Paid"),Xero_Raw!$A$37+15,"")</f>
        <v/>
      </c>
      <c r="C56" s="71" t="str">
        <f aca="false">IF(AND(Xero_Raw!$C$37="Bill",Xero_Raw!$I$37&lt;&gt;"Paid"),Xero_Raw!$D$37,"")</f>
        <v/>
      </c>
      <c r="D56" s="72" t="str">
        <f aca="false">IF(AND(Xero_Raw!$C$37="Bill",Xero_Raw!$I$37&lt;&gt;"Paid"),Xero_Raw!$H$37,"")</f>
        <v/>
      </c>
      <c r="E56" s="71" t="str">
        <f aca="false">IF(AND(Xero_Raw!$C$37="Bill",Xero_Raw!$I$37&lt;&gt;"Paid"),Xero_Raw!$I$37,"")</f>
        <v/>
      </c>
      <c r="F56" s="71" t="str">
        <f aca="false">IF(B56="","",MAX($C$4-B56,0))</f>
        <v/>
      </c>
      <c r="G56" s="37" t="str">
        <f aca="false">IF(F56="","",IF(F56&lt;=30,"0-30",IF(F56&lt;=60,"31-60",IF(F56&lt;=90,"61-90","90+"))))</f>
        <v/>
      </c>
    </row>
    <row r="57" customFormat="false" ht="15" hidden="false" customHeight="true" outlineLevel="0" collapsed="false">
      <c r="A57" s="70" t="str">
        <f aca="false">IF(AND(Xero_Raw!$C$38="Bill",Xero_Raw!$I$38&lt;&gt;"Paid"),Xero_Raw!$A$38,"")</f>
        <v/>
      </c>
      <c r="B57" s="70" t="str">
        <f aca="false">IF(AND(Xero_Raw!$C$38="Bill",Xero_Raw!$I$38&lt;&gt;"Paid"),Xero_Raw!$A$38+15,"")</f>
        <v/>
      </c>
      <c r="C57" s="71" t="str">
        <f aca="false">IF(AND(Xero_Raw!$C$38="Bill",Xero_Raw!$I$38&lt;&gt;"Paid"),Xero_Raw!$D$38,"")</f>
        <v/>
      </c>
      <c r="D57" s="72" t="str">
        <f aca="false">IF(AND(Xero_Raw!$C$38="Bill",Xero_Raw!$I$38&lt;&gt;"Paid"),Xero_Raw!$H$38,"")</f>
        <v/>
      </c>
      <c r="E57" s="71" t="str">
        <f aca="false">IF(AND(Xero_Raw!$C$38="Bill",Xero_Raw!$I$38&lt;&gt;"Paid"),Xero_Raw!$I$38,"")</f>
        <v/>
      </c>
      <c r="F57" s="71" t="str">
        <f aca="false">IF(B57="","",MAX($C$4-B57,0))</f>
        <v/>
      </c>
      <c r="G57" s="37" t="str">
        <f aca="false">IF(F57="","",IF(F57&lt;=30,"0-30",IF(F57&lt;=60,"31-60",IF(F57&lt;=90,"61-90","90+"))))</f>
        <v/>
      </c>
    </row>
    <row r="58" customFormat="false" ht="15" hidden="false" customHeight="true" outlineLevel="0" collapsed="false">
      <c r="A58" s="70" t="str">
        <f aca="false">IF(AND(Xero_Raw!$C$39="Bill",Xero_Raw!$I$39&lt;&gt;"Paid"),Xero_Raw!$A$39,"")</f>
        <v/>
      </c>
      <c r="B58" s="70" t="str">
        <f aca="false">IF(AND(Xero_Raw!$C$39="Bill",Xero_Raw!$I$39&lt;&gt;"Paid"),Xero_Raw!$A$39+15,"")</f>
        <v/>
      </c>
      <c r="C58" s="71" t="str">
        <f aca="false">IF(AND(Xero_Raw!$C$39="Bill",Xero_Raw!$I$39&lt;&gt;"Paid"),Xero_Raw!$D$39,"")</f>
        <v/>
      </c>
      <c r="D58" s="72" t="str">
        <f aca="false">IF(AND(Xero_Raw!$C$39="Bill",Xero_Raw!$I$39&lt;&gt;"Paid"),Xero_Raw!$H$39,"")</f>
        <v/>
      </c>
      <c r="E58" s="71" t="str">
        <f aca="false">IF(AND(Xero_Raw!$C$39="Bill",Xero_Raw!$I$39&lt;&gt;"Paid"),Xero_Raw!$I$39,"")</f>
        <v/>
      </c>
      <c r="F58" s="71" t="str">
        <f aca="false">IF(B58="","",MAX($C$4-B58,0))</f>
        <v/>
      </c>
      <c r="G58" s="37" t="str">
        <f aca="false">IF(F58="","",IF(F58&lt;=30,"0-30",IF(F58&lt;=60,"31-60",IF(F58&lt;=90,"61-90","90+"))))</f>
        <v/>
      </c>
    </row>
    <row r="59" customFormat="false" ht="15" hidden="false" customHeight="true" outlineLevel="0" collapsed="false">
      <c r="A59" s="70" t="str">
        <f aca="false">IF(AND(Xero_Raw!$C$40="Bill",Xero_Raw!$I$40&lt;&gt;"Paid"),Xero_Raw!$A$40,"")</f>
        <v/>
      </c>
      <c r="B59" s="70" t="str">
        <f aca="false">IF(AND(Xero_Raw!$C$40="Bill",Xero_Raw!$I$40&lt;&gt;"Paid"),Xero_Raw!$A$40+15,"")</f>
        <v/>
      </c>
      <c r="C59" s="71" t="str">
        <f aca="false">IF(AND(Xero_Raw!$C$40="Bill",Xero_Raw!$I$40&lt;&gt;"Paid"),Xero_Raw!$D$40,"")</f>
        <v/>
      </c>
      <c r="D59" s="72" t="str">
        <f aca="false">IF(AND(Xero_Raw!$C$40="Bill",Xero_Raw!$I$40&lt;&gt;"Paid"),Xero_Raw!$H$40,"")</f>
        <v/>
      </c>
      <c r="E59" s="71" t="str">
        <f aca="false">IF(AND(Xero_Raw!$C$40="Bill",Xero_Raw!$I$40&lt;&gt;"Paid"),Xero_Raw!$I$40,"")</f>
        <v/>
      </c>
      <c r="F59" s="71" t="str">
        <f aca="false">IF(B59="","",MAX($C$4-B59,0))</f>
        <v/>
      </c>
      <c r="G59" s="37" t="str">
        <f aca="false">IF(F59="","",IF(F59&lt;=30,"0-30",IF(F59&lt;=60,"31-60",IF(F59&lt;=90,"61-90","90+"))))</f>
        <v/>
      </c>
    </row>
    <row r="60" customFormat="false" ht="15" hidden="false" customHeight="true" outlineLevel="0" collapsed="false">
      <c r="A60" s="70" t="str">
        <f aca="false">IF(AND(Xero_Raw!$C$41="Bill",Xero_Raw!$I$41&lt;&gt;"Paid"),Xero_Raw!$A$41,"")</f>
        <v/>
      </c>
      <c r="B60" s="70" t="str">
        <f aca="false">IF(AND(Xero_Raw!$C$41="Bill",Xero_Raw!$I$41&lt;&gt;"Paid"),Xero_Raw!$A$41+15,"")</f>
        <v/>
      </c>
      <c r="C60" s="71" t="str">
        <f aca="false">IF(AND(Xero_Raw!$C$41="Bill",Xero_Raw!$I$41&lt;&gt;"Paid"),Xero_Raw!$D$41,"")</f>
        <v/>
      </c>
      <c r="D60" s="72" t="str">
        <f aca="false">IF(AND(Xero_Raw!$C$41="Bill",Xero_Raw!$I$41&lt;&gt;"Paid"),Xero_Raw!$H$41,"")</f>
        <v/>
      </c>
      <c r="E60" s="71" t="str">
        <f aca="false">IF(AND(Xero_Raw!$C$41="Bill",Xero_Raw!$I$41&lt;&gt;"Paid"),Xero_Raw!$I$41,"")</f>
        <v/>
      </c>
      <c r="F60" s="71" t="str">
        <f aca="false">IF(B60="","",MAX($C$4-B60,0))</f>
        <v/>
      </c>
      <c r="G60" s="37" t="str">
        <f aca="false">IF(F60="","",IF(F60&lt;=30,"0-30",IF(F60&lt;=60,"31-60",IF(F60&lt;=90,"61-90","90+"))))</f>
        <v/>
      </c>
    </row>
    <row r="61" customFormat="false" ht="15" hidden="false" customHeight="true" outlineLevel="0" collapsed="false">
      <c r="A61" s="70" t="str">
        <f aca="false">IF(AND(Xero_Raw!$C$42="Bill",Xero_Raw!$I$42&lt;&gt;"Paid"),Xero_Raw!$A$42,"")</f>
        <v/>
      </c>
      <c r="B61" s="70" t="str">
        <f aca="false">IF(AND(Xero_Raw!$C$42="Bill",Xero_Raw!$I$42&lt;&gt;"Paid"),Xero_Raw!$A$42+15,"")</f>
        <v/>
      </c>
      <c r="C61" s="71" t="str">
        <f aca="false">IF(AND(Xero_Raw!$C$42="Bill",Xero_Raw!$I$42&lt;&gt;"Paid"),Xero_Raw!$D$42,"")</f>
        <v/>
      </c>
      <c r="D61" s="72" t="str">
        <f aca="false">IF(AND(Xero_Raw!$C$42="Bill",Xero_Raw!$I$42&lt;&gt;"Paid"),Xero_Raw!$H$42,"")</f>
        <v/>
      </c>
      <c r="E61" s="71" t="str">
        <f aca="false">IF(AND(Xero_Raw!$C$42="Bill",Xero_Raw!$I$42&lt;&gt;"Paid"),Xero_Raw!$I$42,"")</f>
        <v/>
      </c>
      <c r="F61" s="71" t="str">
        <f aca="false">IF(B61="","",MAX($C$4-B61,0))</f>
        <v/>
      </c>
      <c r="G61" s="37" t="str">
        <f aca="false">IF(F61="","",IF(F61&lt;=30,"0-30",IF(F61&lt;=60,"31-60",IF(F61&lt;=90,"61-90","90+"))))</f>
        <v/>
      </c>
    </row>
    <row r="63" customFormat="false" ht="15" hidden="false" customHeight="true" outlineLevel="0" collapsed="false">
      <c r="A63" s="69" t="s">
        <v>465</v>
      </c>
    </row>
    <row r="64" customFormat="false" ht="19.5" hidden="false" customHeight="true" outlineLevel="0" collapsed="false">
      <c r="A64" s="42" t="s">
        <v>399</v>
      </c>
      <c r="B64" s="42" t="s">
        <v>466</v>
      </c>
      <c r="C64" s="42" t="s">
        <v>467</v>
      </c>
      <c r="D64" s="42" t="s">
        <v>468</v>
      </c>
      <c r="E64" s="42" t="s">
        <v>469</v>
      </c>
      <c r="F64" s="42" t="s">
        <v>470</v>
      </c>
    </row>
    <row r="65" customFormat="false" ht="15" hidden="false" customHeight="true" outlineLevel="0" collapsed="false">
      <c r="A65" s="37" t="s">
        <v>418</v>
      </c>
      <c r="B65" s="73" t="n">
        <f aca="false">SUMPRODUCT((Vendor_Invoices_Upload!$H$4:$H$5003&lt;&gt;"Paid")*(Vendor_Invoices_Upload!$B$4:$B$5003&lt;&gt;"")*(Vendor_Invoices_Upload!$E$4:$E$5003=$A65)*(($C$4-Vendor_Invoices_Upload!$C$4:$C$5003)&lt;=30)*Vendor_Invoices_Upload!$G$4:$G$5003)+SUMPRODUCT((Xero_Raw!$C$4:$C$5003="Bill")*(Xero_Raw!$I$4:$I$5003&lt;&gt;"Paid")*(Xero_Raw!$A$4:$A$5003&lt;&gt;"")*(Xero_Raw!$D$4:$D$5003=$A65)*(($C$4-(Xero_Raw!$A$4:$A$5003+15))&lt;=30)*Xero_Raw!$H$4:$H$5003)</f>
        <v>4149.25</v>
      </c>
      <c r="C65" s="73" t="n">
        <f aca="false">SUMPRODUCT((Vendor_Invoices_Upload!$H$4:$H$5003&lt;&gt;"Paid")*(Vendor_Invoices_Upload!$B$4:$B$5003&lt;&gt;"")*(Vendor_Invoices_Upload!$E$4:$E$5003=$A65)*(($C$4-Vendor_Invoices_Upload!$C$4:$C$5003)&gt;=31)*(($C$4-Vendor_Invoices_Upload!$C$4:$C$5003)&lt;=60)*Vendor_Invoices_Upload!$G$4:$G$5003)+SUMPRODUCT((Xero_Raw!$C$4:$C$5003="Bill")*(Xero_Raw!$I$4:$I$5003&lt;&gt;"Paid")*(Xero_Raw!$A$4:$A$5003&lt;&gt;"")*(Xero_Raw!$D$4:$D$5003=$A65)*(($C$4-(Xero_Raw!$A$4:$A$5003+15))&gt;=31)*(($C$4-(Xero_Raw!$A$4:$A$5003+15))&lt;=60)*Xero_Raw!$H$4:$H$5003)</f>
        <v>0</v>
      </c>
      <c r="D65" s="73" t="n">
        <f aca="false">SUMPRODUCT((Vendor_Invoices_Upload!$H$4:$H$5003&lt;&gt;"Paid")*(Vendor_Invoices_Upload!$B$4:$B$5003&lt;&gt;"")*(Vendor_Invoices_Upload!$E$4:$E$5003=$A65)*(($C$4-Vendor_Invoices_Upload!$C$4:$C$5003)&gt;=61)*(($C$4-Vendor_Invoices_Upload!$C$4:$C$5003)&lt;=90)*Vendor_Invoices_Upload!$G$4:$G$5003)+SUMPRODUCT((Xero_Raw!$C$4:$C$5003="Bill")*(Xero_Raw!$I$4:$I$5003&lt;&gt;"Paid")*(Xero_Raw!$A$4:$A$5003&lt;&gt;"")*(Xero_Raw!$D$4:$D$5003=$A65)*(($C$4-(Xero_Raw!$A$4:$A$5003+15))&gt;=61)*(($C$4-(Xero_Raw!$A$4:$A$5003+15))&lt;=90)*Xero_Raw!$H$4:$H$5003)</f>
        <v>0</v>
      </c>
      <c r="E65" s="73" t="n">
        <f aca="false">SUMPRODUCT((Vendor_Invoices_Upload!$H$4:$H$5003&lt;&gt;"Paid")*(Vendor_Invoices_Upload!$B$4:$B$5003&lt;&gt;"")*(Vendor_Invoices_Upload!$E$4:$E$5003=$A65)*(($C$4-Vendor_Invoices_Upload!$C$4:$C$5003)&gt;=91)*Vendor_Invoices_Upload!$G$4:$G$5003)+SUMPRODUCT((Xero_Raw!$C$4:$C$5003="Bill")*(Xero_Raw!$I$4:$I$5003&lt;&gt;"Paid")*(Xero_Raw!$A$4:$A$5003&lt;&gt;"")*(Xero_Raw!$D$4:$D$5003=$A65)*(($C$4-(Xero_Raw!$A$4:$A$5003+15))&gt;=91)*Xero_Raw!$H$4:$H$5003)</f>
        <v>0</v>
      </c>
      <c r="F65" s="74" t="n">
        <f aca="false">SUM(B65:E65)</f>
        <v>4149.25</v>
      </c>
    </row>
    <row r="66" customFormat="false" ht="15" hidden="false" customHeight="true" outlineLevel="0" collapsed="false">
      <c r="A66" s="37" t="s">
        <v>414</v>
      </c>
      <c r="B66" s="73" t="n">
        <f aca="false">SUMPRODUCT((Vendor_Invoices_Upload!$H$4:$H$5003&lt;&gt;"Paid")*(Vendor_Invoices_Upload!$B$4:$B$5003&lt;&gt;"")*(Vendor_Invoices_Upload!$E$4:$E$5003=$A66)*(($C$4-Vendor_Invoices_Upload!$C$4:$C$5003)&lt;=30)*Vendor_Invoices_Upload!$G$4:$G$5003)+SUMPRODUCT((Xero_Raw!$C$4:$C$5003="Bill")*(Xero_Raw!$I$4:$I$5003&lt;&gt;"Paid")*(Xero_Raw!$A$4:$A$5003&lt;&gt;"")*(Xero_Raw!$D$4:$D$5003=$A66)*(($C$4-(Xero_Raw!$A$4:$A$5003+15))&lt;=30)*Xero_Raw!$H$4:$H$5003)</f>
        <v>0</v>
      </c>
      <c r="C66" s="73" t="n">
        <f aca="false">SUMPRODUCT((Vendor_Invoices_Upload!$H$4:$H$5003&lt;&gt;"Paid")*(Vendor_Invoices_Upload!$B$4:$B$5003&lt;&gt;"")*(Vendor_Invoices_Upload!$E$4:$E$5003=$A66)*(($C$4-Vendor_Invoices_Upload!$C$4:$C$5003)&gt;=31)*(($C$4-Vendor_Invoices_Upload!$C$4:$C$5003)&lt;=60)*Vendor_Invoices_Upload!$G$4:$G$5003)+SUMPRODUCT((Xero_Raw!$C$4:$C$5003="Bill")*(Xero_Raw!$I$4:$I$5003&lt;&gt;"Paid")*(Xero_Raw!$A$4:$A$5003&lt;&gt;"")*(Xero_Raw!$D$4:$D$5003=$A66)*(($C$4-(Xero_Raw!$A$4:$A$5003+15))&gt;=31)*(($C$4-(Xero_Raw!$A$4:$A$5003+15))&lt;=60)*Xero_Raw!$H$4:$H$5003)</f>
        <v>4441.12</v>
      </c>
      <c r="D66" s="73" t="n">
        <f aca="false">SUMPRODUCT((Vendor_Invoices_Upload!$H$4:$H$5003&lt;&gt;"Paid")*(Vendor_Invoices_Upload!$B$4:$B$5003&lt;&gt;"")*(Vendor_Invoices_Upload!$E$4:$E$5003=$A66)*(($C$4-Vendor_Invoices_Upload!$C$4:$C$5003)&gt;=61)*(($C$4-Vendor_Invoices_Upload!$C$4:$C$5003)&lt;=90)*Vendor_Invoices_Upload!$G$4:$G$5003)+SUMPRODUCT((Xero_Raw!$C$4:$C$5003="Bill")*(Xero_Raw!$I$4:$I$5003&lt;&gt;"Paid")*(Xero_Raw!$A$4:$A$5003&lt;&gt;"")*(Xero_Raw!$D$4:$D$5003=$A66)*(($C$4-(Xero_Raw!$A$4:$A$5003+15))&gt;=61)*(($C$4-(Xero_Raw!$A$4:$A$5003+15))&lt;=90)*Xero_Raw!$H$4:$H$5003)</f>
        <v>0</v>
      </c>
      <c r="E66" s="73" t="n">
        <f aca="false">SUMPRODUCT((Vendor_Invoices_Upload!$H$4:$H$5003&lt;&gt;"Paid")*(Vendor_Invoices_Upload!$B$4:$B$5003&lt;&gt;"")*(Vendor_Invoices_Upload!$E$4:$E$5003=$A66)*(($C$4-Vendor_Invoices_Upload!$C$4:$C$5003)&gt;=91)*Vendor_Invoices_Upload!$G$4:$G$5003)+SUMPRODUCT((Xero_Raw!$C$4:$C$5003="Bill")*(Xero_Raw!$I$4:$I$5003&lt;&gt;"Paid")*(Xero_Raw!$A$4:$A$5003&lt;&gt;"")*(Xero_Raw!$D$4:$D$5003=$A66)*(($C$4-(Xero_Raw!$A$4:$A$5003+15))&gt;=91)*Xero_Raw!$H$4:$H$5003)</f>
        <v>0</v>
      </c>
      <c r="F66" s="74" t="n">
        <f aca="false">SUM(B66:E66)</f>
        <v>4441.12</v>
      </c>
    </row>
    <row r="67" customFormat="false" ht="15" hidden="false" customHeight="true" outlineLevel="0" collapsed="false">
      <c r="A67" s="37" t="s">
        <v>406</v>
      </c>
      <c r="B67" s="73" t="n">
        <f aca="false">SUMPRODUCT((Vendor_Invoices_Upload!$H$4:$H$5003&lt;&gt;"Paid")*(Vendor_Invoices_Upload!$B$4:$B$5003&lt;&gt;"")*(Vendor_Invoices_Upload!$E$4:$E$5003=$A67)*(($C$4-Vendor_Invoices_Upload!$C$4:$C$5003)&lt;=30)*Vendor_Invoices_Upload!$G$4:$G$5003)+SUMPRODUCT((Xero_Raw!$C$4:$C$5003="Bill")*(Xero_Raw!$I$4:$I$5003&lt;&gt;"Paid")*(Xero_Raw!$A$4:$A$5003&lt;&gt;"")*(Xero_Raw!$D$4:$D$5003=$A67)*(($C$4-(Xero_Raw!$A$4:$A$5003+15))&lt;=30)*Xero_Raw!$H$4:$H$5003)</f>
        <v>0</v>
      </c>
      <c r="C67" s="73" t="n">
        <f aca="false">SUMPRODUCT((Vendor_Invoices_Upload!$H$4:$H$5003&lt;&gt;"Paid")*(Vendor_Invoices_Upload!$B$4:$B$5003&lt;&gt;"")*(Vendor_Invoices_Upload!$E$4:$E$5003=$A67)*(($C$4-Vendor_Invoices_Upload!$C$4:$C$5003)&gt;=31)*(($C$4-Vendor_Invoices_Upload!$C$4:$C$5003)&lt;=60)*Vendor_Invoices_Upload!$G$4:$G$5003)+SUMPRODUCT((Xero_Raw!$C$4:$C$5003="Bill")*(Xero_Raw!$I$4:$I$5003&lt;&gt;"Paid")*(Xero_Raw!$A$4:$A$5003&lt;&gt;"")*(Xero_Raw!$D$4:$D$5003=$A67)*(($C$4-(Xero_Raw!$A$4:$A$5003+15))&gt;=31)*(($C$4-(Xero_Raw!$A$4:$A$5003+15))&lt;=60)*Xero_Raw!$H$4:$H$5003)</f>
        <v>0</v>
      </c>
      <c r="D67" s="73" t="n">
        <f aca="false">SUMPRODUCT((Vendor_Invoices_Upload!$H$4:$H$5003&lt;&gt;"Paid")*(Vendor_Invoices_Upload!$B$4:$B$5003&lt;&gt;"")*(Vendor_Invoices_Upload!$E$4:$E$5003=$A67)*(($C$4-Vendor_Invoices_Upload!$C$4:$C$5003)&gt;=61)*(($C$4-Vendor_Invoices_Upload!$C$4:$C$5003)&lt;=90)*Vendor_Invoices_Upload!$G$4:$G$5003)+SUMPRODUCT((Xero_Raw!$C$4:$C$5003="Bill")*(Xero_Raw!$I$4:$I$5003&lt;&gt;"Paid")*(Xero_Raw!$A$4:$A$5003&lt;&gt;"")*(Xero_Raw!$D$4:$D$5003=$A67)*(($C$4-(Xero_Raw!$A$4:$A$5003+15))&gt;=61)*(($C$4-(Xero_Raw!$A$4:$A$5003+15))&lt;=90)*Xero_Raw!$H$4:$H$5003)</f>
        <v>0</v>
      </c>
      <c r="E67" s="73" t="n">
        <f aca="false">SUMPRODUCT((Vendor_Invoices_Upload!$H$4:$H$5003&lt;&gt;"Paid")*(Vendor_Invoices_Upload!$B$4:$B$5003&lt;&gt;"")*(Vendor_Invoices_Upload!$E$4:$E$5003=$A67)*(($C$4-Vendor_Invoices_Upload!$C$4:$C$5003)&gt;=91)*Vendor_Invoices_Upload!$G$4:$G$5003)+SUMPRODUCT((Xero_Raw!$C$4:$C$5003="Bill")*(Xero_Raw!$I$4:$I$5003&lt;&gt;"Paid")*(Xero_Raw!$A$4:$A$5003&lt;&gt;"")*(Xero_Raw!$D$4:$D$5003=$A67)*(($C$4-(Xero_Raw!$A$4:$A$5003+15))&gt;=91)*Xero_Raw!$H$4:$H$5003)</f>
        <v>0</v>
      </c>
      <c r="F67" s="74" t="n">
        <f aca="false">SUM(B67:E67)</f>
        <v>0</v>
      </c>
    </row>
    <row r="68" customFormat="false" ht="15" hidden="false" customHeight="true" outlineLevel="0" collapsed="false">
      <c r="A68" s="37" t="s">
        <v>471</v>
      </c>
      <c r="B68" s="73" t="n">
        <f aca="false">SUMPRODUCT((Vendor_Invoices_Upload!$H$4:$H$5003&lt;&gt;"Paid")*(Vendor_Invoices_Upload!$B$4:$B$5003&lt;&gt;"")*(Vendor_Invoices_Upload!$E$4:$E$5003=$A68)*(($C$4-Vendor_Invoices_Upload!$C$4:$C$5003)&lt;=30)*Vendor_Invoices_Upload!$G$4:$G$5003)+SUMPRODUCT((Xero_Raw!$C$4:$C$5003="Bill")*(Xero_Raw!$I$4:$I$5003&lt;&gt;"Paid")*(Xero_Raw!$A$4:$A$5003&lt;&gt;"")*(Xero_Raw!$D$4:$D$5003=$A68)*(($C$4-(Xero_Raw!$A$4:$A$5003+15))&lt;=30)*Xero_Raw!$H$4:$H$5003)</f>
        <v>0</v>
      </c>
      <c r="C68" s="73" t="n">
        <f aca="false">SUMPRODUCT((Vendor_Invoices_Upload!$H$4:$H$5003&lt;&gt;"Paid")*(Vendor_Invoices_Upload!$B$4:$B$5003&lt;&gt;"")*(Vendor_Invoices_Upload!$E$4:$E$5003=$A68)*(($C$4-Vendor_Invoices_Upload!$C$4:$C$5003)&gt;=31)*(($C$4-Vendor_Invoices_Upload!$C$4:$C$5003)&lt;=60)*Vendor_Invoices_Upload!$G$4:$G$5003)+SUMPRODUCT((Xero_Raw!$C$4:$C$5003="Bill")*(Xero_Raw!$I$4:$I$5003&lt;&gt;"Paid")*(Xero_Raw!$A$4:$A$5003&lt;&gt;"")*(Xero_Raw!$D$4:$D$5003=$A68)*(($C$4-(Xero_Raw!$A$4:$A$5003+15))&gt;=31)*(($C$4-(Xero_Raw!$A$4:$A$5003+15))&lt;=60)*Xero_Raw!$H$4:$H$5003)</f>
        <v>0</v>
      </c>
      <c r="D68" s="73" t="n">
        <f aca="false">SUMPRODUCT((Vendor_Invoices_Upload!$H$4:$H$5003&lt;&gt;"Paid")*(Vendor_Invoices_Upload!$B$4:$B$5003&lt;&gt;"")*(Vendor_Invoices_Upload!$E$4:$E$5003=$A68)*(($C$4-Vendor_Invoices_Upload!$C$4:$C$5003)&gt;=61)*(($C$4-Vendor_Invoices_Upload!$C$4:$C$5003)&lt;=90)*Vendor_Invoices_Upload!$G$4:$G$5003)+SUMPRODUCT((Xero_Raw!$C$4:$C$5003="Bill")*(Xero_Raw!$I$4:$I$5003&lt;&gt;"Paid")*(Xero_Raw!$A$4:$A$5003&lt;&gt;"")*(Xero_Raw!$D$4:$D$5003=$A68)*(($C$4-(Xero_Raw!$A$4:$A$5003+15))&gt;=61)*(($C$4-(Xero_Raw!$A$4:$A$5003+15))&lt;=90)*Xero_Raw!$H$4:$H$5003)</f>
        <v>0</v>
      </c>
      <c r="E68" s="73" t="n">
        <f aca="false">SUMPRODUCT((Vendor_Invoices_Upload!$H$4:$H$5003&lt;&gt;"Paid")*(Vendor_Invoices_Upload!$B$4:$B$5003&lt;&gt;"")*(Vendor_Invoices_Upload!$E$4:$E$5003=$A68)*(($C$4-Vendor_Invoices_Upload!$C$4:$C$5003)&gt;=91)*Vendor_Invoices_Upload!$G$4:$G$5003)+SUMPRODUCT((Xero_Raw!$C$4:$C$5003="Bill")*(Xero_Raw!$I$4:$I$5003&lt;&gt;"Paid")*(Xero_Raw!$A$4:$A$5003&lt;&gt;"")*(Xero_Raw!$D$4:$D$5003=$A68)*(($C$4-(Xero_Raw!$A$4:$A$5003+15))&gt;=91)*Xero_Raw!$H$4:$H$5003)</f>
        <v>0</v>
      </c>
      <c r="F68" s="74" t="n">
        <f aca="false">SUM(B68:E68)</f>
        <v>0</v>
      </c>
    </row>
    <row r="69" customFormat="false" ht="15" hidden="false" customHeight="true" outlineLevel="0" collapsed="false">
      <c r="A69" s="37" t="s">
        <v>402</v>
      </c>
      <c r="B69" s="73" t="n">
        <f aca="false">SUMPRODUCT((Vendor_Invoices_Upload!$H$4:$H$5003&lt;&gt;"Paid")*(Vendor_Invoices_Upload!$B$4:$B$5003&lt;&gt;"")*(Vendor_Invoices_Upload!$E$4:$E$5003=$A69)*(($C$4-Vendor_Invoices_Upload!$C$4:$C$5003)&lt;=30)*Vendor_Invoices_Upload!$G$4:$G$5003)+SUMPRODUCT((Xero_Raw!$C$4:$C$5003="Bill")*(Xero_Raw!$I$4:$I$5003&lt;&gt;"Paid")*(Xero_Raw!$A$4:$A$5003&lt;&gt;"")*(Xero_Raw!$D$4:$D$5003=$A69)*(($C$4-(Xero_Raw!$A$4:$A$5003+15))&lt;=30)*Xero_Raw!$H$4:$H$5003)</f>
        <v>3442.89</v>
      </c>
      <c r="C69" s="73" t="n">
        <f aca="false">SUMPRODUCT((Vendor_Invoices_Upload!$H$4:$H$5003&lt;&gt;"Paid")*(Vendor_Invoices_Upload!$B$4:$B$5003&lt;&gt;"")*(Vendor_Invoices_Upload!$E$4:$E$5003=$A69)*(($C$4-Vendor_Invoices_Upload!$C$4:$C$5003)&gt;=31)*(($C$4-Vendor_Invoices_Upload!$C$4:$C$5003)&lt;=60)*Vendor_Invoices_Upload!$G$4:$G$5003)+SUMPRODUCT((Xero_Raw!$C$4:$C$5003="Bill")*(Xero_Raw!$I$4:$I$5003&lt;&gt;"Paid")*(Xero_Raw!$A$4:$A$5003&lt;&gt;"")*(Xero_Raw!$D$4:$D$5003=$A69)*(($C$4-(Xero_Raw!$A$4:$A$5003+15))&gt;=31)*(($C$4-(Xero_Raw!$A$4:$A$5003+15))&lt;=60)*Xero_Raw!$H$4:$H$5003)</f>
        <v>0</v>
      </c>
      <c r="D69" s="73" t="n">
        <f aca="false">SUMPRODUCT((Vendor_Invoices_Upload!$H$4:$H$5003&lt;&gt;"Paid")*(Vendor_Invoices_Upload!$B$4:$B$5003&lt;&gt;"")*(Vendor_Invoices_Upload!$E$4:$E$5003=$A69)*(($C$4-Vendor_Invoices_Upload!$C$4:$C$5003)&gt;=61)*(($C$4-Vendor_Invoices_Upload!$C$4:$C$5003)&lt;=90)*Vendor_Invoices_Upload!$G$4:$G$5003)+SUMPRODUCT((Xero_Raw!$C$4:$C$5003="Bill")*(Xero_Raw!$I$4:$I$5003&lt;&gt;"Paid")*(Xero_Raw!$A$4:$A$5003&lt;&gt;"")*(Xero_Raw!$D$4:$D$5003=$A69)*(($C$4-(Xero_Raw!$A$4:$A$5003+15))&gt;=61)*(($C$4-(Xero_Raw!$A$4:$A$5003+15))&lt;=90)*Xero_Raw!$H$4:$H$5003)</f>
        <v>0</v>
      </c>
      <c r="E69" s="73" t="n">
        <f aca="false">SUMPRODUCT((Vendor_Invoices_Upload!$H$4:$H$5003&lt;&gt;"Paid")*(Vendor_Invoices_Upload!$B$4:$B$5003&lt;&gt;"")*(Vendor_Invoices_Upload!$E$4:$E$5003=$A69)*(($C$4-Vendor_Invoices_Upload!$C$4:$C$5003)&gt;=91)*Vendor_Invoices_Upload!$G$4:$G$5003)+SUMPRODUCT((Xero_Raw!$C$4:$C$5003="Bill")*(Xero_Raw!$I$4:$I$5003&lt;&gt;"Paid")*(Xero_Raw!$A$4:$A$5003&lt;&gt;"")*(Xero_Raw!$D$4:$D$5003=$A69)*(($C$4-(Xero_Raw!$A$4:$A$5003+15))&gt;=91)*Xero_Raw!$H$4:$H$5003)</f>
        <v>0</v>
      </c>
      <c r="F69" s="74" t="n">
        <f aca="false">SUM(B69:E69)</f>
        <v>3442.89</v>
      </c>
    </row>
    <row r="70" customFormat="false" ht="15" hidden="false" customHeight="true" outlineLevel="0" collapsed="false">
      <c r="A70" s="37" t="s">
        <v>210</v>
      </c>
      <c r="B70" s="73" t="n">
        <f aca="false">SUMPRODUCT((Vendor_Invoices_Upload!$H$4:$H$5003&lt;&gt;"Paid")*(Vendor_Invoices_Upload!$B$4:$B$5003&lt;&gt;"")*(Vendor_Invoices_Upload!$E$4:$E$5003=$A70)*(($C$4-Vendor_Invoices_Upload!$C$4:$C$5003)&lt;=30)*Vendor_Invoices_Upload!$G$4:$G$5003)+SUMPRODUCT((Xero_Raw!$C$4:$C$5003="Bill")*(Xero_Raw!$I$4:$I$5003&lt;&gt;"Paid")*(Xero_Raw!$A$4:$A$5003&lt;&gt;"")*(Xero_Raw!$D$4:$D$5003=$A70)*(($C$4-(Xero_Raw!$A$4:$A$5003+15))&lt;=30)*Xero_Raw!$H$4:$H$5003)</f>
        <v>0</v>
      </c>
      <c r="C70" s="73" t="n">
        <f aca="false">SUMPRODUCT((Vendor_Invoices_Upload!$H$4:$H$5003&lt;&gt;"Paid")*(Vendor_Invoices_Upload!$B$4:$B$5003&lt;&gt;"")*(Vendor_Invoices_Upload!$E$4:$E$5003=$A70)*(($C$4-Vendor_Invoices_Upload!$C$4:$C$5003)&gt;=31)*(($C$4-Vendor_Invoices_Upload!$C$4:$C$5003)&lt;=60)*Vendor_Invoices_Upload!$G$4:$G$5003)+SUMPRODUCT((Xero_Raw!$C$4:$C$5003="Bill")*(Xero_Raw!$I$4:$I$5003&lt;&gt;"Paid")*(Xero_Raw!$A$4:$A$5003&lt;&gt;"")*(Xero_Raw!$D$4:$D$5003=$A70)*(($C$4-(Xero_Raw!$A$4:$A$5003+15))&gt;=31)*(($C$4-(Xero_Raw!$A$4:$A$5003+15))&lt;=60)*Xero_Raw!$H$4:$H$5003)</f>
        <v>0</v>
      </c>
      <c r="D70" s="73" t="n">
        <f aca="false">SUMPRODUCT((Vendor_Invoices_Upload!$H$4:$H$5003&lt;&gt;"Paid")*(Vendor_Invoices_Upload!$B$4:$B$5003&lt;&gt;"")*(Vendor_Invoices_Upload!$E$4:$E$5003=$A70)*(($C$4-Vendor_Invoices_Upload!$C$4:$C$5003)&gt;=61)*(($C$4-Vendor_Invoices_Upload!$C$4:$C$5003)&lt;=90)*Vendor_Invoices_Upload!$G$4:$G$5003)+SUMPRODUCT((Xero_Raw!$C$4:$C$5003="Bill")*(Xero_Raw!$I$4:$I$5003&lt;&gt;"Paid")*(Xero_Raw!$A$4:$A$5003&lt;&gt;"")*(Xero_Raw!$D$4:$D$5003=$A70)*(($C$4-(Xero_Raw!$A$4:$A$5003+15))&gt;=61)*(($C$4-(Xero_Raw!$A$4:$A$5003+15))&lt;=90)*Xero_Raw!$H$4:$H$5003)</f>
        <v>0</v>
      </c>
      <c r="E70" s="73" t="n">
        <f aca="false">SUMPRODUCT((Vendor_Invoices_Upload!$H$4:$H$5003&lt;&gt;"Paid")*(Vendor_Invoices_Upload!$B$4:$B$5003&lt;&gt;"")*(Vendor_Invoices_Upload!$E$4:$E$5003=$A70)*(($C$4-Vendor_Invoices_Upload!$C$4:$C$5003)&gt;=91)*Vendor_Invoices_Upload!$G$4:$G$5003)+SUMPRODUCT((Xero_Raw!$C$4:$C$5003="Bill")*(Xero_Raw!$I$4:$I$5003&lt;&gt;"Paid")*(Xero_Raw!$A$4:$A$5003&lt;&gt;"")*(Xero_Raw!$D$4:$D$5003=$A70)*(($C$4-(Xero_Raw!$A$4:$A$5003+15))&gt;=91)*Xero_Raw!$H$4:$H$5003)</f>
        <v>0</v>
      </c>
      <c r="F70" s="74" t="n">
        <f aca="false">SUM(B70:E70)</f>
        <v>0</v>
      </c>
    </row>
    <row r="71" customFormat="false" ht="15" hidden="false" customHeight="true" outlineLevel="0" collapsed="false">
      <c r="A71" s="37" t="s">
        <v>214</v>
      </c>
      <c r="B71" s="73" t="n">
        <f aca="false">SUMPRODUCT((Vendor_Invoices_Upload!$H$4:$H$5003&lt;&gt;"Paid")*(Vendor_Invoices_Upload!$B$4:$B$5003&lt;&gt;"")*(Vendor_Invoices_Upload!$E$4:$E$5003=$A71)*(($C$4-Vendor_Invoices_Upload!$C$4:$C$5003)&lt;=30)*Vendor_Invoices_Upload!$G$4:$G$5003)+SUMPRODUCT((Xero_Raw!$C$4:$C$5003="Bill")*(Xero_Raw!$I$4:$I$5003&lt;&gt;"Paid")*(Xero_Raw!$A$4:$A$5003&lt;&gt;"")*(Xero_Raw!$D$4:$D$5003=$A71)*(($C$4-(Xero_Raw!$A$4:$A$5003+15))&lt;=30)*Xero_Raw!$H$4:$H$5003)</f>
        <v>0</v>
      </c>
      <c r="C71" s="73" t="n">
        <f aca="false">SUMPRODUCT((Vendor_Invoices_Upload!$H$4:$H$5003&lt;&gt;"Paid")*(Vendor_Invoices_Upload!$B$4:$B$5003&lt;&gt;"")*(Vendor_Invoices_Upload!$E$4:$E$5003=$A71)*(($C$4-Vendor_Invoices_Upload!$C$4:$C$5003)&gt;=31)*(($C$4-Vendor_Invoices_Upload!$C$4:$C$5003)&lt;=60)*Vendor_Invoices_Upload!$G$4:$G$5003)+SUMPRODUCT((Xero_Raw!$C$4:$C$5003="Bill")*(Xero_Raw!$I$4:$I$5003&lt;&gt;"Paid")*(Xero_Raw!$A$4:$A$5003&lt;&gt;"")*(Xero_Raw!$D$4:$D$5003=$A71)*(($C$4-(Xero_Raw!$A$4:$A$5003+15))&gt;=31)*(($C$4-(Xero_Raw!$A$4:$A$5003+15))&lt;=60)*Xero_Raw!$H$4:$H$5003)</f>
        <v>0</v>
      </c>
      <c r="D71" s="73" t="n">
        <f aca="false">SUMPRODUCT((Vendor_Invoices_Upload!$H$4:$H$5003&lt;&gt;"Paid")*(Vendor_Invoices_Upload!$B$4:$B$5003&lt;&gt;"")*(Vendor_Invoices_Upload!$E$4:$E$5003=$A71)*(($C$4-Vendor_Invoices_Upload!$C$4:$C$5003)&gt;=61)*(($C$4-Vendor_Invoices_Upload!$C$4:$C$5003)&lt;=90)*Vendor_Invoices_Upload!$G$4:$G$5003)+SUMPRODUCT((Xero_Raw!$C$4:$C$5003="Bill")*(Xero_Raw!$I$4:$I$5003&lt;&gt;"Paid")*(Xero_Raw!$A$4:$A$5003&lt;&gt;"")*(Xero_Raw!$D$4:$D$5003=$A71)*(($C$4-(Xero_Raw!$A$4:$A$5003+15))&gt;=61)*(($C$4-(Xero_Raw!$A$4:$A$5003+15))&lt;=90)*Xero_Raw!$H$4:$H$5003)</f>
        <v>0</v>
      </c>
      <c r="E71" s="73" t="n">
        <f aca="false">SUMPRODUCT((Vendor_Invoices_Upload!$H$4:$H$5003&lt;&gt;"Paid")*(Vendor_Invoices_Upload!$B$4:$B$5003&lt;&gt;"")*(Vendor_Invoices_Upload!$E$4:$E$5003=$A71)*(($C$4-Vendor_Invoices_Upload!$C$4:$C$5003)&gt;=91)*Vendor_Invoices_Upload!$G$4:$G$5003)+SUMPRODUCT((Xero_Raw!$C$4:$C$5003="Bill")*(Xero_Raw!$I$4:$I$5003&lt;&gt;"Paid")*(Xero_Raw!$A$4:$A$5003&lt;&gt;"")*(Xero_Raw!$D$4:$D$5003=$A71)*(($C$4-(Xero_Raw!$A$4:$A$5003+15))&gt;=91)*Xero_Raw!$H$4:$H$5003)</f>
        <v>0</v>
      </c>
      <c r="F71" s="74" t="n">
        <f aca="false">SUM(B71:E71)</f>
        <v>0</v>
      </c>
    </row>
    <row r="72" customFormat="false" ht="15" hidden="false" customHeight="true" outlineLevel="0" collapsed="false">
      <c r="A72" s="37" t="s">
        <v>236</v>
      </c>
      <c r="B72" s="73" t="n">
        <f aca="false">SUMPRODUCT((Vendor_Invoices_Upload!$H$4:$H$5003&lt;&gt;"Paid")*(Vendor_Invoices_Upload!$B$4:$B$5003&lt;&gt;"")*(Vendor_Invoices_Upload!$E$4:$E$5003=$A72)*(($C$4-Vendor_Invoices_Upload!$C$4:$C$5003)&lt;=30)*Vendor_Invoices_Upload!$G$4:$G$5003)+SUMPRODUCT((Xero_Raw!$C$4:$C$5003="Bill")*(Xero_Raw!$I$4:$I$5003&lt;&gt;"Paid")*(Xero_Raw!$A$4:$A$5003&lt;&gt;"")*(Xero_Raw!$D$4:$D$5003=$A72)*(($C$4-(Xero_Raw!$A$4:$A$5003+15))&lt;=30)*Xero_Raw!$H$4:$H$5003)</f>
        <v>0</v>
      </c>
      <c r="C72" s="73" t="n">
        <f aca="false">SUMPRODUCT((Vendor_Invoices_Upload!$H$4:$H$5003&lt;&gt;"Paid")*(Vendor_Invoices_Upload!$B$4:$B$5003&lt;&gt;"")*(Vendor_Invoices_Upload!$E$4:$E$5003=$A72)*(($C$4-Vendor_Invoices_Upload!$C$4:$C$5003)&gt;=31)*(($C$4-Vendor_Invoices_Upload!$C$4:$C$5003)&lt;=60)*Vendor_Invoices_Upload!$G$4:$G$5003)+SUMPRODUCT((Xero_Raw!$C$4:$C$5003="Bill")*(Xero_Raw!$I$4:$I$5003&lt;&gt;"Paid")*(Xero_Raw!$A$4:$A$5003&lt;&gt;"")*(Xero_Raw!$D$4:$D$5003=$A72)*(($C$4-(Xero_Raw!$A$4:$A$5003+15))&gt;=31)*(($C$4-(Xero_Raw!$A$4:$A$5003+15))&lt;=60)*Xero_Raw!$H$4:$H$5003)</f>
        <v>0</v>
      </c>
      <c r="D72" s="73" t="n">
        <f aca="false">SUMPRODUCT((Vendor_Invoices_Upload!$H$4:$H$5003&lt;&gt;"Paid")*(Vendor_Invoices_Upload!$B$4:$B$5003&lt;&gt;"")*(Vendor_Invoices_Upload!$E$4:$E$5003=$A72)*(($C$4-Vendor_Invoices_Upload!$C$4:$C$5003)&gt;=61)*(($C$4-Vendor_Invoices_Upload!$C$4:$C$5003)&lt;=90)*Vendor_Invoices_Upload!$G$4:$G$5003)+SUMPRODUCT((Xero_Raw!$C$4:$C$5003="Bill")*(Xero_Raw!$I$4:$I$5003&lt;&gt;"Paid")*(Xero_Raw!$A$4:$A$5003&lt;&gt;"")*(Xero_Raw!$D$4:$D$5003=$A72)*(($C$4-(Xero_Raw!$A$4:$A$5003+15))&gt;=61)*(($C$4-(Xero_Raw!$A$4:$A$5003+15))&lt;=90)*Xero_Raw!$H$4:$H$5003)</f>
        <v>0</v>
      </c>
      <c r="E72" s="73" t="n">
        <f aca="false">SUMPRODUCT((Vendor_Invoices_Upload!$H$4:$H$5003&lt;&gt;"Paid")*(Vendor_Invoices_Upload!$B$4:$B$5003&lt;&gt;"")*(Vendor_Invoices_Upload!$E$4:$E$5003=$A72)*(($C$4-Vendor_Invoices_Upload!$C$4:$C$5003)&gt;=91)*Vendor_Invoices_Upload!$G$4:$G$5003)+SUMPRODUCT((Xero_Raw!$C$4:$C$5003="Bill")*(Xero_Raw!$I$4:$I$5003&lt;&gt;"Paid")*(Xero_Raw!$A$4:$A$5003&lt;&gt;"")*(Xero_Raw!$D$4:$D$5003=$A72)*(($C$4-(Xero_Raw!$A$4:$A$5003+15))&gt;=91)*Xero_Raw!$H$4:$H$5003)</f>
        <v>0</v>
      </c>
      <c r="F72" s="74" t="n">
        <f aca="false">SUM(B72:E72)</f>
        <v>0</v>
      </c>
    </row>
    <row r="73" customFormat="false" ht="15" hidden="false" customHeight="true" outlineLevel="0" collapsed="false">
      <c r="A73" s="37" t="s">
        <v>216</v>
      </c>
      <c r="B73" s="73" t="n">
        <f aca="false">SUMPRODUCT((Vendor_Invoices_Upload!$H$4:$H$5003&lt;&gt;"Paid")*(Vendor_Invoices_Upload!$B$4:$B$5003&lt;&gt;"")*(Vendor_Invoices_Upload!$E$4:$E$5003=$A73)*(($C$4-Vendor_Invoices_Upload!$C$4:$C$5003)&lt;=30)*Vendor_Invoices_Upload!$G$4:$G$5003)+SUMPRODUCT((Xero_Raw!$C$4:$C$5003="Bill")*(Xero_Raw!$I$4:$I$5003&lt;&gt;"Paid")*(Xero_Raw!$A$4:$A$5003&lt;&gt;"")*(Xero_Raw!$D$4:$D$5003=$A73)*(($C$4-(Xero_Raw!$A$4:$A$5003+15))&lt;=30)*Xero_Raw!$H$4:$H$5003)</f>
        <v>0</v>
      </c>
      <c r="C73" s="73" t="n">
        <f aca="false">SUMPRODUCT((Vendor_Invoices_Upload!$H$4:$H$5003&lt;&gt;"Paid")*(Vendor_Invoices_Upload!$B$4:$B$5003&lt;&gt;"")*(Vendor_Invoices_Upload!$E$4:$E$5003=$A73)*(($C$4-Vendor_Invoices_Upload!$C$4:$C$5003)&gt;=31)*(($C$4-Vendor_Invoices_Upload!$C$4:$C$5003)&lt;=60)*Vendor_Invoices_Upload!$G$4:$G$5003)+SUMPRODUCT((Xero_Raw!$C$4:$C$5003="Bill")*(Xero_Raw!$I$4:$I$5003&lt;&gt;"Paid")*(Xero_Raw!$A$4:$A$5003&lt;&gt;"")*(Xero_Raw!$D$4:$D$5003=$A73)*(($C$4-(Xero_Raw!$A$4:$A$5003+15))&gt;=31)*(($C$4-(Xero_Raw!$A$4:$A$5003+15))&lt;=60)*Xero_Raw!$H$4:$H$5003)</f>
        <v>0</v>
      </c>
      <c r="D73" s="73" t="n">
        <f aca="false">SUMPRODUCT((Vendor_Invoices_Upload!$H$4:$H$5003&lt;&gt;"Paid")*(Vendor_Invoices_Upload!$B$4:$B$5003&lt;&gt;"")*(Vendor_Invoices_Upload!$E$4:$E$5003=$A73)*(($C$4-Vendor_Invoices_Upload!$C$4:$C$5003)&gt;=61)*(($C$4-Vendor_Invoices_Upload!$C$4:$C$5003)&lt;=90)*Vendor_Invoices_Upload!$G$4:$G$5003)+SUMPRODUCT((Xero_Raw!$C$4:$C$5003="Bill")*(Xero_Raw!$I$4:$I$5003&lt;&gt;"Paid")*(Xero_Raw!$A$4:$A$5003&lt;&gt;"")*(Xero_Raw!$D$4:$D$5003=$A73)*(($C$4-(Xero_Raw!$A$4:$A$5003+15))&gt;=61)*(($C$4-(Xero_Raw!$A$4:$A$5003+15))&lt;=90)*Xero_Raw!$H$4:$H$5003)</f>
        <v>0</v>
      </c>
      <c r="E73" s="73" t="n">
        <f aca="false">SUMPRODUCT((Vendor_Invoices_Upload!$H$4:$H$5003&lt;&gt;"Paid")*(Vendor_Invoices_Upload!$B$4:$B$5003&lt;&gt;"")*(Vendor_Invoices_Upload!$E$4:$E$5003=$A73)*(($C$4-Vendor_Invoices_Upload!$C$4:$C$5003)&gt;=91)*Vendor_Invoices_Upload!$G$4:$G$5003)+SUMPRODUCT((Xero_Raw!$C$4:$C$5003="Bill")*(Xero_Raw!$I$4:$I$5003&lt;&gt;"Paid")*(Xero_Raw!$A$4:$A$5003&lt;&gt;"")*(Xero_Raw!$D$4:$D$5003=$A73)*(($C$4-(Xero_Raw!$A$4:$A$5003+15))&gt;=91)*Xero_Raw!$H$4:$H$5003)</f>
        <v>0</v>
      </c>
      <c r="F73" s="74" t="n">
        <f aca="false">SUM(B73:E73)</f>
        <v>0</v>
      </c>
    </row>
    <row r="74" customFormat="false" ht="15" hidden="false" customHeight="true" outlineLevel="0" collapsed="false">
      <c r="A74" s="37" t="s">
        <v>212</v>
      </c>
      <c r="B74" s="73" t="n">
        <f aca="false">SUMPRODUCT((Vendor_Invoices_Upload!$H$4:$H$5003&lt;&gt;"Paid")*(Vendor_Invoices_Upload!$B$4:$B$5003&lt;&gt;"")*(Vendor_Invoices_Upload!$E$4:$E$5003=$A74)*(($C$4-Vendor_Invoices_Upload!$C$4:$C$5003)&lt;=30)*Vendor_Invoices_Upload!$G$4:$G$5003)+SUMPRODUCT((Xero_Raw!$C$4:$C$5003="Bill")*(Xero_Raw!$I$4:$I$5003&lt;&gt;"Paid")*(Xero_Raw!$A$4:$A$5003&lt;&gt;"")*(Xero_Raw!$D$4:$D$5003=$A74)*(($C$4-(Xero_Raw!$A$4:$A$5003+15))&lt;=30)*Xero_Raw!$H$4:$H$5003)</f>
        <v>0</v>
      </c>
      <c r="C74" s="73" t="n">
        <f aca="false">SUMPRODUCT((Vendor_Invoices_Upload!$H$4:$H$5003&lt;&gt;"Paid")*(Vendor_Invoices_Upload!$B$4:$B$5003&lt;&gt;"")*(Vendor_Invoices_Upload!$E$4:$E$5003=$A74)*(($C$4-Vendor_Invoices_Upload!$C$4:$C$5003)&gt;=31)*(($C$4-Vendor_Invoices_Upload!$C$4:$C$5003)&lt;=60)*Vendor_Invoices_Upload!$G$4:$G$5003)+SUMPRODUCT((Xero_Raw!$C$4:$C$5003="Bill")*(Xero_Raw!$I$4:$I$5003&lt;&gt;"Paid")*(Xero_Raw!$A$4:$A$5003&lt;&gt;"")*(Xero_Raw!$D$4:$D$5003=$A74)*(($C$4-(Xero_Raw!$A$4:$A$5003+15))&gt;=31)*(($C$4-(Xero_Raw!$A$4:$A$5003+15))&lt;=60)*Xero_Raw!$H$4:$H$5003)</f>
        <v>0</v>
      </c>
      <c r="D74" s="73" t="n">
        <f aca="false">SUMPRODUCT((Vendor_Invoices_Upload!$H$4:$H$5003&lt;&gt;"Paid")*(Vendor_Invoices_Upload!$B$4:$B$5003&lt;&gt;"")*(Vendor_Invoices_Upload!$E$4:$E$5003=$A74)*(($C$4-Vendor_Invoices_Upload!$C$4:$C$5003)&gt;=61)*(($C$4-Vendor_Invoices_Upload!$C$4:$C$5003)&lt;=90)*Vendor_Invoices_Upload!$G$4:$G$5003)+SUMPRODUCT((Xero_Raw!$C$4:$C$5003="Bill")*(Xero_Raw!$I$4:$I$5003&lt;&gt;"Paid")*(Xero_Raw!$A$4:$A$5003&lt;&gt;"")*(Xero_Raw!$D$4:$D$5003=$A74)*(($C$4-(Xero_Raw!$A$4:$A$5003+15))&gt;=61)*(($C$4-(Xero_Raw!$A$4:$A$5003+15))&lt;=90)*Xero_Raw!$H$4:$H$5003)</f>
        <v>0</v>
      </c>
      <c r="E74" s="73" t="n">
        <f aca="false">SUMPRODUCT((Vendor_Invoices_Upload!$H$4:$H$5003&lt;&gt;"Paid")*(Vendor_Invoices_Upload!$B$4:$B$5003&lt;&gt;"")*(Vendor_Invoices_Upload!$E$4:$E$5003=$A74)*(($C$4-Vendor_Invoices_Upload!$C$4:$C$5003)&gt;=91)*Vendor_Invoices_Upload!$G$4:$G$5003)+SUMPRODUCT((Xero_Raw!$C$4:$C$5003="Bill")*(Xero_Raw!$I$4:$I$5003&lt;&gt;"Paid")*(Xero_Raw!$A$4:$A$5003&lt;&gt;"")*(Xero_Raw!$D$4:$D$5003=$A74)*(($C$4-(Xero_Raw!$A$4:$A$5003+15))&gt;=91)*Xero_Raw!$H$4:$H$5003)</f>
        <v>0</v>
      </c>
      <c r="F74" s="74" t="n">
        <f aca="false">SUM(B74:E74)</f>
        <v>0</v>
      </c>
    </row>
    <row r="75" customFormat="false" ht="15" hidden="false" customHeight="true" outlineLevel="0" collapsed="false">
      <c r="A75" s="37" t="s">
        <v>228</v>
      </c>
      <c r="B75" s="73" t="n">
        <f aca="false">SUMPRODUCT((Vendor_Invoices_Upload!$H$4:$H$5003&lt;&gt;"Paid")*(Vendor_Invoices_Upload!$B$4:$B$5003&lt;&gt;"")*(Vendor_Invoices_Upload!$E$4:$E$5003=$A75)*(($C$4-Vendor_Invoices_Upload!$C$4:$C$5003)&lt;=30)*Vendor_Invoices_Upload!$G$4:$G$5003)+SUMPRODUCT((Xero_Raw!$C$4:$C$5003="Bill")*(Xero_Raw!$I$4:$I$5003&lt;&gt;"Paid")*(Xero_Raw!$A$4:$A$5003&lt;&gt;"")*(Xero_Raw!$D$4:$D$5003=$A75)*(($C$4-(Xero_Raw!$A$4:$A$5003+15))&lt;=30)*Xero_Raw!$H$4:$H$5003)</f>
        <v>0</v>
      </c>
      <c r="C75" s="73" t="n">
        <f aca="false">SUMPRODUCT((Vendor_Invoices_Upload!$H$4:$H$5003&lt;&gt;"Paid")*(Vendor_Invoices_Upload!$B$4:$B$5003&lt;&gt;"")*(Vendor_Invoices_Upload!$E$4:$E$5003=$A75)*(($C$4-Vendor_Invoices_Upload!$C$4:$C$5003)&gt;=31)*(($C$4-Vendor_Invoices_Upload!$C$4:$C$5003)&lt;=60)*Vendor_Invoices_Upload!$G$4:$G$5003)+SUMPRODUCT((Xero_Raw!$C$4:$C$5003="Bill")*(Xero_Raw!$I$4:$I$5003&lt;&gt;"Paid")*(Xero_Raw!$A$4:$A$5003&lt;&gt;"")*(Xero_Raw!$D$4:$D$5003=$A75)*(($C$4-(Xero_Raw!$A$4:$A$5003+15))&gt;=31)*(($C$4-(Xero_Raw!$A$4:$A$5003+15))&lt;=60)*Xero_Raw!$H$4:$H$5003)</f>
        <v>0</v>
      </c>
      <c r="D75" s="73" t="n">
        <f aca="false">SUMPRODUCT((Vendor_Invoices_Upload!$H$4:$H$5003&lt;&gt;"Paid")*(Vendor_Invoices_Upload!$B$4:$B$5003&lt;&gt;"")*(Vendor_Invoices_Upload!$E$4:$E$5003=$A75)*(($C$4-Vendor_Invoices_Upload!$C$4:$C$5003)&gt;=61)*(($C$4-Vendor_Invoices_Upload!$C$4:$C$5003)&lt;=90)*Vendor_Invoices_Upload!$G$4:$G$5003)+SUMPRODUCT((Xero_Raw!$C$4:$C$5003="Bill")*(Xero_Raw!$I$4:$I$5003&lt;&gt;"Paid")*(Xero_Raw!$A$4:$A$5003&lt;&gt;"")*(Xero_Raw!$D$4:$D$5003=$A75)*(($C$4-(Xero_Raw!$A$4:$A$5003+15))&gt;=61)*(($C$4-(Xero_Raw!$A$4:$A$5003+15))&lt;=90)*Xero_Raw!$H$4:$H$5003)</f>
        <v>0</v>
      </c>
      <c r="E75" s="73" t="n">
        <f aca="false">SUMPRODUCT((Vendor_Invoices_Upload!$H$4:$H$5003&lt;&gt;"Paid")*(Vendor_Invoices_Upload!$B$4:$B$5003&lt;&gt;"")*(Vendor_Invoices_Upload!$E$4:$E$5003=$A75)*(($C$4-Vendor_Invoices_Upload!$C$4:$C$5003)&gt;=91)*Vendor_Invoices_Upload!$G$4:$G$5003)+SUMPRODUCT((Xero_Raw!$C$4:$C$5003="Bill")*(Xero_Raw!$I$4:$I$5003&lt;&gt;"Paid")*(Xero_Raw!$A$4:$A$5003&lt;&gt;"")*(Xero_Raw!$D$4:$D$5003=$A75)*(($C$4-(Xero_Raw!$A$4:$A$5003+15))&gt;=91)*Xero_Raw!$H$4:$H$5003)</f>
        <v>0</v>
      </c>
      <c r="F75" s="74" t="n">
        <f aca="false">SUM(B75:E75)</f>
        <v>0</v>
      </c>
    </row>
    <row r="76" customFormat="false" ht="15" hidden="false" customHeight="true" outlineLevel="0" collapsed="false">
      <c r="A76" s="75" t="s">
        <v>472</v>
      </c>
      <c r="B76" s="76" t="n">
        <f aca="false">SUM(B65:B75)</f>
        <v>7592.14</v>
      </c>
      <c r="C76" s="76" t="n">
        <f aca="false">SUM(C65:C75)</f>
        <v>4441.12</v>
      </c>
      <c r="D76" s="76" t="n">
        <f aca="false">SUM(D65:D75)</f>
        <v>0</v>
      </c>
      <c r="E76" s="76" t="n">
        <f aca="false">SUM(E65:E75)</f>
        <v>0</v>
      </c>
      <c r="F76" s="76" t="n">
        <f aca="false">SUM(F65:F75)</f>
        <v>12033.26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7B"/>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24"/>
    <col collapsed="false" customWidth="true" hidden="false" outlineLevel="0" max="5" min="2" style="25" width="14"/>
  </cols>
  <sheetData>
    <row r="1" customFormat="false" ht="15" hidden="false" customHeight="true" outlineLevel="0" collapsed="false">
      <c r="A1" s="56" t="s">
        <v>473</v>
      </c>
      <c r="B1" s="56"/>
      <c r="C1" s="56"/>
      <c r="D1" s="56"/>
      <c r="E1" s="56"/>
      <c r="F1" s="56"/>
    </row>
    <row r="2" customFormat="false" ht="15" hidden="false" customHeight="true" outlineLevel="0" collapsed="false">
      <c r="A2" s="44" t="s">
        <v>474</v>
      </c>
      <c r="B2" s="44"/>
      <c r="C2" s="44"/>
      <c r="D2" s="44"/>
      <c r="E2" s="44"/>
      <c r="F2" s="44"/>
    </row>
    <row r="4" customFormat="false" ht="15" hidden="false" customHeight="true" outlineLevel="0" collapsed="false">
      <c r="A4" s="69" t="s">
        <v>475</v>
      </c>
    </row>
    <row r="5" customFormat="false" ht="19.5" hidden="false" customHeight="true" outlineLevel="0" collapsed="false">
      <c r="A5" s="42" t="s">
        <v>476</v>
      </c>
      <c r="B5" s="42" t="s">
        <v>305</v>
      </c>
      <c r="C5" s="42" t="s">
        <v>306</v>
      </c>
      <c r="D5" s="42" t="s">
        <v>307</v>
      </c>
      <c r="E5" s="42" t="s">
        <v>477</v>
      </c>
    </row>
    <row r="6" customFormat="false" ht="15" hidden="false" customHeight="true" outlineLevel="0" collapsed="false">
      <c r="A6" s="37" t="s">
        <v>317</v>
      </c>
      <c r="B6" s="77" t="n">
        <f aca="false">SUMIFS(Stripe_Raw!$E$4:$E$5003,Stripe_Raw!$J$4:$J$5003,$A6,Stripe_Raw!$A$4:$A$5003,"&gt;="&amp;DATE(2026,4,1),Stripe_Raw!$A$4:$A$5003,"&lt;"&amp;EDATE(DATE(2026,4,1),1),Stripe_Raw!$I$4:$I$5003,"Paid")</f>
        <v>48947.56</v>
      </c>
      <c r="C6" s="77" t="n">
        <f aca="false">SUMIFS(Stripe_Raw!$E$4:$E$5003,Stripe_Raw!$J$4:$J$5003,$A6,Stripe_Raw!$A$4:$A$5003,"&gt;="&amp;DATE(2026,5,1),Stripe_Raw!$A$4:$A$5003,"&lt;"&amp;EDATE(DATE(2026,5,1),1),Stripe_Raw!$I$4:$I$5003,"Paid")</f>
        <v>17858.06</v>
      </c>
      <c r="D6" s="77" t="n">
        <f aca="false">SUMIFS(Stripe_Raw!$E$4:$E$5003,Stripe_Raw!$J$4:$J$5003,$A6,Stripe_Raw!$A$4:$A$5003,"&gt;="&amp;DATE(2026,6,1),Stripe_Raw!$A$4:$A$5003,"&lt;"&amp;EDATE(DATE(2026,6,1),1),Stripe_Raw!$I$4:$I$5003,"Paid")</f>
        <v>42453.24</v>
      </c>
      <c r="E6" s="74" t="n">
        <f aca="false">SUM(B6:D6)</f>
        <v>109258.86</v>
      </c>
    </row>
    <row r="7" customFormat="false" ht="15" hidden="false" customHeight="true" outlineLevel="0" collapsed="false">
      <c r="A7" s="37" t="s">
        <v>320</v>
      </c>
      <c r="B7" s="77" t="n">
        <f aca="false">SUMIFS(Stripe_Raw!$E$4:$E$5003,Stripe_Raw!$J$4:$J$5003,$A7,Stripe_Raw!$A$4:$A$5003,"&gt;="&amp;DATE(2026,4,1),Stripe_Raw!$A$4:$A$5003,"&lt;"&amp;EDATE(DATE(2026,4,1),1),Stripe_Raw!$I$4:$I$5003,"Paid")</f>
        <v>20453.21</v>
      </c>
      <c r="C7" s="77" t="n">
        <f aca="false">SUMIFS(Stripe_Raw!$E$4:$E$5003,Stripe_Raw!$J$4:$J$5003,$A7,Stripe_Raw!$A$4:$A$5003,"&gt;="&amp;DATE(2026,5,1),Stripe_Raw!$A$4:$A$5003,"&lt;"&amp;EDATE(DATE(2026,5,1),1),Stripe_Raw!$I$4:$I$5003,"Paid")</f>
        <v>54102.76</v>
      </c>
      <c r="D7" s="77" t="n">
        <f aca="false">SUMIFS(Stripe_Raw!$E$4:$E$5003,Stripe_Raw!$J$4:$J$5003,$A7,Stripe_Raw!$A$4:$A$5003,"&gt;="&amp;DATE(2026,6,1),Stripe_Raw!$A$4:$A$5003,"&lt;"&amp;EDATE(DATE(2026,6,1),1),Stripe_Raw!$I$4:$I$5003,"Paid")</f>
        <v>48549.79</v>
      </c>
      <c r="E7" s="74" t="n">
        <f aca="false">SUM(B7:D7)</f>
        <v>123105.76</v>
      </c>
    </row>
    <row r="8" customFormat="false" ht="15" hidden="false" customHeight="true" outlineLevel="0" collapsed="false">
      <c r="A8" s="37" t="s">
        <v>322</v>
      </c>
      <c r="B8" s="77" t="n">
        <f aca="false">SUMIFS(Stripe_Raw!$E$4:$E$5003,Stripe_Raw!$J$4:$J$5003,$A8,Stripe_Raw!$A$4:$A$5003,"&gt;="&amp;DATE(2026,4,1),Stripe_Raw!$A$4:$A$5003,"&lt;"&amp;EDATE(DATE(2026,4,1),1),Stripe_Raw!$I$4:$I$5003,"Paid")</f>
        <v>23058.05</v>
      </c>
      <c r="C8" s="77" t="n">
        <f aca="false">SUMIFS(Stripe_Raw!$E$4:$E$5003,Stripe_Raw!$J$4:$J$5003,$A8,Stripe_Raw!$A$4:$A$5003,"&gt;="&amp;DATE(2026,5,1),Stripe_Raw!$A$4:$A$5003,"&lt;"&amp;EDATE(DATE(2026,5,1),1),Stripe_Raw!$I$4:$I$5003,"Paid")</f>
        <v>50789.3</v>
      </c>
      <c r="D8" s="77" t="n">
        <f aca="false">SUMIFS(Stripe_Raw!$E$4:$E$5003,Stripe_Raw!$J$4:$J$5003,$A8,Stripe_Raw!$A$4:$A$5003,"&gt;="&amp;DATE(2026,6,1),Stripe_Raw!$A$4:$A$5003,"&lt;"&amp;EDATE(DATE(2026,6,1),1),Stripe_Raw!$I$4:$I$5003,"Paid")</f>
        <v>35202.12</v>
      </c>
      <c r="E8" s="74" t="n">
        <f aca="false">SUM(B8:D8)</f>
        <v>109049.47</v>
      </c>
    </row>
    <row r="9" customFormat="false" ht="15" hidden="false" customHeight="true" outlineLevel="0" collapsed="false">
      <c r="A9" s="37" t="s">
        <v>478</v>
      </c>
      <c r="B9" s="77" t="n">
        <f aca="false">SUMIFS(Stripe_Raw!$E$4:$E$5003,Stripe_Raw!$J$4:$J$5003,$A9,Stripe_Raw!$A$4:$A$5003,"&gt;="&amp;DATE(2026,4,1),Stripe_Raw!$A$4:$A$5003,"&lt;"&amp;EDATE(DATE(2026,4,1),1),Stripe_Raw!$I$4:$I$5003,"Paid")</f>
        <v>14077.28</v>
      </c>
      <c r="C9" s="77" t="n">
        <f aca="false">SUMIFS(Stripe_Raw!$E$4:$E$5003,Stripe_Raw!$J$4:$J$5003,$A9,Stripe_Raw!$A$4:$A$5003,"&gt;="&amp;DATE(2026,5,1),Stripe_Raw!$A$4:$A$5003,"&lt;"&amp;EDATE(DATE(2026,5,1),1),Stripe_Raw!$I$4:$I$5003,"Paid")</f>
        <v>14850.09</v>
      </c>
      <c r="D9" s="77" t="n">
        <f aca="false">SUMIFS(Stripe_Raw!$E$4:$E$5003,Stripe_Raw!$J$4:$J$5003,$A9,Stripe_Raw!$A$4:$A$5003,"&gt;="&amp;DATE(2026,6,1),Stripe_Raw!$A$4:$A$5003,"&lt;"&amp;EDATE(DATE(2026,6,1),1),Stripe_Raw!$I$4:$I$5003,"Paid")</f>
        <v>7988.99</v>
      </c>
      <c r="E9" s="74" t="n">
        <f aca="false">SUM(B9:D9)</f>
        <v>36916.36</v>
      </c>
    </row>
    <row r="10" customFormat="false" ht="15" hidden="false" customHeight="true" outlineLevel="0" collapsed="false">
      <c r="A10" s="75" t="s">
        <v>479</v>
      </c>
      <c r="B10" s="76" t="n">
        <f aca="false">SUM(B6:B9)</f>
        <v>106536.1</v>
      </c>
      <c r="C10" s="76" t="n">
        <f aca="false">SUM(C6:C9)</f>
        <v>137600.21</v>
      </c>
      <c r="D10" s="76" t="n">
        <f aca="false">SUM(D6:D9)</f>
        <v>134194.14</v>
      </c>
      <c r="E10" s="76" t="n">
        <f aca="false">SUM(E6:E9)</f>
        <v>378330.45</v>
      </c>
    </row>
    <row r="12" customFormat="false" ht="15" hidden="false" customHeight="true" outlineLevel="0" collapsed="false">
      <c r="A12" s="69" t="s">
        <v>480</v>
      </c>
    </row>
    <row r="13" customFormat="false" ht="19.5" hidden="false" customHeight="true" outlineLevel="0" collapsed="false">
      <c r="A13" s="42" t="s">
        <v>476</v>
      </c>
      <c r="B13" s="42" t="s">
        <v>305</v>
      </c>
      <c r="C13" s="42" t="s">
        <v>306</v>
      </c>
      <c r="D13" s="42" t="s">
        <v>307</v>
      </c>
      <c r="E13" s="42" t="s">
        <v>477</v>
      </c>
    </row>
    <row r="14" customFormat="false" ht="15" hidden="false" customHeight="true" outlineLevel="0" collapsed="false">
      <c r="A14" s="37" t="s">
        <v>317</v>
      </c>
      <c r="B14" s="77" t="n">
        <f aca="false">SUMIFS(Xero_Raw!$H$4:$H$5003,Xero_Raw!$J$4:$J$5003,$A14,Xero_Raw!$C$4:$C$5003,"Invoice",Xero_Raw!$A$4:$A$5003,"&gt;="&amp;DATE(2026,4,1),Xero_Raw!$A$4:$A$5003,"&lt;"&amp;EDATE(DATE(2026,4,1),1))</f>
        <v>59160.63</v>
      </c>
      <c r="C14" s="77" t="n">
        <f aca="false">SUMIFS(Xero_Raw!$H$4:$H$5003,Xero_Raw!$J$4:$J$5003,$A14,Xero_Raw!$C$4:$C$5003,"Invoice",Xero_Raw!$A$4:$A$5003,"&gt;="&amp;DATE(2026,5,1),Xero_Raw!$A$4:$A$5003,"&lt;"&amp;EDATE(DATE(2026,5,1),1))</f>
        <v>70672.56</v>
      </c>
      <c r="D14" s="77" t="n">
        <f aca="false">SUMIFS(Xero_Raw!$H$4:$H$5003,Xero_Raw!$J$4:$J$5003,$A14,Xero_Raw!$C$4:$C$5003,"Invoice",Xero_Raw!$A$4:$A$5003,"&gt;="&amp;DATE(2026,6,1),Xero_Raw!$A$4:$A$5003,"&lt;"&amp;EDATE(DATE(2026,6,1),1))</f>
        <v>83715.1</v>
      </c>
      <c r="E14" s="74" t="n">
        <f aca="false">SUM(B14:D14)</f>
        <v>213548.29</v>
      </c>
    </row>
    <row r="15" customFormat="false" ht="15" hidden="false" customHeight="true" outlineLevel="0" collapsed="false">
      <c r="A15" s="37" t="s">
        <v>320</v>
      </c>
      <c r="B15" s="77" t="n">
        <f aca="false">SUMIFS(Xero_Raw!$H$4:$H$5003,Xero_Raw!$J$4:$J$5003,$A15,Xero_Raw!$C$4:$C$5003,"Invoice",Xero_Raw!$A$4:$A$5003,"&gt;="&amp;DATE(2026,4,1),Xero_Raw!$A$4:$A$5003,"&lt;"&amp;EDATE(DATE(2026,4,1),1))</f>
        <v>83923.58</v>
      </c>
      <c r="C15" s="77" t="n">
        <f aca="false">SUMIFS(Xero_Raw!$H$4:$H$5003,Xero_Raw!$J$4:$J$5003,$A15,Xero_Raw!$C$4:$C$5003,"Invoice",Xero_Raw!$A$4:$A$5003,"&gt;="&amp;DATE(2026,5,1),Xero_Raw!$A$4:$A$5003,"&lt;"&amp;EDATE(DATE(2026,5,1),1))</f>
        <v>42402.31</v>
      </c>
      <c r="D15" s="77" t="n">
        <f aca="false">SUMIFS(Xero_Raw!$H$4:$H$5003,Xero_Raw!$J$4:$J$5003,$A15,Xero_Raw!$C$4:$C$5003,"Invoice",Xero_Raw!$A$4:$A$5003,"&gt;="&amp;DATE(2026,6,1),Xero_Raw!$A$4:$A$5003,"&lt;"&amp;EDATE(DATE(2026,6,1),1))</f>
        <v>41874.83</v>
      </c>
      <c r="E15" s="74" t="n">
        <f aca="false">SUM(B15:D15)</f>
        <v>168200.72</v>
      </c>
    </row>
    <row r="16" customFormat="false" ht="15" hidden="false" customHeight="true" outlineLevel="0" collapsed="false">
      <c r="A16" s="37" t="s">
        <v>322</v>
      </c>
      <c r="B16" s="77" t="n">
        <f aca="false">SUMIFS(Xero_Raw!$H$4:$H$5003,Xero_Raw!$J$4:$J$5003,$A16,Xero_Raw!$C$4:$C$5003,"Invoice",Xero_Raw!$A$4:$A$5003,"&gt;="&amp;DATE(2026,4,1),Xero_Raw!$A$4:$A$5003,"&lt;"&amp;EDATE(DATE(2026,4,1),1))</f>
        <v>21609.38</v>
      </c>
      <c r="C16" s="77" t="n">
        <f aca="false">SUMIFS(Xero_Raw!$H$4:$H$5003,Xero_Raw!$J$4:$J$5003,$A16,Xero_Raw!$C$4:$C$5003,"Invoice",Xero_Raw!$A$4:$A$5003,"&gt;="&amp;DATE(2026,5,1),Xero_Raw!$A$4:$A$5003,"&lt;"&amp;EDATE(DATE(2026,5,1),1))</f>
        <v>47679.08</v>
      </c>
      <c r="D16" s="77" t="n">
        <f aca="false">SUMIFS(Xero_Raw!$H$4:$H$5003,Xero_Raw!$J$4:$J$5003,$A16,Xero_Raw!$C$4:$C$5003,"Invoice",Xero_Raw!$A$4:$A$5003,"&gt;="&amp;DATE(2026,6,1),Xero_Raw!$A$4:$A$5003,"&lt;"&amp;EDATE(DATE(2026,6,1),1))</f>
        <v>96009.58</v>
      </c>
      <c r="E16" s="74" t="n">
        <f aca="false">SUM(B16:D16)</f>
        <v>165298.04</v>
      </c>
    </row>
    <row r="17" customFormat="false" ht="15" hidden="false" customHeight="true" outlineLevel="0" collapsed="false">
      <c r="A17" s="37" t="s">
        <v>478</v>
      </c>
      <c r="B17" s="77" t="n">
        <f aca="false">SUMIFS(Xero_Raw!$H$4:$H$5003,Xero_Raw!$J$4:$J$5003,$A17,Xero_Raw!$C$4:$C$5003,"Invoice",Xero_Raw!$A$4:$A$5003,"&gt;="&amp;DATE(2026,4,1),Xero_Raw!$A$4:$A$5003,"&lt;"&amp;EDATE(DATE(2026,4,1),1))</f>
        <v>0</v>
      </c>
      <c r="C17" s="77" t="n">
        <f aca="false">SUMIFS(Xero_Raw!$H$4:$H$5003,Xero_Raw!$J$4:$J$5003,$A17,Xero_Raw!$C$4:$C$5003,"Invoice",Xero_Raw!$A$4:$A$5003,"&gt;="&amp;DATE(2026,5,1),Xero_Raw!$A$4:$A$5003,"&lt;"&amp;EDATE(DATE(2026,5,1),1))</f>
        <v>0</v>
      </c>
      <c r="D17" s="77" t="n">
        <f aca="false">SUMIFS(Xero_Raw!$H$4:$H$5003,Xero_Raw!$J$4:$J$5003,$A17,Xero_Raw!$C$4:$C$5003,"Invoice",Xero_Raw!$A$4:$A$5003,"&gt;="&amp;DATE(2026,6,1),Xero_Raw!$A$4:$A$5003,"&lt;"&amp;EDATE(DATE(2026,6,1),1))</f>
        <v>0</v>
      </c>
      <c r="E17" s="74" t="n">
        <f aca="false">SUM(B17:D17)</f>
        <v>0</v>
      </c>
    </row>
    <row r="18" customFormat="false" ht="15" hidden="false" customHeight="true" outlineLevel="0" collapsed="false">
      <c r="A18" s="75" t="s">
        <v>481</v>
      </c>
      <c r="B18" s="76" t="n">
        <f aca="false">SUM(B14:B17)</f>
        <v>164693.59</v>
      </c>
      <c r="C18" s="76" t="n">
        <f aca="false">SUM(C14:C17)</f>
        <v>160753.95</v>
      </c>
      <c r="D18" s="76" t="n">
        <f aca="false">SUM(D14:D17)</f>
        <v>221599.51</v>
      </c>
      <c r="E18" s="76" t="n">
        <f aca="false">SUM(E14:E17)</f>
        <v>547047.05</v>
      </c>
    </row>
    <row r="20" customFormat="false" ht="15" hidden="false" customHeight="true" outlineLevel="0" collapsed="false">
      <c r="A20" s="69" t="s">
        <v>482</v>
      </c>
    </row>
    <row r="21" customFormat="false" ht="19.5" hidden="false" customHeight="true" outlineLevel="0" collapsed="false">
      <c r="A21" s="78" t="s">
        <v>476</v>
      </c>
      <c r="B21" s="78" t="s">
        <v>305</v>
      </c>
      <c r="C21" s="78" t="s">
        <v>306</v>
      </c>
      <c r="D21" s="78" t="s">
        <v>307</v>
      </c>
      <c r="E21" s="78" t="s">
        <v>477</v>
      </c>
    </row>
    <row r="22" customFormat="false" ht="15" hidden="false" customHeight="true" outlineLevel="0" collapsed="false">
      <c r="A22" s="37" t="s">
        <v>317</v>
      </c>
      <c r="B22" s="77" t="n">
        <f aca="false">SUMIFS(Customer_Invoices_Upload!$H$4:$H$5003,Customer_Invoices_Upload!$J$4:$J$5003,$A22,Customer_Invoices_Upload!$B$4:$B$5003,"&gt;="&amp;DATE(2026,4,1),Customer_Invoices_Upload!$B$4:$B$5003,"&lt;"&amp;EDATE(DATE(2026,4,1),1))</f>
        <v>34761.98</v>
      </c>
      <c r="C22" s="77" t="n">
        <f aca="false">SUMIFS(Customer_Invoices_Upload!$H$4:$H$5003,Customer_Invoices_Upload!$J$4:$J$5003,$A22,Customer_Invoices_Upload!$B$4:$B$5003,"&gt;="&amp;DATE(2026,5,1),Customer_Invoices_Upload!$B$4:$B$5003,"&lt;"&amp;EDATE(DATE(2026,5,1),1))</f>
        <v>11937.43</v>
      </c>
      <c r="D22" s="77" t="n">
        <f aca="false">SUMIFS(Customer_Invoices_Upload!$H$4:$H$5003,Customer_Invoices_Upload!$J$4:$J$5003,$A22,Customer_Invoices_Upload!$B$4:$B$5003,"&gt;="&amp;DATE(2026,6,1),Customer_Invoices_Upload!$B$4:$B$5003,"&lt;"&amp;EDATE(DATE(2026,6,1),1))</f>
        <v>2303.99</v>
      </c>
      <c r="E22" s="74" t="n">
        <f aca="false">SUM(B22:D22)</f>
        <v>49003.4</v>
      </c>
    </row>
    <row r="23" customFormat="false" ht="15" hidden="false" customHeight="true" outlineLevel="0" collapsed="false">
      <c r="A23" s="37" t="s">
        <v>320</v>
      </c>
      <c r="B23" s="77" t="n">
        <f aca="false">SUMIFS(Customer_Invoices_Upload!$H$4:$H$5003,Customer_Invoices_Upload!$J$4:$J$5003,$A23,Customer_Invoices_Upload!$B$4:$B$5003,"&gt;="&amp;DATE(2026,4,1),Customer_Invoices_Upload!$B$4:$B$5003,"&lt;"&amp;EDATE(DATE(2026,4,1),1))</f>
        <v>1679.78</v>
      </c>
      <c r="C23" s="77" t="n">
        <f aca="false">SUMIFS(Customer_Invoices_Upload!$H$4:$H$5003,Customer_Invoices_Upload!$J$4:$J$5003,$A23,Customer_Invoices_Upload!$B$4:$B$5003,"&gt;="&amp;DATE(2026,5,1),Customer_Invoices_Upload!$B$4:$B$5003,"&lt;"&amp;EDATE(DATE(2026,5,1),1))</f>
        <v>13175.39</v>
      </c>
      <c r="D23" s="77" t="n">
        <f aca="false">SUMIFS(Customer_Invoices_Upload!$H$4:$H$5003,Customer_Invoices_Upload!$J$4:$J$5003,$A23,Customer_Invoices_Upload!$B$4:$B$5003,"&gt;="&amp;DATE(2026,6,1),Customer_Invoices_Upload!$B$4:$B$5003,"&lt;"&amp;EDATE(DATE(2026,6,1),1))</f>
        <v>21404.62</v>
      </c>
      <c r="E23" s="74" t="n">
        <f aca="false">SUM(B23:D23)</f>
        <v>36259.79</v>
      </c>
    </row>
    <row r="24" customFormat="false" ht="15" hidden="false" customHeight="true" outlineLevel="0" collapsed="false">
      <c r="A24" s="37" t="s">
        <v>322</v>
      </c>
      <c r="B24" s="77" t="n">
        <f aca="false">SUMIFS(Customer_Invoices_Upload!$H$4:$H$5003,Customer_Invoices_Upload!$J$4:$J$5003,$A24,Customer_Invoices_Upload!$B$4:$B$5003,"&gt;="&amp;DATE(2026,4,1),Customer_Invoices_Upload!$B$4:$B$5003,"&lt;"&amp;EDATE(DATE(2026,4,1),1))</f>
        <v>0</v>
      </c>
      <c r="C24" s="77" t="n">
        <f aca="false">SUMIFS(Customer_Invoices_Upload!$H$4:$H$5003,Customer_Invoices_Upload!$J$4:$J$5003,$A24,Customer_Invoices_Upload!$B$4:$B$5003,"&gt;="&amp;DATE(2026,5,1),Customer_Invoices_Upload!$B$4:$B$5003,"&lt;"&amp;EDATE(DATE(2026,5,1),1))</f>
        <v>39206.32</v>
      </c>
      <c r="D24" s="77" t="n">
        <f aca="false">SUMIFS(Customer_Invoices_Upload!$H$4:$H$5003,Customer_Invoices_Upload!$J$4:$J$5003,$A24,Customer_Invoices_Upload!$B$4:$B$5003,"&gt;="&amp;DATE(2026,6,1),Customer_Invoices_Upload!$B$4:$B$5003,"&lt;"&amp;EDATE(DATE(2026,6,1),1))</f>
        <v>48039.62</v>
      </c>
      <c r="E24" s="74" t="n">
        <f aca="false">SUM(B24:D24)</f>
        <v>87245.94</v>
      </c>
    </row>
    <row r="25" customFormat="false" ht="15" hidden="false" customHeight="true" outlineLevel="0" collapsed="false">
      <c r="A25" s="37" t="s">
        <v>478</v>
      </c>
      <c r="B25" s="77" t="n">
        <f aca="false">SUMIFS(Customer_Invoices_Upload!$H$4:$H$5003,Customer_Invoices_Upload!$J$4:$J$5003,$A25,Customer_Invoices_Upload!$B$4:$B$5003,"&gt;="&amp;DATE(2026,4,1),Customer_Invoices_Upload!$B$4:$B$5003,"&lt;"&amp;EDATE(DATE(2026,4,1),1))</f>
        <v>0</v>
      </c>
      <c r="C25" s="77" t="n">
        <f aca="false">SUMIFS(Customer_Invoices_Upload!$H$4:$H$5003,Customer_Invoices_Upload!$J$4:$J$5003,$A25,Customer_Invoices_Upload!$B$4:$B$5003,"&gt;="&amp;DATE(2026,5,1),Customer_Invoices_Upload!$B$4:$B$5003,"&lt;"&amp;EDATE(DATE(2026,5,1),1))</f>
        <v>0</v>
      </c>
      <c r="D25" s="77" t="n">
        <f aca="false">SUMIFS(Customer_Invoices_Upload!$H$4:$H$5003,Customer_Invoices_Upload!$J$4:$J$5003,$A25,Customer_Invoices_Upload!$B$4:$B$5003,"&gt;="&amp;DATE(2026,6,1),Customer_Invoices_Upload!$B$4:$B$5003,"&lt;"&amp;EDATE(DATE(2026,6,1),1))</f>
        <v>0</v>
      </c>
      <c r="E25" s="74" t="n">
        <f aca="false">SUM(B25:D25)</f>
        <v>0</v>
      </c>
    </row>
    <row r="26" customFormat="false" ht="15" hidden="false" customHeight="true" outlineLevel="0" collapsed="false">
      <c r="A26" s="75" t="s">
        <v>483</v>
      </c>
      <c r="B26" s="76" t="n">
        <f aca="false">SUM(B22:B25)</f>
        <v>36441.76</v>
      </c>
      <c r="C26" s="76" t="n">
        <f aca="false">SUM(C22:C25)</f>
        <v>64319.14</v>
      </c>
      <c r="D26" s="76" t="n">
        <f aca="false">SUM(D22:D25)</f>
        <v>71748.23</v>
      </c>
      <c r="E26" s="76" t="n">
        <f aca="false">SUM(E22:E25)</f>
        <v>172509.13</v>
      </c>
    </row>
    <row r="28" customFormat="false" ht="15" hidden="false" customHeight="true" outlineLevel="0" collapsed="false">
      <c r="A28" s="69" t="s">
        <v>484</v>
      </c>
    </row>
    <row r="29" customFormat="false" ht="19.5" hidden="false" customHeight="true" outlineLevel="0" collapsed="false">
      <c r="A29" s="42" t="s">
        <v>476</v>
      </c>
      <c r="B29" s="42" t="s">
        <v>485</v>
      </c>
      <c r="C29" s="42" t="s">
        <v>486</v>
      </c>
    </row>
    <row r="30" customFormat="false" ht="15" hidden="false" customHeight="true" outlineLevel="0" collapsed="false">
      <c r="A30" s="37" t="s">
        <v>317</v>
      </c>
      <c r="B30" s="74" t="n">
        <f aca="false">E6+E14+E22</f>
        <v>371810.55</v>
      </c>
      <c r="C30" s="79" t="n">
        <f aca="false">IFERROR(B30/B$34,0)</f>
        <v>0.338660240356511</v>
      </c>
    </row>
    <row r="31" customFormat="false" ht="15" hidden="false" customHeight="true" outlineLevel="0" collapsed="false">
      <c r="A31" s="37" t="s">
        <v>320</v>
      </c>
      <c r="B31" s="74" t="n">
        <f aca="false">E7+E15+E23</f>
        <v>327566.27</v>
      </c>
      <c r="C31" s="79" t="n">
        <f aca="false">IFERROR(B31/B$34,0)</f>
        <v>0.298360742401973</v>
      </c>
    </row>
    <row r="32" customFormat="false" ht="15" hidden="false" customHeight="true" outlineLevel="0" collapsed="false">
      <c r="A32" s="37" t="s">
        <v>322</v>
      </c>
      <c r="B32" s="74" t="n">
        <f aca="false">E8+E16+E24</f>
        <v>361593.45</v>
      </c>
      <c r="C32" s="79" t="n">
        <f aca="false">IFERROR(B32/B$34,0)</f>
        <v>0.32935408822676</v>
      </c>
    </row>
    <row r="33" customFormat="false" ht="15" hidden="false" customHeight="true" outlineLevel="0" collapsed="false">
      <c r="A33" s="37" t="s">
        <v>478</v>
      </c>
      <c r="B33" s="74" t="n">
        <f aca="false">E9+E17+E25</f>
        <v>36916.36</v>
      </c>
      <c r="C33" s="79" t="n">
        <f aca="false">IFERROR(B33/B$34,0)</f>
        <v>0.0336249290147563</v>
      </c>
    </row>
    <row r="34" customFormat="false" ht="15" hidden="false" customHeight="true" outlineLevel="0" collapsed="false">
      <c r="A34" s="63" t="s">
        <v>487</v>
      </c>
      <c r="B34" s="74" t="n">
        <f aca="false">SUM(B30:B33)</f>
        <v>1097886.63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40"/>
    <col collapsed="false" customWidth="true" hidden="false" outlineLevel="0" max="5" min="2" style="25" width="14"/>
  </cols>
  <sheetData>
    <row r="1" customFormat="false" ht="15" hidden="false" customHeight="true" outlineLevel="0" collapsed="false">
      <c r="A1" s="56" t="s">
        <v>488</v>
      </c>
      <c r="B1" s="56"/>
      <c r="C1" s="56"/>
      <c r="D1" s="56"/>
      <c r="E1" s="56"/>
      <c r="F1" s="56"/>
    </row>
    <row r="2" customFormat="false" ht="15" hidden="false" customHeight="true" outlineLevel="0" collapsed="false">
      <c r="A2" s="44" t="s">
        <v>489</v>
      </c>
      <c r="B2" s="44"/>
      <c r="C2" s="44"/>
      <c r="D2" s="44"/>
      <c r="E2" s="44"/>
      <c r="F2" s="44"/>
    </row>
    <row r="4" customFormat="false" ht="15" hidden="false" customHeight="true" outlineLevel="0" collapsed="false">
      <c r="A4" s="69" t="s">
        <v>490</v>
      </c>
    </row>
    <row r="5" customFormat="false" ht="19.5" hidden="false" customHeight="true" outlineLevel="0" collapsed="false">
      <c r="A5" s="42" t="s">
        <v>491</v>
      </c>
      <c r="B5" s="42" t="s">
        <v>305</v>
      </c>
      <c r="C5" s="42" t="s">
        <v>306</v>
      </c>
      <c r="D5" s="42" t="s">
        <v>307</v>
      </c>
      <c r="E5" s="42" t="s">
        <v>477</v>
      </c>
    </row>
    <row r="6" customFormat="false" ht="15" hidden="false" customHeight="true" outlineLevel="0" collapsed="false">
      <c r="A6" s="37" t="s">
        <v>210</v>
      </c>
      <c r="B6" s="77" t="n">
        <f aca="false">SUMIFS(Xero_Raw!$H$4:$H$5003,Xero_Raw!$D$4:$D$5003,$A6,Xero_Raw!$C$4:$C$5003,"Bill",Xero_Raw!$A$4:$A$5003,"&gt;="&amp;DATE(2026,4,1),Xero_Raw!$A$4:$A$5003,"&lt;"&amp;EDATE(DATE(2026,4,1),1))</f>
        <v>20296.54</v>
      </c>
      <c r="C6" s="77" t="n">
        <f aca="false">SUMIFS(Xero_Raw!$H$4:$H$5003,Xero_Raw!$D$4:$D$5003,$A6,Xero_Raw!$C$4:$C$5003,"Bill",Xero_Raw!$A$4:$A$5003,"&gt;="&amp;DATE(2026,5,1),Xero_Raw!$A$4:$A$5003,"&lt;"&amp;EDATE(DATE(2026,5,1),1))</f>
        <v>0</v>
      </c>
      <c r="D6" s="77" t="n">
        <f aca="false">SUMIFS(Xero_Raw!$H$4:$H$5003,Xero_Raw!$D$4:$D$5003,$A6,Xero_Raw!$C$4:$C$5003,"Bill",Xero_Raw!$A$4:$A$5003,"&gt;="&amp;DATE(2026,6,1),Xero_Raw!$A$4:$A$5003,"&lt;"&amp;EDATE(DATE(2026,6,1),1))</f>
        <v>16039.97</v>
      </c>
      <c r="E6" s="74" t="n">
        <f aca="false">SUM(B6:D6)</f>
        <v>36336.51</v>
      </c>
    </row>
    <row r="7" customFormat="false" ht="15" hidden="false" customHeight="true" outlineLevel="0" collapsed="false">
      <c r="A7" s="37" t="s">
        <v>214</v>
      </c>
      <c r="B7" s="77" t="n">
        <f aca="false">SUMIFS(Xero_Raw!$H$4:$H$5003,Xero_Raw!$D$4:$D$5003,$A7,Xero_Raw!$C$4:$C$5003,"Bill",Xero_Raw!$A$4:$A$5003,"&gt;="&amp;DATE(2026,4,1),Xero_Raw!$A$4:$A$5003,"&lt;"&amp;EDATE(DATE(2026,4,1),1))</f>
        <v>10457.14</v>
      </c>
      <c r="C7" s="77" t="n">
        <f aca="false">SUMIFS(Xero_Raw!$H$4:$H$5003,Xero_Raw!$D$4:$D$5003,$A7,Xero_Raw!$C$4:$C$5003,"Bill",Xero_Raw!$A$4:$A$5003,"&gt;="&amp;DATE(2026,5,1),Xero_Raw!$A$4:$A$5003,"&lt;"&amp;EDATE(DATE(2026,5,1),1))</f>
        <v>28243.45</v>
      </c>
      <c r="D7" s="77" t="n">
        <f aca="false">SUMIFS(Xero_Raw!$H$4:$H$5003,Xero_Raw!$D$4:$D$5003,$A7,Xero_Raw!$C$4:$C$5003,"Bill",Xero_Raw!$A$4:$A$5003,"&gt;="&amp;DATE(2026,6,1),Xero_Raw!$A$4:$A$5003,"&lt;"&amp;EDATE(DATE(2026,6,1),1))</f>
        <v>35830.02</v>
      </c>
      <c r="E7" s="74" t="n">
        <f aca="false">SUM(B7:D7)</f>
        <v>74530.61</v>
      </c>
    </row>
    <row r="8" customFormat="false" ht="15" hidden="false" customHeight="true" outlineLevel="0" collapsed="false">
      <c r="A8" s="37" t="s">
        <v>236</v>
      </c>
      <c r="B8" s="77" t="n">
        <f aca="false">SUMIFS(Xero_Raw!$H$4:$H$5003,Xero_Raw!$D$4:$D$5003,$A8,Xero_Raw!$C$4:$C$5003,"Bill",Xero_Raw!$A$4:$A$5003,"&gt;="&amp;DATE(2026,4,1),Xero_Raw!$A$4:$A$5003,"&lt;"&amp;EDATE(DATE(2026,4,1),1))</f>
        <v>0</v>
      </c>
      <c r="C8" s="77" t="n">
        <f aca="false">SUMIFS(Xero_Raw!$H$4:$H$5003,Xero_Raw!$D$4:$D$5003,$A8,Xero_Raw!$C$4:$C$5003,"Bill",Xero_Raw!$A$4:$A$5003,"&gt;="&amp;DATE(2026,5,1),Xero_Raw!$A$4:$A$5003,"&lt;"&amp;EDATE(DATE(2026,5,1),1))</f>
        <v>0</v>
      </c>
      <c r="D8" s="77" t="n">
        <f aca="false">SUMIFS(Xero_Raw!$H$4:$H$5003,Xero_Raw!$D$4:$D$5003,$A8,Xero_Raw!$C$4:$C$5003,"Bill",Xero_Raw!$A$4:$A$5003,"&gt;="&amp;DATE(2026,6,1),Xero_Raw!$A$4:$A$5003,"&lt;"&amp;EDATE(DATE(2026,6,1),1))</f>
        <v>586.87</v>
      </c>
      <c r="E8" s="74" t="n">
        <f aca="false">SUM(B8:D8)</f>
        <v>586.87</v>
      </c>
    </row>
    <row r="9" customFormat="false" ht="15" hidden="false" customHeight="true" outlineLevel="0" collapsed="false">
      <c r="A9" s="37" t="s">
        <v>216</v>
      </c>
      <c r="B9" s="77" t="n">
        <f aca="false">SUMIFS(Xero_Raw!$H$4:$H$5003,Xero_Raw!$D$4:$D$5003,$A9,Xero_Raw!$C$4:$C$5003,"Bill",Xero_Raw!$A$4:$A$5003,"&gt;="&amp;DATE(2026,4,1),Xero_Raw!$A$4:$A$5003,"&lt;"&amp;EDATE(DATE(2026,4,1),1))</f>
        <v>21683.93</v>
      </c>
      <c r="C9" s="77" t="n">
        <f aca="false">SUMIFS(Xero_Raw!$H$4:$H$5003,Xero_Raw!$D$4:$D$5003,$A9,Xero_Raw!$C$4:$C$5003,"Bill",Xero_Raw!$A$4:$A$5003,"&gt;="&amp;DATE(2026,5,1),Xero_Raw!$A$4:$A$5003,"&lt;"&amp;EDATE(DATE(2026,5,1),1))</f>
        <v>14799.97</v>
      </c>
      <c r="D9" s="77" t="n">
        <f aca="false">SUMIFS(Xero_Raw!$H$4:$H$5003,Xero_Raw!$D$4:$D$5003,$A9,Xero_Raw!$C$4:$C$5003,"Bill",Xero_Raw!$A$4:$A$5003,"&gt;="&amp;DATE(2026,6,1),Xero_Raw!$A$4:$A$5003,"&lt;"&amp;EDATE(DATE(2026,6,1),1))</f>
        <v>0</v>
      </c>
      <c r="E9" s="74" t="n">
        <f aca="false">SUM(B9:D9)</f>
        <v>36483.9</v>
      </c>
    </row>
    <row r="10" customFormat="false" ht="15" hidden="false" customHeight="true" outlineLevel="0" collapsed="false">
      <c r="A10" s="37" t="s">
        <v>212</v>
      </c>
      <c r="B10" s="77" t="n">
        <f aca="false">SUMIFS(Xero_Raw!$H$4:$H$5003,Xero_Raw!$D$4:$D$5003,$A10,Xero_Raw!$C$4:$C$5003,"Bill",Xero_Raw!$A$4:$A$5003,"&gt;="&amp;DATE(2026,4,1),Xero_Raw!$A$4:$A$5003,"&lt;"&amp;EDATE(DATE(2026,4,1),1))</f>
        <v>25979.82</v>
      </c>
      <c r="C10" s="77" t="n">
        <f aca="false">SUMIFS(Xero_Raw!$H$4:$H$5003,Xero_Raw!$D$4:$D$5003,$A10,Xero_Raw!$C$4:$C$5003,"Bill",Xero_Raw!$A$4:$A$5003,"&gt;="&amp;DATE(2026,5,1),Xero_Raw!$A$4:$A$5003,"&lt;"&amp;EDATE(DATE(2026,5,1),1))</f>
        <v>23400.3</v>
      </c>
      <c r="D10" s="77" t="n">
        <f aca="false">SUMIFS(Xero_Raw!$H$4:$H$5003,Xero_Raw!$D$4:$D$5003,$A10,Xero_Raw!$C$4:$C$5003,"Bill",Xero_Raw!$A$4:$A$5003,"&gt;="&amp;DATE(2026,6,1),Xero_Raw!$A$4:$A$5003,"&lt;"&amp;EDATE(DATE(2026,6,1),1))</f>
        <v>6652.47</v>
      </c>
      <c r="E10" s="74" t="n">
        <f aca="false">SUM(B10:D10)</f>
        <v>56032.59</v>
      </c>
    </row>
    <row r="11" customFormat="false" ht="15" hidden="false" customHeight="true" outlineLevel="0" collapsed="false">
      <c r="A11" s="37" t="s">
        <v>228</v>
      </c>
      <c r="B11" s="77" t="n">
        <f aca="false">SUMIFS(Xero_Raw!$H$4:$H$5003,Xero_Raw!$D$4:$D$5003,$A11,Xero_Raw!$C$4:$C$5003,"Bill",Xero_Raw!$A$4:$A$5003,"&gt;="&amp;DATE(2026,4,1),Xero_Raw!$A$4:$A$5003,"&lt;"&amp;EDATE(DATE(2026,4,1),1))</f>
        <v>0</v>
      </c>
      <c r="C11" s="77" t="n">
        <f aca="false">SUMIFS(Xero_Raw!$H$4:$H$5003,Xero_Raw!$D$4:$D$5003,$A11,Xero_Raw!$C$4:$C$5003,"Bill",Xero_Raw!$A$4:$A$5003,"&gt;="&amp;DATE(2026,5,1),Xero_Raw!$A$4:$A$5003,"&lt;"&amp;EDATE(DATE(2026,5,1),1))</f>
        <v>7849.93</v>
      </c>
      <c r="D11" s="77" t="n">
        <f aca="false">SUMIFS(Xero_Raw!$H$4:$H$5003,Xero_Raw!$D$4:$D$5003,$A11,Xero_Raw!$C$4:$C$5003,"Bill",Xero_Raw!$A$4:$A$5003,"&gt;="&amp;DATE(2026,6,1),Xero_Raw!$A$4:$A$5003,"&lt;"&amp;EDATE(DATE(2026,6,1),1))</f>
        <v>0</v>
      </c>
      <c r="E11" s="74" t="n">
        <f aca="false">SUM(B11:D11)</f>
        <v>7849.93</v>
      </c>
    </row>
    <row r="12" customFormat="false" ht="15" hidden="false" customHeight="true" outlineLevel="0" collapsed="false">
      <c r="A12" s="75" t="s">
        <v>492</v>
      </c>
      <c r="B12" s="76" t="n">
        <f aca="false">SUM(B6:B11)</f>
        <v>78417.43</v>
      </c>
      <c r="C12" s="76" t="n">
        <f aca="false">SUM(C6:C11)</f>
        <v>74293.65</v>
      </c>
      <c r="D12" s="76" t="n">
        <f aca="false">SUM(D6:D11)</f>
        <v>59109.33</v>
      </c>
      <c r="E12" s="76" t="n">
        <f aca="false">SUM(E6:E11)</f>
        <v>211820.41</v>
      </c>
    </row>
    <row r="14" customFormat="false" ht="15" hidden="false" customHeight="true" outlineLevel="0" collapsed="false">
      <c r="A14" s="69" t="s">
        <v>493</v>
      </c>
    </row>
    <row r="15" customFormat="false" ht="19.5" hidden="false" customHeight="true" outlineLevel="0" collapsed="false">
      <c r="A15" s="53" t="s">
        <v>127</v>
      </c>
      <c r="B15" s="53" t="s">
        <v>305</v>
      </c>
      <c r="C15" s="53" t="s">
        <v>306</v>
      </c>
      <c r="D15" s="53" t="s">
        <v>307</v>
      </c>
      <c r="E15" s="53" t="s">
        <v>477</v>
      </c>
    </row>
    <row r="16" customFormat="false" ht="15" hidden="false" customHeight="true" outlineLevel="0" collapsed="false">
      <c r="A16" s="37" t="s">
        <v>168</v>
      </c>
      <c r="B16" s="77" t="n">
        <f aca="false">SUMIFS(Meta_Invoices!$E$5012:$E$5029,Meta_Invoices!$A$5012:$A$5029,$A16,Meta_Invoices!$B$5012:$B$5029,"Apr-2026")</f>
        <v>6169.34</v>
      </c>
      <c r="C16" s="77" t="n">
        <f aca="false">SUMIFS(Meta_Invoices!$E$5012:$E$5029,Meta_Invoices!$A$5012:$A$5029,$A16,Meta_Invoices!$B$5012:$B$5029,"May-2026")</f>
        <v>4597.89</v>
      </c>
      <c r="D16" s="77" t="n">
        <f aca="false">SUMIFS(Meta_Invoices!$E$5012:$E$5029,Meta_Invoices!$A$5012:$A$5029,$A16,Meta_Invoices!$B$5012:$B$5029,"Jun-2026")</f>
        <v>1035.81</v>
      </c>
      <c r="E16" s="74" t="n">
        <f aca="false">SUM(B16:D16)</f>
        <v>11803.04</v>
      </c>
    </row>
    <row r="17" customFormat="false" ht="15" hidden="false" customHeight="true" outlineLevel="0" collapsed="false">
      <c r="A17" s="37" t="s">
        <v>144</v>
      </c>
      <c r="B17" s="77" t="n">
        <f aca="false">SUMIFS(Meta_Invoices!$E$5012:$E$5029,Meta_Invoices!$A$5012:$A$5029,$A17,Meta_Invoices!$B$5012:$B$5029,"Apr-2026")</f>
        <v>6182.06</v>
      </c>
      <c r="C17" s="77" t="n">
        <f aca="false">SUMIFS(Meta_Invoices!$E$5012:$E$5029,Meta_Invoices!$A$5012:$A$5029,$A17,Meta_Invoices!$B$5012:$B$5029,"May-2026")</f>
        <v>2281.89</v>
      </c>
      <c r="D17" s="77" t="n">
        <f aca="false">SUMIFS(Meta_Invoices!$E$5012:$E$5029,Meta_Invoices!$A$5012:$A$5029,$A17,Meta_Invoices!$B$5012:$B$5029,"Jun-2026")</f>
        <v>7398.52</v>
      </c>
      <c r="E17" s="74" t="n">
        <f aca="false">SUM(B17:D17)</f>
        <v>15862.47</v>
      </c>
    </row>
    <row r="18" customFormat="false" ht="15" hidden="false" customHeight="true" outlineLevel="0" collapsed="false">
      <c r="A18" s="37" t="s">
        <v>150</v>
      </c>
      <c r="B18" s="77" t="n">
        <f aca="false">SUMIFS(Meta_Invoices!$E$5012:$E$5029,Meta_Invoices!$A$5012:$A$5029,$A18,Meta_Invoices!$B$5012:$B$5029,"Apr-2026")</f>
        <v>2756.32</v>
      </c>
      <c r="C18" s="77" t="n">
        <f aca="false">SUMIFS(Meta_Invoices!$E$5012:$E$5029,Meta_Invoices!$A$5012:$A$5029,$A18,Meta_Invoices!$B$5012:$B$5029,"May-2026")</f>
        <v>3575.87</v>
      </c>
      <c r="D18" s="77" t="n">
        <f aca="false">SUMIFS(Meta_Invoices!$E$5012:$E$5029,Meta_Invoices!$A$5012:$A$5029,$A18,Meta_Invoices!$B$5012:$B$5029,"Jun-2026")</f>
        <v>2191.35</v>
      </c>
      <c r="E18" s="74" t="n">
        <f aca="false">SUM(B18:D18)</f>
        <v>8523.54</v>
      </c>
    </row>
    <row r="19" customFormat="false" ht="15" hidden="false" customHeight="true" outlineLevel="0" collapsed="false">
      <c r="A19" s="37" t="s">
        <v>152</v>
      </c>
      <c r="B19" s="77" t="n">
        <f aca="false">SUMIFS(Meta_Invoices!$E$5012:$E$5029,Meta_Invoices!$A$5012:$A$5029,$A19,Meta_Invoices!$B$5012:$B$5029,"Apr-2026")</f>
        <v>2568.24</v>
      </c>
      <c r="C19" s="77" t="n">
        <f aca="false">SUMIFS(Meta_Invoices!$E$5012:$E$5029,Meta_Invoices!$A$5012:$A$5029,$A19,Meta_Invoices!$B$5012:$B$5029,"May-2026")</f>
        <v>3582.31</v>
      </c>
      <c r="D19" s="77" t="n">
        <f aca="false">SUMIFS(Meta_Invoices!$E$5012:$E$5029,Meta_Invoices!$A$5012:$A$5029,$A19,Meta_Invoices!$B$5012:$B$5029,"Jun-2026")</f>
        <v>990.96</v>
      </c>
      <c r="E19" s="74" t="n">
        <f aca="false">SUM(B19:D19)</f>
        <v>7141.51</v>
      </c>
    </row>
    <row r="20" customFormat="false" ht="15" hidden="false" customHeight="true" outlineLevel="0" collapsed="false">
      <c r="A20" s="37" t="s">
        <v>178</v>
      </c>
      <c r="B20" s="77" t="n">
        <f aca="false">SUMIFS(Meta_Invoices!$E$5012:$E$5029,Meta_Invoices!$A$5012:$A$5029,$A20,Meta_Invoices!$B$5012:$B$5029,"Apr-2026")</f>
        <v>2501.04</v>
      </c>
      <c r="C20" s="77" t="n">
        <f aca="false">SUMIFS(Meta_Invoices!$E$5012:$E$5029,Meta_Invoices!$A$5012:$A$5029,$A20,Meta_Invoices!$B$5012:$B$5029,"May-2026")</f>
        <v>7625.47</v>
      </c>
      <c r="D20" s="77" t="n">
        <f aca="false">SUMIFS(Meta_Invoices!$E$5012:$E$5029,Meta_Invoices!$A$5012:$A$5029,$A20,Meta_Invoices!$B$5012:$B$5029,"Jun-2026")</f>
        <v>2080.91</v>
      </c>
      <c r="E20" s="74" t="n">
        <f aca="false">SUM(B20:D20)</f>
        <v>12207.42</v>
      </c>
    </row>
    <row r="21" customFormat="false" ht="15" hidden="false" customHeight="true" outlineLevel="0" collapsed="false">
      <c r="A21" s="37" t="s">
        <v>156</v>
      </c>
      <c r="B21" s="77" t="n">
        <f aca="false">SUMIFS(Meta_Invoices!$E$5012:$E$5029,Meta_Invoices!$A$5012:$A$5029,$A21,Meta_Invoices!$B$5012:$B$5029,"Apr-2026")</f>
        <v>3596.58</v>
      </c>
      <c r="C21" s="77" t="n">
        <f aca="false">SUMIFS(Meta_Invoices!$E$5012:$E$5029,Meta_Invoices!$A$5012:$A$5029,$A21,Meta_Invoices!$B$5012:$B$5029,"May-2026")</f>
        <v>3583.34</v>
      </c>
      <c r="D21" s="77" t="n">
        <f aca="false">SUMIFS(Meta_Invoices!$E$5012:$E$5029,Meta_Invoices!$A$5012:$A$5029,$A21,Meta_Invoices!$B$5012:$B$5029,"Jun-2026")</f>
        <v>2729.9</v>
      </c>
      <c r="E21" s="74" t="n">
        <f aca="false">SUM(B21:D21)</f>
        <v>9909.82</v>
      </c>
    </row>
    <row r="22" customFormat="false" ht="15" hidden="false" customHeight="true" outlineLevel="0" collapsed="false">
      <c r="A22" s="75" t="s">
        <v>494</v>
      </c>
      <c r="B22" s="76" t="n">
        <f aca="false">SUM(B16:B21)</f>
        <v>23773.58</v>
      </c>
      <c r="C22" s="76" t="n">
        <f aca="false">SUM(C16:C21)</f>
        <v>25246.77</v>
      </c>
      <c r="D22" s="76" t="n">
        <f aca="false">SUM(D16:D21)</f>
        <v>16427.45</v>
      </c>
      <c r="E22" s="76" t="n">
        <f aca="false">SUM(E16:E21)</f>
        <v>65447.8</v>
      </c>
    </row>
    <row r="24" customFormat="false" ht="15" hidden="false" customHeight="true" outlineLevel="0" collapsed="false">
      <c r="A24" s="69" t="s">
        <v>495</v>
      </c>
    </row>
    <row r="25" customFormat="false" ht="19.5" hidden="false" customHeight="true" outlineLevel="0" collapsed="false">
      <c r="A25" s="80" t="s">
        <v>476</v>
      </c>
      <c r="B25" s="80" t="s">
        <v>305</v>
      </c>
      <c r="C25" s="80" t="s">
        <v>306</v>
      </c>
      <c r="D25" s="80" t="s">
        <v>307</v>
      </c>
      <c r="E25" s="80" t="s">
        <v>477</v>
      </c>
    </row>
    <row r="26" customFormat="false" ht="15" hidden="false" customHeight="true" outlineLevel="0" collapsed="false">
      <c r="A26" s="37" t="s">
        <v>317</v>
      </c>
      <c r="B26" s="77" t="n">
        <f aca="false">SUMIFS(Credit_Card_Upload!$F$4:$F$5003,Credit_Card_Upload!$G$4:$G$5003,$A26,Credit_Card_Upload!$C$4:$C$5003,"&gt;="&amp;DATE(2026,4,1),Credit_Card_Upload!$C$4:$C$5003,"&lt;"&amp;EDATE(DATE(2026,4,1),1))</f>
        <v>0</v>
      </c>
      <c r="C26" s="77" t="n">
        <f aca="false">SUMIFS(Credit_Card_Upload!$F$4:$F$5003,Credit_Card_Upload!$G$4:$G$5003,$A26,Credit_Card_Upload!$C$4:$C$5003,"&gt;="&amp;DATE(2026,5,1),Credit_Card_Upload!$C$4:$C$5003,"&lt;"&amp;EDATE(DATE(2026,5,1),1))</f>
        <v>5726.01</v>
      </c>
      <c r="D26" s="77" t="n">
        <f aca="false">SUMIFS(Credit_Card_Upload!$F$4:$F$5003,Credit_Card_Upload!$G$4:$G$5003,$A26,Credit_Card_Upload!$C$4:$C$5003,"&gt;="&amp;DATE(2026,6,1),Credit_Card_Upload!$C$4:$C$5003,"&lt;"&amp;EDATE(DATE(2026,6,1),1))</f>
        <v>0</v>
      </c>
      <c r="E26" s="74" t="n">
        <f aca="false">SUM(B26:D26)</f>
        <v>5726.01</v>
      </c>
    </row>
    <row r="27" customFormat="false" ht="15" hidden="false" customHeight="true" outlineLevel="0" collapsed="false">
      <c r="A27" s="37" t="s">
        <v>320</v>
      </c>
      <c r="B27" s="77" t="n">
        <f aca="false">SUMIFS(Credit_Card_Upload!$F$4:$F$5003,Credit_Card_Upload!$G$4:$G$5003,$A27,Credit_Card_Upload!$C$4:$C$5003,"&gt;="&amp;DATE(2026,4,1),Credit_Card_Upload!$C$4:$C$5003,"&lt;"&amp;EDATE(DATE(2026,4,1),1))</f>
        <v>4200.66</v>
      </c>
      <c r="C27" s="77" t="n">
        <f aca="false">SUMIFS(Credit_Card_Upload!$F$4:$F$5003,Credit_Card_Upload!$G$4:$G$5003,$A27,Credit_Card_Upload!$C$4:$C$5003,"&gt;="&amp;DATE(2026,5,1),Credit_Card_Upload!$C$4:$C$5003,"&lt;"&amp;EDATE(DATE(2026,5,1),1))</f>
        <v>2799.31</v>
      </c>
      <c r="D27" s="77" t="n">
        <f aca="false">SUMIFS(Credit_Card_Upload!$F$4:$F$5003,Credit_Card_Upload!$G$4:$G$5003,$A27,Credit_Card_Upload!$C$4:$C$5003,"&gt;="&amp;DATE(2026,6,1),Credit_Card_Upload!$C$4:$C$5003,"&lt;"&amp;EDATE(DATE(2026,6,1),1))</f>
        <v>2497.9</v>
      </c>
      <c r="E27" s="74" t="n">
        <f aca="false">SUM(B27:D27)</f>
        <v>9497.87</v>
      </c>
    </row>
    <row r="28" customFormat="false" ht="15" hidden="false" customHeight="true" outlineLevel="0" collapsed="false">
      <c r="A28" s="37" t="s">
        <v>322</v>
      </c>
      <c r="B28" s="77" t="n">
        <f aca="false">SUMIFS(Credit_Card_Upload!$F$4:$F$5003,Credit_Card_Upload!$G$4:$G$5003,$A28,Credit_Card_Upload!$C$4:$C$5003,"&gt;="&amp;DATE(2026,4,1),Credit_Card_Upload!$C$4:$C$5003,"&lt;"&amp;EDATE(DATE(2026,4,1),1))</f>
        <v>0</v>
      </c>
      <c r="C28" s="77" t="n">
        <f aca="false">SUMIFS(Credit_Card_Upload!$F$4:$F$5003,Credit_Card_Upload!$G$4:$G$5003,$A28,Credit_Card_Upload!$C$4:$C$5003,"&gt;="&amp;DATE(2026,5,1),Credit_Card_Upload!$C$4:$C$5003,"&lt;"&amp;EDATE(DATE(2026,5,1),1))</f>
        <v>9257.15</v>
      </c>
      <c r="D28" s="77" t="n">
        <f aca="false">SUMIFS(Credit_Card_Upload!$F$4:$F$5003,Credit_Card_Upload!$G$4:$G$5003,$A28,Credit_Card_Upload!$C$4:$C$5003,"&gt;="&amp;DATE(2026,6,1),Credit_Card_Upload!$C$4:$C$5003,"&lt;"&amp;EDATE(DATE(2026,6,1),1))</f>
        <v>2872.69</v>
      </c>
      <c r="E28" s="74" t="n">
        <f aca="false">SUM(B28:D28)</f>
        <v>12129.84</v>
      </c>
    </row>
    <row r="29" customFormat="false" ht="15" hidden="false" customHeight="true" outlineLevel="0" collapsed="false">
      <c r="A29" s="37" t="s">
        <v>478</v>
      </c>
      <c r="B29" s="77" t="n">
        <f aca="false">SUMIFS(Credit_Card_Upload!$F$4:$F$5003,Credit_Card_Upload!$G$4:$G$5003,$A29,Credit_Card_Upload!$C$4:$C$5003,"&gt;="&amp;DATE(2026,4,1),Credit_Card_Upload!$C$4:$C$5003,"&lt;"&amp;EDATE(DATE(2026,4,1),1))</f>
        <v>8835.16</v>
      </c>
      <c r="C29" s="77" t="n">
        <f aca="false">SUMIFS(Credit_Card_Upload!$F$4:$F$5003,Credit_Card_Upload!$G$4:$G$5003,$A29,Credit_Card_Upload!$C$4:$C$5003,"&gt;="&amp;DATE(2026,5,1),Credit_Card_Upload!$C$4:$C$5003,"&lt;"&amp;EDATE(DATE(2026,5,1),1))</f>
        <v>2849.57</v>
      </c>
      <c r="D29" s="77" t="n">
        <f aca="false">SUMIFS(Credit_Card_Upload!$F$4:$F$5003,Credit_Card_Upload!$G$4:$G$5003,$A29,Credit_Card_Upload!$C$4:$C$5003,"&gt;="&amp;DATE(2026,6,1),Credit_Card_Upload!$C$4:$C$5003,"&lt;"&amp;EDATE(DATE(2026,6,1),1))</f>
        <v>12554.37</v>
      </c>
      <c r="E29" s="74" t="n">
        <f aca="false">SUM(B29:D29)</f>
        <v>24239.1</v>
      </c>
    </row>
    <row r="30" customFormat="false" ht="15" hidden="false" customHeight="true" outlineLevel="0" collapsed="false">
      <c r="A30" s="75" t="s">
        <v>496</v>
      </c>
      <c r="B30" s="76" t="n">
        <f aca="false">SUM(B26:B29)</f>
        <v>13035.82</v>
      </c>
      <c r="C30" s="76" t="n">
        <f aca="false">SUM(C26:C29)</f>
        <v>20632.04</v>
      </c>
      <c r="D30" s="76" t="n">
        <f aca="false">SUM(D26:D29)</f>
        <v>17924.96</v>
      </c>
      <c r="E30" s="76" t="n">
        <f aca="false">SUM(E26:E29)</f>
        <v>51592.82</v>
      </c>
    </row>
    <row r="32" customFormat="false" ht="15" hidden="false" customHeight="true" outlineLevel="0" collapsed="false">
      <c r="A32" s="69" t="s">
        <v>497</v>
      </c>
    </row>
    <row r="33" customFormat="false" ht="19.5" hidden="false" customHeight="true" outlineLevel="0" collapsed="false">
      <c r="A33" s="81" t="s">
        <v>476</v>
      </c>
      <c r="B33" s="81" t="s">
        <v>305</v>
      </c>
      <c r="C33" s="81" t="s">
        <v>306</v>
      </c>
      <c r="D33" s="81" t="s">
        <v>307</v>
      </c>
      <c r="E33" s="81" t="s">
        <v>477</v>
      </c>
    </row>
    <row r="34" customFormat="false" ht="15" hidden="false" customHeight="true" outlineLevel="0" collapsed="false">
      <c r="A34" s="37" t="s">
        <v>317</v>
      </c>
      <c r="B34" s="77" t="n">
        <f aca="false">SUMIFS(Vendor_Invoices_Upload!$G$4:$G$5003,Vendor_Invoices_Upload!$I$4:$I$5003,$A34,Vendor_Invoices_Upload!$B$4:$B$5003,"&gt;="&amp;DATE(2026,4,1),Vendor_Invoices_Upload!$B$4:$B$5003,"&lt;"&amp;EDATE(DATE(2026,4,1),1))</f>
        <v>11930.78</v>
      </c>
      <c r="C34" s="77" t="n">
        <f aca="false">SUMIFS(Vendor_Invoices_Upload!$G$4:$G$5003,Vendor_Invoices_Upload!$I$4:$I$5003,$A34,Vendor_Invoices_Upload!$B$4:$B$5003,"&gt;="&amp;DATE(2026,5,1),Vendor_Invoices_Upload!$B$4:$B$5003,"&lt;"&amp;EDATE(DATE(2026,5,1),1))</f>
        <v>0</v>
      </c>
      <c r="D34" s="77" t="n">
        <f aca="false">SUMIFS(Vendor_Invoices_Upload!$G$4:$G$5003,Vendor_Invoices_Upload!$I$4:$I$5003,$A34,Vendor_Invoices_Upload!$B$4:$B$5003,"&gt;="&amp;DATE(2026,6,1),Vendor_Invoices_Upload!$B$4:$B$5003,"&lt;"&amp;EDATE(DATE(2026,6,1),1))</f>
        <v>5469.6</v>
      </c>
      <c r="E34" s="74" t="n">
        <f aca="false">SUM(B34:D34)</f>
        <v>17400.38</v>
      </c>
    </row>
    <row r="35" customFormat="false" ht="15" hidden="false" customHeight="true" outlineLevel="0" collapsed="false">
      <c r="A35" s="37" t="s">
        <v>320</v>
      </c>
      <c r="B35" s="77" t="n">
        <f aca="false">SUMIFS(Vendor_Invoices_Upload!$G$4:$G$5003,Vendor_Invoices_Upload!$I$4:$I$5003,$A35,Vendor_Invoices_Upload!$B$4:$B$5003,"&gt;="&amp;DATE(2026,4,1),Vendor_Invoices_Upload!$B$4:$B$5003,"&lt;"&amp;EDATE(DATE(2026,4,1),1))</f>
        <v>0</v>
      </c>
      <c r="C35" s="77" t="n">
        <f aca="false">SUMIFS(Vendor_Invoices_Upload!$G$4:$G$5003,Vendor_Invoices_Upload!$I$4:$I$5003,$A35,Vendor_Invoices_Upload!$B$4:$B$5003,"&gt;="&amp;DATE(2026,5,1),Vendor_Invoices_Upload!$B$4:$B$5003,"&lt;"&amp;EDATE(DATE(2026,5,1),1))</f>
        <v>0</v>
      </c>
      <c r="D35" s="77" t="n">
        <f aca="false">SUMIFS(Vendor_Invoices_Upload!$G$4:$G$5003,Vendor_Invoices_Upload!$I$4:$I$5003,$A35,Vendor_Invoices_Upload!$B$4:$B$5003,"&gt;="&amp;DATE(2026,6,1),Vendor_Invoices_Upload!$B$4:$B$5003,"&lt;"&amp;EDATE(DATE(2026,6,1),1))</f>
        <v>0</v>
      </c>
      <c r="E35" s="74" t="n">
        <f aca="false">SUM(B35:D35)</f>
        <v>0</v>
      </c>
    </row>
    <row r="36" customFormat="false" ht="15" hidden="false" customHeight="true" outlineLevel="0" collapsed="false">
      <c r="A36" s="37" t="s">
        <v>322</v>
      </c>
      <c r="B36" s="77" t="n">
        <f aca="false">SUMIFS(Vendor_Invoices_Upload!$G$4:$G$5003,Vendor_Invoices_Upload!$I$4:$I$5003,$A36,Vendor_Invoices_Upload!$B$4:$B$5003,"&gt;="&amp;DATE(2026,4,1),Vendor_Invoices_Upload!$B$4:$B$5003,"&lt;"&amp;EDATE(DATE(2026,4,1),1))</f>
        <v>0</v>
      </c>
      <c r="C36" s="77" t="n">
        <f aca="false">SUMIFS(Vendor_Invoices_Upload!$G$4:$G$5003,Vendor_Invoices_Upload!$I$4:$I$5003,$A36,Vendor_Invoices_Upload!$B$4:$B$5003,"&gt;="&amp;DATE(2026,5,1),Vendor_Invoices_Upload!$B$4:$B$5003,"&lt;"&amp;EDATE(DATE(2026,5,1),1))</f>
        <v>0</v>
      </c>
      <c r="D36" s="77" t="n">
        <f aca="false">SUMIFS(Vendor_Invoices_Upload!$G$4:$G$5003,Vendor_Invoices_Upload!$I$4:$I$5003,$A36,Vendor_Invoices_Upload!$B$4:$B$5003,"&gt;="&amp;DATE(2026,6,1),Vendor_Invoices_Upload!$B$4:$B$5003,"&lt;"&amp;EDATE(DATE(2026,6,1),1))</f>
        <v>0</v>
      </c>
      <c r="E36" s="74" t="n">
        <f aca="false">SUM(B36:D36)</f>
        <v>0</v>
      </c>
    </row>
    <row r="37" customFormat="false" ht="15" hidden="false" customHeight="true" outlineLevel="0" collapsed="false">
      <c r="A37" s="37" t="s">
        <v>478</v>
      </c>
      <c r="B37" s="77" t="n">
        <f aca="false">SUMIFS(Vendor_Invoices_Upload!$G$4:$G$5003,Vendor_Invoices_Upload!$I$4:$I$5003,$A37,Vendor_Invoices_Upload!$B$4:$B$5003,"&gt;="&amp;DATE(2026,4,1),Vendor_Invoices_Upload!$B$4:$B$5003,"&lt;"&amp;EDATE(DATE(2026,4,1),1))</f>
        <v>7510.26</v>
      </c>
      <c r="C37" s="77" t="n">
        <f aca="false">SUMIFS(Vendor_Invoices_Upload!$G$4:$G$5003,Vendor_Invoices_Upload!$I$4:$I$5003,$A37,Vendor_Invoices_Upload!$B$4:$B$5003,"&gt;="&amp;DATE(2026,5,1),Vendor_Invoices_Upload!$B$4:$B$5003,"&lt;"&amp;EDATE(DATE(2026,5,1),1))</f>
        <v>17310.2</v>
      </c>
      <c r="D37" s="77" t="n">
        <f aca="false">SUMIFS(Vendor_Invoices_Upload!$G$4:$G$5003,Vendor_Invoices_Upload!$I$4:$I$5003,$A37,Vendor_Invoices_Upload!$B$4:$B$5003,"&gt;="&amp;DATE(2026,6,1),Vendor_Invoices_Upload!$B$4:$B$5003,"&lt;"&amp;EDATE(DATE(2026,6,1),1))</f>
        <v>10493.39</v>
      </c>
      <c r="E37" s="74" t="n">
        <f aca="false">SUM(B37:D37)</f>
        <v>35313.85</v>
      </c>
    </row>
    <row r="38" customFormat="false" ht="15" hidden="false" customHeight="true" outlineLevel="0" collapsed="false">
      <c r="A38" s="75" t="s">
        <v>498</v>
      </c>
      <c r="B38" s="76" t="n">
        <f aca="false">SUM(B34:B37)</f>
        <v>19441.04</v>
      </c>
      <c r="C38" s="76" t="n">
        <f aca="false">SUM(C34:C37)</f>
        <v>17310.2</v>
      </c>
      <c r="D38" s="76" t="n">
        <f aca="false">SUM(D34:D37)</f>
        <v>15962.99</v>
      </c>
      <c r="E38" s="76" t="n">
        <f aca="false">SUM(E34:E37)</f>
        <v>52714.23</v>
      </c>
    </row>
    <row r="41" customFormat="false" ht="15" hidden="false" customHeight="true" outlineLevel="0" collapsed="false">
      <c r="A41" s="82" t="s">
        <v>499</v>
      </c>
      <c r="B41" s="83" t="n">
        <f aca="false">B12+B22+B30+B38</f>
        <v>134667.87</v>
      </c>
      <c r="C41" s="83" t="n">
        <f aca="false">C12+C22+C30+C38</f>
        <v>137482.66</v>
      </c>
      <c r="D41" s="83" t="n">
        <f aca="false">D12+D22+D30+D38</f>
        <v>109424.73</v>
      </c>
      <c r="E41" s="83" t="n">
        <f aca="false">E12+E22+E30+E38</f>
        <v>381575.26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25" width="13"/>
    <col collapsed="false" customWidth="true" hidden="false" outlineLevel="0" max="3" min="3" style="25" width="34"/>
    <col collapsed="false" customWidth="true" hidden="false" outlineLevel="0" max="4" min="4" style="25" width="12"/>
    <col collapsed="false" customWidth="true" hidden="false" outlineLevel="0" max="5" min="5" style="25" width="14"/>
    <col collapsed="false" customWidth="true" hidden="false" outlineLevel="0" max="6" min="6" style="25" width="16"/>
    <col collapsed="false" customWidth="true" hidden="false" outlineLevel="0" max="8" min="7" style="25" width="12"/>
  </cols>
  <sheetData>
    <row r="1" customFormat="false" ht="15" hidden="false" customHeight="true" outlineLevel="0" collapsed="false">
      <c r="A1" s="56" t="s">
        <v>500</v>
      </c>
      <c r="B1" s="56"/>
      <c r="C1" s="56"/>
      <c r="D1" s="56"/>
      <c r="E1" s="56"/>
      <c r="F1" s="56"/>
      <c r="G1" s="56"/>
      <c r="H1" s="56"/>
    </row>
    <row r="2" customFormat="false" ht="15" hidden="false" customHeight="true" outlineLevel="0" collapsed="false">
      <c r="A2" s="44" t="s">
        <v>501</v>
      </c>
      <c r="B2" s="44"/>
      <c r="C2" s="44"/>
      <c r="D2" s="44"/>
      <c r="E2" s="44"/>
      <c r="F2" s="44"/>
      <c r="G2" s="44"/>
      <c r="H2" s="44"/>
    </row>
    <row r="4" customFormat="false" ht="15" hidden="false" customHeight="true" outlineLevel="0" collapsed="false">
      <c r="B4" s="67" t="s">
        <v>460</v>
      </c>
      <c r="C4" s="68" t="n">
        <f aca="false">DATE(2026,6,30)</f>
        <v>46203</v>
      </c>
    </row>
    <row r="6" customFormat="false" ht="15" hidden="false" customHeight="true" outlineLevel="0" collapsed="false">
      <c r="A6" s="69" t="s">
        <v>502</v>
      </c>
    </row>
    <row r="7" customFormat="false" ht="19.5" hidden="false" customHeight="true" outlineLevel="0" collapsed="false">
      <c r="A7" s="42" t="s">
        <v>257</v>
      </c>
      <c r="B7" s="42" t="s">
        <v>193</v>
      </c>
      <c r="C7" s="42" t="s">
        <v>127</v>
      </c>
      <c r="D7" s="42" t="s">
        <v>315</v>
      </c>
      <c r="E7" s="42" t="s">
        <v>198</v>
      </c>
      <c r="F7" s="42" t="s">
        <v>134</v>
      </c>
      <c r="G7" s="42" t="s">
        <v>462</v>
      </c>
      <c r="H7" s="42" t="s">
        <v>463</v>
      </c>
    </row>
    <row r="8" customFormat="false" ht="15" hidden="false" customHeight="true" outlineLevel="0" collapsed="false">
      <c r="A8" s="70" t="str">
        <f aca="false">IF(AND(Xero_Raw!$C$4="Invoice",AND(Xero_Raw!$I$4&lt;&gt;"Paid",Xero_Raw!$I$4&lt;&gt;"Void",Xero_Raw!$I$4&lt;&gt;"Draft")),Xero_Raw!$A$4,"")</f>
        <v/>
      </c>
      <c r="B8" s="70" t="str">
        <f aca="false">IF(AND(Xero_Raw!$C$4="Invoice",AND(Xero_Raw!$I$4&lt;&gt;"Paid",Xero_Raw!$I$4&lt;&gt;"Void",Xero_Raw!$I$4&lt;&gt;"Draft")),Xero_Raw!$B$4,"")</f>
        <v/>
      </c>
      <c r="C8" s="71" t="str">
        <f aca="false">IF(AND(Xero_Raw!$C$4="Invoice",AND(Xero_Raw!$I$4&lt;&gt;"Paid",Xero_Raw!$I$4&lt;&gt;"Void",Xero_Raw!$I$4&lt;&gt;"Draft")),Xero_Raw!$D$4,"")</f>
        <v/>
      </c>
      <c r="D8" s="71" t="str">
        <f aca="false">IF(C8="","",IFERROR(VLOOKUP(C8,Assumptions!$G$5:$H$16,2,0),"Other"))</f>
        <v/>
      </c>
      <c r="E8" s="72" t="str">
        <f aca="false">IF(AND(Xero_Raw!$C$4="Invoice",AND(Xero_Raw!$I$4&lt;&gt;"Paid",Xero_Raw!$I$4&lt;&gt;"Void",Xero_Raw!$I$4&lt;&gt;"Draft")),Xero_Raw!$H$4,"")</f>
        <v/>
      </c>
      <c r="F8" s="71" t="str">
        <f aca="false">IF(AND(Xero_Raw!$C$4="Invoice",AND(Xero_Raw!$I$4&lt;&gt;"Paid",Xero_Raw!$I$4&lt;&gt;"Void",Xero_Raw!$I$4&lt;&gt;"Draft")),Xero_Raw!$I$4,"")</f>
        <v/>
      </c>
      <c r="G8" s="71" t="str">
        <f aca="false">IF(B8="","",MAX($C$4-B8,0))</f>
        <v/>
      </c>
      <c r="H8" s="37" t="str">
        <f aca="false">IF(G8="","",IF(G8&lt;=30,"0-30",IF(G8&lt;=60,"31-60",IF(G8&lt;=90,"61-90","90+"))))</f>
        <v/>
      </c>
    </row>
    <row r="9" customFormat="false" ht="15" hidden="false" customHeight="true" outlineLevel="0" collapsed="false">
      <c r="A9" s="70" t="str">
        <f aca="false">IF(AND(Xero_Raw!$C$5="Invoice",AND(Xero_Raw!$I$5&lt;&gt;"Paid",Xero_Raw!$I$5&lt;&gt;"Void",Xero_Raw!$I$5&lt;&gt;"Draft")),Xero_Raw!$A$5,"")</f>
        <v/>
      </c>
      <c r="B9" s="70" t="str">
        <f aca="false">IF(AND(Xero_Raw!$C$5="Invoice",AND(Xero_Raw!$I$5&lt;&gt;"Paid",Xero_Raw!$I$5&lt;&gt;"Void",Xero_Raw!$I$5&lt;&gt;"Draft")),Xero_Raw!$B$5,"")</f>
        <v/>
      </c>
      <c r="C9" s="71" t="str">
        <f aca="false">IF(AND(Xero_Raw!$C$5="Invoice",AND(Xero_Raw!$I$5&lt;&gt;"Paid",Xero_Raw!$I$5&lt;&gt;"Void",Xero_Raw!$I$5&lt;&gt;"Draft")),Xero_Raw!$D$5,"")</f>
        <v/>
      </c>
      <c r="D9" s="71" t="str">
        <f aca="false">IF(C9="","",IFERROR(VLOOKUP(C9,Assumptions!$G$5:$H$16,2,0),"Other"))</f>
        <v/>
      </c>
      <c r="E9" s="72" t="str">
        <f aca="false">IF(AND(Xero_Raw!$C$5="Invoice",AND(Xero_Raw!$I$5&lt;&gt;"Paid",Xero_Raw!$I$5&lt;&gt;"Void",Xero_Raw!$I$5&lt;&gt;"Draft")),Xero_Raw!$H$5,"")</f>
        <v/>
      </c>
      <c r="F9" s="71" t="str">
        <f aca="false">IF(AND(Xero_Raw!$C$5="Invoice",AND(Xero_Raw!$I$5&lt;&gt;"Paid",Xero_Raw!$I$5&lt;&gt;"Void",Xero_Raw!$I$5&lt;&gt;"Draft")),Xero_Raw!$I$5,"")</f>
        <v/>
      </c>
      <c r="G9" s="71" t="str">
        <f aca="false">IF(B9="","",MAX($C$4-B9,0))</f>
        <v/>
      </c>
      <c r="H9" s="37" t="str">
        <f aca="false">IF(G9="","",IF(G9&lt;=30,"0-30",IF(G9&lt;=60,"31-60",IF(G9&lt;=90,"61-90","90+"))))</f>
        <v/>
      </c>
    </row>
    <row r="10" customFormat="false" ht="15" hidden="false" customHeight="true" outlineLevel="0" collapsed="false">
      <c r="A10" s="70" t="str">
        <f aca="false">IF(AND(Xero_Raw!$C$6="Invoice",AND(Xero_Raw!$I$6&lt;&gt;"Paid",Xero_Raw!$I$6&lt;&gt;"Void",Xero_Raw!$I$6&lt;&gt;"Draft")),Xero_Raw!$A$6,"")</f>
        <v/>
      </c>
      <c r="B10" s="70" t="str">
        <f aca="false">IF(AND(Xero_Raw!$C$6="Invoice",AND(Xero_Raw!$I$6&lt;&gt;"Paid",Xero_Raw!$I$6&lt;&gt;"Void",Xero_Raw!$I$6&lt;&gt;"Draft")),Xero_Raw!$B$6,"")</f>
        <v/>
      </c>
      <c r="C10" s="71" t="str">
        <f aca="false">IF(AND(Xero_Raw!$C$6="Invoice",AND(Xero_Raw!$I$6&lt;&gt;"Paid",Xero_Raw!$I$6&lt;&gt;"Void",Xero_Raw!$I$6&lt;&gt;"Draft")),Xero_Raw!$D$6,"")</f>
        <v/>
      </c>
      <c r="D10" s="71" t="str">
        <f aca="false">IF(C10="","",IFERROR(VLOOKUP(C10,Assumptions!$G$5:$H$16,2,0),"Other"))</f>
        <v/>
      </c>
      <c r="E10" s="72" t="str">
        <f aca="false">IF(AND(Xero_Raw!$C$6="Invoice",AND(Xero_Raw!$I$6&lt;&gt;"Paid",Xero_Raw!$I$6&lt;&gt;"Void",Xero_Raw!$I$6&lt;&gt;"Draft")),Xero_Raw!$H$6,"")</f>
        <v/>
      </c>
      <c r="F10" s="71" t="str">
        <f aca="false">IF(AND(Xero_Raw!$C$6="Invoice",AND(Xero_Raw!$I$6&lt;&gt;"Paid",Xero_Raw!$I$6&lt;&gt;"Void",Xero_Raw!$I$6&lt;&gt;"Draft")),Xero_Raw!$I$6,"")</f>
        <v/>
      </c>
      <c r="G10" s="71" t="str">
        <f aca="false">IF(B10="","",MAX($C$4-B10,0))</f>
        <v/>
      </c>
      <c r="H10" s="37" t="str">
        <f aca="false">IF(G10="","",IF(G10&lt;=30,"0-30",IF(G10&lt;=60,"31-60",IF(G10&lt;=90,"61-90","90+"))))</f>
        <v/>
      </c>
    </row>
    <row r="11" customFormat="false" ht="15" hidden="false" customHeight="true" outlineLevel="0" collapsed="false">
      <c r="A11" s="70" t="str">
        <f aca="false">IF(AND(Xero_Raw!$C$7="Invoice",AND(Xero_Raw!$I$7&lt;&gt;"Paid",Xero_Raw!$I$7&lt;&gt;"Void",Xero_Raw!$I$7&lt;&gt;"Draft")),Xero_Raw!$A$7,"")</f>
        <v/>
      </c>
      <c r="B11" s="70" t="str">
        <f aca="false">IF(AND(Xero_Raw!$C$7="Invoice",AND(Xero_Raw!$I$7&lt;&gt;"Paid",Xero_Raw!$I$7&lt;&gt;"Void",Xero_Raw!$I$7&lt;&gt;"Draft")),Xero_Raw!$B$7,"")</f>
        <v/>
      </c>
      <c r="C11" s="71" t="str">
        <f aca="false">IF(AND(Xero_Raw!$C$7="Invoice",AND(Xero_Raw!$I$7&lt;&gt;"Paid",Xero_Raw!$I$7&lt;&gt;"Void",Xero_Raw!$I$7&lt;&gt;"Draft")),Xero_Raw!$D$7,"")</f>
        <v/>
      </c>
      <c r="D11" s="71" t="str">
        <f aca="false">IF(C11="","",IFERROR(VLOOKUP(C11,Assumptions!$G$5:$H$16,2,0),"Other"))</f>
        <v/>
      </c>
      <c r="E11" s="72" t="str">
        <f aca="false">IF(AND(Xero_Raw!$C$7="Invoice",AND(Xero_Raw!$I$7&lt;&gt;"Paid",Xero_Raw!$I$7&lt;&gt;"Void",Xero_Raw!$I$7&lt;&gt;"Draft")),Xero_Raw!$H$7,"")</f>
        <v/>
      </c>
      <c r="F11" s="71" t="str">
        <f aca="false">IF(AND(Xero_Raw!$C$7="Invoice",AND(Xero_Raw!$I$7&lt;&gt;"Paid",Xero_Raw!$I$7&lt;&gt;"Void",Xero_Raw!$I$7&lt;&gt;"Draft")),Xero_Raw!$I$7,"")</f>
        <v/>
      </c>
      <c r="G11" s="71" t="str">
        <f aca="false">IF(B11="","",MAX($C$4-B11,0))</f>
        <v/>
      </c>
      <c r="H11" s="37" t="str">
        <f aca="false">IF(G11="","",IF(G11&lt;=30,"0-30",IF(G11&lt;=60,"31-60",IF(G11&lt;=90,"61-90","90+"))))</f>
        <v/>
      </c>
    </row>
    <row r="12" customFormat="false" ht="15" hidden="false" customHeight="true" outlineLevel="0" collapsed="false">
      <c r="A12" s="70" t="n">
        <f aca="false">IF(AND(Xero_Raw!$C$8="Invoice",AND(Xero_Raw!$I$8&lt;&gt;"Paid",Xero_Raw!$I$8&lt;&gt;"Void",Xero_Raw!$I$8&lt;&gt;"Draft")),Xero_Raw!$A$8,"")</f>
        <v>46127</v>
      </c>
      <c r="B12" s="70" t="n">
        <f aca="false">IF(AND(Xero_Raw!$C$8="Invoice",AND(Xero_Raw!$I$8&lt;&gt;"Paid",Xero_Raw!$I$8&lt;&gt;"Void",Xero_Raw!$I$8&lt;&gt;"Draft")),Xero_Raw!$B$8,"")</f>
        <v>46157</v>
      </c>
      <c r="C12" s="71" t="str">
        <f aca="false">IF(AND(Xero_Raw!$C$8="Invoice",AND(Xero_Raw!$I$8&lt;&gt;"Paid",Xero_Raw!$I$8&lt;&gt;"Void",Xero_Raw!$I$8&lt;&gt;"Draft")),Xero_Raw!$D$8,"")</f>
        <v>Misfit Technologies Pte Ltd</v>
      </c>
      <c r="D12" s="71" t="str">
        <f aca="false">IF(C12="","",IFERROR(VLOOKUP(C12,Assumptions!$G$5:$H$16,2,0),"Other"))</f>
        <v>Singapore</v>
      </c>
      <c r="E12" s="72" t="n">
        <f aca="false">IF(AND(Xero_Raw!$C$8="Invoice",AND(Xero_Raw!$I$8&lt;&gt;"Paid",Xero_Raw!$I$8&lt;&gt;"Void",Xero_Raw!$I$8&lt;&gt;"Draft")),Xero_Raw!$H$8,"")</f>
        <v>52102.53</v>
      </c>
      <c r="F12" s="71" t="str">
        <f aca="false">IF(AND(Xero_Raw!$C$8="Invoice",AND(Xero_Raw!$I$8&lt;&gt;"Paid",Xero_Raw!$I$8&lt;&gt;"Void",Xero_Raw!$I$8&lt;&gt;"Draft")),Xero_Raw!$I$8,"")</f>
        <v>Unsent</v>
      </c>
      <c r="G12" s="71" t="n">
        <f aca="false">IF(B12="","",MAX($C$4-B12,0))</f>
        <v>46</v>
      </c>
      <c r="H12" s="37" t="str">
        <f aca="false">IF(G12="","",IF(G12&lt;=30,"0-30",IF(G12&lt;=60,"31-60",IF(G12&lt;=90,"61-90","90+"))))</f>
        <v>31-60</v>
      </c>
    </row>
    <row r="13" customFormat="false" ht="15" hidden="false" customHeight="true" outlineLevel="0" collapsed="false">
      <c r="A13" s="70" t="n">
        <f aca="false">IF(AND(Xero_Raw!$C$9="Invoice",AND(Xero_Raw!$I$9&lt;&gt;"Paid",Xero_Raw!$I$9&lt;&gt;"Void",Xero_Raw!$I$9&lt;&gt;"Draft")),Xero_Raw!$A$9,"")</f>
        <v>46116</v>
      </c>
      <c r="B13" s="70" t="n">
        <f aca="false">IF(AND(Xero_Raw!$C$9="Invoice",AND(Xero_Raw!$I$9&lt;&gt;"Paid",Xero_Raw!$I$9&lt;&gt;"Void",Xero_Raw!$I$9&lt;&gt;"Draft")),Xero_Raw!$B$9,"")</f>
        <v>46146</v>
      </c>
      <c r="C13" s="71" t="str">
        <f aca="false">IF(AND(Xero_Raw!$C$9="Invoice",AND(Xero_Raw!$I$9&lt;&gt;"Paid",Xero_Raw!$I$9&lt;&gt;"Void",Xero_Raw!$I$9&lt;&gt;"Draft")),Xero_Raw!$D$9,"")</f>
        <v>Almoudi Group Tabuk ST</v>
      </c>
      <c r="D13" s="71" t="str">
        <f aca="false">IF(C13="","",IFERROR(VLOOKUP(C13,Assumptions!$G$5:$H$16,2,0),"Other"))</f>
        <v>Saudi Arabia</v>
      </c>
      <c r="E13" s="72" t="n">
        <f aca="false">IF(AND(Xero_Raw!$C$9="Invoice",AND(Xero_Raw!$I$9&lt;&gt;"Paid",Xero_Raw!$I$9&lt;&gt;"Void",Xero_Raw!$I$9&lt;&gt;"Draft")),Xero_Raw!$H$9,"")</f>
        <v>5515.54</v>
      </c>
      <c r="F13" s="71" t="str">
        <f aca="false">IF(AND(Xero_Raw!$C$9="Invoice",AND(Xero_Raw!$I$9&lt;&gt;"Paid",Xero_Raw!$I$9&lt;&gt;"Void",Xero_Raw!$I$9&lt;&gt;"Draft")),Xero_Raw!$I$9,"")</f>
        <v>Unsent</v>
      </c>
      <c r="G13" s="71" t="n">
        <f aca="false">IF(B13="","",MAX($C$4-B13,0))</f>
        <v>57</v>
      </c>
      <c r="H13" s="37" t="str">
        <f aca="false">IF(G13="","",IF(G13&lt;=30,"0-30",IF(G13&lt;=60,"31-60",IF(G13&lt;=90,"61-90","90+"))))</f>
        <v>31-60</v>
      </c>
    </row>
    <row r="14" customFormat="false" ht="15" hidden="false" customHeight="true" outlineLevel="0" collapsed="false">
      <c r="A14" s="70" t="str">
        <f aca="false">IF(AND(Xero_Raw!$C$10="Invoice",AND(Xero_Raw!$I$10&lt;&gt;"Paid",Xero_Raw!$I$10&lt;&gt;"Void",Xero_Raw!$I$10&lt;&gt;"Draft")),Xero_Raw!$A$10,"")</f>
        <v/>
      </c>
      <c r="B14" s="70" t="str">
        <f aca="false">IF(AND(Xero_Raw!$C$10="Invoice",AND(Xero_Raw!$I$10&lt;&gt;"Paid",Xero_Raw!$I$10&lt;&gt;"Void",Xero_Raw!$I$10&lt;&gt;"Draft")),Xero_Raw!$B$10,"")</f>
        <v/>
      </c>
      <c r="C14" s="71" t="str">
        <f aca="false">IF(AND(Xero_Raw!$C$10="Invoice",AND(Xero_Raw!$I$10&lt;&gt;"Paid",Xero_Raw!$I$10&lt;&gt;"Void",Xero_Raw!$I$10&lt;&gt;"Draft")),Xero_Raw!$D$10,"")</f>
        <v/>
      </c>
      <c r="D14" s="71" t="str">
        <f aca="false">IF(C14="","",IFERROR(VLOOKUP(C14,Assumptions!$G$5:$H$16,2,0),"Other"))</f>
        <v/>
      </c>
      <c r="E14" s="72" t="str">
        <f aca="false">IF(AND(Xero_Raw!$C$10="Invoice",AND(Xero_Raw!$I$10&lt;&gt;"Paid",Xero_Raw!$I$10&lt;&gt;"Void",Xero_Raw!$I$10&lt;&gt;"Draft")),Xero_Raw!$H$10,"")</f>
        <v/>
      </c>
      <c r="F14" s="71" t="str">
        <f aca="false">IF(AND(Xero_Raw!$C$10="Invoice",AND(Xero_Raw!$I$10&lt;&gt;"Paid",Xero_Raw!$I$10&lt;&gt;"Void",Xero_Raw!$I$10&lt;&gt;"Draft")),Xero_Raw!$I$10,"")</f>
        <v/>
      </c>
      <c r="G14" s="71" t="str">
        <f aca="false">IF(B14="","",MAX($C$4-B14,0))</f>
        <v/>
      </c>
      <c r="H14" s="37" t="str">
        <f aca="false">IF(G14="","",IF(G14&lt;=30,"0-30",IF(G14&lt;=60,"31-60",IF(G14&lt;=90,"61-90","90+"))))</f>
        <v/>
      </c>
    </row>
    <row r="15" customFormat="false" ht="15" hidden="false" customHeight="true" outlineLevel="0" collapsed="false">
      <c r="A15" s="70" t="str">
        <f aca="false">IF(AND(Xero_Raw!$C$11="Invoice",AND(Xero_Raw!$I$11&lt;&gt;"Paid",Xero_Raw!$I$11&lt;&gt;"Void",Xero_Raw!$I$11&lt;&gt;"Draft")),Xero_Raw!$A$11,"")</f>
        <v/>
      </c>
      <c r="B15" s="70" t="str">
        <f aca="false">IF(AND(Xero_Raw!$C$11="Invoice",AND(Xero_Raw!$I$11&lt;&gt;"Paid",Xero_Raw!$I$11&lt;&gt;"Void",Xero_Raw!$I$11&lt;&gt;"Draft")),Xero_Raw!$B$11,"")</f>
        <v/>
      </c>
      <c r="C15" s="71" t="str">
        <f aca="false">IF(AND(Xero_Raw!$C$11="Invoice",AND(Xero_Raw!$I$11&lt;&gt;"Paid",Xero_Raw!$I$11&lt;&gt;"Void",Xero_Raw!$I$11&lt;&gt;"Draft")),Xero_Raw!$D$11,"")</f>
        <v/>
      </c>
      <c r="D15" s="71" t="str">
        <f aca="false">IF(C15="","",IFERROR(VLOOKUP(C15,Assumptions!$G$5:$H$16,2,0),"Other"))</f>
        <v/>
      </c>
      <c r="E15" s="72" t="str">
        <f aca="false">IF(AND(Xero_Raw!$C$11="Invoice",AND(Xero_Raw!$I$11&lt;&gt;"Paid",Xero_Raw!$I$11&lt;&gt;"Void",Xero_Raw!$I$11&lt;&gt;"Draft")),Xero_Raw!$H$11,"")</f>
        <v/>
      </c>
      <c r="F15" s="71" t="str">
        <f aca="false">IF(AND(Xero_Raw!$C$11="Invoice",AND(Xero_Raw!$I$11&lt;&gt;"Paid",Xero_Raw!$I$11&lt;&gt;"Void",Xero_Raw!$I$11&lt;&gt;"Draft")),Xero_Raw!$I$11,"")</f>
        <v/>
      </c>
      <c r="G15" s="71" t="str">
        <f aca="false">IF(B15="","",MAX($C$4-B15,0))</f>
        <v/>
      </c>
      <c r="H15" s="37" t="str">
        <f aca="false">IF(G15="","",IF(G15&lt;=30,"0-30",IF(G15&lt;=60,"31-60",IF(G15&lt;=90,"61-90","90+"))))</f>
        <v/>
      </c>
    </row>
    <row r="16" customFormat="false" ht="15" hidden="false" customHeight="true" outlineLevel="0" collapsed="false">
      <c r="A16" s="70" t="str">
        <f aca="false">IF(AND(Xero_Raw!$C$12="Invoice",AND(Xero_Raw!$I$12&lt;&gt;"Paid",Xero_Raw!$I$12&lt;&gt;"Void",Xero_Raw!$I$12&lt;&gt;"Draft")),Xero_Raw!$A$12,"")</f>
        <v/>
      </c>
      <c r="B16" s="70" t="str">
        <f aca="false">IF(AND(Xero_Raw!$C$12="Invoice",AND(Xero_Raw!$I$12&lt;&gt;"Paid",Xero_Raw!$I$12&lt;&gt;"Void",Xero_Raw!$I$12&lt;&gt;"Draft")),Xero_Raw!$B$12,"")</f>
        <v/>
      </c>
      <c r="C16" s="71" t="str">
        <f aca="false">IF(AND(Xero_Raw!$C$12="Invoice",AND(Xero_Raw!$I$12&lt;&gt;"Paid",Xero_Raw!$I$12&lt;&gt;"Void",Xero_Raw!$I$12&lt;&gt;"Draft")),Xero_Raw!$D$12,"")</f>
        <v/>
      </c>
      <c r="D16" s="71" t="str">
        <f aca="false">IF(C16="","",IFERROR(VLOOKUP(C16,Assumptions!$G$5:$H$16,2,0),"Other"))</f>
        <v/>
      </c>
      <c r="E16" s="72" t="str">
        <f aca="false">IF(AND(Xero_Raw!$C$12="Invoice",AND(Xero_Raw!$I$12&lt;&gt;"Paid",Xero_Raw!$I$12&lt;&gt;"Void",Xero_Raw!$I$12&lt;&gt;"Draft")),Xero_Raw!$H$12,"")</f>
        <v/>
      </c>
      <c r="F16" s="71" t="str">
        <f aca="false">IF(AND(Xero_Raw!$C$12="Invoice",AND(Xero_Raw!$I$12&lt;&gt;"Paid",Xero_Raw!$I$12&lt;&gt;"Void",Xero_Raw!$I$12&lt;&gt;"Draft")),Xero_Raw!$I$12,"")</f>
        <v/>
      </c>
      <c r="G16" s="71" t="str">
        <f aca="false">IF(B16="","",MAX($C$4-B16,0))</f>
        <v/>
      </c>
      <c r="H16" s="37" t="str">
        <f aca="false">IF(G16="","",IF(G16&lt;=30,"0-30",IF(G16&lt;=60,"31-60",IF(G16&lt;=90,"61-90","90+"))))</f>
        <v/>
      </c>
    </row>
    <row r="17" customFormat="false" ht="15" hidden="false" customHeight="true" outlineLevel="0" collapsed="false">
      <c r="A17" s="70" t="str">
        <f aca="false">IF(AND(Xero_Raw!$C$13="Invoice",AND(Xero_Raw!$I$13&lt;&gt;"Paid",Xero_Raw!$I$13&lt;&gt;"Void",Xero_Raw!$I$13&lt;&gt;"Draft")),Xero_Raw!$A$13,"")</f>
        <v/>
      </c>
      <c r="B17" s="70" t="str">
        <f aca="false">IF(AND(Xero_Raw!$C$13="Invoice",AND(Xero_Raw!$I$13&lt;&gt;"Paid",Xero_Raw!$I$13&lt;&gt;"Void",Xero_Raw!$I$13&lt;&gt;"Draft")),Xero_Raw!$B$13,"")</f>
        <v/>
      </c>
      <c r="C17" s="71" t="str">
        <f aca="false">IF(AND(Xero_Raw!$C$13="Invoice",AND(Xero_Raw!$I$13&lt;&gt;"Paid",Xero_Raw!$I$13&lt;&gt;"Void",Xero_Raw!$I$13&lt;&gt;"Draft")),Xero_Raw!$D$13,"")</f>
        <v/>
      </c>
      <c r="D17" s="71" t="str">
        <f aca="false">IF(C17="","",IFERROR(VLOOKUP(C17,Assumptions!$G$5:$H$16,2,0),"Other"))</f>
        <v/>
      </c>
      <c r="E17" s="72" t="str">
        <f aca="false">IF(AND(Xero_Raw!$C$13="Invoice",AND(Xero_Raw!$I$13&lt;&gt;"Paid",Xero_Raw!$I$13&lt;&gt;"Void",Xero_Raw!$I$13&lt;&gt;"Draft")),Xero_Raw!$H$13,"")</f>
        <v/>
      </c>
      <c r="F17" s="71" t="str">
        <f aca="false">IF(AND(Xero_Raw!$C$13="Invoice",AND(Xero_Raw!$I$13&lt;&gt;"Paid",Xero_Raw!$I$13&lt;&gt;"Void",Xero_Raw!$I$13&lt;&gt;"Draft")),Xero_Raw!$I$13,"")</f>
        <v/>
      </c>
      <c r="G17" s="71" t="str">
        <f aca="false">IF(B17="","",MAX($C$4-B17,0))</f>
        <v/>
      </c>
      <c r="H17" s="37" t="str">
        <f aca="false">IF(G17="","",IF(G17&lt;=30,"0-30",IF(G17&lt;=60,"31-60",IF(G17&lt;=90,"61-90","90+"))))</f>
        <v/>
      </c>
    </row>
    <row r="18" customFormat="false" ht="15" hidden="false" customHeight="true" outlineLevel="0" collapsed="false">
      <c r="A18" s="70" t="str">
        <f aca="false">IF(AND(Xero_Raw!$C$14="Invoice",AND(Xero_Raw!$I$14&lt;&gt;"Paid",Xero_Raw!$I$14&lt;&gt;"Void",Xero_Raw!$I$14&lt;&gt;"Draft")),Xero_Raw!$A$14,"")</f>
        <v/>
      </c>
      <c r="B18" s="70" t="str">
        <f aca="false">IF(AND(Xero_Raw!$C$14="Invoice",AND(Xero_Raw!$I$14&lt;&gt;"Paid",Xero_Raw!$I$14&lt;&gt;"Void",Xero_Raw!$I$14&lt;&gt;"Draft")),Xero_Raw!$B$14,"")</f>
        <v/>
      </c>
      <c r="C18" s="71" t="str">
        <f aca="false">IF(AND(Xero_Raw!$C$14="Invoice",AND(Xero_Raw!$I$14&lt;&gt;"Paid",Xero_Raw!$I$14&lt;&gt;"Void",Xero_Raw!$I$14&lt;&gt;"Draft")),Xero_Raw!$D$14,"")</f>
        <v/>
      </c>
      <c r="D18" s="71" t="str">
        <f aca="false">IF(C18="","",IFERROR(VLOOKUP(C18,Assumptions!$G$5:$H$16,2,0),"Other"))</f>
        <v/>
      </c>
      <c r="E18" s="72" t="str">
        <f aca="false">IF(AND(Xero_Raw!$C$14="Invoice",AND(Xero_Raw!$I$14&lt;&gt;"Paid",Xero_Raw!$I$14&lt;&gt;"Void",Xero_Raw!$I$14&lt;&gt;"Draft")),Xero_Raw!$H$14,"")</f>
        <v/>
      </c>
      <c r="F18" s="71" t="str">
        <f aca="false">IF(AND(Xero_Raw!$C$14="Invoice",AND(Xero_Raw!$I$14&lt;&gt;"Paid",Xero_Raw!$I$14&lt;&gt;"Void",Xero_Raw!$I$14&lt;&gt;"Draft")),Xero_Raw!$I$14,"")</f>
        <v/>
      </c>
      <c r="G18" s="71" t="str">
        <f aca="false">IF(B18="","",MAX($C$4-B18,0))</f>
        <v/>
      </c>
      <c r="H18" s="37" t="str">
        <f aca="false">IF(G18="","",IF(G18&lt;=30,"0-30",IF(G18&lt;=60,"31-60",IF(G18&lt;=90,"61-90","90+"))))</f>
        <v/>
      </c>
    </row>
    <row r="19" customFormat="false" ht="15" hidden="false" customHeight="true" outlineLevel="0" collapsed="false">
      <c r="A19" s="70" t="str">
        <f aca="false">IF(AND(Xero_Raw!$C$15="Invoice",AND(Xero_Raw!$I$15&lt;&gt;"Paid",Xero_Raw!$I$15&lt;&gt;"Void",Xero_Raw!$I$15&lt;&gt;"Draft")),Xero_Raw!$A$15,"")</f>
        <v/>
      </c>
      <c r="B19" s="70" t="str">
        <f aca="false">IF(AND(Xero_Raw!$C$15="Invoice",AND(Xero_Raw!$I$15&lt;&gt;"Paid",Xero_Raw!$I$15&lt;&gt;"Void",Xero_Raw!$I$15&lt;&gt;"Draft")),Xero_Raw!$B$15,"")</f>
        <v/>
      </c>
      <c r="C19" s="71" t="str">
        <f aca="false">IF(AND(Xero_Raw!$C$15="Invoice",AND(Xero_Raw!$I$15&lt;&gt;"Paid",Xero_Raw!$I$15&lt;&gt;"Void",Xero_Raw!$I$15&lt;&gt;"Draft")),Xero_Raw!$D$15,"")</f>
        <v/>
      </c>
      <c r="D19" s="71" t="str">
        <f aca="false">IF(C19="","",IFERROR(VLOOKUP(C19,Assumptions!$G$5:$H$16,2,0),"Other"))</f>
        <v/>
      </c>
      <c r="E19" s="72" t="str">
        <f aca="false">IF(AND(Xero_Raw!$C$15="Invoice",AND(Xero_Raw!$I$15&lt;&gt;"Paid",Xero_Raw!$I$15&lt;&gt;"Void",Xero_Raw!$I$15&lt;&gt;"Draft")),Xero_Raw!$H$15,"")</f>
        <v/>
      </c>
      <c r="F19" s="71" t="str">
        <f aca="false">IF(AND(Xero_Raw!$C$15="Invoice",AND(Xero_Raw!$I$15&lt;&gt;"Paid",Xero_Raw!$I$15&lt;&gt;"Void",Xero_Raw!$I$15&lt;&gt;"Draft")),Xero_Raw!$I$15,"")</f>
        <v/>
      </c>
      <c r="G19" s="71" t="str">
        <f aca="false">IF(B19="","",MAX($C$4-B19,0))</f>
        <v/>
      </c>
      <c r="H19" s="37" t="str">
        <f aca="false">IF(G19="","",IF(G19&lt;=30,"0-30",IF(G19&lt;=60,"31-60",IF(G19&lt;=90,"61-90","90+"))))</f>
        <v/>
      </c>
    </row>
    <row r="20" customFormat="false" ht="15" hidden="false" customHeight="true" outlineLevel="0" collapsed="false">
      <c r="A20" s="70" t="str">
        <f aca="false">IF(AND(Xero_Raw!$C$16="Invoice",AND(Xero_Raw!$I$16&lt;&gt;"Paid",Xero_Raw!$I$16&lt;&gt;"Void",Xero_Raw!$I$16&lt;&gt;"Draft")),Xero_Raw!$A$16,"")</f>
        <v/>
      </c>
      <c r="B20" s="70" t="str">
        <f aca="false">IF(AND(Xero_Raw!$C$16="Invoice",AND(Xero_Raw!$I$16&lt;&gt;"Paid",Xero_Raw!$I$16&lt;&gt;"Void",Xero_Raw!$I$16&lt;&gt;"Draft")),Xero_Raw!$B$16,"")</f>
        <v/>
      </c>
      <c r="C20" s="71" t="str">
        <f aca="false">IF(AND(Xero_Raw!$C$16="Invoice",AND(Xero_Raw!$I$16&lt;&gt;"Paid",Xero_Raw!$I$16&lt;&gt;"Void",Xero_Raw!$I$16&lt;&gt;"Draft")),Xero_Raw!$D$16,"")</f>
        <v/>
      </c>
      <c r="D20" s="71" t="str">
        <f aca="false">IF(C20="","",IFERROR(VLOOKUP(C20,Assumptions!$G$5:$H$16,2,0),"Other"))</f>
        <v/>
      </c>
      <c r="E20" s="72" t="str">
        <f aca="false">IF(AND(Xero_Raw!$C$16="Invoice",AND(Xero_Raw!$I$16&lt;&gt;"Paid",Xero_Raw!$I$16&lt;&gt;"Void",Xero_Raw!$I$16&lt;&gt;"Draft")),Xero_Raw!$H$16,"")</f>
        <v/>
      </c>
      <c r="F20" s="71" t="str">
        <f aca="false">IF(AND(Xero_Raw!$C$16="Invoice",AND(Xero_Raw!$I$16&lt;&gt;"Paid",Xero_Raw!$I$16&lt;&gt;"Void",Xero_Raw!$I$16&lt;&gt;"Draft")),Xero_Raw!$I$16,"")</f>
        <v/>
      </c>
      <c r="G20" s="71" t="str">
        <f aca="false">IF(B20="","",MAX($C$4-B20,0))</f>
        <v/>
      </c>
      <c r="H20" s="37" t="str">
        <f aca="false">IF(G20="","",IF(G20&lt;=30,"0-30",IF(G20&lt;=60,"31-60",IF(G20&lt;=90,"61-90","90+"))))</f>
        <v/>
      </c>
    </row>
    <row r="21" customFormat="false" ht="15" hidden="false" customHeight="true" outlineLevel="0" collapsed="false">
      <c r="A21" s="70" t="str">
        <f aca="false">IF(AND(Xero_Raw!$C$17="Invoice",AND(Xero_Raw!$I$17&lt;&gt;"Paid",Xero_Raw!$I$17&lt;&gt;"Void",Xero_Raw!$I$17&lt;&gt;"Draft")),Xero_Raw!$A$17,"")</f>
        <v/>
      </c>
      <c r="B21" s="70" t="str">
        <f aca="false">IF(AND(Xero_Raw!$C$17="Invoice",AND(Xero_Raw!$I$17&lt;&gt;"Paid",Xero_Raw!$I$17&lt;&gt;"Void",Xero_Raw!$I$17&lt;&gt;"Draft")),Xero_Raw!$B$17,"")</f>
        <v/>
      </c>
      <c r="C21" s="71" t="str">
        <f aca="false">IF(AND(Xero_Raw!$C$17="Invoice",AND(Xero_Raw!$I$17&lt;&gt;"Paid",Xero_Raw!$I$17&lt;&gt;"Void",Xero_Raw!$I$17&lt;&gt;"Draft")),Xero_Raw!$D$17,"")</f>
        <v/>
      </c>
      <c r="D21" s="71" t="str">
        <f aca="false">IF(C21="","",IFERROR(VLOOKUP(C21,Assumptions!$G$5:$H$16,2,0),"Other"))</f>
        <v/>
      </c>
      <c r="E21" s="72" t="str">
        <f aca="false">IF(AND(Xero_Raw!$C$17="Invoice",AND(Xero_Raw!$I$17&lt;&gt;"Paid",Xero_Raw!$I$17&lt;&gt;"Void",Xero_Raw!$I$17&lt;&gt;"Draft")),Xero_Raw!$H$17,"")</f>
        <v/>
      </c>
      <c r="F21" s="71" t="str">
        <f aca="false">IF(AND(Xero_Raw!$C$17="Invoice",AND(Xero_Raw!$I$17&lt;&gt;"Paid",Xero_Raw!$I$17&lt;&gt;"Void",Xero_Raw!$I$17&lt;&gt;"Draft")),Xero_Raw!$I$17,"")</f>
        <v/>
      </c>
      <c r="G21" s="71" t="str">
        <f aca="false">IF(B21="","",MAX($C$4-B21,0))</f>
        <v/>
      </c>
      <c r="H21" s="37" t="str">
        <f aca="false">IF(G21="","",IF(G21&lt;=30,"0-30",IF(G21&lt;=60,"31-60",IF(G21&lt;=90,"61-90","90+"))))</f>
        <v/>
      </c>
    </row>
    <row r="22" customFormat="false" ht="15" hidden="false" customHeight="true" outlineLevel="0" collapsed="false">
      <c r="A22" s="70" t="n">
        <f aca="false">IF(AND(Xero_Raw!$C$18="Invoice",AND(Xero_Raw!$I$18&lt;&gt;"Paid",Xero_Raw!$I$18&lt;&gt;"Void",Xero_Raw!$I$18&lt;&gt;"Draft")),Xero_Raw!$A$18,"")</f>
        <v>46156</v>
      </c>
      <c r="B22" s="70" t="n">
        <f aca="false">IF(AND(Xero_Raw!$C$18="Invoice",AND(Xero_Raw!$I$18&lt;&gt;"Paid",Xero_Raw!$I$18&lt;&gt;"Void",Xero_Raw!$I$18&lt;&gt;"Draft")),Xero_Raw!$B$18,"")</f>
        <v>46186</v>
      </c>
      <c r="C22" s="71" t="str">
        <f aca="false">IF(AND(Xero_Raw!$C$18="Invoice",AND(Xero_Raw!$I$18&lt;&gt;"Paid",Xero_Raw!$I$18&lt;&gt;"Void",Xero_Raw!$I$18&lt;&gt;"Draft")),Xero_Raw!$D$18,"")</f>
        <v>Curahealth K.S.C.C.</v>
      </c>
      <c r="D22" s="71" t="str">
        <f aca="false">IF(C22="","",IFERROR(VLOOKUP(C22,Assumptions!$G$5:$H$16,2,0),"Other"))</f>
        <v>Kuwait</v>
      </c>
      <c r="E22" s="72" t="n">
        <f aca="false">IF(AND(Xero_Raw!$C$18="Invoice",AND(Xero_Raw!$I$18&lt;&gt;"Paid",Xero_Raw!$I$18&lt;&gt;"Void",Xero_Raw!$I$18&lt;&gt;"Draft")),Xero_Raw!$H$18,"")</f>
        <v>42402.31</v>
      </c>
      <c r="F22" s="71" t="str">
        <f aca="false">IF(AND(Xero_Raw!$C$18="Invoice",AND(Xero_Raw!$I$18&lt;&gt;"Paid",Xero_Raw!$I$18&lt;&gt;"Void",Xero_Raw!$I$18&lt;&gt;"Draft")),Xero_Raw!$I$18,"")</f>
        <v>Awaiting Payment</v>
      </c>
      <c r="G22" s="71" t="n">
        <f aca="false">IF(B22="","",MAX($C$4-B22,0))</f>
        <v>17</v>
      </c>
      <c r="H22" s="37" t="str">
        <f aca="false">IF(G22="","",IF(G22&lt;=30,"0-30",IF(G22&lt;=60,"31-60",IF(G22&lt;=90,"61-90","90+"))))</f>
        <v>0-30</v>
      </c>
    </row>
    <row r="23" customFormat="false" ht="15" hidden="false" customHeight="true" outlineLevel="0" collapsed="false">
      <c r="A23" s="70" t="str">
        <f aca="false">IF(AND(Xero_Raw!$C$19="Invoice",AND(Xero_Raw!$I$19&lt;&gt;"Paid",Xero_Raw!$I$19&lt;&gt;"Void",Xero_Raw!$I$19&lt;&gt;"Draft")),Xero_Raw!$A$19,"")</f>
        <v/>
      </c>
      <c r="B23" s="70" t="str">
        <f aca="false">IF(AND(Xero_Raw!$C$19="Invoice",AND(Xero_Raw!$I$19&lt;&gt;"Paid",Xero_Raw!$I$19&lt;&gt;"Void",Xero_Raw!$I$19&lt;&gt;"Draft")),Xero_Raw!$B$19,"")</f>
        <v/>
      </c>
      <c r="C23" s="71" t="str">
        <f aca="false">IF(AND(Xero_Raw!$C$19="Invoice",AND(Xero_Raw!$I$19&lt;&gt;"Paid",Xero_Raw!$I$19&lt;&gt;"Void",Xero_Raw!$I$19&lt;&gt;"Draft")),Xero_Raw!$D$19,"")</f>
        <v/>
      </c>
      <c r="D23" s="71" t="str">
        <f aca="false">IF(C23="","",IFERROR(VLOOKUP(C23,Assumptions!$G$5:$H$16,2,0),"Other"))</f>
        <v/>
      </c>
      <c r="E23" s="72" t="str">
        <f aca="false">IF(AND(Xero_Raw!$C$19="Invoice",AND(Xero_Raw!$I$19&lt;&gt;"Paid",Xero_Raw!$I$19&lt;&gt;"Void",Xero_Raw!$I$19&lt;&gt;"Draft")),Xero_Raw!$H$19,"")</f>
        <v/>
      </c>
      <c r="F23" s="71" t="str">
        <f aca="false">IF(AND(Xero_Raw!$C$19="Invoice",AND(Xero_Raw!$I$19&lt;&gt;"Paid",Xero_Raw!$I$19&lt;&gt;"Void",Xero_Raw!$I$19&lt;&gt;"Draft")),Xero_Raw!$I$19,"")</f>
        <v/>
      </c>
      <c r="G23" s="71" t="str">
        <f aca="false">IF(B23="","",MAX($C$4-B23,0))</f>
        <v/>
      </c>
      <c r="H23" s="37" t="str">
        <f aca="false">IF(G23="","",IF(G23&lt;=30,"0-30",IF(G23&lt;=60,"31-60",IF(G23&lt;=90,"61-90","90+"))))</f>
        <v/>
      </c>
    </row>
    <row r="24" customFormat="false" ht="15" hidden="false" customHeight="true" outlineLevel="0" collapsed="false">
      <c r="A24" s="70" t="str">
        <f aca="false">IF(AND(Xero_Raw!$C$20="Invoice",AND(Xero_Raw!$I$20&lt;&gt;"Paid",Xero_Raw!$I$20&lt;&gt;"Void",Xero_Raw!$I$20&lt;&gt;"Draft")),Xero_Raw!$A$20,"")</f>
        <v/>
      </c>
      <c r="B24" s="70" t="str">
        <f aca="false">IF(AND(Xero_Raw!$C$20="Invoice",AND(Xero_Raw!$I$20&lt;&gt;"Paid",Xero_Raw!$I$20&lt;&gt;"Void",Xero_Raw!$I$20&lt;&gt;"Draft")),Xero_Raw!$B$20,"")</f>
        <v/>
      </c>
      <c r="C24" s="71" t="str">
        <f aca="false">IF(AND(Xero_Raw!$C$20="Invoice",AND(Xero_Raw!$I$20&lt;&gt;"Paid",Xero_Raw!$I$20&lt;&gt;"Void",Xero_Raw!$I$20&lt;&gt;"Draft")),Xero_Raw!$D$20,"")</f>
        <v/>
      </c>
      <c r="D24" s="71" t="str">
        <f aca="false">IF(C24="","",IFERROR(VLOOKUP(C24,Assumptions!$G$5:$H$16,2,0),"Other"))</f>
        <v/>
      </c>
      <c r="E24" s="72" t="str">
        <f aca="false">IF(AND(Xero_Raw!$C$20="Invoice",AND(Xero_Raw!$I$20&lt;&gt;"Paid",Xero_Raw!$I$20&lt;&gt;"Void",Xero_Raw!$I$20&lt;&gt;"Draft")),Xero_Raw!$H$20,"")</f>
        <v/>
      </c>
      <c r="F24" s="71" t="str">
        <f aca="false">IF(AND(Xero_Raw!$C$20="Invoice",AND(Xero_Raw!$I$20&lt;&gt;"Paid",Xero_Raw!$I$20&lt;&gt;"Void",Xero_Raw!$I$20&lt;&gt;"Draft")),Xero_Raw!$I$20,"")</f>
        <v/>
      </c>
      <c r="G24" s="71" t="str">
        <f aca="false">IF(B24="","",MAX($C$4-B24,0))</f>
        <v/>
      </c>
      <c r="H24" s="37" t="str">
        <f aca="false">IF(G24="","",IF(G24&lt;=30,"0-30",IF(G24&lt;=60,"31-60",IF(G24&lt;=90,"61-90","90+"))))</f>
        <v/>
      </c>
    </row>
    <row r="25" customFormat="false" ht="15" hidden="false" customHeight="true" outlineLevel="0" collapsed="false">
      <c r="A25" s="70" t="n">
        <f aca="false">IF(AND(Xero_Raw!$C$21="Invoice",AND(Xero_Raw!$I$21&lt;&gt;"Paid",Xero_Raw!$I$21&lt;&gt;"Void",Xero_Raw!$I$21&lt;&gt;"Draft")),Xero_Raw!$A$21,"")</f>
        <v>46158</v>
      </c>
      <c r="B25" s="70" t="n">
        <f aca="false">IF(AND(Xero_Raw!$C$21="Invoice",AND(Xero_Raw!$I$21&lt;&gt;"Paid",Xero_Raw!$I$21&lt;&gt;"Void",Xero_Raw!$I$21&lt;&gt;"Draft")),Xero_Raw!$B$21,"")</f>
        <v>46188</v>
      </c>
      <c r="C25" s="71" t="str">
        <f aca="false">IF(AND(Xero_Raw!$C$21="Invoice",AND(Xero_Raw!$I$21&lt;&gt;"Paid",Xero_Raw!$I$21&lt;&gt;"Void",Xero_Raw!$I$21&lt;&gt;"Draft")),Xero_Raw!$D$21,"")</f>
        <v>Al Fardan Exchange - Sole Proprietorship L.L.C</v>
      </c>
      <c r="D25" s="71" t="str">
        <f aca="false">IF(C25="","",IFERROR(VLOOKUP(C25,Assumptions!$G$5:$H$16,2,0),"Other"))</f>
        <v>UAE</v>
      </c>
      <c r="E25" s="72" t="n">
        <f aca="false">IF(AND(Xero_Raw!$C$21="Invoice",AND(Xero_Raw!$I$21&lt;&gt;"Paid",Xero_Raw!$I$21&lt;&gt;"Void",Xero_Raw!$I$21&lt;&gt;"Draft")),Xero_Raw!$H$21,"")</f>
        <v>31165.32</v>
      </c>
      <c r="F25" s="71" t="str">
        <f aca="false">IF(AND(Xero_Raw!$C$21="Invoice",AND(Xero_Raw!$I$21&lt;&gt;"Paid",Xero_Raw!$I$21&lt;&gt;"Void",Xero_Raw!$I$21&lt;&gt;"Draft")),Xero_Raw!$I$21,"")</f>
        <v>Overdue</v>
      </c>
      <c r="G25" s="71" t="n">
        <f aca="false">IF(B25="","",MAX($C$4-B25,0))</f>
        <v>15</v>
      </c>
      <c r="H25" s="37" t="str">
        <f aca="false">IF(G25="","",IF(G25&lt;=30,"0-30",IF(G25&lt;=60,"31-60",IF(G25&lt;=90,"61-90","90+"))))</f>
        <v>0-30</v>
      </c>
    </row>
    <row r="26" customFormat="false" ht="15" hidden="false" customHeight="true" outlineLevel="0" collapsed="false">
      <c r="A26" s="70" t="str">
        <f aca="false">IF(AND(Xero_Raw!$C$22="Invoice",AND(Xero_Raw!$I$22&lt;&gt;"Paid",Xero_Raw!$I$22&lt;&gt;"Void",Xero_Raw!$I$22&lt;&gt;"Draft")),Xero_Raw!$A$22,"")</f>
        <v/>
      </c>
      <c r="B26" s="70" t="str">
        <f aca="false">IF(AND(Xero_Raw!$C$22="Invoice",AND(Xero_Raw!$I$22&lt;&gt;"Paid",Xero_Raw!$I$22&lt;&gt;"Void",Xero_Raw!$I$22&lt;&gt;"Draft")),Xero_Raw!$B$22,"")</f>
        <v/>
      </c>
      <c r="C26" s="71" t="str">
        <f aca="false">IF(AND(Xero_Raw!$C$22="Invoice",AND(Xero_Raw!$I$22&lt;&gt;"Paid",Xero_Raw!$I$22&lt;&gt;"Void",Xero_Raw!$I$22&lt;&gt;"Draft")),Xero_Raw!$D$22,"")</f>
        <v/>
      </c>
      <c r="D26" s="71" t="str">
        <f aca="false">IF(C26="","",IFERROR(VLOOKUP(C26,Assumptions!$G$5:$H$16,2,0),"Other"))</f>
        <v/>
      </c>
      <c r="E26" s="72" t="str">
        <f aca="false">IF(AND(Xero_Raw!$C$22="Invoice",AND(Xero_Raw!$I$22&lt;&gt;"Paid",Xero_Raw!$I$22&lt;&gt;"Void",Xero_Raw!$I$22&lt;&gt;"Draft")),Xero_Raw!$H$22,"")</f>
        <v/>
      </c>
      <c r="F26" s="71" t="str">
        <f aca="false">IF(AND(Xero_Raw!$C$22="Invoice",AND(Xero_Raw!$I$22&lt;&gt;"Paid",Xero_Raw!$I$22&lt;&gt;"Void",Xero_Raw!$I$22&lt;&gt;"Draft")),Xero_Raw!$I$22,"")</f>
        <v/>
      </c>
      <c r="G26" s="71" t="str">
        <f aca="false">IF(B26="","",MAX($C$4-B26,0))</f>
        <v/>
      </c>
      <c r="H26" s="37" t="str">
        <f aca="false">IF(G26="","",IF(G26&lt;=30,"0-30",IF(G26&lt;=60,"31-60",IF(G26&lt;=90,"61-90","90+"))))</f>
        <v/>
      </c>
    </row>
    <row r="27" customFormat="false" ht="15" hidden="false" customHeight="true" outlineLevel="0" collapsed="false">
      <c r="A27" s="70" t="n">
        <f aca="false">IF(AND(Xero_Raw!$C$23="Invoice",AND(Xero_Raw!$I$23&lt;&gt;"Paid",Xero_Raw!$I$23&lt;&gt;"Void",Xero_Raw!$I$23&lt;&gt;"Draft")),Xero_Raw!$A$23,"")</f>
        <v>46150</v>
      </c>
      <c r="B27" s="70" t="n">
        <f aca="false">IF(AND(Xero_Raw!$C$23="Invoice",AND(Xero_Raw!$I$23&lt;&gt;"Paid",Xero_Raw!$I$23&lt;&gt;"Void",Xero_Raw!$I$23&lt;&gt;"Draft")),Xero_Raw!$B$23,"")</f>
        <v>46180</v>
      </c>
      <c r="C27" s="71" t="str">
        <f aca="false">IF(AND(Xero_Raw!$C$23="Invoice",AND(Xero_Raw!$I$23&lt;&gt;"Paid",Xero_Raw!$I$23&lt;&gt;"Void",Xero_Raw!$I$23&lt;&gt;"Draft")),Xero_Raw!$D$23,"")</f>
        <v>Nishat Linen UAE</v>
      </c>
      <c r="D27" s="71" t="str">
        <f aca="false">IF(C27="","",IFERROR(VLOOKUP(C27,Assumptions!$G$5:$H$16,2,0),"Other"))</f>
        <v>UAE</v>
      </c>
      <c r="E27" s="72" t="n">
        <f aca="false">IF(AND(Xero_Raw!$C$23="Invoice",AND(Xero_Raw!$I$23&lt;&gt;"Paid",Xero_Raw!$I$23&lt;&gt;"Void",Xero_Raw!$I$23&lt;&gt;"Draft")),Xero_Raw!$H$23,"")</f>
        <v>25418.98</v>
      </c>
      <c r="F27" s="71" t="str">
        <f aca="false">IF(AND(Xero_Raw!$C$23="Invoice",AND(Xero_Raw!$I$23&lt;&gt;"Paid",Xero_Raw!$I$23&lt;&gt;"Void",Xero_Raw!$I$23&lt;&gt;"Draft")),Xero_Raw!$I$23,"")</f>
        <v>Overdue</v>
      </c>
      <c r="G27" s="71" t="n">
        <f aca="false">IF(B27="","",MAX($C$4-B27,0))</f>
        <v>23</v>
      </c>
      <c r="H27" s="37" t="str">
        <f aca="false">IF(G27="","",IF(G27&lt;=30,"0-30",IF(G27&lt;=60,"31-60",IF(G27&lt;=90,"61-90","90+"))))</f>
        <v>0-30</v>
      </c>
    </row>
    <row r="28" customFormat="false" ht="15" hidden="false" customHeight="true" outlineLevel="0" collapsed="false">
      <c r="A28" s="70" t="n">
        <f aca="false">IF(AND(Xero_Raw!$C$24="Invoice",AND(Xero_Raw!$I$24&lt;&gt;"Paid",Xero_Raw!$I$24&lt;&gt;"Void",Xero_Raw!$I$24&lt;&gt;"Draft")),Xero_Raw!$A$24,"")</f>
        <v>46161</v>
      </c>
      <c r="B28" s="70" t="n">
        <f aca="false">IF(AND(Xero_Raw!$C$24="Invoice",AND(Xero_Raw!$I$24&lt;&gt;"Paid",Xero_Raw!$I$24&lt;&gt;"Void",Xero_Raw!$I$24&lt;&gt;"Draft")),Xero_Raw!$B$24,"")</f>
        <v>46191</v>
      </c>
      <c r="C28" s="71" t="str">
        <f aca="false">IF(AND(Xero_Raw!$C$24="Invoice",AND(Xero_Raw!$I$24&lt;&gt;"Paid",Xero_Raw!$I$24&lt;&gt;"Void",Xero_Raw!$I$24&lt;&gt;"Draft")),Xero_Raw!$D$24,"")</f>
        <v>Nishat Linen UAE</v>
      </c>
      <c r="D28" s="71" t="str">
        <f aca="false">IF(C28="","",IFERROR(VLOOKUP(C28,Assumptions!$G$5:$H$16,2,0),"Other"))</f>
        <v>UAE</v>
      </c>
      <c r="E28" s="72" t="n">
        <f aca="false">IF(AND(Xero_Raw!$C$24="Invoice",AND(Xero_Raw!$I$24&lt;&gt;"Paid",Xero_Raw!$I$24&lt;&gt;"Void",Xero_Raw!$I$24&lt;&gt;"Draft")),Xero_Raw!$H$24,"")</f>
        <v>36482.11</v>
      </c>
      <c r="F28" s="71" t="str">
        <f aca="false">IF(AND(Xero_Raw!$C$24="Invoice",AND(Xero_Raw!$I$24&lt;&gt;"Paid",Xero_Raw!$I$24&lt;&gt;"Void",Xero_Raw!$I$24&lt;&gt;"Draft")),Xero_Raw!$I$24,"")</f>
        <v>Awaiting Payment</v>
      </c>
      <c r="G28" s="71" t="n">
        <f aca="false">IF(B28="","",MAX($C$4-B28,0))</f>
        <v>12</v>
      </c>
      <c r="H28" s="37" t="str">
        <f aca="false">IF(G28="","",IF(G28&lt;=30,"0-30",IF(G28&lt;=60,"31-60",IF(G28&lt;=90,"61-90","90+"))))</f>
        <v>0-30</v>
      </c>
    </row>
    <row r="29" customFormat="false" ht="15" hidden="false" customHeight="true" outlineLevel="0" collapsed="false">
      <c r="A29" s="70" t="str">
        <f aca="false">IF(AND(Xero_Raw!$C$25="Invoice",AND(Xero_Raw!$I$25&lt;&gt;"Paid",Xero_Raw!$I$25&lt;&gt;"Void",Xero_Raw!$I$25&lt;&gt;"Draft")),Xero_Raw!$A$25,"")</f>
        <v/>
      </c>
      <c r="B29" s="70" t="str">
        <f aca="false">IF(AND(Xero_Raw!$C$25="Invoice",AND(Xero_Raw!$I$25&lt;&gt;"Paid",Xero_Raw!$I$25&lt;&gt;"Void",Xero_Raw!$I$25&lt;&gt;"Draft")),Xero_Raw!$B$25,"")</f>
        <v/>
      </c>
      <c r="C29" s="71" t="str">
        <f aca="false">IF(AND(Xero_Raw!$C$25="Invoice",AND(Xero_Raw!$I$25&lt;&gt;"Paid",Xero_Raw!$I$25&lt;&gt;"Void",Xero_Raw!$I$25&lt;&gt;"Draft")),Xero_Raw!$D$25,"")</f>
        <v/>
      </c>
      <c r="D29" s="71" t="str">
        <f aca="false">IF(C29="","",IFERROR(VLOOKUP(C29,Assumptions!$G$5:$H$16,2,0),"Other"))</f>
        <v/>
      </c>
      <c r="E29" s="72" t="str">
        <f aca="false">IF(AND(Xero_Raw!$C$25="Invoice",AND(Xero_Raw!$I$25&lt;&gt;"Paid",Xero_Raw!$I$25&lt;&gt;"Void",Xero_Raw!$I$25&lt;&gt;"Draft")),Xero_Raw!$H$25,"")</f>
        <v/>
      </c>
      <c r="F29" s="71" t="str">
        <f aca="false">IF(AND(Xero_Raw!$C$25="Invoice",AND(Xero_Raw!$I$25&lt;&gt;"Paid",Xero_Raw!$I$25&lt;&gt;"Void",Xero_Raw!$I$25&lt;&gt;"Draft")),Xero_Raw!$I$25,"")</f>
        <v/>
      </c>
      <c r="G29" s="71" t="str">
        <f aca="false">IF(B29="","",MAX($C$4-B29,0))</f>
        <v/>
      </c>
      <c r="H29" s="37" t="str">
        <f aca="false">IF(G29="","",IF(G29&lt;=30,"0-30",IF(G29&lt;=60,"31-60",IF(G29&lt;=90,"61-90","90+"))))</f>
        <v/>
      </c>
    </row>
    <row r="30" customFormat="false" ht="15" hidden="false" customHeight="true" outlineLevel="0" collapsed="false">
      <c r="A30" s="70" t="str">
        <f aca="false">IF(AND(Xero_Raw!$C$26="Invoice",AND(Xero_Raw!$I$26&lt;&gt;"Paid",Xero_Raw!$I$26&lt;&gt;"Void",Xero_Raw!$I$26&lt;&gt;"Draft")),Xero_Raw!$A$26,"")</f>
        <v/>
      </c>
      <c r="B30" s="70" t="str">
        <f aca="false">IF(AND(Xero_Raw!$C$26="Invoice",AND(Xero_Raw!$I$26&lt;&gt;"Paid",Xero_Raw!$I$26&lt;&gt;"Void",Xero_Raw!$I$26&lt;&gt;"Draft")),Xero_Raw!$B$26,"")</f>
        <v/>
      </c>
      <c r="C30" s="71" t="str">
        <f aca="false">IF(AND(Xero_Raw!$C$26="Invoice",AND(Xero_Raw!$I$26&lt;&gt;"Paid",Xero_Raw!$I$26&lt;&gt;"Void",Xero_Raw!$I$26&lt;&gt;"Draft")),Xero_Raw!$D$26,"")</f>
        <v/>
      </c>
      <c r="D30" s="71" t="str">
        <f aca="false">IF(C30="","",IFERROR(VLOOKUP(C30,Assumptions!$G$5:$H$16,2,0),"Other"))</f>
        <v/>
      </c>
      <c r="E30" s="72" t="str">
        <f aca="false">IF(AND(Xero_Raw!$C$26="Invoice",AND(Xero_Raw!$I$26&lt;&gt;"Paid",Xero_Raw!$I$26&lt;&gt;"Void",Xero_Raw!$I$26&lt;&gt;"Draft")),Xero_Raw!$H$26,"")</f>
        <v/>
      </c>
      <c r="F30" s="71" t="str">
        <f aca="false">IF(AND(Xero_Raw!$C$26="Invoice",AND(Xero_Raw!$I$26&lt;&gt;"Paid",Xero_Raw!$I$26&lt;&gt;"Void",Xero_Raw!$I$26&lt;&gt;"Draft")),Xero_Raw!$I$26,"")</f>
        <v/>
      </c>
      <c r="G30" s="71" t="str">
        <f aca="false">IF(B30="","",MAX($C$4-B30,0))</f>
        <v/>
      </c>
      <c r="H30" s="37" t="str">
        <f aca="false">IF(G30="","",IF(G30&lt;=30,"0-30",IF(G30&lt;=60,"31-60",IF(G30&lt;=90,"61-90","90+"))))</f>
        <v/>
      </c>
    </row>
    <row r="31" customFormat="false" ht="15" hidden="false" customHeight="true" outlineLevel="0" collapsed="false">
      <c r="A31" s="70" t="str">
        <f aca="false">IF(AND(Xero_Raw!$C$27="Invoice",AND(Xero_Raw!$I$27&lt;&gt;"Paid",Xero_Raw!$I$27&lt;&gt;"Void",Xero_Raw!$I$27&lt;&gt;"Draft")),Xero_Raw!$A$27,"")</f>
        <v/>
      </c>
      <c r="B31" s="70" t="str">
        <f aca="false">IF(AND(Xero_Raw!$C$27="Invoice",AND(Xero_Raw!$I$27&lt;&gt;"Paid",Xero_Raw!$I$27&lt;&gt;"Void",Xero_Raw!$I$27&lt;&gt;"Draft")),Xero_Raw!$B$27,"")</f>
        <v/>
      </c>
      <c r="C31" s="71" t="str">
        <f aca="false">IF(AND(Xero_Raw!$C$27="Invoice",AND(Xero_Raw!$I$27&lt;&gt;"Paid",Xero_Raw!$I$27&lt;&gt;"Void",Xero_Raw!$I$27&lt;&gt;"Draft")),Xero_Raw!$D$27,"")</f>
        <v/>
      </c>
      <c r="D31" s="71" t="str">
        <f aca="false">IF(C31="","",IFERROR(VLOOKUP(C31,Assumptions!$G$5:$H$16,2,0),"Other"))</f>
        <v/>
      </c>
      <c r="E31" s="72" t="str">
        <f aca="false">IF(AND(Xero_Raw!$C$27="Invoice",AND(Xero_Raw!$I$27&lt;&gt;"Paid",Xero_Raw!$I$27&lt;&gt;"Void",Xero_Raw!$I$27&lt;&gt;"Draft")),Xero_Raw!$H$27,"")</f>
        <v/>
      </c>
      <c r="F31" s="71" t="str">
        <f aca="false">IF(AND(Xero_Raw!$C$27="Invoice",AND(Xero_Raw!$I$27&lt;&gt;"Paid",Xero_Raw!$I$27&lt;&gt;"Void",Xero_Raw!$I$27&lt;&gt;"Draft")),Xero_Raw!$I$27,"")</f>
        <v/>
      </c>
      <c r="G31" s="71" t="str">
        <f aca="false">IF(B31="","",MAX($C$4-B31,0))</f>
        <v/>
      </c>
      <c r="H31" s="37" t="str">
        <f aca="false">IF(G31="","",IF(G31&lt;=30,"0-30",IF(G31&lt;=60,"31-60",IF(G31&lt;=90,"61-90","90+"))))</f>
        <v/>
      </c>
    </row>
    <row r="32" customFormat="false" ht="15" hidden="false" customHeight="true" outlineLevel="0" collapsed="false">
      <c r="A32" s="70" t="str">
        <f aca="false">IF(AND(Xero_Raw!$C$28="Invoice",AND(Xero_Raw!$I$28&lt;&gt;"Paid",Xero_Raw!$I$28&lt;&gt;"Void",Xero_Raw!$I$28&lt;&gt;"Draft")),Xero_Raw!$A$28,"")</f>
        <v/>
      </c>
      <c r="B32" s="70" t="str">
        <f aca="false">IF(AND(Xero_Raw!$C$28="Invoice",AND(Xero_Raw!$I$28&lt;&gt;"Paid",Xero_Raw!$I$28&lt;&gt;"Void",Xero_Raw!$I$28&lt;&gt;"Draft")),Xero_Raw!$B$28,"")</f>
        <v/>
      </c>
      <c r="C32" s="71" t="str">
        <f aca="false">IF(AND(Xero_Raw!$C$28="Invoice",AND(Xero_Raw!$I$28&lt;&gt;"Paid",Xero_Raw!$I$28&lt;&gt;"Void",Xero_Raw!$I$28&lt;&gt;"Draft")),Xero_Raw!$D$28,"")</f>
        <v/>
      </c>
      <c r="D32" s="71" t="str">
        <f aca="false">IF(C32="","",IFERROR(VLOOKUP(C32,Assumptions!$G$5:$H$16,2,0),"Other"))</f>
        <v/>
      </c>
      <c r="E32" s="72" t="str">
        <f aca="false">IF(AND(Xero_Raw!$C$28="Invoice",AND(Xero_Raw!$I$28&lt;&gt;"Paid",Xero_Raw!$I$28&lt;&gt;"Void",Xero_Raw!$I$28&lt;&gt;"Draft")),Xero_Raw!$H$28,"")</f>
        <v/>
      </c>
      <c r="F32" s="71" t="str">
        <f aca="false">IF(AND(Xero_Raw!$C$28="Invoice",AND(Xero_Raw!$I$28&lt;&gt;"Paid",Xero_Raw!$I$28&lt;&gt;"Void",Xero_Raw!$I$28&lt;&gt;"Draft")),Xero_Raw!$I$28,"")</f>
        <v/>
      </c>
      <c r="G32" s="71" t="str">
        <f aca="false">IF(B32="","",MAX($C$4-B32,0))</f>
        <v/>
      </c>
      <c r="H32" s="37" t="str">
        <f aca="false">IF(G32="","",IF(G32&lt;=30,"0-30",IF(G32&lt;=60,"31-60",IF(G32&lt;=90,"61-90","90+"))))</f>
        <v/>
      </c>
    </row>
    <row r="33" customFormat="false" ht="15" hidden="false" customHeight="true" outlineLevel="0" collapsed="false">
      <c r="A33" s="70" t="str">
        <f aca="false">IF(AND(Xero_Raw!$C$29="Invoice",AND(Xero_Raw!$I$29&lt;&gt;"Paid",Xero_Raw!$I$29&lt;&gt;"Void",Xero_Raw!$I$29&lt;&gt;"Draft")),Xero_Raw!$A$29,"")</f>
        <v/>
      </c>
      <c r="B33" s="70" t="str">
        <f aca="false">IF(AND(Xero_Raw!$C$29="Invoice",AND(Xero_Raw!$I$29&lt;&gt;"Paid",Xero_Raw!$I$29&lt;&gt;"Void",Xero_Raw!$I$29&lt;&gt;"Draft")),Xero_Raw!$B$29,"")</f>
        <v/>
      </c>
      <c r="C33" s="71" t="str">
        <f aca="false">IF(AND(Xero_Raw!$C$29="Invoice",AND(Xero_Raw!$I$29&lt;&gt;"Paid",Xero_Raw!$I$29&lt;&gt;"Void",Xero_Raw!$I$29&lt;&gt;"Draft")),Xero_Raw!$D$29,"")</f>
        <v/>
      </c>
      <c r="D33" s="71" t="str">
        <f aca="false">IF(C33="","",IFERROR(VLOOKUP(C33,Assumptions!$G$5:$H$16,2,0),"Other"))</f>
        <v/>
      </c>
      <c r="E33" s="72" t="str">
        <f aca="false">IF(AND(Xero_Raw!$C$29="Invoice",AND(Xero_Raw!$I$29&lt;&gt;"Paid",Xero_Raw!$I$29&lt;&gt;"Void",Xero_Raw!$I$29&lt;&gt;"Draft")),Xero_Raw!$H$29,"")</f>
        <v/>
      </c>
      <c r="F33" s="71" t="str">
        <f aca="false">IF(AND(Xero_Raw!$C$29="Invoice",AND(Xero_Raw!$I$29&lt;&gt;"Paid",Xero_Raw!$I$29&lt;&gt;"Void",Xero_Raw!$I$29&lt;&gt;"Draft")),Xero_Raw!$I$29,"")</f>
        <v/>
      </c>
      <c r="G33" s="71" t="str">
        <f aca="false">IF(B33="","",MAX($C$4-B33,0))</f>
        <v/>
      </c>
      <c r="H33" s="37" t="str">
        <f aca="false">IF(G33="","",IF(G33&lt;=30,"0-30",IF(G33&lt;=60,"31-60",IF(G33&lt;=90,"61-90","90+"))))</f>
        <v/>
      </c>
    </row>
    <row r="34" customFormat="false" ht="15" hidden="false" customHeight="true" outlineLevel="0" collapsed="false">
      <c r="A34" s="70" t="n">
        <f aca="false">IF(AND(Xero_Raw!$C$30="Invoice",AND(Xero_Raw!$I$30&lt;&gt;"Paid",Xero_Raw!$I$30&lt;&gt;"Void",Xero_Raw!$I$30&lt;&gt;"Draft")),Xero_Raw!$A$30,"")</f>
        <v>46174</v>
      </c>
      <c r="B34" s="70" t="n">
        <f aca="false">IF(AND(Xero_Raw!$C$30="Invoice",AND(Xero_Raw!$I$30&lt;&gt;"Paid",Xero_Raw!$I$30&lt;&gt;"Void",Xero_Raw!$I$30&lt;&gt;"Draft")),Xero_Raw!$B$30,"")</f>
        <v>46204</v>
      </c>
      <c r="C34" s="71" t="str">
        <f aca="false">IF(AND(Xero_Raw!$C$30="Invoice",AND(Xero_Raw!$I$30&lt;&gt;"Paid",Xero_Raw!$I$30&lt;&gt;"Void",Xero_Raw!$I$30&lt;&gt;"Draft")),Xero_Raw!$D$30,"")</f>
        <v>I Farmer Pte Ltd</v>
      </c>
      <c r="D34" s="71" t="str">
        <f aca="false">IF(C34="","",IFERROR(VLOOKUP(C34,Assumptions!$G$5:$H$16,2,0),"Other"))</f>
        <v>Singapore</v>
      </c>
      <c r="E34" s="72" t="n">
        <f aca="false">IF(AND(Xero_Raw!$C$30="Invoice",AND(Xero_Raw!$I$30&lt;&gt;"Paid",Xero_Raw!$I$30&lt;&gt;"Void",Xero_Raw!$I$30&lt;&gt;"Draft")),Xero_Raw!$H$30,"")</f>
        <v>28580.56</v>
      </c>
      <c r="F34" s="71" t="str">
        <f aca="false">IF(AND(Xero_Raw!$C$30="Invoice",AND(Xero_Raw!$I$30&lt;&gt;"Paid",Xero_Raw!$I$30&lt;&gt;"Void",Xero_Raw!$I$30&lt;&gt;"Draft")),Xero_Raw!$I$30,"")</f>
        <v>Overdue</v>
      </c>
      <c r="G34" s="71" t="n">
        <f aca="false">IF(B34="","",MAX($C$4-B34,0))</f>
        <v>0</v>
      </c>
      <c r="H34" s="37" t="str">
        <f aca="false">IF(G34="","",IF(G34&lt;=30,"0-30",IF(G34&lt;=60,"31-60",IF(G34&lt;=90,"61-90","90+"))))</f>
        <v>0-30</v>
      </c>
    </row>
    <row r="35" customFormat="false" ht="15" hidden="false" customHeight="true" outlineLevel="0" collapsed="false">
      <c r="A35" s="70" t="str">
        <f aca="false">IF(AND(Xero_Raw!$C$31="Invoice",AND(Xero_Raw!$I$31&lt;&gt;"Paid",Xero_Raw!$I$31&lt;&gt;"Void",Xero_Raw!$I$31&lt;&gt;"Draft")),Xero_Raw!$A$31,"")</f>
        <v/>
      </c>
      <c r="B35" s="70" t="str">
        <f aca="false">IF(AND(Xero_Raw!$C$31="Invoice",AND(Xero_Raw!$I$31&lt;&gt;"Paid",Xero_Raw!$I$31&lt;&gt;"Void",Xero_Raw!$I$31&lt;&gt;"Draft")),Xero_Raw!$B$31,"")</f>
        <v/>
      </c>
      <c r="C35" s="71" t="str">
        <f aca="false">IF(AND(Xero_Raw!$C$31="Invoice",AND(Xero_Raw!$I$31&lt;&gt;"Paid",Xero_Raw!$I$31&lt;&gt;"Void",Xero_Raw!$I$31&lt;&gt;"Draft")),Xero_Raw!$D$31,"")</f>
        <v/>
      </c>
      <c r="D35" s="71" t="str">
        <f aca="false">IF(C35="","",IFERROR(VLOOKUP(C35,Assumptions!$G$5:$H$16,2,0),"Other"))</f>
        <v/>
      </c>
      <c r="E35" s="72" t="str">
        <f aca="false">IF(AND(Xero_Raw!$C$31="Invoice",AND(Xero_Raw!$I$31&lt;&gt;"Paid",Xero_Raw!$I$31&lt;&gt;"Void",Xero_Raw!$I$31&lt;&gt;"Draft")),Xero_Raw!$H$31,"")</f>
        <v/>
      </c>
      <c r="F35" s="71" t="str">
        <f aca="false">IF(AND(Xero_Raw!$C$31="Invoice",AND(Xero_Raw!$I$31&lt;&gt;"Paid",Xero_Raw!$I$31&lt;&gt;"Void",Xero_Raw!$I$31&lt;&gt;"Draft")),Xero_Raw!$I$31,"")</f>
        <v/>
      </c>
      <c r="G35" s="71" t="str">
        <f aca="false">IF(B35="","",MAX($C$4-B35,0))</f>
        <v/>
      </c>
      <c r="H35" s="37" t="str">
        <f aca="false">IF(G35="","",IF(G35&lt;=30,"0-30",IF(G35&lt;=60,"31-60",IF(G35&lt;=90,"61-90","90+"))))</f>
        <v/>
      </c>
    </row>
    <row r="36" customFormat="false" ht="15" hidden="false" customHeight="true" outlineLevel="0" collapsed="false">
      <c r="A36" s="70" t="str">
        <f aca="false">IF(AND(Xero_Raw!$C$32="Invoice",AND(Xero_Raw!$I$32&lt;&gt;"Paid",Xero_Raw!$I$32&lt;&gt;"Void",Xero_Raw!$I$32&lt;&gt;"Draft")),Xero_Raw!$A$32,"")</f>
        <v/>
      </c>
      <c r="B36" s="70" t="str">
        <f aca="false">IF(AND(Xero_Raw!$C$32="Invoice",AND(Xero_Raw!$I$32&lt;&gt;"Paid",Xero_Raw!$I$32&lt;&gt;"Void",Xero_Raw!$I$32&lt;&gt;"Draft")),Xero_Raw!$B$32,"")</f>
        <v/>
      </c>
      <c r="C36" s="71" t="str">
        <f aca="false">IF(AND(Xero_Raw!$C$32="Invoice",AND(Xero_Raw!$I$32&lt;&gt;"Paid",Xero_Raw!$I$32&lt;&gt;"Void",Xero_Raw!$I$32&lt;&gt;"Draft")),Xero_Raw!$D$32,"")</f>
        <v/>
      </c>
      <c r="D36" s="71" t="str">
        <f aca="false">IF(C36="","",IFERROR(VLOOKUP(C36,Assumptions!$G$5:$H$16,2,0),"Other"))</f>
        <v/>
      </c>
      <c r="E36" s="72" t="str">
        <f aca="false">IF(AND(Xero_Raw!$C$32="Invoice",AND(Xero_Raw!$I$32&lt;&gt;"Paid",Xero_Raw!$I$32&lt;&gt;"Void",Xero_Raw!$I$32&lt;&gt;"Draft")),Xero_Raw!$H$32,"")</f>
        <v/>
      </c>
      <c r="F36" s="71" t="str">
        <f aca="false">IF(AND(Xero_Raw!$C$32="Invoice",AND(Xero_Raw!$I$32&lt;&gt;"Paid",Xero_Raw!$I$32&lt;&gt;"Void",Xero_Raw!$I$32&lt;&gt;"Draft")),Xero_Raw!$I$32,"")</f>
        <v/>
      </c>
      <c r="G36" s="71" t="str">
        <f aca="false">IF(B36="","",MAX($C$4-B36,0))</f>
        <v/>
      </c>
      <c r="H36" s="37" t="str">
        <f aca="false">IF(G36="","",IF(G36&lt;=30,"0-30",IF(G36&lt;=60,"31-60",IF(G36&lt;=90,"61-90","90+"))))</f>
        <v/>
      </c>
    </row>
    <row r="37" customFormat="false" ht="15" hidden="false" customHeight="true" outlineLevel="0" collapsed="false">
      <c r="A37" s="70" t="n">
        <f aca="false">IF(AND(Xero_Raw!$C$33="Invoice",AND(Xero_Raw!$I$33&lt;&gt;"Paid",Xero_Raw!$I$33&lt;&gt;"Void",Xero_Raw!$I$33&lt;&gt;"Draft")),Xero_Raw!$A$33,"")</f>
        <v>46183</v>
      </c>
      <c r="B37" s="70" t="n">
        <f aca="false">IF(AND(Xero_Raw!$C$33="Invoice",AND(Xero_Raw!$I$33&lt;&gt;"Paid",Xero_Raw!$I$33&lt;&gt;"Void",Xero_Raw!$I$33&lt;&gt;"Draft")),Xero_Raw!$B$33,"")</f>
        <v>46213</v>
      </c>
      <c r="C37" s="71" t="str">
        <f aca="false">IF(AND(Xero_Raw!$C$33="Invoice",AND(Xero_Raw!$I$33&lt;&gt;"Paid",Xero_Raw!$I$33&lt;&gt;"Void",Xero_Raw!$I$33&lt;&gt;"Draft")),Xero_Raw!$D$33,"")</f>
        <v>Ticket Wala</v>
      </c>
      <c r="D37" s="71" t="str">
        <f aca="false">IF(C37="","",IFERROR(VLOOKUP(C37,Assumptions!$G$5:$H$16,2,0),"Other"))</f>
        <v>Pakistan</v>
      </c>
      <c r="E37" s="72" t="n">
        <f aca="false">IF(AND(Xero_Raw!$C$33="Invoice",AND(Xero_Raw!$I$33&lt;&gt;"Paid",Xero_Raw!$I$33&lt;&gt;"Void",Xero_Raw!$I$33&lt;&gt;"Draft")),Xero_Raw!$H$33,"")</f>
        <v>37477.31</v>
      </c>
      <c r="F37" s="71" t="str">
        <f aca="false">IF(AND(Xero_Raw!$C$33="Invoice",AND(Xero_Raw!$I$33&lt;&gt;"Paid",Xero_Raw!$I$33&lt;&gt;"Void",Xero_Raw!$I$33&lt;&gt;"Draft")),Xero_Raw!$I$33,"")</f>
        <v>Overdue</v>
      </c>
      <c r="G37" s="71" t="n">
        <f aca="false">IF(B37="","",MAX($C$4-B37,0))</f>
        <v>0</v>
      </c>
      <c r="H37" s="37" t="str">
        <f aca="false">IF(G37="","",IF(G37&lt;=30,"0-30",IF(G37&lt;=60,"31-60",IF(G37&lt;=90,"61-90","90+"))))</f>
        <v>0-30</v>
      </c>
    </row>
    <row r="38" customFormat="false" ht="15" hidden="false" customHeight="true" outlineLevel="0" collapsed="false">
      <c r="A38" s="70" t="n">
        <f aca="false">IF(AND(Xero_Raw!$C$34="Invoice",AND(Xero_Raw!$I$34&lt;&gt;"Paid",Xero_Raw!$I$34&lt;&gt;"Void",Xero_Raw!$I$34&lt;&gt;"Draft")),Xero_Raw!$A$34,"")</f>
        <v>46174</v>
      </c>
      <c r="B38" s="70" t="n">
        <f aca="false">IF(AND(Xero_Raw!$C$34="Invoice",AND(Xero_Raw!$I$34&lt;&gt;"Paid",Xero_Raw!$I$34&lt;&gt;"Void",Xero_Raw!$I$34&lt;&gt;"Draft")),Xero_Raw!$B$34,"")</f>
        <v>46204</v>
      </c>
      <c r="C38" s="71" t="str">
        <f aca="false">IF(AND(Xero_Raw!$C$34="Invoice",AND(Xero_Raw!$I$34&lt;&gt;"Paid",Xero_Raw!$I$34&lt;&gt;"Void",Xero_Raw!$I$34&lt;&gt;"Draft")),Xero_Raw!$D$34,"")</f>
        <v>Almoudi Group Tabuk ST</v>
      </c>
      <c r="D38" s="71" t="str">
        <f aca="false">IF(C38="","",IFERROR(VLOOKUP(C38,Assumptions!$G$5:$H$16,2,0),"Other"))</f>
        <v>Saudi Arabia</v>
      </c>
      <c r="E38" s="72" t="n">
        <f aca="false">IF(AND(Xero_Raw!$C$34="Invoice",AND(Xero_Raw!$I$34&lt;&gt;"Paid",Xero_Raw!$I$34&lt;&gt;"Void",Xero_Raw!$I$34&lt;&gt;"Draft")),Xero_Raw!$H$34,"")</f>
        <v>40736.07</v>
      </c>
      <c r="F38" s="71" t="str">
        <f aca="false">IF(AND(Xero_Raw!$C$34="Invoice",AND(Xero_Raw!$I$34&lt;&gt;"Paid",Xero_Raw!$I$34&lt;&gt;"Void",Xero_Raw!$I$34&lt;&gt;"Draft")),Xero_Raw!$I$34,"")</f>
        <v>Awaiting Payment</v>
      </c>
      <c r="G38" s="71" t="n">
        <f aca="false">IF(B38="","",MAX($C$4-B38,0))</f>
        <v>0</v>
      </c>
      <c r="H38" s="37" t="str">
        <f aca="false">IF(G38="","",IF(G38&lt;=30,"0-30",IF(G38&lt;=60,"31-60",IF(G38&lt;=90,"61-90","90+"))))</f>
        <v>0-30</v>
      </c>
    </row>
    <row r="39" customFormat="false" ht="15" hidden="false" customHeight="true" outlineLevel="0" collapsed="false">
      <c r="A39" s="70" t="n">
        <f aca="false">IF(AND(Xero_Raw!$C$35="Invoice",AND(Xero_Raw!$I$35&lt;&gt;"Paid",Xero_Raw!$I$35&lt;&gt;"Void",Xero_Raw!$I$35&lt;&gt;"Draft")),Xero_Raw!$A$35,"")</f>
        <v>46178</v>
      </c>
      <c r="B39" s="70" t="n">
        <f aca="false">IF(AND(Xero_Raw!$C$35="Invoice",AND(Xero_Raw!$I$35&lt;&gt;"Paid",Xero_Raw!$I$35&lt;&gt;"Void",Xero_Raw!$I$35&lt;&gt;"Draft")),Xero_Raw!$B$35,"")</f>
        <v>46208</v>
      </c>
      <c r="C39" s="71" t="str">
        <f aca="false">IF(AND(Xero_Raw!$C$35="Invoice",AND(Xero_Raw!$I$35&lt;&gt;"Paid",Xero_Raw!$I$35&lt;&gt;"Void",Xero_Raw!$I$35&lt;&gt;"Draft")),Xero_Raw!$D$35,"")</f>
        <v>Almoudi Group Tabuk ST</v>
      </c>
      <c r="D39" s="71" t="str">
        <f aca="false">IF(C39="","",IFERROR(VLOOKUP(C39,Assumptions!$G$5:$H$16,2,0),"Other"))</f>
        <v>Saudi Arabia</v>
      </c>
      <c r="E39" s="72" t="n">
        <f aca="false">IF(AND(Xero_Raw!$C$35="Invoice",AND(Xero_Raw!$I$35&lt;&gt;"Paid",Xero_Raw!$I$35&lt;&gt;"Void",Xero_Raw!$I$35&lt;&gt;"Draft")),Xero_Raw!$H$35,"")</f>
        <v>17339.02</v>
      </c>
      <c r="F39" s="71" t="str">
        <f aca="false">IF(AND(Xero_Raw!$C$35="Invoice",AND(Xero_Raw!$I$35&lt;&gt;"Paid",Xero_Raw!$I$35&lt;&gt;"Void",Xero_Raw!$I$35&lt;&gt;"Draft")),Xero_Raw!$I$35,"")</f>
        <v>Overdue</v>
      </c>
      <c r="G39" s="71" t="n">
        <f aca="false">IF(B39="","",MAX($C$4-B39,0))</f>
        <v>0</v>
      </c>
      <c r="H39" s="37" t="str">
        <f aca="false">IF(G39="","",IF(G39&lt;=30,"0-30",IF(G39&lt;=60,"31-60",IF(G39&lt;=90,"61-90","90+"))))</f>
        <v>0-30</v>
      </c>
    </row>
    <row r="40" customFormat="false" ht="15" hidden="false" customHeight="true" outlineLevel="0" collapsed="false">
      <c r="A40" s="70" t="n">
        <f aca="false">IF(AND(Xero_Raw!$C$36="Invoice",AND(Xero_Raw!$I$36&lt;&gt;"Paid",Xero_Raw!$I$36&lt;&gt;"Void",Xero_Raw!$I$36&lt;&gt;"Draft")),Xero_Raw!$A$36,"")</f>
        <v>46178</v>
      </c>
      <c r="B40" s="70" t="n">
        <f aca="false">IF(AND(Xero_Raw!$C$36="Invoice",AND(Xero_Raw!$I$36&lt;&gt;"Paid",Xero_Raw!$I$36&lt;&gt;"Void",Xero_Raw!$I$36&lt;&gt;"Draft")),Xero_Raw!$B$36,"")</f>
        <v>46208</v>
      </c>
      <c r="C40" s="71" t="str">
        <f aca="false">IF(AND(Xero_Raw!$C$36="Invoice",AND(Xero_Raw!$I$36&lt;&gt;"Paid",Xero_Raw!$I$36&lt;&gt;"Void",Xero_Raw!$I$36&lt;&gt;"Draft")),Xero_Raw!$D$36,"")</f>
        <v>Faysal Bank</v>
      </c>
      <c r="D40" s="71" t="str">
        <f aca="false">IF(C40="","",IFERROR(VLOOKUP(C40,Assumptions!$G$5:$H$16,2,0),"Other"))</f>
        <v>Pakistan</v>
      </c>
      <c r="E40" s="72" t="n">
        <f aca="false">IF(AND(Xero_Raw!$C$36="Invoice",AND(Xero_Raw!$I$36&lt;&gt;"Paid",Xero_Raw!$I$36&lt;&gt;"Void",Xero_Raw!$I$36&lt;&gt;"Draft")),Xero_Raw!$H$36,"")</f>
        <v>17796.2</v>
      </c>
      <c r="F40" s="71" t="str">
        <f aca="false">IF(AND(Xero_Raw!$C$36="Invoice",AND(Xero_Raw!$I$36&lt;&gt;"Paid",Xero_Raw!$I$36&lt;&gt;"Void",Xero_Raw!$I$36&lt;&gt;"Draft")),Xero_Raw!$I$36,"")</f>
        <v>Awaiting Payment</v>
      </c>
      <c r="G40" s="71" t="n">
        <f aca="false">IF(B40="","",MAX($C$4-B40,0))</f>
        <v>0</v>
      </c>
      <c r="H40" s="37" t="str">
        <f aca="false">IF(G40="","",IF(G40&lt;=30,"0-30",IF(G40&lt;=60,"31-60",IF(G40&lt;=90,"61-90","90+"))))</f>
        <v>0-30</v>
      </c>
    </row>
    <row r="41" customFormat="false" ht="15" hidden="false" customHeight="true" outlineLevel="0" collapsed="false">
      <c r="A41" s="70" t="n">
        <f aca="false">IF(AND(Xero_Raw!$C$37="Invoice",AND(Xero_Raw!$I$37&lt;&gt;"Paid",Xero_Raw!$I$37&lt;&gt;"Void",Xero_Raw!$I$37&lt;&gt;"Draft")),Xero_Raw!$A$37,"")</f>
        <v>46180</v>
      </c>
      <c r="B41" s="70" t="n">
        <f aca="false">IF(AND(Xero_Raw!$C$37="Invoice",AND(Xero_Raw!$I$37&lt;&gt;"Paid",Xero_Raw!$I$37&lt;&gt;"Void",Xero_Raw!$I$37&lt;&gt;"Draft")),Xero_Raw!$B$37,"")</f>
        <v>46210</v>
      </c>
      <c r="C41" s="71" t="str">
        <f aca="false">IF(AND(Xero_Raw!$C$37="Invoice",AND(Xero_Raw!$I$37&lt;&gt;"Paid",Xero_Raw!$I$37&lt;&gt;"Void",Xero_Raw!$I$37&lt;&gt;"Draft")),Xero_Raw!$D$37,"")</f>
        <v>Faysal Bank</v>
      </c>
      <c r="D41" s="71" t="str">
        <f aca="false">IF(C41="","",IFERROR(VLOOKUP(C41,Assumptions!$G$5:$H$16,2,0),"Other"))</f>
        <v>Pakistan</v>
      </c>
      <c r="E41" s="72" t="n">
        <f aca="false">IF(AND(Xero_Raw!$C$37="Invoice",AND(Xero_Raw!$I$37&lt;&gt;"Paid",Xero_Raw!$I$37&lt;&gt;"Void",Xero_Raw!$I$37&lt;&gt;"Draft")),Xero_Raw!$H$37,"")</f>
        <v>41874.83</v>
      </c>
      <c r="F41" s="71" t="str">
        <f aca="false">IF(AND(Xero_Raw!$C$37="Invoice",AND(Xero_Raw!$I$37&lt;&gt;"Paid",Xero_Raw!$I$37&lt;&gt;"Void",Xero_Raw!$I$37&lt;&gt;"Draft")),Xero_Raw!$I$37,"")</f>
        <v>Overdue</v>
      </c>
      <c r="G41" s="71" t="n">
        <f aca="false">IF(B41="","",MAX($C$4-B41,0))</f>
        <v>0</v>
      </c>
      <c r="H41" s="37" t="str">
        <f aca="false">IF(G41="","",IF(G41&lt;=30,"0-30",IF(G41&lt;=60,"31-60",IF(G41&lt;=90,"61-90","90+"))))</f>
        <v>0-30</v>
      </c>
    </row>
    <row r="42" customFormat="false" ht="15" hidden="false" customHeight="true" outlineLevel="0" collapsed="false">
      <c r="A42" s="70" t="str">
        <f aca="false">IF(AND(Xero_Raw!$C$38="Invoice",AND(Xero_Raw!$I$38&lt;&gt;"Paid",Xero_Raw!$I$38&lt;&gt;"Void",Xero_Raw!$I$38&lt;&gt;"Draft")),Xero_Raw!$A$38,"")</f>
        <v/>
      </c>
      <c r="B42" s="70" t="str">
        <f aca="false">IF(AND(Xero_Raw!$C$38="Invoice",AND(Xero_Raw!$I$38&lt;&gt;"Paid",Xero_Raw!$I$38&lt;&gt;"Void",Xero_Raw!$I$38&lt;&gt;"Draft")),Xero_Raw!$B$38,"")</f>
        <v/>
      </c>
      <c r="C42" s="71" t="str">
        <f aca="false">IF(AND(Xero_Raw!$C$38="Invoice",AND(Xero_Raw!$I$38&lt;&gt;"Paid",Xero_Raw!$I$38&lt;&gt;"Void",Xero_Raw!$I$38&lt;&gt;"Draft")),Xero_Raw!$D$38,"")</f>
        <v/>
      </c>
      <c r="D42" s="71" t="str">
        <f aca="false">IF(C42="","",IFERROR(VLOOKUP(C42,Assumptions!$G$5:$H$16,2,0),"Other"))</f>
        <v/>
      </c>
      <c r="E42" s="72" t="str">
        <f aca="false">IF(AND(Xero_Raw!$C$38="Invoice",AND(Xero_Raw!$I$38&lt;&gt;"Paid",Xero_Raw!$I$38&lt;&gt;"Void",Xero_Raw!$I$38&lt;&gt;"Draft")),Xero_Raw!$H$38,"")</f>
        <v/>
      </c>
      <c r="F42" s="71" t="str">
        <f aca="false">IF(AND(Xero_Raw!$C$38="Invoice",AND(Xero_Raw!$I$38&lt;&gt;"Paid",Xero_Raw!$I$38&lt;&gt;"Void",Xero_Raw!$I$38&lt;&gt;"Draft")),Xero_Raw!$I$38,"")</f>
        <v/>
      </c>
      <c r="G42" s="71" t="str">
        <f aca="false">IF(B42="","",MAX($C$4-B42,0))</f>
        <v/>
      </c>
      <c r="H42" s="37" t="str">
        <f aca="false">IF(G42="","",IF(G42&lt;=30,"0-30",IF(G42&lt;=60,"31-60",IF(G42&lt;=90,"61-90","90+"))))</f>
        <v/>
      </c>
    </row>
    <row r="43" customFormat="false" ht="15" hidden="false" customHeight="true" outlineLevel="0" collapsed="false">
      <c r="A43" s="70" t="str">
        <f aca="false">IF(AND(Xero_Raw!$C$39="Invoice",AND(Xero_Raw!$I$39&lt;&gt;"Paid",Xero_Raw!$I$39&lt;&gt;"Void",Xero_Raw!$I$39&lt;&gt;"Draft")),Xero_Raw!$A$39,"")</f>
        <v/>
      </c>
      <c r="B43" s="70" t="str">
        <f aca="false">IF(AND(Xero_Raw!$C$39="Invoice",AND(Xero_Raw!$I$39&lt;&gt;"Paid",Xero_Raw!$I$39&lt;&gt;"Void",Xero_Raw!$I$39&lt;&gt;"Draft")),Xero_Raw!$B$39,"")</f>
        <v/>
      </c>
      <c r="C43" s="71" t="str">
        <f aca="false">IF(AND(Xero_Raw!$C$39="Invoice",AND(Xero_Raw!$I$39&lt;&gt;"Paid",Xero_Raw!$I$39&lt;&gt;"Void",Xero_Raw!$I$39&lt;&gt;"Draft")),Xero_Raw!$D$39,"")</f>
        <v/>
      </c>
      <c r="D43" s="71" t="str">
        <f aca="false">IF(C43="","",IFERROR(VLOOKUP(C43,Assumptions!$G$5:$H$16,2,0),"Other"))</f>
        <v/>
      </c>
      <c r="E43" s="72" t="str">
        <f aca="false">IF(AND(Xero_Raw!$C$39="Invoice",AND(Xero_Raw!$I$39&lt;&gt;"Paid",Xero_Raw!$I$39&lt;&gt;"Void",Xero_Raw!$I$39&lt;&gt;"Draft")),Xero_Raw!$H$39,"")</f>
        <v/>
      </c>
      <c r="F43" s="71" t="str">
        <f aca="false">IF(AND(Xero_Raw!$C$39="Invoice",AND(Xero_Raw!$I$39&lt;&gt;"Paid",Xero_Raw!$I$39&lt;&gt;"Void",Xero_Raw!$I$39&lt;&gt;"Draft")),Xero_Raw!$I$39,"")</f>
        <v/>
      </c>
      <c r="G43" s="71" t="str">
        <f aca="false">IF(B43="","",MAX($C$4-B43,0))</f>
        <v/>
      </c>
      <c r="H43" s="37" t="str">
        <f aca="false">IF(G43="","",IF(G43&lt;=30,"0-30",IF(G43&lt;=60,"31-60",IF(G43&lt;=90,"61-90","90+"))))</f>
        <v/>
      </c>
    </row>
    <row r="44" customFormat="false" ht="15" hidden="false" customHeight="true" outlineLevel="0" collapsed="false">
      <c r="A44" s="70" t="str">
        <f aca="false">IF(AND(Xero_Raw!$C$40="Invoice",AND(Xero_Raw!$I$40&lt;&gt;"Paid",Xero_Raw!$I$40&lt;&gt;"Void",Xero_Raw!$I$40&lt;&gt;"Draft")),Xero_Raw!$A$40,"")</f>
        <v/>
      </c>
      <c r="B44" s="70" t="str">
        <f aca="false">IF(AND(Xero_Raw!$C$40="Invoice",AND(Xero_Raw!$I$40&lt;&gt;"Paid",Xero_Raw!$I$40&lt;&gt;"Void",Xero_Raw!$I$40&lt;&gt;"Draft")),Xero_Raw!$B$40,"")</f>
        <v/>
      </c>
      <c r="C44" s="71" t="str">
        <f aca="false">IF(AND(Xero_Raw!$C$40="Invoice",AND(Xero_Raw!$I$40&lt;&gt;"Paid",Xero_Raw!$I$40&lt;&gt;"Void",Xero_Raw!$I$40&lt;&gt;"Draft")),Xero_Raw!$D$40,"")</f>
        <v/>
      </c>
      <c r="D44" s="71" t="str">
        <f aca="false">IF(C44="","",IFERROR(VLOOKUP(C44,Assumptions!$G$5:$H$16,2,0),"Other"))</f>
        <v/>
      </c>
      <c r="E44" s="72" t="str">
        <f aca="false">IF(AND(Xero_Raw!$C$40="Invoice",AND(Xero_Raw!$I$40&lt;&gt;"Paid",Xero_Raw!$I$40&lt;&gt;"Void",Xero_Raw!$I$40&lt;&gt;"Draft")),Xero_Raw!$H$40,"")</f>
        <v/>
      </c>
      <c r="F44" s="71" t="str">
        <f aca="false">IF(AND(Xero_Raw!$C$40="Invoice",AND(Xero_Raw!$I$40&lt;&gt;"Paid",Xero_Raw!$I$40&lt;&gt;"Void",Xero_Raw!$I$40&lt;&gt;"Draft")),Xero_Raw!$I$40,"")</f>
        <v/>
      </c>
      <c r="G44" s="71" t="str">
        <f aca="false">IF(B44="","",MAX($C$4-B44,0))</f>
        <v/>
      </c>
      <c r="H44" s="37" t="str">
        <f aca="false">IF(G44="","",IF(G44&lt;=30,"0-30",IF(G44&lt;=60,"31-60",IF(G44&lt;=90,"61-90","90+"))))</f>
        <v/>
      </c>
    </row>
    <row r="45" customFormat="false" ht="15" hidden="false" customHeight="true" outlineLevel="0" collapsed="false">
      <c r="A45" s="70" t="str">
        <f aca="false">IF(AND(Xero_Raw!$C$41="Invoice",AND(Xero_Raw!$I$41&lt;&gt;"Paid",Xero_Raw!$I$41&lt;&gt;"Void",Xero_Raw!$I$41&lt;&gt;"Draft")),Xero_Raw!$A$41,"")</f>
        <v/>
      </c>
      <c r="B45" s="70" t="str">
        <f aca="false">IF(AND(Xero_Raw!$C$41="Invoice",AND(Xero_Raw!$I$41&lt;&gt;"Paid",Xero_Raw!$I$41&lt;&gt;"Void",Xero_Raw!$I$41&lt;&gt;"Draft")),Xero_Raw!$B$41,"")</f>
        <v/>
      </c>
      <c r="C45" s="71" t="str">
        <f aca="false">IF(AND(Xero_Raw!$C$41="Invoice",AND(Xero_Raw!$I$41&lt;&gt;"Paid",Xero_Raw!$I$41&lt;&gt;"Void",Xero_Raw!$I$41&lt;&gt;"Draft")),Xero_Raw!$D$41,"")</f>
        <v/>
      </c>
      <c r="D45" s="71" t="str">
        <f aca="false">IF(C45="","",IFERROR(VLOOKUP(C45,Assumptions!$G$5:$H$16,2,0),"Other"))</f>
        <v/>
      </c>
      <c r="E45" s="72" t="str">
        <f aca="false">IF(AND(Xero_Raw!$C$41="Invoice",AND(Xero_Raw!$I$41&lt;&gt;"Paid",Xero_Raw!$I$41&lt;&gt;"Void",Xero_Raw!$I$41&lt;&gt;"Draft")),Xero_Raw!$H$41,"")</f>
        <v/>
      </c>
      <c r="F45" s="71" t="str">
        <f aca="false">IF(AND(Xero_Raw!$C$41="Invoice",AND(Xero_Raw!$I$41&lt;&gt;"Paid",Xero_Raw!$I$41&lt;&gt;"Void",Xero_Raw!$I$41&lt;&gt;"Draft")),Xero_Raw!$I$41,"")</f>
        <v/>
      </c>
      <c r="G45" s="71" t="str">
        <f aca="false">IF(B45="","",MAX($C$4-B45,0))</f>
        <v/>
      </c>
      <c r="H45" s="37" t="str">
        <f aca="false">IF(G45="","",IF(G45&lt;=30,"0-30",IF(G45&lt;=60,"31-60",IF(G45&lt;=90,"61-90","90+"))))</f>
        <v/>
      </c>
    </row>
    <row r="46" customFormat="false" ht="15" hidden="false" customHeight="true" outlineLevel="0" collapsed="false">
      <c r="A46" s="70" t="str">
        <f aca="false">IF(AND(Xero_Raw!$C$42="Invoice",AND(Xero_Raw!$I$42&lt;&gt;"Paid",Xero_Raw!$I$42&lt;&gt;"Void",Xero_Raw!$I$42&lt;&gt;"Draft")),Xero_Raw!$A$42,"")</f>
        <v/>
      </c>
      <c r="B46" s="70" t="str">
        <f aca="false">IF(AND(Xero_Raw!$C$42="Invoice",AND(Xero_Raw!$I$42&lt;&gt;"Paid",Xero_Raw!$I$42&lt;&gt;"Void",Xero_Raw!$I$42&lt;&gt;"Draft")),Xero_Raw!$B$42,"")</f>
        <v/>
      </c>
      <c r="C46" s="71" t="str">
        <f aca="false">IF(AND(Xero_Raw!$C$42="Invoice",AND(Xero_Raw!$I$42&lt;&gt;"Paid",Xero_Raw!$I$42&lt;&gt;"Void",Xero_Raw!$I$42&lt;&gt;"Draft")),Xero_Raw!$D$42,"")</f>
        <v/>
      </c>
      <c r="D46" s="71" t="str">
        <f aca="false">IF(C46="","",IFERROR(VLOOKUP(C46,Assumptions!$G$5:$H$16,2,0),"Other"))</f>
        <v/>
      </c>
      <c r="E46" s="72" t="str">
        <f aca="false">IF(AND(Xero_Raw!$C$42="Invoice",AND(Xero_Raw!$I$42&lt;&gt;"Paid",Xero_Raw!$I$42&lt;&gt;"Void",Xero_Raw!$I$42&lt;&gt;"Draft")),Xero_Raw!$H$42,"")</f>
        <v/>
      </c>
      <c r="F46" s="71" t="str">
        <f aca="false">IF(AND(Xero_Raw!$C$42="Invoice",AND(Xero_Raw!$I$42&lt;&gt;"Paid",Xero_Raw!$I$42&lt;&gt;"Void",Xero_Raw!$I$42&lt;&gt;"Draft")),Xero_Raw!$I$42,"")</f>
        <v/>
      </c>
      <c r="G46" s="71" t="str">
        <f aca="false">IF(B46="","",MAX($C$4-B46,0))</f>
        <v/>
      </c>
      <c r="H46" s="37" t="str">
        <f aca="false">IF(G46="","",IF(G46&lt;=30,"0-30",IF(G46&lt;=60,"31-60",IF(G46&lt;=90,"61-90","90+"))))</f>
        <v/>
      </c>
    </row>
    <row r="48" customFormat="false" ht="15" hidden="false" customHeight="true" outlineLevel="0" collapsed="false">
      <c r="A48" s="69" t="s">
        <v>503</v>
      </c>
    </row>
    <row r="49" customFormat="false" ht="19.5" hidden="false" customHeight="true" outlineLevel="0" collapsed="false">
      <c r="A49" s="78" t="s">
        <v>257</v>
      </c>
      <c r="B49" s="78" t="s">
        <v>193</v>
      </c>
      <c r="C49" s="78" t="s">
        <v>127</v>
      </c>
      <c r="D49" s="78" t="s">
        <v>315</v>
      </c>
      <c r="E49" s="78" t="s">
        <v>198</v>
      </c>
      <c r="F49" s="78" t="s">
        <v>134</v>
      </c>
      <c r="G49" s="78" t="s">
        <v>462</v>
      </c>
      <c r="H49" s="78" t="s">
        <v>463</v>
      </c>
    </row>
    <row r="50" customFormat="false" ht="15" hidden="false" customHeight="true" outlineLevel="0" collapsed="false">
      <c r="A50" s="70" t="n">
        <f aca="false">IF(Customer_Invoices_Upload!$I$4&lt;&gt;"Paid",Customer_Invoices_Upload!$B$4,"")</f>
        <v>46127</v>
      </c>
      <c r="B50" s="70" t="n">
        <f aca="false">IF(Customer_Invoices_Upload!$I$4&lt;&gt;"Paid",Customer_Invoices_Upload!$C$4,"")</f>
        <v>46157</v>
      </c>
      <c r="C50" s="71" t="str">
        <f aca="false">IF(Customer_Invoices_Upload!$I$4&lt;&gt;"Paid",Customer_Invoices_Upload!$E$4,"")</f>
        <v>Misfit Technologies Pte Ltd</v>
      </c>
      <c r="D50" s="71" t="str">
        <f aca="false">IF(C50="","",IFERROR(VLOOKUP(C50,Assumptions!$G$5:$H$16,2,0),"Other"))</f>
        <v>Singapore</v>
      </c>
      <c r="E50" s="72" t="n">
        <f aca="false">IF(Customer_Invoices_Upload!$I$4&lt;&gt;"Paid",Customer_Invoices_Upload!$H$4,"")</f>
        <v>2862.59</v>
      </c>
      <c r="F50" s="71" t="str">
        <f aca="false">IF(Customer_Invoices_Upload!$I$4&lt;&gt;"Paid",Customer_Invoices_Upload!$I$4,"")</f>
        <v>Awaiting Payment</v>
      </c>
      <c r="G50" s="71" t="n">
        <f aca="false">IF(B50="","",MAX($C$4-B50,0))</f>
        <v>46</v>
      </c>
      <c r="H50" s="37" t="str">
        <f aca="false">IF(G50="","",IF(G50&lt;=30,"0-30",IF(G50&lt;=60,"31-60",IF(G50&lt;=90,"61-90","90+"))))</f>
        <v>31-60</v>
      </c>
    </row>
    <row r="51" customFormat="false" ht="15" hidden="false" customHeight="true" outlineLevel="0" collapsed="false">
      <c r="A51" s="70" t="str">
        <f aca="false">IF(Customer_Invoices_Upload!$I$5&lt;&gt;"Paid",Customer_Invoices_Upload!$B$5,"")</f>
        <v/>
      </c>
      <c r="B51" s="70" t="str">
        <f aca="false">IF(Customer_Invoices_Upload!$I$5&lt;&gt;"Paid",Customer_Invoices_Upload!$C$5,"")</f>
        <v/>
      </c>
      <c r="C51" s="71" t="str">
        <f aca="false">IF(Customer_Invoices_Upload!$I$5&lt;&gt;"Paid",Customer_Invoices_Upload!$E$5,"")</f>
        <v/>
      </c>
      <c r="D51" s="71" t="str">
        <f aca="false">IF(C51="","",IFERROR(VLOOKUP(C51,Assumptions!$G$5:$H$16,2,0),"Other"))</f>
        <v/>
      </c>
      <c r="E51" s="72" t="str">
        <f aca="false">IF(Customer_Invoices_Upload!$I$5&lt;&gt;"Paid",Customer_Invoices_Upload!$H$5,"")</f>
        <v/>
      </c>
      <c r="F51" s="71" t="str">
        <f aca="false">IF(Customer_Invoices_Upload!$I$5&lt;&gt;"Paid",Customer_Invoices_Upload!$I$5,"")</f>
        <v/>
      </c>
      <c r="G51" s="71" t="str">
        <f aca="false">IF(B51="","",MAX($C$4-B51,0))</f>
        <v/>
      </c>
      <c r="H51" s="37" t="str">
        <f aca="false">IF(G51="","",IF(G51&lt;=30,"0-30",IF(G51&lt;=60,"31-60",IF(G51&lt;=90,"61-90","90+"))))</f>
        <v/>
      </c>
    </row>
    <row r="52" customFormat="false" ht="15" hidden="false" customHeight="true" outlineLevel="0" collapsed="false">
      <c r="A52" s="70" t="n">
        <f aca="false">IF(Customer_Invoices_Upload!$I$6&lt;&gt;"Paid",Customer_Invoices_Upload!$B$6,"")</f>
        <v>46118</v>
      </c>
      <c r="B52" s="70" t="n">
        <f aca="false">IF(Customer_Invoices_Upload!$I$6&lt;&gt;"Paid",Customer_Invoices_Upload!$C$6,"")</f>
        <v>46148</v>
      </c>
      <c r="C52" s="71" t="str">
        <f aca="false">IF(Customer_Invoices_Upload!$I$6&lt;&gt;"Paid",Customer_Invoices_Upload!$E$6,"")</f>
        <v>Al Fardan Exchange - Sole Proprietorship L.L.C</v>
      </c>
      <c r="D52" s="71" t="str">
        <f aca="false">IF(C52="","",IFERROR(VLOOKUP(C52,Assumptions!$G$5:$H$16,2,0),"Other"))</f>
        <v>UAE</v>
      </c>
      <c r="E52" s="72" t="n">
        <f aca="false">IF(Customer_Invoices_Upload!$I$6&lt;&gt;"Paid",Customer_Invoices_Upload!$H$6,"")</f>
        <v>10317.27</v>
      </c>
      <c r="F52" s="71" t="str">
        <f aca="false">IF(Customer_Invoices_Upload!$I$6&lt;&gt;"Paid",Customer_Invoices_Upload!$I$6,"")</f>
        <v>Overdue</v>
      </c>
      <c r="G52" s="71" t="n">
        <f aca="false">IF(B52="","",MAX($C$4-B52,0))</f>
        <v>55</v>
      </c>
      <c r="H52" s="37" t="str">
        <f aca="false">IF(G52="","",IF(G52&lt;=30,"0-30",IF(G52&lt;=60,"31-60",IF(G52&lt;=90,"61-90","90+"))))</f>
        <v>31-60</v>
      </c>
    </row>
    <row r="53" customFormat="false" ht="15" hidden="false" customHeight="true" outlineLevel="0" collapsed="false">
      <c r="A53" s="70" t="n">
        <f aca="false">IF(Customer_Invoices_Upload!$I$7&lt;&gt;"Paid",Customer_Invoices_Upload!$B$7,"")</f>
        <v>46132</v>
      </c>
      <c r="B53" s="70" t="n">
        <f aca="false">IF(Customer_Invoices_Upload!$I$7&lt;&gt;"Paid",Customer_Invoices_Upload!$C$7,"")</f>
        <v>46162</v>
      </c>
      <c r="C53" s="71" t="str">
        <f aca="false">IF(Customer_Invoices_Upload!$I$7&lt;&gt;"Paid",Customer_Invoices_Upload!$E$7,"")</f>
        <v>Al Fardan Exchange - Sole Proprietorship L.L.C</v>
      </c>
      <c r="D53" s="71" t="str">
        <f aca="false">IF(C53="","",IFERROR(VLOOKUP(C53,Assumptions!$G$5:$H$16,2,0),"Other"))</f>
        <v>UAE</v>
      </c>
      <c r="E53" s="72" t="n">
        <f aca="false">IF(Customer_Invoices_Upload!$I$7&lt;&gt;"Paid",Customer_Invoices_Upload!$H$7,"")</f>
        <v>11128.21</v>
      </c>
      <c r="F53" s="71" t="str">
        <f aca="false">IF(Customer_Invoices_Upload!$I$7&lt;&gt;"Paid",Customer_Invoices_Upload!$I$7,"")</f>
        <v>Overdue</v>
      </c>
      <c r="G53" s="71" t="n">
        <f aca="false">IF(B53="","",MAX($C$4-B53,0))</f>
        <v>41</v>
      </c>
      <c r="H53" s="37" t="str">
        <f aca="false">IF(G53="","",IF(G53&lt;=30,"0-30",IF(G53&lt;=60,"31-60",IF(G53&lt;=90,"61-90","90+"))))</f>
        <v>31-60</v>
      </c>
    </row>
    <row r="54" customFormat="false" ht="15" hidden="false" customHeight="true" outlineLevel="0" collapsed="false">
      <c r="A54" s="70" t="str">
        <f aca="false">IF(Customer_Invoices_Upload!$I$8&lt;&gt;"Paid",Customer_Invoices_Upload!$B$8,"")</f>
        <v/>
      </c>
      <c r="B54" s="70" t="str">
        <f aca="false">IF(Customer_Invoices_Upload!$I$8&lt;&gt;"Paid",Customer_Invoices_Upload!$C$8,"")</f>
        <v/>
      </c>
      <c r="C54" s="71" t="str">
        <f aca="false">IF(Customer_Invoices_Upload!$I$8&lt;&gt;"Paid",Customer_Invoices_Upload!$E$8,"")</f>
        <v/>
      </c>
      <c r="D54" s="71" t="str">
        <f aca="false">IF(C54="","",IFERROR(VLOOKUP(C54,Assumptions!$G$5:$H$16,2,0),"Other"))</f>
        <v/>
      </c>
      <c r="E54" s="72" t="str">
        <f aca="false">IF(Customer_Invoices_Upload!$I$8&lt;&gt;"Paid",Customer_Invoices_Upload!$H$8,"")</f>
        <v/>
      </c>
      <c r="F54" s="71" t="str">
        <f aca="false">IF(Customer_Invoices_Upload!$I$8&lt;&gt;"Paid",Customer_Invoices_Upload!$I$8,"")</f>
        <v/>
      </c>
      <c r="G54" s="71" t="str">
        <f aca="false">IF(B54="","",MAX($C$4-B54,0))</f>
        <v/>
      </c>
      <c r="H54" s="37" t="str">
        <f aca="false">IF(G54="","",IF(G54&lt;=30,"0-30",IF(G54&lt;=60,"31-60",IF(G54&lt;=90,"61-90","90+"))))</f>
        <v/>
      </c>
    </row>
    <row r="55" customFormat="false" ht="15" hidden="false" customHeight="true" outlineLevel="0" collapsed="false">
      <c r="A55" s="70" t="n">
        <f aca="false">IF(Customer_Invoices_Upload!$I$9&lt;&gt;"Paid",Customer_Invoices_Upload!$B$9,"")</f>
        <v>46144</v>
      </c>
      <c r="B55" s="70" t="n">
        <f aca="false">IF(Customer_Invoices_Upload!$I$9&lt;&gt;"Paid",Customer_Invoices_Upload!$C$9,"")</f>
        <v>46174</v>
      </c>
      <c r="C55" s="71" t="str">
        <f aca="false">IF(Customer_Invoices_Upload!$I$9&lt;&gt;"Paid",Customer_Invoices_Upload!$E$9,"")</f>
        <v>Growth X Ventures LLC</v>
      </c>
      <c r="D55" s="71" t="str">
        <f aca="false">IF(C55="","",IFERROR(VLOOKUP(C55,Assumptions!$G$5:$H$16,2,0),"Other"))</f>
        <v>UAE</v>
      </c>
      <c r="E55" s="72" t="n">
        <f aca="false">IF(Customer_Invoices_Upload!$I$9&lt;&gt;"Paid",Customer_Invoices_Upload!$H$9,"")</f>
        <v>13175.39</v>
      </c>
      <c r="F55" s="71" t="str">
        <f aca="false">IF(Customer_Invoices_Upload!$I$9&lt;&gt;"Paid",Customer_Invoices_Upload!$I$9,"")</f>
        <v>Awaiting Payment</v>
      </c>
      <c r="G55" s="71" t="n">
        <f aca="false">IF(B55="","",MAX($C$4-B55,0))</f>
        <v>29</v>
      </c>
      <c r="H55" s="37" t="str">
        <f aca="false">IF(G55="","",IF(G55&lt;=30,"0-30",IF(G55&lt;=60,"31-60",IF(G55&lt;=90,"61-90","90+"))))</f>
        <v>0-30</v>
      </c>
    </row>
    <row r="56" customFormat="false" ht="15" hidden="false" customHeight="true" outlineLevel="0" collapsed="false">
      <c r="A56" s="70" t="str">
        <f aca="false">IF(Customer_Invoices_Upload!$I$10&lt;&gt;"Paid",Customer_Invoices_Upload!$B$10,"")</f>
        <v/>
      </c>
      <c r="B56" s="70" t="str">
        <f aca="false">IF(Customer_Invoices_Upload!$I$10&lt;&gt;"Paid",Customer_Invoices_Upload!$C$10,"")</f>
        <v/>
      </c>
      <c r="C56" s="71" t="str">
        <f aca="false">IF(Customer_Invoices_Upload!$I$10&lt;&gt;"Paid",Customer_Invoices_Upload!$E$10,"")</f>
        <v/>
      </c>
      <c r="D56" s="71" t="str">
        <f aca="false">IF(C56="","",IFERROR(VLOOKUP(C56,Assumptions!$G$5:$H$16,2,0),"Other"))</f>
        <v/>
      </c>
      <c r="E56" s="72" t="str">
        <f aca="false">IF(Customer_Invoices_Upload!$I$10&lt;&gt;"Paid",Customer_Invoices_Upload!$H$10,"")</f>
        <v/>
      </c>
      <c r="F56" s="71" t="str">
        <f aca="false">IF(Customer_Invoices_Upload!$I$10&lt;&gt;"Paid",Customer_Invoices_Upload!$I$10,"")</f>
        <v/>
      </c>
      <c r="G56" s="71" t="str">
        <f aca="false">IF(B56="","",MAX($C$4-B56,0))</f>
        <v/>
      </c>
      <c r="H56" s="37" t="str">
        <f aca="false">IF(G56="","",IF(G56&lt;=30,"0-30",IF(G56&lt;=60,"31-60",IF(G56&lt;=90,"61-90","90+"))))</f>
        <v/>
      </c>
    </row>
    <row r="57" customFormat="false" ht="15" hidden="false" customHeight="true" outlineLevel="0" collapsed="false">
      <c r="A57" s="70" t="str">
        <f aca="false">IF(Customer_Invoices_Upload!$I$11&lt;&gt;"Paid",Customer_Invoices_Upload!$B$11,"")</f>
        <v/>
      </c>
      <c r="B57" s="70" t="str">
        <f aca="false">IF(Customer_Invoices_Upload!$I$11&lt;&gt;"Paid",Customer_Invoices_Upload!$C$11,"")</f>
        <v/>
      </c>
      <c r="C57" s="71" t="str">
        <f aca="false">IF(Customer_Invoices_Upload!$I$11&lt;&gt;"Paid",Customer_Invoices_Upload!$E$11,"")</f>
        <v/>
      </c>
      <c r="D57" s="71" t="str">
        <f aca="false">IF(C57="","",IFERROR(VLOOKUP(C57,Assumptions!$G$5:$H$16,2,0),"Other"))</f>
        <v/>
      </c>
      <c r="E57" s="72" t="str">
        <f aca="false">IF(Customer_Invoices_Upload!$I$11&lt;&gt;"Paid",Customer_Invoices_Upload!$H$11,"")</f>
        <v/>
      </c>
      <c r="F57" s="71" t="str">
        <f aca="false">IF(Customer_Invoices_Upload!$I$11&lt;&gt;"Paid",Customer_Invoices_Upload!$I$11,"")</f>
        <v/>
      </c>
      <c r="G57" s="71" t="str">
        <f aca="false">IF(B57="","",MAX($C$4-B57,0))</f>
        <v/>
      </c>
      <c r="H57" s="37" t="str">
        <f aca="false">IF(G57="","",IF(G57&lt;=30,"0-30",IF(G57&lt;=60,"31-60",IF(G57&lt;=90,"61-90","90+"))))</f>
        <v/>
      </c>
    </row>
    <row r="58" customFormat="false" ht="15" hidden="false" customHeight="true" outlineLevel="0" collapsed="false">
      <c r="A58" s="70" t="n">
        <f aca="false">IF(Customer_Invoices_Upload!$I$12&lt;&gt;"Paid",Customer_Invoices_Upload!$B$12,"")</f>
        <v>46147</v>
      </c>
      <c r="B58" s="70" t="n">
        <f aca="false">IF(Customer_Invoices_Upload!$I$12&lt;&gt;"Paid",Customer_Invoices_Upload!$C$12,"")</f>
        <v>46177</v>
      </c>
      <c r="C58" s="71" t="str">
        <f aca="false">IF(Customer_Invoices_Upload!$I$12&lt;&gt;"Paid",Customer_Invoices_Upload!$E$12,"")</f>
        <v>Misfit Technologies Pte Ltd</v>
      </c>
      <c r="D58" s="71" t="str">
        <f aca="false">IF(C58="","",IFERROR(VLOOKUP(C58,Assumptions!$G$5:$H$16,2,0),"Other"))</f>
        <v>Singapore</v>
      </c>
      <c r="E58" s="72" t="n">
        <f aca="false">IF(Customer_Invoices_Upload!$I$12&lt;&gt;"Paid",Customer_Invoices_Upload!$H$12,"")</f>
        <v>21750.95</v>
      </c>
      <c r="F58" s="71" t="str">
        <f aca="false">IF(Customer_Invoices_Upload!$I$12&lt;&gt;"Paid",Customer_Invoices_Upload!$I$12,"")</f>
        <v>Overdue</v>
      </c>
      <c r="G58" s="71" t="n">
        <f aca="false">IF(B58="","",MAX($C$4-B58,0))</f>
        <v>26</v>
      </c>
      <c r="H58" s="37" t="str">
        <f aca="false">IF(G58="","",IF(G58&lt;=30,"0-30",IF(G58&lt;=60,"31-60",IF(G58&lt;=90,"61-90","90+"))))</f>
        <v>0-30</v>
      </c>
    </row>
    <row r="59" customFormat="false" ht="15" hidden="false" customHeight="true" outlineLevel="0" collapsed="false">
      <c r="A59" s="70" t="n">
        <f aca="false">IF(Customer_Invoices_Upload!$I$13&lt;&gt;"Paid",Customer_Invoices_Upload!$B$13,"")</f>
        <v>46152</v>
      </c>
      <c r="B59" s="70" t="n">
        <f aca="false">IF(Customer_Invoices_Upload!$I$13&lt;&gt;"Paid",Customer_Invoices_Upload!$C$13,"")</f>
        <v>46182</v>
      </c>
      <c r="C59" s="71" t="str">
        <f aca="false">IF(Customer_Invoices_Upload!$I$13&lt;&gt;"Paid",Customer_Invoices_Upload!$E$13,"")</f>
        <v>I Farmer Pte Ltd</v>
      </c>
      <c r="D59" s="71" t="str">
        <f aca="false">IF(C59="","",IFERROR(VLOOKUP(C59,Assumptions!$G$5:$H$16,2,0),"Other"))</f>
        <v>Singapore</v>
      </c>
      <c r="E59" s="72" t="n">
        <f aca="false">IF(Customer_Invoices_Upload!$I$13&lt;&gt;"Paid",Customer_Invoices_Upload!$H$13,"")</f>
        <v>14640.03</v>
      </c>
      <c r="F59" s="71" t="str">
        <f aca="false">IF(Customer_Invoices_Upload!$I$13&lt;&gt;"Paid",Customer_Invoices_Upload!$I$13,"")</f>
        <v>Awaiting Payment</v>
      </c>
      <c r="G59" s="71" t="n">
        <f aca="false">IF(B59="","",MAX($C$4-B59,0))</f>
        <v>21</v>
      </c>
      <c r="H59" s="37" t="str">
        <f aca="false">IF(G59="","",IF(G59&lt;=30,"0-30",IF(G59&lt;=60,"31-60",IF(G59&lt;=90,"61-90","90+"))))</f>
        <v>0-30</v>
      </c>
    </row>
    <row r="60" customFormat="false" ht="15" hidden="false" customHeight="true" outlineLevel="0" collapsed="false">
      <c r="A60" s="70" t="n">
        <f aca="false">IF(Customer_Invoices_Upload!$I$14&lt;&gt;"Paid",Customer_Invoices_Upload!$B$14,"")</f>
        <v>46190</v>
      </c>
      <c r="B60" s="70" t="n">
        <f aca="false">IF(Customer_Invoices_Upload!$I$14&lt;&gt;"Paid",Customer_Invoices_Upload!$C$14,"")</f>
        <v>46220</v>
      </c>
      <c r="C60" s="71" t="str">
        <f aca="false">IF(Customer_Invoices_Upload!$I$14&lt;&gt;"Paid",Customer_Invoices_Upload!$E$14,"")</f>
        <v>I Farmer Pte Ltd</v>
      </c>
      <c r="D60" s="71" t="str">
        <f aca="false">IF(C60="","",IFERROR(VLOOKUP(C60,Assumptions!$G$5:$H$16,2,0),"Other"))</f>
        <v>Singapore</v>
      </c>
      <c r="E60" s="72" t="n">
        <f aca="false">IF(Customer_Invoices_Upload!$I$14&lt;&gt;"Paid",Customer_Invoices_Upload!$H$14,"")</f>
        <v>13168.55</v>
      </c>
      <c r="F60" s="71" t="str">
        <f aca="false">IF(Customer_Invoices_Upload!$I$14&lt;&gt;"Paid",Customer_Invoices_Upload!$I$14,"")</f>
        <v>Overdue</v>
      </c>
      <c r="G60" s="71" t="n">
        <f aca="false">IF(B60="","",MAX($C$4-B60,0))</f>
        <v>0</v>
      </c>
      <c r="H60" s="37" t="str">
        <f aca="false">IF(G60="","",IF(G60&lt;=30,"0-30",IF(G60&lt;=60,"31-60",IF(G60&lt;=90,"61-90","90+"))))</f>
        <v>0-30</v>
      </c>
    </row>
    <row r="61" customFormat="false" ht="15" hidden="false" customHeight="true" outlineLevel="0" collapsed="false">
      <c r="A61" s="70" t="n">
        <f aca="false">IF(Customer_Invoices_Upload!$I$15&lt;&gt;"Paid",Customer_Invoices_Upload!$B$15,"")</f>
        <v>46178</v>
      </c>
      <c r="B61" s="70" t="n">
        <f aca="false">IF(Customer_Invoices_Upload!$I$15&lt;&gt;"Paid",Customer_Invoices_Upload!$C$15,"")</f>
        <v>46208</v>
      </c>
      <c r="C61" s="71" t="str">
        <f aca="false">IF(Customer_Invoices_Upload!$I$15&lt;&gt;"Paid",Customer_Invoices_Upload!$E$15,"")</f>
        <v>Al Fardan Exchange - Sole Proprietorship L.L.C</v>
      </c>
      <c r="D61" s="71" t="str">
        <f aca="false">IF(C61="","",IFERROR(VLOOKUP(C61,Assumptions!$G$5:$H$16,2,0),"Other"))</f>
        <v>UAE</v>
      </c>
      <c r="E61" s="72" t="n">
        <f aca="false">IF(Customer_Invoices_Upload!$I$15&lt;&gt;"Paid",Customer_Invoices_Upload!$H$15,"")</f>
        <v>2303.99</v>
      </c>
      <c r="F61" s="71" t="str">
        <f aca="false">IF(Customer_Invoices_Upload!$I$15&lt;&gt;"Paid",Customer_Invoices_Upload!$I$15,"")</f>
        <v>Overdue</v>
      </c>
      <c r="G61" s="71" t="n">
        <f aca="false">IF(B61="","",MAX($C$4-B61,0))</f>
        <v>0</v>
      </c>
      <c r="H61" s="37" t="str">
        <f aca="false">IF(G61="","",IF(G61&lt;=30,"0-30",IF(G61&lt;=60,"31-60",IF(G61&lt;=90,"61-90","90+"))))</f>
        <v>0-30</v>
      </c>
    </row>
    <row r="62" customFormat="false" ht="15" hidden="false" customHeight="true" outlineLevel="0" collapsed="false">
      <c r="A62" s="70" t="str">
        <f aca="false">IF(Customer_Invoices_Upload!$I$16&lt;&gt;"Paid",Customer_Invoices_Upload!$B$16,"")</f>
        <v/>
      </c>
      <c r="B62" s="70" t="str">
        <f aca="false">IF(Customer_Invoices_Upload!$I$16&lt;&gt;"Paid",Customer_Invoices_Upload!$C$16,"")</f>
        <v/>
      </c>
      <c r="C62" s="71" t="str">
        <f aca="false">IF(Customer_Invoices_Upload!$I$16&lt;&gt;"Paid",Customer_Invoices_Upload!$E$16,"")</f>
        <v/>
      </c>
      <c r="D62" s="71" t="str">
        <f aca="false">IF(C62="","",IFERROR(VLOOKUP(C62,Assumptions!$G$5:$H$16,2,0),"Other"))</f>
        <v/>
      </c>
      <c r="E62" s="72" t="str">
        <f aca="false">IF(Customer_Invoices_Upload!$I$16&lt;&gt;"Paid",Customer_Invoices_Upload!$H$16,"")</f>
        <v/>
      </c>
      <c r="F62" s="71" t="str">
        <f aca="false">IF(Customer_Invoices_Upload!$I$16&lt;&gt;"Paid",Customer_Invoices_Upload!$I$16,"")</f>
        <v/>
      </c>
      <c r="G62" s="71" t="str">
        <f aca="false">IF(B62="","",MAX($C$4-B62,0))</f>
        <v/>
      </c>
      <c r="H62" s="37" t="str">
        <f aca="false">IF(G62="","",IF(G62&lt;=30,"0-30",IF(G62&lt;=60,"31-60",IF(G62&lt;=90,"61-90","90+"))))</f>
        <v/>
      </c>
    </row>
    <row r="63" customFormat="false" ht="15" hidden="false" customHeight="true" outlineLevel="0" collapsed="false">
      <c r="A63" s="70" t="str">
        <f aca="false">IF(Customer_Invoices_Upload!$I$17&lt;&gt;"Paid",Customer_Invoices_Upload!$B$17,"")</f>
        <v/>
      </c>
      <c r="B63" s="70" t="str">
        <f aca="false">IF(Customer_Invoices_Upload!$I$17&lt;&gt;"Paid",Customer_Invoices_Upload!$C$17,"")</f>
        <v/>
      </c>
      <c r="C63" s="71" t="str">
        <f aca="false">IF(Customer_Invoices_Upload!$I$17&lt;&gt;"Paid",Customer_Invoices_Upload!$E$17,"")</f>
        <v/>
      </c>
      <c r="D63" s="71" t="str">
        <f aca="false">IF(C63="","",IFERROR(VLOOKUP(C63,Assumptions!$G$5:$H$16,2,0),"Other"))</f>
        <v/>
      </c>
      <c r="E63" s="72" t="str">
        <f aca="false">IF(Customer_Invoices_Upload!$I$17&lt;&gt;"Paid",Customer_Invoices_Upload!$H$17,"")</f>
        <v/>
      </c>
      <c r="F63" s="71" t="str">
        <f aca="false">IF(Customer_Invoices_Upload!$I$17&lt;&gt;"Paid",Customer_Invoices_Upload!$I$17,"")</f>
        <v/>
      </c>
      <c r="G63" s="71" t="str">
        <f aca="false">IF(B63="","",MAX($C$4-B63,0))</f>
        <v/>
      </c>
      <c r="H63" s="37" t="str">
        <f aca="false">IF(G63="","",IF(G63&lt;=30,"0-30",IF(G63&lt;=60,"31-60",IF(G63&lt;=90,"61-90","90+"))))</f>
        <v/>
      </c>
    </row>
    <row r="64" customFormat="false" ht="15" hidden="false" customHeight="true" outlineLevel="0" collapsed="false">
      <c r="A64" s="70" t="str">
        <f aca="false">IF(Customer_Invoices_Upload!$I$18&lt;&gt;"Paid",Customer_Invoices_Upload!$B$18,"")</f>
        <v/>
      </c>
      <c r="B64" s="70" t="str">
        <f aca="false">IF(Customer_Invoices_Upload!$I$18&lt;&gt;"Paid",Customer_Invoices_Upload!$C$18,"")</f>
        <v/>
      </c>
      <c r="C64" s="71" t="str">
        <f aca="false">IF(Customer_Invoices_Upload!$I$18&lt;&gt;"Paid",Customer_Invoices_Upload!$E$18,"")</f>
        <v/>
      </c>
      <c r="D64" s="71" t="str">
        <f aca="false">IF(C64="","",IFERROR(VLOOKUP(C64,Assumptions!$G$5:$H$16,2,0),"Other"))</f>
        <v/>
      </c>
      <c r="E64" s="72" t="str">
        <f aca="false">IF(Customer_Invoices_Upload!$I$18&lt;&gt;"Paid",Customer_Invoices_Upload!$H$18,"")</f>
        <v/>
      </c>
      <c r="F64" s="71" t="str">
        <f aca="false">IF(Customer_Invoices_Upload!$I$18&lt;&gt;"Paid",Customer_Invoices_Upload!$I$18,"")</f>
        <v/>
      </c>
      <c r="G64" s="71" t="str">
        <f aca="false">IF(B64="","",MAX($C$4-B64,0))</f>
        <v/>
      </c>
      <c r="H64" s="37" t="str">
        <f aca="false">IF(G64="","",IF(G64&lt;=30,"0-30",IF(G64&lt;=60,"31-60",IF(G64&lt;=90,"61-90","90+"))))</f>
        <v/>
      </c>
    </row>
    <row r="66" customFormat="false" ht="15" hidden="false" customHeight="true" outlineLevel="0" collapsed="false">
      <c r="A66" s="69" t="s">
        <v>504</v>
      </c>
    </row>
    <row r="67" customFormat="false" ht="19.5" hidden="false" customHeight="true" outlineLevel="0" collapsed="false">
      <c r="A67" s="42" t="s">
        <v>315</v>
      </c>
      <c r="B67" s="42" t="s">
        <v>466</v>
      </c>
      <c r="C67" s="42" t="s">
        <v>467</v>
      </c>
      <c r="D67" s="42" t="s">
        <v>468</v>
      </c>
      <c r="E67" s="42" t="s">
        <v>469</v>
      </c>
      <c r="F67" s="42" t="s">
        <v>470</v>
      </c>
    </row>
    <row r="68" customFormat="false" ht="15" hidden="false" customHeight="true" outlineLevel="0" collapsed="false">
      <c r="A68" s="63" t="s">
        <v>318</v>
      </c>
      <c r="B68" s="73" t="n">
        <f aca="false">SUMPRODUCT((Xero_Raw!$C$4:$C$5003="Invoice")*(Xero_Raw!$I$4:$I$5003&lt;&gt;"Paid")*(Xero_Raw!$I$4:$I$5003&lt;&gt;"Void")*(Xero_Raw!$I$4:$I$5003&lt;&gt;"Draft")*(Xero_Raw!$A$4:$A$5003&lt;&gt;"")*(Xero_Raw!$E$4:$E$5003="UAE")*(($C$4-Xero_Raw!$B$4:$B$5003)&lt;=30)*Xero_Raw!$H$4:$H$5003)+SUMPRODUCT((Customer_Invoices_Upload!$I$4:$I$5003&lt;&gt;"Paid")*(Customer_Invoices_Upload!$B$4:$B$5003&lt;&gt;"")*(Customer_Invoices_Upload!$F$4:$F$5003="UAE")*(($C$4-Customer_Invoices_Upload!$C$4:$C$5003)&lt;=30)*Customer_Invoices_Upload!$H$4:$H$5003)</f>
        <v>108545.79</v>
      </c>
      <c r="C68" s="73" t="n">
        <f aca="false">SUMPRODUCT((Xero_Raw!$C$4:$C$5003="Invoice")*(Xero_Raw!$I$4:$I$5003&lt;&gt;"Paid")*(Xero_Raw!$I$4:$I$5003&lt;&gt;"Void")*(Xero_Raw!$I$4:$I$5003&lt;&gt;"Draft")*(Xero_Raw!$A$4:$A$5003&lt;&gt;"")*(Xero_Raw!$E$4:$E$5003="UAE")*(($C$4-Xero_Raw!$B$4:$B$5003)&gt;=31)*(($C$4-Xero_Raw!$B$4:$B$5003)&lt;=60)*Xero_Raw!$H$4:$H$5003)+SUMPRODUCT((Customer_Invoices_Upload!$I$4:$I$5003&lt;&gt;"Paid")*(Customer_Invoices_Upload!$B$4:$B$5003&lt;&gt;"")*(Customer_Invoices_Upload!$F$4:$F$5003="UAE")*(($C$4-Customer_Invoices_Upload!$C$4:$C$5003)&gt;=31)*(($C$4-Customer_Invoices_Upload!$C$4:$C$5003)&lt;=60)*Customer_Invoices_Upload!$H$4:$H$5003)</f>
        <v>21445.48</v>
      </c>
      <c r="D68" s="73" t="n">
        <f aca="false">SUMPRODUCT((Xero_Raw!$C$4:$C$5003="Invoice")*(Xero_Raw!$I$4:$I$5003&lt;&gt;"Paid")*(Xero_Raw!$I$4:$I$5003&lt;&gt;"Void")*(Xero_Raw!$I$4:$I$5003&lt;&gt;"Draft")*(Xero_Raw!$A$4:$A$5003&lt;&gt;"")*(Xero_Raw!$E$4:$E$5003="UAE")*(($C$4-Xero_Raw!$B$4:$B$5003)&gt;=61)*(($C$4-Xero_Raw!$B$4:$B$5003)&lt;=90)*Xero_Raw!$H$4:$H$5003)+SUMPRODUCT((Customer_Invoices_Upload!$I$4:$I$5003&lt;&gt;"Paid")*(Customer_Invoices_Upload!$B$4:$B$5003&lt;&gt;"")*(Customer_Invoices_Upload!$F$4:$F$5003="UAE")*(($C$4-Customer_Invoices_Upload!$C$4:$C$5003)&gt;=61)*(($C$4-Customer_Invoices_Upload!$C$4:$C$5003)&lt;=90)*Customer_Invoices_Upload!$H$4:$H$5003)</f>
        <v>0</v>
      </c>
      <c r="E68" s="73" t="n">
        <f aca="false">SUMPRODUCT((Xero_Raw!$C$4:$C$5003="Invoice")*(Xero_Raw!$I$4:$I$5003&lt;&gt;"Paid")*(Xero_Raw!$I$4:$I$5003&lt;&gt;"Void")*(Xero_Raw!$I$4:$I$5003&lt;&gt;"Draft")*(Xero_Raw!$A$4:$A$5003&lt;&gt;"")*(Xero_Raw!$E$4:$E$5003="UAE")*(($C$4-Xero_Raw!$B$4:$B$5003)&gt;=91)*Xero_Raw!$H$4:$H$5003)+SUMPRODUCT((Customer_Invoices_Upload!$I$4:$I$5003&lt;&gt;"Paid")*(Customer_Invoices_Upload!$B$4:$B$5003&lt;&gt;"")*(Customer_Invoices_Upload!$F$4:$F$5003="UAE")*(($C$4-Customer_Invoices_Upload!$C$4:$C$5003)&gt;=91)*Customer_Invoices_Upload!$H$4:$H$5003)</f>
        <v>0</v>
      </c>
      <c r="F68" s="74" t="n">
        <f aca="false">SUM(B68:E68)</f>
        <v>129991.27</v>
      </c>
    </row>
    <row r="69" customFormat="false" ht="15" hidden="false" customHeight="true" outlineLevel="0" collapsed="false">
      <c r="A69" s="63" t="s">
        <v>325</v>
      </c>
      <c r="B69" s="73" t="n">
        <f aca="false">SUMPRODUCT((Xero_Raw!$C$4:$C$5003="Invoice")*(Xero_Raw!$I$4:$I$5003&lt;&gt;"Paid")*(Xero_Raw!$I$4:$I$5003&lt;&gt;"Void")*(Xero_Raw!$I$4:$I$5003&lt;&gt;"Draft")*(Xero_Raw!$A$4:$A$5003&lt;&gt;"")*(Xero_Raw!$E$4:$E$5003="Singapore")*(($C$4-Xero_Raw!$B$4:$B$5003)&lt;=30)*Xero_Raw!$H$4:$H$5003)+SUMPRODUCT((Customer_Invoices_Upload!$I$4:$I$5003&lt;&gt;"Paid")*(Customer_Invoices_Upload!$B$4:$B$5003&lt;&gt;"")*(Customer_Invoices_Upload!$F$4:$F$5003="Singapore")*(($C$4-Customer_Invoices_Upload!$C$4:$C$5003)&lt;=30)*Customer_Invoices_Upload!$H$4:$H$5003)</f>
        <v>78140.09</v>
      </c>
      <c r="C69" s="73" t="n">
        <f aca="false">SUMPRODUCT((Xero_Raw!$C$4:$C$5003="Invoice")*(Xero_Raw!$I$4:$I$5003&lt;&gt;"Paid")*(Xero_Raw!$I$4:$I$5003&lt;&gt;"Void")*(Xero_Raw!$I$4:$I$5003&lt;&gt;"Draft")*(Xero_Raw!$A$4:$A$5003&lt;&gt;"")*(Xero_Raw!$E$4:$E$5003="Singapore")*(($C$4-Xero_Raw!$B$4:$B$5003)&gt;=31)*(($C$4-Xero_Raw!$B$4:$B$5003)&lt;=60)*Xero_Raw!$H$4:$H$5003)+SUMPRODUCT((Customer_Invoices_Upload!$I$4:$I$5003&lt;&gt;"Paid")*(Customer_Invoices_Upload!$B$4:$B$5003&lt;&gt;"")*(Customer_Invoices_Upload!$F$4:$F$5003="Singapore")*(($C$4-Customer_Invoices_Upload!$C$4:$C$5003)&gt;=31)*(($C$4-Customer_Invoices_Upload!$C$4:$C$5003)&lt;=60)*Customer_Invoices_Upload!$H$4:$H$5003)</f>
        <v>54965.12</v>
      </c>
      <c r="D69" s="73" t="n">
        <f aca="false">SUMPRODUCT((Xero_Raw!$C$4:$C$5003="Invoice")*(Xero_Raw!$I$4:$I$5003&lt;&gt;"Paid")*(Xero_Raw!$I$4:$I$5003&lt;&gt;"Void")*(Xero_Raw!$I$4:$I$5003&lt;&gt;"Draft")*(Xero_Raw!$A$4:$A$5003&lt;&gt;"")*(Xero_Raw!$E$4:$E$5003="Singapore")*(($C$4-Xero_Raw!$B$4:$B$5003)&gt;=61)*(($C$4-Xero_Raw!$B$4:$B$5003)&lt;=90)*Xero_Raw!$H$4:$H$5003)+SUMPRODUCT((Customer_Invoices_Upload!$I$4:$I$5003&lt;&gt;"Paid")*(Customer_Invoices_Upload!$B$4:$B$5003&lt;&gt;"")*(Customer_Invoices_Upload!$F$4:$F$5003="Singapore")*(($C$4-Customer_Invoices_Upload!$C$4:$C$5003)&gt;=61)*(($C$4-Customer_Invoices_Upload!$C$4:$C$5003)&lt;=90)*Customer_Invoices_Upload!$H$4:$H$5003)</f>
        <v>0</v>
      </c>
      <c r="E69" s="73" t="n">
        <f aca="false">SUMPRODUCT((Xero_Raw!$C$4:$C$5003="Invoice")*(Xero_Raw!$I$4:$I$5003&lt;&gt;"Paid")*(Xero_Raw!$I$4:$I$5003&lt;&gt;"Void")*(Xero_Raw!$I$4:$I$5003&lt;&gt;"Draft")*(Xero_Raw!$A$4:$A$5003&lt;&gt;"")*(Xero_Raw!$E$4:$E$5003="Singapore")*(($C$4-Xero_Raw!$B$4:$B$5003)&gt;=91)*Xero_Raw!$H$4:$H$5003)+SUMPRODUCT((Customer_Invoices_Upload!$I$4:$I$5003&lt;&gt;"Paid")*(Customer_Invoices_Upload!$B$4:$B$5003&lt;&gt;"")*(Customer_Invoices_Upload!$F$4:$F$5003="Singapore")*(($C$4-Customer_Invoices_Upload!$C$4:$C$5003)&gt;=91)*Customer_Invoices_Upload!$H$4:$H$5003)</f>
        <v>0</v>
      </c>
      <c r="F69" s="74" t="n">
        <f aca="false">SUM(B69:E69)</f>
        <v>133105.21</v>
      </c>
    </row>
    <row r="70" customFormat="false" ht="15" hidden="false" customHeight="true" outlineLevel="0" collapsed="false">
      <c r="A70" s="63" t="s">
        <v>505</v>
      </c>
      <c r="B70" s="73" t="n">
        <f aca="false">SUMPRODUCT((Xero_Raw!$C$4:$C$5003="Invoice")*(Xero_Raw!$I$4:$I$5003&lt;&gt;"Paid")*(Xero_Raw!$I$4:$I$5003&lt;&gt;"Void")*(Xero_Raw!$I$4:$I$5003&lt;&gt;"Draft")*(Xero_Raw!$A$4:$A$5003&lt;&gt;"")*(Xero_Raw!$E$4:$E$5003&lt;&gt;"UAE")*(Xero_Raw!$E$4:$E$5003&lt;&gt;"Singapore")*(Xero_Raw!$E$4:$E$5003&lt;&gt;"")*(($C$4-Xero_Raw!$B$4:$B$5003)&lt;=30)*Xero_Raw!$H$4:$H$5003)+SUMPRODUCT((Customer_Invoices_Upload!$I$4:$I$5003&lt;&gt;"Paid")*(Customer_Invoices_Upload!$B$4:$B$5003&lt;&gt;"")*(Customer_Invoices_Upload!$F$4:$F$5003&lt;&gt;"UAE")*(Customer_Invoices_Upload!$F$4:$F$5003&lt;&gt;"Singapore")*(Customer_Invoices_Upload!$F$4:$F$5003&lt;&gt;"")*(($C$4-Customer_Invoices_Upload!$C$4:$C$5003)&lt;=30)*Customer_Invoices_Upload!$H$4:$H$5003)</f>
        <v>197625.74</v>
      </c>
      <c r="C70" s="73" t="n">
        <f aca="false">SUMPRODUCT((Xero_Raw!$C$4:$C$5003="Invoice")*(Xero_Raw!$I$4:$I$5003&lt;&gt;"Paid")*(Xero_Raw!$I$4:$I$5003&lt;&gt;"Void")*(Xero_Raw!$I$4:$I$5003&lt;&gt;"Draft")*(Xero_Raw!$A$4:$A$5003&lt;&gt;"")*(Xero_Raw!$E$4:$E$5003&lt;&gt;"UAE")*(Xero_Raw!$E$4:$E$5003&lt;&gt;"Singapore")*(Xero_Raw!$E$4:$E$5003&lt;&gt;"")*(($C$4-Xero_Raw!$B$4:$B$5003)&gt;=31)*(($C$4-Xero_Raw!$B$4:$B$5003)&lt;=60)*Xero_Raw!$H$4:$H$5003)+SUMPRODUCT((Customer_Invoices_Upload!$I$4:$I$5003&lt;&gt;"Paid")*(Customer_Invoices_Upload!$B$4:$B$5003&lt;&gt;"")*(Customer_Invoices_Upload!$F$4:$F$5003&lt;&gt;"UAE")*(Customer_Invoices_Upload!$F$4:$F$5003&lt;&gt;"Singapore")*(Customer_Invoices_Upload!$F$4:$F$5003&lt;&gt;"")*(($C$4-Customer_Invoices_Upload!$C$4:$C$5003)&gt;=31)*(($C$4-Customer_Invoices_Upload!$C$4:$C$5003)&lt;=60)*Customer_Invoices_Upload!$H$4:$H$5003)</f>
        <v>5515.54</v>
      </c>
      <c r="D70" s="73" t="n">
        <f aca="false">SUMPRODUCT((Xero_Raw!$C$4:$C$5003="Invoice")*(Xero_Raw!$I$4:$I$5003&lt;&gt;"Paid")*(Xero_Raw!$I$4:$I$5003&lt;&gt;"Void")*(Xero_Raw!$I$4:$I$5003&lt;&gt;"Draft")*(Xero_Raw!$A$4:$A$5003&lt;&gt;"")*(Xero_Raw!$E$4:$E$5003&lt;&gt;"UAE")*(Xero_Raw!$E$4:$E$5003&lt;&gt;"Singapore")*(Xero_Raw!$E$4:$E$5003&lt;&gt;"")*(($C$4-Xero_Raw!$B$4:$B$5003)&gt;=61)*(($C$4-Xero_Raw!$B$4:$B$5003)&lt;=90)*Xero_Raw!$H$4:$H$5003)+SUMPRODUCT((Customer_Invoices_Upload!$I$4:$I$5003&lt;&gt;"Paid")*(Customer_Invoices_Upload!$B$4:$B$5003&lt;&gt;"")*(Customer_Invoices_Upload!$F$4:$F$5003&lt;&gt;"UAE")*(Customer_Invoices_Upload!$F$4:$F$5003&lt;&gt;"Singapore")*(Customer_Invoices_Upload!$F$4:$F$5003&lt;&gt;"")*(($C$4-Customer_Invoices_Upload!$C$4:$C$5003)&gt;=61)*(($C$4-Customer_Invoices_Upload!$C$4:$C$5003)&lt;=90)*Customer_Invoices_Upload!$H$4:$H$5003)</f>
        <v>0</v>
      </c>
      <c r="E70" s="73" t="n">
        <f aca="false">SUMPRODUCT((Xero_Raw!$C$4:$C$5003="Invoice")*(Xero_Raw!$I$4:$I$5003&lt;&gt;"Paid")*(Xero_Raw!$I$4:$I$5003&lt;&gt;"Void")*(Xero_Raw!$I$4:$I$5003&lt;&gt;"Draft")*(Xero_Raw!$A$4:$A$5003&lt;&gt;"")*(Xero_Raw!$E$4:$E$5003&lt;&gt;"UAE")*(Xero_Raw!$E$4:$E$5003&lt;&gt;"Singapore")*(Xero_Raw!$E$4:$E$5003&lt;&gt;"")*(($C$4-Xero_Raw!$B$4:$B$5003)&gt;=91)*Xero_Raw!$H$4:$H$5003)+SUMPRODUCT((Customer_Invoices_Upload!$I$4:$I$5003&lt;&gt;"Paid")*(Customer_Invoices_Upload!$B$4:$B$5003&lt;&gt;"")*(Customer_Invoices_Upload!$F$4:$F$5003&lt;&gt;"UAE")*(Customer_Invoices_Upload!$F$4:$F$5003&lt;&gt;"Singapore")*(Customer_Invoices_Upload!$F$4:$F$5003&lt;&gt;"")*(($C$4-Customer_Invoices_Upload!$C$4:$C$5003)&gt;=91)*Customer_Invoices_Upload!$H$4:$H$5003)</f>
        <v>0</v>
      </c>
      <c r="F70" s="74" t="n">
        <f aca="false">SUM(B70:E70)</f>
        <v>203141.28</v>
      </c>
    </row>
    <row r="71" customFormat="false" ht="15" hidden="false" customHeight="true" outlineLevel="0" collapsed="false">
      <c r="A71" s="75" t="s">
        <v>506</v>
      </c>
      <c r="B71" s="76" t="n">
        <f aca="false">SUM(B68:B70)</f>
        <v>384311.62</v>
      </c>
      <c r="C71" s="76" t="n">
        <f aca="false">SUM(C68:C70)</f>
        <v>81926.14</v>
      </c>
      <c r="D71" s="76" t="n">
        <f aca="false">SUM(D68:D70)</f>
        <v>0</v>
      </c>
      <c r="E71" s="76" t="n">
        <f aca="false">SUM(E68:E70)</f>
        <v>0</v>
      </c>
      <c r="F71" s="76" t="n">
        <f aca="false">SUM(F68:F70)</f>
        <v>466237.76</v>
      </c>
    </row>
    <row r="73" customFormat="false" ht="15" hidden="false" customHeight="true" outlineLevel="0" collapsed="false">
      <c r="A73" s="69" t="s">
        <v>507</v>
      </c>
    </row>
    <row r="74" customFormat="false" ht="19.5" hidden="false" customHeight="true" outlineLevel="0" collapsed="false">
      <c r="A74" s="42" t="s">
        <v>127</v>
      </c>
      <c r="B74" s="42" t="s">
        <v>315</v>
      </c>
      <c r="C74" s="42" t="s">
        <v>508</v>
      </c>
    </row>
    <row r="75" customFormat="false" ht="15" hidden="false" customHeight="true" outlineLevel="0" collapsed="false">
      <c r="A75" s="37" t="s">
        <v>168</v>
      </c>
      <c r="B75" s="71" t="str">
        <f aca="false">IFERROR(VLOOKUP(A75,Assumptions!$G$5:$H$16,2,0),"Other")</f>
        <v>UAE</v>
      </c>
      <c r="C75" s="73" t="n">
        <f aca="false">SUMPRODUCT((Xero_Raw!$C$4:$C$5003="Invoice")*(Xero_Raw!$I$4:$I$5003&lt;&gt;"Paid")*(Xero_Raw!$I$4:$I$5003&lt;&gt;"Void")*(Xero_Raw!$I$4:$I$5003&lt;&gt;"Draft")*(Xero_Raw!$D$4:$D$5003=A75)*Xero_Raw!$H$4:$H$5003)+SUMPRODUCT((Customer_Invoices_Upload!$I$4:$I$5003&lt;&gt;"Paid")*(Customer_Invoices_Upload!$E$4:$E$5003=A75)*Customer_Invoices_Upload!$H$4:$H$5003)</f>
        <v>54914.79</v>
      </c>
    </row>
    <row r="76" customFormat="false" ht="15" hidden="false" customHeight="true" outlineLevel="0" collapsed="false">
      <c r="A76" s="37" t="s">
        <v>144</v>
      </c>
      <c r="B76" s="71" t="str">
        <f aca="false">IFERROR(VLOOKUP(A76,Assumptions!$G$5:$H$16,2,0),"Other")</f>
        <v>UAE</v>
      </c>
      <c r="C76" s="73" t="n">
        <f aca="false">SUMPRODUCT((Xero_Raw!$C$4:$C$5003="Invoice")*(Xero_Raw!$I$4:$I$5003&lt;&gt;"Paid")*(Xero_Raw!$I$4:$I$5003&lt;&gt;"Void")*(Xero_Raw!$I$4:$I$5003&lt;&gt;"Draft")*(Xero_Raw!$D$4:$D$5003=A76)*Xero_Raw!$H$4:$H$5003)+SUMPRODUCT((Customer_Invoices_Upload!$I$4:$I$5003&lt;&gt;"Paid")*(Customer_Invoices_Upload!$E$4:$E$5003=A76)*Customer_Invoices_Upload!$H$4:$H$5003)</f>
        <v>0</v>
      </c>
    </row>
    <row r="77" customFormat="false" ht="15" hidden="false" customHeight="true" outlineLevel="0" collapsed="false">
      <c r="A77" s="37" t="s">
        <v>141</v>
      </c>
      <c r="B77" s="71" t="str">
        <f aca="false">IFERROR(VLOOKUP(A77,Assumptions!$G$5:$H$16,2,0),"Other")</f>
        <v>Saudi Arabia</v>
      </c>
      <c r="C77" s="73" t="n">
        <f aca="false">SUMPRODUCT((Xero_Raw!$C$4:$C$5003="Invoice")*(Xero_Raw!$I$4:$I$5003&lt;&gt;"Paid")*(Xero_Raw!$I$4:$I$5003&lt;&gt;"Void")*(Xero_Raw!$I$4:$I$5003&lt;&gt;"Draft")*(Xero_Raw!$D$4:$D$5003=A77)*Xero_Raw!$H$4:$H$5003)+SUMPRODUCT((Customer_Invoices_Upload!$I$4:$I$5003&lt;&gt;"Paid")*(Customer_Invoices_Upload!$E$4:$E$5003=A77)*Customer_Invoices_Upload!$H$4:$H$5003)</f>
        <v>0</v>
      </c>
    </row>
    <row r="78" customFormat="false" ht="15" hidden="false" customHeight="true" outlineLevel="0" collapsed="false">
      <c r="A78" s="37" t="s">
        <v>147</v>
      </c>
      <c r="B78" s="71" t="str">
        <f aca="false">IFERROR(VLOOKUP(A78,Assumptions!$G$5:$H$16,2,0),"Other")</f>
        <v>UAE</v>
      </c>
      <c r="C78" s="73" t="n">
        <f aca="false">SUMPRODUCT((Xero_Raw!$C$4:$C$5003="Invoice")*(Xero_Raw!$I$4:$I$5003&lt;&gt;"Paid")*(Xero_Raw!$I$4:$I$5003&lt;&gt;"Void")*(Xero_Raw!$I$4:$I$5003&lt;&gt;"Draft")*(Xero_Raw!$D$4:$D$5003=A78)*Xero_Raw!$H$4:$H$5003)+SUMPRODUCT((Customer_Invoices_Upload!$I$4:$I$5003&lt;&gt;"Paid")*(Customer_Invoices_Upload!$E$4:$E$5003=A78)*Customer_Invoices_Upload!$H$4:$H$5003)</f>
        <v>0</v>
      </c>
    </row>
    <row r="79" customFormat="false" ht="15" hidden="false" customHeight="true" outlineLevel="0" collapsed="false">
      <c r="A79" s="37" t="s">
        <v>150</v>
      </c>
      <c r="B79" s="71" t="str">
        <f aca="false">IFERROR(VLOOKUP(A79,Assumptions!$G$5:$H$16,2,0),"Other")</f>
        <v>UAE</v>
      </c>
      <c r="C79" s="73" t="n">
        <f aca="false">SUMPRODUCT((Xero_Raw!$C$4:$C$5003="Invoice")*(Xero_Raw!$I$4:$I$5003&lt;&gt;"Paid")*(Xero_Raw!$I$4:$I$5003&lt;&gt;"Void")*(Xero_Raw!$I$4:$I$5003&lt;&gt;"Draft")*(Xero_Raw!$D$4:$D$5003=A79)*Xero_Raw!$H$4:$H$5003)+SUMPRODUCT((Customer_Invoices_Upload!$I$4:$I$5003&lt;&gt;"Paid")*(Customer_Invoices_Upload!$E$4:$E$5003=A79)*Customer_Invoices_Upload!$H$4:$H$5003)</f>
        <v>13175.39</v>
      </c>
    </row>
    <row r="80" customFormat="false" ht="15" hidden="false" customHeight="true" outlineLevel="0" collapsed="false">
      <c r="A80" s="37" t="s">
        <v>152</v>
      </c>
      <c r="B80" s="71" t="str">
        <f aca="false">IFERROR(VLOOKUP(A80,Assumptions!$G$5:$H$16,2,0),"Other")</f>
        <v>Singapore</v>
      </c>
      <c r="C80" s="73" t="n">
        <f aca="false">SUMPRODUCT((Xero_Raw!$C$4:$C$5003="Invoice")*(Xero_Raw!$I$4:$I$5003&lt;&gt;"Paid")*(Xero_Raw!$I$4:$I$5003&lt;&gt;"Void")*(Xero_Raw!$I$4:$I$5003&lt;&gt;"Draft")*(Xero_Raw!$D$4:$D$5003=A80)*Xero_Raw!$H$4:$H$5003)+SUMPRODUCT((Customer_Invoices_Upload!$I$4:$I$5003&lt;&gt;"Paid")*(Customer_Invoices_Upload!$E$4:$E$5003=A80)*Customer_Invoices_Upload!$H$4:$H$5003)</f>
        <v>56389.14</v>
      </c>
    </row>
    <row r="81" customFormat="false" ht="15" hidden="false" customHeight="true" outlineLevel="0" collapsed="false">
      <c r="A81" s="37" t="s">
        <v>178</v>
      </c>
      <c r="B81" s="71" t="str">
        <f aca="false">IFERROR(VLOOKUP(A81,Assumptions!$G$5:$H$16,2,0),"Other")</f>
        <v>Singapore</v>
      </c>
      <c r="C81" s="73" t="n">
        <f aca="false">SUMPRODUCT((Xero_Raw!$C$4:$C$5003="Invoice")*(Xero_Raw!$I$4:$I$5003&lt;&gt;"Paid")*(Xero_Raw!$I$4:$I$5003&lt;&gt;"Void")*(Xero_Raw!$I$4:$I$5003&lt;&gt;"Draft")*(Xero_Raw!$D$4:$D$5003=A81)*Xero_Raw!$H$4:$H$5003)+SUMPRODUCT((Customer_Invoices_Upload!$I$4:$I$5003&lt;&gt;"Paid")*(Customer_Invoices_Upload!$E$4:$E$5003=A81)*Customer_Invoices_Upload!$H$4:$H$5003)</f>
        <v>76716.07</v>
      </c>
    </row>
    <row r="82" customFormat="false" ht="15" hidden="false" customHeight="true" outlineLevel="0" collapsed="false">
      <c r="A82" s="37" t="s">
        <v>202</v>
      </c>
      <c r="B82" s="71" t="str">
        <f aca="false">IFERROR(VLOOKUP(A82,Assumptions!$G$5:$H$16,2,0),"Other")</f>
        <v>Kuwait</v>
      </c>
      <c r="C82" s="73" t="n">
        <f aca="false">SUMPRODUCT((Xero_Raw!$C$4:$C$5003="Invoice")*(Xero_Raw!$I$4:$I$5003&lt;&gt;"Paid")*(Xero_Raw!$I$4:$I$5003&lt;&gt;"Void")*(Xero_Raw!$I$4:$I$5003&lt;&gt;"Draft")*(Xero_Raw!$D$4:$D$5003=A82)*Xero_Raw!$H$4:$H$5003)+SUMPRODUCT((Customer_Invoices_Upload!$I$4:$I$5003&lt;&gt;"Paid")*(Customer_Invoices_Upload!$E$4:$E$5003=A82)*Customer_Invoices_Upload!$H$4:$H$5003)</f>
        <v>42402.31</v>
      </c>
    </row>
    <row r="83" customFormat="false" ht="15" hidden="false" customHeight="true" outlineLevel="0" collapsed="false">
      <c r="A83" s="37" t="s">
        <v>166</v>
      </c>
      <c r="B83" s="71" t="str">
        <f aca="false">IFERROR(VLOOKUP(A83,Assumptions!$G$5:$H$16,2,0),"Other")</f>
        <v>Pakistan</v>
      </c>
      <c r="C83" s="73" t="n">
        <f aca="false">SUMPRODUCT((Xero_Raw!$C$4:$C$5003="Invoice")*(Xero_Raw!$I$4:$I$5003&lt;&gt;"Paid")*(Xero_Raw!$I$4:$I$5003&lt;&gt;"Void")*(Xero_Raw!$I$4:$I$5003&lt;&gt;"Draft")*(Xero_Raw!$D$4:$D$5003=A83)*Xero_Raw!$H$4:$H$5003)+SUMPRODUCT((Customer_Invoices_Upload!$I$4:$I$5003&lt;&gt;"Paid")*(Customer_Invoices_Upload!$E$4:$E$5003=A83)*Customer_Invoices_Upload!$H$4:$H$5003)</f>
        <v>37477.31</v>
      </c>
    </row>
    <row r="84" customFormat="false" ht="15" hidden="false" customHeight="true" outlineLevel="0" collapsed="false">
      <c r="A84" s="37" t="s">
        <v>156</v>
      </c>
      <c r="B84" s="71" t="str">
        <f aca="false">IFERROR(VLOOKUP(A84,Assumptions!$G$5:$H$16,2,0),"Other")</f>
        <v>UAE</v>
      </c>
      <c r="C84" s="73" t="n">
        <f aca="false">SUMPRODUCT((Xero_Raw!$C$4:$C$5003="Invoice")*(Xero_Raw!$I$4:$I$5003&lt;&gt;"Paid")*(Xero_Raw!$I$4:$I$5003&lt;&gt;"Void")*(Xero_Raw!$I$4:$I$5003&lt;&gt;"Draft")*(Xero_Raw!$D$4:$D$5003=A84)*Xero_Raw!$H$4:$H$5003)+SUMPRODUCT((Customer_Invoices_Upload!$I$4:$I$5003&lt;&gt;"Paid")*(Customer_Invoices_Upload!$E$4:$E$5003=A84)*Customer_Invoices_Upload!$H$4:$H$5003)</f>
        <v>61901.09</v>
      </c>
    </row>
    <row r="85" customFormat="false" ht="15" hidden="false" customHeight="true" outlineLevel="0" collapsed="false">
      <c r="A85" s="37" t="s">
        <v>136</v>
      </c>
      <c r="B85" s="71" t="str">
        <f aca="false">IFERROR(VLOOKUP(A85,Assumptions!$G$5:$H$16,2,0),"Other")</f>
        <v>Saudi Arabia</v>
      </c>
      <c r="C85" s="73" t="n">
        <f aca="false">SUMPRODUCT((Xero_Raw!$C$4:$C$5003="Invoice")*(Xero_Raw!$I$4:$I$5003&lt;&gt;"Paid")*(Xero_Raw!$I$4:$I$5003&lt;&gt;"Void")*(Xero_Raw!$I$4:$I$5003&lt;&gt;"Draft")*(Xero_Raw!$D$4:$D$5003=A85)*Xero_Raw!$H$4:$H$5003)+SUMPRODUCT((Customer_Invoices_Upload!$I$4:$I$5003&lt;&gt;"Paid")*(Customer_Invoices_Upload!$E$4:$E$5003=A85)*Customer_Invoices_Upload!$H$4:$H$5003)</f>
        <v>63590.63</v>
      </c>
    </row>
    <row r="86" customFormat="false" ht="15" hidden="false" customHeight="true" outlineLevel="0" collapsed="false">
      <c r="A86" s="37" t="s">
        <v>164</v>
      </c>
      <c r="B86" s="71" t="str">
        <f aca="false">IFERROR(VLOOKUP(A86,Assumptions!$G$5:$H$16,2,0),"Other")</f>
        <v>Pakistan</v>
      </c>
      <c r="C86" s="73" t="n">
        <f aca="false">SUMPRODUCT((Xero_Raw!$C$4:$C$5003="Invoice")*(Xero_Raw!$I$4:$I$5003&lt;&gt;"Paid")*(Xero_Raw!$I$4:$I$5003&lt;&gt;"Void")*(Xero_Raw!$I$4:$I$5003&lt;&gt;"Draft")*(Xero_Raw!$D$4:$D$5003=A86)*Xero_Raw!$H$4:$H$5003)+SUMPRODUCT((Customer_Invoices_Upload!$I$4:$I$5003&lt;&gt;"Paid")*(Customer_Invoices_Upload!$E$4:$E$5003=A86)*Customer_Invoices_Upload!$H$4:$H$5003)</f>
        <v>59671.03</v>
      </c>
    </row>
    <row r="87" customFormat="false" ht="15" hidden="false" customHeight="true" outlineLevel="0" collapsed="false">
      <c r="A87" s="75" t="s">
        <v>477</v>
      </c>
      <c r="C87" s="76" t="n">
        <f aca="false">SUM(C75:C86)</f>
        <v>466237.76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BFF"/>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25" width="13"/>
    <col collapsed="false" customWidth="true" hidden="false" outlineLevel="0" max="3" min="3" style="25" width="12"/>
    <col collapsed="false" customWidth="true" hidden="false" outlineLevel="0" max="4" min="4" style="25" width="34"/>
    <col collapsed="false" customWidth="true" hidden="false" outlineLevel="0" max="5" min="5" style="25" width="30"/>
    <col collapsed="false" customWidth="true" hidden="false" outlineLevel="0" max="6" min="6" style="25" width="14"/>
    <col collapsed="false" customWidth="true" hidden="false" outlineLevel="0" max="7" min="7" style="25" width="13"/>
  </cols>
  <sheetData>
    <row r="1" customFormat="false" ht="15" hidden="false" customHeight="true" outlineLevel="0" collapsed="false">
      <c r="A1" s="56" t="s">
        <v>509</v>
      </c>
      <c r="B1" s="56"/>
      <c r="C1" s="56"/>
      <c r="D1" s="56"/>
      <c r="E1" s="56"/>
      <c r="F1" s="56"/>
      <c r="G1" s="56"/>
      <c r="H1" s="56"/>
      <c r="I1" s="56"/>
      <c r="J1" s="56"/>
      <c r="K1" s="56"/>
    </row>
    <row r="2" customFormat="false" ht="30" hidden="false" customHeight="true" outlineLevel="0" collapsed="false">
      <c r="A2" s="66" t="s">
        <v>510</v>
      </c>
      <c r="B2" s="66"/>
      <c r="C2" s="66"/>
      <c r="D2" s="66"/>
      <c r="E2" s="66"/>
      <c r="F2" s="66"/>
      <c r="G2" s="66"/>
      <c r="H2" s="66"/>
      <c r="I2" s="66"/>
      <c r="J2" s="66"/>
      <c r="K2" s="66"/>
    </row>
    <row r="3" customFormat="false" ht="21.75" hidden="false" customHeight="true" outlineLevel="0" collapsed="false">
      <c r="A3" s="33" t="s">
        <v>257</v>
      </c>
      <c r="B3" s="33" t="s">
        <v>193</v>
      </c>
      <c r="C3" s="33" t="s">
        <v>258</v>
      </c>
      <c r="D3" s="33" t="s">
        <v>127</v>
      </c>
      <c r="E3" s="33" t="s">
        <v>128</v>
      </c>
      <c r="F3" s="33" t="s">
        <v>198</v>
      </c>
      <c r="G3" s="33" t="s">
        <v>134</v>
      </c>
    </row>
    <row r="4" customFormat="false" ht="15" hidden="false" customHeight="true" outlineLevel="0" collapsed="false">
      <c r="A4" s="34" t="n">
        <v>46116</v>
      </c>
      <c r="B4" s="34" t="n">
        <v>46131</v>
      </c>
      <c r="C4" s="35" t="s">
        <v>511</v>
      </c>
      <c r="D4" s="35" t="s">
        <v>168</v>
      </c>
      <c r="E4" s="35" t="s">
        <v>200</v>
      </c>
      <c r="F4" s="36" t="n">
        <v>7375.79</v>
      </c>
      <c r="G4" s="35" t="s">
        <v>140</v>
      </c>
    </row>
    <row r="5" customFormat="false" ht="15" hidden="false" customHeight="true" outlineLevel="0" collapsed="false">
      <c r="A5" s="34" t="n">
        <v>46116</v>
      </c>
      <c r="B5" s="34" t="n">
        <v>46131</v>
      </c>
      <c r="C5" s="35" t="s">
        <v>512</v>
      </c>
      <c r="D5" s="35" t="s">
        <v>168</v>
      </c>
      <c r="E5" s="35" t="s">
        <v>368</v>
      </c>
      <c r="F5" s="36" t="n">
        <v>5316.91</v>
      </c>
      <c r="G5" s="35" t="s">
        <v>140</v>
      </c>
    </row>
    <row r="6" customFormat="false" ht="15" hidden="false" customHeight="true" outlineLevel="0" collapsed="false">
      <c r="A6" s="34" t="n">
        <v>46114</v>
      </c>
      <c r="B6" s="34" t="n">
        <v>46129</v>
      </c>
      <c r="C6" s="35" t="s">
        <v>513</v>
      </c>
      <c r="D6" s="35" t="s">
        <v>152</v>
      </c>
      <c r="E6" s="35" t="s">
        <v>204</v>
      </c>
      <c r="F6" s="36" t="n">
        <v>6459.5</v>
      </c>
      <c r="G6" s="35" t="s">
        <v>140</v>
      </c>
    </row>
    <row r="7" customFormat="false" ht="15" hidden="false" customHeight="true" outlineLevel="0" collapsed="false">
      <c r="A7" s="34" t="n">
        <v>46127</v>
      </c>
      <c r="B7" s="34" t="n">
        <v>46142</v>
      </c>
      <c r="C7" s="35" t="s">
        <v>514</v>
      </c>
      <c r="D7" s="35" t="s">
        <v>178</v>
      </c>
      <c r="E7" s="35" t="s">
        <v>204</v>
      </c>
      <c r="F7" s="36" t="n">
        <v>5234.62</v>
      </c>
      <c r="G7" s="35" t="s">
        <v>515</v>
      </c>
    </row>
    <row r="8" customFormat="false" ht="15" hidden="false" customHeight="true" outlineLevel="0" collapsed="false">
      <c r="A8" s="34" t="n">
        <v>46113</v>
      </c>
      <c r="B8" s="34" t="n">
        <v>46128</v>
      </c>
      <c r="C8" s="35" t="s">
        <v>516</v>
      </c>
      <c r="D8" s="35" t="s">
        <v>144</v>
      </c>
      <c r="E8" s="35" t="s">
        <v>368</v>
      </c>
      <c r="F8" s="36" t="n">
        <v>7432.23</v>
      </c>
      <c r="G8" s="35" t="s">
        <v>205</v>
      </c>
    </row>
    <row r="9" customFormat="false" ht="15" hidden="false" customHeight="true" outlineLevel="0" collapsed="false">
      <c r="A9" s="34" t="n">
        <v>46119</v>
      </c>
      <c r="B9" s="34" t="n">
        <v>46134</v>
      </c>
      <c r="C9" s="35" t="s">
        <v>517</v>
      </c>
      <c r="D9" s="35" t="s">
        <v>150</v>
      </c>
      <c r="E9" s="35" t="s">
        <v>368</v>
      </c>
      <c r="F9" s="36" t="n">
        <v>3472.78</v>
      </c>
      <c r="G9" s="35" t="s">
        <v>201</v>
      </c>
    </row>
    <row r="10" customFormat="false" ht="15" hidden="false" customHeight="true" outlineLevel="0" collapsed="false">
      <c r="A10" s="34" t="n">
        <v>46149</v>
      </c>
      <c r="B10" s="34" t="n">
        <v>46164</v>
      </c>
      <c r="C10" s="35" t="s">
        <v>518</v>
      </c>
      <c r="D10" s="35" t="s">
        <v>178</v>
      </c>
      <c r="E10" s="35" t="s">
        <v>224</v>
      </c>
      <c r="F10" s="36" t="n">
        <v>4247.04</v>
      </c>
      <c r="G10" s="35" t="s">
        <v>140</v>
      </c>
    </row>
    <row r="11" customFormat="false" ht="15" hidden="false" customHeight="true" outlineLevel="0" collapsed="false">
      <c r="A11" s="34" t="n">
        <v>46154</v>
      </c>
      <c r="B11" s="34" t="n">
        <v>46169</v>
      </c>
      <c r="C11" s="35" t="s">
        <v>519</v>
      </c>
      <c r="D11" s="35" t="s">
        <v>168</v>
      </c>
      <c r="E11" s="35" t="s">
        <v>224</v>
      </c>
      <c r="F11" s="36" t="n">
        <v>1712.67</v>
      </c>
      <c r="G11" s="35" t="s">
        <v>140</v>
      </c>
    </row>
    <row r="12" customFormat="false" ht="15" hidden="false" customHeight="true" outlineLevel="0" collapsed="false">
      <c r="A12" s="34" t="n">
        <v>46145</v>
      </c>
      <c r="B12" s="34" t="n">
        <v>46160</v>
      </c>
      <c r="C12" s="35" t="s">
        <v>520</v>
      </c>
      <c r="D12" s="35" t="s">
        <v>141</v>
      </c>
      <c r="E12" s="35" t="s">
        <v>224</v>
      </c>
      <c r="F12" s="36" t="n">
        <v>7115.41</v>
      </c>
      <c r="G12" s="35" t="s">
        <v>521</v>
      </c>
    </row>
    <row r="13" customFormat="false" ht="15" hidden="false" customHeight="true" outlineLevel="0" collapsed="false">
      <c r="A13" s="34" t="n">
        <v>46156</v>
      </c>
      <c r="B13" s="34" t="n">
        <v>46171</v>
      </c>
      <c r="C13" s="35" t="s">
        <v>522</v>
      </c>
      <c r="D13" s="35" t="s">
        <v>178</v>
      </c>
      <c r="E13" s="35" t="s">
        <v>224</v>
      </c>
      <c r="F13" s="36" t="n">
        <v>7068.36</v>
      </c>
      <c r="G13" s="35" t="s">
        <v>515</v>
      </c>
    </row>
    <row r="14" customFormat="false" ht="15" hidden="false" customHeight="true" outlineLevel="0" collapsed="false">
      <c r="A14" s="34" t="n">
        <v>46150</v>
      </c>
      <c r="B14" s="34" t="n">
        <v>46165</v>
      </c>
      <c r="C14" s="35" t="s">
        <v>523</v>
      </c>
      <c r="D14" s="35" t="s">
        <v>150</v>
      </c>
      <c r="E14" s="35" t="s">
        <v>222</v>
      </c>
      <c r="F14" s="36" t="n">
        <v>4838.85</v>
      </c>
      <c r="G14" s="35" t="s">
        <v>515</v>
      </c>
    </row>
    <row r="15" customFormat="false" ht="15" hidden="false" customHeight="true" outlineLevel="0" collapsed="false">
      <c r="A15" s="34" t="n">
        <v>46153</v>
      </c>
      <c r="B15" s="34" t="n">
        <v>46168</v>
      </c>
      <c r="C15" s="35" t="s">
        <v>524</v>
      </c>
      <c r="D15" s="35" t="s">
        <v>150</v>
      </c>
      <c r="E15" s="35" t="s">
        <v>219</v>
      </c>
      <c r="F15" s="36" t="n">
        <v>5647.09</v>
      </c>
      <c r="G15" s="35" t="s">
        <v>521</v>
      </c>
    </row>
    <row r="16" customFormat="false" ht="15" hidden="false" customHeight="true" outlineLevel="0" collapsed="false">
      <c r="A16" s="34" t="n">
        <v>46177</v>
      </c>
      <c r="B16" s="34" t="n">
        <v>46192</v>
      </c>
      <c r="C16" s="35" t="s">
        <v>525</v>
      </c>
      <c r="D16" s="35" t="s">
        <v>150</v>
      </c>
      <c r="E16" s="35" t="s">
        <v>230</v>
      </c>
      <c r="F16" s="36" t="n">
        <v>7608.63</v>
      </c>
      <c r="G16" s="35" t="s">
        <v>515</v>
      </c>
    </row>
    <row r="17" customFormat="false" ht="15" hidden="false" customHeight="true" outlineLevel="0" collapsed="false">
      <c r="A17" s="34" t="n">
        <v>46193</v>
      </c>
      <c r="B17" s="34" t="n">
        <v>46208</v>
      </c>
      <c r="C17" s="35" t="s">
        <v>526</v>
      </c>
      <c r="D17" s="35" t="s">
        <v>152</v>
      </c>
      <c r="E17" s="35" t="s">
        <v>232</v>
      </c>
      <c r="F17" s="36" t="n">
        <v>8923.66</v>
      </c>
      <c r="G17" s="35" t="s">
        <v>515</v>
      </c>
    </row>
    <row r="18" customFormat="false" ht="15" hidden="false" customHeight="true" outlineLevel="0" collapsed="false">
      <c r="A18" s="34" t="n">
        <v>46180</v>
      </c>
      <c r="B18" s="34" t="n">
        <v>46195</v>
      </c>
      <c r="C18" s="35" t="s">
        <v>527</v>
      </c>
      <c r="D18" s="35" t="s">
        <v>144</v>
      </c>
      <c r="E18" s="35" t="s">
        <v>230</v>
      </c>
      <c r="F18" s="36" t="n">
        <v>758.82</v>
      </c>
      <c r="G18" s="35" t="s">
        <v>201</v>
      </c>
    </row>
    <row r="19" customFormat="false" ht="15" hidden="false" customHeight="true" outlineLevel="0" collapsed="false">
      <c r="A19" s="34" t="n">
        <v>46186</v>
      </c>
      <c r="B19" s="34" t="n">
        <v>46201</v>
      </c>
      <c r="C19" s="35" t="s">
        <v>528</v>
      </c>
      <c r="D19" s="35" t="s">
        <v>144</v>
      </c>
      <c r="E19" s="35" t="s">
        <v>232</v>
      </c>
      <c r="F19" s="36" t="n">
        <v>3063.34</v>
      </c>
      <c r="G19" s="35" t="s">
        <v>515</v>
      </c>
    </row>
    <row r="20" customFormat="false" ht="15" hidden="false" customHeight="true" outlineLevel="0" collapsed="false">
      <c r="A20" s="34" t="n">
        <v>46188</v>
      </c>
      <c r="B20" s="34" t="n">
        <v>46203</v>
      </c>
      <c r="C20" s="35" t="s">
        <v>529</v>
      </c>
      <c r="D20" s="35" t="s">
        <v>178</v>
      </c>
      <c r="E20" s="35" t="s">
        <v>230</v>
      </c>
      <c r="F20" s="36" t="n">
        <v>2323.41</v>
      </c>
      <c r="G20" s="35" t="s">
        <v>201</v>
      </c>
    </row>
    <row r="21" customFormat="false" ht="15" hidden="false" customHeight="true" outlineLevel="0" collapsed="false">
      <c r="A21" s="34" t="n">
        <v>46175</v>
      </c>
      <c r="B21" s="34" t="n">
        <v>46190</v>
      </c>
      <c r="C21" s="35" t="s">
        <v>530</v>
      </c>
      <c r="D21" s="35" t="s">
        <v>147</v>
      </c>
      <c r="E21" s="35" t="s">
        <v>233</v>
      </c>
      <c r="F21" s="36" t="n">
        <v>5555.12</v>
      </c>
      <c r="G21" s="35" t="s">
        <v>140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A5A6"/>
    <pageSetUpPr fitToPage="false"/>
  </sheetPr>
  <dimension ref="A1:K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26"/>
    <col collapsed="false" customWidth="true" hidden="false" outlineLevel="0" max="2" min="2" style="25" width="13"/>
    <col collapsed="false" customWidth="true" hidden="false" outlineLevel="0" max="3" min="3" style="25" width="32"/>
    <col collapsed="false" customWidth="true" hidden="false" outlineLevel="0" max="4" min="4" style="25" width="16"/>
    <col collapsed="false" customWidth="true" hidden="false" outlineLevel="0" max="5" min="5" style="25" width="14"/>
    <col collapsed="false" customWidth="true" hidden="false" outlineLevel="0" max="6" min="6" style="25" width="15"/>
  </cols>
  <sheetData>
    <row r="1" customFormat="false" ht="15" hidden="false" customHeight="true" outlineLevel="0" collapsed="false">
      <c r="A1" s="56" t="s">
        <v>531</v>
      </c>
      <c r="B1" s="56"/>
      <c r="C1" s="56"/>
      <c r="D1" s="56"/>
      <c r="E1" s="56"/>
      <c r="F1" s="56"/>
      <c r="G1" s="56"/>
      <c r="H1" s="56"/>
      <c r="I1" s="56"/>
      <c r="J1" s="56"/>
      <c r="K1" s="56"/>
    </row>
    <row r="2" customFormat="false" ht="30" hidden="false" customHeight="true" outlineLevel="0" collapsed="false">
      <c r="A2" s="66" t="s">
        <v>532</v>
      </c>
      <c r="B2" s="66"/>
      <c r="C2" s="66"/>
      <c r="D2" s="66"/>
      <c r="E2" s="66"/>
      <c r="F2" s="66"/>
      <c r="G2" s="66"/>
      <c r="H2" s="66"/>
      <c r="I2" s="66"/>
      <c r="J2" s="66"/>
      <c r="K2" s="66"/>
    </row>
    <row r="3" customFormat="false" ht="21.75" hidden="false" customHeight="true" outlineLevel="0" collapsed="false">
      <c r="A3" s="33" t="s">
        <v>346</v>
      </c>
      <c r="B3" s="33" t="s">
        <v>126</v>
      </c>
      <c r="C3" s="33" t="s">
        <v>128</v>
      </c>
      <c r="D3" s="33" t="s">
        <v>533</v>
      </c>
      <c r="E3" s="33" t="s">
        <v>198</v>
      </c>
      <c r="F3" s="33" t="s">
        <v>135</v>
      </c>
    </row>
    <row r="4" customFormat="false" ht="15" hidden="false" customHeight="true" outlineLevel="0" collapsed="false">
      <c r="A4" s="35" t="s">
        <v>534</v>
      </c>
      <c r="B4" s="34" t="n">
        <v>46116</v>
      </c>
      <c r="C4" s="35" t="s">
        <v>535</v>
      </c>
      <c r="D4" s="35" t="s">
        <v>536</v>
      </c>
      <c r="E4" s="36" t="n">
        <v>1927.18</v>
      </c>
      <c r="F4" s="37" t="str">
        <f aca="false">IFERROR(IF(ISNUMBER(SEARCH(Assumptions!$C$5,C4)),Assumptions!$D$5,IF(ISNUMBER(SEARCH(Assumptions!$C$6,C4)),Assumptions!$D$6,IF(ISNUMBER(SEARCH(Assumptions!$C$7,C4)),Assumptions!$D$7,"Other Services"))),"Other Services")</f>
        <v>WhatsApp</v>
      </c>
    </row>
    <row r="5" customFormat="false" ht="15" hidden="false" customHeight="true" outlineLevel="0" collapsed="false">
      <c r="A5" s="35" t="s">
        <v>537</v>
      </c>
      <c r="B5" s="34" t="n">
        <v>46119</v>
      </c>
      <c r="C5" s="35" t="s">
        <v>538</v>
      </c>
      <c r="D5" s="35" t="s">
        <v>539</v>
      </c>
      <c r="E5" s="36" t="n">
        <v>482.38</v>
      </c>
      <c r="F5" s="37" t="str">
        <f aca="false">IF(C5="","",IFERROR(IF(ISNUMBER(SEARCH(Assumptions!$C$5,C5)),Assumptions!$D$5,IF(ISNUMBER(SEARCH(Assumptions!$C$6,C5)),Assumptions!$D$6,IF(ISNUMBER(SEARCH(Assumptions!$C$7,C5)),Assumptions!$D$7,"Other Services"))),"Other Services"))</f>
        <v>Other Services</v>
      </c>
    </row>
    <row r="6" customFormat="false" ht="15" hidden="false" customHeight="true" outlineLevel="0" collapsed="false">
      <c r="A6" s="35" t="s">
        <v>540</v>
      </c>
      <c r="B6" s="34" t="n">
        <v>46128</v>
      </c>
      <c r="C6" s="35" t="s">
        <v>541</v>
      </c>
      <c r="D6" s="35" t="s">
        <v>536</v>
      </c>
      <c r="E6" s="36" t="n">
        <v>174.61</v>
      </c>
      <c r="F6" s="37" t="str">
        <f aca="false">IF(C6="","",IFERROR(IF(ISNUMBER(SEARCH(Assumptions!$C$5,C6)),Assumptions!$D$5,IF(ISNUMBER(SEARCH(Assumptions!$C$6,C6)),Assumptions!$D$6,IF(ISNUMBER(SEARCH(Assumptions!$C$7,C6)),Assumptions!$D$7,"Other Services"))),"Other Services"))</f>
        <v>Other Services</v>
      </c>
    </row>
    <row r="7" customFormat="false" ht="15" hidden="false" customHeight="true" outlineLevel="0" collapsed="false">
      <c r="A7" s="35" t="s">
        <v>542</v>
      </c>
      <c r="B7" s="34" t="n">
        <v>46151</v>
      </c>
      <c r="C7" s="35" t="s">
        <v>543</v>
      </c>
      <c r="D7" s="35" t="s">
        <v>536</v>
      </c>
      <c r="E7" s="36" t="n">
        <v>1899.81</v>
      </c>
      <c r="F7" s="37" t="str">
        <f aca="false">IF(C7="","",IFERROR(IF(ISNUMBER(SEARCH(Assumptions!$C$5,C7)),Assumptions!$D$5,IF(ISNUMBER(SEARCH(Assumptions!$C$6,C7)),Assumptions!$D$6,IF(ISNUMBER(SEARCH(Assumptions!$C$7,C7)),Assumptions!$D$7,"Other Services"))),"Other Services"))</f>
        <v>Subscription</v>
      </c>
    </row>
    <row r="8" customFormat="false" ht="15" hidden="false" customHeight="true" outlineLevel="0" collapsed="false">
      <c r="A8" s="35" t="s">
        <v>544</v>
      </c>
      <c r="B8" s="34" t="n">
        <v>46163</v>
      </c>
      <c r="C8" s="35" t="s">
        <v>545</v>
      </c>
      <c r="D8" s="35" t="s">
        <v>539</v>
      </c>
      <c r="E8" s="36" t="n">
        <v>1319.97</v>
      </c>
      <c r="F8" s="37" t="str">
        <f aca="false">IF(C8="","",IFERROR(IF(ISNUMBER(SEARCH(Assumptions!$C$5,C8)),Assumptions!$D$5,IF(ISNUMBER(SEARCH(Assumptions!$C$6,C8)),Assumptions!$D$6,IF(ISNUMBER(SEARCH(Assumptions!$C$7,C8)),Assumptions!$D$7,"Other Services"))),"Other Services"))</f>
        <v>Other Services</v>
      </c>
    </row>
    <row r="9" customFormat="false" ht="15" hidden="false" customHeight="true" outlineLevel="0" collapsed="false">
      <c r="A9" s="35" t="s">
        <v>546</v>
      </c>
      <c r="B9" s="34" t="n">
        <v>46147</v>
      </c>
      <c r="C9" s="35" t="s">
        <v>545</v>
      </c>
      <c r="D9" s="35" t="s">
        <v>536</v>
      </c>
      <c r="E9" s="36" t="n">
        <v>1764.19</v>
      </c>
      <c r="F9" s="37" t="str">
        <f aca="false">IF(C9="","",IFERROR(IF(ISNUMBER(SEARCH(Assumptions!$C$5,C9)),Assumptions!$D$5,IF(ISNUMBER(SEARCH(Assumptions!$C$6,C9)),Assumptions!$D$6,IF(ISNUMBER(SEARCH(Assumptions!$C$7,C9)),Assumptions!$D$7,"Other Services"))),"Other Services"))</f>
        <v>Other Services</v>
      </c>
    </row>
    <row r="10" customFormat="false" ht="15" hidden="false" customHeight="true" outlineLevel="0" collapsed="false">
      <c r="A10" s="35" t="s">
        <v>547</v>
      </c>
      <c r="B10" s="34" t="n">
        <v>46200</v>
      </c>
      <c r="C10" s="35" t="s">
        <v>545</v>
      </c>
      <c r="D10" s="35" t="s">
        <v>548</v>
      </c>
      <c r="E10" s="36" t="n">
        <v>1700.21</v>
      </c>
      <c r="F10" s="37" t="str">
        <f aca="false">IF(C10="","",IFERROR(IF(ISNUMBER(SEARCH(Assumptions!$C$5,C10)),Assumptions!$D$5,IF(ISNUMBER(SEARCH(Assumptions!$C$6,C10)),Assumptions!$D$6,IF(ISNUMBER(SEARCH(Assumptions!$C$7,C10)),Assumptions!$D$7,"Other Services"))),"Other Services"))</f>
        <v>Other Services</v>
      </c>
    </row>
    <row r="11" customFormat="false" ht="15" hidden="false" customHeight="true" outlineLevel="0" collapsed="false">
      <c r="A11" s="35" t="s">
        <v>549</v>
      </c>
      <c r="B11" s="34" t="n">
        <v>46198</v>
      </c>
      <c r="C11" s="35" t="s">
        <v>545</v>
      </c>
      <c r="D11" s="35" t="s">
        <v>548</v>
      </c>
      <c r="E11" s="36" t="n">
        <v>1730.52</v>
      </c>
      <c r="F11" s="37" t="str">
        <f aca="false">IF(C11="","",IFERROR(IF(ISNUMBER(SEARCH(Assumptions!$C$5,C11)),Assumptions!$D$5,IF(ISNUMBER(SEARCH(Assumptions!$C$6,C11)),Assumptions!$D$6,IF(ISNUMBER(SEARCH(Assumptions!$C$7,C11)),Assumptions!$D$7,"Other Services"))),"Other Services"))</f>
        <v>Other Services</v>
      </c>
    </row>
    <row r="12" customFormat="false" ht="15" hidden="false" customHeight="true" outlineLevel="0" collapsed="false">
      <c r="A12" s="35" t="s">
        <v>550</v>
      </c>
      <c r="B12" s="34" t="n">
        <v>46181</v>
      </c>
      <c r="C12" s="35" t="s">
        <v>535</v>
      </c>
      <c r="D12" s="35" t="s">
        <v>548</v>
      </c>
      <c r="E12" s="36" t="n">
        <v>74.05</v>
      </c>
      <c r="F12" s="37" t="str">
        <f aca="false">IF(C12="","",IFERROR(IF(ISNUMBER(SEARCH(Assumptions!$C$5,C12)),Assumptions!$D$5,IF(ISNUMBER(SEARCH(Assumptions!$C$6,C12)),Assumptions!$D$6,IF(ISNUMBER(SEARCH(Assumptions!$C$7,C12)),Assumptions!$D$7,"Other Services"))),"Other Services"))</f>
        <v>WhatsApp</v>
      </c>
    </row>
    <row r="13" customFormat="false" ht="15" hidden="false" customHeight="false" outlineLevel="0" collapsed="false">
      <c r="F13" s="41" t="str">
        <f aca="false">IF(C13="","",IFERROR(IF(ISNUMBER(SEARCH(Assumptions!$C$5,C13)),Assumptions!$D$5,IF(ISNUMBER(SEARCH(Assumptions!$C$6,C13)),Assumptions!$D$6,IF(ISNUMBER(SEARCH(Assumptions!$C$7,C13)),Assumptions!$D$7,"Other Services"))),"Other Services"))</f>
        <v/>
      </c>
    </row>
    <row r="14" customFormat="false" ht="15" hidden="false" customHeight="false" outlineLevel="0" collapsed="false">
      <c r="F14" s="41" t="str">
        <f aca="false">IF(C14="","",IFERROR(IF(ISNUMBER(SEARCH(Assumptions!$C$5,C14)),Assumptions!$D$5,IF(ISNUMBER(SEARCH(Assumptions!$C$6,C14)),Assumptions!$D$6,IF(ISNUMBER(SEARCH(Assumptions!$C$7,C14)),Assumptions!$D$7,"Other Services"))),"Other Services"))</f>
        <v/>
      </c>
    </row>
    <row r="15" customFormat="false" ht="15" hidden="false" customHeight="false" outlineLevel="0" collapsed="false">
      <c r="F15" s="41" t="str">
        <f aca="false">IF(C15="","",IFERROR(IF(ISNUMBER(SEARCH(Assumptions!$C$5,C15)),Assumptions!$D$5,IF(ISNUMBER(SEARCH(Assumptions!$C$6,C15)),Assumptions!$D$6,IF(ISNUMBER(SEARCH(Assumptions!$C$7,C15)),Assumptions!$D$7,"Other Services"))),"Other Services"))</f>
        <v/>
      </c>
    </row>
    <row r="16" customFormat="false" ht="15" hidden="false" customHeight="false" outlineLevel="0" collapsed="false">
      <c r="F16" s="41" t="str">
        <f aca="false">IF(C16="","",IFERROR(IF(ISNUMBER(SEARCH(Assumptions!$C$5,C16)),Assumptions!$D$5,IF(ISNUMBER(SEARCH(Assumptions!$C$6,C16)),Assumptions!$D$6,IF(ISNUMBER(SEARCH(Assumptions!$C$7,C16)),Assumptions!$D$7,"Other Services"))),"Other Services"))</f>
        <v/>
      </c>
    </row>
    <row r="17" customFormat="false" ht="15" hidden="false" customHeight="false" outlineLevel="0" collapsed="false">
      <c r="F17" s="41" t="str">
        <f aca="false">IF(C17="","",IFERROR(IF(ISNUMBER(SEARCH(Assumptions!$C$5,C17)),Assumptions!$D$5,IF(ISNUMBER(SEARCH(Assumptions!$C$6,C17)),Assumptions!$D$6,IF(ISNUMBER(SEARCH(Assumptions!$C$7,C17)),Assumptions!$D$7,"Other Services"))),"Other Services"))</f>
        <v/>
      </c>
    </row>
    <row r="18" customFormat="false" ht="15" hidden="false" customHeight="false" outlineLevel="0" collapsed="false">
      <c r="F18" s="41" t="str">
        <f aca="false">IF(C18="","",IFERROR(IF(ISNUMBER(SEARCH(Assumptions!$C$5,C18)),Assumptions!$D$5,IF(ISNUMBER(SEARCH(Assumptions!$C$6,C18)),Assumptions!$D$6,IF(ISNUMBER(SEARCH(Assumptions!$C$7,C18)),Assumptions!$D$7,"Other Services"))),"Other Services"))</f>
        <v/>
      </c>
    </row>
    <row r="19" customFormat="false" ht="15" hidden="false" customHeight="false" outlineLevel="0" collapsed="false">
      <c r="F19" s="41" t="str">
        <f aca="false">IF(C19="","",IFERROR(IF(ISNUMBER(SEARCH(Assumptions!$C$5,C19)),Assumptions!$D$5,IF(ISNUMBER(SEARCH(Assumptions!$C$6,C19)),Assumptions!$D$6,IF(ISNUMBER(SEARCH(Assumptions!$C$7,C19)),Assumptions!$D$7,"Other Services"))),"Other Services"))</f>
        <v/>
      </c>
    </row>
    <row r="20" customFormat="false" ht="15" hidden="false" customHeight="false" outlineLevel="0" collapsed="false">
      <c r="F20" s="41" t="str">
        <f aca="false">IF(C20="","",IFERROR(IF(ISNUMBER(SEARCH(Assumptions!$C$5,C20)),Assumptions!$D$5,IF(ISNUMBER(SEARCH(Assumptions!$C$6,C20)),Assumptions!$D$6,IF(ISNUMBER(SEARCH(Assumptions!$C$7,C20)),Assumptions!$D$7,"Other Services"))),"Other Services"))</f>
        <v/>
      </c>
    </row>
    <row r="21" customFormat="false" ht="15" hidden="false" customHeight="false" outlineLevel="0" collapsed="false">
      <c r="F21" s="41" t="str">
        <f aca="false">IF(C21="","",IFERROR(IF(ISNUMBER(SEARCH(Assumptions!$C$5,C21)),Assumptions!$D$5,IF(ISNUMBER(SEARCH(Assumptions!$C$6,C21)),Assumptions!$D$6,IF(ISNUMBER(SEARCH(Assumptions!$C$7,C21)),Assumptions!$D$7,"Other Services"))),"Other Services"))</f>
        <v/>
      </c>
    </row>
    <row r="22" customFormat="false" ht="15" hidden="false" customHeight="false" outlineLevel="0" collapsed="false">
      <c r="F22" s="41" t="str">
        <f aca="false">IF(C22="","",IFERROR(IF(ISNUMBER(SEARCH(Assumptions!$C$5,C22)),Assumptions!$D$5,IF(ISNUMBER(SEARCH(Assumptions!$C$6,C22)),Assumptions!$D$6,IF(ISNUMBER(SEARCH(Assumptions!$C$7,C22)),Assumptions!$D$7,"Other Services"))),"Other Services"))</f>
        <v/>
      </c>
    </row>
    <row r="23" customFormat="false" ht="15" hidden="false" customHeight="false" outlineLevel="0" collapsed="false">
      <c r="F23" s="41" t="str">
        <f aca="false">IF(C23="","",IFERROR(IF(ISNUMBER(SEARCH(Assumptions!$C$5,C23)),Assumptions!$D$5,IF(ISNUMBER(SEARCH(Assumptions!$C$6,C23)),Assumptions!$D$6,IF(ISNUMBER(SEARCH(Assumptions!$C$7,C23)),Assumptions!$D$7,"Other Services"))),"Other Services"))</f>
        <v/>
      </c>
    </row>
    <row r="24" customFormat="false" ht="15" hidden="false" customHeight="false" outlineLevel="0" collapsed="false">
      <c r="F24" s="41" t="str">
        <f aca="false">IF(C24="","",IFERROR(IF(ISNUMBER(SEARCH(Assumptions!$C$5,C24)),Assumptions!$D$5,IF(ISNUMBER(SEARCH(Assumptions!$C$6,C24)),Assumptions!$D$6,IF(ISNUMBER(SEARCH(Assumptions!$C$7,C24)),Assumptions!$D$7,"Other Services"))),"Other Services"))</f>
        <v/>
      </c>
    </row>
    <row r="25" customFormat="false" ht="15" hidden="false" customHeight="false" outlineLevel="0" collapsed="false">
      <c r="F25" s="41" t="str">
        <f aca="false">IF(C25="","",IFERROR(IF(ISNUMBER(SEARCH(Assumptions!$C$5,C25)),Assumptions!$D$5,IF(ISNUMBER(SEARCH(Assumptions!$C$6,C25)),Assumptions!$D$6,IF(ISNUMBER(SEARCH(Assumptions!$C$7,C25)),Assumptions!$D$7,"Other Services"))),"Other Services"))</f>
        <v/>
      </c>
    </row>
    <row r="26" customFormat="false" ht="15" hidden="false" customHeight="false" outlineLevel="0" collapsed="false">
      <c r="F26" s="41" t="str">
        <f aca="false">IF(C26="","",IFERROR(IF(ISNUMBER(SEARCH(Assumptions!$C$5,C26)),Assumptions!$D$5,IF(ISNUMBER(SEARCH(Assumptions!$C$6,C26)),Assumptions!$D$6,IF(ISNUMBER(SEARCH(Assumptions!$C$7,C26)),Assumptions!$D$7,"Other Services"))),"Other Services"))</f>
        <v/>
      </c>
    </row>
    <row r="27" customFormat="false" ht="15" hidden="false" customHeight="false" outlineLevel="0" collapsed="false">
      <c r="F27" s="41" t="str">
        <f aca="false">IF(C27="","",IFERROR(IF(ISNUMBER(SEARCH(Assumptions!$C$5,C27)),Assumptions!$D$5,IF(ISNUMBER(SEARCH(Assumptions!$C$6,C27)),Assumptions!$D$6,IF(ISNUMBER(SEARCH(Assumptions!$C$7,C27)),Assumptions!$D$7,"Other Services"))),"Other Services"))</f>
        <v/>
      </c>
    </row>
    <row r="28" customFormat="false" ht="15" hidden="false" customHeight="false" outlineLevel="0" collapsed="false">
      <c r="F28" s="41" t="str">
        <f aca="false">IF(C28="","",IFERROR(IF(ISNUMBER(SEARCH(Assumptions!$C$5,C28)),Assumptions!$D$5,IF(ISNUMBER(SEARCH(Assumptions!$C$6,C28)),Assumptions!$D$6,IF(ISNUMBER(SEARCH(Assumptions!$C$7,C28)),Assumptions!$D$7,"Other Services"))),"Other Services"))</f>
        <v/>
      </c>
    </row>
    <row r="29" customFormat="false" ht="15" hidden="false" customHeight="false" outlineLevel="0" collapsed="false">
      <c r="F29" s="41" t="str">
        <f aca="false">IF(C29="","",IFERROR(IF(ISNUMBER(SEARCH(Assumptions!$C$5,C29)),Assumptions!$D$5,IF(ISNUMBER(SEARCH(Assumptions!$C$6,C29)),Assumptions!$D$6,IF(ISNUMBER(SEARCH(Assumptions!$C$7,C29)),Assumptions!$D$7,"Other Services"))),"Other Services"))</f>
        <v/>
      </c>
    </row>
    <row r="30" customFormat="false" ht="15" hidden="false" customHeight="false" outlineLevel="0" collapsed="false">
      <c r="F30" s="41" t="str">
        <f aca="false">IF(C30="","",IFERROR(IF(ISNUMBER(SEARCH(Assumptions!$C$5,C30)),Assumptions!$D$5,IF(ISNUMBER(SEARCH(Assumptions!$C$6,C30)),Assumptions!$D$6,IF(ISNUMBER(SEARCH(Assumptions!$C$7,C30)),Assumptions!$D$7,"Other Services"))),"Other Services"))</f>
        <v/>
      </c>
    </row>
    <row r="31" customFormat="false" ht="15" hidden="false" customHeight="false" outlineLevel="0" collapsed="false">
      <c r="F31" s="41" t="str">
        <f aca="false">IF(C31="","",IFERROR(IF(ISNUMBER(SEARCH(Assumptions!$C$5,C31)),Assumptions!$D$5,IF(ISNUMBER(SEARCH(Assumptions!$C$6,C31)),Assumptions!$D$6,IF(ISNUMBER(SEARCH(Assumptions!$C$7,C31)),Assumptions!$D$7,"Other Services"))),"Other Services"))</f>
        <v/>
      </c>
    </row>
    <row r="32" customFormat="false" ht="15" hidden="false" customHeight="false" outlineLevel="0" collapsed="false">
      <c r="F32" s="41" t="str">
        <f aca="false">IF(C32="","",IFERROR(IF(ISNUMBER(SEARCH(Assumptions!$C$5,C32)),Assumptions!$D$5,IF(ISNUMBER(SEARCH(Assumptions!$C$6,C32)),Assumptions!$D$6,IF(ISNUMBER(SEARCH(Assumptions!$C$7,C32)),Assumptions!$D$7,"Other Services"))),"Other Services"))</f>
        <v/>
      </c>
    </row>
    <row r="33" customFormat="false" ht="15" hidden="false" customHeight="false" outlineLevel="0" collapsed="false">
      <c r="F33" s="41" t="str">
        <f aca="false">IF(C33="","",IFERROR(IF(ISNUMBER(SEARCH(Assumptions!$C$5,C33)),Assumptions!$D$5,IF(ISNUMBER(SEARCH(Assumptions!$C$6,C33)),Assumptions!$D$6,IF(ISNUMBER(SEARCH(Assumptions!$C$7,C33)),Assumptions!$D$7,"Other Services"))),"Other Services"))</f>
        <v/>
      </c>
    </row>
    <row r="34" customFormat="false" ht="15" hidden="false" customHeight="false" outlineLevel="0" collapsed="false">
      <c r="F34" s="41" t="str">
        <f aca="false">IF(C34="","",IFERROR(IF(ISNUMBER(SEARCH(Assumptions!$C$5,C34)),Assumptions!$D$5,IF(ISNUMBER(SEARCH(Assumptions!$C$6,C34)),Assumptions!$D$6,IF(ISNUMBER(SEARCH(Assumptions!$C$7,C34)),Assumptions!$D$7,"Other Services"))),"Other Services"))</f>
        <v/>
      </c>
    </row>
    <row r="35" customFormat="false" ht="15" hidden="false" customHeight="false" outlineLevel="0" collapsed="false">
      <c r="F35" s="41" t="str">
        <f aca="false">IF(C35="","",IFERROR(IF(ISNUMBER(SEARCH(Assumptions!$C$5,C35)),Assumptions!$D$5,IF(ISNUMBER(SEARCH(Assumptions!$C$6,C35)),Assumptions!$D$6,IF(ISNUMBER(SEARCH(Assumptions!$C$7,C35)),Assumptions!$D$7,"Other Services"))),"Other Services"))</f>
        <v/>
      </c>
    </row>
    <row r="36" customFormat="false" ht="15" hidden="false" customHeight="false" outlineLevel="0" collapsed="false">
      <c r="F36" s="41" t="str">
        <f aca="false">IF(C36="","",IFERROR(IF(ISNUMBER(SEARCH(Assumptions!$C$5,C36)),Assumptions!$D$5,IF(ISNUMBER(SEARCH(Assumptions!$C$6,C36)),Assumptions!$D$6,IF(ISNUMBER(SEARCH(Assumptions!$C$7,C36)),Assumptions!$D$7,"Other Services"))),"Other Services"))</f>
        <v/>
      </c>
    </row>
    <row r="37" customFormat="false" ht="15" hidden="false" customHeight="false" outlineLevel="0" collapsed="false">
      <c r="F37" s="41" t="str">
        <f aca="false">IF(C37="","",IFERROR(IF(ISNUMBER(SEARCH(Assumptions!$C$5,C37)),Assumptions!$D$5,IF(ISNUMBER(SEARCH(Assumptions!$C$6,C37)),Assumptions!$D$6,IF(ISNUMBER(SEARCH(Assumptions!$C$7,C37)),Assumptions!$D$7,"Other Services"))),"Other Services"))</f>
        <v/>
      </c>
    </row>
    <row r="38" customFormat="false" ht="15" hidden="false" customHeight="false" outlineLevel="0" collapsed="false">
      <c r="F38" s="41" t="str">
        <f aca="false">IF(C38="","",IFERROR(IF(ISNUMBER(SEARCH(Assumptions!$C$5,C38)),Assumptions!$D$5,IF(ISNUMBER(SEARCH(Assumptions!$C$6,C38)),Assumptions!$D$6,IF(ISNUMBER(SEARCH(Assumptions!$C$7,C38)),Assumptions!$D$7,"Other Services"))),"Other Services"))</f>
        <v/>
      </c>
    </row>
    <row r="39" customFormat="false" ht="15" hidden="false" customHeight="false" outlineLevel="0" collapsed="false">
      <c r="F39" s="41" t="str">
        <f aca="false">IF(C39="","",IFERROR(IF(ISNUMBER(SEARCH(Assumptions!$C$5,C39)),Assumptions!$D$5,IF(ISNUMBER(SEARCH(Assumptions!$C$6,C39)),Assumptions!$D$6,IF(ISNUMBER(SEARCH(Assumptions!$C$7,C39)),Assumptions!$D$7,"Other Services"))),"Other Services"))</f>
        <v/>
      </c>
    </row>
    <row r="40" customFormat="false" ht="15" hidden="false" customHeight="false" outlineLevel="0" collapsed="false">
      <c r="F40" s="41" t="str">
        <f aca="false">IF(C40="","",IFERROR(IF(ISNUMBER(SEARCH(Assumptions!$C$5,C40)),Assumptions!$D$5,IF(ISNUMBER(SEARCH(Assumptions!$C$6,C40)),Assumptions!$D$6,IF(ISNUMBER(SEARCH(Assumptions!$C$7,C40)),Assumptions!$D$7,"Other Services"))),"Other Services"))</f>
        <v/>
      </c>
    </row>
    <row r="41" customFormat="false" ht="15" hidden="false" customHeight="false" outlineLevel="0" collapsed="false">
      <c r="F41" s="41" t="str">
        <f aca="false">IF(C41="","",IFERROR(IF(ISNUMBER(SEARCH(Assumptions!$C$5,C41)),Assumptions!$D$5,IF(ISNUMBER(SEARCH(Assumptions!$C$6,C41)),Assumptions!$D$6,IF(ISNUMBER(SEARCH(Assumptions!$C$7,C41)),Assumptions!$D$7,"Other Services"))),"Other Services"))</f>
        <v/>
      </c>
    </row>
    <row r="42" customFormat="false" ht="15" hidden="false" customHeight="false" outlineLevel="0" collapsed="false">
      <c r="F42" s="41" t="str">
        <f aca="false">IF(C42="","",IFERROR(IF(ISNUMBER(SEARCH(Assumptions!$C$5,C42)),Assumptions!$D$5,IF(ISNUMBER(SEARCH(Assumptions!$C$6,C42)),Assumptions!$D$6,IF(ISNUMBER(SEARCH(Assumptions!$C$7,C42)),Assumptions!$D$7,"Other Services"))),"Other Services"))</f>
        <v/>
      </c>
    </row>
    <row r="43" customFormat="false" ht="15" hidden="false" customHeight="false" outlineLevel="0" collapsed="false">
      <c r="F43" s="41" t="str">
        <f aca="false">IF(C43="","",IFERROR(IF(ISNUMBER(SEARCH(Assumptions!$C$5,C43)),Assumptions!$D$5,IF(ISNUMBER(SEARCH(Assumptions!$C$6,C43)),Assumptions!$D$6,IF(ISNUMBER(SEARCH(Assumptions!$C$7,C43)),Assumptions!$D$7,"Other Services"))),"Other Services"))</f>
        <v/>
      </c>
    </row>
    <row r="44" customFormat="false" ht="15" hidden="false" customHeight="false" outlineLevel="0" collapsed="false">
      <c r="F44" s="41" t="str">
        <f aca="false">IF(C44="","",IFERROR(IF(ISNUMBER(SEARCH(Assumptions!$C$5,C44)),Assumptions!$D$5,IF(ISNUMBER(SEARCH(Assumptions!$C$6,C44)),Assumptions!$D$6,IF(ISNUMBER(SEARCH(Assumptions!$C$7,C44)),Assumptions!$D$7,"Other Services"))),"Other Services"))</f>
        <v/>
      </c>
    </row>
    <row r="45" customFormat="false" ht="15" hidden="false" customHeight="false" outlineLevel="0" collapsed="false">
      <c r="F45" s="41" t="str">
        <f aca="false">IF(C45="","",IFERROR(IF(ISNUMBER(SEARCH(Assumptions!$C$5,C45)),Assumptions!$D$5,IF(ISNUMBER(SEARCH(Assumptions!$C$6,C45)),Assumptions!$D$6,IF(ISNUMBER(SEARCH(Assumptions!$C$7,C45)),Assumptions!$D$7,"Other Services"))),"Other Services"))</f>
        <v/>
      </c>
    </row>
    <row r="46" customFormat="false" ht="15" hidden="false" customHeight="false" outlineLevel="0" collapsed="false">
      <c r="F46" s="41" t="str">
        <f aca="false">IF(C46="","",IFERROR(IF(ISNUMBER(SEARCH(Assumptions!$C$5,C46)),Assumptions!$D$5,IF(ISNUMBER(SEARCH(Assumptions!$C$6,C46)),Assumptions!$D$6,IF(ISNUMBER(SEARCH(Assumptions!$C$7,C46)),Assumptions!$D$7,"Other Services"))),"Other Services"))</f>
        <v/>
      </c>
    </row>
    <row r="47" customFormat="false" ht="15" hidden="false" customHeight="false" outlineLevel="0" collapsed="false">
      <c r="F47" s="41" t="str">
        <f aca="false">IF(C47="","",IFERROR(IF(ISNUMBER(SEARCH(Assumptions!$C$5,C47)),Assumptions!$D$5,IF(ISNUMBER(SEARCH(Assumptions!$C$6,C47)),Assumptions!$D$6,IF(ISNUMBER(SEARCH(Assumptions!$C$7,C47)),Assumptions!$D$7,"Other Services"))),"Other Services"))</f>
        <v/>
      </c>
    </row>
    <row r="48" customFormat="false" ht="15" hidden="false" customHeight="false" outlineLevel="0" collapsed="false">
      <c r="F48" s="41" t="str">
        <f aca="false">IF(C48="","",IFERROR(IF(ISNUMBER(SEARCH(Assumptions!$C$5,C48)),Assumptions!$D$5,IF(ISNUMBER(SEARCH(Assumptions!$C$6,C48)),Assumptions!$D$6,IF(ISNUMBER(SEARCH(Assumptions!$C$7,C48)),Assumptions!$D$7,"Other Services"))),"Other Services"))</f>
        <v/>
      </c>
    </row>
    <row r="49" customFormat="false" ht="15" hidden="false" customHeight="false" outlineLevel="0" collapsed="false">
      <c r="F49" s="41" t="str">
        <f aca="false">IF(C49="","",IFERROR(IF(ISNUMBER(SEARCH(Assumptions!$C$5,C49)),Assumptions!$D$5,IF(ISNUMBER(SEARCH(Assumptions!$C$6,C49)),Assumptions!$D$6,IF(ISNUMBER(SEARCH(Assumptions!$C$7,C49)),Assumptions!$D$7,"Other Services"))),"Other Services"))</f>
        <v/>
      </c>
    </row>
    <row r="50" customFormat="false" ht="15" hidden="false" customHeight="false" outlineLevel="0" collapsed="false">
      <c r="F50" s="41" t="str">
        <f aca="false">IF(C50="","",IFERROR(IF(ISNUMBER(SEARCH(Assumptions!$C$5,C50)),Assumptions!$D$5,IF(ISNUMBER(SEARCH(Assumptions!$C$6,C50)),Assumptions!$D$6,IF(ISNUMBER(SEARCH(Assumptions!$C$7,C50)),Assumptions!$D$7,"Other Services"))),"Other Services"))</f>
        <v/>
      </c>
    </row>
    <row r="51" customFormat="false" ht="15" hidden="false" customHeight="false" outlineLevel="0" collapsed="false">
      <c r="F51" s="41" t="str">
        <f aca="false">IF(C51="","",IFERROR(IF(ISNUMBER(SEARCH(Assumptions!$C$5,C51)),Assumptions!$D$5,IF(ISNUMBER(SEARCH(Assumptions!$C$6,C51)),Assumptions!$D$6,IF(ISNUMBER(SEARCH(Assumptions!$C$7,C51)),Assumptions!$D$7,"Other Services"))),"Other Services"))</f>
        <v/>
      </c>
    </row>
    <row r="52" customFormat="false" ht="15" hidden="false" customHeight="false" outlineLevel="0" collapsed="false">
      <c r="F52" s="41" t="str">
        <f aca="false">IF(C52="","",IFERROR(IF(ISNUMBER(SEARCH(Assumptions!$C$5,C52)),Assumptions!$D$5,IF(ISNUMBER(SEARCH(Assumptions!$C$6,C52)),Assumptions!$D$6,IF(ISNUMBER(SEARCH(Assumptions!$C$7,C52)),Assumptions!$D$7,"Other Services"))),"Other Services"))</f>
        <v/>
      </c>
    </row>
    <row r="53" customFormat="false" ht="15" hidden="false" customHeight="false" outlineLevel="0" collapsed="false">
      <c r="F53" s="41" t="str">
        <f aca="false">IF(C53="","",IFERROR(IF(ISNUMBER(SEARCH(Assumptions!$C$5,C53)),Assumptions!$D$5,IF(ISNUMBER(SEARCH(Assumptions!$C$6,C53)),Assumptions!$D$6,IF(ISNUMBER(SEARCH(Assumptions!$C$7,C53)),Assumptions!$D$7,"Other Services"))),"Other Services"))</f>
        <v/>
      </c>
    </row>
    <row r="54" customFormat="false" ht="15" hidden="false" customHeight="false" outlineLevel="0" collapsed="false">
      <c r="F54" s="41" t="str">
        <f aca="false">IF(C54="","",IFERROR(IF(ISNUMBER(SEARCH(Assumptions!$C$5,C54)),Assumptions!$D$5,IF(ISNUMBER(SEARCH(Assumptions!$C$6,C54)),Assumptions!$D$6,IF(ISNUMBER(SEARCH(Assumptions!$C$7,C54)),Assumptions!$D$7,"Other Services"))),"Other Services"))</f>
        <v/>
      </c>
    </row>
    <row r="55" customFormat="false" ht="15" hidden="false" customHeight="false" outlineLevel="0" collapsed="false">
      <c r="F55" s="41" t="str">
        <f aca="false">IF(C55="","",IFERROR(IF(ISNUMBER(SEARCH(Assumptions!$C$5,C55)),Assumptions!$D$5,IF(ISNUMBER(SEARCH(Assumptions!$C$6,C55)),Assumptions!$D$6,IF(ISNUMBER(SEARCH(Assumptions!$C$7,C55)),Assumptions!$D$7,"Other Services"))),"Other Services"))</f>
        <v/>
      </c>
    </row>
    <row r="56" customFormat="false" ht="15" hidden="false" customHeight="false" outlineLevel="0" collapsed="false">
      <c r="F56" s="41" t="str">
        <f aca="false">IF(C56="","",IFERROR(IF(ISNUMBER(SEARCH(Assumptions!$C$5,C56)),Assumptions!$D$5,IF(ISNUMBER(SEARCH(Assumptions!$C$6,C56)),Assumptions!$D$6,IF(ISNUMBER(SEARCH(Assumptions!$C$7,C56)),Assumptions!$D$7,"Other Services"))),"Other Services"))</f>
        <v/>
      </c>
    </row>
    <row r="57" customFormat="false" ht="15" hidden="false" customHeight="false" outlineLevel="0" collapsed="false">
      <c r="F57" s="41" t="str">
        <f aca="false">IF(C57="","",IFERROR(IF(ISNUMBER(SEARCH(Assumptions!$C$5,C57)),Assumptions!$D$5,IF(ISNUMBER(SEARCH(Assumptions!$C$6,C57)),Assumptions!$D$6,IF(ISNUMBER(SEARCH(Assumptions!$C$7,C57)),Assumptions!$D$7,"Other Services"))),"Other Services"))</f>
        <v/>
      </c>
    </row>
    <row r="58" customFormat="false" ht="15" hidden="false" customHeight="false" outlineLevel="0" collapsed="false">
      <c r="F58" s="41" t="str">
        <f aca="false">IF(C58="","",IFERROR(IF(ISNUMBER(SEARCH(Assumptions!$C$5,C58)),Assumptions!$D$5,IF(ISNUMBER(SEARCH(Assumptions!$C$6,C58)),Assumptions!$D$6,IF(ISNUMBER(SEARCH(Assumptions!$C$7,C58)),Assumptions!$D$7,"Other Services"))),"Other Services"))</f>
        <v/>
      </c>
    </row>
    <row r="59" customFormat="false" ht="15" hidden="false" customHeight="false" outlineLevel="0" collapsed="false">
      <c r="F59" s="41" t="str">
        <f aca="false">IF(C59="","",IFERROR(IF(ISNUMBER(SEARCH(Assumptions!$C$5,C59)),Assumptions!$D$5,IF(ISNUMBER(SEARCH(Assumptions!$C$6,C59)),Assumptions!$D$6,IF(ISNUMBER(SEARCH(Assumptions!$C$7,C59)),Assumptions!$D$7,"Other Services"))),"Other Services"))</f>
        <v/>
      </c>
    </row>
    <row r="60" customFormat="false" ht="15" hidden="false" customHeight="false" outlineLevel="0" collapsed="false">
      <c r="F60" s="41" t="str">
        <f aca="false">IF(C60="","",IFERROR(IF(ISNUMBER(SEARCH(Assumptions!$C$5,C60)),Assumptions!$D$5,IF(ISNUMBER(SEARCH(Assumptions!$C$6,C60)),Assumptions!$D$6,IF(ISNUMBER(SEARCH(Assumptions!$C$7,C60)),Assumptions!$D$7,"Other Services"))),"Other Services"))</f>
        <v/>
      </c>
    </row>
    <row r="61" customFormat="false" ht="15" hidden="false" customHeight="false" outlineLevel="0" collapsed="false">
      <c r="F61" s="41" t="str">
        <f aca="false">IF(C61="","",IFERROR(IF(ISNUMBER(SEARCH(Assumptions!$C$5,C61)),Assumptions!$D$5,IF(ISNUMBER(SEARCH(Assumptions!$C$6,C61)),Assumptions!$D$6,IF(ISNUMBER(SEARCH(Assumptions!$C$7,C61)),Assumptions!$D$7,"Other Services"))),"Other Services"))</f>
        <v/>
      </c>
    </row>
    <row r="62" customFormat="false" ht="15" hidden="false" customHeight="false" outlineLevel="0" collapsed="false">
      <c r="F62" s="41" t="str">
        <f aca="false">IF(C62="","",IFERROR(IF(ISNUMBER(SEARCH(Assumptions!$C$5,C62)),Assumptions!$D$5,IF(ISNUMBER(SEARCH(Assumptions!$C$6,C62)),Assumptions!$D$6,IF(ISNUMBER(SEARCH(Assumptions!$C$7,C62)),Assumptions!$D$7,"Other Services"))),"Other Services"))</f>
        <v/>
      </c>
    </row>
    <row r="63" customFormat="false" ht="15" hidden="false" customHeight="false" outlineLevel="0" collapsed="false">
      <c r="F63" s="41" t="str">
        <f aca="false">IF(C63="","",IFERROR(IF(ISNUMBER(SEARCH(Assumptions!$C$5,C63)),Assumptions!$D$5,IF(ISNUMBER(SEARCH(Assumptions!$C$6,C63)),Assumptions!$D$6,IF(ISNUMBER(SEARCH(Assumptions!$C$7,C63)),Assumptions!$D$7,"Other Services"))),"Other Services"))</f>
        <v/>
      </c>
    </row>
    <row r="64" customFormat="false" ht="15" hidden="false" customHeight="false" outlineLevel="0" collapsed="false">
      <c r="F64" s="41" t="str">
        <f aca="false">IF(C64="","",IFERROR(IF(ISNUMBER(SEARCH(Assumptions!$C$5,C64)),Assumptions!$D$5,IF(ISNUMBER(SEARCH(Assumptions!$C$6,C64)),Assumptions!$D$6,IF(ISNUMBER(SEARCH(Assumptions!$C$7,C64)),Assumptions!$D$7,"Other Services"))),"Other Services"))</f>
        <v/>
      </c>
    </row>
    <row r="65" customFormat="false" ht="15" hidden="false" customHeight="false" outlineLevel="0" collapsed="false">
      <c r="F65" s="41" t="str">
        <f aca="false">IF(C65="","",IFERROR(IF(ISNUMBER(SEARCH(Assumptions!$C$5,C65)),Assumptions!$D$5,IF(ISNUMBER(SEARCH(Assumptions!$C$6,C65)),Assumptions!$D$6,IF(ISNUMBER(SEARCH(Assumptions!$C$7,C65)),Assumptions!$D$7,"Other Services"))),"Other Services"))</f>
        <v/>
      </c>
    </row>
    <row r="66" customFormat="false" ht="15" hidden="false" customHeight="false" outlineLevel="0" collapsed="false">
      <c r="F66" s="41" t="str">
        <f aca="false">IF(C66="","",IFERROR(IF(ISNUMBER(SEARCH(Assumptions!$C$5,C66)),Assumptions!$D$5,IF(ISNUMBER(SEARCH(Assumptions!$C$6,C66)),Assumptions!$D$6,IF(ISNUMBER(SEARCH(Assumptions!$C$7,C66)),Assumptions!$D$7,"Other Services"))),"Other Services"))</f>
        <v/>
      </c>
    </row>
    <row r="67" customFormat="false" ht="15" hidden="false" customHeight="false" outlineLevel="0" collapsed="false">
      <c r="F67" s="41" t="str">
        <f aca="false">IF(C67="","",IFERROR(IF(ISNUMBER(SEARCH(Assumptions!$C$5,C67)),Assumptions!$D$5,IF(ISNUMBER(SEARCH(Assumptions!$C$6,C67)),Assumptions!$D$6,IF(ISNUMBER(SEARCH(Assumptions!$C$7,C67)),Assumptions!$D$7,"Other Services"))),"Other Services"))</f>
        <v/>
      </c>
    </row>
    <row r="68" customFormat="false" ht="15" hidden="false" customHeight="false" outlineLevel="0" collapsed="false">
      <c r="F68" s="41" t="str">
        <f aca="false">IF(C68="","",IFERROR(IF(ISNUMBER(SEARCH(Assumptions!$C$5,C68)),Assumptions!$D$5,IF(ISNUMBER(SEARCH(Assumptions!$C$6,C68)),Assumptions!$D$6,IF(ISNUMBER(SEARCH(Assumptions!$C$7,C68)),Assumptions!$D$7,"Other Services"))),"Other Services"))</f>
        <v/>
      </c>
    </row>
    <row r="69" customFormat="false" ht="15" hidden="false" customHeight="false" outlineLevel="0" collapsed="false">
      <c r="F69" s="41" t="str">
        <f aca="false">IF(C69="","",IFERROR(IF(ISNUMBER(SEARCH(Assumptions!$C$5,C69)),Assumptions!$D$5,IF(ISNUMBER(SEARCH(Assumptions!$C$6,C69)),Assumptions!$D$6,IF(ISNUMBER(SEARCH(Assumptions!$C$7,C69)),Assumptions!$D$7,"Other Services"))),"Other Services"))</f>
        <v/>
      </c>
    </row>
    <row r="70" customFormat="false" ht="15" hidden="false" customHeight="false" outlineLevel="0" collapsed="false">
      <c r="F70" s="41" t="str">
        <f aca="false">IF(C70="","",IFERROR(IF(ISNUMBER(SEARCH(Assumptions!$C$5,C70)),Assumptions!$D$5,IF(ISNUMBER(SEARCH(Assumptions!$C$6,C70)),Assumptions!$D$6,IF(ISNUMBER(SEARCH(Assumptions!$C$7,C70)),Assumptions!$D$7,"Other Services"))),"Other Services"))</f>
        <v/>
      </c>
    </row>
    <row r="71" customFormat="false" ht="15" hidden="false" customHeight="false" outlineLevel="0" collapsed="false">
      <c r="F71" s="41" t="str">
        <f aca="false">IF(C71="","",IFERROR(IF(ISNUMBER(SEARCH(Assumptions!$C$5,C71)),Assumptions!$D$5,IF(ISNUMBER(SEARCH(Assumptions!$C$6,C71)),Assumptions!$D$6,IF(ISNUMBER(SEARCH(Assumptions!$C$7,C71)),Assumptions!$D$7,"Other Services"))),"Other Services"))</f>
        <v/>
      </c>
    </row>
    <row r="72" customFormat="false" ht="15" hidden="false" customHeight="false" outlineLevel="0" collapsed="false">
      <c r="F72" s="41" t="str">
        <f aca="false">IF(C72="","",IFERROR(IF(ISNUMBER(SEARCH(Assumptions!$C$5,C72)),Assumptions!$D$5,IF(ISNUMBER(SEARCH(Assumptions!$C$6,C72)),Assumptions!$D$6,IF(ISNUMBER(SEARCH(Assumptions!$C$7,C72)),Assumptions!$D$7,"Other Services"))),"Other Services"))</f>
        <v/>
      </c>
    </row>
    <row r="73" customFormat="false" ht="15" hidden="false" customHeight="false" outlineLevel="0" collapsed="false">
      <c r="F73" s="41" t="str">
        <f aca="false">IF(C73="","",IFERROR(IF(ISNUMBER(SEARCH(Assumptions!$C$5,C73)),Assumptions!$D$5,IF(ISNUMBER(SEARCH(Assumptions!$C$6,C73)),Assumptions!$D$6,IF(ISNUMBER(SEARCH(Assumptions!$C$7,C73)),Assumptions!$D$7,"Other Services"))),"Other Services"))</f>
        <v/>
      </c>
    </row>
    <row r="74" customFormat="false" ht="15" hidden="false" customHeight="false" outlineLevel="0" collapsed="false">
      <c r="F74" s="41" t="str">
        <f aca="false">IF(C74="","",IFERROR(IF(ISNUMBER(SEARCH(Assumptions!$C$5,C74)),Assumptions!$D$5,IF(ISNUMBER(SEARCH(Assumptions!$C$6,C74)),Assumptions!$D$6,IF(ISNUMBER(SEARCH(Assumptions!$C$7,C74)),Assumptions!$D$7,"Other Services"))),"Other Services"))</f>
        <v/>
      </c>
    </row>
    <row r="75" customFormat="false" ht="15" hidden="false" customHeight="false" outlineLevel="0" collapsed="false">
      <c r="F75" s="41" t="str">
        <f aca="false">IF(C75="","",IFERROR(IF(ISNUMBER(SEARCH(Assumptions!$C$5,C75)),Assumptions!$D$5,IF(ISNUMBER(SEARCH(Assumptions!$C$6,C75)),Assumptions!$D$6,IF(ISNUMBER(SEARCH(Assumptions!$C$7,C75)),Assumptions!$D$7,"Other Services"))),"Other Services"))</f>
        <v/>
      </c>
    </row>
    <row r="76" customFormat="false" ht="15" hidden="false" customHeight="false" outlineLevel="0" collapsed="false">
      <c r="F76" s="41" t="str">
        <f aca="false">IF(C76="","",IFERROR(IF(ISNUMBER(SEARCH(Assumptions!$C$5,C76)),Assumptions!$D$5,IF(ISNUMBER(SEARCH(Assumptions!$C$6,C76)),Assumptions!$D$6,IF(ISNUMBER(SEARCH(Assumptions!$C$7,C76)),Assumptions!$D$7,"Other Services"))),"Other Services"))</f>
        <v/>
      </c>
    </row>
    <row r="77" customFormat="false" ht="15" hidden="false" customHeight="false" outlineLevel="0" collapsed="false">
      <c r="F77" s="41" t="str">
        <f aca="false">IF(C77="","",IFERROR(IF(ISNUMBER(SEARCH(Assumptions!$C$5,C77)),Assumptions!$D$5,IF(ISNUMBER(SEARCH(Assumptions!$C$6,C77)),Assumptions!$D$6,IF(ISNUMBER(SEARCH(Assumptions!$C$7,C77)),Assumptions!$D$7,"Other Services"))),"Other Services"))</f>
        <v/>
      </c>
    </row>
    <row r="78" customFormat="false" ht="15" hidden="false" customHeight="false" outlineLevel="0" collapsed="false">
      <c r="F78" s="41" t="str">
        <f aca="false">IF(C78="","",IFERROR(IF(ISNUMBER(SEARCH(Assumptions!$C$5,C78)),Assumptions!$D$5,IF(ISNUMBER(SEARCH(Assumptions!$C$6,C78)),Assumptions!$D$6,IF(ISNUMBER(SEARCH(Assumptions!$C$7,C78)),Assumptions!$D$7,"Other Services"))),"Other Services"))</f>
        <v/>
      </c>
    </row>
    <row r="79" customFormat="false" ht="15" hidden="false" customHeight="false" outlineLevel="0" collapsed="false">
      <c r="F79" s="41" t="str">
        <f aca="false">IF(C79="","",IFERROR(IF(ISNUMBER(SEARCH(Assumptions!$C$5,C79)),Assumptions!$D$5,IF(ISNUMBER(SEARCH(Assumptions!$C$6,C79)),Assumptions!$D$6,IF(ISNUMBER(SEARCH(Assumptions!$C$7,C79)),Assumptions!$D$7,"Other Services"))),"Other Services"))</f>
        <v/>
      </c>
    </row>
    <row r="80" customFormat="false" ht="15" hidden="false" customHeight="false" outlineLevel="0" collapsed="false">
      <c r="F80" s="41" t="str">
        <f aca="false">IF(C80="","",IFERROR(IF(ISNUMBER(SEARCH(Assumptions!$C$5,C80)),Assumptions!$D$5,IF(ISNUMBER(SEARCH(Assumptions!$C$6,C80)),Assumptions!$D$6,IF(ISNUMBER(SEARCH(Assumptions!$C$7,C80)),Assumptions!$D$7,"Other Services"))),"Other Services"))</f>
        <v/>
      </c>
    </row>
    <row r="81" customFormat="false" ht="15" hidden="false" customHeight="false" outlineLevel="0" collapsed="false">
      <c r="F81" s="41" t="str">
        <f aca="false">IF(C81="","",IFERROR(IF(ISNUMBER(SEARCH(Assumptions!$C$5,C81)),Assumptions!$D$5,IF(ISNUMBER(SEARCH(Assumptions!$C$6,C81)),Assumptions!$D$6,IF(ISNUMBER(SEARCH(Assumptions!$C$7,C81)),Assumptions!$D$7,"Other Services"))),"Other Services"))</f>
        <v/>
      </c>
    </row>
    <row r="82" customFormat="false" ht="15" hidden="false" customHeight="false" outlineLevel="0" collapsed="false">
      <c r="F82" s="41" t="str">
        <f aca="false">IF(C82="","",IFERROR(IF(ISNUMBER(SEARCH(Assumptions!$C$5,C82)),Assumptions!$D$5,IF(ISNUMBER(SEARCH(Assumptions!$C$6,C82)),Assumptions!$D$6,IF(ISNUMBER(SEARCH(Assumptions!$C$7,C82)),Assumptions!$D$7,"Other Services"))),"Other Services"))</f>
        <v/>
      </c>
    </row>
    <row r="83" customFormat="false" ht="15" hidden="false" customHeight="false" outlineLevel="0" collapsed="false">
      <c r="F83" s="41" t="str">
        <f aca="false">IF(C83="","",IFERROR(IF(ISNUMBER(SEARCH(Assumptions!$C$5,C83)),Assumptions!$D$5,IF(ISNUMBER(SEARCH(Assumptions!$C$6,C83)),Assumptions!$D$6,IF(ISNUMBER(SEARCH(Assumptions!$C$7,C83)),Assumptions!$D$7,"Other Services"))),"Other Services"))</f>
        <v/>
      </c>
    </row>
    <row r="84" customFormat="false" ht="15" hidden="false" customHeight="false" outlineLevel="0" collapsed="false">
      <c r="F84" s="41" t="str">
        <f aca="false">IF(C84="","",IFERROR(IF(ISNUMBER(SEARCH(Assumptions!$C$5,C84)),Assumptions!$D$5,IF(ISNUMBER(SEARCH(Assumptions!$C$6,C84)),Assumptions!$D$6,IF(ISNUMBER(SEARCH(Assumptions!$C$7,C84)),Assumptions!$D$7,"Other Services"))),"Other Services"))</f>
        <v/>
      </c>
    </row>
    <row r="85" customFormat="false" ht="15" hidden="false" customHeight="false" outlineLevel="0" collapsed="false">
      <c r="F85" s="41" t="str">
        <f aca="false">IF(C85="","",IFERROR(IF(ISNUMBER(SEARCH(Assumptions!$C$5,C85)),Assumptions!$D$5,IF(ISNUMBER(SEARCH(Assumptions!$C$6,C85)),Assumptions!$D$6,IF(ISNUMBER(SEARCH(Assumptions!$C$7,C85)),Assumptions!$D$7,"Other Services"))),"Other Services"))</f>
        <v/>
      </c>
    </row>
    <row r="86" customFormat="false" ht="15" hidden="false" customHeight="false" outlineLevel="0" collapsed="false">
      <c r="F86" s="41" t="str">
        <f aca="false">IF(C86="","",IFERROR(IF(ISNUMBER(SEARCH(Assumptions!$C$5,C86)),Assumptions!$D$5,IF(ISNUMBER(SEARCH(Assumptions!$C$6,C86)),Assumptions!$D$6,IF(ISNUMBER(SEARCH(Assumptions!$C$7,C86)),Assumptions!$D$7,"Other Services"))),"Other Services"))</f>
        <v/>
      </c>
    </row>
    <row r="87" customFormat="false" ht="15" hidden="false" customHeight="false" outlineLevel="0" collapsed="false">
      <c r="F87" s="41" t="str">
        <f aca="false">IF(C87="","",IFERROR(IF(ISNUMBER(SEARCH(Assumptions!$C$5,C87)),Assumptions!$D$5,IF(ISNUMBER(SEARCH(Assumptions!$C$6,C87)),Assumptions!$D$6,IF(ISNUMBER(SEARCH(Assumptions!$C$7,C87)),Assumptions!$D$7,"Other Services"))),"Other Services"))</f>
        <v/>
      </c>
    </row>
    <row r="88" customFormat="false" ht="15" hidden="false" customHeight="false" outlineLevel="0" collapsed="false">
      <c r="F88" s="41" t="str">
        <f aca="false">IF(C88="","",IFERROR(IF(ISNUMBER(SEARCH(Assumptions!$C$5,C88)),Assumptions!$D$5,IF(ISNUMBER(SEARCH(Assumptions!$C$6,C88)),Assumptions!$D$6,IF(ISNUMBER(SEARCH(Assumptions!$C$7,C88)),Assumptions!$D$7,"Other Services"))),"Other Services"))</f>
        <v/>
      </c>
    </row>
    <row r="89" customFormat="false" ht="15" hidden="false" customHeight="false" outlineLevel="0" collapsed="false">
      <c r="F89" s="41" t="str">
        <f aca="false">IF(C89="","",IFERROR(IF(ISNUMBER(SEARCH(Assumptions!$C$5,C89)),Assumptions!$D$5,IF(ISNUMBER(SEARCH(Assumptions!$C$6,C89)),Assumptions!$D$6,IF(ISNUMBER(SEARCH(Assumptions!$C$7,C89)),Assumptions!$D$7,"Other Services"))),"Other Services"))</f>
        <v/>
      </c>
    </row>
    <row r="90" customFormat="false" ht="15" hidden="false" customHeight="false" outlineLevel="0" collapsed="false">
      <c r="F90" s="41" t="str">
        <f aca="false">IF(C90="","",IFERROR(IF(ISNUMBER(SEARCH(Assumptions!$C$5,C90)),Assumptions!$D$5,IF(ISNUMBER(SEARCH(Assumptions!$C$6,C90)),Assumptions!$D$6,IF(ISNUMBER(SEARCH(Assumptions!$C$7,C90)),Assumptions!$D$7,"Other Services"))),"Other Services"))</f>
        <v/>
      </c>
    </row>
    <row r="91" customFormat="false" ht="15" hidden="false" customHeight="false" outlineLevel="0" collapsed="false">
      <c r="F91" s="41" t="str">
        <f aca="false">IF(C91="","",IFERROR(IF(ISNUMBER(SEARCH(Assumptions!$C$5,C91)),Assumptions!$D$5,IF(ISNUMBER(SEARCH(Assumptions!$C$6,C91)),Assumptions!$D$6,IF(ISNUMBER(SEARCH(Assumptions!$C$7,C91)),Assumptions!$D$7,"Other Services"))),"Other Services"))</f>
        <v/>
      </c>
    </row>
    <row r="92" customFormat="false" ht="15" hidden="false" customHeight="false" outlineLevel="0" collapsed="false">
      <c r="F92" s="41" t="str">
        <f aca="false">IF(C92="","",IFERROR(IF(ISNUMBER(SEARCH(Assumptions!$C$5,C92)),Assumptions!$D$5,IF(ISNUMBER(SEARCH(Assumptions!$C$6,C92)),Assumptions!$D$6,IF(ISNUMBER(SEARCH(Assumptions!$C$7,C92)),Assumptions!$D$7,"Other Services"))),"Other Services"))</f>
        <v/>
      </c>
    </row>
    <row r="93" customFormat="false" ht="15" hidden="false" customHeight="false" outlineLevel="0" collapsed="false">
      <c r="F93" s="41" t="str">
        <f aca="false">IF(C93="","",IFERROR(IF(ISNUMBER(SEARCH(Assumptions!$C$5,C93)),Assumptions!$D$5,IF(ISNUMBER(SEARCH(Assumptions!$C$6,C93)),Assumptions!$D$6,IF(ISNUMBER(SEARCH(Assumptions!$C$7,C93)),Assumptions!$D$7,"Other Services"))),"Other Services"))</f>
        <v/>
      </c>
    </row>
    <row r="94" customFormat="false" ht="15" hidden="false" customHeight="false" outlineLevel="0" collapsed="false">
      <c r="F94" s="41" t="str">
        <f aca="false">IF(C94="","",IFERROR(IF(ISNUMBER(SEARCH(Assumptions!$C$5,C94)),Assumptions!$D$5,IF(ISNUMBER(SEARCH(Assumptions!$C$6,C94)),Assumptions!$D$6,IF(ISNUMBER(SEARCH(Assumptions!$C$7,C94)),Assumptions!$D$7,"Other Services"))),"Other Services"))</f>
        <v/>
      </c>
    </row>
    <row r="95" customFormat="false" ht="15" hidden="false" customHeight="false" outlineLevel="0" collapsed="false">
      <c r="F95" s="41" t="str">
        <f aca="false">IF(C95="","",IFERROR(IF(ISNUMBER(SEARCH(Assumptions!$C$5,C95)),Assumptions!$D$5,IF(ISNUMBER(SEARCH(Assumptions!$C$6,C95)),Assumptions!$D$6,IF(ISNUMBER(SEARCH(Assumptions!$C$7,C95)),Assumptions!$D$7,"Other Services"))),"Other Services"))</f>
        <v/>
      </c>
    </row>
    <row r="96" customFormat="false" ht="15" hidden="false" customHeight="false" outlineLevel="0" collapsed="false">
      <c r="F96" s="41" t="str">
        <f aca="false">IF(C96="","",IFERROR(IF(ISNUMBER(SEARCH(Assumptions!$C$5,C96)),Assumptions!$D$5,IF(ISNUMBER(SEARCH(Assumptions!$C$6,C96)),Assumptions!$D$6,IF(ISNUMBER(SEARCH(Assumptions!$C$7,C96)),Assumptions!$D$7,"Other Services"))),"Other Services"))</f>
        <v/>
      </c>
    </row>
    <row r="97" customFormat="false" ht="15" hidden="false" customHeight="false" outlineLevel="0" collapsed="false">
      <c r="F97" s="41" t="str">
        <f aca="false">IF(C97="","",IFERROR(IF(ISNUMBER(SEARCH(Assumptions!$C$5,C97)),Assumptions!$D$5,IF(ISNUMBER(SEARCH(Assumptions!$C$6,C97)),Assumptions!$D$6,IF(ISNUMBER(SEARCH(Assumptions!$C$7,C97)),Assumptions!$D$7,"Other Services"))),"Other Services"))</f>
        <v/>
      </c>
    </row>
    <row r="98" customFormat="false" ht="15" hidden="false" customHeight="false" outlineLevel="0" collapsed="false">
      <c r="F98" s="41" t="str">
        <f aca="false">IF(C98="","",IFERROR(IF(ISNUMBER(SEARCH(Assumptions!$C$5,C98)),Assumptions!$D$5,IF(ISNUMBER(SEARCH(Assumptions!$C$6,C98)),Assumptions!$D$6,IF(ISNUMBER(SEARCH(Assumptions!$C$7,C98)),Assumptions!$D$7,"Other Services"))),"Other Services"))</f>
        <v/>
      </c>
    </row>
    <row r="99" customFormat="false" ht="15" hidden="false" customHeight="false" outlineLevel="0" collapsed="false">
      <c r="F99" s="41" t="str">
        <f aca="false">IF(C99="","",IFERROR(IF(ISNUMBER(SEARCH(Assumptions!$C$5,C99)),Assumptions!$D$5,IF(ISNUMBER(SEARCH(Assumptions!$C$6,C99)),Assumptions!$D$6,IF(ISNUMBER(SEARCH(Assumptions!$C$7,C99)),Assumptions!$D$7,"Other Services"))),"Other Services"))</f>
        <v/>
      </c>
    </row>
    <row r="100" customFormat="false" ht="15" hidden="false" customHeight="false" outlineLevel="0" collapsed="false">
      <c r="F100" s="41" t="str">
        <f aca="false">IF(C100="","",IFERROR(IF(ISNUMBER(SEARCH(Assumptions!$C$5,C100)),Assumptions!$D$5,IF(ISNUMBER(SEARCH(Assumptions!$C$6,C100)),Assumptions!$D$6,IF(ISNUMBER(SEARCH(Assumptions!$C$7,C100)),Assumptions!$D$7,"Other Services"))),"Other Services"))</f>
        <v/>
      </c>
    </row>
    <row r="101" customFormat="false" ht="15" hidden="false" customHeight="false" outlineLevel="0" collapsed="false">
      <c r="F101" s="41" t="str">
        <f aca="false">IF(C101="","",IFERROR(IF(ISNUMBER(SEARCH(Assumptions!$C$5,C101)),Assumptions!$D$5,IF(ISNUMBER(SEARCH(Assumptions!$C$6,C101)),Assumptions!$D$6,IF(ISNUMBER(SEARCH(Assumptions!$C$7,C101)),Assumptions!$D$7,"Other Services"))),"Other Services"))</f>
        <v/>
      </c>
    </row>
    <row r="102" customFormat="false" ht="15" hidden="false" customHeight="false" outlineLevel="0" collapsed="false">
      <c r="F102" s="41" t="str">
        <f aca="false">IF(C102="","",IFERROR(IF(ISNUMBER(SEARCH(Assumptions!$C$5,C102)),Assumptions!$D$5,IF(ISNUMBER(SEARCH(Assumptions!$C$6,C102)),Assumptions!$D$6,IF(ISNUMBER(SEARCH(Assumptions!$C$7,C102)),Assumptions!$D$7,"Other Services"))),"Other Services"))</f>
        <v/>
      </c>
    </row>
    <row r="103" customFormat="false" ht="15" hidden="false" customHeight="false" outlineLevel="0" collapsed="false">
      <c r="F103" s="41" t="str">
        <f aca="false">IF(C103="","",IFERROR(IF(ISNUMBER(SEARCH(Assumptions!$C$5,C103)),Assumptions!$D$5,IF(ISNUMBER(SEARCH(Assumptions!$C$6,C103)),Assumptions!$D$6,IF(ISNUMBER(SEARCH(Assumptions!$C$7,C103)),Assumptions!$D$7,"Other Services"))),"Other Services"))</f>
        <v/>
      </c>
    </row>
    <row r="104" customFormat="false" ht="15" hidden="false" customHeight="false" outlineLevel="0" collapsed="false">
      <c r="F104" s="41" t="str">
        <f aca="false">IF(C104="","",IFERROR(IF(ISNUMBER(SEARCH(Assumptions!$C$5,C104)),Assumptions!$D$5,IF(ISNUMBER(SEARCH(Assumptions!$C$6,C104)),Assumptions!$D$6,IF(ISNUMBER(SEARCH(Assumptions!$C$7,C104)),Assumptions!$D$7,"Other Services"))),"Other Services"))</f>
        <v/>
      </c>
    </row>
    <row r="105" customFormat="false" ht="15" hidden="false" customHeight="false" outlineLevel="0" collapsed="false">
      <c r="F105" s="41" t="str">
        <f aca="false">IF(C105="","",IFERROR(IF(ISNUMBER(SEARCH(Assumptions!$C$5,C105)),Assumptions!$D$5,IF(ISNUMBER(SEARCH(Assumptions!$C$6,C105)),Assumptions!$D$6,IF(ISNUMBER(SEARCH(Assumptions!$C$7,C105)),Assumptions!$D$7,"Other Services"))),"Other Services"))</f>
        <v/>
      </c>
    </row>
    <row r="106" customFormat="false" ht="15" hidden="false" customHeight="false" outlineLevel="0" collapsed="false">
      <c r="F106" s="41" t="str">
        <f aca="false">IF(C106="","",IFERROR(IF(ISNUMBER(SEARCH(Assumptions!$C$5,C106)),Assumptions!$D$5,IF(ISNUMBER(SEARCH(Assumptions!$C$6,C106)),Assumptions!$D$6,IF(ISNUMBER(SEARCH(Assumptions!$C$7,C106)),Assumptions!$D$7,"Other Services"))),"Other Services"))</f>
        <v/>
      </c>
    </row>
    <row r="107" customFormat="false" ht="15" hidden="false" customHeight="false" outlineLevel="0" collapsed="false">
      <c r="F107" s="41" t="str">
        <f aca="false">IF(C107="","",IFERROR(IF(ISNUMBER(SEARCH(Assumptions!$C$5,C107)),Assumptions!$D$5,IF(ISNUMBER(SEARCH(Assumptions!$C$6,C107)),Assumptions!$D$6,IF(ISNUMBER(SEARCH(Assumptions!$C$7,C107)),Assumptions!$D$7,"Other Services"))),"Other Services"))</f>
        <v/>
      </c>
    </row>
    <row r="108" customFormat="false" ht="15" hidden="false" customHeight="false" outlineLevel="0" collapsed="false">
      <c r="F108" s="41" t="str">
        <f aca="false">IF(C108="","",IFERROR(IF(ISNUMBER(SEARCH(Assumptions!$C$5,C108)),Assumptions!$D$5,IF(ISNUMBER(SEARCH(Assumptions!$C$6,C108)),Assumptions!$D$6,IF(ISNUMBER(SEARCH(Assumptions!$C$7,C108)),Assumptions!$D$7,"Other Services"))),"Other Services"))</f>
        <v/>
      </c>
    </row>
    <row r="109" customFormat="false" ht="15" hidden="false" customHeight="false" outlineLevel="0" collapsed="false">
      <c r="F109" s="41" t="str">
        <f aca="false">IF(C109="","",IFERROR(IF(ISNUMBER(SEARCH(Assumptions!$C$5,C109)),Assumptions!$D$5,IF(ISNUMBER(SEARCH(Assumptions!$C$6,C109)),Assumptions!$D$6,IF(ISNUMBER(SEARCH(Assumptions!$C$7,C109)),Assumptions!$D$7,"Other Services"))),"Other Services"))</f>
        <v/>
      </c>
    </row>
    <row r="110" customFormat="false" ht="15" hidden="false" customHeight="false" outlineLevel="0" collapsed="false">
      <c r="F110" s="41" t="str">
        <f aca="false">IF(C110="","",IFERROR(IF(ISNUMBER(SEARCH(Assumptions!$C$5,C110)),Assumptions!$D$5,IF(ISNUMBER(SEARCH(Assumptions!$C$6,C110)),Assumptions!$D$6,IF(ISNUMBER(SEARCH(Assumptions!$C$7,C110)),Assumptions!$D$7,"Other Services"))),"Other Services"))</f>
        <v/>
      </c>
    </row>
    <row r="111" customFormat="false" ht="15" hidden="false" customHeight="false" outlineLevel="0" collapsed="false">
      <c r="F111" s="41" t="str">
        <f aca="false">IF(C111="","",IFERROR(IF(ISNUMBER(SEARCH(Assumptions!$C$5,C111)),Assumptions!$D$5,IF(ISNUMBER(SEARCH(Assumptions!$C$6,C111)),Assumptions!$D$6,IF(ISNUMBER(SEARCH(Assumptions!$C$7,C111)),Assumptions!$D$7,"Other Services"))),"Other Services"))</f>
        <v/>
      </c>
    </row>
    <row r="112" customFormat="false" ht="15" hidden="false" customHeight="false" outlineLevel="0" collapsed="false">
      <c r="F112" s="41" t="str">
        <f aca="false">IF(C112="","",IFERROR(IF(ISNUMBER(SEARCH(Assumptions!$C$5,C112)),Assumptions!$D$5,IF(ISNUMBER(SEARCH(Assumptions!$C$6,C112)),Assumptions!$D$6,IF(ISNUMBER(SEARCH(Assumptions!$C$7,C112)),Assumptions!$D$7,"Other Services"))),"Other Services"))</f>
        <v/>
      </c>
    </row>
    <row r="113" customFormat="false" ht="15" hidden="false" customHeight="false" outlineLevel="0" collapsed="false">
      <c r="F113" s="41" t="str">
        <f aca="false">IF(C113="","",IFERROR(IF(ISNUMBER(SEARCH(Assumptions!$C$5,C113)),Assumptions!$D$5,IF(ISNUMBER(SEARCH(Assumptions!$C$6,C113)),Assumptions!$D$6,IF(ISNUMBER(SEARCH(Assumptions!$C$7,C113)),Assumptions!$D$7,"Other Services"))),"Other Services"))</f>
        <v/>
      </c>
    </row>
    <row r="114" customFormat="false" ht="15" hidden="false" customHeight="false" outlineLevel="0" collapsed="false">
      <c r="F114" s="41" t="str">
        <f aca="false">IF(C114="","",IFERROR(IF(ISNUMBER(SEARCH(Assumptions!$C$5,C114)),Assumptions!$D$5,IF(ISNUMBER(SEARCH(Assumptions!$C$6,C114)),Assumptions!$D$6,IF(ISNUMBER(SEARCH(Assumptions!$C$7,C114)),Assumptions!$D$7,"Other Services"))),"Other Services"))</f>
        <v/>
      </c>
    </row>
    <row r="115" customFormat="false" ht="15" hidden="false" customHeight="false" outlineLevel="0" collapsed="false">
      <c r="F115" s="41" t="str">
        <f aca="false">IF(C115="","",IFERROR(IF(ISNUMBER(SEARCH(Assumptions!$C$5,C115)),Assumptions!$D$5,IF(ISNUMBER(SEARCH(Assumptions!$C$6,C115)),Assumptions!$D$6,IF(ISNUMBER(SEARCH(Assumptions!$C$7,C115)),Assumptions!$D$7,"Other Services"))),"Other Services"))</f>
        <v/>
      </c>
    </row>
    <row r="116" customFormat="false" ht="15" hidden="false" customHeight="false" outlineLevel="0" collapsed="false">
      <c r="F116" s="41" t="str">
        <f aca="false">IF(C116="","",IFERROR(IF(ISNUMBER(SEARCH(Assumptions!$C$5,C116)),Assumptions!$D$5,IF(ISNUMBER(SEARCH(Assumptions!$C$6,C116)),Assumptions!$D$6,IF(ISNUMBER(SEARCH(Assumptions!$C$7,C116)),Assumptions!$D$7,"Other Services"))),"Other Services"))</f>
        <v/>
      </c>
    </row>
    <row r="117" customFormat="false" ht="15" hidden="false" customHeight="false" outlineLevel="0" collapsed="false">
      <c r="F117" s="41" t="str">
        <f aca="false">IF(C117="","",IFERROR(IF(ISNUMBER(SEARCH(Assumptions!$C$5,C117)),Assumptions!$D$5,IF(ISNUMBER(SEARCH(Assumptions!$C$6,C117)),Assumptions!$D$6,IF(ISNUMBER(SEARCH(Assumptions!$C$7,C117)),Assumptions!$D$7,"Other Services"))),"Other Services"))</f>
        <v/>
      </c>
    </row>
    <row r="118" customFormat="false" ht="15" hidden="false" customHeight="false" outlineLevel="0" collapsed="false">
      <c r="F118" s="41" t="str">
        <f aca="false">IF(C118="","",IFERROR(IF(ISNUMBER(SEARCH(Assumptions!$C$5,C118)),Assumptions!$D$5,IF(ISNUMBER(SEARCH(Assumptions!$C$6,C118)),Assumptions!$D$6,IF(ISNUMBER(SEARCH(Assumptions!$C$7,C118)),Assumptions!$D$7,"Other Services"))),"Other Services"))</f>
        <v/>
      </c>
    </row>
    <row r="119" customFormat="false" ht="15" hidden="false" customHeight="false" outlineLevel="0" collapsed="false">
      <c r="F119" s="41" t="str">
        <f aca="false">IF(C119="","",IFERROR(IF(ISNUMBER(SEARCH(Assumptions!$C$5,C119)),Assumptions!$D$5,IF(ISNUMBER(SEARCH(Assumptions!$C$6,C119)),Assumptions!$D$6,IF(ISNUMBER(SEARCH(Assumptions!$C$7,C119)),Assumptions!$D$7,"Other Services"))),"Other Services"))</f>
        <v/>
      </c>
    </row>
    <row r="120" customFormat="false" ht="15" hidden="false" customHeight="false" outlineLevel="0" collapsed="false">
      <c r="F120" s="41" t="str">
        <f aca="false">IF(C120="","",IFERROR(IF(ISNUMBER(SEARCH(Assumptions!$C$5,C120)),Assumptions!$D$5,IF(ISNUMBER(SEARCH(Assumptions!$C$6,C120)),Assumptions!$D$6,IF(ISNUMBER(SEARCH(Assumptions!$C$7,C120)),Assumptions!$D$7,"Other Services"))),"Other Services"))</f>
        <v/>
      </c>
    </row>
    <row r="121" customFormat="false" ht="15" hidden="false" customHeight="false" outlineLevel="0" collapsed="false">
      <c r="F121" s="41" t="str">
        <f aca="false">IF(C121="","",IFERROR(IF(ISNUMBER(SEARCH(Assumptions!$C$5,C121)),Assumptions!$D$5,IF(ISNUMBER(SEARCH(Assumptions!$C$6,C121)),Assumptions!$D$6,IF(ISNUMBER(SEARCH(Assumptions!$C$7,C121)),Assumptions!$D$7,"Other Services"))),"Other Services"))</f>
        <v/>
      </c>
    </row>
    <row r="122" customFormat="false" ht="15" hidden="false" customHeight="false" outlineLevel="0" collapsed="false">
      <c r="F122" s="41" t="str">
        <f aca="false">IF(C122="","",IFERROR(IF(ISNUMBER(SEARCH(Assumptions!$C$5,C122)),Assumptions!$D$5,IF(ISNUMBER(SEARCH(Assumptions!$C$6,C122)),Assumptions!$D$6,IF(ISNUMBER(SEARCH(Assumptions!$C$7,C122)),Assumptions!$D$7,"Other Services"))),"Other Services"))</f>
        <v/>
      </c>
    </row>
    <row r="123" customFormat="false" ht="15" hidden="false" customHeight="false" outlineLevel="0" collapsed="false">
      <c r="F123" s="41" t="str">
        <f aca="false">IF(C123="","",IFERROR(IF(ISNUMBER(SEARCH(Assumptions!$C$5,C123)),Assumptions!$D$5,IF(ISNUMBER(SEARCH(Assumptions!$C$6,C123)),Assumptions!$D$6,IF(ISNUMBER(SEARCH(Assumptions!$C$7,C123)),Assumptions!$D$7,"Other Services"))),"Other Services"))</f>
        <v/>
      </c>
    </row>
    <row r="124" customFormat="false" ht="15" hidden="false" customHeight="false" outlineLevel="0" collapsed="false">
      <c r="F124" s="41" t="str">
        <f aca="false">IF(C124="","",IFERROR(IF(ISNUMBER(SEARCH(Assumptions!$C$5,C124)),Assumptions!$D$5,IF(ISNUMBER(SEARCH(Assumptions!$C$6,C124)),Assumptions!$D$6,IF(ISNUMBER(SEARCH(Assumptions!$C$7,C124)),Assumptions!$D$7,"Other Services"))),"Other Services"))</f>
        <v/>
      </c>
    </row>
    <row r="125" customFormat="false" ht="15" hidden="false" customHeight="false" outlineLevel="0" collapsed="false">
      <c r="F125" s="41" t="str">
        <f aca="false">IF(C125="","",IFERROR(IF(ISNUMBER(SEARCH(Assumptions!$C$5,C125)),Assumptions!$D$5,IF(ISNUMBER(SEARCH(Assumptions!$C$6,C125)),Assumptions!$D$6,IF(ISNUMBER(SEARCH(Assumptions!$C$7,C125)),Assumptions!$D$7,"Other Services"))),"Other Services"))</f>
        <v/>
      </c>
    </row>
    <row r="126" customFormat="false" ht="15" hidden="false" customHeight="false" outlineLevel="0" collapsed="false">
      <c r="F126" s="41" t="str">
        <f aca="false">IF(C126="","",IFERROR(IF(ISNUMBER(SEARCH(Assumptions!$C$5,C126)),Assumptions!$D$5,IF(ISNUMBER(SEARCH(Assumptions!$C$6,C126)),Assumptions!$D$6,IF(ISNUMBER(SEARCH(Assumptions!$C$7,C126)),Assumptions!$D$7,"Other Services"))),"Other Services"))</f>
        <v/>
      </c>
    </row>
    <row r="127" customFormat="false" ht="15" hidden="false" customHeight="false" outlineLevel="0" collapsed="false">
      <c r="F127" s="41" t="str">
        <f aca="false">IF(C127="","",IFERROR(IF(ISNUMBER(SEARCH(Assumptions!$C$5,C127)),Assumptions!$D$5,IF(ISNUMBER(SEARCH(Assumptions!$C$6,C127)),Assumptions!$D$6,IF(ISNUMBER(SEARCH(Assumptions!$C$7,C127)),Assumptions!$D$7,"Other Services"))),"Other Services"))</f>
        <v/>
      </c>
    </row>
    <row r="128" customFormat="false" ht="15" hidden="false" customHeight="false" outlineLevel="0" collapsed="false">
      <c r="F128" s="41" t="str">
        <f aca="false">IF(C128="","",IFERROR(IF(ISNUMBER(SEARCH(Assumptions!$C$5,C128)),Assumptions!$D$5,IF(ISNUMBER(SEARCH(Assumptions!$C$6,C128)),Assumptions!$D$6,IF(ISNUMBER(SEARCH(Assumptions!$C$7,C128)),Assumptions!$D$7,"Other Services"))),"Other Services"))</f>
        <v/>
      </c>
    </row>
    <row r="129" customFormat="false" ht="15" hidden="false" customHeight="false" outlineLevel="0" collapsed="false">
      <c r="F129" s="41" t="str">
        <f aca="false">IF(C129="","",IFERROR(IF(ISNUMBER(SEARCH(Assumptions!$C$5,C129)),Assumptions!$D$5,IF(ISNUMBER(SEARCH(Assumptions!$C$6,C129)),Assumptions!$D$6,IF(ISNUMBER(SEARCH(Assumptions!$C$7,C129)),Assumptions!$D$7,"Other Services"))),"Other Services"))</f>
        <v/>
      </c>
    </row>
    <row r="130" customFormat="false" ht="15" hidden="false" customHeight="false" outlineLevel="0" collapsed="false">
      <c r="F130" s="41" t="str">
        <f aca="false">IF(C130="","",IFERROR(IF(ISNUMBER(SEARCH(Assumptions!$C$5,C130)),Assumptions!$D$5,IF(ISNUMBER(SEARCH(Assumptions!$C$6,C130)),Assumptions!$D$6,IF(ISNUMBER(SEARCH(Assumptions!$C$7,C130)),Assumptions!$D$7,"Other Services"))),"Other Services"))</f>
        <v/>
      </c>
    </row>
    <row r="131" customFormat="false" ht="15" hidden="false" customHeight="false" outlineLevel="0" collapsed="false">
      <c r="F131" s="41" t="str">
        <f aca="false">IF(C131="","",IFERROR(IF(ISNUMBER(SEARCH(Assumptions!$C$5,C131)),Assumptions!$D$5,IF(ISNUMBER(SEARCH(Assumptions!$C$6,C131)),Assumptions!$D$6,IF(ISNUMBER(SEARCH(Assumptions!$C$7,C131)),Assumptions!$D$7,"Other Services"))),"Other Services"))</f>
        <v/>
      </c>
    </row>
    <row r="132" customFormat="false" ht="15" hidden="false" customHeight="false" outlineLevel="0" collapsed="false">
      <c r="F132" s="41" t="str">
        <f aca="false">IF(C132="","",IFERROR(IF(ISNUMBER(SEARCH(Assumptions!$C$5,C132)),Assumptions!$D$5,IF(ISNUMBER(SEARCH(Assumptions!$C$6,C132)),Assumptions!$D$6,IF(ISNUMBER(SEARCH(Assumptions!$C$7,C132)),Assumptions!$D$7,"Other Services"))),"Other Services"))</f>
        <v/>
      </c>
    </row>
    <row r="133" customFormat="false" ht="15" hidden="false" customHeight="false" outlineLevel="0" collapsed="false">
      <c r="F133" s="41" t="str">
        <f aca="false">IF(C133="","",IFERROR(IF(ISNUMBER(SEARCH(Assumptions!$C$5,C133)),Assumptions!$D$5,IF(ISNUMBER(SEARCH(Assumptions!$C$6,C133)),Assumptions!$D$6,IF(ISNUMBER(SEARCH(Assumptions!$C$7,C133)),Assumptions!$D$7,"Other Services"))),"Other Services"))</f>
        <v/>
      </c>
    </row>
    <row r="134" customFormat="false" ht="15" hidden="false" customHeight="false" outlineLevel="0" collapsed="false">
      <c r="F134" s="41" t="str">
        <f aca="false">IF(C134="","",IFERROR(IF(ISNUMBER(SEARCH(Assumptions!$C$5,C134)),Assumptions!$D$5,IF(ISNUMBER(SEARCH(Assumptions!$C$6,C134)),Assumptions!$D$6,IF(ISNUMBER(SEARCH(Assumptions!$C$7,C134)),Assumptions!$D$7,"Other Services"))),"Other Services"))</f>
        <v/>
      </c>
    </row>
    <row r="135" customFormat="false" ht="15" hidden="false" customHeight="false" outlineLevel="0" collapsed="false">
      <c r="F135" s="41" t="str">
        <f aca="false">IF(C135="","",IFERROR(IF(ISNUMBER(SEARCH(Assumptions!$C$5,C135)),Assumptions!$D$5,IF(ISNUMBER(SEARCH(Assumptions!$C$6,C135)),Assumptions!$D$6,IF(ISNUMBER(SEARCH(Assumptions!$C$7,C135)),Assumptions!$D$7,"Other Services"))),"Other Services"))</f>
        <v/>
      </c>
    </row>
    <row r="136" customFormat="false" ht="15" hidden="false" customHeight="false" outlineLevel="0" collapsed="false">
      <c r="F136" s="41" t="str">
        <f aca="false">IF(C136="","",IFERROR(IF(ISNUMBER(SEARCH(Assumptions!$C$5,C136)),Assumptions!$D$5,IF(ISNUMBER(SEARCH(Assumptions!$C$6,C136)),Assumptions!$D$6,IF(ISNUMBER(SEARCH(Assumptions!$C$7,C136)),Assumptions!$D$7,"Other Services"))),"Other Services"))</f>
        <v/>
      </c>
    </row>
    <row r="137" customFormat="false" ht="15" hidden="false" customHeight="false" outlineLevel="0" collapsed="false">
      <c r="F137" s="41" t="str">
        <f aca="false">IF(C137="","",IFERROR(IF(ISNUMBER(SEARCH(Assumptions!$C$5,C137)),Assumptions!$D$5,IF(ISNUMBER(SEARCH(Assumptions!$C$6,C137)),Assumptions!$D$6,IF(ISNUMBER(SEARCH(Assumptions!$C$7,C137)),Assumptions!$D$7,"Other Services"))),"Other Services"))</f>
        <v/>
      </c>
    </row>
    <row r="138" customFormat="false" ht="15" hidden="false" customHeight="false" outlineLevel="0" collapsed="false">
      <c r="F138" s="41" t="str">
        <f aca="false">IF(C138="","",IFERROR(IF(ISNUMBER(SEARCH(Assumptions!$C$5,C138)),Assumptions!$D$5,IF(ISNUMBER(SEARCH(Assumptions!$C$6,C138)),Assumptions!$D$6,IF(ISNUMBER(SEARCH(Assumptions!$C$7,C138)),Assumptions!$D$7,"Other Services"))),"Other Services"))</f>
        <v/>
      </c>
    </row>
    <row r="139" customFormat="false" ht="15" hidden="false" customHeight="false" outlineLevel="0" collapsed="false">
      <c r="F139" s="41" t="str">
        <f aca="false">IF(C139="","",IFERROR(IF(ISNUMBER(SEARCH(Assumptions!$C$5,C139)),Assumptions!$D$5,IF(ISNUMBER(SEARCH(Assumptions!$C$6,C139)),Assumptions!$D$6,IF(ISNUMBER(SEARCH(Assumptions!$C$7,C139)),Assumptions!$D$7,"Other Services"))),"Other Services"))</f>
        <v/>
      </c>
    </row>
    <row r="140" customFormat="false" ht="15" hidden="false" customHeight="false" outlineLevel="0" collapsed="false">
      <c r="F140" s="41" t="str">
        <f aca="false">IF(C140="","",IFERROR(IF(ISNUMBER(SEARCH(Assumptions!$C$5,C140)),Assumptions!$D$5,IF(ISNUMBER(SEARCH(Assumptions!$C$6,C140)),Assumptions!$D$6,IF(ISNUMBER(SEARCH(Assumptions!$C$7,C140)),Assumptions!$D$7,"Other Services"))),"Other Services"))</f>
        <v/>
      </c>
    </row>
    <row r="141" customFormat="false" ht="15" hidden="false" customHeight="false" outlineLevel="0" collapsed="false">
      <c r="F141" s="41" t="str">
        <f aca="false">IF(C141="","",IFERROR(IF(ISNUMBER(SEARCH(Assumptions!$C$5,C141)),Assumptions!$D$5,IF(ISNUMBER(SEARCH(Assumptions!$C$6,C141)),Assumptions!$D$6,IF(ISNUMBER(SEARCH(Assumptions!$C$7,C141)),Assumptions!$D$7,"Other Services"))),"Other Services"))</f>
        <v/>
      </c>
    </row>
    <row r="142" customFormat="false" ht="15" hidden="false" customHeight="false" outlineLevel="0" collapsed="false">
      <c r="F142" s="41" t="str">
        <f aca="false">IF(C142="","",IFERROR(IF(ISNUMBER(SEARCH(Assumptions!$C$5,C142)),Assumptions!$D$5,IF(ISNUMBER(SEARCH(Assumptions!$C$6,C142)),Assumptions!$D$6,IF(ISNUMBER(SEARCH(Assumptions!$C$7,C142)),Assumptions!$D$7,"Other Services"))),"Other Services"))</f>
        <v/>
      </c>
    </row>
    <row r="143" customFormat="false" ht="15" hidden="false" customHeight="false" outlineLevel="0" collapsed="false">
      <c r="F143" s="41" t="str">
        <f aca="false">IF(C143="","",IFERROR(IF(ISNUMBER(SEARCH(Assumptions!$C$5,C143)),Assumptions!$D$5,IF(ISNUMBER(SEARCH(Assumptions!$C$6,C143)),Assumptions!$D$6,IF(ISNUMBER(SEARCH(Assumptions!$C$7,C143)),Assumptions!$D$7,"Other Services"))),"Other Services"))</f>
        <v/>
      </c>
    </row>
    <row r="144" customFormat="false" ht="15" hidden="false" customHeight="false" outlineLevel="0" collapsed="false">
      <c r="F144" s="41" t="str">
        <f aca="false">IF(C144="","",IFERROR(IF(ISNUMBER(SEARCH(Assumptions!$C$5,C144)),Assumptions!$D$5,IF(ISNUMBER(SEARCH(Assumptions!$C$6,C144)),Assumptions!$D$6,IF(ISNUMBER(SEARCH(Assumptions!$C$7,C144)),Assumptions!$D$7,"Other Services"))),"Other Services"))</f>
        <v/>
      </c>
    </row>
    <row r="145" customFormat="false" ht="15" hidden="false" customHeight="false" outlineLevel="0" collapsed="false">
      <c r="F145" s="41" t="str">
        <f aca="false">IF(C145="","",IFERROR(IF(ISNUMBER(SEARCH(Assumptions!$C$5,C145)),Assumptions!$D$5,IF(ISNUMBER(SEARCH(Assumptions!$C$6,C145)),Assumptions!$D$6,IF(ISNUMBER(SEARCH(Assumptions!$C$7,C145)),Assumptions!$D$7,"Other Services"))),"Other Services"))</f>
        <v/>
      </c>
    </row>
    <row r="146" customFormat="false" ht="15" hidden="false" customHeight="false" outlineLevel="0" collapsed="false">
      <c r="F146" s="41" t="str">
        <f aca="false">IF(C146="","",IFERROR(IF(ISNUMBER(SEARCH(Assumptions!$C$5,C146)),Assumptions!$D$5,IF(ISNUMBER(SEARCH(Assumptions!$C$6,C146)),Assumptions!$D$6,IF(ISNUMBER(SEARCH(Assumptions!$C$7,C146)),Assumptions!$D$7,"Other Services"))),"Other Services"))</f>
        <v/>
      </c>
    </row>
    <row r="147" customFormat="false" ht="15" hidden="false" customHeight="false" outlineLevel="0" collapsed="false">
      <c r="F147" s="41" t="str">
        <f aca="false">IF(C147="","",IFERROR(IF(ISNUMBER(SEARCH(Assumptions!$C$5,C147)),Assumptions!$D$5,IF(ISNUMBER(SEARCH(Assumptions!$C$6,C147)),Assumptions!$D$6,IF(ISNUMBER(SEARCH(Assumptions!$C$7,C147)),Assumptions!$D$7,"Other Services"))),"Other Services"))</f>
        <v/>
      </c>
    </row>
    <row r="148" customFormat="false" ht="15" hidden="false" customHeight="false" outlineLevel="0" collapsed="false">
      <c r="F148" s="41" t="str">
        <f aca="false">IF(C148="","",IFERROR(IF(ISNUMBER(SEARCH(Assumptions!$C$5,C148)),Assumptions!$D$5,IF(ISNUMBER(SEARCH(Assumptions!$C$6,C148)),Assumptions!$D$6,IF(ISNUMBER(SEARCH(Assumptions!$C$7,C148)),Assumptions!$D$7,"Other Services"))),"Other Services"))</f>
        <v/>
      </c>
    </row>
    <row r="149" customFormat="false" ht="15" hidden="false" customHeight="false" outlineLevel="0" collapsed="false">
      <c r="F149" s="41" t="str">
        <f aca="false">IF(C149="","",IFERROR(IF(ISNUMBER(SEARCH(Assumptions!$C$5,C149)),Assumptions!$D$5,IF(ISNUMBER(SEARCH(Assumptions!$C$6,C149)),Assumptions!$D$6,IF(ISNUMBER(SEARCH(Assumptions!$C$7,C149)),Assumptions!$D$7,"Other Services"))),"Other Services"))</f>
        <v/>
      </c>
    </row>
    <row r="150" customFormat="false" ht="15" hidden="false" customHeight="false" outlineLevel="0" collapsed="false">
      <c r="F150" s="41" t="str">
        <f aca="false">IF(C150="","",IFERROR(IF(ISNUMBER(SEARCH(Assumptions!$C$5,C150)),Assumptions!$D$5,IF(ISNUMBER(SEARCH(Assumptions!$C$6,C150)),Assumptions!$D$6,IF(ISNUMBER(SEARCH(Assumptions!$C$7,C150)),Assumptions!$D$7,"Other Services"))),"Other Services"))</f>
        <v/>
      </c>
    </row>
    <row r="151" customFormat="false" ht="15" hidden="false" customHeight="false" outlineLevel="0" collapsed="false">
      <c r="F151" s="41" t="str">
        <f aca="false">IF(C151="","",IFERROR(IF(ISNUMBER(SEARCH(Assumptions!$C$5,C151)),Assumptions!$D$5,IF(ISNUMBER(SEARCH(Assumptions!$C$6,C151)),Assumptions!$D$6,IF(ISNUMBER(SEARCH(Assumptions!$C$7,C151)),Assumptions!$D$7,"Other Services"))),"Other Services"))</f>
        <v/>
      </c>
    </row>
    <row r="152" customFormat="false" ht="15" hidden="false" customHeight="false" outlineLevel="0" collapsed="false">
      <c r="F152" s="41" t="str">
        <f aca="false">IF(C152="","",IFERROR(IF(ISNUMBER(SEARCH(Assumptions!$C$5,C152)),Assumptions!$D$5,IF(ISNUMBER(SEARCH(Assumptions!$C$6,C152)),Assumptions!$D$6,IF(ISNUMBER(SEARCH(Assumptions!$C$7,C152)),Assumptions!$D$7,"Other Services"))),"Other Services"))</f>
        <v/>
      </c>
    </row>
    <row r="153" customFormat="false" ht="15" hidden="false" customHeight="false" outlineLevel="0" collapsed="false">
      <c r="F153" s="41" t="str">
        <f aca="false">IF(C153="","",IFERROR(IF(ISNUMBER(SEARCH(Assumptions!$C$5,C153)),Assumptions!$D$5,IF(ISNUMBER(SEARCH(Assumptions!$C$6,C153)),Assumptions!$D$6,IF(ISNUMBER(SEARCH(Assumptions!$C$7,C153)),Assumptions!$D$7,"Other Services"))),"Other Services"))</f>
        <v/>
      </c>
    </row>
    <row r="154" customFormat="false" ht="15" hidden="false" customHeight="false" outlineLevel="0" collapsed="false">
      <c r="F154" s="41" t="str">
        <f aca="false">IF(C154="","",IFERROR(IF(ISNUMBER(SEARCH(Assumptions!$C$5,C154)),Assumptions!$D$5,IF(ISNUMBER(SEARCH(Assumptions!$C$6,C154)),Assumptions!$D$6,IF(ISNUMBER(SEARCH(Assumptions!$C$7,C154)),Assumptions!$D$7,"Other Services"))),"Other Services"))</f>
        <v/>
      </c>
    </row>
    <row r="155" customFormat="false" ht="15" hidden="false" customHeight="false" outlineLevel="0" collapsed="false">
      <c r="F155" s="41" t="str">
        <f aca="false">IF(C155="","",IFERROR(IF(ISNUMBER(SEARCH(Assumptions!$C$5,C155)),Assumptions!$D$5,IF(ISNUMBER(SEARCH(Assumptions!$C$6,C155)),Assumptions!$D$6,IF(ISNUMBER(SEARCH(Assumptions!$C$7,C155)),Assumptions!$D$7,"Other Services"))),"Other Services"))</f>
        <v/>
      </c>
    </row>
    <row r="156" customFormat="false" ht="15" hidden="false" customHeight="false" outlineLevel="0" collapsed="false">
      <c r="F156" s="41" t="str">
        <f aca="false">IF(C156="","",IFERROR(IF(ISNUMBER(SEARCH(Assumptions!$C$5,C156)),Assumptions!$D$5,IF(ISNUMBER(SEARCH(Assumptions!$C$6,C156)),Assumptions!$D$6,IF(ISNUMBER(SEARCH(Assumptions!$C$7,C156)),Assumptions!$D$7,"Other Services"))),"Other Services"))</f>
        <v/>
      </c>
    </row>
    <row r="157" customFormat="false" ht="15" hidden="false" customHeight="false" outlineLevel="0" collapsed="false">
      <c r="F157" s="41" t="str">
        <f aca="false">IF(C157="","",IFERROR(IF(ISNUMBER(SEARCH(Assumptions!$C$5,C157)),Assumptions!$D$5,IF(ISNUMBER(SEARCH(Assumptions!$C$6,C157)),Assumptions!$D$6,IF(ISNUMBER(SEARCH(Assumptions!$C$7,C157)),Assumptions!$D$7,"Other Services"))),"Other Services"))</f>
        <v/>
      </c>
    </row>
    <row r="158" customFormat="false" ht="15" hidden="false" customHeight="false" outlineLevel="0" collapsed="false">
      <c r="F158" s="41" t="str">
        <f aca="false">IF(C158="","",IFERROR(IF(ISNUMBER(SEARCH(Assumptions!$C$5,C158)),Assumptions!$D$5,IF(ISNUMBER(SEARCH(Assumptions!$C$6,C158)),Assumptions!$D$6,IF(ISNUMBER(SEARCH(Assumptions!$C$7,C158)),Assumptions!$D$7,"Other Services"))),"Other Services"))</f>
        <v/>
      </c>
    </row>
    <row r="159" customFormat="false" ht="15" hidden="false" customHeight="false" outlineLevel="0" collapsed="false">
      <c r="F159" s="41" t="str">
        <f aca="false">IF(C159="","",IFERROR(IF(ISNUMBER(SEARCH(Assumptions!$C$5,C159)),Assumptions!$D$5,IF(ISNUMBER(SEARCH(Assumptions!$C$6,C159)),Assumptions!$D$6,IF(ISNUMBER(SEARCH(Assumptions!$C$7,C159)),Assumptions!$D$7,"Other Services"))),"Other Services"))</f>
        <v/>
      </c>
    </row>
    <row r="160" customFormat="false" ht="15" hidden="false" customHeight="false" outlineLevel="0" collapsed="false">
      <c r="F160" s="41" t="str">
        <f aca="false">IF(C160="","",IFERROR(IF(ISNUMBER(SEARCH(Assumptions!$C$5,C160)),Assumptions!$D$5,IF(ISNUMBER(SEARCH(Assumptions!$C$6,C160)),Assumptions!$D$6,IF(ISNUMBER(SEARCH(Assumptions!$C$7,C160)),Assumptions!$D$7,"Other Services"))),"Other Services"))</f>
        <v/>
      </c>
    </row>
    <row r="161" customFormat="false" ht="15" hidden="false" customHeight="false" outlineLevel="0" collapsed="false">
      <c r="F161" s="41" t="str">
        <f aca="false">IF(C161="","",IFERROR(IF(ISNUMBER(SEARCH(Assumptions!$C$5,C161)),Assumptions!$D$5,IF(ISNUMBER(SEARCH(Assumptions!$C$6,C161)),Assumptions!$D$6,IF(ISNUMBER(SEARCH(Assumptions!$C$7,C161)),Assumptions!$D$7,"Other Services"))),"Other Services"))</f>
        <v/>
      </c>
    </row>
    <row r="162" customFormat="false" ht="15" hidden="false" customHeight="false" outlineLevel="0" collapsed="false">
      <c r="F162" s="41" t="str">
        <f aca="false">IF(C162="","",IFERROR(IF(ISNUMBER(SEARCH(Assumptions!$C$5,C162)),Assumptions!$D$5,IF(ISNUMBER(SEARCH(Assumptions!$C$6,C162)),Assumptions!$D$6,IF(ISNUMBER(SEARCH(Assumptions!$C$7,C162)),Assumptions!$D$7,"Other Services"))),"Other Services"))</f>
        <v/>
      </c>
    </row>
    <row r="163" customFormat="false" ht="15" hidden="false" customHeight="false" outlineLevel="0" collapsed="false">
      <c r="F163" s="41" t="str">
        <f aca="false">IF(C163="","",IFERROR(IF(ISNUMBER(SEARCH(Assumptions!$C$5,C163)),Assumptions!$D$5,IF(ISNUMBER(SEARCH(Assumptions!$C$6,C163)),Assumptions!$D$6,IF(ISNUMBER(SEARCH(Assumptions!$C$7,C163)),Assumptions!$D$7,"Other Services"))),"Other Services"))</f>
        <v/>
      </c>
    </row>
    <row r="164" customFormat="false" ht="15" hidden="false" customHeight="false" outlineLevel="0" collapsed="false">
      <c r="F164" s="41" t="str">
        <f aca="false">IF(C164="","",IFERROR(IF(ISNUMBER(SEARCH(Assumptions!$C$5,C164)),Assumptions!$D$5,IF(ISNUMBER(SEARCH(Assumptions!$C$6,C164)),Assumptions!$D$6,IF(ISNUMBER(SEARCH(Assumptions!$C$7,C164)),Assumptions!$D$7,"Other Services"))),"Other Services"))</f>
        <v/>
      </c>
    </row>
    <row r="165" customFormat="false" ht="15" hidden="false" customHeight="false" outlineLevel="0" collapsed="false">
      <c r="F165" s="41" t="str">
        <f aca="false">IF(C165="","",IFERROR(IF(ISNUMBER(SEARCH(Assumptions!$C$5,C165)),Assumptions!$D$5,IF(ISNUMBER(SEARCH(Assumptions!$C$6,C165)),Assumptions!$D$6,IF(ISNUMBER(SEARCH(Assumptions!$C$7,C165)),Assumptions!$D$7,"Other Services"))),"Other Services"))</f>
        <v/>
      </c>
    </row>
    <row r="166" customFormat="false" ht="15" hidden="false" customHeight="false" outlineLevel="0" collapsed="false">
      <c r="F166" s="41" t="str">
        <f aca="false">IF(C166="","",IFERROR(IF(ISNUMBER(SEARCH(Assumptions!$C$5,C166)),Assumptions!$D$5,IF(ISNUMBER(SEARCH(Assumptions!$C$6,C166)),Assumptions!$D$6,IF(ISNUMBER(SEARCH(Assumptions!$C$7,C166)),Assumptions!$D$7,"Other Services"))),"Other Services"))</f>
        <v/>
      </c>
    </row>
    <row r="167" customFormat="false" ht="15" hidden="false" customHeight="false" outlineLevel="0" collapsed="false">
      <c r="F167" s="41" t="str">
        <f aca="false">IF(C167="","",IFERROR(IF(ISNUMBER(SEARCH(Assumptions!$C$5,C167)),Assumptions!$D$5,IF(ISNUMBER(SEARCH(Assumptions!$C$6,C167)),Assumptions!$D$6,IF(ISNUMBER(SEARCH(Assumptions!$C$7,C167)),Assumptions!$D$7,"Other Services"))),"Other Services"))</f>
        <v/>
      </c>
    </row>
    <row r="168" customFormat="false" ht="15" hidden="false" customHeight="false" outlineLevel="0" collapsed="false">
      <c r="F168" s="41" t="str">
        <f aca="false">IF(C168="","",IFERROR(IF(ISNUMBER(SEARCH(Assumptions!$C$5,C168)),Assumptions!$D$5,IF(ISNUMBER(SEARCH(Assumptions!$C$6,C168)),Assumptions!$D$6,IF(ISNUMBER(SEARCH(Assumptions!$C$7,C168)),Assumptions!$D$7,"Other Services"))),"Other Services"))</f>
        <v/>
      </c>
    </row>
    <row r="169" customFormat="false" ht="15" hidden="false" customHeight="false" outlineLevel="0" collapsed="false">
      <c r="F169" s="41" t="str">
        <f aca="false">IF(C169="","",IFERROR(IF(ISNUMBER(SEARCH(Assumptions!$C$5,C169)),Assumptions!$D$5,IF(ISNUMBER(SEARCH(Assumptions!$C$6,C169)),Assumptions!$D$6,IF(ISNUMBER(SEARCH(Assumptions!$C$7,C169)),Assumptions!$D$7,"Other Services"))),"Other Services"))</f>
        <v/>
      </c>
    </row>
    <row r="170" customFormat="false" ht="15" hidden="false" customHeight="false" outlineLevel="0" collapsed="false">
      <c r="F170" s="41" t="str">
        <f aca="false">IF(C170="","",IFERROR(IF(ISNUMBER(SEARCH(Assumptions!$C$5,C170)),Assumptions!$D$5,IF(ISNUMBER(SEARCH(Assumptions!$C$6,C170)),Assumptions!$D$6,IF(ISNUMBER(SEARCH(Assumptions!$C$7,C170)),Assumptions!$D$7,"Other Services"))),"Other Services"))</f>
        <v/>
      </c>
    </row>
    <row r="171" customFormat="false" ht="15" hidden="false" customHeight="false" outlineLevel="0" collapsed="false">
      <c r="F171" s="41" t="str">
        <f aca="false">IF(C171="","",IFERROR(IF(ISNUMBER(SEARCH(Assumptions!$C$5,C171)),Assumptions!$D$5,IF(ISNUMBER(SEARCH(Assumptions!$C$6,C171)),Assumptions!$D$6,IF(ISNUMBER(SEARCH(Assumptions!$C$7,C171)),Assumptions!$D$7,"Other Services"))),"Other Services"))</f>
        <v/>
      </c>
    </row>
    <row r="172" customFormat="false" ht="15" hidden="false" customHeight="false" outlineLevel="0" collapsed="false">
      <c r="F172" s="41" t="str">
        <f aca="false">IF(C172="","",IFERROR(IF(ISNUMBER(SEARCH(Assumptions!$C$5,C172)),Assumptions!$D$5,IF(ISNUMBER(SEARCH(Assumptions!$C$6,C172)),Assumptions!$D$6,IF(ISNUMBER(SEARCH(Assumptions!$C$7,C172)),Assumptions!$D$7,"Other Services"))),"Other Services"))</f>
        <v/>
      </c>
    </row>
    <row r="173" customFormat="false" ht="15" hidden="false" customHeight="false" outlineLevel="0" collapsed="false">
      <c r="F173" s="41" t="str">
        <f aca="false">IF(C173="","",IFERROR(IF(ISNUMBER(SEARCH(Assumptions!$C$5,C173)),Assumptions!$D$5,IF(ISNUMBER(SEARCH(Assumptions!$C$6,C173)),Assumptions!$D$6,IF(ISNUMBER(SEARCH(Assumptions!$C$7,C173)),Assumptions!$D$7,"Other Services"))),"Other Services"))</f>
        <v/>
      </c>
    </row>
    <row r="174" customFormat="false" ht="15" hidden="false" customHeight="false" outlineLevel="0" collapsed="false">
      <c r="F174" s="41" t="str">
        <f aca="false">IF(C174="","",IFERROR(IF(ISNUMBER(SEARCH(Assumptions!$C$5,C174)),Assumptions!$D$5,IF(ISNUMBER(SEARCH(Assumptions!$C$6,C174)),Assumptions!$D$6,IF(ISNUMBER(SEARCH(Assumptions!$C$7,C174)),Assumptions!$D$7,"Other Services"))),"Other Services"))</f>
        <v/>
      </c>
    </row>
    <row r="175" customFormat="false" ht="15" hidden="false" customHeight="false" outlineLevel="0" collapsed="false">
      <c r="F175" s="41" t="str">
        <f aca="false">IF(C175="","",IFERROR(IF(ISNUMBER(SEARCH(Assumptions!$C$5,C175)),Assumptions!$D$5,IF(ISNUMBER(SEARCH(Assumptions!$C$6,C175)),Assumptions!$D$6,IF(ISNUMBER(SEARCH(Assumptions!$C$7,C175)),Assumptions!$D$7,"Other Services"))),"Other Services"))</f>
        <v/>
      </c>
    </row>
    <row r="176" customFormat="false" ht="15" hidden="false" customHeight="false" outlineLevel="0" collapsed="false">
      <c r="F176" s="41" t="str">
        <f aca="false">IF(C176="","",IFERROR(IF(ISNUMBER(SEARCH(Assumptions!$C$5,C176)),Assumptions!$D$5,IF(ISNUMBER(SEARCH(Assumptions!$C$6,C176)),Assumptions!$D$6,IF(ISNUMBER(SEARCH(Assumptions!$C$7,C176)),Assumptions!$D$7,"Other Services"))),"Other Services"))</f>
        <v/>
      </c>
    </row>
    <row r="177" customFormat="false" ht="15" hidden="false" customHeight="false" outlineLevel="0" collapsed="false">
      <c r="F177" s="41" t="str">
        <f aca="false">IF(C177="","",IFERROR(IF(ISNUMBER(SEARCH(Assumptions!$C$5,C177)),Assumptions!$D$5,IF(ISNUMBER(SEARCH(Assumptions!$C$6,C177)),Assumptions!$D$6,IF(ISNUMBER(SEARCH(Assumptions!$C$7,C177)),Assumptions!$D$7,"Other Services"))),"Other Services"))</f>
        <v/>
      </c>
    </row>
    <row r="178" customFormat="false" ht="15" hidden="false" customHeight="false" outlineLevel="0" collapsed="false">
      <c r="F178" s="41" t="str">
        <f aca="false">IF(C178="","",IFERROR(IF(ISNUMBER(SEARCH(Assumptions!$C$5,C178)),Assumptions!$D$5,IF(ISNUMBER(SEARCH(Assumptions!$C$6,C178)),Assumptions!$D$6,IF(ISNUMBER(SEARCH(Assumptions!$C$7,C178)),Assumptions!$D$7,"Other Services"))),"Other Services"))</f>
        <v/>
      </c>
    </row>
    <row r="179" customFormat="false" ht="15" hidden="false" customHeight="false" outlineLevel="0" collapsed="false">
      <c r="F179" s="41" t="str">
        <f aca="false">IF(C179="","",IFERROR(IF(ISNUMBER(SEARCH(Assumptions!$C$5,C179)),Assumptions!$D$5,IF(ISNUMBER(SEARCH(Assumptions!$C$6,C179)),Assumptions!$D$6,IF(ISNUMBER(SEARCH(Assumptions!$C$7,C179)),Assumptions!$D$7,"Other Services"))),"Other Services"))</f>
        <v/>
      </c>
    </row>
    <row r="180" customFormat="false" ht="15" hidden="false" customHeight="false" outlineLevel="0" collapsed="false">
      <c r="F180" s="41" t="str">
        <f aca="false">IF(C180="","",IFERROR(IF(ISNUMBER(SEARCH(Assumptions!$C$5,C180)),Assumptions!$D$5,IF(ISNUMBER(SEARCH(Assumptions!$C$6,C180)),Assumptions!$D$6,IF(ISNUMBER(SEARCH(Assumptions!$C$7,C180)),Assumptions!$D$7,"Other Services"))),"Other Services"))</f>
        <v/>
      </c>
    </row>
    <row r="181" customFormat="false" ht="15" hidden="false" customHeight="false" outlineLevel="0" collapsed="false">
      <c r="F181" s="41" t="str">
        <f aca="false">IF(C181="","",IFERROR(IF(ISNUMBER(SEARCH(Assumptions!$C$5,C181)),Assumptions!$D$5,IF(ISNUMBER(SEARCH(Assumptions!$C$6,C181)),Assumptions!$D$6,IF(ISNUMBER(SEARCH(Assumptions!$C$7,C181)),Assumptions!$D$7,"Other Services"))),"Other Services"))</f>
        <v/>
      </c>
    </row>
    <row r="182" customFormat="false" ht="15" hidden="false" customHeight="false" outlineLevel="0" collapsed="false">
      <c r="F182" s="41" t="str">
        <f aca="false">IF(C182="","",IFERROR(IF(ISNUMBER(SEARCH(Assumptions!$C$5,C182)),Assumptions!$D$5,IF(ISNUMBER(SEARCH(Assumptions!$C$6,C182)),Assumptions!$D$6,IF(ISNUMBER(SEARCH(Assumptions!$C$7,C182)),Assumptions!$D$7,"Other Services"))),"Other Services"))</f>
        <v/>
      </c>
    </row>
    <row r="183" customFormat="false" ht="15" hidden="false" customHeight="false" outlineLevel="0" collapsed="false">
      <c r="F183" s="41" t="str">
        <f aca="false">IF(C183="","",IFERROR(IF(ISNUMBER(SEARCH(Assumptions!$C$5,C183)),Assumptions!$D$5,IF(ISNUMBER(SEARCH(Assumptions!$C$6,C183)),Assumptions!$D$6,IF(ISNUMBER(SEARCH(Assumptions!$C$7,C183)),Assumptions!$D$7,"Other Services"))),"Other Services"))</f>
        <v/>
      </c>
    </row>
    <row r="184" customFormat="false" ht="15" hidden="false" customHeight="false" outlineLevel="0" collapsed="false">
      <c r="F184" s="41" t="str">
        <f aca="false">IF(C184="","",IFERROR(IF(ISNUMBER(SEARCH(Assumptions!$C$5,C184)),Assumptions!$D$5,IF(ISNUMBER(SEARCH(Assumptions!$C$6,C184)),Assumptions!$D$6,IF(ISNUMBER(SEARCH(Assumptions!$C$7,C184)),Assumptions!$D$7,"Other Services"))),"Other Services"))</f>
        <v/>
      </c>
    </row>
    <row r="185" customFormat="false" ht="15" hidden="false" customHeight="false" outlineLevel="0" collapsed="false">
      <c r="F185" s="41" t="str">
        <f aca="false">IF(C185="","",IFERROR(IF(ISNUMBER(SEARCH(Assumptions!$C$5,C185)),Assumptions!$D$5,IF(ISNUMBER(SEARCH(Assumptions!$C$6,C185)),Assumptions!$D$6,IF(ISNUMBER(SEARCH(Assumptions!$C$7,C185)),Assumptions!$D$7,"Other Services"))),"Other Services"))</f>
        <v/>
      </c>
    </row>
    <row r="186" customFormat="false" ht="15" hidden="false" customHeight="false" outlineLevel="0" collapsed="false">
      <c r="F186" s="41" t="str">
        <f aca="false">IF(C186="","",IFERROR(IF(ISNUMBER(SEARCH(Assumptions!$C$5,C186)),Assumptions!$D$5,IF(ISNUMBER(SEARCH(Assumptions!$C$6,C186)),Assumptions!$D$6,IF(ISNUMBER(SEARCH(Assumptions!$C$7,C186)),Assumptions!$D$7,"Other Services"))),"Other Services"))</f>
        <v/>
      </c>
    </row>
    <row r="187" customFormat="false" ht="15" hidden="false" customHeight="false" outlineLevel="0" collapsed="false">
      <c r="F187" s="41" t="str">
        <f aca="false">IF(C187="","",IFERROR(IF(ISNUMBER(SEARCH(Assumptions!$C$5,C187)),Assumptions!$D$5,IF(ISNUMBER(SEARCH(Assumptions!$C$6,C187)),Assumptions!$D$6,IF(ISNUMBER(SEARCH(Assumptions!$C$7,C187)),Assumptions!$D$7,"Other Services"))),"Other Services"))</f>
        <v/>
      </c>
    </row>
    <row r="188" customFormat="false" ht="15" hidden="false" customHeight="false" outlineLevel="0" collapsed="false">
      <c r="F188" s="41" t="str">
        <f aca="false">IF(C188="","",IFERROR(IF(ISNUMBER(SEARCH(Assumptions!$C$5,C188)),Assumptions!$D$5,IF(ISNUMBER(SEARCH(Assumptions!$C$6,C188)),Assumptions!$D$6,IF(ISNUMBER(SEARCH(Assumptions!$C$7,C188)),Assumptions!$D$7,"Other Services"))),"Other Services"))</f>
        <v/>
      </c>
    </row>
    <row r="189" customFormat="false" ht="15" hidden="false" customHeight="false" outlineLevel="0" collapsed="false">
      <c r="F189" s="41" t="str">
        <f aca="false">IF(C189="","",IFERROR(IF(ISNUMBER(SEARCH(Assumptions!$C$5,C189)),Assumptions!$D$5,IF(ISNUMBER(SEARCH(Assumptions!$C$6,C189)),Assumptions!$D$6,IF(ISNUMBER(SEARCH(Assumptions!$C$7,C189)),Assumptions!$D$7,"Other Services"))),"Other Services"))</f>
        <v/>
      </c>
    </row>
    <row r="190" customFormat="false" ht="15" hidden="false" customHeight="false" outlineLevel="0" collapsed="false">
      <c r="F190" s="41" t="str">
        <f aca="false">IF(C190="","",IFERROR(IF(ISNUMBER(SEARCH(Assumptions!$C$5,C190)),Assumptions!$D$5,IF(ISNUMBER(SEARCH(Assumptions!$C$6,C190)),Assumptions!$D$6,IF(ISNUMBER(SEARCH(Assumptions!$C$7,C190)),Assumptions!$D$7,"Other Services"))),"Other Services"))</f>
        <v/>
      </c>
    </row>
    <row r="191" customFormat="false" ht="15" hidden="false" customHeight="false" outlineLevel="0" collapsed="false">
      <c r="F191" s="41" t="str">
        <f aca="false">IF(C191="","",IFERROR(IF(ISNUMBER(SEARCH(Assumptions!$C$5,C191)),Assumptions!$D$5,IF(ISNUMBER(SEARCH(Assumptions!$C$6,C191)),Assumptions!$D$6,IF(ISNUMBER(SEARCH(Assumptions!$C$7,C191)),Assumptions!$D$7,"Other Services"))),"Other Services"))</f>
        <v/>
      </c>
    </row>
    <row r="192" customFormat="false" ht="15" hidden="false" customHeight="false" outlineLevel="0" collapsed="false">
      <c r="F192" s="41" t="str">
        <f aca="false">IF(C192="","",IFERROR(IF(ISNUMBER(SEARCH(Assumptions!$C$5,C192)),Assumptions!$D$5,IF(ISNUMBER(SEARCH(Assumptions!$C$6,C192)),Assumptions!$D$6,IF(ISNUMBER(SEARCH(Assumptions!$C$7,C192)),Assumptions!$D$7,"Other Services"))),"Other Services"))</f>
        <v/>
      </c>
    </row>
    <row r="193" customFormat="false" ht="15" hidden="false" customHeight="false" outlineLevel="0" collapsed="false">
      <c r="F193" s="41" t="str">
        <f aca="false">IF(C193="","",IFERROR(IF(ISNUMBER(SEARCH(Assumptions!$C$5,C193)),Assumptions!$D$5,IF(ISNUMBER(SEARCH(Assumptions!$C$6,C193)),Assumptions!$D$6,IF(ISNUMBER(SEARCH(Assumptions!$C$7,C193)),Assumptions!$D$7,"Other Services"))),"Other Services"))</f>
        <v/>
      </c>
    </row>
    <row r="194" customFormat="false" ht="15" hidden="false" customHeight="false" outlineLevel="0" collapsed="false">
      <c r="F194" s="41" t="str">
        <f aca="false">IF(C194="","",IFERROR(IF(ISNUMBER(SEARCH(Assumptions!$C$5,C194)),Assumptions!$D$5,IF(ISNUMBER(SEARCH(Assumptions!$C$6,C194)),Assumptions!$D$6,IF(ISNUMBER(SEARCH(Assumptions!$C$7,C194)),Assumptions!$D$7,"Other Services"))),"Other Services"))</f>
        <v/>
      </c>
    </row>
    <row r="195" customFormat="false" ht="15" hidden="false" customHeight="false" outlineLevel="0" collapsed="false">
      <c r="F195" s="41" t="str">
        <f aca="false">IF(C195="","",IFERROR(IF(ISNUMBER(SEARCH(Assumptions!$C$5,C195)),Assumptions!$D$5,IF(ISNUMBER(SEARCH(Assumptions!$C$6,C195)),Assumptions!$D$6,IF(ISNUMBER(SEARCH(Assumptions!$C$7,C195)),Assumptions!$D$7,"Other Services"))),"Other Services"))</f>
        <v/>
      </c>
    </row>
    <row r="196" customFormat="false" ht="15" hidden="false" customHeight="false" outlineLevel="0" collapsed="false">
      <c r="F196" s="41" t="str">
        <f aca="false">IF(C196="","",IFERROR(IF(ISNUMBER(SEARCH(Assumptions!$C$5,C196)),Assumptions!$D$5,IF(ISNUMBER(SEARCH(Assumptions!$C$6,C196)),Assumptions!$D$6,IF(ISNUMBER(SEARCH(Assumptions!$C$7,C196)),Assumptions!$D$7,"Other Services"))),"Other Services"))</f>
        <v/>
      </c>
    </row>
    <row r="197" customFormat="false" ht="15" hidden="false" customHeight="false" outlineLevel="0" collapsed="false">
      <c r="F197" s="41" t="str">
        <f aca="false">IF(C197="","",IFERROR(IF(ISNUMBER(SEARCH(Assumptions!$C$5,C197)),Assumptions!$D$5,IF(ISNUMBER(SEARCH(Assumptions!$C$6,C197)),Assumptions!$D$6,IF(ISNUMBER(SEARCH(Assumptions!$C$7,C197)),Assumptions!$D$7,"Other Services"))),"Other Services"))</f>
        <v/>
      </c>
    </row>
    <row r="198" customFormat="false" ht="15" hidden="false" customHeight="false" outlineLevel="0" collapsed="false">
      <c r="F198" s="41" t="str">
        <f aca="false">IF(C198="","",IFERROR(IF(ISNUMBER(SEARCH(Assumptions!$C$5,C198)),Assumptions!$D$5,IF(ISNUMBER(SEARCH(Assumptions!$C$6,C198)),Assumptions!$D$6,IF(ISNUMBER(SEARCH(Assumptions!$C$7,C198)),Assumptions!$D$7,"Other Services"))),"Other Services"))</f>
        <v/>
      </c>
    </row>
    <row r="199" customFormat="false" ht="15" hidden="false" customHeight="false" outlineLevel="0" collapsed="false">
      <c r="F199" s="41" t="str">
        <f aca="false">IF(C199="","",IFERROR(IF(ISNUMBER(SEARCH(Assumptions!$C$5,C199)),Assumptions!$D$5,IF(ISNUMBER(SEARCH(Assumptions!$C$6,C199)),Assumptions!$D$6,IF(ISNUMBER(SEARCH(Assumptions!$C$7,C199)),Assumptions!$D$7,"Other Services"))),"Other Services"))</f>
        <v/>
      </c>
    </row>
    <row r="200" customFormat="false" ht="15" hidden="false" customHeight="false" outlineLevel="0" collapsed="false">
      <c r="F200" s="41" t="str">
        <f aca="false">IF(C200="","",IFERROR(IF(ISNUMBER(SEARCH(Assumptions!$C$5,C200)),Assumptions!$D$5,IF(ISNUMBER(SEARCH(Assumptions!$C$6,C200)),Assumptions!$D$6,IF(ISNUMBER(SEARCH(Assumptions!$C$7,C200)),Assumptions!$D$7,"Other Services"))),"Other Services"))</f>
        <v/>
      </c>
    </row>
    <row r="201" customFormat="false" ht="15" hidden="false" customHeight="false" outlineLevel="0" collapsed="false">
      <c r="F201" s="41" t="str">
        <f aca="false">IF(C201="","",IFERROR(IF(ISNUMBER(SEARCH(Assumptions!$C$5,C201)),Assumptions!$D$5,IF(ISNUMBER(SEARCH(Assumptions!$C$6,C201)),Assumptions!$D$6,IF(ISNUMBER(SEARCH(Assumptions!$C$7,C201)),Assumptions!$D$7,"Other Services"))),"Other Services"))</f>
        <v/>
      </c>
    </row>
    <row r="202" customFormat="false" ht="15" hidden="false" customHeight="false" outlineLevel="0" collapsed="false">
      <c r="F202" s="41" t="str">
        <f aca="false">IF(C202="","",IFERROR(IF(ISNUMBER(SEARCH(Assumptions!$C$5,C202)),Assumptions!$D$5,IF(ISNUMBER(SEARCH(Assumptions!$C$6,C202)),Assumptions!$D$6,IF(ISNUMBER(SEARCH(Assumptions!$C$7,C202)),Assumptions!$D$7,"Other Services"))),"Other Services"))</f>
        <v/>
      </c>
    </row>
    <row r="203" customFormat="false" ht="15" hidden="false" customHeight="false" outlineLevel="0" collapsed="false">
      <c r="F203" s="41" t="str">
        <f aca="false">IF(C203="","",IFERROR(IF(ISNUMBER(SEARCH(Assumptions!$C$5,C203)),Assumptions!$D$5,IF(ISNUMBER(SEARCH(Assumptions!$C$6,C203)),Assumptions!$D$6,IF(ISNUMBER(SEARCH(Assumptions!$C$7,C203)),Assumptions!$D$7,"Other Services"))),"Other Services"))</f>
        <v/>
      </c>
    </row>
    <row r="204" customFormat="false" ht="15" hidden="false" customHeight="false" outlineLevel="0" collapsed="false">
      <c r="F204" s="41" t="str">
        <f aca="false">IF(C204="","",IFERROR(IF(ISNUMBER(SEARCH(Assumptions!$C$5,C204)),Assumptions!$D$5,IF(ISNUMBER(SEARCH(Assumptions!$C$6,C204)),Assumptions!$D$6,IF(ISNUMBER(SEARCH(Assumptions!$C$7,C204)),Assumptions!$D$7,"Other Services"))),"Other Services"))</f>
        <v/>
      </c>
    </row>
    <row r="205" customFormat="false" ht="15" hidden="false" customHeight="false" outlineLevel="0" collapsed="false">
      <c r="F205" s="41" t="str">
        <f aca="false">IF(C205="","",IFERROR(IF(ISNUMBER(SEARCH(Assumptions!$C$5,C205)),Assumptions!$D$5,IF(ISNUMBER(SEARCH(Assumptions!$C$6,C205)),Assumptions!$D$6,IF(ISNUMBER(SEARCH(Assumptions!$C$7,C205)),Assumptions!$D$7,"Other Services"))),"Other Services"))</f>
        <v/>
      </c>
    </row>
    <row r="206" customFormat="false" ht="15" hidden="false" customHeight="false" outlineLevel="0" collapsed="false">
      <c r="F206" s="41" t="str">
        <f aca="false">IF(C206="","",IFERROR(IF(ISNUMBER(SEARCH(Assumptions!$C$5,C206)),Assumptions!$D$5,IF(ISNUMBER(SEARCH(Assumptions!$C$6,C206)),Assumptions!$D$6,IF(ISNUMBER(SEARCH(Assumptions!$C$7,C206)),Assumptions!$D$7,"Other Services"))),"Other Services"))</f>
        <v/>
      </c>
    </row>
    <row r="207" customFormat="false" ht="15" hidden="false" customHeight="false" outlineLevel="0" collapsed="false">
      <c r="F207" s="41" t="str">
        <f aca="false">IF(C207="","",IFERROR(IF(ISNUMBER(SEARCH(Assumptions!$C$5,C207)),Assumptions!$D$5,IF(ISNUMBER(SEARCH(Assumptions!$C$6,C207)),Assumptions!$D$6,IF(ISNUMBER(SEARCH(Assumptions!$C$7,C207)),Assumptions!$D$7,"Other Services"))),"Other Services"))</f>
        <v/>
      </c>
    </row>
    <row r="208" customFormat="false" ht="15" hidden="false" customHeight="false" outlineLevel="0" collapsed="false">
      <c r="F208" s="41" t="str">
        <f aca="false">IF(C208="","",IFERROR(IF(ISNUMBER(SEARCH(Assumptions!$C$5,C208)),Assumptions!$D$5,IF(ISNUMBER(SEARCH(Assumptions!$C$6,C208)),Assumptions!$D$6,IF(ISNUMBER(SEARCH(Assumptions!$C$7,C208)),Assumptions!$D$7,"Other Services"))),"Other Services"))</f>
        <v/>
      </c>
    </row>
    <row r="209" customFormat="false" ht="15" hidden="false" customHeight="false" outlineLevel="0" collapsed="false">
      <c r="F209" s="41" t="str">
        <f aca="false">IF(C209="","",IFERROR(IF(ISNUMBER(SEARCH(Assumptions!$C$5,C209)),Assumptions!$D$5,IF(ISNUMBER(SEARCH(Assumptions!$C$6,C209)),Assumptions!$D$6,IF(ISNUMBER(SEARCH(Assumptions!$C$7,C209)),Assumptions!$D$7,"Other Services"))),"Other Services"))</f>
        <v/>
      </c>
    </row>
    <row r="210" customFormat="false" ht="15" hidden="false" customHeight="false" outlineLevel="0" collapsed="false">
      <c r="F210" s="41" t="str">
        <f aca="false">IF(C210="","",IFERROR(IF(ISNUMBER(SEARCH(Assumptions!$C$5,C210)),Assumptions!$D$5,IF(ISNUMBER(SEARCH(Assumptions!$C$6,C210)),Assumptions!$D$6,IF(ISNUMBER(SEARCH(Assumptions!$C$7,C210)),Assumptions!$D$7,"Other Services"))),"Other Services"))</f>
        <v/>
      </c>
    </row>
    <row r="211" customFormat="false" ht="15" hidden="false" customHeight="false" outlineLevel="0" collapsed="false">
      <c r="F211" s="41" t="str">
        <f aca="false">IF(C211="","",IFERROR(IF(ISNUMBER(SEARCH(Assumptions!$C$5,C211)),Assumptions!$D$5,IF(ISNUMBER(SEARCH(Assumptions!$C$6,C211)),Assumptions!$D$6,IF(ISNUMBER(SEARCH(Assumptions!$C$7,C211)),Assumptions!$D$7,"Other Services"))),"Other Services"))</f>
        <v/>
      </c>
    </row>
    <row r="212" customFormat="false" ht="15" hidden="false" customHeight="false" outlineLevel="0" collapsed="false">
      <c r="F212" s="41" t="str">
        <f aca="false">IF(C212="","",IFERROR(IF(ISNUMBER(SEARCH(Assumptions!$C$5,C212)),Assumptions!$D$5,IF(ISNUMBER(SEARCH(Assumptions!$C$6,C212)),Assumptions!$D$6,IF(ISNUMBER(SEARCH(Assumptions!$C$7,C212)),Assumptions!$D$7,"Other Services"))),"Other Services"))</f>
        <v/>
      </c>
    </row>
    <row r="213" customFormat="false" ht="15" hidden="false" customHeight="false" outlineLevel="0" collapsed="false">
      <c r="F213" s="41" t="str">
        <f aca="false">IF(C213="","",IFERROR(IF(ISNUMBER(SEARCH(Assumptions!$C$5,C213)),Assumptions!$D$5,IF(ISNUMBER(SEARCH(Assumptions!$C$6,C213)),Assumptions!$D$6,IF(ISNUMBER(SEARCH(Assumptions!$C$7,C213)),Assumptions!$D$7,"Other Services"))),"Other Services"))</f>
        <v/>
      </c>
    </row>
    <row r="214" customFormat="false" ht="15" hidden="false" customHeight="false" outlineLevel="0" collapsed="false">
      <c r="F214" s="41" t="str">
        <f aca="false">IF(C214="","",IFERROR(IF(ISNUMBER(SEARCH(Assumptions!$C$5,C214)),Assumptions!$D$5,IF(ISNUMBER(SEARCH(Assumptions!$C$6,C214)),Assumptions!$D$6,IF(ISNUMBER(SEARCH(Assumptions!$C$7,C214)),Assumptions!$D$7,"Other Services"))),"Other Services"))</f>
        <v/>
      </c>
    </row>
    <row r="215" customFormat="false" ht="15" hidden="false" customHeight="false" outlineLevel="0" collapsed="false">
      <c r="F215" s="41" t="str">
        <f aca="false">IF(C215="","",IFERROR(IF(ISNUMBER(SEARCH(Assumptions!$C$5,C215)),Assumptions!$D$5,IF(ISNUMBER(SEARCH(Assumptions!$C$6,C215)),Assumptions!$D$6,IF(ISNUMBER(SEARCH(Assumptions!$C$7,C215)),Assumptions!$D$7,"Other Services"))),"Other Services"))</f>
        <v/>
      </c>
    </row>
    <row r="216" customFormat="false" ht="15" hidden="false" customHeight="false" outlineLevel="0" collapsed="false">
      <c r="F216" s="41" t="str">
        <f aca="false">IF(C216="","",IFERROR(IF(ISNUMBER(SEARCH(Assumptions!$C$5,C216)),Assumptions!$D$5,IF(ISNUMBER(SEARCH(Assumptions!$C$6,C216)),Assumptions!$D$6,IF(ISNUMBER(SEARCH(Assumptions!$C$7,C216)),Assumptions!$D$7,"Other Services"))),"Other Services"))</f>
        <v/>
      </c>
    </row>
    <row r="217" customFormat="false" ht="15" hidden="false" customHeight="false" outlineLevel="0" collapsed="false">
      <c r="F217" s="41" t="str">
        <f aca="false">IF(C217="","",IFERROR(IF(ISNUMBER(SEARCH(Assumptions!$C$5,C217)),Assumptions!$D$5,IF(ISNUMBER(SEARCH(Assumptions!$C$6,C217)),Assumptions!$D$6,IF(ISNUMBER(SEARCH(Assumptions!$C$7,C217)),Assumptions!$D$7,"Other Services"))),"Other Services"))</f>
        <v/>
      </c>
    </row>
    <row r="218" customFormat="false" ht="15" hidden="false" customHeight="false" outlineLevel="0" collapsed="false">
      <c r="F218" s="41" t="str">
        <f aca="false">IF(C218="","",IFERROR(IF(ISNUMBER(SEARCH(Assumptions!$C$5,C218)),Assumptions!$D$5,IF(ISNUMBER(SEARCH(Assumptions!$C$6,C218)),Assumptions!$D$6,IF(ISNUMBER(SEARCH(Assumptions!$C$7,C218)),Assumptions!$D$7,"Other Services"))),"Other Services"))</f>
        <v/>
      </c>
    </row>
    <row r="219" customFormat="false" ht="15" hidden="false" customHeight="false" outlineLevel="0" collapsed="false">
      <c r="F219" s="41" t="str">
        <f aca="false">IF(C219="","",IFERROR(IF(ISNUMBER(SEARCH(Assumptions!$C$5,C219)),Assumptions!$D$5,IF(ISNUMBER(SEARCH(Assumptions!$C$6,C219)),Assumptions!$D$6,IF(ISNUMBER(SEARCH(Assumptions!$C$7,C219)),Assumptions!$D$7,"Other Services"))),"Other Services"))</f>
        <v/>
      </c>
    </row>
    <row r="220" customFormat="false" ht="15" hidden="false" customHeight="false" outlineLevel="0" collapsed="false">
      <c r="F220" s="41" t="str">
        <f aca="false">IF(C220="","",IFERROR(IF(ISNUMBER(SEARCH(Assumptions!$C$5,C220)),Assumptions!$D$5,IF(ISNUMBER(SEARCH(Assumptions!$C$6,C220)),Assumptions!$D$6,IF(ISNUMBER(SEARCH(Assumptions!$C$7,C220)),Assumptions!$D$7,"Other Services"))),"Other Services"))</f>
        <v/>
      </c>
    </row>
    <row r="221" customFormat="false" ht="15" hidden="false" customHeight="false" outlineLevel="0" collapsed="false">
      <c r="F221" s="41" t="str">
        <f aca="false">IF(C221="","",IFERROR(IF(ISNUMBER(SEARCH(Assumptions!$C$5,C221)),Assumptions!$D$5,IF(ISNUMBER(SEARCH(Assumptions!$C$6,C221)),Assumptions!$D$6,IF(ISNUMBER(SEARCH(Assumptions!$C$7,C221)),Assumptions!$D$7,"Other Services"))),"Other Services"))</f>
        <v/>
      </c>
    </row>
    <row r="222" customFormat="false" ht="15" hidden="false" customHeight="false" outlineLevel="0" collapsed="false">
      <c r="F222" s="41" t="str">
        <f aca="false">IF(C222="","",IFERROR(IF(ISNUMBER(SEARCH(Assumptions!$C$5,C222)),Assumptions!$D$5,IF(ISNUMBER(SEARCH(Assumptions!$C$6,C222)),Assumptions!$D$6,IF(ISNUMBER(SEARCH(Assumptions!$C$7,C222)),Assumptions!$D$7,"Other Services"))),"Other Services"))</f>
        <v/>
      </c>
    </row>
    <row r="223" customFormat="false" ht="15" hidden="false" customHeight="false" outlineLevel="0" collapsed="false">
      <c r="F223" s="41" t="str">
        <f aca="false">IF(C223="","",IFERROR(IF(ISNUMBER(SEARCH(Assumptions!$C$5,C223)),Assumptions!$D$5,IF(ISNUMBER(SEARCH(Assumptions!$C$6,C223)),Assumptions!$D$6,IF(ISNUMBER(SEARCH(Assumptions!$C$7,C223)),Assumptions!$D$7,"Other Services"))),"Other Services"))</f>
        <v/>
      </c>
    </row>
    <row r="224" customFormat="false" ht="15" hidden="false" customHeight="false" outlineLevel="0" collapsed="false">
      <c r="F224" s="41" t="str">
        <f aca="false">IF(C224="","",IFERROR(IF(ISNUMBER(SEARCH(Assumptions!$C$5,C224)),Assumptions!$D$5,IF(ISNUMBER(SEARCH(Assumptions!$C$6,C224)),Assumptions!$D$6,IF(ISNUMBER(SEARCH(Assumptions!$C$7,C224)),Assumptions!$D$7,"Other Services"))),"Other Services"))</f>
        <v/>
      </c>
    </row>
    <row r="225" customFormat="false" ht="15" hidden="false" customHeight="false" outlineLevel="0" collapsed="false">
      <c r="F225" s="41" t="str">
        <f aca="false">IF(C225="","",IFERROR(IF(ISNUMBER(SEARCH(Assumptions!$C$5,C225)),Assumptions!$D$5,IF(ISNUMBER(SEARCH(Assumptions!$C$6,C225)),Assumptions!$D$6,IF(ISNUMBER(SEARCH(Assumptions!$C$7,C225)),Assumptions!$D$7,"Other Services"))),"Other Services"))</f>
        <v/>
      </c>
    </row>
    <row r="226" customFormat="false" ht="15" hidden="false" customHeight="false" outlineLevel="0" collapsed="false">
      <c r="F226" s="41" t="str">
        <f aca="false">IF(C226="","",IFERROR(IF(ISNUMBER(SEARCH(Assumptions!$C$5,C226)),Assumptions!$D$5,IF(ISNUMBER(SEARCH(Assumptions!$C$6,C226)),Assumptions!$D$6,IF(ISNUMBER(SEARCH(Assumptions!$C$7,C226)),Assumptions!$D$7,"Other Services"))),"Other Services"))</f>
        <v/>
      </c>
    </row>
    <row r="227" customFormat="false" ht="15" hidden="false" customHeight="false" outlineLevel="0" collapsed="false">
      <c r="F227" s="41" t="str">
        <f aca="false">IF(C227="","",IFERROR(IF(ISNUMBER(SEARCH(Assumptions!$C$5,C227)),Assumptions!$D$5,IF(ISNUMBER(SEARCH(Assumptions!$C$6,C227)),Assumptions!$D$6,IF(ISNUMBER(SEARCH(Assumptions!$C$7,C227)),Assumptions!$D$7,"Other Services"))),"Other Services"))</f>
        <v/>
      </c>
    </row>
    <row r="228" customFormat="false" ht="15" hidden="false" customHeight="false" outlineLevel="0" collapsed="false">
      <c r="F228" s="41" t="str">
        <f aca="false">IF(C228="","",IFERROR(IF(ISNUMBER(SEARCH(Assumptions!$C$5,C228)),Assumptions!$D$5,IF(ISNUMBER(SEARCH(Assumptions!$C$6,C228)),Assumptions!$D$6,IF(ISNUMBER(SEARCH(Assumptions!$C$7,C228)),Assumptions!$D$7,"Other Services"))),"Other Services"))</f>
        <v/>
      </c>
    </row>
    <row r="229" customFormat="false" ht="15" hidden="false" customHeight="false" outlineLevel="0" collapsed="false">
      <c r="F229" s="41" t="str">
        <f aca="false">IF(C229="","",IFERROR(IF(ISNUMBER(SEARCH(Assumptions!$C$5,C229)),Assumptions!$D$5,IF(ISNUMBER(SEARCH(Assumptions!$C$6,C229)),Assumptions!$D$6,IF(ISNUMBER(SEARCH(Assumptions!$C$7,C229)),Assumptions!$D$7,"Other Services"))),"Other Services"))</f>
        <v/>
      </c>
    </row>
    <row r="230" customFormat="false" ht="15" hidden="false" customHeight="false" outlineLevel="0" collapsed="false">
      <c r="F230" s="41" t="str">
        <f aca="false">IF(C230="","",IFERROR(IF(ISNUMBER(SEARCH(Assumptions!$C$5,C230)),Assumptions!$D$5,IF(ISNUMBER(SEARCH(Assumptions!$C$6,C230)),Assumptions!$D$6,IF(ISNUMBER(SEARCH(Assumptions!$C$7,C230)),Assumptions!$D$7,"Other Services"))),"Other Services"))</f>
        <v/>
      </c>
    </row>
    <row r="231" customFormat="false" ht="15" hidden="false" customHeight="false" outlineLevel="0" collapsed="false">
      <c r="F231" s="41" t="str">
        <f aca="false">IF(C231="","",IFERROR(IF(ISNUMBER(SEARCH(Assumptions!$C$5,C231)),Assumptions!$D$5,IF(ISNUMBER(SEARCH(Assumptions!$C$6,C231)),Assumptions!$D$6,IF(ISNUMBER(SEARCH(Assumptions!$C$7,C231)),Assumptions!$D$7,"Other Services"))),"Other Services"))</f>
        <v/>
      </c>
    </row>
    <row r="232" customFormat="false" ht="15" hidden="false" customHeight="false" outlineLevel="0" collapsed="false">
      <c r="F232" s="41" t="str">
        <f aca="false">IF(C232="","",IFERROR(IF(ISNUMBER(SEARCH(Assumptions!$C$5,C232)),Assumptions!$D$5,IF(ISNUMBER(SEARCH(Assumptions!$C$6,C232)),Assumptions!$D$6,IF(ISNUMBER(SEARCH(Assumptions!$C$7,C232)),Assumptions!$D$7,"Other Services"))),"Other Services"))</f>
        <v/>
      </c>
    </row>
    <row r="233" customFormat="false" ht="15" hidden="false" customHeight="false" outlineLevel="0" collapsed="false">
      <c r="F233" s="41" t="str">
        <f aca="false">IF(C233="","",IFERROR(IF(ISNUMBER(SEARCH(Assumptions!$C$5,C233)),Assumptions!$D$5,IF(ISNUMBER(SEARCH(Assumptions!$C$6,C233)),Assumptions!$D$6,IF(ISNUMBER(SEARCH(Assumptions!$C$7,C233)),Assumptions!$D$7,"Other Services"))),"Other Services"))</f>
        <v/>
      </c>
    </row>
    <row r="234" customFormat="false" ht="15" hidden="false" customHeight="false" outlineLevel="0" collapsed="false">
      <c r="F234" s="41" t="str">
        <f aca="false">IF(C234="","",IFERROR(IF(ISNUMBER(SEARCH(Assumptions!$C$5,C234)),Assumptions!$D$5,IF(ISNUMBER(SEARCH(Assumptions!$C$6,C234)),Assumptions!$D$6,IF(ISNUMBER(SEARCH(Assumptions!$C$7,C234)),Assumptions!$D$7,"Other Services"))),"Other Services"))</f>
        <v/>
      </c>
    </row>
    <row r="235" customFormat="false" ht="15" hidden="false" customHeight="false" outlineLevel="0" collapsed="false">
      <c r="F235" s="41" t="str">
        <f aca="false">IF(C235="","",IFERROR(IF(ISNUMBER(SEARCH(Assumptions!$C$5,C235)),Assumptions!$D$5,IF(ISNUMBER(SEARCH(Assumptions!$C$6,C235)),Assumptions!$D$6,IF(ISNUMBER(SEARCH(Assumptions!$C$7,C235)),Assumptions!$D$7,"Other Services"))),"Other Services"))</f>
        <v/>
      </c>
    </row>
    <row r="236" customFormat="false" ht="15" hidden="false" customHeight="false" outlineLevel="0" collapsed="false">
      <c r="F236" s="41" t="str">
        <f aca="false">IF(C236="","",IFERROR(IF(ISNUMBER(SEARCH(Assumptions!$C$5,C236)),Assumptions!$D$5,IF(ISNUMBER(SEARCH(Assumptions!$C$6,C236)),Assumptions!$D$6,IF(ISNUMBER(SEARCH(Assumptions!$C$7,C236)),Assumptions!$D$7,"Other Services"))),"Other Services"))</f>
        <v/>
      </c>
    </row>
    <row r="237" customFormat="false" ht="15" hidden="false" customHeight="false" outlineLevel="0" collapsed="false">
      <c r="F237" s="41" t="str">
        <f aca="false">IF(C237="","",IFERROR(IF(ISNUMBER(SEARCH(Assumptions!$C$5,C237)),Assumptions!$D$5,IF(ISNUMBER(SEARCH(Assumptions!$C$6,C237)),Assumptions!$D$6,IF(ISNUMBER(SEARCH(Assumptions!$C$7,C237)),Assumptions!$D$7,"Other Services"))),"Other Services"))</f>
        <v/>
      </c>
    </row>
    <row r="238" customFormat="false" ht="15" hidden="false" customHeight="false" outlineLevel="0" collapsed="false">
      <c r="F238" s="41" t="str">
        <f aca="false">IF(C238="","",IFERROR(IF(ISNUMBER(SEARCH(Assumptions!$C$5,C238)),Assumptions!$D$5,IF(ISNUMBER(SEARCH(Assumptions!$C$6,C238)),Assumptions!$D$6,IF(ISNUMBER(SEARCH(Assumptions!$C$7,C238)),Assumptions!$D$7,"Other Services"))),"Other Services"))</f>
        <v/>
      </c>
    </row>
    <row r="239" customFormat="false" ht="15" hidden="false" customHeight="false" outlineLevel="0" collapsed="false">
      <c r="F239" s="41" t="str">
        <f aca="false">IF(C239="","",IFERROR(IF(ISNUMBER(SEARCH(Assumptions!$C$5,C239)),Assumptions!$D$5,IF(ISNUMBER(SEARCH(Assumptions!$C$6,C239)),Assumptions!$D$6,IF(ISNUMBER(SEARCH(Assumptions!$C$7,C239)),Assumptions!$D$7,"Other Services"))),"Other Services"))</f>
        <v/>
      </c>
    </row>
    <row r="240" customFormat="false" ht="15" hidden="false" customHeight="false" outlineLevel="0" collapsed="false">
      <c r="F240" s="41" t="str">
        <f aca="false">IF(C240="","",IFERROR(IF(ISNUMBER(SEARCH(Assumptions!$C$5,C240)),Assumptions!$D$5,IF(ISNUMBER(SEARCH(Assumptions!$C$6,C240)),Assumptions!$D$6,IF(ISNUMBER(SEARCH(Assumptions!$C$7,C240)),Assumptions!$D$7,"Other Services"))),"Other Services"))</f>
        <v/>
      </c>
    </row>
    <row r="241" customFormat="false" ht="15" hidden="false" customHeight="false" outlineLevel="0" collapsed="false">
      <c r="F241" s="41" t="str">
        <f aca="false">IF(C241="","",IFERROR(IF(ISNUMBER(SEARCH(Assumptions!$C$5,C241)),Assumptions!$D$5,IF(ISNUMBER(SEARCH(Assumptions!$C$6,C241)),Assumptions!$D$6,IF(ISNUMBER(SEARCH(Assumptions!$C$7,C241)),Assumptions!$D$7,"Other Services"))),"Other Services"))</f>
        <v/>
      </c>
    </row>
    <row r="242" customFormat="false" ht="15" hidden="false" customHeight="false" outlineLevel="0" collapsed="false">
      <c r="F242" s="41" t="str">
        <f aca="false">IF(C242="","",IFERROR(IF(ISNUMBER(SEARCH(Assumptions!$C$5,C242)),Assumptions!$D$5,IF(ISNUMBER(SEARCH(Assumptions!$C$6,C242)),Assumptions!$D$6,IF(ISNUMBER(SEARCH(Assumptions!$C$7,C242)),Assumptions!$D$7,"Other Services"))),"Other Services"))</f>
        <v/>
      </c>
    </row>
    <row r="243" customFormat="false" ht="15" hidden="false" customHeight="false" outlineLevel="0" collapsed="false">
      <c r="F243" s="41" t="str">
        <f aca="false">IF(C243="","",IFERROR(IF(ISNUMBER(SEARCH(Assumptions!$C$5,C243)),Assumptions!$D$5,IF(ISNUMBER(SEARCH(Assumptions!$C$6,C243)),Assumptions!$D$6,IF(ISNUMBER(SEARCH(Assumptions!$C$7,C243)),Assumptions!$D$7,"Other Services"))),"Other Services"))</f>
        <v/>
      </c>
    </row>
    <row r="244" customFormat="false" ht="15" hidden="false" customHeight="false" outlineLevel="0" collapsed="false">
      <c r="F244" s="41" t="str">
        <f aca="false">IF(C244="","",IFERROR(IF(ISNUMBER(SEARCH(Assumptions!$C$5,C244)),Assumptions!$D$5,IF(ISNUMBER(SEARCH(Assumptions!$C$6,C244)),Assumptions!$D$6,IF(ISNUMBER(SEARCH(Assumptions!$C$7,C244)),Assumptions!$D$7,"Other Services"))),"Other Services"))</f>
        <v/>
      </c>
    </row>
    <row r="245" customFormat="false" ht="15" hidden="false" customHeight="false" outlineLevel="0" collapsed="false">
      <c r="F245" s="41" t="str">
        <f aca="false">IF(C245="","",IFERROR(IF(ISNUMBER(SEARCH(Assumptions!$C$5,C245)),Assumptions!$D$5,IF(ISNUMBER(SEARCH(Assumptions!$C$6,C245)),Assumptions!$D$6,IF(ISNUMBER(SEARCH(Assumptions!$C$7,C245)),Assumptions!$D$7,"Other Services"))),"Other Services"))</f>
        <v/>
      </c>
    </row>
    <row r="246" customFormat="false" ht="15" hidden="false" customHeight="false" outlineLevel="0" collapsed="false">
      <c r="F246" s="41" t="str">
        <f aca="false">IF(C246="","",IFERROR(IF(ISNUMBER(SEARCH(Assumptions!$C$5,C246)),Assumptions!$D$5,IF(ISNUMBER(SEARCH(Assumptions!$C$6,C246)),Assumptions!$D$6,IF(ISNUMBER(SEARCH(Assumptions!$C$7,C246)),Assumptions!$D$7,"Other Services"))),"Other Services"))</f>
        <v/>
      </c>
    </row>
    <row r="247" customFormat="false" ht="15" hidden="false" customHeight="false" outlineLevel="0" collapsed="false">
      <c r="F247" s="41" t="str">
        <f aca="false">IF(C247="","",IFERROR(IF(ISNUMBER(SEARCH(Assumptions!$C$5,C247)),Assumptions!$D$5,IF(ISNUMBER(SEARCH(Assumptions!$C$6,C247)),Assumptions!$D$6,IF(ISNUMBER(SEARCH(Assumptions!$C$7,C247)),Assumptions!$D$7,"Other Services"))),"Other Services"))</f>
        <v/>
      </c>
    </row>
    <row r="248" customFormat="false" ht="15" hidden="false" customHeight="false" outlineLevel="0" collapsed="false">
      <c r="F248" s="41" t="str">
        <f aca="false">IF(C248="","",IFERROR(IF(ISNUMBER(SEARCH(Assumptions!$C$5,C248)),Assumptions!$D$5,IF(ISNUMBER(SEARCH(Assumptions!$C$6,C248)),Assumptions!$D$6,IF(ISNUMBER(SEARCH(Assumptions!$C$7,C248)),Assumptions!$D$7,"Other Services"))),"Other Services"))</f>
        <v/>
      </c>
    </row>
    <row r="249" customFormat="false" ht="15" hidden="false" customHeight="false" outlineLevel="0" collapsed="false">
      <c r="F249" s="41" t="str">
        <f aca="false">IF(C249="","",IFERROR(IF(ISNUMBER(SEARCH(Assumptions!$C$5,C249)),Assumptions!$D$5,IF(ISNUMBER(SEARCH(Assumptions!$C$6,C249)),Assumptions!$D$6,IF(ISNUMBER(SEARCH(Assumptions!$C$7,C249)),Assumptions!$D$7,"Other Services"))),"Other Services"))</f>
        <v/>
      </c>
    </row>
    <row r="250" customFormat="false" ht="15" hidden="false" customHeight="false" outlineLevel="0" collapsed="false">
      <c r="F250" s="41" t="str">
        <f aca="false">IF(C250="","",IFERROR(IF(ISNUMBER(SEARCH(Assumptions!$C$5,C250)),Assumptions!$D$5,IF(ISNUMBER(SEARCH(Assumptions!$C$6,C250)),Assumptions!$D$6,IF(ISNUMBER(SEARCH(Assumptions!$C$7,C250)),Assumptions!$D$7,"Other Services"))),"Other Services"))</f>
        <v/>
      </c>
    </row>
    <row r="251" customFormat="false" ht="15" hidden="false" customHeight="false" outlineLevel="0" collapsed="false">
      <c r="F251" s="41" t="str">
        <f aca="false">IF(C251="","",IFERROR(IF(ISNUMBER(SEARCH(Assumptions!$C$5,C251)),Assumptions!$D$5,IF(ISNUMBER(SEARCH(Assumptions!$C$6,C251)),Assumptions!$D$6,IF(ISNUMBER(SEARCH(Assumptions!$C$7,C251)),Assumptions!$D$7,"Other Services"))),"Other Services"))</f>
        <v/>
      </c>
    </row>
    <row r="252" customFormat="false" ht="15" hidden="false" customHeight="false" outlineLevel="0" collapsed="false">
      <c r="F252" s="41" t="str">
        <f aca="false">IF(C252="","",IFERROR(IF(ISNUMBER(SEARCH(Assumptions!$C$5,C252)),Assumptions!$D$5,IF(ISNUMBER(SEARCH(Assumptions!$C$6,C252)),Assumptions!$D$6,IF(ISNUMBER(SEARCH(Assumptions!$C$7,C252)),Assumptions!$D$7,"Other Services"))),"Other Services"))</f>
        <v/>
      </c>
    </row>
    <row r="253" customFormat="false" ht="15" hidden="false" customHeight="false" outlineLevel="0" collapsed="false">
      <c r="F253" s="41" t="str">
        <f aca="false">IF(C253="","",IFERROR(IF(ISNUMBER(SEARCH(Assumptions!$C$5,C253)),Assumptions!$D$5,IF(ISNUMBER(SEARCH(Assumptions!$C$6,C253)),Assumptions!$D$6,IF(ISNUMBER(SEARCH(Assumptions!$C$7,C253)),Assumptions!$D$7,"Other Services"))),"Other Services"))</f>
        <v/>
      </c>
    </row>
    <row r="254" customFormat="false" ht="15" hidden="false" customHeight="false" outlineLevel="0" collapsed="false">
      <c r="F254" s="41" t="str">
        <f aca="false">IF(C254="","",IFERROR(IF(ISNUMBER(SEARCH(Assumptions!$C$5,C254)),Assumptions!$D$5,IF(ISNUMBER(SEARCH(Assumptions!$C$6,C254)),Assumptions!$D$6,IF(ISNUMBER(SEARCH(Assumptions!$C$7,C254)),Assumptions!$D$7,"Other Services"))),"Other Services"))</f>
        <v/>
      </c>
    </row>
    <row r="255" customFormat="false" ht="15" hidden="false" customHeight="false" outlineLevel="0" collapsed="false">
      <c r="F255" s="41" t="str">
        <f aca="false">IF(C255="","",IFERROR(IF(ISNUMBER(SEARCH(Assumptions!$C$5,C255)),Assumptions!$D$5,IF(ISNUMBER(SEARCH(Assumptions!$C$6,C255)),Assumptions!$D$6,IF(ISNUMBER(SEARCH(Assumptions!$C$7,C255)),Assumptions!$D$7,"Other Services"))),"Other Services"))</f>
        <v/>
      </c>
    </row>
    <row r="256" customFormat="false" ht="15" hidden="false" customHeight="false" outlineLevel="0" collapsed="false">
      <c r="F256" s="41" t="str">
        <f aca="false">IF(C256="","",IFERROR(IF(ISNUMBER(SEARCH(Assumptions!$C$5,C256)),Assumptions!$D$5,IF(ISNUMBER(SEARCH(Assumptions!$C$6,C256)),Assumptions!$D$6,IF(ISNUMBER(SEARCH(Assumptions!$C$7,C256)),Assumptions!$D$7,"Other Services"))),"Other Services"))</f>
        <v/>
      </c>
    </row>
    <row r="257" customFormat="false" ht="15" hidden="false" customHeight="false" outlineLevel="0" collapsed="false">
      <c r="F257" s="41" t="str">
        <f aca="false">IF(C257="","",IFERROR(IF(ISNUMBER(SEARCH(Assumptions!$C$5,C257)),Assumptions!$D$5,IF(ISNUMBER(SEARCH(Assumptions!$C$6,C257)),Assumptions!$D$6,IF(ISNUMBER(SEARCH(Assumptions!$C$7,C257)),Assumptions!$D$7,"Other Services"))),"Other Services"))</f>
        <v/>
      </c>
    </row>
    <row r="258" customFormat="false" ht="15" hidden="false" customHeight="false" outlineLevel="0" collapsed="false">
      <c r="F258" s="41" t="str">
        <f aca="false">IF(C258="","",IFERROR(IF(ISNUMBER(SEARCH(Assumptions!$C$5,C258)),Assumptions!$D$5,IF(ISNUMBER(SEARCH(Assumptions!$C$6,C258)),Assumptions!$D$6,IF(ISNUMBER(SEARCH(Assumptions!$C$7,C258)),Assumptions!$D$7,"Other Services"))),"Other Services"))</f>
        <v/>
      </c>
    </row>
    <row r="259" customFormat="false" ht="15" hidden="false" customHeight="false" outlineLevel="0" collapsed="false">
      <c r="F259" s="41" t="str">
        <f aca="false">IF(C259="","",IFERROR(IF(ISNUMBER(SEARCH(Assumptions!$C$5,C259)),Assumptions!$D$5,IF(ISNUMBER(SEARCH(Assumptions!$C$6,C259)),Assumptions!$D$6,IF(ISNUMBER(SEARCH(Assumptions!$C$7,C259)),Assumptions!$D$7,"Other Services"))),"Other Services"))</f>
        <v/>
      </c>
    </row>
    <row r="260" customFormat="false" ht="15" hidden="false" customHeight="false" outlineLevel="0" collapsed="false">
      <c r="F260" s="41" t="str">
        <f aca="false">IF(C260="","",IFERROR(IF(ISNUMBER(SEARCH(Assumptions!$C$5,C260)),Assumptions!$D$5,IF(ISNUMBER(SEARCH(Assumptions!$C$6,C260)),Assumptions!$D$6,IF(ISNUMBER(SEARCH(Assumptions!$C$7,C260)),Assumptions!$D$7,"Other Services"))),"Other Services"))</f>
        <v/>
      </c>
    </row>
    <row r="261" customFormat="false" ht="15" hidden="false" customHeight="false" outlineLevel="0" collapsed="false">
      <c r="F261" s="41" t="str">
        <f aca="false">IF(C261="","",IFERROR(IF(ISNUMBER(SEARCH(Assumptions!$C$5,C261)),Assumptions!$D$5,IF(ISNUMBER(SEARCH(Assumptions!$C$6,C261)),Assumptions!$D$6,IF(ISNUMBER(SEARCH(Assumptions!$C$7,C261)),Assumptions!$D$7,"Other Services"))),"Other Services"))</f>
        <v/>
      </c>
    </row>
    <row r="262" customFormat="false" ht="15" hidden="false" customHeight="false" outlineLevel="0" collapsed="false">
      <c r="F262" s="41" t="str">
        <f aca="false">IF(C262="","",IFERROR(IF(ISNUMBER(SEARCH(Assumptions!$C$5,C262)),Assumptions!$D$5,IF(ISNUMBER(SEARCH(Assumptions!$C$6,C262)),Assumptions!$D$6,IF(ISNUMBER(SEARCH(Assumptions!$C$7,C262)),Assumptions!$D$7,"Other Services"))),"Other Services"))</f>
        <v/>
      </c>
    </row>
    <row r="263" customFormat="false" ht="15" hidden="false" customHeight="false" outlineLevel="0" collapsed="false">
      <c r="F263" s="41" t="str">
        <f aca="false">IF(C263="","",IFERROR(IF(ISNUMBER(SEARCH(Assumptions!$C$5,C263)),Assumptions!$D$5,IF(ISNUMBER(SEARCH(Assumptions!$C$6,C263)),Assumptions!$D$6,IF(ISNUMBER(SEARCH(Assumptions!$C$7,C263)),Assumptions!$D$7,"Other Services"))),"Other Services"))</f>
        <v/>
      </c>
    </row>
    <row r="264" customFormat="false" ht="15" hidden="false" customHeight="false" outlineLevel="0" collapsed="false">
      <c r="F264" s="41" t="str">
        <f aca="false">IF(C264="","",IFERROR(IF(ISNUMBER(SEARCH(Assumptions!$C$5,C264)),Assumptions!$D$5,IF(ISNUMBER(SEARCH(Assumptions!$C$6,C264)),Assumptions!$D$6,IF(ISNUMBER(SEARCH(Assumptions!$C$7,C264)),Assumptions!$D$7,"Other Services"))),"Other Services"))</f>
        <v/>
      </c>
    </row>
    <row r="265" customFormat="false" ht="15" hidden="false" customHeight="false" outlineLevel="0" collapsed="false">
      <c r="F265" s="41" t="str">
        <f aca="false">IF(C265="","",IFERROR(IF(ISNUMBER(SEARCH(Assumptions!$C$5,C265)),Assumptions!$D$5,IF(ISNUMBER(SEARCH(Assumptions!$C$6,C265)),Assumptions!$D$6,IF(ISNUMBER(SEARCH(Assumptions!$C$7,C265)),Assumptions!$D$7,"Other Services"))),"Other Services"))</f>
        <v/>
      </c>
    </row>
    <row r="266" customFormat="false" ht="15" hidden="false" customHeight="false" outlineLevel="0" collapsed="false">
      <c r="F266" s="41" t="str">
        <f aca="false">IF(C266="","",IFERROR(IF(ISNUMBER(SEARCH(Assumptions!$C$5,C266)),Assumptions!$D$5,IF(ISNUMBER(SEARCH(Assumptions!$C$6,C266)),Assumptions!$D$6,IF(ISNUMBER(SEARCH(Assumptions!$C$7,C266)),Assumptions!$D$7,"Other Services"))),"Other Services"))</f>
        <v/>
      </c>
    </row>
    <row r="267" customFormat="false" ht="15" hidden="false" customHeight="false" outlineLevel="0" collapsed="false">
      <c r="F267" s="41" t="str">
        <f aca="false">IF(C267="","",IFERROR(IF(ISNUMBER(SEARCH(Assumptions!$C$5,C267)),Assumptions!$D$5,IF(ISNUMBER(SEARCH(Assumptions!$C$6,C267)),Assumptions!$D$6,IF(ISNUMBER(SEARCH(Assumptions!$C$7,C267)),Assumptions!$D$7,"Other Services"))),"Other Services"))</f>
        <v/>
      </c>
    </row>
    <row r="268" customFormat="false" ht="15" hidden="false" customHeight="false" outlineLevel="0" collapsed="false">
      <c r="F268" s="41" t="str">
        <f aca="false">IF(C268="","",IFERROR(IF(ISNUMBER(SEARCH(Assumptions!$C$5,C268)),Assumptions!$D$5,IF(ISNUMBER(SEARCH(Assumptions!$C$6,C268)),Assumptions!$D$6,IF(ISNUMBER(SEARCH(Assumptions!$C$7,C268)),Assumptions!$D$7,"Other Services"))),"Other Services"))</f>
        <v/>
      </c>
    </row>
    <row r="269" customFormat="false" ht="15" hidden="false" customHeight="false" outlineLevel="0" collapsed="false">
      <c r="F269" s="41" t="str">
        <f aca="false">IF(C269="","",IFERROR(IF(ISNUMBER(SEARCH(Assumptions!$C$5,C269)),Assumptions!$D$5,IF(ISNUMBER(SEARCH(Assumptions!$C$6,C269)),Assumptions!$D$6,IF(ISNUMBER(SEARCH(Assumptions!$C$7,C269)),Assumptions!$D$7,"Other Services"))),"Other Services"))</f>
        <v/>
      </c>
    </row>
    <row r="270" customFormat="false" ht="15" hidden="false" customHeight="false" outlineLevel="0" collapsed="false">
      <c r="F270" s="41" t="str">
        <f aca="false">IF(C270="","",IFERROR(IF(ISNUMBER(SEARCH(Assumptions!$C$5,C270)),Assumptions!$D$5,IF(ISNUMBER(SEARCH(Assumptions!$C$6,C270)),Assumptions!$D$6,IF(ISNUMBER(SEARCH(Assumptions!$C$7,C270)),Assumptions!$D$7,"Other Services"))),"Other Services"))</f>
        <v/>
      </c>
    </row>
    <row r="271" customFormat="false" ht="15" hidden="false" customHeight="false" outlineLevel="0" collapsed="false">
      <c r="F271" s="41" t="str">
        <f aca="false">IF(C271="","",IFERROR(IF(ISNUMBER(SEARCH(Assumptions!$C$5,C271)),Assumptions!$D$5,IF(ISNUMBER(SEARCH(Assumptions!$C$6,C271)),Assumptions!$D$6,IF(ISNUMBER(SEARCH(Assumptions!$C$7,C271)),Assumptions!$D$7,"Other Services"))),"Other Services"))</f>
        <v/>
      </c>
    </row>
    <row r="272" customFormat="false" ht="15" hidden="false" customHeight="false" outlineLevel="0" collapsed="false">
      <c r="F272" s="41" t="str">
        <f aca="false">IF(C272="","",IFERROR(IF(ISNUMBER(SEARCH(Assumptions!$C$5,C272)),Assumptions!$D$5,IF(ISNUMBER(SEARCH(Assumptions!$C$6,C272)),Assumptions!$D$6,IF(ISNUMBER(SEARCH(Assumptions!$C$7,C272)),Assumptions!$D$7,"Other Services"))),"Other Services"))</f>
        <v/>
      </c>
    </row>
    <row r="273" customFormat="false" ht="15" hidden="false" customHeight="false" outlineLevel="0" collapsed="false">
      <c r="F273" s="41" t="str">
        <f aca="false">IF(C273="","",IFERROR(IF(ISNUMBER(SEARCH(Assumptions!$C$5,C273)),Assumptions!$D$5,IF(ISNUMBER(SEARCH(Assumptions!$C$6,C273)),Assumptions!$D$6,IF(ISNUMBER(SEARCH(Assumptions!$C$7,C273)),Assumptions!$D$7,"Other Services"))),"Other Services"))</f>
        <v/>
      </c>
    </row>
    <row r="274" customFormat="false" ht="15" hidden="false" customHeight="false" outlineLevel="0" collapsed="false">
      <c r="F274" s="41" t="str">
        <f aca="false">IF(C274="","",IFERROR(IF(ISNUMBER(SEARCH(Assumptions!$C$5,C274)),Assumptions!$D$5,IF(ISNUMBER(SEARCH(Assumptions!$C$6,C274)),Assumptions!$D$6,IF(ISNUMBER(SEARCH(Assumptions!$C$7,C274)),Assumptions!$D$7,"Other Services"))),"Other Services"))</f>
        <v/>
      </c>
    </row>
    <row r="275" customFormat="false" ht="15" hidden="false" customHeight="false" outlineLevel="0" collapsed="false">
      <c r="F275" s="41" t="str">
        <f aca="false">IF(C275="","",IFERROR(IF(ISNUMBER(SEARCH(Assumptions!$C$5,C275)),Assumptions!$D$5,IF(ISNUMBER(SEARCH(Assumptions!$C$6,C275)),Assumptions!$D$6,IF(ISNUMBER(SEARCH(Assumptions!$C$7,C275)),Assumptions!$D$7,"Other Services"))),"Other Services"))</f>
        <v/>
      </c>
    </row>
    <row r="276" customFormat="false" ht="15" hidden="false" customHeight="false" outlineLevel="0" collapsed="false">
      <c r="F276" s="41" t="str">
        <f aca="false">IF(C276="","",IFERROR(IF(ISNUMBER(SEARCH(Assumptions!$C$5,C276)),Assumptions!$D$5,IF(ISNUMBER(SEARCH(Assumptions!$C$6,C276)),Assumptions!$D$6,IF(ISNUMBER(SEARCH(Assumptions!$C$7,C276)),Assumptions!$D$7,"Other Services"))),"Other Services"))</f>
        <v/>
      </c>
    </row>
    <row r="277" customFormat="false" ht="15" hidden="false" customHeight="false" outlineLevel="0" collapsed="false">
      <c r="F277" s="41" t="str">
        <f aca="false">IF(C277="","",IFERROR(IF(ISNUMBER(SEARCH(Assumptions!$C$5,C277)),Assumptions!$D$5,IF(ISNUMBER(SEARCH(Assumptions!$C$6,C277)),Assumptions!$D$6,IF(ISNUMBER(SEARCH(Assumptions!$C$7,C277)),Assumptions!$D$7,"Other Services"))),"Other Services"))</f>
        <v/>
      </c>
    </row>
    <row r="278" customFormat="false" ht="15" hidden="false" customHeight="false" outlineLevel="0" collapsed="false">
      <c r="F278" s="41" t="str">
        <f aca="false">IF(C278="","",IFERROR(IF(ISNUMBER(SEARCH(Assumptions!$C$5,C278)),Assumptions!$D$5,IF(ISNUMBER(SEARCH(Assumptions!$C$6,C278)),Assumptions!$D$6,IF(ISNUMBER(SEARCH(Assumptions!$C$7,C278)),Assumptions!$D$7,"Other Services"))),"Other Services"))</f>
        <v/>
      </c>
    </row>
    <row r="279" customFormat="false" ht="15" hidden="false" customHeight="false" outlineLevel="0" collapsed="false">
      <c r="F279" s="41" t="str">
        <f aca="false">IF(C279="","",IFERROR(IF(ISNUMBER(SEARCH(Assumptions!$C$5,C279)),Assumptions!$D$5,IF(ISNUMBER(SEARCH(Assumptions!$C$6,C279)),Assumptions!$D$6,IF(ISNUMBER(SEARCH(Assumptions!$C$7,C279)),Assumptions!$D$7,"Other Services"))),"Other Services"))</f>
        <v/>
      </c>
    </row>
    <row r="280" customFormat="false" ht="15" hidden="false" customHeight="false" outlineLevel="0" collapsed="false">
      <c r="F280" s="41" t="str">
        <f aca="false">IF(C280="","",IFERROR(IF(ISNUMBER(SEARCH(Assumptions!$C$5,C280)),Assumptions!$D$5,IF(ISNUMBER(SEARCH(Assumptions!$C$6,C280)),Assumptions!$D$6,IF(ISNUMBER(SEARCH(Assumptions!$C$7,C280)),Assumptions!$D$7,"Other Services"))),"Other Services"))</f>
        <v/>
      </c>
    </row>
    <row r="281" customFormat="false" ht="15" hidden="false" customHeight="false" outlineLevel="0" collapsed="false">
      <c r="F281" s="41" t="str">
        <f aca="false">IF(C281="","",IFERROR(IF(ISNUMBER(SEARCH(Assumptions!$C$5,C281)),Assumptions!$D$5,IF(ISNUMBER(SEARCH(Assumptions!$C$6,C281)),Assumptions!$D$6,IF(ISNUMBER(SEARCH(Assumptions!$C$7,C281)),Assumptions!$D$7,"Other Services"))),"Other Services"))</f>
        <v/>
      </c>
    </row>
    <row r="282" customFormat="false" ht="15" hidden="false" customHeight="false" outlineLevel="0" collapsed="false">
      <c r="F282" s="41" t="str">
        <f aca="false">IF(C282="","",IFERROR(IF(ISNUMBER(SEARCH(Assumptions!$C$5,C282)),Assumptions!$D$5,IF(ISNUMBER(SEARCH(Assumptions!$C$6,C282)),Assumptions!$D$6,IF(ISNUMBER(SEARCH(Assumptions!$C$7,C282)),Assumptions!$D$7,"Other Services"))),"Other Services"))</f>
        <v/>
      </c>
    </row>
    <row r="283" customFormat="false" ht="15" hidden="false" customHeight="false" outlineLevel="0" collapsed="false">
      <c r="F283" s="41" t="str">
        <f aca="false">IF(C283="","",IFERROR(IF(ISNUMBER(SEARCH(Assumptions!$C$5,C283)),Assumptions!$D$5,IF(ISNUMBER(SEARCH(Assumptions!$C$6,C283)),Assumptions!$D$6,IF(ISNUMBER(SEARCH(Assumptions!$C$7,C283)),Assumptions!$D$7,"Other Services"))),"Other Services"))</f>
        <v/>
      </c>
    </row>
    <row r="284" customFormat="false" ht="15" hidden="false" customHeight="false" outlineLevel="0" collapsed="false">
      <c r="F284" s="41" t="str">
        <f aca="false">IF(C284="","",IFERROR(IF(ISNUMBER(SEARCH(Assumptions!$C$5,C284)),Assumptions!$D$5,IF(ISNUMBER(SEARCH(Assumptions!$C$6,C284)),Assumptions!$D$6,IF(ISNUMBER(SEARCH(Assumptions!$C$7,C284)),Assumptions!$D$7,"Other Services"))),"Other Services"))</f>
        <v/>
      </c>
    </row>
    <row r="285" customFormat="false" ht="15" hidden="false" customHeight="false" outlineLevel="0" collapsed="false">
      <c r="F285" s="41" t="str">
        <f aca="false">IF(C285="","",IFERROR(IF(ISNUMBER(SEARCH(Assumptions!$C$5,C285)),Assumptions!$D$5,IF(ISNUMBER(SEARCH(Assumptions!$C$6,C285)),Assumptions!$D$6,IF(ISNUMBER(SEARCH(Assumptions!$C$7,C285)),Assumptions!$D$7,"Other Services"))),"Other Services"))</f>
        <v/>
      </c>
    </row>
    <row r="286" customFormat="false" ht="15" hidden="false" customHeight="false" outlineLevel="0" collapsed="false">
      <c r="F286" s="41" t="str">
        <f aca="false">IF(C286="","",IFERROR(IF(ISNUMBER(SEARCH(Assumptions!$C$5,C286)),Assumptions!$D$5,IF(ISNUMBER(SEARCH(Assumptions!$C$6,C286)),Assumptions!$D$6,IF(ISNUMBER(SEARCH(Assumptions!$C$7,C286)),Assumptions!$D$7,"Other Services"))),"Other Services"))</f>
        <v/>
      </c>
    </row>
    <row r="287" customFormat="false" ht="15" hidden="false" customHeight="false" outlineLevel="0" collapsed="false">
      <c r="F287" s="41" t="str">
        <f aca="false">IF(C287="","",IFERROR(IF(ISNUMBER(SEARCH(Assumptions!$C$5,C287)),Assumptions!$D$5,IF(ISNUMBER(SEARCH(Assumptions!$C$6,C287)),Assumptions!$D$6,IF(ISNUMBER(SEARCH(Assumptions!$C$7,C287)),Assumptions!$D$7,"Other Services"))),"Other Services"))</f>
        <v/>
      </c>
    </row>
    <row r="288" customFormat="false" ht="15" hidden="false" customHeight="false" outlineLevel="0" collapsed="false">
      <c r="F288" s="41" t="str">
        <f aca="false">IF(C288="","",IFERROR(IF(ISNUMBER(SEARCH(Assumptions!$C$5,C288)),Assumptions!$D$5,IF(ISNUMBER(SEARCH(Assumptions!$C$6,C288)),Assumptions!$D$6,IF(ISNUMBER(SEARCH(Assumptions!$C$7,C288)),Assumptions!$D$7,"Other Services"))),"Other Services"))</f>
        <v/>
      </c>
    </row>
    <row r="289" customFormat="false" ht="15" hidden="false" customHeight="false" outlineLevel="0" collapsed="false">
      <c r="F289" s="41" t="str">
        <f aca="false">IF(C289="","",IFERROR(IF(ISNUMBER(SEARCH(Assumptions!$C$5,C289)),Assumptions!$D$5,IF(ISNUMBER(SEARCH(Assumptions!$C$6,C289)),Assumptions!$D$6,IF(ISNUMBER(SEARCH(Assumptions!$C$7,C289)),Assumptions!$D$7,"Other Services"))),"Other Services"))</f>
        <v/>
      </c>
    </row>
    <row r="290" customFormat="false" ht="15" hidden="false" customHeight="false" outlineLevel="0" collapsed="false">
      <c r="F290" s="41" t="str">
        <f aca="false">IF(C290="","",IFERROR(IF(ISNUMBER(SEARCH(Assumptions!$C$5,C290)),Assumptions!$D$5,IF(ISNUMBER(SEARCH(Assumptions!$C$6,C290)),Assumptions!$D$6,IF(ISNUMBER(SEARCH(Assumptions!$C$7,C290)),Assumptions!$D$7,"Other Services"))),"Other Services"))</f>
        <v/>
      </c>
    </row>
    <row r="291" customFormat="false" ht="15" hidden="false" customHeight="false" outlineLevel="0" collapsed="false">
      <c r="F291" s="41" t="str">
        <f aca="false">IF(C291="","",IFERROR(IF(ISNUMBER(SEARCH(Assumptions!$C$5,C291)),Assumptions!$D$5,IF(ISNUMBER(SEARCH(Assumptions!$C$6,C291)),Assumptions!$D$6,IF(ISNUMBER(SEARCH(Assumptions!$C$7,C291)),Assumptions!$D$7,"Other Services"))),"Other Services"))</f>
        <v/>
      </c>
    </row>
    <row r="292" customFormat="false" ht="15" hidden="false" customHeight="false" outlineLevel="0" collapsed="false">
      <c r="F292" s="41" t="str">
        <f aca="false">IF(C292="","",IFERROR(IF(ISNUMBER(SEARCH(Assumptions!$C$5,C292)),Assumptions!$D$5,IF(ISNUMBER(SEARCH(Assumptions!$C$6,C292)),Assumptions!$D$6,IF(ISNUMBER(SEARCH(Assumptions!$C$7,C292)),Assumptions!$D$7,"Other Services"))),"Other Services"))</f>
        <v/>
      </c>
    </row>
    <row r="293" customFormat="false" ht="15" hidden="false" customHeight="false" outlineLevel="0" collapsed="false">
      <c r="F293" s="41" t="str">
        <f aca="false">IF(C293="","",IFERROR(IF(ISNUMBER(SEARCH(Assumptions!$C$5,C293)),Assumptions!$D$5,IF(ISNUMBER(SEARCH(Assumptions!$C$6,C293)),Assumptions!$D$6,IF(ISNUMBER(SEARCH(Assumptions!$C$7,C293)),Assumptions!$D$7,"Other Services"))),"Other Services"))</f>
        <v/>
      </c>
    </row>
    <row r="294" customFormat="false" ht="15" hidden="false" customHeight="false" outlineLevel="0" collapsed="false">
      <c r="F294" s="41" t="str">
        <f aca="false">IF(C294="","",IFERROR(IF(ISNUMBER(SEARCH(Assumptions!$C$5,C294)),Assumptions!$D$5,IF(ISNUMBER(SEARCH(Assumptions!$C$6,C294)),Assumptions!$D$6,IF(ISNUMBER(SEARCH(Assumptions!$C$7,C294)),Assumptions!$D$7,"Other Services"))),"Other Services"))</f>
        <v/>
      </c>
    </row>
    <row r="295" customFormat="false" ht="15" hidden="false" customHeight="false" outlineLevel="0" collapsed="false">
      <c r="F295" s="41" t="str">
        <f aca="false">IF(C295="","",IFERROR(IF(ISNUMBER(SEARCH(Assumptions!$C$5,C295)),Assumptions!$D$5,IF(ISNUMBER(SEARCH(Assumptions!$C$6,C295)),Assumptions!$D$6,IF(ISNUMBER(SEARCH(Assumptions!$C$7,C295)),Assumptions!$D$7,"Other Services"))),"Other Services"))</f>
        <v/>
      </c>
    </row>
    <row r="296" customFormat="false" ht="15" hidden="false" customHeight="false" outlineLevel="0" collapsed="false">
      <c r="F296" s="41" t="str">
        <f aca="false">IF(C296="","",IFERROR(IF(ISNUMBER(SEARCH(Assumptions!$C$5,C296)),Assumptions!$D$5,IF(ISNUMBER(SEARCH(Assumptions!$C$6,C296)),Assumptions!$D$6,IF(ISNUMBER(SEARCH(Assumptions!$C$7,C296)),Assumptions!$D$7,"Other Services"))),"Other Services"))</f>
        <v/>
      </c>
    </row>
    <row r="297" customFormat="false" ht="15" hidden="false" customHeight="false" outlineLevel="0" collapsed="false">
      <c r="F297" s="41" t="str">
        <f aca="false">IF(C297="","",IFERROR(IF(ISNUMBER(SEARCH(Assumptions!$C$5,C297)),Assumptions!$D$5,IF(ISNUMBER(SEARCH(Assumptions!$C$6,C297)),Assumptions!$D$6,IF(ISNUMBER(SEARCH(Assumptions!$C$7,C297)),Assumptions!$D$7,"Other Services"))),"Other Services"))</f>
        <v/>
      </c>
    </row>
    <row r="298" customFormat="false" ht="15" hidden="false" customHeight="false" outlineLevel="0" collapsed="false">
      <c r="F298" s="41" t="str">
        <f aca="false">IF(C298="","",IFERROR(IF(ISNUMBER(SEARCH(Assumptions!$C$5,C298)),Assumptions!$D$5,IF(ISNUMBER(SEARCH(Assumptions!$C$6,C298)),Assumptions!$D$6,IF(ISNUMBER(SEARCH(Assumptions!$C$7,C298)),Assumptions!$D$7,"Other Services"))),"Other Services"))</f>
        <v/>
      </c>
    </row>
    <row r="299" customFormat="false" ht="15" hidden="false" customHeight="false" outlineLevel="0" collapsed="false">
      <c r="F299" s="41" t="str">
        <f aca="false">IF(C299="","",IFERROR(IF(ISNUMBER(SEARCH(Assumptions!$C$5,C299)),Assumptions!$D$5,IF(ISNUMBER(SEARCH(Assumptions!$C$6,C299)),Assumptions!$D$6,IF(ISNUMBER(SEARCH(Assumptions!$C$7,C299)),Assumptions!$D$7,"Other Services"))),"Other Services"))</f>
        <v/>
      </c>
    </row>
    <row r="300" customFormat="false" ht="15" hidden="false" customHeight="false" outlineLevel="0" collapsed="false">
      <c r="F300" s="41" t="str">
        <f aca="false">IF(C300="","",IFERROR(IF(ISNUMBER(SEARCH(Assumptions!$C$5,C300)),Assumptions!$D$5,IF(ISNUMBER(SEARCH(Assumptions!$C$6,C300)),Assumptions!$D$6,IF(ISNUMBER(SEARCH(Assumptions!$C$7,C300)),Assumptions!$D$7,"Other Services"))),"Other Services"))</f>
        <v/>
      </c>
    </row>
    <row r="301" customFormat="false" ht="15" hidden="false" customHeight="false" outlineLevel="0" collapsed="false">
      <c r="F301" s="41" t="str">
        <f aca="false">IF(C301="","",IFERROR(IF(ISNUMBER(SEARCH(Assumptions!$C$5,C301)),Assumptions!$D$5,IF(ISNUMBER(SEARCH(Assumptions!$C$6,C301)),Assumptions!$D$6,IF(ISNUMBER(SEARCH(Assumptions!$C$7,C301)),Assumptions!$D$7,"Other Services"))),"Other Services"))</f>
        <v/>
      </c>
    </row>
    <row r="302" customFormat="false" ht="15" hidden="false" customHeight="false" outlineLevel="0" collapsed="false">
      <c r="F302" s="41" t="str">
        <f aca="false">IF(C302="","",IFERROR(IF(ISNUMBER(SEARCH(Assumptions!$C$5,C302)),Assumptions!$D$5,IF(ISNUMBER(SEARCH(Assumptions!$C$6,C302)),Assumptions!$D$6,IF(ISNUMBER(SEARCH(Assumptions!$C$7,C302)),Assumptions!$D$7,"Other Services"))),"Other Services"))</f>
        <v/>
      </c>
    </row>
    <row r="303" customFormat="false" ht="15" hidden="false" customHeight="false" outlineLevel="0" collapsed="false">
      <c r="F303" s="41" t="str">
        <f aca="false">IF(C303="","",IFERROR(IF(ISNUMBER(SEARCH(Assumptions!$C$5,C303)),Assumptions!$D$5,IF(ISNUMBER(SEARCH(Assumptions!$C$6,C303)),Assumptions!$D$6,IF(ISNUMBER(SEARCH(Assumptions!$C$7,C303)),Assumptions!$D$7,"Other Services"))),"Other Services"))</f>
        <v/>
      </c>
    </row>
    <row r="304" customFormat="false" ht="15" hidden="false" customHeight="false" outlineLevel="0" collapsed="false">
      <c r="F304" s="41" t="str">
        <f aca="false">IF(C304="","",IFERROR(IF(ISNUMBER(SEARCH(Assumptions!$C$5,C304)),Assumptions!$D$5,IF(ISNUMBER(SEARCH(Assumptions!$C$6,C304)),Assumptions!$D$6,IF(ISNUMBER(SEARCH(Assumptions!$C$7,C304)),Assumptions!$D$7,"Other Services"))),"Other Services"))</f>
        <v/>
      </c>
    </row>
    <row r="305" customFormat="false" ht="15" hidden="false" customHeight="false" outlineLevel="0" collapsed="false">
      <c r="F305" s="41" t="str">
        <f aca="false">IF(C305="","",IFERROR(IF(ISNUMBER(SEARCH(Assumptions!$C$5,C305)),Assumptions!$D$5,IF(ISNUMBER(SEARCH(Assumptions!$C$6,C305)),Assumptions!$D$6,IF(ISNUMBER(SEARCH(Assumptions!$C$7,C305)),Assumptions!$D$7,"Other Services"))),"Other Services"))</f>
        <v/>
      </c>
    </row>
    <row r="306" customFormat="false" ht="15" hidden="false" customHeight="false" outlineLevel="0" collapsed="false">
      <c r="F306" s="41" t="str">
        <f aca="false">IF(C306="","",IFERROR(IF(ISNUMBER(SEARCH(Assumptions!$C$5,C306)),Assumptions!$D$5,IF(ISNUMBER(SEARCH(Assumptions!$C$6,C306)),Assumptions!$D$6,IF(ISNUMBER(SEARCH(Assumptions!$C$7,C306)),Assumptions!$D$7,"Other Services"))),"Other Services"))</f>
        <v/>
      </c>
    </row>
    <row r="307" customFormat="false" ht="15" hidden="false" customHeight="false" outlineLevel="0" collapsed="false">
      <c r="F307" s="41" t="str">
        <f aca="false">IF(C307="","",IFERROR(IF(ISNUMBER(SEARCH(Assumptions!$C$5,C307)),Assumptions!$D$5,IF(ISNUMBER(SEARCH(Assumptions!$C$6,C307)),Assumptions!$D$6,IF(ISNUMBER(SEARCH(Assumptions!$C$7,C307)),Assumptions!$D$7,"Other Services"))),"Other Services"))</f>
        <v/>
      </c>
    </row>
    <row r="308" customFormat="false" ht="15" hidden="false" customHeight="false" outlineLevel="0" collapsed="false">
      <c r="F308" s="41" t="str">
        <f aca="false">IF(C308="","",IFERROR(IF(ISNUMBER(SEARCH(Assumptions!$C$5,C308)),Assumptions!$D$5,IF(ISNUMBER(SEARCH(Assumptions!$C$6,C308)),Assumptions!$D$6,IF(ISNUMBER(SEARCH(Assumptions!$C$7,C308)),Assumptions!$D$7,"Other Services"))),"Other Services"))</f>
        <v/>
      </c>
    </row>
    <row r="309" customFormat="false" ht="15" hidden="false" customHeight="false" outlineLevel="0" collapsed="false">
      <c r="F309" s="41" t="str">
        <f aca="false">IF(C309="","",IFERROR(IF(ISNUMBER(SEARCH(Assumptions!$C$5,C309)),Assumptions!$D$5,IF(ISNUMBER(SEARCH(Assumptions!$C$6,C309)),Assumptions!$D$6,IF(ISNUMBER(SEARCH(Assumptions!$C$7,C309)),Assumptions!$D$7,"Other Services"))),"Other Services"))</f>
        <v/>
      </c>
    </row>
    <row r="310" customFormat="false" ht="15" hidden="false" customHeight="false" outlineLevel="0" collapsed="false">
      <c r="F310" s="41" t="str">
        <f aca="false">IF(C310="","",IFERROR(IF(ISNUMBER(SEARCH(Assumptions!$C$5,C310)),Assumptions!$D$5,IF(ISNUMBER(SEARCH(Assumptions!$C$6,C310)),Assumptions!$D$6,IF(ISNUMBER(SEARCH(Assumptions!$C$7,C310)),Assumptions!$D$7,"Other Services"))),"Other Services"))</f>
        <v/>
      </c>
    </row>
    <row r="311" customFormat="false" ht="15" hidden="false" customHeight="false" outlineLevel="0" collapsed="false">
      <c r="F311" s="41" t="str">
        <f aca="false">IF(C311="","",IFERROR(IF(ISNUMBER(SEARCH(Assumptions!$C$5,C311)),Assumptions!$D$5,IF(ISNUMBER(SEARCH(Assumptions!$C$6,C311)),Assumptions!$D$6,IF(ISNUMBER(SEARCH(Assumptions!$C$7,C311)),Assumptions!$D$7,"Other Services"))),"Other Services"))</f>
        <v/>
      </c>
    </row>
    <row r="312" customFormat="false" ht="15" hidden="false" customHeight="false" outlineLevel="0" collapsed="false">
      <c r="F312" s="41" t="str">
        <f aca="false">IF(C312="","",IFERROR(IF(ISNUMBER(SEARCH(Assumptions!$C$5,C312)),Assumptions!$D$5,IF(ISNUMBER(SEARCH(Assumptions!$C$6,C312)),Assumptions!$D$6,IF(ISNUMBER(SEARCH(Assumptions!$C$7,C312)),Assumptions!$D$7,"Other Services"))),"Other Services"))</f>
        <v/>
      </c>
    </row>
    <row r="313" customFormat="false" ht="15" hidden="false" customHeight="false" outlineLevel="0" collapsed="false">
      <c r="F313" s="41" t="str">
        <f aca="false">IF(C313="","",IFERROR(IF(ISNUMBER(SEARCH(Assumptions!$C$5,C313)),Assumptions!$D$5,IF(ISNUMBER(SEARCH(Assumptions!$C$6,C313)),Assumptions!$D$6,IF(ISNUMBER(SEARCH(Assumptions!$C$7,C313)),Assumptions!$D$7,"Other Services"))),"Other Services"))</f>
        <v/>
      </c>
    </row>
    <row r="314" customFormat="false" ht="15" hidden="false" customHeight="false" outlineLevel="0" collapsed="false">
      <c r="F314" s="41" t="str">
        <f aca="false">IF(C314="","",IFERROR(IF(ISNUMBER(SEARCH(Assumptions!$C$5,C314)),Assumptions!$D$5,IF(ISNUMBER(SEARCH(Assumptions!$C$6,C314)),Assumptions!$D$6,IF(ISNUMBER(SEARCH(Assumptions!$C$7,C314)),Assumptions!$D$7,"Other Services"))),"Other Services"))</f>
        <v/>
      </c>
    </row>
    <row r="315" customFormat="false" ht="15" hidden="false" customHeight="false" outlineLevel="0" collapsed="false">
      <c r="F315" s="41" t="str">
        <f aca="false">IF(C315="","",IFERROR(IF(ISNUMBER(SEARCH(Assumptions!$C$5,C315)),Assumptions!$D$5,IF(ISNUMBER(SEARCH(Assumptions!$C$6,C315)),Assumptions!$D$6,IF(ISNUMBER(SEARCH(Assumptions!$C$7,C315)),Assumptions!$D$7,"Other Services"))),"Other Services"))</f>
        <v/>
      </c>
    </row>
    <row r="316" customFormat="false" ht="15" hidden="false" customHeight="false" outlineLevel="0" collapsed="false">
      <c r="F316" s="41" t="str">
        <f aca="false">IF(C316="","",IFERROR(IF(ISNUMBER(SEARCH(Assumptions!$C$5,C316)),Assumptions!$D$5,IF(ISNUMBER(SEARCH(Assumptions!$C$6,C316)),Assumptions!$D$6,IF(ISNUMBER(SEARCH(Assumptions!$C$7,C316)),Assumptions!$D$7,"Other Services"))),"Other Services"))</f>
        <v/>
      </c>
    </row>
    <row r="317" customFormat="false" ht="15" hidden="false" customHeight="false" outlineLevel="0" collapsed="false">
      <c r="F317" s="41" t="str">
        <f aca="false">IF(C317="","",IFERROR(IF(ISNUMBER(SEARCH(Assumptions!$C$5,C317)),Assumptions!$D$5,IF(ISNUMBER(SEARCH(Assumptions!$C$6,C317)),Assumptions!$D$6,IF(ISNUMBER(SEARCH(Assumptions!$C$7,C317)),Assumptions!$D$7,"Other Services"))),"Other Services"))</f>
        <v/>
      </c>
    </row>
    <row r="318" customFormat="false" ht="15" hidden="false" customHeight="false" outlineLevel="0" collapsed="false">
      <c r="F318" s="41" t="str">
        <f aca="false">IF(C318="","",IFERROR(IF(ISNUMBER(SEARCH(Assumptions!$C$5,C318)),Assumptions!$D$5,IF(ISNUMBER(SEARCH(Assumptions!$C$6,C318)),Assumptions!$D$6,IF(ISNUMBER(SEARCH(Assumptions!$C$7,C318)),Assumptions!$D$7,"Other Services"))),"Other Services"))</f>
        <v/>
      </c>
    </row>
    <row r="319" customFormat="false" ht="15" hidden="false" customHeight="false" outlineLevel="0" collapsed="false">
      <c r="F319" s="41" t="str">
        <f aca="false">IF(C319="","",IFERROR(IF(ISNUMBER(SEARCH(Assumptions!$C$5,C319)),Assumptions!$D$5,IF(ISNUMBER(SEARCH(Assumptions!$C$6,C319)),Assumptions!$D$6,IF(ISNUMBER(SEARCH(Assumptions!$C$7,C319)),Assumptions!$D$7,"Other Services"))),"Other Services"))</f>
        <v/>
      </c>
    </row>
    <row r="320" customFormat="false" ht="15" hidden="false" customHeight="false" outlineLevel="0" collapsed="false">
      <c r="F320" s="41" t="str">
        <f aca="false">IF(C320="","",IFERROR(IF(ISNUMBER(SEARCH(Assumptions!$C$5,C320)),Assumptions!$D$5,IF(ISNUMBER(SEARCH(Assumptions!$C$6,C320)),Assumptions!$D$6,IF(ISNUMBER(SEARCH(Assumptions!$C$7,C320)),Assumptions!$D$7,"Other Services"))),"Other Services"))</f>
        <v/>
      </c>
    </row>
    <row r="321" customFormat="false" ht="15" hidden="false" customHeight="false" outlineLevel="0" collapsed="false">
      <c r="F321" s="41" t="str">
        <f aca="false">IF(C321="","",IFERROR(IF(ISNUMBER(SEARCH(Assumptions!$C$5,C321)),Assumptions!$D$5,IF(ISNUMBER(SEARCH(Assumptions!$C$6,C321)),Assumptions!$D$6,IF(ISNUMBER(SEARCH(Assumptions!$C$7,C321)),Assumptions!$D$7,"Other Services"))),"Other Services"))</f>
        <v/>
      </c>
    </row>
    <row r="322" customFormat="false" ht="15" hidden="false" customHeight="false" outlineLevel="0" collapsed="false">
      <c r="F322" s="41" t="str">
        <f aca="false">IF(C322="","",IFERROR(IF(ISNUMBER(SEARCH(Assumptions!$C$5,C322)),Assumptions!$D$5,IF(ISNUMBER(SEARCH(Assumptions!$C$6,C322)),Assumptions!$D$6,IF(ISNUMBER(SEARCH(Assumptions!$C$7,C322)),Assumptions!$D$7,"Other Services"))),"Other Services"))</f>
        <v/>
      </c>
    </row>
    <row r="323" customFormat="false" ht="15" hidden="false" customHeight="false" outlineLevel="0" collapsed="false">
      <c r="F323" s="41" t="str">
        <f aca="false">IF(C323="","",IFERROR(IF(ISNUMBER(SEARCH(Assumptions!$C$5,C323)),Assumptions!$D$5,IF(ISNUMBER(SEARCH(Assumptions!$C$6,C323)),Assumptions!$D$6,IF(ISNUMBER(SEARCH(Assumptions!$C$7,C323)),Assumptions!$D$7,"Other Services"))),"Other Services"))</f>
        <v/>
      </c>
    </row>
    <row r="324" customFormat="false" ht="15" hidden="false" customHeight="false" outlineLevel="0" collapsed="false">
      <c r="F324" s="41" t="str">
        <f aca="false">IF(C324="","",IFERROR(IF(ISNUMBER(SEARCH(Assumptions!$C$5,C324)),Assumptions!$D$5,IF(ISNUMBER(SEARCH(Assumptions!$C$6,C324)),Assumptions!$D$6,IF(ISNUMBER(SEARCH(Assumptions!$C$7,C324)),Assumptions!$D$7,"Other Services"))),"Other Services"))</f>
        <v/>
      </c>
    </row>
    <row r="325" customFormat="false" ht="15" hidden="false" customHeight="false" outlineLevel="0" collapsed="false">
      <c r="F325" s="41" t="str">
        <f aca="false">IF(C325="","",IFERROR(IF(ISNUMBER(SEARCH(Assumptions!$C$5,C325)),Assumptions!$D$5,IF(ISNUMBER(SEARCH(Assumptions!$C$6,C325)),Assumptions!$D$6,IF(ISNUMBER(SEARCH(Assumptions!$C$7,C325)),Assumptions!$D$7,"Other Services"))),"Other Services"))</f>
        <v/>
      </c>
    </row>
    <row r="326" customFormat="false" ht="15" hidden="false" customHeight="false" outlineLevel="0" collapsed="false">
      <c r="F326" s="41" t="str">
        <f aca="false">IF(C326="","",IFERROR(IF(ISNUMBER(SEARCH(Assumptions!$C$5,C326)),Assumptions!$D$5,IF(ISNUMBER(SEARCH(Assumptions!$C$6,C326)),Assumptions!$D$6,IF(ISNUMBER(SEARCH(Assumptions!$C$7,C326)),Assumptions!$D$7,"Other Services"))),"Other Services"))</f>
        <v/>
      </c>
    </row>
    <row r="327" customFormat="false" ht="15" hidden="false" customHeight="false" outlineLevel="0" collapsed="false">
      <c r="F327" s="41" t="str">
        <f aca="false">IF(C327="","",IFERROR(IF(ISNUMBER(SEARCH(Assumptions!$C$5,C327)),Assumptions!$D$5,IF(ISNUMBER(SEARCH(Assumptions!$C$6,C327)),Assumptions!$D$6,IF(ISNUMBER(SEARCH(Assumptions!$C$7,C327)),Assumptions!$D$7,"Other Services"))),"Other Services"))</f>
        <v/>
      </c>
    </row>
    <row r="328" customFormat="false" ht="15" hidden="false" customHeight="false" outlineLevel="0" collapsed="false">
      <c r="F328" s="41" t="str">
        <f aca="false">IF(C328="","",IFERROR(IF(ISNUMBER(SEARCH(Assumptions!$C$5,C328)),Assumptions!$D$5,IF(ISNUMBER(SEARCH(Assumptions!$C$6,C328)),Assumptions!$D$6,IF(ISNUMBER(SEARCH(Assumptions!$C$7,C328)),Assumptions!$D$7,"Other Services"))),"Other Services"))</f>
        <v/>
      </c>
    </row>
    <row r="329" customFormat="false" ht="15" hidden="false" customHeight="false" outlineLevel="0" collapsed="false">
      <c r="F329" s="41" t="str">
        <f aca="false">IF(C329="","",IFERROR(IF(ISNUMBER(SEARCH(Assumptions!$C$5,C329)),Assumptions!$D$5,IF(ISNUMBER(SEARCH(Assumptions!$C$6,C329)),Assumptions!$D$6,IF(ISNUMBER(SEARCH(Assumptions!$C$7,C329)),Assumptions!$D$7,"Other Services"))),"Other Services"))</f>
        <v/>
      </c>
    </row>
    <row r="330" customFormat="false" ht="15" hidden="false" customHeight="false" outlineLevel="0" collapsed="false">
      <c r="F330" s="41" t="str">
        <f aca="false">IF(C330="","",IFERROR(IF(ISNUMBER(SEARCH(Assumptions!$C$5,C330)),Assumptions!$D$5,IF(ISNUMBER(SEARCH(Assumptions!$C$6,C330)),Assumptions!$D$6,IF(ISNUMBER(SEARCH(Assumptions!$C$7,C330)),Assumptions!$D$7,"Other Services"))),"Other Services"))</f>
        <v/>
      </c>
    </row>
    <row r="331" customFormat="false" ht="15" hidden="false" customHeight="false" outlineLevel="0" collapsed="false">
      <c r="F331" s="41" t="str">
        <f aca="false">IF(C331="","",IFERROR(IF(ISNUMBER(SEARCH(Assumptions!$C$5,C331)),Assumptions!$D$5,IF(ISNUMBER(SEARCH(Assumptions!$C$6,C331)),Assumptions!$D$6,IF(ISNUMBER(SEARCH(Assumptions!$C$7,C331)),Assumptions!$D$7,"Other Services"))),"Other Services"))</f>
        <v/>
      </c>
    </row>
    <row r="332" customFormat="false" ht="15" hidden="false" customHeight="false" outlineLevel="0" collapsed="false">
      <c r="F332" s="41" t="str">
        <f aca="false">IF(C332="","",IFERROR(IF(ISNUMBER(SEARCH(Assumptions!$C$5,C332)),Assumptions!$D$5,IF(ISNUMBER(SEARCH(Assumptions!$C$6,C332)),Assumptions!$D$6,IF(ISNUMBER(SEARCH(Assumptions!$C$7,C332)),Assumptions!$D$7,"Other Services"))),"Other Services"))</f>
        <v/>
      </c>
    </row>
    <row r="333" customFormat="false" ht="15" hidden="false" customHeight="false" outlineLevel="0" collapsed="false">
      <c r="F333" s="41" t="str">
        <f aca="false">IF(C333="","",IFERROR(IF(ISNUMBER(SEARCH(Assumptions!$C$5,C333)),Assumptions!$D$5,IF(ISNUMBER(SEARCH(Assumptions!$C$6,C333)),Assumptions!$D$6,IF(ISNUMBER(SEARCH(Assumptions!$C$7,C333)),Assumptions!$D$7,"Other Services"))),"Other Services"))</f>
        <v/>
      </c>
    </row>
    <row r="334" customFormat="false" ht="15" hidden="false" customHeight="false" outlineLevel="0" collapsed="false">
      <c r="F334" s="41" t="str">
        <f aca="false">IF(C334="","",IFERROR(IF(ISNUMBER(SEARCH(Assumptions!$C$5,C334)),Assumptions!$D$5,IF(ISNUMBER(SEARCH(Assumptions!$C$6,C334)),Assumptions!$D$6,IF(ISNUMBER(SEARCH(Assumptions!$C$7,C334)),Assumptions!$D$7,"Other Services"))),"Other Services"))</f>
        <v/>
      </c>
    </row>
    <row r="335" customFormat="false" ht="15" hidden="false" customHeight="false" outlineLevel="0" collapsed="false">
      <c r="F335" s="41" t="str">
        <f aca="false">IF(C335="","",IFERROR(IF(ISNUMBER(SEARCH(Assumptions!$C$5,C335)),Assumptions!$D$5,IF(ISNUMBER(SEARCH(Assumptions!$C$6,C335)),Assumptions!$D$6,IF(ISNUMBER(SEARCH(Assumptions!$C$7,C335)),Assumptions!$D$7,"Other Services"))),"Other Services"))</f>
        <v/>
      </c>
    </row>
    <row r="336" customFormat="false" ht="15" hidden="false" customHeight="false" outlineLevel="0" collapsed="false">
      <c r="F336" s="41" t="str">
        <f aca="false">IF(C336="","",IFERROR(IF(ISNUMBER(SEARCH(Assumptions!$C$5,C336)),Assumptions!$D$5,IF(ISNUMBER(SEARCH(Assumptions!$C$6,C336)),Assumptions!$D$6,IF(ISNUMBER(SEARCH(Assumptions!$C$7,C336)),Assumptions!$D$7,"Other Services"))),"Other Services"))</f>
        <v/>
      </c>
    </row>
    <row r="337" customFormat="false" ht="15" hidden="false" customHeight="false" outlineLevel="0" collapsed="false">
      <c r="F337" s="41" t="str">
        <f aca="false">IF(C337="","",IFERROR(IF(ISNUMBER(SEARCH(Assumptions!$C$5,C337)),Assumptions!$D$5,IF(ISNUMBER(SEARCH(Assumptions!$C$6,C337)),Assumptions!$D$6,IF(ISNUMBER(SEARCH(Assumptions!$C$7,C337)),Assumptions!$D$7,"Other Services"))),"Other Services"))</f>
        <v/>
      </c>
    </row>
    <row r="338" customFormat="false" ht="15" hidden="false" customHeight="false" outlineLevel="0" collapsed="false">
      <c r="F338" s="41" t="str">
        <f aca="false">IF(C338="","",IFERROR(IF(ISNUMBER(SEARCH(Assumptions!$C$5,C338)),Assumptions!$D$5,IF(ISNUMBER(SEARCH(Assumptions!$C$6,C338)),Assumptions!$D$6,IF(ISNUMBER(SEARCH(Assumptions!$C$7,C338)),Assumptions!$D$7,"Other Services"))),"Other Services"))</f>
        <v/>
      </c>
    </row>
    <row r="339" customFormat="false" ht="15" hidden="false" customHeight="false" outlineLevel="0" collapsed="false">
      <c r="F339" s="41" t="str">
        <f aca="false">IF(C339="","",IFERROR(IF(ISNUMBER(SEARCH(Assumptions!$C$5,C339)),Assumptions!$D$5,IF(ISNUMBER(SEARCH(Assumptions!$C$6,C339)),Assumptions!$D$6,IF(ISNUMBER(SEARCH(Assumptions!$C$7,C339)),Assumptions!$D$7,"Other Services"))),"Other Services"))</f>
        <v/>
      </c>
    </row>
    <row r="340" customFormat="false" ht="15" hidden="false" customHeight="false" outlineLevel="0" collapsed="false">
      <c r="F340" s="41" t="str">
        <f aca="false">IF(C340="","",IFERROR(IF(ISNUMBER(SEARCH(Assumptions!$C$5,C340)),Assumptions!$D$5,IF(ISNUMBER(SEARCH(Assumptions!$C$6,C340)),Assumptions!$D$6,IF(ISNUMBER(SEARCH(Assumptions!$C$7,C340)),Assumptions!$D$7,"Other Services"))),"Other Services"))</f>
        <v/>
      </c>
    </row>
    <row r="341" customFormat="false" ht="15" hidden="false" customHeight="false" outlineLevel="0" collapsed="false">
      <c r="F341" s="41" t="str">
        <f aca="false">IF(C341="","",IFERROR(IF(ISNUMBER(SEARCH(Assumptions!$C$5,C341)),Assumptions!$D$5,IF(ISNUMBER(SEARCH(Assumptions!$C$6,C341)),Assumptions!$D$6,IF(ISNUMBER(SEARCH(Assumptions!$C$7,C341)),Assumptions!$D$7,"Other Services"))),"Other Services"))</f>
        <v/>
      </c>
    </row>
    <row r="342" customFormat="false" ht="15" hidden="false" customHeight="false" outlineLevel="0" collapsed="false">
      <c r="F342" s="41" t="str">
        <f aca="false">IF(C342="","",IFERROR(IF(ISNUMBER(SEARCH(Assumptions!$C$5,C342)),Assumptions!$D$5,IF(ISNUMBER(SEARCH(Assumptions!$C$6,C342)),Assumptions!$D$6,IF(ISNUMBER(SEARCH(Assumptions!$C$7,C342)),Assumptions!$D$7,"Other Services"))),"Other Services"))</f>
        <v/>
      </c>
    </row>
    <row r="343" customFormat="false" ht="15" hidden="false" customHeight="false" outlineLevel="0" collapsed="false">
      <c r="F343" s="41" t="str">
        <f aca="false">IF(C343="","",IFERROR(IF(ISNUMBER(SEARCH(Assumptions!$C$5,C343)),Assumptions!$D$5,IF(ISNUMBER(SEARCH(Assumptions!$C$6,C343)),Assumptions!$D$6,IF(ISNUMBER(SEARCH(Assumptions!$C$7,C343)),Assumptions!$D$7,"Other Services"))),"Other Services"))</f>
        <v/>
      </c>
    </row>
    <row r="344" customFormat="false" ht="15" hidden="false" customHeight="false" outlineLevel="0" collapsed="false">
      <c r="F344" s="41" t="str">
        <f aca="false">IF(C344="","",IFERROR(IF(ISNUMBER(SEARCH(Assumptions!$C$5,C344)),Assumptions!$D$5,IF(ISNUMBER(SEARCH(Assumptions!$C$6,C344)),Assumptions!$D$6,IF(ISNUMBER(SEARCH(Assumptions!$C$7,C344)),Assumptions!$D$7,"Other Services"))),"Other Services"))</f>
        <v/>
      </c>
    </row>
    <row r="345" customFormat="false" ht="15" hidden="false" customHeight="false" outlineLevel="0" collapsed="false">
      <c r="F345" s="41" t="str">
        <f aca="false">IF(C345="","",IFERROR(IF(ISNUMBER(SEARCH(Assumptions!$C$5,C345)),Assumptions!$D$5,IF(ISNUMBER(SEARCH(Assumptions!$C$6,C345)),Assumptions!$D$6,IF(ISNUMBER(SEARCH(Assumptions!$C$7,C345)),Assumptions!$D$7,"Other Services"))),"Other Services"))</f>
        <v/>
      </c>
    </row>
    <row r="346" customFormat="false" ht="15" hidden="false" customHeight="false" outlineLevel="0" collapsed="false">
      <c r="F346" s="41" t="str">
        <f aca="false">IF(C346="","",IFERROR(IF(ISNUMBER(SEARCH(Assumptions!$C$5,C346)),Assumptions!$D$5,IF(ISNUMBER(SEARCH(Assumptions!$C$6,C346)),Assumptions!$D$6,IF(ISNUMBER(SEARCH(Assumptions!$C$7,C346)),Assumptions!$D$7,"Other Services"))),"Other Services"))</f>
        <v/>
      </c>
    </row>
    <row r="347" customFormat="false" ht="15" hidden="false" customHeight="false" outlineLevel="0" collapsed="false">
      <c r="F347" s="41" t="str">
        <f aca="false">IF(C347="","",IFERROR(IF(ISNUMBER(SEARCH(Assumptions!$C$5,C347)),Assumptions!$D$5,IF(ISNUMBER(SEARCH(Assumptions!$C$6,C347)),Assumptions!$D$6,IF(ISNUMBER(SEARCH(Assumptions!$C$7,C347)),Assumptions!$D$7,"Other Services"))),"Other Services"))</f>
        <v/>
      </c>
    </row>
    <row r="348" customFormat="false" ht="15" hidden="false" customHeight="false" outlineLevel="0" collapsed="false">
      <c r="F348" s="41" t="str">
        <f aca="false">IF(C348="","",IFERROR(IF(ISNUMBER(SEARCH(Assumptions!$C$5,C348)),Assumptions!$D$5,IF(ISNUMBER(SEARCH(Assumptions!$C$6,C348)),Assumptions!$D$6,IF(ISNUMBER(SEARCH(Assumptions!$C$7,C348)),Assumptions!$D$7,"Other Services"))),"Other Services"))</f>
        <v/>
      </c>
    </row>
    <row r="349" customFormat="false" ht="15" hidden="false" customHeight="false" outlineLevel="0" collapsed="false">
      <c r="F349" s="41" t="str">
        <f aca="false">IF(C349="","",IFERROR(IF(ISNUMBER(SEARCH(Assumptions!$C$5,C349)),Assumptions!$D$5,IF(ISNUMBER(SEARCH(Assumptions!$C$6,C349)),Assumptions!$D$6,IF(ISNUMBER(SEARCH(Assumptions!$C$7,C349)),Assumptions!$D$7,"Other Services"))),"Other Services"))</f>
        <v/>
      </c>
    </row>
    <row r="350" customFormat="false" ht="15" hidden="false" customHeight="false" outlineLevel="0" collapsed="false">
      <c r="F350" s="41" t="str">
        <f aca="false">IF(C350="","",IFERROR(IF(ISNUMBER(SEARCH(Assumptions!$C$5,C350)),Assumptions!$D$5,IF(ISNUMBER(SEARCH(Assumptions!$C$6,C350)),Assumptions!$D$6,IF(ISNUMBER(SEARCH(Assumptions!$C$7,C350)),Assumptions!$D$7,"Other Services"))),"Other Services"))</f>
        <v/>
      </c>
    </row>
    <row r="351" customFormat="false" ht="15" hidden="false" customHeight="false" outlineLevel="0" collapsed="false">
      <c r="F351" s="41" t="str">
        <f aca="false">IF(C351="","",IFERROR(IF(ISNUMBER(SEARCH(Assumptions!$C$5,C351)),Assumptions!$D$5,IF(ISNUMBER(SEARCH(Assumptions!$C$6,C351)),Assumptions!$D$6,IF(ISNUMBER(SEARCH(Assumptions!$C$7,C351)),Assumptions!$D$7,"Other Services"))),"Other Services"))</f>
        <v/>
      </c>
    </row>
    <row r="352" customFormat="false" ht="15" hidden="false" customHeight="false" outlineLevel="0" collapsed="false">
      <c r="F352" s="41" t="str">
        <f aca="false">IF(C352="","",IFERROR(IF(ISNUMBER(SEARCH(Assumptions!$C$5,C352)),Assumptions!$D$5,IF(ISNUMBER(SEARCH(Assumptions!$C$6,C352)),Assumptions!$D$6,IF(ISNUMBER(SEARCH(Assumptions!$C$7,C352)),Assumptions!$D$7,"Other Services"))),"Other Services"))</f>
        <v/>
      </c>
    </row>
    <row r="353" customFormat="false" ht="15" hidden="false" customHeight="false" outlineLevel="0" collapsed="false">
      <c r="F353" s="41" t="str">
        <f aca="false">IF(C353="","",IFERROR(IF(ISNUMBER(SEARCH(Assumptions!$C$5,C353)),Assumptions!$D$5,IF(ISNUMBER(SEARCH(Assumptions!$C$6,C353)),Assumptions!$D$6,IF(ISNUMBER(SEARCH(Assumptions!$C$7,C353)),Assumptions!$D$7,"Other Services"))),"Other Services"))</f>
        <v/>
      </c>
    </row>
    <row r="354" customFormat="false" ht="15" hidden="false" customHeight="false" outlineLevel="0" collapsed="false">
      <c r="F354" s="41" t="str">
        <f aca="false">IF(C354="","",IFERROR(IF(ISNUMBER(SEARCH(Assumptions!$C$5,C354)),Assumptions!$D$5,IF(ISNUMBER(SEARCH(Assumptions!$C$6,C354)),Assumptions!$D$6,IF(ISNUMBER(SEARCH(Assumptions!$C$7,C354)),Assumptions!$D$7,"Other Services"))),"Other Services"))</f>
        <v/>
      </c>
    </row>
    <row r="355" customFormat="false" ht="15" hidden="false" customHeight="false" outlineLevel="0" collapsed="false">
      <c r="F355" s="41" t="str">
        <f aca="false">IF(C355="","",IFERROR(IF(ISNUMBER(SEARCH(Assumptions!$C$5,C355)),Assumptions!$D$5,IF(ISNUMBER(SEARCH(Assumptions!$C$6,C355)),Assumptions!$D$6,IF(ISNUMBER(SEARCH(Assumptions!$C$7,C355)),Assumptions!$D$7,"Other Services"))),"Other Services"))</f>
        <v/>
      </c>
    </row>
    <row r="356" customFormat="false" ht="15" hidden="false" customHeight="false" outlineLevel="0" collapsed="false">
      <c r="F356" s="41" t="str">
        <f aca="false">IF(C356="","",IFERROR(IF(ISNUMBER(SEARCH(Assumptions!$C$5,C356)),Assumptions!$D$5,IF(ISNUMBER(SEARCH(Assumptions!$C$6,C356)),Assumptions!$D$6,IF(ISNUMBER(SEARCH(Assumptions!$C$7,C356)),Assumptions!$D$7,"Other Services"))),"Other Services"))</f>
        <v/>
      </c>
    </row>
    <row r="357" customFormat="false" ht="15" hidden="false" customHeight="false" outlineLevel="0" collapsed="false">
      <c r="F357" s="41" t="str">
        <f aca="false">IF(C357="","",IFERROR(IF(ISNUMBER(SEARCH(Assumptions!$C$5,C357)),Assumptions!$D$5,IF(ISNUMBER(SEARCH(Assumptions!$C$6,C357)),Assumptions!$D$6,IF(ISNUMBER(SEARCH(Assumptions!$C$7,C357)),Assumptions!$D$7,"Other Services"))),"Other Services"))</f>
        <v/>
      </c>
    </row>
    <row r="358" customFormat="false" ht="15" hidden="false" customHeight="false" outlineLevel="0" collapsed="false">
      <c r="F358" s="41" t="str">
        <f aca="false">IF(C358="","",IFERROR(IF(ISNUMBER(SEARCH(Assumptions!$C$5,C358)),Assumptions!$D$5,IF(ISNUMBER(SEARCH(Assumptions!$C$6,C358)),Assumptions!$D$6,IF(ISNUMBER(SEARCH(Assumptions!$C$7,C358)),Assumptions!$D$7,"Other Services"))),"Other Services"))</f>
        <v/>
      </c>
    </row>
    <row r="359" customFormat="false" ht="15" hidden="false" customHeight="false" outlineLevel="0" collapsed="false">
      <c r="F359" s="41" t="str">
        <f aca="false">IF(C359="","",IFERROR(IF(ISNUMBER(SEARCH(Assumptions!$C$5,C359)),Assumptions!$D$5,IF(ISNUMBER(SEARCH(Assumptions!$C$6,C359)),Assumptions!$D$6,IF(ISNUMBER(SEARCH(Assumptions!$C$7,C359)),Assumptions!$D$7,"Other Services"))),"Other Services"))</f>
        <v/>
      </c>
    </row>
    <row r="360" customFormat="false" ht="15" hidden="false" customHeight="false" outlineLevel="0" collapsed="false">
      <c r="F360" s="41" t="str">
        <f aca="false">IF(C360="","",IFERROR(IF(ISNUMBER(SEARCH(Assumptions!$C$5,C360)),Assumptions!$D$5,IF(ISNUMBER(SEARCH(Assumptions!$C$6,C360)),Assumptions!$D$6,IF(ISNUMBER(SEARCH(Assumptions!$C$7,C360)),Assumptions!$D$7,"Other Services"))),"Other Services"))</f>
        <v/>
      </c>
    </row>
    <row r="361" customFormat="false" ht="15" hidden="false" customHeight="false" outlineLevel="0" collapsed="false">
      <c r="F361" s="41" t="str">
        <f aca="false">IF(C361="","",IFERROR(IF(ISNUMBER(SEARCH(Assumptions!$C$5,C361)),Assumptions!$D$5,IF(ISNUMBER(SEARCH(Assumptions!$C$6,C361)),Assumptions!$D$6,IF(ISNUMBER(SEARCH(Assumptions!$C$7,C361)),Assumptions!$D$7,"Other Services"))),"Other Services"))</f>
        <v/>
      </c>
    </row>
    <row r="362" customFormat="false" ht="15" hidden="false" customHeight="false" outlineLevel="0" collapsed="false">
      <c r="F362" s="41" t="str">
        <f aca="false">IF(C362="","",IFERROR(IF(ISNUMBER(SEARCH(Assumptions!$C$5,C362)),Assumptions!$D$5,IF(ISNUMBER(SEARCH(Assumptions!$C$6,C362)),Assumptions!$D$6,IF(ISNUMBER(SEARCH(Assumptions!$C$7,C362)),Assumptions!$D$7,"Other Services"))),"Other Services"))</f>
        <v/>
      </c>
    </row>
    <row r="363" customFormat="false" ht="15" hidden="false" customHeight="false" outlineLevel="0" collapsed="false">
      <c r="F363" s="41" t="str">
        <f aca="false">IF(C363="","",IFERROR(IF(ISNUMBER(SEARCH(Assumptions!$C$5,C363)),Assumptions!$D$5,IF(ISNUMBER(SEARCH(Assumptions!$C$6,C363)),Assumptions!$D$6,IF(ISNUMBER(SEARCH(Assumptions!$C$7,C363)),Assumptions!$D$7,"Other Services"))),"Other Services"))</f>
        <v/>
      </c>
    </row>
    <row r="364" customFormat="false" ht="15" hidden="false" customHeight="false" outlineLevel="0" collapsed="false">
      <c r="F364" s="41" t="str">
        <f aca="false">IF(C364="","",IFERROR(IF(ISNUMBER(SEARCH(Assumptions!$C$5,C364)),Assumptions!$D$5,IF(ISNUMBER(SEARCH(Assumptions!$C$6,C364)),Assumptions!$D$6,IF(ISNUMBER(SEARCH(Assumptions!$C$7,C364)),Assumptions!$D$7,"Other Services"))),"Other Services"))</f>
        <v/>
      </c>
    </row>
    <row r="365" customFormat="false" ht="15" hidden="false" customHeight="false" outlineLevel="0" collapsed="false">
      <c r="F365" s="41" t="str">
        <f aca="false">IF(C365="","",IFERROR(IF(ISNUMBER(SEARCH(Assumptions!$C$5,C365)),Assumptions!$D$5,IF(ISNUMBER(SEARCH(Assumptions!$C$6,C365)),Assumptions!$D$6,IF(ISNUMBER(SEARCH(Assumptions!$C$7,C365)),Assumptions!$D$7,"Other Services"))),"Other Services"))</f>
        <v/>
      </c>
    </row>
    <row r="366" customFormat="false" ht="15" hidden="false" customHeight="false" outlineLevel="0" collapsed="false">
      <c r="F366" s="41" t="str">
        <f aca="false">IF(C366="","",IFERROR(IF(ISNUMBER(SEARCH(Assumptions!$C$5,C366)),Assumptions!$D$5,IF(ISNUMBER(SEARCH(Assumptions!$C$6,C366)),Assumptions!$D$6,IF(ISNUMBER(SEARCH(Assumptions!$C$7,C366)),Assumptions!$D$7,"Other Services"))),"Other Services"))</f>
        <v/>
      </c>
    </row>
    <row r="367" customFormat="false" ht="15" hidden="false" customHeight="false" outlineLevel="0" collapsed="false">
      <c r="F367" s="41" t="str">
        <f aca="false">IF(C367="","",IFERROR(IF(ISNUMBER(SEARCH(Assumptions!$C$5,C367)),Assumptions!$D$5,IF(ISNUMBER(SEARCH(Assumptions!$C$6,C367)),Assumptions!$D$6,IF(ISNUMBER(SEARCH(Assumptions!$C$7,C367)),Assumptions!$D$7,"Other Services"))),"Other Services"))</f>
        <v/>
      </c>
    </row>
    <row r="368" customFormat="false" ht="15" hidden="false" customHeight="false" outlineLevel="0" collapsed="false">
      <c r="F368" s="41" t="str">
        <f aca="false">IF(C368="","",IFERROR(IF(ISNUMBER(SEARCH(Assumptions!$C$5,C368)),Assumptions!$D$5,IF(ISNUMBER(SEARCH(Assumptions!$C$6,C368)),Assumptions!$D$6,IF(ISNUMBER(SEARCH(Assumptions!$C$7,C368)),Assumptions!$D$7,"Other Services"))),"Other Services"))</f>
        <v/>
      </c>
    </row>
    <row r="369" customFormat="false" ht="15" hidden="false" customHeight="false" outlineLevel="0" collapsed="false">
      <c r="F369" s="41" t="str">
        <f aca="false">IF(C369="","",IFERROR(IF(ISNUMBER(SEARCH(Assumptions!$C$5,C369)),Assumptions!$D$5,IF(ISNUMBER(SEARCH(Assumptions!$C$6,C369)),Assumptions!$D$6,IF(ISNUMBER(SEARCH(Assumptions!$C$7,C369)),Assumptions!$D$7,"Other Services"))),"Other Services"))</f>
        <v/>
      </c>
    </row>
    <row r="370" customFormat="false" ht="15" hidden="false" customHeight="false" outlineLevel="0" collapsed="false">
      <c r="F370" s="41" t="str">
        <f aca="false">IF(C370="","",IFERROR(IF(ISNUMBER(SEARCH(Assumptions!$C$5,C370)),Assumptions!$D$5,IF(ISNUMBER(SEARCH(Assumptions!$C$6,C370)),Assumptions!$D$6,IF(ISNUMBER(SEARCH(Assumptions!$C$7,C370)),Assumptions!$D$7,"Other Services"))),"Other Services"))</f>
        <v/>
      </c>
    </row>
    <row r="371" customFormat="false" ht="15" hidden="false" customHeight="false" outlineLevel="0" collapsed="false">
      <c r="F371" s="41" t="str">
        <f aca="false">IF(C371="","",IFERROR(IF(ISNUMBER(SEARCH(Assumptions!$C$5,C371)),Assumptions!$D$5,IF(ISNUMBER(SEARCH(Assumptions!$C$6,C371)),Assumptions!$D$6,IF(ISNUMBER(SEARCH(Assumptions!$C$7,C371)),Assumptions!$D$7,"Other Services"))),"Other Services"))</f>
        <v/>
      </c>
    </row>
    <row r="372" customFormat="false" ht="15" hidden="false" customHeight="false" outlineLevel="0" collapsed="false">
      <c r="F372" s="41" t="str">
        <f aca="false">IF(C372="","",IFERROR(IF(ISNUMBER(SEARCH(Assumptions!$C$5,C372)),Assumptions!$D$5,IF(ISNUMBER(SEARCH(Assumptions!$C$6,C372)),Assumptions!$D$6,IF(ISNUMBER(SEARCH(Assumptions!$C$7,C372)),Assumptions!$D$7,"Other Services"))),"Other Services"))</f>
        <v/>
      </c>
    </row>
    <row r="373" customFormat="false" ht="15" hidden="false" customHeight="false" outlineLevel="0" collapsed="false">
      <c r="F373" s="41" t="str">
        <f aca="false">IF(C373="","",IFERROR(IF(ISNUMBER(SEARCH(Assumptions!$C$5,C373)),Assumptions!$D$5,IF(ISNUMBER(SEARCH(Assumptions!$C$6,C373)),Assumptions!$D$6,IF(ISNUMBER(SEARCH(Assumptions!$C$7,C373)),Assumptions!$D$7,"Other Services"))),"Other Services"))</f>
        <v/>
      </c>
    </row>
    <row r="374" customFormat="false" ht="15" hidden="false" customHeight="false" outlineLevel="0" collapsed="false">
      <c r="F374" s="41" t="str">
        <f aca="false">IF(C374="","",IFERROR(IF(ISNUMBER(SEARCH(Assumptions!$C$5,C374)),Assumptions!$D$5,IF(ISNUMBER(SEARCH(Assumptions!$C$6,C374)),Assumptions!$D$6,IF(ISNUMBER(SEARCH(Assumptions!$C$7,C374)),Assumptions!$D$7,"Other Services"))),"Other Services"))</f>
        <v/>
      </c>
    </row>
    <row r="375" customFormat="false" ht="15" hidden="false" customHeight="false" outlineLevel="0" collapsed="false">
      <c r="F375" s="41" t="str">
        <f aca="false">IF(C375="","",IFERROR(IF(ISNUMBER(SEARCH(Assumptions!$C$5,C375)),Assumptions!$D$5,IF(ISNUMBER(SEARCH(Assumptions!$C$6,C375)),Assumptions!$D$6,IF(ISNUMBER(SEARCH(Assumptions!$C$7,C375)),Assumptions!$D$7,"Other Services"))),"Other Services"))</f>
        <v/>
      </c>
    </row>
    <row r="376" customFormat="false" ht="15" hidden="false" customHeight="false" outlineLevel="0" collapsed="false">
      <c r="F376" s="41" t="str">
        <f aca="false">IF(C376="","",IFERROR(IF(ISNUMBER(SEARCH(Assumptions!$C$5,C376)),Assumptions!$D$5,IF(ISNUMBER(SEARCH(Assumptions!$C$6,C376)),Assumptions!$D$6,IF(ISNUMBER(SEARCH(Assumptions!$C$7,C376)),Assumptions!$D$7,"Other Services"))),"Other Services"))</f>
        <v/>
      </c>
    </row>
    <row r="377" customFormat="false" ht="15" hidden="false" customHeight="false" outlineLevel="0" collapsed="false">
      <c r="F377" s="41" t="str">
        <f aca="false">IF(C377="","",IFERROR(IF(ISNUMBER(SEARCH(Assumptions!$C$5,C377)),Assumptions!$D$5,IF(ISNUMBER(SEARCH(Assumptions!$C$6,C377)),Assumptions!$D$6,IF(ISNUMBER(SEARCH(Assumptions!$C$7,C377)),Assumptions!$D$7,"Other Services"))),"Other Services"))</f>
        <v/>
      </c>
    </row>
    <row r="378" customFormat="false" ht="15" hidden="false" customHeight="false" outlineLevel="0" collapsed="false">
      <c r="F378" s="41" t="str">
        <f aca="false">IF(C378="","",IFERROR(IF(ISNUMBER(SEARCH(Assumptions!$C$5,C378)),Assumptions!$D$5,IF(ISNUMBER(SEARCH(Assumptions!$C$6,C378)),Assumptions!$D$6,IF(ISNUMBER(SEARCH(Assumptions!$C$7,C378)),Assumptions!$D$7,"Other Services"))),"Other Services"))</f>
        <v/>
      </c>
    </row>
    <row r="379" customFormat="false" ht="15" hidden="false" customHeight="false" outlineLevel="0" collapsed="false">
      <c r="F379" s="41" t="str">
        <f aca="false">IF(C379="","",IFERROR(IF(ISNUMBER(SEARCH(Assumptions!$C$5,C379)),Assumptions!$D$5,IF(ISNUMBER(SEARCH(Assumptions!$C$6,C379)),Assumptions!$D$6,IF(ISNUMBER(SEARCH(Assumptions!$C$7,C379)),Assumptions!$D$7,"Other Services"))),"Other Services"))</f>
        <v/>
      </c>
    </row>
    <row r="380" customFormat="false" ht="15" hidden="false" customHeight="false" outlineLevel="0" collapsed="false">
      <c r="F380" s="41" t="str">
        <f aca="false">IF(C380="","",IFERROR(IF(ISNUMBER(SEARCH(Assumptions!$C$5,C380)),Assumptions!$D$5,IF(ISNUMBER(SEARCH(Assumptions!$C$6,C380)),Assumptions!$D$6,IF(ISNUMBER(SEARCH(Assumptions!$C$7,C380)),Assumptions!$D$7,"Other Services"))),"Other Services"))</f>
        <v/>
      </c>
    </row>
    <row r="381" customFormat="false" ht="15" hidden="false" customHeight="false" outlineLevel="0" collapsed="false">
      <c r="F381" s="41" t="str">
        <f aca="false">IF(C381="","",IFERROR(IF(ISNUMBER(SEARCH(Assumptions!$C$5,C381)),Assumptions!$D$5,IF(ISNUMBER(SEARCH(Assumptions!$C$6,C381)),Assumptions!$D$6,IF(ISNUMBER(SEARCH(Assumptions!$C$7,C381)),Assumptions!$D$7,"Other Services"))),"Other Services"))</f>
        <v/>
      </c>
    </row>
    <row r="382" customFormat="false" ht="15" hidden="false" customHeight="false" outlineLevel="0" collapsed="false">
      <c r="F382" s="41" t="str">
        <f aca="false">IF(C382="","",IFERROR(IF(ISNUMBER(SEARCH(Assumptions!$C$5,C382)),Assumptions!$D$5,IF(ISNUMBER(SEARCH(Assumptions!$C$6,C382)),Assumptions!$D$6,IF(ISNUMBER(SEARCH(Assumptions!$C$7,C382)),Assumptions!$D$7,"Other Services"))),"Other Services"))</f>
        <v/>
      </c>
    </row>
    <row r="383" customFormat="false" ht="15" hidden="false" customHeight="false" outlineLevel="0" collapsed="false">
      <c r="F383" s="41" t="str">
        <f aca="false">IF(C383="","",IFERROR(IF(ISNUMBER(SEARCH(Assumptions!$C$5,C383)),Assumptions!$D$5,IF(ISNUMBER(SEARCH(Assumptions!$C$6,C383)),Assumptions!$D$6,IF(ISNUMBER(SEARCH(Assumptions!$C$7,C383)),Assumptions!$D$7,"Other Services"))),"Other Services"))</f>
        <v/>
      </c>
    </row>
    <row r="384" customFormat="false" ht="15" hidden="false" customHeight="false" outlineLevel="0" collapsed="false">
      <c r="F384" s="41" t="str">
        <f aca="false">IF(C384="","",IFERROR(IF(ISNUMBER(SEARCH(Assumptions!$C$5,C384)),Assumptions!$D$5,IF(ISNUMBER(SEARCH(Assumptions!$C$6,C384)),Assumptions!$D$6,IF(ISNUMBER(SEARCH(Assumptions!$C$7,C384)),Assumptions!$D$7,"Other Services"))),"Other Services"))</f>
        <v/>
      </c>
    </row>
    <row r="385" customFormat="false" ht="15" hidden="false" customHeight="false" outlineLevel="0" collapsed="false">
      <c r="F385" s="41" t="str">
        <f aca="false">IF(C385="","",IFERROR(IF(ISNUMBER(SEARCH(Assumptions!$C$5,C385)),Assumptions!$D$5,IF(ISNUMBER(SEARCH(Assumptions!$C$6,C385)),Assumptions!$D$6,IF(ISNUMBER(SEARCH(Assumptions!$C$7,C385)),Assumptions!$D$7,"Other Services"))),"Other Services"))</f>
        <v/>
      </c>
    </row>
    <row r="386" customFormat="false" ht="15" hidden="false" customHeight="false" outlineLevel="0" collapsed="false">
      <c r="F386" s="41" t="str">
        <f aca="false">IF(C386="","",IFERROR(IF(ISNUMBER(SEARCH(Assumptions!$C$5,C386)),Assumptions!$D$5,IF(ISNUMBER(SEARCH(Assumptions!$C$6,C386)),Assumptions!$D$6,IF(ISNUMBER(SEARCH(Assumptions!$C$7,C386)),Assumptions!$D$7,"Other Services"))),"Other Services"))</f>
        <v/>
      </c>
    </row>
    <row r="387" customFormat="false" ht="15" hidden="false" customHeight="false" outlineLevel="0" collapsed="false">
      <c r="F387" s="41" t="str">
        <f aca="false">IF(C387="","",IFERROR(IF(ISNUMBER(SEARCH(Assumptions!$C$5,C387)),Assumptions!$D$5,IF(ISNUMBER(SEARCH(Assumptions!$C$6,C387)),Assumptions!$D$6,IF(ISNUMBER(SEARCH(Assumptions!$C$7,C387)),Assumptions!$D$7,"Other Services"))),"Other Services"))</f>
        <v/>
      </c>
    </row>
    <row r="388" customFormat="false" ht="15" hidden="false" customHeight="false" outlineLevel="0" collapsed="false">
      <c r="F388" s="41" t="str">
        <f aca="false">IF(C388="","",IFERROR(IF(ISNUMBER(SEARCH(Assumptions!$C$5,C388)),Assumptions!$D$5,IF(ISNUMBER(SEARCH(Assumptions!$C$6,C388)),Assumptions!$D$6,IF(ISNUMBER(SEARCH(Assumptions!$C$7,C388)),Assumptions!$D$7,"Other Services"))),"Other Services"))</f>
        <v/>
      </c>
    </row>
    <row r="389" customFormat="false" ht="15" hidden="false" customHeight="false" outlineLevel="0" collapsed="false">
      <c r="F389" s="41" t="str">
        <f aca="false">IF(C389="","",IFERROR(IF(ISNUMBER(SEARCH(Assumptions!$C$5,C389)),Assumptions!$D$5,IF(ISNUMBER(SEARCH(Assumptions!$C$6,C389)),Assumptions!$D$6,IF(ISNUMBER(SEARCH(Assumptions!$C$7,C389)),Assumptions!$D$7,"Other Services"))),"Other Services"))</f>
        <v/>
      </c>
    </row>
    <row r="390" customFormat="false" ht="15" hidden="false" customHeight="false" outlineLevel="0" collapsed="false">
      <c r="F390" s="41" t="str">
        <f aca="false">IF(C390="","",IFERROR(IF(ISNUMBER(SEARCH(Assumptions!$C$5,C390)),Assumptions!$D$5,IF(ISNUMBER(SEARCH(Assumptions!$C$6,C390)),Assumptions!$D$6,IF(ISNUMBER(SEARCH(Assumptions!$C$7,C390)),Assumptions!$D$7,"Other Services"))),"Other Services"))</f>
        <v/>
      </c>
    </row>
    <row r="391" customFormat="false" ht="15" hidden="false" customHeight="false" outlineLevel="0" collapsed="false">
      <c r="F391" s="41" t="str">
        <f aca="false">IF(C391="","",IFERROR(IF(ISNUMBER(SEARCH(Assumptions!$C$5,C391)),Assumptions!$D$5,IF(ISNUMBER(SEARCH(Assumptions!$C$6,C391)),Assumptions!$D$6,IF(ISNUMBER(SEARCH(Assumptions!$C$7,C391)),Assumptions!$D$7,"Other Services"))),"Other Services"))</f>
        <v/>
      </c>
    </row>
    <row r="392" customFormat="false" ht="15" hidden="false" customHeight="false" outlineLevel="0" collapsed="false">
      <c r="F392" s="41" t="str">
        <f aca="false">IF(C392="","",IFERROR(IF(ISNUMBER(SEARCH(Assumptions!$C$5,C392)),Assumptions!$D$5,IF(ISNUMBER(SEARCH(Assumptions!$C$6,C392)),Assumptions!$D$6,IF(ISNUMBER(SEARCH(Assumptions!$C$7,C392)),Assumptions!$D$7,"Other Services"))),"Other Services"))</f>
        <v/>
      </c>
    </row>
    <row r="393" customFormat="false" ht="15" hidden="false" customHeight="false" outlineLevel="0" collapsed="false">
      <c r="F393" s="41" t="str">
        <f aca="false">IF(C393="","",IFERROR(IF(ISNUMBER(SEARCH(Assumptions!$C$5,C393)),Assumptions!$D$5,IF(ISNUMBER(SEARCH(Assumptions!$C$6,C393)),Assumptions!$D$6,IF(ISNUMBER(SEARCH(Assumptions!$C$7,C393)),Assumptions!$D$7,"Other Services"))),"Other Services"))</f>
        <v/>
      </c>
    </row>
    <row r="394" customFormat="false" ht="15" hidden="false" customHeight="false" outlineLevel="0" collapsed="false">
      <c r="F394" s="41" t="str">
        <f aca="false">IF(C394="","",IFERROR(IF(ISNUMBER(SEARCH(Assumptions!$C$5,C394)),Assumptions!$D$5,IF(ISNUMBER(SEARCH(Assumptions!$C$6,C394)),Assumptions!$D$6,IF(ISNUMBER(SEARCH(Assumptions!$C$7,C394)),Assumptions!$D$7,"Other Services"))),"Other Services"))</f>
        <v/>
      </c>
    </row>
    <row r="395" customFormat="false" ht="15" hidden="false" customHeight="false" outlineLevel="0" collapsed="false">
      <c r="F395" s="41" t="str">
        <f aca="false">IF(C395="","",IFERROR(IF(ISNUMBER(SEARCH(Assumptions!$C$5,C395)),Assumptions!$D$5,IF(ISNUMBER(SEARCH(Assumptions!$C$6,C395)),Assumptions!$D$6,IF(ISNUMBER(SEARCH(Assumptions!$C$7,C395)),Assumptions!$D$7,"Other Services"))),"Other Services"))</f>
        <v/>
      </c>
    </row>
    <row r="396" customFormat="false" ht="15" hidden="false" customHeight="false" outlineLevel="0" collapsed="false">
      <c r="F396" s="41" t="str">
        <f aca="false">IF(C396="","",IFERROR(IF(ISNUMBER(SEARCH(Assumptions!$C$5,C396)),Assumptions!$D$5,IF(ISNUMBER(SEARCH(Assumptions!$C$6,C396)),Assumptions!$D$6,IF(ISNUMBER(SEARCH(Assumptions!$C$7,C396)),Assumptions!$D$7,"Other Services"))),"Other Services"))</f>
        <v/>
      </c>
    </row>
    <row r="397" customFormat="false" ht="15" hidden="false" customHeight="false" outlineLevel="0" collapsed="false">
      <c r="F397" s="41" t="str">
        <f aca="false">IF(C397="","",IFERROR(IF(ISNUMBER(SEARCH(Assumptions!$C$5,C397)),Assumptions!$D$5,IF(ISNUMBER(SEARCH(Assumptions!$C$6,C397)),Assumptions!$D$6,IF(ISNUMBER(SEARCH(Assumptions!$C$7,C397)),Assumptions!$D$7,"Other Services"))),"Other Services"))</f>
        <v/>
      </c>
    </row>
    <row r="398" customFormat="false" ht="15" hidden="false" customHeight="false" outlineLevel="0" collapsed="false">
      <c r="F398" s="41" t="str">
        <f aca="false">IF(C398="","",IFERROR(IF(ISNUMBER(SEARCH(Assumptions!$C$5,C398)),Assumptions!$D$5,IF(ISNUMBER(SEARCH(Assumptions!$C$6,C398)),Assumptions!$D$6,IF(ISNUMBER(SEARCH(Assumptions!$C$7,C398)),Assumptions!$D$7,"Other Services"))),"Other Services"))</f>
        <v/>
      </c>
    </row>
    <row r="399" customFormat="false" ht="15" hidden="false" customHeight="false" outlineLevel="0" collapsed="false">
      <c r="F399" s="41" t="str">
        <f aca="false">IF(C399="","",IFERROR(IF(ISNUMBER(SEARCH(Assumptions!$C$5,C399)),Assumptions!$D$5,IF(ISNUMBER(SEARCH(Assumptions!$C$6,C399)),Assumptions!$D$6,IF(ISNUMBER(SEARCH(Assumptions!$C$7,C399)),Assumptions!$D$7,"Other Services"))),"Other Services"))</f>
        <v/>
      </c>
    </row>
    <row r="400" customFormat="false" ht="15" hidden="false" customHeight="false" outlineLevel="0" collapsed="false">
      <c r="F400" s="41" t="str">
        <f aca="false">IF(C400="","",IFERROR(IF(ISNUMBER(SEARCH(Assumptions!$C$5,C400)),Assumptions!$D$5,IF(ISNUMBER(SEARCH(Assumptions!$C$6,C400)),Assumptions!$D$6,IF(ISNUMBER(SEARCH(Assumptions!$C$7,C400)),Assumptions!$D$7,"Other Services"))),"Other Services"))</f>
        <v/>
      </c>
    </row>
    <row r="401" customFormat="false" ht="15" hidden="false" customHeight="false" outlineLevel="0" collapsed="false">
      <c r="F401" s="41" t="str">
        <f aca="false">IF(C401="","",IFERROR(IF(ISNUMBER(SEARCH(Assumptions!$C$5,C401)),Assumptions!$D$5,IF(ISNUMBER(SEARCH(Assumptions!$C$6,C401)),Assumptions!$D$6,IF(ISNUMBER(SEARCH(Assumptions!$C$7,C401)),Assumptions!$D$7,"Other Services"))),"Other Services"))</f>
        <v/>
      </c>
    </row>
    <row r="402" customFormat="false" ht="15" hidden="false" customHeight="false" outlineLevel="0" collapsed="false">
      <c r="F402" s="41" t="str">
        <f aca="false">IF(C402="","",IFERROR(IF(ISNUMBER(SEARCH(Assumptions!$C$5,C402)),Assumptions!$D$5,IF(ISNUMBER(SEARCH(Assumptions!$C$6,C402)),Assumptions!$D$6,IF(ISNUMBER(SEARCH(Assumptions!$C$7,C402)),Assumptions!$D$7,"Other Services"))),"Other Services"))</f>
        <v/>
      </c>
    </row>
    <row r="403" customFormat="false" ht="15" hidden="false" customHeight="false" outlineLevel="0" collapsed="false">
      <c r="F403" s="41" t="str">
        <f aca="false">IF(C403="","",IFERROR(IF(ISNUMBER(SEARCH(Assumptions!$C$5,C403)),Assumptions!$D$5,IF(ISNUMBER(SEARCH(Assumptions!$C$6,C403)),Assumptions!$D$6,IF(ISNUMBER(SEARCH(Assumptions!$C$7,C403)),Assumptions!$D$7,"Other Services"))),"Other Services"))</f>
        <v/>
      </c>
    </row>
    <row r="404" customFormat="false" ht="15" hidden="false" customHeight="false" outlineLevel="0" collapsed="false">
      <c r="F404" s="41" t="str">
        <f aca="false">IF(C404="","",IFERROR(IF(ISNUMBER(SEARCH(Assumptions!$C$5,C404)),Assumptions!$D$5,IF(ISNUMBER(SEARCH(Assumptions!$C$6,C404)),Assumptions!$D$6,IF(ISNUMBER(SEARCH(Assumptions!$C$7,C404)),Assumptions!$D$7,"Other Services"))),"Other Services"))</f>
        <v/>
      </c>
    </row>
    <row r="405" customFormat="false" ht="15" hidden="false" customHeight="false" outlineLevel="0" collapsed="false">
      <c r="F405" s="41" t="str">
        <f aca="false">IF(C405="","",IFERROR(IF(ISNUMBER(SEARCH(Assumptions!$C$5,C405)),Assumptions!$D$5,IF(ISNUMBER(SEARCH(Assumptions!$C$6,C405)),Assumptions!$D$6,IF(ISNUMBER(SEARCH(Assumptions!$C$7,C405)),Assumptions!$D$7,"Other Services"))),"Other Services"))</f>
        <v/>
      </c>
    </row>
    <row r="406" customFormat="false" ht="15" hidden="false" customHeight="false" outlineLevel="0" collapsed="false">
      <c r="F406" s="41" t="str">
        <f aca="false">IF(C406="","",IFERROR(IF(ISNUMBER(SEARCH(Assumptions!$C$5,C406)),Assumptions!$D$5,IF(ISNUMBER(SEARCH(Assumptions!$C$6,C406)),Assumptions!$D$6,IF(ISNUMBER(SEARCH(Assumptions!$C$7,C406)),Assumptions!$D$7,"Other Services"))),"Other Services"))</f>
        <v/>
      </c>
    </row>
    <row r="407" customFormat="false" ht="15" hidden="false" customHeight="false" outlineLevel="0" collapsed="false">
      <c r="F407" s="41" t="str">
        <f aca="false">IF(C407="","",IFERROR(IF(ISNUMBER(SEARCH(Assumptions!$C$5,C407)),Assumptions!$D$5,IF(ISNUMBER(SEARCH(Assumptions!$C$6,C407)),Assumptions!$D$6,IF(ISNUMBER(SEARCH(Assumptions!$C$7,C407)),Assumptions!$D$7,"Other Services"))),"Other Services"))</f>
        <v/>
      </c>
    </row>
    <row r="408" customFormat="false" ht="15" hidden="false" customHeight="false" outlineLevel="0" collapsed="false">
      <c r="F408" s="41" t="str">
        <f aca="false">IF(C408="","",IFERROR(IF(ISNUMBER(SEARCH(Assumptions!$C$5,C408)),Assumptions!$D$5,IF(ISNUMBER(SEARCH(Assumptions!$C$6,C408)),Assumptions!$D$6,IF(ISNUMBER(SEARCH(Assumptions!$C$7,C408)),Assumptions!$D$7,"Other Services"))),"Other Services"))</f>
        <v/>
      </c>
    </row>
    <row r="409" customFormat="false" ht="15" hidden="false" customHeight="false" outlineLevel="0" collapsed="false">
      <c r="F409" s="41" t="str">
        <f aca="false">IF(C409="","",IFERROR(IF(ISNUMBER(SEARCH(Assumptions!$C$5,C409)),Assumptions!$D$5,IF(ISNUMBER(SEARCH(Assumptions!$C$6,C409)),Assumptions!$D$6,IF(ISNUMBER(SEARCH(Assumptions!$C$7,C409)),Assumptions!$D$7,"Other Services"))),"Other Services"))</f>
        <v/>
      </c>
    </row>
    <row r="410" customFormat="false" ht="15" hidden="false" customHeight="false" outlineLevel="0" collapsed="false">
      <c r="F410" s="41" t="str">
        <f aca="false">IF(C410="","",IFERROR(IF(ISNUMBER(SEARCH(Assumptions!$C$5,C410)),Assumptions!$D$5,IF(ISNUMBER(SEARCH(Assumptions!$C$6,C410)),Assumptions!$D$6,IF(ISNUMBER(SEARCH(Assumptions!$C$7,C410)),Assumptions!$D$7,"Other Services"))),"Other Services"))</f>
        <v/>
      </c>
    </row>
    <row r="411" customFormat="false" ht="15" hidden="false" customHeight="false" outlineLevel="0" collapsed="false">
      <c r="F411" s="41" t="str">
        <f aca="false">IF(C411="","",IFERROR(IF(ISNUMBER(SEARCH(Assumptions!$C$5,C411)),Assumptions!$D$5,IF(ISNUMBER(SEARCH(Assumptions!$C$6,C411)),Assumptions!$D$6,IF(ISNUMBER(SEARCH(Assumptions!$C$7,C411)),Assumptions!$D$7,"Other Services"))),"Other Services"))</f>
        <v/>
      </c>
    </row>
    <row r="412" customFormat="false" ht="15" hidden="false" customHeight="false" outlineLevel="0" collapsed="false">
      <c r="F412" s="41" t="str">
        <f aca="false">IF(C412="","",IFERROR(IF(ISNUMBER(SEARCH(Assumptions!$C$5,C412)),Assumptions!$D$5,IF(ISNUMBER(SEARCH(Assumptions!$C$6,C412)),Assumptions!$D$6,IF(ISNUMBER(SEARCH(Assumptions!$C$7,C412)),Assumptions!$D$7,"Other Services"))),"Other Services"))</f>
        <v/>
      </c>
    </row>
    <row r="413" customFormat="false" ht="15" hidden="false" customHeight="false" outlineLevel="0" collapsed="false">
      <c r="F413" s="41" t="str">
        <f aca="false">IF(C413="","",IFERROR(IF(ISNUMBER(SEARCH(Assumptions!$C$5,C413)),Assumptions!$D$5,IF(ISNUMBER(SEARCH(Assumptions!$C$6,C413)),Assumptions!$D$6,IF(ISNUMBER(SEARCH(Assumptions!$C$7,C413)),Assumptions!$D$7,"Other Services"))),"Other Services"))</f>
        <v/>
      </c>
    </row>
    <row r="414" customFormat="false" ht="15" hidden="false" customHeight="false" outlineLevel="0" collapsed="false">
      <c r="F414" s="41" t="str">
        <f aca="false">IF(C414="","",IFERROR(IF(ISNUMBER(SEARCH(Assumptions!$C$5,C414)),Assumptions!$D$5,IF(ISNUMBER(SEARCH(Assumptions!$C$6,C414)),Assumptions!$D$6,IF(ISNUMBER(SEARCH(Assumptions!$C$7,C414)),Assumptions!$D$7,"Other Services"))),"Other Services"))</f>
        <v/>
      </c>
    </row>
    <row r="415" customFormat="false" ht="15" hidden="false" customHeight="false" outlineLevel="0" collapsed="false">
      <c r="F415" s="41" t="str">
        <f aca="false">IF(C415="","",IFERROR(IF(ISNUMBER(SEARCH(Assumptions!$C$5,C415)),Assumptions!$D$5,IF(ISNUMBER(SEARCH(Assumptions!$C$6,C415)),Assumptions!$D$6,IF(ISNUMBER(SEARCH(Assumptions!$C$7,C415)),Assumptions!$D$7,"Other Services"))),"Other Services"))</f>
        <v/>
      </c>
    </row>
    <row r="416" customFormat="false" ht="15" hidden="false" customHeight="false" outlineLevel="0" collapsed="false">
      <c r="F416" s="41" t="str">
        <f aca="false">IF(C416="","",IFERROR(IF(ISNUMBER(SEARCH(Assumptions!$C$5,C416)),Assumptions!$D$5,IF(ISNUMBER(SEARCH(Assumptions!$C$6,C416)),Assumptions!$D$6,IF(ISNUMBER(SEARCH(Assumptions!$C$7,C416)),Assumptions!$D$7,"Other Services"))),"Other Services"))</f>
        <v/>
      </c>
    </row>
    <row r="417" customFormat="false" ht="15" hidden="false" customHeight="false" outlineLevel="0" collapsed="false">
      <c r="F417" s="41" t="str">
        <f aca="false">IF(C417="","",IFERROR(IF(ISNUMBER(SEARCH(Assumptions!$C$5,C417)),Assumptions!$D$5,IF(ISNUMBER(SEARCH(Assumptions!$C$6,C417)),Assumptions!$D$6,IF(ISNUMBER(SEARCH(Assumptions!$C$7,C417)),Assumptions!$D$7,"Other Services"))),"Other Services"))</f>
        <v/>
      </c>
    </row>
    <row r="418" customFormat="false" ht="15" hidden="false" customHeight="false" outlineLevel="0" collapsed="false">
      <c r="F418" s="41" t="str">
        <f aca="false">IF(C418="","",IFERROR(IF(ISNUMBER(SEARCH(Assumptions!$C$5,C418)),Assumptions!$D$5,IF(ISNUMBER(SEARCH(Assumptions!$C$6,C418)),Assumptions!$D$6,IF(ISNUMBER(SEARCH(Assumptions!$C$7,C418)),Assumptions!$D$7,"Other Services"))),"Other Services"))</f>
        <v/>
      </c>
    </row>
    <row r="419" customFormat="false" ht="15" hidden="false" customHeight="false" outlineLevel="0" collapsed="false">
      <c r="F419" s="41" t="str">
        <f aca="false">IF(C419="","",IFERROR(IF(ISNUMBER(SEARCH(Assumptions!$C$5,C419)),Assumptions!$D$5,IF(ISNUMBER(SEARCH(Assumptions!$C$6,C419)),Assumptions!$D$6,IF(ISNUMBER(SEARCH(Assumptions!$C$7,C419)),Assumptions!$D$7,"Other Services"))),"Other Services"))</f>
        <v/>
      </c>
    </row>
    <row r="420" customFormat="false" ht="15" hidden="false" customHeight="false" outlineLevel="0" collapsed="false">
      <c r="F420" s="41" t="str">
        <f aca="false">IF(C420="","",IFERROR(IF(ISNUMBER(SEARCH(Assumptions!$C$5,C420)),Assumptions!$D$5,IF(ISNUMBER(SEARCH(Assumptions!$C$6,C420)),Assumptions!$D$6,IF(ISNUMBER(SEARCH(Assumptions!$C$7,C420)),Assumptions!$D$7,"Other Services"))),"Other Services"))</f>
        <v/>
      </c>
    </row>
    <row r="421" customFormat="false" ht="15" hidden="false" customHeight="false" outlineLevel="0" collapsed="false">
      <c r="F421" s="41" t="str">
        <f aca="false">IF(C421="","",IFERROR(IF(ISNUMBER(SEARCH(Assumptions!$C$5,C421)),Assumptions!$D$5,IF(ISNUMBER(SEARCH(Assumptions!$C$6,C421)),Assumptions!$D$6,IF(ISNUMBER(SEARCH(Assumptions!$C$7,C421)),Assumptions!$D$7,"Other Services"))),"Other Services"))</f>
        <v/>
      </c>
    </row>
    <row r="422" customFormat="false" ht="15" hidden="false" customHeight="false" outlineLevel="0" collapsed="false">
      <c r="F422" s="41" t="str">
        <f aca="false">IF(C422="","",IFERROR(IF(ISNUMBER(SEARCH(Assumptions!$C$5,C422)),Assumptions!$D$5,IF(ISNUMBER(SEARCH(Assumptions!$C$6,C422)),Assumptions!$D$6,IF(ISNUMBER(SEARCH(Assumptions!$C$7,C422)),Assumptions!$D$7,"Other Services"))),"Other Services"))</f>
        <v/>
      </c>
    </row>
    <row r="423" customFormat="false" ht="15" hidden="false" customHeight="false" outlineLevel="0" collapsed="false">
      <c r="F423" s="41" t="str">
        <f aca="false">IF(C423="","",IFERROR(IF(ISNUMBER(SEARCH(Assumptions!$C$5,C423)),Assumptions!$D$5,IF(ISNUMBER(SEARCH(Assumptions!$C$6,C423)),Assumptions!$D$6,IF(ISNUMBER(SEARCH(Assumptions!$C$7,C423)),Assumptions!$D$7,"Other Services"))),"Other Services"))</f>
        <v/>
      </c>
    </row>
    <row r="424" customFormat="false" ht="15" hidden="false" customHeight="false" outlineLevel="0" collapsed="false">
      <c r="F424" s="41" t="str">
        <f aca="false">IF(C424="","",IFERROR(IF(ISNUMBER(SEARCH(Assumptions!$C$5,C424)),Assumptions!$D$5,IF(ISNUMBER(SEARCH(Assumptions!$C$6,C424)),Assumptions!$D$6,IF(ISNUMBER(SEARCH(Assumptions!$C$7,C424)),Assumptions!$D$7,"Other Services"))),"Other Services"))</f>
        <v/>
      </c>
    </row>
    <row r="425" customFormat="false" ht="15" hidden="false" customHeight="false" outlineLevel="0" collapsed="false">
      <c r="F425" s="41" t="str">
        <f aca="false">IF(C425="","",IFERROR(IF(ISNUMBER(SEARCH(Assumptions!$C$5,C425)),Assumptions!$D$5,IF(ISNUMBER(SEARCH(Assumptions!$C$6,C425)),Assumptions!$D$6,IF(ISNUMBER(SEARCH(Assumptions!$C$7,C425)),Assumptions!$D$7,"Other Services"))),"Other Services"))</f>
        <v/>
      </c>
    </row>
    <row r="426" customFormat="false" ht="15" hidden="false" customHeight="false" outlineLevel="0" collapsed="false">
      <c r="F426" s="41" t="str">
        <f aca="false">IF(C426="","",IFERROR(IF(ISNUMBER(SEARCH(Assumptions!$C$5,C426)),Assumptions!$D$5,IF(ISNUMBER(SEARCH(Assumptions!$C$6,C426)),Assumptions!$D$6,IF(ISNUMBER(SEARCH(Assumptions!$C$7,C426)),Assumptions!$D$7,"Other Services"))),"Other Services"))</f>
        <v/>
      </c>
    </row>
    <row r="427" customFormat="false" ht="15" hidden="false" customHeight="false" outlineLevel="0" collapsed="false">
      <c r="F427" s="41" t="str">
        <f aca="false">IF(C427="","",IFERROR(IF(ISNUMBER(SEARCH(Assumptions!$C$5,C427)),Assumptions!$D$5,IF(ISNUMBER(SEARCH(Assumptions!$C$6,C427)),Assumptions!$D$6,IF(ISNUMBER(SEARCH(Assumptions!$C$7,C427)),Assumptions!$D$7,"Other Services"))),"Other Services"))</f>
        <v/>
      </c>
    </row>
    <row r="428" customFormat="false" ht="15" hidden="false" customHeight="false" outlineLevel="0" collapsed="false">
      <c r="F428" s="41" t="str">
        <f aca="false">IF(C428="","",IFERROR(IF(ISNUMBER(SEARCH(Assumptions!$C$5,C428)),Assumptions!$D$5,IF(ISNUMBER(SEARCH(Assumptions!$C$6,C428)),Assumptions!$D$6,IF(ISNUMBER(SEARCH(Assumptions!$C$7,C428)),Assumptions!$D$7,"Other Services"))),"Other Services"))</f>
        <v/>
      </c>
    </row>
    <row r="429" customFormat="false" ht="15" hidden="false" customHeight="false" outlineLevel="0" collapsed="false">
      <c r="F429" s="41" t="str">
        <f aca="false">IF(C429="","",IFERROR(IF(ISNUMBER(SEARCH(Assumptions!$C$5,C429)),Assumptions!$D$5,IF(ISNUMBER(SEARCH(Assumptions!$C$6,C429)),Assumptions!$D$6,IF(ISNUMBER(SEARCH(Assumptions!$C$7,C429)),Assumptions!$D$7,"Other Services"))),"Other Services"))</f>
        <v/>
      </c>
    </row>
    <row r="430" customFormat="false" ht="15" hidden="false" customHeight="false" outlineLevel="0" collapsed="false">
      <c r="F430" s="41" t="str">
        <f aca="false">IF(C430="","",IFERROR(IF(ISNUMBER(SEARCH(Assumptions!$C$5,C430)),Assumptions!$D$5,IF(ISNUMBER(SEARCH(Assumptions!$C$6,C430)),Assumptions!$D$6,IF(ISNUMBER(SEARCH(Assumptions!$C$7,C430)),Assumptions!$D$7,"Other Services"))),"Other Services"))</f>
        <v/>
      </c>
    </row>
    <row r="431" customFormat="false" ht="15" hidden="false" customHeight="false" outlineLevel="0" collapsed="false">
      <c r="F431" s="41" t="str">
        <f aca="false">IF(C431="","",IFERROR(IF(ISNUMBER(SEARCH(Assumptions!$C$5,C431)),Assumptions!$D$5,IF(ISNUMBER(SEARCH(Assumptions!$C$6,C431)),Assumptions!$D$6,IF(ISNUMBER(SEARCH(Assumptions!$C$7,C431)),Assumptions!$D$7,"Other Services"))),"Other Services"))</f>
        <v/>
      </c>
    </row>
    <row r="432" customFormat="false" ht="15" hidden="false" customHeight="false" outlineLevel="0" collapsed="false">
      <c r="F432" s="41" t="str">
        <f aca="false">IF(C432="","",IFERROR(IF(ISNUMBER(SEARCH(Assumptions!$C$5,C432)),Assumptions!$D$5,IF(ISNUMBER(SEARCH(Assumptions!$C$6,C432)),Assumptions!$D$6,IF(ISNUMBER(SEARCH(Assumptions!$C$7,C432)),Assumptions!$D$7,"Other Services"))),"Other Services"))</f>
        <v/>
      </c>
    </row>
    <row r="433" customFormat="false" ht="15" hidden="false" customHeight="false" outlineLevel="0" collapsed="false">
      <c r="F433" s="41" t="str">
        <f aca="false">IF(C433="","",IFERROR(IF(ISNUMBER(SEARCH(Assumptions!$C$5,C433)),Assumptions!$D$5,IF(ISNUMBER(SEARCH(Assumptions!$C$6,C433)),Assumptions!$D$6,IF(ISNUMBER(SEARCH(Assumptions!$C$7,C433)),Assumptions!$D$7,"Other Services"))),"Other Services"))</f>
        <v/>
      </c>
    </row>
    <row r="434" customFormat="false" ht="15" hidden="false" customHeight="false" outlineLevel="0" collapsed="false">
      <c r="F434" s="41" t="str">
        <f aca="false">IF(C434="","",IFERROR(IF(ISNUMBER(SEARCH(Assumptions!$C$5,C434)),Assumptions!$D$5,IF(ISNUMBER(SEARCH(Assumptions!$C$6,C434)),Assumptions!$D$6,IF(ISNUMBER(SEARCH(Assumptions!$C$7,C434)),Assumptions!$D$7,"Other Services"))),"Other Services"))</f>
        <v/>
      </c>
    </row>
    <row r="435" customFormat="false" ht="15" hidden="false" customHeight="false" outlineLevel="0" collapsed="false">
      <c r="F435" s="41" t="str">
        <f aca="false">IF(C435="","",IFERROR(IF(ISNUMBER(SEARCH(Assumptions!$C$5,C435)),Assumptions!$D$5,IF(ISNUMBER(SEARCH(Assumptions!$C$6,C435)),Assumptions!$D$6,IF(ISNUMBER(SEARCH(Assumptions!$C$7,C435)),Assumptions!$D$7,"Other Services"))),"Other Services"))</f>
        <v/>
      </c>
    </row>
    <row r="436" customFormat="false" ht="15" hidden="false" customHeight="false" outlineLevel="0" collapsed="false">
      <c r="F436" s="41" t="str">
        <f aca="false">IF(C436="","",IFERROR(IF(ISNUMBER(SEARCH(Assumptions!$C$5,C436)),Assumptions!$D$5,IF(ISNUMBER(SEARCH(Assumptions!$C$6,C436)),Assumptions!$D$6,IF(ISNUMBER(SEARCH(Assumptions!$C$7,C436)),Assumptions!$D$7,"Other Services"))),"Other Services"))</f>
        <v/>
      </c>
    </row>
    <row r="437" customFormat="false" ht="15" hidden="false" customHeight="false" outlineLevel="0" collapsed="false">
      <c r="F437" s="41" t="str">
        <f aca="false">IF(C437="","",IFERROR(IF(ISNUMBER(SEARCH(Assumptions!$C$5,C437)),Assumptions!$D$5,IF(ISNUMBER(SEARCH(Assumptions!$C$6,C437)),Assumptions!$D$6,IF(ISNUMBER(SEARCH(Assumptions!$C$7,C437)),Assumptions!$D$7,"Other Services"))),"Other Services"))</f>
        <v/>
      </c>
    </row>
    <row r="438" customFormat="false" ht="15" hidden="false" customHeight="false" outlineLevel="0" collapsed="false">
      <c r="F438" s="41" t="str">
        <f aca="false">IF(C438="","",IFERROR(IF(ISNUMBER(SEARCH(Assumptions!$C$5,C438)),Assumptions!$D$5,IF(ISNUMBER(SEARCH(Assumptions!$C$6,C438)),Assumptions!$D$6,IF(ISNUMBER(SEARCH(Assumptions!$C$7,C438)),Assumptions!$D$7,"Other Services"))),"Other Services"))</f>
        <v/>
      </c>
    </row>
    <row r="439" customFormat="false" ht="15" hidden="false" customHeight="false" outlineLevel="0" collapsed="false">
      <c r="F439" s="41" t="str">
        <f aca="false">IF(C439="","",IFERROR(IF(ISNUMBER(SEARCH(Assumptions!$C$5,C439)),Assumptions!$D$5,IF(ISNUMBER(SEARCH(Assumptions!$C$6,C439)),Assumptions!$D$6,IF(ISNUMBER(SEARCH(Assumptions!$C$7,C439)),Assumptions!$D$7,"Other Services"))),"Other Services"))</f>
        <v/>
      </c>
    </row>
    <row r="440" customFormat="false" ht="15" hidden="false" customHeight="false" outlineLevel="0" collapsed="false">
      <c r="F440" s="41" t="str">
        <f aca="false">IF(C440="","",IFERROR(IF(ISNUMBER(SEARCH(Assumptions!$C$5,C440)),Assumptions!$D$5,IF(ISNUMBER(SEARCH(Assumptions!$C$6,C440)),Assumptions!$D$6,IF(ISNUMBER(SEARCH(Assumptions!$C$7,C440)),Assumptions!$D$7,"Other Services"))),"Other Services"))</f>
        <v/>
      </c>
    </row>
    <row r="441" customFormat="false" ht="15" hidden="false" customHeight="false" outlineLevel="0" collapsed="false">
      <c r="F441" s="41" t="str">
        <f aca="false">IF(C441="","",IFERROR(IF(ISNUMBER(SEARCH(Assumptions!$C$5,C441)),Assumptions!$D$5,IF(ISNUMBER(SEARCH(Assumptions!$C$6,C441)),Assumptions!$D$6,IF(ISNUMBER(SEARCH(Assumptions!$C$7,C441)),Assumptions!$D$7,"Other Services"))),"Other Services"))</f>
        <v/>
      </c>
    </row>
    <row r="442" customFormat="false" ht="15" hidden="false" customHeight="false" outlineLevel="0" collapsed="false">
      <c r="F442" s="41" t="str">
        <f aca="false">IF(C442="","",IFERROR(IF(ISNUMBER(SEARCH(Assumptions!$C$5,C442)),Assumptions!$D$5,IF(ISNUMBER(SEARCH(Assumptions!$C$6,C442)),Assumptions!$D$6,IF(ISNUMBER(SEARCH(Assumptions!$C$7,C442)),Assumptions!$D$7,"Other Services"))),"Other Services"))</f>
        <v/>
      </c>
    </row>
    <row r="443" customFormat="false" ht="15" hidden="false" customHeight="false" outlineLevel="0" collapsed="false">
      <c r="F443" s="41" t="str">
        <f aca="false">IF(C443="","",IFERROR(IF(ISNUMBER(SEARCH(Assumptions!$C$5,C443)),Assumptions!$D$5,IF(ISNUMBER(SEARCH(Assumptions!$C$6,C443)),Assumptions!$D$6,IF(ISNUMBER(SEARCH(Assumptions!$C$7,C443)),Assumptions!$D$7,"Other Services"))),"Other Services"))</f>
        <v/>
      </c>
    </row>
    <row r="444" customFormat="false" ht="15" hidden="false" customHeight="false" outlineLevel="0" collapsed="false">
      <c r="F444" s="41" t="str">
        <f aca="false">IF(C444="","",IFERROR(IF(ISNUMBER(SEARCH(Assumptions!$C$5,C444)),Assumptions!$D$5,IF(ISNUMBER(SEARCH(Assumptions!$C$6,C444)),Assumptions!$D$6,IF(ISNUMBER(SEARCH(Assumptions!$C$7,C444)),Assumptions!$D$7,"Other Services"))),"Other Services"))</f>
        <v/>
      </c>
    </row>
    <row r="445" customFormat="false" ht="15" hidden="false" customHeight="false" outlineLevel="0" collapsed="false">
      <c r="F445" s="41" t="str">
        <f aca="false">IF(C445="","",IFERROR(IF(ISNUMBER(SEARCH(Assumptions!$C$5,C445)),Assumptions!$D$5,IF(ISNUMBER(SEARCH(Assumptions!$C$6,C445)),Assumptions!$D$6,IF(ISNUMBER(SEARCH(Assumptions!$C$7,C445)),Assumptions!$D$7,"Other Services"))),"Other Services"))</f>
        <v/>
      </c>
    </row>
    <row r="446" customFormat="false" ht="15" hidden="false" customHeight="false" outlineLevel="0" collapsed="false">
      <c r="F446" s="41" t="str">
        <f aca="false">IF(C446="","",IFERROR(IF(ISNUMBER(SEARCH(Assumptions!$C$5,C446)),Assumptions!$D$5,IF(ISNUMBER(SEARCH(Assumptions!$C$6,C446)),Assumptions!$D$6,IF(ISNUMBER(SEARCH(Assumptions!$C$7,C446)),Assumptions!$D$7,"Other Services"))),"Other Services"))</f>
        <v/>
      </c>
    </row>
    <row r="447" customFormat="false" ht="15" hidden="false" customHeight="false" outlineLevel="0" collapsed="false">
      <c r="F447" s="41" t="str">
        <f aca="false">IF(C447="","",IFERROR(IF(ISNUMBER(SEARCH(Assumptions!$C$5,C447)),Assumptions!$D$5,IF(ISNUMBER(SEARCH(Assumptions!$C$6,C447)),Assumptions!$D$6,IF(ISNUMBER(SEARCH(Assumptions!$C$7,C447)),Assumptions!$D$7,"Other Services"))),"Other Services"))</f>
        <v/>
      </c>
    </row>
    <row r="448" customFormat="false" ht="15" hidden="false" customHeight="false" outlineLevel="0" collapsed="false">
      <c r="F448" s="41" t="str">
        <f aca="false">IF(C448="","",IFERROR(IF(ISNUMBER(SEARCH(Assumptions!$C$5,C448)),Assumptions!$D$5,IF(ISNUMBER(SEARCH(Assumptions!$C$6,C448)),Assumptions!$D$6,IF(ISNUMBER(SEARCH(Assumptions!$C$7,C448)),Assumptions!$D$7,"Other Services"))),"Other Services"))</f>
        <v/>
      </c>
    </row>
    <row r="449" customFormat="false" ht="15" hidden="false" customHeight="false" outlineLevel="0" collapsed="false">
      <c r="F449" s="41" t="str">
        <f aca="false">IF(C449="","",IFERROR(IF(ISNUMBER(SEARCH(Assumptions!$C$5,C449)),Assumptions!$D$5,IF(ISNUMBER(SEARCH(Assumptions!$C$6,C449)),Assumptions!$D$6,IF(ISNUMBER(SEARCH(Assumptions!$C$7,C449)),Assumptions!$D$7,"Other Services"))),"Other Services"))</f>
        <v/>
      </c>
    </row>
    <row r="450" customFormat="false" ht="15" hidden="false" customHeight="false" outlineLevel="0" collapsed="false">
      <c r="F450" s="41" t="str">
        <f aca="false">IF(C450="","",IFERROR(IF(ISNUMBER(SEARCH(Assumptions!$C$5,C450)),Assumptions!$D$5,IF(ISNUMBER(SEARCH(Assumptions!$C$6,C450)),Assumptions!$D$6,IF(ISNUMBER(SEARCH(Assumptions!$C$7,C450)),Assumptions!$D$7,"Other Services"))),"Other Services"))</f>
        <v/>
      </c>
    </row>
    <row r="451" customFormat="false" ht="15" hidden="false" customHeight="false" outlineLevel="0" collapsed="false">
      <c r="F451" s="41" t="str">
        <f aca="false">IF(C451="","",IFERROR(IF(ISNUMBER(SEARCH(Assumptions!$C$5,C451)),Assumptions!$D$5,IF(ISNUMBER(SEARCH(Assumptions!$C$6,C451)),Assumptions!$D$6,IF(ISNUMBER(SEARCH(Assumptions!$C$7,C451)),Assumptions!$D$7,"Other Services"))),"Other Services"))</f>
        <v/>
      </c>
    </row>
    <row r="452" customFormat="false" ht="15" hidden="false" customHeight="false" outlineLevel="0" collapsed="false">
      <c r="F452" s="41" t="str">
        <f aca="false">IF(C452="","",IFERROR(IF(ISNUMBER(SEARCH(Assumptions!$C$5,C452)),Assumptions!$D$5,IF(ISNUMBER(SEARCH(Assumptions!$C$6,C452)),Assumptions!$D$6,IF(ISNUMBER(SEARCH(Assumptions!$C$7,C452)),Assumptions!$D$7,"Other Services"))),"Other Services"))</f>
        <v/>
      </c>
    </row>
    <row r="453" customFormat="false" ht="15" hidden="false" customHeight="false" outlineLevel="0" collapsed="false">
      <c r="F453" s="41" t="str">
        <f aca="false">IF(C453="","",IFERROR(IF(ISNUMBER(SEARCH(Assumptions!$C$5,C453)),Assumptions!$D$5,IF(ISNUMBER(SEARCH(Assumptions!$C$6,C453)),Assumptions!$D$6,IF(ISNUMBER(SEARCH(Assumptions!$C$7,C453)),Assumptions!$D$7,"Other Services"))),"Other Services"))</f>
        <v/>
      </c>
    </row>
    <row r="454" customFormat="false" ht="15" hidden="false" customHeight="false" outlineLevel="0" collapsed="false">
      <c r="F454" s="41" t="str">
        <f aca="false">IF(C454="","",IFERROR(IF(ISNUMBER(SEARCH(Assumptions!$C$5,C454)),Assumptions!$D$5,IF(ISNUMBER(SEARCH(Assumptions!$C$6,C454)),Assumptions!$D$6,IF(ISNUMBER(SEARCH(Assumptions!$C$7,C454)),Assumptions!$D$7,"Other Services"))),"Other Services"))</f>
        <v/>
      </c>
    </row>
    <row r="455" customFormat="false" ht="15" hidden="false" customHeight="false" outlineLevel="0" collapsed="false">
      <c r="F455" s="41" t="str">
        <f aca="false">IF(C455="","",IFERROR(IF(ISNUMBER(SEARCH(Assumptions!$C$5,C455)),Assumptions!$D$5,IF(ISNUMBER(SEARCH(Assumptions!$C$6,C455)),Assumptions!$D$6,IF(ISNUMBER(SEARCH(Assumptions!$C$7,C455)),Assumptions!$D$7,"Other Services"))),"Other Services"))</f>
        <v/>
      </c>
    </row>
    <row r="456" customFormat="false" ht="15" hidden="false" customHeight="false" outlineLevel="0" collapsed="false">
      <c r="F456" s="41" t="str">
        <f aca="false">IF(C456="","",IFERROR(IF(ISNUMBER(SEARCH(Assumptions!$C$5,C456)),Assumptions!$D$5,IF(ISNUMBER(SEARCH(Assumptions!$C$6,C456)),Assumptions!$D$6,IF(ISNUMBER(SEARCH(Assumptions!$C$7,C456)),Assumptions!$D$7,"Other Services"))),"Other Services"))</f>
        <v/>
      </c>
    </row>
    <row r="457" customFormat="false" ht="15" hidden="false" customHeight="false" outlineLevel="0" collapsed="false">
      <c r="F457" s="41" t="str">
        <f aca="false">IF(C457="","",IFERROR(IF(ISNUMBER(SEARCH(Assumptions!$C$5,C457)),Assumptions!$D$5,IF(ISNUMBER(SEARCH(Assumptions!$C$6,C457)),Assumptions!$D$6,IF(ISNUMBER(SEARCH(Assumptions!$C$7,C457)),Assumptions!$D$7,"Other Services"))),"Other Services"))</f>
        <v/>
      </c>
    </row>
    <row r="458" customFormat="false" ht="15" hidden="false" customHeight="false" outlineLevel="0" collapsed="false">
      <c r="F458" s="41" t="str">
        <f aca="false">IF(C458="","",IFERROR(IF(ISNUMBER(SEARCH(Assumptions!$C$5,C458)),Assumptions!$D$5,IF(ISNUMBER(SEARCH(Assumptions!$C$6,C458)),Assumptions!$D$6,IF(ISNUMBER(SEARCH(Assumptions!$C$7,C458)),Assumptions!$D$7,"Other Services"))),"Other Services"))</f>
        <v/>
      </c>
    </row>
    <row r="459" customFormat="false" ht="15" hidden="false" customHeight="false" outlineLevel="0" collapsed="false">
      <c r="F459" s="41" t="str">
        <f aca="false">IF(C459="","",IFERROR(IF(ISNUMBER(SEARCH(Assumptions!$C$5,C459)),Assumptions!$D$5,IF(ISNUMBER(SEARCH(Assumptions!$C$6,C459)),Assumptions!$D$6,IF(ISNUMBER(SEARCH(Assumptions!$C$7,C459)),Assumptions!$D$7,"Other Services"))),"Other Services"))</f>
        <v/>
      </c>
    </row>
    <row r="460" customFormat="false" ht="15" hidden="false" customHeight="false" outlineLevel="0" collapsed="false">
      <c r="F460" s="41" t="str">
        <f aca="false">IF(C460="","",IFERROR(IF(ISNUMBER(SEARCH(Assumptions!$C$5,C460)),Assumptions!$D$5,IF(ISNUMBER(SEARCH(Assumptions!$C$6,C460)),Assumptions!$D$6,IF(ISNUMBER(SEARCH(Assumptions!$C$7,C460)),Assumptions!$D$7,"Other Services"))),"Other Services"))</f>
        <v/>
      </c>
    </row>
    <row r="461" customFormat="false" ht="15" hidden="false" customHeight="false" outlineLevel="0" collapsed="false">
      <c r="F461" s="41" t="str">
        <f aca="false">IF(C461="","",IFERROR(IF(ISNUMBER(SEARCH(Assumptions!$C$5,C461)),Assumptions!$D$5,IF(ISNUMBER(SEARCH(Assumptions!$C$6,C461)),Assumptions!$D$6,IF(ISNUMBER(SEARCH(Assumptions!$C$7,C461)),Assumptions!$D$7,"Other Services"))),"Other Services"))</f>
        <v/>
      </c>
    </row>
    <row r="462" customFormat="false" ht="15" hidden="false" customHeight="false" outlineLevel="0" collapsed="false">
      <c r="F462" s="41" t="str">
        <f aca="false">IF(C462="","",IFERROR(IF(ISNUMBER(SEARCH(Assumptions!$C$5,C462)),Assumptions!$D$5,IF(ISNUMBER(SEARCH(Assumptions!$C$6,C462)),Assumptions!$D$6,IF(ISNUMBER(SEARCH(Assumptions!$C$7,C462)),Assumptions!$D$7,"Other Services"))),"Other Services"))</f>
        <v/>
      </c>
    </row>
    <row r="463" customFormat="false" ht="15" hidden="false" customHeight="false" outlineLevel="0" collapsed="false">
      <c r="F463" s="41" t="str">
        <f aca="false">IF(C463="","",IFERROR(IF(ISNUMBER(SEARCH(Assumptions!$C$5,C463)),Assumptions!$D$5,IF(ISNUMBER(SEARCH(Assumptions!$C$6,C463)),Assumptions!$D$6,IF(ISNUMBER(SEARCH(Assumptions!$C$7,C463)),Assumptions!$D$7,"Other Services"))),"Other Services"))</f>
        <v/>
      </c>
    </row>
    <row r="464" customFormat="false" ht="15" hidden="false" customHeight="false" outlineLevel="0" collapsed="false">
      <c r="F464" s="41" t="str">
        <f aca="false">IF(C464="","",IFERROR(IF(ISNUMBER(SEARCH(Assumptions!$C$5,C464)),Assumptions!$D$5,IF(ISNUMBER(SEARCH(Assumptions!$C$6,C464)),Assumptions!$D$6,IF(ISNUMBER(SEARCH(Assumptions!$C$7,C464)),Assumptions!$D$7,"Other Services"))),"Other Services"))</f>
        <v/>
      </c>
    </row>
    <row r="465" customFormat="false" ht="15" hidden="false" customHeight="false" outlineLevel="0" collapsed="false">
      <c r="F465" s="41" t="str">
        <f aca="false">IF(C465="","",IFERROR(IF(ISNUMBER(SEARCH(Assumptions!$C$5,C465)),Assumptions!$D$5,IF(ISNUMBER(SEARCH(Assumptions!$C$6,C465)),Assumptions!$D$6,IF(ISNUMBER(SEARCH(Assumptions!$C$7,C465)),Assumptions!$D$7,"Other Services"))),"Other Services"))</f>
        <v/>
      </c>
    </row>
    <row r="466" customFormat="false" ht="15" hidden="false" customHeight="false" outlineLevel="0" collapsed="false">
      <c r="F466" s="41" t="str">
        <f aca="false">IF(C466="","",IFERROR(IF(ISNUMBER(SEARCH(Assumptions!$C$5,C466)),Assumptions!$D$5,IF(ISNUMBER(SEARCH(Assumptions!$C$6,C466)),Assumptions!$D$6,IF(ISNUMBER(SEARCH(Assumptions!$C$7,C466)),Assumptions!$D$7,"Other Services"))),"Other Services"))</f>
        <v/>
      </c>
    </row>
    <row r="467" customFormat="false" ht="15" hidden="false" customHeight="false" outlineLevel="0" collapsed="false">
      <c r="F467" s="41" t="str">
        <f aca="false">IF(C467="","",IFERROR(IF(ISNUMBER(SEARCH(Assumptions!$C$5,C467)),Assumptions!$D$5,IF(ISNUMBER(SEARCH(Assumptions!$C$6,C467)),Assumptions!$D$6,IF(ISNUMBER(SEARCH(Assumptions!$C$7,C467)),Assumptions!$D$7,"Other Services"))),"Other Services"))</f>
        <v/>
      </c>
    </row>
    <row r="468" customFormat="false" ht="15" hidden="false" customHeight="false" outlineLevel="0" collapsed="false">
      <c r="F468" s="41" t="str">
        <f aca="false">IF(C468="","",IFERROR(IF(ISNUMBER(SEARCH(Assumptions!$C$5,C468)),Assumptions!$D$5,IF(ISNUMBER(SEARCH(Assumptions!$C$6,C468)),Assumptions!$D$6,IF(ISNUMBER(SEARCH(Assumptions!$C$7,C468)),Assumptions!$D$7,"Other Services"))),"Other Services"))</f>
        <v/>
      </c>
    </row>
    <row r="469" customFormat="false" ht="15" hidden="false" customHeight="false" outlineLevel="0" collapsed="false">
      <c r="F469" s="41" t="str">
        <f aca="false">IF(C469="","",IFERROR(IF(ISNUMBER(SEARCH(Assumptions!$C$5,C469)),Assumptions!$D$5,IF(ISNUMBER(SEARCH(Assumptions!$C$6,C469)),Assumptions!$D$6,IF(ISNUMBER(SEARCH(Assumptions!$C$7,C469)),Assumptions!$D$7,"Other Services"))),"Other Services"))</f>
        <v/>
      </c>
    </row>
    <row r="470" customFormat="false" ht="15" hidden="false" customHeight="false" outlineLevel="0" collapsed="false">
      <c r="F470" s="41" t="str">
        <f aca="false">IF(C470="","",IFERROR(IF(ISNUMBER(SEARCH(Assumptions!$C$5,C470)),Assumptions!$D$5,IF(ISNUMBER(SEARCH(Assumptions!$C$6,C470)),Assumptions!$D$6,IF(ISNUMBER(SEARCH(Assumptions!$C$7,C470)),Assumptions!$D$7,"Other Services"))),"Other Services"))</f>
        <v/>
      </c>
    </row>
    <row r="471" customFormat="false" ht="15" hidden="false" customHeight="false" outlineLevel="0" collapsed="false">
      <c r="F471" s="41" t="str">
        <f aca="false">IF(C471="","",IFERROR(IF(ISNUMBER(SEARCH(Assumptions!$C$5,C471)),Assumptions!$D$5,IF(ISNUMBER(SEARCH(Assumptions!$C$6,C471)),Assumptions!$D$6,IF(ISNUMBER(SEARCH(Assumptions!$C$7,C471)),Assumptions!$D$7,"Other Services"))),"Other Services"))</f>
        <v/>
      </c>
    </row>
    <row r="472" customFormat="false" ht="15" hidden="false" customHeight="false" outlineLevel="0" collapsed="false">
      <c r="F472" s="41" t="str">
        <f aca="false">IF(C472="","",IFERROR(IF(ISNUMBER(SEARCH(Assumptions!$C$5,C472)),Assumptions!$D$5,IF(ISNUMBER(SEARCH(Assumptions!$C$6,C472)),Assumptions!$D$6,IF(ISNUMBER(SEARCH(Assumptions!$C$7,C472)),Assumptions!$D$7,"Other Services"))),"Other Services"))</f>
        <v/>
      </c>
    </row>
    <row r="473" customFormat="false" ht="15" hidden="false" customHeight="false" outlineLevel="0" collapsed="false">
      <c r="F473" s="41" t="str">
        <f aca="false">IF(C473="","",IFERROR(IF(ISNUMBER(SEARCH(Assumptions!$C$5,C473)),Assumptions!$D$5,IF(ISNUMBER(SEARCH(Assumptions!$C$6,C473)),Assumptions!$D$6,IF(ISNUMBER(SEARCH(Assumptions!$C$7,C473)),Assumptions!$D$7,"Other Services"))),"Other Services"))</f>
        <v/>
      </c>
    </row>
    <row r="474" customFormat="false" ht="15" hidden="false" customHeight="false" outlineLevel="0" collapsed="false">
      <c r="F474" s="41" t="str">
        <f aca="false">IF(C474="","",IFERROR(IF(ISNUMBER(SEARCH(Assumptions!$C$5,C474)),Assumptions!$D$5,IF(ISNUMBER(SEARCH(Assumptions!$C$6,C474)),Assumptions!$D$6,IF(ISNUMBER(SEARCH(Assumptions!$C$7,C474)),Assumptions!$D$7,"Other Services"))),"Other Services"))</f>
        <v/>
      </c>
    </row>
    <row r="475" customFormat="false" ht="15" hidden="false" customHeight="false" outlineLevel="0" collapsed="false">
      <c r="F475" s="41" t="str">
        <f aca="false">IF(C475="","",IFERROR(IF(ISNUMBER(SEARCH(Assumptions!$C$5,C475)),Assumptions!$D$5,IF(ISNUMBER(SEARCH(Assumptions!$C$6,C475)),Assumptions!$D$6,IF(ISNUMBER(SEARCH(Assumptions!$C$7,C475)),Assumptions!$D$7,"Other Services"))),"Other Services"))</f>
        <v/>
      </c>
    </row>
    <row r="476" customFormat="false" ht="15" hidden="false" customHeight="false" outlineLevel="0" collapsed="false">
      <c r="F476" s="41" t="str">
        <f aca="false">IF(C476="","",IFERROR(IF(ISNUMBER(SEARCH(Assumptions!$C$5,C476)),Assumptions!$D$5,IF(ISNUMBER(SEARCH(Assumptions!$C$6,C476)),Assumptions!$D$6,IF(ISNUMBER(SEARCH(Assumptions!$C$7,C476)),Assumptions!$D$7,"Other Services"))),"Other Services"))</f>
        <v/>
      </c>
    </row>
    <row r="477" customFormat="false" ht="15" hidden="false" customHeight="false" outlineLevel="0" collapsed="false">
      <c r="F477" s="41" t="str">
        <f aca="false">IF(C477="","",IFERROR(IF(ISNUMBER(SEARCH(Assumptions!$C$5,C477)),Assumptions!$D$5,IF(ISNUMBER(SEARCH(Assumptions!$C$6,C477)),Assumptions!$D$6,IF(ISNUMBER(SEARCH(Assumptions!$C$7,C477)),Assumptions!$D$7,"Other Services"))),"Other Services"))</f>
        <v/>
      </c>
    </row>
    <row r="478" customFormat="false" ht="15" hidden="false" customHeight="false" outlineLevel="0" collapsed="false">
      <c r="F478" s="41" t="str">
        <f aca="false">IF(C478="","",IFERROR(IF(ISNUMBER(SEARCH(Assumptions!$C$5,C478)),Assumptions!$D$5,IF(ISNUMBER(SEARCH(Assumptions!$C$6,C478)),Assumptions!$D$6,IF(ISNUMBER(SEARCH(Assumptions!$C$7,C478)),Assumptions!$D$7,"Other Services"))),"Other Services"))</f>
        <v/>
      </c>
    </row>
    <row r="479" customFormat="false" ht="15" hidden="false" customHeight="false" outlineLevel="0" collapsed="false">
      <c r="F479" s="41" t="str">
        <f aca="false">IF(C479="","",IFERROR(IF(ISNUMBER(SEARCH(Assumptions!$C$5,C479)),Assumptions!$D$5,IF(ISNUMBER(SEARCH(Assumptions!$C$6,C479)),Assumptions!$D$6,IF(ISNUMBER(SEARCH(Assumptions!$C$7,C479)),Assumptions!$D$7,"Other Services"))),"Other Services"))</f>
        <v/>
      </c>
    </row>
    <row r="480" customFormat="false" ht="15" hidden="false" customHeight="false" outlineLevel="0" collapsed="false">
      <c r="F480" s="41" t="str">
        <f aca="false">IF(C480="","",IFERROR(IF(ISNUMBER(SEARCH(Assumptions!$C$5,C480)),Assumptions!$D$5,IF(ISNUMBER(SEARCH(Assumptions!$C$6,C480)),Assumptions!$D$6,IF(ISNUMBER(SEARCH(Assumptions!$C$7,C480)),Assumptions!$D$7,"Other Services"))),"Other Services"))</f>
        <v/>
      </c>
    </row>
    <row r="481" customFormat="false" ht="15" hidden="false" customHeight="false" outlineLevel="0" collapsed="false">
      <c r="F481" s="41" t="str">
        <f aca="false">IF(C481="","",IFERROR(IF(ISNUMBER(SEARCH(Assumptions!$C$5,C481)),Assumptions!$D$5,IF(ISNUMBER(SEARCH(Assumptions!$C$6,C481)),Assumptions!$D$6,IF(ISNUMBER(SEARCH(Assumptions!$C$7,C481)),Assumptions!$D$7,"Other Services"))),"Other Services"))</f>
        <v/>
      </c>
    </row>
    <row r="482" customFormat="false" ht="15" hidden="false" customHeight="false" outlineLevel="0" collapsed="false">
      <c r="F482" s="41" t="str">
        <f aca="false">IF(C482="","",IFERROR(IF(ISNUMBER(SEARCH(Assumptions!$C$5,C482)),Assumptions!$D$5,IF(ISNUMBER(SEARCH(Assumptions!$C$6,C482)),Assumptions!$D$6,IF(ISNUMBER(SEARCH(Assumptions!$C$7,C482)),Assumptions!$D$7,"Other Services"))),"Other Services"))</f>
        <v/>
      </c>
    </row>
    <row r="483" customFormat="false" ht="15" hidden="false" customHeight="false" outlineLevel="0" collapsed="false">
      <c r="F483" s="41" t="str">
        <f aca="false">IF(C483="","",IFERROR(IF(ISNUMBER(SEARCH(Assumptions!$C$5,C483)),Assumptions!$D$5,IF(ISNUMBER(SEARCH(Assumptions!$C$6,C483)),Assumptions!$D$6,IF(ISNUMBER(SEARCH(Assumptions!$C$7,C483)),Assumptions!$D$7,"Other Services"))),"Other Services"))</f>
        <v/>
      </c>
    </row>
    <row r="484" customFormat="false" ht="15" hidden="false" customHeight="false" outlineLevel="0" collapsed="false">
      <c r="F484" s="41" t="str">
        <f aca="false">IF(C484="","",IFERROR(IF(ISNUMBER(SEARCH(Assumptions!$C$5,C484)),Assumptions!$D$5,IF(ISNUMBER(SEARCH(Assumptions!$C$6,C484)),Assumptions!$D$6,IF(ISNUMBER(SEARCH(Assumptions!$C$7,C484)),Assumptions!$D$7,"Other Services"))),"Other Services"))</f>
        <v/>
      </c>
    </row>
    <row r="485" customFormat="false" ht="15" hidden="false" customHeight="false" outlineLevel="0" collapsed="false">
      <c r="F485" s="41" t="str">
        <f aca="false">IF(C485="","",IFERROR(IF(ISNUMBER(SEARCH(Assumptions!$C$5,C485)),Assumptions!$D$5,IF(ISNUMBER(SEARCH(Assumptions!$C$6,C485)),Assumptions!$D$6,IF(ISNUMBER(SEARCH(Assumptions!$C$7,C485)),Assumptions!$D$7,"Other Services"))),"Other Services"))</f>
        <v/>
      </c>
    </row>
    <row r="486" customFormat="false" ht="15" hidden="false" customHeight="false" outlineLevel="0" collapsed="false">
      <c r="F486" s="41" t="str">
        <f aca="false">IF(C486="","",IFERROR(IF(ISNUMBER(SEARCH(Assumptions!$C$5,C486)),Assumptions!$D$5,IF(ISNUMBER(SEARCH(Assumptions!$C$6,C486)),Assumptions!$D$6,IF(ISNUMBER(SEARCH(Assumptions!$C$7,C486)),Assumptions!$D$7,"Other Services"))),"Other Services"))</f>
        <v/>
      </c>
    </row>
    <row r="487" customFormat="false" ht="15" hidden="false" customHeight="false" outlineLevel="0" collapsed="false">
      <c r="F487" s="41" t="str">
        <f aca="false">IF(C487="","",IFERROR(IF(ISNUMBER(SEARCH(Assumptions!$C$5,C487)),Assumptions!$D$5,IF(ISNUMBER(SEARCH(Assumptions!$C$6,C487)),Assumptions!$D$6,IF(ISNUMBER(SEARCH(Assumptions!$C$7,C487)),Assumptions!$D$7,"Other Services"))),"Other Services"))</f>
        <v/>
      </c>
    </row>
    <row r="488" customFormat="false" ht="15" hidden="false" customHeight="false" outlineLevel="0" collapsed="false">
      <c r="F488" s="41" t="str">
        <f aca="false">IF(C488="","",IFERROR(IF(ISNUMBER(SEARCH(Assumptions!$C$5,C488)),Assumptions!$D$5,IF(ISNUMBER(SEARCH(Assumptions!$C$6,C488)),Assumptions!$D$6,IF(ISNUMBER(SEARCH(Assumptions!$C$7,C488)),Assumptions!$D$7,"Other Services"))),"Other Services"))</f>
        <v/>
      </c>
    </row>
    <row r="489" customFormat="false" ht="15" hidden="false" customHeight="false" outlineLevel="0" collapsed="false">
      <c r="F489" s="41" t="str">
        <f aca="false">IF(C489="","",IFERROR(IF(ISNUMBER(SEARCH(Assumptions!$C$5,C489)),Assumptions!$D$5,IF(ISNUMBER(SEARCH(Assumptions!$C$6,C489)),Assumptions!$D$6,IF(ISNUMBER(SEARCH(Assumptions!$C$7,C489)),Assumptions!$D$7,"Other Services"))),"Other Services"))</f>
        <v/>
      </c>
    </row>
    <row r="490" customFormat="false" ht="15" hidden="false" customHeight="false" outlineLevel="0" collapsed="false">
      <c r="F490" s="41" t="str">
        <f aca="false">IF(C490="","",IFERROR(IF(ISNUMBER(SEARCH(Assumptions!$C$5,C490)),Assumptions!$D$5,IF(ISNUMBER(SEARCH(Assumptions!$C$6,C490)),Assumptions!$D$6,IF(ISNUMBER(SEARCH(Assumptions!$C$7,C490)),Assumptions!$D$7,"Other Services"))),"Other Services"))</f>
        <v/>
      </c>
    </row>
    <row r="491" customFormat="false" ht="15" hidden="false" customHeight="false" outlineLevel="0" collapsed="false">
      <c r="F491" s="41" t="str">
        <f aca="false">IF(C491="","",IFERROR(IF(ISNUMBER(SEARCH(Assumptions!$C$5,C491)),Assumptions!$D$5,IF(ISNUMBER(SEARCH(Assumptions!$C$6,C491)),Assumptions!$D$6,IF(ISNUMBER(SEARCH(Assumptions!$C$7,C491)),Assumptions!$D$7,"Other Services"))),"Other Services"))</f>
        <v/>
      </c>
    </row>
    <row r="492" customFormat="false" ht="15" hidden="false" customHeight="false" outlineLevel="0" collapsed="false">
      <c r="F492" s="41" t="str">
        <f aca="false">IF(C492="","",IFERROR(IF(ISNUMBER(SEARCH(Assumptions!$C$5,C492)),Assumptions!$D$5,IF(ISNUMBER(SEARCH(Assumptions!$C$6,C492)),Assumptions!$D$6,IF(ISNUMBER(SEARCH(Assumptions!$C$7,C492)),Assumptions!$D$7,"Other Services"))),"Other Services"))</f>
        <v/>
      </c>
    </row>
    <row r="493" customFormat="false" ht="15" hidden="false" customHeight="false" outlineLevel="0" collapsed="false">
      <c r="F493" s="41" t="str">
        <f aca="false">IF(C493="","",IFERROR(IF(ISNUMBER(SEARCH(Assumptions!$C$5,C493)),Assumptions!$D$5,IF(ISNUMBER(SEARCH(Assumptions!$C$6,C493)),Assumptions!$D$6,IF(ISNUMBER(SEARCH(Assumptions!$C$7,C493)),Assumptions!$D$7,"Other Services"))),"Other Services"))</f>
        <v/>
      </c>
    </row>
    <row r="494" customFormat="false" ht="15" hidden="false" customHeight="false" outlineLevel="0" collapsed="false">
      <c r="F494" s="41" t="str">
        <f aca="false">IF(C494="","",IFERROR(IF(ISNUMBER(SEARCH(Assumptions!$C$5,C494)),Assumptions!$D$5,IF(ISNUMBER(SEARCH(Assumptions!$C$6,C494)),Assumptions!$D$6,IF(ISNUMBER(SEARCH(Assumptions!$C$7,C494)),Assumptions!$D$7,"Other Services"))),"Other Services"))</f>
        <v/>
      </c>
    </row>
    <row r="495" customFormat="false" ht="15" hidden="false" customHeight="false" outlineLevel="0" collapsed="false">
      <c r="F495" s="41" t="str">
        <f aca="false">IF(C495="","",IFERROR(IF(ISNUMBER(SEARCH(Assumptions!$C$5,C495)),Assumptions!$D$5,IF(ISNUMBER(SEARCH(Assumptions!$C$6,C495)),Assumptions!$D$6,IF(ISNUMBER(SEARCH(Assumptions!$C$7,C495)),Assumptions!$D$7,"Other Services"))),"Other Services"))</f>
        <v/>
      </c>
    </row>
    <row r="496" customFormat="false" ht="15" hidden="false" customHeight="false" outlineLevel="0" collapsed="false">
      <c r="F496" s="41" t="str">
        <f aca="false">IF(C496="","",IFERROR(IF(ISNUMBER(SEARCH(Assumptions!$C$5,C496)),Assumptions!$D$5,IF(ISNUMBER(SEARCH(Assumptions!$C$6,C496)),Assumptions!$D$6,IF(ISNUMBER(SEARCH(Assumptions!$C$7,C496)),Assumptions!$D$7,"Other Services"))),"Other Services"))</f>
        <v/>
      </c>
    </row>
    <row r="497" customFormat="false" ht="15" hidden="false" customHeight="false" outlineLevel="0" collapsed="false">
      <c r="F497" s="41" t="str">
        <f aca="false">IF(C497="","",IFERROR(IF(ISNUMBER(SEARCH(Assumptions!$C$5,C497)),Assumptions!$D$5,IF(ISNUMBER(SEARCH(Assumptions!$C$6,C497)),Assumptions!$D$6,IF(ISNUMBER(SEARCH(Assumptions!$C$7,C497)),Assumptions!$D$7,"Other Services"))),"Other Services"))</f>
        <v/>
      </c>
    </row>
    <row r="498" customFormat="false" ht="15" hidden="false" customHeight="false" outlineLevel="0" collapsed="false">
      <c r="F498" s="41" t="str">
        <f aca="false">IF(C498="","",IFERROR(IF(ISNUMBER(SEARCH(Assumptions!$C$5,C498)),Assumptions!$D$5,IF(ISNUMBER(SEARCH(Assumptions!$C$6,C498)),Assumptions!$D$6,IF(ISNUMBER(SEARCH(Assumptions!$C$7,C498)),Assumptions!$D$7,"Other Services"))),"Other Services"))</f>
        <v/>
      </c>
    </row>
    <row r="499" customFormat="false" ht="15" hidden="false" customHeight="false" outlineLevel="0" collapsed="false">
      <c r="F499" s="41" t="str">
        <f aca="false">IF(C499="","",IFERROR(IF(ISNUMBER(SEARCH(Assumptions!$C$5,C499)),Assumptions!$D$5,IF(ISNUMBER(SEARCH(Assumptions!$C$6,C499)),Assumptions!$D$6,IF(ISNUMBER(SEARCH(Assumptions!$C$7,C499)),Assumptions!$D$7,"Other Services"))),"Other Services"))</f>
        <v/>
      </c>
    </row>
    <row r="500" customFormat="false" ht="15" hidden="false" customHeight="false" outlineLevel="0" collapsed="false">
      <c r="F500" s="41" t="str">
        <f aca="false">IF(C500="","",IFERROR(IF(ISNUMBER(SEARCH(Assumptions!$C$5,C500)),Assumptions!$D$5,IF(ISNUMBER(SEARCH(Assumptions!$C$6,C500)),Assumptions!$D$6,IF(ISNUMBER(SEARCH(Assumptions!$C$7,C500)),Assumptions!$D$7,"Other Services"))),"Other Services"))</f>
        <v/>
      </c>
    </row>
    <row r="501" customFormat="false" ht="15" hidden="false" customHeight="false" outlineLevel="0" collapsed="false">
      <c r="F501" s="41" t="str">
        <f aca="false">IF(C501="","",IFERROR(IF(ISNUMBER(SEARCH(Assumptions!$C$5,C501)),Assumptions!$D$5,IF(ISNUMBER(SEARCH(Assumptions!$C$6,C501)),Assumptions!$D$6,IF(ISNUMBER(SEARCH(Assumptions!$C$7,C501)),Assumptions!$D$7,"Other Services"))),"Other Services"))</f>
        <v/>
      </c>
    </row>
    <row r="502" customFormat="false" ht="15" hidden="false" customHeight="false" outlineLevel="0" collapsed="false">
      <c r="F502" s="41" t="str">
        <f aca="false">IF(C502="","",IFERROR(IF(ISNUMBER(SEARCH(Assumptions!$C$5,C502)),Assumptions!$D$5,IF(ISNUMBER(SEARCH(Assumptions!$C$6,C502)),Assumptions!$D$6,IF(ISNUMBER(SEARCH(Assumptions!$C$7,C502)),Assumptions!$D$7,"Other Services"))),"Other Services"))</f>
        <v/>
      </c>
    </row>
    <row r="503" customFormat="false" ht="15" hidden="false" customHeight="false" outlineLevel="0" collapsed="false">
      <c r="F503" s="41" t="str">
        <f aca="false">IF(C503="","",IFERROR(IF(ISNUMBER(SEARCH(Assumptions!$C$5,C503)),Assumptions!$D$5,IF(ISNUMBER(SEARCH(Assumptions!$C$6,C503)),Assumptions!$D$6,IF(ISNUMBER(SEARCH(Assumptions!$C$7,C503)),Assumptions!$D$7,"Other Services"))),"Other Services"))</f>
        <v/>
      </c>
    </row>
    <row r="504" customFormat="false" ht="15" hidden="false" customHeight="false" outlineLevel="0" collapsed="false">
      <c r="F504" s="41" t="str">
        <f aca="false">IF(C504="","",IFERROR(IF(ISNUMBER(SEARCH(Assumptions!$C$5,C504)),Assumptions!$D$5,IF(ISNUMBER(SEARCH(Assumptions!$C$6,C504)),Assumptions!$D$6,IF(ISNUMBER(SEARCH(Assumptions!$C$7,C504)),Assumptions!$D$7,"Other Services"))),"Other Services"))</f>
        <v/>
      </c>
    </row>
    <row r="505" customFormat="false" ht="15" hidden="false" customHeight="false" outlineLevel="0" collapsed="false">
      <c r="F505" s="41" t="str">
        <f aca="false">IF(C505="","",IFERROR(IF(ISNUMBER(SEARCH(Assumptions!$C$5,C505)),Assumptions!$D$5,IF(ISNUMBER(SEARCH(Assumptions!$C$6,C505)),Assumptions!$D$6,IF(ISNUMBER(SEARCH(Assumptions!$C$7,C505)),Assumptions!$D$7,"Other Services"))),"Other Services"))</f>
        <v/>
      </c>
    </row>
    <row r="506" customFormat="false" ht="15" hidden="false" customHeight="false" outlineLevel="0" collapsed="false">
      <c r="F506" s="41" t="str">
        <f aca="false">IF(C506="","",IFERROR(IF(ISNUMBER(SEARCH(Assumptions!$C$5,C506)),Assumptions!$D$5,IF(ISNUMBER(SEARCH(Assumptions!$C$6,C506)),Assumptions!$D$6,IF(ISNUMBER(SEARCH(Assumptions!$C$7,C506)),Assumptions!$D$7,"Other Services"))),"Other Services"))</f>
        <v/>
      </c>
    </row>
    <row r="507" customFormat="false" ht="15" hidden="false" customHeight="false" outlineLevel="0" collapsed="false">
      <c r="F507" s="41" t="str">
        <f aca="false">IF(C507="","",IFERROR(IF(ISNUMBER(SEARCH(Assumptions!$C$5,C507)),Assumptions!$D$5,IF(ISNUMBER(SEARCH(Assumptions!$C$6,C507)),Assumptions!$D$6,IF(ISNUMBER(SEARCH(Assumptions!$C$7,C507)),Assumptions!$D$7,"Other Services"))),"Other Services"))</f>
        <v/>
      </c>
    </row>
    <row r="508" customFormat="false" ht="15" hidden="false" customHeight="false" outlineLevel="0" collapsed="false">
      <c r="F508" s="41" t="str">
        <f aca="false">IF(C508="","",IFERROR(IF(ISNUMBER(SEARCH(Assumptions!$C$5,C508)),Assumptions!$D$5,IF(ISNUMBER(SEARCH(Assumptions!$C$6,C508)),Assumptions!$D$6,IF(ISNUMBER(SEARCH(Assumptions!$C$7,C508)),Assumptions!$D$7,"Other Services"))),"Other Services"))</f>
        <v/>
      </c>
    </row>
    <row r="509" customFormat="false" ht="15" hidden="false" customHeight="false" outlineLevel="0" collapsed="false">
      <c r="F509" s="41" t="str">
        <f aca="false">IF(C509="","",IFERROR(IF(ISNUMBER(SEARCH(Assumptions!$C$5,C509)),Assumptions!$D$5,IF(ISNUMBER(SEARCH(Assumptions!$C$6,C509)),Assumptions!$D$6,IF(ISNUMBER(SEARCH(Assumptions!$C$7,C509)),Assumptions!$D$7,"Other Services"))),"Other Services"))</f>
        <v/>
      </c>
    </row>
    <row r="510" customFormat="false" ht="15" hidden="false" customHeight="false" outlineLevel="0" collapsed="false">
      <c r="F510" s="41" t="str">
        <f aca="false">IF(C510="","",IFERROR(IF(ISNUMBER(SEARCH(Assumptions!$C$5,C510)),Assumptions!$D$5,IF(ISNUMBER(SEARCH(Assumptions!$C$6,C510)),Assumptions!$D$6,IF(ISNUMBER(SEARCH(Assumptions!$C$7,C510)),Assumptions!$D$7,"Other Services"))),"Other Services"))</f>
        <v/>
      </c>
    </row>
    <row r="511" customFormat="false" ht="15" hidden="false" customHeight="false" outlineLevel="0" collapsed="false">
      <c r="F511" s="41" t="str">
        <f aca="false">IF(C511="","",IFERROR(IF(ISNUMBER(SEARCH(Assumptions!$C$5,C511)),Assumptions!$D$5,IF(ISNUMBER(SEARCH(Assumptions!$C$6,C511)),Assumptions!$D$6,IF(ISNUMBER(SEARCH(Assumptions!$C$7,C511)),Assumptions!$D$7,"Other Services"))),"Other Services"))</f>
        <v/>
      </c>
    </row>
    <row r="512" customFormat="false" ht="15" hidden="false" customHeight="false" outlineLevel="0" collapsed="false">
      <c r="F512" s="41" t="str">
        <f aca="false">IF(C512="","",IFERROR(IF(ISNUMBER(SEARCH(Assumptions!$C$5,C512)),Assumptions!$D$5,IF(ISNUMBER(SEARCH(Assumptions!$C$6,C512)),Assumptions!$D$6,IF(ISNUMBER(SEARCH(Assumptions!$C$7,C512)),Assumptions!$D$7,"Other Services"))),"Other Services"))</f>
        <v/>
      </c>
    </row>
    <row r="513" customFormat="false" ht="15" hidden="false" customHeight="false" outlineLevel="0" collapsed="false">
      <c r="F513" s="41" t="str">
        <f aca="false">IF(C513="","",IFERROR(IF(ISNUMBER(SEARCH(Assumptions!$C$5,C513)),Assumptions!$D$5,IF(ISNUMBER(SEARCH(Assumptions!$C$6,C513)),Assumptions!$D$6,IF(ISNUMBER(SEARCH(Assumptions!$C$7,C513)),Assumptions!$D$7,"Other Services"))),"Other Services"))</f>
        <v/>
      </c>
    </row>
    <row r="514" customFormat="false" ht="15" hidden="false" customHeight="false" outlineLevel="0" collapsed="false">
      <c r="F514" s="41" t="str">
        <f aca="false">IF(C514="","",IFERROR(IF(ISNUMBER(SEARCH(Assumptions!$C$5,C514)),Assumptions!$D$5,IF(ISNUMBER(SEARCH(Assumptions!$C$6,C514)),Assumptions!$D$6,IF(ISNUMBER(SEARCH(Assumptions!$C$7,C514)),Assumptions!$D$7,"Other Services"))),"Other Services"))</f>
        <v/>
      </c>
    </row>
    <row r="515" customFormat="false" ht="15" hidden="false" customHeight="false" outlineLevel="0" collapsed="false">
      <c r="F515" s="41" t="str">
        <f aca="false">IF(C515="","",IFERROR(IF(ISNUMBER(SEARCH(Assumptions!$C$5,C515)),Assumptions!$D$5,IF(ISNUMBER(SEARCH(Assumptions!$C$6,C515)),Assumptions!$D$6,IF(ISNUMBER(SEARCH(Assumptions!$C$7,C515)),Assumptions!$D$7,"Other Services"))),"Other Services"))</f>
        <v/>
      </c>
    </row>
    <row r="516" customFormat="false" ht="15" hidden="false" customHeight="false" outlineLevel="0" collapsed="false">
      <c r="F516" s="41" t="str">
        <f aca="false">IF(C516="","",IFERROR(IF(ISNUMBER(SEARCH(Assumptions!$C$5,C516)),Assumptions!$D$5,IF(ISNUMBER(SEARCH(Assumptions!$C$6,C516)),Assumptions!$D$6,IF(ISNUMBER(SEARCH(Assumptions!$C$7,C516)),Assumptions!$D$7,"Other Services"))),"Other Services"))</f>
        <v/>
      </c>
    </row>
    <row r="517" customFormat="false" ht="15" hidden="false" customHeight="false" outlineLevel="0" collapsed="false">
      <c r="F517" s="41" t="str">
        <f aca="false">IF(C517="","",IFERROR(IF(ISNUMBER(SEARCH(Assumptions!$C$5,C517)),Assumptions!$D$5,IF(ISNUMBER(SEARCH(Assumptions!$C$6,C517)),Assumptions!$D$6,IF(ISNUMBER(SEARCH(Assumptions!$C$7,C517)),Assumptions!$D$7,"Other Services"))),"Other Services"))</f>
        <v/>
      </c>
    </row>
    <row r="518" customFormat="false" ht="15" hidden="false" customHeight="false" outlineLevel="0" collapsed="false">
      <c r="F518" s="41" t="str">
        <f aca="false">IF(C518="","",IFERROR(IF(ISNUMBER(SEARCH(Assumptions!$C$5,C518)),Assumptions!$D$5,IF(ISNUMBER(SEARCH(Assumptions!$C$6,C518)),Assumptions!$D$6,IF(ISNUMBER(SEARCH(Assumptions!$C$7,C518)),Assumptions!$D$7,"Other Services"))),"Other Services"))</f>
        <v/>
      </c>
    </row>
    <row r="519" customFormat="false" ht="15" hidden="false" customHeight="false" outlineLevel="0" collapsed="false">
      <c r="F519" s="41" t="str">
        <f aca="false">IF(C519="","",IFERROR(IF(ISNUMBER(SEARCH(Assumptions!$C$5,C519)),Assumptions!$D$5,IF(ISNUMBER(SEARCH(Assumptions!$C$6,C519)),Assumptions!$D$6,IF(ISNUMBER(SEARCH(Assumptions!$C$7,C519)),Assumptions!$D$7,"Other Services"))),"Other Services"))</f>
        <v/>
      </c>
    </row>
    <row r="520" customFormat="false" ht="15" hidden="false" customHeight="false" outlineLevel="0" collapsed="false">
      <c r="F520" s="41" t="str">
        <f aca="false">IF(C520="","",IFERROR(IF(ISNUMBER(SEARCH(Assumptions!$C$5,C520)),Assumptions!$D$5,IF(ISNUMBER(SEARCH(Assumptions!$C$6,C520)),Assumptions!$D$6,IF(ISNUMBER(SEARCH(Assumptions!$C$7,C520)),Assumptions!$D$7,"Other Services"))),"Other Services"))</f>
        <v/>
      </c>
    </row>
    <row r="521" customFormat="false" ht="15" hidden="false" customHeight="false" outlineLevel="0" collapsed="false">
      <c r="F521" s="41" t="str">
        <f aca="false">IF(C521="","",IFERROR(IF(ISNUMBER(SEARCH(Assumptions!$C$5,C521)),Assumptions!$D$5,IF(ISNUMBER(SEARCH(Assumptions!$C$6,C521)),Assumptions!$D$6,IF(ISNUMBER(SEARCH(Assumptions!$C$7,C521)),Assumptions!$D$7,"Other Services"))),"Other Services"))</f>
        <v/>
      </c>
    </row>
    <row r="522" customFormat="false" ht="15" hidden="false" customHeight="false" outlineLevel="0" collapsed="false">
      <c r="F522" s="41" t="str">
        <f aca="false">IF(C522="","",IFERROR(IF(ISNUMBER(SEARCH(Assumptions!$C$5,C522)),Assumptions!$D$5,IF(ISNUMBER(SEARCH(Assumptions!$C$6,C522)),Assumptions!$D$6,IF(ISNUMBER(SEARCH(Assumptions!$C$7,C522)),Assumptions!$D$7,"Other Services"))),"Other Services"))</f>
        <v/>
      </c>
    </row>
    <row r="523" customFormat="false" ht="15" hidden="false" customHeight="false" outlineLevel="0" collapsed="false">
      <c r="F523" s="41" t="str">
        <f aca="false">IF(C523="","",IFERROR(IF(ISNUMBER(SEARCH(Assumptions!$C$5,C523)),Assumptions!$D$5,IF(ISNUMBER(SEARCH(Assumptions!$C$6,C523)),Assumptions!$D$6,IF(ISNUMBER(SEARCH(Assumptions!$C$7,C523)),Assumptions!$D$7,"Other Services"))),"Other Services"))</f>
        <v/>
      </c>
    </row>
    <row r="524" customFormat="false" ht="15" hidden="false" customHeight="false" outlineLevel="0" collapsed="false">
      <c r="F524" s="41" t="str">
        <f aca="false">IF(C524="","",IFERROR(IF(ISNUMBER(SEARCH(Assumptions!$C$5,C524)),Assumptions!$D$5,IF(ISNUMBER(SEARCH(Assumptions!$C$6,C524)),Assumptions!$D$6,IF(ISNUMBER(SEARCH(Assumptions!$C$7,C524)),Assumptions!$D$7,"Other Services"))),"Other Services"))</f>
        <v/>
      </c>
    </row>
    <row r="525" customFormat="false" ht="15" hidden="false" customHeight="false" outlineLevel="0" collapsed="false">
      <c r="F525" s="41" t="str">
        <f aca="false">IF(C525="","",IFERROR(IF(ISNUMBER(SEARCH(Assumptions!$C$5,C525)),Assumptions!$D$5,IF(ISNUMBER(SEARCH(Assumptions!$C$6,C525)),Assumptions!$D$6,IF(ISNUMBER(SEARCH(Assumptions!$C$7,C525)),Assumptions!$D$7,"Other Services"))),"Other Services"))</f>
        <v/>
      </c>
    </row>
    <row r="526" customFormat="false" ht="15" hidden="false" customHeight="false" outlineLevel="0" collapsed="false">
      <c r="F526" s="41" t="str">
        <f aca="false">IF(C526="","",IFERROR(IF(ISNUMBER(SEARCH(Assumptions!$C$5,C526)),Assumptions!$D$5,IF(ISNUMBER(SEARCH(Assumptions!$C$6,C526)),Assumptions!$D$6,IF(ISNUMBER(SEARCH(Assumptions!$C$7,C526)),Assumptions!$D$7,"Other Services"))),"Other Services"))</f>
        <v/>
      </c>
    </row>
    <row r="527" customFormat="false" ht="15" hidden="false" customHeight="false" outlineLevel="0" collapsed="false">
      <c r="F527" s="41" t="str">
        <f aca="false">IF(C527="","",IFERROR(IF(ISNUMBER(SEARCH(Assumptions!$C$5,C527)),Assumptions!$D$5,IF(ISNUMBER(SEARCH(Assumptions!$C$6,C527)),Assumptions!$D$6,IF(ISNUMBER(SEARCH(Assumptions!$C$7,C527)),Assumptions!$D$7,"Other Services"))),"Other Services"))</f>
        <v/>
      </c>
    </row>
    <row r="528" customFormat="false" ht="15" hidden="false" customHeight="false" outlineLevel="0" collapsed="false">
      <c r="F528" s="41" t="str">
        <f aca="false">IF(C528="","",IFERROR(IF(ISNUMBER(SEARCH(Assumptions!$C$5,C528)),Assumptions!$D$5,IF(ISNUMBER(SEARCH(Assumptions!$C$6,C528)),Assumptions!$D$6,IF(ISNUMBER(SEARCH(Assumptions!$C$7,C528)),Assumptions!$D$7,"Other Services"))),"Other Services"))</f>
        <v/>
      </c>
    </row>
    <row r="529" customFormat="false" ht="15" hidden="false" customHeight="false" outlineLevel="0" collapsed="false">
      <c r="F529" s="41" t="str">
        <f aca="false">IF(C529="","",IFERROR(IF(ISNUMBER(SEARCH(Assumptions!$C$5,C529)),Assumptions!$D$5,IF(ISNUMBER(SEARCH(Assumptions!$C$6,C529)),Assumptions!$D$6,IF(ISNUMBER(SEARCH(Assumptions!$C$7,C529)),Assumptions!$D$7,"Other Services"))),"Other Services"))</f>
        <v/>
      </c>
    </row>
    <row r="530" customFormat="false" ht="15" hidden="false" customHeight="false" outlineLevel="0" collapsed="false">
      <c r="F530" s="41" t="str">
        <f aca="false">IF(C530="","",IFERROR(IF(ISNUMBER(SEARCH(Assumptions!$C$5,C530)),Assumptions!$D$5,IF(ISNUMBER(SEARCH(Assumptions!$C$6,C530)),Assumptions!$D$6,IF(ISNUMBER(SEARCH(Assumptions!$C$7,C530)),Assumptions!$D$7,"Other Services"))),"Other Services"))</f>
        <v/>
      </c>
    </row>
    <row r="531" customFormat="false" ht="15" hidden="false" customHeight="false" outlineLevel="0" collapsed="false">
      <c r="F531" s="41" t="str">
        <f aca="false">IF(C531="","",IFERROR(IF(ISNUMBER(SEARCH(Assumptions!$C$5,C531)),Assumptions!$D$5,IF(ISNUMBER(SEARCH(Assumptions!$C$6,C531)),Assumptions!$D$6,IF(ISNUMBER(SEARCH(Assumptions!$C$7,C531)),Assumptions!$D$7,"Other Services"))),"Other Services"))</f>
        <v/>
      </c>
    </row>
    <row r="532" customFormat="false" ht="15" hidden="false" customHeight="false" outlineLevel="0" collapsed="false">
      <c r="F532" s="41" t="str">
        <f aca="false">IF(C532="","",IFERROR(IF(ISNUMBER(SEARCH(Assumptions!$C$5,C532)),Assumptions!$D$5,IF(ISNUMBER(SEARCH(Assumptions!$C$6,C532)),Assumptions!$D$6,IF(ISNUMBER(SEARCH(Assumptions!$C$7,C532)),Assumptions!$D$7,"Other Services"))),"Other Services"))</f>
        <v/>
      </c>
    </row>
    <row r="533" customFormat="false" ht="15" hidden="false" customHeight="false" outlineLevel="0" collapsed="false">
      <c r="F533" s="41" t="str">
        <f aca="false">IF(C533="","",IFERROR(IF(ISNUMBER(SEARCH(Assumptions!$C$5,C533)),Assumptions!$D$5,IF(ISNUMBER(SEARCH(Assumptions!$C$6,C533)),Assumptions!$D$6,IF(ISNUMBER(SEARCH(Assumptions!$C$7,C533)),Assumptions!$D$7,"Other Services"))),"Other Services"))</f>
        <v/>
      </c>
    </row>
    <row r="534" customFormat="false" ht="15" hidden="false" customHeight="false" outlineLevel="0" collapsed="false">
      <c r="F534" s="41" t="str">
        <f aca="false">IF(C534="","",IFERROR(IF(ISNUMBER(SEARCH(Assumptions!$C$5,C534)),Assumptions!$D$5,IF(ISNUMBER(SEARCH(Assumptions!$C$6,C534)),Assumptions!$D$6,IF(ISNUMBER(SEARCH(Assumptions!$C$7,C534)),Assumptions!$D$7,"Other Services"))),"Other Services"))</f>
        <v/>
      </c>
    </row>
    <row r="535" customFormat="false" ht="15" hidden="false" customHeight="false" outlineLevel="0" collapsed="false">
      <c r="F535" s="41" t="str">
        <f aca="false">IF(C535="","",IFERROR(IF(ISNUMBER(SEARCH(Assumptions!$C$5,C535)),Assumptions!$D$5,IF(ISNUMBER(SEARCH(Assumptions!$C$6,C535)),Assumptions!$D$6,IF(ISNUMBER(SEARCH(Assumptions!$C$7,C535)),Assumptions!$D$7,"Other Services"))),"Other Services"))</f>
        <v/>
      </c>
    </row>
    <row r="536" customFormat="false" ht="15" hidden="false" customHeight="false" outlineLevel="0" collapsed="false">
      <c r="F536" s="41" t="str">
        <f aca="false">IF(C536="","",IFERROR(IF(ISNUMBER(SEARCH(Assumptions!$C$5,C536)),Assumptions!$D$5,IF(ISNUMBER(SEARCH(Assumptions!$C$6,C536)),Assumptions!$D$6,IF(ISNUMBER(SEARCH(Assumptions!$C$7,C536)),Assumptions!$D$7,"Other Services"))),"Other Services"))</f>
        <v/>
      </c>
    </row>
    <row r="537" customFormat="false" ht="15" hidden="false" customHeight="false" outlineLevel="0" collapsed="false">
      <c r="F537" s="41" t="str">
        <f aca="false">IF(C537="","",IFERROR(IF(ISNUMBER(SEARCH(Assumptions!$C$5,C537)),Assumptions!$D$5,IF(ISNUMBER(SEARCH(Assumptions!$C$6,C537)),Assumptions!$D$6,IF(ISNUMBER(SEARCH(Assumptions!$C$7,C537)),Assumptions!$D$7,"Other Services"))),"Other Services"))</f>
        <v/>
      </c>
    </row>
    <row r="538" customFormat="false" ht="15" hidden="false" customHeight="false" outlineLevel="0" collapsed="false">
      <c r="F538" s="41" t="str">
        <f aca="false">IF(C538="","",IFERROR(IF(ISNUMBER(SEARCH(Assumptions!$C$5,C538)),Assumptions!$D$5,IF(ISNUMBER(SEARCH(Assumptions!$C$6,C538)),Assumptions!$D$6,IF(ISNUMBER(SEARCH(Assumptions!$C$7,C538)),Assumptions!$D$7,"Other Services"))),"Other Services"))</f>
        <v/>
      </c>
    </row>
    <row r="539" customFormat="false" ht="15" hidden="false" customHeight="false" outlineLevel="0" collapsed="false">
      <c r="F539" s="41" t="str">
        <f aca="false">IF(C539="","",IFERROR(IF(ISNUMBER(SEARCH(Assumptions!$C$5,C539)),Assumptions!$D$5,IF(ISNUMBER(SEARCH(Assumptions!$C$6,C539)),Assumptions!$D$6,IF(ISNUMBER(SEARCH(Assumptions!$C$7,C539)),Assumptions!$D$7,"Other Services"))),"Other Services"))</f>
        <v/>
      </c>
    </row>
    <row r="540" customFormat="false" ht="15" hidden="false" customHeight="false" outlineLevel="0" collapsed="false">
      <c r="F540" s="41" t="str">
        <f aca="false">IF(C540="","",IFERROR(IF(ISNUMBER(SEARCH(Assumptions!$C$5,C540)),Assumptions!$D$5,IF(ISNUMBER(SEARCH(Assumptions!$C$6,C540)),Assumptions!$D$6,IF(ISNUMBER(SEARCH(Assumptions!$C$7,C540)),Assumptions!$D$7,"Other Services"))),"Other Services"))</f>
        <v/>
      </c>
    </row>
    <row r="541" customFormat="false" ht="15" hidden="false" customHeight="false" outlineLevel="0" collapsed="false">
      <c r="F541" s="41" t="str">
        <f aca="false">IF(C541="","",IFERROR(IF(ISNUMBER(SEARCH(Assumptions!$C$5,C541)),Assumptions!$D$5,IF(ISNUMBER(SEARCH(Assumptions!$C$6,C541)),Assumptions!$D$6,IF(ISNUMBER(SEARCH(Assumptions!$C$7,C541)),Assumptions!$D$7,"Other Services"))),"Other Services"))</f>
        <v/>
      </c>
    </row>
    <row r="542" customFormat="false" ht="15" hidden="false" customHeight="false" outlineLevel="0" collapsed="false">
      <c r="F542" s="41" t="str">
        <f aca="false">IF(C542="","",IFERROR(IF(ISNUMBER(SEARCH(Assumptions!$C$5,C542)),Assumptions!$D$5,IF(ISNUMBER(SEARCH(Assumptions!$C$6,C542)),Assumptions!$D$6,IF(ISNUMBER(SEARCH(Assumptions!$C$7,C542)),Assumptions!$D$7,"Other Services"))),"Other Services"))</f>
        <v/>
      </c>
    </row>
    <row r="543" customFormat="false" ht="15" hidden="false" customHeight="false" outlineLevel="0" collapsed="false">
      <c r="F543" s="41" t="str">
        <f aca="false">IF(C543="","",IFERROR(IF(ISNUMBER(SEARCH(Assumptions!$C$5,C543)),Assumptions!$D$5,IF(ISNUMBER(SEARCH(Assumptions!$C$6,C543)),Assumptions!$D$6,IF(ISNUMBER(SEARCH(Assumptions!$C$7,C543)),Assumptions!$D$7,"Other Services"))),"Other Services"))</f>
        <v/>
      </c>
    </row>
    <row r="544" customFormat="false" ht="15" hidden="false" customHeight="false" outlineLevel="0" collapsed="false">
      <c r="F544" s="41" t="str">
        <f aca="false">IF(C544="","",IFERROR(IF(ISNUMBER(SEARCH(Assumptions!$C$5,C544)),Assumptions!$D$5,IF(ISNUMBER(SEARCH(Assumptions!$C$6,C544)),Assumptions!$D$6,IF(ISNUMBER(SEARCH(Assumptions!$C$7,C544)),Assumptions!$D$7,"Other Services"))),"Other Services"))</f>
        <v/>
      </c>
    </row>
    <row r="545" customFormat="false" ht="15" hidden="false" customHeight="false" outlineLevel="0" collapsed="false">
      <c r="F545" s="41" t="str">
        <f aca="false">IF(C545="","",IFERROR(IF(ISNUMBER(SEARCH(Assumptions!$C$5,C545)),Assumptions!$D$5,IF(ISNUMBER(SEARCH(Assumptions!$C$6,C545)),Assumptions!$D$6,IF(ISNUMBER(SEARCH(Assumptions!$C$7,C545)),Assumptions!$D$7,"Other Services"))),"Other Services"))</f>
        <v/>
      </c>
    </row>
    <row r="546" customFormat="false" ht="15" hidden="false" customHeight="false" outlineLevel="0" collapsed="false">
      <c r="F546" s="41" t="str">
        <f aca="false">IF(C546="","",IFERROR(IF(ISNUMBER(SEARCH(Assumptions!$C$5,C546)),Assumptions!$D$5,IF(ISNUMBER(SEARCH(Assumptions!$C$6,C546)),Assumptions!$D$6,IF(ISNUMBER(SEARCH(Assumptions!$C$7,C546)),Assumptions!$D$7,"Other Services"))),"Other Services"))</f>
        <v/>
      </c>
    </row>
    <row r="547" customFormat="false" ht="15" hidden="false" customHeight="false" outlineLevel="0" collapsed="false">
      <c r="F547" s="41" t="str">
        <f aca="false">IF(C547="","",IFERROR(IF(ISNUMBER(SEARCH(Assumptions!$C$5,C547)),Assumptions!$D$5,IF(ISNUMBER(SEARCH(Assumptions!$C$6,C547)),Assumptions!$D$6,IF(ISNUMBER(SEARCH(Assumptions!$C$7,C547)),Assumptions!$D$7,"Other Services"))),"Other Services"))</f>
        <v/>
      </c>
    </row>
    <row r="548" customFormat="false" ht="15" hidden="false" customHeight="false" outlineLevel="0" collapsed="false">
      <c r="F548" s="41" t="str">
        <f aca="false">IF(C548="","",IFERROR(IF(ISNUMBER(SEARCH(Assumptions!$C$5,C548)),Assumptions!$D$5,IF(ISNUMBER(SEARCH(Assumptions!$C$6,C548)),Assumptions!$D$6,IF(ISNUMBER(SEARCH(Assumptions!$C$7,C548)),Assumptions!$D$7,"Other Services"))),"Other Services"))</f>
        <v/>
      </c>
    </row>
    <row r="549" customFormat="false" ht="15" hidden="false" customHeight="false" outlineLevel="0" collapsed="false">
      <c r="F549" s="41" t="str">
        <f aca="false">IF(C549="","",IFERROR(IF(ISNUMBER(SEARCH(Assumptions!$C$5,C549)),Assumptions!$D$5,IF(ISNUMBER(SEARCH(Assumptions!$C$6,C549)),Assumptions!$D$6,IF(ISNUMBER(SEARCH(Assumptions!$C$7,C549)),Assumptions!$D$7,"Other Services"))),"Other Services"))</f>
        <v/>
      </c>
    </row>
    <row r="550" customFormat="false" ht="15" hidden="false" customHeight="false" outlineLevel="0" collapsed="false">
      <c r="F550" s="41" t="str">
        <f aca="false">IF(C550="","",IFERROR(IF(ISNUMBER(SEARCH(Assumptions!$C$5,C550)),Assumptions!$D$5,IF(ISNUMBER(SEARCH(Assumptions!$C$6,C550)),Assumptions!$D$6,IF(ISNUMBER(SEARCH(Assumptions!$C$7,C550)),Assumptions!$D$7,"Other Services"))),"Other Services"))</f>
        <v/>
      </c>
    </row>
    <row r="551" customFormat="false" ht="15" hidden="false" customHeight="false" outlineLevel="0" collapsed="false">
      <c r="F551" s="41" t="str">
        <f aca="false">IF(C551="","",IFERROR(IF(ISNUMBER(SEARCH(Assumptions!$C$5,C551)),Assumptions!$D$5,IF(ISNUMBER(SEARCH(Assumptions!$C$6,C551)),Assumptions!$D$6,IF(ISNUMBER(SEARCH(Assumptions!$C$7,C551)),Assumptions!$D$7,"Other Services"))),"Other Services"))</f>
        <v/>
      </c>
    </row>
    <row r="552" customFormat="false" ht="15" hidden="false" customHeight="false" outlineLevel="0" collapsed="false">
      <c r="F552" s="41" t="str">
        <f aca="false">IF(C552="","",IFERROR(IF(ISNUMBER(SEARCH(Assumptions!$C$5,C552)),Assumptions!$D$5,IF(ISNUMBER(SEARCH(Assumptions!$C$6,C552)),Assumptions!$D$6,IF(ISNUMBER(SEARCH(Assumptions!$C$7,C552)),Assumptions!$D$7,"Other Services"))),"Other Services"))</f>
        <v/>
      </c>
    </row>
    <row r="553" customFormat="false" ht="15" hidden="false" customHeight="false" outlineLevel="0" collapsed="false">
      <c r="F553" s="41" t="str">
        <f aca="false">IF(C553="","",IFERROR(IF(ISNUMBER(SEARCH(Assumptions!$C$5,C553)),Assumptions!$D$5,IF(ISNUMBER(SEARCH(Assumptions!$C$6,C553)),Assumptions!$D$6,IF(ISNUMBER(SEARCH(Assumptions!$C$7,C553)),Assumptions!$D$7,"Other Services"))),"Other Services"))</f>
        <v/>
      </c>
    </row>
    <row r="554" customFormat="false" ht="15" hidden="false" customHeight="false" outlineLevel="0" collapsed="false">
      <c r="F554" s="41" t="str">
        <f aca="false">IF(C554="","",IFERROR(IF(ISNUMBER(SEARCH(Assumptions!$C$5,C554)),Assumptions!$D$5,IF(ISNUMBER(SEARCH(Assumptions!$C$6,C554)),Assumptions!$D$6,IF(ISNUMBER(SEARCH(Assumptions!$C$7,C554)),Assumptions!$D$7,"Other Services"))),"Other Services"))</f>
        <v/>
      </c>
    </row>
    <row r="555" customFormat="false" ht="15" hidden="false" customHeight="false" outlineLevel="0" collapsed="false">
      <c r="F555" s="41" t="str">
        <f aca="false">IF(C555="","",IFERROR(IF(ISNUMBER(SEARCH(Assumptions!$C$5,C555)),Assumptions!$D$5,IF(ISNUMBER(SEARCH(Assumptions!$C$6,C555)),Assumptions!$D$6,IF(ISNUMBER(SEARCH(Assumptions!$C$7,C555)),Assumptions!$D$7,"Other Services"))),"Other Services"))</f>
        <v/>
      </c>
    </row>
    <row r="556" customFormat="false" ht="15" hidden="false" customHeight="false" outlineLevel="0" collapsed="false">
      <c r="F556" s="41" t="str">
        <f aca="false">IF(C556="","",IFERROR(IF(ISNUMBER(SEARCH(Assumptions!$C$5,C556)),Assumptions!$D$5,IF(ISNUMBER(SEARCH(Assumptions!$C$6,C556)),Assumptions!$D$6,IF(ISNUMBER(SEARCH(Assumptions!$C$7,C556)),Assumptions!$D$7,"Other Services"))),"Other Services"))</f>
        <v/>
      </c>
    </row>
    <row r="557" customFormat="false" ht="15" hidden="false" customHeight="false" outlineLevel="0" collapsed="false">
      <c r="F557" s="41" t="str">
        <f aca="false">IF(C557="","",IFERROR(IF(ISNUMBER(SEARCH(Assumptions!$C$5,C557)),Assumptions!$D$5,IF(ISNUMBER(SEARCH(Assumptions!$C$6,C557)),Assumptions!$D$6,IF(ISNUMBER(SEARCH(Assumptions!$C$7,C557)),Assumptions!$D$7,"Other Services"))),"Other Services"))</f>
        <v/>
      </c>
    </row>
    <row r="558" customFormat="false" ht="15" hidden="false" customHeight="false" outlineLevel="0" collapsed="false">
      <c r="F558" s="41" t="str">
        <f aca="false">IF(C558="","",IFERROR(IF(ISNUMBER(SEARCH(Assumptions!$C$5,C558)),Assumptions!$D$5,IF(ISNUMBER(SEARCH(Assumptions!$C$6,C558)),Assumptions!$D$6,IF(ISNUMBER(SEARCH(Assumptions!$C$7,C558)),Assumptions!$D$7,"Other Services"))),"Other Services"))</f>
        <v/>
      </c>
    </row>
    <row r="559" customFormat="false" ht="15" hidden="false" customHeight="false" outlineLevel="0" collapsed="false">
      <c r="F559" s="41" t="str">
        <f aca="false">IF(C559="","",IFERROR(IF(ISNUMBER(SEARCH(Assumptions!$C$5,C559)),Assumptions!$D$5,IF(ISNUMBER(SEARCH(Assumptions!$C$6,C559)),Assumptions!$D$6,IF(ISNUMBER(SEARCH(Assumptions!$C$7,C559)),Assumptions!$D$7,"Other Services"))),"Other Services"))</f>
        <v/>
      </c>
    </row>
    <row r="560" customFormat="false" ht="15" hidden="false" customHeight="false" outlineLevel="0" collapsed="false">
      <c r="F560" s="41" t="str">
        <f aca="false">IF(C560="","",IFERROR(IF(ISNUMBER(SEARCH(Assumptions!$C$5,C560)),Assumptions!$D$5,IF(ISNUMBER(SEARCH(Assumptions!$C$6,C560)),Assumptions!$D$6,IF(ISNUMBER(SEARCH(Assumptions!$C$7,C560)),Assumptions!$D$7,"Other Services"))),"Other Services"))</f>
        <v/>
      </c>
    </row>
    <row r="561" customFormat="false" ht="15" hidden="false" customHeight="false" outlineLevel="0" collapsed="false">
      <c r="F561" s="41" t="str">
        <f aca="false">IF(C561="","",IFERROR(IF(ISNUMBER(SEARCH(Assumptions!$C$5,C561)),Assumptions!$D$5,IF(ISNUMBER(SEARCH(Assumptions!$C$6,C561)),Assumptions!$D$6,IF(ISNUMBER(SEARCH(Assumptions!$C$7,C561)),Assumptions!$D$7,"Other Services"))),"Other Services"))</f>
        <v/>
      </c>
    </row>
    <row r="562" customFormat="false" ht="15" hidden="false" customHeight="false" outlineLevel="0" collapsed="false">
      <c r="F562" s="41" t="str">
        <f aca="false">IF(C562="","",IFERROR(IF(ISNUMBER(SEARCH(Assumptions!$C$5,C562)),Assumptions!$D$5,IF(ISNUMBER(SEARCH(Assumptions!$C$6,C562)),Assumptions!$D$6,IF(ISNUMBER(SEARCH(Assumptions!$C$7,C562)),Assumptions!$D$7,"Other Services"))),"Other Services"))</f>
        <v/>
      </c>
    </row>
    <row r="563" customFormat="false" ht="15" hidden="false" customHeight="false" outlineLevel="0" collapsed="false">
      <c r="F563" s="41" t="str">
        <f aca="false">IF(C563="","",IFERROR(IF(ISNUMBER(SEARCH(Assumptions!$C$5,C563)),Assumptions!$D$5,IF(ISNUMBER(SEARCH(Assumptions!$C$6,C563)),Assumptions!$D$6,IF(ISNUMBER(SEARCH(Assumptions!$C$7,C563)),Assumptions!$D$7,"Other Services"))),"Other Services"))</f>
        <v/>
      </c>
    </row>
    <row r="564" customFormat="false" ht="15" hidden="false" customHeight="false" outlineLevel="0" collapsed="false">
      <c r="F564" s="41" t="str">
        <f aca="false">IF(C564="","",IFERROR(IF(ISNUMBER(SEARCH(Assumptions!$C$5,C564)),Assumptions!$D$5,IF(ISNUMBER(SEARCH(Assumptions!$C$6,C564)),Assumptions!$D$6,IF(ISNUMBER(SEARCH(Assumptions!$C$7,C564)),Assumptions!$D$7,"Other Services"))),"Other Services"))</f>
        <v/>
      </c>
    </row>
    <row r="565" customFormat="false" ht="15" hidden="false" customHeight="false" outlineLevel="0" collapsed="false">
      <c r="F565" s="41" t="str">
        <f aca="false">IF(C565="","",IFERROR(IF(ISNUMBER(SEARCH(Assumptions!$C$5,C565)),Assumptions!$D$5,IF(ISNUMBER(SEARCH(Assumptions!$C$6,C565)),Assumptions!$D$6,IF(ISNUMBER(SEARCH(Assumptions!$C$7,C565)),Assumptions!$D$7,"Other Services"))),"Other Services"))</f>
        <v/>
      </c>
    </row>
    <row r="566" customFormat="false" ht="15" hidden="false" customHeight="false" outlineLevel="0" collapsed="false">
      <c r="F566" s="41" t="str">
        <f aca="false">IF(C566="","",IFERROR(IF(ISNUMBER(SEARCH(Assumptions!$C$5,C566)),Assumptions!$D$5,IF(ISNUMBER(SEARCH(Assumptions!$C$6,C566)),Assumptions!$D$6,IF(ISNUMBER(SEARCH(Assumptions!$C$7,C566)),Assumptions!$D$7,"Other Services"))),"Other Services"))</f>
        <v/>
      </c>
    </row>
    <row r="567" customFormat="false" ht="15" hidden="false" customHeight="false" outlineLevel="0" collapsed="false">
      <c r="F567" s="41" t="str">
        <f aca="false">IF(C567="","",IFERROR(IF(ISNUMBER(SEARCH(Assumptions!$C$5,C567)),Assumptions!$D$5,IF(ISNUMBER(SEARCH(Assumptions!$C$6,C567)),Assumptions!$D$6,IF(ISNUMBER(SEARCH(Assumptions!$C$7,C567)),Assumptions!$D$7,"Other Services"))),"Other Services"))</f>
        <v/>
      </c>
    </row>
    <row r="568" customFormat="false" ht="15" hidden="false" customHeight="false" outlineLevel="0" collapsed="false">
      <c r="F568" s="41" t="str">
        <f aca="false">IF(C568="","",IFERROR(IF(ISNUMBER(SEARCH(Assumptions!$C$5,C568)),Assumptions!$D$5,IF(ISNUMBER(SEARCH(Assumptions!$C$6,C568)),Assumptions!$D$6,IF(ISNUMBER(SEARCH(Assumptions!$C$7,C568)),Assumptions!$D$7,"Other Services"))),"Other Services"))</f>
        <v/>
      </c>
    </row>
    <row r="569" customFormat="false" ht="15" hidden="false" customHeight="false" outlineLevel="0" collapsed="false">
      <c r="F569" s="41" t="str">
        <f aca="false">IF(C569="","",IFERROR(IF(ISNUMBER(SEARCH(Assumptions!$C$5,C569)),Assumptions!$D$5,IF(ISNUMBER(SEARCH(Assumptions!$C$6,C569)),Assumptions!$D$6,IF(ISNUMBER(SEARCH(Assumptions!$C$7,C569)),Assumptions!$D$7,"Other Services"))),"Other Services"))</f>
        <v/>
      </c>
    </row>
    <row r="570" customFormat="false" ht="15" hidden="false" customHeight="false" outlineLevel="0" collapsed="false">
      <c r="F570" s="41" t="str">
        <f aca="false">IF(C570="","",IFERROR(IF(ISNUMBER(SEARCH(Assumptions!$C$5,C570)),Assumptions!$D$5,IF(ISNUMBER(SEARCH(Assumptions!$C$6,C570)),Assumptions!$D$6,IF(ISNUMBER(SEARCH(Assumptions!$C$7,C570)),Assumptions!$D$7,"Other Services"))),"Other Services"))</f>
        <v/>
      </c>
    </row>
    <row r="571" customFormat="false" ht="15" hidden="false" customHeight="false" outlineLevel="0" collapsed="false">
      <c r="F571" s="41" t="str">
        <f aca="false">IF(C571="","",IFERROR(IF(ISNUMBER(SEARCH(Assumptions!$C$5,C571)),Assumptions!$D$5,IF(ISNUMBER(SEARCH(Assumptions!$C$6,C571)),Assumptions!$D$6,IF(ISNUMBER(SEARCH(Assumptions!$C$7,C571)),Assumptions!$D$7,"Other Services"))),"Other Services"))</f>
        <v/>
      </c>
    </row>
    <row r="572" customFormat="false" ht="15" hidden="false" customHeight="false" outlineLevel="0" collapsed="false">
      <c r="F572" s="41" t="str">
        <f aca="false">IF(C572="","",IFERROR(IF(ISNUMBER(SEARCH(Assumptions!$C$5,C572)),Assumptions!$D$5,IF(ISNUMBER(SEARCH(Assumptions!$C$6,C572)),Assumptions!$D$6,IF(ISNUMBER(SEARCH(Assumptions!$C$7,C572)),Assumptions!$D$7,"Other Services"))),"Other Services"))</f>
        <v/>
      </c>
    </row>
    <row r="573" customFormat="false" ht="15" hidden="false" customHeight="false" outlineLevel="0" collapsed="false">
      <c r="F573" s="41" t="str">
        <f aca="false">IF(C573="","",IFERROR(IF(ISNUMBER(SEARCH(Assumptions!$C$5,C573)),Assumptions!$D$5,IF(ISNUMBER(SEARCH(Assumptions!$C$6,C573)),Assumptions!$D$6,IF(ISNUMBER(SEARCH(Assumptions!$C$7,C573)),Assumptions!$D$7,"Other Services"))),"Other Services"))</f>
        <v/>
      </c>
    </row>
    <row r="574" customFormat="false" ht="15" hidden="false" customHeight="false" outlineLevel="0" collapsed="false">
      <c r="F574" s="41" t="str">
        <f aca="false">IF(C574="","",IFERROR(IF(ISNUMBER(SEARCH(Assumptions!$C$5,C574)),Assumptions!$D$5,IF(ISNUMBER(SEARCH(Assumptions!$C$6,C574)),Assumptions!$D$6,IF(ISNUMBER(SEARCH(Assumptions!$C$7,C574)),Assumptions!$D$7,"Other Services"))),"Other Services"))</f>
        <v/>
      </c>
    </row>
    <row r="575" customFormat="false" ht="15" hidden="false" customHeight="false" outlineLevel="0" collapsed="false">
      <c r="F575" s="41" t="str">
        <f aca="false">IF(C575="","",IFERROR(IF(ISNUMBER(SEARCH(Assumptions!$C$5,C575)),Assumptions!$D$5,IF(ISNUMBER(SEARCH(Assumptions!$C$6,C575)),Assumptions!$D$6,IF(ISNUMBER(SEARCH(Assumptions!$C$7,C575)),Assumptions!$D$7,"Other Services"))),"Other Services"))</f>
        <v/>
      </c>
    </row>
    <row r="576" customFormat="false" ht="15" hidden="false" customHeight="false" outlineLevel="0" collapsed="false">
      <c r="F576" s="41" t="str">
        <f aca="false">IF(C576="","",IFERROR(IF(ISNUMBER(SEARCH(Assumptions!$C$5,C576)),Assumptions!$D$5,IF(ISNUMBER(SEARCH(Assumptions!$C$6,C576)),Assumptions!$D$6,IF(ISNUMBER(SEARCH(Assumptions!$C$7,C576)),Assumptions!$D$7,"Other Services"))),"Other Services"))</f>
        <v/>
      </c>
    </row>
    <row r="577" customFormat="false" ht="15" hidden="false" customHeight="false" outlineLevel="0" collapsed="false">
      <c r="F577" s="41" t="str">
        <f aca="false">IF(C577="","",IFERROR(IF(ISNUMBER(SEARCH(Assumptions!$C$5,C577)),Assumptions!$D$5,IF(ISNUMBER(SEARCH(Assumptions!$C$6,C577)),Assumptions!$D$6,IF(ISNUMBER(SEARCH(Assumptions!$C$7,C577)),Assumptions!$D$7,"Other Services"))),"Other Services"))</f>
        <v/>
      </c>
    </row>
    <row r="578" customFormat="false" ht="15" hidden="false" customHeight="false" outlineLevel="0" collapsed="false">
      <c r="F578" s="41" t="str">
        <f aca="false">IF(C578="","",IFERROR(IF(ISNUMBER(SEARCH(Assumptions!$C$5,C578)),Assumptions!$D$5,IF(ISNUMBER(SEARCH(Assumptions!$C$6,C578)),Assumptions!$D$6,IF(ISNUMBER(SEARCH(Assumptions!$C$7,C578)),Assumptions!$D$7,"Other Services"))),"Other Services"))</f>
        <v/>
      </c>
    </row>
    <row r="579" customFormat="false" ht="15" hidden="false" customHeight="false" outlineLevel="0" collapsed="false">
      <c r="F579" s="41" t="str">
        <f aca="false">IF(C579="","",IFERROR(IF(ISNUMBER(SEARCH(Assumptions!$C$5,C579)),Assumptions!$D$5,IF(ISNUMBER(SEARCH(Assumptions!$C$6,C579)),Assumptions!$D$6,IF(ISNUMBER(SEARCH(Assumptions!$C$7,C579)),Assumptions!$D$7,"Other Services"))),"Other Services"))</f>
        <v/>
      </c>
    </row>
    <row r="580" customFormat="false" ht="15" hidden="false" customHeight="false" outlineLevel="0" collapsed="false">
      <c r="F580" s="41" t="str">
        <f aca="false">IF(C580="","",IFERROR(IF(ISNUMBER(SEARCH(Assumptions!$C$5,C580)),Assumptions!$D$5,IF(ISNUMBER(SEARCH(Assumptions!$C$6,C580)),Assumptions!$D$6,IF(ISNUMBER(SEARCH(Assumptions!$C$7,C580)),Assumptions!$D$7,"Other Services"))),"Other Services"))</f>
        <v/>
      </c>
    </row>
    <row r="581" customFormat="false" ht="15" hidden="false" customHeight="false" outlineLevel="0" collapsed="false">
      <c r="F581" s="41" t="str">
        <f aca="false">IF(C581="","",IFERROR(IF(ISNUMBER(SEARCH(Assumptions!$C$5,C581)),Assumptions!$D$5,IF(ISNUMBER(SEARCH(Assumptions!$C$6,C581)),Assumptions!$D$6,IF(ISNUMBER(SEARCH(Assumptions!$C$7,C581)),Assumptions!$D$7,"Other Services"))),"Other Services"))</f>
        <v/>
      </c>
    </row>
    <row r="582" customFormat="false" ht="15" hidden="false" customHeight="false" outlineLevel="0" collapsed="false">
      <c r="F582" s="41" t="str">
        <f aca="false">IF(C582="","",IFERROR(IF(ISNUMBER(SEARCH(Assumptions!$C$5,C582)),Assumptions!$D$5,IF(ISNUMBER(SEARCH(Assumptions!$C$6,C582)),Assumptions!$D$6,IF(ISNUMBER(SEARCH(Assumptions!$C$7,C582)),Assumptions!$D$7,"Other Services"))),"Other Services"))</f>
        <v/>
      </c>
    </row>
    <row r="583" customFormat="false" ht="15" hidden="false" customHeight="false" outlineLevel="0" collapsed="false">
      <c r="F583" s="41" t="str">
        <f aca="false">IF(C583="","",IFERROR(IF(ISNUMBER(SEARCH(Assumptions!$C$5,C583)),Assumptions!$D$5,IF(ISNUMBER(SEARCH(Assumptions!$C$6,C583)),Assumptions!$D$6,IF(ISNUMBER(SEARCH(Assumptions!$C$7,C583)),Assumptions!$D$7,"Other Services"))),"Other Services"))</f>
        <v/>
      </c>
    </row>
    <row r="584" customFormat="false" ht="15" hidden="false" customHeight="false" outlineLevel="0" collapsed="false">
      <c r="F584" s="41" t="str">
        <f aca="false">IF(C584="","",IFERROR(IF(ISNUMBER(SEARCH(Assumptions!$C$5,C584)),Assumptions!$D$5,IF(ISNUMBER(SEARCH(Assumptions!$C$6,C584)),Assumptions!$D$6,IF(ISNUMBER(SEARCH(Assumptions!$C$7,C584)),Assumptions!$D$7,"Other Services"))),"Other Services"))</f>
        <v/>
      </c>
    </row>
    <row r="585" customFormat="false" ht="15" hidden="false" customHeight="false" outlineLevel="0" collapsed="false">
      <c r="F585" s="41" t="str">
        <f aca="false">IF(C585="","",IFERROR(IF(ISNUMBER(SEARCH(Assumptions!$C$5,C585)),Assumptions!$D$5,IF(ISNUMBER(SEARCH(Assumptions!$C$6,C585)),Assumptions!$D$6,IF(ISNUMBER(SEARCH(Assumptions!$C$7,C585)),Assumptions!$D$7,"Other Services"))),"Other Services"))</f>
        <v/>
      </c>
    </row>
    <row r="586" customFormat="false" ht="15" hidden="false" customHeight="false" outlineLevel="0" collapsed="false">
      <c r="F586" s="41" t="str">
        <f aca="false">IF(C586="","",IFERROR(IF(ISNUMBER(SEARCH(Assumptions!$C$5,C586)),Assumptions!$D$5,IF(ISNUMBER(SEARCH(Assumptions!$C$6,C586)),Assumptions!$D$6,IF(ISNUMBER(SEARCH(Assumptions!$C$7,C586)),Assumptions!$D$7,"Other Services"))),"Other Services"))</f>
        <v/>
      </c>
    </row>
    <row r="587" customFormat="false" ht="15" hidden="false" customHeight="false" outlineLevel="0" collapsed="false">
      <c r="F587" s="41" t="str">
        <f aca="false">IF(C587="","",IFERROR(IF(ISNUMBER(SEARCH(Assumptions!$C$5,C587)),Assumptions!$D$5,IF(ISNUMBER(SEARCH(Assumptions!$C$6,C587)),Assumptions!$D$6,IF(ISNUMBER(SEARCH(Assumptions!$C$7,C587)),Assumptions!$D$7,"Other Services"))),"Other Services"))</f>
        <v/>
      </c>
    </row>
    <row r="588" customFormat="false" ht="15" hidden="false" customHeight="false" outlineLevel="0" collapsed="false">
      <c r="F588" s="41" t="str">
        <f aca="false">IF(C588="","",IFERROR(IF(ISNUMBER(SEARCH(Assumptions!$C$5,C588)),Assumptions!$D$5,IF(ISNUMBER(SEARCH(Assumptions!$C$6,C588)),Assumptions!$D$6,IF(ISNUMBER(SEARCH(Assumptions!$C$7,C588)),Assumptions!$D$7,"Other Services"))),"Other Services"))</f>
        <v/>
      </c>
    </row>
    <row r="589" customFormat="false" ht="15" hidden="false" customHeight="false" outlineLevel="0" collapsed="false">
      <c r="F589" s="41" t="str">
        <f aca="false">IF(C589="","",IFERROR(IF(ISNUMBER(SEARCH(Assumptions!$C$5,C589)),Assumptions!$D$5,IF(ISNUMBER(SEARCH(Assumptions!$C$6,C589)),Assumptions!$D$6,IF(ISNUMBER(SEARCH(Assumptions!$C$7,C589)),Assumptions!$D$7,"Other Services"))),"Other Services"))</f>
        <v/>
      </c>
    </row>
    <row r="590" customFormat="false" ht="15" hidden="false" customHeight="false" outlineLevel="0" collapsed="false">
      <c r="F590" s="41" t="str">
        <f aca="false">IF(C590="","",IFERROR(IF(ISNUMBER(SEARCH(Assumptions!$C$5,C590)),Assumptions!$D$5,IF(ISNUMBER(SEARCH(Assumptions!$C$6,C590)),Assumptions!$D$6,IF(ISNUMBER(SEARCH(Assumptions!$C$7,C590)),Assumptions!$D$7,"Other Services"))),"Other Services"))</f>
        <v/>
      </c>
    </row>
    <row r="591" customFormat="false" ht="15" hidden="false" customHeight="false" outlineLevel="0" collapsed="false">
      <c r="F591" s="41" t="str">
        <f aca="false">IF(C591="","",IFERROR(IF(ISNUMBER(SEARCH(Assumptions!$C$5,C591)),Assumptions!$D$5,IF(ISNUMBER(SEARCH(Assumptions!$C$6,C591)),Assumptions!$D$6,IF(ISNUMBER(SEARCH(Assumptions!$C$7,C591)),Assumptions!$D$7,"Other Services"))),"Other Services"))</f>
        <v/>
      </c>
    </row>
    <row r="592" customFormat="false" ht="15" hidden="false" customHeight="false" outlineLevel="0" collapsed="false">
      <c r="F592" s="41" t="str">
        <f aca="false">IF(C592="","",IFERROR(IF(ISNUMBER(SEARCH(Assumptions!$C$5,C592)),Assumptions!$D$5,IF(ISNUMBER(SEARCH(Assumptions!$C$6,C592)),Assumptions!$D$6,IF(ISNUMBER(SEARCH(Assumptions!$C$7,C592)),Assumptions!$D$7,"Other Services"))),"Other Services"))</f>
        <v/>
      </c>
    </row>
    <row r="593" customFormat="false" ht="15" hidden="false" customHeight="false" outlineLevel="0" collapsed="false">
      <c r="F593" s="41" t="str">
        <f aca="false">IF(C593="","",IFERROR(IF(ISNUMBER(SEARCH(Assumptions!$C$5,C593)),Assumptions!$D$5,IF(ISNUMBER(SEARCH(Assumptions!$C$6,C593)),Assumptions!$D$6,IF(ISNUMBER(SEARCH(Assumptions!$C$7,C593)),Assumptions!$D$7,"Other Services"))),"Other Services"))</f>
        <v/>
      </c>
    </row>
    <row r="594" customFormat="false" ht="15" hidden="false" customHeight="false" outlineLevel="0" collapsed="false">
      <c r="F594" s="41" t="str">
        <f aca="false">IF(C594="","",IFERROR(IF(ISNUMBER(SEARCH(Assumptions!$C$5,C594)),Assumptions!$D$5,IF(ISNUMBER(SEARCH(Assumptions!$C$6,C594)),Assumptions!$D$6,IF(ISNUMBER(SEARCH(Assumptions!$C$7,C594)),Assumptions!$D$7,"Other Services"))),"Other Services"))</f>
        <v/>
      </c>
    </row>
    <row r="595" customFormat="false" ht="15" hidden="false" customHeight="false" outlineLevel="0" collapsed="false">
      <c r="F595" s="41" t="str">
        <f aca="false">IF(C595="","",IFERROR(IF(ISNUMBER(SEARCH(Assumptions!$C$5,C595)),Assumptions!$D$5,IF(ISNUMBER(SEARCH(Assumptions!$C$6,C595)),Assumptions!$D$6,IF(ISNUMBER(SEARCH(Assumptions!$C$7,C595)),Assumptions!$D$7,"Other Services"))),"Other Services"))</f>
        <v/>
      </c>
    </row>
    <row r="596" customFormat="false" ht="15" hidden="false" customHeight="false" outlineLevel="0" collapsed="false">
      <c r="F596" s="41" t="str">
        <f aca="false">IF(C596="","",IFERROR(IF(ISNUMBER(SEARCH(Assumptions!$C$5,C596)),Assumptions!$D$5,IF(ISNUMBER(SEARCH(Assumptions!$C$6,C596)),Assumptions!$D$6,IF(ISNUMBER(SEARCH(Assumptions!$C$7,C596)),Assumptions!$D$7,"Other Services"))),"Other Services"))</f>
        <v/>
      </c>
    </row>
    <row r="597" customFormat="false" ht="15" hidden="false" customHeight="false" outlineLevel="0" collapsed="false">
      <c r="F597" s="41" t="str">
        <f aca="false">IF(C597="","",IFERROR(IF(ISNUMBER(SEARCH(Assumptions!$C$5,C597)),Assumptions!$D$5,IF(ISNUMBER(SEARCH(Assumptions!$C$6,C597)),Assumptions!$D$6,IF(ISNUMBER(SEARCH(Assumptions!$C$7,C597)),Assumptions!$D$7,"Other Services"))),"Other Services"))</f>
        <v/>
      </c>
    </row>
    <row r="598" customFormat="false" ht="15" hidden="false" customHeight="false" outlineLevel="0" collapsed="false">
      <c r="F598" s="41" t="str">
        <f aca="false">IF(C598="","",IFERROR(IF(ISNUMBER(SEARCH(Assumptions!$C$5,C598)),Assumptions!$D$5,IF(ISNUMBER(SEARCH(Assumptions!$C$6,C598)),Assumptions!$D$6,IF(ISNUMBER(SEARCH(Assumptions!$C$7,C598)),Assumptions!$D$7,"Other Services"))),"Other Services"))</f>
        <v/>
      </c>
    </row>
    <row r="599" customFormat="false" ht="15" hidden="false" customHeight="false" outlineLevel="0" collapsed="false">
      <c r="F599" s="41" t="str">
        <f aca="false">IF(C599="","",IFERROR(IF(ISNUMBER(SEARCH(Assumptions!$C$5,C599)),Assumptions!$D$5,IF(ISNUMBER(SEARCH(Assumptions!$C$6,C599)),Assumptions!$D$6,IF(ISNUMBER(SEARCH(Assumptions!$C$7,C599)),Assumptions!$D$7,"Other Services"))),"Other Services"))</f>
        <v/>
      </c>
    </row>
    <row r="600" customFormat="false" ht="15" hidden="false" customHeight="false" outlineLevel="0" collapsed="false">
      <c r="F600" s="41" t="str">
        <f aca="false">IF(C600="","",IFERROR(IF(ISNUMBER(SEARCH(Assumptions!$C$5,C600)),Assumptions!$D$5,IF(ISNUMBER(SEARCH(Assumptions!$C$6,C600)),Assumptions!$D$6,IF(ISNUMBER(SEARCH(Assumptions!$C$7,C600)),Assumptions!$D$7,"Other Services"))),"Other Services"))</f>
        <v/>
      </c>
    </row>
    <row r="601" customFormat="false" ht="15" hidden="false" customHeight="false" outlineLevel="0" collapsed="false">
      <c r="F601" s="41" t="str">
        <f aca="false">IF(C601="","",IFERROR(IF(ISNUMBER(SEARCH(Assumptions!$C$5,C601)),Assumptions!$D$5,IF(ISNUMBER(SEARCH(Assumptions!$C$6,C601)),Assumptions!$D$6,IF(ISNUMBER(SEARCH(Assumptions!$C$7,C601)),Assumptions!$D$7,"Other Services"))),"Other Services"))</f>
        <v/>
      </c>
    </row>
    <row r="602" customFormat="false" ht="15" hidden="false" customHeight="false" outlineLevel="0" collapsed="false">
      <c r="F602" s="41" t="str">
        <f aca="false">IF(C602="","",IFERROR(IF(ISNUMBER(SEARCH(Assumptions!$C$5,C602)),Assumptions!$D$5,IF(ISNUMBER(SEARCH(Assumptions!$C$6,C602)),Assumptions!$D$6,IF(ISNUMBER(SEARCH(Assumptions!$C$7,C602)),Assumptions!$D$7,"Other Services"))),"Other Services"))</f>
        <v/>
      </c>
    </row>
    <row r="603" customFormat="false" ht="15" hidden="false" customHeight="false" outlineLevel="0" collapsed="false">
      <c r="F603" s="41" t="str">
        <f aca="false">IF(C603="","",IFERROR(IF(ISNUMBER(SEARCH(Assumptions!$C$5,C603)),Assumptions!$D$5,IF(ISNUMBER(SEARCH(Assumptions!$C$6,C603)),Assumptions!$D$6,IF(ISNUMBER(SEARCH(Assumptions!$C$7,C603)),Assumptions!$D$7,"Other Services"))),"Other Services"))</f>
        <v/>
      </c>
    </row>
    <row r="604" customFormat="false" ht="15" hidden="false" customHeight="false" outlineLevel="0" collapsed="false">
      <c r="F604" s="41" t="str">
        <f aca="false">IF(C604="","",IFERROR(IF(ISNUMBER(SEARCH(Assumptions!$C$5,C604)),Assumptions!$D$5,IF(ISNUMBER(SEARCH(Assumptions!$C$6,C604)),Assumptions!$D$6,IF(ISNUMBER(SEARCH(Assumptions!$C$7,C604)),Assumptions!$D$7,"Other Services"))),"Other Services"))</f>
        <v/>
      </c>
    </row>
    <row r="605" customFormat="false" ht="15" hidden="false" customHeight="false" outlineLevel="0" collapsed="false">
      <c r="F605" s="41" t="str">
        <f aca="false">IF(C605="","",IFERROR(IF(ISNUMBER(SEARCH(Assumptions!$C$5,C605)),Assumptions!$D$5,IF(ISNUMBER(SEARCH(Assumptions!$C$6,C605)),Assumptions!$D$6,IF(ISNUMBER(SEARCH(Assumptions!$C$7,C605)),Assumptions!$D$7,"Other Services"))),"Other Services"))</f>
        <v/>
      </c>
    </row>
    <row r="606" customFormat="false" ht="15" hidden="false" customHeight="false" outlineLevel="0" collapsed="false">
      <c r="F606" s="41" t="str">
        <f aca="false">IF(C606="","",IFERROR(IF(ISNUMBER(SEARCH(Assumptions!$C$5,C606)),Assumptions!$D$5,IF(ISNUMBER(SEARCH(Assumptions!$C$6,C606)),Assumptions!$D$6,IF(ISNUMBER(SEARCH(Assumptions!$C$7,C606)),Assumptions!$D$7,"Other Services"))),"Other Services"))</f>
        <v/>
      </c>
    </row>
    <row r="607" customFormat="false" ht="15" hidden="false" customHeight="false" outlineLevel="0" collapsed="false">
      <c r="F607" s="41" t="str">
        <f aca="false">IF(C607="","",IFERROR(IF(ISNUMBER(SEARCH(Assumptions!$C$5,C607)),Assumptions!$D$5,IF(ISNUMBER(SEARCH(Assumptions!$C$6,C607)),Assumptions!$D$6,IF(ISNUMBER(SEARCH(Assumptions!$C$7,C607)),Assumptions!$D$7,"Other Services"))),"Other Services"))</f>
        <v/>
      </c>
    </row>
    <row r="608" customFormat="false" ht="15" hidden="false" customHeight="false" outlineLevel="0" collapsed="false">
      <c r="F608" s="41" t="str">
        <f aca="false">IF(C608="","",IFERROR(IF(ISNUMBER(SEARCH(Assumptions!$C$5,C608)),Assumptions!$D$5,IF(ISNUMBER(SEARCH(Assumptions!$C$6,C608)),Assumptions!$D$6,IF(ISNUMBER(SEARCH(Assumptions!$C$7,C608)),Assumptions!$D$7,"Other Services"))),"Other Services"))</f>
        <v/>
      </c>
    </row>
    <row r="609" customFormat="false" ht="15" hidden="false" customHeight="false" outlineLevel="0" collapsed="false">
      <c r="F609" s="41" t="str">
        <f aca="false">IF(C609="","",IFERROR(IF(ISNUMBER(SEARCH(Assumptions!$C$5,C609)),Assumptions!$D$5,IF(ISNUMBER(SEARCH(Assumptions!$C$6,C609)),Assumptions!$D$6,IF(ISNUMBER(SEARCH(Assumptions!$C$7,C609)),Assumptions!$D$7,"Other Services"))),"Other Services"))</f>
        <v/>
      </c>
    </row>
    <row r="610" customFormat="false" ht="15" hidden="false" customHeight="false" outlineLevel="0" collapsed="false">
      <c r="F610" s="41" t="str">
        <f aca="false">IF(C610="","",IFERROR(IF(ISNUMBER(SEARCH(Assumptions!$C$5,C610)),Assumptions!$D$5,IF(ISNUMBER(SEARCH(Assumptions!$C$6,C610)),Assumptions!$D$6,IF(ISNUMBER(SEARCH(Assumptions!$C$7,C610)),Assumptions!$D$7,"Other Services"))),"Other Services"))</f>
        <v/>
      </c>
    </row>
    <row r="611" customFormat="false" ht="15" hidden="false" customHeight="false" outlineLevel="0" collapsed="false">
      <c r="F611" s="41" t="str">
        <f aca="false">IF(C611="","",IFERROR(IF(ISNUMBER(SEARCH(Assumptions!$C$5,C611)),Assumptions!$D$5,IF(ISNUMBER(SEARCH(Assumptions!$C$6,C611)),Assumptions!$D$6,IF(ISNUMBER(SEARCH(Assumptions!$C$7,C611)),Assumptions!$D$7,"Other Services"))),"Other Services"))</f>
        <v/>
      </c>
    </row>
    <row r="612" customFormat="false" ht="15" hidden="false" customHeight="false" outlineLevel="0" collapsed="false">
      <c r="F612" s="41" t="str">
        <f aca="false">IF(C612="","",IFERROR(IF(ISNUMBER(SEARCH(Assumptions!$C$5,C612)),Assumptions!$D$5,IF(ISNUMBER(SEARCH(Assumptions!$C$6,C612)),Assumptions!$D$6,IF(ISNUMBER(SEARCH(Assumptions!$C$7,C612)),Assumptions!$D$7,"Other Services"))),"Other Services"))</f>
        <v/>
      </c>
    </row>
    <row r="613" customFormat="false" ht="15" hidden="false" customHeight="false" outlineLevel="0" collapsed="false">
      <c r="F613" s="41" t="str">
        <f aca="false">IF(C613="","",IFERROR(IF(ISNUMBER(SEARCH(Assumptions!$C$5,C613)),Assumptions!$D$5,IF(ISNUMBER(SEARCH(Assumptions!$C$6,C613)),Assumptions!$D$6,IF(ISNUMBER(SEARCH(Assumptions!$C$7,C613)),Assumptions!$D$7,"Other Services"))),"Other Services"))</f>
        <v/>
      </c>
    </row>
    <row r="614" customFormat="false" ht="15" hidden="false" customHeight="false" outlineLevel="0" collapsed="false">
      <c r="F614" s="41" t="str">
        <f aca="false">IF(C614="","",IFERROR(IF(ISNUMBER(SEARCH(Assumptions!$C$5,C614)),Assumptions!$D$5,IF(ISNUMBER(SEARCH(Assumptions!$C$6,C614)),Assumptions!$D$6,IF(ISNUMBER(SEARCH(Assumptions!$C$7,C614)),Assumptions!$D$7,"Other Services"))),"Other Services"))</f>
        <v/>
      </c>
    </row>
    <row r="615" customFormat="false" ht="15" hidden="false" customHeight="false" outlineLevel="0" collapsed="false">
      <c r="F615" s="41" t="str">
        <f aca="false">IF(C615="","",IFERROR(IF(ISNUMBER(SEARCH(Assumptions!$C$5,C615)),Assumptions!$D$5,IF(ISNUMBER(SEARCH(Assumptions!$C$6,C615)),Assumptions!$D$6,IF(ISNUMBER(SEARCH(Assumptions!$C$7,C615)),Assumptions!$D$7,"Other Services"))),"Other Services"))</f>
        <v/>
      </c>
    </row>
    <row r="616" customFormat="false" ht="15" hidden="false" customHeight="false" outlineLevel="0" collapsed="false">
      <c r="F616" s="41" t="str">
        <f aca="false">IF(C616="","",IFERROR(IF(ISNUMBER(SEARCH(Assumptions!$C$5,C616)),Assumptions!$D$5,IF(ISNUMBER(SEARCH(Assumptions!$C$6,C616)),Assumptions!$D$6,IF(ISNUMBER(SEARCH(Assumptions!$C$7,C616)),Assumptions!$D$7,"Other Services"))),"Other Services"))</f>
        <v/>
      </c>
    </row>
    <row r="617" customFormat="false" ht="15" hidden="false" customHeight="false" outlineLevel="0" collapsed="false">
      <c r="F617" s="41" t="str">
        <f aca="false">IF(C617="","",IFERROR(IF(ISNUMBER(SEARCH(Assumptions!$C$5,C617)),Assumptions!$D$5,IF(ISNUMBER(SEARCH(Assumptions!$C$6,C617)),Assumptions!$D$6,IF(ISNUMBER(SEARCH(Assumptions!$C$7,C617)),Assumptions!$D$7,"Other Services"))),"Other Services"))</f>
        <v/>
      </c>
    </row>
    <row r="618" customFormat="false" ht="15" hidden="false" customHeight="false" outlineLevel="0" collapsed="false">
      <c r="F618" s="41" t="str">
        <f aca="false">IF(C618="","",IFERROR(IF(ISNUMBER(SEARCH(Assumptions!$C$5,C618)),Assumptions!$D$5,IF(ISNUMBER(SEARCH(Assumptions!$C$6,C618)),Assumptions!$D$6,IF(ISNUMBER(SEARCH(Assumptions!$C$7,C618)),Assumptions!$D$7,"Other Services"))),"Other Services"))</f>
        <v/>
      </c>
    </row>
    <row r="619" customFormat="false" ht="15" hidden="false" customHeight="false" outlineLevel="0" collapsed="false">
      <c r="F619" s="41" t="str">
        <f aca="false">IF(C619="","",IFERROR(IF(ISNUMBER(SEARCH(Assumptions!$C$5,C619)),Assumptions!$D$5,IF(ISNUMBER(SEARCH(Assumptions!$C$6,C619)),Assumptions!$D$6,IF(ISNUMBER(SEARCH(Assumptions!$C$7,C619)),Assumptions!$D$7,"Other Services"))),"Other Services"))</f>
        <v/>
      </c>
    </row>
    <row r="620" customFormat="false" ht="15" hidden="false" customHeight="false" outlineLevel="0" collapsed="false">
      <c r="F620" s="41" t="str">
        <f aca="false">IF(C620="","",IFERROR(IF(ISNUMBER(SEARCH(Assumptions!$C$5,C620)),Assumptions!$D$5,IF(ISNUMBER(SEARCH(Assumptions!$C$6,C620)),Assumptions!$D$6,IF(ISNUMBER(SEARCH(Assumptions!$C$7,C620)),Assumptions!$D$7,"Other Services"))),"Other Services"))</f>
        <v/>
      </c>
    </row>
    <row r="621" customFormat="false" ht="15" hidden="false" customHeight="false" outlineLevel="0" collapsed="false">
      <c r="F621" s="41" t="str">
        <f aca="false">IF(C621="","",IFERROR(IF(ISNUMBER(SEARCH(Assumptions!$C$5,C621)),Assumptions!$D$5,IF(ISNUMBER(SEARCH(Assumptions!$C$6,C621)),Assumptions!$D$6,IF(ISNUMBER(SEARCH(Assumptions!$C$7,C621)),Assumptions!$D$7,"Other Services"))),"Other Services"))</f>
        <v/>
      </c>
    </row>
    <row r="622" customFormat="false" ht="15" hidden="false" customHeight="false" outlineLevel="0" collapsed="false">
      <c r="F622" s="41" t="str">
        <f aca="false">IF(C622="","",IFERROR(IF(ISNUMBER(SEARCH(Assumptions!$C$5,C622)),Assumptions!$D$5,IF(ISNUMBER(SEARCH(Assumptions!$C$6,C622)),Assumptions!$D$6,IF(ISNUMBER(SEARCH(Assumptions!$C$7,C622)),Assumptions!$D$7,"Other Services"))),"Other Services"))</f>
        <v/>
      </c>
    </row>
    <row r="623" customFormat="false" ht="15" hidden="false" customHeight="false" outlineLevel="0" collapsed="false">
      <c r="F623" s="41" t="str">
        <f aca="false">IF(C623="","",IFERROR(IF(ISNUMBER(SEARCH(Assumptions!$C$5,C623)),Assumptions!$D$5,IF(ISNUMBER(SEARCH(Assumptions!$C$6,C623)),Assumptions!$D$6,IF(ISNUMBER(SEARCH(Assumptions!$C$7,C623)),Assumptions!$D$7,"Other Services"))),"Other Services"))</f>
        <v/>
      </c>
    </row>
    <row r="624" customFormat="false" ht="15" hidden="false" customHeight="false" outlineLevel="0" collapsed="false">
      <c r="F624" s="41" t="str">
        <f aca="false">IF(C624="","",IFERROR(IF(ISNUMBER(SEARCH(Assumptions!$C$5,C624)),Assumptions!$D$5,IF(ISNUMBER(SEARCH(Assumptions!$C$6,C624)),Assumptions!$D$6,IF(ISNUMBER(SEARCH(Assumptions!$C$7,C624)),Assumptions!$D$7,"Other Services"))),"Other Services"))</f>
        <v/>
      </c>
    </row>
    <row r="625" customFormat="false" ht="15" hidden="false" customHeight="false" outlineLevel="0" collapsed="false">
      <c r="F625" s="41" t="str">
        <f aca="false">IF(C625="","",IFERROR(IF(ISNUMBER(SEARCH(Assumptions!$C$5,C625)),Assumptions!$D$5,IF(ISNUMBER(SEARCH(Assumptions!$C$6,C625)),Assumptions!$D$6,IF(ISNUMBER(SEARCH(Assumptions!$C$7,C625)),Assumptions!$D$7,"Other Services"))),"Other Services"))</f>
        <v/>
      </c>
    </row>
    <row r="626" customFormat="false" ht="15" hidden="false" customHeight="false" outlineLevel="0" collapsed="false">
      <c r="F626" s="41" t="str">
        <f aca="false">IF(C626="","",IFERROR(IF(ISNUMBER(SEARCH(Assumptions!$C$5,C626)),Assumptions!$D$5,IF(ISNUMBER(SEARCH(Assumptions!$C$6,C626)),Assumptions!$D$6,IF(ISNUMBER(SEARCH(Assumptions!$C$7,C626)),Assumptions!$D$7,"Other Services"))),"Other Services"))</f>
        <v/>
      </c>
    </row>
    <row r="627" customFormat="false" ht="15" hidden="false" customHeight="false" outlineLevel="0" collapsed="false">
      <c r="F627" s="41" t="str">
        <f aca="false">IF(C627="","",IFERROR(IF(ISNUMBER(SEARCH(Assumptions!$C$5,C627)),Assumptions!$D$5,IF(ISNUMBER(SEARCH(Assumptions!$C$6,C627)),Assumptions!$D$6,IF(ISNUMBER(SEARCH(Assumptions!$C$7,C627)),Assumptions!$D$7,"Other Services"))),"Other Services"))</f>
        <v/>
      </c>
    </row>
    <row r="628" customFormat="false" ht="15" hidden="false" customHeight="false" outlineLevel="0" collapsed="false">
      <c r="F628" s="41" t="str">
        <f aca="false">IF(C628="","",IFERROR(IF(ISNUMBER(SEARCH(Assumptions!$C$5,C628)),Assumptions!$D$5,IF(ISNUMBER(SEARCH(Assumptions!$C$6,C628)),Assumptions!$D$6,IF(ISNUMBER(SEARCH(Assumptions!$C$7,C628)),Assumptions!$D$7,"Other Services"))),"Other Services"))</f>
        <v/>
      </c>
    </row>
    <row r="629" customFormat="false" ht="15" hidden="false" customHeight="false" outlineLevel="0" collapsed="false">
      <c r="F629" s="41" t="str">
        <f aca="false">IF(C629="","",IFERROR(IF(ISNUMBER(SEARCH(Assumptions!$C$5,C629)),Assumptions!$D$5,IF(ISNUMBER(SEARCH(Assumptions!$C$6,C629)),Assumptions!$D$6,IF(ISNUMBER(SEARCH(Assumptions!$C$7,C629)),Assumptions!$D$7,"Other Services"))),"Other Services"))</f>
        <v/>
      </c>
    </row>
    <row r="630" customFormat="false" ht="15" hidden="false" customHeight="false" outlineLevel="0" collapsed="false">
      <c r="F630" s="41" t="str">
        <f aca="false">IF(C630="","",IFERROR(IF(ISNUMBER(SEARCH(Assumptions!$C$5,C630)),Assumptions!$D$5,IF(ISNUMBER(SEARCH(Assumptions!$C$6,C630)),Assumptions!$D$6,IF(ISNUMBER(SEARCH(Assumptions!$C$7,C630)),Assumptions!$D$7,"Other Services"))),"Other Services"))</f>
        <v/>
      </c>
    </row>
    <row r="631" customFormat="false" ht="15" hidden="false" customHeight="false" outlineLevel="0" collapsed="false">
      <c r="F631" s="41" t="str">
        <f aca="false">IF(C631="","",IFERROR(IF(ISNUMBER(SEARCH(Assumptions!$C$5,C631)),Assumptions!$D$5,IF(ISNUMBER(SEARCH(Assumptions!$C$6,C631)),Assumptions!$D$6,IF(ISNUMBER(SEARCH(Assumptions!$C$7,C631)),Assumptions!$D$7,"Other Services"))),"Other Services"))</f>
        <v/>
      </c>
    </row>
    <row r="632" customFormat="false" ht="15" hidden="false" customHeight="false" outlineLevel="0" collapsed="false">
      <c r="F632" s="41" t="str">
        <f aca="false">IF(C632="","",IFERROR(IF(ISNUMBER(SEARCH(Assumptions!$C$5,C632)),Assumptions!$D$5,IF(ISNUMBER(SEARCH(Assumptions!$C$6,C632)),Assumptions!$D$6,IF(ISNUMBER(SEARCH(Assumptions!$C$7,C632)),Assumptions!$D$7,"Other Services"))),"Other Services"))</f>
        <v/>
      </c>
    </row>
    <row r="633" customFormat="false" ht="15" hidden="false" customHeight="false" outlineLevel="0" collapsed="false">
      <c r="F633" s="41" t="str">
        <f aca="false">IF(C633="","",IFERROR(IF(ISNUMBER(SEARCH(Assumptions!$C$5,C633)),Assumptions!$D$5,IF(ISNUMBER(SEARCH(Assumptions!$C$6,C633)),Assumptions!$D$6,IF(ISNUMBER(SEARCH(Assumptions!$C$7,C633)),Assumptions!$D$7,"Other Services"))),"Other Services"))</f>
        <v/>
      </c>
    </row>
    <row r="634" customFormat="false" ht="15" hidden="false" customHeight="false" outlineLevel="0" collapsed="false">
      <c r="F634" s="41" t="str">
        <f aca="false">IF(C634="","",IFERROR(IF(ISNUMBER(SEARCH(Assumptions!$C$5,C634)),Assumptions!$D$5,IF(ISNUMBER(SEARCH(Assumptions!$C$6,C634)),Assumptions!$D$6,IF(ISNUMBER(SEARCH(Assumptions!$C$7,C634)),Assumptions!$D$7,"Other Services"))),"Other Services"))</f>
        <v/>
      </c>
    </row>
    <row r="635" customFormat="false" ht="15" hidden="false" customHeight="false" outlineLevel="0" collapsed="false">
      <c r="F635" s="41" t="str">
        <f aca="false">IF(C635="","",IFERROR(IF(ISNUMBER(SEARCH(Assumptions!$C$5,C635)),Assumptions!$D$5,IF(ISNUMBER(SEARCH(Assumptions!$C$6,C635)),Assumptions!$D$6,IF(ISNUMBER(SEARCH(Assumptions!$C$7,C635)),Assumptions!$D$7,"Other Services"))),"Other Services"))</f>
        <v/>
      </c>
    </row>
    <row r="636" customFormat="false" ht="15" hidden="false" customHeight="false" outlineLevel="0" collapsed="false">
      <c r="F636" s="41" t="str">
        <f aca="false">IF(C636="","",IFERROR(IF(ISNUMBER(SEARCH(Assumptions!$C$5,C636)),Assumptions!$D$5,IF(ISNUMBER(SEARCH(Assumptions!$C$6,C636)),Assumptions!$D$6,IF(ISNUMBER(SEARCH(Assumptions!$C$7,C636)),Assumptions!$D$7,"Other Services"))),"Other Services"))</f>
        <v/>
      </c>
    </row>
    <row r="637" customFormat="false" ht="15" hidden="false" customHeight="false" outlineLevel="0" collapsed="false">
      <c r="F637" s="41" t="str">
        <f aca="false">IF(C637="","",IFERROR(IF(ISNUMBER(SEARCH(Assumptions!$C$5,C637)),Assumptions!$D$5,IF(ISNUMBER(SEARCH(Assumptions!$C$6,C637)),Assumptions!$D$6,IF(ISNUMBER(SEARCH(Assumptions!$C$7,C637)),Assumptions!$D$7,"Other Services"))),"Other Services"))</f>
        <v/>
      </c>
    </row>
    <row r="638" customFormat="false" ht="15" hidden="false" customHeight="false" outlineLevel="0" collapsed="false">
      <c r="F638" s="41" t="str">
        <f aca="false">IF(C638="","",IFERROR(IF(ISNUMBER(SEARCH(Assumptions!$C$5,C638)),Assumptions!$D$5,IF(ISNUMBER(SEARCH(Assumptions!$C$6,C638)),Assumptions!$D$6,IF(ISNUMBER(SEARCH(Assumptions!$C$7,C638)),Assumptions!$D$7,"Other Services"))),"Other Services"))</f>
        <v/>
      </c>
    </row>
    <row r="639" customFormat="false" ht="15" hidden="false" customHeight="false" outlineLevel="0" collapsed="false">
      <c r="F639" s="41" t="str">
        <f aca="false">IF(C639="","",IFERROR(IF(ISNUMBER(SEARCH(Assumptions!$C$5,C639)),Assumptions!$D$5,IF(ISNUMBER(SEARCH(Assumptions!$C$6,C639)),Assumptions!$D$6,IF(ISNUMBER(SEARCH(Assumptions!$C$7,C639)),Assumptions!$D$7,"Other Services"))),"Other Services"))</f>
        <v/>
      </c>
    </row>
    <row r="640" customFormat="false" ht="15" hidden="false" customHeight="false" outlineLevel="0" collapsed="false">
      <c r="F640" s="41" t="str">
        <f aca="false">IF(C640="","",IFERROR(IF(ISNUMBER(SEARCH(Assumptions!$C$5,C640)),Assumptions!$D$5,IF(ISNUMBER(SEARCH(Assumptions!$C$6,C640)),Assumptions!$D$6,IF(ISNUMBER(SEARCH(Assumptions!$C$7,C640)),Assumptions!$D$7,"Other Services"))),"Other Services"))</f>
        <v/>
      </c>
    </row>
    <row r="641" customFormat="false" ht="15" hidden="false" customHeight="false" outlineLevel="0" collapsed="false">
      <c r="F641" s="41" t="str">
        <f aca="false">IF(C641="","",IFERROR(IF(ISNUMBER(SEARCH(Assumptions!$C$5,C641)),Assumptions!$D$5,IF(ISNUMBER(SEARCH(Assumptions!$C$6,C641)),Assumptions!$D$6,IF(ISNUMBER(SEARCH(Assumptions!$C$7,C641)),Assumptions!$D$7,"Other Services"))),"Other Services"))</f>
        <v/>
      </c>
    </row>
    <row r="642" customFormat="false" ht="15" hidden="false" customHeight="false" outlineLevel="0" collapsed="false">
      <c r="F642" s="41" t="str">
        <f aca="false">IF(C642="","",IFERROR(IF(ISNUMBER(SEARCH(Assumptions!$C$5,C642)),Assumptions!$D$5,IF(ISNUMBER(SEARCH(Assumptions!$C$6,C642)),Assumptions!$D$6,IF(ISNUMBER(SEARCH(Assumptions!$C$7,C642)),Assumptions!$D$7,"Other Services"))),"Other Services"))</f>
        <v/>
      </c>
    </row>
    <row r="643" customFormat="false" ht="15" hidden="false" customHeight="false" outlineLevel="0" collapsed="false">
      <c r="F643" s="41" t="str">
        <f aca="false">IF(C643="","",IFERROR(IF(ISNUMBER(SEARCH(Assumptions!$C$5,C643)),Assumptions!$D$5,IF(ISNUMBER(SEARCH(Assumptions!$C$6,C643)),Assumptions!$D$6,IF(ISNUMBER(SEARCH(Assumptions!$C$7,C643)),Assumptions!$D$7,"Other Services"))),"Other Services"))</f>
        <v/>
      </c>
    </row>
    <row r="644" customFormat="false" ht="15" hidden="false" customHeight="false" outlineLevel="0" collapsed="false">
      <c r="F644" s="41" t="str">
        <f aca="false">IF(C644="","",IFERROR(IF(ISNUMBER(SEARCH(Assumptions!$C$5,C644)),Assumptions!$D$5,IF(ISNUMBER(SEARCH(Assumptions!$C$6,C644)),Assumptions!$D$6,IF(ISNUMBER(SEARCH(Assumptions!$C$7,C644)),Assumptions!$D$7,"Other Services"))),"Other Services"))</f>
        <v/>
      </c>
    </row>
    <row r="645" customFormat="false" ht="15" hidden="false" customHeight="false" outlineLevel="0" collapsed="false">
      <c r="F645" s="41" t="str">
        <f aca="false">IF(C645="","",IFERROR(IF(ISNUMBER(SEARCH(Assumptions!$C$5,C645)),Assumptions!$D$5,IF(ISNUMBER(SEARCH(Assumptions!$C$6,C645)),Assumptions!$D$6,IF(ISNUMBER(SEARCH(Assumptions!$C$7,C645)),Assumptions!$D$7,"Other Services"))),"Other Services"))</f>
        <v/>
      </c>
    </row>
    <row r="646" customFormat="false" ht="15" hidden="false" customHeight="false" outlineLevel="0" collapsed="false">
      <c r="F646" s="41" t="str">
        <f aca="false">IF(C646="","",IFERROR(IF(ISNUMBER(SEARCH(Assumptions!$C$5,C646)),Assumptions!$D$5,IF(ISNUMBER(SEARCH(Assumptions!$C$6,C646)),Assumptions!$D$6,IF(ISNUMBER(SEARCH(Assumptions!$C$7,C646)),Assumptions!$D$7,"Other Services"))),"Other Services"))</f>
        <v/>
      </c>
    </row>
    <row r="647" customFormat="false" ht="15" hidden="false" customHeight="false" outlineLevel="0" collapsed="false">
      <c r="F647" s="41" t="str">
        <f aca="false">IF(C647="","",IFERROR(IF(ISNUMBER(SEARCH(Assumptions!$C$5,C647)),Assumptions!$D$5,IF(ISNUMBER(SEARCH(Assumptions!$C$6,C647)),Assumptions!$D$6,IF(ISNUMBER(SEARCH(Assumptions!$C$7,C647)),Assumptions!$D$7,"Other Services"))),"Other Services"))</f>
        <v/>
      </c>
    </row>
    <row r="648" customFormat="false" ht="15" hidden="false" customHeight="false" outlineLevel="0" collapsed="false">
      <c r="F648" s="41" t="str">
        <f aca="false">IF(C648="","",IFERROR(IF(ISNUMBER(SEARCH(Assumptions!$C$5,C648)),Assumptions!$D$5,IF(ISNUMBER(SEARCH(Assumptions!$C$6,C648)),Assumptions!$D$6,IF(ISNUMBER(SEARCH(Assumptions!$C$7,C648)),Assumptions!$D$7,"Other Services"))),"Other Services"))</f>
        <v/>
      </c>
    </row>
    <row r="649" customFormat="false" ht="15" hidden="false" customHeight="false" outlineLevel="0" collapsed="false">
      <c r="F649" s="41" t="str">
        <f aca="false">IF(C649="","",IFERROR(IF(ISNUMBER(SEARCH(Assumptions!$C$5,C649)),Assumptions!$D$5,IF(ISNUMBER(SEARCH(Assumptions!$C$6,C649)),Assumptions!$D$6,IF(ISNUMBER(SEARCH(Assumptions!$C$7,C649)),Assumptions!$D$7,"Other Services"))),"Other Services"))</f>
        <v/>
      </c>
    </row>
    <row r="650" customFormat="false" ht="15" hidden="false" customHeight="false" outlineLevel="0" collapsed="false">
      <c r="F650" s="41" t="str">
        <f aca="false">IF(C650="","",IFERROR(IF(ISNUMBER(SEARCH(Assumptions!$C$5,C650)),Assumptions!$D$5,IF(ISNUMBER(SEARCH(Assumptions!$C$6,C650)),Assumptions!$D$6,IF(ISNUMBER(SEARCH(Assumptions!$C$7,C650)),Assumptions!$D$7,"Other Services"))),"Other Services"))</f>
        <v/>
      </c>
    </row>
    <row r="651" customFormat="false" ht="15" hidden="false" customHeight="false" outlineLevel="0" collapsed="false">
      <c r="F651" s="41" t="str">
        <f aca="false">IF(C651="","",IFERROR(IF(ISNUMBER(SEARCH(Assumptions!$C$5,C651)),Assumptions!$D$5,IF(ISNUMBER(SEARCH(Assumptions!$C$6,C651)),Assumptions!$D$6,IF(ISNUMBER(SEARCH(Assumptions!$C$7,C651)),Assumptions!$D$7,"Other Services"))),"Other Services"))</f>
        <v/>
      </c>
    </row>
    <row r="652" customFormat="false" ht="15" hidden="false" customHeight="false" outlineLevel="0" collapsed="false">
      <c r="F652" s="41" t="str">
        <f aca="false">IF(C652="","",IFERROR(IF(ISNUMBER(SEARCH(Assumptions!$C$5,C652)),Assumptions!$D$5,IF(ISNUMBER(SEARCH(Assumptions!$C$6,C652)),Assumptions!$D$6,IF(ISNUMBER(SEARCH(Assumptions!$C$7,C652)),Assumptions!$D$7,"Other Services"))),"Other Services"))</f>
        <v/>
      </c>
    </row>
    <row r="653" customFormat="false" ht="15" hidden="false" customHeight="false" outlineLevel="0" collapsed="false">
      <c r="F653" s="41" t="str">
        <f aca="false">IF(C653="","",IFERROR(IF(ISNUMBER(SEARCH(Assumptions!$C$5,C653)),Assumptions!$D$5,IF(ISNUMBER(SEARCH(Assumptions!$C$6,C653)),Assumptions!$D$6,IF(ISNUMBER(SEARCH(Assumptions!$C$7,C653)),Assumptions!$D$7,"Other Services"))),"Other Services"))</f>
        <v/>
      </c>
    </row>
    <row r="654" customFormat="false" ht="15" hidden="false" customHeight="false" outlineLevel="0" collapsed="false">
      <c r="F654" s="41" t="str">
        <f aca="false">IF(C654="","",IFERROR(IF(ISNUMBER(SEARCH(Assumptions!$C$5,C654)),Assumptions!$D$5,IF(ISNUMBER(SEARCH(Assumptions!$C$6,C654)),Assumptions!$D$6,IF(ISNUMBER(SEARCH(Assumptions!$C$7,C654)),Assumptions!$D$7,"Other Services"))),"Other Services"))</f>
        <v/>
      </c>
    </row>
    <row r="655" customFormat="false" ht="15" hidden="false" customHeight="false" outlineLevel="0" collapsed="false">
      <c r="F655" s="41" t="str">
        <f aca="false">IF(C655="","",IFERROR(IF(ISNUMBER(SEARCH(Assumptions!$C$5,C655)),Assumptions!$D$5,IF(ISNUMBER(SEARCH(Assumptions!$C$6,C655)),Assumptions!$D$6,IF(ISNUMBER(SEARCH(Assumptions!$C$7,C655)),Assumptions!$D$7,"Other Services"))),"Other Services"))</f>
        <v/>
      </c>
    </row>
    <row r="656" customFormat="false" ht="15" hidden="false" customHeight="false" outlineLevel="0" collapsed="false">
      <c r="F656" s="41" t="str">
        <f aca="false">IF(C656="","",IFERROR(IF(ISNUMBER(SEARCH(Assumptions!$C$5,C656)),Assumptions!$D$5,IF(ISNUMBER(SEARCH(Assumptions!$C$6,C656)),Assumptions!$D$6,IF(ISNUMBER(SEARCH(Assumptions!$C$7,C656)),Assumptions!$D$7,"Other Services"))),"Other Services"))</f>
        <v/>
      </c>
    </row>
    <row r="657" customFormat="false" ht="15" hidden="false" customHeight="false" outlineLevel="0" collapsed="false">
      <c r="F657" s="41" t="str">
        <f aca="false">IF(C657="","",IFERROR(IF(ISNUMBER(SEARCH(Assumptions!$C$5,C657)),Assumptions!$D$5,IF(ISNUMBER(SEARCH(Assumptions!$C$6,C657)),Assumptions!$D$6,IF(ISNUMBER(SEARCH(Assumptions!$C$7,C657)),Assumptions!$D$7,"Other Services"))),"Other Services"))</f>
        <v/>
      </c>
    </row>
    <row r="658" customFormat="false" ht="15" hidden="false" customHeight="false" outlineLevel="0" collapsed="false">
      <c r="F658" s="41" t="str">
        <f aca="false">IF(C658="","",IFERROR(IF(ISNUMBER(SEARCH(Assumptions!$C$5,C658)),Assumptions!$D$5,IF(ISNUMBER(SEARCH(Assumptions!$C$6,C658)),Assumptions!$D$6,IF(ISNUMBER(SEARCH(Assumptions!$C$7,C658)),Assumptions!$D$7,"Other Services"))),"Other Services"))</f>
        <v/>
      </c>
    </row>
    <row r="659" customFormat="false" ht="15" hidden="false" customHeight="false" outlineLevel="0" collapsed="false">
      <c r="F659" s="41" t="str">
        <f aca="false">IF(C659="","",IFERROR(IF(ISNUMBER(SEARCH(Assumptions!$C$5,C659)),Assumptions!$D$5,IF(ISNUMBER(SEARCH(Assumptions!$C$6,C659)),Assumptions!$D$6,IF(ISNUMBER(SEARCH(Assumptions!$C$7,C659)),Assumptions!$D$7,"Other Services"))),"Other Services"))</f>
        <v/>
      </c>
    </row>
    <row r="660" customFormat="false" ht="15" hidden="false" customHeight="false" outlineLevel="0" collapsed="false">
      <c r="F660" s="41" t="str">
        <f aca="false">IF(C660="","",IFERROR(IF(ISNUMBER(SEARCH(Assumptions!$C$5,C660)),Assumptions!$D$5,IF(ISNUMBER(SEARCH(Assumptions!$C$6,C660)),Assumptions!$D$6,IF(ISNUMBER(SEARCH(Assumptions!$C$7,C660)),Assumptions!$D$7,"Other Services"))),"Other Services"))</f>
        <v/>
      </c>
    </row>
    <row r="661" customFormat="false" ht="15" hidden="false" customHeight="false" outlineLevel="0" collapsed="false">
      <c r="F661" s="41" t="str">
        <f aca="false">IF(C661="","",IFERROR(IF(ISNUMBER(SEARCH(Assumptions!$C$5,C661)),Assumptions!$D$5,IF(ISNUMBER(SEARCH(Assumptions!$C$6,C661)),Assumptions!$D$6,IF(ISNUMBER(SEARCH(Assumptions!$C$7,C661)),Assumptions!$D$7,"Other Services"))),"Other Services"))</f>
        <v/>
      </c>
    </row>
    <row r="662" customFormat="false" ht="15" hidden="false" customHeight="false" outlineLevel="0" collapsed="false">
      <c r="F662" s="41" t="str">
        <f aca="false">IF(C662="","",IFERROR(IF(ISNUMBER(SEARCH(Assumptions!$C$5,C662)),Assumptions!$D$5,IF(ISNUMBER(SEARCH(Assumptions!$C$6,C662)),Assumptions!$D$6,IF(ISNUMBER(SEARCH(Assumptions!$C$7,C662)),Assumptions!$D$7,"Other Services"))),"Other Services"))</f>
        <v/>
      </c>
    </row>
    <row r="663" customFormat="false" ht="15" hidden="false" customHeight="false" outlineLevel="0" collapsed="false">
      <c r="F663" s="41" t="str">
        <f aca="false">IF(C663="","",IFERROR(IF(ISNUMBER(SEARCH(Assumptions!$C$5,C663)),Assumptions!$D$5,IF(ISNUMBER(SEARCH(Assumptions!$C$6,C663)),Assumptions!$D$6,IF(ISNUMBER(SEARCH(Assumptions!$C$7,C663)),Assumptions!$D$7,"Other Services"))),"Other Services"))</f>
        <v/>
      </c>
    </row>
    <row r="664" customFormat="false" ht="15" hidden="false" customHeight="false" outlineLevel="0" collapsed="false">
      <c r="F664" s="41" t="str">
        <f aca="false">IF(C664="","",IFERROR(IF(ISNUMBER(SEARCH(Assumptions!$C$5,C664)),Assumptions!$D$5,IF(ISNUMBER(SEARCH(Assumptions!$C$6,C664)),Assumptions!$D$6,IF(ISNUMBER(SEARCH(Assumptions!$C$7,C664)),Assumptions!$D$7,"Other Services"))),"Other Services"))</f>
        <v/>
      </c>
    </row>
    <row r="665" customFormat="false" ht="15" hidden="false" customHeight="false" outlineLevel="0" collapsed="false">
      <c r="F665" s="41" t="str">
        <f aca="false">IF(C665="","",IFERROR(IF(ISNUMBER(SEARCH(Assumptions!$C$5,C665)),Assumptions!$D$5,IF(ISNUMBER(SEARCH(Assumptions!$C$6,C665)),Assumptions!$D$6,IF(ISNUMBER(SEARCH(Assumptions!$C$7,C665)),Assumptions!$D$7,"Other Services"))),"Other Services"))</f>
        <v/>
      </c>
    </row>
    <row r="666" customFormat="false" ht="15" hidden="false" customHeight="false" outlineLevel="0" collapsed="false">
      <c r="F666" s="41" t="str">
        <f aca="false">IF(C666="","",IFERROR(IF(ISNUMBER(SEARCH(Assumptions!$C$5,C666)),Assumptions!$D$5,IF(ISNUMBER(SEARCH(Assumptions!$C$6,C666)),Assumptions!$D$6,IF(ISNUMBER(SEARCH(Assumptions!$C$7,C666)),Assumptions!$D$7,"Other Services"))),"Other Services"))</f>
        <v/>
      </c>
    </row>
    <row r="667" customFormat="false" ht="15" hidden="false" customHeight="false" outlineLevel="0" collapsed="false">
      <c r="F667" s="41" t="str">
        <f aca="false">IF(C667="","",IFERROR(IF(ISNUMBER(SEARCH(Assumptions!$C$5,C667)),Assumptions!$D$5,IF(ISNUMBER(SEARCH(Assumptions!$C$6,C667)),Assumptions!$D$6,IF(ISNUMBER(SEARCH(Assumptions!$C$7,C667)),Assumptions!$D$7,"Other Services"))),"Other Services"))</f>
        <v/>
      </c>
    </row>
    <row r="668" customFormat="false" ht="15" hidden="false" customHeight="false" outlineLevel="0" collapsed="false">
      <c r="F668" s="41" t="str">
        <f aca="false">IF(C668="","",IFERROR(IF(ISNUMBER(SEARCH(Assumptions!$C$5,C668)),Assumptions!$D$5,IF(ISNUMBER(SEARCH(Assumptions!$C$6,C668)),Assumptions!$D$6,IF(ISNUMBER(SEARCH(Assumptions!$C$7,C668)),Assumptions!$D$7,"Other Services"))),"Other Services"))</f>
        <v/>
      </c>
    </row>
    <row r="669" customFormat="false" ht="15" hidden="false" customHeight="false" outlineLevel="0" collapsed="false">
      <c r="F669" s="41" t="str">
        <f aca="false">IF(C669="","",IFERROR(IF(ISNUMBER(SEARCH(Assumptions!$C$5,C669)),Assumptions!$D$5,IF(ISNUMBER(SEARCH(Assumptions!$C$6,C669)),Assumptions!$D$6,IF(ISNUMBER(SEARCH(Assumptions!$C$7,C669)),Assumptions!$D$7,"Other Services"))),"Other Services"))</f>
        <v/>
      </c>
    </row>
    <row r="670" customFormat="false" ht="15" hidden="false" customHeight="false" outlineLevel="0" collapsed="false">
      <c r="F670" s="41" t="str">
        <f aca="false">IF(C670="","",IFERROR(IF(ISNUMBER(SEARCH(Assumptions!$C$5,C670)),Assumptions!$D$5,IF(ISNUMBER(SEARCH(Assumptions!$C$6,C670)),Assumptions!$D$6,IF(ISNUMBER(SEARCH(Assumptions!$C$7,C670)),Assumptions!$D$7,"Other Services"))),"Other Services"))</f>
        <v/>
      </c>
    </row>
    <row r="671" customFormat="false" ht="15" hidden="false" customHeight="false" outlineLevel="0" collapsed="false">
      <c r="F671" s="41" t="str">
        <f aca="false">IF(C671="","",IFERROR(IF(ISNUMBER(SEARCH(Assumptions!$C$5,C671)),Assumptions!$D$5,IF(ISNUMBER(SEARCH(Assumptions!$C$6,C671)),Assumptions!$D$6,IF(ISNUMBER(SEARCH(Assumptions!$C$7,C671)),Assumptions!$D$7,"Other Services"))),"Other Services"))</f>
        <v/>
      </c>
    </row>
    <row r="672" customFormat="false" ht="15" hidden="false" customHeight="false" outlineLevel="0" collapsed="false">
      <c r="F672" s="41" t="str">
        <f aca="false">IF(C672="","",IFERROR(IF(ISNUMBER(SEARCH(Assumptions!$C$5,C672)),Assumptions!$D$5,IF(ISNUMBER(SEARCH(Assumptions!$C$6,C672)),Assumptions!$D$6,IF(ISNUMBER(SEARCH(Assumptions!$C$7,C672)),Assumptions!$D$7,"Other Services"))),"Other Services"))</f>
        <v/>
      </c>
    </row>
    <row r="673" customFormat="false" ht="15" hidden="false" customHeight="false" outlineLevel="0" collapsed="false">
      <c r="F673" s="41" t="str">
        <f aca="false">IF(C673="","",IFERROR(IF(ISNUMBER(SEARCH(Assumptions!$C$5,C673)),Assumptions!$D$5,IF(ISNUMBER(SEARCH(Assumptions!$C$6,C673)),Assumptions!$D$6,IF(ISNUMBER(SEARCH(Assumptions!$C$7,C673)),Assumptions!$D$7,"Other Services"))),"Other Services"))</f>
        <v/>
      </c>
    </row>
    <row r="674" customFormat="false" ht="15" hidden="false" customHeight="false" outlineLevel="0" collapsed="false">
      <c r="F674" s="41" t="str">
        <f aca="false">IF(C674="","",IFERROR(IF(ISNUMBER(SEARCH(Assumptions!$C$5,C674)),Assumptions!$D$5,IF(ISNUMBER(SEARCH(Assumptions!$C$6,C674)),Assumptions!$D$6,IF(ISNUMBER(SEARCH(Assumptions!$C$7,C674)),Assumptions!$D$7,"Other Services"))),"Other Services"))</f>
        <v/>
      </c>
    </row>
    <row r="675" customFormat="false" ht="15" hidden="false" customHeight="false" outlineLevel="0" collapsed="false">
      <c r="F675" s="41" t="str">
        <f aca="false">IF(C675="","",IFERROR(IF(ISNUMBER(SEARCH(Assumptions!$C$5,C675)),Assumptions!$D$5,IF(ISNUMBER(SEARCH(Assumptions!$C$6,C675)),Assumptions!$D$6,IF(ISNUMBER(SEARCH(Assumptions!$C$7,C675)),Assumptions!$D$7,"Other Services"))),"Other Services"))</f>
        <v/>
      </c>
    </row>
    <row r="676" customFormat="false" ht="15" hidden="false" customHeight="false" outlineLevel="0" collapsed="false">
      <c r="F676" s="41" t="str">
        <f aca="false">IF(C676="","",IFERROR(IF(ISNUMBER(SEARCH(Assumptions!$C$5,C676)),Assumptions!$D$5,IF(ISNUMBER(SEARCH(Assumptions!$C$6,C676)),Assumptions!$D$6,IF(ISNUMBER(SEARCH(Assumptions!$C$7,C676)),Assumptions!$D$7,"Other Services"))),"Other Services"))</f>
        <v/>
      </c>
    </row>
    <row r="677" customFormat="false" ht="15" hidden="false" customHeight="false" outlineLevel="0" collapsed="false">
      <c r="F677" s="41" t="str">
        <f aca="false">IF(C677="","",IFERROR(IF(ISNUMBER(SEARCH(Assumptions!$C$5,C677)),Assumptions!$D$5,IF(ISNUMBER(SEARCH(Assumptions!$C$6,C677)),Assumptions!$D$6,IF(ISNUMBER(SEARCH(Assumptions!$C$7,C677)),Assumptions!$D$7,"Other Services"))),"Other Services"))</f>
        <v/>
      </c>
    </row>
    <row r="678" customFormat="false" ht="15" hidden="false" customHeight="false" outlineLevel="0" collapsed="false">
      <c r="F678" s="41" t="str">
        <f aca="false">IF(C678="","",IFERROR(IF(ISNUMBER(SEARCH(Assumptions!$C$5,C678)),Assumptions!$D$5,IF(ISNUMBER(SEARCH(Assumptions!$C$6,C678)),Assumptions!$D$6,IF(ISNUMBER(SEARCH(Assumptions!$C$7,C678)),Assumptions!$D$7,"Other Services"))),"Other Services"))</f>
        <v/>
      </c>
    </row>
    <row r="679" customFormat="false" ht="15" hidden="false" customHeight="false" outlineLevel="0" collapsed="false">
      <c r="F679" s="41" t="str">
        <f aca="false">IF(C679="","",IFERROR(IF(ISNUMBER(SEARCH(Assumptions!$C$5,C679)),Assumptions!$D$5,IF(ISNUMBER(SEARCH(Assumptions!$C$6,C679)),Assumptions!$D$6,IF(ISNUMBER(SEARCH(Assumptions!$C$7,C679)),Assumptions!$D$7,"Other Services"))),"Other Services"))</f>
        <v/>
      </c>
    </row>
    <row r="680" customFormat="false" ht="15" hidden="false" customHeight="false" outlineLevel="0" collapsed="false">
      <c r="F680" s="41" t="str">
        <f aca="false">IF(C680="","",IFERROR(IF(ISNUMBER(SEARCH(Assumptions!$C$5,C680)),Assumptions!$D$5,IF(ISNUMBER(SEARCH(Assumptions!$C$6,C680)),Assumptions!$D$6,IF(ISNUMBER(SEARCH(Assumptions!$C$7,C680)),Assumptions!$D$7,"Other Services"))),"Other Services"))</f>
        <v/>
      </c>
    </row>
    <row r="681" customFormat="false" ht="15" hidden="false" customHeight="false" outlineLevel="0" collapsed="false">
      <c r="F681" s="41" t="str">
        <f aca="false">IF(C681="","",IFERROR(IF(ISNUMBER(SEARCH(Assumptions!$C$5,C681)),Assumptions!$D$5,IF(ISNUMBER(SEARCH(Assumptions!$C$6,C681)),Assumptions!$D$6,IF(ISNUMBER(SEARCH(Assumptions!$C$7,C681)),Assumptions!$D$7,"Other Services"))),"Other Services"))</f>
        <v/>
      </c>
    </row>
    <row r="682" customFormat="false" ht="15" hidden="false" customHeight="false" outlineLevel="0" collapsed="false">
      <c r="F682" s="41" t="str">
        <f aca="false">IF(C682="","",IFERROR(IF(ISNUMBER(SEARCH(Assumptions!$C$5,C682)),Assumptions!$D$5,IF(ISNUMBER(SEARCH(Assumptions!$C$6,C682)),Assumptions!$D$6,IF(ISNUMBER(SEARCH(Assumptions!$C$7,C682)),Assumptions!$D$7,"Other Services"))),"Other Services"))</f>
        <v/>
      </c>
    </row>
    <row r="683" customFormat="false" ht="15" hidden="false" customHeight="false" outlineLevel="0" collapsed="false">
      <c r="F683" s="41" t="str">
        <f aca="false">IF(C683="","",IFERROR(IF(ISNUMBER(SEARCH(Assumptions!$C$5,C683)),Assumptions!$D$5,IF(ISNUMBER(SEARCH(Assumptions!$C$6,C683)),Assumptions!$D$6,IF(ISNUMBER(SEARCH(Assumptions!$C$7,C683)),Assumptions!$D$7,"Other Services"))),"Other Services"))</f>
        <v/>
      </c>
    </row>
    <row r="684" customFormat="false" ht="15" hidden="false" customHeight="false" outlineLevel="0" collapsed="false">
      <c r="F684" s="41" t="str">
        <f aca="false">IF(C684="","",IFERROR(IF(ISNUMBER(SEARCH(Assumptions!$C$5,C684)),Assumptions!$D$5,IF(ISNUMBER(SEARCH(Assumptions!$C$6,C684)),Assumptions!$D$6,IF(ISNUMBER(SEARCH(Assumptions!$C$7,C684)),Assumptions!$D$7,"Other Services"))),"Other Services"))</f>
        <v/>
      </c>
    </row>
    <row r="685" customFormat="false" ht="15" hidden="false" customHeight="false" outlineLevel="0" collapsed="false">
      <c r="F685" s="41" t="str">
        <f aca="false">IF(C685="","",IFERROR(IF(ISNUMBER(SEARCH(Assumptions!$C$5,C685)),Assumptions!$D$5,IF(ISNUMBER(SEARCH(Assumptions!$C$6,C685)),Assumptions!$D$6,IF(ISNUMBER(SEARCH(Assumptions!$C$7,C685)),Assumptions!$D$7,"Other Services"))),"Other Services"))</f>
        <v/>
      </c>
    </row>
    <row r="686" customFormat="false" ht="15" hidden="false" customHeight="false" outlineLevel="0" collapsed="false">
      <c r="F686" s="41" t="str">
        <f aca="false">IF(C686="","",IFERROR(IF(ISNUMBER(SEARCH(Assumptions!$C$5,C686)),Assumptions!$D$5,IF(ISNUMBER(SEARCH(Assumptions!$C$6,C686)),Assumptions!$D$6,IF(ISNUMBER(SEARCH(Assumptions!$C$7,C686)),Assumptions!$D$7,"Other Services"))),"Other Services"))</f>
        <v/>
      </c>
    </row>
    <row r="687" customFormat="false" ht="15" hidden="false" customHeight="false" outlineLevel="0" collapsed="false">
      <c r="F687" s="41" t="str">
        <f aca="false">IF(C687="","",IFERROR(IF(ISNUMBER(SEARCH(Assumptions!$C$5,C687)),Assumptions!$D$5,IF(ISNUMBER(SEARCH(Assumptions!$C$6,C687)),Assumptions!$D$6,IF(ISNUMBER(SEARCH(Assumptions!$C$7,C687)),Assumptions!$D$7,"Other Services"))),"Other Services"))</f>
        <v/>
      </c>
    </row>
    <row r="688" customFormat="false" ht="15" hidden="false" customHeight="false" outlineLevel="0" collapsed="false">
      <c r="F688" s="41" t="str">
        <f aca="false">IF(C688="","",IFERROR(IF(ISNUMBER(SEARCH(Assumptions!$C$5,C688)),Assumptions!$D$5,IF(ISNUMBER(SEARCH(Assumptions!$C$6,C688)),Assumptions!$D$6,IF(ISNUMBER(SEARCH(Assumptions!$C$7,C688)),Assumptions!$D$7,"Other Services"))),"Other Services"))</f>
        <v/>
      </c>
    </row>
    <row r="689" customFormat="false" ht="15" hidden="false" customHeight="false" outlineLevel="0" collapsed="false">
      <c r="F689" s="41" t="str">
        <f aca="false">IF(C689="","",IFERROR(IF(ISNUMBER(SEARCH(Assumptions!$C$5,C689)),Assumptions!$D$5,IF(ISNUMBER(SEARCH(Assumptions!$C$6,C689)),Assumptions!$D$6,IF(ISNUMBER(SEARCH(Assumptions!$C$7,C689)),Assumptions!$D$7,"Other Services"))),"Other Services"))</f>
        <v/>
      </c>
    </row>
    <row r="690" customFormat="false" ht="15" hidden="false" customHeight="false" outlineLevel="0" collapsed="false">
      <c r="F690" s="41" t="str">
        <f aca="false">IF(C690="","",IFERROR(IF(ISNUMBER(SEARCH(Assumptions!$C$5,C690)),Assumptions!$D$5,IF(ISNUMBER(SEARCH(Assumptions!$C$6,C690)),Assumptions!$D$6,IF(ISNUMBER(SEARCH(Assumptions!$C$7,C690)),Assumptions!$D$7,"Other Services"))),"Other Services"))</f>
        <v/>
      </c>
    </row>
    <row r="691" customFormat="false" ht="15" hidden="false" customHeight="false" outlineLevel="0" collapsed="false">
      <c r="F691" s="41" t="str">
        <f aca="false">IF(C691="","",IFERROR(IF(ISNUMBER(SEARCH(Assumptions!$C$5,C691)),Assumptions!$D$5,IF(ISNUMBER(SEARCH(Assumptions!$C$6,C691)),Assumptions!$D$6,IF(ISNUMBER(SEARCH(Assumptions!$C$7,C691)),Assumptions!$D$7,"Other Services"))),"Other Services"))</f>
        <v/>
      </c>
    </row>
    <row r="692" customFormat="false" ht="15" hidden="false" customHeight="false" outlineLevel="0" collapsed="false">
      <c r="F692" s="41" t="str">
        <f aca="false">IF(C692="","",IFERROR(IF(ISNUMBER(SEARCH(Assumptions!$C$5,C692)),Assumptions!$D$5,IF(ISNUMBER(SEARCH(Assumptions!$C$6,C692)),Assumptions!$D$6,IF(ISNUMBER(SEARCH(Assumptions!$C$7,C692)),Assumptions!$D$7,"Other Services"))),"Other Services"))</f>
        <v/>
      </c>
    </row>
    <row r="693" customFormat="false" ht="15" hidden="false" customHeight="false" outlineLevel="0" collapsed="false">
      <c r="F693" s="41" t="str">
        <f aca="false">IF(C693="","",IFERROR(IF(ISNUMBER(SEARCH(Assumptions!$C$5,C693)),Assumptions!$D$5,IF(ISNUMBER(SEARCH(Assumptions!$C$6,C693)),Assumptions!$D$6,IF(ISNUMBER(SEARCH(Assumptions!$C$7,C693)),Assumptions!$D$7,"Other Services"))),"Other Services"))</f>
        <v/>
      </c>
    </row>
    <row r="694" customFormat="false" ht="15" hidden="false" customHeight="false" outlineLevel="0" collapsed="false">
      <c r="F694" s="41" t="str">
        <f aca="false">IF(C694="","",IFERROR(IF(ISNUMBER(SEARCH(Assumptions!$C$5,C694)),Assumptions!$D$5,IF(ISNUMBER(SEARCH(Assumptions!$C$6,C694)),Assumptions!$D$6,IF(ISNUMBER(SEARCH(Assumptions!$C$7,C694)),Assumptions!$D$7,"Other Services"))),"Other Services"))</f>
        <v/>
      </c>
    </row>
    <row r="695" customFormat="false" ht="15" hidden="false" customHeight="false" outlineLevel="0" collapsed="false">
      <c r="F695" s="41" t="str">
        <f aca="false">IF(C695="","",IFERROR(IF(ISNUMBER(SEARCH(Assumptions!$C$5,C695)),Assumptions!$D$5,IF(ISNUMBER(SEARCH(Assumptions!$C$6,C695)),Assumptions!$D$6,IF(ISNUMBER(SEARCH(Assumptions!$C$7,C695)),Assumptions!$D$7,"Other Services"))),"Other Services"))</f>
        <v/>
      </c>
    </row>
    <row r="696" customFormat="false" ht="15" hidden="false" customHeight="false" outlineLevel="0" collapsed="false">
      <c r="F696" s="41" t="str">
        <f aca="false">IF(C696="","",IFERROR(IF(ISNUMBER(SEARCH(Assumptions!$C$5,C696)),Assumptions!$D$5,IF(ISNUMBER(SEARCH(Assumptions!$C$6,C696)),Assumptions!$D$6,IF(ISNUMBER(SEARCH(Assumptions!$C$7,C696)),Assumptions!$D$7,"Other Services"))),"Other Services"))</f>
        <v/>
      </c>
    </row>
    <row r="697" customFormat="false" ht="15" hidden="false" customHeight="false" outlineLevel="0" collapsed="false">
      <c r="F697" s="41" t="str">
        <f aca="false">IF(C697="","",IFERROR(IF(ISNUMBER(SEARCH(Assumptions!$C$5,C697)),Assumptions!$D$5,IF(ISNUMBER(SEARCH(Assumptions!$C$6,C697)),Assumptions!$D$6,IF(ISNUMBER(SEARCH(Assumptions!$C$7,C697)),Assumptions!$D$7,"Other Services"))),"Other Services"))</f>
        <v/>
      </c>
    </row>
    <row r="698" customFormat="false" ht="15" hidden="false" customHeight="false" outlineLevel="0" collapsed="false">
      <c r="F698" s="41" t="str">
        <f aca="false">IF(C698="","",IFERROR(IF(ISNUMBER(SEARCH(Assumptions!$C$5,C698)),Assumptions!$D$5,IF(ISNUMBER(SEARCH(Assumptions!$C$6,C698)),Assumptions!$D$6,IF(ISNUMBER(SEARCH(Assumptions!$C$7,C698)),Assumptions!$D$7,"Other Services"))),"Other Services"))</f>
        <v/>
      </c>
    </row>
    <row r="699" customFormat="false" ht="15" hidden="false" customHeight="false" outlineLevel="0" collapsed="false">
      <c r="F699" s="41" t="str">
        <f aca="false">IF(C699="","",IFERROR(IF(ISNUMBER(SEARCH(Assumptions!$C$5,C699)),Assumptions!$D$5,IF(ISNUMBER(SEARCH(Assumptions!$C$6,C699)),Assumptions!$D$6,IF(ISNUMBER(SEARCH(Assumptions!$C$7,C699)),Assumptions!$D$7,"Other Services"))),"Other Services"))</f>
        <v/>
      </c>
    </row>
    <row r="700" customFormat="false" ht="15" hidden="false" customHeight="false" outlineLevel="0" collapsed="false">
      <c r="F700" s="41" t="str">
        <f aca="false">IF(C700="","",IFERROR(IF(ISNUMBER(SEARCH(Assumptions!$C$5,C700)),Assumptions!$D$5,IF(ISNUMBER(SEARCH(Assumptions!$C$6,C700)),Assumptions!$D$6,IF(ISNUMBER(SEARCH(Assumptions!$C$7,C700)),Assumptions!$D$7,"Other Services"))),"Other Services"))</f>
        <v/>
      </c>
    </row>
    <row r="701" customFormat="false" ht="15" hidden="false" customHeight="false" outlineLevel="0" collapsed="false">
      <c r="F701" s="41" t="str">
        <f aca="false">IF(C701="","",IFERROR(IF(ISNUMBER(SEARCH(Assumptions!$C$5,C701)),Assumptions!$D$5,IF(ISNUMBER(SEARCH(Assumptions!$C$6,C701)),Assumptions!$D$6,IF(ISNUMBER(SEARCH(Assumptions!$C$7,C701)),Assumptions!$D$7,"Other Services"))),"Other Services"))</f>
        <v/>
      </c>
    </row>
    <row r="702" customFormat="false" ht="15" hidden="false" customHeight="false" outlineLevel="0" collapsed="false">
      <c r="F702" s="41" t="str">
        <f aca="false">IF(C702="","",IFERROR(IF(ISNUMBER(SEARCH(Assumptions!$C$5,C702)),Assumptions!$D$5,IF(ISNUMBER(SEARCH(Assumptions!$C$6,C702)),Assumptions!$D$6,IF(ISNUMBER(SEARCH(Assumptions!$C$7,C702)),Assumptions!$D$7,"Other Services"))),"Other Services"))</f>
        <v/>
      </c>
    </row>
    <row r="703" customFormat="false" ht="15" hidden="false" customHeight="false" outlineLevel="0" collapsed="false">
      <c r="F703" s="41" t="str">
        <f aca="false">IF(C703="","",IFERROR(IF(ISNUMBER(SEARCH(Assumptions!$C$5,C703)),Assumptions!$D$5,IF(ISNUMBER(SEARCH(Assumptions!$C$6,C703)),Assumptions!$D$6,IF(ISNUMBER(SEARCH(Assumptions!$C$7,C703)),Assumptions!$D$7,"Other Services"))),"Other Services"))</f>
        <v/>
      </c>
    </row>
    <row r="704" customFormat="false" ht="15" hidden="false" customHeight="false" outlineLevel="0" collapsed="false">
      <c r="F704" s="41" t="str">
        <f aca="false">IF(C704="","",IFERROR(IF(ISNUMBER(SEARCH(Assumptions!$C$5,C704)),Assumptions!$D$5,IF(ISNUMBER(SEARCH(Assumptions!$C$6,C704)),Assumptions!$D$6,IF(ISNUMBER(SEARCH(Assumptions!$C$7,C704)),Assumptions!$D$7,"Other Services"))),"Other Services"))</f>
        <v/>
      </c>
    </row>
    <row r="705" customFormat="false" ht="15" hidden="false" customHeight="false" outlineLevel="0" collapsed="false">
      <c r="F705" s="41" t="str">
        <f aca="false">IF(C705="","",IFERROR(IF(ISNUMBER(SEARCH(Assumptions!$C$5,C705)),Assumptions!$D$5,IF(ISNUMBER(SEARCH(Assumptions!$C$6,C705)),Assumptions!$D$6,IF(ISNUMBER(SEARCH(Assumptions!$C$7,C705)),Assumptions!$D$7,"Other Services"))),"Other Services"))</f>
        <v/>
      </c>
    </row>
    <row r="706" customFormat="false" ht="15" hidden="false" customHeight="false" outlineLevel="0" collapsed="false">
      <c r="F706" s="41" t="str">
        <f aca="false">IF(C706="","",IFERROR(IF(ISNUMBER(SEARCH(Assumptions!$C$5,C706)),Assumptions!$D$5,IF(ISNUMBER(SEARCH(Assumptions!$C$6,C706)),Assumptions!$D$6,IF(ISNUMBER(SEARCH(Assumptions!$C$7,C706)),Assumptions!$D$7,"Other Services"))),"Other Services"))</f>
        <v/>
      </c>
    </row>
    <row r="707" customFormat="false" ht="15" hidden="false" customHeight="false" outlineLevel="0" collapsed="false">
      <c r="F707" s="41" t="str">
        <f aca="false">IF(C707="","",IFERROR(IF(ISNUMBER(SEARCH(Assumptions!$C$5,C707)),Assumptions!$D$5,IF(ISNUMBER(SEARCH(Assumptions!$C$6,C707)),Assumptions!$D$6,IF(ISNUMBER(SEARCH(Assumptions!$C$7,C707)),Assumptions!$D$7,"Other Services"))),"Other Services"))</f>
        <v/>
      </c>
    </row>
    <row r="708" customFormat="false" ht="15" hidden="false" customHeight="false" outlineLevel="0" collapsed="false">
      <c r="F708" s="41" t="str">
        <f aca="false">IF(C708="","",IFERROR(IF(ISNUMBER(SEARCH(Assumptions!$C$5,C708)),Assumptions!$D$5,IF(ISNUMBER(SEARCH(Assumptions!$C$6,C708)),Assumptions!$D$6,IF(ISNUMBER(SEARCH(Assumptions!$C$7,C708)),Assumptions!$D$7,"Other Services"))),"Other Services"))</f>
        <v/>
      </c>
    </row>
    <row r="709" customFormat="false" ht="15" hidden="false" customHeight="false" outlineLevel="0" collapsed="false">
      <c r="F709" s="41" t="str">
        <f aca="false">IF(C709="","",IFERROR(IF(ISNUMBER(SEARCH(Assumptions!$C$5,C709)),Assumptions!$D$5,IF(ISNUMBER(SEARCH(Assumptions!$C$6,C709)),Assumptions!$D$6,IF(ISNUMBER(SEARCH(Assumptions!$C$7,C709)),Assumptions!$D$7,"Other Services"))),"Other Services"))</f>
        <v/>
      </c>
    </row>
    <row r="710" customFormat="false" ht="15" hidden="false" customHeight="false" outlineLevel="0" collapsed="false">
      <c r="F710" s="41" t="str">
        <f aca="false">IF(C710="","",IFERROR(IF(ISNUMBER(SEARCH(Assumptions!$C$5,C710)),Assumptions!$D$5,IF(ISNUMBER(SEARCH(Assumptions!$C$6,C710)),Assumptions!$D$6,IF(ISNUMBER(SEARCH(Assumptions!$C$7,C710)),Assumptions!$D$7,"Other Services"))),"Other Services"))</f>
        <v/>
      </c>
    </row>
    <row r="711" customFormat="false" ht="15" hidden="false" customHeight="false" outlineLevel="0" collapsed="false">
      <c r="F711" s="41" t="str">
        <f aca="false">IF(C711="","",IFERROR(IF(ISNUMBER(SEARCH(Assumptions!$C$5,C711)),Assumptions!$D$5,IF(ISNUMBER(SEARCH(Assumptions!$C$6,C711)),Assumptions!$D$6,IF(ISNUMBER(SEARCH(Assumptions!$C$7,C711)),Assumptions!$D$7,"Other Services"))),"Other Services"))</f>
        <v/>
      </c>
    </row>
    <row r="712" customFormat="false" ht="15" hidden="false" customHeight="false" outlineLevel="0" collapsed="false">
      <c r="F712" s="41" t="str">
        <f aca="false">IF(C712="","",IFERROR(IF(ISNUMBER(SEARCH(Assumptions!$C$5,C712)),Assumptions!$D$5,IF(ISNUMBER(SEARCH(Assumptions!$C$6,C712)),Assumptions!$D$6,IF(ISNUMBER(SEARCH(Assumptions!$C$7,C712)),Assumptions!$D$7,"Other Services"))),"Other Services"))</f>
        <v/>
      </c>
    </row>
    <row r="713" customFormat="false" ht="15" hidden="false" customHeight="false" outlineLevel="0" collapsed="false">
      <c r="F713" s="41" t="str">
        <f aca="false">IF(C713="","",IFERROR(IF(ISNUMBER(SEARCH(Assumptions!$C$5,C713)),Assumptions!$D$5,IF(ISNUMBER(SEARCH(Assumptions!$C$6,C713)),Assumptions!$D$6,IF(ISNUMBER(SEARCH(Assumptions!$C$7,C713)),Assumptions!$D$7,"Other Services"))),"Other Services"))</f>
        <v/>
      </c>
    </row>
    <row r="714" customFormat="false" ht="15" hidden="false" customHeight="false" outlineLevel="0" collapsed="false">
      <c r="F714" s="41" t="str">
        <f aca="false">IF(C714="","",IFERROR(IF(ISNUMBER(SEARCH(Assumptions!$C$5,C714)),Assumptions!$D$5,IF(ISNUMBER(SEARCH(Assumptions!$C$6,C714)),Assumptions!$D$6,IF(ISNUMBER(SEARCH(Assumptions!$C$7,C714)),Assumptions!$D$7,"Other Services"))),"Other Services"))</f>
        <v/>
      </c>
    </row>
    <row r="715" customFormat="false" ht="15" hidden="false" customHeight="false" outlineLevel="0" collapsed="false">
      <c r="F715" s="41" t="str">
        <f aca="false">IF(C715="","",IFERROR(IF(ISNUMBER(SEARCH(Assumptions!$C$5,C715)),Assumptions!$D$5,IF(ISNUMBER(SEARCH(Assumptions!$C$6,C715)),Assumptions!$D$6,IF(ISNUMBER(SEARCH(Assumptions!$C$7,C715)),Assumptions!$D$7,"Other Services"))),"Other Services"))</f>
        <v/>
      </c>
    </row>
    <row r="716" customFormat="false" ht="15" hidden="false" customHeight="false" outlineLevel="0" collapsed="false">
      <c r="F716" s="41" t="str">
        <f aca="false">IF(C716="","",IFERROR(IF(ISNUMBER(SEARCH(Assumptions!$C$5,C716)),Assumptions!$D$5,IF(ISNUMBER(SEARCH(Assumptions!$C$6,C716)),Assumptions!$D$6,IF(ISNUMBER(SEARCH(Assumptions!$C$7,C716)),Assumptions!$D$7,"Other Services"))),"Other Services"))</f>
        <v/>
      </c>
    </row>
    <row r="717" customFormat="false" ht="15" hidden="false" customHeight="false" outlineLevel="0" collapsed="false">
      <c r="F717" s="41" t="str">
        <f aca="false">IF(C717="","",IFERROR(IF(ISNUMBER(SEARCH(Assumptions!$C$5,C717)),Assumptions!$D$5,IF(ISNUMBER(SEARCH(Assumptions!$C$6,C717)),Assumptions!$D$6,IF(ISNUMBER(SEARCH(Assumptions!$C$7,C717)),Assumptions!$D$7,"Other Services"))),"Other Services"))</f>
        <v/>
      </c>
    </row>
    <row r="718" customFormat="false" ht="15" hidden="false" customHeight="false" outlineLevel="0" collapsed="false">
      <c r="F718" s="41" t="str">
        <f aca="false">IF(C718="","",IFERROR(IF(ISNUMBER(SEARCH(Assumptions!$C$5,C718)),Assumptions!$D$5,IF(ISNUMBER(SEARCH(Assumptions!$C$6,C718)),Assumptions!$D$6,IF(ISNUMBER(SEARCH(Assumptions!$C$7,C718)),Assumptions!$D$7,"Other Services"))),"Other Services"))</f>
        <v/>
      </c>
    </row>
    <row r="719" customFormat="false" ht="15" hidden="false" customHeight="false" outlineLevel="0" collapsed="false">
      <c r="F719" s="41" t="str">
        <f aca="false">IF(C719="","",IFERROR(IF(ISNUMBER(SEARCH(Assumptions!$C$5,C719)),Assumptions!$D$5,IF(ISNUMBER(SEARCH(Assumptions!$C$6,C719)),Assumptions!$D$6,IF(ISNUMBER(SEARCH(Assumptions!$C$7,C719)),Assumptions!$D$7,"Other Services"))),"Other Services"))</f>
        <v/>
      </c>
    </row>
    <row r="720" customFormat="false" ht="15" hidden="false" customHeight="false" outlineLevel="0" collapsed="false">
      <c r="F720" s="41" t="str">
        <f aca="false">IF(C720="","",IFERROR(IF(ISNUMBER(SEARCH(Assumptions!$C$5,C720)),Assumptions!$D$5,IF(ISNUMBER(SEARCH(Assumptions!$C$6,C720)),Assumptions!$D$6,IF(ISNUMBER(SEARCH(Assumptions!$C$7,C720)),Assumptions!$D$7,"Other Services"))),"Other Services"))</f>
        <v/>
      </c>
    </row>
    <row r="721" customFormat="false" ht="15" hidden="false" customHeight="false" outlineLevel="0" collapsed="false">
      <c r="F721" s="41" t="str">
        <f aca="false">IF(C721="","",IFERROR(IF(ISNUMBER(SEARCH(Assumptions!$C$5,C721)),Assumptions!$D$5,IF(ISNUMBER(SEARCH(Assumptions!$C$6,C721)),Assumptions!$D$6,IF(ISNUMBER(SEARCH(Assumptions!$C$7,C721)),Assumptions!$D$7,"Other Services"))),"Other Services"))</f>
        <v/>
      </c>
    </row>
    <row r="722" customFormat="false" ht="15" hidden="false" customHeight="false" outlineLevel="0" collapsed="false">
      <c r="F722" s="41" t="str">
        <f aca="false">IF(C722="","",IFERROR(IF(ISNUMBER(SEARCH(Assumptions!$C$5,C722)),Assumptions!$D$5,IF(ISNUMBER(SEARCH(Assumptions!$C$6,C722)),Assumptions!$D$6,IF(ISNUMBER(SEARCH(Assumptions!$C$7,C722)),Assumptions!$D$7,"Other Services"))),"Other Services"))</f>
        <v/>
      </c>
    </row>
    <row r="723" customFormat="false" ht="15" hidden="false" customHeight="false" outlineLevel="0" collapsed="false">
      <c r="F723" s="41" t="str">
        <f aca="false">IF(C723="","",IFERROR(IF(ISNUMBER(SEARCH(Assumptions!$C$5,C723)),Assumptions!$D$5,IF(ISNUMBER(SEARCH(Assumptions!$C$6,C723)),Assumptions!$D$6,IF(ISNUMBER(SEARCH(Assumptions!$C$7,C723)),Assumptions!$D$7,"Other Services"))),"Other Services"))</f>
        <v/>
      </c>
    </row>
    <row r="724" customFormat="false" ht="15" hidden="false" customHeight="false" outlineLevel="0" collapsed="false">
      <c r="F724" s="41" t="str">
        <f aca="false">IF(C724="","",IFERROR(IF(ISNUMBER(SEARCH(Assumptions!$C$5,C724)),Assumptions!$D$5,IF(ISNUMBER(SEARCH(Assumptions!$C$6,C724)),Assumptions!$D$6,IF(ISNUMBER(SEARCH(Assumptions!$C$7,C724)),Assumptions!$D$7,"Other Services"))),"Other Services"))</f>
        <v/>
      </c>
    </row>
    <row r="725" customFormat="false" ht="15" hidden="false" customHeight="false" outlineLevel="0" collapsed="false">
      <c r="F725" s="41" t="str">
        <f aca="false">IF(C725="","",IFERROR(IF(ISNUMBER(SEARCH(Assumptions!$C$5,C725)),Assumptions!$D$5,IF(ISNUMBER(SEARCH(Assumptions!$C$6,C725)),Assumptions!$D$6,IF(ISNUMBER(SEARCH(Assumptions!$C$7,C725)),Assumptions!$D$7,"Other Services"))),"Other Services"))</f>
        <v/>
      </c>
    </row>
    <row r="726" customFormat="false" ht="15" hidden="false" customHeight="false" outlineLevel="0" collapsed="false">
      <c r="F726" s="41" t="str">
        <f aca="false">IF(C726="","",IFERROR(IF(ISNUMBER(SEARCH(Assumptions!$C$5,C726)),Assumptions!$D$5,IF(ISNUMBER(SEARCH(Assumptions!$C$6,C726)),Assumptions!$D$6,IF(ISNUMBER(SEARCH(Assumptions!$C$7,C726)),Assumptions!$D$7,"Other Services"))),"Other Services"))</f>
        <v/>
      </c>
    </row>
    <row r="727" customFormat="false" ht="15" hidden="false" customHeight="false" outlineLevel="0" collapsed="false">
      <c r="F727" s="41" t="str">
        <f aca="false">IF(C727="","",IFERROR(IF(ISNUMBER(SEARCH(Assumptions!$C$5,C727)),Assumptions!$D$5,IF(ISNUMBER(SEARCH(Assumptions!$C$6,C727)),Assumptions!$D$6,IF(ISNUMBER(SEARCH(Assumptions!$C$7,C727)),Assumptions!$D$7,"Other Services"))),"Other Services"))</f>
        <v/>
      </c>
    </row>
    <row r="728" customFormat="false" ht="15" hidden="false" customHeight="false" outlineLevel="0" collapsed="false">
      <c r="F728" s="41" t="str">
        <f aca="false">IF(C728="","",IFERROR(IF(ISNUMBER(SEARCH(Assumptions!$C$5,C728)),Assumptions!$D$5,IF(ISNUMBER(SEARCH(Assumptions!$C$6,C728)),Assumptions!$D$6,IF(ISNUMBER(SEARCH(Assumptions!$C$7,C728)),Assumptions!$D$7,"Other Services"))),"Other Services"))</f>
        <v/>
      </c>
    </row>
    <row r="729" customFormat="false" ht="15" hidden="false" customHeight="false" outlineLevel="0" collapsed="false">
      <c r="F729" s="41" t="str">
        <f aca="false">IF(C729="","",IFERROR(IF(ISNUMBER(SEARCH(Assumptions!$C$5,C729)),Assumptions!$D$5,IF(ISNUMBER(SEARCH(Assumptions!$C$6,C729)),Assumptions!$D$6,IF(ISNUMBER(SEARCH(Assumptions!$C$7,C729)),Assumptions!$D$7,"Other Services"))),"Other Services"))</f>
        <v/>
      </c>
    </row>
    <row r="730" customFormat="false" ht="15" hidden="false" customHeight="false" outlineLevel="0" collapsed="false">
      <c r="F730" s="41" t="str">
        <f aca="false">IF(C730="","",IFERROR(IF(ISNUMBER(SEARCH(Assumptions!$C$5,C730)),Assumptions!$D$5,IF(ISNUMBER(SEARCH(Assumptions!$C$6,C730)),Assumptions!$D$6,IF(ISNUMBER(SEARCH(Assumptions!$C$7,C730)),Assumptions!$D$7,"Other Services"))),"Other Services"))</f>
        <v/>
      </c>
    </row>
    <row r="731" customFormat="false" ht="15" hidden="false" customHeight="false" outlineLevel="0" collapsed="false">
      <c r="F731" s="41" t="str">
        <f aca="false">IF(C731="","",IFERROR(IF(ISNUMBER(SEARCH(Assumptions!$C$5,C731)),Assumptions!$D$5,IF(ISNUMBER(SEARCH(Assumptions!$C$6,C731)),Assumptions!$D$6,IF(ISNUMBER(SEARCH(Assumptions!$C$7,C731)),Assumptions!$D$7,"Other Services"))),"Other Services"))</f>
        <v/>
      </c>
    </row>
    <row r="732" customFormat="false" ht="15" hidden="false" customHeight="false" outlineLevel="0" collapsed="false">
      <c r="F732" s="41" t="str">
        <f aca="false">IF(C732="","",IFERROR(IF(ISNUMBER(SEARCH(Assumptions!$C$5,C732)),Assumptions!$D$5,IF(ISNUMBER(SEARCH(Assumptions!$C$6,C732)),Assumptions!$D$6,IF(ISNUMBER(SEARCH(Assumptions!$C$7,C732)),Assumptions!$D$7,"Other Services"))),"Other Services"))</f>
        <v/>
      </c>
    </row>
    <row r="733" customFormat="false" ht="15" hidden="false" customHeight="false" outlineLevel="0" collapsed="false">
      <c r="F733" s="41" t="str">
        <f aca="false">IF(C733="","",IFERROR(IF(ISNUMBER(SEARCH(Assumptions!$C$5,C733)),Assumptions!$D$5,IF(ISNUMBER(SEARCH(Assumptions!$C$6,C733)),Assumptions!$D$6,IF(ISNUMBER(SEARCH(Assumptions!$C$7,C733)),Assumptions!$D$7,"Other Services"))),"Other Services"))</f>
        <v/>
      </c>
    </row>
    <row r="734" customFormat="false" ht="15" hidden="false" customHeight="false" outlineLevel="0" collapsed="false">
      <c r="F734" s="41" t="str">
        <f aca="false">IF(C734="","",IFERROR(IF(ISNUMBER(SEARCH(Assumptions!$C$5,C734)),Assumptions!$D$5,IF(ISNUMBER(SEARCH(Assumptions!$C$6,C734)),Assumptions!$D$6,IF(ISNUMBER(SEARCH(Assumptions!$C$7,C734)),Assumptions!$D$7,"Other Services"))),"Other Services"))</f>
        <v/>
      </c>
    </row>
    <row r="735" customFormat="false" ht="15" hidden="false" customHeight="false" outlineLevel="0" collapsed="false">
      <c r="F735" s="41" t="str">
        <f aca="false">IF(C735="","",IFERROR(IF(ISNUMBER(SEARCH(Assumptions!$C$5,C735)),Assumptions!$D$5,IF(ISNUMBER(SEARCH(Assumptions!$C$6,C735)),Assumptions!$D$6,IF(ISNUMBER(SEARCH(Assumptions!$C$7,C735)),Assumptions!$D$7,"Other Services"))),"Other Services"))</f>
        <v/>
      </c>
    </row>
    <row r="736" customFormat="false" ht="15" hidden="false" customHeight="false" outlineLevel="0" collapsed="false">
      <c r="F736" s="41" t="str">
        <f aca="false">IF(C736="","",IFERROR(IF(ISNUMBER(SEARCH(Assumptions!$C$5,C736)),Assumptions!$D$5,IF(ISNUMBER(SEARCH(Assumptions!$C$6,C736)),Assumptions!$D$6,IF(ISNUMBER(SEARCH(Assumptions!$C$7,C736)),Assumptions!$D$7,"Other Services"))),"Other Services"))</f>
        <v/>
      </c>
    </row>
    <row r="737" customFormat="false" ht="15" hidden="false" customHeight="false" outlineLevel="0" collapsed="false">
      <c r="F737" s="41" t="str">
        <f aca="false">IF(C737="","",IFERROR(IF(ISNUMBER(SEARCH(Assumptions!$C$5,C737)),Assumptions!$D$5,IF(ISNUMBER(SEARCH(Assumptions!$C$6,C737)),Assumptions!$D$6,IF(ISNUMBER(SEARCH(Assumptions!$C$7,C737)),Assumptions!$D$7,"Other Services"))),"Other Services"))</f>
        <v/>
      </c>
    </row>
    <row r="738" customFormat="false" ht="15" hidden="false" customHeight="false" outlineLevel="0" collapsed="false">
      <c r="F738" s="41" t="str">
        <f aca="false">IF(C738="","",IFERROR(IF(ISNUMBER(SEARCH(Assumptions!$C$5,C738)),Assumptions!$D$5,IF(ISNUMBER(SEARCH(Assumptions!$C$6,C738)),Assumptions!$D$6,IF(ISNUMBER(SEARCH(Assumptions!$C$7,C738)),Assumptions!$D$7,"Other Services"))),"Other Services"))</f>
        <v/>
      </c>
    </row>
    <row r="739" customFormat="false" ht="15" hidden="false" customHeight="false" outlineLevel="0" collapsed="false">
      <c r="F739" s="41" t="str">
        <f aca="false">IF(C739="","",IFERROR(IF(ISNUMBER(SEARCH(Assumptions!$C$5,C739)),Assumptions!$D$5,IF(ISNUMBER(SEARCH(Assumptions!$C$6,C739)),Assumptions!$D$6,IF(ISNUMBER(SEARCH(Assumptions!$C$7,C739)),Assumptions!$D$7,"Other Services"))),"Other Services"))</f>
        <v/>
      </c>
    </row>
    <row r="740" customFormat="false" ht="15" hidden="false" customHeight="false" outlineLevel="0" collapsed="false">
      <c r="F740" s="41" t="str">
        <f aca="false">IF(C740="","",IFERROR(IF(ISNUMBER(SEARCH(Assumptions!$C$5,C740)),Assumptions!$D$5,IF(ISNUMBER(SEARCH(Assumptions!$C$6,C740)),Assumptions!$D$6,IF(ISNUMBER(SEARCH(Assumptions!$C$7,C740)),Assumptions!$D$7,"Other Services"))),"Other Services"))</f>
        <v/>
      </c>
    </row>
    <row r="741" customFormat="false" ht="15" hidden="false" customHeight="false" outlineLevel="0" collapsed="false">
      <c r="F741" s="41" t="str">
        <f aca="false">IF(C741="","",IFERROR(IF(ISNUMBER(SEARCH(Assumptions!$C$5,C741)),Assumptions!$D$5,IF(ISNUMBER(SEARCH(Assumptions!$C$6,C741)),Assumptions!$D$6,IF(ISNUMBER(SEARCH(Assumptions!$C$7,C741)),Assumptions!$D$7,"Other Services"))),"Other Services"))</f>
        <v/>
      </c>
    </row>
    <row r="742" customFormat="false" ht="15" hidden="false" customHeight="false" outlineLevel="0" collapsed="false">
      <c r="F742" s="41" t="str">
        <f aca="false">IF(C742="","",IFERROR(IF(ISNUMBER(SEARCH(Assumptions!$C$5,C742)),Assumptions!$D$5,IF(ISNUMBER(SEARCH(Assumptions!$C$6,C742)),Assumptions!$D$6,IF(ISNUMBER(SEARCH(Assumptions!$C$7,C742)),Assumptions!$D$7,"Other Services"))),"Other Services"))</f>
        <v/>
      </c>
    </row>
    <row r="743" customFormat="false" ht="15" hidden="false" customHeight="false" outlineLevel="0" collapsed="false">
      <c r="F743" s="41" t="str">
        <f aca="false">IF(C743="","",IFERROR(IF(ISNUMBER(SEARCH(Assumptions!$C$5,C743)),Assumptions!$D$5,IF(ISNUMBER(SEARCH(Assumptions!$C$6,C743)),Assumptions!$D$6,IF(ISNUMBER(SEARCH(Assumptions!$C$7,C743)),Assumptions!$D$7,"Other Services"))),"Other Services"))</f>
        <v/>
      </c>
    </row>
    <row r="744" customFormat="false" ht="15" hidden="false" customHeight="false" outlineLevel="0" collapsed="false">
      <c r="F744" s="41" t="str">
        <f aca="false">IF(C744="","",IFERROR(IF(ISNUMBER(SEARCH(Assumptions!$C$5,C744)),Assumptions!$D$5,IF(ISNUMBER(SEARCH(Assumptions!$C$6,C744)),Assumptions!$D$6,IF(ISNUMBER(SEARCH(Assumptions!$C$7,C744)),Assumptions!$D$7,"Other Services"))),"Other Services"))</f>
        <v/>
      </c>
    </row>
    <row r="745" customFormat="false" ht="15" hidden="false" customHeight="false" outlineLevel="0" collapsed="false">
      <c r="F745" s="41" t="str">
        <f aca="false">IF(C745="","",IFERROR(IF(ISNUMBER(SEARCH(Assumptions!$C$5,C745)),Assumptions!$D$5,IF(ISNUMBER(SEARCH(Assumptions!$C$6,C745)),Assumptions!$D$6,IF(ISNUMBER(SEARCH(Assumptions!$C$7,C745)),Assumptions!$D$7,"Other Services"))),"Other Services"))</f>
        <v/>
      </c>
    </row>
    <row r="746" customFormat="false" ht="15" hidden="false" customHeight="false" outlineLevel="0" collapsed="false">
      <c r="F746" s="41" t="str">
        <f aca="false">IF(C746="","",IFERROR(IF(ISNUMBER(SEARCH(Assumptions!$C$5,C746)),Assumptions!$D$5,IF(ISNUMBER(SEARCH(Assumptions!$C$6,C746)),Assumptions!$D$6,IF(ISNUMBER(SEARCH(Assumptions!$C$7,C746)),Assumptions!$D$7,"Other Services"))),"Other Services"))</f>
        <v/>
      </c>
    </row>
    <row r="747" customFormat="false" ht="15" hidden="false" customHeight="false" outlineLevel="0" collapsed="false">
      <c r="F747" s="41" t="str">
        <f aca="false">IF(C747="","",IFERROR(IF(ISNUMBER(SEARCH(Assumptions!$C$5,C747)),Assumptions!$D$5,IF(ISNUMBER(SEARCH(Assumptions!$C$6,C747)),Assumptions!$D$6,IF(ISNUMBER(SEARCH(Assumptions!$C$7,C747)),Assumptions!$D$7,"Other Services"))),"Other Services"))</f>
        <v/>
      </c>
    </row>
    <row r="748" customFormat="false" ht="15" hidden="false" customHeight="false" outlineLevel="0" collapsed="false">
      <c r="F748" s="41" t="str">
        <f aca="false">IF(C748="","",IFERROR(IF(ISNUMBER(SEARCH(Assumptions!$C$5,C748)),Assumptions!$D$5,IF(ISNUMBER(SEARCH(Assumptions!$C$6,C748)),Assumptions!$D$6,IF(ISNUMBER(SEARCH(Assumptions!$C$7,C748)),Assumptions!$D$7,"Other Services"))),"Other Services"))</f>
        <v/>
      </c>
    </row>
    <row r="749" customFormat="false" ht="15" hidden="false" customHeight="false" outlineLevel="0" collapsed="false">
      <c r="F749" s="41" t="str">
        <f aca="false">IF(C749="","",IFERROR(IF(ISNUMBER(SEARCH(Assumptions!$C$5,C749)),Assumptions!$D$5,IF(ISNUMBER(SEARCH(Assumptions!$C$6,C749)),Assumptions!$D$6,IF(ISNUMBER(SEARCH(Assumptions!$C$7,C749)),Assumptions!$D$7,"Other Services"))),"Other Services"))</f>
        <v/>
      </c>
    </row>
    <row r="750" customFormat="false" ht="15" hidden="false" customHeight="false" outlineLevel="0" collapsed="false">
      <c r="F750" s="41" t="str">
        <f aca="false">IF(C750="","",IFERROR(IF(ISNUMBER(SEARCH(Assumptions!$C$5,C750)),Assumptions!$D$5,IF(ISNUMBER(SEARCH(Assumptions!$C$6,C750)),Assumptions!$D$6,IF(ISNUMBER(SEARCH(Assumptions!$C$7,C750)),Assumptions!$D$7,"Other Services"))),"Other Services"))</f>
        <v/>
      </c>
    </row>
    <row r="751" customFormat="false" ht="15" hidden="false" customHeight="false" outlineLevel="0" collapsed="false">
      <c r="F751" s="41" t="str">
        <f aca="false">IF(C751="","",IFERROR(IF(ISNUMBER(SEARCH(Assumptions!$C$5,C751)),Assumptions!$D$5,IF(ISNUMBER(SEARCH(Assumptions!$C$6,C751)),Assumptions!$D$6,IF(ISNUMBER(SEARCH(Assumptions!$C$7,C751)),Assumptions!$D$7,"Other Services"))),"Other Services"))</f>
        <v/>
      </c>
    </row>
    <row r="752" customFormat="false" ht="15" hidden="false" customHeight="false" outlineLevel="0" collapsed="false">
      <c r="F752" s="41" t="str">
        <f aca="false">IF(C752="","",IFERROR(IF(ISNUMBER(SEARCH(Assumptions!$C$5,C752)),Assumptions!$D$5,IF(ISNUMBER(SEARCH(Assumptions!$C$6,C752)),Assumptions!$D$6,IF(ISNUMBER(SEARCH(Assumptions!$C$7,C752)),Assumptions!$D$7,"Other Services"))),"Other Services"))</f>
        <v/>
      </c>
    </row>
    <row r="753" customFormat="false" ht="15" hidden="false" customHeight="false" outlineLevel="0" collapsed="false">
      <c r="F753" s="41" t="str">
        <f aca="false">IF(C753="","",IFERROR(IF(ISNUMBER(SEARCH(Assumptions!$C$5,C753)),Assumptions!$D$5,IF(ISNUMBER(SEARCH(Assumptions!$C$6,C753)),Assumptions!$D$6,IF(ISNUMBER(SEARCH(Assumptions!$C$7,C753)),Assumptions!$D$7,"Other Services"))),"Other Services"))</f>
        <v/>
      </c>
    </row>
    <row r="754" customFormat="false" ht="15" hidden="false" customHeight="false" outlineLevel="0" collapsed="false">
      <c r="F754" s="41" t="str">
        <f aca="false">IF(C754="","",IFERROR(IF(ISNUMBER(SEARCH(Assumptions!$C$5,C754)),Assumptions!$D$5,IF(ISNUMBER(SEARCH(Assumptions!$C$6,C754)),Assumptions!$D$6,IF(ISNUMBER(SEARCH(Assumptions!$C$7,C754)),Assumptions!$D$7,"Other Services"))),"Other Services"))</f>
        <v/>
      </c>
    </row>
    <row r="755" customFormat="false" ht="15" hidden="false" customHeight="false" outlineLevel="0" collapsed="false">
      <c r="F755" s="41" t="str">
        <f aca="false">IF(C755="","",IFERROR(IF(ISNUMBER(SEARCH(Assumptions!$C$5,C755)),Assumptions!$D$5,IF(ISNUMBER(SEARCH(Assumptions!$C$6,C755)),Assumptions!$D$6,IF(ISNUMBER(SEARCH(Assumptions!$C$7,C755)),Assumptions!$D$7,"Other Services"))),"Other Services"))</f>
        <v/>
      </c>
    </row>
    <row r="756" customFormat="false" ht="15" hidden="false" customHeight="false" outlineLevel="0" collapsed="false">
      <c r="F756" s="41" t="str">
        <f aca="false">IF(C756="","",IFERROR(IF(ISNUMBER(SEARCH(Assumptions!$C$5,C756)),Assumptions!$D$5,IF(ISNUMBER(SEARCH(Assumptions!$C$6,C756)),Assumptions!$D$6,IF(ISNUMBER(SEARCH(Assumptions!$C$7,C756)),Assumptions!$D$7,"Other Services"))),"Other Services"))</f>
        <v/>
      </c>
    </row>
    <row r="757" customFormat="false" ht="15" hidden="false" customHeight="false" outlineLevel="0" collapsed="false">
      <c r="F757" s="41" t="str">
        <f aca="false">IF(C757="","",IFERROR(IF(ISNUMBER(SEARCH(Assumptions!$C$5,C757)),Assumptions!$D$5,IF(ISNUMBER(SEARCH(Assumptions!$C$6,C757)),Assumptions!$D$6,IF(ISNUMBER(SEARCH(Assumptions!$C$7,C757)),Assumptions!$D$7,"Other Services"))),"Other Services"))</f>
        <v/>
      </c>
    </row>
    <row r="758" customFormat="false" ht="15" hidden="false" customHeight="false" outlineLevel="0" collapsed="false">
      <c r="F758" s="41" t="str">
        <f aca="false">IF(C758="","",IFERROR(IF(ISNUMBER(SEARCH(Assumptions!$C$5,C758)),Assumptions!$D$5,IF(ISNUMBER(SEARCH(Assumptions!$C$6,C758)),Assumptions!$D$6,IF(ISNUMBER(SEARCH(Assumptions!$C$7,C758)),Assumptions!$D$7,"Other Services"))),"Other Services"))</f>
        <v/>
      </c>
    </row>
    <row r="759" customFormat="false" ht="15" hidden="false" customHeight="false" outlineLevel="0" collapsed="false">
      <c r="F759" s="41" t="str">
        <f aca="false">IF(C759="","",IFERROR(IF(ISNUMBER(SEARCH(Assumptions!$C$5,C759)),Assumptions!$D$5,IF(ISNUMBER(SEARCH(Assumptions!$C$6,C759)),Assumptions!$D$6,IF(ISNUMBER(SEARCH(Assumptions!$C$7,C759)),Assumptions!$D$7,"Other Services"))),"Other Services"))</f>
        <v/>
      </c>
    </row>
    <row r="760" customFormat="false" ht="15" hidden="false" customHeight="false" outlineLevel="0" collapsed="false">
      <c r="F760" s="41" t="str">
        <f aca="false">IF(C760="","",IFERROR(IF(ISNUMBER(SEARCH(Assumptions!$C$5,C760)),Assumptions!$D$5,IF(ISNUMBER(SEARCH(Assumptions!$C$6,C760)),Assumptions!$D$6,IF(ISNUMBER(SEARCH(Assumptions!$C$7,C760)),Assumptions!$D$7,"Other Services"))),"Other Services"))</f>
        <v/>
      </c>
    </row>
    <row r="761" customFormat="false" ht="15" hidden="false" customHeight="false" outlineLevel="0" collapsed="false">
      <c r="F761" s="41" t="str">
        <f aca="false">IF(C761="","",IFERROR(IF(ISNUMBER(SEARCH(Assumptions!$C$5,C761)),Assumptions!$D$5,IF(ISNUMBER(SEARCH(Assumptions!$C$6,C761)),Assumptions!$D$6,IF(ISNUMBER(SEARCH(Assumptions!$C$7,C761)),Assumptions!$D$7,"Other Services"))),"Other Services"))</f>
        <v/>
      </c>
    </row>
    <row r="762" customFormat="false" ht="15" hidden="false" customHeight="false" outlineLevel="0" collapsed="false">
      <c r="F762" s="41" t="str">
        <f aca="false">IF(C762="","",IFERROR(IF(ISNUMBER(SEARCH(Assumptions!$C$5,C762)),Assumptions!$D$5,IF(ISNUMBER(SEARCH(Assumptions!$C$6,C762)),Assumptions!$D$6,IF(ISNUMBER(SEARCH(Assumptions!$C$7,C762)),Assumptions!$D$7,"Other Services"))),"Other Services"))</f>
        <v/>
      </c>
    </row>
    <row r="763" customFormat="false" ht="15" hidden="false" customHeight="false" outlineLevel="0" collapsed="false">
      <c r="F763" s="41" t="str">
        <f aca="false">IF(C763="","",IFERROR(IF(ISNUMBER(SEARCH(Assumptions!$C$5,C763)),Assumptions!$D$5,IF(ISNUMBER(SEARCH(Assumptions!$C$6,C763)),Assumptions!$D$6,IF(ISNUMBER(SEARCH(Assumptions!$C$7,C763)),Assumptions!$D$7,"Other Services"))),"Other Services"))</f>
        <v/>
      </c>
    </row>
    <row r="764" customFormat="false" ht="15" hidden="false" customHeight="false" outlineLevel="0" collapsed="false">
      <c r="F764" s="41" t="str">
        <f aca="false">IF(C764="","",IFERROR(IF(ISNUMBER(SEARCH(Assumptions!$C$5,C764)),Assumptions!$D$5,IF(ISNUMBER(SEARCH(Assumptions!$C$6,C764)),Assumptions!$D$6,IF(ISNUMBER(SEARCH(Assumptions!$C$7,C764)),Assumptions!$D$7,"Other Services"))),"Other Services"))</f>
        <v/>
      </c>
    </row>
    <row r="765" customFormat="false" ht="15" hidden="false" customHeight="false" outlineLevel="0" collapsed="false">
      <c r="F765" s="41" t="str">
        <f aca="false">IF(C765="","",IFERROR(IF(ISNUMBER(SEARCH(Assumptions!$C$5,C765)),Assumptions!$D$5,IF(ISNUMBER(SEARCH(Assumptions!$C$6,C765)),Assumptions!$D$6,IF(ISNUMBER(SEARCH(Assumptions!$C$7,C765)),Assumptions!$D$7,"Other Services"))),"Other Services"))</f>
        <v/>
      </c>
    </row>
    <row r="766" customFormat="false" ht="15" hidden="false" customHeight="false" outlineLevel="0" collapsed="false">
      <c r="F766" s="41" t="str">
        <f aca="false">IF(C766="","",IFERROR(IF(ISNUMBER(SEARCH(Assumptions!$C$5,C766)),Assumptions!$D$5,IF(ISNUMBER(SEARCH(Assumptions!$C$6,C766)),Assumptions!$D$6,IF(ISNUMBER(SEARCH(Assumptions!$C$7,C766)),Assumptions!$D$7,"Other Services"))),"Other Services"))</f>
        <v/>
      </c>
    </row>
    <row r="767" customFormat="false" ht="15" hidden="false" customHeight="false" outlineLevel="0" collapsed="false">
      <c r="F767" s="41" t="str">
        <f aca="false">IF(C767="","",IFERROR(IF(ISNUMBER(SEARCH(Assumptions!$C$5,C767)),Assumptions!$D$5,IF(ISNUMBER(SEARCH(Assumptions!$C$6,C767)),Assumptions!$D$6,IF(ISNUMBER(SEARCH(Assumptions!$C$7,C767)),Assumptions!$D$7,"Other Services"))),"Other Services"))</f>
        <v/>
      </c>
    </row>
    <row r="768" customFormat="false" ht="15" hidden="false" customHeight="false" outlineLevel="0" collapsed="false">
      <c r="F768" s="41" t="str">
        <f aca="false">IF(C768="","",IFERROR(IF(ISNUMBER(SEARCH(Assumptions!$C$5,C768)),Assumptions!$D$5,IF(ISNUMBER(SEARCH(Assumptions!$C$6,C768)),Assumptions!$D$6,IF(ISNUMBER(SEARCH(Assumptions!$C$7,C768)),Assumptions!$D$7,"Other Services"))),"Other Services"))</f>
        <v/>
      </c>
    </row>
    <row r="769" customFormat="false" ht="15" hidden="false" customHeight="false" outlineLevel="0" collapsed="false">
      <c r="F769" s="41" t="str">
        <f aca="false">IF(C769="","",IFERROR(IF(ISNUMBER(SEARCH(Assumptions!$C$5,C769)),Assumptions!$D$5,IF(ISNUMBER(SEARCH(Assumptions!$C$6,C769)),Assumptions!$D$6,IF(ISNUMBER(SEARCH(Assumptions!$C$7,C769)),Assumptions!$D$7,"Other Services"))),"Other Services"))</f>
        <v/>
      </c>
    </row>
    <row r="770" customFormat="false" ht="15" hidden="false" customHeight="false" outlineLevel="0" collapsed="false">
      <c r="F770" s="41" t="str">
        <f aca="false">IF(C770="","",IFERROR(IF(ISNUMBER(SEARCH(Assumptions!$C$5,C770)),Assumptions!$D$5,IF(ISNUMBER(SEARCH(Assumptions!$C$6,C770)),Assumptions!$D$6,IF(ISNUMBER(SEARCH(Assumptions!$C$7,C770)),Assumptions!$D$7,"Other Services"))),"Other Services"))</f>
        <v/>
      </c>
    </row>
    <row r="771" customFormat="false" ht="15" hidden="false" customHeight="false" outlineLevel="0" collapsed="false">
      <c r="F771" s="41" t="str">
        <f aca="false">IF(C771="","",IFERROR(IF(ISNUMBER(SEARCH(Assumptions!$C$5,C771)),Assumptions!$D$5,IF(ISNUMBER(SEARCH(Assumptions!$C$6,C771)),Assumptions!$D$6,IF(ISNUMBER(SEARCH(Assumptions!$C$7,C771)),Assumptions!$D$7,"Other Services"))),"Other Services"))</f>
        <v/>
      </c>
    </row>
    <row r="772" customFormat="false" ht="15" hidden="false" customHeight="false" outlineLevel="0" collapsed="false">
      <c r="F772" s="41" t="str">
        <f aca="false">IF(C772="","",IFERROR(IF(ISNUMBER(SEARCH(Assumptions!$C$5,C772)),Assumptions!$D$5,IF(ISNUMBER(SEARCH(Assumptions!$C$6,C772)),Assumptions!$D$6,IF(ISNUMBER(SEARCH(Assumptions!$C$7,C772)),Assumptions!$D$7,"Other Services"))),"Other Services"))</f>
        <v/>
      </c>
    </row>
    <row r="773" customFormat="false" ht="15" hidden="false" customHeight="false" outlineLevel="0" collapsed="false">
      <c r="F773" s="41" t="str">
        <f aca="false">IF(C773="","",IFERROR(IF(ISNUMBER(SEARCH(Assumptions!$C$5,C773)),Assumptions!$D$5,IF(ISNUMBER(SEARCH(Assumptions!$C$6,C773)),Assumptions!$D$6,IF(ISNUMBER(SEARCH(Assumptions!$C$7,C773)),Assumptions!$D$7,"Other Services"))),"Other Services"))</f>
        <v/>
      </c>
    </row>
    <row r="774" customFormat="false" ht="15" hidden="false" customHeight="false" outlineLevel="0" collapsed="false">
      <c r="F774" s="41" t="str">
        <f aca="false">IF(C774="","",IFERROR(IF(ISNUMBER(SEARCH(Assumptions!$C$5,C774)),Assumptions!$D$5,IF(ISNUMBER(SEARCH(Assumptions!$C$6,C774)),Assumptions!$D$6,IF(ISNUMBER(SEARCH(Assumptions!$C$7,C774)),Assumptions!$D$7,"Other Services"))),"Other Services"))</f>
        <v/>
      </c>
    </row>
    <row r="775" customFormat="false" ht="15" hidden="false" customHeight="false" outlineLevel="0" collapsed="false">
      <c r="F775" s="41" t="str">
        <f aca="false">IF(C775="","",IFERROR(IF(ISNUMBER(SEARCH(Assumptions!$C$5,C775)),Assumptions!$D$5,IF(ISNUMBER(SEARCH(Assumptions!$C$6,C775)),Assumptions!$D$6,IF(ISNUMBER(SEARCH(Assumptions!$C$7,C775)),Assumptions!$D$7,"Other Services"))),"Other Services"))</f>
        <v/>
      </c>
    </row>
    <row r="776" customFormat="false" ht="15" hidden="false" customHeight="false" outlineLevel="0" collapsed="false">
      <c r="F776" s="41" t="str">
        <f aca="false">IF(C776="","",IFERROR(IF(ISNUMBER(SEARCH(Assumptions!$C$5,C776)),Assumptions!$D$5,IF(ISNUMBER(SEARCH(Assumptions!$C$6,C776)),Assumptions!$D$6,IF(ISNUMBER(SEARCH(Assumptions!$C$7,C776)),Assumptions!$D$7,"Other Services"))),"Other Services"))</f>
        <v/>
      </c>
    </row>
    <row r="777" customFormat="false" ht="15" hidden="false" customHeight="false" outlineLevel="0" collapsed="false">
      <c r="F777" s="41" t="str">
        <f aca="false">IF(C777="","",IFERROR(IF(ISNUMBER(SEARCH(Assumptions!$C$5,C777)),Assumptions!$D$5,IF(ISNUMBER(SEARCH(Assumptions!$C$6,C777)),Assumptions!$D$6,IF(ISNUMBER(SEARCH(Assumptions!$C$7,C777)),Assumptions!$D$7,"Other Services"))),"Other Services"))</f>
        <v/>
      </c>
    </row>
    <row r="778" customFormat="false" ht="15" hidden="false" customHeight="false" outlineLevel="0" collapsed="false">
      <c r="F778" s="41" t="str">
        <f aca="false">IF(C778="","",IFERROR(IF(ISNUMBER(SEARCH(Assumptions!$C$5,C778)),Assumptions!$D$5,IF(ISNUMBER(SEARCH(Assumptions!$C$6,C778)),Assumptions!$D$6,IF(ISNUMBER(SEARCH(Assumptions!$C$7,C778)),Assumptions!$D$7,"Other Services"))),"Other Services"))</f>
        <v/>
      </c>
    </row>
    <row r="779" customFormat="false" ht="15" hidden="false" customHeight="false" outlineLevel="0" collapsed="false">
      <c r="F779" s="41" t="str">
        <f aca="false">IF(C779="","",IFERROR(IF(ISNUMBER(SEARCH(Assumptions!$C$5,C779)),Assumptions!$D$5,IF(ISNUMBER(SEARCH(Assumptions!$C$6,C779)),Assumptions!$D$6,IF(ISNUMBER(SEARCH(Assumptions!$C$7,C779)),Assumptions!$D$7,"Other Services"))),"Other Services"))</f>
        <v/>
      </c>
    </row>
    <row r="780" customFormat="false" ht="15" hidden="false" customHeight="false" outlineLevel="0" collapsed="false">
      <c r="F780" s="41" t="str">
        <f aca="false">IF(C780="","",IFERROR(IF(ISNUMBER(SEARCH(Assumptions!$C$5,C780)),Assumptions!$D$5,IF(ISNUMBER(SEARCH(Assumptions!$C$6,C780)),Assumptions!$D$6,IF(ISNUMBER(SEARCH(Assumptions!$C$7,C780)),Assumptions!$D$7,"Other Services"))),"Other Services"))</f>
        <v/>
      </c>
    </row>
    <row r="781" customFormat="false" ht="15" hidden="false" customHeight="false" outlineLevel="0" collapsed="false">
      <c r="F781" s="41" t="str">
        <f aca="false">IF(C781="","",IFERROR(IF(ISNUMBER(SEARCH(Assumptions!$C$5,C781)),Assumptions!$D$5,IF(ISNUMBER(SEARCH(Assumptions!$C$6,C781)),Assumptions!$D$6,IF(ISNUMBER(SEARCH(Assumptions!$C$7,C781)),Assumptions!$D$7,"Other Services"))),"Other Services"))</f>
        <v/>
      </c>
    </row>
    <row r="782" customFormat="false" ht="15" hidden="false" customHeight="false" outlineLevel="0" collapsed="false">
      <c r="F782" s="41" t="str">
        <f aca="false">IF(C782="","",IFERROR(IF(ISNUMBER(SEARCH(Assumptions!$C$5,C782)),Assumptions!$D$5,IF(ISNUMBER(SEARCH(Assumptions!$C$6,C782)),Assumptions!$D$6,IF(ISNUMBER(SEARCH(Assumptions!$C$7,C782)),Assumptions!$D$7,"Other Services"))),"Other Services"))</f>
        <v/>
      </c>
    </row>
    <row r="783" customFormat="false" ht="15" hidden="false" customHeight="false" outlineLevel="0" collapsed="false">
      <c r="F783" s="41" t="str">
        <f aca="false">IF(C783="","",IFERROR(IF(ISNUMBER(SEARCH(Assumptions!$C$5,C783)),Assumptions!$D$5,IF(ISNUMBER(SEARCH(Assumptions!$C$6,C783)),Assumptions!$D$6,IF(ISNUMBER(SEARCH(Assumptions!$C$7,C783)),Assumptions!$D$7,"Other Services"))),"Other Services"))</f>
        <v/>
      </c>
    </row>
    <row r="784" customFormat="false" ht="15" hidden="false" customHeight="false" outlineLevel="0" collapsed="false">
      <c r="F784" s="41" t="str">
        <f aca="false">IF(C784="","",IFERROR(IF(ISNUMBER(SEARCH(Assumptions!$C$5,C784)),Assumptions!$D$5,IF(ISNUMBER(SEARCH(Assumptions!$C$6,C784)),Assumptions!$D$6,IF(ISNUMBER(SEARCH(Assumptions!$C$7,C784)),Assumptions!$D$7,"Other Services"))),"Other Services"))</f>
        <v/>
      </c>
    </row>
    <row r="785" customFormat="false" ht="15" hidden="false" customHeight="false" outlineLevel="0" collapsed="false">
      <c r="F785" s="41" t="str">
        <f aca="false">IF(C785="","",IFERROR(IF(ISNUMBER(SEARCH(Assumptions!$C$5,C785)),Assumptions!$D$5,IF(ISNUMBER(SEARCH(Assumptions!$C$6,C785)),Assumptions!$D$6,IF(ISNUMBER(SEARCH(Assumptions!$C$7,C785)),Assumptions!$D$7,"Other Services"))),"Other Services"))</f>
        <v/>
      </c>
    </row>
    <row r="786" customFormat="false" ht="15" hidden="false" customHeight="false" outlineLevel="0" collapsed="false">
      <c r="F786" s="41" t="str">
        <f aca="false">IF(C786="","",IFERROR(IF(ISNUMBER(SEARCH(Assumptions!$C$5,C786)),Assumptions!$D$5,IF(ISNUMBER(SEARCH(Assumptions!$C$6,C786)),Assumptions!$D$6,IF(ISNUMBER(SEARCH(Assumptions!$C$7,C786)),Assumptions!$D$7,"Other Services"))),"Other Services"))</f>
        <v/>
      </c>
    </row>
    <row r="787" customFormat="false" ht="15" hidden="false" customHeight="false" outlineLevel="0" collapsed="false">
      <c r="F787" s="41" t="str">
        <f aca="false">IF(C787="","",IFERROR(IF(ISNUMBER(SEARCH(Assumptions!$C$5,C787)),Assumptions!$D$5,IF(ISNUMBER(SEARCH(Assumptions!$C$6,C787)),Assumptions!$D$6,IF(ISNUMBER(SEARCH(Assumptions!$C$7,C787)),Assumptions!$D$7,"Other Services"))),"Other Services"))</f>
        <v/>
      </c>
    </row>
    <row r="788" customFormat="false" ht="15" hidden="false" customHeight="false" outlineLevel="0" collapsed="false">
      <c r="F788" s="41" t="str">
        <f aca="false">IF(C788="","",IFERROR(IF(ISNUMBER(SEARCH(Assumptions!$C$5,C788)),Assumptions!$D$5,IF(ISNUMBER(SEARCH(Assumptions!$C$6,C788)),Assumptions!$D$6,IF(ISNUMBER(SEARCH(Assumptions!$C$7,C788)),Assumptions!$D$7,"Other Services"))),"Other Services"))</f>
        <v/>
      </c>
    </row>
    <row r="789" customFormat="false" ht="15" hidden="false" customHeight="false" outlineLevel="0" collapsed="false">
      <c r="F789" s="41" t="str">
        <f aca="false">IF(C789="","",IFERROR(IF(ISNUMBER(SEARCH(Assumptions!$C$5,C789)),Assumptions!$D$5,IF(ISNUMBER(SEARCH(Assumptions!$C$6,C789)),Assumptions!$D$6,IF(ISNUMBER(SEARCH(Assumptions!$C$7,C789)),Assumptions!$D$7,"Other Services"))),"Other Services"))</f>
        <v/>
      </c>
    </row>
    <row r="790" customFormat="false" ht="15" hidden="false" customHeight="false" outlineLevel="0" collapsed="false">
      <c r="F790" s="41" t="str">
        <f aca="false">IF(C790="","",IFERROR(IF(ISNUMBER(SEARCH(Assumptions!$C$5,C790)),Assumptions!$D$5,IF(ISNUMBER(SEARCH(Assumptions!$C$6,C790)),Assumptions!$D$6,IF(ISNUMBER(SEARCH(Assumptions!$C$7,C790)),Assumptions!$D$7,"Other Services"))),"Other Services"))</f>
        <v/>
      </c>
    </row>
    <row r="791" customFormat="false" ht="15" hidden="false" customHeight="false" outlineLevel="0" collapsed="false">
      <c r="F791" s="41" t="str">
        <f aca="false">IF(C791="","",IFERROR(IF(ISNUMBER(SEARCH(Assumptions!$C$5,C791)),Assumptions!$D$5,IF(ISNUMBER(SEARCH(Assumptions!$C$6,C791)),Assumptions!$D$6,IF(ISNUMBER(SEARCH(Assumptions!$C$7,C791)),Assumptions!$D$7,"Other Services"))),"Other Services"))</f>
        <v/>
      </c>
    </row>
    <row r="792" customFormat="false" ht="15" hidden="false" customHeight="false" outlineLevel="0" collapsed="false">
      <c r="F792" s="41" t="str">
        <f aca="false">IF(C792="","",IFERROR(IF(ISNUMBER(SEARCH(Assumptions!$C$5,C792)),Assumptions!$D$5,IF(ISNUMBER(SEARCH(Assumptions!$C$6,C792)),Assumptions!$D$6,IF(ISNUMBER(SEARCH(Assumptions!$C$7,C792)),Assumptions!$D$7,"Other Services"))),"Other Services"))</f>
        <v/>
      </c>
    </row>
    <row r="793" customFormat="false" ht="15" hidden="false" customHeight="false" outlineLevel="0" collapsed="false">
      <c r="F793" s="41" t="str">
        <f aca="false">IF(C793="","",IFERROR(IF(ISNUMBER(SEARCH(Assumptions!$C$5,C793)),Assumptions!$D$5,IF(ISNUMBER(SEARCH(Assumptions!$C$6,C793)),Assumptions!$D$6,IF(ISNUMBER(SEARCH(Assumptions!$C$7,C793)),Assumptions!$D$7,"Other Services"))),"Other Services"))</f>
        <v/>
      </c>
    </row>
    <row r="794" customFormat="false" ht="15" hidden="false" customHeight="false" outlineLevel="0" collapsed="false">
      <c r="F794" s="41" t="str">
        <f aca="false">IF(C794="","",IFERROR(IF(ISNUMBER(SEARCH(Assumptions!$C$5,C794)),Assumptions!$D$5,IF(ISNUMBER(SEARCH(Assumptions!$C$6,C794)),Assumptions!$D$6,IF(ISNUMBER(SEARCH(Assumptions!$C$7,C794)),Assumptions!$D$7,"Other Services"))),"Other Services"))</f>
        <v/>
      </c>
    </row>
    <row r="795" customFormat="false" ht="15" hidden="false" customHeight="false" outlineLevel="0" collapsed="false">
      <c r="F795" s="41" t="str">
        <f aca="false">IF(C795="","",IFERROR(IF(ISNUMBER(SEARCH(Assumptions!$C$5,C795)),Assumptions!$D$5,IF(ISNUMBER(SEARCH(Assumptions!$C$6,C795)),Assumptions!$D$6,IF(ISNUMBER(SEARCH(Assumptions!$C$7,C795)),Assumptions!$D$7,"Other Services"))),"Other Services"))</f>
        <v/>
      </c>
    </row>
    <row r="796" customFormat="false" ht="15" hidden="false" customHeight="false" outlineLevel="0" collapsed="false">
      <c r="F796" s="41" t="str">
        <f aca="false">IF(C796="","",IFERROR(IF(ISNUMBER(SEARCH(Assumptions!$C$5,C796)),Assumptions!$D$5,IF(ISNUMBER(SEARCH(Assumptions!$C$6,C796)),Assumptions!$D$6,IF(ISNUMBER(SEARCH(Assumptions!$C$7,C796)),Assumptions!$D$7,"Other Services"))),"Other Services"))</f>
        <v/>
      </c>
    </row>
    <row r="797" customFormat="false" ht="15" hidden="false" customHeight="false" outlineLevel="0" collapsed="false">
      <c r="F797" s="41" t="str">
        <f aca="false">IF(C797="","",IFERROR(IF(ISNUMBER(SEARCH(Assumptions!$C$5,C797)),Assumptions!$D$5,IF(ISNUMBER(SEARCH(Assumptions!$C$6,C797)),Assumptions!$D$6,IF(ISNUMBER(SEARCH(Assumptions!$C$7,C797)),Assumptions!$D$7,"Other Services"))),"Other Services"))</f>
        <v/>
      </c>
    </row>
    <row r="798" customFormat="false" ht="15" hidden="false" customHeight="false" outlineLevel="0" collapsed="false">
      <c r="F798" s="41" t="str">
        <f aca="false">IF(C798="","",IFERROR(IF(ISNUMBER(SEARCH(Assumptions!$C$5,C798)),Assumptions!$D$5,IF(ISNUMBER(SEARCH(Assumptions!$C$6,C798)),Assumptions!$D$6,IF(ISNUMBER(SEARCH(Assumptions!$C$7,C798)),Assumptions!$D$7,"Other Services"))),"Other Services"))</f>
        <v/>
      </c>
    </row>
    <row r="799" customFormat="false" ht="15" hidden="false" customHeight="false" outlineLevel="0" collapsed="false">
      <c r="F799" s="41" t="str">
        <f aca="false">IF(C799="","",IFERROR(IF(ISNUMBER(SEARCH(Assumptions!$C$5,C799)),Assumptions!$D$5,IF(ISNUMBER(SEARCH(Assumptions!$C$6,C799)),Assumptions!$D$6,IF(ISNUMBER(SEARCH(Assumptions!$C$7,C799)),Assumptions!$D$7,"Other Services"))),"Other Services"))</f>
        <v/>
      </c>
    </row>
    <row r="800" customFormat="false" ht="15" hidden="false" customHeight="false" outlineLevel="0" collapsed="false">
      <c r="F800" s="41" t="str">
        <f aca="false">IF(C800="","",IFERROR(IF(ISNUMBER(SEARCH(Assumptions!$C$5,C800)),Assumptions!$D$5,IF(ISNUMBER(SEARCH(Assumptions!$C$6,C800)),Assumptions!$D$6,IF(ISNUMBER(SEARCH(Assumptions!$C$7,C800)),Assumptions!$D$7,"Other Services"))),"Other Services"))</f>
        <v/>
      </c>
    </row>
    <row r="801" customFormat="false" ht="15" hidden="false" customHeight="false" outlineLevel="0" collapsed="false">
      <c r="F801" s="41" t="str">
        <f aca="false">IF(C801="","",IFERROR(IF(ISNUMBER(SEARCH(Assumptions!$C$5,C801)),Assumptions!$D$5,IF(ISNUMBER(SEARCH(Assumptions!$C$6,C801)),Assumptions!$D$6,IF(ISNUMBER(SEARCH(Assumptions!$C$7,C801)),Assumptions!$D$7,"Other Services"))),"Other Services"))</f>
        <v/>
      </c>
    </row>
    <row r="802" customFormat="false" ht="15" hidden="false" customHeight="false" outlineLevel="0" collapsed="false">
      <c r="F802" s="41" t="str">
        <f aca="false">IF(C802="","",IFERROR(IF(ISNUMBER(SEARCH(Assumptions!$C$5,C802)),Assumptions!$D$5,IF(ISNUMBER(SEARCH(Assumptions!$C$6,C802)),Assumptions!$D$6,IF(ISNUMBER(SEARCH(Assumptions!$C$7,C802)),Assumptions!$D$7,"Other Services"))),"Other Services"))</f>
        <v/>
      </c>
    </row>
    <row r="803" customFormat="false" ht="15" hidden="false" customHeight="false" outlineLevel="0" collapsed="false">
      <c r="F803" s="41" t="str">
        <f aca="false">IF(C803="","",IFERROR(IF(ISNUMBER(SEARCH(Assumptions!$C$5,C803)),Assumptions!$D$5,IF(ISNUMBER(SEARCH(Assumptions!$C$6,C803)),Assumptions!$D$6,IF(ISNUMBER(SEARCH(Assumptions!$C$7,C803)),Assumptions!$D$7,"Other Services"))),"Other Services"))</f>
        <v/>
      </c>
    </row>
    <row r="804" customFormat="false" ht="15" hidden="false" customHeight="false" outlineLevel="0" collapsed="false">
      <c r="F804" s="41" t="str">
        <f aca="false">IF(C804="","",IFERROR(IF(ISNUMBER(SEARCH(Assumptions!$C$5,C804)),Assumptions!$D$5,IF(ISNUMBER(SEARCH(Assumptions!$C$6,C804)),Assumptions!$D$6,IF(ISNUMBER(SEARCH(Assumptions!$C$7,C804)),Assumptions!$D$7,"Other Services"))),"Other Services"))</f>
        <v/>
      </c>
    </row>
    <row r="805" customFormat="false" ht="15" hidden="false" customHeight="false" outlineLevel="0" collapsed="false">
      <c r="F805" s="41" t="str">
        <f aca="false">IF(C805="","",IFERROR(IF(ISNUMBER(SEARCH(Assumptions!$C$5,C805)),Assumptions!$D$5,IF(ISNUMBER(SEARCH(Assumptions!$C$6,C805)),Assumptions!$D$6,IF(ISNUMBER(SEARCH(Assumptions!$C$7,C805)),Assumptions!$D$7,"Other Services"))),"Other Services"))</f>
        <v/>
      </c>
    </row>
    <row r="806" customFormat="false" ht="15" hidden="false" customHeight="false" outlineLevel="0" collapsed="false">
      <c r="F806" s="41" t="str">
        <f aca="false">IF(C806="","",IFERROR(IF(ISNUMBER(SEARCH(Assumptions!$C$5,C806)),Assumptions!$D$5,IF(ISNUMBER(SEARCH(Assumptions!$C$6,C806)),Assumptions!$D$6,IF(ISNUMBER(SEARCH(Assumptions!$C$7,C806)),Assumptions!$D$7,"Other Services"))),"Other Services"))</f>
        <v/>
      </c>
    </row>
    <row r="807" customFormat="false" ht="15" hidden="false" customHeight="false" outlineLevel="0" collapsed="false">
      <c r="F807" s="41" t="str">
        <f aca="false">IF(C807="","",IFERROR(IF(ISNUMBER(SEARCH(Assumptions!$C$5,C807)),Assumptions!$D$5,IF(ISNUMBER(SEARCH(Assumptions!$C$6,C807)),Assumptions!$D$6,IF(ISNUMBER(SEARCH(Assumptions!$C$7,C807)),Assumptions!$D$7,"Other Services"))),"Other Services"))</f>
        <v/>
      </c>
    </row>
    <row r="808" customFormat="false" ht="15" hidden="false" customHeight="false" outlineLevel="0" collapsed="false">
      <c r="F808" s="41" t="str">
        <f aca="false">IF(C808="","",IFERROR(IF(ISNUMBER(SEARCH(Assumptions!$C$5,C808)),Assumptions!$D$5,IF(ISNUMBER(SEARCH(Assumptions!$C$6,C808)),Assumptions!$D$6,IF(ISNUMBER(SEARCH(Assumptions!$C$7,C808)),Assumptions!$D$7,"Other Services"))),"Other Services"))</f>
        <v/>
      </c>
    </row>
    <row r="809" customFormat="false" ht="15" hidden="false" customHeight="false" outlineLevel="0" collapsed="false">
      <c r="F809" s="41" t="str">
        <f aca="false">IF(C809="","",IFERROR(IF(ISNUMBER(SEARCH(Assumptions!$C$5,C809)),Assumptions!$D$5,IF(ISNUMBER(SEARCH(Assumptions!$C$6,C809)),Assumptions!$D$6,IF(ISNUMBER(SEARCH(Assumptions!$C$7,C809)),Assumptions!$D$7,"Other Services"))),"Other Services"))</f>
        <v/>
      </c>
    </row>
    <row r="810" customFormat="false" ht="15" hidden="false" customHeight="false" outlineLevel="0" collapsed="false">
      <c r="F810" s="41" t="str">
        <f aca="false">IF(C810="","",IFERROR(IF(ISNUMBER(SEARCH(Assumptions!$C$5,C810)),Assumptions!$D$5,IF(ISNUMBER(SEARCH(Assumptions!$C$6,C810)),Assumptions!$D$6,IF(ISNUMBER(SEARCH(Assumptions!$C$7,C810)),Assumptions!$D$7,"Other Services"))),"Other Services"))</f>
        <v/>
      </c>
    </row>
    <row r="811" customFormat="false" ht="15" hidden="false" customHeight="false" outlineLevel="0" collapsed="false">
      <c r="F811" s="41" t="str">
        <f aca="false">IF(C811="","",IFERROR(IF(ISNUMBER(SEARCH(Assumptions!$C$5,C811)),Assumptions!$D$5,IF(ISNUMBER(SEARCH(Assumptions!$C$6,C811)),Assumptions!$D$6,IF(ISNUMBER(SEARCH(Assumptions!$C$7,C811)),Assumptions!$D$7,"Other Services"))),"Other Services"))</f>
        <v/>
      </c>
    </row>
    <row r="812" customFormat="false" ht="15" hidden="false" customHeight="false" outlineLevel="0" collapsed="false">
      <c r="F812" s="41" t="str">
        <f aca="false">IF(C812="","",IFERROR(IF(ISNUMBER(SEARCH(Assumptions!$C$5,C812)),Assumptions!$D$5,IF(ISNUMBER(SEARCH(Assumptions!$C$6,C812)),Assumptions!$D$6,IF(ISNUMBER(SEARCH(Assumptions!$C$7,C812)),Assumptions!$D$7,"Other Services"))),"Other Services"))</f>
        <v/>
      </c>
    </row>
    <row r="813" customFormat="false" ht="15" hidden="false" customHeight="false" outlineLevel="0" collapsed="false">
      <c r="F813" s="41" t="str">
        <f aca="false">IF(C813="","",IFERROR(IF(ISNUMBER(SEARCH(Assumptions!$C$5,C813)),Assumptions!$D$5,IF(ISNUMBER(SEARCH(Assumptions!$C$6,C813)),Assumptions!$D$6,IF(ISNUMBER(SEARCH(Assumptions!$C$7,C813)),Assumptions!$D$7,"Other Services"))),"Other Services"))</f>
        <v/>
      </c>
    </row>
    <row r="814" customFormat="false" ht="15" hidden="false" customHeight="false" outlineLevel="0" collapsed="false">
      <c r="F814" s="41" t="str">
        <f aca="false">IF(C814="","",IFERROR(IF(ISNUMBER(SEARCH(Assumptions!$C$5,C814)),Assumptions!$D$5,IF(ISNUMBER(SEARCH(Assumptions!$C$6,C814)),Assumptions!$D$6,IF(ISNUMBER(SEARCH(Assumptions!$C$7,C814)),Assumptions!$D$7,"Other Services"))),"Other Services"))</f>
        <v/>
      </c>
    </row>
    <row r="815" customFormat="false" ht="15" hidden="false" customHeight="false" outlineLevel="0" collapsed="false">
      <c r="F815" s="41" t="str">
        <f aca="false">IF(C815="","",IFERROR(IF(ISNUMBER(SEARCH(Assumptions!$C$5,C815)),Assumptions!$D$5,IF(ISNUMBER(SEARCH(Assumptions!$C$6,C815)),Assumptions!$D$6,IF(ISNUMBER(SEARCH(Assumptions!$C$7,C815)),Assumptions!$D$7,"Other Services"))),"Other Services"))</f>
        <v/>
      </c>
    </row>
    <row r="816" customFormat="false" ht="15" hidden="false" customHeight="false" outlineLevel="0" collapsed="false">
      <c r="F816" s="41" t="str">
        <f aca="false">IF(C816="","",IFERROR(IF(ISNUMBER(SEARCH(Assumptions!$C$5,C816)),Assumptions!$D$5,IF(ISNUMBER(SEARCH(Assumptions!$C$6,C816)),Assumptions!$D$6,IF(ISNUMBER(SEARCH(Assumptions!$C$7,C816)),Assumptions!$D$7,"Other Services"))),"Other Services"))</f>
        <v/>
      </c>
    </row>
    <row r="817" customFormat="false" ht="15" hidden="false" customHeight="false" outlineLevel="0" collapsed="false">
      <c r="F817" s="41" t="str">
        <f aca="false">IF(C817="","",IFERROR(IF(ISNUMBER(SEARCH(Assumptions!$C$5,C817)),Assumptions!$D$5,IF(ISNUMBER(SEARCH(Assumptions!$C$6,C817)),Assumptions!$D$6,IF(ISNUMBER(SEARCH(Assumptions!$C$7,C817)),Assumptions!$D$7,"Other Services"))),"Other Services"))</f>
        <v/>
      </c>
    </row>
    <row r="818" customFormat="false" ht="15" hidden="false" customHeight="false" outlineLevel="0" collapsed="false">
      <c r="F818" s="41" t="str">
        <f aca="false">IF(C818="","",IFERROR(IF(ISNUMBER(SEARCH(Assumptions!$C$5,C818)),Assumptions!$D$5,IF(ISNUMBER(SEARCH(Assumptions!$C$6,C818)),Assumptions!$D$6,IF(ISNUMBER(SEARCH(Assumptions!$C$7,C818)),Assumptions!$D$7,"Other Services"))),"Other Services"))</f>
        <v/>
      </c>
    </row>
    <row r="819" customFormat="false" ht="15" hidden="false" customHeight="false" outlineLevel="0" collapsed="false">
      <c r="F819" s="41" t="str">
        <f aca="false">IF(C819="","",IFERROR(IF(ISNUMBER(SEARCH(Assumptions!$C$5,C819)),Assumptions!$D$5,IF(ISNUMBER(SEARCH(Assumptions!$C$6,C819)),Assumptions!$D$6,IF(ISNUMBER(SEARCH(Assumptions!$C$7,C819)),Assumptions!$D$7,"Other Services"))),"Other Services"))</f>
        <v/>
      </c>
    </row>
    <row r="820" customFormat="false" ht="15" hidden="false" customHeight="false" outlineLevel="0" collapsed="false">
      <c r="F820" s="41" t="str">
        <f aca="false">IF(C820="","",IFERROR(IF(ISNUMBER(SEARCH(Assumptions!$C$5,C820)),Assumptions!$D$5,IF(ISNUMBER(SEARCH(Assumptions!$C$6,C820)),Assumptions!$D$6,IF(ISNUMBER(SEARCH(Assumptions!$C$7,C820)),Assumptions!$D$7,"Other Services"))),"Other Services"))</f>
        <v/>
      </c>
    </row>
    <row r="821" customFormat="false" ht="15" hidden="false" customHeight="false" outlineLevel="0" collapsed="false">
      <c r="F821" s="41" t="str">
        <f aca="false">IF(C821="","",IFERROR(IF(ISNUMBER(SEARCH(Assumptions!$C$5,C821)),Assumptions!$D$5,IF(ISNUMBER(SEARCH(Assumptions!$C$6,C821)),Assumptions!$D$6,IF(ISNUMBER(SEARCH(Assumptions!$C$7,C821)),Assumptions!$D$7,"Other Services"))),"Other Services"))</f>
        <v/>
      </c>
    </row>
    <row r="822" customFormat="false" ht="15" hidden="false" customHeight="false" outlineLevel="0" collapsed="false">
      <c r="F822" s="41" t="str">
        <f aca="false">IF(C822="","",IFERROR(IF(ISNUMBER(SEARCH(Assumptions!$C$5,C822)),Assumptions!$D$5,IF(ISNUMBER(SEARCH(Assumptions!$C$6,C822)),Assumptions!$D$6,IF(ISNUMBER(SEARCH(Assumptions!$C$7,C822)),Assumptions!$D$7,"Other Services"))),"Other Services"))</f>
        <v/>
      </c>
    </row>
    <row r="823" customFormat="false" ht="15" hidden="false" customHeight="false" outlineLevel="0" collapsed="false">
      <c r="F823" s="41" t="str">
        <f aca="false">IF(C823="","",IFERROR(IF(ISNUMBER(SEARCH(Assumptions!$C$5,C823)),Assumptions!$D$5,IF(ISNUMBER(SEARCH(Assumptions!$C$6,C823)),Assumptions!$D$6,IF(ISNUMBER(SEARCH(Assumptions!$C$7,C823)),Assumptions!$D$7,"Other Services"))),"Other Services"))</f>
        <v/>
      </c>
    </row>
    <row r="824" customFormat="false" ht="15" hidden="false" customHeight="false" outlineLevel="0" collapsed="false">
      <c r="F824" s="41" t="str">
        <f aca="false">IF(C824="","",IFERROR(IF(ISNUMBER(SEARCH(Assumptions!$C$5,C824)),Assumptions!$D$5,IF(ISNUMBER(SEARCH(Assumptions!$C$6,C824)),Assumptions!$D$6,IF(ISNUMBER(SEARCH(Assumptions!$C$7,C824)),Assumptions!$D$7,"Other Services"))),"Other Services"))</f>
        <v/>
      </c>
    </row>
    <row r="825" customFormat="false" ht="15" hidden="false" customHeight="false" outlineLevel="0" collapsed="false">
      <c r="F825" s="41" t="str">
        <f aca="false">IF(C825="","",IFERROR(IF(ISNUMBER(SEARCH(Assumptions!$C$5,C825)),Assumptions!$D$5,IF(ISNUMBER(SEARCH(Assumptions!$C$6,C825)),Assumptions!$D$6,IF(ISNUMBER(SEARCH(Assumptions!$C$7,C825)),Assumptions!$D$7,"Other Services"))),"Other Services"))</f>
        <v/>
      </c>
    </row>
    <row r="826" customFormat="false" ht="15" hidden="false" customHeight="false" outlineLevel="0" collapsed="false">
      <c r="F826" s="41" t="str">
        <f aca="false">IF(C826="","",IFERROR(IF(ISNUMBER(SEARCH(Assumptions!$C$5,C826)),Assumptions!$D$5,IF(ISNUMBER(SEARCH(Assumptions!$C$6,C826)),Assumptions!$D$6,IF(ISNUMBER(SEARCH(Assumptions!$C$7,C826)),Assumptions!$D$7,"Other Services"))),"Other Services"))</f>
        <v/>
      </c>
    </row>
    <row r="827" customFormat="false" ht="15" hidden="false" customHeight="false" outlineLevel="0" collapsed="false">
      <c r="F827" s="41" t="str">
        <f aca="false">IF(C827="","",IFERROR(IF(ISNUMBER(SEARCH(Assumptions!$C$5,C827)),Assumptions!$D$5,IF(ISNUMBER(SEARCH(Assumptions!$C$6,C827)),Assumptions!$D$6,IF(ISNUMBER(SEARCH(Assumptions!$C$7,C827)),Assumptions!$D$7,"Other Services"))),"Other Services"))</f>
        <v/>
      </c>
    </row>
    <row r="828" customFormat="false" ht="15" hidden="false" customHeight="false" outlineLevel="0" collapsed="false">
      <c r="F828" s="41" t="str">
        <f aca="false">IF(C828="","",IFERROR(IF(ISNUMBER(SEARCH(Assumptions!$C$5,C828)),Assumptions!$D$5,IF(ISNUMBER(SEARCH(Assumptions!$C$6,C828)),Assumptions!$D$6,IF(ISNUMBER(SEARCH(Assumptions!$C$7,C828)),Assumptions!$D$7,"Other Services"))),"Other Services"))</f>
        <v/>
      </c>
    </row>
    <row r="829" customFormat="false" ht="15" hidden="false" customHeight="false" outlineLevel="0" collapsed="false">
      <c r="F829" s="41" t="str">
        <f aca="false">IF(C829="","",IFERROR(IF(ISNUMBER(SEARCH(Assumptions!$C$5,C829)),Assumptions!$D$5,IF(ISNUMBER(SEARCH(Assumptions!$C$6,C829)),Assumptions!$D$6,IF(ISNUMBER(SEARCH(Assumptions!$C$7,C829)),Assumptions!$D$7,"Other Services"))),"Other Services"))</f>
        <v/>
      </c>
    </row>
    <row r="830" customFormat="false" ht="15" hidden="false" customHeight="false" outlineLevel="0" collapsed="false">
      <c r="F830" s="41" t="str">
        <f aca="false">IF(C830="","",IFERROR(IF(ISNUMBER(SEARCH(Assumptions!$C$5,C830)),Assumptions!$D$5,IF(ISNUMBER(SEARCH(Assumptions!$C$6,C830)),Assumptions!$D$6,IF(ISNUMBER(SEARCH(Assumptions!$C$7,C830)),Assumptions!$D$7,"Other Services"))),"Other Services"))</f>
        <v/>
      </c>
    </row>
    <row r="831" customFormat="false" ht="15" hidden="false" customHeight="false" outlineLevel="0" collapsed="false">
      <c r="F831" s="41" t="str">
        <f aca="false">IF(C831="","",IFERROR(IF(ISNUMBER(SEARCH(Assumptions!$C$5,C831)),Assumptions!$D$5,IF(ISNUMBER(SEARCH(Assumptions!$C$6,C831)),Assumptions!$D$6,IF(ISNUMBER(SEARCH(Assumptions!$C$7,C831)),Assumptions!$D$7,"Other Services"))),"Other Services"))</f>
        <v/>
      </c>
    </row>
    <row r="832" customFormat="false" ht="15" hidden="false" customHeight="false" outlineLevel="0" collapsed="false">
      <c r="F832" s="41" t="str">
        <f aca="false">IF(C832="","",IFERROR(IF(ISNUMBER(SEARCH(Assumptions!$C$5,C832)),Assumptions!$D$5,IF(ISNUMBER(SEARCH(Assumptions!$C$6,C832)),Assumptions!$D$6,IF(ISNUMBER(SEARCH(Assumptions!$C$7,C832)),Assumptions!$D$7,"Other Services"))),"Other Services"))</f>
        <v/>
      </c>
    </row>
    <row r="833" customFormat="false" ht="15" hidden="false" customHeight="false" outlineLevel="0" collapsed="false">
      <c r="F833" s="41" t="str">
        <f aca="false">IF(C833="","",IFERROR(IF(ISNUMBER(SEARCH(Assumptions!$C$5,C833)),Assumptions!$D$5,IF(ISNUMBER(SEARCH(Assumptions!$C$6,C833)),Assumptions!$D$6,IF(ISNUMBER(SEARCH(Assumptions!$C$7,C833)),Assumptions!$D$7,"Other Services"))),"Other Services"))</f>
        <v/>
      </c>
    </row>
    <row r="834" customFormat="false" ht="15" hidden="false" customHeight="false" outlineLevel="0" collapsed="false">
      <c r="F834" s="41" t="str">
        <f aca="false">IF(C834="","",IFERROR(IF(ISNUMBER(SEARCH(Assumptions!$C$5,C834)),Assumptions!$D$5,IF(ISNUMBER(SEARCH(Assumptions!$C$6,C834)),Assumptions!$D$6,IF(ISNUMBER(SEARCH(Assumptions!$C$7,C834)),Assumptions!$D$7,"Other Services"))),"Other Services"))</f>
        <v/>
      </c>
    </row>
    <row r="835" customFormat="false" ht="15" hidden="false" customHeight="false" outlineLevel="0" collapsed="false">
      <c r="F835" s="41" t="str">
        <f aca="false">IF(C835="","",IFERROR(IF(ISNUMBER(SEARCH(Assumptions!$C$5,C835)),Assumptions!$D$5,IF(ISNUMBER(SEARCH(Assumptions!$C$6,C835)),Assumptions!$D$6,IF(ISNUMBER(SEARCH(Assumptions!$C$7,C835)),Assumptions!$D$7,"Other Services"))),"Other Services"))</f>
        <v/>
      </c>
    </row>
    <row r="836" customFormat="false" ht="15" hidden="false" customHeight="false" outlineLevel="0" collapsed="false">
      <c r="F836" s="41" t="str">
        <f aca="false">IF(C836="","",IFERROR(IF(ISNUMBER(SEARCH(Assumptions!$C$5,C836)),Assumptions!$D$5,IF(ISNUMBER(SEARCH(Assumptions!$C$6,C836)),Assumptions!$D$6,IF(ISNUMBER(SEARCH(Assumptions!$C$7,C836)),Assumptions!$D$7,"Other Services"))),"Other Services"))</f>
        <v/>
      </c>
    </row>
    <row r="837" customFormat="false" ht="15" hidden="false" customHeight="false" outlineLevel="0" collapsed="false">
      <c r="F837" s="41" t="str">
        <f aca="false">IF(C837="","",IFERROR(IF(ISNUMBER(SEARCH(Assumptions!$C$5,C837)),Assumptions!$D$5,IF(ISNUMBER(SEARCH(Assumptions!$C$6,C837)),Assumptions!$D$6,IF(ISNUMBER(SEARCH(Assumptions!$C$7,C837)),Assumptions!$D$7,"Other Services"))),"Other Services"))</f>
        <v/>
      </c>
    </row>
    <row r="838" customFormat="false" ht="15" hidden="false" customHeight="false" outlineLevel="0" collapsed="false">
      <c r="F838" s="41" t="str">
        <f aca="false">IF(C838="","",IFERROR(IF(ISNUMBER(SEARCH(Assumptions!$C$5,C838)),Assumptions!$D$5,IF(ISNUMBER(SEARCH(Assumptions!$C$6,C838)),Assumptions!$D$6,IF(ISNUMBER(SEARCH(Assumptions!$C$7,C838)),Assumptions!$D$7,"Other Services"))),"Other Services"))</f>
        <v/>
      </c>
    </row>
    <row r="839" customFormat="false" ht="15" hidden="false" customHeight="false" outlineLevel="0" collapsed="false">
      <c r="F839" s="41" t="str">
        <f aca="false">IF(C839="","",IFERROR(IF(ISNUMBER(SEARCH(Assumptions!$C$5,C839)),Assumptions!$D$5,IF(ISNUMBER(SEARCH(Assumptions!$C$6,C839)),Assumptions!$D$6,IF(ISNUMBER(SEARCH(Assumptions!$C$7,C839)),Assumptions!$D$7,"Other Services"))),"Other Services"))</f>
        <v/>
      </c>
    </row>
    <row r="840" customFormat="false" ht="15" hidden="false" customHeight="false" outlineLevel="0" collapsed="false">
      <c r="F840" s="41" t="str">
        <f aca="false">IF(C840="","",IFERROR(IF(ISNUMBER(SEARCH(Assumptions!$C$5,C840)),Assumptions!$D$5,IF(ISNUMBER(SEARCH(Assumptions!$C$6,C840)),Assumptions!$D$6,IF(ISNUMBER(SEARCH(Assumptions!$C$7,C840)),Assumptions!$D$7,"Other Services"))),"Other Services"))</f>
        <v/>
      </c>
    </row>
    <row r="841" customFormat="false" ht="15" hidden="false" customHeight="false" outlineLevel="0" collapsed="false">
      <c r="F841" s="41" t="str">
        <f aca="false">IF(C841="","",IFERROR(IF(ISNUMBER(SEARCH(Assumptions!$C$5,C841)),Assumptions!$D$5,IF(ISNUMBER(SEARCH(Assumptions!$C$6,C841)),Assumptions!$D$6,IF(ISNUMBER(SEARCH(Assumptions!$C$7,C841)),Assumptions!$D$7,"Other Services"))),"Other Services"))</f>
        <v/>
      </c>
    </row>
    <row r="842" customFormat="false" ht="15" hidden="false" customHeight="false" outlineLevel="0" collapsed="false">
      <c r="F842" s="41" t="str">
        <f aca="false">IF(C842="","",IFERROR(IF(ISNUMBER(SEARCH(Assumptions!$C$5,C842)),Assumptions!$D$5,IF(ISNUMBER(SEARCH(Assumptions!$C$6,C842)),Assumptions!$D$6,IF(ISNUMBER(SEARCH(Assumptions!$C$7,C842)),Assumptions!$D$7,"Other Services"))),"Other Services"))</f>
        <v/>
      </c>
    </row>
    <row r="843" customFormat="false" ht="15" hidden="false" customHeight="false" outlineLevel="0" collapsed="false">
      <c r="F843" s="41" t="str">
        <f aca="false">IF(C843="","",IFERROR(IF(ISNUMBER(SEARCH(Assumptions!$C$5,C843)),Assumptions!$D$5,IF(ISNUMBER(SEARCH(Assumptions!$C$6,C843)),Assumptions!$D$6,IF(ISNUMBER(SEARCH(Assumptions!$C$7,C843)),Assumptions!$D$7,"Other Services"))),"Other Services"))</f>
        <v/>
      </c>
    </row>
    <row r="844" customFormat="false" ht="15" hidden="false" customHeight="false" outlineLevel="0" collapsed="false">
      <c r="F844" s="41" t="str">
        <f aca="false">IF(C844="","",IFERROR(IF(ISNUMBER(SEARCH(Assumptions!$C$5,C844)),Assumptions!$D$5,IF(ISNUMBER(SEARCH(Assumptions!$C$6,C844)),Assumptions!$D$6,IF(ISNUMBER(SEARCH(Assumptions!$C$7,C844)),Assumptions!$D$7,"Other Services"))),"Other Services"))</f>
        <v/>
      </c>
    </row>
    <row r="845" customFormat="false" ht="15" hidden="false" customHeight="false" outlineLevel="0" collapsed="false">
      <c r="F845" s="41" t="str">
        <f aca="false">IF(C845="","",IFERROR(IF(ISNUMBER(SEARCH(Assumptions!$C$5,C845)),Assumptions!$D$5,IF(ISNUMBER(SEARCH(Assumptions!$C$6,C845)),Assumptions!$D$6,IF(ISNUMBER(SEARCH(Assumptions!$C$7,C845)),Assumptions!$D$7,"Other Services"))),"Other Services"))</f>
        <v/>
      </c>
    </row>
    <row r="846" customFormat="false" ht="15" hidden="false" customHeight="false" outlineLevel="0" collapsed="false">
      <c r="F846" s="41" t="str">
        <f aca="false">IF(C846="","",IFERROR(IF(ISNUMBER(SEARCH(Assumptions!$C$5,C846)),Assumptions!$D$5,IF(ISNUMBER(SEARCH(Assumptions!$C$6,C846)),Assumptions!$D$6,IF(ISNUMBER(SEARCH(Assumptions!$C$7,C846)),Assumptions!$D$7,"Other Services"))),"Other Services"))</f>
        <v/>
      </c>
    </row>
    <row r="847" customFormat="false" ht="15" hidden="false" customHeight="false" outlineLevel="0" collapsed="false">
      <c r="F847" s="41" t="str">
        <f aca="false">IF(C847="","",IFERROR(IF(ISNUMBER(SEARCH(Assumptions!$C$5,C847)),Assumptions!$D$5,IF(ISNUMBER(SEARCH(Assumptions!$C$6,C847)),Assumptions!$D$6,IF(ISNUMBER(SEARCH(Assumptions!$C$7,C847)),Assumptions!$D$7,"Other Services"))),"Other Services"))</f>
        <v/>
      </c>
    </row>
    <row r="848" customFormat="false" ht="15" hidden="false" customHeight="false" outlineLevel="0" collapsed="false">
      <c r="F848" s="41" t="str">
        <f aca="false">IF(C848="","",IFERROR(IF(ISNUMBER(SEARCH(Assumptions!$C$5,C848)),Assumptions!$D$5,IF(ISNUMBER(SEARCH(Assumptions!$C$6,C848)),Assumptions!$D$6,IF(ISNUMBER(SEARCH(Assumptions!$C$7,C848)),Assumptions!$D$7,"Other Services"))),"Other Services"))</f>
        <v/>
      </c>
    </row>
    <row r="849" customFormat="false" ht="15" hidden="false" customHeight="false" outlineLevel="0" collapsed="false">
      <c r="F849" s="41" t="str">
        <f aca="false">IF(C849="","",IFERROR(IF(ISNUMBER(SEARCH(Assumptions!$C$5,C849)),Assumptions!$D$5,IF(ISNUMBER(SEARCH(Assumptions!$C$6,C849)),Assumptions!$D$6,IF(ISNUMBER(SEARCH(Assumptions!$C$7,C849)),Assumptions!$D$7,"Other Services"))),"Other Services"))</f>
        <v/>
      </c>
    </row>
    <row r="850" customFormat="false" ht="15" hidden="false" customHeight="false" outlineLevel="0" collapsed="false">
      <c r="F850" s="41" t="str">
        <f aca="false">IF(C850="","",IFERROR(IF(ISNUMBER(SEARCH(Assumptions!$C$5,C850)),Assumptions!$D$5,IF(ISNUMBER(SEARCH(Assumptions!$C$6,C850)),Assumptions!$D$6,IF(ISNUMBER(SEARCH(Assumptions!$C$7,C850)),Assumptions!$D$7,"Other Services"))),"Other Services"))</f>
        <v/>
      </c>
    </row>
    <row r="851" customFormat="false" ht="15" hidden="false" customHeight="false" outlineLevel="0" collapsed="false">
      <c r="F851" s="41" t="str">
        <f aca="false">IF(C851="","",IFERROR(IF(ISNUMBER(SEARCH(Assumptions!$C$5,C851)),Assumptions!$D$5,IF(ISNUMBER(SEARCH(Assumptions!$C$6,C851)),Assumptions!$D$6,IF(ISNUMBER(SEARCH(Assumptions!$C$7,C851)),Assumptions!$D$7,"Other Services"))),"Other Services"))</f>
        <v/>
      </c>
    </row>
    <row r="852" customFormat="false" ht="15" hidden="false" customHeight="false" outlineLevel="0" collapsed="false">
      <c r="F852" s="41" t="str">
        <f aca="false">IF(C852="","",IFERROR(IF(ISNUMBER(SEARCH(Assumptions!$C$5,C852)),Assumptions!$D$5,IF(ISNUMBER(SEARCH(Assumptions!$C$6,C852)),Assumptions!$D$6,IF(ISNUMBER(SEARCH(Assumptions!$C$7,C852)),Assumptions!$D$7,"Other Services"))),"Other Services"))</f>
        <v/>
      </c>
    </row>
    <row r="853" customFormat="false" ht="15" hidden="false" customHeight="false" outlineLevel="0" collapsed="false">
      <c r="F853" s="41" t="str">
        <f aca="false">IF(C853="","",IFERROR(IF(ISNUMBER(SEARCH(Assumptions!$C$5,C853)),Assumptions!$D$5,IF(ISNUMBER(SEARCH(Assumptions!$C$6,C853)),Assumptions!$D$6,IF(ISNUMBER(SEARCH(Assumptions!$C$7,C853)),Assumptions!$D$7,"Other Services"))),"Other Services"))</f>
        <v/>
      </c>
    </row>
    <row r="854" customFormat="false" ht="15" hidden="false" customHeight="false" outlineLevel="0" collapsed="false">
      <c r="F854" s="41" t="str">
        <f aca="false">IF(C854="","",IFERROR(IF(ISNUMBER(SEARCH(Assumptions!$C$5,C854)),Assumptions!$D$5,IF(ISNUMBER(SEARCH(Assumptions!$C$6,C854)),Assumptions!$D$6,IF(ISNUMBER(SEARCH(Assumptions!$C$7,C854)),Assumptions!$D$7,"Other Services"))),"Other Services"))</f>
        <v/>
      </c>
    </row>
    <row r="855" customFormat="false" ht="15" hidden="false" customHeight="false" outlineLevel="0" collapsed="false">
      <c r="F855" s="41" t="str">
        <f aca="false">IF(C855="","",IFERROR(IF(ISNUMBER(SEARCH(Assumptions!$C$5,C855)),Assumptions!$D$5,IF(ISNUMBER(SEARCH(Assumptions!$C$6,C855)),Assumptions!$D$6,IF(ISNUMBER(SEARCH(Assumptions!$C$7,C855)),Assumptions!$D$7,"Other Services"))),"Other Services"))</f>
        <v/>
      </c>
    </row>
    <row r="856" customFormat="false" ht="15" hidden="false" customHeight="false" outlineLevel="0" collapsed="false">
      <c r="F856" s="41" t="str">
        <f aca="false">IF(C856="","",IFERROR(IF(ISNUMBER(SEARCH(Assumptions!$C$5,C856)),Assumptions!$D$5,IF(ISNUMBER(SEARCH(Assumptions!$C$6,C856)),Assumptions!$D$6,IF(ISNUMBER(SEARCH(Assumptions!$C$7,C856)),Assumptions!$D$7,"Other Services"))),"Other Services"))</f>
        <v/>
      </c>
    </row>
    <row r="857" customFormat="false" ht="15" hidden="false" customHeight="false" outlineLevel="0" collapsed="false">
      <c r="F857" s="41" t="str">
        <f aca="false">IF(C857="","",IFERROR(IF(ISNUMBER(SEARCH(Assumptions!$C$5,C857)),Assumptions!$D$5,IF(ISNUMBER(SEARCH(Assumptions!$C$6,C857)),Assumptions!$D$6,IF(ISNUMBER(SEARCH(Assumptions!$C$7,C857)),Assumptions!$D$7,"Other Services"))),"Other Services"))</f>
        <v/>
      </c>
    </row>
    <row r="858" customFormat="false" ht="15" hidden="false" customHeight="false" outlineLevel="0" collapsed="false">
      <c r="F858" s="41" t="str">
        <f aca="false">IF(C858="","",IFERROR(IF(ISNUMBER(SEARCH(Assumptions!$C$5,C858)),Assumptions!$D$5,IF(ISNUMBER(SEARCH(Assumptions!$C$6,C858)),Assumptions!$D$6,IF(ISNUMBER(SEARCH(Assumptions!$C$7,C858)),Assumptions!$D$7,"Other Services"))),"Other Services"))</f>
        <v/>
      </c>
    </row>
    <row r="859" customFormat="false" ht="15" hidden="false" customHeight="false" outlineLevel="0" collapsed="false">
      <c r="F859" s="41" t="str">
        <f aca="false">IF(C859="","",IFERROR(IF(ISNUMBER(SEARCH(Assumptions!$C$5,C859)),Assumptions!$D$5,IF(ISNUMBER(SEARCH(Assumptions!$C$6,C859)),Assumptions!$D$6,IF(ISNUMBER(SEARCH(Assumptions!$C$7,C859)),Assumptions!$D$7,"Other Services"))),"Other Services"))</f>
        <v/>
      </c>
    </row>
    <row r="860" customFormat="false" ht="15" hidden="false" customHeight="false" outlineLevel="0" collapsed="false">
      <c r="F860" s="41" t="str">
        <f aca="false">IF(C860="","",IFERROR(IF(ISNUMBER(SEARCH(Assumptions!$C$5,C860)),Assumptions!$D$5,IF(ISNUMBER(SEARCH(Assumptions!$C$6,C860)),Assumptions!$D$6,IF(ISNUMBER(SEARCH(Assumptions!$C$7,C860)),Assumptions!$D$7,"Other Services"))),"Other Services"))</f>
        <v/>
      </c>
    </row>
    <row r="861" customFormat="false" ht="15" hidden="false" customHeight="false" outlineLevel="0" collapsed="false">
      <c r="F861" s="41" t="str">
        <f aca="false">IF(C861="","",IFERROR(IF(ISNUMBER(SEARCH(Assumptions!$C$5,C861)),Assumptions!$D$5,IF(ISNUMBER(SEARCH(Assumptions!$C$6,C861)),Assumptions!$D$6,IF(ISNUMBER(SEARCH(Assumptions!$C$7,C861)),Assumptions!$D$7,"Other Services"))),"Other Services"))</f>
        <v/>
      </c>
    </row>
    <row r="862" customFormat="false" ht="15" hidden="false" customHeight="false" outlineLevel="0" collapsed="false">
      <c r="F862" s="41" t="str">
        <f aca="false">IF(C862="","",IFERROR(IF(ISNUMBER(SEARCH(Assumptions!$C$5,C862)),Assumptions!$D$5,IF(ISNUMBER(SEARCH(Assumptions!$C$6,C862)),Assumptions!$D$6,IF(ISNUMBER(SEARCH(Assumptions!$C$7,C862)),Assumptions!$D$7,"Other Services"))),"Other Services"))</f>
        <v/>
      </c>
    </row>
    <row r="863" customFormat="false" ht="15" hidden="false" customHeight="false" outlineLevel="0" collapsed="false">
      <c r="F863" s="41" t="str">
        <f aca="false">IF(C863="","",IFERROR(IF(ISNUMBER(SEARCH(Assumptions!$C$5,C863)),Assumptions!$D$5,IF(ISNUMBER(SEARCH(Assumptions!$C$6,C863)),Assumptions!$D$6,IF(ISNUMBER(SEARCH(Assumptions!$C$7,C863)),Assumptions!$D$7,"Other Services"))),"Other Services"))</f>
        <v/>
      </c>
    </row>
    <row r="864" customFormat="false" ht="15" hidden="false" customHeight="false" outlineLevel="0" collapsed="false">
      <c r="F864" s="41" t="str">
        <f aca="false">IF(C864="","",IFERROR(IF(ISNUMBER(SEARCH(Assumptions!$C$5,C864)),Assumptions!$D$5,IF(ISNUMBER(SEARCH(Assumptions!$C$6,C864)),Assumptions!$D$6,IF(ISNUMBER(SEARCH(Assumptions!$C$7,C864)),Assumptions!$D$7,"Other Services"))),"Other Services"))</f>
        <v/>
      </c>
    </row>
    <row r="865" customFormat="false" ht="15" hidden="false" customHeight="false" outlineLevel="0" collapsed="false">
      <c r="F865" s="41" t="str">
        <f aca="false">IF(C865="","",IFERROR(IF(ISNUMBER(SEARCH(Assumptions!$C$5,C865)),Assumptions!$D$5,IF(ISNUMBER(SEARCH(Assumptions!$C$6,C865)),Assumptions!$D$6,IF(ISNUMBER(SEARCH(Assumptions!$C$7,C865)),Assumptions!$D$7,"Other Services"))),"Other Services"))</f>
        <v/>
      </c>
    </row>
    <row r="866" customFormat="false" ht="15" hidden="false" customHeight="false" outlineLevel="0" collapsed="false">
      <c r="F866" s="41" t="str">
        <f aca="false">IF(C866="","",IFERROR(IF(ISNUMBER(SEARCH(Assumptions!$C$5,C866)),Assumptions!$D$5,IF(ISNUMBER(SEARCH(Assumptions!$C$6,C866)),Assumptions!$D$6,IF(ISNUMBER(SEARCH(Assumptions!$C$7,C866)),Assumptions!$D$7,"Other Services"))),"Other Services"))</f>
        <v/>
      </c>
    </row>
    <row r="867" customFormat="false" ht="15" hidden="false" customHeight="false" outlineLevel="0" collapsed="false">
      <c r="F867" s="41" t="str">
        <f aca="false">IF(C867="","",IFERROR(IF(ISNUMBER(SEARCH(Assumptions!$C$5,C867)),Assumptions!$D$5,IF(ISNUMBER(SEARCH(Assumptions!$C$6,C867)),Assumptions!$D$6,IF(ISNUMBER(SEARCH(Assumptions!$C$7,C867)),Assumptions!$D$7,"Other Services"))),"Other Services"))</f>
        <v/>
      </c>
    </row>
    <row r="868" customFormat="false" ht="15" hidden="false" customHeight="false" outlineLevel="0" collapsed="false">
      <c r="F868" s="41" t="str">
        <f aca="false">IF(C868="","",IFERROR(IF(ISNUMBER(SEARCH(Assumptions!$C$5,C868)),Assumptions!$D$5,IF(ISNUMBER(SEARCH(Assumptions!$C$6,C868)),Assumptions!$D$6,IF(ISNUMBER(SEARCH(Assumptions!$C$7,C868)),Assumptions!$D$7,"Other Services"))),"Other Services"))</f>
        <v/>
      </c>
    </row>
    <row r="869" customFormat="false" ht="15" hidden="false" customHeight="false" outlineLevel="0" collapsed="false">
      <c r="F869" s="41" t="str">
        <f aca="false">IF(C869="","",IFERROR(IF(ISNUMBER(SEARCH(Assumptions!$C$5,C869)),Assumptions!$D$5,IF(ISNUMBER(SEARCH(Assumptions!$C$6,C869)),Assumptions!$D$6,IF(ISNUMBER(SEARCH(Assumptions!$C$7,C869)),Assumptions!$D$7,"Other Services"))),"Other Services"))</f>
        <v/>
      </c>
    </row>
    <row r="870" customFormat="false" ht="15" hidden="false" customHeight="false" outlineLevel="0" collapsed="false">
      <c r="F870" s="41" t="str">
        <f aca="false">IF(C870="","",IFERROR(IF(ISNUMBER(SEARCH(Assumptions!$C$5,C870)),Assumptions!$D$5,IF(ISNUMBER(SEARCH(Assumptions!$C$6,C870)),Assumptions!$D$6,IF(ISNUMBER(SEARCH(Assumptions!$C$7,C870)),Assumptions!$D$7,"Other Services"))),"Other Services"))</f>
        <v/>
      </c>
    </row>
    <row r="871" customFormat="false" ht="15" hidden="false" customHeight="false" outlineLevel="0" collapsed="false">
      <c r="F871" s="41" t="str">
        <f aca="false">IF(C871="","",IFERROR(IF(ISNUMBER(SEARCH(Assumptions!$C$5,C871)),Assumptions!$D$5,IF(ISNUMBER(SEARCH(Assumptions!$C$6,C871)),Assumptions!$D$6,IF(ISNUMBER(SEARCH(Assumptions!$C$7,C871)),Assumptions!$D$7,"Other Services"))),"Other Services"))</f>
        <v/>
      </c>
    </row>
    <row r="872" customFormat="false" ht="15" hidden="false" customHeight="false" outlineLevel="0" collapsed="false">
      <c r="F872" s="41" t="str">
        <f aca="false">IF(C872="","",IFERROR(IF(ISNUMBER(SEARCH(Assumptions!$C$5,C872)),Assumptions!$D$5,IF(ISNUMBER(SEARCH(Assumptions!$C$6,C872)),Assumptions!$D$6,IF(ISNUMBER(SEARCH(Assumptions!$C$7,C872)),Assumptions!$D$7,"Other Services"))),"Other Services"))</f>
        <v/>
      </c>
    </row>
    <row r="873" customFormat="false" ht="15" hidden="false" customHeight="false" outlineLevel="0" collapsed="false">
      <c r="F873" s="41" t="str">
        <f aca="false">IF(C873="","",IFERROR(IF(ISNUMBER(SEARCH(Assumptions!$C$5,C873)),Assumptions!$D$5,IF(ISNUMBER(SEARCH(Assumptions!$C$6,C873)),Assumptions!$D$6,IF(ISNUMBER(SEARCH(Assumptions!$C$7,C873)),Assumptions!$D$7,"Other Services"))),"Other Services"))</f>
        <v/>
      </c>
    </row>
    <row r="874" customFormat="false" ht="15" hidden="false" customHeight="false" outlineLevel="0" collapsed="false">
      <c r="F874" s="41" t="str">
        <f aca="false">IF(C874="","",IFERROR(IF(ISNUMBER(SEARCH(Assumptions!$C$5,C874)),Assumptions!$D$5,IF(ISNUMBER(SEARCH(Assumptions!$C$6,C874)),Assumptions!$D$6,IF(ISNUMBER(SEARCH(Assumptions!$C$7,C874)),Assumptions!$D$7,"Other Services"))),"Other Services"))</f>
        <v/>
      </c>
    </row>
    <row r="875" customFormat="false" ht="15" hidden="false" customHeight="false" outlineLevel="0" collapsed="false">
      <c r="F875" s="41" t="str">
        <f aca="false">IF(C875="","",IFERROR(IF(ISNUMBER(SEARCH(Assumptions!$C$5,C875)),Assumptions!$D$5,IF(ISNUMBER(SEARCH(Assumptions!$C$6,C875)),Assumptions!$D$6,IF(ISNUMBER(SEARCH(Assumptions!$C$7,C875)),Assumptions!$D$7,"Other Services"))),"Other Services"))</f>
        <v/>
      </c>
    </row>
    <row r="876" customFormat="false" ht="15" hidden="false" customHeight="false" outlineLevel="0" collapsed="false">
      <c r="F876" s="41" t="str">
        <f aca="false">IF(C876="","",IFERROR(IF(ISNUMBER(SEARCH(Assumptions!$C$5,C876)),Assumptions!$D$5,IF(ISNUMBER(SEARCH(Assumptions!$C$6,C876)),Assumptions!$D$6,IF(ISNUMBER(SEARCH(Assumptions!$C$7,C876)),Assumptions!$D$7,"Other Services"))),"Other Services"))</f>
        <v/>
      </c>
    </row>
    <row r="877" customFormat="false" ht="15" hidden="false" customHeight="false" outlineLevel="0" collapsed="false">
      <c r="F877" s="41" t="str">
        <f aca="false">IF(C877="","",IFERROR(IF(ISNUMBER(SEARCH(Assumptions!$C$5,C877)),Assumptions!$D$5,IF(ISNUMBER(SEARCH(Assumptions!$C$6,C877)),Assumptions!$D$6,IF(ISNUMBER(SEARCH(Assumptions!$C$7,C877)),Assumptions!$D$7,"Other Services"))),"Other Services"))</f>
        <v/>
      </c>
    </row>
    <row r="878" customFormat="false" ht="15" hidden="false" customHeight="false" outlineLevel="0" collapsed="false">
      <c r="F878" s="41" t="str">
        <f aca="false">IF(C878="","",IFERROR(IF(ISNUMBER(SEARCH(Assumptions!$C$5,C878)),Assumptions!$D$5,IF(ISNUMBER(SEARCH(Assumptions!$C$6,C878)),Assumptions!$D$6,IF(ISNUMBER(SEARCH(Assumptions!$C$7,C878)),Assumptions!$D$7,"Other Services"))),"Other Services"))</f>
        <v/>
      </c>
    </row>
    <row r="879" customFormat="false" ht="15" hidden="false" customHeight="false" outlineLevel="0" collapsed="false">
      <c r="F879" s="41" t="str">
        <f aca="false">IF(C879="","",IFERROR(IF(ISNUMBER(SEARCH(Assumptions!$C$5,C879)),Assumptions!$D$5,IF(ISNUMBER(SEARCH(Assumptions!$C$6,C879)),Assumptions!$D$6,IF(ISNUMBER(SEARCH(Assumptions!$C$7,C879)),Assumptions!$D$7,"Other Services"))),"Other Services"))</f>
        <v/>
      </c>
    </row>
    <row r="880" customFormat="false" ht="15" hidden="false" customHeight="false" outlineLevel="0" collapsed="false">
      <c r="F880" s="41" t="str">
        <f aca="false">IF(C880="","",IFERROR(IF(ISNUMBER(SEARCH(Assumptions!$C$5,C880)),Assumptions!$D$5,IF(ISNUMBER(SEARCH(Assumptions!$C$6,C880)),Assumptions!$D$6,IF(ISNUMBER(SEARCH(Assumptions!$C$7,C880)),Assumptions!$D$7,"Other Services"))),"Other Services"))</f>
        <v/>
      </c>
    </row>
    <row r="881" customFormat="false" ht="15" hidden="false" customHeight="false" outlineLevel="0" collapsed="false">
      <c r="F881" s="41" t="str">
        <f aca="false">IF(C881="","",IFERROR(IF(ISNUMBER(SEARCH(Assumptions!$C$5,C881)),Assumptions!$D$5,IF(ISNUMBER(SEARCH(Assumptions!$C$6,C881)),Assumptions!$D$6,IF(ISNUMBER(SEARCH(Assumptions!$C$7,C881)),Assumptions!$D$7,"Other Services"))),"Other Services"))</f>
        <v/>
      </c>
    </row>
    <row r="882" customFormat="false" ht="15" hidden="false" customHeight="false" outlineLevel="0" collapsed="false">
      <c r="F882" s="41" t="str">
        <f aca="false">IF(C882="","",IFERROR(IF(ISNUMBER(SEARCH(Assumptions!$C$5,C882)),Assumptions!$D$5,IF(ISNUMBER(SEARCH(Assumptions!$C$6,C882)),Assumptions!$D$6,IF(ISNUMBER(SEARCH(Assumptions!$C$7,C882)),Assumptions!$D$7,"Other Services"))),"Other Services"))</f>
        <v/>
      </c>
    </row>
    <row r="883" customFormat="false" ht="15" hidden="false" customHeight="false" outlineLevel="0" collapsed="false">
      <c r="F883" s="41" t="str">
        <f aca="false">IF(C883="","",IFERROR(IF(ISNUMBER(SEARCH(Assumptions!$C$5,C883)),Assumptions!$D$5,IF(ISNUMBER(SEARCH(Assumptions!$C$6,C883)),Assumptions!$D$6,IF(ISNUMBER(SEARCH(Assumptions!$C$7,C883)),Assumptions!$D$7,"Other Services"))),"Other Services"))</f>
        <v/>
      </c>
    </row>
    <row r="884" customFormat="false" ht="15" hidden="false" customHeight="false" outlineLevel="0" collapsed="false">
      <c r="F884" s="41" t="str">
        <f aca="false">IF(C884="","",IFERROR(IF(ISNUMBER(SEARCH(Assumptions!$C$5,C884)),Assumptions!$D$5,IF(ISNUMBER(SEARCH(Assumptions!$C$6,C884)),Assumptions!$D$6,IF(ISNUMBER(SEARCH(Assumptions!$C$7,C884)),Assumptions!$D$7,"Other Services"))),"Other Services"))</f>
        <v/>
      </c>
    </row>
    <row r="885" customFormat="false" ht="15" hidden="false" customHeight="false" outlineLevel="0" collapsed="false">
      <c r="F885" s="41" t="str">
        <f aca="false">IF(C885="","",IFERROR(IF(ISNUMBER(SEARCH(Assumptions!$C$5,C885)),Assumptions!$D$5,IF(ISNUMBER(SEARCH(Assumptions!$C$6,C885)),Assumptions!$D$6,IF(ISNUMBER(SEARCH(Assumptions!$C$7,C885)),Assumptions!$D$7,"Other Services"))),"Other Services"))</f>
        <v/>
      </c>
    </row>
    <row r="886" customFormat="false" ht="15" hidden="false" customHeight="false" outlineLevel="0" collapsed="false">
      <c r="F886" s="41" t="str">
        <f aca="false">IF(C886="","",IFERROR(IF(ISNUMBER(SEARCH(Assumptions!$C$5,C886)),Assumptions!$D$5,IF(ISNUMBER(SEARCH(Assumptions!$C$6,C886)),Assumptions!$D$6,IF(ISNUMBER(SEARCH(Assumptions!$C$7,C886)),Assumptions!$D$7,"Other Services"))),"Other Services"))</f>
        <v/>
      </c>
    </row>
    <row r="887" customFormat="false" ht="15" hidden="false" customHeight="false" outlineLevel="0" collapsed="false">
      <c r="F887" s="41" t="str">
        <f aca="false">IF(C887="","",IFERROR(IF(ISNUMBER(SEARCH(Assumptions!$C$5,C887)),Assumptions!$D$5,IF(ISNUMBER(SEARCH(Assumptions!$C$6,C887)),Assumptions!$D$6,IF(ISNUMBER(SEARCH(Assumptions!$C$7,C887)),Assumptions!$D$7,"Other Services"))),"Other Services"))</f>
        <v/>
      </c>
    </row>
    <row r="888" customFormat="false" ht="15" hidden="false" customHeight="false" outlineLevel="0" collapsed="false">
      <c r="F888" s="41" t="str">
        <f aca="false">IF(C888="","",IFERROR(IF(ISNUMBER(SEARCH(Assumptions!$C$5,C888)),Assumptions!$D$5,IF(ISNUMBER(SEARCH(Assumptions!$C$6,C888)),Assumptions!$D$6,IF(ISNUMBER(SEARCH(Assumptions!$C$7,C888)),Assumptions!$D$7,"Other Services"))),"Other Services"))</f>
        <v/>
      </c>
    </row>
    <row r="889" customFormat="false" ht="15" hidden="false" customHeight="false" outlineLevel="0" collapsed="false">
      <c r="F889" s="41" t="str">
        <f aca="false">IF(C889="","",IFERROR(IF(ISNUMBER(SEARCH(Assumptions!$C$5,C889)),Assumptions!$D$5,IF(ISNUMBER(SEARCH(Assumptions!$C$6,C889)),Assumptions!$D$6,IF(ISNUMBER(SEARCH(Assumptions!$C$7,C889)),Assumptions!$D$7,"Other Services"))),"Other Services"))</f>
        <v/>
      </c>
    </row>
    <row r="890" customFormat="false" ht="15" hidden="false" customHeight="false" outlineLevel="0" collapsed="false">
      <c r="F890" s="41" t="str">
        <f aca="false">IF(C890="","",IFERROR(IF(ISNUMBER(SEARCH(Assumptions!$C$5,C890)),Assumptions!$D$5,IF(ISNUMBER(SEARCH(Assumptions!$C$6,C890)),Assumptions!$D$6,IF(ISNUMBER(SEARCH(Assumptions!$C$7,C890)),Assumptions!$D$7,"Other Services"))),"Other Services"))</f>
        <v/>
      </c>
    </row>
    <row r="891" customFormat="false" ht="15" hidden="false" customHeight="false" outlineLevel="0" collapsed="false">
      <c r="F891" s="41" t="str">
        <f aca="false">IF(C891="","",IFERROR(IF(ISNUMBER(SEARCH(Assumptions!$C$5,C891)),Assumptions!$D$5,IF(ISNUMBER(SEARCH(Assumptions!$C$6,C891)),Assumptions!$D$6,IF(ISNUMBER(SEARCH(Assumptions!$C$7,C891)),Assumptions!$D$7,"Other Services"))),"Other Services"))</f>
        <v/>
      </c>
    </row>
    <row r="892" customFormat="false" ht="15" hidden="false" customHeight="false" outlineLevel="0" collapsed="false">
      <c r="F892" s="41" t="str">
        <f aca="false">IF(C892="","",IFERROR(IF(ISNUMBER(SEARCH(Assumptions!$C$5,C892)),Assumptions!$D$5,IF(ISNUMBER(SEARCH(Assumptions!$C$6,C892)),Assumptions!$D$6,IF(ISNUMBER(SEARCH(Assumptions!$C$7,C892)),Assumptions!$D$7,"Other Services"))),"Other Services"))</f>
        <v/>
      </c>
    </row>
    <row r="893" customFormat="false" ht="15" hidden="false" customHeight="false" outlineLevel="0" collapsed="false">
      <c r="F893" s="41" t="str">
        <f aca="false">IF(C893="","",IFERROR(IF(ISNUMBER(SEARCH(Assumptions!$C$5,C893)),Assumptions!$D$5,IF(ISNUMBER(SEARCH(Assumptions!$C$6,C893)),Assumptions!$D$6,IF(ISNUMBER(SEARCH(Assumptions!$C$7,C893)),Assumptions!$D$7,"Other Services"))),"Other Services"))</f>
        <v/>
      </c>
    </row>
    <row r="894" customFormat="false" ht="15" hidden="false" customHeight="false" outlineLevel="0" collapsed="false">
      <c r="F894" s="41" t="str">
        <f aca="false">IF(C894="","",IFERROR(IF(ISNUMBER(SEARCH(Assumptions!$C$5,C894)),Assumptions!$D$5,IF(ISNUMBER(SEARCH(Assumptions!$C$6,C894)),Assumptions!$D$6,IF(ISNUMBER(SEARCH(Assumptions!$C$7,C894)),Assumptions!$D$7,"Other Services"))),"Other Services"))</f>
        <v/>
      </c>
    </row>
    <row r="895" customFormat="false" ht="15" hidden="false" customHeight="false" outlineLevel="0" collapsed="false">
      <c r="F895" s="41" t="str">
        <f aca="false">IF(C895="","",IFERROR(IF(ISNUMBER(SEARCH(Assumptions!$C$5,C895)),Assumptions!$D$5,IF(ISNUMBER(SEARCH(Assumptions!$C$6,C895)),Assumptions!$D$6,IF(ISNUMBER(SEARCH(Assumptions!$C$7,C895)),Assumptions!$D$7,"Other Services"))),"Other Services"))</f>
        <v/>
      </c>
    </row>
    <row r="896" customFormat="false" ht="15" hidden="false" customHeight="false" outlineLevel="0" collapsed="false">
      <c r="F896" s="41" t="str">
        <f aca="false">IF(C896="","",IFERROR(IF(ISNUMBER(SEARCH(Assumptions!$C$5,C896)),Assumptions!$D$5,IF(ISNUMBER(SEARCH(Assumptions!$C$6,C896)),Assumptions!$D$6,IF(ISNUMBER(SEARCH(Assumptions!$C$7,C896)),Assumptions!$D$7,"Other Services"))),"Other Services"))</f>
        <v/>
      </c>
    </row>
    <row r="897" customFormat="false" ht="15" hidden="false" customHeight="false" outlineLevel="0" collapsed="false">
      <c r="F897" s="41" t="str">
        <f aca="false">IF(C897="","",IFERROR(IF(ISNUMBER(SEARCH(Assumptions!$C$5,C897)),Assumptions!$D$5,IF(ISNUMBER(SEARCH(Assumptions!$C$6,C897)),Assumptions!$D$6,IF(ISNUMBER(SEARCH(Assumptions!$C$7,C897)),Assumptions!$D$7,"Other Services"))),"Other Services"))</f>
        <v/>
      </c>
    </row>
    <row r="898" customFormat="false" ht="15" hidden="false" customHeight="false" outlineLevel="0" collapsed="false">
      <c r="F898" s="41" t="str">
        <f aca="false">IF(C898="","",IFERROR(IF(ISNUMBER(SEARCH(Assumptions!$C$5,C898)),Assumptions!$D$5,IF(ISNUMBER(SEARCH(Assumptions!$C$6,C898)),Assumptions!$D$6,IF(ISNUMBER(SEARCH(Assumptions!$C$7,C898)),Assumptions!$D$7,"Other Services"))),"Other Services"))</f>
        <v/>
      </c>
    </row>
    <row r="899" customFormat="false" ht="15" hidden="false" customHeight="false" outlineLevel="0" collapsed="false">
      <c r="F899" s="41" t="str">
        <f aca="false">IF(C899="","",IFERROR(IF(ISNUMBER(SEARCH(Assumptions!$C$5,C899)),Assumptions!$D$5,IF(ISNUMBER(SEARCH(Assumptions!$C$6,C899)),Assumptions!$D$6,IF(ISNUMBER(SEARCH(Assumptions!$C$7,C899)),Assumptions!$D$7,"Other Services"))),"Other Services"))</f>
        <v/>
      </c>
    </row>
    <row r="900" customFormat="false" ht="15" hidden="false" customHeight="false" outlineLevel="0" collapsed="false">
      <c r="F900" s="41" t="str">
        <f aca="false">IF(C900="","",IFERROR(IF(ISNUMBER(SEARCH(Assumptions!$C$5,C900)),Assumptions!$D$5,IF(ISNUMBER(SEARCH(Assumptions!$C$6,C900)),Assumptions!$D$6,IF(ISNUMBER(SEARCH(Assumptions!$C$7,C900)),Assumptions!$D$7,"Other Services"))),"Other Services"))</f>
        <v/>
      </c>
    </row>
    <row r="901" customFormat="false" ht="15" hidden="false" customHeight="false" outlineLevel="0" collapsed="false">
      <c r="F901" s="41" t="str">
        <f aca="false">IF(C901="","",IFERROR(IF(ISNUMBER(SEARCH(Assumptions!$C$5,C901)),Assumptions!$D$5,IF(ISNUMBER(SEARCH(Assumptions!$C$6,C901)),Assumptions!$D$6,IF(ISNUMBER(SEARCH(Assumptions!$C$7,C901)),Assumptions!$D$7,"Other Services"))),"Other Services"))</f>
        <v/>
      </c>
    </row>
    <row r="902" customFormat="false" ht="15" hidden="false" customHeight="false" outlineLevel="0" collapsed="false">
      <c r="F902" s="41" t="str">
        <f aca="false">IF(C902="","",IFERROR(IF(ISNUMBER(SEARCH(Assumptions!$C$5,C902)),Assumptions!$D$5,IF(ISNUMBER(SEARCH(Assumptions!$C$6,C902)),Assumptions!$D$6,IF(ISNUMBER(SEARCH(Assumptions!$C$7,C902)),Assumptions!$D$7,"Other Services"))),"Other Services"))</f>
        <v/>
      </c>
    </row>
    <row r="903" customFormat="false" ht="15" hidden="false" customHeight="false" outlineLevel="0" collapsed="false">
      <c r="F903" s="41" t="str">
        <f aca="false">IF(C903="","",IFERROR(IF(ISNUMBER(SEARCH(Assumptions!$C$5,C903)),Assumptions!$D$5,IF(ISNUMBER(SEARCH(Assumptions!$C$6,C903)),Assumptions!$D$6,IF(ISNUMBER(SEARCH(Assumptions!$C$7,C903)),Assumptions!$D$7,"Other Services"))),"Other Services"))</f>
        <v/>
      </c>
    </row>
    <row r="904" customFormat="false" ht="15" hidden="false" customHeight="false" outlineLevel="0" collapsed="false">
      <c r="F904" s="41" t="str">
        <f aca="false">IF(C904="","",IFERROR(IF(ISNUMBER(SEARCH(Assumptions!$C$5,C904)),Assumptions!$D$5,IF(ISNUMBER(SEARCH(Assumptions!$C$6,C904)),Assumptions!$D$6,IF(ISNUMBER(SEARCH(Assumptions!$C$7,C904)),Assumptions!$D$7,"Other Services"))),"Other Services"))</f>
        <v/>
      </c>
    </row>
    <row r="905" customFormat="false" ht="15" hidden="false" customHeight="false" outlineLevel="0" collapsed="false">
      <c r="F905" s="41" t="str">
        <f aca="false">IF(C905="","",IFERROR(IF(ISNUMBER(SEARCH(Assumptions!$C$5,C905)),Assumptions!$D$5,IF(ISNUMBER(SEARCH(Assumptions!$C$6,C905)),Assumptions!$D$6,IF(ISNUMBER(SEARCH(Assumptions!$C$7,C905)),Assumptions!$D$7,"Other Services"))),"Other Services"))</f>
        <v/>
      </c>
    </row>
    <row r="906" customFormat="false" ht="15" hidden="false" customHeight="false" outlineLevel="0" collapsed="false">
      <c r="F906" s="41" t="str">
        <f aca="false">IF(C906="","",IFERROR(IF(ISNUMBER(SEARCH(Assumptions!$C$5,C906)),Assumptions!$D$5,IF(ISNUMBER(SEARCH(Assumptions!$C$6,C906)),Assumptions!$D$6,IF(ISNUMBER(SEARCH(Assumptions!$C$7,C906)),Assumptions!$D$7,"Other Services"))),"Other Services"))</f>
        <v/>
      </c>
    </row>
    <row r="907" customFormat="false" ht="15" hidden="false" customHeight="false" outlineLevel="0" collapsed="false">
      <c r="F907" s="41" t="str">
        <f aca="false">IF(C907="","",IFERROR(IF(ISNUMBER(SEARCH(Assumptions!$C$5,C907)),Assumptions!$D$5,IF(ISNUMBER(SEARCH(Assumptions!$C$6,C907)),Assumptions!$D$6,IF(ISNUMBER(SEARCH(Assumptions!$C$7,C907)),Assumptions!$D$7,"Other Services"))),"Other Services"))</f>
        <v/>
      </c>
    </row>
    <row r="908" customFormat="false" ht="15" hidden="false" customHeight="false" outlineLevel="0" collapsed="false">
      <c r="F908" s="41" t="str">
        <f aca="false">IF(C908="","",IFERROR(IF(ISNUMBER(SEARCH(Assumptions!$C$5,C908)),Assumptions!$D$5,IF(ISNUMBER(SEARCH(Assumptions!$C$6,C908)),Assumptions!$D$6,IF(ISNUMBER(SEARCH(Assumptions!$C$7,C908)),Assumptions!$D$7,"Other Services"))),"Other Services"))</f>
        <v/>
      </c>
    </row>
    <row r="909" customFormat="false" ht="15" hidden="false" customHeight="false" outlineLevel="0" collapsed="false">
      <c r="F909" s="41" t="str">
        <f aca="false">IF(C909="","",IFERROR(IF(ISNUMBER(SEARCH(Assumptions!$C$5,C909)),Assumptions!$D$5,IF(ISNUMBER(SEARCH(Assumptions!$C$6,C909)),Assumptions!$D$6,IF(ISNUMBER(SEARCH(Assumptions!$C$7,C909)),Assumptions!$D$7,"Other Services"))),"Other Services"))</f>
        <v/>
      </c>
    </row>
    <row r="910" customFormat="false" ht="15" hidden="false" customHeight="false" outlineLevel="0" collapsed="false">
      <c r="F910" s="41" t="str">
        <f aca="false">IF(C910="","",IFERROR(IF(ISNUMBER(SEARCH(Assumptions!$C$5,C910)),Assumptions!$D$5,IF(ISNUMBER(SEARCH(Assumptions!$C$6,C910)),Assumptions!$D$6,IF(ISNUMBER(SEARCH(Assumptions!$C$7,C910)),Assumptions!$D$7,"Other Services"))),"Other Services"))</f>
        <v/>
      </c>
    </row>
    <row r="911" customFormat="false" ht="15" hidden="false" customHeight="false" outlineLevel="0" collapsed="false">
      <c r="F911" s="41" t="str">
        <f aca="false">IF(C911="","",IFERROR(IF(ISNUMBER(SEARCH(Assumptions!$C$5,C911)),Assumptions!$D$5,IF(ISNUMBER(SEARCH(Assumptions!$C$6,C911)),Assumptions!$D$6,IF(ISNUMBER(SEARCH(Assumptions!$C$7,C911)),Assumptions!$D$7,"Other Services"))),"Other Services"))</f>
        <v/>
      </c>
    </row>
    <row r="912" customFormat="false" ht="15" hidden="false" customHeight="false" outlineLevel="0" collapsed="false">
      <c r="F912" s="41" t="str">
        <f aca="false">IF(C912="","",IFERROR(IF(ISNUMBER(SEARCH(Assumptions!$C$5,C912)),Assumptions!$D$5,IF(ISNUMBER(SEARCH(Assumptions!$C$6,C912)),Assumptions!$D$6,IF(ISNUMBER(SEARCH(Assumptions!$C$7,C912)),Assumptions!$D$7,"Other Services"))),"Other Services"))</f>
        <v/>
      </c>
    </row>
    <row r="913" customFormat="false" ht="15" hidden="false" customHeight="false" outlineLevel="0" collapsed="false">
      <c r="F913" s="41" t="str">
        <f aca="false">IF(C913="","",IFERROR(IF(ISNUMBER(SEARCH(Assumptions!$C$5,C913)),Assumptions!$D$5,IF(ISNUMBER(SEARCH(Assumptions!$C$6,C913)),Assumptions!$D$6,IF(ISNUMBER(SEARCH(Assumptions!$C$7,C913)),Assumptions!$D$7,"Other Services"))),"Other Services"))</f>
        <v/>
      </c>
    </row>
    <row r="914" customFormat="false" ht="15" hidden="false" customHeight="false" outlineLevel="0" collapsed="false">
      <c r="F914" s="41" t="str">
        <f aca="false">IF(C914="","",IFERROR(IF(ISNUMBER(SEARCH(Assumptions!$C$5,C914)),Assumptions!$D$5,IF(ISNUMBER(SEARCH(Assumptions!$C$6,C914)),Assumptions!$D$6,IF(ISNUMBER(SEARCH(Assumptions!$C$7,C914)),Assumptions!$D$7,"Other Services"))),"Other Services"))</f>
        <v/>
      </c>
    </row>
    <row r="915" customFormat="false" ht="15" hidden="false" customHeight="false" outlineLevel="0" collapsed="false">
      <c r="F915" s="41" t="str">
        <f aca="false">IF(C915="","",IFERROR(IF(ISNUMBER(SEARCH(Assumptions!$C$5,C915)),Assumptions!$D$5,IF(ISNUMBER(SEARCH(Assumptions!$C$6,C915)),Assumptions!$D$6,IF(ISNUMBER(SEARCH(Assumptions!$C$7,C915)),Assumptions!$D$7,"Other Services"))),"Other Services"))</f>
        <v/>
      </c>
    </row>
    <row r="916" customFormat="false" ht="15" hidden="false" customHeight="false" outlineLevel="0" collapsed="false">
      <c r="F916" s="41" t="str">
        <f aca="false">IF(C916="","",IFERROR(IF(ISNUMBER(SEARCH(Assumptions!$C$5,C916)),Assumptions!$D$5,IF(ISNUMBER(SEARCH(Assumptions!$C$6,C916)),Assumptions!$D$6,IF(ISNUMBER(SEARCH(Assumptions!$C$7,C916)),Assumptions!$D$7,"Other Services"))),"Other Services"))</f>
        <v/>
      </c>
    </row>
    <row r="917" customFormat="false" ht="15" hidden="false" customHeight="false" outlineLevel="0" collapsed="false">
      <c r="F917" s="41" t="str">
        <f aca="false">IF(C917="","",IFERROR(IF(ISNUMBER(SEARCH(Assumptions!$C$5,C917)),Assumptions!$D$5,IF(ISNUMBER(SEARCH(Assumptions!$C$6,C917)),Assumptions!$D$6,IF(ISNUMBER(SEARCH(Assumptions!$C$7,C917)),Assumptions!$D$7,"Other Services"))),"Other Services"))</f>
        <v/>
      </c>
    </row>
    <row r="918" customFormat="false" ht="15" hidden="false" customHeight="false" outlineLevel="0" collapsed="false">
      <c r="F918" s="41" t="str">
        <f aca="false">IF(C918="","",IFERROR(IF(ISNUMBER(SEARCH(Assumptions!$C$5,C918)),Assumptions!$D$5,IF(ISNUMBER(SEARCH(Assumptions!$C$6,C918)),Assumptions!$D$6,IF(ISNUMBER(SEARCH(Assumptions!$C$7,C918)),Assumptions!$D$7,"Other Services"))),"Other Services"))</f>
        <v/>
      </c>
    </row>
    <row r="919" customFormat="false" ht="15" hidden="false" customHeight="false" outlineLevel="0" collapsed="false">
      <c r="F919" s="41" t="str">
        <f aca="false">IF(C919="","",IFERROR(IF(ISNUMBER(SEARCH(Assumptions!$C$5,C919)),Assumptions!$D$5,IF(ISNUMBER(SEARCH(Assumptions!$C$6,C919)),Assumptions!$D$6,IF(ISNUMBER(SEARCH(Assumptions!$C$7,C919)),Assumptions!$D$7,"Other Services"))),"Other Services"))</f>
        <v/>
      </c>
    </row>
    <row r="920" customFormat="false" ht="15" hidden="false" customHeight="false" outlineLevel="0" collapsed="false">
      <c r="F920" s="41" t="str">
        <f aca="false">IF(C920="","",IFERROR(IF(ISNUMBER(SEARCH(Assumptions!$C$5,C920)),Assumptions!$D$5,IF(ISNUMBER(SEARCH(Assumptions!$C$6,C920)),Assumptions!$D$6,IF(ISNUMBER(SEARCH(Assumptions!$C$7,C920)),Assumptions!$D$7,"Other Services"))),"Other Services"))</f>
        <v/>
      </c>
    </row>
    <row r="921" customFormat="false" ht="15" hidden="false" customHeight="false" outlineLevel="0" collapsed="false">
      <c r="F921" s="41" t="str">
        <f aca="false">IF(C921="","",IFERROR(IF(ISNUMBER(SEARCH(Assumptions!$C$5,C921)),Assumptions!$D$5,IF(ISNUMBER(SEARCH(Assumptions!$C$6,C921)),Assumptions!$D$6,IF(ISNUMBER(SEARCH(Assumptions!$C$7,C921)),Assumptions!$D$7,"Other Services"))),"Other Services"))</f>
        <v/>
      </c>
    </row>
    <row r="922" customFormat="false" ht="15" hidden="false" customHeight="false" outlineLevel="0" collapsed="false">
      <c r="F922" s="41" t="str">
        <f aca="false">IF(C922="","",IFERROR(IF(ISNUMBER(SEARCH(Assumptions!$C$5,C922)),Assumptions!$D$5,IF(ISNUMBER(SEARCH(Assumptions!$C$6,C922)),Assumptions!$D$6,IF(ISNUMBER(SEARCH(Assumptions!$C$7,C922)),Assumptions!$D$7,"Other Services"))),"Other Services"))</f>
        <v/>
      </c>
    </row>
    <row r="923" customFormat="false" ht="15" hidden="false" customHeight="false" outlineLevel="0" collapsed="false">
      <c r="F923" s="41" t="str">
        <f aca="false">IF(C923="","",IFERROR(IF(ISNUMBER(SEARCH(Assumptions!$C$5,C923)),Assumptions!$D$5,IF(ISNUMBER(SEARCH(Assumptions!$C$6,C923)),Assumptions!$D$6,IF(ISNUMBER(SEARCH(Assumptions!$C$7,C923)),Assumptions!$D$7,"Other Services"))),"Other Services"))</f>
        <v/>
      </c>
    </row>
    <row r="924" customFormat="false" ht="15" hidden="false" customHeight="false" outlineLevel="0" collapsed="false">
      <c r="F924" s="41" t="str">
        <f aca="false">IF(C924="","",IFERROR(IF(ISNUMBER(SEARCH(Assumptions!$C$5,C924)),Assumptions!$D$5,IF(ISNUMBER(SEARCH(Assumptions!$C$6,C924)),Assumptions!$D$6,IF(ISNUMBER(SEARCH(Assumptions!$C$7,C924)),Assumptions!$D$7,"Other Services"))),"Other Services"))</f>
        <v/>
      </c>
    </row>
    <row r="925" customFormat="false" ht="15" hidden="false" customHeight="false" outlineLevel="0" collapsed="false">
      <c r="F925" s="41" t="str">
        <f aca="false">IF(C925="","",IFERROR(IF(ISNUMBER(SEARCH(Assumptions!$C$5,C925)),Assumptions!$D$5,IF(ISNUMBER(SEARCH(Assumptions!$C$6,C925)),Assumptions!$D$6,IF(ISNUMBER(SEARCH(Assumptions!$C$7,C925)),Assumptions!$D$7,"Other Services"))),"Other Services"))</f>
        <v/>
      </c>
    </row>
    <row r="926" customFormat="false" ht="15" hidden="false" customHeight="false" outlineLevel="0" collapsed="false">
      <c r="F926" s="41" t="str">
        <f aca="false">IF(C926="","",IFERROR(IF(ISNUMBER(SEARCH(Assumptions!$C$5,C926)),Assumptions!$D$5,IF(ISNUMBER(SEARCH(Assumptions!$C$6,C926)),Assumptions!$D$6,IF(ISNUMBER(SEARCH(Assumptions!$C$7,C926)),Assumptions!$D$7,"Other Services"))),"Other Services"))</f>
        <v/>
      </c>
    </row>
    <row r="927" customFormat="false" ht="15" hidden="false" customHeight="false" outlineLevel="0" collapsed="false">
      <c r="F927" s="41" t="str">
        <f aca="false">IF(C927="","",IFERROR(IF(ISNUMBER(SEARCH(Assumptions!$C$5,C927)),Assumptions!$D$5,IF(ISNUMBER(SEARCH(Assumptions!$C$6,C927)),Assumptions!$D$6,IF(ISNUMBER(SEARCH(Assumptions!$C$7,C927)),Assumptions!$D$7,"Other Services"))),"Other Services"))</f>
        <v/>
      </c>
    </row>
    <row r="928" customFormat="false" ht="15" hidden="false" customHeight="false" outlineLevel="0" collapsed="false">
      <c r="F928" s="41" t="str">
        <f aca="false">IF(C928="","",IFERROR(IF(ISNUMBER(SEARCH(Assumptions!$C$5,C928)),Assumptions!$D$5,IF(ISNUMBER(SEARCH(Assumptions!$C$6,C928)),Assumptions!$D$6,IF(ISNUMBER(SEARCH(Assumptions!$C$7,C928)),Assumptions!$D$7,"Other Services"))),"Other Services"))</f>
        <v/>
      </c>
    </row>
    <row r="929" customFormat="false" ht="15" hidden="false" customHeight="false" outlineLevel="0" collapsed="false">
      <c r="F929" s="41" t="str">
        <f aca="false">IF(C929="","",IFERROR(IF(ISNUMBER(SEARCH(Assumptions!$C$5,C929)),Assumptions!$D$5,IF(ISNUMBER(SEARCH(Assumptions!$C$6,C929)),Assumptions!$D$6,IF(ISNUMBER(SEARCH(Assumptions!$C$7,C929)),Assumptions!$D$7,"Other Services"))),"Other Services"))</f>
        <v/>
      </c>
    </row>
    <row r="930" customFormat="false" ht="15" hidden="false" customHeight="false" outlineLevel="0" collapsed="false">
      <c r="F930" s="41" t="str">
        <f aca="false">IF(C930="","",IFERROR(IF(ISNUMBER(SEARCH(Assumptions!$C$5,C930)),Assumptions!$D$5,IF(ISNUMBER(SEARCH(Assumptions!$C$6,C930)),Assumptions!$D$6,IF(ISNUMBER(SEARCH(Assumptions!$C$7,C930)),Assumptions!$D$7,"Other Services"))),"Other Services"))</f>
        <v/>
      </c>
    </row>
    <row r="931" customFormat="false" ht="15" hidden="false" customHeight="false" outlineLevel="0" collapsed="false">
      <c r="F931" s="41" t="str">
        <f aca="false">IF(C931="","",IFERROR(IF(ISNUMBER(SEARCH(Assumptions!$C$5,C931)),Assumptions!$D$5,IF(ISNUMBER(SEARCH(Assumptions!$C$6,C931)),Assumptions!$D$6,IF(ISNUMBER(SEARCH(Assumptions!$C$7,C931)),Assumptions!$D$7,"Other Services"))),"Other Services"))</f>
        <v/>
      </c>
    </row>
    <row r="932" customFormat="false" ht="15" hidden="false" customHeight="false" outlineLevel="0" collapsed="false">
      <c r="F932" s="41" t="str">
        <f aca="false">IF(C932="","",IFERROR(IF(ISNUMBER(SEARCH(Assumptions!$C$5,C932)),Assumptions!$D$5,IF(ISNUMBER(SEARCH(Assumptions!$C$6,C932)),Assumptions!$D$6,IF(ISNUMBER(SEARCH(Assumptions!$C$7,C932)),Assumptions!$D$7,"Other Services"))),"Other Services"))</f>
        <v/>
      </c>
    </row>
    <row r="933" customFormat="false" ht="15" hidden="false" customHeight="false" outlineLevel="0" collapsed="false">
      <c r="F933" s="41" t="str">
        <f aca="false">IF(C933="","",IFERROR(IF(ISNUMBER(SEARCH(Assumptions!$C$5,C933)),Assumptions!$D$5,IF(ISNUMBER(SEARCH(Assumptions!$C$6,C933)),Assumptions!$D$6,IF(ISNUMBER(SEARCH(Assumptions!$C$7,C933)),Assumptions!$D$7,"Other Services"))),"Other Services"))</f>
        <v/>
      </c>
    </row>
    <row r="934" customFormat="false" ht="15" hidden="false" customHeight="false" outlineLevel="0" collapsed="false">
      <c r="F934" s="41" t="str">
        <f aca="false">IF(C934="","",IFERROR(IF(ISNUMBER(SEARCH(Assumptions!$C$5,C934)),Assumptions!$D$5,IF(ISNUMBER(SEARCH(Assumptions!$C$6,C934)),Assumptions!$D$6,IF(ISNUMBER(SEARCH(Assumptions!$C$7,C934)),Assumptions!$D$7,"Other Services"))),"Other Services"))</f>
        <v/>
      </c>
    </row>
    <row r="935" customFormat="false" ht="15" hidden="false" customHeight="false" outlineLevel="0" collapsed="false">
      <c r="F935" s="41" t="str">
        <f aca="false">IF(C935="","",IFERROR(IF(ISNUMBER(SEARCH(Assumptions!$C$5,C935)),Assumptions!$D$5,IF(ISNUMBER(SEARCH(Assumptions!$C$6,C935)),Assumptions!$D$6,IF(ISNUMBER(SEARCH(Assumptions!$C$7,C935)),Assumptions!$D$7,"Other Services"))),"Other Services"))</f>
        <v/>
      </c>
    </row>
    <row r="936" customFormat="false" ht="15" hidden="false" customHeight="false" outlineLevel="0" collapsed="false">
      <c r="F936" s="41" t="str">
        <f aca="false">IF(C936="","",IFERROR(IF(ISNUMBER(SEARCH(Assumptions!$C$5,C936)),Assumptions!$D$5,IF(ISNUMBER(SEARCH(Assumptions!$C$6,C936)),Assumptions!$D$6,IF(ISNUMBER(SEARCH(Assumptions!$C$7,C936)),Assumptions!$D$7,"Other Services"))),"Other Services"))</f>
        <v/>
      </c>
    </row>
    <row r="937" customFormat="false" ht="15" hidden="false" customHeight="false" outlineLevel="0" collapsed="false">
      <c r="F937" s="41" t="str">
        <f aca="false">IF(C937="","",IFERROR(IF(ISNUMBER(SEARCH(Assumptions!$C$5,C937)),Assumptions!$D$5,IF(ISNUMBER(SEARCH(Assumptions!$C$6,C937)),Assumptions!$D$6,IF(ISNUMBER(SEARCH(Assumptions!$C$7,C937)),Assumptions!$D$7,"Other Services"))),"Other Services"))</f>
        <v/>
      </c>
    </row>
    <row r="938" customFormat="false" ht="15" hidden="false" customHeight="false" outlineLevel="0" collapsed="false">
      <c r="F938" s="41" t="str">
        <f aca="false">IF(C938="","",IFERROR(IF(ISNUMBER(SEARCH(Assumptions!$C$5,C938)),Assumptions!$D$5,IF(ISNUMBER(SEARCH(Assumptions!$C$6,C938)),Assumptions!$D$6,IF(ISNUMBER(SEARCH(Assumptions!$C$7,C938)),Assumptions!$D$7,"Other Services"))),"Other Services"))</f>
        <v/>
      </c>
    </row>
    <row r="939" customFormat="false" ht="15" hidden="false" customHeight="false" outlineLevel="0" collapsed="false">
      <c r="F939" s="41" t="str">
        <f aca="false">IF(C939="","",IFERROR(IF(ISNUMBER(SEARCH(Assumptions!$C$5,C939)),Assumptions!$D$5,IF(ISNUMBER(SEARCH(Assumptions!$C$6,C939)),Assumptions!$D$6,IF(ISNUMBER(SEARCH(Assumptions!$C$7,C939)),Assumptions!$D$7,"Other Services"))),"Other Services"))</f>
        <v/>
      </c>
    </row>
    <row r="940" customFormat="false" ht="15" hidden="false" customHeight="false" outlineLevel="0" collapsed="false">
      <c r="F940" s="41" t="str">
        <f aca="false">IF(C940="","",IFERROR(IF(ISNUMBER(SEARCH(Assumptions!$C$5,C940)),Assumptions!$D$5,IF(ISNUMBER(SEARCH(Assumptions!$C$6,C940)),Assumptions!$D$6,IF(ISNUMBER(SEARCH(Assumptions!$C$7,C940)),Assumptions!$D$7,"Other Services"))),"Other Services"))</f>
        <v/>
      </c>
    </row>
    <row r="941" customFormat="false" ht="15" hidden="false" customHeight="false" outlineLevel="0" collapsed="false">
      <c r="F941" s="41" t="str">
        <f aca="false">IF(C941="","",IFERROR(IF(ISNUMBER(SEARCH(Assumptions!$C$5,C941)),Assumptions!$D$5,IF(ISNUMBER(SEARCH(Assumptions!$C$6,C941)),Assumptions!$D$6,IF(ISNUMBER(SEARCH(Assumptions!$C$7,C941)),Assumptions!$D$7,"Other Services"))),"Other Services"))</f>
        <v/>
      </c>
    </row>
    <row r="942" customFormat="false" ht="15" hidden="false" customHeight="false" outlineLevel="0" collapsed="false">
      <c r="F942" s="41" t="str">
        <f aca="false">IF(C942="","",IFERROR(IF(ISNUMBER(SEARCH(Assumptions!$C$5,C942)),Assumptions!$D$5,IF(ISNUMBER(SEARCH(Assumptions!$C$6,C942)),Assumptions!$D$6,IF(ISNUMBER(SEARCH(Assumptions!$C$7,C942)),Assumptions!$D$7,"Other Services"))),"Other Services"))</f>
        <v/>
      </c>
    </row>
    <row r="943" customFormat="false" ht="15" hidden="false" customHeight="false" outlineLevel="0" collapsed="false">
      <c r="F943" s="41" t="str">
        <f aca="false">IF(C943="","",IFERROR(IF(ISNUMBER(SEARCH(Assumptions!$C$5,C943)),Assumptions!$D$5,IF(ISNUMBER(SEARCH(Assumptions!$C$6,C943)),Assumptions!$D$6,IF(ISNUMBER(SEARCH(Assumptions!$C$7,C943)),Assumptions!$D$7,"Other Services"))),"Other Services"))</f>
        <v/>
      </c>
    </row>
    <row r="944" customFormat="false" ht="15" hidden="false" customHeight="false" outlineLevel="0" collapsed="false">
      <c r="F944" s="41" t="str">
        <f aca="false">IF(C944="","",IFERROR(IF(ISNUMBER(SEARCH(Assumptions!$C$5,C944)),Assumptions!$D$5,IF(ISNUMBER(SEARCH(Assumptions!$C$6,C944)),Assumptions!$D$6,IF(ISNUMBER(SEARCH(Assumptions!$C$7,C944)),Assumptions!$D$7,"Other Services"))),"Other Services"))</f>
        <v/>
      </c>
    </row>
    <row r="945" customFormat="false" ht="15" hidden="false" customHeight="false" outlineLevel="0" collapsed="false">
      <c r="F945" s="41" t="str">
        <f aca="false">IF(C945="","",IFERROR(IF(ISNUMBER(SEARCH(Assumptions!$C$5,C945)),Assumptions!$D$5,IF(ISNUMBER(SEARCH(Assumptions!$C$6,C945)),Assumptions!$D$6,IF(ISNUMBER(SEARCH(Assumptions!$C$7,C945)),Assumptions!$D$7,"Other Services"))),"Other Services"))</f>
        <v/>
      </c>
    </row>
    <row r="946" customFormat="false" ht="15" hidden="false" customHeight="false" outlineLevel="0" collapsed="false">
      <c r="F946" s="41" t="str">
        <f aca="false">IF(C946="","",IFERROR(IF(ISNUMBER(SEARCH(Assumptions!$C$5,C946)),Assumptions!$D$5,IF(ISNUMBER(SEARCH(Assumptions!$C$6,C946)),Assumptions!$D$6,IF(ISNUMBER(SEARCH(Assumptions!$C$7,C946)),Assumptions!$D$7,"Other Services"))),"Other Services"))</f>
        <v/>
      </c>
    </row>
    <row r="947" customFormat="false" ht="15" hidden="false" customHeight="false" outlineLevel="0" collapsed="false">
      <c r="F947" s="41" t="str">
        <f aca="false">IF(C947="","",IFERROR(IF(ISNUMBER(SEARCH(Assumptions!$C$5,C947)),Assumptions!$D$5,IF(ISNUMBER(SEARCH(Assumptions!$C$6,C947)),Assumptions!$D$6,IF(ISNUMBER(SEARCH(Assumptions!$C$7,C947)),Assumptions!$D$7,"Other Services"))),"Other Services"))</f>
        <v/>
      </c>
    </row>
    <row r="948" customFormat="false" ht="15" hidden="false" customHeight="false" outlineLevel="0" collapsed="false">
      <c r="F948" s="41" t="str">
        <f aca="false">IF(C948="","",IFERROR(IF(ISNUMBER(SEARCH(Assumptions!$C$5,C948)),Assumptions!$D$5,IF(ISNUMBER(SEARCH(Assumptions!$C$6,C948)),Assumptions!$D$6,IF(ISNUMBER(SEARCH(Assumptions!$C$7,C948)),Assumptions!$D$7,"Other Services"))),"Other Services"))</f>
        <v/>
      </c>
    </row>
    <row r="949" customFormat="false" ht="15" hidden="false" customHeight="false" outlineLevel="0" collapsed="false">
      <c r="F949" s="41" t="str">
        <f aca="false">IF(C949="","",IFERROR(IF(ISNUMBER(SEARCH(Assumptions!$C$5,C949)),Assumptions!$D$5,IF(ISNUMBER(SEARCH(Assumptions!$C$6,C949)),Assumptions!$D$6,IF(ISNUMBER(SEARCH(Assumptions!$C$7,C949)),Assumptions!$D$7,"Other Services"))),"Other Services"))</f>
        <v/>
      </c>
    </row>
    <row r="950" customFormat="false" ht="15" hidden="false" customHeight="false" outlineLevel="0" collapsed="false">
      <c r="F950" s="41" t="str">
        <f aca="false">IF(C950="","",IFERROR(IF(ISNUMBER(SEARCH(Assumptions!$C$5,C950)),Assumptions!$D$5,IF(ISNUMBER(SEARCH(Assumptions!$C$6,C950)),Assumptions!$D$6,IF(ISNUMBER(SEARCH(Assumptions!$C$7,C950)),Assumptions!$D$7,"Other Services"))),"Other Services"))</f>
        <v/>
      </c>
    </row>
    <row r="951" customFormat="false" ht="15" hidden="false" customHeight="false" outlineLevel="0" collapsed="false">
      <c r="F951" s="41" t="str">
        <f aca="false">IF(C951="","",IFERROR(IF(ISNUMBER(SEARCH(Assumptions!$C$5,C951)),Assumptions!$D$5,IF(ISNUMBER(SEARCH(Assumptions!$C$6,C951)),Assumptions!$D$6,IF(ISNUMBER(SEARCH(Assumptions!$C$7,C951)),Assumptions!$D$7,"Other Services"))),"Other Services"))</f>
        <v/>
      </c>
    </row>
    <row r="952" customFormat="false" ht="15" hidden="false" customHeight="false" outlineLevel="0" collapsed="false">
      <c r="F952" s="41" t="str">
        <f aca="false">IF(C952="","",IFERROR(IF(ISNUMBER(SEARCH(Assumptions!$C$5,C952)),Assumptions!$D$5,IF(ISNUMBER(SEARCH(Assumptions!$C$6,C952)),Assumptions!$D$6,IF(ISNUMBER(SEARCH(Assumptions!$C$7,C952)),Assumptions!$D$7,"Other Services"))),"Other Services"))</f>
        <v/>
      </c>
    </row>
    <row r="953" customFormat="false" ht="15" hidden="false" customHeight="false" outlineLevel="0" collapsed="false">
      <c r="F953" s="41" t="str">
        <f aca="false">IF(C953="","",IFERROR(IF(ISNUMBER(SEARCH(Assumptions!$C$5,C953)),Assumptions!$D$5,IF(ISNUMBER(SEARCH(Assumptions!$C$6,C953)),Assumptions!$D$6,IF(ISNUMBER(SEARCH(Assumptions!$C$7,C953)),Assumptions!$D$7,"Other Services"))),"Other Services"))</f>
        <v/>
      </c>
    </row>
    <row r="954" customFormat="false" ht="15" hidden="false" customHeight="false" outlineLevel="0" collapsed="false">
      <c r="F954" s="41" t="str">
        <f aca="false">IF(C954="","",IFERROR(IF(ISNUMBER(SEARCH(Assumptions!$C$5,C954)),Assumptions!$D$5,IF(ISNUMBER(SEARCH(Assumptions!$C$6,C954)),Assumptions!$D$6,IF(ISNUMBER(SEARCH(Assumptions!$C$7,C954)),Assumptions!$D$7,"Other Services"))),"Other Services"))</f>
        <v/>
      </c>
    </row>
    <row r="955" customFormat="false" ht="15" hidden="false" customHeight="false" outlineLevel="0" collapsed="false">
      <c r="F955" s="41" t="str">
        <f aca="false">IF(C955="","",IFERROR(IF(ISNUMBER(SEARCH(Assumptions!$C$5,C955)),Assumptions!$D$5,IF(ISNUMBER(SEARCH(Assumptions!$C$6,C955)),Assumptions!$D$6,IF(ISNUMBER(SEARCH(Assumptions!$C$7,C955)),Assumptions!$D$7,"Other Services"))),"Other Services"))</f>
        <v/>
      </c>
    </row>
    <row r="956" customFormat="false" ht="15" hidden="false" customHeight="false" outlineLevel="0" collapsed="false">
      <c r="F956" s="41" t="str">
        <f aca="false">IF(C956="","",IFERROR(IF(ISNUMBER(SEARCH(Assumptions!$C$5,C956)),Assumptions!$D$5,IF(ISNUMBER(SEARCH(Assumptions!$C$6,C956)),Assumptions!$D$6,IF(ISNUMBER(SEARCH(Assumptions!$C$7,C956)),Assumptions!$D$7,"Other Services"))),"Other Services"))</f>
        <v/>
      </c>
    </row>
    <row r="957" customFormat="false" ht="15" hidden="false" customHeight="false" outlineLevel="0" collapsed="false">
      <c r="F957" s="41" t="str">
        <f aca="false">IF(C957="","",IFERROR(IF(ISNUMBER(SEARCH(Assumptions!$C$5,C957)),Assumptions!$D$5,IF(ISNUMBER(SEARCH(Assumptions!$C$6,C957)),Assumptions!$D$6,IF(ISNUMBER(SEARCH(Assumptions!$C$7,C957)),Assumptions!$D$7,"Other Services"))),"Other Services"))</f>
        <v/>
      </c>
    </row>
    <row r="958" customFormat="false" ht="15" hidden="false" customHeight="false" outlineLevel="0" collapsed="false">
      <c r="F958" s="41" t="str">
        <f aca="false">IF(C958="","",IFERROR(IF(ISNUMBER(SEARCH(Assumptions!$C$5,C958)),Assumptions!$D$5,IF(ISNUMBER(SEARCH(Assumptions!$C$6,C958)),Assumptions!$D$6,IF(ISNUMBER(SEARCH(Assumptions!$C$7,C958)),Assumptions!$D$7,"Other Services"))),"Other Services"))</f>
        <v/>
      </c>
    </row>
    <row r="959" customFormat="false" ht="15" hidden="false" customHeight="false" outlineLevel="0" collapsed="false">
      <c r="F959" s="41" t="str">
        <f aca="false">IF(C959="","",IFERROR(IF(ISNUMBER(SEARCH(Assumptions!$C$5,C959)),Assumptions!$D$5,IF(ISNUMBER(SEARCH(Assumptions!$C$6,C959)),Assumptions!$D$6,IF(ISNUMBER(SEARCH(Assumptions!$C$7,C959)),Assumptions!$D$7,"Other Services"))),"Other Services"))</f>
        <v/>
      </c>
    </row>
    <row r="960" customFormat="false" ht="15" hidden="false" customHeight="false" outlineLevel="0" collapsed="false">
      <c r="F960" s="41" t="str">
        <f aca="false">IF(C960="","",IFERROR(IF(ISNUMBER(SEARCH(Assumptions!$C$5,C960)),Assumptions!$D$5,IF(ISNUMBER(SEARCH(Assumptions!$C$6,C960)),Assumptions!$D$6,IF(ISNUMBER(SEARCH(Assumptions!$C$7,C960)),Assumptions!$D$7,"Other Services"))),"Other Services"))</f>
        <v/>
      </c>
    </row>
    <row r="961" customFormat="false" ht="15" hidden="false" customHeight="false" outlineLevel="0" collapsed="false">
      <c r="F961" s="41" t="str">
        <f aca="false">IF(C961="","",IFERROR(IF(ISNUMBER(SEARCH(Assumptions!$C$5,C961)),Assumptions!$D$5,IF(ISNUMBER(SEARCH(Assumptions!$C$6,C961)),Assumptions!$D$6,IF(ISNUMBER(SEARCH(Assumptions!$C$7,C961)),Assumptions!$D$7,"Other Services"))),"Other Services"))</f>
        <v/>
      </c>
    </row>
    <row r="962" customFormat="false" ht="15" hidden="false" customHeight="false" outlineLevel="0" collapsed="false">
      <c r="F962" s="41" t="str">
        <f aca="false">IF(C962="","",IFERROR(IF(ISNUMBER(SEARCH(Assumptions!$C$5,C962)),Assumptions!$D$5,IF(ISNUMBER(SEARCH(Assumptions!$C$6,C962)),Assumptions!$D$6,IF(ISNUMBER(SEARCH(Assumptions!$C$7,C962)),Assumptions!$D$7,"Other Services"))),"Other Services"))</f>
        <v/>
      </c>
    </row>
    <row r="963" customFormat="false" ht="15" hidden="false" customHeight="false" outlineLevel="0" collapsed="false">
      <c r="F963" s="41" t="str">
        <f aca="false">IF(C963="","",IFERROR(IF(ISNUMBER(SEARCH(Assumptions!$C$5,C963)),Assumptions!$D$5,IF(ISNUMBER(SEARCH(Assumptions!$C$6,C963)),Assumptions!$D$6,IF(ISNUMBER(SEARCH(Assumptions!$C$7,C963)),Assumptions!$D$7,"Other Services"))),"Other Services"))</f>
        <v/>
      </c>
    </row>
    <row r="964" customFormat="false" ht="15" hidden="false" customHeight="false" outlineLevel="0" collapsed="false">
      <c r="F964" s="41" t="str">
        <f aca="false">IF(C964="","",IFERROR(IF(ISNUMBER(SEARCH(Assumptions!$C$5,C964)),Assumptions!$D$5,IF(ISNUMBER(SEARCH(Assumptions!$C$6,C964)),Assumptions!$D$6,IF(ISNUMBER(SEARCH(Assumptions!$C$7,C964)),Assumptions!$D$7,"Other Services"))),"Other Services"))</f>
        <v/>
      </c>
    </row>
    <row r="965" customFormat="false" ht="15" hidden="false" customHeight="false" outlineLevel="0" collapsed="false">
      <c r="F965" s="41" t="str">
        <f aca="false">IF(C965="","",IFERROR(IF(ISNUMBER(SEARCH(Assumptions!$C$5,C965)),Assumptions!$D$5,IF(ISNUMBER(SEARCH(Assumptions!$C$6,C965)),Assumptions!$D$6,IF(ISNUMBER(SEARCH(Assumptions!$C$7,C965)),Assumptions!$D$7,"Other Services"))),"Other Services"))</f>
        <v/>
      </c>
    </row>
    <row r="966" customFormat="false" ht="15" hidden="false" customHeight="false" outlineLevel="0" collapsed="false">
      <c r="F966" s="41" t="str">
        <f aca="false">IF(C966="","",IFERROR(IF(ISNUMBER(SEARCH(Assumptions!$C$5,C966)),Assumptions!$D$5,IF(ISNUMBER(SEARCH(Assumptions!$C$6,C966)),Assumptions!$D$6,IF(ISNUMBER(SEARCH(Assumptions!$C$7,C966)),Assumptions!$D$7,"Other Services"))),"Other Services"))</f>
        <v/>
      </c>
    </row>
    <row r="967" customFormat="false" ht="15" hidden="false" customHeight="false" outlineLevel="0" collapsed="false">
      <c r="F967" s="41" t="str">
        <f aca="false">IF(C967="","",IFERROR(IF(ISNUMBER(SEARCH(Assumptions!$C$5,C967)),Assumptions!$D$5,IF(ISNUMBER(SEARCH(Assumptions!$C$6,C967)),Assumptions!$D$6,IF(ISNUMBER(SEARCH(Assumptions!$C$7,C967)),Assumptions!$D$7,"Other Services"))),"Other Services"))</f>
        <v/>
      </c>
    </row>
    <row r="968" customFormat="false" ht="15" hidden="false" customHeight="false" outlineLevel="0" collapsed="false">
      <c r="F968" s="41" t="str">
        <f aca="false">IF(C968="","",IFERROR(IF(ISNUMBER(SEARCH(Assumptions!$C$5,C968)),Assumptions!$D$5,IF(ISNUMBER(SEARCH(Assumptions!$C$6,C968)),Assumptions!$D$6,IF(ISNUMBER(SEARCH(Assumptions!$C$7,C968)),Assumptions!$D$7,"Other Services"))),"Other Services"))</f>
        <v/>
      </c>
    </row>
    <row r="969" customFormat="false" ht="15" hidden="false" customHeight="false" outlineLevel="0" collapsed="false">
      <c r="F969" s="41" t="str">
        <f aca="false">IF(C969="","",IFERROR(IF(ISNUMBER(SEARCH(Assumptions!$C$5,C969)),Assumptions!$D$5,IF(ISNUMBER(SEARCH(Assumptions!$C$6,C969)),Assumptions!$D$6,IF(ISNUMBER(SEARCH(Assumptions!$C$7,C969)),Assumptions!$D$7,"Other Services"))),"Other Services"))</f>
        <v/>
      </c>
    </row>
    <row r="970" customFormat="false" ht="15" hidden="false" customHeight="false" outlineLevel="0" collapsed="false">
      <c r="F970" s="41" t="str">
        <f aca="false">IF(C970="","",IFERROR(IF(ISNUMBER(SEARCH(Assumptions!$C$5,C970)),Assumptions!$D$5,IF(ISNUMBER(SEARCH(Assumptions!$C$6,C970)),Assumptions!$D$6,IF(ISNUMBER(SEARCH(Assumptions!$C$7,C970)),Assumptions!$D$7,"Other Services"))),"Other Services"))</f>
        <v/>
      </c>
    </row>
    <row r="971" customFormat="false" ht="15" hidden="false" customHeight="false" outlineLevel="0" collapsed="false">
      <c r="F971" s="41" t="str">
        <f aca="false">IF(C971="","",IFERROR(IF(ISNUMBER(SEARCH(Assumptions!$C$5,C971)),Assumptions!$D$5,IF(ISNUMBER(SEARCH(Assumptions!$C$6,C971)),Assumptions!$D$6,IF(ISNUMBER(SEARCH(Assumptions!$C$7,C971)),Assumptions!$D$7,"Other Services"))),"Other Services"))</f>
        <v/>
      </c>
    </row>
    <row r="972" customFormat="false" ht="15" hidden="false" customHeight="false" outlineLevel="0" collapsed="false">
      <c r="F972" s="41" t="str">
        <f aca="false">IF(C972="","",IFERROR(IF(ISNUMBER(SEARCH(Assumptions!$C$5,C972)),Assumptions!$D$5,IF(ISNUMBER(SEARCH(Assumptions!$C$6,C972)),Assumptions!$D$6,IF(ISNUMBER(SEARCH(Assumptions!$C$7,C972)),Assumptions!$D$7,"Other Services"))),"Other Services"))</f>
        <v/>
      </c>
    </row>
    <row r="973" customFormat="false" ht="15" hidden="false" customHeight="false" outlineLevel="0" collapsed="false">
      <c r="F973" s="41" t="str">
        <f aca="false">IF(C973="","",IFERROR(IF(ISNUMBER(SEARCH(Assumptions!$C$5,C973)),Assumptions!$D$5,IF(ISNUMBER(SEARCH(Assumptions!$C$6,C973)),Assumptions!$D$6,IF(ISNUMBER(SEARCH(Assumptions!$C$7,C973)),Assumptions!$D$7,"Other Services"))),"Other Services"))</f>
        <v/>
      </c>
    </row>
    <row r="974" customFormat="false" ht="15" hidden="false" customHeight="false" outlineLevel="0" collapsed="false">
      <c r="F974" s="41" t="str">
        <f aca="false">IF(C974="","",IFERROR(IF(ISNUMBER(SEARCH(Assumptions!$C$5,C974)),Assumptions!$D$5,IF(ISNUMBER(SEARCH(Assumptions!$C$6,C974)),Assumptions!$D$6,IF(ISNUMBER(SEARCH(Assumptions!$C$7,C974)),Assumptions!$D$7,"Other Services"))),"Other Services"))</f>
        <v/>
      </c>
    </row>
    <row r="975" customFormat="false" ht="15" hidden="false" customHeight="false" outlineLevel="0" collapsed="false">
      <c r="F975" s="41" t="str">
        <f aca="false">IF(C975="","",IFERROR(IF(ISNUMBER(SEARCH(Assumptions!$C$5,C975)),Assumptions!$D$5,IF(ISNUMBER(SEARCH(Assumptions!$C$6,C975)),Assumptions!$D$6,IF(ISNUMBER(SEARCH(Assumptions!$C$7,C975)),Assumptions!$D$7,"Other Services"))),"Other Services"))</f>
        <v/>
      </c>
    </row>
    <row r="976" customFormat="false" ht="15" hidden="false" customHeight="false" outlineLevel="0" collapsed="false">
      <c r="F976" s="41" t="str">
        <f aca="false">IF(C976="","",IFERROR(IF(ISNUMBER(SEARCH(Assumptions!$C$5,C976)),Assumptions!$D$5,IF(ISNUMBER(SEARCH(Assumptions!$C$6,C976)),Assumptions!$D$6,IF(ISNUMBER(SEARCH(Assumptions!$C$7,C976)),Assumptions!$D$7,"Other Services"))),"Other Services"))</f>
        <v/>
      </c>
    </row>
    <row r="977" customFormat="false" ht="15" hidden="false" customHeight="false" outlineLevel="0" collapsed="false">
      <c r="F977" s="41" t="str">
        <f aca="false">IF(C977="","",IFERROR(IF(ISNUMBER(SEARCH(Assumptions!$C$5,C977)),Assumptions!$D$5,IF(ISNUMBER(SEARCH(Assumptions!$C$6,C977)),Assumptions!$D$6,IF(ISNUMBER(SEARCH(Assumptions!$C$7,C977)),Assumptions!$D$7,"Other Services"))),"Other Services"))</f>
        <v/>
      </c>
    </row>
    <row r="978" customFormat="false" ht="15" hidden="false" customHeight="false" outlineLevel="0" collapsed="false">
      <c r="F978" s="41" t="str">
        <f aca="false">IF(C978="","",IFERROR(IF(ISNUMBER(SEARCH(Assumptions!$C$5,C978)),Assumptions!$D$5,IF(ISNUMBER(SEARCH(Assumptions!$C$6,C978)),Assumptions!$D$6,IF(ISNUMBER(SEARCH(Assumptions!$C$7,C978)),Assumptions!$D$7,"Other Services"))),"Other Services"))</f>
        <v/>
      </c>
    </row>
    <row r="979" customFormat="false" ht="15" hidden="false" customHeight="false" outlineLevel="0" collapsed="false">
      <c r="F979" s="41" t="str">
        <f aca="false">IF(C979="","",IFERROR(IF(ISNUMBER(SEARCH(Assumptions!$C$5,C979)),Assumptions!$D$5,IF(ISNUMBER(SEARCH(Assumptions!$C$6,C979)),Assumptions!$D$6,IF(ISNUMBER(SEARCH(Assumptions!$C$7,C979)),Assumptions!$D$7,"Other Services"))),"Other Services"))</f>
        <v/>
      </c>
    </row>
    <row r="980" customFormat="false" ht="15" hidden="false" customHeight="false" outlineLevel="0" collapsed="false">
      <c r="F980" s="41" t="str">
        <f aca="false">IF(C980="","",IFERROR(IF(ISNUMBER(SEARCH(Assumptions!$C$5,C980)),Assumptions!$D$5,IF(ISNUMBER(SEARCH(Assumptions!$C$6,C980)),Assumptions!$D$6,IF(ISNUMBER(SEARCH(Assumptions!$C$7,C980)),Assumptions!$D$7,"Other Services"))),"Other Services"))</f>
        <v/>
      </c>
    </row>
    <row r="981" customFormat="false" ht="15" hidden="false" customHeight="false" outlineLevel="0" collapsed="false">
      <c r="F981" s="41" t="str">
        <f aca="false">IF(C981="","",IFERROR(IF(ISNUMBER(SEARCH(Assumptions!$C$5,C981)),Assumptions!$D$5,IF(ISNUMBER(SEARCH(Assumptions!$C$6,C981)),Assumptions!$D$6,IF(ISNUMBER(SEARCH(Assumptions!$C$7,C981)),Assumptions!$D$7,"Other Services"))),"Other Services"))</f>
        <v/>
      </c>
    </row>
    <row r="982" customFormat="false" ht="15" hidden="false" customHeight="false" outlineLevel="0" collapsed="false">
      <c r="F982" s="41" t="str">
        <f aca="false">IF(C982="","",IFERROR(IF(ISNUMBER(SEARCH(Assumptions!$C$5,C982)),Assumptions!$D$5,IF(ISNUMBER(SEARCH(Assumptions!$C$6,C982)),Assumptions!$D$6,IF(ISNUMBER(SEARCH(Assumptions!$C$7,C982)),Assumptions!$D$7,"Other Services"))),"Other Services"))</f>
        <v/>
      </c>
    </row>
    <row r="983" customFormat="false" ht="15" hidden="false" customHeight="false" outlineLevel="0" collapsed="false">
      <c r="F983" s="41" t="str">
        <f aca="false">IF(C983="","",IFERROR(IF(ISNUMBER(SEARCH(Assumptions!$C$5,C983)),Assumptions!$D$5,IF(ISNUMBER(SEARCH(Assumptions!$C$6,C983)),Assumptions!$D$6,IF(ISNUMBER(SEARCH(Assumptions!$C$7,C983)),Assumptions!$D$7,"Other Services"))),"Other Services"))</f>
        <v/>
      </c>
    </row>
    <row r="984" customFormat="false" ht="15" hidden="false" customHeight="false" outlineLevel="0" collapsed="false">
      <c r="F984" s="41" t="str">
        <f aca="false">IF(C984="","",IFERROR(IF(ISNUMBER(SEARCH(Assumptions!$C$5,C984)),Assumptions!$D$5,IF(ISNUMBER(SEARCH(Assumptions!$C$6,C984)),Assumptions!$D$6,IF(ISNUMBER(SEARCH(Assumptions!$C$7,C984)),Assumptions!$D$7,"Other Services"))),"Other Services"))</f>
        <v/>
      </c>
    </row>
    <row r="985" customFormat="false" ht="15" hidden="false" customHeight="false" outlineLevel="0" collapsed="false">
      <c r="F985" s="41" t="str">
        <f aca="false">IF(C985="","",IFERROR(IF(ISNUMBER(SEARCH(Assumptions!$C$5,C985)),Assumptions!$D$5,IF(ISNUMBER(SEARCH(Assumptions!$C$6,C985)),Assumptions!$D$6,IF(ISNUMBER(SEARCH(Assumptions!$C$7,C985)),Assumptions!$D$7,"Other Services"))),"Other Services"))</f>
        <v/>
      </c>
    </row>
    <row r="986" customFormat="false" ht="15" hidden="false" customHeight="false" outlineLevel="0" collapsed="false">
      <c r="F986" s="41" t="str">
        <f aca="false">IF(C986="","",IFERROR(IF(ISNUMBER(SEARCH(Assumptions!$C$5,C986)),Assumptions!$D$5,IF(ISNUMBER(SEARCH(Assumptions!$C$6,C986)),Assumptions!$D$6,IF(ISNUMBER(SEARCH(Assumptions!$C$7,C986)),Assumptions!$D$7,"Other Services"))),"Other Services"))</f>
        <v/>
      </c>
    </row>
    <row r="987" customFormat="false" ht="15" hidden="false" customHeight="false" outlineLevel="0" collapsed="false">
      <c r="F987" s="41" t="str">
        <f aca="false">IF(C987="","",IFERROR(IF(ISNUMBER(SEARCH(Assumptions!$C$5,C987)),Assumptions!$D$5,IF(ISNUMBER(SEARCH(Assumptions!$C$6,C987)),Assumptions!$D$6,IF(ISNUMBER(SEARCH(Assumptions!$C$7,C987)),Assumptions!$D$7,"Other Services"))),"Other Services"))</f>
        <v/>
      </c>
    </row>
    <row r="988" customFormat="false" ht="15" hidden="false" customHeight="false" outlineLevel="0" collapsed="false">
      <c r="F988" s="41" t="str">
        <f aca="false">IF(C988="","",IFERROR(IF(ISNUMBER(SEARCH(Assumptions!$C$5,C988)),Assumptions!$D$5,IF(ISNUMBER(SEARCH(Assumptions!$C$6,C988)),Assumptions!$D$6,IF(ISNUMBER(SEARCH(Assumptions!$C$7,C988)),Assumptions!$D$7,"Other Services"))),"Other Services"))</f>
        <v/>
      </c>
    </row>
    <row r="989" customFormat="false" ht="15" hidden="false" customHeight="false" outlineLevel="0" collapsed="false">
      <c r="F989" s="41" t="str">
        <f aca="false">IF(C989="","",IFERROR(IF(ISNUMBER(SEARCH(Assumptions!$C$5,C989)),Assumptions!$D$5,IF(ISNUMBER(SEARCH(Assumptions!$C$6,C989)),Assumptions!$D$6,IF(ISNUMBER(SEARCH(Assumptions!$C$7,C989)),Assumptions!$D$7,"Other Services"))),"Other Services"))</f>
        <v/>
      </c>
    </row>
    <row r="990" customFormat="false" ht="15" hidden="false" customHeight="false" outlineLevel="0" collapsed="false">
      <c r="F990" s="41" t="str">
        <f aca="false">IF(C990="","",IFERROR(IF(ISNUMBER(SEARCH(Assumptions!$C$5,C990)),Assumptions!$D$5,IF(ISNUMBER(SEARCH(Assumptions!$C$6,C990)),Assumptions!$D$6,IF(ISNUMBER(SEARCH(Assumptions!$C$7,C990)),Assumptions!$D$7,"Other Services"))),"Other Services"))</f>
        <v/>
      </c>
    </row>
    <row r="991" customFormat="false" ht="15" hidden="false" customHeight="false" outlineLevel="0" collapsed="false">
      <c r="F991" s="41" t="str">
        <f aca="false">IF(C991="","",IFERROR(IF(ISNUMBER(SEARCH(Assumptions!$C$5,C991)),Assumptions!$D$5,IF(ISNUMBER(SEARCH(Assumptions!$C$6,C991)),Assumptions!$D$6,IF(ISNUMBER(SEARCH(Assumptions!$C$7,C991)),Assumptions!$D$7,"Other Services"))),"Other Services"))</f>
        <v/>
      </c>
    </row>
    <row r="992" customFormat="false" ht="15" hidden="false" customHeight="false" outlineLevel="0" collapsed="false">
      <c r="F992" s="41" t="str">
        <f aca="false">IF(C992="","",IFERROR(IF(ISNUMBER(SEARCH(Assumptions!$C$5,C992)),Assumptions!$D$5,IF(ISNUMBER(SEARCH(Assumptions!$C$6,C992)),Assumptions!$D$6,IF(ISNUMBER(SEARCH(Assumptions!$C$7,C992)),Assumptions!$D$7,"Other Services"))),"Other Services"))</f>
        <v/>
      </c>
    </row>
    <row r="993" customFormat="false" ht="15" hidden="false" customHeight="false" outlineLevel="0" collapsed="false">
      <c r="F993" s="41" t="str">
        <f aca="false">IF(C993="","",IFERROR(IF(ISNUMBER(SEARCH(Assumptions!$C$5,C993)),Assumptions!$D$5,IF(ISNUMBER(SEARCH(Assumptions!$C$6,C993)),Assumptions!$D$6,IF(ISNUMBER(SEARCH(Assumptions!$C$7,C993)),Assumptions!$D$7,"Other Services"))),"Other Services"))</f>
        <v/>
      </c>
    </row>
    <row r="994" customFormat="false" ht="15" hidden="false" customHeight="false" outlineLevel="0" collapsed="false">
      <c r="F994" s="41" t="str">
        <f aca="false">IF(C994="","",IFERROR(IF(ISNUMBER(SEARCH(Assumptions!$C$5,C994)),Assumptions!$D$5,IF(ISNUMBER(SEARCH(Assumptions!$C$6,C994)),Assumptions!$D$6,IF(ISNUMBER(SEARCH(Assumptions!$C$7,C994)),Assumptions!$D$7,"Other Services"))),"Other Services"))</f>
        <v/>
      </c>
    </row>
    <row r="995" customFormat="false" ht="15" hidden="false" customHeight="false" outlineLevel="0" collapsed="false">
      <c r="F995" s="41" t="str">
        <f aca="false">IF(C995="","",IFERROR(IF(ISNUMBER(SEARCH(Assumptions!$C$5,C995)),Assumptions!$D$5,IF(ISNUMBER(SEARCH(Assumptions!$C$6,C995)),Assumptions!$D$6,IF(ISNUMBER(SEARCH(Assumptions!$C$7,C995)),Assumptions!$D$7,"Other Services"))),"Other Services"))</f>
        <v/>
      </c>
    </row>
    <row r="996" customFormat="false" ht="15" hidden="false" customHeight="false" outlineLevel="0" collapsed="false">
      <c r="F996" s="41" t="str">
        <f aca="false">IF(C996="","",IFERROR(IF(ISNUMBER(SEARCH(Assumptions!$C$5,C996)),Assumptions!$D$5,IF(ISNUMBER(SEARCH(Assumptions!$C$6,C996)),Assumptions!$D$6,IF(ISNUMBER(SEARCH(Assumptions!$C$7,C996)),Assumptions!$D$7,"Other Services"))),"Other Services"))</f>
        <v/>
      </c>
    </row>
    <row r="997" customFormat="false" ht="15" hidden="false" customHeight="false" outlineLevel="0" collapsed="false">
      <c r="F997" s="41" t="str">
        <f aca="false">IF(C997="","",IFERROR(IF(ISNUMBER(SEARCH(Assumptions!$C$5,C997)),Assumptions!$D$5,IF(ISNUMBER(SEARCH(Assumptions!$C$6,C997)),Assumptions!$D$6,IF(ISNUMBER(SEARCH(Assumptions!$C$7,C997)),Assumptions!$D$7,"Other Services"))),"Other Services"))</f>
        <v/>
      </c>
    </row>
    <row r="998" customFormat="false" ht="15" hidden="false" customHeight="false" outlineLevel="0" collapsed="false">
      <c r="F998" s="41" t="str">
        <f aca="false">IF(C998="","",IFERROR(IF(ISNUMBER(SEARCH(Assumptions!$C$5,C998)),Assumptions!$D$5,IF(ISNUMBER(SEARCH(Assumptions!$C$6,C998)),Assumptions!$D$6,IF(ISNUMBER(SEARCH(Assumptions!$C$7,C998)),Assumptions!$D$7,"Other Services"))),"Other Services"))</f>
        <v/>
      </c>
    </row>
    <row r="999" customFormat="false" ht="15" hidden="false" customHeight="false" outlineLevel="0" collapsed="false">
      <c r="F999" s="41" t="str">
        <f aca="false">IF(C999="","",IFERROR(IF(ISNUMBER(SEARCH(Assumptions!$C$5,C999)),Assumptions!$D$5,IF(ISNUMBER(SEARCH(Assumptions!$C$6,C999)),Assumptions!$D$6,IF(ISNUMBER(SEARCH(Assumptions!$C$7,C999)),Assumptions!$D$7,"Other Services"))),"Other Services"))</f>
        <v/>
      </c>
    </row>
    <row r="1000" customFormat="false" ht="15" hidden="false" customHeight="false" outlineLevel="0" collapsed="false">
      <c r="F1000" s="41" t="str">
        <f aca="false">IF(C1000="","",IFERROR(IF(ISNUMBER(SEARCH(Assumptions!$C$5,C1000)),Assumptions!$D$5,IF(ISNUMBER(SEARCH(Assumptions!$C$6,C1000)),Assumptions!$D$6,IF(ISNUMBER(SEARCH(Assumptions!$C$7,C1000)),Assumptions!$D$7,"Other Services"))),"Other Services"))</f>
        <v/>
      </c>
    </row>
    <row r="1001" customFormat="false" ht="15" hidden="false" customHeight="false" outlineLevel="0" collapsed="false">
      <c r="F1001" s="41" t="str">
        <f aca="false">IF(C1001="","",IFERROR(IF(ISNUMBER(SEARCH(Assumptions!$C$5,C1001)),Assumptions!$D$5,IF(ISNUMBER(SEARCH(Assumptions!$C$6,C1001)),Assumptions!$D$6,IF(ISNUMBER(SEARCH(Assumptions!$C$7,C1001)),Assumptions!$D$7,"Other Services"))),"Other Services"))</f>
        <v/>
      </c>
    </row>
    <row r="1002" customFormat="false" ht="15" hidden="false" customHeight="false" outlineLevel="0" collapsed="false">
      <c r="F1002" s="41" t="str">
        <f aca="false">IF(C1002="","",IFERROR(IF(ISNUMBER(SEARCH(Assumptions!$C$5,C1002)),Assumptions!$D$5,IF(ISNUMBER(SEARCH(Assumptions!$C$6,C1002)),Assumptions!$D$6,IF(ISNUMBER(SEARCH(Assumptions!$C$7,C1002)),Assumptions!$D$7,"Other Services"))),"Other Services"))</f>
        <v/>
      </c>
    </row>
    <row r="1003" customFormat="false" ht="15" hidden="false" customHeight="false" outlineLevel="0" collapsed="false">
      <c r="F1003" s="41" t="str">
        <f aca="false">IF(C1003="","",IFERROR(IF(ISNUMBER(SEARCH(Assumptions!$C$5,C1003)),Assumptions!$D$5,IF(ISNUMBER(SEARCH(Assumptions!$C$6,C1003)),Assumptions!$D$6,IF(ISNUMBER(SEARCH(Assumptions!$C$7,C1003)),Assumptions!$D$7,"Other Services"))),"Other Services"))</f>
        <v/>
      </c>
    </row>
    <row r="1004" customFormat="false" ht="15" hidden="false" customHeight="false" outlineLevel="0" collapsed="false">
      <c r="F1004" s="41" t="str">
        <f aca="false">IF(C1004="","",IFERROR(IF(ISNUMBER(SEARCH(Assumptions!$C$5,C1004)),Assumptions!$D$5,IF(ISNUMBER(SEARCH(Assumptions!$C$6,C1004)),Assumptions!$D$6,IF(ISNUMBER(SEARCH(Assumptions!$C$7,C1004)),Assumptions!$D$7,"Other Services"))),"Other Services"))</f>
        <v/>
      </c>
    </row>
    <row r="1005" customFormat="false" ht="15" hidden="false" customHeight="false" outlineLevel="0" collapsed="false">
      <c r="F1005" s="41" t="str">
        <f aca="false">IF(C1005="","",IFERROR(IF(ISNUMBER(SEARCH(Assumptions!$C$5,C1005)),Assumptions!$D$5,IF(ISNUMBER(SEARCH(Assumptions!$C$6,C1005)),Assumptions!$D$6,IF(ISNUMBER(SEARCH(Assumptions!$C$7,C1005)),Assumptions!$D$7,"Other Services"))),"Other Services"))</f>
        <v/>
      </c>
    </row>
    <row r="1006" customFormat="false" ht="15" hidden="false" customHeight="false" outlineLevel="0" collapsed="false">
      <c r="F1006" s="41" t="str">
        <f aca="false">IF(C1006="","",IFERROR(IF(ISNUMBER(SEARCH(Assumptions!$C$5,C1006)),Assumptions!$D$5,IF(ISNUMBER(SEARCH(Assumptions!$C$6,C1006)),Assumptions!$D$6,IF(ISNUMBER(SEARCH(Assumptions!$C$7,C1006)),Assumptions!$D$7,"Other Services"))),"Other Services"))</f>
        <v/>
      </c>
    </row>
    <row r="1007" customFormat="false" ht="15" hidden="false" customHeight="false" outlineLevel="0" collapsed="false">
      <c r="F1007" s="41" t="str">
        <f aca="false">IF(C1007="","",IFERROR(IF(ISNUMBER(SEARCH(Assumptions!$C$5,C1007)),Assumptions!$D$5,IF(ISNUMBER(SEARCH(Assumptions!$C$6,C1007)),Assumptions!$D$6,IF(ISNUMBER(SEARCH(Assumptions!$C$7,C1007)),Assumptions!$D$7,"Other Services"))),"Other Services"))</f>
        <v/>
      </c>
    </row>
    <row r="1008" customFormat="false" ht="15" hidden="false" customHeight="false" outlineLevel="0" collapsed="false">
      <c r="F1008" s="41" t="str">
        <f aca="false">IF(C1008="","",IFERROR(IF(ISNUMBER(SEARCH(Assumptions!$C$5,C1008)),Assumptions!$D$5,IF(ISNUMBER(SEARCH(Assumptions!$C$6,C1008)),Assumptions!$D$6,IF(ISNUMBER(SEARCH(Assumptions!$C$7,C1008)),Assumptions!$D$7,"Other Services"))),"Other Services"))</f>
        <v/>
      </c>
    </row>
    <row r="1009" customFormat="false" ht="15" hidden="false" customHeight="false" outlineLevel="0" collapsed="false">
      <c r="F1009" s="41" t="str">
        <f aca="false">IF(C1009="","",IFERROR(IF(ISNUMBER(SEARCH(Assumptions!$C$5,C1009)),Assumptions!$D$5,IF(ISNUMBER(SEARCH(Assumptions!$C$6,C1009)),Assumptions!$D$6,IF(ISNUMBER(SEARCH(Assumptions!$C$7,C1009)),Assumptions!$D$7,"Other Services"))),"Other Services"))</f>
        <v/>
      </c>
    </row>
    <row r="1010" customFormat="false" ht="15" hidden="false" customHeight="false" outlineLevel="0" collapsed="false">
      <c r="F1010" s="41" t="str">
        <f aca="false">IF(C1010="","",IFERROR(IF(ISNUMBER(SEARCH(Assumptions!$C$5,C1010)),Assumptions!$D$5,IF(ISNUMBER(SEARCH(Assumptions!$C$6,C1010)),Assumptions!$D$6,IF(ISNUMBER(SEARCH(Assumptions!$C$7,C1010)),Assumptions!$D$7,"Other Services"))),"Other Services"))</f>
        <v/>
      </c>
    </row>
    <row r="1011" customFormat="false" ht="15" hidden="false" customHeight="false" outlineLevel="0" collapsed="false">
      <c r="F1011" s="41" t="str">
        <f aca="false">IF(C1011="","",IFERROR(IF(ISNUMBER(SEARCH(Assumptions!$C$5,C1011)),Assumptions!$D$5,IF(ISNUMBER(SEARCH(Assumptions!$C$6,C1011)),Assumptions!$D$6,IF(ISNUMBER(SEARCH(Assumptions!$C$7,C1011)),Assumptions!$D$7,"Other Services"))),"Other Services"))</f>
        <v/>
      </c>
    </row>
    <row r="1012" customFormat="false" ht="15" hidden="false" customHeight="false" outlineLevel="0" collapsed="false">
      <c r="F1012" s="41" t="str">
        <f aca="false">IF(C1012="","",IFERROR(IF(ISNUMBER(SEARCH(Assumptions!$C$5,C1012)),Assumptions!$D$5,IF(ISNUMBER(SEARCH(Assumptions!$C$6,C1012)),Assumptions!$D$6,IF(ISNUMBER(SEARCH(Assumptions!$C$7,C1012)),Assumptions!$D$7,"Other Services"))),"Other Services"))</f>
        <v/>
      </c>
    </row>
    <row r="1013" customFormat="false" ht="15" hidden="false" customHeight="false" outlineLevel="0" collapsed="false">
      <c r="F1013" s="41" t="str">
        <f aca="false">IF(C1013="","",IFERROR(IF(ISNUMBER(SEARCH(Assumptions!$C$5,C1013)),Assumptions!$D$5,IF(ISNUMBER(SEARCH(Assumptions!$C$6,C1013)),Assumptions!$D$6,IF(ISNUMBER(SEARCH(Assumptions!$C$7,C1013)),Assumptions!$D$7,"Other Services"))),"Other Services"))</f>
        <v/>
      </c>
    </row>
    <row r="1014" customFormat="false" ht="15" hidden="false" customHeight="false" outlineLevel="0" collapsed="false">
      <c r="F1014" s="41" t="str">
        <f aca="false">IF(C1014="","",IFERROR(IF(ISNUMBER(SEARCH(Assumptions!$C$5,C1014)),Assumptions!$D$5,IF(ISNUMBER(SEARCH(Assumptions!$C$6,C1014)),Assumptions!$D$6,IF(ISNUMBER(SEARCH(Assumptions!$C$7,C1014)),Assumptions!$D$7,"Other Services"))),"Other Services"))</f>
        <v/>
      </c>
    </row>
    <row r="1015" customFormat="false" ht="15" hidden="false" customHeight="false" outlineLevel="0" collapsed="false">
      <c r="F1015" s="41" t="str">
        <f aca="false">IF(C1015="","",IFERROR(IF(ISNUMBER(SEARCH(Assumptions!$C$5,C1015)),Assumptions!$D$5,IF(ISNUMBER(SEARCH(Assumptions!$C$6,C1015)),Assumptions!$D$6,IF(ISNUMBER(SEARCH(Assumptions!$C$7,C1015)),Assumptions!$D$7,"Other Services"))),"Other Services"))</f>
        <v/>
      </c>
    </row>
    <row r="1016" customFormat="false" ht="15" hidden="false" customHeight="false" outlineLevel="0" collapsed="false">
      <c r="F1016" s="41" t="str">
        <f aca="false">IF(C1016="","",IFERROR(IF(ISNUMBER(SEARCH(Assumptions!$C$5,C1016)),Assumptions!$D$5,IF(ISNUMBER(SEARCH(Assumptions!$C$6,C1016)),Assumptions!$D$6,IF(ISNUMBER(SEARCH(Assumptions!$C$7,C1016)),Assumptions!$D$7,"Other Services"))),"Other Services"))</f>
        <v/>
      </c>
    </row>
    <row r="1017" customFormat="false" ht="15" hidden="false" customHeight="false" outlineLevel="0" collapsed="false">
      <c r="F1017" s="41" t="str">
        <f aca="false">IF(C1017="","",IFERROR(IF(ISNUMBER(SEARCH(Assumptions!$C$5,C1017)),Assumptions!$D$5,IF(ISNUMBER(SEARCH(Assumptions!$C$6,C1017)),Assumptions!$D$6,IF(ISNUMBER(SEARCH(Assumptions!$C$7,C1017)),Assumptions!$D$7,"Other Services"))),"Other Services"))</f>
        <v/>
      </c>
    </row>
    <row r="1018" customFormat="false" ht="15" hidden="false" customHeight="false" outlineLevel="0" collapsed="false">
      <c r="F1018" s="41" t="str">
        <f aca="false">IF(C1018="","",IFERROR(IF(ISNUMBER(SEARCH(Assumptions!$C$5,C1018)),Assumptions!$D$5,IF(ISNUMBER(SEARCH(Assumptions!$C$6,C1018)),Assumptions!$D$6,IF(ISNUMBER(SEARCH(Assumptions!$C$7,C1018)),Assumptions!$D$7,"Other Services"))),"Other Services"))</f>
        <v/>
      </c>
    </row>
    <row r="1019" customFormat="false" ht="15" hidden="false" customHeight="false" outlineLevel="0" collapsed="false">
      <c r="F1019" s="41" t="str">
        <f aca="false">IF(C1019="","",IFERROR(IF(ISNUMBER(SEARCH(Assumptions!$C$5,C1019)),Assumptions!$D$5,IF(ISNUMBER(SEARCH(Assumptions!$C$6,C1019)),Assumptions!$D$6,IF(ISNUMBER(SEARCH(Assumptions!$C$7,C1019)),Assumptions!$D$7,"Other Services"))),"Other Services"))</f>
        <v/>
      </c>
    </row>
    <row r="1020" customFormat="false" ht="15" hidden="false" customHeight="false" outlineLevel="0" collapsed="false">
      <c r="F1020" s="41" t="str">
        <f aca="false">IF(C1020="","",IFERROR(IF(ISNUMBER(SEARCH(Assumptions!$C$5,C1020)),Assumptions!$D$5,IF(ISNUMBER(SEARCH(Assumptions!$C$6,C1020)),Assumptions!$D$6,IF(ISNUMBER(SEARCH(Assumptions!$C$7,C1020)),Assumptions!$D$7,"Other Services"))),"Other Services"))</f>
        <v/>
      </c>
    </row>
    <row r="1021" customFormat="false" ht="15" hidden="false" customHeight="false" outlineLevel="0" collapsed="false">
      <c r="F1021" s="41" t="str">
        <f aca="false">IF(C1021="","",IFERROR(IF(ISNUMBER(SEARCH(Assumptions!$C$5,C1021)),Assumptions!$D$5,IF(ISNUMBER(SEARCH(Assumptions!$C$6,C1021)),Assumptions!$D$6,IF(ISNUMBER(SEARCH(Assumptions!$C$7,C1021)),Assumptions!$D$7,"Other Services"))),"Other Services"))</f>
        <v/>
      </c>
    </row>
    <row r="1022" customFormat="false" ht="15" hidden="false" customHeight="false" outlineLevel="0" collapsed="false">
      <c r="F1022" s="41" t="str">
        <f aca="false">IF(C1022="","",IFERROR(IF(ISNUMBER(SEARCH(Assumptions!$C$5,C1022)),Assumptions!$D$5,IF(ISNUMBER(SEARCH(Assumptions!$C$6,C1022)),Assumptions!$D$6,IF(ISNUMBER(SEARCH(Assumptions!$C$7,C1022)),Assumptions!$D$7,"Other Services"))),"Other Services"))</f>
        <v/>
      </c>
    </row>
    <row r="1023" customFormat="false" ht="15" hidden="false" customHeight="false" outlineLevel="0" collapsed="false">
      <c r="F1023" s="41" t="str">
        <f aca="false">IF(C1023="","",IFERROR(IF(ISNUMBER(SEARCH(Assumptions!$C$5,C1023)),Assumptions!$D$5,IF(ISNUMBER(SEARCH(Assumptions!$C$6,C1023)),Assumptions!$D$6,IF(ISNUMBER(SEARCH(Assumptions!$C$7,C1023)),Assumptions!$D$7,"Other Services"))),"Other Services"))</f>
        <v/>
      </c>
    </row>
    <row r="1024" customFormat="false" ht="15" hidden="false" customHeight="false" outlineLevel="0" collapsed="false">
      <c r="F1024" s="41" t="str">
        <f aca="false">IF(C1024="","",IFERROR(IF(ISNUMBER(SEARCH(Assumptions!$C$5,C1024)),Assumptions!$D$5,IF(ISNUMBER(SEARCH(Assumptions!$C$6,C1024)),Assumptions!$D$6,IF(ISNUMBER(SEARCH(Assumptions!$C$7,C1024)),Assumptions!$D$7,"Other Services"))),"Other Services"))</f>
        <v/>
      </c>
    </row>
    <row r="1025" customFormat="false" ht="15" hidden="false" customHeight="false" outlineLevel="0" collapsed="false">
      <c r="F1025" s="41" t="str">
        <f aca="false">IF(C1025="","",IFERROR(IF(ISNUMBER(SEARCH(Assumptions!$C$5,C1025)),Assumptions!$D$5,IF(ISNUMBER(SEARCH(Assumptions!$C$6,C1025)),Assumptions!$D$6,IF(ISNUMBER(SEARCH(Assumptions!$C$7,C1025)),Assumptions!$D$7,"Other Services"))),"Other Services"))</f>
        <v/>
      </c>
    </row>
    <row r="1026" customFormat="false" ht="15" hidden="false" customHeight="false" outlineLevel="0" collapsed="false">
      <c r="F1026" s="41" t="str">
        <f aca="false">IF(C1026="","",IFERROR(IF(ISNUMBER(SEARCH(Assumptions!$C$5,C1026)),Assumptions!$D$5,IF(ISNUMBER(SEARCH(Assumptions!$C$6,C1026)),Assumptions!$D$6,IF(ISNUMBER(SEARCH(Assumptions!$C$7,C1026)),Assumptions!$D$7,"Other Services"))),"Other Services"))</f>
        <v/>
      </c>
    </row>
    <row r="1027" customFormat="false" ht="15" hidden="false" customHeight="false" outlineLevel="0" collapsed="false">
      <c r="F1027" s="41" t="str">
        <f aca="false">IF(C1027="","",IFERROR(IF(ISNUMBER(SEARCH(Assumptions!$C$5,C1027)),Assumptions!$D$5,IF(ISNUMBER(SEARCH(Assumptions!$C$6,C1027)),Assumptions!$D$6,IF(ISNUMBER(SEARCH(Assumptions!$C$7,C1027)),Assumptions!$D$7,"Other Services"))),"Other Services"))</f>
        <v/>
      </c>
    </row>
    <row r="1028" customFormat="false" ht="15" hidden="false" customHeight="false" outlineLevel="0" collapsed="false">
      <c r="F1028" s="41" t="str">
        <f aca="false">IF(C1028="","",IFERROR(IF(ISNUMBER(SEARCH(Assumptions!$C$5,C1028)),Assumptions!$D$5,IF(ISNUMBER(SEARCH(Assumptions!$C$6,C1028)),Assumptions!$D$6,IF(ISNUMBER(SEARCH(Assumptions!$C$7,C1028)),Assumptions!$D$7,"Other Services"))),"Other Services"))</f>
        <v/>
      </c>
    </row>
    <row r="1029" customFormat="false" ht="15" hidden="false" customHeight="false" outlineLevel="0" collapsed="false">
      <c r="F1029" s="41" t="str">
        <f aca="false">IF(C1029="","",IFERROR(IF(ISNUMBER(SEARCH(Assumptions!$C$5,C1029)),Assumptions!$D$5,IF(ISNUMBER(SEARCH(Assumptions!$C$6,C1029)),Assumptions!$D$6,IF(ISNUMBER(SEARCH(Assumptions!$C$7,C1029)),Assumptions!$D$7,"Other Services"))),"Other Services"))</f>
        <v/>
      </c>
    </row>
    <row r="1030" customFormat="false" ht="15" hidden="false" customHeight="false" outlineLevel="0" collapsed="false">
      <c r="F1030" s="41" t="str">
        <f aca="false">IF(C1030="","",IFERROR(IF(ISNUMBER(SEARCH(Assumptions!$C$5,C1030)),Assumptions!$D$5,IF(ISNUMBER(SEARCH(Assumptions!$C$6,C1030)),Assumptions!$D$6,IF(ISNUMBER(SEARCH(Assumptions!$C$7,C1030)),Assumptions!$D$7,"Other Services"))),"Other Services"))</f>
        <v/>
      </c>
    </row>
    <row r="1031" customFormat="false" ht="15" hidden="false" customHeight="false" outlineLevel="0" collapsed="false">
      <c r="F1031" s="41" t="str">
        <f aca="false">IF(C1031="","",IFERROR(IF(ISNUMBER(SEARCH(Assumptions!$C$5,C1031)),Assumptions!$D$5,IF(ISNUMBER(SEARCH(Assumptions!$C$6,C1031)),Assumptions!$D$6,IF(ISNUMBER(SEARCH(Assumptions!$C$7,C1031)),Assumptions!$D$7,"Other Services"))),"Other Services"))</f>
        <v/>
      </c>
    </row>
    <row r="1032" customFormat="false" ht="15" hidden="false" customHeight="false" outlineLevel="0" collapsed="false">
      <c r="F1032" s="41" t="str">
        <f aca="false">IF(C1032="","",IFERROR(IF(ISNUMBER(SEARCH(Assumptions!$C$5,C1032)),Assumptions!$D$5,IF(ISNUMBER(SEARCH(Assumptions!$C$6,C1032)),Assumptions!$D$6,IF(ISNUMBER(SEARCH(Assumptions!$C$7,C1032)),Assumptions!$D$7,"Other Services"))),"Other Services"))</f>
        <v/>
      </c>
    </row>
    <row r="1033" customFormat="false" ht="15" hidden="false" customHeight="false" outlineLevel="0" collapsed="false">
      <c r="F1033" s="41" t="str">
        <f aca="false">IF(C1033="","",IFERROR(IF(ISNUMBER(SEARCH(Assumptions!$C$5,C1033)),Assumptions!$D$5,IF(ISNUMBER(SEARCH(Assumptions!$C$6,C1033)),Assumptions!$D$6,IF(ISNUMBER(SEARCH(Assumptions!$C$7,C1033)),Assumptions!$D$7,"Other Services"))),"Other Services"))</f>
        <v/>
      </c>
    </row>
    <row r="1034" customFormat="false" ht="15" hidden="false" customHeight="false" outlineLevel="0" collapsed="false">
      <c r="F1034" s="41" t="str">
        <f aca="false">IF(C1034="","",IFERROR(IF(ISNUMBER(SEARCH(Assumptions!$C$5,C1034)),Assumptions!$D$5,IF(ISNUMBER(SEARCH(Assumptions!$C$6,C1034)),Assumptions!$D$6,IF(ISNUMBER(SEARCH(Assumptions!$C$7,C1034)),Assumptions!$D$7,"Other Services"))),"Other Services"))</f>
        <v/>
      </c>
    </row>
    <row r="1035" customFormat="false" ht="15" hidden="false" customHeight="false" outlineLevel="0" collapsed="false">
      <c r="F1035" s="41" t="str">
        <f aca="false">IF(C1035="","",IFERROR(IF(ISNUMBER(SEARCH(Assumptions!$C$5,C1035)),Assumptions!$D$5,IF(ISNUMBER(SEARCH(Assumptions!$C$6,C1035)),Assumptions!$D$6,IF(ISNUMBER(SEARCH(Assumptions!$C$7,C1035)),Assumptions!$D$7,"Other Services"))),"Other Services"))</f>
        <v/>
      </c>
    </row>
    <row r="1036" customFormat="false" ht="15" hidden="false" customHeight="false" outlineLevel="0" collapsed="false">
      <c r="F1036" s="41" t="str">
        <f aca="false">IF(C1036="","",IFERROR(IF(ISNUMBER(SEARCH(Assumptions!$C$5,C1036)),Assumptions!$D$5,IF(ISNUMBER(SEARCH(Assumptions!$C$6,C1036)),Assumptions!$D$6,IF(ISNUMBER(SEARCH(Assumptions!$C$7,C1036)),Assumptions!$D$7,"Other Services"))),"Other Services"))</f>
        <v/>
      </c>
    </row>
    <row r="1037" customFormat="false" ht="15" hidden="false" customHeight="false" outlineLevel="0" collapsed="false">
      <c r="F1037" s="41" t="str">
        <f aca="false">IF(C1037="","",IFERROR(IF(ISNUMBER(SEARCH(Assumptions!$C$5,C1037)),Assumptions!$D$5,IF(ISNUMBER(SEARCH(Assumptions!$C$6,C1037)),Assumptions!$D$6,IF(ISNUMBER(SEARCH(Assumptions!$C$7,C1037)),Assumptions!$D$7,"Other Services"))),"Other Services"))</f>
        <v/>
      </c>
    </row>
    <row r="1038" customFormat="false" ht="15" hidden="false" customHeight="false" outlineLevel="0" collapsed="false">
      <c r="F1038" s="41" t="str">
        <f aca="false">IF(C1038="","",IFERROR(IF(ISNUMBER(SEARCH(Assumptions!$C$5,C1038)),Assumptions!$D$5,IF(ISNUMBER(SEARCH(Assumptions!$C$6,C1038)),Assumptions!$D$6,IF(ISNUMBER(SEARCH(Assumptions!$C$7,C1038)),Assumptions!$D$7,"Other Services"))),"Other Services"))</f>
        <v/>
      </c>
    </row>
    <row r="1039" customFormat="false" ht="15" hidden="false" customHeight="false" outlineLevel="0" collapsed="false">
      <c r="F1039" s="41" t="str">
        <f aca="false">IF(C1039="","",IFERROR(IF(ISNUMBER(SEARCH(Assumptions!$C$5,C1039)),Assumptions!$D$5,IF(ISNUMBER(SEARCH(Assumptions!$C$6,C1039)),Assumptions!$D$6,IF(ISNUMBER(SEARCH(Assumptions!$C$7,C1039)),Assumptions!$D$7,"Other Services"))),"Other Services"))</f>
        <v/>
      </c>
    </row>
    <row r="1040" customFormat="false" ht="15" hidden="false" customHeight="false" outlineLevel="0" collapsed="false">
      <c r="F1040" s="41" t="str">
        <f aca="false">IF(C1040="","",IFERROR(IF(ISNUMBER(SEARCH(Assumptions!$C$5,C1040)),Assumptions!$D$5,IF(ISNUMBER(SEARCH(Assumptions!$C$6,C1040)),Assumptions!$D$6,IF(ISNUMBER(SEARCH(Assumptions!$C$7,C1040)),Assumptions!$D$7,"Other Services"))),"Other Services"))</f>
        <v/>
      </c>
    </row>
    <row r="1041" customFormat="false" ht="15" hidden="false" customHeight="false" outlineLevel="0" collapsed="false">
      <c r="F1041" s="41" t="str">
        <f aca="false">IF(C1041="","",IFERROR(IF(ISNUMBER(SEARCH(Assumptions!$C$5,C1041)),Assumptions!$D$5,IF(ISNUMBER(SEARCH(Assumptions!$C$6,C1041)),Assumptions!$D$6,IF(ISNUMBER(SEARCH(Assumptions!$C$7,C1041)),Assumptions!$D$7,"Other Services"))),"Other Services"))</f>
        <v/>
      </c>
    </row>
    <row r="1042" customFormat="false" ht="15" hidden="false" customHeight="false" outlineLevel="0" collapsed="false">
      <c r="F1042" s="41" t="str">
        <f aca="false">IF(C1042="","",IFERROR(IF(ISNUMBER(SEARCH(Assumptions!$C$5,C1042)),Assumptions!$D$5,IF(ISNUMBER(SEARCH(Assumptions!$C$6,C1042)),Assumptions!$D$6,IF(ISNUMBER(SEARCH(Assumptions!$C$7,C1042)),Assumptions!$D$7,"Other Services"))),"Other Services"))</f>
        <v/>
      </c>
    </row>
    <row r="1043" customFormat="false" ht="15" hidden="false" customHeight="false" outlineLevel="0" collapsed="false">
      <c r="F1043" s="41" t="str">
        <f aca="false">IF(C1043="","",IFERROR(IF(ISNUMBER(SEARCH(Assumptions!$C$5,C1043)),Assumptions!$D$5,IF(ISNUMBER(SEARCH(Assumptions!$C$6,C1043)),Assumptions!$D$6,IF(ISNUMBER(SEARCH(Assumptions!$C$7,C1043)),Assumptions!$D$7,"Other Services"))),"Other Services"))</f>
        <v/>
      </c>
    </row>
    <row r="1044" customFormat="false" ht="15" hidden="false" customHeight="false" outlineLevel="0" collapsed="false">
      <c r="F1044" s="41" t="str">
        <f aca="false">IF(C1044="","",IFERROR(IF(ISNUMBER(SEARCH(Assumptions!$C$5,C1044)),Assumptions!$D$5,IF(ISNUMBER(SEARCH(Assumptions!$C$6,C1044)),Assumptions!$D$6,IF(ISNUMBER(SEARCH(Assumptions!$C$7,C1044)),Assumptions!$D$7,"Other Services"))),"Other Services"))</f>
        <v/>
      </c>
    </row>
    <row r="1045" customFormat="false" ht="15" hidden="false" customHeight="false" outlineLevel="0" collapsed="false">
      <c r="F1045" s="41" t="str">
        <f aca="false">IF(C1045="","",IFERROR(IF(ISNUMBER(SEARCH(Assumptions!$C$5,C1045)),Assumptions!$D$5,IF(ISNUMBER(SEARCH(Assumptions!$C$6,C1045)),Assumptions!$D$6,IF(ISNUMBER(SEARCH(Assumptions!$C$7,C1045)),Assumptions!$D$7,"Other Services"))),"Other Services"))</f>
        <v/>
      </c>
    </row>
    <row r="1046" customFormat="false" ht="15" hidden="false" customHeight="false" outlineLevel="0" collapsed="false">
      <c r="F1046" s="41" t="str">
        <f aca="false">IF(C1046="","",IFERROR(IF(ISNUMBER(SEARCH(Assumptions!$C$5,C1046)),Assumptions!$D$5,IF(ISNUMBER(SEARCH(Assumptions!$C$6,C1046)),Assumptions!$D$6,IF(ISNUMBER(SEARCH(Assumptions!$C$7,C1046)),Assumptions!$D$7,"Other Services"))),"Other Services"))</f>
        <v/>
      </c>
    </row>
    <row r="1047" customFormat="false" ht="15" hidden="false" customHeight="false" outlineLevel="0" collapsed="false">
      <c r="F1047" s="41" t="str">
        <f aca="false">IF(C1047="","",IFERROR(IF(ISNUMBER(SEARCH(Assumptions!$C$5,C1047)),Assumptions!$D$5,IF(ISNUMBER(SEARCH(Assumptions!$C$6,C1047)),Assumptions!$D$6,IF(ISNUMBER(SEARCH(Assumptions!$C$7,C1047)),Assumptions!$D$7,"Other Services"))),"Other Services"))</f>
        <v/>
      </c>
    </row>
    <row r="1048" customFormat="false" ht="15" hidden="false" customHeight="false" outlineLevel="0" collapsed="false">
      <c r="F1048" s="41" t="str">
        <f aca="false">IF(C1048="","",IFERROR(IF(ISNUMBER(SEARCH(Assumptions!$C$5,C1048)),Assumptions!$D$5,IF(ISNUMBER(SEARCH(Assumptions!$C$6,C1048)),Assumptions!$D$6,IF(ISNUMBER(SEARCH(Assumptions!$C$7,C1048)),Assumptions!$D$7,"Other Services"))),"Other Services"))</f>
        <v/>
      </c>
    </row>
    <row r="1049" customFormat="false" ht="15" hidden="false" customHeight="false" outlineLevel="0" collapsed="false">
      <c r="F1049" s="41" t="str">
        <f aca="false">IF(C1049="","",IFERROR(IF(ISNUMBER(SEARCH(Assumptions!$C$5,C1049)),Assumptions!$D$5,IF(ISNUMBER(SEARCH(Assumptions!$C$6,C1049)),Assumptions!$D$6,IF(ISNUMBER(SEARCH(Assumptions!$C$7,C1049)),Assumptions!$D$7,"Other Services"))),"Other Services"))</f>
        <v/>
      </c>
    </row>
    <row r="1050" customFormat="false" ht="15" hidden="false" customHeight="false" outlineLevel="0" collapsed="false">
      <c r="F1050" s="41" t="str">
        <f aca="false">IF(C1050="","",IFERROR(IF(ISNUMBER(SEARCH(Assumptions!$C$5,C1050)),Assumptions!$D$5,IF(ISNUMBER(SEARCH(Assumptions!$C$6,C1050)),Assumptions!$D$6,IF(ISNUMBER(SEARCH(Assumptions!$C$7,C1050)),Assumptions!$D$7,"Other Services"))),"Other Services"))</f>
        <v/>
      </c>
    </row>
    <row r="1051" customFormat="false" ht="15" hidden="false" customHeight="false" outlineLevel="0" collapsed="false">
      <c r="F1051" s="41" t="str">
        <f aca="false">IF(C1051="","",IFERROR(IF(ISNUMBER(SEARCH(Assumptions!$C$5,C1051)),Assumptions!$D$5,IF(ISNUMBER(SEARCH(Assumptions!$C$6,C1051)),Assumptions!$D$6,IF(ISNUMBER(SEARCH(Assumptions!$C$7,C1051)),Assumptions!$D$7,"Other Services"))),"Other Services"))</f>
        <v/>
      </c>
    </row>
    <row r="1052" customFormat="false" ht="15" hidden="false" customHeight="false" outlineLevel="0" collapsed="false">
      <c r="F1052" s="41" t="str">
        <f aca="false">IF(C1052="","",IFERROR(IF(ISNUMBER(SEARCH(Assumptions!$C$5,C1052)),Assumptions!$D$5,IF(ISNUMBER(SEARCH(Assumptions!$C$6,C1052)),Assumptions!$D$6,IF(ISNUMBER(SEARCH(Assumptions!$C$7,C1052)),Assumptions!$D$7,"Other Services"))),"Other Services"))</f>
        <v/>
      </c>
    </row>
    <row r="1053" customFormat="false" ht="15" hidden="false" customHeight="false" outlineLevel="0" collapsed="false">
      <c r="F1053" s="41" t="str">
        <f aca="false">IF(C1053="","",IFERROR(IF(ISNUMBER(SEARCH(Assumptions!$C$5,C1053)),Assumptions!$D$5,IF(ISNUMBER(SEARCH(Assumptions!$C$6,C1053)),Assumptions!$D$6,IF(ISNUMBER(SEARCH(Assumptions!$C$7,C1053)),Assumptions!$D$7,"Other Services"))),"Other Services"))</f>
        <v/>
      </c>
    </row>
    <row r="1054" customFormat="false" ht="15" hidden="false" customHeight="false" outlineLevel="0" collapsed="false">
      <c r="F1054" s="41" t="str">
        <f aca="false">IF(C1054="","",IFERROR(IF(ISNUMBER(SEARCH(Assumptions!$C$5,C1054)),Assumptions!$D$5,IF(ISNUMBER(SEARCH(Assumptions!$C$6,C1054)),Assumptions!$D$6,IF(ISNUMBER(SEARCH(Assumptions!$C$7,C1054)),Assumptions!$D$7,"Other Services"))),"Other Services"))</f>
        <v/>
      </c>
    </row>
    <row r="1055" customFormat="false" ht="15" hidden="false" customHeight="false" outlineLevel="0" collapsed="false">
      <c r="F1055" s="41" t="str">
        <f aca="false">IF(C1055="","",IFERROR(IF(ISNUMBER(SEARCH(Assumptions!$C$5,C1055)),Assumptions!$D$5,IF(ISNUMBER(SEARCH(Assumptions!$C$6,C1055)),Assumptions!$D$6,IF(ISNUMBER(SEARCH(Assumptions!$C$7,C1055)),Assumptions!$D$7,"Other Services"))),"Other Services"))</f>
        <v/>
      </c>
    </row>
    <row r="1056" customFormat="false" ht="15" hidden="false" customHeight="false" outlineLevel="0" collapsed="false">
      <c r="F1056" s="41" t="str">
        <f aca="false">IF(C1056="","",IFERROR(IF(ISNUMBER(SEARCH(Assumptions!$C$5,C1056)),Assumptions!$D$5,IF(ISNUMBER(SEARCH(Assumptions!$C$6,C1056)),Assumptions!$D$6,IF(ISNUMBER(SEARCH(Assumptions!$C$7,C1056)),Assumptions!$D$7,"Other Services"))),"Other Services"))</f>
        <v/>
      </c>
    </row>
    <row r="1057" customFormat="false" ht="15" hidden="false" customHeight="false" outlineLevel="0" collapsed="false">
      <c r="F1057" s="41" t="str">
        <f aca="false">IF(C1057="","",IFERROR(IF(ISNUMBER(SEARCH(Assumptions!$C$5,C1057)),Assumptions!$D$5,IF(ISNUMBER(SEARCH(Assumptions!$C$6,C1057)),Assumptions!$D$6,IF(ISNUMBER(SEARCH(Assumptions!$C$7,C1057)),Assumptions!$D$7,"Other Services"))),"Other Services"))</f>
        <v/>
      </c>
    </row>
    <row r="1058" customFormat="false" ht="15" hidden="false" customHeight="false" outlineLevel="0" collapsed="false">
      <c r="F1058" s="41" t="str">
        <f aca="false">IF(C1058="","",IFERROR(IF(ISNUMBER(SEARCH(Assumptions!$C$5,C1058)),Assumptions!$D$5,IF(ISNUMBER(SEARCH(Assumptions!$C$6,C1058)),Assumptions!$D$6,IF(ISNUMBER(SEARCH(Assumptions!$C$7,C1058)),Assumptions!$D$7,"Other Services"))),"Other Services"))</f>
        <v/>
      </c>
    </row>
    <row r="1059" customFormat="false" ht="15" hidden="false" customHeight="false" outlineLevel="0" collapsed="false">
      <c r="F1059" s="41" t="str">
        <f aca="false">IF(C1059="","",IFERROR(IF(ISNUMBER(SEARCH(Assumptions!$C$5,C1059)),Assumptions!$D$5,IF(ISNUMBER(SEARCH(Assumptions!$C$6,C1059)),Assumptions!$D$6,IF(ISNUMBER(SEARCH(Assumptions!$C$7,C1059)),Assumptions!$D$7,"Other Services"))),"Other Services"))</f>
        <v/>
      </c>
    </row>
    <row r="1060" customFormat="false" ht="15" hidden="false" customHeight="false" outlineLevel="0" collapsed="false">
      <c r="F1060" s="41" t="str">
        <f aca="false">IF(C1060="","",IFERROR(IF(ISNUMBER(SEARCH(Assumptions!$C$5,C1060)),Assumptions!$D$5,IF(ISNUMBER(SEARCH(Assumptions!$C$6,C1060)),Assumptions!$D$6,IF(ISNUMBER(SEARCH(Assumptions!$C$7,C1060)),Assumptions!$D$7,"Other Services"))),"Other Services"))</f>
        <v/>
      </c>
    </row>
    <row r="1061" customFormat="false" ht="15" hidden="false" customHeight="false" outlineLevel="0" collapsed="false">
      <c r="F1061" s="41" t="str">
        <f aca="false">IF(C1061="","",IFERROR(IF(ISNUMBER(SEARCH(Assumptions!$C$5,C1061)),Assumptions!$D$5,IF(ISNUMBER(SEARCH(Assumptions!$C$6,C1061)),Assumptions!$D$6,IF(ISNUMBER(SEARCH(Assumptions!$C$7,C1061)),Assumptions!$D$7,"Other Services"))),"Other Services"))</f>
        <v/>
      </c>
    </row>
    <row r="1062" customFormat="false" ht="15" hidden="false" customHeight="false" outlineLevel="0" collapsed="false">
      <c r="F1062" s="41" t="str">
        <f aca="false">IF(C1062="","",IFERROR(IF(ISNUMBER(SEARCH(Assumptions!$C$5,C1062)),Assumptions!$D$5,IF(ISNUMBER(SEARCH(Assumptions!$C$6,C1062)),Assumptions!$D$6,IF(ISNUMBER(SEARCH(Assumptions!$C$7,C1062)),Assumptions!$D$7,"Other Services"))),"Other Services"))</f>
        <v/>
      </c>
    </row>
    <row r="1063" customFormat="false" ht="15" hidden="false" customHeight="false" outlineLevel="0" collapsed="false">
      <c r="F1063" s="41" t="str">
        <f aca="false">IF(C1063="","",IFERROR(IF(ISNUMBER(SEARCH(Assumptions!$C$5,C1063)),Assumptions!$D$5,IF(ISNUMBER(SEARCH(Assumptions!$C$6,C1063)),Assumptions!$D$6,IF(ISNUMBER(SEARCH(Assumptions!$C$7,C1063)),Assumptions!$D$7,"Other Services"))),"Other Services"))</f>
        <v/>
      </c>
    </row>
    <row r="1064" customFormat="false" ht="15" hidden="false" customHeight="false" outlineLevel="0" collapsed="false">
      <c r="F1064" s="41" t="str">
        <f aca="false">IF(C1064="","",IFERROR(IF(ISNUMBER(SEARCH(Assumptions!$C$5,C1064)),Assumptions!$D$5,IF(ISNUMBER(SEARCH(Assumptions!$C$6,C1064)),Assumptions!$D$6,IF(ISNUMBER(SEARCH(Assumptions!$C$7,C1064)),Assumptions!$D$7,"Other Services"))),"Other Services"))</f>
        <v/>
      </c>
    </row>
    <row r="1065" customFormat="false" ht="15" hidden="false" customHeight="false" outlineLevel="0" collapsed="false">
      <c r="F1065" s="41" t="str">
        <f aca="false">IF(C1065="","",IFERROR(IF(ISNUMBER(SEARCH(Assumptions!$C$5,C1065)),Assumptions!$D$5,IF(ISNUMBER(SEARCH(Assumptions!$C$6,C1065)),Assumptions!$D$6,IF(ISNUMBER(SEARCH(Assumptions!$C$7,C1065)),Assumptions!$D$7,"Other Services"))),"Other Services"))</f>
        <v/>
      </c>
    </row>
    <row r="1066" customFormat="false" ht="15" hidden="false" customHeight="false" outlineLevel="0" collapsed="false">
      <c r="F1066" s="41" t="str">
        <f aca="false">IF(C1066="","",IFERROR(IF(ISNUMBER(SEARCH(Assumptions!$C$5,C1066)),Assumptions!$D$5,IF(ISNUMBER(SEARCH(Assumptions!$C$6,C1066)),Assumptions!$D$6,IF(ISNUMBER(SEARCH(Assumptions!$C$7,C1066)),Assumptions!$D$7,"Other Services"))),"Other Services"))</f>
        <v/>
      </c>
    </row>
    <row r="1067" customFormat="false" ht="15" hidden="false" customHeight="false" outlineLevel="0" collapsed="false">
      <c r="F1067" s="41" t="str">
        <f aca="false">IF(C1067="","",IFERROR(IF(ISNUMBER(SEARCH(Assumptions!$C$5,C1067)),Assumptions!$D$5,IF(ISNUMBER(SEARCH(Assumptions!$C$6,C1067)),Assumptions!$D$6,IF(ISNUMBER(SEARCH(Assumptions!$C$7,C1067)),Assumptions!$D$7,"Other Services"))),"Other Services"))</f>
        <v/>
      </c>
    </row>
    <row r="1068" customFormat="false" ht="15" hidden="false" customHeight="false" outlineLevel="0" collapsed="false">
      <c r="F1068" s="41" t="str">
        <f aca="false">IF(C1068="","",IFERROR(IF(ISNUMBER(SEARCH(Assumptions!$C$5,C1068)),Assumptions!$D$5,IF(ISNUMBER(SEARCH(Assumptions!$C$6,C1068)),Assumptions!$D$6,IF(ISNUMBER(SEARCH(Assumptions!$C$7,C1068)),Assumptions!$D$7,"Other Services"))),"Other Services"))</f>
        <v/>
      </c>
    </row>
    <row r="1069" customFormat="false" ht="15" hidden="false" customHeight="false" outlineLevel="0" collapsed="false">
      <c r="F1069" s="41" t="str">
        <f aca="false">IF(C1069="","",IFERROR(IF(ISNUMBER(SEARCH(Assumptions!$C$5,C1069)),Assumptions!$D$5,IF(ISNUMBER(SEARCH(Assumptions!$C$6,C1069)),Assumptions!$D$6,IF(ISNUMBER(SEARCH(Assumptions!$C$7,C1069)),Assumptions!$D$7,"Other Services"))),"Other Services"))</f>
        <v/>
      </c>
    </row>
    <row r="1070" customFormat="false" ht="15" hidden="false" customHeight="false" outlineLevel="0" collapsed="false">
      <c r="F1070" s="41" t="str">
        <f aca="false">IF(C1070="","",IFERROR(IF(ISNUMBER(SEARCH(Assumptions!$C$5,C1070)),Assumptions!$D$5,IF(ISNUMBER(SEARCH(Assumptions!$C$6,C1070)),Assumptions!$D$6,IF(ISNUMBER(SEARCH(Assumptions!$C$7,C1070)),Assumptions!$D$7,"Other Services"))),"Other Services"))</f>
        <v/>
      </c>
    </row>
    <row r="1071" customFormat="false" ht="15" hidden="false" customHeight="false" outlineLevel="0" collapsed="false">
      <c r="F1071" s="41" t="str">
        <f aca="false">IF(C1071="","",IFERROR(IF(ISNUMBER(SEARCH(Assumptions!$C$5,C1071)),Assumptions!$D$5,IF(ISNUMBER(SEARCH(Assumptions!$C$6,C1071)),Assumptions!$D$6,IF(ISNUMBER(SEARCH(Assumptions!$C$7,C1071)),Assumptions!$D$7,"Other Services"))),"Other Services"))</f>
        <v/>
      </c>
    </row>
    <row r="1072" customFormat="false" ht="15" hidden="false" customHeight="false" outlineLevel="0" collapsed="false">
      <c r="F1072" s="41" t="str">
        <f aca="false">IF(C1072="","",IFERROR(IF(ISNUMBER(SEARCH(Assumptions!$C$5,C1072)),Assumptions!$D$5,IF(ISNUMBER(SEARCH(Assumptions!$C$6,C1072)),Assumptions!$D$6,IF(ISNUMBER(SEARCH(Assumptions!$C$7,C1072)),Assumptions!$D$7,"Other Services"))),"Other Services"))</f>
        <v/>
      </c>
    </row>
    <row r="1073" customFormat="false" ht="15" hidden="false" customHeight="false" outlineLevel="0" collapsed="false">
      <c r="F1073" s="41" t="str">
        <f aca="false">IF(C1073="","",IFERROR(IF(ISNUMBER(SEARCH(Assumptions!$C$5,C1073)),Assumptions!$D$5,IF(ISNUMBER(SEARCH(Assumptions!$C$6,C1073)),Assumptions!$D$6,IF(ISNUMBER(SEARCH(Assumptions!$C$7,C1073)),Assumptions!$D$7,"Other Services"))),"Other Services"))</f>
        <v/>
      </c>
    </row>
    <row r="1074" customFormat="false" ht="15" hidden="false" customHeight="false" outlineLevel="0" collapsed="false">
      <c r="F1074" s="41" t="str">
        <f aca="false">IF(C1074="","",IFERROR(IF(ISNUMBER(SEARCH(Assumptions!$C$5,C1074)),Assumptions!$D$5,IF(ISNUMBER(SEARCH(Assumptions!$C$6,C1074)),Assumptions!$D$6,IF(ISNUMBER(SEARCH(Assumptions!$C$7,C1074)),Assumptions!$D$7,"Other Services"))),"Other Services"))</f>
        <v/>
      </c>
    </row>
    <row r="1075" customFormat="false" ht="15" hidden="false" customHeight="false" outlineLevel="0" collapsed="false">
      <c r="F1075" s="41" t="str">
        <f aca="false">IF(C1075="","",IFERROR(IF(ISNUMBER(SEARCH(Assumptions!$C$5,C1075)),Assumptions!$D$5,IF(ISNUMBER(SEARCH(Assumptions!$C$6,C1075)),Assumptions!$D$6,IF(ISNUMBER(SEARCH(Assumptions!$C$7,C1075)),Assumptions!$D$7,"Other Services"))),"Other Services"))</f>
        <v/>
      </c>
    </row>
    <row r="1076" customFormat="false" ht="15" hidden="false" customHeight="false" outlineLevel="0" collapsed="false">
      <c r="F1076" s="41" t="str">
        <f aca="false">IF(C1076="","",IFERROR(IF(ISNUMBER(SEARCH(Assumptions!$C$5,C1076)),Assumptions!$D$5,IF(ISNUMBER(SEARCH(Assumptions!$C$6,C1076)),Assumptions!$D$6,IF(ISNUMBER(SEARCH(Assumptions!$C$7,C1076)),Assumptions!$D$7,"Other Services"))),"Other Services"))</f>
        <v/>
      </c>
    </row>
    <row r="1077" customFormat="false" ht="15" hidden="false" customHeight="false" outlineLevel="0" collapsed="false">
      <c r="F1077" s="41" t="str">
        <f aca="false">IF(C1077="","",IFERROR(IF(ISNUMBER(SEARCH(Assumptions!$C$5,C1077)),Assumptions!$D$5,IF(ISNUMBER(SEARCH(Assumptions!$C$6,C1077)),Assumptions!$D$6,IF(ISNUMBER(SEARCH(Assumptions!$C$7,C1077)),Assumptions!$D$7,"Other Services"))),"Other Services"))</f>
        <v/>
      </c>
    </row>
    <row r="1078" customFormat="false" ht="15" hidden="false" customHeight="false" outlineLevel="0" collapsed="false">
      <c r="F1078" s="41" t="str">
        <f aca="false">IF(C1078="","",IFERROR(IF(ISNUMBER(SEARCH(Assumptions!$C$5,C1078)),Assumptions!$D$5,IF(ISNUMBER(SEARCH(Assumptions!$C$6,C1078)),Assumptions!$D$6,IF(ISNUMBER(SEARCH(Assumptions!$C$7,C1078)),Assumptions!$D$7,"Other Services"))),"Other Services"))</f>
        <v/>
      </c>
    </row>
    <row r="1079" customFormat="false" ht="15" hidden="false" customHeight="false" outlineLevel="0" collapsed="false">
      <c r="F1079" s="41" t="str">
        <f aca="false">IF(C1079="","",IFERROR(IF(ISNUMBER(SEARCH(Assumptions!$C$5,C1079)),Assumptions!$D$5,IF(ISNUMBER(SEARCH(Assumptions!$C$6,C1079)),Assumptions!$D$6,IF(ISNUMBER(SEARCH(Assumptions!$C$7,C1079)),Assumptions!$D$7,"Other Services"))),"Other Services"))</f>
        <v/>
      </c>
    </row>
    <row r="1080" customFormat="false" ht="15" hidden="false" customHeight="false" outlineLevel="0" collapsed="false">
      <c r="F1080" s="41" t="str">
        <f aca="false">IF(C1080="","",IFERROR(IF(ISNUMBER(SEARCH(Assumptions!$C$5,C1080)),Assumptions!$D$5,IF(ISNUMBER(SEARCH(Assumptions!$C$6,C1080)),Assumptions!$D$6,IF(ISNUMBER(SEARCH(Assumptions!$C$7,C1080)),Assumptions!$D$7,"Other Services"))),"Other Services"))</f>
        <v/>
      </c>
    </row>
    <row r="1081" customFormat="false" ht="15" hidden="false" customHeight="false" outlineLevel="0" collapsed="false">
      <c r="F1081" s="41" t="str">
        <f aca="false">IF(C1081="","",IFERROR(IF(ISNUMBER(SEARCH(Assumptions!$C$5,C1081)),Assumptions!$D$5,IF(ISNUMBER(SEARCH(Assumptions!$C$6,C1081)),Assumptions!$D$6,IF(ISNUMBER(SEARCH(Assumptions!$C$7,C1081)),Assumptions!$D$7,"Other Services"))),"Other Services"))</f>
        <v/>
      </c>
    </row>
    <row r="1082" customFormat="false" ht="15" hidden="false" customHeight="false" outlineLevel="0" collapsed="false">
      <c r="F1082" s="41" t="str">
        <f aca="false">IF(C1082="","",IFERROR(IF(ISNUMBER(SEARCH(Assumptions!$C$5,C1082)),Assumptions!$D$5,IF(ISNUMBER(SEARCH(Assumptions!$C$6,C1082)),Assumptions!$D$6,IF(ISNUMBER(SEARCH(Assumptions!$C$7,C1082)),Assumptions!$D$7,"Other Services"))),"Other Services"))</f>
        <v/>
      </c>
    </row>
    <row r="1083" customFormat="false" ht="15" hidden="false" customHeight="false" outlineLevel="0" collapsed="false">
      <c r="F1083" s="41" t="str">
        <f aca="false">IF(C1083="","",IFERROR(IF(ISNUMBER(SEARCH(Assumptions!$C$5,C1083)),Assumptions!$D$5,IF(ISNUMBER(SEARCH(Assumptions!$C$6,C1083)),Assumptions!$D$6,IF(ISNUMBER(SEARCH(Assumptions!$C$7,C1083)),Assumptions!$D$7,"Other Services"))),"Other Services"))</f>
        <v/>
      </c>
    </row>
    <row r="1084" customFormat="false" ht="15" hidden="false" customHeight="false" outlineLevel="0" collapsed="false">
      <c r="F1084" s="41" t="str">
        <f aca="false">IF(C1084="","",IFERROR(IF(ISNUMBER(SEARCH(Assumptions!$C$5,C1084)),Assumptions!$D$5,IF(ISNUMBER(SEARCH(Assumptions!$C$6,C1084)),Assumptions!$D$6,IF(ISNUMBER(SEARCH(Assumptions!$C$7,C1084)),Assumptions!$D$7,"Other Services"))),"Other Services"))</f>
        <v/>
      </c>
    </row>
    <row r="1085" customFormat="false" ht="15" hidden="false" customHeight="false" outlineLevel="0" collapsed="false">
      <c r="F1085" s="41" t="str">
        <f aca="false">IF(C1085="","",IFERROR(IF(ISNUMBER(SEARCH(Assumptions!$C$5,C1085)),Assumptions!$D$5,IF(ISNUMBER(SEARCH(Assumptions!$C$6,C1085)),Assumptions!$D$6,IF(ISNUMBER(SEARCH(Assumptions!$C$7,C1085)),Assumptions!$D$7,"Other Services"))),"Other Services"))</f>
        <v/>
      </c>
    </row>
    <row r="1086" customFormat="false" ht="15" hidden="false" customHeight="false" outlineLevel="0" collapsed="false">
      <c r="F1086" s="41" t="str">
        <f aca="false">IF(C1086="","",IFERROR(IF(ISNUMBER(SEARCH(Assumptions!$C$5,C1086)),Assumptions!$D$5,IF(ISNUMBER(SEARCH(Assumptions!$C$6,C1086)),Assumptions!$D$6,IF(ISNUMBER(SEARCH(Assumptions!$C$7,C1086)),Assumptions!$D$7,"Other Services"))),"Other Services"))</f>
        <v/>
      </c>
    </row>
    <row r="1087" customFormat="false" ht="15" hidden="false" customHeight="false" outlineLevel="0" collapsed="false">
      <c r="F1087" s="41" t="str">
        <f aca="false">IF(C1087="","",IFERROR(IF(ISNUMBER(SEARCH(Assumptions!$C$5,C1087)),Assumptions!$D$5,IF(ISNUMBER(SEARCH(Assumptions!$C$6,C1087)),Assumptions!$D$6,IF(ISNUMBER(SEARCH(Assumptions!$C$7,C1087)),Assumptions!$D$7,"Other Services"))),"Other Services"))</f>
        <v/>
      </c>
    </row>
    <row r="1088" customFormat="false" ht="15" hidden="false" customHeight="false" outlineLevel="0" collapsed="false">
      <c r="F1088" s="41" t="str">
        <f aca="false">IF(C1088="","",IFERROR(IF(ISNUMBER(SEARCH(Assumptions!$C$5,C1088)),Assumptions!$D$5,IF(ISNUMBER(SEARCH(Assumptions!$C$6,C1088)),Assumptions!$D$6,IF(ISNUMBER(SEARCH(Assumptions!$C$7,C1088)),Assumptions!$D$7,"Other Services"))),"Other Services"))</f>
        <v/>
      </c>
    </row>
    <row r="1089" customFormat="false" ht="15" hidden="false" customHeight="false" outlineLevel="0" collapsed="false">
      <c r="F1089" s="41" t="str">
        <f aca="false">IF(C1089="","",IFERROR(IF(ISNUMBER(SEARCH(Assumptions!$C$5,C1089)),Assumptions!$D$5,IF(ISNUMBER(SEARCH(Assumptions!$C$6,C1089)),Assumptions!$D$6,IF(ISNUMBER(SEARCH(Assumptions!$C$7,C1089)),Assumptions!$D$7,"Other Services"))),"Other Services"))</f>
        <v/>
      </c>
    </row>
    <row r="1090" customFormat="false" ht="15" hidden="false" customHeight="false" outlineLevel="0" collapsed="false">
      <c r="F1090" s="41" t="str">
        <f aca="false">IF(C1090="","",IFERROR(IF(ISNUMBER(SEARCH(Assumptions!$C$5,C1090)),Assumptions!$D$5,IF(ISNUMBER(SEARCH(Assumptions!$C$6,C1090)),Assumptions!$D$6,IF(ISNUMBER(SEARCH(Assumptions!$C$7,C1090)),Assumptions!$D$7,"Other Services"))),"Other Services"))</f>
        <v/>
      </c>
    </row>
    <row r="1091" customFormat="false" ht="15" hidden="false" customHeight="false" outlineLevel="0" collapsed="false">
      <c r="F1091" s="41" t="str">
        <f aca="false">IF(C1091="","",IFERROR(IF(ISNUMBER(SEARCH(Assumptions!$C$5,C1091)),Assumptions!$D$5,IF(ISNUMBER(SEARCH(Assumptions!$C$6,C1091)),Assumptions!$D$6,IF(ISNUMBER(SEARCH(Assumptions!$C$7,C1091)),Assumptions!$D$7,"Other Services"))),"Other Services"))</f>
        <v/>
      </c>
    </row>
    <row r="1092" customFormat="false" ht="15" hidden="false" customHeight="false" outlineLevel="0" collapsed="false">
      <c r="F1092" s="41" t="str">
        <f aca="false">IF(C1092="","",IFERROR(IF(ISNUMBER(SEARCH(Assumptions!$C$5,C1092)),Assumptions!$D$5,IF(ISNUMBER(SEARCH(Assumptions!$C$6,C1092)),Assumptions!$D$6,IF(ISNUMBER(SEARCH(Assumptions!$C$7,C1092)),Assumptions!$D$7,"Other Services"))),"Other Services"))</f>
        <v/>
      </c>
    </row>
    <row r="1093" customFormat="false" ht="15" hidden="false" customHeight="false" outlineLevel="0" collapsed="false">
      <c r="F1093" s="41" t="str">
        <f aca="false">IF(C1093="","",IFERROR(IF(ISNUMBER(SEARCH(Assumptions!$C$5,C1093)),Assumptions!$D$5,IF(ISNUMBER(SEARCH(Assumptions!$C$6,C1093)),Assumptions!$D$6,IF(ISNUMBER(SEARCH(Assumptions!$C$7,C1093)),Assumptions!$D$7,"Other Services"))),"Other Services"))</f>
        <v/>
      </c>
    </row>
    <row r="1094" customFormat="false" ht="15" hidden="false" customHeight="false" outlineLevel="0" collapsed="false">
      <c r="F1094" s="41" t="str">
        <f aca="false">IF(C1094="","",IFERROR(IF(ISNUMBER(SEARCH(Assumptions!$C$5,C1094)),Assumptions!$D$5,IF(ISNUMBER(SEARCH(Assumptions!$C$6,C1094)),Assumptions!$D$6,IF(ISNUMBER(SEARCH(Assumptions!$C$7,C1094)),Assumptions!$D$7,"Other Services"))),"Other Services"))</f>
        <v/>
      </c>
    </row>
    <row r="1095" customFormat="false" ht="15" hidden="false" customHeight="false" outlineLevel="0" collapsed="false">
      <c r="F1095" s="41" t="str">
        <f aca="false">IF(C1095="","",IFERROR(IF(ISNUMBER(SEARCH(Assumptions!$C$5,C1095)),Assumptions!$D$5,IF(ISNUMBER(SEARCH(Assumptions!$C$6,C1095)),Assumptions!$D$6,IF(ISNUMBER(SEARCH(Assumptions!$C$7,C1095)),Assumptions!$D$7,"Other Services"))),"Other Services"))</f>
        <v/>
      </c>
    </row>
    <row r="1096" customFormat="false" ht="15" hidden="false" customHeight="false" outlineLevel="0" collapsed="false">
      <c r="F1096" s="41" t="str">
        <f aca="false">IF(C1096="","",IFERROR(IF(ISNUMBER(SEARCH(Assumptions!$C$5,C1096)),Assumptions!$D$5,IF(ISNUMBER(SEARCH(Assumptions!$C$6,C1096)),Assumptions!$D$6,IF(ISNUMBER(SEARCH(Assumptions!$C$7,C1096)),Assumptions!$D$7,"Other Services"))),"Other Services"))</f>
        <v/>
      </c>
    </row>
    <row r="1097" customFormat="false" ht="15" hidden="false" customHeight="false" outlineLevel="0" collapsed="false">
      <c r="F1097" s="41" t="str">
        <f aca="false">IF(C1097="","",IFERROR(IF(ISNUMBER(SEARCH(Assumptions!$C$5,C1097)),Assumptions!$D$5,IF(ISNUMBER(SEARCH(Assumptions!$C$6,C1097)),Assumptions!$D$6,IF(ISNUMBER(SEARCH(Assumptions!$C$7,C1097)),Assumptions!$D$7,"Other Services"))),"Other Services"))</f>
        <v/>
      </c>
    </row>
    <row r="1098" customFormat="false" ht="15" hidden="false" customHeight="false" outlineLevel="0" collapsed="false">
      <c r="F1098" s="41" t="str">
        <f aca="false">IF(C1098="","",IFERROR(IF(ISNUMBER(SEARCH(Assumptions!$C$5,C1098)),Assumptions!$D$5,IF(ISNUMBER(SEARCH(Assumptions!$C$6,C1098)),Assumptions!$D$6,IF(ISNUMBER(SEARCH(Assumptions!$C$7,C1098)),Assumptions!$D$7,"Other Services"))),"Other Services"))</f>
        <v/>
      </c>
    </row>
    <row r="1099" customFormat="false" ht="15" hidden="false" customHeight="false" outlineLevel="0" collapsed="false">
      <c r="F1099" s="41" t="str">
        <f aca="false">IF(C1099="","",IFERROR(IF(ISNUMBER(SEARCH(Assumptions!$C$5,C1099)),Assumptions!$D$5,IF(ISNUMBER(SEARCH(Assumptions!$C$6,C1099)),Assumptions!$D$6,IF(ISNUMBER(SEARCH(Assumptions!$C$7,C1099)),Assumptions!$D$7,"Other Services"))),"Other Services"))</f>
        <v/>
      </c>
    </row>
    <row r="1100" customFormat="false" ht="15" hidden="false" customHeight="false" outlineLevel="0" collapsed="false">
      <c r="F1100" s="41" t="str">
        <f aca="false">IF(C1100="","",IFERROR(IF(ISNUMBER(SEARCH(Assumptions!$C$5,C1100)),Assumptions!$D$5,IF(ISNUMBER(SEARCH(Assumptions!$C$6,C1100)),Assumptions!$D$6,IF(ISNUMBER(SEARCH(Assumptions!$C$7,C1100)),Assumptions!$D$7,"Other Services"))),"Other Services"))</f>
        <v/>
      </c>
    </row>
    <row r="1101" customFormat="false" ht="15" hidden="false" customHeight="false" outlineLevel="0" collapsed="false">
      <c r="F1101" s="41" t="str">
        <f aca="false">IF(C1101="","",IFERROR(IF(ISNUMBER(SEARCH(Assumptions!$C$5,C1101)),Assumptions!$D$5,IF(ISNUMBER(SEARCH(Assumptions!$C$6,C1101)),Assumptions!$D$6,IF(ISNUMBER(SEARCH(Assumptions!$C$7,C1101)),Assumptions!$D$7,"Other Services"))),"Other Services"))</f>
        <v/>
      </c>
    </row>
    <row r="1102" customFormat="false" ht="15" hidden="false" customHeight="false" outlineLevel="0" collapsed="false">
      <c r="F1102" s="41" t="str">
        <f aca="false">IF(C1102="","",IFERROR(IF(ISNUMBER(SEARCH(Assumptions!$C$5,C1102)),Assumptions!$D$5,IF(ISNUMBER(SEARCH(Assumptions!$C$6,C1102)),Assumptions!$D$6,IF(ISNUMBER(SEARCH(Assumptions!$C$7,C1102)),Assumptions!$D$7,"Other Services"))),"Other Services"))</f>
        <v/>
      </c>
    </row>
    <row r="1103" customFormat="false" ht="15" hidden="false" customHeight="false" outlineLevel="0" collapsed="false">
      <c r="F1103" s="41" t="str">
        <f aca="false">IF(C1103="","",IFERROR(IF(ISNUMBER(SEARCH(Assumptions!$C$5,C1103)),Assumptions!$D$5,IF(ISNUMBER(SEARCH(Assumptions!$C$6,C1103)),Assumptions!$D$6,IF(ISNUMBER(SEARCH(Assumptions!$C$7,C1103)),Assumptions!$D$7,"Other Services"))),"Other Services"))</f>
        <v/>
      </c>
    </row>
    <row r="1104" customFormat="false" ht="15" hidden="false" customHeight="false" outlineLevel="0" collapsed="false">
      <c r="F1104" s="41" t="str">
        <f aca="false">IF(C1104="","",IFERROR(IF(ISNUMBER(SEARCH(Assumptions!$C$5,C1104)),Assumptions!$D$5,IF(ISNUMBER(SEARCH(Assumptions!$C$6,C1104)),Assumptions!$D$6,IF(ISNUMBER(SEARCH(Assumptions!$C$7,C1104)),Assumptions!$D$7,"Other Services"))),"Other Services"))</f>
        <v/>
      </c>
    </row>
    <row r="1105" customFormat="false" ht="15" hidden="false" customHeight="false" outlineLevel="0" collapsed="false">
      <c r="F1105" s="41" t="str">
        <f aca="false">IF(C1105="","",IFERROR(IF(ISNUMBER(SEARCH(Assumptions!$C$5,C1105)),Assumptions!$D$5,IF(ISNUMBER(SEARCH(Assumptions!$C$6,C1105)),Assumptions!$D$6,IF(ISNUMBER(SEARCH(Assumptions!$C$7,C1105)),Assumptions!$D$7,"Other Services"))),"Other Services"))</f>
        <v/>
      </c>
    </row>
    <row r="1106" customFormat="false" ht="15" hidden="false" customHeight="false" outlineLevel="0" collapsed="false">
      <c r="F1106" s="41" t="str">
        <f aca="false">IF(C1106="","",IFERROR(IF(ISNUMBER(SEARCH(Assumptions!$C$5,C1106)),Assumptions!$D$5,IF(ISNUMBER(SEARCH(Assumptions!$C$6,C1106)),Assumptions!$D$6,IF(ISNUMBER(SEARCH(Assumptions!$C$7,C1106)),Assumptions!$D$7,"Other Services"))),"Other Services"))</f>
        <v/>
      </c>
    </row>
    <row r="1107" customFormat="false" ht="15" hidden="false" customHeight="false" outlineLevel="0" collapsed="false">
      <c r="F1107" s="41" t="str">
        <f aca="false">IF(C1107="","",IFERROR(IF(ISNUMBER(SEARCH(Assumptions!$C$5,C1107)),Assumptions!$D$5,IF(ISNUMBER(SEARCH(Assumptions!$C$6,C1107)),Assumptions!$D$6,IF(ISNUMBER(SEARCH(Assumptions!$C$7,C1107)),Assumptions!$D$7,"Other Services"))),"Other Services"))</f>
        <v/>
      </c>
    </row>
    <row r="1108" customFormat="false" ht="15" hidden="false" customHeight="false" outlineLevel="0" collapsed="false">
      <c r="F1108" s="41" t="str">
        <f aca="false">IF(C1108="","",IFERROR(IF(ISNUMBER(SEARCH(Assumptions!$C$5,C1108)),Assumptions!$D$5,IF(ISNUMBER(SEARCH(Assumptions!$C$6,C1108)),Assumptions!$D$6,IF(ISNUMBER(SEARCH(Assumptions!$C$7,C1108)),Assumptions!$D$7,"Other Services"))),"Other Services"))</f>
        <v/>
      </c>
    </row>
    <row r="1109" customFormat="false" ht="15" hidden="false" customHeight="false" outlineLevel="0" collapsed="false">
      <c r="F1109" s="41" t="str">
        <f aca="false">IF(C1109="","",IFERROR(IF(ISNUMBER(SEARCH(Assumptions!$C$5,C1109)),Assumptions!$D$5,IF(ISNUMBER(SEARCH(Assumptions!$C$6,C1109)),Assumptions!$D$6,IF(ISNUMBER(SEARCH(Assumptions!$C$7,C1109)),Assumptions!$D$7,"Other Services"))),"Other Services"))</f>
        <v/>
      </c>
    </row>
    <row r="1110" customFormat="false" ht="15" hidden="false" customHeight="false" outlineLevel="0" collapsed="false">
      <c r="F1110" s="41" t="str">
        <f aca="false">IF(C1110="","",IFERROR(IF(ISNUMBER(SEARCH(Assumptions!$C$5,C1110)),Assumptions!$D$5,IF(ISNUMBER(SEARCH(Assumptions!$C$6,C1110)),Assumptions!$D$6,IF(ISNUMBER(SEARCH(Assumptions!$C$7,C1110)),Assumptions!$D$7,"Other Services"))),"Other Services"))</f>
        <v/>
      </c>
    </row>
    <row r="1111" customFormat="false" ht="15" hidden="false" customHeight="false" outlineLevel="0" collapsed="false">
      <c r="F1111" s="41" t="str">
        <f aca="false">IF(C1111="","",IFERROR(IF(ISNUMBER(SEARCH(Assumptions!$C$5,C1111)),Assumptions!$D$5,IF(ISNUMBER(SEARCH(Assumptions!$C$6,C1111)),Assumptions!$D$6,IF(ISNUMBER(SEARCH(Assumptions!$C$7,C1111)),Assumptions!$D$7,"Other Services"))),"Other Services"))</f>
        <v/>
      </c>
    </row>
    <row r="1112" customFormat="false" ht="15" hidden="false" customHeight="false" outlineLevel="0" collapsed="false">
      <c r="F1112" s="41" t="str">
        <f aca="false">IF(C1112="","",IFERROR(IF(ISNUMBER(SEARCH(Assumptions!$C$5,C1112)),Assumptions!$D$5,IF(ISNUMBER(SEARCH(Assumptions!$C$6,C1112)),Assumptions!$D$6,IF(ISNUMBER(SEARCH(Assumptions!$C$7,C1112)),Assumptions!$D$7,"Other Services"))),"Other Services"))</f>
        <v/>
      </c>
    </row>
    <row r="1113" customFormat="false" ht="15" hidden="false" customHeight="false" outlineLevel="0" collapsed="false">
      <c r="F1113" s="41" t="str">
        <f aca="false">IF(C1113="","",IFERROR(IF(ISNUMBER(SEARCH(Assumptions!$C$5,C1113)),Assumptions!$D$5,IF(ISNUMBER(SEARCH(Assumptions!$C$6,C1113)),Assumptions!$D$6,IF(ISNUMBER(SEARCH(Assumptions!$C$7,C1113)),Assumptions!$D$7,"Other Services"))),"Other Services"))</f>
        <v/>
      </c>
    </row>
    <row r="1114" customFormat="false" ht="15" hidden="false" customHeight="false" outlineLevel="0" collapsed="false">
      <c r="F1114" s="41" t="str">
        <f aca="false">IF(C1114="","",IFERROR(IF(ISNUMBER(SEARCH(Assumptions!$C$5,C1114)),Assumptions!$D$5,IF(ISNUMBER(SEARCH(Assumptions!$C$6,C1114)),Assumptions!$D$6,IF(ISNUMBER(SEARCH(Assumptions!$C$7,C1114)),Assumptions!$D$7,"Other Services"))),"Other Services"))</f>
        <v/>
      </c>
    </row>
    <row r="1115" customFormat="false" ht="15" hidden="false" customHeight="false" outlineLevel="0" collapsed="false">
      <c r="F1115" s="41" t="str">
        <f aca="false">IF(C1115="","",IFERROR(IF(ISNUMBER(SEARCH(Assumptions!$C$5,C1115)),Assumptions!$D$5,IF(ISNUMBER(SEARCH(Assumptions!$C$6,C1115)),Assumptions!$D$6,IF(ISNUMBER(SEARCH(Assumptions!$C$7,C1115)),Assumptions!$D$7,"Other Services"))),"Other Services"))</f>
        <v/>
      </c>
    </row>
    <row r="1116" customFormat="false" ht="15" hidden="false" customHeight="false" outlineLevel="0" collapsed="false">
      <c r="F1116" s="41" t="str">
        <f aca="false">IF(C1116="","",IFERROR(IF(ISNUMBER(SEARCH(Assumptions!$C$5,C1116)),Assumptions!$D$5,IF(ISNUMBER(SEARCH(Assumptions!$C$6,C1116)),Assumptions!$D$6,IF(ISNUMBER(SEARCH(Assumptions!$C$7,C1116)),Assumptions!$D$7,"Other Services"))),"Other Services"))</f>
        <v/>
      </c>
    </row>
    <row r="1117" customFormat="false" ht="15" hidden="false" customHeight="false" outlineLevel="0" collapsed="false">
      <c r="F1117" s="41" t="str">
        <f aca="false">IF(C1117="","",IFERROR(IF(ISNUMBER(SEARCH(Assumptions!$C$5,C1117)),Assumptions!$D$5,IF(ISNUMBER(SEARCH(Assumptions!$C$6,C1117)),Assumptions!$D$6,IF(ISNUMBER(SEARCH(Assumptions!$C$7,C1117)),Assumptions!$D$7,"Other Services"))),"Other Services"))</f>
        <v/>
      </c>
    </row>
    <row r="1118" customFormat="false" ht="15" hidden="false" customHeight="false" outlineLevel="0" collapsed="false">
      <c r="F1118" s="41" t="str">
        <f aca="false">IF(C1118="","",IFERROR(IF(ISNUMBER(SEARCH(Assumptions!$C$5,C1118)),Assumptions!$D$5,IF(ISNUMBER(SEARCH(Assumptions!$C$6,C1118)),Assumptions!$D$6,IF(ISNUMBER(SEARCH(Assumptions!$C$7,C1118)),Assumptions!$D$7,"Other Services"))),"Other Services"))</f>
        <v/>
      </c>
    </row>
    <row r="1119" customFormat="false" ht="15" hidden="false" customHeight="false" outlineLevel="0" collapsed="false">
      <c r="F1119" s="41" t="str">
        <f aca="false">IF(C1119="","",IFERROR(IF(ISNUMBER(SEARCH(Assumptions!$C$5,C1119)),Assumptions!$D$5,IF(ISNUMBER(SEARCH(Assumptions!$C$6,C1119)),Assumptions!$D$6,IF(ISNUMBER(SEARCH(Assumptions!$C$7,C1119)),Assumptions!$D$7,"Other Services"))),"Other Services"))</f>
        <v/>
      </c>
    </row>
    <row r="1120" customFormat="false" ht="15" hidden="false" customHeight="false" outlineLevel="0" collapsed="false">
      <c r="F1120" s="41" t="str">
        <f aca="false">IF(C1120="","",IFERROR(IF(ISNUMBER(SEARCH(Assumptions!$C$5,C1120)),Assumptions!$D$5,IF(ISNUMBER(SEARCH(Assumptions!$C$6,C1120)),Assumptions!$D$6,IF(ISNUMBER(SEARCH(Assumptions!$C$7,C1120)),Assumptions!$D$7,"Other Services"))),"Other Services"))</f>
        <v/>
      </c>
    </row>
    <row r="1121" customFormat="false" ht="15" hidden="false" customHeight="false" outlineLevel="0" collapsed="false">
      <c r="F1121" s="41" t="str">
        <f aca="false">IF(C1121="","",IFERROR(IF(ISNUMBER(SEARCH(Assumptions!$C$5,C1121)),Assumptions!$D$5,IF(ISNUMBER(SEARCH(Assumptions!$C$6,C1121)),Assumptions!$D$6,IF(ISNUMBER(SEARCH(Assumptions!$C$7,C1121)),Assumptions!$D$7,"Other Services"))),"Other Services"))</f>
        <v/>
      </c>
    </row>
    <row r="1122" customFormat="false" ht="15" hidden="false" customHeight="false" outlineLevel="0" collapsed="false">
      <c r="F1122" s="41" t="str">
        <f aca="false">IF(C1122="","",IFERROR(IF(ISNUMBER(SEARCH(Assumptions!$C$5,C1122)),Assumptions!$D$5,IF(ISNUMBER(SEARCH(Assumptions!$C$6,C1122)),Assumptions!$D$6,IF(ISNUMBER(SEARCH(Assumptions!$C$7,C1122)),Assumptions!$D$7,"Other Services"))),"Other Services"))</f>
        <v/>
      </c>
    </row>
    <row r="1123" customFormat="false" ht="15" hidden="false" customHeight="false" outlineLevel="0" collapsed="false">
      <c r="F1123" s="41" t="str">
        <f aca="false">IF(C1123="","",IFERROR(IF(ISNUMBER(SEARCH(Assumptions!$C$5,C1123)),Assumptions!$D$5,IF(ISNUMBER(SEARCH(Assumptions!$C$6,C1123)),Assumptions!$D$6,IF(ISNUMBER(SEARCH(Assumptions!$C$7,C1123)),Assumptions!$D$7,"Other Services"))),"Other Services"))</f>
        <v/>
      </c>
    </row>
    <row r="1124" customFormat="false" ht="15" hidden="false" customHeight="false" outlineLevel="0" collapsed="false">
      <c r="F1124" s="41" t="str">
        <f aca="false">IF(C1124="","",IFERROR(IF(ISNUMBER(SEARCH(Assumptions!$C$5,C1124)),Assumptions!$D$5,IF(ISNUMBER(SEARCH(Assumptions!$C$6,C1124)),Assumptions!$D$6,IF(ISNUMBER(SEARCH(Assumptions!$C$7,C1124)),Assumptions!$D$7,"Other Services"))),"Other Services"))</f>
        <v/>
      </c>
    </row>
    <row r="1125" customFormat="false" ht="15" hidden="false" customHeight="false" outlineLevel="0" collapsed="false">
      <c r="F1125" s="41" t="str">
        <f aca="false">IF(C1125="","",IFERROR(IF(ISNUMBER(SEARCH(Assumptions!$C$5,C1125)),Assumptions!$D$5,IF(ISNUMBER(SEARCH(Assumptions!$C$6,C1125)),Assumptions!$D$6,IF(ISNUMBER(SEARCH(Assumptions!$C$7,C1125)),Assumptions!$D$7,"Other Services"))),"Other Services"))</f>
        <v/>
      </c>
    </row>
    <row r="1126" customFormat="false" ht="15" hidden="false" customHeight="false" outlineLevel="0" collapsed="false">
      <c r="F1126" s="41" t="str">
        <f aca="false">IF(C1126="","",IFERROR(IF(ISNUMBER(SEARCH(Assumptions!$C$5,C1126)),Assumptions!$D$5,IF(ISNUMBER(SEARCH(Assumptions!$C$6,C1126)),Assumptions!$D$6,IF(ISNUMBER(SEARCH(Assumptions!$C$7,C1126)),Assumptions!$D$7,"Other Services"))),"Other Services"))</f>
        <v/>
      </c>
    </row>
    <row r="1127" customFormat="false" ht="15" hidden="false" customHeight="false" outlineLevel="0" collapsed="false">
      <c r="F1127" s="41" t="str">
        <f aca="false">IF(C1127="","",IFERROR(IF(ISNUMBER(SEARCH(Assumptions!$C$5,C1127)),Assumptions!$D$5,IF(ISNUMBER(SEARCH(Assumptions!$C$6,C1127)),Assumptions!$D$6,IF(ISNUMBER(SEARCH(Assumptions!$C$7,C1127)),Assumptions!$D$7,"Other Services"))),"Other Services"))</f>
        <v/>
      </c>
    </row>
    <row r="1128" customFormat="false" ht="15" hidden="false" customHeight="false" outlineLevel="0" collapsed="false">
      <c r="F1128" s="41" t="str">
        <f aca="false">IF(C1128="","",IFERROR(IF(ISNUMBER(SEARCH(Assumptions!$C$5,C1128)),Assumptions!$D$5,IF(ISNUMBER(SEARCH(Assumptions!$C$6,C1128)),Assumptions!$D$6,IF(ISNUMBER(SEARCH(Assumptions!$C$7,C1128)),Assumptions!$D$7,"Other Services"))),"Other Services"))</f>
        <v/>
      </c>
    </row>
    <row r="1129" customFormat="false" ht="15" hidden="false" customHeight="false" outlineLevel="0" collapsed="false">
      <c r="F1129" s="41" t="str">
        <f aca="false">IF(C1129="","",IFERROR(IF(ISNUMBER(SEARCH(Assumptions!$C$5,C1129)),Assumptions!$D$5,IF(ISNUMBER(SEARCH(Assumptions!$C$6,C1129)),Assumptions!$D$6,IF(ISNUMBER(SEARCH(Assumptions!$C$7,C1129)),Assumptions!$D$7,"Other Services"))),"Other Services"))</f>
        <v/>
      </c>
    </row>
    <row r="1130" customFormat="false" ht="15" hidden="false" customHeight="false" outlineLevel="0" collapsed="false">
      <c r="F1130" s="41" t="str">
        <f aca="false">IF(C1130="","",IFERROR(IF(ISNUMBER(SEARCH(Assumptions!$C$5,C1130)),Assumptions!$D$5,IF(ISNUMBER(SEARCH(Assumptions!$C$6,C1130)),Assumptions!$D$6,IF(ISNUMBER(SEARCH(Assumptions!$C$7,C1130)),Assumptions!$D$7,"Other Services"))),"Other Services"))</f>
        <v/>
      </c>
    </row>
    <row r="1131" customFormat="false" ht="15" hidden="false" customHeight="false" outlineLevel="0" collapsed="false">
      <c r="F1131" s="41" t="str">
        <f aca="false">IF(C1131="","",IFERROR(IF(ISNUMBER(SEARCH(Assumptions!$C$5,C1131)),Assumptions!$D$5,IF(ISNUMBER(SEARCH(Assumptions!$C$6,C1131)),Assumptions!$D$6,IF(ISNUMBER(SEARCH(Assumptions!$C$7,C1131)),Assumptions!$D$7,"Other Services"))),"Other Services"))</f>
        <v/>
      </c>
    </row>
    <row r="1132" customFormat="false" ht="15" hidden="false" customHeight="false" outlineLevel="0" collapsed="false">
      <c r="F1132" s="41" t="str">
        <f aca="false">IF(C1132="","",IFERROR(IF(ISNUMBER(SEARCH(Assumptions!$C$5,C1132)),Assumptions!$D$5,IF(ISNUMBER(SEARCH(Assumptions!$C$6,C1132)),Assumptions!$D$6,IF(ISNUMBER(SEARCH(Assumptions!$C$7,C1132)),Assumptions!$D$7,"Other Services"))),"Other Services"))</f>
        <v/>
      </c>
    </row>
    <row r="1133" customFormat="false" ht="15" hidden="false" customHeight="false" outlineLevel="0" collapsed="false">
      <c r="F1133" s="41" t="str">
        <f aca="false">IF(C1133="","",IFERROR(IF(ISNUMBER(SEARCH(Assumptions!$C$5,C1133)),Assumptions!$D$5,IF(ISNUMBER(SEARCH(Assumptions!$C$6,C1133)),Assumptions!$D$6,IF(ISNUMBER(SEARCH(Assumptions!$C$7,C1133)),Assumptions!$D$7,"Other Services"))),"Other Services"))</f>
        <v/>
      </c>
    </row>
    <row r="1134" customFormat="false" ht="15" hidden="false" customHeight="false" outlineLevel="0" collapsed="false">
      <c r="F1134" s="41" t="str">
        <f aca="false">IF(C1134="","",IFERROR(IF(ISNUMBER(SEARCH(Assumptions!$C$5,C1134)),Assumptions!$D$5,IF(ISNUMBER(SEARCH(Assumptions!$C$6,C1134)),Assumptions!$D$6,IF(ISNUMBER(SEARCH(Assumptions!$C$7,C1134)),Assumptions!$D$7,"Other Services"))),"Other Services"))</f>
        <v/>
      </c>
    </row>
    <row r="1135" customFormat="false" ht="15" hidden="false" customHeight="false" outlineLevel="0" collapsed="false">
      <c r="F1135" s="41" t="str">
        <f aca="false">IF(C1135="","",IFERROR(IF(ISNUMBER(SEARCH(Assumptions!$C$5,C1135)),Assumptions!$D$5,IF(ISNUMBER(SEARCH(Assumptions!$C$6,C1135)),Assumptions!$D$6,IF(ISNUMBER(SEARCH(Assumptions!$C$7,C1135)),Assumptions!$D$7,"Other Services"))),"Other Services"))</f>
        <v/>
      </c>
    </row>
    <row r="1136" customFormat="false" ht="15" hidden="false" customHeight="false" outlineLevel="0" collapsed="false">
      <c r="F1136" s="41" t="str">
        <f aca="false">IF(C1136="","",IFERROR(IF(ISNUMBER(SEARCH(Assumptions!$C$5,C1136)),Assumptions!$D$5,IF(ISNUMBER(SEARCH(Assumptions!$C$6,C1136)),Assumptions!$D$6,IF(ISNUMBER(SEARCH(Assumptions!$C$7,C1136)),Assumptions!$D$7,"Other Services"))),"Other Services"))</f>
        <v/>
      </c>
    </row>
    <row r="1137" customFormat="false" ht="15" hidden="false" customHeight="false" outlineLevel="0" collapsed="false">
      <c r="F1137" s="41" t="str">
        <f aca="false">IF(C1137="","",IFERROR(IF(ISNUMBER(SEARCH(Assumptions!$C$5,C1137)),Assumptions!$D$5,IF(ISNUMBER(SEARCH(Assumptions!$C$6,C1137)),Assumptions!$D$6,IF(ISNUMBER(SEARCH(Assumptions!$C$7,C1137)),Assumptions!$D$7,"Other Services"))),"Other Services"))</f>
        <v/>
      </c>
    </row>
    <row r="1138" customFormat="false" ht="15" hidden="false" customHeight="false" outlineLevel="0" collapsed="false">
      <c r="F1138" s="41" t="str">
        <f aca="false">IF(C1138="","",IFERROR(IF(ISNUMBER(SEARCH(Assumptions!$C$5,C1138)),Assumptions!$D$5,IF(ISNUMBER(SEARCH(Assumptions!$C$6,C1138)),Assumptions!$D$6,IF(ISNUMBER(SEARCH(Assumptions!$C$7,C1138)),Assumptions!$D$7,"Other Services"))),"Other Services"))</f>
        <v/>
      </c>
    </row>
    <row r="1139" customFormat="false" ht="15" hidden="false" customHeight="false" outlineLevel="0" collapsed="false">
      <c r="F1139" s="41" t="str">
        <f aca="false">IF(C1139="","",IFERROR(IF(ISNUMBER(SEARCH(Assumptions!$C$5,C1139)),Assumptions!$D$5,IF(ISNUMBER(SEARCH(Assumptions!$C$6,C1139)),Assumptions!$D$6,IF(ISNUMBER(SEARCH(Assumptions!$C$7,C1139)),Assumptions!$D$7,"Other Services"))),"Other Services"))</f>
        <v/>
      </c>
    </row>
    <row r="1140" customFormat="false" ht="15" hidden="false" customHeight="false" outlineLevel="0" collapsed="false">
      <c r="F1140" s="41" t="str">
        <f aca="false">IF(C1140="","",IFERROR(IF(ISNUMBER(SEARCH(Assumptions!$C$5,C1140)),Assumptions!$D$5,IF(ISNUMBER(SEARCH(Assumptions!$C$6,C1140)),Assumptions!$D$6,IF(ISNUMBER(SEARCH(Assumptions!$C$7,C1140)),Assumptions!$D$7,"Other Services"))),"Other Services"))</f>
        <v/>
      </c>
    </row>
    <row r="1141" customFormat="false" ht="15" hidden="false" customHeight="false" outlineLevel="0" collapsed="false">
      <c r="F1141" s="41" t="str">
        <f aca="false">IF(C1141="","",IFERROR(IF(ISNUMBER(SEARCH(Assumptions!$C$5,C1141)),Assumptions!$D$5,IF(ISNUMBER(SEARCH(Assumptions!$C$6,C1141)),Assumptions!$D$6,IF(ISNUMBER(SEARCH(Assumptions!$C$7,C1141)),Assumptions!$D$7,"Other Services"))),"Other Services"))</f>
        <v/>
      </c>
    </row>
    <row r="1142" customFormat="false" ht="15" hidden="false" customHeight="false" outlineLevel="0" collapsed="false">
      <c r="F1142" s="41" t="str">
        <f aca="false">IF(C1142="","",IFERROR(IF(ISNUMBER(SEARCH(Assumptions!$C$5,C1142)),Assumptions!$D$5,IF(ISNUMBER(SEARCH(Assumptions!$C$6,C1142)),Assumptions!$D$6,IF(ISNUMBER(SEARCH(Assumptions!$C$7,C1142)),Assumptions!$D$7,"Other Services"))),"Other Services"))</f>
        <v/>
      </c>
    </row>
    <row r="1143" customFormat="false" ht="15" hidden="false" customHeight="false" outlineLevel="0" collapsed="false">
      <c r="F1143" s="41" t="str">
        <f aca="false">IF(C1143="","",IFERROR(IF(ISNUMBER(SEARCH(Assumptions!$C$5,C1143)),Assumptions!$D$5,IF(ISNUMBER(SEARCH(Assumptions!$C$6,C1143)),Assumptions!$D$6,IF(ISNUMBER(SEARCH(Assumptions!$C$7,C1143)),Assumptions!$D$7,"Other Services"))),"Other Services"))</f>
        <v/>
      </c>
    </row>
    <row r="1144" customFormat="false" ht="15" hidden="false" customHeight="false" outlineLevel="0" collapsed="false">
      <c r="F1144" s="41" t="str">
        <f aca="false">IF(C1144="","",IFERROR(IF(ISNUMBER(SEARCH(Assumptions!$C$5,C1144)),Assumptions!$D$5,IF(ISNUMBER(SEARCH(Assumptions!$C$6,C1144)),Assumptions!$D$6,IF(ISNUMBER(SEARCH(Assumptions!$C$7,C1144)),Assumptions!$D$7,"Other Services"))),"Other Services"))</f>
        <v/>
      </c>
    </row>
    <row r="1145" customFormat="false" ht="15" hidden="false" customHeight="false" outlineLevel="0" collapsed="false">
      <c r="F1145" s="41" t="str">
        <f aca="false">IF(C1145="","",IFERROR(IF(ISNUMBER(SEARCH(Assumptions!$C$5,C1145)),Assumptions!$D$5,IF(ISNUMBER(SEARCH(Assumptions!$C$6,C1145)),Assumptions!$D$6,IF(ISNUMBER(SEARCH(Assumptions!$C$7,C1145)),Assumptions!$D$7,"Other Services"))),"Other Services"))</f>
        <v/>
      </c>
    </row>
    <row r="1146" customFormat="false" ht="15" hidden="false" customHeight="false" outlineLevel="0" collapsed="false">
      <c r="F1146" s="41" t="str">
        <f aca="false">IF(C1146="","",IFERROR(IF(ISNUMBER(SEARCH(Assumptions!$C$5,C1146)),Assumptions!$D$5,IF(ISNUMBER(SEARCH(Assumptions!$C$6,C1146)),Assumptions!$D$6,IF(ISNUMBER(SEARCH(Assumptions!$C$7,C1146)),Assumptions!$D$7,"Other Services"))),"Other Services"))</f>
        <v/>
      </c>
    </row>
    <row r="1147" customFormat="false" ht="15" hidden="false" customHeight="false" outlineLevel="0" collapsed="false">
      <c r="F1147" s="41" t="str">
        <f aca="false">IF(C1147="","",IFERROR(IF(ISNUMBER(SEARCH(Assumptions!$C$5,C1147)),Assumptions!$D$5,IF(ISNUMBER(SEARCH(Assumptions!$C$6,C1147)),Assumptions!$D$6,IF(ISNUMBER(SEARCH(Assumptions!$C$7,C1147)),Assumptions!$D$7,"Other Services"))),"Other Services"))</f>
        <v/>
      </c>
    </row>
    <row r="1148" customFormat="false" ht="15" hidden="false" customHeight="false" outlineLevel="0" collapsed="false">
      <c r="F1148" s="41" t="str">
        <f aca="false">IF(C1148="","",IFERROR(IF(ISNUMBER(SEARCH(Assumptions!$C$5,C1148)),Assumptions!$D$5,IF(ISNUMBER(SEARCH(Assumptions!$C$6,C1148)),Assumptions!$D$6,IF(ISNUMBER(SEARCH(Assumptions!$C$7,C1148)),Assumptions!$D$7,"Other Services"))),"Other Services"))</f>
        <v/>
      </c>
    </row>
    <row r="1149" customFormat="false" ht="15" hidden="false" customHeight="false" outlineLevel="0" collapsed="false">
      <c r="F1149" s="41" t="str">
        <f aca="false">IF(C1149="","",IFERROR(IF(ISNUMBER(SEARCH(Assumptions!$C$5,C1149)),Assumptions!$D$5,IF(ISNUMBER(SEARCH(Assumptions!$C$6,C1149)),Assumptions!$D$6,IF(ISNUMBER(SEARCH(Assumptions!$C$7,C1149)),Assumptions!$D$7,"Other Services"))),"Other Services"))</f>
        <v/>
      </c>
    </row>
    <row r="1150" customFormat="false" ht="15" hidden="false" customHeight="false" outlineLevel="0" collapsed="false">
      <c r="F1150" s="41" t="str">
        <f aca="false">IF(C1150="","",IFERROR(IF(ISNUMBER(SEARCH(Assumptions!$C$5,C1150)),Assumptions!$D$5,IF(ISNUMBER(SEARCH(Assumptions!$C$6,C1150)),Assumptions!$D$6,IF(ISNUMBER(SEARCH(Assumptions!$C$7,C1150)),Assumptions!$D$7,"Other Services"))),"Other Services"))</f>
        <v/>
      </c>
    </row>
    <row r="1151" customFormat="false" ht="15" hidden="false" customHeight="false" outlineLevel="0" collapsed="false">
      <c r="F1151" s="41" t="str">
        <f aca="false">IF(C1151="","",IFERROR(IF(ISNUMBER(SEARCH(Assumptions!$C$5,C1151)),Assumptions!$D$5,IF(ISNUMBER(SEARCH(Assumptions!$C$6,C1151)),Assumptions!$D$6,IF(ISNUMBER(SEARCH(Assumptions!$C$7,C1151)),Assumptions!$D$7,"Other Services"))),"Other Services"))</f>
        <v/>
      </c>
    </row>
    <row r="1152" customFormat="false" ht="15" hidden="false" customHeight="false" outlineLevel="0" collapsed="false">
      <c r="F1152" s="41" t="str">
        <f aca="false">IF(C1152="","",IFERROR(IF(ISNUMBER(SEARCH(Assumptions!$C$5,C1152)),Assumptions!$D$5,IF(ISNUMBER(SEARCH(Assumptions!$C$6,C1152)),Assumptions!$D$6,IF(ISNUMBER(SEARCH(Assumptions!$C$7,C1152)),Assumptions!$D$7,"Other Services"))),"Other Services"))</f>
        <v/>
      </c>
    </row>
    <row r="1153" customFormat="false" ht="15" hidden="false" customHeight="false" outlineLevel="0" collapsed="false">
      <c r="F1153" s="41" t="str">
        <f aca="false">IF(C1153="","",IFERROR(IF(ISNUMBER(SEARCH(Assumptions!$C$5,C1153)),Assumptions!$D$5,IF(ISNUMBER(SEARCH(Assumptions!$C$6,C1153)),Assumptions!$D$6,IF(ISNUMBER(SEARCH(Assumptions!$C$7,C1153)),Assumptions!$D$7,"Other Services"))),"Other Services"))</f>
        <v/>
      </c>
    </row>
    <row r="1154" customFormat="false" ht="15" hidden="false" customHeight="false" outlineLevel="0" collapsed="false">
      <c r="F1154" s="41" t="str">
        <f aca="false">IF(C1154="","",IFERROR(IF(ISNUMBER(SEARCH(Assumptions!$C$5,C1154)),Assumptions!$D$5,IF(ISNUMBER(SEARCH(Assumptions!$C$6,C1154)),Assumptions!$D$6,IF(ISNUMBER(SEARCH(Assumptions!$C$7,C1154)),Assumptions!$D$7,"Other Services"))),"Other Services"))</f>
        <v/>
      </c>
    </row>
    <row r="1155" customFormat="false" ht="15" hidden="false" customHeight="false" outlineLevel="0" collapsed="false">
      <c r="F1155" s="41" t="str">
        <f aca="false">IF(C1155="","",IFERROR(IF(ISNUMBER(SEARCH(Assumptions!$C$5,C1155)),Assumptions!$D$5,IF(ISNUMBER(SEARCH(Assumptions!$C$6,C1155)),Assumptions!$D$6,IF(ISNUMBER(SEARCH(Assumptions!$C$7,C1155)),Assumptions!$D$7,"Other Services"))),"Other Services"))</f>
        <v/>
      </c>
    </row>
    <row r="1156" customFormat="false" ht="15" hidden="false" customHeight="false" outlineLevel="0" collapsed="false">
      <c r="F1156" s="41" t="str">
        <f aca="false">IF(C1156="","",IFERROR(IF(ISNUMBER(SEARCH(Assumptions!$C$5,C1156)),Assumptions!$D$5,IF(ISNUMBER(SEARCH(Assumptions!$C$6,C1156)),Assumptions!$D$6,IF(ISNUMBER(SEARCH(Assumptions!$C$7,C1156)),Assumptions!$D$7,"Other Services"))),"Other Services"))</f>
        <v/>
      </c>
    </row>
    <row r="1157" customFormat="false" ht="15" hidden="false" customHeight="false" outlineLevel="0" collapsed="false">
      <c r="F1157" s="41" t="str">
        <f aca="false">IF(C1157="","",IFERROR(IF(ISNUMBER(SEARCH(Assumptions!$C$5,C1157)),Assumptions!$D$5,IF(ISNUMBER(SEARCH(Assumptions!$C$6,C1157)),Assumptions!$D$6,IF(ISNUMBER(SEARCH(Assumptions!$C$7,C1157)),Assumptions!$D$7,"Other Services"))),"Other Services"))</f>
        <v/>
      </c>
    </row>
    <row r="1158" customFormat="false" ht="15" hidden="false" customHeight="false" outlineLevel="0" collapsed="false">
      <c r="F1158" s="41" t="str">
        <f aca="false">IF(C1158="","",IFERROR(IF(ISNUMBER(SEARCH(Assumptions!$C$5,C1158)),Assumptions!$D$5,IF(ISNUMBER(SEARCH(Assumptions!$C$6,C1158)),Assumptions!$D$6,IF(ISNUMBER(SEARCH(Assumptions!$C$7,C1158)),Assumptions!$D$7,"Other Services"))),"Other Services"))</f>
        <v/>
      </c>
    </row>
    <row r="1159" customFormat="false" ht="15" hidden="false" customHeight="false" outlineLevel="0" collapsed="false">
      <c r="F1159" s="41" t="str">
        <f aca="false">IF(C1159="","",IFERROR(IF(ISNUMBER(SEARCH(Assumptions!$C$5,C1159)),Assumptions!$D$5,IF(ISNUMBER(SEARCH(Assumptions!$C$6,C1159)),Assumptions!$D$6,IF(ISNUMBER(SEARCH(Assumptions!$C$7,C1159)),Assumptions!$D$7,"Other Services"))),"Other Services"))</f>
        <v/>
      </c>
    </row>
    <row r="1160" customFormat="false" ht="15" hidden="false" customHeight="false" outlineLevel="0" collapsed="false">
      <c r="F1160" s="41" t="str">
        <f aca="false">IF(C1160="","",IFERROR(IF(ISNUMBER(SEARCH(Assumptions!$C$5,C1160)),Assumptions!$D$5,IF(ISNUMBER(SEARCH(Assumptions!$C$6,C1160)),Assumptions!$D$6,IF(ISNUMBER(SEARCH(Assumptions!$C$7,C1160)),Assumptions!$D$7,"Other Services"))),"Other Services"))</f>
        <v/>
      </c>
    </row>
    <row r="1161" customFormat="false" ht="15" hidden="false" customHeight="false" outlineLevel="0" collapsed="false">
      <c r="F1161" s="41" t="str">
        <f aca="false">IF(C1161="","",IFERROR(IF(ISNUMBER(SEARCH(Assumptions!$C$5,C1161)),Assumptions!$D$5,IF(ISNUMBER(SEARCH(Assumptions!$C$6,C1161)),Assumptions!$D$6,IF(ISNUMBER(SEARCH(Assumptions!$C$7,C1161)),Assumptions!$D$7,"Other Services"))),"Other Services"))</f>
        <v/>
      </c>
    </row>
    <row r="1162" customFormat="false" ht="15" hidden="false" customHeight="false" outlineLevel="0" collapsed="false">
      <c r="F1162" s="41" t="str">
        <f aca="false">IF(C1162="","",IFERROR(IF(ISNUMBER(SEARCH(Assumptions!$C$5,C1162)),Assumptions!$D$5,IF(ISNUMBER(SEARCH(Assumptions!$C$6,C1162)),Assumptions!$D$6,IF(ISNUMBER(SEARCH(Assumptions!$C$7,C1162)),Assumptions!$D$7,"Other Services"))),"Other Services"))</f>
        <v/>
      </c>
    </row>
    <row r="1163" customFormat="false" ht="15" hidden="false" customHeight="false" outlineLevel="0" collapsed="false">
      <c r="F1163" s="41" t="str">
        <f aca="false">IF(C1163="","",IFERROR(IF(ISNUMBER(SEARCH(Assumptions!$C$5,C1163)),Assumptions!$D$5,IF(ISNUMBER(SEARCH(Assumptions!$C$6,C1163)),Assumptions!$D$6,IF(ISNUMBER(SEARCH(Assumptions!$C$7,C1163)),Assumptions!$D$7,"Other Services"))),"Other Services"))</f>
        <v/>
      </c>
    </row>
    <row r="1164" customFormat="false" ht="15" hidden="false" customHeight="false" outlineLevel="0" collapsed="false">
      <c r="F1164" s="41" t="str">
        <f aca="false">IF(C1164="","",IFERROR(IF(ISNUMBER(SEARCH(Assumptions!$C$5,C1164)),Assumptions!$D$5,IF(ISNUMBER(SEARCH(Assumptions!$C$6,C1164)),Assumptions!$D$6,IF(ISNUMBER(SEARCH(Assumptions!$C$7,C1164)),Assumptions!$D$7,"Other Services"))),"Other Services"))</f>
        <v/>
      </c>
    </row>
    <row r="1165" customFormat="false" ht="15" hidden="false" customHeight="false" outlineLevel="0" collapsed="false">
      <c r="F1165" s="41" t="str">
        <f aca="false">IF(C1165="","",IFERROR(IF(ISNUMBER(SEARCH(Assumptions!$C$5,C1165)),Assumptions!$D$5,IF(ISNUMBER(SEARCH(Assumptions!$C$6,C1165)),Assumptions!$D$6,IF(ISNUMBER(SEARCH(Assumptions!$C$7,C1165)),Assumptions!$D$7,"Other Services"))),"Other Services"))</f>
        <v/>
      </c>
    </row>
    <row r="1166" customFormat="false" ht="15" hidden="false" customHeight="false" outlineLevel="0" collapsed="false">
      <c r="F1166" s="41" t="str">
        <f aca="false">IF(C1166="","",IFERROR(IF(ISNUMBER(SEARCH(Assumptions!$C$5,C1166)),Assumptions!$D$5,IF(ISNUMBER(SEARCH(Assumptions!$C$6,C1166)),Assumptions!$D$6,IF(ISNUMBER(SEARCH(Assumptions!$C$7,C1166)),Assumptions!$D$7,"Other Services"))),"Other Services"))</f>
        <v/>
      </c>
    </row>
    <row r="1167" customFormat="false" ht="15" hidden="false" customHeight="false" outlineLevel="0" collapsed="false">
      <c r="F1167" s="41" t="str">
        <f aca="false">IF(C1167="","",IFERROR(IF(ISNUMBER(SEARCH(Assumptions!$C$5,C1167)),Assumptions!$D$5,IF(ISNUMBER(SEARCH(Assumptions!$C$6,C1167)),Assumptions!$D$6,IF(ISNUMBER(SEARCH(Assumptions!$C$7,C1167)),Assumptions!$D$7,"Other Services"))),"Other Services"))</f>
        <v/>
      </c>
    </row>
    <row r="1168" customFormat="false" ht="15" hidden="false" customHeight="false" outlineLevel="0" collapsed="false">
      <c r="F1168" s="41" t="str">
        <f aca="false">IF(C1168="","",IFERROR(IF(ISNUMBER(SEARCH(Assumptions!$C$5,C1168)),Assumptions!$D$5,IF(ISNUMBER(SEARCH(Assumptions!$C$6,C1168)),Assumptions!$D$6,IF(ISNUMBER(SEARCH(Assumptions!$C$7,C1168)),Assumptions!$D$7,"Other Services"))),"Other Services"))</f>
        <v/>
      </c>
    </row>
    <row r="1169" customFormat="false" ht="15" hidden="false" customHeight="false" outlineLevel="0" collapsed="false">
      <c r="F1169" s="41" t="str">
        <f aca="false">IF(C1169="","",IFERROR(IF(ISNUMBER(SEARCH(Assumptions!$C$5,C1169)),Assumptions!$D$5,IF(ISNUMBER(SEARCH(Assumptions!$C$6,C1169)),Assumptions!$D$6,IF(ISNUMBER(SEARCH(Assumptions!$C$7,C1169)),Assumptions!$D$7,"Other Services"))),"Other Services"))</f>
        <v/>
      </c>
    </row>
    <row r="1170" customFormat="false" ht="15" hidden="false" customHeight="false" outlineLevel="0" collapsed="false">
      <c r="F1170" s="41" t="str">
        <f aca="false">IF(C1170="","",IFERROR(IF(ISNUMBER(SEARCH(Assumptions!$C$5,C1170)),Assumptions!$D$5,IF(ISNUMBER(SEARCH(Assumptions!$C$6,C1170)),Assumptions!$D$6,IF(ISNUMBER(SEARCH(Assumptions!$C$7,C1170)),Assumptions!$D$7,"Other Services"))),"Other Services"))</f>
        <v/>
      </c>
    </row>
    <row r="1171" customFormat="false" ht="15" hidden="false" customHeight="false" outlineLevel="0" collapsed="false">
      <c r="F1171" s="41" t="str">
        <f aca="false">IF(C1171="","",IFERROR(IF(ISNUMBER(SEARCH(Assumptions!$C$5,C1171)),Assumptions!$D$5,IF(ISNUMBER(SEARCH(Assumptions!$C$6,C1171)),Assumptions!$D$6,IF(ISNUMBER(SEARCH(Assumptions!$C$7,C1171)),Assumptions!$D$7,"Other Services"))),"Other Services"))</f>
        <v/>
      </c>
    </row>
    <row r="1172" customFormat="false" ht="15" hidden="false" customHeight="false" outlineLevel="0" collapsed="false">
      <c r="F1172" s="41" t="str">
        <f aca="false">IF(C1172="","",IFERROR(IF(ISNUMBER(SEARCH(Assumptions!$C$5,C1172)),Assumptions!$D$5,IF(ISNUMBER(SEARCH(Assumptions!$C$6,C1172)),Assumptions!$D$6,IF(ISNUMBER(SEARCH(Assumptions!$C$7,C1172)),Assumptions!$D$7,"Other Services"))),"Other Services"))</f>
        <v/>
      </c>
    </row>
    <row r="1173" customFormat="false" ht="15" hidden="false" customHeight="false" outlineLevel="0" collapsed="false">
      <c r="F1173" s="41" t="str">
        <f aca="false">IF(C1173="","",IFERROR(IF(ISNUMBER(SEARCH(Assumptions!$C$5,C1173)),Assumptions!$D$5,IF(ISNUMBER(SEARCH(Assumptions!$C$6,C1173)),Assumptions!$D$6,IF(ISNUMBER(SEARCH(Assumptions!$C$7,C1173)),Assumptions!$D$7,"Other Services"))),"Other Services"))</f>
        <v/>
      </c>
    </row>
    <row r="1174" customFormat="false" ht="15" hidden="false" customHeight="false" outlineLevel="0" collapsed="false">
      <c r="F1174" s="41" t="str">
        <f aca="false">IF(C1174="","",IFERROR(IF(ISNUMBER(SEARCH(Assumptions!$C$5,C1174)),Assumptions!$D$5,IF(ISNUMBER(SEARCH(Assumptions!$C$6,C1174)),Assumptions!$D$6,IF(ISNUMBER(SEARCH(Assumptions!$C$7,C1174)),Assumptions!$D$7,"Other Services"))),"Other Services"))</f>
        <v/>
      </c>
    </row>
    <row r="1175" customFormat="false" ht="15" hidden="false" customHeight="false" outlineLevel="0" collapsed="false">
      <c r="F1175" s="41" t="str">
        <f aca="false">IF(C1175="","",IFERROR(IF(ISNUMBER(SEARCH(Assumptions!$C$5,C1175)),Assumptions!$D$5,IF(ISNUMBER(SEARCH(Assumptions!$C$6,C1175)),Assumptions!$D$6,IF(ISNUMBER(SEARCH(Assumptions!$C$7,C1175)),Assumptions!$D$7,"Other Services"))),"Other Services"))</f>
        <v/>
      </c>
    </row>
    <row r="1176" customFormat="false" ht="15" hidden="false" customHeight="false" outlineLevel="0" collapsed="false">
      <c r="F1176" s="41" t="str">
        <f aca="false">IF(C1176="","",IFERROR(IF(ISNUMBER(SEARCH(Assumptions!$C$5,C1176)),Assumptions!$D$5,IF(ISNUMBER(SEARCH(Assumptions!$C$6,C1176)),Assumptions!$D$6,IF(ISNUMBER(SEARCH(Assumptions!$C$7,C1176)),Assumptions!$D$7,"Other Services"))),"Other Services"))</f>
        <v/>
      </c>
    </row>
    <row r="1177" customFormat="false" ht="15" hidden="false" customHeight="false" outlineLevel="0" collapsed="false">
      <c r="F1177" s="41" t="str">
        <f aca="false">IF(C1177="","",IFERROR(IF(ISNUMBER(SEARCH(Assumptions!$C$5,C1177)),Assumptions!$D$5,IF(ISNUMBER(SEARCH(Assumptions!$C$6,C1177)),Assumptions!$D$6,IF(ISNUMBER(SEARCH(Assumptions!$C$7,C1177)),Assumptions!$D$7,"Other Services"))),"Other Services"))</f>
        <v/>
      </c>
    </row>
    <row r="1178" customFormat="false" ht="15" hidden="false" customHeight="false" outlineLevel="0" collapsed="false">
      <c r="F1178" s="41" t="str">
        <f aca="false">IF(C1178="","",IFERROR(IF(ISNUMBER(SEARCH(Assumptions!$C$5,C1178)),Assumptions!$D$5,IF(ISNUMBER(SEARCH(Assumptions!$C$6,C1178)),Assumptions!$D$6,IF(ISNUMBER(SEARCH(Assumptions!$C$7,C1178)),Assumptions!$D$7,"Other Services"))),"Other Services"))</f>
        <v/>
      </c>
    </row>
    <row r="1179" customFormat="false" ht="15" hidden="false" customHeight="false" outlineLevel="0" collapsed="false">
      <c r="F1179" s="41" t="str">
        <f aca="false">IF(C1179="","",IFERROR(IF(ISNUMBER(SEARCH(Assumptions!$C$5,C1179)),Assumptions!$D$5,IF(ISNUMBER(SEARCH(Assumptions!$C$6,C1179)),Assumptions!$D$6,IF(ISNUMBER(SEARCH(Assumptions!$C$7,C1179)),Assumptions!$D$7,"Other Services"))),"Other Services"))</f>
        <v/>
      </c>
    </row>
    <row r="1180" customFormat="false" ht="15" hidden="false" customHeight="false" outlineLevel="0" collapsed="false">
      <c r="F1180" s="41" t="str">
        <f aca="false">IF(C1180="","",IFERROR(IF(ISNUMBER(SEARCH(Assumptions!$C$5,C1180)),Assumptions!$D$5,IF(ISNUMBER(SEARCH(Assumptions!$C$6,C1180)),Assumptions!$D$6,IF(ISNUMBER(SEARCH(Assumptions!$C$7,C1180)),Assumptions!$D$7,"Other Services"))),"Other Services"))</f>
        <v/>
      </c>
    </row>
    <row r="1181" customFormat="false" ht="15" hidden="false" customHeight="false" outlineLevel="0" collapsed="false">
      <c r="F1181" s="41" t="str">
        <f aca="false">IF(C1181="","",IFERROR(IF(ISNUMBER(SEARCH(Assumptions!$C$5,C1181)),Assumptions!$D$5,IF(ISNUMBER(SEARCH(Assumptions!$C$6,C1181)),Assumptions!$D$6,IF(ISNUMBER(SEARCH(Assumptions!$C$7,C1181)),Assumptions!$D$7,"Other Services"))),"Other Services"))</f>
        <v/>
      </c>
    </row>
    <row r="1182" customFormat="false" ht="15" hidden="false" customHeight="false" outlineLevel="0" collapsed="false">
      <c r="F1182" s="41" t="str">
        <f aca="false">IF(C1182="","",IFERROR(IF(ISNUMBER(SEARCH(Assumptions!$C$5,C1182)),Assumptions!$D$5,IF(ISNUMBER(SEARCH(Assumptions!$C$6,C1182)),Assumptions!$D$6,IF(ISNUMBER(SEARCH(Assumptions!$C$7,C1182)),Assumptions!$D$7,"Other Services"))),"Other Services"))</f>
        <v/>
      </c>
    </row>
    <row r="1183" customFormat="false" ht="15" hidden="false" customHeight="false" outlineLevel="0" collapsed="false">
      <c r="F1183" s="41" t="str">
        <f aca="false">IF(C1183="","",IFERROR(IF(ISNUMBER(SEARCH(Assumptions!$C$5,C1183)),Assumptions!$D$5,IF(ISNUMBER(SEARCH(Assumptions!$C$6,C1183)),Assumptions!$D$6,IF(ISNUMBER(SEARCH(Assumptions!$C$7,C1183)),Assumptions!$D$7,"Other Services"))),"Other Services"))</f>
        <v/>
      </c>
    </row>
    <row r="1184" customFormat="false" ht="15" hidden="false" customHeight="false" outlineLevel="0" collapsed="false">
      <c r="F1184" s="41" t="str">
        <f aca="false">IF(C1184="","",IFERROR(IF(ISNUMBER(SEARCH(Assumptions!$C$5,C1184)),Assumptions!$D$5,IF(ISNUMBER(SEARCH(Assumptions!$C$6,C1184)),Assumptions!$D$6,IF(ISNUMBER(SEARCH(Assumptions!$C$7,C1184)),Assumptions!$D$7,"Other Services"))),"Other Services"))</f>
        <v/>
      </c>
    </row>
    <row r="1185" customFormat="false" ht="15" hidden="false" customHeight="false" outlineLevel="0" collapsed="false">
      <c r="F1185" s="41" t="str">
        <f aca="false">IF(C1185="","",IFERROR(IF(ISNUMBER(SEARCH(Assumptions!$C$5,C1185)),Assumptions!$D$5,IF(ISNUMBER(SEARCH(Assumptions!$C$6,C1185)),Assumptions!$D$6,IF(ISNUMBER(SEARCH(Assumptions!$C$7,C1185)),Assumptions!$D$7,"Other Services"))),"Other Services"))</f>
        <v/>
      </c>
    </row>
    <row r="1186" customFormat="false" ht="15" hidden="false" customHeight="false" outlineLevel="0" collapsed="false">
      <c r="F1186" s="41" t="str">
        <f aca="false">IF(C1186="","",IFERROR(IF(ISNUMBER(SEARCH(Assumptions!$C$5,C1186)),Assumptions!$D$5,IF(ISNUMBER(SEARCH(Assumptions!$C$6,C1186)),Assumptions!$D$6,IF(ISNUMBER(SEARCH(Assumptions!$C$7,C1186)),Assumptions!$D$7,"Other Services"))),"Other Services"))</f>
        <v/>
      </c>
    </row>
    <row r="1187" customFormat="false" ht="15" hidden="false" customHeight="false" outlineLevel="0" collapsed="false">
      <c r="F1187" s="41" t="str">
        <f aca="false">IF(C1187="","",IFERROR(IF(ISNUMBER(SEARCH(Assumptions!$C$5,C1187)),Assumptions!$D$5,IF(ISNUMBER(SEARCH(Assumptions!$C$6,C1187)),Assumptions!$D$6,IF(ISNUMBER(SEARCH(Assumptions!$C$7,C1187)),Assumptions!$D$7,"Other Services"))),"Other Services"))</f>
        <v/>
      </c>
    </row>
    <row r="1188" customFormat="false" ht="15" hidden="false" customHeight="false" outlineLevel="0" collapsed="false">
      <c r="F1188" s="41" t="str">
        <f aca="false">IF(C1188="","",IFERROR(IF(ISNUMBER(SEARCH(Assumptions!$C$5,C1188)),Assumptions!$D$5,IF(ISNUMBER(SEARCH(Assumptions!$C$6,C1188)),Assumptions!$D$6,IF(ISNUMBER(SEARCH(Assumptions!$C$7,C1188)),Assumptions!$D$7,"Other Services"))),"Other Services"))</f>
        <v/>
      </c>
    </row>
    <row r="1189" customFormat="false" ht="15" hidden="false" customHeight="false" outlineLevel="0" collapsed="false">
      <c r="F1189" s="41" t="str">
        <f aca="false">IF(C1189="","",IFERROR(IF(ISNUMBER(SEARCH(Assumptions!$C$5,C1189)),Assumptions!$D$5,IF(ISNUMBER(SEARCH(Assumptions!$C$6,C1189)),Assumptions!$D$6,IF(ISNUMBER(SEARCH(Assumptions!$C$7,C1189)),Assumptions!$D$7,"Other Services"))),"Other Services"))</f>
        <v/>
      </c>
    </row>
    <row r="1190" customFormat="false" ht="15" hidden="false" customHeight="false" outlineLevel="0" collapsed="false">
      <c r="F1190" s="41" t="str">
        <f aca="false">IF(C1190="","",IFERROR(IF(ISNUMBER(SEARCH(Assumptions!$C$5,C1190)),Assumptions!$D$5,IF(ISNUMBER(SEARCH(Assumptions!$C$6,C1190)),Assumptions!$D$6,IF(ISNUMBER(SEARCH(Assumptions!$C$7,C1190)),Assumptions!$D$7,"Other Services"))),"Other Services"))</f>
        <v/>
      </c>
    </row>
    <row r="1191" customFormat="false" ht="15" hidden="false" customHeight="false" outlineLevel="0" collapsed="false">
      <c r="F1191" s="41" t="str">
        <f aca="false">IF(C1191="","",IFERROR(IF(ISNUMBER(SEARCH(Assumptions!$C$5,C1191)),Assumptions!$D$5,IF(ISNUMBER(SEARCH(Assumptions!$C$6,C1191)),Assumptions!$D$6,IF(ISNUMBER(SEARCH(Assumptions!$C$7,C1191)),Assumptions!$D$7,"Other Services"))),"Other Services"))</f>
        <v/>
      </c>
    </row>
    <row r="1192" customFormat="false" ht="15" hidden="false" customHeight="false" outlineLevel="0" collapsed="false">
      <c r="F1192" s="41" t="str">
        <f aca="false">IF(C1192="","",IFERROR(IF(ISNUMBER(SEARCH(Assumptions!$C$5,C1192)),Assumptions!$D$5,IF(ISNUMBER(SEARCH(Assumptions!$C$6,C1192)),Assumptions!$D$6,IF(ISNUMBER(SEARCH(Assumptions!$C$7,C1192)),Assumptions!$D$7,"Other Services"))),"Other Services"))</f>
        <v/>
      </c>
    </row>
    <row r="1193" customFormat="false" ht="15" hidden="false" customHeight="false" outlineLevel="0" collapsed="false">
      <c r="F1193" s="41" t="str">
        <f aca="false">IF(C1193="","",IFERROR(IF(ISNUMBER(SEARCH(Assumptions!$C$5,C1193)),Assumptions!$D$5,IF(ISNUMBER(SEARCH(Assumptions!$C$6,C1193)),Assumptions!$D$6,IF(ISNUMBER(SEARCH(Assumptions!$C$7,C1193)),Assumptions!$D$7,"Other Services"))),"Other Services"))</f>
        <v/>
      </c>
    </row>
    <row r="1194" customFormat="false" ht="15" hidden="false" customHeight="false" outlineLevel="0" collapsed="false">
      <c r="F1194" s="41" t="str">
        <f aca="false">IF(C1194="","",IFERROR(IF(ISNUMBER(SEARCH(Assumptions!$C$5,C1194)),Assumptions!$D$5,IF(ISNUMBER(SEARCH(Assumptions!$C$6,C1194)),Assumptions!$D$6,IF(ISNUMBER(SEARCH(Assumptions!$C$7,C1194)),Assumptions!$D$7,"Other Services"))),"Other Services"))</f>
        <v/>
      </c>
    </row>
    <row r="1195" customFormat="false" ht="15" hidden="false" customHeight="false" outlineLevel="0" collapsed="false">
      <c r="F1195" s="41" t="str">
        <f aca="false">IF(C1195="","",IFERROR(IF(ISNUMBER(SEARCH(Assumptions!$C$5,C1195)),Assumptions!$D$5,IF(ISNUMBER(SEARCH(Assumptions!$C$6,C1195)),Assumptions!$D$6,IF(ISNUMBER(SEARCH(Assumptions!$C$7,C1195)),Assumptions!$D$7,"Other Services"))),"Other Services"))</f>
        <v/>
      </c>
    </row>
    <row r="1196" customFormat="false" ht="15" hidden="false" customHeight="false" outlineLevel="0" collapsed="false">
      <c r="F1196" s="41" t="str">
        <f aca="false">IF(C1196="","",IFERROR(IF(ISNUMBER(SEARCH(Assumptions!$C$5,C1196)),Assumptions!$D$5,IF(ISNUMBER(SEARCH(Assumptions!$C$6,C1196)),Assumptions!$D$6,IF(ISNUMBER(SEARCH(Assumptions!$C$7,C1196)),Assumptions!$D$7,"Other Services"))),"Other Services"))</f>
        <v/>
      </c>
    </row>
    <row r="1197" customFormat="false" ht="15" hidden="false" customHeight="false" outlineLevel="0" collapsed="false">
      <c r="F1197" s="41" t="str">
        <f aca="false">IF(C1197="","",IFERROR(IF(ISNUMBER(SEARCH(Assumptions!$C$5,C1197)),Assumptions!$D$5,IF(ISNUMBER(SEARCH(Assumptions!$C$6,C1197)),Assumptions!$D$6,IF(ISNUMBER(SEARCH(Assumptions!$C$7,C1197)),Assumptions!$D$7,"Other Services"))),"Other Services"))</f>
        <v/>
      </c>
    </row>
    <row r="1198" customFormat="false" ht="15" hidden="false" customHeight="false" outlineLevel="0" collapsed="false">
      <c r="F1198" s="41" t="str">
        <f aca="false">IF(C1198="","",IFERROR(IF(ISNUMBER(SEARCH(Assumptions!$C$5,C1198)),Assumptions!$D$5,IF(ISNUMBER(SEARCH(Assumptions!$C$6,C1198)),Assumptions!$D$6,IF(ISNUMBER(SEARCH(Assumptions!$C$7,C1198)),Assumptions!$D$7,"Other Services"))),"Other Services"))</f>
        <v/>
      </c>
    </row>
    <row r="1199" customFormat="false" ht="15" hidden="false" customHeight="false" outlineLevel="0" collapsed="false">
      <c r="F1199" s="41" t="str">
        <f aca="false">IF(C1199="","",IFERROR(IF(ISNUMBER(SEARCH(Assumptions!$C$5,C1199)),Assumptions!$D$5,IF(ISNUMBER(SEARCH(Assumptions!$C$6,C1199)),Assumptions!$D$6,IF(ISNUMBER(SEARCH(Assumptions!$C$7,C1199)),Assumptions!$D$7,"Other Services"))),"Other Services"))</f>
        <v/>
      </c>
    </row>
    <row r="1200" customFormat="false" ht="15" hidden="false" customHeight="false" outlineLevel="0" collapsed="false">
      <c r="F1200" s="41" t="str">
        <f aca="false">IF(C1200="","",IFERROR(IF(ISNUMBER(SEARCH(Assumptions!$C$5,C1200)),Assumptions!$D$5,IF(ISNUMBER(SEARCH(Assumptions!$C$6,C1200)),Assumptions!$D$6,IF(ISNUMBER(SEARCH(Assumptions!$C$7,C1200)),Assumptions!$D$7,"Other Services"))),"Other Services"))</f>
        <v/>
      </c>
    </row>
    <row r="1201" customFormat="false" ht="15" hidden="false" customHeight="false" outlineLevel="0" collapsed="false">
      <c r="F1201" s="41" t="str">
        <f aca="false">IF(C1201="","",IFERROR(IF(ISNUMBER(SEARCH(Assumptions!$C$5,C1201)),Assumptions!$D$5,IF(ISNUMBER(SEARCH(Assumptions!$C$6,C1201)),Assumptions!$D$6,IF(ISNUMBER(SEARCH(Assumptions!$C$7,C1201)),Assumptions!$D$7,"Other Services"))),"Other Services"))</f>
        <v/>
      </c>
    </row>
    <row r="1202" customFormat="false" ht="15" hidden="false" customHeight="false" outlineLevel="0" collapsed="false">
      <c r="F1202" s="41" t="str">
        <f aca="false">IF(C1202="","",IFERROR(IF(ISNUMBER(SEARCH(Assumptions!$C$5,C1202)),Assumptions!$D$5,IF(ISNUMBER(SEARCH(Assumptions!$C$6,C1202)),Assumptions!$D$6,IF(ISNUMBER(SEARCH(Assumptions!$C$7,C1202)),Assumptions!$D$7,"Other Services"))),"Other Services"))</f>
        <v/>
      </c>
    </row>
    <row r="1203" customFormat="false" ht="15" hidden="false" customHeight="false" outlineLevel="0" collapsed="false">
      <c r="F1203" s="41" t="str">
        <f aca="false">IF(C1203="","",IFERROR(IF(ISNUMBER(SEARCH(Assumptions!$C$5,C1203)),Assumptions!$D$5,IF(ISNUMBER(SEARCH(Assumptions!$C$6,C1203)),Assumptions!$D$6,IF(ISNUMBER(SEARCH(Assumptions!$C$7,C1203)),Assumptions!$D$7,"Other Services"))),"Other Services"))</f>
        <v/>
      </c>
    </row>
    <row r="1204" customFormat="false" ht="15" hidden="false" customHeight="false" outlineLevel="0" collapsed="false">
      <c r="F1204" s="41" t="str">
        <f aca="false">IF(C1204="","",IFERROR(IF(ISNUMBER(SEARCH(Assumptions!$C$5,C1204)),Assumptions!$D$5,IF(ISNUMBER(SEARCH(Assumptions!$C$6,C1204)),Assumptions!$D$6,IF(ISNUMBER(SEARCH(Assumptions!$C$7,C1204)),Assumptions!$D$7,"Other Services"))),"Other Services"))</f>
        <v/>
      </c>
    </row>
    <row r="1205" customFormat="false" ht="15" hidden="false" customHeight="false" outlineLevel="0" collapsed="false">
      <c r="F1205" s="41" t="str">
        <f aca="false">IF(C1205="","",IFERROR(IF(ISNUMBER(SEARCH(Assumptions!$C$5,C1205)),Assumptions!$D$5,IF(ISNUMBER(SEARCH(Assumptions!$C$6,C1205)),Assumptions!$D$6,IF(ISNUMBER(SEARCH(Assumptions!$C$7,C1205)),Assumptions!$D$7,"Other Services"))),"Other Services"))</f>
        <v/>
      </c>
    </row>
    <row r="1206" customFormat="false" ht="15" hidden="false" customHeight="false" outlineLevel="0" collapsed="false">
      <c r="F1206" s="41" t="str">
        <f aca="false">IF(C1206="","",IFERROR(IF(ISNUMBER(SEARCH(Assumptions!$C$5,C1206)),Assumptions!$D$5,IF(ISNUMBER(SEARCH(Assumptions!$C$6,C1206)),Assumptions!$D$6,IF(ISNUMBER(SEARCH(Assumptions!$C$7,C1206)),Assumptions!$D$7,"Other Services"))),"Other Services"))</f>
        <v/>
      </c>
    </row>
    <row r="1207" customFormat="false" ht="15" hidden="false" customHeight="false" outlineLevel="0" collapsed="false">
      <c r="F1207" s="41" t="str">
        <f aca="false">IF(C1207="","",IFERROR(IF(ISNUMBER(SEARCH(Assumptions!$C$5,C1207)),Assumptions!$D$5,IF(ISNUMBER(SEARCH(Assumptions!$C$6,C1207)),Assumptions!$D$6,IF(ISNUMBER(SEARCH(Assumptions!$C$7,C1207)),Assumptions!$D$7,"Other Services"))),"Other Services"))</f>
        <v/>
      </c>
    </row>
    <row r="1208" customFormat="false" ht="15" hidden="false" customHeight="false" outlineLevel="0" collapsed="false">
      <c r="F1208" s="41" t="str">
        <f aca="false">IF(C1208="","",IFERROR(IF(ISNUMBER(SEARCH(Assumptions!$C$5,C1208)),Assumptions!$D$5,IF(ISNUMBER(SEARCH(Assumptions!$C$6,C1208)),Assumptions!$D$6,IF(ISNUMBER(SEARCH(Assumptions!$C$7,C1208)),Assumptions!$D$7,"Other Services"))),"Other Services"))</f>
        <v/>
      </c>
    </row>
    <row r="1209" customFormat="false" ht="15" hidden="false" customHeight="false" outlineLevel="0" collapsed="false">
      <c r="F1209" s="41" t="str">
        <f aca="false">IF(C1209="","",IFERROR(IF(ISNUMBER(SEARCH(Assumptions!$C$5,C1209)),Assumptions!$D$5,IF(ISNUMBER(SEARCH(Assumptions!$C$6,C1209)),Assumptions!$D$6,IF(ISNUMBER(SEARCH(Assumptions!$C$7,C1209)),Assumptions!$D$7,"Other Services"))),"Other Services"))</f>
        <v/>
      </c>
    </row>
    <row r="1210" customFormat="false" ht="15" hidden="false" customHeight="false" outlineLevel="0" collapsed="false">
      <c r="F1210" s="41" t="str">
        <f aca="false">IF(C1210="","",IFERROR(IF(ISNUMBER(SEARCH(Assumptions!$C$5,C1210)),Assumptions!$D$5,IF(ISNUMBER(SEARCH(Assumptions!$C$6,C1210)),Assumptions!$D$6,IF(ISNUMBER(SEARCH(Assumptions!$C$7,C1210)),Assumptions!$D$7,"Other Services"))),"Other Services"))</f>
        <v/>
      </c>
    </row>
    <row r="1211" customFormat="false" ht="15" hidden="false" customHeight="false" outlineLevel="0" collapsed="false">
      <c r="F1211" s="41" t="str">
        <f aca="false">IF(C1211="","",IFERROR(IF(ISNUMBER(SEARCH(Assumptions!$C$5,C1211)),Assumptions!$D$5,IF(ISNUMBER(SEARCH(Assumptions!$C$6,C1211)),Assumptions!$D$6,IF(ISNUMBER(SEARCH(Assumptions!$C$7,C1211)),Assumptions!$D$7,"Other Services"))),"Other Services"))</f>
        <v/>
      </c>
    </row>
    <row r="1212" customFormat="false" ht="15" hidden="false" customHeight="false" outlineLevel="0" collapsed="false">
      <c r="F1212" s="41" t="str">
        <f aca="false">IF(C1212="","",IFERROR(IF(ISNUMBER(SEARCH(Assumptions!$C$5,C1212)),Assumptions!$D$5,IF(ISNUMBER(SEARCH(Assumptions!$C$6,C1212)),Assumptions!$D$6,IF(ISNUMBER(SEARCH(Assumptions!$C$7,C1212)),Assumptions!$D$7,"Other Services"))),"Other Services"))</f>
        <v/>
      </c>
    </row>
    <row r="1213" customFormat="false" ht="15" hidden="false" customHeight="false" outlineLevel="0" collapsed="false">
      <c r="F1213" s="41" t="str">
        <f aca="false">IF(C1213="","",IFERROR(IF(ISNUMBER(SEARCH(Assumptions!$C$5,C1213)),Assumptions!$D$5,IF(ISNUMBER(SEARCH(Assumptions!$C$6,C1213)),Assumptions!$D$6,IF(ISNUMBER(SEARCH(Assumptions!$C$7,C1213)),Assumptions!$D$7,"Other Services"))),"Other Services"))</f>
        <v/>
      </c>
    </row>
    <row r="1214" customFormat="false" ht="15" hidden="false" customHeight="false" outlineLevel="0" collapsed="false">
      <c r="F1214" s="41" t="str">
        <f aca="false">IF(C1214="","",IFERROR(IF(ISNUMBER(SEARCH(Assumptions!$C$5,C1214)),Assumptions!$D$5,IF(ISNUMBER(SEARCH(Assumptions!$C$6,C1214)),Assumptions!$D$6,IF(ISNUMBER(SEARCH(Assumptions!$C$7,C1214)),Assumptions!$D$7,"Other Services"))),"Other Services"))</f>
        <v/>
      </c>
    </row>
    <row r="1215" customFormat="false" ht="15" hidden="false" customHeight="false" outlineLevel="0" collapsed="false">
      <c r="F1215" s="41" t="str">
        <f aca="false">IF(C1215="","",IFERROR(IF(ISNUMBER(SEARCH(Assumptions!$C$5,C1215)),Assumptions!$D$5,IF(ISNUMBER(SEARCH(Assumptions!$C$6,C1215)),Assumptions!$D$6,IF(ISNUMBER(SEARCH(Assumptions!$C$7,C1215)),Assumptions!$D$7,"Other Services"))),"Other Services"))</f>
        <v/>
      </c>
    </row>
    <row r="1216" customFormat="false" ht="15" hidden="false" customHeight="false" outlineLevel="0" collapsed="false">
      <c r="F1216" s="41" t="str">
        <f aca="false">IF(C1216="","",IFERROR(IF(ISNUMBER(SEARCH(Assumptions!$C$5,C1216)),Assumptions!$D$5,IF(ISNUMBER(SEARCH(Assumptions!$C$6,C1216)),Assumptions!$D$6,IF(ISNUMBER(SEARCH(Assumptions!$C$7,C1216)),Assumptions!$D$7,"Other Services"))),"Other Services"))</f>
        <v/>
      </c>
    </row>
    <row r="1217" customFormat="false" ht="15" hidden="false" customHeight="false" outlineLevel="0" collapsed="false">
      <c r="F1217" s="41" t="str">
        <f aca="false">IF(C1217="","",IFERROR(IF(ISNUMBER(SEARCH(Assumptions!$C$5,C1217)),Assumptions!$D$5,IF(ISNUMBER(SEARCH(Assumptions!$C$6,C1217)),Assumptions!$D$6,IF(ISNUMBER(SEARCH(Assumptions!$C$7,C1217)),Assumptions!$D$7,"Other Services"))),"Other Services"))</f>
        <v/>
      </c>
    </row>
    <row r="1218" customFormat="false" ht="15" hidden="false" customHeight="false" outlineLevel="0" collapsed="false">
      <c r="F1218" s="41" t="str">
        <f aca="false">IF(C1218="","",IFERROR(IF(ISNUMBER(SEARCH(Assumptions!$C$5,C1218)),Assumptions!$D$5,IF(ISNUMBER(SEARCH(Assumptions!$C$6,C1218)),Assumptions!$D$6,IF(ISNUMBER(SEARCH(Assumptions!$C$7,C1218)),Assumptions!$D$7,"Other Services"))),"Other Services"))</f>
        <v/>
      </c>
    </row>
    <row r="1219" customFormat="false" ht="15" hidden="false" customHeight="false" outlineLevel="0" collapsed="false">
      <c r="F1219" s="41" t="str">
        <f aca="false">IF(C1219="","",IFERROR(IF(ISNUMBER(SEARCH(Assumptions!$C$5,C1219)),Assumptions!$D$5,IF(ISNUMBER(SEARCH(Assumptions!$C$6,C1219)),Assumptions!$D$6,IF(ISNUMBER(SEARCH(Assumptions!$C$7,C1219)),Assumptions!$D$7,"Other Services"))),"Other Services"))</f>
        <v/>
      </c>
    </row>
    <row r="1220" customFormat="false" ht="15" hidden="false" customHeight="false" outlineLevel="0" collapsed="false">
      <c r="F1220" s="41" t="str">
        <f aca="false">IF(C1220="","",IFERROR(IF(ISNUMBER(SEARCH(Assumptions!$C$5,C1220)),Assumptions!$D$5,IF(ISNUMBER(SEARCH(Assumptions!$C$6,C1220)),Assumptions!$D$6,IF(ISNUMBER(SEARCH(Assumptions!$C$7,C1220)),Assumptions!$D$7,"Other Services"))),"Other Services"))</f>
        <v/>
      </c>
    </row>
    <row r="1221" customFormat="false" ht="15" hidden="false" customHeight="false" outlineLevel="0" collapsed="false">
      <c r="F1221" s="41" t="str">
        <f aca="false">IF(C1221="","",IFERROR(IF(ISNUMBER(SEARCH(Assumptions!$C$5,C1221)),Assumptions!$D$5,IF(ISNUMBER(SEARCH(Assumptions!$C$6,C1221)),Assumptions!$D$6,IF(ISNUMBER(SEARCH(Assumptions!$C$7,C1221)),Assumptions!$D$7,"Other Services"))),"Other Services"))</f>
        <v/>
      </c>
    </row>
    <row r="1222" customFormat="false" ht="15" hidden="false" customHeight="false" outlineLevel="0" collapsed="false">
      <c r="F1222" s="41" t="str">
        <f aca="false">IF(C1222="","",IFERROR(IF(ISNUMBER(SEARCH(Assumptions!$C$5,C1222)),Assumptions!$D$5,IF(ISNUMBER(SEARCH(Assumptions!$C$6,C1222)),Assumptions!$D$6,IF(ISNUMBER(SEARCH(Assumptions!$C$7,C1222)),Assumptions!$D$7,"Other Services"))),"Other Services"))</f>
        <v/>
      </c>
    </row>
    <row r="1223" customFormat="false" ht="15" hidden="false" customHeight="false" outlineLevel="0" collapsed="false">
      <c r="F1223" s="41" t="str">
        <f aca="false">IF(C1223="","",IFERROR(IF(ISNUMBER(SEARCH(Assumptions!$C$5,C1223)),Assumptions!$D$5,IF(ISNUMBER(SEARCH(Assumptions!$C$6,C1223)),Assumptions!$D$6,IF(ISNUMBER(SEARCH(Assumptions!$C$7,C1223)),Assumptions!$D$7,"Other Services"))),"Other Services"))</f>
        <v/>
      </c>
    </row>
    <row r="1224" customFormat="false" ht="15" hidden="false" customHeight="false" outlineLevel="0" collapsed="false">
      <c r="F1224" s="41" t="str">
        <f aca="false">IF(C1224="","",IFERROR(IF(ISNUMBER(SEARCH(Assumptions!$C$5,C1224)),Assumptions!$D$5,IF(ISNUMBER(SEARCH(Assumptions!$C$6,C1224)),Assumptions!$D$6,IF(ISNUMBER(SEARCH(Assumptions!$C$7,C1224)),Assumptions!$D$7,"Other Services"))),"Other Services"))</f>
        <v/>
      </c>
    </row>
    <row r="1225" customFormat="false" ht="15" hidden="false" customHeight="false" outlineLevel="0" collapsed="false">
      <c r="F1225" s="41" t="str">
        <f aca="false">IF(C1225="","",IFERROR(IF(ISNUMBER(SEARCH(Assumptions!$C$5,C1225)),Assumptions!$D$5,IF(ISNUMBER(SEARCH(Assumptions!$C$6,C1225)),Assumptions!$D$6,IF(ISNUMBER(SEARCH(Assumptions!$C$7,C1225)),Assumptions!$D$7,"Other Services"))),"Other Services"))</f>
        <v/>
      </c>
    </row>
    <row r="1226" customFormat="false" ht="15" hidden="false" customHeight="false" outlineLevel="0" collapsed="false">
      <c r="F1226" s="41" t="str">
        <f aca="false">IF(C1226="","",IFERROR(IF(ISNUMBER(SEARCH(Assumptions!$C$5,C1226)),Assumptions!$D$5,IF(ISNUMBER(SEARCH(Assumptions!$C$6,C1226)),Assumptions!$D$6,IF(ISNUMBER(SEARCH(Assumptions!$C$7,C1226)),Assumptions!$D$7,"Other Services"))),"Other Services"))</f>
        <v/>
      </c>
    </row>
    <row r="1227" customFormat="false" ht="15" hidden="false" customHeight="false" outlineLevel="0" collapsed="false">
      <c r="F1227" s="41" t="str">
        <f aca="false">IF(C1227="","",IFERROR(IF(ISNUMBER(SEARCH(Assumptions!$C$5,C1227)),Assumptions!$D$5,IF(ISNUMBER(SEARCH(Assumptions!$C$6,C1227)),Assumptions!$D$6,IF(ISNUMBER(SEARCH(Assumptions!$C$7,C1227)),Assumptions!$D$7,"Other Services"))),"Other Services"))</f>
        <v/>
      </c>
    </row>
    <row r="1228" customFormat="false" ht="15" hidden="false" customHeight="false" outlineLevel="0" collapsed="false">
      <c r="F1228" s="41" t="str">
        <f aca="false">IF(C1228="","",IFERROR(IF(ISNUMBER(SEARCH(Assumptions!$C$5,C1228)),Assumptions!$D$5,IF(ISNUMBER(SEARCH(Assumptions!$C$6,C1228)),Assumptions!$D$6,IF(ISNUMBER(SEARCH(Assumptions!$C$7,C1228)),Assumptions!$D$7,"Other Services"))),"Other Services"))</f>
        <v/>
      </c>
    </row>
    <row r="1229" customFormat="false" ht="15" hidden="false" customHeight="false" outlineLevel="0" collapsed="false">
      <c r="F1229" s="41" t="str">
        <f aca="false">IF(C1229="","",IFERROR(IF(ISNUMBER(SEARCH(Assumptions!$C$5,C1229)),Assumptions!$D$5,IF(ISNUMBER(SEARCH(Assumptions!$C$6,C1229)),Assumptions!$D$6,IF(ISNUMBER(SEARCH(Assumptions!$C$7,C1229)),Assumptions!$D$7,"Other Services"))),"Other Services"))</f>
        <v/>
      </c>
    </row>
    <row r="1230" customFormat="false" ht="15" hidden="false" customHeight="false" outlineLevel="0" collapsed="false">
      <c r="F1230" s="41" t="str">
        <f aca="false">IF(C1230="","",IFERROR(IF(ISNUMBER(SEARCH(Assumptions!$C$5,C1230)),Assumptions!$D$5,IF(ISNUMBER(SEARCH(Assumptions!$C$6,C1230)),Assumptions!$D$6,IF(ISNUMBER(SEARCH(Assumptions!$C$7,C1230)),Assumptions!$D$7,"Other Services"))),"Other Services"))</f>
        <v/>
      </c>
    </row>
    <row r="1231" customFormat="false" ht="15" hidden="false" customHeight="false" outlineLevel="0" collapsed="false">
      <c r="F1231" s="41" t="str">
        <f aca="false">IF(C1231="","",IFERROR(IF(ISNUMBER(SEARCH(Assumptions!$C$5,C1231)),Assumptions!$D$5,IF(ISNUMBER(SEARCH(Assumptions!$C$6,C1231)),Assumptions!$D$6,IF(ISNUMBER(SEARCH(Assumptions!$C$7,C1231)),Assumptions!$D$7,"Other Services"))),"Other Services"))</f>
        <v/>
      </c>
    </row>
    <row r="1232" customFormat="false" ht="15" hidden="false" customHeight="false" outlineLevel="0" collapsed="false">
      <c r="F1232" s="41" t="str">
        <f aca="false">IF(C1232="","",IFERROR(IF(ISNUMBER(SEARCH(Assumptions!$C$5,C1232)),Assumptions!$D$5,IF(ISNUMBER(SEARCH(Assumptions!$C$6,C1232)),Assumptions!$D$6,IF(ISNUMBER(SEARCH(Assumptions!$C$7,C1232)),Assumptions!$D$7,"Other Services"))),"Other Services"))</f>
        <v/>
      </c>
    </row>
    <row r="1233" customFormat="false" ht="15" hidden="false" customHeight="false" outlineLevel="0" collapsed="false">
      <c r="F1233" s="41" t="str">
        <f aca="false">IF(C1233="","",IFERROR(IF(ISNUMBER(SEARCH(Assumptions!$C$5,C1233)),Assumptions!$D$5,IF(ISNUMBER(SEARCH(Assumptions!$C$6,C1233)),Assumptions!$D$6,IF(ISNUMBER(SEARCH(Assumptions!$C$7,C1233)),Assumptions!$D$7,"Other Services"))),"Other Services"))</f>
        <v/>
      </c>
    </row>
    <row r="1234" customFormat="false" ht="15" hidden="false" customHeight="false" outlineLevel="0" collapsed="false">
      <c r="F1234" s="41" t="str">
        <f aca="false">IF(C1234="","",IFERROR(IF(ISNUMBER(SEARCH(Assumptions!$C$5,C1234)),Assumptions!$D$5,IF(ISNUMBER(SEARCH(Assumptions!$C$6,C1234)),Assumptions!$D$6,IF(ISNUMBER(SEARCH(Assumptions!$C$7,C1234)),Assumptions!$D$7,"Other Services"))),"Other Services"))</f>
        <v/>
      </c>
    </row>
    <row r="1235" customFormat="false" ht="15" hidden="false" customHeight="false" outlineLevel="0" collapsed="false">
      <c r="F1235" s="41" t="str">
        <f aca="false">IF(C1235="","",IFERROR(IF(ISNUMBER(SEARCH(Assumptions!$C$5,C1235)),Assumptions!$D$5,IF(ISNUMBER(SEARCH(Assumptions!$C$6,C1235)),Assumptions!$D$6,IF(ISNUMBER(SEARCH(Assumptions!$C$7,C1235)),Assumptions!$D$7,"Other Services"))),"Other Services"))</f>
        <v/>
      </c>
    </row>
    <row r="1236" customFormat="false" ht="15" hidden="false" customHeight="false" outlineLevel="0" collapsed="false">
      <c r="F1236" s="41" t="str">
        <f aca="false">IF(C1236="","",IFERROR(IF(ISNUMBER(SEARCH(Assumptions!$C$5,C1236)),Assumptions!$D$5,IF(ISNUMBER(SEARCH(Assumptions!$C$6,C1236)),Assumptions!$D$6,IF(ISNUMBER(SEARCH(Assumptions!$C$7,C1236)),Assumptions!$D$7,"Other Services"))),"Other Services"))</f>
        <v/>
      </c>
    </row>
    <row r="1237" customFormat="false" ht="15" hidden="false" customHeight="false" outlineLevel="0" collapsed="false">
      <c r="F1237" s="41" t="str">
        <f aca="false">IF(C1237="","",IFERROR(IF(ISNUMBER(SEARCH(Assumptions!$C$5,C1237)),Assumptions!$D$5,IF(ISNUMBER(SEARCH(Assumptions!$C$6,C1237)),Assumptions!$D$6,IF(ISNUMBER(SEARCH(Assumptions!$C$7,C1237)),Assumptions!$D$7,"Other Services"))),"Other Services"))</f>
        <v/>
      </c>
    </row>
    <row r="1238" customFormat="false" ht="15" hidden="false" customHeight="false" outlineLevel="0" collapsed="false">
      <c r="F1238" s="41" t="str">
        <f aca="false">IF(C1238="","",IFERROR(IF(ISNUMBER(SEARCH(Assumptions!$C$5,C1238)),Assumptions!$D$5,IF(ISNUMBER(SEARCH(Assumptions!$C$6,C1238)),Assumptions!$D$6,IF(ISNUMBER(SEARCH(Assumptions!$C$7,C1238)),Assumptions!$D$7,"Other Services"))),"Other Services"))</f>
        <v/>
      </c>
    </row>
    <row r="1239" customFormat="false" ht="15" hidden="false" customHeight="false" outlineLevel="0" collapsed="false">
      <c r="F1239" s="41" t="str">
        <f aca="false">IF(C1239="","",IFERROR(IF(ISNUMBER(SEARCH(Assumptions!$C$5,C1239)),Assumptions!$D$5,IF(ISNUMBER(SEARCH(Assumptions!$C$6,C1239)),Assumptions!$D$6,IF(ISNUMBER(SEARCH(Assumptions!$C$7,C1239)),Assumptions!$D$7,"Other Services"))),"Other Services"))</f>
        <v/>
      </c>
    </row>
    <row r="1240" customFormat="false" ht="15" hidden="false" customHeight="false" outlineLevel="0" collapsed="false">
      <c r="F1240" s="41" t="str">
        <f aca="false">IF(C1240="","",IFERROR(IF(ISNUMBER(SEARCH(Assumptions!$C$5,C1240)),Assumptions!$D$5,IF(ISNUMBER(SEARCH(Assumptions!$C$6,C1240)),Assumptions!$D$6,IF(ISNUMBER(SEARCH(Assumptions!$C$7,C1240)),Assumptions!$D$7,"Other Services"))),"Other Services"))</f>
        <v/>
      </c>
    </row>
    <row r="1241" customFormat="false" ht="15" hidden="false" customHeight="false" outlineLevel="0" collapsed="false">
      <c r="F1241" s="41" t="str">
        <f aca="false">IF(C1241="","",IFERROR(IF(ISNUMBER(SEARCH(Assumptions!$C$5,C1241)),Assumptions!$D$5,IF(ISNUMBER(SEARCH(Assumptions!$C$6,C1241)),Assumptions!$D$6,IF(ISNUMBER(SEARCH(Assumptions!$C$7,C1241)),Assumptions!$D$7,"Other Services"))),"Other Services"))</f>
        <v/>
      </c>
    </row>
    <row r="1242" customFormat="false" ht="15" hidden="false" customHeight="false" outlineLevel="0" collapsed="false">
      <c r="F1242" s="41" t="str">
        <f aca="false">IF(C1242="","",IFERROR(IF(ISNUMBER(SEARCH(Assumptions!$C$5,C1242)),Assumptions!$D$5,IF(ISNUMBER(SEARCH(Assumptions!$C$6,C1242)),Assumptions!$D$6,IF(ISNUMBER(SEARCH(Assumptions!$C$7,C1242)),Assumptions!$D$7,"Other Services"))),"Other Services"))</f>
        <v/>
      </c>
    </row>
    <row r="1243" customFormat="false" ht="15" hidden="false" customHeight="false" outlineLevel="0" collapsed="false">
      <c r="F1243" s="41" t="str">
        <f aca="false">IF(C1243="","",IFERROR(IF(ISNUMBER(SEARCH(Assumptions!$C$5,C1243)),Assumptions!$D$5,IF(ISNUMBER(SEARCH(Assumptions!$C$6,C1243)),Assumptions!$D$6,IF(ISNUMBER(SEARCH(Assumptions!$C$7,C1243)),Assumptions!$D$7,"Other Services"))),"Other Services"))</f>
        <v/>
      </c>
    </row>
    <row r="1244" customFormat="false" ht="15" hidden="false" customHeight="false" outlineLevel="0" collapsed="false">
      <c r="F1244" s="41" t="str">
        <f aca="false">IF(C1244="","",IFERROR(IF(ISNUMBER(SEARCH(Assumptions!$C$5,C1244)),Assumptions!$D$5,IF(ISNUMBER(SEARCH(Assumptions!$C$6,C1244)),Assumptions!$D$6,IF(ISNUMBER(SEARCH(Assumptions!$C$7,C1244)),Assumptions!$D$7,"Other Services"))),"Other Services"))</f>
        <v/>
      </c>
    </row>
    <row r="1245" customFormat="false" ht="15" hidden="false" customHeight="false" outlineLevel="0" collapsed="false">
      <c r="F1245" s="41" t="str">
        <f aca="false">IF(C1245="","",IFERROR(IF(ISNUMBER(SEARCH(Assumptions!$C$5,C1245)),Assumptions!$D$5,IF(ISNUMBER(SEARCH(Assumptions!$C$6,C1245)),Assumptions!$D$6,IF(ISNUMBER(SEARCH(Assumptions!$C$7,C1245)),Assumptions!$D$7,"Other Services"))),"Other Services"))</f>
        <v/>
      </c>
    </row>
    <row r="1246" customFormat="false" ht="15" hidden="false" customHeight="false" outlineLevel="0" collapsed="false">
      <c r="F1246" s="41" t="str">
        <f aca="false">IF(C1246="","",IFERROR(IF(ISNUMBER(SEARCH(Assumptions!$C$5,C1246)),Assumptions!$D$5,IF(ISNUMBER(SEARCH(Assumptions!$C$6,C1246)),Assumptions!$D$6,IF(ISNUMBER(SEARCH(Assumptions!$C$7,C1246)),Assumptions!$D$7,"Other Services"))),"Other Services"))</f>
        <v/>
      </c>
    </row>
    <row r="1247" customFormat="false" ht="15" hidden="false" customHeight="false" outlineLevel="0" collapsed="false">
      <c r="F1247" s="41" t="str">
        <f aca="false">IF(C1247="","",IFERROR(IF(ISNUMBER(SEARCH(Assumptions!$C$5,C1247)),Assumptions!$D$5,IF(ISNUMBER(SEARCH(Assumptions!$C$6,C1247)),Assumptions!$D$6,IF(ISNUMBER(SEARCH(Assumptions!$C$7,C1247)),Assumptions!$D$7,"Other Services"))),"Other Services"))</f>
        <v/>
      </c>
    </row>
    <row r="1248" customFormat="false" ht="15" hidden="false" customHeight="false" outlineLevel="0" collapsed="false">
      <c r="F1248" s="41" t="str">
        <f aca="false">IF(C1248="","",IFERROR(IF(ISNUMBER(SEARCH(Assumptions!$C$5,C1248)),Assumptions!$D$5,IF(ISNUMBER(SEARCH(Assumptions!$C$6,C1248)),Assumptions!$D$6,IF(ISNUMBER(SEARCH(Assumptions!$C$7,C1248)),Assumptions!$D$7,"Other Services"))),"Other Services"))</f>
        <v/>
      </c>
    </row>
    <row r="1249" customFormat="false" ht="15" hidden="false" customHeight="false" outlineLevel="0" collapsed="false">
      <c r="F1249" s="41" t="str">
        <f aca="false">IF(C1249="","",IFERROR(IF(ISNUMBER(SEARCH(Assumptions!$C$5,C1249)),Assumptions!$D$5,IF(ISNUMBER(SEARCH(Assumptions!$C$6,C1249)),Assumptions!$D$6,IF(ISNUMBER(SEARCH(Assumptions!$C$7,C1249)),Assumptions!$D$7,"Other Services"))),"Other Services"))</f>
        <v/>
      </c>
    </row>
    <row r="1250" customFormat="false" ht="15" hidden="false" customHeight="false" outlineLevel="0" collapsed="false">
      <c r="F1250" s="41" t="str">
        <f aca="false">IF(C1250="","",IFERROR(IF(ISNUMBER(SEARCH(Assumptions!$C$5,C1250)),Assumptions!$D$5,IF(ISNUMBER(SEARCH(Assumptions!$C$6,C1250)),Assumptions!$D$6,IF(ISNUMBER(SEARCH(Assumptions!$C$7,C1250)),Assumptions!$D$7,"Other Services"))),"Other Services"))</f>
        <v/>
      </c>
    </row>
    <row r="1251" customFormat="false" ht="15" hidden="false" customHeight="false" outlineLevel="0" collapsed="false">
      <c r="F1251" s="41" t="str">
        <f aca="false">IF(C1251="","",IFERROR(IF(ISNUMBER(SEARCH(Assumptions!$C$5,C1251)),Assumptions!$D$5,IF(ISNUMBER(SEARCH(Assumptions!$C$6,C1251)),Assumptions!$D$6,IF(ISNUMBER(SEARCH(Assumptions!$C$7,C1251)),Assumptions!$D$7,"Other Services"))),"Other Services"))</f>
        <v/>
      </c>
    </row>
    <row r="1252" customFormat="false" ht="15" hidden="false" customHeight="false" outlineLevel="0" collapsed="false">
      <c r="F1252" s="41" t="str">
        <f aca="false">IF(C1252="","",IFERROR(IF(ISNUMBER(SEARCH(Assumptions!$C$5,C1252)),Assumptions!$D$5,IF(ISNUMBER(SEARCH(Assumptions!$C$6,C1252)),Assumptions!$D$6,IF(ISNUMBER(SEARCH(Assumptions!$C$7,C1252)),Assumptions!$D$7,"Other Services"))),"Other Services"))</f>
        <v/>
      </c>
    </row>
    <row r="1253" customFormat="false" ht="15" hidden="false" customHeight="false" outlineLevel="0" collapsed="false">
      <c r="F1253" s="41" t="str">
        <f aca="false">IF(C1253="","",IFERROR(IF(ISNUMBER(SEARCH(Assumptions!$C$5,C1253)),Assumptions!$D$5,IF(ISNUMBER(SEARCH(Assumptions!$C$6,C1253)),Assumptions!$D$6,IF(ISNUMBER(SEARCH(Assumptions!$C$7,C1253)),Assumptions!$D$7,"Other Services"))),"Other Services"))</f>
        <v/>
      </c>
    </row>
    <row r="1254" customFormat="false" ht="15" hidden="false" customHeight="false" outlineLevel="0" collapsed="false">
      <c r="F1254" s="41" t="str">
        <f aca="false">IF(C1254="","",IFERROR(IF(ISNUMBER(SEARCH(Assumptions!$C$5,C1254)),Assumptions!$D$5,IF(ISNUMBER(SEARCH(Assumptions!$C$6,C1254)),Assumptions!$D$6,IF(ISNUMBER(SEARCH(Assumptions!$C$7,C1254)),Assumptions!$D$7,"Other Services"))),"Other Services"))</f>
        <v/>
      </c>
    </row>
    <row r="1255" customFormat="false" ht="15" hidden="false" customHeight="false" outlineLevel="0" collapsed="false">
      <c r="F1255" s="41" t="str">
        <f aca="false">IF(C1255="","",IFERROR(IF(ISNUMBER(SEARCH(Assumptions!$C$5,C1255)),Assumptions!$D$5,IF(ISNUMBER(SEARCH(Assumptions!$C$6,C1255)),Assumptions!$D$6,IF(ISNUMBER(SEARCH(Assumptions!$C$7,C1255)),Assumptions!$D$7,"Other Services"))),"Other Services"))</f>
        <v/>
      </c>
    </row>
    <row r="1256" customFormat="false" ht="15" hidden="false" customHeight="false" outlineLevel="0" collapsed="false">
      <c r="F1256" s="41" t="str">
        <f aca="false">IF(C1256="","",IFERROR(IF(ISNUMBER(SEARCH(Assumptions!$C$5,C1256)),Assumptions!$D$5,IF(ISNUMBER(SEARCH(Assumptions!$C$6,C1256)),Assumptions!$D$6,IF(ISNUMBER(SEARCH(Assumptions!$C$7,C1256)),Assumptions!$D$7,"Other Services"))),"Other Services"))</f>
        <v/>
      </c>
    </row>
    <row r="1257" customFormat="false" ht="15" hidden="false" customHeight="false" outlineLevel="0" collapsed="false">
      <c r="F1257" s="41" t="str">
        <f aca="false">IF(C1257="","",IFERROR(IF(ISNUMBER(SEARCH(Assumptions!$C$5,C1257)),Assumptions!$D$5,IF(ISNUMBER(SEARCH(Assumptions!$C$6,C1257)),Assumptions!$D$6,IF(ISNUMBER(SEARCH(Assumptions!$C$7,C1257)),Assumptions!$D$7,"Other Services"))),"Other Services"))</f>
        <v/>
      </c>
    </row>
    <row r="1258" customFormat="false" ht="15" hidden="false" customHeight="false" outlineLevel="0" collapsed="false">
      <c r="F1258" s="41" t="str">
        <f aca="false">IF(C1258="","",IFERROR(IF(ISNUMBER(SEARCH(Assumptions!$C$5,C1258)),Assumptions!$D$5,IF(ISNUMBER(SEARCH(Assumptions!$C$6,C1258)),Assumptions!$D$6,IF(ISNUMBER(SEARCH(Assumptions!$C$7,C1258)),Assumptions!$D$7,"Other Services"))),"Other Services"))</f>
        <v/>
      </c>
    </row>
    <row r="1259" customFormat="false" ht="15" hidden="false" customHeight="false" outlineLevel="0" collapsed="false">
      <c r="F1259" s="41" t="str">
        <f aca="false">IF(C1259="","",IFERROR(IF(ISNUMBER(SEARCH(Assumptions!$C$5,C1259)),Assumptions!$D$5,IF(ISNUMBER(SEARCH(Assumptions!$C$6,C1259)),Assumptions!$D$6,IF(ISNUMBER(SEARCH(Assumptions!$C$7,C1259)),Assumptions!$D$7,"Other Services"))),"Other Services"))</f>
        <v/>
      </c>
    </row>
    <row r="1260" customFormat="false" ht="15" hidden="false" customHeight="false" outlineLevel="0" collapsed="false">
      <c r="F1260" s="41" t="str">
        <f aca="false">IF(C1260="","",IFERROR(IF(ISNUMBER(SEARCH(Assumptions!$C$5,C1260)),Assumptions!$D$5,IF(ISNUMBER(SEARCH(Assumptions!$C$6,C1260)),Assumptions!$D$6,IF(ISNUMBER(SEARCH(Assumptions!$C$7,C1260)),Assumptions!$D$7,"Other Services"))),"Other Services"))</f>
        <v/>
      </c>
    </row>
    <row r="1261" customFormat="false" ht="15" hidden="false" customHeight="false" outlineLevel="0" collapsed="false">
      <c r="F1261" s="41" t="str">
        <f aca="false">IF(C1261="","",IFERROR(IF(ISNUMBER(SEARCH(Assumptions!$C$5,C1261)),Assumptions!$D$5,IF(ISNUMBER(SEARCH(Assumptions!$C$6,C1261)),Assumptions!$D$6,IF(ISNUMBER(SEARCH(Assumptions!$C$7,C1261)),Assumptions!$D$7,"Other Services"))),"Other Services"))</f>
        <v/>
      </c>
    </row>
    <row r="1262" customFormat="false" ht="15" hidden="false" customHeight="false" outlineLevel="0" collapsed="false">
      <c r="F1262" s="41" t="str">
        <f aca="false">IF(C1262="","",IFERROR(IF(ISNUMBER(SEARCH(Assumptions!$C$5,C1262)),Assumptions!$D$5,IF(ISNUMBER(SEARCH(Assumptions!$C$6,C1262)),Assumptions!$D$6,IF(ISNUMBER(SEARCH(Assumptions!$C$7,C1262)),Assumptions!$D$7,"Other Services"))),"Other Services"))</f>
        <v/>
      </c>
    </row>
    <row r="1263" customFormat="false" ht="15" hidden="false" customHeight="false" outlineLevel="0" collapsed="false">
      <c r="F1263" s="41" t="str">
        <f aca="false">IF(C1263="","",IFERROR(IF(ISNUMBER(SEARCH(Assumptions!$C$5,C1263)),Assumptions!$D$5,IF(ISNUMBER(SEARCH(Assumptions!$C$6,C1263)),Assumptions!$D$6,IF(ISNUMBER(SEARCH(Assumptions!$C$7,C1263)),Assumptions!$D$7,"Other Services"))),"Other Services"))</f>
        <v/>
      </c>
    </row>
    <row r="1264" customFormat="false" ht="15" hidden="false" customHeight="false" outlineLevel="0" collapsed="false">
      <c r="F1264" s="41" t="str">
        <f aca="false">IF(C1264="","",IFERROR(IF(ISNUMBER(SEARCH(Assumptions!$C$5,C1264)),Assumptions!$D$5,IF(ISNUMBER(SEARCH(Assumptions!$C$6,C1264)),Assumptions!$D$6,IF(ISNUMBER(SEARCH(Assumptions!$C$7,C1264)),Assumptions!$D$7,"Other Services"))),"Other Services"))</f>
        <v/>
      </c>
    </row>
    <row r="1265" customFormat="false" ht="15" hidden="false" customHeight="false" outlineLevel="0" collapsed="false">
      <c r="F1265" s="41" t="str">
        <f aca="false">IF(C1265="","",IFERROR(IF(ISNUMBER(SEARCH(Assumptions!$C$5,C1265)),Assumptions!$D$5,IF(ISNUMBER(SEARCH(Assumptions!$C$6,C1265)),Assumptions!$D$6,IF(ISNUMBER(SEARCH(Assumptions!$C$7,C1265)),Assumptions!$D$7,"Other Services"))),"Other Services"))</f>
        <v/>
      </c>
    </row>
    <row r="1266" customFormat="false" ht="15" hidden="false" customHeight="false" outlineLevel="0" collapsed="false">
      <c r="F1266" s="41" t="str">
        <f aca="false">IF(C1266="","",IFERROR(IF(ISNUMBER(SEARCH(Assumptions!$C$5,C1266)),Assumptions!$D$5,IF(ISNUMBER(SEARCH(Assumptions!$C$6,C1266)),Assumptions!$D$6,IF(ISNUMBER(SEARCH(Assumptions!$C$7,C1266)),Assumptions!$D$7,"Other Services"))),"Other Services"))</f>
        <v/>
      </c>
    </row>
    <row r="1267" customFormat="false" ht="15" hidden="false" customHeight="false" outlineLevel="0" collapsed="false">
      <c r="F1267" s="41" t="str">
        <f aca="false">IF(C1267="","",IFERROR(IF(ISNUMBER(SEARCH(Assumptions!$C$5,C1267)),Assumptions!$D$5,IF(ISNUMBER(SEARCH(Assumptions!$C$6,C1267)),Assumptions!$D$6,IF(ISNUMBER(SEARCH(Assumptions!$C$7,C1267)),Assumptions!$D$7,"Other Services"))),"Other Services"))</f>
        <v/>
      </c>
    </row>
    <row r="1268" customFormat="false" ht="15" hidden="false" customHeight="false" outlineLevel="0" collapsed="false">
      <c r="F1268" s="41" t="str">
        <f aca="false">IF(C1268="","",IFERROR(IF(ISNUMBER(SEARCH(Assumptions!$C$5,C1268)),Assumptions!$D$5,IF(ISNUMBER(SEARCH(Assumptions!$C$6,C1268)),Assumptions!$D$6,IF(ISNUMBER(SEARCH(Assumptions!$C$7,C1268)),Assumptions!$D$7,"Other Services"))),"Other Services"))</f>
        <v/>
      </c>
    </row>
    <row r="1269" customFormat="false" ht="15" hidden="false" customHeight="false" outlineLevel="0" collapsed="false">
      <c r="F1269" s="41" t="str">
        <f aca="false">IF(C1269="","",IFERROR(IF(ISNUMBER(SEARCH(Assumptions!$C$5,C1269)),Assumptions!$D$5,IF(ISNUMBER(SEARCH(Assumptions!$C$6,C1269)),Assumptions!$D$6,IF(ISNUMBER(SEARCH(Assumptions!$C$7,C1269)),Assumptions!$D$7,"Other Services"))),"Other Services"))</f>
        <v/>
      </c>
    </row>
    <row r="1270" customFormat="false" ht="15" hidden="false" customHeight="false" outlineLevel="0" collapsed="false">
      <c r="F1270" s="41" t="str">
        <f aca="false">IF(C1270="","",IFERROR(IF(ISNUMBER(SEARCH(Assumptions!$C$5,C1270)),Assumptions!$D$5,IF(ISNUMBER(SEARCH(Assumptions!$C$6,C1270)),Assumptions!$D$6,IF(ISNUMBER(SEARCH(Assumptions!$C$7,C1270)),Assumptions!$D$7,"Other Services"))),"Other Services"))</f>
        <v/>
      </c>
    </row>
    <row r="1271" customFormat="false" ht="15" hidden="false" customHeight="false" outlineLevel="0" collapsed="false">
      <c r="F1271" s="41" t="str">
        <f aca="false">IF(C1271="","",IFERROR(IF(ISNUMBER(SEARCH(Assumptions!$C$5,C1271)),Assumptions!$D$5,IF(ISNUMBER(SEARCH(Assumptions!$C$6,C1271)),Assumptions!$D$6,IF(ISNUMBER(SEARCH(Assumptions!$C$7,C1271)),Assumptions!$D$7,"Other Services"))),"Other Services"))</f>
        <v/>
      </c>
    </row>
    <row r="1272" customFormat="false" ht="15" hidden="false" customHeight="false" outlineLevel="0" collapsed="false">
      <c r="F1272" s="41" t="str">
        <f aca="false">IF(C1272="","",IFERROR(IF(ISNUMBER(SEARCH(Assumptions!$C$5,C1272)),Assumptions!$D$5,IF(ISNUMBER(SEARCH(Assumptions!$C$6,C1272)),Assumptions!$D$6,IF(ISNUMBER(SEARCH(Assumptions!$C$7,C1272)),Assumptions!$D$7,"Other Services"))),"Other Services"))</f>
        <v/>
      </c>
    </row>
    <row r="1273" customFormat="false" ht="15" hidden="false" customHeight="false" outlineLevel="0" collapsed="false">
      <c r="F1273" s="41" t="str">
        <f aca="false">IF(C1273="","",IFERROR(IF(ISNUMBER(SEARCH(Assumptions!$C$5,C1273)),Assumptions!$D$5,IF(ISNUMBER(SEARCH(Assumptions!$C$6,C1273)),Assumptions!$D$6,IF(ISNUMBER(SEARCH(Assumptions!$C$7,C1273)),Assumptions!$D$7,"Other Services"))),"Other Services"))</f>
        <v/>
      </c>
    </row>
    <row r="1274" customFormat="false" ht="15" hidden="false" customHeight="false" outlineLevel="0" collapsed="false">
      <c r="F1274" s="41" t="str">
        <f aca="false">IF(C1274="","",IFERROR(IF(ISNUMBER(SEARCH(Assumptions!$C$5,C1274)),Assumptions!$D$5,IF(ISNUMBER(SEARCH(Assumptions!$C$6,C1274)),Assumptions!$D$6,IF(ISNUMBER(SEARCH(Assumptions!$C$7,C1274)),Assumptions!$D$7,"Other Services"))),"Other Services"))</f>
        <v/>
      </c>
    </row>
    <row r="1275" customFormat="false" ht="15" hidden="false" customHeight="false" outlineLevel="0" collapsed="false">
      <c r="F1275" s="41" t="str">
        <f aca="false">IF(C1275="","",IFERROR(IF(ISNUMBER(SEARCH(Assumptions!$C$5,C1275)),Assumptions!$D$5,IF(ISNUMBER(SEARCH(Assumptions!$C$6,C1275)),Assumptions!$D$6,IF(ISNUMBER(SEARCH(Assumptions!$C$7,C1275)),Assumptions!$D$7,"Other Services"))),"Other Services"))</f>
        <v/>
      </c>
    </row>
    <row r="1276" customFormat="false" ht="15" hidden="false" customHeight="false" outlineLevel="0" collapsed="false">
      <c r="F1276" s="41" t="str">
        <f aca="false">IF(C1276="","",IFERROR(IF(ISNUMBER(SEARCH(Assumptions!$C$5,C1276)),Assumptions!$D$5,IF(ISNUMBER(SEARCH(Assumptions!$C$6,C1276)),Assumptions!$D$6,IF(ISNUMBER(SEARCH(Assumptions!$C$7,C1276)),Assumptions!$D$7,"Other Services"))),"Other Services"))</f>
        <v/>
      </c>
    </row>
    <row r="1277" customFormat="false" ht="15" hidden="false" customHeight="false" outlineLevel="0" collapsed="false">
      <c r="F1277" s="41" t="str">
        <f aca="false">IF(C1277="","",IFERROR(IF(ISNUMBER(SEARCH(Assumptions!$C$5,C1277)),Assumptions!$D$5,IF(ISNUMBER(SEARCH(Assumptions!$C$6,C1277)),Assumptions!$D$6,IF(ISNUMBER(SEARCH(Assumptions!$C$7,C1277)),Assumptions!$D$7,"Other Services"))),"Other Services"))</f>
        <v/>
      </c>
    </row>
    <row r="1278" customFormat="false" ht="15" hidden="false" customHeight="false" outlineLevel="0" collapsed="false">
      <c r="F1278" s="41" t="str">
        <f aca="false">IF(C1278="","",IFERROR(IF(ISNUMBER(SEARCH(Assumptions!$C$5,C1278)),Assumptions!$D$5,IF(ISNUMBER(SEARCH(Assumptions!$C$6,C1278)),Assumptions!$D$6,IF(ISNUMBER(SEARCH(Assumptions!$C$7,C1278)),Assumptions!$D$7,"Other Services"))),"Other Services"))</f>
        <v/>
      </c>
    </row>
    <row r="1279" customFormat="false" ht="15" hidden="false" customHeight="false" outlineLevel="0" collapsed="false">
      <c r="F1279" s="41" t="str">
        <f aca="false">IF(C1279="","",IFERROR(IF(ISNUMBER(SEARCH(Assumptions!$C$5,C1279)),Assumptions!$D$5,IF(ISNUMBER(SEARCH(Assumptions!$C$6,C1279)),Assumptions!$D$6,IF(ISNUMBER(SEARCH(Assumptions!$C$7,C1279)),Assumptions!$D$7,"Other Services"))),"Other Services"))</f>
        <v/>
      </c>
    </row>
    <row r="1280" customFormat="false" ht="15" hidden="false" customHeight="false" outlineLevel="0" collapsed="false">
      <c r="F1280" s="41" t="str">
        <f aca="false">IF(C1280="","",IFERROR(IF(ISNUMBER(SEARCH(Assumptions!$C$5,C1280)),Assumptions!$D$5,IF(ISNUMBER(SEARCH(Assumptions!$C$6,C1280)),Assumptions!$D$6,IF(ISNUMBER(SEARCH(Assumptions!$C$7,C1280)),Assumptions!$D$7,"Other Services"))),"Other Services"))</f>
        <v/>
      </c>
    </row>
    <row r="1281" customFormat="false" ht="15" hidden="false" customHeight="false" outlineLevel="0" collapsed="false">
      <c r="F1281" s="41" t="str">
        <f aca="false">IF(C1281="","",IFERROR(IF(ISNUMBER(SEARCH(Assumptions!$C$5,C1281)),Assumptions!$D$5,IF(ISNUMBER(SEARCH(Assumptions!$C$6,C1281)),Assumptions!$D$6,IF(ISNUMBER(SEARCH(Assumptions!$C$7,C1281)),Assumptions!$D$7,"Other Services"))),"Other Services"))</f>
        <v/>
      </c>
    </row>
    <row r="1282" customFormat="false" ht="15" hidden="false" customHeight="false" outlineLevel="0" collapsed="false">
      <c r="F1282" s="41" t="str">
        <f aca="false">IF(C1282="","",IFERROR(IF(ISNUMBER(SEARCH(Assumptions!$C$5,C1282)),Assumptions!$D$5,IF(ISNUMBER(SEARCH(Assumptions!$C$6,C1282)),Assumptions!$D$6,IF(ISNUMBER(SEARCH(Assumptions!$C$7,C1282)),Assumptions!$D$7,"Other Services"))),"Other Services"))</f>
        <v/>
      </c>
    </row>
    <row r="1283" customFormat="false" ht="15" hidden="false" customHeight="false" outlineLevel="0" collapsed="false">
      <c r="F1283" s="41" t="str">
        <f aca="false">IF(C1283="","",IFERROR(IF(ISNUMBER(SEARCH(Assumptions!$C$5,C1283)),Assumptions!$D$5,IF(ISNUMBER(SEARCH(Assumptions!$C$6,C1283)),Assumptions!$D$6,IF(ISNUMBER(SEARCH(Assumptions!$C$7,C1283)),Assumptions!$D$7,"Other Services"))),"Other Services"))</f>
        <v/>
      </c>
    </row>
    <row r="1284" customFormat="false" ht="15" hidden="false" customHeight="false" outlineLevel="0" collapsed="false">
      <c r="F1284" s="41" t="str">
        <f aca="false">IF(C1284="","",IFERROR(IF(ISNUMBER(SEARCH(Assumptions!$C$5,C1284)),Assumptions!$D$5,IF(ISNUMBER(SEARCH(Assumptions!$C$6,C1284)),Assumptions!$D$6,IF(ISNUMBER(SEARCH(Assumptions!$C$7,C1284)),Assumptions!$D$7,"Other Services"))),"Other Services"))</f>
        <v/>
      </c>
    </row>
    <row r="1285" customFormat="false" ht="15" hidden="false" customHeight="false" outlineLevel="0" collapsed="false">
      <c r="F1285" s="41" t="str">
        <f aca="false">IF(C1285="","",IFERROR(IF(ISNUMBER(SEARCH(Assumptions!$C$5,C1285)),Assumptions!$D$5,IF(ISNUMBER(SEARCH(Assumptions!$C$6,C1285)),Assumptions!$D$6,IF(ISNUMBER(SEARCH(Assumptions!$C$7,C1285)),Assumptions!$D$7,"Other Services"))),"Other Services"))</f>
        <v/>
      </c>
    </row>
    <row r="1286" customFormat="false" ht="15" hidden="false" customHeight="false" outlineLevel="0" collapsed="false">
      <c r="F1286" s="41" t="str">
        <f aca="false">IF(C1286="","",IFERROR(IF(ISNUMBER(SEARCH(Assumptions!$C$5,C1286)),Assumptions!$D$5,IF(ISNUMBER(SEARCH(Assumptions!$C$6,C1286)),Assumptions!$D$6,IF(ISNUMBER(SEARCH(Assumptions!$C$7,C1286)),Assumptions!$D$7,"Other Services"))),"Other Services"))</f>
        <v/>
      </c>
    </row>
    <row r="1287" customFormat="false" ht="15" hidden="false" customHeight="false" outlineLevel="0" collapsed="false">
      <c r="F1287" s="41" t="str">
        <f aca="false">IF(C1287="","",IFERROR(IF(ISNUMBER(SEARCH(Assumptions!$C$5,C1287)),Assumptions!$D$5,IF(ISNUMBER(SEARCH(Assumptions!$C$6,C1287)),Assumptions!$D$6,IF(ISNUMBER(SEARCH(Assumptions!$C$7,C1287)),Assumptions!$D$7,"Other Services"))),"Other Services"))</f>
        <v/>
      </c>
    </row>
    <row r="1288" customFormat="false" ht="15" hidden="false" customHeight="false" outlineLevel="0" collapsed="false">
      <c r="F1288" s="41" t="str">
        <f aca="false">IF(C1288="","",IFERROR(IF(ISNUMBER(SEARCH(Assumptions!$C$5,C1288)),Assumptions!$D$5,IF(ISNUMBER(SEARCH(Assumptions!$C$6,C1288)),Assumptions!$D$6,IF(ISNUMBER(SEARCH(Assumptions!$C$7,C1288)),Assumptions!$D$7,"Other Services"))),"Other Services"))</f>
        <v/>
      </c>
    </row>
    <row r="1289" customFormat="false" ht="15" hidden="false" customHeight="false" outlineLevel="0" collapsed="false">
      <c r="F1289" s="41" t="str">
        <f aca="false">IF(C1289="","",IFERROR(IF(ISNUMBER(SEARCH(Assumptions!$C$5,C1289)),Assumptions!$D$5,IF(ISNUMBER(SEARCH(Assumptions!$C$6,C1289)),Assumptions!$D$6,IF(ISNUMBER(SEARCH(Assumptions!$C$7,C1289)),Assumptions!$D$7,"Other Services"))),"Other Services"))</f>
        <v/>
      </c>
    </row>
    <row r="1290" customFormat="false" ht="15" hidden="false" customHeight="false" outlineLevel="0" collapsed="false">
      <c r="F1290" s="41" t="str">
        <f aca="false">IF(C1290="","",IFERROR(IF(ISNUMBER(SEARCH(Assumptions!$C$5,C1290)),Assumptions!$D$5,IF(ISNUMBER(SEARCH(Assumptions!$C$6,C1290)),Assumptions!$D$6,IF(ISNUMBER(SEARCH(Assumptions!$C$7,C1290)),Assumptions!$D$7,"Other Services"))),"Other Services"))</f>
        <v/>
      </c>
    </row>
    <row r="1291" customFormat="false" ht="15" hidden="false" customHeight="false" outlineLevel="0" collapsed="false">
      <c r="F1291" s="41" t="str">
        <f aca="false">IF(C1291="","",IFERROR(IF(ISNUMBER(SEARCH(Assumptions!$C$5,C1291)),Assumptions!$D$5,IF(ISNUMBER(SEARCH(Assumptions!$C$6,C1291)),Assumptions!$D$6,IF(ISNUMBER(SEARCH(Assumptions!$C$7,C1291)),Assumptions!$D$7,"Other Services"))),"Other Services"))</f>
        <v/>
      </c>
    </row>
    <row r="1292" customFormat="false" ht="15" hidden="false" customHeight="false" outlineLevel="0" collapsed="false">
      <c r="F1292" s="41" t="str">
        <f aca="false">IF(C1292="","",IFERROR(IF(ISNUMBER(SEARCH(Assumptions!$C$5,C1292)),Assumptions!$D$5,IF(ISNUMBER(SEARCH(Assumptions!$C$6,C1292)),Assumptions!$D$6,IF(ISNUMBER(SEARCH(Assumptions!$C$7,C1292)),Assumptions!$D$7,"Other Services"))),"Other Services"))</f>
        <v/>
      </c>
    </row>
    <row r="1293" customFormat="false" ht="15" hidden="false" customHeight="false" outlineLevel="0" collapsed="false">
      <c r="F1293" s="41" t="str">
        <f aca="false">IF(C1293="","",IFERROR(IF(ISNUMBER(SEARCH(Assumptions!$C$5,C1293)),Assumptions!$D$5,IF(ISNUMBER(SEARCH(Assumptions!$C$6,C1293)),Assumptions!$D$6,IF(ISNUMBER(SEARCH(Assumptions!$C$7,C1293)),Assumptions!$D$7,"Other Services"))),"Other Services"))</f>
        <v/>
      </c>
    </row>
    <row r="1294" customFormat="false" ht="15" hidden="false" customHeight="false" outlineLevel="0" collapsed="false">
      <c r="F1294" s="41" t="str">
        <f aca="false">IF(C1294="","",IFERROR(IF(ISNUMBER(SEARCH(Assumptions!$C$5,C1294)),Assumptions!$D$5,IF(ISNUMBER(SEARCH(Assumptions!$C$6,C1294)),Assumptions!$D$6,IF(ISNUMBER(SEARCH(Assumptions!$C$7,C1294)),Assumptions!$D$7,"Other Services"))),"Other Services"))</f>
        <v/>
      </c>
    </row>
    <row r="1295" customFormat="false" ht="15" hidden="false" customHeight="false" outlineLevel="0" collapsed="false">
      <c r="F1295" s="41" t="str">
        <f aca="false">IF(C1295="","",IFERROR(IF(ISNUMBER(SEARCH(Assumptions!$C$5,C1295)),Assumptions!$D$5,IF(ISNUMBER(SEARCH(Assumptions!$C$6,C1295)),Assumptions!$D$6,IF(ISNUMBER(SEARCH(Assumptions!$C$7,C1295)),Assumptions!$D$7,"Other Services"))),"Other Services"))</f>
        <v/>
      </c>
    </row>
    <row r="1296" customFormat="false" ht="15" hidden="false" customHeight="false" outlineLevel="0" collapsed="false">
      <c r="F1296" s="41" t="str">
        <f aca="false">IF(C1296="","",IFERROR(IF(ISNUMBER(SEARCH(Assumptions!$C$5,C1296)),Assumptions!$D$5,IF(ISNUMBER(SEARCH(Assumptions!$C$6,C1296)),Assumptions!$D$6,IF(ISNUMBER(SEARCH(Assumptions!$C$7,C1296)),Assumptions!$D$7,"Other Services"))),"Other Services"))</f>
        <v/>
      </c>
    </row>
    <row r="1297" customFormat="false" ht="15" hidden="false" customHeight="false" outlineLevel="0" collapsed="false">
      <c r="F1297" s="41" t="str">
        <f aca="false">IF(C1297="","",IFERROR(IF(ISNUMBER(SEARCH(Assumptions!$C$5,C1297)),Assumptions!$D$5,IF(ISNUMBER(SEARCH(Assumptions!$C$6,C1297)),Assumptions!$D$6,IF(ISNUMBER(SEARCH(Assumptions!$C$7,C1297)),Assumptions!$D$7,"Other Services"))),"Other Services"))</f>
        <v/>
      </c>
    </row>
    <row r="1298" customFormat="false" ht="15" hidden="false" customHeight="false" outlineLevel="0" collapsed="false">
      <c r="F1298" s="41" t="str">
        <f aca="false">IF(C1298="","",IFERROR(IF(ISNUMBER(SEARCH(Assumptions!$C$5,C1298)),Assumptions!$D$5,IF(ISNUMBER(SEARCH(Assumptions!$C$6,C1298)),Assumptions!$D$6,IF(ISNUMBER(SEARCH(Assumptions!$C$7,C1298)),Assumptions!$D$7,"Other Services"))),"Other Services"))</f>
        <v/>
      </c>
    </row>
    <row r="1299" customFormat="false" ht="15" hidden="false" customHeight="false" outlineLevel="0" collapsed="false">
      <c r="F1299" s="41" t="str">
        <f aca="false">IF(C1299="","",IFERROR(IF(ISNUMBER(SEARCH(Assumptions!$C$5,C1299)),Assumptions!$D$5,IF(ISNUMBER(SEARCH(Assumptions!$C$6,C1299)),Assumptions!$D$6,IF(ISNUMBER(SEARCH(Assumptions!$C$7,C1299)),Assumptions!$D$7,"Other Services"))),"Other Services"))</f>
        <v/>
      </c>
    </row>
    <row r="1300" customFormat="false" ht="15" hidden="false" customHeight="false" outlineLevel="0" collapsed="false">
      <c r="F1300" s="41" t="str">
        <f aca="false">IF(C1300="","",IFERROR(IF(ISNUMBER(SEARCH(Assumptions!$C$5,C1300)),Assumptions!$D$5,IF(ISNUMBER(SEARCH(Assumptions!$C$6,C1300)),Assumptions!$D$6,IF(ISNUMBER(SEARCH(Assumptions!$C$7,C1300)),Assumptions!$D$7,"Other Services"))),"Other Services"))</f>
        <v/>
      </c>
    </row>
    <row r="1301" customFormat="false" ht="15" hidden="false" customHeight="false" outlineLevel="0" collapsed="false">
      <c r="F1301" s="41" t="str">
        <f aca="false">IF(C1301="","",IFERROR(IF(ISNUMBER(SEARCH(Assumptions!$C$5,C1301)),Assumptions!$D$5,IF(ISNUMBER(SEARCH(Assumptions!$C$6,C1301)),Assumptions!$D$6,IF(ISNUMBER(SEARCH(Assumptions!$C$7,C1301)),Assumptions!$D$7,"Other Services"))),"Other Services"))</f>
        <v/>
      </c>
    </row>
    <row r="1302" customFormat="false" ht="15" hidden="false" customHeight="false" outlineLevel="0" collapsed="false">
      <c r="F1302" s="41" t="str">
        <f aca="false">IF(C1302="","",IFERROR(IF(ISNUMBER(SEARCH(Assumptions!$C$5,C1302)),Assumptions!$D$5,IF(ISNUMBER(SEARCH(Assumptions!$C$6,C1302)),Assumptions!$D$6,IF(ISNUMBER(SEARCH(Assumptions!$C$7,C1302)),Assumptions!$D$7,"Other Services"))),"Other Services"))</f>
        <v/>
      </c>
    </row>
    <row r="1303" customFormat="false" ht="15" hidden="false" customHeight="false" outlineLevel="0" collapsed="false">
      <c r="F1303" s="41" t="str">
        <f aca="false">IF(C1303="","",IFERROR(IF(ISNUMBER(SEARCH(Assumptions!$C$5,C1303)),Assumptions!$D$5,IF(ISNUMBER(SEARCH(Assumptions!$C$6,C1303)),Assumptions!$D$6,IF(ISNUMBER(SEARCH(Assumptions!$C$7,C1303)),Assumptions!$D$7,"Other Services"))),"Other Services"))</f>
        <v/>
      </c>
    </row>
    <row r="1304" customFormat="false" ht="15" hidden="false" customHeight="false" outlineLevel="0" collapsed="false">
      <c r="F1304" s="41" t="str">
        <f aca="false">IF(C1304="","",IFERROR(IF(ISNUMBER(SEARCH(Assumptions!$C$5,C1304)),Assumptions!$D$5,IF(ISNUMBER(SEARCH(Assumptions!$C$6,C1304)),Assumptions!$D$6,IF(ISNUMBER(SEARCH(Assumptions!$C$7,C1304)),Assumptions!$D$7,"Other Services"))),"Other Services"))</f>
        <v/>
      </c>
    </row>
    <row r="1305" customFormat="false" ht="15" hidden="false" customHeight="false" outlineLevel="0" collapsed="false">
      <c r="F1305" s="41" t="str">
        <f aca="false">IF(C1305="","",IFERROR(IF(ISNUMBER(SEARCH(Assumptions!$C$5,C1305)),Assumptions!$D$5,IF(ISNUMBER(SEARCH(Assumptions!$C$6,C1305)),Assumptions!$D$6,IF(ISNUMBER(SEARCH(Assumptions!$C$7,C1305)),Assumptions!$D$7,"Other Services"))),"Other Services"))</f>
        <v/>
      </c>
    </row>
    <row r="1306" customFormat="false" ht="15" hidden="false" customHeight="false" outlineLevel="0" collapsed="false">
      <c r="F1306" s="41" t="str">
        <f aca="false">IF(C1306="","",IFERROR(IF(ISNUMBER(SEARCH(Assumptions!$C$5,C1306)),Assumptions!$D$5,IF(ISNUMBER(SEARCH(Assumptions!$C$6,C1306)),Assumptions!$D$6,IF(ISNUMBER(SEARCH(Assumptions!$C$7,C1306)),Assumptions!$D$7,"Other Services"))),"Other Services"))</f>
        <v/>
      </c>
    </row>
    <row r="1307" customFormat="false" ht="15" hidden="false" customHeight="false" outlineLevel="0" collapsed="false">
      <c r="F1307" s="41" t="str">
        <f aca="false">IF(C1307="","",IFERROR(IF(ISNUMBER(SEARCH(Assumptions!$C$5,C1307)),Assumptions!$D$5,IF(ISNUMBER(SEARCH(Assumptions!$C$6,C1307)),Assumptions!$D$6,IF(ISNUMBER(SEARCH(Assumptions!$C$7,C1307)),Assumptions!$D$7,"Other Services"))),"Other Services"))</f>
        <v/>
      </c>
    </row>
    <row r="1308" customFormat="false" ht="15" hidden="false" customHeight="false" outlineLevel="0" collapsed="false">
      <c r="F1308" s="41" t="str">
        <f aca="false">IF(C1308="","",IFERROR(IF(ISNUMBER(SEARCH(Assumptions!$C$5,C1308)),Assumptions!$D$5,IF(ISNUMBER(SEARCH(Assumptions!$C$6,C1308)),Assumptions!$D$6,IF(ISNUMBER(SEARCH(Assumptions!$C$7,C1308)),Assumptions!$D$7,"Other Services"))),"Other Services"))</f>
        <v/>
      </c>
    </row>
    <row r="1309" customFormat="false" ht="15" hidden="false" customHeight="false" outlineLevel="0" collapsed="false">
      <c r="F1309" s="41" t="str">
        <f aca="false">IF(C1309="","",IFERROR(IF(ISNUMBER(SEARCH(Assumptions!$C$5,C1309)),Assumptions!$D$5,IF(ISNUMBER(SEARCH(Assumptions!$C$6,C1309)),Assumptions!$D$6,IF(ISNUMBER(SEARCH(Assumptions!$C$7,C1309)),Assumptions!$D$7,"Other Services"))),"Other Services"))</f>
        <v/>
      </c>
    </row>
    <row r="1310" customFormat="false" ht="15" hidden="false" customHeight="false" outlineLevel="0" collapsed="false">
      <c r="F1310" s="41" t="str">
        <f aca="false">IF(C1310="","",IFERROR(IF(ISNUMBER(SEARCH(Assumptions!$C$5,C1310)),Assumptions!$D$5,IF(ISNUMBER(SEARCH(Assumptions!$C$6,C1310)),Assumptions!$D$6,IF(ISNUMBER(SEARCH(Assumptions!$C$7,C1310)),Assumptions!$D$7,"Other Services"))),"Other Services"))</f>
        <v/>
      </c>
    </row>
    <row r="1311" customFormat="false" ht="15" hidden="false" customHeight="false" outlineLevel="0" collapsed="false">
      <c r="F1311" s="41" t="str">
        <f aca="false">IF(C1311="","",IFERROR(IF(ISNUMBER(SEARCH(Assumptions!$C$5,C1311)),Assumptions!$D$5,IF(ISNUMBER(SEARCH(Assumptions!$C$6,C1311)),Assumptions!$D$6,IF(ISNUMBER(SEARCH(Assumptions!$C$7,C1311)),Assumptions!$D$7,"Other Services"))),"Other Services"))</f>
        <v/>
      </c>
    </row>
    <row r="1312" customFormat="false" ht="15" hidden="false" customHeight="false" outlineLevel="0" collapsed="false">
      <c r="F1312" s="41" t="str">
        <f aca="false">IF(C1312="","",IFERROR(IF(ISNUMBER(SEARCH(Assumptions!$C$5,C1312)),Assumptions!$D$5,IF(ISNUMBER(SEARCH(Assumptions!$C$6,C1312)),Assumptions!$D$6,IF(ISNUMBER(SEARCH(Assumptions!$C$7,C1312)),Assumptions!$D$7,"Other Services"))),"Other Services"))</f>
        <v/>
      </c>
    </row>
    <row r="1313" customFormat="false" ht="15" hidden="false" customHeight="false" outlineLevel="0" collapsed="false">
      <c r="F1313" s="41" t="str">
        <f aca="false">IF(C1313="","",IFERROR(IF(ISNUMBER(SEARCH(Assumptions!$C$5,C1313)),Assumptions!$D$5,IF(ISNUMBER(SEARCH(Assumptions!$C$6,C1313)),Assumptions!$D$6,IF(ISNUMBER(SEARCH(Assumptions!$C$7,C1313)),Assumptions!$D$7,"Other Services"))),"Other Services"))</f>
        <v/>
      </c>
    </row>
    <row r="1314" customFormat="false" ht="15" hidden="false" customHeight="false" outlineLevel="0" collapsed="false">
      <c r="F1314" s="41" t="str">
        <f aca="false">IF(C1314="","",IFERROR(IF(ISNUMBER(SEARCH(Assumptions!$C$5,C1314)),Assumptions!$D$5,IF(ISNUMBER(SEARCH(Assumptions!$C$6,C1314)),Assumptions!$D$6,IF(ISNUMBER(SEARCH(Assumptions!$C$7,C1314)),Assumptions!$D$7,"Other Services"))),"Other Services"))</f>
        <v/>
      </c>
    </row>
    <row r="1315" customFormat="false" ht="15" hidden="false" customHeight="false" outlineLevel="0" collapsed="false">
      <c r="F1315" s="41" t="str">
        <f aca="false">IF(C1315="","",IFERROR(IF(ISNUMBER(SEARCH(Assumptions!$C$5,C1315)),Assumptions!$D$5,IF(ISNUMBER(SEARCH(Assumptions!$C$6,C1315)),Assumptions!$D$6,IF(ISNUMBER(SEARCH(Assumptions!$C$7,C1315)),Assumptions!$D$7,"Other Services"))),"Other Services"))</f>
        <v/>
      </c>
    </row>
    <row r="1316" customFormat="false" ht="15" hidden="false" customHeight="false" outlineLevel="0" collapsed="false">
      <c r="F1316" s="41" t="str">
        <f aca="false">IF(C1316="","",IFERROR(IF(ISNUMBER(SEARCH(Assumptions!$C$5,C1316)),Assumptions!$D$5,IF(ISNUMBER(SEARCH(Assumptions!$C$6,C1316)),Assumptions!$D$6,IF(ISNUMBER(SEARCH(Assumptions!$C$7,C1316)),Assumptions!$D$7,"Other Services"))),"Other Services"))</f>
        <v/>
      </c>
    </row>
    <row r="1317" customFormat="false" ht="15" hidden="false" customHeight="false" outlineLevel="0" collapsed="false">
      <c r="F1317" s="41" t="str">
        <f aca="false">IF(C1317="","",IFERROR(IF(ISNUMBER(SEARCH(Assumptions!$C$5,C1317)),Assumptions!$D$5,IF(ISNUMBER(SEARCH(Assumptions!$C$6,C1317)),Assumptions!$D$6,IF(ISNUMBER(SEARCH(Assumptions!$C$7,C1317)),Assumptions!$D$7,"Other Services"))),"Other Services"))</f>
        <v/>
      </c>
    </row>
    <row r="1318" customFormat="false" ht="15" hidden="false" customHeight="false" outlineLevel="0" collapsed="false">
      <c r="F1318" s="41" t="str">
        <f aca="false">IF(C1318="","",IFERROR(IF(ISNUMBER(SEARCH(Assumptions!$C$5,C1318)),Assumptions!$D$5,IF(ISNUMBER(SEARCH(Assumptions!$C$6,C1318)),Assumptions!$D$6,IF(ISNUMBER(SEARCH(Assumptions!$C$7,C1318)),Assumptions!$D$7,"Other Services"))),"Other Services"))</f>
        <v/>
      </c>
    </row>
    <row r="1319" customFormat="false" ht="15" hidden="false" customHeight="false" outlineLevel="0" collapsed="false">
      <c r="F1319" s="41" t="str">
        <f aca="false">IF(C1319="","",IFERROR(IF(ISNUMBER(SEARCH(Assumptions!$C$5,C1319)),Assumptions!$D$5,IF(ISNUMBER(SEARCH(Assumptions!$C$6,C1319)),Assumptions!$D$6,IF(ISNUMBER(SEARCH(Assumptions!$C$7,C1319)),Assumptions!$D$7,"Other Services"))),"Other Services"))</f>
        <v/>
      </c>
    </row>
    <row r="1320" customFormat="false" ht="15" hidden="false" customHeight="false" outlineLevel="0" collapsed="false">
      <c r="F1320" s="41" t="str">
        <f aca="false">IF(C1320="","",IFERROR(IF(ISNUMBER(SEARCH(Assumptions!$C$5,C1320)),Assumptions!$D$5,IF(ISNUMBER(SEARCH(Assumptions!$C$6,C1320)),Assumptions!$D$6,IF(ISNUMBER(SEARCH(Assumptions!$C$7,C1320)),Assumptions!$D$7,"Other Services"))),"Other Services"))</f>
        <v/>
      </c>
    </row>
    <row r="1321" customFormat="false" ht="15" hidden="false" customHeight="false" outlineLevel="0" collapsed="false">
      <c r="F1321" s="41" t="str">
        <f aca="false">IF(C1321="","",IFERROR(IF(ISNUMBER(SEARCH(Assumptions!$C$5,C1321)),Assumptions!$D$5,IF(ISNUMBER(SEARCH(Assumptions!$C$6,C1321)),Assumptions!$D$6,IF(ISNUMBER(SEARCH(Assumptions!$C$7,C1321)),Assumptions!$D$7,"Other Services"))),"Other Services"))</f>
        <v/>
      </c>
    </row>
    <row r="1322" customFormat="false" ht="15" hidden="false" customHeight="false" outlineLevel="0" collapsed="false">
      <c r="F1322" s="41" t="str">
        <f aca="false">IF(C1322="","",IFERROR(IF(ISNUMBER(SEARCH(Assumptions!$C$5,C1322)),Assumptions!$D$5,IF(ISNUMBER(SEARCH(Assumptions!$C$6,C1322)),Assumptions!$D$6,IF(ISNUMBER(SEARCH(Assumptions!$C$7,C1322)),Assumptions!$D$7,"Other Services"))),"Other Services"))</f>
        <v/>
      </c>
    </row>
    <row r="1323" customFormat="false" ht="15" hidden="false" customHeight="false" outlineLevel="0" collapsed="false">
      <c r="F1323" s="41" t="str">
        <f aca="false">IF(C1323="","",IFERROR(IF(ISNUMBER(SEARCH(Assumptions!$C$5,C1323)),Assumptions!$D$5,IF(ISNUMBER(SEARCH(Assumptions!$C$6,C1323)),Assumptions!$D$6,IF(ISNUMBER(SEARCH(Assumptions!$C$7,C1323)),Assumptions!$D$7,"Other Services"))),"Other Services"))</f>
        <v/>
      </c>
    </row>
    <row r="1324" customFormat="false" ht="15" hidden="false" customHeight="false" outlineLevel="0" collapsed="false">
      <c r="F1324" s="41" t="str">
        <f aca="false">IF(C1324="","",IFERROR(IF(ISNUMBER(SEARCH(Assumptions!$C$5,C1324)),Assumptions!$D$5,IF(ISNUMBER(SEARCH(Assumptions!$C$6,C1324)),Assumptions!$D$6,IF(ISNUMBER(SEARCH(Assumptions!$C$7,C1324)),Assumptions!$D$7,"Other Services"))),"Other Services"))</f>
        <v/>
      </c>
    </row>
    <row r="1325" customFormat="false" ht="15" hidden="false" customHeight="false" outlineLevel="0" collapsed="false">
      <c r="F1325" s="41" t="str">
        <f aca="false">IF(C1325="","",IFERROR(IF(ISNUMBER(SEARCH(Assumptions!$C$5,C1325)),Assumptions!$D$5,IF(ISNUMBER(SEARCH(Assumptions!$C$6,C1325)),Assumptions!$D$6,IF(ISNUMBER(SEARCH(Assumptions!$C$7,C1325)),Assumptions!$D$7,"Other Services"))),"Other Services"))</f>
        <v/>
      </c>
    </row>
    <row r="1326" customFormat="false" ht="15" hidden="false" customHeight="false" outlineLevel="0" collapsed="false">
      <c r="F1326" s="41" t="str">
        <f aca="false">IF(C1326="","",IFERROR(IF(ISNUMBER(SEARCH(Assumptions!$C$5,C1326)),Assumptions!$D$5,IF(ISNUMBER(SEARCH(Assumptions!$C$6,C1326)),Assumptions!$D$6,IF(ISNUMBER(SEARCH(Assumptions!$C$7,C1326)),Assumptions!$D$7,"Other Services"))),"Other Services"))</f>
        <v/>
      </c>
    </row>
    <row r="1327" customFormat="false" ht="15" hidden="false" customHeight="false" outlineLevel="0" collapsed="false">
      <c r="F1327" s="41" t="str">
        <f aca="false">IF(C1327="","",IFERROR(IF(ISNUMBER(SEARCH(Assumptions!$C$5,C1327)),Assumptions!$D$5,IF(ISNUMBER(SEARCH(Assumptions!$C$6,C1327)),Assumptions!$D$6,IF(ISNUMBER(SEARCH(Assumptions!$C$7,C1327)),Assumptions!$D$7,"Other Services"))),"Other Services"))</f>
        <v/>
      </c>
    </row>
    <row r="1328" customFormat="false" ht="15" hidden="false" customHeight="false" outlineLevel="0" collapsed="false">
      <c r="F1328" s="41" t="str">
        <f aca="false">IF(C1328="","",IFERROR(IF(ISNUMBER(SEARCH(Assumptions!$C$5,C1328)),Assumptions!$D$5,IF(ISNUMBER(SEARCH(Assumptions!$C$6,C1328)),Assumptions!$D$6,IF(ISNUMBER(SEARCH(Assumptions!$C$7,C1328)),Assumptions!$D$7,"Other Services"))),"Other Services"))</f>
        <v/>
      </c>
    </row>
    <row r="1329" customFormat="false" ht="15" hidden="false" customHeight="false" outlineLevel="0" collapsed="false">
      <c r="F1329" s="41" t="str">
        <f aca="false">IF(C1329="","",IFERROR(IF(ISNUMBER(SEARCH(Assumptions!$C$5,C1329)),Assumptions!$D$5,IF(ISNUMBER(SEARCH(Assumptions!$C$6,C1329)),Assumptions!$D$6,IF(ISNUMBER(SEARCH(Assumptions!$C$7,C1329)),Assumptions!$D$7,"Other Services"))),"Other Services"))</f>
        <v/>
      </c>
    </row>
    <row r="1330" customFormat="false" ht="15" hidden="false" customHeight="false" outlineLevel="0" collapsed="false">
      <c r="F1330" s="41" t="str">
        <f aca="false">IF(C1330="","",IFERROR(IF(ISNUMBER(SEARCH(Assumptions!$C$5,C1330)),Assumptions!$D$5,IF(ISNUMBER(SEARCH(Assumptions!$C$6,C1330)),Assumptions!$D$6,IF(ISNUMBER(SEARCH(Assumptions!$C$7,C1330)),Assumptions!$D$7,"Other Services"))),"Other Services"))</f>
        <v/>
      </c>
    </row>
    <row r="1331" customFormat="false" ht="15" hidden="false" customHeight="false" outlineLevel="0" collapsed="false">
      <c r="F1331" s="41" t="str">
        <f aca="false">IF(C1331="","",IFERROR(IF(ISNUMBER(SEARCH(Assumptions!$C$5,C1331)),Assumptions!$D$5,IF(ISNUMBER(SEARCH(Assumptions!$C$6,C1331)),Assumptions!$D$6,IF(ISNUMBER(SEARCH(Assumptions!$C$7,C1331)),Assumptions!$D$7,"Other Services"))),"Other Services"))</f>
        <v/>
      </c>
    </row>
    <row r="1332" customFormat="false" ht="15" hidden="false" customHeight="false" outlineLevel="0" collapsed="false">
      <c r="F1332" s="41" t="str">
        <f aca="false">IF(C1332="","",IFERROR(IF(ISNUMBER(SEARCH(Assumptions!$C$5,C1332)),Assumptions!$D$5,IF(ISNUMBER(SEARCH(Assumptions!$C$6,C1332)),Assumptions!$D$6,IF(ISNUMBER(SEARCH(Assumptions!$C$7,C1332)),Assumptions!$D$7,"Other Services"))),"Other Services"))</f>
        <v/>
      </c>
    </row>
    <row r="1333" customFormat="false" ht="15" hidden="false" customHeight="false" outlineLevel="0" collapsed="false">
      <c r="F1333" s="41" t="str">
        <f aca="false">IF(C1333="","",IFERROR(IF(ISNUMBER(SEARCH(Assumptions!$C$5,C1333)),Assumptions!$D$5,IF(ISNUMBER(SEARCH(Assumptions!$C$6,C1333)),Assumptions!$D$6,IF(ISNUMBER(SEARCH(Assumptions!$C$7,C1333)),Assumptions!$D$7,"Other Services"))),"Other Services"))</f>
        <v/>
      </c>
    </row>
    <row r="1334" customFormat="false" ht="15" hidden="false" customHeight="false" outlineLevel="0" collapsed="false">
      <c r="F1334" s="41" t="str">
        <f aca="false">IF(C1334="","",IFERROR(IF(ISNUMBER(SEARCH(Assumptions!$C$5,C1334)),Assumptions!$D$5,IF(ISNUMBER(SEARCH(Assumptions!$C$6,C1334)),Assumptions!$D$6,IF(ISNUMBER(SEARCH(Assumptions!$C$7,C1334)),Assumptions!$D$7,"Other Services"))),"Other Services"))</f>
        <v/>
      </c>
    </row>
    <row r="1335" customFormat="false" ht="15" hidden="false" customHeight="false" outlineLevel="0" collapsed="false">
      <c r="F1335" s="41" t="str">
        <f aca="false">IF(C1335="","",IFERROR(IF(ISNUMBER(SEARCH(Assumptions!$C$5,C1335)),Assumptions!$D$5,IF(ISNUMBER(SEARCH(Assumptions!$C$6,C1335)),Assumptions!$D$6,IF(ISNUMBER(SEARCH(Assumptions!$C$7,C1335)),Assumptions!$D$7,"Other Services"))),"Other Services"))</f>
        <v/>
      </c>
    </row>
    <row r="1336" customFormat="false" ht="15" hidden="false" customHeight="false" outlineLevel="0" collapsed="false">
      <c r="F1336" s="41" t="str">
        <f aca="false">IF(C1336="","",IFERROR(IF(ISNUMBER(SEARCH(Assumptions!$C$5,C1336)),Assumptions!$D$5,IF(ISNUMBER(SEARCH(Assumptions!$C$6,C1336)),Assumptions!$D$6,IF(ISNUMBER(SEARCH(Assumptions!$C$7,C1336)),Assumptions!$D$7,"Other Services"))),"Other Services"))</f>
        <v/>
      </c>
    </row>
    <row r="1337" customFormat="false" ht="15" hidden="false" customHeight="false" outlineLevel="0" collapsed="false">
      <c r="F1337" s="41" t="str">
        <f aca="false">IF(C1337="","",IFERROR(IF(ISNUMBER(SEARCH(Assumptions!$C$5,C1337)),Assumptions!$D$5,IF(ISNUMBER(SEARCH(Assumptions!$C$6,C1337)),Assumptions!$D$6,IF(ISNUMBER(SEARCH(Assumptions!$C$7,C1337)),Assumptions!$D$7,"Other Services"))),"Other Services"))</f>
        <v/>
      </c>
    </row>
    <row r="1338" customFormat="false" ht="15" hidden="false" customHeight="false" outlineLevel="0" collapsed="false">
      <c r="F1338" s="41" t="str">
        <f aca="false">IF(C1338="","",IFERROR(IF(ISNUMBER(SEARCH(Assumptions!$C$5,C1338)),Assumptions!$D$5,IF(ISNUMBER(SEARCH(Assumptions!$C$6,C1338)),Assumptions!$D$6,IF(ISNUMBER(SEARCH(Assumptions!$C$7,C1338)),Assumptions!$D$7,"Other Services"))),"Other Services"))</f>
        <v/>
      </c>
    </row>
    <row r="1339" customFormat="false" ht="15" hidden="false" customHeight="false" outlineLevel="0" collapsed="false">
      <c r="F1339" s="41" t="str">
        <f aca="false">IF(C1339="","",IFERROR(IF(ISNUMBER(SEARCH(Assumptions!$C$5,C1339)),Assumptions!$D$5,IF(ISNUMBER(SEARCH(Assumptions!$C$6,C1339)),Assumptions!$D$6,IF(ISNUMBER(SEARCH(Assumptions!$C$7,C1339)),Assumptions!$D$7,"Other Services"))),"Other Services"))</f>
        <v/>
      </c>
    </row>
    <row r="1340" customFormat="false" ht="15" hidden="false" customHeight="false" outlineLevel="0" collapsed="false">
      <c r="F1340" s="41" t="str">
        <f aca="false">IF(C1340="","",IFERROR(IF(ISNUMBER(SEARCH(Assumptions!$C$5,C1340)),Assumptions!$D$5,IF(ISNUMBER(SEARCH(Assumptions!$C$6,C1340)),Assumptions!$D$6,IF(ISNUMBER(SEARCH(Assumptions!$C$7,C1340)),Assumptions!$D$7,"Other Services"))),"Other Services"))</f>
        <v/>
      </c>
    </row>
    <row r="1341" customFormat="false" ht="15" hidden="false" customHeight="false" outlineLevel="0" collapsed="false">
      <c r="F1341" s="41" t="str">
        <f aca="false">IF(C1341="","",IFERROR(IF(ISNUMBER(SEARCH(Assumptions!$C$5,C1341)),Assumptions!$D$5,IF(ISNUMBER(SEARCH(Assumptions!$C$6,C1341)),Assumptions!$D$6,IF(ISNUMBER(SEARCH(Assumptions!$C$7,C1341)),Assumptions!$D$7,"Other Services"))),"Other Services"))</f>
        <v/>
      </c>
    </row>
    <row r="1342" customFormat="false" ht="15" hidden="false" customHeight="false" outlineLevel="0" collapsed="false">
      <c r="F1342" s="41" t="str">
        <f aca="false">IF(C1342="","",IFERROR(IF(ISNUMBER(SEARCH(Assumptions!$C$5,C1342)),Assumptions!$D$5,IF(ISNUMBER(SEARCH(Assumptions!$C$6,C1342)),Assumptions!$D$6,IF(ISNUMBER(SEARCH(Assumptions!$C$7,C1342)),Assumptions!$D$7,"Other Services"))),"Other Services"))</f>
        <v/>
      </c>
    </row>
    <row r="1343" customFormat="false" ht="15" hidden="false" customHeight="false" outlineLevel="0" collapsed="false">
      <c r="F1343" s="41" t="str">
        <f aca="false">IF(C1343="","",IFERROR(IF(ISNUMBER(SEARCH(Assumptions!$C$5,C1343)),Assumptions!$D$5,IF(ISNUMBER(SEARCH(Assumptions!$C$6,C1343)),Assumptions!$D$6,IF(ISNUMBER(SEARCH(Assumptions!$C$7,C1343)),Assumptions!$D$7,"Other Services"))),"Other Services"))</f>
        <v/>
      </c>
    </row>
    <row r="1344" customFormat="false" ht="15" hidden="false" customHeight="false" outlineLevel="0" collapsed="false">
      <c r="F1344" s="41" t="str">
        <f aca="false">IF(C1344="","",IFERROR(IF(ISNUMBER(SEARCH(Assumptions!$C$5,C1344)),Assumptions!$D$5,IF(ISNUMBER(SEARCH(Assumptions!$C$6,C1344)),Assumptions!$D$6,IF(ISNUMBER(SEARCH(Assumptions!$C$7,C1344)),Assumptions!$D$7,"Other Services"))),"Other Services"))</f>
        <v/>
      </c>
    </row>
    <row r="1345" customFormat="false" ht="15" hidden="false" customHeight="false" outlineLevel="0" collapsed="false">
      <c r="F1345" s="41" t="str">
        <f aca="false">IF(C1345="","",IFERROR(IF(ISNUMBER(SEARCH(Assumptions!$C$5,C1345)),Assumptions!$D$5,IF(ISNUMBER(SEARCH(Assumptions!$C$6,C1345)),Assumptions!$D$6,IF(ISNUMBER(SEARCH(Assumptions!$C$7,C1345)),Assumptions!$D$7,"Other Services"))),"Other Services"))</f>
        <v/>
      </c>
    </row>
    <row r="1346" customFormat="false" ht="15" hidden="false" customHeight="false" outlineLevel="0" collapsed="false">
      <c r="F1346" s="41" t="str">
        <f aca="false">IF(C1346="","",IFERROR(IF(ISNUMBER(SEARCH(Assumptions!$C$5,C1346)),Assumptions!$D$5,IF(ISNUMBER(SEARCH(Assumptions!$C$6,C1346)),Assumptions!$D$6,IF(ISNUMBER(SEARCH(Assumptions!$C$7,C1346)),Assumptions!$D$7,"Other Services"))),"Other Services"))</f>
        <v/>
      </c>
    </row>
    <row r="1347" customFormat="false" ht="15" hidden="false" customHeight="false" outlineLevel="0" collapsed="false">
      <c r="F1347" s="41" t="str">
        <f aca="false">IF(C1347="","",IFERROR(IF(ISNUMBER(SEARCH(Assumptions!$C$5,C1347)),Assumptions!$D$5,IF(ISNUMBER(SEARCH(Assumptions!$C$6,C1347)),Assumptions!$D$6,IF(ISNUMBER(SEARCH(Assumptions!$C$7,C1347)),Assumptions!$D$7,"Other Services"))),"Other Services"))</f>
        <v/>
      </c>
    </row>
    <row r="1348" customFormat="false" ht="15" hidden="false" customHeight="false" outlineLevel="0" collapsed="false">
      <c r="F1348" s="41" t="str">
        <f aca="false">IF(C1348="","",IFERROR(IF(ISNUMBER(SEARCH(Assumptions!$C$5,C1348)),Assumptions!$D$5,IF(ISNUMBER(SEARCH(Assumptions!$C$6,C1348)),Assumptions!$D$6,IF(ISNUMBER(SEARCH(Assumptions!$C$7,C1348)),Assumptions!$D$7,"Other Services"))),"Other Services"))</f>
        <v/>
      </c>
    </row>
    <row r="1349" customFormat="false" ht="15" hidden="false" customHeight="false" outlineLevel="0" collapsed="false">
      <c r="F1349" s="41" t="str">
        <f aca="false">IF(C1349="","",IFERROR(IF(ISNUMBER(SEARCH(Assumptions!$C$5,C1349)),Assumptions!$D$5,IF(ISNUMBER(SEARCH(Assumptions!$C$6,C1349)),Assumptions!$D$6,IF(ISNUMBER(SEARCH(Assumptions!$C$7,C1349)),Assumptions!$D$7,"Other Services"))),"Other Services"))</f>
        <v/>
      </c>
    </row>
    <row r="1350" customFormat="false" ht="15" hidden="false" customHeight="false" outlineLevel="0" collapsed="false">
      <c r="F1350" s="41" t="str">
        <f aca="false">IF(C1350="","",IFERROR(IF(ISNUMBER(SEARCH(Assumptions!$C$5,C1350)),Assumptions!$D$5,IF(ISNUMBER(SEARCH(Assumptions!$C$6,C1350)),Assumptions!$D$6,IF(ISNUMBER(SEARCH(Assumptions!$C$7,C1350)),Assumptions!$D$7,"Other Services"))),"Other Services"))</f>
        <v/>
      </c>
    </row>
    <row r="1351" customFormat="false" ht="15" hidden="false" customHeight="false" outlineLevel="0" collapsed="false">
      <c r="F1351" s="41" t="str">
        <f aca="false">IF(C1351="","",IFERROR(IF(ISNUMBER(SEARCH(Assumptions!$C$5,C1351)),Assumptions!$D$5,IF(ISNUMBER(SEARCH(Assumptions!$C$6,C1351)),Assumptions!$D$6,IF(ISNUMBER(SEARCH(Assumptions!$C$7,C1351)),Assumptions!$D$7,"Other Services"))),"Other Services"))</f>
        <v/>
      </c>
    </row>
    <row r="1352" customFormat="false" ht="15" hidden="false" customHeight="false" outlineLevel="0" collapsed="false">
      <c r="F1352" s="41" t="str">
        <f aca="false">IF(C1352="","",IFERROR(IF(ISNUMBER(SEARCH(Assumptions!$C$5,C1352)),Assumptions!$D$5,IF(ISNUMBER(SEARCH(Assumptions!$C$6,C1352)),Assumptions!$D$6,IF(ISNUMBER(SEARCH(Assumptions!$C$7,C1352)),Assumptions!$D$7,"Other Services"))),"Other Services"))</f>
        <v/>
      </c>
    </row>
    <row r="1353" customFormat="false" ht="15" hidden="false" customHeight="false" outlineLevel="0" collapsed="false">
      <c r="F1353" s="41" t="str">
        <f aca="false">IF(C1353="","",IFERROR(IF(ISNUMBER(SEARCH(Assumptions!$C$5,C1353)),Assumptions!$D$5,IF(ISNUMBER(SEARCH(Assumptions!$C$6,C1353)),Assumptions!$D$6,IF(ISNUMBER(SEARCH(Assumptions!$C$7,C1353)),Assumptions!$D$7,"Other Services"))),"Other Services"))</f>
        <v/>
      </c>
    </row>
    <row r="1354" customFormat="false" ht="15" hidden="false" customHeight="false" outlineLevel="0" collapsed="false">
      <c r="F1354" s="41" t="str">
        <f aca="false">IF(C1354="","",IFERROR(IF(ISNUMBER(SEARCH(Assumptions!$C$5,C1354)),Assumptions!$D$5,IF(ISNUMBER(SEARCH(Assumptions!$C$6,C1354)),Assumptions!$D$6,IF(ISNUMBER(SEARCH(Assumptions!$C$7,C1354)),Assumptions!$D$7,"Other Services"))),"Other Services"))</f>
        <v/>
      </c>
    </row>
    <row r="1355" customFormat="false" ht="15" hidden="false" customHeight="false" outlineLevel="0" collapsed="false">
      <c r="F1355" s="41" t="str">
        <f aca="false">IF(C1355="","",IFERROR(IF(ISNUMBER(SEARCH(Assumptions!$C$5,C1355)),Assumptions!$D$5,IF(ISNUMBER(SEARCH(Assumptions!$C$6,C1355)),Assumptions!$D$6,IF(ISNUMBER(SEARCH(Assumptions!$C$7,C1355)),Assumptions!$D$7,"Other Services"))),"Other Services"))</f>
        <v/>
      </c>
    </row>
    <row r="1356" customFormat="false" ht="15" hidden="false" customHeight="false" outlineLevel="0" collapsed="false">
      <c r="F1356" s="41" t="str">
        <f aca="false">IF(C1356="","",IFERROR(IF(ISNUMBER(SEARCH(Assumptions!$C$5,C1356)),Assumptions!$D$5,IF(ISNUMBER(SEARCH(Assumptions!$C$6,C1356)),Assumptions!$D$6,IF(ISNUMBER(SEARCH(Assumptions!$C$7,C1356)),Assumptions!$D$7,"Other Services"))),"Other Services"))</f>
        <v/>
      </c>
    </row>
    <row r="1357" customFormat="false" ht="15" hidden="false" customHeight="false" outlineLevel="0" collapsed="false">
      <c r="F1357" s="41" t="str">
        <f aca="false">IF(C1357="","",IFERROR(IF(ISNUMBER(SEARCH(Assumptions!$C$5,C1357)),Assumptions!$D$5,IF(ISNUMBER(SEARCH(Assumptions!$C$6,C1357)),Assumptions!$D$6,IF(ISNUMBER(SEARCH(Assumptions!$C$7,C1357)),Assumptions!$D$7,"Other Services"))),"Other Services"))</f>
        <v/>
      </c>
    </row>
    <row r="1358" customFormat="false" ht="15" hidden="false" customHeight="false" outlineLevel="0" collapsed="false">
      <c r="F1358" s="41" t="str">
        <f aca="false">IF(C1358="","",IFERROR(IF(ISNUMBER(SEARCH(Assumptions!$C$5,C1358)),Assumptions!$D$5,IF(ISNUMBER(SEARCH(Assumptions!$C$6,C1358)),Assumptions!$D$6,IF(ISNUMBER(SEARCH(Assumptions!$C$7,C1358)),Assumptions!$D$7,"Other Services"))),"Other Services"))</f>
        <v/>
      </c>
    </row>
    <row r="1359" customFormat="false" ht="15" hidden="false" customHeight="false" outlineLevel="0" collapsed="false">
      <c r="F1359" s="41" t="str">
        <f aca="false">IF(C1359="","",IFERROR(IF(ISNUMBER(SEARCH(Assumptions!$C$5,C1359)),Assumptions!$D$5,IF(ISNUMBER(SEARCH(Assumptions!$C$6,C1359)),Assumptions!$D$6,IF(ISNUMBER(SEARCH(Assumptions!$C$7,C1359)),Assumptions!$D$7,"Other Services"))),"Other Services"))</f>
        <v/>
      </c>
    </row>
    <row r="1360" customFormat="false" ht="15" hidden="false" customHeight="false" outlineLevel="0" collapsed="false">
      <c r="F1360" s="41" t="str">
        <f aca="false">IF(C1360="","",IFERROR(IF(ISNUMBER(SEARCH(Assumptions!$C$5,C1360)),Assumptions!$D$5,IF(ISNUMBER(SEARCH(Assumptions!$C$6,C1360)),Assumptions!$D$6,IF(ISNUMBER(SEARCH(Assumptions!$C$7,C1360)),Assumptions!$D$7,"Other Services"))),"Other Services"))</f>
        <v/>
      </c>
    </row>
    <row r="1361" customFormat="false" ht="15" hidden="false" customHeight="false" outlineLevel="0" collapsed="false">
      <c r="F1361" s="41" t="str">
        <f aca="false">IF(C1361="","",IFERROR(IF(ISNUMBER(SEARCH(Assumptions!$C$5,C1361)),Assumptions!$D$5,IF(ISNUMBER(SEARCH(Assumptions!$C$6,C1361)),Assumptions!$D$6,IF(ISNUMBER(SEARCH(Assumptions!$C$7,C1361)),Assumptions!$D$7,"Other Services"))),"Other Services"))</f>
        <v/>
      </c>
    </row>
    <row r="1362" customFormat="false" ht="15" hidden="false" customHeight="false" outlineLevel="0" collapsed="false">
      <c r="F1362" s="41" t="str">
        <f aca="false">IF(C1362="","",IFERROR(IF(ISNUMBER(SEARCH(Assumptions!$C$5,C1362)),Assumptions!$D$5,IF(ISNUMBER(SEARCH(Assumptions!$C$6,C1362)),Assumptions!$D$6,IF(ISNUMBER(SEARCH(Assumptions!$C$7,C1362)),Assumptions!$D$7,"Other Services"))),"Other Services"))</f>
        <v/>
      </c>
    </row>
    <row r="1363" customFormat="false" ht="15" hidden="false" customHeight="false" outlineLevel="0" collapsed="false">
      <c r="F1363" s="41" t="str">
        <f aca="false">IF(C1363="","",IFERROR(IF(ISNUMBER(SEARCH(Assumptions!$C$5,C1363)),Assumptions!$D$5,IF(ISNUMBER(SEARCH(Assumptions!$C$6,C1363)),Assumptions!$D$6,IF(ISNUMBER(SEARCH(Assumptions!$C$7,C1363)),Assumptions!$D$7,"Other Services"))),"Other Services"))</f>
        <v/>
      </c>
    </row>
    <row r="1364" customFormat="false" ht="15" hidden="false" customHeight="false" outlineLevel="0" collapsed="false">
      <c r="F1364" s="41" t="str">
        <f aca="false">IF(C1364="","",IFERROR(IF(ISNUMBER(SEARCH(Assumptions!$C$5,C1364)),Assumptions!$D$5,IF(ISNUMBER(SEARCH(Assumptions!$C$6,C1364)),Assumptions!$D$6,IF(ISNUMBER(SEARCH(Assumptions!$C$7,C1364)),Assumptions!$D$7,"Other Services"))),"Other Services"))</f>
        <v/>
      </c>
    </row>
    <row r="1365" customFormat="false" ht="15" hidden="false" customHeight="false" outlineLevel="0" collapsed="false">
      <c r="F1365" s="41" t="str">
        <f aca="false">IF(C1365="","",IFERROR(IF(ISNUMBER(SEARCH(Assumptions!$C$5,C1365)),Assumptions!$D$5,IF(ISNUMBER(SEARCH(Assumptions!$C$6,C1365)),Assumptions!$D$6,IF(ISNUMBER(SEARCH(Assumptions!$C$7,C1365)),Assumptions!$D$7,"Other Services"))),"Other Services"))</f>
        <v/>
      </c>
    </row>
    <row r="1366" customFormat="false" ht="15" hidden="false" customHeight="false" outlineLevel="0" collapsed="false">
      <c r="F1366" s="41" t="str">
        <f aca="false">IF(C1366="","",IFERROR(IF(ISNUMBER(SEARCH(Assumptions!$C$5,C1366)),Assumptions!$D$5,IF(ISNUMBER(SEARCH(Assumptions!$C$6,C1366)),Assumptions!$D$6,IF(ISNUMBER(SEARCH(Assumptions!$C$7,C1366)),Assumptions!$D$7,"Other Services"))),"Other Services"))</f>
        <v/>
      </c>
    </row>
    <row r="1367" customFormat="false" ht="15" hidden="false" customHeight="false" outlineLevel="0" collapsed="false">
      <c r="F1367" s="41" t="str">
        <f aca="false">IF(C1367="","",IFERROR(IF(ISNUMBER(SEARCH(Assumptions!$C$5,C1367)),Assumptions!$D$5,IF(ISNUMBER(SEARCH(Assumptions!$C$6,C1367)),Assumptions!$D$6,IF(ISNUMBER(SEARCH(Assumptions!$C$7,C1367)),Assumptions!$D$7,"Other Services"))),"Other Services"))</f>
        <v/>
      </c>
    </row>
    <row r="1368" customFormat="false" ht="15" hidden="false" customHeight="false" outlineLevel="0" collapsed="false">
      <c r="F1368" s="41" t="str">
        <f aca="false">IF(C1368="","",IFERROR(IF(ISNUMBER(SEARCH(Assumptions!$C$5,C1368)),Assumptions!$D$5,IF(ISNUMBER(SEARCH(Assumptions!$C$6,C1368)),Assumptions!$D$6,IF(ISNUMBER(SEARCH(Assumptions!$C$7,C1368)),Assumptions!$D$7,"Other Services"))),"Other Services"))</f>
        <v/>
      </c>
    </row>
    <row r="1369" customFormat="false" ht="15" hidden="false" customHeight="false" outlineLevel="0" collapsed="false">
      <c r="F1369" s="41" t="str">
        <f aca="false">IF(C1369="","",IFERROR(IF(ISNUMBER(SEARCH(Assumptions!$C$5,C1369)),Assumptions!$D$5,IF(ISNUMBER(SEARCH(Assumptions!$C$6,C1369)),Assumptions!$D$6,IF(ISNUMBER(SEARCH(Assumptions!$C$7,C1369)),Assumptions!$D$7,"Other Services"))),"Other Services"))</f>
        <v/>
      </c>
    </row>
    <row r="1370" customFormat="false" ht="15" hidden="false" customHeight="false" outlineLevel="0" collapsed="false">
      <c r="F1370" s="41" t="str">
        <f aca="false">IF(C1370="","",IFERROR(IF(ISNUMBER(SEARCH(Assumptions!$C$5,C1370)),Assumptions!$D$5,IF(ISNUMBER(SEARCH(Assumptions!$C$6,C1370)),Assumptions!$D$6,IF(ISNUMBER(SEARCH(Assumptions!$C$7,C1370)),Assumptions!$D$7,"Other Services"))),"Other Services"))</f>
        <v/>
      </c>
    </row>
    <row r="1371" customFormat="false" ht="15" hidden="false" customHeight="false" outlineLevel="0" collapsed="false">
      <c r="F1371" s="41" t="str">
        <f aca="false">IF(C1371="","",IFERROR(IF(ISNUMBER(SEARCH(Assumptions!$C$5,C1371)),Assumptions!$D$5,IF(ISNUMBER(SEARCH(Assumptions!$C$6,C1371)),Assumptions!$D$6,IF(ISNUMBER(SEARCH(Assumptions!$C$7,C1371)),Assumptions!$D$7,"Other Services"))),"Other Services"))</f>
        <v/>
      </c>
    </row>
    <row r="1372" customFormat="false" ht="15" hidden="false" customHeight="false" outlineLevel="0" collapsed="false">
      <c r="F1372" s="41" t="str">
        <f aca="false">IF(C1372="","",IFERROR(IF(ISNUMBER(SEARCH(Assumptions!$C$5,C1372)),Assumptions!$D$5,IF(ISNUMBER(SEARCH(Assumptions!$C$6,C1372)),Assumptions!$D$6,IF(ISNUMBER(SEARCH(Assumptions!$C$7,C1372)),Assumptions!$D$7,"Other Services"))),"Other Services"))</f>
        <v/>
      </c>
    </row>
    <row r="1373" customFormat="false" ht="15" hidden="false" customHeight="false" outlineLevel="0" collapsed="false">
      <c r="F1373" s="41" t="str">
        <f aca="false">IF(C1373="","",IFERROR(IF(ISNUMBER(SEARCH(Assumptions!$C$5,C1373)),Assumptions!$D$5,IF(ISNUMBER(SEARCH(Assumptions!$C$6,C1373)),Assumptions!$D$6,IF(ISNUMBER(SEARCH(Assumptions!$C$7,C1373)),Assumptions!$D$7,"Other Services"))),"Other Services"))</f>
        <v/>
      </c>
    </row>
    <row r="1374" customFormat="false" ht="15" hidden="false" customHeight="false" outlineLevel="0" collapsed="false">
      <c r="F1374" s="41" t="str">
        <f aca="false">IF(C1374="","",IFERROR(IF(ISNUMBER(SEARCH(Assumptions!$C$5,C1374)),Assumptions!$D$5,IF(ISNUMBER(SEARCH(Assumptions!$C$6,C1374)),Assumptions!$D$6,IF(ISNUMBER(SEARCH(Assumptions!$C$7,C1374)),Assumptions!$D$7,"Other Services"))),"Other Services"))</f>
        <v/>
      </c>
    </row>
    <row r="1375" customFormat="false" ht="15" hidden="false" customHeight="false" outlineLevel="0" collapsed="false">
      <c r="F1375" s="41" t="str">
        <f aca="false">IF(C1375="","",IFERROR(IF(ISNUMBER(SEARCH(Assumptions!$C$5,C1375)),Assumptions!$D$5,IF(ISNUMBER(SEARCH(Assumptions!$C$6,C1375)),Assumptions!$D$6,IF(ISNUMBER(SEARCH(Assumptions!$C$7,C1375)),Assumptions!$D$7,"Other Services"))),"Other Services"))</f>
        <v/>
      </c>
    </row>
    <row r="1376" customFormat="false" ht="15" hidden="false" customHeight="false" outlineLevel="0" collapsed="false">
      <c r="F1376" s="41" t="str">
        <f aca="false">IF(C1376="","",IFERROR(IF(ISNUMBER(SEARCH(Assumptions!$C$5,C1376)),Assumptions!$D$5,IF(ISNUMBER(SEARCH(Assumptions!$C$6,C1376)),Assumptions!$D$6,IF(ISNUMBER(SEARCH(Assumptions!$C$7,C1376)),Assumptions!$D$7,"Other Services"))),"Other Services"))</f>
        <v/>
      </c>
    </row>
    <row r="1377" customFormat="false" ht="15" hidden="false" customHeight="false" outlineLevel="0" collapsed="false">
      <c r="F1377" s="41" t="str">
        <f aca="false">IF(C1377="","",IFERROR(IF(ISNUMBER(SEARCH(Assumptions!$C$5,C1377)),Assumptions!$D$5,IF(ISNUMBER(SEARCH(Assumptions!$C$6,C1377)),Assumptions!$D$6,IF(ISNUMBER(SEARCH(Assumptions!$C$7,C1377)),Assumptions!$D$7,"Other Services"))),"Other Services"))</f>
        <v/>
      </c>
    </row>
    <row r="1378" customFormat="false" ht="15" hidden="false" customHeight="false" outlineLevel="0" collapsed="false">
      <c r="F1378" s="41" t="str">
        <f aca="false">IF(C1378="","",IFERROR(IF(ISNUMBER(SEARCH(Assumptions!$C$5,C1378)),Assumptions!$D$5,IF(ISNUMBER(SEARCH(Assumptions!$C$6,C1378)),Assumptions!$D$6,IF(ISNUMBER(SEARCH(Assumptions!$C$7,C1378)),Assumptions!$D$7,"Other Services"))),"Other Services"))</f>
        <v/>
      </c>
    </row>
    <row r="1379" customFormat="false" ht="15" hidden="false" customHeight="false" outlineLevel="0" collapsed="false">
      <c r="F1379" s="41" t="str">
        <f aca="false">IF(C1379="","",IFERROR(IF(ISNUMBER(SEARCH(Assumptions!$C$5,C1379)),Assumptions!$D$5,IF(ISNUMBER(SEARCH(Assumptions!$C$6,C1379)),Assumptions!$D$6,IF(ISNUMBER(SEARCH(Assumptions!$C$7,C1379)),Assumptions!$D$7,"Other Services"))),"Other Services"))</f>
        <v/>
      </c>
    </row>
    <row r="1380" customFormat="false" ht="15" hidden="false" customHeight="false" outlineLevel="0" collapsed="false">
      <c r="F1380" s="41" t="str">
        <f aca="false">IF(C1380="","",IFERROR(IF(ISNUMBER(SEARCH(Assumptions!$C$5,C1380)),Assumptions!$D$5,IF(ISNUMBER(SEARCH(Assumptions!$C$6,C1380)),Assumptions!$D$6,IF(ISNUMBER(SEARCH(Assumptions!$C$7,C1380)),Assumptions!$D$7,"Other Services"))),"Other Services"))</f>
        <v/>
      </c>
    </row>
    <row r="1381" customFormat="false" ht="15" hidden="false" customHeight="false" outlineLevel="0" collapsed="false">
      <c r="F1381" s="41" t="str">
        <f aca="false">IF(C1381="","",IFERROR(IF(ISNUMBER(SEARCH(Assumptions!$C$5,C1381)),Assumptions!$D$5,IF(ISNUMBER(SEARCH(Assumptions!$C$6,C1381)),Assumptions!$D$6,IF(ISNUMBER(SEARCH(Assumptions!$C$7,C1381)),Assumptions!$D$7,"Other Services"))),"Other Services"))</f>
        <v/>
      </c>
    </row>
    <row r="1382" customFormat="false" ht="15" hidden="false" customHeight="false" outlineLevel="0" collapsed="false">
      <c r="F1382" s="41" t="str">
        <f aca="false">IF(C1382="","",IFERROR(IF(ISNUMBER(SEARCH(Assumptions!$C$5,C1382)),Assumptions!$D$5,IF(ISNUMBER(SEARCH(Assumptions!$C$6,C1382)),Assumptions!$D$6,IF(ISNUMBER(SEARCH(Assumptions!$C$7,C1382)),Assumptions!$D$7,"Other Services"))),"Other Services"))</f>
        <v/>
      </c>
    </row>
    <row r="1383" customFormat="false" ht="15" hidden="false" customHeight="false" outlineLevel="0" collapsed="false">
      <c r="F1383" s="41" t="str">
        <f aca="false">IF(C1383="","",IFERROR(IF(ISNUMBER(SEARCH(Assumptions!$C$5,C1383)),Assumptions!$D$5,IF(ISNUMBER(SEARCH(Assumptions!$C$6,C1383)),Assumptions!$D$6,IF(ISNUMBER(SEARCH(Assumptions!$C$7,C1383)),Assumptions!$D$7,"Other Services"))),"Other Services"))</f>
        <v/>
      </c>
    </row>
    <row r="1384" customFormat="false" ht="15" hidden="false" customHeight="false" outlineLevel="0" collapsed="false">
      <c r="F1384" s="41" t="str">
        <f aca="false">IF(C1384="","",IFERROR(IF(ISNUMBER(SEARCH(Assumptions!$C$5,C1384)),Assumptions!$D$5,IF(ISNUMBER(SEARCH(Assumptions!$C$6,C1384)),Assumptions!$D$6,IF(ISNUMBER(SEARCH(Assumptions!$C$7,C1384)),Assumptions!$D$7,"Other Services"))),"Other Services"))</f>
        <v/>
      </c>
    </row>
    <row r="1385" customFormat="false" ht="15" hidden="false" customHeight="false" outlineLevel="0" collapsed="false">
      <c r="F1385" s="41" t="str">
        <f aca="false">IF(C1385="","",IFERROR(IF(ISNUMBER(SEARCH(Assumptions!$C$5,C1385)),Assumptions!$D$5,IF(ISNUMBER(SEARCH(Assumptions!$C$6,C1385)),Assumptions!$D$6,IF(ISNUMBER(SEARCH(Assumptions!$C$7,C1385)),Assumptions!$D$7,"Other Services"))),"Other Services"))</f>
        <v/>
      </c>
    </row>
    <row r="1386" customFormat="false" ht="15" hidden="false" customHeight="false" outlineLevel="0" collapsed="false">
      <c r="F1386" s="41" t="str">
        <f aca="false">IF(C1386="","",IFERROR(IF(ISNUMBER(SEARCH(Assumptions!$C$5,C1386)),Assumptions!$D$5,IF(ISNUMBER(SEARCH(Assumptions!$C$6,C1386)),Assumptions!$D$6,IF(ISNUMBER(SEARCH(Assumptions!$C$7,C1386)),Assumptions!$D$7,"Other Services"))),"Other Services"))</f>
        <v/>
      </c>
    </row>
    <row r="1387" customFormat="false" ht="15" hidden="false" customHeight="false" outlineLevel="0" collapsed="false">
      <c r="F1387" s="41" t="str">
        <f aca="false">IF(C1387="","",IFERROR(IF(ISNUMBER(SEARCH(Assumptions!$C$5,C1387)),Assumptions!$D$5,IF(ISNUMBER(SEARCH(Assumptions!$C$6,C1387)),Assumptions!$D$6,IF(ISNUMBER(SEARCH(Assumptions!$C$7,C1387)),Assumptions!$D$7,"Other Services"))),"Other Services"))</f>
        <v/>
      </c>
    </row>
    <row r="1388" customFormat="false" ht="15" hidden="false" customHeight="false" outlineLevel="0" collapsed="false">
      <c r="F1388" s="41" t="str">
        <f aca="false">IF(C1388="","",IFERROR(IF(ISNUMBER(SEARCH(Assumptions!$C$5,C1388)),Assumptions!$D$5,IF(ISNUMBER(SEARCH(Assumptions!$C$6,C1388)),Assumptions!$D$6,IF(ISNUMBER(SEARCH(Assumptions!$C$7,C1388)),Assumptions!$D$7,"Other Services"))),"Other Services"))</f>
        <v/>
      </c>
    </row>
    <row r="1389" customFormat="false" ht="15" hidden="false" customHeight="false" outlineLevel="0" collapsed="false">
      <c r="F1389" s="41" t="str">
        <f aca="false">IF(C1389="","",IFERROR(IF(ISNUMBER(SEARCH(Assumptions!$C$5,C1389)),Assumptions!$D$5,IF(ISNUMBER(SEARCH(Assumptions!$C$6,C1389)),Assumptions!$D$6,IF(ISNUMBER(SEARCH(Assumptions!$C$7,C1389)),Assumptions!$D$7,"Other Services"))),"Other Services"))</f>
        <v/>
      </c>
    </row>
    <row r="1390" customFormat="false" ht="15" hidden="false" customHeight="false" outlineLevel="0" collapsed="false">
      <c r="F1390" s="41" t="str">
        <f aca="false">IF(C1390="","",IFERROR(IF(ISNUMBER(SEARCH(Assumptions!$C$5,C1390)),Assumptions!$D$5,IF(ISNUMBER(SEARCH(Assumptions!$C$6,C1390)),Assumptions!$D$6,IF(ISNUMBER(SEARCH(Assumptions!$C$7,C1390)),Assumptions!$D$7,"Other Services"))),"Other Services"))</f>
        <v/>
      </c>
    </row>
    <row r="1391" customFormat="false" ht="15" hidden="false" customHeight="false" outlineLevel="0" collapsed="false">
      <c r="F1391" s="41" t="str">
        <f aca="false">IF(C1391="","",IFERROR(IF(ISNUMBER(SEARCH(Assumptions!$C$5,C1391)),Assumptions!$D$5,IF(ISNUMBER(SEARCH(Assumptions!$C$6,C1391)),Assumptions!$D$6,IF(ISNUMBER(SEARCH(Assumptions!$C$7,C1391)),Assumptions!$D$7,"Other Services"))),"Other Services"))</f>
        <v/>
      </c>
    </row>
    <row r="1392" customFormat="false" ht="15" hidden="false" customHeight="false" outlineLevel="0" collapsed="false">
      <c r="F1392" s="41" t="str">
        <f aca="false">IF(C1392="","",IFERROR(IF(ISNUMBER(SEARCH(Assumptions!$C$5,C1392)),Assumptions!$D$5,IF(ISNUMBER(SEARCH(Assumptions!$C$6,C1392)),Assumptions!$D$6,IF(ISNUMBER(SEARCH(Assumptions!$C$7,C1392)),Assumptions!$D$7,"Other Services"))),"Other Services"))</f>
        <v/>
      </c>
    </row>
    <row r="1393" customFormat="false" ht="15" hidden="false" customHeight="false" outlineLevel="0" collapsed="false">
      <c r="F1393" s="41" t="str">
        <f aca="false">IF(C1393="","",IFERROR(IF(ISNUMBER(SEARCH(Assumptions!$C$5,C1393)),Assumptions!$D$5,IF(ISNUMBER(SEARCH(Assumptions!$C$6,C1393)),Assumptions!$D$6,IF(ISNUMBER(SEARCH(Assumptions!$C$7,C1393)),Assumptions!$D$7,"Other Services"))),"Other Services"))</f>
        <v/>
      </c>
    </row>
    <row r="1394" customFormat="false" ht="15" hidden="false" customHeight="false" outlineLevel="0" collapsed="false">
      <c r="F1394" s="41" t="str">
        <f aca="false">IF(C1394="","",IFERROR(IF(ISNUMBER(SEARCH(Assumptions!$C$5,C1394)),Assumptions!$D$5,IF(ISNUMBER(SEARCH(Assumptions!$C$6,C1394)),Assumptions!$D$6,IF(ISNUMBER(SEARCH(Assumptions!$C$7,C1394)),Assumptions!$D$7,"Other Services"))),"Other Services"))</f>
        <v/>
      </c>
    </row>
    <row r="1395" customFormat="false" ht="15" hidden="false" customHeight="false" outlineLevel="0" collapsed="false">
      <c r="F1395" s="41" t="str">
        <f aca="false">IF(C1395="","",IFERROR(IF(ISNUMBER(SEARCH(Assumptions!$C$5,C1395)),Assumptions!$D$5,IF(ISNUMBER(SEARCH(Assumptions!$C$6,C1395)),Assumptions!$D$6,IF(ISNUMBER(SEARCH(Assumptions!$C$7,C1395)),Assumptions!$D$7,"Other Services"))),"Other Services"))</f>
        <v/>
      </c>
    </row>
    <row r="1396" customFormat="false" ht="15" hidden="false" customHeight="false" outlineLevel="0" collapsed="false">
      <c r="F1396" s="41" t="str">
        <f aca="false">IF(C1396="","",IFERROR(IF(ISNUMBER(SEARCH(Assumptions!$C$5,C1396)),Assumptions!$D$5,IF(ISNUMBER(SEARCH(Assumptions!$C$6,C1396)),Assumptions!$D$6,IF(ISNUMBER(SEARCH(Assumptions!$C$7,C1396)),Assumptions!$D$7,"Other Services"))),"Other Services"))</f>
        <v/>
      </c>
    </row>
    <row r="1397" customFormat="false" ht="15" hidden="false" customHeight="false" outlineLevel="0" collapsed="false">
      <c r="F1397" s="41" t="str">
        <f aca="false">IF(C1397="","",IFERROR(IF(ISNUMBER(SEARCH(Assumptions!$C$5,C1397)),Assumptions!$D$5,IF(ISNUMBER(SEARCH(Assumptions!$C$6,C1397)),Assumptions!$D$6,IF(ISNUMBER(SEARCH(Assumptions!$C$7,C1397)),Assumptions!$D$7,"Other Services"))),"Other Services"))</f>
        <v/>
      </c>
    </row>
    <row r="1398" customFormat="false" ht="15" hidden="false" customHeight="false" outlineLevel="0" collapsed="false">
      <c r="F1398" s="41" t="str">
        <f aca="false">IF(C1398="","",IFERROR(IF(ISNUMBER(SEARCH(Assumptions!$C$5,C1398)),Assumptions!$D$5,IF(ISNUMBER(SEARCH(Assumptions!$C$6,C1398)),Assumptions!$D$6,IF(ISNUMBER(SEARCH(Assumptions!$C$7,C1398)),Assumptions!$D$7,"Other Services"))),"Other Services"))</f>
        <v/>
      </c>
    </row>
    <row r="1399" customFormat="false" ht="15" hidden="false" customHeight="false" outlineLevel="0" collapsed="false">
      <c r="F1399" s="41" t="str">
        <f aca="false">IF(C1399="","",IFERROR(IF(ISNUMBER(SEARCH(Assumptions!$C$5,C1399)),Assumptions!$D$5,IF(ISNUMBER(SEARCH(Assumptions!$C$6,C1399)),Assumptions!$D$6,IF(ISNUMBER(SEARCH(Assumptions!$C$7,C1399)),Assumptions!$D$7,"Other Services"))),"Other Services"))</f>
        <v/>
      </c>
    </row>
    <row r="1400" customFormat="false" ht="15" hidden="false" customHeight="false" outlineLevel="0" collapsed="false">
      <c r="F1400" s="41" t="str">
        <f aca="false">IF(C1400="","",IFERROR(IF(ISNUMBER(SEARCH(Assumptions!$C$5,C1400)),Assumptions!$D$5,IF(ISNUMBER(SEARCH(Assumptions!$C$6,C1400)),Assumptions!$D$6,IF(ISNUMBER(SEARCH(Assumptions!$C$7,C1400)),Assumptions!$D$7,"Other Services"))),"Other Services"))</f>
        <v/>
      </c>
    </row>
    <row r="1401" customFormat="false" ht="15" hidden="false" customHeight="false" outlineLevel="0" collapsed="false">
      <c r="F1401" s="41" t="str">
        <f aca="false">IF(C1401="","",IFERROR(IF(ISNUMBER(SEARCH(Assumptions!$C$5,C1401)),Assumptions!$D$5,IF(ISNUMBER(SEARCH(Assumptions!$C$6,C1401)),Assumptions!$D$6,IF(ISNUMBER(SEARCH(Assumptions!$C$7,C1401)),Assumptions!$D$7,"Other Services"))),"Other Services"))</f>
        <v/>
      </c>
    </row>
    <row r="1402" customFormat="false" ht="15" hidden="false" customHeight="false" outlineLevel="0" collapsed="false">
      <c r="F1402" s="41" t="str">
        <f aca="false">IF(C1402="","",IFERROR(IF(ISNUMBER(SEARCH(Assumptions!$C$5,C1402)),Assumptions!$D$5,IF(ISNUMBER(SEARCH(Assumptions!$C$6,C1402)),Assumptions!$D$6,IF(ISNUMBER(SEARCH(Assumptions!$C$7,C1402)),Assumptions!$D$7,"Other Services"))),"Other Services"))</f>
        <v/>
      </c>
    </row>
    <row r="1403" customFormat="false" ht="15" hidden="false" customHeight="false" outlineLevel="0" collapsed="false">
      <c r="F1403" s="41" t="str">
        <f aca="false">IF(C1403="","",IFERROR(IF(ISNUMBER(SEARCH(Assumptions!$C$5,C1403)),Assumptions!$D$5,IF(ISNUMBER(SEARCH(Assumptions!$C$6,C1403)),Assumptions!$D$6,IF(ISNUMBER(SEARCH(Assumptions!$C$7,C1403)),Assumptions!$D$7,"Other Services"))),"Other Services"))</f>
        <v/>
      </c>
    </row>
    <row r="1404" customFormat="false" ht="15" hidden="false" customHeight="false" outlineLevel="0" collapsed="false">
      <c r="F1404" s="41" t="str">
        <f aca="false">IF(C1404="","",IFERROR(IF(ISNUMBER(SEARCH(Assumptions!$C$5,C1404)),Assumptions!$D$5,IF(ISNUMBER(SEARCH(Assumptions!$C$6,C1404)),Assumptions!$D$6,IF(ISNUMBER(SEARCH(Assumptions!$C$7,C1404)),Assumptions!$D$7,"Other Services"))),"Other Services"))</f>
        <v/>
      </c>
    </row>
    <row r="1405" customFormat="false" ht="15" hidden="false" customHeight="false" outlineLevel="0" collapsed="false">
      <c r="F1405" s="41" t="str">
        <f aca="false">IF(C1405="","",IFERROR(IF(ISNUMBER(SEARCH(Assumptions!$C$5,C1405)),Assumptions!$D$5,IF(ISNUMBER(SEARCH(Assumptions!$C$6,C1405)),Assumptions!$D$6,IF(ISNUMBER(SEARCH(Assumptions!$C$7,C1405)),Assumptions!$D$7,"Other Services"))),"Other Services"))</f>
        <v/>
      </c>
    </row>
    <row r="1406" customFormat="false" ht="15" hidden="false" customHeight="false" outlineLevel="0" collapsed="false">
      <c r="F1406" s="41" t="str">
        <f aca="false">IF(C1406="","",IFERROR(IF(ISNUMBER(SEARCH(Assumptions!$C$5,C1406)),Assumptions!$D$5,IF(ISNUMBER(SEARCH(Assumptions!$C$6,C1406)),Assumptions!$D$6,IF(ISNUMBER(SEARCH(Assumptions!$C$7,C1406)),Assumptions!$D$7,"Other Services"))),"Other Services"))</f>
        <v/>
      </c>
    </row>
    <row r="1407" customFormat="false" ht="15" hidden="false" customHeight="false" outlineLevel="0" collapsed="false">
      <c r="F1407" s="41" t="str">
        <f aca="false">IF(C1407="","",IFERROR(IF(ISNUMBER(SEARCH(Assumptions!$C$5,C1407)),Assumptions!$D$5,IF(ISNUMBER(SEARCH(Assumptions!$C$6,C1407)),Assumptions!$D$6,IF(ISNUMBER(SEARCH(Assumptions!$C$7,C1407)),Assumptions!$D$7,"Other Services"))),"Other Services"))</f>
        <v/>
      </c>
    </row>
    <row r="1408" customFormat="false" ht="15" hidden="false" customHeight="false" outlineLevel="0" collapsed="false">
      <c r="F1408" s="41" t="str">
        <f aca="false">IF(C1408="","",IFERROR(IF(ISNUMBER(SEARCH(Assumptions!$C$5,C1408)),Assumptions!$D$5,IF(ISNUMBER(SEARCH(Assumptions!$C$6,C1408)),Assumptions!$D$6,IF(ISNUMBER(SEARCH(Assumptions!$C$7,C1408)),Assumptions!$D$7,"Other Services"))),"Other Services"))</f>
        <v/>
      </c>
    </row>
    <row r="1409" customFormat="false" ht="15" hidden="false" customHeight="false" outlineLevel="0" collapsed="false">
      <c r="F1409" s="41" t="str">
        <f aca="false">IF(C1409="","",IFERROR(IF(ISNUMBER(SEARCH(Assumptions!$C$5,C1409)),Assumptions!$D$5,IF(ISNUMBER(SEARCH(Assumptions!$C$6,C1409)),Assumptions!$D$6,IF(ISNUMBER(SEARCH(Assumptions!$C$7,C1409)),Assumptions!$D$7,"Other Services"))),"Other Services"))</f>
        <v/>
      </c>
    </row>
    <row r="1410" customFormat="false" ht="15" hidden="false" customHeight="false" outlineLevel="0" collapsed="false">
      <c r="F1410" s="41" t="str">
        <f aca="false">IF(C1410="","",IFERROR(IF(ISNUMBER(SEARCH(Assumptions!$C$5,C1410)),Assumptions!$D$5,IF(ISNUMBER(SEARCH(Assumptions!$C$6,C1410)),Assumptions!$D$6,IF(ISNUMBER(SEARCH(Assumptions!$C$7,C1410)),Assumptions!$D$7,"Other Services"))),"Other Services"))</f>
        <v/>
      </c>
    </row>
    <row r="1411" customFormat="false" ht="15" hidden="false" customHeight="false" outlineLevel="0" collapsed="false">
      <c r="F1411" s="41" t="str">
        <f aca="false">IF(C1411="","",IFERROR(IF(ISNUMBER(SEARCH(Assumptions!$C$5,C1411)),Assumptions!$D$5,IF(ISNUMBER(SEARCH(Assumptions!$C$6,C1411)),Assumptions!$D$6,IF(ISNUMBER(SEARCH(Assumptions!$C$7,C1411)),Assumptions!$D$7,"Other Services"))),"Other Services"))</f>
        <v/>
      </c>
    </row>
    <row r="1412" customFormat="false" ht="15" hidden="false" customHeight="false" outlineLevel="0" collapsed="false">
      <c r="F1412" s="41" t="str">
        <f aca="false">IF(C1412="","",IFERROR(IF(ISNUMBER(SEARCH(Assumptions!$C$5,C1412)),Assumptions!$D$5,IF(ISNUMBER(SEARCH(Assumptions!$C$6,C1412)),Assumptions!$D$6,IF(ISNUMBER(SEARCH(Assumptions!$C$7,C1412)),Assumptions!$D$7,"Other Services"))),"Other Services"))</f>
        <v/>
      </c>
    </row>
    <row r="1413" customFormat="false" ht="15" hidden="false" customHeight="false" outlineLevel="0" collapsed="false">
      <c r="F1413" s="41" t="str">
        <f aca="false">IF(C1413="","",IFERROR(IF(ISNUMBER(SEARCH(Assumptions!$C$5,C1413)),Assumptions!$D$5,IF(ISNUMBER(SEARCH(Assumptions!$C$6,C1413)),Assumptions!$D$6,IF(ISNUMBER(SEARCH(Assumptions!$C$7,C1413)),Assumptions!$D$7,"Other Services"))),"Other Services"))</f>
        <v/>
      </c>
    </row>
    <row r="1414" customFormat="false" ht="15" hidden="false" customHeight="false" outlineLevel="0" collapsed="false">
      <c r="F1414" s="41" t="str">
        <f aca="false">IF(C1414="","",IFERROR(IF(ISNUMBER(SEARCH(Assumptions!$C$5,C1414)),Assumptions!$D$5,IF(ISNUMBER(SEARCH(Assumptions!$C$6,C1414)),Assumptions!$D$6,IF(ISNUMBER(SEARCH(Assumptions!$C$7,C1414)),Assumptions!$D$7,"Other Services"))),"Other Services"))</f>
        <v/>
      </c>
    </row>
    <row r="1415" customFormat="false" ht="15" hidden="false" customHeight="false" outlineLevel="0" collapsed="false">
      <c r="F1415" s="41" t="str">
        <f aca="false">IF(C1415="","",IFERROR(IF(ISNUMBER(SEARCH(Assumptions!$C$5,C1415)),Assumptions!$D$5,IF(ISNUMBER(SEARCH(Assumptions!$C$6,C1415)),Assumptions!$D$6,IF(ISNUMBER(SEARCH(Assumptions!$C$7,C1415)),Assumptions!$D$7,"Other Services"))),"Other Services"))</f>
        <v/>
      </c>
    </row>
    <row r="1416" customFormat="false" ht="15" hidden="false" customHeight="false" outlineLevel="0" collapsed="false">
      <c r="F1416" s="41" t="str">
        <f aca="false">IF(C1416="","",IFERROR(IF(ISNUMBER(SEARCH(Assumptions!$C$5,C1416)),Assumptions!$D$5,IF(ISNUMBER(SEARCH(Assumptions!$C$6,C1416)),Assumptions!$D$6,IF(ISNUMBER(SEARCH(Assumptions!$C$7,C1416)),Assumptions!$D$7,"Other Services"))),"Other Services"))</f>
        <v/>
      </c>
    </row>
    <row r="1417" customFormat="false" ht="15" hidden="false" customHeight="false" outlineLevel="0" collapsed="false">
      <c r="F1417" s="41" t="str">
        <f aca="false">IF(C1417="","",IFERROR(IF(ISNUMBER(SEARCH(Assumptions!$C$5,C1417)),Assumptions!$D$5,IF(ISNUMBER(SEARCH(Assumptions!$C$6,C1417)),Assumptions!$D$6,IF(ISNUMBER(SEARCH(Assumptions!$C$7,C1417)),Assumptions!$D$7,"Other Services"))),"Other Services"))</f>
        <v/>
      </c>
    </row>
    <row r="1418" customFormat="false" ht="15" hidden="false" customHeight="false" outlineLevel="0" collapsed="false">
      <c r="F1418" s="41" t="str">
        <f aca="false">IF(C1418="","",IFERROR(IF(ISNUMBER(SEARCH(Assumptions!$C$5,C1418)),Assumptions!$D$5,IF(ISNUMBER(SEARCH(Assumptions!$C$6,C1418)),Assumptions!$D$6,IF(ISNUMBER(SEARCH(Assumptions!$C$7,C1418)),Assumptions!$D$7,"Other Services"))),"Other Services"))</f>
        <v/>
      </c>
    </row>
    <row r="1419" customFormat="false" ht="15" hidden="false" customHeight="false" outlineLevel="0" collapsed="false">
      <c r="F1419" s="41" t="str">
        <f aca="false">IF(C1419="","",IFERROR(IF(ISNUMBER(SEARCH(Assumptions!$C$5,C1419)),Assumptions!$D$5,IF(ISNUMBER(SEARCH(Assumptions!$C$6,C1419)),Assumptions!$D$6,IF(ISNUMBER(SEARCH(Assumptions!$C$7,C1419)),Assumptions!$D$7,"Other Services"))),"Other Services"))</f>
        <v/>
      </c>
    </row>
    <row r="1420" customFormat="false" ht="15" hidden="false" customHeight="false" outlineLevel="0" collapsed="false">
      <c r="F1420" s="41" t="str">
        <f aca="false">IF(C1420="","",IFERROR(IF(ISNUMBER(SEARCH(Assumptions!$C$5,C1420)),Assumptions!$D$5,IF(ISNUMBER(SEARCH(Assumptions!$C$6,C1420)),Assumptions!$D$6,IF(ISNUMBER(SEARCH(Assumptions!$C$7,C1420)),Assumptions!$D$7,"Other Services"))),"Other Services"))</f>
        <v/>
      </c>
    </row>
    <row r="1421" customFormat="false" ht="15" hidden="false" customHeight="false" outlineLevel="0" collapsed="false">
      <c r="F1421" s="41" t="str">
        <f aca="false">IF(C1421="","",IFERROR(IF(ISNUMBER(SEARCH(Assumptions!$C$5,C1421)),Assumptions!$D$5,IF(ISNUMBER(SEARCH(Assumptions!$C$6,C1421)),Assumptions!$D$6,IF(ISNUMBER(SEARCH(Assumptions!$C$7,C1421)),Assumptions!$D$7,"Other Services"))),"Other Services"))</f>
        <v/>
      </c>
    </row>
    <row r="1422" customFormat="false" ht="15" hidden="false" customHeight="false" outlineLevel="0" collapsed="false">
      <c r="F1422" s="41" t="str">
        <f aca="false">IF(C1422="","",IFERROR(IF(ISNUMBER(SEARCH(Assumptions!$C$5,C1422)),Assumptions!$D$5,IF(ISNUMBER(SEARCH(Assumptions!$C$6,C1422)),Assumptions!$D$6,IF(ISNUMBER(SEARCH(Assumptions!$C$7,C1422)),Assumptions!$D$7,"Other Services"))),"Other Services"))</f>
        <v/>
      </c>
    </row>
    <row r="1423" customFormat="false" ht="15" hidden="false" customHeight="false" outlineLevel="0" collapsed="false">
      <c r="F1423" s="41" t="str">
        <f aca="false">IF(C1423="","",IFERROR(IF(ISNUMBER(SEARCH(Assumptions!$C$5,C1423)),Assumptions!$D$5,IF(ISNUMBER(SEARCH(Assumptions!$C$6,C1423)),Assumptions!$D$6,IF(ISNUMBER(SEARCH(Assumptions!$C$7,C1423)),Assumptions!$D$7,"Other Services"))),"Other Services"))</f>
        <v/>
      </c>
    </row>
    <row r="1424" customFormat="false" ht="15" hidden="false" customHeight="false" outlineLevel="0" collapsed="false">
      <c r="F1424" s="41" t="str">
        <f aca="false">IF(C1424="","",IFERROR(IF(ISNUMBER(SEARCH(Assumptions!$C$5,C1424)),Assumptions!$D$5,IF(ISNUMBER(SEARCH(Assumptions!$C$6,C1424)),Assumptions!$D$6,IF(ISNUMBER(SEARCH(Assumptions!$C$7,C1424)),Assumptions!$D$7,"Other Services"))),"Other Services"))</f>
        <v/>
      </c>
    </row>
    <row r="1425" customFormat="false" ht="15" hidden="false" customHeight="false" outlineLevel="0" collapsed="false">
      <c r="F1425" s="41" t="str">
        <f aca="false">IF(C1425="","",IFERROR(IF(ISNUMBER(SEARCH(Assumptions!$C$5,C1425)),Assumptions!$D$5,IF(ISNUMBER(SEARCH(Assumptions!$C$6,C1425)),Assumptions!$D$6,IF(ISNUMBER(SEARCH(Assumptions!$C$7,C1425)),Assumptions!$D$7,"Other Services"))),"Other Services"))</f>
        <v/>
      </c>
    </row>
    <row r="1426" customFormat="false" ht="15" hidden="false" customHeight="false" outlineLevel="0" collapsed="false">
      <c r="F1426" s="41" t="str">
        <f aca="false">IF(C1426="","",IFERROR(IF(ISNUMBER(SEARCH(Assumptions!$C$5,C1426)),Assumptions!$D$5,IF(ISNUMBER(SEARCH(Assumptions!$C$6,C1426)),Assumptions!$D$6,IF(ISNUMBER(SEARCH(Assumptions!$C$7,C1426)),Assumptions!$D$7,"Other Services"))),"Other Services"))</f>
        <v/>
      </c>
    </row>
    <row r="1427" customFormat="false" ht="15" hidden="false" customHeight="false" outlineLevel="0" collapsed="false">
      <c r="F1427" s="41" t="str">
        <f aca="false">IF(C1427="","",IFERROR(IF(ISNUMBER(SEARCH(Assumptions!$C$5,C1427)),Assumptions!$D$5,IF(ISNUMBER(SEARCH(Assumptions!$C$6,C1427)),Assumptions!$D$6,IF(ISNUMBER(SEARCH(Assumptions!$C$7,C1427)),Assumptions!$D$7,"Other Services"))),"Other Services"))</f>
        <v/>
      </c>
    </row>
    <row r="1428" customFormat="false" ht="15" hidden="false" customHeight="false" outlineLevel="0" collapsed="false">
      <c r="F1428" s="41" t="str">
        <f aca="false">IF(C1428="","",IFERROR(IF(ISNUMBER(SEARCH(Assumptions!$C$5,C1428)),Assumptions!$D$5,IF(ISNUMBER(SEARCH(Assumptions!$C$6,C1428)),Assumptions!$D$6,IF(ISNUMBER(SEARCH(Assumptions!$C$7,C1428)),Assumptions!$D$7,"Other Services"))),"Other Services"))</f>
        <v/>
      </c>
    </row>
    <row r="1429" customFormat="false" ht="15" hidden="false" customHeight="false" outlineLevel="0" collapsed="false">
      <c r="F1429" s="41" t="str">
        <f aca="false">IF(C1429="","",IFERROR(IF(ISNUMBER(SEARCH(Assumptions!$C$5,C1429)),Assumptions!$D$5,IF(ISNUMBER(SEARCH(Assumptions!$C$6,C1429)),Assumptions!$D$6,IF(ISNUMBER(SEARCH(Assumptions!$C$7,C1429)),Assumptions!$D$7,"Other Services"))),"Other Services"))</f>
        <v/>
      </c>
    </row>
    <row r="1430" customFormat="false" ht="15" hidden="false" customHeight="false" outlineLevel="0" collapsed="false">
      <c r="F1430" s="41" t="str">
        <f aca="false">IF(C1430="","",IFERROR(IF(ISNUMBER(SEARCH(Assumptions!$C$5,C1430)),Assumptions!$D$5,IF(ISNUMBER(SEARCH(Assumptions!$C$6,C1430)),Assumptions!$D$6,IF(ISNUMBER(SEARCH(Assumptions!$C$7,C1430)),Assumptions!$D$7,"Other Services"))),"Other Services"))</f>
        <v/>
      </c>
    </row>
    <row r="1431" customFormat="false" ht="15" hidden="false" customHeight="false" outlineLevel="0" collapsed="false">
      <c r="F1431" s="41" t="str">
        <f aca="false">IF(C1431="","",IFERROR(IF(ISNUMBER(SEARCH(Assumptions!$C$5,C1431)),Assumptions!$D$5,IF(ISNUMBER(SEARCH(Assumptions!$C$6,C1431)),Assumptions!$D$6,IF(ISNUMBER(SEARCH(Assumptions!$C$7,C1431)),Assumptions!$D$7,"Other Services"))),"Other Services"))</f>
        <v/>
      </c>
    </row>
    <row r="1432" customFormat="false" ht="15" hidden="false" customHeight="false" outlineLevel="0" collapsed="false">
      <c r="F1432" s="41" t="str">
        <f aca="false">IF(C1432="","",IFERROR(IF(ISNUMBER(SEARCH(Assumptions!$C$5,C1432)),Assumptions!$D$5,IF(ISNUMBER(SEARCH(Assumptions!$C$6,C1432)),Assumptions!$D$6,IF(ISNUMBER(SEARCH(Assumptions!$C$7,C1432)),Assumptions!$D$7,"Other Services"))),"Other Services"))</f>
        <v/>
      </c>
    </row>
    <row r="1433" customFormat="false" ht="15" hidden="false" customHeight="false" outlineLevel="0" collapsed="false">
      <c r="F1433" s="41" t="str">
        <f aca="false">IF(C1433="","",IFERROR(IF(ISNUMBER(SEARCH(Assumptions!$C$5,C1433)),Assumptions!$D$5,IF(ISNUMBER(SEARCH(Assumptions!$C$6,C1433)),Assumptions!$D$6,IF(ISNUMBER(SEARCH(Assumptions!$C$7,C1433)),Assumptions!$D$7,"Other Services"))),"Other Services"))</f>
        <v/>
      </c>
    </row>
    <row r="1434" customFormat="false" ht="15" hidden="false" customHeight="false" outlineLevel="0" collapsed="false">
      <c r="F1434" s="41" t="str">
        <f aca="false">IF(C1434="","",IFERROR(IF(ISNUMBER(SEARCH(Assumptions!$C$5,C1434)),Assumptions!$D$5,IF(ISNUMBER(SEARCH(Assumptions!$C$6,C1434)),Assumptions!$D$6,IF(ISNUMBER(SEARCH(Assumptions!$C$7,C1434)),Assumptions!$D$7,"Other Services"))),"Other Services"))</f>
        <v/>
      </c>
    </row>
    <row r="1435" customFormat="false" ht="15" hidden="false" customHeight="false" outlineLevel="0" collapsed="false">
      <c r="F1435" s="41" t="str">
        <f aca="false">IF(C1435="","",IFERROR(IF(ISNUMBER(SEARCH(Assumptions!$C$5,C1435)),Assumptions!$D$5,IF(ISNUMBER(SEARCH(Assumptions!$C$6,C1435)),Assumptions!$D$6,IF(ISNUMBER(SEARCH(Assumptions!$C$7,C1435)),Assumptions!$D$7,"Other Services"))),"Other Services"))</f>
        <v/>
      </c>
    </row>
    <row r="1436" customFormat="false" ht="15" hidden="false" customHeight="false" outlineLevel="0" collapsed="false">
      <c r="F1436" s="41" t="str">
        <f aca="false">IF(C1436="","",IFERROR(IF(ISNUMBER(SEARCH(Assumptions!$C$5,C1436)),Assumptions!$D$5,IF(ISNUMBER(SEARCH(Assumptions!$C$6,C1436)),Assumptions!$D$6,IF(ISNUMBER(SEARCH(Assumptions!$C$7,C1436)),Assumptions!$D$7,"Other Services"))),"Other Services"))</f>
        <v/>
      </c>
    </row>
    <row r="1437" customFormat="false" ht="15" hidden="false" customHeight="false" outlineLevel="0" collapsed="false">
      <c r="F1437" s="41" t="str">
        <f aca="false">IF(C1437="","",IFERROR(IF(ISNUMBER(SEARCH(Assumptions!$C$5,C1437)),Assumptions!$D$5,IF(ISNUMBER(SEARCH(Assumptions!$C$6,C1437)),Assumptions!$D$6,IF(ISNUMBER(SEARCH(Assumptions!$C$7,C1437)),Assumptions!$D$7,"Other Services"))),"Other Services"))</f>
        <v/>
      </c>
    </row>
    <row r="1438" customFormat="false" ht="15" hidden="false" customHeight="false" outlineLevel="0" collapsed="false">
      <c r="F1438" s="41" t="str">
        <f aca="false">IF(C1438="","",IFERROR(IF(ISNUMBER(SEARCH(Assumptions!$C$5,C1438)),Assumptions!$D$5,IF(ISNUMBER(SEARCH(Assumptions!$C$6,C1438)),Assumptions!$D$6,IF(ISNUMBER(SEARCH(Assumptions!$C$7,C1438)),Assumptions!$D$7,"Other Services"))),"Other Services"))</f>
        <v/>
      </c>
    </row>
    <row r="1439" customFormat="false" ht="15" hidden="false" customHeight="false" outlineLevel="0" collapsed="false">
      <c r="F1439" s="41" t="str">
        <f aca="false">IF(C1439="","",IFERROR(IF(ISNUMBER(SEARCH(Assumptions!$C$5,C1439)),Assumptions!$D$5,IF(ISNUMBER(SEARCH(Assumptions!$C$6,C1439)),Assumptions!$D$6,IF(ISNUMBER(SEARCH(Assumptions!$C$7,C1439)),Assumptions!$D$7,"Other Services"))),"Other Services"))</f>
        <v/>
      </c>
    </row>
    <row r="1440" customFormat="false" ht="15" hidden="false" customHeight="false" outlineLevel="0" collapsed="false">
      <c r="F1440" s="41" t="str">
        <f aca="false">IF(C1440="","",IFERROR(IF(ISNUMBER(SEARCH(Assumptions!$C$5,C1440)),Assumptions!$D$5,IF(ISNUMBER(SEARCH(Assumptions!$C$6,C1440)),Assumptions!$D$6,IF(ISNUMBER(SEARCH(Assumptions!$C$7,C1440)),Assumptions!$D$7,"Other Services"))),"Other Services"))</f>
        <v/>
      </c>
    </row>
    <row r="1441" customFormat="false" ht="15" hidden="false" customHeight="false" outlineLevel="0" collapsed="false">
      <c r="F1441" s="41" t="str">
        <f aca="false">IF(C1441="","",IFERROR(IF(ISNUMBER(SEARCH(Assumptions!$C$5,C1441)),Assumptions!$D$5,IF(ISNUMBER(SEARCH(Assumptions!$C$6,C1441)),Assumptions!$D$6,IF(ISNUMBER(SEARCH(Assumptions!$C$7,C1441)),Assumptions!$D$7,"Other Services"))),"Other Services"))</f>
        <v/>
      </c>
    </row>
    <row r="1442" customFormat="false" ht="15" hidden="false" customHeight="false" outlineLevel="0" collapsed="false">
      <c r="F1442" s="41" t="str">
        <f aca="false">IF(C1442="","",IFERROR(IF(ISNUMBER(SEARCH(Assumptions!$C$5,C1442)),Assumptions!$D$5,IF(ISNUMBER(SEARCH(Assumptions!$C$6,C1442)),Assumptions!$D$6,IF(ISNUMBER(SEARCH(Assumptions!$C$7,C1442)),Assumptions!$D$7,"Other Services"))),"Other Services"))</f>
        <v/>
      </c>
    </row>
    <row r="1443" customFormat="false" ht="15" hidden="false" customHeight="false" outlineLevel="0" collapsed="false">
      <c r="F1443" s="41" t="str">
        <f aca="false">IF(C1443="","",IFERROR(IF(ISNUMBER(SEARCH(Assumptions!$C$5,C1443)),Assumptions!$D$5,IF(ISNUMBER(SEARCH(Assumptions!$C$6,C1443)),Assumptions!$D$6,IF(ISNUMBER(SEARCH(Assumptions!$C$7,C1443)),Assumptions!$D$7,"Other Services"))),"Other Services"))</f>
        <v/>
      </c>
    </row>
    <row r="1444" customFormat="false" ht="15" hidden="false" customHeight="false" outlineLevel="0" collapsed="false">
      <c r="F1444" s="41" t="str">
        <f aca="false">IF(C1444="","",IFERROR(IF(ISNUMBER(SEARCH(Assumptions!$C$5,C1444)),Assumptions!$D$5,IF(ISNUMBER(SEARCH(Assumptions!$C$6,C1444)),Assumptions!$D$6,IF(ISNUMBER(SEARCH(Assumptions!$C$7,C1444)),Assumptions!$D$7,"Other Services"))),"Other Services"))</f>
        <v/>
      </c>
    </row>
    <row r="1445" customFormat="false" ht="15" hidden="false" customHeight="false" outlineLevel="0" collapsed="false">
      <c r="F1445" s="41" t="str">
        <f aca="false">IF(C1445="","",IFERROR(IF(ISNUMBER(SEARCH(Assumptions!$C$5,C1445)),Assumptions!$D$5,IF(ISNUMBER(SEARCH(Assumptions!$C$6,C1445)),Assumptions!$D$6,IF(ISNUMBER(SEARCH(Assumptions!$C$7,C1445)),Assumptions!$D$7,"Other Services"))),"Other Services"))</f>
        <v/>
      </c>
    </row>
    <row r="1446" customFormat="false" ht="15" hidden="false" customHeight="false" outlineLevel="0" collapsed="false">
      <c r="F1446" s="41" t="str">
        <f aca="false">IF(C1446="","",IFERROR(IF(ISNUMBER(SEARCH(Assumptions!$C$5,C1446)),Assumptions!$D$5,IF(ISNUMBER(SEARCH(Assumptions!$C$6,C1446)),Assumptions!$D$6,IF(ISNUMBER(SEARCH(Assumptions!$C$7,C1446)),Assumptions!$D$7,"Other Services"))),"Other Services"))</f>
        <v/>
      </c>
    </row>
    <row r="1447" customFormat="false" ht="15" hidden="false" customHeight="false" outlineLevel="0" collapsed="false">
      <c r="F1447" s="41" t="str">
        <f aca="false">IF(C1447="","",IFERROR(IF(ISNUMBER(SEARCH(Assumptions!$C$5,C1447)),Assumptions!$D$5,IF(ISNUMBER(SEARCH(Assumptions!$C$6,C1447)),Assumptions!$D$6,IF(ISNUMBER(SEARCH(Assumptions!$C$7,C1447)),Assumptions!$D$7,"Other Services"))),"Other Services"))</f>
        <v/>
      </c>
    </row>
    <row r="1448" customFormat="false" ht="15" hidden="false" customHeight="false" outlineLevel="0" collapsed="false">
      <c r="F1448" s="41" t="str">
        <f aca="false">IF(C1448="","",IFERROR(IF(ISNUMBER(SEARCH(Assumptions!$C$5,C1448)),Assumptions!$D$5,IF(ISNUMBER(SEARCH(Assumptions!$C$6,C1448)),Assumptions!$D$6,IF(ISNUMBER(SEARCH(Assumptions!$C$7,C1448)),Assumptions!$D$7,"Other Services"))),"Other Services"))</f>
        <v/>
      </c>
    </row>
    <row r="1449" customFormat="false" ht="15" hidden="false" customHeight="false" outlineLevel="0" collapsed="false">
      <c r="F1449" s="41" t="str">
        <f aca="false">IF(C1449="","",IFERROR(IF(ISNUMBER(SEARCH(Assumptions!$C$5,C1449)),Assumptions!$D$5,IF(ISNUMBER(SEARCH(Assumptions!$C$6,C1449)),Assumptions!$D$6,IF(ISNUMBER(SEARCH(Assumptions!$C$7,C1449)),Assumptions!$D$7,"Other Services"))),"Other Services"))</f>
        <v/>
      </c>
    </row>
    <row r="1450" customFormat="false" ht="15" hidden="false" customHeight="false" outlineLevel="0" collapsed="false">
      <c r="F1450" s="41" t="str">
        <f aca="false">IF(C1450="","",IFERROR(IF(ISNUMBER(SEARCH(Assumptions!$C$5,C1450)),Assumptions!$D$5,IF(ISNUMBER(SEARCH(Assumptions!$C$6,C1450)),Assumptions!$D$6,IF(ISNUMBER(SEARCH(Assumptions!$C$7,C1450)),Assumptions!$D$7,"Other Services"))),"Other Services"))</f>
        <v/>
      </c>
    </row>
    <row r="1451" customFormat="false" ht="15" hidden="false" customHeight="false" outlineLevel="0" collapsed="false">
      <c r="F1451" s="41" t="str">
        <f aca="false">IF(C1451="","",IFERROR(IF(ISNUMBER(SEARCH(Assumptions!$C$5,C1451)),Assumptions!$D$5,IF(ISNUMBER(SEARCH(Assumptions!$C$6,C1451)),Assumptions!$D$6,IF(ISNUMBER(SEARCH(Assumptions!$C$7,C1451)),Assumptions!$D$7,"Other Services"))),"Other Services"))</f>
        <v/>
      </c>
    </row>
    <row r="1452" customFormat="false" ht="15" hidden="false" customHeight="false" outlineLevel="0" collapsed="false">
      <c r="F1452" s="41" t="str">
        <f aca="false">IF(C1452="","",IFERROR(IF(ISNUMBER(SEARCH(Assumptions!$C$5,C1452)),Assumptions!$D$5,IF(ISNUMBER(SEARCH(Assumptions!$C$6,C1452)),Assumptions!$D$6,IF(ISNUMBER(SEARCH(Assumptions!$C$7,C1452)),Assumptions!$D$7,"Other Services"))),"Other Services"))</f>
        <v/>
      </c>
    </row>
    <row r="1453" customFormat="false" ht="15" hidden="false" customHeight="false" outlineLevel="0" collapsed="false">
      <c r="F1453" s="41" t="str">
        <f aca="false">IF(C1453="","",IFERROR(IF(ISNUMBER(SEARCH(Assumptions!$C$5,C1453)),Assumptions!$D$5,IF(ISNUMBER(SEARCH(Assumptions!$C$6,C1453)),Assumptions!$D$6,IF(ISNUMBER(SEARCH(Assumptions!$C$7,C1453)),Assumptions!$D$7,"Other Services"))),"Other Services"))</f>
        <v/>
      </c>
    </row>
    <row r="1454" customFormat="false" ht="15" hidden="false" customHeight="false" outlineLevel="0" collapsed="false">
      <c r="F1454" s="41" t="str">
        <f aca="false">IF(C1454="","",IFERROR(IF(ISNUMBER(SEARCH(Assumptions!$C$5,C1454)),Assumptions!$D$5,IF(ISNUMBER(SEARCH(Assumptions!$C$6,C1454)),Assumptions!$D$6,IF(ISNUMBER(SEARCH(Assumptions!$C$7,C1454)),Assumptions!$D$7,"Other Services"))),"Other Services"))</f>
        <v/>
      </c>
    </row>
    <row r="1455" customFormat="false" ht="15" hidden="false" customHeight="false" outlineLevel="0" collapsed="false">
      <c r="F1455" s="41" t="str">
        <f aca="false">IF(C1455="","",IFERROR(IF(ISNUMBER(SEARCH(Assumptions!$C$5,C1455)),Assumptions!$D$5,IF(ISNUMBER(SEARCH(Assumptions!$C$6,C1455)),Assumptions!$D$6,IF(ISNUMBER(SEARCH(Assumptions!$C$7,C1455)),Assumptions!$D$7,"Other Services"))),"Other Services"))</f>
        <v/>
      </c>
    </row>
    <row r="1456" customFormat="false" ht="15" hidden="false" customHeight="false" outlineLevel="0" collapsed="false">
      <c r="F1456" s="41" t="str">
        <f aca="false">IF(C1456="","",IFERROR(IF(ISNUMBER(SEARCH(Assumptions!$C$5,C1456)),Assumptions!$D$5,IF(ISNUMBER(SEARCH(Assumptions!$C$6,C1456)),Assumptions!$D$6,IF(ISNUMBER(SEARCH(Assumptions!$C$7,C1456)),Assumptions!$D$7,"Other Services"))),"Other Services"))</f>
        <v/>
      </c>
    </row>
    <row r="1457" customFormat="false" ht="15" hidden="false" customHeight="false" outlineLevel="0" collapsed="false">
      <c r="F1457" s="41" t="str">
        <f aca="false">IF(C1457="","",IFERROR(IF(ISNUMBER(SEARCH(Assumptions!$C$5,C1457)),Assumptions!$D$5,IF(ISNUMBER(SEARCH(Assumptions!$C$6,C1457)),Assumptions!$D$6,IF(ISNUMBER(SEARCH(Assumptions!$C$7,C1457)),Assumptions!$D$7,"Other Services"))),"Other Services"))</f>
        <v/>
      </c>
    </row>
    <row r="1458" customFormat="false" ht="15" hidden="false" customHeight="false" outlineLevel="0" collapsed="false">
      <c r="F1458" s="41" t="str">
        <f aca="false">IF(C1458="","",IFERROR(IF(ISNUMBER(SEARCH(Assumptions!$C$5,C1458)),Assumptions!$D$5,IF(ISNUMBER(SEARCH(Assumptions!$C$6,C1458)),Assumptions!$D$6,IF(ISNUMBER(SEARCH(Assumptions!$C$7,C1458)),Assumptions!$D$7,"Other Services"))),"Other Services"))</f>
        <v/>
      </c>
    </row>
    <row r="1459" customFormat="false" ht="15" hidden="false" customHeight="false" outlineLevel="0" collapsed="false">
      <c r="F1459" s="41" t="str">
        <f aca="false">IF(C1459="","",IFERROR(IF(ISNUMBER(SEARCH(Assumptions!$C$5,C1459)),Assumptions!$D$5,IF(ISNUMBER(SEARCH(Assumptions!$C$6,C1459)),Assumptions!$D$6,IF(ISNUMBER(SEARCH(Assumptions!$C$7,C1459)),Assumptions!$D$7,"Other Services"))),"Other Services"))</f>
        <v/>
      </c>
    </row>
    <row r="1460" customFormat="false" ht="15" hidden="false" customHeight="false" outlineLevel="0" collapsed="false">
      <c r="F1460" s="41" t="str">
        <f aca="false">IF(C1460="","",IFERROR(IF(ISNUMBER(SEARCH(Assumptions!$C$5,C1460)),Assumptions!$D$5,IF(ISNUMBER(SEARCH(Assumptions!$C$6,C1460)),Assumptions!$D$6,IF(ISNUMBER(SEARCH(Assumptions!$C$7,C1460)),Assumptions!$D$7,"Other Services"))),"Other Services"))</f>
        <v/>
      </c>
    </row>
    <row r="1461" customFormat="false" ht="15" hidden="false" customHeight="false" outlineLevel="0" collapsed="false">
      <c r="F1461" s="41" t="str">
        <f aca="false">IF(C1461="","",IFERROR(IF(ISNUMBER(SEARCH(Assumptions!$C$5,C1461)),Assumptions!$D$5,IF(ISNUMBER(SEARCH(Assumptions!$C$6,C1461)),Assumptions!$D$6,IF(ISNUMBER(SEARCH(Assumptions!$C$7,C1461)),Assumptions!$D$7,"Other Services"))),"Other Services"))</f>
        <v/>
      </c>
    </row>
    <row r="1462" customFormat="false" ht="15" hidden="false" customHeight="false" outlineLevel="0" collapsed="false">
      <c r="F1462" s="41" t="str">
        <f aca="false">IF(C1462="","",IFERROR(IF(ISNUMBER(SEARCH(Assumptions!$C$5,C1462)),Assumptions!$D$5,IF(ISNUMBER(SEARCH(Assumptions!$C$6,C1462)),Assumptions!$D$6,IF(ISNUMBER(SEARCH(Assumptions!$C$7,C1462)),Assumptions!$D$7,"Other Services"))),"Other Services"))</f>
        <v/>
      </c>
    </row>
    <row r="1463" customFormat="false" ht="15" hidden="false" customHeight="false" outlineLevel="0" collapsed="false">
      <c r="F1463" s="41" t="str">
        <f aca="false">IF(C1463="","",IFERROR(IF(ISNUMBER(SEARCH(Assumptions!$C$5,C1463)),Assumptions!$D$5,IF(ISNUMBER(SEARCH(Assumptions!$C$6,C1463)),Assumptions!$D$6,IF(ISNUMBER(SEARCH(Assumptions!$C$7,C1463)),Assumptions!$D$7,"Other Services"))),"Other Services"))</f>
        <v/>
      </c>
    </row>
    <row r="1464" customFormat="false" ht="15" hidden="false" customHeight="false" outlineLevel="0" collapsed="false">
      <c r="F1464" s="41" t="str">
        <f aca="false">IF(C1464="","",IFERROR(IF(ISNUMBER(SEARCH(Assumptions!$C$5,C1464)),Assumptions!$D$5,IF(ISNUMBER(SEARCH(Assumptions!$C$6,C1464)),Assumptions!$D$6,IF(ISNUMBER(SEARCH(Assumptions!$C$7,C1464)),Assumptions!$D$7,"Other Services"))),"Other Services"))</f>
        <v/>
      </c>
    </row>
    <row r="1465" customFormat="false" ht="15" hidden="false" customHeight="false" outlineLevel="0" collapsed="false">
      <c r="F1465" s="41" t="str">
        <f aca="false">IF(C1465="","",IFERROR(IF(ISNUMBER(SEARCH(Assumptions!$C$5,C1465)),Assumptions!$D$5,IF(ISNUMBER(SEARCH(Assumptions!$C$6,C1465)),Assumptions!$D$6,IF(ISNUMBER(SEARCH(Assumptions!$C$7,C1465)),Assumptions!$D$7,"Other Services"))),"Other Services"))</f>
        <v/>
      </c>
    </row>
    <row r="1466" customFormat="false" ht="15" hidden="false" customHeight="false" outlineLevel="0" collapsed="false">
      <c r="F1466" s="41" t="str">
        <f aca="false">IF(C1466="","",IFERROR(IF(ISNUMBER(SEARCH(Assumptions!$C$5,C1466)),Assumptions!$D$5,IF(ISNUMBER(SEARCH(Assumptions!$C$6,C1466)),Assumptions!$D$6,IF(ISNUMBER(SEARCH(Assumptions!$C$7,C1466)),Assumptions!$D$7,"Other Services"))),"Other Services"))</f>
        <v/>
      </c>
    </row>
    <row r="1467" customFormat="false" ht="15" hidden="false" customHeight="false" outlineLevel="0" collapsed="false">
      <c r="F1467" s="41" t="str">
        <f aca="false">IF(C1467="","",IFERROR(IF(ISNUMBER(SEARCH(Assumptions!$C$5,C1467)),Assumptions!$D$5,IF(ISNUMBER(SEARCH(Assumptions!$C$6,C1467)),Assumptions!$D$6,IF(ISNUMBER(SEARCH(Assumptions!$C$7,C1467)),Assumptions!$D$7,"Other Services"))),"Other Services"))</f>
        <v/>
      </c>
    </row>
    <row r="1468" customFormat="false" ht="15" hidden="false" customHeight="false" outlineLevel="0" collapsed="false">
      <c r="F1468" s="41" t="str">
        <f aca="false">IF(C1468="","",IFERROR(IF(ISNUMBER(SEARCH(Assumptions!$C$5,C1468)),Assumptions!$D$5,IF(ISNUMBER(SEARCH(Assumptions!$C$6,C1468)),Assumptions!$D$6,IF(ISNUMBER(SEARCH(Assumptions!$C$7,C1468)),Assumptions!$D$7,"Other Services"))),"Other Services"))</f>
        <v/>
      </c>
    </row>
    <row r="1469" customFormat="false" ht="15" hidden="false" customHeight="false" outlineLevel="0" collapsed="false">
      <c r="F1469" s="41" t="str">
        <f aca="false">IF(C1469="","",IFERROR(IF(ISNUMBER(SEARCH(Assumptions!$C$5,C1469)),Assumptions!$D$5,IF(ISNUMBER(SEARCH(Assumptions!$C$6,C1469)),Assumptions!$D$6,IF(ISNUMBER(SEARCH(Assumptions!$C$7,C1469)),Assumptions!$D$7,"Other Services"))),"Other Services"))</f>
        <v/>
      </c>
    </row>
    <row r="1470" customFormat="false" ht="15" hidden="false" customHeight="false" outlineLevel="0" collapsed="false">
      <c r="F1470" s="41" t="str">
        <f aca="false">IF(C1470="","",IFERROR(IF(ISNUMBER(SEARCH(Assumptions!$C$5,C1470)),Assumptions!$D$5,IF(ISNUMBER(SEARCH(Assumptions!$C$6,C1470)),Assumptions!$D$6,IF(ISNUMBER(SEARCH(Assumptions!$C$7,C1470)),Assumptions!$D$7,"Other Services"))),"Other Services"))</f>
        <v/>
      </c>
    </row>
    <row r="1471" customFormat="false" ht="15" hidden="false" customHeight="false" outlineLevel="0" collapsed="false">
      <c r="F1471" s="41" t="str">
        <f aca="false">IF(C1471="","",IFERROR(IF(ISNUMBER(SEARCH(Assumptions!$C$5,C1471)),Assumptions!$D$5,IF(ISNUMBER(SEARCH(Assumptions!$C$6,C1471)),Assumptions!$D$6,IF(ISNUMBER(SEARCH(Assumptions!$C$7,C1471)),Assumptions!$D$7,"Other Services"))),"Other Services"))</f>
        <v/>
      </c>
    </row>
    <row r="1472" customFormat="false" ht="15" hidden="false" customHeight="false" outlineLevel="0" collapsed="false">
      <c r="F1472" s="41" t="str">
        <f aca="false">IF(C1472="","",IFERROR(IF(ISNUMBER(SEARCH(Assumptions!$C$5,C1472)),Assumptions!$D$5,IF(ISNUMBER(SEARCH(Assumptions!$C$6,C1472)),Assumptions!$D$6,IF(ISNUMBER(SEARCH(Assumptions!$C$7,C1472)),Assumptions!$D$7,"Other Services"))),"Other Services"))</f>
        <v/>
      </c>
    </row>
    <row r="1473" customFormat="false" ht="15" hidden="false" customHeight="false" outlineLevel="0" collapsed="false">
      <c r="F1473" s="41" t="str">
        <f aca="false">IF(C1473="","",IFERROR(IF(ISNUMBER(SEARCH(Assumptions!$C$5,C1473)),Assumptions!$D$5,IF(ISNUMBER(SEARCH(Assumptions!$C$6,C1473)),Assumptions!$D$6,IF(ISNUMBER(SEARCH(Assumptions!$C$7,C1473)),Assumptions!$D$7,"Other Services"))),"Other Services"))</f>
        <v/>
      </c>
    </row>
    <row r="1474" customFormat="false" ht="15" hidden="false" customHeight="false" outlineLevel="0" collapsed="false">
      <c r="F1474" s="41" t="str">
        <f aca="false">IF(C1474="","",IFERROR(IF(ISNUMBER(SEARCH(Assumptions!$C$5,C1474)),Assumptions!$D$5,IF(ISNUMBER(SEARCH(Assumptions!$C$6,C1474)),Assumptions!$D$6,IF(ISNUMBER(SEARCH(Assumptions!$C$7,C1474)),Assumptions!$D$7,"Other Services"))),"Other Services"))</f>
        <v/>
      </c>
    </row>
    <row r="1475" customFormat="false" ht="15" hidden="false" customHeight="false" outlineLevel="0" collapsed="false">
      <c r="F1475" s="41" t="str">
        <f aca="false">IF(C1475="","",IFERROR(IF(ISNUMBER(SEARCH(Assumptions!$C$5,C1475)),Assumptions!$D$5,IF(ISNUMBER(SEARCH(Assumptions!$C$6,C1475)),Assumptions!$D$6,IF(ISNUMBER(SEARCH(Assumptions!$C$7,C1475)),Assumptions!$D$7,"Other Services"))),"Other Services"))</f>
        <v/>
      </c>
    </row>
    <row r="1476" customFormat="false" ht="15" hidden="false" customHeight="false" outlineLevel="0" collapsed="false">
      <c r="F1476" s="41" t="str">
        <f aca="false">IF(C1476="","",IFERROR(IF(ISNUMBER(SEARCH(Assumptions!$C$5,C1476)),Assumptions!$D$5,IF(ISNUMBER(SEARCH(Assumptions!$C$6,C1476)),Assumptions!$D$6,IF(ISNUMBER(SEARCH(Assumptions!$C$7,C1476)),Assumptions!$D$7,"Other Services"))),"Other Services"))</f>
        <v/>
      </c>
    </row>
    <row r="1477" customFormat="false" ht="15" hidden="false" customHeight="false" outlineLevel="0" collapsed="false">
      <c r="F1477" s="41" t="str">
        <f aca="false">IF(C1477="","",IFERROR(IF(ISNUMBER(SEARCH(Assumptions!$C$5,C1477)),Assumptions!$D$5,IF(ISNUMBER(SEARCH(Assumptions!$C$6,C1477)),Assumptions!$D$6,IF(ISNUMBER(SEARCH(Assumptions!$C$7,C1477)),Assumptions!$D$7,"Other Services"))),"Other Services"))</f>
        <v/>
      </c>
    </row>
    <row r="1478" customFormat="false" ht="15" hidden="false" customHeight="false" outlineLevel="0" collapsed="false">
      <c r="F1478" s="41" t="str">
        <f aca="false">IF(C1478="","",IFERROR(IF(ISNUMBER(SEARCH(Assumptions!$C$5,C1478)),Assumptions!$D$5,IF(ISNUMBER(SEARCH(Assumptions!$C$6,C1478)),Assumptions!$D$6,IF(ISNUMBER(SEARCH(Assumptions!$C$7,C1478)),Assumptions!$D$7,"Other Services"))),"Other Services"))</f>
        <v/>
      </c>
    </row>
    <row r="1479" customFormat="false" ht="15" hidden="false" customHeight="false" outlineLevel="0" collapsed="false">
      <c r="F1479" s="41" t="str">
        <f aca="false">IF(C1479="","",IFERROR(IF(ISNUMBER(SEARCH(Assumptions!$C$5,C1479)),Assumptions!$D$5,IF(ISNUMBER(SEARCH(Assumptions!$C$6,C1479)),Assumptions!$D$6,IF(ISNUMBER(SEARCH(Assumptions!$C$7,C1479)),Assumptions!$D$7,"Other Services"))),"Other Services"))</f>
        <v/>
      </c>
    </row>
    <row r="1480" customFormat="false" ht="15" hidden="false" customHeight="false" outlineLevel="0" collapsed="false">
      <c r="F1480" s="41" t="str">
        <f aca="false">IF(C1480="","",IFERROR(IF(ISNUMBER(SEARCH(Assumptions!$C$5,C1480)),Assumptions!$D$5,IF(ISNUMBER(SEARCH(Assumptions!$C$6,C1480)),Assumptions!$D$6,IF(ISNUMBER(SEARCH(Assumptions!$C$7,C1480)),Assumptions!$D$7,"Other Services"))),"Other Services"))</f>
        <v/>
      </c>
    </row>
    <row r="1481" customFormat="false" ht="15" hidden="false" customHeight="false" outlineLevel="0" collapsed="false">
      <c r="F1481" s="41" t="str">
        <f aca="false">IF(C1481="","",IFERROR(IF(ISNUMBER(SEARCH(Assumptions!$C$5,C1481)),Assumptions!$D$5,IF(ISNUMBER(SEARCH(Assumptions!$C$6,C1481)),Assumptions!$D$6,IF(ISNUMBER(SEARCH(Assumptions!$C$7,C1481)),Assumptions!$D$7,"Other Services"))),"Other Services"))</f>
        <v/>
      </c>
    </row>
    <row r="1482" customFormat="false" ht="15" hidden="false" customHeight="false" outlineLevel="0" collapsed="false">
      <c r="F1482" s="41" t="str">
        <f aca="false">IF(C1482="","",IFERROR(IF(ISNUMBER(SEARCH(Assumptions!$C$5,C1482)),Assumptions!$D$5,IF(ISNUMBER(SEARCH(Assumptions!$C$6,C1482)),Assumptions!$D$6,IF(ISNUMBER(SEARCH(Assumptions!$C$7,C1482)),Assumptions!$D$7,"Other Services"))),"Other Services"))</f>
        <v/>
      </c>
    </row>
    <row r="1483" customFormat="false" ht="15" hidden="false" customHeight="false" outlineLevel="0" collapsed="false">
      <c r="F1483" s="41" t="str">
        <f aca="false">IF(C1483="","",IFERROR(IF(ISNUMBER(SEARCH(Assumptions!$C$5,C1483)),Assumptions!$D$5,IF(ISNUMBER(SEARCH(Assumptions!$C$6,C1483)),Assumptions!$D$6,IF(ISNUMBER(SEARCH(Assumptions!$C$7,C1483)),Assumptions!$D$7,"Other Services"))),"Other Services"))</f>
        <v/>
      </c>
    </row>
    <row r="1484" customFormat="false" ht="15" hidden="false" customHeight="false" outlineLevel="0" collapsed="false">
      <c r="F1484" s="41" t="str">
        <f aca="false">IF(C1484="","",IFERROR(IF(ISNUMBER(SEARCH(Assumptions!$C$5,C1484)),Assumptions!$D$5,IF(ISNUMBER(SEARCH(Assumptions!$C$6,C1484)),Assumptions!$D$6,IF(ISNUMBER(SEARCH(Assumptions!$C$7,C1484)),Assumptions!$D$7,"Other Services"))),"Other Services"))</f>
        <v/>
      </c>
    </row>
    <row r="1485" customFormat="false" ht="15" hidden="false" customHeight="false" outlineLevel="0" collapsed="false">
      <c r="F1485" s="41" t="str">
        <f aca="false">IF(C1485="","",IFERROR(IF(ISNUMBER(SEARCH(Assumptions!$C$5,C1485)),Assumptions!$D$5,IF(ISNUMBER(SEARCH(Assumptions!$C$6,C1485)),Assumptions!$D$6,IF(ISNUMBER(SEARCH(Assumptions!$C$7,C1485)),Assumptions!$D$7,"Other Services"))),"Other Services"))</f>
        <v/>
      </c>
    </row>
    <row r="1486" customFormat="false" ht="15" hidden="false" customHeight="false" outlineLevel="0" collapsed="false">
      <c r="F1486" s="41" t="str">
        <f aca="false">IF(C1486="","",IFERROR(IF(ISNUMBER(SEARCH(Assumptions!$C$5,C1486)),Assumptions!$D$5,IF(ISNUMBER(SEARCH(Assumptions!$C$6,C1486)),Assumptions!$D$6,IF(ISNUMBER(SEARCH(Assumptions!$C$7,C1486)),Assumptions!$D$7,"Other Services"))),"Other Services"))</f>
        <v/>
      </c>
    </row>
    <row r="1487" customFormat="false" ht="15" hidden="false" customHeight="false" outlineLevel="0" collapsed="false">
      <c r="F1487" s="41" t="str">
        <f aca="false">IF(C1487="","",IFERROR(IF(ISNUMBER(SEARCH(Assumptions!$C$5,C1487)),Assumptions!$D$5,IF(ISNUMBER(SEARCH(Assumptions!$C$6,C1487)),Assumptions!$D$6,IF(ISNUMBER(SEARCH(Assumptions!$C$7,C1487)),Assumptions!$D$7,"Other Services"))),"Other Services"))</f>
        <v/>
      </c>
    </row>
    <row r="1488" customFormat="false" ht="15" hidden="false" customHeight="false" outlineLevel="0" collapsed="false">
      <c r="F1488" s="41" t="str">
        <f aca="false">IF(C1488="","",IFERROR(IF(ISNUMBER(SEARCH(Assumptions!$C$5,C1488)),Assumptions!$D$5,IF(ISNUMBER(SEARCH(Assumptions!$C$6,C1488)),Assumptions!$D$6,IF(ISNUMBER(SEARCH(Assumptions!$C$7,C1488)),Assumptions!$D$7,"Other Services"))),"Other Services"))</f>
        <v/>
      </c>
    </row>
    <row r="1489" customFormat="false" ht="15" hidden="false" customHeight="false" outlineLevel="0" collapsed="false">
      <c r="F1489" s="41" t="str">
        <f aca="false">IF(C1489="","",IFERROR(IF(ISNUMBER(SEARCH(Assumptions!$C$5,C1489)),Assumptions!$D$5,IF(ISNUMBER(SEARCH(Assumptions!$C$6,C1489)),Assumptions!$D$6,IF(ISNUMBER(SEARCH(Assumptions!$C$7,C1489)),Assumptions!$D$7,"Other Services"))),"Other Services"))</f>
        <v/>
      </c>
    </row>
    <row r="1490" customFormat="false" ht="15" hidden="false" customHeight="false" outlineLevel="0" collapsed="false">
      <c r="F1490" s="41" t="str">
        <f aca="false">IF(C1490="","",IFERROR(IF(ISNUMBER(SEARCH(Assumptions!$C$5,C1490)),Assumptions!$D$5,IF(ISNUMBER(SEARCH(Assumptions!$C$6,C1490)),Assumptions!$D$6,IF(ISNUMBER(SEARCH(Assumptions!$C$7,C1490)),Assumptions!$D$7,"Other Services"))),"Other Services"))</f>
        <v/>
      </c>
    </row>
    <row r="1491" customFormat="false" ht="15" hidden="false" customHeight="false" outlineLevel="0" collapsed="false">
      <c r="F1491" s="41" t="str">
        <f aca="false">IF(C1491="","",IFERROR(IF(ISNUMBER(SEARCH(Assumptions!$C$5,C1491)),Assumptions!$D$5,IF(ISNUMBER(SEARCH(Assumptions!$C$6,C1491)),Assumptions!$D$6,IF(ISNUMBER(SEARCH(Assumptions!$C$7,C1491)),Assumptions!$D$7,"Other Services"))),"Other Services"))</f>
        <v/>
      </c>
    </row>
    <row r="1492" customFormat="false" ht="15" hidden="false" customHeight="false" outlineLevel="0" collapsed="false">
      <c r="F1492" s="41" t="str">
        <f aca="false">IF(C1492="","",IFERROR(IF(ISNUMBER(SEARCH(Assumptions!$C$5,C1492)),Assumptions!$D$5,IF(ISNUMBER(SEARCH(Assumptions!$C$6,C1492)),Assumptions!$D$6,IF(ISNUMBER(SEARCH(Assumptions!$C$7,C1492)),Assumptions!$D$7,"Other Services"))),"Other Services"))</f>
        <v/>
      </c>
    </row>
    <row r="1493" customFormat="false" ht="15" hidden="false" customHeight="false" outlineLevel="0" collapsed="false">
      <c r="F1493" s="41" t="str">
        <f aca="false">IF(C1493="","",IFERROR(IF(ISNUMBER(SEARCH(Assumptions!$C$5,C1493)),Assumptions!$D$5,IF(ISNUMBER(SEARCH(Assumptions!$C$6,C1493)),Assumptions!$D$6,IF(ISNUMBER(SEARCH(Assumptions!$C$7,C1493)),Assumptions!$D$7,"Other Services"))),"Other Services"))</f>
        <v/>
      </c>
    </row>
    <row r="1494" customFormat="false" ht="15" hidden="false" customHeight="false" outlineLevel="0" collapsed="false">
      <c r="F1494" s="41" t="str">
        <f aca="false">IF(C1494="","",IFERROR(IF(ISNUMBER(SEARCH(Assumptions!$C$5,C1494)),Assumptions!$D$5,IF(ISNUMBER(SEARCH(Assumptions!$C$6,C1494)),Assumptions!$D$6,IF(ISNUMBER(SEARCH(Assumptions!$C$7,C1494)),Assumptions!$D$7,"Other Services"))),"Other Services"))</f>
        <v/>
      </c>
    </row>
    <row r="1495" customFormat="false" ht="15" hidden="false" customHeight="false" outlineLevel="0" collapsed="false">
      <c r="F1495" s="41" t="str">
        <f aca="false">IF(C1495="","",IFERROR(IF(ISNUMBER(SEARCH(Assumptions!$C$5,C1495)),Assumptions!$D$5,IF(ISNUMBER(SEARCH(Assumptions!$C$6,C1495)),Assumptions!$D$6,IF(ISNUMBER(SEARCH(Assumptions!$C$7,C1495)),Assumptions!$D$7,"Other Services"))),"Other Services"))</f>
        <v/>
      </c>
    </row>
    <row r="1496" customFormat="false" ht="15" hidden="false" customHeight="false" outlineLevel="0" collapsed="false">
      <c r="F1496" s="41" t="str">
        <f aca="false">IF(C1496="","",IFERROR(IF(ISNUMBER(SEARCH(Assumptions!$C$5,C1496)),Assumptions!$D$5,IF(ISNUMBER(SEARCH(Assumptions!$C$6,C1496)),Assumptions!$D$6,IF(ISNUMBER(SEARCH(Assumptions!$C$7,C1496)),Assumptions!$D$7,"Other Services"))),"Other Services"))</f>
        <v/>
      </c>
    </row>
    <row r="1497" customFormat="false" ht="15" hidden="false" customHeight="false" outlineLevel="0" collapsed="false">
      <c r="F1497" s="41" t="str">
        <f aca="false">IF(C1497="","",IFERROR(IF(ISNUMBER(SEARCH(Assumptions!$C$5,C1497)),Assumptions!$D$5,IF(ISNUMBER(SEARCH(Assumptions!$C$6,C1497)),Assumptions!$D$6,IF(ISNUMBER(SEARCH(Assumptions!$C$7,C1497)),Assumptions!$D$7,"Other Services"))),"Other Services"))</f>
        <v/>
      </c>
    </row>
    <row r="1498" customFormat="false" ht="15" hidden="false" customHeight="false" outlineLevel="0" collapsed="false">
      <c r="F1498" s="41" t="str">
        <f aca="false">IF(C1498="","",IFERROR(IF(ISNUMBER(SEARCH(Assumptions!$C$5,C1498)),Assumptions!$D$5,IF(ISNUMBER(SEARCH(Assumptions!$C$6,C1498)),Assumptions!$D$6,IF(ISNUMBER(SEARCH(Assumptions!$C$7,C1498)),Assumptions!$D$7,"Other Services"))),"Other Services"))</f>
        <v/>
      </c>
    </row>
    <row r="1499" customFormat="false" ht="15" hidden="false" customHeight="false" outlineLevel="0" collapsed="false">
      <c r="F1499" s="41" t="str">
        <f aca="false">IF(C1499="","",IFERROR(IF(ISNUMBER(SEARCH(Assumptions!$C$5,C1499)),Assumptions!$D$5,IF(ISNUMBER(SEARCH(Assumptions!$C$6,C1499)),Assumptions!$D$6,IF(ISNUMBER(SEARCH(Assumptions!$C$7,C1499)),Assumptions!$D$7,"Other Services"))),"Other Services"))</f>
        <v/>
      </c>
    </row>
    <row r="1500" customFormat="false" ht="15" hidden="false" customHeight="false" outlineLevel="0" collapsed="false">
      <c r="F1500" s="41" t="str">
        <f aca="false">IF(C1500="","",IFERROR(IF(ISNUMBER(SEARCH(Assumptions!$C$5,C1500)),Assumptions!$D$5,IF(ISNUMBER(SEARCH(Assumptions!$C$6,C1500)),Assumptions!$D$6,IF(ISNUMBER(SEARCH(Assumptions!$C$7,C1500)),Assumptions!$D$7,"Other Services"))),"Other Services"))</f>
        <v/>
      </c>
    </row>
    <row r="1501" customFormat="false" ht="15" hidden="false" customHeight="false" outlineLevel="0" collapsed="false">
      <c r="F1501" s="41" t="str">
        <f aca="false">IF(C1501="","",IFERROR(IF(ISNUMBER(SEARCH(Assumptions!$C$5,C1501)),Assumptions!$D$5,IF(ISNUMBER(SEARCH(Assumptions!$C$6,C1501)),Assumptions!$D$6,IF(ISNUMBER(SEARCH(Assumptions!$C$7,C1501)),Assumptions!$D$7,"Other Services"))),"Other Services"))</f>
        <v/>
      </c>
    </row>
    <row r="1502" customFormat="false" ht="15" hidden="false" customHeight="false" outlineLevel="0" collapsed="false">
      <c r="F1502" s="41" t="str">
        <f aca="false">IF(C1502="","",IFERROR(IF(ISNUMBER(SEARCH(Assumptions!$C$5,C1502)),Assumptions!$D$5,IF(ISNUMBER(SEARCH(Assumptions!$C$6,C1502)),Assumptions!$D$6,IF(ISNUMBER(SEARCH(Assumptions!$C$7,C1502)),Assumptions!$D$7,"Other Services"))),"Other Services"))</f>
        <v/>
      </c>
    </row>
    <row r="1503" customFormat="false" ht="15" hidden="false" customHeight="false" outlineLevel="0" collapsed="false">
      <c r="F1503" s="41" t="str">
        <f aca="false">IF(C1503="","",IFERROR(IF(ISNUMBER(SEARCH(Assumptions!$C$5,C1503)),Assumptions!$D$5,IF(ISNUMBER(SEARCH(Assumptions!$C$6,C1503)),Assumptions!$D$6,IF(ISNUMBER(SEARCH(Assumptions!$C$7,C1503)),Assumptions!$D$7,"Other Services"))),"Other Services"))</f>
        <v/>
      </c>
    </row>
    <row r="1504" customFormat="false" ht="15" hidden="false" customHeight="false" outlineLevel="0" collapsed="false">
      <c r="F1504" s="41" t="str">
        <f aca="false">IF(C1504="","",IFERROR(IF(ISNUMBER(SEARCH(Assumptions!$C$5,C1504)),Assumptions!$D$5,IF(ISNUMBER(SEARCH(Assumptions!$C$6,C1504)),Assumptions!$D$6,IF(ISNUMBER(SEARCH(Assumptions!$C$7,C1504)),Assumptions!$D$7,"Other Services"))),"Other Services"))</f>
        <v/>
      </c>
    </row>
    <row r="1505" customFormat="false" ht="15" hidden="false" customHeight="false" outlineLevel="0" collapsed="false">
      <c r="F1505" s="41" t="str">
        <f aca="false">IF(C1505="","",IFERROR(IF(ISNUMBER(SEARCH(Assumptions!$C$5,C1505)),Assumptions!$D$5,IF(ISNUMBER(SEARCH(Assumptions!$C$6,C1505)),Assumptions!$D$6,IF(ISNUMBER(SEARCH(Assumptions!$C$7,C1505)),Assumptions!$D$7,"Other Services"))),"Other Services"))</f>
        <v/>
      </c>
    </row>
    <row r="1506" customFormat="false" ht="15" hidden="false" customHeight="false" outlineLevel="0" collapsed="false">
      <c r="F1506" s="41" t="str">
        <f aca="false">IF(C1506="","",IFERROR(IF(ISNUMBER(SEARCH(Assumptions!$C$5,C1506)),Assumptions!$D$5,IF(ISNUMBER(SEARCH(Assumptions!$C$6,C1506)),Assumptions!$D$6,IF(ISNUMBER(SEARCH(Assumptions!$C$7,C1506)),Assumptions!$D$7,"Other Services"))),"Other Services"))</f>
        <v/>
      </c>
    </row>
    <row r="1507" customFormat="false" ht="15" hidden="false" customHeight="false" outlineLevel="0" collapsed="false">
      <c r="F1507" s="41" t="str">
        <f aca="false">IF(C1507="","",IFERROR(IF(ISNUMBER(SEARCH(Assumptions!$C$5,C1507)),Assumptions!$D$5,IF(ISNUMBER(SEARCH(Assumptions!$C$6,C1507)),Assumptions!$D$6,IF(ISNUMBER(SEARCH(Assumptions!$C$7,C1507)),Assumptions!$D$7,"Other Services"))),"Other Services"))</f>
        <v/>
      </c>
    </row>
    <row r="1508" customFormat="false" ht="15" hidden="false" customHeight="false" outlineLevel="0" collapsed="false">
      <c r="F1508" s="41" t="str">
        <f aca="false">IF(C1508="","",IFERROR(IF(ISNUMBER(SEARCH(Assumptions!$C$5,C1508)),Assumptions!$D$5,IF(ISNUMBER(SEARCH(Assumptions!$C$6,C1508)),Assumptions!$D$6,IF(ISNUMBER(SEARCH(Assumptions!$C$7,C1508)),Assumptions!$D$7,"Other Services"))),"Other Services"))</f>
        <v/>
      </c>
    </row>
    <row r="1509" customFormat="false" ht="15" hidden="false" customHeight="false" outlineLevel="0" collapsed="false">
      <c r="F1509" s="41" t="str">
        <f aca="false">IF(C1509="","",IFERROR(IF(ISNUMBER(SEARCH(Assumptions!$C$5,C1509)),Assumptions!$D$5,IF(ISNUMBER(SEARCH(Assumptions!$C$6,C1509)),Assumptions!$D$6,IF(ISNUMBER(SEARCH(Assumptions!$C$7,C1509)),Assumptions!$D$7,"Other Services"))),"Other Services"))</f>
        <v/>
      </c>
    </row>
    <row r="1510" customFormat="false" ht="15" hidden="false" customHeight="false" outlineLevel="0" collapsed="false">
      <c r="F1510" s="41" t="str">
        <f aca="false">IF(C1510="","",IFERROR(IF(ISNUMBER(SEARCH(Assumptions!$C$5,C1510)),Assumptions!$D$5,IF(ISNUMBER(SEARCH(Assumptions!$C$6,C1510)),Assumptions!$D$6,IF(ISNUMBER(SEARCH(Assumptions!$C$7,C1510)),Assumptions!$D$7,"Other Services"))),"Other Services"))</f>
        <v/>
      </c>
    </row>
    <row r="1511" customFormat="false" ht="15" hidden="false" customHeight="false" outlineLevel="0" collapsed="false">
      <c r="F1511" s="41" t="str">
        <f aca="false">IF(C1511="","",IFERROR(IF(ISNUMBER(SEARCH(Assumptions!$C$5,C1511)),Assumptions!$D$5,IF(ISNUMBER(SEARCH(Assumptions!$C$6,C1511)),Assumptions!$D$6,IF(ISNUMBER(SEARCH(Assumptions!$C$7,C1511)),Assumptions!$D$7,"Other Services"))),"Other Services"))</f>
        <v/>
      </c>
    </row>
    <row r="1512" customFormat="false" ht="15" hidden="false" customHeight="false" outlineLevel="0" collapsed="false">
      <c r="F1512" s="41" t="str">
        <f aca="false">IF(C1512="","",IFERROR(IF(ISNUMBER(SEARCH(Assumptions!$C$5,C1512)),Assumptions!$D$5,IF(ISNUMBER(SEARCH(Assumptions!$C$6,C1512)),Assumptions!$D$6,IF(ISNUMBER(SEARCH(Assumptions!$C$7,C1512)),Assumptions!$D$7,"Other Services"))),"Other Services"))</f>
        <v/>
      </c>
    </row>
    <row r="1513" customFormat="false" ht="15" hidden="false" customHeight="false" outlineLevel="0" collapsed="false">
      <c r="F1513" s="41" t="str">
        <f aca="false">IF(C1513="","",IFERROR(IF(ISNUMBER(SEARCH(Assumptions!$C$5,C1513)),Assumptions!$D$5,IF(ISNUMBER(SEARCH(Assumptions!$C$6,C1513)),Assumptions!$D$6,IF(ISNUMBER(SEARCH(Assumptions!$C$7,C1513)),Assumptions!$D$7,"Other Services"))),"Other Services"))</f>
        <v/>
      </c>
    </row>
    <row r="1514" customFormat="false" ht="15" hidden="false" customHeight="false" outlineLevel="0" collapsed="false">
      <c r="F1514" s="41" t="str">
        <f aca="false">IF(C1514="","",IFERROR(IF(ISNUMBER(SEARCH(Assumptions!$C$5,C1514)),Assumptions!$D$5,IF(ISNUMBER(SEARCH(Assumptions!$C$6,C1514)),Assumptions!$D$6,IF(ISNUMBER(SEARCH(Assumptions!$C$7,C1514)),Assumptions!$D$7,"Other Services"))),"Other Services"))</f>
        <v/>
      </c>
    </row>
    <row r="1515" customFormat="false" ht="15" hidden="false" customHeight="false" outlineLevel="0" collapsed="false">
      <c r="F1515" s="41" t="str">
        <f aca="false">IF(C1515="","",IFERROR(IF(ISNUMBER(SEARCH(Assumptions!$C$5,C1515)),Assumptions!$D$5,IF(ISNUMBER(SEARCH(Assumptions!$C$6,C1515)),Assumptions!$D$6,IF(ISNUMBER(SEARCH(Assumptions!$C$7,C1515)),Assumptions!$D$7,"Other Services"))),"Other Services"))</f>
        <v/>
      </c>
    </row>
    <row r="1516" customFormat="false" ht="15" hidden="false" customHeight="false" outlineLevel="0" collapsed="false">
      <c r="F1516" s="41" t="str">
        <f aca="false">IF(C1516="","",IFERROR(IF(ISNUMBER(SEARCH(Assumptions!$C$5,C1516)),Assumptions!$D$5,IF(ISNUMBER(SEARCH(Assumptions!$C$6,C1516)),Assumptions!$D$6,IF(ISNUMBER(SEARCH(Assumptions!$C$7,C1516)),Assumptions!$D$7,"Other Services"))),"Other Services"))</f>
        <v/>
      </c>
    </row>
    <row r="1517" customFormat="false" ht="15" hidden="false" customHeight="false" outlineLevel="0" collapsed="false">
      <c r="F1517" s="41" t="str">
        <f aca="false">IF(C1517="","",IFERROR(IF(ISNUMBER(SEARCH(Assumptions!$C$5,C1517)),Assumptions!$D$5,IF(ISNUMBER(SEARCH(Assumptions!$C$6,C1517)),Assumptions!$D$6,IF(ISNUMBER(SEARCH(Assumptions!$C$7,C1517)),Assumptions!$D$7,"Other Services"))),"Other Services"))</f>
        <v/>
      </c>
    </row>
    <row r="1518" customFormat="false" ht="15" hidden="false" customHeight="false" outlineLevel="0" collapsed="false">
      <c r="F1518" s="41" t="str">
        <f aca="false">IF(C1518="","",IFERROR(IF(ISNUMBER(SEARCH(Assumptions!$C$5,C1518)),Assumptions!$D$5,IF(ISNUMBER(SEARCH(Assumptions!$C$6,C1518)),Assumptions!$D$6,IF(ISNUMBER(SEARCH(Assumptions!$C$7,C1518)),Assumptions!$D$7,"Other Services"))),"Other Services"))</f>
        <v/>
      </c>
    </row>
    <row r="1519" customFormat="false" ht="15" hidden="false" customHeight="false" outlineLevel="0" collapsed="false">
      <c r="F1519" s="41" t="str">
        <f aca="false">IF(C1519="","",IFERROR(IF(ISNUMBER(SEARCH(Assumptions!$C$5,C1519)),Assumptions!$D$5,IF(ISNUMBER(SEARCH(Assumptions!$C$6,C1519)),Assumptions!$D$6,IF(ISNUMBER(SEARCH(Assumptions!$C$7,C1519)),Assumptions!$D$7,"Other Services"))),"Other Services"))</f>
        <v/>
      </c>
    </row>
    <row r="1520" customFormat="false" ht="15" hidden="false" customHeight="false" outlineLevel="0" collapsed="false">
      <c r="F1520" s="41" t="str">
        <f aca="false">IF(C1520="","",IFERROR(IF(ISNUMBER(SEARCH(Assumptions!$C$5,C1520)),Assumptions!$D$5,IF(ISNUMBER(SEARCH(Assumptions!$C$6,C1520)),Assumptions!$D$6,IF(ISNUMBER(SEARCH(Assumptions!$C$7,C1520)),Assumptions!$D$7,"Other Services"))),"Other Services"))</f>
        <v/>
      </c>
    </row>
    <row r="1521" customFormat="false" ht="15" hidden="false" customHeight="false" outlineLevel="0" collapsed="false">
      <c r="F1521" s="41" t="str">
        <f aca="false">IF(C1521="","",IFERROR(IF(ISNUMBER(SEARCH(Assumptions!$C$5,C1521)),Assumptions!$D$5,IF(ISNUMBER(SEARCH(Assumptions!$C$6,C1521)),Assumptions!$D$6,IF(ISNUMBER(SEARCH(Assumptions!$C$7,C1521)),Assumptions!$D$7,"Other Services"))),"Other Services"))</f>
        <v/>
      </c>
    </row>
    <row r="1522" customFormat="false" ht="15" hidden="false" customHeight="false" outlineLevel="0" collapsed="false">
      <c r="F1522" s="41" t="str">
        <f aca="false">IF(C1522="","",IFERROR(IF(ISNUMBER(SEARCH(Assumptions!$C$5,C1522)),Assumptions!$D$5,IF(ISNUMBER(SEARCH(Assumptions!$C$6,C1522)),Assumptions!$D$6,IF(ISNUMBER(SEARCH(Assumptions!$C$7,C1522)),Assumptions!$D$7,"Other Services"))),"Other Services"))</f>
        <v/>
      </c>
    </row>
    <row r="1523" customFormat="false" ht="15" hidden="false" customHeight="false" outlineLevel="0" collapsed="false">
      <c r="F1523" s="41" t="str">
        <f aca="false">IF(C1523="","",IFERROR(IF(ISNUMBER(SEARCH(Assumptions!$C$5,C1523)),Assumptions!$D$5,IF(ISNUMBER(SEARCH(Assumptions!$C$6,C1523)),Assumptions!$D$6,IF(ISNUMBER(SEARCH(Assumptions!$C$7,C1523)),Assumptions!$D$7,"Other Services"))),"Other Services"))</f>
        <v/>
      </c>
    </row>
    <row r="1524" customFormat="false" ht="15" hidden="false" customHeight="false" outlineLevel="0" collapsed="false">
      <c r="F1524" s="41" t="str">
        <f aca="false">IF(C1524="","",IFERROR(IF(ISNUMBER(SEARCH(Assumptions!$C$5,C1524)),Assumptions!$D$5,IF(ISNUMBER(SEARCH(Assumptions!$C$6,C1524)),Assumptions!$D$6,IF(ISNUMBER(SEARCH(Assumptions!$C$7,C1524)),Assumptions!$D$7,"Other Services"))),"Other Services"))</f>
        <v/>
      </c>
    </row>
    <row r="1525" customFormat="false" ht="15" hidden="false" customHeight="false" outlineLevel="0" collapsed="false">
      <c r="F1525" s="41" t="str">
        <f aca="false">IF(C1525="","",IFERROR(IF(ISNUMBER(SEARCH(Assumptions!$C$5,C1525)),Assumptions!$D$5,IF(ISNUMBER(SEARCH(Assumptions!$C$6,C1525)),Assumptions!$D$6,IF(ISNUMBER(SEARCH(Assumptions!$C$7,C1525)),Assumptions!$D$7,"Other Services"))),"Other Services"))</f>
        <v/>
      </c>
    </row>
    <row r="1526" customFormat="false" ht="15" hidden="false" customHeight="false" outlineLevel="0" collapsed="false">
      <c r="F1526" s="41" t="str">
        <f aca="false">IF(C1526="","",IFERROR(IF(ISNUMBER(SEARCH(Assumptions!$C$5,C1526)),Assumptions!$D$5,IF(ISNUMBER(SEARCH(Assumptions!$C$6,C1526)),Assumptions!$D$6,IF(ISNUMBER(SEARCH(Assumptions!$C$7,C1526)),Assumptions!$D$7,"Other Services"))),"Other Services"))</f>
        <v/>
      </c>
    </row>
    <row r="1527" customFormat="false" ht="15" hidden="false" customHeight="false" outlineLevel="0" collapsed="false">
      <c r="F1527" s="41" t="str">
        <f aca="false">IF(C1527="","",IFERROR(IF(ISNUMBER(SEARCH(Assumptions!$C$5,C1527)),Assumptions!$D$5,IF(ISNUMBER(SEARCH(Assumptions!$C$6,C1527)),Assumptions!$D$6,IF(ISNUMBER(SEARCH(Assumptions!$C$7,C1527)),Assumptions!$D$7,"Other Services"))),"Other Services"))</f>
        <v/>
      </c>
    </row>
    <row r="1528" customFormat="false" ht="15" hidden="false" customHeight="false" outlineLevel="0" collapsed="false">
      <c r="F1528" s="41" t="str">
        <f aca="false">IF(C1528="","",IFERROR(IF(ISNUMBER(SEARCH(Assumptions!$C$5,C1528)),Assumptions!$D$5,IF(ISNUMBER(SEARCH(Assumptions!$C$6,C1528)),Assumptions!$D$6,IF(ISNUMBER(SEARCH(Assumptions!$C$7,C1528)),Assumptions!$D$7,"Other Services"))),"Other Services"))</f>
        <v/>
      </c>
    </row>
    <row r="1529" customFormat="false" ht="15" hidden="false" customHeight="false" outlineLevel="0" collapsed="false">
      <c r="F1529" s="41" t="str">
        <f aca="false">IF(C1529="","",IFERROR(IF(ISNUMBER(SEARCH(Assumptions!$C$5,C1529)),Assumptions!$D$5,IF(ISNUMBER(SEARCH(Assumptions!$C$6,C1529)),Assumptions!$D$6,IF(ISNUMBER(SEARCH(Assumptions!$C$7,C1529)),Assumptions!$D$7,"Other Services"))),"Other Services"))</f>
        <v/>
      </c>
    </row>
    <row r="1530" customFormat="false" ht="15" hidden="false" customHeight="false" outlineLevel="0" collapsed="false">
      <c r="F1530" s="41" t="str">
        <f aca="false">IF(C1530="","",IFERROR(IF(ISNUMBER(SEARCH(Assumptions!$C$5,C1530)),Assumptions!$D$5,IF(ISNUMBER(SEARCH(Assumptions!$C$6,C1530)),Assumptions!$D$6,IF(ISNUMBER(SEARCH(Assumptions!$C$7,C1530)),Assumptions!$D$7,"Other Services"))),"Other Services"))</f>
        <v/>
      </c>
    </row>
    <row r="1531" customFormat="false" ht="15" hidden="false" customHeight="false" outlineLevel="0" collapsed="false">
      <c r="F1531" s="41" t="str">
        <f aca="false">IF(C1531="","",IFERROR(IF(ISNUMBER(SEARCH(Assumptions!$C$5,C1531)),Assumptions!$D$5,IF(ISNUMBER(SEARCH(Assumptions!$C$6,C1531)),Assumptions!$D$6,IF(ISNUMBER(SEARCH(Assumptions!$C$7,C1531)),Assumptions!$D$7,"Other Services"))),"Other Services"))</f>
        <v/>
      </c>
    </row>
    <row r="1532" customFormat="false" ht="15" hidden="false" customHeight="false" outlineLevel="0" collapsed="false">
      <c r="F1532" s="41" t="str">
        <f aca="false">IF(C1532="","",IFERROR(IF(ISNUMBER(SEARCH(Assumptions!$C$5,C1532)),Assumptions!$D$5,IF(ISNUMBER(SEARCH(Assumptions!$C$6,C1532)),Assumptions!$D$6,IF(ISNUMBER(SEARCH(Assumptions!$C$7,C1532)),Assumptions!$D$7,"Other Services"))),"Other Services"))</f>
        <v/>
      </c>
    </row>
    <row r="1533" customFormat="false" ht="15" hidden="false" customHeight="false" outlineLevel="0" collapsed="false">
      <c r="F1533" s="41" t="str">
        <f aca="false">IF(C1533="","",IFERROR(IF(ISNUMBER(SEARCH(Assumptions!$C$5,C1533)),Assumptions!$D$5,IF(ISNUMBER(SEARCH(Assumptions!$C$6,C1533)),Assumptions!$D$6,IF(ISNUMBER(SEARCH(Assumptions!$C$7,C1533)),Assumptions!$D$7,"Other Services"))),"Other Services"))</f>
        <v/>
      </c>
    </row>
    <row r="1534" customFormat="false" ht="15" hidden="false" customHeight="false" outlineLevel="0" collapsed="false">
      <c r="F1534" s="41" t="str">
        <f aca="false">IF(C1534="","",IFERROR(IF(ISNUMBER(SEARCH(Assumptions!$C$5,C1534)),Assumptions!$D$5,IF(ISNUMBER(SEARCH(Assumptions!$C$6,C1534)),Assumptions!$D$6,IF(ISNUMBER(SEARCH(Assumptions!$C$7,C1534)),Assumptions!$D$7,"Other Services"))),"Other Services"))</f>
        <v/>
      </c>
    </row>
    <row r="1535" customFormat="false" ht="15" hidden="false" customHeight="false" outlineLevel="0" collapsed="false">
      <c r="F1535" s="41" t="str">
        <f aca="false">IF(C1535="","",IFERROR(IF(ISNUMBER(SEARCH(Assumptions!$C$5,C1535)),Assumptions!$D$5,IF(ISNUMBER(SEARCH(Assumptions!$C$6,C1535)),Assumptions!$D$6,IF(ISNUMBER(SEARCH(Assumptions!$C$7,C1535)),Assumptions!$D$7,"Other Services"))),"Other Services"))</f>
        <v/>
      </c>
    </row>
    <row r="1536" customFormat="false" ht="15" hidden="false" customHeight="false" outlineLevel="0" collapsed="false">
      <c r="F1536" s="41" t="str">
        <f aca="false">IF(C1536="","",IFERROR(IF(ISNUMBER(SEARCH(Assumptions!$C$5,C1536)),Assumptions!$D$5,IF(ISNUMBER(SEARCH(Assumptions!$C$6,C1536)),Assumptions!$D$6,IF(ISNUMBER(SEARCH(Assumptions!$C$7,C1536)),Assumptions!$D$7,"Other Services"))),"Other Services"))</f>
        <v/>
      </c>
    </row>
    <row r="1537" customFormat="false" ht="15" hidden="false" customHeight="false" outlineLevel="0" collapsed="false">
      <c r="F1537" s="41" t="str">
        <f aca="false">IF(C1537="","",IFERROR(IF(ISNUMBER(SEARCH(Assumptions!$C$5,C1537)),Assumptions!$D$5,IF(ISNUMBER(SEARCH(Assumptions!$C$6,C1537)),Assumptions!$D$6,IF(ISNUMBER(SEARCH(Assumptions!$C$7,C1537)),Assumptions!$D$7,"Other Services"))),"Other Services"))</f>
        <v/>
      </c>
    </row>
    <row r="1538" customFormat="false" ht="15" hidden="false" customHeight="false" outlineLevel="0" collapsed="false">
      <c r="F1538" s="41" t="str">
        <f aca="false">IF(C1538="","",IFERROR(IF(ISNUMBER(SEARCH(Assumptions!$C$5,C1538)),Assumptions!$D$5,IF(ISNUMBER(SEARCH(Assumptions!$C$6,C1538)),Assumptions!$D$6,IF(ISNUMBER(SEARCH(Assumptions!$C$7,C1538)),Assumptions!$D$7,"Other Services"))),"Other Services"))</f>
        <v/>
      </c>
    </row>
    <row r="1539" customFormat="false" ht="15" hidden="false" customHeight="false" outlineLevel="0" collapsed="false">
      <c r="F1539" s="41" t="str">
        <f aca="false">IF(C1539="","",IFERROR(IF(ISNUMBER(SEARCH(Assumptions!$C$5,C1539)),Assumptions!$D$5,IF(ISNUMBER(SEARCH(Assumptions!$C$6,C1539)),Assumptions!$D$6,IF(ISNUMBER(SEARCH(Assumptions!$C$7,C1539)),Assumptions!$D$7,"Other Services"))),"Other Services"))</f>
        <v/>
      </c>
    </row>
    <row r="1540" customFormat="false" ht="15" hidden="false" customHeight="false" outlineLevel="0" collapsed="false">
      <c r="F1540" s="41" t="str">
        <f aca="false">IF(C1540="","",IFERROR(IF(ISNUMBER(SEARCH(Assumptions!$C$5,C1540)),Assumptions!$D$5,IF(ISNUMBER(SEARCH(Assumptions!$C$6,C1540)),Assumptions!$D$6,IF(ISNUMBER(SEARCH(Assumptions!$C$7,C1540)),Assumptions!$D$7,"Other Services"))),"Other Services"))</f>
        <v/>
      </c>
    </row>
    <row r="1541" customFormat="false" ht="15" hidden="false" customHeight="false" outlineLevel="0" collapsed="false">
      <c r="F1541" s="41" t="str">
        <f aca="false">IF(C1541="","",IFERROR(IF(ISNUMBER(SEARCH(Assumptions!$C$5,C1541)),Assumptions!$D$5,IF(ISNUMBER(SEARCH(Assumptions!$C$6,C1541)),Assumptions!$D$6,IF(ISNUMBER(SEARCH(Assumptions!$C$7,C1541)),Assumptions!$D$7,"Other Services"))),"Other Services"))</f>
        <v/>
      </c>
    </row>
    <row r="1542" customFormat="false" ht="15" hidden="false" customHeight="false" outlineLevel="0" collapsed="false">
      <c r="F1542" s="41" t="str">
        <f aca="false">IF(C1542="","",IFERROR(IF(ISNUMBER(SEARCH(Assumptions!$C$5,C1542)),Assumptions!$D$5,IF(ISNUMBER(SEARCH(Assumptions!$C$6,C1542)),Assumptions!$D$6,IF(ISNUMBER(SEARCH(Assumptions!$C$7,C1542)),Assumptions!$D$7,"Other Services"))),"Other Services"))</f>
        <v/>
      </c>
    </row>
    <row r="1543" customFormat="false" ht="15" hidden="false" customHeight="false" outlineLevel="0" collapsed="false">
      <c r="F1543" s="41" t="str">
        <f aca="false">IF(C1543="","",IFERROR(IF(ISNUMBER(SEARCH(Assumptions!$C$5,C1543)),Assumptions!$D$5,IF(ISNUMBER(SEARCH(Assumptions!$C$6,C1543)),Assumptions!$D$6,IF(ISNUMBER(SEARCH(Assumptions!$C$7,C1543)),Assumptions!$D$7,"Other Services"))),"Other Services"))</f>
        <v/>
      </c>
    </row>
    <row r="1544" customFormat="false" ht="15" hidden="false" customHeight="false" outlineLevel="0" collapsed="false">
      <c r="F1544" s="41" t="str">
        <f aca="false">IF(C1544="","",IFERROR(IF(ISNUMBER(SEARCH(Assumptions!$C$5,C1544)),Assumptions!$D$5,IF(ISNUMBER(SEARCH(Assumptions!$C$6,C1544)),Assumptions!$D$6,IF(ISNUMBER(SEARCH(Assumptions!$C$7,C1544)),Assumptions!$D$7,"Other Services"))),"Other Services"))</f>
        <v/>
      </c>
    </row>
    <row r="1545" customFormat="false" ht="15" hidden="false" customHeight="false" outlineLevel="0" collapsed="false">
      <c r="F1545" s="41" t="str">
        <f aca="false">IF(C1545="","",IFERROR(IF(ISNUMBER(SEARCH(Assumptions!$C$5,C1545)),Assumptions!$D$5,IF(ISNUMBER(SEARCH(Assumptions!$C$6,C1545)),Assumptions!$D$6,IF(ISNUMBER(SEARCH(Assumptions!$C$7,C1545)),Assumptions!$D$7,"Other Services"))),"Other Services"))</f>
        <v/>
      </c>
    </row>
    <row r="1546" customFormat="false" ht="15" hidden="false" customHeight="false" outlineLevel="0" collapsed="false">
      <c r="F1546" s="41" t="str">
        <f aca="false">IF(C1546="","",IFERROR(IF(ISNUMBER(SEARCH(Assumptions!$C$5,C1546)),Assumptions!$D$5,IF(ISNUMBER(SEARCH(Assumptions!$C$6,C1546)),Assumptions!$D$6,IF(ISNUMBER(SEARCH(Assumptions!$C$7,C1546)),Assumptions!$D$7,"Other Services"))),"Other Services"))</f>
        <v/>
      </c>
    </row>
    <row r="1547" customFormat="false" ht="15" hidden="false" customHeight="false" outlineLevel="0" collapsed="false">
      <c r="F1547" s="41" t="str">
        <f aca="false">IF(C1547="","",IFERROR(IF(ISNUMBER(SEARCH(Assumptions!$C$5,C1547)),Assumptions!$D$5,IF(ISNUMBER(SEARCH(Assumptions!$C$6,C1547)),Assumptions!$D$6,IF(ISNUMBER(SEARCH(Assumptions!$C$7,C1547)),Assumptions!$D$7,"Other Services"))),"Other Services"))</f>
        <v/>
      </c>
    </row>
    <row r="1548" customFormat="false" ht="15" hidden="false" customHeight="false" outlineLevel="0" collapsed="false">
      <c r="F1548" s="41" t="str">
        <f aca="false">IF(C1548="","",IFERROR(IF(ISNUMBER(SEARCH(Assumptions!$C$5,C1548)),Assumptions!$D$5,IF(ISNUMBER(SEARCH(Assumptions!$C$6,C1548)),Assumptions!$D$6,IF(ISNUMBER(SEARCH(Assumptions!$C$7,C1548)),Assumptions!$D$7,"Other Services"))),"Other Services"))</f>
        <v/>
      </c>
    </row>
    <row r="1549" customFormat="false" ht="15" hidden="false" customHeight="false" outlineLevel="0" collapsed="false">
      <c r="F1549" s="41" t="str">
        <f aca="false">IF(C1549="","",IFERROR(IF(ISNUMBER(SEARCH(Assumptions!$C$5,C1549)),Assumptions!$D$5,IF(ISNUMBER(SEARCH(Assumptions!$C$6,C1549)),Assumptions!$D$6,IF(ISNUMBER(SEARCH(Assumptions!$C$7,C1549)),Assumptions!$D$7,"Other Services"))),"Other Services"))</f>
        <v/>
      </c>
    </row>
    <row r="1550" customFormat="false" ht="15" hidden="false" customHeight="false" outlineLevel="0" collapsed="false">
      <c r="F1550" s="41" t="str">
        <f aca="false">IF(C1550="","",IFERROR(IF(ISNUMBER(SEARCH(Assumptions!$C$5,C1550)),Assumptions!$D$5,IF(ISNUMBER(SEARCH(Assumptions!$C$6,C1550)),Assumptions!$D$6,IF(ISNUMBER(SEARCH(Assumptions!$C$7,C1550)),Assumptions!$D$7,"Other Services"))),"Other Services"))</f>
        <v/>
      </c>
    </row>
    <row r="1551" customFormat="false" ht="15" hidden="false" customHeight="false" outlineLevel="0" collapsed="false">
      <c r="F1551" s="41" t="str">
        <f aca="false">IF(C1551="","",IFERROR(IF(ISNUMBER(SEARCH(Assumptions!$C$5,C1551)),Assumptions!$D$5,IF(ISNUMBER(SEARCH(Assumptions!$C$6,C1551)),Assumptions!$D$6,IF(ISNUMBER(SEARCH(Assumptions!$C$7,C1551)),Assumptions!$D$7,"Other Services"))),"Other Services"))</f>
        <v/>
      </c>
    </row>
    <row r="1552" customFormat="false" ht="15" hidden="false" customHeight="false" outlineLevel="0" collapsed="false">
      <c r="F1552" s="41" t="str">
        <f aca="false">IF(C1552="","",IFERROR(IF(ISNUMBER(SEARCH(Assumptions!$C$5,C1552)),Assumptions!$D$5,IF(ISNUMBER(SEARCH(Assumptions!$C$6,C1552)),Assumptions!$D$6,IF(ISNUMBER(SEARCH(Assumptions!$C$7,C1552)),Assumptions!$D$7,"Other Services"))),"Other Services"))</f>
        <v/>
      </c>
    </row>
    <row r="1553" customFormat="false" ht="15" hidden="false" customHeight="false" outlineLevel="0" collapsed="false">
      <c r="F1553" s="41" t="str">
        <f aca="false">IF(C1553="","",IFERROR(IF(ISNUMBER(SEARCH(Assumptions!$C$5,C1553)),Assumptions!$D$5,IF(ISNUMBER(SEARCH(Assumptions!$C$6,C1553)),Assumptions!$D$6,IF(ISNUMBER(SEARCH(Assumptions!$C$7,C1553)),Assumptions!$D$7,"Other Services"))),"Other Services"))</f>
        <v/>
      </c>
    </row>
    <row r="1554" customFormat="false" ht="15" hidden="false" customHeight="false" outlineLevel="0" collapsed="false">
      <c r="F1554" s="41" t="str">
        <f aca="false">IF(C1554="","",IFERROR(IF(ISNUMBER(SEARCH(Assumptions!$C$5,C1554)),Assumptions!$D$5,IF(ISNUMBER(SEARCH(Assumptions!$C$6,C1554)),Assumptions!$D$6,IF(ISNUMBER(SEARCH(Assumptions!$C$7,C1554)),Assumptions!$D$7,"Other Services"))),"Other Services"))</f>
        <v/>
      </c>
    </row>
    <row r="1555" customFormat="false" ht="15" hidden="false" customHeight="false" outlineLevel="0" collapsed="false">
      <c r="F1555" s="41" t="str">
        <f aca="false">IF(C1555="","",IFERROR(IF(ISNUMBER(SEARCH(Assumptions!$C$5,C1555)),Assumptions!$D$5,IF(ISNUMBER(SEARCH(Assumptions!$C$6,C1555)),Assumptions!$D$6,IF(ISNUMBER(SEARCH(Assumptions!$C$7,C1555)),Assumptions!$D$7,"Other Services"))),"Other Services"))</f>
        <v/>
      </c>
    </row>
    <row r="1556" customFormat="false" ht="15" hidden="false" customHeight="false" outlineLevel="0" collapsed="false">
      <c r="F1556" s="41" t="str">
        <f aca="false">IF(C1556="","",IFERROR(IF(ISNUMBER(SEARCH(Assumptions!$C$5,C1556)),Assumptions!$D$5,IF(ISNUMBER(SEARCH(Assumptions!$C$6,C1556)),Assumptions!$D$6,IF(ISNUMBER(SEARCH(Assumptions!$C$7,C1556)),Assumptions!$D$7,"Other Services"))),"Other Services"))</f>
        <v/>
      </c>
    </row>
    <row r="1557" customFormat="false" ht="15" hidden="false" customHeight="false" outlineLevel="0" collapsed="false">
      <c r="F1557" s="41" t="str">
        <f aca="false">IF(C1557="","",IFERROR(IF(ISNUMBER(SEARCH(Assumptions!$C$5,C1557)),Assumptions!$D$5,IF(ISNUMBER(SEARCH(Assumptions!$C$6,C1557)),Assumptions!$D$6,IF(ISNUMBER(SEARCH(Assumptions!$C$7,C1557)),Assumptions!$D$7,"Other Services"))),"Other Services"))</f>
        <v/>
      </c>
    </row>
    <row r="1558" customFormat="false" ht="15" hidden="false" customHeight="false" outlineLevel="0" collapsed="false">
      <c r="F1558" s="41" t="str">
        <f aca="false">IF(C1558="","",IFERROR(IF(ISNUMBER(SEARCH(Assumptions!$C$5,C1558)),Assumptions!$D$5,IF(ISNUMBER(SEARCH(Assumptions!$C$6,C1558)),Assumptions!$D$6,IF(ISNUMBER(SEARCH(Assumptions!$C$7,C1558)),Assumptions!$D$7,"Other Services"))),"Other Services"))</f>
        <v/>
      </c>
    </row>
    <row r="1559" customFormat="false" ht="15" hidden="false" customHeight="false" outlineLevel="0" collapsed="false">
      <c r="F1559" s="41" t="str">
        <f aca="false">IF(C1559="","",IFERROR(IF(ISNUMBER(SEARCH(Assumptions!$C$5,C1559)),Assumptions!$D$5,IF(ISNUMBER(SEARCH(Assumptions!$C$6,C1559)),Assumptions!$D$6,IF(ISNUMBER(SEARCH(Assumptions!$C$7,C1559)),Assumptions!$D$7,"Other Services"))),"Other Services"))</f>
        <v/>
      </c>
    </row>
    <row r="1560" customFormat="false" ht="15" hidden="false" customHeight="false" outlineLevel="0" collapsed="false">
      <c r="F1560" s="41" t="str">
        <f aca="false">IF(C1560="","",IFERROR(IF(ISNUMBER(SEARCH(Assumptions!$C$5,C1560)),Assumptions!$D$5,IF(ISNUMBER(SEARCH(Assumptions!$C$6,C1560)),Assumptions!$D$6,IF(ISNUMBER(SEARCH(Assumptions!$C$7,C1560)),Assumptions!$D$7,"Other Services"))),"Other Services"))</f>
        <v/>
      </c>
    </row>
    <row r="1561" customFormat="false" ht="15" hidden="false" customHeight="false" outlineLevel="0" collapsed="false">
      <c r="F1561" s="41" t="str">
        <f aca="false">IF(C1561="","",IFERROR(IF(ISNUMBER(SEARCH(Assumptions!$C$5,C1561)),Assumptions!$D$5,IF(ISNUMBER(SEARCH(Assumptions!$C$6,C1561)),Assumptions!$D$6,IF(ISNUMBER(SEARCH(Assumptions!$C$7,C1561)),Assumptions!$D$7,"Other Services"))),"Other Services"))</f>
        <v/>
      </c>
    </row>
    <row r="1562" customFormat="false" ht="15" hidden="false" customHeight="false" outlineLevel="0" collapsed="false">
      <c r="F1562" s="41" t="str">
        <f aca="false">IF(C1562="","",IFERROR(IF(ISNUMBER(SEARCH(Assumptions!$C$5,C1562)),Assumptions!$D$5,IF(ISNUMBER(SEARCH(Assumptions!$C$6,C1562)),Assumptions!$D$6,IF(ISNUMBER(SEARCH(Assumptions!$C$7,C1562)),Assumptions!$D$7,"Other Services"))),"Other Services"))</f>
        <v/>
      </c>
    </row>
    <row r="1563" customFormat="false" ht="15" hidden="false" customHeight="false" outlineLevel="0" collapsed="false">
      <c r="F1563" s="41" t="str">
        <f aca="false">IF(C1563="","",IFERROR(IF(ISNUMBER(SEARCH(Assumptions!$C$5,C1563)),Assumptions!$D$5,IF(ISNUMBER(SEARCH(Assumptions!$C$6,C1563)),Assumptions!$D$6,IF(ISNUMBER(SEARCH(Assumptions!$C$7,C1563)),Assumptions!$D$7,"Other Services"))),"Other Services"))</f>
        <v/>
      </c>
    </row>
    <row r="1564" customFormat="false" ht="15" hidden="false" customHeight="false" outlineLevel="0" collapsed="false">
      <c r="F1564" s="41" t="str">
        <f aca="false">IF(C1564="","",IFERROR(IF(ISNUMBER(SEARCH(Assumptions!$C$5,C1564)),Assumptions!$D$5,IF(ISNUMBER(SEARCH(Assumptions!$C$6,C1564)),Assumptions!$D$6,IF(ISNUMBER(SEARCH(Assumptions!$C$7,C1564)),Assumptions!$D$7,"Other Services"))),"Other Services"))</f>
        <v/>
      </c>
    </row>
    <row r="1565" customFormat="false" ht="15" hidden="false" customHeight="false" outlineLevel="0" collapsed="false">
      <c r="F1565" s="41" t="str">
        <f aca="false">IF(C1565="","",IFERROR(IF(ISNUMBER(SEARCH(Assumptions!$C$5,C1565)),Assumptions!$D$5,IF(ISNUMBER(SEARCH(Assumptions!$C$6,C1565)),Assumptions!$D$6,IF(ISNUMBER(SEARCH(Assumptions!$C$7,C1565)),Assumptions!$D$7,"Other Services"))),"Other Services"))</f>
        <v/>
      </c>
    </row>
    <row r="1566" customFormat="false" ht="15" hidden="false" customHeight="false" outlineLevel="0" collapsed="false">
      <c r="F1566" s="41" t="str">
        <f aca="false">IF(C1566="","",IFERROR(IF(ISNUMBER(SEARCH(Assumptions!$C$5,C1566)),Assumptions!$D$5,IF(ISNUMBER(SEARCH(Assumptions!$C$6,C1566)),Assumptions!$D$6,IF(ISNUMBER(SEARCH(Assumptions!$C$7,C1566)),Assumptions!$D$7,"Other Services"))),"Other Services"))</f>
        <v/>
      </c>
    </row>
    <row r="1567" customFormat="false" ht="15" hidden="false" customHeight="false" outlineLevel="0" collapsed="false">
      <c r="F1567" s="41" t="str">
        <f aca="false">IF(C1567="","",IFERROR(IF(ISNUMBER(SEARCH(Assumptions!$C$5,C1567)),Assumptions!$D$5,IF(ISNUMBER(SEARCH(Assumptions!$C$6,C1567)),Assumptions!$D$6,IF(ISNUMBER(SEARCH(Assumptions!$C$7,C1567)),Assumptions!$D$7,"Other Services"))),"Other Services"))</f>
        <v/>
      </c>
    </row>
    <row r="1568" customFormat="false" ht="15" hidden="false" customHeight="false" outlineLevel="0" collapsed="false">
      <c r="F1568" s="41" t="str">
        <f aca="false">IF(C1568="","",IFERROR(IF(ISNUMBER(SEARCH(Assumptions!$C$5,C1568)),Assumptions!$D$5,IF(ISNUMBER(SEARCH(Assumptions!$C$6,C1568)),Assumptions!$D$6,IF(ISNUMBER(SEARCH(Assumptions!$C$7,C1568)),Assumptions!$D$7,"Other Services"))),"Other Services"))</f>
        <v/>
      </c>
    </row>
    <row r="1569" customFormat="false" ht="15" hidden="false" customHeight="false" outlineLevel="0" collapsed="false">
      <c r="F1569" s="41" t="str">
        <f aca="false">IF(C1569="","",IFERROR(IF(ISNUMBER(SEARCH(Assumptions!$C$5,C1569)),Assumptions!$D$5,IF(ISNUMBER(SEARCH(Assumptions!$C$6,C1569)),Assumptions!$D$6,IF(ISNUMBER(SEARCH(Assumptions!$C$7,C1569)),Assumptions!$D$7,"Other Services"))),"Other Services"))</f>
        <v/>
      </c>
    </row>
    <row r="1570" customFormat="false" ht="15" hidden="false" customHeight="false" outlineLevel="0" collapsed="false">
      <c r="F1570" s="41" t="str">
        <f aca="false">IF(C1570="","",IFERROR(IF(ISNUMBER(SEARCH(Assumptions!$C$5,C1570)),Assumptions!$D$5,IF(ISNUMBER(SEARCH(Assumptions!$C$6,C1570)),Assumptions!$D$6,IF(ISNUMBER(SEARCH(Assumptions!$C$7,C1570)),Assumptions!$D$7,"Other Services"))),"Other Services"))</f>
        <v/>
      </c>
    </row>
    <row r="1571" customFormat="false" ht="15" hidden="false" customHeight="false" outlineLevel="0" collapsed="false">
      <c r="F1571" s="41" t="str">
        <f aca="false">IF(C1571="","",IFERROR(IF(ISNUMBER(SEARCH(Assumptions!$C$5,C1571)),Assumptions!$D$5,IF(ISNUMBER(SEARCH(Assumptions!$C$6,C1571)),Assumptions!$D$6,IF(ISNUMBER(SEARCH(Assumptions!$C$7,C1571)),Assumptions!$D$7,"Other Services"))),"Other Services"))</f>
        <v/>
      </c>
    </row>
    <row r="1572" customFormat="false" ht="15" hidden="false" customHeight="false" outlineLevel="0" collapsed="false">
      <c r="F1572" s="41" t="str">
        <f aca="false">IF(C1572="","",IFERROR(IF(ISNUMBER(SEARCH(Assumptions!$C$5,C1572)),Assumptions!$D$5,IF(ISNUMBER(SEARCH(Assumptions!$C$6,C1572)),Assumptions!$D$6,IF(ISNUMBER(SEARCH(Assumptions!$C$7,C1572)),Assumptions!$D$7,"Other Services"))),"Other Services"))</f>
        <v/>
      </c>
    </row>
    <row r="1573" customFormat="false" ht="15" hidden="false" customHeight="false" outlineLevel="0" collapsed="false">
      <c r="F1573" s="41" t="str">
        <f aca="false">IF(C1573="","",IFERROR(IF(ISNUMBER(SEARCH(Assumptions!$C$5,C1573)),Assumptions!$D$5,IF(ISNUMBER(SEARCH(Assumptions!$C$6,C1573)),Assumptions!$D$6,IF(ISNUMBER(SEARCH(Assumptions!$C$7,C1573)),Assumptions!$D$7,"Other Services"))),"Other Services"))</f>
        <v/>
      </c>
    </row>
    <row r="1574" customFormat="false" ht="15" hidden="false" customHeight="false" outlineLevel="0" collapsed="false">
      <c r="F1574" s="41" t="str">
        <f aca="false">IF(C1574="","",IFERROR(IF(ISNUMBER(SEARCH(Assumptions!$C$5,C1574)),Assumptions!$D$5,IF(ISNUMBER(SEARCH(Assumptions!$C$6,C1574)),Assumptions!$D$6,IF(ISNUMBER(SEARCH(Assumptions!$C$7,C1574)),Assumptions!$D$7,"Other Services"))),"Other Services"))</f>
        <v/>
      </c>
    </row>
    <row r="1575" customFormat="false" ht="15" hidden="false" customHeight="false" outlineLevel="0" collapsed="false">
      <c r="F1575" s="41" t="str">
        <f aca="false">IF(C1575="","",IFERROR(IF(ISNUMBER(SEARCH(Assumptions!$C$5,C1575)),Assumptions!$D$5,IF(ISNUMBER(SEARCH(Assumptions!$C$6,C1575)),Assumptions!$D$6,IF(ISNUMBER(SEARCH(Assumptions!$C$7,C1575)),Assumptions!$D$7,"Other Services"))),"Other Services"))</f>
        <v/>
      </c>
    </row>
    <row r="1576" customFormat="false" ht="15" hidden="false" customHeight="false" outlineLevel="0" collapsed="false">
      <c r="F1576" s="41" t="str">
        <f aca="false">IF(C1576="","",IFERROR(IF(ISNUMBER(SEARCH(Assumptions!$C$5,C1576)),Assumptions!$D$5,IF(ISNUMBER(SEARCH(Assumptions!$C$6,C1576)),Assumptions!$D$6,IF(ISNUMBER(SEARCH(Assumptions!$C$7,C1576)),Assumptions!$D$7,"Other Services"))),"Other Services"))</f>
        <v/>
      </c>
    </row>
    <row r="1577" customFormat="false" ht="15" hidden="false" customHeight="false" outlineLevel="0" collapsed="false">
      <c r="F1577" s="41" t="str">
        <f aca="false">IF(C1577="","",IFERROR(IF(ISNUMBER(SEARCH(Assumptions!$C$5,C1577)),Assumptions!$D$5,IF(ISNUMBER(SEARCH(Assumptions!$C$6,C1577)),Assumptions!$D$6,IF(ISNUMBER(SEARCH(Assumptions!$C$7,C1577)),Assumptions!$D$7,"Other Services"))),"Other Services"))</f>
        <v/>
      </c>
    </row>
    <row r="1578" customFormat="false" ht="15" hidden="false" customHeight="false" outlineLevel="0" collapsed="false">
      <c r="F1578" s="41" t="str">
        <f aca="false">IF(C1578="","",IFERROR(IF(ISNUMBER(SEARCH(Assumptions!$C$5,C1578)),Assumptions!$D$5,IF(ISNUMBER(SEARCH(Assumptions!$C$6,C1578)),Assumptions!$D$6,IF(ISNUMBER(SEARCH(Assumptions!$C$7,C1578)),Assumptions!$D$7,"Other Services"))),"Other Services"))</f>
        <v/>
      </c>
    </row>
    <row r="1579" customFormat="false" ht="15" hidden="false" customHeight="false" outlineLevel="0" collapsed="false">
      <c r="F1579" s="41" t="str">
        <f aca="false">IF(C1579="","",IFERROR(IF(ISNUMBER(SEARCH(Assumptions!$C$5,C1579)),Assumptions!$D$5,IF(ISNUMBER(SEARCH(Assumptions!$C$6,C1579)),Assumptions!$D$6,IF(ISNUMBER(SEARCH(Assumptions!$C$7,C1579)),Assumptions!$D$7,"Other Services"))),"Other Services"))</f>
        <v/>
      </c>
    </row>
    <row r="1580" customFormat="false" ht="15" hidden="false" customHeight="false" outlineLevel="0" collapsed="false">
      <c r="F1580" s="41" t="str">
        <f aca="false">IF(C1580="","",IFERROR(IF(ISNUMBER(SEARCH(Assumptions!$C$5,C1580)),Assumptions!$D$5,IF(ISNUMBER(SEARCH(Assumptions!$C$6,C1580)),Assumptions!$D$6,IF(ISNUMBER(SEARCH(Assumptions!$C$7,C1580)),Assumptions!$D$7,"Other Services"))),"Other Services"))</f>
        <v/>
      </c>
    </row>
    <row r="1581" customFormat="false" ht="15" hidden="false" customHeight="false" outlineLevel="0" collapsed="false">
      <c r="F1581" s="41" t="str">
        <f aca="false">IF(C1581="","",IFERROR(IF(ISNUMBER(SEARCH(Assumptions!$C$5,C1581)),Assumptions!$D$5,IF(ISNUMBER(SEARCH(Assumptions!$C$6,C1581)),Assumptions!$D$6,IF(ISNUMBER(SEARCH(Assumptions!$C$7,C1581)),Assumptions!$D$7,"Other Services"))),"Other Services"))</f>
        <v/>
      </c>
    </row>
    <row r="1582" customFormat="false" ht="15" hidden="false" customHeight="false" outlineLevel="0" collapsed="false">
      <c r="F1582" s="41" t="str">
        <f aca="false">IF(C1582="","",IFERROR(IF(ISNUMBER(SEARCH(Assumptions!$C$5,C1582)),Assumptions!$D$5,IF(ISNUMBER(SEARCH(Assumptions!$C$6,C1582)),Assumptions!$D$6,IF(ISNUMBER(SEARCH(Assumptions!$C$7,C1582)),Assumptions!$D$7,"Other Services"))),"Other Services"))</f>
        <v/>
      </c>
    </row>
    <row r="1583" customFormat="false" ht="15" hidden="false" customHeight="false" outlineLevel="0" collapsed="false">
      <c r="F1583" s="41" t="str">
        <f aca="false">IF(C1583="","",IFERROR(IF(ISNUMBER(SEARCH(Assumptions!$C$5,C1583)),Assumptions!$D$5,IF(ISNUMBER(SEARCH(Assumptions!$C$6,C1583)),Assumptions!$D$6,IF(ISNUMBER(SEARCH(Assumptions!$C$7,C1583)),Assumptions!$D$7,"Other Services"))),"Other Services"))</f>
        <v/>
      </c>
    </row>
    <row r="1584" customFormat="false" ht="15" hidden="false" customHeight="false" outlineLevel="0" collapsed="false">
      <c r="F1584" s="41" t="str">
        <f aca="false">IF(C1584="","",IFERROR(IF(ISNUMBER(SEARCH(Assumptions!$C$5,C1584)),Assumptions!$D$5,IF(ISNUMBER(SEARCH(Assumptions!$C$6,C1584)),Assumptions!$D$6,IF(ISNUMBER(SEARCH(Assumptions!$C$7,C1584)),Assumptions!$D$7,"Other Services"))),"Other Services"))</f>
        <v/>
      </c>
    </row>
    <row r="1585" customFormat="false" ht="15" hidden="false" customHeight="false" outlineLevel="0" collapsed="false">
      <c r="F1585" s="41" t="str">
        <f aca="false">IF(C1585="","",IFERROR(IF(ISNUMBER(SEARCH(Assumptions!$C$5,C1585)),Assumptions!$D$5,IF(ISNUMBER(SEARCH(Assumptions!$C$6,C1585)),Assumptions!$D$6,IF(ISNUMBER(SEARCH(Assumptions!$C$7,C1585)),Assumptions!$D$7,"Other Services"))),"Other Services"))</f>
        <v/>
      </c>
    </row>
    <row r="1586" customFormat="false" ht="15" hidden="false" customHeight="false" outlineLevel="0" collapsed="false">
      <c r="F1586" s="41" t="str">
        <f aca="false">IF(C1586="","",IFERROR(IF(ISNUMBER(SEARCH(Assumptions!$C$5,C1586)),Assumptions!$D$5,IF(ISNUMBER(SEARCH(Assumptions!$C$6,C1586)),Assumptions!$D$6,IF(ISNUMBER(SEARCH(Assumptions!$C$7,C1586)),Assumptions!$D$7,"Other Services"))),"Other Services"))</f>
        <v/>
      </c>
    </row>
    <row r="1587" customFormat="false" ht="15" hidden="false" customHeight="false" outlineLevel="0" collapsed="false">
      <c r="F1587" s="41" t="str">
        <f aca="false">IF(C1587="","",IFERROR(IF(ISNUMBER(SEARCH(Assumptions!$C$5,C1587)),Assumptions!$D$5,IF(ISNUMBER(SEARCH(Assumptions!$C$6,C1587)),Assumptions!$D$6,IF(ISNUMBER(SEARCH(Assumptions!$C$7,C1587)),Assumptions!$D$7,"Other Services"))),"Other Services"))</f>
        <v/>
      </c>
    </row>
    <row r="1588" customFormat="false" ht="15" hidden="false" customHeight="false" outlineLevel="0" collapsed="false">
      <c r="F1588" s="41" t="str">
        <f aca="false">IF(C1588="","",IFERROR(IF(ISNUMBER(SEARCH(Assumptions!$C$5,C1588)),Assumptions!$D$5,IF(ISNUMBER(SEARCH(Assumptions!$C$6,C1588)),Assumptions!$D$6,IF(ISNUMBER(SEARCH(Assumptions!$C$7,C1588)),Assumptions!$D$7,"Other Services"))),"Other Services"))</f>
        <v/>
      </c>
    </row>
    <row r="1589" customFormat="false" ht="15" hidden="false" customHeight="false" outlineLevel="0" collapsed="false">
      <c r="F1589" s="41" t="str">
        <f aca="false">IF(C1589="","",IFERROR(IF(ISNUMBER(SEARCH(Assumptions!$C$5,C1589)),Assumptions!$D$5,IF(ISNUMBER(SEARCH(Assumptions!$C$6,C1589)),Assumptions!$D$6,IF(ISNUMBER(SEARCH(Assumptions!$C$7,C1589)),Assumptions!$D$7,"Other Services"))),"Other Services"))</f>
        <v/>
      </c>
    </row>
    <row r="1590" customFormat="false" ht="15" hidden="false" customHeight="false" outlineLevel="0" collapsed="false">
      <c r="F1590" s="41" t="str">
        <f aca="false">IF(C1590="","",IFERROR(IF(ISNUMBER(SEARCH(Assumptions!$C$5,C1590)),Assumptions!$D$5,IF(ISNUMBER(SEARCH(Assumptions!$C$6,C1590)),Assumptions!$D$6,IF(ISNUMBER(SEARCH(Assumptions!$C$7,C1590)),Assumptions!$D$7,"Other Services"))),"Other Services"))</f>
        <v/>
      </c>
    </row>
    <row r="1591" customFormat="false" ht="15" hidden="false" customHeight="false" outlineLevel="0" collapsed="false">
      <c r="F1591" s="41" t="str">
        <f aca="false">IF(C1591="","",IFERROR(IF(ISNUMBER(SEARCH(Assumptions!$C$5,C1591)),Assumptions!$D$5,IF(ISNUMBER(SEARCH(Assumptions!$C$6,C1591)),Assumptions!$D$6,IF(ISNUMBER(SEARCH(Assumptions!$C$7,C1591)),Assumptions!$D$7,"Other Services"))),"Other Services"))</f>
        <v/>
      </c>
    </row>
    <row r="1592" customFormat="false" ht="15" hidden="false" customHeight="false" outlineLevel="0" collapsed="false">
      <c r="F1592" s="41" t="str">
        <f aca="false">IF(C1592="","",IFERROR(IF(ISNUMBER(SEARCH(Assumptions!$C$5,C1592)),Assumptions!$D$5,IF(ISNUMBER(SEARCH(Assumptions!$C$6,C1592)),Assumptions!$D$6,IF(ISNUMBER(SEARCH(Assumptions!$C$7,C1592)),Assumptions!$D$7,"Other Services"))),"Other Services"))</f>
        <v/>
      </c>
    </row>
    <row r="1593" customFormat="false" ht="15" hidden="false" customHeight="false" outlineLevel="0" collapsed="false">
      <c r="F1593" s="41" t="str">
        <f aca="false">IF(C1593="","",IFERROR(IF(ISNUMBER(SEARCH(Assumptions!$C$5,C1593)),Assumptions!$D$5,IF(ISNUMBER(SEARCH(Assumptions!$C$6,C1593)),Assumptions!$D$6,IF(ISNUMBER(SEARCH(Assumptions!$C$7,C1593)),Assumptions!$D$7,"Other Services"))),"Other Services"))</f>
        <v/>
      </c>
    </row>
    <row r="1594" customFormat="false" ht="15" hidden="false" customHeight="false" outlineLevel="0" collapsed="false">
      <c r="F1594" s="41" t="str">
        <f aca="false">IF(C1594="","",IFERROR(IF(ISNUMBER(SEARCH(Assumptions!$C$5,C1594)),Assumptions!$D$5,IF(ISNUMBER(SEARCH(Assumptions!$C$6,C1594)),Assumptions!$D$6,IF(ISNUMBER(SEARCH(Assumptions!$C$7,C1594)),Assumptions!$D$7,"Other Services"))),"Other Services"))</f>
        <v/>
      </c>
    </row>
    <row r="1595" customFormat="false" ht="15" hidden="false" customHeight="false" outlineLevel="0" collapsed="false">
      <c r="F1595" s="41" t="str">
        <f aca="false">IF(C1595="","",IFERROR(IF(ISNUMBER(SEARCH(Assumptions!$C$5,C1595)),Assumptions!$D$5,IF(ISNUMBER(SEARCH(Assumptions!$C$6,C1595)),Assumptions!$D$6,IF(ISNUMBER(SEARCH(Assumptions!$C$7,C1595)),Assumptions!$D$7,"Other Services"))),"Other Services"))</f>
        <v/>
      </c>
    </row>
    <row r="1596" customFormat="false" ht="15" hidden="false" customHeight="false" outlineLevel="0" collapsed="false">
      <c r="F1596" s="41" t="str">
        <f aca="false">IF(C1596="","",IFERROR(IF(ISNUMBER(SEARCH(Assumptions!$C$5,C1596)),Assumptions!$D$5,IF(ISNUMBER(SEARCH(Assumptions!$C$6,C1596)),Assumptions!$D$6,IF(ISNUMBER(SEARCH(Assumptions!$C$7,C1596)),Assumptions!$D$7,"Other Services"))),"Other Services"))</f>
        <v/>
      </c>
    </row>
    <row r="1597" customFormat="false" ht="15" hidden="false" customHeight="false" outlineLevel="0" collapsed="false">
      <c r="F1597" s="41" t="str">
        <f aca="false">IF(C1597="","",IFERROR(IF(ISNUMBER(SEARCH(Assumptions!$C$5,C1597)),Assumptions!$D$5,IF(ISNUMBER(SEARCH(Assumptions!$C$6,C1597)),Assumptions!$D$6,IF(ISNUMBER(SEARCH(Assumptions!$C$7,C1597)),Assumptions!$D$7,"Other Services"))),"Other Services"))</f>
        <v/>
      </c>
    </row>
    <row r="1598" customFormat="false" ht="15" hidden="false" customHeight="false" outlineLevel="0" collapsed="false">
      <c r="F1598" s="41" t="str">
        <f aca="false">IF(C1598="","",IFERROR(IF(ISNUMBER(SEARCH(Assumptions!$C$5,C1598)),Assumptions!$D$5,IF(ISNUMBER(SEARCH(Assumptions!$C$6,C1598)),Assumptions!$D$6,IF(ISNUMBER(SEARCH(Assumptions!$C$7,C1598)),Assumptions!$D$7,"Other Services"))),"Other Services"))</f>
        <v/>
      </c>
    </row>
    <row r="1599" customFormat="false" ht="15" hidden="false" customHeight="false" outlineLevel="0" collapsed="false">
      <c r="F1599" s="41" t="str">
        <f aca="false">IF(C1599="","",IFERROR(IF(ISNUMBER(SEARCH(Assumptions!$C$5,C1599)),Assumptions!$D$5,IF(ISNUMBER(SEARCH(Assumptions!$C$6,C1599)),Assumptions!$D$6,IF(ISNUMBER(SEARCH(Assumptions!$C$7,C1599)),Assumptions!$D$7,"Other Services"))),"Other Services"))</f>
        <v/>
      </c>
    </row>
    <row r="1600" customFormat="false" ht="15" hidden="false" customHeight="false" outlineLevel="0" collapsed="false">
      <c r="F1600" s="41" t="str">
        <f aca="false">IF(C1600="","",IFERROR(IF(ISNUMBER(SEARCH(Assumptions!$C$5,C1600)),Assumptions!$D$5,IF(ISNUMBER(SEARCH(Assumptions!$C$6,C1600)),Assumptions!$D$6,IF(ISNUMBER(SEARCH(Assumptions!$C$7,C1600)),Assumptions!$D$7,"Other Services"))),"Other Services"))</f>
        <v/>
      </c>
    </row>
    <row r="1601" customFormat="false" ht="15" hidden="false" customHeight="false" outlineLevel="0" collapsed="false">
      <c r="F1601" s="41" t="str">
        <f aca="false">IF(C1601="","",IFERROR(IF(ISNUMBER(SEARCH(Assumptions!$C$5,C1601)),Assumptions!$D$5,IF(ISNUMBER(SEARCH(Assumptions!$C$6,C1601)),Assumptions!$D$6,IF(ISNUMBER(SEARCH(Assumptions!$C$7,C1601)),Assumptions!$D$7,"Other Services"))),"Other Services"))</f>
        <v/>
      </c>
    </row>
    <row r="1602" customFormat="false" ht="15" hidden="false" customHeight="false" outlineLevel="0" collapsed="false">
      <c r="F1602" s="41" t="str">
        <f aca="false">IF(C1602="","",IFERROR(IF(ISNUMBER(SEARCH(Assumptions!$C$5,C1602)),Assumptions!$D$5,IF(ISNUMBER(SEARCH(Assumptions!$C$6,C1602)),Assumptions!$D$6,IF(ISNUMBER(SEARCH(Assumptions!$C$7,C1602)),Assumptions!$D$7,"Other Services"))),"Other Services"))</f>
        <v/>
      </c>
    </row>
    <row r="1603" customFormat="false" ht="15" hidden="false" customHeight="false" outlineLevel="0" collapsed="false">
      <c r="F1603" s="41" t="str">
        <f aca="false">IF(C1603="","",IFERROR(IF(ISNUMBER(SEARCH(Assumptions!$C$5,C1603)),Assumptions!$D$5,IF(ISNUMBER(SEARCH(Assumptions!$C$6,C1603)),Assumptions!$D$6,IF(ISNUMBER(SEARCH(Assumptions!$C$7,C1603)),Assumptions!$D$7,"Other Services"))),"Other Services"))</f>
        <v/>
      </c>
    </row>
    <row r="1604" customFormat="false" ht="15" hidden="false" customHeight="false" outlineLevel="0" collapsed="false">
      <c r="F1604" s="41" t="str">
        <f aca="false">IF(C1604="","",IFERROR(IF(ISNUMBER(SEARCH(Assumptions!$C$5,C1604)),Assumptions!$D$5,IF(ISNUMBER(SEARCH(Assumptions!$C$6,C1604)),Assumptions!$D$6,IF(ISNUMBER(SEARCH(Assumptions!$C$7,C1604)),Assumptions!$D$7,"Other Services"))),"Other Services"))</f>
        <v/>
      </c>
    </row>
    <row r="1605" customFormat="false" ht="15" hidden="false" customHeight="false" outlineLevel="0" collapsed="false">
      <c r="F1605" s="41" t="str">
        <f aca="false">IF(C1605="","",IFERROR(IF(ISNUMBER(SEARCH(Assumptions!$C$5,C1605)),Assumptions!$D$5,IF(ISNUMBER(SEARCH(Assumptions!$C$6,C1605)),Assumptions!$D$6,IF(ISNUMBER(SEARCH(Assumptions!$C$7,C1605)),Assumptions!$D$7,"Other Services"))),"Other Services"))</f>
        <v/>
      </c>
    </row>
    <row r="1606" customFormat="false" ht="15" hidden="false" customHeight="false" outlineLevel="0" collapsed="false">
      <c r="F1606" s="41" t="str">
        <f aca="false">IF(C1606="","",IFERROR(IF(ISNUMBER(SEARCH(Assumptions!$C$5,C1606)),Assumptions!$D$5,IF(ISNUMBER(SEARCH(Assumptions!$C$6,C1606)),Assumptions!$D$6,IF(ISNUMBER(SEARCH(Assumptions!$C$7,C1606)),Assumptions!$D$7,"Other Services"))),"Other Services"))</f>
        <v/>
      </c>
    </row>
    <row r="1607" customFormat="false" ht="15" hidden="false" customHeight="false" outlineLevel="0" collapsed="false">
      <c r="F1607" s="41" t="str">
        <f aca="false">IF(C1607="","",IFERROR(IF(ISNUMBER(SEARCH(Assumptions!$C$5,C1607)),Assumptions!$D$5,IF(ISNUMBER(SEARCH(Assumptions!$C$6,C1607)),Assumptions!$D$6,IF(ISNUMBER(SEARCH(Assumptions!$C$7,C1607)),Assumptions!$D$7,"Other Services"))),"Other Services"))</f>
        <v/>
      </c>
    </row>
    <row r="1608" customFormat="false" ht="15" hidden="false" customHeight="false" outlineLevel="0" collapsed="false">
      <c r="F1608" s="41" t="str">
        <f aca="false">IF(C1608="","",IFERROR(IF(ISNUMBER(SEARCH(Assumptions!$C$5,C1608)),Assumptions!$D$5,IF(ISNUMBER(SEARCH(Assumptions!$C$6,C1608)),Assumptions!$D$6,IF(ISNUMBER(SEARCH(Assumptions!$C$7,C1608)),Assumptions!$D$7,"Other Services"))),"Other Services"))</f>
        <v/>
      </c>
    </row>
    <row r="1609" customFormat="false" ht="15" hidden="false" customHeight="false" outlineLevel="0" collapsed="false">
      <c r="F1609" s="41" t="str">
        <f aca="false">IF(C1609="","",IFERROR(IF(ISNUMBER(SEARCH(Assumptions!$C$5,C1609)),Assumptions!$D$5,IF(ISNUMBER(SEARCH(Assumptions!$C$6,C1609)),Assumptions!$D$6,IF(ISNUMBER(SEARCH(Assumptions!$C$7,C1609)),Assumptions!$D$7,"Other Services"))),"Other Services"))</f>
        <v/>
      </c>
    </row>
    <row r="1610" customFormat="false" ht="15" hidden="false" customHeight="false" outlineLevel="0" collapsed="false">
      <c r="F1610" s="41" t="str">
        <f aca="false">IF(C1610="","",IFERROR(IF(ISNUMBER(SEARCH(Assumptions!$C$5,C1610)),Assumptions!$D$5,IF(ISNUMBER(SEARCH(Assumptions!$C$6,C1610)),Assumptions!$D$6,IF(ISNUMBER(SEARCH(Assumptions!$C$7,C1610)),Assumptions!$D$7,"Other Services"))),"Other Services"))</f>
        <v/>
      </c>
    </row>
    <row r="1611" customFormat="false" ht="15" hidden="false" customHeight="false" outlineLevel="0" collapsed="false">
      <c r="F1611" s="41" t="str">
        <f aca="false">IF(C1611="","",IFERROR(IF(ISNUMBER(SEARCH(Assumptions!$C$5,C1611)),Assumptions!$D$5,IF(ISNUMBER(SEARCH(Assumptions!$C$6,C1611)),Assumptions!$D$6,IF(ISNUMBER(SEARCH(Assumptions!$C$7,C1611)),Assumptions!$D$7,"Other Services"))),"Other Services"))</f>
        <v/>
      </c>
    </row>
    <row r="1612" customFormat="false" ht="15" hidden="false" customHeight="false" outlineLevel="0" collapsed="false">
      <c r="F1612" s="41" t="str">
        <f aca="false">IF(C1612="","",IFERROR(IF(ISNUMBER(SEARCH(Assumptions!$C$5,C1612)),Assumptions!$D$5,IF(ISNUMBER(SEARCH(Assumptions!$C$6,C1612)),Assumptions!$D$6,IF(ISNUMBER(SEARCH(Assumptions!$C$7,C1612)),Assumptions!$D$7,"Other Services"))),"Other Services"))</f>
        <v/>
      </c>
    </row>
    <row r="1613" customFormat="false" ht="15" hidden="false" customHeight="false" outlineLevel="0" collapsed="false">
      <c r="F1613" s="41" t="str">
        <f aca="false">IF(C1613="","",IFERROR(IF(ISNUMBER(SEARCH(Assumptions!$C$5,C1613)),Assumptions!$D$5,IF(ISNUMBER(SEARCH(Assumptions!$C$6,C1613)),Assumptions!$D$6,IF(ISNUMBER(SEARCH(Assumptions!$C$7,C1613)),Assumptions!$D$7,"Other Services"))),"Other Services"))</f>
        <v/>
      </c>
    </row>
    <row r="1614" customFormat="false" ht="15" hidden="false" customHeight="false" outlineLevel="0" collapsed="false">
      <c r="F1614" s="41" t="str">
        <f aca="false">IF(C1614="","",IFERROR(IF(ISNUMBER(SEARCH(Assumptions!$C$5,C1614)),Assumptions!$D$5,IF(ISNUMBER(SEARCH(Assumptions!$C$6,C1614)),Assumptions!$D$6,IF(ISNUMBER(SEARCH(Assumptions!$C$7,C1614)),Assumptions!$D$7,"Other Services"))),"Other Services"))</f>
        <v/>
      </c>
    </row>
    <row r="1615" customFormat="false" ht="15" hidden="false" customHeight="false" outlineLevel="0" collapsed="false">
      <c r="F1615" s="41" t="str">
        <f aca="false">IF(C1615="","",IFERROR(IF(ISNUMBER(SEARCH(Assumptions!$C$5,C1615)),Assumptions!$D$5,IF(ISNUMBER(SEARCH(Assumptions!$C$6,C1615)),Assumptions!$D$6,IF(ISNUMBER(SEARCH(Assumptions!$C$7,C1615)),Assumptions!$D$7,"Other Services"))),"Other Services"))</f>
        <v/>
      </c>
    </row>
    <row r="1616" customFormat="false" ht="15" hidden="false" customHeight="false" outlineLevel="0" collapsed="false">
      <c r="F1616" s="41" t="str">
        <f aca="false">IF(C1616="","",IFERROR(IF(ISNUMBER(SEARCH(Assumptions!$C$5,C1616)),Assumptions!$D$5,IF(ISNUMBER(SEARCH(Assumptions!$C$6,C1616)),Assumptions!$D$6,IF(ISNUMBER(SEARCH(Assumptions!$C$7,C1616)),Assumptions!$D$7,"Other Services"))),"Other Services"))</f>
        <v/>
      </c>
    </row>
    <row r="1617" customFormat="false" ht="15" hidden="false" customHeight="false" outlineLevel="0" collapsed="false">
      <c r="F1617" s="41" t="str">
        <f aca="false">IF(C1617="","",IFERROR(IF(ISNUMBER(SEARCH(Assumptions!$C$5,C1617)),Assumptions!$D$5,IF(ISNUMBER(SEARCH(Assumptions!$C$6,C1617)),Assumptions!$D$6,IF(ISNUMBER(SEARCH(Assumptions!$C$7,C1617)),Assumptions!$D$7,"Other Services"))),"Other Services"))</f>
        <v/>
      </c>
    </row>
    <row r="1618" customFormat="false" ht="15" hidden="false" customHeight="false" outlineLevel="0" collapsed="false">
      <c r="F1618" s="41" t="str">
        <f aca="false">IF(C1618="","",IFERROR(IF(ISNUMBER(SEARCH(Assumptions!$C$5,C1618)),Assumptions!$D$5,IF(ISNUMBER(SEARCH(Assumptions!$C$6,C1618)),Assumptions!$D$6,IF(ISNUMBER(SEARCH(Assumptions!$C$7,C1618)),Assumptions!$D$7,"Other Services"))),"Other Services"))</f>
        <v/>
      </c>
    </row>
    <row r="1619" customFormat="false" ht="15" hidden="false" customHeight="false" outlineLevel="0" collapsed="false">
      <c r="F1619" s="41" t="str">
        <f aca="false">IF(C1619="","",IFERROR(IF(ISNUMBER(SEARCH(Assumptions!$C$5,C1619)),Assumptions!$D$5,IF(ISNUMBER(SEARCH(Assumptions!$C$6,C1619)),Assumptions!$D$6,IF(ISNUMBER(SEARCH(Assumptions!$C$7,C1619)),Assumptions!$D$7,"Other Services"))),"Other Services"))</f>
        <v/>
      </c>
    </row>
    <row r="1620" customFormat="false" ht="15" hidden="false" customHeight="false" outlineLevel="0" collapsed="false">
      <c r="F1620" s="41" t="str">
        <f aca="false">IF(C1620="","",IFERROR(IF(ISNUMBER(SEARCH(Assumptions!$C$5,C1620)),Assumptions!$D$5,IF(ISNUMBER(SEARCH(Assumptions!$C$6,C1620)),Assumptions!$D$6,IF(ISNUMBER(SEARCH(Assumptions!$C$7,C1620)),Assumptions!$D$7,"Other Services"))),"Other Services"))</f>
        <v/>
      </c>
    </row>
    <row r="1621" customFormat="false" ht="15" hidden="false" customHeight="false" outlineLevel="0" collapsed="false">
      <c r="F1621" s="41" t="str">
        <f aca="false">IF(C1621="","",IFERROR(IF(ISNUMBER(SEARCH(Assumptions!$C$5,C1621)),Assumptions!$D$5,IF(ISNUMBER(SEARCH(Assumptions!$C$6,C1621)),Assumptions!$D$6,IF(ISNUMBER(SEARCH(Assumptions!$C$7,C1621)),Assumptions!$D$7,"Other Services"))),"Other Services"))</f>
        <v/>
      </c>
    </row>
    <row r="1622" customFormat="false" ht="15" hidden="false" customHeight="false" outlineLevel="0" collapsed="false">
      <c r="F1622" s="41" t="str">
        <f aca="false">IF(C1622="","",IFERROR(IF(ISNUMBER(SEARCH(Assumptions!$C$5,C1622)),Assumptions!$D$5,IF(ISNUMBER(SEARCH(Assumptions!$C$6,C1622)),Assumptions!$D$6,IF(ISNUMBER(SEARCH(Assumptions!$C$7,C1622)),Assumptions!$D$7,"Other Services"))),"Other Services"))</f>
        <v/>
      </c>
    </row>
    <row r="1623" customFormat="false" ht="15" hidden="false" customHeight="false" outlineLevel="0" collapsed="false">
      <c r="F1623" s="41" t="str">
        <f aca="false">IF(C1623="","",IFERROR(IF(ISNUMBER(SEARCH(Assumptions!$C$5,C1623)),Assumptions!$D$5,IF(ISNUMBER(SEARCH(Assumptions!$C$6,C1623)),Assumptions!$D$6,IF(ISNUMBER(SEARCH(Assumptions!$C$7,C1623)),Assumptions!$D$7,"Other Services"))),"Other Services"))</f>
        <v/>
      </c>
    </row>
    <row r="1624" customFormat="false" ht="15" hidden="false" customHeight="false" outlineLevel="0" collapsed="false">
      <c r="F1624" s="41" t="str">
        <f aca="false">IF(C1624="","",IFERROR(IF(ISNUMBER(SEARCH(Assumptions!$C$5,C1624)),Assumptions!$D$5,IF(ISNUMBER(SEARCH(Assumptions!$C$6,C1624)),Assumptions!$D$6,IF(ISNUMBER(SEARCH(Assumptions!$C$7,C1624)),Assumptions!$D$7,"Other Services"))),"Other Services"))</f>
        <v/>
      </c>
    </row>
    <row r="1625" customFormat="false" ht="15" hidden="false" customHeight="false" outlineLevel="0" collapsed="false">
      <c r="F1625" s="41" t="str">
        <f aca="false">IF(C1625="","",IFERROR(IF(ISNUMBER(SEARCH(Assumptions!$C$5,C1625)),Assumptions!$D$5,IF(ISNUMBER(SEARCH(Assumptions!$C$6,C1625)),Assumptions!$D$6,IF(ISNUMBER(SEARCH(Assumptions!$C$7,C1625)),Assumptions!$D$7,"Other Services"))),"Other Services"))</f>
        <v/>
      </c>
    </row>
    <row r="1626" customFormat="false" ht="15" hidden="false" customHeight="false" outlineLevel="0" collapsed="false">
      <c r="F1626" s="41" t="str">
        <f aca="false">IF(C1626="","",IFERROR(IF(ISNUMBER(SEARCH(Assumptions!$C$5,C1626)),Assumptions!$D$5,IF(ISNUMBER(SEARCH(Assumptions!$C$6,C1626)),Assumptions!$D$6,IF(ISNUMBER(SEARCH(Assumptions!$C$7,C1626)),Assumptions!$D$7,"Other Services"))),"Other Services"))</f>
        <v/>
      </c>
    </row>
    <row r="1627" customFormat="false" ht="15" hidden="false" customHeight="false" outlineLevel="0" collapsed="false">
      <c r="F1627" s="41" t="str">
        <f aca="false">IF(C1627="","",IFERROR(IF(ISNUMBER(SEARCH(Assumptions!$C$5,C1627)),Assumptions!$D$5,IF(ISNUMBER(SEARCH(Assumptions!$C$6,C1627)),Assumptions!$D$6,IF(ISNUMBER(SEARCH(Assumptions!$C$7,C1627)),Assumptions!$D$7,"Other Services"))),"Other Services"))</f>
        <v/>
      </c>
    </row>
    <row r="1628" customFormat="false" ht="15" hidden="false" customHeight="false" outlineLevel="0" collapsed="false">
      <c r="F1628" s="41" t="str">
        <f aca="false">IF(C1628="","",IFERROR(IF(ISNUMBER(SEARCH(Assumptions!$C$5,C1628)),Assumptions!$D$5,IF(ISNUMBER(SEARCH(Assumptions!$C$6,C1628)),Assumptions!$D$6,IF(ISNUMBER(SEARCH(Assumptions!$C$7,C1628)),Assumptions!$D$7,"Other Services"))),"Other Services"))</f>
        <v/>
      </c>
    </row>
    <row r="1629" customFormat="false" ht="15" hidden="false" customHeight="false" outlineLevel="0" collapsed="false">
      <c r="F1629" s="41" t="str">
        <f aca="false">IF(C1629="","",IFERROR(IF(ISNUMBER(SEARCH(Assumptions!$C$5,C1629)),Assumptions!$D$5,IF(ISNUMBER(SEARCH(Assumptions!$C$6,C1629)),Assumptions!$D$6,IF(ISNUMBER(SEARCH(Assumptions!$C$7,C1629)),Assumptions!$D$7,"Other Services"))),"Other Services"))</f>
        <v/>
      </c>
    </row>
    <row r="1630" customFormat="false" ht="15" hidden="false" customHeight="false" outlineLevel="0" collapsed="false">
      <c r="F1630" s="41" t="str">
        <f aca="false">IF(C1630="","",IFERROR(IF(ISNUMBER(SEARCH(Assumptions!$C$5,C1630)),Assumptions!$D$5,IF(ISNUMBER(SEARCH(Assumptions!$C$6,C1630)),Assumptions!$D$6,IF(ISNUMBER(SEARCH(Assumptions!$C$7,C1630)),Assumptions!$D$7,"Other Services"))),"Other Services"))</f>
        <v/>
      </c>
    </row>
    <row r="1631" customFormat="false" ht="15" hidden="false" customHeight="false" outlineLevel="0" collapsed="false">
      <c r="F1631" s="41" t="str">
        <f aca="false">IF(C1631="","",IFERROR(IF(ISNUMBER(SEARCH(Assumptions!$C$5,C1631)),Assumptions!$D$5,IF(ISNUMBER(SEARCH(Assumptions!$C$6,C1631)),Assumptions!$D$6,IF(ISNUMBER(SEARCH(Assumptions!$C$7,C1631)),Assumptions!$D$7,"Other Services"))),"Other Services"))</f>
        <v/>
      </c>
    </row>
    <row r="1632" customFormat="false" ht="15" hidden="false" customHeight="false" outlineLevel="0" collapsed="false">
      <c r="F1632" s="41" t="str">
        <f aca="false">IF(C1632="","",IFERROR(IF(ISNUMBER(SEARCH(Assumptions!$C$5,C1632)),Assumptions!$D$5,IF(ISNUMBER(SEARCH(Assumptions!$C$6,C1632)),Assumptions!$D$6,IF(ISNUMBER(SEARCH(Assumptions!$C$7,C1632)),Assumptions!$D$7,"Other Services"))),"Other Services"))</f>
        <v/>
      </c>
    </row>
    <row r="1633" customFormat="false" ht="15" hidden="false" customHeight="false" outlineLevel="0" collapsed="false">
      <c r="F1633" s="41" t="str">
        <f aca="false">IF(C1633="","",IFERROR(IF(ISNUMBER(SEARCH(Assumptions!$C$5,C1633)),Assumptions!$D$5,IF(ISNUMBER(SEARCH(Assumptions!$C$6,C1633)),Assumptions!$D$6,IF(ISNUMBER(SEARCH(Assumptions!$C$7,C1633)),Assumptions!$D$7,"Other Services"))),"Other Services"))</f>
        <v/>
      </c>
    </row>
    <row r="1634" customFormat="false" ht="15" hidden="false" customHeight="false" outlineLevel="0" collapsed="false">
      <c r="F1634" s="41" t="str">
        <f aca="false">IF(C1634="","",IFERROR(IF(ISNUMBER(SEARCH(Assumptions!$C$5,C1634)),Assumptions!$D$5,IF(ISNUMBER(SEARCH(Assumptions!$C$6,C1634)),Assumptions!$D$6,IF(ISNUMBER(SEARCH(Assumptions!$C$7,C1634)),Assumptions!$D$7,"Other Services"))),"Other Services"))</f>
        <v/>
      </c>
    </row>
    <row r="1635" customFormat="false" ht="15" hidden="false" customHeight="false" outlineLevel="0" collapsed="false">
      <c r="F1635" s="41" t="str">
        <f aca="false">IF(C1635="","",IFERROR(IF(ISNUMBER(SEARCH(Assumptions!$C$5,C1635)),Assumptions!$D$5,IF(ISNUMBER(SEARCH(Assumptions!$C$6,C1635)),Assumptions!$D$6,IF(ISNUMBER(SEARCH(Assumptions!$C$7,C1635)),Assumptions!$D$7,"Other Services"))),"Other Services"))</f>
        <v/>
      </c>
    </row>
    <row r="1636" customFormat="false" ht="15" hidden="false" customHeight="false" outlineLevel="0" collapsed="false">
      <c r="F1636" s="41" t="str">
        <f aca="false">IF(C1636="","",IFERROR(IF(ISNUMBER(SEARCH(Assumptions!$C$5,C1636)),Assumptions!$D$5,IF(ISNUMBER(SEARCH(Assumptions!$C$6,C1636)),Assumptions!$D$6,IF(ISNUMBER(SEARCH(Assumptions!$C$7,C1636)),Assumptions!$D$7,"Other Services"))),"Other Services"))</f>
        <v/>
      </c>
    </row>
    <row r="1637" customFormat="false" ht="15" hidden="false" customHeight="false" outlineLevel="0" collapsed="false">
      <c r="F1637" s="41" t="str">
        <f aca="false">IF(C1637="","",IFERROR(IF(ISNUMBER(SEARCH(Assumptions!$C$5,C1637)),Assumptions!$D$5,IF(ISNUMBER(SEARCH(Assumptions!$C$6,C1637)),Assumptions!$D$6,IF(ISNUMBER(SEARCH(Assumptions!$C$7,C1637)),Assumptions!$D$7,"Other Services"))),"Other Services"))</f>
        <v/>
      </c>
    </row>
    <row r="1638" customFormat="false" ht="15" hidden="false" customHeight="false" outlineLevel="0" collapsed="false">
      <c r="F1638" s="41" t="str">
        <f aca="false">IF(C1638="","",IFERROR(IF(ISNUMBER(SEARCH(Assumptions!$C$5,C1638)),Assumptions!$D$5,IF(ISNUMBER(SEARCH(Assumptions!$C$6,C1638)),Assumptions!$D$6,IF(ISNUMBER(SEARCH(Assumptions!$C$7,C1638)),Assumptions!$D$7,"Other Services"))),"Other Services"))</f>
        <v/>
      </c>
    </row>
    <row r="1639" customFormat="false" ht="15" hidden="false" customHeight="false" outlineLevel="0" collapsed="false">
      <c r="F1639" s="41" t="str">
        <f aca="false">IF(C1639="","",IFERROR(IF(ISNUMBER(SEARCH(Assumptions!$C$5,C1639)),Assumptions!$D$5,IF(ISNUMBER(SEARCH(Assumptions!$C$6,C1639)),Assumptions!$D$6,IF(ISNUMBER(SEARCH(Assumptions!$C$7,C1639)),Assumptions!$D$7,"Other Services"))),"Other Services"))</f>
        <v/>
      </c>
    </row>
    <row r="1640" customFormat="false" ht="15" hidden="false" customHeight="false" outlineLevel="0" collapsed="false">
      <c r="F1640" s="41" t="str">
        <f aca="false">IF(C1640="","",IFERROR(IF(ISNUMBER(SEARCH(Assumptions!$C$5,C1640)),Assumptions!$D$5,IF(ISNUMBER(SEARCH(Assumptions!$C$6,C1640)),Assumptions!$D$6,IF(ISNUMBER(SEARCH(Assumptions!$C$7,C1640)),Assumptions!$D$7,"Other Services"))),"Other Services"))</f>
        <v/>
      </c>
    </row>
    <row r="1641" customFormat="false" ht="15" hidden="false" customHeight="false" outlineLevel="0" collapsed="false">
      <c r="F1641" s="41" t="str">
        <f aca="false">IF(C1641="","",IFERROR(IF(ISNUMBER(SEARCH(Assumptions!$C$5,C1641)),Assumptions!$D$5,IF(ISNUMBER(SEARCH(Assumptions!$C$6,C1641)),Assumptions!$D$6,IF(ISNUMBER(SEARCH(Assumptions!$C$7,C1641)),Assumptions!$D$7,"Other Services"))),"Other Services"))</f>
        <v/>
      </c>
    </row>
    <row r="1642" customFormat="false" ht="15" hidden="false" customHeight="false" outlineLevel="0" collapsed="false">
      <c r="F1642" s="41" t="str">
        <f aca="false">IF(C1642="","",IFERROR(IF(ISNUMBER(SEARCH(Assumptions!$C$5,C1642)),Assumptions!$D$5,IF(ISNUMBER(SEARCH(Assumptions!$C$6,C1642)),Assumptions!$D$6,IF(ISNUMBER(SEARCH(Assumptions!$C$7,C1642)),Assumptions!$D$7,"Other Services"))),"Other Services"))</f>
        <v/>
      </c>
    </row>
    <row r="1643" customFormat="false" ht="15" hidden="false" customHeight="false" outlineLevel="0" collapsed="false">
      <c r="F1643" s="41" t="str">
        <f aca="false">IF(C1643="","",IFERROR(IF(ISNUMBER(SEARCH(Assumptions!$C$5,C1643)),Assumptions!$D$5,IF(ISNUMBER(SEARCH(Assumptions!$C$6,C1643)),Assumptions!$D$6,IF(ISNUMBER(SEARCH(Assumptions!$C$7,C1643)),Assumptions!$D$7,"Other Services"))),"Other Services"))</f>
        <v/>
      </c>
    </row>
    <row r="1644" customFormat="false" ht="15" hidden="false" customHeight="false" outlineLevel="0" collapsed="false">
      <c r="F1644" s="41" t="str">
        <f aca="false">IF(C1644="","",IFERROR(IF(ISNUMBER(SEARCH(Assumptions!$C$5,C1644)),Assumptions!$D$5,IF(ISNUMBER(SEARCH(Assumptions!$C$6,C1644)),Assumptions!$D$6,IF(ISNUMBER(SEARCH(Assumptions!$C$7,C1644)),Assumptions!$D$7,"Other Services"))),"Other Services"))</f>
        <v/>
      </c>
    </row>
    <row r="1645" customFormat="false" ht="15" hidden="false" customHeight="false" outlineLevel="0" collapsed="false">
      <c r="F1645" s="41" t="str">
        <f aca="false">IF(C1645="","",IFERROR(IF(ISNUMBER(SEARCH(Assumptions!$C$5,C1645)),Assumptions!$D$5,IF(ISNUMBER(SEARCH(Assumptions!$C$6,C1645)),Assumptions!$D$6,IF(ISNUMBER(SEARCH(Assumptions!$C$7,C1645)),Assumptions!$D$7,"Other Services"))),"Other Services"))</f>
        <v/>
      </c>
    </row>
    <row r="1646" customFormat="false" ht="15" hidden="false" customHeight="false" outlineLevel="0" collapsed="false">
      <c r="F1646" s="41" t="str">
        <f aca="false">IF(C1646="","",IFERROR(IF(ISNUMBER(SEARCH(Assumptions!$C$5,C1646)),Assumptions!$D$5,IF(ISNUMBER(SEARCH(Assumptions!$C$6,C1646)),Assumptions!$D$6,IF(ISNUMBER(SEARCH(Assumptions!$C$7,C1646)),Assumptions!$D$7,"Other Services"))),"Other Services"))</f>
        <v/>
      </c>
    </row>
    <row r="1647" customFormat="false" ht="15" hidden="false" customHeight="false" outlineLevel="0" collapsed="false">
      <c r="F1647" s="41" t="str">
        <f aca="false">IF(C1647="","",IFERROR(IF(ISNUMBER(SEARCH(Assumptions!$C$5,C1647)),Assumptions!$D$5,IF(ISNUMBER(SEARCH(Assumptions!$C$6,C1647)),Assumptions!$D$6,IF(ISNUMBER(SEARCH(Assumptions!$C$7,C1647)),Assumptions!$D$7,"Other Services"))),"Other Services"))</f>
        <v/>
      </c>
    </row>
    <row r="1648" customFormat="false" ht="15" hidden="false" customHeight="false" outlineLevel="0" collapsed="false">
      <c r="F1648" s="41" t="str">
        <f aca="false">IF(C1648="","",IFERROR(IF(ISNUMBER(SEARCH(Assumptions!$C$5,C1648)),Assumptions!$D$5,IF(ISNUMBER(SEARCH(Assumptions!$C$6,C1648)),Assumptions!$D$6,IF(ISNUMBER(SEARCH(Assumptions!$C$7,C1648)),Assumptions!$D$7,"Other Services"))),"Other Services"))</f>
        <v/>
      </c>
    </row>
    <row r="1649" customFormat="false" ht="15" hidden="false" customHeight="false" outlineLevel="0" collapsed="false">
      <c r="F1649" s="41" t="str">
        <f aca="false">IF(C1649="","",IFERROR(IF(ISNUMBER(SEARCH(Assumptions!$C$5,C1649)),Assumptions!$D$5,IF(ISNUMBER(SEARCH(Assumptions!$C$6,C1649)),Assumptions!$D$6,IF(ISNUMBER(SEARCH(Assumptions!$C$7,C1649)),Assumptions!$D$7,"Other Services"))),"Other Services"))</f>
        <v/>
      </c>
    </row>
    <row r="1650" customFormat="false" ht="15" hidden="false" customHeight="false" outlineLevel="0" collapsed="false">
      <c r="F1650" s="41" t="str">
        <f aca="false">IF(C1650="","",IFERROR(IF(ISNUMBER(SEARCH(Assumptions!$C$5,C1650)),Assumptions!$D$5,IF(ISNUMBER(SEARCH(Assumptions!$C$6,C1650)),Assumptions!$D$6,IF(ISNUMBER(SEARCH(Assumptions!$C$7,C1650)),Assumptions!$D$7,"Other Services"))),"Other Services"))</f>
        <v/>
      </c>
    </row>
    <row r="1651" customFormat="false" ht="15" hidden="false" customHeight="false" outlineLevel="0" collapsed="false">
      <c r="F1651" s="41" t="str">
        <f aca="false">IF(C1651="","",IFERROR(IF(ISNUMBER(SEARCH(Assumptions!$C$5,C1651)),Assumptions!$D$5,IF(ISNUMBER(SEARCH(Assumptions!$C$6,C1651)),Assumptions!$D$6,IF(ISNUMBER(SEARCH(Assumptions!$C$7,C1651)),Assumptions!$D$7,"Other Services"))),"Other Services"))</f>
        <v/>
      </c>
    </row>
    <row r="1652" customFormat="false" ht="15" hidden="false" customHeight="false" outlineLevel="0" collapsed="false">
      <c r="F1652" s="41" t="str">
        <f aca="false">IF(C1652="","",IFERROR(IF(ISNUMBER(SEARCH(Assumptions!$C$5,C1652)),Assumptions!$D$5,IF(ISNUMBER(SEARCH(Assumptions!$C$6,C1652)),Assumptions!$D$6,IF(ISNUMBER(SEARCH(Assumptions!$C$7,C1652)),Assumptions!$D$7,"Other Services"))),"Other Services"))</f>
        <v/>
      </c>
    </row>
    <row r="1653" customFormat="false" ht="15" hidden="false" customHeight="false" outlineLevel="0" collapsed="false">
      <c r="F1653" s="41" t="str">
        <f aca="false">IF(C1653="","",IFERROR(IF(ISNUMBER(SEARCH(Assumptions!$C$5,C1653)),Assumptions!$D$5,IF(ISNUMBER(SEARCH(Assumptions!$C$6,C1653)),Assumptions!$D$6,IF(ISNUMBER(SEARCH(Assumptions!$C$7,C1653)),Assumptions!$D$7,"Other Services"))),"Other Services"))</f>
        <v/>
      </c>
    </row>
    <row r="1654" customFormat="false" ht="15" hidden="false" customHeight="false" outlineLevel="0" collapsed="false">
      <c r="F1654" s="41" t="str">
        <f aca="false">IF(C1654="","",IFERROR(IF(ISNUMBER(SEARCH(Assumptions!$C$5,C1654)),Assumptions!$D$5,IF(ISNUMBER(SEARCH(Assumptions!$C$6,C1654)),Assumptions!$D$6,IF(ISNUMBER(SEARCH(Assumptions!$C$7,C1654)),Assumptions!$D$7,"Other Services"))),"Other Services"))</f>
        <v/>
      </c>
    </row>
    <row r="1655" customFormat="false" ht="15" hidden="false" customHeight="false" outlineLevel="0" collapsed="false">
      <c r="F1655" s="41" t="str">
        <f aca="false">IF(C1655="","",IFERROR(IF(ISNUMBER(SEARCH(Assumptions!$C$5,C1655)),Assumptions!$D$5,IF(ISNUMBER(SEARCH(Assumptions!$C$6,C1655)),Assumptions!$D$6,IF(ISNUMBER(SEARCH(Assumptions!$C$7,C1655)),Assumptions!$D$7,"Other Services"))),"Other Services"))</f>
        <v/>
      </c>
    </row>
    <row r="1656" customFormat="false" ht="15" hidden="false" customHeight="false" outlineLevel="0" collapsed="false">
      <c r="F1656" s="41" t="str">
        <f aca="false">IF(C1656="","",IFERROR(IF(ISNUMBER(SEARCH(Assumptions!$C$5,C1656)),Assumptions!$D$5,IF(ISNUMBER(SEARCH(Assumptions!$C$6,C1656)),Assumptions!$D$6,IF(ISNUMBER(SEARCH(Assumptions!$C$7,C1656)),Assumptions!$D$7,"Other Services"))),"Other Services"))</f>
        <v/>
      </c>
    </row>
    <row r="1657" customFormat="false" ht="15" hidden="false" customHeight="false" outlineLevel="0" collapsed="false">
      <c r="F1657" s="41" t="str">
        <f aca="false">IF(C1657="","",IFERROR(IF(ISNUMBER(SEARCH(Assumptions!$C$5,C1657)),Assumptions!$D$5,IF(ISNUMBER(SEARCH(Assumptions!$C$6,C1657)),Assumptions!$D$6,IF(ISNUMBER(SEARCH(Assumptions!$C$7,C1657)),Assumptions!$D$7,"Other Services"))),"Other Services"))</f>
        <v/>
      </c>
    </row>
    <row r="1658" customFormat="false" ht="15" hidden="false" customHeight="false" outlineLevel="0" collapsed="false">
      <c r="F1658" s="41" t="str">
        <f aca="false">IF(C1658="","",IFERROR(IF(ISNUMBER(SEARCH(Assumptions!$C$5,C1658)),Assumptions!$D$5,IF(ISNUMBER(SEARCH(Assumptions!$C$6,C1658)),Assumptions!$D$6,IF(ISNUMBER(SEARCH(Assumptions!$C$7,C1658)),Assumptions!$D$7,"Other Services"))),"Other Services"))</f>
        <v/>
      </c>
    </row>
    <row r="1659" customFormat="false" ht="15" hidden="false" customHeight="false" outlineLevel="0" collapsed="false">
      <c r="F1659" s="41" t="str">
        <f aca="false">IF(C1659="","",IFERROR(IF(ISNUMBER(SEARCH(Assumptions!$C$5,C1659)),Assumptions!$D$5,IF(ISNUMBER(SEARCH(Assumptions!$C$6,C1659)),Assumptions!$D$6,IF(ISNUMBER(SEARCH(Assumptions!$C$7,C1659)),Assumptions!$D$7,"Other Services"))),"Other Services"))</f>
        <v/>
      </c>
    </row>
    <row r="1660" customFormat="false" ht="15" hidden="false" customHeight="false" outlineLevel="0" collapsed="false">
      <c r="F1660" s="41" t="str">
        <f aca="false">IF(C1660="","",IFERROR(IF(ISNUMBER(SEARCH(Assumptions!$C$5,C1660)),Assumptions!$D$5,IF(ISNUMBER(SEARCH(Assumptions!$C$6,C1660)),Assumptions!$D$6,IF(ISNUMBER(SEARCH(Assumptions!$C$7,C1660)),Assumptions!$D$7,"Other Services"))),"Other Services"))</f>
        <v/>
      </c>
    </row>
    <row r="1661" customFormat="false" ht="15" hidden="false" customHeight="false" outlineLevel="0" collapsed="false">
      <c r="F1661" s="41" t="str">
        <f aca="false">IF(C1661="","",IFERROR(IF(ISNUMBER(SEARCH(Assumptions!$C$5,C1661)),Assumptions!$D$5,IF(ISNUMBER(SEARCH(Assumptions!$C$6,C1661)),Assumptions!$D$6,IF(ISNUMBER(SEARCH(Assumptions!$C$7,C1661)),Assumptions!$D$7,"Other Services"))),"Other Services"))</f>
        <v/>
      </c>
    </row>
    <row r="1662" customFormat="false" ht="15" hidden="false" customHeight="false" outlineLevel="0" collapsed="false">
      <c r="F1662" s="41" t="str">
        <f aca="false">IF(C1662="","",IFERROR(IF(ISNUMBER(SEARCH(Assumptions!$C$5,C1662)),Assumptions!$D$5,IF(ISNUMBER(SEARCH(Assumptions!$C$6,C1662)),Assumptions!$D$6,IF(ISNUMBER(SEARCH(Assumptions!$C$7,C1662)),Assumptions!$D$7,"Other Services"))),"Other Services"))</f>
        <v/>
      </c>
    </row>
    <row r="1663" customFormat="false" ht="15" hidden="false" customHeight="false" outlineLevel="0" collapsed="false">
      <c r="F1663" s="41" t="str">
        <f aca="false">IF(C1663="","",IFERROR(IF(ISNUMBER(SEARCH(Assumptions!$C$5,C1663)),Assumptions!$D$5,IF(ISNUMBER(SEARCH(Assumptions!$C$6,C1663)),Assumptions!$D$6,IF(ISNUMBER(SEARCH(Assumptions!$C$7,C1663)),Assumptions!$D$7,"Other Services"))),"Other Services"))</f>
        <v/>
      </c>
    </row>
    <row r="1664" customFormat="false" ht="15" hidden="false" customHeight="false" outlineLevel="0" collapsed="false">
      <c r="F1664" s="41" t="str">
        <f aca="false">IF(C1664="","",IFERROR(IF(ISNUMBER(SEARCH(Assumptions!$C$5,C1664)),Assumptions!$D$5,IF(ISNUMBER(SEARCH(Assumptions!$C$6,C1664)),Assumptions!$D$6,IF(ISNUMBER(SEARCH(Assumptions!$C$7,C1664)),Assumptions!$D$7,"Other Services"))),"Other Services"))</f>
        <v/>
      </c>
    </row>
    <row r="1665" customFormat="false" ht="15" hidden="false" customHeight="false" outlineLevel="0" collapsed="false">
      <c r="F1665" s="41" t="str">
        <f aca="false">IF(C1665="","",IFERROR(IF(ISNUMBER(SEARCH(Assumptions!$C$5,C1665)),Assumptions!$D$5,IF(ISNUMBER(SEARCH(Assumptions!$C$6,C1665)),Assumptions!$D$6,IF(ISNUMBER(SEARCH(Assumptions!$C$7,C1665)),Assumptions!$D$7,"Other Services"))),"Other Services"))</f>
        <v/>
      </c>
    </row>
    <row r="1666" customFormat="false" ht="15" hidden="false" customHeight="false" outlineLevel="0" collapsed="false">
      <c r="F1666" s="41" t="str">
        <f aca="false">IF(C1666="","",IFERROR(IF(ISNUMBER(SEARCH(Assumptions!$C$5,C1666)),Assumptions!$D$5,IF(ISNUMBER(SEARCH(Assumptions!$C$6,C1666)),Assumptions!$D$6,IF(ISNUMBER(SEARCH(Assumptions!$C$7,C1666)),Assumptions!$D$7,"Other Services"))),"Other Services"))</f>
        <v/>
      </c>
    </row>
    <row r="1667" customFormat="false" ht="15" hidden="false" customHeight="false" outlineLevel="0" collapsed="false">
      <c r="F1667" s="41" t="str">
        <f aca="false">IF(C1667="","",IFERROR(IF(ISNUMBER(SEARCH(Assumptions!$C$5,C1667)),Assumptions!$D$5,IF(ISNUMBER(SEARCH(Assumptions!$C$6,C1667)),Assumptions!$D$6,IF(ISNUMBER(SEARCH(Assumptions!$C$7,C1667)),Assumptions!$D$7,"Other Services"))),"Other Services"))</f>
        <v/>
      </c>
    </row>
    <row r="1668" customFormat="false" ht="15" hidden="false" customHeight="false" outlineLevel="0" collapsed="false">
      <c r="F1668" s="41" t="str">
        <f aca="false">IF(C1668="","",IFERROR(IF(ISNUMBER(SEARCH(Assumptions!$C$5,C1668)),Assumptions!$D$5,IF(ISNUMBER(SEARCH(Assumptions!$C$6,C1668)),Assumptions!$D$6,IF(ISNUMBER(SEARCH(Assumptions!$C$7,C1668)),Assumptions!$D$7,"Other Services"))),"Other Services"))</f>
        <v/>
      </c>
    </row>
    <row r="1669" customFormat="false" ht="15" hidden="false" customHeight="false" outlineLevel="0" collapsed="false">
      <c r="F1669" s="41" t="str">
        <f aca="false">IF(C1669="","",IFERROR(IF(ISNUMBER(SEARCH(Assumptions!$C$5,C1669)),Assumptions!$D$5,IF(ISNUMBER(SEARCH(Assumptions!$C$6,C1669)),Assumptions!$D$6,IF(ISNUMBER(SEARCH(Assumptions!$C$7,C1669)),Assumptions!$D$7,"Other Services"))),"Other Services"))</f>
        <v/>
      </c>
    </row>
    <row r="1670" customFormat="false" ht="15" hidden="false" customHeight="false" outlineLevel="0" collapsed="false">
      <c r="F1670" s="41" t="str">
        <f aca="false">IF(C1670="","",IFERROR(IF(ISNUMBER(SEARCH(Assumptions!$C$5,C1670)),Assumptions!$D$5,IF(ISNUMBER(SEARCH(Assumptions!$C$6,C1670)),Assumptions!$D$6,IF(ISNUMBER(SEARCH(Assumptions!$C$7,C1670)),Assumptions!$D$7,"Other Services"))),"Other Services"))</f>
        <v/>
      </c>
    </row>
    <row r="1671" customFormat="false" ht="15" hidden="false" customHeight="false" outlineLevel="0" collapsed="false">
      <c r="F1671" s="41" t="str">
        <f aca="false">IF(C1671="","",IFERROR(IF(ISNUMBER(SEARCH(Assumptions!$C$5,C1671)),Assumptions!$D$5,IF(ISNUMBER(SEARCH(Assumptions!$C$6,C1671)),Assumptions!$D$6,IF(ISNUMBER(SEARCH(Assumptions!$C$7,C1671)),Assumptions!$D$7,"Other Services"))),"Other Services"))</f>
        <v/>
      </c>
    </row>
    <row r="1672" customFormat="false" ht="15" hidden="false" customHeight="false" outlineLevel="0" collapsed="false">
      <c r="F1672" s="41" t="str">
        <f aca="false">IF(C1672="","",IFERROR(IF(ISNUMBER(SEARCH(Assumptions!$C$5,C1672)),Assumptions!$D$5,IF(ISNUMBER(SEARCH(Assumptions!$C$6,C1672)),Assumptions!$D$6,IF(ISNUMBER(SEARCH(Assumptions!$C$7,C1672)),Assumptions!$D$7,"Other Services"))),"Other Services"))</f>
        <v/>
      </c>
    </row>
    <row r="1673" customFormat="false" ht="15" hidden="false" customHeight="false" outlineLevel="0" collapsed="false">
      <c r="F1673" s="41" t="str">
        <f aca="false">IF(C1673="","",IFERROR(IF(ISNUMBER(SEARCH(Assumptions!$C$5,C1673)),Assumptions!$D$5,IF(ISNUMBER(SEARCH(Assumptions!$C$6,C1673)),Assumptions!$D$6,IF(ISNUMBER(SEARCH(Assumptions!$C$7,C1673)),Assumptions!$D$7,"Other Services"))),"Other Services"))</f>
        <v/>
      </c>
    </row>
    <row r="1674" customFormat="false" ht="15" hidden="false" customHeight="false" outlineLevel="0" collapsed="false">
      <c r="F1674" s="41" t="str">
        <f aca="false">IF(C1674="","",IFERROR(IF(ISNUMBER(SEARCH(Assumptions!$C$5,C1674)),Assumptions!$D$5,IF(ISNUMBER(SEARCH(Assumptions!$C$6,C1674)),Assumptions!$D$6,IF(ISNUMBER(SEARCH(Assumptions!$C$7,C1674)),Assumptions!$D$7,"Other Services"))),"Other Services"))</f>
        <v/>
      </c>
    </row>
    <row r="1675" customFormat="false" ht="15" hidden="false" customHeight="false" outlineLevel="0" collapsed="false">
      <c r="F1675" s="41" t="str">
        <f aca="false">IF(C1675="","",IFERROR(IF(ISNUMBER(SEARCH(Assumptions!$C$5,C1675)),Assumptions!$D$5,IF(ISNUMBER(SEARCH(Assumptions!$C$6,C1675)),Assumptions!$D$6,IF(ISNUMBER(SEARCH(Assumptions!$C$7,C1675)),Assumptions!$D$7,"Other Services"))),"Other Services"))</f>
        <v/>
      </c>
    </row>
    <row r="1676" customFormat="false" ht="15" hidden="false" customHeight="false" outlineLevel="0" collapsed="false">
      <c r="F1676" s="41" t="str">
        <f aca="false">IF(C1676="","",IFERROR(IF(ISNUMBER(SEARCH(Assumptions!$C$5,C1676)),Assumptions!$D$5,IF(ISNUMBER(SEARCH(Assumptions!$C$6,C1676)),Assumptions!$D$6,IF(ISNUMBER(SEARCH(Assumptions!$C$7,C1676)),Assumptions!$D$7,"Other Services"))),"Other Services"))</f>
        <v/>
      </c>
    </row>
    <row r="1677" customFormat="false" ht="15" hidden="false" customHeight="false" outlineLevel="0" collapsed="false">
      <c r="F1677" s="41" t="str">
        <f aca="false">IF(C1677="","",IFERROR(IF(ISNUMBER(SEARCH(Assumptions!$C$5,C1677)),Assumptions!$D$5,IF(ISNUMBER(SEARCH(Assumptions!$C$6,C1677)),Assumptions!$D$6,IF(ISNUMBER(SEARCH(Assumptions!$C$7,C1677)),Assumptions!$D$7,"Other Services"))),"Other Services"))</f>
        <v/>
      </c>
    </row>
    <row r="1678" customFormat="false" ht="15" hidden="false" customHeight="false" outlineLevel="0" collapsed="false">
      <c r="F1678" s="41" t="str">
        <f aca="false">IF(C1678="","",IFERROR(IF(ISNUMBER(SEARCH(Assumptions!$C$5,C1678)),Assumptions!$D$5,IF(ISNUMBER(SEARCH(Assumptions!$C$6,C1678)),Assumptions!$D$6,IF(ISNUMBER(SEARCH(Assumptions!$C$7,C1678)),Assumptions!$D$7,"Other Services"))),"Other Services"))</f>
        <v/>
      </c>
    </row>
    <row r="1679" customFormat="false" ht="15" hidden="false" customHeight="false" outlineLevel="0" collapsed="false">
      <c r="F1679" s="41" t="str">
        <f aca="false">IF(C1679="","",IFERROR(IF(ISNUMBER(SEARCH(Assumptions!$C$5,C1679)),Assumptions!$D$5,IF(ISNUMBER(SEARCH(Assumptions!$C$6,C1679)),Assumptions!$D$6,IF(ISNUMBER(SEARCH(Assumptions!$C$7,C1679)),Assumptions!$D$7,"Other Services"))),"Other Services"))</f>
        <v/>
      </c>
    </row>
    <row r="1680" customFormat="false" ht="15" hidden="false" customHeight="false" outlineLevel="0" collapsed="false">
      <c r="F1680" s="41" t="str">
        <f aca="false">IF(C1680="","",IFERROR(IF(ISNUMBER(SEARCH(Assumptions!$C$5,C1680)),Assumptions!$D$5,IF(ISNUMBER(SEARCH(Assumptions!$C$6,C1680)),Assumptions!$D$6,IF(ISNUMBER(SEARCH(Assumptions!$C$7,C1680)),Assumptions!$D$7,"Other Services"))),"Other Services"))</f>
        <v/>
      </c>
    </row>
    <row r="1681" customFormat="false" ht="15" hidden="false" customHeight="false" outlineLevel="0" collapsed="false">
      <c r="F1681" s="41" t="str">
        <f aca="false">IF(C1681="","",IFERROR(IF(ISNUMBER(SEARCH(Assumptions!$C$5,C1681)),Assumptions!$D$5,IF(ISNUMBER(SEARCH(Assumptions!$C$6,C1681)),Assumptions!$D$6,IF(ISNUMBER(SEARCH(Assumptions!$C$7,C1681)),Assumptions!$D$7,"Other Services"))),"Other Services"))</f>
        <v/>
      </c>
    </row>
    <row r="1682" customFormat="false" ht="15" hidden="false" customHeight="false" outlineLevel="0" collapsed="false">
      <c r="F1682" s="41" t="str">
        <f aca="false">IF(C1682="","",IFERROR(IF(ISNUMBER(SEARCH(Assumptions!$C$5,C1682)),Assumptions!$D$5,IF(ISNUMBER(SEARCH(Assumptions!$C$6,C1682)),Assumptions!$D$6,IF(ISNUMBER(SEARCH(Assumptions!$C$7,C1682)),Assumptions!$D$7,"Other Services"))),"Other Services"))</f>
        <v/>
      </c>
    </row>
    <row r="1683" customFormat="false" ht="15" hidden="false" customHeight="false" outlineLevel="0" collapsed="false">
      <c r="F1683" s="41" t="str">
        <f aca="false">IF(C1683="","",IFERROR(IF(ISNUMBER(SEARCH(Assumptions!$C$5,C1683)),Assumptions!$D$5,IF(ISNUMBER(SEARCH(Assumptions!$C$6,C1683)),Assumptions!$D$6,IF(ISNUMBER(SEARCH(Assumptions!$C$7,C1683)),Assumptions!$D$7,"Other Services"))),"Other Services"))</f>
        <v/>
      </c>
    </row>
    <row r="1684" customFormat="false" ht="15" hidden="false" customHeight="false" outlineLevel="0" collapsed="false">
      <c r="F1684" s="41" t="str">
        <f aca="false">IF(C1684="","",IFERROR(IF(ISNUMBER(SEARCH(Assumptions!$C$5,C1684)),Assumptions!$D$5,IF(ISNUMBER(SEARCH(Assumptions!$C$6,C1684)),Assumptions!$D$6,IF(ISNUMBER(SEARCH(Assumptions!$C$7,C1684)),Assumptions!$D$7,"Other Services"))),"Other Services"))</f>
        <v/>
      </c>
    </row>
    <row r="1685" customFormat="false" ht="15" hidden="false" customHeight="false" outlineLevel="0" collapsed="false">
      <c r="F1685" s="41" t="str">
        <f aca="false">IF(C1685="","",IFERROR(IF(ISNUMBER(SEARCH(Assumptions!$C$5,C1685)),Assumptions!$D$5,IF(ISNUMBER(SEARCH(Assumptions!$C$6,C1685)),Assumptions!$D$6,IF(ISNUMBER(SEARCH(Assumptions!$C$7,C1685)),Assumptions!$D$7,"Other Services"))),"Other Services"))</f>
        <v/>
      </c>
    </row>
    <row r="1686" customFormat="false" ht="15" hidden="false" customHeight="false" outlineLevel="0" collapsed="false">
      <c r="F1686" s="41" t="str">
        <f aca="false">IF(C1686="","",IFERROR(IF(ISNUMBER(SEARCH(Assumptions!$C$5,C1686)),Assumptions!$D$5,IF(ISNUMBER(SEARCH(Assumptions!$C$6,C1686)),Assumptions!$D$6,IF(ISNUMBER(SEARCH(Assumptions!$C$7,C1686)),Assumptions!$D$7,"Other Services"))),"Other Services"))</f>
        <v/>
      </c>
    </row>
    <row r="1687" customFormat="false" ht="15" hidden="false" customHeight="false" outlineLevel="0" collapsed="false">
      <c r="F1687" s="41" t="str">
        <f aca="false">IF(C1687="","",IFERROR(IF(ISNUMBER(SEARCH(Assumptions!$C$5,C1687)),Assumptions!$D$5,IF(ISNUMBER(SEARCH(Assumptions!$C$6,C1687)),Assumptions!$D$6,IF(ISNUMBER(SEARCH(Assumptions!$C$7,C1687)),Assumptions!$D$7,"Other Services"))),"Other Services"))</f>
        <v/>
      </c>
    </row>
    <row r="1688" customFormat="false" ht="15" hidden="false" customHeight="false" outlineLevel="0" collapsed="false">
      <c r="F1688" s="41" t="str">
        <f aca="false">IF(C1688="","",IFERROR(IF(ISNUMBER(SEARCH(Assumptions!$C$5,C1688)),Assumptions!$D$5,IF(ISNUMBER(SEARCH(Assumptions!$C$6,C1688)),Assumptions!$D$6,IF(ISNUMBER(SEARCH(Assumptions!$C$7,C1688)),Assumptions!$D$7,"Other Services"))),"Other Services"))</f>
        <v/>
      </c>
    </row>
    <row r="1689" customFormat="false" ht="15" hidden="false" customHeight="false" outlineLevel="0" collapsed="false">
      <c r="F1689" s="41" t="str">
        <f aca="false">IF(C1689="","",IFERROR(IF(ISNUMBER(SEARCH(Assumptions!$C$5,C1689)),Assumptions!$D$5,IF(ISNUMBER(SEARCH(Assumptions!$C$6,C1689)),Assumptions!$D$6,IF(ISNUMBER(SEARCH(Assumptions!$C$7,C1689)),Assumptions!$D$7,"Other Services"))),"Other Services"))</f>
        <v/>
      </c>
    </row>
    <row r="1690" customFormat="false" ht="15" hidden="false" customHeight="false" outlineLevel="0" collapsed="false">
      <c r="F1690" s="41" t="str">
        <f aca="false">IF(C1690="","",IFERROR(IF(ISNUMBER(SEARCH(Assumptions!$C$5,C1690)),Assumptions!$D$5,IF(ISNUMBER(SEARCH(Assumptions!$C$6,C1690)),Assumptions!$D$6,IF(ISNUMBER(SEARCH(Assumptions!$C$7,C1690)),Assumptions!$D$7,"Other Services"))),"Other Services"))</f>
        <v/>
      </c>
    </row>
    <row r="1691" customFormat="false" ht="15" hidden="false" customHeight="false" outlineLevel="0" collapsed="false">
      <c r="F1691" s="41" t="str">
        <f aca="false">IF(C1691="","",IFERROR(IF(ISNUMBER(SEARCH(Assumptions!$C$5,C1691)),Assumptions!$D$5,IF(ISNUMBER(SEARCH(Assumptions!$C$6,C1691)),Assumptions!$D$6,IF(ISNUMBER(SEARCH(Assumptions!$C$7,C1691)),Assumptions!$D$7,"Other Services"))),"Other Services"))</f>
        <v/>
      </c>
    </row>
    <row r="1692" customFormat="false" ht="15" hidden="false" customHeight="false" outlineLevel="0" collapsed="false">
      <c r="F1692" s="41" t="str">
        <f aca="false">IF(C1692="","",IFERROR(IF(ISNUMBER(SEARCH(Assumptions!$C$5,C1692)),Assumptions!$D$5,IF(ISNUMBER(SEARCH(Assumptions!$C$6,C1692)),Assumptions!$D$6,IF(ISNUMBER(SEARCH(Assumptions!$C$7,C1692)),Assumptions!$D$7,"Other Services"))),"Other Services"))</f>
        <v/>
      </c>
    </row>
    <row r="1693" customFormat="false" ht="15" hidden="false" customHeight="false" outlineLevel="0" collapsed="false">
      <c r="F1693" s="41" t="str">
        <f aca="false">IF(C1693="","",IFERROR(IF(ISNUMBER(SEARCH(Assumptions!$C$5,C1693)),Assumptions!$D$5,IF(ISNUMBER(SEARCH(Assumptions!$C$6,C1693)),Assumptions!$D$6,IF(ISNUMBER(SEARCH(Assumptions!$C$7,C1693)),Assumptions!$D$7,"Other Services"))),"Other Services"))</f>
        <v/>
      </c>
    </row>
    <row r="1694" customFormat="false" ht="15" hidden="false" customHeight="false" outlineLevel="0" collapsed="false">
      <c r="F1694" s="41" t="str">
        <f aca="false">IF(C1694="","",IFERROR(IF(ISNUMBER(SEARCH(Assumptions!$C$5,C1694)),Assumptions!$D$5,IF(ISNUMBER(SEARCH(Assumptions!$C$6,C1694)),Assumptions!$D$6,IF(ISNUMBER(SEARCH(Assumptions!$C$7,C1694)),Assumptions!$D$7,"Other Services"))),"Other Services"))</f>
        <v/>
      </c>
    </row>
    <row r="1695" customFormat="false" ht="15" hidden="false" customHeight="false" outlineLevel="0" collapsed="false">
      <c r="F1695" s="41" t="str">
        <f aca="false">IF(C1695="","",IFERROR(IF(ISNUMBER(SEARCH(Assumptions!$C$5,C1695)),Assumptions!$D$5,IF(ISNUMBER(SEARCH(Assumptions!$C$6,C1695)),Assumptions!$D$6,IF(ISNUMBER(SEARCH(Assumptions!$C$7,C1695)),Assumptions!$D$7,"Other Services"))),"Other Services"))</f>
        <v/>
      </c>
    </row>
    <row r="1696" customFormat="false" ht="15" hidden="false" customHeight="false" outlineLevel="0" collapsed="false">
      <c r="F1696" s="41" t="str">
        <f aca="false">IF(C1696="","",IFERROR(IF(ISNUMBER(SEARCH(Assumptions!$C$5,C1696)),Assumptions!$D$5,IF(ISNUMBER(SEARCH(Assumptions!$C$6,C1696)),Assumptions!$D$6,IF(ISNUMBER(SEARCH(Assumptions!$C$7,C1696)),Assumptions!$D$7,"Other Services"))),"Other Services"))</f>
        <v/>
      </c>
    </row>
    <row r="1697" customFormat="false" ht="15" hidden="false" customHeight="false" outlineLevel="0" collapsed="false">
      <c r="F1697" s="41" t="str">
        <f aca="false">IF(C1697="","",IFERROR(IF(ISNUMBER(SEARCH(Assumptions!$C$5,C1697)),Assumptions!$D$5,IF(ISNUMBER(SEARCH(Assumptions!$C$6,C1697)),Assumptions!$D$6,IF(ISNUMBER(SEARCH(Assumptions!$C$7,C1697)),Assumptions!$D$7,"Other Services"))),"Other Services"))</f>
        <v/>
      </c>
    </row>
    <row r="1698" customFormat="false" ht="15" hidden="false" customHeight="false" outlineLevel="0" collapsed="false">
      <c r="F1698" s="41" t="str">
        <f aca="false">IF(C1698="","",IFERROR(IF(ISNUMBER(SEARCH(Assumptions!$C$5,C1698)),Assumptions!$D$5,IF(ISNUMBER(SEARCH(Assumptions!$C$6,C1698)),Assumptions!$D$6,IF(ISNUMBER(SEARCH(Assumptions!$C$7,C1698)),Assumptions!$D$7,"Other Services"))),"Other Services"))</f>
        <v/>
      </c>
    </row>
    <row r="1699" customFormat="false" ht="15" hidden="false" customHeight="false" outlineLevel="0" collapsed="false">
      <c r="F1699" s="41" t="str">
        <f aca="false">IF(C1699="","",IFERROR(IF(ISNUMBER(SEARCH(Assumptions!$C$5,C1699)),Assumptions!$D$5,IF(ISNUMBER(SEARCH(Assumptions!$C$6,C1699)),Assumptions!$D$6,IF(ISNUMBER(SEARCH(Assumptions!$C$7,C1699)),Assumptions!$D$7,"Other Services"))),"Other Services"))</f>
        <v/>
      </c>
    </row>
    <row r="1700" customFormat="false" ht="15" hidden="false" customHeight="false" outlineLevel="0" collapsed="false">
      <c r="F1700" s="41" t="str">
        <f aca="false">IF(C1700="","",IFERROR(IF(ISNUMBER(SEARCH(Assumptions!$C$5,C1700)),Assumptions!$D$5,IF(ISNUMBER(SEARCH(Assumptions!$C$6,C1700)),Assumptions!$D$6,IF(ISNUMBER(SEARCH(Assumptions!$C$7,C1700)),Assumptions!$D$7,"Other Services"))),"Other Services"))</f>
        <v/>
      </c>
    </row>
    <row r="1701" customFormat="false" ht="15" hidden="false" customHeight="false" outlineLevel="0" collapsed="false">
      <c r="F1701" s="41" t="str">
        <f aca="false">IF(C1701="","",IFERROR(IF(ISNUMBER(SEARCH(Assumptions!$C$5,C1701)),Assumptions!$D$5,IF(ISNUMBER(SEARCH(Assumptions!$C$6,C1701)),Assumptions!$D$6,IF(ISNUMBER(SEARCH(Assumptions!$C$7,C1701)),Assumptions!$D$7,"Other Services"))),"Other Services"))</f>
        <v/>
      </c>
    </row>
    <row r="1702" customFormat="false" ht="15" hidden="false" customHeight="false" outlineLevel="0" collapsed="false">
      <c r="F1702" s="41" t="str">
        <f aca="false">IF(C1702="","",IFERROR(IF(ISNUMBER(SEARCH(Assumptions!$C$5,C1702)),Assumptions!$D$5,IF(ISNUMBER(SEARCH(Assumptions!$C$6,C1702)),Assumptions!$D$6,IF(ISNUMBER(SEARCH(Assumptions!$C$7,C1702)),Assumptions!$D$7,"Other Services"))),"Other Services"))</f>
        <v/>
      </c>
    </row>
    <row r="1703" customFormat="false" ht="15" hidden="false" customHeight="false" outlineLevel="0" collapsed="false">
      <c r="F1703" s="41" t="str">
        <f aca="false">IF(C1703="","",IFERROR(IF(ISNUMBER(SEARCH(Assumptions!$C$5,C1703)),Assumptions!$D$5,IF(ISNUMBER(SEARCH(Assumptions!$C$6,C1703)),Assumptions!$D$6,IF(ISNUMBER(SEARCH(Assumptions!$C$7,C1703)),Assumptions!$D$7,"Other Services"))),"Other Services"))</f>
        <v/>
      </c>
    </row>
    <row r="1704" customFormat="false" ht="15" hidden="false" customHeight="false" outlineLevel="0" collapsed="false">
      <c r="F1704" s="41" t="str">
        <f aca="false">IF(C1704="","",IFERROR(IF(ISNUMBER(SEARCH(Assumptions!$C$5,C1704)),Assumptions!$D$5,IF(ISNUMBER(SEARCH(Assumptions!$C$6,C1704)),Assumptions!$D$6,IF(ISNUMBER(SEARCH(Assumptions!$C$7,C1704)),Assumptions!$D$7,"Other Services"))),"Other Services"))</f>
        <v/>
      </c>
    </row>
    <row r="1705" customFormat="false" ht="15" hidden="false" customHeight="false" outlineLevel="0" collapsed="false">
      <c r="F1705" s="41" t="str">
        <f aca="false">IF(C1705="","",IFERROR(IF(ISNUMBER(SEARCH(Assumptions!$C$5,C1705)),Assumptions!$D$5,IF(ISNUMBER(SEARCH(Assumptions!$C$6,C1705)),Assumptions!$D$6,IF(ISNUMBER(SEARCH(Assumptions!$C$7,C1705)),Assumptions!$D$7,"Other Services"))),"Other Services"))</f>
        <v/>
      </c>
    </row>
    <row r="1706" customFormat="false" ht="15" hidden="false" customHeight="false" outlineLevel="0" collapsed="false">
      <c r="F1706" s="41" t="str">
        <f aca="false">IF(C1706="","",IFERROR(IF(ISNUMBER(SEARCH(Assumptions!$C$5,C1706)),Assumptions!$D$5,IF(ISNUMBER(SEARCH(Assumptions!$C$6,C1706)),Assumptions!$D$6,IF(ISNUMBER(SEARCH(Assumptions!$C$7,C1706)),Assumptions!$D$7,"Other Services"))),"Other Services"))</f>
        <v/>
      </c>
    </row>
    <row r="1707" customFormat="false" ht="15" hidden="false" customHeight="false" outlineLevel="0" collapsed="false">
      <c r="F1707" s="41" t="str">
        <f aca="false">IF(C1707="","",IFERROR(IF(ISNUMBER(SEARCH(Assumptions!$C$5,C1707)),Assumptions!$D$5,IF(ISNUMBER(SEARCH(Assumptions!$C$6,C1707)),Assumptions!$D$6,IF(ISNUMBER(SEARCH(Assumptions!$C$7,C1707)),Assumptions!$D$7,"Other Services"))),"Other Services"))</f>
        <v/>
      </c>
    </row>
    <row r="1708" customFormat="false" ht="15" hidden="false" customHeight="false" outlineLevel="0" collapsed="false">
      <c r="F1708" s="41" t="str">
        <f aca="false">IF(C1708="","",IFERROR(IF(ISNUMBER(SEARCH(Assumptions!$C$5,C1708)),Assumptions!$D$5,IF(ISNUMBER(SEARCH(Assumptions!$C$6,C1708)),Assumptions!$D$6,IF(ISNUMBER(SEARCH(Assumptions!$C$7,C1708)),Assumptions!$D$7,"Other Services"))),"Other Services"))</f>
        <v/>
      </c>
    </row>
    <row r="1709" customFormat="false" ht="15" hidden="false" customHeight="false" outlineLevel="0" collapsed="false">
      <c r="F1709" s="41" t="str">
        <f aca="false">IF(C1709="","",IFERROR(IF(ISNUMBER(SEARCH(Assumptions!$C$5,C1709)),Assumptions!$D$5,IF(ISNUMBER(SEARCH(Assumptions!$C$6,C1709)),Assumptions!$D$6,IF(ISNUMBER(SEARCH(Assumptions!$C$7,C1709)),Assumptions!$D$7,"Other Services"))),"Other Services"))</f>
        <v/>
      </c>
    </row>
    <row r="1710" customFormat="false" ht="15" hidden="false" customHeight="false" outlineLevel="0" collapsed="false">
      <c r="F1710" s="41" t="str">
        <f aca="false">IF(C1710="","",IFERROR(IF(ISNUMBER(SEARCH(Assumptions!$C$5,C1710)),Assumptions!$D$5,IF(ISNUMBER(SEARCH(Assumptions!$C$6,C1710)),Assumptions!$D$6,IF(ISNUMBER(SEARCH(Assumptions!$C$7,C1710)),Assumptions!$D$7,"Other Services"))),"Other Services"))</f>
        <v/>
      </c>
    </row>
    <row r="1711" customFormat="false" ht="15" hidden="false" customHeight="false" outlineLevel="0" collapsed="false">
      <c r="F1711" s="41" t="str">
        <f aca="false">IF(C1711="","",IFERROR(IF(ISNUMBER(SEARCH(Assumptions!$C$5,C1711)),Assumptions!$D$5,IF(ISNUMBER(SEARCH(Assumptions!$C$6,C1711)),Assumptions!$D$6,IF(ISNUMBER(SEARCH(Assumptions!$C$7,C1711)),Assumptions!$D$7,"Other Services"))),"Other Services"))</f>
        <v/>
      </c>
    </row>
    <row r="1712" customFormat="false" ht="15" hidden="false" customHeight="false" outlineLevel="0" collapsed="false">
      <c r="F1712" s="41" t="str">
        <f aca="false">IF(C1712="","",IFERROR(IF(ISNUMBER(SEARCH(Assumptions!$C$5,C1712)),Assumptions!$D$5,IF(ISNUMBER(SEARCH(Assumptions!$C$6,C1712)),Assumptions!$D$6,IF(ISNUMBER(SEARCH(Assumptions!$C$7,C1712)),Assumptions!$D$7,"Other Services"))),"Other Services"))</f>
        <v/>
      </c>
    </row>
    <row r="1713" customFormat="false" ht="15" hidden="false" customHeight="false" outlineLevel="0" collapsed="false">
      <c r="F1713" s="41" t="str">
        <f aca="false">IF(C1713="","",IFERROR(IF(ISNUMBER(SEARCH(Assumptions!$C$5,C1713)),Assumptions!$D$5,IF(ISNUMBER(SEARCH(Assumptions!$C$6,C1713)),Assumptions!$D$6,IF(ISNUMBER(SEARCH(Assumptions!$C$7,C1713)),Assumptions!$D$7,"Other Services"))),"Other Services"))</f>
        <v/>
      </c>
    </row>
    <row r="1714" customFormat="false" ht="15" hidden="false" customHeight="false" outlineLevel="0" collapsed="false">
      <c r="F1714" s="41" t="str">
        <f aca="false">IF(C1714="","",IFERROR(IF(ISNUMBER(SEARCH(Assumptions!$C$5,C1714)),Assumptions!$D$5,IF(ISNUMBER(SEARCH(Assumptions!$C$6,C1714)),Assumptions!$D$6,IF(ISNUMBER(SEARCH(Assumptions!$C$7,C1714)),Assumptions!$D$7,"Other Services"))),"Other Services"))</f>
        <v/>
      </c>
    </row>
    <row r="1715" customFormat="false" ht="15" hidden="false" customHeight="false" outlineLevel="0" collapsed="false">
      <c r="F1715" s="41" t="str">
        <f aca="false">IF(C1715="","",IFERROR(IF(ISNUMBER(SEARCH(Assumptions!$C$5,C1715)),Assumptions!$D$5,IF(ISNUMBER(SEARCH(Assumptions!$C$6,C1715)),Assumptions!$D$6,IF(ISNUMBER(SEARCH(Assumptions!$C$7,C1715)),Assumptions!$D$7,"Other Services"))),"Other Services"))</f>
        <v/>
      </c>
    </row>
    <row r="1716" customFormat="false" ht="15" hidden="false" customHeight="false" outlineLevel="0" collapsed="false">
      <c r="F1716" s="41" t="str">
        <f aca="false">IF(C1716="","",IFERROR(IF(ISNUMBER(SEARCH(Assumptions!$C$5,C1716)),Assumptions!$D$5,IF(ISNUMBER(SEARCH(Assumptions!$C$6,C1716)),Assumptions!$D$6,IF(ISNUMBER(SEARCH(Assumptions!$C$7,C1716)),Assumptions!$D$7,"Other Services"))),"Other Services"))</f>
        <v/>
      </c>
    </row>
    <row r="1717" customFormat="false" ht="15" hidden="false" customHeight="false" outlineLevel="0" collapsed="false">
      <c r="F1717" s="41" t="str">
        <f aca="false">IF(C1717="","",IFERROR(IF(ISNUMBER(SEARCH(Assumptions!$C$5,C1717)),Assumptions!$D$5,IF(ISNUMBER(SEARCH(Assumptions!$C$6,C1717)),Assumptions!$D$6,IF(ISNUMBER(SEARCH(Assumptions!$C$7,C1717)),Assumptions!$D$7,"Other Services"))),"Other Services"))</f>
        <v/>
      </c>
    </row>
    <row r="1718" customFormat="false" ht="15" hidden="false" customHeight="false" outlineLevel="0" collapsed="false">
      <c r="F1718" s="41" t="str">
        <f aca="false">IF(C1718="","",IFERROR(IF(ISNUMBER(SEARCH(Assumptions!$C$5,C1718)),Assumptions!$D$5,IF(ISNUMBER(SEARCH(Assumptions!$C$6,C1718)),Assumptions!$D$6,IF(ISNUMBER(SEARCH(Assumptions!$C$7,C1718)),Assumptions!$D$7,"Other Services"))),"Other Services"))</f>
        <v/>
      </c>
    </row>
    <row r="1719" customFormat="false" ht="15" hidden="false" customHeight="false" outlineLevel="0" collapsed="false">
      <c r="F1719" s="41" t="str">
        <f aca="false">IF(C1719="","",IFERROR(IF(ISNUMBER(SEARCH(Assumptions!$C$5,C1719)),Assumptions!$D$5,IF(ISNUMBER(SEARCH(Assumptions!$C$6,C1719)),Assumptions!$D$6,IF(ISNUMBER(SEARCH(Assumptions!$C$7,C1719)),Assumptions!$D$7,"Other Services"))),"Other Services"))</f>
        <v/>
      </c>
    </row>
    <row r="1720" customFormat="false" ht="15" hidden="false" customHeight="false" outlineLevel="0" collapsed="false">
      <c r="F1720" s="41" t="str">
        <f aca="false">IF(C1720="","",IFERROR(IF(ISNUMBER(SEARCH(Assumptions!$C$5,C1720)),Assumptions!$D$5,IF(ISNUMBER(SEARCH(Assumptions!$C$6,C1720)),Assumptions!$D$6,IF(ISNUMBER(SEARCH(Assumptions!$C$7,C1720)),Assumptions!$D$7,"Other Services"))),"Other Services"))</f>
        <v/>
      </c>
    </row>
    <row r="1721" customFormat="false" ht="15" hidden="false" customHeight="false" outlineLevel="0" collapsed="false">
      <c r="F1721" s="41" t="str">
        <f aca="false">IF(C1721="","",IFERROR(IF(ISNUMBER(SEARCH(Assumptions!$C$5,C1721)),Assumptions!$D$5,IF(ISNUMBER(SEARCH(Assumptions!$C$6,C1721)),Assumptions!$D$6,IF(ISNUMBER(SEARCH(Assumptions!$C$7,C1721)),Assumptions!$D$7,"Other Services"))),"Other Services"))</f>
        <v/>
      </c>
    </row>
    <row r="1722" customFormat="false" ht="15" hidden="false" customHeight="false" outlineLevel="0" collapsed="false">
      <c r="F1722" s="41" t="str">
        <f aca="false">IF(C1722="","",IFERROR(IF(ISNUMBER(SEARCH(Assumptions!$C$5,C1722)),Assumptions!$D$5,IF(ISNUMBER(SEARCH(Assumptions!$C$6,C1722)),Assumptions!$D$6,IF(ISNUMBER(SEARCH(Assumptions!$C$7,C1722)),Assumptions!$D$7,"Other Services"))),"Other Services"))</f>
        <v/>
      </c>
    </row>
    <row r="1723" customFormat="false" ht="15" hidden="false" customHeight="false" outlineLevel="0" collapsed="false">
      <c r="F1723" s="41" t="str">
        <f aca="false">IF(C1723="","",IFERROR(IF(ISNUMBER(SEARCH(Assumptions!$C$5,C1723)),Assumptions!$D$5,IF(ISNUMBER(SEARCH(Assumptions!$C$6,C1723)),Assumptions!$D$6,IF(ISNUMBER(SEARCH(Assumptions!$C$7,C1723)),Assumptions!$D$7,"Other Services"))),"Other Services"))</f>
        <v/>
      </c>
    </row>
    <row r="1724" customFormat="false" ht="15" hidden="false" customHeight="false" outlineLevel="0" collapsed="false">
      <c r="F1724" s="41" t="str">
        <f aca="false">IF(C1724="","",IFERROR(IF(ISNUMBER(SEARCH(Assumptions!$C$5,C1724)),Assumptions!$D$5,IF(ISNUMBER(SEARCH(Assumptions!$C$6,C1724)),Assumptions!$D$6,IF(ISNUMBER(SEARCH(Assumptions!$C$7,C1724)),Assumptions!$D$7,"Other Services"))),"Other Services"))</f>
        <v/>
      </c>
    </row>
    <row r="1725" customFormat="false" ht="15" hidden="false" customHeight="false" outlineLevel="0" collapsed="false">
      <c r="F1725" s="41" t="str">
        <f aca="false">IF(C1725="","",IFERROR(IF(ISNUMBER(SEARCH(Assumptions!$C$5,C1725)),Assumptions!$D$5,IF(ISNUMBER(SEARCH(Assumptions!$C$6,C1725)),Assumptions!$D$6,IF(ISNUMBER(SEARCH(Assumptions!$C$7,C1725)),Assumptions!$D$7,"Other Services"))),"Other Services"))</f>
        <v/>
      </c>
    </row>
    <row r="1726" customFormat="false" ht="15" hidden="false" customHeight="false" outlineLevel="0" collapsed="false">
      <c r="F1726" s="41" t="str">
        <f aca="false">IF(C1726="","",IFERROR(IF(ISNUMBER(SEARCH(Assumptions!$C$5,C1726)),Assumptions!$D$5,IF(ISNUMBER(SEARCH(Assumptions!$C$6,C1726)),Assumptions!$D$6,IF(ISNUMBER(SEARCH(Assumptions!$C$7,C1726)),Assumptions!$D$7,"Other Services"))),"Other Services"))</f>
        <v/>
      </c>
    </row>
    <row r="1727" customFormat="false" ht="15" hidden="false" customHeight="false" outlineLevel="0" collapsed="false">
      <c r="F1727" s="41" t="str">
        <f aca="false">IF(C1727="","",IFERROR(IF(ISNUMBER(SEARCH(Assumptions!$C$5,C1727)),Assumptions!$D$5,IF(ISNUMBER(SEARCH(Assumptions!$C$6,C1727)),Assumptions!$D$6,IF(ISNUMBER(SEARCH(Assumptions!$C$7,C1727)),Assumptions!$D$7,"Other Services"))),"Other Services"))</f>
        <v/>
      </c>
    </row>
    <row r="1728" customFormat="false" ht="15" hidden="false" customHeight="false" outlineLevel="0" collapsed="false">
      <c r="F1728" s="41" t="str">
        <f aca="false">IF(C1728="","",IFERROR(IF(ISNUMBER(SEARCH(Assumptions!$C$5,C1728)),Assumptions!$D$5,IF(ISNUMBER(SEARCH(Assumptions!$C$6,C1728)),Assumptions!$D$6,IF(ISNUMBER(SEARCH(Assumptions!$C$7,C1728)),Assumptions!$D$7,"Other Services"))),"Other Services"))</f>
        <v/>
      </c>
    </row>
    <row r="1729" customFormat="false" ht="15" hidden="false" customHeight="false" outlineLevel="0" collapsed="false">
      <c r="F1729" s="41" t="str">
        <f aca="false">IF(C1729="","",IFERROR(IF(ISNUMBER(SEARCH(Assumptions!$C$5,C1729)),Assumptions!$D$5,IF(ISNUMBER(SEARCH(Assumptions!$C$6,C1729)),Assumptions!$D$6,IF(ISNUMBER(SEARCH(Assumptions!$C$7,C1729)),Assumptions!$D$7,"Other Services"))),"Other Services"))</f>
        <v/>
      </c>
    </row>
    <row r="1730" customFormat="false" ht="15" hidden="false" customHeight="false" outlineLevel="0" collapsed="false">
      <c r="F1730" s="41" t="str">
        <f aca="false">IF(C1730="","",IFERROR(IF(ISNUMBER(SEARCH(Assumptions!$C$5,C1730)),Assumptions!$D$5,IF(ISNUMBER(SEARCH(Assumptions!$C$6,C1730)),Assumptions!$D$6,IF(ISNUMBER(SEARCH(Assumptions!$C$7,C1730)),Assumptions!$D$7,"Other Services"))),"Other Services"))</f>
        <v/>
      </c>
    </row>
    <row r="1731" customFormat="false" ht="15" hidden="false" customHeight="false" outlineLevel="0" collapsed="false">
      <c r="F1731" s="41" t="str">
        <f aca="false">IF(C1731="","",IFERROR(IF(ISNUMBER(SEARCH(Assumptions!$C$5,C1731)),Assumptions!$D$5,IF(ISNUMBER(SEARCH(Assumptions!$C$6,C1731)),Assumptions!$D$6,IF(ISNUMBER(SEARCH(Assumptions!$C$7,C1731)),Assumptions!$D$7,"Other Services"))),"Other Services"))</f>
        <v/>
      </c>
    </row>
    <row r="1732" customFormat="false" ht="15" hidden="false" customHeight="false" outlineLevel="0" collapsed="false">
      <c r="F1732" s="41" t="str">
        <f aca="false">IF(C1732="","",IFERROR(IF(ISNUMBER(SEARCH(Assumptions!$C$5,C1732)),Assumptions!$D$5,IF(ISNUMBER(SEARCH(Assumptions!$C$6,C1732)),Assumptions!$D$6,IF(ISNUMBER(SEARCH(Assumptions!$C$7,C1732)),Assumptions!$D$7,"Other Services"))),"Other Services"))</f>
        <v/>
      </c>
    </row>
    <row r="1733" customFormat="false" ht="15" hidden="false" customHeight="false" outlineLevel="0" collapsed="false">
      <c r="F1733" s="41" t="str">
        <f aca="false">IF(C1733="","",IFERROR(IF(ISNUMBER(SEARCH(Assumptions!$C$5,C1733)),Assumptions!$D$5,IF(ISNUMBER(SEARCH(Assumptions!$C$6,C1733)),Assumptions!$D$6,IF(ISNUMBER(SEARCH(Assumptions!$C$7,C1733)),Assumptions!$D$7,"Other Services"))),"Other Services"))</f>
        <v/>
      </c>
    </row>
    <row r="1734" customFormat="false" ht="15" hidden="false" customHeight="false" outlineLevel="0" collapsed="false">
      <c r="F1734" s="41" t="str">
        <f aca="false">IF(C1734="","",IFERROR(IF(ISNUMBER(SEARCH(Assumptions!$C$5,C1734)),Assumptions!$D$5,IF(ISNUMBER(SEARCH(Assumptions!$C$6,C1734)),Assumptions!$D$6,IF(ISNUMBER(SEARCH(Assumptions!$C$7,C1734)),Assumptions!$D$7,"Other Services"))),"Other Services"))</f>
        <v/>
      </c>
    </row>
    <row r="1735" customFormat="false" ht="15" hidden="false" customHeight="false" outlineLevel="0" collapsed="false">
      <c r="F1735" s="41" t="str">
        <f aca="false">IF(C1735="","",IFERROR(IF(ISNUMBER(SEARCH(Assumptions!$C$5,C1735)),Assumptions!$D$5,IF(ISNUMBER(SEARCH(Assumptions!$C$6,C1735)),Assumptions!$D$6,IF(ISNUMBER(SEARCH(Assumptions!$C$7,C1735)),Assumptions!$D$7,"Other Services"))),"Other Services"))</f>
        <v/>
      </c>
    </row>
    <row r="1736" customFormat="false" ht="15" hidden="false" customHeight="false" outlineLevel="0" collapsed="false">
      <c r="F1736" s="41" t="str">
        <f aca="false">IF(C1736="","",IFERROR(IF(ISNUMBER(SEARCH(Assumptions!$C$5,C1736)),Assumptions!$D$5,IF(ISNUMBER(SEARCH(Assumptions!$C$6,C1736)),Assumptions!$D$6,IF(ISNUMBER(SEARCH(Assumptions!$C$7,C1736)),Assumptions!$D$7,"Other Services"))),"Other Services"))</f>
        <v/>
      </c>
    </row>
    <row r="1737" customFormat="false" ht="15" hidden="false" customHeight="false" outlineLevel="0" collapsed="false">
      <c r="F1737" s="41" t="str">
        <f aca="false">IF(C1737="","",IFERROR(IF(ISNUMBER(SEARCH(Assumptions!$C$5,C1737)),Assumptions!$D$5,IF(ISNUMBER(SEARCH(Assumptions!$C$6,C1737)),Assumptions!$D$6,IF(ISNUMBER(SEARCH(Assumptions!$C$7,C1737)),Assumptions!$D$7,"Other Services"))),"Other Services"))</f>
        <v/>
      </c>
    </row>
    <row r="1738" customFormat="false" ht="15" hidden="false" customHeight="false" outlineLevel="0" collapsed="false">
      <c r="F1738" s="41" t="str">
        <f aca="false">IF(C1738="","",IFERROR(IF(ISNUMBER(SEARCH(Assumptions!$C$5,C1738)),Assumptions!$D$5,IF(ISNUMBER(SEARCH(Assumptions!$C$6,C1738)),Assumptions!$D$6,IF(ISNUMBER(SEARCH(Assumptions!$C$7,C1738)),Assumptions!$D$7,"Other Services"))),"Other Services"))</f>
        <v/>
      </c>
    </row>
    <row r="1739" customFormat="false" ht="15" hidden="false" customHeight="false" outlineLevel="0" collapsed="false">
      <c r="F1739" s="41" t="str">
        <f aca="false">IF(C1739="","",IFERROR(IF(ISNUMBER(SEARCH(Assumptions!$C$5,C1739)),Assumptions!$D$5,IF(ISNUMBER(SEARCH(Assumptions!$C$6,C1739)),Assumptions!$D$6,IF(ISNUMBER(SEARCH(Assumptions!$C$7,C1739)),Assumptions!$D$7,"Other Services"))),"Other Services"))</f>
        <v/>
      </c>
    </row>
    <row r="1740" customFormat="false" ht="15" hidden="false" customHeight="false" outlineLevel="0" collapsed="false">
      <c r="F1740" s="41" t="str">
        <f aca="false">IF(C1740="","",IFERROR(IF(ISNUMBER(SEARCH(Assumptions!$C$5,C1740)),Assumptions!$D$5,IF(ISNUMBER(SEARCH(Assumptions!$C$6,C1740)),Assumptions!$D$6,IF(ISNUMBER(SEARCH(Assumptions!$C$7,C1740)),Assumptions!$D$7,"Other Services"))),"Other Services"))</f>
        <v/>
      </c>
    </row>
    <row r="1741" customFormat="false" ht="15" hidden="false" customHeight="false" outlineLevel="0" collapsed="false">
      <c r="F1741" s="41" t="str">
        <f aca="false">IF(C1741="","",IFERROR(IF(ISNUMBER(SEARCH(Assumptions!$C$5,C1741)),Assumptions!$D$5,IF(ISNUMBER(SEARCH(Assumptions!$C$6,C1741)),Assumptions!$D$6,IF(ISNUMBER(SEARCH(Assumptions!$C$7,C1741)),Assumptions!$D$7,"Other Services"))),"Other Services"))</f>
        <v/>
      </c>
    </row>
    <row r="1742" customFormat="false" ht="15" hidden="false" customHeight="false" outlineLevel="0" collapsed="false">
      <c r="F1742" s="41" t="str">
        <f aca="false">IF(C1742="","",IFERROR(IF(ISNUMBER(SEARCH(Assumptions!$C$5,C1742)),Assumptions!$D$5,IF(ISNUMBER(SEARCH(Assumptions!$C$6,C1742)),Assumptions!$D$6,IF(ISNUMBER(SEARCH(Assumptions!$C$7,C1742)),Assumptions!$D$7,"Other Services"))),"Other Services"))</f>
        <v/>
      </c>
    </row>
    <row r="1743" customFormat="false" ht="15" hidden="false" customHeight="false" outlineLevel="0" collapsed="false">
      <c r="F1743" s="41" t="str">
        <f aca="false">IF(C1743="","",IFERROR(IF(ISNUMBER(SEARCH(Assumptions!$C$5,C1743)),Assumptions!$D$5,IF(ISNUMBER(SEARCH(Assumptions!$C$6,C1743)),Assumptions!$D$6,IF(ISNUMBER(SEARCH(Assumptions!$C$7,C1743)),Assumptions!$D$7,"Other Services"))),"Other Services"))</f>
        <v/>
      </c>
    </row>
    <row r="1744" customFormat="false" ht="15" hidden="false" customHeight="false" outlineLevel="0" collapsed="false">
      <c r="F1744" s="41" t="str">
        <f aca="false">IF(C1744="","",IFERROR(IF(ISNUMBER(SEARCH(Assumptions!$C$5,C1744)),Assumptions!$D$5,IF(ISNUMBER(SEARCH(Assumptions!$C$6,C1744)),Assumptions!$D$6,IF(ISNUMBER(SEARCH(Assumptions!$C$7,C1744)),Assumptions!$D$7,"Other Services"))),"Other Services"))</f>
        <v/>
      </c>
    </row>
    <row r="1745" customFormat="false" ht="15" hidden="false" customHeight="false" outlineLevel="0" collapsed="false">
      <c r="F1745" s="41" t="str">
        <f aca="false">IF(C1745="","",IFERROR(IF(ISNUMBER(SEARCH(Assumptions!$C$5,C1745)),Assumptions!$D$5,IF(ISNUMBER(SEARCH(Assumptions!$C$6,C1745)),Assumptions!$D$6,IF(ISNUMBER(SEARCH(Assumptions!$C$7,C1745)),Assumptions!$D$7,"Other Services"))),"Other Services"))</f>
        <v/>
      </c>
    </row>
    <row r="1746" customFormat="false" ht="15" hidden="false" customHeight="false" outlineLevel="0" collapsed="false">
      <c r="F1746" s="41" t="str">
        <f aca="false">IF(C1746="","",IFERROR(IF(ISNUMBER(SEARCH(Assumptions!$C$5,C1746)),Assumptions!$D$5,IF(ISNUMBER(SEARCH(Assumptions!$C$6,C1746)),Assumptions!$D$6,IF(ISNUMBER(SEARCH(Assumptions!$C$7,C1746)),Assumptions!$D$7,"Other Services"))),"Other Services"))</f>
        <v/>
      </c>
    </row>
    <row r="1747" customFormat="false" ht="15" hidden="false" customHeight="false" outlineLevel="0" collapsed="false">
      <c r="F1747" s="41" t="str">
        <f aca="false">IF(C1747="","",IFERROR(IF(ISNUMBER(SEARCH(Assumptions!$C$5,C1747)),Assumptions!$D$5,IF(ISNUMBER(SEARCH(Assumptions!$C$6,C1747)),Assumptions!$D$6,IF(ISNUMBER(SEARCH(Assumptions!$C$7,C1747)),Assumptions!$D$7,"Other Services"))),"Other Services"))</f>
        <v/>
      </c>
    </row>
    <row r="1748" customFormat="false" ht="15" hidden="false" customHeight="false" outlineLevel="0" collapsed="false">
      <c r="F1748" s="41" t="str">
        <f aca="false">IF(C1748="","",IFERROR(IF(ISNUMBER(SEARCH(Assumptions!$C$5,C1748)),Assumptions!$D$5,IF(ISNUMBER(SEARCH(Assumptions!$C$6,C1748)),Assumptions!$D$6,IF(ISNUMBER(SEARCH(Assumptions!$C$7,C1748)),Assumptions!$D$7,"Other Services"))),"Other Services"))</f>
        <v/>
      </c>
    </row>
    <row r="1749" customFormat="false" ht="15" hidden="false" customHeight="false" outlineLevel="0" collapsed="false">
      <c r="F1749" s="41" t="str">
        <f aca="false">IF(C1749="","",IFERROR(IF(ISNUMBER(SEARCH(Assumptions!$C$5,C1749)),Assumptions!$D$5,IF(ISNUMBER(SEARCH(Assumptions!$C$6,C1749)),Assumptions!$D$6,IF(ISNUMBER(SEARCH(Assumptions!$C$7,C1749)),Assumptions!$D$7,"Other Services"))),"Other Services"))</f>
        <v/>
      </c>
    </row>
    <row r="1750" customFormat="false" ht="15" hidden="false" customHeight="false" outlineLevel="0" collapsed="false">
      <c r="F1750" s="41" t="str">
        <f aca="false">IF(C1750="","",IFERROR(IF(ISNUMBER(SEARCH(Assumptions!$C$5,C1750)),Assumptions!$D$5,IF(ISNUMBER(SEARCH(Assumptions!$C$6,C1750)),Assumptions!$D$6,IF(ISNUMBER(SEARCH(Assumptions!$C$7,C1750)),Assumptions!$D$7,"Other Services"))),"Other Services"))</f>
        <v/>
      </c>
    </row>
    <row r="1751" customFormat="false" ht="15" hidden="false" customHeight="false" outlineLevel="0" collapsed="false">
      <c r="F1751" s="41" t="str">
        <f aca="false">IF(C1751="","",IFERROR(IF(ISNUMBER(SEARCH(Assumptions!$C$5,C1751)),Assumptions!$D$5,IF(ISNUMBER(SEARCH(Assumptions!$C$6,C1751)),Assumptions!$D$6,IF(ISNUMBER(SEARCH(Assumptions!$C$7,C1751)),Assumptions!$D$7,"Other Services"))),"Other Services"))</f>
        <v/>
      </c>
    </row>
    <row r="1752" customFormat="false" ht="15" hidden="false" customHeight="false" outlineLevel="0" collapsed="false">
      <c r="F1752" s="41" t="str">
        <f aca="false">IF(C1752="","",IFERROR(IF(ISNUMBER(SEARCH(Assumptions!$C$5,C1752)),Assumptions!$D$5,IF(ISNUMBER(SEARCH(Assumptions!$C$6,C1752)),Assumptions!$D$6,IF(ISNUMBER(SEARCH(Assumptions!$C$7,C1752)),Assumptions!$D$7,"Other Services"))),"Other Services"))</f>
        <v/>
      </c>
    </row>
    <row r="1753" customFormat="false" ht="15" hidden="false" customHeight="false" outlineLevel="0" collapsed="false">
      <c r="F1753" s="41" t="str">
        <f aca="false">IF(C1753="","",IFERROR(IF(ISNUMBER(SEARCH(Assumptions!$C$5,C1753)),Assumptions!$D$5,IF(ISNUMBER(SEARCH(Assumptions!$C$6,C1753)),Assumptions!$D$6,IF(ISNUMBER(SEARCH(Assumptions!$C$7,C1753)),Assumptions!$D$7,"Other Services"))),"Other Services"))</f>
        <v/>
      </c>
    </row>
    <row r="1754" customFormat="false" ht="15" hidden="false" customHeight="false" outlineLevel="0" collapsed="false">
      <c r="F1754" s="41" t="str">
        <f aca="false">IF(C1754="","",IFERROR(IF(ISNUMBER(SEARCH(Assumptions!$C$5,C1754)),Assumptions!$D$5,IF(ISNUMBER(SEARCH(Assumptions!$C$6,C1754)),Assumptions!$D$6,IF(ISNUMBER(SEARCH(Assumptions!$C$7,C1754)),Assumptions!$D$7,"Other Services"))),"Other Services"))</f>
        <v/>
      </c>
    </row>
    <row r="1755" customFormat="false" ht="15" hidden="false" customHeight="false" outlineLevel="0" collapsed="false">
      <c r="F1755" s="41" t="str">
        <f aca="false">IF(C1755="","",IFERROR(IF(ISNUMBER(SEARCH(Assumptions!$C$5,C1755)),Assumptions!$D$5,IF(ISNUMBER(SEARCH(Assumptions!$C$6,C1755)),Assumptions!$D$6,IF(ISNUMBER(SEARCH(Assumptions!$C$7,C1755)),Assumptions!$D$7,"Other Services"))),"Other Services"))</f>
        <v/>
      </c>
    </row>
    <row r="1756" customFormat="false" ht="15" hidden="false" customHeight="false" outlineLevel="0" collapsed="false">
      <c r="F1756" s="41" t="str">
        <f aca="false">IF(C1756="","",IFERROR(IF(ISNUMBER(SEARCH(Assumptions!$C$5,C1756)),Assumptions!$D$5,IF(ISNUMBER(SEARCH(Assumptions!$C$6,C1756)),Assumptions!$D$6,IF(ISNUMBER(SEARCH(Assumptions!$C$7,C1756)),Assumptions!$D$7,"Other Services"))),"Other Services"))</f>
        <v/>
      </c>
    </row>
    <row r="1757" customFormat="false" ht="15" hidden="false" customHeight="false" outlineLevel="0" collapsed="false">
      <c r="F1757" s="41" t="str">
        <f aca="false">IF(C1757="","",IFERROR(IF(ISNUMBER(SEARCH(Assumptions!$C$5,C1757)),Assumptions!$D$5,IF(ISNUMBER(SEARCH(Assumptions!$C$6,C1757)),Assumptions!$D$6,IF(ISNUMBER(SEARCH(Assumptions!$C$7,C1757)),Assumptions!$D$7,"Other Services"))),"Other Services"))</f>
        <v/>
      </c>
    </row>
    <row r="1758" customFormat="false" ht="15" hidden="false" customHeight="false" outlineLevel="0" collapsed="false">
      <c r="F1758" s="41" t="str">
        <f aca="false">IF(C1758="","",IFERROR(IF(ISNUMBER(SEARCH(Assumptions!$C$5,C1758)),Assumptions!$D$5,IF(ISNUMBER(SEARCH(Assumptions!$C$6,C1758)),Assumptions!$D$6,IF(ISNUMBER(SEARCH(Assumptions!$C$7,C1758)),Assumptions!$D$7,"Other Services"))),"Other Services"))</f>
        <v/>
      </c>
    </row>
    <row r="1759" customFormat="false" ht="15" hidden="false" customHeight="false" outlineLevel="0" collapsed="false">
      <c r="F1759" s="41" t="str">
        <f aca="false">IF(C1759="","",IFERROR(IF(ISNUMBER(SEARCH(Assumptions!$C$5,C1759)),Assumptions!$D$5,IF(ISNUMBER(SEARCH(Assumptions!$C$6,C1759)),Assumptions!$D$6,IF(ISNUMBER(SEARCH(Assumptions!$C$7,C1759)),Assumptions!$D$7,"Other Services"))),"Other Services"))</f>
        <v/>
      </c>
    </row>
    <row r="1760" customFormat="false" ht="15" hidden="false" customHeight="false" outlineLevel="0" collapsed="false">
      <c r="F1760" s="41" t="str">
        <f aca="false">IF(C1760="","",IFERROR(IF(ISNUMBER(SEARCH(Assumptions!$C$5,C1760)),Assumptions!$D$5,IF(ISNUMBER(SEARCH(Assumptions!$C$6,C1760)),Assumptions!$D$6,IF(ISNUMBER(SEARCH(Assumptions!$C$7,C1760)),Assumptions!$D$7,"Other Services"))),"Other Services"))</f>
        <v/>
      </c>
    </row>
    <row r="1761" customFormat="false" ht="15" hidden="false" customHeight="false" outlineLevel="0" collapsed="false">
      <c r="F1761" s="41" t="str">
        <f aca="false">IF(C1761="","",IFERROR(IF(ISNUMBER(SEARCH(Assumptions!$C$5,C1761)),Assumptions!$D$5,IF(ISNUMBER(SEARCH(Assumptions!$C$6,C1761)),Assumptions!$D$6,IF(ISNUMBER(SEARCH(Assumptions!$C$7,C1761)),Assumptions!$D$7,"Other Services"))),"Other Services"))</f>
        <v/>
      </c>
    </row>
    <row r="1762" customFormat="false" ht="15" hidden="false" customHeight="false" outlineLevel="0" collapsed="false">
      <c r="F1762" s="41" t="str">
        <f aca="false">IF(C1762="","",IFERROR(IF(ISNUMBER(SEARCH(Assumptions!$C$5,C1762)),Assumptions!$D$5,IF(ISNUMBER(SEARCH(Assumptions!$C$6,C1762)),Assumptions!$D$6,IF(ISNUMBER(SEARCH(Assumptions!$C$7,C1762)),Assumptions!$D$7,"Other Services"))),"Other Services"))</f>
        <v/>
      </c>
    </row>
    <row r="1763" customFormat="false" ht="15" hidden="false" customHeight="false" outlineLevel="0" collapsed="false">
      <c r="F1763" s="41" t="str">
        <f aca="false">IF(C1763="","",IFERROR(IF(ISNUMBER(SEARCH(Assumptions!$C$5,C1763)),Assumptions!$D$5,IF(ISNUMBER(SEARCH(Assumptions!$C$6,C1763)),Assumptions!$D$6,IF(ISNUMBER(SEARCH(Assumptions!$C$7,C1763)),Assumptions!$D$7,"Other Services"))),"Other Services"))</f>
        <v/>
      </c>
    </row>
    <row r="1764" customFormat="false" ht="15" hidden="false" customHeight="false" outlineLevel="0" collapsed="false">
      <c r="F1764" s="41" t="str">
        <f aca="false">IF(C1764="","",IFERROR(IF(ISNUMBER(SEARCH(Assumptions!$C$5,C1764)),Assumptions!$D$5,IF(ISNUMBER(SEARCH(Assumptions!$C$6,C1764)),Assumptions!$D$6,IF(ISNUMBER(SEARCH(Assumptions!$C$7,C1764)),Assumptions!$D$7,"Other Services"))),"Other Services"))</f>
        <v/>
      </c>
    </row>
    <row r="1765" customFormat="false" ht="15" hidden="false" customHeight="false" outlineLevel="0" collapsed="false">
      <c r="F1765" s="41" t="str">
        <f aca="false">IF(C1765="","",IFERROR(IF(ISNUMBER(SEARCH(Assumptions!$C$5,C1765)),Assumptions!$D$5,IF(ISNUMBER(SEARCH(Assumptions!$C$6,C1765)),Assumptions!$D$6,IF(ISNUMBER(SEARCH(Assumptions!$C$7,C1765)),Assumptions!$D$7,"Other Services"))),"Other Services"))</f>
        <v/>
      </c>
    </row>
    <row r="1766" customFormat="false" ht="15" hidden="false" customHeight="false" outlineLevel="0" collapsed="false">
      <c r="F1766" s="41" t="str">
        <f aca="false">IF(C1766="","",IFERROR(IF(ISNUMBER(SEARCH(Assumptions!$C$5,C1766)),Assumptions!$D$5,IF(ISNUMBER(SEARCH(Assumptions!$C$6,C1766)),Assumptions!$D$6,IF(ISNUMBER(SEARCH(Assumptions!$C$7,C1766)),Assumptions!$D$7,"Other Services"))),"Other Services"))</f>
        <v/>
      </c>
    </row>
    <row r="1767" customFormat="false" ht="15" hidden="false" customHeight="false" outlineLevel="0" collapsed="false">
      <c r="F1767" s="41" t="str">
        <f aca="false">IF(C1767="","",IFERROR(IF(ISNUMBER(SEARCH(Assumptions!$C$5,C1767)),Assumptions!$D$5,IF(ISNUMBER(SEARCH(Assumptions!$C$6,C1767)),Assumptions!$D$6,IF(ISNUMBER(SEARCH(Assumptions!$C$7,C1767)),Assumptions!$D$7,"Other Services"))),"Other Services"))</f>
        <v/>
      </c>
    </row>
    <row r="1768" customFormat="false" ht="15" hidden="false" customHeight="false" outlineLevel="0" collapsed="false">
      <c r="F1768" s="41" t="str">
        <f aca="false">IF(C1768="","",IFERROR(IF(ISNUMBER(SEARCH(Assumptions!$C$5,C1768)),Assumptions!$D$5,IF(ISNUMBER(SEARCH(Assumptions!$C$6,C1768)),Assumptions!$D$6,IF(ISNUMBER(SEARCH(Assumptions!$C$7,C1768)),Assumptions!$D$7,"Other Services"))),"Other Services"))</f>
        <v/>
      </c>
    </row>
    <row r="1769" customFormat="false" ht="15" hidden="false" customHeight="false" outlineLevel="0" collapsed="false">
      <c r="F1769" s="41" t="str">
        <f aca="false">IF(C1769="","",IFERROR(IF(ISNUMBER(SEARCH(Assumptions!$C$5,C1769)),Assumptions!$D$5,IF(ISNUMBER(SEARCH(Assumptions!$C$6,C1769)),Assumptions!$D$6,IF(ISNUMBER(SEARCH(Assumptions!$C$7,C1769)),Assumptions!$D$7,"Other Services"))),"Other Services"))</f>
        <v/>
      </c>
    </row>
    <row r="1770" customFormat="false" ht="15" hidden="false" customHeight="false" outlineLevel="0" collapsed="false">
      <c r="F1770" s="41" t="str">
        <f aca="false">IF(C1770="","",IFERROR(IF(ISNUMBER(SEARCH(Assumptions!$C$5,C1770)),Assumptions!$D$5,IF(ISNUMBER(SEARCH(Assumptions!$C$6,C1770)),Assumptions!$D$6,IF(ISNUMBER(SEARCH(Assumptions!$C$7,C1770)),Assumptions!$D$7,"Other Services"))),"Other Services"))</f>
        <v/>
      </c>
    </row>
    <row r="1771" customFormat="false" ht="15" hidden="false" customHeight="false" outlineLevel="0" collapsed="false">
      <c r="F1771" s="41" t="str">
        <f aca="false">IF(C1771="","",IFERROR(IF(ISNUMBER(SEARCH(Assumptions!$C$5,C1771)),Assumptions!$D$5,IF(ISNUMBER(SEARCH(Assumptions!$C$6,C1771)),Assumptions!$D$6,IF(ISNUMBER(SEARCH(Assumptions!$C$7,C1771)),Assumptions!$D$7,"Other Services"))),"Other Services"))</f>
        <v/>
      </c>
    </row>
    <row r="1772" customFormat="false" ht="15" hidden="false" customHeight="false" outlineLevel="0" collapsed="false">
      <c r="F1772" s="41" t="str">
        <f aca="false">IF(C1772="","",IFERROR(IF(ISNUMBER(SEARCH(Assumptions!$C$5,C1772)),Assumptions!$D$5,IF(ISNUMBER(SEARCH(Assumptions!$C$6,C1772)),Assumptions!$D$6,IF(ISNUMBER(SEARCH(Assumptions!$C$7,C1772)),Assumptions!$D$7,"Other Services"))),"Other Services"))</f>
        <v/>
      </c>
    </row>
    <row r="1773" customFormat="false" ht="15" hidden="false" customHeight="false" outlineLevel="0" collapsed="false">
      <c r="F1773" s="41" t="str">
        <f aca="false">IF(C1773="","",IFERROR(IF(ISNUMBER(SEARCH(Assumptions!$C$5,C1773)),Assumptions!$D$5,IF(ISNUMBER(SEARCH(Assumptions!$C$6,C1773)),Assumptions!$D$6,IF(ISNUMBER(SEARCH(Assumptions!$C$7,C1773)),Assumptions!$D$7,"Other Services"))),"Other Services"))</f>
        <v/>
      </c>
    </row>
    <row r="1774" customFormat="false" ht="15" hidden="false" customHeight="false" outlineLevel="0" collapsed="false">
      <c r="F1774" s="41" t="str">
        <f aca="false">IF(C1774="","",IFERROR(IF(ISNUMBER(SEARCH(Assumptions!$C$5,C1774)),Assumptions!$D$5,IF(ISNUMBER(SEARCH(Assumptions!$C$6,C1774)),Assumptions!$D$6,IF(ISNUMBER(SEARCH(Assumptions!$C$7,C1774)),Assumptions!$D$7,"Other Services"))),"Other Services"))</f>
        <v/>
      </c>
    </row>
    <row r="1775" customFormat="false" ht="15" hidden="false" customHeight="false" outlineLevel="0" collapsed="false">
      <c r="F1775" s="41" t="str">
        <f aca="false">IF(C1775="","",IFERROR(IF(ISNUMBER(SEARCH(Assumptions!$C$5,C1775)),Assumptions!$D$5,IF(ISNUMBER(SEARCH(Assumptions!$C$6,C1775)),Assumptions!$D$6,IF(ISNUMBER(SEARCH(Assumptions!$C$7,C1775)),Assumptions!$D$7,"Other Services"))),"Other Services"))</f>
        <v/>
      </c>
    </row>
    <row r="1776" customFormat="false" ht="15" hidden="false" customHeight="false" outlineLevel="0" collapsed="false">
      <c r="F1776" s="41" t="str">
        <f aca="false">IF(C1776="","",IFERROR(IF(ISNUMBER(SEARCH(Assumptions!$C$5,C1776)),Assumptions!$D$5,IF(ISNUMBER(SEARCH(Assumptions!$C$6,C1776)),Assumptions!$D$6,IF(ISNUMBER(SEARCH(Assumptions!$C$7,C1776)),Assumptions!$D$7,"Other Services"))),"Other Services"))</f>
        <v/>
      </c>
    </row>
    <row r="1777" customFormat="false" ht="15" hidden="false" customHeight="false" outlineLevel="0" collapsed="false">
      <c r="F1777" s="41" t="str">
        <f aca="false">IF(C1777="","",IFERROR(IF(ISNUMBER(SEARCH(Assumptions!$C$5,C1777)),Assumptions!$D$5,IF(ISNUMBER(SEARCH(Assumptions!$C$6,C1777)),Assumptions!$D$6,IF(ISNUMBER(SEARCH(Assumptions!$C$7,C1777)),Assumptions!$D$7,"Other Services"))),"Other Services"))</f>
        <v/>
      </c>
    </row>
    <row r="1778" customFormat="false" ht="15" hidden="false" customHeight="false" outlineLevel="0" collapsed="false">
      <c r="F1778" s="41" t="str">
        <f aca="false">IF(C1778="","",IFERROR(IF(ISNUMBER(SEARCH(Assumptions!$C$5,C1778)),Assumptions!$D$5,IF(ISNUMBER(SEARCH(Assumptions!$C$6,C1778)),Assumptions!$D$6,IF(ISNUMBER(SEARCH(Assumptions!$C$7,C1778)),Assumptions!$D$7,"Other Services"))),"Other Services"))</f>
        <v/>
      </c>
    </row>
    <row r="1779" customFormat="false" ht="15" hidden="false" customHeight="false" outlineLevel="0" collapsed="false">
      <c r="F1779" s="41" t="str">
        <f aca="false">IF(C1779="","",IFERROR(IF(ISNUMBER(SEARCH(Assumptions!$C$5,C1779)),Assumptions!$D$5,IF(ISNUMBER(SEARCH(Assumptions!$C$6,C1779)),Assumptions!$D$6,IF(ISNUMBER(SEARCH(Assumptions!$C$7,C1779)),Assumptions!$D$7,"Other Services"))),"Other Services"))</f>
        <v/>
      </c>
    </row>
    <row r="1780" customFormat="false" ht="15" hidden="false" customHeight="false" outlineLevel="0" collapsed="false">
      <c r="F1780" s="41" t="str">
        <f aca="false">IF(C1780="","",IFERROR(IF(ISNUMBER(SEARCH(Assumptions!$C$5,C1780)),Assumptions!$D$5,IF(ISNUMBER(SEARCH(Assumptions!$C$6,C1780)),Assumptions!$D$6,IF(ISNUMBER(SEARCH(Assumptions!$C$7,C1780)),Assumptions!$D$7,"Other Services"))),"Other Services"))</f>
        <v/>
      </c>
    </row>
    <row r="1781" customFormat="false" ht="15" hidden="false" customHeight="false" outlineLevel="0" collapsed="false">
      <c r="F1781" s="41" t="str">
        <f aca="false">IF(C1781="","",IFERROR(IF(ISNUMBER(SEARCH(Assumptions!$C$5,C1781)),Assumptions!$D$5,IF(ISNUMBER(SEARCH(Assumptions!$C$6,C1781)),Assumptions!$D$6,IF(ISNUMBER(SEARCH(Assumptions!$C$7,C1781)),Assumptions!$D$7,"Other Services"))),"Other Services"))</f>
        <v/>
      </c>
    </row>
    <row r="1782" customFormat="false" ht="15" hidden="false" customHeight="false" outlineLevel="0" collapsed="false">
      <c r="F1782" s="41" t="str">
        <f aca="false">IF(C1782="","",IFERROR(IF(ISNUMBER(SEARCH(Assumptions!$C$5,C1782)),Assumptions!$D$5,IF(ISNUMBER(SEARCH(Assumptions!$C$6,C1782)),Assumptions!$D$6,IF(ISNUMBER(SEARCH(Assumptions!$C$7,C1782)),Assumptions!$D$7,"Other Services"))),"Other Services"))</f>
        <v/>
      </c>
    </row>
    <row r="1783" customFormat="false" ht="15" hidden="false" customHeight="false" outlineLevel="0" collapsed="false">
      <c r="F1783" s="41" t="str">
        <f aca="false">IF(C1783="","",IFERROR(IF(ISNUMBER(SEARCH(Assumptions!$C$5,C1783)),Assumptions!$D$5,IF(ISNUMBER(SEARCH(Assumptions!$C$6,C1783)),Assumptions!$D$6,IF(ISNUMBER(SEARCH(Assumptions!$C$7,C1783)),Assumptions!$D$7,"Other Services"))),"Other Services"))</f>
        <v/>
      </c>
    </row>
    <row r="1784" customFormat="false" ht="15" hidden="false" customHeight="false" outlineLevel="0" collapsed="false">
      <c r="F1784" s="41" t="str">
        <f aca="false">IF(C1784="","",IFERROR(IF(ISNUMBER(SEARCH(Assumptions!$C$5,C1784)),Assumptions!$D$5,IF(ISNUMBER(SEARCH(Assumptions!$C$6,C1784)),Assumptions!$D$6,IF(ISNUMBER(SEARCH(Assumptions!$C$7,C1784)),Assumptions!$D$7,"Other Services"))),"Other Services"))</f>
        <v/>
      </c>
    </row>
    <row r="1785" customFormat="false" ht="15" hidden="false" customHeight="false" outlineLevel="0" collapsed="false">
      <c r="F1785" s="41" t="str">
        <f aca="false">IF(C1785="","",IFERROR(IF(ISNUMBER(SEARCH(Assumptions!$C$5,C1785)),Assumptions!$D$5,IF(ISNUMBER(SEARCH(Assumptions!$C$6,C1785)),Assumptions!$D$6,IF(ISNUMBER(SEARCH(Assumptions!$C$7,C1785)),Assumptions!$D$7,"Other Services"))),"Other Services"))</f>
        <v/>
      </c>
    </row>
    <row r="1786" customFormat="false" ht="15" hidden="false" customHeight="false" outlineLevel="0" collapsed="false">
      <c r="F1786" s="41" t="str">
        <f aca="false">IF(C1786="","",IFERROR(IF(ISNUMBER(SEARCH(Assumptions!$C$5,C1786)),Assumptions!$D$5,IF(ISNUMBER(SEARCH(Assumptions!$C$6,C1786)),Assumptions!$D$6,IF(ISNUMBER(SEARCH(Assumptions!$C$7,C1786)),Assumptions!$D$7,"Other Services"))),"Other Services"))</f>
        <v/>
      </c>
    </row>
    <row r="1787" customFormat="false" ht="15" hidden="false" customHeight="false" outlineLevel="0" collapsed="false">
      <c r="F1787" s="41" t="str">
        <f aca="false">IF(C1787="","",IFERROR(IF(ISNUMBER(SEARCH(Assumptions!$C$5,C1787)),Assumptions!$D$5,IF(ISNUMBER(SEARCH(Assumptions!$C$6,C1787)),Assumptions!$D$6,IF(ISNUMBER(SEARCH(Assumptions!$C$7,C1787)),Assumptions!$D$7,"Other Services"))),"Other Services"))</f>
        <v/>
      </c>
    </row>
    <row r="1788" customFormat="false" ht="15" hidden="false" customHeight="false" outlineLevel="0" collapsed="false">
      <c r="F1788" s="41" t="str">
        <f aca="false">IF(C1788="","",IFERROR(IF(ISNUMBER(SEARCH(Assumptions!$C$5,C1788)),Assumptions!$D$5,IF(ISNUMBER(SEARCH(Assumptions!$C$6,C1788)),Assumptions!$D$6,IF(ISNUMBER(SEARCH(Assumptions!$C$7,C1788)),Assumptions!$D$7,"Other Services"))),"Other Services"))</f>
        <v/>
      </c>
    </row>
    <row r="1789" customFormat="false" ht="15" hidden="false" customHeight="false" outlineLevel="0" collapsed="false">
      <c r="F1789" s="41" t="str">
        <f aca="false">IF(C1789="","",IFERROR(IF(ISNUMBER(SEARCH(Assumptions!$C$5,C1789)),Assumptions!$D$5,IF(ISNUMBER(SEARCH(Assumptions!$C$6,C1789)),Assumptions!$D$6,IF(ISNUMBER(SEARCH(Assumptions!$C$7,C1789)),Assumptions!$D$7,"Other Services"))),"Other Services"))</f>
        <v/>
      </c>
    </row>
    <row r="1790" customFormat="false" ht="15" hidden="false" customHeight="false" outlineLevel="0" collapsed="false">
      <c r="F1790" s="41" t="str">
        <f aca="false">IF(C1790="","",IFERROR(IF(ISNUMBER(SEARCH(Assumptions!$C$5,C1790)),Assumptions!$D$5,IF(ISNUMBER(SEARCH(Assumptions!$C$6,C1790)),Assumptions!$D$6,IF(ISNUMBER(SEARCH(Assumptions!$C$7,C1790)),Assumptions!$D$7,"Other Services"))),"Other Services"))</f>
        <v/>
      </c>
    </row>
    <row r="1791" customFormat="false" ht="15" hidden="false" customHeight="false" outlineLevel="0" collapsed="false">
      <c r="F1791" s="41" t="str">
        <f aca="false">IF(C1791="","",IFERROR(IF(ISNUMBER(SEARCH(Assumptions!$C$5,C1791)),Assumptions!$D$5,IF(ISNUMBER(SEARCH(Assumptions!$C$6,C1791)),Assumptions!$D$6,IF(ISNUMBER(SEARCH(Assumptions!$C$7,C1791)),Assumptions!$D$7,"Other Services"))),"Other Services"))</f>
        <v/>
      </c>
    </row>
    <row r="1792" customFormat="false" ht="15" hidden="false" customHeight="false" outlineLevel="0" collapsed="false">
      <c r="F1792" s="41" t="str">
        <f aca="false">IF(C1792="","",IFERROR(IF(ISNUMBER(SEARCH(Assumptions!$C$5,C1792)),Assumptions!$D$5,IF(ISNUMBER(SEARCH(Assumptions!$C$6,C1792)),Assumptions!$D$6,IF(ISNUMBER(SEARCH(Assumptions!$C$7,C1792)),Assumptions!$D$7,"Other Services"))),"Other Services"))</f>
        <v/>
      </c>
    </row>
    <row r="1793" customFormat="false" ht="15" hidden="false" customHeight="false" outlineLevel="0" collapsed="false">
      <c r="F1793" s="41" t="str">
        <f aca="false">IF(C1793="","",IFERROR(IF(ISNUMBER(SEARCH(Assumptions!$C$5,C1793)),Assumptions!$D$5,IF(ISNUMBER(SEARCH(Assumptions!$C$6,C1793)),Assumptions!$D$6,IF(ISNUMBER(SEARCH(Assumptions!$C$7,C1793)),Assumptions!$D$7,"Other Services"))),"Other Services"))</f>
        <v/>
      </c>
    </row>
    <row r="1794" customFormat="false" ht="15" hidden="false" customHeight="false" outlineLevel="0" collapsed="false">
      <c r="F1794" s="41" t="str">
        <f aca="false">IF(C1794="","",IFERROR(IF(ISNUMBER(SEARCH(Assumptions!$C$5,C1794)),Assumptions!$D$5,IF(ISNUMBER(SEARCH(Assumptions!$C$6,C1794)),Assumptions!$D$6,IF(ISNUMBER(SEARCH(Assumptions!$C$7,C1794)),Assumptions!$D$7,"Other Services"))),"Other Services"))</f>
        <v/>
      </c>
    </row>
    <row r="1795" customFormat="false" ht="15" hidden="false" customHeight="false" outlineLevel="0" collapsed="false">
      <c r="F1795" s="41" t="str">
        <f aca="false">IF(C1795="","",IFERROR(IF(ISNUMBER(SEARCH(Assumptions!$C$5,C1795)),Assumptions!$D$5,IF(ISNUMBER(SEARCH(Assumptions!$C$6,C1795)),Assumptions!$D$6,IF(ISNUMBER(SEARCH(Assumptions!$C$7,C1795)),Assumptions!$D$7,"Other Services"))),"Other Services"))</f>
        <v/>
      </c>
    </row>
    <row r="1796" customFormat="false" ht="15" hidden="false" customHeight="false" outlineLevel="0" collapsed="false">
      <c r="F1796" s="41" t="str">
        <f aca="false">IF(C1796="","",IFERROR(IF(ISNUMBER(SEARCH(Assumptions!$C$5,C1796)),Assumptions!$D$5,IF(ISNUMBER(SEARCH(Assumptions!$C$6,C1796)),Assumptions!$D$6,IF(ISNUMBER(SEARCH(Assumptions!$C$7,C1796)),Assumptions!$D$7,"Other Services"))),"Other Services"))</f>
        <v/>
      </c>
    </row>
    <row r="1797" customFormat="false" ht="15" hidden="false" customHeight="false" outlineLevel="0" collapsed="false">
      <c r="F1797" s="41" t="str">
        <f aca="false">IF(C1797="","",IFERROR(IF(ISNUMBER(SEARCH(Assumptions!$C$5,C1797)),Assumptions!$D$5,IF(ISNUMBER(SEARCH(Assumptions!$C$6,C1797)),Assumptions!$D$6,IF(ISNUMBER(SEARCH(Assumptions!$C$7,C1797)),Assumptions!$D$7,"Other Services"))),"Other Services"))</f>
        <v/>
      </c>
    </row>
    <row r="1798" customFormat="false" ht="15" hidden="false" customHeight="false" outlineLevel="0" collapsed="false">
      <c r="F1798" s="41" t="str">
        <f aca="false">IF(C1798="","",IFERROR(IF(ISNUMBER(SEARCH(Assumptions!$C$5,C1798)),Assumptions!$D$5,IF(ISNUMBER(SEARCH(Assumptions!$C$6,C1798)),Assumptions!$D$6,IF(ISNUMBER(SEARCH(Assumptions!$C$7,C1798)),Assumptions!$D$7,"Other Services"))),"Other Services"))</f>
        <v/>
      </c>
    </row>
    <row r="1799" customFormat="false" ht="15" hidden="false" customHeight="false" outlineLevel="0" collapsed="false">
      <c r="F1799" s="41" t="str">
        <f aca="false">IF(C1799="","",IFERROR(IF(ISNUMBER(SEARCH(Assumptions!$C$5,C1799)),Assumptions!$D$5,IF(ISNUMBER(SEARCH(Assumptions!$C$6,C1799)),Assumptions!$D$6,IF(ISNUMBER(SEARCH(Assumptions!$C$7,C1799)),Assumptions!$D$7,"Other Services"))),"Other Services"))</f>
        <v/>
      </c>
    </row>
    <row r="1800" customFormat="false" ht="15" hidden="false" customHeight="false" outlineLevel="0" collapsed="false">
      <c r="F1800" s="41" t="str">
        <f aca="false">IF(C1800="","",IFERROR(IF(ISNUMBER(SEARCH(Assumptions!$C$5,C1800)),Assumptions!$D$5,IF(ISNUMBER(SEARCH(Assumptions!$C$6,C1800)),Assumptions!$D$6,IF(ISNUMBER(SEARCH(Assumptions!$C$7,C1800)),Assumptions!$D$7,"Other Services"))),"Other Services"))</f>
        <v/>
      </c>
    </row>
    <row r="1801" customFormat="false" ht="15" hidden="false" customHeight="false" outlineLevel="0" collapsed="false">
      <c r="F1801" s="41" t="str">
        <f aca="false">IF(C1801="","",IFERROR(IF(ISNUMBER(SEARCH(Assumptions!$C$5,C1801)),Assumptions!$D$5,IF(ISNUMBER(SEARCH(Assumptions!$C$6,C1801)),Assumptions!$D$6,IF(ISNUMBER(SEARCH(Assumptions!$C$7,C1801)),Assumptions!$D$7,"Other Services"))),"Other Services"))</f>
        <v/>
      </c>
    </row>
    <row r="1802" customFormat="false" ht="15" hidden="false" customHeight="false" outlineLevel="0" collapsed="false">
      <c r="F1802" s="41" t="str">
        <f aca="false">IF(C1802="","",IFERROR(IF(ISNUMBER(SEARCH(Assumptions!$C$5,C1802)),Assumptions!$D$5,IF(ISNUMBER(SEARCH(Assumptions!$C$6,C1802)),Assumptions!$D$6,IF(ISNUMBER(SEARCH(Assumptions!$C$7,C1802)),Assumptions!$D$7,"Other Services"))),"Other Services"))</f>
        <v/>
      </c>
    </row>
    <row r="1803" customFormat="false" ht="15" hidden="false" customHeight="false" outlineLevel="0" collapsed="false">
      <c r="F1803" s="41" t="str">
        <f aca="false">IF(C1803="","",IFERROR(IF(ISNUMBER(SEARCH(Assumptions!$C$5,C1803)),Assumptions!$D$5,IF(ISNUMBER(SEARCH(Assumptions!$C$6,C1803)),Assumptions!$D$6,IF(ISNUMBER(SEARCH(Assumptions!$C$7,C1803)),Assumptions!$D$7,"Other Services"))),"Other Services"))</f>
        <v/>
      </c>
    </row>
    <row r="1804" customFormat="false" ht="15" hidden="false" customHeight="false" outlineLevel="0" collapsed="false">
      <c r="F1804" s="41" t="str">
        <f aca="false">IF(C1804="","",IFERROR(IF(ISNUMBER(SEARCH(Assumptions!$C$5,C1804)),Assumptions!$D$5,IF(ISNUMBER(SEARCH(Assumptions!$C$6,C1804)),Assumptions!$D$6,IF(ISNUMBER(SEARCH(Assumptions!$C$7,C1804)),Assumptions!$D$7,"Other Services"))),"Other Services"))</f>
        <v/>
      </c>
    </row>
    <row r="1805" customFormat="false" ht="15" hidden="false" customHeight="false" outlineLevel="0" collapsed="false">
      <c r="F1805" s="41" t="str">
        <f aca="false">IF(C1805="","",IFERROR(IF(ISNUMBER(SEARCH(Assumptions!$C$5,C1805)),Assumptions!$D$5,IF(ISNUMBER(SEARCH(Assumptions!$C$6,C1805)),Assumptions!$D$6,IF(ISNUMBER(SEARCH(Assumptions!$C$7,C1805)),Assumptions!$D$7,"Other Services"))),"Other Services"))</f>
        <v/>
      </c>
    </row>
    <row r="1806" customFormat="false" ht="15" hidden="false" customHeight="false" outlineLevel="0" collapsed="false">
      <c r="F1806" s="41" t="str">
        <f aca="false">IF(C1806="","",IFERROR(IF(ISNUMBER(SEARCH(Assumptions!$C$5,C1806)),Assumptions!$D$5,IF(ISNUMBER(SEARCH(Assumptions!$C$6,C1806)),Assumptions!$D$6,IF(ISNUMBER(SEARCH(Assumptions!$C$7,C1806)),Assumptions!$D$7,"Other Services"))),"Other Services"))</f>
        <v/>
      </c>
    </row>
    <row r="1807" customFormat="false" ht="15" hidden="false" customHeight="false" outlineLevel="0" collapsed="false">
      <c r="F1807" s="41" t="str">
        <f aca="false">IF(C1807="","",IFERROR(IF(ISNUMBER(SEARCH(Assumptions!$C$5,C1807)),Assumptions!$D$5,IF(ISNUMBER(SEARCH(Assumptions!$C$6,C1807)),Assumptions!$D$6,IF(ISNUMBER(SEARCH(Assumptions!$C$7,C1807)),Assumptions!$D$7,"Other Services"))),"Other Services"))</f>
        <v/>
      </c>
    </row>
    <row r="1808" customFormat="false" ht="15" hidden="false" customHeight="false" outlineLevel="0" collapsed="false">
      <c r="F1808" s="41" t="str">
        <f aca="false">IF(C1808="","",IFERROR(IF(ISNUMBER(SEARCH(Assumptions!$C$5,C1808)),Assumptions!$D$5,IF(ISNUMBER(SEARCH(Assumptions!$C$6,C1808)),Assumptions!$D$6,IF(ISNUMBER(SEARCH(Assumptions!$C$7,C1808)),Assumptions!$D$7,"Other Services"))),"Other Services"))</f>
        <v/>
      </c>
    </row>
    <row r="1809" customFormat="false" ht="15" hidden="false" customHeight="false" outlineLevel="0" collapsed="false">
      <c r="F1809" s="41" t="str">
        <f aca="false">IF(C1809="","",IFERROR(IF(ISNUMBER(SEARCH(Assumptions!$C$5,C1809)),Assumptions!$D$5,IF(ISNUMBER(SEARCH(Assumptions!$C$6,C1809)),Assumptions!$D$6,IF(ISNUMBER(SEARCH(Assumptions!$C$7,C1809)),Assumptions!$D$7,"Other Services"))),"Other Services"))</f>
        <v/>
      </c>
    </row>
    <row r="1810" customFormat="false" ht="15" hidden="false" customHeight="false" outlineLevel="0" collapsed="false">
      <c r="F1810" s="41" t="str">
        <f aca="false">IF(C1810="","",IFERROR(IF(ISNUMBER(SEARCH(Assumptions!$C$5,C1810)),Assumptions!$D$5,IF(ISNUMBER(SEARCH(Assumptions!$C$6,C1810)),Assumptions!$D$6,IF(ISNUMBER(SEARCH(Assumptions!$C$7,C1810)),Assumptions!$D$7,"Other Services"))),"Other Services"))</f>
        <v/>
      </c>
    </row>
    <row r="1811" customFormat="false" ht="15" hidden="false" customHeight="false" outlineLevel="0" collapsed="false">
      <c r="F1811" s="41" t="str">
        <f aca="false">IF(C1811="","",IFERROR(IF(ISNUMBER(SEARCH(Assumptions!$C$5,C1811)),Assumptions!$D$5,IF(ISNUMBER(SEARCH(Assumptions!$C$6,C1811)),Assumptions!$D$6,IF(ISNUMBER(SEARCH(Assumptions!$C$7,C1811)),Assumptions!$D$7,"Other Services"))),"Other Services"))</f>
        <v/>
      </c>
    </row>
    <row r="1812" customFormat="false" ht="15" hidden="false" customHeight="false" outlineLevel="0" collapsed="false">
      <c r="F1812" s="41" t="str">
        <f aca="false">IF(C1812="","",IFERROR(IF(ISNUMBER(SEARCH(Assumptions!$C$5,C1812)),Assumptions!$D$5,IF(ISNUMBER(SEARCH(Assumptions!$C$6,C1812)),Assumptions!$D$6,IF(ISNUMBER(SEARCH(Assumptions!$C$7,C1812)),Assumptions!$D$7,"Other Services"))),"Other Services"))</f>
        <v/>
      </c>
    </row>
    <row r="1813" customFormat="false" ht="15" hidden="false" customHeight="false" outlineLevel="0" collapsed="false">
      <c r="F1813" s="41" t="str">
        <f aca="false">IF(C1813="","",IFERROR(IF(ISNUMBER(SEARCH(Assumptions!$C$5,C1813)),Assumptions!$D$5,IF(ISNUMBER(SEARCH(Assumptions!$C$6,C1813)),Assumptions!$D$6,IF(ISNUMBER(SEARCH(Assumptions!$C$7,C1813)),Assumptions!$D$7,"Other Services"))),"Other Services"))</f>
        <v/>
      </c>
    </row>
    <row r="1814" customFormat="false" ht="15" hidden="false" customHeight="false" outlineLevel="0" collapsed="false">
      <c r="F1814" s="41" t="str">
        <f aca="false">IF(C1814="","",IFERROR(IF(ISNUMBER(SEARCH(Assumptions!$C$5,C1814)),Assumptions!$D$5,IF(ISNUMBER(SEARCH(Assumptions!$C$6,C1814)),Assumptions!$D$6,IF(ISNUMBER(SEARCH(Assumptions!$C$7,C1814)),Assumptions!$D$7,"Other Services"))),"Other Services"))</f>
        <v/>
      </c>
    </row>
    <row r="1815" customFormat="false" ht="15" hidden="false" customHeight="false" outlineLevel="0" collapsed="false">
      <c r="F1815" s="41" t="str">
        <f aca="false">IF(C1815="","",IFERROR(IF(ISNUMBER(SEARCH(Assumptions!$C$5,C1815)),Assumptions!$D$5,IF(ISNUMBER(SEARCH(Assumptions!$C$6,C1815)),Assumptions!$D$6,IF(ISNUMBER(SEARCH(Assumptions!$C$7,C1815)),Assumptions!$D$7,"Other Services"))),"Other Services"))</f>
        <v/>
      </c>
    </row>
    <row r="1816" customFormat="false" ht="15" hidden="false" customHeight="false" outlineLevel="0" collapsed="false">
      <c r="F1816" s="41" t="str">
        <f aca="false">IF(C1816="","",IFERROR(IF(ISNUMBER(SEARCH(Assumptions!$C$5,C1816)),Assumptions!$D$5,IF(ISNUMBER(SEARCH(Assumptions!$C$6,C1816)),Assumptions!$D$6,IF(ISNUMBER(SEARCH(Assumptions!$C$7,C1816)),Assumptions!$D$7,"Other Services"))),"Other Services"))</f>
        <v/>
      </c>
    </row>
    <row r="1817" customFormat="false" ht="15" hidden="false" customHeight="false" outlineLevel="0" collapsed="false">
      <c r="F1817" s="41" t="str">
        <f aca="false">IF(C1817="","",IFERROR(IF(ISNUMBER(SEARCH(Assumptions!$C$5,C1817)),Assumptions!$D$5,IF(ISNUMBER(SEARCH(Assumptions!$C$6,C1817)),Assumptions!$D$6,IF(ISNUMBER(SEARCH(Assumptions!$C$7,C1817)),Assumptions!$D$7,"Other Services"))),"Other Services"))</f>
        <v/>
      </c>
    </row>
    <row r="1818" customFormat="false" ht="15" hidden="false" customHeight="false" outlineLevel="0" collapsed="false">
      <c r="F1818" s="41" t="str">
        <f aca="false">IF(C1818="","",IFERROR(IF(ISNUMBER(SEARCH(Assumptions!$C$5,C1818)),Assumptions!$D$5,IF(ISNUMBER(SEARCH(Assumptions!$C$6,C1818)),Assumptions!$D$6,IF(ISNUMBER(SEARCH(Assumptions!$C$7,C1818)),Assumptions!$D$7,"Other Services"))),"Other Services"))</f>
        <v/>
      </c>
    </row>
    <row r="1819" customFormat="false" ht="15" hidden="false" customHeight="false" outlineLevel="0" collapsed="false">
      <c r="F1819" s="41" t="str">
        <f aca="false">IF(C1819="","",IFERROR(IF(ISNUMBER(SEARCH(Assumptions!$C$5,C1819)),Assumptions!$D$5,IF(ISNUMBER(SEARCH(Assumptions!$C$6,C1819)),Assumptions!$D$6,IF(ISNUMBER(SEARCH(Assumptions!$C$7,C1819)),Assumptions!$D$7,"Other Services"))),"Other Services"))</f>
        <v/>
      </c>
    </row>
    <row r="1820" customFormat="false" ht="15" hidden="false" customHeight="false" outlineLevel="0" collapsed="false">
      <c r="F1820" s="41" t="str">
        <f aca="false">IF(C1820="","",IFERROR(IF(ISNUMBER(SEARCH(Assumptions!$C$5,C1820)),Assumptions!$D$5,IF(ISNUMBER(SEARCH(Assumptions!$C$6,C1820)),Assumptions!$D$6,IF(ISNUMBER(SEARCH(Assumptions!$C$7,C1820)),Assumptions!$D$7,"Other Services"))),"Other Services"))</f>
        <v/>
      </c>
    </row>
    <row r="1821" customFormat="false" ht="15" hidden="false" customHeight="false" outlineLevel="0" collapsed="false">
      <c r="F1821" s="41" t="str">
        <f aca="false">IF(C1821="","",IFERROR(IF(ISNUMBER(SEARCH(Assumptions!$C$5,C1821)),Assumptions!$D$5,IF(ISNUMBER(SEARCH(Assumptions!$C$6,C1821)),Assumptions!$D$6,IF(ISNUMBER(SEARCH(Assumptions!$C$7,C1821)),Assumptions!$D$7,"Other Services"))),"Other Services"))</f>
        <v/>
      </c>
    </row>
    <row r="1822" customFormat="false" ht="15" hidden="false" customHeight="false" outlineLevel="0" collapsed="false">
      <c r="F1822" s="41" t="str">
        <f aca="false">IF(C1822="","",IFERROR(IF(ISNUMBER(SEARCH(Assumptions!$C$5,C1822)),Assumptions!$D$5,IF(ISNUMBER(SEARCH(Assumptions!$C$6,C1822)),Assumptions!$D$6,IF(ISNUMBER(SEARCH(Assumptions!$C$7,C1822)),Assumptions!$D$7,"Other Services"))),"Other Services"))</f>
        <v/>
      </c>
    </row>
    <row r="1823" customFormat="false" ht="15" hidden="false" customHeight="false" outlineLevel="0" collapsed="false">
      <c r="F1823" s="41" t="str">
        <f aca="false">IF(C1823="","",IFERROR(IF(ISNUMBER(SEARCH(Assumptions!$C$5,C1823)),Assumptions!$D$5,IF(ISNUMBER(SEARCH(Assumptions!$C$6,C1823)),Assumptions!$D$6,IF(ISNUMBER(SEARCH(Assumptions!$C$7,C1823)),Assumptions!$D$7,"Other Services"))),"Other Services"))</f>
        <v/>
      </c>
    </row>
    <row r="1824" customFormat="false" ht="15" hidden="false" customHeight="false" outlineLevel="0" collapsed="false">
      <c r="F1824" s="41" t="str">
        <f aca="false">IF(C1824="","",IFERROR(IF(ISNUMBER(SEARCH(Assumptions!$C$5,C1824)),Assumptions!$D$5,IF(ISNUMBER(SEARCH(Assumptions!$C$6,C1824)),Assumptions!$D$6,IF(ISNUMBER(SEARCH(Assumptions!$C$7,C1824)),Assumptions!$D$7,"Other Services"))),"Other Services"))</f>
        <v/>
      </c>
    </row>
    <row r="1825" customFormat="false" ht="15" hidden="false" customHeight="false" outlineLevel="0" collapsed="false">
      <c r="F1825" s="41" t="str">
        <f aca="false">IF(C1825="","",IFERROR(IF(ISNUMBER(SEARCH(Assumptions!$C$5,C1825)),Assumptions!$D$5,IF(ISNUMBER(SEARCH(Assumptions!$C$6,C1825)),Assumptions!$D$6,IF(ISNUMBER(SEARCH(Assumptions!$C$7,C1825)),Assumptions!$D$7,"Other Services"))),"Other Services"))</f>
        <v/>
      </c>
    </row>
    <row r="1826" customFormat="false" ht="15" hidden="false" customHeight="false" outlineLevel="0" collapsed="false">
      <c r="F1826" s="41" t="str">
        <f aca="false">IF(C1826="","",IFERROR(IF(ISNUMBER(SEARCH(Assumptions!$C$5,C1826)),Assumptions!$D$5,IF(ISNUMBER(SEARCH(Assumptions!$C$6,C1826)),Assumptions!$D$6,IF(ISNUMBER(SEARCH(Assumptions!$C$7,C1826)),Assumptions!$D$7,"Other Services"))),"Other Services"))</f>
        <v/>
      </c>
    </row>
    <row r="1827" customFormat="false" ht="15" hidden="false" customHeight="false" outlineLevel="0" collapsed="false">
      <c r="F1827" s="41" t="str">
        <f aca="false">IF(C1827="","",IFERROR(IF(ISNUMBER(SEARCH(Assumptions!$C$5,C1827)),Assumptions!$D$5,IF(ISNUMBER(SEARCH(Assumptions!$C$6,C1827)),Assumptions!$D$6,IF(ISNUMBER(SEARCH(Assumptions!$C$7,C1827)),Assumptions!$D$7,"Other Services"))),"Other Services"))</f>
        <v/>
      </c>
    </row>
    <row r="1828" customFormat="false" ht="15" hidden="false" customHeight="false" outlineLevel="0" collapsed="false">
      <c r="F1828" s="41" t="str">
        <f aca="false">IF(C1828="","",IFERROR(IF(ISNUMBER(SEARCH(Assumptions!$C$5,C1828)),Assumptions!$D$5,IF(ISNUMBER(SEARCH(Assumptions!$C$6,C1828)),Assumptions!$D$6,IF(ISNUMBER(SEARCH(Assumptions!$C$7,C1828)),Assumptions!$D$7,"Other Services"))),"Other Services"))</f>
        <v/>
      </c>
    </row>
    <row r="1829" customFormat="false" ht="15" hidden="false" customHeight="false" outlineLevel="0" collapsed="false">
      <c r="F1829" s="41" t="str">
        <f aca="false">IF(C1829="","",IFERROR(IF(ISNUMBER(SEARCH(Assumptions!$C$5,C1829)),Assumptions!$D$5,IF(ISNUMBER(SEARCH(Assumptions!$C$6,C1829)),Assumptions!$D$6,IF(ISNUMBER(SEARCH(Assumptions!$C$7,C1829)),Assumptions!$D$7,"Other Services"))),"Other Services"))</f>
        <v/>
      </c>
    </row>
    <row r="1830" customFormat="false" ht="15" hidden="false" customHeight="false" outlineLevel="0" collapsed="false">
      <c r="F1830" s="41" t="str">
        <f aca="false">IF(C1830="","",IFERROR(IF(ISNUMBER(SEARCH(Assumptions!$C$5,C1830)),Assumptions!$D$5,IF(ISNUMBER(SEARCH(Assumptions!$C$6,C1830)),Assumptions!$D$6,IF(ISNUMBER(SEARCH(Assumptions!$C$7,C1830)),Assumptions!$D$7,"Other Services"))),"Other Services"))</f>
        <v/>
      </c>
    </row>
    <row r="1831" customFormat="false" ht="15" hidden="false" customHeight="false" outlineLevel="0" collapsed="false">
      <c r="F1831" s="41" t="str">
        <f aca="false">IF(C1831="","",IFERROR(IF(ISNUMBER(SEARCH(Assumptions!$C$5,C1831)),Assumptions!$D$5,IF(ISNUMBER(SEARCH(Assumptions!$C$6,C1831)),Assumptions!$D$6,IF(ISNUMBER(SEARCH(Assumptions!$C$7,C1831)),Assumptions!$D$7,"Other Services"))),"Other Services"))</f>
        <v/>
      </c>
    </row>
    <row r="1832" customFormat="false" ht="15" hidden="false" customHeight="false" outlineLevel="0" collapsed="false">
      <c r="F1832" s="41" t="str">
        <f aca="false">IF(C1832="","",IFERROR(IF(ISNUMBER(SEARCH(Assumptions!$C$5,C1832)),Assumptions!$D$5,IF(ISNUMBER(SEARCH(Assumptions!$C$6,C1832)),Assumptions!$D$6,IF(ISNUMBER(SEARCH(Assumptions!$C$7,C1832)),Assumptions!$D$7,"Other Services"))),"Other Services"))</f>
        <v/>
      </c>
    </row>
    <row r="1833" customFormat="false" ht="15" hidden="false" customHeight="false" outlineLevel="0" collapsed="false">
      <c r="F1833" s="41" t="str">
        <f aca="false">IF(C1833="","",IFERROR(IF(ISNUMBER(SEARCH(Assumptions!$C$5,C1833)),Assumptions!$D$5,IF(ISNUMBER(SEARCH(Assumptions!$C$6,C1833)),Assumptions!$D$6,IF(ISNUMBER(SEARCH(Assumptions!$C$7,C1833)),Assumptions!$D$7,"Other Services"))),"Other Services"))</f>
        <v/>
      </c>
    </row>
    <row r="1834" customFormat="false" ht="15" hidden="false" customHeight="false" outlineLevel="0" collapsed="false">
      <c r="F1834" s="41" t="str">
        <f aca="false">IF(C1834="","",IFERROR(IF(ISNUMBER(SEARCH(Assumptions!$C$5,C1834)),Assumptions!$D$5,IF(ISNUMBER(SEARCH(Assumptions!$C$6,C1834)),Assumptions!$D$6,IF(ISNUMBER(SEARCH(Assumptions!$C$7,C1834)),Assumptions!$D$7,"Other Services"))),"Other Services"))</f>
        <v/>
      </c>
    </row>
    <row r="1835" customFormat="false" ht="15" hidden="false" customHeight="false" outlineLevel="0" collapsed="false">
      <c r="F1835" s="41" t="str">
        <f aca="false">IF(C1835="","",IFERROR(IF(ISNUMBER(SEARCH(Assumptions!$C$5,C1835)),Assumptions!$D$5,IF(ISNUMBER(SEARCH(Assumptions!$C$6,C1835)),Assumptions!$D$6,IF(ISNUMBER(SEARCH(Assumptions!$C$7,C1835)),Assumptions!$D$7,"Other Services"))),"Other Services"))</f>
        <v/>
      </c>
    </row>
    <row r="1836" customFormat="false" ht="15" hidden="false" customHeight="false" outlineLevel="0" collapsed="false">
      <c r="F1836" s="41" t="str">
        <f aca="false">IF(C1836="","",IFERROR(IF(ISNUMBER(SEARCH(Assumptions!$C$5,C1836)),Assumptions!$D$5,IF(ISNUMBER(SEARCH(Assumptions!$C$6,C1836)),Assumptions!$D$6,IF(ISNUMBER(SEARCH(Assumptions!$C$7,C1836)),Assumptions!$D$7,"Other Services"))),"Other Services"))</f>
        <v/>
      </c>
    </row>
    <row r="1837" customFormat="false" ht="15" hidden="false" customHeight="false" outlineLevel="0" collapsed="false">
      <c r="F1837" s="41" t="str">
        <f aca="false">IF(C1837="","",IFERROR(IF(ISNUMBER(SEARCH(Assumptions!$C$5,C1837)),Assumptions!$D$5,IF(ISNUMBER(SEARCH(Assumptions!$C$6,C1837)),Assumptions!$D$6,IF(ISNUMBER(SEARCH(Assumptions!$C$7,C1837)),Assumptions!$D$7,"Other Services"))),"Other Services"))</f>
        <v/>
      </c>
    </row>
    <row r="1838" customFormat="false" ht="15" hidden="false" customHeight="false" outlineLevel="0" collapsed="false">
      <c r="F1838" s="41" t="str">
        <f aca="false">IF(C1838="","",IFERROR(IF(ISNUMBER(SEARCH(Assumptions!$C$5,C1838)),Assumptions!$D$5,IF(ISNUMBER(SEARCH(Assumptions!$C$6,C1838)),Assumptions!$D$6,IF(ISNUMBER(SEARCH(Assumptions!$C$7,C1838)),Assumptions!$D$7,"Other Services"))),"Other Services"))</f>
        <v/>
      </c>
    </row>
    <row r="1839" customFormat="false" ht="15" hidden="false" customHeight="false" outlineLevel="0" collapsed="false">
      <c r="F1839" s="41" t="str">
        <f aca="false">IF(C1839="","",IFERROR(IF(ISNUMBER(SEARCH(Assumptions!$C$5,C1839)),Assumptions!$D$5,IF(ISNUMBER(SEARCH(Assumptions!$C$6,C1839)),Assumptions!$D$6,IF(ISNUMBER(SEARCH(Assumptions!$C$7,C1839)),Assumptions!$D$7,"Other Services"))),"Other Services"))</f>
        <v/>
      </c>
    </row>
    <row r="1840" customFormat="false" ht="15" hidden="false" customHeight="false" outlineLevel="0" collapsed="false">
      <c r="F1840" s="41" t="str">
        <f aca="false">IF(C1840="","",IFERROR(IF(ISNUMBER(SEARCH(Assumptions!$C$5,C1840)),Assumptions!$D$5,IF(ISNUMBER(SEARCH(Assumptions!$C$6,C1840)),Assumptions!$D$6,IF(ISNUMBER(SEARCH(Assumptions!$C$7,C1840)),Assumptions!$D$7,"Other Services"))),"Other Services"))</f>
        <v/>
      </c>
    </row>
    <row r="1841" customFormat="false" ht="15" hidden="false" customHeight="false" outlineLevel="0" collapsed="false">
      <c r="F1841" s="41" t="str">
        <f aca="false">IF(C1841="","",IFERROR(IF(ISNUMBER(SEARCH(Assumptions!$C$5,C1841)),Assumptions!$D$5,IF(ISNUMBER(SEARCH(Assumptions!$C$6,C1841)),Assumptions!$D$6,IF(ISNUMBER(SEARCH(Assumptions!$C$7,C1841)),Assumptions!$D$7,"Other Services"))),"Other Services"))</f>
        <v/>
      </c>
    </row>
    <row r="1842" customFormat="false" ht="15" hidden="false" customHeight="false" outlineLevel="0" collapsed="false">
      <c r="F1842" s="41" t="str">
        <f aca="false">IF(C1842="","",IFERROR(IF(ISNUMBER(SEARCH(Assumptions!$C$5,C1842)),Assumptions!$D$5,IF(ISNUMBER(SEARCH(Assumptions!$C$6,C1842)),Assumptions!$D$6,IF(ISNUMBER(SEARCH(Assumptions!$C$7,C1842)),Assumptions!$D$7,"Other Services"))),"Other Services"))</f>
        <v/>
      </c>
    </row>
    <row r="1843" customFormat="false" ht="15" hidden="false" customHeight="false" outlineLevel="0" collapsed="false">
      <c r="F1843" s="41" t="str">
        <f aca="false">IF(C1843="","",IFERROR(IF(ISNUMBER(SEARCH(Assumptions!$C$5,C1843)),Assumptions!$D$5,IF(ISNUMBER(SEARCH(Assumptions!$C$6,C1843)),Assumptions!$D$6,IF(ISNUMBER(SEARCH(Assumptions!$C$7,C1843)),Assumptions!$D$7,"Other Services"))),"Other Services"))</f>
        <v/>
      </c>
    </row>
    <row r="1844" customFormat="false" ht="15" hidden="false" customHeight="false" outlineLevel="0" collapsed="false">
      <c r="F1844" s="41" t="str">
        <f aca="false">IF(C1844="","",IFERROR(IF(ISNUMBER(SEARCH(Assumptions!$C$5,C1844)),Assumptions!$D$5,IF(ISNUMBER(SEARCH(Assumptions!$C$6,C1844)),Assumptions!$D$6,IF(ISNUMBER(SEARCH(Assumptions!$C$7,C1844)),Assumptions!$D$7,"Other Services"))),"Other Services"))</f>
        <v/>
      </c>
    </row>
    <row r="1845" customFormat="false" ht="15" hidden="false" customHeight="false" outlineLevel="0" collapsed="false">
      <c r="F1845" s="41" t="str">
        <f aca="false">IF(C1845="","",IFERROR(IF(ISNUMBER(SEARCH(Assumptions!$C$5,C1845)),Assumptions!$D$5,IF(ISNUMBER(SEARCH(Assumptions!$C$6,C1845)),Assumptions!$D$6,IF(ISNUMBER(SEARCH(Assumptions!$C$7,C1845)),Assumptions!$D$7,"Other Services"))),"Other Services"))</f>
        <v/>
      </c>
    </row>
    <row r="1846" customFormat="false" ht="15" hidden="false" customHeight="false" outlineLevel="0" collapsed="false">
      <c r="F1846" s="41" t="str">
        <f aca="false">IF(C1846="","",IFERROR(IF(ISNUMBER(SEARCH(Assumptions!$C$5,C1846)),Assumptions!$D$5,IF(ISNUMBER(SEARCH(Assumptions!$C$6,C1846)),Assumptions!$D$6,IF(ISNUMBER(SEARCH(Assumptions!$C$7,C1846)),Assumptions!$D$7,"Other Services"))),"Other Services"))</f>
        <v/>
      </c>
    </row>
    <row r="1847" customFormat="false" ht="15" hidden="false" customHeight="false" outlineLevel="0" collapsed="false">
      <c r="F1847" s="41" t="str">
        <f aca="false">IF(C1847="","",IFERROR(IF(ISNUMBER(SEARCH(Assumptions!$C$5,C1847)),Assumptions!$D$5,IF(ISNUMBER(SEARCH(Assumptions!$C$6,C1847)),Assumptions!$D$6,IF(ISNUMBER(SEARCH(Assumptions!$C$7,C1847)),Assumptions!$D$7,"Other Services"))),"Other Services"))</f>
        <v/>
      </c>
    </row>
    <row r="1848" customFormat="false" ht="15" hidden="false" customHeight="false" outlineLevel="0" collapsed="false">
      <c r="F1848" s="41" t="str">
        <f aca="false">IF(C1848="","",IFERROR(IF(ISNUMBER(SEARCH(Assumptions!$C$5,C1848)),Assumptions!$D$5,IF(ISNUMBER(SEARCH(Assumptions!$C$6,C1848)),Assumptions!$D$6,IF(ISNUMBER(SEARCH(Assumptions!$C$7,C1848)),Assumptions!$D$7,"Other Services"))),"Other Services"))</f>
        <v/>
      </c>
    </row>
    <row r="1849" customFormat="false" ht="15" hidden="false" customHeight="false" outlineLevel="0" collapsed="false">
      <c r="F1849" s="41" t="str">
        <f aca="false">IF(C1849="","",IFERROR(IF(ISNUMBER(SEARCH(Assumptions!$C$5,C1849)),Assumptions!$D$5,IF(ISNUMBER(SEARCH(Assumptions!$C$6,C1849)),Assumptions!$D$6,IF(ISNUMBER(SEARCH(Assumptions!$C$7,C1849)),Assumptions!$D$7,"Other Services"))),"Other Services"))</f>
        <v/>
      </c>
    </row>
    <row r="1850" customFormat="false" ht="15" hidden="false" customHeight="false" outlineLevel="0" collapsed="false">
      <c r="F1850" s="41" t="str">
        <f aca="false">IF(C1850="","",IFERROR(IF(ISNUMBER(SEARCH(Assumptions!$C$5,C1850)),Assumptions!$D$5,IF(ISNUMBER(SEARCH(Assumptions!$C$6,C1850)),Assumptions!$D$6,IF(ISNUMBER(SEARCH(Assumptions!$C$7,C1850)),Assumptions!$D$7,"Other Services"))),"Other Services"))</f>
        <v/>
      </c>
    </row>
    <row r="1851" customFormat="false" ht="15" hidden="false" customHeight="false" outlineLevel="0" collapsed="false">
      <c r="F1851" s="41" t="str">
        <f aca="false">IF(C1851="","",IFERROR(IF(ISNUMBER(SEARCH(Assumptions!$C$5,C1851)),Assumptions!$D$5,IF(ISNUMBER(SEARCH(Assumptions!$C$6,C1851)),Assumptions!$D$6,IF(ISNUMBER(SEARCH(Assumptions!$C$7,C1851)),Assumptions!$D$7,"Other Services"))),"Other Services"))</f>
        <v/>
      </c>
    </row>
    <row r="1852" customFormat="false" ht="15" hidden="false" customHeight="false" outlineLevel="0" collapsed="false">
      <c r="F1852" s="41" t="str">
        <f aca="false">IF(C1852="","",IFERROR(IF(ISNUMBER(SEARCH(Assumptions!$C$5,C1852)),Assumptions!$D$5,IF(ISNUMBER(SEARCH(Assumptions!$C$6,C1852)),Assumptions!$D$6,IF(ISNUMBER(SEARCH(Assumptions!$C$7,C1852)),Assumptions!$D$7,"Other Services"))),"Other Services"))</f>
        <v/>
      </c>
    </row>
    <row r="1853" customFormat="false" ht="15" hidden="false" customHeight="false" outlineLevel="0" collapsed="false">
      <c r="F1853" s="41" t="str">
        <f aca="false">IF(C1853="","",IFERROR(IF(ISNUMBER(SEARCH(Assumptions!$C$5,C1853)),Assumptions!$D$5,IF(ISNUMBER(SEARCH(Assumptions!$C$6,C1853)),Assumptions!$D$6,IF(ISNUMBER(SEARCH(Assumptions!$C$7,C1853)),Assumptions!$D$7,"Other Services"))),"Other Services"))</f>
        <v/>
      </c>
    </row>
    <row r="1854" customFormat="false" ht="15" hidden="false" customHeight="false" outlineLevel="0" collapsed="false">
      <c r="F1854" s="41" t="str">
        <f aca="false">IF(C1854="","",IFERROR(IF(ISNUMBER(SEARCH(Assumptions!$C$5,C1854)),Assumptions!$D$5,IF(ISNUMBER(SEARCH(Assumptions!$C$6,C1854)),Assumptions!$D$6,IF(ISNUMBER(SEARCH(Assumptions!$C$7,C1854)),Assumptions!$D$7,"Other Services"))),"Other Services"))</f>
        <v/>
      </c>
    </row>
    <row r="1855" customFormat="false" ht="15" hidden="false" customHeight="false" outlineLevel="0" collapsed="false">
      <c r="F1855" s="41" t="str">
        <f aca="false">IF(C1855="","",IFERROR(IF(ISNUMBER(SEARCH(Assumptions!$C$5,C1855)),Assumptions!$D$5,IF(ISNUMBER(SEARCH(Assumptions!$C$6,C1855)),Assumptions!$D$6,IF(ISNUMBER(SEARCH(Assumptions!$C$7,C1855)),Assumptions!$D$7,"Other Services"))),"Other Services"))</f>
        <v/>
      </c>
    </row>
    <row r="1856" customFormat="false" ht="15" hidden="false" customHeight="false" outlineLevel="0" collapsed="false">
      <c r="F1856" s="41" t="str">
        <f aca="false">IF(C1856="","",IFERROR(IF(ISNUMBER(SEARCH(Assumptions!$C$5,C1856)),Assumptions!$D$5,IF(ISNUMBER(SEARCH(Assumptions!$C$6,C1856)),Assumptions!$D$6,IF(ISNUMBER(SEARCH(Assumptions!$C$7,C1856)),Assumptions!$D$7,"Other Services"))),"Other Services"))</f>
        <v/>
      </c>
    </row>
    <row r="1857" customFormat="false" ht="15" hidden="false" customHeight="false" outlineLevel="0" collapsed="false">
      <c r="F1857" s="41" t="str">
        <f aca="false">IF(C1857="","",IFERROR(IF(ISNUMBER(SEARCH(Assumptions!$C$5,C1857)),Assumptions!$D$5,IF(ISNUMBER(SEARCH(Assumptions!$C$6,C1857)),Assumptions!$D$6,IF(ISNUMBER(SEARCH(Assumptions!$C$7,C1857)),Assumptions!$D$7,"Other Services"))),"Other Services"))</f>
        <v/>
      </c>
    </row>
    <row r="1858" customFormat="false" ht="15" hidden="false" customHeight="false" outlineLevel="0" collapsed="false">
      <c r="F1858" s="41" t="str">
        <f aca="false">IF(C1858="","",IFERROR(IF(ISNUMBER(SEARCH(Assumptions!$C$5,C1858)),Assumptions!$D$5,IF(ISNUMBER(SEARCH(Assumptions!$C$6,C1858)),Assumptions!$D$6,IF(ISNUMBER(SEARCH(Assumptions!$C$7,C1858)),Assumptions!$D$7,"Other Services"))),"Other Services"))</f>
        <v/>
      </c>
    </row>
    <row r="1859" customFormat="false" ht="15" hidden="false" customHeight="false" outlineLevel="0" collapsed="false">
      <c r="F1859" s="41" t="str">
        <f aca="false">IF(C1859="","",IFERROR(IF(ISNUMBER(SEARCH(Assumptions!$C$5,C1859)),Assumptions!$D$5,IF(ISNUMBER(SEARCH(Assumptions!$C$6,C1859)),Assumptions!$D$6,IF(ISNUMBER(SEARCH(Assumptions!$C$7,C1859)),Assumptions!$D$7,"Other Services"))),"Other Services"))</f>
        <v/>
      </c>
    </row>
    <row r="1860" customFormat="false" ht="15" hidden="false" customHeight="false" outlineLevel="0" collapsed="false">
      <c r="F1860" s="41" t="str">
        <f aca="false">IF(C1860="","",IFERROR(IF(ISNUMBER(SEARCH(Assumptions!$C$5,C1860)),Assumptions!$D$5,IF(ISNUMBER(SEARCH(Assumptions!$C$6,C1860)),Assumptions!$D$6,IF(ISNUMBER(SEARCH(Assumptions!$C$7,C1860)),Assumptions!$D$7,"Other Services"))),"Other Services"))</f>
        <v/>
      </c>
    </row>
    <row r="1861" customFormat="false" ht="15" hidden="false" customHeight="false" outlineLevel="0" collapsed="false">
      <c r="F1861" s="41" t="str">
        <f aca="false">IF(C1861="","",IFERROR(IF(ISNUMBER(SEARCH(Assumptions!$C$5,C1861)),Assumptions!$D$5,IF(ISNUMBER(SEARCH(Assumptions!$C$6,C1861)),Assumptions!$D$6,IF(ISNUMBER(SEARCH(Assumptions!$C$7,C1861)),Assumptions!$D$7,"Other Services"))),"Other Services"))</f>
        <v/>
      </c>
    </row>
    <row r="1862" customFormat="false" ht="15" hidden="false" customHeight="false" outlineLevel="0" collapsed="false">
      <c r="F1862" s="41" t="str">
        <f aca="false">IF(C1862="","",IFERROR(IF(ISNUMBER(SEARCH(Assumptions!$C$5,C1862)),Assumptions!$D$5,IF(ISNUMBER(SEARCH(Assumptions!$C$6,C1862)),Assumptions!$D$6,IF(ISNUMBER(SEARCH(Assumptions!$C$7,C1862)),Assumptions!$D$7,"Other Services"))),"Other Services"))</f>
        <v/>
      </c>
    </row>
    <row r="1863" customFormat="false" ht="15" hidden="false" customHeight="false" outlineLevel="0" collapsed="false">
      <c r="F1863" s="41" t="str">
        <f aca="false">IF(C1863="","",IFERROR(IF(ISNUMBER(SEARCH(Assumptions!$C$5,C1863)),Assumptions!$D$5,IF(ISNUMBER(SEARCH(Assumptions!$C$6,C1863)),Assumptions!$D$6,IF(ISNUMBER(SEARCH(Assumptions!$C$7,C1863)),Assumptions!$D$7,"Other Services"))),"Other Services"))</f>
        <v/>
      </c>
    </row>
    <row r="1864" customFormat="false" ht="15" hidden="false" customHeight="false" outlineLevel="0" collapsed="false">
      <c r="F1864" s="41" t="str">
        <f aca="false">IF(C1864="","",IFERROR(IF(ISNUMBER(SEARCH(Assumptions!$C$5,C1864)),Assumptions!$D$5,IF(ISNUMBER(SEARCH(Assumptions!$C$6,C1864)),Assumptions!$D$6,IF(ISNUMBER(SEARCH(Assumptions!$C$7,C1864)),Assumptions!$D$7,"Other Services"))),"Other Services"))</f>
        <v/>
      </c>
    </row>
    <row r="1865" customFormat="false" ht="15" hidden="false" customHeight="false" outlineLevel="0" collapsed="false">
      <c r="F1865" s="41" t="str">
        <f aca="false">IF(C1865="","",IFERROR(IF(ISNUMBER(SEARCH(Assumptions!$C$5,C1865)),Assumptions!$D$5,IF(ISNUMBER(SEARCH(Assumptions!$C$6,C1865)),Assumptions!$D$6,IF(ISNUMBER(SEARCH(Assumptions!$C$7,C1865)),Assumptions!$D$7,"Other Services"))),"Other Services"))</f>
        <v/>
      </c>
    </row>
    <row r="1866" customFormat="false" ht="15" hidden="false" customHeight="false" outlineLevel="0" collapsed="false">
      <c r="F1866" s="41" t="str">
        <f aca="false">IF(C1866="","",IFERROR(IF(ISNUMBER(SEARCH(Assumptions!$C$5,C1866)),Assumptions!$D$5,IF(ISNUMBER(SEARCH(Assumptions!$C$6,C1866)),Assumptions!$D$6,IF(ISNUMBER(SEARCH(Assumptions!$C$7,C1866)),Assumptions!$D$7,"Other Services"))),"Other Services"))</f>
        <v/>
      </c>
    </row>
    <row r="1867" customFormat="false" ht="15" hidden="false" customHeight="false" outlineLevel="0" collapsed="false">
      <c r="F1867" s="41" t="str">
        <f aca="false">IF(C1867="","",IFERROR(IF(ISNUMBER(SEARCH(Assumptions!$C$5,C1867)),Assumptions!$D$5,IF(ISNUMBER(SEARCH(Assumptions!$C$6,C1867)),Assumptions!$D$6,IF(ISNUMBER(SEARCH(Assumptions!$C$7,C1867)),Assumptions!$D$7,"Other Services"))),"Other Services"))</f>
        <v/>
      </c>
    </row>
    <row r="1868" customFormat="false" ht="15" hidden="false" customHeight="false" outlineLevel="0" collapsed="false">
      <c r="F1868" s="41" t="str">
        <f aca="false">IF(C1868="","",IFERROR(IF(ISNUMBER(SEARCH(Assumptions!$C$5,C1868)),Assumptions!$D$5,IF(ISNUMBER(SEARCH(Assumptions!$C$6,C1868)),Assumptions!$D$6,IF(ISNUMBER(SEARCH(Assumptions!$C$7,C1868)),Assumptions!$D$7,"Other Services"))),"Other Services"))</f>
        <v/>
      </c>
    </row>
    <row r="1869" customFormat="false" ht="15" hidden="false" customHeight="false" outlineLevel="0" collapsed="false">
      <c r="F1869" s="41" t="str">
        <f aca="false">IF(C1869="","",IFERROR(IF(ISNUMBER(SEARCH(Assumptions!$C$5,C1869)),Assumptions!$D$5,IF(ISNUMBER(SEARCH(Assumptions!$C$6,C1869)),Assumptions!$D$6,IF(ISNUMBER(SEARCH(Assumptions!$C$7,C1869)),Assumptions!$D$7,"Other Services"))),"Other Services"))</f>
        <v/>
      </c>
    </row>
    <row r="1870" customFormat="false" ht="15" hidden="false" customHeight="false" outlineLevel="0" collapsed="false">
      <c r="F1870" s="41" t="str">
        <f aca="false">IF(C1870="","",IFERROR(IF(ISNUMBER(SEARCH(Assumptions!$C$5,C1870)),Assumptions!$D$5,IF(ISNUMBER(SEARCH(Assumptions!$C$6,C1870)),Assumptions!$D$6,IF(ISNUMBER(SEARCH(Assumptions!$C$7,C1870)),Assumptions!$D$7,"Other Services"))),"Other Services"))</f>
        <v/>
      </c>
    </row>
    <row r="1871" customFormat="false" ht="15" hidden="false" customHeight="false" outlineLevel="0" collapsed="false">
      <c r="F1871" s="41" t="str">
        <f aca="false">IF(C1871="","",IFERROR(IF(ISNUMBER(SEARCH(Assumptions!$C$5,C1871)),Assumptions!$D$5,IF(ISNUMBER(SEARCH(Assumptions!$C$6,C1871)),Assumptions!$D$6,IF(ISNUMBER(SEARCH(Assumptions!$C$7,C1871)),Assumptions!$D$7,"Other Services"))),"Other Services"))</f>
        <v/>
      </c>
    </row>
    <row r="1872" customFormat="false" ht="15" hidden="false" customHeight="false" outlineLevel="0" collapsed="false">
      <c r="F1872" s="41" t="str">
        <f aca="false">IF(C1872="","",IFERROR(IF(ISNUMBER(SEARCH(Assumptions!$C$5,C1872)),Assumptions!$D$5,IF(ISNUMBER(SEARCH(Assumptions!$C$6,C1872)),Assumptions!$D$6,IF(ISNUMBER(SEARCH(Assumptions!$C$7,C1872)),Assumptions!$D$7,"Other Services"))),"Other Services"))</f>
        <v/>
      </c>
    </row>
    <row r="1873" customFormat="false" ht="15" hidden="false" customHeight="false" outlineLevel="0" collapsed="false">
      <c r="F1873" s="41" t="str">
        <f aca="false">IF(C1873="","",IFERROR(IF(ISNUMBER(SEARCH(Assumptions!$C$5,C1873)),Assumptions!$D$5,IF(ISNUMBER(SEARCH(Assumptions!$C$6,C1873)),Assumptions!$D$6,IF(ISNUMBER(SEARCH(Assumptions!$C$7,C1873)),Assumptions!$D$7,"Other Services"))),"Other Services"))</f>
        <v/>
      </c>
    </row>
    <row r="1874" customFormat="false" ht="15" hidden="false" customHeight="false" outlineLevel="0" collapsed="false">
      <c r="F1874" s="41" t="str">
        <f aca="false">IF(C1874="","",IFERROR(IF(ISNUMBER(SEARCH(Assumptions!$C$5,C1874)),Assumptions!$D$5,IF(ISNUMBER(SEARCH(Assumptions!$C$6,C1874)),Assumptions!$D$6,IF(ISNUMBER(SEARCH(Assumptions!$C$7,C1874)),Assumptions!$D$7,"Other Services"))),"Other Services"))</f>
        <v/>
      </c>
    </row>
    <row r="1875" customFormat="false" ht="15" hidden="false" customHeight="false" outlineLevel="0" collapsed="false">
      <c r="F1875" s="41" t="str">
        <f aca="false">IF(C1875="","",IFERROR(IF(ISNUMBER(SEARCH(Assumptions!$C$5,C1875)),Assumptions!$D$5,IF(ISNUMBER(SEARCH(Assumptions!$C$6,C1875)),Assumptions!$D$6,IF(ISNUMBER(SEARCH(Assumptions!$C$7,C1875)),Assumptions!$D$7,"Other Services"))),"Other Services"))</f>
        <v/>
      </c>
    </row>
    <row r="1876" customFormat="false" ht="15" hidden="false" customHeight="false" outlineLevel="0" collapsed="false">
      <c r="F1876" s="41" t="str">
        <f aca="false">IF(C1876="","",IFERROR(IF(ISNUMBER(SEARCH(Assumptions!$C$5,C1876)),Assumptions!$D$5,IF(ISNUMBER(SEARCH(Assumptions!$C$6,C1876)),Assumptions!$D$6,IF(ISNUMBER(SEARCH(Assumptions!$C$7,C1876)),Assumptions!$D$7,"Other Services"))),"Other Services"))</f>
        <v/>
      </c>
    </row>
    <row r="1877" customFormat="false" ht="15" hidden="false" customHeight="false" outlineLevel="0" collapsed="false">
      <c r="F1877" s="41" t="str">
        <f aca="false">IF(C1877="","",IFERROR(IF(ISNUMBER(SEARCH(Assumptions!$C$5,C1877)),Assumptions!$D$5,IF(ISNUMBER(SEARCH(Assumptions!$C$6,C1877)),Assumptions!$D$6,IF(ISNUMBER(SEARCH(Assumptions!$C$7,C1877)),Assumptions!$D$7,"Other Services"))),"Other Services"))</f>
        <v/>
      </c>
    </row>
    <row r="1878" customFormat="false" ht="15" hidden="false" customHeight="false" outlineLevel="0" collapsed="false">
      <c r="F1878" s="41" t="str">
        <f aca="false">IF(C1878="","",IFERROR(IF(ISNUMBER(SEARCH(Assumptions!$C$5,C1878)),Assumptions!$D$5,IF(ISNUMBER(SEARCH(Assumptions!$C$6,C1878)),Assumptions!$D$6,IF(ISNUMBER(SEARCH(Assumptions!$C$7,C1878)),Assumptions!$D$7,"Other Services"))),"Other Services"))</f>
        <v/>
      </c>
    </row>
    <row r="1879" customFormat="false" ht="15" hidden="false" customHeight="false" outlineLevel="0" collapsed="false">
      <c r="F1879" s="41" t="str">
        <f aca="false">IF(C1879="","",IFERROR(IF(ISNUMBER(SEARCH(Assumptions!$C$5,C1879)),Assumptions!$D$5,IF(ISNUMBER(SEARCH(Assumptions!$C$6,C1879)),Assumptions!$D$6,IF(ISNUMBER(SEARCH(Assumptions!$C$7,C1879)),Assumptions!$D$7,"Other Services"))),"Other Services"))</f>
        <v/>
      </c>
    </row>
    <row r="1880" customFormat="false" ht="15" hidden="false" customHeight="false" outlineLevel="0" collapsed="false">
      <c r="F1880" s="41" t="str">
        <f aca="false">IF(C1880="","",IFERROR(IF(ISNUMBER(SEARCH(Assumptions!$C$5,C1880)),Assumptions!$D$5,IF(ISNUMBER(SEARCH(Assumptions!$C$6,C1880)),Assumptions!$D$6,IF(ISNUMBER(SEARCH(Assumptions!$C$7,C1880)),Assumptions!$D$7,"Other Services"))),"Other Services"))</f>
        <v/>
      </c>
    </row>
    <row r="1881" customFormat="false" ht="15" hidden="false" customHeight="false" outlineLevel="0" collapsed="false">
      <c r="F1881" s="41" t="str">
        <f aca="false">IF(C1881="","",IFERROR(IF(ISNUMBER(SEARCH(Assumptions!$C$5,C1881)),Assumptions!$D$5,IF(ISNUMBER(SEARCH(Assumptions!$C$6,C1881)),Assumptions!$D$6,IF(ISNUMBER(SEARCH(Assumptions!$C$7,C1881)),Assumptions!$D$7,"Other Services"))),"Other Services"))</f>
        <v/>
      </c>
    </row>
    <row r="1882" customFormat="false" ht="15" hidden="false" customHeight="false" outlineLevel="0" collapsed="false">
      <c r="F1882" s="41" t="str">
        <f aca="false">IF(C1882="","",IFERROR(IF(ISNUMBER(SEARCH(Assumptions!$C$5,C1882)),Assumptions!$D$5,IF(ISNUMBER(SEARCH(Assumptions!$C$6,C1882)),Assumptions!$D$6,IF(ISNUMBER(SEARCH(Assumptions!$C$7,C1882)),Assumptions!$D$7,"Other Services"))),"Other Services"))</f>
        <v/>
      </c>
    </row>
    <row r="1883" customFormat="false" ht="15" hidden="false" customHeight="false" outlineLevel="0" collapsed="false">
      <c r="F1883" s="41" t="str">
        <f aca="false">IF(C1883="","",IFERROR(IF(ISNUMBER(SEARCH(Assumptions!$C$5,C1883)),Assumptions!$D$5,IF(ISNUMBER(SEARCH(Assumptions!$C$6,C1883)),Assumptions!$D$6,IF(ISNUMBER(SEARCH(Assumptions!$C$7,C1883)),Assumptions!$D$7,"Other Services"))),"Other Services"))</f>
        <v/>
      </c>
    </row>
    <row r="1884" customFormat="false" ht="15" hidden="false" customHeight="false" outlineLevel="0" collapsed="false">
      <c r="F1884" s="41" t="str">
        <f aca="false">IF(C1884="","",IFERROR(IF(ISNUMBER(SEARCH(Assumptions!$C$5,C1884)),Assumptions!$D$5,IF(ISNUMBER(SEARCH(Assumptions!$C$6,C1884)),Assumptions!$D$6,IF(ISNUMBER(SEARCH(Assumptions!$C$7,C1884)),Assumptions!$D$7,"Other Services"))),"Other Services"))</f>
        <v/>
      </c>
    </row>
    <row r="1885" customFormat="false" ht="15" hidden="false" customHeight="false" outlineLevel="0" collapsed="false">
      <c r="F1885" s="41" t="str">
        <f aca="false">IF(C1885="","",IFERROR(IF(ISNUMBER(SEARCH(Assumptions!$C$5,C1885)),Assumptions!$D$5,IF(ISNUMBER(SEARCH(Assumptions!$C$6,C1885)),Assumptions!$D$6,IF(ISNUMBER(SEARCH(Assumptions!$C$7,C1885)),Assumptions!$D$7,"Other Services"))),"Other Services"))</f>
        <v/>
      </c>
    </row>
    <row r="1886" customFormat="false" ht="15" hidden="false" customHeight="false" outlineLevel="0" collapsed="false">
      <c r="F1886" s="41" t="str">
        <f aca="false">IF(C1886="","",IFERROR(IF(ISNUMBER(SEARCH(Assumptions!$C$5,C1886)),Assumptions!$D$5,IF(ISNUMBER(SEARCH(Assumptions!$C$6,C1886)),Assumptions!$D$6,IF(ISNUMBER(SEARCH(Assumptions!$C$7,C1886)),Assumptions!$D$7,"Other Services"))),"Other Services"))</f>
        <v/>
      </c>
    </row>
    <row r="1887" customFormat="false" ht="15" hidden="false" customHeight="false" outlineLevel="0" collapsed="false">
      <c r="F1887" s="41" t="str">
        <f aca="false">IF(C1887="","",IFERROR(IF(ISNUMBER(SEARCH(Assumptions!$C$5,C1887)),Assumptions!$D$5,IF(ISNUMBER(SEARCH(Assumptions!$C$6,C1887)),Assumptions!$D$6,IF(ISNUMBER(SEARCH(Assumptions!$C$7,C1887)),Assumptions!$D$7,"Other Services"))),"Other Services"))</f>
        <v/>
      </c>
    </row>
    <row r="1888" customFormat="false" ht="15" hidden="false" customHeight="false" outlineLevel="0" collapsed="false">
      <c r="F1888" s="41" t="str">
        <f aca="false">IF(C1888="","",IFERROR(IF(ISNUMBER(SEARCH(Assumptions!$C$5,C1888)),Assumptions!$D$5,IF(ISNUMBER(SEARCH(Assumptions!$C$6,C1888)),Assumptions!$D$6,IF(ISNUMBER(SEARCH(Assumptions!$C$7,C1888)),Assumptions!$D$7,"Other Services"))),"Other Services"))</f>
        <v/>
      </c>
    </row>
    <row r="1889" customFormat="false" ht="15" hidden="false" customHeight="false" outlineLevel="0" collapsed="false">
      <c r="F1889" s="41" t="str">
        <f aca="false">IF(C1889="","",IFERROR(IF(ISNUMBER(SEARCH(Assumptions!$C$5,C1889)),Assumptions!$D$5,IF(ISNUMBER(SEARCH(Assumptions!$C$6,C1889)),Assumptions!$D$6,IF(ISNUMBER(SEARCH(Assumptions!$C$7,C1889)),Assumptions!$D$7,"Other Services"))),"Other Services"))</f>
        <v/>
      </c>
    </row>
    <row r="1890" customFormat="false" ht="15" hidden="false" customHeight="false" outlineLevel="0" collapsed="false">
      <c r="F1890" s="41" t="str">
        <f aca="false">IF(C1890="","",IFERROR(IF(ISNUMBER(SEARCH(Assumptions!$C$5,C1890)),Assumptions!$D$5,IF(ISNUMBER(SEARCH(Assumptions!$C$6,C1890)),Assumptions!$D$6,IF(ISNUMBER(SEARCH(Assumptions!$C$7,C1890)),Assumptions!$D$7,"Other Services"))),"Other Services"))</f>
        <v/>
      </c>
    </row>
    <row r="1891" customFormat="false" ht="15" hidden="false" customHeight="false" outlineLevel="0" collapsed="false">
      <c r="F1891" s="41" t="str">
        <f aca="false">IF(C1891="","",IFERROR(IF(ISNUMBER(SEARCH(Assumptions!$C$5,C1891)),Assumptions!$D$5,IF(ISNUMBER(SEARCH(Assumptions!$C$6,C1891)),Assumptions!$D$6,IF(ISNUMBER(SEARCH(Assumptions!$C$7,C1891)),Assumptions!$D$7,"Other Services"))),"Other Services"))</f>
        <v/>
      </c>
    </row>
    <row r="1892" customFormat="false" ht="15" hidden="false" customHeight="false" outlineLevel="0" collapsed="false">
      <c r="F1892" s="41" t="str">
        <f aca="false">IF(C1892="","",IFERROR(IF(ISNUMBER(SEARCH(Assumptions!$C$5,C1892)),Assumptions!$D$5,IF(ISNUMBER(SEARCH(Assumptions!$C$6,C1892)),Assumptions!$D$6,IF(ISNUMBER(SEARCH(Assumptions!$C$7,C1892)),Assumptions!$D$7,"Other Services"))),"Other Services"))</f>
        <v/>
      </c>
    </row>
    <row r="1893" customFormat="false" ht="15" hidden="false" customHeight="false" outlineLevel="0" collapsed="false">
      <c r="F1893" s="41" t="str">
        <f aca="false">IF(C1893="","",IFERROR(IF(ISNUMBER(SEARCH(Assumptions!$C$5,C1893)),Assumptions!$D$5,IF(ISNUMBER(SEARCH(Assumptions!$C$6,C1893)),Assumptions!$D$6,IF(ISNUMBER(SEARCH(Assumptions!$C$7,C1893)),Assumptions!$D$7,"Other Services"))),"Other Services"))</f>
        <v/>
      </c>
    </row>
    <row r="1894" customFormat="false" ht="15" hidden="false" customHeight="false" outlineLevel="0" collapsed="false">
      <c r="F1894" s="41" t="str">
        <f aca="false">IF(C1894="","",IFERROR(IF(ISNUMBER(SEARCH(Assumptions!$C$5,C1894)),Assumptions!$D$5,IF(ISNUMBER(SEARCH(Assumptions!$C$6,C1894)),Assumptions!$D$6,IF(ISNUMBER(SEARCH(Assumptions!$C$7,C1894)),Assumptions!$D$7,"Other Services"))),"Other Services"))</f>
        <v/>
      </c>
    </row>
    <row r="1895" customFormat="false" ht="15" hidden="false" customHeight="false" outlineLevel="0" collapsed="false">
      <c r="F1895" s="41" t="str">
        <f aca="false">IF(C1895="","",IFERROR(IF(ISNUMBER(SEARCH(Assumptions!$C$5,C1895)),Assumptions!$D$5,IF(ISNUMBER(SEARCH(Assumptions!$C$6,C1895)),Assumptions!$D$6,IF(ISNUMBER(SEARCH(Assumptions!$C$7,C1895)),Assumptions!$D$7,"Other Services"))),"Other Services"))</f>
        <v/>
      </c>
    </row>
    <row r="1896" customFormat="false" ht="15" hidden="false" customHeight="false" outlineLevel="0" collapsed="false">
      <c r="F1896" s="41" t="str">
        <f aca="false">IF(C1896="","",IFERROR(IF(ISNUMBER(SEARCH(Assumptions!$C$5,C1896)),Assumptions!$D$5,IF(ISNUMBER(SEARCH(Assumptions!$C$6,C1896)),Assumptions!$D$6,IF(ISNUMBER(SEARCH(Assumptions!$C$7,C1896)),Assumptions!$D$7,"Other Services"))),"Other Services"))</f>
        <v/>
      </c>
    </row>
    <row r="1897" customFormat="false" ht="15" hidden="false" customHeight="false" outlineLevel="0" collapsed="false">
      <c r="F1897" s="41" t="str">
        <f aca="false">IF(C1897="","",IFERROR(IF(ISNUMBER(SEARCH(Assumptions!$C$5,C1897)),Assumptions!$D$5,IF(ISNUMBER(SEARCH(Assumptions!$C$6,C1897)),Assumptions!$D$6,IF(ISNUMBER(SEARCH(Assumptions!$C$7,C1897)),Assumptions!$D$7,"Other Services"))),"Other Services"))</f>
        <v/>
      </c>
    </row>
    <row r="1898" customFormat="false" ht="15" hidden="false" customHeight="false" outlineLevel="0" collapsed="false">
      <c r="F1898" s="41" t="str">
        <f aca="false">IF(C1898="","",IFERROR(IF(ISNUMBER(SEARCH(Assumptions!$C$5,C1898)),Assumptions!$D$5,IF(ISNUMBER(SEARCH(Assumptions!$C$6,C1898)),Assumptions!$D$6,IF(ISNUMBER(SEARCH(Assumptions!$C$7,C1898)),Assumptions!$D$7,"Other Services"))),"Other Services"))</f>
        <v/>
      </c>
    </row>
    <row r="1899" customFormat="false" ht="15" hidden="false" customHeight="false" outlineLevel="0" collapsed="false">
      <c r="F1899" s="41" t="str">
        <f aca="false">IF(C1899="","",IFERROR(IF(ISNUMBER(SEARCH(Assumptions!$C$5,C1899)),Assumptions!$D$5,IF(ISNUMBER(SEARCH(Assumptions!$C$6,C1899)),Assumptions!$D$6,IF(ISNUMBER(SEARCH(Assumptions!$C$7,C1899)),Assumptions!$D$7,"Other Services"))),"Other Services"))</f>
        <v/>
      </c>
    </row>
    <row r="1900" customFormat="false" ht="15" hidden="false" customHeight="false" outlineLevel="0" collapsed="false">
      <c r="F1900" s="41" t="str">
        <f aca="false">IF(C1900="","",IFERROR(IF(ISNUMBER(SEARCH(Assumptions!$C$5,C1900)),Assumptions!$D$5,IF(ISNUMBER(SEARCH(Assumptions!$C$6,C1900)),Assumptions!$D$6,IF(ISNUMBER(SEARCH(Assumptions!$C$7,C1900)),Assumptions!$D$7,"Other Services"))),"Other Services"))</f>
        <v/>
      </c>
    </row>
    <row r="1901" customFormat="false" ht="15" hidden="false" customHeight="false" outlineLevel="0" collapsed="false">
      <c r="F1901" s="41" t="str">
        <f aca="false">IF(C1901="","",IFERROR(IF(ISNUMBER(SEARCH(Assumptions!$C$5,C1901)),Assumptions!$D$5,IF(ISNUMBER(SEARCH(Assumptions!$C$6,C1901)),Assumptions!$D$6,IF(ISNUMBER(SEARCH(Assumptions!$C$7,C1901)),Assumptions!$D$7,"Other Services"))),"Other Services"))</f>
        <v/>
      </c>
    </row>
    <row r="1902" customFormat="false" ht="15" hidden="false" customHeight="false" outlineLevel="0" collapsed="false">
      <c r="F1902" s="41" t="str">
        <f aca="false">IF(C1902="","",IFERROR(IF(ISNUMBER(SEARCH(Assumptions!$C$5,C1902)),Assumptions!$D$5,IF(ISNUMBER(SEARCH(Assumptions!$C$6,C1902)),Assumptions!$D$6,IF(ISNUMBER(SEARCH(Assumptions!$C$7,C1902)),Assumptions!$D$7,"Other Services"))),"Other Services"))</f>
        <v/>
      </c>
    </row>
    <row r="1903" customFormat="false" ht="15" hidden="false" customHeight="false" outlineLevel="0" collapsed="false">
      <c r="F1903" s="41" t="str">
        <f aca="false">IF(C1903="","",IFERROR(IF(ISNUMBER(SEARCH(Assumptions!$C$5,C1903)),Assumptions!$D$5,IF(ISNUMBER(SEARCH(Assumptions!$C$6,C1903)),Assumptions!$D$6,IF(ISNUMBER(SEARCH(Assumptions!$C$7,C1903)),Assumptions!$D$7,"Other Services"))),"Other Services"))</f>
        <v/>
      </c>
    </row>
    <row r="1904" customFormat="false" ht="15" hidden="false" customHeight="false" outlineLevel="0" collapsed="false">
      <c r="F1904" s="41" t="str">
        <f aca="false">IF(C1904="","",IFERROR(IF(ISNUMBER(SEARCH(Assumptions!$C$5,C1904)),Assumptions!$D$5,IF(ISNUMBER(SEARCH(Assumptions!$C$6,C1904)),Assumptions!$D$6,IF(ISNUMBER(SEARCH(Assumptions!$C$7,C1904)),Assumptions!$D$7,"Other Services"))),"Other Services"))</f>
        <v/>
      </c>
    </row>
    <row r="1905" customFormat="false" ht="15" hidden="false" customHeight="false" outlineLevel="0" collapsed="false">
      <c r="F1905" s="41" t="str">
        <f aca="false">IF(C1905="","",IFERROR(IF(ISNUMBER(SEARCH(Assumptions!$C$5,C1905)),Assumptions!$D$5,IF(ISNUMBER(SEARCH(Assumptions!$C$6,C1905)),Assumptions!$D$6,IF(ISNUMBER(SEARCH(Assumptions!$C$7,C1905)),Assumptions!$D$7,"Other Services"))),"Other Services"))</f>
        <v/>
      </c>
    </row>
    <row r="1906" customFormat="false" ht="15" hidden="false" customHeight="false" outlineLevel="0" collapsed="false">
      <c r="F1906" s="41" t="str">
        <f aca="false">IF(C1906="","",IFERROR(IF(ISNUMBER(SEARCH(Assumptions!$C$5,C1906)),Assumptions!$D$5,IF(ISNUMBER(SEARCH(Assumptions!$C$6,C1906)),Assumptions!$D$6,IF(ISNUMBER(SEARCH(Assumptions!$C$7,C1906)),Assumptions!$D$7,"Other Services"))),"Other Services"))</f>
        <v/>
      </c>
    </row>
    <row r="1907" customFormat="false" ht="15" hidden="false" customHeight="false" outlineLevel="0" collapsed="false">
      <c r="F1907" s="41" t="str">
        <f aca="false">IF(C1907="","",IFERROR(IF(ISNUMBER(SEARCH(Assumptions!$C$5,C1907)),Assumptions!$D$5,IF(ISNUMBER(SEARCH(Assumptions!$C$6,C1907)),Assumptions!$D$6,IF(ISNUMBER(SEARCH(Assumptions!$C$7,C1907)),Assumptions!$D$7,"Other Services"))),"Other Services"))</f>
        <v/>
      </c>
    </row>
    <row r="1908" customFormat="false" ht="15" hidden="false" customHeight="false" outlineLevel="0" collapsed="false">
      <c r="F1908" s="41" t="str">
        <f aca="false">IF(C1908="","",IFERROR(IF(ISNUMBER(SEARCH(Assumptions!$C$5,C1908)),Assumptions!$D$5,IF(ISNUMBER(SEARCH(Assumptions!$C$6,C1908)),Assumptions!$D$6,IF(ISNUMBER(SEARCH(Assumptions!$C$7,C1908)),Assumptions!$D$7,"Other Services"))),"Other Services"))</f>
        <v/>
      </c>
    </row>
    <row r="1909" customFormat="false" ht="15" hidden="false" customHeight="false" outlineLevel="0" collapsed="false">
      <c r="F1909" s="41" t="str">
        <f aca="false">IF(C1909="","",IFERROR(IF(ISNUMBER(SEARCH(Assumptions!$C$5,C1909)),Assumptions!$D$5,IF(ISNUMBER(SEARCH(Assumptions!$C$6,C1909)),Assumptions!$D$6,IF(ISNUMBER(SEARCH(Assumptions!$C$7,C1909)),Assumptions!$D$7,"Other Services"))),"Other Services"))</f>
        <v/>
      </c>
    </row>
    <row r="1910" customFormat="false" ht="15" hidden="false" customHeight="false" outlineLevel="0" collapsed="false">
      <c r="F1910" s="41" t="str">
        <f aca="false">IF(C1910="","",IFERROR(IF(ISNUMBER(SEARCH(Assumptions!$C$5,C1910)),Assumptions!$D$5,IF(ISNUMBER(SEARCH(Assumptions!$C$6,C1910)),Assumptions!$D$6,IF(ISNUMBER(SEARCH(Assumptions!$C$7,C1910)),Assumptions!$D$7,"Other Services"))),"Other Services"))</f>
        <v/>
      </c>
    </row>
    <row r="1911" customFormat="false" ht="15" hidden="false" customHeight="false" outlineLevel="0" collapsed="false">
      <c r="F1911" s="41" t="str">
        <f aca="false">IF(C1911="","",IFERROR(IF(ISNUMBER(SEARCH(Assumptions!$C$5,C1911)),Assumptions!$D$5,IF(ISNUMBER(SEARCH(Assumptions!$C$6,C1911)),Assumptions!$D$6,IF(ISNUMBER(SEARCH(Assumptions!$C$7,C1911)),Assumptions!$D$7,"Other Services"))),"Other Services"))</f>
        <v/>
      </c>
    </row>
    <row r="1912" customFormat="false" ht="15" hidden="false" customHeight="false" outlineLevel="0" collapsed="false">
      <c r="F1912" s="41" t="str">
        <f aca="false">IF(C1912="","",IFERROR(IF(ISNUMBER(SEARCH(Assumptions!$C$5,C1912)),Assumptions!$D$5,IF(ISNUMBER(SEARCH(Assumptions!$C$6,C1912)),Assumptions!$D$6,IF(ISNUMBER(SEARCH(Assumptions!$C$7,C1912)),Assumptions!$D$7,"Other Services"))),"Other Services"))</f>
        <v/>
      </c>
    </row>
    <row r="1913" customFormat="false" ht="15" hidden="false" customHeight="false" outlineLevel="0" collapsed="false">
      <c r="F1913" s="41" t="str">
        <f aca="false">IF(C1913="","",IFERROR(IF(ISNUMBER(SEARCH(Assumptions!$C$5,C1913)),Assumptions!$D$5,IF(ISNUMBER(SEARCH(Assumptions!$C$6,C1913)),Assumptions!$D$6,IF(ISNUMBER(SEARCH(Assumptions!$C$7,C1913)),Assumptions!$D$7,"Other Services"))),"Other Services"))</f>
        <v/>
      </c>
    </row>
    <row r="1914" customFormat="false" ht="15" hidden="false" customHeight="false" outlineLevel="0" collapsed="false">
      <c r="F1914" s="41" t="str">
        <f aca="false">IF(C1914="","",IFERROR(IF(ISNUMBER(SEARCH(Assumptions!$C$5,C1914)),Assumptions!$D$5,IF(ISNUMBER(SEARCH(Assumptions!$C$6,C1914)),Assumptions!$D$6,IF(ISNUMBER(SEARCH(Assumptions!$C$7,C1914)),Assumptions!$D$7,"Other Services"))),"Other Services"))</f>
        <v/>
      </c>
    </row>
    <row r="1915" customFormat="false" ht="15" hidden="false" customHeight="false" outlineLevel="0" collapsed="false">
      <c r="F1915" s="41" t="str">
        <f aca="false">IF(C1915="","",IFERROR(IF(ISNUMBER(SEARCH(Assumptions!$C$5,C1915)),Assumptions!$D$5,IF(ISNUMBER(SEARCH(Assumptions!$C$6,C1915)),Assumptions!$D$6,IF(ISNUMBER(SEARCH(Assumptions!$C$7,C1915)),Assumptions!$D$7,"Other Services"))),"Other Services"))</f>
        <v/>
      </c>
    </row>
    <row r="1916" customFormat="false" ht="15" hidden="false" customHeight="false" outlineLevel="0" collapsed="false">
      <c r="F1916" s="41" t="str">
        <f aca="false">IF(C1916="","",IFERROR(IF(ISNUMBER(SEARCH(Assumptions!$C$5,C1916)),Assumptions!$D$5,IF(ISNUMBER(SEARCH(Assumptions!$C$6,C1916)),Assumptions!$D$6,IF(ISNUMBER(SEARCH(Assumptions!$C$7,C1916)),Assumptions!$D$7,"Other Services"))),"Other Services"))</f>
        <v/>
      </c>
    </row>
    <row r="1917" customFormat="false" ht="15" hidden="false" customHeight="false" outlineLevel="0" collapsed="false">
      <c r="F1917" s="41" t="str">
        <f aca="false">IF(C1917="","",IFERROR(IF(ISNUMBER(SEARCH(Assumptions!$C$5,C1917)),Assumptions!$D$5,IF(ISNUMBER(SEARCH(Assumptions!$C$6,C1917)),Assumptions!$D$6,IF(ISNUMBER(SEARCH(Assumptions!$C$7,C1917)),Assumptions!$D$7,"Other Services"))),"Other Services"))</f>
        <v/>
      </c>
    </row>
    <row r="1918" customFormat="false" ht="15" hidden="false" customHeight="false" outlineLevel="0" collapsed="false">
      <c r="F1918" s="41" t="str">
        <f aca="false">IF(C1918="","",IFERROR(IF(ISNUMBER(SEARCH(Assumptions!$C$5,C1918)),Assumptions!$D$5,IF(ISNUMBER(SEARCH(Assumptions!$C$6,C1918)),Assumptions!$D$6,IF(ISNUMBER(SEARCH(Assumptions!$C$7,C1918)),Assumptions!$D$7,"Other Services"))),"Other Services"))</f>
        <v/>
      </c>
    </row>
    <row r="1919" customFormat="false" ht="15" hidden="false" customHeight="false" outlineLevel="0" collapsed="false">
      <c r="F1919" s="41" t="str">
        <f aca="false">IF(C1919="","",IFERROR(IF(ISNUMBER(SEARCH(Assumptions!$C$5,C1919)),Assumptions!$D$5,IF(ISNUMBER(SEARCH(Assumptions!$C$6,C1919)),Assumptions!$D$6,IF(ISNUMBER(SEARCH(Assumptions!$C$7,C1919)),Assumptions!$D$7,"Other Services"))),"Other Services"))</f>
        <v/>
      </c>
    </row>
    <row r="1920" customFormat="false" ht="15" hidden="false" customHeight="false" outlineLevel="0" collapsed="false">
      <c r="F1920" s="41" t="str">
        <f aca="false">IF(C1920="","",IFERROR(IF(ISNUMBER(SEARCH(Assumptions!$C$5,C1920)),Assumptions!$D$5,IF(ISNUMBER(SEARCH(Assumptions!$C$6,C1920)),Assumptions!$D$6,IF(ISNUMBER(SEARCH(Assumptions!$C$7,C1920)),Assumptions!$D$7,"Other Services"))),"Other Services"))</f>
        <v/>
      </c>
    </row>
    <row r="1921" customFormat="false" ht="15" hidden="false" customHeight="false" outlineLevel="0" collapsed="false">
      <c r="F1921" s="41" t="str">
        <f aca="false">IF(C1921="","",IFERROR(IF(ISNUMBER(SEARCH(Assumptions!$C$5,C1921)),Assumptions!$D$5,IF(ISNUMBER(SEARCH(Assumptions!$C$6,C1921)),Assumptions!$D$6,IF(ISNUMBER(SEARCH(Assumptions!$C$7,C1921)),Assumptions!$D$7,"Other Services"))),"Other Services"))</f>
        <v/>
      </c>
    </row>
    <row r="1922" customFormat="false" ht="15" hidden="false" customHeight="false" outlineLevel="0" collapsed="false">
      <c r="F1922" s="41" t="str">
        <f aca="false">IF(C1922="","",IFERROR(IF(ISNUMBER(SEARCH(Assumptions!$C$5,C1922)),Assumptions!$D$5,IF(ISNUMBER(SEARCH(Assumptions!$C$6,C1922)),Assumptions!$D$6,IF(ISNUMBER(SEARCH(Assumptions!$C$7,C1922)),Assumptions!$D$7,"Other Services"))),"Other Services"))</f>
        <v/>
      </c>
    </row>
    <row r="1923" customFormat="false" ht="15" hidden="false" customHeight="false" outlineLevel="0" collapsed="false">
      <c r="F1923" s="41" t="str">
        <f aca="false">IF(C1923="","",IFERROR(IF(ISNUMBER(SEARCH(Assumptions!$C$5,C1923)),Assumptions!$D$5,IF(ISNUMBER(SEARCH(Assumptions!$C$6,C1923)),Assumptions!$D$6,IF(ISNUMBER(SEARCH(Assumptions!$C$7,C1923)),Assumptions!$D$7,"Other Services"))),"Other Services"))</f>
        <v/>
      </c>
    </row>
    <row r="1924" customFormat="false" ht="15" hidden="false" customHeight="false" outlineLevel="0" collapsed="false">
      <c r="F1924" s="41" t="str">
        <f aca="false">IF(C1924="","",IFERROR(IF(ISNUMBER(SEARCH(Assumptions!$C$5,C1924)),Assumptions!$D$5,IF(ISNUMBER(SEARCH(Assumptions!$C$6,C1924)),Assumptions!$D$6,IF(ISNUMBER(SEARCH(Assumptions!$C$7,C1924)),Assumptions!$D$7,"Other Services"))),"Other Services"))</f>
        <v/>
      </c>
    </row>
    <row r="1925" customFormat="false" ht="15" hidden="false" customHeight="false" outlineLevel="0" collapsed="false">
      <c r="F1925" s="41" t="str">
        <f aca="false">IF(C1925="","",IFERROR(IF(ISNUMBER(SEARCH(Assumptions!$C$5,C1925)),Assumptions!$D$5,IF(ISNUMBER(SEARCH(Assumptions!$C$6,C1925)),Assumptions!$D$6,IF(ISNUMBER(SEARCH(Assumptions!$C$7,C1925)),Assumptions!$D$7,"Other Services"))),"Other Services"))</f>
        <v/>
      </c>
    </row>
    <row r="1926" customFormat="false" ht="15" hidden="false" customHeight="false" outlineLevel="0" collapsed="false">
      <c r="F1926" s="41" t="str">
        <f aca="false">IF(C1926="","",IFERROR(IF(ISNUMBER(SEARCH(Assumptions!$C$5,C1926)),Assumptions!$D$5,IF(ISNUMBER(SEARCH(Assumptions!$C$6,C1926)),Assumptions!$D$6,IF(ISNUMBER(SEARCH(Assumptions!$C$7,C1926)),Assumptions!$D$7,"Other Services"))),"Other Services"))</f>
        <v/>
      </c>
    </row>
    <row r="1927" customFormat="false" ht="15" hidden="false" customHeight="false" outlineLevel="0" collapsed="false">
      <c r="F1927" s="41" t="str">
        <f aca="false">IF(C1927="","",IFERROR(IF(ISNUMBER(SEARCH(Assumptions!$C$5,C1927)),Assumptions!$D$5,IF(ISNUMBER(SEARCH(Assumptions!$C$6,C1927)),Assumptions!$D$6,IF(ISNUMBER(SEARCH(Assumptions!$C$7,C1927)),Assumptions!$D$7,"Other Services"))),"Other Services"))</f>
        <v/>
      </c>
    </row>
    <row r="1928" customFormat="false" ht="15" hidden="false" customHeight="false" outlineLevel="0" collapsed="false">
      <c r="F1928" s="41" t="str">
        <f aca="false">IF(C1928="","",IFERROR(IF(ISNUMBER(SEARCH(Assumptions!$C$5,C1928)),Assumptions!$D$5,IF(ISNUMBER(SEARCH(Assumptions!$C$6,C1928)),Assumptions!$D$6,IF(ISNUMBER(SEARCH(Assumptions!$C$7,C1928)),Assumptions!$D$7,"Other Services"))),"Other Services"))</f>
        <v/>
      </c>
    </row>
    <row r="1929" customFormat="false" ht="15" hidden="false" customHeight="false" outlineLevel="0" collapsed="false">
      <c r="F1929" s="41" t="str">
        <f aca="false">IF(C1929="","",IFERROR(IF(ISNUMBER(SEARCH(Assumptions!$C$5,C1929)),Assumptions!$D$5,IF(ISNUMBER(SEARCH(Assumptions!$C$6,C1929)),Assumptions!$D$6,IF(ISNUMBER(SEARCH(Assumptions!$C$7,C1929)),Assumptions!$D$7,"Other Services"))),"Other Services"))</f>
        <v/>
      </c>
    </row>
    <row r="1930" customFormat="false" ht="15" hidden="false" customHeight="false" outlineLevel="0" collapsed="false">
      <c r="F1930" s="41" t="str">
        <f aca="false">IF(C1930="","",IFERROR(IF(ISNUMBER(SEARCH(Assumptions!$C$5,C1930)),Assumptions!$D$5,IF(ISNUMBER(SEARCH(Assumptions!$C$6,C1930)),Assumptions!$D$6,IF(ISNUMBER(SEARCH(Assumptions!$C$7,C1930)),Assumptions!$D$7,"Other Services"))),"Other Services"))</f>
        <v/>
      </c>
    </row>
    <row r="1931" customFormat="false" ht="15" hidden="false" customHeight="false" outlineLevel="0" collapsed="false">
      <c r="F1931" s="41" t="str">
        <f aca="false">IF(C1931="","",IFERROR(IF(ISNUMBER(SEARCH(Assumptions!$C$5,C1931)),Assumptions!$D$5,IF(ISNUMBER(SEARCH(Assumptions!$C$6,C1931)),Assumptions!$D$6,IF(ISNUMBER(SEARCH(Assumptions!$C$7,C1931)),Assumptions!$D$7,"Other Services"))),"Other Services"))</f>
        <v/>
      </c>
    </row>
    <row r="1932" customFormat="false" ht="15" hidden="false" customHeight="false" outlineLevel="0" collapsed="false">
      <c r="F1932" s="41" t="str">
        <f aca="false">IF(C1932="","",IFERROR(IF(ISNUMBER(SEARCH(Assumptions!$C$5,C1932)),Assumptions!$D$5,IF(ISNUMBER(SEARCH(Assumptions!$C$6,C1932)),Assumptions!$D$6,IF(ISNUMBER(SEARCH(Assumptions!$C$7,C1932)),Assumptions!$D$7,"Other Services"))),"Other Services"))</f>
        <v/>
      </c>
    </row>
    <row r="1933" customFormat="false" ht="15" hidden="false" customHeight="false" outlineLevel="0" collapsed="false">
      <c r="F1933" s="41" t="str">
        <f aca="false">IF(C1933="","",IFERROR(IF(ISNUMBER(SEARCH(Assumptions!$C$5,C1933)),Assumptions!$D$5,IF(ISNUMBER(SEARCH(Assumptions!$C$6,C1933)),Assumptions!$D$6,IF(ISNUMBER(SEARCH(Assumptions!$C$7,C1933)),Assumptions!$D$7,"Other Services"))),"Other Services"))</f>
        <v/>
      </c>
    </row>
    <row r="1934" customFormat="false" ht="15" hidden="false" customHeight="false" outlineLevel="0" collapsed="false">
      <c r="F1934" s="41" t="str">
        <f aca="false">IF(C1934="","",IFERROR(IF(ISNUMBER(SEARCH(Assumptions!$C$5,C1934)),Assumptions!$D$5,IF(ISNUMBER(SEARCH(Assumptions!$C$6,C1934)),Assumptions!$D$6,IF(ISNUMBER(SEARCH(Assumptions!$C$7,C1934)),Assumptions!$D$7,"Other Services"))),"Other Services"))</f>
        <v/>
      </c>
    </row>
    <row r="1935" customFormat="false" ht="15" hidden="false" customHeight="false" outlineLevel="0" collapsed="false">
      <c r="F1935" s="41" t="str">
        <f aca="false">IF(C1935="","",IFERROR(IF(ISNUMBER(SEARCH(Assumptions!$C$5,C1935)),Assumptions!$D$5,IF(ISNUMBER(SEARCH(Assumptions!$C$6,C1935)),Assumptions!$D$6,IF(ISNUMBER(SEARCH(Assumptions!$C$7,C1935)),Assumptions!$D$7,"Other Services"))),"Other Services"))</f>
        <v/>
      </c>
    </row>
    <row r="1936" customFormat="false" ht="15" hidden="false" customHeight="false" outlineLevel="0" collapsed="false">
      <c r="F1936" s="41" t="str">
        <f aca="false">IF(C1936="","",IFERROR(IF(ISNUMBER(SEARCH(Assumptions!$C$5,C1936)),Assumptions!$D$5,IF(ISNUMBER(SEARCH(Assumptions!$C$6,C1936)),Assumptions!$D$6,IF(ISNUMBER(SEARCH(Assumptions!$C$7,C1936)),Assumptions!$D$7,"Other Services"))),"Other Services"))</f>
        <v/>
      </c>
    </row>
    <row r="1937" customFormat="false" ht="15" hidden="false" customHeight="false" outlineLevel="0" collapsed="false">
      <c r="F1937" s="41" t="str">
        <f aca="false">IF(C1937="","",IFERROR(IF(ISNUMBER(SEARCH(Assumptions!$C$5,C1937)),Assumptions!$D$5,IF(ISNUMBER(SEARCH(Assumptions!$C$6,C1937)),Assumptions!$D$6,IF(ISNUMBER(SEARCH(Assumptions!$C$7,C1937)),Assumptions!$D$7,"Other Services"))),"Other Services"))</f>
        <v/>
      </c>
    </row>
    <row r="1938" customFormat="false" ht="15" hidden="false" customHeight="false" outlineLevel="0" collapsed="false">
      <c r="F1938" s="41" t="str">
        <f aca="false">IF(C1938="","",IFERROR(IF(ISNUMBER(SEARCH(Assumptions!$C$5,C1938)),Assumptions!$D$5,IF(ISNUMBER(SEARCH(Assumptions!$C$6,C1938)),Assumptions!$D$6,IF(ISNUMBER(SEARCH(Assumptions!$C$7,C1938)),Assumptions!$D$7,"Other Services"))),"Other Services"))</f>
        <v/>
      </c>
    </row>
    <row r="1939" customFormat="false" ht="15" hidden="false" customHeight="false" outlineLevel="0" collapsed="false">
      <c r="F1939" s="41" t="str">
        <f aca="false">IF(C1939="","",IFERROR(IF(ISNUMBER(SEARCH(Assumptions!$C$5,C1939)),Assumptions!$D$5,IF(ISNUMBER(SEARCH(Assumptions!$C$6,C1939)),Assumptions!$D$6,IF(ISNUMBER(SEARCH(Assumptions!$C$7,C1939)),Assumptions!$D$7,"Other Services"))),"Other Services"))</f>
        <v/>
      </c>
    </row>
    <row r="1940" customFormat="false" ht="15" hidden="false" customHeight="false" outlineLevel="0" collapsed="false">
      <c r="F1940" s="41" t="str">
        <f aca="false">IF(C1940="","",IFERROR(IF(ISNUMBER(SEARCH(Assumptions!$C$5,C1940)),Assumptions!$D$5,IF(ISNUMBER(SEARCH(Assumptions!$C$6,C1940)),Assumptions!$D$6,IF(ISNUMBER(SEARCH(Assumptions!$C$7,C1940)),Assumptions!$D$7,"Other Services"))),"Other Services"))</f>
        <v/>
      </c>
    </row>
    <row r="1941" customFormat="false" ht="15" hidden="false" customHeight="false" outlineLevel="0" collapsed="false">
      <c r="F1941" s="41" t="str">
        <f aca="false">IF(C1941="","",IFERROR(IF(ISNUMBER(SEARCH(Assumptions!$C$5,C1941)),Assumptions!$D$5,IF(ISNUMBER(SEARCH(Assumptions!$C$6,C1941)),Assumptions!$D$6,IF(ISNUMBER(SEARCH(Assumptions!$C$7,C1941)),Assumptions!$D$7,"Other Services"))),"Other Services"))</f>
        <v/>
      </c>
    </row>
    <row r="1942" customFormat="false" ht="15" hidden="false" customHeight="false" outlineLevel="0" collapsed="false">
      <c r="F1942" s="41" t="str">
        <f aca="false">IF(C1942="","",IFERROR(IF(ISNUMBER(SEARCH(Assumptions!$C$5,C1942)),Assumptions!$D$5,IF(ISNUMBER(SEARCH(Assumptions!$C$6,C1942)),Assumptions!$D$6,IF(ISNUMBER(SEARCH(Assumptions!$C$7,C1942)),Assumptions!$D$7,"Other Services"))),"Other Services"))</f>
        <v/>
      </c>
    </row>
    <row r="1943" customFormat="false" ht="15" hidden="false" customHeight="false" outlineLevel="0" collapsed="false">
      <c r="F1943" s="41" t="str">
        <f aca="false">IF(C1943="","",IFERROR(IF(ISNUMBER(SEARCH(Assumptions!$C$5,C1943)),Assumptions!$D$5,IF(ISNUMBER(SEARCH(Assumptions!$C$6,C1943)),Assumptions!$D$6,IF(ISNUMBER(SEARCH(Assumptions!$C$7,C1943)),Assumptions!$D$7,"Other Services"))),"Other Services"))</f>
        <v/>
      </c>
    </row>
    <row r="1944" customFormat="false" ht="15" hidden="false" customHeight="false" outlineLevel="0" collapsed="false">
      <c r="F1944" s="41" t="str">
        <f aca="false">IF(C1944="","",IFERROR(IF(ISNUMBER(SEARCH(Assumptions!$C$5,C1944)),Assumptions!$D$5,IF(ISNUMBER(SEARCH(Assumptions!$C$6,C1944)),Assumptions!$D$6,IF(ISNUMBER(SEARCH(Assumptions!$C$7,C1944)),Assumptions!$D$7,"Other Services"))),"Other Services"))</f>
        <v/>
      </c>
    </row>
    <row r="1945" customFormat="false" ht="15" hidden="false" customHeight="false" outlineLevel="0" collapsed="false">
      <c r="F1945" s="41" t="str">
        <f aca="false">IF(C1945="","",IFERROR(IF(ISNUMBER(SEARCH(Assumptions!$C$5,C1945)),Assumptions!$D$5,IF(ISNUMBER(SEARCH(Assumptions!$C$6,C1945)),Assumptions!$D$6,IF(ISNUMBER(SEARCH(Assumptions!$C$7,C1945)),Assumptions!$D$7,"Other Services"))),"Other Services"))</f>
        <v/>
      </c>
    </row>
    <row r="1946" customFormat="false" ht="15" hidden="false" customHeight="false" outlineLevel="0" collapsed="false">
      <c r="F1946" s="41" t="str">
        <f aca="false">IF(C1946="","",IFERROR(IF(ISNUMBER(SEARCH(Assumptions!$C$5,C1946)),Assumptions!$D$5,IF(ISNUMBER(SEARCH(Assumptions!$C$6,C1946)),Assumptions!$D$6,IF(ISNUMBER(SEARCH(Assumptions!$C$7,C1946)),Assumptions!$D$7,"Other Services"))),"Other Services"))</f>
        <v/>
      </c>
    </row>
    <row r="1947" customFormat="false" ht="15" hidden="false" customHeight="false" outlineLevel="0" collapsed="false">
      <c r="F1947" s="41" t="str">
        <f aca="false">IF(C1947="","",IFERROR(IF(ISNUMBER(SEARCH(Assumptions!$C$5,C1947)),Assumptions!$D$5,IF(ISNUMBER(SEARCH(Assumptions!$C$6,C1947)),Assumptions!$D$6,IF(ISNUMBER(SEARCH(Assumptions!$C$7,C1947)),Assumptions!$D$7,"Other Services"))),"Other Services"))</f>
        <v/>
      </c>
    </row>
    <row r="1948" customFormat="false" ht="15" hidden="false" customHeight="false" outlineLevel="0" collapsed="false">
      <c r="F1948" s="41" t="str">
        <f aca="false">IF(C1948="","",IFERROR(IF(ISNUMBER(SEARCH(Assumptions!$C$5,C1948)),Assumptions!$D$5,IF(ISNUMBER(SEARCH(Assumptions!$C$6,C1948)),Assumptions!$D$6,IF(ISNUMBER(SEARCH(Assumptions!$C$7,C1948)),Assumptions!$D$7,"Other Services"))),"Other Services"))</f>
        <v/>
      </c>
    </row>
    <row r="1949" customFormat="false" ht="15" hidden="false" customHeight="false" outlineLevel="0" collapsed="false">
      <c r="F1949" s="41" t="str">
        <f aca="false">IF(C1949="","",IFERROR(IF(ISNUMBER(SEARCH(Assumptions!$C$5,C1949)),Assumptions!$D$5,IF(ISNUMBER(SEARCH(Assumptions!$C$6,C1949)),Assumptions!$D$6,IF(ISNUMBER(SEARCH(Assumptions!$C$7,C1949)),Assumptions!$D$7,"Other Services"))),"Other Services"))</f>
        <v/>
      </c>
    </row>
    <row r="1950" customFormat="false" ht="15" hidden="false" customHeight="false" outlineLevel="0" collapsed="false">
      <c r="F1950" s="41" t="str">
        <f aca="false">IF(C1950="","",IFERROR(IF(ISNUMBER(SEARCH(Assumptions!$C$5,C1950)),Assumptions!$D$5,IF(ISNUMBER(SEARCH(Assumptions!$C$6,C1950)),Assumptions!$D$6,IF(ISNUMBER(SEARCH(Assumptions!$C$7,C1950)),Assumptions!$D$7,"Other Services"))),"Other Services"))</f>
        <v/>
      </c>
    </row>
    <row r="1951" customFormat="false" ht="15" hidden="false" customHeight="false" outlineLevel="0" collapsed="false">
      <c r="F1951" s="41" t="str">
        <f aca="false">IF(C1951="","",IFERROR(IF(ISNUMBER(SEARCH(Assumptions!$C$5,C1951)),Assumptions!$D$5,IF(ISNUMBER(SEARCH(Assumptions!$C$6,C1951)),Assumptions!$D$6,IF(ISNUMBER(SEARCH(Assumptions!$C$7,C1951)),Assumptions!$D$7,"Other Services"))),"Other Services"))</f>
        <v/>
      </c>
    </row>
    <row r="1952" customFormat="false" ht="15" hidden="false" customHeight="false" outlineLevel="0" collapsed="false">
      <c r="F1952" s="41" t="str">
        <f aca="false">IF(C1952="","",IFERROR(IF(ISNUMBER(SEARCH(Assumptions!$C$5,C1952)),Assumptions!$D$5,IF(ISNUMBER(SEARCH(Assumptions!$C$6,C1952)),Assumptions!$D$6,IF(ISNUMBER(SEARCH(Assumptions!$C$7,C1952)),Assumptions!$D$7,"Other Services"))),"Other Services"))</f>
        <v/>
      </c>
    </row>
    <row r="1953" customFormat="false" ht="15" hidden="false" customHeight="false" outlineLevel="0" collapsed="false">
      <c r="F1953" s="41" t="str">
        <f aca="false">IF(C1953="","",IFERROR(IF(ISNUMBER(SEARCH(Assumptions!$C$5,C1953)),Assumptions!$D$5,IF(ISNUMBER(SEARCH(Assumptions!$C$6,C1953)),Assumptions!$D$6,IF(ISNUMBER(SEARCH(Assumptions!$C$7,C1953)),Assumptions!$D$7,"Other Services"))),"Other Services"))</f>
        <v/>
      </c>
    </row>
    <row r="1954" customFormat="false" ht="15" hidden="false" customHeight="false" outlineLevel="0" collapsed="false">
      <c r="F1954" s="41" t="str">
        <f aca="false">IF(C1954="","",IFERROR(IF(ISNUMBER(SEARCH(Assumptions!$C$5,C1954)),Assumptions!$D$5,IF(ISNUMBER(SEARCH(Assumptions!$C$6,C1954)),Assumptions!$D$6,IF(ISNUMBER(SEARCH(Assumptions!$C$7,C1954)),Assumptions!$D$7,"Other Services"))),"Other Services"))</f>
        <v/>
      </c>
    </row>
    <row r="1955" customFormat="false" ht="15" hidden="false" customHeight="false" outlineLevel="0" collapsed="false">
      <c r="F1955" s="41" t="str">
        <f aca="false">IF(C1955="","",IFERROR(IF(ISNUMBER(SEARCH(Assumptions!$C$5,C1955)),Assumptions!$D$5,IF(ISNUMBER(SEARCH(Assumptions!$C$6,C1955)),Assumptions!$D$6,IF(ISNUMBER(SEARCH(Assumptions!$C$7,C1955)),Assumptions!$D$7,"Other Services"))),"Other Services"))</f>
        <v/>
      </c>
    </row>
    <row r="1956" customFormat="false" ht="15" hidden="false" customHeight="false" outlineLevel="0" collapsed="false">
      <c r="F1956" s="41" t="str">
        <f aca="false">IF(C1956="","",IFERROR(IF(ISNUMBER(SEARCH(Assumptions!$C$5,C1956)),Assumptions!$D$5,IF(ISNUMBER(SEARCH(Assumptions!$C$6,C1956)),Assumptions!$D$6,IF(ISNUMBER(SEARCH(Assumptions!$C$7,C1956)),Assumptions!$D$7,"Other Services"))),"Other Services"))</f>
        <v/>
      </c>
    </row>
    <row r="1957" customFormat="false" ht="15" hidden="false" customHeight="false" outlineLevel="0" collapsed="false">
      <c r="F1957" s="41" t="str">
        <f aca="false">IF(C1957="","",IFERROR(IF(ISNUMBER(SEARCH(Assumptions!$C$5,C1957)),Assumptions!$D$5,IF(ISNUMBER(SEARCH(Assumptions!$C$6,C1957)),Assumptions!$D$6,IF(ISNUMBER(SEARCH(Assumptions!$C$7,C1957)),Assumptions!$D$7,"Other Services"))),"Other Services"))</f>
        <v/>
      </c>
    </row>
    <row r="1958" customFormat="false" ht="15" hidden="false" customHeight="false" outlineLevel="0" collapsed="false">
      <c r="F1958" s="41" t="str">
        <f aca="false">IF(C1958="","",IFERROR(IF(ISNUMBER(SEARCH(Assumptions!$C$5,C1958)),Assumptions!$D$5,IF(ISNUMBER(SEARCH(Assumptions!$C$6,C1958)),Assumptions!$D$6,IF(ISNUMBER(SEARCH(Assumptions!$C$7,C1958)),Assumptions!$D$7,"Other Services"))),"Other Services"))</f>
        <v/>
      </c>
    </row>
    <row r="1959" customFormat="false" ht="15" hidden="false" customHeight="false" outlineLevel="0" collapsed="false">
      <c r="F1959" s="41" t="str">
        <f aca="false">IF(C1959="","",IFERROR(IF(ISNUMBER(SEARCH(Assumptions!$C$5,C1959)),Assumptions!$D$5,IF(ISNUMBER(SEARCH(Assumptions!$C$6,C1959)),Assumptions!$D$6,IF(ISNUMBER(SEARCH(Assumptions!$C$7,C1959)),Assumptions!$D$7,"Other Services"))),"Other Services"))</f>
        <v/>
      </c>
    </row>
    <row r="1960" customFormat="false" ht="15" hidden="false" customHeight="false" outlineLevel="0" collapsed="false">
      <c r="F1960" s="41" t="str">
        <f aca="false">IF(C1960="","",IFERROR(IF(ISNUMBER(SEARCH(Assumptions!$C$5,C1960)),Assumptions!$D$5,IF(ISNUMBER(SEARCH(Assumptions!$C$6,C1960)),Assumptions!$D$6,IF(ISNUMBER(SEARCH(Assumptions!$C$7,C1960)),Assumptions!$D$7,"Other Services"))),"Other Services"))</f>
        <v/>
      </c>
    </row>
    <row r="1961" customFormat="false" ht="15" hidden="false" customHeight="false" outlineLevel="0" collapsed="false">
      <c r="F1961" s="41" t="str">
        <f aca="false">IF(C1961="","",IFERROR(IF(ISNUMBER(SEARCH(Assumptions!$C$5,C1961)),Assumptions!$D$5,IF(ISNUMBER(SEARCH(Assumptions!$C$6,C1961)),Assumptions!$D$6,IF(ISNUMBER(SEARCH(Assumptions!$C$7,C1961)),Assumptions!$D$7,"Other Services"))),"Other Services"))</f>
        <v/>
      </c>
    </row>
    <row r="1962" customFormat="false" ht="15" hidden="false" customHeight="false" outlineLevel="0" collapsed="false">
      <c r="F1962" s="41" t="str">
        <f aca="false">IF(C1962="","",IFERROR(IF(ISNUMBER(SEARCH(Assumptions!$C$5,C1962)),Assumptions!$D$5,IF(ISNUMBER(SEARCH(Assumptions!$C$6,C1962)),Assumptions!$D$6,IF(ISNUMBER(SEARCH(Assumptions!$C$7,C1962)),Assumptions!$D$7,"Other Services"))),"Other Services"))</f>
        <v/>
      </c>
    </row>
    <row r="1963" customFormat="false" ht="15" hidden="false" customHeight="false" outlineLevel="0" collapsed="false">
      <c r="F1963" s="41" t="str">
        <f aca="false">IF(C1963="","",IFERROR(IF(ISNUMBER(SEARCH(Assumptions!$C$5,C1963)),Assumptions!$D$5,IF(ISNUMBER(SEARCH(Assumptions!$C$6,C1963)),Assumptions!$D$6,IF(ISNUMBER(SEARCH(Assumptions!$C$7,C1963)),Assumptions!$D$7,"Other Services"))),"Other Services"))</f>
        <v/>
      </c>
    </row>
    <row r="1964" customFormat="false" ht="15" hidden="false" customHeight="false" outlineLevel="0" collapsed="false">
      <c r="F1964" s="41" t="str">
        <f aca="false">IF(C1964="","",IFERROR(IF(ISNUMBER(SEARCH(Assumptions!$C$5,C1964)),Assumptions!$D$5,IF(ISNUMBER(SEARCH(Assumptions!$C$6,C1964)),Assumptions!$D$6,IF(ISNUMBER(SEARCH(Assumptions!$C$7,C1964)),Assumptions!$D$7,"Other Services"))),"Other Services"))</f>
        <v/>
      </c>
    </row>
    <row r="1965" customFormat="false" ht="15" hidden="false" customHeight="false" outlineLevel="0" collapsed="false">
      <c r="F1965" s="41" t="str">
        <f aca="false">IF(C1965="","",IFERROR(IF(ISNUMBER(SEARCH(Assumptions!$C$5,C1965)),Assumptions!$D$5,IF(ISNUMBER(SEARCH(Assumptions!$C$6,C1965)),Assumptions!$D$6,IF(ISNUMBER(SEARCH(Assumptions!$C$7,C1965)),Assumptions!$D$7,"Other Services"))),"Other Services"))</f>
        <v/>
      </c>
    </row>
    <row r="1966" customFormat="false" ht="15" hidden="false" customHeight="false" outlineLevel="0" collapsed="false">
      <c r="F1966" s="41" t="str">
        <f aca="false">IF(C1966="","",IFERROR(IF(ISNUMBER(SEARCH(Assumptions!$C$5,C1966)),Assumptions!$D$5,IF(ISNUMBER(SEARCH(Assumptions!$C$6,C1966)),Assumptions!$D$6,IF(ISNUMBER(SEARCH(Assumptions!$C$7,C1966)),Assumptions!$D$7,"Other Services"))),"Other Services"))</f>
        <v/>
      </c>
    </row>
    <row r="1967" customFormat="false" ht="15" hidden="false" customHeight="false" outlineLevel="0" collapsed="false">
      <c r="F1967" s="41" t="str">
        <f aca="false">IF(C1967="","",IFERROR(IF(ISNUMBER(SEARCH(Assumptions!$C$5,C1967)),Assumptions!$D$5,IF(ISNUMBER(SEARCH(Assumptions!$C$6,C1967)),Assumptions!$D$6,IF(ISNUMBER(SEARCH(Assumptions!$C$7,C1967)),Assumptions!$D$7,"Other Services"))),"Other Services"))</f>
        <v/>
      </c>
    </row>
    <row r="1968" customFormat="false" ht="15" hidden="false" customHeight="false" outlineLevel="0" collapsed="false">
      <c r="F1968" s="41" t="str">
        <f aca="false">IF(C1968="","",IFERROR(IF(ISNUMBER(SEARCH(Assumptions!$C$5,C1968)),Assumptions!$D$5,IF(ISNUMBER(SEARCH(Assumptions!$C$6,C1968)),Assumptions!$D$6,IF(ISNUMBER(SEARCH(Assumptions!$C$7,C1968)),Assumptions!$D$7,"Other Services"))),"Other Services"))</f>
        <v/>
      </c>
    </row>
    <row r="1969" customFormat="false" ht="15" hidden="false" customHeight="false" outlineLevel="0" collapsed="false">
      <c r="F1969" s="41" t="str">
        <f aca="false">IF(C1969="","",IFERROR(IF(ISNUMBER(SEARCH(Assumptions!$C$5,C1969)),Assumptions!$D$5,IF(ISNUMBER(SEARCH(Assumptions!$C$6,C1969)),Assumptions!$D$6,IF(ISNUMBER(SEARCH(Assumptions!$C$7,C1969)),Assumptions!$D$7,"Other Services"))),"Other Services"))</f>
        <v/>
      </c>
    </row>
    <row r="1970" customFormat="false" ht="15" hidden="false" customHeight="false" outlineLevel="0" collapsed="false">
      <c r="F1970" s="41" t="str">
        <f aca="false">IF(C1970="","",IFERROR(IF(ISNUMBER(SEARCH(Assumptions!$C$5,C1970)),Assumptions!$D$5,IF(ISNUMBER(SEARCH(Assumptions!$C$6,C1970)),Assumptions!$D$6,IF(ISNUMBER(SEARCH(Assumptions!$C$7,C1970)),Assumptions!$D$7,"Other Services"))),"Other Services"))</f>
        <v/>
      </c>
    </row>
    <row r="1971" customFormat="false" ht="15" hidden="false" customHeight="false" outlineLevel="0" collapsed="false">
      <c r="F1971" s="41" t="str">
        <f aca="false">IF(C1971="","",IFERROR(IF(ISNUMBER(SEARCH(Assumptions!$C$5,C1971)),Assumptions!$D$5,IF(ISNUMBER(SEARCH(Assumptions!$C$6,C1971)),Assumptions!$D$6,IF(ISNUMBER(SEARCH(Assumptions!$C$7,C1971)),Assumptions!$D$7,"Other Services"))),"Other Services"))</f>
        <v/>
      </c>
    </row>
    <row r="1972" customFormat="false" ht="15" hidden="false" customHeight="false" outlineLevel="0" collapsed="false">
      <c r="F1972" s="41" t="str">
        <f aca="false">IF(C1972="","",IFERROR(IF(ISNUMBER(SEARCH(Assumptions!$C$5,C1972)),Assumptions!$D$5,IF(ISNUMBER(SEARCH(Assumptions!$C$6,C1972)),Assumptions!$D$6,IF(ISNUMBER(SEARCH(Assumptions!$C$7,C1972)),Assumptions!$D$7,"Other Services"))),"Other Services"))</f>
        <v/>
      </c>
    </row>
    <row r="1973" customFormat="false" ht="15" hidden="false" customHeight="false" outlineLevel="0" collapsed="false">
      <c r="F1973" s="41" t="str">
        <f aca="false">IF(C1973="","",IFERROR(IF(ISNUMBER(SEARCH(Assumptions!$C$5,C1973)),Assumptions!$D$5,IF(ISNUMBER(SEARCH(Assumptions!$C$6,C1973)),Assumptions!$D$6,IF(ISNUMBER(SEARCH(Assumptions!$C$7,C1973)),Assumptions!$D$7,"Other Services"))),"Other Services"))</f>
        <v/>
      </c>
    </row>
    <row r="1974" customFormat="false" ht="15" hidden="false" customHeight="false" outlineLevel="0" collapsed="false">
      <c r="F1974" s="41" t="str">
        <f aca="false">IF(C1974="","",IFERROR(IF(ISNUMBER(SEARCH(Assumptions!$C$5,C1974)),Assumptions!$D$5,IF(ISNUMBER(SEARCH(Assumptions!$C$6,C1974)),Assumptions!$D$6,IF(ISNUMBER(SEARCH(Assumptions!$C$7,C1974)),Assumptions!$D$7,"Other Services"))),"Other Services"))</f>
        <v/>
      </c>
    </row>
    <row r="1975" customFormat="false" ht="15" hidden="false" customHeight="false" outlineLevel="0" collapsed="false">
      <c r="F1975" s="41" t="str">
        <f aca="false">IF(C1975="","",IFERROR(IF(ISNUMBER(SEARCH(Assumptions!$C$5,C1975)),Assumptions!$D$5,IF(ISNUMBER(SEARCH(Assumptions!$C$6,C1975)),Assumptions!$D$6,IF(ISNUMBER(SEARCH(Assumptions!$C$7,C1975)),Assumptions!$D$7,"Other Services"))),"Other Services"))</f>
        <v/>
      </c>
    </row>
    <row r="1976" customFormat="false" ht="15" hidden="false" customHeight="false" outlineLevel="0" collapsed="false">
      <c r="F1976" s="41" t="str">
        <f aca="false">IF(C1976="","",IFERROR(IF(ISNUMBER(SEARCH(Assumptions!$C$5,C1976)),Assumptions!$D$5,IF(ISNUMBER(SEARCH(Assumptions!$C$6,C1976)),Assumptions!$D$6,IF(ISNUMBER(SEARCH(Assumptions!$C$7,C1976)),Assumptions!$D$7,"Other Services"))),"Other Services"))</f>
        <v/>
      </c>
    </row>
    <row r="1977" customFormat="false" ht="15" hidden="false" customHeight="false" outlineLevel="0" collapsed="false">
      <c r="F1977" s="41" t="str">
        <f aca="false">IF(C1977="","",IFERROR(IF(ISNUMBER(SEARCH(Assumptions!$C$5,C1977)),Assumptions!$D$5,IF(ISNUMBER(SEARCH(Assumptions!$C$6,C1977)),Assumptions!$D$6,IF(ISNUMBER(SEARCH(Assumptions!$C$7,C1977)),Assumptions!$D$7,"Other Services"))),"Other Services"))</f>
        <v/>
      </c>
    </row>
    <row r="1978" customFormat="false" ht="15" hidden="false" customHeight="false" outlineLevel="0" collapsed="false">
      <c r="F1978" s="41" t="str">
        <f aca="false">IF(C1978="","",IFERROR(IF(ISNUMBER(SEARCH(Assumptions!$C$5,C1978)),Assumptions!$D$5,IF(ISNUMBER(SEARCH(Assumptions!$C$6,C1978)),Assumptions!$D$6,IF(ISNUMBER(SEARCH(Assumptions!$C$7,C1978)),Assumptions!$D$7,"Other Services"))),"Other Services"))</f>
        <v/>
      </c>
    </row>
    <row r="1979" customFormat="false" ht="15" hidden="false" customHeight="false" outlineLevel="0" collapsed="false">
      <c r="F1979" s="41" t="str">
        <f aca="false">IF(C1979="","",IFERROR(IF(ISNUMBER(SEARCH(Assumptions!$C$5,C1979)),Assumptions!$D$5,IF(ISNUMBER(SEARCH(Assumptions!$C$6,C1979)),Assumptions!$D$6,IF(ISNUMBER(SEARCH(Assumptions!$C$7,C1979)),Assumptions!$D$7,"Other Services"))),"Other Services"))</f>
        <v/>
      </c>
    </row>
    <row r="1980" customFormat="false" ht="15" hidden="false" customHeight="false" outlineLevel="0" collapsed="false">
      <c r="F1980" s="41" t="str">
        <f aca="false">IF(C1980="","",IFERROR(IF(ISNUMBER(SEARCH(Assumptions!$C$5,C1980)),Assumptions!$D$5,IF(ISNUMBER(SEARCH(Assumptions!$C$6,C1980)),Assumptions!$D$6,IF(ISNUMBER(SEARCH(Assumptions!$C$7,C1980)),Assumptions!$D$7,"Other Services"))),"Other Services"))</f>
        <v/>
      </c>
    </row>
    <row r="1981" customFormat="false" ht="15" hidden="false" customHeight="false" outlineLevel="0" collapsed="false">
      <c r="F1981" s="41" t="str">
        <f aca="false">IF(C1981="","",IFERROR(IF(ISNUMBER(SEARCH(Assumptions!$C$5,C1981)),Assumptions!$D$5,IF(ISNUMBER(SEARCH(Assumptions!$C$6,C1981)),Assumptions!$D$6,IF(ISNUMBER(SEARCH(Assumptions!$C$7,C1981)),Assumptions!$D$7,"Other Services"))),"Other Services"))</f>
        <v/>
      </c>
    </row>
    <row r="1982" customFormat="false" ht="15" hidden="false" customHeight="false" outlineLevel="0" collapsed="false">
      <c r="F1982" s="41" t="str">
        <f aca="false">IF(C1982="","",IFERROR(IF(ISNUMBER(SEARCH(Assumptions!$C$5,C1982)),Assumptions!$D$5,IF(ISNUMBER(SEARCH(Assumptions!$C$6,C1982)),Assumptions!$D$6,IF(ISNUMBER(SEARCH(Assumptions!$C$7,C1982)),Assumptions!$D$7,"Other Services"))),"Other Services"))</f>
        <v/>
      </c>
    </row>
    <row r="1983" customFormat="false" ht="15" hidden="false" customHeight="false" outlineLevel="0" collapsed="false">
      <c r="F1983" s="41" t="str">
        <f aca="false">IF(C1983="","",IFERROR(IF(ISNUMBER(SEARCH(Assumptions!$C$5,C1983)),Assumptions!$D$5,IF(ISNUMBER(SEARCH(Assumptions!$C$6,C1983)),Assumptions!$D$6,IF(ISNUMBER(SEARCH(Assumptions!$C$7,C1983)),Assumptions!$D$7,"Other Services"))),"Other Services"))</f>
        <v/>
      </c>
    </row>
    <row r="1984" customFormat="false" ht="15" hidden="false" customHeight="false" outlineLevel="0" collapsed="false">
      <c r="F1984" s="41" t="str">
        <f aca="false">IF(C1984="","",IFERROR(IF(ISNUMBER(SEARCH(Assumptions!$C$5,C1984)),Assumptions!$D$5,IF(ISNUMBER(SEARCH(Assumptions!$C$6,C1984)),Assumptions!$D$6,IF(ISNUMBER(SEARCH(Assumptions!$C$7,C1984)),Assumptions!$D$7,"Other Services"))),"Other Services"))</f>
        <v/>
      </c>
    </row>
    <row r="1985" customFormat="false" ht="15" hidden="false" customHeight="false" outlineLevel="0" collapsed="false">
      <c r="F1985" s="41" t="str">
        <f aca="false">IF(C1985="","",IFERROR(IF(ISNUMBER(SEARCH(Assumptions!$C$5,C1985)),Assumptions!$D$5,IF(ISNUMBER(SEARCH(Assumptions!$C$6,C1985)),Assumptions!$D$6,IF(ISNUMBER(SEARCH(Assumptions!$C$7,C1985)),Assumptions!$D$7,"Other Services"))),"Other Services"))</f>
        <v/>
      </c>
    </row>
    <row r="1986" customFormat="false" ht="15" hidden="false" customHeight="false" outlineLevel="0" collapsed="false">
      <c r="F1986" s="41" t="str">
        <f aca="false">IF(C1986="","",IFERROR(IF(ISNUMBER(SEARCH(Assumptions!$C$5,C1986)),Assumptions!$D$5,IF(ISNUMBER(SEARCH(Assumptions!$C$6,C1986)),Assumptions!$D$6,IF(ISNUMBER(SEARCH(Assumptions!$C$7,C1986)),Assumptions!$D$7,"Other Services"))),"Other Services"))</f>
        <v/>
      </c>
    </row>
    <row r="1987" customFormat="false" ht="15" hidden="false" customHeight="false" outlineLevel="0" collapsed="false">
      <c r="F1987" s="41" t="str">
        <f aca="false">IF(C1987="","",IFERROR(IF(ISNUMBER(SEARCH(Assumptions!$C$5,C1987)),Assumptions!$D$5,IF(ISNUMBER(SEARCH(Assumptions!$C$6,C1987)),Assumptions!$D$6,IF(ISNUMBER(SEARCH(Assumptions!$C$7,C1987)),Assumptions!$D$7,"Other Services"))),"Other Services"))</f>
        <v/>
      </c>
    </row>
    <row r="1988" customFormat="false" ht="15" hidden="false" customHeight="false" outlineLevel="0" collapsed="false">
      <c r="F1988" s="41" t="str">
        <f aca="false">IF(C1988="","",IFERROR(IF(ISNUMBER(SEARCH(Assumptions!$C$5,C1988)),Assumptions!$D$5,IF(ISNUMBER(SEARCH(Assumptions!$C$6,C1988)),Assumptions!$D$6,IF(ISNUMBER(SEARCH(Assumptions!$C$7,C1988)),Assumptions!$D$7,"Other Services"))),"Other Services"))</f>
        <v/>
      </c>
    </row>
    <row r="1989" customFormat="false" ht="15" hidden="false" customHeight="false" outlineLevel="0" collapsed="false">
      <c r="F1989" s="41" t="str">
        <f aca="false">IF(C1989="","",IFERROR(IF(ISNUMBER(SEARCH(Assumptions!$C$5,C1989)),Assumptions!$D$5,IF(ISNUMBER(SEARCH(Assumptions!$C$6,C1989)),Assumptions!$D$6,IF(ISNUMBER(SEARCH(Assumptions!$C$7,C1989)),Assumptions!$D$7,"Other Services"))),"Other Services"))</f>
        <v/>
      </c>
    </row>
    <row r="1990" customFormat="false" ht="15" hidden="false" customHeight="false" outlineLevel="0" collapsed="false">
      <c r="F1990" s="41" t="str">
        <f aca="false">IF(C1990="","",IFERROR(IF(ISNUMBER(SEARCH(Assumptions!$C$5,C1990)),Assumptions!$D$5,IF(ISNUMBER(SEARCH(Assumptions!$C$6,C1990)),Assumptions!$D$6,IF(ISNUMBER(SEARCH(Assumptions!$C$7,C1990)),Assumptions!$D$7,"Other Services"))),"Other Services"))</f>
        <v/>
      </c>
    </row>
    <row r="1991" customFormat="false" ht="15" hidden="false" customHeight="false" outlineLevel="0" collapsed="false">
      <c r="F1991" s="41" t="str">
        <f aca="false">IF(C1991="","",IFERROR(IF(ISNUMBER(SEARCH(Assumptions!$C$5,C1991)),Assumptions!$D$5,IF(ISNUMBER(SEARCH(Assumptions!$C$6,C1991)),Assumptions!$D$6,IF(ISNUMBER(SEARCH(Assumptions!$C$7,C1991)),Assumptions!$D$7,"Other Services"))),"Other Services"))</f>
        <v/>
      </c>
    </row>
    <row r="1992" customFormat="false" ht="15" hidden="false" customHeight="false" outlineLevel="0" collapsed="false">
      <c r="F1992" s="41" t="str">
        <f aca="false">IF(C1992="","",IFERROR(IF(ISNUMBER(SEARCH(Assumptions!$C$5,C1992)),Assumptions!$D$5,IF(ISNUMBER(SEARCH(Assumptions!$C$6,C1992)),Assumptions!$D$6,IF(ISNUMBER(SEARCH(Assumptions!$C$7,C1992)),Assumptions!$D$7,"Other Services"))),"Other Services"))</f>
        <v/>
      </c>
    </row>
    <row r="1993" customFormat="false" ht="15" hidden="false" customHeight="false" outlineLevel="0" collapsed="false">
      <c r="F1993" s="41" t="str">
        <f aca="false">IF(C1993="","",IFERROR(IF(ISNUMBER(SEARCH(Assumptions!$C$5,C1993)),Assumptions!$D$5,IF(ISNUMBER(SEARCH(Assumptions!$C$6,C1993)),Assumptions!$D$6,IF(ISNUMBER(SEARCH(Assumptions!$C$7,C1993)),Assumptions!$D$7,"Other Services"))),"Other Services"))</f>
        <v/>
      </c>
    </row>
    <row r="1994" customFormat="false" ht="15" hidden="false" customHeight="false" outlineLevel="0" collapsed="false">
      <c r="F1994" s="41" t="str">
        <f aca="false">IF(C1994="","",IFERROR(IF(ISNUMBER(SEARCH(Assumptions!$C$5,C1994)),Assumptions!$D$5,IF(ISNUMBER(SEARCH(Assumptions!$C$6,C1994)),Assumptions!$D$6,IF(ISNUMBER(SEARCH(Assumptions!$C$7,C1994)),Assumptions!$D$7,"Other Services"))),"Other Services"))</f>
        <v/>
      </c>
    </row>
    <row r="1995" customFormat="false" ht="15" hidden="false" customHeight="false" outlineLevel="0" collapsed="false">
      <c r="F1995" s="41" t="str">
        <f aca="false">IF(C1995="","",IFERROR(IF(ISNUMBER(SEARCH(Assumptions!$C$5,C1995)),Assumptions!$D$5,IF(ISNUMBER(SEARCH(Assumptions!$C$6,C1995)),Assumptions!$D$6,IF(ISNUMBER(SEARCH(Assumptions!$C$7,C1995)),Assumptions!$D$7,"Other Services"))),"Other Services"))</f>
        <v/>
      </c>
    </row>
    <row r="1996" customFormat="false" ht="15" hidden="false" customHeight="false" outlineLevel="0" collapsed="false">
      <c r="F1996" s="41" t="str">
        <f aca="false">IF(C1996="","",IFERROR(IF(ISNUMBER(SEARCH(Assumptions!$C$5,C1996)),Assumptions!$D$5,IF(ISNUMBER(SEARCH(Assumptions!$C$6,C1996)),Assumptions!$D$6,IF(ISNUMBER(SEARCH(Assumptions!$C$7,C1996)),Assumptions!$D$7,"Other Services"))),"Other Services"))</f>
        <v/>
      </c>
    </row>
    <row r="1997" customFormat="false" ht="15" hidden="false" customHeight="false" outlineLevel="0" collapsed="false">
      <c r="F1997" s="41" t="str">
        <f aca="false">IF(C1997="","",IFERROR(IF(ISNUMBER(SEARCH(Assumptions!$C$5,C1997)),Assumptions!$D$5,IF(ISNUMBER(SEARCH(Assumptions!$C$6,C1997)),Assumptions!$D$6,IF(ISNUMBER(SEARCH(Assumptions!$C$7,C1997)),Assumptions!$D$7,"Other Services"))),"Other Services"))</f>
        <v/>
      </c>
    </row>
    <row r="1998" customFormat="false" ht="15" hidden="false" customHeight="false" outlineLevel="0" collapsed="false">
      <c r="F1998" s="41" t="str">
        <f aca="false">IF(C1998="","",IFERROR(IF(ISNUMBER(SEARCH(Assumptions!$C$5,C1998)),Assumptions!$D$5,IF(ISNUMBER(SEARCH(Assumptions!$C$6,C1998)),Assumptions!$D$6,IF(ISNUMBER(SEARCH(Assumptions!$C$7,C1998)),Assumptions!$D$7,"Other Services"))),"Other Services"))</f>
        <v/>
      </c>
    </row>
    <row r="1999" customFormat="false" ht="15" hidden="false" customHeight="false" outlineLevel="0" collapsed="false">
      <c r="F1999" s="41" t="str">
        <f aca="false">IF(C1999="","",IFERROR(IF(ISNUMBER(SEARCH(Assumptions!$C$5,C1999)),Assumptions!$D$5,IF(ISNUMBER(SEARCH(Assumptions!$C$6,C1999)),Assumptions!$D$6,IF(ISNUMBER(SEARCH(Assumptions!$C$7,C1999)),Assumptions!$D$7,"Other Services"))),"Other Services"))</f>
        <v/>
      </c>
    </row>
    <row r="2000" customFormat="false" ht="15" hidden="false" customHeight="false" outlineLevel="0" collapsed="false">
      <c r="F2000" s="41" t="str">
        <f aca="false">IF(C2000="","",IFERROR(IF(ISNUMBER(SEARCH(Assumptions!$C$5,C2000)),Assumptions!$D$5,IF(ISNUMBER(SEARCH(Assumptions!$C$6,C2000)),Assumptions!$D$6,IF(ISNUMBER(SEARCH(Assumptions!$C$7,C2000)),Assumptions!$D$7,"Other Services"))),"Other Services"))</f>
        <v/>
      </c>
    </row>
    <row r="2001" customFormat="false" ht="15" hidden="false" customHeight="false" outlineLevel="0" collapsed="false">
      <c r="F2001" s="41" t="str">
        <f aca="false">IF(C2001="","",IFERROR(IF(ISNUMBER(SEARCH(Assumptions!$C$5,C2001)),Assumptions!$D$5,IF(ISNUMBER(SEARCH(Assumptions!$C$6,C2001)),Assumptions!$D$6,IF(ISNUMBER(SEARCH(Assumptions!$C$7,C2001)),Assumptions!$D$7,"Other Services"))),"Other Services"))</f>
        <v/>
      </c>
    </row>
    <row r="2002" customFormat="false" ht="15" hidden="false" customHeight="false" outlineLevel="0" collapsed="false">
      <c r="F2002" s="41" t="str">
        <f aca="false">IF(C2002="","",IFERROR(IF(ISNUMBER(SEARCH(Assumptions!$C$5,C2002)),Assumptions!$D$5,IF(ISNUMBER(SEARCH(Assumptions!$C$6,C2002)),Assumptions!$D$6,IF(ISNUMBER(SEARCH(Assumptions!$C$7,C2002)),Assumptions!$D$7,"Other Services"))),"Other Services"))</f>
        <v/>
      </c>
    </row>
    <row r="2003" customFormat="false" ht="15" hidden="false" customHeight="false" outlineLevel="0" collapsed="false">
      <c r="F2003" s="41" t="str">
        <f aca="false">IF(C2003="","",IFERROR(IF(ISNUMBER(SEARCH(Assumptions!$C$5,C2003)),Assumptions!$D$5,IF(ISNUMBER(SEARCH(Assumptions!$C$6,C2003)),Assumptions!$D$6,IF(ISNUMBER(SEARCH(Assumptions!$C$7,C2003)),Assumptions!$D$7,"Other Services"))),"Other Services"))</f>
        <v/>
      </c>
    </row>
    <row r="2004" customFormat="false" ht="15" hidden="false" customHeight="false" outlineLevel="0" collapsed="false">
      <c r="F2004" s="41" t="str">
        <f aca="false">IF(C2004="","",IFERROR(IF(ISNUMBER(SEARCH(Assumptions!$C$5,C2004)),Assumptions!$D$5,IF(ISNUMBER(SEARCH(Assumptions!$C$6,C2004)),Assumptions!$D$6,IF(ISNUMBER(SEARCH(Assumptions!$C$7,C2004)),Assumptions!$D$7,"Other Services"))),"Other Services"))</f>
        <v/>
      </c>
    </row>
    <row r="2005" customFormat="false" ht="15" hidden="false" customHeight="false" outlineLevel="0" collapsed="false">
      <c r="F2005" s="41" t="str">
        <f aca="false">IF(C2005="","",IFERROR(IF(ISNUMBER(SEARCH(Assumptions!$C$5,C2005)),Assumptions!$D$5,IF(ISNUMBER(SEARCH(Assumptions!$C$6,C2005)),Assumptions!$D$6,IF(ISNUMBER(SEARCH(Assumptions!$C$7,C2005)),Assumptions!$D$7,"Other Services"))),"Other Services"))</f>
        <v/>
      </c>
    </row>
    <row r="2006" customFormat="false" ht="15" hidden="false" customHeight="false" outlineLevel="0" collapsed="false">
      <c r="F2006" s="41" t="str">
        <f aca="false">IF(C2006="","",IFERROR(IF(ISNUMBER(SEARCH(Assumptions!$C$5,C2006)),Assumptions!$D$5,IF(ISNUMBER(SEARCH(Assumptions!$C$6,C2006)),Assumptions!$D$6,IF(ISNUMBER(SEARCH(Assumptions!$C$7,C2006)),Assumptions!$D$7,"Other Services"))),"Other Services"))</f>
        <v/>
      </c>
    </row>
    <row r="2007" customFormat="false" ht="15" hidden="false" customHeight="false" outlineLevel="0" collapsed="false">
      <c r="F2007" s="41" t="str">
        <f aca="false">IF(C2007="","",IFERROR(IF(ISNUMBER(SEARCH(Assumptions!$C$5,C2007)),Assumptions!$D$5,IF(ISNUMBER(SEARCH(Assumptions!$C$6,C2007)),Assumptions!$D$6,IF(ISNUMBER(SEARCH(Assumptions!$C$7,C2007)),Assumptions!$D$7,"Other Services"))),"Other Services"))</f>
        <v/>
      </c>
    </row>
    <row r="2008" customFormat="false" ht="15" hidden="false" customHeight="false" outlineLevel="0" collapsed="false">
      <c r="F2008" s="41" t="str">
        <f aca="false">IF(C2008="","",IFERROR(IF(ISNUMBER(SEARCH(Assumptions!$C$5,C2008)),Assumptions!$D$5,IF(ISNUMBER(SEARCH(Assumptions!$C$6,C2008)),Assumptions!$D$6,IF(ISNUMBER(SEARCH(Assumptions!$C$7,C2008)),Assumptions!$D$7,"Other Services"))),"Other Services"))</f>
        <v/>
      </c>
    </row>
    <row r="2009" customFormat="false" ht="15" hidden="false" customHeight="false" outlineLevel="0" collapsed="false">
      <c r="F2009" s="41" t="str">
        <f aca="false">IF(C2009="","",IFERROR(IF(ISNUMBER(SEARCH(Assumptions!$C$5,C2009)),Assumptions!$D$5,IF(ISNUMBER(SEARCH(Assumptions!$C$6,C2009)),Assumptions!$D$6,IF(ISNUMBER(SEARCH(Assumptions!$C$7,C2009)),Assumptions!$D$7,"Other Services"))),"Other Services"))</f>
        <v/>
      </c>
    </row>
    <row r="2010" customFormat="false" ht="15" hidden="false" customHeight="false" outlineLevel="0" collapsed="false">
      <c r="F2010" s="41" t="str">
        <f aca="false">IF(C2010="","",IFERROR(IF(ISNUMBER(SEARCH(Assumptions!$C$5,C2010)),Assumptions!$D$5,IF(ISNUMBER(SEARCH(Assumptions!$C$6,C2010)),Assumptions!$D$6,IF(ISNUMBER(SEARCH(Assumptions!$C$7,C2010)),Assumptions!$D$7,"Other Services"))),"Other Services"))</f>
        <v/>
      </c>
    </row>
    <row r="2011" customFormat="false" ht="15" hidden="false" customHeight="false" outlineLevel="0" collapsed="false">
      <c r="F2011" s="41" t="str">
        <f aca="false">IF(C2011="","",IFERROR(IF(ISNUMBER(SEARCH(Assumptions!$C$5,C2011)),Assumptions!$D$5,IF(ISNUMBER(SEARCH(Assumptions!$C$6,C2011)),Assumptions!$D$6,IF(ISNUMBER(SEARCH(Assumptions!$C$7,C2011)),Assumptions!$D$7,"Other Services"))),"Other Services"))</f>
        <v/>
      </c>
    </row>
    <row r="2012" customFormat="false" ht="15" hidden="false" customHeight="false" outlineLevel="0" collapsed="false">
      <c r="F2012" s="41" t="str">
        <f aca="false">IF(C2012="","",IFERROR(IF(ISNUMBER(SEARCH(Assumptions!$C$5,C2012)),Assumptions!$D$5,IF(ISNUMBER(SEARCH(Assumptions!$C$6,C2012)),Assumptions!$D$6,IF(ISNUMBER(SEARCH(Assumptions!$C$7,C2012)),Assumptions!$D$7,"Other Services"))),"Other Services"))</f>
        <v/>
      </c>
    </row>
    <row r="2013" customFormat="false" ht="15" hidden="false" customHeight="false" outlineLevel="0" collapsed="false">
      <c r="F2013" s="41" t="str">
        <f aca="false">IF(C2013="","",IFERROR(IF(ISNUMBER(SEARCH(Assumptions!$C$5,C2013)),Assumptions!$D$5,IF(ISNUMBER(SEARCH(Assumptions!$C$6,C2013)),Assumptions!$D$6,IF(ISNUMBER(SEARCH(Assumptions!$C$7,C2013)),Assumptions!$D$7,"Other Services"))),"Other Services"))</f>
        <v/>
      </c>
    </row>
    <row r="2014" customFormat="false" ht="15" hidden="false" customHeight="false" outlineLevel="0" collapsed="false">
      <c r="F2014" s="41" t="str">
        <f aca="false">IF(C2014="","",IFERROR(IF(ISNUMBER(SEARCH(Assumptions!$C$5,C2014)),Assumptions!$D$5,IF(ISNUMBER(SEARCH(Assumptions!$C$6,C2014)),Assumptions!$D$6,IF(ISNUMBER(SEARCH(Assumptions!$C$7,C2014)),Assumptions!$D$7,"Other Services"))),"Other Services"))</f>
        <v/>
      </c>
    </row>
    <row r="2015" customFormat="false" ht="15" hidden="false" customHeight="false" outlineLevel="0" collapsed="false">
      <c r="F2015" s="41" t="str">
        <f aca="false">IF(C2015="","",IFERROR(IF(ISNUMBER(SEARCH(Assumptions!$C$5,C2015)),Assumptions!$D$5,IF(ISNUMBER(SEARCH(Assumptions!$C$6,C2015)),Assumptions!$D$6,IF(ISNUMBER(SEARCH(Assumptions!$C$7,C2015)),Assumptions!$D$7,"Other Services"))),"Other Services"))</f>
        <v/>
      </c>
    </row>
    <row r="2016" customFormat="false" ht="15" hidden="false" customHeight="false" outlineLevel="0" collapsed="false">
      <c r="F2016" s="41" t="str">
        <f aca="false">IF(C2016="","",IFERROR(IF(ISNUMBER(SEARCH(Assumptions!$C$5,C2016)),Assumptions!$D$5,IF(ISNUMBER(SEARCH(Assumptions!$C$6,C2016)),Assumptions!$D$6,IF(ISNUMBER(SEARCH(Assumptions!$C$7,C2016)),Assumptions!$D$7,"Other Services"))),"Other Services"))</f>
        <v/>
      </c>
    </row>
    <row r="2017" customFormat="false" ht="15" hidden="false" customHeight="false" outlineLevel="0" collapsed="false">
      <c r="F2017" s="41" t="str">
        <f aca="false">IF(C2017="","",IFERROR(IF(ISNUMBER(SEARCH(Assumptions!$C$5,C2017)),Assumptions!$D$5,IF(ISNUMBER(SEARCH(Assumptions!$C$6,C2017)),Assumptions!$D$6,IF(ISNUMBER(SEARCH(Assumptions!$C$7,C2017)),Assumptions!$D$7,"Other Services"))),"Other Services"))</f>
        <v/>
      </c>
    </row>
    <row r="2018" customFormat="false" ht="15" hidden="false" customHeight="false" outlineLevel="0" collapsed="false">
      <c r="F2018" s="41" t="str">
        <f aca="false">IF(C2018="","",IFERROR(IF(ISNUMBER(SEARCH(Assumptions!$C$5,C2018)),Assumptions!$D$5,IF(ISNUMBER(SEARCH(Assumptions!$C$6,C2018)),Assumptions!$D$6,IF(ISNUMBER(SEARCH(Assumptions!$C$7,C2018)),Assumptions!$D$7,"Other Services"))),"Other Services"))</f>
        <v/>
      </c>
    </row>
    <row r="2019" customFormat="false" ht="15" hidden="false" customHeight="false" outlineLevel="0" collapsed="false">
      <c r="F2019" s="41" t="str">
        <f aca="false">IF(C2019="","",IFERROR(IF(ISNUMBER(SEARCH(Assumptions!$C$5,C2019)),Assumptions!$D$5,IF(ISNUMBER(SEARCH(Assumptions!$C$6,C2019)),Assumptions!$D$6,IF(ISNUMBER(SEARCH(Assumptions!$C$7,C2019)),Assumptions!$D$7,"Other Services"))),"Other Services"))</f>
        <v/>
      </c>
    </row>
    <row r="2020" customFormat="false" ht="15" hidden="false" customHeight="false" outlineLevel="0" collapsed="false">
      <c r="F2020" s="41" t="str">
        <f aca="false">IF(C2020="","",IFERROR(IF(ISNUMBER(SEARCH(Assumptions!$C$5,C2020)),Assumptions!$D$5,IF(ISNUMBER(SEARCH(Assumptions!$C$6,C2020)),Assumptions!$D$6,IF(ISNUMBER(SEARCH(Assumptions!$C$7,C2020)),Assumptions!$D$7,"Other Services"))),"Other Services"))</f>
        <v/>
      </c>
    </row>
    <row r="2021" customFormat="false" ht="15" hidden="false" customHeight="false" outlineLevel="0" collapsed="false">
      <c r="F2021" s="41" t="str">
        <f aca="false">IF(C2021="","",IFERROR(IF(ISNUMBER(SEARCH(Assumptions!$C$5,C2021)),Assumptions!$D$5,IF(ISNUMBER(SEARCH(Assumptions!$C$6,C2021)),Assumptions!$D$6,IF(ISNUMBER(SEARCH(Assumptions!$C$7,C2021)),Assumptions!$D$7,"Other Services"))),"Other Services"))</f>
        <v/>
      </c>
    </row>
    <row r="2022" customFormat="false" ht="15" hidden="false" customHeight="false" outlineLevel="0" collapsed="false">
      <c r="F2022" s="41" t="str">
        <f aca="false">IF(C2022="","",IFERROR(IF(ISNUMBER(SEARCH(Assumptions!$C$5,C2022)),Assumptions!$D$5,IF(ISNUMBER(SEARCH(Assumptions!$C$6,C2022)),Assumptions!$D$6,IF(ISNUMBER(SEARCH(Assumptions!$C$7,C2022)),Assumptions!$D$7,"Other Services"))),"Other Services"))</f>
        <v/>
      </c>
    </row>
    <row r="2023" customFormat="false" ht="15" hidden="false" customHeight="false" outlineLevel="0" collapsed="false">
      <c r="F2023" s="41" t="str">
        <f aca="false">IF(C2023="","",IFERROR(IF(ISNUMBER(SEARCH(Assumptions!$C$5,C2023)),Assumptions!$D$5,IF(ISNUMBER(SEARCH(Assumptions!$C$6,C2023)),Assumptions!$D$6,IF(ISNUMBER(SEARCH(Assumptions!$C$7,C2023)),Assumptions!$D$7,"Other Services"))),"Other Services"))</f>
        <v/>
      </c>
    </row>
    <row r="2024" customFormat="false" ht="15" hidden="false" customHeight="false" outlineLevel="0" collapsed="false">
      <c r="F2024" s="41" t="str">
        <f aca="false">IF(C2024="","",IFERROR(IF(ISNUMBER(SEARCH(Assumptions!$C$5,C2024)),Assumptions!$D$5,IF(ISNUMBER(SEARCH(Assumptions!$C$6,C2024)),Assumptions!$D$6,IF(ISNUMBER(SEARCH(Assumptions!$C$7,C2024)),Assumptions!$D$7,"Other Services"))),"Other Services"))</f>
        <v/>
      </c>
    </row>
    <row r="2025" customFormat="false" ht="15" hidden="false" customHeight="false" outlineLevel="0" collapsed="false">
      <c r="F2025" s="41" t="str">
        <f aca="false">IF(C2025="","",IFERROR(IF(ISNUMBER(SEARCH(Assumptions!$C$5,C2025)),Assumptions!$D$5,IF(ISNUMBER(SEARCH(Assumptions!$C$6,C2025)),Assumptions!$D$6,IF(ISNUMBER(SEARCH(Assumptions!$C$7,C2025)),Assumptions!$D$7,"Other Services"))),"Other Services"))</f>
        <v/>
      </c>
    </row>
    <row r="2026" customFormat="false" ht="15" hidden="false" customHeight="false" outlineLevel="0" collapsed="false">
      <c r="F2026" s="41" t="str">
        <f aca="false">IF(C2026="","",IFERROR(IF(ISNUMBER(SEARCH(Assumptions!$C$5,C2026)),Assumptions!$D$5,IF(ISNUMBER(SEARCH(Assumptions!$C$6,C2026)),Assumptions!$D$6,IF(ISNUMBER(SEARCH(Assumptions!$C$7,C2026)),Assumptions!$D$7,"Other Services"))),"Other Services"))</f>
        <v/>
      </c>
    </row>
    <row r="2027" customFormat="false" ht="15" hidden="false" customHeight="false" outlineLevel="0" collapsed="false">
      <c r="F2027" s="41" t="str">
        <f aca="false">IF(C2027="","",IFERROR(IF(ISNUMBER(SEARCH(Assumptions!$C$5,C2027)),Assumptions!$D$5,IF(ISNUMBER(SEARCH(Assumptions!$C$6,C2027)),Assumptions!$D$6,IF(ISNUMBER(SEARCH(Assumptions!$C$7,C2027)),Assumptions!$D$7,"Other Services"))),"Other Services"))</f>
        <v/>
      </c>
    </row>
    <row r="2028" customFormat="false" ht="15" hidden="false" customHeight="false" outlineLevel="0" collapsed="false">
      <c r="F2028" s="41" t="str">
        <f aca="false">IF(C2028="","",IFERROR(IF(ISNUMBER(SEARCH(Assumptions!$C$5,C2028)),Assumptions!$D$5,IF(ISNUMBER(SEARCH(Assumptions!$C$6,C2028)),Assumptions!$D$6,IF(ISNUMBER(SEARCH(Assumptions!$C$7,C2028)),Assumptions!$D$7,"Other Services"))),"Other Services"))</f>
        <v/>
      </c>
    </row>
    <row r="2029" customFormat="false" ht="15" hidden="false" customHeight="false" outlineLevel="0" collapsed="false">
      <c r="F2029" s="41" t="str">
        <f aca="false">IF(C2029="","",IFERROR(IF(ISNUMBER(SEARCH(Assumptions!$C$5,C2029)),Assumptions!$D$5,IF(ISNUMBER(SEARCH(Assumptions!$C$6,C2029)),Assumptions!$D$6,IF(ISNUMBER(SEARCH(Assumptions!$C$7,C2029)),Assumptions!$D$7,"Other Services"))),"Other Services"))</f>
        <v/>
      </c>
    </row>
    <row r="2030" customFormat="false" ht="15" hidden="false" customHeight="false" outlineLevel="0" collapsed="false">
      <c r="F2030" s="41" t="str">
        <f aca="false">IF(C2030="","",IFERROR(IF(ISNUMBER(SEARCH(Assumptions!$C$5,C2030)),Assumptions!$D$5,IF(ISNUMBER(SEARCH(Assumptions!$C$6,C2030)),Assumptions!$D$6,IF(ISNUMBER(SEARCH(Assumptions!$C$7,C2030)),Assumptions!$D$7,"Other Services"))),"Other Services"))</f>
        <v/>
      </c>
    </row>
    <row r="2031" customFormat="false" ht="15" hidden="false" customHeight="false" outlineLevel="0" collapsed="false">
      <c r="F2031" s="41" t="str">
        <f aca="false">IF(C2031="","",IFERROR(IF(ISNUMBER(SEARCH(Assumptions!$C$5,C2031)),Assumptions!$D$5,IF(ISNUMBER(SEARCH(Assumptions!$C$6,C2031)),Assumptions!$D$6,IF(ISNUMBER(SEARCH(Assumptions!$C$7,C2031)),Assumptions!$D$7,"Other Services"))),"Other Services"))</f>
        <v/>
      </c>
    </row>
    <row r="2032" customFormat="false" ht="15" hidden="false" customHeight="false" outlineLevel="0" collapsed="false">
      <c r="F2032" s="41" t="str">
        <f aca="false">IF(C2032="","",IFERROR(IF(ISNUMBER(SEARCH(Assumptions!$C$5,C2032)),Assumptions!$D$5,IF(ISNUMBER(SEARCH(Assumptions!$C$6,C2032)),Assumptions!$D$6,IF(ISNUMBER(SEARCH(Assumptions!$C$7,C2032)),Assumptions!$D$7,"Other Services"))),"Other Services"))</f>
        <v/>
      </c>
    </row>
    <row r="2033" customFormat="false" ht="15" hidden="false" customHeight="false" outlineLevel="0" collapsed="false">
      <c r="F2033" s="41" t="str">
        <f aca="false">IF(C2033="","",IFERROR(IF(ISNUMBER(SEARCH(Assumptions!$C$5,C2033)),Assumptions!$D$5,IF(ISNUMBER(SEARCH(Assumptions!$C$6,C2033)),Assumptions!$D$6,IF(ISNUMBER(SEARCH(Assumptions!$C$7,C2033)),Assumptions!$D$7,"Other Services"))),"Other Services"))</f>
        <v/>
      </c>
    </row>
    <row r="2034" customFormat="false" ht="15" hidden="false" customHeight="false" outlineLevel="0" collapsed="false">
      <c r="F2034" s="41" t="str">
        <f aca="false">IF(C2034="","",IFERROR(IF(ISNUMBER(SEARCH(Assumptions!$C$5,C2034)),Assumptions!$D$5,IF(ISNUMBER(SEARCH(Assumptions!$C$6,C2034)),Assumptions!$D$6,IF(ISNUMBER(SEARCH(Assumptions!$C$7,C2034)),Assumptions!$D$7,"Other Services"))),"Other Services"))</f>
        <v/>
      </c>
    </row>
    <row r="2035" customFormat="false" ht="15" hidden="false" customHeight="false" outlineLevel="0" collapsed="false">
      <c r="F2035" s="41" t="str">
        <f aca="false">IF(C2035="","",IFERROR(IF(ISNUMBER(SEARCH(Assumptions!$C$5,C2035)),Assumptions!$D$5,IF(ISNUMBER(SEARCH(Assumptions!$C$6,C2035)),Assumptions!$D$6,IF(ISNUMBER(SEARCH(Assumptions!$C$7,C2035)),Assumptions!$D$7,"Other Services"))),"Other Services"))</f>
        <v/>
      </c>
    </row>
    <row r="2036" customFormat="false" ht="15" hidden="false" customHeight="false" outlineLevel="0" collapsed="false">
      <c r="F2036" s="41" t="str">
        <f aca="false">IF(C2036="","",IFERROR(IF(ISNUMBER(SEARCH(Assumptions!$C$5,C2036)),Assumptions!$D$5,IF(ISNUMBER(SEARCH(Assumptions!$C$6,C2036)),Assumptions!$D$6,IF(ISNUMBER(SEARCH(Assumptions!$C$7,C2036)),Assumptions!$D$7,"Other Services"))),"Other Services"))</f>
        <v/>
      </c>
    </row>
    <row r="2037" customFormat="false" ht="15" hidden="false" customHeight="false" outlineLevel="0" collapsed="false">
      <c r="F2037" s="41" t="str">
        <f aca="false">IF(C2037="","",IFERROR(IF(ISNUMBER(SEARCH(Assumptions!$C$5,C2037)),Assumptions!$D$5,IF(ISNUMBER(SEARCH(Assumptions!$C$6,C2037)),Assumptions!$D$6,IF(ISNUMBER(SEARCH(Assumptions!$C$7,C2037)),Assumptions!$D$7,"Other Services"))),"Other Services"))</f>
        <v/>
      </c>
    </row>
    <row r="2038" customFormat="false" ht="15" hidden="false" customHeight="false" outlineLevel="0" collapsed="false">
      <c r="F2038" s="41" t="str">
        <f aca="false">IF(C2038="","",IFERROR(IF(ISNUMBER(SEARCH(Assumptions!$C$5,C2038)),Assumptions!$D$5,IF(ISNUMBER(SEARCH(Assumptions!$C$6,C2038)),Assumptions!$D$6,IF(ISNUMBER(SEARCH(Assumptions!$C$7,C2038)),Assumptions!$D$7,"Other Services"))),"Other Services"))</f>
        <v/>
      </c>
    </row>
    <row r="2039" customFormat="false" ht="15" hidden="false" customHeight="false" outlineLevel="0" collapsed="false">
      <c r="F2039" s="41" t="str">
        <f aca="false">IF(C2039="","",IFERROR(IF(ISNUMBER(SEARCH(Assumptions!$C$5,C2039)),Assumptions!$D$5,IF(ISNUMBER(SEARCH(Assumptions!$C$6,C2039)),Assumptions!$D$6,IF(ISNUMBER(SEARCH(Assumptions!$C$7,C2039)),Assumptions!$D$7,"Other Services"))),"Other Services"))</f>
        <v/>
      </c>
    </row>
    <row r="2040" customFormat="false" ht="15" hidden="false" customHeight="false" outlineLevel="0" collapsed="false">
      <c r="F2040" s="41" t="str">
        <f aca="false">IF(C2040="","",IFERROR(IF(ISNUMBER(SEARCH(Assumptions!$C$5,C2040)),Assumptions!$D$5,IF(ISNUMBER(SEARCH(Assumptions!$C$6,C2040)),Assumptions!$D$6,IF(ISNUMBER(SEARCH(Assumptions!$C$7,C2040)),Assumptions!$D$7,"Other Services"))),"Other Services"))</f>
        <v/>
      </c>
    </row>
    <row r="2041" customFormat="false" ht="15" hidden="false" customHeight="false" outlineLevel="0" collapsed="false">
      <c r="F2041" s="41" t="str">
        <f aca="false">IF(C2041="","",IFERROR(IF(ISNUMBER(SEARCH(Assumptions!$C$5,C2041)),Assumptions!$D$5,IF(ISNUMBER(SEARCH(Assumptions!$C$6,C2041)),Assumptions!$D$6,IF(ISNUMBER(SEARCH(Assumptions!$C$7,C2041)),Assumptions!$D$7,"Other Services"))),"Other Services"))</f>
        <v/>
      </c>
    </row>
    <row r="2042" customFormat="false" ht="15" hidden="false" customHeight="false" outlineLevel="0" collapsed="false">
      <c r="F2042" s="41" t="str">
        <f aca="false">IF(C2042="","",IFERROR(IF(ISNUMBER(SEARCH(Assumptions!$C$5,C2042)),Assumptions!$D$5,IF(ISNUMBER(SEARCH(Assumptions!$C$6,C2042)),Assumptions!$D$6,IF(ISNUMBER(SEARCH(Assumptions!$C$7,C2042)),Assumptions!$D$7,"Other Services"))),"Other Services"))</f>
        <v/>
      </c>
    </row>
    <row r="2043" customFormat="false" ht="15" hidden="false" customHeight="false" outlineLevel="0" collapsed="false">
      <c r="F2043" s="41" t="str">
        <f aca="false">IF(C2043="","",IFERROR(IF(ISNUMBER(SEARCH(Assumptions!$C$5,C2043)),Assumptions!$D$5,IF(ISNUMBER(SEARCH(Assumptions!$C$6,C2043)),Assumptions!$D$6,IF(ISNUMBER(SEARCH(Assumptions!$C$7,C2043)),Assumptions!$D$7,"Other Services"))),"Other Services"))</f>
        <v/>
      </c>
    </row>
    <row r="2044" customFormat="false" ht="15" hidden="false" customHeight="false" outlineLevel="0" collapsed="false">
      <c r="F2044" s="41" t="str">
        <f aca="false">IF(C2044="","",IFERROR(IF(ISNUMBER(SEARCH(Assumptions!$C$5,C2044)),Assumptions!$D$5,IF(ISNUMBER(SEARCH(Assumptions!$C$6,C2044)),Assumptions!$D$6,IF(ISNUMBER(SEARCH(Assumptions!$C$7,C2044)),Assumptions!$D$7,"Other Services"))),"Other Services"))</f>
        <v/>
      </c>
    </row>
    <row r="2045" customFormat="false" ht="15" hidden="false" customHeight="false" outlineLevel="0" collapsed="false">
      <c r="F2045" s="41" t="str">
        <f aca="false">IF(C2045="","",IFERROR(IF(ISNUMBER(SEARCH(Assumptions!$C$5,C2045)),Assumptions!$D$5,IF(ISNUMBER(SEARCH(Assumptions!$C$6,C2045)),Assumptions!$D$6,IF(ISNUMBER(SEARCH(Assumptions!$C$7,C2045)),Assumptions!$D$7,"Other Services"))),"Other Services"))</f>
        <v/>
      </c>
    </row>
    <row r="2046" customFormat="false" ht="15" hidden="false" customHeight="false" outlineLevel="0" collapsed="false">
      <c r="F2046" s="41" t="str">
        <f aca="false">IF(C2046="","",IFERROR(IF(ISNUMBER(SEARCH(Assumptions!$C$5,C2046)),Assumptions!$D$5,IF(ISNUMBER(SEARCH(Assumptions!$C$6,C2046)),Assumptions!$D$6,IF(ISNUMBER(SEARCH(Assumptions!$C$7,C2046)),Assumptions!$D$7,"Other Services"))),"Other Services"))</f>
        <v/>
      </c>
    </row>
    <row r="2047" customFormat="false" ht="15" hidden="false" customHeight="false" outlineLevel="0" collapsed="false">
      <c r="F2047" s="41" t="str">
        <f aca="false">IF(C2047="","",IFERROR(IF(ISNUMBER(SEARCH(Assumptions!$C$5,C2047)),Assumptions!$D$5,IF(ISNUMBER(SEARCH(Assumptions!$C$6,C2047)),Assumptions!$D$6,IF(ISNUMBER(SEARCH(Assumptions!$C$7,C2047)),Assumptions!$D$7,"Other Services"))),"Other Services"))</f>
        <v/>
      </c>
    </row>
    <row r="2048" customFormat="false" ht="15" hidden="false" customHeight="false" outlineLevel="0" collapsed="false">
      <c r="F2048" s="41" t="str">
        <f aca="false">IF(C2048="","",IFERROR(IF(ISNUMBER(SEARCH(Assumptions!$C$5,C2048)),Assumptions!$D$5,IF(ISNUMBER(SEARCH(Assumptions!$C$6,C2048)),Assumptions!$D$6,IF(ISNUMBER(SEARCH(Assumptions!$C$7,C2048)),Assumptions!$D$7,"Other Services"))),"Other Services"))</f>
        <v/>
      </c>
    </row>
    <row r="2049" customFormat="false" ht="15" hidden="false" customHeight="false" outlineLevel="0" collapsed="false">
      <c r="F2049" s="41" t="str">
        <f aca="false">IF(C2049="","",IFERROR(IF(ISNUMBER(SEARCH(Assumptions!$C$5,C2049)),Assumptions!$D$5,IF(ISNUMBER(SEARCH(Assumptions!$C$6,C2049)),Assumptions!$D$6,IF(ISNUMBER(SEARCH(Assumptions!$C$7,C2049)),Assumptions!$D$7,"Other Services"))),"Other Services"))</f>
        <v/>
      </c>
    </row>
    <row r="2050" customFormat="false" ht="15" hidden="false" customHeight="false" outlineLevel="0" collapsed="false">
      <c r="F2050" s="41" t="str">
        <f aca="false">IF(C2050="","",IFERROR(IF(ISNUMBER(SEARCH(Assumptions!$C$5,C2050)),Assumptions!$D$5,IF(ISNUMBER(SEARCH(Assumptions!$C$6,C2050)),Assumptions!$D$6,IF(ISNUMBER(SEARCH(Assumptions!$C$7,C2050)),Assumptions!$D$7,"Other Services"))),"Other Services"))</f>
        <v/>
      </c>
    </row>
    <row r="2051" customFormat="false" ht="15" hidden="false" customHeight="false" outlineLevel="0" collapsed="false">
      <c r="F2051" s="41" t="str">
        <f aca="false">IF(C2051="","",IFERROR(IF(ISNUMBER(SEARCH(Assumptions!$C$5,C2051)),Assumptions!$D$5,IF(ISNUMBER(SEARCH(Assumptions!$C$6,C2051)),Assumptions!$D$6,IF(ISNUMBER(SEARCH(Assumptions!$C$7,C2051)),Assumptions!$D$7,"Other Services"))),"Other Services"))</f>
        <v/>
      </c>
    </row>
    <row r="2052" customFormat="false" ht="15" hidden="false" customHeight="false" outlineLevel="0" collapsed="false">
      <c r="F2052" s="41" t="str">
        <f aca="false">IF(C2052="","",IFERROR(IF(ISNUMBER(SEARCH(Assumptions!$C$5,C2052)),Assumptions!$D$5,IF(ISNUMBER(SEARCH(Assumptions!$C$6,C2052)),Assumptions!$D$6,IF(ISNUMBER(SEARCH(Assumptions!$C$7,C2052)),Assumptions!$D$7,"Other Services"))),"Other Services"))</f>
        <v/>
      </c>
    </row>
    <row r="2053" customFormat="false" ht="15" hidden="false" customHeight="false" outlineLevel="0" collapsed="false">
      <c r="F2053" s="41" t="str">
        <f aca="false">IF(C2053="","",IFERROR(IF(ISNUMBER(SEARCH(Assumptions!$C$5,C2053)),Assumptions!$D$5,IF(ISNUMBER(SEARCH(Assumptions!$C$6,C2053)),Assumptions!$D$6,IF(ISNUMBER(SEARCH(Assumptions!$C$7,C2053)),Assumptions!$D$7,"Other Services"))),"Other Services"))</f>
        <v/>
      </c>
    </row>
    <row r="2054" customFormat="false" ht="15" hidden="false" customHeight="false" outlineLevel="0" collapsed="false">
      <c r="F2054" s="41" t="str">
        <f aca="false">IF(C2054="","",IFERROR(IF(ISNUMBER(SEARCH(Assumptions!$C$5,C2054)),Assumptions!$D$5,IF(ISNUMBER(SEARCH(Assumptions!$C$6,C2054)),Assumptions!$D$6,IF(ISNUMBER(SEARCH(Assumptions!$C$7,C2054)),Assumptions!$D$7,"Other Services"))),"Other Services"))</f>
        <v/>
      </c>
    </row>
    <row r="2055" customFormat="false" ht="15" hidden="false" customHeight="false" outlineLevel="0" collapsed="false">
      <c r="F2055" s="41" t="str">
        <f aca="false">IF(C2055="","",IFERROR(IF(ISNUMBER(SEARCH(Assumptions!$C$5,C2055)),Assumptions!$D$5,IF(ISNUMBER(SEARCH(Assumptions!$C$6,C2055)),Assumptions!$D$6,IF(ISNUMBER(SEARCH(Assumptions!$C$7,C2055)),Assumptions!$D$7,"Other Services"))),"Other Services"))</f>
        <v/>
      </c>
    </row>
    <row r="2056" customFormat="false" ht="15" hidden="false" customHeight="false" outlineLevel="0" collapsed="false">
      <c r="F2056" s="41" t="str">
        <f aca="false">IF(C2056="","",IFERROR(IF(ISNUMBER(SEARCH(Assumptions!$C$5,C2056)),Assumptions!$D$5,IF(ISNUMBER(SEARCH(Assumptions!$C$6,C2056)),Assumptions!$D$6,IF(ISNUMBER(SEARCH(Assumptions!$C$7,C2056)),Assumptions!$D$7,"Other Services"))),"Other Services"))</f>
        <v/>
      </c>
    </row>
    <row r="2057" customFormat="false" ht="15" hidden="false" customHeight="false" outlineLevel="0" collapsed="false">
      <c r="F2057" s="41" t="str">
        <f aca="false">IF(C2057="","",IFERROR(IF(ISNUMBER(SEARCH(Assumptions!$C$5,C2057)),Assumptions!$D$5,IF(ISNUMBER(SEARCH(Assumptions!$C$6,C2057)),Assumptions!$D$6,IF(ISNUMBER(SEARCH(Assumptions!$C$7,C2057)),Assumptions!$D$7,"Other Services"))),"Other Services"))</f>
        <v/>
      </c>
    </row>
    <row r="2058" customFormat="false" ht="15" hidden="false" customHeight="false" outlineLevel="0" collapsed="false">
      <c r="F2058" s="41" t="str">
        <f aca="false">IF(C2058="","",IFERROR(IF(ISNUMBER(SEARCH(Assumptions!$C$5,C2058)),Assumptions!$D$5,IF(ISNUMBER(SEARCH(Assumptions!$C$6,C2058)),Assumptions!$D$6,IF(ISNUMBER(SEARCH(Assumptions!$C$7,C2058)),Assumptions!$D$7,"Other Services"))),"Other Services"))</f>
        <v/>
      </c>
    </row>
    <row r="2059" customFormat="false" ht="15" hidden="false" customHeight="false" outlineLevel="0" collapsed="false">
      <c r="F2059" s="41" t="str">
        <f aca="false">IF(C2059="","",IFERROR(IF(ISNUMBER(SEARCH(Assumptions!$C$5,C2059)),Assumptions!$D$5,IF(ISNUMBER(SEARCH(Assumptions!$C$6,C2059)),Assumptions!$D$6,IF(ISNUMBER(SEARCH(Assumptions!$C$7,C2059)),Assumptions!$D$7,"Other Services"))),"Other Services"))</f>
        <v/>
      </c>
    </row>
    <row r="2060" customFormat="false" ht="15" hidden="false" customHeight="false" outlineLevel="0" collapsed="false">
      <c r="F2060" s="41" t="str">
        <f aca="false">IF(C2060="","",IFERROR(IF(ISNUMBER(SEARCH(Assumptions!$C$5,C2060)),Assumptions!$D$5,IF(ISNUMBER(SEARCH(Assumptions!$C$6,C2060)),Assumptions!$D$6,IF(ISNUMBER(SEARCH(Assumptions!$C$7,C2060)),Assumptions!$D$7,"Other Services"))),"Other Services"))</f>
        <v/>
      </c>
    </row>
    <row r="2061" customFormat="false" ht="15" hidden="false" customHeight="false" outlineLevel="0" collapsed="false">
      <c r="F2061" s="41" t="str">
        <f aca="false">IF(C2061="","",IFERROR(IF(ISNUMBER(SEARCH(Assumptions!$C$5,C2061)),Assumptions!$D$5,IF(ISNUMBER(SEARCH(Assumptions!$C$6,C2061)),Assumptions!$D$6,IF(ISNUMBER(SEARCH(Assumptions!$C$7,C2061)),Assumptions!$D$7,"Other Services"))),"Other Services"))</f>
        <v/>
      </c>
    </row>
    <row r="2062" customFormat="false" ht="15" hidden="false" customHeight="false" outlineLevel="0" collapsed="false">
      <c r="F2062" s="41" t="str">
        <f aca="false">IF(C2062="","",IFERROR(IF(ISNUMBER(SEARCH(Assumptions!$C$5,C2062)),Assumptions!$D$5,IF(ISNUMBER(SEARCH(Assumptions!$C$6,C2062)),Assumptions!$D$6,IF(ISNUMBER(SEARCH(Assumptions!$C$7,C2062)),Assumptions!$D$7,"Other Services"))),"Other Services"))</f>
        <v/>
      </c>
    </row>
    <row r="2063" customFormat="false" ht="15" hidden="false" customHeight="false" outlineLevel="0" collapsed="false">
      <c r="F2063" s="41" t="str">
        <f aca="false">IF(C2063="","",IFERROR(IF(ISNUMBER(SEARCH(Assumptions!$C$5,C2063)),Assumptions!$D$5,IF(ISNUMBER(SEARCH(Assumptions!$C$6,C2063)),Assumptions!$D$6,IF(ISNUMBER(SEARCH(Assumptions!$C$7,C2063)),Assumptions!$D$7,"Other Services"))),"Other Services"))</f>
        <v/>
      </c>
    </row>
    <row r="2064" customFormat="false" ht="15" hidden="false" customHeight="false" outlineLevel="0" collapsed="false">
      <c r="F2064" s="41" t="str">
        <f aca="false">IF(C2064="","",IFERROR(IF(ISNUMBER(SEARCH(Assumptions!$C$5,C2064)),Assumptions!$D$5,IF(ISNUMBER(SEARCH(Assumptions!$C$6,C2064)),Assumptions!$D$6,IF(ISNUMBER(SEARCH(Assumptions!$C$7,C2064)),Assumptions!$D$7,"Other Services"))),"Other Services"))</f>
        <v/>
      </c>
    </row>
    <row r="2065" customFormat="false" ht="15" hidden="false" customHeight="false" outlineLevel="0" collapsed="false">
      <c r="F2065" s="41" t="str">
        <f aca="false">IF(C2065="","",IFERROR(IF(ISNUMBER(SEARCH(Assumptions!$C$5,C2065)),Assumptions!$D$5,IF(ISNUMBER(SEARCH(Assumptions!$C$6,C2065)),Assumptions!$D$6,IF(ISNUMBER(SEARCH(Assumptions!$C$7,C2065)),Assumptions!$D$7,"Other Services"))),"Other Services"))</f>
        <v/>
      </c>
    </row>
    <row r="2066" customFormat="false" ht="15" hidden="false" customHeight="false" outlineLevel="0" collapsed="false">
      <c r="F2066" s="41" t="str">
        <f aca="false">IF(C2066="","",IFERROR(IF(ISNUMBER(SEARCH(Assumptions!$C$5,C2066)),Assumptions!$D$5,IF(ISNUMBER(SEARCH(Assumptions!$C$6,C2066)),Assumptions!$D$6,IF(ISNUMBER(SEARCH(Assumptions!$C$7,C2066)),Assumptions!$D$7,"Other Services"))),"Other Services"))</f>
        <v/>
      </c>
    </row>
    <row r="2067" customFormat="false" ht="15" hidden="false" customHeight="false" outlineLevel="0" collapsed="false">
      <c r="F2067" s="41" t="str">
        <f aca="false">IF(C2067="","",IFERROR(IF(ISNUMBER(SEARCH(Assumptions!$C$5,C2067)),Assumptions!$D$5,IF(ISNUMBER(SEARCH(Assumptions!$C$6,C2067)),Assumptions!$D$6,IF(ISNUMBER(SEARCH(Assumptions!$C$7,C2067)),Assumptions!$D$7,"Other Services"))),"Other Services"))</f>
        <v/>
      </c>
    </row>
    <row r="2068" customFormat="false" ht="15" hidden="false" customHeight="false" outlineLevel="0" collapsed="false">
      <c r="F2068" s="41" t="str">
        <f aca="false">IF(C2068="","",IFERROR(IF(ISNUMBER(SEARCH(Assumptions!$C$5,C2068)),Assumptions!$D$5,IF(ISNUMBER(SEARCH(Assumptions!$C$6,C2068)),Assumptions!$D$6,IF(ISNUMBER(SEARCH(Assumptions!$C$7,C2068)),Assumptions!$D$7,"Other Services"))),"Other Services"))</f>
        <v/>
      </c>
    </row>
    <row r="2069" customFormat="false" ht="15" hidden="false" customHeight="false" outlineLevel="0" collapsed="false">
      <c r="F2069" s="41" t="str">
        <f aca="false">IF(C2069="","",IFERROR(IF(ISNUMBER(SEARCH(Assumptions!$C$5,C2069)),Assumptions!$D$5,IF(ISNUMBER(SEARCH(Assumptions!$C$6,C2069)),Assumptions!$D$6,IF(ISNUMBER(SEARCH(Assumptions!$C$7,C2069)),Assumptions!$D$7,"Other Services"))),"Other Services"))</f>
        <v/>
      </c>
    </row>
    <row r="2070" customFormat="false" ht="15" hidden="false" customHeight="false" outlineLevel="0" collapsed="false">
      <c r="F2070" s="41" t="str">
        <f aca="false">IF(C2070="","",IFERROR(IF(ISNUMBER(SEARCH(Assumptions!$C$5,C2070)),Assumptions!$D$5,IF(ISNUMBER(SEARCH(Assumptions!$C$6,C2070)),Assumptions!$D$6,IF(ISNUMBER(SEARCH(Assumptions!$C$7,C2070)),Assumptions!$D$7,"Other Services"))),"Other Services"))</f>
        <v/>
      </c>
    </row>
    <row r="2071" customFormat="false" ht="15" hidden="false" customHeight="false" outlineLevel="0" collapsed="false">
      <c r="F2071" s="41" t="str">
        <f aca="false">IF(C2071="","",IFERROR(IF(ISNUMBER(SEARCH(Assumptions!$C$5,C2071)),Assumptions!$D$5,IF(ISNUMBER(SEARCH(Assumptions!$C$6,C2071)),Assumptions!$D$6,IF(ISNUMBER(SEARCH(Assumptions!$C$7,C2071)),Assumptions!$D$7,"Other Services"))),"Other Services"))</f>
        <v/>
      </c>
    </row>
    <row r="2072" customFormat="false" ht="15" hidden="false" customHeight="false" outlineLevel="0" collapsed="false">
      <c r="F2072" s="41" t="str">
        <f aca="false">IF(C2072="","",IFERROR(IF(ISNUMBER(SEARCH(Assumptions!$C$5,C2072)),Assumptions!$D$5,IF(ISNUMBER(SEARCH(Assumptions!$C$6,C2072)),Assumptions!$D$6,IF(ISNUMBER(SEARCH(Assumptions!$C$7,C2072)),Assumptions!$D$7,"Other Services"))),"Other Services"))</f>
        <v/>
      </c>
    </row>
    <row r="2073" customFormat="false" ht="15" hidden="false" customHeight="false" outlineLevel="0" collapsed="false">
      <c r="F2073" s="41" t="str">
        <f aca="false">IF(C2073="","",IFERROR(IF(ISNUMBER(SEARCH(Assumptions!$C$5,C2073)),Assumptions!$D$5,IF(ISNUMBER(SEARCH(Assumptions!$C$6,C2073)),Assumptions!$D$6,IF(ISNUMBER(SEARCH(Assumptions!$C$7,C2073)),Assumptions!$D$7,"Other Services"))),"Other Services"))</f>
        <v/>
      </c>
    </row>
    <row r="2074" customFormat="false" ht="15" hidden="false" customHeight="false" outlineLevel="0" collapsed="false">
      <c r="F2074" s="41" t="str">
        <f aca="false">IF(C2074="","",IFERROR(IF(ISNUMBER(SEARCH(Assumptions!$C$5,C2074)),Assumptions!$D$5,IF(ISNUMBER(SEARCH(Assumptions!$C$6,C2074)),Assumptions!$D$6,IF(ISNUMBER(SEARCH(Assumptions!$C$7,C2074)),Assumptions!$D$7,"Other Services"))),"Other Services"))</f>
        <v/>
      </c>
    </row>
    <row r="2075" customFormat="false" ht="15" hidden="false" customHeight="false" outlineLevel="0" collapsed="false">
      <c r="F2075" s="41" t="str">
        <f aca="false">IF(C2075="","",IFERROR(IF(ISNUMBER(SEARCH(Assumptions!$C$5,C2075)),Assumptions!$D$5,IF(ISNUMBER(SEARCH(Assumptions!$C$6,C2075)),Assumptions!$D$6,IF(ISNUMBER(SEARCH(Assumptions!$C$7,C2075)),Assumptions!$D$7,"Other Services"))),"Other Services"))</f>
        <v/>
      </c>
    </row>
    <row r="2076" customFormat="false" ht="15" hidden="false" customHeight="false" outlineLevel="0" collapsed="false">
      <c r="F2076" s="41" t="str">
        <f aca="false">IF(C2076="","",IFERROR(IF(ISNUMBER(SEARCH(Assumptions!$C$5,C2076)),Assumptions!$D$5,IF(ISNUMBER(SEARCH(Assumptions!$C$6,C2076)),Assumptions!$D$6,IF(ISNUMBER(SEARCH(Assumptions!$C$7,C2076)),Assumptions!$D$7,"Other Services"))),"Other Services"))</f>
        <v/>
      </c>
    </row>
    <row r="2077" customFormat="false" ht="15" hidden="false" customHeight="false" outlineLevel="0" collapsed="false">
      <c r="F2077" s="41" t="str">
        <f aca="false">IF(C2077="","",IFERROR(IF(ISNUMBER(SEARCH(Assumptions!$C$5,C2077)),Assumptions!$D$5,IF(ISNUMBER(SEARCH(Assumptions!$C$6,C2077)),Assumptions!$D$6,IF(ISNUMBER(SEARCH(Assumptions!$C$7,C2077)),Assumptions!$D$7,"Other Services"))),"Other Services"))</f>
        <v/>
      </c>
    </row>
    <row r="2078" customFormat="false" ht="15" hidden="false" customHeight="false" outlineLevel="0" collapsed="false">
      <c r="F2078" s="41" t="str">
        <f aca="false">IF(C2078="","",IFERROR(IF(ISNUMBER(SEARCH(Assumptions!$C$5,C2078)),Assumptions!$D$5,IF(ISNUMBER(SEARCH(Assumptions!$C$6,C2078)),Assumptions!$D$6,IF(ISNUMBER(SEARCH(Assumptions!$C$7,C2078)),Assumptions!$D$7,"Other Services"))),"Other Services"))</f>
        <v/>
      </c>
    </row>
    <row r="2079" customFormat="false" ht="15" hidden="false" customHeight="false" outlineLevel="0" collapsed="false">
      <c r="F2079" s="41" t="str">
        <f aca="false">IF(C2079="","",IFERROR(IF(ISNUMBER(SEARCH(Assumptions!$C$5,C2079)),Assumptions!$D$5,IF(ISNUMBER(SEARCH(Assumptions!$C$6,C2079)),Assumptions!$D$6,IF(ISNUMBER(SEARCH(Assumptions!$C$7,C2079)),Assumptions!$D$7,"Other Services"))),"Other Services"))</f>
        <v/>
      </c>
    </row>
    <row r="2080" customFormat="false" ht="15" hidden="false" customHeight="false" outlineLevel="0" collapsed="false">
      <c r="F2080" s="41" t="str">
        <f aca="false">IF(C2080="","",IFERROR(IF(ISNUMBER(SEARCH(Assumptions!$C$5,C2080)),Assumptions!$D$5,IF(ISNUMBER(SEARCH(Assumptions!$C$6,C2080)),Assumptions!$D$6,IF(ISNUMBER(SEARCH(Assumptions!$C$7,C2080)),Assumptions!$D$7,"Other Services"))),"Other Services"))</f>
        <v/>
      </c>
    </row>
    <row r="2081" customFormat="false" ht="15" hidden="false" customHeight="false" outlineLevel="0" collapsed="false">
      <c r="F2081" s="41" t="str">
        <f aca="false">IF(C2081="","",IFERROR(IF(ISNUMBER(SEARCH(Assumptions!$C$5,C2081)),Assumptions!$D$5,IF(ISNUMBER(SEARCH(Assumptions!$C$6,C2081)),Assumptions!$D$6,IF(ISNUMBER(SEARCH(Assumptions!$C$7,C2081)),Assumptions!$D$7,"Other Services"))),"Other Services"))</f>
        <v/>
      </c>
    </row>
    <row r="2082" customFormat="false" ht="15" hidden="false" customHeight="false" outlineLevel="0" collapsed="false">
      <c r="F2082" s="41" t="str">
        <f aca="false">IF(C2082="","",IFERROR(IF(ISNUMBER(SEARCH(Assumptions!$C$5,C2082)),Assumptions!$D$5,IF(ISNUMBER(SEARCH(Assumptions!$C$6,C2082)),Assumptions!$D$6,IF(ISNUMBER(SEARCH(Assumptions!$C$7,C2082)),Assumptions!$D$7,"Other Services"))),"Other Services"))</f>
        <v/>
      </c>
    </row>
    <row r="2083" customFormat="false" ht="15" hidden="false" customHeight="false" outlineLevel="0" collapsed="false">
      <c r="F2083" s="41" t="str">
        <f aca="false">IF(C2083="","",IFERROR(IF(ISNUMBER(SEARCH(Assumptions!$C$5,C2083)),Assumptions!$D$5,IF(ISNUMBER(SEARCH(Assumptions!$C$6,C2083)),Assumptions!$D$6,IF(ISNUMBER(SEARCH(Assumptions!$C$7,C2083)),Assumptions!$D$7,"Other Services"))),"Other Services"))</f>
        <v/>
      </c>
    </row>
    <row r="2084" customFormat="false" ht="15" hidden="false" customHeight="false" outlineLevel="0" collapsed="false">
      <c r="F2084" s="41" t="str">
        <f aca="false">IF(C2084="","",IFERROR(IF(ISNUMBER(SEARCH(Assumptions!$C$5,C2084)),Assumptions!$D$5,IF(ISNUMBER(SEARCH(Assumptions!$C$6,C2084)),Assumptions!$D$6,IF(ISNUMBER(SEARCH(Assumptions!$C$7,C2084)),Assumptions!$D$7,"Other Services"))),"Other Services"))</f>
        <v/>
      </c>
    </row>
    <row r="2085" customFormat="false" ht="15" hidden="false" customHeight="false" outlineLevel="0" collapsed="false">
      <c r="F2085" s="41" t="str">
        <f aca="false">IF(C2085="","",IFERROR(IF(ISNUMBER(SEARCH(Assumptions!$C$5,C2085)),Assumptions!$D$5,IF(ISNUMBER(SEARCH(Assumptions!$C$6,C2085)),Assumptions!$D$6,IF(ISNUMBER(SEARCH(Assumptions!$C$7,C2085)),Assumptions!$D$7,"Other Services"))),"Other Services"))</f>
        <v/>
      </c>
    </row>
    <row r="2086" customFormat="false" ht="15" hidden="false" customHeight="false" outlineLevel="0" collapsed="false">
      <c r="F2086" s="41" t="str">
        <f aca="false">IF(C2086="","",IFERROR(IF(ISNUMBER(SEARCH(Assumptions!$C$5,C2086)),Assumptions!$D$5,IF(ISNUMBER(SEARCH(Assumptions!$C$6,C2086)),Assumptions!$D$6,IF(ISNUMBER(SEARCH(Assumptions!$C$7,C2086)),Assumptions!$D$7,"Other Services"))),"Other Services"))</f>
        <v/>
      </c>
    </row>
    <row r="2087" customFormat="false" ht="15" hidden="false" customHeight="false" outlineLevel="0" collapsed="false">
      <c r="F2087" s="41" t="str">
        <f aca="false">IF(C2087="","",IFERROR(IF(ISNUMBER(SEARCH(Assumptions!$C$5,C2087)),Assumptions!$D$5,IF(ISNUMBER(SEARCH(Assumptions!$C$6,C2087)),Assumptions!$D$6,IF(ISNUMBER(SEARCH(Assumptions!$C$7,C2087)),Assumptions!$D$7,"Other Services"))),"Other Services"))</f>
        <v/>
      </c>
    </row>
    <row r="2088" customFormat="false" ht="15" hidden="false" customHeight="false" outlineLevel="0" collapsed="false">
      <c r="F2088" s="41" t="str">
        <f aca="false">IF(C2088="","",IFERROR(IF(ISNUMBER(SEARCH(Assumptions!$C$5,C2088)),Assumptions!$D$5,IF(ISNUMBER(SEARCH(Assumptions!$C$6,C2088)),Assumptions!$D$6,IF(ISNUMBER(SEARCH(Assumptions!$C$7,C2088)),Assumptions!$D$7,"Other Services"))),"Other Services"))</f>
        <v/>
      </c>
    </row>
    <row r="2089" customFormat="false" ht="15" hidden="false" customHeight="false" outlineLevel="0" collapsed="false">
      <c r="F2089" s="41" t="str">
        <f aca="false">IF(C2089="","",IFERROR(IF(ISNUMBER(SEARCH(Assumptions!$C$5,C2089)),Assumptions!$D$5,IF(ISNUMBER(SEARCH(Assumptions!$C$6,C2089)),Assumptions!$D$6,IF(ISNUMBER(SEARCH(Assumptions!$C$7,C2089)),Assumptions!$D$7,"Other Services"))),"Other Services"))</f>
        <v/>
      </c>
    </row>
    <row r="2090" customFormat="false" ht="15" hidden="false" customHeight="false" outlineLevel="0" collapsed="false">
      <c r="F2090" s="41" t="str">
        <f aca="false">IF(C2090="","",IFERROR(IF(ISNUMBER(SEARCH(Assumptions!$C$5,C2090)),Assumptions!$D$5,IF(ISNUMBER(SEARCH(Assumptions!$C$6,C2090)),Assumptions!$D$6,IF(ISNUMBER(SEARCH(Assumptions!$C$7,C2090)),Assumptions!$D$7,"Other Services"))),"Other Services"))</f>
        <v/>
      </c>
    </row>
    <row r="2091" customFormat="false" ht="15" hidden="false" customHeight="false" outlineLevel="0" collapsed="false">
      <c r="F2091" s="41" t="str">
        <f aca="false">IF(C2091="","",IFERROR(IF(ISNUMBER(SEARCH(Assumptions!$C$5,C2091)),Assumptions!$D$5,IF(ISNUMBER(SEARCH(Assumptions!$C$6,C2091)),Assumptions!$D$6,IF(ISNUMBER(SEARCH(Assumptions!$C$7,C2091)),Assumptions!$D$7,"Other Services"))),"Other Services"))</f>
        <v/>
      </c>
    </row>
    <row r="2092" customFormat="false" ht="15" hidden="false" customHeight="false" outlineLevel="0" collapsed="false">
      <c r="F2092" s="41" t="str">
        <f aca="false">IF(C2092="","",IFERROR(IF(ISNUMBER(SEARCH(Assumptions!$C$5,C2092)),Assumptions!$D$5,IF(ISNUMBER(SEARCH(Assumptions!$C$6,C2092)),Assumptions!$D$6,IF(ISNUMBER(SEARCH(Assumptions!$C$7,C2092)),Assumptions!$D$7,"Other Services"))),"Other Services"))</f>
        <v/>
      </c>
    </row>
    <row r="2093" customFormat="false" ht="15" hidden="false" customHeight="false" outlineLevel="0" collapsed="false">
      <c r="F2093" s="41" t="str">
        <f aca="false">IF(C2093="","",IFERROR(IF(ISNUMBER(SEARCH(Assumptions!$C$5,C2093)),Assumptions!$D$5,IF(ISNUMBER(SEARCH(Assumptions!$C$6,C2093)),Assumptions!$D$6,IF(ISNUMBER(SEARCH(Assumptions!$C$7,C2093)),Assumptions!$D$7,"Other Services"))),"Other Services"))</f>
        <v/>
      </c>
    </row>
    <row r="2094" customFormat="false" ht="15" hidden="false" customHeight="false" outlineLevel="0" collapsed="false">
      <c r="F2094" s="41" t="str">
        <f aca="false">IF(C2094="","",IFERROR(IF(ISNUMBER(SEARCH(Assumptions!$C$5,C2094)),Assumptions!$D$5,IF(ISNUMBER(SEARCH(Assumptions!$C$6,C2094)),Assumptions!$D$6,IF(ISNUMBER(SEARCH(Assumptions!$C$7,C2094)),Assumptions!$D$7,"Other Services"))),"Other Services"))</f>
        <v/>
      </c>
    </row>
    <row r="2095" customFormat="false" ht="15" hidden="false" customHeight="false" outlineLevel="0" collapsed="false">
      <c r="F2095" s="41" t="str">
        <f aca="false">IF(C2095="","",IFERROR(IF(ISNUMBER(SEARCH(Assumptions!$C$5,C2095)),Assumptions!$D$5,IF(ISNUMBER(SEARCH(Assumptions!$C$6,C2095)),Assumptions!$D$6,IF(ISNUMBER(SEARCH(Assumptions!$C$7,C2095)),Assumptions!$D$7,"Other Services"))),"Other Services"))</f>
        <v/>
      </c>
    </row>
    <row r="2096" customFormat="false" ht="15" hidden="false" customHeight="false" outlineLevel="0" collapsed="false">
      <c r="F2096" s="41" t="str">
        <f aca="false">IF(C2096="","",IFERROR(IF(ISNUMBER(SEARCH(Assumptions!$C$5,C2096)),Assumptions!$D$5,IF(ISNUMBER(SEARCH(Assumptions!$C$6,C2096)),Assumptions!$D$6,IF(ISNUMBER(SEARCH(Assumptions!$C$7,C2096)),Assumptions!$D$7,"Other Services"))),"Other Services"))</f>
        <v/>
      </c>
    </row>
    <row r="2097" customFormat="false" ht="15" hidden="false" customHeight="false" outlineLevel="0" collapsed="false">
      <c r="F2097" s="41" t="str">
        <f aca="false">IF(C2097="","",IFERROR(IF(ISNUMBER(SEARCH(Assumptions!$C$5,C2097)),Assumptions!$D$5,IF(ISNUMBER(SEARCH(Assumptions!$C$6,C2097)),Assumptions!$D$6,IF(ISNUMBER(SEARCH(Assumptions!$C$7,C2097)),Assumptions!$D$7,"Other Services"))),"Other Services"))</f>
        <v/>
      </c>
    </row>
    <row r="2098" customFormat="false" ht="15" hidden="false" customHeight="false" outlineLevel="0" collapsed="false">
      <c r="F2098" s="41" t="str">
        <f aca="false">IF(C2098="","",IFERROR(IF(ISNUMBER(SEARCH(Assumptions!$C$5,C2098)),Assumptions!$D$5,IF(ISNUMBER(SEARCH(Assumptions!$C$6,C2098)),Assumptions!$D$6,IF(ISNUMBER(SEARCH(Assumptions!$C$7,C2098)),Assumptions!$D$7,"Other Services"))),"Other Services"))</f>
        <v/>
      </c>
    </row>
    <row r="2099" customFormat="false" ht="15" hidden="false" customHeight="false" outlineLevel="0" collapsed="false">
      <c r="F2099" s="41" t="str">
        <f aca="false">IF(C2099="","",IFERROR(IF(ISNUMBER(SEARCH(Assumptions!$C$5,C2099)),Assumptions!$D$5,IF(ISNUMBER(SEARCH(Assumptions!$C$6,C2099)),Assumptions!$D$6,IF(ISNUMBER(SEARCH(Assumptions!$C$7,C2099)),Assumptions!$D$7,"Other Services"))),"Other Services"))</f>
        <v/>
      </c>
    </row>
    <row r="2100" customFormat="false" ht="15" hidden="false" customHeight="false" outlineLevel="0" collapsed="false">
      <c r="F2100" s="41" t="str">
        <f aca="false">IF(C2100="","",IFERROR(IF(ISNUMBER(SEARCH(Assumptions!$C$5,C2100)),Assumptions!$D$5,IF(ISNUMBER(SEARCH(Assumptions!$C$6,C2100)),Assumptions!$D$6,IF(ISNUMBER(SEARCH(Assumptions!$C$7,C2100)),Assumptions!$D$7,"Other Services"))),"Other Services"))</f>
        <v/>
      </c>
    </row>
    <row r="2101" customFormat="false" ht="15" hidden="false" customHeight="false" outlineLevel="0" collapsed="false">
      <c r="F2101" s="41" t="str">
        <f aca="false">IF(C2101="","",IFERROR(IF(ISNUMBER(SEARCH(Assumptions!$C$5,C2101)),Assumptions!$D$5,IF(ISNUMBER(SEARCH(Assumptions!$C$6,C2101)),Assumptions!$D$6,IF(ISNUMBER(SEARCH(Assumptions!$C$7,C2101)),Assumptions!$D$7,"Other Services"))),"Other Services"))</f>
        <v/>
      </c>
    </row>
    <row r="2102" customFormat="false" ht="15" hidden="false" customHeight="false" outlineLevel="0" collapsed="false">
      <c r="F2102" s="41" t="str">
        <f aca="false">IF(C2102="","",IFERROR(IF(ISNUMBER(SEARCH(Assumptions!$C$5,C2102)),Assumptions!$D$5,IF(ISNUMBER(SEARCH(Assumptions!$C$6,C2102)),Assumptions!$D$6,IF(ISNUMBER(SEARCH(Assumptions!$C$7,C2102)),Assumptions!$D$7,"Other Services"))),"Other Services"))</f>
        <v/>
      </c>
    </row>
    <row r="2103" customFormat="false" ht="15" hidden="false" customHeight="false" outlineLevel="0" collapsed="false">
      <c r="F2103" s="41" t="str">
        <f aca="false">IF(C2103="","",IFERROR(IF(ISNUMBER(SEARCH(Assumptions!$C$5,C2103)),Assumptions!$D$5,IF(ISNUMBER(SEARCH(Assumptions!$C$6,C2103)),Assumptions!$D$6,IF(ISNUMBER(SEARCH(Assumptions!$C$7,C2103)),Assumptions!$D$7,"Other Services"))),"Other Services"))</f>
        <v/>
      </c>
    </row>
    <row r="2104" customFormat="false" ht="15" hidden="false" customHeight="false" outlineLevel="0" collapsed="false">
      <c r="F2104" s="41" t="str">
        <f aca="false">IF(C2104="","",IFERROR(IF(ISNUMBER(SEARCH(Assumptions!$C$5,C2104)),Assumptions!$D$5,IF(ISNUMBER(SEARCH(Assumptions!$C$6,C2104)),Assumptions!$D$6,IF(ISNUMBER(SEARCH(Assumptions!$C$7,C2104)),Assumptions!$D$7,"Other Services"))),"Other Services"))</f>
        <v/>
      </c>
    </row>
    <row r="2105" customFormat="false" ht="15" hidden="false" customHeight="false" outlineLevel="0" collapsed="false">
      <c r="F2105" s="41" t="str">
        <f aca="false">IF(C2105="","",IFERROR(IF(ISNUMBER(SEARCH(Assumptions!$C$5,C2105)),Assumptions!$D$5,IF(ISNUMBER(SEARCH(Assumptions!$C$6,C2105)),Assumptions!$D$6,IF(ISNUMBER(SEARCH(Assumptions!$C$7,C2105)),Assumptions!$D$7,"Other Services"))),"Other Services"))</f>
        <v/>
      </c>
    </row>
    <row r="2106" customFormat="false" ht="15" hidden="false" customHeight="false" outlineLevel="0" collapsed="false">
      <c r="F2106" s="41" t="str">
        <f aca="false">IF(C2106="","",IFERROR(IF(ISNUMBER(SEARCH(Assumptions!$C$5,C2106)),Assumptions!$D$5,IF(ISNUMBER(SEARCH(Assumptions!$C$6,C2106)),Assumptions!$D$6,IF(ISNUMBER(SEARCH(Assumptions!$C$7,C2106)),Assumptions!$D$7,"Other Services"))),"Other Services"))</f>
        <v/>
      </c>
    </row>
    <row r="2107" customFormat="false" ht="15" hidden="false" customHeight="false" outlineLevel="0" collapsed="false">
      <c r="F2107" s="41" t="str">
        <f aca="false">IF(C2107="","",IFERROR(IF(ISNUMBER(SEARCH(Assumptions!$C$5,C2107)),Assumptions!$D$5,IF(ISNUMBER(SEARCH(Assumptions!$C$6,C2107)),Assumptions!$D$6,IF(ISNUMBER(SEARCH(Assumptions!$C$7,C2107)),Assumptions!$D$7,"Other Services"))),"Other Services"))</f>
        <v/>
      </c>
    </row>
    <row r="2108" customFormat="false" ht="15" hidden="false" customHeight="false" outlineLevel="0" collapsed="false">
      <c r="F2108" s="41" t="str">
        <f aca="false">IF(C2108="","",IFERROR(IF(ISNUMBER(SEARCH(Assumptions!$C$5,C2108)),Assumptions!$D$5,IF(ISNUMBER(SEARCH(Assumptions!$C$6,C2108)),Assumptions!$D$6,IF(ISNUMBER(SEARCH(Assumptions!$C$7,C2108)),Assumptions!$D$7,"Other Services"))),"Other Services"))</f>
        <v/>
      </c>
    </row>
    <row r="2109" customFormat="false" ht="15" hidden="false" customHeight="false" outlineLevel="0" collapsed="false">
      <c r="F2109" s="41" t="str">
        <f aca="false">IF(C2109="","",IFERROR(IF(ISNUMBER(SEARCH(Assumptions!$C$5,C2109)),Assumptions!$D$5,IF(ISNUMBER(SEARCH(Assumptions!$C$6,C2109)),Assumptions!$D$6,IF(ISNUMBER(SEARCH(Assumptions!$C$7,C2109)),Assumptions!$D$7,"Other Services"))),"Other Services"))</f>
        <v/>
      </c>
    </row>
    <row r="2110" customFormat="false" ht="15" hidden="false" customHeight="false" outlineLevel="0" collapsed="false">
      <c r="F2110" s="41" t="str">
        <f aca="false">IF(C2110="","",IFERROR(IF(ISNUMBER(SEARCH(Assumptions!$C$5,C2110)),Assumptions!$D$5,IF(ISNUMBER(SEARCH(Assumptions!$C$6,C2110)),Assumptions!$D$6,IF(ISNUMBER(SEARCH(Assumptions!$C$7,C2110)),Assumptions!$D$7,"Other Services"))),"Other Services"))</f>
        <v/>
      </c>
    </row>
    <row r="2111" customFormat="false" ht="15" hidden="false" customHeight="false" outlineLevel="0" collapsed="false">
      <c r="F2111" s="41" t="str">
        <f aca="false">IF(C2111="","",IFERROR(IF(ISNUMBER(SEARCH(Assumptions!$C$5,C2111)),Assumptions!$D$5,IF(ISNUMBER(SEARCH(Assumptions!$C$6,C2111)),Assumptions!$D$6,IF(ISNUMBER(SEARCH(Assumptions!$C$7,C2111)),Assumptions!$D$7,"Other Services"))),"Other Services"))</f>
        <v/>
      </c>
    </row>
    <row r="2112" customFormat="false" ht="15" hidden="false" customHeight="false" outlineLevel="0" collapsed="false">
      <c r="F2112" s="41" t="str">
        <f aca="false">IF(C2112="","",IFERROR(IF(ISNUMBER(SEARCH(Assumptions!$C$5,C2112)),Assumptions!$D$5,IF(ISNUMBER(SEARCH(Assumptions!$C$6,C2112)),Assumptions!$D$6,IF(ISNUMBER(SEARCH(Assumptions!$C$7,C2112)),Assumptions!$D$7,"Other Services"))),"Other Services"))</f>
        <v/>
      </c>
    </row>
    <row r="2113" customFormat="false" ht="15" hidden="false" customHeight="false" outlineLevel="0" collapsed="false">
      <c r="F2113" s="41" t="str">
        <f aca="false">IF(C2113="","",IFERROR(IF(ISNUMBER(SEARCH(Assumptions!$C$5,C2113)),Assumptions!$D$5,IF(ISNUMBER(SEARCH(Assumptions!$C$6,C2113)),Assumptions!$D$6,IF(ISNUMBER(SEARCH(Assumptions!$C$7,C2113)),Assumptions!$D$7,"Other Services"))),"Other Services"))</f>
        <v/>
      </c>
    </row>
    <row r="2114" customFormat="false" ht="15" hidden="false" customHeight="false" outlineLevel="0" collapsed="false">
      <c r="F2114" s="41" t="str">
        <f aca="false">IF(C2114="","",IFERROR(IF(ISNUMBER(SEARCH(Assumptions!$C$5,C2114)),Assumptions!$D$5,IF(ISNUMBER(SEARCH(Assumptions!$C$6,C2114)),Assumptions!$D$6,IF(ISNUMBER(SEARCH(Assumptions!$C$7,C2114)),Assumptions!$D$7,"Other Services"))),"Other Services"))</f>
        <v/>
      </c>
    </row>
    <row r="2115" customFormat="false" ht="15" hidden="false" customHeight="false" outlineLevel="0" collapsed="false">
      <c r="F2115" s="41" t="str">
        <f aca="false">IF(C2115="","",IFERROR(IF(ISNUMBER(SEARCH(Assumptions!$C$5,C2115)),Assumptions!$D$5,IF(ISNUMBER(SEARCH(Assumptions!$C$6,C2115)),Assumptions!$D$6,IF(ISNUMBER(SEARCH(Assumptions!$C$7,C2115)),Assumptions!$D$7,"Other Services"))),"Other Services"))</f>
        <v/>
      </c>
    </row>
    <row r="2116" customFormat="false" ht="15" hidden="false" customHeight="false" outlineLevel="0" collapsed="false">
      <c r="F2116" s="41" t="str">
        <f aca="false">IF(C2116="","",IFERROR(IF(ISNUMBER(SEARCH(Assumptions!$C$5,C2116)),Assumptions!$D$5,IF(ISNUMBER(SEARCH(Assumptions!$C$6,C2116)),Assumptions!$D$6,IF(ISNUMBER(SEARCH(Assumptions!$C$7,C2116)),Assumptions!$D$7,"Other Services"))),"Other Services"))</f>
        <v/>
      </c>
    </row>
    <row r="2117" customFormat="false" ht="15" hidden="false" customHeight="false" outlineLevel="0" collapsed="false">
      <c r="F2117" s="41" t="str">
        <f aca="false">IF(C2117="","",IFERROR(IF(ISNUMBER(SEARCH(Assumptions!$C$5,C2117)),Assumptions!$D$5,IF(ISNUMBER(SEARCH(Assumptions!$C$6,C2117)),Assumptions!$D$6,IF(ISNUMBER(SEARCH(Assumptions!$C$7,C2117)),Assumptions!$D$7,"Other Services"))),"Other Services"))</f>
        <v/>
      </c>
    </row>
    <row r="2118" customFormat="false" ht="15" hidden="false" customHeight="false" outlineLevel="0" collapsed="false">
      <c r="F2118" s="41" t="str">
        <f aca="false">IF(C2118="","",IFERROR(IF(ISNUMBER(SEARCH(Assumptions!$C$5,C2118)),Assumptions!$D$5,IF(ISNUMBER(SEARCH(Assumptions!$C$6,C2118)),Assumptions!$D$6,IF(ISNUMBER(SEARCH(Assumptions!$C$7,C2118)),Assumptions!$D$7,"Other Services"))),"Other Services"))</f>
        <v/>
      </c>
    </row>
    <row r="2119" customFormat="false" ht="15" hidden="false" customHeight="false" outlineLevel="0" collapsed="false">
      <c r="F2119" s="41" t="str">
        <f aca="false">IF(C2119="","",IFERROR(IF(ISNUMBER(SEARCH(Assumptions!$C$5,C2119)),Assumptions!$D$5,IF(ISNUMBER(SEARCH(Assumptions!$C$6,C2119)),Assumptions!$D$6,IF(ISNUMBER(SEARCH(Assumptions!$C$7,C2119)),Assumptions!$D$7,"Other Services"))),"Other Services"))</f>
        <v/>
      </c>
    </row>
    <row r="2120" customFormat="false" ht="15" hidden="false" customHeight="false" outlineLevel="0" collapsed="false">
      <c r="F2120" s="41" t="str">
        <f aca="false">IF(C2120="","",IFERROR(IF(ISNUMBER(SEARCH(Assumptions!$C$5,C2120)),Assumptions!$D$5,IF(ISNUMBER(SEARCH(Assumptions!$C$6,C2120)),Assumptions!$D$6,IF(ISNUMBER(SEARCH(Assumptions!$C$7,C2120)),Assumptions!$D$7,"Other Services"))),"Other Services"))</f>
        <v/>
      </c>
    </row>
    <row r="2121" customFormat="false" ht="15" hidden="false" customHeight="false" outlineLevel="0" collapsed="false">
      <c r="F2121" s="41" t="str">
        <f aca="false">IF(C2121="","",IFERROR(IF(ISNUMBER(SEARCH(Assumptions!$C$5,C2121)),Assumptions!$D$5,IF(ISNUMBER(SEARCH(Assumptions!$C$6,C2121)),Assumptions!$D$6,IF(ISNUMBER(SEARCH(Assumptions!$C$7,C2121)),Assumptions!$D$7,"Other Services"))),"Other Services"))</f>
        <v/>
      </c>
    </row>
    <row r="2122" customFormat="false" ht="15" hidden="false" customHeight="false" outlineLevel="0" collapsed="false">
      <c r="F2122" s="41" t="str">
        <f aca="false">IF(C2122="","",IFERROR(IF(ISNUMBER(SEARCH(Assumptions!$C$5,C2122)),Assumptions!$D$5,IF(ISNUMBER(SEARCH(Assumptions!$C$6,C2122)),Assumptions!$D$6,IF(ISNUMBER(SEARCH(Assumptions!$C$7,C2122)),Assumptions!$D$7,"Other Services"))),"Other Services"))</f>
        <v/>
      </c>
    </row>
    <row r="2123" customFormat="false" ht="15" hidden="false" customHeight="false" outlineLevel="0" collapsed="false">
      <c r="F2123" s="41" t="str">
        <f aca="false">IF(C2123="","",IFERROR(IF(ISNUMBER(SEARCH(Assumptions!$C$5,C2123)),Assumptions!$D$5,IF(ISNUMBER(SEARCH(Assumptions!$C$6,C2123)),Assumptions!$D$6,IF(ISNUMBER(SEARCH(Assumptions!$C$7,C2123)),Assumptions!$D$7,"Other Services"))),"Other Services"))</f>
        <v/>
      </c>
    </row>
    <row r="2124" customFormat="false" ht="15" hidden="false" customHeight="false" outlineLevel="0" collapsed="false">
      <c r="F2124" s="41" t="str">
        <f aca="false">IF(C2124="","",IFERROR(IF(ISNUMBER(SEARCH(Assumptions!$C$5,C2124)),Assumptions!$D$5,IF(ISNUMBER(SEARCH(Assumptions!$C$6,C2124)),Assumptions!$D$6,IF(ISNUMBER(SEARCH(Assumptions!$C$7,C2124)),Assumptions!$D$7,"Other Services"))),"Other Services"))</f>
        <v/>
      </c>
    </row>
    <row r="2125" customFormat="false" ht="15" hidden="false" customHeight="false" outlineLevel="0" collapsed="false">
      <c r="F2125" s="41" t="str">
        <f aca="false">IF(C2125="","",IFERROR(IF(ISNUMBER(SEARCH(Assumptions!$C$5,C2125)),Assumptions!$D$5,IF(ISNUMBER(SEARCH(Assumptions!$C$6,C2125)),Assumptions!$D$6,IF(ISNUMBER(SEARCH(Assumptions!$C$7,C2125)),Assumptions!$D$7,"Other Services"))),"Other Services"))</f>
        <v/>
      </c>
    </row>
    <row r="2126" customFormat="false" ht="15" hidden="false" customHeight="false" outlineLevel="0" collapsed="false">
      <c r="F2126" s="41" t="str">
        <f aca="false">IF(C2126="","",IFERROR(IF(ISNUMBER(SEARCH(Assumptions!$C$5,C2126)),Assumptions!$D$5,IF(ISNUMBER(SEARCH(Assumptions!$C$6,C2126)),Assumptions!$D$6,IF(ISNUMBER(SEARCH(Assumptions!$C$7,C2126)),Assumptions!$D$7,"Other Services"))),"Other Services"))</f>
        <v/>
      </c>
    </row>
    <row r="2127" customFormat="false" ht="15" hidden="false" customHeight="false" outlineLevel="0" collapsed="false">
      <c r="F2127" s="41" t="str">
        <f aca="false">IF(C2127="","",IFERROR(IF(ISNUMBER(SEARCH(Assumptions!$C$5,C2127)),Assumptions!$D$5,IF(ISNUMBER(SEARCH(Assumptions!$C$6,C2127)),Assumptions!$D$6,IF(ISNUMBER(SEARCH(Assumptions!$C$7,C2127)),Assumptions!$D$7,"Other Services"))),"Other Services"))</f>
        <v/>
      </c>
    </row>
    <row r="2128" customFormat="false" ht="15" hidden="false" customHeight="false" outlineLevel="0" collapsed="false">
      <c r="F2128" s="41" t="str">
        <f aca="false">IF(C2128="","",IFERROR(IF(ISNUMBER(SEARCH(Assumptions!$C$5,C2128)),Assumptions!$D$5,IF(ISNUMBER(SEARCH(Assumptions!$C$6,C2128)),Assumptions!$D$6,IF(ISNUMBER(SEARCH(Assumptions!$C$7,C2128)),Assumptions!$D$7,"Other Services"))),"Other Services"))</f>
        <v/>
      </c>
    </row>
    <row r="2129" customFormat="false" ht="15" hidden="false" customHeight="false" outlineLevel="0" collapsed="false">
      <c r="F2129" s="41" t="str">
        <f aca="false">IF(C2129="","",IFERROR(IF(ISNUMBER(SEARCH(Assumptions!$C$5,C2129)),Assumptions!$D$5,IF(ISNUMBER(SEARCH(Assumptions!$C$6,C2129)),Assumptions!$D$6,IF(ISNUMBER(SEARCH(Assumptions!$C$7,C2129)),Assumptions!$D$7,"Other Services"))),"Other Services"))</f>
        <v/>
      </c>
    </row>
    <row r="2130" customFormat="false" ht="15" hidden="false" customHeight="false" outlineLevel="0" collapsed="false">
      <c r="F2130" s="41" t="str">
        <f aca="false">IF(C2130="","",IFERROR(IF(ISNUMBER(SEARCH(Assumptions!$C$5,C2130)),Assumptions!$D$5,IF(ISNUMBER(SEARCH(Assumptions!$C$6,C2130)),Assumptions!$D$6,IF(ISNUMBER(SEARCH(Assumptions!$C$7,C2130)),Assumptions!$D$7,"Other Services"))),"Other Services"))</f>
        <v/>
      </c>
    </row>
    <row r="2131" customFormat="false" ht="15" hidden="false" customHeight="false" outlineLevel="0" collapsed="false">
      <c r="F2131" s="41" t="str">
        <f aca="false">IF(C2131="","",IFERROR(IF(ISNUMBER(SEARCH(Assumptions!$C$5,C2131)),Assumptions!$D$5,IF(ISNUMBER(SEARCH(Assumptions!$C$6,C2131)),Assumptions!$D$6,IF(ISNUMBER(SEARCH(Assumptions!$C$7,C2131)),Assumptions!$D$7,"Other Services"))),"Other Services"))</f>
        <v/>
      </c>
    </row>
    <row r="2132" customFormat="false" ht="15" hidden="false" customHeight="false" outlineLevel="0" collapsed="false">
      <c r="F2132" s="41" t="str">
        <f aca="false">IF(C2132="","",IFERROR(IF(ISNUMBER(SEARCH(Assumptions!$C$5,C2132)),Assumptions!$D$5,IF(ISNUMBER(SEARCH(Assumptions!$C$6,C2132)),Assumptions!$D$6,IF(ISNUMBER(SEARCH(Assumptions!$C$7,C2132)),Assumptions!$D$7,"Other Services"))),"Other Services"))</f>
        <v/>
      </c>
    </row>
    <row r="2133" customFormat="false" ht="15" hidden="false" customHeight="false" outlineLevel="0" collapsed="false">
      <c r="F2133" s="41" t="str">
        <f aca="false">IF(C2133="","",IFERROR(IF(ISNUMBER(SEARCH(Assumptions!$C$5,C2133)),Assumptions!$D$5,IF(ISNUMBER(SEARCH(Assumptions!$C$6,C2133)),Assumptions!$D$6,IF(ISNUMBER(SEARCH(Assumptions!$C$7,C2133)),Assumptions!$D$7,"Other Services"))),"Other Services"))</f>
        <v/>
      </c>
    </row>
    <row r="2134" customFormat="false" ht="15" hidden="false" customHeight="false" outlineLevel="0" collapsed="false">
      <c r="F2134" s="41" t="str">
        <f aca="false">IF(C2134="","",IFERROR(IF(ISNUMBER(SEARCH(Assumptions!$C$5,C2134)),Assumptions!$D$5,IF(ISNUMBER(SEARCH(Assumptions!$C$6,C2134)),Assumptions!$D$6,IF(ISNUMBER(SEARCH(Assumptions!$C$7,C2134)),Assumptions!$D$7,"Other Services"))),"Other Services"))</f>
        <v/>
      </c>
    </row>
    <row r="2135" customFormat="false" ht="15" hidden="false" customHeight="false" outlineLevel="0" collapsed="false">
      <c r="F2135" s="41" t="str">
        <f aca="false">IF(C2135="","",IFERROR(IF(ISNUMBER(SEARCH(Assumptions!$C$5,C2135)),Assumptions!$D$5,IF(ISNUMBER(SEARCH(Assumptions!$C$6,C2135)),Assumptions!$D$6,IF(ISNUMBER(SEARCH(Assumptions!$C$7,C2135)),Assumptions!$D$7,"Other Services"))),"Other Services"))</f>
        <v/>
      </c>
    </row>
    <row r="2136" customFormat="false" ht="15" hidden="false" customHeight="false" outlineLevel="0" collapsed="false">
      <c r="F2136" s="41" t="str">
        <f aca="false">IF(C2136="","",IFERROR(IF(ISNUMBER(SEARCH(Assumptions!$C$5,C2136)),Assumptions!$D$5,IF(ISNUMBER(SEARCH(Assumptions!$C$6,C2136)),Assumptions!$D$6,IF(ISNUMBER(SEARCH(Assumptions!$C$7,C2136)),Assumptions!$D$7,"Other Services"))),"Other Services"))</f>
        <v/>
      </c>
    </row>
    <row r="2137" customFormat="false" ht="15" hidden="false" customHeight="false" outlineLevel="0" collapsed="false">
      <c r="F2137" s="41" t="str">
        <f aca="false">IF(C2137="","",IFERROR(IF(ISNUMBER(SEARCH(Assumptions!$C$5,C2137)),Assumptions!$D$5,IF(ISNUMBER(SEARCH(Assumptions!$C$6,C2137)),Assumptions!$D$6,IF(ISNUMBER(SEARCH(Assumptions!$C$7,C2137)),Assumptions!$D$7,"Other Services"))),"Other Services"))</f>
        <v/>
      </c>
    </row>
    <row r="2138" customFormat="false" ht="15" hidden="false" customHeight="false" outlineLevel="0" collapsed="false">
      <c r="F2138" s="41" t="str">
        <f aca="false">IF(C2138="","",IFERROR(IF(ISNUMBER(SEARCH(Assumptions!$C$5,C2138)),Assumptions!$D$5,IF(ISNUMBER(SEARCH(Assumptions!$C$6,C2138)),Assumptions!$D$6,IF(ISNUMBER(SEARCH(Assumptions!$C$7,C2138)),Assumptions!$D$7,"Other Services"))),"Other Services"))</f>
        <v/>
      </c>
    </row>
    <row r="2139" customFormat="false" ht="15" hidden="false" customHeight="false" outlineLevel="0" collapsed="false">
      <c r="F2139" s="41" t="str">
        <f aca="false">IF(C2139="","",IFERROR(IF(ISNUMBER(SEARCH(Assumptions!$C$5,C2139)),Assumptions!$D$5,IF(ISNUMBER(SEARCH(Assumptions!$C$6,C2139)),Assumptions!$D$6,IF(ISNUMBER(SEARCH(Assumptions!$C$7,C2139)),Assumptions!$D$7,"Other Services"))),"Other Services"))</f>
        <v/>
      </c>
    </row>
    <row r="2140" customFormat="false" ht="15" hidden="false" customHeight="false" outlineLevel="0" collapsed="false">
      <c r="F2140" s="41" t="str">
        <f aca="false">IF(C2140="","",IFERROR(IF(ISNUMBER(SEARCH(Assumptions!$C$5,C2140)),Assumptions!$D$5,IF(ISNUMBER(SEARCH(Assumptions!$C$6,C2140)),Assumptions!$D$6,IF(ISNUMBER(SEARCH(Assumptions!$C$7,C2140)),Assumptions!$D$7,"Other Services"))),"Other Services"))</f>
        <v/>
      </c>
    </row>
    <row r="2141" customFormat="false" ht="15" hidden="false" customHeight="false" outlineLevel="0" collapsed="false">
      <c r="F2141" s="41" t="str">
        <f aca="false">IF(C2141="","",IFERROR(IF(ISNUMBER(SEARCH(Assumptions!$C$5,C2141)),Assumptions!$D$5,IF(ISNUMBER(SEARCH(Assumptions!$C$6,C2141)),Assumptions!$D$6,IF(ISNUMBER(SEARCH(Assumptions!$C$7,C2141)),Assumptions!$D$7,"Other Services"))),"Other Services"))</f>
        <v/>
      </c>
    </row>
    <row r="2142" customFormat="false" ht="15" hidden="false" customHeight="false" outlineLevel="0" collapsed="false">
      <c r="F2142" s="41" t="str">
        <f aca="false">IF(C2142="","",IFERROR(IF(ISNUMBER(SEARCH(Assumptions!$C$5,C2142)),Assumptions!$D$5,IF(ISNUMBER(SEARCH(Assumptions!$C$6,C2142)),Assumptions!$D$6,IF(ISNUMBER(SEARCH(Assumptions!$C$7,C2142)),Assumptions!$D$7,"Other Services"))),"Other Services"))</f>
        <v/>
      </c>
    </row>
    <row r="2143" customFormat="false" ht="15" hidden="false" customHeight="false" outlineLevel="0" collapsed="false">
      <c r="F2143" s="41" t="str">
        <f aca="false">IF(C2143="","",IFERROR(IF(ISNUMBER(SEARCH(Assumptions!$C$5,C2143)),Assumptions!$D$5,IF(ISNUMBER(SEARCH(Assumptions!$C$6,C2143)),Assumptions!$D$6,IF(ISNUMBER(SEARCH(Assumptions!$C$7,C2143)),Assumptions!$D$7,"Other Services"))),"Other Services"))</f>
        <v/>
      </c>
    </row>
    <row r="2144" customFormat="false" ht="15" hidden="false" customHeight="false" outlineLevel="0" collapsed="false">
      <c r="F2144" s="41" t="str">
        <f aca="false">IF(C2144="","",IFERROR(IF(ISNUMBER(SEARCH(Assumptions!$C$5,C2144)),Assumptions!$D$5,IF(ISNUMBER(SEARCH(Assumptions!$C$6,C2144)),Assumptions!$D$6,IF(ISNUMBER(SEARCH(Assumptions!$C$7,C2144)),Assumptions!$D$7,"Other Services"))),"Other Services"))</f>
        <v/>
      </c>
    </row>
    <row r="2145" customFormat="false" ht="15" hidden="false" customHeight="false" outlineLevel="0" collapsed="false">
      <c r="F2145" s="41" t="str">
        <f aca="false">IF(C2145="","",IFERROR(IF(ISNUMBER(SEARCH(Assumptions!$C$5,C2145)),Assumptions!$D$5,IF(ISNUMBER(SEARCH(Assumptions!$C$6,C2145)),Assumptions!$D$6,IF(ISNUMBER(SEARCH(Assumptions!$C$7,C2145)),Assumptions!$D$7,"Other Services"))),"Other Services"))</f>
        <v/>
      </c>
    </row>
    <row r="2146" customFormat="false" ht="15" hidden="false" customHeight="false" outlineLevel="0" collapsed="false">
      <c r="F2146" s="41" t="str">
        <f aca="false">IF(C2146="","",IFERROR(IF(ISNUMBER(SEARCH(Assumptions!$C$5,C2146)),Assumptions!$D$5,IF(ISNUMBER(SEARCH(Assumptions!$C$6,C2146)),Assumptions!$D$6,IF(ISNUMBER(SEARCH(Assumptions!$C$7,C2146)),Assumptions!$D$7,"Other Services"))),"Other Services"))</f>
        <v/>
      </c>
    </row>
    <row r="2147" customFormat="false" ht="15" hidden="false" customHeight="false" outlineLevel="0" collapsed="false">
      <c r="F2147" s="41" t="str">
        <f aca="false">IF(C2147="","",IFERROR(IF(ISNUMBER(SEARCH(Assumptions!$C$5,C2147)),Assumptions!$D$5,IF(ISNUMBER(SEARCH(Assumptions!$C$6,C2147)),Assumptions!$D$6,IF(ISNUMBER(SEARCH(Assumptions!$C$7,C2147)),Assumptions!$D$7,"Other Services"))),"Other Services"))</f>
        <v/>
      </c>
    </row>
    <row r="2148" customFormat="false" ht="15" hidden="false" customHeight="false" outlineLevel="0" collapsed="false">
      <c r="F2148" s="41" t="str">
        <f aca="false">IF(C2148="","",IFERROR(IF(ISNUMBER(SEARCH(Assumptions!$C$5,C2148)),Assumptions!$D$5,IF(ISNUMBER(SEARCH(Assumptions!$C$6,C2148)),Assumptions!$D$6,IF(ISNUMBER(SEARCH(Assumptions!$C$7,C2148)),Assumptions!$D$7,"Other Services"))),"Other Services"))</f>
        <v/>
      </c>
    </row>
    <row r="2149" customFormat="false" ht="15" hidden="false" customHeight="false" outlineLevel="0" collapsed="false">
      <c r="F2149" s="41" t="str">
        <f aca="false">IF(C2149="","",IFERROR(IF(ISNUMBER(SEARCH(Assumptions!$C$5,C2149)),Assumptions!$D$5,IF(ISNUMBER(SEARCH(Assumptions!$C$6,C2149)),Assumptions!$D$6,IF(ISNUMBER(SEARCH(Assumptions!$C$7,C2149)),Assumptions!$D$7,"Other Services"))),"Other Services"))</f>
        <v/>
      </c>
    </row>
    <row r="2150" customFormat="false" ht="15" hidden="false" customHeight="false" outlineLevel="0" collapsed="false">
      <c r="F2150" s="41" t="str">
        <f aca="false">IF(C2150="","",IFERROR(IF(ISNUMBER(SEARCH(Assumptions!$C$5,C2150)),Assumptions!$D$5,IF(ISNUMBER(SEARCH(Assumptions!$C$6,C2150)),Assumptions!$D$6,IF(ISNUMBER(SEARCH(Assumptions!$C$7,C2150)),Assumptions!$D$7,"Other Services"))),"Other Services"))</f>
        <v/>
      </c>
    </row>
    <row r="2151" customFormat="false" ht="15" hidden="false" customHeight="false" outlineLevel="0" collapsed="false">
      <c r="F2151" s="41" t="str">
        <f aca="false">IF(C2151="","",IFERROR(IF(ISNUMBER(SEARCH(Assumptions!$C$5,C2151)),Assumptions!$D$5,IF(ISNUMBER(SEARCH(Assumptions!$C$6,C2151)),Assumptions!$D$6,IF(ISNUMBER(SEARCH(Assumptions!$C$7,C2151)),Assumptions!$D$7,"Other Services"))),"Other Services"))</f>
        <v/>
      </c>
    </row>
    <row r="2152" customFormat="false" ht="15" hidden="false" customHeight="false" outlineLevel="0" collapsed="false">
      <c r="F2152" s="41" t="str">
        <f aca="false">IF(C2152="","",IFERROR(IF(ISNUMBER(SEARCH(Assumptions!$C$5,C2152)),Assumptions!$D$5,IF(ISNUMBER(SEARCH(Assumptions!$C$6,C2152)),Assumptions!$D$6,IF(ISNUMBER(SEARCH(Assumptions!$C$7,C2152)),Assumptions!$D$7,"Other Services"))),"Other Services"))</f>
        <v/>
      </c>
    </row>
    <row r="2153" customFormat="false" ht="15" hidden="false" customHeight="false" outlineLevel="0" collapsed="false">
      <c r="F2153" s="41" t="str">
        <f aca="false">IF(C2153="","",IFERROR(IF(ISNUMBER(SEARCH(Assumptions!$C$5,C2153)),Assumptions!$D$5,IF(ISNUMBER(SEARCH(Assumptions!$C$6,C2153)),Assumptions!$D$6,IF(ISNUMBER(SEARCH(Assumptions!$C$7,C2153)),Assumptions!$D$7,"Other Services"))),"Other Services"))</f>
        <v/>
      </c>
    </row>
    <row r="2154" customFormat="false" ht="15" hidden="false" customHeight="false" outlineLevel="0" collapsed="false">
      <c r="F2154" s="41" t="str">
        <f aca="false">IF(C2154="","",IFERROR(IF(ISNUMBER(SEARCH(Assumptions!$C$5,C2154)),Assumptions!$D$5,IF(ISNUMBER(SEARCH(Assumptions!$C$6,C2154)),Assumptions!$D$6,IF(ISNUMBER(SEARCH(Assumptions!$C$7,C2154)),Assumptions!$D$7,"Other Services"))),"Other Services"))</f>
        <v/>
      </c>
    </row>
    <row r="2155" customFormat="false" ht="15" hidden="false" customHeight="false" outlineLevel="0" collapsed="false">
      <c r="F2155" s="41" t="str">
        <f aca="false">IF(C2155="","",IFERROR(IF(ISNUMBER(SEARCH(Assumptions!$C$5,C2155)),Assumptions!$D$5,IF(ISNUMBER(SEARCH(Assumptions!$C$6,C2155)),Assumptions!$D$6,IF(ISNUMBER(SEARCH(Assumptions!$C$7,C2155)),Assumptions!$D$7,"Other Services"))),"Other Services"))</f>
        <v/>
      </c>
    </row>
    <row r="2156" customFormat="false" ht="15" hidden="false" customHeight="false" outlineLevel="0" collapsed="false">
      <c r="F2156" s="41" t="str">
        <f aca="false">IF(C2156="","",IFERROR(IF(ISNUMBER(SEARCH(Assumptions!$C$5,C2156)),Assumptions!$D$5,IF(ISNUMBER(SEARCH(Assumptions!$C$6,C2156)),Assumptions!$D$6,IF(ISNUMBER(SEARCH(Assumptions!$C$7,C2156)),Assumptions!$D$7,"Other Services"))),"Other Services"))</f>
        <v/>
      </c>
    </row>
    <row r="2157" customFormat="false" ht="15" hidden="false" customHeight="false" outlineLevel="0" collapsed="false">
      <c r="F2157" s="41" t="str">
        <f aca="false">IF(C2157="","",IFERROR(IF(ISNUMBER(SEARCH(Assumptions!$C$5,C2157)),Assumptions!$D$5,IF(ISNUMBER(SEARCH(Assumptions!$C$6,C2157)),Assumptions!$D$6,IF(ISNUMBER(SEARCH(Assumptions!$C$7,C2157)),Assumptions!$D$7,"Other Services"))),"Other Services"))</f>
        <v/>
      </c>
    </row>
    <row r="2158" customFormat="false" ht="15" hidden="false" customHeight="false" outlineLevel="0" collapsed="false">
      <c r="F2158" s="41" t="str">
        <f aca="false">IF(C2158="","",IFERROR(IF(ISNUMBER(SEARCH(Assumptions!$C$5,C2158)),Assumptions!$D$5,IF(ISNUMBER(SEARCH(Assumptions!$C$6,C2158)),Assumptions!$D$6,IF(ISNUMBER(SEARCH(Assumptions!$C$7,C2158)),Assumptions!$D$7,"Other Services"))),"Other Services"))</f>
        <v/>
      </c>
    </row>
    <row r="2159" customFormat="false" ht="15" hidden="false" customHeight="false" outlineLevel="0" collapsed="false">
      <c r="F2159" s="41" t="str">
        <f aca="false">IF(C2159="","",IFERROR(IF(ISNUMBER(SEARCH(Assumptions!$C$5,C2159)),Assumptions!$D$5,IF(ISNUMBER(SEARCH(Assumptions!$C$6,C2159)),Assumptions!$D$6,IF(ISNUMBER(SEARCH(Assumptions!$C$7,C2159)),Assumptions!$D$7,"Other Services"))),"Other Services"))</f>
        <v/>
      </c>
    </row>
    <row r="2160" customFormat="false" ht="15" hidden="false" customHeight="false" outlineLevel="0" collapsed="false">
      <c r="F2160" s="41" t="str">
        <f aca="false">IF(C2160="","",IFERROR(IF(ISNUMBER(SEARCH(Assumptions!$C$5,C2160)),Assumptions!$D$5,IF(ISNUMBER(SEARCH(Assumptions!$C$6,C2160)),Assumptions!$D$6,IF(ISNUMBER(SEARCH(Assumptions!$C$7,C2160)),Assumptions!$D$7,"Other Services"))),"Other Services"))</f>
        <v/>
      </c>
    </row>
    <row r="2161" customFormat="false" ht="15" hidden="false" customHeight="false" outlineLevel="0" collapsed="false">
      <c r="F2161" s="41" t="str">
        <f aca="false">IF(C2161="","",IFERROR(IF(ISNUMBER(SEARCH(Assumptions!$C$5,C2161)),Assumptions!$D$5,IF(ISNUMBER(SEARCH(Assumptions!$C$6,C2161)),Assumptions!$D$6,IF(ISNUMBER(SEARCH(Assumptions!$C$7,C2161)),Assumptions!$D$7,"Other Services"))),"Other Services"))</f>
        <v/>
      </c>
    </row>
    <row r="2162" customFormat="false" ht="15" hidden="false" customHeight="false" outlineLevel="0" collapsed="false">
      <c r="F2162" s="41" t="str">
        <f aca="false">IF(C2162="","",IFERROR(IF(ISNUMBER(SEARCH(Assumptions!$C$5,C2162)),Assumptions!$D$5,IF(ISNUMBER(SEARCH(Assumptions!$C$6,C2162)),Assumptions!$D$6,IF(ISNUMBER(SEARCH(Assumptions!$C$7,C2162)),Assumptions!$D$7,"Other Services"))),"Other Services"))</f>
        <v/>
      </c>
    </row>
    <row r="2163" customFormat="false" ht="15" hidden="false" customHeight="false" outlineLevel="0" collapsed="false">
      <c r="F2163" s="41" t="str">
        <f aca="false">IF(C2163="","",IFERROR(IF(ISNUMBER(SEARCH(Assumptions!$C$5,C2163)),Assumptions!$D$5,IF(ISNUMBER(SEARCH(Assumptions!$C$6,C2163)),Assumptions!$D$6,IF(ISNUMBER(SEARCH(Assumptions!$C$7,C2163)),Assumptions!$D$7,"Other Services"))),"Other Services"))</f>
        <v/>
      </c>
    </row>
    <row r="2164" customFormat="false" ht="15" hidden="false" customHeight="false" outlineLevel="0" collapsed="false">
      <c r="F2164" s="41" t="str">
        <f aca="false">IF(C2164="","",IFERROR(IF(ISNUMBER(SEARCH(Assumptions!$C$5,C2164)),Assumptions!$D$5,IF(ISNUMBER(SEARCH(Assumptions!$C$6,C2164)),Assumptions!$D$6,IF(ISNUMBER(SEARCH(Assumptions!$C$7,C2164)),Assumptions!$D$7,"Other Services"))),"Other Services"))</f>
        <v/>
      </c>
    </row>
    <row r="2165" customFormat="false" ht="15" hidden="false" customHeight="false" outlineLevel="0" collapsed="false">
      <c r="F2165" s="41" t="str">
        <f aca="false">IF(C2165="","",IFERROR(IF(ISNUMBER(SEARCH(Assumptions!$C$5,C2165)),Assumptions!$D$5,IF(ISNUMBER(SEARCH(Assumptions!$C$6,C2165)),Assumptions!$D$6,IF(ISNUMBER(SEARCH(Assumptions!$C$7,C2165)),Assumptions!$D$7,"Other Services"))),"Other Services"))</f>
        <v/>
      </c>
    </row>
    <row r="2166" customFormat="false" ht="15" hidden="false" customHeight="false" outlineLevel="0" collapsed="false">
      <c r="F2166" s="41" t="str">
        <f aca="false">IF(C2166="","",IFERROR(IF(ISNUMBER(SEARCH(Assumptions!$C$5,C2166)),Assumptions!$D$5,IF(ISNUMBER(SEARCH(Assumptions!$C$6,C2166)),Assumptions!$D$6,IF(ISNUMBER(SEARCH(Assumptions!$C$7,C2166)),Assumptions!$D$7,"Other Services"))),"Other Services"))</f>
        <v/>
      </c>
    </row>
    <row r="2167" customFormat="false" ht="15" hidden="false" customHeight="false" outlineLevel="0" collapsed="false">
      <c r="F2167" s="41" t="str">
        <f aca="false">IF(C2167="","",IFERROR(IF(ISNUMBER(SEARCH(Assumptions!$C$5,C2167)),Assumptions!$D$5,IF(ISNUMBER(SEARCH(Assumptions!$C$6,C2167)),Assumptions!$D$6,IF(ISNUMBER(SEARCH(Assumptions!$C$7,C2167)),Assumptions!$D$7,"Other Services"))),"Other Services"))</f>
        <v/>
      </c>
    </row>
    <row r="2168" customFormat="false" ht="15" hidden="false" customHeight="false" outlineLevel="0" collapsed="false">
      <c r="F2168" s="41" t="str">
        <f aca="false">IF(C2168="","",IFERROR(IF(ISNUMBER(SEARCH(Assumptions!$C$5,C2168)),Assumptions!$D$5,IF(ISNUMBER(SEARCH(Assumptions!$C$6,C2168)),Assumptions!$D$6,IF(ISNUMBER(SEARCH(Assumptions!$C$7,C2168)),Assumptions!$D$7,"Other Services"))),"Other Services"))</f>
        <v/>
      </c>
    </row>
    <row r="2169" customFormat="false" ht="15" hidden="false" customHeight="false" outlineLevel="0" collapsed="false">
      <c r="F2169" s="41" t="str">
        <f aca="false">IF(C2169="","",IFERROR(IF(ISNUMBER(SEARCH(Assumptions!$C$5,C2169)),Assumptions!$D$5,IF(ISNUMBER(SEARCH(Assumptions!$C$6,C2169)),Assumptions!$D$6,IF(ISNUMBER(SEARCH(Assumptions!$C$7,C2169)),Assumptions!$D$7,"Other Services"))),"Other Services"))</f>
        <v/>
      </c>
    </row>
    <row r="2170" customFormat="false" ht="15" hidden="false" customHeight="false" outlineLevel="0" collapsed="false">
      <c r="F2170" s="41" t="str">
        <f aca="false">IF(C2170="","",IFERROR(IF(ISNUMBER(SEARCH(Assumptions!$C$5,C2170)),Assumptions!$D$5,IF(ISNUMBER(SEARCH(Assumptions!$C$6,C2170)),Assumptions!$D$6,IF(ISNUMBER(SEARCH(Assumptions!$C$7,C2170)),Assumptions!$D$7,"Other Services"))),"Other Services"))</f>
        <v/>
      </c>
    </row>
    <row r="2171" customFormat="false" ht="15" hidden="false" customHeight="false" outlineLevel="0" collapsed="false">
      <c r="F2171" s="41" t="str">
        <f aca="false">IF(C2171="","",IFERROR(IF(ISNUMBER(SEARCH(Assumptions!$C$5,C2171)),Assumptions!$D$5,IF(ISNUMBER(SEARCH(Assumptions!$C$6,C2171)),Assumptions!$D$6,IF(ISNUMBER(SEARCH(Assumptions!$C$7,C2171)),Assumptions!$D$7,"Other Services"))),"Other Services"))</f>
        <v/>
      </c>
    </row>
    <row r="2172" customFormat="false" ht="15" hidden="false" customHeight="false" outlineLevel="0" collapsed="false">
      <c r="F2172" s="41" t="str">
        <f aca="false">IF(C2172="","",IFERROR(IF(ISNUMBER(SEARCH(Assumptions!$C$5,C2172)),Assumptions!$D$5,IF(ISNUMBER(SEARCH(Assumptions!$C$6,C2172)),Assumptions!$D$6,IF(ISNUMBER(SEARCH(Assumptions!$C$7,C2172)),Assumptions!$D$7,"Other Services"))),"Other Services"))</f>
        <v/>
      </c>
    </row>
    <row r="2173" customFormat="false" ht="15" hidden="false" customHeight="false" outlineLevel="0" collapsed="false">
      <c r="F2173" s="41" t="str">
        <f aca="false">IF(C2173="","",IFERROR(IF(ISNUMBER(SEARCH(Assumptions!$C$5,C2173)),Assumptions!$D$5,IF(ISNUMBER(SEARCH(Assumptions!$C$6,C2173)),Assumptions!$D$6,IF(ISNUMBER(SEARCH(Assumptions!$C$7,C2173)),Assumptions!$D$7,"Other Services"))),"Other Services"))</f>
        <v/>
      </c>
    </row>
    <row r="2174" customFormat="false" ht="15" hidden="false" customHeight="false" outlineLevel="0" collapsed="false">
      <c r="F2174" s="41" t="str">
        <f aca="false">IF(C2174="","",IFERROR(IF(ISNUMBER(SEARCH(Assumptions!$C$5,C2174)),Assumptions!$D$5,IF(ISNUMBER(SEARCH(Assumptions!$C$6,C2174)),Assumptions!$D$6,IF(ISNUMBER(SEARCH(Assumptions!$C$7,C2174)),Assumptions!$D$7,"Other Services"))),"Other Services"))</f>
        <v/>
      </c>
    </row>
    <row r="2175" customFormat="false" ht="15" hidden="false" customHeight="false" outlineLevel="0" collapsed="false">
      <c r="F2175" s="41" t="str">
        <f aca="false">IF(C2175="","",IFERROR(IF(ISNUMBER(SEARCH(Assumptions!$C$5,C2175)),Assumptions!$D$5,IF(ISNUMBER(SEARCH(Assumptions!$C$6,C2175)),Assumptions!$D$6,IF(ISNUMBER(SEARCH(Assumptions!$C$7,C2175)),Assumptions!$D$7,"Other Services"))),"Other Services"))</f>
        <v/>
      </c>
    </row>
    <row r="2176" customFormat="false" ht="15" hidden="false" customHeight="false" outlineLevel="0" collapsed="false">
      <c r="F2176" s="41" t="str">
        <f aca="false">IF(C2176="","",IFERROR(IF(ISNUMBER(SEARCH(Assumptions!$C$5,C2176)),Assumptions!$D$5,IF(ISNUMBER(SEARCH(Assumptions!$C$6,C2176)),Assumptions!$D$6,IF(ISNUMBER(SEARCH(Assumptions!$C$7,C2176)),Assumptions!$D$7,"Other Services"))),"Other Services"))</f>
        <v/>
      </c>
    </row>
    <row r="2177" customFormat="false" ht="15" hidden="false" customHeight="false" outlineLevel="0" collapsed="false">
      <c r="F2177" s="41" t="str">
        <f aca="false">IF(C2177="","",IFERROR(IF(ISNUMBER(SEARCH(Assumptions!$C$5,C2177)),Assumptions!$D$5,IF(ISNUMBER(SEARCH(Assumptions!$C$6,C2177)),Assumptions!$D$6,IF(ISNUMBER(SEARCH(Assumptions!$C$7,C2177)),Assumptions!$D$7,"Other Services"))),"Other Services"))</f>
        <v/>
      </c>
    </row>
    <row r="2178" customFormat="false" ht="15" hidden="false" customHeight="false" outlineLevel="0" collapsed="false">
      <c r="F2178" s="41" t="str">
        <f aca="false">IF(C2178="","",IFERROR(IF(ISNUMBER(SEARCH(Assumptions!$C$5,C2178)),Assumptions!$D$5,IF(ISNUMBER(SEARCH(Assumptions!$C$6,C2178)),Assumptions!$D$6,IF(ISNUMBER(SEARCH(Assumptions!$C$7,C2178)),Assumptions!$D$7,"Other Services"))),"Other Services"))</f>
        <v/>
      </c>
    </row>
    <row r="2179" customFormat="false" ht="15" hidden="false" customHeight="false" outlineLevel="0" collapsed="false">
      <c r="F2179" s="41" t="str">
        <f aca="false">IF(C2179="","",IFERROR(IF(ISNUMBER(SEARCH(Assumptions!$C$5,C2179)),Assumptions!$D$5,IF(ISNUMBER(SEARCH(Assumptions!$C$6,C2179)),Assumptions!$D$6,IF(ISNUMBER(SEARCH(Assumptions!$C$7,C2179)),Assumptions!$D$7,"Other Services"))),"Other Services"))</f>
        <v/>
      </c>
    </row>
    <row r="2180" customFormat="false" ht="15" hidden="false" customHeight="false" outlineLevel="0" collapsed="false">
      <c r="F2180" s="41" t="str">
        <f aca="false">IF(C2180="","",IFERROR(IF(ISNUMBER(SEARCH(Assumptions!$C$5,C2180)),Assumptions!$D$5,IF(ISNUMBER(SEARCH(Assumptions!$C$6,C2180)),Assumptions!$D$6,IF(ISNUMBER(SEARCH(Assumptions!$C$7,C2180)),Assumptions!$D$7,"Other Services"))),"Other Services"))</f>
        <v/>
      </c>
    </row>
    <row r="2181" customFormat="false" ht="15" hidden="false" customHeight="false" outlineLevel="0" collapsed="false">
      <c r="F2181" s="41" t="str">
        <f aca="false">IF(C2181="","",IFERROR(IF(ISNUMBER(SEARCH(Assumptions!$C$5,C2181)),Assumptions!$D$5,IF(ISNUMBER(SEARCH(Assumptions!$C$6,C2181)),Assumptions!$D$6,IF(ISNUMBER(SEARCH(Assumptions!$C$7,C2181)),Assumptions!$D$7,"Other Services"))),"Other Services"))</f>
        <v/>
      </c>
    </row>
    <row r="2182" customFormat="false" ht="15" hidden="false" customHeight="false" outlineLevel="0" collapsed="false">
      <c r="F2182" s="41" t="str">
        <f aca="false">IF(C2182="","",IFERROR(IF(ISNUMBER(SEARCH(Assumptions!$C$5,C2182)),Assumptions!$D$5,IF(ISNUMBER(SEARCH(Assumptions!$C$6,C2182)),Assumptions!$D$6,IF(ISNUMBER(SEARCH(Assumptions!$C$7,C2182)),Assumptions!$D$7,"Other Services"))),"Other Services"))</f>
        <v/>
      </c>
    </row>
    <row r="2183" customFormat="false" ht="15" hidden="false" customHeight="false" outlineLevel="0" collapsed="false">
      <c r="F2183" s="41" t="str">
        <f aca="false">IF(C2183="","",IFERROR(IF(ISNUMBER(SEARCH(Assumptions!$C$5,C2183)),Assumptions!$D$5,IF(ISNUMBER(SEARCH(Assumptions!$C$6,C2183)),Assumptions!$D$6,IF(ISNUMBER(SEARCH(Assumptions!$C$7,C2183)),Assumptions!$D$7,"Other Services"))),"Other Services"))</f>
        <v/>
      </c>
    </row>
    <row r="2184" customFormat="false" ht="15" hidden="false" customHeight="false" outlineLevel="0" collapsed="false">
      <c r="F2184" s="41" t="str">
        <f aca="false">IF(C2184="","",IFERROR(IF(ISNUMBER(SEARCH(Assumptions!$C$5,C2184)),Assumptions!$D$5,IF(ISNUMBER(SEARCH(Assumptions!$C$6,C2184)),Assumptions!$D$6,IF(ISNUMBER(SEARCH(Assumptions!$C$7,C2184)),Assumptions!$D$7,"Other Services"))),"Other Services"))</f>
        <v/>
      </c>
    </row>
    <row r="2185" customFormat="false" ht="15" hidden="false" customHeight="false" outlineLevel="0" collapsed="false">
      <c r="F2185" s="41" t="str">
        <f aca="false">IF(C2185="","",IFERROR(IF(ISNUMBER(SEARCH(Assumptions!$C$5,C2185)),Assumptions!$D$5,IF(ISNUMBER(SEARCH(Assumptions!$C$6,C2185)),Assumptions!$D$6,IF(ISNUMBER(SEARCH(Assumptions!$C$7,C2185)),Assumptions!$D$7,"Other Services"))),"Other Services"))</f>
        <v/>
      </c>
    </row>
    <row r="2186" customFormat="false" ht="15" hidden="false" customHeight="false" outlineLevel="0" collapsed="false">
      <c r="F2186" s="41" t="str">
        <f aca="false">IF(C2186="","",IFERROR(IF(ISNUMBER(SEARCH(Assumptions!$C$5,C2186)),Assumptions!$D$5,IF(ISNUMBER(SEARCH(Assumptions!$C$6,C2186)),Assumptions!$D$6,IF(ISNUMBER(SEARCH(Assumptions!$C$7,C2186)),Assumptions!$D$7,"Other Services"))),"Other Services"))</f>
        <v/>
      </c>
    </row>
    <row r="2187" customFormat="false" ht="15" hidden="false" customHeight="false" outlineLevel="0" collapsed="false">
      <c r="F2187" s="41" t="str">
        <f aca="false">IF(C2187="","",IFERROR(IF(ISNUMBER(SEARCH(Assumptions!$C$5,C2187)),Assumptions!$D$5,IF(ISNUMBER(SEARCH(Assumptions!$C$6,C2187)),Assumptions!$D$6,IF(ISNUMBER(SEARCH(Assumptions!$C$7,C2187)),Assumptions!$D$7,"Other Services"))),"Other Services"))</f>
        <v/>
      </c>
    </row>
    <row r="2188" customFormat="false" ht="15" hidden="false" customHeight="false" outlineLevel="0" collapsed="false">
      <c r="F2188" s="41" t="str">
        <f aca="false">IF(C2188="","",IFERROR(IF(ISNUMBER(SEARCH(Assumptions!$C$5,C2188)),Assumptions!$D$5,IF(ISNUMBER(SEARCH(Assumptions!$C$6,C2188)),Assumptions!$D$6,IF(ISNUMBER(SEARCH(Assumptions!$C$7,C2188)),Assumptions!$D$7,"Other Services"))),"Other Services"))</f>
        <v/>
      </c>
    </row>
    <row r="2189" customFormat="false" ht="15" hidden="false" customHeight="false" outlineLevel="0" collapsed="false">
      <c r="F2189" s="41" t="str">
        <f aca="false">IF(C2189="","",IFERROR(IF(ISNUMBER(SEARCH(Assumptions!$C$5,C2189)),Assumptions!$D$5,IF(ISNUMBER(SEARCH(Assumptions!$C$6,C2189)),Assumptions!$D$6,IF(ISNUMBER(SEARCH(Assumptions!$C$7,C2189)),Assumptions!$D$7,"Other Services"))),"Other Services"))</f>
        <v/>
      </c>
    </row>
    <row r="2190" customFormat="false" ht="15" hidden="false" customHeight="false" outlineLevel="0" collapsed="false">
      <c r="F2190" s="41" t="str">
        <f aca="false">IF(C2190="","",IFERROR(IF(ISNUMBER(SEARCH(Assumptions!$C$5,C2190)),Assumptions!$D$5,IF(ISNUMBER(SEARCH(Assumptions!$C$6,C2190)),Assumptions!$D$6,IF(ISNUMBER(SEARCH(Assumptions!$C$7,C2190)),Assumptions!$D$7,"Other Services"))),"Other Services"))</f>
        <v/>
      </c>
    </row>
    <row r="2191" customFormat="false" ht="15" hidden="false" customHeight="false" outlineLevel="0" collapsed="false">
      <c r="F2191" s="41" t="str">
        <f aca="false">IF(C2191="","",IFERROR(IF(ISNUMBER(SEARCH(Assumptions!$C$5,C2191)),Assumptions!$D$5,IF(ISNUMBER(SEARCH(Assumptions!$C$6,C2191)),Assumptions!$D$6,IF(ISNUMBER(SEARCH(Assumptions!$C$7,C2191)),Assumptions!$D$7,"Other Services"))),"Other Services"))</f>
        <v/>
      </c>
    </row>
    <row r="2192" customFormat="false" ht="15" hidden="false" customHeight="false" outlineLevel="0" collapsed="false">
      <c r="F2192" s="41" t="str">
        <f aca="false">IF(C2192="","",IFERROR(IF(ISNUMBER(SEARCH(Assumptions!$C$5,C2192)),Assumptions!$D$5,IF(ISNUMBER(SEARCH(Assumptions!$C$6,C2192)),Assumptions!$D$6,IF(ISNUMBER(SEARCH(Assumptions!$C$7,C2192)),Assumptions!$D$7,"Other Services"))),"Other Services"))</f>
        <v/>
      </c>
    </row>
    <row r="2193" customFormat="false" ht="15" hidden="false" customHeight="false" outlineLevel="0" collapsed="false">
      <c r="F2193" s="41" t="str">
        <f aca="false">IF(C2193="","",IFERROR(IF(ISNUMBER(SEARCH(Assumptions!$C$5,C2193)),Assumptions!$D$5,IF(ISNUMBER(SEARCH(Assumptions!$C$6,C2193)),Assumptions!$D$6,IF(ISNUMBER(SEARCH(Assumptions!$C$7,C2193)),Assumptions!$D$7,"Other Services"))),"Other Services"))</f>
        <v/>
      </c>
    </row>
    <row r="2194" customFormat="false" ht="15" hidden="false" customHeight="false" outlineLevel="0" collapsed="false">
      <c r="F2194" s="41" t="str">
        <f aca="false">IF(C2194="","",IFERROR(IF(ISNUMBER(SEARCH(Assumptions!$C$5,C2194)),Assumptions!$D$5,IF(ISNUMBER(SEARCH(Assumptions!$C$6,C2194)),Assumptions!$D$6,IF(ISNUMBER(SEARCH(Assumptions!$C$7,C2194)),Assumptions!$D$7,"Other Services"))),"Other Services"))</f>
        <v/>
      </c>
    </row>
    <row r="2195" customFormat="false" ht="15" hidden="false" customHeight="false" outlineLevel="0" collapsed="false">
      <c r="F2195" s="41" t="str">
        <f aca="false">IF(C2195="","",IFERROR(IF(ISNUMBER(SEARCH(Assumptions!$C$5,C2195)),Assumptions!$D$5,IF(ISNUMBER(SEARCH(Assumptions!$C$6,C2195)),Assumptions!$D$6,IF(ISNUMBER(SEARCH(Assumptions!$C$7,C2195)),Assumptions!$D$7,"Other Services"))),"Other Services"))</f>
        <v/>
      </c>
    </row>
    <row r="2196" customFormat="false" ht="15" hidden="false" customHeight="false" outlineLevel="0" collapsed="false">
      <c r="F2196" s="41" t="str">
        <f aca="false">IF(C2196="","",IFERROR(IF(ISNUMBER(SEARCH(Assumptions!$C$5,C2196)),Assumptions!$D$5,IF(ISNUMBER(SEARCH(Assumptions!$C$6,C2196)),Assumptions!$D$6,IF(ISNUMBER(SEARCH(Assumptions!$C$7,C2196)),Assumptions!$D$7,"Other Services"))),"Other Services"))</f>
        <v/>
      </c>
    </row>
    <row r="2197" customFormat="false" ht="15" hidden="false" customHeight="false" outlineLevel="0" collapsed="false">
      <c r="F2197" s="41" t="str">
        <f aca="false">IF(C2197="","",IFERROR(IF(ISNUMBER(SEARCH(Assumptions!$C$5,C2197)),Assumptions!$D$5,IF(ISNUMBER(SEARCH(Assumptions!$C$6,C2197)),Assumptions!$D$6,IF(ISNUMBER(SEARCH(Assumptions!$C$7,C2197)),Assumptions!$D$7,"Other Services"))),"Other Services"))</f>
        <v/>
      </c>
    </row>
    <row r="2198" customFormat="false" ht="15" hidden="false" customHeight="false" outlineLevel="0" collapsed="false">
      <c r="F2198" s="41" t="str">
        <f aca="false">IF(C2198="","",IFERROR(IF(ISNUMBER(SEARCH(Assumptions!$C$5,C2198)),Assumptions!$D$5,IF(ISNUMBER(SEARCH(Assumptions!$C$6,C2198)),Assumptions!$D$6,IF(ISNUMBER(SEARCH(Assumptions!$C$7,C2198)),Assumptions!$D$7,"Other Services"))),"Other Services"))</f>
        <v/>
      </c>
    </row>
    <row r="2199" customFormat="false" ht="15" hidden="false" customHeight="false" outlineLevel="0" collapsed="false">
      <c r="F2199" s="41" t="str">
        <f aca="false">IF(C2199="","",IFERROR(IF(ISNUMBER(SEARCH(Assumptions!$C$5,C2199)),Assumptions!$D$5,IF(ISNUMBER(SEARCH(Assumptions!$C$6,C2199)),Assumptions!$D$6,IF(ISNUMBER(SEARCH(Assumptions!$C$7,C2199)),Assumptions!$D$7,"Other Services"))),"Other Services"))</f>
        <v/>
      </c>
    </row>
    <row r="2200" customFormat="false" ht="15" hidden="false" customHeight="false" outlineLevel="0" collapsed="false">
      <c r="F2200" s="41" t="str">
        <f aca="false">IF(C2200="","",IFERROR(IF(ISNUMBER(SEARCH(Assumptions!$C$5,C2200)),Assumptions!$D$5,IF(ISNUMBER(SEARCH(Assumptions!$C$6,C2200)),Assumptions!$D$6,IF(ISNUMBER(SEARCH(Assumptions!$C$7,C2200)),Assumptions!$D$7,"Other Services"))),"Other Services"))</f>
        <v/>
      </c>
    </row>
    <row r="2201" customFormat="false" ht="15" hidden="false" customHeight="false" outlineLevel="0" collapsed="false">
      <c r="F2201" s="41" t="str">
        <f aca="false">IF(C2201="","",IFERROR(IF(ISNUMBER(SEARCH(Assumptions!$C$5,C2201)),Assumptions!$D$5,IF(ISNUMBER(SEARCH(Assumptions!$C$6,C2201)),Assumptions!$D$6,IF(ISNUMBER(SEARCH(Assumptions!$C$7,C2201)),Assumptions!$D$7,"Other Services"))),"Other Services"))</f>
        <v/>
      </c>
    </row>
    <row r="2202" customFormat="false" ht="15" hidden="false" customHeight="false" outlineLevel="0" collapsed="false">
      <c r="F2202" s="41" t="str">
        <f aca="false">IF(C2202="","",IFERROR(IF(ISNUMBER(SEARCH(Assumptions!$C$5,C2202)),Assumptions!$D$5,IF(ISNUMBER(SEARCH(Assumptions!$C$6,C2202)),Assumptions!$D$6,IF(ISNUMBER(SEARCH(Assumptions!$C$7,C2202)),Assumptions!$D$7,"Other Services"))),"Other Services"))</f>
        <v/>
      </c>
    </row>
    <row r="2203" customFormat="false" ht="15" hidden="false" customHeight="false" outlineLevel="0" collapsed="false">
      <c r="F2203" s="41" t="str">
        <f aca="false">IF(C2203="","",IFERROR(IF(ISNUMBER(SEARCH(Assumptions!$C$5,C2203)),Assumptions!$D$5,IF(ISNUMBER(SEARCH(Assumptions!$C$6,C2203)),Assumptions!$D$6,IF(ISNUMBER(SEARCH(Assumptions!$C$7,C2203)),Assumptions!$D$7,"Other Services"))),"Other Services"))</f>
        <v/>
      </c>
    </row>
    <row r="2204" customFormat="false" ht="15" hidden="false" customHeight="false" outlineLevel="0" collapsed="false">
      <c r="F2204" s="41" t="str">
        <f aca="false">IF(C2204="","",IFERROR(IF(ISNUMBER(SEARCH(Assumptions!$C$5,C2204)),Assumptions!$D$5,IF(ISNUMBER(SEARCH(Assumptions!$C$6,C2204)),Assumptions!$D$6,IF(ISNUMBER(SEARCH(Assumptions!$C$7,C2204)),Assumptions!$D$7,"Other Services"))),"Other Services"))</f>
        <v/>
      </c>
    </row>
    <row r="2205" customFormat="false" ht="15" hidden="false" customHeight="false" outlineLevel="0" collapsed="false">
      <c r="F2205" s="41" t="str">
        <f aca="false">IF(C2205="","",IFERROR(IF(ISNUMBER(SEARCH(Assumptions!$C$5,C2205)),Assumptions!$D$5,IF(ISNUMBER(SEARCH(Assumptions!$C$6,C2205)),Assumptions!$D$6,IF(ISNUMBER(SEARCH(Assumptions!$C$7,C2205)),Assumptions!$D$7,"Other Services"))),"Other Services"))</f>
        <v/>
      </c>
    </row>
    <row r="2206" customFormat="false" ht="15" hidden="false" customHeight="false" outlineLevel="0" collapsed="false">
      <c r="F2206" s="41" t="str">
        <f aca="false">IF(C2206="","",IFERROR(IF(ISNUMBER(SEARCH(Assumptions!$C$5,C2206)),Assumptions!$D$5,IF(ISNUMBER(SEARCH(Assumptions!$C$6,C2206)),Assumptions!$D$6,IF(ISNUMBER(SEARCH(Assumptions!$C$7,C2206)),Assumptions!$D$7,"Other Services"))),"Other Services"))</f>
        <v/>
      </c>
    </row>
    <row r="2207" customFormat="false" ht="15" hidden="false" customHeight="false" outlineLevel="0" collapsed="false">
      <c r="F2207" s="41" t="str">
        <f aca="false">IF(C2207="","",IFERROR(IF(ISNUMBER(SEARCH(Assumptions!$C$5,C2207)),Assumptions!$D$5,IF(ISNUMBER(SEARCH(Assumptions!$C$6,C2207)),Assumptions!$D$6,IF(ISNUMBER(SEARCH(Assumptions!$C$7,C2207)),Assumptions!$D$7,"Other Services"))),"Other Services"))</f>
        <v/>
      </c>
    </row>
    <row r="2208" customFormat="false" ht="15" hidden="false" customHeight="false" outlineLevel="0" collapsed="false">
      <c r="F2208" s="41" t="str">
        <f aca="false">IF(C2208="","",IFERROR(IF(ISNUMBER(SEARCH(Assumptions!$C$5,C2208)),Assumptions!$D$5,IF(ISNUMBER(SEARCH(Assumptions!$C$6,C2208)),Assumptions!$D$6,IF(ISNUMBER(SEARCH(Assumptions!$C$7,C2208)),Assumptions!$D$7,"Other Services"))),"Other Services"))</f>
        <v/>
      </c>
    </row>
    <row r="2209" customFormat="false" ht="15" hidden="false" customHeight="false" outlineLevel="0" collapsed="false">
      <c r="F2209" s="41" t="str">
        <f aca="false">IF(C2209="","",IFERROR(IF(ISNUMBER(SEARCH(Assumptions!$C$5,C2209)),Assumptions!$D$5,IF(ISNUMBER(SEARCH(Assumptions!$C$6,C2209)),Assumptions!$D$6,IF(ISNUMBER(SEARCH(Assumptions!$C$7,C2209)),Assumptions!$D$7,"Other Services"))),"Other Services"))</f>
        <v/>
      </c>
    </row>
    <row r="2210" customFormat="false" ht="15" hidden="false" customHeight="false" outlineLevel="0" collapsed="false">
      <c r="F2210" s="41" t="str">
        <f aca="false">IF(C2210="","",IFERROR(IF(ISNUMBER(SEARCH(Assumptions!$C$5,C2210)),Assumptions!$D$5,IF(ISNUMBER(SEARCH(Assumptions!$C$6,C2210)),Assumptions!$D$6,IF(ISNUMBER(SEARCH(Assumptions!$C$7,C2210)),Assumptions!$D$7,"Other Services"))),"Other Services"))</f>
        <v/>
      </c>
    </row>
    <row r="2211" customFormat="false" ht="15" hidden="false" customHeight="false" outlineLevel="0" collapsed="false">
      <c r="F2211" s="41" t="str">
        <f aca="false">IF(C2211="","",IFERROR(IF(ISNUMBER(SEARCH(Assumptions!$C$5,C2211)),Assumptions!$D$5,IF(ISNUMBER(SEARCH(Assumptions!$C$6,C2211)),Assumptions!$D$6,IF(ISNUMBER(SEARCH(Assumptions!$C$7,C2211)),Assumptions!$D$7,"Other Services"))),"Other Services"))</f>
        <v/>
      </c>
    </row>
    <row r="2212" customFormat="false" ht="15" hidden="false" customHeight="false" outlineLevel="0" collapsed="false">
      <c r="F2212" s="41" t="str">
        <f aca="false">IF(C2212="","",IFERROR(IF(ISNUMBER(SEARCH(Assumptions!$C$5,C2212)),Assumptions!$D$5,IF(ISNUMBER(SEARCH(Assumptions!$C$6,C2212)),Assumptions!$D$6,IF(ISNUMBER(SEARCH(Assumptions!$C$7,C2212)),Assumptions!$D$7,"Other Services"))),"Other Services"))</f>
        <v/>
      </c>
    </row>
    <row r="2213" customFormat="false" ht="15" hidden="false" customHeight="false" outlineLevel="0" collapsed="false">
      <c r="F2213" s="41" t="str">
        <f aca="false">IF(C2213="","",IFERROR(IF(ISNUMBER(SEARCH(Assumptions!$C$5,C2213)),Assumptions!$D$5,IF(ISNUMBER(SEARCH(Assumptions!$C$6,C2213)),Assumptions!$D$6,IF(ISNUMBER(SEARCH(Assumptions!$C$7,C2213)),Assumptions!$D$7,"Other Services"))),"Other Services"))</f>
        <v/>
      </c>
    </row>
    <row r="2214" customFormat="false" ht="15" hidden="false" customHeight="false" outlineLevel="0" collapsed="false">
      <c r="F2214" s="41" t="str">
        <f aca="false">IF(C2214="","",IFERROR(IF(ISNUMBER(SEARCH(Assumptions!$C$5,C2214)),Assumptions!$D$5,IF(ISNUMBER(SEARCH(Assumptions!$C$6,C2214)),Assumptions!$D$6,IF(ISNUMBER(SEARCH(Assumptions!$C$7,C2214)),Assumptions!$D$7,"Other Services"))),"Other Services"))</f>
        <v/>
      </c>
    </row>
    <row r="2215" customFormat="false" ht="15" hidden="false" customHeight="false" outlineLevel="0" collapsed="false">
      <c r="F2215" s="41" t="str">
        <f aca="false">IF(C2215="","",IFERROR(IF(ISNUMBER(SEARCH(Assumptions!$C$5,C2215)),Assumptions!$D$5,IF(ISNUMBER(SEARCH(Assumptions!$C$6,C2215)),Assumptions!$D$6,IF(ISNUMBER(SEARCH(Assumptions!$C$7,C2215)),Assumptions!$D$7,"Other Services"))),"Other Services"))</f>
        <v/>
      </c>
    </row>
    <row r="2216" customFormat="false" ht="15" hidden="false" customHeight="false" outlineLevel="0" collapsed="false">
      <c r="F2216" s="41" t="str">
        <f aca="false">IF(C2216="","",IFERROR(IF(ISNUMBER(SEARCH(Assumptions!$C$5,C2216)),Assumptions!$D$5,IF(ISNUMBER(SEARCH(Assumptions!$C$6,C2216)),Assumptions!$D$6,IF(ISNUMBER(SEARCH(Assumptions!$C$7,C2216)),Assumptions!$D$7,"Other Services"))),"Other Services"))</f>
        <v/>
      </c>
    </row>
    <row r="2217" customFormat="false" ht="15" hidden="false" customHeight="false" outlineLevel="0" collapsed="false">
      <c r="F2217" s="41" t="str">
        <f aca="false">IF(C2217="","",IFERROR(IF(ISNUMBER(SEARCH(Assumptions!$C$5,C2217)),Assumptions!$D$5,IF(ISNUMBER(SEARCH(Assumptions!$C$6,C2217)),Assumptions!$D$6,IF(ISNUMBER(SEARCH(Assumptions!$C$7,C2217)),Assumptions!$D$7,"Other Services"))),"Other Services"))</f>
        <v/>
      </c>
    </row>
    <row r="2218" customFormat="false" ht="15" hidden="false" customHeight="false" outlineLevel="0" collapsed="false">
      <c r="F2218" s="41" t="str">
        <f aca="false">IF(C2218="","",IFERROR(IF(ISNUMBER(SEARCH(Assumptions!$C$5,C2218)),Assumptions!$D$5,IF(ISNUMBER(SEARCH(Assumptions!$C$6,C2218)),Assumptions!$D$6,IF(ISNUMBER(SEARCH(Assumptions!$C$7,C2218)),Assumptions!$D$7,"Other Services"))),"Other Services"))</f>
        <v/>
      </c>
    </row>
    <row r="2219" customFormat="false" ht="15" hidden="false" customHeight="false" outlineLevel="0" collapsed="false">
      <c r="F2219" s="41" t="str">
        <f aca="false">IF(C2219="","",IFERROR(IF(ISNUMBER(SEARCH(Assumptions!$C$5,C2219)),Assumptions!$D$5,IF(ISNUMBER(SEARCH(Assumptions!$C$6,C2219)),Assumptions!$D$6,IF(ISNUMBER(SEARCH(Assumptions!$C$7,C2219)),Assumptions!$D$7,"Other Services"))),"Other Services"))</f>
        <v/>
      </c>
    </row>
    <row r="2220" customFormat="false" ht="15" hidden="false" customHeight="false" outlineLevel="0" collapsed="false">
      <c r="F2220" s="41" t="str">
        <f aca="false">IF(C2220="","",IFERROR(IF(ISNUMBER(SEARCH(Assumptions!$C$5,C2220)),Assumptions!$D$5,IF(ISNUMBER(SEARCH(Assumptions!$C$6,C2220)),Assumptions!$D$6,IF(ISNUMBER(SEARCH(Assumptions!$C$7,C2220)),Assumptions!$D$7,"Other Services"))),"Other Services"))</f>
        <v/>
      </c>
    </row>
    <row r="2221" customFormat="false" ht="15" hidden="false" customHeight="false" outlineLevel="0" collapsed="false">
      <c r="F2221" s="41" t="str">
        <f aca="false">IF(C2221="","",IFERROR(IF(ISNUMBER(SEARCH(Assumptions!$C$5,C2221)),Assumptions!$D$5,IF(ISNUMBER(SEARCH(Assumptions!$C$6,C2221)),Assumptions!$D$6,IF(ISNUMBER(SEARCH(Assumptions!$C$7,C2221)),Assumptions!$D$7,"Other Services"))),"Other Services"))</f>
        <v/>
      </c>
    </row>
    <row r="2222" customFormat="false" ht="15" hidden="false" customHeight="false" outlineLevel="0" collapsed="false">
      <c r="F2222" s="41" t="str">
        <f aca="false">IF(C2222="","",IFERROR(IF(ISNUMBER(SEARCH(Assumptions!$C$5,C2222)),Assumptions!$D$5,IF(ISNUMBER(SEARCH(Assumptions!$C$6,C2222)),Assumptions!$D$6,IF(ISNUMBER(SEARCH(Assumptions!$C$7,C2222)),Assumptions!$D$7,"Other Services"))),"Other Services"))</f>
        <v/>
      </c>
    </row>
    <row r="2223" customFormat="false" ht="15" hidden="false" customHeight="false" outlineLevel="0" collapsed="false">
      <c r="F2223" s="41" t="str">
        <f aca="false">IF(C2223="","",IFERROR(IF(ISNUMBER(SEARCH(Assumptions!$C$5,C2223)),Assumptions!$D$5,IF(ISNUMBER(SEARCH(Assumptions!$C$6,C2223)),Assumptions!$D$6,IF(ISNUMBER(SEARCH(Assumptions!$C$7,C2223)),Assumptions!$D$7,"Other Services"))),"Other Services"))</f>
        <v/>
      </c>
    </row>
    <row r="2224" customFormat="false" ht="15" hidden="false" customHeight="false" outlineLevel="0" collapsed="false">
      <c r="F2224" s="41" t="str">
        <f aca="false">IF(C2224="","",IFERROR(IF(ISNUMBER(SEARCH(Assumptions!$C$5,C2224)),Assumptions!$D$5,IF(ISNUMBER(SEARCH(Assumptions!$C$6,C2224)),Assumptions!$D$6,IF(ISNUMBER(SEARCH(Assumptions!$C$7,C2224)),Assumptions!$D$7,"Other Services"))),"Other Services"))</f>
        <v/>
      </c>
    </row>
    <row r="2225" customFormat="false" ht="15" hidden="false" customHeight="false" outlineLevel="0" collapsed="false">
      <c r="F2225" s="41" t="str">
        <f aca="false">IF(C2225="","",IFERROR(IF(ISNUMBER(SEARCH(Assumptions!$C$5,C2225)),Assumptions!$D$5,IF(ISNUMBER(SEARCH(Assumptions!$C$6,C2225)),Assumptions!$D$6,IF(ISNUMBER(SEARCH(Assumptions!$C$7,C2225)),Assumptions!$D$7,"Other Services"))),"Other Services"))</f>
        <v/>
      </c>
    </row>
    <row r="2226" customFormat="false" ht="15" hidden="false" customHeight="false" outlineLevel="0" collapsed="false">
      <c r="F2226" s="41" t="str">
        <f aca="false">IF(C2226="","",IFERROR(IF(ISNUMBER(SEARCH(Assumptions!$C$5,C2226)),Assumptions!$D$5,IF(ISNUMBER(SEARCH(Assumptions!$C$6,C2226)),Assumptions!$D$6,IF(ISNUMBER(SEARCH(Assumptions!$C$7,C2226)),Assumptions!$D$7,"Other Services"))),"Other Services"))</f>
        <v/>
      </c>
    </row>
    <row r="2227" customFormat="false" ht="15" hidden="false" customHeight="false" outlineLevel="0" collapsed="false">
      <c r="F2227" s="41" t="str">
        <f aca="false">IF(C2227="","",IFERROR(IF(ISNUMBER(SEARCH(Assumptions!$C$5,C2227)),Assumptions!$D$5,IF(ISNUMBER(SEARCH(Assumptions!$C$6,C2227)),Assumptions!$D$6,IF(ISNUMBER(SEARCH(Assumptions!$C$7,C2227)),Assumptions!$D$7,"Other Services"))),"Other Services"))</f>
        <v/>
      </c>
    </row>
    <row r="2228" customFormat="false" ht="15" hidden="false" customHeight="false" outlineLevel="0" collapsed="false">
      <c r="F2228" s="41" t="str">
        <f aca="false">IF(C2228="","",IFERROR(IF(ISNUMBER(SEARCH(Assumptions!$C$5,C2228)),Assumptions!$D$5,IF(ISNUMBER(SEARCH(Assumptions!$C$6,C2228)),Assumptions!$D$6,IF(ISNUMBER(SEARCH(Assumptions!$C$7,C2228)),Assumptions!$D$7,"Other Services"))),"Other Services"))</f>
        <v/>
      </c>
    </row>
    <row r="2229" customFormat="false" ht="15" hidden="false" customHeight="false" outlineLevel="0" collapsed="false">
      <c r="F2229" s="41" t="str">
        <f aca="false">IF(C2229="","",IFERROR(IF(ISNUMBER(SEARCH(Assumptions!$C$5,C2229)),Assumptions!$D$5,IF(ISNUMBER(SEARCH(Assumptions!$C$6,C2229)),Assumptions!$D$6,IF(ISNUMBER(SEARCH(Assumptions!$C$7,C2229)),Assumptions!$D$7,"Other Services"))),"Other Services"))</f>
        <v/>
      </c>
    </row>
    <row r="2230" customFormat="false" ht="15" hidden="false" customHeight="false" outlineLevel="0" collapsed="false">
      <c r="F2230" s="41" t="str">
        <f aca="false">IF(C2230="","",IFERROR(IF(ISNUMBER(SEARCH(Assumptions!$C$5,C2230)),Assumptions!$D$5,IF(ISNUMBER(SEARCH(Assumptions!$C$6,C2230)),Assumptions!$D$6,IF(ISNUMBER(SEARCH(Assumptions!$C$7,C2230)),Assumptions!$D$7,"Other Services"))),"Other Services"))</f>
        <v/>
      </c>
    </row>
    <row r="2231" customFormat="false" ht="15" hidden="false" customHeight="false" outlineLevel="0" collapsed="false">
      <c r="F2231" s="41" t="str">
        <f aca="false">IF(C2231="","",IFERROR(IF(ISNUMBER(SEARCH(Assumptions!$C$5,C2231)),Assumptions!$D$5,IF(ISNUMBER(SEARCH(Assumptions!$C$6,C2231)),Assumptions!$D$6,IF(ISNUMBER(SEARCH(Assumptions!$C$7,C2231)),Assumptions!$D$7,"Other Services"))),"Other Services"))</f>
        <v/>
      </c>
    </row>
    <row r="2232" customFormat="false" ht="15" hidden="false" customHeight="false" outlineLevel="0" collapsed="false">
      <c r="F2232" s="41" t="str">
        <f aca="false">IF(C2232="","",IFERROR(IF(ISNUMBER(SEARCH(Assumptions!$C$5,C2232)),Assumptions!$D$5,IF(ISNUMBER(SEARCH(Assumptions!$C$6,C2232)),Assumptions!$D$6,IF(ISNUMBER(SEARCH(Assumptions!$C$7,C2232)),Assumptions!$D$7,"Other Services"))),"Other Services"))</f>
        <v/>
      </c>
    </row>
    <row r="2233" customFormat="false" ht="15" hidden="false" customHeight="false" outlineLevel="0" collapsed="false">
      <c r="F2233" s="41" t="str">
        <f aca="false">IF(C2233="","",IFERROR(IF(ISNUMBER(SEARCH(Assumptions!$C$5,C2233)),Assumptions!$D$5,IF(ISNUMBER(SEARCH(Assumptions!$C$6,C2233)),Assumptions!$D$6,IF(ISNUMBER(SEARCH(Assumptions!$C$7,C2233)),Assumptions!$D$7,"Other Services"))),"Other Services"))</f>
        <v/>
      </c>
    </row>
    <row r="2234" customFormat="false" ht="15" hidden="false" customHeight="false" outlineLevel="0" collapsed="false">
      <c r="F2234" s="41" t="str">
        <f aca="false">IF(C2234="","",IFERROR(IF(ISNUMBER(SEARCH(Assumptions!$C$5,C2234)),Assumptions!$D$5,IF(ISNUMBER(SEARCH(Assumptions!$C$6,C2234)),Assumptions!$D$6,IF(ISNUMBER(SEARCH(Assumptions!$C$7,C2234)),Assumptions!$D$7,"Other Services"))),"Other Services"))</f>
        <v/>
      </c>
    </row>
    <row r="2235" customFormat="false" ht="15" hidden="false" customHeight="false" outlineLevel="0" collapsed="false">
      <c r="F2235" s="41" t="str">
        <f aca="false">IF(C2235="","",IFERROR(IF(ISNUMBER(SEARCH(Assumptions!$C$5,C2235)),Assumptions!$D$5,IF(ISNUMBER(SEARCH(Assumptions!$C$6,C2235)),Assumptions!$D$6,IF(ISNUMBER(SEARCH(Assumptions!$C$7,C2235)),Assumptions!$D$7,"Other Services"))),"Other Services"))</f>
        <v/>
      </c>
    </row>
    <row r="2236" customFormat="false" ht="15" hidden="false" customHeight="false" outlineLevel="0" collapsed="false">
      <c r="F2236" s="41" t="str">
        <f aca="false">IF(C2236="","",IFERROR(IF(ISNUMBER(SEARCH(Assumptions!$C$5,C2236)),Assumptions!$D$5,IF(ISNUMBER(SEARCH(Assumptions!$C$6,C2236)),Assumptions!$D$6,IF(ISNUMBER(SEARCH(Assumptions!$C$7,C2236)),Assumptions!$D$7,"Other Services"))),"Other Services"))</f>
        <v/>
      </c>
    </row>
    <row r="2237" customFormat="false" ht="15" hidden="false" customHeight="false" outlineLevel="0" collapsed="false">
      <c r="F2237" s="41" t="str">
        <f aca="false">IF(C2237="","",IFERROR(IF(ISNUMBER(SEARCH(Assumptions!$C$5,C2237)),Assumptions!$D$5,IF(ISNUMBER(SEARCH(Assumptions!$C$6,C2237)),Assumptions!$D$6,IF(ISNUMBER(SEARCH(Assumptions!$C$7,C2237)),Assumptions!$D$7,"Other Services"))),"Other Services"))</f>
        <v/>
      </c>
    </row>
    <row r="2238" customFormat="false" ht="15" hidden="false" customHeight="false" outlineLevel="0" collapsed="false">
      <c r="F2238" s="41" t="str">
        <f aca="false">IF(C2238="","",IFERROR(IF(ISNUMBER(SEARCH(Assumptions!$C$5,C2238)),Assumptions!$D$5,IF(ISNUMBER(SEARCH(Assumptions!$C$6,C2238)),Assumptions!$D$6,IF(ISNUMBER(SEARCH(Assumptions!$C$7,C2238)),Assumptions!$D$7,"Other Services"))),"Other Services"))</f>
        <v/>
      </c>
    </row>
    <row r="2239" customFormat="false" ht="15" hidden="false" customHeight="false" outlineLevel="0" collapsed="false">
      <c r="F2239" s="41" t="str">
        <f aca="false">IF(C2239="","",IFERROR(IF(ISNUMBER(SEARCH(Assumptions!$C$5,C2239)),Assumptions!$D$5,IF(ISNUMBER(SEARCH(Assumptions!$C$6,C2239)),Assumptions!$D$6,IF(ISNUMBER(SEARCH(Assumptions!$C$7,C2239)),Assumptions!$D$7,"Other Services"))),"Other Services"))</f>
        <v/>
      </c>
    </row>
    <row r="2240" customFormat="false" ht="15" hidden="false" customHeight="false" outlineLevel="0" collapsed="false">
      <c r="F2240" s="41" t="str">
        <f aca="false">IF(C2240="","",IFERROR(IF(ISNUMBER(SEARCH(Assumptions!$C$5,C2240)),Assumptions!$D$5,IF(ISNUMBER(SEARCH(Assumptions!$C$6,C2240)),Assumptions!$D$6,IF(ISNUMBER(SEARCH(Assumptions!$C$7,C2240)),Assumptions!$D$7,"Other Services"))),"Other Services"))</f>
        <v/>
      </c>
    </row>
    <row r="2241" customFormat="false" ht="15" hidden="false" customHeight="false" outlineLevel="0" collapsed="false">
      <c r="F2241" s="41" t="str">
        <f aca="false">IF(C2241="","",IFERROR(IF(ISNUMBER(SEARCH(Assumptions!$C$5,C2241)),Assumptions!$D$5,IF(ISNUMBER(SEARCH(Assumptions!$C$6,C2241)),Assumptions!$D$6,IF(ISNUMBER(SEARCH(Assumptions!$C$7,C2241)),Assumptions!$D$7,"Other Services"))),"Other Services"))</f>
        <v/>
      </c>
    </row>
    <row r="2242" customFormat="false" ht="15" hidden="false" customHeight="false" outlineLevel="0" collapsed="false">
      <c r="F2242" s="41" t="str">
        <f aca="false">IF(C2242="","",IFERROR(IF(ISNUMBER(SEARCH(Assumptions!$C$5,C2242)),Assumptions!$D$5,IF(ISNUMBER(SEARCH(Assumptions!$C$6,C2242)),Assumptions!$D$6,IF(ISNUMBER(SEARCH(Assumptions!$C$7,C2242)),Assumptions!$D$7,"Other Services"))),"Other Services"))</f>
        <v/>
      </c>
    </row>
    <row r="2243" customFormat="false" ht="15" hidden="false" customHeight="false" outlineLevel="0" collapsed="false">
      <c r="F2243" s="41" t="str">
        <f aca="false">IF(C2243="","",IFERROR(IF(ISNUMBER(SEARCH(Assumptions!$C$5,C2243)),Assumptions!$D$5,IF(ISNUMBER(SEARCH(Assumptions!$C$6,C2243)),Assumptions!$D$6,IF(ISNUMBER(SEARCH(Assumptions!$C$7,C2243)),Assumptions!$D$7,"Other Services"))),"Other Services"))</f>
        <v/>
      </c>
    </row>
    <row r="2244" customFormat="false" ht="15" hidden="false" customHeight="false" outlineLevel="0" collapsed="false">
      <c r="F2244" s="41" t="str">
        <f aca="false">IF(C2244="","",IFERROR(IF(ISNUMBER(SEARCH(Assumptions!$C$5,C2244)),Assumptions!$D$5,IF(ISNUMBER(SEARCH(Assumptions!$C$6,C2244)),Assumptions!$D$6,IF(ISNUMBER(SEARCH(Assumptions!$C$7,C2244)),Assumptions!$D$7,"Other Services"))),"Other Services"))</f>
        <v/>
      </c>
    </row>
    <row r="2245" customFormat="false" ht="15" hidden="false" customHeight="false" outlineLevel="0" collapsed="false">
      <c r="F2245" s="41" t="str">
        <f aca="false">IF(C2245="","",IFERROR(IF(ISNUMBER(SEARCH(Assumptions!$C$5,C2245)),Assumptions!$D$5,IF(ISNUMBER(SEARCH(Assumptions!$C$6,C2245)),Assumptions!$D$6,IF(ISNUMBER(SEARCH(Assumptions!$C$7,C2245)),Assumptions!$D$7,"Other Services"))),"Other Services"))</f>
        <v/>
      </c>
    </row>
    <row r="2246" customFormat="false" ht="15" hidden="false" customHeight="false" outlineLevel="0" collapsed="false">
      <c r="F2246" s="41" t="str">
        <f aca="false">IF(C2246="","",IFERROR(IF(ISNUMBER(SEARCH(Assumptions!$C$5,C2246)),Assumptions!$D$5,IF(ISNUMBER(SEARCH(Assumptions!$C$6,C2246)),Assumptions!$D$6,IF(ISNUMBER(SEARCH(Assumptions!$C$7,C2246)),Assumptions!$D$7,"Other Services"))),"Other Services"))</f>
        <v/>
      </c>
    </row>
    <row r="2247" customFormat="false" ht="15" hidden="false" customHeight="false" outlineLevel="0" collapsed="false">
      <c r="F2247" s="41" t="str">
        <f aca="false">IF(C2247="","",IFERROR(IF(ISNUMBER(SEARCH(Assumptions!$C$5,C2247)),Assumptions!$D$5,IF(ISNUMBER(SEARCH(Assumptions!$C$6,C2247)),Assumptions!$D$6,IF(ISNUMBER(SEARCH(Assumptions!$C$7,C2247)),Assumptions!$D$7,"Other Services"))),"Other Services"))</f>
        <v/>
      </c>
    </row>
    <row r="2248" customFormat="false" ht="15" hidden="false" customHeight="false" outlineLevel="0" collapsed="false">
      <c r="F2248" s="41" t="str">
        <f aca="false">IF(C2248="","",IFERROR(IF(ISNUMBER(SEARCH(Assumptions!$C$5,C2248)),Assumptions!$D$5,IF(ISNUMBER(SEARCH(Assumptions!$C$6,C2248)),Assumptions!$D$6,IF(ISNUMBER(SEARCH(Assumptions!$C$7,C2248)),Assumptions!$D$7,"Other Services"))),"Other Services"))</f>
        <v/>
      </c>
    </row>
    <row r="2249" customFormat="false" ht="15" hidden="false" customHeight="false" outlineLevel="0" collapsed="false">
      <c r="F2249" s="41" t="str">
        <f aca="false">IF(C2249="","",IFERROR(IF(ISNUMBER(SEARCH(Assumptions!$C$5,C2249)),Assumptions!$D$5,IF(ISNUMBER(SEARCH(Assumptions!$C$6,C2249)),Assumptions!$D$6,IF(ISNUMBER(SEARCH(Assumptions!$C$7,C2249)),Assumptions!$D$7,"Other Services"))),"Other Services"))</f>
        <v/>
      </c>
    </row>
    <row r="2250" customFormat="false" ht="15" hidden="false" customHeight="false" outlineLevel="0" collapsed="false">
      <c r="F2250" s="41" t="str">
        <f aca="false">IF(C2250="","",IFERROR(IF(ISNUMBER(SEARCH(Assumptions!$C$5,C2250)),Assumptions!$D$5,IF(ISNUMBER(SEARCH(Assumptions!$C$6,C2250)),Assumptions!$D$6,IF(ISNUMBER(SEARCH(Assumptions!$C$7,C2250)),Assumptions!$D$7,"Other Services"))),"Other Services"))</f>
        <v/>
      </c>
    </row>
    <row r="2251" customFormat="false" ht="15" hidden="false" customHeight="false" outlineLevel="0" collapsed="false">
      <c r="F2251" s="41" t="str">
        <f aca="false">IF(C2251="","",IFERROR(IF(ISNUMBER(SEARCH(Assumptions!$C$5,C2251)),Assumptions!$D$5,IF(ISNUMBER(SEARCH(Assumptions!$C$6,C2251)),Assumptions!$D$6,IF(ISNUMBER(SEARCH(Assumptions!$C$7,C2251)),Assumptions!$D$7,"Other Services"))),"Other Services"))</f>
        <v/>
      </c>
    </row>
    <row r="2252" customFormat="false" ht="15" hidden="false" customHeight="false" outlineLevel="0" collapsed="false">
      <c r="F2252" s="41" t="str">
        <f aca="false">IF(C2252="","",IFERROR(IF(ISNUMBER(SEARCH(Assumptions!$C$5,C2252)),Assumptions!$D$5,IF(ISNUMBER(SEARCH(Assumptions!$C$6,C2252)),Assumptions!$D$6,IF(ISNUMBER(SEARCH(Assumptions!$C$7,C2252)),Assumptions!$D$7,"Other Services"))),"Other Services"))</f>
        <v/>
      </c>
    </row>
    <row r="2253" customFormat="false" ht="15" hidden="false" customHeight="false" outlineLevel="0" collapsed="false">
      <c r="F2253" s="41" t="str">
        <f aca="false">IF(C2253="","",IFERROR(IF(ISNUMBER(SEARCH(Assumptions!$C$5,C2253)),Assumptions!$D$5,IF(ISNUMBER(SEARCH(Assumptions!$C$6,C2253)),Assumptions!$D$6,IF(ISNUMBER(SEARCH(Assumptions!$C$7,C2253)),Assumptions!$D$7,"Other Services"))),"Other Services"))</f>
        <v/>
      </c>
    </row>
    <row r="2254" customFormat="false" ht="15" hidden="false" customHeight="false" outlineLevel="0" collapsed="false">
      <c r="F2254" s="41" t="str">
        <f aca="false">IF(C2254="","",IFERROR(IF(ISNUMBER(SEARCH(Assumptions!$C$5,C2254)),Assumptions!$D$5,IF(ISNUMBER(SEARCH(Assumptions!$C$6,C2254)),Assumptions!$D$6,IF(ISNUMBER(SEARCH(Assumptions!$C$7,C2254)),Assumptions!$D$7,"Other Services"))),"Other Services"))</f>
        <v/>
      </c>
    </row>
    <row r="2255" customFormat="false" ht="15" hidden="false" customHeight="false" outlineLevel="0" collapsed="false">
      <c r="F2255" s="41" t="str">
        <f aca="false">IF(C2255="","",IFERROR(IF(ISNUMBER(SEARCH(Assumptions!$C$5,C2255)),Assumptions!$D$5,IF(ISNUMBER(SEARCH(Assumptions!$C$6,C2255)),Assumptions!$D$6,IF(ISNUMBER(SEARCH(Assumptions!$C$7,C2255)),Assumptions!$D$7,"Other Services"))),"Other Services"))</f>
        <v/>
      </c>
    </row>
    <row r="2256" customFormat="false" ht="15" hidden="false" customHeight="false" outlineLevel="0" collapsed="false">
      <c r="F2256" s="41" t="str">
        <f aca="false">IF(C2256="","",IFERROR(IF(ISNUMBER(SEARCH(Assumptions!$C$5,C2256)),Assumptions!$D$5,IF(ISNUMBER(SEARCH(Assumptions!$C$6,C2256)),Assumptions!$D$6,IF(ISNUMBER(SEARCH(Assumptions!$C$7,C2256)),Assumptions!$D$7,"Other Services"))),"Other Services"))</f>
        <v/>
      </c>
    </row>
    <row r="2257" customFormat="false" ht="15" hidden="false" customHeight="false" outlineLevel="0" collapsed="false">
      <c r="F2257" s="41" t="str">
        <f aca="false">IF(C2257="","",IFERROR(IF(ISNUMBER(SEARCH(Assumptions!$C$5,C2257)),Assumptions!$D$5,IF(ISNUMBER(SEARCH(Assumptions!$C$6,C2257)),Assumptions!$D$6,IF(ISNUMBER(SEARCH(Assumptions!$C$7,C2257)),Assumptions!$D$7,"Other Services"))),"Other Services"))</f>
        <v/>
      </c>
    </row>
    <row r="2258" customFormat="false" ht="15" hidden="false" customHeight="false" outlineLevel="0" collapsed="false">
      <c r="F2258" s="41" t="str">
        <f aca="false">IF(C2258="","",IFERROR(IF(ISNUMBER(SEARCH(Assumptions!$C$5,C2258)),Assumptions!$D$5,IF(ISNUMBER(SEARCH(Assumptions!$C$6,C2258)),Assumptions!$D$6,IF(ISNUMBER(SEARCH(Assumptions!$C$7,C2258)),Assumptions!$D$7,"Other Services"))),"Other Services"))</f>
        <v/>
      </c>
    </row>
    <row r="2259" customFormat="false" ht="15" hidden="false" customHeight="false" outlineLevel="0" collapsed="false">
      <c r="F2259" s="41" t="str">
        <f aca="false">IF(C2259="","",IFERROR(IF(ISNUMBER(SEARCH(Assumptions!$C$5,C2259)),Assumptions!$D$5,IF(ISNUMBER(SEARCH(Assumptions!$C$6,C2259)),Assumptions!$D$6,IF(ISNUMBER(SEARCH(Assumptions!$C$7,C2259)),Assumptions!$D$7,"Other Services"))),"Other Services"))</f>
        <v/>
      </c>
    </row>
    <row r="2260" customFormat="false" ht="15" hidden="false" customHeight="false" outlineLevel="0" collapsed="false">
      <c r="F2260" s="41" t="str">
        <f aca="false">IF(C2260="","",IFERROR(IF(ISNUMBER(SEARCH(Assumptions!$C$5,C2260)),Assumptions!$D$5,IF(ISNUMBER(SEARCH(Assumptions!$C$6,C2260)),Assumptions!$D$6,IF(ISNUMBER(SEARCH(Assumptions!$C$7,C2260)),Assumptions!$D$7,"Other Services"))),"Other Services"))</f>
        <v/>
      </c>
    </row>
    <row r="2261" customFormat="false" ht="15" hidden="false" customHeight="false" outlineLevel="0" collapsed="false">
      <c r="F2261" s="41" t="str">
        <f aca="false">IF(C2261="","",IFERROR(IF(ISNUMBER(SEARCH(Assumptions!$C$5,C2261)),Assumptions!$D$5,IF(ISNUMBER(SEARCH(Assumptions!$C$6,C2261)),Assumptions!$D$6,IF(ISNUMBER(SEARCH(Assumptions!$C$7,C2261)),Assumptions!$D$7,"Other Services"))),"Other Services"))</f>
        <v/>
      </c>
    </row>
    <row r="2262" customFormat="false" ht="15" hidden="false" customHeight="false" outlineLevel="0" collapsed="false">
      <c r="F2262" s="41" t="str">
        <f aca="false">IF(C2262="","",IFERROR(IF(ISNUMBER(SEARCH(Assumptions!$C$5,C2262)),Assumptions!$D$5,IF(ISNUMBER(SEARCH(Assumptions!$C$6,C2262)),Assumptions!$D$6,IF(ISNUMBER(SEARCH(Assumptions!$C$7,C2262)),Assumptions!$D$7,"Other Services"))),"Other Services"))</f>
        <v/>
      </c>
    </row>
    <row r="2263" customFormat="false" ht="15" hidden="false" customHeight="false" outlineLevel="0" collapsed="false">
      <c r="F2263" s="41" t="str">
        <f aca="false">IF(C2263="","",IFERROR(IF(ISNUMBER(SEARCH(Assumptions!$C$5,C2263)),Assumptions!$D$5,IF(ISNUMBER(SEARCH(Assumptions!$C$6,C2263)),Assumptions!$D$6,IF(ISNUMBER(SEARCH(Assumptions!$C$7,C2263)),Assumptions!$D$7,"Other Services"))),"Other Services"))</f>
        <v/>
      </c>
    </row>
    <row r="2264" customFormat="false" ht="15" hidden="false" customHeight="false" outlineLevel="0" collapsed="false">
      <c r="F2264" s="41" t="str">
        <f aca="false">IF(C2264="","",IFERROR(IF(ISNUMBER(SEARCH(Assumptions!$C$5,C2264)),Assumptions!$D$5,IF(ISNUMBER(SEARCH(Assumptions!$C$6,C2264)),Assumptions!$D$6,IF(ISNUMBER(SEARCH(Assumptions!$C$7,C2264)),Assumptions!$D$7,"Other Services"))),"Other Services"))</f>
        <v/>
      </c>
    </row>
    <row r="2265" customFormat="false" ht="15" hidden="false" customHeight="false" outlineLevel="0" collapsed="false">
      <c r="F2265" s="41" t="str">
        <f aca="false">IF(C2265="","",IFERROR(IF(ISNUMBER(SEARCH(Assumptions!$C$5,C2265)),Assumptions!$D$5,IF(ISNUMBER(SEARCH(Assumptions!$C$6,C2265)),Assumptions!$D$6,IF(ISNUMBER(SEARCH(Assumptions!$C$7,C2265)),Assumptions!$D$7,"Other Services"))),"Other Services"))</f>
        <v/>
      </c>
    </row>
    <row r="2266" customFormat="false" ht="15" hidden="false" customHeight="false" outlineLevel="0" collapsed="false">
      <c r="F2266" s="41" t="str">
        <f aca="false">IF(C2266="","",IFERROR(IF(ISNUMBER(SEARCH(Assumptions!$C$5,C2266)),Assumptions!$D$5,IF(ISNUMBER(SEARCH(Assumptions!$C$6,C2266)),Assumptions!$D$6,IF(ISNUMBER(SEARCH(Assumptions!$C$7,C2266)),Assumptions!$D$7,"Other Services"))),"Other Services"))</f>
        <v/>
      </c>
    </row>
    <row r="2267" customFormat="false" ht="15" hidden="false" customHeight="false" outlineLevel="0" collapsed="false">
      <c r="F2267" s="41" t="str">
        <f aca="false">IF(C2267="","",IFERROR(IF(ISNUMBER(SEARCH(Assumptions!$C$5,C2267)),Assumptions!$D$5,IF(ISNUMBER(SEARCH(Assumptions!$C$6,C2267)),Assumptions!$D$6,IF(ISNUMBER(SEARCH(Assumptions!$C$7,C2267)),Assumptions!$D$7,"Other Services"))),"Other Services"))</f>
        <v/>
      </c>
    </row>
    <row r="2268" customFormat="false" ht="15" hidden="false" customHeight="false" outlineLevel="0" collapsed="false">
      <c r="F2268" s="41" t="str">
        <f aca="false">IF(C2268="","",IFERROR(IF(ISNUMBER(SEARCH(Assumptions!$C$5,C2268)),Assumptions!$D$5,IF(ISNUMBER(SEARCH(Assumptions!$C$6,C2268)),Assumptions!$D$6,IF(ISNUMBER(SEARCH(Assumptions!$C$7,C2268)),Assumptions!$D$7,"Other Services"))),"Other Services"))</f>
        <v/>
      </c>
    </row>
    <row r="2269" customFormat="false" ht="15" hidden="false" customHeight="false" outlineLevel="0" collapsed="false">
      <c r="F2269" s="41" t="str">
        <f aca="false">IF(C2269="","",IFERROR(IF(ISNUMBER(SEARCH(Assumptions!$C$5,C2269)),Assumptions!$D$5,IF(ISNUMBER(SEARCH(Assumptions!$C$6,C2269)),Assumptions!$D$6,IF(ISNUMBER(SEARCH(Assumptions!$C$7,C2269)),Assumptions!$D$7,"Other Services"))),"Other Services"))</f>
        <v/>
      </c>
    </row>
    <row r="2270" customFormat="false" ht="15" hidden="false" customHeight="false" outlineLevel="0" collapsed="false">
      <c r="F2270" s="41" t="str">
        <f aca="false">IF(C2270="","",IFERROR(IF(ISNUMBER(SEARCH(Assumptions!$C$5,C2270)),Assumptions!$D$5,IF(ISNUMBER(SEARCH(Assumptions!$C$6,C2270)),Assumptions!$D$6,IF(ISNUMBER(SEARCH(Assumptions!$C$7,C2270)),Assumptions!$D$7,"Other Services"))),"Other Services"))</f>
        <v/>
      </c>
    </row>
    <row r="2271" customFormat="false" ht="15" hidden="false" customHeight="false" outlineLevel="0" collapsed="false">
      <c r="F2271" s="41" t="str">
        <f aca="false">IF(C2271="","",IFERROR(IF(ISNUMBER(SEARCH(Assumptions!$C$5,C2271)),Assumptions!$D$5,IF(ISNUMBER(SEARCH(Assumptions!$C$6,C2271)),Assumptions!$D$6,IF(ISNUMBER(SEARCH(Assumptions!$C$7,C2271)),Assumptions!$D$7,"Other Services"))),"Other Services"))</f>
        <v/>
      </c>
    </row>
    <row r="2272" customFormat="false" ht="15" hidden="false" customHeight="false" outlineLevel="0" collapsed="false">
      <c r="F2272" s="41" t="str">
        <f aca="false">IF(C2272="","",IFERROR(IF(ISNUMBER(SEARCH(Assumptions!$C$5,C2272)),Assumptions!$D$5,IF(ISNUMBER(SEARCH(Assumptions!$C$6,C2272)),Assumptions!$D$6,IF(ISNUMBER(SEARCH(Assumptions!$C$7,C2272)),Assumptions!$D$7,"Other Services"))),"Other Services"))</f>
        <v/>
      </c>
    </row>
    <row r="2273" customFormat="false" ht="15" hidden="false" customHeight="false" outlineLevel="0" collapsed="false">
      <c r="F2273" s="41" t="str">
        <f aca="false">IF(C2273="","",IFERROR(IF(ISNUMBER(SEARCH(Assumptions!$C$5,C2273)),Assumptions!$D$5,IF(ISNUMBER(SEARCH(Assumptions!$C$6,C2273)),Assumptions!$D$6,IF(ISNUMBER(SEARCH(Assumptions!$C$7,C2273)),Assumptions!$D$7,"Other Services"))),"Other Services"))</f>
        <v/>
      </c>
    </row>
    <row r="2274" customFormat="false" ht="15" hidden="false" customHeight="false" outlineLevel="0" collapsed="false">
      <c r="F2274" s="41" t="str">
        <f aca="false">IF(C2274="","",IFERROR(IF(ISNUMBER(SEARCH(Assumptions!$C$5,C2274)),Assumptions!$D$5,IF(ISNUMBER(SEARCH(Assumptions!$C$6,C2274)),Assumptions!$D$6,IF(ISNUMBER(SEARCH(Assumptions!$C$7,C2274)),Assumptions!$D$7,"Other Services"))),"Other Services"))</f>
        <v/>
      </c>
    </row>
    <row r="2275" customFormat="false" ht="15" hidden="false" customHeight="false" outlineLevel="0" collapsed="false">
      <c r="F2275" s="41" t="str">
        <f aca="false">IF(C2275="","",IFERROR(IF(ISNUMBER(SEARCH(Assumptions!$C$5,C2275)),Assumptions!$D$5,IF(ISNUMBER(SEARCH(Assumptions!$C$6,C2275)),Assumptions!$D$6,IF(ISNUMBER(SEARCH(Assumptions!$C$7,C2275)),Assumptions!$D$7,"Other Services"))),"Other Services"))</f>
        <v/>
      </c>
    </row>
    <row r="2276" customFormat="false" ht="15" hidden="false" customHeight="false" outlineLevel="0" collapsed="false">
      <c r="F2276" s="41" t="str">
        <f aca="false">IF(C2276="","",IFERROR(IF(ISNUMBER(SEARCH(Assumptions!$C$5,C2276)),Assumptions!$D$5,IF(ISNUMBER(SEARCH(Assumptions!$C$6,C2276)),Assumptions!$D$6,IF(ISNUMBER(SEARCH(Assumptions!$C$7,C2276)),Assumptions!$D$7,"Other Services"))),"Other Services"))</f>
        <v/>
      </c>
    </row>
    <row r="2277" customFormat="false" ht="15" hidden="false" customHeight="false" outlineLevel="0" collapsed="false">
      <c r="F2277" s="41" t="str">
        <f aca="false">IF(C2277="","",IFERROR(IF(ISNUMBER(SEARCH(Assumptions!$C$5,C2277)),Assumptions!$D$5,IF(ISNUMBER(SEARCH(Assumptions!$C$6,C2277)),Assumptions!$D$6,IF(ISNUMBER(SEARCH(Assumptions!$C$7,C2277)),Assumptions!$D$7,"Other Services"))),"Other Services"))</f>
        <v/>
      </c>
    </row>
    <row r="2278" customFormat="false" ht="15" hidden="false" customHeight="false" outlineLevel="0" collapsed="false">
      <c r="F2278" s="41" t="str">
        <f aca="false">IF(C2278="","",IFERROR(IF(ISNUMBER(SEARCH(Assumptions!$C$5,C2278)),Assumptions!$D$5,IF(ISNUMBER(SEARCH(Assumptions!$C$6,C2278)),Assumptions!$D$6,IF(ISNUMBER(SEARCH(Assumptions!$C$7,C2278)),Assumptions!$D$7,"Other Services"))),"Other Services"))</f>
        <v/>
      </c>
    </row>
    <row r="2279" customFormat="false" ht="15" hidden="false" customHeight="false" outlineLevel="0" collapsed="false">
      <c r="F2279" s="41" t="str">
        <f aca="false">IF(C2279="","",IFERROR(IF(ISNUMBER(SEARCH(Assumptions!$C$5,C2279)),Assumptions!$D$5,IF(ISNUMBER(SEARCH(Assumptions!$C$6,C2279)),Assumptions!$D$6,IF(ISNUMBER(SEARCH(Assumptions!$C$7,C2279)),Assumptions!$D$7,"Other Services"))),"Other Services"))</f>
        <v/>
      </c>
    </row>
    <row r="2280" customFormat="false" ht="15" hidden="false" customHeight="false" outlineLevel="0" collapsed="false">
      <c r="F2280" s="41" t="str">
        <f aca="false">IF(C2280="","",IFERROR(IF(ISNUMBER(SEARCH(Assumptions!$C$5,C2280)),Assumptions!$D$5,IF(ISNUMBER(SEARCH(Assumptions!$C$6,C2280)),Assumptions!$D$6,IF(ISNUMBER(SEARCH(Assumptions!$C$7,C2280)),Assumptions!$D$7,"Other Services"))),"Other Services"))</f>
        <v/>
      </c>
    </row>
    <row r="2281" customFormat="false" ht="15" hidden="false" customHeight="false" outlineLevel="0" collapsed="false">
      <c r="F2281" s="41" t="str">
        <f aca="false">IF(C2281="","",IFERROR(IF(ISNUMBER(SEARCH(Assumptions!$C$5,C2281)),Assumptions!$D$5,IF(ISNUMBER(SEARCH(Assumptions!$C$6,C2281)),Assumptions!$D$6,IF(ISNUMBER(SEARCH(Assumptions!$C$7,C2281)),Assumptions!$D$7,"Other Services"))),"Other Services"))</f>
        <v/>
      </c>
    </row>
    <row r="2282" customFormat="false" ht="15" hidden="false" customHeight="false" outlineLevel="0" collapsed="false">
      <c r="F2282" s="41" t="str">
        <f aca="false">IF(C2282="","",IFERROR(IF(ISNUMBER(SEARCH(Assumptions!$C$5,C2282)),Assumptions!$D$5,IF(ISNUMBER(SEARCH(Assumptions!$C$6,C2282)),Assumptions!$D$6,IF(ISNUMBER(SEARCH(Assumptions!$C$7,C2282)),Assumptions!$D$7,"Other Services"))),"Other Services"))</f>
        <v/>
      </c>
    </row>
    <row r="2283" customFormat="false" ht="15" hidden="false" customHeight="false" outlineLevel="0" collapsed="false">
      <c r="F2283" s="41" t="str">
        <f aca="false">IF(C2283="","",IFERROR(IF(ISNUMBER(SEARCH(Assumptions!$C$5,C2283)),Assumptions!$D$5,IF(ISNUMBER(SEARCH(Assumptions!$C$6,C2283)),Assumptions!$D$6,IF(ISNUMBER(SEARCH(Assumptions!$C$7,C2283)),Assumptions!$D$7,"Other Services"))),"Other Services"))</f>
        <v/>
      </c>
    </row>
    <row r="2284" customFormat="false" ht="15" hidden="false" customHeight="false" outlineLevel="0" collapsed="false">
      <c r="F2284" s="41" t="str">
        <f aca="false">IF(C2284="","",IFERROR(IF(ISNUMBER(SEARCH(Assumptions!$C$5,C2284)),Assumptions!$D$5,IF(ISNUMBER(SEARCH(Assumptions!$C$6,C2284)),Assumptions!$D$6,IF(ISNUMBER(SEARCH(Assumptions!$C$7,C2284)),Assumptions!$D$7,"Other Services"))),"Other Services"))</f>
        <v/>
      </c>
    </row>
    <row r="2285" customFormat="false" ht="15" hidden="false" customHeight="false" outlineLevel="0" collapsed="false">
      <c r="F2285" s="41" t="str">
        <f aca="false">IF(C2285="","",IFERROR(IF(ISNUMBER(SEARCH(Assumptions!$C$5,C2285)),Assumptions!$D$5,IF(ISNUMBER(SEARCH(Assumptions!$C$6,C2285)),Assumptions!$D$6,IF(ISNUMBER(SEARCH(Assumptions!$C$7,C2285)),Assumptions!$D$7,"Other Services"))),"Other Services"))</f>
        <v/>
      </c>
    </row>
    <row r="2286" customFormat="false" ht="15" hidden="false" customHeight="false" outlineLevel="0" collapsed="false">
      <c r="F2286" s="41" t="str">
        <f aca="false">IF(C2286="","",IFERROR(IF(ISNUMBER(SEARCH(Assumptions!$C$5,C2286)),Assumptions!$D$5,IF(ISNUMBER(SEARCH(Assumptions!$C$6,C2286)),Assumptions!$D$6,IF(ISNUMBER(SEARCH(Assumptions!$C$7,C2286)),Assumptions!$D$7,"Other Services"))),"Other Services"))</f>
        <v/>
      </c>
    </row>
    <row r="2287" customFormat="false" ht="15" hidden="false" customHeight="false" outlineLevel="0" collapsed="false">
      <c r="F2287" s="41" t="str">
        <f aca="false">IF(C2287="","",IFERROR(IF(ISNUMBER(SEARCH(Assumptions!$C$5,C2287)),Assumptions!$D$5,IF(ISNUMBER(SEARCH(Assumptions!$C$6,C2287)),Assumptions!$D$6,IF(ISNUMBER(SEARCH(Assumptions!$C$7,C2287)),Assumptions!$D$7,"Other Services"))),"Other Services"))</f>
        <v/>
      </c>
    </row>
    <row r="2288" customFormat="false" ht="15" hidden="false" customHeight="false" outlineLevel="0" collapsed="false">
      <c r="F2288" s="41" t="str">
        <f aca="false">IF(C2288="","",IFERROR(IF(ISNUMBER(SEARCH(Assumptions!$C$5,C2288)),Assumptions!$D$5,IF(ISNUMBER(SEARCH(Assumptions!$C$6,C2288)),Assumptions!$D$6,IF(ISNUMBER(SEARCH(Assumptions!$C$7,C2288)),Assumptions!$D$7,"Other Services"))),"Other Services"))</f>
        <v/>
      </c>
    </row>
    <row r="2289" customFormat="false" ht="15" hidden="false" customHeight="false" outlineLevel="0" collapsed="false">
      <c r="F2289" s="41" t="str">
        <f aca="false">IF(C2289="","",IFERROR(IF(ISNUMBER(SEARCH(Assumptions!$C$5,C2289)),Assumptions!$D$5,IF(ISNUMBER(SEARCH(Assumptions!$C$6,C2289)),Assumptions!$D$6,IF(ISNUMBER(SEARCH(Assumptions!$C$7,C2289)),Assumptions!$D$7,"Other Services"))),"Other Services"))</f>
        <v/>
      </c>
    </row>
    <row r="2290" customFormat="false" ht="15" hidden="false" customHeight="false" outlineLevel="0" collapsed="false">
      <c r="F2290" s="41" t="str">
        <f aca="false">IF(C2290="","",IFERROR(IF(ISNUMBER(SEARCH(Assumptions!$C$5,C2290)),Assumptions!$D$5,IF(ISNUMBER(SEARCH(Assumptions!$C$6,C2290)),Assumptions!$D$6,IF(ISNUMBER(SEARCH(Assumptions!$C$7,C2290)),Assumptions!$D$7,"Other Services"))),"Other Services"))</f>
        <v/>
      </c>
    </row>
    <row r="2291" customFormat="false" ht="15" hidden="false" customHeight="false" outlineLevel="0" collapsed="false">
      <c r="F2291" s="41" t="str">
        <f aca="false">IF(C2291="","",IFERROR(IF(ISNUMBER(SEARCH(Assumptions!$C$5,C2291)),Assumptions!$D$5,IF(ISNUMBER(SEARCH(Assumptions!$C$6,C2291)),Assumptions!$D$6,IF(ISNUMBER(SEARCH(Assumptions!$C$7,C2291)),Assumptions!$D$7,"Other Services"))),"Other Services"))</f>
        <v/>
      </c>
    </row>
    <row r="2292" customFormat="false" ht="15" hidden="false" customHeight="false" outlineLevel="0" collapsed="false">
      <c r="F2292" s="41" t="str">
        <f aca="false">IF(C2292="","",IFERROR(IF(ISNUMBER(SEARCH(Assumptions!$C$5,C2292)),Assumptions!$D$5,IF(ISNUMBER(SEARCH(Assumptions!$C$6,C2292)),Assumptions!$D$6,IF(ISNUMBER(SEARCH(Assumptions!$C$7,C2292)),Assumptions!$D$7,"Other Services"))),"Other Services"))</f>
        <v/>
      </c>
    </row>
    <row r="2293" customFormat="false" ht="15" hidden="false" customHeight="false" outlineLevel="0" collapsed="false">
      <c r="F2293" s="41" t="str">
        <f aca="false">IF(C2293="","",IFERROR(IF(ISNUMBER(SEARCH(Assumptions!$C$5,C2293)),Assumptions!$D$5,IF(ISNUMBER(SEARCH(Assumptions!$C$6,C2293)),Assumptions!$D$6,IF(ISNUMBER(SEARCH(Assumptions!$C$7,C2293)),Assumptions!$D$7,"Other Services"))),"Other Services"))</f>
        <v/>
      </c>
    </row>
    <row r="2294" customFormat="false" ht="15" hidden="false" customHeight="false" outlineLevel="0" collapsed="false">
      <c r="F2294" s="41" t="str">
        <f aca="false">IF(C2294="","",IFERROR(IF(ISNUMBER(SEARCH(Assumptions!$C$5,C2294)),Assumptions!$D$5,IF(ISNUMBER(SEARCH(Assumptions!$C$6,C2294)),Assumptions!$D$6,IF(ISNUMBER(SEARCH(Assumptions!$C$7,C2294)),Assumptions!$D$7,"Other Services"))),"Other Services"))</f>
        <v/>
      </c>
    </row>
    <row r="2295" customFormat="false" ht="15" hidden="false" customHeight="false" outlineLevel="0" collapsed="false">
      <c r="F2295" s="41" t="str">
        <f aca="false">IF(C2295="","",IFERROR(IF(ISNUMBER(SEARCH(Assumptions!$C$5,C2295)),Assumptions!$D$5,IF(ISNUMBER(SEARCH(Assumptions!$C$6,C2295)),Assumptions!$D$6,IF(ISNUMBER(SEARCH(Assumptions!$C$7,C2295)),Assumptions!$D$7,"Other Services"))),"Other Services"))</f>
        <v/>
      </c>
    </row>
    <row r="2296" customFormat="false" ht="15" hidden="false" customHeight="false" outlineLevel="0" collapsed="false">
      <c r="F2296" s="41" t="str">
        <f aca="false">IF(C2296="","",IFERROR(IF(ISNUMBER(SEARCH(Assumptions!$C$5,C2296)),Assumptions!$D$5,IF(ISNUMBER(SEARCH(Assumptions!$C$6,C2296)),Assumptions!$D$6,IF(ISNUMBER(SEARCH(Assumptions!$C$7,C2296)),Assumptions!$D$7,"Other Services"))),"Other Services"))</f>
        <v/>
      </c>
    </row>
    <row r="2297" customFormat="false" ht="15" hidden="false" customHeight="false" outlineLevel="0" collapsed="false">
      <c r="F2297" s="41" t="str">
        <f aca="false">IF(C2297="","",IFERROR(IF(ISNUMBER(SEARCH(Assumptions!$C$5,C2297)),Assumptions!$D$5,IF(ISNUMBER(SEARCH(Assumptions!$C$6,C2297)),Assumptions!$D$6,IF(ISNUMBER(SEARCH(Assumptions!$C$7,C2297)),Assumptions!$D$7,"Other Services"))),"Other Services"))</f>
        <v/>
      </c>
    </row>
    <row r="2298" customFormat="false" ht="15" hidden="false" customHeight="false" outlineLevel="0" collapsed="false">
      <c r="F2298" s="41" t="str">
        <f aca="false">IF(C2298="","",IFERROR(IF(ISNUMBER(SEARCH(Assumptions!$C$5,C2298)),Assumptions!$D$5,IF(ISNUMBER(SEARCH(Assumptions!$C$6,C2298)),Assumptions!$D$6,IF(ISNUMBER(SEARCH(Assumptions!$C$7,C2298)),Assumptions!$D$7,"Other Services"))),"Other Services"))</f>
        <v/>
      </c>
    </row>
    <row r="2299" customFormat="false" ht="15" hidden="false" customHeight="false" outlineLevel="0" collapsed="false">
      <c r="F2299" s="41" t="str">
        <f aca="false">IF(C2299="","",IFERROR(IF(ISNUMBER(SEARCH(Assumptions!$C$5,C2299)),Assumptions!$D$5,IF(ISNUMBER(SEARCH(Assumptions!$C$6,C2299)),Assumptions!$D$6,IF(ISNUMBER(SEARCH(Assumptions!$C$7,C2299)),Assumptions!$D$7,"Other Services"))),"Other Services"))</f>
        <v/>
      </c>
    </row>
    <row r="2300" customFormat="false" ht="15" hidden="false" customHeight="false" outlineLevel="0" collapsed="false">
      <c r="F2300" s="41" t="str">
        <f aca="false">IF(C2300="","",IFERROR(IF(ISNUMBER(SEARCH(Assumptions!$C$5,C2300)),Assumptions!$D$5,IF(ISNUMBER(SEARCH(Assumptions!$C$6,C2300)),Assumptions!$D$6,IF(ISNUMBER(SEARCH(Assumptions!$C$7,C2300)),Assumptions!$D$7,"Other Services"))),"Other Services"))</f>
        <v/>
      </c>
    </row>
    <row r="2301" customFormat="false" ht="15" hidden="false" customHeight="false" outlineLevel="0" collapsed="false">
      <c r="F2301" s="41" t="str">
        <f aca="false">IF(C2301="","",IFERROR(IF(ISNUMBER(SEARCH(Assumptions!$C$5,C2301)),Assumptions!$D$5,IF(ISNUMBER(SEARCH(Assumptions!$C$6,C2301)),Assumptions!$D$6,IF(ISNUMBER(SEARCH(Assumptions!$C$7,C2301)),Assumptions!$D$7,"Other Services"))),"Other Services"))</f>
        <v/>
      </c>
    </row>
    <row r="2302" customFormat="false" ht="15" hidden="false" customHeight="false" outlineLevel="0" collapsed="false">
      <c r="F2302" s="41" t="str">
        <f aca="false">IF(C2302="","",IFERROR(IF(ISNUMBER(SEARCH(Assumptions!$C$5,C2302)),Assumptions!$D$5,IF(ISNUMBER(SEARCH(Assumptions!$C$6,C2302)),Assumptions!$D$6,IF(ISNUMBER(SEARCH(Assumptions!$C$7,C2302)),Assumptions!$D$7,"Other Services"))),"Other Services"))</f>
        <v/>
      </c>
    </row>
    <row r="2303" customFormat="false" ht="15" hidden="false" customHeight="false" outlineLevel="0" collapsed="false">
      <c r="F2303" s="41" t="str">
        <f aca="false">IF(C2303="","",IFERROR(IF(ISNUMBER(SEARCH(Assumptions!$C$5,C2303)),Assumptions!$D$5,IF(ISNUMBER(SEARCH(Assumptions!$C$6,C2303)),Assumptions!$D$6,IF(ISNUMBER(SEARCH(Assumptions!$C$7,C2303)),Assumptions!$D$7,"Other Services"))),"Other Services"))</f>
        <v/>
      </c>
    </row>
    <row r="2304" customFormat="false" ht="15" hidden="false" customHeight="false" outlineLevel="0" collapsed="false">
      <c r="F2304" s="41" t="str">
        <f aca="false">IF(C2304="","",IFERROR(IF(ISNUMBER(SEARCH(Assumptions!$C$5,C2304)),Assumptions!$D$5,IF(ISNUMBER(SEARCH(Assumptions!$C$6,C2304)),Assumptions!$D$6,IF(ISNUMBER(SEARCH(Assumptions!$C$7,C2304)),Assumptions!$D$7,"Other Services"))),"Other Services"))</f>
        <v/>
      </c>
    </row>
    <row r="2305" customFormat="false" ht="15" hidden="false" customHeight="false" outlineLevel="0" collapsed="false">
      <c r="F2305" s="41" t="str">
        <f aca="false">IF(C2305="","",IFERROR(IF(ISNUMBER(SEARCH(Assumptions!$C$5,C2305)),Assumptions!$D$5,IF(ISNUMBER(SEARCH(Assumptions!$C$6,C2305)),Assumptions!$D$6,IF(ISNUMBER(SEARCH(Assumptions!$C$7,C2305)),Assumptions!$D$7,"Other Services"))),"Other Services"))</f>
        <v/>
      </c>
    </row>
    <row r="2306" customFormat="false" ht="15" hidden="false" customHeight="false" outlineLevel="0" collapsed="false">
      <c r="F2306" s="41" t="str">
        <f aca="false">IF(C2306="","",IFERROR(IF(ISNUMBER(SEARCH(Assumptions!$C$5,C2306)),Assumptions!$D$5,IF(ISNUMBER(SEARCH(Assumptions!$C$6,C2306)),Assumptions!$D$6,IF(ISNUMBER(SEARCH(Assumptions!$C$7,C2306)),Assumptions!$D$7,"Other Services"))),"Other Services"))</f>
        <v/>
      </c>
    </row>
    <row r="2307" customFormat="false" ht="15" hidden="false" customHeight="false" outlineLevel="0" collapsed="false">
      <c r="F2307" s="41" t="str">
        <f aca="false">IF(C2307="","",IFERROR(IF(ISNUMBER(SEARCH(Assumptions!$C$5,C2307)),Assumptions!$D$5,IF(ISNUMBER(SEARCH(Assumptions!$C$6,C2307)),Assumptions!$D$6,IF(ISNUMBER(SEARCH(Assumptions!$C$7,C2307)),Assumptions!$D$7,"Other Services"))),"Other Services"))</f>
        <v/>
      </c>
    </row>
    <row r="2308" customFormat="false" ht="15" hidden="false" customHeight="false" outlineLevel="0" collapsed="false">
      <c r="F2308" s="41" t="str">
        <f aca="false">IF(C2308="","",IFERROR(IF(ISNUMBER(SEARCH(Assumptions!$C$5,C2308)),Assumptions!$D$5,IF(ISNUMBER(SEARCH(Assumptions!$C$6,C2308)),Assumptions!$D$6,IF(ISNUMBER(SEARCH(Assumptions!$C$7,C2308)),Assumptions!$D$7,"Other Services"))),"Other Services"))</f>
        <v/>
      </c>
    </row>
    <row r="2309" customFormat="false" ht="15" hidden="false" customHeight="false" outlineLevel="0" collapsed="false">
      <c r="F2309" s="41" t="str">
        <f aca="false">IF(C2309="","",IFERROR(IF(ISNUMBER(SEARCH(Assumptions!$C$5,C2309)),Assumptions!$D$5,IF(ISNUMBER(SEARCH(Assumptions!$C$6,C2309)),Assumptions!$D$6,IF(ISNUMBER(SEARCH(Assumptions!$C$7,C2309)),Assumptions!$D$7,"Other Services"))),"Other Services"))</f>
        <v/>
      </c>
    </row>
    <row r="2310" customFormat="false" ht="15" hidden="false" customHeight="false" outlineLevel="0" collapsed="false">
      <c r="F2310" s="41" t="str">
        <f aca="false">IF(C2310="","",IFERROR(IF(ISNUMBER(SEARCH(Assumptions!$C$5,C2310)),Assumptions!$D$5,IF(ISNUMBER(SEARCH(Assumptions!$C$6,C2310)),Assumptions!$D$6,IF(ISNUMBER(SEARCH(Assumptions!$C$7,C2310)),Assumptions!$D$7,"Other Services"))),"Other Services"))</f>
        <v/>
      </c>
    </row>
    <row r="2311" customFormat="false" ht="15" hidden="false" customHeight="false" outlineLevel="0" collapsed="false">
      <c r="F2311" s="41" t="str">
        <f aca="false">IF(C2311="","",IFERROR(IF(ISNUMBER(SEARCH(Assumptions!$C$5,C2311)),Assumptions!$D$5,IF(ISNUMBER(SEARCH(Assumptions!$C$6,C2311)),Assumptions!$D$6,IF(ISNUMBER(SEARCH(Assumptions!$C$7,C2311)),Assumptions!$D$7,"Other Services"))),"Other Services"))</f>
        <v/>
      </c>
    </row>
    <row r="2312" customFormat="false" ht="15" hidden="false" customHeight="false" outlineLevel="0" collapsed="false">
      <c r="F2312" s="41" t="str">
        <f aca="false">IF(C2312="","",IFERROR(IF(ISNUMBER(SEARCH(Assumptions!$C$5,C2312)),Assumptions!$D$5,IF(ISNUMBER(SEARCH(Assumptions!$C$6,C2312)),Assumptions!$D$6,IF(ISNUMBER(SEARCH(Assumptions!$C$7,C2312)),Assumptions!$D$7,"Other Services"))),"Other Services"))</f>
        <v/>
      </c>
    </row>
    <row r="2313" customFormat="false" ht="15" hidden="false" customHeight="false" outlineLevel="0" collapsed="false">
      <c r="F2313" s="41" t="str">
        <f aca="false">IF(C2313="","",IFERROR(IF(ISNUMBER(SEARCH(Assumptions!$C$5,C2313)),Assumptions!$D$5,IF(ISNUMBER(SEARCH(Assumptions!$C$6,C2313)),Assumptions!$D$6,IF(ISNUMBER(SEARCH(Assumptions!$C$7,C2313)),Assumptions!$D$7,"Other Services"))),"Other Services"))</f>
        <v/>
      </c>
    </row>
    <row r="2314" customFormat="false" ht="15" hidden="false" customHeight="false" outlineLevel="0" collapsed="false">
      <c r="F2314" s="41" t="str">
        <f aca="false">IF(C2314="","",IFERROR(IF(ISNUMBER(SEARCH(Assumptions!$C$5,C2314)),Assumptions!$D$5,IF(ISNUMBER(SEARCH(Assumptions!$C$6,C2314)),Assumptions!$D$6,IF(ISNUMBER(SEARCH(Assumptions!$C$7,C2314)),Assumptions!$D$7,"Other Services"))),"Other Services"))</f>
        <v/>
      </c>
    </row>
    <row r="2315" customFormat="false" ht="15" hidden="false" customHeight="false" outlineLevel="0" collapsed="false">
      <c r="F2315" s="41" t="str">
        <f aca="false">IF(C2315="","",IFERROR(IF(ISNUMBER(SEARCH(Assumptions!$C$5,C2315)),Assumptions!$D$5,IF(ISNUMBER(SEARCH(Assumptions!$C$6,C2315)),Assumptions!$D$6,IF(ISNUMBER(SEARCH(Assumptions!$C$7,C2315)),Assumptions!$D$7,"Other Services"))),"Other Services"))</f>
        <v/>
      </c>
    </row>
    <row r="2316" customFormat="false" ht="15" hidden="false" customHeight="false" outlineLevel="0" collapsed="false">
      <c r="F2316" s="41" t="str">
        <f aca="false">IF(C2316="","",IFERROR(IF(ISNUMBER(SEARCH(Assumptions!$C$5,C2316)),Assumptions!$D$5,IF(ISNUMBER(SEARCH(Assumptions!$C$6,C2316)),Assumptions!$D$6,IF(ISNUMBER(SEARCH(Assumptions!$C$7,C2316)),Assumptions!$D$7,"Other Services"))),"Other Services"))</f>
        <v/>
      </c>
    </row>
    <row r="2317" customFormat="false" ht="15" hidden="false" customHeight="false" outlineLevel="0" collapsed="false">
      <c r="F2317" s="41" t="str">
        <f aca="false">IF(C2317="","",IFERROR(IF(ISNUMBER(SEARCH(Assumptions!$C$5,C2317)),Assumptions!$D$5,IF(ISNUMBER(SEARCH(Assumptions!$C$6,C2317)),Assumptions!$D$6,IF(ISNUMBER(SEARCH(Assumptions!$C$7,C2317)),Assumptions!$D$7,"Other Services"))),"Other Services"))</f>
        <v/>
      </c>
    </row>
    <row r="2318" customFormat="false" ht="15" hidden="false" customHeight="false" outlineLevel="0" collapsed="false">
      <c r="F2318" s="41" t="str">
        <f aca="false">IF(C2318="","",IFERROR(IF(ISNUMBER(SEARCH(Assumptions!$C$5,C2318)),Assumptions!$D$5,IF(ISNUMBER(SEARCH(Assumptions!$C$6,C2318)),Assumptions!$D$6,IF(ISNUMBER(SEARCH(Assumptions!$C$7,C2318)),Assumptions!$D$7,"Other Services"))),"Other Services"))</f>
        <v/>
      </c>
    </row>
    <row r="2319" customFormat="false" ht="15" hidden="false" customHeight="false" outlineLevel="0" collapsed="false">
      <c r="F2319" s="41" t="str">
        <f aca="false">IF(C2319="","",IFERROR(IF(ISNUMBER(SEARCH(Assumptions!$C$5,C2319)),Assumptions!$D$5,IF(ISNUMBER(SEARCH(Assumptions!$C$6,C2319)),Assumptions!$D$6,IF(ISNUMBER(SEARCH(Assumptions!$C$7,C2319)),Assumptions!$D$7,"Other Services"))),"Other Services"))</f>
        <v/>
      </c>
    </row>
    <row r="2320" customFormat="false" ht="15" hidden="false" customHeight="false" outlineLevel="0" collapsed="false">
      <c r="F2320" s="41" t="str">
        <f aca="false">IF(C2320="","",IFERROR(IF(ISNUMBER(SEARCH(Assumptions!$C$5,C2320)),Assumptions!$D$5,IF(ISNUMBER(SEARCH(Assumptions!$C$6,C2320)),Assumptions!$D$6,IF(ISNUMBER(SEARCH(Assumptions!$C$7,C2320)),Assumptions!$D$7,"Other Services"))),"Other Services"))</f>
        <v/>
      </c>
    </row>
    <row r="2321" customFormat="false" ht="15" hidden="false" customHeight="false" outlineLevel="0" collapsed="false">
      <c r="F2321" s="41" t="str">
        <f aca="false">IF(C2321="","",IFERROR(IF(ISNUMBER(SEARCH(Assumptions!$C$5,C2321)),Assumptions!$D$5,IF(ISNUMBER(SEARCH(Assumptions!$C$6,C2321)),Assumptions!$D$6,IF(ISNUMBER(SEARCH(Assumptions!$C$7,C2321)),Assumptions!$D$7,"Other Services"))),"Other Services"))</f>
        <v/>
      </c>
    </row>
    <row r="2322" customFormat="false" ht="15" hidden="false" customHeight="false" outlineLevel="0" collapsed="false">
      <c r="F2322" s="41" t="str">
        <f aca="false">IF(C2322="","",IFERROR(IF(ISNUMBER(SEARCH(Assumptions!$C$5,C2322)),Assumptions!$D$5,IF(ISNUMBER(SEARCH(Assumptions!$C$6,C2322)),Assumptions!$D$6,IF(ISNUMBER(SEARCH(Assumptions!$C$7,C2322)),Assumptions!$D$7,"Other Services"))),"Other Services"))</f>
        <v/>
      </c>
    </row>
    <row r="2323" customFormat="false" ht="15" hidden="false" customHeight="false" outlineLevel="0" collapsed="false">
      <c r="F2323" s="41" t="str">
        <f aca="false">IF(C2323="","",IFERROR(IF(ISNUMBER(SEARCH(Assumptions!$C$5,C2323)),Assumptions!$D$5,IF(ISNUMBER(SEARCH(Assumptions!$C$6,C2323)),Assumptions!$D$6,IF(ISNUMBER(SEARCH(Assumptions!$C$7,C2323)),Assumptions!$D$7,"Other Services"))),"Other Services"))</f>
        <v/>
      </c>
    </row>
    <row r="2324" customFormat="false" ht="15" hidden="false" customHeight="false" outlineLevel="0" collapsed="false">
      <c r="F2324" s="41" t="str">
        <f aca="false">IF(C2324="","",IFERROR(IF(ISNUMBER(SEARCH(Assumptions!$C$5,C2324)),Assumptions!$D$5,IF(ISNUMBER(SEARCH(Assumptions!$C$6,C2324)),Assumptions!$D$6,IF(ISNUMBER(SEARCH(Assumptions!$C$7,C2324)),Assumptions!$D$7,"Other Services"))),"Other Services"))</f>
        <v/>
      </c>
    </row>
    <row r="2325" customFormat="false" ht="15" hidden="false" customHeight="false" outlineLevel="0" collapsed="false">
      <c r="F2325" s="41" t="str">
        <f aca="false">IF(C2325="","",IFERROR(IF(ISNUMBER(SEARCH(Assumptions!$C$5,C2325)),Assumptions!$D$5,IF(ISNUMBER(SEARCH(Assumptions!$C$6,C2325)),Assumptions!$D$6,IF(ISNUMBER(SEARCH(Assumptions!$C$7,C2325)),Assumptions!$D$7,"Other Services"))),"Other Services"))</f>
        <v/>
      </c>
    </row>
    <row r="2326" customFormat="false" ht="15" hidden="false" customHeight="false" outlineLevel="0" collapsed="false">
      <c r="F2326" s="41" t="str">
        <f aca="false">IF(C2326="","",IFERROR(IF(ISNUMBER(SEARCH(Assumptions!$C$5,C2326)),Assumptions!$D$5,IF(ISNUMBER(SEARCH(Assumptions!$C$6,C2326)),Assumptions!$D$6,IF(ISNUMBER(SEARCH(Assumptions!$C$7,C2326)),Assumptions!$D$7,"Other Services"))),"Other Services"))</f>
        <v/>
      </c>
    </row>
    <row r="2327" customFormat="false" ht="15" hidden="false" customHeight="false" outlineLevel="0" collapsed="false">
      <c r="F2327" s="41" t="str">
        <f aca="false">IF(C2327="","",IFERROR(IF(ISNUMBER(SEARCH(Assumptions!$C$5,C2327)),Assumptions!$D$5,IF(ISNUMBER(SEARCH(Assumptions!$C$6,C2327)),Assumptions!$D$6,IF(ISNUMBER(SEARCH(Assumptions!$C$7,C2327)),Assumptions!$D$7,"Other Services"))),"Other Services"))</f>
        <v/>
      </c>
    </row>
    <row r="2328" customFormat="false" ht="15" hidden="false" customHeight="false" outlineLevel="0" collapsed="false">
      <c r="F2328" s="41" t="str">
        <f aca="false">IF(C2328="","",IFERROR(IF(ISNUMBER(SEARCH(Assumptions!$C$5,C2328)),Assumptions!$D$5,IF(ISNUMBER(SEARCH(Assumptions!$C$6,C2328)),Assumptions!$D$6,IF(ISNUMBER(SEARCH(Assumptions!$C$7,C2328)),Assumptions!$D$7,"Other Services"))),"Other Services"))</f>
        <v/>
      </c>
    </row>
    <row r="2329" customFormat="false" ht="15" hidden="false" customHeight="false" outlineLevel="0" collapsed="false">
      <c r="F2329" s="41" t="str">
        <f aca="false">IF(C2329="","",IFERROR(IF(ISNUMBER(SEARCH(Assumptions!$C$5,C2329)),Assumptions!$D$5,IF(ISNUMBER(SEARCH(Assumptions!$C$6,C2329)),Assumptions!$D$6,IF(ISNUMBER(SEARCH(Assumptions!$C$7,C2329)),Assumptions!$D$7,"Other Services"))),"Other Services"))</f>
        <v/>
      </c>
    </row>
    <row r="2330" customFormat="false" ht="15" hidden="false" customHeight="false" outlineLevel="0" collapsed="false">
      <c r="F2330" s="41" t="str">
        <f aca="false">IF(C2330="","",IFERROR(IF(ISNUMBER(SEARCH(Assumptions!$C$5,C2330)),Assumptions!$D$5,IF(ISNUMBER(SEARCH(Assumptions!$C$6,C2330)),Assumptions!$D$6,IF(ISNUMBER(SEARCH(Assumptions!$C$7,C2330)),Assumptions!$D$7,"Other Services"))),"Other Services"))</f>
        <v/>
      </c>
    </row>
    <row r="2331" customFormat="false" ht="15" hidden="false" customHeight="false" outlineLevel="0" collapsed="false">
      <c r="F2331" s="41" t="str">
        <f aca="false">IF(C2331="","",IFERROR(IF(ISNUMBER(SEARCH(Assumptions!$C$5,C2331)),Assumptions!$D$5,IF(ISNUMBER(SEARCH(Assumptions!$C$6,C2331)),Assumptions!$D$6,IF(ISNUMBER(SEARCH(Assumptions!$C$7,C2331)),Assumptions!$D$7,"Other Services"))),"Other Services"))</f>
        <v/>
      </c>
    </row>
    <row r="2332" customFormat="false" ht="15" hidden="false" customHeight="false" outlineLevel="0" collapsed="false">
      <c r="F2332" s="41" t="str">
        <f aca="false">IF(C2332="","",IFERROR(IF(ISNUMBER(SEARCH(Assumptions!$C$5,C2332)),Assumptions!$D$5,IF(ISNUMBER(SEARCH(Assumptions!$C$6,C2332)),Assumptions!$D$6,IF(ISNUMBER(SEARCH(Assumptions!$C$7,C2332)),Assumptions!$D$7,"Other Services"))),"Other Services"))</f>
        <v/>
      </c>
    </row>
    <row r="2333" customFormat="false" ht="15" hidden="false" customHeight="false" outlineLevel="0" collapsed="false">
      <c r="F2333" s="41" t="str">
        <f aca="false">IF(C2333="","",IFERROR(IF(ISNUMBER(SEARCH(Assumptions!$C$5,C2333)),Assumptions!$D$5,IF(ISNUMBER(SEARCH(Assumptions!$C$6,C2333)),Assumptions!$D$6,IF(ISNUMBER(SEARCH(Assumptions!$C$7,C2333)),Assumptions!$D$7,"Other Services"))),"Other Services"))</f>
        <v/>
      </c>
    </row>
    <row r="2334" customFormat="false" ht="15" hidden="false" customHeight="false" outlineLevel="0" collapsed="false">
      <c r="F2334" s="41" t="str">
        <f aca="false">IF(C2334="","",IFERROR(IF(ISNUMBER(SEARCH(Assumptions!$C$5,C2334)),Assumptions!$D$5,IF(ISNUMBER(SEARCH(Assumptions!$C$6,C2334)),Assumptions!$D$6,IF(ISNUMBER(SEARCH(Assumptions!$C$7,C2334)),Assumptions!$D$7,"Other Services"))),"Other Services"))</f>
        <v/>
      </c>
    </row>
    <row r="2335" customFormat="false" ht="15" hidden="false" customHeight="false" outlineLevel="0" collapsed="false">
      <c r="F2335" s="41" t="str">
        <f aca="false">IF(C2335="","",IFERROR(IF(ISNUMBER(SEARCH(Assumptions!$C$5,C2335)),Assumptions!$D$5,IF(ISNUMBER(SEARCH(Assumptions!$C$6,C2335)),Assumptions!$D$6,IF(ISNUMBER(SEARCH(Assumptions!$C$7,C2335)),Assumptions!$D$7,"Other Services"))),"Other Services"))</f>
        <v/>
      </c>
    </row>
    <row r="2336" customFormat="false" ht="15" hidden="false" customHeight="false" outlineLevel="0" collapsed="false">
      <c r="F2336" s="41" t="str">
        <f aca="false">IF(C2336="","",IFERROR(IF(ISNUMBER(SEARCH(Assumptions!$C$5,C2336)),Assumptions!$D$5,IF(ISNUMBER(SEARCH(Assumptions!$C$6,C2336)),Assumptions!$D$6,IF(ISNUMBER(SEARCH(Assumptions!$C$7,C2336)),Assumptions!$D$7,"Other Services"))),"Other Services"))</f>
        <v/>
      </c>
    </row>
    <row r="2337" customFormat="false" ht="15" hidden="false" customHeight="false" outlineLevel="0" collapsed="false">
      <c r="F2337" s="41" t="str">
        <f aca="false">IF(C2337="","",IFERROR(IF(ISNUMBER(SEARCH(Assumptions!$C$5,C2337)),Assumptions!$D$5,IF(ISNUMBER(SEARCH(Assumptions!$C$6,C2337)),Assumptions!$D$6,IF(ISNUMBER(SEARCH(Assumptions!$C$7,C2337)),Assumptions!$D$7,"Other Services"))),"Other Services"))</f>
        <v/>
      </c>
    </row>
    <row r="2338" customFormat="false" ht="15" hidden="false" customHeight="false" outlineLevel="0" collapsed="false">
      <c r="F2338" s="41" t="str">
        <f aca="false">IF(C2338="","",IFERROR(IF(ISNUMBER(SEARCH(Assumptions!$C$5,C2338)),Assumptions!$D$5,IF(ISNUMBER(SEARCH(Assumptions!$C$6,C2338)),Assumptions!$D$6,IF(ISNUMBER(SEARCH(Assumptions!$C$7,C2338)),Assumptions!$D$7,"Other Services"))),"Other Services"))</f>
        <v/>
      </c>
    </row>
    <row r="2339" customFormat="false" ht="15" hidden="false" customHeight="false" outlineLevel="0" collapsed="false">
      <c r="F2339" s="41" t="str">
        <f aca="false">IF(C2339="","",IFERROR(IF(ISNUMBER(SEARCH(Assumptions!$C$5,C2339)),Assumptions!$D$5,IF(ISNUMBER(SEARCH(Assumptions!$C$6,C2339)),Assumptions!$D$6,IF(ISNUMBER(SEARCH(Assumptions!$C$7,C2339)),Assumptions!$D$7,"Other Services"))),"Other Services"))</f>
        <v/>
      </c>
    </row>
    <row r="2340" customFormat="false" ht="15" hidden="false" customHeight="false" outlineLevel="0" collapsed="false">
      <c r="F2340" s="41" t="str">
        <f aca="false">IF(C2340="","",IFERROR(IF(ISNUMBER(SEARCH(Assumptions!$C$5,C2340)),Assumptions!$D$5,IF(ISNUMBER(SEARCH(Assumptions!$C$6,C2340)),Assumptions!$D$6,IF(ISNUMBER(SEARCH(Assumptions!$C$7,C2340)),Assumptions!$D$7,"Other Services"))),"Other Services"))</f>
        <v/>
      </c>
    </row>
    <row r="2341" customFormat="false" ht="15" hidden="false" customHeight="false" outlineLevel="0" collapsed="false">
      <c r="F2341" s="41" t="str">
        <f aca="false">IF(C2341="","",IFERROR(IF(ISNUMBER(SEARCH(Assumptions!$C$5,C2341)),Assumptions!$D$5,IF(ISNUMBER(SEARCH(Assumptions!$C$6,C2341)),Assumptions!$D$6,IF(ISNUMBER(SEARCH(Assumptions!$C$7,C2341)),Assumptions!$D$7,"Other Services"))),"Other Services"))</f>
        <v/>
      </c>
    </row>
    <row r="2342" customFormat="false" ht="15" hidden="false" customHeight="false" outlineLevel="0" collapsed="false">
      <c r="F2342" s="41" t="str">
        <f aca="false">IF(C2342="","",IFERROR(IF(ISNUMBER(SEARCH(Assumptions!$C$5,C2342)),Assumptions!$D$5,IF(ISNUMBER(SEARCH(Assumptions!$C$6,C2342)),Assumptions!$D$6,IF(ISNUMBER(SEARCH(Assumptions!$C$7,C2342)),Assumptions!$D$7,"Other Services"))),"Other Services"))</f>
        <v/>
      </c>
    </row>
    <row r="2343" customFormat="false" ht="15" hidden="false" customHeight="false" outlineLevel="0" collapsed="false">
      <c r="F2343" s="41" t="str">
        <f aca="false">IF(C2343="","",IFERROR(IF(ISNUMBER(SEARCH(Assumptions!$C$5,C2343)),Assumptions!$D$5,IF(ISNUMBER(SEARCH(Assumptions!$C$6,C2343)),Assumptions!$D$6,IF(ISNUMBER(SEARCH(Assumptions!$C$7,C2343)),Assumptions!$D$7,"Other Services"))),"Other Services"))</f>
        <v/>
      </c>
    </row>
    <row r="2344" customFormat="false" ht="15" hidden="false" customHeight="false" outlineLevel="0" collapsed="false">
      <c r="F2344" s="41" t="str">
        <f aca="false">IF(C2344="","",IFERROR(IF(ISNUMBER(SEARCH(Assumptions!$C$5,C2344)),Assumptions!$D$5,IF(ISNUMBER(SEARCH(Assumptions!$C$6,C2344)),Assumptions!$D$6,IF(ISNUMBER(SEARCH(Assumptions!$C$7,C2344)),Assumptions!$D$7,"Other Services"))),"Other Services"))</f>
        <v/>
      </c>
    </row>
    <row r="2345" customFormat="false" ht="15" hidden="false" customHeight="false" outlineLevel="0" collapsed="false">
      <c r="F2345" s="41" t="str">
        <f aca="false">IF(C2345="","",IFERROR(IF(ISNUMBER(SEARCH(Assumptions!$C$5,C2345)),Assumptions!$D$5,IF(ISNUMBER(SEARCH(Assumptions!$C$6,C2345)),Assumptions!$D$6,IF(ISNUMBER(SEARCH(Assumptions!$C$7,C2345)),Assumptions!$D$7,"Other Services"))),"Other Services"))</f>
        <v/>
      </c>
    </row>
    <row r="2346" customFormat="false" ht="15" hidden="false" customHeight="false" outlineLevel="0" collapsed="false">
      <c r="F2346" s="41" t="str">
        <f aca="false">IF(C2346="","",IFERROR(IF(ISNUMBER(SEARCH(Assumptions!$C$5,C2346)),Assumptions!$D$5,IF(ISNUMBER(SEARCH(Assumptions!$C$6,C2346)),Assumptions!$D$6,IF(ISNUMBER(SEARCH(Assumptions!$C$7,C2346)),Assumptions!$D$7,"Other Services"))),"Other Services"))</f>
        <v/>
      </c>
    </row>
    <row r="2347" customFormat="false" ht="15" hidden="false" customHeight="false" outlineLevel="0" collapsed="false">
      <c r="F2347" s="41" t="str">
        <f aca="false">IF(C2347="","",IFERROR(IF(ISNUMBER(SEARCH(Assumptions!$C$5,C2347)),Assumptions!$D$5,IF(ISNUMBER(SEARCH(Assumptions!$C$6,C2347)),Assumptions!$D$6,IF(ISNUMBER(SEARCH(Assumptions!$C$7,C2347)),Assumptions!$D$7,"Other Services"))),"Other Services"))</f>
        <v/>
      </c>
    </row>
    <row r="2348" customFormat="false" ht="15" hidden="false" customHeight="false" outlineLevel="0" collapsed="false">
      <c r="F2348" s="41" t="str">
        <f aca="false">IF(C2348="","",IFERROR(IF(ISNUMBER(SEARCH(Assumptions!$C$5,C2348)),Assumptions!$D$5,IF(ISNUMBER(SEARCH(Assumptions!$C$6,C2348)),Assumptions!$D$6,IF(ISNUMBER(SEARCH(Assumptions!$C$7,C2348)),Assumptions!$D$7,"Other Services"))),"Other Services"))</f>
        <v/>
      </c>
    </row>
    <row r="2349" customFormat="false" ht="15" hidden="false" customHeight="false" outlineLevel="0" collapsed="false">
      <c r="F2349" s="41" t="str">
        <f aca="false">IF(C2349="","",IFERROR(IF(ISNUMBER(SEARCH(Assumptions!$C$5,C2349)),Assumptions!$D$5,IF(ISNUMBER(SEARCH(Assumptions!$C$6,C2349)),Assumptions!$D$6,IF(ISNUMBER(SEARCH(Assumptions!$C$7,C2349)),Assumptions!$D$7,"Other Services"))),"Other Services"))</f>
        <v/>
      </c>
    </row>
    <row r="2350" customFormat="false" ht="15" hidden="false" customHeight="false" outlineLevel="0" collapsed="false">
      <c r="F2350" s="41" t="str">
        <f aca="false">IF(C2350="","",IFERROR(IF(ISNUMBER(SEARCH(Assumptions!$C$5,C2350)),Assumptions!$D$5,IF(ISNUMBER(SEARCH(Assumptions!$C$6,C2350)),Assumptions!$D$6,IF(ISNUMBER(SEARCH(Assumptions!$C$7,C2350)),Assumptions!$D$7,"Other Services"))),"Other Services"))</f>
        <v/>
      </c>
    </row>
    <row r="2351" customFormat="false" ht="15" hidden="false" customHeight="false" outlineLevel="0" collapsed="false">
      <c r="F2351" s="41" t="str">
        <f aca="false">IF(C2351="","",IFERROR(IF(ISNUMBER(SEARCH(Assumptions!$C$5,C2351)),Assumptions!$D$5,IF(ISNUMBER(SEARCH(Assumptions!$C$6,C2351)),Assumptions!$D$6,IF(ISNUMBER(SEARCH(Assumptions!$C$7,C2351)),Assumptions!$D$7,"Other Services"))),"Other Services"))</f>
        <v/>
      </c>
    </row>
    <row r="2352" customFormat="false" ht="15" hidden="false" customHeight="false" outlineLevel="0" collapsed="false">
      <c r="F2352" s="41" t="str">
        <f aca="false">IF(C2352="","",IFERROR(IF(ISNUMBER(SEARCH(Assumptions!$C$5,C2352)),Assumptions!$D$5,IF(ISNUMBER(SEARCH(Assumptions!$C$6,C2352)),Assumptions!$D$6,IF(ISNUMBER(SEARCH(Assumptions!$C$7,C2352)),Assumptions!$D$7,"Other Services"))),"Other Services"))</f>
        <v/>
      </c>
    </row>
    <row r="2353" customFormat="false" ht="15" hidden="false" customHeight="false" outlineLevel="0" collapsed="false">
      <c r="F2353" s="41" t="str">
        <f aca="false">IF(C2353="","",IFERROR(IF(ISNUMBER(SEARCH(Assumptions!$C$5,C2353)),Assumptions!$D$5,IF(ISNUMBER(SEARCH(Assumptions!$C$6,C2353)),Assumptions!$D$6,IF(ISNUMBER(SEARCH(Assumptions!$C$7,C2353)),Assumptions!$D$7,"Other Services"))),"Other Services"))</f>
        <v/>
      </c>
    </row>
    <row r="2354" customFormat="false" ht="15" hidden="false" customHeight="false" outlineLevel="0" collapsed="false">
      <c r="F2354" s="41" t="str">
        <f aca="false">IF(C2354="","",IFERROR(IF(ISNUMBER(SEARCH(Assumptions!$C$5,C2354)),Assumptions!$D$5,IF(ISNUMBER(SEARCH(Assumptions!$C$6,C2354)),Assumptions!$D$6,IF(ISNUMBER(SEARCH(Assumptions!$C$7,C2354)),Assumptions!$D$7,"Other Services"))),"Other Services"))</f>
        <v/>
      </c>
    </row>
    <row r="2355" customFormat="false" ht="15" hidden="false" customHeight="false" outlineLevel="0" collapsed="false">
      <c r="F2355" s="41" t="str">
        <f aca="false">IF(C2355="","",IFERROR(IF(ISNUMBER(SEARCH(Assumptions!$C$5,C2355)),Assumptions!$D$5,IF(ISNUMBER(SEARCH(Assumptions!$C$6,C2355)),Assumptions!$D$6,IF(ISNUMBER(SEARCH(Assumptions!$C$7,C2355)),Assumptions!$D$7,"Other Services"))),"Other Services"))</f>
        <v/>
      </c>
    </row>
    <row r="2356" customFormat="false" ht="15" hidden="false" customHeight="false" outlineLevel="0" collapsed="false">
      <c r="F2356" s="41" t="str">
        <f aca="false">IF(C2356="","",IFERROR(IF(ISNUMBER(SEARCH(Assumptions!$C$5,C2356)),Assumptions!$D$5,IF(ISNUMBER(SEARCH(Assumptions!$C$6,C2356)),Assumptions!$D$6,IF(ISNUMBER(SEARCH(Assumptions!$C$7,C2356)),Assumptions!$D$7,"Other Services"))),"Other Services"))</f>
        <v/>
      </c>
    </row>
    <row r="2357" customFormat="false" ht="15" hidden="false" customHeight="false" outlineLevel="0" collapsed="false">
      <c r="F2357" s="41" t="str">
        <f aca="false">IF(C2357="","",IFERROR(IF(ISNUMBER(SEARCH(Assumptions!$C$5,C2357)),Assumptions!$D$5,IF(ISNUMBER(SEARCH(Assumptions!$C$6,C2357)),Assumptions!$D$6,IF(ISNUMBER(SEARCH(Assumptions!$C$7,C2357)),Assumptions!$D$7,"Other Services"))),"Other Services"))</f>
        <v/>
      </c>
    </row>
    <row r="2358" customFormat="false" ht="15" hidden="false" customHeight="false" outlineLevel="0" collapsed="false">
      <c r="F2358" s="41" t="str">
        <f aca="false">IF(C2358="","",IFERROR(IF(ISNUMBER(SEARCH(Assumptions!$C$5,C2358)),Assumptions!$D$5,IF(ISNUMBER(SEARCH(Assumptions!$C$6,C2358)),Assumptions!$D$6,IF(ISNUMBER(SEARCH(Assumptions!$C$7,C2358)),Assumptions!$D$7,"Other Services"))),"Other Services"))</f>
        <v/>
      </c>
    </row>
    <row r="2359" customFormat="false" ht="15" hidden="false" customHeight="false" outlineLevel="0" collapsed="false">
      <c r="F2359" s="41" t="str">
        <f aca="false">IF(C2359="","",IFERROR(IF(ISNUMBER(SEARCH(Assumptions!$C$5,C2359)),Assumptions!$D$5,IF(ISNUMBER(SEARCH(Assumptions!$C$6,C2359)),Assumptions!$D$6,IF(ISNUMBER(SEARCH(Assumptions!$C$7,C2359)),Assumptions!$D$7,"Other Services"))),"Other Services"))</f>
        <v/>
      </c>
    </row>
    <row r="2360" customFormat="false" ht="15" hidden="false" customHeight="false" outlineLevel="0" collapsed="false">
      <c r="F2360" s="41" t="str">
        <f aca="false">IF(C2360="","",IFERROR(IF(ISNUMBER(SEARCH(Assumptions!$C$5,C2360)),Assumptions!$D$5,IF(ISNUMBER(SEARCH(Assumptions!$C$6,C2360)),Assumptions!$D$6,IF(ISNUMBER(SEARCH(Assumptions!$C$7,C2360)),Assumptions!$D$7,"Other Services"))),"Other Services"))</f>
        <v/>
      </c>
    </row>
    <row r="2361" customFormat="false" ht="15" hidden="false" customHeight="false" outlineLevel="0" collapsed="false">
      <c r="F2361" s="41" t="str">
        <f aca="false">IF(C2361="","",IFERROR(IF(ISNUMBER(SEARCH(Assumptions!$C$5,C2361)),Assumptions!$D$5,IF(ISNUMBER(SEARCH(Assumptions!$C$6,C2361)),Assumptions!$D$6,IF(ISNUMBER(SEARCH(Assumptions!$C$7,C2361)),Assumptions!$D$7,"Other Services"))),"Other Services"))</f>
        <v/>
      </c>
    </row>
    <row r="2362" customFormat="false" ht="15" hidden="false" customHeight="false" outlineLevel="0" collapsed="false">
      <c r="F2362" s="41" t="str">
        <f aca="false">IF(C2362="","",IFERROR(IF(ISNUMBER(SEARCH(Assumptions!$C$5,C2362)),Assumptions!$D$5,IF(ISNUMBER(SEARCH(Assumptions!$C$6,C2362)),Assumptions!$D$6,IF(ISNUMBER(SEARCH(Assumptions!$C$7,C2362)),Assumptions!$D$7,"Other Services"))),"Other Services"))</f>
        <v/>
      </c>
    </row>
    <row r="2363" customFormat="false" ht="15" hidden="false" customHeight="false" outlineLevel="0" collapsed="false">
      <c r="F2363" s="41" t="str">
        <f aca="false">IF(C2363="","",IFERROR(IF(ISNUMBER(SEARCH(Assumptions!$C$5,C2363)),Assumptions!$D$5,IF(ISNUMBER(SEARCH(Assumptions!$C$6,C2363)),Assumptions!$D$6,IF(ISNUMBER(SEARCH(Assumptions!$C$7,C2363)),Assumptions!$D$7,"Other Services"))),"Other Services"))</f>
        <v/>
      </c>
    </row>
    <row r="2364" customFormat="false" ht="15" hidden="false" customHeight="false" outlineLevel="0" collapsed="false">
      <c r="F2364" s="41" t="str">
        <f aca="false">IF(C2364="","",IFERROR(IF(ISNUMBER(SEARCH(Assumptions!$C$5,C2364)),Assumptions!$D$5,IF(ISNUMBER(SEARCH(Assumptions!$C$6,C2364)),Assumptions!$D$6,IF(ISNUMBER(SEARCH(Assumptions!$C$7,C2364)),Assumptions!$D$7,"Other Services"))),"Other Services"))</f>
        <v/>
      </c>
    </row>
    <row r="2365" customFormat="false" ht="15" hidden="false" customHeight="false" outlineLevel="0" collapsed="false">
      <c r="F2365" s="41" t="str">
        <f aca="false">IF(C2365="","",IFERROR(IF(ISNUMBER(SEARCH(Assumptions!$C$5,C2365)),Assumptions!$D$5,IF(ISNUMBER(SEARCH(Assumptions!$C$6,C2365)),Assumptions!$D$6,IF(ISNUMBER(SEARCH(Assumptions!$C$7,C2365)),Assumptions!$D$7,"Other Services"))),"Other Services"))</f>
        <v/>
      </c>
    </row>
    <row r="2366" customFormat="false" ht="15" hidden="false" customHeight="false" outlineLevel="0" collapsed="false">
      <c r="F2366" s="41" t="str">
        <f aca="false">IF(C2366="","",IFERROR(IF(ISNUMBER(SEARCH(Assumptions!$C$5,C2366)),Assumptions!$D$5,IF(ISNUMBER(SEARCH(Assumptions!$C$6,C2366)),Assumptions!$D$6,IF(ISNUMBER(SEARCH(Assumptions!$C$7,C2366)),Assumptions!$D$7,"Other Services"))),"Other Services"))</f>
        <v/>
      </c>
    </row>
    <row r="2367" customFormat="false" ht="15" hidden="false" customHeight="false" outlineLevel="0" collapsed="false">
      <c r="F2367" s="41" t="str">
        <f aca="false">IF(C2367="","",IFERROR(IF(ISNUMBER(SEARCH(Assumptions!$C$5,C2367)),Assumptions!$D$5,IF(ISNUMBER(SEARCH(Assumptions!$C$6,C2367)),Assumptions!$D$6,IF(ISNUMBER(SEARCH(Assumptions!$C$7,C2367)),Assumptions!$D$7,"Other Services"))),"Other Services"))</f>
        <v/>
      </c>
    </row>
    <row r="2368" customFormat="false" ht="15" hidden="false" customHeight="false" outlineLevel="0" collapsed="false">
      <c r="F2368" s="41" t="str">
        <f aca="false">IF(C2368="","",IFERROR(IF(ISNUMBER(SEARCH(Assumptions!$C$5,C2368)),Assumptions!$D$5,IF(ISNUMBER(SEARCH(Assumptions!$C$6,C2368)),Assumptions!$D$6,IF(ISNUMBER(SEARCH(Assumptions!$C$7,C2368)),Assumptions!$D$7,"Other Services"))),"Other Services"))</f>
        <v/>
      </c>
    </row>
    <row r="2369" customFormat="false" ht="15" hidden="false" customHeight="false" outlineLevel="0" collapsed="false">
      <c r="F2369" s="41" t="str">
        <f aca="false">IF(C2369="","",IFERROR(IF(ISNUMBER(SEARCH(Assumptions!$C$5,C2369)),Assumptions!$D$5,IF(ISNUMBER(SEARCH(Assumptions!$C$6,C2369)),Assumptions!$D$6,IF(ISNUMBER(SEARCH(Assumptions!$C$7,C2369)),Assumptions!$D$7,"Other Services"))),"Other Services"))</f>
        <v/>
      </c>
    </row>
    <row r="2370" customFormat="false" ht="15" hidden="false" customHeight="false" outlineLevel="0" collapsed="false">
      <c r="F2370" s="41" t="str">
        <f aca="false">IF(C2370="","",IFERROR(IF(ISNUMBER(SEARCH(Assumptions!$C$5,C2370)),Assumptions!$D$5,IF(ISNUMBER(SEARCH(Assumptions!$C$6,C2370)),Assumptions!$D$6,IF(ISNUMBER(SEARCH(Assumptions!$C$7,C2370)),Assumptions!$D$7,"Other Services"))),"Other Services"))</f>
        <v/>
      </c>
    </row>
    <row r="2371" customFormat="false" ht="15" hidden="false" customHeight="false" outlineLevel="0" collapsed="false">
      <c r="F2371" s="41" t="str">
        <f aca="false">IF(C2371="","",IFERROR(IF(ISNUMBER(SEARCH(Assumptions!$C$5,C2371)),Assumptions!$D$5,IF(ISNUMBER(SEARCH(Assumptions!$C$6,C2371)),Assumptions!$D$6,IF(ISNUMBER(SEARCH(Assumptions!$C$7,C2371)),Assumptions!$D$7,"Other Services"))),"Other Services"))</f>
        <v/>
      </c>
    </row>
    <row r="2372" customFormat="false" ht="15" hidden="false" customHeight="false" outlineLevel="0" collapsed="false">
      <c r="F2372" s="41" t="str">
        <f aca="false">IF(C2372="","",IFERROR(IF(ISNUMBER(SEARCH(Assumptions!$C$5,C2372)),Assumptions!$D$5,IF(ISNUMBER(SEARCH(Assumptions!$C$6,C2372)),Assumptions!$D$6,IF(ISNUMBER(SEARCH(Assumptions!$C$7,C2372)),Assumptions!$D$7,"Other Services"))),"Other Services"))</f>
        <v/>
      </c>
    </row>
    <row r="2373" customFormat="false" ht="15" hidden="false" customHeight="false" outlineLevel="0" collapsed="false">
      <c r="F2373" s="41" t="str">
        <f aca="false">IF(C2373="","",IFERROR(IF(ISNUMBER(SEARCH(Assumptions!$C$5,C2373)),Assumptions!$D$5,IF(ISNUMBER(SEARCH(Assumptions!$C$6,C2373)),Assumptions!$D$6,IF(ISNUMBER(SEARCH(Assumptions!$C$7,C2373)),Assumptions!$D$7,"Other Services"))),"Other Services"))</f>
        <v/>
      </c>
    </row>
    <row r="2374" customFormat="false" ht="15" hidden="false" customHeight="false" outlineLevel="0" collapsed="false">
      <c r="F2374" s="41" t="str">
        <f aca="false">IF(C2374="","",IFERROR(IF(ISNUMBER(SEARCH(Assumptions!$C$5,C2374)),Assumptions!$D$5,IF(ISNUMBER(SEARCH(Assumptions!$C$6,C2374)),Assumptions!$D$6,IF(ISNUMBER(SEARCH(Assumptions!$C$7,C2374)),Assumptions!$D$7,"Other Services"))),"Other Services"))</f>
        <v/>
      </c>
    </row>
    <row r="2375" customFormat="false" ht="15" hidden="false" customHeight="false" outlineLevel="0" collapsed="false">
      <c r="F2375" s="41" t="str">
        <f aca="false">IF(C2375="","",IFERROR(IF(ISNUMBER(SEARCH(Assumptions!$C$5,C2375)),Assumptions!$D$5,IF(ISNUMBER(SEARCH(Assumptions!$C$6,C2375)),Assumptions!$D$6,IF(ISNUMBER(SEARCH(Assumptions!$C$7,C2375)),Assumptions!$D$7,"Other Services"))),"Other Services"))</f>
        <v/>
      </c>
    </row>
    <row r="2376" customFormat="false" ht="15" hidden="false" customHeight="false" outlineLevel="0" collapsed="false">
      <c r="F2376" s="41" t="str">
        <f aca="false">IF(C2376="","",IFERROR(IF(ISNUMBER(SEARCH(Assumptions!$C$5,C2376)),Assumptions!$D$5,IF(ISNUMBER(SEARCH(Assumptions!$C$6,C2376)),Assumptions!$D$6,IF(ISNUMBER(SEARCH(Assumptions!$C$7,C2376)),Assumptions!$D$7,"Other Services"))),"Other Services"))</f>
        <v/>
      </c>
    </row>
    <row r="2377" customFormat="false" ht="15" hidden="false" customHeight="false" outlineLevel="0" collapsed="false">
      <c r="F2377" s="41" t="str">
        <f aca="false">IF(C2377="","",IFERROR(IF(ISNUMBER(SEARCH(Assumptions!$C$5,C2377)),Assumptions!$D$5,IF(ISNUMBER(SEARCH(Assumptions!$C$6,C2377)),Assumptions!$D$6,IF(ISNUMBER(SEARCH(Assumptions!$C$7,C2377)),Assumptions!$D$7,"Other Services"))),"Other Services"))</f>
        <v/>
      </c>
    </row>
    <row r="2378" customFormat="false" ht="15" hidden="false" customHeight="false" outlineLevel="0" collapsed="false">
      <c r="F2378" s="41" t="str">
        <f aca="false">IF(C2378="","",IFERROR(IF(ISNUMBER(SEARCH(Assumptions!$C$5,C2378)),Assumptions!$D$5,IF(ISNUMBER(SEARCH(Assumptions!$C$6,C2378)),Assumptions!$D$6,IF(ISNUMBER(SEARCH(Assumptions!$C$7,C2378)),Assumptions!$D$7,"Other Services"))),"Other Services"))</f>
        <v/>
      </c>
    </row>
    <row r="2379" customFormat="false" ht="15" hidden="false" customHeight="false" outlineLevel="0" collapsed="false">
      <c r="F2379" s="41" t="str">
        <f aca="false">IF(C2379="","",IFERROR(IF(ISNUMBER(SEARCH(Assumptions!$C$5,C2379)),Assumptions!$D$5,IF(ISNUMBER(SEARCH(Assumptions!$C$6,C2379)),Assumptions!$D$6,IF(ISNUMBER(SEARCH(Assumptions!$C$7,C2379)),Assumptions!$D$7,"Other Services"))),"Other Services"))</f>
        <v/>
      </c>
    </row>
    <row r="2380" customFormat="false" ht="15" hidden="false" customHeight="false" outlineLevel="0" collapsed="false">
      <c r="F2380" s="41" t="str">
        <f aca="false">IF(C2380="","",IFERROR(IF(ISNUMBER(SEARCH(Assumptions!$C$5,C2380)),Assumptions!$D$5,IF(ISNUMBER(SEARCH(Assumptions!$C$6,C2380)),Assumptions!$D$6,IF(ISNUMBER(SEARCH(Assumptions!$C$7,C2380)),Assumptions!$D$7,"Other Services"))),"Other Services"))</f>
        <v/>
      </c>
    </row>
    <row r="2381" customFormat="false" ht="15" hidden="false" customHeight="false" outlineLevel="0" collapsed="false">
      <c r="F2381" s="41" t="str">
        <f aca="false">IF(C2381="","",IFERROR(IF(ISNUMBER(SEARCH(Assumptions!$C$5,C2381)),Assumptions!$D$5,IF(ISNUMBER(SEARCH(Assumptions!$C$6,C2381)),Assumptions!$D$6,IF(ISNUMBER(SEARCH(Assumptions!$C$7,C2381)),Assumptions!$D$7,"Other Services"))),"Other Services"))</f>
        <v/>
      </c>
    </row>
    <row r="2382" customFormat="false" ht="15" hidden="false" customHeight="false" outlineLevel="0" collapsed="false">
      <c r="F2382" s="41" t="str">
        <f aca="false">IF(C2382="","",IFERROR(IF(ISNUMBER(SEARCH(Assumptions!$C$5,C2382)),Assumptions!$D$5,IF(ISNUMBER(SEARCH(Assumptions!$C$6,C2382)),Assumptions!$D$6,IF(ISNUMBER(SEARCH(Assumptions!$C$7,C2382)),Assumptions!$D$7,"Other Services"))),"Other Services"))</f>
        <v/>
      </c>
    </row>
    <row r="2383" customFormat="false" ht="15" hidden="false" customHeight="false" outlineLevel="0" collapsed="false">
      <c r="F2383" s="41" t="str">
        <f aca="false">IF(C2383="","",IFERROR(IF(ISNUMBER(SEARCH(Assumptions!$C$5,C2383)),Assumptions!$D$5,IF(ISNUMBER(SEARCH(Assumptions!$C$6,C2383)),Assumptions!$D$6,IF(ISNUMBER(SEARCH(Assumptions!$C$7,C2383)),Assumptions!$D$7,"Other Services"))),"Other Services"))</f>
        <v/>
      </c>
    </row>
    <row r="2384" customFormat="false" ht="15" hidden="false" customHeight="false" outlineLevel="0" collapsed="false">
      <c r="F2384" s="41" t="str">
        <f aca="false">IF(C2384="","",IFERROR(IF(ISNUMBER(SEARCH(Assumptions!$C$5,C2384)),Assumptions!$D$5,IF(ISNUMBER(SEARCH(Assumptions!$C$6,C2384)),Assumptions!$D$6,IF(ISNUMBER(SEARCH(Assumptions!$C$7,C2384)),Assumptions!$D$7,"Other Services"))),"Other Services"))</f>
        <v/>
      </c>
    </row>
    <row r="2385" customFormat="false" ht="15" hidden="false" customHeight="false" outlineLevel="0" collapsed="false">
      <c r="F2385" s="41" t="str">
        <f aca="false">IF(C2385="","",IFERROR(IF(ISNUMBER(SEARCH(Assumptions!$C$5,C2385)),Assumptions!$D$5,IF(ISNUMBER(SEARCH(Assumptions!$C$6,C2385)),Assumptions!$D$6,IF(ISNUMBER(SEARCH(Assumptions!$C$7,C2385)),Assumptions!$D$7,"Other Services"))),"Other Services"))</f>
        <v/>
      </c>
    </row>
    <row r="2386" customFormat="false" ht="15" hidden="false" customHeight="false" outlineLevel="0" collapsed="false">
      <c r="F2386" s="41" t="str">
        <f aca="false">IF(C2386="","",IFERROR(IF(ISNUMBER(SEARCH(Assumptions!$C$5,C2386)),Assumptions!$D$5,IF(ISNUMBER(SEARCH(Assumptions!$C$6,C2386)),Assumptions!$D$6,IF(ISNUMBER(SEARCH(Assumptions!$C$7,C2386)),Assumptions!$D$7,"Other Services"))),"Other Services"))</f>
        <v/>
      </c>
    </row>
    <row r="2387" customFormat="false" ht="15" hidden="false" customHeight="false" outlineLevel="0" collapsed="false">
      <c r="F2387" s="41" t="str">
        <f aca="false">IF(C2387="","",IFERROR(IF(ISNUMBER(SEARCH(Assumptions!$C$5,C2387)),Assumptions!$D$5,IF(ISNUMBER(SEARCH(Assumptions!$C$6,C2387)),Assumptions!$D$6,IF(ISNUMBER(SEARCH(Assumptions!$C$7,C2387)),Assumptions!$D$7,"Other Services"))),"Other Services"))</f>
        <v/>
      </c>
    </row>
    <row r="2388" customFormat="false" ht="15" hidden="false" customHeight="false" outlineLevel="0" collapsed="false">
      <c r="F2388" s="41" t="str">
        <f aca="false">IF(C2388="","",IFERROR(IF(ISNUMBER(SEARCH(Assumptions!$C$5,C2388)),Assumptions!$D$5,IF(ISNUMBER(SEARCH(Assumptions!$C$6,C2388)),Assumptions!$D$6,IF(ISNUMBER(SEARCH(Assumptions!$C$7,C2388)),Assumptions!$D$7,"Other Services"))),"Other Services"))</f>
        <v/>
      </c>
    </row>
    <row r="2389" customFormat="false" ht="15" hidden="false" customHeight="false" outlineLevel="0" collapsed="false">
      <c r="F2389" s="41" t="str">
        <f aca="false">IF(C2389="","",IFERROR(IF(ISNUMBER(SEARCH(Assumptions!$C$5,C2389)),Assumptions!$D$5,IF(ISNUMBER(SEARCH(Assumptions!$C$6,C2389)),Assumptions!$D$6,IF(ISNUMBER(SEARCH(Assumptions!$C$7,C2389)),Assumptions!$D$7,"Other Services"))),"Other Services"))</f>
        <v/>
      </c>
    </row>
    <row r="2390" customFormat="false" ht="15" hidden="false" customHeight="false" outlineLevel="0" collapsed="false">
      <c r="F2390" s="41" t="str">
        <f aca="false">IF(C2390="","",IFERROR(IF(ISNUMBER(SEARCH(Assumptions!$C$5,C2390)),Assumptions!$D$5,IF(ISNUMBER(SEARCH(Assumptions!$C$6,C2390)),Assumptions!$D$6,IF(ISNUMBER(SEARCH(Assumptions!$C$7,C2390)),Assumptions!$D$7,"Other Services"))),"Other Services"))</f>
        <v/>
      </c>
    </row>
    <row r="2391" customFormat="false" ht="15" hidden="false" customHeight="false" outlineLevel="0" collapsed="false">
      <c r="F2391" s="41" t="str">
        <f aca="false">IF(C2391="","",IFERROR(IF(ISNUMBER(SEARCH(Assumptions!$C$5,C2391)),Assumptions!$D$5,IF(ISNUMBER(SEARCH(Assumptions!$C$6,C2391)),Assumptions!$D$6,IF(ISNUMBER(SEARCH(Assumptions!$C$7,C2391)),Assumptions!$D$7,"Other Services"))),"Other Services"))</f>
        <v/>
      </c>
    </row>
    <row r="2392" customFormat="false" ht="15" hidden="false" customHeight="false" outlineLevel="0" collapsed="false">
      <c r="F2392" s="41" t="str">
        <f aca="false">IF(C2392="","",IFERROR(IF(ISNUMBER(SEARCH(Assumptions!$C$5,C2392)),Assumptions!$D$5,IF(ISNUMBER(SEARCH(Assumptions!$C$6,C2392)),Assumptions!$D$6,IF(ISNUMBER(SEARCH(Assumptions!$C$7,C2392)),Assumptions!$D$7,"Other Services"))),"Other Services"))</f>
        <v/>
      </c>
    </row>
    <row r="2393" customFormat="false" ht="15" hidden="false" customHeight="false" outlineLevel="0" collapsed="false">
      <c r="F2393" s="41" t="str">
        <f aca="false">IF(C2393="","",IFERROR(IF(ISNUMBER(SEARCH(Assumptions!$C$5,C2393)),Assumptions!$D$5,IF(ISNUMBER(SEARCH(Assumptions!$C$6,C2393)),Assumptions!$D$6,IF(ISNUMBER(SEARCH(Assumptions!$C$7,C2393)),Assumptions!$D$7,"Other Services"))),"Other Services"))</f>
        <v/>
      </c>
    </row>
    <row r="2394" customFormat="false" ht="15" hidden="false" customHeight="false" outlineLevel="0" collapsed="false">
      <c r="F2394" s="41" t="str">
        <f aca="false">IF(C2394="","",IFERROR(IF(ISNUMBER(SEARCH(Assumptions!$C$5,C2394)),Assumptions!$D$5,IF(ISNUMBER(SEARCH(Assumptions!$C$6,C2394)),Assumptions!$D$6,IF(ISNUMBER(SEARCH(Assumptions!$C$7,C2394)),Assumptions!$D$7,"Other Services"))),"Other Services"))</f>
        <v/>
      </c>
    </row>
    <row r="2395" customFormat="false" ht="15" hidden="false" customHeight="false" outlineLevel="0" collapsed="false">
      <c r="F2395" s="41" t="str">
        <f aca="false">IF(C2395="","",IFERROR(IF(ISNUMBER(SEARCH(Assumptions!$C$5,C2395)),Assumptions!$D$5,IF(ISNUMBER(SEARCH(Assumptions!$C$6,C2395)),Assumptions!$D$6,IF(ISNUMBER(SEARCH(Assumptions!$C$7,C2395)),Assumptions!$D$7,"Other Services"))),"Other Services"))</f>
        <v/>
      </c>
    </row>
    <row r="2396" customFormat="false" ht="15" hidden="false" customHeight="false" outlineLevel="0" collapsed="false">
      <c r="F2396" s="41" t="str">
        <f aca="false">IF(C2396="","",IFERROR(IF(ISNUMBER(SEARCH(Assumptions!$C$5,C2396)),Assumptions!$D$5,IF(ISNUMBER(SEARCH(Assumptions!$C$6,C2396)),Assumptions!$D$6,IF(ISNUMBER(SEARCH(Assumptions!$C$7,C2396)),Assumptions!$D$7,"Other Services"))),"Other Services"))</f>
        <v/>
      </c>
    </row>
    <row r="2397" customFormat="false" ht="15" hidden="false" customHeight="false" outlineLevel="0" collapsed="false">
      <c r="F2397" s="41" t="str">
        <f aca="false">IF(C2397="","",IFERROR(IF(ISNUMBER(SEARCH(Assumptions!$C$5,C2397)),Assumptions!$D$5,IF(ISNUMBER(SEARCH(Assumptions!$C$6,C2397)),Assumptions!$D$6,IF(ISNUMBER(SEARCH(Assumptions!$C$7,C2397)),Assumptions!$D$7,"Other Services"))),"Other Services"))</f>
        <v/>
      </c>
    </row>
    <row r="2398" customFormat="false" ht="15" hidden="false" customHeight="false" outlineLevel="0" collapsed="false">
      <c r="F2398" s="41" t="str">
        <f aca="false">IF(C2398="","",IFERROR(IF(ISNUMBER(SEARCH(Assumptions!$C$5,C2398)),Assumptions!$D$5,IF(ISNUMBER(SEARCH(Assumptions!$C$6,C2398)),Assumptions!$D$6,IF(ISNUMBER(SEARCH(Assumptions!$C$7,C2398)),Assumptions!$D$7,"Other Services"))),"Other Services"))</f>
        <v/>
      </c>
    </row>
    <row r="2399" customFormat="false" ht="15" hidden="false" customHeight="false" outlineLevel="0" collapsed="false">
      <c r="F2399" s="41" t="str">
        <f aca="false">IF(C2399="","",IFERROR(IF(ISNUMBER(SEARCH(Assumptions!$C$5,C2399)),Assumptions!$D$5,IF(ISNUMBER(SEARCH(Assumptions!$C$6,C2399)),Assumptions!$D$6,IF(ISNUMBER(SEARCH(Assumptions!$C$7,C2399)),Assumptions!$D$7,"Other Services"))),"Other Services"))</f>
        <v/>
      </c>
    </row>
    <row r="2400" customFormat="false" ht="15" hidden="false" customHeight="false" outlineLevel="0" collapsed="false">
      <c r="F2400" s="41" t="str">
        <f aca="false">IF(C2400="","",IFERROR(IF(ISNUMBER(SEARCH(Assumptions!$C$5,C2400)),Assumptions!$D$5,IF(ISNUMBER(SEARCH(Assumptions!$C$6,C2400)),Assumptions!$D$6,IF(ISNUMBER(SEARCH(Assumptions!$C$7,C2400)),Assumptions!$D$7,"Other Services"))),"Other Services"))</f>
        <v/>
      </c>
    </row>
    <row r="2401" customFormat="false" ht="15" hidden="false" customHeight="false" outlineLevel="0" collapsed="false">
      <c r="F2401" s="41" t="str">
        <f aca="false">IF(C2401="","",IFERROR(IF(ISNUMBER(SEARCH(Assumptions!$C$5,C2401)),Assumptions!$D$5,IF(ISNUMBER(SEARCH(Assumptions!$C$6,C2401)),Assumptions!$D$6,IF(ISNUMBER(SEARCH(Assumptions!$C$7,C2401)),Assumptions!$D$7,"Other Services"))),"Other Services"))</f>
        <v/>
      </c>
    </row>
    <row r="2402" customFormat="false" ht="15" hidden="false" customHeight="false" outlineLevel="0" collapsed="false">
      <c r="F2402" s="41" t="str">
        <f aca="false">IF(C2402="","",IFERROR(IF(ISNUMBER(SEARCH(Assumptions!$C$5,C2402)),Assumptions!$D$5,IF(ISNUMBER(SEARCH(Assumptions!$C$6,C2402)),Assumptions!$D$6,IF(ISNUMBER(SEARCH(Assumptions!$C$7,C2402)),Assumptions!$D$7,"Other Services"))),"Other Services"))</f>
        <v/>
      </c>
    </row>
    <row r="2403" customFormat="false" ht="15" hidden="false" customHeight="false" outlineLevel="0" collapsed="false">
      <c r="F2403" s="41" t="str">
        <f aca="false">IF(C2403="","",IFERROR(IF(ISNUMBER(SEARCH(Assumptions!$C$5,C2403)),Assumptions!$D$5,IF(ISNUMBER(SEARCH(Assumptions!$C$6,C2403)),Assumptions!$D$6,IF(ISNUMBER(SEARCH(Assumptions!$C$7,C2403)),Assumptions!$D$7,"Other Services"))),"Other Services"))</f>
        <v/>
      </c>
    </row>
    <row r="2404" customFormat="false" ht="15" hidden="false" customHeight="false" outlineLevel="0" collapsed="false">
      <c r="F2404" s="41" t="str">
        <f aca="false">IF(C2404="","",IFERROR(IF(ISNUMBER(SEARCH(Assumptions!$C$5,C2404)),Assumptions!$D$5,IF(ISNUMBER(SEARCH(Assumptions!$C$6,C2404)),Assumptions!$D$6,IF(ISNUMBER(SEARCH(Assumptions!$C$7,C2404)),Assumptions!$D$7,"Other Services"))),"Other Services"))</f>
        <v/>
      </c>
    </row>
    <row r="2405" customFormat="false" ht="15" hidden="false" customHeight="false" outlineLevel="0" collapsed="false">
      <c r="F2405" s="41" t="str">
        <f aca="false">IF(C2405="","",IFERROR(IF(ISNUMBER(SEARCH(Assumptions!$C$5,C2405)),Assumptions!$D$5,IF(ISNUMBER(SEARCH(Assumptions!$C$6,C2405)),Assumptions!$D$6,IF(ISNUMBER(SEARCH(Assumptions!$C$7,C2405)),Assumptions!$D$7,"Other Services"))),"Other Services"))</f>
        <v/>
      </c>
    </row>
    <row r="2406" customFormat="false" ht="15" hidden="false" customHeight="false" outlineLevel="0" collapsed="false">
      <c r="F2406" s="41" t="str">
        <f aca="false">IF(C2406="","",IFERROR(IF(ISNUMBER(SEARCH(Assumptions!$C$5,C2406)),Assumptions!$D$5,IF(ISNUMBER(SEARCH(Assumptions!$C$6,C2406)),Assumptions!$D$6,IF(ISNUMBER(SEARCH(Assumptions!$C$7,C2406)),Assumptions!$D$7,"Other Services"))),"Other Services"))</f>
        <v/>
      </c>
    </row>
    <row r="2407" customFormat="false" ht="15" hidden="false" customHeight="false" outlineLevel="0" collapsed="false">
      <c r="F2407" s="41" t="str">
        <f aca="false">IF(C2407="","",IFERROR(IF(ISNUMBER(SEARCH(Assumptions!$C$5,C2407)),Assumptions!$D$5,IF(ISNUMBER(SEARCH(Assumptions!$C$6,C2407)),Assumptions!$D$6,IF(ISNUMBER(SEARCH(Assumptions!$C$7,C2407)),Assumptions!$D$7,"Other Services"))),"Other Services"))</f>
        <v/>
      </c>
    </row>
    <row r="2408" customFormat="false" ht="15" hidden="false" customHeight="false" outlineLevel="0" collapsed="false">
      <c r="F2408" s="41" t="str">
        <f aca="false">IF(C2408="","",IFERROR(IF(ISNUMBER(SEARCH(Assumptions!$C$5,C2408)),Assumptions!$D$5,IF(ISNUMBER(SEARCH(Assumptions!$C$6,C2408)),Assumptions!$D$6,IF(ISNUMBER(SEARCH(Assumptions!$C$7,C2408)),Assumptions!$D$7,"Other Services"))),"Other Services"))</f>
        <v/>
      </c>
    </row>
    <row r="2409" customFormat="false" ht="15" hidden="false" customHeight="false" outlineLevel="0" collapsed="false">
      <c r="F2409" s="41" t="str">
        <f aca="false">IF(C2409="","",IFERROR(IF(ISNUMBER(SEARCH(Assumptions!$C$5,C2409)),Assumptions!$D$5,IF(ISNUMBER(SEARCH(Assumptions!$C$6,C2409)),Assumptions!$D$6,IF(ISNUMBER(SEARCH(Assumptions!$C$7,C2409)),Assumptions!$D$7,"Other Services"))),"Other Services"))</f>
        <v/>
      </c>
    </row>
    <row r="2410" customFormat="false" ht="15" hidden="false" customHeight="false" outlineLevel="0" collapsed="false">
      <c r="F2410" s="41" t="str">
        <f aca="false">IF(C2410="","",IFERROR(IF(ISNUMBER(SEARCH(Assumptions!$C$5,C2410)),Assumptions!$D$5,IF(ISNUMBER(SEARCH(Assumptions!$C$6,C2410)),Assumptions!$D$6,IF(ISNUMBER(SEARCH(Assumptions!$C$7,C2410)),Assumptions!$D$7,"Other Services"))),"Other Services"))</f>
        <v/>
      </c>
    </row>
    <row r="2411" customFormat="false" ht="15" hidden="false" customHeight="false" outlineLevel="0" collapsed="false">
      <c r="F2411" s="41" t="str">
        <f aca="false">IF(C2411="","",IFERROR(IF(ISNUMBER(SEARCH(Assumptions!$C$5,C2411)),Assumptions!$D$5,IF(ISNUMBER(SEARCH(Assumptions!$C$6,C2411)),Assumptions!$D$6,IF(ISNUMBER(SEARCH(Assumptions!$C$7,C2411)),Assumptions!$D$7,"Other Services"))),"Other Services"))</f>
        <v/>
      </c>
    </row>
    <row r="2412" customFormat="false" ht="15" hidden="false" customHeight="false" outlineLevel="0" collapsed="false">
      <c r="F2412" s="41" t="str">
        <f aca="false">IF(C2412="","",IFERROR(IF(ISNUMBER(SEARCH(Assumptions!$C$5,C2412)),Assumptions!$D$5,IF(ISNUMBER(SEARCH(Assumptions!$C$6,C2412)),Assumptions!$D$6,IF(ISNUMBER(SEARCH(Assumptions!$C$7,C2412)),Assumptions!$D$7,"Other Services"))),"Other Services"))</f>
        <v/>
      </c>
    </row>
    <row r="2413" customFormat="false" ht="15" hidden="false" customHeight="false" outlineLevel="0" collapsed="false">
      <c r="F2413" s="41" t="str">
        <f aca="false">IF(C2413="","",IFERROR(IF(ISNUMBER(SEARCH(Assumptions!$C$5,C2413)),Assumptions!$D$5,IF(ISNUMBER(SEARCH(Assumptions!$C$6,C2413)),Assumptions!$D$6,IF(ISNUMBER(SEARCH(Assumptions!$C$7,C2413)),Assumptions!$D$7,"Other Services"))),"Other Services"))</f>
        <v/>
      </c>
    </row>
    <row r="2414" customFormat="false" ht="15" hidden="false" customHeight="false" outlineLevel="0" collapsed="false">
      <c r="F2414" s="41" t="str">
        <f aca="false">IF(C2414="","",IFERROR(IF(ISNUMBER(SEARCH(Assumptions!$C$5,C2414)),Assumptions!$D$5,IF(ISNUMBER(SEARCH(Assumptions!$C$6,C2414)),Assumptions!$D$6,IF(ISNUMBER(SEARCH(Assumptions!$C$7,C2414)),Assumptions!$D$7,"Other Services"))),"Other Services"))</f>
        <v/>
      </c>
    </row>
    <row r="2415" customFormat="false" ht="15" hidden="false" customHeight="false" outlineLevel="0" collapsed="false">
      <c r="F2415" s="41" t="str">
        <f aca="false">IF(C2415="","",IFERROR(IF(ISNUMBER(SEARCH(Assumptions!$C$5,C2415)),Assumptions!$D$5,IF(ISNUMBER(SEARCH(Assumptions!$C$6,C2415)),Assumptions!$D$6,IF(ISNUMBER(SEARCH(Assumptions!$C$7,C2415)),Assumptions!$D$7,"Other Services"))),"Other Services"))</f>
        <v/>
      </c>
    </row>
    <row r="2416" customFormat="false" ht="15" hidden="false" customHeight="false" outlineLevel="0" collapsed="false">
      <c r="F2416" s="41" t="str">
        <f aca="false">IF(C2416="","",IFERROR(IF(ISNUMBER(SEARCH(Assumptions!$C$5,C2416)),Assumptions!$D$5,IF(ISNUMBER(SEARCH(Assumptions!$C$6,C2416)),Assumptions!$D$6,IF(ISNUMBER(SEARCH(Assumptions!$C$7,C2416)),Assumptions!$D$7,"Other Services"))),"Other Services"))</f>
        <v/>
      </c>
    </row>
    <row r="2417" customFormat="false" ht="15" hidden="false" customHeight="false" outlineLevel="0" collapsed="false">
      <c r="F2417" s="41" t="str">
        <f aca="false">IF(C2417="","",IFERROR(IF(ISNUMBER(SEARCH(Assumptions!$C$5,C2417)),Assumptions!$D$5,IF(ISNUMBER(SEARCH(Assumptions!$C$6,C2417)),Assumptions!$D$6,IF(ISNUMBER(SEARCH(Assumptions!$C$7,C2417)),Assumptions!$D$7,"Other Services"))),"Other Services"))</f>
        <v/>
      </c>
    </row>
    <row r="2418" customFormat="false" ht="15" hidden="false" customHeight="false" outlineLevel="0" collapsed="false">
      <c r="F2418" s="41" t="str">
        <f aca="false">IF(C2418="","",IFERROR(IF(ISNUMBER(SEARCH(Assumptions!$C$5,C2418)),Assumptions!$D$5,IF(ISNUMBER(SEARCH(Assumptions!$C$6,C2418)),Assumptions!$D$6,IF(ISNUMBER(SEARCH(Assumptions!$C$7,C2418)),Assumptions!$D$7,"Other Services"))),"Other Services"))</f>
        <v/>
      </c>
    </row>
    <row r="2419" customFormat="false" ht="15" hidden="false" customHeight="false" outlineLevel="0" collapsed="false">
      <c r="F2419" s="41" t="str">
        <f aca="false">IF(C2419="","",IFERROR(IF(ISNUMBER(SEARCH(Assumptions!$C$5,C2419)),Assumptions!$D$5,IF(ISNUMBER(SEARCH(Assumptions!$C$6,C2419)),Assumptions!$D$6,IF(ISNUMBER(SEARCH(Assumptions!$C$7,C2419)),Assumptions!$D$7,"Other Services"))),"Other Services"))</f>
        <v/>
      </c>
    </row>
    <row r="2420" customFormat="false" ht="15" hidden="false" customHeight="false" outlineLevel="0" collapsed="false">
      <c r="F2420" s="41" t="str">
        <f aca="false">IF(C2420="","",IFERROR(IF(ISNUMBER(SEARCH(Assumptions!$C$5,C2420)),Assumptions!$D$5,IF(ISNUMBER(SEARCH(Assumptions!$C$6,C2420)),Assumptions!$D$6,IF(ISNUMBER(SEARCH(Assumptions!$C$7,C2420)),Assumptions!$D$7,"Other Services"))),"Other Services"))</f>
        <v/>
      </c>
    </row>
    <row r="2421" customFormat="false" ht="15" hidden="false" customHeight="false" outlineLevel="0" collapsed="false">
      <c r="F2421" s="41" t="str">
        <f aca="false">IF(C2421="","",IFERROR(IF(ISNUMBER(SEARCH(Assumptions!$C$5,C2421)),Assumptions!$D$5,IF(ISNUMBER(SEARCH(Assumptions!$C$6,C2421)),Assumptions!$D$6,IF(ISNUMBER(SEARCH(Assumptions!$C$7,C2421)),Assumptions!$D$7,"Other Services"))),"Other Services"))</f>
        <v/>
      </c>
    </row>
    <row r="2422" customFormat="false" ht="15" hidden="false" customHeight="false" outlineLevel="0" collapsed="false">
      <c r="F2422" s="41" t="str">
        <f aca="false">IF(C2422="","",IFERROR(IF(ISNUMBER(SEARCH(Assumptions!$C$5,C2422)),Assumptions!$D$5,IF(ISNUMBER(SEARCH(Assumptions!$C$6,C2422)),Assumptions!$D$6,IF(ISNUMBER(SEARCH(Assumptions!$C$7,C2422)),Assumptions!$D$7,"Other Services"))),"Other Services"))</f>
        <v/>
      </c>
    </row>
    <row r="2423" customFormat="false" ht="15" hidden="false" customHeight="false" outlineLevel="0" collapsed="false">
      <c r="F2423" s="41" t="str">
        <f aca="false">IF(C2423="","",IFERROR(IF(ISNUMBER(SEARCH(Assumptions!$C$5,C2423)),Assumptions!$D$5,IF(ISNUMBER(SEARCH(Assumptions!$C$6,C2423)),Assumptions!$D$6,IF(ISNUMBER(SEARCH(Assumptions!$C$7,C2423)),Assumptions!$D$7,"Other Services"))),"Other Services"))</f>
        <v/>
      </c>
    </row>
    <row r="2424" customFormat="false" ht="15" hidden="false" customHeight="false" outlineLevel="0" collapsed="false">
      <c r="F2424" s="41" t="str">
        <f aca="false">IF(C2424="","",IFERROR(IF(ISNUMBER(SEARCH(Assumptions!$C$5,C2424)),Assumptions!$D$5,IF(ISNUMBER(SEARCH(Assumptions!$C$6,C2424)),Assumptions!$D$6,IF(ISNUMBER(SEARCH(Assumptions!$C$7,C2424)),Assumptions!$D$7,"Other Services"))),"Other Services"))</f>
        <v/>
      </c>
    </row>
    <row r="2425" customFormat="false" ht="15" hidden="false" customHeight="false" outlineLevel="0" collapsed="false">
      <c r="F2425" s="41" t="str">
        <f aca="false">IF(C2425="","",IFERROR(IF(ISNUMBER(SEARCH(Assumptions!$C$5,C2425)),Assumptions!$D$5,IF(ISNUMBER(SEARCH(Assumptions!$C$6,C2425)),Assumptions!$D$6,IF(ISNUMBER(SEARCH(Assumptions!$C$7,C2425)),Assumptions!$D$7,"Other Services"))),"Other Services"))</f>
        <v/>
      </c>
    </row>
    <row r="2426" customFormat="false" ht="15" hidden="false" customHeight="false" outlineLevel="0" collapsed="false">
      <c r="F2426" s="41" t="str">
        <f aca="false">IF(C2426="","",IFERROR(IF(ISNUMBER(SEARCH(Assumptions!$C$5,C2426)),Assumptions!$D$5,IF(ISNUMBER(SEARCH(Assumptions!$C$6,C2426)),Assumptions!$D$6,IF(ISNUMBER(SEARCH(Assumptions!$C$7,C2426)),Assumptions!$D$7,"Other Services"))),"Other Services"))</f>
        <v/>
      </c>
    </row>
    <row r="2427" customFormat="false" ht="15" hidden="false" customHeight="false" outlineLevel="0" collapsed="false">
      <c r="F2427" s="41" t="str">
        <f aca="false">IF(C2427="","",IFERROR(IF(ISNUMBER(SEARCH(Assumptions!$C$5,C2427)),Assumptions!$D$5,IF(ISNUMBER(SEARCH(Assumptions!$C$6,C2427)),Assumptions!$D$6,IF(ISNUMBER(SEARCH(Assumptions!$C$7,C2427)),Assumptions!$D$7,"Other Services"))),"Other Services"))</f>
        <v/>
      </c>
    </row>
    <row r="2428" customFormat="false" ht="15" hidden="false" customHeight="false" outlineLevel="0" collapsed="false">
      <c r="F2428" s="41" t="str">
        <f aca="false">IF(C2428="","",IFERROR(IF(ISNUMBER(SEARCH(Assumptions!$C$5,C2428)),Assumptions!$D$5,IF(ISNUMBER(SEARCH(Assumptions!$C$6,C2428)),Assumptions!$D$6,IF(ISNUMBER(SEARCH(Assumptions!$C$7,C2428)),Assumptions!$D$7,"Other Services"))),"Other Services"))</f>
        <v/>
      </c>
    </row>
    <row r="2429" customFormat="false" ht="15" hidden="false" customHeight="false" outlineLevel="0" collapsed="false">
      <c r="F2429" s="41" t="str">
        <f aca="false">IF(C2429="","",IFERROR(IF(ISNUMBER(SEARCH(Assumptions!$C$5,C2429)),Assumptions!$D$5,IF(ISNUMBER(SEARCH(Assumptions!$C$6,C2429)),Assumptions!$D$6,IF(ISNUMBER(SEARCH(Assumptions!$C$7,C2429)),Assumptions!$D$7,"Other Services"))),"Other Services"))</f>
        <v/>
      </c>
    </row>
    <row r="2430" customFormat="false" ht="15" hidden="false" customHeight="false" outlineLevel="0" collapsed="false">
      <c r="F2430" s="41" t="str">
        <f aca="false">IF(C2430="","",IFERROR(IF(ISNUMBER(SEARCH(Assumptions!$C$5,C2430)),Assumptions!$D$5,IF(ISNUMBER(SEARCH(Assumptions!$C$6,C2430)),Assumptions!$D$6,IF(ISNUMBER(SEARCH(Assumptions!$C$7,C2430)),Assumptions!$D$7,"Other Services"))),"Other Services"))</f>
        <v/>
      </c>
    </row>
    <row r="2431" customFormat="false" ht="15" hidden="false" customHeight="false" outlineLevel="0" collapsed="false">
      <c r="F2431" s="41" t="str">
        <f aca="false">IF(C2431="","",IFERROR(IF(ISNUMBER(SEARCH(Assumptions!$C$5,C2431)),Assumptions!$D$5,IF(ISNUMBER(SEARCH(Assumptions!$C$6,C2431)),Assumptions!$D$6,IF(ISNUMBER(SEARCH(Assumptions!$C$7,C2431)),Assumptions!$D$7,"Other Services"))),"Other Services"))</f>
        <v/>
      </c>
    </row>
    <row r="2432" customFormat="false" ht="15" hidden="false" customHeight="false" outlineLevel="0" collapsed="false">
      <c r="F2432" s="41" t="str">
        <f aca="false">IF(C2432="","",IFERROR(IF(ISNUMBER(SEARCH(Assumptions!$C$5,C2432)),Assumptions!$D$5,IF(ISNUMBER(SEARCH(Assumptions!$C$6,C2432)),Assumptions!$D$6,IF(ISNUMBER(SEARCH(Assumptions!$C$7,C2432)),Assumptions!$D$7,"Other Services"))),"Other Services"))</f>
        <v/>
      </c>
    </row>
    <row r="2433" customFormat="false" ht="15" hidden="false" customHeight="false" outlineLevel="0" collapsed="false">
      <c r="F2433" s="41" t="str">
        <f aca="false">IF(C2433="","",IFERROR(IF(ISNUMBER(SEARCH(Assumptions!$C$5,C2433)),Assumptions!$D$5,IF(ISNUMBER(SEARCH(Assumptions!$C$6,C2433)),Assumptions!$D$6,IF(ISNUMBER(SEARCH(Assumptions!$C$7,C2433)),Assumptions!$D$7,"Other Services"))),"Other Services"))</f>
        <v/>
      </c>
    </row>
    <row r="2434" customFormat="false" ht="15" hidden="false" customHeight="false" outlineLevel="0" collapsed="false">
      <c r="F2434" s="41" t="str">
        <f aca="false">IF(C2434="","",IFERROR(IF(ISNUMBER(SEARCH(Assumptions!$C$5,C2434)),Assumptions!$D$5,IF(ISNUMBER(SEARCH(Assumptions!$C$6,C2434)),Assumptions!$D$6,IF(ISNUMBER(SEARCH(Assumptions!$C$7,C2434)),Assumptions!$D$7,"Other Services"))),"Other Services"))</f>
        <v/>
      </c>
    </row>
    <row r="2435" customFormat="false" ht="15" hidden="false" customHeight="false" outlineLevel="0" collapsed="false">
      <c r="F2435" s="41" t="str">
        <f aca="false">IF(C2435="","",IFERROR(IF(ISNUMBER(SEARCH(Assumptions!$C$5,C2435)),Assumptions!$D$5,IF(ISNUMBER(SEARCH(Assumptions!$C$6,C2435)),Assumptions!$D$6,IF(ISNUMBER(SEARCH(Assumptions!$C$7,C2435)),Assumptions!$D$7,"Other Services"))),"Other Services"))</f>
        <v/>
      </c>
    </row>
    <row r="2436" customFormat="false" ht="15" hidden="false" customHeight="false" outlineLevel="0" collapsed="false">
      <c r="F2436" s="41" t="str">
        <f aca="false">IF(C2436="","",IFERROR(IF(ISNUMBER(SEARCH(Assumptions!$C$5,C2436)),Assumptions!$D$5,IF(ISNUMBER(SEARCH(Assumptions!$C$6,C2436)),Assumptions!$D$6,IF(ISNUMBER(SEARCH(Assumptions!$C$7,C2436)),Assumptions!$D$7,"Other Services"))),"Other Services"))</f>
        <v/>
      </c>
    </row>
    <row r="2437" customFormat="false" ht="15" hidden="false" customHeight="false" outlineLevel="0" collapsed="false">
      <c r="F2437" s="41" t="str">
        <f aca="false">IF(C2437="","",IFERROR(IF(ISNUMBER(SEARCH(Assumptions!$C$5,C2437)),Assumptions!$D$5,IF(ISNUMBER(SEARCH(Assumptions!$C$6,C2437)),Assumptions!$D$6,IF(ISNUMBER(SEARCH(Assumptions!$C$7,C2437)),Assumptions!$D$7,"Other Services"))),"Other Services"))</f>
        <v/>
      </c>
    </row>
    <row r="2438" customFormat="false" ht="15" hidden="false" customHeight="false" outlineLevel="0" collapsed="false">
      <c r="F2438" s="41" t="str">
        <f aca="false">IF(C2438="","",IFERROR(IF(ISNUMBER(SEARCH(Assumptions!$C$5,C2438)),Assumptions!$D$5,IF(ISNUMBER(SEARCH(Assumptions!$C$6,C2438)),Assumptions!$D$6,IF(ISNUMBER(SEARCH(Assumptions!$C$7,C2438)),Assumptions!$D$7,"Other Services"))),"Other Services"))</f>
        <v/>
      </c>
    </row>
    <row r="2439" customFormat="false" ht="15" hidden="false" customHeight="false" outlineLevel="0" collapsed="false">
      <c r="F2439" s="41" t="str">
        <f aca="false">IF(C2439="","",IFERROR(IF(ISNUMBER(SEARCH(Assumptions!$C$5,C2439)),Assumptions!$D$5,IF(ISNUMBER(SEARCH(Assumptions!$C$6,C2439)),Assumptions!$D$6,IF(ISNUMBER(SEARCH(Assumptions!$C$7,C2439)),Assumptions!$D$7,"Other Services"))),"Other Services"))</f>
        <v/>
      </c>
    </row>
    <row r="2440" customFormat="false" ht="15" hidden="false" customHeight="false" outlineLevel="0" collapsed="false">
      <c r="F2440" s="41" t="str">
        <f aca="false">IF(C2440="","",IFERROR(IF(ISNUMBER(SEARCH(Assumptions!$C$5,C2440)),Assumptions!$D$5,IF(ISNUMBER(SEARCH(Assumptions!$C$6,C2440)),Assumptions!$D$6,IF(ISNUMBER(SEARCH(Assumptions!$C$7,C2440)),Assumptions!$D$7,"Other Services"))),"Other Services"))</f>
        <v/>
      </c>
    </row>
    <row r="2441" customFormat="false" ht="15" hidden="false" customHeight="false" outlineLevel="0" collapsed="false">
      <c r="F2441" s="41" t="str">
        <f aca="false">IF(C2441="","",IFERROR(IF(ISNUMBER(SEARCH(Assumptions!$C$5,C2441)),Assumptions!$D$5,IF(ISNUMBER(SEARCH(Assumptions!$C$6,C2441)),Assumptions!$D$6,IF(ISNUMBER(SEARCH(Assumptions!$C$7,C2441)),Assumptions!$D$7,"Other Services"))),"Other Services"))</f>
        <v/>
      </c>
    </row>
    <row r="2442" customFormat="false" ht="15" hidden="false" customHeight="false" outlineLevel="0" collapsed="false">
      <c r="F2442" s="41" t="str">
        <f aca="false">IF(C2442="","",IFERROR(IF(ISNUMBER(SEARCH(Assumptions!$C$5,C2442)),Assumptions!$D$5,IF(ISNUMBER(SEARCH(Assumptions!$C$6,C2442)),Assumptions!$D$6,IF(ISNUMBER(SEARCH(Assumptions!$C$7,C2442)),Assumptions!$D$7,"Other Services"))),"Other Services"))</f>
        <v/>
      </c>
    </row>
    <row r="2443" customFormat="false" ht="15" hidden="false" customHeight="false" outlineLevel="0" collapsed="false">
      <c r="F2443" s="41" t="str">
        <f aca="false">IF(C2443="","",IFERROR(IF(ISNUMBER(SEARCH(Assumptions!$C$5,C2443)),Assumptions!$D$5,IF(ISNUMBER(SEARCH(Assumptions!$C$6,C2443)),Assumptions!$D$6,IF(ISNUMBER(SEARCH(Assumptions!$C$7,C2443)),Assumptions!$D$7,"Other Services"))),"Other Services"))</f>
        <v/>
      </c>
    </row>
    <row r="2444" customFormat="false" ht="15" hidden="false" customHeight="false" outlineLevel="0" collapsed="false">
      <c r="F2444" s="41" t="str">
        <f aca="false">IF(C2444="","",IFERROR(IF(ISNUMBER(SEARCH(Assumptions!$C$5,C2444)),Assumptions!$D$5,IF(ISNUMBER(SEARCH(Assumptions!$C$6,C2444)),Assumptions!$D$6,IF(ISNUMBER(SEARCH(Assumptions!$C$7,C2444)),Assumptions!$D$7,"Other Services"))),"Other Services"))</f>
        <v/>
      </c>
    </row>
    <row r="2445" customFormat="false" ht="15" hidden="false" customHeight="false" outlineLevel="0" collapsed="false">
      <c r="F2445" s="41" t="str">
        <f aca="false">IF(C2445="","",IFERROR(IF(ISNUMBER(SEARCH(Assumptions!$C$5,C2445)),Assumptions!$D$5,IF(ISNUMBER(SEARCH(Assumptions!$C$6,C2445)),Assumptions!$D$6,IF(ISNUMBER(SEARCH(Assumptions!$C$7,C2445)),Assumptions!$D$7,"Other Services"))),"Other Services"))</f>
        <v/>
      </c>
    </row>
    <row r="2446" customFormat="false" ht="15" hidden="false" customHeight="false" outlineLevel="0" collapsed="false">
      <c r="F2446" s="41" t="str">
        <f aca="false">IF(C2446="","",IFERROR(IF(ISNUMBER(SEARCH(Assumptions!$C$5,C2446)),Assumptions!$D$5,IF(ISNUMBER(SEARCH(Assumptions!$C$6,C2446)),Assumptions!$D$6,IF(ISNUMBER(SEARCH(Assumptions!$C$7,C2446)),Assumptions!$D$7,"Other Services"))),"Other Services"))</f>
        <v/>
      </c>
    </row>
    <row r="2447" customFormat="false" ht="15" hidden="false" customHeight="false" outlineLevel="0" collapsed="false">
      <c r="F2447" s="41" t="str">
        <f aca="false">IF(C2447="","",IFERROR(IF(ISNUMBER(SEARCH(Assumptions!$C$5,C2447)),Assumptions!$D$5,IF(ISNUMBER(SEARCH(Assumptions!$C$6,C2447)),Assumptions!$D$6,IF(ISNUMBER(SEARCH(Assumptions!$C$7,C2447)),Assumptions!$D$7,"Other Services"))),"Other Services"))</f>
        <v/>
      </c>
    </row>
    <row r="2448" customFormat="false" ht="15" hidden="false" customHeight="false" outlineLevel="0" collapsed="false">
      <c r="F2448" s="41" t="str">
        <f aca="false">IF(C2448="","",IFERROR(IF(ISNUMBER(SEARCH(Assumptions!$C$5,C2448)),Assumptions!$D$5,IF(ISNUMBER(SEARCH(Assumptions!$C$6,C2448)),Assumptions!$D$6,IF(ISNUMBER(SEARCH(Assumptions!$C$7,C2448)),Assumptions!$D$7,"Other Services"))),"Other Services"))</f>
        <v/>
      </c>
    </row>
    <row r="2449" customFormat="false" ht="15" hidden="false" customHeight="false" outlineLevel="0" collapsed="false">
      <c r="F2449" s="41" t="str">
        <f aca="false">IF(C2449="","",IFERROR(IF(ISNUMBER(SEARCH(Assumptions!$C$5,C2449)),Assumptions!$D$5,IF(ISNUMBER(SEARCH(Assumptions!$C$6,C2449)),Assumptions!$D$6,IF(ISNUMBER(SEARCH(Assumptions!$C$7,C2449)),Assumptions!$D$7,"Other Services"))),"Other Services"))</f>
        <v/>
      </c>
    </row>
    <row r="2450" customFormat="false" ht="15" hidden="false" customHeight="false" outlineLevel="0" collapsed="false">
      <c r="F2450" s="41" t="str">
        <f aca="false">IF(C2450="","",IFERROR(IF(ISNUMBER(SEARCH(Assumptions!$C$5,C2450)),Assumptions!$D$5,IF(ISNUMBER(SEARCH(Assumptions!$C$6,C2450)),Assumptions!$D$6,IF(ISNUMBER(SEARCH(Assumptions!$C$7,C2450)),Assumptions!$D$7,"Other Services"))),"Other Services"))</f>
        <v/>
      </c>
    </row>
    <row r="2451" customFormat="false" ht="15" hidden="false" customHeight="false" outlineLevel="0" collapsed="false">
      <c r="F2451" s="41" t="str">
        <f aca="false">IF(C2451="","",IFERROR(IF(ISNUMBER(SEARCH(Assumptions!$C$5,C2451)),Assumptions!$D$5,IF(ISNUMBER(SEARCH(Assumptions!$C$6,C2451)),Assumptions!$D$6,IF(ISNUMBER(SEARCH(Assumptions!$C$7,C2451)),Assumptions!$D$7,"Other Services"))),"Other Services"))</f>
        <v/>
      </c>
    </row>
    <row r="2452" customFormat="false" ht="15" hidden="false" customHeight="false" outlineLevel="0" collapsed="false">
      <c r="F2452" s="41" t="str">
        <f aca="false">IF(C2452="","",IFERROR(IF(ISNUMBER(SEARCH(Assumptions!$C$5,C2452)),Assumptions!$D$5,IF(ISNUMBER(SEARCH(Assumptions!$C$6,C2452)),Assumptions!$D$6,IF(ISNUMBER(SEARCH(Assumptions!$C$7,C2452)),Assumptions!$D$7,"Other Services"))),"Other Services"))</f>
        <v/>
      </c>
    </row>
    <row r="2453" customFormat="false" ht="15" hidden="false" customHeight="false" outlineLevel="0" collapsed="false">
      <c r="F2453" s="41" t="str">
        <f aca="false">IF(C2453="","",IFERROR(IF(ISNUMBER(SEARCH(Assumptions!$C$5,C2453)),Assumptions!$D$5,IF(ISNUMBER(SEARCH(Assumptions!$C$6,C2453)),Assumptions!$D$6,IF(ISNUMBER(SEARCH(Assumptions!$C$7,C2453)),Assumptions!$D$7,"Other Services"))),"Other Services"))</f>
        <v/>
      </c>
    </row>
    <row r="2454" customFormat="false" ht="15" hidden="false" customHeight="false" outlineLevel="0" collapsed="false">
      <c r="F2454" s="41" t="str">
        <f aca="false">IF(C2454="","",IFERROR(IF(ISNUMBER(SEARCH(Assumptions!$C$5,C2454)),Assumptions!$D$5,IF(ISNUMBER(SEARCH(Assumptions!$C$6,C2454)),Assumptions!$D$6,IF(ISNUMBER(SEARCH(Assumptions!$C$7,C2454)),Assumptions!$D$7,"Other Services"))),"Other Services"))</f>
        <v/>
      </c>
    </row>
    <row r="2455" customFormat="false" ht="15" hidden="false" customHeight="false" outlineLevel="0" collapsed="false">
      <c r="F2455" s="41" t="str">
        <f aca="false">IF(C2455="","",IFERROR(IF(ISNUMBER(SEARCH(Assumptions!$C$5,C2455)),Assumptions!$D$5,IF(ISNUMBER(SEARCH(Assumptions!$C$6,C2455)),Assumptions!$D$6,IF(ISNUMBER(SEARCH(Assumptions!$C$7,C2455)),Assumptions!$D$7,"Other Services"))),"Other Services"))</f>
        <v/>
      </c>
    </row>
    <row r="2456" customFormat="false" ht="15" hidden="false" customHeight="false" outlineLevel="0" collapsed="false">
      <c r="F2456" s="41" t="str">
        <f aca="false">IF(C2456="","",IFERROR(IF(ISNUMBER(SEARCH(Assumptions!$C$5,C2456)),Assumptions!$D$5,IF(ISNUMBER(SEARCH(Assumptions!$C$6,C2456)),Assumptions!$D$6,IF(ISNUMBER(SEARCH(Assumptions!$C$7,C2456)),Assumptions!$D$7,"Other Services"))),"Other Services"))</f>
        <v/>
      </c>
    </row>
    <row r="2457" customFormat="false" ht="15" hidden="false" customHeight="false" outlineLevel="0" collapsed="false">
      <c r="F2457" s="41" t="str">
        <f aca="false">IF(C2457="","",IFERROR(IF(ISNUMBER(SEARCH(Assumptions!$C$5,C2457)),Assumptions!$D$5,IF(ISNUMBER(SEARCH(Assumptions!$C$6,C2457)),Assumptions!$D$6,IF(ISNUMBER(SEARCH(Assumptions!$C$7,C2457)),Assumptions!$D$7,"Other Services"))),"Other Services"))</f>
        <v/>
      </c>
    </row>
    <row r="2458" customFormat="false" ht="15" hidden="false" customHeight="false" outlineLevel="0" collapsed="false">
      <c r="F2458" s="41" t="str">
        <f aca="false">IF(C2458="","",IFERROR(IF(ISNUMBER(SEARCH(Assumptions!$C$5,C2458)),Assumptions!$D$5,IF(ISNUMBER(SEARCH(Assumptions!$C$6,C2458)),Assumptions!$D$6,IF(ISNUMBER(SEARCH(Assumptions!$C$7,C2458)),Assumptions!$D$7,"Other Services"))),"Other Services"))</f>
        <v/>
      </c>
    </row>
    <row r="2459" customFormat="false" ht="15" hidden="false" customHeight="false" outlineLevel="0" collapsed="false">
      <c r="F2459" s="41" t="str">
        <f aca="false">IF(C2459="","",IFERROR(IF(ISNUMBER(SEARCH(Assumptions!$C$5,C2459)),Assumptions!$D$5,IF(ISNUMBER(SEARCH(Assumptions!$C$6,C2459)),Assumptions!$D$6,IF(ISNUMBER(SEARCH(Assumptions!$C$7,C2459)),Assumptions!$D$7,"Other Services"))),"Other Services"))</f>
        <v/>
      </c>
    </row>
    <row r="2460" customFormat="false" ht="15" hidden="false" customHeight="false" outlineLevel="0" collapsed="false">
      <c r="F2460" s="41" t="str">
        <f aca="false">IF(C2460="","",IFERROR(IF(ISNUMBER(SEARCH(Assumptions!$C$5,C2460)),Assumptions!$D$5,IF(ISNUMBER(SEARCH(Assumptions!$C$6,C2460)),Assumptions!$D$6,IF(ISNUMBER(SEARCH(Assumptions!$C$7,C2460)),Assumptions!$D$7,"Other Services"))),"Other Services"))</f>
        <v/>
      </c>
    </row>
    <row r="2461" customFormat="false" ht="15" hidden="false" customHeight="false" outlineLevel="0" collapsed="false">
      <c r="F2461" s="41" t="str">
        <f aca="false">IF(C2461="","",IFERROR(IF(ISNUMBER(SEARCH(Assumptions!$C$5,C2461)),Assumptions!$D$5,IF(ISNUMBER(SEARCH(Assumptions!$C$6,C2461)),Assumptions!$D$6,IF(ISNUMBER(SEARCH(Assumptions!$C$7,C2461)),Assumptions!$D$7,"Other Services"))),"Other Services"))</f>
        <v/>
      </c>
    </row>
    <row r="2462" customFormat="false" ht="15" hidden="false" customHeight="false" outlineLevel="0" collapsed="false">
      <c r="F2462" s="41" t="str">
        <f aca="false">IF(C2462="","",IFERROR(IF(ISNUMBER(SEARCH(Assumptions!$C$5,C2462)),Assumptions!$D$5,IF(ISNUMBER(SEARCH(Assumptions!$C$6,C2462)),Assumptions!$D$6,IF(ISNUMBER(SEARCH(Assumptions!$C$7,C2462)),Assumptions!$D$7,"Other Services"))),"Other Services"))</f>
        <v/>
      </c>
    </row>
    <row r="2463" customFormat="false" ht="15" hidden="false" customHeight="false" outlineLevel="0" collapsed="false">
      <c r="F2463" s="41" t="str">
        <f aca="false">IF(C2463="","",IFERROR(IF(ISNUMBER(SEARCH(Assumptions!$C$5,C2463)),Assumptions!$D$5,IF(ISNUMBER(SEARCH(Assumptions!$C$6,C2463)),Assumptions!$D$6,IF(ISNUMBER(SEARCH(Assumptions!$C$7,C2463)),Assumptions!$D$7,"Other Services"))),"Other Services"))</f>
        <v/>
      </c>
    </row>
    <row r="2464" customFormat="false" ht="15" hidden="false" customHeight="false" outlineLevel="0" collapsed="false">
      <c r="F2464" s="41" t="str">
        <f aca="false">IF(C2464="","",IFERROR(IF(ISNUMBER(SEARCH(Assumptions!$C$5,C2464)),Assumptions!$D$5,IF(ISNUMBER(SEARCH(Assumptions!$C$6,C2464)),Assumptions!$D$6,IF(ISNUMBER(SEARCH(Assumptions!$C$7,C2464)),Assumptions!$D$7,"Other Services"))),"Other Services"))</f>
        <v/>
      </c>
    </row>
    <row r="2465" customFormat="false" ht="15" hidden="false" customHeight="false" outlineLevel="0" collapsed="false">
      <c r="F2465" s="41" t="str">
        <f aca="false">IF(C2465="","",IFERROR(IF(ISNUMBER(SEARCH(Assumptions!$C$5,C2465)),Assumptions!$D$5,IF(ISNUMBER(SEARCH(Assumptions!$C$6,C2465)),Assumptions!$D$6,IF(ISNUMBER(SEARCH(Assumptions!$C$7,C2465)),Assumptions!$D$7,"Other Services"))),"Other Services"))</f>
        <v/>
      </c>
    </row>
    <row r="2466" customFormat="false" ht="15" hidden="false" customHeight="false" outlineLevel="0" collapsed="false">
      <c r="F2466" s="41" t="str">
        <f aca="false">IF(C2466="","",IFERROR(IF(ISNUMBER(SEARCH(Assumptions!$C$5,C2466)),Assumptions!$D$5,IF(ISNUMBER(SEARCH(Assumptions!$C$6,C2466)),Assumptions!$D$6,IF(ISNUMBER(SEARCH(Assumptions!$C$7,C2466)),Assumptions!$D$7,"Other Services"))),"Other Services"))</f>
        <v/>
      </c>
    </row>
    <row r="2467" customFormat="false" ht="15" hidden="false" customHeight="false" outlineLevel="0" collapsed="false">
      <c r="F2467" s="41" t="str">
        <f aca="false">IF(C2467="","",IFERROR(IF(ISNUMBER(SEARCH(Assumptions!$C$5,C2467)),Assumptions!$D$5,IF(ISNUMBER(SEARCH(Assumptions!$C$6,C2467)),Assumptions!$D$6,IF(ISNUMBER(SEARCH(Assumptions!$C$7,C2467)),Assumptions!$D$7,"Other Services"))),"Other Services"))</f>
        <v/>
      </c>
    </row>
    <row r="2468" customFormat="false" ht="15" hidden="false" customHeight="false" outlineLevel="0" collapsed="false">
      <c r="F2468" s="41" t="str">
        <f aca="false">IF(C2468="","",IFERROR(IF(ISNUMBER(SEARCH(Assumptions!$C$5,C2468)),Assumptions!$D$5,IF(ISNUMBER(SEARCH(Assumptions!$C$6,C2468)),Assumptions!$D$6,IF(ISNUMBER(SEARCH(Assumptions!$C$7,C2468)),Assumptions!$D$7,"Other Services"))),"Other Services"))</f>
        <v/>
      </c>
    </row>
    <row r="2469" customFormat="false" ht="15" hidden="false" customHeight="false" outlineLevel="0" collapsed="false">
      <c r="F2469" s="41" t="str">
        <f aca="false">IF(C2469="","",IFERROR(IF(ISNUMBER(SEARCH(Assumptions!$C$5,C2469)),Assumptions!$D$5,IF(ISNUMBER(SEARCH(Assumptions!$C$6,C2469)),Assumptions!$D$6,IF(ISNUMBER(SEARCH(Assumptions!$C$7,C2469)),Assumptions!$D$7,"Other Services"))),"Other Services"))</f>
        <v/>
      </c>
    </row>
    <row r="2470" customFormat="false" ht="15" hidden="false" customHeight="false" outlineLevel="0" collapsed="false">
      <c r="F2470" s="41" t="str">
        <f aca="false">IF(C2470="","",IFERROR(IF(ISNUMBER(SEARCH(Assumptions!$C$5,C2470)),Assumptions!$D$5,IF(ISNUMBER(SEARCH(Assumptions!$C$6,C2470)),Assumptions!$D$6,IF(ISNUMBER(SEARCH(Assumptions!$C$7,C2470)),Assumptions!$D$7,"Other Services"))),"Other Services"))</f>
        <v/>
      </c>
    </row>
    <row r="2471" customFormat="false" ht="15" hidden="false" customHeight="false" outlineLevel="0" collapsed="false">
      <c r="F2471" s="41" t="str">
        <f aca="false">IF(C2471="","",IFERROR(IF(ISNUMBER(SEARCH(Assumptions!$C$5,C2471)),Assumptions!$D$5,IF(ISNUMBER(SEARCH(Assumptions!$C$6,C2471)),Assumptions!$D$6,IF(ISNUMBER(SEARCH(Assumptions!$C$7,C2471)),Assumptions!$D$7,"Other Services"))),"Other Services"))</f>
        <v/>
      </c>
    </row>
    <row r="2472" customFormat="false" ht="15" hidden="false" customHeight="false" outlineLevel="0" collapsed="false">
      <c r="F2472" s="41" t="str">
        <f aca="false">IF(C2472="","",IFERROR(IF(ISNUMBER(SEARCH(Assumptions!$C$5,C2472)),Assumptions!$D$5,IF(ISNUMBER(SEARCH(Assumptions!$C$6,C2472)),Assumptions!$D$6,IF(ISNUMBER(SEARCH(Assumptions!$C$7,C2472)),Assumptions!$D$7,"Other Services"))),"Other Services"))</f>
        <v/>
      </c>
    </row>
    <row r="2473" customFormat="false" ht="15" hidden="false" customHeight="false" outlineLevel="0" collapsed="false">
      <c r="F2473" s="41" t="str">
        <f aca="false">IF(C2473="","",IFERROR(IF(ISNUMBER(SEARCH(Assumptions!$C$5,C2473)),Assumptions!$D$5,IF(ISNUMBER(SEARCH(Assumptions!$C$6,C2473)),Assumptions!$D$6,IF(ISNUMBER(SEARCH(Assumptions!$C$7,C2473)),Assumptions!$D$7,"Other Services"))),"Other Services"))</f>
        <v/>
      </c>
    </row>
    <row r="2474" customFormat="false" ht="15" hidden="false" customHeight="false" outlineLevel="0" collapsed="false">
      <c r="F2474" s="41" t="str">
        <f aca="false">IF(C2474="","",IFERROR(IF(ISNUMBER(SEARCH(Assumptions!$C$5,C2474)),Assumptions!$D$5,IF(ISNUMBER(SEARCH(Assumptions!$C$6,C2474)),Assumptions!$D$6,IF(ISNUMBER(SEARCH(Assumptions!$C$7,C2474)),Assumptions!$D$7,"Other Services"))),"Other Services"))</f>
        <v/>
      </c>
    </row>
    <row r="2475" customFormat="false" ht="15" hidden="false" customHeight="false" outlineLevel="0" collapsed="false">
      <c r="F2475" s="41" t="str">
        <f aca="false">IF(C2475="","",IFERROR(IF(ISNUMBER(SEARCH(Assumptions!$C$5,C2475)),Assumptions!$D$5,IF(ISNUMBER(SEARCH(Assumptions!$C$6,C2475)),Assumptions!$D$6,IF(ISNUMBER(SEARCH(Assumptions!$C$7,C2475)),Assumptions!$D$7,"Other Services"))),"Other Services"))</f>
        <v/>
      </c>
    </row>
    <row r="2476" customFormat="false" ht="15" hidden="false" customHeight="false" outlineLevel="0" collapsed="false">
      <c r="F2476" s="41" t="str">
        <f aca="false">IF(C2476="","",IFERROR(IF(ISNUMBER(SEARCH(Assumptions!$C$5,C2476)),Assumptions!$D$5,IF(ISNUMBER(SEARCH(Assumptions!$C$6,C2476)),Assumptions!$D$6,IF(ISNUMBER(SEARCH(Assumptions!$C$7,C2476)),Assumptions!$D$7,"Other Services"))),"Other Services"))</f>
        <v/>
      </c>
    </row>
    <row r="2477" customFormat="false" ht="15" hidden="false" customHeight="false" outlineLevel="0" collapsed="false">
      <c r="F2477" s="41" t="str">
        <f aca="false">IF(C2477="","",IFERROR(IF(ISNUMBER(SEARCH(Assumptions!$C$5,C2477)),Assumptions!$D$5,IF(ISNUMBER(SEARCH(Assumptions!$C$6,C2477)),Assumptions!$D$6,IF(ISNUMBER(SEARCH(Assumptions!$C$7,C2477)),Assumptions!$D$7,"Other Services"))),"Other Services"))</f>
        <v/>
      </c>
    </row>
    <row r="2478" customFormat="false" ht="15" hidden="false" customHeight="false" outlineLevel="0" collapsed="false">
      <c r="F2478" s="41" t="str">
        <f aca="false">IF(C2478="","",IFERROR(IF(ISNUMBER(SEARCH(Assumptions!$C$5,C2478)),Assumptions!$D$5,IF(ISNUMBER(SEARCH(Assumptions!$C$6,C2478)),Assumptions!$D$6,IF(ISNUMBER(SEARCH(Assumptions!$C$7,C2478)),Assumptions!$D$7,"Other Services"))),"Other Services"))</f>
        <v/>
      </c>
    </row>
    <row r="2479" customFormat="false" ht="15" hidden="false" customHeight="false" outlineLevel="0" collapsed="false">
      <c r="F2479" s="41" t="str">
        <f aca="false">IF(C2479="","",IFERROR(IF(ISNUMBER(SEARCH(Assumptions!$C$5,C2479)),Assumptions!$D$5,IF(ISNUMBER(SEARCH(Assumptions!$C$6,C2479)),Assumptions!$D$6,IF(ISNUMBER(SEARCH(Assumptions!$C$7,C2479)),Assumptions!$D$7,"Other Services"))),"Other Services"))</f>
        <v/>
      </c>
    </row>
    <row r="2480" customFormat="false" ht="15" hidden="false" customHeight="false" outlineLevel="0" collapsed="false">
      <c r="F2480" s="41" t="str">
        <f aca="false">IF(C2480="","",IFERROR(IF(ISNUMBER(SEARCH(Assumptions!$C$5,C2480)),Assumptions!$D$5,IF(ISNUMBER(SEARCH(Assumptions!$C$6,C2480)),Assumptions!$D$6,IF(ISNUMBER(SEARCH(Assumptions!$C$7,C2480)),Assumptions!$D$7,"Other Services"))),"Other Services"))</f>
        <v/>
      </c>
    </row>
    <row r="2481" customFormat="false" ht="15" hidden="false" customHeight="false" outlineLevel="0" collapsed="false">
      <c r="F2481" s="41" t="str">
        <f aca="false">IF(C2481="","",IFERROR(IF(ISNUMBER(SEARCH(Assumptions!$C$5,C2481)),Assumptions!$D$5,IF(ISNUMBER(SEARCH(Assumptions!$C$6,C2481)),Assumptions!$D$6,IF(ISNUMBER(SEARCH(Assumptions!$C$7,C2481)),Assumptions!$D$7,"Other Services"))),"Other Services"))</f>
        <v/>
      </c>
    </row>
    <row r="2482" customFormat="false" ht="15" hidden="false" customHeight="false" outlineLevel="0" collapsed="false">
      <c r="F2482" s="41" t="str">
        <f aca="false">IF(C2482="","",IFERROR(IF(ISNUMBER(SEARCH(Assumptions!$C$5,C2482)),Assumptions!$D$5,IF(ISNUMBER(SEARCH(Assumptions!$C$6,C2482)),Assumptions!$D$6,IF(ISNUMBER(SEARCH(Assumptions!$C$7,C2482)),Assumptions!$D$7,"Other Services"))),"Other Services"))</f>
        <v/>
      </c>
    </row>
    <row r="2483" customFormat="false" ht="15" hidden="false" customHeight="false" outlineLevel="0" collapsed="false">
      <c r="F2483" s="41" t="str">
        <f aca="false">IF(C2483="","",IFERROR(IF(ISNUMBER(SEARCH(Assumptions!$C$5,C2483)),Assumptions!$D$5,IF(ISNUMBER(SEARCH(Assumptions!$C$6,C2483)),Assumptions!$D$6,IF(ISNUMBER(SEARCH(Assumptions!$C$7,C2483)),Assumptions!$D$7,"Other Services"))),"Other Services"))</f>
        <v/>
      </c>
    </row>
    <row r="2484" customFormat="false" ht="15" hidden="false" customHeight="false" outlineLevel="0" collapsed="false">
      <c r="F2484" s="41" t="str">
        <f aca="false">IF(C2484="","",IFERROR(IF(ISNUMBER(SEARCH(Assumptions!$C$5,C2484)),Assumptions!$D$5,IF(ISNUMBER(SEARCH(Assumptions!$C$6,C2484)),Assumptions!$D$6,IF(ISNUMBER(SEARCH(Assumptions!$C$7,C2484)),Assumptions!$D$7,"Other Services"))),"Other Services"))</f>
        <v/>
      </c>
    </row>
    <row r="2485" customFormat="false" ht="15" hidden="false" customHeight="false" outlineLevel="0" collapsed="false">
      <c r="F2485" s="41" t="str">
        <f aca="false">IF(C2485="","",IFERROR(IF(ISNUMBER(SEARCH(Assumptions!$C$5,C2485)),Assumptions!$D$5,IF(ISNUMBER(SEARCH(Assumptions!$C$6,C2485)),Assumptions!$D$6,IF(ISNUMBER(SEARCH(Assumptions!$C$7,C2485)),Assumptions!$D$7,"Other Services"))),"Other Services"))</f>
        <v/>
      </c>
    </row>
    <row r="2486" customFormat="false" ht="15" hidden="false" customHeight="false" outlineLevel="0" collapsed="false">
      <c r="F2486" s="41" t="str">
        <f aca="false">IF(C2486="","",IFERROR(IF(ISNUMBER(SEARCH(Assumptions!$C$5,C2486)),Assumptions!$D$5,IF(ISNUMBER(SEARCH(Assumptions!$C$6,C2486)),Assumptions!$D$6,IF(ISNUMBER(SEARCH(Assumptions!$C$7,C2486)),Assumptions!$D$7,"Other Services"))),"Other Services"))</f>
        <v/>
      </c>
    </row>
    <row r="2487" customFormat="false" ht="15" hidden="false" customHeight="false" outlineLevel="0" collapsed="false">
      <c r="F2487" s="41" t="str">
        <f aca="false">IF(C2487="","",IFERROR(IF(ISNUMBER(SEARCH(Assumptions!$C$5,C2487)),Assumptions!$D$5,IF(ISNUMBER(SEARCH(Assumptions!$C$6,C2487)),Assumptions!$D$6,IF(ISNUMBER(SEARCH(Assumptions!$C$7,C2487)),Assumptions!$D$7,"Other Services"))),"Other Services"))</f>
        <v/>
      </c>
    </row>
    <row r="2488" customFormat="false" ht="15" hidden="false" customHeight="false" outlineLevel="0" collapsed="false">
      <c r="F2488" s="41" t="str">
        <f aca="false">IF(C2488="","",IFERROR(IF(ISNUMBER(SEARCH(Assumptions!$C$5,C2488)),Assumptions!$D$5,IF(ISNUMBER(SEARCH(Assumptions!$C$6,C2488)),Assumptions!$D$6,IF(ISNUMBER(SEARCH(Assumptions!$C$7,C2488)),Assumptions!$D$7,"Other Services"))),"Other Services"))</f>
        <v/>
      </c>
    </row>
    <row r="2489" customFormat="false" ht="15" hidden="false" customHeight="false" outlineLevel="0" collapsed="false">
      <c r="F2489" s="41" t="str">
        <f aca="false">IF(C2489="","",IFERROR(IF(ISNUMBER(SEARCH(Assumptions!$C$5,C2489)),Assumptions!$D$5,IF(ISNUMBER(SEARCH(Assumptions!$C$6,C2489)),Assumptions!$D$6,IF(ISNUMBER(SEARCH(Assumptions!$C$7,C2489)),Assumptions!$D$7,"Other Services"))),"Other Services"))</f>
        <v/>
      </c>
    </row>
    <row r="2490" customFormat="false" ht="15" hidden="false" customHeight="false" outlineLevel="0" collapsed="false">
      <c r="F2490" s="41" t="str">
        <f aca="false">IF(C2490="","",IFERROR(IF(ISNUMBER(SEARCH(Assumptions!$C$5,C2490)),Assumptions!$D$5,IF(ISNUMBER(SEARCH(Assumptions!$C$6,C2490)),Assumptions!$D$6,IF(ISNUMBER(SEARCH(Assumptions!$C$7,C2490)),Assumptions!$D$7,"Other Services"))),"Other Services"))</f>
        <v/>
      </c>
    </row>
    <row r="2491" customFormat="false" ht="15" hidden="false" customHeight="false" outlineLevel="0" collapsed="false">
      <c r="F2491" s="41" t="str">
        <f aca="false">IF(C2491="","",IFERROR(IF(ISNUMBER(SEARCH(Assumptions!$C$5,C2491)),Assumptions!$D$5,IF(ISNUMBER(SEARCH(Assumptions!$C$6,C2491)),Assumptions!$D$6,IF(ISNUMBER(SEARCH(Assumptions!$C$7,C2491)),Assumptions!$D$7,"Other Services"))),"Other Services"))</f>
        <v/>
      </c>
    </row>
    <row r="2492" customFormat="false" ht="15" hidden="false" customHeight="false" outlineLevel="0" collapsed="false">
      <c r="F2492" s="41" t="str">
        <f aca="false">IF(C2492="","",IFERROR(IF(ISNUMBER(SEARCH(Assumptions!$C$5,C2492)),Assumptions!$D$5,IF(ISNUMBER(SEARCH(Assumptions!$C$6,C2492)),Assumptions!$D$6,IF(ISNUMBER(SEARCH(Assumptions!$C$7,C2492)),Assumptions!$D$7,"Other Services"))),"Other Services"))</f>
        <v/>
      </c>
    </row>
    <row r="2493" customFormat="false" ht="15" hidden="false" customHeight="false" outlineLevel="0" collapsed="false">
      <c r="F2493" s="41" t="str">
        <f aca="false">IF(C2493="","",IFERROR(IF(ISNUMBER(SEARCH(Assumptions!$C$5,C2493)),Assumptions!$D$5,IF(ISNUMBER(SEARCH(Assumptions!$C$6,C2493)),Assumptions!$D$6,IF(ISNUMBER(SEARCH(Assumptions!$C$7,C2493)),Assumptions!$D$7,"Other Services"))),"Other Services"))</f>
        <v/>
      </c>
    </row>
    <row r="2494" customFormat="false" ht="15" hidden="false" customHeight="false" outlineLevel="0" collapsed="false">
      <c r="F2494" s="41" t="str">
        <f aca="false">IF(C2494="","",IFERROR(IF(ISNUMBER(SEARCH(Assumptions!$C$5,C2494)),Assumptions!$D$5,IF(ISNUMBER(SEARCH(Assumptions!$C$6,C2494)),Assumptions!$D$6,IF(ISNUMBER(SEARCH(Assumptions!$C$7,C2494)),Assumptions!$D$7,"Other Services"))),"Other Services"))</f>
        <v/>
      </c>
    </row>
    <row r="2495" customFormat="false" ht="15" hidden="false" customHeight="false" outlineLevel="0" collapsed="false">
      <c r="F2495" s="41" t="str">
        <f aca="false">IF(C2495="","",IFERROR(IF(ISNUMBER(SEARCH(Assumptions!$C$5,C2495)),Assumptions!$D$5,IF(ISNUMBER(SEARCH(Assumptions!$C$6,C2495)),Assumptions!$D$6,IF(ISNUMBER(SEARCH(Assumptions!$C$7,C2495)),Assumptions!$D$7,"Other Services"))),"Other Services"))</f>
        <v/>
      </c>
    </row>
    <row r="2496" customFormat="false" ht="15" hidden="false" customHeight="false" outlineLevel="0" collapsed="false">
      <c r="F2496" s="41" t="str">
        <f aca="false">IF(C2496="","",IFERROR(IF(ISNUMBER(SEARCH(Assumptions!$C$5,C2496)),Assumptions!$D$5,IF(ISNUMBER(SEARCH(Assumptions!$C$6,C2496)),Assumptions!$D$6,IF(ISNUMBER(SEARCH(Assumptions!$C$7,C2496)),Assumptions!$D$7,"Other Services"))),"Other Services"))</f>
        <v/>
      </c>
    </row>
    <row r="2497" customFormat="false" ht="15" hidden="false" customHeight="false" outlineLevel="0" collapsed="false">
      <c r="F2497" s="41" t="str">
        <f aca="false">IF(C2497="","",IFERROR(IF(ISNUMBER(SEARCH(Assumptions!$C$5,C2497)),Assumptions!$D$5,IF(ISNUMBER(SEARCH(Assumptions!$C$6,C2497)),Assumptions!$D$6,IF(ISNUMBER(SEARCH(Assumptions!$C$7,C2497)),Assumptions!$D$7,"Other Services"))),"Other Services"))</f>
        <v/>
      </c>
    </row>
    <row r="2498" customFormat="false" ht="15" hidden="false" customHeight="false" outlineLevel="0" collapsed="false">
      <c r="F2498" s="41" t="str">
        <f aca="false">IF(C2498="","",IFERROR(IF(ISNUMBER(SEARCH(Assumptions!$C$5,C2498)),Assumptions!$D$5,IF(ISNUMBER(SEARCH(Assumptions!$C$6,C2498)),Assumptions!$D$6,IF(ISNUMBER(SEARCH(Assumptions!$C$7,C2498)),Assumptions!$D$7,"Other Services"))),"Other Services"))</f>
        <v/>
      </c>
    </row>
    <row r="2499" customFormat="false" ht="15" hidden="false" customHeight="false" outlineLevel="0" collapsed="false">
      <c r="F2499" s="41" t="str">
        <f aca="false">IF(C2499="","",IFERROR(IF(ISNUMBER(SEARCH(Assumptions!$C$5,C2499)),Assumptions!$D$5,IF(ISNUMBER(SEARCH(Assumptions!$C$6,C2499)),Assumptions!$D$6,IF(ISNUMBER(SEARCH(Assumptions!$C$7,C2499)),Assumptions!$D$7,"Other Services"))),"Other Services"))</f>
        <v/>
      </c>
    </row>
    <row r="2500" customFormat="false" ht="15" hidden="false" customHeight="false" outlineLevel="0" collapsed="false">
      <c r="F2500" s="41" t="str">
        <f aca="false">IF(C2500="","",IFERROR(IF(ISNUMBER(SEARCH(Assumptions!$C$5,C2500)),Assumptions!$D$5,IF(ISNUMBER(SEARCH(Assumptions!$C$6,C2500)),Assumptions!$D$6,IF(ISNUMBER(SEARCH(Assumptions!$C$7,C2500)),Assumptions!$D$7,"Other Services"))),"Other Services"))</f>
        <v/>
      </c>
    </row>
    <row r="2501" customFormat="false" ht="15" hidden="false" customHeight="false" outlineLevel="0" collapsed="false">
      <c r="F2501" s="41" t="str">
        <f aca="false">IF(C2501="","",IFERROR(IF(ISNUMBER(SEARCH(Assumptions!$C$5,C2501)),Assumptions!$D$5,IF(ISNUMBER(SEARCH(Assumptions!$C$6,C2501)),Assumptions!$D$6,IF(ISNUMBER(SEARCH(Assumptions!$C$7,C2501)),Assumptions!$D$7,"Other Services"))),"Other Services"))</f>
        <v/>
      </c>
    </row>
    <row r="2502" customFormat="false" ht="15" hidden="false" customHeight="false" outlineLevel="0" collapsed="false">
      <c r="F2502" s="41" t="str">
        <f aca="false">IF(C2502="","",IFERROR(IF(ISNUMBER(SEARCH(Assumptions!$C$5,C2502)),Assumptions!$D$5,IF(ISNUMBER(SEARCH(Assumptions!$C$6,C2502)),Assumptions!$D$6,IF(ISNUMBER(SEARCH(Assumptions!$C$7,C2502)),Assumptions!$D$7,"Other Services"))),"Other Services"))</f>
        <v/>
      </c>
    </row>
    <row r="2503" customFormat="false" ht="15" hidden="false" customHeight="false" outlineLevel="0" collapsed="false">
      <c r="F2503" s="41" t="str">
        <f aca="false">IF(C2503="","",IFERROR(IF(ISNUMBER(SEARCH(Assumptions!$C$5,C2503)),Assumptions!$D$5,IF(ISNUMBER(SEARCH(Assumptions!$C$6,C2503)),Assumptions!$D$6,IF(ISNUMBER(SEARCH(Assumptions!$C$7,C2503)),Assumptions!$D$7,"Other Services"))),"Other Services"))</f>
        <v/>
      </c>
    </row>
    <row r="2504" customFormat="false" ht="15" hidden="false" customHeight="false" outlineLevel="0" collapsed="false">
      <c r="F2504" s="41" t="str">
        <f aca="false">IF(C2504="","",IFERROR(IF(ISNUMBER(SEARCH(Assumptions!$C$5,C2504)),Assumptions!$D$5,IF(ISNUMBER(SEARCH(Assumptions!$C$6,C2504)),Assumptions!$D$6,IF(ISNUMBER(SEARCH(Assumptions!$C$7,C2504)),Assumptions!$D$7,"Other Services"))),"Other Services"))</f>
        <v/>
      </c>
    </row>
    <row r="2505" customFormat="false" ht="15" hidden="false" customHeight="false" outlineLevel="0" collapsed="false">
      <c r="F2505" s="41" t="str">
        <f aca="false">IF(C2505="","",IFERROR(IF(ISNUMBER(SEARCH(Assumptions!$C$5,C2505)),Assumptions!$D$5,IF(ISNUMBER(SEARCH(Assumptions!$C$6,C2505)),Assumptions!$D$6,IF(ISNUMBER(SEARCH(Assumptions!$C$7,C2505)),Assumptions!$D$7,"Other Services"))),"Other Services"))</f>
        <v/>
      </c>
    </row>
    <row r="2506" customFormat="false" ht="15" hidden="false" customHeight="false" outlineLevel="0" collapsed="false">
      <c r="F2506" s="41" t="str">
        <f aca="false">IF(C2506="","",IFERROR(IF(ISNUMBER(SEARCH(Assumptions!$C$5,C2506)),Assumptions!$D$5,IF(ISNUMBER(SEARCH(Assumptions!$C$6,C2506)),Assumptions!$D$6,IF(ISNUMBER(SEARCH(Assumptions!$C$7,C2506)),Assumptions!$D$7,"Other Services"))),"Other Services"))</f>
        <v/>
      </c>
    </row>
    <row r="2507" customFormat="false" ht="15" hidden="false" customHeight="false" outlineLevel="0" collapsed="false">
      <c r="F2507" s="41" t="str">
        <f aca="false">IF(C2507="","",IFERROR(IF(ISNUMBER(SEARCH(Assumptions!$C$5,C2507)),Assumptions!$D$5,IF(ISNUMBER(SEARCH(Assumptions!$C$6,C2507)),Assumptions!$D$6,IF(ISNUMBER(SEARCH(Assumptions!$C$7,C2507)),Assumptions!$D$7,"Other Services"))),"Other Services"))</f>
        <v/>
      </c>
    </row>
    <row r="2508" customFormat="false" ht="15" hidden="false" customHeight="false" outlineLevel="0" collapsed="false">
      <c r="F2508" s="41" t="str">
        <f aca="false">IF(C2508="","",IFERROR(IF(ISNUMBER(SEARCH(Assumptions!$C$5,C2508)),Assumptions!$D$5,IF(ISNUMBER(SEARCH(Assumptions!$C$6,C2508)),Assumptions!$D$6,IF(ISNUMBER(SEARCH(Assumptions!$C$7,C2508)),Assumptions!$D$7,"Other Services"))),"Other Services"))</f>
        <v/>
      </c>
    </row>
    <row r="2509" customFormat="false" ht="15" hidden="false" customHeight="false" outlineLevel="0" collapsed="false">
      <c r="F2509" s="41" t="str">
        <f aca="false">IF(C2509="","",IFERROR(IF(ISNUMBER(SEARCH(Assumptions!$C$5,C2509)),Assumptions!$D$5,IF(ISNUMBER(SEARCH(Assumptions!$C$6,C2509)),Assumptions!$D$6,IF(ISNUMBER(SEARCH(Assumptions!$C$7,C2509)),Assumptions!$D$7,"Other Services"))),"Other Services"))</f>
        <v/>
      </c>
    </row>
    <row r="2510" customFormat="false" ht="15" hidden="false" customHeight="false" outlineLevel="0" collapsed="false">
      <c r="F2510" s="41" t="str">
        <f aca="false">IF(C2510="","",IFERROR(IF(ISNUMBER(SEARCH(Assumptions!$C$5,C2510)),Assumptions!$D$5,IF(ISNUMBER(SEARCH(Assumptions!$C$6,C2510)),Assumptions!$D$6,IF(ISNUMBER(SEARCH(Assumptions!$C$7,C2510)),Assumptions!$D$7,"Other Services"))),"Other Services"))</f>
        <v/>
      </c>
    </row>
    <row r="2511" customFormat="false" ht="15" hidden="false" customHeight="false" outlineLevel="0" collapsed="false">
      <c r="F2511" s="41" t="str">
        <f aca="false">IF(C2511="","",IFERROR(IF(ISNUMBER(SEARCH(Assumptions!$C$5,C2511)),Assumptions!$D$5,IF(ISNUMBER(SEARCH(Assumptions!$C$6,C2511)),Assumptions!$D$6,IF(ISNUMBER(SEARCH(Assumptions!$C$7,C2511)),Assumptions!$D$7,"Other Services"))),"Other Services"))</f>
        <v/>
      </c>
    </row>
    <row r="2512" customFormat="false" ht="15" hidden="false" customHeight="false" outlineLevel="0" collapsed="false">
      <c r="F2512" s="41" t="str">
        <f aca="false">IF(C2512="","",IFERROR(IF(ISNUMBER(SEARCH(Assumptions!$C$5,C2512)),Assumptions!$D$5,IF(ISNUMBER(SEARCH(Assumptions!$C$6,C2512)),Assumptions!$D$6,IF(ISNUMBER(SEARCH(Assumptions!$C$7,C2512)),Assumptions!$D$7,"Other Services"))),"Other Services"))</f>
        <v/>
      </c>
    </row>
    <row r="2513" customFormat="false" ht="15" hidden="false" customHeight="false" outlineLevel="0" collapsed="false">
      <c r="F2513" s="41" t="str">
        <f aca="false">IF(C2513="","",IFERROR(IF(ISNUMBER(SEARCH(Assumptions!$C$5,C2513)),Assumptions!$D$5,IF(ISNUMBER(SEARCH(Assumptions!$C$6,C2513)),Assumptions!$D$6,IF(ISNUMBER(SEARCH(Assumptions!$C$7,C2513)),Assumptions!$D$7,"Other Services"))),"Other Services"))</f>
        <v/>
      </c>
    </row>
    <row r="2514" customFormat="false" ht="15" hidden="false" customHeight="false" outlineLevel="0" collapsed="false">
      <c r="F2514" s="41" t="str">
        <f aca="false">IF(C2514="","",IFERROR(IF(ISNUMBER(SEARCH(Assumptions!$C$5,C2514)),Assumptions!$D$5,IF(ISNUMBER(SEARCH(Assumptions!$C$6,C2514)),Assumptions!$D$6,IF(ISNUMBER(SEARCH(Assumptions!$C$7,C2514)),Assumptions!$D$7,"Other Services"))),"Other Services"))</f>
        <v/>
      </c>
    </row>
    <row r="2515" customFormat="false" ht="15" hidden="false" customHeight="false" outlineLevel="0" collapsed="false">
      <c r="F2515" s="41" t="str">
        <f aca="false">IF(C2515="","",IFERROR(IF(ISNUMBER(SEARCH(Assumptions!$C$5,C2515)),Assumptions!$D$5,IF(ISNUMBER(SEARCH(Assumptions!$C$6,C2515)),Assumptions!$D$6,IF(ISNUMBER(SEARCH(Assumptions!$C$7,C2515)),Assumptions!$D$7,"Other Services"))),"Other Services"))</f>
        <v/>
      </c>
    </row>
    <row r="2516" customFormat="false" ht="15" hidden="false" customHeight="false" outlineLevel="0" collapsed="false">
      <c r="F2516" s="41" t="str">
        <f aca="false">IF(C2516="","",IFERROR(IF(ISNUMBER(SEARCH(Assumptions!$C$5,C2516)),Assumptions!$D$5,IF(ISNUMBER(SEARCH(Assumptions!$C$6,C2516)),Assumptions!$D$6,IF(ISNUMBER(SEARCH(Assumptions!$C$7,C2516)),Assumptions!$D$7,"Other Services"))),"Other Services"))</f>
        <v/>
      </c>
    </row>
    <row r="2517" customFormat="false" ht="15" hidden="false" customHeight="false" outlineLevel="0" collapsed="false">
      <c r="F2517" s="41" t="str">
        <f aca="false">IF(C2517="","",IFERROR(IF(ISNUMBER(SEARCH(Assumptions!$C$5,C2517)),Assumptions!$D$5,IF(ISNUMBER(SEARCH(Assumptions!$C$6,C2517)),Assumptions!$D$6,IF(ISNUMBER(SEARCH(Assumptions!$C$7,C2517)),Assumptions!$D$7,"Other Services"))),"Other Services"))</f>
        <v/>
      </c>
    </row>
    <row r="2518" customFormat="false" ht="15" hidden="false" customHeight="false" outlineLevel="0" collapsed="false">
      <c r="F2518" s="41" t="str">
        <f aca="false">IF(C2518="","",IFERROR(IF(ISNUMBER(SEARCH(Assumptions!$C$5,C2518)),Assumptions!$D$5,IF(ISNUMBER(SEARCH(Assumptions!$C$6,C2518)),Assumptions!$D$6,IF(ISNUMBER(SEARCH(Assumptions!$C$7,C2518)),Assumptions!$D$7,"Other Services"))),"Other Services"))</f>
        <v/>
      </c>
    </row>
    <row r="2519" customFormat="false" ht="15" hidden="false" customHeight="false" outlineLevel="0" collapsed="false">
      <c r="F2519" s="41" t="str">
        <f aca="false">IF(C2519="","",IFERROR(IF(ISNUMBER(SEARCH(Assumptions!$C$5,C2519)),Assumptions!$D$5,IF(ISNUMBER(SEARCH(Assumptions!$C$6,C2519)),Assumptions!$D$6,IF(ISNUMBER(SEARCH(Assumptions!$C$7,C2519)),Assumptions!$D$7,"Other Services"))),"Other Services"))</f>
        <v/>
      </c>
    </row>
    <row r="2520" customFormat="false" ht="15" hidden="false" customHeight="false" outlineLevel="0" collapsed="false">
      <c r="F2520" s="41" t="str">
        <f aca="false">IF(C2520="","",IFERROR(IF(ISNUMBER(SEARCH(Assumptions!$C$5,C2520)),Assumptions!$D$5,IF(ISNUMBER(SEARCH(Assumptions!$C$6,C2520)),Assumptions!$D$6,IF(ISNUMBER(SEARCH(Assumptions!$C$7,C2520)),Assumptions!$D$7,"Other Services"))),"Other Services"))</f>
        <v/>
      </c>
    </row>
    <row r="2521" customFormat="false" ht="15" hidden="false" customHeight="false" outlineLevel="0" collapsed="false">
      <c r="F2521" s="41" t="str">
        <f aca="false">IF(C2521="","",IFERROR(IF(ISNUMBER(SEARCH(Assumptions!$C$5,C2521)),Assumptions!$D$5,IF(ISNUMBER(SEARCH(Assumptions!$C$6,C2521)),Assumptions!$D$6,IF(ISNUMBER(SEARCH(Assumptions!$C$7,C2521)),Assumptions!$D$7,"Other Services"))),"Other Services"))</f>
        <v/>
      </c>
    </row>
    <row r="2522" customFormat="false" ht="15" hidden="false" customHeight="false" outlineLevel="0" collapsed="false">
      <c r="F2522" s="41" t="str">
        <f aca="false">IF(C2522="","",IFERROR(IF(ISNUMBER(SEARCH(Assumptions!$C$5,C2522)),Assumptions!$D$5,IF(ISNUMBER(SEARCH(Assumptions!$C$6,C2522)),Assumptions!$D$6,IF(ISNUMBER(SEARCH(Assumptions!$C$7,C2522)),Assumptions!$D$7,"Other Services"))),"Other Services"))</f>
        <v/>
      </c>
    </row>
    <row r="2523" customFormat="false" ht="15" hidden="false" customHeight="false" outlineLevel="0" collapsed="false">
      <c r="F2523" s="41" t="str">
        <f aca="false">IF(C2523="","",IFERROR(IF(ISNUMBER(SEARCH(Assumptions!$C$5,C2523)),Assumptions!$D$5,IF(ISNUMBER(SEARCH(Assumptions!$C$6,C2523)),Assumptions!$D$6,IF(ISNUMBER(SEARCH(Assumptions!$C$7,C2523)),Assumptions!$D$7,"Other Services"))),"Other Services"))</f>
        <v/>
      </c>
    </row>
    <row r="2524" customFormat="false" ht="15" hidden="false" customHeight="false" outlineLevel="0" collapsed="false">
      <c r="F2524" s="41" t="str">
        <f aca="false">IF(C2524="","",IFERROR(IF(ISNUMBER(SEARCH(Assumptions!$C$5,C2524)),Assumptions!$D$5,IF(ISNUMBER(SEARCH(Assumptions!$C$6,C2524)),Assumptions!$D$6,IF(ISNUMBER(SEARCH(Assumptions!$C$7,C2524)),Assumptions!$D$7,"Other Services"))),"Other Services"))</f>
        <v/>
      </c>
    </row>
    <row r="2525" customFormat="false" ht="15" hidden="false" customHeight="false" outlineLevel="0" collapsed="false">
      <c r="F2525" s="41" t="str">
        <f aca="false">IF(C2525="","",IFERROR(IF(ISNUMBER(SEARCH(Assumptions!$C$5,C2525)),Assumptions!$D$5,IF(ISNUMBER(SEARCH(Assumptions!$C$6,C2525)),Assumptions!$D$6,IF(ISNUMBER(SEARCH(Assumptions!$C$7,C2525)),Assumptions!$D$7,"Other Services"))),"Other Services"))</f>
        <v/>
      </c>
    </row>
    <row r="2526" customFormat="false" ht="15" hidden="false" customHeight="false" outlineLevel="0" collapsed="false">
      <c r="F2526" s="41" t="str">
        <f aca="false">IF(C2526="","",IFERROR(IF(ISNUMBER(SEARCH(Assumptions!$C$5,C2526)),Assumptions!$D$5,IF(ISNUMBER(SEARCH(Assumptions!$C$6,C2526)),Assumptions!$D$6,IF(ISNUMBER(SEARCH(Assumptions!$C$7,C2526)),Assumptions!$D$7,"Other Services"))),"Other Services"))</f>
        <v/>
      </c>
    </row>
    <row r="2527" customFormat="false" ht="15" hidden="false" customHeight="false" outlineLevel="0" collapsed="false">
      <c r="F2527" s="41" t="str">
        <f aca="false">IF(C2527="","",IFERROR(IF(ISNUMBER(SEARCH(Assumptions!$C$5,C2527)),Assumptions!$D$5,IF(ISNUMBER(SEARCH(Assumptions!$C$6,C2527)),Assumptions!$D$6,IF(ISNUMBER(SEARCH(Assumptions!$C$7,C2527)),Assumptions!$D$7,"Other Services"))),"Other Services"))</f>
        <v/>
      </c>
    </row>
    <row r="2528" customFormat="false" ht="15" hidden="false" customHeight="false" outlineLevel="0" collapsed="false">
      <c r="F2528" s="41" t="str">
        <f aca="false">IF(C2528="","",IFERROR(IF(ISNUMBER(SEARCH(Assumptions!$C$5,C2528)),Assumptions!$D$5,IF(ISNUMBER(SEARCH(Assumptions!$C$6,C2528)),Assumptions!$D$6,IF(ISNUMBER(SEARCH(Assumptions!$C$7,C2528)),Assumptions!$D$7,"Other Services"))),"Other Services"))</f>
        <v/>
      </c>
    </row>
    <row r="2529" customFormat="false" ht="15" hidden="false" customHeight="false" outlineLevel="0" collapsed="false">
      <c r="F2529" s="41" t="str">
        <f aca="false">IF(C2529="","",IFERROR(IF(ISNUMBER(SEARCH(Assumptions!$C$5,C2529)),Assumptions!$D$5,IF(ISNUMBER(SEARCH(Assumptions!$C$6,C2529)),Assumptions!$D$6,IF(ISNUMBER(SEARCH(Assumptions!$C$7,C2529)),Assumptions!$D$7,"Other Services"))),"Other Services"))</f>
        <v/>
      </c>
    </row>
    <row r="2530" customFormat="false" ht="15" hidden="false" customHeight="false" outlineLevel="0" collapsed="false">
      <c r="F2530" s="41" t="str">
        <f aca="false">IF(C2530="","",IFERROR(IF(ISNUMBER(SEARCH(Assumptions!$C$5,C2530)),Assumptions!$D$5,IF(ISNUMBER(SEARCH(Assumptions!$C$6,C2530)),Assumptions!$D$6,IF(ISNUMBER(SEARCH(Assumptions!$C$7,C2530)),Assumptions!$D$7,"Other Services"))),"Other Services"))</f>
        <v/>
      </c>
    </row>
    <row r="2531" customFormat="false" ht="15" hidden="false" customHeight="false" outlineLevel="0" collapsed="false">
      <c r="F2531" s="41" t="str">
        <f aca="false">IF(C2531="","",IFERROR(IF(ISNUMBER(SEARCH(Assumptions!$C$5,C2531)),Assumptions!$D$5,IF(ISNUMBER(SEARCH(Assumptions!$C$6,C2531)),Assumptions!$D$6,IF(ISNUMBER(SEARCH(Assumptions!$C$7,C2531)),Assumptions!$D$7,"Other Services"))),"Other Services"))</f>
        <v/>
      </c>
    </row>
    <row r="2532" customFormat="false" ht="15" hidden="false" customHeight="false" outlineLevel="0" collapsed="false">
      <c r="F2532" s="41" t="str">
        <f aca="false">IF(C2532="","",IFERROR(IF(ISNUMBER(SEARCH(Assumptions!$C$5,C2532)),Assumptions!$D$5,IF(ISNUMBER(SEARCH(Assumptions!$C$6,C2532)),Assumptions!$D$6,IF(ISNUMBER(SEARCH(Assumptions!$C$7,C2532)),Assumptions!$D$7,"Other Services"))),"Other Services"))</f>
        <v/>
      </c>
    </row>
    <row r="2533" customFormat="false" ht="15" hidden="false" customHeight="false" outlineLevel="0" collapsed="false">
      <c r="F2533" s="41" t="str">
        <f aca="false">IF(C2533="","",IFERROR(IF(ISNUMBER(SEARCH(Assumptions!$C$5,C2533)),Assumptions!$D$5,IF(ISNUMBER(SEARCH(Assumptions!$C$6,C2533)),Assumptions!$D$6,IF(ISNUMBER(SEARCH(Assumptions!$C$7,C2533)),Assumptions!$D$7,"Other Services"))),"Other Services"))</f>
        <v/>
      </c>
    </row>
    <row r="2534" customFormat="false" ht="15" hidden="false" customHeight="false" outlineLevel="0" collapsed="false">
      <c r="F2534" s="41" t="str">
        <f aca="false">IF(C2534="","",IFERROR(IF(ISNUMBER(SEARCH(Assumptions!$C$5,C2534)),Assumptions!$D$5,IF(ISNUMBER(SEARCH(Assumptions!$C$6,C2534)),Assumptions!$D$6,IF(ISNUMBER(SEARCH(Assumptions!$C$7,C2534)),Assumptions!$D$7,"Other Services"))),"Other Services"))</f>
        <v/>
      </c>
    </row>
    <row r="2535" customFormat="false" ht="15" hidden="false" customHeight="false" outlineLevel="0" collapsed="false">
      <c r="F2535" s="41" t="str">
        <f aca="false">IF(C2535="","",IFERROR(IF(ISNUMBER(SEARCH(Assumptions!$C$5,C2535)),Assumptions!$D$5,IF(ISNUMBER(SEARCH(Assumptions!$C$6,C2535)),Assumptions!$D$6,IF(ISNUMBER(SEARCH(Assumptions!$C$7,C2535)),Assumptions!$D$7,"Other Services"))),"Other Services"))</f>
        <v/>
      </c>
    </row>
    <row r="2536" customFormat="false" ht="15" hidden="false" customHeight="false" outlineLevel="0" collapsed="false">
      <c r="F2536" s="41" t="str">
        <f aca="false">IF(C2536="","",IFERROR(IF(ISNUMBER(SEARCH(Assumptions!$C$5,C2536)),Assumptions!$D$5,IF(ISNUMBER(SEARCH(Assumptions!$C$6,C2536)),Assumptions!$D$6,IF(ISNUMBER(SEARCH(Assumptions!$C$7,C2536)),Assumptions!$D$7,"Other Services"))),"Other Services"))</f>
        <v/>
      </c>
    </row>
    <row r="2537" customFormat="false" ht="15" hidden="false" customHeight="false" outlineLevel="0" collapsed="false">
      <c r="F2537" s="41" t="str">
        <f aca="false">IF(C2537="","",IFERROR(IF(ISNUMBER(SEARCH(Assumptions!$C$5,C2537)),Assumptions!$D$5,IF(ISNUMBER(SEARCH(Assumptions!$C$6,C2537)),Assumptions!$D$6,IF(ISNUMBER(SEARCH(Assumptions!$C$7,C2537)),Assumptions!$D$7,"Other Services"))),"Other Services"))</f>
        <v/>
      </c>
    </row>
    <row r="2538" customFormat="false" ht="15" hidden="false" customHeight="false" outlineLevel="0" collapsed="false">
      <c r="F2538" s="41" t="str">
        <f aca="false">IF(C2538="","",IFERROR(IF(ISNUMBER(SEARCH(Assumptions!$C$5,C2538)),Assumptions!$D$5,IF(ISNUMBER(SEARCH(Assumptions!$C$6,C2538)),Assumptions!$D$6,IF(ISNUMBER(SEARCH(Assumptions!$C$7,C2538)),Assumptions!$D$7,"Other Services"))),"Other Services"))</f>
        <v/>
      </c>
    </row>
    <row r="2539" customFormat="false" ht="15" hidden="false" customHeight="false" outlineLevel="0" collapsed="false">
      <c r="F2539" s="41" t="str">
        <f aca="false">IF(C2539="","",IFERROR(IF(ISNUMBER(SEARCH(Assumptions!$C$5,C2539)),Assumptions!$D$5,IF(ISNUMBER(SEARCH(Assumptions!$C$6,C2539)),Assumptions!$D$6,IF(ISNUMBER(SEARCH(Assumptions!$C$7,C2539)),Assumptions!$D$7,"Other Services"))),"Other Services"))</f>
        <v/>
      </c>
    </row>
    <row r="2540" customFormat="false" ht="15" hidden="false" customHeight="false" outlineLevel="0" collapsed="false">
      <c r="F2540" s="41" t="str">
        <f aca="false">IF(C2540="","",IFERROR(IF(ISNUMBER(SEARCH(Assumptions!$C$5,C2540)),Assumptions!$D$5,IF(ISNUMBER(SEARCH(Assumptions!$C$6,C2540)),Assumptions!$D$6,IF(ISNUMBER(SEARCH(Assumptions!$C$7,C2540)),Assumptions!$D$7,"Other Services"))),"Other Services"))</f>
        <v/>
      </c>
    </row>
    <row r="2541" customFormat="false" ht="15" hidden="false" customHeight="false" outlineLevel="0" collapsed="false">
      <c r="F2541" s="41" t="str">
        <f aca="false">IF(C2541="","",IFERROR(IF(ISNUMBER(SEARCH(Assumptions!$C$5,C2541)),Assumptions!$D$5,IF(ISNUMBER(SEARCH(Assumptions!$C$6,C2541)),Assumptions!$D$6,IF(ISNUMBER(SEARCH(Assumptions!$C$7,C2541)),Assumptions!$D$7,"Other Services"))),"Other Services"))</f>
        <v/>
      </c>
    </row>
    <row r="2542" customFormat="false" ht="15" hidden="false" customHeight="false" outlineLevel="0" collapsed="false">
      <c r="F2542" s="41" t="str">
        <f aca="false">IF(C2542="","",IFERROR(IF(ISNUMBER(SEARCH(Assumptions!$C$5,C2542)),Assumptions!$D$5,IF(ISNUMBER(SEARCH(Assumptions!$C$6,C2542)),Assumptions!$D$6,IF(ISNUMBER(SEARCH(Assumptions!$C$7,C2542)),Assumptions!$D$7,"Other Services"))),"Other Services"))</f>
        <v/>
      </c>
    </row>
    <row r="2543" customFormat="false" ht="15" hidden="false" customHeight="false" outlineLevel="0" collapsed="false">
      <c r="F2543" s="41" t="str">
        <f aca="false">IF(C2543="","",IFERROR(IF(ISNUMBER(SEARCH(Assumptions!$C$5,C2543)),Assumptions!$D$5,IF(ISNUMBER(SEARCH(Assumptions!$C$6,C2543)),Assumptions!$D$6,IF(ISNUMBER(SEARCH(Assumptions!$C$7,C2543)),Assumptions!$D$7,"Other Services"))),"Other Services"))</f>
        <v/>
      </c>
    </row>
    <row r="2544" customFormat="false" ht="15" hidden="false" customHeight="false" outlineLevel="0" collapsed="false">
      <c r="F2544" s="41" t="str">
        <f aca="false">IF(C2544="","",IFERROR(IF(ISNUMBER(SEARCH(Assumptions!$C$5,C2544)),Assumptions!$D$5,IF(ISNUMBER(SEARCH(Assumptions!$C$6,C2544)),Assumptions!$D$6,IF(ISNUMBER(SEARCH(Assumptions!$C$7,C2544)),Assumptions!$D$7,"Other Services"))),"Other Services"))</f>
        <v/>
      </c>
    </row>
    <row r="2545" customFormat="false" ht="15" hidden="false" customHeight="false" outlineLevel="0" collapsed="false">
      <c r="F2545" s="41" t="str">
        <f aca="false">IF(C2545="","",IFERROR(IF(ISNUMBER(SEARCH(Assumptions!$C$5,C2545)),Assumptions!$D$5,IF(ISNUMBER(SEARCH(Assumptions!$C$6,C2545)),Assumptions!$D$6,IF(ISNUMBER(SEARCH(Assumptions!$C$7,C2545)),Assumptions!$D$7,"Other Services"))),"Other Services"))</f>
        <v/>
      </c>
    </row>
    <row r="2546" customFormat="false" ht="15" hidden="false" customHeight="false" outlineLevel="0" collapsed="false">
      <c r="F2546" s="41" t="str">
        <f aca="false">IF(C2546="","",IFERROR(IF(ISNUMBER(SEARCH(Assumptions!$C$5,C2546)),Assumptions!$D$5,IF(ISNUMBER(SEARCH(Assumptions!$C$6,C2546)),Assumptions!$D$6,IF(ISNUMBER(SEARCH(Assumptions!$C$7,C2546)),Assumptions!$D$7,"Other Services"))),"Other Services"))</f>
        <v/>
      </c>
    </row>
    <row r="2547" customFormat="false" ht="15" hidden="false" customHeight="false" outlineLevel="0" collapsed="false">
      <c r="F2547" s="41" t="str">
        <f aca="false">IF(C2547="","",IFERROR(IF(ISNUMBER(SEARCH(Assumptions!$C$5,C2547)),Assumptions!$D$5,IF(ISNUMBER(SEARCH(Assumptions!$C$6,C2547)),Assumptions!$D$6,IF(ISNUMBER(SEARCH(Assumptions!$C$7,C2547)),Assumptions!$D$7,"Other Services"))),"Other Services"))</f>
        <v/>
      </c>
    </row>
    <row r="2548" customFormat="false" ht="15" hidden="false" customHeight="false" outlineLevel="0" collapsed="false">
      <c r="F2548" s="41" t="str">
        <f aca="false">IF(C2548="","",IFERROR(IF(ISNUMBER(SEARCH(Assumptions!$C$5,C2548)),Assumptions!$D$5,IF(ISNUMBER(SEARCH(Assumptions!$C$6,C2548)),Assumptions!$D$6,IF(ISNUMBER(SEARCH(Assumptions!$C$7,C2548)),Assumptions!$D$7,"Other Services"))),"Other Services"))</f>
        <v/>
      </c>
    </row>
    <row r="2549" customFormat="false" ht="15" hidden="false" customHeight="false" outlineLevel="0" collapsed="false">
      <c r="F2549" s="41" t="str">
        <f aca="false">IF(C2549="","",IFERROR(IF(ISNUMBER(SEARCH(Assumptions!$C$5,C2549)),Assumptions!$D$5,IF(ISNUMBER(SEARCH(Assumptions!$C$6,C2549)),Assumptions!$D$6,IF(ISNUMBER(SEARCH(Assumptions!$C$7,C2549)),Assumptions!$D$7,"Other Services"))),"Other Services"))</f>
        <v/>
      </c>
    </row>
    <row r="2550" customFormat="false" ht="15" hidden="false" customHeight="false" outlineLevel="0" collapsed="false">
      <c r="F2550" s="41" t="str">
        <f aca="false">IF(C2550="","",IFERROR(IF(ISNUMBER(SEARCH(Assumptions!$C$5,C2550)),Assumptions!$D$5,IF(ISNUMBER(SEARCH(Assumptions!$C$6,C2550)),Assumptions!$D$6,IF(ISNUMBER(SEARCH(Assumptions!$C$7,C2550)),Assumptions!$D$7,"Other Services"))),"Other Services"))</f>
        <v/>
      </c>
    </row>
    <row r="2551" customFormat="false" ht="15" hidden="false" customHeight="false" outlineLevel="0" collapsed="false">
      <c r="F2551" s="41" t="str">
        <f aca="false">IF(C2551="","",IFERROR(IF(ISNUMBER(SEARCH(Assumptions!$C$5,C2551)),Assumptions!$D$5,IF(ISNUMBER(SEARCH(Assumptions!$C$6,C2551)),Assumptions!$D$6,IF(ISNUMBER(SEARCH(Assumptions!$C$7,C2551)),Assumptions!$D$7,"Other Services"))),"Other Services"))</f>
        <v/>
      </c>
    </row>
    <row r="2552" customFormat="false" ht="15" hidden="false" customHeight="false" outlineLevel="0" collapsed="false">
      <c r="F2552" s="41" t="str">
        <f aca="false">IF(C2552="","",IFERROR(IF(ISNUMBER(SEARCH(Assumptions!$C$5,C2552)),Assumptions!$D$5,IF(ISNUMBER(SEARCH(Assumptions!$C$6,C2552)),Assumptions!$D$6,IF(ISNUMBER(SEARCH(Assumptions!$C$7,C2552)),Assumptions!$D$7,"Other Services"))),"Other Services"))</f>
        <v/>
      </c>
    </row>
    <row r="2553" customFormat="false" ht="15" hidden="false" customHeight="false" outlineLevel="0" collapsed="false">
      <c r="F2553" s="41" t="str">
        <f aca="false">IF(C2553="","",IFERROR(IF(ISNUMBER(SEARCH(Assumptions!$C$5,C2553)),Assumptions!$D$5,IF(ISNUMBER(SEARCH(Assumptions!$C$6,C2553)),Assumptions!$D$6,IF(ISNUMBER(SEARCH(Assumptions!$C$7,C2553)),Assumptions!$D$7,"Other Services"))),"Other Services"))</f>
        <v/>
      </c>
    </row>
    <row r="2554" customFormat="false" ht="15" hidden="false" customHeight="false" outlineLevel="0" collapsed="false">
      <c r="F2554" s="41" t="str">
        <f aca="false">IF(C2554="","",IFERROR(IF(ISNUMBER(SEARCH(Assumptions!$C$5,C2554)),Assumptions!$D$5,IF(ISNUMBER(SEARCH(Assumptions!$C$6,C2554)),Assumptions!$D$6,IF(ISNUMBER(SEARCH(Assumptions!$C$7,C2554)),Assumptions!$D$7,"Other Services"))),"Other Services"))</f>
        <v/>
      </c>
    </row>
    <row r="2555" customFormat="false" ht="15" hidden="false" customHeight="false" outlineLevel="0" collapsed="false">
      <c r="F2555" s="41" t="str">
        <f aca="false">IF(C2555="","",IFERROR(IF(ISNUMBER(SEARCH(Assumptions!$C$5,C2555)),Assumptions!$D$5,IF(ISNUMBER(SEARCH(Assumptions!$C$6,C2555)),Assumptions!$D$6,IF(ISNUMBER(SEARCH(Assumptions!$C$7,C2555)),Assumptions!$D$7,"Other Services"))),"Other Services"))</f>
        <v/>
      </c>
    </row>
    <row r="2556" customFormat="false" ht="15" hidden="false" customHeight="false" outlineLevel="0" collapsed="false">
      <c r="F2556" s="41" t="str">
        <f aca="false">IF(C2556="","",IFERROR(IF(ISNUMBER(SEARCH(Assumptions!$C$5,C2556)),Assumptions!$D$5,IF(ISNUMBER(SEARCH(Assumptions!$C$6,C2556)),Assumptions!$D$6,IF(ISNUMBER(SEARCH(Assumptions!$C$7,C2556)),Assumptions!$D$7,"Other Services"))),"Other Services"))</f>
        <v/>
      </c>
    </row>
    <row r="2557" customFormat="false" ht="15" hidden="false" customHeight="false" outlineLevel="0" collapsed="false">
      <c r="F2557" s="41" t="str">
        <f aca="false">IF(C2557="","",IFERROR(IF(ISNUMBER(SEARCH(Assumptions!$C$5,C2557)),Assumptions!$D$5,IF(ISNUMBER(SEARCH(Assumptions!$C$6,C2557)),Assumptions!$D$6,IF(ISNUMBER(SEARCH(Assumptions!$C$7,C2557)),Assumptions!$D$7,"Other Services"))),"Other Services"))</f>
        <v/>
      </c>
    </row>
    <row r="2558" customFormat="false" ht="15" hidden="false" customHeight="false" outlineLevel="0" collapsed="false">
      <c r="F2558" s="41" t="str">
        <f aca="false">IF(C2558="","",IFERROR(IF(ISNUMBER(SEARCH(Assumptions!$C$5,C2558)),Assumptions!$D$5,IF(ISNUMBER(SEARCH(Assumptions!$C$6,C2558)),Assumptions!$D$6,IF(ISNUMBER(SEARCH(Assumptions!$C$7,C2558)),Assumptions!$D$7,"Other Services"))),"Other Services"))</f>
        <v/>
      </c>
    </row>
    <row r="2559" customFormat="false" ht="15" hidden="false" customHeight="false" outlineLevel="0" collapsed="false">
      <c r="F2559" s="41" t="str">
        <f aca="false">IF(C2559="","",IFERROR(IF(ISNUMBER(SEARCH(Assumptions!$C$5,C2559)),Assumptions!$D$5,IF(ISNUMBER(SEARCH(Assumptions!$C$6,C2559)),Assumptions!$D$6,IF(ISNUMBER(SEARCH(Assumptions!$C$7,C2559)),Assumptions!$D$7,"Other Services"))),"Other Services"))</f>
        <v/>
      </c>
    </row>
    <row r="2560" customFormat="false" ht="15" hidden="false" customHeight="false" outlineLevel="0" collapsed="false">
      <c r="F2560" s="41" t="str">
        <f aca="false">IF(C2560="","",IFERROR(IF(ISNUMBER(SEARCH(Assumptions!$C$5,C2560)),Assumptions!$D$5,IF(ISNUMBER(SEARCH(Assumptions!$C$6,C2560)),Assumptions!$D$6,IF(ISNUMBER(SEARCH(Assumptions!$C$7,C2560)),Assumptions!$D$7,"Other Services"))),"Other Services"))</f>
        <v/>
      </c>
    </row>
    <row r="2561" customFormat="false" ht="15" hidden="false" customHeight="false" outlineLevel="0" collapsed="false">
      <c r="F2561" s="41" t="str">
        <f aca="false">IF(C2561="","",IFERROR(IF(ISNUMBER(SEARCH(Assumptions!$C$5,C2561)),Assumptions!$D$5,IF(ISNUMBER(SEARCH(Assumptions!$C$6,C2561)),Assumptions!$D$6,IF(ISNUMBER(SEARCH(Assumptions!$C$7,C2561)),Assumptions!$D$7,"Other Services"))),"Other Services"))</f>
        <v/>
      </c>
    </row>
    <row r="2562" customFormat="false" ht="15" hidden="false" customHeight="false" outlineLevel="0" collapsed="false">
      <c r="F2562" s="41" t="str">
        <f aca="false">IF(C2562="","",IFERROR(IF(ISNUMBER(SEARCH(Assumptions!$C$5,C2562)),Assumptions!$D$5,IF(ISNUMBER(SEARCH(Assumptions!$C$6,C2562)),Assumptions!$D$6,IF(ISNUMBER(SEARCH(Assumptions!$C$7,C2562)),Assumptions!$D$7,"Other Services"))),"Other Services"))</f>
        <v/>
      </c>
    </row>
    <row r="2563" customFormat="false" ht="15" hidden="false" customHeight="false" outlineLevel="0" collapsed="false">
      <c r="F2563" s="41" t="str">
        <f aca="false">IF(C2563="","",IFERROR(IF(ISNUMBER(SEARCH(Assumptions!$C$5,C2563)),Assumptions!$D$5,IF(ISNUMBER(SEARCH(Assumptions!$C$6,C2563)),Assumptions!$D$6,IF(ISNUMBER(SEARCH(Assumptions!$C$7,C2563)),Assumptions!$D$7,"Other Services"))),"Other Services"))</f>
        <v/>
      </c>
    </row>
    <row r="2564" customFormat="false" ht="15" hidden="false" customHeight="false" outlineLevel="0" collapsed="false">
      <c r="F2564" s="41" t="str">
        <f aca="false">IF(C2564="","",IFERROR(IF(ISNUMBER(SEARCH(Assumptions!$C$5,C2564)),Assumptions!$D$5,IF(ISNUMBER(SEARCH(Assumptions!$C$6,C2564)),Assumptions!$D$6,IF(ISNUMBER(SEARCH(Assumptions!$C$7,C2564)),Assumptions!$D$7,"Other Services"))),"Other Services"))</f>
        <v/>
      </c>
    </row>
    <row r="2565" customFormat="false" ht="15" hidden="false" customHeight="false" outlineLevel="0" collapsed="false">
      <c r="F2565" s="41" t="str">
        <f aca="false">IF(C2565="","",IFERROR(IF(ISNUMBER(SEARCH(Assumptions!$C$5,C2565)),Assumptions!$D$5,IF(ISNUMBER(SEARCH(Assumptions!$C$6,C2565)),Assumptions!$D$6,IF(ISNUMBER(SEARCH(Assumptions!$C$7,C2565)),Assumptions!$D$7,"Other Services"))),"Other Services"))</f>
        <v/>
      </c>
    </row>
    <row r="2566" customFormat="false" ht="15" hidden="false" customHeight="false" outlineLevel="0" collapsed="false">
      <c r="F2566" s="41" t="str">
        <f aca="false">IF(C2566="","",IFERROR(IF(ISNUMBER(SEARCH(Assumptions!$C$5,C2566)),Assumptions!$D$5,IF(ISNUMBER(SEARCH(Assumptions!$C$6,C2566)),Assumptions!$D$6,IF(ISNUMBER(SEARCH(Assumptions!$C$7,C2566)),Assumptions!$D$7,"Other Services"))),"Other Services"))</f>
        <v/>
      </c>
    </row>
    <row r="2567" customFormat="false" ht="15" hidden="false" customHeight="false" outlineLevel="0" collapsed="false">
      <c r="F2567" s="41" t="str">
        <f aca="false">IF(C2567="","",IFERROR(IF(ISNUMBER(SEARCH(Assumptions!$C$5,C2567)),Assumptions!$D$5,IF(ISNUMBER(SEARCH(Assumptions!$C$6,C2567)),Assumptions!$D$6,IF(ISNUMBER(SEARCH(Assumptions!$C$7,C2567)),Assumptions!$D$7,"Other Services"))),"Other Services"))</f>
        <v/>
      </c>
    </row>
    <row r="2568" customFormat="false" ht="15" hidden="false" customHeight="false" outlineLevel="0" collapsed="false">
      <c r="F2568" s="41" t="str">
        <f aca="false">IF(C2568="","",IFERROR(IF(ISNUMBER(SEARCH(Assumptions!$C$5,C2568)),Assumptions!$D$5,IF(ISNUMBER(SEARCH(Assumptions!$C$6,C2568)),Assumptions!$D$6,IF(ISNUMBER(SEARCH(Assumptions!$C$7,C2568)),Assumptions!$D$7,"Other Services"))),"Other Services"))</f>
        <v/>
      </c>
    </row>
    <row r="2569" customFormat="false" ht="15" hidden="false" customHeight="false" outlineLevel="0" collapsed="false">
      <c r="F2569" s="41" t="str">
        <f aca="false">IF(C2569="","",IFERROR(IF(ISNUMBER(SEARCH(Assumptions!$C$5,C2569)),Assumptions!$D$5,IF(ISNUMBER(SEARCH(Assumptions!$C$6,C2569)),Assumptions!$D$6,IF(ISNUMBER(SEARCH(Assumptions!$C$7,C2569)),Assumptions!$D$7,"Other Services"))),"Other Services"))</f>
        <v/>
      </c>
    </row>
    <row r="2570" customFormat="false" ht="15" hidden="false" customHeight="false" outlineLevel="0" collapsed="false">
      <c r="F2570" s="41" t="str">
        <f aca="false">IF(C2570="","",IFERROR(IF(ISNUMBER(SEARCH(Assumptions!$C$5,C2570)),Assumptions!$D$5,IF(ISNUMBER(SEARCH(Assumptions!$C$6,C2570)),Assumptions!$D$6,IF(ISNUMBER(SEARCH(Assumptions!$C$7,C2570)),Assumptions!$D$7,"Other Services"))),"Other Services"))</f>
        <v/>
      </c>
    </row>
    <row r="2571" customFormat="false" ht="15" hidden="false" customHeight="false" outlineLevel="0" collapsed="false">
      <c r="F2571" s="41" t="str">
        <f aca="false">IF(C2571="","",IFERROR(IF(ISNUMBER(SEARCH(Assumptions!$C$5,C2571)),Assumptions!$D$5,IF(ISNUMBER(SEARCH(Assumptions!$C$6,C2571)),Assumptions!$D$6,IF(ISNUMBER(SEARCH(Assumptions!$C$7,C2571)),Assumptions!$D$7,"Other Services"))),"Other Services"))</f>
        <v/>
      </c>
    </row>
    <row r="2572" customFormat="false" ht="15" hidden="false" customHeight="false" outlineLevel="0" collapsed="false">
      <c r="F2572" s="41" t="str">
        <f aca="false">IF(C2572="","",IFERROR(IF(ISNUMBER(SEARCH(Assumptions!$C$5,C2572)),Assumptions!$D$5,IF(ISNUMBER(SEARCH(Assumptions!$C$6,C2572)),Assumptions!$D$6,IF(ISNUMBER(SEARCH(Assumptions!$C$7,C2572)),Assumptions!$D$7,"Other Services"))),"Other Services"))</f>
        <v/>
      </c>
    </row>
    <row r="2573" customFormat="false" ht="15" hidden="false" customHeight="false" outlineLevel="0" collapsed="false">
      <c r="F2573" s="41" t="str">
        <f aca="false">IF(C2573="","",IFERROR(IF(ISNUMBER(SEARCH(Assumptions!$C$5,C2573)),Assumptions!$D$5,IF(ISNUMBER(SEARCH(Assumptions!$C$6,C2573)),Assumptions!$D$6,IF(ISNUMBER(SEARCH(Assumptions!$C$7,C2573)),Assumptions!$D$7,"Other Services"))),"Other Services"))</f>
        <v/>
      </c>
    </row>
    <row r="2574" customFormat="false" ht="15" hidden="false" customHeight="false" outlineLevel="0" collapsed="false">
      <c r="F2574" s="41" t="str">
        <f aca="false">IF(C2574="","",IFERROR(IF(ISNUMBER(SEARCH(Assumptions!$C$5,C2574)),Assumptions!$D$5,IF(ISNUMBER(SEARCH(Assumptions!$C$6,C2574)),Assumptions!$D$6,IF(ISNUMBER(SEARCH(Assumptions!$C$7,C2574)),Assumptions!$D$7,"Other Services"))),"Other Services"))</f>
        <v/>
      </c>
    </row>
    <row r="2575" customFormat="false" ht="15" hidden="false" customHeight="false" outlineLevel="0" collapsed="false">
      <c r="F2575" s="41" t="str">
        <f aca="false">IF(C2575="","",IFERROR(IF(ISNUMBER(SEARCH(Assumptions!$C$5,C2575)),Assumptions!$D$5,IF(ISNUMBER(SEARCH(Assumptions!$C$6,C2575)),Assumptions!$D$6,IF(ISNUMBER(SEARCH(Assumptions!$C$7,C2575)),Assumptions!$D$7,"Other Services"))),"Other Services"))</f>
        <v/>
      </c>
    </row>
    <row r="2576" customFormat="false" ht="15" hidden="false" customHeight="false" outlineLevel="0" collapsed="false">
      <c r="F2576" s="41" t="str">
        <f aca="false">IF(C2576="","",IFERROR(IF(ISNUMBER(SEARCH(Assumptions!$C$5,C2576)),Assumptions!$D$5,IF(ISNUMBER(SEARCH(Assumptions!$C$6,C2576)),Assumptions!$D$6,IF(ISNUMBER(SEARCH(Assumptions!$C$7,C2576)),Assumptions!$D$7,"Other Services"))),"Other Services"))</f>
        <v/>
      </c>
    </row>
    <row r="2577" customFormat="false" ht="15" hidden="false" customHeight="false" outlineLevel="0" collapsed="false">
      <c r="F2577" s="41" t="str">
        <f aca="false">IF(C2577="","",IFERROR(IF(ISNUMBER(SEARCH(Assumptions!$C$5,C2577)),Assumptions!$D$5,IF(ISNUMBER(SEARCH(Assumptions!$C$6,C2577)),Assumptions!$D$6,IF(ISNUMBER(SEARCH(Assumptions!$C$7,C2577)),Assumptions!$D$7,"Other Services"))),"Other Services"))</f>
        <v/>
      </c>
    </row>
    <row r="2578" customFormat="false" ht="15" hidden="false" customHeight="false" outlineLevel="0" collapsed="false">
      <c r="F2578" s="41" t="str">
        <f aca="false">IF(C2578="","",IFERROR(IF(ISNUMBER(SEARCH(Assumptions!$C$5,C2578)),Assumptions!$D$5,IF(ISNUMBER(SEARCH(Assumptions!$C$6,C2578)),Assumptions!$D$6,IF(ISNUMBER(SEARCH(Assumptions!$C$7,C2578)),Assumptions!$D$7,"Other Services"))),"Other Services"))</f>
        <v/>
      </c>
    </row>
    <row r="2579" customFormat="false" ht="15" hidden="false" customHeight="false" outlineLevel="0" collapsed="false">
      <c r="F2579" s="41" t="str">
        <f aca="false">IF(C2579="","",IFERROR(IF(ISNUMBER(SEARCH(Assumptions!$C$5,C2579)),Assumptions!$D$5,IF(ISNUMBER(SEARCH(Assumptions!$C$6,C2579)),Assumptions!$D$6,IF(ISNUMBER(SEARCH(Assumptions!$C$7,C2579)),Assumptions!$D$7,"Other Services"))),"Other Services"))</f>
        <v/>
      </c>
    </row>
    <row r="2580" customFormat="false" ht="15" hidden="false" customHeight="false" outlineLevel="0" collapsed="false">
      <c r="F2580" s="41" t="str">
        <f aca="false">IF(C2580="","",IFERROR(IF(ISNUMBER(SEARCH(Assumptions!$C$5,C2580)),Assumptions!$D$5,IF(ISNUMBER(SEARCH(Assumptions!$C$6,C2580)),Assumptions!$D$6,IF(ISNUMBER(SEARCH(Assumptions!$C$7,C2580)),Assumptions!$D$7,"Other Services"))),"Other Services"))</f>
        <v/>
      </c>
    </row>
    <row r="2581" customFormat="false" ht="15" hidden="false" customHeight="false" outlineLevel="0" collapsed="false">
      <c r="F2581" s="41" t="str">
        <f aca="false">IF(C2581="","",IFERROR(IF(ISNUMBER(SEARCH(Assumptions!$C$5,C2581)),Assumptions!$D$5,IF(ISNUMBER(SEARCH(Assumptions!$C$6,C2581)),Assumptions!$D$6,IF(ISNUMBER(SEARCH(Assumptions!$C$7,C2581)),Assumptions!$D$7,"Other Services"))),"Other Services"))</f>
        <v/>
      </c>
    </row>
    <row r="2582" customFormat="false" ht="15" hidden="false" customHeight="false" outlineLevel="0" collapsed="false">
      <c r="F2582" s="41" t="str">
        <f aca="false">IF(C2582="","",IFERROR(IF(ISNUMBER(SEARCH(Assumptions!$C$5,C2582)),Assumptions!$D$5,IF(ISNUMBER(SEARCH(Assumptions!$C$6,C2582)),Assumptions!$D$6,IF(ISNUMBER(SEARCH(Assumptions!$C$7,C2582)),Assumptions!$D$7,"Other Services"))),"Other Services"))</f>
        <v/>
      </c>
    </row>
    <row r="2583" customFormat="false" ht="15" hidden="false" customHeight="false" outlineLevel="0" collapsed="false">
      <c r="F2583" s="41" t="str">
        <f aca="false">IF(C2583="","",IFERROR(IF(ISNUMBER(SEARCH(Assumptions!$C$5,C2583)),Assumptions!$D$5,IF(ISNUMBER(SEARCH(Assumptions!$C$6,C2583)),Assumptions!$D$6,IF(ISNUMBER(SEARCH(Assumptions!$C$7,C2583)),Assumptions!$D$7,"Other Services"))),"Other Services"))</f>
        <v/>
      </c>
    </row>
    <row r="2584" customFormat="false" ht="15" hidden="false" customHeight="false" outlineLevel="0" collapsed="false">
      <c r="F2584" s="41" t="str">
        <f aca="false">IF(C2584="","",IFERROR(IF(ISNUMBER(SEARCH(Assumptions!$C$5,C2584)),Assumptions!$D$5,IF(ISNUMBER(SEARCH(Assumptions!$C$6,C2584)),Assumptions!$D$6,IF(ISNUMBER(SEARCH(Assumptions!$C$7,C2584)),Assumptions!$D$7,"Other Services"))),"Other Services"))</f>
        <v/>
      </c>
    </row>
    <row r="2585" customFormat="false" ht="15" hidden="false" customHeight="false" outlineLevel="0" collapsed="false">
      <c r="F2585" s="41" t="str">
        <f aca="false">IF(C2585="","",IFERROR(IF(ISNUMBER(SEARCH(Assumptions!$C$5,C2585)),Assumptions!$D$5,IF(ISNUMBER(SEARCH(Assumptions!$C$6,C2585)),Assumptions!$D$6,IF(ISNUMBER(SEARCH(Assumptions!$C$7,C2585)),Assumptions!$D$7,"Other Services"))),"Other Services"))</f>
        <v/>
      </c>
    </row>
    <row r="2586" customFormat="false" ht="15" hidden="false" customHeight="false" outlineLevel="0" collapsed="false">
      <c r="F2586" s="41" t="str">
        <f aca="false">IF(C2586="","",IFERROR(IF(ISNUMBER(SEARCH(Assumptions!$C$5,C2586)),Assumptions!$D$5,IF(ISNUMBER(SEARCH(Assumptions!$C$6,C2586)),Assumptions!$D$6,IF(ISNUMBER(SEARCH(Assumptions!$C$7,C2586)),Assumptions!$D$7,"Other Services"))),"Other Services"))</f>
        <v/>
      </c>
    </row>
    <row r="2587" customFormat="false" ht="15" hidden="false" customHeight="false" outlineLevel="0" collapsed="false">
      <c r="F2587" s="41" t="str">
        <f aca="false">IF(C2587="","",IFERROR(IF(ISNUMBER(SEARCH(Assumptions!$C$5,C2587)),Assumptions!$D$5,IF(ISNUMBER(SEARCH(Assumptions!$C$6,C2587)),Assumptions!$D$6,IF(ISNUMBER(SEARCH(Assumptions!$C$7,C2587)),Assumptions!$D$7,"Other Services"))),"Other Services"))</f>
        <v/>
      </c>
    </row>
    <row r="2588" customFormat="false" ht="15" hidden="false" customHeight="false" outlineLevel="0" collapsed="false">
      <c r="F2588" s="41" t="str">
        <f aca="false">IF(C2588="","",IFERROR(IF(ISNUMBER(SEARCH(Assumptions!$C$5,C2588)),Assumptions!$D$5,IF(ISNUMBER(SEARCH(Assumptions!$C$6,C2588)),Assumptions!$D$6,IF(ISNUMBER(SEARCH(Assumptions!$C$7,C2588)),Assumptions!$D$7,"Other Services"))),"Other Services"))</f>
        <v/>
      </c>
    </row>
    <row r="2589" customFormat="false" ht="15" hidden="false" customHeight="false" outlineLevel="0" collapsed="false">
      <c r="F2589" s="41" t="str">
        <f aca="false">IF(C2589="","",IFERROR(IF(ISNUMBER(SEARCH(Assumptions!$C$5,C2589)),Assumptions!$D$5,IF(ISNUMBER(SEARCH(Assumptions!$C$6,C2589)),Assumptions!$D$6,IF(ISNUMBER(SEARCH(Assumptions!$C$7,C2589)),Assumptions!$D$7,"Other Services"))),"Other Services"))</f>
        <v/>
      </c>
    </row>
    <row r="2590" customFormat="false" ht="15" hidden="false" customHeight="false" outlineLevel="0" collapsed="false">
      <c r="F2590" s="41" t="str">
        <f aca="false">IF(C2590="","",IFERROR(IF(ISNUMBER(SEARCH(Assumptions!$C$5,C2590)),Assumptions!$D$5,IF(ISNUMBER(SEARCH(Assumptions!$C$6,C2590)),Assumptions!$D$6,IF(ISNUMBER(SEARCH(Assumptions!$C$7,C2590)),Assumptions!$D$7,"Other Services"))),"Other Services"))</f>
        <v/>
      </c>
    </row>
    <row r="2591" customFormat="false" ht="15" hidden="false" customHeight="false" outlineLevel="0" collapsed="false">
      <c r="F2591" s="41" t="str">
        <f aca="false">IF(C2591="","",IFERROR(IF(ISNUMBER(SEARCH(Assumptions!$C$5,C2591)),Assumptions!$D$5,IF(ISNUMBER(SEARCH(Assumptions!$C$6,C2591)),Assumptions!$D$6,IF(ISNUMBER(SEARCH(Assumptions!$C$7,C2591)),Assumptions!$D$7,"Other Services"))),"Other Services"))</f>
        <v/>
      </c>
    </row>
    <row r="2592" customFormat="false" ht="15" hidden="false" customHeight="false" outlineLevel="0" collapsed="false">
      <c r="F2592" s="41" t="str">
        <f aca="false">IF(C2592="","",IFERROR(IF(ISNUMBER(SEARCH(Assumptions!$C$5,C2592)),Assumptions!$D$5,IF(ISNUMBER(SEARCH(Assumptions!$C$6,C2592)),Assumptions!$D$6,IF(ISNUMBER(SEARCH(Assumptions!$C$7,C2592)),Assumptions!$D$7,"Other Services"))),"Other Services"))</f>
        <v/>
      </c>
    </row>
    <row r="2593" customFormat="false" ht="15" hidden="false" customHeight="false" outlineLevel="0" collapsed="false">
      <c r="F2593" s="41" t="str">
        <f aca="false">IF(C2593="","",IFERROR(IF(ISNUMBER(SEARCH(Assumptions!$C$5,C2593)),Assumptions!$D$5,IF(ISNUMBER(SEARCH(Assumptions!$C$6,C2593)),Assumptions!$D$6,IF(ISNUMBER(SEARCH(Assumptions!$C$7,C2593)),Assumptions!$D$7,"Other Services"))),"Other Services"))</f>
        <v/>
      </c>
    </row>
    <row r="2594" customFormat="false" ht="15" hidden="false" customHeight="false" outlineLevel="0" collapsed="false">
      <c r="F2594" s="41" t="str">
        <f aca="false">IF(C2594="","",IFERROR(IF(ISNUMBER(SEARCH(Assumptions!$C$5,C2594)),Assumptions!$D$5,IF(ISNUMBER(SEARCH(Assumptions!$C$6,C2594)),Assumptions!$D$6,IF(ISNUMBER(SEARCH(Assumptions!$C$7,C2594)),Assumptions!$D$7,"Other Services"))),"Other Services"))</f>
        <v/>
      </c>
    </row>
    <row r="2595" customFormat="false" ht="15" hidden="false" customHeight="false" outlineLevel="0" collapsed="false">
      <c r="F2595" s="41" t="str">
        <f aca="false">IF(C2595="","",IFERROR(IF(ISNUMBER(SEARCH(Assumptions!$C$5,C2595)),Assumptions!$D$5,IF(ISNUMBER(SEARCH(Assumptions!$C$6,C2595)),Assumptions!$D$6,IF(ISNUMBER(SEARCH(Assumptions!$C$7,C2595)),Assumptions!$D$7,"Other Services"))),"Other Services"))</f>
        <v/>
      </c>
    </row>
    <row r="2596" customFormat="false" ht="15" hidden="false" customHeight="false" outlineLevel="0" collapsed="false">
      <c r="F2596" s="41" t="str">
        <f aca="false">IF(C2596="","",IFERROR(IF(ISNUMBER(SEARCH(Assumptions!$C$5,C2596)),Assumptions!$D$5,IF(ISNUMBER(SEARCH(Assumptions!$C$6,C2596)),Assumptions!$D$6,IF(ISNUMBER(SEARCH(Assumptions!$C$7,C2596)),Assumptions!$D$7,"Other Services"))),"Other Services"))</f>
        <v/>
      </c>
    </row>
    <row r="2597" customFormat="false" ht="15" hidden="false" customHeight="false" outlineLevel="0" collapsed="false">
      <c r="F2597" s="41" t="str">
        <f aca="false">IF(C2597="","",IFERROR(IF(ISNUMBER(SEARCH(Assumptions!$C$5,C2597)),Assumptions!$D$5,IF(ISNUMBER(SEARCH(Assumptions!$C$6,C2597)),Assumptions!$D$6,IF(ISNUMBER(SEARCH(Assumptions!$C$7,C2597)),Assumptions!$D$7,"Other Services"))),"Other Services"))</f>
        <v/>
      </c>
    </row>
    <row r="2598" customFormat="false" ht="15" hidden="false" customHeight="false" outlineLevel="0" collapsed="false">
      <c r="F2598" s="41" t="str">
        <f aca="false">IF(C2598="","",IFERROR(IF(ISNUMBER(SEARCH(Assumptions!$C$5,C2598)),Assumptions!$D$5,IF(ISNUMBER(SEARCH(Assumptions!$C$6,C2598)),Assumptions!$D$6,IF(ISNUMBER(SEARCH(Assumptions!$C$7,C2598)),Assumptions!$D$7,"Other Services"))),"Other Services"))</f>
        <v/>
      </c>
    </row>
    <row r="2599" customFormat="false" ht="15" hidden="false" customHeight="false" outlineLevel="0" collapsed="false">
      <c r="F2599" s="41" t="str">
        <f aca="false">IF(C2599="","",IFERROR(IF(ISNUMBER(SEARCH(Assumptions!$C$5,C2599)),Assumptions!$D$5,IF(ISNUMBER(SEARCH(Assumptions!$C$6,C2599)),Assumptions!$D$6,IF(ISNUMBER(SEARCH(Assumptions!$C$7,C2599)),Assumptions!$D$7,"Other Services"))),"Other Services"))</f>
        <v/>
      </c>
    </row>
    <row r="2600" customFormat="false" ht="15" hidden="false" customHeight="false" outlineLevel="0" collapsed="false">
      <c r="F2600" s="41" t="str">
        <f aca="false">IF(C2600="","",IFERROR(IF(ISNUMBER(SEARCH(Assumptions!$C$5,C2600)),Assumptions!$D$5,IF(ISNUMBER(SEARCH(Assumptions!$C$6,C2600)),Assumptions!$D$6,IF(ISNUMBER(SEARCH(Assumptions!$C$7,C2600)),Assumptions!$D$7,"Other Services"))),"Other Services"))</f>
        <v/>
      </c>
    </row>
    <row r="2601" customFormat="false" ht="15" hidden="false" customHeight="false" outlineLevel="0" collapsed="false">
      <c r="F2601" s="41" t="str">
        <f aca="false">IF(C2601="","",IFERROR(IF(ISNUMBER(SEARCH(Assumptions!$C$5,C2601)),Assumptions!$D$5,IF(ISNUMBER(SEARCH(Assumptions!$C$6,C2601)),Assumptions!$D$6,IF(ISNUMBER(SEARCH(Assumptions!$C$7,C2601)),Assumptions!$D$7,"Other Services"))),"Other Services"))</f>
        <v/>
      </c>
    </row>
    <row r="2602" customFormat="false" ht="15" hidden="false" customHeight="false" outlineLevel="0" collapsed="false">
      <c r="F2602" s="41" t="str">
        <f aca="false">IF(C2602="","",IFERROR(IF(ISNUMBER(SEARCH(Assumptions!$C$5,C2602)),Assumptions!$D$5,IF(ISNUMBER(SEARCH(Assumptions!$C$6,C2602)),Assumptions!$D$6,IF(ISNUMBER(SEARCH(Assumptions!$C$7,C2602)),Assumptions!$D$7,"Other Services"))),"Other Services"))</f>
        <v/>
      </c>
    </row>
    <row r="2603" customFormat="false" ht="15" hidden="false" customHeight="false" outlineLevel="0" collapsed="false">
      <c r="F2603" s="41" t="str">
        <f aca="false">IF(C2603="","",IFERROR(IF(ISNUMBER(SEARCH(Assumptions!$C$5,C2603)),Assumptions!$D$5,IF(ISNUMBER(SEARCH(Assumptions!$C$6,C2603)),Assumptions!$D$6,IF(ISNUMBER(SEARCH(Assumptions!$C$7,C2603)),Assumptions!$D$7,"Other Services"))),"Other Services"))</f>
        <v/>
      </c>
    </row>
    <row r="2604" customFormat="false" ht="15" hidden="false" customHeight="false" outlineLevel="0" collapsed="false">
      <c r="F2604" s="41" t="str">
        <f aca="false">IF(C2604="","",IFERROR(IF(ISNUMBER(SEARCH(Assumptions!$C$5,C2604)),Assumptions!$D$5,IF(ISNUMBER(SEARCH(Assumptions!$C$6,C2604)),Assumptions!$D$6,IF(ISNUMBER(SEARCH(Assumptions!$C$7,C2604)),Assumptions!$D$7,"Other Services"))),"Other Services"))</f>
        <v/>
      </c>
    </row>
    <row r="2605" customFormat="false" ht="15" hidden="false" customHeight="false" outlineLevel="0" collapsed="false">
      <c r="F2605" s="41" t="str">
        <f aca="false">IF(C2605="","",IFERROR(IF(ISNUMBER(SEARCH(Assumptions!$C$5,C2605)),Assumptions!$D$5,IF(ISNUMBER(SEARCH(Assumptions!$C$6,C2605)),Assumptions!$D$6,IF(ISNUMBER(SEARCH(Assumptions!$C$7,C2605)),Assumptions!$D$7,"Other Services"))),"Other Services"))</f>
        <v/>
      </c>
    </row>
    <row r="2606" customFormat="false" ht="15" hidden="false" customHeight="false" outlineLevel="0" collapsed="false">
      <c r="F2606" s="41" t="str">
        <f aca="false">IF(C2606="","",IFERROR(IF(ISNUMBER(SEARCH(Assumptions!$C$5,C2606)),Assumptions!$D$5,IF(ISNUMBER(SEARCH(Assumptions!$C$6,C2606)),Assumptions!$D$6,IF(ISNUMBER(SEARCH(Assumptions!$C$7,C2606)),Assumptions!$D$7,"Other Services"))),"Other Services"))</f>
        <v/>
      </c>
    </row>
    <row r="2607" customFormat="false" ht="15" hidden="false" customHeight="false" outlineLevel="0" collapsed="false">
      <c r="F2607" s="41" t="str">
        <f aca="false">IF(C2607="","",IFERROR(IF(ISNUMBER(SEARCH(Assumptions!$C$5,C2607)),Assumptions!$D$5,IF(ISNUMBER(SEARCH(Assumptions!$C$6,C2607)),Assumptions!$D$6,IF(ISNUMBER(SEARCH(Assumptions!$C$7,C2607)),Assumptions!$D$7,"Other Services"))),"Other Services"))</f>
        <v/>
      </c>
    </row>
    <row r="2608" customFormat="false" ht="15" hidden="false" customHeight="false" outlineLevel="0" collapsed="false">
      <c r="F2608" s="41" t="str">
        <f aca="false">IF(C2608="","",IFERROR(IF(ISNUMBER(SEARCH(Assumptions!$C$5,C2608)),Assumptions!$D$5,IF(ISNUMBER(SEARCH(Assumptions!$C$6,C2608)),Assumptions!$D$6,IF(ISNUMBER(SEARCH(Assumptions!$C$7,C2608)),Assumptions!$D$7,"Other Services"))),"Other Services"))</f>
        <v/>
      </c>
    </row>
    <row r="2609" customFormat="false" ht="15" hidden="false" customHeight="false" outlineLevel="0" collapsed="false">
      <c r="F2609" s="41" t="str">
        <f aca="false">IF(C2609="","",IFERROR(IF(ISNUMBER(SEARCH(Assumptions!$C$5,C2609)),Assumptions!$D$5,IF(ISNUMBER(SEARCH(Assumptions!$C$6,C2609)),Assumptions!$D$6,IF(ISNUMBER(SEARCH(Assumptions!$C$7,C2609)),Assumptions!$D$7,"Other Services"))),"Other Services"))</f>
        <v/>
      </c>
    </row>
    <row r="2610" customFormat="false" ht="15" hidden="false" customHeight="false" outlineLevel="0" collapsed="false">
      <c r="F2610" s="41" t="str">
        <f aca="false">IF(C2610="","",IFERROR(IF(ISNUMBER(SEARCH(Assumptions!$C$5,C2610)),Assumptions!$D$5,IF(ISNUMBER(SEARCH(Assumptions!$C$6,C2610)),Assumptions!$D$6,IF(ISNUMBER(SEARCH(Assumptions!$C$7,C2610)),Assumptions!$D$7,"Other Services"))),"Other Services"))</f>
        <v/>
      </c>
    </row>
    <row r="2611" customFormat="false" ht="15" hidden="false" customHeight="false" outlineLevel="0" collapsed="false">
      <c r="F2611" s="41" t="str">
        <f aca="false">IF(C2611="","",IFERROR(IF(ISNUMBER(SEARCH(Assumptions!$C$5,C2611)),Assumptions!$D$5,IF(ISNUMBER(SEARCH(Assumptions!$C$6,C2611)),Assumptions!$D$6,IF(ISNUMBER(SEARCH(Assumptions!$C$7,C2611)),Assumptions!$D$7,"Other Services"))),"Other Services"))</f>
        <v/>
      </c>
    </row>
    <row r="2612" customFormat="false" ht="15" hidden="false" customHeight="false" outlineLevel="0" collapsed="false">
      <c r="F2612" s="41" t="str">
        <f aca="false">IF(C2612="","",IFERROR(IF(ISNUMBER(SEARCH(Assumptions!$C$5,C2612)),Assumptions!$D$5,IF(ISNUMBER(SEARCH(Assumptions!$C$6,C2612)),Assumptions!$D$6,IF(ISNUMBER(SEARCH(Assumptions!$C$7,C2612)),Assumptions!$D$7,"Other Services"))),"Other Services"))</f>
        <v/>
      </c>
    </row>
    <row r="2613" customFormat="false" ht="15" hidden="false" customHeight="false" outlineLevel="0" collapsed="false">
      <c r="F2613" s="41" t="str">
        <f aca="false">IF(C2613="","",IFERROR(IF(ISNUMBER(SEARCH(Assumptions!$C$5,C2613)),Assumptions!$D$5,IF(ISNUMBER(SEARCH(Assumptions!$C$6,C2613)),Assumptions!$D$6,IF(ISNUMBER(SEARCH(Assumptions!$C$7,C2613)),Assumptions!$D$7,"Other Services"))),"Other Services"))</f>
        <v/>
      </c>
    </row>
    <row r="2614" customFormat="false" ht="15" hidden="false" customHeight="false" outlineLevel="0" collapsed="false">
      <c r="F2614" s="41" t="str">
        <f aca="false">IF(C2614="","",IFERROR(IF(ISNUMBER(SEARCH(Assumptions!$C$5,C2614)),Assumptions!$D$5,IF(ISNUMBER(SEARCH(Assumptions!$C$6,C2614)),Assumptions!$D$6,IF(ISNUMBER(SEARCH(Assumptions!$C$7,C2614)),Assumptions!$D$7,"Other Services"))),"Other Services"))</f>
        <v/>
      </c>
    </row>
    <row r="2615" customFormat="false" ht="15" hidden="false" customHeight="false" outlineLevel="0" collapsed="false">
      <c r="F2615" s="41" t="str">
        <f aca="false">IF(C2615="","",IFERROR(IF(ISNUMBER(SEARCH(Assumptions!$C$5,C2615)),Assumptions!$D$5,IF(ISNUMBER(SEARCH(Assumptions!$C$6,C2615)),Assumptions!$D$6,IF(ISNUMBER(SEARCH(Assumptions!$C$7,C2615)),Assumptions!$D$7,"Other Services"))),"Other Services"))</f>
        <v/>
      </c>
    </row>
    <row r="2616" customFormat="false" ht="15" hidden="false" customHeight="false" outlineLevel="0" collapsed="false">
      <c r="F2616" s="41" t="str">
        <f aca="false">IF(C2616="","",IFERROR(IF(ISNUMBER(SEARCH(Assumptions!$C$5,C2616)),Assumptions!$D$5,IF(ISNUMBER(SEARCH(Assumptions!$C$6,C2616)),Assumptions!$D$6,IF(ISNUMBER(SEARCH(Assumptions!$C$7,C2616)),Assumptions!$D$7,"Other Services"))),"Other Services"))</f>
        <v/>
      </c>
    </row>
    <row r="2617" customFormat="false" ht="15" hidden="false" customHeight="false" outlineLevel="0" collapsed="false">
      <c r="F2617" s="41" t="str">
        <f aca="false">IF(C2617="","",IFERROR(IF(ISNUMBER(SEARCH(Assumptions!$C$5,C2617)),Assumptions!$D$5,IF(ISNUMBER(SEARCH(Assumptions!$C$6,C2617)),Assumptions!$D$6,IF(ISNUMBER(SEARCH(Assumptions!$C$7,C2617)),Assumptions!$D$7,"Other Services"))),"Other Services"))</f>
        <v/>
      </c>
    </row>
    <row r="2618" customFormat="false" ht="15" hidden="false" customHeight="false" outlineLevel="0" collapsed="false">
      <c r="F2618" s="41" t="str">
        <f aca="false">IF(C2618="","",IFERROR(IF(ISNUMBER(SEARCH(Assumptions!$C$5,C2618)),Assumptions!$D$5,IF(ISNUMBER(SEARCH(Assumptions!$C$6,C2618)),Assumptions!$D$6,IF(ISNUMBER(SEARCH(Assumptions!$C$7,C2618)),Assumptions!$D$7,"Other Services"))),"Other Services"))</f>
        <v/>
      </c>
    </row>
    <row r="2619" customFormat="false" ht="15" hidden="false" customHeight="false" outlineLevel="0" collapsed="false">
      <c r="F2619" s="41" t="str">
        <f aca="false">IF(C2619="","",IFERROR(IF(ISNUMBER(SEARCH(Assumptions!$C$5,C2619)),Assumptions!$D$5,IF(ISNUMBER(SEARCH(Assumptions!$C$6,C2619)),Assumptions!$D$6,IF(ISNUMBER(SEARCH(Assumptions!$C$7,C2619)),Assumptions!$D$7,"Other Services"))),"Other Services"))</f>
        <v/>
      </c>
    </row>
    <row r="2620" customFormat="false" ht="15" hidden="false" customHeight="false" outlineLevel="0" collapsed="false">
      <c r="F2620" s="41" t="str">
        <f aca="false">IF(C2620="","",IFERROR(IF(ISNUMBER(SEARCH(Assumptions!$C$5,C2620)),Assumptions!$D$5,IF(ISNUMBER(SEARCH(Assumptions!$C$6,C2620)),Assumptions!$D$6,IF(ISNUMBER(SEARCH(Assumptions!$C$7,C2620)),Assumptions!$D$7,"Other Services"))),"Other Services"))</f>
        <v/>
      </c>
    </row>
    <row r="2621" customFormat="false" ht="15" hidden="false" customHeight="false" outlineLevel="0" collapsed="false">
      <c r="F2621" s="41" t="str">
        <f aca="false">IF(C2621="","",IFERROR(IF(ISNUMBER(SEARCH(Assumptions!$C$5,C2621)),Assumptions!$D$5,IF(ISNUMBER(SEARCH(Assumptions!$C$6,C2621)),Assumptions!$D$6,IF(ISNUMBER(SEARCH(Assumptions!$C$7,C2621)),Assumptions!$D$7,"Other Services"))),"Other Services"))</f>
        <v/>
      </c>
    </row>
    <row r="2622" customFormat="false" ht="15" hidden="false" customHeight="false" outlineLevel="0" collapsed="false">
      <c r="F2622" s="41" t="str">
        <f aca="false">IF(C2622="","",IFERROR(IF(ISNUMBER(SEARCH(Assumptions!$C$5,C2622)),Assumptions!$D$5,IF(ISNUMBER(SEARCH(Assumptions!$C$6,C2622)),Assumptions!$D$6,IF(ISNUMBER(SEARCH(Assumptions!$C$7,C2622)),Assumptions!$D$7,"Other Services"))),"Other Services"))</f>
        <v/>
      </c>
    </row>
    <row r="2623" customFormat="false" ht="15" hidden="false" customHeight="false" outlineLevel="0" collapsed="false">
      <c r="F2623" s="41" t="str">
        <f aca="false">IF(C2623="","",IFERROR(IF(ISNUMBER(SEARCH(Assumptions!$C$5,C2623)),Assumptions!$D$5,IF(ISNUMBER(SEARCH(Assumptions!$C$6,C2623)),Assumptions!$D$6,IF(ISNUMBER(SEARCH(Assumptions!$C$7,C2623)),Assumptions!$D$7,"Other Services"))),"Other Services"))</f>
        <v/>
      </c>
    </row>
    <row r="2624" customFormat="false" ht="15" hidden="false" customHeight="false" outlineLevel="0" collapsed="false">
      <c r="F2624" s="41" t="str">
        <f aca="false">IF(C2624="","",IFERROR(IF(ISNUMBER(SEARCH(Assumptions!$C$5,C2624)),Assumptions!$D$5,IF(ISNUMBER(SEARCH(Assumptions!$C$6,C2624)),Assumptions!$D$6,IF(ISNUMBER(SEARCH(Assumptions!$C$7,C2624)),Assumptions!$D$7,"Other Services"))),"Other Services"))</f>
        <v/>
      </c>
    </row>
    <row r="2625" customFormat="false" ht="15" hidden="false" customHeight="false" outlineLevel="0" collapsed="false">
      <c r="F2625" s="41" t="str">
        <f aca="false">IF(C2625="","",IFERROR(IF(ISNUMBER(SEARCH(Assumptions!$C$5,C2625)),Assumptions!$D$5,IF(ISNUMBER(SEARCH(Assumptions!$C$6,C2625)),Assumptions!$D$6,IF(ISNUMBER(SEARCH(Assumptions!$C$7,C2625)),Assumptions!$D$7,"Other Services"))),"Other Services"))</f>
        <v/>
      </c>
    </row>
    <row r="2626" customFormat="false" ht="15" hidden="false" customHeight="false" outlineLevel="0" collapsed="false">
      <c r="F2626" s="41" t="str">
        <f aca="false">IF(C2626="","",IFERROR(IF(ISNUMBER(SEARCH(Assumptions!$C$5,C2626)),Assumptions!$D$5,IF(ISNUMBER(SEARCH(Assumptions!$C$6,C2626)),Assumptions!$D$6,IF(ISNUMBER(SEARCH(Assumptions!$C$7,C2626)),Assumptions!$D$7,"Other Services"))),"Other Services"))</f>
        <v/>
      </c>
    </row>
    <row r="2627" customFormat="false" ht="15" hidden="false" customHeight="false" outlineLevel="0" collapsed="false">
      <c r="F2627" s="41" t="str">
        <f aca="false">IF(C2627="","",IFERROR(IF(ISNUMBER(SEARCH(Assumptions!$C$5,C2627)),Assumptions!$D$5,IF(ISNUMBER(SEARCH(Assumptions!$C$6,C2627)),Assumptions!$D$6,IF(ISNUMBER(SEARCH(Assumptions!$C$7,C2627)),Assumptions!$D$7,"Other Services"))),"Other Services"))</f>
        <v/>
      </c>
    </row>
    <row r="2628" customFormat="false" ht="15" hidden="false" customHeight="false" outlineLevel="0" collapsed="false">
      <c r="F2628" s="41" t="str">
        <f aca="false">IF(C2628="","",IFERROR(IF(ISNUMBER(SEARCH(Assumptions!$C$5,C2628)),Assumptions!$D$5,IF(ISNUMBER(SEARCH(Assumptions!$C$6,C2628)),Assumptions!$D$6,IF(ISNUMBER(SEARCH(Assumptions!$C$7,C2628)),Assumptions!$D$7,"Other Services"))),"Other Services"))</f>
        <v/>
      </c>
    </row>
    <row r="2629" customFormat="false" ht="15" hidden="false" customHeight="false" outlineLevel="0" collapsed="false">
      <c r="F2629" s="41" t="str">
        <f aca="false">IF(C2629="","",IFERROR(IF(ISNUMBER(SEARCH(Assumptions!$C$5,C2629)),Assumptions!$D$5,IF(ISNUMBER(SEARCH(Assumptions!$C$6,C2629)),Assumptions!$D$6,IF(ISNUMBER(SEARCH(Assumptions!$C$7,C2629)),Assumptions!$D$7,"Other Services"))),"Other Services"))</f>
        <v/>
      </c>
    </row>
    <row r="2630" customFormat="false" ht="15" hidden="false" customHeight="false" outlineLevel="0" collapsed="false">
      <c r="F2630" s="41" t="str">
        <f aca="false">IF(C2630="","",IFERROR(IF(ISNUMBER(SEARCH(Assumptions!$C$5,C2630)),Assumptions!$D$5,IF(ISNUMBER(SEARCH(Assumptions!$C$6,C2630)),Assumptions!$D$6,IF(ISNUMBER(SEARCH(Assumptions!$C$7,C2630)),Assumptions!$D$7,"Other Services"))),"Other Services"))</f>
        <v/>
      </c>
    </row>
    <row r="2631" customFormat="false" ht="15" hidden="false" customHeight="false" outlineLevel="0" collapsed="false">
      <c r="F2631" s="41" t="str">
        <f aca="false">IF(C2631="","",IFERROR(IF(ISNUMBER(SEARCH(Assumptions!$C$5,C2631)),Assumptions!$D$5,IF(ISNUMBER(SEARCH(Assumptions!$C$6,C2631)),Assumptions!$D$6,IF(ISNUMBER(SEARCH(Assumptions!$C$7,C2631)),Assumptions!$D$7,"Other Services"))),"Other Services"))</f>
        <v/>
      </c>
    </row>
    <row r="2632" customFormat="false" ht="15" hidden="false" customHeight="false" outlineLevel="0" collapsed="false">
      <c r="F2632" s="41" t="str">
        <f aca="false">IF(C2632="","",IFERROR(IF(ISNUMBER(SEARCH(Assumptions!$C$5,C2632)),Assumptions!$D$5,IF(ISNUMBER(SEARCH(Assumptions!$C$6,C2632)),Assumptions!$D$6,IF(ISNUMBER(SEARCH(Assumptions!$C$7,C2632)),Assumptions!$D$7,"Other Services"))),"Other Services"))</f>
        <v/>
      </c>
    </row>
    <row r="2633" customFormat="false" ht="15" hidden="false" customHeight="false" outlineLevel="0" collapsed="false">
      <c r="F2633" s="41" t="str">
        <f aca="false">IF(C2633="","",IFERROR(IF(ISNUMBER(SEARCH(Assumptions!$C$5,C2633)),Assumptions!$D$5,IF(ISNUMBER(SEARCH(Assumptions!$C$6,C2633)),Assumptions!$D$6,IF(ISNUMBER(SEARCH(Assumptions!$C$7,C2633)),Assumptions!$D$7,"Other Services"))),"Other Services"))</f>
        <v/>
      </c>
    </row>
    <row r="2634" customFormat="false" ht="15" hidden="false" customHeight="false" outlineLevel="0" collapsed="false">
      <c r="F2634" s="41" t="str">
        <f aca="false">IF(C2634="","",IFERROR(IF(ISNUMBER(SEARCH(Assumptions!$C$5,C2634)),Assumptions!$D$5,IF(ISNUMBER(SEARCH(Assumptions!$C$6,C2634)),Assumptions!$D$6,IF(ISNUMBER(SEARCH(Assumptions!$C$7,C2634)),Assumptions!$D$7,"Other Services"))),"Other Services"))</f>
        <v/>
      </c>
    </row>
    <row r="2635" customFormat="false" ht="15" hidden="false" customHeight="false" outlineLevel="0" collapsed="false">
      <c r="F2635" s="41" t="str">
        <f aca="false">IF(C2635="","",IFERROR(IF(ISNUMBER(SEARCH(Assumptions!$C$5,C2635)),Assumptions!$D$5,IF(ISNUMBER(SEARCH(Assumptions!$C$6,C2635)),Assumptions!$D$6,IF(ISNUMBER(SEARCH(Assumptions!$C$7,C2635)),Assumptions!$D$7,"Other Services"))),"Other Services"))</f>
        <v/>
      </c>
    </row>
    <row r="2636" customFormat="false" ht="15" hidden="false" customHeight="false" outlineLevel="0" collapsed="false">
      <c r="F2636" s="41" t="str">
        <f aca="false">IF(C2636="","",IFERROR(IF(ISNUMBER(SEARCH(Assumptions!$C$5,C2636)),Assumptions!$D$5,IF(ISNUMBER(SEARCH(Assumptions!$C$6,C2636)),Assumptions!$D$6,IF(ISNUMBER(SEARCH(Assumptions!$C$7,C2636)),Assumptions!$D$7,"Other Services"))),"Other Services"))</f>
        <v/>
      </c>
    </row>
    <row r="2637" customFormat="false" ht="15" hidden="false" customHeight="false" outlineLevel="0" collapsed="false">
      <c r="F2637" s="41" t="str">
        <f aca="false">IF(C2637="","",IFERROR(IF(ISNUMBER(SEARCH(Assumptions!$C$5,C2637)),Assumptions!$D$5,IF(ISNUMBER(SEARCH(Assumptions!$C$6,C2637)),Assumptions!$D$6,IF(ISNUMBER(SEARCH(Assumptions!$C$7,C2637)),Assumptions!$D$7,"Other Services"))),"Other Services"))</f>
        <v/>
      </c>
    </row>
    <row r="2638" customFormat="false" ht="15" hidden="false" customHeight="false" outlineLevel="0" collapsed="false">
      <c r="F2638" s="41" t="str">
        <f aca="false">IF(C2638="","",IFERROR(IF(ISNUMBER(SEARCH(Assumptions!$C$5,C2638)),Assumptions!$D$5,IF(ISNUMBER(SEARCH(Assumptions!$C$6,C2638)),Assumptions!$D$6,IF(ISNUMBER(SEARCH(Assumptions!$C$7,C2638)),Assumptions!$D$7,"Other Services"))),"Other Services"))</f>
        <v/>
      </c>
    </row>
    <row r="2639" customFormat="false" ht="15" hidden="false" customHeight="false" outlineLevel="0" collapsed="false">
      <c r="F2639" s="41" t="str">
        <f aca="false">IF(C2639="","",IFERROR(IF(ISNUMBER(SEARCH(Assumptions!$C$5,C2639)),Assumptions!$D$5,IF(ISNUMBER(SEARCH(Assumptions!$C$6,C2639)),Assumptions!$D$6,IF(ISNUMBER(SEARCH(Assumptions!$C$7,C2639)),Assumptions!$D$7,"Other Services"))),"Other Services"))</f>
        <v/>
      </c>
    </row>
    <row r="2640" customFormat="false" ht="15" hidden="false" customHeight="false" outlineLevel="0" collapsed="false">
      <c r="F2640" s="41" t="str">
        <f aca="false">IF(C2640="","",IFERROR(IF(ISNUMBER(SEARCH(Assumptions!$C$5,C2640)),Assumptions!$D$5,IF(ISNUMBER(SEARCH(Assumptions!$C$6,C2640)),Assumptions!$D$6,IF(ISNUMBER(SEARCH(Assumptions!$C$7,C2640)),Assumptions!$D$7,"Other Services"))),"Other Services"))</f>
        <v/>
      </c>
    </row>
    <row r="2641" customFormat="false" ht="15" hidden="false" customHeight="false" outlineLevel="0" collapsed="false">
      <c r="F2641" s="41" t="str">
        <f aca="false">IF(C2641="","",IFERROR(IF(ISNUMBER(SEARCH(Assumptions!$C$5,C2641)),Assumptions!$D$5,IF(ISNUMBER(SEARCH(Assumptions!$C$6,C2641)),Assumptions!$D$6,IF(ISNUMBER(SEARCH(Assumptions!$C$7,C2641)),Assumptions!$D$7,"Other Services"))),"Other Services"))</f>
        <v/>
      </c>
    </row>
    <row r="2642" customFormat="false" ht="15" hidden="false" customHeight="false" outlineLevel="0" collapsed="false">
      <c r="F2642" s="41" t="str">
        <f aca="false">IF(C2642="","",IFERROR(IF(ISNUMBER(SEARCH(Assumptions!$C$5,C2642)),Assumptions!$D$5,IF(ISNUMBER(SEARCH(Assumptions!$C$6,C2642)),Assumptions!$D$6,IF(ISNUMBER(SEARCH(Assumptions!$C$7,C2642)),Assumptions!$D$7,"Other Services"))),"Other Services"))</f>
        <v/>
      </c>
    </row>
    <row r="2643" customFormat="false" ht="15" hidden="false" customHeight="false" outlineLevel="0" collapsed="false">
      <c r="F2643" s="41" t="str">
        <f aca="false">IF(C2643="","",IFERROR(IF(ISNUMBER(SEARCH(Assumptions!$C$5,C2643)),Assumptions!$D$5,IF(ISNUMBER(SEARCH(Assumptions!$C$6,C2643)),Assumptions!$D$6,IF(ISNUMBER(SEARCH(Assumptions!$C$7,C2643)),Assumptions!$D$7,"Other Services"))),"Other Services"))</f>
        <v/>
      </c>
    </row>
    <row r="2644" customFormat="false" ht="15" hidden="false" customHeight="false" outlineLevel="0" collapsed="false">
      <c r="F2644" s="41" t="str">
        <f aca="false">IF(C2644="","",IFERROR(IF(ISNUMBER(SEARCH(Assumptions!$C$5,C2644)),Assumptions!$D$5,IF(ISNUMBER(SEARCH(Assumptions!$C$6,C2644)),Assumptions!$D$6,IF(ISNUMBER(SEARCH(Assumptions!$C$7,C2644)),Assumptions!$D$7,"Other Services"))),"Other Services"))</f>
        <v/>
      </c>
    </row>
    <row r="2645" customFormat="false" ht="15" hidden="false" customHeight="false" outlineLevel="0" collapsed="false">
      <c r="F2645" s="41" t="str">
        <f aca="false">IF(C2645="","",IFERROR(IF(ISNUMBER(SEARCH(Assumptions!$C$5,C2645)),Assumptions!$D$5,IF(ISNUMBER(SEARCH(Assumptions!$C$6,C2645)),Assumptions!$D$6,IF(ISNUMBER(SEARCH(Assumptions!$C$7,C2645)),Assumptions!$D$7,"Other Services"))),"Other Services"))</f>
        <v/>
      </c>
    </row>
    <row r="2646" customFormat="false" ht="15" hidden="false" customHeight="false" outlineLevel="0" collapsed="false">
      <c r="F2646" s="41" t="str">
        <f aca="false">IF(C2646="","",IFERROR(IF(ISNUMBER(SEARCH(Assumptions!$C$5,C2646)),Assumptions!$D$5,IF(ISNUMBER(SEARCH(Assumptions!$C$6,C2646)),Assumptions!$D$6,IF(ISNUMBER(SEARCH(Assumptions!$C$7,C2646)),Assumptions!$D$7,"Other Services"))),"Other Services"))</f>
        <v/>
      </c>
    </row>
    <row r="2647" customFormat="false" ht="15" hidden="false" customHeight="false" outlineLevel="0" collapsed="false">
      <c r="F2647" s="41" t="str">
        <f aca="false">IF(C2647="","",IFERROR(IF(ISNUMBER(SEARCH(Assumptions!$C$5,C2647)),Assumptions!$D$5,IF(ISNUMBER(SEARCH(Assumptions!$C$6,C2647)),Assumptions!$D$6,IF(ISNUMBER(SEARCH(Assumptions!$C$7,C2647)),Assumptions!$D$7,"Other Services"))),"Other Services"))</f>
        <v/>
      </c>
    </row>
    <row r="2648" customFormat="false" ht="15" hidden="false" customHeight="false" outlineLevel="0" collapsed="false">
      <c r="F2648" s="41" t="str">
        <f aca="false">IF(C2648="","",IFERROR(IF(ISNUMBER(SEARCH(Assumptions!$C$5,C2648)),Assumptions!$D$5,IF(ISNUMBER(SEARCH(Assumptions!$C$6,C2648)),Assumptions!$D$6,IF(ISNUMBER(SEARCH(Assumptions!$C$7,C2648)),Assumptions!$D$7,"Other Services"))),"Other Services"))</f>
        <v/>
      </c>
    </row>
    <row r="2649" customFormat="false" ht="15" hidden="false" customHeight="false" outlineLevel="0" collapsed="false">
      <c r="F2649" s="41" t="str">
        <f aca="false">IF(C2649="","",IFERROR(IF(ISNUMBER(SEARCH(Assumptions!$C$5,C2649)),Assumptions!$D$5,IF(ISNUMBER(SEARCH(Assumptions!$C$6,C2649)),Assumptions!$D$6,IF(ISNUMBER(SEARCH(Assumptions!$C$7,C2649)),Assumptions!$D$7,"Other Services"))),"Other Services"))</f>
        <v/>
      </c>
    </row>
    <row r="2650" customFormat="false" ht="15" hidden="false" customHeight="false" outlineLevel="0" collapsed="false">
      <c r="F2650" s="41" t="str">
        <f aca="false">IF(C2650="","",IFERROR(IF(ISNUMBER(SEARCH(Assumptions!$C$5,C2650)),Assumptions!$D$5,IF(ISNUMBER(SEARCH(Assumptions!$C$6,C2650)),Assumptions!$D$6,IF(ISNUMBER(SEARCH(Assumptions!$C$7,C2650)),Assumptions!$D$7,"Other Services"))),"Other Services"))</f>
        <v/>
      </c>
    </row>
    <row r="2651" customFormat="false" ht="15" hidden="false" customHeight="false" outlineLevel="0" collapsed="false">
      <c r="F2651" s="41" t="str">
        <f aca="false">IF(C2651="","",IFERROR(IF(ISNUMBER(SEARCH(Assumptions!$C$5,C2651)),Assumptions!$D$5,IF(ISNUMBER(SEARCH(Assumptions!$C$6,C2651)),Assumptions!$D$6,IF(ISNUMBER(SEARCH(Assumptions!$C$7,C2651)),Assumptions!$D$7,"Other Services"))),"Other Services"))</f>
        <v/>
      </c>
    </row>
    <row r="2652" customFormat="false" ht="15" hidden="false" customHeight="false" outlineLevel="0" collapsed="false">
      <c r="F2652" s="41" t="str">
        <f aca="false">IF(C2652="","",IFERROR(IF(ISNUMBER(SEARCH(Assumptions!$C$5,C2652)),Assumptions!$D$5,IF(ISNUMBER(SEARCH(Assumptions!$C$6,C2652)),Assumptions!$D$6,IF(ISNUMBER(SEARCH(Assumptions!$C$7,C2652)),Assumptions!$D$7,"Other Services"))),"Other Services"))</f>
        <v/>
      </c>
    </row>
    <row r="2653" customFormat="false" ht="15" hidden="false" customHeight="false" outlineLevel="0" collapsed="false">
      <c r="F2653" s="41" t="str">
        <f aca="false">IF(C2653="","",IFERROR(IF(ISNUMBER(SEARCH(Assumptions!$C$5,C2653)),Assumptions!$D$5,IF(ISNUMBER(SEARCH(Assumptions!$C$6,C2653)),Assumptions!$D$6,IF(ISNUMBER(SEARCH(Assumptions!$C$7,C2653)),Assumptions!$D$7,"Other Services"))),"Other Services"))</f>
        <v/>
      </c>
    </row>
    <row r="2654" customFormat="false" ht="15" hidden="false" customHeight="false" outlineLevel="0" collapsed="false">
      <c r="F2654" s="41" t="str">
        <f aca="false">IF(C2654="","",IFERROR(IF(ISNUMBER(SEARCH(Assumptions!$C$5,C2654)),Assumptions!$D$5,IF(ISNUMBER(SEARCH(Assumptions!$C$6,C2654)),Assumptions!$D$6,IF(ISNUMBER(SEARCH(Assumptions!$C$7,C2654)),Assumptions!$D$7,"Other Services"))),"Other Services"))</f>
        <v/>
      </c>
    </row>
    <row r="2655" customFormat="false" ht="15" hidden="false" customHeight="false" outlineLevel="0" collapsed="false">
      <c r="F2655" s="41" t="str">
        <f aca="false">IF(C2655="","",IFERROR(IF(ISNUMBER(SEARCH(Assumptions!$C$5,C2655)),Assumptions!$D$5,IF(ISNUMBER(SEARCH(Assumptions!$C$6,C2655)),Assumptions!$D$6,IF(ISNUMBER(SEARCH(Assumptions!$C$7,C2655)),Assumptions!$D$7,"Other Services"))),"Other Services"))</f>
        <v/>
      </c>
    </row>
    <row r="2656" customFormat="false" ht="15" hidden="false" customHeight="false" outlineLevel="0" collapsed="false">
      <c r="F2656" s="41" t="str">
        <f aca="false">IF(C2656="","",IFERROR(IF(ISNUMBER(SEARCH(Assumptions!$C$5,C2656)),Assumptions!$D$5,IF(ISNUMBER(SEARCH(Assumptions!$C$6,C2656)),Assumptions!$D$6,IF(ISNUMBER(SEARCH(Assumptions!$C$7,C2656)),Assumptions!$D$7,"Other Services"))),"Other Services"))</f>
        <v/>
      </c>
    </row>
    <row r="2657" customFormat="false" ht="15" hidden="false" customHeight="false" outlineLevel="0" collapsed="false">
      <c r="F2657" s="41" t="str">
        <f aca="false">IF(C2657="","",IFERROR(IF(ISNUMBER(SEARCH(Assumptions!$C$5,C2657)),Assumptions!$D$5,IF(ISNUMBER(SEARCH(Assumptions!$C$6,C2657)),Assumptions!$D$6,IF(ISNUMBER(SEARCH(Assumptions!$C$7,C2657)),Assumptions!$D$7,"Other Services"))),"Other Services"))</f>
        <v/>
      </c>
    </row>
    <row r="2658" customFormat="false" ht="15" hidden="false" customHeight="false" outlineLevel="0" collapsed="false">
      <c r="F2658" s="41" t="str">
        <f aca="false">IF(C2658="","",IFERROR(IF(ISNUMBER(SEARCH(Assumptions!$C$5,C2658)),Assumptions!$D$5,IF(ISNUMBER(SEARCH(Assumptions!$C$6,C2658)),Assumptions!$D$6,IF(ISNUMBER(SEARCH(Assumptions!$C$7,C2658)),Assumptions!$D$7,"Other Services"))),"Other Services"))</f>
        <v/>
      </c>
    </row>
    <row r="2659" customFormat="false" ht="15" hidden="false" customHeight="false" outlineLevel="0" collapsed="false">
      <c r="F2659" s="41" t="str">
        <f aca="false">IF(C2659="","",IFERROR(IF(ISNUMBER(SEARCH(Assumptions!$C$5,C2659)),Assumptions!$D$5,IF(ISNUMBER(SEARCH(Assumptions!$C$6,C2659)),Assumptions!$D$6,IF(ISNUMBER(SEARCH(Assumptions!$C$7,C2659)),Assumptions!$D$7,"Other Services"))),"Other Services"))</f>
        <v/>
      </c>
    </row>
    <row r="2660" customFormat="false" ht="15" hidden="false" customHeight="false" outlineLevel="0" collapsed="false">
      <c r="F2660" s="41" t="str">
        <f aca="false">IF(C2660="","",IFERROR(IF(ISNUMBER(SEARCH(Assumptions!$C$5,C2660)),Assumptions!$D$5,IF(ISNUMBER(SEARCH(Assumptions!$C$6,C2660)),Assumptions!$D$6,IF(ISNUMBER(SEARCH(Assumptions!$C$7,C2660)),Assumptions!$D$7,"Other Services"))),"Other Services"))</f>
        <v/>
      </c>
    </row>
    <row r="2661" customFormat="false" ht="15" hidden="false" customHeight="false" outlineLevel="0" collapsed="false">
      <c r="F2661" s="41" t="str">
        <f aca="false">IF(C2661="","",IFERROR(IF(ISNUMBER(SEARCH(Assumptions!$C$5,C2661)),Assumptions!$D$5,IF(ISNUMBER(SEARCH(Assumptions!$C$6,C2661)),Assumptions!$D$6,IF(ISNUMBER(SEARCH(Assumptions!$C$7,C2661)),Assumptions!$D$7,"Other Services"))),"Other Services"))</f>
        <v/>
      </c>
    </row>
    <row r="2662" customFormat="false" ht="15" hidden="false" customHeight="false" outlineLevel="0" collapsed="false">
      <c r="F2662" s="41" t="str">
        <f aca="false">IF(C2662="","",IFERROR(IF(ISNUMBER(SEARCH(Assumptions!$C$5,C2662)),Assumptions!$D$5,IF(ISNUMBER(SEARCH(Assumptions!$C$6,C2662)),Assumptions!$D$6,IF(ISNUMBER(SEARCH(Assumptions!$C$7,C2662)),Assumptions!$D$7,"Other Services"))),"Other Services"))</f>
        <v/>
      </c>
    </row>
    <row r="2663" customFormat="false" ht="15" hidden="false" customHeight="false" outlineLevel="0" collapsed="false">
      <c r="F2663" s="41" t="str">
        <f aca="false">IF(C2663="","",IFERROR(IF(ISNUMBER(SEARCH(Assumptions!$C$5,C2663)),Assumptions!$D$5,IF(ISNUMBER(SEARCH(Assumptions!$C$6,C2663)),Assumptions!$D$6,IF(ISNUMBER(SEARCH(Assumptions!$C$7,C2663)),Assumptions!$D$7,"Other Services"))),"Other Services"))</f>
        <v/>
      </c>
    </row>
    <row r="2664" customFormat="false" ht="15" hidden="false" customHeight="false" outlineLevel="0" collapsed="false">
      <c r="F2664" s="41" t="str">
        <f aca="false">IF(C2664="","",IFERROR(IF(ISNUMBER(SEARCH(Assumptions!$C$5,C2664)),Assumptions!$D$5,IF(ISNUMBER(SEARCH(Assumptions!$C$6,C2664)),Assumptions!$D$6,IF(ISNUMBER(SEARCH(Assumptions!$C$7,C2664)),Assumptions!$D$7,"Other Services"))),"Other Services"))</f>
        <v/>
      </c>
    </row>
    <row r="2665" customFormat="false" ht="15" hidden="false" customHeight="false" outlineLevel="0" collapsed="false">
      <c r="F2665" s="41" t="str">
        <f aca="false">IF(C2665="","",IFERROR(IF(ISNUMBER(SEARCH(Assumptions!$C$5,C2665)),Assumptions!$D$5,IF(ISNUMBER(SEARCH(Assumptions!$C$6,C2665)),Assumptions!$D$6,IF(ISNUMBER(SEARCH(Assumptions!$C$7,C2665)),Assumptions!$D$7,"Other Services"))),"Other Services"))</f>
        <v/>
      </c>
    </row>
    <row r="2666" customFormat="false" ht="15" hidden="false" customHeight="false" outlineLevel="0" collapsed="false">
      <c r="F2666" s="41" t="str">
        <f aca="false">IF(C2666="","",IFERROR(IF(ISNUMBER(SEARCH(Assumptions!$C$5,C2666)),Assumptions!$D$5,IF(ISNUMBER(SEARCH(Assumptions!$C$6,C2666)),Assumptions!$D$6,IF(ISNUMBER(SEARCH(Assumptions!$C$7,C2666)),Assumptions!$D$7,"Other Services"))),"Other Services"))</f>
        <v/>
      </c>
    </row>
    <row r="2667" customFormat="false" ht="15" hidden="false" customHeight="false" outlineLevel="0" collapsed="false">
      <c r="F2667" s="41" t="str">
        <f aca="false">IF(C2667="","",IFERROR(IF(ISNUMBER(SEARCH(Assumptions!$C$5,C2667)),Assumptions!$D$5,IF(ISNUMBER(SEARCH(Assumptions!$C$6,C2667)),Assumptions!$D$6,IF(ISNUMBER(SEARCH(Assumptions!$C$7,C2667)),Assumptions!$D$7,"Other Services"))),"Other Services"))</f>
        <v/>
      </c>
    </row>
    <row r="2668" customFormat="false" ht="15" hidden="false" customHeight="false" outlineLevel="0" collapsed="false">
      <c r="F2668" s="41" t="str">
        <f aca="false">IF(C2668="","",IFERROR(IF(ISNUMBER(SEARCH(Assumptions!$C$5,C2668)),Assumptions!$D$5,IF(ISNUMBER(SEARCH(Assumptions!$C$6,C2668)),Assumptions!$D$6,IF(ISNUMBER(SEARCH(Assumptions!$C$7,C2668)),Assumptions!$D$7,"Other Services"))),"Other Services"))</f>
        <v/>
      </c>
    </row>
    <row r="2669" customFormat="false" ht="15" hidden="false" customHeight="false" outlineLevel="0" collapsed="false">
      <c r="F2669" s="41" t="str">
        <f aca="false">IF(C2669="","",IFERROR(IF(ISNUMBER(SEARCH(Assumptions!$C$5,C2669)),Assumptions!$D$5,IF(ISNUMBER(SEARCH(Assumptions!$C$6,C2669)),Assumptions!$D$6,IF(ISNUMBER(SEARCH(Assumptions!$C$7,C2669)),Assumptions!$D$7,"Other Services"))),"Other Services"))</f>
        <v/>
      </c>
    </row>
    <row r="2670" customFormat="false" ht="15" hidden="false" customHeight="false" outlineLevel="0" collapsed="false">
      <c r="F2670" s="41" t="str">
        <f aca="false">IF(C2670="","",IFERROR(IF(ISNUMBER(SEARCH(Assumptions!$C$5,C2670)),Assumptions!$D$5,IF(ISNUMBER(SEARCH(Assumptions!$C$6,C2670)),Assumptions!$D$6,IF(ISNUMBER(SEARCH(Assumptions!$C$7,C2670)),Assumptions!$D$7,"Other Services"))),"Other Services"))</f>
        <v/>
      </c>
    </row>
    <row r="2671" customFormat="false" ht="15" hidden="false" customHeight="false" outlineLevel="0" collapsed="false">
      <c r="F2671" s="41" t="str">
        <f aca="false">IF(C2671="","",IFERROR(IF(ISNUMBER(SEARCH(Assumptions!$C$5,C2671)),Assumptions!$D$5,IF(ISNUMBER(SEARCH(Assumptions!$C$6,C2671)),Assumptions!$D$6,IF(ISNUMBER(SEARCH(Assumptions!$C$7,C2671)),Assumptions!$D$7,"Other Services"))),"Other Services"))</f>
        <v/>
      </c>
    </row>
    <row r="2672" customFormat="false" ht="15" hidden="false" customHeight="false" outlineLevel="0" collapsed="false">
      <c r="F2672" s="41" t="str">
        <f aca="false">IF(C2672="","",IFERROR(IF(ISNUMBER(SEARCH(Assumptions!$C$5,C2672)),Assumptions!$D$5,IF(ISNUMBER(SEARCH(Assumptions!$C$6,C2672)),Assumptions!$D$6,IF(ISNUMBER(SEARCH(Assumptions!$C$7,C2672)),Assumptions!$D$7,"Other Services"))),"Other Services"))</f>
        <v/>
      </c>
    </row>
    <row r="2673" customFormat="false" ht="15" hidden="false" customHeight="false" outlineLevel="0" collapsed="false">
      <c r="F2673" s="41" t="str">
        <f aca="false">IF(C2673="","",IFERROR(IF(ISNUMBER(SEARCH(Assumptions!$C$5,C2673)),Assumptions!$D$5,IF(ISNUMBER(SEARCH(Assumptions!$C$6,C2673)),Assumptions!$D$6,IF(ISNUMBER(SEARCH(Assumptions!$C$7,C2673)),Assumptions!$D$7,"Other Services"))),"Other Services"))</f>
        <v/>
      </c>
    </row>
    <row r="2674" customFormat="false" ht="15" hidden="false" customHeight="false" outlineLevel="0" collapsed="false">
      <c r="F2674" s="41" t="str">
        <f aca="false">IF(C2674="","",IFERROR(IF(ISNUMBER(SEARCH(Assumptions!$C$5,C2674)),Assumptions!$D$5,IF(ISNUMBER(SEARCH(Assumptions!$C$6,C2674)),Assumptions!$D$6,IF(ISNUMBER(SEARCH(Assumptions!$C$7,C2674)),Assumptions!$D$7,"Other Services"))),"Other Services"))</f>
        <v/>
      </c>
    </row>
    <row r="2675" customFormat="false" ht="15" hidden="false" customHeight="false" outlineLevel="0" collapsed="false">
      <c r="F2675" s="41" t="str">
        <f aca="false">IF(C2675="","",IFERROR(IF(ISNUMBER(SEARCH(Assumptions!$C$5,C2675)),Assumptions!$D$5,IF(ISNUMBER(SEARCH(Assumptions!$C$6,C2675)),Assumptions!$D$6,IF(ISNUMBER(SEARCH(Assumptions!$C$7,C2675)),Assumptions!$D$7,"Other Services"))),"Other Services"))</f>
        <v/>
      </c>
    </row>
    <row r="2676" customFormat="false" ht="15" hidden="false" customHeight="false" outlineLevel="0" collapsed="false">
      <c r="F2676" s="41" t="str">
        <f aca="false">IF(C2676="","",IFERROR(IF(ISNUMBER(SEARCH(Assumptions!$C$5,C2676)),Assumptions!$D$5,IF(ISNUMBER(SEARCH(Assumptions!$C$6,C2676)),Assumptions!$D$6,IF(ISNUMBER(SEARCH(Assumptions!$C$7,C2676)),Assumptions!$D$7,"Other Services"))),"Other Services"))</f>
        <v/>
      </c>
    </row>
    <row r="2677" customFormat="false" ht="15" hidden="false" customHeight="false" outlineLevel="0" collapsed="false">
      <c r="F2677" s="41" t="str">
        <f aca="false">IF(C2677="","",IFERROR(IF(ISNUMBER(SEARCH(Assumptions!$C$5,C2677)),Assumptions!$D$5,IF(ISNUMBER(SEARCH(Assumptions!$C$6,C2677)),Assumptions!$D$6,IF(ISNUMBER(SEARCH(Assumptions!$C$7,C2677)),Assumptions!$D$7,"Other Services"))),"Other Services"))</f>
        <v/>
      </c>
    </row>
    <row r="2678" customFormat="false" ht="15" hidden="false" customHeight="false" outlineLevel="0" collapsed="false">
      <c r="F2678" s="41" t="str">
        <f aca="false">IF(C2678="","",IFERROR(IF(ISNUMBER(SEARCH(Assumptions!$C$5,C2678)),Assumptions!$D$5,IF(ISNUMBER(SEARCH(Assumptions!$C$6,C2678)),Assumptions!$D$6,IF(ISNUMBER(SEARCH(Assumptions!$C$7,C2678)),Assumptions!$D$7,"Other Services"))),"Other Services"))</f>
        <v/>
      </c>
    </row>
    <row r="2679" customFormat="false" ht="15" hidden="false" customHeight="false" outlineLevel="0" collapsed="false">
      <c r="F2679" s="41" t="str">
        <f aca="false">IF(C2679="","",IFERROR(IF(ISNUMBER(SEARCH(Assumptions!$C$5,C2679)),Assumptions!$D$5,IF(ISNUMBER(SEARCH(Assumptions!$C$6,C2679)),Assumptions!$D$6,IF(ISNUMBER(SEARCH(Assumptions!$C$7,C2679)),Assumptions!$D$7,"Other Services"))),"Other Services"))</f>
        <v/>
      </c>
    </row>
    <row r="2680" customFormat="false" ht="15" hidden="false" customHeight="false" outlineLevel="0" collapsed="false">
      <c r="F2680" s="41" t="str">
        <f aca="false">IF(C2680="","",IFERROR(IF(ISNUMBER(SEARCH(Assumptions!$C$5,C2680)),Assumptions!$D$5,IF(ISNUMBER(SEARCH(Assumptions!$C$6,C2680)),Assumptions!$D$6,IF(ISNUMBER(SEARCH(Assumptions!$C$7,C2680)),Assumptions!$D$7,"Other Services"))),"Other Services"))</f>
        <v/>
      </c>
    </row>
    <row r="2681" customFormat="false" ht="15" hidden="false" customHeight="false" outlineLevel="0" collapsed="false">
      <c r="F2681" s="41" t="str">
        <f aca="false">IF(C2681="","",IFERROR(IF(ISNUMBER(SEARCH(Assumptions!$C$5,C2681)),Assumptions!$D$5,IF(ISNUMBER(SEARCH(Assumptions!$C$6,C2681)),Assumptions!$D$6,IF(ISNUMBER(SEARCH(Assumptions!$C$7,C2681)),Assumptions!$D$7,"Other Services"))),"Other Services"))</f>
        <v/>
      </c>
    </row>
    <row r="2682" customFormat="false" ht="15" hidden="false" customHeight="false" outlineLevel="0" collapsed="false">
      <c r="F2682" s="41" t="str">
        <f aca="false">IF(C2682="","",IFERROR(IF(ISNUMBER(SEARCH(Assumptions!$C$5,C2682)),Assumptions!$D$5,IF(ISNUMBER(SEARCH(Assumptions!$C$6,C2682)),Assumptions!$D$6,IF(ISNUMBER(SEARCH(Assumptions!$C$7,C2682)),Assumptions!$D$7,"Other Services"))),"Other Services"))</f>
        <v/>
      </c>
    </row>
    <row r="2683" customFormat="false" ht="15" hidden="false" customHeight="false" outlineLevel="0" collapsed="false">
      <c r="F2683" s="41" t="str">
        <f aca="false">IF(C2683="","",IFERROR(IF(ISNUMBER(SEARCH(Assumptions!$C$5,C2683)),Assumptions!$D$5,IF(ISNUMBER(SEARCH(Assumptions!$C$6,C2683)),Assumptions!$D$6,IF(ISNUMBER(SEARCH(Assumptions!$C$7,C2683)),Assumptions!$D$7,"Other Services"))),"Other Services"))</f>
        <v/>
      </c>
    </row>
    <row r="2684" customFormat="false" ht="15" hidden="false" customHeight="false" outlineLevel="0" collapsed="false">
      <c r="F2684" s="41" t="str">
        <f aca="false">IF(C2684="","",IFERROR(IF(ISNUMBER(SEARCH(Assumptions!$C$5,C2684)),Assumptions!$D$5,IF(ISNUMBER(SEARCH(Assumptions!$C$6,C2684)),Assumptions!$D$6,IF(ISNUMBER(SEARCH(Assumptions!$C$7,C2684)),Assumptions!$D$7,"Other Services"))),"Other Services"))</f>
        <v/>
      </c>
    </row>
    <row r="2685" customFormat="false" ht="15" hidden="false" customHeight="false" outlineLevel="0" collapsed="false">
      <c r="F2685" s="41" t="str">
        <f aca="false">IF(C2685="","",IFERROR(IF(ISNUMBER(SEARCH(Assumptions!$C$5,C2685)),Assumptions!$D$5,IF(ISNUMBER(SEARCH(Assumptions!$C$6,C2685)),Assumptions!$D$6,IF(ISNUMBER(SEARCH(Assumptions!$C$7,C2685)),Assumptions!$D$7,"Other Services"))),"Other Services"))</f>
        <v/>
      </c>
    </row>
    <row r="2686" customFormat="false" ht="15" hidden="false" customHeight="false" outlineLevel="0" collapsed="false">
      <c r="F2686" s="41" t="str">
        <f aca="false">IF(C2686="","",IFERROR(IF(ISNUMBER(SEARCH(Assumptions!$C$5,C2686)),Assumptions!$D$5,IF(ISNUMBER(SEARCH(Assumptions!$C$6,C2686)),Assumptions!$D$6,IF(ISNUMBER(SEARCH(Assumptions!$C$7,C2686)),Assumptions!$D$7,"Other Services"))),"Other Services"))</f>
        <v/>
      </c>
    </row>
    <row r="2687" customFormat="false" ht="15" hidden="false" customHeight="false" outlineLevel="0" collapsed="false">
      <c r="F2687" s="41" t="str">
        <f aca="false">IF(C2687="","",IFERROR(IF(ISNUMBER(SEARCH(Assumptions!$C$5,C2687)),Assumptions!$D$5,IF(ISNUMBER(SEARCH(Assumptions!$C$6,C2687)),Assumptions!$D$6,IF(ISNUMBER(SEARCH(Assumptions!$C$7,C2687)),Assumptions!$D$7,"Other Services"))),"Other Services"))</f>
        <v/>
      </c>
    </row>
    <row r="2688" customFormat="false" ht="15" hidden="false" customHeight="false" outlineLevel="0" collapsed="false">
      <c r="F2688" s="41" t="str">
        <f aca="false">IF(C2688="","",IFERROR(IF(ISNUMBER(SEARCH(Assumptions!$C$5,C2688)),Assumptions!$D$5,IF(ISNUMBER(SEARCH(Assumptions!$C$6,C2688)),Assumptions!$D$6,IF(ISNUMBER(SEARCH(Assumptions!$C$7,C2688)),Assumptions!$D$7,"Other Services"))),"Other Services"))</f>
        <v/>
      </c>
    </row>
    <row r="2689" customFormat="false" ht="15" hidden="false" customHeight="false" outlineLevel="0" collapsed="false">
      <c r="F2689" s="41" t="str">
        <f aca="false">IF(C2689="","",IFERROR(IF(ISNUMBER(SEARCH(Assumptions!$C$5,C2689)),Assumptions!$D$5,IF(ISNUMBER(SEARCH(Assumptions!$C$6,C2689)),Assumptions!$D$6,IF(ISNUMBER(SEARCH(Assumptions!$C$7,C2689)),Assumptions!$D$7,"Other Services"))),"Other Services"))</f>
        <v/>
      </c>
    </row>
    <row r="2690" customFormat="false" ht="15" hidden="false" customHeight="false" outlineLevel="0" collapsed="false">
      <c r="F2690" s="41" t="str">
        <f aca="false">IF(C2690="","",IFERROR(IF(ISNUMBER(SEARCH(Assumptions!$C$5,C2690)),Assumptions!$D$5,IF(ISNUMBER(SEARCH(Assumptions!$C$6,C2690)),Assumptions!$D$6,IF(ISNUMBER(SEARCH(Assumptions!$C$7,C2690)),Assumptions!$D$7,"Other Services"))),"Other Services"))</f>
        <v/>
      </c>
    </row>
    <row r="2691" customFormat="false" ht="15" hidden="false" customHeight="false" outlineLevel="0" collapsed="false">
      <c r="F2691" s="41" t="str">
        <f aca="false">IF(C2691="","",IFERROR(IF(ISNUMBER(SEARCH(Assumptions!$C$5,C2691)),Assumptions!$D$5,IF(ISNUMBER(SEARCH(Assumptions!$C$6,C2691)),Assumptions!$D$6,IF(ISNUMBER(SEARCH(Assumptions!$C$7,C2691)),Assumptions!$D$7,"Other Services"))),"Other Services"))</f>
        <v/>
      </c>
    </row>
    <row r="2692" customFormat="false" ht="15" hidden="false" customHeight="false" outlineLevel="0" collapsed="false">
      <c r="F2692" s="41" t="str">
        <f aca="false">IF(C2692="","",IFERROR(IF(ISNUMBER(SEARCH(Assumptions!$C$5,C2692)),Assumptions!$D$5,IF(ISNUMBER(SEARCH(Assumptions!$C$6,C2692)),Assumptions!$D$6,IF(ISNUMBER(SEARCH(Assumptions!$C$7,C2692)),Assumptions!$D$7,"Other Services"))),"Other Services"))</f>
        <v/>
      </c>
    </row>
    <row r="2693" customFormat="false" ht="15" hidden="false" customHeight="false" outlineLevel="0" collapsed="false">
      <c r="F2693" s="41" t="str">
        <f aca="false">IF(C2693="","",IFERROR(IF(ISNUMBER(SEARCH(Assumptions!$C$5,C2693)),Assumptions!$D$5,IF(ISNUMBER(SEARCH(Assumptions!$C$6,C2693)),Assumptions!$D$6,IF(ISNUMBER(SEARCH(Assumptions!$C$7,C2693)),Assumptions!$D$7,"Other Services"))),"Other Services"))</f>
        <v/>
      </c>
    </row>
    <row r="2694" customFormat="false" ht="15" hidden="false" customHeight="false" outlineLevel="0" collapsed="false">
      <c r="F2694" s="41" t="str">
        <f aca="false">IF(C2694="","",IFERROR(IF(ISNUMBER(SEARCH(Assumptions!$C$5,C2694)),Assumptions!$D$5,IF(ISNUMBER(SEARCH(Assumptions!$C$6,C2694)),Assumptions!$D$6,IF(ISNUMBER(SEARCH(Assumptions!$C$7,C2694)),Assumptions!$D$7,"Other Services"))),"Other Services"))</f>
        <v/>
      </c>
    </row>
    <row r="2695" customFormat="false" ht="15" hidden="false" customHeight="false" outlineLevel="0" collapsed="false">
      <c r="F2695" s="41" t="str">
        <f aca="false">IF(C2695="","",IFERROR(IF(ISNUMBER(SEARCH(Assumptions!$C$5,C2695)),Assumptions!$D$5,IF(ISNUMBER(SEARCH(Assumptions!$C$6,C2695)),Assumptions!$D$6,IF(ISNUMBER(SEARCH(Assumptions!$C$7,C2695)),Assumptions!$D$7,"Other Services"))),"Other Services"))</f>
        <v/>
      </c>
    </row>
    <row r="2696" customFormat="false" ht="15" hidden="false" customHeight="false" outlineLevel="0" collapsed="false">
      <c r="F2696" s="41" t="str">
        <f aca="false">IF(C2696="","",IFERROR(IF(ISNUMBER(SEARCH(Assumptions!$C$5,C2696)),Assumptions!$D$5,IF(ISNUMBER(SEARCH(Assumptions!$C$6,C2696)),Assumptions!$D$6,IF(ISNUMBER(SEARCH(Assumptions!$C$7,C2696)),Assumptions!$D$7,"Other Services"))),"Other Services"))</f>
        <v/>
      </c>
    </row>
    <row r="2697" customFormat="false" ht="15" hidden="false" customHeight="false" outlineLevel="0" collapsed="false">
      <c r="F2697" s="41" t="str">
        <f aca="false">IF(C2697="","",IFERROR(IF(ISNUMBER(SEARCH(Assumptions!$C$5,C2697)),Assumptions!$D$5,IF(ISNUMBER(SEARCH(Assumptions!$C$6,C2697)),Assumptions!$D$6,IF(ISNUMBER(SEARCH(Assumptions!$C$7,C2697)),Assumptions!$D$7,"Other Services"))),"Other Services"))</f>
        <v/>
      </c>
    </row>
    <row r="2698" customFormat="false" ht="15" hidden="false" customHeight="false" outlineLevel="0" collapsed="false">
      <c r="F2698" s="41" t="str">
        <f aca="false">IF(C2698="","",IFERROR(IF(ISNUMBER(SEARCH(Assumptions!$C$5,C2698)),Assumptions!$D$5,IF(ISNUMBER(SEARCH(Assumptions!$C$6,C2698)),Assumptions!$D$6,IF(ISNUMBER(SEARCH(Assumptions!$C$7,C2698)),Assumptions!$D$7,"Other Services"))),"Other Services"))</f>
        <v/>
      </c>
    </row>
    <row r="2699" customFormat="false" ht="15" hidden="false" customHeight="false" outlineLevel="0" collapsed="false">
      <c r="F2699" s="41" t="str">
        <f aca="false">IF(C2699="","",IFERROR(IF(ISNUMBER(SEARCH(Assumptions!$C$5,C2699)),Assumptions!$D$5,IF(ISNUMBER(SEARCH(Assumptions!$C$6,C2699)),Assumptions!$D$6,IF(ISNUMBER(SEARCH(Assumptions!$C$7,C2699)),Assumptions!$D$7,"Other Services"))),"Other Services"))</f>
        <v/>
      </c>
    </row>
    <row r="2700" customFormat="false" ht="15" hidden="false" customHeight="false" outlineLevel="0" collapsed="false">
      <c r="F2700" s="41" t="str">
        <f aca="false">IF(C2700="","",IFERROR(IF(ISNUMBER(SEARCH(Assumptions!$C$5,C2700)),Assumptions!$D$5,IF(ISNUMBER(SEARCH(Assumptions!$C$6,C2700)),Assumptions!$D$6,IF(ISNUMBER(SEARCH(Assumptions!$C$7,C2700)),Assumptions!$D$7,"Other Services"))),"Other Services"))</f>
        <v/>
      </c>
    </row>
    <row r="2701" customFormat="false" ht="15" hidden="false" customHeight="false" outlineLevel="0" collapsed="false">
      <c r="F2701" s="41" t="str">
        <f aca="false">IF(C2701="","",IFERROR(IF(ISNUMBER(SEARCH(Assumptions!$C$5,C2701)),Assumptions!$D$5,IF(ISNUMBER(SEARCH(Assumptions!$C$6,C2701)),Assumptions!$D$6,IF(ISNUMBER(SEARCH(Assumptions!$C$7,C2701)),Assumptions!$D$7,"Other Services"))),"Other Services"))</f>
        <v/>
      </c>
    </row>
    <row r="2702" customFormat="false" ht="15" hidden="false" customHeight="false" outlineLevel="0" collapsed="false">
      <c r="F2702" s="41" t="str">
        <f aca="false">IF(C2702="","",IFERROR(IF(ISNUMBER(SEARCH(Assumptions!$C$5,C2702)),Assumptions!$D$5,IF(ISNUMBER(SEARCH(Assumptions!$C$6,C2702)),Assumptions!$D$6,IF(ISNUMBER(SEARCH(Assumptions!$C$7,C2702)),Assumptions!$D$7,"Other Services"))),"Other Services"))</f>
        <v/>
      </c>
    </row>
    <row r="2703" customFormat="false" ht="15" hidden="false" customHeight="false" outlineLevel="0" collapsed="false">
      <c r="F2703" s="41" t="str">
        <f aca="false">IF(C2703="","",IFERROR(IF(ISNUMBER(SEARCH(Assumptions!$C$5,C2703)),Assumptions!$D$5,IF(ISNUMBER(SEARCH(Assumptions!$C$6,C2703)),Assumptions!$D$6,IF(ISNUMBER(SEARCH(Assumptions!$C$7,C2703)),Assumptions!$D$7,"Other Services"))),"Other Services"))</f>
        <v/>
      </c>
    </row>
    <row r="2704" customFormat="false" ht="15" hidden="false" customHeight="false" outlineLevel="0" collapsed="false">
      <c r="F2704" s="41" t="str">
        <f aca="false">IF(C2704="","",IFERROR(IF(ISNUMBER(SEARCH(Assumptions!$C$5,C2704)),Assumptions!$D$5,IF(ISNUMBER(SEARCH(Assumptions!$C$6,C2704)),Assumptions!$D$6,IF(ISNUMBER(SEARCH(Assumptions!$C$7,C2704)),Assumptions!$D$7,"Other Services"))),"Other Services"))</f>
        <v/>
      </c>
    </row>
    <row r="2705" customFormat="false" ht="15" hidden="false" customHeight="false" outlineLevel="0" collapsed="false">
      <c r="F2705" s="41" t="str">
        <f aca="false">IF(C2705="","",IFERROR(IF(ISNUMBER(SEARCH(Assumptions!$C$5,C2705)),Assumptions!$D$5,IF(ISNUMBER(SEARCH(Assumptions!$C$6,C2705)),Assumptions!$D$6,IF(ISNUMBER(SEARCH(Assumptions!$C$7,C2705)),Assumptions!$D$7,"Other Services"))),"Other Services"))</f>
        <v/>
      </c>
    </row>
    <row r="2706" customFormat="false" ht="15" hidden="false" customHeight="false" outlineLevel="0" collapsed="false">
      <c r="F2706" s="41" t="str">
        <f aca="false">IF(C2706="","",IFERROR(IF(ISNUMBER(SEARCH(Assumptions!$C$5,C2706)),Assumptions!$D$5,IF(ISNUMBER(SEARCH(Assumptions!$C$6,C2706)),Assumptions!$D$6,IF(ISNUMBER(SEARCH(Assumptions!$C$7,C2706)),Assumptions!$D$7,"Other Services"))),"Other Services"))</f>
        <v/>
      </c>
    </row>
    <row r="2707" customFormat="false" ht="15" hidden="false" customHeight="false" outlineLevel="0" collapsed="false">
      <c r="F2707" s="41" t="str">
        <f aca="false">IF(C2707="","",IFERROR(IF(ISNUMBER(SEARCH(Assumptions!$C$5,C2707)),Assumptions!$D$5,IF(ISNUMBER(SEARCH(Assumptions!$C$6,C2707)),Assumptions!$D$6,IF(ISNUMBER(SEARCH(Assumptions!$C$7,C2707)),Assumptions!$D$7,"Other Services"))),"Other Services"))</f>
        <v/>
      </c>
    </row>
    <row r="2708" customFormat="false" ht="15" hidden="false" customHeight="false" outlineLevel="0" collapsed="false">
      <c r="F2708" s="41" t="str">
        <f aca="false">IF(C2708="","",IFERROR(IF(ISNUMBER(SEARCH(Assumptions!$C$5,C2708)),Assumptions!$D$5,IF(ISNUMBER(SEARCH(Assumptions!$C$6,C2708)),Assumptions!$D$6,IF(ISNUMBER(SEARCH(Assumptions!$C$7,C2708)),Assumptions!$D$7,"Other Services"))),"Other Services"))</f>
        <v/>
      </c>
    </row>
    <row r="2709" customFormat="false" ht="15" hidden="false" customHeight="false" outlineLevel="0" collapsed="false">
      <c r="F2709" s="41" t="str">
        <f aca="false">IF(C2709="","",IFERROR(IF(ISNUMBER(SEARCH(Assumptions!$C$5,C2709)),Assumptions!$D$5,IF(ISNUMBER(SEARCH(Assumptions!$C$6,C2709)),Assumptions!$D$6,IF(ISNUMBER(SEARCH(Assumptions!$C$7,C2709)),Assumptions!$D$7,"Other Services"))),"Other Services"))</f>
        <v/>
      </c>
    </row>
    <row r="2710" customFormat="false" ht="15" hidden="false" customHeight="false" outlineLevel="0" collapsed="false">
      <c r="F2710" s="41" t="str">
        <f aca="false">IF(C2710="","",IFERROR(IF(ISNUMBER(SEARCH(Assumptions!$C$5,C2710)),Assumptions!$D$5,IF(ISNUMBER(SEARCH(Assumptions!$C$6,C2710)),Assumptions!$D$6,IF(ISNUMBER(SEARCH(Assumptions!$C$7,C2710)),Assumptions!$D$7,"Other Services"))),"Other Services"))</f>
        <v/>
      </c>
    </row>
    <row r="2711" customFormat="false" ht="15" hidden="false" customHeight="false" outlineLevel="0" collapsed="false">
      <c r="F2711" s="41" t="str">
        <f aca="false">IF(C2711="","",IFERROR(IF(ISNUMBER(SEARCH(Assumptions!$C$5,C2711)),Assumptions!$D$5,IF(ISNUMBER(SEARCH(Assumptions!$C$6,C2711)),Assumptions!$D$6,IF(ISNUMBER(SEARCH(Assumptions!$C$7,C2711)),Assumptions!$D$7,"Other Services"))),"Other Services"))</f>
        <v/>
      </c>
    </row>
    <row r="2712" customFormat="false" ht="15" hidden="false" customHeight="false" outlineLevel="0" collapsed="false">
      <c r="F2712" s="41" t="str">
        <f aca="false">IF(C2712="","",IFERROR(IF(ISNUMBER(SEARCH(Assumptions!$C$5,C2712)),Assumptions!$D$5,IF(ISNUMBER(SEARCH(Assumptions!$C$6,C2712)),Assumptions!$D$6,IF(ISNUMBER(SEARCH(Assumptions!$C$7,C2712)),Assumptions!$D$7,"Other Services"))),"Other Services"))</f>
        <v/>
      </c>
    </row>
    <row r="2713" customFormat="false" ht="15" hidden="false" customHeight="false" outlineLevel="0" collapsed="false">
      <c r="F2713" s="41" t="str">
        <f aca="false">IF(C2713="","",IFERROR(IF(ISNUMBER(SEARCH(Assumptions!$C$5,C2713)),Assumptions!$D$5,IF(ISNUMBER(SEARCH(Assumptions!$C$6,C2713)),Assumptions!$D$6,IF(ISNUMBER(SEARCH(Assumptions!$C$7,C2713)),Assumptions!$D$7,"Other Services"))),"Other Services"))</f>
        <v/>
      </c>
    </row>
    <row r="2714" customFormat="false" ht="15" hidden="false" customHeight="false" outlineLevel="0" collapsed="false">
      <c r="F2714" s="41" t="str">
        <f aca="false">IF(C2714="","",IFERROR(IF(ISNUMBER(SEARCH(Assumptions!$C$5,C2714)),Assumptions!$D$5,IF(ISNUMBER(SEARCH(Assumptions!$C$6,C2714)),Assumptions!$D$6,IF(ISNUMBER(SEARCH(Assumptions!$C$7,C2714)),Assumptions!$D$7,"Other Services"))),"Other Services"))</f>
        <v/>
      </c>
    </row>
    <row r="2715" customFormat="false" ht="15" hidden="false" customHeight="false" outlineLevel="0" collapsed="false">
      <c r="F2715" s="41" t="str">
        <f aca="false">IF(C2715="","",IFERROR(IF(ISNUMBER(SEARCH(Assumptions!$C$5,C2715)),Assumptions!$D$5,IF(ISNUMBER(SEARCH(Assumptions!$C$6,C2715)),Assumptions!$D$6,IF(ISNUMBER(SEARCH(Assumptions!$C$7,C2715)),Assumptions!$D$7,"Other Services"))),"Other Services"))</f>
        <v/>
      </c>
    </row>
    <row r="2716" customFormat="false" ht="15" hidden="false" customHeight="false" outlineLevel="0" collapsed="false">
      <c r="F2716" s="41" t="str">
        <f aca="false">IF(C2716="","",IFERROR(IF(ISNUMBER(SEARCH(Assumptions!$C$5,C2716)),Assumptions!$D$5,IF(ISNUMBER(SEARCH(Assumptions!$C$6,C2716)),Assumptions!$D$6,IF(ISNUMBER(SEARCH(Assumptions!$C$7,C2716)),Assumptions!$D$7,"Other Services"))),"Other Services"))</f>
        <v/>
      </c>
    </row>
    <row r="2717" customFormat="false" ht="15" hidden="false" customHeight="false" outlineLevel="0" collapsed="false">
      <c r="F2717" s="41" t="str">
        <f aca="false">IF(C2717="","",IFERROR(IF(ISNUMBER(SEARCH(Assumptions!$C$5,C2717)),Assumptions!$D$5,IF(ISNUMBER(SEARCH(Assumptions!$C$6,C2717)),Assumptions!$D$6,IF(ISNUMBER(SEARCH(Assumptions!$C$7,C2717)),Assumptions!$D$7,"Other Services"))),"Other Services"))</f>
        <v/>
      </c>
    </row>
    <row r="2718" customFormat="false" ht="15" hidden="false" customHeight="false" outlineLevel="0" collapsed="false">
      <c r="F2718" s="41" t="str">
        <f aca="false">IF(C2718="","",IFERROR(IF(ISNUMBER(SEARCH(Assumptions!$C$5,C2718)),Assumptions!$D$5,IF(ISNUMBER(SEARCH(Assumptions!$C$6,C2718)),Assumptions!$D$6,IF(ISNUMBER(SEARCH(Assumptions!$C$7,C2718)),Assumptions!$D$7,"Other Services"))),"Other Services"))</f>
        <v/>
      </c>
    </row>
    <row r="2719" customFormat="false" ht="15" hidden="false" customHeight="false" outlineLevel="0" collapsed="false">
      <c r="F2719" s="41" t="str">
        <f aca="false">IF(C2719="","",IFERROR(IF(ISNUMBER(SEARCH(Assumptions!$C$5,C2719)),Assumptions!$D$5,IF(ISNUMBER(SEARCH(Assumptions!$C$6,C2719)),Assumptions!$D$6,IF(ISNUMBER(SEARCH(Assumptions!$C$7,C2719)),Assumptions!$D$7,"Other Services"))),"Other Services"))</f>
        <v/>
      </c>
    </row>
    <row r="2720" customFormat="false" ht="15" hidden="false" customHeight="false" outlineLevel="0" collapsed="false">
      <c r="F2720" s="41" t="str">
        <f aca="false">IF(C2720="","",IFERROR(IF(ISNUMBER(SEARCH(Assumptions!$C$5,C2720)),Assumptions!$D$5,IF(ISNUMBER(SEARCH(Assumptions!$C$6,C2720)),Assumptions!$D$6,IF(ISNUMBER(SEARCH(Assumptions!$C$7,C2720)),Assumptions!$D$7,"Other Services"))),"Other Services"))</f>
        <v/>
      </c>
    </row>
    <row r="2721" customFormat="false" ht="15" hidden="false" customHeight="false" outlineLevel="0" collapsed="false">
      <c r="F2721" s="41" t="str">
        <f aca="false">IF(C2721="","",IFERROR(IF(ISNUMBER(SEARCH(Assumptions!$C$5,C2721)),Assumptions!$D$5,IF(ISNUMBER(SEARCH(Assumptions!$C$6,C2721)),Assumptions!$D$6,IF(ISNUMBER(SEARCH(Assumptions!$C$7,C2721)),Assumptions!$D$7,"Other Services"))),"Other Services"))</f>
        <v/>
      </c>
    </row>
    <row r="2722" customFormat="false" ht="15" hidden="false" customHeight="false" outlineLevel="0" collapsed="false">
      <c r="F2722" s="41" t="str">
        <f aca="false">IF(C2722="","",IFERROR(IF(ISNUMBER(SEARCH(Assumptions!$C$5,C2722)),Assumptions!$D$5,IF(ISNUMBER(SEARCH(Assumptions!$C$6,C2722)),Assumptions!$D$6,IF(ISNUMBER(SEARCH(Assumptions!$C$7,C2722)),Assumptions!$D$7,"Other Services"))),"Other Services"))</f>
        <v/>
      </c>
    </row>
    <row r="2723" customFormat="false" ht="15" hidden="false" customHeight="false" outlineLevel="0" collapsed="false">
      <c r="F2723" s="41" t="str">
        <f aca="false">IF(C2723="","",IFERROR(IF(ISNUMBER(SEARCH(Assumptions!$C$5,C2723)),Assumptions!$D$5,IF(ISNUMBER(SEARCH(Assumptions!$C$6,C2723)),Assumptions!$D$6,IF(ISNUMBER(SEARCH(Assumptions!$C$7,C2723)),Assumptions!$D$7,"Other Services"))),"Other Services"))</f>
        <v/>
      </c>
    </row>
    <row r="2724" customFormat="false" ht="15" hidden="false" customHeight="false" outlineLevel="0" collapsed="false">
      <c r="F2724" s="41" t="str">
        <f aca="false">IF(C2724="","",IFERROR(IF(ISNUMBER(SEARCH(Assumptions!$C$5,C2724)),Assumptions!$D$5,IF(ISNUMBER(SEARCH(Assumptions!$C$6,C2724)),Assumptions!$D$6,IF(ISNUMBER(SEARCH(Assumptions!$C$7,C2724)),Assumptions!$D$7,"Other Services"))),"Other Services"))</f>
        <v/>
      </c>
    </row>
    <row r="2725" customFormat="false" ht="15" hidden="false" customHeight="false" outlineLevel="0" collapsed="false">
      <c r="F2725" s="41" t="str">
        <f aca="false">IF(C2725="","",IFERROR(IF(ISNUMBER(SEARCH(Assumptions!$C$5,C2725)),Assumptions!$D$5,IF(ISNUMBER(SEARCH(Assumptions!$C$6,C2725)),Assumptions!$D$6,IF(ISNUMBER(SEARCH(Assumptions!$C$7,C2725)),Assumptions!$D$7,"Other Services"))),"Other Services"))</f>
        <v/>
      </c>
    </row>
    <row r="2726" customFormat="false" ht="15" hidden="false" customHeight="false" outlineLevel="0" collapsed="false">
      <c r="F2726" s="41" t="str">
        <f aca="false">IF(C2726="","",IFERROR(IF(ISNUMBER(SEARCH(Assumptions!$C$5,C2726)),Assumptions!$D$5,IF(ISNUMBER(SEARCH(Assumptions!$C$6,C2726)),Assumptions!$D$6,IF(ISNUMBER(SEARCH(Assumptions!$C$7,C2726)),Assumptions!$D$7,"Other Services"))),"Other Services"))</f>
        <v/>
      </c>
    </row>
    <row r="2727" customFormat="false" ht="15" hidden="false" customHeight="false" outlineLevel="0" collapsed="false">
      <c r="F2727" s="41" t="str">
        <f aca="false">IF(C2727="","",IFERROR(IF(ISNUMBER(SEARCH(Assumptions!$C$5,C2727)),Assumptions!$D$5,IF(ISNUMBER(SEARCH(Assumptions!$C$6,C2727)),Assumptions!$D$6,IF(ISNUMBER(SEARCH(Assumptions!$C$7,C2727)),Assumptions!$D$7,"Other Services"))),"Other Services"))</f>
        <v/>
      </c>
    </row>
    <row r="2728" customFormat="false" ht="15" hidden="false" customHeight="false" outlineLevel="0" collapsed="false">
      <c r="F2728" s="41" t="str">
        <f aca="false">IF(C2728="","",IFERROR(IF(ISNUMBER(SEARCH(Assumptions!$C$5,C2728)),Assumptions!$D$5,IF(ISNUMBER(SEARCH(Assumptions!$C$6,C2728)),Assumptions!$D$6,IF(ISNUMBER(SEARCH(Assumptions!$C$7,C2728)),Assumptions!$D$7,"Other Services"))),"Other Services"))</f>
        <v/>
      </c>
    </row>
    <row r="2729" customFormat="false" ht="15" hidden="false" customHeight="false" outlineLevel="0" collapsed="false">
      <c r="F2729" s="41" t="str">
        <f aca="false">IF(C2729="","",IFERROR(IF(ISNUMBER(SEARCH(Assumptions!$C$5,C2729)),Assumptions!$D$5,IF(ISNUMBER(SEARCH(Assumptions!$C$6,C2729)),Assumptions!$D$6,IF(ISNUMBER(SEARCH(Assumptions!$C$7,C2729)),Assumptions!$D$7,"Other Services"))),"Other Services"))</f>
        <v/>
      </c>
    </row>
    <row r="2730" customFormat="false" ht="15" hidden="false" customHeight="false" outlineLevel="0" collapsed="false">
      <c r="F2730" s="41" t="str">
        <f aca="false">IF(C2730="","",IFERROR(IF(ISNUMBER(SEARCH(Assumptions!$C$5,C2730)),Assumptions!$D$5,IF(ISNUMBER(SEARCH(Assumptions!$C$6,C2730)),Assumptions!$D$6,IF(ISNUMBER(SEARCH(Assumptions!$C$7,C2730)),Assumptions!$D$7,"Other Services"))),"Other Services"))</f>
        <v/>
      </c>
    </row>
    <row r="2731" customFormat="false" ht="15" hidden="false" customHeight="false" outlineLevel="0" collapsed="false">
      <c r="F2731" s="41" t="str">
        <f aca="false">IF(C2731="","",IFERROR(IF(ISNUMBER(SEARCH(Assumptions!$C$5,C2731)),Assumptions!$D$5,IF(ISNUMBER(SEARCH(Assumptions!$C$6,C2731)),Assumptions!$D$6,IF(ISNUMBER(SEARCH(Assumptions!$C$7,C2731)),Assumptions!$D$7,"Other Services"))),"Other Services"))</f>
        <v/>
      </c>
    </row>
    <row r="2732" customFormat="false" ht="15" hidden="false" customHeight="false" outlineLevel="0" collapsed="false">
      <c r="F2732" s="41" t="str">
        <f aca="false">IF(C2732="","",IFERROR(IF(ISNUMBER(SEARCH(Assumptions!$C$5,C2732)),Assumptions!$D$5,IF(ISNUMBER(SEARCH(Assumptions!$C$6,C2732)),Assumptions!$D$6,IF(ISNUMBER(SEARCH(Assumptions!$C$7,C2732)),Assumptions!$D$7,"Other Services"))),"Other Services"))</f>
        <v/>
      </c>
    </row>
    <row r="2733" customFormat="false" ht="15" hidden="false" customHeight="false" outlineLevel="0" collapsed="false">
      <c r="F2733" s="41" t="str">
        <f aca="false">IF(C2733="","",IFERROR(IF(ISNUMBER(SEARCH(Assumptions!$C$5,C2733)),Assumptions!$D$5,IF(ISNUMBER(SEARCH(Assumptions!$C$6,C2733)),Assumptions!$D$6,IF(ISNUMBER(SEARCH(Assumptions!$C$7,C2733)),Assumptions!$D$7,"Other Services"))),"Other Services"))</f>
        <v/>
      </c>
    </row>
    <row r="2734" customFormat="false" ht="15" hidden="false" customHeight="false" outlineLevel="0" collapsed="false">
      <c r="F2734" s="41" t="str">
        <f aca="false">IF(C2734="","",IFERROR(IF(ISNUMBER(SEARCH(Assumptions!$C$5,C2734)),Assumptions!$D$5,IF(ISNUMBER(SEARCH(Assumptions!$C$6,C2734)),Assumptions!$D$6,IF(ISNUMBER(SEARCH(Assumptions!$C$7,C2734)),Assumptions!$D$7,"Other Services"))),"Other Services"))</f>
        <v/>
      </c>
    </row>
    <row r="2735" customFormat="false" ht="15" hidden="false" customHeight="false" outlineLevel="0" collapsed="false">
      <c r="F2735" s="41" t="str">
        <f aca="false">IF(C2735="","",IFERROR(IF(ISNUMBER(SEARCH(Assumptions!$C$5,C2735)),Assumptions!$D$5,IF(ISNUMBER(SEARCH(Assumptions!$C$6,C2735)),Assumptions!$D$6,IF(ISNUMBER(SEARCH(Assumptions!$C$7,C2735)),Assumptions!$D$7,"Other Services"))),"Other Services"))</f>
        <v/>
      </c>
    </row>
    <row r="2736" customFormat="false" ht="15" hidden="false" customHeight="false" outlineLevel="0" collapsed="false">
      <c r="F2736" s="41" t="str">
        <f aca="false">IF(C2736="","",IFERROR(IF(ISNUMBER(SEARCH(Assumptions!$C$5,C2736)),Assumptions!$D$5,IF(ISNUMBER(SEARCH(Assumptions!$C$6,C2736)),Assumptions!$D$6,IF(ISNUMBER(SEARCH(Assumptions!$C$7,C2736)),Assumptions!$D$7,"Other Services"))),"Other Services"))</f>
        <v/>
      </c>
    </row>
    <row r="2737" customFormat="false" ht="15" hidden="false" customHeight="false" outlineLevel="0" collapsed="false">
      <c r="F2737" s="41" t="str">
        <f aca="false">IF(C2737="","",IFERROR(IF(ISNUMBER(SEARCH(Assumptions!$C$5,C2737)),Assumptions!$D$5,IF(ISNUMBER(SEARCH(Assumptions!$C$6,C2737)),Assumptions!$D$6,IF(ISNUMBER(SEARCH(Assumptions!$C$7,C2737)),Assumptions!$D$7,"Other Services"))),"Other Services"))</f>
        <v/>
      </c>
    </row>
    <row r="2738" customFormat="false" ht="15" hidden="false" customHeight="false" outlineLevel="0" collapsed="false">
      <c r="F2738" s="41" t="str">
        <f aca="false">IF(C2738="","",IFERROR(IF(ISNUMBER(SEARCH(Assumptions!$C$5,C2738)),Assumptions!$D$5,IF(ISNUMBER(SEARCH(Assumptions!$C$6,C2738)),Assumptions!$D$6,IF(ISNUMBER(SEARCH(Assumptions!$C$7,C2738)),Assumptions!$D$7,"Other Services"))),"Other Services"))</f>
        <v/>
      </c>
    </row>
    <row r="2739" customFormat="false" ht="15" hidden="false" customHeight="false" outlineLevel="0" collapsed="false">
      <c r="F2739" s="41" t="str">
        <f aca="false">IF(C2739="","",IFERROR(IF(ISNUMBER(SEARCH(Assumptions!$C$5,C2739)),Assumptions!$D$5,IF(ISNUMBER(SEARCH(Assumptions!$C$6,C2739)),Assumptions!$D$6,IF(ISNUMBER(SEARCH(Assumptions!$C$7,C2739)),Assumptions!$D$7,"Other Services"))),"Other Services"))</f>
        <v/>
      </c>
    </row>
    <row r="2740" customFormat="false" ht="15" hidden="false" customHeight="false" outlineLevel="0" collapsed="false">
      <c r="F2740" s="41" t="str">
        <f aca="false">IF(C2740="","",IFERROR(IF(ISNUMBER(SEARCH(Assumptions!$C$5,C2740)),Assumptions!$D$5,IF(ISNUMBER(SEARCH(Assumptions!$C$6,C2740)),Assumptions!$D$6,IF(ISNUMBER(SEARCH(Assumptions!$C$7,C2740)),Assumptions!$D$7,"Other Services"))),"Other Services"))</f>
        <v/>
      </c>
    </row>
    <row r="2741" customFormat="false" ht="15" hidden="false" customHeight="false" outlineLevel="0" collapsed="false">
      <c r="F2741" s="41" t="str">
        <f aca="false">IF(C2741="","",IFERROR(IF(ISNUMBER(SEARCH(Assumptions!$C$5,C2741)),Assumptions!$D$5,IF(ISNUMBER(SEARCH(Assumptions!$C$6,C2741)),Assumptions!$D$6,IF(ISNUMBER(SEARCH(Assumptions!$C$7,C2741)),Assumptions!$D$7,"Other Services"))),"Other Services"))</f>
        <v/>
      </c>
    </row>
    <row r="2742" customFormat="false" ht="15" hidden="false" customHeight="false" outlineLevel="0" collapsed="false">
      <c r="F2742" s="41" t="str">
        <f aca="false">IF(C2742="","",IFERROR(IF(ISNUMBER(SEARCH(Assumptions!$C$5,C2742)),Assumptions!$D$5,IF(ISNUMBER(SEARCH(Assumptions!$C$6,C2742)),Assumptions!$D$6,IF(ISNUMBER(SEARCH(Assumptions!$C$7,C2742)),Assumptions!$D$7,"Other Services"))),"Other Services"))</f>
        <v/>
      </c>
    </row>
    <row r="2743" customFormat="false" ht="15" hidden="false" customHeight="false" outlineLevel="0" collapsed="false">
      <c r="F2743" s="41" t="str">
        <f aca="false">IF(C2743="","",IFERROR(IF(ISNUMBER(SEARCH(Assumptions!$C$5,C2743)),Assumptions!$D$5,IF(ISNUMBER(SEARCH(Assumptions!$C$6,C2743)),Assumptions!$D$6,IF(ISNUMBER(SEARCH(Assumptions!$C$7,C2743)),Assumptions!$D$7,"Other Services"))),"Other Services"))</f>
        <v/>
      </c>
    </row>
    <row r="2744" customFormat="false" ht="15" hidden="false" customHeight="false" outlineLevel="0" collapsed="false">
      <c r="F2744" s="41" t="str">
        <f aca="false">IF(C2744="","",IFERROR(IF(ISNUMBER(SEARCH(Assumptions!$C$5,C2744)),Assumptions!$D$5,IF(ISNUMBER(SEARCH(Assumptions!$C$6,C2744)),Assumptions!$D$6,IF(ISNUMBER(SEARCH(Assumptions!$C$7,C2744)),Assumptions!$D$7,"Other Services"))),"Other Services"))</f>
        <v/>
      </c>
    </row>
    <row r="2745" customFormat="false" ht="15" hidden="false" customHeight="false" outlineLevel="0" collapsed="false">
      <c r="F2745" s="41" t="str">
        <f aca="false">IF(C2745="","",IFERROR(IF(ISNUMBER(SEARCH(Assumptions!$C$5,C2745)),Assumptions!$D$5,IF(ISNUMBER(SEARCH(Assumptions!$C$6,C2745)),Assumptions!$D$6,IF(ISNUMBER(SEARCH(Assumptions!$C$7,C2745)),Assumptions!$D$7,"Other Services"))),"Other Services"))</f>
        <v/>
      </c>
    </row>
    <row r="2746" customFormat="false" ht="15" hidden="false" customHeight="false" outlineLevel="0" collapsed="false">
      <c r="F2746" s="41" t="str">
        <f aca="false">IF(C2746="","",IFERROR(IF(ISNUMBER(SEARCH(Assumptions!$C$5,C2746)),Assumptions!$D$5,IF(ISNUMBER(SEARCH(Assumptions!$C$6,C2746)),Assumptions!$D$6,IF(ISNUMBER(SEARCH(Assumptions!$C$7,C2746)),Assumptions!$D$7,"Other Services"))),"Other Services"))</f>
        <v/>
      </c>
    </row>
    <row r="2747" customFormat="false" ht="15" hidden="false" customHeight="false" outlineLevel="0" collapsed="false">
      <c r="F2747" s="41" t="str">
        <f aca="false">IF(C2747="","",IFERROR(IF(ISNUMBER(SEARCH(Assumptions!$C$5,C2747)),Assumptions!$D$5,IF(ISNUMBER(SEARCH(Assumptions!$C$6,C2747)),Assumptions!$D$6,IF(ISNUMBER(SEARCH(Assumptions!$C$7,C2747)),Assumptions!$D$7,"Other Services"))),"Other Services"))</f>
        <v/>
      </c>
    </row>
    <row r="2748" customFormat="false" ht="15" hidden="false" customHeight="false" outlineLevel="0" collapsed="false">
      <c r="F2748" s="41" t="str">
        <f aca="false">IF(C2748="","",IFERROR(IF(ISNUMBER(SEARCH(Assumptions!$C$5,C2748)),Assumptions!$D$5,IF(ISNUMBER(SEARCH(Assumptions!$C$6,C2748)),Assumptions!$D$6,IF(ISNUMBER(SEARCH(Assumptions!$C$7,C2748)),Assumptions!$D$7,"Other Services"))),"Other Services"))</f>
        <v/>
      </c>
    </row>
    <row r="2749" customFormat="false" ht="15" hidden="false" customHeight="false" outlineLevel="0" collapsed="false">
      <c r="F2749" s="41" t="str">
        <f aca="false">IF(C2749="","",IFERROR(IF(ISNUMBER(SEARCH(Assumptions!$C$5,C2749)),Assumptions!$D$5,IF(ISNUMBER(SEARCH(Assumptions!$C$6,C2749)),Assumptions!$D$6,IF(ISNUMBER(SEARCH(Assumptions!$C$7,C2749)),Assumptions!$D$7,"Other Services"))),"Other Services"))</f>
        <v/>
      </c>
    </row>
    <row r="2750" customFormat="false" ht="15" hidden="false" customHeight="false" outlineLevel="0" collapsed="false">
      <c r="F2750" s="41" t="str">
        <f aca="false">IF(C2750="","",IFERROR(IF(ISNUMBER(SEARCH(Assumptions!$C$5,C2750)),Assumptions!$D$5,IF(ISNUMBER(SEARCH(Assumptions!$C$6,C2750)),Assumptions!$D$6,IF(ISNUMBER(SEARCH(Assumptions!$C$7,C2750)),Assumptions!$D$7,"Other Services"))),"Other Services"))</f>
        <v/>
      </c>
    </row>
    <row r="2751" customFormat="false" ht="15" hidden="false" customHeight="false" outlineLevel="0" collapsed="false">
      <c r="F2751" s="41" t="str">
        <f aca="false">IF(C2751="","",IFERROR(IF(ISNUMBER(SEARCH(Assumptions!$C$5,C2751)),Assumptions!$D$5,IF(ISNUMBER(SEARCH(Assumptions!$C$6,C2751)),Assumptions!$D$6,IF(ISNUMBER(SEARCH(Assumptions!$C$7,C2751)),Assumptions!$D$7,"Other Services"))),"Other Services"))</f>
        <v/>
      </c>
    </row>
    <row r="2752" customFormat="false" ht="15" hidden="false" customHeight="false" outlineLevel="0" collapsed="false">
      <c r="F2752" s="41" t="str">
        <f aca="false">IF(C2752="","",IFERROR(IF(ISNUMBER(SEARCH(Assumptions!$C$5,C2752)),Assumptions!$D$5,IF(ISNUMBER(SEARCH(Assumptions!$C$6,C2752)),Assumptions!$D$6,IF(ISNUMBER(SEARCH(Assumptions!$C$7,C2752)),Assumptions!$D$7,"Other Services"))),"Other Services"))</f>
        <v/>
      </c>
    </row>
    <row r="2753" customFormat="false" ht="15" hidden="false" customHeight="false" outlineLevel="0" collapsed="false">
      <c r="F2753" s="41" t="str">
        <f aca="false">IF(C2753="","",IFERROR(IF(ISNUMBER(SEARCH(Assumptions!$C$5,C2753)),Assumptions!$D$5,IF(ISNUMBER(SEARCH(Assumptions!$C$6,C2753)),Assumptions!$D$6,IF(ISNUMBER(SEARCH(Assumptions!$C$7,C2753)),Assumptions!$D$7,"Other Services"))),"Other Services"))</f>
        <v/>
      </c>
    </row>
    <row r="2754" customFormat="false" ht="15" hidden="false" customHeight="false" outlineLevel="0" collapsed="false">
      <c r="F2754" s="41" t="str">
        <f aca="false">IF(C2754="","",IFERROR(IF(ISNUMBER(SEARCH(Assumptions!$C$5,C2754)),Assumptions!$D$5,IF(ISNUMBER(SEARCH(Assumptions!$C$6,C2754)),Assumptions!$D$6,IF(ISNUMBER(SEARCH(Assumptions!$C$7,C2754)),Assumptions!$D$7,"Other Services"))),"Other Services"))</f>
        <v/>
      </c>
    </row>
    <row r="2755" customFormat="false" ht="15" hidden="false" customHeight="false" outlineLevel="0" collapsed="false">
      <c r="F2755" s="41" t="str">
        <f aca="false">IF(C2755="","",IFERROR(IF(ISNUMBER(SEARCH(Assumptions!$C$5,C2755)),Assumptions!$D$5,IF(ISNUMBER(SEARCH(Assumptions!$C$6,C2755)),Assumptions!$D$6,IF(ISNUMBER(SEARCH(Assumptions!$C$7,C2755)),Assumptions!$D$7,"Other Services"))),"Other Services"))</f>
        <v/>
      </c>
    </row>
    <row r="2756" customFormat="false" ht="15" hidden="false" customHeight="false" outlineLevel="0" collapsed="false">
      <c r="F2756" s="41" t="str">
        <f aca="false">IF(C2756="","",IFERROR(IF(ISNUMBER(SEARCH(Assumptions!$C$5,C2756)),Assumptions!$D$5,IF(ISNUMBER(SEARCH(Assumptions!$C$6,C2756)),Assumptions!$D$6,IF(ISNUMBER(SEARCH(Assumptions!$C$7,C2756)),Assumptions!$D$7,"Other Services"))),"Other Services"))</f>
        <v/>
      </c>
    </row>
    <row r="2757" customFormat="false" ht="15" hidden="false" customHeight="false" outlineLevel="0" collapsed="false">
      <c r="F2757" s="41" t="str">
        <f aca="false">IF(C2757="","",IFERROR(IF(ISNUMBER(SEARCH(Assumptions!$C$5,C2757)),Assumptions!$D$5,IF(ISNUMBER(SEARCH(Assumptions!$C$6,C2757)),Assumptions!$D$6,IF(ISNUMBER(SEARCH(Assumptions!$C$7,C2757)),Assumptions!$D$7,"Other Services"))),"Other Services"))</f>
        <v/>
      </c>
    </row>
    <row r="2758" customFormat="false" ht="15" hidden="false" customHeight="false" outlineLevel="0" collapsed="false">
      <c r="F2758" s="41" t="str">
        <f aca="false">IF(C2758="","",IFERROR(IF(ISNUMBER(SEARCH(Assumptions!$C$5,C2758)),Assumptions!$D$5,IF(ISNUMBER(SEARCH(Assumptions!$C$6,C2758)),Assumptions!$D$6,IF(ISNUMBER(SEARCH(Assumptions!$C$7,C2758)),Assumptions!$D$7,"Other Services"))),"Other Services"))</f>
        <v/>
      </c>
    </row>
    <row r="2759" customFormat="false" ht="15" hidden="false" customHeight="false" outlineLevel="0" collapsed="false">
      <c r="F2759" s="41" t="str">
        <f aca="false">IF(C2759="","",IFERROR(IF(ISNUMBER(SEARCH(Assumptions!$C$5,C2759)),Assumptions!$D$5,IF(ISNUMBER(SEARCH(Assumptions!$C$6,C2759)),Assumptions!$D$6,IF(ISNUMBER(SEARCH(Assumptions!$C$7,C2759)),Assumptions!$D$7,"Other Services"))),"Other Services"))</f>
        <v/>
      </c>
    </row>
    <row r="2760" customFormat="false" ht="15" hidden="false" customHeight="false" outlineLevel="0" collapsed="false">
      <c r="F2760" s="41" t="str">
        <f aca="false">IF(C2760="","",IFERROR(IF(ISNUMBER(SEARCH(Assumptions!$C$5,C2760)),Assumptions!$D$5,IF(ISNUMBER(SEARCH(Assumptions!$C$6,C2760)),Assumptions!$D$6,IF(ISNUMBER(SEARCH(Assumptions!$C$7,C2760)),Assumptions!$D$7,"Other Services"))),"Other Services"))</f>
        <v/>
      </c>
    </row>
    <row r="2761" customFormat="false" ht="15" hidden="false" customHeight="false" outlineLevel="0" collapsed="false">
      <c r="F2761" s="41" t="str">
        <f aca="false">IF(C2761="","",IFERROR(IF(ISNUMBER(SEARCH(Assumptions!$C$5,C2761)),Assumptions!$D$5,IF(ISNUMBER(SEARCH(Assumptions!$C$6,C2761)),Assumptions!$D$6,IF(ISNUMBER(SEARCH(Assumptions!$C$7,C2761)),Assumptions!$D$7,"Other Services"))),"Other Services"))</f>
        <v/>
      </c>
    </row>
    <row r="2762" customFormat="false" ht="15" hidden="false" customHeight="false" outlineLevel="0" collapsed="false">
      <c r="F2762" s="41" t="str">
        <f aca="false">IF(C2762="","",IFERROR(IF(ISNUMBER(SEARCH(Assumptions!$C$5,C2762)),Assumptions!$D$5,IF(ISNUMBER(SEARCH(Assumptions!$C$6,C2762)),Assumptions!$D$6,IF(ISNUMBER(SEARCH(Assumptions!$C$7,C2762)),Assumptions!$D$7,"Other Services"))),"Other Services"))</f>
        <v/>
      </c>
    </row>
    <row r="2763" customFormat="false" ht="15" hidden="false" customHeight="false" outlineLevel="0" collapsed="false">
      <c r="F2763" s="41" t="str">
        <f aca="false">IF(C2763="","",IFERROR(IF(ISNUMBER(SEARCH(Assumptions!$C$5,C2763)),Assumptions!$D$5,IF(ISNUMBER(SEARCH(Assumptions!$C$6,C2763)),Assumptions!$D$6,IF(ISNUMBER(SEARCH(Assumptions!$C$7,C2763)),Assumptions!$D$7,"Other Services"))),"Other Services"))</f>
        <v/>
      </c>
    </row>
    <row r="2764" customFormat="false" ht="15" hidden="false" customHeight="false" outlineLevel="0" collapsed="false">
      <c r="F2764" s="41" t="str">
        <f aca="false">IF(C2764="","",IFERROR(IF(ISNUMBER(SEARCH(Assumptions!$C$5,C2764)),Assumptions!$D$5,IF(ISNUMBER(SEARCH(Assumptions!$C$6,C2764)),Assumptions!$D$6,IF(ISNUMBER(SEARCH(Assumptions!$C$7,C2764)),Assumptions!$D$7,"Other Services"))),"Other Services"))</f>
        <v/>
      </c>
    </row>
    <row r="2765" customFormat="false" ht="15" hidden="false" customHeight="false" outlineLevel="0" collapsed="false">
      <c r="F2765" s="41" t="str">
        <f aca="false">IF(C2765="","",IFERROR(IF(ISNUMBER(SEARCH(Assumptions!$C$5,C2765)),Assumptions!$D$5,IF(ISNUMBER(SEARCH(Assumptions!$C$6,C2765)),Assumptions!$D$6,IF(ISNUMBER(SEARCH(Assumptions!$C$7,C2765)),Assumptions!$D$7,"Other Services"))),"Other Services"))</f>
        <v/>
      </c>
    </row>
    <row r="2766" customFormat="false" ht="15" hidden="false" customHeight="false" outlineLevel="0" collapsed="false">
      <c r="F2766" s="41" t="str">
        <f aca="false">IF(C2766="","",IFERROR(IF(ISNUMBER(SEARCH(Assumptions!$C$5,C2766)),Assumptions!$D$5,IF(ISNUMBER(SEARCH(Assumptions!$C$6,C2766)),Assumptions!$D$6,IF(ISNUMBER(SEARCH(Assumptions!$C$7,C2766)),Assumptions!$D$7,"Other Services"))),"Other Services"))</f>
        <v/>
      </c>
    </row>
    <row r="2767" customFormat="false" ht="15" hidden="false" customHeight="false" outlineLevel="0" collapsed="false">
      <c r="F2767" s="41" t="str">
        <f aca="false">IF(C2767="","",IFERROR(IF(ISNUMBER(SEARCH(Assumptions!$C$5,C2767)),Assumptions!$D$5,IF(ISNUMBER(SEARCH(Assumptions!$C$6,C2767)),Assumptions!$D$6,IF(ISNUMBER(SEARCH(Assumptions!$C$7,C2767)),Assumptions!$D$7,"Other Services"))),"Other Services"))</f>
        <v/>
      </c>
    </row>
    <row r="2768" customFormat="false" ht="15" hidden="false" customHeight="false" outlineLevel="0" collapsed="false">
      <c r="F2768" s="41" t="str">
        <f aca="false">IF(C2768="","",IFERROR(IF(ISNUMBER(SEARCH(Assumptions!$C$5,C2768)),Assumptions!$D$5,IF(ISNUMBER(SEARCH(Assumptions!$C$6,C2768)),Assumptions!$D$6,IF(ISNUMBER(SEARCH(Assumptions!$C$7,C2768)),Assumptions!$D$7,"Other Services"))),"Other Services"))</f>
        <v/>
      </c>
    </row>
    <row r="2769" customFormat="false" ht="15" hidden="false" customHeight="false" outlineLevel="0" collapsed="false">
      <c r="F2769" s="41" t="str">
        <f aca="false">IF(C2769="","",IFERROR(IF(ISNUMBER(SEARCH(Assumptions!$C$5,C2769)),Assumptions!$D$5,IF(ISNUMBER(SEARCH(Assumptions!$C$6,C2769)),Assumptions!$D$6,IF(ISNUMBER(SEARCH(Assumptions!$C$7,C2769)),Assumptions!$D$7,"Other Services"))),"Other Services"))</f>
        <v/>
      </c>
    </row>
    <row r="2770" customFormat="false" ht="15" hidden="false" customHeight="false" outlineLevel="0" collapsed="false">
      <c r="F2770" s="41" t="str">
        <f aca="false">IF(C2770="","",IFERROR(IF(ISNUMBER(SEARCH(Assumptions!$C$5,C2770)),Assumptions!$D$5,IF(ISNUMBER(SEARCH(Assumptions!$C$6,C2770)),Assumptions!$D$6,IF(ISNUMBER(SEARCH(Assumptions!$C$7,C2770)),Assumptions!$D$7,"Other Services"))),"Other Services"))</f>
        <v/>
      </c>
    </row>
    <row r="2771" customFormat="false" ht="15" hidden="false" customHeight="false" outlineLevel="0" collapsed="false">
      <c r="F2771" s="41" t="str">
        <f aca="false">IF(C2771="","",IFERROR(IF(ISNUMBER(SEARCH(Assumptions!$C$5,C2771)),Assumptions!$D$5,IF(ISNUMBER(SEARCH(Assumptions!$C$6,C2771)),Assumptions!$D$6,IF(ISNUMBER(SEARCH(Assumptions!$C$7,C2771)),Assumptions!$D$7,"Other Services"))),"Other Services"))</f>
        <v/>
      </c>
    </row>
    <row r="2772" customFormat="false" ht="15" hidden="false" customHeight="false" outlineLevel="0" collapsed="false">
      <c r="F2772" s="41" t="str">
        <f aca="false">IF(C2772="","",IFERROR(IF(ISNUMBER(SEARCH(Assumptions!$C$5,C2772)),Assumptions!$D$5,IF(ISNUMBER(SEARCH(Assumptions!$C$6,C2772)),Assumptions!$D$6,IF(ISNUMBER(SEARCH(Assumptions!$C$7,C2772)),Assumptions!$D$7,"Other Services"))),"Other Services"))</f>
        <v/>
      </c>
    </row>
    <row r="2773" customFormat="false" ht="15" hidden="false" customHeight="false" outlineLevel="0" collapsed="false">
      <c r="F2773" s="41" t="str">
        <f aca="false">IF(C2773="","",IFERROR(IF(ISNUMBER(SEARCH(Assumptions!$C$5,C2773)),Assumptions!$D$5,IF(ISNUMBER(SEARCH(Assumptions!$C$6,C2773)),Assumptions!$D$6,IF(ISNUMBER(SEARCH(Assumptions!$C$7,C2773)),Assumptions!$D$7,"Other Services"))),"Other Services"))</f>
        <v/>
      </c>
    </row>
    <row r="2774" customFormat="false" ht="15" hidden="false" customHeight="false" outlineLevel="0" collapsed="false">
      <c r="F2774" s="41" t="str">
        <f aca="false">IF(C2774="","",IFERROR(IF(ISNUMBER(SEARCH(Assumptions!$C$5,C2774)),Assumptions!$D$5,IF(ISNUMBER(SEARCH(Assumptions!$C$6,C2774)),Assumptions!$D$6,IF(ISNUMBER(SEARCH(Assumptions!$C$7,C2774)),Assumptions!$D$7,"Other Services"))),"Other Services"))</f>
        <v/>
      </c>
    </row>
    <row r="2775" customFormat="false" ht="15" hidden="false" customHeight="false" outlineLevel="0" collapsed="false">
      <c r="F2775" s="41" t="str">
        <f aca="false">IF(C2775="","",IFERROR(IF(ISNUMBER(SEARCH(Assumptions!$C$5,C2775)),Assumptions!$D$5,IF(ISNUMBER(SEARCH(Assumptions!$C$6,C2775)),Assumptions!$D$6,IF(ISNUMBER(SEARCH(Assumptions!$C$7,C2775)),Assumptions!$D$7,"Other Services"))),"Other Services"))</f>
        <v/>
      </c>
    </row>
    <row r="2776" customFormat="false" ht="15" hidden="false" customHeight="false" outlineLevel="0" collapsed="false">
      <c r="F2776" s="41" t="str">
        <f aca="false">IF(C2776="","",IFERROR(IF(ISNUMBER(SEARCH(Assumptions!$C$5,C2776)),Assumptions!$D$5,IF(ISNUMBER(SEARCH(Assumptions!$C$6,C2776)),Assumptions!$D$6,IF(ISNUMBER(SEARCH(Assumptions!$C$7,C2776)),Assumptions!$D$7,"Other Services"))),"Other Services"))</f>
        <v/>
      </c>
    </row>
    <row r="2777" customFormat="false" ht="15" hidden="false" customHeight="false" outlineLevel="0" collapsed="false">
      <c r="F2777" s="41" t="str">
        <f aca="false">IF(C2777="","",IFERROR(IF(ISNUMBER(SEARCH(Assumptions!$C$5,C2777)),Assumptions!$D$5,IF(ISNUMBER(SEARCH(Assumptions!$C$6,C2777)),Assumptions!$D$6,IF(ISNUMBER(SEARCH(Assumptions!$C$7,C2777)),Assumptions!$D$7,"Other Services"))),"Other Services"))</f>
        <v/>
      </c>
    </row>
    <row r="2778" customFormat="false" ht="15" hidden="false" customHeight="false" outlineLevel="0" collapsed="false">
      <c r="F2778" s="41" t="str">
        <f aca="false">IF(C2778="","",IFERROR(IF(ISNUMBER(SEARCH(Assumptions!$C$5,C2778)),Assumptions!$D$5,IF(ISNUMBER(SEARCH(Assumptions!$C$6,C2778)),Assumptions!$D$6,IF(ISNUMBER(SEARCH(Assumptions!$C$7,C2778)),Assumptions!$D$7,"Other Services"))),"Other Services"))</f>
        <v/>
      </c>
    </row>
    <row r="2779" customFormat="false" ht="15" hidden="false" customHeight="false" outlineLevel="0" collapsed="false">
      <c r="F2779" s="41" t="str">
        <f aca="false">IF(C2779="","",IFERROR(IF(ISNUMBER(SEARCH(Assumptions!$C$5,C2779)),Assumptions!$D$5,IF(ISNUMBER(SEARCH(Assumptions!$C$6,C2779)),Assumptions!$D$6,IF(ISNUMBER(SEARCH(Assumptions!$C$7,C2779)),Assumptions!$D$7,"Other Services"))),"Other Services"))</f>
        <v/>
      </c>
    </row>
    <row r="2780" customFormat="false" ht="15" hidden="false" customHeight="false" outlineLevel="0" collapsed="false">
      <c r="F2780" s="41" t="str">
        <f aca="false">IF(C2780="","",IFERROR(IF(ISNUMBER(SEARCH(Assumptions!$C$5,C2780)),Assumptions!$D$5,IF(ISNUMBER(SEARCH(Assumptions!$C$6,C2780)),Assumptions!$D$6,IF(ISNUMBER(SEARCH(Assumptions!$C$7,C2780)),Assumptions!$D$7,"Other Services"))),"Other Services"))</f>
        <v/>
      </c>
    </row>
    <row r="2781" customFormat="false" ht="15" hidden="false" customHeight="false" outlineLevel="0" collapsed="false">
      <c r="F2781" s="41" t="str">
        <f aca="false">IF(C2781="","",IFERROR(IF(ISNUMBER(SEARCH(Assumptions!$C$5,C2781)),Assumptions!$D$5,IF(ISNUMBER(SEARCH(Assumptions!$C$6,C2781)),Assumptions!$D$6,IF(ISNUMBER(SEARCH(Assumptions!$C$7,C2781)),Assumptions!$D$7,"Other Services"))),"Other Services"))</f>
        <v/>
      </c>
    </row>
    <row r="2782" customFormat="false" ht="15" hidden="false" customHeight="false" outlineLevel="0" collapsed="false">
      <c r="F2782" s="41" t="str">
        <f aca="false">IF(C2782="","",IFERROR(IF(ISNUMBER(SEARCH(Assumptions!$C$5,C2782)),Assumptions!$D$5,IF(ISNUMBER(SEARCH(Assumptions!$C$6,C2782)),Assumptions!$D$6,IF(ISNUMBER(SEARCH(Assumptions!$C$7,C2782)),Assumptions!$D$7,"Other Services"))),"Other Services"))</f>
        <v/>
      </c>
    </row>
    <row r="2783" customFormat="false" ht="15" hidden="false" customHeight="false" outlineLevel="0" collapsed="false">
      <c r="F2783" s="41" t="str">
        <f aca="false">IF(C2783="","",IFERROR(IF(ISNUMBER(SEARCH(Assumptions!$C$5,C2783)),Assumptions!$D$5,IF(ISNUMBER(SEARCH(Assumptions!$C$6,C2783)),Assumptions!$D$6,IF(ISNUMBER(SEARCH(Assumptions!$C$7,C2783)),Assumptions!$D$7,"Other Services"))),"Other Services"))</f>
        <v/>
      </c>
    </row>
    <row r="2784" customFormat="false" ht="15" hidden="false" customHeight="false" outlineLevel="0" collapsed="false">
      <c r="F2784" s="41" t="str">
        <f aca="false">IF(C2784="","",IFERROR(IF(ISNUMBER(SEARCH(Assumptions!$C$5,C2784)),Assumptions!$D$5,IF(ISNUMBER(SEARCH(Assumptions!$C$6,C2784)),Assumptions!$D$6,IF(ISNUMBER(SEARCH(Assumptions!$C$7,C2784)),Assumptions!$D$7,"Other Services"))),"Other Services"))</f>
        <v/>
      </c>
    </row>
    <row r="2785" customFormat="false" ht="15" hidden="false" customHeight="false" outlineLevel="0" collapsed="false">
      <c r="F2785" s="41" t="str">
        <f aca="false">IF(C2785="","",IFERROR(IF(ISNUMBER(SEARCH(Assumptions!$C$5,C2785)),Assumptions!$D$5,IF(ISNUMBER(SEARCH(Assumptions!$C$6,C2785)),Assumptions!$D$6,IF(ISNUMBER(SEARCH(Assumptions!$C$7,C2785)),Assumptions!$D$7,"Other Services"))),"Other Services"))</f>
        <v/>
      </c>
    </row>
    <row r="2786" customFormat="false" ht="15" hidden="false" customHeight="false" outlineLevel="0" collapsed="false">
      <c r="F2786" s="41" t="str">
        <f aca="false">IF(C2786="","",IFERROR(IF(ISNUMBER(SEARCH(Assumptions!$C$5,C2786)),Assumptions!$D$5,IF(ISNUMBER(SEARCH(Assumptions!$C$6,C2786)),Assumptions!$D$6,IF(ISNUMBER(SEARCH(Assumptions!$C$7,C2786)),Assumptions!$D$7,"Other Services"))),"Other Services"))</f>
        <v/>
      </c>
    </row>
    <row r="2787" customFormat="false" ht="15" hidden="false" customHeight="false" outlineLevel="0" collapsed="false">
      <c r="F2787" s="41" t="str">
        <f aca="false">IF(C2787="","",IFERROR(IF(ISNUMBER(SEARCH(Assumptions!$C$5,C2787)),Assumptions!$D$5,IF(ISNUMBER(SEARCH(Assumptions!$C$6,C2787)),Assumptions!$D$6,IF(ISNUMBER(SEARCH(Assumptions!$C$7,C2787)),Assumptions!$D$7,"Other Services"))),"Other Services"))</f>
        <v/>
      </c>
    </row>
    <row r="2788" customFormat="false" ht="15" hidden="false" customHeight="false" outlineLevel="0" collapsed="false">
      <c r="F2788" s="41" t="str">
        <f aca="false">IF(C2788="","",IFERROR(IF(ISNUMBER(SEARCH(Assumptions!$C$5,C2788)),Assumptions!$D$5,IF(ISNUMBER(SEARCH(Assumptions!$C$6,C2788)),Assumptions!$D$6,IF(ISNUMBER(SEARCH(Assumptions!$C$7,C2788)),Assumptions!$D$7,"Other Services"))),"Other Services"))</f>
        <v/>
      </c>
    </row>
    <row r="2789" customFormat="false" ht="15" hidden="false" customHeight="false" outlineLevel="0" collapsed="false">
      <c r="F2789" s="41" t="str">
        <f aca="false">IF(C2789="","",IFERROR(IF(ISNUMBER(SEARCH(Assumptions!$C$5,C2789)),Assumptions!$D$5,IF(ISNUMBER(SEARCH(Assumptions!$C$6,C2789)),Assumptions!$D$6,IF(ISNUMBER(SEARCH(Assumptions!$C$7,C2789)),Assumptions!$D$7,"Other Services"))),"Other Services"))</f>
        <v/>
      </c>
    </row>
    <row r="2790" customFormat="false" ht="15" hidden="false" customHeight="false" outlineLevel="0" collapsed="false">
      <c r="F2790" s="41" t="str">
        <f aca="false">IF(C2790="","",IFERROR(IF(ISNUMBER(SEARCH(Assumptions!$C$5,C2790)),Assumptions!$D$5,IF(ISNUMBER(SEARCH(Assumptions!$C$6,C2790)),Assumptions!$D$6,IF(ISNUMBER(SEARCH(Assumptions!$C$7,C2790)),Assumptions!$D$7,"Other Services"))),"Other Services"))</f>
        <v/>
      </c>
    </row>
    <row r="2791" customFormat="false" ht="15" hidden="false" customHeight="false" outlineLevel="0" collapsed="false">
      <c r="F2791" s="41" t="str">
        <f aca="false">IF(C2791="","",IFERROR(IF(ISNUMBER(SEARCH(Assumptions!$C$5,C2791)),Assumptions!$D$5,IF(ISNUMBER(SEARCH(Assumptions!$C$6,C2791)),Assumptions!$D$6,IF(ISNUMBER(SEARCH(Assumptions!$C$7,C2791)),Assumptions!$D$7,"Other Services"))),"Other Services"))</f>
        <v/>
      </c>
    </row>
    <row r="2792" customFormat="false" ht="15" hidden="false" customHeight="false" outlineLevel="0" collapsed="false">
      <c r="F2792" s="41" t="str">
        <f aca="false">IF(C2792="","",IFERROR(IF(ISNUMBER(SEARCH(Assumptions!$C$5,C2792)),Assumptions!$D$5,IF(ISNUMBER(SEARCH(Assumptions!$C$6,C2792)),Assumptions!$D$6,IF(ISNUMBER(SEARCH(Assumptions!$C$7,C2792)),Assumptions!$D$7,"Other Services"))),"Other Services"))</f>
        <v/>
      </c>
    </row>
    <row r="2793" customFormat="false" ht="15" hidden="false" customHeight="false" outlineLevel="0" collapsed="false">
      <c r="F2793" s="41" t="str">
        <f aca="false">IF(C2793="","",IFERROR(IF(ISNUMBER(SEARCH(Assumptions!$C$5,C2793)),Assumptions!$D$5,IF(ISNUMBER(SEARCH(Assumptions!$C$6,C2793)),Assumptions!$D$6,IF(ISNUMBER(SEARCH(Assumptions!$C$7,C2793)),Assumptions!$D$7,"Other Services"))),"Other Services"))</f>
        <v/>
      </c>
    </row>
    <row r="2794" customFormat="false" ht="15" hidden="false" customHeight="false" outlineLevel="0" collapsed="false">
      <c r="F2794" s="41" t="str">
        <f aca="false">IF(C2794="","",IFERROR(IF(ISNUMBER(SEARCH(Assumptions!$C$5,C2794)),Assumptions!$D$5,IF(ISNUMBER(SEARCH(Assumptions!$C$6,C2794)),Assumptions!$D$6,IF(ISNUMBER(SEARCH(Assumptions!$C$7,C2794)),Assumptions!$D$7,"Other Services"))),"Other Services"))</f>
        <v/>
      </c>
    </row>
    <row r="2795" customFormat="false" ht="15" hidden="false" customHeight="false" outlineLevel="0" collapsed="false">
      <c r="F2795" s="41" t="str">
        <f aca="false">IF(C2795="","",IFERROR(IF(ISNUMBER(SEARCH(Assumptions!$C$5,C2795)),Assumptions!$D$5,IF(ISNUMBER(SEARCH(Assumptions!$C$6,C2795)),Assumptions!$D$6,IF(ISNUMBER(SEARCH(Assumptions!$C$7,C2795)),Assumptions!$D$7,"Other Services"))),"Other Services"))</f>
        <v/>
      </c>
    </row>
    <row r="2796" customFormat="false" ht="15" hidden="false" customHeight="false" outlineLevel="0" collapsed="false">
      <c r="F2796" s="41" t="str">
        <f aca="false">IF(C2796="","",IFERROR(IF(ISNUMBER(SEARCH(Assumptions!$C$5,C2796)),Assumptions!$D$5,IF(ISNUMBER(SEARCH(Assumptions!$C$6,C2796)),Assumptions!$D$6,IF(ISNUMBER(SEARCH(Assumptions!$C$7,C2796)),Assumptions!$D$7,"Other Services"))),"Other Services"))</f>
        <v/>
      </c>
    </row>
    <row r="2797" customFormat="false" ht="15" hidden="false" customHeight="false" outlineLevel="0" collapsed="false">
      <c r="F2797" s="41" t="str">
        <f aca="false">IF(C2797="","",IFERROR(IF(ISNUMBER(SEARCH(Assumptions!$C$5,C2797)),Assumptions!$D$5,IF(ISNUMBER(SEARCH(Assumptions!$C$6,C2797)),Assumptions!$D$6,IF(ISNUMBER(SEARCH(Assumptions!$C$7,C2797)),Assumptions!$D$7,"Other Services"))),"Other Services"))</f>
        <v/>
      </c>
    </row>
    <row r="2798" customFormat="false" ht="15" hidden="false" customHeight="false" outlineLevel="0" collapsed="false">
      <c r="F2798" s="41" t="str">
        <f aca="false">IF(C2798="","",IFERROR(IF(ISNUMBER(SEARCH(Assumptions!$C$5,C2798)),Assumptions!$D$5,IF(ISNUMBER(SEARCH(Assumptions!$C$6,C2798)),Assumptions!$D$6,IF(ISNUMBER(SEARCH(Assumptions!$C$7,C2798)),Assumptions!$D$7,"Other Services"))),"Other Services"))</f>
        <v/>
      </c>
    </row>
    <row r="2799" customFormat="false" ht="15" hidden="false" customHeight="false" outlineLevel="0" collapsed="false">
      <c r="F2799" s="41" t="str">
        <f aca="false">IF(C2799="","",IFERROR(IF(ISNUMBER(SEARCH(Assumptions!$C$5,C2799)),Assumptions!$D$5,IF(ISNUMBER(SEARCH(Assumptions!$C$6,C2799)),Assumptions!$D$6,IF(ISNUMBER(SEARCH(Assumptions!$C$7,C2799)),Assumptions!$D$7,"Other Services"))),"Other Services"))</f>
        <v/>
      </c>
    </row>
    <row r="2800" customFormat="false" ht="15" hidden="false" customHeight="false" outlineLevel="0" collapsed="false">
      <c r="F2800" s="41" t="str">
        <f aca="false">IF(C2800="","",IFERROR(IF(ISNUMBER(SEARCH(Assumptions!$C$5,C2800)),Assumptions!$D$5,IF(ISNUMBER(SEARCH(Assumptions!$C$6,C2800)),Assumptions!$D$6,IF(ISNUMBER(SEARCH(Assumptions!$C$7,C2800)),Assumptions!$D$7,"Other Services"))),"Other Services"))</f>
        <v/>
      </c>
    </row>
    <row r="2801" customFormat="false" ht="15" hidden="false" customHeight="false" outlineLevel="0" collapsed="false">
      <c r="F2801" s="41" t="str">
        <f aca="false">IF(C2801="","",IFERROR(IF(ISNUMBER(SEARCH(Assumptions!$C$5,C2801)),Assumptions!$D$5,IF(ISNUMBER(SEARCH(Assumptions!$C$6,C2801)),Assumptions!$D$6,IF(ISNUMBER(SEARCH(Assumptions!$C$7,C2801)),Assumptions!$D$7,"Other Services"))),"Other Services"))</f>
        <v/>
      </c>
    </row>
    <row r="2802" customFormat="false" ht="15" hidden="false" customHeight="false" outlineLevel="0" collapsed="false">
      <c r="F2802" s="41" t="str">
        <f aca="false">IF(C2802="","",IFERROR(IF(ISNUMBER(SEARCH(Assumptions!$C$5,C2802)),Assumptions!$D$5,IF(ISNUMBER(SEARCH(Assumptions!$C$6,C2802)),Assumptions!$D$6,IF(ISNUMBER(SEARCH(Assumptions!$C$7,C2802)),Assumptions!$D$7,"Other Services"))),"Other Services"))</f>
        <v/>
      </c>
    </row>
    <row r="2803" customFormat="false" ht="15" hidden="false" customHeight="false" outlineLevel="0" collapsed="false">
      <c r="F2803" s="41" t="str">
        <f aca="false">IF(C2803="","",IFERROR(IF(ISNUMBER(SEARCH(Assumptions!$C$5,C2803)),Assumptions!$D$5,IF(ISNUMBER(SEARCH(Assumptions!$C$6,C2803)),Assumptions!$D$6,IF(ISNUMBER(SEARCH(Assumptions!$C$7,C2803)),Assumptions!$D$7,"Other Services"))),"Other Services"))</f>
        <v/>
      </c>
    </row>
    <row r="2804" customFormat="false" ht="15" hidden="false" customHeight="false" outlineLevel="0" collapsed="false">
      <c r="F2804" s="41" t="str">
        <f aca="false">IF(C2804="","",IFERROR(IF(ISNUMBER(SEARCH(Assumptions!$C$5,C2804)),Assumptions!$D$5,IF(ISNUMBER(SEARCH(Assumptions!$C$6,C2804)),Assumptions!$D$6,IF(ISNUMBER(SEARCH(Assumptions!$C$7,C2804)),Assumptions!$D$7,"Other Services"))),"Other Services"))</f>
        <v/>
      </c>
    </row>
    <row r="2805" customFormat="false" ht="15" hidden="false" customHeight="false" outlineLevel="0" collapsed="false">
      <c r="F2805" s="41" t="str">
        <f aca="false">IF(C2805="","",IFERROR(IF(ISNUMBER(SEARCH(Assumptions!$C$5,C2805)),Assumptions!$D$5,IF(ISNUMBER(SEARCH(Assumptions!$C$6,C2805)),Assumptions!$D$6,IF(ISNUMBER(SEARCH(Assumptions!$C$7,C2805)),Assumptions!$D$7,"Other Services"))),"Other Services"))</f>
        <v/>
      </c>
    </row>
    <row r="2806" customFormat="false" ht="15" hidden="false" customHeight="false" outlineLevel="0" collapsed="false">
      <c r="F2806" s="41" t="str">
        <f aca="false">IF(C2806="","",IFERROR(IF(ISNUMBER(SEARCH(Assumptions!$C$5,C2806)),Assumptions!$D$5,IF(ISNUMBER(SEARCH(Assumptions!$C$6,C2806)),Assumptions!$D$6,IF(ISNUMBER(SEARCH(Assumptions!$C$7,C2806)),Assumptions!$D$7,"Other Services"))),"Other Services"))</f>
        <v/>
      </c>
    </row>
    <row r="2807" customFormat="false" ht="15" hidden="false" customHeight="false" outlineLevel="0" collapsed="false">
      <c r="F2807" s="41" t="str">
        <f aca="false">IF(C2807="","",IFERROR(IF(ISNUMBER(SEARCH(Assumptions!$C$5,C2807)),Assumptions!$D$5,IF(ISNUMBER(SEARCH(Assumptions!$C$6,C2807)),Assumptions!$D$6,IF(ISNUMBER(SEARCH(Assumptions!$C$7,C2807)),Assumptions!$D$7,"Other Services"))),"Other Services"))</f>
        <v/>
      </c>
    </row>
    <row r="2808" customFormat="false" ht="15" hidden="false" customHeight="false" outlineLevel="0" collapsed="false">
      <c r="F2808" s="41" t="str">
        <f aca="false">IF(C2808="","",IFERROR(IF(ISNUMBER(SEARCH(Assumptions!$C$5,C2808)),Assumptions!$D$5,IF(ISNUMBER(SEARCH(Assumptions!$C$6,C2808)),Assumptions!$D$6,IF(ISNUMBER(SEARCH(Assumptions!$C$7,C2808)),Assumptions!$D$7,"Other Services"))),"Other Services"))</f>
        <v/>
      </c>
    </row>
    <row r="2809" customFormat="false" ht="15" hidden="false" customHeight="false" outlineLevel="0" collapsed="false">
      <c r="F2809" s="41" t="str">
        <f aca="false">IF(C2809="","",IFERROR(IF(ISNUMBER(SEARCH(Assumptions!$C$5,C2809)),Assumptions!$D$5,IF(ISNUMBER(SEARCH(Assumptions!$C$6,C2809)),Assumptions!$D$6,IF(ISNUMBER(SEARCH(Assumptions!$C$7,C2809)),Assumptions!$D$7,"Other Services"))),"Other Services"))</f>
        <v/>
      </c>
    </row>
    <row r="2810" customFormat="false" ht="15" hidden="false" customHeight="false" outlineLevel="0" collapsed="false">
      <c r="F2810" s="41" t="str">
        <f aca="false">IF(C2810="","",IFERROR(IF(ISNUMBER(SEARCH(Assumptions!$C$5,C2810)),Assumptions!$D$5,IF(ISNUMBER(SEARCH(Assumptions!$C$6,C2810)),Assumptions!$D$6,IF(ISNUMBER(SEARCH(Assumptions!$C$7,C2810)),Assumptions!$D$7,"Other Services"))),"Other Services"))</f>
        <v/>
      </c>
    </row>
    <row r="2811" customFormat="false" ht="15" hidden="false" customHeight="false" outlineLevel="0" collapsed="false">
      <c r="F2811" s="41" t="str">
        <f aca="false">IF(C2811="","",IFERROR(IF(ISNUMBER(SEARCH(Assumptions!$C$5,C2811)),Assumptions!$D$5,IF(ISNUMBER(SEARCH(Assumptions!$C$6,C2811)),Assumptions!$D$6,IF(ISNUMBER(SEARCH(Assumptions!$C$7,C2811)),Assumptions!$D$7,"Other Services"))),"Other Services"))</f>
        <v/>
      </c>
    </row>
    <row r="2812" customFormat="false" ht="15" hidden="false" customHeight="false" outlineLevel="0" collapsed="false">
      <c r="F2812" s="41" t="str">
        <f aca="false">IF(C2812="","",IFERROR(IF(ISNUMBER(SEARCH(Assumptions!$C$5,C2812)),Assumptions!$D$5,IF(ISNUMBER(SEARCH(Assumptions!$C$6,C2812)),Assumptions!$D$6,IF(ISNUMBER(SEARCH(Assumptions!$C$7,C2812)),Assumptions!$D$7,"Other Services"))),"Other Services"))</f>
        <v/>
      </c>
    </row>
    <row r="2813" customFormat="false" ht="15" hidden="false" customHeight="false" outlineLevel="0" collapsed="false">
      <c r="F2813" s="41" t="str">
        <f aca="false">IF(C2813="","",IFERROR(IF(ISNUMBER(SEARCH(Assumptions!$C$5,C2813)),Assumptions!$D$5,IF(ISNUMBER(SEARCH(Assumptions!$C$6,C2813)),Assumptions!$D$6,IF(ISNUMBER(SEARCH(Assumptions!$C$7,C2813)),Assumptions!$D$7,"Other Services"))),"Other Services"))</f>
        <v/>
      </c>
    </row>
    <row r="2814" customFormat="false" ht="15" hidden="false" customHeight="false" outlineLevel="0" collapsed="false">
      <c r="F2814" s="41" t="str">
        <f aca="false">IF(C2814="","",IFERROR(IF(ISNUMBER(SEARCH(Assumptions!$C$5,C2814)),Assumptions!$D$5,IF(ISNUMBER(SEARCH(Assumptions!$C$6,C2814)),Assumptions!$D$6,IF(ISNUMBER(SEARCH(Assumptions!$C$7,C2814)),Assumptions!$D$7,"Other Services"))),"Other Services"))</f>
        <v/>
      </c>
    </row>
    <row r="2815" customFormat="false" ht="15" hidden="false" customHeight="false" outlineLevel="0" collapsed="false">
      <c r="F2815" s="41" t="str">
        <f aca="false">IF(C2815="","",IFERROR(IF(ISNUMBER(SEARCH(Assumptions!$C$5,C2815)),Assumptions!$D$5,IF(ISNUMBER(SEARCH(Assumptions!$C$6,C2815)),Assumptions!$D$6,IF(ISNUMBER(SEARCH(Assumptions!$C$7,C2815)),Assumptions!$D$7,"Other Services"))),"Other Services"))</f>
        <v/>
      </c>
    </row>
    <row r="2816" customFormat="false" ht="15" hidden="false" customHeight="false" outlineLevel="0" collapsed="false">
      <c r="F2816" s="41" t="str">
        <f aca="false">IF(C2816="","",IFERROR(IF(ISNUMBER(SEARCH(Assumptions!$C$5,C2816)),Assumptions!$D$5,IF(ISNUMBER(SEARCH(Assumptions!$C$6,C2816)),Assumptions!$D$6,IF(ISNUMBER(SEARCH(Assumptions!$C$7,C2816)),Assumptions!$D$7,"Other Services"))),"Other Services"))</f>
        <v/>
      </c>
    </row>
    <row r="2817" customFormat="false" ht="15" hidden="false" customHeight="false" outlineLevel="0" collapsed="false">
      <c r="F2817" s="41" t="str">
        <f aca="false">IF(C2817="","",IFERROR(IF(ISNUMBER(SEARCH(Assumptions!$C$5,C2817)),Assumptions!$D$5,IF(ISNUMBER(SEARCH(Assumptions!$C$6,C2817)),Assumptions!$D$6,IF(ISNUMBER(SEARCH(Assumptions!$C$7,C2817)),Assumptions!$D$7,"Other Services"))),"Other Services"))</f>
        <v/>
      </c>
    </row>
    <row r="2818" customFormat="false" ht="15" hidden="false" customHeight="false" outlineLevel="0" collapsed="false">
      <c r="F2818" s="41" t="str">
        <f aca="false">IF(C2818="","",IFERROR(IF(ISNUMBER(SEARCH(Assumptions!$C$5,C2818)),Assumptions!$D$5,IF(ISNUMBER(SEARCH(Assumptions!$C$6,C2818)),Assumptions!$D$6,IF(ISNUMBER(SEARCH(Assumptions!$C$7,C2818)),Assumptions!$D$7,"Other Services"))),"Other Services"))</f>
        <v/>
      </c>
    </row>
    <row r="2819" customFormat="false" ht="15" hidden="false" customHeight="false" outlineLevel="0" collapsed="false">
      <c r="F2819" s="41" t="str">
        <f aca="false">IF(C2819="","",IFERROR(IF(ISNUMBER(SEARCH(Assumptions!$C$5,C2819)),Assumptions!$D$5,IF(ISNUMBER(SEARCH(Assumptions!$C$6,C2819)),Assumptions!$D$6,IF(ISNUMBER(SEARCH(Assumptions!$C$7,C2819)),Assumptions!$D$7,"Other Services"))),"Other Services"))</f>
        <v/>
      </c>
    </row>
    <row r="2820" customFormat="false" ht="15" hidden="false" customHeight="false" outlineLevel="0" collapsed="false">
      <c r="F2820" s="41" t="str">
        <f aca="false">IF(C2820="","",IFERROR(IF(ISNUMBER(SEARCH(Assumptions!$C$5,C2820)),Assumptions!$D$5,IF(ISNUMBER(SEARCH(Assumptions!$C$6,C2820)),Assumptions!$D$6,IF(ISNUMBER(SEARCH(Assumptions!$C$7,C2820)),Assumptions!$D$7,"Other Services"))),"Other Services"))</f>
        <v/>
      </c>
    </row>
    <row r="2821" customFormat="false" ht="15" hidden="false" customHeight="false" outlineLevel="0" collapsed="false">
      <c r="F2821" s="41" t="str">
        <f aca="false">IF(C2821="","",IFERROR(IF(ISNUMBER(SEARCH(Assumptions!$C$5,C2821)),Assumptions!$D$5,IF(ISNUMBER(SEARCH(Assumptions!$C$6,C2821)),Assumptions!$D$6,IF(ISNUMBER(SEARCH(Assumptions!$C$7,C2821)),Assumptions!$D$7,"Other Services"))),"Other Services"))</f>
        <v/>
      </c>
    </row>
    <row r="2822" customFormat="false" ht="15" hidden="false" customHeight="false" outlineLevel="0" collapsed="false">
      <c r="F2822" s="41" t="str">
        <f aca="false">IF(C2822="","",IFERROR(IF(ISNUMBER(SEARCH(Assumptions!$C$5,C2822)),Assumptions!$D$5,IF(ISNUMBER(SEARCH(Assumptions!$C$6,C2822)),Assumptions!$D$6,IF(ISNUMBER(SEARCH(Assumptions!$C$7,C2822)),Assumptions!$D$7,"Other Services"))),"Other Services"))</f>
        <v/>
      </c>
    </row>
    <row r="2823" customFormat="false" ht="15" hidden="false" customHeight="false" outlineLevel="0" collapsed="false">
      <c r="F2823" s="41" t="str">
        <f aca="false">IF(C2823="","",IFERROR(IF(ISNUMBER(SEARCH(Assumptions!$C$5,C2823)),Assumptions!$D$5,IF(ISNUMBER(SEARCH(Assumptions!$C$6,C2823)),Assumptions!$D$6,IF(ISNUMBER(SEARCH(Assumptions!$C$7,C2823)),Assumptions!$D$7,"Other Services"))),"Other Services"))</f>
        <v/>
      </c>
    </row>
    <row r="2824" customFormat="false" ht="15" hidden="false" customHeight="false" outlineLevel="0" collapsed="false">
      <c r="F2824" s="41" t="str">
        <f aca="false">IF(C2824="","",IFERROR(IF(ISNUMBER(SEARCH(Assumptions!$C$5,C2824)),Assumptions!$D$5,IF(ISNUMBER(SEARCH(Assumptions!$C$6,C2824)),Assumptions!$D$6,IF(ISNUMBER(SEARCH(Assumptions!$C$7,C2824)),Assumptions!$D$7,"Other Services"))),"Other Services"))</f>
        <v/>
      </c>
    </row>
    <row r="2825" customFormat="false" ht="15" hidden="false" customHeight="false" outlineLevel="0" collapsed="false">
      <c r="F2825" s="41" t="str">
        <f aca="false">IF(C2825="","",IFERROR(IF(ISNUMBER(SEARCH(Assumptions!$C$5,C2825)),Assumptions!$D$5,IF(ISNUMBER(SEARCH(Assumptions!$C$6,C2825)),Assumptions!$D$6,IF(ISNUMBER(SEARCH(Assumptions!$C$7,C2825)),Assumptions!$D$7,"Other Services"))),"Other Services"))</f>
        <v/>
      </c>
    </row>
    <row r="2826" customFormat="false" ht="15" hidden="false" customHeight="false" outlineLevel="0" collapsed="false">
      <c r="F2826" s="41" t="str">
        <f aca="false">IF(C2826="","",IFERROR(IF(ISNUMBER(SEARCH(Assumptions!$C$5,C2826)),Assumptions!$D$5,IF(ISNUMBER(SEARCH(Assumptions!$C$6,C2826)),Assumptions!$D$6,IF(ISNUMBER(SEARCH(Assumptions!$C$7,C2826)),Assumptions!$D$7,"Other Services"))),"Other Services"))</f>
        <v/>
      </c>
    </row>
    <row r="2827" customFormat="false" ht="15" hidden="false" customHeight="false" outlineLevel="0" collapsed="false">
      <c r="F2827" s="41" t="str">
        <f aca="false">IF(C2827="","",IFERROR(IF(ISNUMBER(SEARCH(Assumptions!$C$5,C2827)),Assumptions!$D$5,IF(ISNUMBER(SEARCH(Assumptions!$C$6,C2827)),Assumptions!$D$6,IF(ISNUMBER(SEARCH(Assumptions!$C$7,C2827)),Assumptions!$D$7,"Other Services"))),"Other Services"))</f>
        <v/>
      </c>
    </row>
    <row r="2828" customFormat="false" ht="15" hidden="false" customHeight="false" outlineLevel="0" collapsed="false">
      <c r="F2828" s="41" t="str">
        <f aca="false">IF(C2828="","",IFERROR(IF(ISNUMBER(SEARCH(Assumptions!$C$5,C2828)),Assumptions!$D$5,IF(ISNUMBER(SEARCH(Assumptions!$C$6,C2828)),Assumptions!$D$6,IF(ISNUMBER(SEARCH(Assumptions!$C$7,C2828)),Assumptions!$D$7,"Other Services"))),"Other Services"))</f>
        <v/>
      </c>
    </row>
    <row r="2829" customFormat="false" ht="15" hidden="false" customHeight="false" outlineLevel="0" collapsed="false">
      <c r="F2829" s="41" t="str">
        <f aca="false">IF(C2829="","",IFERROR(IF(ISNUMBER(SEARCH(Assumptions!$C$5,C2829)),Assumptions!$D$5,IF(ISNUMBER(SEARCH(Assumptions!$C$6,C2829)),Assumptions!$D$6,IF(ISNUMBER(SEARCH(Assumptions!$C$7,C2829)),Assumptions!$D$7,"Other Services"))),"Other Services"))</f>
        <v/>
      </c>
    </row>
    <row r="2830" customFormat="false" ht="15" hidden="false" customHeight="false" outlineLevel="0" collapsed="false">
      <c r="F2830" s="41" t="str">
        <f aca="false">IF(C2830="","",IFERROR(IF(ISNUMBER(SEARCH(Assumptions!$C$5,C2830)),Assumptions!$D$5,IF(ISNUMBER(SEARCH(Assumptions!$C$6,C2830)),Assumptions!$D$6,IF(ISNUMBER(SEARCH(Assumptions!$C$7,C2830)),Assumptions!$D$7,"Other Services"))),"Other Services"))</f>
        <v/>
      </c>
    </row>
    <row r="2831" customFormat="false" ht="15" hidden="false" customHeight="false" outlineLevel="0" collapsed="false">
      <c r="F2831" s="41" t="str">
        <f aca="false">IF(C2831="","",IFERROR(IF(ISNUMBER(SEARCH(Assumptions!$C$5,C2831)),Assumptions!$D$5,IF(ISNUMBER(SEARCH(Assumptions!$C$6,C2831)),Assumptions!$D$6,IF(ISNUMBER(SEARCH(Assumptions!$C$7,C2831)),Assumptions!$D$7,"Other Services"))),"Other Services"))</f>
        <v/>
      </c>
    </row>
    <row r="2832" customFormat="false" ht="15" hidden="false" customHeight="false" outlineLevel="0" collapsed="false">
      <c r="F2832" s="41" t="str">
        <f aca="false">IF(C2832="","",IFERROR(IF(ISNUMBER(SEARCH(Assumptions!$C$5,C2832)),Assumptions!$D$5,IF(ISNUMBER(SEARCH(Assumptions!$C$6,C2832)),Assumptions!$D$6,IF(ISNUMBER(SEARCH(Assumptions!$C$7,C2832)),Assumptions!$D$7,"Other Services"))),"Other Services"))</f>
        <v/>
      </c>
    </row>
    <row r="2833" customFormat="false" ht="15" hidden="false" customHeight="false" outlineLevel="0" collapsed="false">
      <c r="F2833" s="41" t="str">
        <f aca="false">IF(C2833="","",IFERROR(IF(ISNUMBER(SEARCH(Assumptions!$C$5,C2833)),Assumptions!$D$5,IF(ISNUMBER(SEARCH(Assumptions!$C$6,C2833)),Assumptions!$D$6,IF(ISNUMBER(SEARCH(Assumptions!$C$7,C2833)),Assumptions!$D$7,"Other Services"))),"Other Services"))</f>
        <v/>
      </c>
    </row>
    <row r="2834" customFormat="false" ht="15" hidden="false" customHeight="false" outlineLevel="0" collapsed="false">
      <c r="F2834" s="41" t="str">
        <f aca="false">IF(C2834="","",IFERROR(IF(ISNUMBER(SEARCH(Assumptions!$C$5,C2834)),Assumptions!$D$5,IF(ISNUMBER(SEARCH(Assumptions!$C$6,C2834)),Assumptions!$D$6,IF(ISNUMBER(SEARCH(Assumptions!$C$7,C2834)),Assumptions!$D$7,"Other Services"))),"Other Services"))</f>
        <v/>
      </c>
    </row>
    <row r="2835" customFormat="false" ht="15" hidden="false" customHeight="false" outlineLevel="0" collapsed="false">
      <c r="F2835" s="41" t="str">
        <f aca="false">IF(C2835="","",IFERROR(IF(ISNUMBER(SEARCH(Assumptions!$C$5,C2835)),Assumptions!$D$5,IF(ISNUMBER(SEARCH(Assumptions!$C$6,C2835)),Assumptions!$D$6,IF(ISNUMBER(SEARCH(Assumptions!$C$7,C2835)),Assumptions!$D$7,"Other Services"))),"Other Services"))</f>
        <v/>
      </c>
    </row>
    <row r="2836" customFormat="false" ht="15" hidden="false" customHeight="false" outlineLevel="0" collapsed="false">
      <c r="F2836" s="41" t="str">
        <f aca="false">IF(C2836="","",IFERROR(IF(ISNUMBER(SEARCH(Assumptions!$C$5,C2836)),Assumptions!$D$5,IF(ISNUMBER(SEARCH(Assumptions!$C$6,C2836)),Assumptions!$D$6,IF(ISNUMBER(SEARCH(Assumptions!$C$7,C2836)),Assumptions!$D$7,"Other Services"))),"Other Services"))</f>
        <v/>
      </c>
    </row>
    <row r="2837" customFormat="false" ht="15" hidden="false" customHeight="false" outlineLevel="0" collapsed="false">
      <c r="F2837" s="41" t="str">
        <f aca="false">IF(C2837="","",IFERROR(IF(ISNUMBER(SEARCH(Assumptions!$C$5,C2837)),Assumptions!$D$5,IF(ISNUMBER(SEARCH(Assumptions!$C$6,C2837)),Assumptions!$D$6,IF(ISNUMBER(SEARCH(Assumptions!$C$7,C2837)),Assumptions!$D$7,"Other Services"))),"Other Services"))</f>
        <v/>
      </c>
    </row>
    <row r="2838" customFormat="false" ht="15" hidden="false" customHeight="false" outlineLevel="0" collapsed="false">
      <c r="F2838" s="41" t="str">
        <f aca="false">IF(C2838="","",IFERROR(IF(ISNUMBER(SEARCH(Assumptions!$C$5,C2838)),Assumptions!$D$5,IF(ISNUMBER(SEARCH(Assumptions!$C$6,C2838)),Assumptions!$D$6,IF(ISNUMBER(SEARCH(Assumptions!$C$7,C2838)),Assumptions!$D$7,"Other Services"))),"Other Services"))</f>
        <v/>
      </c>
    </row>
    <row r="2839" customFormat="false" ht="15" hidden="false" customHeight="false" outlineLevel="0" collapsed="false">
      <c r="F2839" s="41" t="str">
        <f aca="false">IF(C2839="","",IFERROR(IF(ISNUMBER(SEARCH(Assumptions!$C$5,C2839)),Assumptions!$D$5,IF(ISNUMBER(SEARCH(Assumptions!$C$6,C2839)),Assumptions!$D$6,IF(ISNUMBER(SEARCH(Assumptions!$C$7,C2839)),Assumptions!$D$7,"Other Services"))),"Other Services"))</f>
        <v/>
      </c>
    </row>
    <row r="2840" customFormat="false" ht="15" hidden="false" customHeight="false" outlineLevel="0" collapsed="false">
      <c r="F2840" s="41" t="str">
        <f aca="false">IF(C2840="","",IFERROR(IF(ISNUMBER(SEARCH(Assumptions!$C$5,C2840)),Assumptions!$D$5,IF(ISNUMBER(SEARCH(Assumptions!$C$6,C2840)),Assumptions!$D$6,IF(ISNUMBER(SEARCH(Assumptions!$C$7,C2840)),Assumptions!$D$7,"Other Services"))),"Other Services"))</f>
        <v/>
      </c>
    </row>
    <row r="2841" customFormat="false" ht="15" hidden="false" customHeight="false" outlineLevel="0" collapsed="false">
      <c r="F2841" s="41" t="str">
        <f aca="false">IF(C2841="","",IFERROR(IF(ISNUMBER(SEARCH(Assumptions!$C$5,C2841)),Assumptions!$D$5,IF(ISNUMBER(SEARCH(Assumptions!$C$6,C2841)),Assumptions!$D$6,IF(ISNUMBER(SEARCH(Assumptions!$C$7,C2841)),Assumptions!$D$7,"Other Services"))),"Other Services"))</f>
        <v/>
      </c>
    </row>
    <row r="2842" customFormat="false" ht="15" hidden="false" customHeight="false" outlineLevel="0" collapsed="false">
      <c r="F2842" s="41" t="str">
        <f aca="false">IF(C2842="","",IFERROR(IF(ISNUMBER(SEARCH(Assumptions!$C$5,C2842)),Assumptions!$D$5,IF(ISNUMBER(SEARCH(Assumptions!$C$6,C2842)),Assumptions!$D$6,IF(ISNUMBER(SEARCH(Assumptions!$C$7,C2842)),Assumptions!$D$7,"Other Services"))),"Other Services"))</f>
        <v/>
      </c>
    </row>
    <row r="2843" customFormat="false" ht="15" hidden="false" customHeight="false" outlineLevel="0" collapsed="false">
      <c r="F2843" s="41" t="str">
        <f aca="false">IF(C2843="","",IFERROR(IF(ISNUMBER(SEARCH(Assumptions!$C$5,C2843)),Assumptions!$D$5,IF(ISNUMBER(SEARCH(Assumptions!$C$6,C2843)),Assumptions!$D$6,IF(ISNUMBER(SEARCH(Assumptions!$C$7,C2843)),Assumptions!$D$7,"Other Services"))),"Other Services"))</f>
        <v/>
      </c>
    </row>
    <row r="2844" customFormat="false" ht="15" hidden="false" customHeight="false" outlineLevel="0" collapsed="false">
      <c r="F2844" s="41" t="str">
        <f aca="false">IF(C2844="","",IFERROR(IF(ISNUMBER(SEARCH(Assumptions!$C$5,C2844)),Assumptions!$D$5,IF(ISNUMBER(SEARCH(Assumptions!$C$6,C2844)),Assumptions!$D$6,IF(ISNUMBER(SEARCH(Assumptions!$C$7,C2844)),Assumptions!$D$7,"Other Services"))),"Other Services"))</f>
        <v/>
      </c>
    </row>
    <row r="2845" customFormat="false" ht="15" hidden="false" customHeight="false" outlineLevel="0" collapsed="false">
      <c r="F2845" s="41" t="str">
        <f aca="false">IF(C2845="","",IFERROR(IF(ISNUMBER(SEARCH(Assumptions!$C$5,C2845)),Assumptions!$D$5,IF(ISNUMBER(SEARCH(Assumptions!$C$6,C2845)),Assumptions!$D$6,IF(ISNUMBER(SEARCH(Assumptions!$C$7,C2845)),Assumptions!$D$7,"Other Services"))),"Other Services"))</f>
        <v/>
      </c>
    </row>
    <row r="2846" customFormat="false" ht="15" hidden="false" customHeight="false" outlineLevel="0" collapsed="false">
      <c r="F2846" s="41" t="str">
        <f aca="false">IF(C2846="","",IFERROR(IF(ISNUMBER(SEARCH(Assumptions!$C$5,C2846)),Assumptions!$D$5,IF(ISNUMBER(SEARCH(Assumptions!$C$6,C2846)),Assumptions!$D$6,IF(ISNUMBER(SEARCH(Assumptions!$C$7,C2846)),Assumptions!$D$7,"Other Services"))),"Other Services"))</f>
        <v/>
      </c>
    </row>
    <row r="2847" customFormat="false" ht="15" hidden="false" customHeight="false" outlineLevel="0" collapsed="false">
      <c r="F2847" s="41" t="str">
        <f aca="false">IF(C2847="","",IFERROR(IF(ISNUMBER(SEARCH(Assumptions!$C$5,C2847)),Assumptions!$D$5,IF(ISNUMBER(SEARCH(Assumptions!$C$6,C2847)),Assumptions!$D$6,IF(ISNUMBER(SEARCH(Assumptions!$C$7,C2847)),Assumptions!$D$7,"Other Services"))),"Other Services"))</f>
        <v/>
      </c>
    </row>
    <row r="2848" customFormat="false" ht="15" hidden="false" customHeight="false" outlineLevel="0" collapsed="false">
      <c r="F2848" s="41" t="str">
        <f aca="false">IF(C2848="","",IFERROR(IF(ISNUMBER(SEARCH(Assumptions!$C$5,C2848)),Assumptions!$D$5,IF(ISNUMBER(SEARCH(Assumptions!$C$6,C2848)),Assumptions!$D$6,IF(ISNUMBER(SEARCH(Assumptions!$C$7,C2848)),Assumptions!$D$7,"Other Services"))),"Other Services"))</f>
        <v/>
      </c>
    </row>
    <row r="2849" customFormat="false" ht="15" hidden="false" customHeight="false" outlineLevel="0" collapsed="false">
      <c r="F2849" s="41" t="str">
        <f aca="false">IF(C2849="","",IFERROR(IF(ISNUMBER(SEARCH(Assumptions!$C$5,C2849)),Assumptions!$D$5,IF(ISNUMBER(SEARCH(Assumptions!$C$6,C2849)),Assumptions!$D$6,IF(ISNUMBER(SEARCH(Assumptions!$C$7,C2849)),Assumptions!$D$7,"Other Services"))),"Other Services"))</f>
        <v/>
      </c>
    </row>
    <row r="2850" customFormat="false" ht="15" hidden="false" customHeight="false" outlineLevel="0" collapsed="false">
      <c r="F2850" s="41" t="str">
        <f aca="false">IF(C2850="","",IFERROR(IF(ISNUMBER(SEARCH(Assumptions!$C$5,C2850)),Assumptions!$D$5,IF(ISNUMBER(SEARCH(Assumptions!$C$6,C2850)),Assumptions!$D$6,IF(ISNUMBER(SEARCH(Assumptions!$C$7,C2850)),Assumptions!$D$7,"Other Services"))),"Other Services"))</f>
        <v/>
      </c>
    </row>
    <row r="2851" customFormat="false" ht="15" hidden="false" customHeight="false" outlineLevel="0" collapsed="false">
      <c r="F2851" s="41" t="str">
        <f aca="false">IF(C2851="","",IFERROR(IF(ISNUMBER(SEARCH(Assumptions!$C$5,C2851)),Assumptions!$D$5,IF(ISNUMBER(SEARCH(Assumptions!$C$6,C2851)),Assumptions!$D$6,IF(ISNUMBER(SEARCH(Assumptions!$C$7,C2851)),Assumptions!$D$7,"Other Services"))),"Other Services"))</f>
        <v/>
      </c>
    </row>
    <row r="2852" customFormat="false" ht="15" hidden="false" customHeight="false" outlineLevel="0" collapsed="false">
      <c r="F2852" s="41" t="str">
        <f aca="false">IF(C2852="","",IFERROR(IF(ISNUMBER(SEARCH(Assumptions!$C$5,C2852)),Assumptions!$D$5,IF(ISNUMBER(SEARCH(Assumptions!$C$6,C2852)),Assumptions!$D$6,IF(ISNUMBER(SEARCH(Assumptions!$C$7,C2852)),Assumptions!$D$7,"Other Services"))),"Other Services"))</f>
        <v/>
      </c>
    </row>
    <row r="2853" customFormat="false" ht="15" hidden="false" customHeight="false" outlineLevel="0" collapsed="false">
      <c r="F2853" s="41" t="str">
        <f aca="false">IF(C2853="","",IFERROR(IF(ISNUMBER(SEARCH(Assumptions!$C$5,C2853)),Assumptions!$D$5,IF(ISNUMBER(SEARCH(Assumptions!$C$6,C2853)),Assumptions!$D$6,IF(ISNUMBER(SEARCH(Assumptions!$C$7,C2853)),Assumptions!$D$7,"Other Services"))),"Other Services"))</f>
        <v/>
      </c>
    </row>
    <row r="2854" customFormat="false" ht="15" hidden="false" customHeight="false" outlineLevel="0" collapsed="false">
      <c r="F2854" s="41" t="str">
        <f aca="false">IF(C2854="","",IFERROR(IF(ISNUMBER(SEARCH(Assumptions!$C$5,C2854)),Assumptions!$D$5,IF(ISNUMBER(SEARCH(Assumptions!$C$6,C2854)),Assumptions!$D$6,IF(ISNUMBER(SEARCH(Assumptions!$C$7,C2854)),Assumptions!$D$7,"Other Services"))),"Other Services"))</f>
        <v/>
      </c>
    </row>
    <row r="2855" customFormat="false" ht="15" hidden="false" customHeight="false" outlineLevel="0" collapsed="false">
      <c r="F2855" s="41" t="str">
        <f aca="false">IF(C2855="","",IFERROR(IF(ISNUMBER(SEARCH(Assumptions!$C$5,C2855)),Assumptions!$D$5,IF(ISNUMBER(SEARCH(Assumptions!$C$6,C2855)),Assumptions!$D$6,IF(ISNUMBER(SEARCH(Assumptions!$C$7,C2855)),Assumptions!$D$7,"Other Services"))),"Other Services"))</f>
        <v/>
      </c>
    </row>
    <row r="2856" customFormat="false" ht="15" hidden="false" customHeight="false" outlineLevel="0" collapsed="false">
      <c r="F2856" s="41" t="str">
        <f aca="false">IF(C2856="","",IFERROR(IF(ISNUMBER(SEARCH(Assumptions!$C$5,C2856)),Assumptions!$D$5,IF(ISNUMBER(SEARCH(Assumptions!$C$6,C2856)),Assumptions!$D$6,IF(ISNUMBER(SEARCH(Assumptions!$C$7,C2856)),Assumptions!$D$7,"Other Services"))),"Other Services"))</f>
        <v/>
      </c>
    </row>
    <row r="2857" customFormat="false" ht="15" hidden="false" customHeight="false" outlineLevel="0" collapsed="false">
      <c r="F2857" s="41" t="str">
        <f aca="false">IF(C2857="","",IFERROR(IF(ISNUMBER(SEARCH(Assumptions!$C$5,C2857)),Assumptions!$D$5,IF(ISNUMBER(SEARCH(Assumptions!$C$6,C2857)),Assumptions!$D$6,IF(ISNUMBER(SEARCH(Assumptions!$C$7,C2857)),Assumptions!$D$7,"Other Services"))),"Other Services"))</f>
        <v/>
      </c>
    </row>
    <row r="2858" customFormat="false" ht="15" hidden="false" customHeight="false" outlineLevel="0" collapsed="false">
      <c r="F2858" s="41" t="str">
        <f aca="false">IF(C2858="","",IFERROR(IF(ISNUMBER(SEARCH(Assumptions!$C$5,C2858)),Assumptions!$D$5,IF(ISNUMBER(SEARCH(Assumptions!$C$6,C2858)),Assumptions!$D$6,IF(ISNUMBER(SEARCH(Assumptions!$C$7,C2858)),Assumptions!$D$7,"Other Services"))),"Other Services"))</f>
        <v/>
      </c>
    </row>
    <row r="2859" customFormat="false" ht="15" hidden="false" customHeight="false" outlineLevel="0" collapsed="false">
      <c r="F2859" s="41" t="str">
        <f aca="false">IF(C2859="","",IFERROR(IF(ISNUMBER(SEARCH(Assumptions!$C$5,C2859)),Assumptions!$D$5,IF(ISNUMBER(SEARCH(Assumptions!$C$6,C2859)),Assumptions!$D$6,IF(ISNUMBER(SEARCH(Assumptions!$C$7,C2859)),Assumptions!$D$7,"Other Services"))),"Other Services"))</f>
        <v/>
      </c>
    </row>
    <row r="2860" customFormat="false" ht="15" hidden="false" customHeight="false" outlineLevel="0" collapsed="false">
      <c r="F2860" s="41" t="str">
        <f aca="false">IF(C2860="","",IFERROR(IF(ISNUMBER(SEARCH(Assumptions!$C$5,C2860)),Assumptions!$D$5,IF(ISNUMBER(SEARCH(Assumptions!$C$6,C2860)),Assumptions!$D$6,IF(ISNUMBER(SEARCH(Assumptions!$C$7,C2860)),Assumptions!$D$7,"Other Services"))),"Other Services"))</f>
        <v/>
      </c>
    </row>
    <row r="2861" customFormat="false" ht="15" hidden="false" customHeight="false" outlineLevel="0" collapsed="false">
      <c r="F2861" s="41" t="str">
        <f aca="false">IF(C2861="","",IFERROR(IF(ISNUMBER(SEARCH(Assumptions!$C$5,C2861)),Assumptions!$D$5,IF(ISNUMBER(SEARCH(Assumptions!$C$6,C2861)),Assumptions!$D$6,IF(ISNUMBER(SEARCH(Assumptions!$C$7,C2861)),Assumptions!$D$7,"Other Services"))),"Other Services"))</f>
        <v/>
      </c>
    </row>
    <row r="2862" customFormat="false" ht="15" hidden="false" customHeight="false" outlineLevel="0" collapsed="false">
      <c r="F2862" s="41" t="str">
        <f aca="false">IF(C2862="","",IFERROR(IF(ISNUMBER(SEARCH(Assumptions!$C$5,C2862)),Assumptions!$D$5,IF(ISNUMBER(SEARCH(Assumptions!$C$6,C2862)),Assumptions!$D$6,IF(ISNUMBER(SEARCH(Assumptions!$C$7,C2862)),Assumptions!$D$7,"Other Services"))),"Other Services"))</f>
        <v/>
      </c>
    </row>
    <row r="2863" customFormat="false" ht="15" hidden="false" customHeight="false" outlineLevel="0" collapsed="false">
      <c r="F2863" s="41" t="str">
        <f aca="false">IF(C2863="","",IFERROR(IF(ISNUMBER(SEARCH(Assumptions!$C$5,C2863)),Assumptions!$D$5,IF(ISNUMBER(SEARCH(Assumptions!$C$6,C2863)),Assumptions!$D$6,IF(ISNUMBER(SEARCH(Assumptions!$C$7,C2863)),Assumptions!$D$7,"Other Services"))),"Other Services"))</f>
        <v/>
      </c>
    </row>
    <row r="2864" customFormat="false" ht="15" hidden="false" customHeight="false" outlineLevel="0" collapsed="false">
      <c r="F2864" s="41" t="str">
        <f aca="false">IF(C2864="","",IFERROR(IF(ISNUMBER(SEARCH(Assumptions!$C$5,C2864)),Assumptions!$D$5,IF(ISNUMBER(SEARCH(Assumptions!$C$6,C2864)),Assumptions!$D$6,IF(ISNUMBER(SEARCH(Assumptions!$C$7,C2864)),Assumptions!$D$7,"Other Services"))),"Other Services"))</f>
        <v/>
      </c>
    </row>
    <row r="2865" customFormat="false" ht="15" hidden="false" customHeight="false" outlineLevel="0" collapsed="false">
      <c r="F2865" s="41" t="str">
        <f aca="false">IF(C2865="","",IFERROR(IF(ISNUMBER(SEARCH(Assumptions!$C$5,C2865)),Assumptions!$D$5,IF(ISNUMBER(SEARCH(Assumptions!$C$6,C2865)),Assumptions!$D$6,IF(ISNUMBER(SEARCH(Assumptions!$C$7,C2865)),Assumptions!$D$7,"Other Services"))),"Other Services"))</f>
        <v/>
      </c>
    </row>
    <row r="2866" customFormat="false" ht="15" hidden="false" customHeight="false" outlineLevel="0" collapsed="false">
      <c r="F2866" s="41" t="str">
        <f aca="false">IF(C2866="","",IFERROR(IF(ISNUMBER(SEARCH(Assumptions!$C$5,C2866)),Assumptions!$D$5,IF(ISNUMBER(SEARCH(Assumptions!$C$6,C2866)),Assumptions!$D$6,IF(ISNUMBER(SEARCH(Assumptions!$C$7,C2866)),Assumptions!$D$7,"Other Services"))),"Other Services"))</f>
        <v/>
      </c>
    </row>
    <row r="2867" customFormat="false" ht="15" hidden="false" customHeight="false" outlineLevel="0" collapsed="false">
      <c r="F2867" s="41" t="str">
        <f aca="false">IF(C2867="","",IFERROR(IF(ISNUMBER(SEARCH(Assumptions!$C$5,C2867)),Assumptions!$D$5,IF(ISNUMBER(SEARCH(Assumptions!$C$6,C2867)),Assumptions!$D$6,IF(ISNUMBER(SEARCH(Assumptions!$C$7,C2867)),Assumptions!$D$7,"Other Services"))),"Other Services"))</f>
        <v/>
      </c>
    </row>
    <row r="2868" customFormat="false" ht="15" hidden="false" customHeight="false" outlineLevel="0" collapsed="false">
      <c r="F2868" s="41" t="str">
        <f aca="false">IF(C2868="","",IFERROR(IF(ISNUMBER(SEARCH(Assumptions!$C$5,C2868)),Assumptions!$D$5,IF(ISNUMBER(SEARCH(Assumptions!$C$6,C2868)),Assumptions!$D$6,IF(ISNUMBER(SEARCH(Assumptions!$C$7,C2868)),Assumptions!$D$7,"Other Services"))),"Other Services"))</f>
        <v/>
      </c>
    </row>
    <row r="2869" customFormat="false" ht="15" hidden="false" customHeight="false" outlineLevel="0" collapsed="false">
      <c r="F2869" s="41" t="str">
        <f aca="false">IF(C2869="","",IFERROR(IF(ISNUMBER(SEARCH(Assumptions!$C$5,C2869)),Assumptions!$D$5,IF(ISNUMBER(SEARCH(Assumptions!$C$6,C2869)),Assumptions!$D$6,IF(ISNUMBER(SEARCH(Assumptions!$C$7,C2869)),Assumptions!$D$7,"Other Services"))),"Other Services"))</f>
        <v/>
      </c>
    </row>
    <row r="2870" customFormat="false" ht="15" hidden="false" customHeight="false" outlineLevel="0" collapsed="false">
      <c r="F2870" s="41" t="str">
        <f aca="false">IF(C2870="","",IFERROR(IF(ISNUMBER(SEARCH(Assumptions!$C$5,C2870)),Assumptions!$D$5,IF(ISNUMBER(SEARCH(Assumptions!$C$6,C2870)),Assumptions!$D$6,IF(ISNUMBER(SEARCH(Assumptions!$C$7,C2870)),Assumptions!$D$7,"Other Services"))),"Other Services"))</f>
        <v/>
      </c>
    </row>
    <row r="2871" customFormat="false" ht="15" hidden="false" customHeight="false" outlineLevel="0" collapsed="false">
      <c r="F2871" s="41" t="str">
        <f aca="false">IF(C2871="","",IFERROR(IF(ISNUMBER(SEARCH(Assumptions!$C$5,C2871)),Assumptions!$D$5,IF(ISNUMBER(SEARCH(Assumptions!$C$6,C2871)),Assumptions!$D$6,IF(ISNUMBER(SEARCH(Assumptions!$C$7,C2871)),Assumptions!$D$7,"Other Services"))),"Other Services"))</f>
        <v/>
      </c>
    </row>
    <row r="2872" customFormat="false" ht="15" hidden="false" customHeight="false" outlineLevel="0" collapsed="false">
      <c r="F2872" s="41" t="str">
        <f aca="false">IF(C2872="","",IFERROR(IF(ISNUMBER(SEARCH(Assumptions!$C$5,C2872)),Assumptions!$D$5,IF(ISNUMBER(SEARCH(Assumptions!$C$6,C2872)),Assumptions!$D$6,IF(ISNUMBER(SEARCH(Assumptions!$C$7,C2872)),Assumptions!$D$7,"Other Services"))),"Other Services"))</f>
        <v/>
      </c>
    </row>
    <row r="2873" customFormat="false" ht="15" hidden="false" customHeight="false" outlineLevel="0" collapsed="false">
      <c r="F2873" s="41" t="str">
        <f aca="false">IF(C2873="","",IFERROR(IF(ISNUMBER(SEARCH(Assumptions!$C$5,C2873)),Assumptions!$D$5,IF(ISNUMBER(SEARCH(Assumptions!$C$6,C2873)),Assumptions!$D$6,IF(ISNUMBER(SEARCH(Assumptions!$C$7,C2873)),Assumptions!$D$7,"Other Services"))),"Other Services"))</f>
        <v/>
      </c>
    </row>
    <row r="2874" customFormat="false" ht="15" hidden="false" customHeight="false" outlineLevel="0" collapsed="false">
      <c r="F2874" s="41" t="str">
        <f aca="false">IF(C2874="","",IFERROR(IF(ISNUMBER(SEARCH(Assumptions!$C$5,C2874)),Assumptions!$D$5,IF(ISNUMBER(SEARCH(Assumptions!$C$6,C2874)),Assumptions!$D$6,IF(ISNUMBER(SEARCH(Assumptions!$C$7,C2874)),Assumptions!$D$7,"Other Services"))),"Other Services"))</f>
        <v/>
      </c>
    </row>
    <row r="2875" customFormat="false" ht="15" hidden="false" customHeight="false" outlineLevel="0" collapsed="false">
      <c r="F2875" s="41" t="str">
        <f aca="false">IF(C2875="","",IFERROR(IF(ISNUMBER(SEARCH(Assumptions!$C$5,C2875)),Assumptions!$D$5,IF(ISNUMBER(SEARCH(Assumptions!$C$6,C2875)),Assumptions!$D$6,IF(ISNUMBER(SEARCH(Assumptions!$C$7,C2875)),Assumptions!$D$7,"Other Services"))),"Other Services"))</f>
        <v/>
      </c>
    </row>
    <row r="2876" customFormat="false" ht="15" hidden="false" customHeight="false" outlineLevel="0" collapsed="false">
      <c r="F2876" s="41" t="str">
        <f aca="false">IF(C2876="","",IFERROR(IF(ISNUMBER(SEARCH(Assumptions!$C$5,C2876)),Assumptions!$D$5,IF(ISNUMBER(SEARCH(Assumptions!$C$6,C2876)),Assumptions!$D$6,IF(ISNUMBER(SEARCH(Assumptions!$C$7,C2876)),Assumptions!$D$7,"Other Services"))),"Other Services"))</f>
        <v/>
      </c>
    </row>
    <row r="2877" customFormat="false" ht="15" hidden="false" customHeight="false" outlineLevel="0" collapsed="false">
      <c r="F2877" s="41" t="str">
        <f aca="false">IF(C2877="","",IFERROR(IF(ISNUMBER(SEARCH(Assumptions!$C$5,C2877)),Assumptions!$D$5,IF(ISNUMBER(SEARCH(Assumptions!$C$6,C2877)),Assumptions!$D$6,IF(ISNUMBER(SEARCH(Assumptions!$C$7,C2877)),Assumptions!$D$7,"Other Services"))),"Other Services"))</f>
        <v/>
      </c>
    </row>
    <row r="2878" customFormat="false" ht="15" hidden="false" customHeight="false" outlineLevel="0" collapsed="false">
      <c r="F2878" s="41" t="str">
        <f aca="false">IF(C2878="","",IFERROR(IF(ISNUMBER(SEARCH(Assumptions!$C$5,C2878)),Assumptions!$D$5,IF(ISNUMBER(SEARCH(Assumptions!$C$6,C2878)),Assumptions!$D$6,IF(ISNUMBER(SEARCH(Assumptions!$C$7,C2878)),Assumptions!$D$7,"Other Services"))),"Other Services"))</f>
        <v/>
      </c>
    </row>
    <row r="2879" customFormat="false" ht="15" hidden="false" customHeight="false" outlineLevel="0" collapsed="false">
      <c r="F2879" s="41" t="str">
        <f aca="false">IF(C2879="","",IFERROR(IF(ISNUMBER(SEARCH(Assumptions!$C$5,C2879)),Assumptions!$D$5,IF(ISNUMBER(SEARCH(Assumptions!$C$6,C2879)),Assumptions!$D$6,IF(ISNUMBER(SEARCH(Assumptions!$C$7,C2879)),Assumptions!$D$7,"Other Services"))),"Other Services"))</f>
        <v/>
      </c>
    </row>
    <row r="2880" customFormat="false" ht="15" hidden="false" customHeight="false" outlineLevel="0" collapsed="false">
      <c r="F2880" s="41" t="str">
        <f aca="false">IF(C2880="","",IFERROR(IF(ISNUMBER(SEARCH(Assumptions!$C$5,C2880)),Assumptions!$D$5,IF(ISNUMBER(SEARCH(Assumptions!$C$6,C2880)),Assumptions!$D$6,IF(ISNUMBER(SEARCH(Assumptions!$C$7,C2880)),Assumptions!$D$7,"Other Services"))),"Other Services"))</f>
        <v/>
      </c>
    </row>
    <row r="2881" customFormat="false" ht="15" hidden="false" customHeight="false" outlineLevel="0" collapsed="false">
      <c r="F2881" s="41" t="str">
        <f aca="false">IF(C2881="","",IFERROR(IF(ISNUMBER(SEARCH(Assumptions!$C$5,C2881)),Assumptions!$D$5,IF(ISNUMBER(SEARCH(Assumptions!$C$6,C2881)),Assumptions!$D$6,IF(ISNUMBER(SEARCH(Assumptions!$C$7,C2881)),Assumptions!$D$7,"Other Services"))),"Other Services"))</f>
        <v/>
      </c>
    </row>
    <row r="2882" customFormat="false" ht="15" hidden="false" customHeight="false" outlineLevel="0" collapsed="false">
      <c r="F2882" s="41" t="str">
        <f aca="false">IF(C2882="","",IFERROR(IF(ISNUMBER(SEARCH(Assumptions!$C$5,C2882)),Assumptions!$D$5,IF(ISNUMBER(SEARCH(Assumptions!$C$6,C2882)),Assumptions!$D$6,IF(ISNUMBER(SEARCH(Assumptions!$C$7,C2882)),Assumptions!$D$7,"Other Services"))),"Other Services"))</f>
        <v/>
      </c>
    </row>
    <row r="2883" customFormat="false" ht="15" hidden="false" customHeight="false" outlineLevel="0" collapsed="false">
      <c r="F2883" s="41" t="str">
        <f aca="false">IF(C2883="","",IFERROR(IF(ISNUMBER(SEARCH(Assumptions!$C$5,C2883)),Assumptions!$D$5,IF(ISNUMBER(SEARCH(Assumptions!$C$6,C2883)),Assumptions!$D$6,IF(ISNUMBER(SEARCH(Assumptions!$C$7,C2883)),Assumptions!$D$7,"Other Services"))),"Other Services"))</f>
        <v/>
      </c>
    </row>
    <row r="2884" customFormat="false" ht="15" hidden="false" customHeight="false" outlineLevel="0" collapsed="false">
      <c r="F2884" s="41" t="str">
        <f aca="false">IF(C2884="","",IFERROR(IF(ISNUMBER(SEARCH(Assumptions!$C$5,C2884)),Assumptions!$D$5,IF(ISNUMBER(SEARCH(Assumptions!$C$6,C2884)),Assumptions!$D$6,IF(ISNUMBER(SEARCH(Assumptions!$C$7,C2884)),Assumptions!$D$7,"Other Services"))),"Other Services"))</f>
        <v/>
      </c>
    </row>
    <row r="2885" customFormat="false" ht="15" hidden="false" customHeight="false" outlineLevel="0" collapsed="false">
      <c r="F2885" s="41" t="str">
        <f aca="false">IF(C2885="","",IFERROR(IF(ISNUMBER(SEARCH(Assumptions!$C$5,C2885)),Assumptions!$D$5,IF(ISNUMBER(SEARCH(Assumptions!$C$6,C2885)),Assumptions!$D$6,IF(ISNUMBER(SEARCH(Assumptions!$C$7,C2885)),Assumptions!$D$7,"Other Services"))),"Other Services"))</f>
        <v/>
      </c>
    </row>
    <row r="2886" customFormat="false" ht="15" hidden="false" customHeight="false" outlineLevel="0" collapsed="false">
      <c r="F2886" s="41" t="str">
        <f aca="false">IF(C2886="","",IFERROR(IF(ISNUMBER(SEARCH(Assumptions!$C$5,C2886)),Assumptions!$D$5,IF(ISNUMBER(SEARCH(Assumptions!$C$6,C2886)),Assumptions!$D$6,IF(ISNUMBER(SEARCH(Assumptions!$C$7,C2886)),Assumptions!$D$7,"Other Services"))),"Other Services"))</f>
        <v/>
      </c>
    </row>
    <row r="2887" customFormat="false" ht="15" hidden="false" customHeight="false" outlineLevel="0" collapsed="false">
      <c r="F2887" s="41" t="str">
        <f aca="false">IF(C2887="","",IFERROR(IF(ISNUMBER(SEARCH(Assumptions!$C$5,C2887)),Assumptions!$D$5,IF(ISNUMBER(SEARCH(Assumptions!$C$6,C2887)),Assumptions!$D$6,IF(ISNUMBER(SEARCH(Assumptions!$C$7,C2887)),Assumptions!$D$7,"Other Services"))),"Other Services"))</f>
        <v/>
      </c>
    </row>
    <row r="2888" customFormat="false" ht="15" hidden="false" customHeight="false" outlineLevel="0" collapsed="false">
      <c r="F2888" s="41" t="str">
        <f aca="false">IF(C2888="","",IFERROR(IF(ISNUMBER(SEARCH(Assumptions!$C$5,C2888)),Assumptions!$D$5,IF(ISNUMBER(SEARCH(Assumptions!$C$6,C2888)),Assumptions!$D$6,IF(ISNUMBER(SEARCH(Assumptions!$C$7,C2888)),Assumptions!$D$7,"Other Services"))),"Other Services"))</f>
        <v/>
      </c>
    </row>
    <row r="2889" customFormat="false" ht="15" hidden="false" customHeight="false" outlineLevel="0" collapsed="false">
      <c r="F2889" s="41" t="str">
        <f aca="false">IF(C2889="","",IFERROR(IF(ISNUMBER(SEARCH(Assumptions!$C$5,C2889)),Assumptions!$D$5,IF(ISNUMBER(SEARCH(Assumptions!$C$6,C2889)),Assumptions!$D$6,IF(ISNUMBER(SEARCH(Assumptions!$C$7,C2889)),Assumptions!$D$7,"Other Services"))),"Other Services"))</f>
        <v/>
      </c>
    </row>
    <row r="2890" customFormat="false" ht="15" hidden="false" customHeight="false" outlineLevel="0" collapsed="false">
      <c r="F2890" s="41" t="str">
        <f aca="false">IF(C2890="","",IFERROR(IF(ISNUMBER(SEARCH(Assumptions!$C$5,C2890)),Assumptions!$D$5,IF(ISNUMBER(SEARCH(Assumptions!$C$6,C2890)),Assumptions!$D$6,IF(ISNUMBER(SEARCH(Assumptions!$C$7,C2890)),Assumptions!$D$7,"Other Services"))),"Other Services"))</f>
        <v/>
      </c>
    </row>
    <row r="2891" customFormat="false" ht="15" hidden="false" customHeight="false" outlineLevel="0" collapsed="false">
      <c r="F2891" s="41" t="str">
        <f aca="false">IF(C2891="","",IFERROR(IF(ISNUMBER(SEARCH(Assumptions!$C$5,C2891)),Assumptions!$D$5,IF(ISNUMBER(SEARCH(Assumptions!$C$6,C2891)),Assumptions!$D$6,IF(ISNUMBER(SEARCH(Assumptions!$C$7,C2891)),Assumptions!$D$7,"Other Services"))),"Other Services"))</f>
        <v/>
      </c>
    </row>
    <row r="2892" customFormat="false" ht="15" hidden="false" customHeight="false" outlineLevel="0" collapsed="false">
      <c r="F2892" s="41" t="str">
        <f aca="false">IF(C2892="","",IFERROR(IF(ISNUMBER(SEARCH(Assumptions!$C$5,C2892)),Assumptions!$D$5,IF(ISNUMBER(SEARCH(Assumptions!$C$6,C2892)),Assumptions!$D$6,IF(ISNUMBER(SEARCH(Assumptions!$C$7,C2892)),Assumptions!$D$7,"Other Services"))),"Other Services"))</f>
        <v/>
      </c>
    </row>
    <row r="2893" customFormat="false" ht="15" hidden="false" customHeight="false" outlineLevel="0" collapsed="false">
      <c r="F2893" s="41" t="str">
        <f aca="false">IF(C2893="","",IFERROR(IF(ISNUMBER(SEARCH(Assumptions!$C$5,C2893)),Assumptions!$D$5,IF(ISNUMBER(SEARCH(Assumptions!$C$6,C2893)),Assumptions!$D$6,IF(ISNUMBER(SEARCH(Assumptions!$C$7,C2893)),Assumptions!$D$7,"Other Services"))),"Other Services"))</f>
        <v/>
      </c>
    </row>
    <row r="2894" customFormat="false" ht="15" hidden="false" customHeight="false" outlineLevel="0" collapsed="false">
      <c r="F2894" s="41" t="str">
        <f aca="false">IF(C2894="","",IFERROR(IF(ISNUMBER(SEARCH(Assumptions!$C$5,C2894)),Assumptions!$D$5,IF(ISNUMBER(SEARCH(Assumptions!$C$6,C2894)),Assumptions!$D$6,IF(ISNUMBER(SEARCH(Assumptions!$C$7,C2894)),Assumptions!$D$7,"Other Services"))),"Other Services"))</f>
        <v/>
      </c>
    </row>
    <row r="2895" customFormat="false" ht="15" hidden="false" customHeight="false" outlineLevel="0" collapsed="false">
      <c r="F2895" s="41" t="str">
        <f aca="false">IF(C2895="","",IFERROR(IF(ISNUMBER(SEARCH(Assumptions!$C$5,C2895)),Assumptions!$D$5,IF(ISNUMBER(SEARCH(Assumptions!$C$6,C2895)),Assumptions!$D$6,IF(ISNUMBER(SEARCH(Assumptions!$C$7,C2895)),Assumptions!$D$7,"Other Services"))),"Other Services"))</f>
        <v/>
      </c>
    </row>
    <row r="2896" customFormat="false" ht="15" hidden="false" customHeight="false" outlineLevel="0" collapsed="false">
      <c r="F2896" s="41" t="str">
        <f aca="false">IF(C2896="","",IFERROR(IF(ISNUMBER(SEARCH(Assumptions!$C$5,C2896)),Assumptions!$D$5,IF(ISNUMBER(SEARCH(Assumptions!$C$6,C2896)),Assumptions!$D$6,IF(ISNUMBER(SEARCH(Assumptions!$C$7,C2896)),Assumptions!$D$7,"Other Services"))),"Other Services"))</f>
        <v/>
      </c>
    </row>
    <row r="2897" customFormat="false" ht="15" hidden="false" customHeight="false" outlineLevel="0" collapsed="false">
      <c r="F2897" s="41" t="str">
        <f aca="false">IF(C2897="","",IFERROR(IF(ISNUMBER(SEARCH(Assumptions!$C$5,C2897)),Assumptions!$D$5,IF(ISNUMBER(SEARCH(Assumptions!$C$6,C2897)),Assumptions!$D$6,IF(ISNUMBER(SEARCH(Assumptions!$C$7,C2897)),Assumptions!$D$7,"Other Services"))),"Other Services"))</f>
        <v/>
      </c>
    </row>
    <row r="2898" customFormat="false" ht="15" hidden="false" customHeight="false" outlineLevel="0" collapsed="false">
      <c r="F2898" s="41" t="str">
        <f aca="false">IF(C2898="","",IFERROR(IF(ISNUMBER(SEARCH(Assumptions!$C$5,C2898)),Assumptions!$D$5,IF(ISNUMBER(SEARCH(Assumptions!$C$6,C2898)),Assumptions!$D$6,IF(ISNUMBER(SEARCH(Assumptions!$C$7,C2898)),Assumptions!$D$7,"Other Services"))),"Other Services"))</f>
        <v/>
      </c>
    </row>
    <row r="2899" customFormat="false" ht="15" hidden="false" customHeight="false" outlineLevel="0" collapsed="false">
      <c r="F2899" s="41" t="str">
        <f aca="false">IF(C2899="","",IFERROR(IF(ISNUMBER(SEARCH(Assumptions!$C$5,C2899)),Assumptions!$D$5,IF(ISNUMBER(SEARCH(Assumptions!$C$6,C2899)),Assumptions!$D$6,IF(ISNUMBER(SEARCH(Assumptions!$C$7,C2899)),Assumptions!$D$7,"Other Services"))),"Other Services"))</f>
        <v/>
      </c>
    </row>
    <row r="2900" customFormat="false" ht="15" hidden="false" customHeight="false" outlineLevel="0" collapsed="false">
      <c r="F2900" s="41" t="str">
        <f aca="false">IF(C2900="","",IFERROR(IF(ISNUMBER(SEARCH(Assumptions!$C$5,C2900)),Assumptions!$D$5,IF(ISNUMBER(SEARCH(Assumptions!$C$6,C2900)),Assumptions!$D$6,IF(ISNUMBER(SEARCH(Assumptions!$C$7,C2900)),Assumptions!$D$7,"Other Services"))),"Other Services"))</f>
        <v/>
      </c>
    </row>
    <row r="2901" customFormat="false" ht="15" hidden="false" customHeight="false" outlineLevel="0" collapsed="false">
      <c r="F2901" s="41" t="str">
        <f aca="false">IF(C2901="","",IFERROR(IF(ISNUMBER(SEARCH(Assumptions!$C$5,C2901)),Assumptions!$D$5,IF(ISNUMBER(SEARCH(Assumptions!$C$6,C2901)),Assumptions!$D$6,IF(ISNUMBER(SEARCH(Assumptions!$C$7,C2901)),Assumptions!$D$7,"Other Services"))),"Other Services"))</f>
        <v/>
      </c>
    </row>
    <row r="2902" customFormat="false" ht="15" hidden="false" customHeight="false" outlineLevel="0" collapsed="false">
      <c r="F2902" s="41" t="str">
        <f aca="false">IF(C2902="","",IFERROR(IF(ISNUMBER(SEARCH(Assumptions!$C$5,C2902)),Assumptions!$D$5,IF(ISNUMBER(SEARCH(Assumptions!$C$6,C2902)),Assumptions!$D$6,IF(ISNUMBER(SEARCH(Assumptions!$C$7,C2902)),Assumptions!$D$7,"Other Services"))),"Other Services"))</f>
        <v/>
      </c>
    </row>
    <row r="2903" customFormat="false" ht="15" hidden="false" customHeight="false" outlineLevel="0" collapsed="false">
      <c r="F2903" s="41" t="str">
        <f aca="false">IF(C2903="","",IFERROR(IF(ISNUMBER(SEARCH(Assumptions!$C$5,C2903)),Assumptions!$D$5,IF(ISNUMBER(SEARCH(Assumptions!$C$6,C2903)),Assumptions!$D$6,IF(ISNUMBER(SEARCH(Assumptions!$C$7,C2903)),Assumptions!$D$7,"Other Services"))),"Other Services"))</f>
        <v/>
      </c>
    </row>
    <row r="2904" customFormat="false" ht="15" hidden="false" customHeight="false" outlineLevel="0" collapsed="false">
      <c r="F2904" s="41" t="str">
        <f aca="false">IF(C2904="","",IFERROR(IF(ISNUMBER(SEARCH(Assumptions!$C$5,C2904)),Assumptions!$D$5,IF(ISNUMBER(SEARCH(Assumptions!$C$6,C2904)),Assumptions!$D$6,IF(ISNUMBER(SEARCH(Assumptions!$C$7,C2904)),Assumptions!$D$7,"Other Services"))),"Other Services"))</f>
        <v/>
      </c>
    </row>
    <row r="2905" customFormat="false" ht="15" hidden="false" customHeight="false" outlineLevel="0" collapsed="false">
      <c r="F2905" s="41" t="str">
        <f aca="false">IF(C2905="","",IFERROR(IF(ISNUMBER(SEARCH(Assumptions!$C$5,C2905)),Assumptions!$D$5,IF(ISNUMBER(SEARCH(Assumptions!$C$6,C2905)),Assumptions!$D$6,IF(ISNUMBER(SEARCH(Assumptions!$C$7,C2905)),Assumptions!$D$7,"Other Services"))),"Other Services"))</f>
        <v/>
      </c>
    </row>
    <row r="2906" customFormat="false" ht="15" hidden="false" customHeight="false" outlineLevel="0" collapsed="false">
      <c r="F2906" s="41" t="str">
        <f aca="false">IF(C2906="","",IFERROR(IF(ISNUMBER(SEARCH(Assumptions!$C$5,C2906)),Assumptions!$D$5,IF(ISNUMBER(SEARCH(Assumptions!$C$6,C2906)),Assumptions!$D$6,IF(ISNUMBER(SEARCH(Assumptions!$C$7,C2906)),Assumptions!$D$7,"Other Services"))),"Other Services"))</f>
        <v/>
      </c>
    </row>
    <row r="2907" customFormat="false" ht="15" hidden="false" customHeight="false" outlineLevel="0" collapsed="false">
      <c r="F2907" s="41" t="str">
        <f aca="false">IF(C2907="","",IFERROR(IF(ISNUMBER(SEARCH(Assumptions!$C$5,C2907)),Assumptions!$D$5,IF(ISNUMBER(SEARCH(Assumptions!$C$6,C2907)),Assumptions!$D$6,IF(ISNUMBER(SEARCH(Assumptions!$C$7,C2907)),Assumptions!$D$7,"Other Services"))),"Other Services"))</f>
        <v/>
      </c>
    </row>
    <row r="2908" customFormat="false" ht="15" hidden="false" customHeight="false" outlineLevel="0" collapsed="false">
      <c r="F2908" s="41" t="str">
        <f aca="false">IF(C2908="","",IFERROR(IF(ISNUMBER(SEARCH(Assumptions!$C$5,C2908)),Assumptions!$D$5,IF(ISNUMBER(SEARCH(Assumptions!$C$6,C2908)),Assumptions!$D$6,IF(ISNUMBER(SEARCH(Assumptions!$C$7,C2908)),Assumptions!$D$7,"Other Services"))),"Other Services"))</f>
        <v/>
      </c>
    </row>
    <row r="2909" customFormat="false" ht="15" hidden="false" customHeight="false" outlineLevel="0" collapsed="false">
      <c r="F2909" s="41" t="str">
        <f aca="false">IF(C2909="","",IFERROR(IF(ISNUMBER(SEARCH(Assumptions!$C$5,C2909)),Assumptions!$D$5,IF(ISNUMBER(SEARCH(Assumptions!$C$6,C2909)),Assumptions!$D$6,IF(ISNUMBER(SEARCH(Assumptions!$C$7,C2909)),Assumptions!$D$7,"Other Services"))),"Other Services"))</f>
        <v/>
      </c>
    </row>
    <row r="2910" customFormat="false" ht="15" hidden="false" customHeight="false" outlineLevel="0" collapsed="false">
      <c r="F2910" s="41" t="str">
        <f aca="false">IF(C2910="","",IFERROR(IF(ISNUMBER(SEARCH(Assumptions!$C$5,C2910)),Assumptions!$D$5,IF(ISNUMBER(SEARCH(Assumptions!$C$6,C2910)),Assumptions!$D$6,IF(ISNUMBER(SEARCH(Assumptions!$C$7,C2910)),Assumptions!$D$7,"Other Services"))),"Other Services"))</f>
        <v/>
      </c>
    </row>
    <row r="2911" customFormat="false" ht="15" hidden="false" customHeight="false" outlineLevel="0" collapsed="false">
      <c r="F2911" s="41" t="str">
        <f aca="false">IF(C2911="","",IFERROR(IF(ISNUMBER(SEARCH(Assumptions!$C$5,C2911)),Assumptions!$D$5,IF(ISNUMBER(SEARCH(Assumptions!$C$6,C2911)),Assumptions!$D$6,IF(ISNUMBER(SEARCH(Assumptions!$C$7,C2911)),Assumptions!$D$7,"Other Services"))),"Other Services"))</f>
        <v/>
      </c>
    </row>
    <row r="2912" customFormat="false" ht="15" hidden="false" customHeight="false" outlineLevel="0" collapsed="false">
      <c r="F2912" s="41" t="str">
        <f aca="false">IF(C2912="","",IFERROR(IF(ISNUMBER(SEARCH(Assumptions!$C$5,C2912)),Assumptions!$D$5,IF(ISNUMBER(SEARCH(Assumptions!$C$6,C2912)),Assumptions!$D$6,IF(ISNUMBER(SEARCH(Assumptions!$C$7,C2912)),Assumptions!$D$7,"Other Services"))),"Other Services"))</f>
        <v/>
      </c>
    </row>
    <row r="2913" customFormat="false" ht="15" hidden="false" customHeight="false" outlineLevel="0" collapsed="false">
      <c r="F2913" s="41" t="str">
        <f aca="false">IF(C2913="","",IFERROR(IF(ISNUMBER(SEARCH(Assumptions!$C$5,C2913)),Assumptions!$D$5,IF(ISNUMBER(SEARCH(Assumptions!$C$6,C2913)),Assumptions!$D$6,IF(ISNUMBER(SEARCH(Assumptions!$C$7,C2913)),Assumptions!$D$7,"Other Services"))),"Other Services"))</f>
        <v/>
      </c>
    </row>
    <row r="2914" customFormat="false" ht="15" hidden="false" customHeight="false" outlineLevel="0" collapsed="false">
      <c r="F2914" s="41" t="str">
        <f aca="false">IF(C2914="","",IFERROR(IF(ISNUMBER(SEARCH(Assumptions!$C$5,C2914)),Assumptions!$D$5,IF(ISNUMBER(SEARCH(Assumptions!$C$6,C2914)),Assumptions!$D$6,IF(ISNUMBER(SEARCH(Assumptions!$C$7,C2914)),Assumptions!$D$7,"Other Services"))),"Other Services"))</f>
        <v/>
      </c>
    </row>
    <row r="2915" customFormat="false" ht="15" hidden="false" customHeight="false" outlineLevel="0" collapsed="false">
      <c r="F2915" s="41" t="str">
        <f aca="false">IF(C2915="","",IFERROR(IF(ISNUMBER(SEARCH(Assumptions!$C$5,C2915)),Assumptions!$D$5,IF(ISNUMBER(SEARCH(Assumptions!$C$6,C2915)),Assumptions!$D$6,IF(ISNUMBER(SEARCH(Assumptions!$C$7,C2915)),Assumptions!$D$7,"Other Services"))),"Other Services"))</f>
        <v/>
      </c>
    </row>
    <row r="2916" customFormat="false" ht="15" hidden="false" customHeight="false" outlineLevel="0" collapsed="false">
      <c r="F2916" s="41" t="str">
        <f aca="false">IF(C2916="","",IFERROR(IF(ISNUMBER(SEARCH(Assumptions!$C$5,C2916)),Assumptions!$D$5,IF(ISNUMBER(SEARCH(Assumptions!$C$6,C2916)),Assumptions!$D$6,IF(ISNUMBER(SEARCH(Assumptions!$C$7,C2916)),Assumptions!$D$7,"Other Services"))),"Other Services"))</f>
        <v/>
      </c>
    </row>
    <row r="2917" customFormat="false" ht="15" hidden="false" customHeight="false" outlineLevel="0" collapsed="false">
      <c r="F2917" s="41" t="str">
        <f aca="false">IF(C2917="","",IFERROR(IF(ISNUMBER(SEARCH(Assumptions!$C$5,C2917)),Assumptions!$D$5,IF(ISNUMBER(SEARCH(Assumptions!$C$6,C2917)),Assumptions!$D$6,IF(ISNUMBER(SEARCH(Assumptions!$C$7,C2917)),Assumptions!$D$7,"Other Services"))),"Other Services"))</f>
        <v/>
      </c>
    </row>
    <row r="2918" customFormat="false" ht="15" hidden="false" customHeight="false" outlineLevel="0" collapsed="false">
      <c r="F2918" s="41" t="str">
        <f aca="false">IF(C2918="","",IFERROR(IF(ISNUMBER(SEARCH(Assumptions!$C$5,C2918)),Assumptions!$D$5,IF(ISNUMBER(SEARCH(Assumptions!$C$6,C2918)),Assumptions!$D$6,IF(ISNUMBER(SEARCH(Assumptions!$C$7,C2918)),Assumptions!$D$7,"Other Services"))),"Other Services"))</f>
        <v/>
      </c>
    </row>
    <row r="2919" customFormat="false" ht="15" hidden="false" customHeight="false" outlineLevel="0" collapsed="false">
      <c r="F2919" s="41" t="str">
        <f aca="false">IF(C2919="","",IFERROR(IF(ISNUMBER(SEARCH(Assumptions!$C$5,C2919)),Assumptions!$D$5,IF(ISNUMBER(SEARCH(Assumptions!$C$6,C2919)),Assumptions!$D$6,IF(ISNUMBER(SEARCH(Assumptions!$C$7,C2919)),Assumptions!$D$7,"Other Services"))),"Other Services"))</f>
        <v/>
      </c>
    </row>
    <row r="2920" customFormat="false" ht="15" hidden="false" customHeight="false" outlineLevel="0" collapsed="false">
      <c r="F2920" s="41" t="str">
        <f aca="false">IF(C2920="","",IFERROR(IF(ISNUMBER(SEARCH(Assumptions!$C$5,C2920)),Assumptions!$D$5,IF(ISNUMBER(SEARCH(Assumptions!$C$6,C2920)),Assumptions!$D$6,IF(ISNUMBER(SEARCH(Assumptions!$C$7,C2920)),Assumptions!$D$7,"Other Services"))),"Other Services"))</f>
        <v/>
      </c>
    </row>
    <row r="2921" customFormat="false" ht="15" hidden="false" customHeight="false" outlineLevel="0" collapsed="false">
      <c r="F2921" s="41" t="str">
        <f aca="false">IF(C2921="","",IFERROR(IF(ISNUMBER(SEARCH(Assumptions!$C$5,C2921)),Assumptions!$D$5,IF(ISNUMBER(SEARCH(Assumptions!$C$6,C2921)),Assumptions!$D$6,IF(ISNUMBER(SEARCH(Assumptions!$C$7,C2921)),Assumptions!$D$7,"Other Services"))),"Other Services"))</f>
        <v/>
      </c>
    </row>
    <row r="2922" customFormat="false" ht="15" hidden="false" customHeight="false" outlineLevel="0" collapsed="false">
      <c r="F2922" s="41" t="str">
        <f aca="false">IF(C2922="","",IFERROR(IF(ISNUMBER(SEARCH(Assumptions!$C$5,C2922)),Assumptions!$D$5,IF(ISNUMBER(SEARCH(Assumptions!$C$6,C2922)),Assumptions!$D$6,IF(ISNUMBER(SEARCH(Assumptions!$C$7,C2922)),Assumptions!$D$7,"Other Services"))),"Other Services"))</f>
        <v/>
      </c>
    </row>
    <row r="2923" customFormat="false" ht="15" hidden="false" customHeight="false" outlineLevel="0" collapsed="false">
      <c r="F2923" s="41" t="str">
        <f aca="false">IF(C2923="","",IFERROR(IF(ISNUMBER(SEARCH(Assumptions!$C$5,C2923)),Assumptions!$D$5,IF(ISNUMBER(SEARCH(Assumptions!$C$6,C2923)),Assumptions!$D$6,IF(ISNUMBER(SEARCH(Assumptions!$C$7,C2923)),Assumptions!$D$7,"Other Services"))),"Other Services"))</f>
        <v/>
      </c>
    </row>
    <row r="2924" customFormat="false" ht="15" hidden="false" customHeight="false" outlineLevel="0" collapsed="false">
      <c r="F2924" s="41" t="str">
        <f aca="false">IF(C2924="","",IFERROR(IF(ISNUMBER(SEARCH(Assumptions!$C$5,C2924)),Assumptions!$D$5,IF(ISNUMBER(SEARCH(Assumptions!$C$6,C2924)),Assumptions!$D$6,IF(ISNUMBER(SEARCH(Assumptions!$C$7,C2924)),Assumptions!$D$7,"Other Services"))),"Other Services"))</f>
        <v/>
      </c>
    </row>
    <row r="2925" customFormat="false" ht="15" hidden="false" customHeight="false" outlineLevel="0" collapsed="false">
      <c r="F2925" s="41" t="str">
        <f aca="false">IF(C2925="","",IFERROR(IF(ISNUMBER(SEARCH(Assumptions!$C$5,C2925)),Assumptions!$D$5,IF(ISNUMBER(SEARCH(Assumptions!$C$6,C2925)),Assumptions!$D$6,IF(ISNUMBER(SEARCH(Assumptions!$C$7,C2925)),Assumptions!$D$7,"Other Services"))),"Other Services"))</f>
        <v/>
      </c>
    </row>
    <row r="2926" customFormat="false" ht="15" hidden="false" customHeight="false" outlineLevel="0" collapsed="false">
      <c r="F2926" s="41" t="str">
        <f aca="false">IF(C2926="","",IFERROR(IF(ISNUMBER(SEARCH(Assumptions!$C$5,C2926)),Assumptions!$D$5,IF(ISNUMBER(SEARCH(Assumptions!$C$6,C2926)),Assumptions!$D$6,IF(ISNUMBER(SEARCH(Assumptions!$C$7,C2926)),Assumptions!$D$7,"Other Services"))),"Other Services"))</f>
        <v/>
      </c>
    </row>
    <row r="2927" customFormat="false" ht="15" hidden="false" customHeight="false" outlineLevel="0" collapsed="false">
      <c r="F2927" s="41" t="str">
        <f aca="false">IF(C2927="","",IFERROR(IF(ISNUMBER(SEARCH(Assumptions!$C$5,C2927)),Assumptions!$D$5,IF(ISNUMBER(SEARCH(Assumptions!$C$6,C2927)),Assumptions!$D$6,IF(ISNUMBER(SEARCH(Assumptions!$C$7,C2927)),Assumptions!$D$7,"Other Services"))),"Other Services"))</f>
        <v/>
      </c>
    </row>
    <row r="2928" customFormat="false" ht="15" hidden="false" customHeight="false" outlineLevel="0" collapsed="false">
      <c r="F2928" s="41" t="str">
        <f aca="false">IF(C2928="","",IFERROR(IF(ISNUMBER(SEARCH(Assumptions!$C$5,C2928)),Assumptions!$D$5,IF(ISNUMBER(SEARCH(Assumptions!$C$6,C2928)),Assumptions!$D$6,IF(ISNUMBER(SEARCH(Assumptions!$C$7,C2928)),Assumptions!$D$7,"Other Services"))),"Other Services"))</f>
        <v/>
      </c>
    </row>
    <row r="2929" customFormat="false" ht="15" hidden="false" customHeight="false" outlineLevel="0" collapsed="false">
      <c r="F2929" s="41" t="str">
        <f aca="false">IF(C2929="","",IFERROR(IF(ISNUMBER(SEARCH(Assumptions!$C$5,C2929)),Assumptions!$D$5,IF(ISNUMBER(SEARCH(Assumptions!$C$6,C2929)),Assumptions!$D$6,IF(ISNUMBER(SEARCH(Assumptions!$C$7,C2929)),Assumptions!$D$7,"Other Services"))),"Other Services"))</f>
        <v/>
      </c>
    </row>
    <row r="2930" customFormat="false" ht="15" hidden="false" customHeight="false" outlineLevel="0" collapsed="false">
      <c r="F2930" s="41" t="str">
        <f aca="false">IF(C2930="","",IFERROR(IF(ISNUMBER(SEARCH(Assumptions!$C$5,C2930)),Assumptions!$D$5,IF(ISNUMBER(SEARCH(Assumptions!$C$6,C2930)),Assumptions!$D$6,IF(ISNUMBER(SEARCH(Assumptions!$C$7,C2930)),Assumptions!$D$7,"Other Services"))),"Other Services"))</f>
        <v/>
      </c>
    </row>
    <row r="2931" customFormat="false" ht="15" hidden="false" customHeight="false" outlineLevel="0" collapsed="false">
      <c r="F2931" s="41" t="str">
        <f aca="false">IF(C2931="","",IFERROR(IF(ISNUMBER(SEARCH(Assumptions!$C$5,C2931)),Assumptions!$D$5,IF(ISNUMBER(SEARCH(Assumptions!$C$6,C2931)),Assumptions!$D$6,IF(ISNUMBER(SEARCH(Assumptions!$C$7,C2931)),Assumptions!$D$7,"Other Services"))),"Other Services"))</f>
        <v/>
      </c>
    </row>
    <row r="2932" customFormat="false" ht="15" hidden="false" customHeight="false" outlineLevel="0" collapsed="false">
      <c r="F2932" s="41" t="str">
        <f aca="false">IF(C2932="","",IFERROR(IF(ISNUMBER(SEARCH(Assumptions!$C$5,C2932)),Assumptions!$D$5,IF(ISNUMBER(SEARCH(Assumptions!$C$6,C2932)),Assumptions!$D$6,IF(ISNUMBER(SEARCH(Assumptions!$C$7,C2932)),Assumptions!$D$7,"Other Services"))),"Other Services"))</f>
        <v/>
      </c>
    </row>
    <row r="2933" customFormat="false" ht="15" hidden="false" customHeight="false" outlineLevel="0" collapsed="false">
      <c r="F2933" s="41" t="str">
        <f aca="false">IF(C2933="","",IFERROR(IF(ISNUMBER(SEARCH(Assumptions!$C$5,C2933)),Assumptions!$D$5,IF(ISNUMBER(SEARCH(Assumptions!$C$6,C2933)),Assumptions!$D$6,IF(ISNUMBER(SEARCH(Assumptions!$C$7,C2933)),Assumptions!$D$7,"Other Services"))),"Other Services"))</f>
        <v/>
      </c>
    </row>
    <row r="2934" customFormat="false" ht="15" hidden="false" customHeight="false" outlineLevel="0" collapsed="false">
      <c r="F2934" s="41" t="str">
        <f aca="false">IF(C2934="","",IFERROR(IF(ISNUMBER(SEARCH(Assumptions!$C$5,C2934)),Assumptions!$D$5,IF(ISNUMBER(SEARCH(Assumptions!$C$6,C2934)),Assumptions!$D$6,IF(ISNUMBER(SEARCH(Assumptions!$C$7,C2934)),Assumptions!$D$7,"Other Services"))),"Other Services"))</f>
        <v/>
      </c>
    </row>
    <row r="2935" customFormat="false" ht="15" hidden="false" customHeight="false" outlineLevel="0" collapsed="false">
      <c r="F2935" s="41" t="str">
        <f aca="false">IF(C2935="","",IFERROR(IF(ISNUMBER(SEARCH(Assumptions!$C$5,C2935)),Assumptions!$D$5,IF(ISNUMBER(SEARCH(Assumptions!$C$6,C2935)),Assumptions!$D$6,IF(ISNUMBER(SEARCH(Assumptions!$C$7,C2935)),Assumptions!$D$7,"Other Services"))),"Other Services"))</f>
        <v/>
      </c>
    </row>
    <row r="2936" customFormat="false" ht="15" hidden="false" customHeight="false" outlineLevel="0" collapsed="false">
      <c r="F2936" s="41" t="str">
        <f aca="false">IF(C2936="","",IFERROR(IF(ISNUMBER(SEARCH(Assumptions!$C$5,C2936)),Assumptions!$D$5,IF(ISNUMBER(SEARCH(Assumptions!$C$6,C2936)),Assumptions!$D$6,IF(ISNUMBER(SEARCH(Assumptions!$C$7,C2936)),Assumptions!$D$7,"Other Services"))),"Other Services"))</f>
        <v/>
      </c>
    </row>
    <row r="2937" customFormat="false" ht="15" hidden="false" customHeight="false" outlineLevel="0" collapsed="false">
      <c r="F2937" s="41" t="str">
        <f aca="false">IF(C2937="","",IFERROR(IF(ISNUMBER(SEARCH(Assumptions!$C$5,C2937)),Assumptions!$D$5,IF(ISNUMBER(SEARCH(Assumptions!$C$6,C2937)),Assumptions!$D$6,IF(ISNUMBER(SEARCH(Assumptions!$C$7,C2937)),Assumptions!$D$7,"Other Services"))),"Other Services"))</f>
        <v/>
      </c>
    </row>
    <row r="2938" customFormat="false" ht="15" hidden="false" customHeight="false" outlineLevel="0" collapsed="false">
      <c r="F2938" s="41" t="str">
        <f aca="false">IF(C2938="","",IFERROR(IF(ISNUMBER(SEARCH(Assumptions!$C$5,C2938)),Assumptions!$D$5,IF(ISNUMBER(SEARCH(Assumptions!$C$6,C2938)),Assumptions!$D$6,IF(ISNUMBER(SEARCH(Assumptions!$C$7,C2938)),Assumptions!$D$7,"Other Services"))),"Other Services"))</f>
        <v/>
      </c>
    </row>
    <row r="2939" customFormat="false" ht="15" hidden="false" customHeight="false" outlineLevel="0" collapsed="false">
      <c r="F2939" s="41" t="str">
        <f aca="false">IF(C2939="","",IFERROR(IF(ISNUMBER(SEARCH(Assumptions!$C$5,C2939)),Assumptions!$D$5,IF(ISNUMBER(SEARCH(Assumptions!$C$6,C2939)),Assumptions!$D$6,IF(ISNUMBER(SEARCH(Assumptions!$C$7,C2939)),Assumptions!$D$7,"Other Services"))),"Other Services"))</f>
        <v/>
      </c>
    </row>
    <row r="2940" customFormat="false" ht="15" hidden="false" customHeight="false" outlineLevel="0" collapsed="false">
      <c r="F2940" s="41" t="str">
        <f aca="false">IF(C2940="","",IFERROR(IF(ISNUMBER(SEARCH(Assumptions!$C$5,C2940)),Assumptions!$D$5,IF(ISNUMBER(SEARCH(Assumptions!$C$6,C2940)),Assumptions!$D$6,IF(ISNUMBER(SEARCH(Assumptions!$C$7,C2940)),Assumptions!$D$7,"Other Services"))),"Other Services"))</f>
        <v/>
      </c>
    </row>
    <row r="2941" customFormat="false" ht="15" hidden="false" customHeight="false" outlineLevel="0" collapsed="false">
      <c r="F2941" s="41" t="str">
        <f aca="false">IF(C2941="","",IFERROR(IF(ISNUMBER(SEARCH(Assumptions!$C$5,C2941)),Assumptions!$D$5,IF(ISNUMBER(SEARCH(Assumptions!$C$6,C2941)),Assumptions!$D$6,IF(ISNUMBER(SEARCH(Assumptions!$C$7,C2941)),Assumptions!$D$7,"Other Services"))),"Other Services"))</f>
        <v/>
      </c>
    </row>
    <row r="2942" customFormat="false" ht="15" hidden="false" customHeight="false" outlineLevel="0" collapsed="false">
      <c r="F2942" s="41" t="str">
        <f aca="false">IF(C2942="","",IFERROR(IF(ISNUMBER(SEARCH(Assumptions!$C$5,C2942)),Assumptions!$D$5,IF(ISNUMBER(SEARCH(Assumptions!$C$6,C2942)),Assumptions!$D$6,IF(ISNUMBER(SEARCH(Assumptions!$C$7,C2942)),Assumptions!$D$7,"Other Services"))),"Other Services"))</f>
        <v/>
      </c>
    </row>
    <row r="2943" customFormat="false" ht="15" hidden="false" customHeight="false" outlineLevel="0" collapsed="false">
      <c r="F2943" s="41" t="str">
        <f aca="false">IF(C2943="","",IFERROR(IF(ISNUMBER(SEARCH(Assumptions!$C$5,C2943)),Assumptions!$D$5,IF(ISNUMBER(SEARCH(Assumptions!$C$6,C2943)),Assumptions!$D$6,IF(ISNUMBER(SEARCH(Assumptions!$C$7,C2943)),Assumptions!$D$7,"Other Services"))),"Other Services"))</f>
        <v/>
      </c>
    </row>
    <row r="2944" customFormat="false" ht="15" hidden="false" customHeight="false" outlineLevel="0" collapsed="false">
      <c r="F2944" s="41" t="str">
        <f aca="false">IF(C2944="","",IFERROR(IF(ISNUMBER(SEARCH(Assumptions!$C$5,C2944)),Assumptions!$D$5,IF(ISNUMBER(SEARCH(Assumptions!$C$6,C2944)),Assumptions!$D$6,IF(ISNUMBER(SEARCH(Assumptions!$C$7,C2944)),Assumptions!$D$7,"Other Services"))),"Other Services"))</f>
        <v/>
      </c>
    </row>
    <row r="2945" customFormat="false" ht="15" hidden="false" customHeight="false" outlineLevel="0" collapsed="false">
      <c r="F2945" s="41" t="str">
        <f aca="false">IF(C2945="","",IFERROR(IF(ISNUMBER(SEARCH(Assumptions!$C$5,C2945)),Assumptions!$D$5,IF(ISNUMBER(SEARCH(Assumptions!$C$6,C2945)),Assumptions!$D$6,IF(ISNUMBER(SEARCH(Assumptions!$C$7,C2945)),Assumptions!$D$7,"Other Services"))),"Other Services"))</f>
        <v/>
      </c>
    </row>
    <row r="2946" customFormat="false" ht="15" hidden="false" customHeight="false" outlineLevel="0" collapsed="false">
      <c r="F2946" s="41" t="str">
        <f aca="false">IF(C2946="","",IFERROR(IF(ISNUMBER(SEARCH(Assumptions!$C$5,C2946)),Assumptions!$D$5,IF(ISNUMBER(SEARCH(Assumptions!$C$6,C2946)),Assumptions!$D$6,IF(ISNUMBER(SEARCH(Assumptions!$C$7,C2946)),Assumptions!$D$7,"Other Services"))),"Other Services"))</f>
        <v/>
      </c>
    </row>
    <row r="2947" customFormat="false" ht="15" hidden="false" customHeight="false" outlineLevel="0" collapsed="false">
      <c r="F2947" s="41" t="str">
        <f aca="false">IF(C2947="","",IFERROR(IF(ISNUMBER(SEARCH(Assumptions!$C$5,C2947)),Assumptions!$D$5,IF(ISNUMBER(SEARCH(Assumptions!$C$6,C2947)),Assumptions!$D$6,IF(ISNUMBER(SEARCH(Assumptions!$C$7,C2947)),Assumptions!$D$7,"Other Services"))),"Other Services"))</f>
        <v/>
      </c>
    </row>
    <row r="2948" customFormat="false" ht="15" hidden="false" customHeight="false" outlineLevel="0" collapsed="false">
      <c r="F2948" s="41" t="str">
        <f aca="false">IF(C2948="","",IFERROR(IF(ISNUMBER(SEARCH(Assumptions!$C$5,C2948)),Assumptions!$D$5,IF(ISNUMBER(SEARCH(Assumptions!$C$6,C2948)),Assumptions!$D$6,IF(ISNUMBER(SEARCH(Assumptions!$C$7,C2948)),Assumptions!$D$7,"Other Services"))),"Other Services"))</f>
        <v/>
      </c>
    </row>
    <row r="2949" customFormat="false" ht="15" hidden="false" customHeight="false" outlineLevel="0" collapsed="false">
      <c r="F2949" s="41" t="str">
        <f aca="false">IF(C2949="","",IFERROR(IF(ISNUMBER(SEARCH(Assumptions!$C$5,C2949)),Assumptions!$D$5,IF(ISNUMBER(SEARCH(Assumptions!$C$6,C2949)),Assumptions!$D$6,IF(ISNUMBER(SEARCH(Assumptions!$C$7,C2949)),Assumptions!$D$7,"Other Services"))),"Other Services"))</f>
        <v/>
      </c>
    </row>
    <row r="2950" customFormat="false" ht="15" hidden="false" customHeight="false" outlineLevel="0" collapsed="false">
      <c r="F2950" s="41" t="str">
        <f aca="false">IF(C2950="","",IFERROR(IF(ISNUMBER(SEARCH(Assumptions!$C$5,C2950)),Assumptions!$D$5,IF(ISNUMBER(SEARCH(Assumptions!$C$6,C2950)),Assumptions!$D$6,IF(ISNUMBER(SEARCH(Assumptions!$C$7,C2950)),Assumptions!$D$7,"Other Services"))),"Other Services"))</f>
        <v/>
      </c>
    </row>
    <row r="2951" customFormat="false" ht="15" hidden="false" customHeight="false" outlineLevel="0" collapsed="false">
      <c r="F2951" s="41" t="str">
        <f aca="false">IF(C2951="","",IFERROR(IF(ISNUMBER(SEARCH(Assumptions!$C$5,C2951)),Assumptions!$D$5,IF(ISNUMBER(SEARCH(Assumptions!$C$6,C2951)),Assumptions!$D$6,IF(ISNUMBER(SEARCH(Assumptions!$C$7,C2951)),Assumptions!$D$7,"Other Services"))),"Other Services"))</f>
        <v/>
      </c>
    </row>
    <row r="2952" customFormat="false" ht="15" hidden="false" customHeight="false" outlineLevel="0" collapsed="false">
      <c r="F2952" s="41" t="str">
        <f aca="false">IF(C2952="","",IFERROR(IF(ISNUMBER(SEARCH(Assumptions!$C$5,C2952)),Assumptions!$D$5,IF(ISNUMBER(SEARCH(Assumptions!$C$6,C2952)),Assumptions!$D$6,IF(ISNUMBER(SEARCH(Assumptions!$C$7,C2952)),Assumptions!$D$7,"Other Services"))),"Other Services"))</f>
        <v/>
      </c>
    </row>
    <row r="2953" customFormat="false" ht="15" hidden="false" customHeight="false" outlineLevel="0" collapsed="false">
      <c r="F2953" s="41" t="str">
        <f aca="false">IF(C2953="","",IFERROR(IF(ISNUMBER(SEARCH(Assumptions!$C$5,C2953)),Assumptions!$D$5,IF(ISNUMBER(SEARCH(Assumptions!$C$6,C2953)),Assumptions!$D$6,IF(ISNUMBER(SEARCH(Assumptions!$C$7,C2953)),Assumptions!$D$7,"Other Services"))),"Other Services"))</f>
        <v/>
      </c>
    </row>
    <row r="2954" customFormat="false" ht="15" hidden="false" customHeight="false" outlineLevel="0" collapsed="false">
      <c r="F2954" s="41" t="str">
        <f aca="false">IF(C2954="","",IFERROR(IF(ISNUMBER(SEARCH(Assumptions!$C$5,C2954)),Assumptions!$D$5,IF(ISNUMBER(SEARCH(Assumptions!$C$6,C2954)),Assumptions!$D$6,IF(ISNUMBER(SEARCH(Assumptions!$C$7,C2954)),Assumptions!$D$7,"Other Services"))),"Other Services"))</f>
        <v/>
      </c>
    </row>
    <row r="2955" customFormat="false" ht="15" hidden="false" customHeight="false" outlineLevel="0" collapsed="false">
      <c r="F2955" s="41" t="str">
        <f aca="false">IF(C2955="","",IFERROR(IF(ISNUMBER(SEARCH(Assumptions!$C$5,C2955)),Assumptions!$D$5,IF(ISNUMBER(SEARCH(Assumptions!$C$6,C2955)),Assumptions!$D$6,IF(ISNUMBER(SEARCH(Assumptions!$C$7,C2955)),Assumptions!$D$7,"Other Services"))),"Other Services"))</f>
        <v/>
      </c>
    </row>
    <row r="2956" customFormat="false" ht="15" hidden="false" customHeight="false" outlineLevel="0" collapsed="false">
      <c r="F2956" s="41" t="str">
        <f aca="false">IF(C2956="","",IFERROR(IF(ISNUMBER(SEARCH(Assumptions!$C$5,C2956)),Assumptions!$D$5,IF(ISNUMBER(SEARCH(Assumptions!$C$6,C2956)),Assumptions!$D$6,IF(ISNUMBER(SEARCH(Assumptions!$C$7,C2956)),Assumptions!$D$7,"Other Services"))),"Other Services"))</f>
        <v/>
      </c>
    </row>
    <row r="2957" customFormat="false" ht="15" hidden="false" customHeight="false" outlineLevel="0" collapsed="false">
      <c r="F2957" s="41" t="str">
        <f aca="false">IF(C2957="","",IFERROR(IF(ISNUMBER(SEARCH(Assumptions!$C$5,C2957)),Assumptions!$D$5,IF(ISNUMBER(SEARCH(Assumptions!$C$6,C2957)),Assumptions!$D$6,IF(ISNUMBER(SEARCH(Assumptions!$C$7,C2957)),Assumptions!$D$7,"Other Services"))),"Other Services"))</f>
        <v/>
      </c>
    </row>
    <row r="2958" customFormat="false" ht="15" hidden="false" customHeight="false" outlineLevel="0" collapsed="false">
      <c r="F2958" s="41" t="str">
        <f aca="false">IF(C2958="","",IFERROR(IF(ISNUMBER(SEARCH(Assumptions!$C$5,C2958)),Assumptions!$D$5,IF(ISNUMBER(SEARCH(Assumptions!$C$6,C2958)),Assumptions!$D$6,IF(ISNUMBER(SEARCH(Assumptions!$C$7,C2958)),Assumptions!$D$7,"Other Services"))),"Other Services"))</f>
        <v/>
      </c>
    </row>
    <row r="2959" customFormat="false" ht="15" hidden="false" customHeight="false" outlineLevel="0" collapsed="false">
      <c r="F2959" s="41" t="str">
        <f aca="false">IF(C2959="","",IFERROR(IF(ISNUMBER(SEARCH(Assumptions!$C$5,C2959)),Assumptions!$D$5,IF(ISNUMBER(SEARCH(Assumptions!$C$6,C2959)),Assumptions!$D$6,IF(ISNUMBER(SEARCH(Assumptions!$C$7,C2959)),Assumptions!$D$7,"Other Services"))),"Other Services"))</f>
        <v/>
      </c>
    </row>
    <row r="2960" customFormat="false" ht="15" hidden="false" customHeight="false" outlineLevel="0" collapsed="false">
      <c r="F2960" s="41" t="str">
        <f aca="false">IF(C2960="","",IFERROR(IF(ISNUMBER(SEARCH(Assumptions!$C$5,C2960)),Assumptions!$D$5,IF(ISNUMBER(SEARCH(Assumptions!$C$6,C2960)),Assumptions!$D$6,IF(ISNUMBER(SEARCH(Assumptions!$C$7,C2960)),Assumptions!$D$7,"Other Services"))),"Other Services"))</f>
        <v/>
      </c>
    </row>
    <row r="2961" customFormat="false" ht="15" hidden="false" customHeight="false" outlineLevel="0" collapsed="false">
      <c r="F2961" s="41" t="str">
        <f aca="false">IF(C2961="","",IFERROR(IF(ISNUMBER(SEARCH(Assumptions!$C$5,C2961)),Assumptions!$D$5,IF(ISNUMBER(SEARCH(Assumptions!$C$6,C2961)),Assumptions!$D$6,IF(ISNUMBER(SEARCH(Assumptions!$C$7,C2961)),Assumptions!$D$7,"Other Services"))),"Other Services"))</f>
        <v/>
      </c>
    </row>
    <row r="2962" customFormat="false" ht="15" hidden="false" customHeight="false" outlineLevel="0" collapsed="false">
      <c r="F2962" s="41" t="str">
        <f aca="false">IF(C2962="","",IFERROR(IF(ISNUMBER(SEARCH(Assumptions!$C$5,C2962)),Assumptions!$D$5,IF(ISNUMBER(SEARCH(Assumptions!$C$6,C2962)),Assumptions!$D$6,IF(ISNUMBER(SEARCH(Assumptions!$C$7,C2962)),Assumptions!$D$7,"Other Services"))),"Other Services"))</f>
        <v/>
      </c>
    </row>
    <row r="2963" customFormat="false" ht="15" hidden="false" customHeight="false" outlineLevel="0" collapsed="false">
      <c r="F2963" s="41" t="str">
        <f aca="false">IF(C2963="","",IFERROR(IF(ISNUMBER(SEARCH(Assumptions!$C$5,C2963)),Assumptions!$D$5,IF(ISNUMBER(SEARCH(Assumptions!$C$6,C2963)),Assumptions!$D$6,IF(ISNUMBER(SEARCH(Assumptions!$C$7,C2963)),Assumptions!$D$7,"Other Services"))),"Other Services"))</f>
        <v/>
      </c>
    </row>
    <row r="2964" customFormat="false" ht="15" hidden="false" customHeight="false" outlineLevel="0" collapsed="false">
      <c r="F2964" s="41" t="str">
        <f aca="false">IF(C2964="","",IFERROR(IF(ISNUMBER(SEARCH(Assumptions!$C$5,C2964)),Assumptions!$D$5,IF(ISNUMBER(SEARCH(Assumptions!$C$6,C2964)),Assumptions!$D$6,IF(ISNUMBER(SEARCH(Assumptions!$C$7,C2964)),Assumptions!$D$7,"Other Services"))),"Other Services"))</f>
        <v/>
      </c>
    </row>
    <row r="2965" customFormat="false" ht="15" hidden="false" customHeight="false" outlineLevel="0" collapsed="false">
      <c r="F2965" s="41" t="str">
        <f aca="false">IF(C2965="","",IFERROR(IF(ISNUMBER(SEARCH(Assumptions!$C$5,C2965)),Assumptions!$D$5,IF(ISNUMBER(SEARCH(Assumptions!$C$6,C2965)),Assumptions!$D$6,IF(ISNUMBER(SEARCH(Assumptions!$C$7,C2965)),Assumptions!$D$7,"Other Services"))),"Other Services"))</f>
        <v/>
      </c>
    </row>
    <row r="2966" customFormat="false" ht="15" hidden="false" customHeight="false" outlineLevel="0" collapsed="false">
      <c r="F2966" s="41" t="str">
        <f aca="false">IF(C2966="","",IFERROR(IF(ISNUMBER(SEARCH(Assumptions!$C$5,C2966)),Assumptions!$D$5,IF(ISNUMBER(SEARCH(Assumptions!$C$6,C2966)),Assumptions!$D$6,IF(ISNUMBER(SEARCH(Assumptions!$C$7,C2966)),Assumptions!$D$7,"Other Services"))),"Other Services"))</f>
        <v/>
      </c>
    </row>
    <row r="2967" customFormat="false" ht="15" hidden="false" customHeight="false" outlineLevel="0" collapsed="false">
      <c r="F2967" s="41" t="str">
        <f aca="false">IF(C2967="","",IFERROR(IF(ISNUMBER(SEARCH(Assumptions!$C$5,C2967)),Assumptions!$D$5,IF(ISNUMBER(SEARCH(Assumptions!$C$6,C2967)),Assumptions!$D$6,IF(ISNUMBER(SEARCH(Assumptions!$C$7,C2967)),Assumptions!$D$7,"Other Services"))),"Other Services"))</f>
        <v/>
      </c>
    </row>
    <row r="2968" customFormat="false" ht="15" hidden="false" customHeight="false" outlineLevel="0" collapsed="false">
      <c r="F2968" s="41" t="str">
        <f aca="false">IF(C2968="","",IFERROR(IF(ISNUMBER(SEARCH(Assumptions!$C$5,C2968)),Assumptions!$D$5,IF(ISNUMBER(SEARCH(Assumptions!$C$6,C2968)),Assumptions!$D$6,IF(ISNUMBER(SEARCH(Assumptions!$C$7,C2968)),Assumptions!$D$7,"Other Services"))),"Other Services"))</f>
        <v/>
      </c>
    </row>
    <row r="2969" customFormat="false" ht="15" hidden="false" customHeight="false" outlineLevel="0" collapsed="false">
      <c r="F2969" s="41" t="str">
        <f aca="false">IF(C2969="","",IFERROR(IF(ISNUMBER(SEARCH(Assumptions!$C$5,C2969)),Assumptions!$D$5,IF(ISNUMBER(SEARCH(Assumptions!$C$6,C2969)),Assumptions!$D$6,IF(ISNUMBER(SEARCH(Assumptions!$C$7,C2969)),Assumptions!$D$7,"Other Services"))),"Other Services"))</f>
        <v/>
      </c>
    </row>
    <row r="2970" customFormat="false" ht="15" hidden="false" customHeight="false" outlineLevel="0" collapsed="false">
      <c r="F2970" s="41" t="str">
        <f aca="false">IF(C2970="","",IFERROR(IF(ISNUMBER(SEARCH(Assumptions!$C$5,C2970)),Assumptions!$D$5,IF(ISNUMBER(SEARCH(Assumptions!$C$6,C2970)),Assumptions!$D$6,IF(ISNUMBER(SEARCH(Assumptions!$C$7,C2970)),Assumptions!$D$7,"Other Services"))),"Other Services"))</f>
        <v/>
      </c>
    </row>
    <row r="2971" customFormat="false" ht="15" hidden="false" customHeight="false" outlineLevel="0" collapsed="false">
      <c r="F2971" s="41" t="str">
        <f aca="false">IF(C2971="","",IFERROR(IF(ISNUMBER(SEARCH(Assumptions!$C$5,C2971)),Assumptions!$D$5,IF(ISNUMBER(SEARCH(Assumptions!$C$6,C2971)),Assumptions!$D$6,IF(ISNUMBER(SEARCH(Assumptions!$C$7,C2971)),Assumptions!$D$7,"Other Services"))),"Other Services"))</f>
        <v/>
      </c>
    </row>
    <row r="2972" customFormat="false" ht="15" hidden="false" customHeight="false" outlineLevel="0" collapsed="false">
      <c r="F2972" s="41" t="str">
        <f aca="false">IF(C2972="","",IFERROR(IF(ISNUMBER(SEARCH(Assumptions!$C$5,C2972)),Assumptions!$D$5,IF(ISNUMBER(SEARCH(Assumptions!$C$6,C2972)),Assumptions!$D$6,IF(ISNUMBER(SEARCH(Assumptions!$C$7,C2972)),Assumptions!$D$7,"Other Services"))),"Other Services"))</f>
        <v/>
      </c>
    </row>
    <row r="2973" customFormat="false" ht="15" hidden="false" customHeight="false" outlineLevel="0" collapsed="false">
      <c r="F2973" s="41" t="str">
        <f aca="false">IF(C2973="","",IFERROR(IF(ISNUMBER(SEARCH(Assumptions!$C$5,C2973)),Assumptions!$D$5,IF(ISNUMBER(SEARCH(Assumptions!$C$6,C2973)),Assumptions!$D$6,IF(ISNUMBER(SEARCH(Assumptions!$C$7,C2973)),Assumptions!$D$7,"Other Services"))),"Other Services"))</f>
        <v/>
      </c>
    </row>
    <row r="2974" customFormat="false" ht="15" hidden="false" customHeight="false" outlineLevel="0" collapsed="false">
      <c r="F2974" s="41" t="str">
        <f aca="false">IF(C2974="","",IFERROR(IF(ISNUMBER(SEARCH(Assumptions!$C$5,C2974)),Assumptions!$D$5,IF(ISNUMBER(SEARCH(Assumptions!$C$6,C2974)),Assumptions!$D$6,IF(ISNUMBER(SEARCH(Assumptions!$C$7,C2974)),Assumptions!$D$7,"Other Services"))),"Other Services"))</f>
        <v/>
      </c>
    </row>
    <row r="2975" customFormat="false" ht="15" hidden="false" customHeight="false" outlineLevel="0" collapsed="false">
      <c r="F2975" s="41" t="str">
        <f aca="false">IF(C2975="","",IFERROR(IF(ISNUMBER(SEARCH(Assumptions!$C$5,C2975)),Assumptions!$D$5,IF(ISNUMBER(SEARCH(Assumptions!$C$6,C2975)),Assumptions!$D$6,IF(ISNUMBER(SEARCH(Assumptions!$C$7,C2975)),Assumptions!$D$7,"Other Services"))),"Other Services"))</f>
        <v/>
      </c>
    </row>
    <row r="2976" customFormat="false" ht="15" hidden="false" customHeight="false" outlineLevel="0" collapsed="false">
      <c r="F2976" s="41" t="str">
        <f aca="false">IF(C2976="","",IFERROR(IF(ISNUMBER(SEARCH(Assumptions!$C$5,C2976)),Assumptions!$D$5,IF(ISNUMBER(SEARCH(Assumptions!$C$6,C2976)),Assumptions!$D$6,IF(ISNUMBER(SEARCH(Assumptions!$C$7,C2976)),Assumptions!$D$7,"Other Services"))),"Other Services"))</f>
        <v/>
      </c>
    </row>
    <row r="2977" customFormat="false" ht="15" hidden="false" customHeight="false" outlineLevel="0" collapsed="false">
      <c r="F2977" s="41" t="str">
        <f aca="false">IF(C2977="","",IFERROR(IF(ISNUMBER(SEARCH(Assumptions!$C$5,C2977)),Assumptions!$D$5,IF(ISNUMBER(SEARCH(Assumptions!$C$6,C2977)),Assumptions!$D$6,IF(ISNUMBER(SEARCH(Assumptions!$C$7,C2977)),Assumptions!$D$7,"Other Services"))),"Other Services"))</f>
        <v/>
      </c>
    </row>
    <row r="2978" customFormat="false" ht="15" hidden="false" customHeight="false" outlineLevel="0" collapsed="false">
      <c r="F2978" s="41" t="str">
        <f aca="false">IF(C2978="","",IFERROR(IF(ISNUMBER(SEARCH(Assumptions!$C$5,C2978)),Assumptions!$D$5,IF(ISNUMBER(SEARCH(Assumptions!$C$6,C2978)),Assumptions!$D$6,IF(ISNUMBER(SEARCH(Assumptions!$C$7,C2978)),Assumptions!$D$7,"Other Services"))),"Other Services"))</f>
        <v/>
      </c>
    </row>
    <row r="2979" customFormat="false" ht="15" hidden="false" customHeight="false" outlineLevel="0" collapsed="false">
      <c r="F2979" s="41" t="str">
        <f aca="false">IF(C2979="","",IFERROR(IF(ISNUMBER(SEARCH(Assumptions!$C$5,C2979)),Assumptions!$D$5,IF(ISNUMBER(SEARCH(Assumptions!$C$6,C2979)),Assumptions!$D$6,IF(ISNUMBER(SEARCH(Assumptions!$C$7,C2979)),Assumptions!$D$7,"Other Services"))),"Other Services"))</f>
        <v/>
      </c>
    </row>
    <row r="2980" customFormat="false" ht="15" hidden="false" customHeight="false" outlineLevel="0" collapsed="false">
      <c r="F2980" s="41" t="str">
        <f aca="false">IF(C2980="","",IFERROR(IF(ISNUMBER(SEARCH(Assumptions!$C$5,C2980)),Assumptions!$D$5,IF(ISNUMBER(SEARCH(Assumptions!$C$6,C2980)),Assumptions!$D$6,IF(ISNUMBER(SEARCH(Assumptions!$C$7,C2980)),Assumptions!$D$7,"Other Services"))),"Other Services"))</f>
        <v/>
      </c>
    </row>
    <row r="2981" customFormat="false" ht="15" hidden="false" customHeight="false" outlineLevel="0" collapsed="false">
      <c r="F2981" s="41" t="str">
        <f aca="false">IF(C2981="","",IFERROR(IF(ISNUMBER(SEARCH(Assumptions!$C$5,C2981)),Assumptions!$D$5,IF(ISNUMBER(SEARCH(Assumptions!$C$6,C2981)),Assumptions!$D$6,IF(ISNUMBER(SEARCH(Assumptions!$C$7,C2981)),Assumptions!$D$7,"Other Services"))),"Other Services"))</f>
        <v/>
      </c>
    </row>
    <row r="2982" customFormat="false" ht="15" hidden="false" customHeight="false" outlineLevel="0" collapsed="false">
      <c r="F2982" s="41" t="str">
        <f aca="false">IF(C2982="","",IFERROR(IF(ISNUMBER(SEARCH(Assumptions!$C$5,C2982)),Assumptions!$D$5,IF(ISNUMBER(SEARCH(Assumptions!$C$6,C2982)),Assumptions!$D$6,IF(ISNUMBER(SEARCH(Assumptions!$C$7,C2982)),Assumptions!$D$7,"Other Services"))),"Other Services"))</f>
        <v/>
      </c>
    </row>
    <row r="2983" customFormat="false" ht="15" hidden="false" customHeight="false" outlineLevel="0" collapsed="false">
      <c r="F2983" s="41" t="str">
        <f aca="false">IF(C2983="","",IFERROR(IF(ISNUMBER(SEARCH(Assumptions!$C$5,C2983)),Assumptions!$D$5,IF(ISNUMBER(SEARCH(Assumptions!$C$6,C2983)),Assumptions!$D$6,IF(ISNUMBER(SEARCH(Assumptions!$C$7,C2983)),Assumptions!$D$7,"Other Services"))),"Other Services"))</f>
        <v/>
      </c>
    </row>
    <row r="2984" customFormat="false" ht="15" hidden="false" customHeight="false" outlineLevel="0" collapsed="false">
      <c r="F2984" s="41" t="str">
        <f aca="false">IF(C2984="","",IFERROR(IF(ISNUMBER(SEARCH(Assumptions!$C$5,C2984)),Assumptions!$D$5,IF(ISNUMBER(SEARCH(Assumptions!$C$6,C2984)),Assumptions!$D$6,IF(ISNUMBER(SEARCH(Assumptions!$C$7,C2984)),Assumptions!$D$7,"Other Services"))),"Other Services"))</f>
        <v/>
      </c>
    </row>
    <row r="2985" customFormat="false" ht="15" hidden="false" customHeight="false" outlineLevel="0" collapsed="false">
      <c r="F2985" s="41" t="str">
        <f aca="false">IF(C2985="","",IFERROR(IF(ISNUMBER(SEARCH(Assumptions!$C$5,C2985)),Assumptions!$D$5,IF(ISNUMBER(SEARCH(Assumptions!$C$6,C2985)),Assumptions!$D$6,IF(ISNUMBER(SEARCH(Assumptions!$C$7,C2985)),Assumptions!$D$7,"Other Services"))),"Other Services"))</f>
        <v/>
      </c>
    </row>
    <row r="2986" customFormat="false" ht="15" hidden="false" customHeight="false" outlineLevel="0" collapsed="false">
      <c r="F2986" s="41" t="str">
        <f aca="false">IF(C2986="","",IFERROR(IF(ISNUMBER(SEARCH(Assumptions!$C$5,C2986)),Assumptions!$D$5,IF(ISNUMBER(SEARCH(Assumptions!$C$6,C2986)),Assumptions!$D$6,IF(ISNUMBER(SEARCH(Assumptions!$C$7,C2986)),Assumptions!$D$7,"Other Services"))),"Other Services"))</f>
        <v/>
      </c>
    </row>
    <row r="2987" customFormat="false" ht="15" hidden="false" customHeight="false" outlineLevel="0" collapsed="false">
      <c r="F2987" s="41" t="str">
        <f aca="false">IF(C2987="","",IFERROR(IF(ISNUMBER(SEARCH(Assumptions!$C$5,C2987)),Assumptions!$D$5,IF(ISNUMBER(SEARCH(Assumptions!$C$6,C2987)),Assumptions!$D$6,IF(ISNUMBER(SEARCH(Assumptions!$C$7,C2987)),Assumptions!$D$7,"Other Services"))),"Other Services"))</f>
        <v/>
      </c>
    </row>
    <row r="2988" customFormat="false" ht="15" hidden="false" customHeight="false" outlineLevel="0" collapsed="false">
      <c r="F2988" s="41" t="str">
        <f aca="false">IF(C2988="","",IFERROR(IF(ISNUMBER(SEARCH(Assumptions!$C$5,C2988)),Assumptions!$D$5,IF(ISNUMBER(SEARCH(Assumptions!$C$6,C2988)),Assumptions!$D$6,IF(ISNUMBER(SEARCH(Assumptions!$C$7,C2988)),Assumptions!$D$7,"Other Services"))),"Other Services"))</f>
        <v/>
      </c>
    </row>
    <row r="2989" customFormat="false" ht="15" hidden="false" customHeight="false" outlineLevel="0" collapsed="false">
      <c r="F2989" s="41" t="str">
        <f aca="false">IF(C2989="","",IFERROR(IF(ISNUMBER(SEARCH(Assumptions!$C$5,C2989)),Assumptions!$D$5,IF(ISNUMBER(SEARCH(Assumptions!$C$6,C2989)),Assumptions!$D$6,IF(ISNUMBER(SEARCH(Assumptions!$C$7,C2989)),Assumptions!$D$7,"Other Services"))),"Other Services"))</f>
        <v/>
      </c>
    </row>
    <row r="2990" customFormat="false" ht="15" hidden="false" customHeight="false" outlineLevel="0" collapsed="false">
      <c r="F2990" s="41" t="str">
        <f aca="false">IF(C2990="","",IFERROR(IF(ISNUMBER(SEARCH(Assumptions!$C$5,C2990)),Assumptions!$D$5,IF(ISNUMBER(SEARCH(Assumptions!$C$6,C2990)),Assumptions!$D$6,IF(ISNUMBER(SEARCH(Assumptions!$C$7,C2990)),Assumptions!$D$7,"Other Services"))),"Other Services"))</f>
        <v/>
      </c>
    </row>
    <row r="2991" customFormat="false" ht="15" hidden="false" customHeight="false" outlineLevel="0" collapsed="false">
      <c r="F2991" s="41" t="str">
        <f aca="false">IF(C2991="","",IFERROR(IF(ISNUMBER(SEARCH(Assumptions!$C$5,C2991)),Assumptions!$D$5,IF(ISNUMBER(SEARCH(Assumptions!$C$6,C2991)),Assumptions!$D$6,IF(ISNUMBER(SEARCH(Assumptions!$C$7,C2991)),Assumptions!$D$7,"Other Services"))),"Other Services"))</f>
        <v/>
      </c>
    </row>
    <row r="2992" customFormat="false" ht="15" hidden="false" customHeight="false" outlineLevel="0" collapsed="false">
      <c r="F2992" s="41" t="str">
        <f aca="false">IF(C2992="","",IFERROR(IF(ISNUMBER(SEARCH(Assumptions!$C$5,C2992)),Assumptions!$D$5,IF(ISNUMBER(SEARCH(Assumptions!$C$6,C2992)),Assumptions!$D$6,IF(ISNUMBER(SEARCH(Assumptions!$C$7,C2992)),Assumptions!$D$7,"Other Services"))),"Other Services"))</f>
        <v/>
      </c>
    </row>
    <row r="2993" customFormat="false" ht="15" hidden="false" customHeight="false" outlineLevel="0" collapsed="false">
      <c r="F2993" s="41" t="str">
        <f aca="false">IF(C2993="","",IFERROR(IF(ISNUMBER(SEARCH(Assumptions!$C$5,C2993)),Assumptions!$D$5,IF(ISNUMBER(SEARCH(Assumptions!$C$6,C2993)),Assumptions!$D$6,IF(ISNUMBER(SEARCH(Assumptions!$C$7,C2993)),Assumptions!$D$7,"Other Services"))),"Other Services"))</f>
        <v/>
      </c>
    </row>
    <row r="2994" customFormat="false" ht="15" hidden="false" customHeight="false" outlineLevel="0" collapsed="false">
      <c r="F2994" s="41" t="str">
        <f aca="false">IF(C2994="","",IFERROR(IF(ISNUMBER(SEARCH(Assumptions!$C$5,C2994)),Assumptions!$D$5,IF(ISNUMBER(SEARCH(Assumptions!$C$6,C2994)),Assumptions!$D$6,IF(ISNUMBER(SEARCH(Assumptions!$C$7,C2994)),Assumptions!$D$7,"Other Services"))),"Other Services"))</f>
        <v/>
      </c>
    </row>
    <row r="2995" customFormat="false" ht="15" hidden="false" customHeight="false" outlineLevel="0" collapsed="false">
      <c r="F2995" s="41" t="str">
        <f aca="false">IF(C2995="","",IFERROR(IF(ISNUMBER(SEARCH(Assumptions!$C$5,C2995)),Assumptions!$D$5,IF(ISNUMBER(SEARCH(Assumptions!$C$6,C2995)),Assumptions!$D$6,IF(ISNUMBER(SEARCH(Assumptions!$C$7,C2995)),Assumptions!$D$7,"Other Services"))),"Other Services"))</f>
        <v/>
      </c>
    </row>
    <row r="2996" customFormat="false" ht="15" hidden="false" customHeight="false" outlineLevel="0" collapsed="false">
      <c r="F2996" s="41" t="str">
        <f aca="false">IF(C2996="","",IFERROR(IF(ISNUMBER(SEARCH(Assumptions!$C$5,C2996)),Assumptions!$D$5,IF(ISNUMBER(SEARCH(Assumptions!$C$6,C2996)),Assumptions!$D$6,IF(ISNUMBER(SEARCH(Assumptions!$C$7,C2996)),Assumptions!$D$7,"Other Services"))),"Other Services"))</f>
        <v/>
      </c>
    </row>
    <row r="2997" customFormat="false" ht="15" hidden="false" customHeight="false" outlineLevel="0" collapsed="false">
      <c r="F2997" s="41" t="str">
        <f aca="false">IF(C2997="","",IFERROR(IF(ISNUMBER(SEARCH(Assumptions!$C$5,C2997)),Assumptions!$D$5,IF(ISNUMBER(SEARCH(Assumptions!$C$6,C2997)),Assumptions!$D$6,IF(ISNUMBER(SEARCH(Assumptions!$C$7,C2997)),Assumptions!$D$7,"Other Services"))),"Other Services"))</f>
        <v/>
      </c>
    </row>
    <row r="2998" customFormat="false" ht="15" hidden="false" customHeight="false" outlineLevel="0" collapsed="false">
      <c r="F2998" s="41" t="str">
        <f aca="false">IF(C2998="","",IFERROR(IF(ISNUMBER(SEARCH(Assumptions!$C$5,C2998)),Assumptions!$D$5,IF(ISNUMBER(SEARCH(Assumptions!$C$6,C2998)),Assumptions!$D$6,IF(ISNUMBER(SEARCH(Assumptions!$C$7,C2998)),Assumptions!$D$7,"Other Services"))),"Other Services"))</f>
        <v/>
      </c>
    </row>
    <row r="2999" customFormat="false" ht="15" hidden="false" customHeight="false" outlineLevel="0" collapsed="false">
      <c r="F2999" s="41" t="str">
        <f aca="false">IF(C2999="","",IFERROR(IF(ISNUMBER(SEARCH(Assumptions!$C$5,C2999)),Assumptions!$D$5,IF(ISNUMBER(SEARCH(Assumptions!$C$6,C2999)),Assumptions!$D$6,IF(ISNUMBER(SEARCH(Assumptions!$C$7,C2999)),Assumptions!$D$7,"Other Services"))),"Other Services"))</f>
        <v/>
      </c>
    </row>
    <row r="3000" customFormat="false" ht="15" hidden="false" customHeight="false" outlineLevel="0" collapsed="false">
      <c r="F3000" s="41" t="str">
        <f aca="false">IF(C3000="","",IFERROR(IF(ISNUMBER(SEARCH(Assumptions!$C$5,C3000)),Assumptions!$D$5,IF(ISNUMBER(SEARCH(Assumptions!$C$6,C3000)),Assumptions!$D$6,IF(ISNUMBER(SEARCH(Assumptions!$C$7,C3000)),Assumptions!$D$7,"Other Services"))),"Other Services"))</f>
        <v/>
      </c>
    </row>
    <row r="3001" customFormat="false" ht="15" hidden="false" customHeight="false" outlineLevel="0" collapsed="false">
      <c r="F3001" s="41" t="str">
        <f aca="false">IF(C3001="","",IFERROR(IF(ISNUMBER(SEARCH(Assumptions!$C$5,C3001)),Assumptions!$D$5,IF(ISNUMBER(SEARCH(Assumptions!$C$6,C3001)),Assumptions!$D$6,IF(ISNUMBER(SEARCH(Assumptions!$C$7,C3001)),Assumptions!$D$7,"Other Services"))),"Other Services"))</f>
        <v/>
      </c>
    </row>
    <row r="3002" customFormat="false" ht="15" hidden="false" customHeight="false" outlineLevel="0" collapsed="false">
      <c r="F3002" s="41" t="str">
        <f aca="false">IF(C3002="","",IFERROR(IF(ISNUMBER(SEARCH(Assumptions!$C$5,C3002)),Assumptions!$D$5,IF(ISNUMBER(SEARCH(Assumptions!$C$6,C3002)),Assumptions!$D$6,IF(ISNUMBER(SEARCH(Assumptions!$C$7,C3002)),Assumptions!$D$7,"Other Services"))),"Other Services"))</f>
        <v/>
      </c>
    </row>
    <row r="3003" customFormat="false" ht="15" hidden="false" customHeight="false" outlineLevel="0" collapsed="false">
      <c r="F3003" s="41" t="str">
        <f aca="false">IF(C3003="","",IFERROR(IF(ISNUMBER(SEARCH(Assumptions!$C$5,C3003)),Assumptions!$D$5,IF(ISNUMBER(SEARCH(Assumptions!$C$6,C3003)),Assumptions!$D$6,IF(ISNUMBER(SEARCH(Assumptions!$C$7,C3003)),Assumptions!$D$7,"Other Services"))),"Other Services"))</f>
        <v/>
      </c>
    </row>
    <row r="3004" customFormat="false" ht="15" hidden="false" customHeight="false" outlineLevel="0" collapsed="false">
      <c r="F3004" s="41" t="str">
        <f aca="false">IF(C3004="","",IFERROR(IF(ISNUMBER(SEARCH(Assumptions!$C$5,C3004)),Assumptions!$D$5,IF(ISNUMBER(SEARCH(Assumptions!$C$6,C3004)),Assumptions!$D$6,IF(ISNUMBER(SEARCH(Assumptions!$C$7,C3004)),Assumptions!$D$7,"Other Services"))),"Other Services"))</f>
        <v/>
      </c>
    </row>
    <row r="3005" customFormat="false" ht="15" hidden="false" customHeight="false" outlineLevel="0" collapsed="false">
      <c r="F3005" s="41" t="str">
        <f aca="false">IF(C3005="","",IFERROR(IF(ISNUMBER(SEARCH(Assumptions!$C$5,C3005)),Assumptions!$D$5,IF(ISNUMBER(SEARCH(Assumptions!$C$6,C3005)),Assumptions!$D$6,IF(ISNUMBER(SEARCH(Assumptions!$C$7,C3005)),Assumptions!$D$7,"Other Services"))),"Other Services"))</f>
        <v/>
      </c>
    </row>
    <row r="3006" customFormat="false" ht="15" hidden="false" customHeight="false" outlineLevel="0" collapsed="false">
      <c r="F3006" s="41" t="str">
        <f aca="false">IF(C3006="","",IFERROR(IF(ISNUMBER(SEARCH(Assumptions!$C$5,C3006)),Assumptions!$D$5,IF(ISNUMBER(SEARCH(Assumptions!$C$6,C3006)),Assumptions!$D$6,IF(ISNUMBER(SEARCH(Assumptions!$C$7,C3006)),Assumptions!$D$7,"Other Services"))),"Other Services"))</f>
        <v/>
      </c>
    </row>
    <row r="3007" customFormat="false" ht="15" hidden="false" customHeight="false" outlineLevel="0" collapsed="false">
      <c r="F3007" s="41" t="str">
        <f aca="false">IF(C3007="","",IFERROR(IF(ISNUMBER(SEARCH(Assumptions!$C$5,C3007)),Assumptions!$D$5,IF(ISNUMBER(SEARCH(Assumptions!$C$6,C3007)),Assumptions!$D$6,IF(ISNUMBER(SEARCH(Assumptions!$C$7,C3007)),Assumptions!$D$7,"Other Services"))),"Other Services"))</f>
        <v/>
      </c>
    </row>
    <row r="3008" customFormat="false" ht="15" hidden="false" customHeight="false" outlineLevel="0" collapsed="false">
      <c r="F3008" s="41" t="str">
        <f aca="false">IF(C3008="","",IFERROR(IF(ISNUMBER(SEARCH(Assumptions!$C$5,C3008)),Assumptions!$D$5,IF(ISNUMBER(SEARCH(Assumptions!$C$6,C3008)),Assumptions!$D$6,IF(ISNUMBER(SEARCH(Assumptions!$C$7,C3008)),Assumptions!$D$7,"Other Services"))),"Other Services"))</f>
        <v/>
      </c>
    </row>
    <row r="3009" customFormat="false" ht="15" hidden="false" customHeight="false" outlineLevel="0" collapsed="false">
      <c r="F3009" s="41" t="str">
        <f aca="false">IF(C3009="","",IFERROR(IF(ISNUMBER(SEARCH(Assumptions!$C$5,C3009)),Assumptions!$D$5,IF(ISNUMBER(SEARCH(Assumptions!$C$6,C3009)),Assumptions!$D$6,IF(ISNUMBER(SEARCH(Assumptions!$C$7,C3009)),Assumptions!$D$7,"Other Services"))),"Other Services"))</f>
        <v/>
      </c>
    </row>
    <row r="3010" customFormat="false" ht="15" hidden="false" customHeight="false" outlineLevel="0" collapsed="false">
      <c r="F3010" s="41" t="str">
        <f aca="false">IF(C3010="","",IFERROR(IF(ISNUMBER(SEARCH(Assumptions!$C$5,C3010)),Assumptions!$D$5,IF(ISNUMBER(SEARCH(Assumptions!$C$6,C3010)),Assumptions!$D$6,IF(ISNUMBER(SEARCH(Assumptions!$C$7,C3010)),Assumptions!$D$7,"Other Services"))),"Other Services"))</f>
        <v/>
      </c>
    </row>
    <row r="3011" customFormat="false" ht="15" hidden="false" customHeight="false" outlineLevel="0" collapsed="false">
      <c r="F3011" s="41" t="str">
        <f aca="false">IF(C3011="","",IFERROR(IF(ISNUMBER(SEARCH(Assumptions!$C$5,C3011)),Assumptions!$D$5,IF(ISNUMBER(SEARCH(Assumptions!$C$6,C3011)),Assumptions!$D$6,IF(ISNUMBER(SEARCH(Assumptions!$C$7,C3011)),Assumptions!$D$7,"Other Services"))),"Other Services"))</f>
        <v/>
      </c>
    </row>
    <row r="3012" customFormat="false" ht="15" hidden="false" customHeight="false" outlineLevel="0" collapsed="false">
      <c r="F3012" s="41" t="str">
        <f aca="false">IF(C3012="","",IFERROR(IF(ISNUMBER(SEARCH(Assumptions!$C$5,C3012)),Assumptions!$D$5,IF(ISNUMBER(SEARCH(Assumptions!$C$6,C3012)),Assumptions!$D$6,IF(ISNUMBER(SEARCH(Assumptions!$C$7,C3012)),Assumptions!$D$7,"Other Services"))),"Other Services"))</f>
        <v/>
      </c>
    </row>
    <row r="3013" customFormat="false" ht="15" hidden="false" customHeight="false" outlineLevel="0" collapsed="false">
      <c r="F3013" s="41" t="str">
        <f aca="false">IF(C3013="","",IFERROR(IF(ISNUMBER(SEARCH(Assumptions!$C$5,C3013)),Assumptions!$D$5,IF(ISNUMBER(SEARCH(Assumptions!$C$6,C3013)),Assumptions!$D$6,IF(ISNUMBER(SEARCH(Assumptions!$C$7,C3013)),Assumptions!$D$7,"Other Services"))),"Other Services"))</f>
        <v/>
      </c>
    </row>
    <row r="3014" customFormat="false" ht="15" hidden="false" customHeight="false" outlineLevel="0" collapsed="false">
      <c r="F3014" s="41" t="str">
        <f aca="false">IF(C3014="","",IFERROR(IF(ISNUMBER(SEARCH(Assumptions!$C$5,C3014)),Assumptions!$D$5,IF(ISNUMBER(SEARCH(Assumptions!$C$6,C3014)),Assumptions!$D$6,IF(ISNUMBER(SEARCH(Assumptions!$C$7,C3014)),Assumptions!$D$7,"Other Services"))),"Other Services"))</f>
        <v/>
      </c>
    </row>
    <row r="3015" customFormat="false" ht="15" hidden="false" customHeight="false" outlineLevel="0" collapsed="false">
      <c r="F3015" s="41" t="str">
        <f aca="false">IF(C3015="","",IFERROR(IF(ISNUMBER(SEARCH(Assumptions!$C$5,C3015)),Assumptions!$D$5,IF(ISNUMBER(SEARCH(Assumptions!$C$6,C3015)),Assumptions!$D$6,IF(ISNUMBER(SEARCH(Assumptions!$C$7,C3015)),Assumptions!$D$7,"Other Services"))),"Other Services"))</f>
        <v/>
      </c>
    </row>
    <row r="3016" customFormat="false" ht="15" hidden="false" customHeight="false" outlineLevel="0" collapsed="false">
      <c r="F3016" s="41" t="str">
        <f aca="false">IF(C3016="","",IFERROR(IF(ISNUMBER(SEARCH(Assumptions!$C$5,C3016)),Assumptions!$D$5,IF(ISNUMBER(SEARCH(Assumptions!$C$6,C3016)),Assumptions!$D$6,IF(ISNUMBER(SEARCH(Assumptions!$C$7,C3016)),Assumptions!$D$7,"Other Services"))),"Other Services"))</f>
        <v/>
      </c>
    </row>
    <row r="3017" customFormat="false" ht="15" hidden="false" customHeight="false" outlineLevel="0" collapsed="false">
      <c r="F3017" s="41" t="str">
        <f aca="false">IF(C3017="","",IFERROR(IF(ISNUMBER(SEARCH(Assumptions!$C$5,C3017)),Assumptions!$D$5,IF(ISNUMBER(SEARCH(Assumptions!$C$6,C3017)),Assumptions!$D$6,IF(ISNUMBER(SEARCH(Assumptions!$C$7,C3017)),Assumptions!$D$7,"Other Services"))),"Other Services"))</f>
        <v/>
      </c>
    </row>
    <row r="3018" customFormat="false" ht="15" hidden="false" customHeight="false" outlineLevel="0" collapsed="false">
      <c r="F3018" s="41" t="str">
        <f aca="false">IF(C3018="","",IFERROR(IF(ISNUMBER(SEARCH(Assumptions!$C$5,C3018)),Assumptions!$D$5,IF(ISNUMBER(SEARCH(Assumptions!$C$6,C3018)),Assumptions!$D$6,IF(ISNUMBER(SEARCH(Assumptions!$C$7,C3018)),Assumptions!$D$7,"Other Services"))),"Other Services"))</f>
        <v/>
      </c>
    </row>
    <row r="3019" customFormat="false" ht="15" hidden="false" customHeight="false" outlineLevel="0" collapsed="false">
      <c r="F3019" s="41" t="str">
        <f aca="false">IF(C3019="","",IFERROR(IF(ISNUMBER(SEARCH(Assumptions!$C$5,C3019)),Assumptions!$D$5,IF(ISNUMBER(SEARCH(Assumptions!$C$6,C3019)),Assumptions!$D$6,IF(ISNUMBER(SEARCH(Assumptions!$C$7,C3019)),Assumptions!$D$7,"Other Services"))),"Other Services"))</f>
        <v/>
      </c>
    </row>
    <row r="3020" customFormat="false" ht="15" hidden="false" customHeight="false" outlineLevel="0" collapsed="false">
      <c r="F3020" s="41" t="str">
        <f aca="false">IF(C3020="","",IFERROR(IF(ISNUMBER(SEARCH(Assumptions!$C$5,C3020)),Assumptions!$D$5,IF(ISNUMBER(SEARCH(Assumptions!$C$6,C3020)),Assumptions!$D$6,IF(ISNUMBER(SEARCH(Assumptions!$C$7,C3020)),Assumptions!$D$7,"Other Services"))),"Other Services"))</f>
        <v/>
      </c>
    </row>
    <row r="3021" customFormat="false" ht="15" hidden="false" customHeight="false" outlineLevel="0" collapsed="false">
      <c r="F3021" s="41" t="str">
        <f aca="false">IF(C3021="","",IFERROR(IF(ISNUMBER(SEARCH(Assumptions!$C$5,C3021)),Assumptions!$D$5,IF(ISNUMBER(SEARCH(Assumptions!$C$6,C3021)),Assumptions!$D$6,IF(ISNUMBER(SEARCH(Assumptions!$C$7,C3021)),Assumptions!$D$7,"Other Services"))),"Other Services"))</f>
        <v/>
      </c>
    </row>
    <row r="3022" customFormat="false" ht="15" hidden="false" customHeight="false" outlineLevel="0" collapsed="false">
      <c r="F3022" s="41" t="str">
        <f aca="false">IF(C3022="","",IFERROR(IF(ISNUMBER(SEARCH(Assumptions!$C$5,C3022)),Assumptions!$D$5,IF(ISNUMBER(SEARCH(Assumptions!$C$6,C3022)),Assumptions!$D$6,IF(ISNUMBER(SEARCH(Assumptions!$C$7,C3022)),Assumptions!$D$7,"Other Services"))),"Other Services"))</f>
        <v/>
      </c>
    </row>
    <row r="3023" customFormat="false" ht="15" hidden="false" customHeight="false" outlineLevel="0" collapsed="false">
      <c r="F3023" s="41" t="str">
        <f aca="false">IF(C3023="","",IFERROR(IF(ISNUMBER(SEARCH(Assumptions!$C$5,C3023)),Assumptions!$D$5,IF(ISNUMBER(SEARCH(Assumptions!$C$6,C3023)),Assumptions!$D$6,IF(ISNUMBER(SEARCH(Assumptions!$C$7,C3023)),Assumptions!$D$7,"Other Services"))),"Other Services"))</f>
        <v/>
      </c>
    </row>
    <row r="3024" customFormat="false" ht="15" hidden="false" customHeight="false" outlineLevel="0" collapsed="false">
      <c r="F3024" s="41" t="str">
        <f aca="false">IF(C3024="","",IFERROR(IF(ISNUMBER(SEARCH(Assumptions!$C$5,C3024)),Assumptions!$D$5,IF(ISNUMBER(SEARCH(Assumptions!$C$6,C3024)),Assumptions!$D$6,IF(ISNUMBER(SEARCH(Assumptions!$C$7,C3024)),Assumptions!$D$7,"Other Services"))),"Other Services"))</f>
        <v/>
      </c>
    </row>
    <row r="3025" customFormat="false" ht="15" hidden="false" customHeight="false" outlineLevel="0" collapsed="false">
      <c r="F3025" s="41" t="str">
        <f aca="false">IF(C3025="","",IFERROR(IF(ISNUMBER(SEARCH(Assumptions!$C$5,C3025)),Assumptions!$D$5,IF(ISNUMBER(SEARCH(Assumptions!$C$6,C3025)),Assumptions!$D$6,IF(ISNUMBER(SEARCH(Assumptions!$C$7,C3025)),Assumptions!$D$7,"Other Services"))),"Other Services"))</f>
        <v/>
      </c>
    </row>
    <row r="3026" customFormat="false" ht="15" hidden="false" customHeight="false" outlineLevel="0" collapsed="false">
      <c r="F3026" s="41" t="str">
        <f aca="false">IF(C3026="","",IFERROR(IF(ISNUMBER(SEARCH(Assumptions!$C$5,C3026)),Assumptions!$D$5,IF(ISNUMBER(SEARCH(Assumptions!$C$6,C3026)),Assumptions!$D$6,IF(ISNUMBER(SEARCH(Assumptions!$C$7,C3026)),Assumptions!$D$7,"Other Services"))),"Other Services"))</f>
        <v/>
      </c>
    </row>
    <row r="3027" customFormat="false" ht="15" hidden="false" customHeight="false" outlineLevel="0" collapsed="false">
      <c r="F3027" s="41" t="str">
        <f aca="false">IF(C3027="","",IFERROR(IF(ISNUMBER(SEARCH(Assumptions!$C$5,C3027)),Assumptions!$D$5,IF(ISNUMBER(SEARCH(Assumptions!$C$6,C3027)),Assumptions!$D$6,IF(ISNUMBER(SEARCH(Assumptions!$C$7,C3027)),Assumptions!$D$7,"Other Services"))),"Other Services"))</f>
        <v/>
      </c>
    </row>
    <row r="3028" customFormat="false" ht="15" hidden="false" customHeight="false" outlineLevel="0" collapsed="false">
      <c r="F3028" s="41" t="str">
        <f aca="false">IF(C3028="","",IFERROR(IF(ISNUMBER(SEARCH(Assumptions!$C$5,C3028)),Assumptions!$D$5,IF(ISNUMBER(SEARCH(Assumptions!$C$6,C3028)),Assumptions!$D$6,IF(ISNUMBER(SEARCH(Assumptions!$C$7,C3028)),Assumptions!$D$7,"Other Services"))),"Other Services"))</f>
        <v/>
      </c>
    </row>
    <row r="3029" customFormat="false" ht="15" hidden="false" customHeight="false" outlineLevel="0" collapsed="false">
      <c r="F3029" s="41" t="str">
        <f aca="false">IF(C3029="","",IFERROR(IF(ISNUMBER(SEARCH(Assumptions!$C$5,C3029)),Assumptions!$D$5,IF(ISNUMBER(SEARCH(Assumptions!$C$6,C3029)),Assumptions!$D$6,IF(ISNUMBER(SEARCH(Assumptions!$C$7,C3029)),Assumptions!$D$7,"Other Services"))),"Other Services"))</f>
        <v/>
      </c>
    </row>
    <row r="3030" customFormat="false" ht="15" hidden="false" customHeight="false" outlineLevel="0" collapsed="false">
      <c r="F3030" s="41" t="str">
        <f aca="false">IF(C3030="","",IFERROR(IF(ISNUMBER(SEARCH(Assumptions!$C$5,C3030)),Assumptions!$D$5,IF(ISNUMBER(SEARCH(Assumptions!$C$6,C3030)),Assumptions!$D$6,IF(ISNUMBER(SEARCH(Assumptions!$C$7,C3030)),Assumptions!$D$7,"Other Services"))),"Other Services"))</f>
        <v/>
      </c>
    </row>
    <row r="3031" customFormat="false" ht="15" hidden="false" customHeight="false" outlineLevel="0" collapsed="false">
      <c r="F3031" s="41" t="str">
        <f aca="false">IF(C3031="","",IFERROR(IF(ISNUMBER(SEARCH(Assumptions!$C$5,C3031)),Assumptions!$D$5,IF(ISNUMBER(SEARCH(Assumptions!$C$6,C3031)),Assumptions!$D$6,IF(ISNUMBER(SEARCH(Assumptions!$C$7,C3031)),Assumptions!$D$7,"Other Services"))),"Other Services"))</f>
        <v/>
      </c>
    </row>
    <row r="3032" customFormat="false" ht="15" hidden="false" customHeight="false" outlineLevel="0" collapsed="false">
      <c r="F3032" s="41" t="str">
        <f aca="false">IF(C3032="","",IFERROR(IF(ISNUMBER(SEARCH(Assumptions!$C$5,C3032)),Assumptions!$D$5,IF(ISNUMBER(SEARCH(Assumptions!$C$6,C3032)),Assumptions!$D$6,IF(ISNUMBER(SEARCH(Assumptions!$C$7,C3032)),Assumptions!$D$7,"Other Services"))),"Other Services"))</f>
        <v/>
      </c>
    </row>
    <row r="3033" customFormat="false" ht="15" hidden="false" customHeight="false" outlineLevel="0" collapsed="false">
      <c r="F3033" s="41" t="str">
        <f aca="false">IF(C3033="","",IFERROR(IF(ISNUMBER(SEARCH(Assumptions!$C$5,C3033)),Assumptions!$D$5,IF(ISNUMBER(SEARCH(Assumptions!$C$6,C3033)),Assumptions!$D$6,IF(ISNUMBER(SEARCH(Assumptions!$C$7,C3033)),Assumptions!$D$7,"Other Services"))),"Other Services"))</f>
        <v/>
      </c>
    </row>
    <row r="3034" customFormat="false" ht="15" hidden="false" customHeight="false" outlineLevel="0" collapsed="false">
      <c r="F3034" s="41" t="str">
        <f aca="false">IF(C3034="","",IFERROR(IF(ISNUMBER(SEARCH(Assumptions!$C$5,C3034)),Assumptions!$D$5,IF(ISNUMBER(SEARCH(Assumptions!$C$6,C3034)),Assumptions!$D$6,IF(ISNUMBER(SEARCH(Assumptions!$C$7,C3034)),Assumptions!$D$7,"Other Services"))),"Other Services"))</f>
        <v/>
      </c>
    </row>
    <row r="3035" customFormat="false" ht="15" hidden="false" customHeight="false" outlineLevel="0" collapsed="false">
      <c r="F3035" s="41" t="str">
        <f aca="false">IF(C3035="","",IFERROR(IF(ISNUMBER(SEARCH(Assumptions!$C$5,C3035)),Assumptions!$D$5,IF(ISNUMBER(SEARCH(Assumptions!$C$6,C3035)),Assumptions!$D$6,IF(ISNUMBER(SEARCH(Assumptions!$C$7,C3035)),Assumptions!$D$7,"Other Services"))),"Other Services"))</f>
        <v/>
      </c>
    </row>
    <row r="3036" customFormat="false" ht="15" hidden="false" customHeight="false" outlineLevel="0" collapsed="false">
      <c r="F3036" s="41" t="str">
        <f aca="false">IF(C3036="","",IFERROR(IF(ISNUMBER(SEARCH(Assumptions!$C$5,C3036)),Assumptions!$D$5,IF(ISNUMBER(SEARCH(Assumptions!$C$6,C3036)),Assumptions!$D$6,IF(ISNUMBER(SEARCH(Assumptions!$C$7,C3036)),Assumptions!$D$7,"Other Services"))),"Other Services"))</f>
        <v/>
      </c>
    </row>
    <row r="3037" customFormat="false" ht="15" hidden="false" customHeight="false" outlineLevel="0" collapsed="false">
      <c r="F3037" s="41" t="str">
        <f aca="false">IF(C3037="","",IFERROR(IF(ISNUMBER(SEARCH(Assumptions!$C$5,C3037)),Assumptions!$D$5,IF(ISNUMBER(SEARCH(Assumptions!$C$6,C3037)),Assumptions!$D$6,IF(ISNUMBER(SEARCH(Assumptions!$C$7,C3037)),Assumptions!$D$7,"Other Services"))),"Other Services"))</f>
        <v/>
      </c>
    </row>
    <row r="3038" customFormat="false" ht="15" hidden="false" customHeight="false" outlineLevel="0" collapsed="false">
      <c r="F3038" s="41" t="str">
        <f aca="false">IF(C3038="","",IFERROR(IF(ISNUMBER(SEARCH(Assumptions!$C$5,C3038)),Assumptions!$D$5,IF(ISNUMBER(SEARCH(Assumptions!$C$6,C3038)),Assumptions!$D$6,IF(ISNUMBER(SEARCH(Assumptions!$C$7,C3038)),Assumptions!$D$7,"Other Services"))),"Other Services"))</f>
        <v/>
      </c>
    </row>
    <row r="3039" customFormat="false" ht="15" hidden="false" customHeight="false" outlineLevel="0" collapsed="false">
      <c r="F3039" s="41" t="str">
        <f aca="false">IF(C3039="","",IFERROR(IF(ISNUMBER(SEARCH(Assumptions!$C$5,C3039)),Assumptions!$D$5,IF(ISNUMBER(SEARCH(Assumptions!$C$6,C3039)),Assumptions!$D$6,IF(ISNUMBER(SEARCH(Assumptions!$C$7,C3039)),Assumptions!$D$7,"Other Services"))),"Other Services"))</f>
        <v/>
      </c>
    </row>
    <row r="3040" customFormat="false" ht="15" hidden="false" customHeight="false" outlineLevel="0" collapsed="false">
      <c r="F3040" s="41" t="str">
        <f aca="false">IF(C3040="","",IFERROR(IF(ISNUMBER(SEARCH(Assumptions!$C$5,C3040)),Assumptions!$D$5,IF(ISNUMBER(SEARCH(Assumptions!$C$6,C3040)),Assumptions!$D$6,IF(ISNUMBER(SEARCH(Assumptions!$C$7,C3040)),Assumptions!$D$7,"Other Services"))),"Other Services"))</f>
        <v/>
      </c>
    </row>
    <row r="3041" customFormat="false" ht="15" hidden="false" customHeight="false" outlineLevel="0" collapsed="false">
      <c r="F3041" s="41" t="str">
        <f aca="false">IF(C3041="","",IFERROR(IF(ISNUMBER(SEARCH(Assumptions!$C$5,C3041)),Assumptions!$D$5,IF(ISNUMBER(SEARCH(Assumptions!$C$6,C3041)),Assumptions!$D$6,IF(ISNUMBER(SEARCH(Assumptions!$C$7,C3041)),Assumptions!$D$7,"Other Services"))),"Other Services"))</f>
        <v/>
      </c>
    </row>
    <row r="3042" customFormat="false" ht="15" hidden="false" customHeight="false" outlineLevel="0" collapsed="false">
      <c r="F3042" s="41" t="str">
        <f aca="false">IF(C3042="","",IFERROR(IF(ISNUMBER(SEARCH(Assumptions!$C$5,C3042)),Assumptions!$D$5,IF(ISNUMBER(SEARCH(Assumptions!$C$6,C3042)),Assumptions!$D$6,IF(ISNUMBER(SEARCH(Assumptions!$C$7,C3042)),Assumptions!$D$7,"Other Services"))),"Other Services"))</f>
        <v/>
      </c>
    </row>
    <row r="3043" customFormat="false" ht="15" hidden="false" customHeight="false" outlineLevel="0" collapsed="false">
      <c r="F3043" s="41" t="str">
        <f aca="false">IF(C3043="","",IFERROR(IF(ISNUMBER(SEARCH(Assumptions!$C$5,C3043)),Assumptions!$D$5,IF(ISNUMBER(SEARCH(Assumptions!$C$6,C3043)),Assumptions!$D$6,IF(ISNUMBER(SEARCH(Assumptions!$C$7,C3043)),Assumptions!$D$7,"Other Services"))),"Other Services"))</f>
        <v/>
      </c>
    </row>
    <row r="3044" customFormat="false" ht="15" hidden="false" customHeight="false" outlineLevel="0" collapsed="false">
      <c r="F3044" s="41" t="str">
        <f aca="false">IF(C3044="","",IFERROR(IF(ISNUMBER(SEARCH(Assumptions!$C$5,C3044)),Assumptions!$D$5,IF(ISNUMBER(SEARCH(Assumptions!$C$6,C3044)),Assumptions!$D$6,IF(ISNUMBER(SEARCH(Assumptions!$C$7,C3044)),Assumptions!$D$7,"Other Services"))),"Other Services"))</f>
        <v/>
      </c>
    </row>
    <row r="3045" customFormat="false" ht="15" hidden="false" customHeight="false" outlineLevel="0" collapsed="false">
      <c r="F3045" s="41" t="str">
        <f aca="false">IF(C3045="","",IFERROR(IF(ISNUMBER(SEARCH(Assumptions!$C$5,C3045)),Assumptions!$D$5,IF(ISNUMBER(SEARCH(Assumptions!$C$6,C3045)),Assumptions!$D$6,IF(ISNUMBER(SEARCH(Assumptions!$C$7,C3045)),Assumptions!$D$7,"Other Services"))),"Other Services"))</f>
        <v/>
      </c>
    </row>
    <row r="3046" customFormat="false" ht="15" hidden="false" customHeight="false" outlineLevel="0" collapsed="false">
      <c r="F3046" s="41" t="str">
        <f aca="false">IF(C3046="","",IFERROR(IF(ISNUMBER(SEARCH(Assumptions!$C$5,C3046)),Assumptions!$D$5,IF(ISNUMBER(SEARCH(Assumptions!$C$6,C3046)),Assumptions!$D$6,IF(ISNUMBER(SEARCH(Assumptions!$C$7,C3046)),Assumptions!$D$7,"Other Services"))),"Other Services"))</f>
        <v/>
      </c>
    </row>
    <row r="3047" customFormat="false" ht="15" hidden="false" customHeight="false" outlineLevel="0" collapsed="false">
      <c r="F3047" s="41" t="str">
        <f aca="false">IF(C3047="","",IFERROR(IF(ISNUMBER(SEARCH(Assumptions!$C$5,C3047)),Assumptions!$D$5,IF(ISNUMBER(SEARCH(Assumptions!$C$6,C3047)),Assumptions!$D$6,IF(ISNUMBER(SEARCH(Assumptions!$C$7,C3047)),Assumptions!$D$7,"Other Services"))),"Other Services"))</f>
        <v/>
      </c>
    </row>
    <row r="3048" customFormat="false" ht="15" hidden="false" customHeight="false" outlineLevel="0" collapsed="false">
      <c r="F3048" s="41" t="str">
        <f aca="false">IF(C3048="","",IFERROR(IF(ISNUMBER(SEARCH(Assumptions!$C$5,C3048)),Assumptions!$D$5,IF(ISNUMBER(SEARCH(Assumptions!$C$6,C3048)),Assumptions!$D$6,IF(ISNUMBER(SEARCH(Assumptions!$C$7,C3048)),Assumptions!$D$7,"Other Services"))),"Other Services"))</f>
        <v/>
      </c>
    </row>
    <row r="3049" customFormat="false" ht="15" hidden="false" customHeight="false" outlineLevel="0" collapsed="false">
      <c r="F3049" s="41" t="str">
        <f aca="false">IF(C3049="","",IFERROR(IF(ISNUMBER(SEARCH(Assumptions!$C$5,C3049)),Assumptions!$D$5,IF(ISNUMBER(SEARCH(Assumptions!$C$6,C3049)),Assumptions!$D$6,IF(ISNUMBER(SEARCH(Assumptions!$C$7,C3049)),Assumptions!$D$7,"Other Services"))),"Other Services"))</f>
        <v/>
      </c>
    </row>
    <row r="3050" customFormat="false" ht="15" hidden="false" customHeight="false" outlineLevel="0" collapsed="false">
      <c r="F3050" s="41" t="str">
        <f aca="false">IF(C3050="","",IFERROR(IF(ISNUMBER(SEARCH(Assumptions!$C$5,C3050)),Assumptions!$D$5,IF(ISNUMBER(SEARCH(Assumptions!$C$6,C3050)),Assumptions!$D$6,IF(ISNUMBER(SEARCH(Assumptions!$C$7,C3050)),Assumptions!$D$7,"Other Services"))),"Other Services"))</f>
        <v/>
      </c>
    </row>
    <row r="3051" customFormat="false" ht="15" hidden="false" customHeight="false" outlineLevel="0" collapsed="false">
      <c r="F3051" s="41" t="str">
        <f aca="false">IF(C3051="","",IFERROR(IF(ISNUMBER(SEARCH(Assumptions!$C$5,C3051)),Assumptions!$D$5,IF(ISNUMBER(SEARCH(Assumptions!$C$6,C3051)),Assumptions!$D$6,IF(ISNUMBER(SEARCH(Assumptions!$C$7,C3051)),Assumptions!$D$7,"Other Services"))),"Other Services"))</f>
        <v/>
      </c>
    </row>
    <row r="3052" customFormat="false" ht="15" hidden="false" customHeight="false" outlineLevel="0" collapsed="false">
      <c r="F3052" s="41" t="str">
        <f aca="false">IF(C3052="","",IFERROR(IF(ISNUMBER(SEARCH(Assumptions!$C$5,C3052)),Assumptions!$D$5,IF(ISNUMBER(SEARCH(Assumptions!$C$6,C3052)),Assumptions!$D$6,IF(ISNUMBER(SEARCH(Assumptions!$C$7,C3052)),Assumptions!$D$7,"Other Services"))),"Other Services"))</f>
        <v/>
      </c>
    </row>
    <row r="3053" customFormat="false" ht="15" hidden="false" customHeight="false" outlineLevel="0" collapsed="false">
      <c r="F3053" s="41" t="str">
        <f aca="false">IF(C3053="","",IFERROR(IF(ISNUMBER(SEARCH(Assumptions!$C$5,C3053)),Assumptions!$D$5,IF(ISNUMBER(SEARCH(Assumptions!$C$6,C3053)),Assumptions!$D$6,IF(ISNUMBER(SEARCH(Assumptions!$C$7,C3053)),Assumptions!$D$7,"Other Services"))),"Other Services"))</f>
        <v/>
      </c>
    </row>
    <row r="3054" customFormat="false" ht="15" hidden="false" customHeight="false" outlineLevel="0" collapsed="false">
      <c r="F3054" s="41" t="str">
        <f aca="false">IF(C3054="","",IFERROR(IF(ISNUMBER(SEARCH(Assumptions!$C$5,C3054)),Assumptions!$D$5,IF(ISNUMBER(SEARCH(Assumptions!$C$6,C3054)),Assumptions!$D$6,IF(ISNUMBER(SEARCH(Assumptions!$C$7,C3054)),Assumptions!$D$7,"Other Services"))),"Other Services"))</f>
        <v/>
      </c>
    </row>
    <row r="3055" customFormat="false" ht="15" hidden="false" customHeight="false" outlineLevel="0" collapsed="false">
      <c r="F3055" s="41" t="str">
        <f aca="false">IF(C3055="","",IFERROR(IF(ISNUMBER(SEARCH(Assumptions!$C$5,C3055)),Assumptions!$D$5,IF(ISNUMBER(SEARCH(Assumptions!$C$6,C3055)),Assumptions!$D$6,IF(ISNUMBER(SEARCH(Assumptions!$C$7,C3055)),Assumptions!$D$7,"Other Services"))),"Other Services"))</f>
        <v/>
      </c>
    </row>
    <row r="3056" customFormat="false" ht="15" hidden="false" customHeight="false" outlineLevel="0" collapsed="false">
      <c r="F3056" s="41" t="str">
        <f aca="false">IF(C3056="","",IFERROR(IF(ISNUMBER(SEARCH(Assumptions!$C$5,C3056)),Assumptions!$D$5,IF(ISNUMBER(SEARCH(Assumptions!$C$6,C3056)),Assumptions!$D$6,IF(ISNUMBER(SEARCH(Assumptions!$C$7,C3056)),Assumptions!$D$7,"Other Services"))),"Other Services"))</f>
        <v/>
      </c>
    </row>
    <row r="3057" customFormat="false" ht="15" hidden="false" customHeight="false" outlineLevel="0" collapsed="false">
      <c r="F3057" s="41" t="str">
        <f aca="false">IF(C3057="","",IFERROR(IF(ISNUMBER(SEARCH(Assumptions!$C$5,C3057)),Assumptions!$D$5,IF(ISNUMBER(SEARCH(Assumptions!$C$6,C3057)),Assumptions!$D$6,IF(ISNUMBER(SEARCH(Assumptions!$C$7,C3057)),Assumptions!$D$7,"Other Services"))),"Other Services"))</f>
        <v/>
      </c>
    </row>
    <row r="3058" customFormat="false" ht="15" hidden="false" customHeight="false" outlineLevel="0" collapsed="false">
      <c r="F3058" s="41" t="str">
        <f aca="false">IF(C3058="","",IFERROR(IF(ISNUMBER(SEARCH(Assumptions!$C$5,C3058)),Assumptions!$D$5,IF(ISNUMBER(SEARCH(Assumptions!$C$6,C3058)),Assumptions!$D$6,IF(ISNUMBER(SEARCH(Assumptions!$C$7,C3058)),Assumptions!$D$7,"Other Services"))),"Other Services"))</f>
        <v/>
      </c>
    </row>
    <row r="3059" customFormat="false" ht="15" hidden="false" customHeight="false" outlineLevel="0" collapsed="false">
      <c r="F3059" s="41" t="str">
        <f aca="false">IF(C3059="","",IFERROR(IF(ISNUMBER(SEARCH(Assumptions!$C$5,C3059)),Assumptions!$D$5,IF(ISNUMBER(SEARCH(Assumptions!$C$6,C3059)),Assumptions!$D$6,IF(ISNUMBER(SEARCH(Assumptions!$C$7,C3059)),Assumptions!$D$7,"Other Services"))),"Other Services"))</f>
        <v/>
      </c>
    </row>
    <row r="3060" customFormat="false" ht="15" hidden="false" customHeight="false" outlineLevel="0" collapsed="false">
      <c r="F3060" s="41" t="str">
        <f aca="false">IF(C3060="","",IFERROR(IF(ISNUMBER(SEARCH(Assumptions!$C$5,C3060)),Assumptions!$D$5,IF(ISNUMBER(SEARCH(Assumptions!$C$6,C3060)),Assumptions!$D$6,IF(ISNUMBER(SEARCH(Assumptions!$C$7,C3060)),Assumptions!$D$7,"Other Services"))),"Other Services"))</f>
        <v/>
      </c>
    </row>
    <row r="3061" customFormat="false" ht="15" hidden="false" customHeight="false" outlineLevel="0" collapsed="false">
      <c r="F3061" s="41" t="str">
        <f aca="false">IF(C3061="","",IFERROR(IF(ISNUMBER(SEARCH(Assumptions!$C$5,C3061)),Assumptions!$D$5,IF(ISNUMBER(SEARCH(Assumptions!$C$6,C3061)),Assumptions!$D$6,IF(ISNUMBER(SEARCH(Assumptions!$C$7,C3061)),Assumptions!$D$7,"Other Services"))),"Other Services"))</f>
        <v/>
      </c>
    </row>
    <row r="3062" customFormat="false" ht="15" hidden="false" customHeight="false" outlineLevel="0" collapsed="false">
      <c r="F3062" s="41" t="str">
        <f aca="false">IF(C3062="","",IFERROR(IF(ISNUMBER(SEARCH(Assumptions!$C$5,C3062)),Assumptions!$D$5,IF(ISNUMBER(SEARCH(Assumptions!$C$6,C3062)),Assumptions!$D$6,IF(ISNUMBER(SEARCH(Assumptions!$C$7,C3062)),Assumptions!$D$7,"Other Services"))),"Other Services"))</f>
        <v/>
      </c>
    </row>
    <row r="3063" customFormat="false" ht="15" hidden="false" customHeight="false" outlineLevel="0" collapsed="false">
      <c r="F3063" s="41" t="str">
        <f aca="false">IF(C3063="","",IFERROR(IF(ISNUMBER(SEARCH(Assumptions!$C$5,C3063)),Assumptions!$D$5,IF(ISNUMBER(SEARCH(Assumptions!$C$6,C3063)),Assumptions!$D$6,IF(ISNUMBER(SEARCH(Assumptions!$C$7,C3063)),Assumptions!$D$7,"Other Services"))),"Other Services"))</f>
        <v/>
      </c>
    </row>
    <row r="3064" customFormat="false" ht="15" hidden="false" customHeight="false" outlineLevel="0" collapsed="false">
      <c r="F3064" s="41" t="str">
        <f aca="false">IF(C3064="","",IFERROR(IF(ISNUMBER(SEARCH(Assumptions!$C$5,C3064)),Assumptions!$D$5,IF(ISNUMBER(SEARCH(Assumptions!$C$6,C3064)),Assumptions!$D$6,IF(ISNUMBER(SEARCH(Assumptions!$C$7,C3064)),Assumptions!$D$7,"Other Services"))),"Other Services"))</f>
        <v/>
      </c>
    </row>
    <row r="3065" customFormat="false" ht="15" hidden="false" customHeight="false" outlineLevel="0" collapsed="false">
      <c r="F3065" s="41" t="str">
        <f aca="false">IF(C3065="","",IFERROR(IF(ISNUMBER(SEARCH(Assumptions!$C$5,C3065)),Assumptions!$D$5,IF(ISNUMBER(SEARCH(Assumptions!$C$6,C3065)),Assumptions!$D$6,IF(ISNUMBER(SEARCH(Assumptions!$C$7,C3065)),Assumptions!$D$7,"Other Services"))),"Other Services"))</f>
        <v/>
      </c>
    </row>
    <row r="3066" customFormat="false" ht="15" hidden="false" customHeight="false" outlineLevel="0" collapsed="false">
      <c r="F3066" s="41" t="str">
        <f aca="false">IF(C3066="","",IFERROR(IF(ISNUMBER(SEARCH(Assumptions!$C$5,C3066)),Assumptions!$D$5,IF(ISNUMBER(SEARCH(Assumptions!$C$6,C3066)),Assumptions!$D$6,IF(ISNUMBER(SEARCH(Assumptions!$C$7,C3066)),Assumptions!$D$7,"Other Services"))),"Other Services"))</f>
        <v/>
      </c>
    </row>
    <row r="3067" customFormat="false" ht="15" hidden="false" customHeight="false" outlineLevel="0" collapsed="false">
      <c r="F3067" s="41" t="str">
        <f aca="false">IF(C3067="","",IFERROR(IF(ISNUMBER(SEARCH(Assumptions!$C$5,C3067)),Assumptions!$D$5,IF(ISNUMBER(SEARCH(Assumptions!$C$6,C3067)),Assumptions!$D$6,IF(ISNUMBER(SEARCH(Assumptions!$C$7,C3067)),Assumptions!$D$7,"Other Services"))),"Other Services"))</f>
        <v/>
      </c>
    </row>
    <row r="3068" customFormat="false" ht="15" hidden="false" customHeight="false" outlineLevel="0" collapsed="false">
      <c r="F3068" s="41" t="str">
        <f aca="false">IF(C3068="","",IFERROR(IF(ISNUMBER(SEARCH(Assumptions!$C$5,C3068)),Assumptions!$D$5,IF(ISNUMBER(SEARCH(Assumptions!$C$6,C3068)),Assumptions!$D$6,IF(ISNUMBER(SEARCH(Assumptions!$C$7,C3068)),Assumptions!$D$7,"Other Services"))),"Other Services"))</f>
        <v/>
      </c>
    </row>
    <row r="3069" customFormat="false" ht="15" hidden="false" customHeight="false" outlineLevel="0" collapsed="false">
      <c r="F3069" s="41" t="str">
        <f aca="false">IF(C3069="","",IFERROR(IF(ISNUMBER(SEARCH(Assumptions!$C$5,C3069)),Assumptions!$D$5,IF(ISNUMBER(SEARCH(Assumptions!$C$6,C3069)),Assumptions!$D$6,IF(ISNUMBER(SEARCH(Assumptions!$C$7,C3069)),Assumptions!$D$7,"Other Services"))),"Other Services"))</f>
        <v/>
      </c>
    </row>
    <row r="3070" customFormat="false" ht="15" hidden="false" customHeight="false" outlineLevel="0" collapsed="false">
      <c r="F3070" s="41" t="str">
        <f aca="false">IF(C3070="","",IFERROR(IF(ISNUMBER(SEARCH(Assumptions!$C$5,C3070)),Assumptions!$D$5,IF(ISNUMBER(SEARCH(Assumptions!$C$6,C3070)),Assumptions!$D$6,IF(ISNUMBER(SEARCH(Assumptions!$C$7,C3070)),Assumptions!$D$7,"Other Services"))),"Other Services"))</f>
        <v/>
      </c>
    </row>
    <row r="3071" customFormat="false" ht="15" hidden="false" customHeight="false" outlineLevel="0" collapsed="false">
      <c r="F3071" s="41" t="str">
        <f aca="false">IF(C3071="","",IFERROR(IF(ISNUMBER(SEARCH(Assumptions!$C$5,C3071)),Assumptions!$D$5,IF(ISNUMBER(SEARCH(Assumptions!$C$6,C3071)),Assumptions!$D$6,IF(ISNUMBER(SEARCH(Assumptions!$C$7,C3071)),Assumptions!$D$7,"Other Services"))),"Other Services"))</f>
        <v/>
      </c>
    </row>
    <row r="3072" customFormat="false" ht="15" hidden="false" customHeight="false" outlineLevel="0" collapsed="false">
      <c r="F3072" s="41" t="str">
        <f aca="false">IF(C3072="","",IFERROR(IF(ISNUMBER(SEARCH(Assumptions!$C$5,C3072)),Assumptions!$D$5,IF(ISNUMBER(SEARCH(Assumptions!$C$6,C3072)),Assumptions!$D$6,IF(ISNUMBER(SEARCH(Assumptions!$C$7,C3072)),Assumptions!$D$7,"Other Services"))),"Other Services"))</f>
        <v/>
      </c>
    </row>
    <row r="3073" customFormat="false" ht="15" hidden="false" customHeight="false" outlineLevel="0" collapsed="false">
      <c r="F3073" s="41" t="str">
        <f aca="false">IF(C3073="","",IFERROR(IF(ISNUMBER(SEARCH(Assumptions!$C$5,C3073)),Assumptions!$D$5,IF(ISNUMBER(SEARCH(Assumptions!$C$6,C3073)),Assumptions!$D$6,IF(ISNUMBER(SEARCH(Assumptions!$C$7,C3073)),Assumptions!$D$7,"Other Services"))),"Other Services"))</f>
        <v/>
      </c>
    </row>
    <row r="3074" customFormat="false" ht="15" hidden="false" customHeight="false" outlineLevel="0" collapsed="false">
      <c r="F3074" s="41" t="str">
        <f aca="false">IF(C3074="","",IFERROR(IF(ISNUMBER(SEARCH(Assumptions!$C$5,C3074)),Assumptions!$D$5,IF(ISNUMBER(SEARCH(Assumptions!$C$6,C3074)),Assumptions!$D$6,IF(ISNUMBER(SEARCH(Assumptions!$C$7,C3074)),Assumptions!$D$7,"Other Services"))),"Other Services"))</f>
        <v/>
      </c>
    </row>
    <row r="3075" customFormat="false" ht="15" hidden="false" customHeight="false" outlineLevel="0" collapsed="false">
      <c r="F3075" s="41" t="str">
        <f aca="false">IF(C3075="","",IFERROR(IF(ISNUMBER(SEARCH(Assumptions!$C$5,C3075)),Assumptions!$D$5,IF(ISNUMBER(SEARCH(Assumptions!$C$6,C3075)),Assumptions!$D$6,IF(ISNUMBER(SEARCH(Assumptions!$C$7,C3075)),Assumptions!$D$7,"Other Services"))),"Other Services"))</f>
        <v/>
      </c>
    </row>
    <row r="3076" customFormat="false" ht="15" hidden="false" customHeight="false" outlineLevel="0" collapsed="false">
      <c r="F3076" s="41" t="str">
        <f aca="false">IF(C3076="","",IFERROR(IF(ISNUMBER(SEARCH(Assumptions!$C$5,C3076)),Assumptions!$D$5,IF(ISNUMBER(SEARCH(Assumptions!$C$6,C3076)),Assumptions!$D$6,IF(ISNUMBER(SEARCH(Assumptions!$C$7,C3076)),Assumptions!$D$7,"Other Services"))),"Other Services"))</f>
        <v/>
      </c>
    </row>
    <row r="3077" customFormat="false" ht="15" hidden="false" customHeight="false" outlineLevel="0" collapsed="false">
      <c r="F3077" s="41" t="str">
        <f aca="false">IF(C3077="","",IFERROR(IF(ISNUMBER(SEARCH(Assumptions!$C$5,C3077)),Assumptions!$D$5,IF(ISNUMBER(SEARCH(Assumptions!$C$6,C3077)),Assumptions!$D$6,IF(ISNUMBER(SEARCH(Assumptions!$C$7,C3077)),Assumptions!$D$7,"Other Services"))),"Other Services"))</f>
        <v/>
      </c>
    </row>
    <row r="3078" customFormat="false" ht="15" hidden="false" customHeight="false" outlineLevel="0" collapsed="false">
      <c r="F3078" s="41" t="str">
        <f aca="false">IF(C3078="","",IFERROR(IF(ISNUMBER(SEARCH(Assumptions!$C$5,C3078)),Assumptions!$D$5,IF(ISNUMBER(SEARCH(Assumptions!$C$6,C3078)),Assumptions!$D$6,IF(ISNUMBER(SEARCH(Assumptions!$C$7,C3078)),Assumptions!$D$7,"Other Services"))),"Other Services"))</f>
        <v/>
      </c>
    </row>
    <row r="3079" customFormat="false" ht="15" hidden="false" customHeight="false" outlineLevel="0" collapsed="false">
      <c r="F3079" s="41" t="str">
        <f aca="false">IF(C3079="","",IFERROR(IF(ISNUMBER(SEARCH(Assumptions!$C$5,C3079)),Assumptions!$D$5,IF(ISNUMBER(SEARCH(Assumptions!$C$6,C3079)),Assumptions!$D$6,IF(ISNUMBER(SEARCH(Assumptions!$C$7,C3079)),Assumptions!$D$7,"Other Services"))),"Other Services"))</f>
        <v/>
      </c>
    </row>
    <row r="3080" customFormat="false" ht="15" hidden="false" customHeight="false" outlineLevel="0" collapsed="false">
      <c r="F3080" s="41" t="str">
        <f aca="false">IF(C3080="","",IFERROR(IF(ISNUMBER(SEARCH(Assumptions!$C$5,C3080)),Assumptions!$D$5,IF(ISNUMBER(SEARCH(Assumptions!$C$6,C3080)),Assumptions!$D$6,IF(ISNUMBER(SEARCH(Assumptions!$C$7,C3080)),Assumptions!$D$7,"Other Services"))),"Other Services"))</f>
        <v/>
      </c>
    </row>
    <row r="3081" customFormat="false" ht="15" hidden="false" customHeight="false" outlineLevel="0" collapsed="false">
      <c r="F3081" s="41" t="str">
        <f aca="false">IF(C3081="","",IFERROR(IF(ISNUMBER(SEARCH(Assumptions!$C$5,C3081)),Assumptions!$D$5,IF(ISNUMBER(SEARCH(Assumptions!$C$6,C3081)),Assumptions!$D$6,IF(ISNUMBER(SEARCH(Assumptions!$C$7,C3081)),Assumptions!$D$7,"Other Services"))),"Other Services"))</f>
        <v/>
      </c>
    </row>
    <row r="3082" customFormat="false" ht="15" hidden="false" customHeight="false" outlineLevel="0" collapsed="false">
      <c r="F3082" s="41" t="str">
        <f aca="false">IF(C3082="","",IFERROR(IF(ISNUMBER(SEARCH(Assumptions!$C$5,C3082)),Assumptions!$D$5,IF(ISNUMBER(SEARCH(Assumptions!$C$6,C3082)),Assumptions!$D$6,IF(ISNUMBER(SEARCH(Assumptions!$C$7,C3082)),Assumptions!$D$7,"Other Services"))),"Other Services"))</f>
        <v/>
      </c>
    </row>
    <row r="3083" customFormat="false" ht="15" hidden="false" customHeight="false" outlineLevel="0" collapsed="false">
      <c r="F3083" s="41" t="str">
        <f aca="false">IF(C3083="","",IFERROR(IF(ISNUMBER(SEARCH(Assumptions!$C$5,C3083)),Assumptions!$D$5,IF(ISNUMBER(SEARCH(Assumptions!$C$6,C3083)),Assumptions!$D$6,IF(ISNUMBER(SEARCH(Assumptions!$C$7,C3083)),Assumptions!$D$7,"Other Services"))),"Other Services"))</f>
        <v/>
      </c>
    </row>
    <row r="3084" customFormat="false" ht="15" hidden="false" customHeight="false" outlineLevel="0" collapsed="false">
      <c r="F3084" s="41" t="str">
        <f aca="false">IF(C3084="","",IFERROR(IF(ISNUMBER(SEARCH(Assumptions!$C$5,C3084)),Assumptions!$D$5,IF(ISNUMBER(SEARCH(Assumptions!$C$6,C3084)),Assumptions!$D$6,IF(ISNUMBER(SEARCH(Assumptions!$C$7,C3084)),Assumptions!$D$7,"Other Services"))),"Other Services"))</f>
        <v/>
      </c>
    </row>
    <row r="3085" customFormat="false" ht="15" hidden="false" customHeight="false" outlineLevel="0" collapsed="false">
      <c r="F3085" s="41" t="str">
        <f aca="false">IF(C3085="","",IFERROR(IF(ISNUMBER(SEARCH(Assumptions!$C$5,C3085)),Assumptions!$D$5,IF(ISNUMBER(SEARCH(Assumptions!$C$6,C3085)),Assumptions!$D$6,IF(ISNUMBER(SEARCH(Assumptions!$C$7,C3085)),Assumptions!$D$7,"Other Services"))),"Other Services"))</f>
        <v/>
      </c>
    </row>
    <row r="3086" customFormat="false" ht="15" hidden="false" customHeight="false" outlineLevel="0" collapsed="false">
      <c r="F3086" s="41" t="str">
        <f aca="false">IF(C3086="","",IFERROR(IF(ISNUMBER(SEARCH(Assumptions!$C$5,C3086)),Assumptions!$D$5,IF(ISNUMBER(SEARCH(Assumptions!$C$6,C3086)),Assumptions!$D$6,IF(ISNUMBER(SEARCH(Assumptions!$C$7,C3086)),Assumptions!$D$7,"Other Services"))),"Other Services"))</f>
        <v/>
      </c>
    </row>
    <row r="3087" customFormat="false" ht="15" hidden="false" customHeight="false" outlineLevel="0" collapsed="false">
      <c r="F3087" s="41" t="str">
        <f aca="false">IF(C3087="","",IFERROR(IF(ISNUMBER(SEARCH(Assumptions!$C$5,C3087)),Assumptions!$D$5,IF(ISNUMBER(SEARCH(Assumptions!$C$6,C3087)),Assumptions!$D$6,IF(ISNUMBER(SEARCH(Assumptions!$C$7,C3087)),Assumptions!$D$7,"Other Services"))),"Other Services"))</f>
        <v/>
      </c>
    </row>
    <row r="3088" customFormat="false" ht="15" hidden="false" customHeight="false" outlineLevel="0" collapsed="false">
      <c r="F3088" s="41" t="str">
        <f aca="false">IF(C3088="","",IFERROR(IF(ISNUMBER(SEARCH(Assumptions!$C$5,C3088)),Assumptions!$D$5,IF(ISNUMBER(SEARCH(Assumptions!$C$6,C3088)),Assumptions!$D$6,IF(ISNUMBER(SEARCH(Assumptions!$C$7,C3088)),Assumptions!$D$7,"Other Services"))),"Other Services"))</f>
        <v/>
      </c>
    </row>
    <row r="3089" customFormat="false" ht="15" hidden="false" customHeight="false" outlineLevel="0" collapsed="false">
      <c r="F3089" s="41" t="str">
        <f aca="false">IF(C3089="","",IFERROR(IF(ISNUMBER(SEARCH(Assumptions!$C$5,C3089)),Assumptions!$D$5,IF(ISNUMBER(SEARCH(Assumptions!$C$6,C3089)),Assumptions!$D$6,IF(ISNUMBER(SEARCH(Assumptions!$C$7,C3089)),Assumptions!$D$7,"Other Services"))),"Other Services"))</f>
        <v/>
      </c>
    </row>
    <row r="3090" customFormat="false" ht="15" hidden="false" customHeight="false" outlineLevel="0" collapsed="false">
      <c r="F3090" s="41" t="str">
        <f aca="false">IF(C3090="","",IFERROR(IF(ISNUMBER(SEARCH(Assumptions!$C$5,C3090)),Assumptions!$D$5,IF(ISNUMBER(SEARCH(Assumptions!$C$6,C3090)),Assumptions!$D$6,IF(ISNUMBER(SEARCH(Assumptions!$C$7,C3090)),Assumptions!$D$7,"Other Services"))),"Other Services"))</f>
        <v/>
      </c>
    </row>
    <row r="3091" customFormat="false" ht="15" hidden="false" customHeight="false" outlineLevel="0" collapsed="false">
      <c r="F3091" s="41" t="str">
        <f aca="false">IF(C3091="","",IFERROR(IF(ISNUMBER(SEARCH(Assumptions!$C$5,C3091)),Assumptions!$D$5,IF(ISNUMBER(SEARCH(Assumptions!$C$6,C3091)),Assumptions!$D$6,IF(ISNUMBER(SEARCH(Assumptions!$C$7,C3091)),Assumptions!$D$7,"Other Services"))),"Other Services"))</f>
        <v/>
      </c>
    </row>
    <row r="3092" customFormat="false" ht="15" hidden="false" customHeight="false" outlineLevel="0" collapsed="false">
      <c r="F3092" s="41" t="str">
        <f aca="false">IF(C3092="","",IFERROR(IF(ISNUMBER(SEARCH(Assumptions!$C$5,C3092)),Assumptions!$D$5,IF(ISNUMBER(SEARCH(Assumptions!$C$6,C3092)),Assumptions!$D$6,IF(ISNUMBER(SEARCH(Assumptions!$C$7,C3092)),Assumptions!$D$7,"Other Services"))),"Other Services"))</f>
        <v/>
      </c>
    </row>
    <row r="3093" customFormat="false" ht="15" hidden="false" customHeight="false" outlineLevel="0" collapsed="false">
      <c r="F3093" s="41" t="str">
        <f aca="false">IF(C3093="","",IFERROR(IF(ISNUMBER(SEARCH(Assumptions!$C$5,C3093)),Assumptions!$D$5,IF(ISNUMBER(SEARCH(Assumptions!$C$6,C3093)),Assumptions!$D$6,IF(ISNUMBER(SEARCH(Assumptions!$C$7,C3093)),Assumptions!$D$7,"Other Services"))),"Other Services"))</f>
        <v/>
      </c>
    </row>
    <row r="3094" customFormat="false" ht="15" hidden="false" customHeight="false" outlineLevel="0" collapsed="false">
      <c r="F3094" s="41" t="str">
        <f aca="false">IF(C3094="","",IFERROR(IF(ISNUMBER(SEARCH(Assumptions!$C$5,C3094)),Assumptions!$D$5,IF(ISNUMBER(SEARCH(Assumptions!$C$6,C3094)),Assumptions!$D$6,IF(ISNUMBER(SEARCH(Assumptions!$C$7,C3094)),Assumptions!$D$7,"Other Services"))),"Other Services"))</f>
        <v/>
      </c>
    </row>
    <row r="3095" customFormat="false" ht="15" hidden="false" customHeight="false" outlineLevel="0" collapsed="false">
      <c r="F3095" s="41" t="str">
        <f aca="false">IF(C3095="","",IFERROR(IF(ISNUMBER(SEARCH(Assumptions!$C$5,C3095)),Assumptions!$D$5,IF(ISNUMBER(SEARCH(Assumptions!$C$6,C3095)),Assumptions!$D$6,IF(ISNUMBER(SEARCH(Assumptions!$C$7,C3095)),Assumptions!$D$7,"Other Services"))),"Other Services"))</f>
        <v/>
      </c>
    </row>
    <row r="3096" customFormat="false" ht="15" hidden="false" customHeight="false" outlineLevel="0" collapsed="false">
      <c r="F3096" s="41" t="str">
        <f aca="false">IF(C3096="","",IFERROR(IF(ISNUMBER(SEARCH(Assumptions!$C$5,C3096)),Assumptions!$D$5,IF(ISNUMBER(SEARCH(Assumptions!$C$6,C3096)),Assumptions!$D$6,IF(ISNUMBER(SEARCH(Assumptions!$C$7,C3096)),Assumptions!$D$7,"Other Services"))),"Other Services"))</f>
        <v/>
      </c>
    </row>
    <row r="3097" customFormat="false" ht="15" hidden="false" customHeight="false" outlineLevel="0" collapsed="false">
      <c r="F3097" s="41" t="str">
        <f aca="false">IF(C3097="","",IFERROR(IF(ISNUMBER(SEARCH(Assumptions!$C$5,C3097)),Assumptions!$D$5,IF(ISNUMBER(SEARCH(Assumptions!$C$6,C3097)),Assumptions!$D$6,IF(ISNUMBER(SEARCH(Assumptions!$C$7,C3097)),Assumptions!$D$7,"Other Services"))),"Other Services"))</f>
        <v/>
      </c>
    </row>
    <row r="3098" customFormat="false" ht="15" hidden="false" customHeight="false" outlineLevel="0" collapsed="false">
      <c r="F3098" s="41" t="str">
        <f aca="false">IF(C3098="","",IFERROR(IF(ISNUMBER(SEARCH(Assumptions!$C$5,C3098)),Assumptions!$D$5,IF(ISNUMBER(SEARCH(Assumptions!$C$6,C3098)),Assumptions!$D$6,IF(ISNUMBER(SEARCH(Assumptions!$C$7,C3098)),Assumptions!$D$7,"Other Services"))),"Other Services"))</f>
        <v/>
      </c>
    </row>
    <row r="3099" customFormat="false" ht="15" hidden="false" customHeight="false" outlineLevel="0" collapsed="false">
      <c r="F3099" s="41" t="str">
        <f aca="false">IF(C3099="","",IFERROR(IF(ISNUMBER(SEARCH(Assumptions!$C$5,C3099)),Assumptions!$D$5,IF(ISNUMBER(SEARCH(Assumptions!$C$6,C3099)),Assumptions!$D$6,IF(ISNUMBER(SEARCH(Assumptions!$C$7,C3099)),Assumptions!$D$7,"Other Services"))),"Other Services"))</f>
        <v/>
      </c>
    </row>
    <row r="3100" customFormat="false" ht="15" hidden="false" customHeight="false" outlineLevel="0" collapsed="false">
      <c r="F3100" s="41" t="str">
        <f aca="false">IF(C3100="","",IFERROR(IF(ISNUMBER(SEARCH(Assumptions!$C$5,C3100)),Assumptions!$D$5,IF(ISNUMBER(SEARCH(Assumptions!$C$6,C3100)),Assumptions!$D$6,IF(ISNUMBER(SEARCH(Assumptions!$C$7,C3100)),Assumptions!$D$7,"Other Services"))),"Other Services"))</f>
        <v/>
      </c>
    </row>
    <row r="3101" customFormat="false" ht="15" hidden="false" customHeight="false" outlineLevel="0" collapsed="false">
      <c r="F3101" s="41" t="str">
        <f aca="false">IF(C3101="","",IFERROR(IF(ISNUMBER(SEARCH(Assumptions!$C$5,C3101)),Assumptions!$D$5,IF(ISNUMBER(SEARCH(Assumptions!$C$6,C3101)),Assumptions!$D$6,IF(ISNUMBER(SEARCH(Assumptions!$C$7,C3101)),Assumptions!$D$7,"Other Services"))),"Other Services"))</f>
        <v/>
      </c>
    </row>
    <row r="3102" customFormat="false" ht="15" hidden="false" customHeight="false" outlineLevel="0" collapsed="false">
      <c r="F3102" s="41" t="str">
        <f aca="false">IF(C3102="","",IFERROR(IF(ISNUMBER(SEARCH(Assumptions!$C$5,C3102)),Assumptions!$D$5,IF(ISNUMBER(SEARCH(Assumptions!$C$6,C3102)),Assumptions!$D$6,IF(ISNUMBER(SEARCH(Assumptions!$C$7,C3102)),Assumptions!$D$7,"Other Services"))),"Other Services"))</f>
        <v/>
      </c>
    </row>
    <row r="3103" customFormat="false" ht="15" hidden="false" customHeight="false" outlineLevel="0" collapsed="false">
      <c r="F3103" s="41" t="str">
        <f aca="false">IF(C3103="","",IFERROR(IF(ISNUMBER(SEARCH(Assumptions!$C$5,C3103)),Assumptions!$D$5,IF(ISNUMBER(SEARCH(Assumptions!$C$6,C3103)),Assumptions!$D$6,IF(ISNUMBER(SEARCH(Assumptions!$C$7,C3103)),Assumptions!$D$7,"Other Services"))),"Other Services"))</f>
        <v/>
      </c>
    </row>
    <row r="3104" customFormat="false" ht="15" hidden="false" customHeight="false" outlineLevel="0" collapsed="false">
      <c r="F3104" s="41" t="str">
        <f aca="false">IF(C3104="","",IFERROR(IF(ISNUMBER(SEARCH(Assumptions!$C$5,C3104)),Assumptions!$D$5,IF(ISNUMBER(SEARCH(Assumptions!$C$6,C3104)),Assumptions!$D$6,IF(ISNUMBER(SEARCH(Assumptions!$C$7,C3104)),Assumptions!$D$7,"Other Services"))),"Other Services"))</f>
        <v/>
      </c>
    </row>
    <row r="3105" customFormat="false" ht="15" hidden="false" customHeight="false" outlineLevel="0" collapsed="false">
      <c r="F3105" s="41" t="str">
        <f aca="false">IF(C3105="","",IFERROR(IF(ISNUMBER(SEARCH(Assumptions!$C$5,C3105)),Assumptions!$D$5,IF(ISNUMBER(SEARCH(Assumptions!$C$6,C3105)),Assumptions!$D$6,IF(ISNUMBER(SEARCH(Assumptions!$C$7,C3105)),Assumptions!$D$7,"Other Services"))),"Other Services"))</f>
        <v/>
      </c>
    </row>
    <row r="3106" customFormat="false" ht="15" hidden="false" customHeight="false" outlineLevel="0" collapsed="false">
      <c r="F3106" s="41" t="str">
        <f aca="false">IF(C3106="","",IFERROR(IF(ISNUMBER(SEARCH(Assumptions!$C$5,C3106)),Assumptions!$D$5,IF(ISNUMBER(SEARCH(Assumptions!$C$6,C3106)),Assumptions!$D$6,IF(ISNUMBER(SEARCH(Assumptions!$C$7,C3106)),Assumptions!$D$7,"Other Services"))),"Other Services"))</f>
        <v/>
      </c>
    </row>
    <row r="3107" customFormat="false" ht="15" hidden="false" customHeight="false" outlineLevel="0" collapsed="false">
      <c r="F3107" s="41" t="str">
        <f aca="false">IF(C3107="","",IFERROR(IF(ISNUMBER(SEARCH(Assumptions!$C$5,C3107)),Assumptions!$D$5,IF(ISNUMBER(SEARCH(Assumptions!$C$6,C3107)),Assumptions!$D$6,IF(ISNUMBER(SEARCH(Assumptions!$C$7,C3107)),Assumptions!$D$7,"Other Services"))),"Other Services"))</f>
        <v/>
      </c>
    </row>
    <row r="3108" customFormat="false" ht="15" hidden="false" customHeight="false" outlineLevel="0" collapsed="false">
      <c r="F3108" s="41" t="str">
        <f aca="false">IF(C3108="","",IFERROR(IF(ISNUMBER(SEARCH(Assumptions!$C$5,C3108)),Assumptions!$D$5,IF(ISNUMBER(SEARCH(Assumptions!$C$6,C3108)),Assumptions!$D$6,IF(ISNUMBER(SEARCH(Assumptions!$C$7,C3108)),Assumptions!$D$7,"Other Services"))),"Other Services"))</f>
        <v/>
      </c>
    </row>
    <row r="3109" customFormat="false" ht="15" hidden="false" customHeight="false" outlineLevel="0" collapsed="false">
      <c r="F3109" s="41" t="str">
        <f aca="false">IF(C3109="","",IFERROR(IF(ISNUMBER(SEARCH(Assumptions!$C$5,C3109)),Assumptions!$D$5,IF(ISNUMBER(SEARCH(Assumptions!$C$6,C3109)),Assumptions!$D$6,IF(ISNUMBER(SEARCH(Assumptions!$C$7,C3109)),Assumptions!$D$7,"Other Services"))),"Other Services"))</f>
        <v/>
      </c>
    </row>
    <row r="3110" customFormat="false" ht="15" hidden="false" customHeight="false" outlineLevel="0" collapsed="false">
      <c r="F3110" s="41" t="str">
        <f aca="false">IF(C3110="","",IFERROR(IF(ISNUMBER(SEARCH(Assumptions!$C$5,C3110)),Assumptions!$D$5,IF(ISNUMBER(SEARCH(Assumptions!$C$6,C3110)),Assumptions!$D$6,IF(ISNUMBER(SEARCH(Assumptions!$C$7,C3110)),Assumptions!$D$7,"Other Services"))),"Other Services"))</f>
        <v/>
      </c>
    </row>
    <row r="3111" customFormat="false" ht="15" hidden="false" customHeight="false" outlineLevel="0" collapsed="false">
      <c r="F3111" s="41" t="str">
        <f aca="false">IF(C3111="","",IFERROR(IF(ISNUMBER(SEARCH(Assumptions!$C$5,C3111)),Assumptions!$D$5,IF(ISNUMBER(SEARCH(Assumptions!$C$6,C3111)),Assumptions!$D$6,IF(ISNUMBER(SEARCH(Assumptions!$C$7,C3111)),Assumptions!$D$7,"Other Services"))),"Other Services"))</f>
        <v/>
      </c>
    </row>
    <row r="3112" customFormat="false" ht="15" hidden="false" customHeight="false" outlineLevel="0" collapsed="false">
      <c r="F3112" s="41" t="str">
        <f aca="false">IF(C3112="","",IFERROR(IF(ISNUMBER(SEARCH(Assumptions!$C$5,C3112)),Assumptions!$D$5,IF(ISNUMBER(SEARCH(Assumptions!$C$6,C3112)),Assumptions!$D$6,IF(ISNUMBER(SEARCH(Assumptions!$C$7,C3112)),Assumptions!$D$7,"Other Services"))),"Other Services"))</f>
        <v/>
      </c>
    </row>
    <row r="3113" customFormat="false" ht="15" hidden="false" customHeight="false" outlineLevel="0" collapsed="false">
      <c r="F3113" s="41" t="str">
        <f aca="false">IF(C3113="","",IFERROR(IF(ISNUMBER(SEARCH(Assumptions!$C$5,C3113)),Assumptions!$D$5,IF(ISNUMBER(SEARCH(Assumptions!$C$6,C3113)),Assumptions!$D$6,IF(ISNUMBER(SEARCH(Assumptions!$C$7,C3113)),Assumptions!$D$7,"Other Services"))),"Other Services"))</f>
        <v/>
      </c>
    </row>
    <row r="3114" customFormat="false" ht="15" hidden="false" customHeight="false" outlineLevel="0" collapsed="false">
      <c r="F3114" s="41" t="str">
        <f aca="false">IF(C3114="","",IFERROR(IF(ISNUMBER(SEARCH(Assumptions!$C$5,C3114)),Assumptions!$D$5,IF(ISNUMBER(SEARCH(Assumptions!$C$6,C3114)),Assumptions!$D$6,IF(ISNUMBER(SEARCH(Assumptions!$C$7,C3114)),Assumptions!$D$7,"Other Services"))),"Other Services"))</f>
        <v/>
      </c>
    </row>
    <row r="3115" customFormat="false" ht="15" hidden="false" customHeight="false" outlineLevel="0" collapsed="false">
      <c r="F3115" s="41" t="str">
        <f aca="false">IF(C3115="","",IFERROR(IF(ISNUMBER(SEARCH(Assumptions!$C$5,C3115)),Assumptions!$D$5,IF(ISNUMBER(SEARCH(Assumptions!$C$6,C3115)),Assumptions!$D$6,IF(ISNUMBER(SEARCH(Assumptions!$C$7,C3115)),Assumptions!$D$7,"Other Services"))),"Other Services"))</f>
        <v/>
      </c>
    </row>
    <row r="3116" customFormat="false" ht="15" hidden="false" customHeight="false" outlineLevel="0" collapsed="false">
      <c r="F3116" s="41" t="str">
        <f aca="false">IF(C3116="","",IFERROR(IF(ISNUMBER(SEARCH(Assumptions!$C$5,C3116)),Assumptions!$D$5,IF(ISNUMBER(SEARCH(Assumptions!$C$6,C3116)),Assumptions!$D$6,IF(ISNUMBER(SEARCH(Assumptions!$C$7,C3116)),Assumptions!$D$7,"Other Services"))),"Other Services"))</f>
        <v/>
      </c>
    </row>
    <row r="3117" customFormat="false" ht="15" hidden="false" customHeight="false" outlineLevel="0" collapsed="false">
      <c r="F3117" s="41" t="str">
        <f aca="false">IF(C3117="","",IFERROR(IF(ISNUMBER(SEARCH(Assumptions!$C$5,C3117)),Assumptions!$D$5,IF(ISNUMBER(SEARCH(Assumptions!$C$6,C3117)),Assumptions!$D$6,IF(ISNUMBER(SEARCH(Assumptions!$C$7,C3117)),Assumptions!$D$7,"Other Services"))),"Other Services"))</f>
        <v/>
      </c>
    </row>
    <row r="3118" customFormat="false" ht="15" hidden="false" customHeight="false" outlineLevel="0" collapsed="false">
      <c r="F3118" s="41" t="str">
        <f aca="false">IF(C3118="","",IFERROR(IF(ISNUMBER(SEARCH(Assumptions!$C$5,C3118)),Assumptions!$D$5,IF(ISNUMBER(SEARCH(Assumptions!$C$6,C3118)),Assumptions!$D$6,IF(ISNUMBER(SEARCH(Assumptions!$C$7,C3118)),Assumptions!$D$7,"Other Services"))),"Other Services"))</f>
        <v/>
      </c>
    </row>
    <row r="3119" customFormat="false" ht="15" hidden="false" customHeight="false" outlineLevel="0" collapsed="false">
      <c r="F3119" s="41" t="str">
        <f aca="false">IF(C3119="","",IFERROR(IF(ISNUMBER(SEARCH(Assumptions!$C$5,C3119)),Assumptions!$D$5,IF(ISNUMBER(SEARCH(Assumptions!$C$6,C3119)),Assumptions!$D$6,IF(ISNUMBER(SEARCH(Assumptions!$C$7,C3119)),Assumptions!$D$7,"Other Services"))),"Other Services"))</f>
        <v/>
      </c>
    </row>
    <row r="3120" customFormat="false" ht="15" hidden="false" customHeight="false" outlineLevel="0" collapsed="false">
      <c r="F3120" s="41" t="str">
        <f aca="false">IF(C3120="","",IFERROR(IF(ISNUMBER(SEARCH(Assumptions!$C$5,C3120)),Assumptions!$D$5,IF(ISNUMBER(SEARCH(Assumptions!$C$6,C3120)),Assumptions!$D$6,IF(ISNUMBER(SEARCH(Assumptions!$C$7,C3120)),Assumptions!$D$7,"Other Services"))),"Other Services"))</f>
        <v/>
      </c>
    </row>
    <row r="3121" customFormat="false" ht="15" hidden="false" customHeight="false" outlineLevel="0" collapsed="false">
      <c r="F3121" s="41" t="str">
        <f aca="false">IF(C3121="","",IFERROR(IF(ISNUMBER(SEARCH(Assumptions!$C$5,C3121)),Assumptions!$D$5,IF(ISNUMBER(SEARCH(Assumptions!$C$6,C3121)),Assumptions!$D$6,IF(ISNUMBER(SEARCH(Assumptions!$C$7,C3121)),Assumptions!$D$7,"Other Services"))),"Other Services"))</f>
        <v/>
      </c>
    </row>
    <row r="3122" customFormat="false" ht="15" hidden="false" customHeight="false" outlineLevel="0" collapsed="false">
      <c r="F3122" s="41" t="str">
        <f aca="false">IF(C3122="","",IFERROR(IF(ISNUMBER(SEARCH(Assumptions!$C$5,C3122)),Assumptions!$D$5,IF(ISNUMBER(SEARCH(Assumptions!$C$6,C3122)),Assumptions!$D$6,IF(ISNUMBER(SEARCH(Assumptions!$C$7,C3122)),Assumptions!$D$7,"Other Services"))),"Other Services"))</f>
        <v/>
      </c>
    </row>
    <row r="3123" customFormat="false" ht="15" hidden="false" customHeight="false" outlineLevel="0" collapsed="false">
      <c r="F3123" s="41" t="str">
        <f aca="false">IF(C3123="","",IFERROR(IF(ISNUMBER(SEARCH(Assumptions!$C$5,C3123)),Assumptions!$D$5,IF(ISNUMBER(SEARCH(Assumptions!$C$6,C3123)),Assumptions!$D$6,IF(ISNUMBER(SEARCH(Assumptions!$C$7,C3123)),Assumptions!$D$7,"Other Services"))),"Other Services"))</f>
        <v/>
      </c>
    </row>
    <row r="3124" customFormat="false" ht="15" hidden="false" customHeight="false" outlineLevel="0" collapsed="false">
      <c r="F3124" s="41" t="str">
        <f aca="false">IF(C3124="","",IFERROR(IF(ISNUMBER(SEARCH(Assumptions!$C$5,C3124)),Assumptions!$D$5,IF(ISNUMBER(SEARCH(Assumptions!$C$6,C3124)),Assumptions!$D$6,IF(ISNUMBER(SEARCH(Assumptions!$C$7,C3124)),Assumptions!$D$7,"Other Services"))),"Other Services"))</f>
        <v/>
      </c>
    </row>
    <row r="3125" customFormat="false" ht="15" hidden="false" customHeight="false" outlineLevel="0" collapsed="false">
      <c r="F3125" s="41" t="str">
        <f aca="false">IF(C3125="","",IFERROR(IF(ISNUMBER(SEARCH(Assumptions!$C$5,C3125)),Assumptions!$D$5,IF(ISNUMBER(SEARCH(Assumptions!$C$6,C3125)),Assumptions!$D$6,IF(ISNUMBER(SEARCH(Assumptions!$C$7,C3125)),Assumptions!$D$7,"Other Services"))),"Other Services"))</f>
        <v/>
      </c>
    </row>
    <row r="3126" customFormat="false" ht="15" hidden="false" customHeight="false" outlineLevel="0" collapsed="false">
      <c r="F3126" s="41" t="str">
        <f aca="false">IF(C3126="","",IFERROR(IF(ISNUMBER(SEARCH(Assumptions!$C$5,C3126)),Assumptions!$D$5,IF(ISNUMBER(SEARCH(Assumptions!$C$6,C3126)),Assumptions!$D$6,IF(ISNUMBER(SEARCH(Assumptions!$C$7,C3126)),Assumptions!$D$7,"Other Services"))),"Other Services"))</f>
        <v/>
      </c>
    </row>
    <row r="3127" customFormat="false" ht="15" hidden="false" customHeight="false" outlineLevel="0" collapsed="false">
      <c r="F3127" s="41" t="str">
        <f aca="false">IF(C3127="","",IFERROR(IF(ISNUMBER(SEARCH(Assumptions!$C$5,C3127)),Assumptions!$D$5,IF(ISNUMBER(SEARCH(Assumptions!$C$6,C3127)),Assumptions!$D$6,IF(ISNUMBER(SEARCH(Assumptions!$C$7,C3127)),Assumptions!$D$7,"Other Services"))),"Other Services"))</f>
        <v/>
      </c>
    </row>
    <row r="3128" customFormat="false" ht="15" hidden="false" customHeight="false" outlineLevel="0" collapsed="false">
      <c r="F3128" s="41" t="str">
        <f aca="false">IF(C3128="","",IFERROR(IF(ISNUMBER(SEARCH(Assumptions!$C$5,C3128)),Assumptions!$D$5,IF(ISNUMBER(SEARCH(Assumptions!$C$6,C3128)),Assumptions!$D$6,IF(ISNUMBER(SEARCH(Assumptions!$C$7,C3128)),Assumptions!$D$7,"Other Services"))),"Other Services"))</f>
        <v/>
      </c>
    </row>
    <row r="3129" customFormat="false" ht="15" hidden="false" customHeight="false" outlineLevel="0" collapsed="false">
      <c r="F3129" s="41" t="str">
        <f aca="false">IF(C3129="","",IFERROR(IF(ISNUMBER(SEARCH(Assumptions!$C$5,C3129)),Assumptions!$D$5,IF(ISNUMBER(SEARCH(Assumptions!$C$6,C3129)),Assumptions!$D$6,IF(ISNUMBER(SEARCH(Assumptions!$C$7,C3129)),Assumptions!$D$7,"Other Services"))),"Other Services"))</f>
        <v/>
      </c>
    </row>
    <row r="3130" customFormat="false" ht="15" hidden="false" customHeight="false" outlineLevel="0" collapsed="false">
      <c r="F3130" s="41" t="str">
        <f aca="false">IF(C3130="","",IFERROR(IF(ISNUMBER(SEARCH(Assumptions!$C$5,C3130)),Assumptions!$D$5,IF(ISNUMBER(SEARCH(Assumptions!$C$6,C3130)),Assumptions!$D$6,IF(ISNUMBER(SEARCH(Assumptions!$C$7,C3130)),Assumptions!$D$7,"Other Services"))),"Other Services"))</f>
        <v/>
      </c>
    </row>
    <row r="3131" customFormat="false" ht="15" hidden="false" customHeight="false" outlineLevel="0" collapsed="false">
      <c r="F3131" s="41" t="str">
        <f aca="false">IF(C3131="","",IFERROR(IF(ISNUMBER(SEARCH(Assumptions!$C$5,C3131)),Assumptions!$D$5,IF(ISNUMBER(SEARCH(Assumptions!$C$6,C3131)),Assumptions!$D$6,IF(ISNUMBER(SEARCH(Assumptions!$C$7,C3131)),Assumptions!$D$7,"Other Services"))),"Other Services"))</f>
        <v/>
      </c>
    </row>
    <row r="3132" customFormat="false" ht="15" hidden="false" customHeight="false" outlineLevel="0" collapsed="false">
      <c r="F3132" s="41" t="str">
        <f aca="false">IF(C3132="","",IFERROR(IF(ISNUMBER(SEARCH(Assumptions!$C$5,C3132)),Assumptions!$D$5,IF(ISNUMBER(SEARCH(Assumptions!$C$6,C3132)),Assumptions!$D$6,IF(ISNUMBER(SEARCH(Assumptions!$C$7,C3132)),Assumptions!$D$7,"Other Services"))),"Other Services"))</f>
        <v/>
      </c>
    </row>
    <row r="3133" customFormat="false" ht="15" hidden="false" customHeight="false" outlineLevel="0" collapsed="false">
      <c r="F3133" s="41" t="str">
        <f aca="false">IF(C3133="","",IFERROR(IF(ISNUMBER(SEARCH(Assumptions!$C$5,C3133)),Assumptions!$D$5,IF(ISNUMBER(SEARCH(Assumptions!$C$6,C3133)),Assumptions!$D$6,IF(ISNUMBER(SEARCH(Assumptions!$C$7,C3133)),Assumptions!$D$7,"Other Services"))),"Other Services"))</f>
        <v/>
      </c>
    </row>
    <row r="3134" customFormat="false" ht="15" hidden="false" customHeight="false" outlineLevel="0" collapsed="false">
      <c r="F3134" s="41" t="str">
        <f aca="false">IF(C3134="","",IFERROR(IF(ISNUMBER(SEARCH(Assumptions!$C$5,C3134)),Assumptions!$D$5,IF(ISNUMBER(SEARCH(Assumptions!$C$6,C3134)),Assumptions!$D$6,IF(ISNUMBER(SEARCH(Assumptions!$C$7,C3134)),Assumptions!$D$7,"Other Services"))),"Other Services"))</f>
        <v/>
      </c>
    </row>
    <row r="3135" customFormat="false" ht="15" hidden="false" customHeight="false" outlineLevel="0" collapsed="false">
      <c r="F3135" s="41" t="str">
        <f aca="false">IF(C3135="","",IFERROR(IF(ISNUMBER(SEARCH(Assumptions!$C$5,C3135)),Assumptions!$D$5,IF(ISNUMBER(SEARCH(Assumptions!$C$6,C3135)),Assumptions!$D$6,IF(ISNUMBER(SEARCH(Assumptions!$C$7,C3135)),Assumptions!$D$7,"Other Services"))),"Other Services"))</f>
        <v/>
      </c>
    </row>
    <row r="3136" customFormat="false" ht="15" hidden="false" customHeight="false" outlineLevel="0" collapsed="false">
      <c r="F3136" s="41" t="str">
        <f aca="false">IF(C3136="","",IFERROR(IF(ISNUMBER(SEARCH(Assumptions!$C$5,C3136)),Assumptions!$D$5,IF(ISNUMBER(SEARCH(Assumptions!$C$6,C3136)),Assumptions!$D$6,IF(ISNUMBER(SEARCH(Assumptions!$C$7,C3136)),Assumptions!$D$7,"Other Services"))),"Other Services"))</f>
        <v/>
      </c>
    </row>
    <row r="3137" customFormat="false" ht="15" hidden="false" customHeight="false" outlineLevel="0" collapsed="false">
      <c r="F3137" s="41" t="str">
        <f aca="false">IF(C3137="","",IFERROR(IF(ISNUMBER(SEARCH(Assumptions!$C$5,C3137)),Assumptions!$D$5,IF(ISNUMBER(SEARCH(Assumptions!$C$6,C3137)),Assumptions!$D$6,IF(ISNUMBER(SEARCH(Assumptions!$C$7,C3137)),Assumptions!$D$7,"Other Services"))),"Other Services"))</f>
        <v/>
      </c>
    </row>
    <row r="3138" customFormat="false" ht="15" hidden="false" customHeight="false" outlineLevel="0" collapsed="false">
      <c r="F3138" s="41" t="str">
        <f aca="false">IF(C3138="","",IFERROR(IF(ISNUMBER(SEARCH(Assumptions!$C$5,C3138)),Assumptions!$D$5,IF(ISNUMBER(SEARCH(Assumptions!$C$6,C3138)),Assumptions!$D$6,IF(ISNUMBER(SEARCH(Assumptions!$C$7,C3138)),Assumptions!$D$7,"Other Services"))),"Other Services"))</f>
        <v/>
      </c>
    </row>
    <row r="3139" customFormat="false" ht="15" hidden="false" customHeight="false" outlineLevel="0" collapsed="false">
      <c r="F3139" s="41" t="str">
        <f aca="false">IF(C3139="","",IFERROR(IF(ISNUMBER(SEARCH(Assumptions!$C$5,C3139)),Assumptions!$D$5,IF(ISNUMBER(SEARCH(Assumptions!$C$6,C3139)),Assumptions!$D$6,IF(ISNUMBER(SEARCH(Assumptions!$C$7,C3139)),Assumptions!$D$7,"Other Services"))),"Other Services"))</f>
        <v/>
      </c>
    </row>
    <row r="3140" customFormat="false" ht="15" hidden="false" customHeight="false" outlineLevel="0" collapsed="false">
      <c r="F3140" s="41" t="str">
        <f aca="false">IF(C3140="","",IFERROR(IF(ISNUMBER(SEARCH(Assumptions!$C$5,C3140)),Assumptions!$D$5,IF(ISNUMBER(SEARCH(Assumptions!$C$6,C3140)),Assumptions!$D$6,IF(ISNUMBER(SEARCH(Assumptions!$C$7,C3140)),Assumptions!$D$7,"Other Services"))),"Other Services"))</f>
        <v/>
      </c>
    </row>
    <row r="3141" customFormat="false" ht="15" hidden="false" customHeight="false" outlineLevel="0" collapsed="false">
      <c r="F3141" s="41" t="str">
        <f aca="false">IF(C3141="","",IFERROR(IF(ISNUMBER(SEARCH(Assumptions!$C$5,C3141)),Assumptions!$D$5,IF(ISNUMBER(SEARCH(Assumptions!$C$6,C3141)),Assumptions!$D$6,IF(ISNUMBER(SEARCH(Assumptions!$C$7,C3141)),Assumptions!$D$7,"Other Services"))),"Other Services"))</f>
        <v/>
      </c>
    </row>
    <row r="3142" customFormat="false" ht="15" hidden="false" customHeight="false" outlineLevel="0" collapsed="false">
      <c r="F3142" s="41" t="str">
        <f aca="false">IF(C3142="","",IFERROR(IF(ISNUMBER(SEARCH(Assumptions!$C$5,C3142)),Assumptions!$D$5,IF(ISNUMBER(SEARCH(Assumptions!$C$6,C3142)),Assumptions!$D$6,IF(ISNUMBER(SEARCH(Assumptions!$C$7,C3142)),Assumptions!$D$7,"Other Services"))),"Other Services"))</f>
        <v/>
      </c>
    </row>
    <row r="3143" customFormat="false" ht="15" hidden="false" customHeight="false" outlineLevel="0" collapsed="false">
      <c r="F3143" s="41" t="str">
        <f aca="false">IF(C3143="","",IFERROR(IF(ISNUMBER(SEARCH(Assumptions!$C$5,C3143)),Assumptions!$D$5,IF(ISNUMBER(SEARCH(Assumptions!$C$6,C3143)),Assumptions!$D$6,IF(ISNUMBER(SEARCH(Assumptions!$C$7,C3143)),Assumptions!$D$7,"Other Services"))),"Other Services"))</f>
        <v/>
      </c>
    </row>
    <row r="3144" customFormat="false" ht="15" hidden="false" customHeight="false" outlineLevel="0" collapsed="false">
      <c r="F3144" s="41" t="str">
        <f aca="false">IF(C3144="","",IFERROR(IF(ISNUMBER(SEARCH(Assumptions!$C$5,C3144)),Assumptions!$D$5,IF(ISNUMBER(SEARCH(Assumptions!$C$6,C3144)),Assumptions!$D$6,IF(ISNUMBER(SEARCH(Assumptions!$C$7,C3144)),Assumptions!$D$7,"Other Services"))),"Other Services"))</f>
        <v/>
      </c>
    </row>
    <row r="3145" customFormat="false" ht="15" hidden="false" customHeight="false" outlineLevel="0" collapsed="false">
      <c r="F3145" s="41" t="str">
        <f aca="false">IF(C3145="","",IFERROR(IF(ISNUMBER(SEARCH(Assumptions!$C$5,C3145)),Assumptions!$D$5,IF(ISNUMBER(SEARCH(Assumptions!$C$6,C3145)),Assumptions!$D$6,IF(ISNUMBER(SEARCH(Assumptions!$C$7,C3145)),Assumptions!$D$7,"Other Services"))),"Other Services"))</f>
        <v/>
      </c>
    </row>
    <row r="3146" customFormat="false" ht="15" hidden="false" customHeight="false" outlineLevel="0" collapsed="false">
      <c r="F3146" s="41" t="str">
        <f aca="false">IF(C3146="","",IFERROR(IF(ISNUMBER(SEARCH(Assumptions!$C$5,C3146)),Assumptions!$D$5,IF(ISNUMBER(SEARCH(Assumptions!$C$6,C3146)),Assumptions!$D$6,IF(ISNUMBER(SEARCH(Assumptions!$C$7,C3146)),Assumptions!$D$7,"Other Services"))),"Other Services"))</f>
        <v/>
      </c>
    </row>
    <row r="3147" customFormat="false" ht="15" hidden="false" customHeight="false" outlineLevel="0" collapsed="false">
      <c r="F3147" s="41" t="str">
        <f aca="false">IF(C3147="","",IFERROR(IF(ISNUMBER(SEARCH(Assumptions!$C$5,C3147)),Assumptions!$D$5,IF(ISNUMBER(SEARCH(Assumptions!$C$6,C3147)),Assumptions!$D$6,IF(ISNUMBER(SEARCH(Assumptions!$C$7,C3147)),Assumptions!$D$7,"Other Services"))),"Other Services"))</f>
        <v/>
      </c>
    </row>
    <row r="3148" customFormat="false" ht="15" hidden="false" customHeight="false" outlineLevel="0" collapsed="false">
      <c r="F3148" s="41" t="str">
        <f aca="false">IF(C3148="","",IFERROR(IF(ISNUMBER(SEARCH(Assumptions!$C$5,C3148)),Assumptions!$D$5,IF(ISNUMBER(SEARCH(Assumptions!$C$6,C3148)),Assumptions!$D$6,IF(ISNUMBER(SEARCH(Assumptions!$C$7,C3148)),Assumptions!$D$7,"Other Services"))),"Other Services"))</f>
        <v/>
      </c>
    </row>
    <row r="3149" customFormat="false" ht="15" hidden="false" customHeight="false" outlineLevel="0" collapsed="false">
      <c r="F3149" s="41" t="str">
        <f aca="false">IF(C3149="","",IFERROR(IF(ISNUMBER(SEARCH(Assumptions!$C$5,C3149)),Assumptions!$D$5,IF(ISNUMBER(SEARCH(Assumptions!$C$6,C3149)),Assumptions!$D$6,IF(ISNUMBER(SEARCH(Assumptions!$C$7,C3149)),Assumptions!$D$7,"Other Services"))),"Other Services"))</f>
        <v/>
      </c>
    </row>
    <row r="3150" customFormat="false" ht="15" hidden="false" customHeight="false" outlineLevel="0" collapsed="false">
      <c r="F3150" s="41" t="str">
        <f aca="false">IF(C3150="","",IFERROR(IF(ISNUMBER(SEARCH(Assumptions!$C$5,C3150)),Assumptions!$D$5,IF(ISNUMBER(SEARCH(Assumptions!$C$6,C3150)),Assumptions!$D$6,IF(ISNUMBER(SEARCH(Assumptions!$C$7,C3150)),Assumptions!$D$7,"Other Services"))),"Other Services"))</f>
        <v/>
      </c>
    </row>
    <row r="3151" customFormat="false" ht="15" hidden="false" customHeight="false" outlineLevel="0" collapsed="false">
      <c r="F3151" s="41" t="str">
        <f aca="false">IF(C3151="","",IFERROR(IF(ISNUMBER(SEARCH(Assumptions!$C$5,C3151)),Assumptions!$D$5,IF(ISNUMBER(SEARCH(Assumptions!$C$6,C3151)),Assumptions!$D$6,IF(ISNUMBER(SEARCH(Assumptions!$C$7,C3151)),Assumptions!$D$7,"Other Services"))),"Other Services"))</f>
        <v/>
      </c>
    </row>
    <row r="3152" customFormat="false" ht="15" hidden="false" customHeight="false" outlineLevel="0" collapsed="false">
      <c r="F3152" s="41" t="str">
        <f aca="false">IF(C3152="","",IFERROR(IF(ISNUMBER(SEARCH(Assumptions!$C$5,C3152)),Assumptions!$D$5,IF(ISNUMBER(SEARCH(Assumptions!$C$6,C3152)),Assumptions!$D$6,IF(ISNUMBER(SEARCH(Assumptions!$C$7,C3152)),Assumptions!$D$7,"Other Services"))),"Other Services"))</f>
        <v/>
      </c>
    </row>
    <row r="3153" customFormat="false" ht="15" hidden="false" customHeight="false" outlineLevel="0" collapsed="false">
      <c r="F3153" s="41" t="str">
        <f aca="false">IF(C3153="","",IFERROR(IF(ISNUMBER(SEARCH(Assumptions!$C$5,C3153)),Assumptions!$D$5,IF(ISNUMBER(SEARCH(Assumptions!$C$6,C3153)),Assumptions!$D$6,IF(ISNUMBER(SEARCH(Assumptions!$C$7,C3153)),Assumptions!$D$7,"Other Services"))),"Other Services"))</f>
        <v/>
      </c>
    </row>
    <row r="3154" customFormat="false" ht="15" hidden="false" customHeight="false" outlineLevel="0" collapsed="false">
      <c r="F3154" s="41" t="str">
        <f aca="false">IF(C3154="","",IFERROR(IF(ISNUMBER(SEARCH(Assumptions!$C$5,C3154)),Assumptions!$D$5,IF(ISNUMBER(SEARCH(Assumptions!$C$6,C3154)),Assumptions!$D$6,IF(ISNUMBER(SEARCH(Assumptions!$C$7,C3154)),Assumptions!$D$7,"Other Services"))),"Other Services"))</f>
        <v/>
      </c>
    </row>
    <row r="3155" customFormat="false" ht="15" hidden="false" customHeight="false" outlineLevel="0" collapsed="false">
      <c r="F3155" s="41" t="str">
        <f aca="false">IF(C3155="","",IFERROR(IF(ISNUMBER(SEARCH(Assumptions!$C$5,C3155)),Assumptions!$D$5,IF(ISNUMBER(SEARCH(Assumptions!$C$6,C3155)),Assumptions!$D$6,IF(ISNUMBER(SEARCH(Assumptions!$C$7,C3155)),Assumptions!$D$7,"Other Services"))),"Other Services"))</f>
        <v/>
      </c>
    </row>
    <row r="3156" customFormat="false" ht="15" hidden="false" customHeight="false" outlineLevel="0" collapsed="false">
      <c r="F3156" s="41" t="str">
        <f aca="false">IF(C3156="","",IFERROR(IF(ISNUMBER(SEARCH(Assumptions!$C$5,C3156)),Assumptions!$D$5,IF(ISNUMBER(SEARCH(Assumptions!$C$6,C3156)),Assumptions!$D$6,IF(ISNUMBER(SEARCH(Assumptions!$C$7,C3156)),Assumptions!$D$7,"Other Services"))),"Other Services"))</f>
        <v/>
      </c>
    </row>
    <row r="3157" customFormat="false" ht="15" hidden="false" customHeight="false" outlineLevel="0" collapsed="false">
      <c r="F3157" s="41" t="str">
        <f aca="false">IF(C3157="","",IFERROR(IF(ISNUMBER(SEARCH(Assumptions!$C$5,C3157)),Assumptions!$D$5,IF(ISNUMBER(SEARCH(Assumptions!$C$6,C3157)),Assumptions!$D$6,IF(ISNUMBER(SEARCH(Assumptions!$C$7,C3157)),Assumptions!$D$7,"Other Services"))),"Other Services"))</f>
        <v/>
      </c>
    </row>
    <row r="3158" customFormat="false" ht="15" hidden="false" customHeight="false" outlineLevel="0" collapsed="false">
      <c r="F3158" s="41" t="str">
        <f aca="false">IF(C3158="","",IFERROR(IF(ISNUMBER(SEARCH(Assumptions!$C$5,C3158)),Assumptions!$D$5,IF(ISNUMBER(SEARCH(Assumptions!$C$6,C3158)),Assumptions!$D$6,IF(ISNUMBER(SEARCH(Assumptions!$C$7,C3158)),Assumptions!$D$7,"Other Services"))),"Other Services"))</f>
        <v/>
      </c>
    </row>
    <row r="3159" customFormat="false" ht="15" hidden="false" customHeight="false" outlineLevel="0" collapsed="false">
      <c r="F3159" s="41" t="str">
        <f aca="false">IF(C3159="","",IFERROR(IF(ISNUMBER(SEARCH(Assumptions!$C$5,C3159)),Assumptions!$D$5,IF(ISNUMBER(SEARCH(Assumptions!$C$6,C3159)),Assumptions!$D$6,IF(ISNUMBER(SEARCH(Assumptions!$C$7,C3159)),Assumptions!$D$7,"Other Services"))),"Other Services"))</f>
        <v/>
      </c>
    </row>
    <row r="3160" customFormat="false" ht="15" hidden="false" customHeight="false" outlineLevel="0" collapsed="false">
      <c r="F3160" s="41" t="str">
        <f aca="false">IF(C3160="","",IFERROR(IF(ISNUMBER(SEARCH(Assumptions!$C$5,C3160)),Assumptions!$D$5,IF(ISNUMBER(SEARCH(Assumptions!$C$6,C3160)),Assumptions!$D$6,IF(ISNUMBER(SEARCH(Assumptions!$C$7,C3160)),Assumptions!$D$7,"Other Services"))),"Other Services"))</f>
        <v/>
      </c>
    </row>
    <row r="3161" customFormat="false" ht="15" hidden="false" customHeight="false" outlineLevel="0" collapsed="false">
      <c r="F3161" s="41" t="str">
        <f aca="false">IF(C3161="","",IFERROR(IF(ISNUMBER(SEARCH(Assumptions!$C$5,C3161)),Assumptions!$D$5,IF(ISNUMBER(SEARCH(Assumptions!$C$6,C3161)),Assumptions!$D$6,IF(ISNUMBER(SEARCH(Assumptions!$C$7,C3161)),Assumptions!$D$7,"Other Services"))),"Other Services"))</f>
        <v/>
      </c>
    </row>
    <row r="3162" customFormat="false" ht="15" hidden="false" customHeight="false" outlineLevel="0" collapsed="false">
      <c r="F3162" s="41" t="str">
        <f aca="false">IF(C3162="","",IFERROR(IF(ISNUMBER(SEARCH(Assumptions!$C$5,C3162)),Assumptions!$D$5,IF(ISNUMBER(SEARCH(Assumptions!$C$6,C3162)),Assumptions!$D$6,IF(ISNUMBER(SEARCH(Assumptions!$C$7,C3162)),Assumptions!$D$7,"Other Services"))),"Other Services"))</f>
        <v/>
      </c>
    </row>
    <row r="3163" customFormat="false" ht="15" hidden="false" customHeight="false" outlineLevel="0" collapsed="false">
      <c r="F3163" s="41" t="str">
        <f aca="false">IF(C3163="","",IFERROR(IF(ISNUMBER(SEARCH(Assumptions!$C$5,C3163)),Assumptions!$D$5,IF(ISNUMBER(SEARCH(Assumptions!$C$6,C3163)),Assumptions!$D$6,IF(ISNUMBER(SEARCH(Assumptions!$C$7,C3163)),Assumptions!$D$7,"Other Services"))),"Other Services"))</f>
        <v/>
      </c>
    </row>
    <row r="3164" customFormat="false" ht="15" hidden="false" customHeight="false" outlineLevel="0" collapsed="false">
      <c r="F3164" s="41" t="str">
        <f aca="false">IF(C3164="","",IFERROR(IF(ISNUMBER(SEARCH(Assumptions!$C$5,C3164)),Assumptions!$D$5,IF(ISNUMBER(SEARCH(Assumptions!$C$6,C3164)),Assumptions!$D$6,IF(ISNUMBER(SEARCH(Assumptions!$C$7,C3164)),Assumptions!$D$7,"Other Services"))),"Other Services"))</f>
        <v/>
      </c>
    </row>
    <row r="3165" customFormat="false" ht="15" hidden="false" customHeight="false" outlineLevel="0" collapsed="false">
      <c r="F3165" s="41" t="str">
        <f aca="false">IF(C3165="","",IFERROR(IF(ISNUMBER(SEARCH(Assumptions!$C$5,C3165)),Assumptions!$D$5,IF(ISNUMBER(SEARCH(Assumptions!$C$6,C3165)),Assumptions!$D$6,IF(ISNUMBER(SEARCH(Assumptions!$C$7,C3165)),Assumptions!$D$7,"Other Services"))),"Other Services"))</f>
        <v/>
      </c>
    </row>
    <row r="3166" customFormat="false" ht="15" hidden="false" customHeight="false" outlineLevel="0" collapsed="false">
      <c r="F3166" s="41" t="str">
        <f aca="false">IF(C3166="","",IFERROR(IF(ISNUMBER(SEARCH(Assumptions!$C$5,C3166)),Assumptions!$D$5,IF(ISNUMBER(SEARCH(Assumptions!$C$6,C3166)),Assumptions!$D$6,IF(ISNUMBER(SEARCH(Assumptions!$C$7,C3166)),Assumptions!$D$7,"Other Services"))),"Other Services"))</f>
        <v/>
      </c>
    </row>
    <row r="3167" customFormat="false" ht="15" hidden="false" customHeight="false" outlineLevel="0" collapsed="false">
      <c r="F3167" s="41" t="str">
        <f aca="false">IF(C3167="","",IFERROR(IF(ISNUMBER(SEARCH(Assumptions!$C$5,C3167)),Assumptions!$D$5,IF(ISNUMBER(SEARCH(Assumptions!$C$6,C3167)),Assumptions!$D$6,IF(ISNUMBER(SEARCH(Assumptions!$C$7,C3167)),Assumptions!$D$7,"Other Services"))),"Other Services"))</f>
        <v/>
      </c>
    </row>
    <row r="3168" customFormat="false" ht="15" hidden="false" customHeight="false" outlineLevel="0" collapsed="false">
      <c r="F3168" s="41" t="str">
        <f aca="false">IF(C3168="","",IFERROR(IF(ISNUMBER(SEARCH(Assumptions!$C$5,C3168)),Assumptions!$D$5,IF(ISNUMBER(SEARCH(Assumptions!$C$6,C3168)),Assumptions!$D$6,IF(ISNUMBER(SEARCH(Assumptions!$C$7,C3168)),Assumptions!$D$7,"Other Services"))),"Other Services"))</f>
        <v/>
      </c>
    </row>
    <row r="3169" customFormat="false" ht="15" hidden="false" customHeight="false" outlineLevel="0" collapsed="false">
      <c r="F3169" s="41" t="str">
        <f aca="false">IF(C3169="","",IFERROR(IF(ISNUMBER(SEARCH(Assumptions!$C$5,C3169)),Assumptions!$D$5,IF(ISNUMBER(SEARCH(Assumptions!$C$6,C3169)),Assumptions!$D$6,IF(ISNUMBER(SEARCH(Assumptions!$C$7,C3169)),Assumptions!$D$7,"Other Services"))),"Other Services"))</f>
        <v/>
      </c>
    </row>
    <row r="3170" customFormat="false" ht="15" hidden="false" customHeight="false" outlineLevel="0" collapsed="false">
      <c r="F3170" s="41" t="str">
        <f aca="false">IF(C3170="","",IFERROR(IF(ISNUMBER(SEARCH(Assumptions!$C$5,C3170)),Assumptions!$D$5,IF(ISNUMBER(SEARCH(Assumptions!$C$6,C3170)),Assumptions!$D$6,IF(ISNUMBER(SEARCH(Assumptions!$C$7,C3170)),Assumptions!$D$7,"Other Services"))),"Other Services"))</f>
        <v/>
      </c>
    </row>
    <row r="3171" customFormat="false" ht="15" hidden="false" customHeight="false" outlineLevel="0" collapsed="false">
      <c r="F3171" s="41" t="str">
        <f aca="false">IF(C3171="","",IFERROR(IF(ISNUMBER(SEARCH(Assumptions!$C$5,C3171)),Assumptions!$D$5,IF(ISNUMBER(SEARCH(Assumptions!$C$6,C3171)),Assumptions!$D$6,IF(ISNUMBER(SEARCH(Assumptions!$C$7,C3171)),Assumptions!$D$7,"Other Services"))),"Other Services"))</f>
        <v/>
      </c>
    </row>
    <row r="3172" customFormat="false" ht="15" hidden="false" customHeight="false" outlineLevel="0" collapsed="false">
      <c r="F3172" s="41" t="str">
        <f aca="false">IF(C3172="","",IFERROR(IF(ISNUMBER(SEARCH(Assumptions!$C$5,C3172)),Assumptions!$D$5,IF(ISNUMBER(SEARCH(Assumptions!$C$6,C3172)),Assumptions!$D$6,IF(ISNUMBER(SEARCH(Assumptions!$C$7,C3172)),Assumptions!$D$7,"Other Services"))),"Other Services"))</f>
        <v/>
      </c>
    </row>
    <row r="3173" customFormat="false" ht="15" hidden="false" customHeight="false" outlineLevel="0" collapsed="false">
      <c r="F3173" s="41" t="str">
        <f aca="false">IF(C3173="","",IFERROR(IF(ISNUMBER(SEARCH(Assumptions!$C$5,C3173)),Assumptions!$D$5,IF(ISNUMBER(SEARCH(Assumptions!$C$6,C3173)),Assumptions!$D$6,IF(ISNUMBER(SEARCH(Assumptions!$C$7,C3173)),Assumptions!$D$7,"Other Services"))),"Other Services"))</f>
        <v/>
      </c>
    </row>
    <row r="3174" customFormat="false" ht="15" hidden="false" customHeight="false" outlineLevel="0" collapsed="false">
      <c r="F3174" s="41" t="str">
        <f aca="false">IF(C3174="","",IFERROR(IF(ISNUMBER(SEARCH(Assumptions!$C$5,C3174)),Assumptions!$D$5,IF(ISNUMBER(SEARCH(Assumptions!$C$6,C3174)),Assumptions!$D$6,IF(ISNUMBER(SEARCH(Assumptions!$C$7,C3174)),Assumptions!$D$7,"Other Services"))),"Other Services"))</f>
        <v/>
      </c>
    </row>
    <row r="3175" customFormat="false" ht="15" hidden="false" customHeight="false" outlineLevel="0" collapsed="false">
      <c r="F3175" s="41" t="str">
        <f aca="false">IF(C3175="","",IFERROR(IF(ISNUMBER(SEARCH(Assumptions!$C$5,C3175)),Assumptions!$D$5,IF(ISNUMBER(SEARCH(Assumptions!$C$6,C3175)),Assumptions!$D$6,IF(ISNUMBER(SEARCH(Assumptions!$C$7,C3175)),Assumptions!$D$7,"Other Services"))),"Other Services"))</f>
        <v/>
      </c>
    </row>
    <row r="3176" customFormat="false" ht="15" hidden="false" customHeight="false" outlineLevel="0" collapsed="false">
      <c r="F3176" s="41" t="str">
        <f aca="false">IF(C3176="","",IFERROR(IF(ISNUMBER(SEARCH(Assumptions!$C$5,C3176)),Assumptions!$D$5,IF(ISNUMBER(SEARCH(Assumptions!$C$6,C3176)),Assumptions!$D$6,IF(ISNUMBER(SEARCH(Assumptions!$C$7,C3176)),Assumptions!$D$7,"Other Services"))),"Other Services"))</f>
        <v/>
      </c>
    </row>
    <row r="3177" customFormat="false" ht="15" hidden="false" customHeight="false" outlineLevel="0" collapsed="false">
      <c r="F3177" s="41" t="str">
        <f aca="false">IF(C3177="","",IFERROR(IF(ISNUMBER(SEARCH(Assumptions!$C$5,C3177)),Assumptions!$D$5,IF(ISNUMBER(SEARCH(Assumptions!$C$6,C3177)),Assumptions!$D$6,IF(ISNUMBER(SEARCH(Assumptions!$C$7,C3177)),Assumptions!$D$7,"Other Services"))),"Other Services"))</f>
        <v/>
      </c>
    </row>
    <row r="3178" customFormat="false" ht="15" hidden="false" customHeight="false" outlineLevel="0" collapsed="false">
      <c r="F3178" s="41" t="str">
        <f aca="false">IF(C3178="","",IFERROR(IF(ISNUMBER(SEARCH(Assumptions!$C$5,C3178)),Assumptions!$D$5,IF(ISNUMBER(SEARCH(Assumptions!$C$6,C3178)),Assumptions!$D$6,IF(ISNUMBER(SEARCH(Assumptions!$C$7,C3178)),Assumptions!$D$7,"Other Services"))),"Other Services"))</f>
        <v/>
      </c>
    </row>
    <row r="3179" customFormat="false" ht="15" hidden="false" customHeight="false" outlineLevel="0" collapsed="false">
      <c r="F3179" s="41" t="str">
        <f aca="false">IF(C3179="","",IFERROR(IF(ISNUMBER(SEARCH(Assumptions!$C$5,C3179)),Assumptions!$D$5,IF(ISNUMBER(SEARCH(Assumptions!$C$6,C3179)),Assumptions!$D$6,IF(ISNUMBER(SEARCH(Assumptions!$C$7,C3179)),Assumptions!$D$7,"Other Services"))),"Other Services"))</f>
        <v/>
      </c>
    </row>
    <row r="3180" customFormat="false" ht="15" hidden="false" customHeight="false" outlineLevel="0" collapsed="false">
      <c r="F3180" s="41" t="str">
        <f aca="false">IF(C3180="","",IFERROR(IF(ISNUMBER(SEARCH(Assumptions!$C$5,C3180)),Assumptions!$D$5,IF(ISNUMBER(SEARCH(Assumptions!$C$6,C3180)),Assumptions!$D$6,IF(ISNUMBER(SEARCH(Assumptions!$C$7,C3180)),Assumptions!$D$7,"Other Services"))),"Other Services"))</f>
        <v/>
      </c>
    </row>
    <row r="3181" customFormat="false" ht="15" hidden="false" customHeight="false" outlineLevel="0" collapsed="false">
      <c r="F3181" s="41" t="str">
        <f aca="false">IF(C3181="","",IFERROR(IF(ISNUMBER(SEARCH(Assumptions!$C$5,C3181)),Assumptions!$D$5,IF(ISNUMBER(SEARCH(Assumptions!$C$6,C3181)),Assumptions!$D$6,IF(ISNUMBER(SEARCH(Assumptions!$C$7,C3181)),Assumptions!$D$7,"Other Services"))),"Other Services"))</f>
        <v/>
      </c>
    </row>
    <row r="3182" customFormat="false" ht="15" hidden="false" customHeight="false" outlineLevel="0" collapsed="false">
      <c r="F3182" s="41" t="str">
        <f aca="false">IF(C3182="","",IFERROR(IF(ISNUMBER(SEARCH(Assumptions!$C$5,C3182)),Assumptions!$D$5,IF(ISNUMBER(SEARCH(Assumptions!$C$6,C3182)),Assumptions!$D$6,IF(ISNUMBER(SEARCH(Assumptions!$C$7,C3182)),Assumptions!$D$7,"Other Services"))),"Other Services"))</f>
        <v/>
      </c>
    </row>
    <row r="3183" customFormat="false" ht="15" hidden="false" customHeight="false" outlineLevel="0" collapsed="false">
      <c r="F3183" s="41" t="str">
        <f aca="false">IF(C3183="","",IFERROR(IF(ISNUMBER(SEARCH(Assumptions!$C$5,C3183)),Assumptions!$D$5,IF(ISNUMBER(SEARCH(Assumptions!$C$6,C3183)),Assumptions!$D$6,IF(ISNUMBER(SEARCH(Assumptions!$C$7,C3183)),Assumptions!$D$7,"Other Services"))),"Other Services"))</f>
        <v/>
      </c>
    </row>
    <row r="3184" customFormat="false" ht="15" hidden="false" customHeight="false" outlineLevel="0" collapsed="false">
      <c r="F3184" s="41" t="str">
        <f aca="false">IF(C3184="","",IFERROR(IF(ISNUMBER(SEARCH(Assumptions!$C$5,C3184)),Assumptions!$D$5,IF(ISNUMBER(SEARCH(Assumptions!$C$6,C3184)),Assumptions!$D$6,IF(ISNUMBER(SEARCH(Assumptions!$C$7,C3184)),Assumptions!$D$7,"Other Services"))),"Other Services"))</f>
        <v/>
      </c>
    </row>
    <row r="3185" customFormat="false" ht="15" hidden="false" customHeight="false" outlineLevel="0" collapsed="false">
      <c r="F3185" s="41" t="str">
        <f aca="false">IF(C3185="","",IFERROR(IF(ISNUMBER(SEARCH(Assumptions!$C$5,C3185)),Assumptions!$D$5,IF(ISNUMBER(SEARCH(Assumptions!$C$6,C3185)),Assumptions!$D$6,IF(ISNUMBER(SEARCH(Assumptions!$C$7,C3185)),Assumptions!$D$7,"Other Services"))),"Other Services"))</f>
        <v/>
      </c>
    </row>
    <row r="3186" customFormat="false" ht="15" hidden="false" customHeight="false" outlineLevel="0" collapsed="false">
      <c r="F3186" s="41" t="str">
        <f aca="false">IF(C3186="","",IFERROR(IF(ISNUMBER(SEARCH(Assumptions!$C$5,C3186)),Assumptions!$D$5,IF(ISNUMBER(SEARCH(Assumptions!$C$6,C3186)),Assumptions!$D$6,IF(ISNUMBER(SEARCH(Assumptions!$C$7,C3186)),Assumptions!$D$7,"Other Services"))),"Other Services"))</f>
        <v/>
      </c>
    </row>
    <row r="3187" customFormat="false" ht="15" hidden="false" customHeight="false" outlineLevel="0" collapsed="false">
      <c r="F3187" s="41" t="str">
        <f aca="false">IF(C3187="","",IFERROR(IF(ISNUMBER(SEARCH(Assumptions!$C$5,C3187)),Assumptions!$D$5,IF(ISNUMBER(SEARCH(Assumptions!$C$6,C3187)),Assumptions!$D$6,IF(ISNUMBER(SEARCH(Assumptions!$C$7,C3187)),Assumptions!$D$7,"Other Services"))),"Other Services"))</f>
        <v/>
      </c>
    </row>
    <row r="3188" customFormat="false" ht="15" hidden="false" customHeight="false" outlineLevel="0" collapsed="false">
      <c r="F3188" s="41" t="str">
        <f aca="false">IF(C3188="","",IFERROR(IF(ISNUMBER(SEARCH(Assumptions!$C$5,C3188)),Assumptions!$D$5,IF(ISNUMBER(SEARCH(Assumptions!$C$6,C3188)),Assumptions!$D$6,IF(ISNUMBER(SEARCH(Assumptions!$C$7,C3188)),Assumptions!$D$7,"Other Services"))),"Other Services"))</f>
        <v/>
      </c>
    </row>
    <row r="3189" customFormat="false" ht="15" hidden="false" customHeight="false" outlineLevel="0" collapsed="false">
      <c r="F3189" s="41" t="str">
        <f aca="false">IF(C3189="","",IFERROR(IF(ISNUMBER(SEARCH(Assumptions!$C$5,C3189)),Assumptions!$D$5,IF(ISNUMBER(SEARCH(Assumptions!$C$6,C3189)),Assumptions!$D$6,IF(ISNUMBER(SEARCH(Assumptions!$C$7,C3189)),Assumptions!$D$7,"Other Services"))),"Other Services"))</f>
        <v/>
      </c>
    </row>
    <row r="3190" customFormat="false" ht="15" hidden="false" customHeight="false" outlineLevel="0" collapsed="false">
      <c r="F3190" s="41" t="str">
        <f aca="false">IF(C3190="","",IFERROR(IF(ISNUMBER(SEARCH(Assumptions!$C$5,C3190)),Assumptions!$D$5,IF(ISNUMBER(SEARCH(Assumptions!$C$6,C3190)),Assumptions!$D$6,IF(ISNUMBER(SEARCH(Assumptions!$C$7,C3190)),Assumptions!$D$7,"Other Services"))),"Other Services"))</f>
        <v/>
      </c>
    </row>
    <row r="3191" customFormat="false" ht="15" hidden="false" customHeight="false" outlineLevel="0" collapsed="false">
      <c r="F3191" s="41" t="str">
        <f aca="false">IF(C3191="","",IFERROR(IF(ISNUMBER(SEARCH(Assumptions!$C$5,C3191)),Assumptions!$D$5,IF(ISNUMBER(SEARCH(Assumptions!$C$6,C3191)),Assumptions!$D$6,IF(ISNUMBER(SEARCH(Assumptions!$C$7,C3191)),Assumptions!$D$7,"Other Services"))),"Other Services"))</f>
        <v/>
      </c>
    </row>
    <row r="3192" customFormat="false" ht="15" hidden="false" customHeight="false" outlineLevel="0" collapsed="false">
      <c r="F3192" s="41" t="str">
        <f aca="false">IF(C3192="","",IFERROR(IF(ISNUMBER(SEARCH(Assumptions!$C$5,C3192)),Assumptions!$D$5,IF(ISNUMBER(SEARCH(Assumptions!$C$6,C3192)),Assumptions!$D$6,IF(ISNUMBER(SEARCH(Assumptions!$C$7,C3192)),Assumptions!$D$7,"Other Services"))),"Other Services"))</f>
        <v/>
      </c>
    </row>
    <row r="3193" customFormat="false" ht="15" hidden="false" customHeight="false" outlineLevel="0" collapsed="false">
      <c r="F3193" s="41" t="str">
        <f aca="false">IF(C3193="","",IFERROR(IF(ISNUMBER(SEARCH(Assumptions!$C$5,C3193)),Assumptions!$D$5,IF(ISNUMBER(SEARCH(Assumptions!$C$6,C3193)),Assumptions!$D$6,IF(ISNUMBER(SEARCH(Assumptions!$C$7,C3193)),Assumptions!$D$7,"Other Services"))),"Other Services"))</f>
        <v/>
      </c>
    </row>
    <row r="3194" customFormat="false" ht="15" hidden="false" customHeight="false" outlineLevel="0" collapsed="false">
      <c r="F3194" s="41" t="str">
        <f aca="false">IF(C3194="","",IFERROR(IF(ISNUMBER(SEARCH(Assumptions!$C$5,C3194)),Assumptions!$D$5,IF(ISNUMBER(SEARCH(Assumptions!$C$6,C3194)),Assumptions!$D$6,IF(ISNUMBER(SEARCH(Assumptions!$C$7,C3194)),Assumptions!$D$7,"Other Services"))),"Other Services"))</f>
        <v/>
      </c>
    </row>
    <row r="3195" customFormat="false" ht="15" hidden="false" customHeight="false" outlineLevel="0" collapsed="false">
      <c r="F3195" s="41" t="str">
        <f aca="false">IF(C3195="","",IFERROR(IF(ISNUMBER(SEARCH(Assumptions!$C$5,C3195)),Assumptions!$D$5,IF(ISNUMBER(SEARCH(Assumptions!$C$6,C3195)),Assumptions!$D$6,IF(ISNUMBER(SEARCH(Assumptions!$C$7,C3195)),Assumptions!$D$7,"Other Services"))),"Other Services"))</f>
        <v/>
      </c>
    </row>
    <row r="3196" customFormat="false" ht="15" hidden="false" customHeight="false" outlineLevel="0" collapsed="false">
      <c r="F3196" s="41" t="str">
        <f aca="false">IF(C3196="","",IFERROR(IF(ISNUMBER(SEARCH(Assumptions!$C$5,C3196)),Assumptions!$D$5,IF(ISNUMBER(SEARCH(Assumptions!$C$6,C3196)),Assumptions!$D$6,IF(ISNUMBER(SEARCH(Assumptions!$C$7,C3196)),Assumptions!$D$7,"Other Services"))),"Other Services"))</f>
        <v/>
      </c>
    </row>
    <row r="3197" customFormat="false" ht="15" hidden="false" customHeight="false" outlineLevel="0" collapsed="false">
      <c r="F3197" s="41" t="str">
        <f aca="false">IF(C3197="","",IFERROR(IF(ISNUMBER(SEARCH(Assumptions!$C$5,C3197)),Assumptions!$D$5,IF(ISNUMBER(SEARCH(Assumptions!$C$6,C3197)),Assumptions!$D$6,IF(ISNUMBER(SEARCH(Assumptions!$C$7,C3197)),Assumptions!$D$7,"Other Services"))),"Other Services"))</f>
        <v/>
      </c>
    </row>
    <row r="3198" customFormat="false" ht="15" hidden="false" customHeight="false" outlineLevel="0" collapsed="false">
      <c r="F3198" s="41" t="str">
        <f aca="false">IF(C3198="","",IFERROR(IF(ISNUMBER(SEARCH(Assumptions!$C$5,C3198)),Assumptions!$D$5,IF(ISNUMBER(SEARCH(Assumptions!$C$6,C3198)),Assumptions!$D$6,IF(ISNUMBER(SEARCH(Assumptions!$C$7,C3198)),Assumptions!$D$7,"Other Services"))),"Other Services"))</f>
        <v/>
      </c>
    </row>
    <row r="3199" customFormat="false" ht="15" hidden="false" customHeight="false" outlineLevel="0" collapsed="false">
      <c r="F3199" s="41" t="str">
        <f aca="false">IF(C3199="","",IFERROR(IF(ISNUMBER(SEARCH(Assumptions!$C$5,C3199)),Assumptions!$D$5,IF(ISNUMBER(SEARCH(Assumptions!$C$6,C3199)),Assumptions!$D$6,IF(ISNUMBER(SEARCH(Assumptions!$C$7,C3199)),Assumptions!$D$7,"Other Services"))),"Other Services"))</f>
        <v/>
      </c>
    </row>
    <row r="3200" customFormat="false" ht="15" hidden="false" customHeight="false" outlineLevel="0" collapsed="false">
      <c r="F3200" s="41" t="str">
        <f aca="false">IF(C3200="","",IFERROR(IF(ISNUMBER(SEARCH(Assumptions!$C$5,C3200)),Assumptions!$D$5,IF(ISNUMBER(SEARCH(Assumptions!$C$6,C3200)),Assumptions!$D$6,IF(ISNUMBER(SEARCH(Assumptions!$C$7,C3200)),Assumptions!$D$7,"Other Services"))),"Other Services"))</f>
        <v/>
      </c>
    </row>
    <row r="3201" customFormat="false" ht="15" hidden="false" customHeight="false" outlineLevel="0" collapsed="false">
      <c r="F3201" s="41" t="str">
        <f aca="false">IF(C3201="","",IFERROR(IF(ISNUMBER(SEARCH(Assumptions!$C$5,C3201)),Assumptions!$D$5,IF(ISNUMBER(SEARCH(Assumptions!$C$6,C3201)),Assumptions!$D$6,IF(ISNUMBER(SEARCH(Assumptions!$C$7,C3201)),Assumptions!$D$7,"Other Services"))),"Other Services"))</f>
        <v/>
      </c>
    </row>
    <row r="3202" customFormat="false" ht="15" hidden="false" customHeight="false" outlineLevel="0" collapsed="false">
      <c r="F3202" s="41" t="str">
        <f aca="false">IF(C3202="","",IFERROR(IF(ISNUMBER(SEARCH(Assumptions!$C$5,C3202)),Assumptions!$D$5,IF(ISNUMBER(SEARCH(Assumptions!$C$6,C3202)),Assumptions!$D$6,IF(ISNUMBER(SEARCH(Assumptions!$C$7,C3202)),Assumptions!$D$7,"Other Services"))),"Other Services"))</f>
        <v/>
      </c>
    </row>
    <row r="3203" customFormat="false" ht="15" hidden="false" customHeight="false" outlineLevel="0" collapsed="false">
      <c r="F3203" s="41" t="str">
        <f aca="false">IF(C3203="","",IFERROR(IF(ISNUMBER(SEARCH(Assumptions!$C$5,C3203)),Assumptions!$D$5,IF(ISNUMBER(SEARCH(Assumptions!$C$6,C3203)),Assumptions!$D$6,IF(ISNUMBER(SEARCH(Assumptions!$C$7,C3203)),Assumptions!$D$7,"Other Services"))),"Other Services"))</f>
        <v/>
      </c>
    </row>
    <row r="3204" customFormat="false" ht="15" hidden="false" customHeight="false" outlineLevel="0" collapsed="false">
      <c r="F3204" s="41" t="str">
        <f aca="false">IF(C3204="","",IFERROR(IF(ISNUMBER(SEARCH(Assumptions!$C$5,C3204)),Assumptions!$D$5,IF(ISNUMBER(SEARCH(Assumptions!$C$6,C3204)),Assumptions!$D$6,IF(ISNUMBER(SEARCH(Assumptions!$C$7,C3204)),Assumptions!$D$7,"Other Services"))),"Other Services"))</f>
        <v/>
      </c>
    </row>
    <row r="3205" customFormat="false" ht="15" hidden="false" customHeight="false" outlineLevel="0" collapsed="false">
      <c r="F3205" s="41" t="str">
        <f aca="false">IF(C3205="","",IFERROR(IF(ISNUMBER(SEARCH(Assumptions!$C$5,C3205)),Assumptions!$D$5,IF(ISNUMBER(SEARCH(Assumptions!$C$6,C3205)),Assumptions!$D$6,IF(ISNUMBER(SEARCH(Assumptions!$C$7,C3205)),Assumptions!$D$7,"Other Services"))),"Other Services"))</f>
        <v/>
      </c>
    </row>
    <row r="3206" customFormat="false" ht="15" hidden="false" customHeight="false" outlineLevel="0" collapsed="false">
      <c r="F3206" s="41" t="str">
        <f aca="false">IF(C3206="","",IFERROR(IF(ISNUMBER(SEARCH(Assumptions!$C$5,C3206)),Assumptions!$D$5,IF(ISNUMBER(SEARCH(Assumptions!$C$6,C3206)),Assumptions!$D$6,IF(ISNUMBER(SEARCH(Assumptions!$C$7,C3206)),Assumptions!$D$7,"Other Services"))),"Other Services"))</f>
        <v/>
      </c>
    </row>
    <row r="3207" customFormat="false" ht="15" hidden="false" customHeight="false" outlineLevel="0" collapsed="false">
      <c r="F3207" s="41" t="str">
        <f aca="false">IF(C3207="","",IFERROR(IF(ISNUMBER(SEARCH(Assumptions!$C$5,C3207)),Assumptions!$D$5,IF(ISNUMBER(SEARCH(Assumptions!$C$6,C3207)),Assumptions!$D$6,IF(ISNUMBER(SEARCH(Assumptions!$C$7,C3207)),Assumptions!$D$7,"Other Services"))),"Other Services"))</f>
        <v/>
      </c>
    </row>
    <row r="3208" customFormat="false" ht="15" hidden="false" customHeight="false" outlineLevel="0" collapsed="false">
      <c r="F3208" s="41" t="str">
        <f aca="false">IF(C3208="","",IFERROR(IF(ISNUMBER(SEARCH(Assumptions!$C$5,C3208)),Assumptions!$D$5,IF(ISNUMBER(SEARCH(Assumptions!$C$6,C3208)),Assumptions!$D$6,IF(ISNUMBER(SEARCH(Assumptions!$C$7,C3208)),Assumptions!$D$7,"Other Services"))),"Other Services"))</f>
        <v/>
      </c>
    </row>
    <row r="3209" customFormat="false" ht="15" hidden="false" customHeight="false" outlineLevel="0" collapsed="false">
      <c r="F3209" s="41" t="str">
        <f aca="false">IF(C3209="","",IFERROR(IF(ISNUMBER(SEARCH(Assumptions!$C$5,C3209)),Assumptions!$D$5,IF(ISNUMBER(SEARCH(Assumptions!$C$6,C3209)),Assumptions!$D$6,IF(ISNUMBER(SEARCH(Assumptions!$C$7,C3209)),Assumptions!$D$7,"Other Services"))),"Other Services"))</f>
        <v/>
      </c>
    </row>
    <row r="3210" customFormat="false" ht="15" hidden="false" customHeight="false" outlineLevel="0" collapsed="false">
      <c r="F3210" s="41" t="str">
        <f aca="false">IF(C3210="","",IFERROR(IF(ISNUMBER(SEARCH(Assumptions!$C$5,C3210)),Assumptions!$D$5,IF(ISNUMBER(SEARCH(Assumptions!$C$6,C3210)),Assumptions!$D$6,IF(ISNUMBER(SEARCH(Assumptions!$C$7,C3210)),Assumptions!$D$7,"Other Services"))),"Other Services"))</f>
        <v/>
      </c>
    </row>
    <row r="3211" customFormat="false" ht="15" hidden="false" customHeight="false" outlineLevel="0" collapsed="false">
      <c r="F3211" s="41" t="str">
        <f aca="false">IF(C3211="","",IFERROR(IF(ISNUMBER(SEARCH(Assumptions!$C$5,C3211)),Assumptions!$D$5,IF(ISNUMBER(SEARCH(Assumptions!$C$6,C3211)),Assumptions!$D$6,IF(ISNUMBER(SEARCH(Assumptions!$C$7,C3211)),Assumptions!$D$7,"Other Services"))),"Other Services"))</f>
        <v/>
      </c>
    </row>
    <row r="3212" customFormat="false" ht="15" hidden="false" customHeight="false" outlineLevel="0" collapsed="false">
      <c r="F3212" s="41" t="str">
        <f aca="false">IF(C3212="","",IFERROR(IF(ISNUMBER(SEARCH(Assumptions!$C$5,C3212)),Assumptions!$D$5,IF(ISNUMBER(SEARCH(Assumptions!$C$6,C3212)),Assumptions!$D$6,IF(ISNUMBER(SEARCH(Assumptions!$C$7,C3212)),Assumptions!$D$7,"Other Services"))),"Other Services"))</f>
        <v/>
      </c>
    </row>
    <row r="3213" customFormat="false" ht="15" hidden="false" customHeight="false" outlineLevel="0" collapsed="false">
      <c r="F3213" s="41" t="str">
        <f aca="false">IF(C3213="","",IFERROR(IF(ISNUMBER(SEARCH(Assumptions!$C$5,C3213)),Assumptions!$D$5,IF(ISNUMBER(SEARCH(Assumptions!$C$6,C3213)),Assumptions!$D$6,IF(ISNUMBER(SEARCH(Assumptions!$C$7,C3213)),Assumptions!$D$7,"Other Services"))),"Other Services"))</f>
        <v/>
      </c>
    </row>
    <row r="3214" customFormat="false" ht="15" hidden="false" customHeight="false" outlineLevel="0" collapsed="false">
      <c r="F3214" s="41" t="str">
        <f aca="false">IF(C3214="","",IFERROR(IF(ISNUMBER(SEARCH(Assumptions!$C$5,C3214)),Assumptions!$D$5,IF(ISNUMBER(SEARCH(Assumptions!$C$6,C3214)),Assumptions!$D$6,IF(ISNUMBER(SEARCH(Assumptions!$C$7,C3214)),Assumptions!$D$7,"Other Services"))),"Other Services"))</f>
        <v/>
      </c>
    </row>
    <row r="3215" customFormat="false" ht="15" hidden="false" customHeight="false" outlineLevel="0" collapsed="false">
      <c r="F3215" s="41" t="str">
        <f aca="false">IF(C3215="","",IFERROR(IF(ISNUMBER(SEARCH(Assumptions!$C$5,C3215)),Assumptions!$D$5,IF(ISNUMBER(SEARCH(Assumptions!$C$6,C3215)),Assumptions!$D$6,IF(ISNUMBER(SEARCH(Assumptions!$C$7,C3215)),Assumptions!$D$7,"Other Services"))),"Other Services"))</f>
        <v/>
      </c>
    </row>
    <row r="3216" customFormat="false" ht="15" hidden="false" customHeight="false" outlineLevel="0" collapsed="false">
      <c r="F3216" s="41" t="str">
        <f aca="false">IF(C3216="","",IFERROR(IF(ISNUMBER(SEARCH(Assumptions!$C$5,C3216)),Assumptions!$D$5,IF(ISNUMBER(SEARCH(Assumptions!$C$6,C3216)),Assumptions!$D$6,IF(ISNUMBER(SEARCH(Assumptions!$C$7,C3216)),Assumptions!$D$7,"Other Services"))),"Other Services"))</f>
        <v/>
      </c>
    </row>
    <row r="3217" customFormat="false" ht="15" hidden="false" customHeight="false" outlineLevel="0" collapsed="false">
      <c r="F3217" s="41" t="str">
        <f aca="false">IF(C3217="","",IFERROR(IF(ISNUMBER(SEARCH(Assumptions!$C$5,C3217)),Assumptions!$D$5,IF(ISNUMBER(SEARCH(Assumptions!$C$6,C3217)),Assumptions!$D$6,IF(ISNUMBER(SEARCH(Assumptions!$C$7,C3217)),Assumptions!$D$7,"Other Services"))),"Other Services"))</f>
        <v/>
      </c>
    </row>
    <row r="3218" customFormat="false" ht="15" hidden="false" customHeight="false" outlineLevel="0" collapsed="false">
      <c r="F3218" s="41" t="str">
        <f aca="false">IF(C3218="","",IFERROR(IF(ISNUMBER(SEARCH(Assumptions!$C$5,C3218)),Assumptions!$D$5,IF(ISNUMBER(SEARCH(Assumptions!$C$6,C3218)),Assumptions!$D$6,IF(ISNUMBER(SEARCH(Assumptions!$C$7,C3218)),Assumptions!$D$7,"Other Services"))),"Other Services"))</f>
        <v/>
      </c>
    </row>
    <row r="3219" customFormat="false" ht="15" hidden="false" customHeight="false" outlineLevel="0" collapsed="false">
      <c r="F3219" s="41" t="str">
        <f aca="false">IF(C3219="","",IFERROR(IF(ISNUMBER(SEARCH(Assumptions!$C$5,C3219)),Assumptions!$D$5,IF(ISNUMBER(SEARCH(Assumptions!$C$6,C3219)),Assumptions!$D$6,IF(ISNUMBER(SEARCH(Assumptions!$C$7,C3219)),Assumptions!$D$7,"Other Services"))),"Other Services"))</f>
        <v/>
      </c>
    </row>
    <row r="3220" customFormat="false" ht="15" hidden="false" customHeight="false" outlineLevel="0" collapsed="false">
      <c r="F3220" s="41" t="str">
        <f aca="false">IF(C3220="","",IFERROR(IF(ISNUMBER(SEARCH(Assumptions!$C$5,C3220)),Assumptions!$D$5,IF(ISNUMBER(SEARCH(Assumptions!$C$6,C3220)),Assumptions!$D$6,IF(ISNUMBER(SEARCH(Assumptions!$C$7,C3220)),Assumptions!$D$7,"Other Services"))),"Other Services"))</f>
        <v/>
      </c>
    </row>
    <row r="3221" customFormat="false" ht="15" hidden="false" customHeight="false" outlineLevel="0" collapsed="false">
      <c r="F3221" s="41" t="str">
        <f aca="false">IF(C3221="","",IFERROR(IF(ISNUMBER(SEARCH(Assumptions!$C$5,C3221)),Assumptions!$D$5,IF(ISNUMBER(SEARCH(Assumptions!$C$6,C3221)),Assumptions!$D$6,IF(ISNUMBER(SEARCH(Assumptions!$C$7,C3221)),Assumptions!$D$7,"Other Services"))),"Other Services"))</f>
        <v/>
      </c>
    </row>
    <row r="3222" customFormat="false" ht="15" hidden="false" customHeight="false" outlineLevel="0" collapsed="false">
      <c r="F3222" s="41" t="str">
        <f aca="false">IF(C3222="","",IFERROR(IF(ISNUMBER(SEARCH(Assumptions!$C$5,C3222)),Assumptions!$D$5,IF(ISNUMBER(SEARCH(Assumptions!$C$6,C3222)),Assumptions!$D$6,IF(ISNUMBER(SEARCH(Assumptions!$C$7,C3222)),Assumptions!$D$7,"Other Services"))),"Other Services"))</f>
        <v/>
      </c>
    </row>
    <row r="3223" customFormat="false" ht="15" hidden="false" customHeight="false" outlineLevel="0" collapsed="false">
      <c r="F3223" s="41" t="str">
        <f aca="false">IF(C3223="","",IFERROR(IF(ISNUMBER(SEARCH(Assumptions!$C$5,C3223)),Assumptions!$D$5,IF(ISNUMBER(SEARCH(Assumptions!$C$6,C3223)),Assumptions!$D$6,IF(ISNUMBER(SEARCH(Assumptions!$C$7,C3223)),Assumptions!$D$7,"Other Services"))),"Other Services"))</f>
        <v/>
      </c>
    </row>
    <row r="3224" customFormat="false" ht="15" hidden="false" customHeight="false" outlineLevel="0" collapsed="false">
      <c r="F3224" s="41" t="str">
        <f aca="false">IF(C3224="","",IFERROR(IF(ISNUMBER(SEARCH(Assumptions!$C$5,C3224)),Assumptions!$D$5,IF(ISNUMBER(SEARCH(Assumptions!$C$6,C3224)),Assumptions!$D$6,IF(ISNUMBER(SEARCH(Assumptions!$C$7,C3224)),Assumptions!$D$7,"Other Services"))),"Other Services"))</f>
        <v/>
      </c>
    </row>
    <row r="3225" customFormat="false" ht="15" hidden="false" customHeight="false" outlineLevel="0" collapsed="false">
      <c r="F3225" s="41" t="str">
        <f aca="false">IF(C3225="","",IFERROR(IF(ISNUMBER(SEARCH(Assumptions!$C$5,C3225)),Assumptions!$D$5,IF(ISNUMBER(SEARCH(Assumptions!$C$6,C3225)),Assumptions!$D$6,IF(ISNUMBER(SEARCH(Assumptions!$C$7,C3225)),Assumptions!$D$7,"Other Services"))),"Other Services"))</f>
        <v/>
      </c>
    </row>
    <row r="3226" customFormat="false" ht="15" hidden="false" customHeight="false" outlineLevel="0" collapsed="false">
      <c r="F3226" s="41" t="str">
        <f aca="false">IF(C3226="","",IFERROR(IF(ISNUMBER(SEARCH(Assumptions!$C$5,C3226)),Assumptions!$D$5,IF(ISNUMBER(SEARCH(Assumptions!$C$6,C3226)),Assumptions!$D$6,IF(ISNUMBER(SEARCH(Assumptions!$C$7,C3226)),Assumptions!$D$7,"Other Services"))),"Other Services"))</f>
        <v/>
      </c>
    </row>
    <row r="3227" customFormat="false" ht="15" hidden="false" customHeight="false" outlineLevel="0" collapsed="false">
      <c r="F3227" s="41" t="str">
        <f aca="false">IF(C3227="","",IFERROR(IF(ISNUMBER(SEARCH(Assumptions!$C$5,C3227)),Assumptions!$D$5,IF(ISNUMBER(SEARCH(Assumptions!$C$6,C3227)),Assumptions!$D$6,IF(ISNUMBER(SEARCH(Assumptions!$C$7,C3227)),Assumptions!$D$7,"Other Services"))),"Other Services"))</f>
        <v/>
      </c>
    </row>
    <row r="3228" customFormat="false" ht="15" hidden="false" customHeight="false" outlineLevel="0" collapsed="false">
      <c r="F3228" s="41" t="str">
        <f aca="false">IF(C3228="","",IFERROR(IF(ISNUMBER(SEARCH(Assumptions!$C$5,C3228)),Assumptions!$D$5,IF(ISNUMBER(SEARCH(Assumptions!$C$6,C3228)),Assumptions!$D$6,IF(ISNUMBER(SEARCH(Assumptions!$C$7,C3228)),Assumptions!$D$7,"Other Services"))),"Other Services"))</f>
        <v/>
      </c>
    </row>
    <row r="3229" customFormat="false" ht="15" hidden="false" customHeight="false" outlineLevel="0" collapsed="false">
      <c r="F3229" s="41" t="str">
        <f aca="false">IF(C3229="","",IFERROR(IF(ISNUMBER(SEARCH(Assumptions!$C$5,C3229)),Assumptions!$D$5,IF(ISNUMBER(SEARCH(Assumptions!$C$6,C3229)),Assumptions!$D$6,IF(ISNUMBER(SEARCH(Assumptions!$C$7,C3229)),Assumptions!$D$7,"Other Services"))),"Other Services"))</f>
        <v/>
      </c>
    </row>
    <row r="3230" customFormat="false" ht="15" hidden="false" customHeight="false" outlineLevel="0" collapsed="false">
      <c r="F3230" s="41" t="str">
        <f aca="false">IF(C3230="","",IFERROR(IF(ISNUMBER(SEARCH(Assumptions!$C$5,C3230)),Assumptions!$D$5,IF(ISNUMBER(SEARCH(Assumptions!$C$6,C3230)),Assumptions!$D$6,IF(ISNUMBER(SEARCH(Assumptions!$C$7,C3230)),Assumptions!$D$7,"Other Services"))),"Other Services"))</f>
        <v/>
      </c>
    </row>
    <row r="3231" customFormat="false" ht="15" hidden="false" customHeight="false" outlineLevel="0" collapsed="false">
      <c r="F3231" s="41" t="str">
        <f aca="false">IF(C3231="","",IFERROR(IF(ISNUMBER(SEARCH(Assumptions!$C$5,C3231)),Assumptions!$D$5,IF(ISNUMBER(SEARCH(Assumptions!$C$6,C3231)),Assumptions!$D$6,IF(ISNUMBER(SEARCH(Assumptions!$C$7,C3231)),Assumptions!$D$7,"Other Services"))),"Other Services"))</f>
        <v/>
      </c>
    </row>
    <row r="3232" customFormat="false" ht="15" hidden="false" customHeight="false" outlineLevel="0" collapsed="false">
      <c r="F3232" s="41" t="str">
        <f aca="false">IF(C3232="","",IFERROR(IF(ISNUMBER(SEARCH(Assumptions!$C$5,C3232)),Assumptions!$D$5,IF(ISNUMBER(SEARCH(Assumptions!$C$6,C3232)),Assumptions!$D$6,IF(ISNUMBER(SEARCH(Assumptions!$C$7,C3232)),Assumptions!$D$7,"Other Services"))),"Other Services"))</f>
        <v/>
      </c>
    </row>
    <row r="3233" customFormat="false" ht="15" hidden="false" customHeight="false" outlineLevel="0" collapsed="false">
      <c r="F3233" s="41" t="str">
        <f aca="false">IF(C3233="","",IFERROR(IF(ISNUMBER(SEARCH(Assumptions!$C$5,C3233)),Assumptions!$D$5,IF(ISNUMBER(SEARCH(Assumptions!$C$6,C3233)),Assumptions!$D$6,IF(ISNUMBER(SEARCH(Assumptions!$C$7,C3233)),Assumptions!$D$7,"Other Services"))),"Other Services"))</f>
        <v/>
      </c>
    </row>
    <row r="3234" customFormat="false" ht="15" hidden="false" customHeight="false" outlineLevel="0" collapsed="false">
      <c r="F3234" s="41" t="str">
        <f aca="false">IF(C3234="","",IFERROR(IF(ISNUMBER(SEARCH(Assumptions!$C$5,C3234)),Assumptions!$D$5,IF(ISNUMBER(SEARCH(Assumptions!$C$6,C3234)),Assumptions!$D$6,IF(ISNUMBER(SEARCH(Assumptions!$C$7,C3234)),Assumptions!$D$7,"Other Services"))),"Other Services"))</f>
        <v/>
      </c>
    </row>
    <row r="3235" customFormat="false" ht="15" hidden="false" customHeight="false" outlineLevel="0" collapsed="false">
      <c r="F3235" s="41" t="str">
        <f aca="false">IF(C3235="","",IFERROR(IF(ISNUMBER(SEARCH(Assumptions!$C$5,C3235)),Assumptions!$D$5,IF(ISNUMBER(SEARCH(Assumptions!$C$6,C3235)),Assumptions!$D$6,IF(ISNUMBER(SEARCH(Assumptions!$C$7,C3235)),Assumptions!$D$7,"Other Services"))),"Other Services"))</f>
        <v/>
      </c>
    </row>
    <row r="3236" customFormat="false" ht="15" hidden="false" customHeight="false" outlineLevel="0" collapsed="false">
      <c r="F3236" s="41" t="str">
        <f aca="false">IF(C3236="","",IFERROR(IF(ISNUMBER(SEARCH(Assumptions!$C$5,C3236)),Assumptions!$D$5,IF(ISNUMBER(SEARCH(Assumptions!$C$6,C3236)),Assumptions!$D$6,IF(ISNUMBER(SEARCH(Assumptions!$C$7,C3236)),Assumptions!$D$7,"Other Services"))),"Other Services"))</f>
        <v/>
      </c>
    </row>
    <row r="3237" customFormat="false" ht="15" hidden="false" customHeight="false" outlineLevel="0" collapsed="false">
      <c r="F3237" s="41" t="str">
        <f aca="false">IF(C3237="","",IFERROR(IF(ISNUMBER(SEARCH(Assumptions!$C$5,C3237)),Assumptions!$D$5,IF(ISNUMBER(SEARCH(Assumptions!$C$6,C3237)),Assumptions!$D$6,IF(ISNUMBER(SEARCH(Assumptions!$C$7,C3237)),Assumptions!$D$7,"Other Services"))),"Other Services"))</f>
        <v/>
      </c>
    </row>
    <row r="3238" customFormat="false" ht="15" hidden="false" customHeight="false" outlineLevel="0" collapsed="false">
      <c r="F3238" s="41" t="str">
        <f aca="false">IF(C3238="","",IFERROR(IF(ISNUMBER(SEARCH(Assumptions!$C$5,C3238)),Assumptions!$D$5,IF(ISNUMBER(SEARCH(Assumptions!$C$6,C3238)),Assumptions!$D$6,IF(ISNUMBER(SEARCH(Assumptions!$C$7,C3238)),Assumptions!$D$7,"Other Services"))),"Other Services"))</f>
        <v/>
      </c>
    </row>
    <row r="3239" customFormat="false" ht="15" hidden="false" customHeight="false" outlineLevel="0" collapsed="false">
      <c r="F3239" s="41" t="str">
        <f aca="false">IF(C3239="","",IFERROR(IF(ISNUMBER(SEARCH(Assumptions!$C$5,C3239)),Assumptions!$D$5,IF(ISNUMBER(SEARCH(Assumptions!$C$6,C3239)),Assumptions!$D$6,IF(ISNUMBER(SEARCH(Assumptions!$C$7,C3239)),Assumptions!$D$7,"Other Services"))),"Other Services"))</f>
        <v/>
      </c>
    </row>
    <row r="3240" customFormat="false" ht="15" hidden="false" customHeight="false" outlineLevel="0" collapsed="false">
      <c r="F3240" s="41" t="str">
        <f aca="false">IF(C3240="","",IFERROR(IF(ISNUMBER(SEARCH(Assumptions!$C$5,C3240)),Assumptions!$D$5,IF(ISNUMBER(SEARCH(Assumptions!$C$6,C3240)),Assumptions!$D$6,IF(ISNUMBER(SEARCH(Assumptions!$C$7,C3240)),Assumptions!$D$7,"Other Services"))),"Other Services"))</f>
        <v/>
      </c>
    </row>
    <row r="3241" customFormat="false" ht="15" hidden="false" customHeight="false" outlineLevel="0" collapsed="false">
      <c r="F3241" s="41" t="str">
        <f aca="false">IF(C3241="","",IFERROR(IF(ISNUMBER(SEARCH(Assumptions!$C$5,C3241)),Assumptions!$D$5,IF(ISNUMBER(SEARCH(Assumptions!$C$6,C3241)),Assumptions!$D$6,IF(ISNUMBER(SEARCH(Assumptions!$C$7,C3241)),Assumptions!$D$7,"Other Services"))),"Other Services"))</f>
        <v/>
      </c>
    </row>
    <row r="3242" customFormat="false" ht="15" hidden="false" customHeight="false" outlineLevel="0" collapsed="false">
      <c r="F3242" s="41" t="str">
        <f aca="false">IF(C3242="","",IFERROR(IF(ISNUMBER(SEARCH(Assumptions!$C$5,C3242)),Assumptions!$D$5,IF(ISNUMBER(SEARCH(Assumptions!$C$6,C3242)),Assumptions!$D$6,IF(ISNUMBER(SEARCH(Assumptions!$C$7,C3242)),Assumptions!$D$7,"Other Services"))),"Other Services"))</f>
        <v/>
      </c>
    </row>
    <row r="3243" customFormat="false" ht="15" hidden="false" customHeight="false" outlineLevel="0" collapsed="false">
      <c r="F3243" s="41" t="str">
        <f aca="false">IF(C3243="","",IFERROR(IF(ISNUMBER(SEARCH(Assumptions!$C$5,C3243)),Assumptions!$D$5,IF(ISNUMBER(SEARCH(Assumptions!$C$6,C3243)),Assumptions!$D$6,IF(ISNUMBER(SEARCH(Assumptions!$C$7,C3243)),Assumptions!$D$7,"Other Services"))),"Other Services"))</f>
        <v/>
      </c>
    </row>
    <row r="3244" customFormat="false" ht="15" hidden="false" customHeight="false" outlineLevel="0" collapsed="false">
      <c r="F3244" s="41" t="str">
        <f aca="false">IF(C3244="","",IFERROR(IF(ISNUMBER(SEARCH(Assumptions!$C$5,C3244)),Assumptions!$D$5,IF(ISNUMBER(SEARCH(Assumptions!$C$6,C3244)),Assumptions!$D$6,IF(ISNUMBER(SEARCH(Assumptions!$C$7,C3244)),Assumptions!$D$7,"Other Services"))),"Other Services"))</f>
        <v/>
      </c>
    </row>
    <row r="3245" customFormat="false" ht="15" hidden="false" customHeight="false" outlineLevel="0" collapsed="false">
      <c r="F3245" s="41" t="str">
        <f aca="false">IF(C3245="","",IFERROR(IF(ISNUMBER(SEARCH(Assumptions!$C$5,C3245)),Assumptions!$D$5,IF(ISNUMBER(SEARCH(Assumptions!$C$6,C3245)),Assumptions!$D$6,IF(ISNUMBER(SEARCH(Assumptions!$C$7,C3245)),Assumptions!$D$7,"Other Services"))),"Other Services"))</f>
        <v/>
      </c>
    </row>
    <row r="3246" customFormat="false" ht="15" hidden="false" customHeight="false" outlineLevel="0" collapsed="false">
      <c r="F3246" s="41" t="str">
        <f aca="false">IF(C3246="","",IFERROR(IF(ISNUMBER(SEARCH(Assumptions!$C$5,C3246)),Assumptions!$D$5,IF(ISNUMBER(SEARCH(Assumptions!$C$6,C3246)),Assumptions!$D$6,IF(ISNUMBER(SEARCH(Assumptions!$C$7,C3246)),Assumptions!$D$7,"Other Services"))),"Other Services"))</f>
        <v/>
      </c>
    </row>
    <row r="3247" customFormat="false" ht="15" hidden="false" customHeight="false" outlineLevel="0" collapsed="false">
      <c r="F3247" s="41" t="str">
        <f aca="false">IF(C3247="","",IFERROR(IF(ISNUMBER(SEARCH(Assumptions!$C$5,C3247)),Assumptions!$D$5,IF(ISNUMBER(SEARCH(Assumptions!$C$6,C3247)),Assumptions!$D$6,IF(ISNUMBER(SEARCH(Assumptions!$C$7,C3247)),Assumptions!$D$7,"Other Services"))),"Other Services"))</f>
        <v/>
      </c>
    </row>
    <row r="3248" customFormat="false" ht="15" hidden="false" customHeight="false" outlineLevel="0" collapsed="false">
      <c r="F3248" s="41" t="str">
        <f aca="false">IF(C3248="","",IFERROR(IF(ISNUMBER(SEARCH(Assumptions!$C$5,C3248)),Assumptions!$D$5,IF(ISNUMBER(SEARCH(Assumptions!$C$6,C3248)),Assumptions!$D$6,IF(ISNUMBER(SEARCH(Assumptions!$C$7,C3248)),Assumptions!$D$7,"Other Services"))),"Other Services"))</f>
        <v/>
      </c>
    </row>
    <row r="3249" customFormat="false" ht="15" hidden="false" customHeight="false" outlineLevel="0" collapsed="false">
      <c r="F3249" s="41" t="str">
        <f aca="false">IF(C3249="","",IFERROR(IF(ISNUMBER(SEARCH(Assumptions!$C$5,C3249)),Assumptions!$D$5,IF(ISNUMBER(SEARCH(Assumptions!$C$6,C3249)),Assumptions!$D$6,IF(ISNUMBER(SEARCH(Assumptions!$C$7,C3249)),Assumptions!$D$7,"Other Services"))),"Other Services"))</f>
        <v/>
      </c>
    </row>
    <row r="3250" customFormat="false" ht="15" hidden="false" customHeight="false" outlineLevel="0" collapsed="false">
      <c r="F3250" s="41" t="str">
        <f aca="false">IF(C3250="","",IFERROR(IF(ISNUMBER(SEARCH(Assumptions!$C$5,C3250)),Assumptions!$D$5,IF(ISNUMBER(SEARCH(Assumptions!$C$6,C3250)),Assumptions!$D$6,IF(ISNUMBER(SEARCH(Assumptions!$C$7,C3250)),Assumptions!$D$7,"Other Services"))),"Other Services"))</f>
        <v/>
      </c>
    </row>
    <row r="3251" customFormat="false" ht="15" hidden="false" customHeight="false" outlineLevel="0" collapsed="false">
      <c r="F3251" s="41" t="str">
        <f aca="false">IF(C3251="","",IFERROR(IF(ISNUMBER(SEARCH(Assumptions!$C$5,C3251)),Assumptions!$D$5,IF(ISNUMBER(SEARCH(Assumptions!$C$6,C3251)),Assumptions!$D$6,IF(ISNUMBER(SEARCH(Assumptions!$C$7,C3251)),Assumptions!$D$7,"Other Services"))),"Other Services"))</f>
        <v/>
      </c>
    </row>
    <row r="3252" customFormat="false" ht="15" hidden="false" customHeight="false" outlineLevel="0" collapsed="false">
      <c r="F3252" s="41" t="str">
        <f aca="false">IF(C3252="","",IFERROR(IF(ISNUMBER(SEARCH(Assumptions!$C$5,C3252)),Assumptions!$D$5,IF(ISNUMBER(SEARCH(Assumptions!$C$6,C3252)),Assumptions!$D$6,IF(ISNUMBER(SEARCH(Assumptions!$C$7,C3252)),Assumptions!$D$7,"Other Services"))),"Other Services"))</f>
        <v/>
      </c>
    </row>
    <row r="3253" customFormat="false" ht="15" hidden="false" customHeight="false" outlineLevel="0" collapsed="false">
      <c r="F3253" s="41" t="str">
        <f aca="false">IF(C3253="","",IFERROR(IF(ISNUMBER(SEARCH(Assumptions!$C$5,C3253)),Assumptions!$D$5,IF(ISNUMBER(SEARCH(Assumptions!$C$6,C3253)),Assumptions!$D$6,IF(ISNUMBER(SEARCH(Assumptions!$C$7,C3253)),Assumptions!$D$7,"Other Services"))),"Other Services"))</f>
        <v/>
      </c>
    </row>
    <row r="3254" customFormat="false" ht="15" hidden="false" customHeight="false" outlineLevel="0" collapsed="false">
      <c r="F3254" s="41" t="str">
        <f aca="false">IF(C3254="","",IFERROR(IF(ISNUMBER(SEARCH(Assumptions!$C$5,C3254)),Assumptions!$D$5,IF(ISNUMBER(SEARCH(Assumptions!$C$6,C3254)),Assumptions!$D$6,IF(ISNUMBER(SEARCH(Assumptions!$C$7,C3254)),Assumptions!$D$7,"Other Services"))),"Other Services"))</f>
        <v/>
      </c>
    </row>
    <row r="3255" customFormat="false" ht="15" hidden="false" customHeight="false" outlineLevel="0" collapsed="false">
      <c r="F3255" s="41" t="str">
        <f aca="false">IF(C3255="","",IFERROR(IF(ISNUMBER(SEARCH(Assumptions!$C$5,C3255)),Assumptions!$D$5,IF(ISNUMBER(SEARCH(Assumptions!$C$6,C3255)),Assumptions!$D$6,IF(ISNUMBER(SEARCH(Assumptions!$C$7,C3255)),Assumptions!$D$7,"Other Services"))),"Other Services"))</f>
        <v/>
      </c>
    </row>
    <row r="3256" customFormat="false" ht="15" hidden="false" customHeight="false" outlineLevel="0" collapsed="false">
      <c r="F3256" s="41" t="str">
        <f aca="false">IF(C3256="","",IFERROR(IF(ISNUMBER(SEARCH(Assumptions!$C$5,C3256)),Assumptions!$D$5,IF(ISNUMBER(SEARCH(Assumptions!$C$6,C3256)),Assumptions!$D$6,IF(ISNUMBER(SEARCH(Assumptions!$C$7,C3256)),Assumptions!$D$7,"Other Services"))),"Other Services"))</f>
        <v/>
      </c>
    </row>
    <row r="3257" customFormat="false" ht="15" hidden="false" customHeight="false" outlineLevel="0" collapsed="false">
      <c r="F3257" s="41" t="str">
        <f aca="false">IF(C3257="","",IFERROR(IF(ISNUMBER(SEARCH(Assumptions!$C$5,C3257)),Assumptions!$D$5,IF(ISNUMBER(SEARCH(Assumptions!$C$6,C3257)),Assumptions!$D$6,IF(ISNUMBER(SEARCH(Assumptions!$C$7,C3257)),Assumptions!$D$7,"Other Services"))),"Other Services"))</f>
        <v/>
      </c>
    </row>
    <row r="3258" customFormat="false" ht="15" hidden="false" customHeight="false" outlineLevel="0" collapsed="false">
      <c r="F3258" s="41" t="str">
        <f aca="false">IF(C3258="","",IFERROR(IF(ISNUMBER(SEARCH(Assumptions!$C$5,C3258)),Assumptions!$D$5,IF(ISNUMBER(SEARCH(Assumptions!$C$6,C3258)),Assumptions!$D$6,IF(ISNUMBER(SEARCH(Assumptions!$C$7,C3258)),Assumptions!$D$7,"Other Services"))),"Other Services"))</f>
        <v/>
      </c>
    </row>
    <row r="3259" customFormat="false" ht="15" hidden="false" customHeight="false" outlineLevel="0" collapsed="false">
      <c r="F3259" s="41" t="str">
        <f aca="false">IF(C3259="","",IFERROR(IF(ISNUMBER(SEARCH(Assumptions!$C$5,C3259)),Assumptions!$D$5,IF(ISNUMBER(SEARCH(Assumptions!$C$6,C3259)),Assumptions!$D$6,IF(ISNUMBER(SEARCH(Assumptions!$C$7,C3259)),Assumptions!$D$7,"Other Services"))),"Other Services"))</f>
        <v/>
      </c>
    </row>
    <row r="3260" customFormat="false" ht="15" hidden="false" customHeight="false" outlineLevel="0" collapsed="false">
      <c r="F3260" s="41" t="str">
        <f aca="false">IF(C3260="","",IFERROR(IF(ISNUMBER(SEARCH(Assumptions!$C$5,C3260)),Assumptions!$D$5,IF(ISNUMBER(SEARCH(Assumptions!$C$6,C3260)),Assumptions!$D$6,IF(ISNUMBER(SEARCH(Assumptions!$C$7,C3260)),Assumptions!$D$7,"Other Services"))),"Other Services"))</f>
        <v/>
      </c>
    </row>
    <row r="3261" customFormat="false" ht="15" hidden="false" customHeight="false" outlineLevel="0" collapsed="false">
      <c r="F3261" s="41" t="str">
        <f aca="false">IF(C3261="","",IFERROR(IF(ISNUMBER(SEARCH(Assumptions!$C$5,C3261)),Assumptions!$D$5,IF(ISNUMBER(SEARCH(Assumptions!$C$6,C3261)),Assumptions!$D$6,IF(ISNUMBER(SEARCH(Assumptions!$C$7,C3261)),Assumptions!$D$7,"Other Services"))),"Other Services"))</f>
        <v/>
      </c>
    </row>
    <row r="3262" customFormat="false" ht="15" hidden="false" customHeight="false" outlineLevel="0" collapsed="false">
      <c r="F3262" s="41" t="str">
        <f aca="false">IF(C3262="","",IFERROR(IF(ISNUMBER(SEARCH(Assumptions!$C$5,C3262)),Assumptions!$D$5,IF(ISNUMBER(SEARCH(Assumptions!$C$6,C3262)),Assumptions!$D$6,IF(ISNUMBER(SEARCH(Assumptions!$C$7,C3262)),Assumptions!$D$7,"Other Services"))),"Other Services"))</f>
        <v/>
      </c>
    </row>
    <row r="3263" customFormat="false" ht="15" hidden="false" customHeight="false" outlineLevel="0" collapsed="false">
      <c r="F3263" s="41" t="str">
        <f aca="false">IF(C3263="","",IFERROR(IF(ISNUMBER(SEARCH(Assumptions!$C$5,C3263)),Assumptions!$D$5,IF(ISNUMBER(SEARCH(Assumptions!$C$6,C3263)),Assumptions!$D$6,IF(ISNUMBER(SEARCH(Assumptions!$C$7,C3263)),Assumptions!$D$7,"Other Services"))),"Other Services"))</f>
        <v/>
      </c>
    </row>
    <row r="3264" customFormat="false" ht="15" hidden="false" customHeight="false" outlineLevel="0" collapsed="false">
      <c r="F3264" s="41" t="str">
        <f aca="false">IF(C3264="","",IFERROR(IF(ISNUMBER(SEARCH(Assumptions!$C$5,C3264)),Assumptions!$D$5,IF(ISNUMBER(SEARCH(Assumptions!$C$6,C3264)),Assumptions!$D$6,IF(ISNUMBER(SEARCH(Assumptions!$C$7,C3264)),Assumptions!$D$7,"Other Services"))),"Other Services"))</f>
        <v/>
      </c>
    </row>
    <row r="3265" customFormat="false" ht="15" hidden="false" customHeight="false" outlineLevel="0" collapsed="false">
      <c r="F3265" s="41" t="str">
        <f aca="false">IF(C3265="","",IFERROR(IF(ISNUMBER(SEARCH(Assumptions!$C$5,C3265)),Assumptions!$D$5,IF(ISNUMBER(SEARCH(Assumptions!$C$6,C3265)),Assumptions!$D$6,IF(ISNUMBER(SEARCH(Assumptions!$C$7,C3265)),Assumptions!$D$7,"Other Services"))),"Other Services"))</f>
        <v/>
      </c>
    </row>
    <row r="3266" customFormat="false" ht="15" hidden="false" customHeight="false" outlineLevel="0" collapsed="false">
      <c r="F3266" s="41" t="str">
        <f aca="false">IF(C3266="","",IFERROR(IF(ISNUMBER(SEARCH(Assumptions!$C$5,C3266)),Assumptions!$D$5,IF(ISNUMBER(SEARCH(Assumptions!$C$6,C3266)),Assumptions!$D$6,IF(ISNUMBER(SEARCH(Assumptions!$C$7,C3266)),Assumptions!$D$7,"Other Services"))),"Other Services"))</f>
        <v/>
      </c>
    </row>
    <row r="3267" customFormat="false" ht="15" hidden="false" customHeight="false" outlineLevel="0" collapsed="false">
      <c r="F3267" s="41" t="str">
        <f aca="false">IF(C3267="","",IFERROR(IF(ISNUMBER(SEARCH(Assumptions!$C$5,C3267)),Assumptions!$D$5,IF(ISNUMBER(SEARCH(Assumptions!$C$6,C3267)),Assumptions!$D$6,IF(ISNUMBER(SEARCH(Assumptions!$C$7,C3267)),Assumptions!$D$7,"Other Services"))),"Other Services"))</f>
        <v/>
      </c>
    </row>
    <row r="3268" customFormat="false" ht="15" hidden="false" customHeight="false" outlineLevel="0" collapsed="false">
      <c r="F3268" s="41" t="str">
        <f aca="false">IF(C3268="","",IFERROR(IF(ISNUMBER(SEARCH(Assumptions!$C$5,C3268)),Assumptions!$D$5,IF(ISNUMBER(SEARCH(Assumptions!$C$6,C3268)),Assumptions!$D$6,IF(ISNUMBER(SEARCH(Assumptions!$C$7,C3268)),Assumptions!$D$7,"Other Services"))),"Other Services"))</f>
        <v/>
      </c>
    </row>
    <row r="3269" customFormat="false" ht="15" hidden="false" customHeight="false" outlineLevel="0" collapsed="false">
      <c r="F3269" s="41" t="str">
        <f aca="false">IF(C3269="","",IFERROR(IF(ISNUMBER(SEARCH(Assumptions!$C$5,C3269)),Assumptions!$D$5,IF(ISNUMBER(SEARCH(Assumptions!$C$6,C3269)),Assumptions!$D$6,IF(ISNUMBER(SEARCH(Assumptions!$C$7,C3269)),Assumptions!$D$7,"Other Services"))),"Other Services"))</f>
        <v/>
      </c>
    </row>
    <row r="3270" customFormat="false" ht="15" hidden="false" customHeight="false" outlineLevel="0" collapsed="false">
      <c r="F3270" s="41" t="str">
        <f aca="false">IF(C3270="","",IFERROR(IF(ISNUMBER(SEARCH(Assumptions!$C$5,C3270)),Assumptions!$D$5,IF(ISNUMBER(SEARCH(Assumptions!$C$6,C3270)),Assumptions!$D$6,IF(ISNUMBER(SEARCH(Assumptions!$C$7,C3270)),Assumptions!$D$7,"Other Services"))),"Other Services"))</f>
        <v/>
      </c>
    </row>
    <row r="3271" customFormat="false" ht="15" hidden="false" customHeight="false" outlineLevel="0" collapsed="false">
      <c r="F3271" s="41" t="str">
        <f aca="false">IF(C3271="","",IFERROR(IF(ISNUMBER(SEARCH(Assumptions!$C$5,C3271)),Assumptions!$D$5,IF(ISNUMBER(SEARCH(Assumptions!$C$6,C3271)),Assumptions!$D$6,IF(ISNUMBER(SEARCH(Assumptions!$C$7,C3271)),Assumptions!$D$7,"Other Services"))),"Other Services"))</f>
        <v/>
      </c>
    </row>
    <row r="3272" customFormat="false" ht="15" hidden="false" customHeight="false" outlineLevel="0" collapsed="false">
      <c r="F3272" s="41" t="str">
        <f aca="false">IF(C3272="","",IFERROR(IF(ISNUMBER(SEARCH(Assumptions!$C$5,C3272)),Assumptions!$D$5,IF(ISNUMBER(SEARCH(Assumptions!$C$6,C3272)),Assumptions!$D$6,IF(ISNUMBER(SEARCH(Assumptions!$C$7,C3272)),Assumptions!$D$7,"Other Services"))),"Other Services"))</f>
        <v/>
      </c>
    </row>
    <row r="3273" customFormat="false" ht="15" hidden="false" customHeight="false" outlineLevel="0" collapsed="false">
      <c r="F3273" s="41" t="str">
        <f aca="false">IF(C3273="","",IFERROR(IF(ISNUMBER(SEARCH(Assumptions!$C$5,C3273)),Assumptions!$D$5,IF(ISNUMBER(SEARCH(Assumptions!$C$6,C3273)),Assumptions!$D$6,IF(ISNUMBER(SEARCH(Assumptions!$C$7,C3273)),Assumptions!$D$7,"Other Services"))),"Other Services"))</f>
        <v/>
      </c>
    </row>
    <row r="3274" customFormat="false" ht="15" hidden="false" customHeight="false" outlineLevel="0" collapsed="false">
      <c r="F3274" s="41" t="str">
        <f aca="false">IF(C3274="","",IFERROR(IF(ISNUMBER(SEARCH(Assumptions!$C$5,C3274)),Assumptions!$D$5,IF(ISNUMBER(SEARCH(Assumptions!$C$6,C3274)),Assumptions!$D$6,IF(ISNUMBER(SEARCH(Assumptions!$C$7,C3274)),Assumptions!$D$7,"Other Services"))),"Other Services"))</f>
        <v/>
      </c>
    </row>
    <row r="3275" customFormat="false" ht="15" hidden="false" customHeight="false" outlineLevel="0" collapsed="false">
      <c r="F3275" s="41" t="str">
        <f aca="false">IF(C3275="","",IFERROR(IF(ISNUMBER(SEARCH(Assumptions!$C$5,C3275)),Assumptions!$D$5,IF(ISNUMBER(SEARCH(Assumptions!$C$6,C3275)),Assumptions!$D$6,IF(ISNUMBER(SEARCH(Assumptions!$C$7,C3275)),Assumptions!$D$7,"Other Services"))),"Other Services"))</f>
        <v/>
      </c>
    </row>
    <row r="3276" customFormat="false" ht="15" hidden="false" customHeight="false" outlineLevel="0" collapsed="false">
      <c r="F3276" s="41" t="str">
        <f aca="false">IF(C3276="","",IFERROR(IF(ISNUMBER(SEARCH(Assumptions!$C$5,C3276)),Assumptions!$D$5,IF(ISNUMBER(SEARCH(Assumptions!$C$6,C3276)),Assumptions!$D$6,IF(ISNUMBER(SEARCH(Assumptions!$C$7,C3276)),Assumptions!$D$7,"Other Services"))),"Other Services"))</f>
        <v/>
      </c>
    </row>
    <row r="3277" customFormat="false" ht="15" hidden="false" customHeight="false" outlineLevel="0" collapsed="false">
      <c r="F3277" s="41" t="str">
        <f aca="false">IF(C3277="","",IFERROR(IF(ISNUMBER(SEARCH(Assumptions!$C$5,C3277)),Assumptions!$D$5,IF(ISNUMBER(SEARCH(Assumptions!$C$6,C3277)),Assumptions!$D$6,IF(ISNUMBER(SEARCH(Assumptions!$C$7,C3277)),Assumptions!$D$7,"Other Services"))),"Other Services"))</f>
        <v/>
      </c>
    </row>
    <row r="3278" customFormat="false" ht="15" hidden="false" customHeight="false" outlineLevel="0" collapsed="false">
      <c r="F3278" s="41" t="str">
        <f aca="false">IF(C3278="","",IFERROR(IF(ISNUMBER(SEARCH(Assumptions!$C$5,C3278)),Assumptions!$D$5,IF(ISNUMBER(SEARCH(Assumptions!$C$6,C3278)),Assumptions!$D$6,IF(ISNUMBER(SEARCH(Assumptions!$C$7,C3278)),Assumptions!$D$7,"Other Services"))),"Other Services"))</f>
        <v/>
      </c>
    </row>
    <row r="3279" customFormat="false" ht="15" hidden="false" customHeight="false" outlineLevel="0" collapsed="false">
      <c r="F3279" s="41" t="str">
        <f aca="false">IF(C3279="","",IFERROR(IF(ISNUMBER(SEARCH(Assumptions!$C$5,C3279)),Assumptions!$D$5,IF(ISNUMBER(SEARCH(Assumptions!$C$6,C3279)),Assumptions!$D$6,IF(ISNUMBER(SEARCH(Assumptions!$C$7,C3279)),Assumptions!$D$7,"Other Services"))),"Other Services"))</f>
        <v/>
      </c>
    </row>
    <row r="3280" customFormat="false" ht="15" hidden="false" customHeight="false" outlineLevel="0" collapsed="false">
      <c r="F3280" s="41" t="str">
        <f aca="false">IF(C3280="","",IFERROR(IF(ISNUMBER(SEARCH(Assumptions!$C$5,C3280)),Assumptions!$D$5,IF(ISNUMBER(SEARCH(Assumptions!$C$6,C3280)),Assumptions!$D$6,IF(ISNUMBER(SEARCH(Assumptions!$C$7,C3280)),Assumptions!$D$7,"Other Services"))),"Other Services"))</f>
        <v/>
      </c>
    </row>
    <row r="3281" customFormat="false" ht="15" hidden="false" customHeight="false" outlineLevel="0" collapsed="false">
      <c r="F3281" s="41" t="str">
        <f aca="false">IF(C3281="","",IFERROR(IF(ISNUMBER(SEARCH(Assumptions!$C$5,C3281)),Assumptions!$D$5,IF(ISNUMBER(SEARCH(Assumptions!$C$6,C3281)),Assumptions!$D$6,IF(ISNUMBER(SEARCH(Assumptions!$C$7,C3281)),Assumptions!$D$7,"Other Services"))),"Other Services"))</f>
        <v/>
      </c>
    </row>
    <row r="3282" customFormat="false" ht="15" hidden="false" customHeight="false" outlineLevel="0" collapsed="false">
      <c r="F3282" s="41" t="str">
        <f aca="false">IF(C3282="","",IFERROR(IF(ISNUMBER(SEARCH(Assumptions!$C$5,C3282)),Assumptions!$D$5,IF(ISNUMBER(SEARCH(Assumptions!$C$6,C3282)),Assumptions!$D$6,IF(ISNUMBER(SEARCH(Assumptions!$C$7,C3282)),Assumptions!$D$7,"Other Services"))),"Other Services"))</f>
        <v/>
      </c>
    </row>
    <row r="3283" customFormat="false" ht="15" hidden="false" customHeight="false" outlineLevel="0" collapsed="false">
      <c r="F3283" s="41" t="str">
        <f aca="false">IF(C3283="","",IFERROR(IF(ISNUMBER(SEARCH(Assumptions!$C$5,C3283)),Assumptions!$D$5,IF(ISNUMBER(SEARCH(Assumptions!$C$6,C3283)),Assumptions!$D$6,IF(ISNUMBER(SEARCH(Assumptions!$C$7,C3283)),Assumptions!$D$7,"Other Services"))),"Other Services"))</f>
        <v/>
      </c>
    </row>
    <row r="3284" customFormat="false" ht="15" hidden="false" customHeight="false" outlineLevel="0" collapsed="false">
      <c r="F3284" s="41" t="str">
        <f aca="false">IF(C3284="","",IFERROR(IF(ISNUMBER(SEARCH(Assumptions!$C$5,C3284)),Assumptions!$D$5,IF(ISNUMBER(SEARCH(Assumptions!$C$6,C3284)),Assumptions!$D$6,IF(ISNUMBER(SEARCH(Assumptions!$C$7,C3284)),Assumptions!$D$7,"Other Services"))),"Other Services"))</f>
        <v/>
      </c>
    </row>
    <row r="3285" customFormat="false" ht="15" hidden="false" customHeight="false" outlineLevel="0" collapsed="false">
      <c r="F3285" s="41" t="str">
        <f aca="false">IF(C3285="","",IFERROR(IF(ISNUMBER(SEARCH(Assumptions!$C$5,C3285)),Assumptions!$D$5,IF(ISNUMBER(SEARCH(Assumptions!$C$6,C3285)),Assumptions!$D$6,IF(ISNUMBER(SEARCH(Assumptions!$C$7,C3285)),Assumptions!$D$7,"Other Services"))),"Other Services"))</f>
        <v/>
      </c>
    </row>
    <row r="3286" customFormat="false" ht="15" hidden="false" customHeight="false" outlineLevel="0" collapsed="false">
      <c r="F3286" s="41" t="str">
        <f aca="false">IF(C3286="","",IFERROR(IF(ISNUMBER(SEARCH(Assumptions!$C$5,C3286)),Assumptions!$D$5,IF(ISNUMBER(SEARCH(Assumptions!$C$6,C3286)),Assumptions!$D$6,IF(ISNUMBER(SEARCH(Assumptions!$C$7,C3286)),Assumptions!$D$7,"Other Services"))),"Other Services"))</f>
        <v/>
      </c>
    </row>
    <row r="3287" customFormat="false" ht="15" hidden="false" customHeight="false" outlineLevel="0" collapsed="false">
      <c r="F3287" s="41" t="str">
        <f aca="false">IF(C3287="","",IFERROR(IF(ISNUMBER(SEARCH(Assumptions!$C$5,C3287)),Assumptions!$D$5,IF(ISNUMBER(SEARCH(Assumptions!$C$6,C3287)),Assumptions!$D$6,IF(ISNUMBER(SEARCH(Assumptions!$C$7,C3287)),Assumptions!$D$7,"Other Services"))),"Other Services"))</f>
        <v/>
      </c>
    </row>
    <row r="3288" customFormat="false" ht="15" hidden="false" customHeight="false" outlineLevel="0" collapsed="false">
      <c r="F3288" s="41" t="str">
        <f aca="false">IF(C3288="","",IFERROR(IF(ISNUMBER(SEARCH(Assumptions!$C$5,C3288)),Assumptions!$D$5,IF(ISNUMBER(SEARCH(Assumptions!$C$6,C3288)),Assumptions!$D$6,IF(ISNUMBER(SEARCH(Assumptions!$C$7,C3288)),Assumptions!$D$7,"Other Services"))),"Other Services"))</f>
        <v/>
      </c>
    </row>
    <row r="3289" customFormat="false" ht="15" hidden="false" customHeight="false" outlineLevel="0" collapsed="false">
      <c r="F3289" s="41" t="str">
        <f aca="false">IF(C3289="","",IFERROR(IF(ISNUMBER(SEARCH(Assumptions!$C$5,C3289)),Assumptions!$D$5,IF(ISNUMBER(SEARCH(Assumptions!$C$6,C3289)),Assumptions!$D$6,IF(ISNUMBER(SEARCH(Assumptions!$C$7,C3289)),Assumptions!$D$7,"Other Services"))),"Other Services"))</f>
        <v/>
      </c>
    </row>
    <row r="3290" customFormat="false" ht="15" hidden="false" customHeight="false" outlineLevel="0" collapsed="false">
      <c r="F3290" s="41" t="str">
        <f aca="false">IF(C3290="","",IFERROR(IF(ISNUMBER(SEARCH(Assumptions!$C$5,C3290)),Assumptions!$D$5,IF(ISNUMBER(SEARCH(Assumptions!$C$6,C3290)),Assumptions!$D$6,IF(ISNUMBER(SEARCH(Assumptions!$C$7,C3290)),Assumptions!$D$7,"Other Services"))),"Other Services"))</f>
        <v/>
      </c>
    </row>
    <row r="3291" customFormat="false" ht="15" hidden="false" customHeight="false" outlineLevel="0" collapsed="false">
      <c r="F3291" s="41" t="str">
        <f aca="false">IF(C3291="","",IFERROR(IF(ISNUMBER(SEARCH(Assumptions!$C$5,C3291)),Assumptions!$D$5,IF(ISNUMBER(SEARCH(Assumptions!$C$6,C3291)),Assumptions!$D$6,IF(ISNUMBER(SEARCH(Assumptions!$C$7,C3291)),Assumptions!$D$7,"Other Services"))),"Other Services"))</f>
        <v/>
      </c>
    </row>
    <row r="3292" customFormat="false" ht="15" hidden="false" customHeight="false" outlineLevel="0" collapsed="false">
      <c r="F3292" s="41" t="str">
        <f aca="false">IF(C3292="","",IFERROR(IF(ISNUMBER(SEARCH(Assumptions!$C$5,C3292)),Assumptions!$D$5,IF(ISNUMBER(SEARCH(Assumptions!$C$6,C3292)),Assumptions!$D$6,IF(ISNUMBER(SEARCH(Assumptions!$C$7,C3292)),Assumptions!$D$7,"Other Services"))),"Other Services"))</f>
        <v/>
      </c>
    </row>
    <row r="3293" customFormat="false" ht="15" hidden="false" customHeight="false" outlineLevel="0" collapsed="false">
      <c r="F3293" s="41" t="str">
        <f aca="false">IF(C3293="","",IFERROR(IF(ISNUMBER(SEARCH(Assumptions!$C$5,C3293)),Assumptions!$D$5,IF(ISNUMBER(SEARCH(Assumptions!$C$6,C3293)),Assumptions!$D$6,IF(ISNUMBER(SEARCH(Assumptions!$C$7,C3293)),Assumptions!$D$7,"Other Services"))),"Other Services"))</f>
        <v/>
      </c>
    </row>
    <row r="3294" customFormat="false" ht="15" hidden="false" customHeight="false" outlineLevel="0" collapsed="false">
      <c r="F3294" s="41" t="str">
        <f aca="false">IF(C3294="","",IFERROR(IF(ISNUMBER(SEARCH(Assumptions!$C$5,C3294)),Assumptions!$D$5,IF(ISNUMBER(SEARCH(Assumptions!$C$6,C3294)),Assumptions!$D$6,IF(ISNUMBER(SEARCH(Assumptions!$C$7,C3294)),Assumptions!$D$7,"Other Services"))),"Other Services"))</f>
        <v/>
      </c>
    </row>
    <row r="3295" customFormat="false" ht="15" hidden="false" customHeight="false" outlineLevel="0" collapsed="false">
      <c r="F3295" s="41" t="str">
        <f aca="false">IF(C3295="","",IFERROR(IF(ISNUMBER(SEARCH(Assumptions!$C$5,C3295)),Assumptions!$D$5,IF(ISNUMBER(SEARCH(Assumptions!$C$6,C3295)),Assumptions!$D$6,IF(ISNUMBER(SEARCH(Assumptions!$C$7,C3295)),Assumptions!$D$7,"Other Services"))),"Other Services"))</f>
        <v/>
      </c>
    </row>
    <row r="3296" customFormat="false" ht="15" hidden="false" customHeight="false" outlineLevel="0" collapsed="false">
      <c r="F3296" s="41" t="str">
        <f aca="false">IF(C3296="","",IFERROR(IF(ISNUMBER(SEARCH(Assumptions!$C$5,C3296)),Assumptions!$D$5,IF(ISNUMBER(SEARCH(Assumptions!$C$6,C3296)),Assumptions!$D$6,IF(ISNUMBER(SEARCH(Assumptions!$C$7,C3296)),Assumptions!$D$7,"Other Services"))),"Other Services"))</f>
        <v/>
      </c>
    </row>
    <row r="3297" customFormat="false" ht="15" hidden="false" customHeight="false" outlineLevel="0" collapsed="false">
      <c r="F3297" s="41" t="str">
        <f aca="false">IF(C3297="","",IFERROR(IF(ISNUMBER(SEARCH(Assumptions!$C$5,C3297)),Assumptions!$D$5,IF(ISNUMBER(SEARCH(Assumptions!$C$6,C3297)),Assumptions!$D$6,IF(ISNUMBER(SEARCH(Assumptions!$C$7,C3297)),Assumptions!$D$7,"Other Services"))),"Other Services"))</f>
        <v/>
      </c>
    </row>
    <row r="3298" customFormat="false" ht="15" hidden="false" customHeight="false" outlineLevel="0" collapsed="false">
      <c r="F3298" s="41" t="str">
        <f aca="false">IF(C3298="","",IFERROR(IF(ISNUMBER(SEARCH(Assumptions!$C$5,C3298)),Assumptions!$D$5,IF(ISNUMBER(SEARCH(Assumptions!$C$6,C3298)),Assumptions!$D$6,IF(ISNUMBER(SEARCH(Assumptions!$C$7,C3298)),Assumptions!$D$7,"Other Services"))),"Other Services"))</f>
        <v/>
      </c>
    </row>
    <row r="3299" customFormat="false" ht="15" hidden="false" customHeight="false" outlineLevel="0" collapsed="false">
      <c r="F3299" s="41" t="str">
        <f aca="false">IF(C3299="","",IFERROR(IF(ISNUMBER(SEARCH(Assumptions!$C$5,C3299)),Assumptions!$D$5,IF(ISNUMBER(SEARCH(Assumptions!$C$6,C3299)),Assumptions!$D$6,IF(ISNUMBER(SEARCH(Assumptions!$C$7,C3299)),Assumptions!$D$7,"Other Services"))),"Other Services"))</f>
        <v/>
      </c>
    </row>
    <row r="3300" customFormat="false" ht="15" hidden="false" customHeight="false" outlineLevel="0" collapsed="false">
      <c r="F3300" s="41" t="str">
        <f aca="false">IF(C3300="","",IFERROR(IF(ISNUMBER(SEARCH(Assumptions!$C$5,C3300)),Assumptions!$D$5,IF(ISNUMBER(SEARCH(Assumptions!$C$6,C3300)),Assumptions!$D$6,IF(ISNUMBER(SEARCH(Assumptions!$C$7,C3300)),Assumptions!$D$7,"Other Services"))),"Other Services"))</f>
        <v/>
      </c>
    </row>
    <row r="3301" customFormat="false" ht="15" hidden="false" customHeight="false" outlineLevel="0" collapsed="false">
      <c r="F3301" s="41" t="str">
        <f aca="false">IF(C3301="","",IFERROR(IF(ISNUMBER(SEARCH(Assumptions!$C$5,C3301)),Assumptions!$D$5,IF(ISNUMBER(SEARCH(Assumptions!$C$6,C3301)),Assumptions!$D$6,IF(ISNUMBER(SEARCH(Assumptions!$C$7,C3301)),Assumptions!$D$7,"Other Services"))),"Other Services"))</f>
        <v/>
      </c>
    </row>
    <row r="3302" customFormat="false" ht="15" hidden="false" customHeight="false" outlineLevel="0" collapsed="false">
      <c r="F3302" s="41" t="str">
        <f aca="false">IF(C3302="","",IFERROR(IF(ISNUMBER(SEARCH(Assumptions!$C$5,C3302)),Assumptions!$D$5,IF(ISNUMBER(SEARCH(Assumptions!$C$6,C3302)),Assumptions!$D$6,IF(ISNUMBER(SEARCH(Assumptions!$C$7,C3302)),Assumptions!$D$7,"Other Services"))),"Other Services"))</f>
        <v/>
      </c>
    </row>
    <row r="3303" customFormat="false" ht="15" hidden="false" customHeight="false" outlineLevel="0" collapsed="false">
      <c r="F3303" s="41" t="str">
        <f aca="false">IF(C3303="","",IFERROR(IF(ISNUMBER(SEARCH(Assumptions!$C$5,C3303)),Assumptions!$D$5,IF(ISNUMBER(SEARCH(Assumptions!$C$6,C3303)),Assumptions!$D$6,IF(ISNUMBER(SEARCH(Assumptions!$C$7,C3303)),Assumptions!$D$7,"Other Services"))),"Other Services"))</f>
        <v/>
      </c>
    </row>
    <row r="3304" customFormat="false" ht="15" hidden="false" customHeight="false" outlineLevel="0" collapsed="false">
      <c r="F3304" s="41" t="str">
        <f aca="false">IF(C3304="","",IFERROR(IF(ISNUMBER(SEARCH(Assumptions!$C$5,C3304)),Assumptions!$D$5,IF(ISNUMBER(SEARCH(Assumptions!$C$6,C3304)),Assumptions!$D$6,IF(ISNUMBER(SEARCH(Assumptions!$C$7,C3304)),Assumptions!$D$7,"Other Services"))),"Other Services"))</f>
        <v/>
      </c>
    </row>
    <row r="3305" customFormat="false" ht="15" hidden="false" customHeight="false" outlineLevel="0" collapsed="false">
      <c r="F3305" s="41" t="str">
        <f aca="false">IF(C3305="","",IFERROR(IF(ISNUMBER(SEARCH(Assumptions!$C$5,C3305)),Assumptions!$D$5,IF(ISNUMBER(SEARCH(Assumptions!$C$6,C3305)),Assumptions!$D$6,IF(ISNUMBER(SEARCH(Assumptions!$C$7,C3305)),Assumptions!$D$7,"Other Services"))),"Other Services"))</f>
        <v/>
      </c>
    </row>
    <row r="3306" customFormat="false" ht="15" hidden="false" customHeight="false" outlineLevel="0" collapsed="false">
      <c r="F3306" s="41" t="str">
        <f aca="false">IF(C3306="","",IFERROR(IF(ISNUMBER(SEARCH(Assumptions!$C$5,C3306)),Assumptions!$D$5,IF(ISNUMBER(SEARCH(Assumptions!$C$6,C3306)),Assumptions!$D$6,IF(ISNUMBER(SEARCH(Assumptions!$C$7,C3306)),Assumptions!$D$7,"Other Services"))),"Other Services"))</f>
        <v/>
      </c>
    </row>
    <row r="3307" customFormat="false" ht="15" hidden="false" customHeight="false" outlineLevel="0" collapsed="false">
      <c r="F3307" s="41" t="str">
        <f aca="false">IF(C3307="","",IFERROR(IF(ISNUMBER(SEARCH(Assumptions!$C$5,C3307)),Assumptions!$D$5,IF(ISNUMBER(SEARCH(Assumptions!$C$6,C3307)),Assumptions!$D$6,IF(ISNUMBER(SEARCH(Assumptions!$C$7,C3307)),Assumptions!$D$7,"Other Services"))),"Other Services"))</f>
        <v/>
      </c>
    </row>
    <row r="3308" customFormat="false" ht="15" hidden="false" customHeight="false" outlineLevel="0" collapsed="false">
      <c r="F3308" s="41" t="str">
        <f aca="false">IF(C3308="","",IFERROR(IF(ISNUMBER(SEARCH(Assumptions!$C$5,C3308)),Assumptions!$D$5,IF(ISNUMBER(SEARCH(Assumptions!$C$6,C3308)),Assumptions!$D$6,IF(ISNUMBER(SEARCH(Assumptions!$C$7,C3308)),Assumptions!$D$7,"Other Services"))),"Other Services"))</f>
        <v/>
      </c>
    </row>
    <row r="3309" customFormat="false" ht="15" hidden="false" customHeight="false" outlineLevel="0" collapsed="false">
      <c r="F3309" s="41" t="str">
        <f aca="false">IF(C3309="","",IFERROR(IF(ISNUMBER(SEARCH(Assumptions!$C$5,C3309)),Assumptions!$D$5,IF(ISNUMBER(SEARCH(Assumptions!$C$6,C3309)),Assumptions!$D$6,IF(ISNUMBER(SEARCH(Assumptions!$C$7,C3309)),Assumptions!$D$7,"Other Services"))),"Other Services"))</f>
        <v/>
      </c>
    </row>
    <row r="3310" customFormat="false" ht="15" hidden="false" customHeight="false" outlineLevel="0" collapsed="false">
      <c r="F3310" s="41" t="str">
        <f aca="false">IF(C3310="","",IFERROR(IF(ISNUMBER(SEARCH(Assumptions!$C$5,C3310)),Assumptions!$D$5,IF(ISNUMBER(SEARCH(Assumptions!$C$6,C3310)),Assumptions!$D$6,IF(ISNUMBER(SEARCH(Assumptions!$C$7,C3310)),Assumptions!$D$7,"Other Services"))),"Other Services"))</f>
        <v/>
      </c>
    </row>
    <row r="3311" customFormat="false" ht="15" hidden="false" customHeight="false" outlineLevel="0" collapsed="false">
      <c r="F3311" s="41" t="str">
        <f aca="false">IF(C3311="","",IFERROR(IF(ISNUMBER(SEARCH(Assumptions!$C$5,C3311)),Assumptions!$D$5,IF(ISNUMBER(SEARCH(Assumptions!$C$6,C3311)),Assumptions!$D$6,IF(ISNUMBER(SEARCH(Assumptions!$C$7,C3311)),Assumptions!$D$7,"Other Services"))),"Other Services"))</f>
        <v/>
      </c>
    </row>
    <row r="3312" customFormat="false" ht="15" hidden="false" customHeight="false" outlineLevel="0" collapsed="false">
      <c r="F3312" s="41" t="str">
        <f aca="false">IF(C3312="","",IFERROR(IF(ISNUMBER(SEARCH(Assumptions!$C$5,C3312)),Assumptions!$D$5,IF(ISNUMBER(SEARCH(Assumptions!$C$6,C3312)),Assumptions!$D$6,IF(ISNUMBER(SEARCH(Assumptions!$C$7,C3312)),Assumptions!$D$7,"Other Services"))),"Other Services"))</f>
        <v/>
      </c>
    </row>
    <row r="3313" customFormat="false" ht="15" hidden="false" customHeight="false" outlineLevel="0" collapsed="false">
      <c r="F3313" s="41" t="str">
        <f aca="false">IF(C3313="","",IFERROR(IF(ISNUMBER(SEARCH(Assumptions!$C$5,C3313)),Assumptions!$D$5,IF(ISNUMBER(SEARCH(Assumptions!$C$6,C3313)),Assumptions!$D$6,IF(ISNUMBER(SEARCH(Assumptions!$C$7,C3313)),Assumptions!$D$7,"Other Services"))),"Other Services"))</f>
        <v/>
      </c>
    </row>
    <row r="3314" customFormat="false" ht="15" hidden="false" customHeight="false" outlineLevel="0" collapsed="false">
      <c r="F3314" s="41" t="str">
        <f aca="false">IF(C3314="","",IFERROR(IF(ISNUMBER(SEARCH(Assumptions!$C$5,C3314)),Assumptions!$D$5,IF(ISNUMBER(SEARCH(Assumptions!$C$6,C3314)),Assumptions!$D$6,IF(ISNUMBER(SEARCH(Assumptions!$C$7,C3314)),Assumptions!$D$7,"Other Services"))),"Other Services"))</f>
        <v/>
      </c>
    </row>
    <row r="3315" customFormat="false" ht="15" hidden="false" customHeight="false" outlineLevel="0" collapsed="false">
      <c r="F3315" s="41" t="str">
        <f aca="false">IF(C3315="","",IFERROR(IF(ISNUMBER(SEARCH(Assumptions!$C$5,C3315)),Assumptions!$D$5,IF(ISNUMBER(SEARCH(Assumptions!$C$6,C3315)),Assumptions!$D$6,IF(ISNUMBER(SEARCH(Assumptions!$C$7,C3315)),Assumptions!$D$7,"Other Services"))),"Other Services"))</f>
        <v/>
      </c>
    </row>
    <row r="3316" customFormat="false" ht="15" hidden="false" customHeight="false" outlineLevel="0" collapsed="false">
      <c r="F3316" s="41" t="str">
        <f aca="false">IF(C3316="","",IFERROR(IF(ISNUMBER(SEARCH(Assumptions!$C$5,C3316)),Assumptions!$D$5,IF(ISNUMBER(SEARCH(Assumptions!$C$6,C3316)),Assumptions!$D$6,IF(ISNUMBER(SEARCH(Assumptions!$C$7,C3316)),Assumptions!$D$7,"Other Services"))),"Other Services"))</f>
        <v/>
      </c>
    </row>
    <row r="3317" customFormat="false" ht="15" hidden="false" customHeight="false" outlineLevel="0" collapsed="false">
      <c r="F3317" s="41" t="str">
        <f aca="false">IF(C3317="","",IFERROR(IF(ISNUMBER(SEARCH(Assumptions!$C$5,C3317)),Assumptions!$D$5,IF(ISNUMBER(SEARCH(Assumptions!$C$6,C3317)),Assumptions!$D$6,IF(ISNUMBER(SEARCH(Assumptions!$C$7,C3317)),Assumptions!$D$7,"Other Services"))),"Other Services"))</f>
        <v/>
      </c>
    </row>
    <row r="3318" customFormat="false" ht="15" hidden="false" customHeight="false" outlineLevel="0" collapsed="false">
      <c r="F3318" s="41" t="str">
        <f aca="false">IF(C3318="","",IFERROR(IF(ISNUMBER(SEARCH(Assumptions!$C$5,C3318)),Assumptions!$D$5,IF(ISNUMBER(SEARCH(Assumptions!$C$6,C3318)),Assumptions!$D$6,IF(ISNUMBER(SEARCH(Assumptions!$C$7,C3318)),Assumptions!$D$7,"Other Services"))),"Other Services"))</f>
        <v/>
      </c>
    </row>
    <row r="3319" customFormat="false" ht="15" hidden="false" customHeight="false" outlineLevel="0" collapsed="false">
      <c r="F3319" s="41" t="str">
        <f aca="false">IF(C3319="","",IFERROR(IF(ISNUMBER(SEARCH(Assumptions!$C$5,C3319)),Assumptions!$D$5,IF(ISNUMBER(SEARCH(Assumptions!$C$6,C3319)),Assumptions!$D$6,IF(ISNUMBER(SEARCH(Assumptions!$C$7,C3319)),Assumptions!$D$7,"Other Services"))),"Other Services"))</f>
        <v/>
      </c>
    </row>
    <row r="3320" customFormat="false" ht="15" hidden="false" customHeight="false" outlineLevel="0" collapsed="false">
      <c r="F3320" s="41" t="str">
        <f aca="false">IF(C3320="","",IFERROR(IF(ISNUMBER(SEARCH(Assumptions!$C$5,C3320)),Assumptions!$D$5,IF(ISNUMBER(SEARCH(Assumptions!$C$6,C3320)),Assumptions!$D$6,IF(ISNUMBER(SEARCH(Assumptions!$C$7,C3320)),Assumptions!$D$7,"Other Services"))),"Other Services"))</f>
        <v/>
      </c>
    </row>
    <row r="3321" customFormat="false" ht="15" hidden="false" customHeight="false" outlineLevel="0" collapsed="false">
      <c r="F3321" s="41" t="str">
        <f aca="false">IF(C3321="","",IFERROR(IF(ISNUMBER(SEARCH(Assumptions!$C$5,C3321)),Assumptions!$D$5,IF(ISNUMBER(SEARCH(Assumptions!$C$6,C3321)),Assumptions!$D$6,IF(ISNUMBER(SEARCH(Assumptions!$C$7,C3321)),Assumptions!$D$7,"Other Services"))),"Other Services"))</f>
        <v/>
      </c>
    </row>
    <row r="3322" customFormat="false" ht="15" hidden="false" customHeight="false" outlineLevel="0" collapsed="false">
      <c r="F3322" s="41" t="str">
        <f aca="false">IF(C3322="","",IFERROR(IF(ISNUMBER(SEARCH(Assumptions!$C$5,C3322)),Assumptions!$D$5,IF(ISNUMBER(SEARCH(Assumptions!$C$6,C3322)),Assumptions!$D$6,IF(ISNUMBER(SEARCH(Assumptions!$C$7,C3322)),Assumptions!$D$7,"Other Services"))),"Other Services"))</f>
        <v/>
      </c>
    </row>
    <row r="3323" customFormat="false" ht="15" hidden="false" customHeight="false" outlineLevel="0" collapsed="false">
      <c r="F3323" s="41" t="str">
        <f aca="false">IF(C3323="","",IFERROR(IF(ISNUMBER(SEARCH(Assumptions!$C$5,C3323)),Assumptions!$D$5,IF(ISNUMBER(SEARCH(Assumptions!$C$6,C3323)),Assumptions!$D$6,IF(ISNUMBER(SEARCH(Assumptions!$C$7,C3323)),Assumptions!$D$7,"Other Services"))),"Other Services"))</f>
        <v/>
      </c>
    </row>
    <row r="3324" customFormat="false" ht="15" hidden="false" customHeight="false" outlineLevel="0" collapsed="false">
      <c r="F3324" s="41" t="str">
        <f aca="false">IF(C3324="","",IFERROR(IF(ISNUMBER(SEARCH(Assumptions!$C$5,C3324)),Assumptions!$D$5,IF(ISNUMBER(SEARCH(Assumptions!$C$6,C3324)),Assumptions!$D$6,IF(ISNUMBER(SEARCH(Assumptions!$C$7,C3324)),Assumptions!$D$7,"Other Services"))),"Other Services"))</f>
        <v/>
      </c>
    </row>
    <row r="3325" customFormat="false" ht="15" hidden="false" customHeight="false" outlineLevel="0" collapsed="false">
      <c r="F3325" s="41" t="str">
        <f aca="false">IF(C3325="","",IFERROR(IF(ISNUMBER(SEARCH(Assumptions!$C$5,C3325)),Assumptions!$D$5,IF(ISNUMBER(SEARCH(Assumptions!$C$6,C3325)),Assumptions!$D$6,IF(ISNUMBER(SEARCH(Assumptions!$C$7,C3325)),Assumptions!$D$7,"Other Services"))),"Other Services"))</f>
        <v/>
      </c>
    </row>
    <row r="3326" customFormat="false" ht="15" hidden="false" customHeight="false" outlineLevel="0" collapsed="false">
      <c r="F3326" s="41" t="str">
        <f aca="false">IF(C3326="","",IFERROR(IF(ISNUMBER(SEARCH(Assumptions!$C$5,C3326)),Assumptions!$D$5,IF(ISNUMBER(SEARCH(Assumptions!$C$6,C3326)),Assumptions!$D$6,IF(ISNUMBER(SEARCH(Assumptions!$C$7,C3326)),Assumptions!$D$7,"Other Services"))),"Other Services"))</f>
        <v/>
      </c>
    </row>
    <row r="3327" customFormat="false" ht="15" hidden="false" customHeight="false" outlineLevel="0" collapsed="false">
      <c r="F3327" s="41" t="str">
        <f aca="false">IF(C3327="","",IFERROR(IF(ISNUMBER(SEARCH(Assumptions!$C$5,C3327)),Assumptions!$D$5,IF(ISNUMBER(SEARCH(Assumptions!$C$6,C3327)),Assumptions!$D$6,IF(ISNUMBER(SEARCH(Assumptions!$C$7,C3327)),Assumptions!$D$7,"Other Services"))),"Other Services"))</f>
        <v/>
      </c>
    </row>
    <row r="3328" customFormat="false" ht="15" hidden="false" customHeight="false" outlineLevel="0" collapsed="false">
      <c r="F3328" s="41" t="str">
        <f aca="false">IF(C3328="","",IFERROR(IF(ISNUMBER(SEARCH(Assumptions!$C$5,C3328)),Assumptions!$D$5,IF(ISNUMBER(SEARCH(Assumptions!$C$6,C3328)),Assumptions!$D$6,IF(ISNUMBER(SEARCH(Assumptions!$C$7,C3328)),Assumptions!$D$7,"Other Services"))),"Other Services"))</f>
        <v/>
      </c>
    </row>
    <row r="3329" customFormat="false" ht="15" hidden="false" customHeight="false" outlineLevel="0" collapsed="false">
      <c r="F3329" s="41" t="str">
        <f aca="false">IF(C3329="","",IFERROR(IF(ISNUMBER(SEARCH(Assumptions!$C$5,C3329)),Assumptions!$D$5,IF(ISNUMBER(SEARCH(Assumptions!$C$6,C3329)),Assumptions!$D$6,IF(ISNUMBER(SEARCH(Assumptions!$C$7,C3329)),Assumptions!$D$7,"Other Services"))),"Other Services"))</f>
        <v/>
      </c>
    </row>
    <row r="3330" customFormat="false" ht="15" hidden="false" customHeight="false" outlineLevel="0" collapsed="false">
      <c r="F3330" s="41" t="str">
        <f aca="false">IF(C3330="","",IFERROR(IF(ISNUMBER(SEARCH(Assumptions!$C$5,C3330)),Assumptions!$D$5,IF(ISNUMBER(SEARCH(Assumptions!$C$6,C3330)),Assumptions!$D$6,IF(ISNUMBER(SEARCH(Assumptions!$C$7,C3330)),Assumptions!$D$7,"Other Services"))),"Other Services"))</f>
        <v/>
      </c>
    </row>
    <row r="3331" customFormat="false" ht="15" hidden="false" customHeight="false" outlineLevel="0" collapsed="false">
      <c r="F3331" s="41" t="str">
        <f aca="false">IF(C3331="","",IFERROR(IF(ISNUMBER(SEARCH(Assumptions!$C$5,C3331)),Assumptions!$D$5,IF(ISNUMBER(SEARCH(Assumptions!$C$6,C3331)),Assumptions!$D$6,IF(ISNUMBER(SEARCH(Assumptions!$C$7,C3331)),Assumptions!$D$7,"Other Services"))),"Other Services"))</f>
        <v/>
      </c>
    </row>
    <row r="3332" customFormat="false" ht="15" hidden="false" customHeight="false" outlineLevel="0" collapsed="false">
      <c r="F3332" s="41" t="str">
        <f aca="false">IF(C3332="","",IFERROR(IF(ISNUMBER(SEARCH(Assumptions!$C$5,C3332)),Assumptions!$D$5,IF(ISNUMBER(SEARCH(Assumptions!$C$6,C3332)),Assumptions!$D$6,IF(ISNUMBER(SEARCH(Assumptions!$C$7,C3332)),Assumptions!$D$7,"Other Services"))),"Other Services"))</f>
        <v/>
      </c>
    </row>
    <row r="3333" customFormat="false" ht="15" hidden="false" customHeight="false" outlineLevel="0" collapsed="false">
      <c r="F3333" s="41" t="str">
        <f aca="false">IF(C3333="","",IFERROR(IF(ISNUMBER(SEARCH(Assumptions!$C$5,C3333)),Assumptions!$D$5,IF(ISNUMBER(SEARCH(Assumptions!$C$6,C3333)),Assumptions!$D$6,IF(ISNUMBER(SEARCH(Assumptions!$C$7,C3333)),Assumptions!$D$7,"Other Services"))),"Other Services"))</f>
        <v/>
      </c>
    </row>
    <row r="3334" customFormat="false" ht="15" hidden="false" customHeight="false" outlineLevel="0" collapsed="false">
      <c r="F3334" s="41" t="str">
        <f aca="false">IF(C3334="","",IFERROR(IF(ISNUMBER(SEARCH(Assumptions!$C$5,C3334)),Assumptions!$D$5,IF(ISNUMBER(SEARCH(Assumptions!$C$6,C3334)),Assumptions!$D$6,IF(ISNUMBER(SEARCH(Assumptions!$C$7,C3334)),Assumptions!$D$7,"Other Services"))),"Other Services"))</f>
        <v/>
      </c>
    </row>
    <row r="3335" customFormat="false" ht="15" hidden="false" customHeight="false" outlineLevel="0" collapsed="false">
      <c r="F3335" s="41" t="str">
        <f aca="false">IF(C3335="","",IFERROR(IF(ISNUMBER(SEARCH(Assumptions!$C$5,C3335)),Assumptions!$D$5,IF(ISNUMBER(SEARCH(Assumptions!$C$6,C3335)),Assumptions!$D$6,IF(ISNUMBER(SEARCH(Assumptions!$C$7,C3335)),Assumptions!$D$7,"Other Services"))),"Other Services"))</f>
        <v/>
      </c>
    </row>
    <row r="3336" customFormat="false" ht="15" hidden="false" customHeight="false" outlineLevel="0" collapsed="false">
      <c r="F3336" s="41" t="str">
        <f aca="false">IF(C3336="","",IFERROR(IF(ISNUMBER(SEARCH(Assumptions!$C$5,C3336)),Assumptions!$D$5,IF(ISNUMBER(SEARCH(Assumptions!$C$6,C3336)),Assumptions!$D$6,IF(ISNUMBER(SEARCH(Assumptions!$C$7,C3336)),Assumptions!$D$7,"Other Services"))),"Other Services"))</f>
        <v/>
      </c>
    </row>
    <row r="3337" customFormat="false" ht="15" hidden="false" customHeight="false" outlineLevel="0" collapsed="false">
      <c r="F3337" s="41" t="str">
        <f aca="false">IF(C3337="","",IFERROR(IF(ISNUMBER(SEARCH(Assumptions!$C$5,C3337)),Assumptions!$D$5,IF(ISNUMBER(SEARCH(Assumptions!$C$6,C3337)),Assumptions!$D$6,IF(ISNUMBER(SEARCH(Assumptions!$C$7,C3337)),Assumptions!$D$7,"Other Services"))),"Other Services"))</f>
        <v/>
      </c>
    </row>
    <row r="3338" customFormat="false" ht="15" hidden="false" customHeight="false" outlineLevel="0" collapsed="false">
      <c r="F3338" s="41" t="str">
        <f aca="false">IF(C3338="","",IFERROR(IF(ISNUMBER(SEARCH(Assumptions!$C$5,C3338)),Assumptions!$D$5,IF(ISNUMBER(SEARCH(Assumptions!$C$6,C3338)),Assumptions!$D$6,IF(ISNUMBER(SEARCH(Assumptions!$C$7,C3338)),Assumptions!$D$7,"Other Services"))),"Other Services"))</f>
        <v/>
      </c>
    </row>
    <row r="3339" customFormat="false" ht="15" hidden="false" customHeight="false" outlineLevel="0" collapsed="false">
      <c r="F3339" s="41" t="str">
        <f aca="false">IF(C3339="","",IFERROR(IF(ISNUMBER(SEARCH(Assumptions!$C$5,C3339)),Assumptions!$D$5,IF(ISNUMBER(SEARCH(Assumptions!$C$6,C3339)),Assumptions!$D$6,IF(ISNUMBER(SEARCH(Assumptions!$C$7,C3339)),Assumptions!$D$7,"Other Services"))),"Other Services"))</f>
        <v/>
      </c>
    </row>
    <row r="3340" customFormat="false" ht="15" hidden="false" customHeight="false" outlineLevel="0" collapsed="false">
      <c r="F3340" s="41" t="str">
        <f aca="false">IF(C3340="","",IFERROR(IF(ISNUMBER(SEARCH(Assumptions!$C$5,C3340)),Assumptions!$D$5,IF(ISNUMBER(SEARCH(Assumptions!$C$6,C3340)),Assumptions!$D$6,IF(ISNUMBER(SEARCH(Assumptions!$C$7,C3340)),Assumptions!$D$7,"Other Services"))),"Other Services"))</f>
        <v/>
      </c>
    </row>
    <row r="3341" customFormat="false" ht="15" hidden="false" customHeight="false" outlineLevel="0" collapsed="false">
      <c r="F3341" s="41" t="str">
        <f aca="false">IF(C3341="","",IFERROR(IF(ISNUMBER(SEARCH(Assumptions!$C$5,C3341)),Assumptions!$D$5,IF(ISNUMBER(SEARCH(Assumptions!$C$6,C3341)),Assumptions!$D$6,IF(ISNUMBER(SEARCH(Assumptions!$C$7,C3341)),Assumptions!$D$7,"Other Services"))),"Other Services"))</f>
        <v/>
      </c>
    </row>
    <row r="3342" customFormat="false" ht="15" hidden="false" customHeight="false" outlineLevel="0" collapsed="false">
      <c r="F3342" s="41" t="str">
        <f aca="false">IF(C3342="","",IFERROR(IF(ISNUMBER(SEARCH(Assumptions!$C$5,C3342)),Assumptions!$D$5,IF(ISNUMBER(SEARCH(Assumptions!$C$6,C3342)),Assumptions!$D$6,IF(ISNUMBER(SEARCH(Assumptions!$C$7,C3342)),Assumptions!$D$7,"Other Services"))),"Other Services"))</f>
        <v/>
      </c>
    </row>
    <row r="3343" customFormat="false" ht="15" hidden="false" customHeight="false" outlineLevel="0" collapsed="false">
      <c r="F3343" s="41" t="str">
        <f aca="false">IF(C3343="","",IFERROR(IF(ISNUMBER(SEARCH(Assumptions!$C$5,C3343)),Assumptions!$D$5,IF(ISNUMBER(SEARCH(Assumptions!$C$6,C3343)),Assumptions!$D$6,IF(ISNUMBER(SEARCH(Assumptions!$C$7,C3343)),Assumptions!$D$7,"Other Services"))),"Other Services"))</f>
        <v/>
      </c>
    </row>
    <row r="3344" customFormat="false" ht="15" hidden="false" customHeight="false" outlineLevel="0" collapsed="false">
      <c r="F3344" s="41" t="str">
        <f aca="false">IF(C3344="","",IFERROR(IF(ISNUMBER(SEARCH(Assumptions!$C$5,C3344)),Assumptions!$D$5,IF(ISNUMBER(SEARCH(Assumptions!$C$6,C3344)),Assumptions!$D$6,IF(ISNUMBER(SEARCH(Assumptions!$C$7,C3344)),Assumptions!$D$7,"Other Services"))),"Other Services"))</f>
        <v/>
      </c>
    </row>
    <row r="3345" customFormat="false" ht="15" hidden="false" customHeight="false" outlineLevel="0" collapsed="false">
      <c r="F3345" s="41" t="str">
        <f aca="false">IF(C3345="","",IFERROR(IF(ISNUMBER(SEARCH(Assumptions!$C$5,C3345)),Assumptions!$D$5,IF(ISNUMBER(SEARCH(Assumptions!$C$6,C3345)),Assumptions!$D$6,IF(ISNUMBER(SEARCH(Assumptions!$C$7,C3345)),Assumptions!$D$7,"Other Services"))),"Other Services"))</f>
        <v/>
      </c>
    </row>
    <row r="3346" customFormat="false" ht="15" hidden="false" customHeight="false" outlineLevel="0" collapsed="false">
      <c r="F3346" s="41" t="str">
        <f aca="false">IF(C3346="","",IFERROR(IF(ISNUMBER(SEARCH(Assumptions!$C$5,C3346)),Assumptions!$D$5,IF(ISNUMBER(SEARCH(Assumptions!$C$6,C3346)),Assumptions!$D$6,IF(ISNUMBER(SEARCH(Assumptions!$C$7,C3346)),Assumptions!$D$7,"Other Services"))),"Other Services"))</f>
        <v/>
      </c>
    </row>
    <row r="3347" customFormat="false" ht="15" hidden="false" customHeight="false" outlineLevel="0" collapsed="false">
      <c r="F3347" s="41" t="str">
        <f aca="false">IF(C3347="","",IFERROR(IF(ISNUMBER(SEARCH(Assumptions!$C$5,C3347)),Assumptions!$D$5,IF(ISNUMBER(SEARCH(Assumptions!$C$6,C3347)),Assumptions!$D$6,IF(ISNUMBER(SEARCH(Assumptions!$C$7,C3347)),Assumptions!$D$7,"Other Services"))),"Other Services"))</f>
        <v/>
      </c>
    </row>
    <row r="3348" customFormat="false" ht="15" hidden="false" customHeight="false" outlineLevel="0" collapsed="false">
      <c r="F3348" s="41" t="str">
        <f aca="false">IF(C3348="","",IFERROR(IF(ISNUMBER(SEARCH(Assumptions!$C$5,C3348)),Assumptions!$D$5,IF(ISNUMBER(SEARCH(Assumptions!$C$6,C3348)),Assumptions!$D$6,IF(ISNUMBER(SEARCH(Assumptions!$C$7,C3348)),Assumptions!$D$7,"Other Services"))),"Other Services"))</f>
        <v/>
      </c>
    </row>
    <row r="3349" customFormat="false" ht="15" hidden="false" customHeight="false" outlineLevel="0" collapsed="false">
      <c r="F3349" s="41" t="str">
        <f aca="false">IF(C3349="","",IFERROR(IF(ISNUMBER(SEARCH(Assumptions!$C$5,C3349)),Assumptions!$D$5,IF(ISNUMBER(SEARCH(Assumptions!$C$6,C3349)),Assumptions!$D$6,IF(ISNUMBER(SEARCH(Assumptions!$C$7,C3349)),Assumptions!$D$7,"Other Services"))),"Other Services"))</f>
        <v/>
      </c>
    </row>
    <row r="3350" customFormat="false" ht="15" hidden="false" customHeight="false" outlineLevel="0" collapsed="false">
      <c r="F3350" s="41" t="str">
        <f aca="false">IF(C3350="","",IFERROR(IF(ISNUMBER(SEARCH(Assumptions!$C$5,C3350)),Assumptions!$D$5,IF(ISNUMBER(SEARCH(Assumptions!$C$6,C3350)),Assumptions!$D$6,IF(ISNUMBER(SEARCH(Assumptions!$C$7,C3350)),Assumptions!$D$7,"Other Services"))),"Other Services"))</f>
        <v/>
      </c>
    </row>
    <row r="3351" customFormat="false" ht="15" hidden="false" customHeight="false" outlineLevel="0" collapsed="false">
      <c r="F3351" s="41" t="str">
        <f aca="false">IF(C3351="","",IFERROR(IF(ISNUMBER(SEARCH(Assumptions!$C$5,C3351)),Assumptions!$D$5,IF(ISNUMBER(SEARCH(Assumptions!$C$6,C3351)),Assumptions!$D$6,IF(ISNUMBER(SEARCH(Assumptions!$C$7,C3351)),Assumptions!$D$7,"Other Services"))),"Other Services"))</f>
        <v/>
      </c>
    </row>
    <row r="3352" customFormat="false" ht="15" hidden="false" customHeight="false" outlineLevel="0" collapsed="false">
      <c r="F3352" s="41" t="str">
        <f aca="false">IF(C3352="","",IFERROR(IF(ISNUMBER(SEARCH(Assumptions!$C$5,C3352)),Assumptions!$D$5,IF(ISNUMBER(SEARCH(Assumptions!$C$6,C3352)),Assumptions!$D$6,IF(ISNUMBER(SEARCH(Assumptions!$C$7,C3352)),Assumptions!$D$7,"Other Services"))),"Other Services"))</f>
        <v/>
      </c>
    </row>
    <row r="3353" customFormat="false" ht="15" hidden="false" customHeight="false" outlineLevel="0" collapsed="false">
      <c r="F3353" s="41" t="str">
        <f aca="false">IF(C3353="","",IFERROR(IF(ISNUMBER(SEARCH(Assumptions!$C$5,C3353)),Assumptions!$D$5,IF(ISNUMBER(SEARCH(Assumptions!$C$6,C3353)),Assumptions!$D$6,IF(ISNUMBER(SEARCH(Assumptions!$C$7,C3353)),Assumptions!$D$7,"Other Services"))),"Other Services"))</f>
        <v/>
      </c>
    </row>
    <row r="3354" customFormat="false" ht="15" hidden="false" customHeight="false" outlineLevel="0" collapsed="false">
      <c r="F3354" s="41" t="str">
        <f aca="false">IF(C3354="","",IFERROR(IF(ISNUMBER(SEARCH(Assumptions!$C$5,C3354)),Assumptions!$D$5,IF(ISNUMBER(SEARCH(Assumptions!$C$6,C3354)),Assumptions!$D$6,IF(ISNUMBER(SEARCH(Assumptions!$C$7,C3354)),Assumptions!$D$7,"Other Services"))),"Other Services"))</f>
        <v/>
      </c>
    </row>
    <row r="3355" customFormat="false" ht="15" hidden="false" customHeight="false" outlineLevel="0" collapsed="false">
      <c r="F3355" s="41" t="str">
        <f aca="false">IF(C3355="","",IFERROR(IF(ISNUMBER(SEARCH(Assumptions!$C$5,C3355)),Assumptions!$D$5,IF(ISNUMBER(SEARCH(Assumptions!$C$6,C3355)),Assumptions!$D$6,IF(ISNUMBER(SEARCH(Assumptions!$C$7,C3355)),Assumptions!$D$7,"Other Services"))),"Other Services"))</f>
        <v/>
      </c>
    </row>
    <row r="3356" customFormat="false" ht="15" hidden="false" customHeight="false" outlineLevel="0" collapsed="false">
      <c r="F3356" s="41" t="str">
        <f aca="false">IF(C3356="","",IFERROR(IF(ISNUMBER(SEARCH(Assumptions!$C$5,C3356)),Assumptions!$D$5,IF(ISNUMBER(SEARCH(Assumptions!$C$6,C3356)),Assumptions!$D$6,IF(ISNUMBER(SEARCH(Assumptions!$C$7,C3356)),Assumptions!$D$7,"Other Services"))),"Other Services"))</f>
        <v/>
      </c>
    </row>
    <row r="3357" customFormat="false" ht="15" hidden="false" customHeight="false" outlineLevel="0" collapsed="false">
      <c r="F3357" s="41" t="str">
        <f aca="false">IF(C3357="","",IFERROR(IF(ISNUMBER(SEARCH(Assumptions!$C$5,C3357)),Assumptions!$D$5,IF(ISNUMBER(SEARCH(Assumptions!$C$6,C3357)),Assumptions!$D$6,IF(ISNUMBER(SEARCH(Assumptions!$C$7,C3357)),Assumptions!$D$7,"Other Services"))),"Other Services"))</f>
        <v/>
      </c>
    </row>
    <row r="3358" customFormat="false" ht="15" hidden="false" customHeight="false" outlineLevel="0" collapsed="false">
      <c r="F3358" s="41" t="str">
        <f aca="false">IF(C3358="","",IFERROR(IF(ISNUMBER(SEARCH(Assumptions!$C$5,C3358)),Assumptions!$D$5,IF(ISNUMBER(SEARCH(Assumptions!$C$6,C3358)),Assumptions!$D$6,IF(ISNUMBER(SEARCH(Assumptions!$C$7,C3358)),Assumptions!$D$7,"Other Services"))),"Other Services"))</f>
        <v/>
      </c>
    </row>
    <row r="3359" customFormat="false" ht="15" hidden="false" customHeight="false" outlineLevel="0" collapsed="false">
      <c r="F3359" s="41" t="str">
        <f aca="false">IF(C3359="","",IFERROR(IF(ISNUMBER(SEARCH(Assumptions!$C$5,C3359)),Assumptions!$D$5,IF(ISNUMBER(SEARCH(Assumptions!$C$6,C3359)),Assumptions!$D$6,IF(ISNUMBER(SEARCH(Assumptions!$C$7,C3359)),Assumptions!$D$7,"Other Services"))),"Other Services"))</f>
        <v/>
      </c>
    </row>
    <row r="3360" customFormat="false" ht="15" hidden="false" customHeight="false" outlineLevel="0" collapsed="false">
      <c r="F3360" s="41" t="str">
        <f aca="false">IF(C3360="","",IFERROR(IF(ISNUMBER(SEARCH(Assumptions!$C$5,C3360)),Assumptions!$D$5,IF(ISNUMBER(SEARCH(Assumptions!$C$6,C3360)),Assumptions!$D$6,IF(ISNUMBER(SEARCH(Assumptions!$C$7,C3360)),Assumptions!$D$7,"Other Services"))),"Other Services"))</f>
        <v/>
      </c>
    </row>
    <row r="3361" customFormat="false" ht="15" hidden="false" customHeight="false" outlineLevel="0" collapsed="false">
      <c r="F3361" s="41" t="str">
        <f aca="false">IF(C3361="","",IFERROR(IF(ISNUMBER(SEARCH(Assumptions!$C$5,C3361)),Assumptions!$D$5,IF(ISNUMBER(SEARCH(Assumptions!$C$6,C3361)),Assumptions!$D$6,IF(ISNUMBER(SEARCH(Assumptions!$C$7,C3361)),Assumptions!$D$7,"Other Services"))),"Other Services"))</f>
        <v/>
      </c>
    </row>
    <row r="3362" customFormat="false" ht="15" hidden="false" customHeight="false" outlineLevel="0" collapsed="false">
      <c r="F3362" s="41" t="str">
        <f aca="false">IF(C3362="","",IFERROR(IF(ISNUMBER(SEARCH(Assumptions!$C$5,C3362)),Assumptions!$D$5,IF(ISNUMBER(SEARCH(Assumptions!$C$6,C3362)),Assumptions!$D$6,IF(ISNUMBER(SEARCH(Assumptions!$C$7,C3362)),Assumptions!$D$7,"Other Services"))),"Other Services"))</f>
        <v/>
      </c>
    </row>
    <row r="3363" customFormat="false" ht="15" hidden="false" customHeight="false" outlineLevel="0" collapsed="false">
      <c r="F3363" s="41" t="str">
        <f aca="false">IF(C3363="","",IFERROR(IF(ISNUMBER(SEARCH(Assumptions!$C$5,C3363)),Assumptions!$D$5,IF(ISNUMBER(SEARCH(Assumptions!$C$6,C3363)),Assumptions!$D$6,IF(ISNUMBER(SEARCH(Assumptions!$C$7,C3363)),Assumptions!$D$7,"Other Services"))),"Other Services"))</f>
        <v/>
      </c>
    </row>
    <row r="3364" customFormat="false" ht="15" hidden="false" customHeight="false" outlineLevel="0" collapsed="false">
      <c r="F3364" s="41" t="str">
        <f aca="false">IF(C3364="","",IFERROR(IF(ISNUMBER(SEARCH(Assumptions!$C$5,C3364)),Assumptions!$D$5,IF(ISNUMBER(SEARCH(Assumptions!$C$6,C3364)),Assumptions!$D$6,IF(ISNUMBER(SEARCH(Assumptions!$C$7,C3364)),Assumptions!$D$7,"Other Services"))),"Other Services"))</f>
        <v/>
      </c>
    </row>
    <row r="3365" customFormat="false" ht="15" hidden="false" customHeight="false" outlineLevel="0" collapsed="false">
      <c r="F3365" s="41" t="str">
        <f aca="false">IF(C3365="","",IFERROR(IF(ISNUMBER(SEARCH(Assumptions!$C$5,C3365)),Assumptions!$D$5,IF(ISNUMBER(SEARCH(Assumptions!$C$6,C3365)),Assumptions!$D$6,IF(ISNUMBER(SEARCH(Assumptions!$C$7,C3365)),Assumptions!$D$7,"Other Services"))),"Other Services"))</f>
        <v/>
      </c>
    </row>
    <row r="3366" customFormat="false" ht="15" hidden="false" customHeight="false" outlineLevel="0" collapsed="false">
      <c r="F3366" s="41" t="str">
        <f aca="false">IF(C3366="","",IFERROR(IF(ISNUMBER(SEARCH(Assumptions!$C$5,C3366)),Assumptions!$D$5,IF(ISNUMBER(SEARCH(Assumptions!$C$6,C3366)),Assumptions!$D$6,IF(ISNUMBER(SEARCH(Assumptions!$C$7,C3366)),Assumptions!$D$7,"Other Services"))),"Other Services"))</f>
        <v/>
      </c>
    </row>
    <row r="3367" customFormat="false" ht="15" hidden="false" customHeight="false" outlineLevel="0" collapsed="false">
      <c r="F3367" s="41" t="str">
        <f aca="false">IF(C3367="","",IFERROR(IF(ISNUMBER(SEARCH(Assumptions!$C$5,C3367)),Assumptions!$D$5,IF(ISNUMBER(SEARCH(Assumptions!$C$6,C3367)),Assumptions!$D$6,IF(ISNUMBER(SEARCH(Assumptions!$C$7,C3367)),Assumptions!$D$7,"Other Services"))),"Other Services"))</f>
        <v/>
      </c>
    </row>
    <row r="3368" customFormat="false" ht="15" hidden="false" customHeight="false" outlineLevel="0" collapsed="false">
      <c r="F3368" s="41" t="str">
        <f aca="false">IF(C3368="","",IFERROR(IF(ISNUMBER(SEARCH(Assumptions!$C$5,C3368)),Assumptions!$D$5,IF(ISNUMBER(SEARCH(Assumptions!$C$6,C3368)),Assumptions!$D$6,IF(ISNUMBER(SEARCH(Assumptions!$C$7,C3368)),Assumptions!$D$7,"Other Services"))),"Other Services"))</f>
        <v/>
      </c>
    </row>
    <row r="3369" customFormat="false" ht="15" hidden="false" customHeight="false" outlineLevel="0" collapsed="false">
      <c r="F3369" s="41" t="str">
        <f aca="false">IF(C3369="","",IFERROR(IF(ISNUMBER(SEARCH(Assumptions!$C$5,C3369)),Assumptions!$D$5,IF(ISNUMBER(SEARCH(Assumptions!$C$6,C3369)),Assumptions!$D$6,IF(ISNUMBER(SEARCH(Assumptions!$C$7,C3369)),Assumptions!$D$7,"Other Services"))),"Other Services"))</f>
        <v/>
      </c>
    </row>
    <row r="3370" customFormat="false" ht="15" hidden="false" customHeight="false" outlineLevel="0" collapsed="false">
      <c r="F3370" s="41" t="str">
        <f aca="false">IF(C3370="","",IFERROR(IF(ISNUMBER(SEARCH(Assumptions!$C$5,C3370)),Assumptions!$D$5,IF(ISNUMBER(SEARCH(Assumptions!$C$6,C3370)),Assumptions!$D$6,IF(ISNUMBER(SEARCH(Assumptions!$C$7,C3370)),Assumptions!$D$7,"Other Services"))),"Other Services"))</f>
        <v/>
      </c>
    </row>
    <row r="3371" customFormat="false" ht="15" hidden="false" customHeight="false" outlineLevel="0" collapsed="false">
      <c r="F3371" s="41" t="str">
        <f aca="false">IF(C3371="","",IFERROR(IF(ISNUMBER(SEARCH(Assumptions!$C$5,C3371)),Assumptions!$D$5,IF(ISNUMBER(SEARCH(Assumptions!$C$6,C3371)),Assumptions!$D$6,IF(ISNUMBER(SEARCH(Assumptions!$C$7,C3371)),Assumptions!$D$7,"Other Services"))),"Other Services"))</f>
        <v/>
      </c>
    </row>
    <row r="3372" customFormat="false" ht="15" hidden="false" customHeight="false" outlineLevel="0" collapsed="false">
      <c r="F3372" s="41" t="str">
        <f aca="false">IF(C3372="","",IFERROR(IF(ISNUMBER(SEARCH(Assumptions!$C$5,C3372)),Assumptions!$D$5,IF(ISNUMBER(SEARCH(Assumptions!$C$6,C3372)),Assumptions!$D$6,IF(ISNUMBER(SEARCH(Assumptions!$C$7,C3372)),Assumptions!$D$7,"Other Services"))),"Other Services"))</f>
        <v/>
      </c>
    </row>
    <row r="3373" customFormat="false" ht="15" hidden="false" customHeight="false" outlineLevel="0" collapsed="false">
      <c r="F3373" s="41" t="str">
        <f aca="false">IF(C3373="","",IFERROR(IF(ISNUMBER(SEARCH(Assumptions!$C$5,C3373)),Assumptions!$D$5,IF(ISNUMBER(SEARCH(Assumptions!$C$6,C3373)),Assumptions!$D$6,IF(ISNUMBER(SEARCH(Assumptions!$C$7,C3373)),Assumptions!$D$7,"Other Services"))),"Other Services"))</f>
        <v/>
      </c>
    </row>
    <row r="3374" customFormat="false" ht="15" hidden="false" customHeight="false" outlineLevel="0" collapsed="false">
      <c r="F3374" s="41" t="str">
        <f aca="false">IF(C3374="","",IFERROR(IF(ISNUMBER(SEARCH(Assumptions!$C$5,C3374)),Assumptions!$D$5,IF(ISNUMBER(SEARCH(Assumptions!$C$6,C3374)),Assumptions!$D$6,IF(ISNUMBER(SEARCH(Assumptions!$C$7,C3374)),Assumptions!$D$7,"Other Services"))),"Other Services"))</f>
        <v/>
      </c>
    </row>
    <row r="3375" customFormat="false" ht="15" hidden="false" customHeight="false" outlineLevel="0" collapsed="false">
      <c r="F3375" s="41" t="str">
        <f aca="false">IF(C3375="","",IFERROR(IF(ISNUMBER(SEARCH(Assumptions!$C$5,C3375)),Assumptions!$D$5,IF(ISNUMBER(SEARCH(Assumptions!$C$6,C3375)),Assumptions!$D$6,IF(ISNUMBER(SEARCH(Assumptions!$C$7,C3375)),Assumptions!$D$7,"Other Services"))),"Other Services"))</f>
        <v/>
      </c>
    </row>
    <row r="3376" customFormat="false" ht="15" hidden="false" customHeight="false" outlineLevel="0" collapsed="false">
      <c r="F3376" s="41" t="str">
        <f aca="false">IF(C3376="","",IFERROR(IF(ISNUMBER(SEARCH(Assumptions!$C$5,C3376)),Assumptions!$D$5,IF(ISNUMBER(SEARCH(Assumptions!$C$6,C3376)),Assumptions!$D$6,IF(ISNUMBER(SEARCH(Assumptions!$C$7,C3376)),Assumptions!$D$7,"Other Services"))),"Other Services"))</f>
        <v/>
      </c>
    </row>
    <row r="3377" customFormat="false" ht="15" hidden="false" customHeight="false" outlineLevel="0" collapsed="false">
      <c r="F3377" s="41" t="str">
        <f aca="false">IF(C3377="","",IFERROR(IF(ISNUMBER(SEARCH(Assumptions!$C$5,C3377)),Assumptions!$D$5,IF(ISNUMBER(SEARCH(Assumptions!$C$6,C3377)),Assumptions!$D$6,IF(ISNUMBER(SEARCH(Assumptions!$C$7,C3377)),Assumptions!$D$7,"Other Services"))),"Other Services"))</f>
        <v/>
      </c>
    </row>
    <row r="3378" customFormat="false" ht="15" hidden="false" customHeight="false" outlineLevel="0" collapsed="false">
      <c r="F3378" s="41" t="str">
        <f aca="false">IF(C3378="","",IFERROR(IF(ISNUMBER(SEARCH(Assumptions!$C$5,C3378)),Assumptions!$D$5,IF(ISNUMBER(SEARCH(Assumptions!$C$6,C3378)),Assumptions!$D$6,IF(ISNUMBER(SEARCH(Assumptions!$C$7,C3378)),Assumptions!$D$7,"Other Services"))),"Other Services"))</f>
        <v/>
      </c>
    </row>
    <row r="3379" customFormat="false" ht="15" hidden="false" customHeight="false" outlineLevel="0" collapsed="false">
      <c r="F3379" s="41" t="str">
        <f aca="false">IF(C3379="","",IFERROR(IF(ISNUMBER(SEARCH(Assumptions!$C$5,C3379)),Assumptions!$D$5,IF(ISNUMBER(SEARCH(Assumptions!$C$6,C3379)),Assumptions!$D$6,IF(ISNUMBER(SEARCH(Assumptions!$C$7,C3379)),Assumptions!$D$7,"Other Services"))),"Other Services"))</f>
        <v/>
      </c>
    </row>
    <row r="3380" customFormat="false" ht="15" hidden="false" customHeight="false" outlineLevel="0" collapsed="false">
      <c r="F3380" s="41" t="str">
        <f aca="false">IF(C3380="","",IFERROR(IF(ISNUMBER(SEARCH(Assumptions!$C$5,C3380)),Assumptions!$D$5,IF(ISNUMBER(SEARCH(Assumptions!$C$6,C3380)),Assumptions!$D$6,IF(ISNUMBER(SEARCH(Assumptions!$C$7,C3380)),Assumptions!$D$7,"Other Services"))),"Other Services"))</f>
        <v/>
      </c>
    </row>
    <row r="3381" customFormat="false" ht="15" hidden="false" customHeight="false" outlineLevel="0" collapsed="false">
      <c r="F3381" s="41" t="str">
        <f aca="false">IF(C3381="","",IFERROR(IF(ISNUMBER(SEARCH(Assumptions!$C$5,C3381)),Assumptions!$D$5,IF(ISNUMBER(SEARCH(Assumptions!$C$6,C3381)),Assumptions!$D$6,IF(ISNUMBER(SEARCH(Assumptions!$C$7,C3381)),Assumptions!$D$7,"Other Services"))),"Other Services"))</f>
        <v/>
      </c>
    </row>
    <row r="3382" customFormat="false" ht="15" hidden="false" customHeight="false" outlineLevel="0" collapsed="false">
      <c r="F3382" s="41" t="str">
        <f aca="false">IF(C3382="","",IFERROR(IF(ISNUMBER(SEARCH(Assumptions!$C$5,C3382)),Assumptions!$D$5,IF(ISNUMBER(SEARCH(Assumptions!$C$6,C3382)),Assumptions!$D$6,IF(ISNUMBER(SEARCH(Assumptions!$C$7,C3382)),Assumptions!$D$7,"Other Services"))),"Other Services"))</f>
        <v/>
      </c>
    </row>
    <row r="3383" customFormat="false" ht="15" hidden="false" customHeight="false" outlineLevel="0" collapsed="false">
      <c r="F3383" s="41" t="str">
        <f aca="false">IF(C3383="","",IFERROR(IF(ISNUMBER(SEARCH(Assumptions!$C$5,C3383)),Assumptions!$D$5,IF(ISNUMBER(SEARCH(Assumptions!$C$6,C3383)),Assumptions!$D$6,IF(ISNUMBER(SEARCH(Assumptions!$C$7,C3383)),Assumptions!$D$7,"Other Services"))),"Other Services"))</f>
        <v/>
      </c>
    </row>
    <row r="3384" customFormat="false" ht="15" hidden="false" customHeight="false" outlineLevel="0" collapsed="false">
      <c r="F3384" s="41" t="str">
        <f aca="false">IF(C3384="","",IFERROR(IF(ISNUMBER(SEARCH(Assumptions!$C$5,C3384)),Assumptions!$D$5,IF(ISNUMBER(SEARCH(Assumptions!$C$6,C3384)),Assumptions!$D$6,IF(ISNUMBER(SEARCH(Assumptions!$C$7,C3384)),Assumptions!$D$7,"Other Services"))),"Other Services"))</f>
        <v/>
      </c>
    </row>
    <row r="3385" customFormat="false" ht="15" hidden="false" customHeight="false" outlineLevel="0" collapsed="false">
      <c r="F3385" s="41" t="str">
        <f aca="false">IF(C3385="","",IFERROR(IF(ISNUMBER(SEARCH(Assumptions!$C$5,C3385)),Assumptions!$D$5,IF(ISNUMBER(SEARCH(Assumptions!$C$6,C3385)),Assumptions!$D$6,IF(ISNUMBER(SEARCH(Assumptions!$C$7,C3385)),Assumptions!$D$7,"Other Services"))),"Other Services"))</f>
        <v/>
      </c>
    </row>
    <row r="3386" customFormat="false" ht="15" hidden="false" customHeight="false" outlineLevel="0" collapsed="false">
      <c r="F3386" s="41" t="str">
        <f aca="false">IF(C3386="","",IFERROR(IF(ISNUMBER(SEARCH(Assumptions!$C$5,C3386)),Assumptions!$D$5,IF(ISNUMBER(SEARCH(Assumptions!$C$6,C3386)),Assumptions!$D$6,IF(ISNUMBER(SEARCH(Assumptions!$C$7,C3386)),Assumptions!$D$7,"Other Services"))),"Other Services"))</f>
        <v/>
      </c>
    </row>
    <row r="3387" customFormat="false" ht="15" hidden="false" customHeight="false" outlineLevel="0" collapsed="false">
      <c r="F3387" s="41" t="str">
        <f aca="false">IF(C3387="","",IFERROR(IF(ISNUMBER(SEARCH(Assumptions!$C$5,C3387)),Assumptions!$D$5,IF(ISNUMBER(SEARCH(Assumptions!$C$6,C3387)),Assumptions!$D$6,IF(ISNUMBER(SEARCH(Assumptions!$C$7,C3387)),Assumptions!$D$7,"Other Services"))),"Other Services"))</f>
        <v/>
      </c>
    </row>
    <row r="3388" customFormat="false" ht="15" hidden="false" customHeight="false" outlineLevel="0" collapsed="false">
      <c r="F3388" s="41" t="str">
        <f aca="false">IF(C3388="","",IFERROR(IF(ISNUMBER(SEARCH(Assumptions!$C$5,C3388)),Assumptions!$D$5,IF(ISNUMBER(SEARCH(Assumptions!$C$6,C3388)),Assumptions!$D$6,IF(ISNUMBER(SEARCH(Assumptions!$C$7,C3388)),Assumptions!$D$7,"Other Services"))),"Other Services"))</f>
        <v/>
      </c>
    </row>
    <row r="3389" customFormat="false" ht="15" hidden="false" customHeight="false" outlineLevel="0" collapsed="false">
      <c r="F3389" s="41" t="str">
        <f aca="false">IF(C3389="","",IFERROR(IF(ISNUMBER(SEARCH(Assumptions!$C$5,C3389)),Assumptions!$D$5,IF(ISNUMBER(SEARCH(Assumptions!$C$6,C3389)),Assumptions!$D$6,IF(ISNUMBER(SEARCH(Assumptions!$C$7,C3389)),Assumptions!$D$7,"Other Services"))),"Other Services"))</f>
        <v/>
      </c>
    </row>
    <row r="3390" customFormat="false" ht="15" hidden="false" customHeight="false" outlineLevel="0" collapsed="false">
      <c r="F3390" s="41" t="str">
        <f aca="false">IF(C3390="","",IFERROR(IF(ISNUMBER(SEARCH(Assumptions!$C$5,C3390)),Assumptions!$D$5,IF(ISNUMBER(SEARCH(Assumptions!$C$6,C3390)),Assumptions!$D$6,IF(ISNUMBER(SEARCH(Assumptions!$C$7,C3390)),Assumptions!$D$7,"Other Services"))),"Other Services"))</f>
        <v/>
      </c>
    </row>
    <row r="3391" customFormat="false" ht="15" hidden="false" customHeight="false" outlineLevel="0" collapsed="false">
      <c r="F3391" s="41" t="str">
        <f aca="false">IF(C3391="","",IFERROR(IF(ISNUMBER(SEARCH(Assumptions!$C$5,C3391)),Assumptions!$D$5,IF(ISNUMBER(SEARCH(Assumptions!$C$6,C3391)),Assumptions!$D$6,IF(ISNUMBER(SEARCH(Assumptions!$C$7,C3391)),Assumptions!$D$7,"Other Services"))),"Other Services"))</f>
        <v/>
      </c>
    </row>
    <row r="3392" customFormat="false" ht="15" hidden="false" customHeight="false" outlineLevel="0" collapsed="false">
      <c r="F3392" s="41" t="str">
        <f aca="false">IF(C3392="","",IFERROR(IF(ISNUMBER(SEARCH(Assumptions!$C$5,C3392)),Assumptions!$D$5,IF(ISNUMBER(SEARCH(Assumptions!$C$6,C3392)),Assumptions!$D$6,IF(ISNUMBER(SEARCH(Assumptions!$C$7,C3392)),Assumptions!$D$7,"Other Services"))),"Other Services"))</f>
        <v/>
      </c>
    </row>
    <row r="3393" customFormat="false" ht="15" hidden="false" customHeight="false" outlineLevel="0" collapsed="false">
      <c r="F3393" s="41" t="str">
        <f aca="false">IF(C3393="","",IFERROR(IF(ISNUMBER(SEARCH(Assumptions!$C$5,C3393)),Assumptions!$D$5,IF(ISNUMBER(SEARCH(Assumptions!$C$6,C3393)),Assumptions!$D$6,IF(ISNUMBER(SEARCH(Assumptions!$C$7,C3393)),Assumptions!$D$7,"Other Services"))),"Other Services"))</f>
        <v/>
      </c>
    </row>
    <row r="3394" customFormat="false" ht="15" hidden="false" customHeight="false" outlineLevel="0" collapsed="false">
      <c r="F3394" s="41" t="str">
        <f aca="false">IF(C3394="","",IFERROR(IF(ISNUMBER(SEARCH(Assumptions!$C$5,C3394)),Assumptions!$D$5,IF(ISNUMBER(SEARCH(Assumptions!$C$6,C3394)),Assumptions!$D$6,IF(ISNUMBER(SEARCH(Assumptions!$C$7,C3394)),Assumptions!$D$7,"Other Services"))),"Other Services"))</f>
        <v/>
      </c>
    </row>
    <row r="3395" customFormat="false" ht="15" hidden="false" customHeight="false" outlineLevel="0" collapsed="false">
      <c r="F3395" s="41" t="str">
        <f aca="false">IF(C3395="","",IFERROR(IF(ISNUMBER(SEARCH(Assumptions!$C$5,C3395)),Assumptions!$D$5,IF(ISNUMBER(SEARCH(Assumptions!$C$6,C3395)),Assumptions!$D$6,IF(ISNUMBER(SEARCH(Assumptions!$C$7,C3395)),Assumptions!$D$7,"Other Services"))),"Other Services"))</f>
        <v/>
      </c>
    </row>
    <row r="3396" customFormat="false" ht="15" hidden="false" customHeight="false" outlineLevel="0" collapsed="false">
      <c r="F3396" s="41" t="str">
        <f aca="false">IF(C3396="","",IFERROR(IF(ISNUMBER(SEARCH(Assumptions!$C$5,C3396)),Assumptions!$D$5,IF(ISNUMBER(SEARCH(Assumptions!$C$6,C3396)),Assumptions!$D$6,IF(ISNUMBER(SEARCH(Assumptions!$C$7,C3396)),Assumptions!$D$7,"Other Services"))),"Other Services"))</f>
        <v/>
      </c>
    </row>
    <row r="3397" customFormat="false" ht="15" hidden="false" customHeight="false" outlineLevel="0" collapsed="false">
      <c r="F3397" s="41" t="str">
        <f aca="false">IF(C3397="","",IFERROR(IF(ISNUMBER(SEARCH(Assumptions!$C$5,C3397)),Assumptions!$D$5,IF(ISNUMBER(SEARCH(Assumptions!$C$6,C3397)),Assumptions!$D$6,IF(ISNUMBER(SEARCH(Assumptions!$C$7,C3397)),Assumptions!$D$7,"Other Services"))),"Other Services"))</f>
        <v/>
      </c>
    </row>
    <row r="3398" customFormat="false" ht="15" hidden="false" customHeight="false" outlineLevel="0" collapsed="false">
      <c r="F3398" s="41" t="str">
        <f aca="false">IF(C3398="","",IFERROR(IF(ISNUMBER(SEARCH(Assumptions!$C$5,C3398)),Assumptions!$D$5,IF(ISNUMBER(SEARCH(Assumptions!$C$6,C3398)),Assumptions!$D$6,IF(ISNUMBER(SEARCH(Assumptions!$C$7,C3398)),Assumptions!$D$7,"Other Services"))),"Other Services"))</f>
        <v/>
      </c>
    </row>
    <row r="3399" customFormat="false" ht="15" hidden="false" customHeight="false" outlineLevel="0" collapsed="false">
      <c r="F3399" s="41" t="str">
        <f aca="false">IF(C3399="","",IFERROR(IF(ISNUMBER(SEARCH(Assumptions!$C$5,C3399)),Assumptions!$D$5,IF(ISNUMBER(SEARCH(Assumptions!$C$6,C3399)),Assumptions!$D$6,IF(ISNUMBER(SEARCH(Assumptions!$C$7,C3399)),Assumptions!$D$7,"Other Services"))),"Other Services"))</f>
        <v/>
      </c>
    </row>
    <row r="3400" customFormat="false" ht="15" hidden="false" customHeight="false" outlineLevel="0" collapsed="false">
      <c r="F3400" s="41" t="str">
        <f aca="false">IF(C3400="","",IFERROR(IF(ISNUMBER(SEARCH(Assumptions!$C$5,C3400)),Assumptions!$D$5,IF(ISNUMBER(SEARCH(Assumptions!$C$6,C3400)),Assumptions!$D$6,IF(ISNUMBER(SEARCH(Assumptions!$C$7,C3400)),Assumptions!$D$7,"Other Services"))),"Other Services"))</f>
        <v/>
      </c>
    </row>
    <row r="3401" customFormat="false" ht="15" hidden="false" customHeight="false" outlineLevel="0" collapsed="false">
      <c r="F3401" s="41" t="str">
        <f aca="false">IF(C3401="","",IFERROR(IF(ISNUMBER(SEARCH(Assumptions!$C$5,C3401)),Assumptions!$D$5,IF(ISNUMBER(SEARCH(Assumptions!$C$6,C3401)),Assumptions!$D$6,IF(ISNUMBER(SEARCH(Assumptions!$C$7,C3401)),Assumptions!$D$7,"Other Services"))),"Other Services"))</f>
        <v/>
      </c>
    </row>
    <row r="3402" customFormat="false" ht="15" hidden="false" customHeight="false" outlineLevel="0" collapsed="false">
      <c r="F3402" s="41" t="str">
        <f aca="false">IF(C3402="","",IFERROR(IF(ISNUMBER(SEARCH(Assumptions!$C$5,C3402)),Assumptions!$D$5,IF(ISNUMBER(SEARCH(Assumptions!$C$6,C3402)),Assumptions!$D$6,IF(ISNUMBER(SEARCH(Assumptions!$C$7,C3402)),Assumptions!$D$7,"Other Services"))),"Other Services"))</f>
        <v/>
      </c>
    </row>
    <row r="3403" customFormat="false" ht="15" hidden="false" customHeight="false" outlineLevel="0" collapsed="false">
      <c r="F3403" s="41" t="str">
        <f aca="false">IF(C3403="","",IFERROR(IF(ISNUMBER(SEARCH(Assumptions!$C$5,C3403)),Assumptions!$D$5,IF(ISNUMBER(SEARCH(Assumptions!$C$6,C3403)),Assumptions!$D$6,IF(ISNUMBER(SEARCH(Assumptions!$C$7,C3403)),Assumptions!$D$7,"Other Services"))),"Other Services"))</f>
        <v/>
      </c>
    </row>
    <row r="3404" customFormat="false" ht="15" hidden="false" customHeight="false" outlineLevel="0" collapsed="false">
      <c r="F3404" s="41" t="str">
        <f aca="false">IF(C3404="","",IFERROR(IF(ISNUMBER(SEARCH(Assumptions!$C$5,C3404)),Assumptions!$D$5,IF(ISNUMBER(SEARCH(Assumptions!$C$6,C3404)),Assumptions!$D$6,IF(ISNUMBER(SEARCH(Assumptions!$C$7,C3404)),Assumptions!$D$7,"Other Services"))),"Other Services"))</f>
        <v/>
      </c>
    </row>
    <row r="3405" customFormat="false" ht="15" hidden="false" customHeight="false" outlineLevel="0" collapsed="false">
      <c r="F3405" s="41" t="str">
        <f aca="false">IF(C3405="","",IFERROR(IF(ISNUMBER(SEARCH(Assumptions!$C$5,C3405)),Assumptions!$D$5,IF(ISNUMBER(SEARCH(Assumptions!$C$6,C3405)),Assumptions!$D$6,IF(ISNUMBER(SEARCH(Assumptions!$C$7,C3405)),Assumptions!$D$7,"Other Services"))),"Other Services"))</f>
        <v/>
      </c>
    </row>
    <row r="3406" customFormat="false" ht="15" hidden="false" customHeight="false" outlineLevel="0" collapsed="false">
      <c r="F3406" s="41" t="str">
        <f aca="false">IF(C3406="","",IFERROR(IF(ISNUMBER(SEARCH(Assumptions!$C$5,C3406)),Assumptions!$D$5,IF(ISNUMBER(SEARCH(Assumptions!$C$6,C3406)),Assumptions!$D$6,IF(ISNUMBER(SEARCH(Assumptions!$C$7,C3406)),Assumptions!$D$7,"Other Services"))),"Other Services"))</f>
        <v/>
      </c>
    </row>
    <row r="3407" customFormat="false" ht="15" hidden="false" customHeight="false" outlineLevel="0" collapsed="false">
      <c r="F3407" s="41" t="str">
        <f aca="false">IF(C3407="","",IFERROR(IF(ISNUMBER(SEARCH(Assumptions!$C$5,C3407)),Assumptions!$D$5,IF(ISNUMBER(SEARCH(Assumptions!$C$6,C3407)),Assumptions!$D$6,IF(ISNUMBER(SEARCH(Assumptions!$C$7,C3407)),Assumptions!$D$7,"Other Services"))),"Other Services"))</f>
        <v/>
      </c>
    </row>
    <row r="3408" customFormat="false" ht="15" hidden="false" customHeight="false" outlineLevel="0" collapsed="false">
      <c r="F3408" s="41" t="str">
        <f aca="false">IF(C3408="","",IFERROR(IF(ISNUMBER(SEARCH(Assumptions!$C$5,C3408)),Assumptions!$D$5,IF(ISNUMBER(SEARCH(Assumptions!$C$6,C3408)),Assumptions!$D$6,IF(ISNUMBER(SEARCH(Assumptions!$C$7,C3408)),Assumptions!$D$7,"Other Services"))),"Other Services"))</f>
        <v/>
      </c>
    </row>
    <row r="3409" customFormat="false" ht="15" hidden="false" customHeight="false" outlineLevel="0" collapsed="false">
      <c r="F3409" s="41" t="str">
        <f aca="false">IF(C3409="","",IFERROR(IF(ISNUMBER(SEARCH(Assumptions!$C$5,C3409)),Assumptions!$D$5,IF(ISNUMBER(SEARCH(Assumptions!$C$6,C3409)),Assumptions!$D$6,IF(ISNUMBER(SEARCH(Assumptions!$C$7,C3409)),Assumptions!$D$7,"Other Services"))),"Other Services"))</f>
        <v/>
      </c>
    </row>
    <row r="3410" customFormat="false" ht="15" hidden="false" customHeight="false" outlineLevel="0" collapsed="false">
      <c r="F3410" s="41" t="str">
        <f aca="false">IF(C3410="","",IFERROR(IF(ISNUMBER(SEARCH(Assumptions!$C$5,C3410)),Assumptions!$D$5,IF(ISNUMBER(SEARCH(Assumptions!$C$6,C3410)),Assumptions!$D$6,IF(ISNUMBER(SEARCH(Assumptions!$C$7,C3410)),Assumptions!$D$7,"Other Services"))),"Other Services"))</f>
        <v/>
      </c>
    </row>
    <row r="3411" customFormat="false" ht="15" hidden="false" customHeight="false" outlineLevel="0" collapsed="false">
      <c r="F3411" s="41" t="str">
        <f aca="false">IF(C3411="","",IFERROR(IF(ISNUMBER(SEARCH(Assumptions!$C$5,C3411)),Assumptions!$D$5,IF(ISNUMBER(SEARCH(Assumptions!$C$6,C3411)),Assumptions!$D$6,IF(ISNUMBER(SEARCH(Assumptions!$C$7,C3411)),Assumptions!$D$7,"Other Services"))),"Other Services"))</f>
        <v/>
      </c>
    </row>
    <row r="3412" customFormat="false" ht="15" hidden="false" customHeight="false" outlineLevel="0" collapsed="false">
      <c r="F3412" s="41" t="str">
        <f aca="false">IF(C3412="","",IFERROR(IF(ISNUMBER(SEARCH(Assumptions!$C$5,C3412)),Assumptions!$D$5,IF(ISNUMBER(SEARCH(Assumptions!$C$6,C3412)),Assumptions!$D$6,IF(ISNUMBER(SEARCH(Assumptions!$C$7,C3412)),Assumptions!$D$7,"Other Services"))),"Other Services"))</f>
        <v/>
      </c>
    </row>
    <row r="3413" customFormat="false" ht="15" hidden="false" customHeight="false" outlineLevel="0" collapsed="false">
      <c r="F3413" s="41" t="str">
        <f aca="false">IF(C3413="","",IFERROR(IF(ISNUMBER(SEARCH(Assumptions!$C$5,C3413)),Assumptions!$D$5,IF(ISNUMBER(SEARCH(Assumptions!$C$6,C3413)),Assumptions!$D$6,IF(ISNUMBER(SEARCH(Assumptions!$C$7,C3413)),Assumptions!$D$7,"Other Services"))),"Other Services"))</f>
        <v/>
      </c>
    </row>
    <row r="3414" customFormat="false" ht="15" hidden="false" customHeight="false" outlineLevel="0" collapsed="false">
      <c r="F3414" s="41" t="str">
        <f aca="false">IF(C3414="","",IFERROR(IF(ISNUMBER(SEARCH(Assumptions!$C$5,C3414)),Assumptions!$D$5,IF(ISNUMBER(SEARCH(Assumptions!$C$6,C3414)),Assumptions!$D$6,IF(ISNUMBER(SEARCH(Assumptions!$C$7,C3414)),Assumptions!$D$7,"Other Services"))),"Other Services"))</f>
        <v/>
      </c>
    </row>
    <row r="3415" customFormat="false" ht="15" hidden="false" customHeight="false" outlineLevel="0" collapsed="false">
      <c r="F3415" s="41" t="str">
        <f aca="false">IF(C3415="","",IFERROR(IF(ISNUMBER(SEARCH(Assumptions!$C$5,C3415)),Assumptions!$D$5,IF(ISNUMBER(SEARCH(Assumptions!$C$6,C3415)),Assumptions!$D$6,IF(ISNUMBER(SEARCH(Assumptions!$C$7,C3415)),Assumptions!$D$7,"Other Services"))),"Other Services"))</f>
        <v/>
      </c>
    </row>
    <row r="3416" customFormat="false" ht="15" hidden="false" customHeight="false" outlineLevel="0" collapsed="false">
      <c r="F3416" s="41" t="str">
        <f aca="false">IF(C3416="","",IFERROR(IF(ISNUMBER(SEARCH(Assumptions!$C$5,C3416)),Assumptions!$D$5,IF(ISNUMBER(SEARCH(Assumptions!$C$6,C3416)),Assumptions!$D$6,IF(ISNUMBER(SEARCH(Assumptions!$C$7,C3416)),Assumptions!$D$7,"Other Services"))),"Other Services"))</f>
        <v/>
      </c>
    </row>
    <row r="3417" customFormat="false" ht="15" hidden="false" customHeight="false" outlineLevel="0" collapsed="false">
      <c r="F3417" s="41" t="str">
        <f aca="false">IF(C3417="","",IFERROR(IF(ISNUMBER(SEARCH(Assumptions!$C$5,C3417)),Assumptions!$D$5,IF(ISNUMBER(SEARCH(Assumptions!$C$6,C3417)),Assumptions!$D$6,IF(ISNUMBER(SEARCH(Assumptions!$C$7,C3417)),Assumptions!$D$7,"Other Services"))),"Other Services"))</f>
        <v/>
      </c>
    </row>
    <row r="3418" customFormat="false" ht="15" hidden="false" customHeight="false" outlineLevel="0" collapsed="false">
      <c r="F3418" s="41" t="str">
        <f aca="false">IF(C3418="","",IFERROR(IF(ISNUMBER(SEARCH(Assumptions!$C$5,C3418)),Assumptions!$D$5,IF(ISNUMBER(SEARCH(Assumptions!$C$6,C3418)),Assumptions!$D$6,IF(ISNUMBER(SEARCH(Assumptions!$C$7,C3418)),Assumptions!$D$7,"Other Services"))),"Other Services"))</f>
        <v/>
      </c>
    </row>
    <row r="3419" customFormat="false" ht="15" hidden="false" customHeight="false" outlineLevel="0" collapsed="false">
      <c r="F3419" s="41" t="str">
        <f aca="false">IF(C3419="","",IFERROR(IF(ISNUMBER(SEARCH(Assumptions!$C$5,C3419)),Assumptions!$D$5,IF(ISNUMBER(SEARCH(Assumptions!$C$6,C3419)),Assumptions!$D$6,IF(ISNUMBER(SEARCH(Assumptions!$C$7,C3419)),Assumptions!$D$7,"Other Services"))),"Other Services"))</f>
        <v/>
      </c>
    </row>
    <row r="3420" customFormat="false" ht="15" hidden="false" customHeight="false" outlineLevel="0" collapsed="false">
      <c r="F3420" s="41" t="str">
        <f aca="false">IF(C3420="","",IFERROR(IF(ISNUMBER(SEARCH(Assumptions!$C$5,C3420)),Assumptions!$D$5,IF(ISNUMBER(SEARCH(Assumptions!$C$6,C3420)),Assumptions!$D$6,IF(ISNUMBER(SEARCH(Assumptions!$C$7,C3420)),Assumptions!$D$7,"Other Services"))),"Other Services"))</f>
        <v/>
      </c>
    </row>
    <row r="3421" customFormat="false" ht="15" hidden="false" customHeight="false" outlineLevel="0" collapsed="false">
      <c r="F3421" s="41" t="str">
        <f aca="false">IF(C3421="","",IFERROR(IF(ISNUMBER(SEARCH(Assumptions!$C$5,C3421)),Assumptions!$D$5,IF(ISNUMBER(SEARCH(Assumptions!$C$6,C3421)),Assumptions!$D$6,IF(ISNUMBER(SEARCH(Assumptions!$C$7,C3421)),Assumptions!$D$7,"Other Services"))),"Other Services"))</f>
        <v/>
      </c>
    </row>
    <row r="3422" customFormat="false" ht="15" hidden="false" customHeight="false" outlineLevel="0" collapsed="false">
      <c r="F3422" s="41" t="str">
        <f aca="false">IF(C3422="","",IFERROR(IF(ISNUMBER(SEARCH(Assumptions!$C$5,C3422)),Assumptions!$D$5,IF(ISNUMBER(SEARCH(Assumptions!$C$6,C3422)),Assumptions!$D$6,IF(ISNUMBER(SEARCH(Assumptions!$C$7,C3422)),Assumptions!$D$7,"Other Services"))),"Other Services"))</f>
        <v/>
      </c>
    </row>
    <row r="3423" customFormat="false" ht="15" hidden="false" customHeight="false" outlineLevel="0" collapsed="false">
      <c r="F3423" s="41" t="str">
        <f aca="false">IF(C3423="","",IFERROR(IF(ISNUMBER(SEARCH(Assumptions!$C$5,C3423)),Assumptions!$D$5,IF(ISNUMBER(SEARCH(Assumptions!$C$6,C3423)),Assumptions!$D$6,IF(ISNUMBER(SEARCH(Assumptions!$C$7,C3423)),Assumptions!$D$7,"Other Services"))),"Other Services"))</f>
        <v/>
      </c>
    </row>
    <row r="3424" customFormat="false" ht="15" hidden="false" customHeight="false" outlineLevel="0" collapsed="false">
      <c r="F3424" s="41" t="str">
        <f aca="false">IF(C3424="","",IFERROR(IF(ISNUMBER(SEARCH(Assumptions!$C$5,C3424)),Assumptions!$D$5,IF(ISNUMBER(SEARCH(Assumptions!$C$6,C3424)),Assumptions!$D$6,IF(ISNUMBER(SEARCH(Assumptions!$C$7,C3424)),Assumptions!$D$7,"Other Services"))),"Other Services"))</f>
        <v/>
      </c>
    </row>
    <row r="3425" customFormat="false" ht="15" hidden="false" customHeight="false" outlineLevel="0" collapsed="false">
      <c r="F3425" s="41" t="str">
        <f aca="false">IF(C3425="","",IFERROR(IF(ISNUMBER(SEARCH(Assumptions!$C$5,C3425)),Assumptions!$D$5,IF(ISNUMBER(SEARCH(Assumptions!$C$6,C3425)),Assumptions!$D$6,IF(ISNUMBER(SEARCH(Assumptions!$C$7,C3425)),Assumptions!$D$7,"Other Services"))),"Other Services"))</f>
        <v/>
      </c>
    </row>
    <row r="3426" customFormat="false" ht="15" hidden="false" customHeight="false" outlineLevel="0" collapsed="false">
      <c r="F3426" s="41" t="str">
        <f aca="false">IF(C3426="","",IFERROR(IF(ISNUMBER(SEARCH(Assumptions!$C$5,C3426)),Assumptions!$D$5,IF(ISNUMBER(SEARCH(Assumptions!$C$6,C3426)),Assumptions!$D$6,IF(ISNUMBER(SEARCH(Assumptions!$C$7,C3426)),Assumptions!$D$7,"Other Services"))),"Other Services"))</f>
        <v/>
      </c>
    </row>
    <row r="3427" customFormat="false" ht="15" hidden="false" customHeight="false" outlineLevel="0" collapsed="false">
      <c r="F3427" s="41" t="str">
        <f aca="false">IF(C3427="","",IFERROR(IF(ISNUMBER(SEARCH(Assumptions!$C$5,C3427)),Assumptions!$D$5,IF(ISNUMBER(SEARCH(Assumptions!$C$6,C3427)),Assumptions!$D$6,IF(ISNUMBER(SEARCH(Assumptions!$C$7,C3427)),Assumptions!$D$7,"Other Services"))),"Other Services"))</f>
        <v/>
      </c>
    </row>
    <row r="3428" customFormat="false" ht="15" hidden="false" customHeight="false" outlineLevel="0" collapsed="false">
      <c r="F3428" s="41" t="str">
        <f aca="false">IF(C3428="","",IFERROR(IF(ISNUMBER(SEARCH(Assumptions!$C$5,C3428)),Assumptions!$D$5,IF(ISNUMBER(SEARCH(Assumptions!$C$6,C3428)),Assumptions!$D$6,IF(ISNUMBER(SEARCH(Assumptions!$C$7,C3428)),Assumptions!$D$7,"Other Services"))),"Other Services"))</f>
        <v/>
      </c>
    </row>
    <row r="3429" customFormat="false" ht="15" hidden="false" customHeight="false" outlineLevel="0" collapsed="false">
      <c r="F3429" s="41" t="str">
        <f aca="false">IF(C3429="","",IFERROR(IF(ISNUMBER(SEARCH(Assumptions!$C$5,C3429)),Assumptions!$D$5,IF(ISNUMBER(SEARCH(Assumptions!$C$6,C3429)),Assumptions!$D$6,IF(ISNUMBER(SEARCH(Assumptions!$C$7,C3429)),Assumptions!$D$7,"Other Services"))),"Other Services"))</f>
        <v/>
      </c>
    </row>
    <row r="3430" customFormat="false" ht="15" hidden="false" customHeight="false" outlineLevel="0" collapsed="false">
      <c r="F3430" s="41" t="str">
        <f aca="false">IF(C3430="","",IFERROR(IF(ISNUMBER(SEARCH(Assumptions!$C$5,C3430)),Assumptions!$D$5,IF(ISNUMBER(SEARCH(Assumptions!$C$6,C3430)),Assumptions!$D$6,IF(ISNUMBER(SEARCH(Assumptions!$C$7,C3430)),Assumptions!$D$7,"Other Services"))),"Other Services"))</f>
        <v/>
      </c>
    </row>
    <row r="3431" customFormat="false" ht="15" hidden="false" customHeight="false" outlineLevel="0" collapsed="false">
      <c r="F3431" s="41" t="str">
        <f aca="false">IF(C3431="","",IFERROR(IF(ISNUMBER(SEARCH(Assumptions!$C$5,C3431)),Assumptions!$D$5,IF(ISNUMBER(SEARCH(Assumptions!$C$6,C3431)),Assumptions!$D$6,IF(ISNUMBER(SEARCH(Assumptions!$C$7,C3431)),Assumptions!$D$7,"Other Services"))),"Other Services"))</f>
        <v/>
      </c>
    </row>
    <row r="3432" customFormat="false" ht="15" hidden="false" customHeight="false" outlineLevel="0" collapsed="false">
      <c r="F3432" s="41" t="str">
        <f aca="false">IF(C3432="","",IFERROR(IF(ISNUMBER(SEARCH(Assumptions!$C$5,C3432)),Assumptions!$D$5,IF(ISNUMBER(SEARCH(Assumptions!$C$6,C3432)),Assumptions!$D$6,IF(ISNUMBER(SEARCH(Assumptions!$C$7,C3432)),Assumptions!$D$7,"Other Services"))),"Other Services"))</f>
        <v/>
      </c>
    </row>
    <row r="3433" customFormat="false" ht="15" hidden="false" customHeight="false" outlineLevel="0" collapsed="false">
      <c r="F3433" s="41" t="str">
        <f aca="false">IF(C3433="","",IFERROR(IF(ISNUMBER(SEARCH(Assumptions!$C$5,C3433)),Assumptions!$D$5,IF(ISNUMBER(SEARCH(Assumptions!$C$6,C3433)),Assumptions!$D$6,IF(ISNUMBER(SEARCH(Assumptions!$C$7,C3433)),Assumptions!$D$7,"Other Services"))),"Other Services"))</f>
        <v/>
      </c>
    </row>
    <row r="3434" customFormat="false" ht="15" hidden="false" customHeight="false" outlineLevel="0" collapsed="false">
      <c r="F3434" s="41" t="str">
        <f aca="false">IF(C3434="","",IFERROR(IF(ISNUMBER(SEARCH(Assumptions!$C$5,C3434)),Assumptions!$D$5,IF(ISNUMBER(SEARCH(Assumptions!$C$6,C3434)),Assumptions!$D$6,IF(ISNUMBER(SEARCH(Assumptions!$C$7,C3434)),Assumptions!$D$7,"Other Services"))),"Other Services"))</f>
        <v/>
      </c>
    </row>
    <row r="3435" customFormat="false" ht="15" hidden="false" customHeight="false" outlineLevel="0" collapsed="false">
      <c r="F3435" s="41" t="str">
        <f aca="false">IF(C3435="","",IFERROR(IF(ISNUMBER(SEARCH(Assumptions!$C$5,C3435)),Assumptions!$D$5,IF(ISNUMBER(SEARCH(Assumptions!$C$6,C3435)),Assumptions!$D$6,IF(ISNUMBER(SEARCH(Assumptions!$C$7,C3435)),Assumptions!$D$7,"Other Services"))),"Other Services"))</f>
        <v/>
      </c>
    </row>
    <row r="3436" customFormat="false" ht="15" hidden="false" customHeight="false" outlineLevel="0" collapsed="false">
      <c r="F3436" s="41" t="str">
        <f aca="false">IF(C3436="","",IFERROR(IF(ISNUMBER(SEARCH(Assumptions!$C$5,C3436)),Assumptions!$D$5,IF(ISNUMBER(SEARCH(Assumptions!$C$6,C3436)),Assumptions!$D$6,IF(ISNUMBER(SEARCH(Assumptions!$C$7,C3436)),Assumptions!$D$7,"Other Services"))),"Other Services"))</f>
        <v/>
      </c>
    </row>
    <row r="3437" customFormat="false" ht="15" hidden="false" customHeight="false" outlineLevel="0" collapsed="false">
      <c r="F3437" s="41" t="str">
        <f aca="false">IF(C3437="","",IFERROR(IF(ISNUMBER(SEARCH(Assumptions!$C$5,C3437)),Assumptions!$D$5,IF(ISNUMBER(SEARCH(Assumptions!$C$6,C3437)),Assumptions!$D$6,IF(ISNUMBER(SEARCH(Assumptions!$C$7,C3437)),Assumptions!$D$7,"Other Services"))),"Other Services"))</f>
        <v/>
      </c>
    </row>
    <row r="3438" customFormat="false" ht="15" hidden="false" customHeight="false" outlineLevel="0" collapsed="false">
      <c r="F3438" s="41" t="str">
        <f aca="false">IF(C3438="","",IFERROR(IF(ISNUMBER(SEARCH(Assumptions!$C$5,C3438)),Assumptions!$D$5,IF(ISNUMBER(SEARCH(Assumptions!$C$6,C3438)),Assumptions!$D$6,IF(ISNUMBER(SEARCH(Assumptions!$C$7,C3438)),Assumptions!$D$7,"Other Services"))),"Other Services"))</f>
        <v/>
      </c>
    </row>
    <row r="3439" customFormat="false" ht="15" hidden="false" customHeight="false" outlineLevel="0" collapsed="false">
      <c r="F3439" s="41" t="str">
        <f aca="false">IF(C3439="","",IFERROR(IF(ISNUMBER(SEARCH(Assumptions!$C$5,C3439)),Assumptions!$D$5,IF(ISNUMBER(SEARCH(Assumptions!$C$6,C3439)),Assumptions!$D$6,IF(ISNUMBER(SEARCH(Assumptions!$C$7,C3439)),Assumptions!$D$7,"Other Services"))),"Other Services"))</f>
        <v/>
      </c>
    </row>
    <row r="3440" customFormat="false" ht="15" hidden="false" customHeight="false" outlineLevel="0" collapsed="false">
      <c r="F3440" s="41" t="str">
        <f aca="false">IF(C3440="","",IFERROR(IF(ISNUMBER(SEARCH(Assumptions!$C$5,C3440)),Assumptions!$D$5,IF(ISNUMBER(SEARCH(Assumptions!$C$6,C3440)),Assumptions!$D$6,IF(ISNUMBER(SEARCH(Assumptions!$C$7,C3440)),Assumptions!$D$7,"Other Services"))),"Other Services"))</f>
        <v/>
      </c>
    </row>
    <row r="3441" customFormat="false" ht="15" hidden="false" customHeight="false" outlineLevel="0" collapsed="false">
      <c r="F3441" s="41" t="str">
        <f aca="false">IF(C3441="","",IFERROR(IF(ISNUMBER(SEARCH(Assumptions!$C$5,C3441)),Assumptions!$D$5,IF(ISNUMBER(SEARCH(Assumptions!$C$6,C3441)),Assumptions!$D$6,IF(ISNUMBER(SEARCH(Assumptions!$C$7,C3441)),Assumptions!$D$7,"Other Services"))),"Other Services"))</f>
        <v/>
      </c>
    </row>
    <row r="3442" customFormat="false" ht="15" hidden="false" customHeight="false" outlineLevel="0" collapsed="false">
      <c r="F3442" s="41" t="str">
        <f aca="false">IF(C3442="","",IFERROR(IF(ISNUMBER(SEARCH(Assumptions!$C$5,C3442)),Assumptions!$D$5,IF(ISNUMBER(SEARCH(Assumptions!$C$6,C3442)),Assumptions!$D$6,IF(ISNUMBER(SEARCH(Assumptions!$C$7,C3442)),Assumptions!$D$7,"Other Services"))),"Other Services"))</f>
        <v/>
      </c>
    </row>
    <row r="3443" customFormat="false" ht="15" hidden="false" customHeight="false" outlineLevel="0" collapsed="false">
      <c r="F3443" s="41" t="str">
        <f aca="false">IF(C3443="","",IFERROR(IF(ISNUMBER(SEARCH(Assumptions!$C$5,C3443)),Assumptions!$D$5,IF(ISNUMBER(SEARCH(Assumptions!$C$6,C3443)),Assumptions!$D$6,IF(ISNUMBER(SEARCH(Assumptions!$C$7,C3443)),Assumptions!$D$7,"Other Services"))),"Other Services"))</f>
        <v/>
      </c>
    </row>
    <row r="3444" customFormat="false" ht="15" hidden="false" customHeight="false" outlineLevel="0" collapsed="false">
      <c r="F3444" s="41" t="str">
        <f aca="false">IF(C3444="","",IFERROR(IF(ISNUMBER(SEARCH(Assumptions!$C$5,C3444)),Assumptions!$D$5,IF(ISNUMBER(SEARCH(Assumptions!$C$6,C3444)),Assumptions!$D$6,IF(ISNUMBER(SEARCH(Assumptions!$C$7,C3444)),Assumptions!$D$7,"Other Services"))),"Other Services"))</f>
        <v/>
      </c>
    </row>
    <row r="3445" customFormat="false" ht="15" hidden="false" customHeight="false" outlineLevel="0" collapsed="false">
      <c r="F3445" s="41" t="str">
        <f aca="false">IF(C3445="","",IFERROR(IF(ISNUMBER(SEARCH(Assumptions!$C$5,C3445)),Assumptions!$D$5,IF(ISNUMBER(SEARCH(Assumptions!$C$6,C3445)),Assumptions!$D$6,IF(ISNUMBER(SEARCH(Assumptions!$C$7,C3445)),Assumptions!$D$7,"Other Services"))),"Other Services"))</f>
        <v/>
      </c>
    </row>
    <row r="3446" customFormat="false" ht="15" hidden="false" customHeight="false" outlineLevel="0" collapsed="false">
      <c r="F3446" s="41" t="str">
        <f aca="false">IF(C3446="","",IFERROR(IF(ISNUMBER(SEARCH(Assumptions!$C$5,C3446)),Assumptions!$D$5,IF(ISNUMBER(SEARCH(Assumptions!$C$6,C3446)),Assumptions!$D$6,IF(ISNUMBER(SEARCH(Assumptions!$C$7,C3446)),Assumptions!$D$7,"Other Services"))),"Other Services"))</f>
        <v/>
      </c>
    </row>
    <row r="3447" customFormat="false" ht="15" hidden="false" customHeight="false" outlineLevel="0" collapsed="false">
      <c r="F3447" s="41" t="str">
        <f aca="false">IF(C3447="","",IFERROR(IF(ISNUMBER(SEARCH(Assumptions!$C$5,C3447)),Assumptions!$D$5,IF(ISNUMBER(SEARCH(Assumptions!$C$6,C3447)),Assumptions!$D$6,IF(ISNUMBER(SEARCH(Assumptions!$C$7,C3447)),Assumptions!$D$7,"Other Services"))),"Other Services"))</f>
        <v/>
      </c>
    </row>
    <row r="3448" customFormat="false" ht="15" hidden="false" customHeight="false" outlineLevel="0" collapsed="false">
      <c r="F3448" s="41" t="str">
        <f aca="false">IF(C3448="","",IFERROR(IF(ISNUMBER(SEARCH(Assumptions!$C$5,C3448)),Assumptions!$D$5,IF(ISNUMBER(SEARCH(Assumptions!$C$6,C3448)),Assumptions!$D$6,IF(ISNUMBER(SEARCH(Assumptions!$C$7,C3448)),Assumptions!$D$7,"Other Services"))),"Other Services"))</f>
        <v/>
      </c>
    </row>
    <row r="3449" customFormat="false" ht="15" hidden="false" customHeight="false" outlineLevel="0" collapsed="false">
      <c r="F3449" s="41" t="str">
        <f aca="false">IF(C3449="","",IFERROR(IF(ISNUMBER(SEARCH(Assumptions!$C$5,C3449)),Assumptions!$D$5,IF(ISNUMBER(SEARCH(Assumptions!$C$6,C3449)),Assumptions!$D$6,IF(ISNUMBER(SEARCH(Assumptions!$C$7,C3449)),Assumptions!$D$7,"Other Services"))),"Other Services"))</f>
        <v/>
      </c>
    </row>
    <row r="3450" customFormat="false" ht="15" hidden="false" customHeight="false" outlineLevel="0" collapsed="false">
      <c r="F3450" s="41" t="str">
        <f aca="false">IF(C3450="","",IFERROR(IF(ISNUMBER(SEARCH(Assumptions!$C$5,C3450)),Assumptions!$D$5,IF(ISNUMBER(SEARCH(Assumptions!$C$6,C3450)),Assumptions!$D$6,IF(ISNUMBER(SEARCH(Assumptions!$C$7,C3450)),Assumptions!$D$7,"Other Services"))),"Other Services"))</f>
        <v/>
      </c>
    </row>
    <row r="3451" customFormat="false" ht="15" hidden="false" customHeight="false" outlineLevel="0" collapsed="false">
      <c r="F3451" s="41" t="str">
        <f aca="false">IF(C3451="","",IFERROR(IF(ISNUMBER(SEARCH(Assumptions!$C$5,C3451)),Assumptions!$D$5,IF(ISNUMBER(SEARCH(Assumptions!$C$6,C3451)),Assumptions!$D$6,IF(ISNUMBER(SEARCH(Assumptions!$C$7,C3451)),Assumptions!$D$7,"Other Services"))),"Other Services"))</f>
        <v/>
      </c>
    </row>
    <row r="3452" customFormat="false" ht="15" hidden="false" customHeight="false" outlineLevel="0" collapsed="false">
      <c r="F3452" s="41" t="str">
        <f aca="false">IF(C3452="","",IFERROR(IF(ISNUMBER(SEARCH(Assumptions!$C$5,C3452)),Assumptions!$D$5,IF(ISNUMBER(SEARCH(Assumptions!$C$6,C3452)),Assumptions!$D$6,IF(ISNUMBER(SEARCH(Assumptions!$C$7,C3452)),Assumptions!$D$7,"Other Services"))),"Other Services"))</f>
        <v/>
      </c>
    </row>
    <row r="3453" customFormat="false" ht="15" hidden="false" customHeight="false" outlineLevel="0" collapsed="false">
      <c r="F3453" s="41" t="str">
        <f aca="false">IF(C3453="","",IFERROR(IF(ISNUMBER(SEARCH(Assumptions!$C$5,C3453)),Assumptions!$D$5,IF(ISNUMBER(SEARCH(Assumptions!$C$6,C3453)),Assumptions!$D$6,IF(ISNUMBER(SEARCH(Assumptions!$C$7,C3453)),Assumptions!$D$7,"Other Services"))),"Other Services"))</f>
        <v/>
      </c>
    </row>
    <row r="3454" customFormat="false" ht="15" hidden="false" customHeight="false" outlineLevel="0" collapsed="false">
      <c r="F3454" s="41" t="str">
        <f aca="false">IF(C3454="","",IFERROR(IF(ISNUMBER(SEARCH(Assumptions!$C$5,C3454)),Assumptions!$D$5,IF(ISNUMBER(SEARCH(Assumptions!$C$6,C3454)),Assumptions!$D$6,IF(ISNUMBER(SEARCH(Assumptions!$C$7,C3454)),Assumptions!$D$7,"Other Services"))),"Other Services"))</f>
        <v/>
      </c>
    </row>
    <row r="3455" customFormat="false" ht="15" hidden="false" customHeight="false" outlineLevel="0" collapsed="false">
      <c r="F3455" s="41" t="str">
        <f aca="false">IF(C3455="","",IFERROR(IF(ISNUMBER(SEARCH(Assumptions!$C$5,C3455)),Assumptions!$D$5,IF(ISNUMBER(SEARCH(Assumptions!$C$6,C3455)),Assumptions!$D$6,IF(ISNUMBER(SEARCH(Assumptions!$C$7,C3455)),Assumptions!$D$7,"Other Services"))),"Other Services"))</f>
        <v/>
      </c>
    </row>
    <row r="3456" customFormat="false" ht="15" hidden="false" customHeight="false" outlineLevel="0" collapsed="false">
      <c r="F3456" s="41" t="str">
        <f aca="false">IF(C3456="","",IFERROR(IF(ISNUMBER(SEARCH(Assumptions!$C$5,C3456)),Assumptions!$D$5,IF(ISNUMBER(SEARCH(Assumptions!$C$6,C3456)),Assumptions!$D$6,IF(ISNUMBER(SEARCH(Assumptions!$C$7,C3456)),Assumptions!$D$7,"Other Services"))),"Other Services"))</f>
        <v/>
      </c>
    </row>
    <row r="3457" customFormat="false" ht="15" hidden="false" customHeight="false" outlineLevel="0" collapsed="false">
      <c r="F3457" s="41" t="str">
        <f aca="false">IF(C3457="","",IFERROR(IF(ISNUMBER(SEARCH(Assumptions!$C$5,C3457)),Assumptions!$D$5,IF(ISNUMBER(SEARCH(Assumptions!$C$6,C3457)),Assumptions!$D$6,IF(ISNUMBER(SEARCH(Assumptions!$C$7,C3457)),Assumptions!$D$7,"Other Services"))),"Other Services"))</f>
        <v/>
      </c>
    </row>
    <row r="3458" customFormat="false" ht="15" hidden="false" customHeight="false" outlineLevel="0" collapsed="false">
      <c r="F3458" s="41" t="str">
        <f aca="false">IF(C3458="","",IFERROR(IF(ISNUMBER(SEARCH(Assumptions!$C$5,C3458)),Assumptions!$D$5,IF(ISNUMBER(SEARCH(Assumptions!$C$6,C3458)),Assumptions!$D$6,IF(ISNUMBER(SEARCH(Assumptions!$C$7,C3458)),Assumptions!$D$7,"Other Services"))),"Other Services"))</f>
        <v/>
      </c>
    </row>
    <row r="3459" customFormat="false" ht="15" hidden="false" customHeight="false" outlineLevel="0" collapsed="false">
      <c r="F3459" s="41" t="str">
        <f aca="false">IF(C3459="","",IFERROR(IF(ISNUMBER(SEARCH(Assumptions!$C$5,C3459)),Assumptions!$D$5,IF(ISNUMBER(SEARCH(Assumptions!$C$6,C3459)),Assumptions!$D$6,IF(ISNUMBER(SEARCH(Assumptions!$C$7,C3459)),Assumptions!$D$7,"Other Services"))),"Other Services"))</f>
        <v/>
      </c>
    </row>
    <row r="3460" customFormat="false" ht="15" hidden="false" customHeight="false" outlineLevel="0" collapsed="false">
      <c r="F3460" s="41" t="str">
        <f aca="false">IF(C3460="","",IFERROR(IF(ISNUMBER(SEARCH(Assumptions!$C$5,C3460)),Assumptions!$D$5,IF(ISNUMBER(SEARCH(Assumptions!$C$6,C3460)),Assumptions!$D$6,IF(ISNUMBER(SEARCH(Assumptions!$C$7,C3460)),Assumptions!$D$7,"Other Services"))),"Other Services"))</f>
        <v/>
      </c>
    </row>
    <row r="3461" customFormat="false" ht="15" hidden="false" customHeight="false" outlineLevel="0" collapsed="false">
      <c r="F3461" s="41" t="str">
        <f aca="false">IF(C3461="","",IFERROR(IF(ISNUMBER(SEARCH(Assumptions!$C$5,C3461)),Assumptions!$D$5,IF(ISNUMBER(SEARCH(Assumptions!$C$6,C3461)),Assumptions!$D$6,IF(ISNUMBER(SEARCH(Assumptions!$C$7,C3461)),Assumptions!$D$7,"Other Services"))),"Other Services"))</f>
        <v/>
      </c>
    </row>
    <row r="3462" customFormat="false" ht="15" hidden="false" customHeight="false" outlineLevel="0" collapsed="false">
      <c r="F3462" s="41" t="str">
        <f aca="false">IF(C3462="","",IFERROR(IF(ISNUMBER(SEARCH(Assumptions!$C$5,C3462)),Assumptions!$D$5,IF(ISNUMBER(SEARCH(Assumptions!$C$6,C3462)),Assumptions!$D$6,IF(ISNUMBER(SEARCH(Assumptions!$C$7,C3462)),Assumptions!$D$7,"Other Services"))),"Other Services"))</f>
        <v/>
      </c>
    </row>
    <row r="3463" customFormat="false" ht="15" hidden="false" customHeight="false" outlineLevel="0" collapsed="false">
      <c r="F3463" s="41" t="str">
        <f aca="false">IF(C3463="","",IFERROR(IF(ISNUMBER(SEARCH(Assumptions!$C$5,C3463)),Assumptions!$D$5,IF(ISNUMBER(SEARCH(Assumptions!$C$6,C3463)),Assumptions!$D$6,IF(ISNUMBER(SEARCH(Assumptions!$C$7,C3463)),Assumptions!$D$7,"Other Services"))),"Other Services"))</f>
        <v/>
      </c>
    </row>
    <row r="3464" customFormat="false" ht="15" hidden="false" customHeight="false" outlineLevel="0" collapsed="false">
      <c r="F3464" s="41" t="str">
        <f aca="false">IF(C3464="","",IFERROR(IF(ISNUMBER(SEARCH(Assumptions!$C$5,C3464)),Assumptions!$D$5,IF(ISNUMBER(SEARCH(Assumptions!$C$6,C3464)),Assumptions!$D$6,IF(ISNUMBER(SEARCH(Assumptions!$C$7,C3464)),Assumptions!$D$7,"Other Services"))),"Other Services"))</f>
        <v/>
      </c>
    </row>
    <row r="3465" customFormat="false" ht="15" hidden="false" customHeight="false" outlineLevel="0" collapsed="false">
      <c r="F3465" s="41" t="str">
        <f aca="false">IF(C3465="","",IFERROR(IF(ISNUMBER(SEARCH(Assumptions!$C$5,C3465)),Assumptions!$D$5,IF(ISNUMBER(SEARCH(Assumptions!$C$6,C3465)),Assumptions!$D$6,IF(ISNUMBER(SEARCH(Assumptions!$C$7,C3465)),Assumptions!$D$7,"Other Services"))),"Other Services"))</f>
        <v/>
      </c>
    </row>
    <row r="3466" customFormat="false" ht="15" hidden="false" customHeight="false" outlineLevel="0" collapsed="false">
      <c r="F3466" s="41" t="str">
        <f aca="false">IF(C3466="","",IFERROR(IF(ISNUMBER(SEARCH(Assumptions!$C$5,C3466)),Assumptions!$D$5,IF(ISNUMBER(SEARCH(Assumptions!$C$6,C3466)),Assumptions!$D$6,IF(ISNUMBER(SEARCH(Assumptions!$C$7,C3466)),Assumptions!$D$7,"Other Services"))),"Other Services"))</f>
        <v/>
      </c>
    </row>
    <row r="3467" customFormat="false" ht="15" hidden="false" customHeight="false" outlineLevel="0" collapsed="false">
      <c r="F3467" s="41" t="str">
        <f aca="false">IF(C3467="","",IFERROR(IF(ISNUMBER(SEARCH(Assumptions!$C$5,C3467)),Assumptions!$D$5,IF(ISNUMBER(SEARCH(Assumptions!$C$6,C3467)),Assumptions!$D$6,IF(ISNUMBER(SEARCH(Assumptions!$C$7,C3467)),Assumptions!$D$7,"Other Services"))),"Other Services"))</f>
        <v/>
      </c>
    </row>
    <row r="3468" customFormat="false" ht="15" hidden="false" customHeight="false" outlineLevel="0" collapsed="false">
      <c r="F3468" s="41" t="str">
        <f aca="false">IF(C3468="","",IFERROR(IF(ISNUMBER(SEARCH(Assumptions!$C$5,C3468)),Assumptions!$D$5,IF(ISNUMBER(SEARCH(Assumptions!$C$6,C3468)),Assumptions!$D$6,IF(ISNUMBER(SEARCH(Assumptions!$C$7,C3468)),Assumptions!$D$7,"Other Services"))),"Other Services"))</f>
        <v/>
      </c>
    </row>
    <row r="3469" customFormat="false" ht="15" hidden="false" customHeight="false" outlineLevel="0" collapsed="false">
      <c r="F3469" s="41" t="str">
        <f aca="false">IF(C3469="","",IFERROR(IF(ISNUMBER(SEARCH(Assumptions!$C$5,C3469)),Assumptions!$D$5,IF(ISNUMBER(SEARCH(Assumptions!$C$6,C3469)),Assumptions!$D$6,IF(ISNUMBER(SEARCH(Assumptions!$C$7,C3469)),Assumptions!$D$7,"Other Services"))),"Other Services"))</f>
        <v/>
      </c>
    </row>
    <row r="3470" customFormat="false" ht="15" hidden="false" customHeight="false" outlineLevel="0" collapsed="false">
      <c r="F3470" s="41" t="str">
        <f aca="false">IF(C3470="","",IFERROR(IF(ISNUMBER(SEARCH(Assumptions!$C$5,C3470)),Assumptions!$D$5,IF(ISNUMBER(SEARCH(Assumptions!$C$6,C3470)),Assumptions!$D$6,IF(ISNUMBER(SEARCH(Assumptions!$C$7,C3470)),Assumptions!$D$7,"Other Services"))),"Other Services"))</f>
        <v/>
      </c>
    </row>
    <row r="3471" customFormat="false" ht="15" hidden="false" customHeight="false" outlineLevel="0" collapsed="false">
      <c r="F3471" s="41" t="str">
        <f aca="false">IF(C3471="","",IFERROR(IF(ISNUMBER(SEARCH(Assumptions!$C$5,C3471)),Assumptions!$D$5,IF(ISNUMBER(SEARCH(Assumptions!$C$6,C3471)),Assumptions!$D$6,IF(ISNUMBER(SEARCH(Assumptions!$C$7,C3471)),Assumptions!$D$7,"Other Services"))),"Other Services"))</f>
        <v/>
      </c>
    </row>
    <row r="3472" customFormat="false" ht="15" hidden="false" customHeight="false" outlineLevel="0" collapsed="false">
      <c r="F3472" s="41" t="str">
        <f aca="false">IF(C3472="","",IFERROR(IF(ISNUMBER(SEARCH(Assumptions!$C$5,C3472)),Assumptions!$D$5,IF(ISNUMBER(SEARCH(Assumptions!$C$6,C3472)),Assumptions!$D$6,IF(ISNUMBER(SEARCH(Assumptions!$C$7,C3472)),Assumptions!$D$7,"Other Services"))),"Other Services"))</f>
        <v/>
      </c>
    </row>
    <row r="3473" customFormat="false" ht="15" hidden="false" customHeight="false" outlineLevel="0" collapsed="false">
      <c r="F3473" s="41" t="str">
        <f aca="false">IF(C3473="","",IFERROR(IF(ISNUMBER(SEARCH(Assumptions!$C$5,C3473)),Assumptions!$D$5,IF(ISNUMBER(SEARCH(Assumptions!$C$6,C3473)),Assumptions!$D$6,IF(ISNUMBER(SEARCH(Assumptions!$C$7,C3473)),Assumptions!$D$7,"Other Services"))),"Other Services"))</f>
        <v/>
      </c>
    </row>
    <row r="3474" customFormat="false" ht="15" hidden="false" customHeight="false" outlineLevel="0" collapsed="false">
      <c r="F3474" s="41" t="str">
        <f aca="false">IF(C3474="","",IFERROR(IF(ISNUMBER(SEARCH(Assumptions!$C$5,C3474)),Assumptions!$D$5,IF(ISNUMBER(SEARCH(Assumptions!$C$6,C3474)),Assumptions!$D$6,IF(ISNUMBER(SEARCH(Assumptions!$C$7,C3474)),Assumptions!$D$7,"Other Services"))),"Other Services"))</f>
        <v/>
      </c>
    </row>
    <row r="3475" customFormat="false" ht="15" hidden="false" customHeight="false" outlineLevel="0" collapsed="false">
      <c r="F3475" s="41" t="str">
        <f aca="false">IF(C3475="","",IFERROR(IF(ISNUMBER(SEARCH(Assumptions!$C$5,C3475)),Assumptions!$D$5,IF(ISNUMBER(SEARCH(Assumptions!$C$6,C3475)),Assumptions!$D$6,IF(ISNUMBER(SEARCH(Assumptions!$C$7,C3475)),Assumptions!$D$7,"Other Services"))),"Other Services"))</f>
        <v/>
      </c>
    </row>
    <row r="3476" customFormat="false" ht="15" hidden="false" customHeight="false" outlineLevel="0" collapsed="false">
      <c r="F3476" s="41" t="str">
        <f aca="false">IF(C3476="","",IFERROR(IF(ISNUMBER(SEARCH(Assumptions!$C$5,C3476)),Assumptions!$D$5,IF(ISNUMBER(SEARCH(Assumptions!$C$6,C3476)),Assumptions!$D$6,IF(ISNUMBER(SEARCH(Assumptions!$C$7,C3476)),Assumptions!$D$7,"Other Services"))),"Other Services"))</f>
        <v/>
      </c>
    </row>
    <row r="3477" customFormat="false" ht="15" hidden="false" customHeight="false" outlineLevel="0" collapsed="false">
      <c r="F3477" s="41" t="str">
        <f aca="false">IF(C3477="","",IFERROR(IF(ISNUMBER(SEARCH(Assumptions!$C$5,C3477)),Assumptions!$D$5,IF(ISNUMBER(SEARCH(Assumptions!$C$6,C3477)),Assumptions!$D$6,IF(ISNUMBER(SEARCH(Assumptions!$C$7,C3477)),Assumptions!$D$7,"Other Services"))),"Other Services"))</f>
        <v/>
      </c>
    </row>
    <row r="3478" customFormat="false" ht="15" hidden="false" customHeight="false" outlineLevel="0" collapsed="false">
      <c r="F3478" s="41" t="str">
        <f aca="false">IF(C3478="","",IFERROR(IF(ISNUMBER(SEARCH(Assumptions!$C$5,C3478)),Assumptions!$D$5,IF(ISNUMBER(SEARCH(Assumptions!$C$6,C3478)),Assumptions!$D$6,IF(ISNUMBER(SEARCH(Assumptions!$C$7,C3478)),Assumptions!$D$7,"Other Services"))),"Other Services"))</f>
        <v/>
      </c>
    </row>
    <row r="3479" customFormat="false" ht="15" hidden="false" customHeight="false" outlineLevel="0" collapsed="false">
      <c r="F3479" s="41" t="str">
        <f aca="false">IF(C3479="","",IFERROR(IF(ISNUMBER(SEARCH(Assumptions!$C$5,C3479)),Assumptions!$D$5,IF(ISNUMBER(SEARCH(Assumptions!$C$6,C3479)),Assumptions!$D$6,IF(ISNUMBER(SEARCH(Assumptions!$C$7,C3479)),Assumptions!$D$7,"Other Services"))),"Other Services"))</f>
        <v/>
      </c>
    </row>
    <row r="3480" customFormat="false" ht="15" hidden="false" customHeight="false" outlineLevel="0" collapsed="false">
      <c r="F3480" s="41" t="str">
        <f aca="false">IF(C3480="","",IFERROR(IF(ISNUMBER(SEARCH(Assumptions!$C$5,C3480)),Assumptions!$D$5,IF(ISNUMBER(SEARCH(Assumptions!$C$6,C3480)),Assumptions!$D$6,IF(ISNUMBER(SEARCH(Assumptions!$C$7,C3480)),Assumptions!$D$7,"Other Services"))),"Other Services"))</f>
        <v/>
      </c>
    </row>
    <row r="3481" customFormat="false" ht="15" hidden="false" customHeight="false" outlineLevel="0" collapsed="false">
      <c r="F3481" s="41" t="str">
        <f aca="false">IF(C3481="","",IFERROR(IF(ISNUMBER(SEARCH(Assumptions!$C$5,C3481)),Assumptions!$D$5,IF(ISNUMBER(SEARCH(Assumptions!$C$6,C3481)),Assumptions!$D$6,IF(ISNUMBER(SEARCH(Assumptions!$C$7,C3481)),Assumptions!$D$7,"Other Services"))),"Other Services"))</f>
        <v/>
      </c>
    </row>
    <row r="3482" customFormat="false" ht="15" hidden="false" customHeight="false" outlineLevel="0" collapsed="false">
      <c r="F3482" s="41" t="str">
        <f aca="false">IF(C3482="","",IFERROR(IF(ISNUMBER(SEARCH(Assumptions!$C$5,C3482)),Assumptions!$D$5,IF(ISNUMBER(SEARCH(Assumptions!$C$6,C3482)),Assumptions!$D$6,IF(ISNUMBER(SEARCH(Assumptions!$C$7,C3482)),Assumptions!$D$7,"Other Services"))),"Other Services"))</f>
        <v/>
      </c>
    </row>
    <row r="3483" customFormat="false" ht="15" hidden="false" customHeight="false" outlineLevel="0" collapsed="false">
      <c r="F3483" s="41" t="str">
        <f aca="false">IF(C3483="","",IFERROR(IF(ISNUMBER(SEARCH(Assumptions!$C$5,C3483)),Assumptions!$D$5,IF(ISNUMBER(SEARCH(Assumptions!$C$6,C3483)),Assumptions!$D$6,IF(ISNUMBER(SEARCH(Assumptions!$C$7,C3483)),Assumptions!$D$7,"Other Services"))),"Other Services"))</f>
        <v/>
      </c>
    </row>
    <row r="3484" customFormat="false" ht="15" hidden="false" customHeight="false" outlineLevel="0" collapsed="false">
      <c r="F3484" s="41" t="str">
        <f aca="false">IF(C3484="","",IFERROR(IF(ISNUMBER(SEARCH(Assumptions!$C$5,C3484)),Assumptions!$D$5,IF(ISNUMBER(SEARCH(Assumptions!$C$6,C3484)),Assumptions!$D$6,IF(ISNUMBER(SEARCH(Assumptions!$C$7,C3484)),Assumptions!$D$7,"Other Services"))),"Other Services"))</f>
        <v/>
      </c>
    </row>
    <row r="3485" customFormat="false" ht="15" hidden="false" customHeight="false" outlineLevel="0" collapsed="false">
      <c r="F3485" s="41" t="str">
        <f aca="false">IF(C3485="","",IFERROR(IF(ISNUMBER(SEARCH(Assumptions!$C$5,C3485)),Assumptions!$D$5,IF(ISNUMBER(SEARCH(Assumptions!$C$6,C3485)),Assumptions!$D$6,IF(ISNUMBER(SEARCH(Assumptions!$C$7,C3485)),Assumptions!$D$7,"Other Services"))),"Other Services"))</f>
        <v/>
      </c>
    </row>
    <row r="3486" customFormat="false" ht="15" hidden="false" customHeight="false" outlineLevel="0" collapsed="false">
      <c r="F3486" s="41" t="str">
        <f aca="false">IF(C3486="","",IFERROR(IF(ISNUMBER(SEARCH(Assumptions!$C$5,C3486)),Assumptions!$D$5,IF(ISNUMBER(SEARCH(Assumptions!$C$6,C3486)),Assumptions!$D$6,IF(ISNUMBER(SEARCH(Assumptions!$C$7,C3486)),Assumptions!$D$7,"Other Services"))),"Other Services"))</f>
        <v/>
      </c>
    </row>
    <row r="3487" customFormat="false" ht="15" hidden="false" customHeight="false" outlineLevel="0" collapsed="false">
      <c r="F3487" s="41" t="str">
        <f aca="false">IF(C3487="","",IFERROR(IF(ISNUMBER(SEARCH(Assumptions!$C$5,C3487)),Assumptions!$D$5,IF(ISNUMBER(SEARCH(Assumptions!$C$6,C3487)),Assumptions!$D$6,IF(ISNUMBER(SEARCH(Assumptions!$C$7,C3487)),Assumptions!$D$7,"Other Services"))),"Other Services"))</f>
        <v/>
      </c>
    </row>
    <row r="3488" customFormat="false" ht="15" hidden="false" customHeight="false" outlineLevel="0" collapsed="false">
      <c r="F3488" s="41" t="str">
        <f aca="false">IF(C3488="","",IFERROR(IF(ISNUMBER(SEARCH(Assumptions!$C$5,C3488)),Assumptions!$D$5,IF(ISNUMBER(SEARCH(Assumptions!$C$6,C3488)),Assumptions!$D$6,IF(ISNUMBER(SEARCH(Assumptions!$C$7,C3488)),Assumptions!$D$7,"Other Services"))),"Other Services"))</f>
        <v/>
      </c>
    </row>
    <row r="3489" customFormat="false" ht="15" hidden="false" customHeight="false" outlineLevel="0" collapsed="false">
      <c r="F3489" s="41" t="str">
        <f aca="false">IF(C3489="","",IFERROR(IF(ISNUMBER(SEARCH(Assumptions!$C$5,C3489)),Assumptions!$D$5,IF(ISNUMBER(SEARCH(Assumptions!$C$6,C3489)),Assumptions!$D$6,IF(ISNUMBER(SEARCH(Assumptions!$C$7,C3489)),Assumptions!$D$7,"Other Services"))),"Other Services"))</f>
        <v/>
      </c>
    </row>
    <row r="3490" customFormat="false" ht="15" hidden="false" customHeight="false" outlineLevel="0" collapsed="false">
      <c r="F3490" s="41" t="str">
        <f aca="false">IF(C3490="","",IFERROR(IF(ISNUMBER(SEARCH(Assumptions!$C$5,C3490)),Assumptions!$D$5,IF(ISNUMBER(SEARCH(Assumptions!$C$6,C3490)),Assumptions!$D$6,IF(ISNUMBER(SEARCH(Assumptions!$C$7,C3490)),Assumptions!$D$7,"Other Services"))),"Other Services"))</f>
        <v/>
      </c>
    </row>
    <row r="3491" customFormat="false" ht="15" hidden="false" customHeight="false" outlineLevel="0" collapsed="false">
      <c r="F3491" s="41" t="str">
        <f aca="false">IF(C3491="","",IFERROR(IF(ISNUMBER(SEARCH(Assumptions!$C$5,C3491)),Assumptions!$D$5,IF(ISNUMBER(SEARCH(Assumptions!$C$6,C3491)),Assumptions!$D$6,IF(ISNUMBER(SEARCH(Assumptions!$C$7,C3491)),Assumptions!$D$7,"Other Services"))),"Other Services"))</f>
        <v/>
      </c>
    </row>
    <row r="3492" customFormat="false" ht="15" hidden="false" customHeight="false" outlineLevel="0" collapsed="false">
      <c r="F3492" s="41" t="str">
        <f aca="false">IF(C3492="","",IFERROR(IF(ISNUMBER(SEARCH(Assumptions!$C$5,C3492)),Assumptions!$D$5,IF(ISNUMBER(SEARCH(Assumptions!$C$6,C3492)),Assumptions!$D$6,IF(ISNUMBER(SEARCH(Assumptions!$C$7,C3492)),Assumptions!$D$7,"Other Services"))),"Other Services"))</f>
        <v/>
      </c>
    </row>
    <row r="3493" customFormat="false" ht="15" hidden="false" customHeight="false" outlineLevel="0" collapsed="false">
      <c r="F3493" s="41" t="str">
        <f aca="false">IF(C3493="","",IFERROR(IF(ISNUMBER(SEARCH(Assumptions!$C$5,C3493)),Assumptions!$D$5,IF(ISNUMBER(SEARCH(Assumptions!$C$6,C3493)),Assumptions!$D$6,IF(ISNUMBER(SEARCH(Assumptions!$C$7,C3493)),Assumptions!$D$7,"Other Services"))),"Other Services"))</f>
        <v/>
      </c>
    </row>
    <row r="3494" customFormat="false" ht="15" hidden="false" customHeight="false" outlineLevel="0" collapsed="false">
      <c r="F3494" s="41" t="str">
        <f aca="false">IF(C3494="","",IFERROR(IF(ISNUMBER(SEARCH(Assumptions!$C$5,C3494)),Assumptions!$D$5,IF(ISNUMBER(SEARCH(Assumptions!$C$6,C3494)),Assumptions!$D$6,IF(ISNUMBER(SEARCH(Assumptions!$C$7,C3494)),Assumptions!$D$7,"Other Services"))),"Other Services"))</f>
        <v/>
      </c>
    </row>
    <row r="3495" customFormat="false" ht="15" hidden="false" customHeight="false" outlineLevel="0" collapsed="false">
      <c r="F3495" s="41" t="str">
        <f aca="false">IF(C3495="","",IFERROR(IF(ISNUMBER(SEARCH(Assumptions!$C$5,C3495)),Assumptions!$D$5,IF(ISNUMBER(SEARCH(Assumptions!$C$6,C3495)),Assumptions!$D$6,IF(ISNUMBER(SEARCH(Assumptions!$C$7,C3495)),Assumptions!$D$7,"Other Services"))),"Other Services"))</f>
        <v/>
      </c>
    </row>
    <row r="3496" customFormat="false" ht="15" hidden="false" customHeight="false" outlineLevel="0" collapsed="false">
      <c r="F3496" s="41" t="str">
        <f aca="false">IF(C3496="","",IFERROR(IF(ISNUMBER(SEARCH(Assumptions!$C$5,C3496)),Assumptions!$D$5,IF(ISNUMBER(SEARCH(Assumptions!$C$6,C3496)),Assumptions!$D$6,IF(ISNUMBER(SEARCH(Assumptions!$C$7,C3496)),Assumptions!$D$7,"Other Services"))),"Other Services"))</f>
        <v/>
      </c>
    </row>
    <row r="3497" customFormat="false" ht="15" hidden="false" customHeight="false" outlineLevel="0" collapsed="false">
      <c r="F3497" s="41" t="str">
        <f aca="false">IF(C3497="","",IFERROR(IF(ISNUMBER(SEARCH(Assumptions!$C$5,C3497)),Assumptions!$D$5,IF(ISNUMBER(SEARCH(Assumptions!$C$6,C3497)),Assumptions!$D$6,IF(ISNUMBER(SEARCH(Assumptions!$C$7,C3497)),Assumptions!$D$7,"Other Services"))),"Other Services"))</f>
        <v/>
      </c>
    </row>
    <row r="3498" customFormat="false" ht="15" hidden="false" customHeight="false" outlineLevel="0" collapsed="false">
      <c r="F3498" s="41" t="str">
        <f aca="false">IF(C3498="","",IFERROR(IF(ISNUMBER(SEARCH(Assumptions!$C$5,C3498)),Assumptions!$D$5,IF(ISNUMBER(SEARCH(Assumptions!$C$6,C3498)),Assumptions!$D$6,IF(ISNUMBER(SEARCH(Assumptions!$C$7,C3498)),Assumptions!$D$7,"Other Services"))),"Other Services"))</f>
        <v/>
      </c>
    </row>
    <row r="3499" customFormat="false" ht="15" hidden="false" customHeight="false" outlineLevel="0" collapsed="false">
      <c r="F3499" s="41" t="str">
        <f aca="false">IF(C3499="","",IFERROR(IF(ISNUMBER(SEARCH(Assumptions!$C$5,C3499)),Assumptions!$D$5,IF(ISNUMBER(SEARCH(Assumptions!$C$6,C3499)),Assumptions!$D$6,IF(ISNUMBER(SEARCH(Assumptions!$C$7,C3499)),Assumptions!$D$7,"Other Services"))),"Other Services"))</f>
        <v/>
      </c>
    </row>
    <row r="3500" customFormat="false" ht="15" hidden="false" customHeight="false" outlineLevel="0" collapsed="false">
      <c r="F3500" s="41" t="str">
        <f aca="false">IF(C3500="","",IFERROR(IF(ISNUMBER(SEARCH(Assumptions!$C$5,C3500)),Assumptions!$D$5,IF(ISNUMBER(SEARCH(Assumptions!$C$6,C3500)),Assumptions!$D$6,IF(ISNUMBER(SEARCH(Assumptions!$C$7,C3500)),Assumptions!$D$7,"Other Services"))),"Other Services"))</f>
        <v/>
      </c>
    </row>
    <row r="3501" customFormat="false" ht="15" hidden="false" customHeight="false" outlineLevel="0" collapsed="false">
      <c r="F3501" s="41" t="str">
        <f aca="false">IF(C3501="","",IFERROR(IF(ISNUMBER(SEARCH(Assumptions!$C$5,C3501)),Assumptions!$D$5,IF(ISNUMBER(SEARCH(Assumptions!$C$6,C3501)),Assumptions!$D$6,IF(ISNUMBER(SEARCH(Assumptions!$C$7,C3501)),Assumptions!$D$7,"Other Services"))),"Other Services"))</f>
        <v/>
      </c>
    </row>
    <row r="3502" customFormat="false" ht="15" hidden="false" customHeight="false" outlineLevel="0" collapsed="false">
      <c r="F3502" s="41" t="str">
        <f aca="false">IF(C3502="","",IFERROR(IF(ISNUMBER(SEARCH(Assumptions!$C$5,C3502)),Assumptions!$D$5,IF(ISNUMBER(SEARCH(Assumptions!$C$6,C3502)),Assumptions!$D$6,IF(ISNUMBER(SEARCH(Assumptions!$C$7,C3502)),Assumptions!$D$7,"Other Services"))),"Other Services"))</f>
        <v/>
      </c>
    </row>
    <row r="3503" customFormat="false" ht="15" hidden="false" customHeight="false" outlineLevel="0" collapsed="false">
      <c r="F3503" s="41" t="str">
        <f aca="false">IF(C3503="","",IFERROR(IF(ISNUMBER(SEARCH(Assumptions!$C$5,C3503)),Assumptions!$D$5,IF(ISNUMBER(SEARCH(Assumptions!$C$6,C3503)),Assumptions!$D$6,IF(ISNUMBER(SEARCH(Assumptions!$C$7,C3503)),Assumptions!$D$7,"Other Services"))),"Other Services"))</f>
        <v/>
      </c>
    </row>
    <row r="3504" customFormat="false" ht="15" hidden="false" customHeight="false" outlineLevel="0" collapsed="false">
      <c r="F3504" s="41" t="str">
        <f aca="false">IF(C3504="","",IFERROR(IF(ISNUMBER(SEARCH(Assumptions!$C$5,C3504)),Assumptions!$D$5,IF(ISNUMBER(SEARCH(Assumptions!$C$6,C3504)),Assumptions!$D$6,IF(ISNUMBER(SEARCH(Assumptions!$C$7,C3504)),Assumptions!$D$7,"Other Services"))),"Other Services"))</f>
        <v/>
      </c>
    </row>
    <row r="3505" customFormat="false" ht="15" hidden="false" customHeight="false" outlineLevel="0" collapsed="false">
      <c r="F3505" s="41" t="str">
        <f aca="false">IF(C3505="","",IFERROR(IF(ISNUMBER(SEARCH(Assumptions!$C$5,C3505)),Assumptions!$D$5,IF(ISNUMBER(SEARCH(Assumptions!$C$6,C3505)),Assumptions!$D$6,IF(ISNUMBER(SEARCH(Assumptions!$C$7,C3505)),Assumptions!$D$7,"Other Services"))),"Other Services"))</f>
        <v/>
      </c>
    </row>
    <row r="3506" customFormat="false" ht="15" hidden="false" customHeight="false" outlineLevel="0" collapsed="false">
      <c r="F3506" s="41" t="str">
        <f aca="false">IF(C3506="","",IFERROR(IF(ISNUMBER(SEARCH(Assumptions!$C$5,C3506)),Assumptions!$D$5,IF(ISNUMBER(SEARCH(Assumptions!$C$6,C3506)),Assumptions!$D$6,IF(ISNUMBER(SEARCH(Assumptions!$C$7,C3506)),Assumptions!$D$7,"Other Services"))),"Other Services"))</f>
        <v/>
      </c>
    </row>
    <row r="3507" customFormat="false" ht="15" hidden="false" customHeight="false" outlineLevel="0" collapsed="false">
      <c r="F3507" s="41" t="str">
        <f aca="false">IF(C3507="","",IFERROR(IF(ISNUMBER(SEARCH(Assumptions!$C$5,C3507)),Assumptions!$D$5,IF(ISNUMBER(SEARCH(Assumptions!$C$6,C3507)),Assumptions!$D$6,IF(ISNUMBER(SEARCH(Assumptions!$C$7,C3507)),Assumptions!$D$7,"Other Services"))),"Other Services"))</f>
        <v/>
      </c>
    </row>
    <row r="3508" customFormat="false" ht="15" hidden="false" customHeight="false" outlineLevel="0" collapsed="false">
      <c r="F3508" s="41" t="str">
        <f aca="false">IF(C3508="","",IFERROR(IF(ISNUMBER(SEARCH(Assumptions!$C$5,C3508)),Assumptions!$D$5,IF(ISNUMBER(SEARCH(Assumptions!$C$6,C3508)),Assumptions!$D$6,IF(ISNUMBER(SEARCH(Assumptions!$C$7,C3508)),Assumptions!$D$7,"Other Services"))),"Other Services"))</f>
        <v/>
      </c>
    </row>
    <row r="3509" customFormat="false" ht="15" hidden="false" customHeight="false" outlineLevel="0" collapsed="false">
      <c r="F3509" s="41" t="str">
        <f aca="false">IF(C3509="","",IFERROR(IF(ISNUMBER(SEARCH(Assumptions!$C$5,C3509)),Assumptions!$D$5,IF(ISNUMBER(SEARCH(Assumptions!$C$6,C3509)),Assumptions!$D$6,IF(ISNUMBER(SEARCH(Assumptions!$C$7,C3509)),Assumptions!$D$7,"Other Services"))),"Other Services"))</f>
        <v/>
      </c>
    </row>
    <row r="3510" customFormat="false" ht="15" hidden="false" customHeight="false" outlineLevel="0" collapsed="false">
      <c r="F3510" s="41" t="str">
        <f aca="false">IF(C3510="","",IFERROR(IF(ISNUMBER(SEARCH(Assumptions!$C$5,C3510)),Assumptions!$D$5,IF(ISNUMBER(SEARCH(Assumptions!$C$6,C3510)),Assumptions!$D$6,IF(ISNUMBER(SEARCH(Assumptions!$C$7,C3510)),Assumptions!$D$7,"Other Services"))),"Other Services"))</f>
        <v/>
      </c>
    </row>
    <row r="3511" customFormat="false" ht="15" hidden="false" customHeight="false" outlineLevel="0" collapsed="false">
      <c r="F3511" s="41" t="str">
        <f aca="false">IF(C3511="","",IFERROR(IF(ISNUMBER(SEARCH(Assumptions!$C$5,C3511)),Assumptions!$D$5,IF(ISNUMBER(SEARCH(Assumptions!$C$6,C3511)),Assumptions!$D$6,IF(ISNUMBER(SEARCH(Assumptions!$C$7,C3511)),Assumptions!$D$7,"Other Services"))),"Other Services"))</f>
        <v/>
      </c>
    </row>
    <row r="3512" customFormat="false" ht="15" hidden="false" customHeight="false" outlineLevel="0" collapsed="false">
      <c r="F3512" s="41" t="str">
        <f aca="false">IF(C3512="","",IFERROR(IF(ISNUMBER(SEARCH(Assumptions!$C$5,C3512)),Assumptions!$D$5,IF(ISNUMBER(SEARCH(Assumptions!$C$6,C3512)),Assumptions!$D$6,IF(ISNUMBER(SEARCH(Assumptions!$C$7,C3512)),Assumptions!$D$7,"Other Services"))),"Other Services"))</f>
        <v/>
      </c>
    </row>
    <row r="3513" customFormat="false" ht="15" hidden="false" customHeight="false" outlineLevel="0" collapsed="false">
      <c r="F3513" s="41" t="str">
        <f aca="false">IF(C3513="","",IFERROR(IF(ISNUMBER(SEARCH(Assumptions!$C$5,C3513)),Assumptions!$D$5,IF(ISNUMBER(SEARCH(Assumptions!$C$6,C3513)),Assumptions!$D$6,IF(ISNUMBER(SEARCH(Assumptions!$C$7,C3513)),Assumptions!$D$7,"Other Services"))),"Other Services"))</f>
        <v/>
      </c>
    </row>
    <row r="3514" customFormat="false" ht="15" hidden="false" customHeight="false" outlineLevel="0" collapsed="false">
      <c r="F3514" s="41" t="str">
        <f aca="false">IF(C3514="","",IFERROR(IF(ISNUMBER(SEARCH(Assumptions!$C$5,C3514)),Assumptions!$D$5,IF(ISNUMBER(SEARCH(Assumptions!$C$6,C3514)),Assumptions!$D$6,IF(ISNUMBER(SEARCH(Assumptions!$C$7,C3514)),Assumptions!$D$7,"Other Services"))),"Other Services"))</f>
        <v/>
      </c>
    </row>
    <row r="3515" customFormat="false" ht="15" hidden="false" customHeight="false" outlineLevel="0" collapsed="false">
      <c r="F3515" s="41" t="str">
        <f aca="false">IF(C3515="","",IFERROR(IF(ISNUMBER(SEARCH(Assumptions!$C$5,C3515)),Assumptions!$D$5,IF(ISNUMBER(SEARCH(Assumptions!$C$6,C3515)),Assumptions!$D$6,IF(ISNUMBER(SEARCH(Assumptions!$C$7,C3515)),Assumptions!$D$7,"Other Services"))),"Other Services"))</f>
        <v/>
      </c>
    </row>
    <row r="3516" customFormat="false" ht="15" hidden="false" customHeight="false" outlineLevel="0" collapsed="false">
      <c r="F3516" s="41" t="str">
        <f aca="false">IF(C3516="","",IFERROR(IF(ISNUMBER(SEARCH(Assumptions!$C$5,C3516)),Assumptions!$D$5,IF(ISNUMBER(SEARCH(Assumptions!$C$6,C3516)),Assumptions!$D$6,IF(ISNUMBER(SEARCH(Assumptions!$C$7,C3516)),Assumptions!$D$7,"Other Services"))),"Other Services"))</f>
        <v/>
      </c>
    </row>
    <row r="3517" customFormat="false" ht="15" hidden="false" customHeight="false" outlineLevel="0" collapsed="false">
      <c r="F3517" s="41" t="str">
        <f aca="false">IF(C3517="","",IFERROR(IF(ISNUMBER(SEARCH(Assumptions!$C$5,C3517)),Assumptions!$D$5,IF(ISNUMBER(SEARCH(Assumptions!$C$6,C3517)),Assumptions!$D$6,IF(ISNUMBER(SEARCH(Assumptions!$C$7,C3517)),Assumptions!$D$7,"Other Services"))),"Other Services"))</f>
        <v/>
      </c>
    </row>
    <row r="3518" customFormat="false" ht="15" hidden="false" customHeight="false" outlineLevel="0" collapsed="false">
      <c r="F3518" s="41" t="str">
        <f aca="false">IF(C3518="","",IFERROR(IF(ISNUMBER(SEARCH(Assumptions!$C$5,C3518)),Assumptions!$D$5,IF(ISNUMBER(SEARCH(Assumptions!$C$6,C3518)),Assumptions!$D$6,IF(ISNUMBER(SEARCH(Assumptions!$C$7,C3518)),Assumptions!$D$7,"Other Services"))),"Other Services"))</f>
        <v/>
      </c>
    </row>
    <row r="3519" customFormat="false" ht="15" hidden="false" customHeight="false" outlineLevel="0" collapsed="false">
      <c r="F3519" s="41" t="str">
        <f aca="false">IF(C3519="","",IFERROR(IF(ISNUMBER(SEARCH(Assumptions!$C$5,C3519)),Assumptions!$D$5,IF(ISNUMBER(SEARCH(Assumptions!$C$6,C3519)),Assumptions!$D$6,IF(ISNUMBER(SEARCH(Assumptions!$C$7,C3519)),Assumptions!$D$7,"Other Services"))),"Other Services"))</f>
        <v/>
      </c>
    </row>
    <row r="3520" customFormat="false" ht="15" hidden="false" customHeight="false" outlineLevel="0" collapsed="false">
      <c r="F3520" s="41" t="str">
        <f aca="false">IF(C3520="","",IFERROR(IF(ISNUMBER(SEARCH(Assumptions!$C$5,C3520)),Assumptions!$D$5,IF(ISNUMBER(SEARCH(Assumptions!$C$6,C3520)),Assumptions!$D$6,IF(ISNUMBER(SEARCH(Assumptions!$C$7,C3520)),Assumptions!$D$7,"Other Services"))),"Other Services"))</f>
        <v/>
      </c>
    </row>
    <row r="3521" customFormat="false" ht="15" hidden="false" customHeight="false" outlineLevel="0" collapsed="false">
      <c r="F3521" s="41" t="str">
        <f aca="false">IF(C3521="","",IFERROR(IF(ISNUMBER(SEARCH(Assumptions!$C$5,C3521)),Assumptions!$D$5,IF(ISNUMBER(SEARCH(Assumptions!$C$6,C3521)),Assumptions!$D$6,IF(ISNUMBER(SEARCH(Assumptions!$C$7,C3521)),Assumptions!$D$7,"Other Services"))),"Other Services"))</f>
        <v/>
      </c>
    </row>
    <row r="3522" customFormat="false" ht="15" hidden="false" customHeight="false" outlineLevel="0" collapsed="false">
      <c r="F3522" s="41" t="str">
        <f aca="false">IF(C3522="","",IFERROR(IF(ISNUMBER(SEARCH(Assumptions!$C$5,C3522)),Assumptions!$D$5,IF(ISNUMBER(SEARCH(Assumptions!$C$6,C3522)),Assumptions!$D$6,IF(ISNUMBER(SEARCH(Assumptions!$C$7,C3522)),Assumptions!$D$7,"Other Services"))),"Other Services"))</f>
        <v/>
      </c>
    </row>
    <row r="3523" customFormat="false" ht="15" hidden="false" customHeight="false" outlineLevel="0" collapsed="false">
      <c r="F3523" s="41" t="str">
        <f aca="false">IF(C3523="","",IFERROR(IF(ISNUMBER(SEARCH(Assumptions!$C$5,C3523)),Assumptions!$D$5,IF(ISNUMBER(SEARCH(Assumptions!$C$6,C3523)),Assumptions!$D$6,IF(ISNUMBER(SEARCH(Assumptions!$C$7,C3523)),Assumptions!$D$7,"Other Services"))),"Other Services"))</f>
        <v/>
      </c>
    </row>
    <row r="3524" customFormat="false" ht="15" hidden="false" customHeight="false" outlineLevel="0" collapsed="false">
      <c r="F3524" s="41" t="str">
        <f aca="false">IF(C3524="","",IFERROR(IF(ISNUMBER(SEARCH(Assumptions!$C$5,C3524)),Assumptions!$D$5,IF(ISNUMBER(SEARCH(Assumptions!$C$6,C3524)),Assumptions!$D$6,IF(ISNUMBER(SEARCH(Assumptions!$C$7,C3524)),Assumptions!$D$7,"Other Services"))),"Other Services"))</f>
        <v/>
      </c>
    </row>
    <row r="3525" customFormat="false" ht="15" hidden="false" customHeight="false" outlineLevel="0" collapsed="false">
      <c r="F3525" s="41" t="str">
        <f aca="false">IF(C3525="","",IFERROR(IF(ISNUMBER(SEARCH(Assumptions!$C$5,C3525)),Assumptions!$D$5,IF(ISNUMBER(SEARCH(Assumptions!$C$6,C3525)),Assumptions!$D$6,IF(ISNUMBER(SEARCH(Assumptions!$C$7,C3525)),Assumptions!$D$7,"Other Services"))),"Other Services"))</f>
        <v/>
      </c>
    </row>
    <row r="3526" customFormat="false" ht="15" hidden="false" customHeight="false" outlineLevel="0" collapsed="false">
      <c r="F3526" s="41" t="str">
        <f aca="false">IF(C3526="","",IFERROR(IF(ISNUMBER(SEARCH(Assumptions!$C$5,C3526)),Assumptions!$D$5,IF(ISNUMBER(SEARCH(Assumptions!$C$6,C3526)),Assumptions!$D$6,IF(ISNUMBER(SEARCH(Assumptions!$C$7,C3526)),Assumptions!$D$7,"Other Services"))),"Other Services"))</f>
        <v/>
      </c>
    </row>
    <row r="3527" customFormat="false" ht="15" hidden="false" customHeight="false" outlineLevel="0" collapsed="false">
      <c r="F3527" s="41" t="str">
        <f aca="false">IF(C3527="","",IFERROR(IF(ISNUMBER(SEARCH(Assumptions!$C$5,C3527)),Assumptions!$D$5,IF(ISNUMBER(SEARCH(Assumptions!$C$6,C3527)),Assumptions!$D$6,IF(ISNUMBER(SEARCH(Assumptions!$C$7,C3527)),Assumptions!$D$7,"Other Services"))),"Other Services"))</f>
        <v/>
      </c>
    </row>
    <row r="3528" customFormat="false" ht="15" hidden="false" customHeight="false" outlineLevel="0" collapsed="false">
      <c r="F3528" s="41" t="str">
        <f aca="false">IF(C3528="","",IFERROR(IF(ISNUMBER(SEARCH(Assumptions!$C$5,C3528)),Assumptions!$D$5,IF(ISNUMBER(SEARCH(Assumptions!$C$6,C3528)),Assumptions!$D$6,IF(ISNUMBER(SEARCH(Assumptions!$C$7,C3528)),Assumptions!$D$7,"Other Services"))),"Other Services"))</f>
        <v/>
      </c>
    </row>
    <row r="3529" customFormat="false" ht="15" hidden="false" customHeight="false" outlineLevel="0" collapsed="false">
      <c r="F3529" s="41" t="str">
        <f aca="false">IF(C3529="","",IFERROR(IF(ISNUMBER(SEARCH(Assumptions!$C$5,C3529)),Assumptions!$D$5,IF(ISNUMBER(SEARCH(Assumptions!$C$6,C3529)),Assumptions!$D$6,IF(ISNUMBER(SEARCH(Assumptions!$C$7,C3529)),Assumptions!$D$7,"Other Services"))),"Other Services"))</f>
        <v/>
      </c>
    </row>
    <row r="3530" customFormat="false" ht="15" hidden="false" customHeight="false" outlineLevel="0" collapsed="false">
      <c r="F3530" s="41" t="str">
        <f aca="false">IF(C3530="","",IFERROR(IF(ISNUMBER(SEARCH(Assumptions!$C$5,C3530)),Assumptions!$D$5,IF(ISNUMBER(SEARCH(Assumptions!$C$6,C3530)),Assumptions!$D$6,IF(ISNUMBER(SEARCH(Assumptions!$C$7,C3530)),Assumptions!$D$7,"Other Services"))),"Other Services"))</f>
        <v/>
      </c>
    </row>
    <row r="3531" customFormat="false" ht="15" hidden="false" customHeight="false" outlineLevel="0" collapsed="false">
      <c r="F3531" s="41" t="str">
        <f aca="false">IF(C3531="","",IFERROR(IF(ISNUMBER(SEARCH(Assumptions!$C$5,C3531)),Assumptions!$D$5,IF(ISNUMBER(SEARCH(Assumptions!$C$6,C3531)),Assumptions!$D$6,IF(ISNUMBER(SEARCH(Assumptions!$C$7,C3531)),Assumptions!$D$7,"Other Services"))),"Other Services"))</f>
        <v/>
      </c>
    </row>
    <row r="3532" customFormat="false" ht="15" hidden="false" customHeight="false" outlineLevel="0" collapsed="false">
      <c r="F3532" s="41" t="str">
        <f aca="false">IF(C3532="","",IFERROR(IF(ISNUMBER(SEARCH(Assumptions!$C$5,C3532)),Assumptions!$D$5,IF(ISNUMBER(SEARCH(Assumptions!$C$6,C3532)),Assumptions!$D$6,IF(ISNUMBER(SEARCH(Assumptions!$C$7,C3532)),Assumptions!$D$7,"Other Services"))),"Other Services"))</f>
        <v/>
      </c>
    </row>
    <row r="3533" customFormat="false" ht="15" hidden="false" customHeight="false" outlineLevel="0" collapsed="false">
      <c r="F3533" s="41" t="str">
        <f aca="false">IF(C3533="","",IFERROR(IF(ISNUMBER(SEARCH(Assumptions!$C$5,C3533)),Assumptions!$D$5,IF(ISNUMBER(SEARCH(Assumptions!$C$6,C3533)),Assumptions!$D$6,IF(ISNUMBER(SEARCH(Assumptions!$C$7,C3533)),Assumptions!$D$7,"Other Services"))),"Other Services"))</f>
        <v/>
      </c>
    </row>
    <row r="3534" customFormat="false" ht="15" hidden="false" customHeight="false" outlineLevel="0" collapsed="false">
      <c r="F3534" s="41" t="str">
        <f aca="false">IF(C3534="","",IFERROR(IF(ISNUMBER(SEARCH(Assumptions!$C$5,C3534)),Assumptions!$D$5,IF(ISNUMBER(SEARCH(Assumptions!$C$6,C3534)),Assumptions!$D$6,IF(ISNUMBER(SEARCH(Assumptions!$C$7,C3534)),Assumptions!$D$7,"Other Services"))),"Other Services"))</f>
        <v/>
      </c>
    </row>
    <row r="3535" customFormat="false" ht="15" hidden="false" customHeight="false" outlineLevel="0" collapsed="false">
      <c r="F3535" s="41" t="str">
        <f aca="false">IF(C3535="","",IFERROR(IF(ISNUMBER(SEARCH(Assumptions!$C$5,C3535)),Assumptions!$D$5,IF(ISNUMBER(SEARCH(Assumptions!$C$6,C3535)),Assumptions!$D$6,IF(ISNUMBER(SEARCH(Assumptions!$C$7,C3535)),Assumptions!$D$7,"Other Services"))),"Other Services"))</f>
        <v/>
      </c>
    </row>
    <row r="3536" customFormat="false" ht="15" hidden="false" customHeight="false" outlineLevel="0" collapsed="false">
      <c r="F3536" s="41" t="str">
        <f aca="false">IF(C3536="","",IFERROR(IF(ISNUMBER(SEARCH(Assumptions!$C$5,C3536)),Assumptions!$D$5,IF(ISNUMBER(SEARCH(Assumptions!$C$6,C3536)),Assumptions!$D$6,IF(ISNUMBER(SEARCH(Assumptions!$C$7,C3536)),Assumptions!$D$7,"Other Services"))),"Other Services"))</f>
        <v/>
      </c>
    </row>
    <row r="3537" customFormat="false" ht="15" hidden="false" customHeight="false" outlineLevel="0" collapsed="false">
      <c r="F3537" s="41" t="str">
        <f aca="false">IF(C3537="","",IFERROR(IF(ISNUMBER(SEARCH(Assumptions!$C$5,C3537)),Assumptions!$D$5,IF(ISNUMBER(SEARCH(Assumptions!$C$6,C3537)),Assumptions!$D$6,IF(ISNUMBER(SEARCH(Assumptions!$C$7,C3537)),Assumptions!$D$7,"Other Services"))),"Other Services"))</f>
        <v/>
      </c>
    </row>
    <row r="3538" customFormat="false" ht="15" hidden="false" customHeight="false" outlineLevel="0" collapsed="false">
      <c r="F3538" s="41" t="str">
        <f aca="false">IF(C3538="","",IFERROR(IF(ISNUMBER(SEARCH(Assumptions!$C$5,C3538)),Assumptions!$D$5,IF(ISNUMBER(SEARCH(Assumptions!$C$6,C3538)),Assumptions!$D$6,IF(ISNUMBER(SEARCH(Assumptions!$C$7,C3538)),Assumptions!$D$7,"Other Services"))),"Other Services"))</f>
        <v/>
      </c>
    </row>
    <row r="3539" customFormat="false" ht="15" hidden="false" customHeight="false" outlineLevel="0" collapsed="false">
      <c r="F3539" s="41" t="str">
        <f aca="false">IF(C3539="","",IFERROR(IF(ISNUMBER(SEARCH(Assumptions!$C$5,C3539)),Assumptions!$D$5,IF(ISNUMBER(SEARCH(Assumptions!$C$6,C3539)),Assumptions!$D$6,IF(ISNUMBER(SEARCH(Assumptions!$C$7,C3539)),Assumptions!$D$7,"Other Services"))),"Other Services"))</f>
        <v/>
      </c>
    </row>
    <row r="3540" customFormat="false" ht="15" hidden="false" customHeight="false" outlineLevel="0" collapsed="false">
      <c r="F3540" s="41" t="str">
        <f aca="false">IF(C3540="","",IFERROR(IF(ISNUMBER(SEARCH(Assumptions!$C$5,C3540)),Assumptions!$D$5,IF(ISNUMBER(SEARCH(Assumptions!$C$6,C3540)),Assumptions!$D$6,IF(ISNUMBER(SEARCH(Assumptions!$C$7,C3540)),Assumptions!$D$7,"Other Services"))),"Other Services"))</f>
        <v/>
      </c>
    </row>
    <row r="3541" customFormat="false" ht="15" hidden="false" customHeight="false" outlineLevel="0" collapsed="false">
      <c r="F3541" s="41" t="str">
        <f aca="false">IF(C3541="","",IFERROR(IF(ISNUMBER(SEARCH(Assumptions!$C$5,C3541)),Assumptions!$D$5,IF(ISNUMBER(SEARCH(Assumptions!$C$6,C3541)),Assumptions!$D$6,IF(ISNUMBER(SEARCH(Assumptions!$C$7,C3541)),Assumptions!$D$7,"Other Services"))),"Other Services"))</f>
        <v/>
      </c>
    </row>
    <row r="3542" customFormat="false" ht="15" hidden="false" customHeight="false" outlineLevel="0" collapsed="false">
      <c r="F3542" s="41" t="str">
        <f aca="false">IF(C3542="","",IFERROR(IF(ISNUMBER(SEARCH(Assumptions!$C$5,C3542)),Assumptions!$D$5,IF(ISNUMBER(SEARCH(Assumptions!$C$6,C3542)),Assumptions!$D$6,IF(ISNUMBER(SEARCH(Assumptions!$C$7,C3542)),Assumptions!$D$7,"Other Services"))),"Other Services"))</f>
        <v/>
      </c>
    </row>
    <row r="3543" customFormat="false" ht="15" hidden="false" customHeight="false" outlineLevel="0" collapsed="false">
      <c r="F3543" s="41" t="str">
        <f aca="false">IF(C3543="","",IFERROR(IF(ISNUMBER(SEARCH(Assumptions!$C$5,C3543)),Assumptions!$D$5,IF(ISNUMBER(SEARCH(Assumptions!$C$6,C3543)),Assumptions!$D$6,IF(ISNUMBER(SEARCH(Assumptions!$C$7,C3543)),Assumptions!$D$7,"Other Services"))),"Other Services"))</f>
        <v/>
      </c>
    </row>
    <row r="3544" customFormat="false" ht="15" hidden="false" customHeight="false" outlineLevel="0" collapsed="false">
      <c r="F3544" s="41" t="str">
        <f aca="false">IF(C3544="","",IFERROR(IF(ISNUMBER(SEARCH(Assumptions!$C$5,C3544)),Assumptions!$D$5,IF(ISNUMBER(SEARCH(Assumptions!$C$6,C3544)),Assumptions!$D$6,IF(ISNUMBER(SEARCH(Assumptions!$C$7,C3544)),Assumptions!$D$7,"Other Services"))),"Other Services"))</f>
        <v/>
      </c>
    </row>
    <row r="3545" customFormat="false" ht="15" hidden="false" customHeight="false" outlineLevel="0" collapsed="false">
      <c r="F3545" s="41" t="str">
        <f aca="false">IF(C3545="","",IFERROR(IF(ISNUMBER(SEARCH(Assumptions!$C$5,C3545)),Assumptions!$D$5,IF(ISNUMBER(SEARCH(Assumptions!$C$6,C3545)),Assumptions!$D$6,IF(ISNUMBER(SEARCH(Assumptions!$C$7,C3545)),Assumptions!$D$7,"Other Services"))),"Other Services"))</f>
        <v/>
      </c>
    </row>
    <row r="3546" customFormat="false" ht="15" hidden="false" customHeight="false" outlineLevel="0" collapsed="false">
      <c r="F3546" s="41" t="str">
        <f aca="false">IF(C3546="","",IFERROR(IF(ISNUMBER(SEARCH(Assumptions!$C$5,C3546)),Assumptions!$D$5,IF(ISNUMBER(SEARCH(Assumptions!$C$6,C3546)),Assumptions!$D$6,IF(ISNUMBER(SEARCH(Assumptions!$C$7,C3546)),Assumptions!$D$7,"Other Services"))),"Other Services"))</f>
        <v/>
      </c>
    </row>
    <row r="3547" customFormat="false" ht="15" hidden="false" customHeight="false" outlineLevel="0" collapsed="false">
      <c r="F3547" s="41" t="str">
        <f aca="false">IF(C3547="","",IFERROR(IF(ISNUMBER(SEARCH(Assumptions!$C$5,C3547)),Assumptions!$D$5,IF(ISNUMBER(SEARCH(Assumptions!$C$6,C3547)),Assumptions!$D$6,IF(ISNUMBER(SEARCH(Assumptions!$C$7,C3547)),Assumptions!$D$7,"Other Services"))),"Other Services"))</f>
        <v/>
      </c>
    </row>
    <row r="3548" customFormat="false" ht="15" hidden="false" customHeight="false" outlineLevel="0" collapsed="false">
      <c r="F3548" s="41" t="str">
        <f aca="false">IF(C3548="","",IFERROR(IF(ISNUMBER(SEARCH(Assumptions!$C$5,C3548)),Assumptions!$D$5,IF(ISNUMBER(SEARCH(Assumptions!$C$6,C3548)),Assumptions!$D$6,IF(ISNUMBER(SEARCH(Assumptions!$C$7,C3548)),Assumptions!$D$7,"Other Services"))),"Other Services"))</f>
        <v/>
      </c>
    </row>
    <row r="3549" customFormat="false" ht="15" hidden="false" customHeight="false" outlineLevel="0" collapsed="false">
      <c r="F3549" s="41" t="str">
        <f aca="false">IF(C3549="","",IFERROR(IF(ISNUMBER(SEARCH(Assumptions!$C$5,C3549)),Assumptions!$D$5,IF(ISNUMBER(SEARCH(Assumptions!$C$6,C3549)),Assumptions!$D$6,IF(ISNUMBER(SEARCH(Assumptions!$C$7,C3549)),Assumptions!$D$7,"Other Services"))),"Other Services"))</f>
        <v/>
      </c>
    </row>
    <row r="3550" customFormat="false" ht="15" hidden="false" customHeight="false" outlineLevel="0" collapsed="false">
      <c r="F3550" s="41" t="str">
        <f aca="false">IF(C3550="","",IFERROR(IF(ISNUMBER(SEARCH(Assumptions!$C$5,C3550)),Assumptions!$D$5,IF(ISNUMBER(SEARCH(Assumptions!$C$6,C3550)),Assumptions!$D$6,IF(ISNUMBER(SEARCH(Assumptions!$C$7,C3550)),Assumptions!$D$7,"Other Services"))),"Other Services"))</f>
        <v/>
      </c>
    </row>
    <row r="3551" customFormat="false" ht="15" hidden="false" customHeight="false" outlineLevel="0" collapsed="false">
      <c r="F3551" s="41" t="str">
        <f aca="false">IF(C3551="","",IFERROR(IF(ISNUMBER(SEARCH(Assumptions!$C$5,C3551)),Assumptions!$D$5,IF(ISNUMBER(SEARCH(Assumptions!$C$6,C3551)),Assumptions!$D$6,IF(ISNUMBER(SEARCH(Assumptions!$C$7,C3551)),Assumptions!$D$7,"Other Services"))),"Other Services"))</f>
        <v/>
      </c>
    </row>
    <row r="3552" customFormat="false" ht="15" hidden="false" customHeight="false" outlineLevel="0" collapsed="false">
      <c r="F3552" s="41" t="str">
        <f aca="false">IF(C3552="","",IFERROR(IF(ISNUMBER(SEARCH(Assumptions!$C$5,C3552)),Assumptions!$D$5,IF(ISNUMBER(SEARCH(Assumptions!$C$6,C3552)),Assumptions!$D$6,IF(ISNUMBER(SEARCH(Assumptions!$C$7,C3552)),Assumptions!$D$7,"Other Services"))),"Other Services"))</f>
        <v/>
      </c>
    </row>
    <row r="3553" customFormat="false" ht="15" hidden="false" customHeight="false" outlineLevel="0" collapsed="false">
      <c r="F3553" s="41" t="str">
        <f aca="false">IF(C3553="","",IFERROR(IF(ISNUMBER(SEARCH(Assumptions!$C$5,C3553)),Assumptions!$D$5,IF(ISNUMBER(SEARCH(Assumptions!$C$6,C3553)),Assumptions!$D$6,IF(ISNUMBER(SEARCH(Assumptions!$C$7,C3553)),Assumptions!$D$7,"Other Services"))),"Other Services"))</f>
        <v/>
      </c>
    </row>
    <row r="3554" customFormat="false" ht="15" hidden="false" customHeight="false" outlineLevel="0" collapsed="false">
      <c r="F3554" s="41" t="str">
        <f aca="false">IF(C3554="","",IFERROR(IF(ISNUMBER(SEARCH(Assumptions!$C$5,C3554)),Assumptions!$D$5,IF(ISNUMBER(SEARCH(Assumptions!$C$6,C3554)),Assumptions!$D$6,IF(ISNUMBER(SEARCH(Assumptions!$C$7,C3554)),Assumptions!$D$7,"Other Services"))),"Other Services"))</f>
        <v/>
      </c>
    </row>
    <row r="3555" customFormat="false" ht="15" hidden="false" customHeight="false" outlineLevel="0" collapsed="false">
      <c r="F3555" s="41" t="str">
        <f aca="false">IF(C3555="","",IFERROR(IF(ISNUMBER(SEARCH(Assumptions!$C$5,C3555)),Assumptions!$D$5,IF(ISNUMBER(SEARCH(Assumptions!$C$6,C3555)),Assumptions!$D$6,IF(ISNUMBER(SEARCH(Assumptions!$C$7,C3555)),Assumptions!$D$7,"Other Services"))),"Other Services"))</f>
        <v/>
      </c>
    </row>
    <row r="3556" customFormat="false" ht="15" hidden="false" customHeight="false" outlineLevel="0" collapsed="false">
      <c r="F3556" s="41" t="str">
        <f aca="false">IF(C3556="","",IFERROR(IF(ISNUMBER(SEARCH(Assumptions!$C$5,C3556)),Assumptions!$D$5,IF(ISNUMBER(SEARCH(Assumptions!$C$6,C3556)),Assumptions!$D$6,IF(ISNUMBER(SEARCH(Assumptions!$C$7,C3556)),Assumptions!$D$7,"Other Services"))),"Other Services"))</f>
        <v/>
      </c>
    </row>
    <row r="3557" customFormat="false" ht="15" hidden="false" customHeight="false" outlineLevel="0" collapsed="false">
      <c r="F3557" s="41" t="str">
        <f aca="false">IF(C3557="","",IFERROR(IF(ISNUMBER(SEARCH(Assumptions!$C$5,C3557)),Assumptions!$D$5,IF(ISNUMBER(SEARCH(Assumptions!$C$6,C3557)),Assumptions!$D$6,IF(ISNUMBER(SEARCH(Assumptions!$C$7,C3557)),Assumptions!$D$7,"Other Services"))),"Other Services"))</f>
        <v/>
      </c>
    </row>
    <row r="3558" customFormat="false" ht="15" hidden="false" customHeight="false" outlineLevel="0" collapsed="false">
      <c r="F3558" s="41" t="str">
        <f aca="false">IF(C3558="","",IFERROR(IF(ISNUMBER(SEARCH(Assumptions!$C$5,C3558)),Assumptions!$D$5,IF(ISNUMBER(SEARCH(Assumptions!$C$6,C3558)),Assumptions!$D$6,IF(ISNUMBER(SEARCH(Assumptions!$C$7,C3558)),Assumptions!$D$7,"Other Services"))),"Other Services"))</f>
        <v/>
      </c>
    </row>
    <row r="3559" customFormat="false" ht="15" hidden="false" customHeight="false" outlineLevel="0" collapsed="false">
      <c r="F3559" s="41" t="str">
        <f aca="false">IF(C3559="","",IFERROR(IF(ISNUMBER(SEARCH(Assumptions!$C$5,C3559)),Assumptions!$D$5,IF(ISNUMBER(SEARCH(Assumptions!$C$6,C3559)),Assumptions!$D$6,IF(ISNUMBER(SEARCH(Assumptions!$C$7,C3559)),Assumptions!$D$7,"Other Services"))),"Other Services"))</f>
        <v/>
      </c>
    </row>
    <row r="3560" customFormat="false" ht="15" hidden="false" customHeight="false" outlineLevel="0" collapsed="false">
      <c r="F3560" s="41" t="str">
        <f aca="false">IF(C3560="","",IFERROR(IF(ISNUMBER(SEARCH(Assumptions!$C$5,C3560)),Assumptions!$D$5,IF(ISNUMBER(SEARCH(Assumptions!$C$6,C3560)),Assumptions!$D$6,IF(ISNUMBER(SEARCH(Assumptions!$C$7,C3560)),Assumptions!$D$7,"Other Services"))),"Other Services"))</f>
        <v/>
      </c>
    </row>
    <row r="3561" customFormat="false" ht="15" hidden="false" customHeight="false" outlineLevel="0" collapsed="false">
      <c r="F3561" s="41" t="str">
        <f aca="false">IF(C3561="","",IFERROR(IF(ISNUMBER(SEARCH(Assumptions!$C$5,C3561)),Assumptions!$D$5,IF(ISNUMBER(SEARCH(Assumptions!$C$6,C3561)),Assumptions!$D$6,IF(ISNUMBER(SEARCH(Assumptions!$C$7,C3561)),Assumptions!$D$7,"Other Services"))),"Other Services"))</f>
        <v/>
      </c>
    </row>
    <row r="3562" customFormat="false" ht="15" hidden="false" customHeight="false" outlineLevel="0" collapsed="false">
      <c r="F3562" s="41" t="str">
        <f aca="false">IF(C3562="","",IFERROR(IF(ISNUMBER(SEARCH(Assumptions!$C$5,C3562)),Assumptions!$D$5,IF(ISNUMBER(SEARCH(Assumptions!$C$6,C3562)),Assumptions!$D$6,IF(ISNUMBER(SEARCH(Assumptions!$C$7,C3562)),Assumptions!$D$7,"Other Services"))),"Other Services"))</f>
        <v/>
      </c>
    </row>
    <row r="3563" customFormat="false" ht="15" hidden="false" customHeight="false" outlineLevel="0" collapsed="false">
      <c r="F3563" s="41" t="str">
        <f aca="false">IF(C3563="","",IFERROR(IF(ISNUMBER(SEARCH(Assumptions!$C$5,C3563)),Assumptions!$D$5,IF(ISNUMBER(SEARCH(Assumptions!$C$6,C3563)),Assumptions!$D$6,IF(ISNUMBER(SEARCH(Assumptions!$C$7,C3563)),Assumptions!$D$7,"Other Services"))),"Other Services"))</f>
        <v/>
      </c>
    </row>
    <row r="3564" customFormat="false" ht="15" hidden="false" customHeight="false" outlineLevel="0" collapsed="false">
      <c r="F3564" s="41" t="str">
        <f aca="false">IF(C3564="","",IFERROR(IF(ISNUMBER(SEARCH(Assumptions!$C$5,C3564)),Assumptions!$D$5,IF(ISNUMBER(SEARCH(Assumptions!$C$6,C3564)),Assumptions!$D$6,IF(ISNUMBER(SEARCH(Assumptions!$C$7,C3564)),Assumptions!$D$7,"Other Services"))),"Other Services"))</f>
        <v/>
      </c>
    </row>
    <row r="3565" customFormat="false" ht="15" hidden="false" customHeight="false" outlineLevel="0" collapsed="false">
      <c r="F3565" s="41" t="str">
        <f aca="false">IF(C3565="","",IFERROR(IF(ISNUMBER(SEARCH(Assumptions!$C$5,C3565)),Assumptions!$D$5,IF(ISNUMBER(SEARCH(Assumptions!$C$6,C3565)),Assumptions!$D$6,IF(ISNUMBER(SEARCH(Assumptions!$C$7,C3565)),Assumptions!$D$7,"Other Services"))),"Other Services"))</f>
        <v/>
      </c>
    </row>
    <row r="3566" customFormat="false" ht="15" hidden="false" customHeight="false" outlineLevel="0" collapsed="false">
      <c r="F3566" s="41" t="str">
        <f aca="false">IF(C3566="","",IFERROR(IF(ISNUMBER(SEARCH(Assumptions!$C$5,C3566)),Assumptions!$D$5,IF(ISNUMBER(SEARCH(Assumptions!$C$6,C3566)),Assumptions!$D$6,IF(ISNUMBER(SEARCH(Assumptions!$C$7,C3566)),Assumptions!$D$7,"Other Services"))),"Other Services"))</f>
        <v/>
      </c>
    </row>
    <row r="3567" customFormat="false" ht="15" hidden="false" customHeight="false" outlineLevel="0" collapsed="false">
      <c r="F3567" s="41" t="str">
        <f aca="false">IF(C3567="","",IFERROR(IF(ISNUMBER(SEARCH(Assumptions!$C$5,C3567)),Assumptions!$D$5,IF(ISNUMBER(SEARCH(Assumptions!$C$6,C3567)),Assumptions!$D$6,IF(ISNUMBER(SEARCH(Assumptions!$C$7,C3567)),Assumptions!$D$7,"Other Services"))),"Other Services"))</f>
        <v/>
      </c>
    </row>
    <row r="3568" customFormat="false" ht="15" hidden="false" customHeight="false" outlineLevel="0" collapsed="false">
      <c r="F3568" s="41" t="str">
        <f aca="false">IF(C3568="","",IFERROR(IF(ISNUMBER(SEARCH(Assumptions!$C$5,C3568)),Assumptions!$D$5,IF(ISNUMBER(SEARCH(Assumptions!$C$6,C3568)),Assumptions!$D$6,IF(ISNUMBER(SEARCH(Assumptions!$C$7,C3568)),Assumptions!$D$7,"Other Services"))),"Other Services"))</f>
        <v/>
      </c>
    </row>
    <row r="3569" customFormat="false" ht="15" hidden="false" customHeight="false" outlineLevel="0" collapsed="false">
      <c r="F3569" s="41" t="str">
        <f aca="false">IF(C3569="","",IFERROR(IF(ISNUMBER(SEARCH(Assumptions!$C$5,C3569)),Assumptions!$D$5,IF(ISNUMBER(SEARCH(Assumptions!$C$6,C3569)),Assumptions!$D$6,IF(ISNUMBER(SEARCH(Assumptions!$C$7,C3569)),Assumptions!$D$7,"Other Services"))),"Other Services"))</f>
        <v/>
      </c>
    </row>
    <row r="3570" customFormat="false" ht="15" hidden="false" customHeight="false" outlineLevel="0" collapsed="false">
      <c r="F3570" s="41" t="str">
        <f aca="false">IF(C3570="","",IFERROR(IF(ISNUMBER(SEARCH(Assumptions!$C$5,C3570)),Assumptions!$D$5,IF(ISNUMBER(SEARCH(Assumptions!$C$6,C3570)),Assumptions!$D$6,IF(ISNUMBER(SEARCH(Assumptions!$C$7,C3570)),Assumptions!$D$7,"Other Services"))),"Other Services"))</f>
        <v/>
      </c>
    </row>
    <row r="3571" customFormat="false" ht="15" hidden="false" customHeight="false" outlineLevel="0" collapsed="false">
      <c r="F3571" s="41" t="str">
        <f aca="false">IF(C3571="","",IFERROR(IF(ISNUMBER(SEARCH(Assumptions!$C$5,C3571)),Assumptions!$D$5,IF(ISNUMBER(SEARCH(Assumptions!$C$6,C3571)),Assumptions!$D$6,IF(ISNUMBER(SEARCH(Assumptions!$C$7,C3571)),Assumptions!$D$7,"Other Services"))),"Other Services"))</f>
        <v/>
      </c>
    </row>
    <row r="3572" customFormat="false" ht="15" hidden="false" customHeight="false" outlineLevel="0" collapsed="false">
      <c r="F3572" s="41" t="str">
        <f aca="false">IF(C3572="","",IFERROR(IF(ISNUMBER(SEARCH(Assumptions!$C$5,C3572)),Assumptions!$D$5,IF(ISNUMBER(SEARCH(Assumptions!$C$6,C3572)),Assumptions!$D$6,IF(ISNUMBER(SEARCH(Assumptions!$C$7,C3572)),Assumptions!$D$7,"Other Services"))),"Other Services"))</f>
        <v/>
      </c>
    </row>
    <row r="3573" customFormat="false" ht="15" hidden="false" customHeight="false" outlineLevel="0" collapsed="false">
      <c r="F3573" s="41" t="str">
        <f aca="false">IF(C3573="","",IFERROR(IF(ISNUMBER(SEARCH(Assumptions!$C$5,C3573)),Assumptions!$D$5,IF(ISNUMBER(SEARCH(Assumptions!$C$6,C3573)),Assumptions!$D$6,IF(ISNUMBER(SEARCH(Assumptions!$C$7,C3573)),Assumptions!$D$7,"Other Services"))),"Other Services"))</f>
        <v/>
      </c>
    </row>
    <row r="3574" customFormat="false" ht="15" hidden="false" customHeight="false" outlineLevel="0" collapsed="false">
      <c r="F3574" s="41" t="str">
        <f aca="false">IF(C3574="","",IFERROR(IF(ISNUMBER(SEARCH(Assumptions!$C$5,C3574)),Assumptions!$D$5,IF(ISNUMBER(SEARCH(Assumptions!$C$6,C3574)),Assumptions!$D$6,IF(ISNUMBER(SEARCH(Assumptions!$C$7,C3574)),Assumptions!$D$7,"Other Services"))),"Other Services"))</f>
        <v/>
      </c>
    </row>
    <row r="3575" customFormat="false" ht="15" hidden="false" customHeight="false" outlineLevel="0" collapsed="false">
      <c r="F3575" s="41" t="str">
        <f aca="false">IF(C3575="","",IFERROR(IF(ISNUMBER(SEARCH(Assumptions!$C$5,C3575)),Assumptions!$D$5,IF(ISNUMBER(SEARCH(Assumptions!$C$6,C3575)),Assumptions!$D$6,IF(ISNUMBER(SEARCH(Assumptions!$C$7,C3575)),Assumptions!$D$7,"Other Services"))),"Other Services"))</f>
        <v/>
      </c>
    </row>
    <row r="3576" customFormat="false" ht="15" hidden="false" customHeight="false" outlineLevel="0" collapsed="false">
      <c r="F3576" s="41" t="str">
        <f aca="false">IF(C3576="","",IFERROR(IF(ISNUMBER(SEARCH(Assumptions!$C$5,C3576)),Assumptions!$D$5,IF(ISNUMBER(SEARCH(Assumptions!$C$6,C3576)),Assumptions!$D$6,IF(ISNUMBER(SEARCH(Assumptions!$C$7,C3576)),Assumptions!$D$7,"Other Services"))),"Other Services"))</f>
        <v/>
      </c>
    </row>
    <row r="3577" customFormat="false" ht="15" hidden="false" customHeight="false" outlineLevel="0" collapsed="false">
      <c r="F3577" s="41" t="str">
        <f aca="false">IF(C3577="","",IFERROR(IF(ISNUMBER(SEARCH(Assumptions!$C$5,C3577)),Assumptions!$D$5,IF(ISNUMBER(SEARCH(Assumptions!$C$6,C3577)),Assumptions!$D$6,IF(ISNUMBER(SEARCH(Assumptions!$C$7,C3577)),Assumptions!$D$7,"Other Services"))),"Other Services"))</f>
        <v/>
      </c>
    </row>
    <row r="3578" customFormat="false" ht="15" hidden="false" customHeight="false" outlineLevel="0" collapsed="false">
      <c r="F3578" s="41" t="str">
        <f aca="false">IF(C3578="","",IFERROR(IF(ISNUMBER(SEARCH(Assumptions!$C$5,C3578)),Assumptions!$D$5,IF(ISNUMBER(SEARCH(Assumptions!$C$6,C3578)),Assumptions!$D$6,IF(ISNUMBER(SEARCH(Assumptions!$C$7,C3578)),Assumptions!$D$7,"Other Services"))),"Other Services"))</f>
        <v/>
      </c>
    </row>
    <row r="3579" customFormat="false" ht="15" hidden="false" customHeight="false" outlineLevel="0" collapsed="false">
      <c r="F3579" s="41" t="str">
        <f aca="false">IF(C3579="","",IFERROR(IF(ISNUMBER(SEARCH(Assumptions!$C$5,C3579)),Assumptions!$D$5,IF(ISNUMBER(SEARCH(Assumptions!$C$6,C3579)),Assumptions!$D$6,IF(ISNUMBER(SEARCH(Assumptions!$C$7,C3579)),Assumptions!$D$7,"Other Services"))),"Other Services"))</f>
        <v/>
      </c>
    </row>
    <row r="3580" customFormat="false" ht="15" hidden="false" customHeight="false" outlineLevel="0" collapsed="false">
      <c r="F3580" s="41" t="str">
        <f aca="false">IF(C3580="","",IFERROR(IF(ISNUMBER(SEARCH(Assumptions!$C$5,C3580)),Assumptions!$D$5,IF(ISNUMBER(SEARCH(Assumptions!$C$6,C3580)),Assumptions!$D$6,IF(ISNUMBER(SEARCH(Assumptions!$C$7,C3580)),Assumptions!$D$7,"Other Services"))),"Other Services"))</f>
        <v/>
      </c>
    </row>
    <row r="3581" customFormat="false" ht="15" hidden="false" customHeight="false" outlineLevel="0" collapsed="false">
      <c r="F3581" s="41" t="str">
        <f aca="false">IF(C3581="","",IFERROR(IF(ISNUMBER(SEARCH(Assumptions!$C$5,C3581)),Assumptions!$D$5,IF(ISNUMBER(SEARCH(Assumptions!$C$6,C3581)),Assumptions!$D$6,IF(ISNUMBER(SEARCH(Assumptions!$C$7,C3581)),Assumptions!$D$7,"Other Services"))),"Other Services"))</f>
        <v/>
      </c>
    </row>
    <row r="3582" customFormat="false" ht="15" hidden="false" customHeight="false" outlineLevel="0" collapsed="false">
      <c r="F3582" s="41" t="str">
        <f aca="false">IF(C3582="","",IFERROR(IF(ISNUMBER(SEARCH(Assumptions!$C$5,C3582)),Assumptions!$D$5,IF(ISNUMBER(SEARCH(Assumptions!$C$6,C3582)),Assumptions!$D$6,IF(ISNUMBER(SEARCH(Assumptions!$C$7,C3582)),Assumptions!$D$7,"Other Services"))),"Other Services"))</f>
        <v/>
      </c>
    </row>
    <row r="3583" customFormat="false" ht="15" hidden="false" customHeight="false" outlineLevel="0" collapsed="false">
      <c r="F3583" s="41" t="str">
        <f aca="false">IF(C3583="","",IFERROR(IF(ISNUMBER(SEARCH(Assumptions!$C$5,C3583)),Assumptions!$D$5,IF(ISNUMBER(SEARCH(Assumptions!$C$6,C3583)),Assumptions!$D$6,IF(ISNUMBER(SEARCH(Assumptions!$C$7,C3583)),Assumptions!$D$7,"Other Services"))),"Other Services"))</f>
        <v/>
      </c>
    </row>
    <row r="3584" customFormat="false" ht="15" hidden="false" customHeight="false" outlineLevel="0" collapsed="false">
      <c r="F3584" s="41" t="str">
        <f aca="false">IF(C3584="","",IFERROR(IF(ISNUMBER(SEARCH(Assumptions!$C$5,C3584)),Assumptions!$D$5,IF(ISNUMBER(SEARCH(Assumptions!$C$6,C3584)),Assumptions!$D$6,IF(ISNUMBER(SEARCH(Assumptions!$C$7,C3584)),Assumptions!$D$7,"Other Services"))),"Other Services"))</f>
        <v/>
      </c>
    </row>
    <row r="3585" customFormat="false" ht="15" hidden="false" customHeight="false" outlineLevel="0" collapsed="false">
      <c r="F3585" s="41" t="str">
        <f aca="false">IF(C3585="","",IFERROR(IF(ISNUMBER(SEARCH(Assumptions!$C$5,C3585)),Assumptions!$D$5,IF(ISNUMBER(SEARCH(Assumptions!$C$6,C3585)),Assumptions!$D$6,IF(ISNUMBER(SEARCH(Assumptions!$C$7,C3585)),Assumptions!$D$7,"Other Services"))),"Other Services"))</f>
        <v/>
      </c>
    </row>
    <row r="3586" customFormat="false" ht="15" hidden="false" customHeight="false" outlineLevel="0" collapsed="false">
      <c r="F3586" s="41" t="str">
        <f aca="false">IF(C3586="","",IFERROR(IF(ISNUMBER(SEARCH(Assumptions!$C$5,C3586)),Assumptions!$D$5,IF(ISNUMBER(SEARCH(Assumptions!$C$6,C3586)),Assumptions!$D$6,IF(ISNUMBER(SEARCH(Assumptions!$C$7,C3586)),Assumptions!$D$7,"Other Services"))),"Other Services"))</f>
        <v/>
      </c>
    </row>
    <row r="3587" customFormat="false" ht="15" hidden="false" customHeight="false" outlineLevel="0" collapsed="false">
      <c r="F3587" s="41" t="str">
        <f aca="false">IF(C3587="","",IFERROR(IF(ISNUMBER(SEARCH(Assumptions!$C$5,C3587)),Assumptions!$D$5,IF(ISNUMBER(SEARCH(Assumptions!$C$6,C3587)),Assumptions!$D$6,IF(ISNUMBER(SEARCH(Assumptions!$C$7,C3587)),Assumptions!$D$7,"Other Services"))),"Other Services"))</f>
        <v/>
      </c>
    </row>
    <row r="3588" customFormat="false" ht="15" hidden="false" customHeight="false" outlineLevel="0" collapsed="false">
      <c r="F3588" s="41" t="str">
        <f aca="false">IF(C3588="","",IFERROR(IF(ISNUMBER(SEARCH(Assumptions!$C$5,C3588)),Assumptions!$D$5,IF(ISNUMBER(SEARCH(Assumptions!$C$6,C3588)),Assumptions!$D$6,IF(ISNUMBER(SEARCH(Assumptions!$C$7,C3588)),Assumptions!$D$7,"Other Services"))),"Other Services"))</f>
        <v/>
      </c>
    </row>
    <row r="3589" customFormat="false" ht="15" hidden="false" customHeight="false" outlineLevel="0" collapsed="false">
      <c r="F3589" s="41" t="str">
        <f aca="false">IF(C3589="","",IFERROR(IF(ISNUMBER(SEARCH(Assumptions!$C$5,C3589)),Assumptions!$D$5,IF(ISNUMBER(SEARCH(Assumptions!$C$6,C3589)),Assumptions!$D$6,IF(ISNUMBER(SEARCH(Assumptions!$C$7,C3589)),Assumptions!$D$7,"Other Services"))),"Other Services"))</f>
        <v/>
      </c>
    </row>
    <row r="3590" customFormat="false" ht="15" hidden="false" customHeight="false" outlineLevel="0" collapsed="false">
      <c r="F3590" s="41" t="str">
        <f aca="false">IF(C3590="","",IFERROR(IF(ISNUMBER(SEARCH(Assumptions!$C$5,C3590)),Assumptions!$D$5,IF(ISNUMBER(SEARCH(Assumptions!$C$6,C3590)),Assumptions!$D$6,IF(ISNUMBER(SEARCH(Assumptions!$C$7,C3590)),Assumptions!$D$7,"Other Services"))),"Other Services"))</f>
        <v/>
      </c>
    </row>
    <row r="3591" customFormat="false" ht="15" hidden="false" customHeight="false" outlineLevel="0" collapsed="false">
      <c r="F3591" s="41" t="str">
        <f aca="false">IF(C3591="","",IFERROR(IF(ISNUMBER(SEARCH(Assumptions!$C$5,C3591)),Assumptions!$D$5,IF(ISNUMBER(SEARCH(Assumptions!$C$6,C3591)),Assumptions!$D$6,IF(ISNUMBER(SEARCH(Assumptions!$C$7,C3591)),Assumptions!$D$7,"Other Services"))),"Other Services"))</f>
        <v/>
      </c>
    </row>
    <row r="3592" customFormat="false" ht="15" hidden="false" customHeight="false" outlineLevel="0" collapsed="false">
      <c r="F3592" s="41" t="str">
        <f aca="false">IF(C3592="","",IFERROR(IF(ISNUMBER(SEARCH(Assumptions!$C$5,C3592)),Assumptions!$D$5,IF(ISNUMBER(SEARCH(Assumptions!$C$6,C3592)),Assumptions!$D$6,IF(ISNUMBER(SEARCH(Assumptions!$C$7,C3592)),Assumptions!$D$7,"Other Services"))),"Other Services"))</f>
        <v/>
      </c>
    </row>
    <row r="3593" customFormat="false" ht="15" hidden="false" customHeight="false" outlineLevel="0" collapsed="false">
      <c r="F3593" s="41" t="str">
        <f aca="false">IF(C3593="","",IFERROR(IF(ISNUMBER(SEARCH(Assumptions!$C$5,C3593)),Assumptions!$D$5,IF(ISNUMBER(SEARCH(Assumptions!$C$6,C3593)),Assumptions!$D$6,IF(ISNUMBER(SEARCH(Assumptions!$C$7,C3593)),Assumptions!$D$7,"Other Services"))),"Other Services"))</f>
        <v/>
      </c>
    </row>
    <row r="3594" customFormat="false" ht="15" hidden="false" customHeight="false" outlineLevel="0" collapsed="false">
      <c r="F3594" s="41" t="str">
        <f aca="false">IF(C3594="","",IFERROR(IF(ISNUMBER(SEARCH(Assumptions!$C$5,C3594)),Assumptions!$D$5,IF(ISNUMBER(SEARCH(Assumptions!$C$6,C3594)),Assumptions!$D$6,IF(ISNUMBER(SEARCH(Assumptions!$C$7,C3594)),Assumptions!$D$7,"Other Services"))),"Other Services"))</f>
        <v/>
      </c>
    </row>
    <row r="3595" customFormat="false" ht="15" hidden="false" customHeight="false" outlineLevel="0" collapsed="false">
      <c r="F3595" s="41" t="str">
        <f aca="false">IF(C3595="","",IFERROR(IF(ISNUMBER(SEARCH(Assumptions!$C$5,C3595)),Assumptions!$D$5,IF(ISNUMBER(SEARCH(Assumptions!$C$6,C3595)),Assumptions!$D$6,IF(ISNUMBER(SEARCH(Assumptions!$C$7,C3595)),Assumptions!$D$7,"Other Services"))),"Other Services"))</f>
        <v/>
      </c>
    </row>
    <row r="3596" customFormat="false" ht="15" hidden="false" customHeight="false" outlineLevel="0" collapsed="false">
      <c r="F3596" s="41" t="str">
        <f aca="false">IF(C3596="","",IFERROR(IF(ISNUMBER(SEARCH(Assumptions!$C$5,C3596)),Assumptions!$D$5,IF(ISNUMBER(SEARCH(Assumptions!$C$6,C3596)),Assumptions!$D$6,IF(ISNUMBER(SEARCH(Assumptions!$C$7,C3596)),Assumptions!$D$7,"Other Services"))),"Other Services"))</f>
        <v/>
      </c>
    </row>
    <row r="3597" customFormat="false" ht="15" hidden="false" customHeight="false" outlineLevel="0" collapsed="false">
      <c r="F3597" s="41" t="str">
        <f aca="false">IF(C3597="","",IFERROR(IF(ISNUMBER(SEARCH(Assumptions!$C$5,C3597)),Assumptions!$D$5,IF(ISNUMBER(SEARCH(Assumptions!$C$6,C3597)),Assumptions!$D$6,IF(ISNUMBER(SEARCH(Assumptions!$C$7,C3597)),Assumptions!$D$7,"Other Services"))),"Other Services"))</f>
        <v/>
      </c>
    </row>
    <row r="3598" customFormat="false" ht="15" hidden="false" customHeight="false" outlineLevel="0" collapsed="false">
      <c r="F3598" s="41" t="str">
        <f aca="false">IF(C3598="","",IFERROR(IF(ISNUMBER(SEARCH(Assumptions!$C$5,C3598)),Assumptions!$D$5,IF(ISNUMBER(SEARCH(Assumptions!$C$6,C3598)),Assumptions!$D$6,IF(ISNUMBER(SEARCH(Assumptions!$C$7,C3598)),Assumptions!$D$7,"Other Services"))),"Other Services"))</f>
        <v/>
      </c>
    </row>
    <row r="3599" customFormat="false" ht="15" hidden="false" customHeight="false" outlineLevel="0" collapsed="false">
      <c r="F3599" s="41" t="str">
        <f aca="false">IF(C3599="","",IFERROR(IF(ISNUMBER(SEARCH(Assumptions!$C$5,C3599)),Assumptions!$D$5,IF(ISNUMBER(SEARCH(Assumptions!$C$6,C3599)),Assumptions!$D$6,IF(ISNUMBER(SEARCH(Assumptions!$C$7,C3599)),Assumptions!$D$7,"Other Services"))),"Other Services"))</f>
        <v/>
      </c>
    </row>
    <row r="3600" customFormat="false" ht="15" hidden="false" customHeight="false" outlineLevel="0" collapsed="false">
      <c r="F3600" s="41" t="str">
        <f aca="false">IF(C3600="","",IFERROR(IF(ISNUMBER(SEARCH(Assumptions!$C$5,C3600)),Assumptions!$D$5,IF(ISNUMBER(SEARCH(Assumptions!$C$6,C3600)),Assumptions!$D$6,IF(ISNUMBER(SEARCH(Assumptions!$C$7,C3600)),Assumptions!$D$7,"Other Services"))),"Other Services"))</f>
        <v/>
      </c>
    </row>
    <row r="3601" customFormat="false" ht="15" hidden="false" customHeight="false" outlineLevel="0" collapsed="false">
      <c r="F3601" s="41" t="str">
        <f aca="false">IF(C3601="","",IFERROR(IF(ISNUMBER(SEARCH(Assumptions!$C$5,C3601)),Assumptions!$D$5,IF(ISNUMBER(SEARCH(Assumptions!$C$6,C3601)),Assumptions!$D$6,IF(ISNUMBER(SEARCH(Assumptions!$C$7,C3601)),Assumptions!$D$7,"Other Services"))),"Other Services"))</f>
        <v/>
      </c>
    </row>
    <row r="3602" customFormat="false" ht="15" hidden="false" customHeight="false" outlineLevel="0" collapsed="false">
      <c r="F3602" s="41" t="str">
        <f aca="false">IF(C3602="","",IFERROR(IF(ISNUMBER(SEARCH(Assumptions!$C$5,C3602)),Assumptions!$D$5,IF(ISNUMBER(SEARCH(Assumptions!$C$6,C3602)),Assumptions!$D$6,IF(ISNUMBER(SEARCH(Assumptions!$C$7,C3602)),Assumptions!$D$7,"Other Services"))),"Other Services"))</f>
        <v/>
      </c>
    </row>
    <row r="3603" customFormat="false" ht="15" hidden="false" customHeight="false" outlineLevel="0" collapsed="false">
      <c r="F3603" s="41" t="str">
        <f aca="false">IF(C3603="","",IFERROR(IF(ISNUMBER(SEARCH(Assumptions!$C$5,C3603)),Assumptions!$D$5,IF(ISNUMBER(SEARCH(Assumptions!$C$6,C3603)),Assumptions!$D$6,IF(ISNUMBER(SEARCH(Assumptions!$C$7,C3603)),Assumptions!$D$7,"Other Services"))),"Other Services"))</f>
        <v/>
      </c>
    </row>
    <row r="3604" customFormat="false" ht="15" hidden="false" customHeight="false" outlineLevel="0" collapsed="false">
      <c r="F3604" s="41" t="str">
        <f aca="false">IF(C3604="","",IFERROR(IF(ISNUMBER(SEARCH(Assumptions!$C$5,C3604)),Assumptions!$D$5,IF(ISNUMBER(SEARCH(Assumptions!$C$6,C3604)),Assumptions!$D$6,IF(ISNUMBER(SEARCH(Assumptions!$C$7,C3604)),Assumptions!$D$7,"Other Services"))),"Other Services"))</f>
        <v/>
      </c>
    </row>
    <row r="3605" customFormat="false" ht="15" hidden="false" customHeight="false" outlineLevel="0" collapsed="false">
      <c r="F3605" s="41" t="str">
        <f aca="false">IF(C3605="","",IFERROR(IF(ISNUMBER(SEARCH(Assumptions!$C$5,C3605)),Assumptions!$D$5,IF(ISNUMBER(SEARCH(Assumptions!$C$6,C3605)),Assumptions!$D$6,IF(ISNUMBER(SEARCH(Assumptions!$C$7,C3605)),Assumptions!$D$7,"Other Services"))),"Other Services"))</f>
        <v/>
      </c>
    </row>
    <row r="3606" customFormat="false" ht="15" hidden="false" customHeight="false" outlineLevel="0" collapsed="false">
      <c r="F3606" s="41" t="str">
        <f aca="false">IF(C3606="","",IFERROR(IF(ISNUMBER(SEARCH(Assumptions!$C$5,C3606)),Assumptions!$D$5,IF(ISNUMBER(SEARCH(Assumptions!$C$6,C3606)),Assumptions!$D$6,IF(ISNUMBER(SEARCH(Assumptions!$C$7,C3606)),Assumptions!$D$7,"Other Services"))),"Other Services"))</f>
        <v/>
      </c>
    </row>
    <row r="3607" customFormat="false" ht="15" hidden="false" customHeight="false" outlineLevel="0" collapsed="false">
      <c r="F3607" s="41" t="str">
        <f aca="false">IF(C3607="","",IFERROR(IF(ISNUMBER(SEARCH(Assumptions!$C$5,C3607)),Assumptions!$D$5,IF(ISNUMBER(SEARCH(Assumptions!$C$6,C3607)),Assumptions!$D$6,IF(ISNUMBER(SEARCH(Assumptions!$C$7,C3607)),Assumptions!$D$7,"Other Services"))),"Other Services"))</f>
        <v/>
      </c>
    </row>
    <row r="3608" customFormat="false" ht="15" hidden="false" customHeight="false" outlineLevel="0" collapsed="false">
      <c r="F3608" s="41" t="str">
        <f aca="false">IF(C3608="","",IFERROR(IF(ISNUMBER(SEARCH(Assumptions!$C$5,C3608)),Assumptions!$D$5,IF(ISNUMBER(SEARCH(Assumptions!$C$6,C3608)),Assumptions!$D$6,IF(ISNUMBER(SEARCH(Assumptions!$C$7,C3608)),Assumptions!$D$7,"Other Services"))),"Other Services"))</f>
        <v/>
      </c>
    </row>
    <row r="3609" customFormat="false" ht="15" hidden="false" customHeight="false" outlineLevel="0" collapsed="false">
      <c r="F3609" s="41" t="str">
        <f aca="false">IF(C3609="","",IFERROR(IF(ISNUMBER(SEARCH(Assumptions!$C$5,C3609)),Assumptions!$D$5,IF(ISNUMBER(SEARCH(Assumptions!$C$6,C3609)),Assumptions!$D$6,IF(ISNUMBER(SEARCH(Assumptions!$C$7,C3609)),Assumptions!$D$7,"Other Services"))),"Other Services"))</f>
        <v/>
      </c>
    </row>
    <row r="3610" customFormat="false" ht="15" hidden="false" customHeight="false" outlineLevel="0" collapsed="false">
      <c r="F3610" s="41" t="str">
        <f aca="false">IF(C3610="","",IFERROR(IF(ISNUMBER(SEARCH(Assumptions!$C$5,C3610)),Assumptions!$D$5,IF(ISNUMBER(SEARCH(Assumptions!$C$6,C3610)),Assumptions!$D$6,IF(ISNUMBER(SEARCH(Assumptions!$C$7,C3610)),Assumptions!$D$7,"Other Services"))),"Other Services"))</f>
        <v/>
      </c>
    </row>
    <row r="3611" customFormat="false" ht="15" hidden="false" customHeight="false" outlineLevel="0" collapsed="false">
      <c r="F3611" s="41" t="str">
        <f aca="false">IF(C3611="","",IFERROR(IF(ISNUMBER(SEARCH(Assumptions!$C$5,C3611)),Assumptions!$D$5,IF(ISNUMBER(SEARCH(Assumptions!$C$6,C3611)),Assumptions!$D$6,IF(ISNUMBER(SEARCH(Assumptions!$C$7,C3611)),Assumptions!$D$7,"Other Services"))),"Other Services"))</f>
        <v/>
      </c>
    </row>
    <row r="3612" customFormat="false" ht="15" hidden="false" customHeight="false" outlineLevel="0" collapsed="false">
      <c r="F3612" s="41" t="str">
        <f aca="false">IF(C3612="","",IFERROR(IF(ISNUMBER(SEARCH(Assumptions!$C$5,C3612)),Assumptions!$D$5,IF(ISNUMBER(SEARCH(Assumptions!$C$6,C3612)),Assumptions!$D$6,IF(ISNUMBER(SEARCH(Assumptions!$C$7,C3612)),Assumptions!$D$7,"Other Services"))),"Other Services"))</f>
        <v/>
      </c>
    </row>
    <row r="3613" customFormat="false" ht="15" hidden="false" customHeight="false" outlineLevel="0" collapsed="false">
      <c r="F3613" s="41" t="str">
        <f aca="false">IF(C3613="","",IFERROR(IF(ISNUMBER(SEARCH(Assumptions!$C$5,C3613)),Assumptions!$D$5,IF(ISNUMBER(SEARCH(Assumptions!$C$6,C3613)),Assumptions!$D$6,IF(ISNUMBER(SEARCH(Assumptions!$C$7,C3613)),Assumptions!$D$7,"Other Services"))),"Other Services"))</f>
        <v/>
      </c>
    </row>
    <row r="3614" customFormat="false" ht="15" hidden="false" customHeight="false" outlineLevel="0" collapsed="false">
      <c r="F3614" s="41" t="str">
        <f aca="false">IF(C3614="","",IFERROR(IF(ISNUMBER(SEARCH(Assumptions!$C$5,C3614)),Assumptions!$D$5,IF(ISNUMBER(SEARCH(Assumptions!$C$6,C3614)),Assumptions!$D$6,IF(ISNUMBER(SEARCH(Assumptions!$C$7,C3614)),Assumptions!$D$7,"Other Services"))),"Other Services"))</f>
        <v/>
      </c>
    </row>
    <row r="3615" customFormat="false" ht="15" hidden="false" customHeight="false" outlineLevel="0" collapsed="false">
      <c r="F3615" s="41" t="str">
        <f aca="false">IF(C3615="","",IFERROR(IF(ISNUMBER(SEARCH(Assumptions!$C$5,C3615)),Assumptions!$D$5,IF(ISNUMBER(SEARCH(Assumptions!$C$6,C3615)),Assumptions!$D$6,IF(ISNUMBER(SEARCH(Assumptions!$C$7,C3615)),Assumptions!$D$7,"Other Services"))),"Other Services"))</f>
        <v/>
      </c>
    </row>
    <row r="3616" customFormat="false" ht="15" hidden="false" customHeight="false" outlineLevel="0" collapsed="false">
      <c r="F3616" s="41" t="str">
        <f aca="false">IF(C3616="","",IFERROR(IF(ISNUMBER(SEARCH(Assumptions!$C$5,C3616)),Assumptions!$D$5,IF(ISNUMBER(SEARCH(Assumptions!$C$6,C3616)),Assumptions!$D$6,IF(ISNUMBER(SEARCH(Assumptions!$C$7,C3616)),Assumptions!$D$7,"Other Services"))),"Other Services"))</f>
        <v/>
      </c>
    </row>
    <row r="3617" customFormat="false" ht="15" hidden="false" customHeight="false" outlineLevel="0" collapsed="false">
      <c r="F3617" s="41" t="str">
        <f aca="false">IF(C3617="","",IFERROR(IF(ISNUMBER(SEARCH(Assumptions!$C$5,C3617)),Assumptions!$D$5,IF(ISNUMBER(SEARCH(Assumptions!$C$6,C3617)),Assumptions!$D$6,IF(ISNUMBER(SEARCH(Assumptions!$C$7,C3617)),Assumptions!$D$7,"Other Services"))),"Other Services"))</f>
        <v/>
      </c>
    </row>
    <row r="3618" customFormat="false" ht="15" hidden="false" customHeight="false" outlineLevel="0" collapsed="false">
      <c r="F3618" s="41" t="str">
        <f aca="false">IF(C3618="","",IFERROR(IF(ISNUMBER(SEARCH(Assumptions!$C$5,C3618)),Assumptions!$D$5,IF(ISNUMBER(SEARCH(Assumptions!$C$6,C3618)),Assumptions!$D$6,IF(ISNUMBER(SEARCH(Assumptions!$C$7,C3618)),Assumptions!$D$7,"Other Services"))),"Other Services"))</f>
        <v/>
      </c>
    </row>
    <row r="3619" customFormat="false" ht="15" hidden="false" customHeight="false" outlineLevel="0" collapsed="false">
      <c r="F3619" s="41" t="str">
        <f aca="false">IF(C3619="","",IFERROR(IF(ISNUMBER(SEARCH(Assumptions!$C$5,C3619)),Assumptions!$D$5,IF(ISNUMBER(SEARCH(Assumptions!$C$6,C3619)),Assumptions!$D$6,IF(ISNUMBER(SEARCH(Assumptions!$C$7,C3619)),Assumptions!$D$7,"Other Services"))),"Other Services"))</f>
        <v/>
      </c>
    </row>
    <row r="3620" customFormat="false" ht="15" hidden="false" customHeight="false" outlineLevel="0" collapsed="false">
      <c r="F3620" s="41" t="str">
        <f aca="false">IF(C3620="","",IFERROR(IF(ISNUMBER(SEARCH(Assumptions!$C$5,C3620)),Assumptions!$D$5,IF(ISNUMBER(SEARCH(Assumptions!$C$6,C3620)),Assumptions!$D$6,IF(ISNUMBER(SEARCH(Assumptions!$C$7,C3620)),Assumptions!$D$7,"Other Services"))),"Other Services"))</f>
        <v/>
      </c>
    </row>
    <row r="3621" customFormat="false" ht="15" hidden="false" customHeight="false" outlineLevel="0" collapsed="false">
      <c r="F3621" s="41" t="str">
        <f aca="false">IF(C3621="","",IFERROR(IF(ISNUMBER(SEARCH(Assumptions!$C$5,C3621)),Assumptions!$D$5,IF(ISNUMBER(SEARCH(Assumptions!$C$6,C3621)),Assumptions!$D$6,IF(ISNUMBER(SEARCH(Assumptions!$C$7,C3621)),Assumptions!$D$7,"Other Services"))),"Other Services"))</f>
        <v/>
      </c>
    </row>
    <row r="3622" customFormat="false" ht="15" hidden="false" customHeight="false" outlineLevel="0" collapsed="false">
      <c r="F3622" s="41" t="str">
        <f aca="false">IF(C3622="","",IFERROR(IF(ISNUMBER(SEARCH(Assumptions!$C$5,C3622)),Assumptions!$D$5,IF(ISNUMBER(SEARCH(Assumptions!$C$6,C3622)),Assumptions!$D$6,IF(ISNUMBER(SEARCH(Assumptions!$C$7,C3622)),Assumptions!$D$7,"Other Services"))),"Other Services"))</f>
        <v/>
      </c>
    </row>
    <row r="3623" customFormat="false" ht="15" hidden="false" customHeight="false" outlineLevel="0" collapsed="false">
      <c r="F3623" s="41" t="str">
        <f aca="false">IF(C3623="","",IFERROR(IF(ISNUMBER(SEARCH(Assumptions!$C$5,C3623)),Assumptions!$D$5,IF(ISNUMBER(SEARCH(Assumptions!$C$6,C3623)),Assumptions!$D$6,IF(ISNUMBER(SEARCH(Assumptions!$C$7,C3623)),Assumptions!$D$7,"Other Services"))),"Other Services"))</f>
        <v/>
      </c>
    </row>
    <row r="3624" customFormat="false" ht="15" hidden="false" customHeight="false" outlineLevel="0" collapsed="false">
      <c r="F3624" s="41" t="str">
        <f aca="false">IF(C3624="","",IFERROR(IF(ISNUMBER(SEARCH(Assumptions!$C$5,C3624)),Assumptions!$D$5,IF(ISNUMBER(SEARCH(Assumptions!$C$6,C3624)),Assumptions!$D$6,IF(ISNUMBER(SEARCH(Assumptions!$C$7,C3624)),Assumptions!$D$7,"Other Services"))),"Other Services"))</f>
        <v/>
      </c>
    </row>
    <row r="3625" customFormat="false" ht="15" hidden="false" customHeight="false" outlineLevel="0" collapsed="false">
      <c r="F3625" s="41" t="str">
        <f aca="false">IF(C3625="","",IFERROR(IF(ISNUMBER(SEARCH(Assumptions!$C$5,C3625)),Assumptions!$D$5,IF(ISNUMBER(SEARCH(Assumptions!$C$6,C3625)),Assumptions!$D$6,IF(ISNUMBER(SEARCH(Assumptions!$C$7,C3625)),Assumptions!$D$7,"Other Services"))),"Other Services"))</f>
        <v/>
      </c>
    </row>
    <row r="3626" customFormat="false" ht="15" hidden="false" customHeight="false" outlineLevel="0" collapsed="false">
      <c r="F3626" s="41" t="str">
        <f aca="false">IF(C3626="","",IFERROR(IF(ISNUMBER(SEARCH(Assumptions!$C$5,C3626)),Assumptions!$D$5,IF(ISNUMBER(SEARCH(Assumptions!$C$6,C3626)),Assumptions!$D$6,IF(ISNUMBER(SEARCH(Assumptions!$C$7,C3626)),Assumptions!$D$7,"Other Services"))),"Other Services"))</f>
        <v/>
      </c>
    </row>
    <row r="3627" customFormat="false" ht="15" hidden="false" customHeight="false" outlineLevel="0" collapsed="false">
      <c r="F3627" s="41" t="str">
        <f aca="false">IF(C3627="","",IFERROR(IF(ISNUMBER(SEARCH(Assumptions!$C$5,C3627)),Assumptions!$D$5,IF(ISNUMBER(SEARCH(Assumptions!$C$6,C3627)),Assumptions!$D$6,IF(ISNUMBER(SEARCH(Assumptions!$C$7,C3627)),Assumptions!$D$7,"Other Services"))),"Other Services"))</f>
        <v/>
      </c>
    </row>
    <row r="3628" customFormat="false" ht="15" hidden="false" customHeight="false" outlineLevel="0" collapsed="false">
      <c r="F3628" s="41" t="str">
        <f aca="false">IF(C3628="","",IFERROR(IF(ISNUMBER(SEARCH(Assumptions!$C$5,C3628)),Assumptions!$D$5,IF(ISNUMBER(SEARCH(Assumptions!$C$6,C3628)),Assumptions!$D$6,IF(ISNUMBER(SEARCH(Assumptions!$C$7,C3628)),Assumptions!$D$7,"Other Services"))),"Other Services"))</f>
        <v/>
      </c>
    </row>
    <row r="3629" customFormat="false" ht="15" hidden="false" customHeight="false" outlineLevel="0" collapsed="false">
      <c r="F3629" s="41" t="str">
        <f aca="false">IF(C3629="","",IFERROR(IF(ISNUMBER(SEARCH(Assumptions!$C$5,C3629)),Assumptions!$D$5,IF(ISNUMBER(SEARCH(Assumptions!$C$6,C3629)),Assumptions!$D$6,IF(ISNUMBER(SEARCH(Assumptions!$C$7,C3629)),Assumptions!$D$7,"Other Services"))),"Other Services"))</f>
        <v/>
      </c>
    </row>
    <row r="3630" customFormat="false" ht="15" hidden="false" customHeight="false" outlineLevel="0" collapsed="false">
      <c r="F3630" s="41" t="str">
        <f aca="false">IF(C3630="","",IFERROR(IF(ISNUMBER(SEARCH(Assumptions!$C$5,C3630)),Assumptions!$D$5,IF(ISNUMBER(SEARCH(Assumptions!$C$6,C3630)),Assumptions!$D$6,IF(ISNUMBER(SEARCH(Assumptions!$C$7,C3630)),Assumptions!$D$7,"Other Services"))),"Other Services"))</f>
        <v/>
      </c>
    </row>
    <row r="3631" customFormat="false" ht="15" hidden="false" customHeight="false" outlineLevel="0" collapsed="false">
      <c r="F3631" s="41" t="str">
        <f aca="false">IF(C3631="","",IFERROR(IF(ISNUMBER(SEARCH(Assumptions!$C$5,C3631)),Assumptions!$D$5,IF(ISNUMBER(SEARCH(Assumptions!$C$6,C3631)),Assumptions!$D$6,IF(ISNUMBER(SEARCH(Assumptions!$C$7,C3631)),Assumptions!$D$7,"Other Services"))),"Other Services"))</f>
        <v/>
      </c>
    </row>
    <row r="3632" customFormat="false" ht="15" hidden="false" customHeight="false" outlineLevel="0" collapsed="false">
      <c r="F3632" s="41" t="str">
        <f aca="false">IF(C3632="","",IFERROR(IF(ISNUMBER(SEARCH(Assumptions!$C$5,C3632)),Assumptions!$D$5,IF(ISNUMBER(SEARCH(Assumptions!$C$6,C3632)),Assumptions!$D$6,IF(ISNUMBER(SEARCH(Assumptions!$C$7,C3632)),Assumptions!$D$7,"Other Services"))),"Other Services"))</f>
        <v/>
      </c>
    </row>
    <row r="3633" customFormat="false" ht="15" hidden="false" customHeight="false" outlineLevel="0" collapsed="false">
      <c r="F3633" s="41" t="str">
        <f aca="false">IF(C3633="","",IFERROR(IF(ISNUMBER(SEARCH(Assumptions!$C$5,C3633)),Assumptions!$D$5,IF(ISNUMBER(SEARCH(Assumptions!$C$6,C3633)),Assumptions!$D$6,IF(ISNUMBER(SEARCH(Assumptions!$C$7,C3633)),Assumptions!$D$7,"Other Services"))),"Other Services"))</f>
        <v/>
      </c>
    </row>
    <row r="3634" customFormat="false" ht="15" hidden="false" customHeight="false" outlineLevel="0" collapsed="false">
      <c r="F3634" s="41" t="str">
        <f aca="false">IF(C3634="","",IFERROR(IF(ISNUMBER(SEARCH(Assumptions!$C$5,C3634)),Assumptions!$D$5,IF(ISNUMBER(SEARCH(Assumptions!$C$6,C3634)),Assumptions!$D$6,IF(ISNUMBER(SEARCH(Assumptions!$C$7,C3634)),Assumptions!$D$7,"Other Services"))),"Other Services"))</f>
        <v/>
      </c>
    </row>
    <row r="3635" customFormat="false" ht="15" hidden="false" customHeight="false" outlineLevel="0" collapsed="false">
      <c r="F3635" s="41" t="str">
        <f aca="false">IF(C3635="","",IFERROR(IF(ISNUMBER(SEARCH(Assumptions!$C$5,C3635)),Assumptions!$D$5,IF(ISNUMBER(SEARCH(Assumptions!$C$6,C3635)),Assumptions!$D$6,IF(ISNUMBER(SEARCH(Assumptions!$C$7,C3635)),Assumptions!$D$7,"Other Services"))),"Other Services"))</f>
        <v/>
      </c>
    </row>
    <row r="3636" customFormat="false" ht="15" hidden="false" customHeight="false" outlineLevel="0" collapsed="false">
      <c r="F3636" s="41" t="str">
        <f aca="false">IF(C3636="","",IFERROR(IF(ISNUMBER(SEARCH(Assumptions!$C$5,C3636)),Assumptions!$D$5,IF(ISNUMBER(SEARCH(Assumptions!$C$6,C3636)),Assumptions!$D$6,IF(ISNUMBER(SEARCH(Assumptions!$C$7,C3636)),Assumptions!$D$7,"Other Services"))),"Other Services"))</f>
        <v/>
      </c>
    </row>
    <row r="3637" customFormat="false" ht="15" hidden="false" customHeight="false" outlineLevel="0" collapsed="false">
      <c r="F3637" s="41" t="str">
        <f aca="false">IF(C3637="","",IFERROR(IF(ISNUMBER(SEARCH(Assumptions!$C$5,C3637)),Assumptions!$D$5,IF(ISNUMBER(SEARCH(Assumptions!$C$6,C3637)),Assumptions!$D$6,IF(ISNUMBER(SEARCH(Assumptions!$C$7,C3637)),Assumptions!$D$7,"Other Services"))),"Other Services"))</f>
        <v/>
      </c>
    </row>
    <row r="3638" customFormat="false" ht="15" hidden="false" customHeight="false" outlineLevel="0" collapsed="false">
      <c r="F3638" s="41" t="str">
        <f aca="false">IF(C3638="","",IFERROR(IF(ISNUMBER(SEARCH(Assumptions!$C$5,C3638)),Assumptions!$D$5,IF(ISNUMBER(SEARCH(Assumptions!$C$6,C3638)),Assumptions!$D$6,IF(ISNUMBER(SEARCH(Assumptions!$C$7,C3638)),Assumptions!$D$7,"Other Services"))),"Other Services"))</f>
        <v/>
      </c>
    </row>
    <row r="3639" customFormat="false" ht="15" hidden="false" customHeight="false" outlineLevel="0" collapsed="false">
      <c r="F3639" s="41" t="str">
        <f aca="false">IF(C3639="","",IFERROR(IF(ISNUMBER(SEARCH(Assumptions!$C$5,C3639)),Assumptions!$D$5,IF(ISNUMBER(SEARCH(Assumptions!$C$6,C3639)),Assumptions!$D$6,IF(ISNUMBER(SEARCH(Assumptions!$C$7,C3639)),Assumptions!$D$7,"Other Services"))),"Other Services"))</f>
        <v/>
      </c>
    </row>
    <row r="3640" customFormat="false" ht="15" hidden="false" customHeight="false" outlineLevel="0" collapsed="false">
      <c r="F3640" s="41" t="str">
        <f aca="false">IF(C3640="","",IFERROR(IF(ISNUMBER(SEARCH(Assumptions!$C$5,C3640)),Assumptions!$D$5,IF(ISNUMBER(SEARCH(Assumptions!$C$6,C3640)),Assumptions!$D$6,IF(ISNUMBER(SEARCH(Assumptions!$C$7,C3640)),Assumptions!$D$7,"Other Services"))),"Other Services"))</f>
        <v/>
      </c>
    </row>
    <row r="3641" customFormat="false" ht="15" hidden="false" customHeight="false" outlineLevel="0" collapsed="false">
      <c r="F3641" s="41" t="str">
        <f aca="false">IF(C3641="","",IFERROR(IF(ISNUMBER(SEARCH(Assumptions!$C$5,C3641)),Assumptions!$D$5,IF(ISNUMBER(SEARCH(Assumptions!$C$6,C3641)),Assumptions!$D$6,IF(ISNUMBER(SEARCH(Assumptions!$C$7,C3641)),Assumptions!$D$7,"Other Services"))),"Other Services"))</f>
        <v/>
      </c>
    </row>
    <row r="3642" customFormat="false" ht="15" hidden="false" customHeight="false" outlineLevel="0" collapsed="false">
      <c r="F3642" s="41" t="str">
        <f aca="false">IF(C3642="","",IFERROR(IF(ISNUMBER(SEARCH(Assumptions!$C$5,C3642)),Assumptions!$D$5,IF(ISNUMBER(SEARCH(Assumptions!$C$6,C3642)),Assumptions!$D$6,IF(ISNUMBER(SEARCH(Assumptions!$C$7,C3642)),Assumptions!$D$7,"Other Services"))),"Other Services"))</f>
        <v/>
      </c>
    </row>
    <row r="3643" customFormat="false" ht="15" hidden="false" customHeight="false" outlineLevel="0" collapsed="false">
      <c r="F3643" s="41" t="str">
        <f aca="false">IF(C3643="","",IFERROR(IF(ISNUMBER(SEARCH(Assumptions!$C$5,C3643)),Assumptions!$D$5,IF(ISNUMBER(SEARCH(Assumptions!$C$6,C3643)),Assumptions!$D$6,IF(ISNUMBER(SEARCH(Assumptions!$C$7,C3643)),Assumptions!$D$7,"Other Services"))),"Other Services"))</f>
        <v/>
      </c>
    </row>
    <row r="3644" customFormat="false" ht="15" hidden="false" customHeight="false" outlineLevel="0" collapsed="false">
      <c r="F3644" s="41" t="str">
        <f aca="false">IF(C3644="","",IFERROR(IF(ISNUMBER(SEARCH(Assumptions!$C$5,C3644)),Assumptions!$D$5,IF(ISNUMBER(SEARCH(Assumptions!$C$6,C3644)),Assumptions!$D$6,IF(ISNUMBER(SEARCH(Assumptions!$C$7,C3644)),Assumptions!$D$7,"Other Services"))),"Other Services"))</f>
        <v/>
      </c>
    </row>
    <row r="3645" customFormat="false" ht="15" hidden="false" customHeight="false" outlineLevel="0" collapsed="false">
      <c r="F3645" s="41" t="str">
        <f aca="false">IF(C3645="","",IFERROR(IF(ISNUMBER(SEARCH(Assumptions!$C$5,C3645)),Assumptions!$D$5,IF(ISNUMBER(SEARCH(Assumptions!$C$6,C3645)),Assumptions!$D$6,IF(ISNUMBER(SEARCH(Assumptions!$C$7,C3645)),Assumptions!$D$7,"Other Services"))),"Other Services"))</f>
        <v/>
      </c>
    </row>
    <row r="3646" customFormat="false" ht="15" hidden="false" customHeight="false" outlineLevel="0" collapsed="false">
      <c r="F3646" s="41" t="str">
        <f aca="false">IF(C3646="","",IFERROR(IF(ISNUMBER(SEARCH(Assumptions!$C$5,C3646)),Assumptions!$D$5,IF(ISNUMBER(SEARCH(Assumptions!$C$6,C3646)),Assumptions!$D$6,IF(ISNUMBER(SEARCH(Assumptions!$C$7,C3646)),Assumptions!$D$7,"Other Services"))),"Other Services"))</f>
        <v/>
      </c>
    </row>
    <row r="3647" customFormat="false" ht="15" hidden="false" customHeight="false" outlineLevel="0" collapsed="false">
      <c r="F3647" s="41" t="str">
        <f aca="false">IF(C3647="","",IFERROR(IF(ISNUMBER(SEARCH(Assumptions!$C$5,C3647)),Assumptions!$D$5,IF(ISNUMBER(SEARCH(Assumptions!$C$6,C3647)),Assumptions!$D$6,IF(ISNUMBER(SEARCH(Assumptions!$C$7,C3647)),Assumptions!$D$7,"Other Services"))),"Other Services"))</f>
        <v/>
      </c>
    </row>
    <row r="3648" customFormat="false" ht="15" hidden="false" customHeight="false" outlineLevel="0" collapsed="false">
      <c r="F3648" s="41" t="str">
        <f aca="false">IF(C3648="","",IFERROR(IF(ISNUMBER(SEARCH(Assumptions!$C$5,C3648)),Assumptions!$D$5,IF(ISNUMBER(SEARCH(Assumptions!$C$6,C3648)),Assumptions!$D$6,IF(ISNUMBER(SEARCH(Assumptions!$C$7,C3648)),Assumptions!$D$7,"Other Services"))),"Other Services"))</f>
        <v/>
      </c>
    </row>
    <row r="3649" customFormat="false" ht="15" hidden="false" customHeight="false" outlineLevel="0" collapsed="false">
      <c r="F3649" s="41" t="str">
        <f aca="false">IF(C3649="","",IFERROR(IF(ISNUMBER(SEARCH(Assumptions!$C$5,C3649)),Assumptions!$D$5,IF(ISNUMBER(SEARCH(Assumptions!$C$6,C3649)),Assumptions!$D$6,IF(ISNUMBER(SEARCH(Assumptions!$C$7,C3649)),Assumptions!$D$7,"Other Services"))),"Other Services"))</f>
        <v/>
      </c>
    </row>
    <row r="3650" customFormat="false" ht="15" hidden="false" customHeight="false" outlineLevel="0" collapsed="false">
      <c r="F3650" s="41" t="str">
        <f aca="false">IF(C3650="","",IFERROR(IF(ISNUMBER(SEARCH(Assumptions!$C$5,C3650)),Assumptions!$D$5,IF(ISNUMBER(SEARCH(Assumptions!$C$6,C3650)),Assumptions!$D$6,IF(ISNUMBER(SEARCH(Assumptions!$C$7,C3650)),Assumptions!$D$7,"Other Services"))),"Other Services"))</f>
        <v/>
      </c>
    </row>
    <row r="3651" customFormat="false" ht="15" hidden="false" customHeight="false" outlineLevel="0" collapsed="false">
      <c r="F3651" s="41" t="str">
        <f aca="false">IF(C3651="","",IFERROR(IF(ISNUMBER(SEARCH(Assumptions!$C$5,C3651)),Assumptions!$D$5,IF(ISNUMBER(SEARCH(Assumptions!$C$6,C3651)),Assumptions!$D$6,IF(ISNUMBER(SEARCH(Assumptions!$C$7,C3651)),Assumptions!$D$7,"Other Services"))),"Other Services"))</f>
        <v/>
      </c>
    </row>
    <row r="3652" customFormat="false" ht="15" hidden="false" customHeight="false" outlineLevel="0" collapsed="false">
      <c r="F3652" s="41" t="str">
        <f aca="false">IF(C3652="","",IFERROR(IF(ISNUMBER(SEARCH(Assumptions!$C$5,C3652)),Assumptions!$D$5,IF(ISNUMBER(SEARCH(Assumptions!$C$6,C3652)),Assumptions!$D$6,IF(ISNUMBER(SEARCH(Assumptions!$C$7,C3652)),Assumptions!$D$7,"Other Services"))),"Other Services"))</f>
        <v/>
      </c>
    </row>
    <row r="3653" customFormat="false" ht="15" hidden="false" customHeight="false" outlineLevel="0" collapsed="false">
      <c r="F3653" s="41" t="str">
        <f aca="false">IF(C3653="","",IFERROR(IF(ISNUMBER(SEARCH(Assumptions!$C$5,C3653)),Assumptions!$D$5,IF(ISNUMBER(SEARCH(Assumptions!$C$6,C3653)),Assumptions!$D$6,IF(ISNUMBER(SEARCH(Assumptions!$C$7,C3653)),Assumptions!$D$7,"Other Services"))),"Other Services"))</f>
        <v/>
      </c>
    </row>
    <row r="3654" customFormat="false" ht="15" hidden="false" customHeight="false" outlineLevel="0" collapsed="false">
      <c r="F3654" s="41" t="str">
        <f aca="false">IF(C3654="","",IFERROR(IF(ISNUMBER(SEARCH(Assumptions!$C$5,C3654)),Assumptions!$D$5,IF(ISNUMBER(SEARCH(Assumptions!$C$6,C3654)),Assumptions!$D$6,IF(ISNUMBER(SEARCH(Assumptions!$C$7,C3654)),Assumptions!$D$7,"Other Services"))),"Other Services"))</f>
        <v/>
      </c>
    </row>
    <row r="3655" customFormat="false" ht="15" hidden="false" customHeight="false" outlineLevel="0" collapsed="false">
      <c r="F3655" s="41" t="str">
        <f aca="false">IF(C3655="","",IFERROR(IF(ISNUMBER(SEARCH(Assumptions!$C$5,C3655)),Assumptions!$D$5,IF(ISNUMBER(SEARCH(Assumptions!$C$6,C3655)),Assumptions!$D$6,IF(ISNUMBER(SEARCH(Assumptions!$C$7,C3655)),Assumptions!$D$7,"Other Services"))),"Other Services"))</f>
        <v/>
      </c>
    </row>
    <row r="3656" customFormat="false" ht="15" hidden="false" customHeight="false" outlineLevel="0" collapsed="false">
      <c r="F3656" s="41" t="str">
        <f aca="false">IF(C3656="","",IFERROR(IF(ISNUMBER(SEARCH(Assumptions!$C$5,C3656)),Assumptions!$D$5,IF(ISNUMBER(SEARCH(Assumptions!$C$6,C3656)),Assumptions!$D$6,IF(ISNUMBER(SEARCH(Assumptions!$C$7,C3656)),Assumptions!$D$7,"Other Services"))),"Other Services"))</f>
        <v/>
      </c>
    </row>
    <row r="3657" customFormat="false" ht="15" hidden="false" customHeight="false" outlineLevel="0" collapsed="false">
      <c r="F3657" s="41" t="str">
        <f aca="false">IF(C3657="","",IFERROR(IF(ISNUMBER(SEARCH(Assumptions!$C$5,C3657)),Assumptions!$D$5,IF(ISNUMBER(SEARCH(Assumptions!$C$6,C3657)),Assumptions!$D$6,IF(ISNUMBER(SEARCH(Assumptions!$C$7,C3657)),Assumptions!$D$7,"Other Services"))),"Other Services"))</f>
        <v/>
      </c>
    </row>
    <row r="3658" customFormat="false" ht="15" hidden="false" customHeight="false" outlineLevel="0" collapsed="false">
      <c r="F3658" s="41" t="str">
        <f aca="false">IF(C3658="","",IFERROR(IF(ISNUMBER(SEARCH(Assumptions!$C$5,C3658)),Assumptions!$D$5,IF(ISNUMBER(SEARCH(Assumptions!$C$6,C3658)),Assumptions!$D$6,IF(ISNUMBER(SEARCH(Assumptions!$C$7,C3658)),Assumptions!$D$7,"Other Services"))),"Other Services"))</f>
        <v/>
      </c>
    </row>
    <row r="3659" customFormat="false" ht="15" hidden="false" customHeight="false" outlineLevel="0" collapsed="false">
      <c r="F3659" s="41" t="str">
        <f aca="false">IF(C3659="","",IFERROR(IF(ISNUMBER(SEARCH(Assumptions!$C$5,C3659)),Assumptions!$D$5,IF(ISNUMBER(SEARCH(Assumptions!$C$6,C3659)),Assumptions!$D$6,IF(ISNUMBER(SEARCH(Assumptions!$C$7,C3659)),Assumptions!$D$7,"Other Services"))),"Other Services"))</f>
        <v/>
      </c>
    </row>
    <row r="3660" customFormat="false" ht="15" hidden="false" customHeight="false" outlineLevel="0" collapsed="false">
      <c r="F3660" s="41" t="str">
        <f aca="false">IF(C3660="","",IFERROR(IF(ISNUMBER(SEARCH(Assumptions!$C$5,C3660)),Assumptions!$D$5,IF(ISNUMBER(SEARCH(Assumptions!$C$6,C3660)),Assumptions!$D$6,IF(ISNUMBER(SEARCH(Assumptions!$C$7,C3660)),Assumptions!$D$7,"Other Services"))),"Other Services"))</f>
        <v/>
      </c>
    </row>
    <row r="3661" customFormat="false" ht="15" hidden="false" customHeight="false" outlineLevel="0" collapsed="false">
      <c r="F3661" s="41" t="str">
        <f aca="false">IF(C3661="","",IFERROR(IF(ISNUMBER(SEARCH(Assumptions!$C$5,C3661)),Assumptions!$D$5,IF(ISNUMBER(SEARCH(Assumptions!$C$6,C3661)),Assumptions!$D$6,IF(ISNUMBER(SEARCH(Assumptions!$C$7,C3661)),Assumptions!$D$7,"Other Services"))),"Other Services"))</f>
        <v/>
      </c>
    </row>
    <row r="3662" customFormat="false" ht="15" hidden="false" customHeight="false" outlineLevel="0" collapsed="false">
      <c r="F3662" s="41" t="str">
        <f aca="false">IF(C3662="","",IFERROR(IF(ISNUMBER(SEARCH(Assumptions!$C$5,C3662)),Assumptions!$D$5,IF(ISNUMBER(SEARCH(Assumptions!$C$6,C3662)),Assumptions!$D$6,IF(ISNUMBER(SEARCH(Assumptions!$C$7,C3662)),Assumptions!$D$7,"Other Services"))),"Other Services"))</f>
        <v/>
      </c>
    </row>
    <row r="3663" customFormat="false" ht="15" hidden="false" customHeight="false" outlineLevel="0" collapsed="false">
      <c r="F3663" s="41" t="str">
        <f aca="false">IF(C3663="","",IFERROR(IF(ISNUMBER(SEARCH(Assumptions!$C$5,C3663)),Assumptions!$D$5,IF(ISNUMBER(SEARCH(Assumptions!$C$6,C3663)),Assumptions!$D$6,IF(ISNUMBER(SEARCH(Assumptions!$C$7,C3663)),Assumptions!$D$7,"Other Services"))),"Other Services"))</f>
        <v/>
      </c>
    </row>
    <row r="3664" customFormat="false" ht="15" hidden="false" customHeight="false" outlineLevel="0" collapsed="false">
      <c r="F3664" s="41" t="str">
        <f aca="false">IF(C3664="","",IFERROR(IF(ISNUMBER(SEARCH(Assumptions!$C$5,C3664)),Assumptions!$D$5,IF(ISNUMBER(SEARCH(Assumptions!$C$6,C3664)),Assumptions!$D$6,IF(ISNUMBER(SEARCH(Assumptions!$C$7,C3664)),Assumptions!$D$7,"Other Services"))),"Other Services"))</f>
        <v/>
      </c>
    </row>
    <row r="3665" customFormat="false" ht="15" hidden="false" customHeight="false" outlineLevel="0" collapsed="false">
      <c r="F3665" s="41" t="str">
        <f aca="false">IF(C3665="","",IFERROR(IF(ISNUMBER(SEARCH(Assumptions!$C$5,C3665)),Assumptions!$D$5,IF(ISNUMBER(SEARCH(Assumptions!$C$6,C3665)),Assumptions!$D$6,IF(ISNUMBER(SEARCH(Assumptions!$C$7,C3665)),Assumptions!$D$7,"Other Services"))),"Other Services"))</f>
        <v/>
      </c>
    </row>
    <row r="3666" customFormat="false" ht="15" hidden="false" customHeight="false" outlineLevel="0" collapsed="false">
      <c r="F3666" s="41" t="str">
        <f aca="false">IF(C3666="","",IFERROR(IF(ISNUMBER(SEARCH(Assumptions!$C$5,C3666)),Assumptions!$D$5,IF(ISNUMBER(SEARCH(Assumptions!$C$6,C3666)),Assumptions!$D$6,IF(ISNUMBER(SEARCH(Assumptions!$C$7,C3666)),Assumptions!$D$7,"Other Services"))),"Other Services"))</f>
        <v/>
      </c>
    </row>
    <row r="3667" customFormat="false" ht="15" hidden="false" customHeight="false" outlineLevel="0" collapsed="false">
      <c r="F3667" s="41" t="str">
        <f aca="false">IF(C3667="","",IFERROR(IF(ISNUMBER(SEARCH(Assumptions!$C$5,C3667)),Assumptions!$D$5,IF(ISNUMBER(SEARCH(Assumptions!$C$6,C3667)),Assumptions!$D$6,IF(ISNUMBER(SEARCH(Assumptions!$C$7,C3667)),Assumptions!$D$7,"Other Services"))),"Other Services"))</f>
        <v/>
      </c>
    </row>
    <row r="3668" customFormat="false" ht="15" hidden="false" customHeight="false" outlineLevel="0" collapsed="false">
      <c r="F3668" s="41" t="str">
        <f aca="false">IF(C3668="","",IFERROR(IF(ISNUMBER(SEARCH(Assumptions!$C$5,C3668)),Assumptions!$D$5,IF(ISNUMBER(SEARCH(Assumptions!$C$6,C3668)),Assumptions!$D$6,IF(ISNUMBER(SEARCH(Assumptions!$C$7,C3668)),Assumptions!$D$7,"Other Services"))),"Other Services"))</f>
        <v/>
      </c>
    </row>
    <row r="3669" customFormat="false" ht="15" hidden="false" customHeight="false" outlineLevel="0" collapsed="false">
      <c r="F3669" s="41" t="str">
        <f aca="false">IF(C3669="","",IFERROR(IF(ISNUMBER(SEARCH(Assumptions!$C$5,C3669)),Assumptions!$D$5,IF(ISNUMBER(SEARCH(Assumptions!$C$6,C3669)),Assumptions!$D$6,IF(ISNUMBER(SEARCH(Assumptions!$C$7,C3669)),Assumptions!$D$7,"Other Services"))),"Other Services"))</f>
        <v/>
      </c>
    </row>
    <row r="3670" customFormat="false" ht="15" hidden="false" customHeight="false" outlineLevel="0" collapsed="false">
      <c r="F3670" s="41" t="str">
        <f aca="false">IF(C3670="","",IFERROR(IF(ISNUMBER(SEARCH(Assumptions!$C$5,C3670)),Assumptions!$D$5,IF(ISNUMBER(SEARCH(Assumptions!$C$6,C3670)),Assumptions!$D$6,IF(ISNUMBER(SEARCH(Assumptions!$C$7,C3670)),Assumptions!$D$7,"Other Services"))),"Other Services"))</f>
        <v/>
      </c>
    </row>
    <row r="3671" customFormat="false" ht="15" hidden="false" customHeight="false" outlineLevel="0" collapsed="false">
      <c r="F3671" s="41" t="str">
        <f aca="false">IF(C3671="","",IFERROR(IF(ISNUMBER(SEARCH(Assumptions!$C$5,C3671)),Assumptions!$D$5,IF(ISNUMBER(SEARCH(Assumptions!$C$6,C3671)),Assumptions!$D$6,IF(ISNUMBER(SEARCH(Assumptions!$C$7,C3671)),Assumptions!$D$7,"Other Services"))),"Other Services"))</f>
        <v/>
      </c>
    </row>
    <row r="3672" customFormat="false" ht="15" hidden="false" customHeight="false" outlineLevel="0" collapsed="false">
      <c r="F3672" s="41" t="str">
        <f aca="false">IF(C3672="","",IFERROR(IF(ISNUMBER(SEARCH(Assumptions!$C$5,C3672)),Assumptions!$D$5,IF(ISNUMBER(SEARCH(Assumptions!$C$6,C3672)),Assumptions!$D$6,IF(ISNUMBER(SEARCH(Assumptions!$C$7,C3672)),Assumptions!$D$7,"Other Services"))),"Other Services"))</f>
        <v/>
      </c>
    </row>
    <row r="3673" customFormat="false" ht="15" hidden="false" customHeight="false" outlineLevel="0" collapsed="false">
      <c r="F3673" s="41" t="str">
        <f aca="false">IF(C3673="","",IFERROR(IF(ISNUMBER(SEARCH(Assumptions!$C$5,C3673)),Assumptions!$D$5,IF(ISNUMBER(SEARCH(Assumptions!$C$6,C3673)),Assumptions!$D$6,IF(ISNUMBER(SEARCH(Assumptions!$C$7,C3673)),Assumptions!$D$7,"Other Services"))),"Other Services"))</f>
        <v/>
      </c>
    </row>
    <row r="3674" customFormat="false" ht="15" hidden="false" customHeight="false" outlineLevel="0" collapsed="false">
      <c r="F3674" s="41" t="str">
        <f aca="false">IF(C3674="","",IFERROR(IF(ISNUMBER(SEARCH(Assumptions!$C$5,C3674)),Assumptions!$D$5,IF(ISNUMBER(SEARCH(Assumptions!$C$6,C3674)),Assumptions!$D$6,IF(ISNUMBER(SEARCH(Assumptions!$C$7,C3674)),Assumptions!$D$7,"Other Services"))),"Other Services"))</f>
        <v/>
      </c>
    </row>
    <row r="3675" customFormat="false" ht="15" hidden="false" customHeight="false" outlineLevel="0" collapsed="false">
      <c r="F3675" s="41" t="str">
        <f aca="false">IF(C3675="","",IFERROR(IF(ISNUMBER(SEARCH(Assumptions!$C$5,C3675)),Assumptions!$D$5,IF(ISNUMBER(SEARCH(Assumptions!$C$6,C3675)),Assumptions!$D$6,IF(ISNUMBER(SEARCH(Assumptions!$C$7,C3675)),Assumptions!$D$7,"Other Services"))),"Other Services"))</f>
        <v/>
      </c>
    </row>
    <row r="3676" customFormat="false" ht="15" hidden="false" customHeight="false" outlineLevel="0" collapsed="false">
      <c r="F3676" s="41" t="str">
        <f aca="false">IF(C3676="","",IFERROR(IF(ISNUMBER(SEARCH(Assumptions!$C$5,C3676)),Assumptions!$D$5,IF(ISNUMBER(SEARCH(Assumptions!$C$6,C3676)),Assumptions!$D$6,IF(ISNUMBER(SEARCH(Assumptions!$C$7,C3676)),Assumptions!$D$7,"Other Services"))),"Other Services"))</f>
        <v/>
      </c>
    </row>
    <row r="3677" customFormat="false" ht="15" hidden="false" customHeight="false" outlineLevel="0" collapsed="false">
      <c r="F3677" s="41" t="str">
        <f aca="false">IF(C3677="","",IFERROR(IF(ISNUMBER(SEARCH(Assumptions!$C$5,C3677)),Assumptions!$D$5,IF(ISNUMBER(SEARCH(Assumptions!$C$6,C3677)),Assumptions!$D$6,IF(ISNUMBER(SEARCH(Assumptions!$C$7,C3677)),Assumptions!$D$7,"Other Services"))),"Other Services"))</f>
        <v/>
      </c>
    </row>
    <row r="3678" customFormat="false" ht="15" hidden="false" customHeight="false" outlineLevel="0" collapsed="false">
      <c r="F3678" s="41" t="str">
        <f aca="false">IF(C3678="","",IFERROR(IF(ISNUMBER(SEARCH(Assumptions!$C$5,C3678)),Assumptions!$D$5,IF(ISNUMBER(SEARCH(Assumptions!$C$6,C3678)),Assumptions!$D$6,IF(ISNUMBER(SEARCH(Assumptions!$C$7,C3678)),Assumptions!$D$7,"Other Services"))),"Other Services"))</f>
        <v/>
      </c>
    </row>
    <row r="3679" customFormat="false" ht="15" hidden="false" customHeight="false" outlineLevel="0" collapsed="false">
      <c r="F3679" s="41" t="str">
        <f aca="false">IF(C3679="","",IFERROR(IF(ISNUMBER(SEARCH(Assumptions!$C$5,C3679)),Assumptions!$D$5,IF(ISNUMBER(SEARCH(Assumptions!$C$6,C3679)),Assumptions!$D$6,IF(ISNUMBER(SEARCH(Assumptions!$C$7,C3679)),Assumptions!$D$7,"Other Services"))),"Other Services"))</f>
        <v/>
      </c>
    </row>
    <row r="3680" customFormat="false" ht="15" hidden="false" customHeight="false" outlineLevel="0" collapsed="false">
      <c r="F3680" s="41" t="str">
        <f aca="false">IF(C3680="","",IFERROR(IF(ISNUMBER(SEARCH(Assumptions!$C$5,C3680)),Assumptions!$D$5,IF(ISNUMBER(SEARCH(Assumptions!$C$6,C3680)),Assumptions!$D$6,IF(ISNUMBER(SEARCH(Assumptions!$C$7,C3680)),Assumptions!$D$7,"Other Services"))),"Other Services"))</f>
        <v/>
      </c>
    </row>
    <row r="3681" customFormat="false" ht="15" hidden="false" customHeight="false" outlineLevel="0" collapsed="false">
      <c r="F3681" s="41" t="str">
        <f aca="false">IF(C3681="","",IFERROR(IF(ISNUMBER(SEARCH(Assumptions!$C$5,C3681)),Assumptions!$D$5,IF(ISNUMBER(SEARCH(Assumptions!$C$6,C3681)),Assumptions!$D$6,IF(ISNUMBER(SEARCH(Assumptions!$C$7,C3681)),Assumptions!$D$7,"Other Services"))),"Other Services"))</f>
        <v/>
      </c>
    </row>
    <row r="3682" customFormat="false" ht="15" hidden="false" customHeight="false" outlineLevel="0" collapsed="false">
      <c r="F3682" s="41" t="str">
        <f aca="false">IF(C3682="","",IFERROR(IF(ISNUMBER(SEARCH(Assumptions!$C$5,C3682)),Assumptions!$D$5,IF(ISNUMBER(SEARCH(Assumptions!$C$6,C3682)),Assumptions!$D$6,IF(ISNUMBER(SEARCH(Assumptions!$C$7,C3682)),Assumptions!$D$7,"Other Services"))),"Other Services"))</f>
        <v/>
      </c>
    </row>
    <row r="3683" customFormat="false" ht="15" hidden="false" customHeight="false" outlineLevel="0" collapsed="false">
      <c r="F3683" s="41" t="str">
        <f aca="false">IF(C3683="","",IFERROR(IF(ISNUMBER(SEARCH(Assumptions!$C$5,C3683)),Assumptions!$D$5,IF(ISNUMBER(SEARCH(Assumptions!$C$6,C3683)),Assumptions!$D$6,IF(ISNUMBER(SEARCH(Assumptions!$C$7,C3683)),Assumptions!$D$7,"Other Services"))),"Other Services"))</f>
        <v/>
      </c>
    </row>
    <row r="3684" customFormat="false" ht="15" hidden="false" customHeight="false" outlineLevel="0" collapsed="false">
      <c r="F3684" s="41" t="str">
        <f aca="false">IF(C3684="","",IFERROR(IF(ISNUMBER(SEARCH(Assumptions!$C$5,C3684)),Assumptions!$D$5,IF(ISNUMBER(SEARCH(Assumptions!$C$6,C3684)),Assumptions!$D$6,IF(ISNUMBER(SEARCH(Assumptions!$C$7,C3684)),Assumptions!$D$7,"Other Services"))),"Other Services"))</f>
        <v/>
      </c>
    </row>
    <row r="3685" customFormat="false" ht="15" hidden="false" customHeight="false" outlineLevel="0" collapsed="false">
      <c r="F3685" s="41" t="str">
        <f aca="false">IF(C3685="","",IFERROR(IF(ISNUMBER(SEARCH(Assumptions!$C$5,C3685)),Assumptions!$D$5,IF(ISNUMBER(SEARCH(Assumptions!$C$6,C3685)),Assumptions!$D$6,IF(ISNUMBER(SEARCH(Assumptions!$C$7,C3685)),Assumptions!$D$7,"Other Services"))),"Other Services"))</f>
        <v/>
      </c>
    </row>
    <row r="3686" customFormat="false" ht="15" hidden="false" customHeight="false" outlineLevel="0" collapsed="false">
      <c r="F3686" s="41" t="str">
        <f aca="false">IF(C3686="","",IFERROR(IF(ISNUMBER(SEARCH(Assumptions!$C$5,C3686)),Assumptions!$D$5,IF(ISNUMBER(SEARCH(Assumptions!$C$6,C3686)),Assumptions!$D$6,IF(ISNUMBER(SEARCH(Assumptions!$C$7,C3686)),Assumptions!$D$7,"Other Services"))),"Other Services"))</f>
        <v/>
      </c>
    </row>
    <row r="3687" customFormat="false" ht="15" hidden="false" customHeight="false" outlineLevel="0" collapsed="false">
      <c r="F3687" s="41" t="str">
        <f aca="false">IF(C3687="","",IFERROR(IF(ISNUMBER(SEARCH(Assumptions!$C$5,C3687)),Assumptions!$D$5,IF(ISNUMBER(SEARCH(Assumptions!$C$6,C3687)),Assumptions!$D$6,IF(ISNUMBER(SEARCH(Assumptions!$C$7,C3687)),Assumptions!$D$7,"Other Services"))),"Other Services"))</f>
        <v/>
      </c>
    </row>
    <row r="3688" customFormat="false" ht="15" hidden="false" customHeight="false" outlineLevel="0" collapsed="false">
      <c r="F3688" s="41" t="str">
        <f aca="false">IF(C3688="","",IFERROR(IF(ISNUMBER(SEARCH(Assumptions!$C$5,C3688)),Assumptions!$D$5,IF(ISNUMBER(SEARCH(Assumptions!$C$6,C3688)),Assumptions!$D$6,IF(ISNUMBER(SEARCH(Assumptions!$C$7,C3688)),Assumptions!$D$7,"Other Services"))),"Other Services"))</f>
        <v/>
      </c>
    </row>
    <row r="3689" customFormat="false" ht="15" hidden="false" customHeight="false" outlineLevel="0" collapsed="false">
      <c r="F3689" s="41" t="str">
        <f aca="false">IF(C3689="","",IFERROR(IF(ISNUMBER(SEARCH(Assumptions!$C$5,C3689)),Assumptions!$D$5,IF(ISNUMBER(SEARCH(Assumptions!$C$6,C3689)),Assumptions!$D$6,IF(ISNUMBER(SEARCH(Assumptions!$C$7,C3689)),Assumptions!$D$7,"Other Services"))),"Other Services"))</f>
        <v/>
      </c>
    </row>
    <row r="3690" customFormat="false" ht="15" hidden="false" customHeight="false" outlineLevel="0" collapsed="false">
      <c r="F3690" s="41" t="str">
        <f aca="false">IF(C3690="","",IFERROR(IF(ISNUMBER(SEARCH(Assumptions!$C$5,C3690)),Assumptions!$D$5,IF(ISNUMBER(SEARCH(Assumptions!$C$6,C3690)),Assumptions!$D$6,IF(ISNUMBER(SEARCH(Assumptions!$C$7,C3690)),Assumptions!$D$7,"Other Services"))),"Other Services"))</f>
        <v/>
      </c>
    </row>
    <row r="3691" customFormat="false" ht="15" hidden="false" customHeight="false" outlineLevel="0" collapsed="false">
      <c r="F3691" s="41" t="str">
        <f aca="false">IF(C3691="","",IFERROR(IF(ISNUMBER(SEARCH(Assumptions!$C$5,C3691)),Assumptions!$D$5,IF(ISNUMBER(SEARCH(Assumptions!$C$6,C3691)),Assumptions!$D$6,IF(ISNUMBER(SEARCH(Assumptions!$C$7,C3691)),Assumptions!$D$7,"Other Services"))),"Other Services"))</f>
        <v/>
      </c>
    </row>
    <row r="3692" customFormat="false" ht="15" hidden="false" customHeight="false" outlineLevel="0" collapsed="false">
      <c r="F3692" s="41" t="str">
        <f aca="false">IF(C3692="","",IFERROR(IF(ISNUMBER(SEARCH(Assumptions!$C$5,C3692)),Assumptions!$D$5,IF(ISNUMBER(SEARCH(Assumptions!$C$6,C3692)),Assumptions!$D$6,IF(ISNUMBER(SEARCH(Assumptions!$C$7,C3692)),Assumptions!$D$7,"Other Services"))),"Other Services"))</f>
        <v/>
      </c>
    </row>
    <row r="3693" customFormat="false" ht="15" hidden="false" customHeight="false" outlineLevel="0" collapsed="false">
      <c r="F3693" s="41" t="str">
        <f aca="false">IF(C3693="","",IFERROR(IF(ISNUMBER(SEARCH(Assumptions!$C$5,C3693)),Assumptions!$D$5,IF(ISNUMBER(SEARCH(Assumptions!$C$6,C3693)),Assumptions!$D$6,IF(ISNUMBER(SEARCH(Assumptions!$C$7,C3693)),Assumptions!$D$7,"Other Services"))),"Other Services"))</f>
        <v/>
      </c>
    </row>
    <row r="3694" customFormat="false" ht="15" hidden="false" customHeight="false" outlineLevel="0" collapsed="false">
      <c r="F3694" s="41" t="str">
        <f aca="false">IF(C3694="","",IFERROR(IF(ISNUMBER(SEARCH(Assumptions!$C$5,C3694)),Assumptions!$D$5,IF(ISNUMBER(SEARCH(Assumptions!$C$6,C3694)),Assumptions!$D$6,IF(ISNUMBER(SEARCH(Assumptions!$C$7,C3694)),Assumptions!$D$7,"Other Services"))),"Other Services"))</f>
        <v/>
      </c>
    </row>
    <row r="3695" customFormat="false" ht="15" hidden="false" customHeight="false" outlineLevel="0" collapsed="false">
      <c r="F3695" s="41" t="str">
        <f aca="false">IF(C3695="","",IFERROR(IF(ISNUMBER(SEARCH(Assumptions!$C$5,C3695)),Assumptions!$D$5,IF(ISNUMBER(SEARCH(Assumptions!$C$6,C3695)),Assumptions!$D$6,IF(ISNUMBER(SEARCH(Assumptions!$C$7,C3695)),Assumptions!$D$7,"Other Services"))),"Other Services"))</f>
        <v/>
      </c>
    </row>
    <row r="3696" customFormat="false" ht="15" hidden="false" customHeight="false" outlineLevel="0" collapsed="false">
      <c r="F3696" s="41" t="str">
        <f aca="false">IF(C3696="","",IFERROR(IF(ISNUMBER(SEARCH(Assumptions!$C$5,C3696)),Assumptions!$D$5,IF(ISNUMBER(SEARCH(Assumptions!$C$6,C3696)),Assumptions!$D$6,IF(ISNUMBER(SEARCH(Assumptions!$C$7,C3696)),Assumptions!$D$7,"Other Services"))),"Other Services"))</f>
        <v/>
      </c>
    </row>
    <row r="3697" customFormat="false" ht="15" hidden="false" customHeight="false" outlineLevel="0" collapsed="false">
      <c r="F3697" s="41" t="str">
        <f aca="false">IF(C3697="","",IFERROR(IF(ISNUMBER(SEARCH(Assumptions!$C$5,C3697)),Assumptions!$D$5,IF(ISNUMBER(SEARCH(Assumptions!$C$6,C3697)),Assumptions!$D$6,IF(ISNUMBER(SEARCH(Assumptions!$C$7,C3697)),Assumptions!$D$7,"Other Services"))),"Other Services"))</f>
        <v/>
      </c>
    </row>
    <row r="3698" customFormat="false" ht="15" hidden="false" customHeight="false" outlineLevel="0" collapsed="false">
      <c r="F3698" s="41" t="str">
        <f aca="false">IF(C3698="","",IFERROR(IF(ISNUMBER(SEARCH(Assumptions!$C$5,C3698)),Assumptions!$D$5,IF(ISNUMBER(SEARCH(Assumptions!$C$6,C3698)),Assumptions!$D$6,IF(ISNUMBER(SEARCH(Assumptions!$C$7,C3698)),Assumptions!$D$7,"Other Services"))),"Other Services"))</f>
        <v/>
      </c>
    </row>
    <row r="3699" customFormat="false" ht="15" hidden="false" customHeight="false" outlineLevel="0" collapsed="false">
      <c r="F3699" s="41" t="str">
        <f aca="false">IF(C3699="","",IFERROR(IF(ISNUMBER(SEARCH(Assumptions!$C$5,C3699)),Assumptions!$D$5,IF(ISNUMBER(SEARCH(Assumptions!$C$6,C3699)),Assumptions!$D$6,IF(ISNUMBER(SEARCH(Assumptions!$C$7,C3699)),Assumptions!$D$7,"Other Services"))),"Other Services"))</f>
        <v/>
      </c>
    </row>
    <row r="3700" customFormat="false" ht="15" hidden="false" customHeight="false" outlineLevel="0" collapsed="false">
      <c r="F3700" s="41" t="str">
        <f aca="false">IF(C3700="","",IFERROR(IF(ISNUMBER(SEARCH(Assumptions!$C$5,C3700)),Assumptions!$D$5,IF(ISNUMBER(SEARCH(Assumptions!$C$6,C3700)),Assumptions!$D$6,IF(ISNUMBER(SEARCH(Assumptions!$C$7,C3700)),Assumptions!$D$7,"Other Services"))),"Other Services"))</f>
        <v/>
      </c>
    </row>
    <row r="3701" customFormat="false" ht="15" hidden="false" customHeight="false" outlineLevel="0" collapsed="false">
      <c r="F3701" s="41" t="str">
        <f aca="false">IF(C3701="","",IFERROR(IF(ISNUMBER(SEARCH(Assumptions!$C$5,C3701)),Assumptions!$D$5,IF(ISNUMBER(SEARCH(Assumptions!$C$6,C3701)),Assumptions!$D$6,IF(ISNUMBER(SEARCH(Assumptions!$C$7,C3701)),Assumptions!$D$7,"Other Services"))),"Other Services"))</f>
        <v/>
      </c>
    </row>
    <row r="3702" customFormat="false" ht="15" hidden="false" customHeight="false" outlineLevel="0" collapsed="false">
      <c r="F3702" s="41" t="str">
        <f aca="false">IF(C3702="","",IFERROR(IF(ISNUMBER(SEARCH(Assumptions!$C$5,C3702)),Assumptions!$D$5,IF(ISNUMBER(SEARCH(Assumptions!$C$6,C3702)),Assumptions!$D$6,IF(ISNUMBER(SEARCH(Assumptions!$C$7,C3702)),Assumptions!$D$7,"Other Services"))),"Other Services"))</f>
        <v/>
      </c>
    </row>
    <row r="3703" customFormat="false" ht="15" hidden="false" customHeight="false" outlineLevel="0" collapsed="false">
      <c r="F3703" s="41" t="str">
        <f aca="false">IF(C3703="","",IFERROR(IF(ISNUMBER(SEARCH(Assumptions!$C$5,C3703)),Assumptions!$D$5,IF(ISNUMBER(SEARCH(Assumptions!$C$6,C3703)),Assumptions!$D$6,IF(ISNUMBER(SEARCH(Assumptions!$C$7,C3703)),Assumptions!$D$7,"Other Services"))),"Other Services"))</f>
        <v/>
      </c>
    </row>
    <row r="3704" customFormat="false" ht="15" hidden="false" customHeight="false" outlineLevel="0" collapsed="false">
      <c r="F3704" s="41" t="str">
        <f aca="false">IF(C3704="","",IFERROR(IF(ISNUMBER(SEARCH(Assumptions!$C$5,C3704)),Assumptions!$D$5,IF(ISNUMBER(SEARCH(Assumptions!$C$6,C3704)),Assumptions!$D$6,IF(ISNUMBER(SEARCH(Assumptions!$C$7,C3704)),Assumptions!$D$7,"Other Services"))),"Other Services"))</f>
        <v/>
      </c>
    </row>
    <row r="3705" customFormat="false" ht="15" hidden="false" customHeight="false" outlineLevel="0" collapsed="false">
      <c r="F3705" s="41" t="str">
        <f aca="false">IF(C3705="","",IFERROR(IF(ISNUMBER(SEARCH(Assumptions!$C$5,C3705)),Assumptions!$D$5,IF(ISNUMBER(SEARCH(Assumptions!$C$6,C3705)),Assumptions!$D$6,IF(ISNUMBER(SEARCH(Assumptions!$C$7,C3705)),Assumptions!$D$7,"Other Services"))),"Other Services"))</f>
        <v/>
      </c>
    </row>
    <row r="3706" customFormat="false" ht="15" hidden="false" customHeight="false" outlineLevel="0" collapsed="false">
      <c r="F3706" s="41" t="str">
        <f aca="false">IF(C3706="","",IFERROR(IF(ISNUMBER(SEARCH(Assumptions!$C$5,C3706)),Assumptions!$D$5,IF(ISNUMBER(SEARCH(Assumptions!$C$6,C3706)),Assumptions!$D$6,IF(ISNUMBER(SEARCH(Assumptions!$C$7,C3706)),Assumptions!$D$7,"Other Services"))),"Other Services"))</f>
        <v/>
      </c>
    </row>
    <row r="3707" customFormat="false" ht="15" hidden="false" customHeight="false" outlineLevel="0" collapsed="false">
      <c r="F3707" s="41" t="str">
        <f aca="false">IF(C3707="","",IFERROR(IF(ISNUMBER(SEARCH(Assumptions!$C$5,C3707)),Assumptions!$D$5,IF(ISNUMBER(SEARCH(Assumptions!$C$6,C3707)),Assumptions!$D$6,IF(ISNUMBER(SEARCH(Assumptions!$C$7,C3707)),Assumptions!$D$7,"Other Services"))),"Other Services"))</f>
        <v/>
      </c>
    </row>
    <row r="3708" customFormat="false" ht="15" hidden="false" customHeight="false" outlineLevel="0" collapsed="false">
      <c r="F3708" s="41" t="str">
        <f aca="false">IF(C3708="","",IFERROR(IF(ISNUMBER(SEARCH(Assumptions!$C$5,C3708)),Assumptions!$D$5,IF(ISNUMBER(SEARCH(Assumptions!$C$6,C3708)),Assumptions!$D$6,IF(ISNUMBER(SEARCH(Assumptions!$C$7,C3708)),Assumptions!$D$7,"Other Services"))),"Other Services"))</f>
        <v/>
      </c>
    </row>
    <row r="3709" customFormat="false" ht="15" hidden="false" customHeight="false" outlineLevel="0" collapsed="false">
      <c r="F3709" s="41" t="str">
        <f aca="false">IF(C3709="","",IFERROR(IF(ISNUMBER(SEARCH(Assumptions!$C$5,C3709)),Assumptions!$D$5,IF(ISNUMBER(SEARCH(Assumptions!$C$6,C3709)),Assumptions!$D$6,IF(ISNUMBER(SEARCH(Assumptions!$C$7,C3709)),Assumptions!$D$7,"Other Services"))),"Other Services"))</f>
        <v/>
      </c>
    </row>
    <row r="3710" customFormat="false" ht="15" hidden="false" customHeight="false" outlineLevel="0" collapsed="false">
      <c r="F3710" s="41" t="str">
        <f aca="false">IF(C3710="","",IFERROR(IF(ISNUMBER(SEARCH(Assumptions!$C$5,C3710)),Assumptions!$D$5,IF(ISNUMBER(SEARCH(Assumptions!$C$6,C3710)),Assumptions!$D$6,IF(ISNUMBER(SEARCH(Assumptions!$C$7,C3710)),Assumptions!$D$7,"Other Services"))),"Other Services"))</f>
        <v/>
      </c>
    </row>
    <row r="3711" customFormat="false" ht="15" hidden="false" customHeight="false" outlineLevel="0" collapsed="false">
      <c r="F3711" s="41" t="str">
        <f aca="false">IF(C3711="","",IFERROR(IF(ISNUMBER(SEARCH(Assumptions!$C$5,C3711)),Assumptions!$D$5,IF(ISNUMBER(SEARCH(Assumptions!$C$6,C3711)),Assumptions!$D$6,IF(ISNUMBER(SEARCH(Assumptions!$C$7,C3711)),Assumptions!$D$7,"Other Services"))),"Other Services"))</f>
        <v/>
      </c>
    </row>
    <row r="3712" customFormat="false" ht="15" hidden="false" customHeight="false" outlineLevel="0" collapsed="false">
      <c r="F3712" s="41" t="str">
        <f aca="false">IF(C3712="","",IFERROR(IF(ISNUMBER(SEARCH(Assumptions!$C$5,C3712)),Assumptions!$D$5,IF(ISNUMBER(SEARCH(Assumptions!$C$6,C3712)),Assumptions!$D$6,IF(ISNUMBER(SEARCH(Assumptions!$C$7,C3712)),Assumptions!$D$7,"Other Services"))),"Other Services"))</f>
        <v/>
      </c>
    </row>
    <row r="3713" customFormat="false" ht="15" hidden="false" customHeight="false" outlineLevel="0" collapsed="false">
      <c r="F3713" s="41" t="str">
        <f aca="false">IF(C3713="","",IFERROR(IF(ISNUMBER(SEARCH(Assumptions!$C$5,C3713)),Assumptions!$D$5,IF(ISNUMBER(SEARCH(Assumptions!$C$6,C3713)),Assumptions!$D$6,IF(ISNUMBER(SEARCH(Assumptions!$C$7,C3713)),Assumptions!$D$7,"Other Services"))),"Other Services"))</f>
        <v/>
      </c>
    </row>
    <row r="3714" customFormat="false" ht="15" hidden="false" customHeight="false" outlineLevel="0" collapsed="false">
      <c r="F3714" s="41" t="str">
        <f aca="false">IF(C3714="","",IFERROR(IF(ISNUMBER(SEARCH(Assumptions!$C$5,C3714)),Assumptions!$D$5,IF(ISNUMBER(SEARCH(Assumptions!$C$6,C3714)),Assumptions!$D$6,IF(ISNUMBER(SEARCH(Assumptions!$C$7,C3714)),Assumptions!$D$7,"Other Services"))),"Other Services"))</f>
        <v/>
      </c>
    </row>
    <row r="3715" customFormat="false" ht="15" hidden="false" customHeight="false" outlineLevel="0" collapsed="false">
      <c r="F3715" s="41" t="str">
        <f aca="false">IF(C3715="","",IFERROR(IF(ISNUMBER(SEARCH(Assumptions!$C$5,C3715)),Assumptions!$D$5,IF(ISNUMBER(SEARCH(Assumptions!$C$6,C3715)),Assumptions!$D$6,IF(ISNUMBER(SEARCH(Assumptions!$C$7,C3715)),Assumptions!$D$7,"Other Services"))),"Other Services"))</f>
        <v/>
      </c>
    </row>
    <row r="3716" customFormat="false" ht="15" hidden="false" customHeight="false" outlineLevel="0" collapsed="false">
      <c r="F3716" s="41" t="str">
        <f aca="false">IF(C3716="","",IFERROR(IF(ISNUMBER(SEARCH(Assumptions!$C$5,C3716)),Assumptions!$D$5,IF(ISNUMBER(SEARCH(Assumptions!$C$6,C3716)),Assumptions!$D$6,IF(ISNUMBER(SEARCH(Assumptions!$C$7,C3716)),Assumptions!$D$7,"Other Services"))),"Other Services"))</f>
        <v/>
      </c>
    </row>
    <row r="3717" customFormat="false" ht="15" hidden="false" customHeight="false" outlineLevel="0" collapsed="false">
      <c r="F3717" s="41" t="str">
        <f aca="false">IF(C3717="","",IFERROR(IF(ISNUMBER(SEARCH(Assumptions!$C$5,C3717)),Assumptions!$D$5,IF(ISNUMBER(SEARCH(Assumptions!$C$6,C3717)),Assumptions!$D$6,IF(ISNUMBER(SEARCH(Assumptions!$C$7,C3717)),Assumptions!$D$7,"Other Services"))),"Other Services"))</f>
        <v/>
      </c>
    </row>
    <row r="3718" customFormat="false" ht="15" hidden="false" customHeight="false" outlineLevel="0" collapsed="false">
      <c r="F3718" s="41" t="str">
        <f aca="false">IF(C3718="","",IFERROR(IF(ISNUMBER(SEARCH(Assumptions!$C$5,C3718)),Assumptions!$D$5,IF(ISNUMBER(SEARCH(Assumptions!$C$6,C3718)),Assumptions!$D$6,IF(ISNUMBER(SEARCH(Assumptions!$C$7,C3718)),Assumptions!$D$7,"Other Services"))),"Other Services"))</f>
        <v/>
      </c>
    </row>
    <row r="3719" customFormat="false" ht="15" hidden="false" customHeight="false" outlineLevel="0" collapsed="false">
      <c r="F3719" s="41" t="str">
        <f aca="false">IF(C3719="","",IFERROR(IF(ISNUMBER(SEARCH(Assumptions!$C$5,C3719)),Assumptions!$D$5,IF(ISNUMBER(SEARCH(Assumptions!$C$6,C3719)),Assumptions!$D$6,IF(ISNUMBER(SEARCH(Assumptions!$C$7,C3719)),Assumptions!$D$7,"Other Services"))),"Other Services"))</f>
        <v/>
      </c>
    </row>
    <row r="3720" customFormat="false" ht="15" hidden="false" customHeight="false" outlineLevel="0" collapsed="false">
      <c r="F3720" s="41" t="str">
        <f aca="false">IF(C3720="","",IFERROR(IF(ISNUMBER(SEARCH(Assumptions!$C$5,C3720)),Assumptions!$D$5,IF(ISNUMBER(SEARCH(Assumptions!$C$6,C3720)),Assumptions!$D$6,IF(ISNUMBER(SEARCH(Assumptions!$C$7,C3720)),Assumptions!$D$7,"Other Services"))),"Other Services"))</f>
        <v/>
      </c>
    </row>
    <row r="3721" customFormat="false" ht="15" hidden="false" customHeight="false" outlineLevel="0" collapsed="false">
      <c r="F3721" s="41" t="str">
        <f aca="false">IF(C3721="","",IFERROR(IF(ISNUMBER(SEARCH(Assumptions!$C$5,C3721)),Assumptions!$D$5,IF(ISNUMBER(SEARCH(Assumptions!$C$6,C3721)),Assumptions!$D$6,IF(ISNUMBER(SEARCH(Assumptions!$C$7,C3721)),Assumptions!$D$7,"Other Services"))),"Other Services"))</f>
        <v/>
      </c>
    </row>
    <row r="3722" customFormat="false" ht="15" hidden="false" customHeight="false" outlineLevel="0" collapsed="false">
      <c r="F3722" s="41" t="str">
        <f aca="false">IF(C3722="","",IFERROR(IF(ISNUMBER(SEARCH(Assumptions!$C$5,C3722)),Assumptions!$D$5,IF(ISNUMBER(SEARCH(Assumptions!$C$6,C3722)),Assumptions!$D$6,IF(ISNUMBER(SEARCH(Assumptions!$C$7,C3722)),Assumptions!$D$7,"Other Services"))),"Other Services"))</f>
        <v/>
      </c>
    </row>
    <row r="3723" customFormat="false" ht="15" hidden="false" customHeight="false" outlineLevel="0" collapsed="false">
      <c r="F3723" s="41" t="str">
        <f aca="false">IF(C3723="","",IFERROR(IF(ISNUMBER(SEARCH(Assumptions!$C$5,C3723)),Assumptions!$D$5,IF(ISNUMBER(SEARCH(Assumptions!$C$6,C3723)),Assumptions!$D$6,IF(ISNUMBER(SEARCH(Assumptions!$C$7,C3723)),Assumptions!$D$7,"Other Services"))),"Other Services"))</f>
        <v/>
      </c>
    </row>
    <row r="3724" customFormat="false" ht="15" hidden="false" customHeight="false" outlineLevel="0" collapsed="false">
      <c r="F3724" s="41" t="str">
        <f aca="false">IF(C3724="","",IFERROR(IF(ISNUMBER(SEARCH(Assumptions!$C$5,C3724)),Assumptions!$D$5,IF(ISNUMBER(SEARCH(Assumptions!$C$6,C3724)),Assumptions!$D$6,IF(ISNUMBER(SEARCH(Assumptions!$C$7,C3724)),Assumptions!$D$7,"Other Services"))),"Other Services"))</f>
        <v/>
      </c>
    </row>
    <row r="3725" customFormat="false" ht="15" hidden="false" customHeight="false" outlineLevel="0" collapsed="false">
      <c r="F3725" s="41" t="str">
        <f aca="false">IF(C3725="","",IFERROR(IF(ISNUMBER(SEARCH(Assumptions!$C$5,C3725)),Assumptions!$D$5,IF(ISNUMBER(SEARCH(Assumptions!$C$6,C3725)),Assumptions!$D$6,IF(ISNUMBER(SEARCH(Assumptions!$C$7,C3725)),Assumptions!$D$7,"Other Services"))),"Other Services"))</f>
        <v/>
      </c>
    </row>
    <row r="3726" customFormat="false" ht="15" hidden="false" customHeight="false" outlineLevel="0" collapsed="false">
      <c r="F3726" s="41" t="str">
        <f aca="false">IF(C3726="","",IFERROR(IF(ISNUMBER(SEARCH(Assumptions!$C$5,C3726)),Assumptions!$D$5,IF(ISNUMBER(SEARCH(Assumptions!$C$6,C3726)),Assumptions!$D$6,IF(ISNUMBER(SEARCH(Assumptions!$C$7,C3726)),Assumptions!$D$7,"Other Services"))),"Other Services"))</f>
        <v/>
      </c>
    </row>
    <row r="3727" customFormat="false" ht="15" hidden="false" customHeight="false" outlineLevel="0" collapsed="false">
      <c r="F3727" s="41" t="str">
        <f aca="false">IF(C3727="","",IFERROR(IF(ISNUMBER(SEARCH(Assumptions!$C$5,C3727)),Assumptions!$D$5,IF(ISNUMBER(SEARCH(Assumptions!$C$6,C3727)),Assumptions!$D$6,IF(ISNUMBER(SEARCH(Assumptions!$C$7,C3727)),Assumptions!$D$7,"Other Services"))),"Other Services"))</f>
        <v/>
      </c>
    </row>
    <row r="3728" customFormat="false" ht="15" hidden="false" customHeight="false" outlineLevel="0" collapsed="false">
      <c r="F3728" s="41" t="str">
        <f aca="false">IF(C3728="","",IFERROR(IF(ISNUMBER(SEARCH(Assumptions!$C$5,C3728)),Assumptions!$D$5,IF(ISNUMBER(SEARCH(Assumptions!$C$6,C3728)),Assumptions!$D$6,IF(ISNUMBER(SEARCH(Assumptions!$C$7,C3728)),Assumptions!$D$7,"Other Services"))),"Other Services"))</f>
        <v/>
      </c>
    </row>
    <row r="3729" customFormat="false" ht="15" hidden="false" customHeight="false" outlineLevel="0" collapsed="false">
      <c r="F3729" s="41" t="str">
        <f aca="false">IF(C3729="","",IFERROR(IF(ISNUMBER(SEARCH(Assumptions!$C$5,C3729)),Assumptions!$D$5,IF(ISNUMBER(SEARCH(Assumptions!$C$6,C3729)),Assumptions!$D$6,IF(ISNUMBER(SEARCH(Assumptions!$C$7,C3729)),Assumptions!$D$7,"Other Services"))),"Other Services"))</f>
        <v/>
      </c>
    </row>
    <row r="3730" customFormat="false" ht="15" hidden="false" customHeight="false" outlineLevel="0" collapsed="false">
      <c r="F3730" s="41" t="str">
        <f aca="false">IF(C3730="","",IFERROR(IF(ISNUMBER(SEARCH(Assumptions!$C$5,C3730)),Assumptions!$D$5,IF(ISNUMBER(SEARCH(Assumptions!$C$6,C3730)),Assumptions!$D$6,IF(ISNUMBER(SEARCH(Assumptions!$C$7,C3730)),Assumptions!$D$7,"Other Services"))),"Other Services"))</f>
        <v/>
      </c>
    </row>
    <row r="3731" customFormat="false" ht="15" hidden="false" customHeight="false" outlineLevel="0" collapsed="false">
      <c r="F3731" s="41" t="str">
        <f aca="false">IF(C3731="","",IFERROR(IF(ISNUMBER(SEARCH(Assumptions!$C$5,C3731)),Assumptions!$D$5,IF(ISNUMBER(SEARCH(Assumptions!$C$6,C3731)),Assumptions!$D$6,IF(ISNUMBER(SEARCH(Assumptions!$C$7,C3731)),Assumptions!$D$7,"Other Services"))),"Other Services"))</f>
        <v/>
      </c>
    </row>
    <row r="3732" customFormat="false" ht="15" hidden="false" customHeight="false" outlineLevel="0" collapsed="false">
      <c r="F3732" s="41" t="str">
        <f aca="false">IF(C3732="","",IFERROR(IF(ISNUMBER(SEARCH(Assumptions!$C$5,C3732)),Assumptions!$D$5,IF(ISNUMBER(SEARCH(Assumptions!$C$6,C3732)),Assumptions!$D$6,IF(ISNUMBER(SEARCH(Assumptions!$C$7,C3732)),Assumptions!$D$7,"Other Services"))),"Other Services"))</f>
        <v/>
      </c>
    </row>
    <row r="3733" customFormat="false" ht="15" hidden="false" customHeight="false" outlineLevel="0" collapsed="false">
      <c r="F3733" s="41" t="str">
        <f aca="false">IF(C3733="","",IFERROR(IF(ISNUMBER(SEARCH(Assumptions!$C$5,C3733)),Assumptions!$D$5,IF(ISNUMBER(SEARCH(Assumptions!$C$6,C3733)),Assumptions!$D$6,IF(ISNUMBER(SEARCH(Assumptions!$C$7,C3733)),Assumptions!$D$7,"Other Services"))),"Other Services"))</f>
        <v/>
      </c>
    </row>
    <row r="3734" customFormat="false" ht="15" hidden="false" customHeight="false" outlineLevel="0" collapsed="false">
      <c r="F3734" s="41" t="str">
        <f aca="false">IF(C3734="","",IFERROR(IF(ISNUMBER(SEARCH(Assumptions!$C$5,C3734)),Assumptions!$D$5,IF(ISNUMBER(SEARCH(Assumptions!$C$6,C3734)),Assumptions!$D$6,IF(ISNUMBER(SEARCH(Assumptions!$C$7,C3734)),Assumptions!$D$7,"Other Services"))),"Other Services"))</f>
        <v/>
      </c>
    </row>
    <row r="3735" customFormat="false" ht="15" hidden="false" customHeight="false" outlineLevel="0" collapsed="false">
      <c r="F3735" s="41" t="str">
        <f aca="false">IF(C3735="","",IFERROR(IF(ISNUMBER(SEARCH(Assumptions!$C$5,C3735)),Assumptions!$D$5,IF(ISNUMBER(SEARCH(Assumptions!$C$6,C3735)),Assumptions!$D$6,IF(ISNUMBER(SEARCH(Assumptions!$C$7,C3735)),Assumptions!$D$7,"Other Services"))),"Other Services"))</f>
        <v/>
      </c>
    </row>
    <row r="3736" customFormat="false" ht="15" hidden="false" customHeight="false" outlineLevel="0" collapsed="false">
      <c r="F3736" s="41" t="str">
        <f aca="false">IF(C3736="","",IFERROR(IF(ISNUMBER(SEARCH(Assumptions!$C$5,C3736)),Assumptions!$D$5,IF(ISNUMBER(SEARCH(Assumptions!$C$6,C3736)),Assumptions!$D$6,IF(ISNUMBER(SEARCH(Assumptions!$C$7,C3736)),Assumptions!$D$7,"Other Services"))),"Other Services"))</f>
        <v/>
      </c>
    </row>
    <row r="3737" customFormat="false" ht="15" hidden="false" customHeight="false" outlineLevel="0" collapsed="false">
      <c r="F3737" s="41" t="str">
        <f aca="false">IF(C3737="","",IFERROR(IF(ISNUMBER(SEARCH(Assumptions!$C$5,C3737)),Assumptions!$D$5,IF(ISNUMBER(SEARCH(Assumptions!$C$6,C3737)),Assumptions!$D$6,IF(ISNUMBER(SEARCH(Assumptions!$C$7,C3737)),Assumptions!$D$7,"Other Services"))),"Other Services"))</f>
        <v/>
      </c>
    </row>
    <row r="3738" customFormat="false" ht="15" hidden="false" customHeight="false" outlineLevel="0" collapsed="false">
      <c r="F3738" s="41" t="str">
        <f aca="false">IF(C3738="","",IFERROR(IF(ISNUMBER(SEARCH(Assumptions!$C$5,C3738)),Assumptions!$D$5,IF(ISNUMBER(SEARCH(Assumptions!$C$6,C3738)),Assumptions!$D$6,IF(ISNUMBER(SEARCH(Assumptions!$C$7,C3738)),Assumptions!$D$7,"Other Services"))),"Other Services"))</f>
        <v/>
      </c>
    </row>
    <row r="3739" customFormat="false" ht="15" hidden="false" customHeight="false" outlineLevel="0" collapsed="false">
      <c r="F3739" s="41" t="str">
        <f aca="false">IF(C3739="","",IFERROR(IF(ISNUMBER(SEARCH(Assumptions!$C$5,C3739)),Assumptions!$D$5,IF(ISNUMBER(SEARCH(Assumptions!$C$6,C3739)),Assumptions!$D$6,IF(ISNUMBER(SEARCH(Assumptions!$C$7,C3739)),Assumptions!$D$7,"Other Services"))),"Other Services"))</f>
        <v/>
      </c>
    </row>
    <row r="3740" customFormat="false" ht="15" hidden="false" customHeight="false" outlineLevel="0" collapsed="false">
      <c r="F3740" s="41" t="str">
        <f aca="false">IF(C3740="","",IFERROR(IF(ISNUMBER(SEARCH(Assumptions!$C$5,C3740)),Assumptions!$D$5,IF(ISNUMBER(SEARCH(Assumptions!$C$6,C3740)),Assumptions!$D$6,IF(ISNUMBER(SEARCH(Assumptions!$C$7,C3740)),Assumptions!$D$7,"Other Services"))),"Other Services"))</f>
        <v/>
      </c>
    </row>
    <row r="3741" customFormat="false" ht="15" hidden="false" customHeight="false" outlineLevel="0" collapsed="false">
      <c r="F3741" s="41" t="str">
        <f aca="false">IF(C3741="","",IFERROR(IF(ISNUMBER(SEARCH(Assumptions!$C$5,C3741)),Assumptions!$D$5,IF(ISNUMBER(SEARCH(Assumptions!$C$6,C3741)),Assumptions!$D$6,IF(ISNUMBER(SEARCH(Assumptions!$C$7,C3741)),Assumptions!$D$7,"Other Services"))),"Other Services"))</f>
        <v/>
      </c>
    </row>
    <row r="3742" customFormat="false" ht="15" hidden="false" customHeight="false" outlineLevel="0" collapsed="false">
      <c r="F3742" s="41" t="str">
        <f aca="false">IF(C3742="","",IFERROR(IF(ISNUMBER(SEARCH(Assumptions!$C$5,C3742)),Assumptions!$D$5,IF(ISNUMBER(SEARCH(Assumptions!$C$6,C3742)),Assumptions!$D$6,IF(ISNUMBER(SEARCH(Assumptions!$C$7,C3742)),Assumptions!$D$7,"Other Services"))),"Other Services"))</f>
        <v/>
      </c>
    </row>
    <row r="3743" customFormat="false" ht="15" hidden="false" customHeight="false" outlineLevel="0" collapsed="false">
      <c r="F3743" s="41" t="str">
        <f aca="false">IF(C3743="","",IFERROR(IF(ISNUMBER(SEARCH(Assumptions!$C$5,C3743)),Assumptions!$D$5,IF(ISNUMBER(SEARCH(Assumptions!$C$6,C3743)),Assumptions!$D$6,IF(ISNUMBER(SEARCH(Assumptions!$C$7,C3743)),Assumptions!$D$7,"Other Services"))),"Other Services"))</f>
        <v/>
      </c>
    </row>
    <row r="3744" customFormat="false" ht="15" hidden="false" customHeight="false" outlineLevel="0" collapsed="false">
      <c r="F3744" s="41" t="str">
        <f aca="false">IF(C3744="","",IFERROR(IF(ISNUMBER(SEARCH(Assumptions!$C$5,C3744)),Assumptions!$D$5,IF(ISNUMBER(SEARCH(Assumptions!$C$6,C3744)),Assumptions!$D$6,IF(ISNUMBER(SEARCH(Assumptions!$C$7,C3744)),Assumptions!$D$7,"Other Services"))),"Other Services"))</f>
        <v/>
      </c>
    </row>
    <row r="3745" customFormat="false" ht="15" hidden="false" customHeight="false" outlineLevel="0" collapsed="false">
      <c r="F3745" s="41" t="str">
        <f aca="false">IF(C3745="","",IFERROR(IF(ISNUMBER(SEARCH(Assumptions!$C$5,C3745)),Assumptions!$D$5,IF(ISNUMBER(SEARCH(Assumptions!$C$6,C3745)),Assumptions!$D$6,IF(ISNUMBER(SEARCH(Assumptions!$C$7,C3745)),Assumptions!$D$7,"Other Services"))),"Other Services"))</f>
        <v/>
      </c>
    </row>
    <row r="3746" customFormat="false" ht="15" hidden="false" customHeight="false" outlineLevel="0" collapsed="false">
      <c r="F3746" s="41" t="str">
        <f aca="false">IF(C3746="","",IFERROR(IF(ISNUMBER(SEARCH(Assumptions!$C$5,C3746)),Assumptions!$D$5,IF(ISNUMBER(SEARCH(Assumptions!$C$6,C3746)),Assumptions!$D$6,IF(ISNUMBER(SEARCH(Assumptions!$C$7,C3746)),Assumptions!$D$7,"Other Services"))),"Other Services"))</f>
        <v/>
      </c>
    </row>
    <row r="3747" customFormat="false" ht="15" hidden="false" customHeight="false" outlineLevel="0" collapsed="false">
      <c r="F3747" s="41" t="str">
        <f aca="false">IF(C3747="","",IFERROR(IF(ISNUMBER(SEARCH(Assumptions!$C$5,C3747)),Assumptions!$D$5,IF(ISNUMBER(SEARCH(Assumptions!$C$6,C3747)),Assumptions!$D$6,IF(ISNUMBER(SEARCH(Assumptions!$C$7,C3747)),Assumptions!$D$7,"Other Services"))),"Other Services"))</f>
        <v/>
      </c>
    </row>
    <row r="3748" customFormat="false" ht="15" hidden="false" customHeight="false" outlineLevel="0" collapsed="false">
      <c r="F3748" s="41" t="str">
        <f aca="false">IF(C3748="","",IFERROR(IF(ISNUMBER(SEARCH(Assumptions!$C$5,C3748)),Assumptions!$D$5,IF(ISNUMBER(SEARCH(Assumptions!$C$6,C3748)),Assumptions!$D$6,IF(ISNUMBER(SEARCH(Assumptions!$C$7,C3748)),Assumptions!$D$7,"Other Services"))),"Other Services"))</f>
        <v/>
      </c>
    </row>
    <row r="3749" customFormat="false" ht="15" hidden="false" customHeight="false" outlineLevel="0" collapsed="false">
      <c r="F3749" s="41" t="str">
        <f aca="false">IF(C3749="","",IFERROR(IF(ISNUMBER(SEARCH(Assumptions!$C$5,C3749)),Assumptions!$D$5,IF(ISNUMBER(SEARCH(Assumptions!$C$6,C3749)),Assumptions!$D$6,IF(ISNUMBER(SEARCH(Assumptions!$C$7,C3749)),Assumptions!$D$7,"Other Services"))),"Other Services"))</f>
        <v/>
      </c>
    </row>
    <row r="3750" customFormat="false" ht="15" hidden="false" customHeight="false" outlineLevel="0" collapsed="false">
      <c r="F3750" s="41" t="str">
        <f aca="false">IF(C3750="","",IFERROR(IF(ISNUMBER(SEARCH(Assumptions!$C$5,C3750)),Assumptions!$D$5,IF(ISNUMBER(SEARCH(Assumptions!$C$6,C3750)),Assumptions!$D$6,IF(ISNUMBER(SEARCH(Assumptions!$C$7,C3750)),Assumptions!$D$7,"Other Services"))),"Other Services"))</f>
        <v/>
      </c>
    </row>
    <row r="3751" customFormat="false" ht="15" hidden="false" customHeight="false" outlineLevel="0" collapsed="false">
      <c r="F3751" s="41" t="str">
        <f aca="false">IF(C3751="","",IFERROR(IF(ISNUMBER(SEARCH(Assumptions!$C$5,C3751)),Assumptions!$D$5,IF(ISNUMBER(SEARCH(Assumptions!$C$6,C3751)),Assumptions!$D$6,IF(ISNUMBER(SEARCH(Assumptions!$C$7,C3751)),Assumptions!$D$7,"Other Services"))),"Other Services"))</f>
        <v/>
      </c>
    </row>
    <row r="3752" customFormat="false" ht="15" hidden="false" customHeight="false" outlineLevel="0" collapsed="false">
      <c r="F3752" s="41" t="str">
        <f aca="false">IF(C3752="","",IFERROR(IF(ISNUMBER(SEARCH(Assumptions!$C$5,C3752)),Assumptions!$D$5,IF(ISNUMBER(SEARCH(Assumptions!$C$6,C3752)),Assumptions!$D$6,IF(ISNUMBER(SEARCH(Assumptions!$C$7,C3752)),Assumptions!$D$7,"Other Services"))),"Other Services"))</f>
        <v/>
      </c>
    </row>
    <row r="3753" customFormat="false" ht="15" hidden="false" customHeight="false" outlineLevel="0" collapsed="false">
      <c r="F3753" s="41" t="str">
        <f aca="false">IF(C3753="","",IFERROR(IF(ISNUMBER(SEARCH(Assumptions!$C$5,C3753)),Assumptions!$D$5,IF(ISNUMBER(SEARCH(Assumptions!$C$6,C3753)),Assumptions!$D$6,IF(ISNUMBER(SEARCH(Assumptions!$C$7,C3753)),Assumptions!$D$7,"Other Services"))),"Other Services"))</f>
        <v/>
      </c>
    </row>
    <row r="3754" customFormat="false" ht="15" hidden="false" customHeight="false" outlineLevel="0" collapsed="false">
      <c r="F3754" s="41" t="str">
        <f aca="false">IF(C3754="","",IFERROR(IF(ISNUMBER(SEARCH(Assumptions!$C$5,C3754)),Assumptions!$D$5,IF(ISNUMBER(SEARCH(Assumptions!$C$6,C3754)),Assumptions!$D$6,IF(ISNUMBER(SEARCH(Assumptions!$C$7,C3754)),Assumptions!$D$7,"Other Services"))),"Other Services"))</f>
        <v/>
      </c>
    </row>
    <row r="3755" customFormat="false" ht="15" hidden="false" customHeight="false" outlineLevel="0" collapsed="false">
      <c r="F3755" s="41" t="str">
        <f aca="false">IF(C3755="","",IFERROR(IF(ISNUMBER(SEARCH(Assumptions!$C$5,C3755)),Assumptions!$D$5,IF(ISNUMBER(SEARCH(Assumptions!$C$6,C3755)),Assumptions!$D$6,IF(ISNUMBER(SEARCH(Assumptions!$C$7,C3755)),Assumptions!$D$7,"Other Services"))),"Other Services"))</f>
        <v/>
      </c>
    </row>
    <row r="3756" customFormat="false" ht="15" hidden="false" customHeight="false" outlineLevel="0" collapsed="false">
      <c r="F3756" s="41" t="str">
        <f aca="false">IF(C3756="","",IFERROR(IF(ISNUMBER(SEARCH(Assumptions!$C$5,C3756)),Assumptions!$D$5,IF(ISNUMBER(SEARCH(Assumptions!$C$6,C3756)),Assumptions!$D$6,IF(ISNUMBER(SEARCH(Assumptions!$C$7,C3756)),Assumptions!$D$7,"Other Services"))),"Other Services"))</f>
        <v/>
      </c>
    </row>
    <row r="3757" customFormat="false" ht="15" hidden="false" customHeight="false" outlineLevel="0" collapsed="false">
      <c r="F3757" s="41" t="str">
        <f aca="false">IF(C3757="","",IFERROR(IF(ISNUMBER(SEARCH(Assumptions!$C$5,C3757)),Assumptions!$D$5,IF(ISNUMBER(SEARCH(Assumptions!$C$6,C3757)),Assumptions!$D$6,IF(ISNUMBER(SEARCH(Assumptions!$C$7,C3757)),Assumptions!$D$7,"Other Services"))),"Other Services"))</f>
        <v/>
      </c>
    </row>
    <row r="3758" customFormat="false" ht="15" hidden="false" customHeight="false" outlineLevel="0" collapsed="false">
      <c r="F3758" s="41" t="str">
        <f aca="false">IF(C3758="","",IFERROR(IF(ISNUMBER(SEARCH(Assumptions!$C$5,C3758)),Assumptions!$D$5,IF(ISNUMBER(SEARCH(Assumptions!$C$6,C3758)),Assumptions!$D$6,IF(ISNUMBER(SEARCH(Assumptions!$C$7,C3758)),Assumptions!$D$7,"Other Services"))),"Other Services"))</f>
        <v/>
      </c>
    </row>
    <row r="3759" customFormat="false" ht="15" hidden="false" customHeight="false" outlineLevel="0" collapsed="false">
      <c r="F3759" s="41" t="str">
        <f aca="false">IF(C3759="","",IFERROR(IF(ISNUMBER(SEARCH(Assumptions!$C$5,C3759)),Assumptions!$D$5,IF(ISNUMBER(SEARCH(Assumptions!$C$6,C3759)),Assumptions!$D$6,IF(ISNUMBER(SEARCH(Assumptions!$C$7,C3759)),Assumptions!$D$7,"Other Services"))),"Other Services"))</f>
        <v/>
      </c>
    </row>
    <row r="3760" customFormat="false" ht="15" hidden="false" customHeight="false" outlineLevel="0" collapsed="false">
      <c r="F3760" s="41" t="str">
        <f aca="false">IF(C3760="","",IFERROR(IF(ISNUMBER(SEARCH(Assumptions!$C$5,C3760)),Assumptions!$D$5,IF(ISNUMBER(SEARCH(Assumptions!$C$6,C3760)),Assumptions!$D$6,IF(ISNUMBER(SEARCH(Assumptions!$C$7,C3760)),Assumptions!$D$7,"Other Services"))),"Other Services"))</f>
        <v/>
      </c>
    </row>
    <row r="3761" customFormat="false" ht="15" hidden="false" customHeight="false" outlineLevel="0" collapsed="false">
      <c r="F3761" s="41" t="str">
        <f aca="false">IF(C3761="","",IFERROR(IF(ISNUMBER(SEARCH(Assumptions!$C$5,C3761)),Assumptions!$D$5,IF(ISNUMBER(SEARCH(Assumptions!$C$6,C3761)),Assumptions!$D$6,IF(ISNUMBER(SEARCH(Assumptions!$C$7,C3761)),Assumptions!$D$7,"Other Services"))),"Other Services"))</f>
        <v/>
      </c>
    </row>
    <row r="3762" customFormat="false" ht="15" hidden="false" customHeight="false" outlineLevel="0" collapsed="false">
      <c r="F3762" s="41" t="str">
        <f aca="false">IF(C3762="","",IFERROR(IF(ISNUMBER(SEARCH(Assumptions!$C$5,C3762)),Assumptions!$D$5,IF(ISNUMBER(SEARCH(Assumptions!$C$6,C3762)),Assumptions!$D$6,IF(ISNUMBER(SEARCH(Assumptions!$C$7,C3762)),Assumptions!$D$7,"Other Services"))),"Other Services"))</f>
        <v/>
      </c>
    </row>
    <row r="3763" customFormat="false" ht="15" hidden="false" customHeight="false" outlineLevel="0" collapsed="false">
      <c r="F3763" s="41" t="str">
        <f aca="false">IF(C3763="","",IFERROR(IF(ISNUMBER(SEARCH(Assumptions!$C$5,C3763)),Assumptions!$D$5,IF(ISNUMBER(SEARCH(Assumptions!$C$6,C3763)),Assumptions!$D$6,IF(ISNUMBER(SEARCH(Assumptions!$C$7,C3763)),Assumptions!$D$7,"Other Services"))),"Other Services"))</f>
        <v/>
      </c>
    </row>
    <row r="3764" customFormat="false" ht="15" hidden="false" customHeight="false" outlineLevel="0" collapsed="false">
      <c r="F3764" s="41" t="str">
        <f aca="false">IF(C3764="","",IFERROR(IF(ISNUMBER(SEARCH(Assumptions!$C$5,C3764)),Assumptions!$D$5,IF(ISNUMBER(SEARCH(Assumptions!$C$6,C3764)),Assumptions!$D$6,IF(ISNUMBER(SEARCH(Assumptions!$C$7,C3764)),Assumptions!$D$7,"Other Services"))),"Other Services"))</f>
        <v/>
      </c>
    </row>
    <row r="3765" customFormat="false" ht="15" hidden="false" customHeight="false" outlineLevel="0" collapsed="false">
      <c r="F3765" s="41" t="str">
        <f aca="false">IF(C3765="","",IFERROR(IF(ISNUMBER(SEARCH(Assumptions!$C$5,C3765)),Assumptions!$D$5,IF(ISNUMBER(SEARCH(Assumptions!$C$6,C3765)),Assumptions!$D$6,IF(ISNUMBER(SEARCH(Assumptions!$C$7,C3765)),Assumptions!$D$7,"Other Services"))),"Other Services"))</f>
        <v/>
      </c>
    </row>
    <row r="3766" customFormat="false" ht="15" hidden="false" customHeight="false" outlineLevel="0" collapsed="false">
      <c r="F3766" s="41" t="str">
        <f aca="false">IF(C3766="","",IFERROR(IF(ISNUMBER(SEARCH(Assumptions!$C$5,C3766)),Assumptions!$D$5,IF(ISNUMBER(SEARCH(Assumptions!$C$6,C3766)),Assumptions!$D$6,IF(ISNUMBER(SEARCH(Assumptions!$C$7,C3766)),Assumptions!$D$7,"Other Services"))),"Other Services"))</f>
        <v/>
      </c>
    </row>
    <row r="3767" customFormat="false" ht="15" hidden="false" customHeight="false" outlineLevel="0" collapsed="false">
      <c r="F3767" s="41" t="str">
        <f aca="false">IF(C3767="","",IFERROR(IF(ISNUMBER(SEARCH(Assumptions!$C$5,C3767)),Assumptions!$D$5,IF(ISNUMBER(SEARCH(Assumptions!$C$6,C3767)),Assumptions!$D$6,IF(ISNUMBER(SEARCH(Assumptions!$C$7,C3767)),Assumptions!$D$7,"Other Services"))),"Other Services"))</f>
        <v/>
      </c>
    </row>
    <row r="3768" customFormat="false" ht="15" hidden="false" customHeight="false" outlineLevel="0" collapsed="false">
      <c r="F3768" s="41" t="str">
        <f aca="false">IF(C3768="","",IFERROR(IF(ISNUMBER(SEARCH(Assumptions!$C$5,C3768)),Assumptions!$D$5,IF(ISNUMBER(SEARCH(Assumptions!$C$6,C3768)),Assumptions!$D$6,IF(ISNUMBER(SEARCH(Assumptions!$C$7,C3768)),Assumptions!$D$7,"Other Services"))),"Other Services"))</f>
        <v/>
      </c>
    </row>
    <row r="3769" customFormat="false" ht="15" hidden="false" customHeight="false" outlineLevel="0" collapsed="false">
      <c r="F3769" s="41" t="str">
        <f aca="false">IF(C3769="","",IFERROR(IF(ISNUMBER(SEARCH(Assumptions!$C$5,C3769)),Assumptions!$D$5,IF(ISNUMBER(SEARCH(Assumptions!$C$6,C3769)),Assumptions!$D$6,IF(ISNUMBER(SEARCH(Assumptions!$C$7,C3769)),Assumptions!$D$7,"Other Services"))),"Other Services"))</f>
        <v/>
      </c>
    </row>
    <row r="3770" customFormat="false" ht="15" hidden="false" customHeight="false" outlineLevel="0" collapsed="false">
      <c r="F3770" s="41" t="str">
        <f aca="false">IF(C3770="","",IFERROR(IF(ISNUMBER(SEARCH(Assumptions!$C$5,C3770)),Assumptions!$D$5,IF(ISNUMBER(SEARCH(Assumptions!$C$6,C3770)),Assumptions!$D$6,IF(ISNUMBER(SEARCH(Assumptions!$C$7,C3770)),Assumptions!$D$7,"Other Services"))),"Other Services"))</f>
        <v/>
      </c>
    </row>
    <row r="3771" customFormat="false" ht="15" hidden="false" customHeight="false" outlineLevel="0" collapsed="false">
      <c r="F3771" s="41" t="str">
        <f aca="false">IF(C3771="","",IFERROR(IF(ISNUMBER(SEARCH(Assumptions!$C$5,C3771)),Assumptions!$D$5,IF(ISNUMBER(SEARCH(Assumptions!$C$6,C3771)),Assumptions!$D$6,IF(ISNUMBER(SEARCH(Assumptions!$C$7,C3771)),Assumptions!$D$7,"Other Services"))),"Other Services"))</f>
        <v/>
      </c>
    </row>
    <row r="3772" customFormat="false" ht="15" hidden="false" customHeight="false" outlineLevel="0" collapsed="false">
      <c r="F3772" s="41" t="str">
        <f aca="false">IF(C3772="","",IFERROR(IF(ISNUMBER(SEARCH(Assumptions!$C$5,C3772)),Assumptions!$D$5,IF(ISNUMBER(SEARCH(Assumptions!$C$6,C3772)),Assumptions!$D$6,IF(ISNUMBER(SEARCH(Assumptions!$C$7,C3772)),Assumptions!$D$7,"Other Services"))),"Other Services"))</f>
        <v/>
      </c>
    </row>
    <row r="3773" customFormat="false" ht="15" hidden="false" customHeight="false" outlineLevel="0" collapsed="false">
      <c r="F3773" s="41" t="str">
        <f aca="false">IF(C3773="","",IFERROR(IF(ISNUMBER(SEARCH(Assumptions!$C$5,C3773)),Assumptions!$D$5,IF(ISNUMBER(SEARCH(Assumptions!$C$6,C3773)),Assumptions!$D$6,IF(ISNUMBER(SEARCH(Assumptions!$C$7,C3773)),Assumptions!$D$7,"Other Services"))),"Other Services"))</f>
        <v/>
      </c>
    </row>
    <row r="3774" customFormat="false" ht="15" hidden="false" customHeight="false" outlineLevel="0" collapsed="false">
      <c r="F3774" s="41" t="str">
        <f aca="false">IF(C3774="","",IFERROR(IF(ISNUMBER(SEARCH(Assumptions!$C$5,C3774)),Assumptions!$D$5,IF(ISNUMBER(SEARCH(Assumptions!$C$6,C3774)),Assumptions!$D$6,IF(ISNUMBER(SEARCH(Assumptions!$C$7,C3774)),Assumptions!$D$7,"Other Services"))),"Other Services"))</f>
        <v/>
      </c>
    </row>
    <row r="3775" customFormat="false" ht="15" hidden="false" customHeight="false" outlineLevel="0" collapsed="false">
      <c r="F3775" s="41" t="str">
        <f aca="false">IF(C3775="","",IFERROR(IF(ISNUMBER(SEARCH(Assumptions!$C$5,C3775)),Assumptions!$D$5,IF(ISNUMBER(SEARCH(Assumptions!$C$6,C3775)),Assumptions!$D$6,IF(ISNUMBER(SEARCH(Assumptions!$C$7,C3775)),Assumptions!$D$7,"Other Services"))),"Other Services"))</f>
        <v/>
      </c>
    </row>
    <row r="3776" customFormat="false" ht="15" hidden="false" customHeight="false" outlineLevel="0" collapsed="false">
      <c r="F3776" s="41" t="str">
        <f aca="false">IF(C3776="","",IFERROR(IF(ISNUMBER(SEARCH(Assumptions!$C$5,C3776)),Assumptions!$D$5,IF(ISNUMBER(SEARCH(Assumptions!$C$6,C3776)),Assumptions!$D$6,IF(ISNUMBER(SEARCH(Assumptions!$C$7,C3776)),Assumptions!$D$7,"Other Services"))),"Other Services"))</f>
        <v/>
      </c>
    </row>
    <row r="3777" customFormat="false" ht="15" hidden="false" customHeight="false" outlineLevel="0" collapsed="false">
      <c r="F3777" s="41" t="str">
        <f aca="false">IF(C3777="","",IFERROR(IF(ISNUMBER(SEARCH(Assumptions!$C$5,C3777)),Assumptions!$D$5,IF(ISNUMBER(SEARCH(Assumptions!$C$6,C3777)),Assumptions!$D$6,IF(ISNUMBER(SEARCH(Assumptions!$C$7,C3777)),Assumptions!$D$7,"Other Services"))),"Other Services"))</f>
        <v/>
      </c>
    </row>
    <row r="3778" customFormat="false" ht="15" hidden="false" customHeight="false" outlineLevel="0" collapsed="false">
      <c r="F3778" s="41" t="str">
        <f aca="false">IF(C3778="","",IFERROR(IF(ISNUMBER(SEARCH(Assumptions!$C$5,C3778)),Assumptions!$D$5,IF(ISNUMBER(SEARCH(Assumptions!$C$6,C3778)),Assumptions!$D$6,IF(ISNUMBER(SEARCH(Assumptions!$C$7,C3778)),Assumptions!$D$7,"Other Services"))),"Other Services"))</f>
        <v/>
      </c>
    </row>
    <row r="3779" customFormat="false" ht="15" hidden="false" customHeight="false" outlineLevel="0" collapsed="false">
      <c r="F3779" s="41" t="str">
        <f aca="false">IF(C3779="","",IFERROR(IF(ISNUMBER(SEARCH(Assumptions!$C$5,C3779)),Assumptions!$D$5,IF(ISNUMBER(SEARCH(Assumptions!$C$6,C3779)),Assumptions!$D$6,IF(ISNUMBER(SEARCH(Assumptions!$C$7,C3779)),Assumptions!$D$7,"Other Services"))),"Other Services"))</f>
        <v/>
      </c>
    </row>
    <row r="3780" customFormat="false" ht="15" hidden="false" customHeight="false" outlineLevel="0" collapsed="false">
      <c r="F3780" s="41" t="str">
        <f aca="false">IF(C3780="","",IFERROR(IF(ISNUMBER(SEARCH(Assumptions!$C$5,C3780)),Assumptions!$D$5,IF(ISNUMBER(SEARCH(Assumptions!$C$6,C3780)),Assumptions!$D$6,IF(ISNUMBER(SEARCH(Assumptions!$C$7,C3780)),Assumptions!$D$7,"Other Services"))),"Other Services"))</f>
        <v/>
      </c>
    </row>
    <row r="3781" customFormat="false" ht="15" hidden="false" customHeight="false" outlineLevel="0" collapsed="false">
      <c r="F3781" s="41" t="str">
        <f aca="false">IF(C3781="","",IFERROR(IF(ISNUMBER(SEARCH(Assumptions!$C$5,C3781)),Assumptions!$D$5,IF(ISNUMBER(SEARCH(Assumptions!$C$6,C3781)),Assumptions!$D$6,IF(ISNUMBER(SEARCH(Assumptions!$C$7,C3781)),Assumptions!$D$7,"Other Services"))),"Other Services"))</f>
        <v/>
      </c>
    </row>
    <row r="3782" customFormat="false" ht="15" hidden="false" customHeight="false" outlineLevel="0" collapsed="false">
      <c r="F3782" s="41" t="str">
        <f aca="false">IF(C3782="","",IFERROR(IF(ISNUMBER(SEARCH(Assumptions!$C$5,C3782)),Assumptions!$D$5,IF(ISNUMBER(SEARCH(Assumptions!$C$6,C3782)),Assumptions!$D$6,IF(ISNUMBER(SEARCH(Assumptions!$C$7,C3782)),Assumptions!$D$7,"Other Services"))),"Other Services"))</f>
        <v/>
      </c>
    </row>
    <row r="3783" customFormat="false" ht="15" hidden="false" customHeight="false" outlineLevel="0" collapsed="false">
      <c r="F3783" s="41" t="str">
        <f aca="false">IF(C3783="","",IFERROR(IF(ISNUMBER(SEARCH(Assumptions!$C$5,C3783)),Assumptions!$D$5,IF(ISNUMBER(SEARCH(Assumptions!$C$6,C3783)),Assumptions!$D$6,IF(ISNUMBER(SEARCH(Assumptions!$C$7,C3783)),Assumptions!$D$7,"Other Services"))),"Other Services"))</f>
        <v/>
      </c>
    </row>
    <row r="3784" customFormat="false" ht="15" hidden="false" customHeight="false" outlineLevel="0" collapsed="false">
      <c r="F3784" s="41" t="str">
        <f aca="false">IF(C3784="","",IFERROR(IF(ISNUMBER(SEARCH(Assumptions!$C$5,C3784)),Assumptions!$D$5,IF(ISNUMBER(SEARCH(Assumptions!$C$6,C3784)),Assumptions!$D$6,IF(ISNUMBER(SEARCH(Assumptions!$C$7,C3784)),Assumptions!$D$7,"Other Services"))),"Other Services"))</f>
        <v/>
      </c>
    </row>
    <row r="3785" customFormat="false" ht="15" hidden="false" customHeight="false" outlineLevel="0" collapsed="false">
      <c r="F3785" s="41" t="str">
        <f aca="false">IF(C3785="","",IFERROR(IF(ISNUMBER(SEARCH(Assumptions!$C$5,C3785)),Assumptions!$D$5,IF(ISNUMBER(SEARCH(Assumptions!$C$6,C3785)),Assumptions!$D$6,IF(ISNUMBER(SEARCH(Assumptions!$C$7,C3785)),Assumptions!$D$7,"Other Services"))),"Other Services"))</f>
        <v/>
      </c>
    </row>
    <row r="3786" customFormat="false" ht="15" hidden="false" customHeight="false" outlineLevel="0" collapsed="false">
      <c r="F3786" s="41" t="str">
        <f aca="false">IF(C3786="","",IFERROR(IF(ISNUMBER(SEARCH(Assumptions!$C$5,C3786)),Assumptions!$D$5,IF(ISNUMBER(SEARCH(Assumptions!$C$6,C3786)),Assumptions!$D$6,IF(ISNUMBER(SEARCH(Assumptions!$C$7,C3786)),Assumptions!$D$7,"Other Services"))),"Other Services"))</f>
        <v/>
      </c>
    </row>
    <row r="3787" customFormat="false" ht="15" hidden="false" customHeight="false" outlineLevel="0" collapsed="false">
      <c r="F3787" s="41" t="str">
        <f aca="false">IF(C3787="","",IFERROR(IF(ISNUMBER(SEARCH(Assumptions!$C$5,C3787)),Assumptions!$D$5,IF(ISNUMBER(SEARCH(Assumptions!$C$6,C3787)),Assumptions!$D$6,IF(ISNUMBER(SEARCH(Assumptions!$C$7,C3787)),Assumptions!$D$7,"Other Services"))),"Other Services"))</f>
        <v/>
      </c>
    </row>
    <row r="3788" customFormat="false" ht="15" hidden="false" customHeight="false" outlineLevel="0" collapsed="false">
      <c r="F3788" s="41" t="str">
        <f aca="false">IF(C3788="","",IFERROR(IF(ISNUMBER(SEARCH(Assumptions!$C$5,C3788)),Assumptions!$D$5,IF(ISNUMBER(SEARCH(Assumptions!$C$6,C3788)),Assumptions!$D$6,IF(ISNUMBER(SEARCH(Assumptions!$C$7,C3788)),Assumptions!$D$7,"Other Services"))),"Other Services"))</f>
        <v/>
      </c>
    </row>
    <row r="3789" customFormat="false" ht="15" hidden="false" customHeight="false" outlineLevel="0" collapsed="false">
      <c r="F3789" s="41" t="str">
        <f aca="false">IF(C3789="","",IFERROR(IF(ISNUMBER(SEARCH(Assumptions!$C$5,C3789)),Assumptions!$D$5,IF(ISNUMBER(SEARCH(Assumptions!$C$6,C3789)),Assumptions!$D$6,IF(ISNUMBER(SEARCH(Assumptions!$C$7,C3789)),Assumptions!$D$7,"Other Services"))),"Other Services"))</f>
        <v/>
      </c>
    </row>
    <row r="3790" customFormat="false" ht="15" hidden="false" customHeight="false" outlineLevel="0" collapsed="false">
      <c r="F3790" s="41" t="str">
        <f aca="false">IF(C3790="","",IFERROR(IF(ISNUMBER(SEARCH(Assumptions!$C$5,C3790)),Assumptions!$D$5,IF(ISNUMBER(SEARCH(Assumptions!$C$6,C3790)),Assumptions!$D$6,IF(ISNUMBER(SEARCH(Assumptions!$C$7,C3790)),Assumptions!$D$7,"Other Services"))),"Other Services"))</f>
        <v/>
      </c>
    </row>
    <row r="3791" customFormat="false" ht="15" hidden="false" customHeight="false" outlineLevel="0" collapsed="false">
      <c r="F3791" s="41" t="str">
        <f aca="false">IF(C3791="","",IFERROR(IF(ISNUMBER(SEARCH(Assumptions!$C$5,C3791)),Assumptions!$D$5,IF(ISNUMBER(SEARCH(Assumptions!$C$6,C3791)),Assumptions!$D$6,IF(ISNUMBER(SEARCH(Assumptions!$C$7,C3791)),Assumptions!$D$7,"Other Services"))),"Other Services"))</f>
        <v/>
      </c>
    </row>
    <row r="3792" customFormat="false" ht="15" hidden="false" customHeight="false" outlineLevel="0" collapsed="false">
      <c r="F3792" s="41" t="str">
        <f aca="false">IF(C3792="","",IFERROR(IF(ISNUMBER(SEARCH(Assumptions!$C$5,C3792)),Assumptions!$D$5,IF(ISNUMBER(SEARCH(Assumptions!$C$6,C3792)),Assumptions!$D$6,IF(ISNUMBER(SEARCH(Assumptions!$C$7,C3792)),Assumptions!$D$7,"Other Services"))),"Other Services"))</f>
        <v/>
      </c>
    </row>
    <row r="3793" customFormat="false" ht="15" hidden="false" customHeight="false" outlineLevel="0" collapsed="false">
      <c r="F3793" s="41" t="str">
        <f aca="false">IF(C3793="","",IFERROR(IF(ISNUMBER(SEARCH(Assumptions!$C$5,C3793)),Assumptions!$D$5,IF(ISNUMBER(SEARCH(Assumptions!$C$6,C3793)),Assumptions!$D$6,IF(ISNUMBER(SEARCH(Assumptions!$C$7,C3793)),Assumptions!$D$7,"Other Services"))),"Other Services"))</f>
        <v/>
      </c>
    </row>
    <row r="3794" customFormat="false" ht="15" hidden="false" customHeight="false" outlineLevel="0" collapsed="false">
      <c r="F3794" s="41" t="str">
        <f aca="false">IF(C3794="","",IFERROR(IF(ISNUMBER(SEARCH(Assumptions!$C$5,C3794)),Assumptions!$D$5,IF(ISNUMBER(SEARCH(Assumptions!$C$6,C3794)),Assumptions!$D$6,IF(ISNUMBER(SEARCH(Assumptions!$C$7,C3794)),Assumptions!$D$7,"Other Services"))),"Other Services"))</f>
        <v/>
      </c>
    </row>
    <row r="3795" customFormat="false" ht="15" hidden="false" customHeight="false" outlineLevel="0" collapsed="false">
      <c r="F3795" s="41" t="str">
        <f aca="false">IF(C3795="","",IFERROR(IF(ISNUMBER(SEARCH(Assumptions!$C$5,C3795)),Assumptions!$D$5,IF(ISNUMBER(SEARCH(Assumptions!$C$6,C3795)),Assumptions!$D$6,IF(ISNUMBER(SEARCH(Assumptions!$C$7,C3795)),Assumptions!$D$7,"Other Services"))),"Other Services"))</f>
        <v/>
      </c>
    </row>
    <row r="3796" customFormat="false" ht="15" hidden="false" customHeight="false" outlineLevel="0" collapsed="false">
      <c r="F3796" s="41" t="str">
        <f aca="false">IF(C3796="","",IFERROR(IF(ISNUMBER(SEARCH(Assumptions!$C$5,C3796)),Assumptions!$D$5,IF(ISNUMBER(SEARCH(Assumptions!$C$6,C3796)),Assumptions!$D$6,IF(ISNUMBER(SEARCH(Assumptions!$C$7,C3796)),Assumptions!$D$7,"Other Services"))),"Other Services"))</f>
        <v/>
      </c>
    </row>
    <row r="3797" customFormat="false" ht="15" hidden="false" customHeight="false" outlineLevel="0" collapsed="false">
      <c r="F3797" s="41" t="str">
        <f aca="false">IF(C3797="","",IFERROR(IF(ISNUMBER(SEARCH(Assumptions!$C$5,C3797)),Assumptions!$D$5,IF(ISNUMBER(SEARCH(Assumptions!$C$6,C3797)),Assumptions!$D$6,IF(ISNUMBER(SEARCH(Assumptions!$C$7,C3797)),Assumptions!$D$7,"Other Services"))),"Other Services"))</f>
        <v/>
      </c>
    </row>
    <row r="3798" customFormat="false" ht="15" hidden="false" customHeight="false" outlineLevel="0" collapsed="false">
      <c r="F3798" s="41" t="str">
        <f aca="false">IF(C3798="","",IFERROR(IF(ISNUMBER(SEARCH(Assumptions!$C$5,C3798)),Assumptions!$D$5,IF(ISNUMBER(SEARCH(Assumptions!$C$6,C3798)),Assumptions!$D$6,IF(ISNUMBER(SEARCH(Assumptions!$C$7,C3798)),Assumptions!$D$7,"Other Services"))),"Other Services"))</f>
        <v/>
      </c>
    </row>
    <row r="3799" customFormat="false" ht="15" hidden="false" customHeight="false" outlineLevel="0" collapsed="false">
      <c r="F3799" s="41" t="str">
        <f aca="false">IF(C3799="","",IFERROR(IF(ISNUMBER(SEARCH(Assumptions!$C$5,C3799)),Assumptions!$D$5,IF(ISNUMBER(SEARCH(Assumptions!$C$6,C3799)),Assumptions!$D$6,IF(ISNUMBER(SEARCH(Assumptions!$C$7,C3799)),Assumptions!$D$7,"Other Services"))),"Other Services"))</f>
        <v/>
      </c>
    </row>
    <row r="3800" customFormat="false" ht="15" hidden="false" customHeight="false" outlineLevel="0" collapsed="false">
      <c r="F3800" s="41" t="str">
        <f aca="false">IF(C3800="","",IFERROR(IF(ISNUMBER(SEARCH(Assumptions!$C$5,C3800)),Assumptions!$D$5,IF(ISNUMBER(SEARCH(Assumptions!$C$6,C3800)),Assumptions!$D$6,IF(ISNUMBER(SEARCH(Assumptions!$C$7,C3800)),Assumptions!$D$7,"Other Services"))),"Other Services"))</f>
        <v/>
      </c>
    </row>
    <row r="3801" customFormat="false" ht="15" hidden="false" customHeight="false" outlineLevel="0" collapsed="false">
      <c r="F3801" s="41" t="str">
        <f aca="false">IF(C3801="","",IFERROR(IF(ISNUMBER(SEARCH(Assumptions!$C$5,C3801)),Assumptions!$D$5,IF(ISNUMBER(SEARCH(Assumptions!$C$6,C3801)),Assumptions!$D$6,IF(ISNUMBER(SEARCH(Assumptions!$C$7,C3801)),Assumptions!$D$7,"Other Services"))),"Other Services"))</f>
        <v/>
      </c>
    </row>
    <row r="3802" customFormat="false" ht="15" hidden="false" customHeight="false" outlineLevel="0" collapsed="false">
      <c r="F3802" s="41" t="str">
        <f aca="false">IF(C3802="","",IFERROR(IF(ISNUMBER(SEARCH(Assumptions!$C$5,C3802)),Assumptions!$D$5,IF(ISNUMBER(SEARCH(Assumptions!$C$6,C3802)),Assumptions!$D$6,IF(ISNUMBER(SEARCH(Assumptions!$C$7,C3802)),Assumptions!$D$7,"Other Services"))),"Other Services"))</f>
        <v/>
      </c>
    </row>
    <row r="3803" customFormat="false" ht="15" hidden="false" customHeight="false" outlineLevel="0" collapsed="false">
      <c r="F3803" s="41" t="str">
        <f aca="false">IF(C3803="","",IFERROR(IF(ISNUMBER(SEARCH(Assumptions!$C$5,C3803)),Assumptions!$D$5,IF(ISNUMBER(SEARCH(Assumptions!$C$6,C3803)),Assumptions!$D$6,IF(ISNUMBER(SEARCH(Assumptions!$C$7,C3803)),Assumptions!$D$7,"Other Services"))),"Other Services"))</f>
        <v/>
      </c>
    </row>
    <row r="3804" customFormat="false" ht="15" hidden="false" customHeight="false" outlineLevel="0" collapsed="false">
      <c r="F3804" s="41" t="str">
        <f aca="false">IF(C3804="","",IFERROR(IF(ISNUMBER(SEARCH(Assumptions!$C$5,C3804)),Assumptions!$D$5,IF(ISNUMBER(SEARCH(Assumptions!$C$6,C3804)),Assumptions!$D$6,IF(ISNUMBER(SEARCH(Assumptions!$C$7,C3804)),Assumptions!$D$7,"Other Services"))),"Other Services"))</f>
        <v/>
      </c>
    </row>
    <row r="3805" customFormat="false" ht="15" hidden="false" customHeight="false" outlineLevel="0" collapsed="false">
      <c r="F3805" s="41" t="str">
        <f aca="false">IF(C3805="","",IFERROR(IF(ISNUMBER(SEARCH(Assumptions!$C$5,C3805)),Assumptions!$D$5,IF(ISNUMBER(SEARCH(Assumptions!$C$6,C3805)),Assumptions!$D$6,IF(ISNUMBER(SEARCH(Assumptions!$C$7,C3805)),Assumptions!$D$7,"Other Services"))),"Other Services"))</f>
        <v/>
      </c>
    </row>
    <row r="3806" customFormat="false" ht="15" hidden="false" customHeight="false" outlineLevel="0" collapsed="false">
      <c r="F3806" s="41" t="str">
        <f aca="false">IF(C3806="","",IFERROR(IF(ISNUMBER(SEARCH(Assumptions!$C$5,C3806)),Assumptions!$D$5,IF(ISNUMBER(SEARCH(Assumptions!$C$6,C3806)),Assumptions!$D$6,IF(ISNUMBER(SEARCH(Assumptions!$C$7,C3806)),Assumptions!$D$7,"Other Services"))),"Other Services"))</f>
        <v/>
      </c>
    </row>
    <row r="3807" customFormat="false" ht="15" hidden="false" customHeight="false" outlineLevel="0" collapsed="false">
      <c r="F3807" s="41" t="str">
        <f aca="false">IF(C3807="","",IFERROR(IF(ISNUMBER(SEARCH(Assumptions!$C$5,C3807)),Assumptions!$D$5,IF(ISNUMBER(SEARCH(Assumptions!$C$6,C3807)),Assumptions!$D$6,IF(ISNUMBER(SEARCH(Assumptions!$C$7,C3807)),Assumptions!$D$7,"Other Services"))),"Other Services"))</f>
        <v/>
      </c>
    </row>
    <row r="3808" customFormat="false" ht="15" hidden="false" customHeight="false" outlineLevel="0" collapsed="false">
      <c r="F3808" s="41" t="str">
        <f aca="false">IF(C3808="","",IFERROR(IF(ISNUMBER(SEARCH(Assumptions!$C$5,C3808)),Assumptions!$D$5,IF(ISNUMBER(SEARCH(Assumptions!$C$6,C3808)),Assumptions!$D$6,IF(ISNUMBER(SEARCH(Assumptions!$C$7,C3808)),Assumptions!$D$7,"Other Services"))),"Other Services"))</f>
        <v/>
      </c>
    </row>
    <row r="3809" customFormat="false" ht="15" hidden="false" customHeight="false" outlineLevel="0" collapsed="false">
      <c r="F3809" s="41" t="str">
        <f aca="false">IF(C3809="","",IFERROR(IF(ISNUMBER(SEARCH(Assumptions!$C$5,C3809)),Assumptions!$D$5,IF(ISNUMBER(SEARCH(Assumptions!$C$6,C3809)),Assumptions!$D$6,IF(ISNUMBER(SEARCH(Assumptions!$C$7,C3809)),Assumptions!$D$7,"Other Services"))),"Other Services"))</f>
        <v/>
      </c>
    </row>
    <row r="3810" customFormat="false" ht="15" hidden="false" customHeight="false" outlineLevel="0" collapsed="false">
      <c r="F3810" s="41" t="str">
        <f aca="false">IF(C3810="","",IFERROR(IF(ISNUMBER(SEARCH(Assumptions!$C$5,C3810)),Assumptions!$D$5,IF(ISNUMBER(SEARCH(Assumptions!$C$6,C3810)),Assumptions!$D$6,IF(ISNUMBER(SEARCH(Assumptions!$C$7,C3810)),Assumptions!$D$7,"Other Services"))),"Other Services"))</f>
        <v/>
      </c>
    </row>
    <row r="3811" customFormat="false" ht="15" hidden="false" customHeight="false" outlineLevel="0" collapsed="false">
      <c r="F3811" s="41" t="str">
        <f aca="false">IF(C3811="","",IFERROR(IF(ISNUMBER(SEARCH(Assumptions!$C$5,C3811)),Assumptions!$D$5,IF(ISNUMBER(SEARCH(Assumptions!$C$6,C3811)),Assumptions!$D$6,IF(ISNUMBER(SEARCH(Assumptions!$C$7,C3811)),Assumptions!$D$7,"Other Services"))),"Other Services"))</f>
        <v/>
      </c>
    </row>
    <row r="3812" customFormat="false" ht="15" hidden="false" customHeight="false" outlineLevel="0" collapsed="false">
      <c r="F3812" s="41" t="str">
        <f aca="false">IF(C3812="","",IFERROR(IF(ISNUMBER(SEARCH(Assumptions!$C$5,C3812)),Assumptions!$D$5,IF(ISNUMBER(SEARCH(Assumptions!$C$6,C3812)),Assumptions!$D$6,IF(ISNUMBER(SEARCH(Assumptions!$C$7,C3812)),Assumptions!$D$7,"Other Services"))),"Other Services"))</f>
        <v/>
      </c>
    </row>
    <row r="3813" customFormat="false" ht="15" hidden="false" customHeight="false" outlineLevel="0" collapsed="false">
      <c r="F3813" s="41" t="str">
        <f aca="false">IF(C3813="","",IFERROR(IF(ISNUMBER(SEARCH(Assumptions!$C$5,C3813)),Assumptions!$D$5,IF(ISNUMBER(SEARCH(Assumptions!$C$6,C3813)),Assumptions!$D$6,IF(ISNUMBER(SEARCH(Assumptions!$C$7,C3813)),Assumptions!$D$7,"Other Services"))),"Other Services"))</f>
        <v/>
      </c>
    </row>
    <row r="3814" customFormat="false" ht="15" hidden="false" customHeight="false" outlineLevel="0" collapsed="false">
      <c r="F3814" s="41" t="str">
        <f aca="false">IF(C3814="","",IFERROR(IF(ISNUMBER(SEARCH(Assumptions!$C$5,C3814)),Assumptions!$D$5,IF(ISNUMBER(SEARCH(Assumptions!$C$6,C3814)),Assumptions!$D$6,IF(ISNUMBER(SEARCH(Assumptions!$C$7,C3814)),Assumptions!$D$7,"Other Services"))),"Other Services"))</f>
        <v/>
      </c>
    </row>
    <row r="3815" customFormat="false" ht="15" hidden="false" customHeight="false" outlineLevel="0" collapsed="false">
      <c r="F3815" s="41" t="str">
        <f aca="false">IF(C3815="","",IFERROR(IF(ISNUMBER(SEARCH(Assumptions!$C$5,C3815)),Assumptions!$D$5,IF(ISNUMBER(SEARCH(Assumptions!$C$6,C3815)),Assumptions!$D$6,IF(ISNUMBER(SEARCH(Assumptions!$C$7,C3815)),Assumptions!$D$7,"Other Services"))),"Other Services"))</f>
        <v/>
      </c>
    </row>
    <row r="3816" customFormat="false" ht="15" hidden="false" customHeight="false" outlineLevel="0" collapsed="false">
      <c r="F3816" s="41" t="str">
        <f aca="false">IF(C3816="","",IFERROR(IF(ISNUMBER(SEARCH(Assumptions!$C$5,C3816)),Assumptions!$D$5,IF(ISNUMBER(SEARCH(Assumptions!$C$6,C3816)),Assumptions!$D$6,IF(ISNUMBER(SEARCH(Assumptions!$C$7,C3816)),Assumptions!$D$7,"Other Services"))),"Other Services"))</f>
        <v/>
      </c>
    </row>
    <row r="3817" customFormat="false" ht="15" hidden="false" customHeight="false" outlineLevel="0" collapsed="false">
      <c r="F3817" s="41" t="str">
        <f aca="false">IF(C3817="","",IFERROR(IF(ISNUMBER(SEARCH(Assumptions!$C$5,C3817)),Assumptions!$D$5,IF(ISNUMBER(SEARCH(Assumptions!$C$6,C3817)),Assumptions!$D$6,IF(ISNUMBER(SEARCH(Assumptions!$C$7,C3817)),Assumptions!$D$7,"Other Services"))),"Other Services"))</f>
        <v/>
      </c>
    </row>
    <row r="3818" customFormat="false" ht="15" hidden="false" customHeight="false" outlineLevel="0" collapsed="false">
      <c r="F3818" s="41" t="str">
        <f aca="false">IF(C3818="","",IFERROR(IF(ISNUMBER(SEARCH(Assumptions!$C$5,C3818)),Assumptions!$D$5,IF(ISNUMBER(SEARCH(Assumptions!$C$6,C3818)),Assumptions!$D$6,IF(ISNUMBER(SEARCH(Assumptions!$C$7,C3818)),Assumptions!$D$7,"Other Services"))),"Other Services"))</f>
        <v/>
      </c>
    </row>
    <row r="3819" customFormat="false" ht="15" hidden="false" customHeight="false" outlineLevel="0" collapsed="false">
      <c r="F3819" s="41" t="str">
        <f aca="false">IF(C3819="","",IFERROR(IF(ISNUMBER(SEARCH(Assumptions!$C$5,C3819)),Assumptions!$D$5,IF(ISNUMBER(SEARCH(Assumptions!$C$6,C3819)),Assumptions!$D$6,IF(ISNUMBER(SEARCH(Assumptions!$C$7,C3819)),Assumptions!$D$7,"Other Services"))),"Other Services"))</f>
        <v/>
      </c>
    </row>
    <row r="3820" customFormat="false" ht="15" hidden="false" customHeight="false" outlineLevel="0" collapsed="false">
      <c r="F3820" s="41" t="str">
        <f aca="false">IF(C3820="","",IFERROR(IF(ISNUMBER(SEARCH(Assumptions!$C$5,C3820)),Assumptions!$D$5,IF(ISNUMBER(SEARCH(Assumptions!$C$6,C3820)),Assumptions!$D$6,IF(ISNUMBER(SEARCH(Assumptions!$C$7,C3820)),Assumptions!$D$7,"Other Services"))),"Other Services"))</f>
        <v/>
      </c>
    </row>
    <row r="3821" customFormat="false" ht="15" hidden="false" customHeight="false" outlineLevel="0" collapsed="false">
      <c r="F3821" s="41" t="str">
        <f aca="false">IF(C3821="","",IFERROR(IF(ISNUMBER(SEARCH(Assumptions!$C$5,C3821)),Assumptions!$D$5,IF(ISNUMBER(SEARCH(Assumptions!$C$6,C3821)),Assumptions!$D$6,IF(ISNUMBER(SEARCH(Assumptions!$C$7,C3821)),Assumptions!$D$7,"Other Services"))),"Other Services"))</f>
        <v/>
      </c>
    </row>
    <row r="3822" customFormat="false" ht="15" hidden="false" customHeight="false" outlineLevel="0" collapsed="false">
      <c r="F3822" s="41" t="str">
        <f aca="false">IF(C3822="","",IFERROR(IF(ISNUMBER(SEARCH(Assumptions!$C$5,C3822)),Assumptions!$D$5,IF(ISNUMBER(SEARCH(Assumptions!$C$6,C3822)),Assumptions!$D$6,IF(ISNUMBER(SEARCH(Assumptions!$C$7,C3822)),Assumptions!$D$7,"Other Services"))),"Other Services"))</f>
        <v/>
      </c>
    </row>
    <row r="3823" customFormat="false" ht="15" hidden="false" customHeight="false" outlineLevel="0" collapsed="false">
      <c r="F3823" s="41" t="str">
        <f aca="false">IF(C3823="","",IFERROR(IF(ISNUMBER(SEARCH(Assumptions!$C$5,C3823)),Assumptions!$D$5,IF(ISNUMBER(SEARCH(Assumptions!$C$6,C3823)),Assumptions!$D$6,IF(ISNUMBER(SEARCH(Assumptions!$C$7,C3823)),Assumptions!$D$7,"Other Services"))),"Other Services"))</f>
        <v/>
      </c>
    </row>
    <row r="3824" customFormat="false" ht="15" hidden="false" customHeight="false" outlineLevel="0" collapsed="false">
      <c r="F3824" s="41" t="str">
        <f aca="false">IF(C3824="","",IFERROR(IF(ISNUMBER(SEARCH(Assumptions!$C$5,C3824)),Assumptions!$D$5,IF(ISNUMBER(SEARCH(Assumptions!$C$6,C3824)),Assumptions!$D$6,IF(ISNUMBER(SEARCH(Assumptions!$C$7,C3824)),Assumptions!$D$7,"Other Services"))),"Other Services"))</f>
        <v/>
      </c>
    </row>
    <row r="3825" customFormat="false" ht="15" hidden="false" customHeight="false" outlineLevel="0" collapsed="false">
      <c r="F3825" s="41" t="str">
        <f aca="false">IF(C3825="","",IFERROR(IF(ISNUMBER(SEARCH(Assumptions!$C$5,C3825)),Assumptions!$D$5,IF(ISNUMBER(SEARCH(Assumptions!$C$6,C3825)),Assumptions!$D$6,IF(ISNUMBER(SEARCH(Assumptions!$C$7,C3825)),Assumptions!$D$7,"Other Services"))),"Other Services"))</f>
        <v/>
      </c>
    </row>
    <row r="3826" customFormat="false" ht="15" hidden="false" customHeight="false" outlineLevel="0" collapsed="false">
      <c r="F3826" s="41" t="str">
        <f aca="false">IF(C3826="","",IFERROR(IF(ISNUMBER(SEARCH(Assumptions!$C$5,C3826)),Assumptions!$D$5,IF(ISNUMBER(SEARCH(Assumptions!$C$6,C3826)),Assumptions!$D$6,IF(ISNUMBER(SEARCH(Assumptions!$C$7,C3826)),Assumptions!$D$7,"Other Services"))),"Other Services"))</f>
        <v/>
      </c>
    </row>
    <row r="3827" customFormat="false" ht="15" hidden="false" customHeight="false" outlineLevel="0" collapsed="false">
      <c r="F3827" s="41" t="str">
        <f aca="false">IF(C3827="","",IFERROR(IF(ISNUMBER(SEARCH(Assumptions!$C$5,C3827)),Assumptions!$D$5,IF(ISNUMBER(SEARCH(Assumptions!$C$6,C3827)),Assumptions!$D$6,IF(ISNUMBER(SEARCH(Assumptions!$C$7,C3827)),Assumptions!$D$7,"Other Services"))),"Other Services"))</f>
        <v/>
      </c>
    </row>
    <row r="3828" customFormat="false" ht="15" hidden="false" customHeight="false" outlineLevel="0" collapsed="false">
      <c r="F3828" s="41" t="str">
        <f aca="false">IF(C3828="","",IFERROR(IF(ISNUMBER(SEARCH(Assumptions!$C$5,C3828)),Assumptions!$D$5,IF(ISNUMBER(SEARCH(Assumptions!$C$6,C3828)),Assumptions!$D$6,IF(ISNUMBER(SEARCH(Assumptions!$C$7,C3828)),Assumptions!$D$7,"Other Services"))),"Other Services"))</f>
        <v/>
      </c>
    </row>
    <row r="3829" customFormat="false" ht="15" hidden="false" customHeight="false" outlineLevel="0" collapsed="false">
      <c r="F3829" s="41" t="str">
        <f aca="false">IF(C3829="","",IFERROR(IF(ISNUMBER(SEARCH(Assumptions!$C$5,C3829)),Assumptions!$D$5,IF(ISNUMBER(SEARCH(Assumptions!$C$6,C3829)),Assumptions!$D$6,IF(ISNUMBER(SEARCH(Assumptions!$C$7,C3829)),Assumptions!$D$7,"Other Services"))),"Other Services"))</f>
        <v/>
      </c>
    </row>
    <row r="3830" customFormat="false" ht="15" hidden="false" customHeight="false" outlineLevel="0" collapsed="false">
      <c r="F3830" s="41" t="str">
        <f aca="false">IF(C3830="","",IFERROR(IF(ISNUMBER(SEARCH(Assumptions!$C$5,C3830)),Assumptions!$D$5,IF(ISNUMBER(SEARCH(Assumptions!$C$6,C3830)),Assumptions!$D$6,IF(ISNUMBER(SEARCH(Assumptions!$C$7,C3830)),Assumptions!$D$7,"Other Services"))),"Other Services"))</f>
        <v/>
      </c>
    </row>
    <row r="3831" customFormat="false" ht="15" hidden="false" customHeight="false" outlineLevel="0" collapsed="false">
      <c r="F3831" s="41" t="str">
        <f aca="false">IF(C3831="","",IFERROR(IF(ISNUMBER(SEARCH(Assumptions!$C$5,C3831)),Assumptions!$D$5,IF(ISNUMBER(SEARCH(Assumptions!$C$6,C3831)),Assumptions!$D$6,IF(ISNUMBER(SEARCH(Assumptions!$C$7,C3831)),Assumptions!$D$7,"Other Services"))),"Other Services"))</f>
        <v/>
      </c>
    </row>
    <row r="3832" customFormat="false" ht="15" hidden="false" customHeight="false" outlineLevel="0" collapsed="false">
      <c r="F3832" s="41" t="str">
        <f aca="false">IF(C3832="","",IFERROR(IF(ISNUMBER(SEARCH(Assumptions!$C$5,C3832)),Assumptions!$D$5,IF(ISNUMBER(SEARCH(Assumptions!$C$6,C3832)),Assumptions!$D$6,IF(ISNUMBER(SEARCH(Assumptions!$C$7,C3832)),Assumptions!$D$7,"Other Services"))),"Other Services"))</f>
        <v/>
      </c>
    </row>
    <row r="3833" customFormat="false" ht="15" hidden="false" customHeight="false" outlineLevel="0" collapsed="false">
      <c r="F3833" s="41" t="str">
        <f aca="false">IF(C3833="","",IFERROR(IF(ISNUMBER(SEARCH(Assumptions!$C$5,C3833)),Assumptions!$D$5,IF(ISNUMBER(SEARCH(Assumptions!$C$6,C3833)),Assumptions!$D$6,IF(ISNUMBER(SEARCH(Assumptions!$C$7,C3833)),Assumptions!$D$7,"Other Services"))),"Other Services"))</f>
        <v/>
      </c>
    </row>
    <row r="3834" customFormat="false" ht="15" hidden="false" customHeight="false" outlineLevel="0" collapsed="false">
      <c r="F3834" s="41" t="str">
        <f aca="false">IF(C3834="","",IFERROR(IF(ISNUMBER(SEARCH(Assumptions!$C$5,C3834)),Assumptions!$D$5,IF(ISNUMBER(SEARCH(Assumptions!$C$6,C3834)),Assumptions!$D$6,IF(ISNUMBER(SEARCH(Assumptions!$C$7,C3834)),Assumptions!$D$7,"Other Services"))),"Other Services"))</f>
        <v/>
      </c>
    </row>
    <row r="3835" customFormat="false" ht="15" hidden="false" customHeight="false" outlineLevel="0" collapsed="false">
      <c r="F3835" s="41" t="str">
        <f aca="false">IF(C3835="","",IFERROR(IF(ISNUMBER(SEARCH(Assumptions!$C$5,C3835)),Assumptions!$D$5,IF(ISNUMBER(SEARCH(Assumptions!$C$6,C3835)),Assumptions!$D$6,IF(ISNUMBER(SEARCH(Assumptions!$C$7,C3835)),Assumptions!$D$7,"Other Services"))),"Other Services"))</f>
        <v/>
      </c>
    </row>
    <row r="3836" customFormat="false" ht="15" hidden="false" customHeight="false" outlineLevel="0" collapsed="false">
      <c r="F3836" s="41" t="str">
        <f aca="false">IF(C3836="","",IFERROR(IF(ISNUMBER(SEARCH(Assumptions!$C$5,C3836)),Assumptions!$D$5,IF(ISNUMBER(SEARCH(Assumptions!$C$6,C3836)),Assumptions!$D$6,IF(ISNUMBER(SEARCH(Assumptions!$C$7,C3836)),Assumptions!$D$7,"Other Services"))),"Other Services"))</f>
        <v/>
      </c>
    </row>
    <row r="3837" customFormat="false" ht="15" hidden="false" customHeight="false" outlineLevel="0" collapsed="false">
      <c r="F3837" s="41" t="str">
        <f aca="false">IF(C3837="","",IFERROR(IF(ISNUMBER(SEARCH(Assumptions!$C$5,C3837)),Assumptions!$D$5,IF(ISNUMBER(SEARCH(Assumptions!$C$6,C3837)),Assumptions!$D$6,IF(ISNUMBER(SEARCH(Assumptions!$C$7,C3837)),Assumptions!$D$7,"Other Services"))),"Other Services"))</f>
        <v/>
      </c>
    </row>
    <row r="3838" customFormat="false" ht="15" hidden="false" customHeight="false" outlineLevel="0" collapsed="false">
      <c r="F3838" s="41" t="str">
        <f aca="false">IF(C3838="","",IFERROR(IF(ISNUMBER(SEARCH(Assumptions!$C$5,C3838)),Assumptions!$D$5,IF(ISNUMBER(SEARCH(Assumptions!$C$6,C3838)),Assumptions!$D$6,IF(ISNUMBER(SEARCH(Assumptions!$C$7,C3838)),Assumptions!$D$7,"Other Services"))),"Other Services"))</f>
        <v/>
      </c>
    </row>
    <row r="3839" customFormat="false" ht="15" hidden="false" customHeight="false" outlineLevel="0" collapsed="false">
      <c r="F3839" s="41" t="str">
        <f aca="false">IF(C3839="","",IFERROR(IF(ISNUMBER(SEARCH(Assumptions!$C$5,C3839)),Assumptions!$D$5,IF(ISNUMBER(SEARCH(Assumptions!$C$6,C3839)),Assumptions!$D$6,IF(ISNUMBER(SEARCH(Assumptions!$C$7,C3839)),Assumptions!$D$7,"Other Services"))),"Other Services"))</f>
        <v/>
      </c>
    </row>
    <row r="3840" customFormat="false" ht="15" hidden="false" customHeight="false" outlineLevel="0" collapsed="false">
      <c r="F3840" s="41" t="str">
        <f aca="false">IF(C3840="","",IFERROR(IF(ISNUMBER(SEARCH(Assumptions!$C$5,C3840)),Assumptions!$D$5,IF(ISNUMBER(SEARCH(Assumptions!$C$6,C3840)),Assumptions!$D$6,IF(ISNUMBER(SEARCH(Assumptions!$C$7,C3840)),Assumptions!$D$7,"Other Services"))),"Other Services"))</f>
        <v/>
      </c>
    </row>
    <row r="3841" customFormat="false" ht="15" hidden="false" customHeight="false" outlineLevel="0" collapsed="false">
      <c r="F3841" s="41" t="str">
        <f aca="false">IF(C3841="","",IFERROR(IF(ISNUMBER(SEARCH(Assumptions!$C$5,C3841)),Assumptions!$D$5,IF(ISNUMBER(SEARCH(Assumptions!$C$6,C3841)),Assumptions!$D$6,IF(ISNUMBER(SEARCH(Assumptions!$C$7,C3841)),Assumptions!$D$7,"Other Services"))),"Other Services"))</f>
        <v/>
      </c>
    </row>
    <row r="3842" customFormat="false" ht="15" hidden="false" customHeight="false" outlineLevel="0" collapsed="false">
      <c r="F3842" s="41" t="str">
        <f aca="false">IF(C3842="","",IFERROR(IF(ISNUMBER(SEARCH(Assumptions!$C$5,C3842)),Assumptions!$D$5,IF(ISNUMBER(SEARCH(Assumptions!$C$6,C3842)),Assumptions!$D$6,IF(ISNUMBER(SEARCH(Assumptions!$C$7,C3842)),Assumptions!$D$7,"Other Services"))),"Other Services"))</f>
        <v/>
      </c>
    </row>
    <row r="3843" customFormat="false" ht="15" hidden="false" customHeight="false" outlineLevel="0" collapsed="false">
      <c r="F3843" s="41" t="str">
        <f aca="false">IF(C3843="","",IFERROR(IF(ISNUMBER(SEARCH(Assumptions!$C$5,C3843)),Assumptions!$D$5,IF(ISNUMBER(SEARCH(Assumptions!$C$6,C3843)),Assumptions!$D$6,IF(ISNUMBER(SEARCH(Assumptions!$C$7,C3843)),Assumptions!$D$7,"Other Services"))),"Other Services"))</f>
        <v/>
      </c>
    </row>
    <row r="3844" customFormat="false" ht="15" hidden="false" customHeight="false" outlineLevel="0" collapsed="false">
      <c r="F3844" s="41" t="str">
        <f aca="false">IF(C3844="","",IFERROR(IF(ISNUMBER(SEARCH(Assumptions!$C$5,C3844)),Assumptions!$D$5,IF(ISNUMBER(SEARCH(Assumptions!$C$6,C3844)),Assumptions!$D$6,IF(ISNUMBER(SEARCH(Assumptions!$C$7,C3844)),Assumptions!$D$7,"Other Services"))),"Other Services"))</f>
        <v/>
      </c>
    </row>
    <row r="3845" customFormat="false" ht="15" hidden="false" customHeight="false" outlineLevel="0" collapsed="false">
      <c r="F3845" s="41" t="str">
        <f aca="false">IF(C3845="","",IFERROR(IF(ISNUMBER(SEARCH(Assumptions!$C$5,C3845)),Assumptions!$D$5,IF(ISNUMBER(SEARCH(Assumptions!$C$6,C3845)),Assumptions!$D$6,IF(ISNUMBER(SEARCH(Assumptions!$C$7,C3845)),Assumptions!$D$7,"Other Services"))),"Other Services"))</f>
        <v/>
      </c>
    </row>
    <row r="3846" customFormat="false" ht="15" hidden="false" customHeight="false" outlineLevel="0" collapsed="false">
      <c r="F3846" s="41" t="str">
        <f aca="false">IF(C3846="","",IFERROR(IF(ISNUMBER(SEARCH(Assumptions!$C$5,C3846)),Assumptions!$D$5,IF(ISNUMBER(SEARCH(Assumptions!$C$6,C3846)),Assumptions!$D$6,IF(ISNUMBER(SEARCH(Assumptions!$C$7,C3846)),Assumptions!$D$7,"Other Services"))),"Other Services"))</f>
        <v/>
      </c>
    </row>
    <row r="3847" customFormat="false" ht="15" hidden="false" customHeight="false" outlineLevel="0" collapsed="false">
      <c r="F3847" s="41" t="str">
        <f aca="false">IF(C3847="","",IFERROR(IF(ISNUMBER(SEARCH(Assumptions!$C$5,C3847)),Assumptions!$D$5,IF(ISNUMBER(SEARCH(Assumptions!$C$6,C3847)),Assumptions!$D$6,IF(ISNUMBER(SEARCH(Assumptions!$C$7,C3847)),Assumptions!$D$7,"Other Services"))),"Other Services"))</f>
        <v/>
      </c>
    </row>
    <row r="3848" customFormat="false" ht="15" hidden="false" customHeight="false" outlineLevel="0" collapsed="false">
      <c r="F3848" s="41" t="str">
        <f aca="false">IF(C3848="","",IFERROR(IF(ISNUMBER(SEARCH(Assumptions!$C$5,C3848)),Assumptions!$D$5,IF(ISNUMBER(SEARCH(Assumptions!$C$6,C3848)),Assumptions!$D$6,IF(ISNUMBER(SEARCH(Assumptions!$C$7,C3848)),Assumptions!$D$7,"Other Services"))),"Other Services"))</f>
        <v/>
      </c>
    </row>
    <row r="3849" customFormat="false" ht="15" hidden="false" customHeight="false" outlineLevel="0" collapsed="false">
      <c r="F3849" s="41" t="str">
        <f aca="false">IF(C3849="","",IFERROR(IF(ISNUMBER(SEARCH(Assumptions!$C$5,C3849)),Assumptions!$D$5,IF(ISNUMBER(SEARCH(Assumptions!$C$6,C3849)),Assumptions!$D$6,IF(ISNUMBER(SEARCH(Assumptions!$C$7,C3849)),Assumptions!$D$7,"Other Services"))),"Other Services"))</f>
        <v/>
      </c>
    </row>
    <row r="3850" customFormat="false" ht="15" hidden="false" customHeight="false" outlineLevel="0" collapsed="false">
      <c r="F3850" s="41" t="str">
        <f aca="false">IF(C3850="","",IFERROR(IF(ISNUMBER(SEARCH(Assumptions!$C$5,C3850)),Assumptions!$D$5,IF(ISNUMBER(SEARCH(Assumptions!$C$6,C3850)),Assumptions!$D$6,IF(ISNUMBER(SEARCH(Assumptions!$C$7,C3850)),Assumptions!$D$7,"Other Services"))),"Other Services"))</f>
        <v/>
      </c>
    </row>
    <row r="3851" customFormat="false" ht="15" hidden="false" customHeight="false" outlineLevel="0" collapsed="false">
      <c r="F3851" s="41" t="str">
        <f aca="false">IF(C3851="","",IFERROR(IF(ISNUMBER(SEARCH(Assumptions!$C$5,C3851)),Assumptions!$D$5,IF(ISNUMBER(SEARCH(Assumptions!$C$6,C3851)),Assumptions!$D$6,IF(ISNUMBER(SEARCH(Assumptions!$C$7,C3851)),Assumptions!$D$7,"Other Services"))),"Other Services"))</f>
        <v/>
      </c>
    </row>
    <row r="3852" customFormat="false" ht="15" hidden="false" customHeight="false" outlineLevel="0" collapsed="false">
      <c r="F3852" s="41" t="str">
        <f aca="false">IF(C3852="","",IFERROR(IF(ISNUMBER(SEARCH(Assumptions!$C$5,C3852)),Assumptions!$D$5,IF(ISNUMBER(SEARCH(Assumptions!$C$6,C3852)),Assumptions!$D$6,IF(ISNUMBER(SEARCH(Assumptions!$C$7,C3852)),Assumptions!$D$7,"Other Services"))),"Other Services"))</f>
        <v/>
      </c>
    </row>
    <row r="3853" customFormat="false" ht="15" hidden="false" customHeight="false" outlineLevel="0" collapsed="false">
      <c r="F3853" s="41" t="str">
        <f aca="false">IF(C3853="","",IFERROR(IF(ISNUMBER(SEARCH(Assumptions!$C$5,C3853)),Assumptions!$D$5,IF(ISNUMBER(SEARCH(Assumptions!$C$6,C3853)),Assumptions!$D$6,IF(ISNUMBER(SEARCH(Assumptions!$C$7,C3853)),Assumptions!$D$7,"Other Services"))),"Other Services"))</f>
        <v/>
      </c>
    </row>
    <row r="3854" customFormat="false" ht="15" hidden="false" customHeight="false" outlineLevel="0" collapsed="false">
      <c r="F3854" s="41" t="str">
        <f aca="false">IF(C3854="","",IFERROR(IF(ISNUMBER(SEARCH(Assumptions!$C$5,C3854)),Assumptions!$D$5,IF(ISNUMBER(SEARCH(Assumptions!$C$6,C3854)),Assumptions!$D$6,IF(ISNUMBER(SEARCH(Assumptions!$C$7,C3854)),Assumptions!$D$7,"Other Services"))),"Other Services"))</f>
        <v/>
      </c>
    </row>
    <row r="3855" customFormat="false" ht="15" hidden="false" customHeight="false" outlineLevel="0" collapsed="false">
      <c r="F3855" s="41" t="str">
        <f aca="false">IF(C3855="","",IFERROR(IF(ISNUMBER(SEARCH(Assumptions!$C$5,C3855)),Assumptions!$D$5,IF(ISNUMBER(SEARCH(Assumptions!$C$6,C3855)),Assumptions!$D$6,IF(ISNUMBER(SEARCH(Assumptions!$C$7,C3855)),Assumptions!$D$7,"Other Services"))),"Other Services"))</f>
        <v/>
      </c>
    </row>
    <row r="3856" customFormat="false" ht="15" hidden="false" customHeight="false" outlineLevel="0" collapsed="false">
      <c r="F3856" s="41" t="str">
        <f aca="false">IF(C3856="","",IFERROR(IF(ISNUMBER(SEARCH(Assumptions!$C$5,C3856)),Assumptions!$D$5,IF(ISNUMBER(SEARCH(Assumptions!$C$6,C3856)),Assumptions!$D$6,IF(ISNUMBER(SEARCH(Assumptions!$C$7,C3856)),Assumptions!$D$7,"Other Services"))),"Other Services"))</f>
        <v/>
      </c>
    </row>
    <row r="3857" customFormat="false" ht="15" hidden="false" customHeight="false" outlineLevel="0" collapsed="false">
      <c r="F3857" s="41" t="str">
        <f aca="false">IF(C3857="","",IFERROR(IF(ISNUMBER(SEARCH(Assumptions!$C$5,C3857)),Assumptions!$D$5,IF(ISNUMBER(SEARCH(Assumptions!$C$6,C3857)),Assumptions!$D$6,IF(ISNUMBER(SEARCH(Assumptions!$C$7,C3857)),Assumptions!$D$7,"Other Services"))),"Other Services"))</f>
        <v/>
      </c>
    </row>
    <row r="3858" customFormat="false" ht="15" hidden="false" customHeight="false" outlineLevel="0" collapsed="false">
      <c r="F3858" s="41" t="str">
        <f aca="false">IF(C3858="","",IFERROR(IF(ISNUMBER(SEARCH(Assumptions!$C$5,C3858)),Assumptions!$D$5,IF(ISNUMBER(SEARCH(Assumptions!$C$6,C3858)),Assumptions!$D$6,IF(ISNUMBER(SEARCH(Assumptions!$C$7,C3858)),Assumptions!$D$7,"Other Services"))),"Other Services"))</f>
        <v/>
      </c>
    </row>
    <row r="3859" customFormat="false" ht="15" hidden="false" customHeight="false" outlineLevel="0" collapsed="false">
      <c r="F3859" s="41" t="str">
        <f aca="false">IF(C3859="","",IFERROR(IF(ISNUMBER(SEARCH(Assumptions!$C$5,C3859)),Assumptions!$D$5,IF(ISNUMBER(SEARCH(Assumptions!$C$6,C3859)),Assumptions!$D$6,IF(ISNUMBER(SEARCH(Assumptions!$C$7,C3859)),Assumptions!$D$7,"Other Services"))),"Other Services"))</f>
        <v/>
      </c>
    </row>
    <row r="3860" customFormat="false" ht="15" hidden="false" customHeight="false" outlineLevel="0" collapsed="false">
      <c r="F3860" s="41" t="str">
        <f aca="false">IF(C3860="","",IFERROR(IF(ISNUMBER(SEARCH(Assumptions!$C$5,C3860)),Assumptions!$D$5,IF(ISNUMBER(SEARCH(Assumptions!$C$6,C3860)),Assumptions!$D$6,IF(ISNUMBER(SEARCH(Assumptions!$C$7,C3860)),Assumptions!$D$7,"Other Services"))),"Other Services"))</f>
        <v/>
      </c>
    </row>
    <row r="3861" customFormat="false" ht="15" hidden="false" customHeight="false" outlineLevel="0" collapsed="false">
      <c r="F3861" s="41" t="str">
        <f aca="false">IF(C3861="","",IFERROR(IF(ISNUMBER(SEARCH(Assumptions!$C$5,C3861)),Assumptions!$D$5,IF(ISNUMBER(SEARCH(Assumptions!$C$6,C3861)),Assumptions!$D$6,IF(ISNUMBER(SEARCH(Assumptions!$C$7,C3861)),Assumptions!$D$7,"Other Services"))),"Other Services"))</f>
        <v/>
      </c>
    </row>
    <row r="3862" customFormat="false" ht="15" hidden="false" customHeight="false" outlineLevel="0" collapsed="false">
      <c r="F3862" s="41" t="str">
        <f aca="false">IF(C3862="","",IFERROR(IF(ISNUMBER(SEARCH(Assumptions!$C$5,C3862)),Assumptions!$D$5,IF(ISNUMBER(SEARCH(Assumptions!$C$6,C3862)),Assumptions!$D$6,IF(ISNUMBER(SEARCH(Assumptions!$C$7,C3862)),Assumptions!$D$7,"Other Services"))),"Other Services"))</f>
        <v/>
      </c>
    </row>
    <row r="3863" customFormat="false" ht="15" hidden="false" customHeight="false" outlineLevel="0" collapsed="false">
      <c r="F3863" s="41" t="str">
        <f aca="false">IF(C3863="","",IFERROR(IF(ISNUMBER(SEARCH(Assumptions!$C$5,C3863)),Assumptions!$D$5,IF(ISNUMBER(SEARCH(Assumptions!$C$6,C3863)),Assumptions!$D$6,IF(ISNUMBER(SEARCH(Assumptions!$C$7,C3863)),Assumptions!$D$7,"Other Services"))),"Other Services"))</f>
        <v/>
      </c>
    </row>
    <row r="3864" customFormat="false" ht="15" hidden="false" customHeight="false" outlineLevel="0" collapsed="false">
      <c r="F3864" s="41" t="str">
        <f aca="false">IF(C3864="","",IFERROR(IF(ISNUMBER(SEARCH(Assumptions!$C$5,C3864)),Assumptions!$D$5,IF(ISNUMBER(SEARCH(Assumptions!$C$6,C3864)),Assumptions!$D$6,IF(ISNUMBER(SEARCH(Assumptions!$C$7,C3864)),Assumptions!$D$7,"Other Services"))),"Other Services"))</f>
        <v/>
      </c>
    </row>
    <row r="3865" customFormat="false" ht="15" hidden="false" customHeight="false" outlineLevel="0" collapsed="false">
      <c r="F3865" s="41" t="str">
        <f aca="false">IF(C3865="","",IFERROR(IF(ISNUMBER(SEARCH(Assumptions!$C$5,C3865)),Assumptions!$D$5,IF(ISNUMBER(SEARCH(Assumptions!$C$6,C3865)),Assumptions!$D$6,IF(ISNUMBER(SEARCH(Assumptions!$C$7,C3865)),Assumptions!$D$7,"Other Services"))),"Other Services"))</f>
        <v/>
      </c>
    </row>
    <row r="3866" customFormat="false" ht="15" hidden="false" customHeight="false" outlineLevel="0" collapsed="false">
      <c r="F3866" s="41" t="str">
        <f aca="false">IF(C3866="","",IFERROR(IF(ISNUMBER(SEARCH(Assumptions!$C$5,C3866)),Assumptions!$D$5,IF(ISNUMBER(SEARCH(Assumptions!$C$6,C3866)),Assumptions!$D$6,IF(ISNUMBER(SEARCH(Assumptions!$C$7,C3866)),Assumptions!$D$7,"Other Services"))),"Other Services"))</f>
        <v/>
      </c>
    </row>
    <row r="3867" customFormat="false" ht="15" hidden="false" customHeight="false" outlineLevel="0" collapsed="false">
      <c r="F3867" s="41" t="str">
        <f aca="false">IF(C3867="","",IFERROR(IF(ISNUMBER(SEARCH(Assumptions!$C$5,C3867)),Assumptions!$D$5,IF(ISNUMBER(SEARCH(Assumptions!$C$6,C3867)),Assumptions!$D$6,IF(ISNUMBER(SEARCH(Assumptions!$C$7,C3867)),Assumptions!$D$7,"Other Services"))),"Other Services"))</f>
        <v/>
      </c>
    </row>
    <row r="3868" customFormat="false" ht="15" hidden="false" customHeight="false" outlineLevel="0" collapsed="false">
      <c r="F3868" s="41" t="str">
        <f aca="false">IF(C3868="","",IFERROR(IF(ISNUMBER(SEARCH(Assumptions!$C$5,C3868)),Assumptions!$D$5,IF(ISNUMBER(SEARCH(Assumptions!$C$6,C3868)),Assumptions!$D$6,IF(ISNUMBER(SEARCH(Assumptions!$C$7,C3868)),Assumptions!$D$7,"Other Services"))),"Other Services"))</f>
        <v/>
      </c>
    </row>
    <row r="3869" customFormat="false" ht="15" hidden="false" customHeight="false" outlineLevel="0" collapsed="false">
      <c r="F3869" s="41" t="str">
        <f aca="false">IF(C3869="","",IFERROR(IF(ISNUMBER(SEARCH(Assumptions!$C$5,C3869)),Assumptions!$D$5,IF(ISNUMBER(SEARCH(Assumptions!$C$6,C3869)),Assumptions!$D$6,IF(ISNUMBER(SEARCH(Assumptions!$C$7,C3869)),Assumptions!$D$7,"Other Services"))),"Other Services"))</f>
        <v/>
      </c>
    </row>
    <row r="3870" customFormat="false" ht="15" hidden="false" customHeight="false" outlineLevel="0" collapsed="false">
      <c r="F3870" s="41" t="str">
        <f aca="false">IF(C3870="","",IFERROR(IF(ISNUMBER(SEARCH(Assumptions!$C$5,C3870)),Assumptions!$D$5,IF(ISNUMBER(SEARCH(Assumptions!$C$6,C3870)),Assumptions!$D$6,IF(ISNUMBER(SEARCH(Assumptions!$C$7,C3870)),Assumptions!$D$7,"Other Services"))),"Other Services"))</f>
        <v/>
      </c>
    </row>
    <row r="3871" customFormat="false" ht="15" hidden="false" customHeight="false" outlineLevel="0" collapsed="false">
      <c r="F3871" s="41" t="str">
        <f aca="false">IF(C3871="","",IFERROR(IF(ISNUMBER(SEARCH(Assumptions!$C$5,C3871)),Assumptions!$D$5,IF(ISNUMBER(SEARCH(Assumptions!$C$6,C3871)),Assumptions!$D$6,IF(ISNUMBER(SEARCH(Assumptions!$C$7,C3871)),Assumptions!$D$7,"Other Services"))),"Other Services"))</f>
        <v/>
      </c>
    </row>
    <row r="3872" customFormat="false" ht="15" hidden="false" customHeight="false" outlineLevel="0" collapsed="false">
      <c r="F3872" s="41" t="str">
        <f aca="false">IF(C3872="","",IFERROR(IF(ISNUMBER(SEARCH(Assumptions!$C$5,C3872)),Assumptions!$D$5,IF(ISNUMBER(SEARCH(Assumptions!$C$6,C3872)),Assumptions!$D$6,IF(ISNUMBER(SEARCH(Assumptions!$C$7,C3872)),Assumptions!$D$7,"Other Services"))),"Other Services"))</f>
        <v/>
      </c>
    </row>
    <row r="3873" customFormat="false" ht="15" hidden="false" customHeight="false" outlineLevel="0" collapsed="false">
      <c r="F3873" s="41" t="str">
        <f aca="false">IF(C3873="","",IFERROR(IF(ISNUMBER(SEARCH(Assumptions!$C$5,C3873)),Assumptions!$D$5,IF(ISNUMBER(SEARCH(Assumptions!$C$6,C3873)),Assumptions!$D$6,IF(ISNUMBER(SEARCH(Assumptions!$C$7,C3873)),Assumptions!$D$7,"Other Services"))),"Other Services"))</f>
        <v/>
      </c>
    </row>
    <row r="3874" customFormat="false" ht="15" hidden="false" customHeight="false" outlineLevel="0" collapsed="false">
      <c r="F3874" s="41" t="str">
        <f aca="false">IF(C3874="","",IFERROR(IF(ISNUMBER(SEARCH(Assumptions!$C$5,C3874)),Assumptions!$D$5,IF(ISNUMBER(SEARCH(Assumptions!$C$6,C3874)),Assumptions!$D$6,IF(ISNUMBER(SEARCH(Assumptions!$C$7,C3874)),Assumptions!$D$7,"Other Services"))),"Other Services"))</f>
        <v/>
      </c>
    </row>
    <row r="3875" customFormat="false" ht="15" hidden="false" customHeight="false" outlineLevel="0" collapsed="false">
      <c r="F3875" s="41" t="str">
        <f aca="false">IF(C3875="","",IFERROR(IF(ISNUMBER(SEARCH(Assumptions!$C$5,C3875)),Assumptions!$D$5,IF(ISNUMBER(SEARCH(Assumptions!$C$6,C3875)),Assumptions!$D$6,IF(ISNUMBER(SEARCH(Assumptions!$C$7,C3875)),Assumptions!$D$7,"Other Services"))),"Other Services"))</f>
        <v/>
      </c>
    </row>
    <row r="3876" customFormat="false" ht="15" hidden="false" customHeight="false" outlineLevel="0" collapsed="false">
      <c r="F3876" s="41" t="str">
        <f aca="false">IF(C3876="","",IFERROR(IF(ISNUMBER(SEARCH(Assumptions!$C$5,C3876)),Assumptions!$D$5,IF(ISNUMBER(SEARCH(Assumptions!$C$6,C3876)),Assumptions!$D$6,IF(ISNUMBER(SEARCH(Assumptions!$C$7,C3876)),Assumptions!$D$7,"Other Services"))),"Other Services"))</f>
        <v/>
      </c>
    </row>
    <row r="3877" customFormat="false" ht="15" hidden="false" customHeight="false" outlineLevel="0" collapsed="false">
      <c r="F3877" s="41" t="str">
        <f aca="false">IF(C3877="","",IFERROR(IF(ISNUMBER(SEARCH(Assumptions!$C$5,C3877)),Assumptions!$D$5,IF(ISNUMBER(SEARCH(Assumptions!$C$6,C3877)),Assumptions!$D$6,IF(ISNUMBER(SEARCH(Assumptions!$C$7,C3877)),Assumptions!$D$7,"Other Services"))),"Other Services"))</f>
        <v/>
      </c>
    </row>
    <row r="3878" customFormat="false" ht="15" hidden="false" customHeight="false" outlineLevel="0" collapsed="false">
      <c r="F3878" s="41" t="str">
        <f aca="false">IF(C3878="","",IFERROR(IF(ISNUMBER(SEARCH(Assumptions!$C$5,C3878)),Assumptions!$D$5,IF(ISNUMBER(SEARCH(Assumptions!$C$6,C3878)),Assumptions!$D$6,IF(ISNUMBER(SEARCH(Assumptions!$C$7,C3878)),Assumptions!$D$7,"Other Services"))),"Other Services"))</f>
        <v/>
      </c>
    </row>
    <row r="3879" customFormat="false" ht="15" hidden="false" customHeight="false" outlineLevel="0" collapsed="false">
      <c r="F3879" s="41" t="str">
        <f aca="false">IF(C3879="","",IFERROR(IF(ISNUMBER(SEARCH(Assumptions!$C$5,C3879)),Assumptions!$D$5,IF(ISNUMBER(SEARCH(Assumptions!$C$6,C3879)),Assumptions!$D$6,IF(ISNUMBER(SEARCH(Assumptions!$C$7,C3879)),Assumptions!$D$7,"Other Services"))),"Other Services"))</f>
        <v/>
      </c>
    </row>
    <row r="3880" customFormat="false" ht="15" hidden="false" customHeight="false" outlineLevel="0" collapsed="false">
      <c r="F3880" s="41" t="str">
        <f aca="false">IF(C3880="","",IFERROR(IF(ISNUMBER(SEARCH(Assumptions!$C$5,C3880)),Assumptions!$D$5,IF(ISNUMBER(SEARCH(Assumptions!$C$6,C3880)),Assumptions!$D$6,IF(ISNUMBER(SEARCH(Assumptions!$C$7,C3880)),Assumptions!$D$7,"Other Services"))),"Other Services"))</f>
        <v/>
      </c>
    </row>
    <row r="3881" customFormat="false" ht="15" hidden="false" customHeight="false" outlineLevel="0" collapsed="false">
      <c r="F3881" s="41" t="str">
        <f aca="false">IF(C3881="","",IFERROR(IF(ISNUMBER(SEARCH(Assumptions!$C$5,C3881)),Assumptions!$D$5,IF(ISNUMBER(SEARCH(Assumptions!$C$6,C3881)),Assumptions!$D$6,IF(ISNUMBER(SEARCH(Assumptions!$C$7,C3881)),Assumptions!$D$7,"Other Services"))),"Other Services"))</f>
        <v/>
      </c>
    </row>
    <row r="3882" customFormat="false" ht="15" hidden="false" customHeight="false" outlineLevel="0" collapsed="false">
      <c r="F3882" s="41" t="str">
        <f aca="false">IF(C3882="","",IFERROR(IF(ISNUMBER(SEARCH(Assumptions!$C$5,C3882)),Assumptions!$D$5,IF(ISNUMBER(SEARCH(Assumptions!$C$6,C3882)),Assumptions!$D$6,IF(ISNUMBER(SEARCH(Assumptions!$C$7,C3882)),Assumptions!$D$7,"Other Services"))),"Other Services"))</f>
        <v/>
      </c>
    </row>
    <row r="3883" customFormat="false" ht="15" hidden="false" customHeight="false" outlineLevel="0" collapsed="false">
      <c r="F3883" s="41" t="str">
        <f aca="false">IF(C3883="","",IFERROR(IF(ISNUMBER(SEARCH(Assumptions!$C$5,C3883)),Assumptions!$D$5,IF(ISNUMBER(SEARCH(Assumptions!$C$6,C3883)),Assumptions!$D$6,IF(ISNUMBER(SEARCH(Assumptions!$C$7,C3883)),Assumptions!$D$7,"Other Services"))),"Other Services"))</f>
        <v/>
      </c>
    </row>
    <row r="3884" customFormat="false" ht="15" hidden="false" customHeight="false" outlineLevel="0" collapsed="false">
      <c r="F3884" s="41" t="str">
        <f aca="false">IF(C3884="","",IFERROR(IF(ISNUMBER(SEARCH(Assumptions!$C$5,C3884)),Assumptions!$D$5,IF(ISNUMBER(SEARCH(Assumptions!$C$6,C3884)),Assumptions!$D$6,IF(ISNUMBER(SEARCH(Assumptions!$C$7,C3884)),Assumptions!$D$7,"Other Services"))),"Other Services"))</f>
        <v/>
      </c>
    </row>
    <row r="3885" customFormat="false" ht="15" hidden="false" customHeight="false" outlineLevel="0" collapsed="false">
      <c r="F3885" s="41" t="str">
        <f aca="false">IF(C3885="","",IFERROR(IF(ISNUMBER(SEARCH(Assumptions!$C$5,C3885)),Assumptions!$D$5,IF(ISNUMBER(SEARCH(Assumptions!$C$6,C3885)),Assumptions!$D$6,IF(ISNUMBER(SEARCH(Assumptions!$C$7,C3885)),Assumptions!$D$7,"Other Services"))),"Other Services"))</f>
        <v/>
      </c>
    </row>
    <row r="3886" customFormat="false" ht="15" hidden="false" customHeight="false" outlineLevel="0" collapsed="false">
      <c r="F3886" s="41" t="str">
        <f aca="false">IF(C3886="","",IFERROR(IF(ISNUMBER(SEARCH(Assumptions!$C$5,C3886)),Assumptions!$D$5,IF(ISNUMBER(SEARCH(Assumptions!$C$6,C3886)),Assumptions!$D$6,IF(ISNUMBER(SEARCH(Assumptions!$C$7,C3886)),Assumptions!$D$7,"Other Services"))),"Other Services"))</f>
        <v/>
      </c>
    </row>
    <row r="3887" customFormat="false" ht="15" hidden="false" customHeight="false" outlineLevel="0" collapsed="false">
      <c r="F3887" s="41" t="str">
        <f aca="false">IF(C3887="","",IFERROR(IF(ISNUMBER(SEARCH(Assumptions!$C$5,C3887)),Assumptions!$D$5,IF(ISNUMBER(SEARCH(Assumptions!$C$6,C3887)),Assumptions!$D$6,IF(ISNUMBER(SEARCH(Assumptions!$C$7,C3887)),Assumptions!$D$7,"Other Services"))),"Other Services"))</f>
        <v/>
      </c>
    </row>
    <row r="3888" customFormat="false" ht="15" hidden="false" customHeight="false" outlineLevel="0" collapsed="false">
      <c r="F3888" s="41" t="str">
        <f aca="false">IF(C3888="","",IFERROR(IF(ISNUMBER(SEARCH(Assumptions!$C$5,C3888)),Assumptions!$D$5,IF(ISNUMBER(SEARCH(Assumptions!$C$6,C3888)),Assumptions!$D$6,IF(ISNUMBER(SEARCH(Assumptions!$C$7,C3888)),Assumptions!$D$7,"Other Services"))),"Other Services"))</f>
        <v/>
      </c>
    </row>
    <row r="3889" customFormat="false" ht="15" hidden="false" customHeight="false" outlineLevel="0" collapsed="false">
      <c r="F3889" s="41" t="str">
        <f aca="false">IF(C3889="","",IFERROR(IF(ISNUMBER(SEARCH(Assumptions!$C$5,C3889)),Assumptions!$D$5,IF(ISNUMBER(SEARCH(Assumptions!$C$6,C3889)),Assumptions!$D$6,IF(ISNUMBER(SEARCH(Assumptions!$C$7,C3889)),Assumptions!$D$7,"Other Services"))),"Other Services"))</f>
        <v/>
      </c>
    </row>
    <row r="3890" customFormat="false" ht="15" hidden="false" customHeight="false" outlineLevel="0" collapsed="false">
      <c r="F3890" s="41" t="str">
        <f aca="false">IF(C3890="","",IFERROR(IF(ISNUMBER(SEARCH(Assumptions!$C$5,C3890)),Assumptions!$D$5,IF(ISNUMBER(SEARCH(Assumptions!$C$6,C3890)),Assumptions!$D$6,IF(ISNUMBER(SEARCH(Assumptions!$C$7,C3890)),Assumptions!$D$7,"Other Services"))),"Other Services"))</f>
        <v/>
      </c>
    </row>
    <row r="3891" customFormat="false" ht="15" hidden="false" customHeight="false" outlineLevel="0" collapsed="false">
      <c r="F3891" s="41" t="str">
        <f aca="false">IF(C3891="","",IFERROR(IF(ISNUMBER(SEARCH(Assumptions!$C$5,C3891)),Assumptions!$D$5,IF(ISNUMBER(SEARCH(Assumptions!$C$6,C3891)),Assumptions!$D$6,IF(ISNUMBER(SEARCH(Assumptions!$C$7,C3891)),Assumptions!$D$7,"Other Services"))),"Other Services"))</f>
        <v/>
      </c>
    </row>
    <row r="3892" customFormat="false" ht="15" hidden="false" customHeight="false" outlineLevel="0" collapsed="false">
      <c r="F3892" s="41" t="str">
        <f aca="false">IF(C3892="","",IFERROR(IF(ISNUMBER(SEARCH(Assumptions!$C$5,C3892)),Assumptions!$D$5,IF(ISNUMBER(SEARCH(Assumptions!$C$6,C3892)),Assumptions!$D$6,IF(ISNUMBER(SEARCH(Assumptions!$C$7,C3892)),Assumptions!$D$7,"Other Services"))),"Other Services"))</f>
        <v/>
      </c>
    </row>
    <row r="3893" customFormat="false" ht="15" hidden="false" customHeight="false" outlineLevel="0" collapsed="false">
      <c r="F3893" s="41" t="str">
        <f aca="false">IF(C3893="","",IFERROR(IF(ISNUMBER(SEARCH(Assumptions!$C$5,C3893)),Assumptions!$D$5,IF(ISNUMBER(SEARCH(Assumptions!$C$6,C3893)),Assumptions!$D$6,IF(ISNUMBER(SEARCH(Assumptions!$C$7,C3893)),Assumptions!$D$7,"Other Services"))),"Other Services"))</f>
        <v/>
      </c>
    </row>
    <row r="3894" customFormat="false" ht="15" hidden="false" customHeight="false" outlineLevel="0" collapsed="false">
      <c r="F3894" s="41" t="str">
        <f aca="false">IF(C3894="","",IFERROR(IF(ISNUMBER(SEARCH(Assumptions!$C$5,C3894)),Assumptions!$D$5,IF(ISNUMBER(SEARCH(Assumptions!$C$6,C3894)),Assumptions!$D$6,IF(ISNUMBER(SEARCH(Assumptions!$C$7,C3894)),Assumptions!$D$7,"Other Services"))),"Other Services"))</f>
        <v/>
      </c>
    </row>
    <row r="3895" customFormat="false" ht="15" hidden="false" customHeight="false" outlineLevel="0" collapsed="false">
      <c r="F3895" s="41" t="str">
        <f aca="false">IF(C3895="","",IFERROR(IF(ISNUMBER(SEARCH(Assumptions!$C$5,C3895)),Assumptions!$D$5,IF(ISNUMBER(SEARCH(Assumptions!$C$6,C3895)),Assumptions!$D$6,IF(ISNUMBER(SEARCH(Assumptions!$C$7,C3895)),Assumptions!$D$7,"Other Services"))),"Other Services"))</f>
        <v/>
      </c>
    </row>
    <row r="3896" customFormat="false" ht="15" hidden="false" customHeight="false" outlineLevel="0" collapsed="false">
      <c r="F3896" s="41" t="str">
        <f aca="false">IF(C3896="","",IFERROR(IF(ISNUMBER(SEARCH(Assumptions!$C$5,C3896)),Assumptions!$D$5,IF(ISNUMBER(SEARCH(Assumptions!$C$6,C3896)),Assumptions!$D$6,IF(ISNUMBER(SEARCH(Assumptions!$C$7,C3896)),Assumptions!$D$7,"Other Services"))),"Other Services"))</f>
        <v/>
      </c>
    </row>
    <row r="3897" customFormat="false" ht="15" hidden="false" customHeight="false" outlineLevel="0" collapsed="false">
      <c r="F3897" s="41" t="str">
        <f aca="false">IF(C3897="","",IFERROR(IF(ISNUMBER(SEARCH(Assumptions!$C$5,C3897)),Assumptions!$D$5,IF(ISNUMBER(SEARCH(Assumptions!$C$6,C3897)),Assumptions!$D$6,IF(ISNUMBER(SEARCH(Assumptions!$C$7,C3897)),Assumptions!$D$7,"Other Services"))),"Other Services"))</f>
        <v/>
      </c>
    </row>
    <row r="3898" customFormat="false" ht="15" hidden="false" customHeight="false" outlineLevel="0" collapsed="false">
      <c r="F3898" s="41" t="str">
        <f aca="false">IF(C3898="","",IFERROR(IF(ISNUMBER(SEARCH(Assumptions!$C$5,C3898)),Assumptions!$D$5,IF(ISNUMBER(SEARCH(Assumptions!$C$6,C3898)),Assumptions!$D$6,IF(ISNUMBER(SEARCH(Assumptions!$C$7,C3898)),Assumptions!$D$7,"Other Services"))),"Other Services"))</f>
        <v/>
      </c>
    </row>
    <row r="3899" customFormat="false" ht="15" hidden="false" customHeight="false" outlineLevel="0" collapsed="false">
      <c r="F3899" s="41" t="str">
        <f aca="false">IF(C3899="","",IFERROR(IF(ISNUMBER(SEARCH(Assumptions!$C$5,C3899)),Assumptions!$D$5,IF(ISNUMBER(SEARCH(Assumptions!$C$6,C3899)),Assumptions!$D$6,IF(ISNUMBER(SEARCH(Assumptions!$C$7,C3899)),Assumptions!$D$7,"Other Services"))),"Other Services"))</f>
        <v/>
      </c>
    </row>
    <row r="3900" customFormat="false" ht="15" hidden="false" customHeight="false" outlineLevel="0" collapsed="false">
      <c r="F3900" s="41" t="str">
        <f aca="false">IF(C3900="","",IFERROR(IF(ISNUMBER(SEARCH(Assumptions!$C$5,C3900)),Assumptions!$D$5,IF(ISNUMBER(SEARCH(Assumptions!$C$6,C3900)),Assumptions!$D$6,IF(ISNUMBER(SEARCH(Assumptions!$C$7,C3900)),Assumptions!$D$7,"Other Services"))),"Other Services"))</f>
        <v/>
      </c>
    </row>
    <row r="3901" customFormat="false" ht="15" hidden="false" customHeight="false" outlineLevel="0" collapsed="false">
      <c r="F3901" s="41" t="str">
        <f aca="false">IF(C3901="","",IFERROR(IF(ISNUMBER(SEARCH(Assumptions!$C$5,C3901)),Assumptions!$D$5,IF(ISNUMBER(SEARCH(Assumptions!$C$6,C3901)),Assumptions!$D$6,IF(ISNUMBER(SEARCH(Assumptions!$C$7,C3901)),Assumptions!$D$7,"Other Services"))),"Other Services"))</f>
        <v/>
      </c>
    </row>
    <row r="3902" customFormat="false" ht="15" hidden="false" customHeight="false" outlineLevel="0" collapsed="false">
      <c r="F3902" s="41" t="str">
        <f aca="false">IF(C3902="","",IFERROR(IF(ISNUMBER(SEARCH(Assumptions!$C$5,C3902)),Assumptions!$D$5,IF(ISNUMBER(SEARCH(Assumptions!$C$6,C3902)),Assumptions!$D$6,IF(ISNUMBER(SEARCH(Assumptions!$C$7,C3902)),Assumptions!$D$7,"Other Services"))),"Other Services"))</f>
        <v/>
      </c>
    </row>
    <row r="3903" customFormat="false" ht="15" hidden="false" customHeight="false" outlineLevel="0" collapsed="false">
      <c r="F3903" s="41" t="str">
        <f aca="false">IF(C3903="","",IFERROR(IF(ISNUMBER(SEARCH(Assumptions!$C$5,C3903)),Assumptions!$D$5,IF(ISNUMBER(SEARCH(Assumptions!$C$6,C3903)),Assumptions!$D$6,IF(ISNUMBER(SEARCH(Assumptions!$C$7,C3903)),Assumptions!$D$7,"Other Services"))),"Other Services"))</f>
        <v/>
      </c>
    </row>
    <row r="3904" customFormat="false" ht="15" hidden="false" customHeight="false" outlineLevel="0" collapsed="false">
      <c r="F3904" s="41" t="str">
        <f aca="false">IF(C3904="","",IFERROR(IF(ISNUMBER(SEARCH(Assumptions!$C$5,C3904)),Assumptions!$D$5,IF(ISNUMBER(SEARCH(Assumptions!$C$6,C3904)),Assumptions!$D$6,IF(ISNUMBER(SEARCH(Assumptions!$C$7,C3904)),Assumptions!$D$7,"Other Services"))),"Other Services"))</f>
        <v/>
      </c>
    </row>
    <row r="3905" customFormat="false" ht="15" hidden="false" customHeight="false" outlineLevel="0" collapsed="false">
      <c r="F3905" s="41" t="str">
        <f aca="false">IF(C3905="","",IFERROR(IF(ISNUMBER(SEARCH(Assumptions!$C$5,C3905)),Assumptions!$D$5,IF(ISNUMBER(SEARCH(Assumptions!$C$6,C3905)),Assumptions!$D$6,IF(ISNUMBER(SEARCH(Assumptions!$C$7,C3905)),Assumptions!$D$7,"Other Services"))),"Other Services"))</f>
        <v/>
      </c>
    </row>
    <row r="3906" customFormat="false" ht="15" hidden="false" customHeight="false" outlineLevel="0" collapsed="false">
      <c r="F3906" s="41" t="str">
        <f aca="false">IF(C3906="","",IFERROR(IF(ISNUMBER(SEARCH(Assumptions!$C$5,C3906)),Assumptions!$D$5,IF(ISNUMBER(SEARCH(Assumptions!$C$6,C3906)),Assumptions!$D$6,IF(ISNUMBER(SEARCH(Assumptions!$C$7,C3906)),Assumptions!$D$7,"Other Services"))),"Other Services"))</f>
        <v/>
      </c>
    </row>
    <row r="3907" customFormat="false" ht="15" hidden="false" customHeight="false" outlineLevel="0" collapsed="false">
      <c r="F3907" s="41" t="str">
        <f aca="false">IF(C3907="","",IFERROR(IF(ISNUMBER(SEARCH(Assumptions!$C$5,C3907)),Assumptions!$D$5,IF(ISNUMBER(SEARCH(Assumptions!$C$6,C3907)),Assumptions!$D$6,IF(ISNUMBER(SEARCH(Assumptions!$C$7,C3907)),Assumptions!$D$7,"Other Services"))),"Other Services"))</f>
        <v/>
      </c>
    </row>
    <row r="3908" customFormat="false" ht="15" hidden="false" customHeight="false" outlineLevel="0" collapsed="false">
      <c r="F3908" s="41" t="str">
        <f aca="false">IF(C3908="","",IFERROR(IF(ISNUMBER(SEARCH(Assumptions!$C$5,C3908)),Assumptions!$D$5,IF(ISNUMBER(SEARCH(Assumptions!$C$6,C3908)),Assumptions!$D$6,IF(ISNUMBER(SEARCH(Assumptions!$C$7,C3908)),Assumptions!$D$7,"Other Services"))),"Other Services"))</f>
        <v/>
      </c>
    </row>
    <row r="3909" customFormat="false" ht="15" hidden="false" customHeight="false" outlineLevel="0" collapsed="false">
      <c r="F3909" s="41" t="str">
        <f aca="false">IF(C3909="","",IFERROR(IF(ISNUMBER(SEARCH(Assumptions!$C$5,C3909)),Assumptions!$D$5,IF(ISNUMBER(SEARCH(Assumptions!$C$6,C3909)),Assumptions!$D$6,IF(ISNUMBER(SEARCH(Assumptions!$C$7,C3909)),Assumptions!$D$7,"Other Services"))),"Other Services"))</f>
        <v/>
      </c>
    </row>
    <row r="3910" customFormat="false" ht="15" hidden="false" customHeight="false" outlineLevel="0" collapsed="false">
      <c r="F3910" s="41" t="str">
        <f aca="false">IF(C3910="","",IFERROR(IF(ISNUMBER(SEARCH(Assumptions!$C$5,C3910)),Assumptions!$D$5,IF(ISNUMBER(SEARCH(Assumptions!$C$6,C3910)),Assumptions!$D$6,IF(ISNUMBER(SEARCH(Assumptions!$C$7,C3910)),Assumptions!$D$7,"Other Services"))),"Other Services"))</f>
        <v/>
      </c>
    </row>
    <row r="3911" customFormat="false" ht="15" hidden="false" customHeight="false" outlineLevel="0" collapsed="false">
      <c r="F3911" s="41" t="str">
        <f aca="false">IF(C3911="","",IFERROR(IF(ISNUMBER(SEARCH(Assumptions!$C$5,C3911)),Assumptions!$D$5,IF(ISNUMBER(SEARCH(Assumptions!$C$6,C3911)),Assumptions!$D$6,IF(ISNUMBER(SEARCH(Assumptions!$C$7,C3911)),Assumptions!$D$7,"Other Services"))),"Other Services"))</f>
        <v/>
      </c>
    </row>
    <row r="3912" customFormat="false" ht="15" hidden="false" customHeight="false" outlineLevel="0" collapsed="false">
      <c r="F3912" s="41" t="str">
        <f aca="false">IF(C3912="","",IFERROR(IF(ISNUMBER(SEARCH(Assumptions!$C$5,C3912)),Assumptions!$D$5,IF(ISNUMBER(SEARCH(Assumptions!$C$6,C3912)),Assumptions!$D$6,IF(ISNUMBER(SEARCH(Assumptions!$C$7,C3912)),Assumptions!$D$7,"Other Services"))),"Other Services"))</f>
        <v/>
      </c>
    </row>
    <row r="3913" customFormat="false" ht="15" hidden="false" customHeight="false" outlineLevel="0" collapsed="false">
      <c r="F3913" s="41" t="str">
        <f aca="false">IF(C3913="","",IFERROR(IF(ISNUMBER(SEARCH(Assumptions!$C$5,C3913)),Assumptions!$D$5,IF(ISNUMBER(SEARCH(Assumptions!$C$6,C3913)),Assumptions!$D$6,IF(ISNUMBER(SEARCH(Assumptions!$C$7,C3913)),Assumptions!$D$7,"Other Services"))),"Other Services"))</f>
        <v/>
      </c>
    </row>
    <row r="3914" customFormat="false" ht="15" hidden="false" customHeight="false" outlineLevel="0" collapsed="false">
      <c r="F3914" s="41" t="str">
        <f aca="false">IF(C3914="","",IFERROR(IF(ISNUMBER(SEARCH(Assumptions!$C$5,C3914)),Assumptions!$D$5,IF(ISNUMBER(SEARCH(Assumptions!$C$6,C3914)),Assumptions!$D$6,IF(ISNUMBER(SEARCH(Assumptions!$C$7,C3914)),Assumptions!$D$7,"Other Services"))),"Other Services"))</f>
        <v/>
      </c>
    </row>
    <row r="3915" customFormat="false" ht="15" hidden="false" customHeight="false" outlineLevel="0" collapsed="false">
      <c r="F3915" s="41" t="str">
        <f aca="false">IF(C3915="","",IFERROR(IF(ISNUMBER(SEARCH(Assumptions!$C$5,C3915)),Assumptions!$D$5,IF(ISNUMBER(SEARCH(Assumptions!$C$6,C3915)),Assumptions!$D$6,IF(ISNUMBER(SEARCH(Assumptions!$C$7,C3915)),Assumptions!$D$7,"Other Services"))),"Other Services"))</f>
        <v/>
      </c>
    </row>
    <row r="3916" customFormat="false" ht="15" hidden="false" customHeight="false" outlineLevel="0" collapsed="false">
      <c r="F3916" s="41" t="str">
        <f aca="false">IF(C3916="","",IFERROR(IF(ISNUMBER(SEARCH(Assumptions!$C$5,C3916)),Assumptions!$D$5,IF(ISNUMBER(SEARCH(Assumptions!$C$6,C3916)),Assumptions!$D$6,IF(ISNUMBER(SEARCH(Assumptions!$C$7,C3916)),Assumptions!$D$7,"Other Services"))),"Other Services"))</f>
        <v/>
      </c>
    </row>
    <row r="3917" customFormat="false" ht="15" hidden="false" customHeight="false" outlineLevel="0" collapsed="false">
      <c r="F3917" s="41" t="str">
        <f aca="false">IF(C3917="","",IFERROR(IF(ISNUMBER(SEARCH(Assumptions!$C$5,C3917)),Assumptions!$D$5,IF(ISNUMBER(SEARCH(Assumptions!$C$6,C3917)),Assumptions!$D$6,IF(ISNUMBER(SEARCH(Assumptions!$C$7,C3917)),Assumptions!$D$7,"Other Services"))),"Other Services"))</f>
        <v/>
      </c>
    </row>
    <row r="3918" customFormat="false" ht="15" hidden="false" customHeight="false" outlineLevel="0" collapsed="false">
      <c r="F3918" s="41" t="str">
        <f aca="false">IF(C3918="","",IFERROR(IF(ISNUMBER(SEARCH(Assumptions!$C$5,C3918)),Assumptions!$D$5,IF(ISNUMBER(SEARCH(Assumptions!$C$6,C3918)),Assumptions!$D$6,IF(ISNUMBER(SEARCH(Assumptions!$C$7,C3918)),Assumptions!$D$7,"Other Services"))),"Other Services"))</f>
        <v/>
      </c>
    </row>
    <row r="3919" customFormat="false" ht="15" hidden="false" customHeight="false" outlineLevel="0" collapsed="false">
      <c r="F3919" s="41" t="str">
        <f aca="false">IF(C3919="","",IFERROR(IF(ISNUMBER(SEARCH(Assumptions!$C$5,C3919)),Assumptions!$D$5,IF(ISNUMBER(SEARCH(Assumptions!$C$6,C3919)),Assumptions!$D$6,IF(ISNUMBER(SEARCH(Assumptions!$C$7,C3919)),Assumptions!$D$7,"Other Services"))),"Other Services"))</f>
        <v/>
      </c>
    </row>
    <row r="3920" customFormat="false" ht="15" hidden="false" customHeight="false" outlineLevel="0" collapsed="false">
      <c r="F3920" s="41" t="str">
        <f aca="false">IF(C3920="","",IFERROR(IF(ISNUMBER(SEARCH(Assumptions!$C$5,C3920)),Assumptions!$D$5,IF(ISNUMBER(SEARCH(Assumptions!$C$6,C3920)),Assumptions!$D$6,IF(ISNUMBER(SEARCH(Assumptions!$C$7,C3920)),Assumptions!$D$7,"Other Services"))),"Other Services"))</f>
        <v/>
      </c>
    </row>
    <row r="3921" customFormat="false" ht="15" hidden="false" customHeight="false" outlineLevel="0" collapsed="false">
      <c r="F3921" s="41" t="str">
        <f aca="false">IF(C3921="","",IFERROR(IF(ISNUMBER(SEARCH(Assumptions!$C$5,C3921)),Assumptions!$D$5,IF(ISNUMBER(SEARCH(Assumptions!$C$6,C3921)),Assumptions!$D$6,IF(ISNUMBER(SEARCH(Assumptions!$C$7,C3921)),Assumptions!$D$7,"Other Services"))),"Other Services"))</f>
        <v/>
      </c>
    </row>
    <row r="3922" customFormat="false" ht="15" hidden="false" customHeight="false" outlineLevel="0" collapsed="false">
      <c r="F3922" s="41" t="str">
        <f aca="false">IF(C3922="","",IFERROR(IF(ISNUMBER(SEARCH(Assumptions!$C$5,C3922)),Assumptions!$D$5,IF(ISNUMBER(SEARCH(Assumptions!$C$6,C3922)),Assumptions!$D$6,IF(ISNUMBER(SEARCH(Assumptions!$C$7,C3922)),Assumptions!$D$7,"Other Services"))),"Other Services"))</f>
        <v/>
      </c>
    </row>
    <row r="3923" customFormat="false" ht="15" hidden="false" customHeight="false" outlineLevel="0" collapsed="false">
      <c r="F3923" s="41" t="str">
        <f aca="false">IF(C3923="","",IFERROR(IF(ISNUMBER(SEARCH(Assumptions!$C$5,C3923)),Assumptions!$D$5,IF(ISNUMBER(SEARCH(Assumptions!$C$6,C3923)),Assumptions!$D$6,IF(ISNUMBER(SEARCH(Assumptions!$C$7,C3923)),Assumptions!$D$7,"Other Services"))),"Other Services"))</f>
        <v/>
      </c>
    </row>
    <row r="3924" customFormat="false" ht="15" hidden="false" customHeight="false" outlineLevel="0" collapsed="false">
      <c r="F3924" s="41" t="str">
        <f aca="false">IF(C3924="","",IFERROR(IF(ISNUMBER(SEARCH(Assumptions!$C$5,C3924)),Assumptions!$D$5,IF(ISNUMBER(SEARCH(Assumptions!$C$6,C3924)),Assumptions!$D$6,IF(ISNUMBER(SEARCH(Assumptions!$C$7,C3924)),Assumptions!$D$7,"Other Services"))),"Other Services"))</f>
        <v/>
      </c>
    </row>
    <row r="3925" customFormat="false" ht="15" hidden="false" customHeight="false" outlineLevel="0" collapsed="false">
      <c r="F3925" s="41" t="str">
        <f aca="false">IF(C3925="","",IFERROR(IF(ISNUMBER(SEARCH(Assumptions!$C$5,C3925)),Assumptions!$D$5,IF(ISNUMBER(SEARCH(Assumptions!$C$6,C3925)),Assumptions!$D$6,IF(ISNUMBER(SEARCH(Assumptions!$C$7,C3925)),Assumptions!$D$7,"Other Services"))),"Other Services"))</f>
        <v/>
      </c>
    </row>
    <row r="3926" customFormat="false" ht="15" hidden="false" customHeight="false" outlineLevel="0" collapsed="false">
      <c r="F3926" s="41" t="str">
        <f aca="false">IF(C3926="","",IFERROR(IF(ISNUMBER(SEARCH(Assumptions!$C$5,C3926)),Assumptions!$D$5,IF(ISNUMBER(SEARCH(Assumptions!$C$6,C3926)),Assumptions!$D$6,IF(ISNUMBER(SEARCH(Assumptions!$C$7,C3926)),Assumptions!$D$7,"Other Services"))),"Other Services"))</f>
        <v/>
      </c>
    </row>
    <row r="3927" customFormat="false" ht="15" hidden="false" customHeight="false" outlineLevel="0" collapsed="false">
      <c r="F3927" s="41" t="str">
        <f aca="false">IF(C3927="","",IFERROR(IF(ISNUMBER(SEARCH(Assumptions!$C$5,C3927)),Assumptions!$D$5,IF(ISNUMBER(SEARCH(Assumptions!$C$6,C3927)),Assumptions!$D$6,IF(ISNUMBER(SEARCH(Assumptions!$C$7,C3927)),Assumptions!$D$7,"Other Services"))),"Other Services"))</f>
        <v/>
      </c>
    </row>
    <row r="3928" customFormat="false" ht="15" hidden="false" customHeight="false" outlineLevel="0" collapsed="false">
      <c r="F3928" s="41" t="str">
        <f aca="false">IF(C3928="","",IFERROR(IF(ISNUMBER(SEARCH(Assumptions!$C$5,C3928)),Assumptions!$D$5,IF(ISNUMBER(SEARCH(Assumptions!$C$6,C3928)),Assumptions!$D$6,IF(ISNUMBER(SEARCH(Assumptions!$C$7,C3928)),Assumptions!$D$7,"Other Services"))),"Other Services"))</f>
        <v/>
      </c>
    </row>
    <row r="3929" customFormat="false" ht="15" hidden="false" customHeight="false" outlineLevel="0" collapsed="false">
      <c r="F3929" s="41" t="str">
        <f aca="false">IF(C3929="","",IFERROR(IF(ISNUMBER(SEARCH(Assumptions!$C$5,C3929)),Assumptions!$D$5,IF(ISNUMBER(SEARCH(Assumptions!$C$6,C3929)),Assumptions!$D$6,IF(ISNUMBER(SEARCH(Assumptions!$C$7,C3929)),Assumptions!$D$7,"Other Services"))),"Other Services"))</f>
        <v/>
      </c>
    </row>
    <row r="3930" customFormat="false" ht="15" hidden="false" customHeight="false" outlineLevel="0" collapsed="false">
      <c r="F3930" s="41" t="str">
        <f aca="false">IF(C3930="","",IFERROR(IF(ISNUMBER(SEARCH(Assumptions!$C$5,C3930)),Assumptions!$D$5,IF(ISNUMBER(SEARCH(Assumptions!$C$6,C3930)),Assumptions!$D$6,IF(ISNUMBER(SEARCH(Assumptions!$C$7,C3930)),Assumptions!$D$7,"Other Services"))),"Other Services"))</f>
        <v/>
      </c>
    </row>
    <row r="3931" customFormat="false" ht="15" hidden="false" customHeight="false" outlineLevel="0" collapsed="false">
      <c r="F3931" s="41" t="str">
        <f aca="false">IF(C3931="","",IFERROR(IF(ISNUMBER(SEARCH(Assumptions!$C$5,C3931)),Assumptions!$D$5,IF(ISNUMBER(SEARCH(Assumptions!$C$6,C3931)),Assumptions!$D$6,IF(ISNUMBER(SEARCH(Assumptions!$C$7,C3931)),Assumptions!$D$7,"Other Services"))),"Other Services"))</f>
        <v/>
      </c>
    </row>
    <row r="3932" customFormat="false" ht="15" hidden="false" customHeight="false" outlineLevel="0" collapsed="false">
      <c r="F3932" s="41" t="str">
        <f aca="false">IF(C3932="","",IFERROR(IF(ISNUMBER(SEARCH(Assumptions!$C$5,C3932)),Assumptions!$D$5,IF(ISNUMBER(SEARCH(Assumptions!$C$6,C3932)),Assumptions!$D$6,IF(ISNUMBER(SEARCH(Assumptions!$C$7,C3932)),Assumptions!$D$7,"Other Services"))),"Other Services"))</f>
        <v/>
      </c>
    </row>
    <row r="3933" customFormat="false" ht="15" hidden="false" customHeight="false" outlineLevel="0" collapsed="false">
      <c r="F3933" s="41" t="str">
        <f aca="false">IF(C3933="","",IFERROR(IF(ISNUMBER(SEARCH(Assumptions!$C$5,C3933)),Assumptions!$D$5,IF(ISNUMBER(SEARCH(Assumptions!$C$6,C3933)),Assumptions!$D$6,IF(ISNUMBER(SEARCH(Assumptions!$C$7,C3933)),Assumptions!$D$7,"Other Services"))),"Other Services"))</f>
        <v/>
      </c>
    </row>
    <row r="3934" customFormat="false" ht="15" hidden="false" customHeight="false" outlineLevel="0" collapsed="false">
      <c r="F3934" s="41" t="str">
        <f aca="false">IF(C3934="","",IFERROR(IF(ISNUMBER(SEARCH(Assumptions!$C$5,C3934)),Assumptions!$D$5,IF(ISNUMBER(SEARCH(Assumptions!$C$6,C3934)),Assumptions!$D$6,IF(ISNUMBER(SEARCH(Assumptions!$C$7,C3934)),Assumptions!$D$7,"Other Services"))),"Other Services"))</f>
        <v/>
      </c>
    </row>
    <row r="3935" customFormat="false" ht="15" hidden="false" customHeight="false" outlineLevel="0" collapsed="false">
      <c r="F3935" s="41" t="str">
        <f aca="false">IF(C3935="","",IFERROR(IF(ISNUMBER(SEARCH(Assumptions!$C$5,C3935)),Assumptions!$D$5,IF(ISNUMBER(SEARCH(Assumptions!$C$6,C3935)),Assumptions!$D$6,IF(ISNUMBER(SEARCH(Assumptions!$C$7,C3935)),Assumptions!$D$7,"Other Services"))),"Other Services"))</f>
        <v/>
      </c>
    </row>
    <row r="3936" customFormat="false" ht="15" hidden="false" customHeight="false" outlineLevel="0" collapsed="false">
      <c r="F3936" s="41" t="str">
        <f aca="false">IF(C3936="","",IFERROR(IF(ISNUMBER(SEARCH(Assumptions!$C$5,C3936)),Assumptions!$D$5,IF(ISNUMBER(SEARCH(Assumptions!$C$6,C3936)),Assumptions!$D$6,IF(ISNUMBER(SEARCH(Assumptions!$C$7,C3936)),Assumptions!$D$7,"Other Services"))),"Other Services"))</f>
        <v/>
      </c>
    </row>
    <row r="3937" customFormat="false" ht="15" hidden="false" customHeight="false" outlineLevel="0" collapsed="false">
      <c r="F3937" s="41" t="str">
        <f aca="false">IF(C3937="","",IFERROR(IF(ISNUMBER(SEARCH(Assumptions!$C$5,C3937)),Assumptions!$D$5,IF(ISNUMBER(SEARCH(Assumptions!$C$6,C3937)),Assumptions!$D$6,IF(ISNUMBER(SEARCH(Assumptions!$C$7,C3937)),Assumptions!$D$7,"Other Services"))),"Other Services"))</f>
        <v/>
      </c>
    </row>
    <row r="3938" customFormat="false" ht="15" hidden="false" customHeight="false" outlineLevel="0" collapsed="false">
      <c r="F3938" s="41" t="str">
        <f aca="false">IF(C3938="","",IFERROR(IF(ISNUMBER(SEARCH(Assumptions!$C$5,C3938)),Assumptions!$D$5,IF(ISNUMBER(SEARCH(Assumptions!$C$6,C3938)),Assumptions!$D$6,IF(ISNUMBER(SEARCH(Assumptions!$C$7,C3938)),Assumptions!$D$7,"Other Services"))),"Other Services"))</f>
        <v/>
      </c>
    </row>
    <row r="3939" customFormat="false" ht="15" hidden="false" customHeight="false" outlineLevel="0" collapsed="false">
      <c r="F3939" s="41" t="str">
        <f aca="false">IF(C3939="","",IFERROR(IF(ISNUMBER(SEARCH(Assumptions!$C$5,C3939)),Assumptions!$D$5,IF(ISNUMBER(SEARCH(Assumptions!$C$6,C3939)),Assumptions!$D$6,IF(ISNUMBER(SEARCH(Assumptions!$C$7,C3939)),Assumptions!$D$7,"Other Services"))),"Other Services"))</f>
        <v/>
      </c>
    </row>
    <row r="3940" customFormat="false" ht="15" hidden="false" customHeight="false" outlineLevel="0" collapsed="false">
      <c r="F3940" s="41" t="str">
        <f aca="false">IF(C3940="","",IFERROR(IF(ISNUMBER(SEARCH(Assumptions!$C$5,C3940)),Assumptions!$D$5,IF(ISNUMBER(SEARCH(Assumptions!$C$6,C3940)),Assumptions!$D$6,IF(ISNUMBER(SEARCH(Assumptions!$C$7,C3940)),Assumptions!$D$7,"Other Services"))),"Other Services"))</f>
        <v/>
      </c>
    </row>
    <row r="3941" customFormat="false" ht="15" hidden="false" customHeight="false" outlineLevel="0" collapsed="false">
      <c r="F3941" s="41" t="str">
        <f aca="false">IF(C3941="","",IFERROR(IF(ISNUMBER(SEARCH(Assumptions!$C$5,C3941)),Assumptions!$D$5,IF(ISNUMBER(SEARCH(Assumptions!$C$6,C3941)),Assumptions!$D$6,IF(ISNUMBER(SEARCH(Assumptions!$C$7,C3941)),Assumptions!$D$7,"Other Services"))),"Other Services"))</f>
        <v/>
      </c>
    </row>
    <row r="3942" customFormat="false" ht="15" hidden="false" customHeight="false" outlineLevel="0" collapsed="false">
      <c r="F3942" s="41" t="str">
        <f aca="false">IF(C3942="","",IFERROR(IF(ISNUMBER(SEARCH(Assumptions!$C$5,C3942)),Assumptions!$D$5,IF(ISNUMBER(SEARCH(Assumptions!$C$6,C3942)),Assumptions!$D$6,IF(ISNUMBER(SEARCH(Assumptions!$C$7,C3942)),Assumptions!$D$7,"Other Services"))),"Other Services"))</f>
        <v/>
      </c>
    </row>
    <row r="3943" customFormat="false" ht="15" hidden="false" customHeight="false" outlineLevel="0" collapsed="false">
      <c r="F3943" s="41" t="str">
        <f aca="false">IF(C3943="","",IFERROR(IF(ISNUMBER(SEARCH(Assumptions!$C$5,C3943)),Assumptions!$D$5,IF(ISNUMBER(SEARCH(Assumptions!$C$6,C3943)),Assumptions!$D$6,IF(ISNUMBER(SEARCH(Assumptions!$C$7,C3943)),Assumptions!$D$7,"Other Services"))),"Other Services"))</f>
        <v/>
      </c>
    </row>
    <row r="3944" customFormat="false" ht="15" hidden="false" customHeight="false" outlineLevel="0" collapsed="false">
      <c r="F3944" s="41" t="str">
        <f aca="false">IF(C3944="","",IFERROR(IF(ISNUMBER(SEARCH(Assumptions!$C$5,C3944)),Assumptions!$D$5,IF(ISNUMBER(SEARCH(Assumptions!$C$6,C3944)),Assumptions!$D$6,IF(ISNUMBER(SEARCH(Assumptions!$C$7,C3944)),Assumptions!$D$7,"Other Services"))),"Other Services"))</f>
        <v/>
      </c>
    </row>
    <row r="3945" customFormat="false" ht="15" hidden="false" customHeight="false" outlineLevel="0" collapsed="false">
      <c r="F3945" s="41" t="str">
        <f aca="false">IF(C3945="","",IFERROR(IF(ISNUMBER(SEARCH(Assumptions!$C$5,C3945)),Assumptions!$D$5,IF(ISNUMBER(SEARCH(Assumptions!$C$6,C3945)),Assumptions!$D$6,IF(ISNUMBER(SEARCH(Assumptions!$C$7,C3945)),Assumptions!$D$7,"Other Services"))),"Other Services"))</f>
        <v/>
      </c>
    </row>
    <row r="3946" customFormat="false" ht="15" hidden="false" customHeight="false" outlineLevel="0" collapsed="false">
      <c r="F3946" s="41" t="str">
        <f aca="false">IF(C3946="","",IFERROR(IF(ISNUMBER(SEARCH(Assumptions!$C$5,C3946)),Assumptions!$D$5,IF(ISNUMBER(SEARCH(Assumptions!$C$6,C3946)),Assumptions!$D$6,IF(ISNUMBER(SEARCH(Assumptions!$C$7,C3946)),Assumptions!$D$7,"Other Services"))),"Other Services"))</f>
        <v/>
      </c>
    </row>
    <row r="3947" customFormat="false" ht="15" hidden="false" customHeight="false" outlineLevel="0" collapsed="false">
      <c r="F3947" s="41" t="str">
        <f aca="false">IF(C3947="","",IFERROR(IF(ISNUMBER(SEARCH(Assumptions!$C$5,C3947)),Assumptions!$D$5,IF(ISNUMBER(SEARCH(Assumptions!$C$6,C3947)),Assumptions!$D$6,IF(ISNUMBER(SEARCH(Assumptions!$C$7,C3947)),Assumptions!$D$7,"Other Services"))),"Other Services"))</f>
        <v/>
      </c>
    </row>
    <row r="3948" customFormat="false" ht="15" hidden="false" customHeight="false" outlineLevel="0" collapsed="false">
      <c r="F3948" s="41" t="str">
        <f aca="false">IF(C3948="","",IFERROR(IF(ISNUMBER(SEARCH(Assumptions!$C$5,C3948)),Assumptions!$D$5,IF(ISNUMBER(SEARCH(Assumptions!$C$6,C3948)),Assumptions!$D$6,IF(ISNUMBER(SEARCH(Assumptions!$C$7,C3948)),Assumptions!$D$7,"Other Services"))),"Other Services"))</f>
        <v/>
      </c>
    </row>
    <row r="3949" customFormat="false" ht="15" hidden="false" customHeight="false" outlineLevel="0" collapsed="false">
      <c r="F3949" s="41" t="str">
        <f aca="false">IF(C3949="","",IFERROR(IF(ISNUMBER(SEARCH(Assumptions!$C$5,C3949)),Assumptions!$D$5,IF(ISNUMBER(SEARCH(Assumptions!$C$6,C3949)),Assumptions!$D$6,IF(ISNUMBER(SEARCH(Assumptions!$C$7,C3949)),Assumptions!$D$7,"Other Services"))),"Other Services"))</f>
        <v/>
      </c>
    </row>
    <row r="3950" customFormat="false" ht="15" hidden="false" customHeight="false" outlineLevel="0" collapsed="false">
      <c r="F3950" s="41" t="str">
        <f aca="false">IF(C3950="","",IFERROR(IF(ISNUMBER(SEARCH(Assumptions!$C$5,C3950)),Assumptions!$D$5,IF(ISNUMBER(SEARCH(Assumptions!$C$6,C3950)),Assumptions!$D$6,IF(ISNUMBER(SEARCH(Assumptions!$C$7,C3950)),Assumptions!$D$7,"Other Services"))),"Other Services"))</f>
        <v/>
      </c>
    </row>
    <row r="3951" customFormat="false" ht="15" hidden="false" customHeight="false" outlineLevel="0" collapsed="false">
      <c r="F3951" s="41" t="str">
        <f aca="false">IF(C3951="","",IFERROR(IF(ISNUMBER(SEARCH(Assumptions!$C$5,C3951)),Assumptions!$D$5,IF(ISNUMBER(SEARCH(Assumptions!$C$6,C3951)),Assumptions!$D$6,IF(ISNUMBER(SEARCH(Assumptions!$C$7,C3951)),Assumptions!$D$7,"Other Services"))),"Other Services"))</f>
        <v/>
      </c>
    </row>
    <row r="3952" customFormat="false" ht="15" hidden="false" customHeight="false" outlineLevel="0" collapsed="false">
      <c r="F3952" s="41" t="str">
        <f aca="false">IF(C3952="","",IFERROR(IF(ISNUMBER(SEARCH(Assumptions!$C$5,C3952)),Assumptions!$D$5,IF(ISNUMBER(SEARCH(Assumptions!$C$6,C3952)),Assumptions!$D$6,IF(ISNUMBER(SEARCH(Assumptions!$C$7,C3952)),Assumptions!$D$7,"Other Services"))),"Other Services"))</f>
        <v/>
      </c>
    </row>
    <row r="3953" customFormat="false" ht="15" hidden="false" customHeight="false" outlineLevel="0" collapsed="false">
      <c r="F3953" s="41" t="str">
        <f aca="false">IF(C3953="","",IFERROR(IF(ISNUMBER(SEARCH(Assumptions!$C$5,C3953)),Assumptions!$D$5,IF(ISNUMBER(SEARCH(Assumptions!$C$6,C3953)),Assumptions!$D$6,IF(ISNUMBER(SEARCH(Assumptions!$C$7,C3953)),Assumptions!$D$7,"Other Services"))),"Other Services"))</f>
        <v/>
      </c>
    </row>
    <row r="3954" customFormat="false" ht="15" hidden="false" customHeight="false" outlineLevel="0" collapsed="false">
      <c r="F3954" s="41" t="str">
        <f aca="false">IF(C3954="","",IFERROR(IF(ISNUMBER(SEARCH(Assumptions!$C$5,C3954)),Assumptions!$D$5,IF(ISNUMBER(SEARCH(Assumptions!$C$6,C3954)),Assumptions!$D$6,IF(ISNUMBER(SEARCH(Assumptions!$C$7,C3954)),Assumptions!$D$7,"Other Services"))),"Other Services"))</f>
        <v/>
      </c>
    </row>
    <row r="3955" customFormat="false" ht="15" hidden="false" customHeight="false" outlineLevel="0" collapsed="false">
      <c r="F3955" s="41" t="str">
        <f aca="false">IF(C3955="","",IFERROR(IF(ISNUMBER(SEARCH(Assumptions!$C$5,C3955)),Assumptions!$D$5,IF(ISNUMBER(SEARCH(Assumptions!$C$6,C3955)),Assumptions!$D$6,IF(ISNUMBER(SEARCH(Assumptions!$C$7,C3955)),Assumptions!$D$7,"Other Services"))),"Other Services"))</f>
        <v/>
      </c>
    </row>
    <row r="3956" customFormat="false" ht="15" hidden="false" customHeight="false" outlineLevel="0" collapsed="false">
      <c r="F3956" s="41" t="str">
        <f aca="false">IF(C3956="","",IFERROR(IF(ISNUMBER(SEARCH(Assumptions!$C$5,C3956)),Assumptions!$D$5,IF(ISNUMBER(SEARCH(Assumptions!$C$6,C3956)),Assumptions!$D$6,IF(ISNUMBER(SEARCH(Assumptions!$C$7,C3956)),Assumptions!$D$7,"Other Services"))),"Other Services"))</f>
        <v/>
      </c>
    </row>
    <row r="3957" customFormat="false" ht="15" hidden="false" customHeight="false" outlineLevel="0" collapsed="false">
      <c r="F3957" s="41" t="str">
        <f aca="false">IF(C3957="","",IFERROR(IF(ISNUMBER(SEARCH(Assumptions!$C$5,C3957)),Assumptions!$D$5,IF(ISNUMBER(SEARCH(Assumptions!$C$6,C3957)),Assumptions!$D$6,IF(ISNUMBER(SEARCH(Assumptions!$C$7,C3957)),Assumptions!$D$7,"Other Services"))),"Other Services"))</f>
        <v/>
      </c>
    </row>
    <row r="3958" customFormat="false" ht="15" hidden="false" customHeight="false" outlineLevel="0" collapsed="false">
      <c r="F3958" s="41" t="str">
        <f aca="false">IF(C3958="","",IFERROR(IF(ISNUMBER(SEARCH(Assumptions!$C$5,C3958)),Assumptions!$D$5,IF(ISNUMBER(SEARCH(Assumptions!$C$6,C3958)),Assumptions!$D$6,IF(ISNUMBER(SEARCH(Assumptions!$C$7,C3958)),Assumptions!$D$7,"Other Services"))),"Other Services"))</f>
        <v/>
      </c>
    </row>
    <row r="3959" customFormat="false" ht="15" hidden="false" customHeight="false" outlineLevel="0" collapsed="false">
      <c r="F3959" s="41" t="str">
        <f aca="false">IF(C3959="","",IFERROR(IF(ISNUMBER(SEARCH(Assumptions!$C$5,C3959)),Assumptions!$D$5,IF(ISNUMBER(SEARCH(Assumptions!$C$6,C3959)),Assumptions!$D$6,IF(ISNUMBER(SEARCH(Assumptions!$C$7,C3959)),Assumptions!$D$7,"Other Services"))),"Other Services"))</f>
        <v/>
      </c>
    </row>
    <row r="3960" customFormat="false" ht="15" hidden="false" customHeight="false" outlineLevel="0" collapsed="false">
      <c r="F3960" s="41" t="str">
        <f aca="false">IF(C3960="","",IFERROR(IF(ISNUMBER(SEARCH(Assumptions!$C$5,C3960)),Assumptions!$D$5,IF(ISNUMBER(SEARCH(Assumptions!$C$6,C3960)),Assumptions!$D$6,IF(ISNUMBER(SEARCH(Assumptions!$C$7,C3960)),Assumptions!$D$7,"Other Services"))),"Other Services"))</f>
        <v/>
      </c>
    </row>
    <row r="3961" customFormat="false" ht="15" hidden="false" customHeight="false" outlineLevel="0" collapsed="false">
      <c r="F3961" s="41" t="str">
        <f aca="false">IF(C3961="","",IFERROR(IF(ISNUMBER(SEARCH(Assumptions!$C$5,C3961)),Assumptions!$D$5,IF(ISNUMBER(SEARCH(Assumptions!$C$6,C3961)),Assumptions!$D$6,IF(ISNUMBER(SEARCH(Assumptions!$C$7,C3961)),Assumptions!$D$7,"Other Services"))),"Other Services"))</f>
        <v/>
      </c>
    </row>
    <row r="3962" customFormat="false" ht="15" hidden="false" customHeight="false" outlineLevel="0" collapsed="false">
      <c r="F3962" s="41" t="str">
        <f aca="false">IF(C3962="","",IFERROR(IF(ISNUMBER(SEARCH(Assumptions!$C$5,C3962)),Assumptions!$D$5,IF(ISNUMBER(SEARCH(Assumptions!$C$6,C3962)),Assumptions!$D$6,IF(ISNUMBER(SEARCH(Assumptions!$C$7,C3962)),Assumptions!$D$7,"Other Services"))),"Other Services"))</f>
        <v/>
      </c>
    </row>
    <row r="3963" customFormat="false" ht="15" hidden="false" customHeight="false" outlineLevel="0" collapsed="false">
      <c r="F3963" s="41" t="str">
        <f aca="false">IF(C3963="","",IFERROR(IF(ISNUMBER(SEARCH(Assumptions!$C$5,C3963)),Assumptions!$D$5,IF(ISNUMBER(SEARCH(Assumptions!$C$6,C3963)),Assumptions!$D$6,IF(ISNUMBER(SEARCH(Assumptions!$C$7,C3963)),Assumptions!$D$7,"Other Services"))),"Other Services"))</f>
        <v/>
      </c>
    </row>
    <row r="3964" customFormat="false" ht="15" hidden="false" customHeight="false" outlineLevel="0" collapsed="false">
      <c r="F3964" s="41" t="str">
        <f aca="false">IF(C3964="","",IFERROR(IF(ISNUMBER(SEARCH(Assumptions!$C$5,C3964)),Assumptions!$D$5,IF(ISNUMBER(SEARCH(Assumptions!$C$6,C3964)),Assumptions!$D$6,IF(ISNUMBER(SEARCH(Assumptions!$C$7,C3964)),Assumptions!$D$7,"Other Services"))),"Other Services"))</f>
        <v/>
      </c>
    </row>
    <row r="3965" customFormat="false" ht="15" hidden="false" customHeight="false" outlineLevel="0" collapsed="false">
      <c r="F3965" s="41" t="str">
        <f aca="false">IF(C3965="","",IFERROR(IF(ISNUMBER(SEARCH(Assumptions!$C$5,C3965)),Assumptions!$D$5,IF(ISNUMBER(SEARCH(Assumptions!$C$6,C3965)),Assumptions!$D$6,IF(ISNUMBER(SEARCH(Assumptions!$C$7,C3965)),Assumptions!$D$7,"Other Services"))),"Other Services"))</f>
        <v/>
      </c>
    </row>
    <row r="3966" customFormat="false" ht="15" hidden="false" customHeight="false" outlineLevel="0" collapsed="false">
      <c r="F3966" s="41" t="str">
        <f aca="false">IF(C3966="","",IFERROR(IF(ISNUMBER(SEARCH(Assumptions!$C$5,C3966)),Assumptions!$D$5,IF(ISNUMBER(SEARCH(Assumptions!$C$6,C3966)),Assumptions!$D$6,IF(ISNUMBER(SEARCH(Assumptions!$C$7,C3966)),Assumptions!$D$7,"Other Services"))),"Other Services"))</f>
        <v/>
      </c>
    </row>
    <row r="3967" customFormat="false" ht="15" hidden="false" customHeight="false" outlineLevel="0" collapsed="false">
      <c r="F3967" s="41" t="str">
        <f aca="false">IF(C3967="","",IFERROR(IF(ISNUMBER(SEARCH(Assumptions!$C$5,C3967)),Assumptions!$D$5,IF(ISNUMBER(SEARCH(Assumptions!$C$6,C3967)),Assumptions!$D$6,IF(ISNUMBER(SEARCH(Assumptions!$C$7,C3967)),Assumptions!$D$7,"Other Services"))),"Other Services"))</f>
        <v/>
      </c>
    </row>
    <row r="3968" customFormat="false" ht="15" hidden="false" customHeight="false" outlineLevel="0" collapsed="false">
      <c r="F3968" s="41" t="str">
        <f aca="false">IF(C3968="","",IFERROR(IF(ISNUMBER(SEARCH(Assumptions!$C$5,C3968)),Assumptions!$D$5,IF(ISNUMBER(SEARCH(Assumptions!$C$6,C3968)),Assumptions!$D$6,IF(ISNUMBER(SEARCH(Assumptions!$C$7,C3968)),Assumptions!$D$7,"Other Services"))),"Other Services"))</f>
        <v/>
      </c>
    </row>
    <row r="3969" customFormat="false" ht="15" hidden="false" customHeight="false" outlineLevel="0" collapsed="false">
      <c r="F3969" s="41" t="str">
        <f aca="false">IF(C3969="","",IFERROR(IF(ISNUMBER(SEARCH(Assumptions!$C$5,C3969)),Assumptions!$D$5,IF(ISNUMBER(SEARCH(Assumptions!$C$6,C3969)),Assumptions!$D$6,IF(ISNUMBER(SEARCH(Assumptions!$C$7,C3969)),Assumptions!$D$7,"Other Services"))),"Other Services"))</f>
        <v/>
      </c>
    </row>
    <row r="3970" customFormat="false" ht="15" hidden="false" customHeight="false" outlineLevel="0" collapsed="false">
      <c r="F3970" s="41" t="str">
        <f aca="false">IF(C3970="","",IFERROR(IF(ISNUMBER(SEARCH(Assumptions!$C$5,C3970)),Assumptions!$D$5,IF(ISNUMBER(SEARCH(Assumptions!$C$6,C3970)),Assumptions!$D$6,IF(ISNUMBER(SEARCH(Assumptions!$C$7,C3970)),Assumptions!$D$7,"Other Services"))),"Other Services"))</f>
        <v/>
      </c>
    </row>
    <row r="3971" customFormat="false" ht="15" hidden="false" customHeight="false" outlineLevel="0" collapsed="false">
      <c r="F3971" s="41" t="str">
        <f aca="false">IF(C3971="","",IFERROR(IF(ISNUMBER(SEARCH(Assumptions!$C$5,C3971)),Assumptions!$D$5,IF(ISNUMBER(SEARCH(Assumptions!$C$6,C3971)),Assumptions!$D$6,IF(ISNUMBER(SEARCH(Assumptions!$C$7,C3971)),Assumptions!$D$7,"Other Services"))),"Other Services"))</f>
        <v/>
      </c>
    </row>
    <row r="3972" customFormat="false" ht="15" hidden="false" customHeight="false" outlineLevel="0" collapsed="false">
      <c r="F3972" s="41" t="str">
        <f aca="false">IF(C3972="","",IFERROR(IF(ISNUMBER(SEARCH(Assumptions!$C$5,C3972)),Assumptions!$D$5,IF(ISNUMBER(SEARCH(Assumptions!$C$6,C3972)),Assumptions!$D$6,IF(ISNUMBER(SEARCH(Assumptions!$C$7,C3972)),Assumptions!$D$7,"Other Services"))),"Other Services"))</f>
        <v/>
      </c>
    </row>
    <row r="3973" customFormat="false" ht="15" hidden="false" customHeight="false" outlineLevel="0" collapsed="false">
      <c r="F3973" s="41" t="str">
        <f aca="false">IF(C3973="","",IFERROR(IF(ISNUMBER(SEARCH(Assumptions!$C$5,C3973)),Assumptions!$D$5,IF(ISNUMBER(SEARCH(Assumptions!$C$6,C3973)),Assumptions!$D$6,IF(ISNUMBER(SEARCH(Assumptions!$C$7,C3973)),Assumptions!$D$7,"Other Services"))),"Other Services"))</f>
        <v/>
      </c>
    </row>
    <row r="3974" customFormat="false" ht="15" hidden="false" customHeight="false" outlineLevel="0" collapsed="false">
      <c r="F3974" s="41" t="str">
        <f aca="false">IF(C3974="","",IFERROR(IF(ISNUMBER(SEARCH(Assumptions!$C$5,C3974)),Assumptions!$D$5,IF(ISNUMBER(SEARCH(Assumptions!$C$6,C3974)),Assumptions!$D$6,IF(ISNUMBER(SEARCH(Assumptions!$C$7,C3974)),Assumptions!$D$7,"Other Services"))),"Other Services"))</f>
        <v/>
      </c>
    </row>
    <row r="3975" customFormat="false" ht="15" hidden="false" customHeight="false" outlineLevel="0" collapsed="false">
      <c r="F3975" s="41" t="str">
        <f aca="false">IF(C3975="","",IFERROR(IF(ISNUMBER(SEARCH(Assumptions!$C$5,C3975)),Assumptions!$D$5,IF(ISNUMBER(SEARCH(Assumptions!$C$6,C3975)),Assumptions!$D$6,IF(ISNUMBER(SEARCH(Assumptions!$C$7,C3975)),Assumptions!$D$7,"Other Services"))),"Other Services"))</f>
        <v/>
      </c>
    </row>
    <row r="3976" customFormat="false" ht="15" hidden="false" customHeight="false" outlineLevel="0" collapsed="false">
      <c r="F3976" s="41" t="str">
        <f aca="false">IF(C3976="","",IFERROR(IF(ISNUMBER(SEARCH(Assumptions!$C$5,C3976)),Assumptions!$D$5,IF(ISNUMBER(SEARCH(Assumptions!$C$6,C3976)),Assumptions!$D$6,IF(ISNUMBER(SEARCH(Assumptions!$C$7,C3976)),Assumptions!$D$7,"Other Services"))),"Other Services"))</f>
        <v/>
      </c>
    </row>
    <row r="3977" customFormat="false" ht="15" hidden="false" customHeight="false" outlineLevel="0" collapsed="false">
      <c r="F3977" s="41" t="str">
        <f aca="false">IF(C3977="","",IFERROR(IF(ISNUMBER(SEARCH(Assumptions!$C$5,C3977)),Assumptions!$D$5,IF(ISNUMBER(SEARCH(Assumptions!$C$6,C3977)),Assumptions!$D$6,IF(ISNUMBER(SEARCH(Assumptions!$C$7,C3977)),Assumptions!$D$7,"Other Services"))),"Other Services"))</f>
        <v/>
      </c>
    </row>
    <row r="3978" customFormat="false" ht="15" hidden="false" customHeight="false" outlineLevel="0" collapsed="false">
      <c r="F3978" s="41" t="str">
        <f aca="false">IF(C3978="","",IFERROR(IF(ISNUMBER(SEARCH(Assumptions!$C$5,C3978)),Assumptions!$D$5,IF(ISNUMBER(SEARCH(Assumptions!$C$6,C3978)),Assumptions!$D$6,IF(ISNUMBER(SEARCH(Assumptions!$C$7,C3978)),Assumptions!$D$7,"Other Services"))),"Other Services"))</f>
        <v/>
      </c>
    </row>
    <row r="3979" customFormat="false" ht="15" hidden="false" customHeight="false" outlineLevel="0" collapsed="false">
      <c r="F3979" s="41" t="str">
        <f aca="false">IF(C3979="","",IFERROR(IF(ISNUMBER(SEARCH(Assumptions!$C$5,C3979)),Assumptions!$D$5,IF(ISNUMBER(SEARCH(Assumptions!$C$6,C3979)),Assumptions!$D$6,IF(ISNUMBER(SEARCH(Assumptions!$C$7,C3979)),Assumptions!$D$7,"Other Services"))),"Other Services"))</f>
        <v/>
      </c>
    </row>
    <row r="3980" customFormat="false" ht="15" hidden="false" customHeight="false" outlineLevel="0" collapsed="false">
      <c r="F3980" s="41" t="str">
        <f aca="false">IF(C3980="","",IFERROR(IF(ISNUMBER(SEARCH(Assumptions!$C$5,C3980)),Assumptions!$D$5,IF(ISNUMBER(SEARCH(Assumptions!$C$6,C3980)),Assumptions!$D$6,IF(ISNUMBER(SEARCH(Assumptions!$C$7,C3980)),Assumptions!$D$7,"Other Services"))),"Other Services"))</f>
        <v/>
      </c>
    </row>
    <row r="3981" customFormat="false" ht="15" hidden="false" customHeight="false" outlineLevel="0" collapsed="false">
      <c r="F3981" s="41" t="str">
        <f aca="false">IF(C3981="","",IFERROR(IF(ISNUMBER(SEARCH(Assumptions!$C$5,C3981)),Assumptions!$D$5,IF(ISNUMBER(SEARCH(Assumptions!$C$6,C3981)),Assumptions!$D$6,IF(ISNUMBER(SEARCH(Assumptions!$C$7,C3981)),Assumptions!$D$7,"Other Services"))),"Other Services"))</f>
        <v/>
      </c>
    </row>
    <row r="3982" customFormat="false" ht="15" hidden="false" customHeight="false" outlineLevel="0" collapsed="false">
      <c r="F3982" s="41" t="str">
        <f aca="false">IF(C3982="","",IFERROR(IF(ISNUMBER(SEARCH(Assumptions!$C$5,C3982)),Assumptions!$D$5,IF(ISNUMBER(SEARCH(Assumptions!$C$6,C3982)),Assumptions!$D$6,IF(ISNUMBER(SEARCH(Assumptions!$C$7,C3982)),Assumptions!$D$7,"Other Services"))),"Other Services"))</f>
        <v/>
      </c>
    </row>
    <row r="3983" customFormat="false" ht="15" hidden="false" customHeight="false" outlineLevel="0" collapsed="false">
      <c r="F3983" s="41" t="str">
        <f aca="false">IF(C3983="","",IFERROR(IF(ISNUMBER(SEARCH(Assumptions!$C$5,C3983)),Assumptions!$D$5,IF(ISNUMBER(SEARCH(Assumptions!$C$6,C3983)),Assumptions!$D$6,IF(ISNUMBER(SEARCH(Assumptions!$C$7,C3983)),Assumptions!$D$7,"Other Services"))),"Other Services"))</f>
        <v/>
      </c>
    </row>
    <row r="3984" customFormat="false" ht="15" hidden="false" customHeight="false" outlineLevel="0" collapsed="false">
      <c r="F3984" s="41" t="str">
        <f aca="false">IF(C3984="","",IFERROR(IF(ISNUMBER(SEARCH(Assumptions!$C$5,C3984)),Assumptions!$D$5,IF(ISNUMBER(SEARCH(Assumptions!$C$6,C3984)),Assumptions!$D$6,IF(ISNUMBER(SEARCH(Assumptions!$C$7,C3984)),Assumptions!$D$7,"Other Services"))),"Other Services"))</f>
        <v/>
      </c>
    </row>
    <row r="3985" customFormat="false" ht="15" hidden="false" customHeight="false" outlineLevel="0" collapsed="false">
      <c r="F3985" s="41" t="str">
        <f aca="false">IF(C3985="","",IFERROR(IF(ISNUMBER(SEARCH(Assumptions!$C$5,C3985)),Assumptions!$D$5,IF(ISNUMBER(SEARCH(Assumptions!$C$6,C3985)),Assumptions!$D$6,IF(ISNUMBER(SEARCH(Assumptions!$C$7,C3985)),Assumptions!$D$7,"Other Services"))),"Other Services"))</f>
        <v/>
      </c>
    </row>
    <row r="3986" customFormat="false" ht="15" hidden="false" customHeight="false" outlineLevel="0" collapsed="false">
      <c r="F3986" s="41" t="str">
        <f aca="false">IF(C3986="","",IFERROR(IF(ISNUMBER(SEARCH(Assumptions!$C$5,C3986)),Assumptions!$D$5,IF(ISNUMBER(SEARCH(Assumptions!$C$6,C3986)),Assumptions!$D$6,IF(ISNUMBER(SEARCH(Assumptions!$C$7,C3986)),Assumptions!$D$7,"Other Services"))),"Other Services"))</f>
        <v/>
      </c>
    </row>
    <row r="3987" customFormat="false" ht="15" hidden="false" customHeight="false" outlineLevel="0" collapsed="false">
      <c r="F3987" s="41" t="str">
        <f aca="false">IF(C3987="","",IFERROR(IF(ISNUMBER(SEARCH(Assumptions!$C$5,C3987)),Assumptions!$D$5,IF(ISNUMBER(SEARCH(Assumptions!$C$6,C3987)),Assumptions!$D$6,IF(ISNUMBER(SEARCH(Assumptions!$C$7,C3987)),Assumptions!$D$7,"Other Services"))),"Other Services"))</f>
        <v/>
      </c>
    </row>
    <row r="3988" customFormat="false" ht="15" hidden="false" customHeight="false" outlineLevel="0" collapsed="false">
      <c r="F3988" s="41" t="str">
        <f aca="false">IF(C3988="","",IFERROR(IF(ISNUMBER(SEARCH(Assumptions!$C$5,C3988)),Assumptions!$D$5,IF(ISNUMBER(SEARCH(Assumptions!$C$6,C3988)),Assumptions!$D$6,IF(ISNUMBER(SEARCH(Assumptions!$C$7,C3988)),Assumptions!$D$7,"Other Services"))),"Other Services"))</f>
        <v/>
      </c>
    </row>
    <row r="3989" customFormat="false" ht="15" hidden="false" customHeight="false" outlineLevel="0" collapsed="false">
      <c r="F3989" s="41" t="str">
        <f aca="false">IF(C3989="","",IFERROR(IF(ISNUMBER(SEARCH(Assumptions!$C$5,C3989)),Assumptions!$D$5,IF(ISNUMBER(SEARCH(Assumptions!$C$6,C3989)),Assumptions!$D$6,IF(ISNUMBER(SEARCH(Assumptions!$C$7,C3989)),Assumptions!$D$7,"Other Services"))),"Other Services"))</f>
        <v/>
      </c>
    </row>
    <row r="3990" customFormat="false" ht="15" hidden="false" customHeight="false" outlineLevel="0" collapsed="false">
      <c r="F3990" s="41" t="str">
        <f aca="false">IF(C3990="","",IFERROR(IF(ISNUMBER(SEARCH(Assumptions!$C$5,C3990)),Assumptions!$D$5,IF(ISNUMBER(SEARCH(Assumptions!$C$6,C3990)),Assumptions!$D$6,IF(ISNUMBER(SEARCH(Assumptions!$C$7,C3990)),Assumptions!$D$7,"Other Services"))),"Other Services"))</f>
        <v/>
      </c>
    </row>
    <row r="3991" customFormat="false" ht="15" hidden="false" customHeight="false" outlineLevel="0" collapsed="false">
      <c r="F3991" s="41" t="str">
        <f aca="false">IF(C3991="","",IFERROR(IF(ISNUMBER(SEARCH(Assumptions!$C$5,C3991)),Assumptions!$D$5,IF(ISNUMBER(SEARCH(Assumptions!$C$6,C3991)),Assumptions!$D$6,IF(ISNUMBER(SEARCH(Assumptions!$C$7,C3991)),Assumptions!$D$7,"Other Services"))),"Other Services"))</f>
        <v/>
      </c>
    </row>
    <row r="3992" customFormat="false" ht="15" hidden="false" customHeight="false" outlineLevel="0" collapsed="false">
      <c r="F3992" s="41" t="str">
        <f aca="false">IF(C3992="","",IFERROR(IF(ISNUMBER(SEARCH(Assumptions!$C$5,C3992)),Assumptions!$D$5,IF(ISNUMBER(SEARCH(Assumptions!$C$6,C3992)),Assumptions!$D$6,IF(ISNUMBER(SEARCH(Assumptions!$C$7,C3992)),Assumptions!$D$7,"Other Services"))),"Other Services"))</f>
        <v/>
      </c>
    </row>
    <row r="3993" customFormat="false" ht="15" hidden="false" customHeight="false" outlineLevel="0" collapsed="false">
      <c r="F3993" s="41" t="str">
        <f aca="false">IF(C3993="","",IFERROR(IF(ISNUMBER(SEARCH(Assumptions!$C$5,C3993)),Assumptions!$D$5,IF(ISNUMBER(SEARCH(Assumptions!$C$6,C3993)),Assumptions!$D$6,IF(ISNUMBER(SEARCH(Assumptions!$C$7,C3993)),Assumptions!$D$7,"Other Services"))),"Other Services"))</f>
        <v/>
      </c>
    </row>
    <row r="3994" customFormat="false" ht="15" hidden="false" customHeight="false" outlineLevel="0" collapsed="false">
      <c r="F3994" s="41" t="str">
        <f aca="false">IF(C3994="","",IFERROR(IF(ISNUMBER(SEARCH(Assumptions!$C$5,C3994)),Assumptions!$D$5,IF(ISNUMBER(SEARCH(Assumptions!$C$6,C3994)),Assumptions!$D$6,IF(ISNUMBER(SEARCH(Assumptions!$C$7,C3994)),Assumptions!$D$7,"Other Services"))),"Other Services"))</f>
        <v/>
      </c>
    </row>
    <row r="3995" customFormat="false" ht="15" hidden="false" customHeight="false" outlineLevel="0" collapsed="false">
      <c r="F3995" s="41" t="str">
        <f aca="false">IF(C3995="","",IFERROR(IF(ISNUMBER(SEARCH(Assumptions!$C$5,C3995)),Assumptions!$D$5,IF(ISNUMBER(SEARCH(Assumptions!$C$6,C3995)),Assumptions!$D$6,IF(ISNUMBER(SEARCH(Assumptions!$C$7,C3995)),Assumptions!$D$7,"Other Services"))),"Other Services"))</f>
        <v/>
      </c>
    </row>
    <row r="3996" customFormat="false" ht="15" hidden="false" customHeight="false" outlineLevel="0" collapsed="false">
      <c r="F3996" s="41" t="str">
        <f aca="false">IF(C3996="","",IFERROR(IF(ISNUMBER(SEARCH(Assumptions!$C$5,C3996)),Assumptions!$D$5,IF(ISNUMBER(SEARCH(Assumptions!$C$6,C3996)),Assumptions!$D$6,IF(ISNUMBER(SEARCH(Assumptions!$C$7,C3996)),Assumptions!$D$7,"Other Services"))),"Other Services"))</f>
        <v/>
      </c>
    </row>
    <row r="3997" customFormat="false" ht="15" hidden="false" customHeight="false" outlineLevel="0" collapsed="false">
      <c r="F3997" s="41" t="str">
        <f aca="false">IF(C3997="","",IFERROR(IF(ISNUMBER(SEARCH(Assumptions!$C$5,C3997)),Assumptions!$D$5,IF(ISNUMBER(SEARCH(Assumptions!$C$6,C3997)),Assumptions!$D$6,IF(ISNUMBER(SEARCH(Assumptions!$C$7,C3997)),Assumptions!$D$7,"Other Services"))),"Other Services"))</f>
        <v/>
      </c>
    </row>
    <row r="3998" customFormat="false" ht="15" hidden="false" customHeight="false" outlineLevel="0" collapsed="false">
      <c r="F3998" s="41" t="str">
        <f aca="false">IF(C3998="","",IFERROR(IF(ISNUMBER(SEARCH(Assumptions!$C$5,C3998)),Assumptions!$D$5,IF(ISNUMBER(SEARCH(Assumptions!$C$6,C3998)),Assumptions!$D$6,IF(ISNUMBER(SEARCH(Assumptions!$C$7,C3998)),Assumptions!$D$7,"Other Services"))),"Other Services"))</f>
        <v/>
      </c>
    </row>
    <row r="3999" customFormat="false" ht="15" hidden="false" customHeight="false" outlineLevel="0" collapsed="false">
      <c r="F3999" s="41" t="str">
        <f aca="false">IF(C3999="","",IFERROR(IF(ISNUMBER(SEARCH(Assumptions!$C$5,C3999)),Assumptions!$D$5,IF(ISNUMBER(SEARCH(Assumptions!$C$6,C3999)),Assumptions!$D$6,IF(ISNUMBER(SEARCH(Assumptions!$C$7,C3999)),Assumptions!$D$7,"Other Services"))),"Other Services"))</f>
        <v/>
      </c>
    </row>
    <row r="4000" customFormat="false" ht="15" hidden="false" customHeight="false" outlineLevel="0" collapsed="false">
      <c r="F4000" s="41" t="str">
        <f aca="false">IF(C4000="","",IFERROR(IF(ISNUMBER(SEARCH(Assumptions!$C$5,C4000)),Assumptions!$D$5,IF(ISNUMBER(SEARCH(Assumptions!$C$6,C4000)),Assumptions!$D$6,IF(ISNUMBER(SEARCH(Assumptions!$C$7,C4000)),Assumptions!$D$7,"Other Services"))),"Other Services"))</f>
        <v/>
      </c>
    </row>
    <row r="4001" customFormat="false" ht="15" hidden="false" customHeight="false" outlineLevel="0" collapsed="false">
      <c r="F4001" s="41" t="str">
        <f aca="false">IF(C4001="","",IFERROR(IF(ISNUMBER(SEARCH(Assumptions!$C$5,C4001)),Assumptions!$D$5,IF(ISNUMBER(SEARCH(Assumptions!$C$6,C4001)),Assumptions!$D$6,IF(ISNUMBER(SEARCH(Assumptions!$C$7,C4001)),Assumptions!$D$7,"Other Services"))),"Other Services"))</f>
        <v/>
      </c>
    </row>
    <row r="4002" customFormat="false" ht="15" hidden="false" customHeight="false" outlineLevel="0" collapsed="false">
      <c r="F4002" s="41" t="str">
        <f aca="false">IF(C4002="","",IFERROR(IF(ISNUMBER(SEARCH(Assumptions!$C$5,C4002)),Assumptions!$D$5,IF(ISNUMBER(SEARCH(Assumptions!$C$6,C4002)),Assumptions!$D$6,IF(ISNUMBER(SEARCH(Assumptions!$C$7,C4002)),Assumptions!$D$7,"Other Services"))),"Other Services"))</f>
        <v/>
      </c>
    </row>
    <row r="4003" customFormat="false" ht="15" hidden="false" customHeight="false" outlineLevel="0" collapsed="false">
      <c r="F4003" s="41" t="str">
        <f aca="false">IF(C4003="","",IFERROR(IF(ISNUMBER(SEARCH(Assumptions!$C$5,C4003)),Assumptions!$D$5,IF(ISNUMBER(SEARCH(Assumptions!$C$6,C4003)),Assumptions!$D$6,IF(ISNUMBER(SEARCH(Assumptions!$C$7,C4003)),Assumptions!$D$7,"Other Services"))),"Other Services"))</f>
        <v/>
      </c>
    </row>
    <row r="4004" customFormat="false" ht="15" hidden="false" customHeight="false" outlineLevel="0" collapsed="false">
      <c r="F4004" s="41" t="str">
        <f aca="false">IF(C4004="","",IFERROR(IF(ISNUMBER(SEARCH(Assumptions!$C$5,C4004)),Assumptions!$D$5,IF(ISNUMBER(SEARCH(Assumptions!$C$6,C4004)),Assumptions!$D$6,IF(ISNUMBER(SEARCH(Assumptions!$C$7,C4004)),Assumptions!$D$7,"Other Services"))),"Other Services"))</f>
        <v/>
      </c>
    </row>
    <row r="4005" customFormat="false" ht="15" hidden="false" customHeight="false" outlineLevel="0" collapsed="false">
      <c r="F4005" s="41" t="str">
        <f aca="false">IF(C4005="","",IFERROR(IF(ISNUMBER(SEARCH(Assumptions!$C$5,C4005)),Assumptions!$D$5,IF(ISNUMBER(SEARCH(Assumptions!$C$6,C4005)),Assumptions!$D$6,IF(ISNUMBER(SEARCH(Assumptions!$C$7,C4005)),Assumptions!$D$7,"Other Services"))),"Other Services"))</f>
        <v/>
      </c>
    </row>
    <row r="4006" customFormat="false" ht="15" hidden="false" customHeight="false" outlineLevel="0" collapsed="false">
      <c r="F4006" s="41" t="str">
        <f aca="false">IF(C4006="","",IFERROR(IF(ISNUMBER(SEARCH(Assumptions!$C$5,C4006)),Assumptions!$D$5,IF(ISNUMBER(SEARCH(Assumptions!$C$6,C4006)),Assumptions!$D$6,IF(ISNUMBER(SEARCH(Assumptions!$C$7,C4006)),Assumptions!$D$7,"Other Services"))),"Other Services"))</f>
        <v/>
      </c>
    </row>
    <row r="4007" customFormat="false" ht="15" hidden="false" customHeight="false" outlineLevel="0" collapsed="false">
      <c r="F4007" s="41" t="str">
        <f aca="false">IF(C4007="","",IFERROR(IF(ISNUMBER(SEARCH(Assumptions!$C$5,C4007)),Assumptions!$D$5,IF(ISNUMBER(SEARCH(Assumptions!$C$6,C4007)),Assumptions!$D$6,IF(ISNUMBER(SEARCH(Assumptions!$C$7,C4007)),Assumptions!$D$7,"Other Services"))),"Other Services"))</f>
        <v/>
      </c>
    </row>
    <row r="4008" customFormat="false" ht="15" hidden="false" customHeight="false" outlineLevel="0" collapsed="false">
      <c r="F4008" s="41" t="str">
        <f aca="false">IF(C4008="","",IFERROR(IF(ISNUMBER(SEARCH(Assumptions!$C$5,C4008)),Assumptions!$D$5,IF(ISNUMBER(SEARCH(Assumptions!$C$6,C4008)),Assumptions!$D$6,IF(ISNUMBER(SEARCH(Assumptions!$C$7,C4008)),Assumptions!$D$7,"Other Services"))),"Other Services"))</f>
        <v/>
      </c>
    </row>
    <row r="4009" customFormat="false" ht="15" hidden="false" customHeight="false" outlineLevel="0" collapsed="false">
      <c r="F4009" s="41" t="str">
        <f aca="false">IF(C4009="","",IFERROR(IF(ISNUMBER(SEARCH(Assumptions!$C$5,C4009)),Assumptions!$D$5,IF(ISNUMBER(SEARCH(Assumptions!$C$6,C4009)),Assumptions!$D$6,IF(ISNUMBER(SEARCH(Assumptions!$C$7,C4009)),Assumptions!$D$7,"Other Services"))),"Other Services"))</f>
        <v/>
      </c>
    </row>
    <row r="4010" customFormat="false" ht="15" hidden="false" customHeight="false" outlineLevel="0" collapsed="false">
      <c r="F4010" s="41" t="str">
        <f aca="false">IF(C4010="","",IFERROR(IF(ISNUMBER(SEARCH(Assumptions!$C$5,C4010)),Assumptions!$D$5,IF(ISNUMBER(SEARCH(Assumptions!$C$6,C4010)),Assumptions!$D$6,IF(ISNUMBER(SEARCH(Assumptions!$C$7,C4010)),Assumptions!$D$7,"Other Services"))),"Other Services"))</f>
        <v/>
      </c>
    </row>
    <row r="4011" customFormat="false" ht="15" hidden="false" customHeight="false" outlineLevel="0" collapsed="false">
      <c r="F4011" s="41" t="str">
        <f aca="false">IF(C4011="","",IFERROR(IF(ISNUMBER(SEARCH(Assumptions!$C$5,C4011)),Assumptions!$D$5,IF(ISNUMBER(SEARCH(Assumptions!$C$6,C4011)),Assumptions!$D$6,IF(ISNUMBER(SEARCH(Assumptions!$C$7,C4011)),Assumptions!$D$7,"Other Services"))),"Other Services"))</f>
        <v/>
      </c>
    </row>
    <row r="4012" customFormat="false" ht="15" hidden="false" customHeight="false" outlineLevel="0" collapsed="false">
      <c r="F4012" s="41" t="str">
        <f aca="false">IF(C4012="","",IFERROR(IF(ISNUMBER(SEARCH(Assumptions!$C$5,C4012)),Assumptions!$D$5,IF(ISNUMBER(SEARCH(Assumptions!$C$6,C4012)),Assumptions!$D$6,IF(ISNUMBER(SEARCH(Assumptions!$C$7,C4012)),Assumptions!$D$7,"Other Services"))),"Other Services"))</f>
        <v/>
      </c>
    </row>
    <row r="4013" customFormat="false" ht="15" hidden="false" customHeight="false" outlineLevel="0" collapsed="false">
      <c r="F4013" s="41" t="str">
        <f aca="false">IF(C4013="","",IFERROR(IF(ISNUMBER(SEARCH(Assumptions!$C$5,C4013)),Assumptions!$D$5,IF(ISNUMBER(SEARCH(Assumptions!$C$6,C4013)),Assumptions!$D$6,IF(ISNUMBER(SEARCH(Assumptions!$C$7,C4013)),Assumptions!$D$7,"Other Services"))),"Other Services"))</f>
        <v/>
      </c>
    </row>
    <row r="4014" customFormat="false" ht="15" hidden="false" customHeight="false" outlineLevel="0" collapsed="false">
      <c r="F4014" s="41" t="str">
        <f aca="false">IF(C4014="","",IFERROR(IF(ISNUMBER(SEARCH(Assumptions!$C$5,C4014)),Assumptions!$D$5,IF(ISNUMBER(SEARCH(Assumptions!$C$6,C4014)),Assumptions!$D$6,IF(ISNUMBER(SEARCH(Assumptions!$C$7,C4014)),Assumptions!$D$7,"Other Services"))),"Other Services"))</f>
        <v/>
      </c>
    </row>
    <row r="4015" customFormat="false" ht="15" hidden="false" customHeight="false" outlineLevel="0" collapsed="false">
      <c r="F4015" s="41" t="str">
        <f aca="false">IF(C4015="","",IFERROR(IF(ISNUMBER(SEARCH(Assumptions!$C$5,C4015)),Assumptions!$D$5,IF(ISNUMBER(SEARCH(Assumptions!$C$6,C4015)),Assumptions!$D$6,IF(ISNUMBER(SEARCH(Assumptions!$C$7,C4015)),Assumptions!$D$7,"Other Services"))),"Other Services"))</f>
        <v/>
      </c>
    </row>
    <row r="4016" customFormat="false" ht="15" hidden="false" customHeight="false" outlineLevel="0" collapsed="false">
      <c r="F4016" s="41" t="str">
        <f aca="false">IF(C4016="","",IFERROR(IF(ISNUMBER(SEARCH(Assumptions!$C$5,C4016)),Assumptions!$D$5,IF(ISNUMBER(SEARCH(Assumptions!$C$6,C4016)),Assumptions!$D$6,IF(ISNUMBER(SEARCH(Assumptions!$C$7,C4016)),Assumptions!$D$7,"Other Services"))),"Other Services"))</f>
        <v/>
      </c>
    </row>
    <row r="4017" customFormat="false" ht="15" hidden="false" customHeight="false" outlineLevel="0" collapsed="false">
      <c r="F4017" s="41" t="str">
        <f aca="false">IF(C4017="","",IFERROR(IF(ISNUMBER(SEARCH(Assumptions!$C$5,C4017)),Assumptions!$D$5,IF(ISNUMBER(SEARCH(Assumptions!$C$6,C4017)),Assumptions!$D$6,IF(ISNUMBER(SEARCH(Assumptions!$C$7,C4017)),Assumptions!$D$7,"Other Services"))),"Other Services"))</f>
        <v/>
      </c>
    </row>
    <row r="4018" customFormat="false" ht="15" hidden="false" customHeight="false" outlineLevel="0" collapsed="false">
      <c r="F4018" s="41" t="str">
        <f aca="false">IF(C4018="","",IFERROR(IF(ISNUMBER(SEARCH(Assumptions!$C$5,C4018)),Assumptions!$D$5,IF(ISNUMBER(SEARCH(Assumptions!$C$6,C4018)),Assumptions!$D$6,IF(ISNUMBER(SEARCH(Assumptions!$C$7,C4018)),Assumptions!$D$7,"Other Services"))),"Other Services"))</f>
        <v/>
      </c>
    </row>
    <row r="4019" customFormat="false" ht="15" hidden="false" customHeight="false" outlineLevel="0" collapsed="false">
      <c r="F4019" s="41" t="str">
        <f aca="false">IF(C4019="","",IFERROR(IF(ISNUMBER(SEARCH(Assumptions!$C$5,C4019)),Assumptions!$D$5,IF(ISNUMBER(SEARCH(Assumptions!$C$6,C4019)),Assumptions!$D$6,IF(ISNUMBER(SEARCH(Assumptions!$C$7,C4019)),Assumptions!$D$7,"Other Services"))),"Other Services"))</f>
        <v/>
      </c>
    </row>
    <row r="4020" customFormat="false" ht="15" hidden="false" customHeight="false" outlineLevel="0" collapsed="false">
      <c r="F4020" s="41" t="str">
        <f aca="false">IF(C4020="","",IFERROR(IF(ISNUMBER(SEARCH(Assumptions!$C$5,C4020)),Assumptions!$D$5,IF(ISNUMBER(SEARCH(Assumptions!$C$6,C4020)),Assumptions!$D$6,IF(ISNUMBER(SEARCH(Assumptions!$C$7,C4020)),Assumptions!$D$7,"Other Services"))),"Other Services"))</f>
        <v/>
      </c>
    </row>
    <row r="4021" customFormat="false" ht="15" hidden="false" customHeight="false" outlineLevel="0" collapsed="false">
      <c r="F4021" s="41" t="str">
        <f aca="false">IF(C4021="","",IFERROR(IF(ISNUMBER(SEARCH(Assumptions!$C$5,C4021)),Assumptions!$D$5,IF(ISNUMBER(SEARCH(Assumptions!$C$6,C4021)),Assumptions!$D$6,IF(ISNUMBER(SEARCH(Assumptions!$C$7,C4021)),Assumptions!$D$7,"Other Services"))),"Other Services"))</f>
        <v/>
      </c>
    </row>
    <row r="4022" customFormat="false" ht="15" hidden="false" customHeight="false" outlineLevel="0" collapsed="false">
      <c r="F4022" s="41" t="str">
        <f aca="false">IF(C4022="","",IFERROR(IF(ISNUMBER(SEARCH(Assumptions!$C$5,C4022)),Assumptions!$D$5,IF(ISNUMBER(SEARCH(Assumptions!$C$6,C4022)),Assumptions!$D$6,IF(ISNUMBER(SEARCH(Assumptions!$C$7,C4022)),Assumptions!$D$7,"Other Services"))),"Other Services"))</f>
        <v/>
      </c>
    </row>
    <row r="4023" customFormat="false" ht="15" hidden="false" customHeight="false" outlineLevel="0" collapsed="false">
      <c r="F4023" s="41" t="str">
        <f aca="false">IF(C4023="","",IFERROR(IF(ISNUMBER(SEARCH(Assumptions!$C$5,C4023)),Assumptions!$D$5,IF(ISNUMBER(SEARCH(Assumptions!$C$6,C4023)),Assumptions!$D$6,IF(ISNUMBER(SEARCH(Assumptions!$C$7,C4023)),Assumptions!$D$7,"Other Services"))),"Other Services"))</f>
        <v/>
      </c>
    </row>
    <row r="4024" customFormat="false" ht="15" hidden="false" customHeight="false" outlineLevel="0" collapsed="false">
      <c r="F4024" s="41" t="str">
        <f aca="false">IF(C4024="","",IFERROR(IF(ISNUMBER(SEARCH(Assumptions!$C$5,C4024)),Assumptions!$D$5,IF(ISNUMBER(SEARCH(Assumptions!$C$6,C4024)),Assumptions!$D$6,IF(ISNUMBER(SEARCH(Assumptions!$C$7,C4024)),Assumptions!$D$7,"Other Services"))),"Other Services"))</f>
        <v/>
      </c>
    </row>
    <row r="4025" customFormat="false" ht="15" hidden="false" customHeight="false" outlineLevel="0" collapsed="false">
      <c r="F4025" s="41" t="str">
        <f aca="false">IF(C4025="","",IFERROR(IF(ISNUMBER(SEARCH(Assumptions!$C$5,C4025)),Assumptions!$D$5,IF(ISNUMBER(SEARCH(Assumptions!$C$6,C4025)),Assumptions!$D$6,IF(ISNUMBER(SEARCH(Assumptions!$C$7,C4025)),Assumptions!$D$7,"Other Services"))),"Other Services"))</f>
        <v/>
      </c>
    </row>
    <row r="4026" customFormat="false" ht="15" hidden="false" customHeight="false" outlineLevel="0" collapsed="false">
      <c r="F4026" s="41" t="str">
        <f aca="false">IF(C4026="","",IFERROR(IF(ISNUMBER(SEARCH(Assumptions!$C$5,C4026)),Assumptions!$D$5,IF(ISNUMBER(SEARCH(Assumptions!$C$6,C4026)),Assumptions!$D$6,IF(ISNUMBER(SEARCH(Assumptions!$C$7,C4026)),Assumptions!$D$7,"Other Services"))),"Other Services"))</f>
        <v/>
      </c>
    </row>
    <row r="4027" customFormat="false" ht="15" hidden="false" customHeight="false" outlineLevel="0" collapsed="false">
      <c r="F4027" s="41" t="str">
        <f aca="false">IF(C4027="","",IFERROR(IF(ISNUMBER(SEARCH(Assumptions!$C$5,C4027)),Assumptions!$D$5,IF(ISNUMBER(SEARCH(Assumptions!$C$6,C4027)),Assumptions!$D$6,IF(ISNUMBER(SEARCH(Assumptions!$C$7,C4027)),Assumptions!$D$7,"Other Services"))),"Other Services"))</f>
        <v/>
      </c>
    </row>
    <row r="4028" customFormat="false" ht="15" hidden="false" customHeight="false" outlineLevel="0" collapsed="false">
      <c r="F4028" s="41" t="str">
        <f aca="false">IF(C4028="","",IFERROR(IF(ISNUMBER(SEARCH(Assumptions!$C$5,C4028)),Assumptions!$D$5,IF(ISNUMBER(SEARCH(Assumptions!$C$6,C4028)),Assumptions!$D$6,IF(ISNUMBER(SEARCH(Assumptions!$C$7,C4028)),Assumptions!$D$7,"Other Services"))),"Other Services"))</f>
        <v/>
      </c>
    </row>
    <row r="4029" customFormat="false" ht="15" hidden="false" customHeight="false" outlineLevel="0" collapsed="false">
      <c r="F4029" s="41" t="str">
        <f aca="false">IF(C4029="","",IFERROR(IF(ISNUMBER(SEARCH(Assumptions!$C$5,C4029)),Assumptions!$D$5,IF(ISNUMBER(SEARCH(Assumptions!$C$6,C4029)),Assumptions!$D$6,IF(ISNUMBER(SEARCH(Assumptions!$C$7,C4029)),Assumptions!$D$7,"Other Services"))),"Other Services"))</f>
        <v/>
      </c>
    </row>
    <row r="4030" customFormat="false" ht="15" hidden="false" customHeight="false" outlineLevel="0" collapsed="false">
      <c r="F4030" s="41" t="str">
        <f aca="false">IF(C4030="","",IFERROR(IF(ISNUMBER(SEARCH(Assumptions!$C$5,C4030)),Assumptions!$D$5,IF(ISNUMBER(SEARCH(Assumptions!$C$6,C4030)),Assumptions!$D$6,IF(ISNUMBER(SEARCH(Assumptions!$C$7,C4030)),Assumptions!$D$7,"Other Services"))),"Other Services"))</f>
        <v/>
      </c>
    </row>
    <row r="4031" customFormat="false" ht="15" hidden="false" customHeight="false" outlineLevel="0" collapsed="false">
      <c r="F4031" s="41" t="str">
        <f aca="false">IF(C4031="","",IFERROR(IF(ISNUMBER(SEARCH(Assumptions!$C$5,C4031)),Assumptions!$D$5,IF(ISNUMBER(SEARCH(Assumptions!$C$6,C4031)),Assumptions!$D$6,IF(ISNUMBER(SEARCH(Assumptions!$C$7,C4031)),Assumptions!$D$7,"Other Services"))),"Other Services"))</f>
        <v/>
      </c>
    </row>
    <row r="4032" customFormat="false" ht="15" hidden="false" customHeight="false" outlineLevel="0" collapsed="false">
      <c r="F4032" s="41" t="str">
        <f aca="false">IF(C4032="","",IFERROR(IF(ISNUMBER(SEARCH(Assumptions!$C$5,C4032)),Assumptions!$D$5,IF(ISNUMBER(SEARCH(Assumptions!$C$6,C4032)),Assumptions!$D$6,IF(ISNUMBER(SEARCH(Assumptions!$C$7,C4032)),Assumptions!$D$7,"Other Services"))),"Other Services"))</f>
        <v/>
      </c>
    </row>
    <row r="4033" customFormat="false" ht="15" hidden="false" customHeight="false" outlineLevel="0" collapsed="false">
      <c r="F4033" s="41" t="str">
        <f aca="false">IF(C4033="","",IFERROR(IF(ISNUMBER(SEARCH(Assumptions!$C$5,C4033)),Assumptions!$D$5,IF(ISNUMBER(SEARCH(Assumptions!$C$6,C4033)),Assumptions!$D$6,IF(ISNUMBER(SEARCH(Assumptions!$C$7,C4033)),Assumptions!$D$7,"Other Services"))),"Other Services"))</f>
        <v/>
      </c>
    </row>
    <row r="4034" customFormat="false" ht="15" hidden="false" customHeight="false" outlineLevel="0" collapsed="false">
      <c r="F4034" s="41" t="str">
        <f aca="false">IF(C4034="","",IFERROR(IF(ISNUMBER(SEARCH(Assumptions!$C$5,C4034)),Assumptions!$D$5,IF(ISNUMBER(SEARCH(Assumptions!$C$6,C4034)),Assumptions!$D$6,IF(ISNUMBER(SEARCH(Assumptions!$C$7,C4034)),Assumptions!$D$7,"Other Services"))),"Other Services"))</f>
        <v/>
      </c>
    </row>
    <row r="4035" customFormat="false" ht="15" hidden="false" customHeight="false" outlineLevel="0" collapsed="false">
      <c r="F4035" s="41" t="str">
        <f aca="false">IF(C4035="","",IFERROR(IF(ISNUMBER(SEARCH(Assumptions!$C$5,C4035)),Assumptions!$D$5,IF(ISNUMBER(SEARCH(Assumptions!$C$6,C4035)),Assumptions!$D$6,IF(ISNUMBER(SEARCH(Assumptions!$C$7,C4035)),Assumptions!$D$7,"Other Services"))),"Other Services"))</f>
        <v/>
      </c>
    </row>
    <row r="4036" customFormat="false" ht="15" hidden="false" customHeight="false" outlineLevel="0" collapsed="false">
      <c r="F4036" s="41" t="str">
        <f aca="false">IF(C4036="","",IFERROR(IF(ISNUMBER(SEARCH(Assumptions!$C$5,C4036)),Assumptions!$D$5,IF(ISNUMBER(SEARCH(Assumptions!$C$6,C4036)),Assumptions!$D$6,IF(ISNUMBER(SEARCH(Assumptions!$C$7,C4036)),Assumptions!$D$7,"Other Services"))),"Other Services"))</f>
        <v/>
      </c>
    </row>
    <row r="4037" customFormat="false" ht="15" hidden="false" customHeight="false" outlineLevel="0" collapsed="false">
      <c r="F4037" s="41" t="str">
        <f aca="false">IF(C4037="","",IFERROR(IF(ISNUMBER(SEARCH(Assumptions!$C$5,C4037)),Assumptions!$D$5,IF(ISNUMBER(SEARCH(Assumptions!$C$6,C4037)),Assumptions!$D$6,IF(ISNUMBER(SEARCH(Assumptions!$C$7,C4037)),Assumptions!$D$7,"Other Services"))),"Other Services"))</f>
        <v/>
      </c>
    </row>
    <row r="4038" customFormat="false" ht="15" hidden="false" customHeight="false" outlineLevel="0" collapsed="false">
      <c r="F4038" s="41" t="str">
        <f aca="false">IF(C4038="","",IFERROR(IF(ISNUMBER(SEARCH(Assumptions!$C$5,C4038)),Assumptions!$D$5,IF(ISNUMBER(SEARCH(Assumptions!$C$6,C4038)),Assumptions!$D$6,IF(ISNUMBER(SEARCH(Assumptions!$C$7,C4038)),Assumptions!$D$7,"Other Services"))),"Other Services"))</f>
        <v/>
      </c>
    </row>
    <row r="4039" customFormat="false" ht="15" hidden="false" customHeight="false" outlineLevel="0" collapsed="false">
      <c r="F4039" s="41" t="str">
        <f aca="false">IF(C4039="","",IFERROR(IF(ISNUMBER(SEARCH(Assumptions!$C$5,C4039)),Assumptions!$D$5,IF(ISNUMBER(SEARCH(Assumptions!$C$6,C4039)),Assumptions!$D$6,IF(ISNUMBER(SEARCH(Assumptions!$C$7,C4039)),Assumptions!$D$7,"Other Services"))),"Other Services"))</f>
        <v/>
      </c>
    </row>
    <row r="4040" customFormat="false" ht="15" hidden="false" customHeight="false" outlineLevel="0" collapsed="false">
      <c r="F4040" s="41" t="str">
        <f aca="false">IF(C4040="","",IFERROR(IF(ISNUMBER(SEARCH(Assumptions!$C$5,C4040)),Assumptions!$D$5,IF(ISNUMBER(SEARCH(Assumptions!$C$6,C4040)),Assumptions!$D$6,IF(ISNUMBER(SEARCH(Assumptions!$C$7,C4040)),Assumptions!$D$7,"Other Services"))),"Other Services"))</f>
        <v/>
      </c>
    </row>
    <row r="4041" customFormat="false" ht="15" hidden="false" customHeight="false" outlineLevel="0" collapsed="false">
      <c r="F4041" s="41" t="str">
        <f aca="false">IF(C4041="","",IFERROR(IF(ISNUMBER(SEARCH(Assumptions!$C$5,C4041)),Assumptions!$D$5,IF(ISNUMBER(SEARCH(Assumptions!$C$6,C4041)),Assumptions!$D$6,IF(ISNUMBER(SEARCH(Assumptions!$C$7,C4041)),Assumptions!$D$7,"Other Services"))),"Other Services"))</f>
        <v/>
      </c>
    </row>
    <row r="4042" customFormat="false" ht="15" hidden="false" customHeight="false" outlineLevel="0" collapsed="false">
      <c r="F4042" s="41" t="str">
        <f aca="false">IF(C4042="","",IFERROR(IF(ISNUMBER(SEARCH(Assumptions!$C$5,C4042)),Assumptions!$D$5,IF(ISNUMBER(SEARCH(Assumptions!$C$6,C4042)),Assumptions!$D$6,IF(ISNUMBER(SEARCH(Assumptions!$C$7,C4042)),Assumptions!$D$7,"Other Services"))),"Other Services"))</f>
        <v/>
      </c>
    </row>
    <row r="4043" customFormat="false" ht="15" hidden="false" customHeight="false" outlineLevel="0" collapsed="false">
      <c r="F4043" s="41" t="str">
        <f aca="false">IF(C4043="","",IFERROR(IF(ISNUMBER(SEARCH(Assumptions!$C$5,C4043)),Assumptions!$D$5,IF(ISNUMBER(SEARCH(Assumptions!$C$6,C4043)),Assumptions!$D$6,IF(ISNUMBER(SEARCH(Assumptions!$C$7,C4043)),Assumptions!$D$7,"Other Services"))),"Other Services"))</f>
        <v/>
      </c>
    </row>
    <row r="4044" customFormat="false" ht="15" hidden="false" customHeight="false" outlineLevel="0" collapsed="false">
      <c r="F4044" s="41" t="str">
        <f aca="false">IF(C4044="","",IFERROR(IF(ISNUMBER(SEARCH(Assumptions!$C$5,C4044)),Assumptions!$D$5,IF(ISNUMBER(SEARCH(Assumptions!$C$6,C4044)),Assumptions!$D$6,IF(ISNUMBER(SEARCH(Assumptions!$C$7,C4044)),Assumptions!$D$7,"Other Services"))),"Other Services"))</f>
        <v/>
      </c>
    </row>
    <row r="4045" customFormat="false" ht="15" hidden="false" customHeight="false" outlineLevel="0" collapsed="false">
      <c r="F4045" s="41" t="str">
        <f aca="false">IF(C4045="","",IFERROR(IF(ISNUMBER(SEARCH(Assumptions!$C$5,C4045)),Assumptions!$D$5,IF(ISNUMBER(SEARCH(Assumptions!$C$6,C4045)),Assumptions!$D$6,IF(ISNUMBER(SEARCH(Assumptions!$C$7,C4045)),Assumptions!$D$7,"Other Services"))),"Other Services"))</f>
        <v/>
      </c>
    </row>
    <row r="4046" customFormat="false" ht="15" hidden="false" customHeight="false" outlineLevel="0" collapsed="false">
      <c r="F4046" s="41" t="str">
        <f aca="false">IF(C4046="","",IFERROR(IF(ISNUMBER(SEARCH(Assumptions!$C$5,C4046)),Assumptions!$D$5,IF(ISNUMBER(SEARCH(Assumptions!$C$6,C4046)),Assumptions!$D$6,IF(ISNUMBER(SEARCH(Assumptions!$C$7,C4046)),Assumptions!$D$7,"Other Services"))),"Other Services"))</f>
        <v/>
      </c>
    </row>
    <row r="4047" customFormat="false" ht="15" hidden="false" customHeight="false" outlineLevel="0" collapsed="false">
      <c r="F4047" s="41" t="str">
        <f aca="false">IF(C4047="","",IFERROR(IF(ISNUMBER(SEARCH(Assumptions!$C$5,C4047)),Assumptions!$D$5,IF(ISNUMBER(SEARCH(Assumptions!$C$6,C4047)),Assumptions!$D$6,IF(ISNUMBER(SEARCH(Assumptions!$C$7,C4047)),Assumptions!$D$7,"Other Services"))),"Other Services"))</f>
        <v/>
      </c>
    </row>
    <row r="4048" customFormat="false" ht="15" hidden="false" customHeight="false" outlineLevel="0" collapsed="false">
      <c r="F4048" s="41" t="str">
        <f aca="false">IF(C4048="","",IFERROR(IF(ISNUMBER(SEARCH(Assumptions!$C$5,C4048)),Assumptions!$D$5,IF(ISNUMBER(SEARCH(Assumptions!$C$6,C4048)),Assumptions!$D$6,IF(ISNUMBER(SEARCH(Assumptions!$C$7,C4048)),Assumptions!$D$7,"Other Services"))),"Other Services"))</f>
        <v/>
      </c>
    </row>
    <row r="4049" customFormat="false" ht="15" hidden="false" customHeight="false" outlineLevel="0" collapsed="false">
      <c r="F4049" s="41" t="str">
        <f aca="false">IF(C4049="","",IFERROR(IF(ISNUMBER(SEARCH(Assumptions!$C$5,C4049)),Assumptions!$D$5,IF(ISNUMBER(SEARCH(Assumptions!$C$6,C4049)),Assumptions!$D$6,IF(ISNUMBER(SEARCH(Assumptions!$C$7,C4049)),Assumptions!$D$7,"Other Services"))),"Other Services"))</f>
        <v/>
      </c>
    </row>
    <row r="4050" customFormat="false" ht="15" hidden="false" customHeight="false" outlineLevel="0" collapsed="false">
      <c r="F4050" s="41" t="str">
        <f aca="false">IF(C4050="","",IFERROR(IF(ISNUMBER(SEARCH(Assumptions!$C$5,C4050)),Assumptions!$D$5,IF(ISNUMBER(SEARCH(Assumptions!$C$6,C4050)),Assumptions!$D$6,IF(ISNUMBER(SEARCH(Assumptions!$C$7,C4050)),Assumptions!$D$7,"Other Services"))),"Other Services"))</f>
        <v/>
      </c>
    </row>
    <row r="4051" customFormat="false" ht="15" hidden="false" customHeight="false" outlineLevel="0" collapsed="false">
      <c r="F4051" s="41" t="str">
        <f aca="false">IF(C4051="","",IFERROR(IF(ISNUMBER(SEARCH(Assumptions!$C$5,C4051)),Assumptions!$D$5,IF(ISNUMBER(SEARCH(Assumptions!$C$6,C4051)),Assumptions!$D$6,IF(ISNUMBER(SEARCH(Assumptions!$C$7,C4051)),Assumptions!$D$7,"Other Services"))),"Other Services"))</f>
        <v/>
      </c>
    </row>
    <row r="4052" customFormat="false" ht="15" hidden="false" customHeight="false" outlineLevel="0" collapsed="false">
      <c r="F4052" s="41" t="str">
        <f aca="false">IF(C4052="","",IFERROR(IF(ISNUMBER(SEARCH(Assumptions!$C$5,C4052)),Assumptions!$D$5,IF(ISNUMBER(SEARCH(Assumptions!$C$6,C4052)),Assumptions!$D$6,IF(ISNUMBER(SEARCH(Assumptions!$C$7,C4052)),Assumptions!$D$7,"Other Services"))),"Other Services"))</f>
        <v/>
      </c>
    </row>
    <row r="4053" customFormat="false" ht="15" hidden="false" customHeight="false" outlineLevel="0" collapsed="false">
      <c r="F4053" s="41" t="str">
        <f aca="false">IF(C4053="","",IFERROR(IF(ISNUMBER(SEARCH(Assumptions!$C$5,C4053)),Assumptions!$D$5,IF(ISNUMBER(SEARCH(Assumptions!$C$6,C4053)),Assumptions!$D$6,IF(ISNUMBER(SEARCH(Assumptions!$C$7,C4053)),Assumptions!$D$7,"Other Services"))),"Other Services"))</f>
        <v/>
      </c>
    </row>
    <row r="4054" customFormat="false" ht="15" hidden="false" customHeight="false" outlineLevel="0" collapsed="false">
      <c r="F4054" s="41" t="str">
        <f aca="false">IF(C4054="","",IFERROR(IF(ISNUMBER(SEARCH(Assumptions!$C$5,C4054)),Assumptions!$D$5,IF(ISNUMBER(SEARCH(Assumptions!$C$6,C4054)),Assumptions!$D$6,IF(ISNUMBER(SEARCH(Assumptions!$C$7,C4054)),Assumptions!$D$7,"Other Services"))),"Other Services"))</f>
        <v/>
      </c>
    </row>
    <row r="4055" customFormat="false" ht="15" hidden="false" customHeight="false" outlineLevel="0" collapsed="false">
      <c r="F4055" s="41" t="str">
        <f aca="false">IF(C4055="","",IFERROR(IF(ISNUMBER(SEARCH(Assumptions!$C$5,C4055)),Assumptions!$D$5,IF(ISNUMBER(SEARCH(Assumptions!$C$6,C4055)),Assumptions!$D$6,IF(ISNUMBER(SEARCH(Assumptions!$C$7,C4055)),Assumptions!$D$7,"Other Services"))),"Other Services"))</f>
        <v/>
      </c>
    </row>
    <row r="4056" customFormat="false" ht="15" hidden="false" customHeight="false" outlineLevel="0" collapsed="false">
      <c r="F4056" s="41" t="str">
        <f aca="false">IF(C4056="","",IFERROR(IF(ISNUMBER(SEARCH(Assumptions!$C$5,C4056)),Assumptions!$D$5,IF(ISNUMBER(SEARCH(Assumptions!$C$6,C4056)),Assumptions!$D$6,IF(ISNUMBER(SEARCH(Assumptions!$C$7,C4056)),Assumptions!$D$7,"Other Services"))),"Other Services"))</f>
        <v/>
      </c>
    </row>
    <row r="4057" customFormat="false" ht="15" hidden="false" customHeight="false" outlineLevel="0" collapsed="false">
      <c r="F4057" s="41" t="str">
        <f aca="false">IF(C4057="","",IFERROR(IF(ISNUMBER(SEARCH(Assumptions!$C$5,C4057)),Assumptions!$D$5,IF(ISNUMBER(SEARCH(Assumptions!$C$6,C4057)),Assumptions!$D$6,IF(ISNUMBER(SEARCH(Assumptions!$C$7,C4057)),Assumptions!$D$7,"Other Services"))),"Other Services"))</f>
        <v/>
      </c>
    </row>
    <row r="4058" customFormat="false" ht="15" hidden="false" customHeight="false" outlineLevel="0" collapsed="false">
      <c r="F4058" s="41" t="str">
        <f aca="false">IF(C4058="","",IFERROR(IF(ISNUMBER(SEARCH(Assumptions!$C$5,C4058)),Assumptions!$D$5,IF(ISNUMBER(SEARCH(Assumptions!$C$6,C4058)),Assumptions!$D$6,IF(ISNUMBER(SEARCH(Assumptions!$C$7,C4058)),Assumptions!$D$7,"Other Services"))),"Other Services"))</f>
        <v/>
      </c>
    </row>
    <row r="4059" customFormat="false" ht="15" hidden="false" customHeight="false" outlineLevel="0" collapsed="false">
      <c r="F4059" s="41" t="str">
        <f aca="false">IF(C4059="","",IFERROR(IF(ISNUMBER(SEARCH(Assumptions!$C$5,C4059)),Assumptions!$D$5,IF(ISNUMBER(SEARCH(Assumptions!$C$6,C4059)),Assumptions!$D$6,IF(ISNUMBER(SEARCH(Assumptions!$C$7,C4059)),Assumptions!$D$7,"Other Services"))),"Other Services"))</f>
        <v/>
      </c>
    </row>
    <row r="4060" customFormat="false" ht="15" hidden="false" customHeight="false" outlineLevel="0" collapsed="false">
      <c r="F4060" s="41" t="str">
        <f aca="false">IF(C4060="","",IFERROR(IF(ISNUMBER(SEARCH(Assumptions!$C$5,C4060)),Assumptions!$D$5,IF(ISNUMBER(SEARCH(Assumptions!$C$6,C4060)),Assumptions!$D$6,IF(ISNUMBER(SEARCH(Assumptions!$C$7,C4060)),Assumptions!$D$7,"Other Services"))),"Other Services"))</f>
        <v/>
      </c>
    </row>
    <row r="4061" customFormat="false" ht="15" hidden="false" customHeight="false" outlineLevel="0" collapsed="false">
      <c r="F4061" s="41" t="str">
        <f aca="false">IF(C4061="","",IFERROR(IF(ISNUMBER(SEARCH(Assumptions!$C$5,C4061)),Assumptions!$D$5,IF(ISNUMBER(SEARCH(Assumptions!$C$6,C4061)),Assumptions!$D$6,IF(ISNUMBER(SEARCH(Assumptions!$C$7,C4061)),Assumptions!$D$7,"Other Services"))),"Other Services"))</f>
        <v/>
      </c>
    </row>
    <row r="4062" customFormat="false" ht="15" hidden="false" customHeight="false" outlineLevel="0" collapsed="false">
      <c r="F4062" s="41" t="str">
        <f aca="false">IF(C4062="","",IFERROR(IF(ISNUMBER(SEARCH(Assumptions!$C$5,C4062)),Assumptions!$D$5,IF(ISNUMBER(SEARCH(Assumptions!$C$6,C4062)),Assumptions!$D$6,IF(ISNUMBER(SEARCH(Assumptions!$C$7,C4062)),Assumptions!$D$7,"Other Services"))),"Other Services"))</f>
        <v/>
      </c>
    </row>
    <row r="4063" customFormat="false" ht="15" hidden="false" customHeight="false" outlineLevel="0" collapsed="false">
      <c r="F4063" s="41" t="str">
        <f aca="false">IF(C4063="","",IFERROR(IF(ISNUMBER(SEARCH(Assumptions!$C$5,C4063)),Assumptions!$D$5,IF(ISNUMBER(SEARCH(Assumptions!$C$6,C4063)),Assumptions!$D$6,IF(ISNUMBER(SEARCH(Assumptions!$C$7,C4063)),Assumptions!$D$7,"Other Services"))),"Other Services"))</f>
        <v/>
      </c>
    </row>
    <row r="4064" customFormat="false" ht="15" hidden="false" customHeight="false" outlineLevel="0" collapsed="false">
      <c r="F4064" s="41" t="str">
        <f aca="false">IF(C4064="","",IFERROR(IF(ISNUMBER(SEARCH(Assumptions!$C$5,C4064)),Assumptions!$D$5,IF(ISNUMBER(SEARCH(Assumptions!$C$6,C4064)),Assumptions!$D$6,IF(ISNUMBER(SEARCH(Assumptions!$C$7,C4064)),Assumptions!$D$7,"Other Services"))),"Other Services"))</f>
        <v/>
      </c>
    </row>
    <row r="4065" customFormat="false" ht="15" hidden="false" customHeight="false" outlineLevel="0" collapsed="false">
      <c r="F4065" s="41" t="str">
        <f aca="false">IF(C4065="","",IFERROR(IF(ISNUMBER(SEARCH(Assumptions!$C$5,C4065)),Assumptions!$D$5,IF(ISNUMBER(SEARCH(Assumptions!$C$6,C4065)),Assumptions!$D$6,IF(ISNUMBER(SEARCH(Assumptions!$C$7,C4065)),Assumptions!$D$7,"Other Services"))),"Other Services"))</f>
        <v/>
      </c>
    </row>
    <row r="4066" customFormat="false" ht="15" hidden="false" customHeight="false" outlineLevel="0" collapsed="false">
      <c r="F4066" s="41" t="str">
        <f aca="false">IF(C4066="","",IFERROR(IF(ISNUMBER(SEARCH(Assumptions!$C$5,C4066)),Assumptions!$D$5,IF(ISNUMBER(SEARCH(Assumptions!$C$6,C4066)),Assumptions!$D$6,IF(ISNUMBER(SEARCH(Assumptions!$C$7,C4066)),Assumptions!$D$7,"Other Services"))),"Other Services"))</f>
        <v/>
      </c>
    </row>
    <row r="4067" customFormat="false" ht="15" hidden="false" customHeight="false" outlineLevel="0" collapsed="false">
      <c r="F4067" s="41" t="str">
        <f aca="false">IF(C4067="","",IFERROR(IF(ISNUMBER(SEARCH(Assumptions!$C$5,C4067)),Assumptions!$D$5,IF(ISNUMBER(SEARCH(Assumptions!$C$6,C4067)),Assumptions!$D$6,IF(ISNUMBER(SEARCH(Assumptions!$C$7,C4067)),Assumptions!$D$7,"Other Services"))),"Other Services"))</f>
        <v/>
      </c>
    </row>
    <row r="4068" customFormat="false" ht="15" hidden="false" customHeight="false" outlineLevel="0" collapsed="false">
      <c r="F4068" s="41" t="str">
        <f aca="false">IF(C4068="","",IFERROR(IF(ISNUMBER(SEARCH(Assumptions!$C$5,C4068)),Assumptions!$D$5,IF(ISNUMBER(SEARCH(Assumptions!$C$6,C4068)),Assumptions!$D$6,IF(ISNUMBER(SEARCH(Assumptions!$C$7,C4068)),Assumptions!$D$7,"Other Services"))),"Other Services"))</f>
        <v/>
      </c>
    </row>
    <row r="4069" customFormat="false" ht="15" hidden="false" customHeight="false" outlineLevel="0" collapsed="false">
      <c r="F4069" s="41" t="str">
        <f aca="false">IF(C4069="","",IFERROR(IF(ISNUMBER(SEARCH(Assumptions!$C$5,C4069)),Assumptions!$D$5,IF(ISNUMBER(SEARCH(Assumptions!$C$6,C4069)),Assumptions!$D$6,IF(ISNUMBER(SEARCH(Assumptions!$C$7,C4069)),Assumptions!$D$7,"Other Services"))),"Other Services"))</f>
        <v/>
      </c>
    </row>
    <row r="4070" customFormat="false" ht="15" hidden="false" customHeight="false" outlineLevel="0" collapsed="false">
      <c r="F4070" s="41" t="str">
        <f aca="false">IF(C4070="","",IFERROR(IF(ISNUMBER(SEARCH(Assumptions!$C$5,C4070)),Assumptions!$D$5,IF(ISNUMBER(SEARCH(Assumptions!$C$6,C4070)),Assumptions!$D$6,IF(ISNUMBER(SEARCH(Assumptions!$C$7,C4070)),Assumptions!$D$7,"Other Services"))),"Other Services"))</f>
        <v/>
      </c>
    </row>
    <row r="4071" customFormat="false" ht="15" hidden="false" customHeight="false" outlineLevel="0" collapsed="false">
      <c r="F4071" s="41" t="str">
        <f aca="false">IF(C4071="","",IFERROR(IF(ISNUMBER(SEARCH(Assumptions!$C$5,C4071)),Assumptions!$D$5,IF(ISNUMBER(SEARCH(Assumptions!$C$6,C4071)),Assumptions!$D$6,IF(ISNUMBER(SEARCH(Assumptions!$C$7,C4071)),Assumptions!$D$7,"Other Services"))),"Other Services"))</f>
        <v/>
      </c>
    </row>
    <row r="4072" customFormat="false" ht="15" hidden="false" customHeight="false" outlineLevel="0" collapsed="false">
      <c r="F4072" s="41" t="str">
        <f aca="false">IF(C4072="","",IFERROR(IF(ISNUMBER(SEARCH(Assumptions!$C$5,C4072)),Assumptions!$D$5,IF(ISNUMBER(SEARCH(Assumptions!$C$6,C4072)),Assumptions!$D$6,IF(ISNUMBER(SEARCH(Assumptions!$C$7,C4072)),Assumptions!$D$7,"Other Services"))),"Other Services"))</f>
        <v/>
      </c>
    </row>
    <row r="4073" customFormat="false" ht="15" hidden="false" customHeight="false" outlineLevel="0" collapsed="false">
      <c r="F4073" s="41" t="str">
        <f aca="false">IF(C4073="","",IFERROR(IF(ISNUMBER(SEARCH(Assumptions!$C$5,C4073)),Assumptions!$D$5,IF(ISNUMBER(SEARCH(Assumptions!$C$6,C4073)),Assumptions!$D$6,IF(ISNUMBER(SEARCH(Assumptions!$C$7,C4073)),Assumptions!$D$7,"Other Services"))),"Other Services"))</f>
        <v/>
      </c>
    </row>
    <row r="4074" customFormat="false" ht="15" hidden="false" customHeight="false" outlineLevel="0" collapsed="false">
      <c r="F4074" s="41" t="str">
        <f aca="false">IF(C4074="","",IFERROR(IF(ISNUMBER(SEARCH(Assumptions!$C$5,C4074)),Assumptions!$D$5,IF(ISNUMBER(SEARCH(Assumptions!$C$6,C4074)),Assumptions!$D$6,IF(ISNUMBER(SEARCH(Assumptions!$C$7,C4074)),Assumptions!$D$7,"Other Services"))),"Other Services"))</f>
        <v/>
      </c>
    </row>
    <row r="4075" customFormat="false" ht="15" hidden="false" customHeight="false" outlineLevel="0" collapsed="false">
      <c r="F4075" s="41" t="str">
        <f aca="false">IF(C4075="","",IFERROR(IF(ISNUMBER(SEARCH(Assumptions!$C$5,C4075)),Assumptions!$D$5,IF(ISNUMBER(SEARCH(Assumptions!$C$6,C4075)),Assumptions!$D$6,IF(ISNUMBER(SEARCH(Assumptions!$C$7,C4075)),Assumptions!$D$7,"Other Services"))),"Other Services"))</f>
        <v/>
      </c>
    </row>
    <row r="4076" customFormat="false" ht="15" hidden="false" customHeight="false" outlineLevel="0" collapsed="false">
      <c r="F4076" s="41" t="str">
        <f aca="false">IF(C4076="","",IFERROR(IF(ISNUMBER(SEARCH(Assumptions!$C$5,C4076)),Assumptions!$D$5,IF(ISNUMBER(SEARCH(Assumptions!$C$6,C4076)),Assumptions!$D$6,IF(ISNUMBER(SEARCH(Assumptions!$C$7,C4076)),Assumptions!$D$7,"Other Services"))),"Other Services"))</f>
        <v/>
      </c>
    </row>
    <row r="4077" customFormat="false" ht="15" hidden="false" customHeight="false" outlineLevel="0" collapsed="false">
      <c r="F4077" s="41" t="str">
        <f aca="false">IF(C4077="","",IFERROR(IF(ISNUMBER(SEARCH(Assumptions!$C$5,C4077)),Assumptions!$D$5,IF(ISNUMBER(SEARCH(Assumptions!$C$6,C4077)),Assumptions!$D$6,IF(ISNUMBER(SEARCH(Assumptions!$C$7,C4077)),Assumptions!$D$7,"Other Services"))),"Other Services"))</f>
        <v/>
      </c>
    </row>
    <row r="4078" customFormat="false" ht="15" hidden="false" customHeight="false" outlineLevel="0" collapsed="false">
      <c r="F4078" s="41" t="str">
        <f aca="false">IF(C4078="","",IFERROR(IF(ISNUMBER(SEARCH(Assumptions!$C$5,C4078)),Assumptions!$D$5,IF(ISNUMBER(SEARCH(Assumptions!$C$6,C4078)),Assumptions!$D$6,IF(ISNUMBER(SEARCH(Assumptions!$C$7,C4078)),Assumptions!$D$7,"Other Services"))),"Other Services"))</f>
        <v/>
      </c>
    </row>
    <row r="4079" customFormat="false" ht="15" hidden="false" customHeight="false" outlineLevel="0" collapsed="false">
      <c r="F4079" s="41" t="str">
        <f aca="false">IF(C4079="","",IFERROR(IF(ISNUMBER(SEARCH(Assumptions!$C$5,C4079)),Assumptions!$D$5,IF(ISNUMBER(SEARCH(Assumptions!$C$6,C4079)),Assumptions!$D$6,IF(ISNUMBER(SEARCH(Assumptions!$C$7,C4079)),Assumptions!$D$7,"Other Services"))),"Other Services"))</f>
        <v/>
      </c>
    </row>
    <row r="4080" customFormat="false" ht="15" hidden="false" customHeight="false" outlineLevel="0" collapsed="false">
      <c r="F4080" s="41" t="str">
        <f aca="false">IF(C4080="","",IFERROR(IF(ISNUMBER(SEARCH(Assumptions!$C$5,C4080)),Assumptions!$D$5,IF(ISNUMBER(SEARCH(Assumptions!$C$6,C4080)),Assumptions!$D$6,IF(ISNUMBER(SEARCH(Assumptions!$C$7,C4080)),Assumptions!$D$7,"Other Services"))),"Other Services"))</f>
        <v/>
      </c>
    </row>
    <row r="4081" customFormat="false" ht="15" hidden="false" customHeight="false" outlineLevel="0" collapsed="false">
      <c r="F4081" s="41" t="str">
        <f aca="false">IF(C4081="","",IFERROR(IF(ISNUMBER(SEARCH(Assumptions!$C$5,C4081)),Assumptions!$D$5,IF(ISNUMBER(SEARCH(Assumptions!$C$6,C4081)),Assumptions!$D$6,IF(ISNUMBER(SEARCH(Assumptions!$C$7,C4081)),Assumptions!$D$7,"Other Services"))),"Other Services"))</f>
        <v/>
      </c>
    </row>
    <row r="4082" customFormat="false" ht="15" hidden="false" customHeight="false" outlineLevel="0" collapsed="false">
      <c r="F4082" s="41" t="str">
        <f aca="false">IF(C4082="","",IFERROR(IF(ISNUMBER(SEARCH(Assumptions!$C$5,C4082)),Assumptions!$D$5,IF(ISNUMBER(SEARCH(Assumptions!$C$6,C4082)),Assumptions!$D$6,IF(ISNUMBER(SEARCH(Assumptions!$C$7,C4082)),Assumptions!$D$7,"Other Services"))),"Other Services"))</f>
        <v/>
      </c>
    </row>
    <row r="4083" customFormat="false" ht="15" hidden="false" customHeight="false" outlineLevel="0" collapsed="false">
      <c r="F4083" s="41" t="str">
        <f aca="false">IF(C4083="","",IFERROR(IF(ISNUMBER(SEARCH(Assumptions!$C$5,C4083)),Assumptions!$D$5,IF(ISNUMBER(SEARCH(Assumptions!$C$6,C4083)),Assumptions!$D$6,IF(ISNUMBER(SEARCH(Assumptions!$C$7,C4083)),Assumptions!$D$7,"Other Services"))),"Other Services"))</f>
        <v/>
      </c>
    </row>
    <row r="4084" customFormat="false" ht="15" hidden="false" customHeight="false" outlineLevel="0" collapsed="false">
      <c r="F4084" s="41" t="str">
        <f aca="false">IF(C4084="","",IFERROR(IF(ISNUMBER(SEARCH(Assumptions!$C$5,C4084)),Assumptions!$D$5,IF(ISNUMBER(SEARCH(Assumptions!$C$6,C4084)),Assumptions!$D$6,IF(ISNUMBER(SEARCH(Assumptions!$C$7,C4084)),Assumptions!$D$7,"Other Services"))),"Other Services"))</f>
        <v/>
      </c>
    </row>
    <row r="4085" customFormat="false" ht="15" hidden="false" customHeight="false" outlineLevel="0" collapsed="false">
      <c r="F4085" s="41" t="str">
        <f aca="false">IF(C4085="","",IFERROR(IF(ISNUMBER(SEARCH(Assumptions!$C$5,C4085)),Assumptions!$D$5,IF(ISNUMBER(SEARCH(Assumptions!$C$6,C4085)),Assumptions!$D$6,IF(ISNUMBER(SEARCH(Assumptions!$C$7,C4085)),Assumptions!$D$7,"Other Services"))),"Other Services"))</f>
        <v/>
      </c>
    </row>
    <row r="4086" customFormat="false" ht="15" hidden="false" customHeight="false" outlineLevel="0" collapsed="false">
      <c r="F4086" s="41" t="str">
        <f aca="false">IF(C4086="","",IFERROR(IF(ISNUMBER(SEARCH(Assumptions!$C$5,C4086)),Assumptions!$D$5,IF(ISNUMBER(SEARCH(Assumptions!$C$6,C4086)),Assumptions!$D$6,IF(ISNUMBER(SEARCH(Assumptions!$C$7,C4086)),Assumptions!$D$7,"Other Services"))),"Other Services"))</f>
        <v/>
      </c>
    </row>
    <row r="4087" customFormat="false" ht="15" hidden="false" customHeight="false" outlineLevel="0" collapsed="false">
      <c r="F4087" s="41" t="str">
        <f aca="false">IF(C4087="","",IFERROR(IF(ISNUMBER(SEARCH(Assumptions!$C$5,C4087)),Assumptions!$D$5,IF(ISNUMBER(SEARCH(Assumptions!$C$6,C4087)),Assumptions!$D$6,IF(ISNUMBER(SEARCH(Assumptions!$C$7,C4087)),Assumptions!$D$7,"Other Services"))),"Other Services"))</f>
        <v/>
      </c>
    </row>
    <row r="4088" customFormat="false" ht="15" hidden="false" customHeight="false" outlineLevel="0" collapsed="false">
      <c r="F4088" s="41" t="str">
        <f aca="false">IF(C4088="","",IFERROR(IF(ISNUMBER(SEARCH(Assumptions!$C$5,C4088)),Assumptions!$D$5,IF(ISNUMBER(SEARCH(Assumptions!$C$6,C4088)),Assumptions!$D$6,IF(ISNUMBER(SEARCH(Assumptions!$C$7,C4088)),Assumptions!$D$7,"Other Services"))),"Other Services"))</f>
        <v/>
      </c>
    </row>
    <row r="4089" customFormat="false" ht="15" hidden="false" customHeight="false" outlineLevel="0" collapsed="false">
      <c r="F4089" s="41" t="str">
        <f aca="false">IF(C4089="","",IFERROR(IF(ISNUMBER(SEARCH(Assumptions!$C$5,C4089)),Assumptions!$D$5,IF(ISNUMBER(SEARCH(Assumptions!$C$6,C4089)),Assumptions!$D$6,IF(ISNUMBER(SEARCH(Assumptions!$C$7,C4089)),Assumptions!$D$7,"Other Services"))),"Other Services"))</f>
        <v/>
      </c>
    </row>
    <row r="4090" customFormat="false" ht="15" hidden="false" customHeight="false" outlineLevel="0" collapsed="false">
      <c r="F4090" s="41" t="str">
        <f aca="false">IF(C4090="","",IFERROR(IF(ISNUMBER(SEARCH(Assumptions!$C$5,C4090)),Assumptions!$D$5,IF(ISNUMBER(SEARCH(Assumptions!$C$6,C4090)),Assumptions!$D$6,IF(ISNUMBER(SEARCH(Assumptions!$C$7,C4090)),Assumptions!$D$7,"Other Services"))),"Other Services"))</f>
        <v/>
      </c>
    </row>
    <row r="4091" customFormat="false" ht="15" hidden="false" customHeight="false" outlineLevel="0" collapsed="false">
      <c r="F4091" s="41" t="str">
        <f aca="false">IF(C4091="","",IFERROR(IF(ISNUMBER(SEARCH(Assumptions!$C$5,C4091)),Assumptions!$D$5,IF(ISNUMBER(SEARCH(Assumptions!$C$6,C4091)),Assumptions!$D$6,IF(ISNUMBER(SEARCH(Assumptions!$C$7,C4091)),Assumptions!$D$7,"Other Services"))),"Other Services"))</f>
        <v/>
      </c>
    </row>
    <row r="4092" customFormat="false" ht="15" hidden="false" customHeight="false" outlineLevel="0" collapsed="false">
      <c r="F4092" s="41" t="str">
        <f aca="false">IF(C4092="","",IFERROR(IF(ISNUMBER(SEARCH(Assumptions!$C$5,C4092)),Assumptions!$D$5,IF(ISNUMBER(SEARCH(Assumptions!$C$6,C4092)),Assumptions!$D$6,IF(ISNUMBER(SEARCH(Assumptions!$C$7,C4092)),Assumptions!$D$7,"Other Services"))),"Other Services"))</f>
        <v/>
      </c>
    </row>
    <row r="4093" customFormat="false" ht="15" hidden="false" customHeight="false" outlineLevel="0" collapsed="false">
      <c r="F4093" s="41" t="str">
        <f aca="false">IF(C4093="","",IFERROR(IF(ISNUMBER(SEARCH(Assumptions!$C$5,C4093)),Assumptions!$D$5,IF(ISNUMBER(SEARCH(Assumptions!$C$6,C4093)),Assumptions!$D$6,IF(ISNUMBER(SEARCH(Assumptions!$C$7,C4093)),Assumptions!$D$7,"Other Services"))),"Other Services"))</f>
        <v/>
      </c>
    </row>
    <row r="4094" customFormat="false" ht="15" hidden="false" customHeight="false" outlineLevel="0" collapsed="false">
      <c r="F4094" s="41" t="str">
        <f aca="false">IF(C4094="","",IFERROR(IF(ISNUMBER(SEARCH(Assumptions!$C$5,C4094)),Assumptions!$D$5,IF(ISNUMBER(SEARCH(Assumptions!$C$6,C4094)),Assumptions!$D$6,IF(ISNUMBER(SEARCH(Assumptions!$C$7,C4094)),Assumptions!$D$7,"Other Services"))),"Other Services"))</f>
        <v/>
      </c>
    </row>
    <row r="4095" customFormat="false" ht="15" hidden="false" customHeight="false" outlineLevel="0" collapsed="false">
      <c r="F4095" s="41" t="str">
        <f aca="false">IF(C4095="","",IFERROR(IF(ISNUMBER(SEARCH(Assumptions!$C$5,C4095)),Assumptions!$D$5,IF(ISNUMBER(SEARCH(Assumptions!$C$6,C4095)),Assumptions!$D$6,IF(ISNUMBER(SEARCH(Assumptions!$C$7,C4095)),Assumptions!$D$7,"Other Services"))),"Other Services"))</f>
        <v/>
      </c>
    </row>
    <row r="4096" customFormat="false" ht="15" hidden="false" customHeight="false" outlineLevel="0" collapsed="false">
      <c r="F4096" s="41" t="str">
        <f aca="false">IF(C4096="","",IFERROR(IF(ISNUMBER(SEARCH(Assumptions!$C$5,C4096)),Assumptions!$D$5,IF(ISNUMBER(SEARCH(Assumptions!$C$6,C4096)),Assumptions!$D$6,IF(ISNUMBER(SEARCH(Assumptions!$C$7,C4096)),Assumptions!$D$7,"Other Services"))),"Other Services"))</f>
        <v/>
      </c>
    </row>
    <row r="4097" customFormat="false" ht="15" hidden="false" customHeight="false" outlineLevel="0" collapsed="false">
      <c r="F4097" s="41" t="str">
        <f aca="false">IF(C4097="","",IFERROR(IF(ISNUMBER(SEARCH(Assumptions!$C$5,C4097)),Assumptions!$D$5,IF(ISNUMBER(SEARCH(Assumptions!$C$6,C4097)),Assumptions!$D$6,IF(ISNUMBER(SEARCH(Assumptions!$C$7,C4097)),Assumptions!$D$7,"Other Services"))),"Other Services"))</f>
        <v/>
      </c>
    </row>
    <row r="4098" customFormat="false" ht="15" hidden="false" customHeight="false" outlineLevel="0" collapsed="false">
      <c r="F4098" s="41" t="str">
        <f aca="false">IF(C4098="","",IFERROR(IF(ISNUMBER(SEARCH(Assumptions!$C$5,C4098)),Assumptions!$D$5,IF(ISNUMBER(SEARCH(Assumptions!$C$6,C4098)),Assumptions!$D$6,IF(ISNUMBER(SEARCH(Assumptions!$C$7,C4098)),Assumptions!$D$7,"Other Services"))),"Other Services"))</f>
        <v/>
      </c>
    </row>
    <row r="4099" customFormat="false" ht="15" hidden="false" customHeight="false" outlineLevel="0" collapsed="false">
      <c r="F4099" s="41" t="str">
        <f aca="false">IF(C4099="","",IFERROR(IF(ISNUMBER(SEARCH(Assumptions!$C$5,C4099)),Assumptions!$D$5,IF(ISNUMBER(SEARCH(Assumptions!$C$6,C4099)),Assumptions!$D$6,IF(ISNUMBER(SEARCH(Assumptions!$C$7,C4099)),Assumptions!$D$7,"Other Services"))),"Other Services"))</f>
        <v/>
      </c>
    </row>
    <row r="4100" customFormat="false" ht="15" hidden="false" customHeight="false" outlineLevel="0" collapsed="false">
      <c r="F4100" s="41" t="str">
        <f aca="false">IF(C4100="","",IFERROR(IF(ISNUMBER(SEARCH(Assumptions!$C$5,C4100)),Assumptions!$D$5,IF(ISNUMBER(SEARCH(Assumptions!$C$6,C4100)),Assumptions!$D$6,IF(ISNUMBER(SEARCH(Assumptions!$C$7,C4100)),Assumptions!$D$7,"Other Services"))),"Other Services"))</f>
        <v/>
      </c>
    </row>
    <row r="4101" customFormat="false" ht="15" hidden="false" customHeight="false" outlineLevel="0" collapsed="false">
      <c r="F4101" s="41" t="str">
        <f aca="false">IF(C4101="","",IFERROR(IF(ISNUMBER(SEARCH(Assumptions!$C$5,C4101)),Assumptions!$D$5,IF(ISNUMBER(SEARCH(Assumptions!$C$6,C4101)),Assumptions!$D$6,IF(ISNUMBER(SEARCH(Assumptions!$C$7,C4101)),Assumptions!$D$7,"Other Services"))),"Other Services"))</f>
        <v/>
      </c>
    </row>
    <row r="4102" customFormat="false" ht="15" hidden="false" customHeight="false" outlineLevel="0" collapsed="false">
      <c r="F4102" s="41" t="str">
        <f aca="false">IF(C4102="","",IFERROR(IF(ISNUMBER(SEARCH(Assumptions!$C$5,C4102)),Assumptions!$D$5,IF(ISNUMBER(SEARCH(Assumptions!$C$6,C4102)),Assumptions!$D$6,IF(ISNUMBER(SEARCH(Assumptions!$C$7,C4102)),Assumptions!$D$7,"Other Services"))),"Other Services"))</f>
        <v/>
      </c>
    </row>
    <row r="4103" customFormat="false" ht="15" hidden="false" customHeight="false" outlineLevel="0" collapsed="false">
      <c r="F4103" s="41" t="str">
        <f aca="false">IF(C4103="","",IFERROR(IF(ISNUMBER(SEARCH(Assumptions!$C$5,C4103)),Assumptions!$D$5,IF(ISNUMBER(SEARCH(Assumptions!$C$6,C4103)),Assumptions!$D$6,IF(ISNUMBER(SEARCH(Assumptions!$C$7,C4103)),Assumptions!$D$7,"Other Services"))),"Other Services"))</f>
        <v/>
      </c>
    </row>
    <row r="4104" customFormat="false" ht="15" hidden="false" customHeight="false" outlineLevel="0" collapsed="false">
      <c r="F4104" s="41" t="str">
        <f aca="false">IF(C4104="","",IFERROR(IF(ISNUMBER(SEARCH(Assumptions!$C$5,C4104)),Assumptions!$D$5,IF(ISNUMBER(SEARCH(Assumptions!$C$6,C4104)),Assumptions!$D$6,IF(ISNUMBER(SEARCH(Assumptions!$C$7,C4104)),Assumptions!$D$7,"Other Services"))),"Other Services"))</f>
        <v/>
      </c>
    </row>
    <row r="4105" customFormat="false" ht="15" hidden="false" customHeight="false" outlineLevel="0" collapsed="false">
      <c r="F4105" s="41" t="str">
        <f aca="false">IF(C4105="","",IFERROR(IF(ISNUMBER(SEARCH(Assumptions!$C$5,C4105)),Assumptions!$D$5,IF(ISNUMBER(SEARCH(Assumptions!$C$6,C4105)),Assumptions!$D$6,IF(ISNUMBER(SEARCH(Assumptions!$C$7,C4105)),Assumptions!$D$7,"Other Services"))),"Other Services"))</f>
        <v/>
      </c>
    </row>
    <row r="4106" customFormat="false" ht="15" hidden="false" customHeight="false" outlineLevel="0" collapsed="false">
      <c r="F4106" s="41" t="str">
        <f aca="false">IF(C4106="","",IFERROR(IF(ISNUMBER(SEARCH(Assumptions!$C$5,C4106)),Assumptions!$D$5,IF(ISNUMBER(SEARCH(Assumptions!$C$6,C4106)),Assumptions!$D$6,IF(ISNUMBER(SEARCH(Assumptions!$C$7,C4106)),Assumptions!$D$7,"Other Services"))),"Other Services"))</f>
        <v/>
      </c>
    </row>
    <row r="4107" customFormat="false" ht="15" hidden="false" customHeight="false" outlineLevel="0" collapsed="false">
      <c r="F4107" s="41" t="str">
        <f aca="false">IF(C4107="","",IFERROR(IF(ISNUMBER(SEARCH(Assumptions!$C$5,C4107)),Assumptions!$D$5,IF(ISNUMBER(SEARCH(Assumptions!$C$6,C4107)),Assumptions!$D$6,IF(ISNUMBER(SEARCH(Assumptions!$C$7,C4107)),Assumptions!$D$7,"Other Services"))),"Other Services"))</f>
        <v/>
      </c>
    </row>
    <row r="4108" customFormat="false" ht="15" hidden="false" customHeight="false" outlineLevel="0" collapsed="false">
      <c r="F4108" s="41" t="str">
        <f aca="false">IF(C4108="","",IFERROR(IF(ISNUMBER(SEARCH(Assumptions!$C$5,C4108)),Assumptions!$D$5,IF(ISNUMBER(SEARCH(Assumptions!$C$6,C4108)),Assumptions!$D$6,IF(ISNUMBER(SEARCH(Assumptions!$C$7,C4108)),Assumptions!$D$7,"Other Services"))),"Other Services"))</f>
        <v/>
      </c>
    </row>
    <row r="4109" customFormat="false" ht="15" hidden="false" customHeight="false" outlineLevel="0" collapsed="false">
      <c r="F4109" s="41" t="str">
        <f aca="false">IF(C4109="","",IFERROR(IF(ISNUMBER(SEARCH(Assumptions!$C$5,C4109)),Assumptions!$D$5,IF(ISNUMBER(SEARCH(Assumptions!$C$6,C4109)),Assumptions!$D$6,IF(ISNUMBER(SEARCH(Assumptions!$C$7,C4109)),Assumptions!$D$7,"Other Services"))),"Other Services"))</f>
        <v/>
      </c>
    </row>
    <row r="4110" customFormat="false" ht="15" hidden="false" customHeight="false" outlineLevel="0" collapsed="false">
      <c r="F4110" s="41" t="str">
        <f aca="false">IF(C4110="","",IFERROR(IF(ISNUMBER(SEARCH(Assumptions!$C$5,C4110)),Assumptions!$D$5,IF(ISNUMBER(SEARCH(Assumptions!$C$6,C4110)),Assumptions!$D$6,IF(ISNUMBER(SEARCH(Assumptions!$C$7,C4110)),Assumptions!$D$7,"Other Services"))),"Other Services"))</f>
        <v/>
      </c>
    </row>
    <row r="4111" customFormat="false" ht="15" hidden="false" customHeight="false" outlineLevel="0" collapsed="false">
      <c r="F4111" s="41" t="str">
        <f aca="false">IF(C4111="","",IFERROR(IF(ISNUMBER(SEARCH(Assumptions!$C$5,C4111)),Assumptions!$D$5,IF(ISNUMBER(SEARCH(Assumptions!$C$6,C4111)),Assumptions!$D$6,IF(ISNUMBER(SEARCH(Assumptions!$C$7,C4111)),Assumptions!$D$7,"Other Services"))),"Other Services"))</f>
        <v/>
      </c>
    </row>
    <row r="4112" customFormat="false" ht="15" hidden="false" customHeight="false" outlineLevel="0" collapsed="false">
      <c r="F4112" s="41" t="str">
        <f aca="false">IF(C4112="","",IFERROR(IF(ISNUMBER(SEARCH(Assumptions!$C$5,C4112)),Assumptions!$D$5,IF(ISNUMBER(SEARCH(Assumptions!$C$6,C4112)),Assumptions!$D$6,IF(ISNUMBER(SEARCH(Assumptions!$C$7,C4112)),Assumptions!$D$7,"Other Services"))),"Other Services"))</f>
        <v/>
      </c>
    </row>
    <row r="4113" customFormat="false" ht="15" hidden="false" customHeight="false" outlineLevel="0" collapsed="false">
      <c r="F4113" s="41" t="str">
        <f aca="false">IF(C4113="","",IFERROR(IF(ISNUMBER(SEARCH(Assumptions!$C$5,C4113)),Assumptions!$D$5,IF(ISNUMBER(SEARCH(Assumptions!$C$6,C4113)),Assumptions!$D$6,IF(ISNUMBER(SEARCH(Assumptions!$C$7,C4113)),Assumptions!$D$7,"Other Services"))),"Other Services"))</f>
        <v/>
      </c>
    </row>
    <row r="4114" customFormat="false" ht="15" hidden="false" customHeight="false" outlineLevel="0" collapsed="false">
      <c r="F4114" s="41" t="str">
        <f aca="false">IF(C4114="","",IFERROR(IF(ISNUMBER(SEARCH(Assumptions!$C$5,C4114)),Assumptions!$D$5,IF(ISNUMBER(SEARCH(Assumptions!$C$6,C4114)),Assumptions!$D$6,IF(ISNUMBER(SEARCH(Assumptions!$C$7,C4114)),Assumptions!$D$7,"Other Services"))),"Other Services"))</f>
        <v/>
      </c>
    </row>
    <row r="4115" customFormat="false" ht="15" hidden="false" customHeight="false" outlineLevel="0" collapsed="false">
      <c r="F4115" s="41" t="str">
        <f aca="false">IF(C4115="","",IFERROR(IF(ISNUMBER(SEARCH(Assumptions!$C$5,C4115)),Assumptions!$D$5,IF(ISNUMBER(SEARCH(Assumptions!$C$6,C4115)),Assumptions!$D$6,IF(ISNUMBER(SEARCH(Assumptions!$C$7,C4115)),Assumptions!$D$7,"Other Services"))),"Other Services"))</f>
        <v/>
      </c>
    </row>
    <row r="4116" customFormat="false" ht="15" hidden="false" customHeight="false" outlineLevel="0" collapsed="false">
      <c r="F4116" s="41" t="str">
        <f aca="false">IF(C4116="","",IFERROR(IF(ISNUMBER(SEARCH(Assumptions!$C$5,C4116)),Assumptions!$D$5,IF(ISNUMBER(SEARCH(Assumptions!$C$6,C4116)),Assumptions!$D$6,IF(ISNUMBER(SEARCH(Assumptions!$C$7,C4116)),Assumptions!$D$7,"Other Services"))),"Other Services"))</f>
        <v/>
      </c>
    </row>
    <row r="4117" customFormat="false" ht="15" hidden="false" customHeight="false" outlineLevel="0" collapsed="false">
      <c r="F4117" s="41" t="str">
        <f aca="false">IF(C4117="","",IFERROR(IF(ISNUMBER(SEARCH(Assumptions!$C$5,C4117)),Assumptions!$D$5,IF(ISNUMBER(SEARCH(Assumptions!$C$6,C4117)),Assumptions!$D$6,IF(ISNUMBER(SEARCH(Assumptions!$C$7,C4117)),Assumptions!$D$7,"Other Services"))),"Other Services"))</f>
        <v/>
      </c>
    </row>
    <row r="4118" customFormat="false" ht="15" hidden="false" customHeight="false" outlineLevel="0" collapsed="false">
      <c r="F4118" s="41" t="str">
        <f aca="false">IF(C4118="","",IFERROR(IF(ISNUMBER(SEARCH(Assumptions!$C$5,C4118)),Assumptions!$D$5,IF(ISNUMBER(SEARCH(Assumptions!$C$6,C4118)),Assumptions!$D$6,IF(ISNUMBER(SEARCH(Assumptions!$C$7,C4118)),Assumptions!$D$7,"Other Services"))),"Other Services"))</f>
        <v/>
      </c>
    </row>
    <row r="4119" customFormat="false" ht="15" hidden="false" customHeight="false" outlineLevel="0" collapsed="false">
      <c r="F4119" s="41" t="str">
        <f aca="false">IF(C4119="","",IFERROR(IF(ISNUMBER(SEARCH(Assumptions!$C$5,C4119)),Assumptions!$D$5,IF(ISNUMBER(SEARCH(Assumptions!$C$6,C4119)),Assumptions!$D$6,IF(ISNUMBER(SEARCH(Assumptions!$C$7,C4119)),Assumptions!$D$7,"Other Services"))),"Other Services"))</f>
        <v/>
      </c>
    </row>
    <row r="4120" customFormat="false" ht="15" hidden="false" customHeight="false" outlineLevel="0" collapsed="false">
      <c r="F4120" s="41" t="str">
        <f aca="false">IF(C4120="","",IFERROR(IF(ISNUMBER(SEARCH(Assumptions!$C$5,C4120)),Assumptions!$D$5,IF(ISNUMBER(SEARCH(Assumptions!$C$6,C4120)),Assumptions!$D$6,IF(ISNUMBER(SEARCH(Assumptions!$C$7,C4120)),Assumptions!$D$7,"Other Services"))),"Other Services"))</f>
        <v/>
      </c>
    </row>
    <row r="4121" customFormat="false" ht="15" hidden="false" customHeight="false" outlineLevel="0" collapsed="false">
      <c r="F4121" s="41" t="str">
        <f aca="false">IF(C4121="","",IFERROR(IF(ISNUMBER(SEARCH(Assumptions!$C$5,C4121)),Assumptions!$D$5,IF(ISNUMBER(SEARCH(Assumptions!$C$6,C4121)),Assumptions!$D$6,IF(ISNUMBER(SEARCH(Assumptions!$C$7,C4121)),Assumptions!$D$7,"Other Services"))),"Other Services"))</f>
        <v/>
      </c>
    </row>
    <row r="4122" customFormat="false" ht="15" hidden="false" customHeight="false" outlineLevel="0" collapsed="false">
      <c r="F4122" s="41" t="str">
        <f aca="false">IF(C4122="","",IFERROR(IF(ISNUMBER(SEARCH(Assumptions!$C$5,C4122)),Assumptions!$D$5,IF(ISNUMBER(SEARCH(Assumptions!$C$6,C4122)),Assumptions!$D$6,IF(ISNUMBER(SEARCH(Assumptions!$C$7,C4122)),Assumptions!$D$7,"Other Services"))),"Other Services"))</f>
        <v/>
      </c>
    </row>
    <row r="4123" customFormat="false" ht="15" hidden="false" customHeight="false" outlineLevel="0" collapsed="false">
      <c r="F4123" s="41" t="str">
        <f aca="false">IF(C4123="","",IFERROR(IF(ISNUMBER(SEARCH(Assumptions!$C$5,C4123)),Assumptions!$D$5,IF(ISNUMBER(SEARCH(Assumptions!$C$6,C4123)),Assumptions!$D$6,IF(ISNUMBER(SEARCH(Assumptions!$C$7,C4123)),Assumptions!$D$7,"Other Services"))),"Other Services"))</f>
        <v/>
      </c>
    </row>
    <row r="4124" customFormat="false" ht="15" hidden="false" customHeight="false" outlineLevel="0" collapsed="false">
      <c r="F4124" s="41" t="str">
        <f aca="false">IF(C4124="","",IFERROR(IF(ISNUMBER(SEARCH(Assumptions!$C$5,C4124)),Assumptions!$D$5,IF(ISNUMBER(SEARCH(Assumptions!$C$6,C4124)),Assumptions!$D$6,IF(ISNUMBER(SEARCH(Assumptions!$C$7,C4124)),Assumptions!$D$7,"Other Services"))),"Other Services"))</f>
        <v/>
      </c>
    </row>
    <row r="4125" customFormat="false" ht="15" hidden="false" customHeight="false" outlineLevel="0" collapsed="false">
      <c r="F4125" s="41" t="str">
        <f aca="false">IF(C4125="","",IFERROR(IF(ISNUMBER(SEARCH(Assumptions!$C$5,C4125)),Assumptions!$D$5,IF(ISNUMBER(SEARCH(Assumptions!$C$6,C4125)),Assumptions!$D$6,IF(ISNUMBER(SEARCH(Assumptions!$C$7,C4125)),Assumptions!$D$7,"Other Services"))),"Other Services"))</f>
        <v/>
      </c>
    </row>
    <row r="4126" customFormat="false" ht="15" hidden="false" customHeight="false" outlineLevel="0" collapsed="false">
      <c r="F4126" s="41" t="str">
        <f aca="false">IF(C4126="","",IFERROR(IF(ISNUMBER(SEARCH(Assumptions!$C$5,C4126)),Assumptions!$D$5,IF(ISNUMBER(SEARCH(Assumptions!$C$6,C4126)),Assumptions!$D$6,IF(ISNUMBER(SEARCH(Assumptions!$C$7,C4126)),Assumptions!$D$7,"Other Services"))),"Other Services"))</f>
        <v/>
      </c>
    </row>
    <row r="4127" customFormat="false" ht="15" hidden="false" customHeight="false" outlineLevel="0" collapsed="false">
      <c r="F4127" s="41" t="str">
        <f aca="false">IF(C4127="","",IFERROR(IF(ISNUMBER(SEARCH(Assumptions!$C$5,C4127)),Assumptions!$D$5,IF(ISNUMBER(SEARCH(Assumptions!$C$6,C4127)),Assumptions!$D$6,IF(ISNUMBER(SEARCH(Assumptions!$C$7,C4127)),Assumptions!$D$7,"Other Services"))),"Other Services"))</f>
        <v/>
      </c>
    </row>
    <row r="4128" customFormat="false" ht="15" hidden="false" customHeight="false" outlineLevel="0" collapsed="false">
      <c r="F4128" s="41" t="str">
        <f aca="false">IF(C4128="","",IFERROR(IF(ISNUMBER(SEARCH(Assumptions!$C$5,C4128)),Assumptions!$D$5,IF(ISNUMBER(SEARCH(Assumptions!$C$6,C4128)),Assumptions!$D$6,IF(ISNUMBER(SEARCH(Assumptions!$C$7,C4128)),Assumptions!$D$7,"Other Services"))),"Other Services"))</f>
        <v/>
      </c>
    </row>
    <row r="4129" customFormat="false" ht="15" hidden="false" customHeight="false" outlineLevel="0" collapsed="false">
      <c r="F4129" s="41" t="str">
        <f aca="false">IF(C4129="","",IFERROR(IF(ISNUMBER(SEARCH(Assumptions!$C$5,C4129)),Assumptions!$D$5,IF(ISNUMBER(SEARCH(Assumptions!$C$6,C4129)),Assumptions!$D$6,IF(ISNUMBER(SEARCH(Assumptions!$C$7,C4129)),Assumptions!$D$7,"Other Services"))),"Other Services"))</f>
        <v/>
      </c>
    </row>
    <row r="4130" customFormat="false" ht="15" hidden="false" customHeight="false" outlineLevel="0" collapsed="false">
      <c r="F4130" s="41" t="str">
        <f aca="false">IF(C4130="","",IFERROR(IF(ISNUMBER(SEARCH(Assumptions!$C$5,C4130)),Assumptions!$D$5,IF(ISNUMBER(SEARCH(Assumptions!$C$6,C4130)),Assumptions!$D$6,IF(ISNUMBER(SEARCH(Assumptions!$C$7,C4130)),Assumptions!$D$7,"Other Services"))),"Other Services"))</f>
        <v/>
      </c>
    </row>
    <row r="4131" customFormat="false" ht="15" hidden="false" customHeight="false" outlineLevel="0" collapsed="false">
      <c r="F4131" s="41" t="str">
        <f aca="false">IF(C4131="","",IFERROR(IF(ISNUMBER(SEARCH(Assumptions!$C$5,C4131)),Assumptions!$D$5,IF(ISNUMBER(SEARCH(Assumptions!$C$6,C4131)),Assumptions!$D$6,IF(ISNUMBER(SEARCH(Assumptions!$C$7,C4131)),Assumptions!$D$7,"Other Services"))),"Other Services"))</f>
        <v/>
      </c>
    </row>
    <row r="4132" customFormat="false" ht="15" hidden="false" customHeight="false" outlineLevel="0" collapsed="false">
      <c r="F4132" s="41" t="str">
        <f aca="false">IF(C4132="","",IFERROR(IF(ISNUMBER(SEARCH(Assumptions!$C$5,C4132)),Assumptions!$D$5,IF(ISNUMBER(SEARCH(Assumptions!$C$6,C4132)),Assumptions!$D$6,IF(ISNUMBER(SEARCH(Assumptions!$C$7,C4132)),Assumptions!$D$7,"Other Services"))),"Other Services"))</f>
        <v/>
      </c>
    </row>
    <row r="4133" customFormat="false" ht="15" hidden="false" customHeight="false" outlineLevel="0" collapsed="false">
      <c r="F4133" s="41" t="str">
        <f aca="false">IF(C4133="","",IFERROR(IF(ISNUMBER(SEARCH(Assumptions!$C$5,C4133)),Assumptions!$D$5,IF(ISNUMBER(SEARCH(Assumptions!$C$6,C4133)),Assumptions!$D$6,IF(ISNUMBER(SEARCH(Assumptions!$C$7,C4133)),Assumptions!$D$7,"Other Services"))),"Other Services"))</f>
        <v/>
      </c>
    </row>
    <row r="4134" customFormat="false" ht="15" hidden="false" customHeight="false" outlineLevel="0" collapsed="false">
      <c r="F4134" s="41" t="str">
        <f aca="false">IF(C4134="","",IFERROR(IF(ISNUMBER(SEARCH(Assumptions!$C$5,C4134)),Assumptions!$D$5,IF(ISNUMBER(SEARCH(Assumptions!$C$6,C4134)),Assumptions!$D$6,IF(ISNUMBER(SEARCH(Assumptions!$C$7,C4134)),Assumptions!$D$7,"Other Services"))),"Other Services"))</f>
        <v/>
      </c>
    </row>
    <row r="4135" customFormat="false" ht="15" hidden="false" customHeight="false" outlineLevel="0" collapsed="false">
      <c r="F4135" s="41" t="str">
        <f aca="false">IF(C4135="","",IFERROR(IF(ISNUMBER(SEARCH(Assumptions!$C$5,C4135)),Assumptions!$D$5,IF(ISNUMBER(SEARCH(Assumptions!$C$6,C4135)),Assumptions!$D$6,IF(ISNUMBER(SEARCH(Assumptions!$C$7,C4135)),Assumptions!$D$7,"Other Services"))),"Other Services"))</f>
        <v/>
      </c>
    </row>
    <row r="4136" customFormat="false" ht="15" hidden="false" customHeight="false" outlineLevel="0" collapsed="false">
      <c r="F4136" s="41" t="str">
        <f aca="false">IF(C4136="","",IFERROR(IF(ISNUMBER(SEARCH(Assumptions!$C$5,C4136)),Assumptions!$D$5,IF(ISNUMBER(SEARCH(Assumptions!$C$6,C4136)),Assumptions!$D$6,IF(ISNUMBER(SEARCH(Assumptions!$C$7,C4136)),Assumptions!$D$7,"Other Services"))),"Other Services"))</f>
        <v/>
      </c>
    </row>
    <row r="4137" customFormat="false" ht="15" hidden="false" customHeight="false" outlineLevel="0" collapsed="false">
      <c r="F4137" s="41" t="str">
        <f aca="false">IF(C4137="","",IFERROR(IF(ISNUMBER(SEARCH(Assumptions!$C$5,C4137)),Assumptions!$D$5,IF(ISNUMBER(SEARCH(Assumptions!$C$6,C4137)),Assumptions!$D$6,IF(ISNUMBER(SEARCH(Assumptions!$C$7,C4137)),Assumptions!$D$7,"Other Services"))),"Other Services"))</f>
        <v/>
      </c>
    </row>
    <row r="4138" customFormat="false" ht="15" hidden="false" customHeight="false" outlineLevel="0" collapsed="false">
      <c r="F4138" s="41" t="str">
        <f aca="false">IF(C4138="","",IFERROR(IF(ISNUMBER(SEARCH(Assumptions!$C$5,C4138)),Assumptions!$D$5,IF(ISNUMBER(SEARCH(Assumptions!$C$6,C4138)),Assumptions!$D$6,IF(ISNUMBER(SEARCH(Assumptions!$C$7,C4138)),Assumptions!$D$7,"Other Services"))),"Other Services"))</f>
        <v/>
      </c>
    </row>
    <row r="4139" customFormat="false" ht="15" hidden="false" customHeight="false" outlineLevel="0" collapsed="false">
      <c r="F4139" s="41" t="str">
        <f aca="false">IF(C4139="","",IFERROR(IF(ISNUMBER(SEARCH(Assumptions!$C$5,C4139)),Assumptions!$D$5,IF(ISNUMBER(SEARCH(Assumptions!$C$6,C4139)),Assumptions!$D$6,IF(ISNUMBER(SEARCH(Assumptions!$C$7,C4139)),Assumptions!$D$7,"Other Services"))),"Other Services"))</f>
        <v/>
      </c>
    </row>
    <row r="4140" customFormat="false" ht="15" hidden="false" customHeight="false" outlineLevel="0" collapsed="false">
      <c r="F4140" s="41" t="str">
        <f aca="false">IF(C4140="","",IFERROR(IF(ISNUMBER(SEARCH(Assumptions!$C$5,C4140)),Assumptions!$D$5,IF(ISNUMBER(SEARCH(Assumptions!$C$6,C4140)),Assumptions!$D$6,IF(ISNUMBER(SEARCH(Assumptions!$C$7,C4140)),Assumptions!$D$7,"Other Services"))),"Other Services"))</f>
        <v/>
      </c>
    </row>
    <row r="4141" customFormat="false" ht="15" hidden="false" customHeight="false" outlineLevel="0" collapsed="false">
      <c r="F4141" s="41" t="str">
        <f aca="false">IF(C4141="","",IFERROR(IF(ISNUMBER(SEARCH(Assumptions!$C$5,C4141)),Assumptions!$D$5,IF(ISNUMBER(SEARCH(Assumptions!$C$6,C4141)),Assumptions!$D$6,IF(ISNUMBER(SEARCH(Assumptions!$C$7,C4141)),Assumptions!$D$7,"Other Services"))),"Other Services"))</f>
        <v/>
      </c>
    </row>
    <row r="4142" customFormat="false" ht="15" hidden="false" customHeight="false" outlineLevel="0" collapsed="false">
      <c r="F4142" s="41" t="str">
        <f aca="false">IF(C4142="","",IFERROR(IF(ISNUMBER(SEARCH(Assumptions!$C$5,C4142)),Assumptions!$D$5,IF(ISNUMBER(SEARCH(Assumptions!$C$6,C4142)),Assumptions!$D$6,IF(ISNUMBER(SEARCH(Assumptions!$C$7,C4142)),Assumptions!$D$7,"Other Services"))),"Other Services"))</f>
        <v/>
      </c>
    </row>
    <row r="4143" customFormat="false" ht="15" hidden="false" customHeight="false" outlineLevel="0" collapsed="false">
      <c r="F4143" s="41" t="str">
        <f aca="false">IF(C4143="","",IFERROR(IF(ISNUMBER(SEARCH(Assumptions!$C$5,C4143)),Assumptions!$D$5,IF(ISNUMBER(SEARCH(Assumptions!$C$6,C4143)),Assumptions!$D$6,IF(ISNUMBER(SEARCH(Assumptions!$C$7,C4143)),Assumptions!$D$7,"Other Services"))),"Other Services"))</f>
        <v/>
      </c>
    </row>
    <row r="4144" customFormat="false" ht="15" hidden="false" customHeight="false" outlineLevel="0" collapsed="false">
      <c r="F4144" s="41" t="str">
        <f aca="false">IF(C4144="","",IFERROR(IF(ISNUMBER(SEARCH(Assumptions!$C$5,C4144)),Assumptions!$D$5,IF(ISNUMBER(SEARCH(Assumptions!$C$6,C4144)),Assumptions!$D$6,IF(ISNUMBER(SEARCH(Assumptions!$C$7,C4144)),Assumptions!$D$7,"Other Services"))),"Other Services"))</f>
        <v/>
      </c>
    </row>
    <row r="4145" customFormat="false" ht="15" hidden="false" customHeight="false" outlineLevel="0" collapsed="false">
      <c r="F4145" s="41" t="str">
        <f aca="false">IF(C4145="","",IFERROR(IF(ISNUMBER(SEARCH(Assumptions!$C$5,C4145)),Assumptions!$D$5,IF(ISNUMBER(SEARCH(Assumptions!$C$6,C4145)),Assumptions!$D$6,IF(ISNUMBER(SEARCH(Assumptions!$C$7,C4145)),Assumptions!$D$7,"Other Services"))),"Other Services"))</f>
        <v/>
      </c>
    </row>
    <row r="4146" customFormat="false" ht="15" hidden="false" customHeight="false" outlineLevel="0" collapsed="false">
      <c r="F4146" s="41" t="str">
        <f aca="false">IF(C4146="","",IFERROR(IF(ISNUMBER(SEARCH(Assumptions!$C$5,C4146)),Assumptions!$D$5,IF(ISNUMBER(SEARCH(Assumptions!$C$6,C4146)),Assumptions!$D$6,IF(ISNUMBER(SEARCH(Assumptions!$C$7,C4146)),Assumptions!$D$7,"Other Services"))),"Other Services"))</f>
        <v/>
      </c>
    </row>
    <row r="4147" customFormat="false" ht="15" hidden="false" customHeight="false" outlineLevel="0" collapsed="false">
      <c r="F4147" s="41" t="str">
        <f aca="false">IF(C4147="","",IFERROR(IF(ISNUMBER(SEARCH(Assumptions!$C$5,C4147)),Assumptions!$D$5,IF(ISNUMBER(SEARCH(Assumptions!$C$6,C4147)),Assumptions!$D$6,IF(ISNUMBER(SEARCH(Assumptions!$C$7,C4147)),Assumptions!$D$7,"Other Services"))),"Other Services"))</f>
        <v/>
      </c>
    </row>
    <row r="4148" customFormat="false" ht="15" hidden="false" customHeight="false" outlineLevel="0" collapsed="false">
      <c r="F4148" s="41" t="str">
        <f aca="false">IF(C4148="","",IFERROR(IF(ISNUMBER(SEARCH(Assumptions!$C$5,C4148)),Assumptions!$D$5,IF(ISNUMBER(SEARCH(Assumptions!$C$6,C4148)),Assumptions!$D$6,IF(ISNUMBER(SEARCH(Assumptions!$C$7,C4148)),Assumptions!$D$7,"Other Services"))),"Other Services"))</f>
        <v/>
      </c>
    </row>
    <row r="4149" customFormat="false" ht="15" hidden="false" customHeight="false" outlineLevel="0" collapsed="false">
      <c r="F4149" s="41" t="str">
        <f aca="false">IF(C4149="","",IFERROR(IF(ISNUMBER(SEARCH(Assumptions!$C$5,C4149)),Assumptions!$D$5,IF(ISNUMBER(SEARCH(Assumptions!$C$6,C4149)),Assumptions!$D$6,IF(ISNUMBER(SEARCH(Assumptions!$C$7,C4149)),Assumptions!$D$7,"Other Services"))),"Other Services"))</f>
        <v/>
      </c>
    </row>
    <row r="4150" customFormat="false" ht="15" hidden="false" customHeight="false" outlineLevel="0" collapsed="false">
      <c r="F4150" s="41" t="str">
        <f aca="false">IF(C4150="","",IFERROR(IF(ISNUMBER(SEARCH(Assumptions!$C$5,C4150)),Assumptions!$D$5,IF(ISNUMBER(SEARCH(Assumptions!$C$6,C4150)),Assumptions!$D$6,IF(ISNUMBER(SEARCH(Assumptions!$C$7,C4150)),Assumptions!$D$7,"Other Services"))),"Other Services"))</f>
        <v/>
      </c>
    </row>
    <row r="4151" customFormat="false" ht="15" hidden="false" customHeight="false" outlineLevel="0" collapsed="false">
      <c r="F4151" s="41" t="str">
        <f aca="false">IF(C4151="","",IFERROR(IF(ISNUMBER(SEARCH(Assumptions!$C$5,C4151)),Assumptions!$D$5,IF(ISNUMBER(SEARCH(Assumptions!$C$6,C4151)),Assumptions!$D$6,IF(ISNUMBER(SEARCH(Assumptions!$C$7,C4151)),Assumptions!$D$7,"Other Services"))),"Other Services"))</f>
        <v/>
      </c>
    </row>
    <row r="4152" customFormat="false" ht="15" hidden="false" customHeight="false" outlineLevel="0" collapsed="false">
      <c r="F4152" s="41" t="str">
        <f aca="false">IF(C4152="","",IFERROR(IF(ISNUMBER(SEARCH(Assumptions!$C$5,C4152)),Assumptions!$D$5,IF(ISNUMBER(SEARCH(Assumptions!$C$6,C4152)),Assumptions!$D$6,IF(ISNUMBER(SEARCH(Assumptions!$C$7,C4152)),Assumptions!$D$7,"Other Services"))),"Other Services"))</f>
        <v/>
      </c>
    </row>
    <row r="4153" customFormat="false" ht="15" hidden="false" customHeight="false" outlineLevel="0" collapsed="false">
      <c r="F4153" s="41" t="str">
        <f aca="false">IF(C4153="","",IFERROR(IF(ISNUMBER(SEARCH(Assumptions!$C$5,C4153)),Assumptions!$D$5,IF(ISNUMBER(SEARCH(Assumptions!$C$6,C4153)),Assumptions!$D$6,IF(ISNUMBER(SEARCH(Assumptions!$C$7,C4153)),Assumptions!$D$7,"Other Services"))),"Other Services"))</f>
        <v/>
      </c>
    </row>
    <row r="4154" customFormat="false" ht="15" hidden="false" customHeight="false" outlineLevel="0" collapsed="false">
      <c r="F4154" s="41" t="str">
        <f aca="false">IF(C4154="","",IFERROR(IF(ISNUMBER(SEARCH(Assumptions!$C$5,C4154)),Assumptions!$D$5,IF(ISNUMBER(SEARCH(Assumptions!$C$6,C4154)),Assumptions!$D$6,IF(ISNUMBER(SEARCH(Assumptions!$C$7,C4154)),Assumptions!$D$7,"Other Services"))),"Other Services"))</f>
        <v/>
      </c>
    </row>
    <row r="4155" customFormat="false" ht="15" hidden="false" customHeight="false" outlineLevel="0" collapsed="false">
      <c r="F4155" s="41" t="str">
        <f aca="false">IF(C4155="","",IFERROR(IF(ISNUMBER(SEARCH(Assumptions!$C$5,C4155)),Assumptions!$D$5,IF(ISNUMBER(SEARCH(Assumptions!$C$6,C4155)),Assumptions!$D$6,IF(ISNUMBER(SEARCH(Assumptions!$C$7,C4155)),Assumptions!$D$7,"Other Services"))),"Other Services"))</f>
        <v/>
      </c>
    </row>
    <row r="4156" customFormat="false" ht="15" hidden="false" customHeight="false" outlineLevel="0" collapsed="false">
      <c r="F4156" s="41" t="str">
        <f aca="false">IF(C4156="","",IFERROR(IF(ISNUMBER(SEARCH(Assumptions!$C$5,C4156)),Assumptions!$D$5,IF(ISNUMBER(SEARCH(Assumptions!$C$6,C4156)),Assumptions!$D$6,IF(ISNUMBER(SEARCH(Assumptions!$C$7,C4156)),Assumptions!$D$7,"Other Services"))),"Other Services"))</f>
        <v/>
      </c>
    </row>
    <row r="4157" customFormat="false" ht="15" hidden="false" customHeight="false" outlineLevel="0" collapsed="false">
      <c r="F4157" s="41" t="str">
        <f aca="false">IF(C4157="","",IFERROR(IF(ISNUMBER(SEARCH(Assumptions!$C$5,C4157)),Assumptions!$D$5,IF(ISNUMBER(SEARCH(Assumptions!$C$6,C4157)),Assumptions!$D$6,IF(ISNUMBER(SEARCH(Assumptions!$C$7,C4157)),Assumptions!$D$7,"Other Services"))),"Other Services"))</f>
        <v/>
      </c>
    </row>
    <row r="4158" customFormat="false" ht="15" hidden="false" customHeight="false" outlineLevel="0" collapsed="false">
      <c r="F4158" s="41" t="str">
        <f aca="false">IF(C4158="","",IFERROR(IF(ISNUMBER(SEARCH(Assumptions!$C$5,C4158)),Assumptions!$D$5,IF(ISNUMBER(SEARCH(Assumptions!$C$6,C4158)),Assumptions!$D$6,IF(ISNUMBER(SEARCH(Assumptions!$C$7,C4158)),Assumptions!$D$7,"Other Services"))),"Other Services"))</f>
        <v/>
      </c>
    </row>
    <row r="4159" customFormat="false" ht="15" hidden="false" customHeight="false" outlineLevel="0" collapsed="false">
      <c r="F4159" s="41" t="str">
        <f aca="false">IF(C4159="","",IFERROR(IF(ISNUMBER(SEARCH(Assumptions!$C$5,C4159)),Assumptions!$D$5,IF(ISNUMBER(SEARCH(Assumptions!$C$6,C4159)),Assumptions!$D$6,IF(ISNUMBER(SEARCH(Assumptions!$C$7,C4159)),Assumptions!$D$7,"Other Services"))),"Other Services"))</f>
        <v/>
      </c>
    </row>
    <row r="4160" customFormat="false" ht="15" hidden="false" customHeight="false" outlineLevel="0" collapsed="false">
      <c r="F4160" s="41" t="str">
        <f aca="false">IF(C4160="","",IFERROR(IF(ISNUMBER(SEARCH(Assumptions!$C$5,C4160)),Assumptions!$D$5,IF(ISNUMBER(SEARCH(Assumptions!$C$6,C4160)),Assumptions!$D$6,IF(ISNUMBER(SEARCH(Assumptions!$C$7,C4160)),Assumptions!$D$7,"Other Services"))),"Other Services"))</f>
        <v/>
      </c>
    </row>
    <row r="4161" customFormat="false" ht="15" hidden="false" customHeight="false" outlineLevel="0" collapsed="false">
      <c r="F4161" s="41" t="str">
        <f aca="false">IF(C4161="","",IFERROR(IF(ISNUMBER(SEARCH(Assumptions!$C$5,C4161)),Assumptions!$D$5,IF(ISNUMBER(SEARCH(Assumptions!$C$6,C4161)),Assumptions!$D$6,IF(ISNUMBER(SEARCH(Assumptions!$C$7,C4161)),Assumptions!$D$7,"Other Services"))),"Other Services"))</f>
        <v/>
      </c>
    </row>
    <row r="4162" customFormat="false" ht="15" hidden="false" customHeight="false" outlineLevel="0" collapsed="false">
      <c r="F4162" s="41" t="str">
        <f aca="false">IF(C4162="","",IFERROR(IF(ISNUMBER(SEARCH(Assumptions!$C$5,C4162)),Assumptions!$D$5,IF(ISNUMBER(SEARCH(Assumptions!$C$6,C4162)),Assumptions!$D$6,IF(ISNUMBER(SEARCH(Assumptions!$C$7,C4162)),Assumptions!$D$7,"Other Services"))),"Other Services"))</f>
        <v/>
      </c>
    </row>
    <row r="4163" customFormat="false" ht="15" hidden="false" customHeight="false" outlineLevel="0" collapsed="false">
      <c r="F4163" s="41" t="str">
        <f aca="false">IF(C4163="","",IFERROR(IF(ISNUMBER(SEARCH(Assumptions!$C$5,C4163)),Assumptions!$D$5,IF(ISNUMBER(SEARCH(Assumptions!$C$6,C4163)),Assumptions!$D$6,IF(ISNUMBER(SEARCH(Assumptions!$C$7,C4163)),Assumptions!$D$7,"Other Services"))),"Other Services"))</f>
        <v/>
      </c>
    </row>
    <row r="4164" customFormat="false" ht="15" hidden="false" customHeight="false" outlineLevel="0" collapsed="false">
      <c r="F4164" s="41" t="str">
        <f aca="false">IF(C4164="","",IFERROR(IF(ISNUMBER(SEARCH(Assumptions!$C$5,C4164)),Assumptions!$D$5,IF(ISNUMBER(SEARCH(Assumptions!$C$6,C4164)),Assumptions!$D$6,IF(ISNUMBER(SEARCH(Assumptions!$C$7,C4164)),Assumptions!$D$7,"Other Services"))),"Other Services"))</f>
        <v/>
      </c>
    </row>
    <row r="4165" customFormat="false" ht="15" hidden="false" customHeight="false" outlineLevel="0" collapsed="false">
      <c r="F4165" s="41" t="str">
        <f aca="false">IF(C4165="","",IFERROR(IF(ISNUMBER(SEARCH(Assumptions!$C$5,C4165)),Assumptions!$D$5,IF(ISNUMBER(SEARCH(Assumptions!$C$6,C4165)),Assumptions!$D$6,IF(ISNUMBER(SEARCH(Assumptions!$C$7,C4165)),Assumptions!$D$7,"Other Services"))),"Other Services"))</f>
        <v/>
      </c>
    </row>
    <row r="4166" customFormat="false" ht="15" hidden="false" customHeight="false" outlineLevel="0" collapsed="false">
      <c r="F4166" s="41" t="str">
        <f aca="false">IF(C4166="","",IFERROR(IF(ISNUMBER(SEARCH(Assumptions!$C$5,C4166)),Assumptions!$D$5,IF(ISNUMBER(SEARCH(Assumptions!$C$6,C4166)),Assumptions!$D$6,IF(ISNUMBER(SEARCH(Assumptions!$C$7,C4166)),Assumptions!$D$7,"Other Services"))),"Other Services"))</f>
        <v/>
      </c>
    </row>
    <row r="4167" customFormat="false" ht="15" hidden="false" customHeight="false" outlineLevel="0" collapsed="false">
      <c r="F4167" s="41" t="str">
        <f aca="false">IF(C4167="","",IFERROR(IF(ISNUMBER(SEARCH(Assumptions!$C$5,C4167)),Assumptions!$D$5,IF(ISNUMBER(SEARCH(Assumptions!$C$6,C4167)),Assumptions!$D$6,IF(ISNUMBER(SEARCH(Assumptions!$C$7,C4167)),Assumptions!$D$7,"Other Services"))),"Other Services"))</f>
        <v/>
      </c>
    </row>
    <row r="4168" customFormat="false" ht="15" hidden="false" customHeight="false" outlineLevel="0" collapsed="false">
      <c r="F4168" s="41" t="str">
        <f aca="false">IF(C4168="","",IFERROR(IF(ISNUMBER(SEARCH(Assumptions!$C$5,C4168)),Assumptions!$D$5,IF(ISNUMBER(SEARCH(Assumptions!$C$6,C4168)),Assumptions!$D$6,IF(ISNUMBER(SEARCH(Assumptions!$C$7,C4168)),Assumptions!$D$7,"Other Services"))),"Other Services"))</f>
        <v/>
      </c>
    </row>
    <row r="4169" customFormat="false" ht="15" hidden="false" customHeight="false" outlineLevel="0" collapsed="false">
      <c r="F4169" s="41" t="str">
        <f aca="false">IF(C4169="","",IFERROR(IF(ISNUMBER(SEARCH(Assumptions!$C$5,C4169)),Assumptions!$D$5,IF(ISNUMBER(SEARCH(Assumptions!$C$6,C4169)),Assumptions!$D$6,IF(ISNUMBER(SEARCH(Assumptions!$C$7,C4169)),Assumptions!$D$7,"Other Services"))),"Other Services"))</f>
        <v/>
      </c>
    </row>
    <row r="4170" customFormat="false" ht="15" hidden="false" customHeight="false" outlineLevel="0" collapsed="false">
      <c r="F4170" s="41" t="str">
        <f aca="false">IF(C4170="","",IFERROR(IF(ISNUMBER(SEARCH(Assumptions!$C$5,C4170)),Assumptions!$D$5,IF(ISNUMBER(SEARCH(Assumptions!$C$6,C4170)),Assumptions!$D$6,IF(ISNUMBER(SEARCH(Assumptions!$C$7,C4170)),Assumptions!$D$7,"Other Services"))),"Other Services"))</f>
        <v/>
      </c>
    </row>
    <row r="4171" customFormat="false" ht="15" hidden="false" customHeight="false" outlineLevel="0" collapsed="false">
      <c r="F4171" s="41" t="str">
        <f aca="false">IF(C4171="","",IFERROR(IF(ISNUMBER(SEARCH(Assumptions!$C$5,C4171)),Assumptions!$D$5,IF(ISNUMBER(SEARCH(Assumptions!$C$6,C4171)),Assumptions!$D$6,IF(ISNUMBER(SEARCH(Assumptions!$C$7,C4171)),Assumptions!$D$7,"Other Services"))),"Other Services"))</f>
        <v/>
      </c>
    </row>
    <row r="4172" customFormat="false" ht="15" hidden="false" customHeight="false" outlineLevel="0" collapsed="false">
      <c r="F4172" s="41" t="str">
        <f aca="false">IF(C4172="","",IFERROR(IF(ISNUMBER(SEARCH(Assumptions!$C$5,C4172)),Assumptions!$D$5,IF(ISNUMBER(SEARCH(Assumptions!$C$6,C4172)),Assumptions!$D$6,IF(ISNUMBER(SEARCH(Assumptions!$C$7,C4172)),Assumptions!$D$7,"Other Services"))),"Other Services"))</f>
        <v/>
      </c>
    </row>
    <row r="4173" customFormat="false" ht="15" hidden="false" customHeight="false" outlineLevel="0" collapsed="false">
      <c r="F4173" s="41" t="str">
        <f aca="false">IF(C4173="","",IFERROR(IF(ISNUMBER(SEARCH(Assumptions!$C$5,C4173)),Assumptions!$D$5,IF(ISNUMBER(SEARCH(Assumptions!$C$6,C4173)),Assumptions!$D$6,IF(ISNUMBER(SEARCH(Assumptions!$C$7,C4173)),Assumptions!$D$7,"Other Services"))),"Other Services"))</f>
        <v/>
      </c>
    </row>
    <row r="4174" customFormat="false" ht="15" hidden="false" customHeight="false" outlineLevel="0" collapsed="false">
      <c r="F4174" s="41" t="str">
        <f aca="false">IF(C4174="","",IFERROR(IF(ISNUMBER(SEARCH(Assumptions!$C$5,C4174)),Assumptions!$D$5,IF(ISNUMBER(SEARCH(Assumptions!$C$6,C4174)),Assumptions!$D$6,IF(ISNUMBER(SEARCH(Assumptions!$C$7,C4174)),Assumptions!$D$7,"Other Services"))),"Other Services"))</f>
        <v/>
      </c>
    </row>
    <row r="4175" customFormat="false" ht="15" hidden="false" customHeight="false" outlineLevel="0" collapsed="false">
      <c r="F4175" s="41" t="str">
        <f aca="false">IF(C4175="","",IFERROR(IF(ISNUMBER(SEARCH(Assumptions!$C$5,C4175)),Assumptions!$D$5,IF(ISNUMBER(SEARCH(Assumptions!$C$6,C4175)),Assumptions!$D$6,IF(ISNUMBER(SEARCH(Assumptions!$C$7,C4175)),Assumptions!$D$7,"Other Services"))),"Other Services"))</f>
        <v/>
      </c>
    </row>
    <row r="4176" customFormat="false" ht="15" hidden="false" customHeight="false" outlineLevel="0" collapsed="false">
      <c r="F4176" s="41" t="str">
        <f aca="false">IF(C4176="","",IFERROR(IF(ISNUMBER(SEARCH(Assumptions!$C$5,C4176)),Assumptions!$D$5,IF(ISNUMBER(SEARCH(Assumptions!$C$6,C4176)),Assumptions!$D$6,IF(ISNUMBER(SEARCH(Assumptions!$C$7,C4176)),Assumptions!$D$7,"Other Services"))),"Other Services"))</f>
        <v/>
      </c>
    </row>
    <row r="4177" customFormat="false" ht="15" hidden="false" customHeight="false" outlineLevel="0" collapsed="false">
      <c r="F4177" s="41" t="str">
        <f aca="false">IF(C4177="","",IFERROR(IF(ISNUMBER(SEARCH(Assumptions!$C$5,C4177)),Assumptions!$D$5,IF(ISNUMBER(SEARCH(Assumptions!$C$6,C4177)),Assumptions!$D$6,IF(ISNUMBER(SEARCH(Assumptions!$C$7,C4177)),Assumptions!$D$7,"Other Services"))),"Other Services"))</f>
        <v/>
      </c>
    </row>
    <row r="4178" customFormat="false" ht="15" hidden="false" customHeight="false" outlineLevel="0" collapsed="false">
      <c r="F4178" s="41" t="str">
        <f aca="false">IF(C4178="","",IFERROR(IF(ISNUMBER(SEARCH(Assumptions!$C$5,C4178)),Assumptions!$D$5,IF(ISNUMBER(SEARCH(Assumptions!$C$6,C4178)),Assumptions!$D$6,IF(ISNUMBER(SEARCH(Assumptions!$C$7,C4178)),Assumptions!$D$7,"Other Services"))),"Other Services"))</f>
        <v/>
      </c>
    </row>
    <row r="4179" customFormat="false" ht="15" hidden="false" customHeight="false" outlineLevel="0" collapsed="false">
      <c r="F4179" s="41" t="str">
        <f aca="false">IF(C4179="","",IFERROR(IF(ISNUMBER(SEARCH(Assumptions!$C$5,C4179)),Assumptions!$D$5,IF(ISNUMBER(SEARCH(Assumptions!$C$6,C4179)),Assumptions!$D$6,IF(ISNUMBER(SEARCH(Assumptions!$C$7,C4179)),Assumptions!$D$7,"Other Services"))),"Other Services"))</f>
        <v/>
      </c>
    </row>
    <row r="4180" customFormat="false" ht="15" hidden="false" customHeight="false" outlineLevel="0" collapsed="false">
      <c r="F4180" s="41" t="str">
        <f aca="false">IF(C4180="","",IFERROR(IF(ISNUMBER(SEARCH(Assumptions!$C$5,C4180)),Assumptions!$D$5,IF(ISNUMBER(SEARCH(Assumptions!$C$6,C4180)),Assumptions!$D$6,IF(ISNUMBER(SEARCH(Assumptions!$C$7,C4180)),Assumptions!$D$7,"Other Services"))),"Other Services"))</f>
        <v/>
      </c>
    </row>
    <row r="4181" customFormat="false" ht="15" hidden="false" customHeight="false" outlineLevel="0" collapsed="false">
      <c r="F4181" s="41" t="str">
        <f aca="false">IF(C4181="","",IFERROR(IF(ISNUMBER(SEARCH(Assumptions!$C$5,C4181)),Assumptions!$D$5,IF(ISNUMBER(SEARCH(Assumptions!$C$6,C4181)),Assumptions!$D$6,IF(ISNUMBER(SEARCH(Assumptions!$C$7,C4181)),Assumptions!$D$7,"Other Services"))),"Other Services"))</f>
        <v/>
      </c>
    </row>
    <row r="4182" customFormat="false" ht="15" hidden="false" customHeight="false" outlineLevel="0" collapsed="false">
      <c r="F4182" s="41" t="str">
        <f aca="false">IF(C4182="","",IFERROR(IF(ISNUMBER(SEARCH(Assumptions!$C$5,C4182)),Assumptions!$D$5,IF(ISNUMBER(SEARCH(Assumptions!$C$6,C4182)),Assumptions!$D$6,IF(ISNUMBER(SEARCH(Assumptions!$C$7,C4182)),Assumptions!$D$7,"Other Services"))),"Other Services"))</f>
        <v/>
      </c>
    </row>
    <row r="4183" customFormat="false" ht="15" hidden="false" customHeight="false" outlineLevel="0" collapsed="false">
      <c r="F4183" s="41" t="str">
        <f aca="false">IF(C4183="","",IFERROR(IF(ISNUMBER(SEARCH(Assumptions!$C$5,C4183)),Assumptions!$D$5,IF(ISNUMBER(SEARCH(Assumptions!$C$6,C4183)),Assumptions!$D$6,IF(ISNUMBER(SEARCH(Assumptions!$C$7,C4183)),Assumptions!$D$7,"Other Services"))),"Other Services"))</f>
        <v/>
      </c>
    </row>
    <row r="4184" customFormat="false" ht="15" hidden="false" customHeight="false" outlineLevel="0" collapsed="false">
      <c r="F4184" s="41" t="str">
        <f aca="false">IF(C4184="","",IFERROR(IF(ISNUMBER(SEARCH(Assumptions!$C$5,C4184)),Assumptions!$D$5,IF(ISNUMBER(SEARCH(Assumptions!$C$6,C4184)),Assumptions!$D$6,IF(ISNUMBER(SEARCH(Assumptions!$C$7,C4184)),Assumptions!$D$7,"Other Services"))),"Other Services"))</f>
        <v/>
      </c>
    </row>
    <row r="4185" customFormat="false" ht="15" hidden="false" customHeight="false" outlineLevel="0" collapsed="false">
      <c r="F4185" s="41" t="str">
        <f aca="false">IF(C4185="","",IFERROR(IF(ISNUMBER(SEARCH(Assumptions!$C$5,C4185)),Assumptions!$D$5,IF(ISNUMBER(SEARCH(Assumptions!$C$6,C4185)),Assumptions!$D$6,IF(ISNUMBER(SEARCH(Assumptions!$C$7,C4185)),Assumptions!$D$7,"Other Services"))),"Other Services"))</f>
        <v/>
      </c>
    </row>
    <row r="4186" customFormat="false" ht="15" hidden="false" customHeight="false" outlineLevel="0" collapsed="false">
      <c r="F4186" s="41" t="str">
        <f aca="false">IF(C4186="","",IFERROR(IF(ISNUMBER(SEARCH(Assumptions!$C$5,C4186)),Assumptions!$D$5,IF(ISNUMBER(SEARCH(Assumptions!$C$6,C4186)),Assumptions!$D$6,IF(ISNUMBER(SEARCH(Assumptions!$C$7,C4186)),Assumptions!$D$7,"Other Services"))),"Other Services"))</f>
        <v/>
      </c>
    </row>
    <row r="4187" customFormat="false" ht="15" hidden="false" customHeight="false" outlineLevel="0" collapsed="false">
      <c r="F4187" s="41" t="str">
        <f aca="false">IF(C4187="","",IFERROR(IF(ISNUMBER(SEARCH(Assumptions!$C$5,C4187)),Assumptions!$D$5,IF(ISNUMBER(SEARCH(Assumptions!$C$6,C4187)),Assumptions!$D$6,IF(ISNUMBER(SEARCH(Assumptions!$C$7,C4187)),Assumptions!$D$7,"Other Services"))),"Other Services"))</f>
        <v/>
      </c>
    </row>
    <row r="4188" customFormat="false" ht="15" hidden="false" customHeight="false" outlineLevel="0" collapsed="false">
      <c r="F4188" s="41" t="str">
        <f aca="false">IF(C4188="","",IFERROR(IF(ISNUMBER(SEARCH(Assumptions!$C$5,C4188)),Assumptions!$D$5,IF(ISNUMBER(SEARCH(Assumptions!$C$6,C4188)),Assumptions!$D$6,IF(ISNUMBER(SEARCH(Assumptions!$C$7,C4188)),Assumptions!$D$7,"Other Services"))),"Other Services"))</f>
        <v/>
      </c>
    </row>
    <row r="4189" customFormat="false" ht="15" hidden="false" customHeight="false" outlineLevel="0" collapsed="false">
      <c r="F4189" s="41" t="str">
        <f aca="false">IF(C4189="","",IFERROR(IF(ISNUMBER(SEARCH(Assumptions!$C$5,C4189)),Assumptions!$D$5,IF(ISNUMBER(SEARCH(Assumptions!$C$6,C4189)),Assumptions!$D$6,IF(ISNUMBER(SEARCH(Assumptions!$C$7,C4189)),Assumptions!$D$7,"Other Services"))),"Other Services"))</f>
        <v/>
      </c>
    </row>
    <row r="4190" customFormat="false" ht="15" hidden="false" customHeight="false" outlineLevel="0" collapsed="false">
      <c r="F4190" s="41" t="str">
        <f aca="false">IF(C4190="","",IFERROR(IF(ISNUMBER(SEARCH(Assumptions!$C$5,C4190)),Assumptions!$D$5,IF(ISNUMBER(SEARCH(Assumptions!$C$6,C4190)),Assumptions!$D$6,IF(ISNUMBER(SEARCH(Assumptions!$C$7,C4190)),Assumptions!$D$7,"Other Services"))),"Other Services"))</f>
        <v/>
      </c>
    </row>
    <row r="4191" customFormat="false" ht="15" hidden="false" customHeight="false" outlineLevel="0" collapsed="false">
      <c r="F4191" s="41" t="str">
        <f aca="false">IF(C4191="","",IFERROR(IF(ISNUMBER(SEARCH(Assumptions!$C$5,C4191)),Assumptions!$D$5,IF(ISNUMBER(SEARCH(Assumptions!$C$6,C4191)),Assumptions!$D$6,IF(ISNUMBER(SEARCH(Assumptions!$C$7,C4191)),Assumptions!$D$7,"Other Services"))),"Other Services"))</f>
        <v/>
      </c>
    </row>
    <row r="4192" customFormat="false" ht="15" hidden="false" customHeight="false" outlineLevel="0" collapsed="false">
      <c r="F4192" s="41" t="str">
        <f aca="false">IF(C4192="","",IFERROR(IF(ISNUMBER(SEARCH(Assumptions!$C$5,C4192)),Assumptions!$D$5,IF(ISNUMBER(SEARCH(Assumptions!$C$6,C4192)),Assumptions!$D$6,IF(ISNUMBER(SEARCH(Assumptions!$C$7,C4192)),Assumptions!$D$7,"Other Services"))),"Other Services"))</f>
        <v/>
      </c>
    </row>
    <row r="4193" customFormat="false" ht="15" hidden="false" customHeight="false" outlineLevel="0" collapsed="false">
      <c r="F4193" s="41" t="str">
        <f aca="false">IF(C4193="","",IFERROR(IF(ISNUMBER(SEARCH(Assumptions!$C$5,C4193)),Assumptions!$D$5,IF(ISNUMBER(SEARCH(Assumptions!$C$6,C4193)),Assumptions!$D$6,IF(ISNUMBER(SEARCH(Assumptions!$C$7,C4193)),Assumptions!$D$7,"Other Services"))),"Other Services"))</f>
        <v/>
      </c>
    </row>
    <row r="4194" customFormat="false" ht="15" hidden="false" customHeight="false" outlineLevel="0" collapsed="false">
      <c r="F4194" s="41" t="str">
        <f aca="false">IF(C4194="","",IFERROR(IF(ISNUMBER(SEARCH(Assumptions!$C$5,C4194)),Assumptions!$D$5,IF(ISNUMBER(SEARCH(Assumptions!$C$6,C4194)),Assumptions!$D$6,IF(ISNUMBER(SEARCH(Assumptions!$C$7,C4194)),Assumptions!$D$7,"Other Services"))),"Other Services"))</f>
        <v/>
      </c>
    </row>
    <row r="4195" customFormat="false" ht="15" hidden="false" customHeight="false" outlineLevel="0" collapsed="false">
      <c r="F4195" s="41" t="str">
        <f aca="false">IF(C4195="","",IFERROR(IF(ISNUMBER(SEARCH(Assumptions!$C$5,C4195)),Assumptions!$D$5,IF(ISNUMBER(SEARCH(Assumptions!$C$6,C4195)),Assumptions!$D$6,IF(ISNUMBER(SEARCH(Assumptions!$C$7,C4195)),Assumptions!$D$7,"Other Services"))),"Other Services"))</f>
        <v/>
      </c>
    </row>
    <row r="4196" customFormat="false" ht="15" hidden="false" customHeight="false" outlineLevel="0" collapsed="false">
      <c r="F4196" s="41" t="str">
        <f aca="false">IF(C4196="","",IFERROR(IF(ISNUMBER(SEARCH(Assumptions!$C$5,C4196)),Assumptions!$D$5,IF(ISNUMBER(SEARCH(Assumptions!$C$6,C4196)),Assumptions!$D$6,IF(ISNUMBER(SEARCH(Assumptions!$C$7,C4196)),Assumptions!$D$7,"Other Services"))),"Other Services"))</f>
        <v/>
      </c>
    </row>
    <row r="4197" customFormat="false" ht="15" hidden="false" customHeight="false" outlineLevel="0" collapsed="false">
      <c r="F4197" s="41" t="str">
        <f aca="false">IF(C4197="","",IFERROR(IF(ISNUMBER(SEARCH(Assumptions!$C$5,C4197)),Assumptions!$D$5,IF(ISNUMBER(SEARCH(Assumptions!$C$6,C4197)),Assumptions!$D$6,IF(ISNUMBER(SEARCH(Assumptions!$C$7,C4197)),Assumptions!$D$7,"Other Services"))),"Other Services"))</f>
        <v/>
      </c>
    </row>
    <row r="4198" customFormat="false" ht="15" hidden="false" customHeight="false" outlineLevel="0" collapsed="false">
      <c r="F4198" s="41" t="str">
        <f aca="false">IF(C4198="","",IFERROR(IF(ISNUMBER(SEARCH(Assumptions!$C$5,C4198)),Assumptions!$D$5,IF(ISNUMBER(SEARCH(Assumptions!$C$6,C4198)),Assumptions!$D$6,IF(ISNUMBER(SEARCH(Assumptions!$C$7,C4198)),Assumptions!$D$7,"Other Services"))),"Other Services"))</f>
        <v/>
      </c>
    </row>
    <row r="4199" customFormat="false" ht="15" hidden="false" customHeight="false" outlineLevel="0" collapsed="false">
      <c r="F4199" s="41" t="str">
        <f aca="false">IF(C4199="","",IFERROR(IF(ISNUMBER(SEARCH(Assumptions!$C$5,C4199)),Assumptions!$D$5,IF(ISNUMBER(SEARCH(Assumptions!$C$6,C4199)),Assumptions!$D$6,IF(ISNUMBER(SEARCH(Assumptions!$C$7,C4199)),Assumptions!$D$7,"Other Services"))),"Other Services"))</f>
        <v/>
      </c>
    </row>
    <row r="4200" customFormat="false" ht="15" hidden="false" customHeight="false" outlineLevel="0" collapsed="false">
      <c r="F4200" s="41" t="str">
        <f aca="false">IF(C4200="","",IFERROR(IF(ISNUMBER(SEARCH(Assumptions!$C$5,C4200)),Assumptions!$D$5,IF(ISNUMBER(SEARCH(Assumptions!$C$6,C4200)),Assumptions!$D$6,IF(ISNUMBER(SEARCH(Assumptions!$C$7,C4200)),Assumptions!$D$7,"Other Services"))),"Other Services"))</f>
        <v/>
      </c>
    </row>
    <row r="4201" customFormat="false" ht="15" hidden="false" customHeight="false" outlineLevel="0" collapsed="false">
      <c r="F4201" s="41" t="str">
        <f aca="false">IF(C4201="","",IFERROR(IF(ISNUMBER(SEARCH(Assumptions!$C$5,C4201)),Assumptions!$D$5,IF(ISNUMBER(SEARCH(Assumptions!$C$6,C4201)),Assumptions!$D$6,IF(ISNUMBER(SEARCH(Assumptions!$C$7,C4201)),Assumptions!$D$7,"Other Services"))),"Other Services"))</f>
        <v/>
      </c>
    </row>
    <row r="4202" customFormat="false" ht="15" hidden="false" customHeight="false" outlineLevel="0" collapsed="false">
      <c r="F4202" s="41" t="str">
        <f aca="false">IF(C4202="","",IFERROR(IF(ISNUMBER(SEARCH(Assumptions!$C$5,C4202)),Assumptions!$D$5,IF(ISNUMBER(SEARCH(Assumptions!$C$6,C4202)),Assumptions!$D$6,IF(ISNUMBER(SEARCH(Assumptions!$C$7,C4202)),Assumptions!$D$7,"Other Services"))),"Other Services"))</f>
        <v/>
      </c>
    </row>
    <row r="4203" customFormat="false" ht="15" hidden="false" customHeight="false" outlineLevel="0" collapsed="false">
      <c r="F4203" s="41" t="str">
        <f aca="false">IF(C4203="","",IFERROR(IF(ISNUMBER(SEARCH(Assumptions!$C$5,C4203)),Assumptions!$D$5,IF(ISNUMBER(SEARCH(Assumptions!$C$6,C4203)),Assumptions!$D$6,IF(ISNUMBER(SEARCH(Assumptions!$C$7,C4203)),Assumptions!$D$7,"Other Services"))),"Other Services"))</f>
        <v/>
      </c>
    </row>
    <row r="4204" customFormat="false" ht="15" hidden="false" customHeight="false" outlineLevel="0" collapsed="false">
      <c r="F4204" s="41" t="str">
        <f aca="false">IF(C4204="","",IFERROR(IF(ISNUMBER(SEARCH(Assumptions!$C$5,C4204)),Assumptions!$D$5,IF(ISNUMBER(SEARCH(Assumptions!$C$6,C4204)),Assumptions!$D$6,IF(ISNUMBER(SEARCH(Assumptions!$C$7,C4204)),Assumptions!$D$7,"Other Services"))),"Other Services"))</f>
        <v/>
      </c>
    </row>
    <row r="4205" customFormat="false" ht="15" hidden="false" customHeight="false" outlineLevel="0" collapsed="false">
      <c r="F4205" s="41" t="str">
        <f aca="false">IF(C4205="","",IFERROR(IF(ISNUMBER(SEARCH(Assumptions!$C$5,C4205)),Assumptions!$D$5,IF(ISNUMBER(SEARCH(Assumptions!$C$6,C4205)),Assumptions!$D$6,IF(ISNUMBER(SEARCH(Assumptions!$C$7,C4205)),Assumptions!$D$7,"Other Services"))),"Other Services"))</f>
        <v/>
      </c>
    </row>
    <row r="4206" customFormat="false" ht="15" hidden="false" customHeight="false" outlineLevel="0" collapsed="false">
      <c r="F4206" s="41" t="str">
        <f aca="false">IF(C4206="","",IFERROR(IF(ISNUMBER(SEARCH(Assumptions!$C$5,C4206)),Assumptions!$D$5,IF(ISNUMBER(SEARCH(Assumptions!$C$6,C4206)),Assumptions!$D$6,IF(ISNUMBER(SEARCH(Assumptions!$C$7,C4206)),Assumptions!$D$7,"Other Services"))),"Other Services"))</f>
        <v/>
      </c>
    </row>
    <row r="4207" customFormat="false" ht="15" hidden="false" customHeight="false" outlineLevel="0" collapsed="false">
      <c r="F4207" s="41" t="str">
        <f aca="false">IF(C4207="","",IFERROR(IF(ISNUMBER(SEARCH(Assumptions!$C$5,C4207)),Assumptions!$D$5,IF(ISNUMBER(SEARCH(Assumptions!$C$6,C4207)),Assumptions!$D$6,IF(ISNUMBER(SEARCH(Assumptions!$C$7,C4207)),Assumptions!$D$7,"Other Services"))),"Other Services"))</f>
        <v/>
      </c>
    </row>
    <row r="4208" customFormat="false" ht="15" hidden="false" customHeight="false" outlineLevel="0" collapsed="false">
      <c r="F4208" s="41" t="str">
        <f aca="false">IF(C4208="","",IFERROR(IF(ISNUMBER(SEARCH(Assumptions!$C$5,C4208)),Assumptions!$D$5,IF(ISNUMBER(SEARCH(Assumptions!$C$6,C4208)),Assumptions!$D$6,IF(ISNUMBER(SEARCH(Assumptions!$C$7,C4208)),Assumptions!$D$7,"Other Services"))),"Other Services"))</f>
        <v/>
      </c>
    </row>
    <row r="4209" customFormat="false" ht="15" hidden="false" customHeight="false" outlineLevel="0" collapsed="false">
      <c r="F4209" s="41" t="str">
        <f aca="false">IF(C4209="","",IFERROR(IF(ISNUMBER(SEARCH(Assumptions!$C$5,C4209)),Assumptions!$D$5,IF(ISNUMBER(SEARCH(Assumptions!$C$6,C4209)),Assumptions!$D$6,IF(ISNUMBER(SEARCH(Assumptions!$C$7,C4209)),Assumptions!$D$7,"Other Services"))),"Other Services"))</f>
        <v/>
      </c>
    </row>
    <row r="4210" customFormat="false" ht="15" hidden="false" customHeight="false" outlineLevel="0" collapsed="false">
      <c r="F4210" s="41" t="str">
        <f aca="false">IF(C4210="","",IFERROR(IF(ISNUMBER(SEARCH(Assumptions!$C$5,C4210)),Assumptions!$D$5,IF(ISNUMBER(SEARCH(Assumptions!$C$6,C4210)),Assumptions!$D$6,IF(ISNUMBER(SEARCH(Assumptions!$C$7,C4210)),Assumptions!$D$7,"Other Services"))),"Other Services"))</f>
        <v/>
      </c>
    </row>
    <row r="4211" customFormat="false" ht="15" hidden="false" customHeight="false" outlineLevel="0" collapsed="false">
      <c r="F4211" s="41" t="str">
        <f aca="false">IF(C4211="","",IFERROR(IF(ISNUMBER(SEARCH(Assumptions!$C$5,C4211)),Assumptions!$D$5,IF(ISNUMBER(SEARCH(Assumptions!$C$6,C4211)),Assumptions!$D$6,IF(ISNUMBER(SEARCH(Assumptions!$C$7,C4211)),Assumptions!$D$7,"Other Services"))),"Other Services"))</f>
        <v/>
      </c>
    </row>
    <row r="4212" customFormat="false" ht="15" hidden="false" customHeight="false" outlineLevel="0" collapsed="false">
      <c r="F4212" s="41" t="str">
        <f aca="false">IF(C4212="","",IFERROR(IF(ISNUMBER(SEARCH(Assumptions!$C$5,C4212)),Assumptions!$D$5,IF(ISNUMBER(SEARCH(Assumptions!$C$6,C4212)),Assumptions!$D$6,IF(ISNUMBER(SEARCH(Assumptions!$C$7,C4212)),Assumptions!$D$7,"Other Services"))),"Other Services"))</f>
        <v/>
      </c>
    </row>
    <row r="4213" customFormat="false" ht="15" hidden="false" customHeight="false" outlineLevel="0" collapsed="false">
      <c r="F4213" s="41" t="str">
        <f aca="false">IF(C4213="","",IFERROR(IF(ISNUMBER(SEARCH(Assumptions!$C$5,C4213)),Assumptions!$D$5,IF(ISNUMBER(SEARCH(Assumptions!$C$6,C4213)),Assumptions!$D$6,IF(ISNUMBER(SEARCH(Assumptions!$C$7,C4213)),Assumptions!$D$7,"Other Services"))),"Other Services"))</f>
        <v/>
      </c>
    </row>
    <row r="4214" customFormat="false" ht="15" hidden="false" customHeight="false" outlineLevel="0" collapsed="false">
      <c r="F4214" s="41" t="str">
        <f aca="false">IF(C4214="","",IFERROR(IF(ISNUMBER(SEARCH(Assumptions!$C$5,C4214)),Assumptions!$D$5,IF(ISNUMBER(SEARCH(Assumptions!$C$6,C4214)),Assumptions!$D$6,IF(ISNUMBER(SEARCH(Assumptions!$C$7,C4214)),Assumptions!$D$7,"Other Services"))),"Other Services"))</f>
        <v/>
      </c>
    </row>
    <row r="4215" customFormat="false" ht="15" hidden="false" customHeight="false" outlineLevel="0" collapsed="false">
      <c r="F4215" s="41" t="str">
        <f aca="false">IF(C4215="","",IFERROR(IF(ISNUMBER(SEARCH(Assumptions!$C$5,C4215)),Assumptions!$D$5,IF(ISNUMBER(SEARCH(Assumptions!$C$6,C4215)),Assumptions!$D$6,IF(ISNUMBER(SEARCH(Assumptions!$C$7,C4215)),Assumptions!$D$7,"Other Services"))),"Other Services"))</f>
        <v/>
      </c>
    </row>
    <row r="4216" customFormat="false" ht="15" hidden="false" customHeight="false" outlineLevel="0" collapsed="false">
      <c r="F4216" s="41" t="str">
        <f aca="false">IF(C4216="","",IFERROR(IF(ISNUMBER(SEARCH(Assumptions!$C$5,C4216)),Assumptions!$D$5,IF(ISNUMBER(SEARCH(Assumptions!$C$6,C4216)),Assumptions!$D$6,IF(ISNUMBER(SEARCH(Assumptions!$C$7,C4216)),Assumptions!$D$7,"Other Services"))),"Other Services"))</f>
        <v/>
      </c>
    </row>
    <row r="4217" customFormat="false" ht="15" hidden="false" customHeight="false" outlineLevel="0" collapsed="false">
      <c r="F4217" s="41" t="str">
        <f aca="false">IF(C4217="","",IFERROR(IF(ISNUMBER(SEARCH(Assumptions!$C$5,C4217)),Assumptions!$D$5,IF(ISNUMBER(SEARCH(Assumptions!$C$6,C4217)),Assumptions!$D$6,IF(ISNUMBER(SEARCH(Assumptions!$C$7,C4217)),Assumptions!$D$7,"Other Services"))),"Other Services"))</f>
        <v/>
      </c>
    </row>
    <row r="4218" customFormat="false" ht="15" hidden="false" customHeight="false" outlineLevel="0" collapsed="false">
      <c r="F4218" s="41" t="str">
        <f aca="false">IF(C4218="","",IFERROR(IF(ISNUMBER(SEARCH(Assumptions!$C$5,C4218)),Assumptions!$D$5,IF(ISNUMBER(SEARCH(Assumptions!$C$6,C4218)),Assumptions!$D$6,IF(ISNUMBER(SEARCH(Assumptions!$C$7,C4218)),Assumptions!$D$7,"Other Services"))),"Other Services"))</f>
        <v/>
      </c>
    </row>
    <row r="4219" customFormat="false" ht="15" hidden="false" customHeight="false" outlineLevel="0" collapsed="false">
      <c r="F4219" s="41" t="str">
        <f aca="false">IF(C4219="","",IFERROR(IF(ISNUMBER(SEARCH(Assumptions!$C$5,C4219)),Assumptions!$D$5,IF(ISNUMBER(SEARCH(Assumptions!$C$6,C4219)),Assumptions!$D$6,IF(ISNUMBER(SEARCH(Assumptions!$C$7,C4219)),Assumptions!$D$7,"Other Services"))),"Other Services"))</f>
        <v/>
      </c>
    </row>
    <row r="4220" customFormat="false" ht="15" hidden="false" customHeight="false" outlineLevel="0" collapsed="false">
      <c r="F4220" s="41" t="str">
        <f aca="false">IF(C4220="","",IFERROR(IF(ISNUMBER(SEARCH(Assumptions!$C$5,C4220)),Assumptions!$D$5,IF(ISNUMBER(SEARCH(Assumptions!$C$6,C4220)),Assumptions!$D$6,IF(ISNUMBER(SEARCH(Assumptions!$C$7,C4220)),Assumptions!$D$7,"Other Services"))),"Other Services"))</f>
        <v/>
      </c>
    </row>
    <row r="4221" customFormat="false" ht="15" hidden="false" customHeight="false" outlineLevel="0" collapsed="false">
      <c r="F4221" s="41" t="str">
        <f aca="false">IF(C4221="","",IFERROR(IF(ISNUMBER(SEARCH(Assumptions!$C$5,C4221)),Assumptions!$D$5,IF(ISNUMBER(SEARCH(Assumptions!$C$6,C4221)),Assumptions!$D$6,IF(ISNUMBER(SEARCH(Assumptions!$C$7,C4221)),Assumptions!$D$7,"Other Services"))),"Other Services"))</f>
        <v/>
      </c>
    </row>
    <row r="4222" customFormat="false" ht="15" hidden="false" customHeight="false" outlineLevel="0" collapsed="false">
      <c r="F4222" s="41" t="str">
        <f aca="false">IF(C4222="","",IFERROR(IF(ISNUMBER(SEARCH(Assumptions!$C$5,C4222)),Assumptions!$D$5,IF(ISNUMBER(SEARCH(Assumptions!$C$6,C4222)),Assumptions!$D$6,IF(ISNUMBER(SEARCH(Assumptions!$C$7,C4222)),Assumptions!$D$7,"Other Services"))),"Other Services"))</f>
        <v/>
      </c>
    </row>
    <row r="4223" customFormat="false" ht="15" hidden="false" customHeight="false" outlineLevel="0" collapsed="false">
      <c r="F4223" s="41" t="str">
        <f aca="false">IF(C4223="","",IFERROR(IF(ISNUMBER(SEARCH(Assumptions!$C$5,C4223)),Assumptions!$D$5,IF(ISNUMBER(SEARCH(Assumptions!$C$6,C4223)),Assumptions!$D$6,IF(ISNUMBER(SEARCH(Assumptions!$C$7,C4223)),Assumptions!$D$7,"Other Services"))),"Other Services"))</f>
        <v/>
      </c>
    </row>
    <row r="4224" customFormat="false" ht="15" hidden="false" customHeight="false" outlineLevel="0" collapsed="false">
      <c r="F4224" s="41" t="str">
        <f aca="false">IF(C4224="","",IFERROR(IF(ISNUMBER(SEARCH(Assumptions!$C$5,C4224)),Assumptions!$D$5,IF(ISNUMBER(SEARCH(Assumptions!$C$6,C4224)),Assumptions!$D$6,IF(ISNUMBER(SEARCH(Assumptions!$C$7,C4224)),Assumptions!$D$7,"Other Services"))),"Other Services"))</f>
        <v/>
      </c>
    </row>
    <row r="4225" customFormat="false" ht="15" hidden="false" customHeight="false" outlineLevel="0" collapsed="false">
      <c r="F4225" s="41" t="str">
        <f aca="false">IF(C4225="","",IFERROR(IF(ISNUMBER(SEARCH(Assumptions!$C$5,C4225)),Assumptions!$D$5,IF(ISNUMBER(SEARCH(Assumptions!$C$6,C4225)),Assumptions!$D$6,IF(ISNUMBER(SEARCH(Assumptions!$C$7,C4225)),Assumptions!$D$7,"Other Services"))),"Other Services"))</f>
        <v/>
      </c>
    </row>
    <row r="4226" customFormat="false" ht="15" hidden="false" customHeight="false" outlineLevel="0" collapsed="false">
      <c r="F4226" s="41" t="str">
        <f aca="false">IF(C4226="","",IFERROR(IF(ISNUMBER(SEARCH(Assumptions!$C$5,C4226)),Assumptions!$D$5,IF(ISNUMBER(SEARCH(Assumptions!$C$6,C4226)),Assumptions!$D$6,IF(ISNUMBER(SEARCH(Assumptions!$C$7,C4226)),Assumptions!$D$7,"Other Services"))),"Other Services"))</f>
        <v/>
      </c>
    </row>
    <row r="4227" customFormat="false" ht="15" hidden="false" customHeight="false" outlineLevel="0" collapsed="false">
      <c r="F4227" s="41" t="str">
        <f aca="false">IF(C4227="","",IFERROR(IF(ISNUMBER(SEARCH(Assumptions!$C$5,C4227)),Assumptions!$D$5,IF(ISNUMBER(SEARCH(Assumptions!$C$6,C4227)),Assumptions!$D$6,IF(ISNUMBER(SEARCH(Assumptions!$C$7,C4227)),Assumptions!$D$7,"Other Services"))),"Other Services"))</f>
        <v/>
      </c>
    </row>
    <row r="4228" customFormat="false" ht="15" hidden="false" customHeight="false" outlineLevel="0" collapsed="false">
      <c r="F4228" s="41" t="str">
        <f aca="false">IF(C4228="","",IFERROR(IF(ISNUMBER(SEARCH(Assumptions!$C$5,C4228)),Assumptions!$D$5,IF(ISNUMBER(SEARCH(Assumptions!$C$6,C4228)),Assumptions!$D$6,IF(ISNUMBER(SEARCH(Assumptions!$C$7,C4228)),Assumptions!$D$7,"Other Services"))),"Other Services"))</f>
        <v/>
      </c>
    </row>
    <row r="4229" customFormat="false" ht="15" hidden="false" customHeight="false" outlineLevel="0" collapsed="false">
      <c r="F4229" s="41" t="str">
        <f aca="false">IF(C4229="","",IFERROR(IF(ISNUMBER(SEARCH(Assumptions!$C$5,C4229)),Assumptions!$D$5,IF(ISNUMBER(SEARCH(Assumptions!$C$6,C4229)),Assumptions!$D$6,IF(ISNUMBER(SEARCH(Assumptions!$C$7,C4229)),Assumptions!$D$7,"Other Services"))),"Other Services"))</f>
        <v/>
      </c>
    </row>
    <row r="4230" customFormat="false" ht="15" hidden="false" customHeight="false" outlineLevel="0" collapsed="false">
      <c r="F4230" s="41" t="str">
        <f aca="false">IF(C4230="","",IFERROR(IF(ISNUMBER(SEARCH(Assumptions!$C$5,C4230)),Assumptions!$D$5,IF(ISNUMBER(SEARCH(Assumptions!$C$6,C4230)),Assumptions!$D$6,IF(ISNUMBER(SEARCH(Assumptions!$C$7,C4230)),Assumptions!$D$7,"Other Services"))),"Other Services"))</f>
        <v/>
      </c>
    </row>
    <row r="4231" customFormat="false" ht="15" hidden="false" customHeight="false" outlineLevel="0" collapsed="false">
      <c r="F4231" s="41" t="str">
        <f aca="false">IF(C4231="","",IFERROR(IF(ISNUMBER(SEARCH(Assumptions!$C$5,C4231)),Assumptions!$D$5,IF(ISNUMBER(SEARCH(Assumptions!$C$6,C4231)),Assumptions!$D$6,IF(ISNUMBER(SEARCH(Assumptions!$C$7,C4231)),Assumptions!$D$7,"Other Services"))),"Other Services"))</f>
        <v/>
      </c>
    </row>
    <row r="4232" customFormat="false" ht="15" hidden="false" customHeight="false" outlineLevel="0" collapsed="false">
      <c r="F4232" s="41" t="str">
        <f aca="false">IF(C4232="","",IFERROR(IF(ISNUMBER(SEARCH(Assumptions!$C$5,C4232)),Assumptions!$D$5,IF(ISNUMBER(SEARCH(Assumptions!$C$6,C4232)),Assumptions!$D$6,IF(ISNUMBER(SEARCH(Assumptions!$C$7,C4232)),Assumptions!$D$7,"Other Services"))),"Other Services"))</f>
        <v/>
      </c>
    </row>
    <row r="4233" customFormat="false" ht="15" hidden="false" customHeight="false" outlineLevel="0" collapsed="false">
      <c r="F4233" s="41" t="str">
        <f aca="false">IF(C4233="","",IFERROR(IF(ISNUMBER(SEARCH(Assumptions!$C$5,C4233)),Assumptions!$D$5,IF(ISNUMBER(SEARCH(Assumptions!$C$6,C4233)),Assumptions!$D$6,IF(ISNUMBER(SEARCH(Assumptions!$C$7,C4233)),Assumptions!$D$7,"Other Services"))),"Other Services"))</f>
        <v/>
      </c>
    </row>
    <row r="4234" customFormat="false" ht="15" hidden="false" customHeight="false" outlineLevel="0" collapsed="false">
      <c r="F4234" s="41" t="str">
        <f aca="false">IF(C4234="","",IFERROR(IF(ISNUMBER(SEARCH(Assumptions!$C$5,C4234)),Assumptions!$D$5,IF(ISNUMBER(SEARCH(Assumptions!$C$6,C4234)),Assumptions!$D$6,IF(ISNUMBER(SEARCH(Assumptions!$C$7,C4234)),Assumptions!$D$7,"Other Services"))),"Other Services"))</f>
        <v/>
      </c>
    </row>
    <row r="4235" customFormat="false" ht="15" hidden="false" customHeight="false" outlineLevel="0" collapsed="false">
      <c r="F4235" s="41" t="str">
        <f aca="false">IF(C4235="","",IFERROR(IF(ISNUMBER(SEARCH(Assumptions!$C$5,C4235)),Assumptions!$D$5,IF(ISNUMBER(SEARCH(Assumptions!$C$6,C4235)),Assumptions!$D$6,IF(ISNUMBER(SEARCH(Assumptions!$C$7,C4235)),Assumptions!$D$7,"Other Services"))),"Other Services"))</f>
        <v/>
      </c>
    </row>
    <row r="4236" customFormat="false" ht="15" hidden="false" customHeight="false" outlineLevel="0" collapsed="false">
      <c r="F4236" s="41" t="str">
        <f aca="false">IF(C4236="","",IFERROR(IF(ISNUMBER(SEARCH(Assumptions!$C$5,C4236)),Assumptions!$D$5,IF(ISNUMBER(SEARCH(Assumptions!$C$6,C4236)),Assumptions!$D$6,IF(ISNUMBER(SEARCH(Assumptions!$C$7,C4236)),Assumptions!$D$7,"Other Services"))),"Other Services"))</f>
        <v/>
      </c>
    </row>
    <row r="4237" customFormat="false" ht="15" hidden="false" customHeight="false" outlineLevel="0" collapsed="false">
      <c r="F4237" s="41" t="str">
        <f aca="false">IF(C4237="","",IFERROR(IF(ISNUMBER(SEARCH(Assumptions!$C$5,C4237)),Assumptions!$D$5,IF(ISNUMBER(SEARCH(Assumptions!$C$6,C4237)),Assumptions!$D$6,IF(ISNUMBER(SEARCH(Assumptions!$C$7,C4237)),Assumptions!$D$7,"Other Services"))),"Other Services"))</f>
        <v/>
      </c>
    </row>
    <row r="4238" customFormat="false" ht="15" hidden="false" customHeight="false" outlineLevel="0" collapsed="false">
      <c r="F4238" s="41" t="str">
        <f aca="false">IF(C4238="","",IFERROR(IF(ISNUMBER(SEARCH(Assumptions!$C$5,C4238)),Assumptions!$D$5,IF(ISNUMBER(SEARCH(Assumptions!$C$6,C4238)),Assumptions!$D$6,IF(ISNUMBER(SEARCH(Assumptions!$C$7,C4238)),Assumptions!$D$7,"Other Services"))),"Other Services"))</f>
        <v/>
      </c>
    </row>
    <row r="4239" customFormat="false" ht="15" hidden="false" customHeight="false" outlineLevel="0" collapsed="false">
      <c r="F4239" s="41" t="str">
        <f aca="false">IF(C4239="","",IFERROR(IF(ISNUMBER(SEARCH(Assumptions!$C$5,C4239)),Assumptions!$D$5,IF(ISNUMBER(SEARCH(Assumptions!$C$6,C4239)),Assumptions!$D$6,IF(ISNUMBER(SEARCH(Assumptions!$C$7,C4239)),Assumptions!$D$7,"Other Services"))),"Other Services"))</f>
        <v/>
      </c>
    </row>
    <row r="4240" customFormat="false" ht="15" hidden="false" customHeight="false" outlineLevel="0" collapsed="false">
      <c r="F4240" s="41" t="str">
        <f aca="false">IF(C4240="","",IFERROR(IF(ISNUMBER(SEARCH(Assumptions!$C$5,C4240)),Assumptions!$D$5,IF(ISNUMBER(SEARCH(Assumptions!$C$6,C4240)),Assumptions!$D$6,IF(ISNUMBER(SEARCH(Assumptions!$C$7,C4240)),Assumptions!$D$7,"Other Services"))),"Other Services"))</f>
        <v/>
      </c>
    </row>
    <row r="4241" customFormat="false" ht="15" hidden="false" customHeight="false" outlineLevel="0" collapsed="false">
      <c r="F4241" s="41" t="str">
        <f aca="false">IF(C4241="","",IFERROR(IF(ISNUMBER(SEARCH(Assumptions!$C$5,C4241)),Assumptions!$D$5,IF(ISNUMBER(SEARCH(Assumptions!$C$6,C4241)),Assumptions!$D$6,IF(ISNUMBER(SEARCH(Assumptions!$C$7,C4241)),Assumptions!$D$7,"Other Services"))),"Other Services"))</f>
        <v/>
      </c>
    </row>
    <row r="4242" customFormat="false" ht="15" hidden="false" customHeight="false" outlineLevel="0" collapsed="false">
      <c r="F4242" s="41" t="str">
        <f aca="false">IF(C4242="","",IFERROR(IF(ISNUMBER(SEARCH(Assumptions!$C$5,C4242)),Assumptions!$D$5,IF(ISNUMBER(SEARCH(Assumptions!$C$6,C4242)),Assumptions!$D$6,IF(ISNUMBER(SEARCH(Assumptions!$C$7,C4242)),Assumptions!$D$7,"Other Services"))),"Other Services"))</f>
        <v/>
      </c>
    </row>
    <row r="4243" customFormat="false" ht="15" hidden="false" customHeight="false" outlineLevel="0" collapsed="false">
      <c r="F4243" s="41" t="str">
        <f aca="false">IF(C4243="","",IFERROR(IF(ISNUMBER(SEARCH(Assumptions!$C$5,C4243)),Assumptions!$D$5,IF(ISNUMBER(SEARCH(Assumptions!$C$6,C4243)),Assumptions!$D$6,IF(ISNUMBER(SEARCH(Assumptions!$C$7,C4243)),Assumptions!$D$7,"Other Services"))),"Other Services"))</f>
        <v/>
      </c>
    </row>
    <row r="4244" customFormat="false" ht="15" hidden="false" customHeight="false" outlineLevel="0" collapsed="false">
      <c r="F4244" s="41" t="str">
        <f aca="false">IF(C4244="","",IFERROR(IF(ISNUMBER(SEARCH(Assumptions!$C$5,C4244)),Assumptions!$D$5,IF(ISNUMBER(SEARCH(Assumptions!$C$6,C4244)),Assumptions!$D$6,IF(ISNUMBER(SEARCH(Assumptions!$C$7,C4244)),Assumptions!$D$7,"Other Services"))),"Other Services"))</f>
        <v/>
      </c>
    </row>
    <row r="4245" customFormat="false" ht="15" hidden="false" customHeight="false" outlineLevel="0" collapsed="false">
      <c r="F4245" s="41" t="str">
        <f aca="false">IF(C4245="","",IFERROR(IF(ISNUMBER(SEARCH(Assumptions!$C$5,C4245)),Assumptions!$D$5,IF(ISNUMBER(SEARCH(Assumptions!$C$6,C4245)),Assumptions!$D$6,IF(ISNUMBER(SEARCH(Assumptions!$C$7,C4245)),Assumptions!$D$7,"Other Services"))),"Other Services"))</f>
        <v/>
      </c>
    </row>
    <row r="4246" customFormat="false" ht="15" hidden="false" customHeight="false" outlineLevel="0" collapsed="false">
      <c r="F4246" s="41" t="str">
        <f aca="false">IF(C4246="","",IFERROR(IF(ISNUMBER(SEARCH(Assumptions!$C$5,C4246)),Assumptions!$D$5,IF(ISNUMBER(SEARCH(Assumptions!$C$6,C4246)),Assumptions!$D$6,IF(ISNUMBER(SEARCH(Assumptions!$C$7,C4246)),Assumptions!$D$7,"Other Services"))),"Other Services"))</f>
        <v/>
      </c>
    </row>
    <row r="4247" customFormat="false" ht="15" hidden="false" customHeight="false" outlineLevel="0" collapsed="false">
      <c r="F4247" s="41" t="str">
        <f aca="false">IF(C4247="","",IFERROR(IF(ISNUMBER(SEARCH(Assumptions!$C$5,C4247)),Assumptions!$D$5,IF(ISNUMBER(SEARCH(Assumptions!$C$6,C4247)),Assumptions!$D$6,IF(ISNUMBER(SEARCH(Assumptions!$C$7,C4247)),Assumptions!$D$7,"Other Services"))),"Other Services"))</f>
        <v/>
      </c>
    </row>
    <row r="4248" customFormat="false" ht="15" hidden="false" customHeight="false" outlineLevel="0" collapsed="false">
      <c r="F4248" s="41" t="str">
        <f aca="false">IF(C4248="","",IFERROR(IF(ISNUMBER(SEARCH(Assumptions!$C$5,C4248)),Assumptions!$D$5,IF(ISNUMBER(SEARCH(Assumptions!$C$6,C4248)),Assumptions!$D$6,IF(ISNUMBER(SEARCH(Assumptions!$C$7,C4248)),Assumptions!$D$7,"Other Services"))),"Other Services"))</f>
        <v/>
      </c>
    </row>
    <row r="4249" customFormat="false" ht="15" hidden="false" customHeight="false" outlineLevel="0" collapsed="false">
      <c r="F4249" s="41" t="str">
        <f aca="false">IF(C4249="","",IFERROR(IF(ISNUMBER(SEARCH(Assumptions!$C$5,C4249)),Assumptions!$D$5,IF(ISNUMBER(SEARCH(Assumptions!$C$6,C4249)),Assumptions!$D$6,IF(ISNUMBER(SEARCH(Assumptions!$C$7,C4249)),Assumptions!$D$7,"Other Services"))),"Other Services"))</f>
        <v/>
      </c>
    </row>
    <row r="4250" customFormat="false" ht="15" hidden="false" customHeight="false" outlineLevel="0" collapsed="false">
      <c r="F4250" s="41" t="str">
        <f aca="false">IF(C4250="","",IFERROR(IF(ISNUMBER(SEARCH(Assumptions!$C$5,C4250)),Assumptions!$D$5,IF(ISNUMBER(SEARCH(Assumptions!$C$6,C4250)),Assumptions!$D$6,IF(ISNUMBER(SEARCH(Assumptions!$C$7,C4250)),Assumptions!$D$7,"Other Services"))),"Other Services"))</f>
        <v/>
      </c>
    </row>
    <row r="4251" customFormat="false" ht="15" hidden="false" customHeight="false" outlineLevel="0" collapsed="false">
      <c r="F4251" s="41" t="str">
        <f aca="false">IF(C4251="","",IFERROR(IF(ISNUMBER(SEARCH(Assumptions!$C$5,C4251)),Assumptions!$D$5,IF(ISNUMBER(SEARCH(Assumptions!$C$6,C4251)),Assumptions!$D$6,IF(ISNUMBER(SEARCH(Assumptions!$C$7,C4251)),Assumptions!$D$7,"Other Services"))),"Other Services"))</f>
        <v/>
      </c>
    </row>
    <row r="4252" customFormat="false" ht="15" hidden="false" customHeight="false" outlineLevel="0" collapsed="false">
      <c r="F4252" s="41" t="str">
        <f aca="false">IF(C4252="","",IFERROR(IF(ISNUMBER(SEARCH(Assumptions!$C$5,C4252)),Assumptions!$D$5,IF(ISNUMBER(SEARCH(Assumptions!$C$6,C4252)),Assumptions!$D$6,IF(ISNUMBER(SEARCH(Assumptions!$C$7,C4252)),Assumptions!$D$7,"Other Services"))),"Other Services"))</f>
        <v/>
      </c>
    </row>
    <row r="4253" customFormat="false" ht="15" hidden="false" customHeight="false" outlineLevel="0" collapsed="false">
      <c r="F4253" s="41" t="str">
        <f aca="false">IF(C4253="","",IFERROR(IF(ISNUMBER(SEARCH(Assumptions!$C$5,C4253)),Assumptions!$D$5,IF(ISNUMBER(SEARCH(Assumptions!$C$6,C4253)),Assumptions!$D$6,IF(ISNUMBER(SEARCH(Assumptions!$C$7,C4253)),Assumptions!$D$7,"Other Services"))),"Other Services"))</f>
        <v/>
      </c>
    </row>
    <row r="4254" customFormat="false" ht="15" hidden="false" customHeight="false" outlineLevel="0" collapsed="false">
      <c r="F4254" s="41" t="str">
        <f aca="false">IF(C4254="","",IFERROR(IF(ISNUMBER(SEARCH(Assumptions!$C$5,C4254)),Assumptions!$D$5,IF(ISNUMBER(SEARCH(Assumptions!$C$6,C4254)),Assumptions!$D$6,IF(ISNUMBER(SEARCH(Assumptions!$C$7,C4254)),Assumptions!$D$7,"Other Services"))),"Other Services"))</f>
        <v/>
      </c>
    </row>
    <row r="4255" customFormat="false" ht="15" hidden="false" customHeight="false" outlineLevel="0" collapsed="false">
      <c r="F4255" s="41" t="str">
        <f aca="false">IF(C4255="","",IFERROR(IF(ISNUMBER(SEARCH(Assumptions!$C$5,C4255)),Assumptions!$D$5,IF(ISNUMBER(SEARCH(Assumptions!$C$6,C4255)),Assumptions!$D$6,IF(ISNUMBER(SEARCH(Assumptions!$C$7,C4255)),Assumptions!$D$7,"Other Services"))),"Other Services"))</f>
        <v/>
      </c>
    </row>
    <row r="4256" customFormat="false" ht="15" hidden="false" customHeight="false" outlineLevel="0" collapsed="false">
      <c r="F4256" s="41" t="str">
        <f aca="false">IF(C4256="","",IFERROR(IF(ISNUMBER(SEARCH(Assumptions!$C$5,C4256)),Assumptions!$D$5,IF(ISNUMBER(SEARCH(Assumptions!$C$6,C4256)),Assumptions!$D$6,IF(ISNUMBER(SEARCH(Assumptions!$C$7,C4256)),Assumptions!$D$7,"Other Services"))),"Other Services"))</f>
        <v/>
      </c>
    </row>
    <row r="4257" customFormat="false" ht="15" hidden="false" customHeight="false" outlineLevel="0" collapsed="false">
      <c r="F4257" s="41" t="str">
        <f aca="false">IF(C4257="","",IFERROR(IF(ISNUMBER(SEARCH(Assumptions!$C$5,C4257)),Assumptions!$D$5,IF(ISNUMBER(SEARCH(Assumptions!$C$6,C4257)),Assumptions!$D$6,IF(ISNUMBER(SEARCH(Assumptions!$C$7,C4257)),Assumptions!$D$7,"Other Services"))),"Other Services"))</f>
        <v/>
      </c>
    </row>
    <row r="4258" customFormat="false" ht="15" hidden="false" customHeight="false" outlineLevel="0" collapsed="false">
      <c r="F4258" s="41" t="str">
        <f aca="false">IF(C4258="","",IFERROR(IF(ISNUMBER(SEARCH(Assumptions!$C$5,C4258)),Assumptions!$D$5,IF(ISNUMBER(SEARCH(Assumptions!$C$6,C4258)),Assumptions!$D$6,IF(ISNUMBER(SEARCH(Assumptions!$C$7,C4258)),Assumptions!$D$7,"Other Services"))),"Other Services"))</f>
        <v/>
      </c>
    </row>
    <row r="4259" customFormat="false" ht="15" hidden="false" customHeight="false" outlineLevel="0" collapsed="false">
      <c r="F4259" s="41" t="str">
        <f aca="false">IF(C4259="","",IFERROR(IF(ISNUMBER(SEARCH(Assumptions!$C$5,C4259)),Assumptions!$D$5,IF(ISNUMBER(SEARCH(Assumptions!$C$6,C4259)),Assumptions!$D$6,IF(ISNUMBER(SEARCH(Assumptions!$C$7,C4259)),Assumptions!$D$7,"Other Services"))),"Other Services"))</f>
        <v/>
      </c>
    </row>
    <row r="4260" customFormat="false" ht="15" hidden="false" customHeight="false" outlineLevel="0" collapsed="false">
      <c r="F4260" s="41" t="str">
        <f aca="false">IF(C4260="","",IFERROR(IF(ISNUMBER(SEARCH(Assumptions!$C$5,C4260)),Assumptions!$D$5,IF(ISNUMBER(SEARCH(Assumptions!$C$6,C4260)),Assumptions!$D$6,IF(ISNUMBER(SEARCH(Assumptions!$C$7,C4260)),Assumptions!$D$7,"Other Services"))),"Other Services"))</f>
        <v/>
      </c>
    </row>
    <row r="4261" customFormat="false" ht="15" hidden="false" customHeight="false" outlineLevel="0" collapsed="false">
      <c r="F4261" s="41" t="str">
        <f aca="false">IF(C4261="","",IFERROR(IF(ISNUMBER(SEARCH(Assumptions!$C$5,C4261)),Assumptions!$D$5,IF(ISNUMBER(SEARCH(Assumptions!$C$6,C4261)),Assumptions!$D$6,IF(ISNUMBER(SEARCH(Assumptions!$C$7,C4261)),Assumptions!$D$7,"Other Services"))),"Other Services"))</f>
        <v/>
      </c>
    </row>
    <row r="4262" customFormat="false" ht="15" hidden="false" customHeight="false" outlineLevel="0" collapsed="false">
      <c r="F4262" s="41" t="str">
        <f aca="false">IF(C4262="","",IFERROR(IF(ISNUMBER(SEARCH(Assumptions!$C$5,C4262)),Assumptions!$D$5,IF(ISNUMBER(SEARCH(Assumptions!$C$6,C4262)),Assumptions!$D$6,IF(ISNUMBER(SEARCH(Assumptions!$C$7,C4262)),Assumptions!$D$7,"Other Services"))),"Other Services"))</f>
        <v/>
      </c>
    </row>
    <row r="4263" customFormat="false" ht="15" hidden="false" customHeight="false" outlineLevel="0" collapsed="false">
      <c r="F4263" s="41" t="str">
        <f aca="false">IF(C4263="","",IFERROR(IF(ISNUMBER(SEARCH(Assumptions!$C$5,C4263)),Assumptions!$D$5,IF(ISNUMBER(SEARCH(Assumptions!$C$6,C4263)),Assumptions!$D$6,IF(ISNUMBER(SEARCH(Assumptions!$C$7,C4263)),Assumptions!$D$7,"Other Services"))),"Other Services"))</f>
        <v/>
      </c>
    </row>
    <row r="4264" customFormat="false" ht="15" hidden="false" customHeight="false" outlineLevel="0" collapsed="false">
      <c r="F4264" s="41" t="str">
        <f aca="false">IF(C4264="","",IFERROR(IF(ISNUMBER(SEARCH(Assumptions!$C$5,C4264)),Assumptions!$D$5,IF(ISNUMBER(SEARCH(Assumptions!$C$6,C4264)),Assumptions!$D$6,IF(ISNUMBER(SEARCH(Assumptions!$C$7,C4264)),Assumptions!$D$7,"Other Services"))),"Other Services"))</f>
        <v/>
      </c>
    </row>
    <row r="4265" customFormat="false" ht="15" hidden="false" customHeight="false" outlineLevel="0" collapsed="false">
      <c r="F4265" s="41" t="str">
        <f aca="false">IF(C4265="","",IFERROR(IF(ISNUMBER(SEARCH(Assumptions!$C$5,C4265)),Assumptions!$D$5,IF(ISNUMBER(SEARCH(Assumptions!$C$6,C4265)),Assumptions!$D$6,IF(ISNUMBER(SEARCH(Assumptions!$C$7,C4265)),Assumptions!$D$7,"Other Services"))),"Other Services"))</f>
        <v/>
      </c>
    </row>
    <row r="4266" customFormat="false" ht="15" hidden="false" customHeight="false" outlineLevel="0" collapsed="false">
      <c r="F4266" s="41" t="str">
        <f aca="false">IF(C4266="","",IFERROR(IF(ISNUMBER(SEARCH(Assumptions!$C$5,C4266)),Assumptions!$D$5,IF(ISNUMBER(SEARCH(Assumptions!$C$6,C4266)),Assumptions!$D$6,IF(ISNUMBER(SEARCH(Assumptions!$C$7,C4266)),Assumptions!$D$7,"Other Services"))),"Other Services"))</f>
        <v/>
      </c>
    </row>
    <row r="4267" customFormat="false" ht="15" hidden="false" customHeight="false" outlineLevel="0" collapsed="false">
      <c r="F4267" s="41" t="str">
        <f aca="false">IF(C4267="","",IFERROR(IF(ISNUMBER(SEARCH(Assumptions!$C$5,C4267)),Assumptions!$D$5,IF(ISNUMBER(SEARCH(Assumptions!$C$6,C4267)),Assumptions!$D$6,IF(ISNUMBER(SEARCH(Assumptions!$C$7,C4267)),Assumptions!$D$7,"Other Services"))),"Other Services"))</f>
        <v/>
      </c>
    </row>
    <row r="4268" customFormat="false" ht="15" hidden="false" customHeight="false" outlineLevel="0" collapsed="false">
      <c r="F4268" s="41" t="str">
        <f aca="false">IF(C4268="","",IFERROR(IF(ISNUMBER(SEARCH(Assumptions!$C$5,C4268)),Assumptions!$D$5,IF(ISNUMBER(SEARCH(Assumptions!$C$6,C4268)),Assumptions!$D$6,IF(ISNUMBER(SEARCH(Assumptions!$C$7,C4268)),Assumptions!$D$7,"Other Services"))),"Other Services"))</f>
        <v/>
      </c>
    </row>
    <row r="4269" customFormat="false" ht="15" hidden="false" customHeight="false" outlineLevel="0" collapsed="false">
      <c r="F4269" s="41" t="str">
        <f aca="false">IF(C4269="","",IFERROR(IF(ISNUMBER(SEARCH(Assumptions!$C$5,C4269)),Assumptions!$D$5,IF(ISNUMBER(SEARCH(Assumptions!$C$6,C4269)),Assumptions!$D$6,IF(ISNUMBER(SEARCH(Assumptions!$C$7,C4269)),Assumptions!$D$7,"Other Services"))),"Other Services"))</f>
        <v/>
      </c>
    </row>
    <row r="4270" customFormat="false" ht="15" hidden="false" customHeight="false" outlineLevel="0" collapsed="false">
      <c r="F4270" s="41" t="str">
        <f aca="false">IF(C4270="","",IFERROR(IF(ISNUMBER(SEARCH(Assumptions!$C$5,C4270)),Assumptions!$D$5,IF(ISNUMBER(SEARCH(Assumptions!$C$6,C4270)),Assumptions!$D$6,IF(ISNUMBER(SEARCH(Assumptions!$C$7,C4270)),Assumptions!$D$7,"Other Services"))),"Other Services"))</f>
        <v/>
      </c>
    </row>
    <row r="4271" customFormat="false" ht="15" hidden="false" customHeight="false" outlineLevel="0" collapsed="false">
      <c r="F4271" s="41" t="str">
        <f aca="false">IF(C4271="","",IFERROR(IF(ISNUMBER(SEARCH(Assumptions!$C$5,C4271)),Assumptions!$D$5,IF(ISNUMBER(SEARCH(Assumptions!$C$6,C4271)),Assumptions!$D$6,IF(ISNUMBER(SEARCH(Assumptions!$C$7,C4271)),Assumptions!$D$7,"Other Services"))),"Other Services"))</f>
        <v/>
      </c>
    </row>
    <row r="4272" customFormat="false" ht="15" hidden="false" customHeight="false" outlineLevel="0" collapsed="false">
      <c r="F4272" s="41" t="str">
        <f aca="false">IF(C4272="","",IFERROR(IF(ISNUMBER(SEARCH(Assumptions!$C$5,C4272)),Assumptions!$D$5,IF(ISNUMBER(SEARCH(Assumptions!$C$6,C4272)),Assumptions!$D$6,IF(ISNUMBER(SEARCH(Assumptions!$C$7,C4272)),Assumptions!$D$7,"Other Services"))),"Other Services"))</f>
        <v/>
      </c>
    </row>
    <row r="4273" customFormat="false" ht="15" hidden="false" customHeight="false" outlineLevel="0" collapsed="false">
      <c r="F4273" s="41" t="str">
        <f aca="false">IF(C4273="","",IFERROR(IF(ISNUMBER(SEARCH(Assumptions!$C$5,C4273)),Assumptions!$D$5,IF(ISNUMBER(SEARCH(Assumptions!$C$6,C4273)),Assumptions!$D$6,IF(ISNUMBER(SEARCH(Assumptions!$C$7,C4273)),Assumptions!$D$7,"Other Services"))),"Other Services"))</f>
        <v/>
      </c>
    </row>
    <row r="4274" customFormat="false" ht="15" hidden="false" customHeight="false" outlineLevel="0" collapsed="false">
      <c r="F4274" s="41" t="str">
        <f aca="false">IF(C4274="","",IFERROR(IF(ISNUMBER(SEARCH(Assumptions!$C$5,C4274)),Assumptions!$D$5,IF(ISNUMBER(SEARCH(Assumptions!$C$6,C4274)),Assumptions!$D$6,IF(ISNUMBER(SEARCH(Assumptions!$C$7,C4274)),Assumptions!$D$7,"Other Services"))),"Other Services"))</f>
        <v/>
      </c>
    </row>
    <row r="4275" customFormat="false" ht="15" hidden="false" customHeight="false" outlineLevel="0" collapsed="false">
      <c r="F4275" s="41" t="str">
        <f aca="false">IF(C4275="","",IFERROR(IF(ISNUMBER(SEARCH(Assumptions!$C$5,C4275)),Assumptions!$D$5,IF(ISNUMBER(SEARCH(Assumptions!$C$6,C4275)),Assumptions!$D$6,IF(ISNUMBER(SEARCH(Assumptions!$C$7,C4275)),Assumptions!$D$7,"Other Services"))),"Other Services"))</f>
        <v/>
      </c>
    </row>
    <row r="4276" customFormat="false" ht="15" hidden="false" customHeight="false" outlineLevel="0" collapsed="false">
      <c r="F4276" s="41" t="str">
        <f aca="false">IF(C4276="","",IFERROR(IF(ISNUMBER(SEARCH(Assumptions!$C$5,C4276)),Assumptions!$D$5,IF(ISNUMBER(SEARCH(Assumptions!$C$6,C4276)),Assumptions!$D$6,IF(ISNUMBER(SEARCH(Assumptions!$C$7,C4276)),Assumptions!$D$7,"Other Services"))),"Other Services"))</f>
        <v/>
      </c>
    </row>
    <row r="4277" customFormat="false" ht="15" hidden="false" customHeight="false" outlineLevel="0" collapsed="false">
      <c r="F4277" s="41" t="str">
        <f aca="false">IF(C4277="","",IFERROR(IF(ISNUMBER(SEARCH(Assumptions!$C$5,C4277)),Assumptions!$D$5,IF(ISNUMBER(SEARCH(Assumptions!$C$6,C4277)),Assumptions!$D$6,IF(ISNUMBER(SEARCH(Assumptions!$C$7,C4277)),Assumptions!$D$7,"Other Services"))),"Other Services"))</f>
        <v/>
      </c>
    </row>
    <row r="4278" customFormat="false" ht="15" hidden="false" customHeight="false" outlineLevel="0" collapsed="false">
      <c r="F4278" s="41" t="str">
        <f aca="false">IF(C4278="","",IFERROR(IF(ISNUMBER(SEARCH(Assumptions!$C$5,C4278)),Assumptions!$D$5,IF(ISNUMBER(SEARCH(Assumptions!$C$6,C4278)),Assumptions!$D$6,IF(ISNUMBER(SEARCH(Assumptions!$C$7,C4278)),Assumptions!$D$7,"Other Services"))),"Other Services"))</f>
        <v/>
      </c>
    </row>
    <row r="4279" customFormat="false" ht="15" hidden="false" customHeight="false" outlineLevel="0" collapsed="false">
      <c r="F4279" s="41" t="str">
        <f aca="false">IF(C4279="","",IFERROR(IF(ISNUMBER(SEARCH(Assumptions!$C$5,C4279)),Assumptions!$D$5,IF(ISNUMBER(SEARCH(Assumptions!$C$6,C4279)),Assumptions!$D$6,IF(ISNUMBER(SEARCH(Assumptions!$C$7,C4279)),Assumptions!$D$7,"Other Services"))),"Other Services"))</f>
        <v/>
      </c>
    </row>
    <row r="4280" customFormat="false" ht="15" hidden="false" customHeight="false" outlineLevel="0" collapsed="false">
      <c r="F4280" s="41" t="str">
        <f aca="false">IF(C4280="","",IFERROR(IF(ISNUMBER(SEARCH(Assumptions!$C$5,C4280)),Assumptions!$D$5,IF(ISNUMBER(SEARCH(Assumptions!$C$6,C4280)),Assumptions!$D$6,IF(ISNUMBER(SEARCH(Assumptions!$C$7,C4280)),Assumptions!$D$7,"Other Services"))),"Other Services"))</f>
        <v/>
      </c>
    </row>
    <row r="4281" customFormat="false" ht="15" hidden="false" customHeight="false" outlineLevel="0" collapsed="false">
      <c r="F4281" s="41" t="str">
        <f aca="false">IF(C4281="","",IFERROR(IF(ISNUMBER(SEARCH(Assumptions!$C$5,C4281)),Assumptions!$D$5,IF(ISNUMBER(SEARCH(Assumptions!$C$6,C4281)),Assumptions!$D$6,IF(ISNUMBER(SEARCH(Assumptions!$C$7,C4281)),Assumptions!$D$7,"Other Services"))),"Other Services"))</f>
        <v/>
      </c>
    </row>
    <row r="4282" customFormat="false" ht="15" hidden="false" customHeight="false" outlineLevel="0" collapsed="false">
      <c r="F4282" s="41" t="str">
        <f aca="false">IF(C4282="","",IFERROR(IF(ISNUMBER(SEARCH(Assumptions!$C$5,C4282)),Assumptions!$D$5,IF(ISNUMBER(SEARCH(Assumptions!$C$6,C4282)),Assumptions!$D$6,IF(ISNUMBER(SEARCH(Assumptions!$C$7,C4282)),Assumptions!$D$7,"Other Services"))),"Other Services"))</f>
        <v/>
      </c>
    </row>
    <row r="4283" customFormat="false" ht="15" hidden="false" customHeight="false" outlineLevel="0" collapsed="false">
      <c r="F4283" s="41" t="str">
        <f aca="false">IF(C4283="","",IFERROR(IF(ISNUMBER(SEARCH(Assumptions!$C$5,C4283)),Assumptions!$D$5,IF(ISNUMBER(SEARCH(Assumptions!$C$6,C4283)),Assumptions!$D$6,IF(ISNUMBER(SEARCH(Assumptions!$C$7,C4283)),Assumptions!$D$7,"Other Services"))),"Other Services"))</f>
        <v/>
      </c>
    </row>
    <row r="4284" customFormat="false" ht="15" hidden="false" customHeight="false" outlineLevel="0" collapsed="false">
      <c r="F4284" s="41" t="str">
        <f aca="false">IF(C4284="","",IFERROR(IF(ISNUMBER(SEARCH(Assumptions!$C$5,C4284)),Assumptions!$D$5,IF(ISNUMBER(SEARCH(Assumptions!$C$6,C4284)),Assumptions!$D$6,IF(ISNUMBER(SEARCH(Assumptions!$C$7,C4284)),Assumptions!$D$7,"Other Services"))),"Other Services"))</f>
        <v/>
      </c>
    </row>
    <row r="4285" customFormat="false" ht="15" hidden="false" customHeight="false" outlineLevel="0" collapsed="false">
      <c r="F4285" s="41" t="str">
        <f aca="false">IF(C4285="","",IFERROR(IF(ISNUMBER(SEARCH(Assumptions!$C$5,C4285)),Assumptions!$D$5,IF(ISNUMBER(SEARCH(Assumptions!$C$6,C4285)),Assumptions!$D$6,IF(ISNUMBER(SEARCH(Assumptions!$C$7,C4285)),Assumptions!$D$7,"Other Services"))),"Other Services"))</f>
        <v/>
      </c>
    </row>
    <row r="4286" customFormat="false" ht="15" hidden="false" customHeight="false" outlineLevel="0" collapsed="false">
      <c r="F4286" s="41" t="str">
        <f aca="false">IF(C4286="","",IFERROR(IF(ISNUMBER(SEARCH(Assumptions!$C$5,C4286)),Assumptions!$D$5,IF(ISNUMBER(SEARCH(Assumptions!$C$6,C4286)),Assumptions!$D$6,IF(ISNUMBER(SEARCH(Assumptions!$C$7,C4286)),Assumptions!$D$7,"Other Services"))),"Other Services"))</f>
        <v/>
      </c>
    </row>
    <row r="4287" customFormat="false" ht="15" hidden="false" customHeight="false" outlineLevel="0" collapsed="false">
      <c r="F4287" s="41" t="str">
        <f aca="false">IF(C4287="","",IFERROR(IF(ISNUMBER(SEARCH(Assumptions!$C$5,C4287)),Assumptions!$D$5,IF(ISNUMBER(SEARCH(Assumptions!$C$6,C4287)),Assumptions!$D$6,IF(ISNUMBER(SEARCH(Assumptions!$C$7,C4287)),Assumptions!$D$7,"Other Services"))),"Other Services"))</f>
        <v/>
      </c>
    </row>
    <row r="4288" customFormat="false" ht="15" hidden="false" customHeight="false" outlineLevel="0" collapsed="false">
      <c r="F4288" s="41" t="str">
        <f aca="false">IF(C4288="","",IFERROR(IF(ISNUMBER(SEARCH(Assumptions!$C$5,C4288)),Assumptions!$D$5,IF(ISNUMBER(SEARCH(Assumptions!$C$6,C4288)),Assumptions!$D$6,IF(ISNUMBER(SEARCH(Assumptions!$C$7,C4288)),Assumptions!$D$7,"Other Services"))),"Other Services"))</f>
        <v/>
      </c>
    </row>
    <row r="4289" customFormat="false" ht="15" hidden="false" customHeight="false" outlineLevel="0" collapsed="false">
      <c r="F4289" s="41" t="str">
        <f aca="false">IF(C4289="","",IFERROR(IF(ISNUMBER(SEARCH(Assumptions!$C$5,C4289)),Assumptions!$D$5,IF(ISNUMBER(SEARCH(Assumptions!$C$6,C4289)),Assumptions!$D$6,IF(ISNUMBER(SEARCH(Assumptions!$C$7,C4289)),Assumptions!$D$7,"Other Services"))),"Other Services"))</f>
        <v/>
      </c>
    </row>
    <row r="4290" customFormat="false" ht="15" hidden="false" customHeight="false" outlineLevel="0" collapsed="false">
      <c r="F4290" s="41" t="str">
        <f aca="false">IF(C4290="","",IFERROR(IF(ISNUMBER(SEARCH(Assumptions!$C$5,C4290)),Assumptions!$D$5,IF(ISNUMBER(SEARCH(Assumptions!$C$6,C4290)),Assumptions!$D$6,IF(ISNUMBER(SEARCH(Assumptions!$C$7,C4290)),Assumptions!$D$7,"Other Services"))),"Other Services"))</f>
        <v/>
      </c>
    </row>
    <row r="4291" customFormat="false" ht="15" hidden="false" customHeight="false" outlineLevel="0" collapsed="false">
      <c r="F4291" s="41" t="str">
        <f aca="false">IF(C4291="","",IFERROR(IF(ISNUMBER(SEARCH(Assumptions!$C$5,C4291)),Assumptions!$D$5,IF(ISNUMBER(SEARCH(Assumptions!$C$6,C4291)),Assumptions!$D$6,IF(ISNUMBER(SEARCH(Assumptions!$C$7,C4291)),Assumptions!$D$7,"Other Services"))),"Other Services"))</f>
        <v/>
      </c>
    </row>
    <row r="4292" customFormat="false" ht="15" hidden="false" customHeight="false" outlineLevel="0" collapsed="false">
      <c r="F4292" s="41" t="str">
        <f aca="false">IF(C4292="","",IFERROR(IF(ISNUMBER(SEARCH(Assumptions!$C$5,C4292)),Assumptions!$D$5,IF(ISNUMBER(SEARCH(Assumptions!$C$6,C4292)),Assumptions!$D$6,IF(ISNUMBER(SEARCH(Assumptions!$C$7,C4292)),Assumptions!$D$7,"Other Services"))),"Other Services"))</f>
        <v/>
      </c>
    </row>
    <row r="4293" customFormat="false" ht="15" hidden="false" customHeight="false" outlineLevel="0" collapsed="false">
      <c r="F4293" s="41" t="str">
        <f aca="false">IF(C4293="","",IFERROR(IF(ISNUMBER(SEARCH(Assumptions!$C$5,C4293)),Assumptions!$D$5,IF(ISNUMBER(SEARCH(Assumptions!$C$6,C4293)),Assumptions!$D$6,IF(ISNUMBER(SEARCH(Assumptions!$C$7,C4293)),Assumptions!$D$7,"Other Services"))),"Other Services"))</f>
        <v/>
      </c>
    </row>
    <row r="4294" customFormat="false" ht="15" hidden="false" customHeight="false" outlineLevel="0" collapsed="false">
      <c r="F4294" s="41" t="str">
        <f aca="false">IF(C4294="","",IFERROR(IF(ISNUMBER(SEARCH(Assumptions!$C$5,C4294)),Assumptions!$D$5,IF(ISNUMBER(SEARCH(Assumptions!$C$6,C4294)),Assumptions!$D$6,IF(ISNUMBER(SEARCH(Assumptions!$C$7,C4294)),Assumptions!$D$7,"Other Services"))),"Other Services"))</f>
        <v/>
      </c>
    </row>
    <row r="4295" customFormat="false" ht="15" hidden="false" customHeight="false" outlineLevel="0" collapsed="false">
      <c r="F4295" s="41" t="str">
        <f aca="false">IF(C4295="","",IFERROR(IF(ISNUMBER(SEARCH(Assumptions!$C$5,C4295)),Assumptions!$D$5,IF(ISNUMBER(SEARCH(Assumptions!$C$6,C4295)),Assumptions!$D$6,IF(ISNUMBER(SEARCH(Assumptions!$C$7,C4295)),Assumptions!$D$7,"Other Services"))),"Other Services"))</f>
        <v/>
      </c>
    </row>
    <row r="4296" customFormat="false" ht="15" hidden="false" customHeight="false" outlineLevel="0" collapsed="false">
      <c r="F4296" s="41" t="str">
        <f aca="false">IF(C4296="","",IFERROR(IF(ISNUMBER(SEARCH(Assumptions!$C$5,C4296)),Assumptions!$D$5,IF(ISNUMBER(SEARCH(Assumptions!$C$6,C4296)),Assumptions!$D$6,IF(ISNUMBER(SEARCH(Assumptions!$C$7,C4296)),Assumptions!$D$7,"Other Services"))),"Other Services"))</f>
        <v/>
      </c>
    </row>
    <row r="4297" customFormat="false" ht="15" hidden="false" customHeight="false" outlineLevel="0" collapsed="false">
      <c r="F4297" s="41" t="str">
        <f aca="false">IF(C4297="","",IFERROR(IF(ISNUMBER(SEARCH(Assumptions!$C$5,C4297)),Assumptions!$D$5,IF(ISNUMBER(SEARCH(Assumptions!$C$6,C4297)),Assumptions!$D$6,IF(ISNUMBER(SEARCH(Assumptions!$C$7,C4297)),Assumptions!$D$7,"Other Services"))),"Other Services"))</f>
        <v/>
      </c>
    </row>
    <row r="4298" customFormat="false" ht="15" hidden="false" customHeight="false" outlineLevel="0" collapsed="false">
      <c r="F4298" s="41" t="str">
        <f aca="false">IF(C4298="","",IFERROR(IF(ISNUMBER(SEARCH(Assumptions!$C$5,C4298)),Assumptions!$D$5,IF(ISNUMBER(SEARCH(Assumptions!$C$6,C4298)),Assumptions!$D$6,IF(ISNUMBER(SEARCH(Assumptions!$C$7,C4298)),Assumptions!$D$7,"Other Services"))),"Other Services"))</f>
        <v/>
      </c>
    </row>
    <row r="4299" customFormat="false" ht="15" hidden="false" customHeight="false" outlineLevel="0" collapsed="false">
      <c r="F4299" s="41" t="str">
        <f aca="false">IF(C4299="","",IFERROR(IF(ISNUMBER(SEARCH(Assumptions!$C$5,C4299)),Assumptions!$D$5,IF(ISNUMBER(SEARCH(Assumptions!$C$6,C4299)),Assumptions!$D$6,IF(ISNUMBER(SEARCH(Assumptions!$C$7,C4299)),Assumptions!$D$7,"Other Services"))),"Other Services"))</f>
        <v/>
      </c>
    </row>
    <row r="4300" customFormat="false" ht="15" hidden="false" customHeight="false" outlineLevel="0" collapsed="false">
      <c r="F4300" s="41" t="str">
        <f aca="false">IF(C4300="","",IFERROR(IF(ISNUMBER(SEARCH(Assumptions!$C$5,C4300)),Assumptions!$D$5,IF(ISNUMBER(SEARCH(Assumptions!$C$6,C4300)),Assumptions!$D$6,IF(ISNUMBER(SEARCH(Assumptions!$C$7,C4300)),Assumptions!$D$7,"Other Services"))),"Other Services"))</f>
        <v/>
      </c>
    </row>
    <row r="4301" customFormat="false" ht="15" hidden="false" customHeight="false" outlineLevel="0" collapsed="false">
      <c r="F4301" s="41" t="str">
        <f aca="false">IF(C4301="","",IFERROR(IF(ISNUMBER(SEARCH(Assumptions!$C$5,C4301)),Assumptions!$D$5,IF(ISNUMBER(SEARCH(Assumptions!$C$6,C4301)),Assumptions!$D$6,IF(ISNUMBER(SEARCH(Assumptions!$C$7,C4301)),Assumptions!$D$7,"Other Services"))),"Other Services"))</f>
        <v/>
      </c>
    </row>
    <row r="4302" customFormat="false" ht="15" hidden="false" customHeight="false" outlineLevel="0" collapsed="false">
      <c r="F4302" s="41" t="str">
        <f aca="false">IF(C4302="","",IFERROR(IF(ISNUMBER(SEARCH(Assumptions!$C$5,C4302)),Assumptions!$D$5,IF(ISNUMBER(SEARCH(Assumptions!$C$6,C4302)),Assumptions!$D$6,IF(ISNUMBER(SEARCH(Assumptions!$C$7,C4302)),Assumptions!$D$7,"Other Services"))),"Other Services"))</f>
        <v/>
      </c>
    </row>
    <row r="4303" customFormat="false" ht="15" hidden="false" customHeight="false" outlineLevel="0" collapsed="false">
      <c r="F4303" s="41" t="str">
        <f aca="false">IF(C4303="","",IFERROR(IF(ISNUMBER(SEARCH(Assumptions!$C$5,C4303)),Assumptions!$D$5,IF(ISNUMBER(SEARCH(Assumptions!$C$6,C4303)),Assumptions!$D$6,IF(ISNUMBER(SEARCH(Assumptions!$C$7,C4303)),Assumptions!$D$7,"Other Services"))),"Other Services"))</f>
        <v/>
      </c>
    </row>
    <row r="4304" customFormat="false" ht="15" hidden="false" customHeight="false" outlineLevel="0" collapsed="false">
      <c r="F4304" s="41" t="str">
        <f aca="false">IF(C4304="","",IFERROR(IF(ISNUMBER(SEARCH(Assumptions!$C$5,C4304)),Assumptions!$D$5,IF(ISNUMBER(SEARCH(Assumptions!$C$6,C4304)),Assumptions!$D$6,IF(ISNUMBER(SEARCH(Assumptions!$C$7,C4304)),Assumptions!$D$7,"Other Services"))),"Other Services"))</f>
        <v/>
      </c>
    </row>
    <row r="4305" customFormat="false" ht="15" hidden="false" customHeight="false" outlineLevel="0" collapsed="false">
      <c r="F4305" s="41" t="str">
        <f aca="false">IF(C4305="","",IFERROR(IF(ISNUMBER(SEARCH(Assumptions!$C$5,C4305)),Assumptions!$D$5,IF(ISNUMBER(SEARCH(Assumptions!$C$6,C4305)),Assumptions!$D$6,IF(ISNUMBER(SEARCH(Assumptions!$C$7,C4305)),Assumptions!$D$7,"Other Services"))),"Other Services"))</f>
        <v/>
      </c>
    </row>
    <row r="4306" customFormat="false" ht="15" hidden="false" customHeight="false" outlineLevel="0" collapsed="false">
      <c r="F4306" s="41" t="str">
        <f aca="false">IF(C4306="","",IFERROR(IF(ISNUMBER(SEARCH(Assumptions!$C$5,C4306)),Assumptions!$D$5,IF(ISNUMBER(SEARCH(Assumptions!$C$6,C4306)),Assumptions!$D$6,IF(ISNUMBER(SEARCH(Assumptions!$C$7,C4306)),Assumptions!$D$7,"Other Services"))),"Other Services"))</f>
        <v/>
      </c>
    </row>
    <row r="4307" customFormat="false" ht="15" hidden="false" customHeight="false" outlineLevel="0" collapsed="false">
      <c r="F4307" s="41" t="str">
        <f aca="false">IF(C4307="","",IFERROR(IF(ISNUMBER(SEARCH(Assumptions!$C$5,C4307)),Assumptions!$D$5,IF(ISNUMBER(SEARCH(Assumptions!$C$6,C4307)),Assumptions!$D$6,IF(ISNUMBER(SEARCH(Assumptions!$C$7,C4307)),Assumptions!$D$7,"Other Services"))),"Other Services"))</f>
        <v/>
      </c>
    </row>
    <row r="4308" customFormat="false" ht="15" hidden="false" customHeight="false" outlineLevel="0" collapsed="false">
      <c r="F4308" s="41" t="str">
        <f aca="false">IF(C4308="","",IFERROR(IF(ISNUMBER(SEARCH(Assumptions!$C$5,C4308)),Assumptions!$D$5,IF(ISNUMBER(SEARCH(Assumptions!$C$6,C4308)),Assumptions!$D$6,IF(ISNUMBER(SEARCH(Assumptions!$C$7,C4308)),Assumptions!$D$7,"Other Services"))),"Other Services"))</f>
        <v/>
      </c>
    </row>
    <row r="4309" customFormat="false" ht="15" hidden="false" customHeight="false" outlineLevel="0" collapsed="false">
      <c r="F4309" s="41" t="str">
        <f aca="false">IF(C4309="","",IFERROR(IF(ISNUMBER(SEARCH(Assumptions!$C$5,C4309)),Assumptions!$D$5,IF(ISNUMBER(SEARCH(Assumptions!$C$6,C4309)),Assumptions!$D$6,IF(ISNUMBER(SEARCH(Assumptions!$C$7,C4309)),Assumptions!$D$7,"Other Services"))),"Other Services"))</f>
        <v/>
      </c>
    </row>
    <row r="4310" customFormat="false" ht="15" hidden="false" customHeight="false" outlineLevel="0" collapsed="false">
      <c r="F4310" s="41" t="str">
        <f aca="false">IF(C4310="","",IFERROR(IF(ISNUMBER(SEARCH(Assumptions!$C$5,C4310)),Assumptions!$D$5,IF(ISNUMBER(SEARCH(Assumptions!$C$6,C4310)),Assumptions!$D$6,IF(ISNUMBER(SEARCH(Assumptions!$C$7,C4310)),Assumptions!$D$7,"Other Services"))),"Other Services"))</f>
        <v/>
      </c>
    </row>
    <row r="4311" customFormat="false" ht="15" hidden="false" customHeight="false" outlineLevel="0" collapsed="false">
      <c r="F4311" s="41" t="str">
        <f aca="false">IF(C4311="","",IFERROR(IF(ISNUMBER(SEARCH(Assumptions!$C$5,C4311)),Assumptions!$D$5,IF(ISNUMBER(SEARCH(Assumptions!$C$6,C4311)),Assumptions!$D$6,IF(ISNUMBER(SEARCH(Assumptions!$C$7,C4311)),Assumptions!$D$7,"Other Services"))),"Other Services"))</f>
        <v/>
      </c>
    </row>
    <row r="4312" customFormat="false" ht="15" hidden="false" customHeight="false" outlineLevel="0" collapsed="false">
      <c r="F4312" s="41" t="str">
        <f aca="false">IF(C4312="","",IFERROR(IF(ISNUMBER(SEARCH(Assumptions!$C$5,C4312)),Assumptions!$D$5,IF(ISNUMBER(SEARCH(Assumptions!$C$6,C4312)),Assumptions!$D$6,IF(ISNUMBER(SEARCH(Assumptions!$C$7,C4312)),Assumptions!$D$7,"Other Services"))),"Other Services"))</f>
        <v/>
      </c>
    </row>
    <row r="4313" customFormat="false" ht="15" hidden="false" customHeight="false" outlineLevel="0" collapsed="false">
      <c r="F4313" s="41" t="str">
        <f aca="false">IF(C4313="","",IFERROR(IF(ISNUMBER(SEARCH(Assumptions!$C$5,C4313)),Assumptions!$D$5,IF(ISNUMBER(SEARCH(Assumptions!$C$6,C4313)),Assumptions!$D$6,IF(ISNUMBER(SEARCH(Assumptions!$C$7,C4313)),Assumptions!$D$7,"Other Services"))),"Other Services"))</f>
        <v/>
      </c>
    </row>
    <row r="4314" customFormat="false" ht="15" hidden="false" customHeight="false" outlineLevel="0" collapsed="false">
      <c r="F4314" s="41" t="str">
        <f aca="false">IF(C4314="","",IFERROR(IF(ISNUMBER(SEARCH(Assumptions!$C$5,C4314)),Assumptions!$D$5,IF(ISNUMBER(SEARCH(Assumptions!$C$6,C4314)),Assumptions!$D$6,IF(ISNUMBER(SEARCH(Assumptions!$C$7,C4314)),Assumptions!$D$7,"Other Services"))),"Other Services"))</f>
        <v/>
      </c>
    </row>
    <row r="4315" customFormat="false" ht="15" hidden="false" customHeight="false" outlineLevel="0" collapsed="false">
      <c r="F4315" s="41" t="str">
        <f aca="false">IF(C4315="","",IFERROR(IF(ISNUMBER(SEARCH(Assumptions!$C$5,C4315)),Assumptions!$D$5,IF(ISNUMBER(SEARCH(Assumptions!$C$6,C4315)),Assumptions!$D$6,IF(ISNUMBER(SEARCH(Assumptions!$C$7,C4315)),Assumptions!$D$7,"Other Services"))),"Other Services"))</f>
        <v/>
      </c>
    </row>
    <row r="4316" customFormat="false" ht="15" hidden="false" customHeight="false" outlineLevel="0" collapsed="false">
      <c r="F4316" s="41" t="str">
        <f aca="false">IF(C4316="","",IFERROR(IF(ISNUMBER(SEARCH(Assumptions!$C$5,C4316)),Assumptions!$D$5,IF(ISNUMBER(SEARCH(Assumptions!$C$6,C4316)),Assumptions!$D$6,IF(ISNUMBER(SEARCH(Assumptions!$C$7,C4316)),Assumptions!$D$7,"Other Services"))),"Other Services"))</f>
        <v/>
      </c>
    </row>
    <row r="4317" customFormat="false" ht="15" hidden="false" customHeight="false" outlineLevel="0" collapsed="false">
      <c r="F4317" s="41" t="str">
        <f aca="false">IF(C4317="","",IFERROR(IF(ISNUMBER(SEARCH(Assumptions!$C$5,C4317)),Assumptions!$D$5,IF(ISNUMBER(SEARCH(Assumptions!$C$6,C4317)),Assumptions!$D$6,IF(ISNUMBER(SEARCH(Assumptions!$C$7,C4317)),Assumptions!$D$7,"Other Services"))),"Other Services"))</f>
        <v/>
      </c>
    </row>
    <row r="4318" customFormat="false" ht="15" hidden="false" customHeight="false" outlineLevel="0" collapsed="false">
      <c r="F4318" s="41" t="str">
        <f aca="false">IF(C4318="","",IFERROR(IF(ISNUMBER(SEARCH(Assumptions!$C$5,C4318)),Assumptions!$D$5,IF(ISNUMBER(SEARCH(Assumptions!$C$6,C4318)),Assumptions!$D$6,IF(ISNUMBER(SEARCH(Assumptions!$C$7,C4318)),Assumptions!$D$7,"Other Services"))),"Other Services"))</f>
        <v/>
      </c>
    </row>
    <row r="4319" customFormat="false" ht="15" hidden="false" customHeight="false" outlineLevel="0" collapsed="false">
      <c r="F4319" s="41" t="str">
        <f aca="false">IF(C4319="","",IFERROR(IF(ISNUMBER(SEARCH(Assumptions!$C$5,C4319)),Assumptions!$D$5,IF(ISNUMBER(SEARCH(Assumptions!$C$6,C4319)),Assumptions!$D$6,IF(ISNUMBER(SEARCH(Assumptions!$C$7,C4319)),Assumptions!$D$7,"Other Services"))),"Other Services"))</f>
        <v/>
      </c>
    </row>
    <row r="4320" customFormat="false" ht="15" hidden="false" customHeight="false" outlineLevel="0" collapsed="false">
      <c r="F4320" s="41" t="str">
        <f aca="false">IF(C4320="","",IFERROR(IF(ISNUMBER(SEARCH(Assumptions!$C$5,C4320)),Assumptions!$D$5,IF(ISNUMBER(SEARCH(Assumptions!$C$6,C4320)),Assumptions!$D$6,IF(ISNUMBER(SEARCH(Assumptions!$C$7,C4320)),Assumptions!$D$7,"Other Services"))),"Other Services"))</f>
        <v/>
      </c>
    </row>
    <row r="4321" customFormat="false" ht="15" hidden="false" customHeight="false" outlineLevel="0" collapsed="false">
      <c r="F4321" s="41" t="str">
        <f aca="false">IF(C4321="","",IFERROR(IF(ISNUMBER(SEARCH(Assumptions!$C$5,C4321)),Assumptions!$D$5,IF(ISNUMBER(SEARCH(Assumptions!$C$6,C4321)),Assumptions!$D$6,IF(ISNUMBER(SEARCH(Assumptions!$C$7,C4321)),Assumptions!$D$7,"Other Services"))),"Other Services"))</f>
        <v/>
      </c>
    </row>
    <row r="4322" customFormat="false" ht="15" hidden="false" customHeight="false" outlineLevel="0" collapsed="false">
      <c r="F4322" s="41" t="str">
        <f aca="false">IF(C4322="","",IFERROR(IF(ISNUMBER(SEARCH(Assumptions!$C$5,C4322)),Assumptions!$D$5,IF(ISNUMBER(SEARCH(Assumptions!$C$6,C4322)),Assumptions!$D$6,IF(ISNUMBER(SEARCH(Assumptions!$C$7,C4322)),Assumptions!$D$7,"Other Services"))),"Other Services"))</f>
        <v/>
      </c>
    </row>
    <row r="4323" customFormat="false" ht="15" hidden="false" customHeight="false" outlineLevel="0" collapsed="false">
      <c r="F4323" s="41" t="str">
        <f aca="false">IF(C4323="","",IFERROR(IF(ISNUMBER(SEARCH(Assumptions!$C$5,C4323)),Assumptions!$D$5,IF(ISNUMBER(SEARCH(Assumptions!$C$6,C4323)),Assumptions!$D$6,IF(ISNUMBER(SEARCH(Assumptions!$C$7,C4323)),Assumptions!$D$7,"Other Services"))),"Other Services"))</f>
        <v/>
      </c>
    </row>
    <row r="4324" customFormat="false" ht="15" hidden="false" customHeight="false" outlineLevel="0" collapsed="false">
      <c r="F4324" s="41" t="str">
        <f aca="false">IF(C4324="","",IFERROR(IF(ISNUMBER(SEARCH(Assumptions!$C$5,C4324)),Assumptions!$D$5,IF(ISNUMBER(SEARCH(Assumptions!$C$6,C4324)),Assumptions!$D$6,IF(ISNUMBER(SEARCH(Assumptions!$C$7,C4324)),Assumptions!$D$7,"Other Services"))),"Other Services"))</f>
        <v/>
      </c>
    </row>
    <row r="4325" customFormat="false" ht="15" hidden="false" customHeight="false" outlineLevel="0" collapsed="false">
      <c r="F4325" s="41" t="str">
        <f aca="false">IF(C4325="","",IFERROR(IF(ISNUMBER(SEARCH(Assumptions!$C$5,C4325)),Assumptions!$D$5,IF(ISNUMBER(SEARCH(Assumptions!$C$6,C4325)),Assumptions!$D$6,IF(ISNUMBER(SEARCH(Assumptions!$C$7,C4325)),Assumptions!$D$7,"Other Services"))),"Other Services"))</f>
        <v/>
      </c>
    </row>
    <row r="4326" customFormat="false" ht="15" hidden="false" customHeight="false" outlineLevel="0" collapsed="false">
      <c r="F4326" s="41" t="str">
        <f aca="false">IF(C4326="","",IFERROR(IF(ISNUMBER(SEARCH(Assumptions!$C$5,C4326)),Assumptions!$D$5,IF(ISNUMBER(SEARCH(Assumptions!$C$6,C4326)),Assumptions!$D$6,IF(ISNUMBER(SEARCH(Assumptions!$C$7,C4326)),Assumptions!$D$7,"Other Services"))),"Other Services"))</f>
        <v/>
      </c>
    </row>
    <row r="4327" customFormat="false" ht="15" hidden="false" customHeight="false" outlineLevel="0" collapsed="false">
      <c r="F4327" s="41" t="str">
        <f aca="false">IF(C4327="","",IFERROR(IF(ISNUMBER(SEARCH(Assumptions!$C$5,C4327)),Assumptions!$D$5,IF(ISNUMBER(SEARCH(Assumptions!$C$6,C4327)),Assumptions!$D$6,IF(ISNUMBER(SEARCH(Assumptions!$C$7,C4327)),Assumptions!$D$7,"Other Services"))),"Other Services"))</f>
        <v/>
      </c>
    </row>
    <row r="4328" customFormat="false" ht="15" hidden="false" customHeight="false" outlineLevel="0" collapsed="false">
      <c r="F4328" s="41" t="str">
        <f aca="false">IF(C4328="","",IFERROR(IF(ISNUMBER(SEARCH(Assumptions!$C$5,C4328)),Assumptions!$D$5,IF(ISNUMBER(SEARCH(Assumptions!$C$6,C4328)),Assumptions!$D$6,IF(ISNUMBER(SEARCH(Assumptions!$C$7,C4328)),Assumptions!$D$7,"Other Services"))),"Other Services"))</f>
        <v/>
      </c>
    </row>
    <row r="4329" customFormat="false" ht="15" hidden="false" customHeight="false" outlineLevel="0" collapsed="false">
      <c r="F4329" s="41" t="str">
        <f aca="false">IF(C4329="","",IFERROR(IF(ISNUMBER(SEARCH(Assumptions!$C$5,C4329)),Assumptions!$D$5,IF(ISNUMBER(SEARCH(Assumptions!$C$6,C4329)),Assumptions!$D$6,IF(ISNUMBER(SEARCH(Assumptions!$C$7,C4329)),Assumptions!$D$7,"Other Services"))),"Other Services"))</f>
        <v/>
      </c>
    </row>
    <row r="4330" customFormat="false" ht="15" hidden="false" customHeight="false" outlineLevel="0" collapsed="false">
      <c r="F4330" s="41" t="str">
        <f aca="false">IF(C4330="","",IFERROR(IF(ISNUMBER(SEARCH(Assumptions!$C$5,C4330)),Assumptions!$D$5,IF(ISNUMBER(SEARCH(Assumptions!$C$6,C4330)),Assumptions!$D$6,IF(ISNUMBER(SEARCH(Assumptions!$C$7,C4330)),Assumptions!$D$7,"Other Services"))),"Other Services"))</f>
        <v/>
      </c>
    </row>
    <row r="4331" customFormat="false" ht="15" hidden="false" customHeight="false" outlineLevel="0" collapsed="false">
      <c r="F4331" s="41" t="str">
        <f aca="false">IF(C4331="","",IFERROR(IF(ISNUMBER(SEARCH(Assumptions!$C$5,C4331)),Assumptions!$D$5,IF(ISNUMBER(SEARCH(Assumptions!$C$6,C4331)),Assumptions!$D$6,IF(ISNUMBER(SEARCH(Assumptions!$C$7,C4331)),Assumptions!$D$7,"Other Services"))),"Other Services"))</f>
        <v/>
      </c>
    </row>
    <row r="4332" customFormat="false" ht="15" hidden="false" customHeight="false" outlineLevel="0" collapsed="false">
      <c r="F4332" s="41" t="str">
        <f aca="false">IF(C4332="","",IFERROR(IF(ISNUMBER(SEARCH(Assumptions!$C$5,C4332)),Assumptions!$D$5,IF(ISNUMBER(SEARCH(Assumptions!$C$6,C4332)),Assumptions!$D$6,IF(ISNUMBER(SEARCH(Assumptions!$C$7,C4332)),Assumptions!$D$7,"Other Services"))),"Other Services"))</f>
        <v/>
      </c>
    </row>
    <row r="4333" customFormat="false" ht="15" hidden="false" customHeight="false" outlineLevel="0" collapsed="false">
      <c r="F4333" s="41" t="str">
        <f aca="false">IF(C4333="","",IFERROR(IF(ISNUMBER(SEARCH(Assumptions!$C$5,C4333)),Assumptions!$D$5,IF(ISNUMBER(SEARCH(Assumptions!$C$6,C4333)),Assumptions!$D$6,IF(ISNUMBER(SEARCH(Assumptions!$C$7,C4333)),Assumptions!$D$7,"Other Services"))),"Other Services"))</f>
        <v/>
      </c>
    </row>
    <row r="4334" customFormat="false" ht="15" hidden="false" customHeight="false" outlineLevel="0" collapsed="false">
      <c r="F4334" s="41" t="str">
        <f aca="false">IF(C4334="","",IFERROR(IF(ISNUMBER(SEARCH(Assumptions!$C$5,C4334)),Assumptions!$D$5,IF(ISNUMBER(SEARCH(Assumptions!$C$6,C4334)),Assumptions!$D$6,IF(ISNUMBER(SEARCH(Assumptions!$C$7,C4334)),Assumptions!$D$7,"Other Services"))),"Other Services"))</f>
        <v/>
      </c>
    </row>
    <row r="4335" customFormat="false" ht="15" hidden="false" customHeight="false" outlineLevel="0" collapsed="false">
      <c r="F4335" s="41" t="str">
        <f aca="false">IF(C4335="","",IFERROR(IF(ISNUMBER(SEARCH(Assumptions!$C$5,C4335)),Assumptions!$D$5,IF(ISNUMBER(SEARCH(Assumptions!$C$6,C4335)),Assumptions!$D$6,IF(ISNUMBER(SEARCH(Assumptions!$C$7,C4335)),Assumptions!$D$7,"Other Services"))),"Other Services"))</f>
        <v/>
      </c>
    </row>
    <row r="4336" customFormat="false" ht="15" hidden="false" customHeight="false" outlineLevel="0" collapsed="false">
      <c r="F4336" s="41" t="str">
        <f aca="false">IF(C4336="","",IFERROR(IF(ISNUMBER(SEARCH(Assumptions!$C$5,C4336)),Assumptions!$D$5,IF(ISNUMBER(SEARCH(Assumptions!$C$6,C4336)),Assumptions!$D$6,IF(ISNUMBER(SEARCH(Assumptions!$C$7,C4336)),Assumptions!$D$7,"Other Services"))),"Other Services"))</f>
        <v/>
      </c>
    </row>
    <row r="4337" customFormat="false" ht="15" hidden="false" customHeight="false" outlineLevel="0" collapsed="false">
      <c r="F4337" s="41" t="str">
        <f aca="false">IF(C4337="","",IFERROR(IF(ISNUMBER(SEARCH(Assumptions!$C$5,C4337)),Assumptions!$D$5,IF(ISNUMBER(SEARCH(Assumptions!$C$6,C4337)),Assumptions!$D$6,IF(ISNUMBER(SEARCH(Assumptions!$C$7,C4337)),Assumptions!$D$7,"Other Services"))),"Other Services"))</f>
        <v/>
      </c>
    </row>
    <row r="4338" customFormat="false" ht="15" hidden="false" customHeight="false" outlineLevel="0" collapsed="false">
      <c r="F4338" s="41" t="str">
        <f aca="false">IF(C4338="","",IFERROR(IF(ISNUMBER(SEARCH(Assumptions!$C$5,C4338)),Assumptions!$D$5,IF(ISNUMBER(SEARCH(Assumptions!$C$6,C4338)),Assumptions!$D$6,IF(ISNUMBER(SEARCH(Assumptions!$C$7,C4338)),Assumptions!$D$7,"Other Services"))),"Other Services"))</f>
        <v/>
      </c>
    </row>
    <row r="4339" customFormat="false" ht="15" hidden="false" customHeight="false" outlineLevel="0" collapsed="false">
      <c r="F4339" s="41" t="str">
        <f aca="false">IF(C4339="","",IFERROR(IF(ISNUMBER(SEARCH(Assumptions!$C$5,C4339)),Assumptions!$D$5,IF(ISNUMBER(SEARCH(Assumptions!$C$6,C4339)),Assumptions!$D$6,IF(ISNUMBER(SEARCH(Assumptions!$C$7,C4339)),Assumptions!$D$7,"Other Services"))),"Other Services"))</f>
        <v/>
      </c>
    </row>
    <row r="4340" customFormat="false" ht="15" hidden="false" customHeight="false" outlineLevel="0" collapsed="false">
      <c r="F4340" s="41" t="str">
        <f aca="false">IF(C4340="","",IFERROR(IF(ISNUMBER(SEARCH(Assumptions!$C$5,C4340)),Assumptions!$D$5,IF(ISNUMBER(SEARCH(Assumptions!$C$6,C4340)),Assumptions!$D$6,IF(ISNUMBER(SEARCH(Assumptions!$C$7,C4340)),Assumptions!$D$7,"Other Services"))),"Other Services"))</f>
        <v/>
      </c>
    </row>
    <row r="4341" customFormat="false" ht="15" hidden="false" customHeight="false" outlineLevel="0" collapsed="false">
      <c r="F4341" s="41" t="str">
        <f aca="false">IF(C4341="","",IFERROR(IF(ISNUMBER(SEARCH(Assumptions!$C$5,C4341)),Assumptions!$D$5,IF(ISNUMBER(SEARCH(Assumptions!$C$6,C4341)),Assumptions!$D$6,IF(ISNUMBER(SEARCH(Assumptions!$C$7,C4341)),Assumptions!$D$7,"Other Services"))),"Other Services"))</f>
        <v/>
      </c>
    </row>
    <row r="4342" customFormat="false" ht="15" hidden="false" customHeight="false" outlineLevel="0" collapsed="false">
      <c r="F4342" s="41" t="str">
        <f aca="false">IF(C4342="","",IFERROR(IF(ISNUMBER(SEARCH(Assumptions!$C$5,C4342)),Assumptions!$D$5,IF(ISNUMBER(SEARCH(Assumptions!$C$6,C4342)),Assumptions!$D$6,IF(ISNUMBER(SEARCH(Assumptions!$C$7,C4342)),Assumptions!$D$7,"Other Services"))),"Other Services"))</f>
        <v/>
      </c>
    </row>
    <row r="4343" customFormat="false" ht="15" hidden="false" customHeight="false" outlineLevel="0" collapsed="false">
      <c r="F4343" s="41" t="str">
        <f aca="false">IF(C4343="","",IFERROR(IF(ISNUMBER(SEARCH(Assumptions!$C$5,C4343)),Assumptions!$D$5,IF(ISNUMBER(SEARCH(Assumptions!$C$6,C4343)),Assumptions!$D$6,IF(ISNUMBER(SEARCH(Assumptions!$C$7,C4343)),Assumptions!$D$7,"Other Services"))),"Other Services"))</f>
        <v/>
      </c>
    </row>
    <row r="4344" customFormat="false" ht="15" hidden="false" customHeight="false" outlineLevel="0" collapsed="false">
      <c r="F4344" s="41" t="str">
        <f aca="false">IF(C4344="","",IFERROR(IF(ISNUMBER(SEARCH(Assumptions!$C$5,C4344)),Assumptions!$D$5,IF(ISNUMBER(SEARCH(Assumptions!$C$6,C4344)),Assumptions!$D$6,IF(ISNUMBER(SEARCH(Assumptions!$C$7,C4344)),Assumptions!$D$7,"Other Services"))),"Other Services"))</f>
        <v/>
      </c>
    </row>
    <row r="4345" customFormat="false" ht="15" hidden="false" customHeight="false" outlineLevel="0" collapsed="false">
      <c r="F4345" s="41" t="str">
        <f aca="false">IF(C4345="","",IFERROR(IF(ISNUMBER(SEARCH(Assumptions!$C$5,C4345)),Assumptions!$D$5,IF(ISNUMBER(SEARCH(Assumptions!$C$6,C4345)),Assumptions!$D$6,IF(ISNUMBER(SEARCH(Assumptions!$C$7,C4345)),Assumptions!$D$7,"Other Services"))),"Other Services"))</f>
        <v/>
      </c>
    </row>
    <row r="4346" customFormat="false" ht="15" hidden="false" customHeight="false" outlineLevel="0" collapsed="false">
      <c r="F4346" s="41" t="str">
        <f aca="false">IF(C4346="","",IFERROR(IF(ISNUMBER(SEARCH(Assumptions!$C$5,C4346)),Assumptions!$D$5,IF(ISNUMBER(SEARCH(Assumptions!$C$6,C4346)),Assumptions!$D$6,IF(ISNUMBER(SEARCH(Assumptions!$C$7,C4346)),Assumptions!$D$7,"Other Services"))),"Other Services"))</f>
        <v/>
      </c>
    </row>
    <row r="4347" customFormat="false" ht="15" hidden="false" customHeight="false" outlineLevel="0" collapsed="false">
      <c r="F4347" s="41" t="str">
        <f aca="false">IF(C4347="","",IFERROR(IF(ISNUMBER(SEARCH(Assumptions!$C$5,C4347)),Assumptions!$D$5,IF(ISNUMBER(SEARCH(Assumptions!$C$6,C4347)),Assumptions!$D$6,IF(ISNUMBER(SEARCH(Assumptions!$C$7,C4347)),Assumptions!$D$7,"Other Services"))),"Other Services"))</f>
        <v/>
      </c>
    </row>
    <row r="4348" customFormat="false" ht="15" hidden="false" customHeight="false" outlineLevel="0" collapsed="false">
      <c r="F4348" s="41" t="str">
        <f aca="false">IF(C4348="","",IFERROR(IF(ISNUMBER(SEARCH(Assumptions!$C$5,C4348)),Assumptions!$D$5,IF(ISNUMBER(SEARCH(Assumptions!$C$6,C4348)),Assumptions!$D$6,IF(ISNUMBER(SEARCH(Assumptions!$C$7,C4348)),Assumptions!$D$7,"Other Services"))),"Other Services"))</f>
        <v/>
      </c>
    </row>
    <row r="4349" customFormat="false" ht="15" hidden="false" customHeight="false" outlineLevel="0" collapsed="false">
      <c r="F4349" s="41" t="str">
        <f aca="false">IF(C4349="","",IFERROR(IF(ISNUMBER(SEARCH(Assumptions!$C$5,C4349)),Assumptions!$D$5,IF(ISNUMBER(SEARCH(Assumptions!$C$6,C4349)),Assumptions!$D$6,IF(ISNUMBER(SEARCH(Assumptions!$C$7,C4349)),Assumptions!$D$7,"Other Services"))),"Other Services"))</f>
        <v/>
      </c>
    </row>
    <row r="4350" customFormat="false" ht="15" hidden="false" customHeight="false" outlineLevel="0" collapsed="false">
      <c r="F4350" s="41" t="str">
        <f aca="false">IF(C4350="","",IFERROR(IF(ISNUMBER(SEARCH(Assumptions!$C$5,C4350)),Assumptions!$D$5,IF(ISNUMBER(SEARCH(Assumptions!$C$6,C4350)),Assumptions!$D$6,IF(ISNUMBER(SEARCH(Assumptions!$C$7,C4350)),Assumptions!$D$7,"Other Services"))),"Other Services"))</f>
        <v/>
      </c>
    </row>
    <row r="4351" customFormat="false" ht="15" hidden="false" customHeight="false" outlineLevel="0" collapsed="false">
      <c r="F4351" s="41" t="str">
        <f aca="false">IF(C4351="","",IFERROR(IF(ISNUMBER(SEARCH(Assumptions!$C$5,C4351)),Assumptions!$D$5,IF(ISNUMBER(SEARCH(Assumptions!$C$6,C4351)),Assumptions!$D$6,IF(ISNUMBER(SEARCH(Assumptions!$C$7,C4351)),Assumptions!$D$7,"Other Services"))),"Other Services"))</f>
        <v/>
      </c>
    </row>
    <row r="4352" customFormat="false" ht="15" hidden="false" customHeight="false" outlineLevel="0" collapsed="false">
      <c r="F4352" s="41" t="str">
        <f aca="false">IF(C4352="","",IFERROR(IF(ISNUMBER(SEARCH(Assumptions!$C$5,C4352)),Assumptions!$D$5,IF(ISNUMBER(SEARCH(Assumptions!$C$6,C4352)),Assumptions!$D$6,IF(ISNUMBER(SEARCH(Assumptions!$C$7,C4352)),Assumptions!$D$7,"Other Services"))),"Other Services"))</f>
        <v/>
      </c>
    </row>
    <row r="4353" customFormat="false" ht="15" hidden="false" customHeight="false" outlineLevel="0" collapsed="false">
      <c r="F4353" s="41" t="str">
        <f aca="false">IF(C4353="","",IFERROR(IF(ISNUMBER(SEARCH(Assumptions!$C$5,C4353)),Assumptions!$D$5,IF(ISNUMBER(SEARCH(Assumptions!$C$6,C4353)),Assumptions!$D$6,IF(ISNUMBER(SEARCH(Assumptions!$C$7,C4353)),Assumptions!$D$7,"Other Services"))),"Other Services"))</f>
        <v/>
      </c>
    </row>
    <row r="4354" customFormat="false" ht="15" hidden="false" customHeight="false" outlineLevel="0" collapsed="false">
      <c r="F4354" s="41" t="str">
        <f aca="false">IF(C4354="","",IFERROR(IF(ISNUMBER(SEARCH(Assumptions!$C$5,C4354)),Assumptions!$D$5,IF(ISNUMBER(SEARCH(Assumptions!$C$6,C4354)),Assumptions!$D$6,IF(ISNUMBER(SEARCH(Assumptions!$C$7,C4354)),Assumptions!$D$7,"Other Services"))),"Other Services"))</f>
        <v/>
      </c>
    </row>
    <row r="4355" customFormat="false" ht="15" hidden="false" customHeight="false" outlineLevel="0" collapsed="false">
      <c r="F4355" s="41" t="str">
        <f aca="false">IF(C4355="","",IFERROR(IF(ISNUMBER(SEARCH(Assumptions!$C$5,C4355)),Assumptions!$D$5,IF(ISNUMBER(SEARCH(Assumptions!$C$6,C4355)),Assumptions!$D$6,IF(ISNUMBER(SEARCH(Assumptions!$C$7,C4355)),Assumptions!$D$7,"Other Services"))),"Other Services"))</f>
        <v/>
      </c>
    </row>
    <row r="4356" customFormat="false" ht="15" hidden="false" customHeight="false" outlineLevel="0" collapsed="false">
      <c r="F4356" s="41" t="str">
        <f aca="false">IF(C4356="","",IFERROR(IF(ISNUMBER(SEARCH(Assumptions!$C$5,C4356)),Assumptions!$D$5,IF(ISNUMBER(SEARCH(Assumptions!$C$6,C4356)),Assumptions!$D$6,IF(ISNUMBER(SEARCH(Assumptions!$C$7,C4356)),Assumptions!$D$7,"Other Services"))),"Other Services"))</f>
        <v/>
      </c>
    </row>
    <row r="4357" customFormat="false" ht="15" hidden="false" customHeight="false" outlineLevel="0" collapsed="false">
      <c r="F4357" s="41" t="str">
        <f aca="false">IF(C4357="","",IFERROR(IF(ISNUMBER(SEARCH(Assumptions!$C$5,C4357)),Assumptions!$D$5,IF(ISNUMBER(SEARCH(Assumptions!$C$6,C4357)),Assumptions!$D$6,IF(ISNUMBER(SEARCH(Assumptions!$C$7,C4357)),Assumptions!$D$7,"Other Services"))),"Other Services"))</f>
        <v/>
      </c>
    </row>
    <row r="4358" customFormat="false" ht="15" hidden="false" customHeight="false" outlineLevel="0" collapsed="false">
      <c r="F4358" s="41" t="str">
        <f aca="false">IF(C4358="","",IFERROR(IF(ISNUMBER(SEARCH(Assumptions!$C$5,C4358)),Assumptions!$D$5,IF(ISNUMBER(SEARCH(Assumptions!$C$6,C4358)),Assumptions!$D$6,IF(ISNUMBER(SEARCH(Assumptions!$C$7,C4358)),Assumptions!$D$7,"Other Services"))),"Other Services"))</f>
        <v/>
      </c>
    </row>
    <row r="4359" customFormat="false" ht="15" hidden="false" customHeight="false" outlineLevel="0" collapsed="false">
      <c r="F4359" s="41" t="str">
        <f aca="false">IF(C4359="","",IFERROR(IF(ISNUMBER(SEARCH(Assumptions!$C$5,C4359)),Assumptions!$D$5,IF(ISNUMBER(SEARCH(Assumptions!$C$6,C4359)),Assumptions!$D$6,IF(ISNUMBER(SEARCH(Assumptions!$C$7,C4359)),Assumptions!$D$7,"Other Services"))),"Other Services"))</f>
        <v/>
      </c>
    </row>
    <row r="4360" customFormat="false" ht="15" hidden="false" customHeight="false" outlineLevel="0" collapsed="false">
      <c r="F4360" s="41" t="str">
        <f aca="false">IF(C4360="","",IFERROR(IF(ISNUMBER(SEARCH(Assumptions!$C$5,C4360)),Assumptions!$D$5,IF(ISNUMBER(SEARCH(Assumptions!$C$6,C4360)),Assumptions!$D$6,IF(ISNUMBER(SEARCH(Assumptions!$C$7,C4360)),Assumptions!$D$7,"Other Services"))),"Other Services"))</f>
        <v/>
      </c>
    </row>
    <row r="4361" customFormat="false" ht="15" hidden="false" customHeight="false" outlineLevel="0" collapsed="false">
      <c r="F4361" s="41" t="str">
        <f aca="false">IF(C4361="","",IFERROR(IF(ISNUMBER(SEARCH(Assumptions!$C$5,C4361)),Assumptions!$D$5,IF(ISNUMBER(SEARCH(Assumptions!$C$6,C4361)),Assumptions!$D$6,IF(ISNUMBER(SEARCH(Assumptions!$C$7,C4361)),Assumptions!$D$7,"Other Services"))),"Other Services"))</f>
        <v/>
      </c>
    </row>
    <row r="4362" customFormat="false" ht="15" hidden="false" customHeight="false" outlineLevel="0" collapsed="false">
      <c r="F4362" s="41" t="str">
        <f aca="false">IF(C4362="","",IFERROR(IF(ISNUMBER(SEARCH(Assumptions!$C$5,C4362)),Assumptions!$D$5,IF(ISNUMBER(SEARCH(Assumptions!$C$6,C4362)),Assumptions!$D$6,IF(ISNUMBER(SEARCH(Assumptions!$C$7,C4362)),Assumptions!$D$7,"Other Services"))),"Other Services"))</f>
        <v/>
      </c>
    </row>
    <row r="4363" customFormat="false" ht="15" hidden="false" customHeight="false" outlineLevel="0" collapsed="false">
      <c r="F4363" s="41" t="str">
        <f aca="false">IF(C4363="","",IFERROR(IF(ISNUMBER(SEARCH(Assumptions!$C$5,C4363)),Assumptions!$D$5,IF(ISNUMBER(SEARCH(Assumptions!$C$6,C4363)),Assumptions!$D$6,IF(ISNUMBER(SEARCH(Assumptions!$C$7,C4363)),Assumptions!$D$7,"Other Services"))),"Other Services"))</f>
        <v/>
      </c>
    </row>
    <row r="4364" customFormat="false" ht="15" hidden="false" customHeight="false" outlineLevel="0" collapsed="false">
      <c r="F4364" s="41" t="str">
        <f aca="false">IF(C4364="","",IFERROR(IF(ISNUMBER(SEARCH(Assumptions!$C$5,C4364)),Assumptions!$D$5,IF(ISNUMBER(SEARCH(Assumptions!$C$6,C4364)),Assumptions!$D$6,IF(ISNUMBER(SEARCH(Assumptions!$C$7,C4364)),Assumptions!$D$7,"Other Services"))),"Other Services"))</f>
        <v/>
      </c>
    </row>
    <row r="4365" customFormat="false" ht="15" hidden="false" customHeight="false" outlineLevel="0" collapsed="false">
      <c r="F4365" s="41" t="str">
        <f aca="false">IF(C4365="","",IFERROR(IF(ISNUMBER(SEARCH(Assumptions!$C$5,C4365)),Assumptions!$D$5,IF(ISNUMBER(SEARCH(Assumptions!$C$6,C4365)),Assumptions!$D$6,IF(ISNUMBER(SEARCH(Assumptions!$C$7,C4365)),Assumptions!$D$7,"Other Services"))),"Other Services"))</f>
        <v/>
      </c>
    </row>
    <row r="4366" customFormat="false" ht="15" hidden="false" customHeight="false" outlineLevel="0" collapsed="false">
      <c r="F4366" s="41" t="str">
        <f aca="false">IF(C4366="","",IFERROR(IF(ISNUMBER(SEARCH(Assumptions!$C$5,C4366)),Assumptions!$D$5,IF(ISNUMBER(SEARCH(Assumptions!$C$6,C4366)),Assumptions!$D$6,IF(ISNUMBER(SEARCH(Assumptions!$C$7,C4366)),Assumptions!$D$7,"Other Services"))),"Other Services"))</f>
        <v/>
      </c>
    </row>
    <row r="4367" customFormat="false" ht="15" hidden="false" customHeight="false" outlineLevel="0" collapsed="false">
      <c r="F4367" s="41" t="str">
        <f aca="false">IF(C4367="","",IFERROR(IF(ISNUMBER(SEARCH(Assumptions!$C$5,C4367)),Assumptions!$D$5,IF(ISNUMBER(SEARCH(Assumptions!$C$6,C4367)),Assumptions!$D$6,IF(ISNUMBER(SEARCH(Assumptions!$C$7,C4367)),Assumptions!$D$7,"Other Services"))),"Other Services"))</f>
        <v/>
      </c>
    </row>
    <row r="4368" customFormat="false" ht="15" hidden="false" customHeight="false" outlineLevel="0" collapsed="false">
      <c r="F4368" s="41" t="str">
        <f aca="false">IF(C4368="","",IFERROR(IF(ISNUMBER(SEARCH(Assumptions!$C$5,C4368)),Assumptions!$D$5,IF(ISNUMBER(SEARCH(Assumptions!$C$6,C4368)),Assumptions!$D$6,IF(ISNUMBER(SEARCH(Assumptions!$C$7,C4368)),Assumptions!$D$7,"Other Services"))),"Other Services"))</f>
        <v/>
      </c>
    </row>
    <row r="4369" customFormat="false" ht="15" hidden="false" customHeight="false" outlineLevel="0" collapsed="false">
      <c r="F4369" s="41" t="str">
        <f aca="false">IF(C4369="","",IFERROR(IF(ISNUMBER(SEARCH(Assumptions!$C$5,C4369)),Assumptions!$D$5,IF(ISNUMBER(SEARCH(Assumptions!$C$6,C4369)),Assumptions!$D$6,IF(ISNUMBER(SEARCH(Assumptions!$C$7,C4369)),Assumptions!$D$7,"Other Services"))),"Other Services"))</f>
        <v/>
      </c>
    </row>
    <row r="4370" customFormat="false" ht="15" hidden="false" customHeight="false" outlineLevel="0" collapsed="false">
      <c r="F4370" s="41" t="str">
        <f aca="false">IF(C4370="","",IFERROR(IF(ISNUMBER(SEARCH(Assumptions!$C$5,C4370)),Assumptions!$D$5,IF(ISNUMBER(SEARCH(Assumptions!$C$6,C4370)),Assumptions!$D$6,IF(ISNUMBER(SEARCH(Assumptions!$C$7,C4370)),Assumptions!$D$7,"Other Services"))),"Other Services"))</f>
        <v/>
      </c>
    </row>
    <row r="4371" customFormat="false" ht="15" hidden="false" customHeight="false" outlineLevel="0" collapsed="false">
      <c r="F4371" s="41" t="str">
        <f aca="false">IF(C4371="","",IFERROR(IF(ISNUMBER(SEARCH(Assumptions!$C$5,C4371)),Assumptions!$D$5,IF(ISNUMBER(SEARCH(Assumptions!$C$6,C4371)),Assumptions!$D$6,IF(ISNUMBER(SEARCH(Assumptions!$C$7,C4371)),Assumptions!$D$7,"Other Services"))),"Other Services"))</f>
        <v/>
      </c>
    </row>
    <row r="4372" customFormat="false" ht="15" hidden="false" customHeight="false" outlineLevel="0" collapsed="false">
      <c r="F4372" s="41" t="str">
        <f aca="false">IF(C4372="","",IFERROR(IF(ISNUMBER(SEARCH(Assumptions!$C$5,C4372)),Assumptions!$D$5,IF(ISNUMBER(SEARCH(Assumptions!$C$6,C4372)),Assumptions!$D$6,IF(ISNUMBER(SEARCH(Assumptions!$C$7,C4372)),Assumptions!$D$7,"Other Services"))),"Other Services"))</f>
        <v/>
      </c>
    </row>
    <row r="4373" customFormat="false" ht="15" hidden="false" customHeight="false" outlineLevel="0" collapsed="false">
      <c r="F4373" s="41" t="str">
        <f aca="false">IF(C4373="","",IFERROR(IF(ISNUMBER(SEARCH(Assumptions!$C$5,C4373)),Assumptions!$D$5,IF(ISNUMBER(SEARCH(Assumptions!$C$6,C4373)),Assumptions!$D$6,IF(ISNUMBER(SEARCH(Assumptions!$C$7,C4373)),Assumptions!$D$7,"Other Services"))),"Other Services"))</f>
        <v/>
      </c>
    </row>
    <row r="4374" customFormat="false" ht="15" hidden="false" customHeight="false" outlineLevel="0" collapsed="false">
      <c r="F4374" s="41" t="str">
        <f aca="false">IF(C4374="","",IFERROR(IF(ISNUMBER(SEARCH(Assumptions!$C$5,C4374)),Assumptions!$D$5,IF(ISNUMBER(SEARCH(Assumptions!$C$6,C4374)),Assumptions!$D$6,IF(ISNUMBER(SEARCH(Assumptions!$C$7,C4374)),Assumptions!$D$7,"Other Services"))),"Other Services"))</f>
        <v/>
      </c>
    </row>
    <row r="4375" customFormat="false" ht="15" hidden="false" customHeight="false" outlineLevel="0" collapsed="false">
      <c r="F4375" s="41" t="str">
        <f aca="false">IF(C4375="","",IFERROR(IF(ISNUMBER(SEARCH(Assumptions!$C$5,C4375)),Assumptions!$D$5,IF(ISNUMBER(SEARCH(Assumptions!$C$6,C4375)),Assumptions!$D$6,IF(ISNUMBER(SEARCH(Assumptions!$C$7,C4375)),Assumptions!$D$7,"Other Services"))),"Other Services"))</f>
        <v/>
      </c>
    </row>
    <row r="4376" customFormat="false" ht="15" hidden="false" customHeight="false" outlineLevel="0" collapsed="false">
      <c r="F4376" s="41" t="str">
        <f aca="false">IF(C4376="","",IFERROR(IF(ISNUMBER(SEARCH(Assumptions!$C$5,C4376)),Assumptions!$D$5,IF(ISNUMBER(SEARCH(Assumptions!$C$6,C4376)),Assumptions!$D$6,IF(ISNUMBER(SEARCH(Assumptions!$C$7,C4376)),Assumptions!$D$7,"Other Services"))),"Other Services"))</f>
        <v/>
      </c>
    </row>
    <row r="4377" customFormat="false" ht="15" hidden="false" customHeight="false" outlineLevel="0" collapsed="false">
      <c r="F4377" s="41" t="str">
        <f aca="false">IF(C4377="","",IFERROR(IF(ISNUMBER(SEARCH(Assumptions!$C$5,C4377)),Assumptions!$D$5,IF(ISNUMBER(SEARCH(Assumptions!$C$6,C4377)),Assumptions!$D$6,IF(ISNUMBER(SEARCH(Assumptions!$C$7,C4377)),Assumptions!$D$7,"Other Services"))),"Other Services"))</f>
        <v/>
      </c>
    </row>
    <row r="4378" customFormat="false" ht="15" hidden="false" customHeight="false" outlineLevel="0" collapsed="false">
      <c r="F4378" s="41" t="str">
        <f aca="false">IF(C4378="","",IFERROR(IF(ISNUMBER(SEARCH(Assumptions!$C$5,C4378)),Assumptions!$D$5,IF(ISNUMBER(SEARCH(Assumptions!$C$6,C4378)),Assumptions!$D$6,IF(ISNUMBER(SEARCH(Assumptions!$C$7,C4378)),Assumptions!$D$7,"Other Services"))),"Other Services"))</f>
        <v/>
      </c>
    </row>
    <row r="4379" customFormat="false" ht="15" hidden="false" customHeight="false" outlineLevel="0" collapsed="false">
      <c r="F4379" s="41" t="str">
        <f aca="false">IF(C4379="","",IFERROR(IF(ISNUMBER(SEARCH(Assumptions!$C$5,C4379)),Assumptions!$D$5,IF(ISNUMBER(SEARCH(Assumptions!$C$6,C4379)),Assumptions!$D$6,IF(ISNUMBER(SEARCH(Assumptions!$C$7,C4379)),Assumptions!$D$7,"Other Services"))),"Other Services"))</f>
        <v/>
      </c>
    </row>
    <row r="4380" customFormat="false" ht="15" hidden="false" customHeight="false" outlineLevel="0" collapsed="false">
      <c r="F4380" s="41" t="str">
        <f aca="false">IF(C4380="","",IFERROR(IF(ISNUMBER(SEARCH(Assumptions!$C$5,C4380)),Assumptions!$D$5,IF(ISNUMBER(SEARCH(Assumptions!$C$6,C4380)),Assumptions!$D$6,IF(ISNUMBER(SEARCH(Assumptions!$C$7,C4380)),Assumptions!$D$7,"Other Services"))),"Other Services"))</f>
        <v/>
      </c>
    </row>
    <row r="4381" customFormat="false" ht="15" hidden="false" customHeight="false" outlineLevel="0" collapsed="false">
      <c r="F4381" s="41" t="str">
        <f aca="false">IF(C4381="","",IFERROR(IF(ISNUMBER(SEARCH(Assumptions!$C$5,C4381)),Assumptions!$D$5,IF(ISNUMBER(SEARCH(Assumptions!$C$6,C4381)),Assumptions!$D$6,IF(ISNUMBER(SEARCH(Assumptions!$C$7,C4381)),Assumptions!$D$7,"Other Services"))),"Other Services"))</f>
        <v/>
      </c>
    </row>
    <row r="4382" customFormat="false" ht="15" hidden="false" customHeight="false" outlineLevel="0" collapsed="false">
      <c r="F4382" s="41" t="str">
        <f aca="false">IF(C4382="","",IFERROR(IF(ISNUMBER(SEARCH(Assumptions!$C$5,C4382)),Assumptions!$D$5,IF(ISNUMBER(SEARCH(Assumptions!$C$6,C4382)),Assumptions!$D$6,IF(ISNUMBER(SEARCH(Assumptions!$C$7,C4382)),Assumptions!$D$7,"Other Services"))),"Other Services"))</f>
        <v/>
      </c>
    </row>
    <row r="4383" customFormat="false" ht="15" hidden="false" customHeight="false" outlineLevel="0" collapsed="false">
      <c r="F4383" s="41" t="str">
        <f aca="false">IF(C4383="","",IFERROR(IF(ISNUMBER(SEARCH(Assumptions!$C$5,C4383)),Assumptions!$D$5,IF(ISNUMBER(SEARCH(Assumptions!$C$6,C4383)),Assumptions!$D$6,IF(ISNUMBER(SEARCH(Assumptions!$C$7,C4383)),Assumptions!$D$7,"Other Services"))),"Other Services"))</f>
        <v/>
      </c>
    </row>
    <row r="4384" customFormat="false" ht="15" hidden="false" customHeight="false" outlineLevel="0" collapsed="false">
      <c r="F4384" s="41" t="str">
        <f aca="false">IF(C4384="","",IFERROR(IF(ISNUMBER(SEARCH(Assumptions!$C$5,C4384)),Assumptions!$D$5,IF(ISNUMBER(SEARCH(Assumptions!$C$6,C4384)),Assumptions!$D$6,IF(ISNUMBER(SEARCH(Assumptions!$C$7,C4384)),Assumptions!$D$7,"Other Services"))),"Other Services"))</f>
        <v/>
      </c>
    </row>
    <row r="4385" customFormat="false" ht="15" hidden="false" customHeight="false" outlineLevel="0" collapsed="false">
      <c r="F4385" s="41" t="str">
        <f aca="false">IF(C4385="","",IFERROR(IF(ISNUMBER(SEARCH(Assumptions!$C$5,C4385)),Assumptions!$D$5,IF(ISNUMBER(SEARCH(Assumptions!$C$6,C4385)),Assumptions!$D$6,IF(ISNUMBER(SEARCH(Assumptions!$C$7,C4385)),Assumptions!$D$7,"Other Services"))),"Other Services"))</f>
        <v/>
      </c>
    </row>
    <row r="4386" customFormat="false" ht="15" hidden="false" customHeight="false" outlineLevel="0" collapsed="false">
      <c r="F4386" s="41" t="str">
        <f aca="false">IF(C4386="","",IFERROR(IF(ISNUMBER(SEARCH(Assumptions!$C$5,C4386)),Assumptions!$D$5,IF(ISNUMBER(SEARCH(Assumptions!$C$6,C4386)),Assumptions!$D$6,IF(ISNUMBER(SEARCH(Assumptions!$C$7,C4386)),Assumptions!$D$7,"Other Services"))),"Other Services"))</f>
        <v/>
      </c>
    </row>
    <row r="4387" customFormat="false" ht="15" hidden="false" customHeight="false" outlineLevel="0" collapsed="false">
      <c r="F4387" s="41" t="str">
        <f aca="false">IF(C4387="","",IFERROR(IF(ISNUMBER(SEARCH(Assumptions!$C$5,C4387)),Assumptions!$D$5,IF(ISNUMBER(SEARCH(Assumptions!$C$6,C4387)),Assumptions!$D$6,IF(ISNUMBER(SEARCH(Assumptions!$C$7,C4387)),Assumptions!$D$7,"Other Services"))),"Other Services"))</f>
        <v/>
      </c>
    </row>
    <row r="4388" customFormat="false" ht="15" hidden="false" customHeight="false" outlineLevel="0" collapsed="false">
      <c r="F4388" s="41" t="str">
        <f aca="false">IF(C4388="","",IFERROR(IF(ISNUMBER(SEARCH(Assumptions!$C$5,C4388)),Assumptions!$D$5,IF(ISNUMBER(SEARCH(Assumptions!$C$6,C4388)),Assumptions!$D$6,IF(ISNUMBER(SEARCH(Assumptions!$C$7,C4388)),Assumptions!$D$7,"Other Services"))),"Other Services"))</f>
        <v/>
      </c>
    </row>
    <row r="4389" customFormat="false" ht="15" hidden="false" customHeight="false" outlineLevel="0" collapsed="false">
      <c r="F4389" s="41" t="str">
        <f aca="false">IF(C4389="","",IFERROR(IF(ISNUMBER(SEARCH(Assumptions!$C$5,C4389)),Assumptions!$D$5,IF(ISNUMBER(SEARCH(Assumptions!$C$6,C4389)),Assumptions!$D$6,IF(ISNUMBER(SEARCH(Assumptions!$C$7,C4389)),Assumptions!$D$7,"Other Services"))),"Other Services"))</f>
        <v/>
      </c>
    </row>
    <row r="4390" customFormat="false" ht="15" hidden="false" customHeight="false" outlineLevel="0" collapsed="false">
      <c r="F4390" s="41" t="str">
        <f aca="false">IF(C4390="","",IFERROR(IF(ISNUMBER(SEARCH(Assumptions!$C$5,C4390)),Assumptions!$D$5,IF(ISNUMBER(SEARCH(Assumptions!$C$6,C4390)),Assumptions!$D$6,IF(ISNUMBER(SEARCH(Assumptions!$C$7,C4390)),Assumptions!$D$7,"Other Services"))),"Other Services"))</f>
        <v/>
      </c>
    </row>
    <row r="4391" customFormat="false" ht="15" hidden="false" customHeight="false" outlineLevel="0" collapsed="false">
      <c r="F4391" s="41" t="str">
        <f aca="false">IF(C4391="","",IFERROR(IF(ISNUMBER(SEARCH(Assumptions!$C$5,C4391)),Assumptions!$D$5,IF(ISNUMBER(SEARCH(Assumptions!$C$6,C4391)),Assumptions!$D$6,IF(ISNUMBER(SEARCH(Assumptions!$C$7,C4391)),Assumptions!$D$7,"Other Services"))),"Other Services"))</f>
        <v/>
      </c>
    </row>
    <row r="4392" customFormat="false" ht="15" hidden="false" customHeight="false" outlineLevel="0" collapsed="false">
      <c r="F4392" s="41" t="str">
        <f aca="false">IF(C4392="","",IFERROR(IF(ISNUMBER(SEARCH(Assumptions!$C$5,C4392)),Assumptions!$D$5,IF(ISNUMBER(SEARCH(Assumptions!$C$6,C4392)),Assumptions!$D$6,IF(ISNUMBER(SEARCH(Assumptions!$C$7,C4392)),Assumptions!$D$7,"Other Services"))),"Other Services"))</f>
        <v/>
      </c>
    </row>
    <row r="4393" customFormat="false" ht="15" hidden="false" customHeight="false" outlineLevel="0" collapsed="false">
      <c r="F4393" s="41" t="str">
        <f aca="false">IF(C4393="","",IFERROR(IF(ISNUMBER(SEARCH(Assumptions!$C$5,C4393)),Assumptions!$D$5,IF(ISNUMBER(SEARCH(Assumptions!$C$6,C4393)),Assumptions!$D$6,IF(ISNUMBER(SEARCH(Assumptions!$C$7,C4393)),Assumptions!$D$7,"Other Services"))),"Other Services"))</f>
        <v/>
      </c>
    </row>
    <row r="4394" customFormat="false" ht="15" hidden="false" customHeight="false" outlineLevel="0" collapsed="false">
      <c r="F4394" s="41" t="str">
        <f aca="false">IF(C4394="","",IFERROR(IF(ISNUMBER(SEARCH(Assumptions!$C$5,C4394)),Assumptions!$D$5,IF(ISNUMBER(SEARCH(Assumptions!$C$6,C4394)),Assumptions!$D$6,IF(ISNUMBER(SEARCH(Assumptions!$C$7,C4394)),Assumptions!$D$7,"Other Services"))),"Other Services"))</f>
        <v/>
      </c>
    </row>
    <row r="4395" customFormat="false" ht="15" hidden="false" customHeight="false" outlineLevel="0" collapsed="false">
      <c r="F4395" s="41" t="str">
        <f aca="false">IF(C4395="","",IFERROR(IF(ISNUMBER(SEARCH(Assumptions!$C$5,C4395)),Assumptions!$D$5,IF(ISNUMBER(SEARCH(Assumptions!$C$6,C4395)),Assumptions!$D$6,IF(ISNUMBER(SEARCH(Assumptions!$C$7,C4395)),Assumptions!$D$7,"Other Services"))),"Other Services"))</f>
        <v/>
      </c>
    </row>
    <row r="4396" customFormat="false" ht="15" hidden="false" customHeight="false" outlineLevel="0" collapsed="false">
      <c r="F4396" s="41" t="str">
        <f aca="false">IF(C4396="","",IFERROR(IF(ISNUMBER(SEARCH(Assumptions!$C$5,C4396)),Assumptions!$D$5,IF(ISNUMBER(SEARCH(Assumptions!$C$6,C4396)),Assumptions!$D$6,IF(ISNUMBER(SEARCH(Assumptions!$C$7,C4396)),Assumptions!$D$7,"Other Services"))),"Other Services"))</f>
        <v/>
      </c>
    </row>
    <row r="4397" customFormat="false" ht="15" hidden="false" customHeight="false" outlineLevel="0" collapsed="false">
      <c r="F4397" s="41" t="str">
        <f aca="false">IF(C4397="","",IFERROR(IF(ISNUMBER(SEARCH(Assumptions!$C$5,C4397)),Assumptions!$D$5,IF(ISNUMBER(SEARCH(Assumptions!$C$6,C4397)),Assumptions!$D$6,IF(ISNUMBER(SEARCH(Assumptions!$C$7,C4397)),Assumptions!$D$7,"Other Services"))),"Other Services"))</f>
        <v/>
      </c>
    </row>
    <row r="4398" customFormat="false" ht="15" hidden="false" customHeight="false" outlineLevel="0" collapsed="false">
      <c r="F4398" s="41" t="str">
        <f aca="false">IF(C4398="","",IFERROR(IF(ISNUMBER(SEARCH(Assumptions!$C$5,C4398)),Assumptions!$D$5,IF(ISNUMBER(SEARCH(Assumptions!$C$6,C4398)),Assumptions!$D$6,IF(ISNUMBER(SEARCH(Assumptions!$C$7,C4398)),Assumptions!$D$7,"Other Services"))),"Other Services"))</f>
        <v/>
      </c>
    </row>
    <row r="4399" customFormat="false" ht="15" hidden="false" customHeight="false" outlineLevel="0" collapsed="false">
      <c r="F4399" s="41" t="str">
        <f aca="false">IF(C4399="","",IFERROR(IF(ISNUMBER(SEARCH(Assumptions!$C$5,C4399)),Assumptions!$D$5,IF(ISNUMBER(SEARCH(Assumptions!$C$6,C4399)),Assumptions!$D$6,IF(ISNUMBER(SEARCH(Assumptions!$C$7,C4399)),Assumptions!$D$7,"Other Services"))),"Other Services"))</f>
        <v/>
      </c>
    </row>
    <row r="4400" customFormat="false" ht="15" hidden="false" customHeight="false" outlineLevel="0" collapsed="false">
      <c r="F4400" s="41" t="str">
        <f aca="false">IF(C4400="","",IFERROR(IF(ISNUMBER(SEARCH(Assumptions!$C$5,C4400)),Assumptions!$D$5,IF(ISNUMBER(SEARCH(Assumptions!$C$6,C4400)),Assumptions!$D$6,IF(ISNUMBER(SEARCH(Assumptions!$C$7,C4400)),Assumptions!$D$7,"Other Services"))),"Other Services"))</f>
        <v/>
      </c>
    </row>
    <row r="4401" customFormat="false" ht="15" hidden="false" customHeight="false" outlineLevel="0" collapsed="false">
      <c r="F4401" s="41" t="str">
        <f aca="false">IF(C4401="","",IFERROR(IF(ISNUMBER(SEARCH(Assumptions!$C$5,C4401)),Assumptions!$D$5,IF(ISNUMBER(SEARCH(Assumptions!$C$6,C4401)),Assumptions!$D$6,IF(ISNUMBER(SEARCH(Assumptions!$C$7,C4401)),Assumptions!$D$7,"Other Services"))),"Other Services"))</f>
        <v/>
      </c>
    </row>
    <row r="4402" customFormat="false" ht="15" hidden="false" customHeight="false" outlineLevel="0" collapsed="false">
      <c r="F4402" s="41" t="str">
        <f aca="false">IF(C4402="","",IFERROR(IF(ISNUMBER(SEARCH(Assumptions!$C$5,C4402)),Assumptions!$D$5,IF(ISNUMBER(SEARCH(Assumptions!$C$6,C4402)),Assumptions!$D$6,IF(ISNUMBER(SEARCH(Assumptions!$C$7,C4402)),Assumptions!$D$7,"Other Services"))),"Other Services"))</f>
        <v/>
      </c>
    </row>
    <row r="4403" customFormat="false" ht="15" hidden="false" customHeight="false" outlineLevel="0" collapsed="false">
      <c r="F4403" s="41" t="str">
        <f aca="false">IF(C4403="","",IFERROR(IF(ISNUMBER(SEARCH(Assumptions!$C$5,C4403)),Assumptions!$D$5,IF(ISNUMBER(SEARCH(Assumptions!$C$6,C4403)),Assumptions!$D$6,IF(ISNUMBER(SEARCH(Assumptions!$C$7,C4403)),Assumptions!$D$7,"Other Services"))),"Other Services"))</f>
        <v/>
      </c>
    </row>
    <row r="4404" customFormat="false" ht="15" hidden="false" customHeight="false" outlineLevel="0" collapsed="false">
      <c r="F4404" s="41" t="str">
        <f aca="false">IF(C4404="","",IFERROR(IF(ISNUMBER(SEARCH(Assumptions!$C$5,C4404)),Assumptions!$D$5,IF(ISNUMBER(SEARCH(Assumptions!$C$6,C4404)),Assumptions!$D$6,IF(ISNUMBER(SEARCH(Assumptions!$C$7,C4404)),Assumptions!$D$7,"Other Services"))),"Other Services"))</f>
        <v/>
      </c>
    </row>
    <row r="4405" customFormat="false" ht="15" hidden="false" customHeight="false" outlineLevel="0" collapsed="false">
      <c r="F4405" s="41" t="str">
        <f aca="false">IF(C4405="","",IFERROR(IF(ISNUMBER(SEARCH(Assumptions!$C$5,C4405)),Assumptions!$D$5,IF(ISNUMBER(SEARCH(Assumptions!$C$6,C4405)),Assumptions!$D$6,IF(ISNUMBER(SEARCH(Assumptions!$C$7,C4405)),Assumptions!$D$7,"Other Services"))),"Other Services"))</f>
        <v/>
      </c>
    </row>
    <row r="4406" customFormat="false" ht="15" hidden="false" customHeight="false" outlineLevel="0" collapsed="false">
      <c r="F4406" s="41" t="str">
        <f aca="false">IF(C4406="","",IFERROR(IF(ISNUMBER(SEARCH(Assumptions!$C$5,C4406)),Assumptions!$D$5,IF(ISNUMBER(SEARCH(Assumptions!$C$6,C4406)),Assumptions!$D$6,IF(ISNUMBER(SEARCH(Assumptions!$C$7,C4406)),Assumptions!$D$7,"Other Services"))),"Other Services"))</f>
        <v/>
      </c>
    </row>
    <row r="4407" customFormat="false" ht="15" hidden="false" customHeight="false" outlineLevel="0" collapsed="false">
      <c r="F4407" s="41" t="str">
        <f aca="false">IF(C4407="","",IFERROR(IF(ISNUMBER(SEARCH(Assumptions!$C$5,C4407)),Assumptions!$D$5,IF(ISNUMBER(SEARCH(Assumptions!$C$6,C4407)),Assumptions!$D$6,IF(ISNUMBER(SEARCH(Assumptions!$C$7,C4407)),Assumptions!$D$7,"Other Services"))),"Other Services"))</f>
        <v/>
      </c>
    </row>
    <row r="4408" customFormat="false" ht="15" hidden="false" customHeight="false" outlineLevel="0" collapsed="false">
      <c r="F4408" s="41" t="str">
        <f aca="false">IF(C4408="","",IFERROR(IF(ISNUMBER(SEARCH(Assumptions!$C$5,C4408)),Assumptions!$D$5,IF(ISNUMBER(SEARCH(Assumptions!$C$6,C4408)),Assumptions!$D$6,IF(ISNUMBER(SEARCH(Assumptions!$C$7,C4408)),Assumptions!$D$7,"Other Services"))),"Other Services"))</f>
        <v/>
      </c>
    </row>
    <row r="4409" customFormat="false" ht="15" hidden="false" customHeight="false" outlineLevel="0" collapsed="false">
      <c r="F4409" s="41" t="str">
        <f aca="false">IF(C4409="","",IFERROR(IF(ISNUMBER(SEARCH(Assumptions!$C$5,C4409)),Assumptions!$D$5,IF(ISNUMBER(SEARCH(Assumptions!$C$6,C4409)),Assumptions!$D$6,IF(ISNUMBER(SEARCH(Assumptions!$C$7,C4409)),Assumptions!$D$7,"Other Services"))),"Other Services"))</f>
        <v/>
      </c>
    </row>
    <row r="4410" customFormat="false" ht="15" hidden="false" customHeight="false" outlineLevel="0" collapsed="false">
      <c r="F4410" s="41" t="str">
        <f aca="false">IF(C4410="","",IFERROR(IF(ISNUMBER(SEARCH(Assumptions!$C$5,C4410)),Assumptions!$D$5,IF(ISNUMBER(SEARCH(Assumptions!$C$6,C4410)),Assumptions!$D$6,IF(ISNUMBER(SEARCH(Assumptions!$C$7,C4410)),Assumptions!$D$7,"Other Services"))),"Other Services"))</f>
        <v/>
      </c>
    </row>
    <row r="4411" customFormat="false" ht="15" hidden="false" customHeight="false" outlineLevel="0" collapsed="false">
      <c r="F4411" s="41" t="str">
        <f aca="false">IF(C4411="","",IFERROR(IF(ISNUMBER(SEARCH(Assumptions!$C$5,C4411)),Assumptions!$D$5,IF(ISNUMBER(SEARCH(Assumptions!$C$6,C4411)),Assumptions!$D$6,IF(ISNUMBER(SEARCH(Assumptions!$C$7,C4411)),Assumptions!$D$7,"Other Services"))),"Other Services"))</f>
        <v/>
      </c>
    </row>
    <row r="4412" customFormat="false" ht="15" hidden="false" customHeight="false" outlineLevel="0" collapsed="false">
      <c r="F4412" s="41" t="str">
        <f aca="false">IF(C4412="","",IFERROR(IF(ISNUMBER(SEARCH(Assumptions!$C$5,C4412)),Assumptions!$D$5,IF(ISNUMBER(SEARCH(Assumptions!$C$6,C4412)),Assumptions!$D$6,IF(ISNUMBER(SEARCH(Assumptions!$C$7,C4412)),Assumptions!$D$7,"Other Services"))),"Other Services"))</f>
        <v/>
      </c>
    </row>
    <row r="4413" customFormat="false" ht="15" hidden="false" customHeight="false" outlineLevel="0" collapsed="false">
      <c r="F4413" s="41" t="str">
        <f aca="false">IF(C4413="","",IFERROR(IF(ISNUMBER(SEARCH(Assumptions!$C$5,C4413)),Assumptions!$D$5,IF(ISNUMBER(SEARCH(Assumptions!$C$6,C4413)),Assumptions!$D$6,IF(ISNUMBER(SEARCH(Assumptions!$C$7,C4413)),Assumptions!$D$7,"Other Services"))),"Other Services"))</f>
        <v/>
      </c>
    </row>
    <row r="4414" customFormat="false" ht="15" hidden="false" customHeight="false" outlineLevel="0" collapsed="false">
      <c r="F4414" s="41" t="str">
        <f aca="false">IF(C4414="","",IFERROR(IF(ISNUMBER(SEARCH(Assumptions!$C$5,C4414)),Assumptions!$D$5,IF(ISNUMBER(SEARCH(Assumptions!$C$6,C4414)),Assumptions!$D$6,IF(ISNUMBER(SEARCH(Assumptions!$C$7,C4414)),Assumptions!$D$7,"Other Services"))),"Other Services"))</f>
        <v/>
      </c>
    </row>
    <row r="4415" customFormat="false" ht="15" hidden="false" customHeight="false" outlineLevel="0" collapsed="false">
      <c r="F4415" s="41" t="str">
        <f aca="false">IF(C4415="","",IFERROR(IF(ISNUMBER(SEARCH(Assumptions!$C$5,C4415)),Assumptions!$D$5,IF(ISNUMBER(SEARCH(Assumptions!$C$6,C4415)),Assumptions!$D$6,IF(ISNUMBER(SEARCH(Assumptions!$C$7,C4415)),Assumptions!$D$7,"Other Services"))),"Other Services"))</f>
        <v/>
      </c>
    </row>
    <row r="4416" customFormat="false" ht="15" hidden="false" customHeight="false" outlineLevel="0" collapsed="false">
      <c r="F4416" s="41" t="str">
        <f aca="false">IF(C4416="","",IFERROR(IF(ISNUMBER(SEARCH(Assumptions!$C$5,C4416)),Assumptions!$D$5,IF(ISNUMBER(SEARCH(Assumptions!$C$6,C4416)),Assumptions!$D$6,IF(ISNUMBER(SEARCH(Assumptions!$C$7,C4416)),Assumptions!$D$7,"Other Services"))),"Other Services"))</f>
        <v/>
      </c>
    </row>
    <row r="4417" customFormat="false" ht="15" hidden="false" customHeight="false" outlineLevel="0" collapsed="false">
      <c r="F4417" s="41" t="str">
        <f aca="false">IF(C4417="","",IFERROR(IF(ISNUMBER(SEARCH(Assumptions!$C$5,C4417)),Assumptions!$D$5,IF(ISNUMBER(SEARCH(Assumptions!$C$6,C4417)),Assumptions!$D$6,IF(ISNUMBER(SEARCH(Assumptions!$C$7,C4417)),Assumptions!$D$7,"Other Services"))),"Other Services"))</f>
        <v/>
      </c>
    </row>
    <row r="4418" customFormat="false" ht="15" hidden="false" customHeight="false" outlineLevel="0" collapsed="false">
      <c r="F4418" s="41" t="str">
        <f aca="false">IF(C4418="","",IFERROR(IF(ISNUMBER(SEARCH(Assumptions!$C$5,C4418)),Assumptions!$D$5,IF(ISNUMBER(SEARCH(Assumptions!$C$6,C4418)),Assumptions!$D$6,IF(ISNUMBER(SEARCH(Assumptions!$C$7,C4418)),Assumptions!$D$7,"Other Services"))),"Other Services"))</f>
        <v/>
      </c>
    </row>
    <row r="4419" customFormat="false" ht="15" hidden="false" customHeight="false" outlineLevel="0" collapsed="false">
      <c r="F4419" s="41" t="str">
        <f aca="false">IF(C4419="","",IFERROR(IF(ISNUMBER(SEARCH(Assumptions!$C$5,C4419)),Assumptions!$D$5,IF(ISNUMBER(SEARCH(Assumptions!$C$6,C4419)),Assumptions!$D$6,IF(ISNUMBER(SEARCH(Assumptions!$C$7,C4419)),Assumptions!$D$7,"Other Services"))),"Other Services"))</f>
        <v/>
      </c>
    </row>
    <row r="4420" customFormat="false" ht="15" hidden="false" customHeight="false" outlineLevel="0" collapsed="false">
      <c r="F4420" s="41" t="str">
        <f aca="false">IF(C4420="","",IFERROR(IF(ISNUMBER(SEARCH(Assumptions!$C$5,C4420)),Assumptions!$D$5,IF(ISNUMBER(SEARCH(Assumptions!$C$6,C4420)),Assumptions!$D$6,IF(ISNUMBER(SEARCH(Assumptions!$C$7,C4420)),Assumptions!$D$7,"Other Services"))),"Other Services"))</f>
        <v/>
      </c>
    </row>
    <row r="4421" customFormat="false" ht="15" hidden="false" customHeight="false" outlineLevel="0" collapsed="false">
      <c r="F4421" s="41" t="str">
        <f aca="false">IF(C4421="","",IFERROR(IF(ISNUMBER(SEARCH(Assumptions!$C$5,C4421)),Assumptions!$D$5,IF(ISNUMBER(SEARCH(Assumptions!$C$6,C4421)),Assumptions!$D$6,IF(ISNUMBER(SEARCH(Assumptions!$C$7,C4421)),Assumptions!$D$7,"Other Services"))),"Other Services"))</f>
        <v/>
      </c>
    </row>
    <row r="4422" customFormat="false" ht="15" hidden="false" customHeight="false" outlineLevel="0" collapsed="false">
      <c r="F4422" s="41" t="str">
        <f aca="false">IF(C4422="","",IFERROR(IF(ISNUMBER(SEARCH(Assumptions!$C$5,C4422)),Assumptions!$D$5,IF(ISNUMBER(SEARCH(Assumptions!$C$6,C4422)),Assumptions!$D$6,IF(ISNUMBER(SEARCH(Assumptions!$C$7,C4422)),Assumptions!$D$7,"Other Services"))),"Other Services"))</f>
        <v/>
      </c>
    </row>
    <row r="4423" customFormat="false" ht="15" hidden="false" customHeight="false" outlineLevel="0" collapsed="false">
      <c r="F4423" s="41" t="str">
        <f aca="false">IF(C4423="","",IFERROR(IF(ISNUMBER(SEARCH(Assumptions!$C$5,C4423)),Assumptions!$D$5,IF(ISNUMBER(SEARCH(Assumptions!$C$6,C4423)),Assumptions!$D$6,IF(ISNUMBER(SEARCH(Assumptions!$C$7,C4423)),Assumptions!$D$7,"Other Services"))),"Other Services"))</f>
        <v/>
      </c>
    </row>
    <row r="4424" customFormat="false" ht="15" hidden="false" customHeight="false" outlineLevel="0" collapsed="false">
      <c r="F4424" s="41" t="str">
        <f aca="false">IF(C4424="","",IFERROR(IF(ISNUMBER(SEARCH(Assumptions!$C$5,C4424)),Assumptions!$D$5,IF(ISNUMBER(SEARCH(Assumptions!$C$6,C4424)),Assumptions!$D$6,IF(ISNUMBER(SEARCH(Assumptions!$C$7,C4424)),Assumptions!$D$7,"Other Services"))),"Other Services"))</f>
        <v/>
      </c>
    </row>
    <row r="4425" customFormat="false" ht="15" hidden="false" customHeight="false" outlineLevel="0" collapsed="false">
      <c r="F4425" s="41" t="str">
        <f aca="false">IF(C4425="","",IFERROR(IF(ISNUMBER(SEARCH(Assumptions!$C$5,C4425)),Assumptions!$D$5,IF(ISNUMBER(SEARCH(Assumptions!$C$6,C4425)),Assumptions!$D$6,IF(ISNUMBER(SEARCH(Assumptions!$C$7,C4425)),Assumptions!$D$7,"Other Services"))),"Other Services"))</f>
        <v/>
      </c>
    </row>
    <row r="4426" customFormat="false" ht="15" hidden="false" customHeight="false" outlineLevel="0" collapsed="false">
      <c r="F4426" s="41" t="str">
        <f aca="false">IF(C4426="","",IFERROR(IF(ISNUMBER(SEARCH(Assumptions!$C$5,C4426)),Assumptions!$D$5,IF(ISNUMBER(SEARCH(Assumptions!$C$6,C4426)),Assumptions!$D$6,IF(ISNUMBER(SEARCH(Assumptions!$C$7,C4426)),Assumptions!$D$7,"Other Services"))),"Other Services"))</f>
        <v/>
      </c>
    </row>
    <row r="4427" customFormat="false" ht="15" hidden="false" customHeight="false" outlineLevel="0" collapsed="false">
      <c r="F4427" s="41" t="str">
        <f aca="false">IF(C4427="","",IFERROR(IF(ISNUMBER(SEARCH(Assumptions!$C$5,C4427)),Assumptions!$D$5,IF(ISNUMBER(SEARCH(Assumptions!$C$6,C4427)),Assumptions!$D$6,IF(ISNUMBER(SEARCH(Assumptions!$C$7,C4427)),Assumptions!$D$7,"Other Services"))),"Other Services"))</f>
        <v/>
      </c>
    </row>
    <row r="4428" customFormat="false" ht="15" hidden="false" customHeight="false" outlineLevel="0" collapsed="false">
      <c r="F4428" s="41" t="str">
        <f aca="false">IF(C4428="","",IFERROR(IF(ISNUMBER(SEARCH(Assumptions!$C$5,C4428)),Assumptions!$D$5,IF(ISNUMBER(SEARCH(Assumptions!$C$6,C4428)),Assumptions!$D$6,IF(ISNUMBER(SEARCH(Assumptions!$C$7,C4428)),Assumptions!$D$7,"Other Services"))),"Other Services"))</f>
        <v/>
      </c>
    </row>
    <row r="4429" customFormat="false" ht="15" hidden="false" customHeight="false" outlineLevel="0" collapsed="false">
      <c r="F4429" s="41" t="str">
        <f aca="false">IF(C4429="","",IFERROR(IF(ISNUMBER(SEARCH(Assumptions!$C$5,C4429)),Assumptions!$D$5,IF(ISNUMBER(SEARCH(Assumptions!$C$6,C4429)),Assumptions!$D$6,IF(ISNUMBER(SEARCH(Assumptions!$C$7,C4429)),Assumptions!$D$7,"Other Services"))),"Other Services"))</f>
        <v/>
      </c>
    </row>
    <row r="4430" customFormat="false" ht="15" hidden="false" customHeight="false" outlineLevel="0" collapsed="false">
      <c r="F4430" s="41" t="str">
        <f aca="false">IF(C4430="","",IFERROR(IF(ISNUMBER(SEARCH(Assumptions!$C$5,C4430)),Assumptions!$D$5,IF(ISNUMBER(SEARCH(Assumptions!$C$6,C4430)),Assumptions!$D$6,IF(ISNUMBER(SEARCH(Assumptions!$C$7,C4430)),Assumptions!$D$7,"Other Services"))),"Other Services"))</f>
        <v/>
      </c>
    </row>
    <row r="4431" customFormat="false" ht="15" hidden="false" customHeight="false" outlineLevel="0" collapsed="false">
      <c r="F4431" s="41" t="str">
        <f aca="false">IF(C4431="","",IFERROR(IF(ISNUMBER(SEARCH(Assumptions!$C$5,C4431)),Assumptions!$D$5,IF(ISNUMBER(SEARCH(Assumptions!$C$6,C4431)),Assumptions!$D$6,IF(ISNUMBER(SEARCH(Assumptions!$C$7,C4431)),Assumptions!$D$7,"Other Services"))),"Other Services"))</f>
        <v/>
      </c>
    </row>
    <row r="4432" customFormat="false" ht="15" hidden="false" customHeight="false" outlineLevel="0" collapsed="false">
      <c r="F4432" s="41" t="str">
        <f aca="false">IF(C4432="","",IFERROR(IF(ISNUMBER(SEARCH(Assumptions!$C$5,C4432)),Assumptions!$D$5,IF(ISNUMBER(SEARCH(Assumptions!$C$6,C4432)),Assumptions!$D$6,IF(ISNUMBER(SEARCH(Assumptions!$C$7,C4432)),Assumptions!$D$7,"Other Services"))),"Other Services"))</f>
        <v/>
      </c>
    </row>
    <row r="4433" customFormat="false" ht="15" hidden="false" customHeight="false" outlineLevel="0" collapsed="false">
      <c r="F4433" s="41" t="str">
        <f aca="false">IF(C4433="","",IFERROR(IF(ISNUMBER(SEARCH(Assumptions!$C$5,C4433)),Assumptions!$D$5,IF(ISNUMBER(SEARCH(Assumptions!$C$6,C4433)),Assumptions!$D$6,IF(ISNUMBER(SEARCH(Assumptions!$C$7,C4433)),Assumptions!$D$7,"Other Services"))),"Other Services"))</f>
        <v/>
      </c>
    </row>
    <row r="4434" customFormat="false" ht="15" hidden="false" customHeight="false" outlineLevel="0" collapsed="false">
      <c r="F4434" s="41" t="str">
        <f aca="false">IF(C4434="","",IFERROR(IF(ISNUMBER(SEARCH(Assumptions!$C$5,C4434)),Assumptions!$D$5,IF(ISNUMBER(SEARCH(Assumptions!$C$6,C4434)),Assumptions!$D$6,IF(ISNUMBER(SEARCH(Assumptions!$C$7,C4434)),Assumptions!$D$7,"Other Services"))),"Other Services"))</f>
        <v/>
      </c>
    </row>
    <row r="4435" customFormat="false" ht="15" hidden="false" customHeight="false" outlineLevel="0" collapsed="false">
      <c r="F4435" s="41" t="str">
        <f aca="false">IF(C4435="","",IFERROR(IF(ISNUMBER(SEARCH(Assumptions!$C$5,C4435)),Assumptions!$D$5,IF(ISNUMBER(SEARCH(Assumptions!$C$6,C4435)),Assumptions!$D$6,IF(ISNUMBER(SEARCH(Assumptions!$C$7,C4435)),Assumptions!$D$7,"Other Services"))),"Other Services"))</f>
        <v/>
      </c>
    </row>
    <row r="4436" customFormat="false" ht="15" hidden="false" customHeight="false" outlineLevel="0" collapsed="false">
      <c r="F4436" s="41" t="str">
        <f aca="false">IF(C4436="","",IFERROR(IF(ISNUMBER(SEARCH(Assumptions!$C$5,C4436)),Assumptions!$D$5,IF(ISNUMBER(SEARCH(Assumptions!$C$6,C4436)),Assumptions!$D$6,IF(ISNUMBER(SEARCH(Assumptions!$C$7,C4436)),Assumptions!$D$7,"Other Services"))),"Other Services"))</f>
        <v/>
      </c>
    </row>
    <row r="4437" customFormat="false" ht="15" hidden="false" customHeight="false" outlineLevel="0" collapsed="false">
      <c r="F4437" s="41" t="str">
        <f aca="false">IF(C4437="","",IFERROR(IF(ISNUMBER(SEARCH(Assumptions!$C$5,C4437)),Assumptions!$D$5,IF(ISNUMBER(SEARCH(Assumptions!$C$6,C4437)),Assumptions!$D$6,IF(ISNUMBER(SEARCH(Assumptions!$C$7,C4437)),Assumptions!$D$7,"Other Services"))),"Other Services"))</f>
        <v/>
      </c>
    </row>
    <row r="4438" customFormat="false" ht="15" hidden="false" customHeight="false" outlineLevel="0" collapsed="false">
      <c r="F4438" s="41" t="str">
        <f aca="false">IF(C4438="","",IFERROR(IF(ISNUMBER(SEARCH(Assumptions!$C$5,C4438)),Assumptions!$D$5,IF(ISNUMBER(SEARCH(Assumptions!$C$6,C4438)),Assumptions!$D$6,IF(ISNUMBER(SEARCH(Assumptions!$C$7,C4438)),Assumptions!$D$7,"Other Services"))),"Other Services"))</f>
        <v/>
      </c>
    </row>
    <row r="4439" customFormat="false" ht="15" hidden="false" customHeight="false" outlineLevel="0" collapsed="false">
      <c r="F4439" s="41" t="str">
        <f aca="false">IF(C4439="","",IFERROR(IF(ISNUMBER(SEARCH(Assumptions!$C$5,C4439)),Assumptions!$D$5,IF(ISNUMBER(SEARCH(Assumptions!$C$6,C4439)),Assumptions!$D$6,IF(ISNUMBER(SEARCH(Assumptions!$C$7,C4439)),Assumptions!$D$7,"Other Services"))),"Other Services"))</f>
        <v/>
      </c>
    </row>
    <row r="4440" customFormat="false" ht="15" hidden="false" customHeight="false" outlineLevel="0" collapsed="false">
      <c r="F4440" s="41" t="str">
        <f aca="false">IF(C4440="","",IFERROR(IF(ISNUMBER(SEARCH(Assumptions!$C$5,C4440)),Assumptions!$D$5,IF(ISNUMBER(SEARCH(Assumptions!$C$6,C4440)),Assumptions!$D$6,IF(ISNUMBER(SEARCH(Assumptions!$C$7,C4440)),Assumptions!$D$7,"Other Services"))),"Other Services"))</f>
        <v/>
      </c>
    </row>
    <row r="4441" customFormat="false" ht="15" hidden="false" customHeight="false" outlineLevel="0" collapsed="false">
      <c r="F4441" s="41" t="str">
        <f aca="false">IF(C4441="","",IFERROR(IF(ISNUMBER(SEARCH(Assumptions!$C$5,C4441)),Assumptions!$D$5,IF(ISNUMBER(SEARCH(Assumptions!$C$6,C4441)),Assumptions!$D$6,IF(ISNUMBER(SEARCH(Assumptions!$C$7,C4441)),Assumptions!$D$7,"Other Services"))),"Other Services"))</f>
        <v/>
      </c>
    </row>
    <row r="4442" customFormat="false" ht="15" hidden="false" customHeight="false" outlineLevel="0" collapsed="false">
      <c r="F4442" s="41" t="str">
        <f aca="false">IF(C4442="","",IFERROR(IF(ISNUMBER(SEARCH(Assumptions!$C$5,C4442)),Assumptions!$D$5,IF(ISNUMBER(SEARCH(Assumptions!$C$6,C4442)),Assumptions!$D$6,IF(ISNUMBER(SEARCH(Assumptions!$C$7,C4442)),Assumptions!$D$7,"Other Services"))),"Other Services"))</f>
        <v/>
      </c>
    </row>
    <row r="4443" customFormat="false" ht="15" hidden="false" customHeight="false" outlineLevel="0" collapsed="false">
      <c r="F4443" s="41" t="str">
        <f aca="false">IF(C4443="","",IFERROR(IF(ISNUMBER(SEARCH(Assumptions!$C$5,C4443)),Assumptions!$D$5,IF(ISNUMBER(SEARCH(Assumptions!$C$6,C4443)),Assumptions!$D$6,IF(ISNUMBER(SEARCH(Assumptions!$C$7,C4443)),Assumptions!$D$7,"Other Services"))),"Other Services"))</f>
        <v/>
      </c>
    </row>
    <row r="4444" customFormat="false" ht="15" hidden="false" customHeight="false" outlineLevel="0" collapsed="false">
      <c r="F4444" s="41" t="str">
        <f aca="false">IF(C4444="","",IFERROR(IF(ISNUMBER(SEARCH(Assumptions!$C$5,C4444)),Assumptions!$D$5,IF(ISNUMBER(SEARCH(Assumptions!$C$6,C4444)),Assumptions!$D$6,IF(ISNUMBER(SEARCH(Assumptions!$C$7,C4444)),Assumptions!$D$7,"Other Services"))),"Other Services"))</f>
        <v/>
      </c>
    </row>
    <row r="4445" customFormat="false" ht="15" hidden="false" customHeight="false" outlineLevel="0" collapsed="false">
      <c r="F4445" s="41" t="str">
        <f aca="false">IF(C4445="","",IFERROR(IF(ISNUMBER(SEARCH(Assumptions!$C$5,C4445)),Assumptions!$D$5,IF(ISNUMBER(SEARCH(Assumptions!$C$6,C4445)),Assumptions!$D$6,IF(ISNUMBER(SEARCH(Assumptions!$C$7,C4445)),Assumptions!$D$7,"Other Services"))),"Other Services"))</f>
        <v/>
      </c>
    </row>
    <row r="4446" customFormat="false" ht="15" hidden="false" customHeight="false" outlineLevel="0" collapsed="false">
      <c r="F4446" s="41" t="str">
        <f aca="false">IF(C4446="","",IFERROR(IF(ISNUMBER(SEARCH(Assumptions!$C$5,C4446)),Assumptions!$D$5,IF(ISNUMBER(SEARCH(Assumptions!$C$6,C4446)),Assumptions!$D$6,IF(ISNUMBER(SEARCH(Assumptions!$C$7,C4446)),Assumptions!$D$7,"Other Services"))),"Other Services"))</f>
        <v/>
      </c>
    </row>
    <row r="4447" customFormat="false" ht="15" hidden="false" customHeight="false" outlineLevel="0" collapsed="false">
      <c r="F4447" s="41" t="str">
        <f aca="false">IF(C4447="","",IFERROR(IF(ISNUMBER(SEARCH(Assumptions!$C$5,C4447)),Assumptions!$D$5,IF(ISNUMBER(SEARCH(Assumptions!$C$6,C4447)),Assumptions!$D$6,IF(ISNUMBER(SEARCH(Assumptions!$C$7,C4447)),Assumptions!$D$7,"Other Services"))),"Other Services"))</f>
        <v/>
      </c>
    </row>
    <row r="4448" customFormat="false" ht="15" hidden="false" customHeight="false" outlineLevel="0" collapsed="false">
      <c r="F4448" s="41" t="str">
        <f aca="false">IF(C4448="","",IFERROR(IF(ISNUMBER(SEARCH(Assumptions!$C$5,C4448)),Assumptions!$D$5,IF(ISNUMBER(SEARCH(Assumptions!$C$6,C4448)),Assumptions!$D$6,IF(ISNUMBER(SEARCH(Assumptions!$C$7,C4448)),Assumptions!$D$7,"Other Services"))),"Other Services"))</f>
        <v/>
      </c>
    </row>
    <row r="4449" customFormat="false" ht="15" hidden="false" customHeight="false" outlineLevel="0" collapsed="false">
      <c r="F4449" s="41" t="str">
        <f aca="false">IF(C4449="","",IFERROR(IF(ISNUMBER(SEARCH(Assumptions!$C$5,C4449)),Assumptions!$D$5,IF(ISNUMBER(SEARCH(Assumptions!$C$6,C4449)),Assumptions!$D$6,IF(ISNUMBER(SEARCH(Assumptions!$C$7,C4449)),Assumptions!$D$7,"Other Services"))),"Other Services"))</f>
        <v/>
      </c>
    </row>
    <row r="4450" customFormat="false" ht="15" hidden="false" customHeight="false" outlineLevel="0" collapsed="false">
      <c r="F4450" s="41" t="str">
        <f aca="false">IF(C4450="","",IFERROR(IF(ISNUMBER(SEARCH(Assumptions!$C$5,C4450)),Assumptions!$D$5,IF(ISNUMBER(SEARCH(Assumptions!$C$6,C4450)),Assumptions!$D$6,IF(ISNUMBER(SEARCH(Assumptions!$C$7,C4450)),Assumptions!$D$7,"Other Services"))),"Other Services"))</f>
        <v/>
      </c>
    </row>
    <row r="4451" customFormat="false" ht="15" hidden="false" customHeight="false" outlineLevel="0" collapsed="false">
      <c r="F4451" s="41" t="str">
        <f aca="false">IF(C4451="","",IFERROR(IF(ISNUMBER(SEARCH(Assumptions!$C$5,C4451)),Assumptions!$D$5,IF(ISNUMBER(SEARCH(Assumptions!$C$6,C4451)),Assumptions!$D$6,IF(ISNUMBER(SEARCH(Assumptions!$C$7,C4451)),Assumptions!$D$7,"Other Services"))),"Other Services"))</f>
        <v/>
      </c>
    </row>
    <row r="4452" customFormat="false" ht="15" hidden="false" customHeight="false" outlineLevel="0" collapsed="false">
      <c r="F4452" s="41" t="str">
        <f aca="false">IF(C4452="","",IFERROR(IF(ISNUMBER(SEARCH(Assumptions!$C$5,C4452)),Assumptions!$D$5,IF(ISNUMBER(SEARCH(Assumptions!$C$6,C4452)),Assumptions!$D$6,IF(ISNUMBER(SEARCH(Assumptions!$C$7,C4452)),Assumptions!$D$7,"Other Services"))),"Other Services"))</f>
        <v/>
      </c>
    </row>
    <row r="4453" customFormat="false" ht="15" hidden="false" customHeight="false" outlineLevel="0" collapsed="false">
      <c r="F4453" s="41" t="str">
        <f aca="false">IF(C4453="","",IFERROR(IF(ISNUMBER(SEARCH(Assumptions!$C$5,C4453)),Assumptions!$D$5,IF(ISNUMBER(SEARCH(Assumptions!$C$6,C4453)),Assumptions!$D$6,IF(ISNUMBER(SEARCH(Assumptions!$C$7,C4453)),Assumptions!$D$7,"Other Services"))),"Other Services"))</f>
        <v/>
      </c>
    </row>
    <row r="4454" customFormat="false" ht="15" hidden="false" customHeight="false" outlineLevel="0" collapsed="false">
      <c r="F4454" s="41" t="str">
        <f aca="false">IF(C4454="","",IFERROR(IF(ISNUMBER(SEARCH(Assumptions!$C$5,C4454)),Assumptions!$D$5,IF(ISNUMBER(SEARCH(Assumptions!$C$6,C4454)),Assumptions!$D$6,IF(ISNUMBER(SEARCH(Assumptions!$C$7,C4454)),Assumptions!$D$7,"Other Services"))),"Other Services"))</f>
        <v/>
      </c>
    </row>
    <row r="4455" customFormat="false" ht="15" hidden="false" customHeight="false" outlineLevel="0" collapsed="false">
      <c r="F4455" s="41" t="str">
        <f aca="false">IF(C4455="","",IFERROR(IF(ISNUMBER(SEARCH(Assumptions!$C$5,C4455)),Assumptions!$D$5,IF(ISNUMBER(SEARCH(Assumptions!$C$6,C4455)),Assumptions!$D$6,IF(ISNUMBER(SEARCH(Assumptions!$C$7,C4455)),Assumptions!$D$7,"Other Services"))),"Other Services"))</f>
        <v/>
      </c>
    </row>
    <row r="4456" customFormat="false" ht="15" hidden="false" customHeight="false" outlineLevel="0" collapsed="false">
      <c r="F4456" s="41" t="str">
        <f aca="false">IF(C4456="","",IFERROR(IF(ISNUMBER(SEARCH(Assumptions!$C$5,C4456)),Assumptions!$D$5,IF(ISNUMBER(SEARCH(Assumptions!$C$6,C4456)),Assumptions!$D$6,IF(ISNUMBER(SEARCH(Assumptions!$C$7,C4456)),Assumptions!$D$7,"Other Services"))),"Other Services"))</f>
        <v/>
      </c>
    </row>
    <row r="4457" customFormat="false" ht="15" hidden="false" customHeight="false" outlineLevel="0" collapsed="false">
      <c r="F4457" s="41" t="str">
        <f aca="false">IF(C4457="","",IFERROR(IF(ISNUMBER(SEARCH(Assumptions!$C$5,C4457)),Assumptions!$D$5,IF(ISNUMBER(SEARCH(Assumptions!$C$6,C4457)),Assumptions!$D$6,IF(ISNUMBER(SEARCH(Assumptions!$C$7,C4457)),Assumptions!$D$7,"Other Services"))),"Other Services"))</f>
        <v/>
      </c>
    </row>
    <row r="4458" customFormat="false" ht="15" hidden="false" customHeight="false" outlineLevel="0" collapsed="false">
      <c r="F4458" s="41" t="str">
        <f aca="false">IF(C4458="","",IFERROR(IF(ISNUMBER(SEARCH(Assumptions!$C$5,C4458)),Assumptions!$D$5,IF(ISNUMBER(SEARCH(Assumptions!$C$6,C4458)),Assumptions!$D$6,IF(ISNUMBER(SEARCH(Assumptions!$C$7,C4458)),Assumptions!$D$7,"Other Services"))),"Other Services"))</f>
        <v/>
      </c>
    </row>
    <row r="4459" customFormat="false" ht="15" hidden="false" customHeight="false" outlineLevel="0" collapsed="false">
      <c r="F4459" s="41" t="str">
        <f aca="false">IF(C4459="","",IFERROR(IF(ISNUMBER(SEARCH(Assumptions!$C$5,C4459)),Assumptions!$D$5,IF(ISNUMBER(SEARCH(Assumptions!$C$6,C4459)),Assumptions!$D$6,IF(ISNUMBER(SEARCH(Assumptions!$C$7,C4459)),Assumptions!$D$7,"Other Services"))),"Other Services"))</f>
        <v/>
      </c>
    </row>
    <row r="4460" customFormat="false" ht="15" hidden="false" customHeight="false" outlineLevel="0" collapsed="false">
      <c r="F4460" s="41" t="str">
        <f aca="false">IF(C4460="","",IFERROR(IF(ISNUMBER(SEARCH(Assumptions!$C$5,C4460)),Assumptions!$D$5,IF(ISNUMBER(SEARCH(Assumptions!$C$6,C4460)),Assumptions!$D$6,IF(ISNUMBER(SEARCH(Assumptions!$C$7,C4460)),Assumptions!$D$7,"Other Services"))),"Other Services"))</f>
        <v/>
      </c>
    </row>
    <row r="4461" customFormat="false" ht="15" hidden="false" customHeight="false" outlineLevel="0" collapsed="false">
      <c r="F4461" s="41" t="str">
        <f aca="false">IF(C4461="","",IFERROR(IF(ISNUMBER(SEARCH(Assumptions!$C$5,C4461)),Assumptions!$D$5,IF(ISNUMBER(SEARCH(Assumptions!$C$6,C4461)),Assumptions!$D$6,IF(ISNUMBER(SEARCH(Assumptions!$C$7,C4461)),Assumptions!$D$7,"Other Services"))),"Other Services"))</f>
        <v/>
      </c>
    </row>
    <row r="4462" customFormat="false" ht="15" hidden="false" customHeight="false" outlineLevel="0" collapsed="false">
      <c r="F4462" s="41" t="str">
        <f aca="false">IF(C4462="","",IFERROR(IF(ISNUMBER(SEARCH(Assumptions!$C$5,C4462)),Assumptions!$D$5,IF(ISNUMBER(SEARCH(Assumptions!$C$6,C4462)),Assumptions!$D$6,IF(ISNUMBER(SEARCH(Assumptions!$C$7,C4462)),Assumptions!$D$7,"Other Services"))),"Other Services"))</f>
        <v/>
      </c>
    </row>
    <row r="4463" customFormat="false" ht="15" hidden="false" customHeight="false" outlineLevel="0" collapsed="false">
      <c r="F4463" s="41" t="str">
        <f aca="false">IF(C4463="","",IFERROR(IF(ISNUMBER(SEARCH(Assumptions!$C$5,C4463)),Assumptions!$D$5,IF(ISNUMBER(SEARCH(Assumptions!$C$6,C4463)),Assumptions!$D$6,IF(ISNUMBER(SEARCH(Assumptions!$C$7,C4463)),Assumptions!$D$7,"Other Services"))),"Other Services"))</f>
        <v/>
      </c>
    </row>
    <row r="4464" customFormat="false" ht="15" hidden="false" customHeight="false" outlineLevel="0" collapsed="false">
      <c r="F4464" s="41" t="str">
        <f aca="false">IF(C4464="","",IFERROR(IF(ISNUMBER(SEARCH(Assumptions!$C$5,C4464)),Assumptions!$D$5,IF(ISNUMBER(SEARCH(Assumptions!$C$6,C4464)),Assumptions!$D$6,IF(ISNUMBER(SEARCH(Assumptions!$C$7,C4464)),Assumptions!$D$7,"Other Services"))),"Other Services"))</f>
        <v/>
      </c>
    </row>
    <row r="4465" customFormat="false" ht="15" hidden="false" customHeight="false" outlineLevel="0" collapsed="false">
      <c r="F4465" s="41" t="str">
        <f aca="false">IF(C4465="","",IFERROR(IF(ISNUMBER(SEARCH(Assumptions!$C$5,C4465)),Assumptions!$D$5,IF(ISNUMBER(SEARCH(Assumptions!$C$6,C4465)),Assumptions!$D$6,IF(ISNUMBER(SEARCH(Assumptions!$C$7,C4465)),Assumptions!$D$7,"Other Services"))),"Other Services"))</f>
        <v/>
      </c>
    </row>
    <row r="4466" customFormat="false" ht="15" hidden="false" customHeight="false" outlineLevel="0" collapsed="false">
      <c r="F4466" s="41" t="str">
        <f aca="false">IF(C4466="","",IFERROR(IF(ISNUMBER(SEARCH(Assumptions!$C$5,C4466)),Assumptions!$D$5,IF(ISNUMBER(SEARCH(Assumptions!$C$6,C4466)),Assumptions!$D$6,IF(ISNUMBER(SEARCH(Assumptions!$C$7,C4466)),Assumptions!$D$7,"Other Services"))),"Other Services"))</f>
        <v/>
      </c>
    </row>
    <row r="4467" customFormat="false" ht="15" hidden="false" customHeight="false" outlineLevel="0" collapsed="false">
      <c r="F4467" s="41" t="str">
        <f aca="false">IF(C4467="","",IFERROR(IF(ISNUMBER(SEARCH(Assumptions!$C$5,C4467)),Assumptions!$D$5,IF(ISNUMBER(SEARCH(Assumptions!$C$6,C4467)),Assumptions!$D$6,IF(ISNUMBER(SEARCH(Assumptions!$C$7,C4467)),Assumptions!$D$7,"Other Services"))),"Other Services"))</f>
        <v/>
      </c>
    </row>
    <row r="4468" customFormat="false" ht="15" hidden="false" customHeight="false" outlineLevel="0" collapsed="false">
      <c r="F4468" s="41" t="str">
        <f aca="false">IF(C4468="","",IFERROR(IF(ISNUMBER(SEARCH(Assumptions!$C$5,C4468)),Assumptions!$D$5,IF(ISNUMBER(SEARCH(Assumptions!$C$6,C4468)),Assumptions!$D$6,IF(ISNUMBER(SEARCH(Assumptions!$C$7,C4468)),Assumptions!$D$7,"Other Services"))),"Other Services"))</f>
        <v/>
      </c>
    </row>
    <row r="4469" customFormat="false" ht="15" hidden="false" customHeight="false" outlineLevel="0" collapsed="false">
      <c r="F4469" s="41" t="str">
        <f aca="false">IF(C4469="","",IFERROR(IF(ISNUMBER(SEARCH(Assumptions!$C$5,C4469)),Assumptions!$D$5,IF(ISNUMBER(SEARCH(Assumptions!$C$6,C4469)),Assumptions!$D$6,IF(ISNUMBER(SEARCH(Assumptions!$C$7,C4469)),Assumptions!$D$7,"Other Services"))),"Other Services"))</f>
        <v/>
      </c>
    </row>
    <row r="4470" customFormat="false" ht="15" hidden="false" customHeight="false" outlineLevel="0" collapsed="false">
      <c r="F4470" s="41" t="str">
        <f aca="false">IF(C4470="","",IFERROR(IF(ISNUMBER(SEARCH(Assumptions!$C$5,C4470)),Assumptions!$D$5,IF(ISNUMBER(SEARCH(Assumptions!$C$6,C4470)),Assumptions!$D$6,IF(ISNUMBER(SEARCH(Assumptions!$C$7,C4470)),Assumptions!$D$7,"Other Services"))),"Other Services"))</f>
        <v/>
      </c>
    </row>
    <row r="4471" customFormat="false" ht="15" hidden="false" customHeight="false" outlineLevel="0" collapsed="false">
      <c r="F4471" s="41" t="str">
        <f aca="false">IF(C4471="","",IFERROR(IF(ISNUMBER(SEARCH(Assumptions!$C$5,C4471)),Assumptions!$D$5,IF(ISNUMBER(SEARCH(Assumptions!$C$6,C4471)),Assumptions!$D$6,IF(ISNUMBER(SEARCH(Assumptions!$C$7,C4471)),Assumptions!$D$7,"Other Services"))),"Other Services"))</f>
        <v/>
      </c>
    </row>
    <row r="4472" customFormat="false" ht="15" hidden="false" customHeight="false" outlineLevel="0" collapsed="false">
      <c r="F4472" s="41" t="str">
        <f aca="false">IF(C4472="","",IFERROR(IF(ISNUMBER(SEARCH(Assumptions!$C$5,C4472)),Assumptions!$D$5,IF(ISNUMBER(SEARCH(Assumptions!$C$6,C4472)),Assumptions!$D$6,IF(ISNUMBER(SEARCH(Assumptions!$C$7,C4472)),Assumptions!$D$7,"Other Services"))),"Other Services"))</f>
        <v/>
      </c>
    </row>
    <row r="4473" customFormat="false" ht="15" hidden="false" customHeight="false" outlineLevel="0" collapsed="false">
      <c r="F4473" s="41" t="str">
        <f aca="false">IF(C4473="","",IFERROR(IF(ISNUMBER(SEARCH(Assumptions!$C$5,C4473)),Assumptions!$D$5,IF(ISNUMBER(SEARCH(Assumptions!$C$6,C4473)),Assumptions!$D$6,IF(ISNUMBER(SEARCH(Assumptions!$C$7,C4473)),Assumptions!$D$7,"Other Services"))),"Other Services"))</f>
        <v/>
      </c>
    </row>
    <row r="4474" customFormat="false" ht="15" hidden="false" customHeight="false" outlineLevel="0" collapsed="false">
      <c r="F4474" s="41" t="str">
        <f aca="false">IF(C4474="","",IFERROR(IF(ISNUMBER(SEARCH(Assumptions!$C$5,C4474)),Assumptions!$D$5,IF(ISNUMBER(SEARCH(Assumptions!$C$6,C4474)),Assumptions!$D$6,IF(ISNUMBER(SEARCH(Assumptions!$C$7,C4474)),Assumptions!$D$7,"Other Services"))),"Other Services"))</f>
        <v/>
      </c>
    </row>
    <row r="4475" customFormat="false" ht="15" hidden="false" customHeight="false" outlineLevel="0" collapsed="false">
      <c r="F4475" s="41" t="str">
        <f aca="false">IF(C4475="","",IFERROR(IF(ISNUMBER(SEARCH(Assumptions!$C$5,C4475)),Assumptions!$D$5,IF(ISNUMBER(SEARCH(Assumptions!$C$6,C4475)),Assumptions!$D$6,IF(ISNUMBER(SEARCH(Assumptions!$C$7,C4475)),Assumptions!$D$7,"Other Services"))),"Other Services"))</f>
        <v/>
      </c>
    </row>
    <row r="4476" customFormat="false" ht="15" hidden="false" customHeight="false" outlineLevel="0" collapsed="false">
      <c r="F4476" s="41" t="str">
        <f aca="false">IF(C4476="","",IFERROR(IF(ISNUMBER(SEARCH(Assumptions!$C$5,C4476)),Assumptions!$D$5,IF(ISNUMBER(SEARCH(Assumptions!$C$6,C4476)),Assumptions!$D$6,IF(ISNUMBER(SEARCH(Assumptions!$C$7,C4476)),Assumptions!$D$7,"Other Services"))),"Other Services"))</f>
        <v/>
      </c>
    </row>
    <row r="4477" customFormat="false" ht="15" hidden="false" customHeight="false" outlineLevel="0" collapsed="false">
      <c r="F4477" s="41" t="str">
        <f aca="false">IF(C4477="","",IFERROR(IF(ISNUMBER(SEARCH(Assumptions!$C$5,C4477)),Assumptions!$D$5,IF(ISNUMBER(SEARCH(Assumptions!$C$6,C4477)),Assumptions!$D$6,IF(ISNUMBER(SEARCH(Assumptions!$C$7,C4477)),Assumptions!$D$7,"Other Services"))),"Other Services"))</f>
        <v/>
      </c>
    </row>
    <row r="4478" customFormat="false" ht="15" hidden="false" customHeight="false" outlineLevel="0" collapsed="false">
      <c r="F4478" s="41" t="str">
        <f aca="false">IF(C4478="","",IFERROR(IF(ISNUMBER(SEARCH(Assumptions!$C$5,C4478)),Assumptions!$D$5,IF(ISNUMBER(SEARCH(Assumptions!$C$6,C4478)),Assumptions!$D$6,IF(ISNUMBER(SEARCH(Assumptions!$C$7,C4478)),Assumptions!$D$7,"Other Services"))),"Other Services"))</f>
        <v/>
      </c>
    </row>
    <row r="4479" customFormat="false" ht="15" hidden="false" customHeight="false" outlineLevel="0" collapsed="false">
      <c r="F4479" s="41" t="str">
        <f aca="false">IF(C4479="","",IFERROR(IF(ISNUMBER(SEARCH(Assumptions!$C$5,C4479)),Assumptions!$D$5,IF(ISNUMBER(SEARCH(Assumptions!$C$6,C4479)),Assumptions!$D$6,IF(ISNUMBER(SEARCH(Assumptions!$C$7,C4479)),Assumptions!$D$7,"Other Services"))),"Other Services"))</f>
        <v/>
      </c>
    </row>
    <row r="4480" customFormat="false" ht="15" hidden="false" customHeight="false" outlineLevel="0" collapsed="false">
      <c r="F4480" s="41" t="str">
        <f aca="false">IF(C4480="","",IFERROR(IF(ISNUMBER(SEARCH(Assumptions!$C$5,C4480)),Assumptions!$D$5,IF(ISNUMBER(SEARCH(Assumptions!$C$6,C4480)),Assumptions!$D$6,IF(ISNUMBER(SEARCH(Assumptions!$C$7,C4480)),Assumptions!$D$7,"Other Services"))),"Other Services"))</f>
        <v/>
      </c>
    </row>
    <row r="4481" customFormat="false" ht="15" hidden="false" customHeight="false" outlineLevel="0" collapsed="false">
      <c r="F4481" s="41" t="str">
        <f aca="false">IF(C4481="","",IFERROR(IF(ISNUMBER(SEARCH(Assumptions!$C$5,C4481)),Assumptions!$D$5,IF(ISNUMBER(SEARCH(Assumptions!$C$6,C4481)),Assumptions!$D$6,IF(ISNUMBER(SEARCH(Assumptions!$C$7,C4481)),Assumptions!$D$7,"Other Services"))),"Other Services"))</f>
        <v/>
      </c>
    </row>
    <row r="4482" customFormat="false" ht="15" hidden="false" customHeight="false" outlineLevel="0" collapsed="false">
      <c r="F4482" s="41" t="str">
        <f aca="false">IF(C4482="","",IFERROR(IF(ISNUMBER(SEARCH(Assumptions!$C$5,C4482)),Assumptions!$D$5,IF(ISNUMBER(SEARCH(Assumptions!$C$6,C4482)),Assumptions!$D$6,IF(ISNUMBER(SEARCH(Assumptions!$C$7,C4482)),Assumptions!$D$7,"Other Services"))),"Other Services"))</f>
        <v/>
      </c>
    </row>
    <row r="4483" customFormat="false" ht="15" hidden="false" customHeight="false" outlineLevel="0" collapsed="false">
      <c r="F4483" s="41" t="str">
        <f aca="false">IF(C4483="","",IFERROR(IF(ISNUMBER(SEARCH(Assumptions!$C$5,C4483)),Assumptions!$D$5,IF(ISNUMBER(SEARCH(Assumptions!$C$6,C4483)),Assumptions!$D$6,IF(ISNUMBER(SEARCH(Assumptions!$C$7,C4483)),Assumptions!$D$7,"Other Services"))),"Other Services"))</f>
        <v/>
      </c>
    </row>
    <row r="4484" customFormat="false" ht="15" hidden="false" customHeight="false" outlineLevel="0" collapsed="false">
      <c r="F4484" s="41" t="str">
        <f aca="false">IF(C4484="","",IFERROR(IF(ISNUMBER(SEARCH(Assumptions!$C$5,C4484)),Assumptions!$D$5,IF(ISNUMBER(SEARCH(Assumptions!$C$6,C4484)),Assumptions!$D$6,IF(ISNUMBER(SEARCH(Assumptions!$C$7,C4484)),Assumptions!$D$7,"Other Services"))),"Other Services"))</f>
        <v/>
      </c>
    </row>
    <row r="4485" customFormat="false" ht="15" hidden="false" customHeight="false" outlineLevel="0" collapsed="false">
      <c r="F4485" s="41" t="str">
        <f aca="false">IF(C4485="","",IFERROR(IF(ISNUMBER(SEARCH(Assumptions!$C$5,C4485)),Assumptions!$D$5,IF(ISNUMBER(SEARCH(Assumptions!$C$6,C4485)),Assumptions!$D$6,IF(ISNUMBER(SEARCH(Assumptions!$C$7,C4485)),Assumptions!$D$7,"Other Services"))),"Other Services"))</f>
        <v/>
      </c>
    </row>
    <row r="4486" customFormat="false" ht="15" hidden="false" customHeight="false" outlineLevel="0" collapsed="false">
      <c r="F4486" s="41" t="str">
        <f aca="false">IF(C4486="","",IFERROR(IF(ISNUMBER(SEARCH(Assumptions!$C$5,C4486)),Assumptions!$D$5,IF(ISNUMBER(SEARCH(Assumptions!$C$6,C4486)),Assumptions!$D$6,IF(ISNUMBER(SEARCH(Assumptions!$C$7,C4486)),Assumptions!$D$7,"Other Services"))),"Other Services"))</f>
        <v/>
      </c>
    </row>
    <row r="4487" customFormat="false" ht="15" hidden="false" customHeight="false" outlineLevel="0" collapsed="false">
      <c r="F4487" s="41" t="str">
        <f aca="false">IF(C4487="","",IFERROR(IF(ISNUMBER(SEARCH(Assumptions!$C$5,C4487)),Assumptions!$D$5,IF(ISNUMBER(SEARCH(Assumptions!$C$6,C4487)),Assumptions!$D$6,IF(ISNUMBER(SEARCH(Assumptions!$C$7,C4487)),Assumptions!$D$7,"Other Services"))),"Other Services"))</f>
        <v/>
      </c>
    </row>
    <row r="4488" customFormat="false" ht="15" hidden="false" customHeight="false" outlineLevel="0" collapsed="false">
      <c r="F4488" s="41" t="str">
        <f aca="false">IF(C4488="","",IFERROR(IF(ISNUMBER(SEARCH(Assumptions!$C$5,C4488)),Assumptions!$D$5,IF(ISNUMBER(SEARCH(Assumptions!$C$6,C4488)),Assumptions!$D$6,IF(ISNUMBER(SEARCH(Assumptions!$C$7,C4488)),Assumptions!$D$7,"Other Services"))),"Other Services"))</f>
        <v/>
      </c>
    </row>
    <row r="4489" customFormat="false" ht="15" hidden="false" customHeight="false" outlineLevel="0" collapsed="false">
      <c r="F4489" s="41" t="str">
        <f aca="false">IF(C4489="","",IFERROR(IF(ISNUMBER(SEARCH(Assumptions!$C$5,C4489)),Assumptions!$D$5,IF(ISNUMBER(SEARCH(Assumptions!$C$6,C4489)),Assumptions!$D$6,IF(ISNUMBER(SEARCH(Assumptions!$C$7,C4489)),Assumptions!$D$7,"Other Services"))),"Other Services"))</f>
        <v/>
      </c>
    </row>
    <row r="4490" customFormat="false" ht="15" hidden="false" customHeight="false" outlineLevel="0" collapsed="false">
      <c r="F4490" s="41" t="str">
        <f aca="false">IF(C4490="","",IFERROR(IF(ISNUMBER(SEARCH(Assumptions!$C$5,C4490)),Assumptions!$D$5,IF(ISNUMBER(SEARCH(Assumptions!$C$6,C4490)),Assumptions!$D$6,IF(ISNUMBER(SEARCH(Assumptions!$C$7,C4490)),Assumptions!$D$7,"Other Services"))),"Other Services"))</f>
        <v/>
      </c>
    </row>
    <row r="4491" customFormat="false" ht="15" hidden="false" customHeight="false" outlineLevel="0" collapsed="false">
      <c r="F4491" s="41" t="str">
        <f aca="false">IF(C4491="","",IFERROR(IF(ISNUMBER(SEARCH(Assumptions!$C$5,C4491)),Assumptions!$D$5,IF(ISNUMBER(SEARCH(Assumptions!$C$6,C4491)),Assumptions!$D$6,IF(ISNUMBER(SEARCH(Assumptions!$C$7,C4491)),Assumptions!$D$7,"Other Services"))),"Other Services"))</f>
        <v/>
      </c>
    </row>
    <row r="4492" customFormat="false" ht="15" hidden="false" customHeight="false" outlineLevel="0" collapsed="false">
      <c r="F4492" s="41" t="str">
        <f aca="false">IF(C4492="","",IFERROR(IF(ISNUMBER(SEARCH(Assumptions!$C$5,C4492)),Assumptions!$D$5,IF(ISNUMBER(SEARCH(Assumptions!$C$6,C4492)),Assumptions!$D$6,IF(ISNUMBER(SEARCH(Assumptions!$C$7,C4492)),Assumptions!$D$7,"Other Services"))),"Other Services"))</f>
        <v/>
      </c>
    </row>
    <row r="4493" customFormat="false" ht="15" hidden="false" customHeight="false" outlineLevel="0" collapsed="false">
      <c r="F4493" s="41" t="str">
        <f aca="false">IF(C4493="","",IFERROR(IF(ISNUMBER(SEARCH(Assumptions!$C$5,C4493)),Assumptions!$D$5,IF(ISNUMBER(SEARCH(Assumptions!$C$6,C4493)),Assumptions!$D$6,IF(ISNUMBER(SEARCH(Assumptions!$C$7,C4493)),Assumptions!$D$7,"Other Services"))),"Other Services"))</f>
        <v/>
      </c>
    </row>
    <row r="4494" customFormat="false" ht="15" hidden="false" customHeight="false" outlineLevel="0" collapsed="false">
      <c r="F4494" s="41" t="str">
        <f aca="false">IF(C4494="","",IFERROR(IF(ISNUMBER(SEARCH(Assumptions!$C$5,C4494)),Assumptions!$D$5,IF(ISNUMBER(SEARCH(Assumptions!$C$6,C4494)),Assumptions!$D$6,IF(ISNUMBER(SEARCH(Assumptions!$C$7,C4494)),Assumptions!$D$7,"Other Services"))),"Other Services"))</f>
        <v/>
      </c>
    </row>
    <row r="4495" customFormat="false" ht="15" hidden="false" customHeight="false" outlineLevel="0" collapsed="false">
      <c r="F4495" s="41" t="str">
        <f aca="false">IF(C4495="","",IFERROR(IF(ISNUMBER(SEARCH(Assumptions!$C$5,C4495)),Assumptions!$D$5,IF(ISNUMBER(SEARCH(Assumptions!$C$6,C4495)),Assumptions!$D$6,IF(ISNUMBER(SEARCH(Assumptions!$C$7,C4495)),Assumptions!$D$7,"Other Services"))),"Other Services"))</f>
        <v/>
      </c>
    </row>
    <row r="4496" customFormat="false" ht="15" hidden="false" customHeight="false" outlineLevel="0" collapsed="false">
      <c r="F4496" s="41" t="str">
        <f aca="false">IF(C4496="","",IFERROR(IF(ISNUMBER(SEARCH(Assumptions!$C$5,C4496)),Assumptions!$D$5,IF(ISNUMBER(SEARCH(Assumptions!$C$6,C4496)),Assumptions!$D$6,IF(ISNUMBER(SEARCH(Assumptions!$C$7,C4496)),Assumptions!$D$7,"Other Services"))),"Other Services"))</f>
        <v/>
      </c>
    </row>
    <row r="4497" customFormat="false" ht="15" hidden="false" customHeight="false" outlineLevel="0" collapsed="false">
      <c r="F4497" s="41" t="str">
        <f aca="false">IF(C4497="","",IFERROR(IF(ISNUMBER(SEARCH(Assumptions!$C$5,C4497)),Assumptions!$D$5,IF(ISNUMBER(SEARCH(Assumptions!$C$6,C4497)),Assumptions!$D$6,IF(ISNUMBER(SEARCH(Assumptions!$C$7,C4497)),Assumptions!$D$7,"Other Services"))),"Other Services"))</f>
        <v/>
      </c>
    </row>
    <row r="4498" customFormat="false" ht="15" hidden="false" customHeight="false" outlineLevel="0" collapsed="false">
      <c r="F4498" s="41" t="str">
        <f aca="false">IF(C4498="","",IFERROR(IF(ISNUMBER(SEARCH(Assumptions!$C$5,C4498)),Assumptions!$D$5,IF(ISNUMBER(SEARCH(Assumptions!$C$6,C4498)),Assumptions!$D$6,IF(ISNUMBER(SEARCH(Assumptions!$C$7,C4498)),Assumptions!$D$7,"Other Services"))),"Other Services"))</f>
        <v/>
      </c>
    </row>
    <row r="4499" customFormat="false" ht="15" hidden="false" customHeight="false" outlineLevel="0" collapsed="false">
      <c r="F4499" s="41" t="str">
        <f aca="false">IF(C4499="","",IFERROR(IF(ISNUMBER(SEARCH(Assumptions!$C$5,C4499)),Assumptions!$D$5,IF(ISNUMBER(SEARCH(Assumptions!$C$6,C4499)),Assumptions!$D$6,IF(ISNUMBER(SEARCH(Assumptions!$C$7,C4499)),Assumptions!$D$7,"Other Services"))),"Other Services"))</f>
        <v/>
      </c>
    </row>
    <row r="4500" customFormat="false" ht="15" hidden="false" customHeight="false" outlineLevel="0" collapsed="false">
      <c r="F4500" s="41" t="str">
        <f aca="false">IF(C4500="","",IFERROR(IF(ISNUMBER(SEARCH(Assumptions!$C$5,C4500)),Assumptions!$D$5,IF(ISNUMBER(SEARCH(Assumptions!$C$6,C4500)),Assumptions!$D$6,IF(ISNUMBER(SEARCH(Assumptions!$C$7,C4500)),Assumptions!$D$7,"Other Services"))),"Other Services"))</f>
        <v/>
      </c>
    </row>
    <row r="4501" customFormat="false" ht="15" hidden="false" customHeight="false" outlineLevel="0" collapsed="false">
      <c r="F4501" s="41" t="str">
        <f aca="false">IF(C4501="","",IFERROR(IF(ISNUMBER(SEARCH(Assumptions!$C$5,C4501)),Assumptions!$D$5,IF(ISNUMBER(SEARCH(Assumptions!$C$6,C4501)),Assumptions!$D$6,IF(ISNUMBER(SEARCH(Assumptions!$C$7,C4501)),Assumptions!$D$7,"Other Services"))),"Other Services"))</f>
        <v/>
      </c>
    </row>
    <row r="4502" customFormat="false" ht="15" hidden="false" customHeight="false" outlineLevel="0" collapsed="false">
      <c r="F4502" s="41" t="str">
        <f aca="false">IF(C4502="","",IFERROR(IF(ISNUMBER(SEARCH(Assumptions!$C$5,C4502)),Assumptions!$D$5,IF(ISNUMBER(SEARCH(Assumptions!$C$6,C4502)),Assumptions!$D$6,IF(ISNUMBER(SEARCH(Assumptions!$C$7,C4502)),Assumptions!$D$7,"Other Services"))),"Other Services"))</f>
        <v/>
      </c>
    </row>
    <row r="4503" customFormat="false" ht="15" hidden="false" customHeight="false" outlineLevel="0" collapsed="false">
      <c r="F4503" s="41" t="str">
        <f aca="false">IF(C4503="","",IFERROR(IF(ISNUMBER(SEARCH(Assumptions!$C$5,C4503)),Assumptions!$D$5,IF(ISNUMBER(SEARCH(Assumptions!$C$6,C4503)),Assumptions!$D$6,IF(ISNUMBER(SEARCH(Assumptions!$C$7,C4503)),Assumptions!$D$7,"Other Services"))),"Other Services"))</f>
        <v/>
      </c>
    </row>
    <row r="4504" customFormat="false" ht="15" hidden="false" customHeight="false" outlineLevel="0" collapsed="false">
      <c r="F4504" s="41" t="str">
        <f aca="false">IF(C4504="","",IFERROR(IF(ISNUMBER(SEARCH(Assumptions!$C$5,C4504)),Assumptions!$D$5,IF(ISNUMBER(SEARCH(Assumptions!$C$6,C4504)),Assumptions!$D$6,IF(ISNUMBER(SEARCH(Assumptions!$C$7,C4504)),Assumptions!$D$7,"Other Services"))),"Other Services"))</f>
        <v/>
      </c>
    </row>
    <row r="4505" customFormat="false" ht="15" hidden="false" customHeight="false" outlineLevel="0" collapsed="false">
      <c r="F4505" s="41" t="str">
        <f aca="false">IF(C4505="","",IFERROR(IF(ISNUMBER(SEARCH(Assumptions!$C$5,C4505)),Assumptions!$D$5,IF(ISNUMBER(SEARCH(Assumptions!$C$6,C4505)),Assumptions!$D$6,IF(ISNUMBER(SEARCH(Assumptions!$C$7,C4505)),Assumptions!$D$7,"Other Services"))),"Other Services"))</f>
        <v/>
      </c>
    </row>
    <row r="4506" customFormat="false" ht="15" hidden="false" customHeight="false" outlineLevel="0" collapsed="false">
      <c r="F4506" s="41" t="str">
        <f aca="false">IF(C4506="","",IFERROR(IF(ISNUMBER(SEARCH(Assumptions!$C$5,C4506)),Assumptions!$D$5,IF(ISNUMBER(SEARCH(Assumptions!$C$6,C4506)),Assumptions!$D$6,IF(ISNUMBER(SEARCH(Assumptions!$C$7,C4506)),Assumptions!$D$7,"Other Services"))),"Other Services"))</f>
        <v/>
      </c>
    </row>
    <row r="4507" customFormat="false" ht="15" hidden="false" customHeight="false" outlineLevel="0" collapsed="false">
      <c r="F4507" s="41" t="str">
        <f aca="false">IF(C4507="","",IFERROR(IF(ISNUMBER(SEARCH(Assumptions!$C$5,C4507)),Assumptions!$D$5,IF(ISNUMBER(SEARCH(Assumptions!$C$6,C4507)),Assumptions!$D$6,IF(ISNUMBER(SEARCH(Assumptions!$C$7,C4507)),Assumptions!$D$7,"Other Services"))),"Other Services"))</f>
        <v/>
      </c>
    </row>
    <row r="4508" customFormat="false" ht="15" hidden="false" customHeight="false" outlineLevel="0" collapsed="false">
      <c r="F4508" s="41" t="str">
        <f aca="false">IF(C4508="","",IFERROR(IF(ISNUMBER(SEARCH(Assumptions!$C$5,C4508)),Assumptions!$D$5,IF(ISNUMBER(SEARCH(Assumptions!$C$6,C4508)),Assumptions!$D$6,IF(ISNUMBER(SEARCH(Assumptions!$C$7,C4508)),Assumptions!$D$7,"Other Services"))),"Other Services"))</f>
        <v/>
      </c>
    </row>
    <row r="4509" customFormat="false" ht="15" hidden="false" customHeight="false" outlineLevel="0" collapsed="false">
      <c r="F4509" s="41" t="str">
        <f aca="false">IF(C4509="","",IFERROR(IF(ISNUMBER(SEARCH(Assumptions!$C$5,C4509)),Assumptions!$D$5,IF(ISNUMBER(SEARCH(Assumptions!$C$6,C4509)),Assumptions!$D$6,IF(ISNUMBER(SEARCH(Assumptions!$C$7,C4509)),Assumptions!$D$7,"Other Services"))),"Other Services"))</f>
        <v/>
      </c>
    </row>
    <row r="4510" customFormat="false" ht="15" hidden="false" customHeight="false" outlineLevel="0" collapsed="false">
      <c r="F4510" s="41" t="str">
        <f aca="false">IF(C4510="","",IFERROR(IF(ISNUMBER(SEARCH(Assumptions!$C$5,C4510)),Assumptions!$D$5,IF(ISNUMBER(SEARCH(Assumptions!$C$6,C4510)),Assumptions!$D$6,IF(ISNUMBER(SEARCH(Assumptions!$C$7,C4510)),Assumptions!$D$7,"Other Services"))),"Other Services"))</f>
        <v/>
      </c>
    </row>
    <row r="4511" customFormat="false" ht="15" hidden="false" customHeight="false" outlineLevel="0" collapsed="false">
      <c r="F4511" s="41" t="str">
        <f aca="false">IF(C4511="","",IFERROR(IF(ISNUMBER(SEARCH(Assumptions!$C$5,C4511)),Assumptions!$D$5,IF(ISNUMBER(SEARCH(Assumptions!$C$6,C4511)),Assumptions!$D$6,IF(ISNUMBER(SEARCH(Assumptions!$C$7,C4511)),Assumptions!$D$7,"Other Services"))),"Other Services"))</f>
        <v/>
      </c>
    </row>
    <row r="4512" customFormat="false" ht="15" hidden="false" customHeight="false" outlineLevel="0" collapsed="false">
      <c r="F4512" s="41" t="str">
        <f aca="false">IF(C4512="","",IFERROR(IF(ISNUMBER(SEARCH(Assumptions!$C$5,C4512)),Assumptions!$D$5,IF(ISNUMBER(SEARCH(Assumptions!$C$6,C4512)),Assumptions!$D$6,IF(ISNUMBER(SEARCH(Assumptions!$C$7,C4512)),Assumptions!$D$7,"Other Services"))),"Other Services"))</f>
        <v/>
      </c>
    </row>
    <row r="4513" customFormat="false" ht="15" hidden="false" customHeight="false" outlineLevel="0" collapsed="false">
      <c r="F4513" s="41" t="str">
        <f aca="false">IF(C4513="","",IFERROR(IF(ISNUMBER(SEARCH(Assumptions!$C$5,C4513)),Assumptions!$D$5,IF(ISNUMBER(SEARCH(Assumptions!$C$6,C4513)),Assumptions!$D$6,IF(ISNUMBER(SEARCH(Assumptions!$C$7,C4513)),Assumptions!$D$7,"Other Services"))),"Other Services"))</f>
        <v/>
      </c>
    </row>
    <row r="4514" customFormat="false" ht="15" hidden="false" customHeight="false" outlineLevel="0" collapsed="false">
      <c r="F4514" s="41" t="str">
        <f aca="false">IF(C4514="","",IFERROR(IF(ISNUMBER(SEARCH(Assumptions!$C$5,C4514)),Assumptions!$D$5,IF(ISNUMBER(SEARCH(Assumptions!$C$6,C4514)),Assumptions!$D$6,IF(ISNUMBER(SEARCH(Assumptions!$C$7,C4514)),Assumptions!$D$7,"Other Services"))),"Other Services"))</f>
        <v/>
      </c>
    </row>
    <row r="4515" customFormat="false" ht="15" hidden="false" customHeight="false" outlineLevel="0" collapsed="false">
      <c r="F4515" s="41" t="str">
        <f aca="false">IF(C4515="","",IFERROR(IF(ISNUMBER(SEARCH(Assumptions!$C$5,C4515)),Assumptions!$D$5,IF(ISNUMBER(SEARCH(Assumptions!$C$6,C4515)),Assumptions!$D$6,IF(ISNUMBER(SEARCH(Assumptions!$C$7,C4515)),Assumptions!$D$7,"Other Services"))),"Other Services"))</f>
        <v/>
      </c>
    </row>
    <row r="4516" customFormat="false" ht="15" hidden="false" customHeight="false" outlineLevel="0" collapsed="false">
      <c r="F4516" s="41" t="str">
        <f aca="false">IF(C4516="","",IFERROR(IF(ISNUMBER(SEARCH(Assumptions!$C$5,C4516)),Assumptions!$D$5,IF(ISNUMBER(SEARCH(Assumptions!$C$6,C4516)),Assumptions!$D$6,IF(ISNUMBER(SEARCH(Assumptions!$C$7,C4516)),Assumptions!$D$7,"Other Services"))),"Other Services"))</f>
        <v/>
      </c>
    </row>
    <row r="4517" customFormat="false" ht="15" hidden="false" customHeight="false" outlineLevel="0" collapsed="false">
      <c r="F4517" s="41" t="str">
        <f aca="false">IF(C4517="","",IFERROR(IF(ISNUMBER(SEARCH(Assumptions!$C$5,C4517)),Assumptions!$D$5,IF(ISNUMBER(SEARCH(Assumptions!$C$6,C4517)),Assumptions!$D$6,IF(ISNUMBER(SEARCH(Assumptions!$C$7,C4517)),Assumptions!$D$7,"Other Services"))),"Other Services"))</f>
        <v/>
      </c>
    </row>
    <row r="4518" customFormat="false" ht="15" hidden="false" customHeight="false" outlineLevel="0" collapsed="false">
      <c r="F4518" s="41" t="str">
        <f aca="false">IF(C4518="","",IFERROR(IF(ISNUMBER(SEARCH(Assumptions!$C$5,C4518)),Assumptions!$D$5,IF(ISNUMBER(SEARCH(Assumptions!$C$6,C4518)),Assumptions!$D$6,IF(ISNUMBER(SEARCH(Assumptions!$C$7,C4518)),Assumptions!$D$7,"Other Services"))),"Other Services"))</f>
        <v/>
      </c>
    </row>
    <row r="4519" customFormat="false" ht="15" hidden="false" customHeight="false" outlineLevel="0" collapsed="false">
      <c r="F4519" s="41" t="str">
        <f aca="false">IF(C4519="","",IFERROR(IF(ISNUMBER(SEARCH(Assumptions!$C$5,C4519)),Assumptions!$D$5,IF(ISNUMBER(SEARCH(Assumptions!$C$6,C4519)),Assumptions!$D$6,IF(ISNUMBER(SEARCH(Assumptions!$C$7,C4519)),Assumptions!$D$7,"Other Services"))),"Other Services"))</f>
        <v/>
      </c>
    </row>
    <row r="4520" customFormat="false" ht="15" hidden="false" customHeight="false" outlineLevel="0" collapsed="false">
      <c r="F4520" s="41" t="str">
        <f aca="false">IF(C4520="","",IFERROR(IF(ISNUMBER(SEARCH(Assumptions!$C$5,C4520)),Assumptions!$D$5,IF(ISNUMBER(SEARCH(Assumptions!$C$6,C4520)),Assumptions!$D$6,IF(ISNUMBER(SEARCH(Assumptions!$C$7,C4520)),Assumptions!$D$7,"Other Services"))),"Other Services"))</f>
        <v/>
      </c>
    </row>
    <row r="4521" customFormat="false" ht="15" hidden="false" customHeight="false" outlineLevel="0" collapsed="false">
      <c r="F4521" s="41" t="str">
        <f aca="false">IF(C4521="","",IFERROR(IF(ISNUMBER(SEARCH(Assumptions!$C$5,C4521)),Assumptions!$D$5,IF(ISNUMBER(SEARCH(Assumptions!$C$6,C4521)),Assumptions!$D$6,IF(ISNUMBER(SEARCH(Assumptions!$C$7,C4521)),Assumptions!$D$7,"Other Services"))),"Other Services"))</f>
        <v/>
      </c>
    </row>
    <row r="4522" customFormat="false" ht="15" hidden="false" customHeight="false" outlineLevel="0" collapsed="false">
      <c r="F4522" s="41" t="str">
        <f aca="false">IF(C4522="","",IFERROR(IF(ISNUMBER(SEARCH(Assumptions!$C$5,C4522)),Assumptions!$D$5,IF(ISNUMBER(SEARCH(Assumptions!$C$6,C4522)),Assumptions!$D$6,IF(ISNUMBER(SEARCH(Assumptions!$C$7,C4522)),Assumptions!$D$7,"Other Services"))),"Other Services"))</f>
        <v/>
      </c>
    </row>
    <row r="4523" customFormat="false" ht="15" hidden="false" customHeight="false" outlineLevel="0" collapsed="false">
      <c r="F4523" s="41" t="str">
        <f aca="false">IF(C4523="","",IFERROR(IF(ISNUMBER(SEARCH(Assumptions!$C$5,C4523)),Assumptions!$D$5,IF(ISNUMBER(SEARCH(Assumptions!$C$6,C4523)),Assumptions!$D$6,IF(ISNUMBER(SEARCH(Assumptions!$C$7,C4523)),Assumptions!$D$7,"Other Services"))),"Other Services"))</f>
        <v/>
      </c>
    </row>
    <row r="4524" customFormat="false" ht="15" hidden="false" customHeight="false" outlineLevel="0" collapsed="false">
      <c r="F4524" s="41" t="str">
        <f aca="false">IF(C4524="","",IFERROR(IF(ISNUMBER(SEARCH(Assumptions!$C$5,C4524)),Assumptions!$D$5,IF(ISNUMBER(SEARCH(Assumptions!$C$6,C4524)),Assumptions!$D$6,IF(ISNUMBER(SEARCH(Assumptions!$C$7,C4524)),Assumptions!$D$7,"Other Services"))),"Other Services"))</f>
        <v/>
      </c>
    </row>
    <row r="4525" customFormat="false" ht="15" hidden="false" customHeight="false" outlineLevel="0" collapsed="false">
      <c r="F4525" s="41" t="str">
        <f aca="false">IF(C4525="","",IFERROR(IF(ISNUMBER(SEARCH(Assumptions!$C$5,C4525)),Assumptions!$D$5,IF(ISNUMBER(SEARCH(Assumptions!$C$6,C4525)),Assumptions!$D$6,IF(ISNUMBER(SEARCH(Assumptions!$C$7,C4525)),Assumptions!$D$7,"Other Services"))),"Other Services"))</f>
        <v/>
      </c>
    </row>
    <row r="4526" customFormat="false" ht="15" hidden="false" customHeight="false" outlineLevel="0" collapsed="false">
      <c r="F4526" s="41" t="str">
        <f aca="false">IF(C4526="","",IFERROR(IF(ISNUMBER(SEARCH(Assumptions!$C$5,C4526)),Assumptions!$D$5,IF(ISNUMBER(SEARCH(Assumptions!$C$6,C4526)),Assumptions!$D$6,IF(ISNUMBER(SEARCH(Assumptions!$C$7,C4526)),Assumptions!$D$7,"Other Services"))),"Other Services"))</f>
        <v/>
      </c>
    </row>
    <row r="4527" customFormat="false" ht="15" hidden="false" customHeight="false" outlineLevel="0" collapsed="false">
      <c r="F4527" s="41" t="str">
        <f aca="false">IF(C4527="","",IFERROR(IF(ISNUMBER(SEARCH(Assumptions!$C$5,C4527)),Assumptions!$D$5,IF(ISNUMBER(SEARCH(Assumptions!$C$6,C4527)),Assumptions!$D$6,IF(ISNUMBER(SEARCH(Assumptions!$C$7,C4527)),Assumptions!$D$7,"Other Services"))),"Other Services"))</f>
        <v/>
      </c>
    </row>
    <row r="4528" customFormat="false" ht="15" hidden="false" customHeight="false" outlineLevel="0" collapsed="false">
      <c r="F4528" s="41" t="str">
        <f aca="false">IF(C4528="","",IFERROR(IF(ISNUMBER(SEARCH(Assumptions!$C$5,C4528)),Assumptions!$D$5,IF(ISNUMBER(SEARCH(Assumptions!$C$6,C4528)),Assumptions!$D$6,IF(ISNUMBER(SEARCH(Assumptions!$C$7,C4528)),Assumptions!$D$7,"Other Services"))),"Other Services"))</f>
        <v/>
      </c>
    </row>
    <row r="4529" customFormat="false" ht="15" hidden="false" customHeight="false" outlineLevel="0" collapsed="false">
      <c r="F4529" s="41" t="str">
        <f aca="false">IF(C4529="","",IFERROR(IF(ISNUMBER(SEARCH(Assumptions!$C$5,C4529)),Assumptions!$D$5,IF(ISNUMBER(SEARCH(Assumptions!$C$6,C4529)),Assumptions!$D$6,IF(ISNUMBER(SEARCH(Assumptions!$C$7,C4529)),Assumptions!$D$7,"Other Services"))),"Other Services"))</f>
        <v/>
      </c>
    </row>
    <row r="4530" customFormat="false" ht="15" hidden="false" customHeight="false" outlineLevel="0" collapsed="false">
      <c r="F4530" s="41" t="str">
        <f aca="false">IF(C4530="","",IFERROR(IF(ISNUMBER(SEARCH(Assumptions!$C$5,C4530)),Assumptions!$D$5,IF(ISNUMBER(SEARCH(Assumptions!$C$6,C4530)),Assumptions!$D$6,IF(ISNUMBER(SEARCH(Assumptions!$C$7,C4530)),Assumptions!$D$7,"Other Services"))),"Other Services"))</f>
        <v/>
      </c>
    </row>
    <row r="4531" customFormat="false" ht="15" hidden="false" customHeight="false" outlineLevel="0" collapsed="false">
      <c r="F4531" s="41" t="str">
        <f aca="false">IF(C4531="","",IFERROR(IF(ISNUMBER(SEARCH(Assumptions!$C$5,C4531)),Assumptions!$D$5,IF(ISNUMBER(SEARCH(Assumptions!$C$6,C4531)),Assumptions!$D$6,IF(ISNUMBER(SEARCH(Assumptions!$C$7,C4531)),Assumptions!$D$7,"Other Services"))),"Other Services"))</f>
        <v/>
      </c>
    </row>
    <row r="4532" customFormat="false" ht="15" hidden="false" customHeight="false" outlineLevel="0" collapsed="false">
      <c r="F4532" s="41" t="str">
        <f aca="false">IF(C4532="","",IFERROR(IF(ISNUMBER(SEARCH(Assumptions!$C$5,C4532)),Assumptions!$D$5,IF(ISNUMBER(SEARCH(Assumptions!$C$6,C4532)),Assumptions!$D$6,IF(ISNUMBER(SEARCH(Assumptions!$C$7,C4532)),Assumptions!$D$7,"Other Services"))),"Other Services"))</f>
        <v/>
      </c>
    </row>
    <row r="4533" customFormat="false" ht="15" hidden="false" customHeight="false" outlineLevel="0" collapsed="false">
      <c r="F4533" s="41" t="str">
        <f aca="false">IF(C4533="","",IFERROR(IF(ISNUMBER(SEARCH(Assumptions!$C$5,C4533)),Assumptions!$D$5,IF(ISNUMBER(SEARCH(Assumptions!$C$6,C4533)),Assumptions!$D$6,IF(ISNUMBER(SEARCH(Assumptions!$C$7,C4533)),Assumptions!$D$7,"Other Services"))),"Other Services"))</f>
        <v/>
      </c>
    </row>
    <row r="4534" customFormat="false" ht="15" hidden="false" customHeight="false" outlineLevel="0" collapsed="false">
      <c r="F4534" s="41" t="str">
        <f aca="false">IF(C4534="","",IFERROR(IF(ISNUMBER(SEARCH(Assumptions!$C$5,C4534)),Assumptions!$D$5,IF(ISNUMBER(SEARCH(Assumptions!$C$6,C4534)),Assumptions!$D$6,IF(ISNUMBER(SEARCH(Assumptions!$C$7,C4534)),Assumptions!$D$7,"Other Services"))),"Other Services"))</f>
        <v/>
      </c>
    </row>
    <row r="4535" customFormat="false" ht="15" hidden="false" customHeight="false" outlineLevel="0" collapsed="false">
      <c r="F4535" s="41" t="str">
        <f aca="false">IF(C4535="","",IFERROR(IF(ISNUMBER(SEARCH(Assumptions!$C$5,C4535)),Assumptions!$D$5,IF(ISNUMBER(SEARCH(Assumptions!$C$6,C4535)),Assumptions!$D$6,IF(ISNUMBER(SEARCH(Assumptions!$C$7,C4535)),Assumptions!$D$7,"Other Services"))),"Other Services"))</f>
        <v/>
      </c>
    </row>
    <row r="4536" customFormat="false" ht="15" hidden="false" customHeight="false" outlineLevel="0" collapsed="false">
      <c r="F4536" s="41" t="str">
        <f aca="false">IF(C4536="","",IFERROR(IF(ISNUMBER(SEARCH(Assumptions!$C$5,C4536)),Assumptions!$D$5,IF(ISNUMBER(SEARCH(Assumptions!$C$6,C4536)),Assumptions!$D$6,IF(ISNUMBER(SEARCH(Assumptions!$C$7,C4536)),Assumptions!$D$7,"Other Services"))),"Other Services"))</f>
        <v/>
      </c>
    </row>
    <row r="4537" customFormat="false" ht="15" hidden="false" customHeight="false" outlineLevel="0" collapsed="false">
      <c r="F4537" s="41" t="str">
        <f aca="false">IF(C4537="","",IFERROR(IF(ISNUMBER(SEARCH(Assumptions!$C$5,C4537)),Assumptions!$D$5,IF(ISNUMBER(SEARCH(Assumptions!$C$6,C4537)),Assumptions!$D$6,IF(ISNUMBER(SEARCH(Assumptions!$C$7,C4537)),Assumptions!$D$7,"Other Services"))),"Other Services"))</f>
        <v/>
      </c>
    </row>
    <row r="4538" customFormat="false" ht="15" hidden="false" customHeight="false" outlineLevel="0" collapsed="false">
      <c r="F4538" s="41" t="str">
        <f aca="false">IF(C4538="","",IFERROR(IF(ISNUMBER(SEARCH(Assumptions!$C$5,C4538)),Assumptions!$D$5,IF(ISNUMBER(SEARCH(Assumptions!$C$6,C4538)),Assumptions!$D$6,IF(ISNUMBER(SEARCH(Assumptions!$C$7,C4538)),Assumptions!$D$7,"Other Services"))),"Other Services"))</f>
        <v/>
      </c>
    </row>
    <row r="4539" customFormat="false" ht="15" hidden="false" customHeight="false" outlineLevel="0" collapsed="false">
      <c r="F4539" s="41" t="str">
        <f aca="false">IF(C4539="","",IFERROR(IF(ISNUMBER(SEARCH(Assumptions!$C$5,C4539)),Assumptions!$D$5,IF(ISNUMBER(SEARCH(Assumptions!$C$6,C4539)),Assumptions!$D$6,IF(ISNUMBER(SEARCH(Assumptions!$C$7,C4539)),Assumptions!$D$7,"Other Services"))),"Other Services"))</f>
        <v/>
      </c>
    </row>
    <row r="4540" customFormat="false" ht="15" hidden="false" customHeight="false" outlineLevel="0" collapsed="false">
      <c r="F4540" s="41" t="str">
        <f aca="false">IF(C4540="","",IFERROR(IF(ISNUMBER(SEARCH(Assumptions!$C$5,C4540)),Assumptions!$D$5,IF(ISNUMBER(SEARCH(Assumptions!$C$6,C4540)),Assumptions!$D$6,IF(ISNUMBER(SEARCH(Assumptions!$C$7,C4540)),Assumptions!$D$7,"Other Services"))),"Other Services"))</f>
        <v/>
      </c>
    </row>
    <row r="4541" customFormat="false" ht="15" hidden="false" customHeight="false" outlineLevel="0" collapsed="false">
      <c r="F4541" s="41" t="str">
        <f aca="false">IF(C4541="","",IFERROR(IF(ISNUMBER(SEARCH(Assumptions!$C$5,C4541)),Assumptions!$D$5,IF(ISNUMBER(SEARCH(Assumptions!$C$6,C4541)),Assumptions!$D$6,IF(ISNUMBER(SEARCH(Assumptions!$C$7,C4541)),Assumptions!$D$7,"Other Services"))),"Other Services"))</f>
        <v/>
      </c>
    </row>
    <row r="4542" customFormat="false" ht="15" hidden="false" customHeight="false" outlineLevel="0" collapsed="false">
      <c r="F4542" s="41" t="str">
        <f aca="false">IF(C4542="","",IFERROR(IF(ISNUMBER(SEARCH(Assumptions!$C$5,C4542)),Assumptions!$D$5,IF(ISNUMBER(SEARCH(Assumptions!$C$6,C4542)),Assumptions!$D$6,IF(ISNUMBER(SEARCH(Assumptions!$C$7,C4542)),Assumptions!$D$7,"Other Services"))),"Other Services"))</f>
        <v/>
      </c>
    </row>
    <row r="4543" customFormat="false" ht="15" hidden="false" customHeight="false" outlineLevel="0" collapsed="false">
      <c r="F4543" s="41" t="str">
        <f aca="false">IF(C4543="","",IFERROR(IF(ISNUMBER(SEARCH(Assumptions!$C$5,C4543)),Assumptions!$D$5,IF(ISNUMBER(SEARCH(Assumptions!$C$6,C4543)),Assumptions!$D$6,IF(ISNUMBER(SEARCH(Assumptions!$C$7,C4543)),Assumptions!$D$7,"Other Services"))),"Other Services"))</f>
        <v/>
      </c>
    </row>
    <row r="4544" customFormat="false" ht="15" hidden="false" customHeight="false" outlineLevel="0" collapsed="false">
      <c r="F4544" s="41" t="str">
        <f aca="false">IF(C4544="","",IFERROR(IF(ISNUMBER(SEARCH(Assumptions!$C$5,C4544)),Assumptions!$D$5,IF(ISNUMBER(SEARCH(Assumptions!$C$6,C4544)),Assumptions!$D$6,IF(ISNUMBER(SEARCH(Assumptions!$C$7,C4544)),Assumptions!$D$7,"Other Services"))),"Other Services"))</f>
        <v/>
      </c>
    </row>
    <row r="4545" customFormat="false" ht="15" hidden="false" customHeight="false" outlineLevel="0" collapsed="false">
      <c r="F4545" s="41" t="str">
        <f aca="false">IF(C4545="","",IFERROR(IF(ISNUMBER(SEARCH(Assumptions!$C$5,C4545)),Assumptions!$D$5,IF(ISNUMBER(SEARCH(Assumptions!$C$6,C4545)),Assumptions!$D$6,IF(ISNUMBER(SEARCH(Assumptions!$C$7,C4545)),Assumptions!$D$7,"Other Services"))),"Other Services"))</f>
        <v/>
      </c>
    </row>
    <row r="4546" customFormat="false" ht="15" hidden="false" customHeight="false" outlineLevel="0" collapsed="false">
      <c r="F4546" s="41" t="str">
        <f aca="false">IF(C4546="","",IFERROR(IF(ISNUMBER(SEARCH(Assumptions!$C$5,C4546)),Assumptions!$D$5,IF(ISNUMBER(SEARCH(Assumptions!$C$6,C4546)),Assumptions!$D$6,IF(ISNUMBER(SEARCH(Assumptions!$C$7,C4546)),Assumptions!$D$7,"Other Services"))),"Other Services"))</f>
        <v/>
      </c>
    </row>
    <row r="4547" customFormat="false" ht="15" hidden="false" customHeight="false" outlineLevel="0" collapsed="false">
      <c r="F4547" s="41" t="str">
        <f aca="false">IF(C4547="","",IFERROR(IF(ISNUMBER(SEARCH(Assumptions!$C$5,C4547)),Assumptions!$D$5,IF(ISNUMBER(SEARCH(Assumptions!$C$6,C4547)),Assumptions!$D$6,IF(ISNUMBER(SEARCH(Assumptions!$C$7,C4547)),Assumptions!$D$7,"Other Services"))),"Other Services"))</f>
        <v/>
      </c>
    </row>
    <row r="4548" customFormat="false" ht="15" hidden="false" customHeight="false" outlineLevel="0" collapsed="false">
      <c r="F4548" s="41" t="str">
        <f aca="false">IF(C4548="","",IFERROR(IF(ISNUMBER(SEARCH(Assumptions!$C$5,C4548)),Assumptions!$D$5,IF(ISNUMBER(SEARCH(Assumptions!$C$6,C4548)),Assumptions!$D$6,IF(ISNUMBER(SEARCH(Assumptions!$C$7,C4548)),Assumptions!$D$7,"Other Services"))),"Other Services"))</f>
        <v/>
      </c>
    </row>
    <row r="4549" customFormat="false" ht="15" hidden="false" customHeight="false" outlineLevel="0" collapsed="false">
      <c r="F4549" s="41" t="str">
        <f aca="false">IF(C4549="","",IFERROR(IF(ISNUMBER(SEARCH(Assumptions!$C$5,C4549)),Assumptions!$D$5,IF(ISNUMBER(SEARCH(Assumptions!$C$6,C4549)),Assumptions!$D$6,IF(ISNUMBER(SEARCH(Assumptions!$C$7,C4549)),Assumptions!$D$7,"Other Services"))),"Other Services"))</f>
        <v/>
      </c>
    </row>
    <row r="4550" customFormat="false" ht="15" hidden="false" customHeight="false" outlineLevel="0" collapsed="false">
      <c r="F4550" s="41" t="str">
        <f aca="false">IF(C4550="","",IFERROR(IF(ISNUMBER(SEARCH(Assumptions!$C$5,C4550)),Assumptions!$D$5,IF(ISNUMBER(SEARCH(Assumptions!$C$6,C4550)),Assumptions!$D$6,IF(ISNUMBER(SEARCH(Assumptions!$C$7,C4550)),Assumptions!$D$7,"Other Services"))),"Other Services"))</f>
        <v/>
      </c>
    </row>
    <row r="4551" customFormat="false" ht="15" hidden="false" customHeight="false" outlineLevel="0" collapsed="false">
      <c r="F4551" s="41" t="str">
        <f aca="false">IF(C4551="","",IFERROR(IF(ISNUMBER(SEARCH(Assumptions!$C$5,C4551)),Assumptions!$D$5,IF(ISNUMBER(SEARCH(Assumptions!$C$6,C4551)),Assumptions!$D$6,IF(ISNUMBER(SEARCH(Assumptions!$C$7,C4551)),Assumptions!$D$7,"Other Services"))),"Other Services"))</f>
        <v/>
      </c>
    </row>
    <row r="4552" customFormat="false" ht="15" hidden="false" customHeight="false" outlineLevel="0" collapsed="false">
      <c r="F4552" s="41" t="str">
        <f aca="false">IF(C4552="","",IFERROR(IF(ISNUMBER(SEARCH(Assumptions!$C$5,C4552)),Assumptions!$D$5,IF(ISNUMBER(SEARCH(Assumptions!$C$6,C4552)),Assumptions!$D$6,IF(ISNUMBER(SEARCH(Assumptions!$C$7,C4552)),Assumptions!$D$7,"Other Services"))),"Other Services"))</f>
        <v/>
      </c>
    </row>
    <row r="4553" customFormat="false" ht="15" hidden="false" customHeight="false" outlineLevel="0" collapsed="false">
      <c r="F4553" s="41" t="str">
        <f aca="false">IF(C4553="","",IFERROR(IF(ISNUMBER(SEARCH(Assumptions!$C$5,C4553)),Assumptions!$D$5,IF(ISNUMBER(SEARCH(Assumptions!$C$6,C4553)),Assumptions!$D$6,IF(ISNUMBER(SEARCH(Assumptions!$C$7,C4553)),Assumptions!$D$7,"Other Services"))),"Other Services"))</f>
        <v/>
      </c>
    </row>
    <row r="4554" customFormat="false" ht="15" hidden="false" customHeight="false" outlineLevel="0" collapsed="false">
      <c r="F4554" s="41" t="str">
        <f aca="false">IF(C4554="","",IFERROR(IF(ISNUMBER(SEARCH(Assumptions!$C$5,C4554)),Assumptions!$D$5,IF(ISNUMBER(SEARCH(Assumptions!$C$6,C4554)),Assumptions!$D$6,IF(ISNUMBER(SEARCH(Assumptions!$C$7,C4554)),Assumptions!$D$7,"Other Services"))),"Other Services"))</f>
        <v/>
      </c>
    </row>
    <row r="4555" customFormat="false" ht="15" hidden="false" customHeight="false" outlineLevel="0" collapsed="false">
      <c r="F4555" s="41" t="str">
        <f aca="false">IF(C4555="","",IFERROR(IF(ISNUMBER(SEARCH(Assumptions!$C$5,C4555)),Assumptions!$D$5,IF(ISNUMBER(SEARCH(Assumptions!$C$6,C4555)),Assumptions!$D$6,IF(ISNUMBER(SEARCH(Assumptions!$C$7,C4555)),Assumptions!$D$7,"Other Services"))),"Other Services"))</f>
        <v/>
      </c>
    </row>
    <row r="4556" customFormat="false" ht="15" hidden="false" customHeight="false" outlineLevel="0" collapsed="false">
      <c r="F4556" s="41" t="str">
        <f aca="false">IF(C4556="","",IFERROR(IF(ISNUMBER(SEARCH(Assumptions!$C$5,C4556)),Assumptions!$D$5,IF(ISNUMBER(SEARCH(Assumptions!$C$6,C4556)),Assumptions!$D$6,IF(ISNUMBER(SEARCH(Assumptions!$C$7,C4556)),Assumptions!$D$7,"Other Services"))),"Other Services"))</f>
        <v/>
      </c>
    </row>
    <row r="4557" customFormat="false" ht="15" hidden="false" customHeight="false" outlineLevel="0" collapsed="false">
      <c r="F4557" s="41" t="str">
        <f aca="false">IF(C4557="","",IFERROR(IF(ISNUMBER(SEARCH(Assumptions!$C$5,C4557)),Assumptions!$D$5,IF(ISNUMBER(SEARCH(Assumptions!$C$6,C4557)),Assumptions!$D$6,IF(ISNUMBER(SEARCH(Assumptions!$C$7,C4557)),Assumptions!$D$7,"Other Services"))),"Other Services"))</f>
        <v/>
      </c>
    </row>
    <row r="4558" customFormat="false" ht="15" hidden="false" customHeight="false" outlineLevel="0" collapsed="false">
      <c r="F4558" s="41" t="str">
        <f aca="false">IF(C4558="","",IFERROR(IF(ISNUMBER(SEARCH(Assumptions!$C$5,C4558)),Assumptions!$D$5,IF(ISNUMBER(SEARCH(Assumptions!$C$6,C4558)),Assumptions!$D$6,IF(ISNUMBER(SEARCH(Assumptions!$C$7,C4558)),Assumptions!$D$7,"Other Services"))),"Other Services"))</f>
        <v/>
      </c>
    </row>
    <row r="4559" customFormat="false" ht="15" hidden="false" customHeight="false" outlineLevel="0" collapsed="false">
      <c r="F4559" s="41" t="str">
        <f aca="false">IF(C4559="","",IFERROR(IF(ISNUMBER(SEARCH(Assumptions!$C$5,C4559)),Assumptions!$D$5,IF(ISNUMBER(SEARCH(Assumptions!$C$6,C4559)),Assumptions!$D$6,IF(ISNUMBER(SEARCH(Assumptions!$C$7,C4559)),Assumptions!$D$7,"Other Services"))),"Other Services"))</f>
        <v/>
      </c>
    </row>
    <row r="4560" customFormat="false" ht="15" hidden="false" customHeight="false" outlineLevel="0" collapsed="false">
      <c r="F4560" s="41" t="str">
        <f aca="false">IF(C4560="","",IFERROR(IF(ISNUMBER(SEARCH(Assumptions!$C$5,C4560)),Assumptions!$D$5,IF(ISNUMBER(SEARCH(Assumptions!$C$6,C4560)),Assumptions!$D$6,IF(ISNUMBER(SEARCH(Assumptions!$C$7,C4560)),Assumptions!$D$7,"Other Services"))),"Other Services"))</f>
        <v/>
      </c>
    </row>
    <row r="4561" customFormat="false" ht="15" hidden="false" customHeight="false" outlineLevel="0" collapsed="false">
      <c r="F4561" s="41" t="str">
        <f aca="false">IF(C4561="","",IFERROR(IF(ISNUMBER(SEARCH(Assumptions!$C$5,C4561)),Assumptions!$D$5,IF(ISNUMBER(SEARCH(Assumptions!$C$6,C4561)),Assumptions!$D$6,IF(ISNUMBER(SEARCH(Assumptions!$C$7,C4561)),Assumptions!$D$7,"Other Services"))),"Other Services"))</f>
        <v/>
      </c>
    </row>
    <row r="4562" customFormat="false" ht="15" hidden="false" customHeight="false" outlineLevel="0" collapsed="false">
      <c r="F4562" s="41" t="str">
        <f aca="false">IF(C4562="","",IFERROR(IF(ISNUMBER(SEARCH(Assumptions!$C$5,C4562)),Assumptions!$D$5,IF(ISNUMBER(SEARCH(Assumptions!$C$6,C4562)),Assumptions!$D$6,IF(ISNUMBER(SEARCH(Assumptions!$C$7,C4562)),Assumptions!$D$7,"Other Services"))),"Other Services"))</f>
        <v/>
      </c>
    </row>
    <row r="4563" customFormat="false" ht="15" hidden="false" customHeight="false" outlineLevel="0" collapsed="false">
      <c r="F4563" s="41" t="str">
        <f aca="false">IF(C4563="","",IFERROR(IF(ISNUMBER(SEARCH(Assumptions!$C$5,C4563)),Assumptions!$D$5,IF(ISNUMBER(SEARCH(Assumptions!$C$6,C4563)),Assumptions!$D$6,IF(ISNUMBER(SEARCH(Assumptions!$C$7,C4563)),Assumptions!$D$7,"Other Services"))),"Other Services"))</f>
        <v/>
      </c>
    </row>
    <row r="4564" customFormat="false" ht="15" hidden="false" customHeight="false" outlineLevel="0" collapsed="false">
      <c r="F4564" s="41" t="str">
        <f aca="false">IF(C4564="","",IFERROR(IF(ISNUMBER(SEARCH(Assumptions!$C$5,C4564)),Assumptions!$D$5,IF(ISNUMBER(SEARCH(Assumptions!$C$6,C4564)),Assumptions!$D$6,IF(ISNUMBER(SEARCH(Assumptions!$C$7,C4564)),Assumptions!$D$7,"Other Services"))),"Other Services"))</f>
        <v/>
      </c>
    </row>
    <row r="4565" customFormat="false" ht="15" hidden="false" customHeight="false" outlineLevel="0" collapsed="false">
      <c r="F4565" s="41" t="str">
        <f aca="false">IF(C4565="","",IFERROR(IF(ISNUMBER(SEARCH(Assumptions!$C$5,C4565)),Assumptions!$D$5,IF(ISNUMBER(SEARCH(Assumptions!$C$6,C4565)),Assumptions!$D$6,IF(ISNUMBER(SEARCH(Assumptions!$C$7,C4565)),Assumptions!$D$7,"Other Services"))),"Other Services"))</f>
        <v/>
      </c>
    </row>
    <row r="4566" customFormat="false" ht="15" hidden="false" customHeight="false" outlineLevel="0" collapsed="false">
      <c r="F4566" s="41" t="str">
        <f aca="false">IF(C4566="","",IFERROR(IF(ISNUMBER(SEARCH(Assumptions!$C$5,C4566)),Assumptions!$D$5,IF(ISNUMBER(SEARCH(Assumptions!$C$6,C4566)),Assumptions!$D$6,IF(ISNUMBER(SEARCH(Assumptions!$C$7,C4566)),Assumptions!$D$7,"Other Services"))),"Other Services"))</f>
        <v/>
      </c>
    </row>
    <row r="4567" customFormat="false" ht="15" hidden="false" customHeight="false" outlineLevel="0" collapsed="false">
      <c r="F4567" s="41" t="str">
        <f aca="false">IF(C4567="","",IFERROR(IF(ISNUMBER(SEARCH(Assumptions!$C$5,C4567)),Assumptions!$D$5,IF(ISNUMBER(SEARCH(Assumptions!$C$6,C4567)),Assumptions!$D$6,IF(ISNUMBER(SEARCH(Assumptions!$C$7,C4567)),Assumptions!$D$7,"Other Services"))),"Other Services"))</f>
        <v/>
      </c>
    </row>
    <row r="4568" customFormat="false" ht="15" hidden="false" customHeight="false" outlineLevel="0" collapsed="false">
      <c r="F4568" s="41" t="str">
        <f aca="false">IF(C4568="","",IFERROR(IF(ISNUMBER(SEARCH(Assumptions!$C$5,C4568)),Assumptions!$D$5,IF(ISNUMBER(SEARCH(Assumptions!$C$6,C4568)),Assumptions!$D$6,IF(ISNUMBER(SEARCH(Assumptions!$C$7,C4568)),Assumptions!$D$7,"Other Services"))),"Other Services"))</f>
        <v/>
      </c>
    </row>
    <row r="4569" customFormat="false" ht="15" hidden="false" customHeight="false" outlineLevel="0" collapsed="false">
      <c r="F4569" s="41" t="str">
        <f aca="false">IF(C4569="","",IFERROR(IF(ISNUMBER(SEARCH(Assumptions!$C$5,C4569)),Assumptions!$D$5,IF(ISNUMBER(SEARCH(Assumptions!$C$6,C4569)),Assumptions!$D$6,IF(ISNUMBER(SEARCH(Assumptions!$C$7,C4569)),Assumptions!$D$7,"Other Services"))),"Other Services"))</f>
        <v/>
      </c>
    </row>
    <row r="4570" customFormat="false" ht="15" hidden="false" customHeight="false" outlineLevel="0" collapsed="false">
      <c r="F4570" s="41" t="str">
        <f aca="false">IF(C4570="","",IFERROR(IF(ISNUMBER(SEARCH(Assumptions!$C$5,C4570)),Assumptions!$D$5,IF(ISNUMBER(SEARCH(Assumptions!$C$6,C4570)),Assumptions!$D$6,IF(ISNUMBER(SEARCH(Assumptions!$C$7,C4570)),Assumptions!$D$7,"Other Services"))),"Other Services"))</f>
        <v/>
      </c>
    </row>
    <row r="4571" customFormat="false" ht="15" hidden="false" customHeight="false" outlineLevel="0" collapsed="false">
      <c r="F4571" s="41" t="str">
        <f aca="false">IF(C4571="","",IFERROR(IF(ISNUMBER(SEARCH(Assumptions!$C$5,C4571)),Assumptions!$D$5,IF(ISNUMBER(SEARCH(Assumptions!$C$6,C4571)),Assumptions!$D$6,IF(ISNUMBER(SEARCH(Assumptions!$C$7,C4571)),Assumptions!$D$7,"Other Services"))),"Other Services"))</f>
        <v/>
      </c>
    </row>
    <row r="4572" customFormat="false" ht="15" hidden="false" customHeight="false" outlineLevel="0" collapsed="false">
      <c r="F4572" s="41" t="str">
        <f aca="false">IF(C4572="","",IFERROR(IF(ISNUMBER(SEARCH(Assumptions!$C$5,C4572)),Assumptions!$D$5,IF(ISNUMBER(SEARCH(Assumptions!$C$6,C4572)),Assumptions!$D$6,IF(ISNUMBER(SEARCH(Assumptions!$C$7,C4572)),Assumptions!$D$7,"Other Services"))),"Other Services"))</f>
        <v/>
      </c>
    </row>
    <row r="4573" customFormat="false" ht="15" hidden="false" customHeight="false" outlineLevel="0" collapsed="false">
      <c r="F4573" s="41" t="str">
        <f aca="false">IF(C4573="","",IFERROR(IF(ISNUMBER(SEARCH(Assumptions!$C$5,C4573)),Assumptions!$D$5,IF(ISNUMBER(SEARCH(Assumptions!$C$6,C4573)),Assumptions!$D$6,IF(ISNUMBER(SEARCH(Assumptions!$C$7,C4573)),Assumptions!$D$7,"Other Services"))),"Other Services"))</f>
        <v/>
      </c>
    </row>
    <row r="4574" customFormat="false" ht="15" hidden="false" customHeight="false" outlineLevel="0" collapsed="false">
      <c r="F4574" s="41" t="str">
        <f aca="false">IF(C4574="","",IFERROR(IF(ISNUMBER(SEARCH(Assumptions!$C$5,C4574)),Assumptions!$D$5,IF(ISNUMBER(SEARCH(Assumptions!$C$6,C4574)),Assumptions!$D$6,IF(ISNUMBER(SEARCH(Assumptions!$C$7,C4574)),Assumptions!$D$7,"Other Services"))),"Other Services"))</f>
        <v/>
      </c>
    </row>
    <row r="4575" customFormat="false" ht="15" hidden="false" customHeight="false" outlineLevel="0" collapsed="false">
      <c r="F4575" s="41" t="str">
        <f aca="false">IF(C4575="","",IFERROR(IF(ISNUMBER(SEARCH(Assumptions!$C$5,C4575)),Assumptions!$D$5,IF(ISNUMBER(SEARCH(Assumptions!$C$6,C4575)),Assumptions!$D$6,IF(ISNUMBER(SEARCH(Assumptions!$C$7,C4575)),Assumptions!$D$7,"Other Services"))),"Other Services"))</f>
        <v/>
      </c>
    </row>
    <row r="4576" customFormat="false" ht="15" hidden="false" customHeight="false" outlineLevel="0" collapsed="false">
      <c r="F4576" s="41" t="str">
        <f aca="false">IF(C4576="","",IFERROR(IF(ISNUMBER(SEARCH(Assumptions!$C$5,C4576)),Assumptions!$D$5,IF(ISNUMBER(SEARCH(Assumptions!$C$6,C4576)),Assumptions!$D$6,IF(ISNUMBER(SEARCH(Assumptions!$C$7,C4576)),Assumptions!$D$7,"Other Services"))),"Other Services"))</f>
        <v/>
      </c>
    </row>
    <row r="4577" customFormat="false" ht="15" hidden="false" customHeight="false" outlineLevel="0" collapsed="false">
      <c r="F4577" s="41" t="str">
        <f aca="false">IF(C4577="","",IFERROR(IF(ISNUMBER(SEARCH(Assumptions!$C$5,C4577)),Assumptions!$D$5,IF(ISNUMBER(SEARCH(Assumptions!$C$6,C4577)),Assumptions!$D$6,IF(ISNUMBER(SEARCH(Assumptions!$C$7,C4577)),Assumptions!$D$7,"Other Services"))),"Other Services"))</f>
        <v/>
      </c>
    </row>
    <row r="4578" customFormat="false" ht="15" hidden="false" customHeight="false" outlineLevel="0" collapsed="false">
      <c r="F4578" s="41" t="str">
        <f aca="false">IF(C4578="","",IFERROR(IF(ISNUMBER(SEARCH(Assumptions!$C$5,C4578)),Assumptions!$D$5,IF(ISNUMBER(SEARCH(Assumptions!$C$6,C4578)),Assumptions!$D$6,IF(ISNUMBER(SEARCH(Assumptions!$C$7,C4578)),Assumptions!$D$7,"Other Services"))),"Other Services"))</f>
        <v/>
      </c>
    </row>
    <row r="4579" customFormat="false" ht="15" hidden="false" customHeight="false" outlineLevel="0" collapsed="false">
      <c r="F4579" s="41" t="str">
        <f aca="false">IF(C4579="","",IFERROR(IF(ISNUMBER(SEARCH(Assumptions!$C$5,C4579)),Assumptions!$D$5,IF(ISNUMBER(SEARCH(Assumptions!$C$6,C4579)),Assumptions!$D$6,IF(ISNUMBER(SEARCH(Assumptions!$C$7,C4579)),Assumptions!$D$7,"Other Services"))),"Other Services"))</f>
        <v/>
      </c>
    </row>
    <row r="4580" customFormat="false" ht="15" hidden="false" customHeight="false" outlineLevel="0" collapsed="false">
      <c r="F4580" s="41" t="str">
        <f aca="false">IF(C4580="","",IFERROR(IF(ISNUMBER(SEARCH(Assumptions!$C$5,C4580)),Assumptions!$D$5,IF(ISNUMBER(SEARCH(Assumptions!$C$6,C4580)),Assumptions!$D$6,IF(ISNUMBER(SEARCH(Assumptions!$C$7,C4580)),Assumptions!$D$7,"Other Services"))),"Other Services"))</f>
        <v/>
      </c>
    </row>
    <row r="4581" customFormat="false" ht="15" hidden="false" customHeight="false" outlineLevel="0" collapsed="false">
      <c r="F4581" s="41" t="str">
        <f aca="false">IF(C4581="","",IFERROR(IF(ISNUMBER(SEARCH(Assumptions!$C$5,C4581)),Assumptions!$D$5,IF(ISNUMBER(SEARCH(Assumptions!$C$6,C4581)),Assumptions!$D$6,IF(ISNUMBER(SEARCH(Assumptions!$C$7,C4581)),Assumptions!$D$7,"Other Services"))),"Other Services"))</f>
        <v/>
      </c>
    </row>
    <row r="4582" customFormat="false" ht="15" hidden="false" customHeight="false" outlineLevel="0" collapsed="false">
      <c r="F4582" s="41" t="str">
        <f aca="false">IF(C4582="","",IFERROR(IF(ISNUMBER(SEARCH(Assumptions!$C$5,C4582)),Assumptions!$D$5,IF(ISNUMBER(SEARCH(Assumptions!$C$6,C4582)),Assumptions!$D$6,IF(ISNUMBER(SEARCH(Assumptions!$C$7,C4582)),Assumptions!$D$7,"Other Services"))),"Other Services"))</f>
        <v/>
      </c>
    </row>
    <row r="4583" customFormat="false" ht="15" hidden="false" customHeight="false" outlineLevel="0" collapsed="false">
      <c r="F4583" s="41" t="str">
        <f aca="false">IF(C4583="","",IFERROR(IF(ISNUMBER(SEARCH(Assumptions!$C$5,C4583)),Assumptions!$D$5,IF(ISNUMBER(SEARCH(Assumptions!$C$6,C4583)),Assumptions!$D$6,IF(ISNUMBER(SEARCH(Assumptions!$C$7,C4583)),Assumptions!$D$7,"Other Services"))),"Other Services"))</f>
        <v/>
      </c>
    </row>
    <row r="4584" customFormat="false" ht="15" hidden="false" customHeight="false" outlineLevel="0" collapsed="false">
      <c r="F4584" s="41" t="str">
        <f aca="false">IF(C4584="","",IFERROR(IF(ISNUMBER(SEARCH(Assumptions!$C$5,C4584)),Assumptions!$D$5,IF(ISNUMBER(SEARCH(Assumptions!$C$6,C4584)),Assumptions!$D$6,IF(ISNUMBER(SEARCH(Assumptions!$C$7,C4584)),Assumptions!$D$7,"Other Services"))),"Other Services"))</f>
        <v/>
      </c>
    </row>
    <row r="4585" customFormat="false" ht="15" hidden="false" customHeight="false" outlineLevel="0" collapsed="false">
      <c r="F4585" s="41" t="str">
        <f aca="false">IF(C4585="","",IFERROR(IF(ISNUMBER(SEARCH(Assumptions!$C$5,C4585)),Assumptions!$D$5,IF(ISNUMBER(SEARCH(Assumptions!$C$6,C4585)),Assumptions!$D$6,IF(ISNUMBER(SEARCH(Assumptions!$C$7,C4585)),Assumptions!$D$7,"Other Services"))),"Other Services"))</f>
        <v/>
      </c>
    </row>
    <row r="4586" customFormat="false" ht="15" hidden="false" customHeight="false" outlineLevel="0" collapsed="false">
      <c r="F4586" s="41" t="str">
        <f aca="false">IF(C4586="","",IFERROR(IF(ISNUMBER(SEARCH(Assumptions!$C$5,C4586)),Assumptions!$D$5,IF(ISNUMBER(SEARCH(Assumptions!$C$6,C4586)),Assumptions!$D$6,IF(ISNUMBER(SEARCH(Assumptions!$C$7,C4586)),Assumptions!$D$7,"Other Services"))),"Other Services"))</f>
        <v/>
      </c>
    </row>
    <row r="4587" customFormat="false" ht="15" hidden="false" customHeight="false" outlineLevel="0" collapsed="false">
      <c r="F4587" s="41" t="str">
        <f aca="false">IF(C4587="","",IFERROR(IF(ISNUMBER(SEARCH(Assumptions!$C$5,C4587)),Assumptions!$D$5,IF(ISNUMBER(SEARCH(Assumptions!$C$6,C4587)),Assumptions!$D$6,IF(ISNUMBER(SEARCH(Assumptions!$C$7,C4587)),Assumptions!$D$7,"Other Services"))),"Other Services"))</f>
        <v/>
      </c>
    </row>
    <row r="4588" customFormat="false" ht="15" hidden="false" customHeight="false" outlineLevel="0" collapsed="false">
      <c r="F4588" s="41" t="str">
        <f aca="false">IF(C4588="","",IFERROR(IF(ISNUMBER(SEARCH(Assumptions!$C$5,C4588)),Assumptions!$D$5,IF(ISNUMBER(SEARCH(Assumptions!$C$6,C4588)),Assumptions!$D$6,IF(ISNUMBER(SEARCH(Assumptions!$C$7,C4588)),Assumptions!$D$7,"Other Services"))),"Other Services"))</f>
        <v/>
      </c>
    </row>
    <row r="4589" customFormat="false" ht="15" hidden="false" customHeight="false" outlineLevel="0" collapsed="false">
      <c r="F4589" s="41" t="str">
        <f aca="false">IF(C4589="","",IFERROR(IF(ISNUMBER(SEARCH(Assumptions!$C$5,C4589)),Assumptions!$D$5,IF(ISNUMBER(SEARCH(Assumptions!$C$6,C4589)),Assumptions!$D$6,IF(ISNUMBER(SEARCH(Assumptions!$C$7,C4589)),Assumptions!$D$7,"Other Services"))),"Other Services"))</f>
        <v/>
      </c>
    </row>
    <row r="4590" customFormat="false" ht="15" hidden="false" customHeight="false" outlineLevel="0" collapsed="false">
      <c r="F4590" s="41" t="str">
        <f aca="false">IF(C4590="","",IFERROR(IF(ISNUMBER(SEARCH(Assumptions!$C$5,C4590)),Assumptions!$D$5,IF(ISNUMBER(SEARCH(Assumptions!$C$6,C4590)),Assumptions!$D$6,IF(ISNUMBER(SEARCH(Assumptions!$C$7,C4590)),Assumptions!$D$7,"Other Services"))),"Other Services"))</f>
        <v/>
      </c>
    </row>
    <row r="4591" customFormat="false" ht="15" hidden="false" customHeight="false" outlineLevel="0" collapsed="false">
      <c r="F4591" s="41" t="str">
        <f aca="false">IF(C4591="","",IFERROR(IF(ISNUMBER(SEARCH(Assumptions!$C$5,C4591)),Assumptions!$D$5,IF(ISNUMBER(SEARCH(Assumptions!$C$6,C4591)),Assumptions!$D$6,IF(ISNUMBER(SEARCH(Assumptions!$C$7,C4591)),Assumptions!$D$7,"Other Services"))),"Other Services"))</f>
        <v/>
      </c>
    </row>
    <row r="4592" customFormat="false" ht="15" hidden="false" customHeight="false" outlineLevel="0" collapsed="false">
      <c r="F4592" s="41" t="str">
        <f aca="false">IF(C4592="","",IFERROR(IF(ISNUMBER(SEARCH(Assumptions!$C$5,C4592)),Assumptions!$D$5,IF(ISNUMBER(SEARCH(Assumptions!$C$6,C4592)),Assumptions!$D$6,IF(ISNUMBER(SEARCH(Assumptions!$C$7,C4592)),Assumptions!$D$7,"Other Services"))),"Other Services"))</f>
        <v/>
      </c>
    </row>
    <row r="4593" customFormat="false" ht="15" hidden="false" customHeight="false" outlineLevel="0" collapsed="false">
      <c r="F4593" s="41" t="str">
        <f aca="false">IF(C4593="","",IFERROR(IF(ISNUMBER(SEARCH(Assumptions!$C$5,C4593)),Assumptions!$D$5,IF(ISNUMBER(SEARCH(Assumptions!$C$6,C4593)),Assumptions!$D$6,IF(ISNUMBER(SEARCH(Assumptions!$C$7,C4593)),Assumptions!$D$7,"Other Services"))),"Other Services"))</f>
        <v/>
      </c>
    </row>
    <row r="4594" customFormat="false" ht="15" hidden="false" customHeight="false" outlineLevel="0" collapsed="false">
      <c r="F4594" s="41" t="str">
        <f aca="false">IF(C4594="","",IFERROR(IF(ISNUMBER(SEARCH(Assumptions!$C$5,C4594)),Assumptions!$D$5,IF(ISNUMBER(SEARCH(Assumptions!$C$6,C4594)),Assumptions!$D$6,IF(ISNUMBER(SEARCH(Assumptions!$C$7,C4594)),Assumptions!$D$7,"Other Services"))),"Other Services"))</f>
        <v/>
      </c>
    </row>
    <row r="4595" customFormat="false" ht="15" hidden="false" customHeight="false" outlineLevel="0" collapsed="false">
      <c r="F4595" s="41" t="str">
        <f aca="false">IF(C4595="","",IFERROR(IF(ISNUMBER(SEARCH(Assumptions!$C$5,C4595)),Assumptions!$D$5,IF(ISNUMBER(SEARCH(Assumptions!$C$6,C4595)),Assumptions!$D$6,IF(ISNUMBER(SEARCH(Assumptions!$C$7,C4595)),Assumptions!$D$7,"Other Services"))),"Other Services"))</f>
        <v/>
      </c>
    </row>
    <row r="4596" customFormat="false" ht="15" hidden="false" customHeight="false" outlineLevel="0" collapsed="false">
      <c r="F4596" s="41" t="str">
        <f aca="false">IF(C4596="","",IFERROR(IF(ISNUMBER(SEARCH(Assumptions!$C$5,C4596)),Assumptions!$D$5,IF(ISNUMBER(SEARCH(Assumptions!$C$6,C4596)),Assumptions!$D$6,IF(ISNUMBER(SEARCH(Assumptions!$C$7,C4596)),Assumptions!$D$7,"Other Services"))),"Other Services"))</f>
        <v/>
      </c>
    </row>
    <row r="4597" customFormat="false" ht="15" hidden="false" customHeight="false" outlineLevel="0" collapsed="false">
      <c r="F4597" s="41" t="str">
        <f aca="false">IF(C4597="","",IFERROR(IF(ISNUMBER(SEARCH(Assumptions!$C$5,C4597)),Assumptions!$D$5,IF(ISNUMBER(SEARCH(Assumptions!$C$6,C4597)),Assumptions!$D$6,IF(ISNUMBER(SEARCH(Assumptions!$C$7,C4597)),Assumptions!$D$7,"Other Services"))),"Other Services"))</f>
        <v/>
      </c>
    </row>
    <row r="4598" customFormat="false" ht="15" hidden="false" customHeight="false" outlineLevel="0" collapsed="false">
      <c r="F4598" s="41" t="str">
        <f aca="false">IF(C4598="","",IFERROR(IF(ISNUMBER(SEARCH(Assumptions!$C$5,C4598)),Assumptions!$D$5,IF(ISNUMBER(SEARCH(Assumptions!$C$6,C4598)),Assumptions!$D$6,IF(ISNUMBER(SEARCH(Assumptions!$C$7,C4598)),Assumptions!$D$7,"Other Services"))),"Other Services"))</f>
        <v/>
      </c>
    </row>
    <row r="4599" customFormat="false" ht="15" hidden="false" customHeight="false" outlineLevel="0" collapsed="false">
      <c r="F4599" s="41" t="str">
        <f aca="false">IF(C4599="","",IFERROR(IF(ISNUMBER(SEARCH(Assumptions!$C$5,C4599)),Assumptions!$D$5,IF(ISNUMBER(SEARCH(Assumptions!$C$6,C4599)),Assumptions!$D$6,IF(ISNUMBER(SEARCH(Assumptions!$C$7,C4599)),Assumptions!$D$7,"Other Services"))),"Other Services"))</f>
        <v/>
      </c>
    </row>
    <row r="4600" customFormat="false" ht="15" hidden="false" customHeight="false" outlineLevel="0" collapsed="false">
      <c r="F4600" s="41" t="str">
        <f aca="false">IF(C4600="","",IFERROR(IF(ISNUMBER(SEARCH(Assumptions!$C$5,C4600)),Assumptions!$D$5,IF(ISNUMBER(SEARCH(Assumptions!$C$6,C4600)),Assumptions!$D$6,IF(ISNUMBER(SEARCH(Assumptions!$C$7,C4600)),Assumptions!$D$7,"Other Services"))),"Other Services"))</f>
        <v/>
      </c>
    </row>
    <row r="4601" customFormat="false" ht="15" hidden="false" customHeight="false" outlineLevel="0" collapsed="false">
      <c r="F4601" s="41" t="str">
        <f aca="false">IF(C4601="","",IFERROR(IF(ISNUMBER(SEARCH(Assumptions!$C$5,C4601)),Assumptions!$D$5,IF(ISNUMBER(SEARCH(Assumptions!$C$6,C4601)),Assumptions!$D$6,IF(ISNUMBER(SEARCH(Assumptions!$C$7,C4601)),Assumptions!$D$7,"Other Services"))),"Other Services"))</f>
        <v/>
      </c>
    </row>
    <row r="4602" customFormat="false" ht="15" hidden="false" customHeight="false" outlineLevel="0" collapsed="false">
      <c r="F4602" s="41" t="str">
        <f aca="false">IF(C4602="","",IFERROR(IF(ISNUMBER(SEARCH(Assumptions!$C$5,C4602)),Assumptions!$D$5,IF(ISNUMBER(SEARCH(Assumptions!$C$6,C4602)),Assumptions!$D$6,IF(ISNUMBER(SEARCH(Assumptions!$C$7,C4602)),Assumptions!$D$7,"Other Services"))),"Other Services"))</f>
        <v/>
      </c>
    </row>
    <row r="4603" customFormat="false" ht="15" hidden="false" customHeight="false" outlineLevel="0" collapsed="false">
      <c r="F4603" s="41" t="str">
        <f aca="false">IF(C4603="","",IFERROR(IF(ISNUMBER(SEARCH(Assumptions!$C$5,C4603)),Assumptions!$D$5,IF(ISNUMBER(SEARCH(Assumptions!$C$6,C4603)),Assumptions!$D$6,IF(ISNUMBER(SEARCH(Assumptions!$C$7,C4603)),Assumptions!$D$7,"Other Services"))),"Other Services"))</f>
        <v/>
      </c>
    </row>
    <row r="4604" customFormat="false" ht="15" hidden="false" customHeight="false" outlineLevel="0" collapsed="false">
      <c r="F4604" s="41" t="str">
        <f aca="false">IF(C4604="","",IFERROR(IF(ISNUMBER(SEARCH(Assumptions!$C$5,C4604)),Assumptions!$D$5,IF(ISNUMBER(SEARCH(Assumptions!$C$6,C4604)),Assumptions!$D$6,IF(ISNUMBER(SEARCH(Assumptions!$C$7,C4604)),Assumptions!$D$7,"Other Services"))),"Other Services"))</f>
        <v/>
      </c>
    </row>
    <row r="4605" customFormat="false" ht="15" hidden="false" customHeight="false" outlineLevel="0" collapsed="false">
      <c r="F4605" s="41" t="str">
        <f aca="false">IF(C4605="","",IFERROR(IF(ISNUMBER(SEARCH(Assumptions!$C$5,C4605)),Assumptions!$D$5,IF(ISNUMBER(SEARCH(Assumptions!$C$6,C4605)),Assumptions!$D$6,IF(ISNUMBER(SEARCH(Assumptions!$C$7,C4605)),Assumptions!$D$7,"Other Services"))),"Other Services"))</f>
        <v/>
      </c>
    </row>
    <row r="4606" customFormat="false" ht="15" hidden="false" customHeight="false" outlineLevel="0" collapsed="false">
      <c r="F4606" s="41" t="str">
        <f aca="false">IF(C4606="","",IFERROR(IF(ISNUMBER(SEARCH(Assumptions!$C$5,C4606)),Assumptions!$D$5,IF(ISNUMBER(SEARCH(Assumptions!$C$6,C4606)),Assumptions!$D$6,IF(ISNUMBER(SEARCH(Assumptions!$C$7,C4606)),Assumptions!$D$7,"Other Services"))),"Other Services"))</f>
        <v/>
      </c>
    </row>
    <row r="4607" customFormat="false" ht="15" hidden="false" customHeight="false" outlineLevel="0" collapsed="false">
      <c r="F4607" s="41" t="str">
        <f aca="false">IF(C4607="","",IFERROR(IF(ISNUMBER(SEARCH(Assumptions!$C$5,C4607)),Assumptions!$D$5,IF(ISNUMBER(SEARCH(Assumptions!$C$6,C4607)),Assumptions!$D$6,IF(ISNUMBER(SEARCH(Assumptions!$C$7,C4607)),Assumptions!$D$7,"Other Services"))),"Other Services"))</f>
        <v/>
      </c>
    </row>
    <row r="4608" customFormat="false" ht="15" hidden="false" customHeight="false" outlineLevel="0" collapsed="false">
      <c r="F4608" s="41" t="str">
        <f aca="false">IF(C4608="","",IFERROR(IF(ISNUMBER(SEARCH(Assumptions!$C$5,C4608)),Assumptions!$D$5,IF(ISNUMBER(SEARCH(Assumptions!$C$6,C4608)),Assumptions!$D$6,IF(ISNUMBER(SEARCH(Assumptions!$C$7,C4608)),Assumptions!$D$7,"Other Services"))),"Other Services"))</f>
        <v/>
      </c>
    </row>
    <row r="4609" customFormat="false" ht="15" hidden="false" customHeight="false" outlineLevel="0" collapsed="false">
      <c r="F4609" s="41" t="str">
        <f aca="false">IF(C4609="","",IFERROR(IF(ISNUMBER(SEARCH(Assumptions!$C$5,C4609)),Assumptions!$D$5,IF(ISNUMBER(SEARCH(Assumptions!$C$6,C4609)),Assumptions!$D$6,IF(ISNUMBER(SEARCH(Assumptions!$C$7,C4609)),Assumptions!$D$7,"Other Services"))),"Other Services"))</f>
        <v/>
      </c>
    </row>
    <row r="4610" customFormat="false" ht="15" hidden="false" customHeight="false" outlineLevel="0" collapsed="false">
      <c r="F4610" s="41" t="str">
        <f aca="false">IF(C4610="","",IFERROR(IF(ISNUMBER(SEARCH(Assumptions!$C$5,C4610)),Assumptions!$D$5,IF(ISNUMBER(SEARCH(Assumptions!$C$6,C4610)),Assumptions!$D$6,IF(ISNUMBER(SEARCH(Assumptions!$C$7,C4610)),Assumptions!$D$7,"Other Services"))),"Other Services"))</f>
        <v/>
      </c>
    </row>
    <row r="4611" customFormat="false" ht="15" hidden="false" customHeight="false" outlineLevel="0" collapsed="false">
      <c r="F4611" s="41" t="str">
        <f aca="false">IF(C4611="","",IFERROR(IF(ISNUMBER(SEARCH(Assumptions!$C$5,C4611)),Assumptions!$D$5,IF(ISNUMBER(SEARCH(Assumptions!$C$6,C4611)),Assumptions!$D$6,IF(ISNUMBER(SEARCH(Assumptions!$C$7,C4611)),Assumptions!$D$7,"Other Services"))),"Other Services"))</f>
        <v/>
      </c>
    </row>
    <row r="4612" customFormat="false" ht="15" hidden="false" customHeight="false" outlineLevel="0" collapsed="false">
      <c r="F4612" s="41" t="str">
        <f aca="false">IF(C4612="","",IFERROR(IF(ISNUMBER(SEARCH(Assumptions!$C$5,C4612)),Assumptions!$D$5,IF(ISNUMBER(SEARCH(Assumptions!$C$6,C4612)),Assumptions!$D$6,IF(ISNUMBER(SEARCH(Assumptions!$C$7,C4612)),Assumptions!$D$7,"Other Services"))),"Other Services"))</f>
        <v/>
      </c>
    </row>
    <row r="4613" customFormat="false" ht="15" hidden="false" customHeight="false" outlineLevel="0" collapsed="false">
      <c r="F4613" s="41" t="str">
        <f aca="false">IF(C4613="","",IFERROR(IF(ISNUMBER(SEARCH(Assumptions!$C$5,C4613)),Assumptions!$D$5,IF(ISNUMBER(SEARCH(Assumptions!$C$6,C4613)),Assumptions!$D$6,IF(ISNUMBER(SEARCH(Assumptions!$C$7,C4613)),Assumptions!$D$7,"Other Services"))),"Other Services"))</f>
        <v/>
      </c>
    </row>
    <row r="4614" customFormat="false" ht="15" hidden="false" customHeight="false" outlineLevel="0" collapsed="false">
      <c r="F4614" s="41" t="str">
        <f aca="false">IF(C4614="","",IFERROR(IF(ISNUMBER(SEARCH(Assumptions!$C$5,C4614)),Assumptions!$D$5,IF(ISNUMBER(SEARCH(Assumptions!$C$6,C4614)),Assumptions!$D$6,IF(ISNUMBER(SEARCH(Assumptions!$C$7,C4614)),Assumptions!$D$7,"Other Services"))),"Other Services"))</f>
        <v/>
      </c>
    </row>
    <row r="4615" customFormat="false" ht="15" hidden="false" customHeight="false" outlineLevel="0" collapsed="false">
      <c r="F4615" s="41" t="str">
        <f aca="false">IF(C4615="","",IFERROR(IF(ISNUMBER(SEARCH(Assumptions!$C$5,C4615)),Assumptions!$D$5,IF(ISNUMBER(SEARCH(Assumptions!$C$6,C4615)),Assumptions!$D$6,IF(ISNUMBER(SEARCH(Assumptions!$C$7,C4615)),Assumptions!$D$7,"Other Services"))),"Other Services"))</f>
        <v/>
      </c>
    </row>
    <row r="4616" customFormat="false" ht="15" hidden="false" customHeight="false" outlineLevel="0" collapsed="false">
      <c r="F4616" s="41" t="str">
        <f aca="false">IF(C4616="","",IFERROR(IF(ISNUMBER(SEARCH(Assumptions!$C$5,C4616)),Assumptions!$D$5,IF(ISNUMBER(SEARCH(Assumptions!$C$6,C4616)),Assumptions!$D$6,IF(ISNUMBER(SEARCH(Assumptions!$C$7,C4616)),Assumptions!$D$7,"Other Services"))),"Other Services"))</f>
        <v/>
      </c>
    </row>
    <row r="4617" customFormat="false" ht="15" hidden="false" customHeight="false" outlineLevel="0" collapsed="false">
      <c r="F4617" s="41" t="str">
        <f aca="false">IF(C4617="","",IFERROR(IF(ISNUMBER(SEARCH(Assumptions!$C$5,C4617)),Assumptions!$D$5,IF(ISNUMBER(SEARCH(Assumptions!$C$6,C4617)),Assumptions!$D$6,IF(ISNUMBER(SEARCH(Assumptions!$C$7,C4617)),Assumptions!$D$7,"Other Services"))),"Other Services"))</f>
        <v/>
      </c>
    </row>
    <row r="4618" customFormat="false" ht="15" hidden="false" customHeight="false" outlineLevel="0" collapsed="false">
      <c r="F4618" s="41" t="str">
        <f aca="false">IF(C4618="","",IFERROR(IF(ISNUMBER(SEARCH(Assumptions!$C$5,C4618)),Assumptions!$D$5,IF(ISNUMBER(SEARCH(Assumptions!$C$6,C4618)),Assumptions!$D$6,IF(ISNUMBER(SEARCH(Assumptions!$C$7,C4618)),Assumptions!$D$7,"Other Services"))),"Other Services"))</f>
        <v/>
      </c>
    </row>
    <row r="4619" customFormat="false" ht="15" hidden="false" customHeight="false" outlineLevel="0" collapsed="false">
      <c r="F4619" s="41" t="str">
        <f aca="false">IF(C4619="","",IFERROR(IF(ISNUMBER(SEARCH(Assumptions!$C$5,C4619)),Assumptions!$D$5,IF(ISNUMBER(SEARCH(Assumptions!$C$6,C4619)),Assumptions!$D$6,IF(ISNUMBER(SEARCH(Assumptions!$C$7,C4619)),Assumptions!$D$7,"Other Services"))),"Other Services"))</f>
        <v/>
      </c>
    </row>
    <row r="4620" customFormat="false" ht="15" hidden="false" customHeight="false" outlineLevel="0" collapsed="false">
      <c r="F4620" s="41" t="str">
        <f aca="false">IF(C4620="","",IFERROR(IF(ISNUMBER(SEARCH(Assumptions!$C$5,C4620)),Assumptions!$D$5,IF(ISNUMBER(SEARCH(Assumptions!$C$6,C4620)),Assumptions!$D$6,IF(ISNUMBER(SEARCH(Assumptions!$C$7,C4620)),Assumptions!$D$7,"Other Services"))),"Other Services"))</f>
        <v/>
      </c>
    </row>
    <row r="4621" customFormat="false" ht="15" hidden="false" customHeight="false" outlineLevel="0" collapsed="false">
      <c r="F4621" s="41" t="str">
        <f aca="false">IF(C4621="","",IFERROR(IF(ISNUMBER(SEARCH(Assumptions!$C$5,C4621)),Assumptions!$D$5,IF(ISNUMBER(SEARCH(Assumptions!$C$6,C4621)),Assumptions!$D$6,IF(ISNUMBER(SEARCH(Assumptions!$C$7,C4621)),Assumptions!$D$7,"Other Services"))),"Other Services"))</f>
        <v/>
      </c>
    </row>
    <row r="4622" customFormat="false" ht="15" hidden="false" customHeight="false" outlineLevel="0" collapsed="false">
      <c r="F4622" s="41" t="str">
        <f aca="false">IF(C4622="","",IFERROR(IF(ISNUMBER(SEARCH(Assumptions!$C$5,C4622)),Assumptions!$D$5,IF(ISNUMBER(SEARCH(Assumptions!$C$6,C4622)),Assumptions!$D$6,IF(ISNUMBER(SEARCH(Assumptions!$C$7,C4622)),Assumptions!$D$7,"Other Services"))),"Other Services"))</f>
        <v/>
      </c>
    </row>
    <row r="4623" customFormat="false" ht="15" hidden="false" customHeight="false" outlineLevel="0" collapsed="false">
      <c r="F4623" s="41" t="str">
        <f aca="false">IF(C4623="","",IFERROR(IF(ISNUMBER(SEARCH(Assumptions!$C$5,C4623)),Assumptions!$D$5,IF(ISNUMBER(SEARCH(Assumptions!$C$6,C4623)),Assumptions!$D$6,IF(ISNUMBER(SEARCH(Assumptions!$C$7,C4623)),Assumptions!$D$7,"Other Services"))),"Other Services"))</f>
        <v/>
      </c>
    </row>
    <row r="4624" customFormat="false" ht="15" hidden="false" customHeight="false" outlineLevel="0" collapsed="false">
      <c r="F4624" s="41" t="str">
        <f aca="false">IF(C4624="","",IFERROR(IF(ISNUMBER(SEARCH(Assumptions!$C$5,C4624)),Assumptions!$D$5,IF(ISNUMBER(SEARCH(Assumptions!$C$6,C4624)),Assumptions!$D$6,IF(ISNUMBER(SEARCH(Assumptions!$C$7,C4624)),Assumptions!$D$7,"Other Services"))),"Other Services"))</f>
        <v/>
      </c>
    </row>
    <row r="4625" customFormat="false" ht="15" hidden="false" customHeight="false" outlineLevel="0" collapsed="false">
      <c r="F4625" s="41" t="str">
        <f aca="false">IF(C4625="","",IFERROR(IF(ISNUMBER(SEARCH(Assumptions!$C$5,C4625)),Assumptions!$D$5,IF(ISNUMBER(SEARCH(Assumptions!$C$6,C4625)),Assumptions!$D$6,IF(ISNUMBER(SEARCH(Assumptions!$C$7,C4625)),Assumptions!$D$7,"Other Services"))),"Other Services"))</f>
        <v/>
      </c>
    </row>
    <row r="4626" customFormat="false" ht="15" hidden="false" customHeight="false" outlineLevel="0" collapsed="false">
      <c r="F4626" s="41" t="str">
        <f aca="false">IF(C4626="","",IFERROR(IF(ISNUMBER(SEARCH(Assumptions!$C$5,C4626)),Assumptions!$D$5,IF(ISNUMBER(SEARCH(Assumptions!$C$6,C4626)),Assumptions!$D$6,IF(ISNUMBER(SEARCH(Assumptions!$C$7,C4626)),Assumptions!$D$7,"Other Services"))),"Other Services"))</f>
        <v/>
      </c>
    </row>
    <row r="4627" customFormat="false" ht="15" hidden="false" customHeight="false" outlineLevel="0" collapsed="false">
      <c r="F4627" s="41" t="str">
        <f aca="false">IF(C4627="","",IFERROR(IF(ISNUMBER(SEARCH(Assumptions!$C$5,C4627)),Assumptions!$D$5,IF(ISNUMBER(SEARCH(Assumptions!$C$6,C4627)),Assumptions!$D$6,IF(ISNUMBER(SEARCH(Assumptions!$C$7,C4627)),Assumptions!$D$7,"Other Services"))),"Other Services"))</f>
        <v/>
      </c>
    </row>
    <row r="4628" customFormat="false" ht="15" hidden="false" customHeight="false" outlineLevel="0" collapsed="false">
      <c r="F4628" s="41" t="str">
        <f aca="false">IF(C4628="","",IFERROR(IF(ISNUMBER(SEARCH(Assumptions!$C$5,C4628)),Assumptions!$D$5,IF(ISNUMBER(SEARCH(Assumptions!$C$6,C4628)),Assumptions!$D$6,IF(ISNUMBER(SEARCH(Assumptions!$C$7,C4628)),Assumptions!$D$7,"Other Services"))),"Other Services"))</f>
        <v/>
      </c>
    </row>
    <row r="4629" customFormat="false" ht="15" hidden="false" customHeight="false" outlineLevel="0" collapsed="false">
      <c r="F4629" s="41" t="str">
        <f aca="false">IF(C4629="","",IFERROR(IF(ISNUMBER(SEARCH(Assumptions!$C$5,C4629)),Assumptions!$D$5,IF(ISNUMBER(SEARCH(Assumptions!$C$6,C4629)),Assumptions!$D$6,IF(ISNUMBER(SEARCH(Assumptions!$C$7,C4629)),Assumptions!$D$7,"Other Services"))),"Other Services"))</f>
        <v/>
      </c>
    </row>
    <row r="4630" customFormat="false" ht="15" hidden="false" customHeight="false" outlineLevel="0" collapsed="false">
      <c r="F4630" s="41" t="str">
        <f aca="false">IF(C4630="","",IFERROR(IF(ISNUMBER(SEARCH(Assumptions!$C$5,C4630)),Assumptions!$D$5,IF(ISNUMBER(SEARCH(Assumptions!$C$6,C4630)),Assumptions!$D$6,IF(ISNUMBER(SEARCH(Assumptions!$C$7,C4630)),Assumptions!$D$7,"Other Services"))),"Other Services"))</f>
        <v/>
      </c>
    </row>
    <row r="4631" customFormat="false" ht="15" hidden="false" customHeight="false" outlineLevel="0" collapsed="false">
      <c r="F4631" s="41" t="str">
        <f aca="false">IF(C4631="","",IFERROR(IF(ISNUMBER(SEARCH(Assumptions!$C$5,C4631)),Assumptions!$D$5,IF(ISNUMBER(SEARCH(Assumptions!$C$6,C4631)),Assumptions!$D$6,IF(ISNUMBER(SEARCH(Assumptions!$C$7,C4631)),Assumptions!$D$7,"Other Services"))),"Other Services"))</f>
        <v/>
      </c>
    </row>
    <row r="4632" customFormat="false" ht="15" hidden="false" customHeight="false" outlineLevel="0" collapsed="false">
      <c r="F4632" s="41" t="str">
        <f aca="false">IF(C4632="","",IFERROR(IF(ISNUMBER(SEARCH(Assumptions!$C$5,C4632)),Assumptions!$D$5,IF(ISNUMBER(SEARCH(Assumptions!$C$6,C4632)),Assumptions!$D$6,IF(ISNUMBER(SEARCH(Assumptions!$C$7,C4632)),Assumptions!$D$7,"Other Services"))),"Other Services"))</f>
        <v/>
      </c>
    </row>
    <row r="4633" customFormat="false" ht="15" hidden="false" customHeight="false" outlineLevel="0" collapsed="false">
      <c r="F4633" s="41" t="str">
        <f aca="false">IF(C4633="","",IFERROR(IF(ISNUMBER(SEARCH(Assumptions!$C$5,C4633)),Assumptions!$D$5,IF(ISNUMBER(SEARCH(Assumptions!$C$6,C4633)),Assumptions!$D$6,IF(ISNUMBER(SEARCH(Assumptions!$C$7,C4633)),Assumptions!$D$7,"Other Services"))),"Other Services"))</f>
        <v/>
      </c>
    </row>
    <row r="4634" customFormat="false" ht="15" hidden="false" customHeight="false" outlineLevel="0" collapsed="false">
      <c r="F4634" s="41" t="str">
        <f aca="false">IF(C4634="","",IFERROR(IF(ISNUMBER(SEARCH(Assumptions!$C$5,C4634)),Assumptions!$D$5,IF(ISNUMBER(SEARCH(Assumptions!$C$6,C4634)),Assumptions!$D$6,IF(ISNUMBER(SEARCH(Assumptions!$C$7,C4634)),Assumptions!$D$7,"Other Services"))),"Other Services"))</f>
        <v/>
      </c>
    </row>
    <row r="4635" customFormat="false" ht="15" hidden="false" customHeight="false" outlineLevel="0" collapsed="false">
      <c r="F4635" s="41" t="str">
        <f aca="false">IF(C4635="","",IFERROR(IF(ISNUMBER(SEARCH(Assumptions!$C$5,C4635)),Assumptions!$D$5,IF(ISNUMBER(SEARCH(Assumptions!$C$6,C4635)),Assumptions!$D$6,IF(ISNUMBER(SEARCH(Assumptions!$C$7,C4635)),Assumptions!$D$7,"Other Services"))),"Other Services"))</f>
        <v/>
      </c>
    </row>
    <row r="4636" customFormat="false" ht="15" hidden="false" customHeight="false" outlineLevel="0" collapsed="false">
      <c r="F4636" s="41" t="str">
        <f aca="false">IF(C4636="","",IFERROR(IF(ISNUMBER(SEARCH(Assumptions!$C$5,C4636)),Assumptions!$D$5,IF(ISNUMBER(SEARCH(Assumptions!$C$6,C4636)),Assumptions!$D$6,IF(ISNUMBER(SEARCH(Assumptions!$C$7,C4636)),Assumptions!$D$7,"Other Services"))),"Other Services"))</f>
        <v/>
      </c>
    </row>
    <row r="4637" customFormat="false" ht="15" hidden="false" customHeight="false" outlineLevel="0" collapsed="false">
      <c r="F4637" s="41" t="str">
        <f aca="false">IF(C4637="","",IFERROR(IF(ISNUMBER(SEARCH(Assumptions!$C$5,C4637)),Assumptions!$D$5,IF(ISNUMBER(SEARCH(Assumptions!$C$6,C4637)),Assumptions!$D$6,IF(ISNUMBER(SEARCH(Assumptions!$C$7,C4637)),Assumptions!$D$7,"Other Services"))),"Other Services"))</f>
        <v/>
      </c>
    </row>
    <row r="4638" customFormat="false" ht="15" hidden="false" customHeight="false" outlineLevel="0" collapsed="false">
      <c r="F4638" s="41" t="str">
        <f aca="false">IF(C4638="","",IFERROR(IF(ISNUMBER(SEARCH(Assumptions!$C$5,C4638)),Assumptions!$D$5,IF(ISNUMBER(SEARCH(Assumptions!$C$6,C4638)),Assumptions!$D$6,IF(ISNUMBER(SEARCH(Assumptions!$C$7,C4638)),Assumptions!$D$7,"Other Services"))),"Other Services"))</f>
        <v/>
      </c>
    </row>
    <row r="4639" customFormat="false" ht="15" hidden="false" customHeight="false" outlineLevel="0" collapsed="false">
      <c r="F4639" s="41" t="str">
        <f aca="false">IF(C4639="","",IFERROR(IF(ISNUMBER(SEARCH(Assumptions!$C$5,C4639)),Assumptions!$D$5,IF(ISNUMBER(SEARCH(Assumptions!$C$6,C4639)),Assumptions!$D$6,IF(ISNUMBER(SEARCH(Assumptions!$C$7,C4639)),Assumptions!$D$7,"Other Services"))),"Other Services"))</f>
        <v/>
      </c>
    </row>
    <row r="4640" customFormat="false" ht="15" hidden="false" customHeight="false" outlineLevel="0" collapsed="false">
      <c r="F4640" s="41" t="str">
        <f aca="false">IF(C4640="","",IFERROR(IF(ISNUMBER(SEARCH(Assumptions!$C$5,C4640)),Assumptions!$D$5,IF(ISNUMBER(SEARCH(Assumptions!$C$6,C4640)),Assumptions!$D$6,IF(ISNUMBER(SEARCH(Assumptions!$C$7,C4640)),Assumptions!$D$7,"Other Services"))),"Other Services"))</f>
        <v/>
      </c>
    </row>
    <row r="4641" customFormat="false" ht="15" hidden="false" customHeight="false" outlineLevel="0" collapsed="false">
      <c r="F4641" s="41" t="str">
        <f aca="false">IF(C4641="","",IFERROR(IF(ISNUMBER(SEARCH(Assumptions!$C$5,C4641)),Assumptions!$D$5,IF(ISNUMBER(SEARCH(Assumptions!$C$6,C4641)),Assumptions!$D$6,IF(ISNUMBER(SEARCH(Assumptions!$C$7,C4641)),Assumptions!$D$7,"Other Services"))),"Other Services"))</f>
        <v/>
      </c>
    </row>
    <row r="4642" customFormat="false" ht="15" hidden="false" customHeight="false" outlineLevel="0" collapsed="false">
      <c r="F4642" s="41" t="str">
        <f aca="false">IF(C4642="","",IFERROR(IF(ISNUMBER(SEARCH(Assumptions!$C$5,C4642)),Assumptions!$D$5,IF(ISNUMBER(SEARCH(Assumptions!$C$6,C4642)),Assumptions!$D$6,IF(ISNUMBER(SEARCH(Assumptions!$C$7,C4642)),Assumptions!$D$7,"Other Services"))),"Other Services"))</f>
        <v/>
      </c>
    </row>
    <row r="4643" customFormat="false" ht="15" hidden="false" customHeight="false" outlineLevel="0" collapsed="false">
      <c r="F4643" s="41" t="str">
        <f aca="false">IF(C4643="","",IFERROR(IF(ISNUMBER(SEARCH(Assumptions!$C$5,C4643)),Assumptions!$D$5,IF(ISNUMBER(SEARCH(Assumptions!$C$6,C4643)),Assumptions!$D$6,IF(ISNUMBER(SEARCH(Assumptions!$C$7,C4643)),Assumptions!$D$7,"Other Services"))),"Other Services"))</f>
        <v/>
      </c>
    </row>
    <row r="4644" customFormat="false" ht="15" hidden="false" customHeight="false" outlineLevel="0" collapsed="false">
      <c r="F4644" s="41" t="str">
        <f aca="false">IF(C4644="","",IFERROR(IF(ISNUMBER(SEARCH(Assumptions!$C$5,C4644)),Assumptions!$D$5,IF(ISNUMBER(SEARCH(Assumptions!$C$6,C4644)),Assumptions!$D$6,IF(ISNUMBER(SEARCH(Assumptions!$C$7,C4644)),Assumptions!$D$7,"Other Services"))),"Other Services"))</f>
        <v/>
      </c>
    </row>
    <row r="4645" customFormat="false" ht="15" hidden="false" customHeight="false" outlineLevel="0" collapsed="false">
      <c r="F4645" s="41" t="str">
        <f aca="false">IF(C4645="","",IFERROR(IF(ISNUMBER(SEARCH(Assumptions!$C$5,C4645)),Assumptions!$D$5,IF(ISNUMBER(SEARCH(Assumptions!$C$6,C4645)),Assumptions!$D$6,IF(ISNUMBER(SEARCH(Assumptions!$C$7,C4645)),Assumptions!$D$7,"Other Services"))),"Other Services"))</f>
        <v/>
      </c>
    </row>
    <row r="4646" customFormat="false" ht="15" hidden="false" customHeight="false" outlineLevel="0" collapsed="false">
      <c r="F4646" s="41" t="str">
        <f aca="false">IF(C4646="","",IFERROR(IF(ISNUMBER(SEARCH(Assumptions!$C$5,C4646)),Assumptions!$D$5,IF(ISNUMBER(SEARCH(Assumptions!$C$6,C4646)),Assumptions!$D$6,IF(ISNUMBER(SEARCH(Assumptions!$C$7,C4646)),Assumptions!$D$7,"Other Services"))),"Other Services"))</f>
        <v/>
      </c>
    </row>
    <row r="4647" customFormat="false" ht="15" hidden="false" customHeight="false" outlineLevel="0" collapsed="false">
      <c r="F4647" s="41" t="str">
        <f aca="false">IF(C4647="","",IFERROR(IF(ISNUMBER(SEARCH(Assumptions!$C$5,C4647)),Assumptions!$D$5,IF(ISNUMBER(SEARCH(Assumptions!$C$6,C4647)),Assumptions!$D$6,IF(ISNUMBER(SEARCH(Assumptions!$C$7,C4647)),Assumptions!$D$7,"Other Services"))),"Other Services"))</f>
        <v/>
      </c>
    </row>
    <row r="4648" customFormat="false" ht="15" hidden="false" customHeight="false" outlineLevel="0" collapsed="false">
      <c r="F4648" s="41" t="str">
        <f aca="false">IF(C4648="","",IFERROR(IF(ISNUMBER(SEARCH(Assumptions!$C$5,C4648)),Assumptions!$D$5,IF(ISNUMBER(SEARCH(Assumptions!$C$6,C4648)),Assumptions!$D$6,IF(ISNUMBER(SEARCH(Assumptions!$C$7,C4648)),Assumptions!$D$7,"Other Services"))),"Other Services"))</f>
        <v/>
      </c>
    </row>
    <row r="4649" customFormat="false" ht="15" hidden="false" customHeight="false" outlineLevel="0" collapsed="false">
      <c r="F4649" s="41" t="str">
        <f aca="false">IF(C4649="","",IFERROR(IF(ISNUMBER(SEARCH(Assumptions!$C$5,C4649)),Assumptions!$D$5,IF(ISNUMBER(SEARCH(Assumptions!$C$6,C4649)),Assumptions!$D$6,IF(ISNUMBER(SEARCH(Assumptions!$C$7,C4649)),Assumptions!$D$7,"Other Services"))),"Other Services"))</f>
        <v/>
      </c>
    </row>
    <row r="4650" customFormat="false" ht="15" hidden="false" customHeight="false" outlineLevel="0" collapsed="false">
      <c r="F4650" s="41" t="str">
        <f aca="false">IF(C4650="","",IFERROR(IF(ISNUMBER(SEARCH(Assumptions!$C$5,C4650)),Assumptions!$D$5,IF(ISNUMBER(SEARCH(Assumptions!$C$6,C4650)),Assumptions!$D$6,IF(ISNUMBER(SEARCH(Assumptions!$C$7,C4650)),Assumptions!$D$7,"Other Services"))),"Other Services"))</f>
        <v/>
      </c>
    </row>
    <row r="4651" customFormat="false" ht="15" hidden="false" customHeight="false" outlineLevel="0" collapsed="false">
      <c r="F4651" s="41" t="str">
        <f aca="false">IF(C4651="","",IFERROR(IF(ISNUMBER(SEARCH(Assumptions!$C$5,C4651)),Assumptions!$D$5,IF(ISNUMBER(SEARCH(Assumptions!$C$6,C4651)),Assumptions!$D$6,IF(ISNUMBER(SEARCH(Assumptions!$C$7,C4651)),Assumptions!$D$7,"Other Services"))),"Other Services"))</f>
        <v/>
      </c>
    </row>
    <row r="4652" customFormat="false" ht="15" hidden="false" customHeight="false" outlineLevel="0" collapsed="false">
      <c r="F4652" s="41" t="str">
        <f aca="false">IF(C4652="","",IFERROR(IF(ISNUMBER(SEARCH(Assumptions!$C$5,C4652)),Assumptions!$D$5,IF(ISNUMBER(SEARCH(Assumptions!$C$6,C4652)),Assumptions!$D$6,IF(ISNUMBER(SEARCH(Assumptions!$C$7,C4652)),Assumptions!$D$7,"Other Services"))),"Other Services"))</f>
        <v/>
      </c>
    </row>
    <row r="4653" customFormat="false" ht="15" hidden="false" customHeight="false" outlineLevel="0" collapsed="false">
      <c r="F4653" s="41" t="str">
        <f aca="false">IF(C4653="","",IFERROR(IF(ISNUMBER(SEARCH(Assumptions!$C$5,C4653)),Assumptions!$D$5,IF(ISNUMBER(SEARCH(Assumptions!$C$6,C4653)),Assumptions!$D$6,IF(ISNUMBER(SEARCH(Assumptions!$C$7,C4653)),Assumptions!$D$7,"Other Services"))),"Other Services"))</f>
        <v/>
      </c>
    </row>
    <row r="4654" customFormat="false" ht="15" hidden="false" customHeight="false" outlineLevel="0" collapsed="false">
      <c r="F4654" s="41" t="str">
        <f aca="false">IF(C4654="","",IFERROR(IF(ISNUMBER(SEARCH(Assumptions!$C$5,C4654)),Assumptions!$D$5,IF(ISNUMBER(SEARCH(Assumptions!$C$6,C4654)),Assumptions!$D$6,IF(ISNUMBER(SEARCH(Assumptions!$C$7,C4654)),Assumptions!$D$7,"Other Services"))),"Other Services"))</f>
        <v/>
      </c>
    </row>
    <row r="4655" customFormat="false" ht="15" hidden="false" customHeight="false" outlineLevel="0" collapsed="false">
      <c r="F4655" s="41" t="str">
        <f aca="false">IF(C4655="","",IFERROR(IF(ISNUMBER(SEARCH(Assumptions!$C$5,C4655)),Assumptions!$D$5,IF(ISNUMBER(SEARCH(Assumptions!$C$6,C4655)),Assumptions!$D$6,IF(ISNUMBER(SEARCH(Assumptions!$C$7,C4655)),Assumptions!$D$7,"Other Services"))),"Other Services"))</f>
        <v/>
      </c>
    </row>
    <row r="4656" customFormat="false" ht="15" hidden="false" customHeight="false" outlineLevel="0" collapsed="false">
      <c r="F4656" s="41" t="str">
        <f aca="false">IF(C4656="","",IFERROR(IF(ISNUMBER(SEARCH(Assumptions!$C$5,C4656)),Assumptions!$D$5,IF(ISNUMBER(SEARCH(Assumptions!$C$6,C4656)),Assumptions!$D$6,IF(ISNUMBER(SEARCH(Assumptions!$C$7,C4656)),Assumptions!$D$7,"Other Services"))),"Other Services"))</f>
        <v/>
      </c>
    </row>
    <row r="4657" customFormat="false" ht="15" hidden="false" customHeight="false" outlineLevel="0" collapsed="false">
      <c r="F4657" s="41" t="str">
        <f aca="false">IF(C4657="","",IFERROR(IF(ISNUMBER(SEARCH(Assumptions!$C$5,C4657)),Assumptions!$D$5,IF(ISNUMBER(SEARCH(Assumptions!$C$6,C4657)),Assumptions!$D$6,IF(ISNUMBER(SEARCH(Assumptions!$C$7,C4657)),Assumptions!$D$7,"Other Services"))),"Other Services"))</f>
        <v/>
      </c>
    </row>
    <row r="4658" customFormat="false" ht="15" hidden="false" customHeight="false" outlineLevel="0" collapsed="false">
      <c r="F4658" s="41" t="str">
        <f aca="false">IF(C4658="","",IFERROR(IF(ISNUMBER(SEARCH(Assumptions!$C$5,C4658)),Assumptions!$D$5,IF(ISNUMBER(SEARCH(Assumptions!$C$6,C4658)),Assumptions!$D$6,IF(ISNUMBER(SEARCH(Assumptions!$C$7,C4658)),Assumptions!$D$7,"Other Services"))),"Other Services"))</f>
        <v/>
      </c>
    </row>
    <row r="4659" customFormat="false" ht="15" hidden="false" customHeight="false" outlineLevel="0" collapsed="false">
      <c r="F4659" s="41" t="str">
        <f aca="false">IF(C4659="","",IFERROR(IF(ISNUMBER(SEARCH(Assumptions!$C$5,C4659)),Assumptions!$D$5,IF(ISNUMBER(SEARCH(Assumptions!$C$6,C4659)),Assumptions!$D$6,IF(ISNUMBER(SEARCH(Assumptions!$C$7,C4659)),Assumptions!$D$7,"Other Services"))),"Other Services"))</f>
        <v/>
      </c>
    </row>
    <row r="4660" customFormat="false" ht="15" hidden="false" customHeight="false" outlineLevel="0" collapsed="false">
      <c r="F4660" s="41" t="str">
        <f aca="false">IF(C4660="","",IFERROR(IF(ISNUMBER(SEARCH(Assumptions!$C$5,C4660)),Assumptions!$D$5,IF(ISNUMBER(SEARCH(Assumptions!$C$6,C4660)),Assumptions!$D$6,IF(ISNUMBER(SEARCH(Assumptions!$C$7,C4660)),Assumptions!$D$7,"Other Services"))),"Other Services"))</f>
        <v/>
      </c>
    </row>
    <row r="4661" customFormat="false" ht="15" hidden="false" customHeight="false" outlineLevel="0" collapsed="false">
      <c r="F4661" s="41" t="str">
        <f aca="false">IF(C4661="","",IFERROR(IF(ISNUMBER(SEARCH(Assumptions!$C$5,C4661)),Assumptions!$D$5,IF(ISNUMBER(SEARCH(Assumptions!$C$6,C4661)),Assumptions!$D$6,IF(ISNUMBER(SEARCH(Assumptions!$C$7,C4661)),Assumptions!$D$7,"Other Services"))),"Other Services"))</f>
        <v/>
      </c>
    </row>
    <row r="4662" customFormat="false" ht="15" hidden="false" customHeight="false" outlineLevel="0" collapsed="false">
      <c r="F4662" s="41" t="str">
        <f aca="false">IF(C4662="","",IFERROR(IF(ISNUMBER(SEARCH(Assumptions!$C$5,C4662)),Assumptions!$D$5,IF(ISNUMBER(SEARCH(Assumptions!$C$6,C4662)),Assumptions!$D$6,IF(ISNUMBER(SEARCH(Assumptions!$C$7,C4662)),Assumptions!$D$7,"Other Services"))),"Other Services"))</f>
        <v/>
      </c>
    </row>
    <row r="4663" customFormat="false" ht="15" hidden="false" customHeight="false" outlineLevel="0" collapsed="false">
      <c r="F4663" s="41" t="str">
        <f aca="false">IF(C4663="","",IFERROR(IF(ISNUMBER(SEARCH(Assumptions!$C$5,C4663)),Assumptions!$D$5,IF(ISNUMBER(SEARCH(Assumptions!$C$6,C4663)),Assumptions!$D$6,IF(ISNUMBER(SEARCH(Assumptions!$C$7,C4663)),Assumptions!$D$7,"Other Services"))),"Other Services"))</f>
        <v/>
      </c>
    </row>
    <row r="4664" customFormat="false" ht="15" hidden="false" customHeight="false" outlineLevel="0" collapsed="false">
      <c r="F4664" s="41" t="str">
        <f aca="false">IF(C4664="","",IFERROR(IF(ISNUMBER(SEARCH(Assumptions!$C$5,C4664)),Assumptions!$D$5,IF(ISNUMBER(SEARCH(Assumptions!$C$6,C4664)),Assumptions!$D$6,IF(ISNUMBER(SEARCH(Assumptions!$C$7,C4664)),Assumptions!$D$7,"Other Services"))),"Other Services"))</f>
        <v/>
      </c>
    </row>
    <row r="4665" customFormat="false" ht="15" hidden="false" customHeight="false" outlineLevel="0" collapsed="false">
      <c r="F4665" s="41" t="str">
        <f aca="false">IF(C4665="","",IFERROR(IF(ISNUMBER(SEARCH(Assumptions!$C$5,C4665)),Assumptions!$D$5,IF(ISNUMBER(SEARCH(Assumptions!$C$6,C4665)),Assumptions!$D$6,IF(ISNUMBER(SEARCH(Assumptions!$C$7,C4665)),Assumptions!$D$7,"Other Services"))),"Other Services"))</f>
        <v/>
      </c>
    </row>
    <row r="4666" customFormat="false" ht="15" hidden="false" customHeight="false" outlineLevel="0" collapsed="false">
      <c r="F4666" s="41" t="str">
        <f aca="false">IF(C4666="","",IFERROR(IF(ISNUMBER(SEARCH(Assumptions!$C$5,C4666)),Assumptions!$D$5,IF(ISNUMBER(SEARCH(Assumptions!$C$6,C4666)),Assumptions!$D$6,IF(ISNUMBER(SEARCH(Assumptions!$C$7,C4666)),Assumptions!$D$7,"Other Services"))),"Other Services"))</f>
        <v/>
      </c>
    </row>
    <row r="4667" customFormat="false" ht="15" hidden="false" customHeight="false" outlineLevel="0" collapsed="false">
      <c r="F4667" s="41" t="str">
        <f aca="false">IF(C4667="","",IFERROR(IF(ISNUMBER(SEARCH(Assumptions!$C$5,C4667)),Assumptions!$D$5,IF(ISNUMBER(SEARCH(Assumptions!$C$6,C4667)),Assumptions!$D$6,IF(ISNUMBER(SEARCH(Assumptions!$C$7,C4667)),Assumptions!$D$7,"Other Services"))),"Other Services"))</f>
        <v/>
      </c>
    </row>
    <row r="4668" customFormat="false" ht="15" hidden="false" customHeight="false" outlineLevel="0" collapsed="false">
      <c r="F4668" s="41" t="str">
        <f aca="false">IF(C4668="","",IFERROR(IF(ISNUMBER(SEARCH(Assumptions!$C$5,C4668)),Assumptions!$D$5,IF(ISNUMBER(SEARCH(Assumptions!$C$6,C4668)),Assumptions!$D$6,IF(ISNUMBER(SEARCH(Assumptions!$C$7,C4668)),Assumptions!$D$7,"Other Services"))),"Other Services"))</f>
        <v/>
      </c>
    </row>
    <row r="4669" customFormat="false" ht="15" hidden="false" customHeight="false" outlineLevel="0" collapsed="false">
      <c r="F4669" s="41" t="str">
        <f aca="false">IF(C4669="","",IFERROR(IF(ISNUMBER(SEARCH(Assumptions!$C$5,C4669)),Assumptions!$D$5,IF(ISNUMBER(SEARCH(Assumptions!$C$6,C4669)),Assumptions!$D$6,IF(ISNUMBER(SEARCH(Assumptions!$C$7,C4669)),Assumptions!$D$7,"Other Services"))),"Other Services"))</f>
        <v/>
      </c>
    </row>
    <row r="4670" customFormat="false" ht="15" hidden="false" customHeight="false" outlineLevel="0" collapsed="false">
      <c r="F4670" s="41" t="str">
        <f aca="false">IF(C4670="","",IFERROR(IF(ISNUMBER(SEARCH(Assumptions!$C$5,C4670)),Assumptions!$D$5,IF(ISNUMBER(SEARCH(Assumptions!$C$6,C4670)),Assumptions!$D$6,IF(ISNUMBER(SEARCH(Assumptions!$C$7,C4670)),Assumptions!$D$7,"Other Services"))),"Other Services"))</f>
        <v/>
      </c>
    </row>
    <row r="4671" customFormat="false" ht="15" hidden="false" customHeight="false" outlineLevel="0" collapsed="false">
      <c r="F4671" s="41" t="str">
        <f aca="false">IF(C4671="","",IFERROR(IF(ISNUMBER(SEARCH(Assumptions!$C$5,C4671)),Assumptions!$D$5,IF(ISNUMBER(SEARCH(Assumptions!$C$6,C4671)),Assumptions!$D$6,IF(ISNUMBER(SEARCH(Assumptions!$C$7,C4671)),Assumptions!$D$7,"Other Services"))),"Other Services"))</f>
        <v/>
      </c>
    </row>
    <row r="4672" customFormat="false" ht="15" hidden="false" customHeight="false" outlineLevel="0" collapsed="false">
      <c r="F4672" s="41" t="str">
        <f aca="false">IF(C4672="","",IFERROR(IF(ISNUMBER(SEARCH(Assumptions!$C$5,C4672)),Assumptions!$D$5,IF(ISNUMBER(SEARCH(Assumptions!$C$6,C4672)),Assumptions!$D$6,IF(ISNUMBER(SEARCH(Assumptions!$C$7,C4672)),Assumptions!$D$7,"Other Services"))),"Other Services"))</f>
        <v/>
      </c>
    </row>
    <row r="4673" customFormat="false" ht="15" hidden="false" customHeight="false" outlineLevel="0" collapsed="false">
      <c r="F4673" s="41" t="str">
        <f aca="false">IF(C4673="","",IFERROR(IF(ISNUMBER(SEARCH(Assumptions!$C$5,C4673)),Assumptions!$D$5,IF(ISNUMBER(SEARCH(Assumptions!$C$6,C4673)),Assumptions!$D$6,IF(ISNUMBER(SEARCH(Assumptions!$C$7,C4673)),Assumptions!$D$7,"Other Services"))),"Other Services"))</f>
        <v/>
      </c>
    </row>
    <row r="4674" customFormat="false" ht="15" hidden="false" customHeight="false" outlineLevel="0" collapsed="false">
      <c r="F4674" s="41" t="str">
        <f aca="false">IF(C4674="","",IFERROR(IF(ISNUMBER(SEARCH(Assumptions!$C$5,C4674)),Assumptions!$D$5,IF(ISNUMBER(SEARCH(Assumptions!$C$6,C4674)),Assumptions!$D$6,IF(ISNUMBER(SEARCH(Assumptions!$C$7,C4674)),Assumptions!$D$7,"Other Services"))),"Other Services"))</f>
        <v/>
      </c>
    </row>
    <row r="4675" customFormat="false" ht="15" hidden="false" customHeight="false" outlineLevel="0" collapsed="false">
      <c r="F4675" s="41" t="str">
        <f aca="false">IF(C4675="","",IFERROR(IF(ISNUMBER(SEARCH(Assumptions!$C$5,C4675)),Assumptions!$D$5,IF(ISNUMBER(SEARCH(Assumptions!$C$6,C4675)),Assumptions!$D$6,IF(ISNUMBER(SEARCH(Assumptions!$C$7,C4675)),Assumptions!$D$7,"Other Services"))),"Other Services"))</f>
        <v/>
      </c>
    </row>
    <row r="4676" customFormat="false" ht="15" hidden="false" customHeight="false" outlineLevel="0" collapsed="false">
      <c r="F4676" s="41" t="str">
        <f aca="false">IF(C4676="","",IFERROR(IF(ISNUMBER(SEARCH(Assumptions!$C$5,C4676)),Assumptions!$D$5,IF(ISNUMBER(SEARCH(Assumptions!$C$6,C4676)),Assumptions!$D$6,IF(ISNUMBER(SEARCH(Assumptions!$C$7,C4676)),Assumptions!$D$7,"Other Services"))),"Other Services"))</f>
        <v/>
      </c>
    </row>
    <row r="4677" customFormat="false" ht="15" hidden="false" customHeight="false" outlineLevel="0" collapsed="false">
      <c r="F4677" s="41" t="str">
        <f aca="false">IF(C4677="","",IFERROR(IF(ISNUMBER(SEARCH(Assumptions!$C$5,C4677)),Assumptions!$D$5,IF(ISNUMBER(SEARCH(Assumptions!$C$6,C4677)),Assumptions!$D$6,IF(ISNUMBER(SEARCH(Assumptions!$C$7,C4677)),Assumptions!$D$7,"Other Services"))),"Other Services"))</f>
        <v/>
      </c>
    </row>
    <row r="4678" customFormat="false" ht="15" hidden="false" customHeight="false" outlineLevel="0" collapsed="false">
      <c r="F4678" s="41" t="str">
        <f aca="false">IF(C4678="","",IFERROR(IF(ISNUMBER(SEARCH(Assumptions!$C$5,C4678)),Assumptions!$D$5,IF(ISNUMBER(SEARCH(Assumptions!$C$6,C4678)),Assumptions!$D$6,IF(ISNUMBER(SEARCH(Assumptions!$C$7,C4678)),Assumptions!$D$7,"Other Services"))),"Other Services"))</f>
        <v/>
      </c>
    </row>
    <row r="4679" customFormat="false" ht="15" hidden="false" customHeight="false" outlineLevel="0" collapsed="false">
      <c r="F4679" s="41" t="str">
        <f aca="false">IF(C4679="","",IFERROR(IF(ISNUMBER(SEARCH(Assumptions!$C$5,C4679)),Assumptions!$D$5,IF(ISNUMBER(SEARCH(Assumptions!$C$6,C4679)),Assumptions!$D$6,IF(ISNUMBER(SEARCH(Assumptions!$C$7,C4679)),Assumptions!$D$7,"Other Services"))),"Other Services"))</f>
        <v/>
      </c>
    </row>
    <row r="4680" customFormat="false" ht="15" hidden="false" customHeight="false" outlineLevel="0" collapsed="false">
      <c r="F4680" s="41" t="str">
        <f aca="false">IF(C4680="","",IFERROR(IF(ISNUMBER(SEARCH(Assumptions!$C$5,C4680)),Assumptions!$D$5,IF(ISNUMBER(SEARCH(Assumptions!$C$6,C4680)),Assumptions!$D$6,IF(ISNUMBER(SEARCH(Assumptions!$C$7,C4680)),Assumptions!$D$7,"Other Services"))),"Other Services"))</f>
        <v/>
      </c>
    </row>
    <row r="4681" customFormat="false" ht="15" hidden="false" customHeight="false" outlineLevel="0" collapsed="false">
      <c r="F4681" s="41" t="str">
        <f aca="false">IF(C4681="","",IFERROR(IF(ISNUMBER(SEARCH(Assumptions!$C$5,C4681)),Assumptions!$D$5,IF(ISNUMBER(SEARCH(Assumptions!$C$6,C4681)),Assumptions!$D$6,IF(ISNUMBER(SEARCH(Assumptions!$C$7,C4681)),Assumptions!$D$7,"Other Services"))),"Other Services"))</f>
        <v/>
      </c>
    </row>
    <row r="4682" customFormat="false" ht="15" hidden="false" customHeight="false" outlineLevel="0" collapsed="false">
      <c r="F4682" s="41" t="str">
        <f aca="false">IF(C4682="","",IFERROR(IF(ISNUMBER(SEARCH(Assumptions!$C$5,C4682)),Assumptions!$D$5,IF(ISNUMBER(SEARCH(Assumptions!$C$6,C4682)),Assumptions!$D$6,IF(ISNUMBER(SEARCH(Assumptions!$C$7,C4682)),Assumptions!$D$7,"Other Services"))),"Other Services"))</f>
        <v/>
      </c>
    </row>
    <row r="4683" customFormat="false" ht="15" hidden="false" customHeight="false" outlineLevel="0" collapsed="false">
      <c r="F4683" s="41" t="str">
        <f aca="false">IF(C4683="","",IFERROR(IF(ISNUMBER(SEARCH(Assumptions!$C$5,C4683)),Assumptions!$D$5,IF(ISNUMBER(SEARCH(Assumptions!$C$6,C4683)),Assumptions!$D$6,IF(ISNUMBER(SEARCH(Assumptions!$C$7,C4683)),Assumptions!$D$7,"Other Services"))),"Other Services"))</f>
        <v/>
      </c>
    </row>
    <row r="4684" customFormat="false" ht="15" hidden="false" customHeight="false" outlineLevel="0" collapsed="false">
      <c r="F4684" s="41" t="str">
        <f aca="false">IF(C4684="","",IFERROR(IF(ISNUMBER(SEARCH(Assumptions!$C$5,C4684)),Assumptions!$D$5,IF(ISNUMBER(SEARCH(Assumptions!$C$6,C4684)),Assumptions!$D$6,IF(ISNUMBER(SEARCH(Assumptions!$C$7,C4684)),Assumptions!$D$7,"Other Services"))),"Other Services"))</f>
        <v/>
      </c>
    </row>
    <row r="4685" customFormat="false" ht="15" hidden="false" customHeight="false" outlineLevel="0" collapsed="false">
      <c r="F4685" s="41" t="str">
        <f aca="false">IF(C4685="","",IFERROR(IF(ISNUMBER(SEARCH(Assumptions!$C$5,C4685)),Assumptions!$D$5,IF(ISNUMBER(SEARCH(Assumptions!$C$6,C4685)),Assumptions!$D$6,IF(ISNUMBER(SEARCH(Assumptions!$C$7,C4685)),Assumptions!$D$7,"Other Services"))),"Other Services"))</f>
        <v/>
      </c>
    </row>
    <row r="4686" customFormat="false" ht="15" hidden="false" customHeight="false" outlineLevel="0" collapsed="false">
      <c r="F4686" s="41" t="str">
        <f aca="false">IF(C4686="","",IFERROR(IF(ISNUMBER(SEARCH(Assumptions!$C$5,C4686)),Assumptions!$D$5,IF(ISNUMBER(SEARCH(Assumptions!$C$6,C4686)),Assumptions!$D$6,IF(ISNUMBER(SEARCH(Assumptions!$C$7,C4686)),Assumptions!$D$7,"Other Services"))),"Other Services"))</f>
        <v/>
      </c>
    </row>
    <row r="4687" customFormat="false" ht="15" hidden="false" customHeight="false" outlineLevel="0" collapsed="false">
      <c r="F4687" s="41" t="str">
        <f aca="false">IF(C4687="","",IFERROR(IF(ISNUMBER(SEARCH(Assumptions!$C$5,C4687)),Assumptions!$D$5,IF(ISNUMBER(SEARCH(Assumptions!$C$6,C4687)),Assumptions!$D$6,IF(ISNUMBER(SEARCH(Assumptions!$C$7,C4687)),Assumptions!$D$7,"Other Services"))),"Other Services"))</f>
        <v/>
      </c>
    </row>
    <row r="4688" customFormat="false" ht="15" hidden="false" customHeight="false" outlineLevel="0" collapsed="false">
      <c r="F4688" s="41" t="str">
        <f aca="false">IF(C4688="","",IFERROR(IF(ISNUMBER(SEARCH(Assumptions!$C$5,C4688)),Assumptions!$D$5,IF(ISNUMBER(SEARCH(Assumptions!$C$6,C4688)),Assumptions!$D$6,IF(ISNUMBER(SEARCH(Assumptions!$C$7,C4688)),Assumptions!$D$7,"Other Services"))),"Other Services"))</f>
        <v/>
      </c>
    </row>
    <row r="4689" customFormat="false" ht="15" hidden="false" customHeight="false" outlineLevel="0" collapsed="false">
      <c r="F4689" s="41" t="str">
        <f aca="false">IF(C4689="","",IFERROR(IF(ISNUMBER(SEARCH(Assumptions!$C$5,C4689)),Assumptions!$D$5,IF(ISNUMBER(SEARCH(Assumptions!$C$6,C4689)),Assumptions!$D$6,IF(ISNUMBER(SEARCH(Assumptions!$C$7,C4689)),Assumptions!$D$7,"Other Services"))),"Other Services"))</f>
        <v/>
      </c>
    </row>
    <row r="4690" customFormat="false" ht="15" hidden="false" customHeight="false" outlineLevel="0" collapsed="false">
      <c r="F4690" s="41" t="str">
        <f aca="false">IF(C4690="","",IFERROR(IF(ISNUMBER(SEARCH(Assumptions!$C$5,C4690)),Assumptions!$D$5,IF(ISNUMBER(SEARCH(Assumptions!$C$6,C4690)),Assumptions!$D$6,IF(ISNUMBER(SEARCH(Assumptions!$C$7,C4690)),Assumptions!$D$7,"Other Services"))),"Other Services"))</f>
        <v/>
      </c>
    </row>
    <row r="4691" customFormat="false" ht="15" hidden="false" customHeight="false" outlineLevel="0" collapsed="false">
      <c r="F4691" s="41" t="str">
        <f aca="false">IF(C4691="","",IFERROR(IF(ISNUMBER(SEARCH(Assumptions!$C$5,C4691)),Assumptions!$D$5,IF(ISNUMBER(SEARCH(Assumptions!$C$6,C4691)),Assumptions!$D$6,IF(ISNUMBER(SEARCH(Assumptions!$C$7,C4691)),Assumptions!$D$7,"Other Services"))),"Other Services"))</f>
        <v/>
      </c>
    </row>
    <row r="4692" customFormat="false" ht="15" hidden="false" customHeight="false" outlineLevel="0" collapsed="false">
      <c r="F4692" s="41" t="str">
        <f aca="false">IF(C4692="","",IFERROR(IF(ISNUMBER(SEARCH(Assumptions!$C$5,C4692)),Assumptions!$D$5,IF(ISNUMBER(SEARCH(Assumptions!$C$6,C4692)),Assumptions!$D$6,IF(ISNUMBER(SEARCH(Assumptions!$C$7,C4692)),Assumptions!$D$7,"Other Services"))),"Other Services"))</f>
        <v/>
      </c>
    </row>
    <row r="4693" customFormat="false" ht="15" hidden="false" customHeight="false" outlineLevel="0" collapsed="false">
      <c r="F4693" s="41" t="str">
        <f aca="false">IF(C4693="","",IFERROR(IF(ISNUMBER(SEARCH(Assumptions!$C$5,C4693)),Assumptions!$D$5,IF(ISNUMBER(SEARCH(Assumptions!$C$6,C4693)),Assumptions!$D$6,IF(ISNUMBER(SEARCH(Assumptions!$C$7,C4693)),Assumptions!$D$7,"Other Services"))),"Other Services"))</f>
        <v/>
      </c>
    </row>
    <row r="4694" customFormat="false" ht="15" hidden="false" customHeight="false" outlineLevel="0" collapsed="false">
      <c r="F4694" s="41" t="str">
        <f aca="false">IF(C4694="","",IFERROR(IF(ISNUMBER(SEARCH(Assumptions!$C$5,C4694)),Assumptions!$D$5,IF(ISNUMBER(SEARCH(Assumptions!$C$6,C4694)),Assumptions!$D$6,IF(ISNUMBER(SEARCH(Assumptions!$C$7,C4694)),Assumptions!$D$7,"Other Services"))),"Other Services"))</f>
        <v/>
      </c>
    </row>
    <row r="4695" customFormat="false" ht="15" hidden="false" customHeight="false" outlineLevel="0" collapsed="false">
      <c r="F4695" s="41" t="str">
        <f aca="false">IF(C4695="","",IFERROR(IF(ISNUMBER(SEARCH(Assumptions!$C$5,C4695)),Assumptions!$D$5,IF(ISNUMBER(SEARCH(Assumptions!$C$6,C4695)),Assumptions!$D$6,IF(ISNUMBER(SEARCH(Assumptions!$C$7,C4695)),Assumptions!$D$7,"Other Services"))),"Other Services"))</f>
        <v/>
      </c>
    </row>
    <row r="4696" customFormat="false" ht="15" hidden="false" customHeight="false" outlineLevel="0" collapsed="false">
      <c r="F4696" s="41" t="str">
        <f aca="false">IF(C4696="","",IFERROR(IF(ISNUMBER(SEARCH(Assumptions!$C$5,C4696)),Assumptions!$D$5,IF(ISNUMBER(SEARCH(Assumptions!$C$6,C4696)),Assumptions!$D$6,IF(ISNUMBER(SEARCH(Assumptions!$C$7,C4696)),Assumptions!$D$7,"Other Services"))),"Other Services"))</f>
        <v/>
      </c>
    </row>
    <row r="4697" customFormat="false" ht="15" hidden="false" customHeight="false" outlineLevel="0" collapsed="false">
      <c r="F4697" s="41" t="str">
        <f aca="false">IF(C4697="","",IFERROR(IF(ISNUMBER(SEARCH(Assumptions!$C$5,C4697)),Assumptions!$D$5,IF(ISNUMBER(SEARCH(Assumptions!$C$6,C4697)),Assumptions!$D$6,IF(ISNUMBER(SEARCH(Assumptions!$C$7,C4697)),Assumptions!$D$7,"Other Services"))),"Other Services"))</f>
        <v/>
      </c>
    </row>
    <row r="4698" customFormat="false" ht="15" hidden="false" customHeight="false" outlineLevel="0" collapsed="false">
      <c r="F4698" s="41" t="str">
        <f aca="false">IF(C4698="","",IFERROR(IF(ISNUMBER(SEARCH(Assumptions!$C$5,C4698)),Assumptions!$D$5,IF(ISNUMBER(SEARCH(Assumptions!$C$6,C4698)),Assumptions!$D$6,IF(ISNUMBER(SEARCH(Assumptions!$C$7,C4698)),Assumptions!$D$7,"Other Services"))),"Other Services"))</f>
        <v/>
      </c>
    </row>
    <row r="4699" customFormat="false" ht="15" hidden="false" customHeight="false" outlineLevel="0" collapsed="false">
      <c r="F4699" s="41" t="str">
        <f aca="false">IF(C4699="","",IFERROR(IF(ISNUMBER(SEARCH(Assumptions!$C$5,C4699)),Assumptions!$D$5,IF(ISNUMBER(SEARCH(Assumptions!$C$6,C4699)),Assumptions!$D$6,IF(ISNUMBER(SEARCH(Assumptions!$C$7,C4699)),Assumptions!$D$7,"Other Services"))),"Other Services"))</f>
        <v/>
      </c>
    </row>
    <row r="4700" customFormat="false" ht="15" hidden="false" customHeight="false" outlineLevel="0" collapsed="false">
      <c r="F4700" s="41" t="str">
        <f aca="false">IF(C4700="","",IFERROR(IF(ISNUMBER(SEARCH(Assumptions!$C$5,C4700)),Assumptions!$D$5,IF(ISNUMBER(SEARCH(Assumptions!$C$6,C4700)),Assumptions!$D$6,IF(ISNUMBER(SEARCH(Assumptions!$C$7,C4700)),Assumptions!$D$7,"Other Services"))),"Other Services"))</f>
        <v/>
      </c>
    </row>
    <row r="4701" customFormat="false" ht="15" hidden="false" customHeight="false" outlineLevel="0" collapsed="false">
      <c r="F4701" s="41" t="str">
        <f aca="false">IF(C4701="","",IFERROR(IF(ISNUMBER(SEARCH(Assumptions!$C$5,C4701)),Assumptions!$D$5,IF(ISNUMBER(SEARCH(Assumptions!$C$6,C4701)),Assumptions!$D$6,IF(ISNUMBER(SEARCH(Assumptions!$C$7,C4701)),Assumptions!$D$7,"Other Services"))),"Other Services"))</f>
        <v/>
      </c>
    </row>
    <row r="4702" customFormat="false" ht="15" hidden="false" customHeight="false" outlineLevel="0" collapsed="false">
      <c r="F4702" s="41" t="str">
        <f aca="false">IF(C4702="","",IFERROR(IF(ISNUMBER(SEARCH(Assumptions!$C$5,C4702)),Assumptions!$D$5,IF(ISNUMBER(SEARCH(Assumptions!$C$6,C4702)),Assumptions!$D$6,IF(ISNUMBER(SEARCH(Assumptions!$C$7,C4702)),Assumptions!$D$7,"Other Services"))),"Other Services"))</f>
        <v/>
      </c>
    </row>
    <row r="4703" customFormat="false" ht="15" hidden="false" customHeight="false" outlineLevel="0" collapsed="false">
      <c r="F4703" s="41" t="str">
        <f aca="false">IF(C4703="","",IFERROR(IF(ISNUMBER(SEARCH(Assumptions!$C$5,C4703)),Assumptions!$D$5,IF(ISNUMBER(SEARCH(Assumptions!$C$6,C4703)),Assumptions!$D$6,IF(ISNUMBER(SEARCH(Assumptions!$C$7,C4703)),Assumptions!$D$7,"Other Services"))),"Other Services"))</f>
        <v/>
      </c>
    </row>
    <row r="4704" customFormat="false" ht="15" hidden="false" customHeight="false" outlineLevel="0" collapsed="false">
      <c r="F4704" s="41" t="str">
        <f aca="false">IF(C4704="","",IFERROR(IF(ISNUMBER(SEARCH(Assumptions!$C$5,C4704)),Assumptions!$D$5,IF(ISNUMBER(SEARCH(Assumptions!$C$6,C4704)),Assumptions!$D$6,IF(ISNUMBER(SEARCH(Assumptions!$C$7,C4704)),Assumptions!$D$7,"Other Services"))),"Other Services"))</f>
        <v/>
      </c>
    </row>
    <row r="4705" customFormat="false" ht="15" hidden="false" customHeight="false" outlineLevel="0" collapsed="false">
      <c r="F4705" s="41" t="str">
        <f aca="false">IF(C4705="","",IFERROR(IF(ISNUMBER(SEARCH(Assumptions!$C$5,C4705)),Assumptions!$D$5,IF(ISNUMBER(SEARCH(Assumptions!$C$6,C4705)),Assumptions!$D$6,IF(ISNUMBER(SEARCH(Assumptions!$C$7,C4705)),Assumptions!$D$7,"Other Services"))),"Other Services"))</f>
        <v/>
      </c>
    </row>
    <row r="4706" customFormat="false" ht="15" hidden="false" customHeight="false" outlineLevel="0" collapsed="false">
      <c r="F4706" s="41" t="str">
        <f aca="false">IF(C4706="","",IFERROR(IF(ISNUMBER(SEARCH(Assumptions!$C$5,C4706)),Assumptions!$D$5,IF(ISNUMBER(SEARCH(Assumptions!$C$6,C4706)),Assumptions!$D$6,IF(ISNUMBER(SEARCH(Assumptions!$C$7,C4706)),Assumptions!$D$7,"Other Services"))),"Other Services"))</f>
        <v/>
      </c>
    </row>
    <row r="4707" customFormat="false" ht="15" hidden="false" customHeight="false" outlineLevel="0" collapsed="false">
      <c r="F4707" s="41" t="str">
        <f aca="false">IF(C4707="","",IFERROR(IF(ISNUMBER(SEARCH(Assumptions!$C$5,C4707)),Assumptions!$D$5,IF(ISNUMBER(SEARCH(Assumptions!$C$6,C4707)),Assumptions!$D$6,IF(ISNUMBER(SEARCH(Assumptions!$C$7,C4707)),Assumptions!$D$7,"Other Services"))),"Other Services"))</f>
        <v/>
      </c>
    </row>
    <row r="4708" customFormat="false" ht="15" hidden="false" customHeight="false" outlineLevel="0" collapsed="false">
      <c r="F4708" s="41" t="str">
        <f aca="false">IF(C4708="","",IFERROR(IF(ISNUMBER(SEARCH(Assumptions!$C$5,C4708)),Assumptions!$D$5,IF(ISNUMBER(SEARCH(Assumptions!$C$6,C4708)),Assumptions!$D$6,IF(ISNUMBER(SEARCH(Assumptions!$C$7,C4708)),Assumptions!$D$7,"Other Services"))),"Other Services"))</f>
        <v/>
      </c>
    </row>
    <row r="4709" customFormat="false" ht="15" hidden="false" customHeight="false" outlineLevel="0" collapsed="false">
      <c r="F4709" s="41" t="str">
        <f aca="false">IF(C4709="","",IFERROR(IF(ISNUMBER(SEARCH(Assumptions!$C$5,C4709)),Assumptions!$D$5,IF(ISNUMBER(SEARCH(Assumptions!$C$6,C4709)),Assumptions!$D$6,IF(ISNUMBER(SEARCH(Assumptions!$C$7,C4709)),Assumptions!$D$7,"Other Services"))),"Other Services"))</f>
        <v/>
      </c>
    </row>
    <row r="4710" customFormat="false" ht="15" hidden="false" customHeight="false" outlineLevel="0" collapsed="false">
      <c r="F4710" s="41" t="str">
        <f aca="false">IF(C4710="","",IFERROR(IF(ISNUMBER(SEARCH(Assumptions!$C$5,C4710)),Assumptions!$D$5,IF(ISNUMBER(SEARCH(Assumptions!$C$6,C4710)),Assumptions!$D$6,IF(ISNUMBER(SEARCH(Assumptions!$C$7,C4710)),Assumptions!$D$7,"Other Services"))),"Other Services"))</f>
        <v/>
      </c>
    </row>
    <row r="4711" customFormat="false" ht="15" hidden="false" customHeight="false" outlineLevel="0" collapsed="false">
      <c r="F4711" s="41" t="str">
        <f aca="false">IF(C4711="","",IFERROR(IF(ISNUMBER(SEARCH(Assumptions!$C$5,C4711)),Assumptions!$D$5,IF(ISNUMBER(SEARCH(Assumptions!$C$6,C4711)),Assumptions!$D$6,IF(ISNUMBER(SEARCH(Assumptions!$C$7,C4711)),Assumptions!$D$7,"Other Services"))),"Other Services"))</f>
        <v/>
      </c>
    </row>
    <row r="4712" customFormat="false" ht="15" hidden="false" customHeight="false" outlineLevel="0" collapsed="false">
      <c r="F4712" s="41" t="str">
        <f aca="false">IF(C4712="","",IFERROR(IF(ISNUMBER(SEARCH(Assumptions!$C$5,C4712)),Assumptions!$D$5,IF(ISNUMBER(SEARCH(Assumptions!$C$6,C4712)),Assumptions!$D$6,IF(ISNUMBER(SEARCH(Assumptions!$C$7,C4712)),Assumptions!$D$7,"Other Services"))),"Other Services"))</f>
        <v/>
      </c>
    </row>
    <row r="4713" customFormat="false" ht="15" hidden="false" customHeight="false" outlineLevel="0" collapsed="false">
      <c r="F4713" s="41" t="str">
        <f aca="false">IF(C4713="","",IFERROR(IF(ISNUMBER(SEARCH(Assumptions!$C$5,C4713)),Assumptions!$D$5,IF(ISNUMBER(SEARCH(Assumptions!$C$6,C4713)),Assumptions!$D$6,IF(ISNUMBER(SEARCH(Assumptions!$C$7,C4713)),Assumptions!$D$7,"Other Services"))),"Other Services"))</f>
        <v/>
      </c>
    </row>
    <row r="4714" customFormat="false" ht="15" hidden="false" customHeight="false" outlineLevel="0" collapsed="false">
      <c r="F4714" s="41" t="str">
        <f aca="false">IF(C4714="","",IFERROR(IF(ISNUMBER(SEARCH(Assumptions!$C$5,C4714)),Assumptions!$D$5,IF(ISNUMBER(SEARCH(Assumptions!$C$6,C4714)),Assumptions!$D$6,IF(ISNUMBER(SEARCH(Assumptions!$C$7,C4714)),Assumptions!$D$7,"Other Services"))),"Other Services"))</f>
        <v/>
      </c>
    </row>
    <row r="4715" customFormat="false" ht="15" hidden="false" customHeight="false" outlineLevel="0" collapsed="false">
      <c r="F4715" s="41" t="str">
        <f aca="false">IF(C4715="","",IFERROR(IF(ISNUMBER(SEARCH(Assumptions!$C$5,C4715)),Assumptions!$D$5,IF(ISNUMBER(SEARCH(Assumptions!$C$6,C4715)),Assumptions!$D$6,IF(ISNUMBER(SEARCH(Assumptions!$C$7,C4715)),Assumptions!$D$7,"Other Services"))),"Other Services"))</f>
        <v/>
      </c>
    </row>
    <row r="4716" customFormat="false" ht="15" hidden="false" customHeight="false" outlineLevel="0" collapsed="false">
      <c r="F4716" s="41" t="str">
        <f aca="false">IF(C4716="","",IFERROR(IF(ISNUMBER(SEARCH(Assumptions!$C$5,C4716)),Assumptions!$D$5,IF(ISNUMBER(SEARCH(Assumptions!$C$6,C4716)),Assumptions!$D$6,IF(ISNUMBER(SEARCH(Assumptions!$C$7,C4716)),Assumptions!$D$7,"Other Services"))),"Other Services"))</f>
        <v/>
      </c>
    </row>
    <row r="4717" customFormat="false" ht="15" hidden="false" customHeight="false" outlineLevel="0" collapsed="false">
      <c r="F4717" s="41" t="str">
        <f aca="false">IF(C4717="","",IFERROR(IF(ISNUMBER(SEARCH(Assumptions!$C$5,C4717)),Assumptions!$D$5,IF(ISNUMBER(SEARCH(Assumptions!$C$6,C4717)),Assumptions!$D$6,IF(ISNUMBER(SEARCH(Assumptions!$C$7,C4717)),Assumptions!$D$7,"Other Services"))),"Other Services"))</f>
        <v/>
      </c>
    </row>
    <row r="4718" customFormat="false" ht="15" hidden="false" customHeight="false" outlineLevel="0" collapsed="false">
      <c r="F4718" s="41" t="str">
        <f aca="false">IF(C4718="","",IFERROR(IF(ISNUMBER(SEARCH(Assumptions!$C$5,C4718)),Assumptions!$D$5,IF(ISNUMBER(SEARCH(Assumptions!$C$6,C4718)),Assumptions!$D$6,IF(ISNUMBER(SEARCH(Assumptions!$C$7,C4718)),Assumptions!$D$7,"Other Services"))),"Other Services"))</f>
        <v/>
      </c>
    </row>
    <row r="4719" customFormat="false" ht="15" hidden="false" customHeight="false" outlineLevel="0" collapsed="false">
      <c r="F4719" s="41" t="str">
        <f aca="false">IF(C4719="","",IFERROR(IF(ISNUMBER(SEARCH(Assumptions!$C$5,C4719)),Assumptions!$D$5,IF(ISNUMBER(SEARCH(Assumptions!$C$6,C4719)),Assumptions!$D$6,IF(ISNUMBER(SEARCH(Assumptions!$C$7,C4719)),Assumptions!$D$7,"Other Services"))),"Other Services"))</f>
        <v/>
      </c>
    </row>
    <row r="4720" customFormat="false" ht="15" hidden="false" customHeight="false" outlineLevel="0" collapsed="false">
      <c r="F4720" s="41" t="str">
        <f aca="false">IF(C4720="","",IFERROR(IF(ISNUMBER(SEARCH(Assumptions!$C$5,C4720)),Assumptions!$D$5,IF(ISNUMBER(SEARCH(Assumptions!$C$6,C4720)),Assumptions!$D$6,IF(ISNUMBER(SEARCH(Assumptions!$C$7,C4720)),Assumptions!$D$7,"Other Services"))),"Other Services"))</f>
        <v/>
      </c>
    </row>
    <row r="4721" customFormat="false" ht="15" hidden="false" customHeight="false" outlineLevel="0" collapsed="false">
      <c r="F4721" s="41" t="str">
        <f aca="false">IF(C4721="","",IFERROR(IF(ISNUMBER(SEARCH(Assumptions!$C$5,C4721)),Assumptions!$D$5,IF(ISNUMBER(SEARCH(Assumptions!$C$6,C4721)),Assumptions!$D$6,IF(ISNUMBER(SEARCH(Assumptions!$C$7,C4721)),Assumptions!$D$7,"Other Services"))),"Other Services"))</f>
        <v/>
      </c>
    </row>
    <row r="4722" customFormat="false" ht="15" hidden="false" customHeight="false" outlineLevel="0" collapsed="false">
      <c r="F4722" s="41" t="str">
        <f aca="false">IF(C4722="","",IFERROR(IF(ISNUMBER(SEARCH(Assumptions!$C$5,C4722)),Assumptions!$D$5,IF(ISNUMBER(SEARCH(Assumptions!$C$6,C4722)),Assumptions!$D$6,IF(ISNUMBER(SEARCH(Assumptions!$C$7,C4722)),Assumptions!$D$7,"Other Services"))),"Other Services"))</f>
        <v/>
      </c>
    </row>
    <row r="4723" customFormat="false" ht="15" hidden="false" customHeight="false" outlineLevel="0" collapsed="false">
      <c r="F4723" s="41" t="str">
        <f aca="false">IF(C4723="","",IFERROR(IF(ISNUMBER(SEARCH(Assumptions!$C$5,C4723)),Assumptions!$D$5,IF(ISNUMBER(SEARCH(Assumptions!$C$6,C4723)),Assumptions!$D$6,IF(ISNUMBER(SEARCH(Assumptions!$C$7,C4723)),Assumptions!$D$7,"Other Services"))),"Other Services"))</f>
        <v/>
      </c>
    </row>
    <row r="4724" customFormat="false" ht="15" hidden="false" customHeight="false" outlineLevel="0" collapsed="false">
      <c r="F4724" s="41" t="str">
        <f aca="false">IF(C4724="","",IFERROR(IF(ISNUMBER(SEARCH(Assumptions!$C$5,C4724)),Assumptions!$D$5,IF(ISNUMBER(SEARCH(Assumptions!$C$6,C4724)),Assumptions!$D$6,IF(ISNUMBER(SEARCH(Assumptions!$C$7,C4724)),Assumptions!$D$7,"Other Services"))),"Other Services"))</f>
        <v/>
      </c>
    </row>
    <row r="4725" customFormat="false" ht="15" hidden="false" customHeight="false" outlineLevel="0" collapsed="false">
      <c r="F4725" s="41" t="str">
        <f aca="false">IF(C4725="","",IFERROR(IF(ISNUMBER(SEARCH(Assumptions!$C$5,C4725)),Assumptions!$D$5,IF(ISNUMBER(SEARCH(Assumptions!$C$6,C4725)),Assumptions!$D$6,IF(ISNUMBER(SEARCH(Assumptions!$C$7,C4725)),Assumptions!$D$7,"Other Services"))),"Other Services"))</f>
        <v/>
      </c>
    </row>
    <row r="4726" customFormat="false" ht="15" hidden="false" customHeight="false" outlineLevel="0" collapsed="false">
      <c r="F4726" s="41" t="str">
        <f aca="false">IF(C4726="","",IFERROR(IF(ISNUMBER(SEARCH(Assumptions!$C$5,C4726)),Assumptions!$D$5,IF(ISNUMBER(SEARCH(Assumptions!$C$6,C4726)),Assumptions!$D$6,IF(ISNUMBER(SEARCH(Assumptions!$C$7,C4726)),Assumptions!$D$7,"Other Services"))),"Other Services"))</f>
        <v/>
      </c>
    </row>
    <row r="4727" customFormat="false" ht="15" hidden="false" customHeight="false" outlineLevel="0" collapsed="false">
      <c r="F4727" s="41" t="str">
        <f aca="false">IF(C4727="","",IFERROR(IF(ISNUMBER(SEARCH(Assumptions!$C$5,C4727)),Assumptions!$D$5,IF(ISNUMBER(SEARCH(Assumptions!$C$6,C4727)),Assumptions!$D$6,IF(ISNUMBER(SEARCH(Assumptions!$C$7,C4727)),Assumptions!$D$7,"Other Services"))),"Other Services"))</f>
        <v/>
      </c>
    </row>
    <row r="4728" customFormat="false" ht="15" hidden="false" customHeight="false" outlineLevel="0" collapsed="false">
      <c r="F4728" s="41" t="str">
        <f aca="false">IF(C4728="","",IFERROR(IF(ISNUMBER(SEARCH(Assumptions!$C$5,C4728)),Assumptions!$D$5,IF(ISNUMBER(SEARCH(Assumptions!$C$6,C4728)),Assumptions!$D$6,IF(ISNUMBER(SEARCH(Assumptions!$C$7,C4728)),Assumptions!$D$7,"Other Services"))),"Other Services"))</f>
        <v/>
      </c>
    </row>
    <row r="4729" customFormat="false" ht="15" hidden="false" customHeight="false" outlineLevel="0" collapsed="false">
      <c r="F4729" s="41" t="str">
        <f aca="false">IF(C4729="","",IFERROR(IF(ISNUMBER(SEARCH(Assumptions!$C$5,C4729)),Assumptions!$D$5,IF(ISNUMBER(SEARCH(Assumptions!$C$6,C4729)),Assumptions!$D$6,IF(ISNUMBER(SEARCH(Assumptions!$C$7,C4729)),Assumptions!$D$7,"Other Services"))),"Other Services"))</f>
        <v/>
      </c>
    </row>
    <row r="4730" customFormat="false" ht="15" hidden="false" customHeight="false" outlineLevel="0" collapsed="false">
      <c r="F4730" s="41" t="str">
        <f aca="false">IF(C4730="","",IFERROR(IF(ISNUMBER(SEARCH(Assumptions!$C$5,C4730)),Assumptions!$D$5,IF(ISNUMBER(SEARCH(Assumptions!$C$6,C4730)),Assumptions!$D$6,IF(ISNUMBER(SEARCH(Assumptions!$C$7,C4730)),Assumptions!$D$7,"Other Services"))),"Other Services"))</f>
        <v/>
      </c>
    </row>
    <row r="4731" customFormat="false" ht="15" hidden="false" customHeight="false" outlineLevel="0" collapsed="false">
      <c r="F4731" s="41" t="str">
        <f aca="false">IF(C4731="","",IFERROR(IF(ISNUMBER(SEARCH(Assumptions!$C$5,C4731)),Assumptions!$D$5,IF(ISNUMBER(SEARCH(Assumptions!$C$6,C4731)),Assumptions!$D$6,IF(ISNUMBER(SEARCH(Assumptions!$C$7,C4731)),Assumptions!$D$7,"Other Services"))),"Other Services"))</f>
        <v/>
      </c>
    </row>
    <row r="4732" customFormat="false" ht="15" hidden="false" customHeight="false" outlineLevel="0" collapsed="false">
      <c r="F4732" s="41" t="str">
        <f aca="false">IF(C4732="","",IFERROR(IF(ISNUMBER(SEARCH(Assumptions!$C$5,C4732)),Assumptions!$D$5,IF(ISNUMBER(SEARCH(Assumptions!$C$6,C4732)),Assumptions!$D$6,IF(ISNUMBER(SEARCH(Assumptions!$C$7,C4732)),Assumptions!$D$7,"Other Services"))),"Other Services"))</f>
        <v/>
      </c>
    </row>
    <row r="4733" customFormat="false" ht="15" hidden="false" customHeight="false" outlineLevel="0" collapsed="false">
      <c r="F4733" s="41" t="str">
        <f aca="false">IF(C4733="","",IFERROR(IF(ISNUMBER(SEARCH(Assumptions!$C$5,C4733)),Assumptions!$D$5,IF(ISNUMBER(SEARCH(Assumptions!$C$6,C4733)),Assumptions!$D$6,IF(ISNUMBER(SEARCH(Assumptions!$C$7,C4733)),Assumptions!$D$7,"Other Services"))),"Other Services"))</f>
        <v/>
      </c>
    </row>
    <row r="4734" customFormat="false" ht="15" hidden="false" customHeight="false" outlineLevel="0" collapsed="false">
      <c r="F4734" s="41" t="str">
        <f aca="false">IF(C4734="","",IFERROR(IF(ISNUMBER(SEARCH(Assumptions!$C$5,C4734)),Assumptions!$D$5,IF(ISNUMBER(SEARCH(Assumptions!$C$6,C4734)),Assumptions!$D$6,IF(ISNUMBER(SEARCH(Assumptions!$C$7,C4734)),Assumptions!$D$7,"Other Services"))),"Other Services"))</f>
        <v/>
      </c>
    </row>
    <row r="4735" customFormat="false" ht="15" hidden="false" customHeight="false" outlineLevel="0" collapsed="false">
      <c r="F4735" s="41" t="str">
        <f aca="false">IF(C4735="","",IFERROR(IF(ISNUMBER(SEARCH(Assumptions!$C$5,C4735)),Assumptions!$D$5,IF(ISNUMBER(SEARCH(Assumptions!$C$6,C4735)),Assumptions!$D$6,IF(ISNUMBER(SEARCH(Assumptions!$C$7,C4735)),Assumptions!$D$7,"Other Services"))),"Other Services"))</f>
        <v/>
      </c>
    </row>
    <row r="4736" customFormat="false" ht="15" hidden="false" customHeight="false" outlineLevel="0" collapsed="false">
      <c r="F4736" s="41" t="str">
        <f aca="false">IF(C4736="","",IFERROR(IF(ISNUMBER(SEARCH(Assumptions!$C$5,C4736)),Assumptions!$D$5,IF(ISNUMBER(SEARCH(Assumptions!$C$6,C4736)),Assumptions!$D$6,IF(ISNUMBER(SEARCH(Assumptions!$C$7,C4736)),Assumptions!$D$7,"Other Services"))),"Other Services"))</f>
        <v/>
      </c>
    </row>
    <row r="4737" customFormat="false" ht="15" hidden="false" customHeight="false" outlineLevel="0" collapsed="false">
      <c r="F4737" s="41" t="str">
        <f aca="false">IF(C4737="","",IFERROR(IF(ISNUMBER(SEARCH(Assumptions!$C$5,C4737)),Assumptions!$D$5,IF(ISNUMBER(SEARCH(Assumptions!$C$6,C4737)),Assumptions!$D$6,IF(ISNUMBER(SEARCH(Assumptions!$C$7,C4737)),Assumptions!$D$7,"Other Services"))),"Other Services"))</f>
        <v/>
      </c>
    </row>
    <row r="4738" customFormat="false" ht="15" hidden="false" customHeight="false" outlineLevel="0" collapsed="false">
      <c r="F4738" s="41" t="str">
        <f aca="false">IF(C4738="","",IFERROR(IF(ISNUMBER(SEARCH(Assumptions!$C$5,C4738)),Assumptions!$D$5,IF(ISNUMBER(SEARCH(Assumptions!$C$6,C4738)),Assumptions!$D$6,IF(ISNUMBER(SEARCH(Assumptions!$C$7,C4738)),Assumptions!$D$7,"Other Services"))),"Other Services"))</f>
        <v/>
      </c>
    </row>
    <row r="4739" customFormat="false" ht="15" hidden="false" customHeight="false" outlineLevel="0" collapsed="false">
      <c r="F4739" s="41" t="str">
        <f aca="false">IF(C4739="","",IFERROR(IF(ISNUMBER(SEARCH(Assumptions!$C$5,C4739)),Assumptions!$D$5,IF(ISNUMBER(SEARCH(Assumptions!$C$6,C4739)),Assumptions!$D$6,IF(ISNUMBER(SEARCH(Assumptions!$C$7,C4739)),Assumptions!$D$7,"Other Services"))),"Other Services"))</f>
        <v/>
      </c>
    </row>
    <row r="4740" customFormat="false" ht="15" hidden="false" customHeight="false" outlineLevel="0" collapsed="false">
      <c r="F4740" s="41" t="str">
        <f aca="false">IF(C4740="","",IFERROR(IF(ISNUMBER(SEARCH(Assumptions!$C$5,C4740)),Assumptions!$D$5,IF(ISNUMBER(SEARCH(Assumptions!$C$6,C4740)),Assumptions!$D$6,IF(ISNUMBER(SEARCH(Assumptions!$C$7,C4740)),Assumptions!$D$7,"Other Services"))),"Other Services"))</f>
        <v/>
      </c>
    </row>
    <row r="4741" customFormat="false" ht="15" hidden="false" customHeight="false" outlineLevel="0" collapsed="false">
      <c r="F4741" s="41" t="str">
        <f aca="false">IF(C4741="","",IFERROR(IF(ISNUMBER(SEARCH(Assumptions!$C$5,C4741)),Assumptions!$D$5,IF(ISNUMBER(SEARCH(Assumptions!$C$6,C4741)),Assumptions!$D$6,IF(ISNUMBER(SEARCH(Assumptions!$C$7,C4741)),Assumptions!$D$7,"Other Services"))),"Other Services"))</f>
        <v/>
      </c>
    </row>
    <row r="4742" customFormat="false" ht="15" hidden="false" customHeight="false" outlineLevel="0" collapsed="false">
      <c r="F4742" s="41" t="str">
        <f aca="false">IF(C4742="","",IFERROR(IF(ISNUMBER(SEARCH(Assumptions!$C$5,C4742)),Assumptions!$D$5,IF(ISNUMBER(SEARCH(Assumptions!$C$6,C4742)),Assumptions!$D$6,IF(ISNUMBER(SEARCH(Assumptions!$C$7,C4742)),Assumptions!$D$7,"Other Services"))),"Other Services"))</f>
        <v/>
      </c>
    </row>
    <row r="4743" customFormat="false" ht="15" hidden="false" customHeight="false" outlineLevel="0" collapsed="false">
      <c r="F4743" s="41" t="str">
        <f aca="false">IF(C4743="","",IFERROR(IF(ISNUMBER(SEARCH(Assumptions!$C$5,C4743)),Assumptions!$D$5,IF(ISNUMBER(SEARCH(Assumptions!$C$6,C4743)),Assumptions!$D$6,IF(ISNUMBER(SEARCH(Assumptions!$C$7,C4743)),Assumptions!$D$7,"Other Services"))),"Other Services"))</f>
        <v/>
      </c>
    </row>
    <row r="4744" customFormat="false" ht="15" hidden="false" customHeight="false" outlineLevel="0" collapsed="false">
      <c r="F4744" s="41" t="str">
        <f aca="false">IF(C4744="","",IFERROR(IF(ISNUMBER(SEARCH(Assumptions!$C$5,C4744)),Assumptions!$D$5,IF(ISNUMBER(SEARCH(Assumptions!$C$6,C4744)),Assumptions!$D$6,IF(ISNUMBER(SEARCH(Assumptions!$C$7,C4744)),Assumptions!$D$7,"Other Services"))),"Other Services"))</f>
        <v/>
      </c>
    </row>
    <row r="4745" customFormat="false" ht="15" hidden="false" customHeight="false" outlineLevel="0" collapsed="false">
      <c r="F4745" s="41" t="str">
        <f aca="false">IF(C4745="","",IFERROR(IF(ISNUMBER(SEARCH(Assumptions!$C$5,C4745)),Assumptions!$D$5,IF(ISNUMBER(SEARCH(Assumptions!$C$6,C4745)),Assumptions!$D$6,IF(ISNUMBER(SEARCH(Assumptions!$C$7,C4745)),Assumptions!$D$7,"Other Services"))),"Other Services"))</f>
        <v/>
      </c>
    </row>
    <row r="4746" customFormat="false" ht="15" hidden="false" customHeight="false" outlineLevel="0" collapsed="false">
      <c r="F4746" s="41" t="str">
        <f aca="false">IF(C4746="","",IFERROR(IF(ISNUMBER(SEARCH(Assumptions!$C$5,C4746)),Assumptions!$D$5,IF(ISNUMBER(SEARCH(Assumptions!$C$6,C4746)),Assumptions!$D$6,IF(ISNUMBER(SEARCH(Assumptions!$C$7,C4746)),Assumptions!$D$7,"Other Services"))),"Other Services"))</f>
        <v/>
      </c>
    </row>
    <row r="4747" customFormat="false" ht="15" hidden="false" customHeight="false" outlineLevel="0" collapsed="false">
      <c r="F4747" s="41" t="str">
        <f aca="false">IF(C4747="","",IFERROR(IF(ISNUMBER(SEARCH(Assumptions!$C$5,C4747)),Assumptions!$D$5,IF(ISNUMBER(SEARCH(Assumptions!$C$6,C4747)),Assumptions!$D$6,IF(ISNUMBER(SEARCH(Assumptions!$C$7,C4747)),Assumptions!$D$7,"Other Services"))),"Other Services"))</f>
        <v/>
      </c>
    </row>
    <row r="4748" customFormat="false" ht="15" hidden="false" customHeight="false" outlineLevel="0" collapsed="false">
      <c r="F4748" s="41" t="str">
        <f aca="false">IF(C4748="","",IFERROR(IF(ISNUMBER(SEARCH(Assumptions!$C$5,C4748)),Assumptions!$D$5,IF(ISNUMBER(SEARCH(Assumptions!$C$6,C4748)),Assumptions!$D$6,IF(ISNUMBER(SEARCH(Assumptions!$C$7,C4748)),Assumptions!$D$7,"Other Services"))),"Other Services"))</f>
        <v/>
      </c>
    </row>
    <row r="4749" customFormat="false" ht="15" hidden="false" customHeight="false" outlineLevel="0" collapsed="false">
      <c r="F4749" s="41" t="str">
        <f aca="false">IF(C4749="","",IFERROR(IF(ISNUMBER(SEARCH(Assumptions!$C$5,C4749)),Assumptions!$D$5,IF(ISNUMBER(SEARCH(Assumptions!$C$6,C4749)),Assumptions!$D$6,IF(ISNUMBER(SEARCH(Assumptions!$C$7,C4749)),Assumptions!$D$7,"Other Services"))),"Other Services"))</f>
        <v/>
      </c>
    </row>
    <row r="4750" customFormat="false" ht="15" hidden="false" customHeight="false" outlineLevel="0" collapsed="false">
      <c r="F4750" s="41" t="str">
        <f aca="false">IF(C4750="","",IFERROR(IF(ISNUMBER(SEARCH(Assumptions!$C$5,C4750)),Assumptions!$D$5,IF(ISNUMBER(SEARCH(Assumptions!$C$6,C4750)),Assumptions!$D$6,IF(ISNUMBER(SEARCH(Assumptions!$C$7,C4750)),Assumptions!$D$7,"Other Services"))),"Other Services"))</f>
        <v/>
      </c>
    </row>
    <row r="4751" customFormat="false" ht="15" hidden="false" customHeight="false" outlineLevel="0" collapsed="false">
      <c r="F4751" s="41" t="str">
        <f aca="false">IF(C4751="","",IFERROR(IF(ISNUMBER(SEARCH(Assumptions!$C$5,C4751)),Assumptions!$D$5,IF(ISNUMBER(SEARCH(Assumptions!$C$6,C4751)),Assumptions!$D$6,IF(ISNUMBER(SEARCH(Assumptions!$C$7,C4751)),Assumptions!$D$7,"Other Services"))),"Other Services"))</f>
        <v/>
      </c>
    </row>
    <row r="4752" customFormat="false" ht="15" hidden="false" customHeight="false" outlineLevel="0" collapsed="false">
      <c r="F4752" s="41" t="str">
        <f aca="false">IF(C4752="","",IFERROR(IF(ISNUMBER(SEARCH(Assumptions!$C$5,C4752)),Assumptions!$D$5,IF(ISNUMBER(SEARCH(Assumptions!$C$6,C4752)),Assumptions!$D$6,IF(ISNUMBER(SEARCH(Assumptions!$C$7,C4752)),Assumptions!$D$7,"Other Services"))),"Other Services"))</f>
        <v/>
      </c>
    </row>
    <row r="4753" customFormat="false" ht="15" hidden="false" customHeight="false" outlineLevel="0" collapsed="false">
      <c r="F4753" s="41" t="str">
        <f aca="false">IF(C4753="","",IFERROR(IF(ISNUMBER(SEARCH(Assumptions!$C$5,C4753)),Assumptions!$D$5,IF(ISNUMBER(SEARCH(Assumptions!$C$6,C4753)),Assumptions!$D$6,IF(ISNUMBER(SEARCH(Assumptions!$C$7,C4753)),Assumptions!$D$7,"Other Services"))),"Other Services"))</f>
        <v/>
      </c>
    </row>
    <row r="4754" customFormat="false" ht="15" hidden="false" customHeight="false" outlineLevel="0" collapsed="false">
      <c r="F4754" s="41" t="str">
        <f aca="false">IF(C4754="","",IFERROR(IF(ISNUMBER(SEARCH(Assumptions!$C$5,C4754)),Assumptions!$D$5,IF(ISNUMBER(SEARCH(Assumptions!$C$6,C4754)),Assumptions!$D$6,IF(ISNUMBER(SEARCH(Assumptions!$C$7,C4754)),Assumptions!$D$7,"Other Services"))),"Other Services"))</f>
        <v/>
      </c>
    </row>
    <row r="4755" customFormat="false" ht="15" hidden="false" customHeight="false" outlineLevel="0" collapsed="false">
      <c r="F4755" s="41" t="str">
        <f aca="false">IF(C4755="","",IFERROR(IF(ISNUMBER(SEARCH(Assumptions!$C$5,C4755)),Assumptions!$D$5,IF(ISNUMBER(SEARCH(Assumptions!$C$6,C4755)),Assumptions!$D$6,IF(ISNUMBER(SEARCH(Assumptions!$C$7,C4755)),Assumptions!$D$7,"Other Services"))),"Other Services"))</f>
        <v/>
      </c>
    </row>
    <row r="4756" customFormat="false" ht="15" hidden="false" customHeight="false" outlineLevel="0" collapsed="false">
      <c r="F4756" s="41" t="str">
        <f aca="false">IF(C4756="","",IFERROR(IF(ISNUMBER(SEARCH(Assumptions!$C$5,C4756)),Assumptions!$D$5,IF(ISNUMBER(SEARCH(Assumptions!$C$6,C4756)),Assumptions!$D$6,IF(ISNUMBER(SEARCH(Assumptions!$C$7,C4756)),Assumptions!$D$7,"Other Services"))),"Other Services"))</f>
        <v/>
      </c>
    </row>
    <row r="4757" customFormat="false" ht="15" hidden="false" customHeight="false" outlineLevel="0" collapsed="false">
      <c r="F4757" s="41" t="str">
        <f aca="false">IF(C4757="","",IFERROR(IF(ISNUMBER(SEARCH(Assumptions!$C$5,C4757)),Assumptions!$D$5,IF(ISNUMBER(SEARCH(Assumptions!$C$6,C4757)),Assumptions!$D$6,IF(ISNUMBER(SEARCH(Assumptions!$C$7,C4757)),Assumptions!$D$7,"Other Services"))),"Other Services"))</f>
        <v/>
      </c>
    </row>
    <row r="4758" customFormat="false" ht="15" hidden="false" customHeight="false" outlineLevel="0" collapsed="false">
      <c r="F4758" s="41" t="str">
        <f aca="false">IF(C4758="","",IFERROR(IF(ISNUMBER(SEARCH(Assumptions!$C$5,C4758)),Assumptions!$D$5,IF(ISNUMBER(SEARCH(Assumptions!$C$6,C4758)),Assumptions!$D$6,IF(ISNUMBER(SEARCH(Assumptions!$C$7,C4758)),Assumptions!$D$7,"Other Services"))),"Other Services"))</f>
        <v/>
      </c>
    </row>
    <row r="4759" customFormat="false" ht="15" hidden="false" customHeight="false" outlineLevel="0" collapsed="false">
      <c r="F4759" s="41" t="str">
        <f aca="false">IF(C4759="","",IFERROR(IF(ISNUMBER(SEARCH(Assumptions!$C$5,C4759)),Assumptions!$D$5,IF(ISNUMBER(SEARCH(Assumptions!$C$6,C4759)),Assumptions!$D$6,IF(ISNUMBER(SEARCH(Assumptions!$C$7,C4759)),Assumptions!$D$7,"Other Services"))),"Other Services"))</f>
        <v/>
      </c>
    </row>
    <row r="4760" customFormat="false" ht="15" hidden="false" customHeight="false" outlineLevel="0" collapsed="false">
      <c r="F4760" s="41" t="str">
        <f aca="false">IF(C4760="","",IFERROR(IF(ISNUMBER(SEARCH(Assumptions!$C$5,C4760)),Assumptions!$D$5,IF(ISNUMBER(SEARCH(Assumptions!$C$6,C4760)),Assumptions!$D$6,IF(ISNUMBER(SEARCH(Assumptions!$C$7,C4760)),Assumptions!$D$7,"Other Services"))),"Other Services"))</f>
        <v/>
      </c>
    </row>
    <row r="4761" customFormat="false" ht="15" hidden="false" customHeight="false" outlineLevel="0" collapsed="false">
      <c r="F4761" s="41" t="str">
        <f aca="false">IF(C4761="","",IFERROR(IF(ISNUMBER(SEARCH(Assumptions!$C$5,C4761)),Assumptions!$D$5,IF(ISNUMBER(SEARCH(Assumptions!$C$6,C4761)),Assumptions!$D$6,IF(ISNUMBER(SEARCH(Assumptions!$C$7,C4761)),Assumptions!$D$7,"Other Services"))),"Other Services"))</f>
        <v/>
      </c>
    </row>
    <row r="4762" customFormat="false" ht="15" hidden="false" customHeight="false" outlineLevel="0" collapsed="false">
      <c r="F4762" s="41" t="str">
        <f aca="false">IF(C4762="","",IFERROR(IF(ISNUMBER(SEARCH(Assumptions!$C$5,C4762)),Assumptions!$D$5,IF(ISNUMBER(SEARCH(Assumptions!$C$6,C4762)),Assumptions!$D$6,IF(ISNUMBER(SEARCH(Assumptions!$C$7,C4762)),Assumptions!$D$7,"Other Services"))),"Other Services"))</f>
        <v/>
      </c>
    </row>
    <row r="4763" customFormat="false" ht="15" hidden="false" customHeight="false" outlineLevel="0" collapsed="false">
      <c r="F4763" s="41" t="str">
        <f aca="false">IF(C4763="","",IFERROR(IF(ISNUMBER(SEARCH(Assumptions!$C$5,C4763)),Assumptions!$D$5,IF(ISNUMBER(SEARCH(Assumptions!$C$6,C4763)),Assumptions!$D$6,IF(ISNUMBER(SEARCH(Assumptions!$C$7,C4763)),Assumptions!$D$7,"Other Services"))),"Other Services"))</f>
        <v/>
      </c>
    </row>
    <row r="4764" customFormat="false" ht="15" hidden="false" customHeight="false" outlineLevel="0" collapsed="false">
      <c r="F4764" s="41" t="str">
        <f aca="false">IF(C4764="","",IFERROR(IF(ISNUMBER(SEARCH(Assumptions!$C$5,C4764)),Assumptions!$D$5,IF(ISNUMBER(SEARCH(Assumptions!$C$6,C4764)),Assumptions!$D$6,IF(ISNUMBER(SEARCH(Assumptions!$C$7,C4764)),Assumptions!$D$7,"Other Services"))),"Other Services"))</f>
        <v/>
      </c>
    </row>
    <row r="4765" customFormat="false" ht="15" hidden="false" customHeight="false" outlineLevel="0" collapsed="false">
      <c r="F4765" s="41" t="str">
        <f aca="false">IF(C4765="","",IFERROR(IF(ISNUMBER(SEARCH(Assumptions!$C$5,C4765)),Assumptions!$D$5,IF(ISNUMBER(SEARCH(Assumptions!$C$6,C4765)),Assumptions!$D$6,IF(ISNUMBER(SEARCH(Assumptions!$C$7,C4765)),Assumptions!$D$7,"Other Services"))),"Other Services"))</f>
        <v/>
      </c>
    </row>
    <row r="4766" customFormat="false" ht="15" hidden="false" customHeight="false" outlineLevel="0" collapsed="false">
      <c r="F4766" s="41" t="str">
        <f aca="false">IF(C4766="","",IFERROR(IF(ISNUMBER(SEARCH(Assumptions!$C$5,C4766)),Assumptions!$D$5,IF(ISNUMBER(SEARCH(Assumptions!$C$6,C4766)),Assumptions!$D$6,IF(ISNUMBER(SEARCH(Assumptions!$C$7,C4766)),Assumptions!$D$7,"Other Services"))),"Other Services"))</f>
        <v/>
      </c>
    </row>
    <row r="4767" customFormat="false" ht="15" hidden="false" customHeight="false" outlineLevel="0" collapsed="false">
      <c r="F4767" s="41" t="str">
        <f aca="false">IF(C4767="","",IFERROR(IF(ISNUMBER(SEARCH(Assumptions!$C$5,C4767)),Assumptions!$D$5,IF(ISNUMBER(SEARCH(Assumptions!$C$6,C4767)),Assumptions!$D$6,IF(ISNUMBER(SEARCH(Assumptions!$C$7,C4767)),Assumptions!$D$7,"Other Services"))),"Other Services"))</f>
        <v/>
      </c>
    </row>
    <row r="4768" customFormat="false" ht="15" hidden="false" customHeight="false" outlineLevel="0" collapsed="false">
      <c r="F4768" s="41" t="str">
        <f aca="false">IF(C4768="","",IFERROR(IF(ISNUMBER(SEARCH(Assumptions!$C$5,C4768)),Assumptions!$D$5,IF(ISNUMBER(SEARCH(Assumptions!$C$6,C4768)),Assumptions!$D$6,IF(ISNUMBER(SEARCH(Assumptions!$C$7,C4768)),Assumptions!$D$7,"Other Services"))),"Other Services"))</f>
        <v/>
      </c>
    </row>
    <row r="4769" customFormat="false" ht="15" hidden="false" customHeight="false" outlineLevel="0" collapsed="false">
      <c r="F4769" s="41" t="str">
        <f aca="false">IF(C4769="","",IFERROR(IF(ISNUMBER(SEARCH(Assumptions!$C$5,C4769)),Assumptions!$D$5,IF(ISNUMBER(SEARCH(Assumptions!$C$6,C4769)),Assumptions!$D$6,IF(ISNUMBER(SEARCH(Assumptions!$C$7,C4769)),Assumptions!$D$7,"Other Services"))),"Other Services"))</f>
        <v/>
      </c>
    </row>
    <row r="4770" customFormat="false" ht="15" hidden="false" customHeight="false" outlineLevel="0" collapsed="false">
      <c r="F4770" s="41" t="str">
        <f aca="false">IF(C4770="","",IFERROR(IF(ISNUMBER(SEARCH(Assumptions!$C$5,C4770)),Assumptions!$D$5,IF(ISNUMBER(SEARCH(Assumptions!$C$6,C4770)),Assumptions!$D$6,IF(ISNUMBER(SEARCH(Assumptions!$C$7,C4770)),Assumptions!$D$7,"Other Services"))),"Other Services"))</f>
        <v/>
      </c>
    </row>
    <row r="4771" customFormat="false" ht="15" hidden="false" customHeight="false" outlineLevel="0" collapsed="false">
      <c r="F4771" s="41" t="str">
        <f aca="false">IF(C4771="","",IFERROR(IF(ISNUMBER(SEARCH(Assumptions!$C$5,C4771)),Assumptions!$D$5,IF(ISNUMBER(SEARCH(Assumptions!$C$6,C4771)),Assumptions!$D$6,IF(ISNUMBER(SEARCH(Assumptions!$C$7,C4771)),Assumptions!$D$7,"Other Services"))),"Other Services"))</f>
        <v/>
      </c>
    </row>
    <row r="4772" customFormat="false" ht="15" hidden="false" customHeight="false" outlineLevel="0" collapsed="false">
      <c r="F4772" s="41" t="str">
        <f aca="false">IF(C4772="","",IFERROR(IF(ISNUMBER(SEARCH(Assumptions!$C$5,C4772)),Assumptions!$D$5,IF(ISNUMBER(SEARCH(Assumptions!$C$6,C4772)),Assumptions!$D$6,IF(ISNUMBER(SEARCH(Assumptions!$C$7,C4772)),Assumptions!$D$7,"Other Services"))),"Other Services"))</f>
        <v/>
      </c>
    </row>
    <row r="4773" customFormat="false" ht="15" hidden="false" customHeight="false" outlineLevel="0" collapsed="false">
      <c r="F4773" s="41" t="str">
        <f aca="false">IF(C4773="","",IFERROR(IF(ISNUMBER(SEARCH(Assumptions!$C$5,C4773)),Assumptions!$D$5,IF(ISNUMBER(SEARCH(Assumptions!$C$6,C4773)),Assumptions!$D$6,IF(ISNUMBER(SEARCH(Assumptions!$C$7,C4773)),Assumptions!$D$7,"Other Services"))),"Other Services"))</f>
        <v/>
      </c>
    </row>
    <row r="4774" customFormat="false" ht="15" hidden="false" customHeight="false" outlineLevel="0" collapsed="false">
      <c r="F4774" s="41" t="str">
        <f aca="false">IF(C4774="","",IFERROR(IF(ISNUMBER(SEARCH(Assumptions!$C$5,C4774)),Assumptions!$D$5,IF(ISNUMBER(SEARCH(Assumptions!$C$6,C4774)),Assumptions!$D$6,IF(ISNUMBER(SEARCH(Assumptions!$C$7,C4774)),Assumptions!$D$7,"Other Services"))),"Other Services"))</f>
        <v/>
      </c>
    </row>
    <row r="4775" customFormat="false" ht="15" hidden="false" customHeight="false" outlineLevel="0" collapsed="false">
      <c r="F4775" s="41" t="str">
        <f aca="false">IF(C4775="","",IFERROR(IF(ISNUMBER(SEARCH(Assumptions!$C$5,C4775)),Assumptions!$D$5,IF(ISNUMBER(SEARCH(Assumptions!$C$6,C4775)),Assumptions!$D$6,IF(ISNUMBER(SEARCH(Assumptions!$C$7,C4775)),Assumptions!$D$7,"Other Services"))),"Other Services"))</f>
        <v/>
      </c>
    </row>
    <row r="4776" customFormat="false" ht="15" hidden="false" customHeight="false" outlineLevel="0" collapsed="false">
      <c r="F4776" s="41" t="str">
        <f aca="false">IF(C4776="","",IFERROR(IF(ISNUMBER(SEARCH(Assumptions!$C$5,C4776)),Assumptions!$D$5,IF(ISNUMBER(SEARCH(Assumptions!$C$6,C4776)),Assumptions!$D$6,IF(ISNUMBER(SEARCH(Assumptions!$C$7,C4776)),Assumptions!$D$7,"Other Services"))),"Other Services"))</f>
        <v/>
      </c>
    </row>
    <row r="4777" customFormat="false" ht="15" hidden="false" customHeight="false" outlineLevel="0" collapsed="false">
      <c r="F4777" s="41" t="str">
        <f aca="false">IF(C4777="","",IFERROR(IF(ISNUMBER(SEARCH(Assumptions!$C$5,C4777)),Assumptions!$D$5,IF(ISNUMBER(SEARCH(Assumptions!$C$6,C4777)),Assumptions!$D$6,IF(ISNUMBER(SEARCH(Assumptions!$C$7,C4777)),Assumptions!$D$7,"Other Services"))),"Other Services"))</f>
        <v/>
      </c>
    </row>
    <row r="4778" customFormat="false" ht="15" hidden="false" customHeight="false" outlineLevel="0" collapsed="false">
      <c r="F4778" s="41" t="str">
        <f aca="false">IF(C4778="","",IFERROR(IF(ISNUMBER(SEARCH(Assumptions!$C$5,C4778)),Assumptions!$D$5,IF(ISNUMBER(SEARCH(Assumptions!$C$6,C4778)),Assumptions!$D$6,IF(ISNUMBER(SEARCH(Assumptions!$C$7,C4778)),Assumptions!$D$7,"Other Services"))),"Other Services"))</f>
        <v/>
      </c>
    </row>
    <row r="4779" customFormat="false" ht="15" hidden="false" customHeight="false" outlineLevel="0" collapsed="false">
      <c r="F4779" s="41" t="str">
        <f aca="false">IF(C4779="","",IFERROR(IF(ISNUMBER(SEARCH(Assumptions!$C$5,C4779)),Assumptions!$D$5,IF(ISNUMBER(SEARCH(Assumptions!$C$6,C4779)),Assumptions!$D$6,IF(ISNUMBER(SEARCH(Assumptions!$C$7,C4779)),Assumptions!$D$7,"Other Services"))),"Other Services"))</f>
        <v/>
      </c>
    </row>
    <row r="4780" customFormat="false" ht="15" hidden="false" customHeight="false" outlineLevel="0" collapsed="false">
      <c r="F4780" s="41" t="str">
        <f aca="false">IF(C4780="","",IFERROR(IF(ISNUMBER(SEARCH(Assumptions!$C$5,C4780)),Assumptions!$D$5,IF(ISNUMBER(SEARCH(Assumptions!$C$6,C4780)),Assumptions!$D$6,IF(ISNUMBER(SEARCH(Assumptions!$C$7,C4780)),Assumptions!$D$7,"Other Services"))),"Other Services"))</f>
        <v/>
      </c>
    </row>
    <row r="4781" customFormat="false" ht="15" hidden="false" customHeight="false" outlineLevel="0" collapsed="false">
      <c r="F4781" s="41" t="str">
        <f aca="false">IF(C4781="","",IFERROR(IF(ISNUMBER(SEARCH(Assumptions!$C$5,C4781)),Assumptions!$D$5,IF(ISNUMBER(SEARCH(Assumptions!$C$6,C4781)),Assumptions!$D$6,IF(ISNUMBER(SEARCH(Assumptions!$C$7,C4781)),Assumptions!$D$7,"Other Services"))),"Other Services"))</f>
        <v/>
      </c>
    </row>
    <row r="4782" customFormat="false" ht="15" hidden="false" customHeight="false" outlineLevel="0" collapsed="false">
      <c r="F4782" s="41" t="str">
        <f aca="false">IF(C4782="","",IFERROR(IF(ISNUMBER(SEARCH(Assumptions!$C$5,C4782)),Assumptions!$D$5,IF(ISNUMBER(SEARCH(Assumptions!$C$6,C4782)),Assumptions!$D$6,IF(ISNUMBER(SEARCH(Assumptions!$C$7,C4782)),Assumptions!$D$7,"Other Services"))),"Other Services"))</f>
        <v/>
      </c>
    </row>
    <row r="4783" customFormat="false" ht="15" hidden="false" customHeight="false" outlineLevel="0" collapsed="false">
      <c r="F4783" s="41" t="str">
        <f aca="false">IF(C4783="","",IFERROR(IF(ISNUMBER(SEARCH(Assumptions!$C$5,C4783)),Assumptions!$D$5,IF(ISNUMBER(SEARCH(Assumptions!$C$6,C4783)),Assumptions!$D$6,IF(ISNUMBER(SEARCH(Assumptions!$C$7,C4783)),Assumptions!$D$7,"Other Services"))),"Other Services"))</f>
        <v/>
      </c>
    </row>
    <row r="4784" customFormat="false" ht="15" hidden="false" customHeight="false" outlineLevel="0" collapsed="false">
      <c r="F4784" s="41" t="str">
        <f aca="false">IF(C4784="","",IFERROR(IF(ISNUMBER(SEARCH(Assumptions!$C$5,C4784)),Assumptions!$D$5,IF(ISNUMBER(SEARCH(Assumptions!$C$6,C4784)),Assumptions!$D$6,IF(ISNUMBER(SEARCH(Assumptions!$C$7,C4784)),Assumptions!$D$7,"Other Services"))),"Other Services"))</f>
        <v/>
      </c>
    </row>
    <row r="4785" customFormat="false" ht="15" hidden="false" customHeight="false" outlineLevel="0" collapsed="false">
      <c r="F4785" s="41" t="str">
        <f aca="false">IF(C4785="","",IFERROR(IF(ISNUMBER(SEARCH(Assumptions!$C$5,C4785)),Assumptions!$D$5,IF(ISNUMBER(SEARCH(Assumptions!$C$6,C4785)),Assumptions!$D$6,IF(ISNUMBER(SEARCH(Assumptions!$C$7,C4785)),Assumptions!$D$7,"Other Services"))),"Other Services"))</f>
        <v/>
      </c>
    </row>
    <row r="4786" customFormat="false" ht="15" hidden="false" customHeight="false" outlineLevel="0" collapsed="false">
      <c r="F4786" s="41" t="str">
        <f aca="false">IF(C4786="","",IFERROR(IF(ISNUMBER(SEARCH(Assumptions!$C$5,C4786)),Assumptions!$D$5,IF(ISNUMBER(SEARCH(Assumptions!$C$6,C4786)),Assumptions!$D$6,IF(ISNUMBER(SEARCH(Assumptions!$C$7,C4786)),Assumptions!$D$7,"Other Services"))),"Other Services"))</f>
        <v/>
      </c>
    </row>
    <row r="4787" customFormat="false" ht="15" hidden="false" customHeight="false" outlineLevel="0" collapsed="false">
      <c r="F4787" s="41" t="str">
        <f aca="false">IF(C4787="","",IFERROR(IF(ISNUMBER(SEARCH(Assumptions!$C$5,C4787)),Assumptions!$D$5,IF(ISNUMBER(SEARCH(Assumptions!$C$6,C4787)),Assumptions!$D$6,IF(ISNUMBER(SEARCH(Assumptions!$C$7,C4787)),Assumptions!$D$7,"Other Services"))),"Other Services"))</f>
        <v/>
      </c>
    </row>
    <row r="4788" customFormat="false" ht="15" hidden="false" customHeight="false" outlineLevel="0" collapsed="false">
      <c r="F4788" s="41" t="str">
        <f aca="false">IF(C4788="","",IFERROR(IF(ISNUMBER(SEARCH(Assumptions!$C$5,C4788)),Assumptions!$D$5,IF(ISNUMBER(SEARCH(Assumptions!$C$6,C4788)),Assumptions!$D$6,IF(ISNUMBER(SEARCH(Assumptions!$C$7,C4788)),Assumptions!$D$7,"Other Services"))),"Other Services"))</f>
        <v/>
      </c>
    </row>
    <row r="4789" customFormat="false" ht="15" hidden="false" customHeight="false" outlineLevel="0" collapsed="false">
      <c r="F4789" s="41" t="str">
        <f aca="false">IF(C4789="","",IFERROR(IF(ISNUMBER(SEARCH(Assumptions!$C$5,C4789)),Assumptions!$D$5,IF(ISNUMBER(SEARCH(Assumptions!$C$6,C4789)),Assumptions!$D$6,IF(ISNUMBER(SEARCH(Assumptions!$C$7,C4789)),Assumptions!$D$7,"Other Services"))),"Other Services"))</f>
        <v/>
      </c>
    </row>
    <row r="4790" customFormat="false" ht="15" hidden="false" customHeight="false" outlineLevel="0" collapsed="false">
      <c r="F4790" s="41" t="str">
        <f aca="false">IF(C4790="","",IFERROR(IF(ISNUMBER(SEARCH(Assumptions!$C$5,C4790)),Assumptions!$D$5,IF(ISNUMBER(SEARCH(Assumptions!$C$6,C4790)),Assumptions!$D$6,IF(ISNUMBER(SEARCH(Assumptions!$C$7,C4790)),Assumptions!$D$7,"Other Services"))),"Other Services"))</f>
        <v/>
      </c>
    </row>
    <row r="4791" customFormat="false" ht="15" hidden="false" customHeight="false" outlineLevel="0" collapsed="false">
      <c r="F4791" s="41" t="str">
        <f aca="false">IF(C4791="","",IFERROR(IF(ISNUMBER(SEARCH(Assumptions!$C$5,C4791)),Assumptions!$D$5,IF(ISNUMBER(SEARCH(Assumptions!$C$6,C4791)),Assumptions!$D$6,IF(ISNUMBER(SEARCH(Assumptions!$C$7,C4791)),Assumptions!$D$7,"Other Services"))),"Other Services"))</f>
        <v/>
      </c>
    </row>
    <row r="4792" customFormat="false" ht="15" hidden="false" customHeight="false" outlineLevel="0" collapsed="false">
      <c r="F4792" s="41" t="str">
        <f aca="false">IF(C4792="","",IFERROR(IF(ISNUMBER(SEARCH(Assumptions!$C$5,C4792)),Assumptions!$D$5,IF(ISNUMBER(SEARCH(Assumptions!$C$6,C4792)),Assumptions!$D$6,IF(ISNUMBER(SEARCH(Assumptions!$C$7,C4792)),Assumptions!$D$7,"Other Services"))),"Other Services"))</f>
        <v/>
      </c>
    </row>
    <row r="4793" customFormat="false" ht="15" hidden="false" customHeight="false" outlineLevel="0" collapsed="false">
      <c r="F4793" s="41" t="str">
        <f aca="false">IF(C4793="","",IFERROR(IF(ISNUMBER(SEARCH(Assumptions!$C$5,C4793)),Assumptions!$D$5,IF(ISNUMBER(SEARCH(Assumptions!$C$6,C4793)),Assumptions!$D$6,IF(ISNUMBER(SEARCH(Assumptions!$C$7,C4793)),Assumptions!$D$7,"Other Services"))),"Other Services"))</f>
        <v/>
      </c>
    </row>
    <row r="4794" customFormat="false" ht="15" hidden="false" customHeight="false" outlineLevel="0" collapsed="false">
      <c r="F4794" s="41" t="str">
        <f aca="false">IF(C4794="","",IFERROR(IF(ISNUMBER(SEARCH(Assumptions!$C$5,C4794)),Assumptions!$D$5,IF(ISNUMBER(SEARCH(Assumptions!$C$6,C4794)),Assumptions!$D$6,IF(ISNUMBER(SEARCH(Assumptions!$C$7,C4794)),Assumptions!$D$7,"Other Services"))),"Other Services"))</f>
        <v/>
      </c>
    </row>
    <row r="4795" customFormat="false" ht="15" hidden="false" customHeight="false" outlineLevel="0" collapsed="false">
      <c r="F4795" s="41" t="str">
        <f aca="false">IF(C4795="","",IFERROR(IF(ISNUMBER(SEARCH(Assumptions!$C$5,C4795)),Assumptions!$D$5,IF(ISNUMBER(SEARCH(Assumptions!$C$6,C4795)),Assumptions!$D$6,IF(ISNUMBER(SEARCH(Assumptions!$C$7,C4795)),Assumptions!$D$7,"Other Services"))),"Other Services"))</f>
        <v/>
      </c>
    </row>
    <row r="4796" customFormat="false" ht="15" hidden="false" customHeight="false" outlineLevel="0" collapsed="false">
      <c r="F4796" s="41" t="str">
        <f aca="false">IF(C4796="","",IFERROR(IF(ISNUMBER(SEARCH(Assumptions!$C$5,C4796)),Assumptions!$D$5,IF(ISNUMBER(SEARCH(Assumptions!$C$6,C4796)),Assumptions!$D$6,IF(ISNUMBER(SEARCH(Assumptions!$C$7,C4796)),Assumptions!$D$7,"Other Services"))),"Other Services"))</f>
        <v/>
      </c>
    </row>
    <row r="4797" customFormat="false" ht="15" hidden="false" customHeight="false" outlineLevel="0" collapsed="false">
      <c r="F4797" s="41" t="str">
        <f aca="false">IF(C4797="","",IFERROR(IF(ISNUMBER(SEARCH(Assumptions!$C$5,C4797)),Assumptions!$D$5,IF(ISNUMBER(SEARCH(Assumptions!$C$6,C4797)),Assumptions!$D$6,IF(ISNUMBER(SEARCH(Assumptions!$C$7,C4797)),Assumptions!$D$7,"Other Services"))),"Other Services"))</f>
        <v/>
      </c>
    </row>
    <row r="4798" customFormat="false" ht="15" hidden="false" customHeight="false" outlineLevel="0" collapsed="false">
      <c r="F4798" s="41" t="str">
        <f aca="false">IF(C4798="","",IFERROR(IF(ISNUMBER(SEARCH(Assumptions!$C$5,C4798)),Assumptions!$D$5,IF(ISNUMBER(SEARCH(Assumptions!$C$6,C4798)),Assumptions!$D$6,IF(ISNUMBER(SEARCH(Assumptions!$C$7,C4798)),Assumptions!$D$7,"Other Services"))),"Other Services"))</f>
        <v/>
      </c>
    </row>
    <row r="4799" customFormat="false" ht="15" hidden="false" customHeight="false" outlineLevel="0" collapsed="false">
      <c r="F4799" s="41" t="str">
        <f aca="false">IF(C4799="","",IFERROR(IF(ISNUMBER(SEARCH(Assumptions!$C$5,C4799)),Assumptions!$D$5,IF(ISNUMBER(SEARCH(Assumptions!$C$6,C4799)),Assumptions!$D$6,IF(ISNUMBER(SEARCH(Assumptions!$C$7,C4799)),Assumptions!$D$7,"Other Services"))),"Other Services"))</f>
        <v/>
      </c>
    </row>
    <row r="4800" customFormat="false" ht="15" hidden="false" customHeight="false" outlineLevel="0" collapsed="false">
      <c r="F4800" s="41" t="str">
        <f aca="false">IF(C4800="","",IFERROR(IF(ISNUMBER(SEARCH(Assumptions!$C$5,C4800)),Assumptions!$D$5,IF(ISNUMBER(SEARCH(Assumptions!$C$6,C4800)),Assumptions!$D$6,IF(ISNUMBER(SEARCH(Assumptions!$C$7,C4800)),Assumptions!$D$7,"Other Services"))),"Other Services"))</f>
        <v/>
      </c>
    </row>
    <row r="4801" customFormat="false" ht="15" hidden="false" customHeight="false" outlineLevel="0" collapsed="false">
      <c r="F4801" s="41" t="str">
        <f aca="false">IF(C4801="","",IFERROR(IF(ISNUMBER(SEARCH(Assumptions!$C$5,C4801)),Assumptions!$D$5,IF(ISNUMBER(SEARCH(Assumptions!$C$6,C4801)),Assumptions!$D$6,IF(ISNUMBER(SEARCH(Assumptions!$C$7,C4801)),Assumptions!$D$7,"Other Services"))),"Other Services"))</f>
        <v/>
      </c>
    </row>
    <row r="4802" customFormat="false" ht="15" hidden="false" customHeight="false" outlineLevel="0" collapsed="false">
      <c r="F4802" s="41" t="str">
        <f aca="false">IF(C4802="","",IFERROR(IF(ISNUMBER(SEARCH(Assumptions!$C$5,C4802)),Assumptions!$D$5,IF(ISNUMBER(SEARCH(Assumptions!$C$6,C4802)),Assumptions!$D$6,IF(ISNUMBER(SEARCH(Assumptions!$C$7,C4802)),Assumptions!$D$7,"Other Services"))),"Other Services"))</f>
        <v/>
      </c>
    </row>
    <row r="4803" customFormat="false" ht="15" hidden="false" customHeight="false" outlineLevel="0" collapsed="false">
      <c r="F4803" s="41" t="str">
        <f aca="false">IF(C4803="","",IFERROR(IF(ISNUMBER(SEARCH(Assumptions!$C$5,C4803)),Assumptions!$D$5,IF(ISNUMBER(SEARCH(Assumptions!$C$6,C4803)),Assumptions!$D$6,IF(ISNUMBER(SEARCH(Assumptions!$C$7,C4803)),Assumptions!$D$7,"Other Services"))),"Other Services"))</f>
        <v/>
      </c>
    </row>
    <row r="4804" customFormat="false" ht="15" hidden="false" customHeight="false" outlineLevel="0" collapsed="false">
      <c r="F4804" s="41" t="str">
        <f aca="false">IF(C4804="","",IFERROR(IF(ISNUMBER(SEARCH(Assumptions!$C$5,C4804)),Assumptions!$D$5,IF(ISNUMBER(SEARCH(Assumptions!$C$6,C4804)),Assumptions!$D$6,IF(ISNUMBER(SEARCH(Assumptions!$C$7,C4804)),Assumptions!$D$7,"Other Services"))),"Other Services"))</f>
        <v/>
      </c>
    </row>
    <row r="4805" customFormat="false" ht="15" hidden="false" customHeight="false" outlineLevel="0" collapsed="false">
      <c r="F4805" s="41" t="str">
        <f aca="false">IF(C4805="","",IFERROR(IF(ISNUMBER(SEARCH(Assumptions!$C$5,C4805)),Assumptions!$D$5,IF(ISNUMBER(SEARCH(Assumptions!$C$6,C4805)),Assumptions!$D$6,IF(ISNUMBER(SEARCH(Assumptions!$C$7,C4805)),Assumptions!$D$7,"Other Services"))),"Other Services"))</f>
        <v/>
      </c>
    </row>
    <row r="4806" customFormat="false" ht="15" hidden="false" customHeight="false" outlineLevel="0" collapsed="false">
      <c r="F4806" s="41" t="str">
        <f aca="false">IF(C4806="","",IFERROR(IF(ISNUMBER(SEARCH(Assumptions!$C$5,C4806)),Assumptions!$D$5,IF(ISNUMBER(SEARCH(Assumptions!$C$6,C4806)),Assumptions!$D$6,IF(ISNUMBER(SEARCH(Assumptions!$C$7,C4806)),Assumptions!$D$7,"Other Services"))),"Other Services"))</f>
        <v/>
      </c>
    </row>
    <row r="4807" customFormat="false" ht="15" hidden="false" customHeight="false" outlineLevel="0" collapsed="false">
      <c r="F4807" s="41" t="str">
        <f aca="false">IF(C4807="","",IFERROR(IF(ISNUMBER(SEARCH(Assumptions!$C$5,C4807)),Assumptions!$D$5,IF(ISNUMBER(SEARCH(Assumptions!$C$6,C4807)),Assumptions!$D$6,IF(ISNUMBER(SEARCH(Assumptions!$C$7,C4807)),Assumptions!$D$7,"Other Services"))),"Other Services"))</f>
        <v/>
      </c>
    </row>
    <row r="4808" customFormat="false" ht="15" hidden="false" customHeight="false" outlineLevel="0" collapsed="false">
      <c r="F4808" s="41" t="str">
        <f aca="false">IF(C4808="","",IFERROR(IF(ISNUMBER(SEARCH(Assumptions!$C$5,C4808)),Assumptions!$D$5,IF(ISNUMBER(SEARCH(Assumptions!$C$6,C4808)),Assumptions!$D$6,IF(ISNUMBER(SEARCH(Assumptions!$C$7,C4808)),Assumptions!$D$7,"Other Services"))),"Other Services"))</f>
        <v/>
      </c>
    </row>
    <row r="4809" customFormat="false" ht="15" hidden="false" customHeight="false" outlineLevel="0" collapsed="false">
      <c r="F4809" s="41" t="str">
        <f aca="false">IF(C4809="","",IFERROR(IF(ISNUMBER(SEARCH(Assumptions!$C$5,C4809)),Assumptions!$D$5,IF(ISNUMBER(SEARCH(Assumptions!$C$6,C4809)),Assumptions!$D$6,IF(ISNUMBER(SEARCH(Assumptions!$C$7,C4809)),Assumptions!$D$7,"Other Services"))),"Other Services"))</f>
        <v/>
      </c>
    </row>
    <row r="4810" customFormat="false" ht="15" hidden="false" customHeight="false" outlineLevel="0" collapsed="false">
      <c r="F4810" s="41" t="str">
        <f aca="false">IF(C4810="","",IFERROR(IF(ISNUMBER(SEARCH(Assumptions!$C$5,C4810)),Assumptions!$D$5,IF(ISNUMBER(SEARCH(Assumptions!$C$6,C4810)),Assumptions!$D$6,IF(ISNUMBER(SEARCH(Assumptions!$C$7,C4810)),Assumptions!$D$7,"Other Services"))),"Other Services"))</f>
        <v/>
      </c>
    </row>
    <row r="4811" customFormat="false" ht="15" hidden="false" customHeight="false" outlineLevel="0" collapsed="false">
      <c r="F4811" s="41" t="str">
        <f aca="false">IF(C4811="","",IFERROR(IF(ISNUMBER(SEARCH(Assumptions!$C$5,C4811)),Assumptions!$D$5,IF(ISNUMBER(SEARCH(Assumptions!$C$6,C4811)),Assumptions!$D$6,IF(ISNUMBER(SEARCH(Assumptions!$C$7,C4811)),Assumptions!$D$7,"Other Services"))),"Other Services"))</f>
        <v/>
      </c>
    </row>
    <row r="4812" customFormat="false" ht="15" hidden="false" customHeight="false" outlineLevel="0" collapsed="false">
      <c r="F4812" s="41" t="str">
        <f aca="false">IF(C4812="","",IFERROR(IF(ISNUMBER(SEARCH(Assumptions!$C$5,C4812)),Assumptions!$D$5,IF(ISNUMBER(SEARCH(Assumptions!$C$6,C4812)),Assumptions!$D$6,IF(ISNUMBER(SEARCH(Assumptions!$C$7,C4812)),Assumptions!$D$7,"Other Services"))),"Other Services"))</f>
        <v/>
      </c>
    </row>
    <row r="4813" customFormat="false" ht="15" hidden="false" customHeight="false" outlineLevel="0" collapsed="false">
      <c r="F4813" s="41" t="str">
        <f aca="false">IF(C4813="","",IFERROR(IF(ISNUMBER(SEARCH(Assumptions!$C$5,C4813)),Assumptions!$D$5,IF(ISNUMBER(SEARCH(Assumptions!$C$6,C4813)),Assumptions!$D$6,IF(ISNUMBER(SEARCH(Assumptions!$C$7,C4813)),Assumptions!$D$7,"Other Services"))),"Other Services"))</f>
        <v/>
      </c>
    </row>
    <row r="4814" customFormat="false" ht="15" hidden="false" customHeight="false" outlineLevel="0" collapsed="false">
      <c r="F4814" s="41" t="str">
        <f aca="false">IF(C4814="","",IFERROR(IF(ISNUMBER(SEARCH(Assumptions!$C$5,C4814)),Assumptions!$D$5,IF(ISNUMBER(SEARCH(Assumptions!$C$6,C4814)),Assumptions!$D$6,IF(ISNUMBER(SEARCH(Assumptions!$C$7,C4814)),Assumptions!$D$7,"Other Services"))),"Other Services"))</f>
        <v/>
      </c>
    </row>
    <row r="4815" customFormat="false" ht="15" hidden="false" customHeight="false" outlineLevel="0" collapsed="false">
      <c r="F4815" s="41" t="str">
        <f aca="false">IF(C4815="","",IFERROR(IF(ISNUMBER(SEARCH(Assumptions!$C$5,C4815)),Assumptions!$D$5,IF(ISNUMBER(SEARCH(Assumptions!$C$6,C4815)),Assumptions!$D$6,IF(ISNUMBER(SEARCH(Assumptions!$C$7,C4815)),Assumptions!$D$7,"Other Services"))),"Other Services"))</f>
        <v/>
      </c>
    </row>
    <row r="4816" customFormat="false" ht="15" hidden="false" customHeight="false" outlineLevel="0" collapsed="false">
      <c r="F4816" s="41" t="str">
        <f aca="false">IF(C4816="","",IFERROR(IF(ISNUMBER(SEARCH(Assumptions!$C$5,C4816)),Assumptions!$D$5,IF(ISNUMBER(SEARCH(Assumptions!$C$6,C4816)),Assumptions!$D$6,IF(ISNUMBER(SEARCH(Assumptions!$C$7,C4816)),Assumptions!$D$7,"Other Services"))),"Other Services"))</f>
        <v/>
      </c>
    </row>
    <row r="4817" customFormat="false" ht="15" hidden="false" customHeight="false" outlineLevel="0" collapsed="false">
      <c r="F4817" s="41" t="str">
        <f aca="false">IF(C4817="","",IFERROR(IF(ISNUMBER(SEARCH(Assumptions!$C$5,C4817)),Assumptions!$D$5,IF(ISNUMBER(SEARCH(Assumptions!$C$6,C4817)),Assumptions!$D$6,IF(ISNUMBER(SEARCH(Assumptions!$C$7,C4817)),Assumptions!$D$7,"Other Services"))),"Other Services"))</f>
        <v/>
      </c>
    </row>
    <row r="4818" customFormat="false" ht="15" hidden="false" customHeight="false" outlineLevel="0" collapsed="false">
      <c r="F4818" s="41" t="str">
        <f aca="false">IF(C4818="","",IFERROR(IF(ISNUMBER(SEARCH(Assumptions!$C$5,C4818)),Assumptions!$D$5,IF(ISNUMBER(SEARCH(Assumptions!$C$6,C4818)),Assumptions!$D$6,IF(ISNUMBER(SEARCH(Assumptions!$C$7,C4818)),Assumptions!$D$7,"Other Services"))),"Other Services"))</f>
        <v/>
      </c>
    </row>
    <row r="4819" customFormat="false" ht="15" hidden="false" customHeight="false" outlineLevel="0" collapsed="false">
      <c r="F4819" s="41" t="str">
        <f aca="false">IF(C4819="","",IFERROR(IF(ISNUMBER(SEARCH(Assumptions!$C$5,C4819)),Assumptions!$D$5,IF(ISNUMBER(SEARCH(Assumptions!$C$6,C4819)),Assumptions!$D$6,IF(ISNUMBER(SEARCH(Assumptions!$C$7,C4819)),Assumptions!$D$7,"Other Services"))),"Other Services"))</f>
        <v/>
      </c>
    </row>
    <row r="4820" customFormat="false" ht="15" hidden="false" customHeight="false" outlineLevel="0" collapsed="false">
      <c r="F4820" s="41" t="str">
        <f aca="false">IF(C4820="","",IFERROR(IF(ISNUMBER(SEARCH(Assumptions!$C$5,C4820)),Assumptions!$D$5,IF(ISNUMBER(SEARCH(Assumptions!$C$6,C4820)),Assumptions!$D$6,IF(ISNUMBER(SEARCH(Assumptions!$C$7,C4820)),Assumptions!$D$7,"Other Services"))),"Other Services"))</f>
        <v/>
      </c>
    </row>
    <row r="4821" customFormat="false" ht="15" hidden="false" customHeight="false" outlineLevel="0" collapsed="false">
      <c r="F4821" s="41" t="str">
        <f aca="false">IF(C4821="","",IFERROR(IF(ISNUMBER(SEARCH(Assumptions!$C$5,C4821)),Assumptions!$D$5,IF(ISNUMBER(SEARCH(Assumptions!$C$6,C4821)),Assumptions!$D$6,IF(ISNUMBER(SEARCH(Assumptions!$C$7,C4821)),Assumptions!$D$7,"Other Services"))),"Other Services"))</f>
        <v/>
      </c>
    </row>
    <row r="4822" customFormat="false" ht="15" hidden="false" customHeight="false" outlineLevel="0" collapsed="false">
      <c r="F4822" s="41" t="str">
        <f aca="false">IF(C4822="","",IFERROR(IF(ISNUMBER(SEARCH(Assumptions!$C$5,C4822)),Assumptions!$D$5,IF(ISNUMBER(SEARCH(Assumptions!$C$6,C4822)),Assumptions!$D$6,IF(ISNUMBER(SEARCH(Assumptions!$C$7,C4822)),Assumptions!$D$7,"Other Services"))),"Other Services"))</f>
        <v/>
      </c>
    </row>
    <row r="4823" customFormat="false" ht="15" hidden="false" customHeight="false" outlineLevel="0" collapsed="false">
      <c r="F4823" s="41" t="str">
        <f aca="false">IF(C4823="","",IFERROR(IF(ISNUMBER(SEARCH(Assumptions!$C$5,C4823)),Assumptions!$D$5,IF(ISNUMBER(SEARCH(Assumptions!$C$6,C4823)),Assumptions!$D$6,IF(ISNUMBER(SEARCH(Assumptions!$C$7,C4823)),Assumptions!$D$7,"Other Services"))),"Other Services"))</f>
        <v/>
      </c>
    </row>
    <row r="4824" customFormat="false" ht="15" hidden="false" customHeight="false" outlineLevel="0" collapsed="false">
      <c r="F4824" s="41" t="str">
        <f aca="false">IF(C4824="","",IFERROR(IF(ISNUMBER(SEARCH(Assumptions!$C$5,C4824)),Assumptions!$D$5,IF(ISNUMBER(SEARCH(Assumptions!$C$6,C4824)),Assumptions!$D$6,IF(ISNUMBER(SEARCH(Assumptions!$C$7,C4824)),Assumptions!$D$7,"Other Services"))),"Other Services"))</f>
        <v/>
      </c>
    </row>
    <row r="4825" customFormat="false" ht="15" hidden="false" customHeight="false" outlineLevel="0" collapsed="false">
      <c r="F4825" s="41" t="str">
        <f aca="false">IF(C4825="","",IFERROR(IF(ISNUMBER(SEARCH(Assumptions!$C$5,C4825)),Assumptions!$D$5,IF(ISNUMBER(SEARCH(Assumptions!$C$6,C4825)),Assumptions!$D$6,IF(ISNUMBER(SEARCH(Assumptions!$C$7,C4825)),Assumptions!$D$7,"Other Services"))),"Other Services"))</f>
        <v/>
      </c>
    </row>
    <row r="4826" customFormat="false" ht="15" hidden="false" customHeight="false" outlineLevel="0" collapsed="false">
      <c r="F4826" s="41" t="str">
        <f aca="false">IF(C4826="","",IFERROR(IF(ISNUMBER(SEARCH(Assumptions!$C$5,C4826)),Assumptions!$D$5,IF(ISNUMBER(SEARCH(Assumptions!$C$6,C4826)),Assumptions!$D$6,IF(ISNUMBER(SEARCH(Assumptions!$C$7,C4826)),Assumptions!$D$7,"Other Services"))),"Other Services"))</f>
        <v/>
      </c>
    </row>
    <row r="4827" customFormat="false" ht="15" hidden="false" customHeight="false" outlineLevel="0" collapsed="false">
      <c r="F4827" s="41" t="str">
        <f aca="false">IF(C4827="","",IFERROR(IF(ISNUMBER(SEARCH(Assumptions!$C$5,C4827)),Assumptions!$D$5,IF(ISNUMBER(SEARCH(Assumptions!$C$6,C4827)),Assumptions!$D$6,IF(ISNUMBER(SEARCH(Assumptions!$C$7,C4827)),Assumptions!$D$7,"Other Services"))),"Other Services"))</f>
        <v/>
      </c>
    </row>
    <row r="4828" customFormat="false" ht="15" hidden="false" customHeight="false" outlineLevel="0" collapsed="false">
      <c r="F4828" s="41" t="str">
        <f aca="false">IF(C4828="","",IFERROR(IF(ISNUMBER(SEARCH(Assumptions!$C$5,C4828)),Assumptions!$D$5,IF(ISNUMBER(SEARCH(Assumptions!$C$6,C4828)),Assumptions!$D$6,IF(ISNUMBER(SEARCH(Assumptions!$C$7,C4828)),Assumptions!$D$7,"Other Services"))),"Other Services"))</f>
        <v/>
      </c>
    </row>
    <row r="4829" customFormat="false" ht="15" hidden="false" customHeight="false" outlineLevel="0" collapsed="false">
      <c r="F4829" s="41" t="str">
        <f aca="false">IF(C4829="","",IFERROR(IF(ISNUMBER(SEARCH(Assumptions!$C$5,C4829)),Assumptions!$D$5,IF(ISNUMBER(SEARCH(Assumptions!$C$6,C4829)),Assumptions!$D$6,IF(ISNUMBER(SEARCH(Assumptions!$C$7,C4829)),Assumptions!$D$7,"Other Services"))),"Other Services"))</f>
        <v/>
      </c>
    </row>
    <row r="4830" customFormat="false" ht="15" hidden="false" customHeight="false" outlineLevel="0" collapsed="false">
      <c r="F4830" s="41" t="str">
        <f aca="false">IF(C4830="","",IFERROR(IF(ISNUMBER(SEARCH(Assumptions!$C$5,C4830)),Assumptions!$D$5,IF(ISNUMBER(SEARCH(Assumptions!$C$6,C4830)),Assumptions!$D$6,IF(ISNUMBER(SEARCH(Assumptions!$C$7,C4830)),Assumptions!$D$7,"Other Services"))),"Other Services"))</f>
        <v/>
      </c>
    </row>
    <row r="4831" customFormat="false" ht="15" hidden="false" customHeight="false" outlineLevel="0" collapsed="false">
      <c r="F4831" s="41" t="str">
        <f aca="false">IF(C4831="","",IFERROR(IF(ISNUMBER(SEARCH(Assumptions!$C$5,C4831)),Assumptions!$D$5,IF(ISNUMBER(SEARCH(Assumptions!$C$6,C4831)),Assumptions!$D$6,IF(ISNUMBER(SEARCH(Assumptions!$C$7,C4831)),Assumptions!$D$7,"Other Services"))),"Other Services"))</f>
        <v/>
      </c>
    </row>
    <row r="4832" customFormat="false" ht="15" hidden="false" customHeight="false" outlineLevel="0" collapsed="false">
      <c r="F4832" s="41" t="str">
        <f aca="false">IF(C4832="","",IFERROR(IF(ISNUMBER(SEARCH(Assumptions!$C$5,C4832)),Assumptions!$D$5,IF(ISNUMBER(SEARCH(Assumptions!$C$6,C4832)),Assumptions!$D$6,IF(ISNUMBER(SEARCH(Assumptions!$C$7,C4832)),Assumptions!$D$7,"Other Services"))),"Other Services"))</f>
        <v/>
      </c>
    </row>
    <row r="4833" customFormat="false" ht="15" hidden="false" customHeight="false" outlineLevel="0" collapsed="false">
      <c r="F4833" s="41" t="str">
        <f aca="false">IF(C4833="","",IFERROR(IF(ISNUMBER(SEARCH(Assumptions!$C$5,C4833)),Assumptions!$D$5,IF(ISNUMBER(SEARCH(Assumptions!$C$6,C4833)),Assumptions!$D$6,IF(ISNUMBER(SEARCH(Assumptions!$C$7,C4833)),Assumptions!$D$7,"Other Services"))),"Other Services"))</f>
        <v/>
      </c>
    </row>
    <row r="4834" customFormat="false" ht="15" hidden="false" customHeight="false" outlineLevel="0" collapsed="false">
      <c r="F4834" s="41" t="str">
        <f aca="false">IF(C4834="","",IFERROR(IF(ISNUMBER(SEARCH(Assumptions!$C$5,C4834)),Assumptions!$D$5,IF(ISNUMBER(SEARCH(Assumptions!$C$6,C4834)),Assumptions!$D$6,IF(ISNUMBER(SEARCH(Assumptions!$C$7,C4834)),Assumptions!$D$7,"Other Services"))),"Other Services"))</f>
        <v/>
      </c>
    </row>
    <row r="4835" customFormat="false" ht="15" hidden="false" customHeight="false" outlineLevel="0" collapsed="false">
      <c r="F4835" s="41" t="str">
        <f aca="false">IF(C4835="","",IFERROR(IF(ISNUMBER(SEARCH(Assumptions!$C$5,C4835)),Assumptions!$D$5,IF(ISNUMBER(SEARCH(Assumptions!$C$6,C4835)),Assumptions!$D$6,IF(ISNUMBER(SEARCH(Assumptions!$C$7,C4835)),Assumptions!$D$7,"Other Services"))),"Other Services"))</f>
        <v/>
      </c>
    </row>
    <row r="4836" customFormat="false" ht="15" hidden="false" customHeight="false" outlineLevel="0" collapsed="false">
      <c r="F4836" s="41" t="str">
        <f aca="false">IF(C4836="","",IFERROR(IF(ISNUMBER(SEARCH(Assumptions!$C$5,C4836)),Assumptions!$D$5,IF(ISNUMBER(SEARCH(Assumptions!$C$6,C4836)),Assumptions!$D$6,IF(ISNUMBER(SEARCH(Assumptions!$C$7,C4836)),Assumptions!$D$7,"Other Services"))),"Other Services"))</f>
        <v/>
      </c>
    </row>
    <row r="4837" customFormat="false" ht="15" hidden="false" customHeight="false" outlineLevel="0" collapsed="false">
      <c r="F4837" s="41" t="str">
        <f aca="false">IF(C4837="","",IFERROR(IF(ISNUMBER(SEARCH(Assumptions!$C$5,C4837)),Assumptions!$D$5,IF(ISNUMBER(SEARCH(Assumptions!$C$6,C4837)),Assumptions!$D$6,IF(ISNUMBER(SEARCH(Assumptions!$C$7,C4837)),Assumptions!$D$7,"Other Services"))),"Other Services"))</f>
        <v/>
      </c>
    </row>
    <row r="4838" customFormat="false" ht="15" hidden="false" customHeight="false" outlineLevel="0" collapsed="false">
      <c r="F4838" s="41" t="str">
        <f aca="false">IF(C4838="","",IFERROR(IF(ISNUMBER(SEARCH(Assumptions!$C$5,C4838)),Assumptions!$D$5,IF(ISNUMBER(SEARCH(Assumptions!$C$6,C4838)),Assumptions!$D$6,IF(ISNUMBER(SEARCH(Assumptions!$C$7,C4838)),Assumptions!$D$7,"Other Services"))),"Other Services"))</f>
        <v/>
      </c>
    </row>
    <row r="4839" customFormat="false" ht="15" hidden="false" customHeight="false" outlineLevel="0" collapsed="false">
      <c r="F4839" s="41" t="str">
        <f aca="false">IF(C4839="","",IFERROR(IF(ISNUMBER(SEARCH(Assumptions!$C$5,C4839)),Assumptions!$D$5,IF(ISNUMBER(SEARCH(Assumptions!$C$6,C4839)),Assumptions!$D$6,IF(ISNUMBER(SEARCH(Assumptions!$C$7,C4839)),Assumptions!$D$7,"Other Services"))),"Other Services"))</f>
        <v/>
      </c>
    </row>
    <row r="4840" customFormat="false" ht="15" hidden="false" customHeight="false" outlineLevel="0" collapsed="false">
      <c r="F4840" s="41" t="str">
        <f aca="false">IF(C4840="","",IFERROR(IF(ISNUMBER(SEARCH(Assumptions!$C$5,C4840)),Assumptions!$D$5,IF(ISNUMBER(SEARCH(Assumptions!$C$6,C4840)),Assumptions!$D$6,IF(ISNUMBER(SEARCH(Assumptions!$C$7,C4840)),Assumptions!$D$7,"Other Services"))),"Other Services"))</f>
        <v/>
      </c>
    </row>
    <row r="4841" customFormat="false" ht="15" hidden="false" customHeight="false" outlineLevel="0" collapsed="false">
      <c r="F4841" s="41" t="str">
        <f aca="false">IF(C4841="","",IFERROR(IF(ISNUMBER(SEARCH(Assumptions!$C$5,C4841)),Assumptions!$D$5,IF(ISNUMBER(SEARCH(Assumptions!$C$6,C4841)),Assumptions!$D$6,IF(ISNUMBER(SEARCH(Assumptions!$C$7,C4841)),Assumptions!$D$7,"Other Services"))),"Other Services"))</f>
        <v/>
      </c>
    </row>
    <row r="4842" customFormat="false" ht="15" hidden="false" customHeight="false" outlineLevel="0" collapsed="false">
      <c r="F4842" s="41" t="str">
        <f aca="false">IF(C4842="","",IFERROR(IF(ISNUMBER(SEARCH(Assumptions!$C$5,C4842)),Assumptions!$D$5,IF(ISNUMBER(SEARCH(Assumptions!$C$6,C4842)),Assumptions!$D$6,IF(ISNUMBER(SEARCH(Assumptions!$C$7,C4842)),Assumptions!$D$7,"Other Services"))),"Other Services"))</f>
        <v/>
      </c>
    </row>
    <row r="4843" customFormat="false" ht="15" hidden="false" customHeight="false" outlineLevel="0" collapsed="false">
      <c r="F4843" s="41" t="str">
        <f aca="false">IF(C4843="","",IFERROR(IF(ISNUMBER(SEARCH(Assumptions!$C$5,C4843)),Assumptions!$D$5,IF(ISNUMBER(SEARCH(Assumptions!$C$6,C4843)),Assumptions!$D$6,IF(ISNUMBER(SEARCH(Assumptions!$C$7,C4843)),Assumptions!$D$7,"Other Services"))),"Other Services"))</f>
        <v/>
      </c>
    </row>
    <row r="4844" customFormat="false" ht="15" hidden="false" customHeight="false" outlineLevel="0" collapsed="false">
      <c r="F4844" s="41" t="str">
        <f aca="false">IF(C4844="","",IFERROR(IF(ISNUMBER(SEARCH(Assumptions!$C$5,C4844)),Assumptions!$D$5,IF(ISNUMBER(SEARCH(Assumptions!$C$6,C4844)),Assumptions!$D$6,IF(ISNUMBER(SEARCH(Assumptions!$C$7,C4844)),Assumptions!$D$7,"Other Services"))),"Other Services"))</f>
        <v/>
      </c>
    </row>
    <row r="4845" customFormat="false" ht="15" hidden="false" customHeight="false" outlineLevel="0" collapsed="false">
      <c r="F4845" s="41" t="str">
        <f aca="false">IF(C4845="","",IFERROR(IF(ISNUMBER(SEARCH(Assumptions!$C$5,C4845)),Assumptions!$D$5,IF(ISNUMBER(SEARCH(Assumptions!$C$6,C4845)),Assumptions!$D$6,IF(ISNUMBER(SEARCH(Assumptions!$C$7,C4845)),Assumptions!$D$7,"Other Services"))),"Other Services"))</f>
        <v/>
      </c>
    </row>
    <row r="4846" customFormat="false" ht="15" hidden="false" customHeight="false" outlineLevel="0" collapsed="false">
      <c r="F4846" s="41" t="str">
        <f aca="false">IF(C4846="","",IFERROR(IF(ISNUMBER(SEARCH(Assumptions!$C$5,C4846)),Assumptions!$D$5,IF(ISNUMBER(SEARCH(Assumptions!$C$6,C4846)),Assumptions!$D$6,IF(ISNUMBER(SEARCH(Assumptions!$C$7,C4846)),Assumptions!$D$7,"Other Services"))),"Other Services"))</f>
        <v/>
      </c>
    </row>
    <row r="4847" customFormat="false" ht="15" hidden="false" customHeight="false" outlineLevel="0" collapsed="false">
      <c r="F4847" s="41" t="str">
        <f aca="false">IF(C4847="","",IFERROR(IF(ISNUMBER(SEARCH(Assumptions!$C$5,C4847)),Assumptions!$D$5,IF(ISNUMBER(SEARCH(Assumptions!$C$6,C4847)),Assumptions!$D$6,IF(ISNUMBER(SEARCH(Assumptions!$C$7,C4847)),Assumptions!$D$7,"Other Services"))),"Other Services"))</f>
        <v/>
      </c>
    </row>
    <row r="4848" customFormat="false" ht="15" hidden="false" customHeight="false" outlineLevel="0" collapsed="false">
      <c r="F4848" s="41" t="str">
        <f aca="false">IF(C4848="","",IFERROR(IF(ISNUMBER(SEARCH(Assumptions!$C$5,C4848)),Assumptions!$D$5,IF(ISNUMBER(SEARCH(Assumptions!$C$6,C4848)),Assumptions!$D$6,IF(ISNUMBER(SEARCH(Assumptions!$C$7,C4848)),Assumptions!$D$7,"Other Services"))),"Other Services"))</f>
        <v/>
      </c>
    </row>
    <row r="4849" customFormat="false" ht="15" hidden="false" customHeight="false" outlineLevel="0" collapsed="false">
      <c r="F4849" s="41" t="str">
        <f aca="false">IF(C4849="","",IFERROR(IF(ISNUMBER(SEARCH(Assumptions!$C$5,C4849)),Assumptions!$D$5,IF(ISNUMBER(SEARCH(Assumptions!$C$6,C4849)),Assumptions!$D$6,IF(ISNUMBER(SEARCH(Assumptions!$C$7,C4849)),Assumptions!$D$7,"Other Services"))),"Other Services"))</f>
        <v/>
      </c>
    </row>
    <row r="4850" customFormat="false" ht="15" hidden="false" customHeight="false" outlineLevel="0" collapsed="false">
      <c r="F4850" s="41" t="str">
        <f aca="false">IF(C4850="","",IFERROR(IF(ISNUMBER(SEARCH(Assumptions!$C$5,C4850)),Assumptions!$D$5,IF(ISNUMBER(SEARCH(Assumptions!$C$6,C4850)),Assumptions!$D$6,IF(ISNUMBER(SEARCH(Assumptions!$C$7,C4850)),Assumptions!$D$7,"Other Services"))),"Other Services"))</f>
        <v/>
      </c>
    </row>
    <row r="4851" customFormat="false" ht="15" hidden="false" customHeight="false" outlineLevel="0" collapsed="false">
      <c r="F4851" s="41" t="str">
        <f aca="false">IF(C4851="","",IFERROR(IF(ISNUMBER(SEARCH(Assumptions!$C$5,C4851)),Assumptions!$D$5,IF(ISNUMBER(SEARCH(Assumptions!$C$6,C4851)),Assumptions!$D$6,IF(ISNUMBER(SEARCH(Assumptions!$C$7,C4851)),Assumptions!$D$7,"Other Services"))),"Other Services"))</f>
        <v/>
      </c>
    </row>
    <row r="4852" customFormat="false" ht="15" hidden="false" customHeight="false" outlineLevel="0" collapsed="false">
      <c r="F4852" s="41" t="str">
        <f aca="false">IF(C4852="","",IFERROR(IF(ISNUMBER(SEARCH(Assumptions!$C$5,C4852)),Assumptions!$D$5,IF(ISNUMBER(SEARCH(Assumptions!$C$6,C4852)),Assumptions!$D$6,IF(ISNUMBER(SEARCH(Assumptions!$C$7,C4852)),Assumptions!$D$7,"Other Services"))),"Other Services"))</f>
        <v/>
      </c>
    </row>
    <row r="4853" customFormat="false" ht="15" hidden="false" customHeight="false" outlineLevel="0" collapsed="false">
      <c r="F4853" s="41" t="str">
        <f aca="false">IF(C4853="","",IFERROR(IF(ISNUMBER(SEARCH(Assumptions!$C$5,C4853)),Assumptions!$D$5,IF(ISNUMBER(SEARCH(Assumptions!$C$6,C4853)),Assumptions!$D$6,IF(ISNUMBER(SEARCH(Assumptions!$C$7,C4853)),Assumptions!$D$7,"Other Services"))),"Other Services"))</f>
        <v/>
      </c>
    </row>
    <row r="4854" customFormat="false" ht="15" hidden="false" customHeight="false" outlineLevel="0" collapsed="false">
      <c r="F4854" s="41" t="str">
        <f aca="false">IF(C4854="","",IFERROR(IF(ISNUMBER(SEARCH(Assumptions!$C$5,C4854)),Assumptions!$D$5,IF(ISNUMBER(SEARCH(Assumptions!$C$6,C4854)),Assumptions!$D$6,IF(ISNUMBER(SEARCH(Assumptions!$C$7,C4854)),Assumptions!$D$7,"Other Services"))),"Other Services"))</f>
        <v/>
      </c>
    </row>
    <row r="4855" customFormat="false" ht="15" hidden="false" customHeight="false" outlineLevel="0" collapsed="false">
      <c r="F4855" s="41" t="str">
        <f aca="false">IF(C4855="","",IFERROR(IF(ISNUMBER(SEARCH(Assumptions!$C$5,C4855)),Assumptions!$D$5,IF(ISNUMBER(SEARCH(Assumptions!$C$6,C4855)),Assumptions!$D$6,IF(ISNUMBER(SEARCH(Assumptions!$C$7,C4855)),Assumptions!$D$7,"Other Services"))),"Other Services"))</f>
        <v/>
      </c>
    </row>
    <row r="4856" customFormat="false" ht="15" hidden="false" customHeight="false" outlineLevel="0" collapsed="false">
      <c r="F4856" s="41" t="str">
        <f aca="false">IF(C4856="","",IFERROR(IF(ISNUMBER(SEARCH(Assumptions!$C$5,C4856)),Assumptions!$D$5,IF(ISNUMBER(SEARCH(Assumptions!$C$6,C4856)),Assumptions!$D$6,IF(ISNUMBER(SEARCH(Assumptions!$C$7,C4856)),Assumptions!$D$7,"Other Services"))),"Other Services"))</f>
        <v/>
      </c>
    </row>
    <row r="4857" customFormat="false" ht="15" hidden="false" customHeight="false" outlineLevel="0" collapsed="false">
      <c r="F4857" s="41" t="str">
        <f aca="false">IF(C4857="","",IFERROR(IF(ISNUMBER(SEARCH(Assumptions!$C$5,C4857)),Assumptions!$D$5,IF(ISNUMBER(SEARCH(Assumptions!$C$6,C4857)),Assumptions!$D$6,IF(ISNUMBER(SEARCH(Assumptions!$C$7,C4857)),Assumptions!$D$7,"Other Services"))),"Other Services"))</f>
        <v/>
      </c>
    </row>
    <row r="4858" customFormat="false" ht="15" hidden="false" customHeight="false" outlineLevel="0" collapsed="false">
      <c r="F4858" s="41" t="str">
        <f aca="false">IF(C4858="","",IFERROR(IF(ISNUMBER(SEARCH(Assumptions!$C$5,C4858)),Assumptions!$D$5,IF(ISNUMBER(SEARCH(Assumptions!$C$6,C4858)),Assumptions!$D$6,IF(ISNUMBER(SEARCH(Assumptions!$C$7,C4858)),Assumptions!$D$7,"Other Services"))),"Other Services"))</f>
        <v/>
      </c>
    </row>
    <row r="4859" customFormat="false" ht="15" hidden="false" customHeight="false" outlineLevel="0" collapsed="false">
      <c r="F4859" s="41" t="str">
        <f aca="false">IF(C4859="","",IFERROR(IF(ISNUMBER(SEARCH(Assumptions!$C$5,C4859)),Assumptions!$D$5,IF(ISNUMBER(SEARCH(Assumptions!$C$6,C4859)),Assumptions!$D$6,IF(ISNUMBER(SEARCH(Assumptions!$C$7,C4859)),Assumptions!$D$7,"Other Services"))),"Other Services"))</f>
        <v/>
      </c>
    </row>
    <row r="4860" customFormat="false" ht="15" hidden="false" customHeight="false" outlineLevel="0" collapsed="false">
      <c r="F4860" s="41" t="str">
        <f aca="false">IF(C4860="","",IFERROR(IF(ISNUMBER(SEARCH(Assumptions!$C$5,C4860)),Assumptions!$D$5,IF(ISNUMBER(SEARCH(Assumptions!$C$6,C4860)),Assumptions!$D$6,IF(ISNUMBER(SEARCH(Assumptions!$C$7,C4860)),Assumptions!$D$7,"Other Services"))),"Other Services"))</f>
        <v/>
      </c>
    </row>
    <row r="4861" customFormat="false" ht="15" hidden="false" customHeight="false" outlineLevel="0" collapsed="false">
      <c r="F4861" s="41" t="str">
        <f aca="false">IF(C4861="","",IFERROR(IF(ISNUMBER(SEARCH(Assumptions!$C$5,C4861)),Assumptions!$D$5,IF(ISNUMBER(SEARCH(Assumptions!$C$6,C4861)),Assumptions!$D$6,IF(ISNUMBER(SEARCH(Assumptions!$C$7,C4861)),Assumptions!$D$7,"Other Services"))),"Other Services"))</f>
        <v/>
      </c>
    </row>
    <row r="4862" customFormat="false" ht="15" hidden="false" customHeight="false" outlineLevel="0" collapsed="false">
      <c r="F4862" s="41" t="str">
        <f aca="false">IF(C4862="","",IFERROR(IF(ISNUMBER(SEARCH(Assumptions!$C$5,C4862)),Assumptions!$D$5,IF(ISNUMBER(SEARCH(Assumptions!$C$6,C4862)),Assumptions!$D$6,IF(ISNUMBER(SEARCH(Assumptions!$C$7,C4862)),Assumptions!$D$7,"Other Services"))),"Other Services"))</f>
        <v/>
      </c>
    </row>
    <row r="4863" customFormat="false" ht="15" hidden="false" customHeight="false" outlineLevel="0" collapsed="false">
      <c r="F4863" s="41" t="str">
        <f aca="false">IF(C4863="","",IFERROR(IF(ISNUMBER(SEARCH(Assumptions!$C$5,C4863)),Assumptions!$D$5,IF(ISNUMBER(SEARCH(Assumptions!$C$6,C4863)),Assumptions!$D$6,IF(ISNUMBER(SEARCH(Assumptions!$C$7,C4863)),Assumptions!$D$7,"Other Services"))),"Other Services"))</f>
        <v/>
      </c>
    </row>
    <row r="4864" customFormat="false" ht="15" hidden="false" customHeight="false" outlineLevel="0" collapsed="false">
      <c r="F4864" s="41" t="str">
        <f aca="false">IF(C4864="","",IFERROR(IF(ISNUMBER(SEARCH(Assumptions!$C$5,C4864)),Assumptions!$D$5,IF(ISNUMBER(SEARCH(Assumptions!$C$6,C4864)),Assumptions!$D$6,IF(ISNUMBER(SEARCH(Assumptions!$C$7,C4864)),Assumptions!$D$7,"Other Services"))),"Other Services"))</f>
        <v/>
      </c>
    </row>
    <row r="4865" customFormat="false" ht="15" hidden="false" customHeight="false" outlineLevel="0" collapsed="false">
      <c r="F4865" s="41" t="str">
        <f aca="false">IF(C4865="","",IFERROR(IF(ISNUMBER(SEARCH(Assumptions!$C$5,C4865)),Assumptions!$D$5,IF(ISNUMBER(SEARCH(Assumptions!$C$6,C4865)),Assumptions!$D$6,IF(ISNUMBER(SEARCH(Assumptions!$C$7,C4865)),Assumptions!$D$7,"Other Services"))),"Other Services"))</f>
        <v/>
      </c>
    </row>
    <row r="4866" customFormat="false" ht="15" hidden="false" customHeight="false" outlineLevel="0" collapsed="false">
      <c r="F4866" s="41" t="str">
        <f aca="false">IF(C4866="","",IFERROR(IF(ISNUMBER(SEARCH(Assumptions!$C$5,C4866)),Assumptions!$D$5,IF(ISNUMBER(SEARCH(Assumptions!$C$6,C4866)),Assumptions!$D$6,IF(ISNUMBER(SEARCH(Assumptions!$C$7,C4866)),Assumptions!$D$7,"Other Services"))),"Other Services"))</f>
        <v/>
      </c>
    </row>
    <row r="4867" customFormat="false" ht="15" hidden="false" customHeight="false" outlineLevel="0" collapsed="false">
      <c r="F4867" s="41" t="str">
        <f aca="false">IF(C4867="","",IFERROR(IF(ISNUMBER(SEARCH(Assumptions!$C$5,C4867)),Assumptions!$D$5,IF(ISNUMBER(SEARCH(Assumptions!$C$6,C4867)),Assumptions!$D$6,IF(ISNUMBER(SEARCH(Assumptions!$C$7,C4867)),Assumptions!$D$7,"Other Services"))),"Other Services"))</f>
        <v/>
      </c>
    </row>
    <row r="4868" customFormat="false" ht="15" hidden="false" customHeight="false" outlineLevel="0" collapsed="false">
      <c r="F4868" s="41" t="str">
        <f aca="false">IF(C4868="","",IFERROR(IF(ISNUMBER(SEARCH(Assumptions!$C$5,C4868)),Assumptions!$D$5,IF(ISNUMBER(SEARCH(Assumptions!$C$6,C4868)),Assumptions!$D$6,IF(ISNUMBER(SEARCH(Assumptions!$C$7,C4868)),Assumptions!$D$7,"Other Services"))),"Other Services"))</f>
        <v/>
      </c>
    </row>
    <row r="4869" customFormat="false" ht="15" hidden="false" customHeight="false" outlineLevel="0" collapsed="false">
      <c r="F4869" s="41" t="str">
        <f aca="false">IF(C4869="","",IFERROR(IF(ISNUMBER(SEARCH(Assumptions!$C$5,C4869)),Assumptions!$D$5,IF(ISNUMBER(SEARCH(Assumptions!$C$6,C4869)),Assumptions!$D$6,IF(ISNUMBER(SEARCH(Assumptions!$C$7,C4869)),Assumptions!$D$7,"Other Services"))),"Other Services"))</f>
        <v/>
      </c>
    </row>
    <row r="4870" customFormat="false" ht="15" hidden="false" customHeight="false" outlineLevel="0" collapsed="false">
      <c r="F4870" s="41" t="str">
        <f aca="false">IF(C4870="","",IFERROR(IF(ISNUMBER(SEARCH(Assumptions!$C$5,C4870)),Assumptions!$D$5,IF(ISNUMBER(SEARCH(Assumptions!$C$6,C4870)),Assumptions!$D$6,IF(ISNUMBER(SEARCH(Assumptions!$C$7,C4870)),Assumptions!$D$7,"Other Services"))),"Other Services"))</f>
        <v/>
      </c>
    </row>
    <row r="4871" customFormat="false" ht="15" hidden="false" customHeight="false" outlineLevel="0" collapsed="false">
      <c r="F4871" s="41" t="str">
        <f aca="false">IF(C4871="","",IFERROR(IF(ISNUMBER(SEARCH(Assumptions!$C$5,C4871)),Assumptions!$D$5,IF(ISNUMBER(SEARCH(Assumptions!$C$6,C4871)),Assumptions!$D$6,IF(ISNUMBER(SEARCH(Assumptions!$C$7,C4871)),Assumptions!$D$7,"Other Services"))),"Other Services"))</f>
        <v/>
      </c>
    </row>
    <row r="4872" customFormat="false" ht="15" hidden="false" customHeight="false" outlineLevel="0" collapsed="false">
      <c r="F4872" s="41" t="str">
        <f aca="false">IF(C4872="","",IFERROR(IF(ISNUMBER(SEARCH(Assumptions!$C$5,C4872)),Assumptions!$D$5,IF(ISNUMBER(SEARCH(Assumptions!$C$6,C4872)),Assumptions!$D$6,IF(ISNUMBER(SEARCH(Assumptions!$C$7,C4872)),Assumptions!$D$7,"Other Services"))),"Other Services"))</f>
        <v/>
      </c>
    </row>
    <row r="4873" customFormat="false" ht="15" hidden="false" customHeight="false" outlineLevel="0" collapsed="false">
      <c r="F4873" s="41" t="str">
        <f aca="false">IF(C4873="","",IFERROR(IF(ISNUMBER(SEARCH(Assumptions!$C$5,C4873)),Assumptions!$D$5,IF(ISNUMBER(SEARCH(Assumptions!$C$6,C4873)),Assumptions!$D$6,IF(ISNUMBER(SEARCH(Assumptions!$C$7,C4873)),Assumptions!$D$7,"Other Services"))),"Other Services"))</f>
        <v/>
      </c>
    </row>
    <row r="4874" customFormat="false" ht="15" hidden="false" customHeight="false" outlineLevel="0" collapsed="false">
      <c r="F4874" s="41" t="str">
        <f aca="false">IF(C4874="","",IFERROR(IF(ISNUMBER(SEARCH(Assumptions!$C$5,C4874)),Assumptions!$D$5,IF(ISNUMBER(SEARCH(Assumptions!$C$6,C4874)),Assumptions!$D$6,IF(ISNUMBER(SEARCH(Assumptions!$C$7,C4874)),Assumptions!$D$7,"Other Services"))),"Other Services"))</f>
        <v/>
      </c>
    </row>
    <row r="4875" customFormat="false" ht="15" hidden="false" customHeight="false" outlineLevel="0" collapsed="false">
      <c r="F4875" s="41" t="str">
        <f aca="false">IF(C4875="","",IFERROR(IF(ISNUMBER(SEARCH(Assumptions!$C$5,C4875)),Assumptions!$D$5,IF(ISNUMBER(SEARCH(Assumptions!$C$6,C4875)),Assumptions!$D$6,IF(ISNUMBER(SEARCH(Assumptions!$C$7,C4875)),Assumptions!$D$7,"Other Services"))),"Other Services"))</f>
        <v/>
      </c>
    </row>
    <row r="4876" customFormat="false" ht="15" hidden="false" customHeight="false" outlineLevel="0" collapsed="false">
      <c r="F4876" s="41" t="str">
        <f aca="false">IF(C4876="","",IFERROR(IF(ISNUMBER(SEARCH(Assumptions!$C$5,C4876)),Assumptions!$D$5,IF(ISNUMBER(SEARCH(Assumptions!$C$6,C4876)),Assumptions!$D$6,IF(ISNUMBER(SEARCH(Assumptions!$C$7,C4876)),Assumptions!$D$7,"Other Services"))),"Other Services"))</f>
        <v/>
      </c>
    </row>
    <row r="4877" customFormat="false" ht="15" hidden="false" customHeight="false" outlineLevel="0" collapsed="false">
      <c r="F4877" s="41" t="str">
        <f aca="false">IF(C4877="","",IFERROR(IF(ISNUMBER(SEARCH(Assumptions!$C$5,C4877)),Assumptions!$D$5,IF(ISNUMBER(SEARCH(Assumptions!$C$6,C4877)),Assumptions!$D$6,IF(ISNUMBER(SEARCH(Assumptions!$C$7,C4877)),Assumptions!$D$7,"Other Services"))),"Other Services"))</f>
        <v/>
      </c>
    </row>
    <row r="4878" customFormat="false" ht="15" hidden="false" customHeight="false" outlineLevel="0" collapsed="false">
      <c r="F4878" s="41" t="str">
        <f aca="false">IF(C4878="","",IFERROR(IF(ISNUMBER(SEARCH(Assumptions!$C$5,C4878)),Assumptions!$D$5,IF(ISNUMBER(SEARCH(Assumptions!$C$6,C4878)),Assumptions!$D$6,IF(ISNUMBER(SEARCH(Assumptions!$C$7,C4878)),Assumptions!$D$7,"Other Services"))),"Other Services"))</f>
        <v/>
      </c>
    </row>
    <row r="4879" customFormat="false" ht="15" hidden="false" customHeight="false" outlineLevel="0" collapsed="false">
      <c r="F4879" s="41" t="str">
        <f aca="false">IF(C4879="","",IFERROR(IF(ISNUMBER(SEARCH(Assumptions!$C$5,C4879)),Assumptions!$D$5,IF(ISNUMBER(SEARCH(Assumptions!$C$6,C4879)),Assumptions!$D$6,IF(ISNUMBER(SEARCH(Assumptions!$C$7,C4879)),Assumptions!$D$7,"Other Services"))),"Other Services"))</f>
        <v/>
      </c>
    </row>
    <row r="4880" customFormat="false" ht="15" hidden="false" customHeight="false" outlineLevel="0" collapsed="false">
      <c r="F4880" s="41" t="str">
        <f aca="false">IF(C4880="","",IFERROR(IF(ISNUMBER(SEARCH(Assumptions!$C$5,C4880)),Assumptions!$D$5,IF(ISNUMBER(SEARCH(Assumptions!$C$6,C4880)),Assumptions!$D$6,IF(ISNUMBER(SEARCH(Assumptions!$C$7,C4880)),Assumptions!$D$7,"Other Services"))),"Other Services"))</f>
        <v/>
      </c>
    </row>
    <row r="4881" customFormat="false" ht="15" hidden="false" customHeight="false" outlineLevel="0" collapsed="false">
      <c r="F4881" s="41" t="str">
        <f aca="false">IF(C4881="","",IFERROR(IF(ISNUMBER(SEARCH(Assumptions!$C$5,C4881)),Assumptions!$D$5,IF(ISNUMBER(SEARCH(Assumptions!$C$6,C4881)),Assumptions!$D$6,IF(ISNUMBER(SEARCH(Assumptions!$C$7,C4881)),Assumptions!$D$7,"Other Services"))),"Other Services"))</f>
        <v/>
      </c>
    </row>
    <row r="4882" customFormat="false" ht="15" hidden="false" customHeight="false" outlineLevel="0" collapsed="false">
      <c r="F4882" s="41" t="str">
        <f aca="false">IF(C4882="","",IFERROR(IF(ISNUMBER(SEARCH(Assumptions!$C$5,C4882)),Assumptions!$D$5,IF(ISNUMBER(SEARCH(Assumptions!$C$6,C4882)),Assumptions!$D$6,IF(ISNUMBER(SEARCH(Assumptions!$C$7,C4882)),Assumptions!$D$7,"Other Services"))),"Other Services"))</f>
        <v/>
      </c>
    </row>
    <row r="4883" customFormat="false" ht="15" hidden="false" customHeight="false" outlineLevel="0" collapsed="false">
      <c r="F4883" s="41" t="str">
        <f aca="false">IF(C4883="","",IFERROR(IF(ISNUMBER(SEARCH(Assumptions!$C$5,C4883)),Assumptions!$D$5,IF(ISNUMBER(SEARCH(Assumptions!$C$6,C4883)),Assumptions!$D$6,IF(ISNUMBER(SEARCH(Assumptions!$C$7,C4883)),Assumptions!$D$7,"Other Services"))),"Other Services"))</f>
        <v/>
      </c>
    </row>
    <row r="4884" customFormat="false" ht="15" hidden="false" customHeight="false" outlineLevel="0" collapsed="false">
      <c r="F4884" s="41" t="str">
        <f aca="false">IF(C4884="","",IFERROR(IF(ISNUMBER(SEARCH(Assumptions!$C$5,C4884)),Assumptions!$D$5,IF(ISNUMBER(SEARCH(Assumptions!$C$6,C4884)),Assumptions!$D$6,IF(ISNUMBER(SEARCH(Assumptions!$C$7,C4884)),Assumptions!$D$7,"Other Services"))),"Other Services"))</f>
        <v/>
      </c>
    </row>
    <row r="4885" customFormat="false" ht="15" hidden="false" customHeight="false" outlineLevel="0" collapsed="false">
      <c r="F4885" s="41" t="str">
        <f aca="false">IF(C4885="","",IFERROR(IF(ISNUMBER(SEARCH(Assumptions!$C$5,C4885)),Assumptions!$D$5,IF(ISNUMBER(SEARCH(Assumptions!$C$6,C4885)),Assumptions!$D$6,IF(ISNUMBER(SEARCH(Assumptions!$C$7,C4885)),Assumptions!$D$7,"Other Services"))),"Other Services"))</f>
        <v/>
      </c>
    </row>
    <row r="4886" customFormat="false" ht="15" hidden="false" customHeight="false" outlineLevel="0" collapsed="false">
      <c r="F4886" s="41" t="str">
        <f aca="false">IF(C4886="","",IFERROR(IF(ISNUMBER(SEARCH(Assumptions!$C$5,C4886)),Assumptions!$D$5,IF(ISNUMBER(SEARCH(Assumptions!$C$6,C4886)),Assumptions!$D$6,IF(ISNUMBER(SEARCH(Assumptions!$C$7,C4886)),Assumptions!$D$7,"Other Services"))),"Other Services"))</f>
        <v/>
      </c>
    </row>
    <row r="4887" customFormat="false" ht="15" hidden="false" customHeight="false" outlineLevel="0" collapsed="false">
      <c r="F4887" s="41" t="str">
        <f aca="false">IF(C4887="","",IFERROR(IF(ISNUMBER(SEARCH(Assumptions!$C$5,C4887)),Assumptions!$D$5,IF(ISNUMBER(SEARCH(Assumptions!$C$6,C4887)),Assumptions!$D$6,IF(ISNUMBER(SEARCH(Assumptions!$C$7,C4887)),Assumptions!$D$7,"Other Services"))),"Other Services"))</f>
        <v/>
      </c>
    </row>
    <row r="4888" customFormat="false" ht="15" hidden="false" customHeight="false" outlineLevel="0" collapsed="false">
      <c r="F4888" s="41" t="str">
        <f aca="false">IF(C4888="","",IFERROR(IF(ISNUMBER(SEARCH(Assumptions!$C$5,C4888)),Assumptions!$D$5,IF(ISNUMBER(SEARCH(Assumptions!$C$6,C4888)),Assumptions!$D$6,IF(ISNUMBER(SEARCH(Assumptions!$C$7,C4888)),Assumptions!$D$7,"Other Services"))),"Other Services"))</f>
        <v/>
      </c>
    </row>
    <row r="4889" customFormat="false" ht="15" hidden="false" customHeight="false" outlineLevel="0" collapsed="false">
      <c r="F4889" s="41" t="str">
        <f aca="false">IF(C4889="","",IFERROR(IF(ISNUMBER(SEARCH(Assumptions!$C$5,C4889)),Assumptions!$D$5,IF(ISNUMBER(SEARCH(Assumptions!$C$6,C4889)),Assumptions!$D$6,IF(ISNUMBER(SEARCH(Assumptions!$C$7,C4889)),Assumptions!$D$7,"Other Services"))),"Other Services"))</f>
        <v/>
      </c>
    </row>
    <row r="4890" customFormat="false" ht="15" hidden="false" customHeight="false" outlineLevel="0" collapsed="false">
      <c r="F4890" s="41" t="str">
        <f aca="false">IF(C4890="","",IFERROR(IF(ISNUMBER(SEARCH(Assumptions!$C$5,C4890)),Assumptions!$D$5,IF(ISNUMBER(SEARCH(Assumptions!$C$6,C4890)),Assumptions!$D$6,IF(ISNUMBER(SEARCH(Assumptions!$C$7,C4890)),Assumptions!$D$7,"Other Services"))),"Other Services"))</f>
        <v/>
      </c>
    </row>
    <row r="4891" customFormat="false" ht="15" hidden="false" customHeight="false" outlineLevel="0" collapsed="false">
      <c r="F4891" s="41" t="str">
        <f aca="false">IF(C4891="","",IFERROR(IF(ISNUMBER(SEARCH(Assumptions!$C$5,C4891)),Assumptions!$D$5,IF(ISNUMBER(SEARCH(Assumptions!$C$6,C4891)),Assumptions!$D$6,IF(ISNUMBER(SEARCH(Assumptions!$C$7,C4891)),Assumptions!$D$7,"Other Services"))),"Other Services"))</f>
        <v/>
      </c>
    </row>
    <row r="4892" customFormat="false" ht="15" hidden="false" customHeight="false" outlineLevel="0" collapsed="false">
      <c r="F4892" s="41" t="str">
        <f aca="false">IF(C4892="","",IFERROR(IF(ISNUMBER(SEARCH(Assumptions!$C$5,C4892)),Assumptions!$D$5,IF(ISNUMBER(SEARCH(Assumptions!$C$6,C4892)),Assumptions!$D$6,IF(ISNUMBER(SEARCH(Assumptions!$C$7,C4892)),Assumptions!$D$7,"Other Services"))),"Other Services"))</f>
        <v/>
      </c>
    </row>
    <row r="4893" customFormat="false" ht="15" hidden="false" customHeight="false" outlineLevel="0" collapsed="false">
      <c r="F4893" s="41" t="str">
        <f aca="false">IF(C4893="","",IFERROR(IF(ISNUMBER(SEARCH(Assumptions!$C$5,C4893)),Assumptions!$D$5,IF(ISNUMBER(SEARCH(Assumptions!$C$6,C4893)),Assumptions!$D$6,IF(ISNUMBER(SEARCH(Assumptions!$C$7,C4893)),Assumptions!$D$7,"Other Services"))),"Other Services"))</f>
        <v/>
      </c>
    </row>
    <row r="4894" customFormat="false" ht="15" hidden="false" customHeight="false" outlineLevel="0" collapsed="false">
      <c r="F4894" s="41" t="str">
        <f aca="false">IF(C4894="","",IFERROR(IF(ISNUMBER(SEARCH(Assumptions!$C$5,C4894)),Assumptions!$D$5,IF(ISNUMBER(SEARCH(Assumptions!$C$6,C4894)),Assumptions!$D$6,IF(ISNUMBER(SEARCH(Assumptions!$C$7,C4894)),Assumptions!$D$7,"Other Services"))),"Other Services"))</f>
        <v/>
      </c>
    </row>
    <row r="4895" customFormat="false" ht="15" hidden="false" customHeight="false" outlineLevel="0" collapsed="false">
      <c r="F4895" s="41" t="str">
        <f aca="false">IF(C4895="","",IFERROR(IF(ISNUMBER(SEARCH(Assumptions!$C$5,C4895)),Assumptions!$D$5,IF(ISNUMBER(SEARCH(Assumptions!$C$6,C4895)),Assumptions!$D$6,IF(ISNUMBER(SEARCH(Assumptions!$C$7,C4895)),Assumptions!$D$7,"Other Services"))),"Other Services"))</f>
        <v/>
      </c>
    </row>
    <row r="4896" customFormat="false" ht="15" hidden="false" customHeight="false" outlineLevel="0" collapsed="false">
      <c r="F4896" s="41" t="str">
        <f aca="false">IF(C4896="","",IFERROR(IF(ISNUMBER(SEARCH(Assumptions!$C$5,C4896)),Assumptions!$D$5,IF(ISNUMBER(SEARCH(Assumptions!$C$6,C4896)),Assumptions!$D$6,IF(ISNUMBER(SEARCH(Assumptions!$C$7,C4896)),Assumptions!$D$7,"Other Services"))),"Other Services"))</f>
        <v/>
      </c>
    </row>
    <row r="4897" customFormat="false" ht="15" hidden="false" customHeight="false" outlineLevel="0" collapsed="false">
      <c r="F4897" s="41" t="str">
        <f aca="false">IF(C4897="","",IFERROR(IF(ISNUMBER(SEARCH(Assumptions!$C$5,C4897)),Assumptions!$D$5,IF(ISNUMBER(SEARCH(Assumptions!$C$6,C4897)),Assumptions!$D$6,IF(ISNUMBER(SEARCH(Assumptions!$C$7,C4897)),Assumptions!$D$7,"Other Services"))),"Other Services"))</f>
        <v/>
      </c>
    </row>
    <row r="4898" customFormat="false" ht="15" hidden="false" customHeight="false" outlineLevel="0" collapsed="false">
      <c r="F4898" s="41" t="str">
        <f aca="false">IF(C4898="","",IFERROR(IF(ISNUMBER(SEARCH(Assumptions!$C$5,C4898)),Assumptions!$D$5,IF(ISNUMBER(SEARCH(Assumptions!$C$6,C4898)),Assumptions!$D$6,IF(ISNUMBER(SEARCH(Assumptions!$C$7,C4898)),Assumptions!$D$7,"Other Services"))),"Other Services"))</f>
        <v/>
      </c>
    </row>
    <row r="4899" customFormat="false" ht="15" hidden="false" customHeight="false" outlineLevel="0" collapsed="false">
      <c r="F4899" s="41" t="str">
        <f aca="false">IF(C4899="","",IFERROR(IF(ISNUMBER(SEARCH(Assumptions!$C$5,C4899)),Assumptions!$D$5,IF(ISNUMBER(SEARCH(Assumptions!$C$6,C4899)),Assumptions!$D$6,IF(ISNUMBER(SEARCH(Assumptions!$C$7,C4899)),Assumptions!$D$7,"Other Services"))),"Other Services"))</f>
        <v/>
      </c>
    </row>
    <row r="4900" customFormat="false" ht="15" hidden="false" customHeight="false" outlineLevel="0" collapsed="false">
      <c r="F4900" s="41" t="str">
        <f aca="false">IF(C4900="","",IFERROR(IF(ISNUMBER(SEARCH(Assumptions!$C$5,C4900)),Assumptions!$D$5,IF(ISNUMBER(SEARCH(Assumptions!$C$6,C4900)),Assumptions!$D$6,IF(ISNUMBER(SEARCH(Assumptions!$C$7,C4900)),Assumptions!$D$7,"Other Services"))),"Other Services"))</f>
        <v/>
      </c>
    </row>
    <row r="4901" customFormat="false" ht="15" hidden="false" customHeight="false" outlineLevel="0" collapsed="false">
      <c r="F4901" s="41" t="str">
        <f aca="false">IF(C4901="","",IFERROR(IF(ISNUMBER(SEARCH(Assumptions!$C$5,C4901)),Assumptions!$D$5,IF(ISNUMBER(SEARCH(Assumptions!$C$6,C4901)),Assumptions!$D$6,IF(ISNUMBER(SEARCH(Assumptions!$C$7,C4901)),Assumptions!$D$7,"Other Services"))),"Other Services"))</f>
        <v/>
      </c>
    </row>
    <row r="4902" customFormat="false" ht="15" hidden="false" customHeight="false" outlineLevel="0" collapsed="false">
      <c r="F4902" s="41" t="str">
        <f aca="false">IF(C4902="","",IFERROR(IF(ISNUMBER(SEARCH(Assumptions!$C$5,C4902)),Assumptions!$D$5,IF(ISNUMBER(SEARCH(Assumptions!$C$6,C4902)),Assumptions!$D$6,IF(ISNUMBER(SEARCH(Assumptions!$C$7,C4902)),Assumptions!$D$7,"Other Services"))),"Other Services"))</f>
        <v/>
      </c>
    </row>
    <row r="4903" customFormat="false" ht="15" hidden="false" customHeight="false" outlineLevel="0" collapsed="false">
      <c r="F4903" s="41" t="str">
        <f aca="false">IF(C4903="","",IFERROR(IF(ISNUMBER(SEARCH(Assumptions!$C$5,C4903)),Assumptions!$D$5,IF(ISNUMBER(SEARCH(Assumptions!$C$6,C4903)),Assumptions!$D$6,IF(ISNUMBER(SEARCH(Assumptions!$C$7,C4903)),Assumptions!$D$7,"Other Services"))),"Other Services"))</f>
        <v/>
      </c>
    </row>
    <row r="4904" customFormat="false" ht="15" hidden="false" customHeight="false" outlineLevel="0" collapsed="false">
      <c r="F4904" s="41" t="str">
        <f aca="false">IF(C4904="","",IFERROR(IF(ISNUMBER(SEARCH(Assumptions!$C$5,C4904)),Assumptions!$D$5,IF(ISNUMBER(SEARCH(Assumptions!$C$6,C4904)),Assumptions!$D$6,IF(ISNUMBER(SEARCH(Assumptions!$C$7,C4904)),Assumptions!$D$7,"Other Services"))),"Other Services"))</f>
        <v/>
      </c>
    </row>
    <row r="4905" customFormat="false" ht="15" hidden="false" customHeight="false" outlineLevel="0" collapsed="false">
      <c r="F4905" s="41" t="str">
        <f aca="false">IF(C4905="","",IFERROR(IF(ISNUMBER(SEARCH(Assumptions!$C$5,C4905)),Assumptions!$D$5,IF(ISNUMBER(SEARCH(Assumptions!$C$6,C4905)),Assumptions!$D$6,IF(ISNUMBER(SEARCH(Assumptions!$C$7,C4905)),Assumptions!$D$7,"Other Services"))),"Other Services"))</f>
        <v/>
      </c>
    </row>
    <row r="4906" customFormat="false" ht="15" hidden="false" customHeight="false" outlineLevel="0" collapsed="false">
      <c r="F4906" s="41" t="str">
        <f aca="false">IF(C4906="","",IFERROR(IF(ISNUMBER(SEARCH(Assumptions!$C$5,C4906)),Assumptions!$D$5,IF(ISNUMBER(SEARCH(Assumptions!$C$6,C4906)),Assumptions!$D$6,IF(ISNUMBER(SEARCH(Assumptions!$C$7,C4906)),Assumptions!$D$7,"Other Services"))),"Other Services"))</f>
        <v/>
      </c>
    </row>
    <row r="4907" customFormat="false" ht="15" hidden="false" customHeight="false" outlineLevel="0" collapsed="false">
      <c r="F4907" s="41" t="str">
        <f aca="false">IF(C4907="","",IFERROR(IF(ISNUMBER(SEARCH(Assumptions!$C$5,C4907)),Assumptions!$D$5,IF(ISNUMBER(SEARCH(Assumptions!$C$6,C4907)),Assumptions!$D$6,IF(ISNUMBER(SEARCH(Assumptions!$C$7,C4907)),Assumptions!$D$7,"Other Services"))),"Other Services"))</f>
        <v/>
      </c>
    </row>
    <row r="4908" customFormat="false" ht="15" hidden="false" customHeight="false" outlineLevel="0" collapsed="false">
      <c r="F4908" s="41" t="str">
        <f aca="false">IF(C4908="","",IFERROR(IF(ISNUMBER(SEARCH(Assumptions!$C$5,C4908)),Assumptions!$D$5,IF(ISNUMBER(SEARCH(Assumptions!$C$6,C4908)),Assumptions!$D$6,IF(ISNUMBER(SEARCH(Assumptions!$C$7,C4908)),Assumptions!$D$7,"Other Services"))),"Other Services"))</f>
        <v/>
      </c>
    </row>
    <row r="4909" customFormat="false" ht="15" hidden="false" customHeight="false" outlineLevel="0" collapsed="false">
      <c r="F4909" s="41" t="str">
        <f aca="false">IF(C4909="","",IFERROR(IF(ISNUMBER(SEARCH(Assumptions!$C$5,C4909)),Assumptions!$D$5,IF(ISNUMBER(SEARCH(Assumptions!$C$6,C4909)),Assumptions!$D$6,IF(ISNUMBER(SEARCH(Assumptions!$C$7,C4909)),Assumptions!$D$7,"Other Services"))),"Other Services"))</f>
        <v/>
      </c>
    </row>
    <row r="4910" customFormat="false" ht="15" hidden="false" customHeight="false" outlineLevel="0" collapsed="false">
      <c r="F4910" s="41" t="str">
        <f aca="false">IF(C4910="","",IFERROR(IF(ISNUMBER(SEARCH(Assumptions!$C$5,C4910)),Assumptions!$D$5,IF(ISNUMBER(SEARCH(Assumptions!$C$6,C4910)),Assumptions!$D$6,IF(ISNUMBER(SEARCH(Assumptions!$C$7,C4910)),Assumptions!$D$7,"Other Services"))),"Other Services"))</f>
        <v/>
      </c>
    </row>
    <row r="4911" customFormat="false" ht="15" hidden="false" customHeight="false" outlineLevel="0" collapsed="false">
      <c r="F4911" s="41" t="str">
        <f aca="false">IF(C4911="","",IFERROR(IF(ISNUMBER(SEARCH(Assumptions!$C$5,C4911)),Assumptions!$D$5,IF(ISNUMBER(SEARCH(Assumptions!$C$6,C4911)),Assumptions!$D$6,IF(ISNUMBER(SEARCH(Assumptions!$C$7,C4911)),Assumptions!$D$7,"Other Services"))),"Other Services"))</f>
        <v/>
      </c>
    </row>
    <row r="4912" customFormat="false" ht="15" hidden="false" customHeight="false" outlineLevel="0" collapsed="false">
      <c r="F4912" s="41" t="str">
        <f aca="false">IF(C4912="","",IFERROR(IF(ISNUMBER(SEARCH(Assumptions!$C$5,C4912)),Assumptions!$D$5,IF(ISNUMBER(SEARCH(Assumptions!$C$6,C4912)),Assumptions!$D$6,IF(ISNUMBER(SEARCH(Assumptions!$C$7,C4912)),Assumptions!$D$7,"Other Services"))),"Other Services"))</f>
        <v/>
      </c>
    </row>
    <row r="4913" customFormat="false" ht="15" hidden="false" customHeight="false" outlineLevel="0" collapsed="false">
      <c r="F4913" s="41" t="str">
        <f aca="false">IF(C4913="","",IFERROR(IF(ISNUMBER(SEARCH(Assumptions!$C$5,C4913)),Assumptions!$D$5,IF(ISNUMBER(SEARCH(Assumptions!$C$6,C4913)),Assumptions!$D$6,IF(ISNUMBER(SEARCH(Assumptions!$C$7,C4913)),Assumptions!$D$7,"Other Services"))),"Other Services"))</f>
        <v/>
      </c>
    </row>
    <row r="4914" customFormat="false" ht="15" hidden="false" customHeight="false" outlineLevel="0" collapsed="false">
      <c r="F4914" s="41" t="str">
        <f aca="false">IF(C4914="","",IFERROR(IF(ISNUMBER(SEARCH(Assumptions!$C$5,C4914)),Assumptions!$D$5,IF(ISNUMBER(SEARCH(Assumptions!$C$6,C4914)),Assumptions!$D$6,IF(ISNUMBER(SEARCH(Assumptions!$C$7,C4914)),Assumptions!$D$7,"Other Services"))),"Other Services"))</f>
        <v/>
      </c>
    </row>
    <row r="4915" customFormat="false" ht="15" hidden="false" customHeight="false" outlineLevel="0" collapsed="false">
      <c r="F4915" s="41" t="str">
        <f aca="false">IF(C4915="","",IFERROR(IF(ISNUMBER(SEARCH(Assumptions!$C$5,C4915)),Assumptions!$D$5,IF(ISNUMBER(SEARCH(Assumptions!$C$6,C4915)),Assumptions!$D$6,IF(ISNUMBER(SEARCH(Assumptions!$C$7,C4915)),Assumptions!$D$7,"Other Services"))),"Other Services"))</f>
        <v/>
      </c>
    </row>
    <row r="4916" customFormat="false" ht="15" hidden="false" customHeight="false" outlineLevel="0" collapsed="false">
      <c r="F4916" s="41" t="str">
        <f aca="false">IF(C4916="","",IFERROR(IF(ISNUMBER(SEARCH(Assumptions!$C$5,C4916)),Assumptions!$D$5,IF(ISNUMBER(SEARCH(Assumptions!$C$6,C4916)),Assumptions!$D$6,IF(ISNUMBER(SEARCH(Assumptions!$C$7,C4916)),Assumptions!$D$7,"Other Services"))),"Other Services"))</f>
        <v/>
      </c>
    </row>
    <row r="4917" customFormat="false" ht="15" hidden="false" customHeight="false" outlineLevel="0" collapsed="false">
      <c r="F4917" s="41" t="str">
        <f aca="false">IF(C4917="","",IFERROR(IF(ISNUMBER(SEARCH(Assumptions!$C$5,C4917)),Assumptions!$D$5,IF(ISNUMBER(SEARCH(Assumptions!$C$6,C4917)),Assumptions!$D$6,IF(ISNUMBER(SEARCH(Assumptions!$C$7,C4917)),Assumptions!$D$7,"Other Services"))),"Other Services"))</f>
        <v/>
      </c>
    </row>
    <row r="4918" customFormat="false" ht="15" hidden="false" customHeight="false" outlineLevel="0" collapsed="false">
      <c r="F4918" s="41" t="str">
        <f aca="false">IF(C4918="","",IFERROR(IF(ISNUMBER(SEARCH(Assumptions!$C$5,C4918)),Assumptions!$D$5,IF(ISNUMBER(SEARCH(Assumptions!$C$6,C4918)),Assumptions!$D$6,IF(ISNUMBER(SEARCH(Assumptions!$C$7,C4918)),Assumptions!$D$7,"Other Services"))),"Other Services"))</f>
        <v/>
      </c>
    </row>
    <row r="4919" customFormat="false" ht="15" hidden="false" customHeight="false" outlineLevel="0" collapsed="false">
      <c r="F4919" s="41" t="str">
        <f aca="false">IF(C4919="","",IFERROR(IF(ISNUMBER(SEARCH(Assumptions!$C$5,C4919)),Assumptions!$D$5,IF(ISNUMBER(SEARCH(Assumptions!$C$6,C4919)),Assumptions!$D$6,IF(ISNUMBER(SEARCH(Assumptions!$C$7,C4919)),Assumptions!$D$7,"Other Services"))),"Other Services"))</f>
        <v/>
      </c>
    </row>
    <row r="4920" customFormat="false" ht="15" hidden="false" customHeight="false" outlineLevel="0" collapsed="false">
      <c r="F4920" s="41" t="str">
        <f aca="false">IF(C4920="","",IFERROR(IF(ISNUMBER(SEARCH(Assumptions!$C$5,C4920)),Assumptions!$D$5,IF(ISNUMBER(SEARCH(Assumptions!$C$6,C4920)),Assumptions!$D$6,IF(ISNUMBER(SEARCH(Assumptions!$C$7,C4920)),Assumptions!$D$7,"Other Services"))),"Other Services"))</f>
        <v/>
      </c>
    </row>
    <row r="4921" customFormat="false" ht="15" hidden="false" customHeight="false" outlineLevel="0" collapsed="false">
      <c r="F4921" s="41" t="str">
        <f aca="false">IF(C4921="","",IFERROR(IF(ISNUMBER(SEARCH(Assumptions!$C$5,C4921)),Assumptions!$D$5,IF(ISNUMBER(SEARCH(Assumptions!$C$6,C4921)),Assumptions!$D$6,IF(ISNUMBER(SEARCH(Assumptions!$C$7,C4921)),Assumptions!$D$7,"Other Services"))),"Other Services"))</f>
        <v/>
      </c>
    </row>
    <row r="4922" customFormat="false" ht="15" hidden="false" customHeight="false" outlineLevel="0" collapsed="false">
      <c r="F4922" s="41" t="str">
        <f aca="false">IF(C4922="","",IFERROR(IF(ISNUMBER(SEARCH(Assumptions!$C$5,C4922)),Assumptions!$D$5,IF(ISNUMBER(SEARCH(Assumptions!$C$6,C4922)),Assumptions!$D$6,IF(ISNUMBER(SEARCH(Assumptions!$C$7,C4922)),Assumptions!$D$7,"Other Services"))),"Other Services"))</f>
        <v/>
      </c>
    </row>
    <row r="4923" customFormat="false" ht="15" hidden="false" customHeight="false" outlineLevel="0" collapsed="false">
      <c r="F4923" s="41" t="str">
        <f aca="false">IF(C4923="","",IFERROR(IF(ISNUMBER(SEARCH(Assumptions!$C$5,C4923)),Assumptions!$D$5,IF(ISNUMBER(SEARCH(Assumptions!$C$6,C4923)),Assumptions!$D$6,IF(ISNUMBER(SEARCH(Assumptions!$C$7,C4923)),Assumptions!$D$7,"Other Services"))),"Other Services"))</f>
        <v/>
      </c>
    </row>
    <row r="4924" customFormat="false" ht="15" hidden="false" customHeight="false" outlineLevel="0" collapsed="false">
      <c r="F4924" s="41" t="str">
        <f aca="false">IF(C4924="","",IFERROR(IF(ISNUMBER(SEARCH(Assumptions!$C$5,C4924)),Assumptions!$D$5,IF(ISNUMBER(SEARCH(Assumptions!$C$6,C4924)),Assumptions!$D$6,IF(ISNUMBER(SEARCH(Assumptions!$C$7,C4924)),Assumptions!$D$7,"Other Services"))),"Other Services"))</f>
        <v/>
      </c>
    </row>
    <row r="4925" customFormat="false" ht="15" hidden="false" customHeight="false" outlineLevel="0" collapsed="false">
      <c r="F4925" s="41" t="str">
        <f aca="false">IF(C4925="","",IFERROR(IF(ISNUMBER(SEARCH(Assumptions!$C$5,C4925)),Assumptions!$D$5,IF(ISNUMBER(SEARCH(Assumptions!$C$6,C4925)),Assumptions!$D$6,IF(ISNUMBER(SEARCH(Assumptions!$C$7,C4925)),Assumptions!$D$7,"Other Services"))),"Other Services"))</f>
        <v/>
      </c>
    </row>
    <row r="4926" customFormat="false" ht="15" hidden="false" customHeight="false" outlineLevel="0" collapsed="false">
      <c r="F4926" s="41" t="str">
        <f aca="false">IF(C4926="","",IFERROR(IF(ISNUMBER(SEARCH(Assumptions!$C$5,C4926)),Assumptions!$D$5,IF(ISNUMBER(SEARCH(Assumptions!$C$6,C4926)),Assumptions!$D$6,IF(ISNUMBER(SEARCH(Assumptions!$C$7,C4926)),Assumptions!$D$7,"Other Services"))),"Other Services"))</f>
        <v/>
      </c>
    </row>
    <row r="4927" customFormat="false" ht="15" hidden="false" customHeight="false" outlineLevel="0" collapsed="false">
      <c r="F4927" s="41" t="str">
        <f aca="false">IF(C4927="","",IFERROR(IF(ISNUMBER(SEARCH(Assumptions!$C$5,C4927)),Assumptions!$D$5,IF(ISNUMBER(SEARCH(Assumptions!$C$6,C4927)),Assumptions!$D$6,IF(ISNUMBER(SEARCH(Assumptions!$C$7,C4927)),Assumptions!$D$7,"Other Services"))),"Other Services"))</f>
        <v/>
      </c>
    </row>
    <row r="4928" customFormat="false" ht="15" hidden="false" customHeight="false" outlineLevel="0" collapsed="false">
      <c r="F4928" s="41" t="str">
        <f aca="false">IF(C4928="","",IFERROR(IF(ISNUMBER(SEARCH(Assumptions!$C$5,C4928)),Assumptions!$D$5,IF(ISNUMBER(SEARCH(Assumptions!$C$6,C4928)),Assumptions!$D$6,IF(ISNUMBER(SEARCH(Assumptions!$C$7,C4928)),Assumptions!$D$7,"Other Services"))),"Other Services"))</f>
        <v/>
      </c>
    </row>
    <row r="4929" customFormat="false" ht="15" hidden="false" customHeight="false" outlineLevel="0" collapsed="false">
      <c r="F4929" s="41" t="str">
        <f aca="false">IF(C4929="","",IFERROR(IF(ISNUMBER(SEARCH(Assumptions!$C$5,C4929)),Assumptions!$D$5,IF(ISNUMBER(SEARCH(Assumptions!$C$6,C4929)),Assumptions!$D$6,IF(ISNUMBER(SEARCH(Assumptions!$C$7,C4929)),Assumptions!$D$7,"Other Services"))),"Other Services"))</f>
        <v/>
      </c>
    </row>
    <row r="4930" customFormat="false" ht="15" hidden="false" customHeight="false" outlineLevel="0" collapsed="false">
      <c r="F4930" s="41" t="str">
        <f aca="false">IF(C4930="","",IFERROR(IF(ISNUMBER(SEARCH(Assumptions!$C$5,C4930)),Assumptions!$D$5,IF(ISNUMBER(SEARCH(Assumptions!$C$6,C4930)),Assumptions!$D$6,IF(ISNUMBER(SEARCH(Assumptions!$C$7,C4930)),Assumptions!$D$7,"Other Services"))),"Other Services"))</f>
        <v/>
      </c>
    </row>
    <row r="4931" customFormat="false" ht="15" hidden="false" customHeight="false" outlineLevel="0" collapsed="false">
      <c r="F4931" s="41" t="str">
        <f aca="false">IF(C4931="","",IFERROR(IF(ISNUMBER(SEARCH(Assumptions!$C$5,C4931)),Assumptions!$D$5,IF(ISNUMBER(SEARCH(Assumptions!$C$6,C4931)),Assumptions!$D$6,IF(ISNUMBER(SEARCH(Assumptions!$C$7,C4931)),Assumptions!$D$7,"Other Services"))),"Other Services"))</f>
        <v/>
      </c>
    </row>
    <row r="4932" customFormat="false" ht="15" hidden="false" customHeight="false" outlineLevel="0" collapsed="false">
      <c r="F4932" s="41" t="str">
        <f aca="false">IF(C4932="","",IFERROR(IF(ISNUMBER(SEARCH(Assumptions!$C$5,C4932)),Assumptions!$D$5,IF(ISNUMBER(SEARCH(Assumptions!$C$6,C4932)),Assumptions!$D$6,IF(ISNUMBER(SEARCH(Assumptions!$C$7,C4932)),Assumptions!$D$7,"Other Services"))),"Other Services"))</f>
        <v/>
      </c>
    </row>
    <row r="4933" customFormat="false" ht="15" hidden="false" customHeight="false" outlineLevel="0" collapsed="false">
      <c r="F4933" s="41" t="str">
        <f aca="false">IF(C4933="","",IFERROR(IF(ISNUMBER(SEARCH(Assumptions!$C$5,C4933)),Assumptions!$D$5,IF(ISNUMBER(SEARCH(Assumptions!$C$6,C4933)),Assumptions!$D$6,IF(ISNUMBER(SEARCH(Assumptions!$C$7,C4933)),Assumptions!$D$7,"Other Services"))),"Other Services"))</f>
        <v/>
      </c>
    </row>
    <row r="4934" customFormat="false" ht="15" hidden="false" customHeight="false" outlineLevel="0" collapsed="false">
      <c r="F4934" s="41" t="str">
        <f aca="false">IF(C4934="","",IFERROR(IF(ISNUMBER(SEARCH(Assumptions!$C$5,C4934)),Assumptions!$D$5,IF(ISNUMBER(SEARCH(Assumptions!$C$6,C4934)),Assumptions!$D$6,IF(ISNUMBER(SEARCH(Assumptions!$C$7,C4934)),Assumptions!$D$7,"Other Services"))),"Other Services"))</f>
        <v/>
      </c>
    </row>
    <row r="4935" customFormat="false" ht="15" hidden="false" customHeight="false" outlineLevel="0" collapsed="false">
      <c r="F4935" s="41" t="str">
        <f aca="false">IF(C4935="","",IFERROR(IF(ISNUMBER(SEARCH(Assumptions!$C$5,C4935)),Assumptions!$D$5,IF(ISNUMBER(SEARCH(Assumptions!$C$6,C4935)),Assumptions!$D$6,IF(ISNUMBER(SEARCH(Assumptions!$C$7,C4935)),Assumptions!$D$7,"Other Services"))),"Other Services"))</f>
        <v/>
      </c>
    </row>
    <row r="4936" customFormat="false" ht="15" hidden="false" customHeight="false" outlineLevel="0" collapsed="false">
      <c r="F4936" s="41" t="str">
        <f aca="false">IF(C4936="","",IFERROR(IF(ISNUMBER(SEARCH(Assumptions!$C$5,C4936)),Assumptions!$D$5,IF(ISNUMBER(SEARCH(Assumptions!$C$6,C4936)),Assumptions!$D$6,IF(ISNUMBER(SEARCH(Assumptions!$C$7,C4936)),Assumptions!$D$7,"Other Services"))),"Other Services"))</f>
        <v/>
      </c>
    </row>
    <row r="4937" customFormat="false" ht="15" hidden="false" customHeight="false" outlineLevel="0" collapsed="false">
      <c r="F4937" s="41" t="str">
        <f aca="false">IF(C4937="","",IFERROR(IF(ISNUMBER(SEARCH(Assumptions!$C$5,C4937)),Assumptions!$D$5,IF(ISNUMBER(SEARCH(Assumptions!$C$6,C4937)),Assumptions!$D$6,IF(ISNUMBER(SEARCH(Assumptions!$C$7,C4937)),Assumptions!$D$7,"Other Services"))),"Other Services"))</f>
        <v/>
      </c>
    </row>
    <row r="4938" customFormat="false" ht="15" hidden="false" customHeight="false" outlineLevel="0" collapsed="false">
      <c r="F4938" s="41" t="str">
        <f aca="false">IF(C4938="","",IFERROR(IF(ISNUMBER(SEARCH(Assumptions!$C$5,C4938)),Assumptions!$D$5,IF(ISNUMBER(SEARCH(Assumptions!$C$6,C4938)),Assumptions!$D$6,IF(ISNUMBER(SEARCH(Assumptions!$C$7,C4938)),Assumptions!$D$7,"Other Services"))),"Other Services"))</f>
        <v/>
      </c>
    </row>
    <row r="4939" customFormat="false" ht="15" hidden="false" customHeight="false" outlineLevel="0" collapsed="false">
      <c r="F4939" s="41" t="str">
        <f aca="false">IF(C4939="","",IFERROR(IF(ISNUMBER(SEARCH(Assumptions!$C$5,C4939)),Assumptions!$D$5,IF(ISNUMBER(SEARCH(Assumptions!$C$6,C4939)),Assumptions!$D$6,IF(ISNUMBER(SEARCH(Assumptions!$C$7,C4939)),Assumptions!$D$7,"Other Services"))),"Other Services"))</f>
        <v/>
      </c>
    </row>
    <row r="4940" customFormat="false" ht="15" hidden="false" customHeight="false" outlineLevel="0" collapsed="false">
      <c r="F4940" s="41" t="str">
        <f aca="false">IF(C4940="","",IFERROR(IF(ISNUMBER(SEARCH(Assumptions!$C$5,C4940)),Assumptions!$D$5,IF(ISNUMBER(SEARCH(Assumptions!$C$6,C4940)),Assumptions!$D$6,IF(ISNUMBER(SEARCH(Assumptions!$C$7,C4940)),Assumptions!$D$7,"Other Services"))),"Other Services"))</f>
        <v/>
      </c>
    </row>
    <row r="4941" customFormat="false" ht="15" hidden="false" customHeight="false" outlineLevel="0" collapsed="false">
      <c r="F4941" s="41" t="str">
        <f aca="false">IF(C4941="","",IFERROR(IF(ISNUMBER(SEARCH(Assumptions!$C$5,C4941)),Assumptions!$D$5,IF(ISNUMBER(SEARCH(Assumptions!$C$6,C4941)),Assumptions!$D$6,IF(ISNUMBER(SEARCH(Assumptions!$C$7,C4941)),Assumptions!$D$7,"Other Services"))),"Other Services"))</f>
        <v/>
      </c>
    </row>
    <row r="4942" customFormat="false" ht="15" hidden="false" customHeight="false" outlineLevel="0" collapsed="false">
      <c r="F4942" s="41" t="str">
        <f aca="false">IF(C4942="","",IFERROR(IF(ISNUMBER(SEARCH(Assumptions!$C$5,C4942)),Assumptions!$D$5,IF(ISNUMBER(SEARCH(Assumptions!$C$6,C4942)),Assumptions!$D$6,IF(ISNUMBER(SEARCH(Assumptions!$C$7,C4942)),Assumptions!$D$7,"Other Services"))),"Other Services"))</f>
        <v/>
      </c>
    </row>
    <row r="4943" customFormat="false" ht="15" hidden="false" customHeight="false" outlineLevel="0" collapsed="false">
      <c r="F4943" s="41" t="str">
        <f aca="false">IF(C4943="","",IFERROR(IF(ISNUMBER(SEARCH(Assumptions!$C$5,C4943)),Assumptions!$D$5,IF(ISNUMBER(SEARCH(Assumptions!$C$6,C4943)),Assumptions!$D$6,IF(ISNUMBER(SEARCH(Assumptions!$C$7,C4943)),Assumptions!$D$7,"Other Services"))),"Other Services"))</f>
        <v/>
      </c>
    </row>
    <row r="4944" customFormat="false" ht="15" hidden="false" customHeight="false" outlineLevel="0" collapsed="false">
      <c r="F4944" s="41" t="str">
        <f aca="false">IF(C4944="","",IFERROR(IF(ISNUMBER(SEARCH(Assumptions!$C$5,C4944)),Assumptions!$D$5,IF(ISNUMBER(SEARCH(Assumptions!$C$6,C4944)),Assumptions!$D$6,IF(ISNUMBER(SEARCH(Assumptions!$C$7,C4944)),Assumptions!$D$7,"Other Services"))),"Other Services"))</f>
        <v/>
      </c>
    </row>
    <row r="4945" customFormat="false" ht="15" hidden="false" customHeight="false" outlineLevel="0" collapsed="false">
      <c r="F4945" s="41" t="str">
        <f aca="false">IF(C4945="","",IFERROR(IF(ISNUMBER(SEARCH(Assumptions!$C$5,C4945)),Assumptions!$D$5,IF(ISNUMBER(SEARCH(Assumptions!$C$6,C4945)),Assumptions!$D$6,IF(ISNUMBER(SEARCH(Assumptions!$C$7,C4945)),Assumptions!$D$7,"Other Services"))),"Other Services"))</f>
        <v/>
      </c>
    </row>
    <row r="4946" customFormat="false" ht="15" hidden="false" customHeight="false" outlineLevel="0" collapsed="false">
      <c r="F4946" s="41" t="str">
        <f aca="false">IF(C4946="","",IFERROR(IF(ISNUMBER(SEARCH(Assumptions!$C$5,C4946)),Assumptions!$D$5,IF(ISNUMBER(SEARCH(Assumptions!$C$6,C4946)),Assumptions!$D$6,IF(ISNUMBER(SEARCH(Assumptions!$C$7,C4946)),Assumptions!$D$7,"Other Services"))),"Other Services"))</f>
        <v/>
      </c>
    </row>
    <row r="4947" customFormat="false" ht="15" hidden="false" customHeight="false" outlineLevel="0" collapsed="false">
      <c r="F4947" s="41" t="str">
        <f aca="false">IF(C4947="","",IFERROR(IF(ISNUMBER(SEARCH(Assumptions!$C$5,C4947)),Assumptions!$D$5,IF(ISNUMBER(SEARCH(Assumptions!$C$6,C4947)),Assumptions!$D$6,IF(ISNUMBER(SEARCH(Assumptions!$C$7,C4947)),Assumptions!$D$7,"Other Services"))),"Other Services"))</f>
        <v/>
      </c>
    </row>
    <row r="4948" customFormat="false" ht="15" hidden="false" customHeight="false" outlineLevel="0" collapsed="false">
      <c r="F4948" s="41" t="str">
        <f aca="false">IF(C4948="","",IFERROR(IF(ISNUMBER(SEARCH(Assumptions!$C$5,C4948)),Assumptions!$D$5,IF(ISNUMBER(SEARCH(Assumptions!$C$6,C4948)),Assumptions!$D$6,IF(ISNUMBER(SEARCH(Assumptions!$C$7,C4948)),Assumptions!$D$7,"Other Services"))),"Other Services"))</f>
        <v/>
      </c>
    </row>
    <row r="4949" customFormat="false" ht="15" hidden="false" customHeight="false" outlineLevel="0" collapsed="false">
      <c r="F4949" s="41" t="str">
        <f aca="false">IF(C4949="","",IFERROR(IF(ISNUMBER(SEARCH(Assumptions!$C$5,C4949)),Assumptions!$D$5,IF(ISNUMBER(SEARCH(Assumptions!$C$6,C4949)),Assumptions!$D$6,IF(ISNUMBER(SEARCH(Assumptions!$C$7,C4949)),Assumptions!$D$7,"Other Services"))),"Other Services"))</f>
        <v/>
      </c>
    </row>
    <row r="4950" customFormat="false" ht="15" hidden="false" customHeight="false" outlineLevel="0" collapsed="false">
      <c r="F4950" s="41" t="str">
        <f aca="false">IF(C4950="","",IFERROR(IF(ISNUMBER(SEARCH(Assumptions!$C$5,C4950)),Assumptions!$D$5,IF(ISNUMBER(SEARCH(Assumptions!$C$6,C4950)),Assumptions!$D$6,IF(ISNUMBER(SEARCH(Assumptions!$C$7,C4950)),Assumptions!$D$7,"Other Services"))),"Other Services"))</f>
        <v/>
      </c>
    </row>
    <row r="4951" customFormat="false" ht="15" hidden="false" customHeight="false" outlineLevel="0" collapsed="false">
      <c r="F4951" s="41" t="str">
        <f aca="false">IF(C4951="","",IFERROR(IF(ISNUMBER(SEARCH(Assumptions!$C$5,C4951)),Assumptions!$D$5,IF(ISNUMBER(SEARCH(Assumptions!$C$6,C4951)),Assumptions!$D$6,IF(ISNUMBER(SEARCH(Assumptions!$C$7,C4951)),Assumptions!$D$7,"Other Services"))),"Other Services"))</f>
        <v/>
      </c>
    </row>
    <row r="4952" customFormat="false" ht="15" hidden="false" customHeight="false" outlineLevel="0" collapsed="false">
      <c r="F4952" s="41" t="str">
        <f aca="false">IF(C4952="","",IFERROR(IF(ISNUMBER(SEARCH(Assumptions!$C$5,C4952)),Assumptions!$D$5,IF(ISNUMBER(SEARCH(Assumptions!$C$6,C4952)),Assumptions!$D$6,IF(ISNUMBER(SEARCH(Assumptions!$C$7,C4952)),Assumptions!$D$7,"Other Services"))),"Other Services"))</f>
        <v/>
      </c>
    </row>
    <row r="4953" customFormat="false" ht="15" hidden="false" customHeight="false" outlineLevel="0" collapsed="false">
      <c r="F4953" s="41" t="str">
        <f aca="false">IF(C4953="","",IFERROR(IF(ISNUMBER(SEARCH(Assumptions!$C$5,C4953)),Assumptions!$D$5,IF(ISNUMBER(SEARCH(Assumptions!$C$6,C4953)),Assumptions!$D$6,IF(ISNUMBER(SEARCH(Assumptions!$C$7,C4953)),Assumptions!$D$7,"Other Services"))),"Other Services"))</f>
        <v/>
      </c>
    </row>
    <row r="4954" customFormat="false" ht="15" hidden="false" customHeight="false" outlineLevel="0" collapsed="false">
      <c r="F4954" s="41" t="str">
        <f aca="false">IF(C4954="","",IFERROR(IF(ISNUMBER(SEARCH(Assumptions!$C$5,C4954)),Assumptions!$D$5,IF(ISNUMBER(SEARCH(Assumptions!$C$6,C4954)),Assumptions!$D$6,IF(ISNUMBER(SEARCH(Assumptions!$C$7,C4954)),Assumptions!$D$7,"Other Services"))),"Other Services"))</f>
        <v/>
      </c>
    </row>
    <row r="4955" customFormat="false" ht="15" hidden="false" customHeight="false" outlineLevel="0" collapsed="false">
      <c r="F4955" s="41" t="str">
        <f aca="false">IF(C4955="","",IFERROR(IF(ISNUMBER(SEARCH(Assumptions!$C$5,C4955)),Assumptions!$D$5,IF(ISNUMBER(SEARCH(Assumptions!$C$6,C4955)),Assumptions!$D$6,IF(ISNUMBER(SEARCH(Assumptions!$C$7,C4955)),Assumptions!$D$7,"Other Services"))),"Other Services"))</f>
        <v/>
      </c>
    </row>
    <row r="4956" customFormat="false" ht="15" hidden="false" customHeight="false" outlineLevel="0" collapsed="false">
      <c r="F4956" s="41" t="str">
        <f aca="false">IF(C4956="","",IFERROR(IF(ISNUMBER(SEARCH(Assumptions!$C$5,C4956)),Assumptions!$D$5,IF(ISNUMBER(SEARCH(Assumptions!$C$6,C4956)),Assumptions!$D$6,IF(ISNUMBER(SEARCH(Assumptions!$C$7,C4956)),Assumptions!$D$7,"Other Services"))),"Other Services"))</f>
        <v/>
      </c>
    </row>
    <row r="4957" customFormat="false" ht="15" hidden="false" customHeight="false" outlineLevel="0" collapsed="false">
      <c r="F4957" s="41" t="str">
        <f aca="false">IF(C4957="","",IFERROR(IF(ISNUMBER(SEARCH(Assumptions!$C$5,C4957)),Assumptions!$D$5,IF(ISNUMBER(SEARCH(Assumptions!$C$6,C4957)),Assumptions!$D$6,IF(ISNUMBER(SEARCH(Assumptions!$C$7,C4957)),Assumptions!$D$7,"Other Services"))),"Other Services"))</f>
        <v/>
      </c>
    </row>
    <row r="4958" customFormat="false" ht="15" hidden="false" customHeight="false" outlineLevel="0" collapsed="false">
      <c r="F4958" s="41" t="str">
        <f aca="false">IF(C4958="","",IFERROR(IF(ISNUMBER(SEARCH(Assumptions!$C$5,C4958)),Assumptions!$D$5,IF(ISNUMBER(SEARCH(Assumptions!$C$6,C4958)),Assumptions!$D$6,IF(ISNUMBER(SEARCH(Assumptions!$C$7,C4958)),Assumptions!$D$7,"Other Services"))),"Other Services"))</f>
        <v/>
      </c>
    </row>
    <row r="4959" customFormat="false" ht="15" hidden="false" customHeight="false" outlineLevel="0" collapsed="false">
      <c r="F4959" s="41" t="str">
        <f aca="false">IF(C4959="","",IFERROR(IF(ISNUMBER(SEARCH(Assumptions!$C$5,C4959)),Assumptions!$D$5,IF(ISNUMBER(SEARCH(Assumptions!$C$6,C4959)),Assumptions!$D$6,IF(ISNUMBER(SEARCH(Assumptions!$C$7,C4959)),Assumptions!$D$7,"Other Services"))),"Other Services"))</f>
        <v/>
      </c>
    </row>
    <row r="4960" customFormat="false" ht="15" hidden="false" customHeight="false" outlineLevel="0" collapsed="false">
      <c r="F4960" s="41" t="str">
        <f aca="false">IF(C4960="","",IFERROR(IF(ISNUMBER(SEARCH(Assumptions!$C$5,C4960)),Assumptions!$D$5,IF(ISNUMBER(SEARCH(Assumptions!$C$6,C4960)),Assumptions!$D$6,IF(ISNUMBER(SEARCH(Assumptions!$C$7,C4960)),Assumptions!$D$7,"Other Services"))),"Other Services"))</f>
        <v/>
      </c>
    </row>
    <row r="4961" customFormat="false" ht="15" hidden="false" customHeight="false" outlineLevel="0" collapsed="false">
      <c r="F4961" s="41" t="str">
        <f aca="false">IF(C4961="","",IFERROR(IF(ISNUMBER(SEARCH(Assumptions!$C$5,C4961)),Assumptions!$D$5,IF(ISNUMBER(SEARCH(Assumptions!$C$6,C4961)),Assumptions!$D$6,IF(ISNUMBER(SEARCH(Assumptions!$C$7,C4961)),Assumptions!$D$7,"Other Services"))),"Other Services"))</f>
        <v/>
      </c>
    </row>
    <row r="4962" customFormat="false" ht="15" hidden="false" customHeight="false" outlineLevel="0" collapsed="false">
      <c r="F4962" s="41" t="str">
        <f aca="false">IF(C4962="","",IFERROR(IF(ISNUMBER(SEARCH(Assumptions!$C$5,C4962)),Assumptions!$D$5,IF(ISNUMBER(SEARCH(Assumptions!$C$6,C4962)),Assumptions!$D$6,IF(ISNUMBER(SEARCH(Assumptions!$C$7,C4962)),Assumptions!$D$7,"Other Services"))),"Other Services"))</f>
        <v/>
      </c>
    </row>
    <row r="4963" customFormat="false" ht="15" hidden="false" customHeight="false" outlineLevel="0" collapsed="false">
      <c r="F4963" s="41" t="str">
        <f aca="false">IF(C4963="","",IFERROR(IF(ISNUMBER(SEARCH(Assumptions!$C$5,C4963)),Assumptions!$D$5,IF(ISNUMBER(SEARCH(Assumptions!$C$6,C4963)),Assumptions!$D$6,IF(ISNUMBER(SEARCH(Assumptions!$C$7,C4963)),Assumptions!$D$7,"Other Services"))),"Other Services"))</f>
        <v/>
      </c>
    </row>
    <row r="4964" customFormat="false" ht="15" hidden="false" customHeight="false" outlineLevel="0" collapsed="false">
      <c r="F4964" s="41" t="str">
        <f aca="false">IF(C4964="","",IFERROR(IF(ISNUMBER(SEARCH(Assumptions!$C$5,C4964)),Assumptions!$D$5,IF(ISNUMBER(SEARCH(Assumptions!$C$6,C4964)),Assumptions!$D$6,IF(ISNUMBER(SEARCH(Assumptions!$C$7,C4964)),Assumptions!$D$7,"Other Services"))),"Other Services"))</f>
        <v/>
      </c>
    </row>
    <row r="4965" customFormat="false" ht="15" hidden="false" customHeight="false" outlineLevel="0" collapsed="false">
      <c r="F4965" s="41" t="str">
        <f aca="false">IF(C4965="","",IFERROR(IF(ISNUMBER(SEARCH(Assumptions!$C$5,C4965)),Assumptions!$D$5,IF(ISNUMBER(SEARCH(Assumptions!$C$6,C4965)),Assumptions!$D$6,IF(ISNUMBER(SEARCH(Assumptions!$C$7,C4965)),Assumptions!$D$7,"Other Services"))),"Other Services"))</f>
        <v/>
      </c>
    </row>
    <row r="4966" customFormat="false" ht="15" hidden="false" customHeight="false" outlineLevel="0" collapsed="false">
      <c r="F4966" s="41" t="str">
        <f aca="false">IF(C4966="","",IFERROR(IF(ISNUMBER(SEARCH(Assumptions!$C$5,C4966)),Assumptions!$D$5,IF(ISNUMBER(SEARCH(Assumptions!$C$6,C4966)),Assumptions!$D$6,IF(ISNUMBER(SEARCH(Assumptions!$C$7,C4966)),Assumptions!$D$7,"Other Services"))),"Other Services"))</f>
        <v/>
      </c>
    </row>
    <row r="4967" customFormat="false" ht="15" hidden="false" customHeight="false" outlineLevel="0" collapsed="false">
      <c r="F4967" s="41" t="str">
        <f aca="false">IF(C4967="","",IFERROR(IF(ISNUMBER(SEARCH(Assumptions!$C$5,C4967)),Assumptions!$D$5,IF(ISNUMBER(SEARCH(Assumptions!$C$6,C4967)),Assumptions!$D$6,IF(ISNUMBER(SEARCH(Assumptions!$C$7,C4967)),Assumptions!$D$7,"Other Services"))),"Other Services"))</f>
        <v/>
      </c>
    </row>
    <row r="4968" customFormat="false" ht="15" hidden="false" customHeight="false" outlineLevel="0" collapsed="false">
      <c r="F4968" s="41" t="str">
        <f aca="false">IF(C4968="","",IFERROR(IF(ISNUMBER(SEARCH(Assumptions!$C$5,C4968)),Assumptions!$D$5,IF(ISNUMBER(SEARCH(Assumptions!$C$6,C4968)),Assumptions!$D$6,IF(ISNUMBER(SEARCH(Assumptions!$C$7,C4968)),Assumptions!$D$7,"Other Services"))),"Other Services"))</f>
        <v/>
      </c>
    </row>
    <row r="4969" customFormat="false" ht="15" hidden="false" customHeight="false" outlineLevel="0" collapsed="false">
      <c r="F4969" s="41" t="str">
        <f aca="false">IF(C4969="","",IFERROR(IF(ISNUMBER(SEARCH(Assumptions!$C$5,C4969)),Assumptions!$D$5,IF(ISNUMBER(SEARCH(Assumptions!$C$6,C4969)),Assumptions!$D$6,IF(ISNUMBER(SEARCH(Assumptions!$C$7,C4969)),Assumptions!$D$7,"Other Services"))),"Other Services"))</f>
        <v/>
      </c>
    </row>
    <row r="4970" customFormat="false" ht="15" hidden="false" customHeight="false" outlineLevel="0" collapsed="false">
      <c r="F4970" s="41" t="str">
        <f aca="false">IF(C4970="","",IFERROR(IF(ISNUMBER(SEARCH(Assumptions!$C$5,C4970)),Assumptions!$D$5,IF(ISNUMBER(SEARCH(Assumptions!$C$6,C4970)),Assumptions!$D$6,IF(ISNUMBER(SEARCH(Assumptions!$C$7,C4970)),Assumptions!$D$7,"Other Services"))),"Other Services"))</f>
        <v/>
      </c>
    </row>
    <row r="4971" customFormat="false" ht="15" hidden="false" customHeight="false" outlineLevel="0" collapsed="false">
      <c r="F4971" s="41" t="str">
        <f aca="false">IF(C4971="","",IFERROR(IF(ISNUMBER(SEARCH(Assumptions!$C$5,C4971)),Assumptions!$D$5,IF(ISNUMBER(SEARCH(Assumptions!$C$6,C4971)),Assumptions!$D$6,IF(ISNUMBER(SEARCH(Assumptions!$C$7,C4971)),Assumptions!$D$7,"Other Services"))),"Other Services"))</f>
        <v/>
      </c>
    </row>
    <row r="4972" customFormat="false" ht="15" hidden="false" customHeight="false" outlineLevel="0" collapsed="false">
      <c r="F4972" s="41" t="str">
        <f aca="false">IF(C4972="","",IFERROR(IF(ISNUMBER(SEARCH(Assumptions!$C$5,C4972)),Assumptions!$D$5,IF(ISNUMBER(SEARCH(Assumptions!$C$6,C4972)),Assumptions!$D$6,IF(ISNUMBER(SEARCH(Assumptions!$C$7,C4972)),Assumptions!$D$7,"Other Services"))),"Other Services"))</f>
        <v/>
      </c>
    </row>
    <row r="4973" customFormat="false" ht="15" hidden="false" customHeight="false" outlineLevel="0" collapsed="false">
      <c r="F4973" s="41" t="str">
        <f aca="false">IF(C4973="","",IFERROR(IF(ISNUMBER(SEARCH(Assumptions!$C$5,C4973)),Assumptions!$D$5,IF(ISNUMBER(SEARCH(Assumptions!$C$6,C4973)),Assumptions!$D$6,IF(ISNUMBER(SEARCH(Assumptions!$C$7,C4973)),Assumptions!$D$7,"Other Services"))),"Other Services"))</f>
        <v/>
      </c>
    </row>
    <row r="4974" customFormat="false" ht="15" hidden="false" customHeight="false" outlineLevel="0" collapsed="false">
      <c r="F4974" s="41" t="str">
        <f aca="false">IF(C4974="","",IFERROR(IF(ISNUMBER(SEARCH(Assumptions!$C$5,C4974)),Assumptions!$D$5,IF(ISNUMBER(SEARCH(Assumptions!$C$6,C4974)),Assumptions!$D$6,IF(ISNUMBER(SEARCH(Assumptions!$C$7,C4974)),Assumptions!$D$7,"Other Services"))),"Other Services"))</f>
        <v/>
      </c>
    </row>
    <row r="4975" customFormat="false" ht="15" hidden="false" customHeight="false" outlineLevel="0" collapsed="false">
      <c r="F4975" s="41" t="str">
        <f aca="false">IF(C4975="","",IFERROR(IF(ISNUMBER(SEARCH(Assumptions!$C$5,C4975)),Assumptions!$D$5,IF(ISNUMBER(SEARCH(Assumptions!$C$6,C4975)),Assumptions!$D$6,IF(ISNUMBER(SEARCH(Assumptions!$C$7,C4975)),Assumptions!$D$7,"Other Services"))),"Other Services"))</f>
        <v/>
      </c>
    </row>
    <row r="4976" customFormat="false" ht="15" hidden="false" customHeight="false" outlineLevel="0" collapsed="false">
      <c r="F4976" s="41" t="str">
        <f aca="false">IF(C4976="","",IFERROR(IF(ISNUMBER(SEARCH(Assumptions!$C$5,C4976)),Assumptions!$D$5,IF(ISNUMBER(SEARCH(Assumptions!$C$6,C4976)),Assumptions!$D$6,IF(ISNUMBER(SEARCH(Assumptions!$C$7,C4976)),Assumptions!$D$7,"Other Services"))),"Other Services"))</f>
        <v/>
      </c>
    </row>
    <row r="4977" customFormat="false" ht="15" hidden="false" customHeight="false" outlineLevel="0" collapsed="false">
      <c r="F4977" s="41" t="str">
        <f aca="false">IF(C4977="","",IFERROR(IF(ISNUMBER(SEARCH(Assumptions!$C$5,C4977)),Assumptions!$D$5,IF(ISNUMBER(SEARCH(Assumptions!$C$6,C4977)),Assumptions!$D$6,IF(ISNUMBER(SEARCH(Assumptions!$C$7,C4977)),Assumptions!$D$7,"Other Services"))),"Other Services"))</f>
        <v/>
      </c>
    </row>
    <row r="4978" customFormat="false" ht="15" hidden="false" customHeight="false" outlineLevel="0" collapsed="false">
      <c r="F4978" s="41" t="str">
        <f aca="false">IF(C4978="","",IFERROR(IF(ISNUMBER(SEARCH(Assumptions!$C$5,C4978)),Assumptions!$D$5,IF(ISNUMBER(SEARCH(Assumptions!$C$6,C4978)),Assumptions!$D$6,IF(ISNUMBER(SEARCH(Assumptions!$C$7,C4978)),Assumptions!$D$7,"Other Services"))),"Other Services"))</f>
        <v/>
      </c>
    </row>
    <row r="4979" customFormat="false" ht="15" hidden="false" customHeight="false" outlineLevel="0" collapsed="false">
      <c r="F4979" s="41" t="str">
        <f aca="false">IF(C4979="","",IFERROR(IF(ISNUMBER(SEARCH(Assumptions!$C$5,C4979)),Assumptions!$D$5,IF(ISNUMBER(SEARCH(Assumptions!$C$6,C4979)),Assumptions!$D$6,IF(ISNUMBER(SEARCH(Assumptions!$C$7,C4979)),Assumptions!$D$7,"Other Services"))),"Other Services"))</f>
        <v/>
      </c>
    </row>
    <row r="4980" customFormat="false" ht="15" hidden="false" customHeight="false" outlineLevel="0" collapsed="false">
      <c r="F4980" s="41" t="str">
        <f aca="false">IF(C4980="","",IFERROR(IF(ISNUMBER(SEARCH(Assumptions!$C$5,C4980)),Assumptions!$D$5,IF(ISNUMBER(SEARCH(Assumptions!$C$6,C4980)),Assumptions!$D$6,IF(ISNUMBER(SEARCH(Assumptions!$C$7,C4980)),Assumptions!$D$7,"Other Services"))),"Other Services"))</f>
        <v/>
      </c>
    </row>
    <row r="4981" customFormat="false" ht="15" hidden="false" customHeight="false" outlineLevel="0" collapsed="false">
      <c r="F4981" s="41" t="str">
        <f aca="false">IF(C4981="","",IFERROR(IF(ISNUMBER(SEARCH(Assumptions!$C$5,C4981)),Assumptions!$D$5,IF(ISNUMBER(SEARCH(Assumptions!$C$6,C4981)),Assumptions!$D$6,IF(ISNUMBER(SEARCH(Assumptions!$C$7,C4981)),Assumptions!$D$7,"Other Services"))),"Other Services"))</f>
        <v/>
      </c>
    </row>
    <row r="4982" customFormat="false" ht="15" hidden="false" customHeight="false" outlineLevel="0" collapsed="false">
      <c r="F4982" s="41" t="str">
        <f aca="false">IF(C4982="","",IFERROR(IF(ISNUMBER(SEARCH(Assumptions!$C$5,C4982)),Assumptions!$D$5,IF(ISNUMBER(SEARCH(Assumptions!$C$6,C4982)),Assumptions!$D$6,IF(ISNUMBER(SEARCH(Assumptions!$C$7,C4982)),Assumptions!$D$7,"Other Services"))),"Other Services"))</f>
        <v/>
      </c>
    </row>
    <row r="4983" customFormat="false" ht="15" hidden="false" customHeight="false" outlineLevel="0" collapsed="false">
      <c r="F4983" s="41" t="str">
        <f aca="false">IF(C4983="","",IFERROR(IF(ISNUMBER(SEARCH(Assumptions!$C$5,C4983)),Assumptions!$D$5,IF(ISNUMBER(SEARCH(Assumptions!$C$6,C4983)),Assumptions!$D$6,IF(ISNUMBER(SEARCH(Assumptions!$C$7,C4983)),Assumptions!$D$7,"Other Services"))),"Other Services"))</f>
        <v/>
      </c>
    </row>
    <row r="4984" customFormat="false" ht="15" hidden="false" customHeight="false" outlineLevel="0" collapsed="false">
      <c r="F4984" s="41" t="str">
        <f aca="false">IF(C4984="","",IFERROR(IF(ISNUMBER(SEARCH(Assumptions!$C$5,C4984)),Assumptions!$D$5,IF(ISNUMBER(SEARCH(Assumptions!$C$6,C4984)),Assumptions!$D$6,IF(ISNUMBER(SEARCH(Assumptions!$C$7,C4984)),Assumptions!$D$7,"Other Services"))),"Other Services"))</f>
        <v/>
      </c>
    </row>
    <row r="4985" customFormat="false" ht="15" hidden="false" customHeight="false" outlineLevel="0" collapsed="false">
      <c r="F4985" s="41" t="str">
        <f aca="false">IF(C4985="","",IFERROR(IF(ISNUMBER(SEARCH(Assumptions!$C$5,C4985)),Assumptions!$D$5,IF(ISNUMBER(SEARCH(Assumptions!$C$6,C4985)),Assumptions!$D$6,IF(ISNUMBER(SEARCH(Assumptions!$C$7,C4985)),Assumptions!$D$7,"Other Services"))),"Other Services"))</f>
        <v/>
      </c>
    </row>
    <row r="4986" customFormat="false" ht="15" hidden="false" customHeight="false" outlineLevel="0" collapsed="false">
      <c r="F4986" s="41" t="str">
        <f aca="false">IF(C4986="","",IFERROR(IF(ISNUMBER(SEARCH(Assumptions!$C$5,C4986)),Assumptions!$D$5,IF(ISNUMBER(SEARCH(Assumptions!$C$6,C4986)),Assumptions!$D$6,IF(ISNUMBER(SEARCH(Assumptions!$C$7,C4986)),Assumptions!$D$7,"Other Services"))),"Other Services"))</f>
        <v/>
      </c>
    </row>
    <row r="4987" customFormat="false" ht="15" hidden="false" customHeight="false" outlineLevel="0" collapsed="false">
      <c r="F4987" s="41" t="str">
        <f aca="false">IF(C4987="","",IFERROR(IF(ISNUMBER(SEARCH(Assumptions!$C$5,C4987)),Assumptions!$D$5,IF(ISNUMBER(SEARCH(Assumptions!$C$6,C4987)),Assumptions!$D$6,IF(ISNUMBER(SEARCH(Assumptions!$C$7,C4987)),Assumptions!$D$7,"Other Services"))),"Other Services"))</f>
        <v/>
      </c>
    </row>
    <row r="4988" customFormat="false" ht="15" hidden="false" customHeight="false" outlineLevel="0" collapsed="false">
      <c r="F4988" s="41" t="str">
        <f aca="false">IF(C4988="","",IFERROR(IF(ISNUMBER(SEARCH(Assumptions!$C$5,C4988)),Assumptions!$D$5,IF(ISNUMBER(SEARCH(Assumptions!$C$6,C4988)),Assumptions!$D$6,IF(ISNUMBER(SEARCH(Assumptions!$C$7,C4988)),Assumptions!$D$7,"Other Services"))),"Other Services"))</f>
        <v/>
      </c>
    </row>
    <row r="4989" customFormat="false" ht="15" hidden="false" customHeight="false" outlineLevel="0" collapsed="false">
      <c r="F4989" s="41" t="str">
        <f aca="false">IF(C4989="","",IFERROR(IF(ISNUMBER(SEARCH(Assumptions!$C$5,C4989)),Assumptions!$D$5,IF(ISNUMBER(SEARCH(Assumptions!$C$6,C4989)),Assumptions!$D$6,IF(ISNUMBER(SEARCH(Assumptions!$C$7,C4989)),Assumptions!$D$7,"Other Services"))),"Other Services"))</f>
        <v/>
      </c>
    </row>
    <row r="4990" customFormat="false" ht="15" hidden="false" customHeight="false" outlineLevel="0" collapsed="false">
      <c r="F4990" s="41" t="str">
        <f aca="false">IF(C4990="","",IFERROR(IF(ISNUMBER(SEARCH(Assumptions!$C$5,C4990)),Assumptions!$D$5,IF(ISNUMBER(SEARCH(Assumptions!$C$6,C4990)),Assumptions!$D$6,IF(ISNUMBER(SEARCH(Assumptions!$C$7,C4990)),Assumptions!$D$7,"Other Services"))),"Other Services"))</f>
        <v/>
      </c>
    </row>
    <row r="4991" customFormat="false" ht="15" hidden="false" customHeight="false" outlineLevel="0" collapsed="false">
      <c r="F4991" s="41" t="str">
        <f aca="false">IF(C4991="","",IFERROR(IF(ISNUMBER(SEARCH(Assumptions!$C$5,C4991)),Assumptions!$D$5,IF(ISNUMBER(SEARCH(Assumptions!$C$6,C4991)),Assumptions!$D$6,IF(ISNUMBER(SEARCH(Assumptions!$C$7,C4991)),Assumptions!$D$7,"Other Services"))),"Other Services"))</f>
        <v/>
      </c>
    </row>
    <row r="4992" customFormat="false" ht="15" hidden="false" customHeight="false" outlineLevel="0" collapsed="false">
      <c r="F4992" s="41" t="str">
        <f aca="false">IF(C4992="","",IFERROR(IF(ISNUMBER(SEARCH(Assumptions!$C$5,C4992)),Assumptions!$D$5,IF(ISNUMBER(SEARCH(Assumptions!$C$6,C4992)),Assumptions!$D$6,IF(ISNUMBER(SEARCH(Assumptions!$C$7,C4992)),Assumptions!$D$7,"Other Services"))),"Other Services"))</f>
        <v/>
      </c>
    </row>
    <row r="4993" customFormat="false" ht="15" hidden="false" customHeight="false" outlineLevel="0" collapsed="false">
      <c r="F4993" s="41" t="str">
        <f aca="false">IF(C4993="","",IFERROR(IF(ISNUMBER(SEARCH(Assumptions!$C$5,C4993)),Assumptions!$D$5,IF(ISNUMBER(SEARCH(Assumptions!$C$6,C4993)),Assumptions!$D$6,IF(ISNUMBER(SEARCH(Assumptions!$C$7,C4993)),Assumptions!$D$7,"Other Services"))),"Other Services"))</f>
        <v/>
      </c>
    </row>
    <row r="4994" customFormat="false" ht="15" hidden="false" customHeight="false" outlineLevel="0" collapsed="false">
      <c r="F4994" s="41" t="str">
        <f aca="false">IF(C4994="","",IFERROR(IF(ISNUMBER(SEARCH(Assumptions!$C$5,C4994)),Assumptions!$D$5,IF(ISNUMBER(SEARCH(Assumptions!$C$6,C4994)),Assumptions!$D$6,IF(ISNUMBER(SEARCH(Assumptions!$C$7,C4994)),Assumptions!$D$7,"Other Services"))),"Other Services"))</f>
        <v/>
      </c>
    </row>
    <row r="4995" customFormat="false" ht="15" hidden="false" customHeight="false" outlineLevel="0" collapsed="false">
      <c r="F4995" s="41" t="str">
        <f aca="false">IF(C4995="","",IFERROR(IF(ISNUMBER(SEARCH(Assumptions!$C$5,C4995)),Assumptions!$D$5,IF(ISNUMBER(SEARCH(Assumptions!$C$6,C4995)),Assumptions!$D$6,IF(ISNUMBER(SEARCH(Assumptions!$C$7,C4995)),Assumptions!$D$7,"Other Services"))),"Other Services"))</f>
        <v/>
      </c>
    </row>
    <row r="4996" customFormat="false" ht="15" hidden="false" customHeight="false" outlineLevel="0" collapsed="false">
      <c r="F4996" s="41" t="str">
        <f aca="false">IF(C4996="","",IFERROR(IF(ISNUMBER(SEARCH(Assumptions!$C$5,C4996)),Assumptions!$D$5,IF(ISNUMBER(SEARCH(Assumptions!$C$6,C4996)),Assumptions!$D$6,IF(ISNUMBER(SEARCH(Assumptions!$C$7,C4996)),Assumptions!$D$7,"Other Services"))),"Other Services"))</f>
        <v/>
      </c>
    </row>
    <row r="4997" customFormat="false" ht="15" hidden="false" customHeight="false" outlineLevel="0" collapsed="false">
      <c r="F4997" s="41" t="str">
        <f aca="false">IF(C4997="","",IFERROR(IF(ISNUMBER(SEARCH(Assumptions!$C$5,C4997)),Assumptions!$D$5,IF(ISNUMBER(SEARCH(Assumptions!$C$6,C4997)),Assumptions!$D$6,IF(ISNUMBER(SEARCH(Assumptions!$C$7,C4997)),Assumptions!$D$7,"Other Services"))),"Other Services"))</f>
        <v/>
      </c>
    </row>
    <row r="4998" customFormat="false" ht="15" hidden="false" customHeight="false" outlineLevel="0" collapsed="false">
      <c r="F4998" s="41" t="str">
        <f aca="false">IF(C4998="","",IFERROR(IF(ISNUMBER(SEARCH(Assumptions!$C$5,C4998)),Assumptions!$D$5,IF(ISNUMBER(SEARCH(Assumptions!$C$6,C4998)),Assumptions!$D$6,IF(ISNUMBER(SEARCH(Assumptions!$C$7,C4998)),Assumptions!$D$7,"Other Services"))),"Other Services"))</f>
        <v/>
      </c>
    </row>
    <row r="4999" customFormat="false" ht="15" hidden="false" customHeight="false" outlineLevel="0" collapsed="false">
      <c r="F4999" s="41" t="str">
        <f aca="false">IF(C4999="","",IFERROR(IF(ISNUMBER(SEARCH(Assumptions!$C$5,C4999)),Assumptions!$D$5,IF(ISNUMBER(SEARCH(Assumptions!$C$6,C4999)),Assumptions!$D$6,IF(ISNUMBER(SEARCH(Assumptions!$C$7,C4999)),Assumptions!$D$7,"Other Services"))),"Other Services"))</f>
        <v/>
      </c>
    </row>
    <row r="5000" customFormat="false" ht="15" hidden="false" customHeight="false" outlineLevel="0" collapsed="false">
      <c r="F5000" s="41" t="str">
        <f aca="false">IF(C5000="","",IFERROR(IF(ISNUMBER(SEARCH(Assumptions!$C$5,C5000)),Assumptions!$D$5,IF(ISNUMBER(SEARCH(Assumptions!$C$6,C5000)),Assumptions!$D$6,IF(ISNUMBER(SEARCH(Assumptions!$C$7,C5000)),Assumptions!$D$7,"Other Services"))),"Other Services"))</f>
        <v/>
      </c>
    </row>
    <row r="5001" customFormat="false" ht="15" hidden="false" customHeight="false" outlineLevel="0" collapsed="false">
      <c r="F5001" s="41" t="str">
        <f aca="false">IF(C5001="","",IFERROR(IF(ISNUMBER(SEARCH(Assumptions!$C$5,C5001)),Assumptions!$D$5,IF(ISNUMBER(SEARCH(Assumptions!$C$6,C5001)),Assumptions!$D$6,IF(ISNUMBER(SEARCH(Assumptions!$C$7,C5001)),Assumptions!$D$7,"Other Services"))),"Other Services"))</f>
        <v/>
      </c>
    </row>
    <row r="5002" customFormat="false" ht="15" hidden="false" customHeight="false" outlineLevel="0" collapsed="false">
      <c r="F5002" s="41" t="str">
        <f aca="false">IF(C5002="","",IFERROR(IF(ISNUMBER(SEARCH(Assumptions!$C$5,C5002)),Assumptions!$D$5,IF(ISNUMBER(SEARCH(Assumptions!$C$6,C5002)),Assumptions!$D$6,IF(ISNUMBER(SEARCH(Assumptions!$C$7,C5002)),Assumptions!$D$7,"Other Services"))),"Other Services"))</f>
        <v/>
      </c>
    </row>
    <row r="5003" customFormat="false" ht="15" hidden="false" customHeight="false" outlineLevel="0" collapsed="false">
      <c r="F5003" s="41" t="str">
        <f aca="false">IF(C5003="","",IFERROR(IF(ISNUMBER(SEARCH(Assumptions!$C$5,C5003)),Assumptions!$D$5,IF(ISNUMBER(SEARCH(Assumptions!$C$6,C5003)),Assumptions!$D$6,IF(ISNUMBER(SEARCH(Assumptions!$C$7,C5003)),Assumptions!$D$7,"Other Services"))),"Other Services"))</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K5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25" width="28"/>
    <col collapsed="false" customWidth="true" hidden="false" outlineLevel="0" max="2" min="2" style="25" width="13"/>
    <col collapsed="false" customWidth="true" hidden="false" outlineLevel="0" max="3" min="3" style="25" width="34"/>
    <col collapsed="false" customWidth="true" hidden="false" outlineLevel="0" max="4" min="4" style="25" width="36"/>
    <col collapsed="false" customWidth="true" hidden="false" outlineLevel="0" max="5" min="5" style="25" width="14"/>
    <col collapsed="false" customWidth="true" hidden="false" outlineLevel="0" max="6" min="6" style="25" width="15"/>
  </cols>
  <sheetData>
    <row r="1" customFormat="false" ht="15" hidden="false" customHeight="true" outlineLevel="0" collapsed="false">
      <c r="A1" s="56" t="s">
        <v>551</v>
      </c>
      <c r="B1" s="56"/>
      <c r="C1" s="56"/>
      <c r="D1" s="56"/>
      <c r="E1" s="56"/>
      <c r="F1" s="56"/>
      <c r="G1" s="56"/>
      <c r="H1" s="56"/>
      <c r="I1" s="56"/>
      <c r="J1" s="56"/>
      <c r="K1" s="56"/>
    </row>
    <row r="2" customFormat="false" ht="30" hidden="false" customHeight="true" outlineLevel="0" collapsed="false">
      <c r="A2" s="66" t="s">
        <v>552</v>
      </c>
      <c r="B2" s="66"/>
      <c r="C2" s="66"/>
      <c r="D2" s="66"/>
      <c r="E2" s="66"/>
      <c r="F2" s="66"/>
      <c r="G2" s="66"/>
      <c r="H2" s="66"/>
      <c r="I2" s="66"/>
      <c r="J2" s="66"/>
      <c r="K2" s="66"/>
    </row>
    <row r="3" customFormat="false" ht="21.75" hidden="false" customHeight="true" outlineLevel="0" collapsed="false">
      <c r="A3" s="84" t="s">
        <v>346</v>
      </c>
      <c r="B3" s="84" t="s">
        <v>126</v>
      </c>
      <c r="C3" s="84" t="s">
        <v>127</v>
      </c>
      <c r="D3" s="84" t="s">
        <v>128</v>
      </c>
      <c r="E3" s="84" t="s">
        <v>198</v>
      </c>
      <c r="F3" s="84" t="s">
        <v>135</v>
      </c>
    </row>
    <row r="4" customFormat="false" ht="15" hidden="false" customHeight="true" outlineLevel="0" collapsed="false">
      <c r="A4" s="35" t="s">
        <v>553</v>
      </c>
      <c r="B4" s="34" t="n">
        <v>46118</v>
      </c>
      <c r="C4" s="35" t="s">
        <v>156</v>
      </c>
      <c r="D4" s="35" t="s">
        <v>554</v>
      </c>
      <c r="E4" s="36" t="n">
        <v>5464.32</v>
      </c>
      <c r="F4" s="37" t="str">
        <f aca="false">IFERROR(IF(ISNUMBER(SEARCH(Assumptions!$C$5,D4)),Assumptions!$D$5,IF(ISNUMBER(SEARCH(Assumptions!$C$6,D4)),Assumptions!$D$6,IF(ISNUMBER(SEARCH(Assumptions!$C$7,D4)),Assumptions!$D$7,"Other Services"))),"Other Services")</f>
        <v>Other Services</v>
      </c>
    </row>
    <row r="5" customFormat="false" ht="15" hidden="false" customHeight="true" outlineLevel="0" collapsed="false">
      <c r="A5" s="35" t="s">
        <v>555</v>
      </c>
      <c r="B5" s="34" t="n">
        <v>46131</v>
      </c>
      <c r="C5" s="35" t="s">
        <v>152</v>
      </c>
      <c r="D5" s="35" t="s">
        <v>556</v>
      </c>
      <c r="E5" s="36" t="n">
        <v>4798.99</v>
      </c>
      <c r="F5" s="37" t="str">
        <f aca="false">IF(D5="","",IFERROR(IF(ISNUMBER(SEARCH(Assumptions!$C$5,D5)),Assumptions!$D$5,IF(ISNUMBER(SEARCH(Assumptions!$C$6,D5)),Assumptions!$D$6,IF(ISNUMBER(SEARCH(Assumptions!$C$7,D5)),Assumptions!$D$7,"Other Services"))),"Other Services"))</f>
        <v>WhatsApp</v>
      </c>
    </row>
    <row r="6" customFormat="false" ht="15" hidden="false" customHeight="true" outlineLevel="0" collapsed="false">
      <c r="A6" s="35" t="s">
        <v>557</v>
      </c>
      <c r="B6" s="34" t="n">
        <v>46138</v>
      </c>
      <c r="C6" s="35" t="s">
        <v>168</v>
      </c>
      <c r="D6" s="35" t="s">
        <v>558</v>
      </c>
      <c r="E6" s="36" t="n">
        <v>1305.24</v>
      </c>
      <c r="F6" s="37" t="str">
        <f aca="false">IF(D6="","",IFERROR(IF(ISNUMBER(SEARCH(Assumptions!$C$5,D6)),Assumptions!$D$5,IF(ISNUMBER(SEARCH(Assumptions!$C$6,D6)),Assumptions!$D$6,IF(ISNUMBER(SEARCH(Assumptions!$C$7,D6)),Assumptions!$D$7,"Other Services"))),"Other Services"))</f>
        <v>Other Services</v>
      </c>
    </row>
    <row r="7" customFormat="false" ht="15" hidden="false" customHeight="true" outlineLevel="0" collapsed="false">
      <c r="A7" s="35" t="s">
        <v>559</v>
      </c>
      <c r="B7" s="34" t="n">
        <v>46160</v>
      </c>
      <c r="C7" s="35" t="s">
        <v>156</v>
      </c>
      <c r="D7" s="35" t="s">
        <v>560</v>
      </c>
      <c r="E7" s="36" t="n">
        <v>2665.23</v>
      </c>
      <c r="F7" s="37" t="str">
        <f aca="false">IF(D7="","",IFERROR(IF(ISNUMBER(SEARCH(Assumptions!$C$5,D7)),Assumptions!$D$5,IF(ISNUMBER(SEARCH(Assumptions!$C$6,D7)),Assumptions!$D$6,IF(ISNUMBER(SEARCH(Assumptions!$C$7,D7)),Assumptions!$D$7,"Other Services"))),"Other Services"))</f>
        <v>Other Services</v>
      </c>
    </row>
    <row r="8" customFormat="false" ht="15" hidden="false" customHeight="true" outlineLevel="0" collapsed="false">
      <c r="A8" s="35" t="s">
        <v>561</v>
      </c>
      <c r="B8" s="34" t="n">
        <v>46159</v>
      </c>
      <c r="C8" s="35" t="s">
        <v>141</v>
      </c>
      <c r="D8" s="35" t="s">
        <v>560</v>
      </c>
      <c r="E8" s="36" t="n">
        <v>1312.08</v>
      </c>
      <c r="F8" s="37" t="str">
        <f aca="false">IF(D8="","",IFERROR(IF(ISNUMBER(SEARCH(Assumptions!$C$5,D8)),Assumptions!$D$5,IF(ISNUMBER(SEARCH(Assumptions!$C$6,D8)),Assumptions!$D$6,IF(ISNUMBER(SEARCH(Assumptions!$C$7,D8)),Assumptions!$D$7,"Other Services"))),"Other Services"))</f>
        <v>Other Services</v>
      </c>
    </row>
    <row r="9" customFormat="false" ht="15" hidden="false" customHeight="true" outlineLevel="0" collapsed="false">
      <c r="A9" s="35" t="s">
        <v>562</v>
      </c>
      <c r="B9" s="34" t="n">
        <v>46165</v>
      </c>
      <c r="C9" s="35" t="s">
        <v>147</v>
      </c>
      <c r="D9" s="35" t="s">
        <v>563</v>
      </c>
      <c r="E9" s="36" t="n">
        <v>4560.2</v>
      </c>
      <c r="F9" s="37" t="str">
        <f aca="false">IF(D9="","",IFERROR(IF(ISNUMBER(SEARCH(Assumptions!$C$5,D9)),Assumptions!$D$5,IF(ISNUMBER(SEARCH(Assumptions!$C$6,D9)),Assumptions!$D$6,IF(ISNUMBER(SEARCH(Assumptions!$C$7,D9)),Assumptions!$D$7,"Other Services"))),"Other Services"))</f>
        <v>Other Services</v>
      </c>
    </row>
    <row r="10" customFormat="false" ht="15" hidden="false" customHeight="true" outlineLevel="0" collapsed="false">
      <c r="A10" s="35" t="s">
        <v>564</v>
      </c>
      <c r="B10" s="34" t="n">
        <v>46185</v>
      </c>
      <c r="C10" s="35" t="s">
        <v>150</v>
      </c>
      <c r="D10" s="35" t="s">
        <v>565</v>
      </c>
      <c r="E10" s="36" t="n">
        <v>942.09</v>
      </c>
      <c r="F10" s="37" t="str">
        <f aca="false">IF(D10="","",IFERROR(IF(ISNUMBER(SEARCH(Assumptions!$C$5,D10)),Assumptions!$D$5,IF(ISNUMBER(SEARCH(Assumptions!$C$6,D10)),Assumptions!$D$6,IF(ISNUMBER(SEARCH(Assumptions!$C$7,D10)),Assumptions!$D$7,"Other Services"))),"Other Services"))</f>
        <v>Other Services</v>
      </c>
    </row>
    <row r="11" customFormat="false" ht="15" hidden="false" customHeight="true" outlineLevel="0" collapsed="false">
      <c r="A11" s="35" t="s">
        <v>566</v>
      </c>
      <c r="B11" s="34" t="n">
        <v>46183</v>
      </c>
      <c r="C11" s="35" t="s">
        <v>150</v>
      </c>
      <c r="D11" s="35" t="s">
        <v>565</v>
      </c>
      <c r="E11" s="36" t="n">
        <v>3888.67</v>
      </c>
      <c r="F11" s="37" t="str">
        <f aca="false">IF(D11="","",IFERROR(IF(ISNUMBER(SEARCH(Assumptions!$C$5,D11)),Assumptions!$D$5,IF(ISNUMBER(SEARCH(Assumptions!$C$6,D11)),Assumptions!$D$6,IF(ISNUMBER(SEARCH(Assumptions!$C$7,D11)),Assumptions!$D$7,"Other Services"))),"Other Services"))</f>
        <v>Other Services</v>
      </c>
    </row>
    <row r="12" customFormat="false" ht="15" hidden="false" customHeight="true" outlineLevel="0" collapsed="false">
      <c r="A12" s="35" t="s">
        <v>567</v>
      </c>
      <c r="B12" s="34" t="n">
        <v>46195</v>
      </c>
      <c r="C12" s="35" t="s">
        <v>152</v>
      </c>
      <c r="D12" s="35" t="s">
        <v>568</v>
      </c>
      <c r="E12" s="36" t="n">
        <v>917.82</v>
      </c>
      <c r="F12" s="37" t="str">
        <f aca="false">IF(D12="","",IFERROR(IF(ISNUMBER(SEARCH(Assumptions!$C$5,D12)),Assumptions!$D$5,IF(ISNUMBER(SEARCH(Assumptions!$C$6,D12)),Assumptions!$D$6,IF(ISNUMBER(SEARCH(Assumptions!$C$7,D12)),Assumptions!$D$7,"Other Services"))),"Other Services"))</f>
        <v>WhatsApp</v>
      </c>
    </row>
    <row r="13" customFormat="false" ht="15" hidden="false" customHeight="false" outlineLevel="0" collapsed="false">
      <c r="F13" s="41" t="str">
        <f aca="false">IF(D13="","",IFERROR(IF(ISNUMBER(SEARCH(Assumptions!$C$5,D13)),Assumptions!$D$5,IF(ISNUMBER(SEARCH(Assumptions!$C$6,D13)),Assumptions!$D$6,IF(ISNUMBER(SEARCH(Assumptions!$C$7,D13)),Assumptions!$D$7,"Other Services"))),"Other Services"))</f>
        <v/>
      </c>
    </row>
    <row r="14" customFormat="false" ht="15" hidden="false" customHeight="false" outlineLevel="0" collapsed="false">
      <c r="F14" s="41" t="str">
        <f aca="false">IF(D14="","",IFERROR(IF(ISNUMBER(SEARCH(Assumptions!$C$5,D14)),Assumptions!$D$5,IF(ISNUMBER(SEARCH(Assumptions!$C$6,D14)),Assumptions!$D$6,IF(ISNUMBER(SEARCH(Assumptions!$C$7,D14)),Assumptions!$D$7,"Other Services"))),"Other Services"))</f>
        <v/>
      </c>
    </row>
    <row r="15" customFormat="false" ht="15" hidden="false" customHeight="false" outlineLevel="0" collapsed="false">
      <c r="F15" s="41" t="str">
        <f aca="false">IF(D15="","",IFERROR(IF(ISNUMBER(SEARCH(Assumptions!$C$5,D15)),Assumptions!$D$5,IF(ISNUMBER(SEARCH(Assumptions!$C$6,D15)),Assumptions!$D$6,IF(ISNUMBER(SEARCH(Assumptions!$C$7,D15)),Assumptions!$D$7,"Other Services"))),"Other Services"))</f>
        <v/>
      </c>
    </row>
    <row r="16" customFormat="false" ht="15" hidden="false" customHeight="false" outlineLevel="0" collapsed="false">
      <c r="F16" s="41" t="str">
        <f aca="false">IF(D16="","",IFERROR(IF(ISNUMBER(SEARCH(Assumptions!$C$5,D16)),Assumptions!$D$5,IF(ISNUMBER(SEARCH(Assumptions!$C$6,D16)),Assumptions!$D$6,IF(ISNUMBER(SEARCH(Assumptions!$C$7,D16)),Assumptions!$D$7,"Other Services"))),"Other Services"))</f>
        <v/>
      </c>
    </row>
    <row r="17" customFormat="false" ht="15" hidden="false" customHeight="false" outlineLevel="0" collapsed="false">
      <c r="F17" s="41" t="str">
        <f aca="false">IF(D17="","",IFERROR(IF(ISNUMBER(SEARCH(Assumptions!$C$5,D17)),Assumptions!$D$5,IF(ISNUMBER(SEARCH(Assumptions!$C$6,D17)),Assumptions!$D$6,IF(ISNUMBER(SEARCH(Assumptions!$C$7,D17)),Assumptions!$D$7,"Other Services"))),"Other Services"))</f>
        <v/>
      </c>
    </row>
    <row r="18" customFormat="false" ht="15" hidden="false" customHeight="false" outlineLevel="0" collapsed="false">
      <c r="F18" s="41" t="str">
        <f aca="false">IF(D18="","",IFERROR(IF(ISNUMBER(SEARCH(Assumptions!$C$5,D18)),Assumptions!$D$5,IF(ISNUMBER(SEARCH(Assumptions!$C$6,D18)),Assumptions!$D$6,IF(ISNUMBER(SEARCH(Assumptions!$C$7,D18)),Assumptions!$D$7,"Other Services"))),"Other Services"))</f>
        <v/>
      </c>
    </row>
    <row r="19" customFormat="false" ht="15" hidden="false" customHeight="false" outlineLevel="0" collapsed="false">
      <c r="F19" s="41" t="str">
        <f aca="false">IF(D19="","",IFERROR(IF(ISNUMBER(SEARCH(Assumptions!$C$5,D19)),Assumptions!$D$5,IF(ISNUMBER(SEARCH(Assumptions!$C$6,D19)),Assumptions!$D$6,IF(ISNUMBER(SEARCH(Assumptions!$C$7,D19)),Assumptions!$D$7,"Other Services"))),"Other Services"))</f>
        <v/>
      </c>
    </row>
    <row r="20" customFormat="false" ht="15" hidden="false" customHeight="false" outlineLevel="0" collapsed="false">
      <c r="F20" s="41" t="str">
        <f aca="false">IF(D20="","",IFERROR(IF(ISNUMBER(SEARCH(Assumptions!$C$5,D20)),Assumptions!$D$5,IF(ISNUMBER(SEARCH(Assumptions!$C$6,D20)),Assumptions!$D$6,IF(ISNUMBER(SEARCH(Assumptions!$C$7,D20)),Assumptions!$D$7,"Other Services"))),"Other Services"))</f>
        <v/>
      </c>
    </row>
    <row r="21" customFormat="false" ht="15" hidden="false" customHeight="false" outlineLevel="0" collapsed="false">
      <c r="F21" s="41" t="str">
        <f aca="false">IF(D21="","",IFERROR(IF(ISNUMBER(SEARCH(Assumptions!$C$5,D21)),Assumptions!$D$5,IF(ISNUMBER(SEARCH(Assumptions!$C$6,D21)),Assumptions!$D$6,IF(ISNUMBER(SEARCH(Assumptions!$C$7,D21)),Assumptions!$D$7,"Other Services"))),"Other Services"))</f>
        <v/>
      </c>
    </row>
    <row r="22" customFormat="false" ht="15" hidden="false" customHeight="false" outlineLevel="0" collapsed="false">
      <c r="F22" s="41" t="str">
        <f aca="false">IF(D22="","",IFERROR(IF(ISNUMBER(SEARCH(Assumptions!$C$5,D22)),Assumptions!$D$5,IF(ISNUMBER(SEARCH(Assumptions!$C$6,D22)),Assumptions!$D$6,IF(ISNUMBER(SEARCH(Assumptions!$C$7,D22)),Assumptions!$D$7,"Other Services"))),"Other Services"))</f>
        <v/>
      </c>
    </row>
    <row r="23" customFormat="false" ht="15" hidden="false" customHeight="false" outlineLevel="0" collapsed="false">
      <c r="F23" s="41" t="str">
        <f aca="false">IF(D23="","",IFERROR(IF(ISNUMBER(SEARCH(Assumptions!$C$5,D23)),Assumptions!$D$5,IF(ISNUMBER(SEARCH(Assumptions!$C$6,D23)),Assumptions!$D$6,IF(ISNUMBER(SEARCH(Assumptions!$C$7,D23)),Assumptions!$D$7,"Other Services"))),"Other Services"))</f>
        <v/>
      </c>
    </row>
    <row r="24" customFormat="false" ht="15" hidden="false" customHeight="false" outlineLevel="0" collapsed="false">
      <c r="F24" s="41" t="str">
        <f aca="false">IF(D24="","",IFERROR(IF(ISNUMBER(SEARCH(Assumptions!$C$5,D24)),Assumptions!$D$5,IF(ISNUMBER(SEARCH(Assumptions!$C$6,D24)),Assumptions!$D$6,IF(ISNUMBER(SEARCH(Assumptions!$C$7,D24)),Assumptions!$D$7,"Other Services"))),"Other Services"))</f>
        <v/>
      </c>
    </row>
    <row r="25" customFormat="false" ht="15" hidden="false" customHeight="false" outlineLevel="0" collapsed="false">
      <c r="F25" s="41" t="str">
        <f aca="false">IF(D25="","",IFERROR(IF(ISNUMBER(SEARCH(Assumptions!$C$5,D25)),Assumptions!$D$5,IF(ISNUMBER(SEARCH(Assumptions!$C$6,D25)),Assumptions!$D$6,IF(ISNUMBER(SEARCH(Assumptions!$C$7,D25)),Assumptions!$D$7,"Other Services"))),"Other Services"))</f>
        <v/>
      </c>
    </row>
    <row r="26" customFormat="false" ht="15" hidden="false" customHeight="false" outlineLevel="0" collapsed="false">
      <c r="F26" s="41" t="str">
        <f aca="false">IF(D26="","",IFERROR(IF(ISNUMBER(SEARCH(Assumptions!$C$5,D26)),Assumptions!$D$5,IF(ISNUMBER(SEARCH(Assumptions!$C$6,D26)),Assumptions!$D$6,IF(ISNUMBER(SEARCH(Assumptions!$C$7,D26)),Assumptions!$D$7,"Other Services"))),"Other Services"))</f>
        <v/>
      </c>
    </row>
    <row r="27" customFormat="false" ht="15" hidden="false" customHeight="false" outlineLevel="0" collapsed="false">
      <c r="F27" s="41" t="str">
        <f aca="false">IF(D27="","",IFERROR(IF(ISNUMBER(SEARCH(Assumptions!$C$5,D27)),Assumptions!$D$5,IF(ISNUMBER(SEARCH(Assumptions!$C$6,D27)),Assumptions!$D$6,IF(ISNUMBER(SEARCH(Assumptions!$C$7,D27)),Assumptions!$D$7,"Other Services"))),"Other Services"))</f>
        <v/>
      </c>
    </row>
    <row r="28" customFormat="false" ht="15" hidden="false" customHeight="false" outlineLevel="0" collapsed="false">
      <c r="F28" s="41" t="str">
        <f aca="false">IF(D28="","",IFERROR(IF(ISNUMBER(SEARCH(Assumptions!$C$5,D28)),Assumptions!$D$5,IF(ISNUMBER(SEARCH(Assumptions!$C$6,D28)),Assumptions!$D$6,IF(ISNUMBER(SEARCH(Assumptions!$C$7,D28)),Assumptions!$D$7,"Other Services"))),"Other Services"))</f>
        <v/>
      </c>
    </row>
    <row r="29" customFormat="false" ht="15" hidden="false" customHeight="false" outlineLevel="0" collapsed="false">
      <c r="F29" s="41" t="str">
        <f aca="false">IF(D29="","",IFERROR(IF(ISNUMBER(SEARCH(Assumptions!$C$5,D29)),Assumptions!$D$5,IF(ISNUMBER(SEARCH(Assumptions!$C$6,D29)),Assumptions!$D$6,IF(ISNUMBER(SEARCH(Assumptions!$C$7,D29)),Assumptions!$D$7,"Other Services"))),"Other Services"))</f>
        <v/>
      </c>
    </row>
    <row r="30" customFormat="false" ht="15" hidden="false" customHeight="false" outlineLevel="0" collapsed="false">
      <c r="F30" s="41" t="str">
        <f aca="false">IF(D30="","",IFERROR(IF(ISNUMBER(SEARCH(Assumptions!$C$5,D30)),Assumptions!$D$5,IF(ISNUMBER(SEARCH(Assumptions!$C$6,D30)),Assumptions!$D$6,IF(ISNUMBER(SEARCH(Assumptions!$C$7,D30)),Assumptions!$D$7,"Other Services"))),"Other Services"))</f>
        <v/>
      </c>
    </row>
    <row r="31" customFormat="false" ht="15" hidden="false" customHeight="false" outlineLevel="0" collapsed="false">
      <c r="F31" s="41" t="str">
        <f aca="false">IF(D31="","",IFERROR(IF(ISNUMBER(SEARCH(Assumptions!$C$5,D31)),Assumptions!$D$5,IF(ISNUMBER(SEARCH(Assumptions!$C$6,D31)),Assumptions!$D$6,IF(ISNUMBER(SEARCH(Assumptions!$C$7,D31)),Assumptions!$D$7,"Other Services"))),"Other Services"))</f>
        <v/>
      </c>
    </row>
    <row r="32" customFormat="false" ht="15" hidden="false" customHeight="false" outlineLevel="0" collapsed="false">
      <c r="F32" s="41" t="str">
        <f aca="false">IF(D32="","",IFERROR(IF(ISNUMBER(SEARCH(Assumptions!$C$5,D32)),Assumptions!$D$5,IF(ISNUMBER(SEARCH(Assumptions!$C$6,D32)),Assumptions!$D$6,IF(ISNUMBER(SEARCH(Assumptions!$C$7,D32)),Assumptions!$D$7,"Other Services"))),"Other Services"))</f>
        <v/>
      </c>
    </row>
    <row r="33" customFormat="false" ht="15" hidden="false" customHeight="false" outlineLevel="0" collapsed="false">
      <c r="F33" s="41" t="str">
        <f aca="false">IF(D33="","",IFERROR(IF(ISNUMBER(SEARCH(Assumptions!$C$5,D33)),Assumptions!$D$5,IF(ISNUMBER(SEARCH(Assumptions!$C$6,D33)),Assumptions!$D$6,IF(ISNUMBER(SEARCH(Assumptions!$C$7,D33)),Assumptions!$D$7,"Other Services"))),"Other Services"))</f>
        <v/>
      </c>
    </row>
    <row r="34" customFormat="false" ht="15" hidden="false" customHeight="false" outlineLevel="0" collapsed="false">
      <c r="F34" s="41" t="str">
        <f aca="false">IF(D34="","",IFERROR(IF(ISNUMBER(SEARCH(Assumptions!$C$5,D34)),Assumptions!$D$5,IF(ISNUMBER(SEARCH(Assumptions!$C$6,D34)),Assumptions!$D$6,IF(ISNUMBER(SEARCH(Assumptions!$C$7,D34)),Assumptions!$D$7,"Other Services"))),"Other Services"))</f>
        <v/>
      </c>
    </row>
    <row r="35" customFormat="false" ht="15" hidden="false" customHeight="false" outlineLevel="0" collapsed="false">
      <c r="F35" s="41" t="str">
        <f aca="false">IF(D35="","",IFERROR(IF(ISNUMBER(SEARCH(Assumptions!$C$5,D35)),Assumptions!$D$5,IF(ISNUMBER(SEARCH(Assumptions!$C$6,D35)),Assumptions!$D$6,IF(ISNUMBER(SEARCH(Assumptions!$C$7,D35)),Assumptions!$D$7,"Other Services"))),"Other Services"))</f>
        <v/>
      </c>
    </row>
    <row r="36" customFormat="false" ht="15" hidden="false" customHeight="false" outlineLevel="0" collapsed="false">
      <c r="F36" s="41" t="str">
        <f aca="false">IF(D36="","",IFERROR(IF(ISNUMBER(SEARCH(Assumptions!$C$5,D36)),Assumptions!$D$5,IF(ISNUMBER(SEARCH(Assumptions!$C$6,D36)),Assumptions!$D$6,IF(ISNUMBER(SEARCH(Assumptions!$C$7,D36)),Assumptions!$D$7,"Other Services"))),"Other Services"))</f>
        <v/>
      </c>
    </row>
    <row r="37" customFormat="false" ht="15" hidden="false" customHeight="false" outlineLevel="0" collapsed="false">
      <c r="F37" s="41" t="str">
        <f aca="false">IF(D37="","",IFERROR(IF(ISNUMBER(SEARCH(Assumptions!$C$5,D37)),Assumptions!$D$5,IF(ISNUMBER(SEARCH(Assumptions!$C$6,D37)),Assumptions!$D$6,IF(ISNUMBER(SEARCH(Assumptions!$C$7,D37)),Assumptions!$D$7,"Other Services"))),"Other Services"))</f>
        <v/>
      </c>
    </row>
    <row r="38" customFormat="false" ht="15" hidden="false" customHeight="false" outlineLevel="0" collapsed="false">
      <c r="F38" s="41" t="str">
        <f aca="false">IF(D38="","",IFERROR(IF(ISNUMBER(SEARCH(Assumptions!$C$5,D38)),Assumptions!$D$5,IF(ISNUMBER(SEARCH(Assumptions!$C$6,D38)),Assumptions!$D$6,IF(ISNUMBER(SEARCH(Assumptions!$C$7,D38)),Assumptions!$D$7,"Other Services"))),"Other Services"))</f>
        <v/>
      </c>
    </row>
    <row r="39" customFormat="false" ht="15" hidden="false" customHeight="false" outlineLevel="0" collapsed="false">
      <c r="F39" s="41" t="str">
        <f aca="false">IF(D39="","",IFERROR(IF(ISNUMBER(SEARCH(Assumptions!$C$5,D39)),Assumptions!$D$5,IF(ISNUMBER(SEARCH(Assumptions!$C$6,D39)),Assumptions!$D$6,IF(ISNUMBER(SEARCH(Assumptions!$C$7,D39)),Assumptions!$D$7,"Other Services"))),"Other Services"))</f>
        <v/>
      </c>
    </row>
    <row r="40" customFormat="false" ht="15" hidden="false" customHeight="false" outlineLevel="0" collapsed="false">
      <c r="F40" s="41" t="str">
        <f aca="false">IF(D40="","",IFERROR(IF(ISNUMBER(SEARCH(Assumptions!$C$5,D40)),Assumptions!$D$5,IF(ISNUMBER(SEARCH(Assumptions!$C$6,D40)),Assumptions!$D$6,IF(ISNUMBER(SEARCH(Assumptions!$C$7,D40)),Assumptions!$D$7,"Other Services"))),"Other Services"))</f>
        <v/>
      </c>
    </row>
    <row r="41" customFormat="false" ht="15" hidden="false" customHeight="false" outlineLevel="0" collapsed="false">
      <c r="F41" s="41" t="str">
        <f aca="false">IF(D41="","",IFERROR(IF(ISNUMBER(SEARCH(Assumptions!$C$5,D41)),Assumptions!$D$5,IF(ISNUMBER(SEARCH(Assumptions!$C$6,D41)),Assumptions!$D$6,IF(ISNUMBER(SEARCH(Assumptions!$C$7,D41)),Assumptions!$D$7,"Other Services"))),"Other Services"))</f>
        <v/>
      </c>
    </row>
    <row r="42" customFormat="false" ht="15" hidden="false" customHeight="false" outlineLevel="0" collapsed="false">
      <c r="F42" s="41" t="str">
        <f aca="false">IF(D42="","",IFERROR(IF(ISNUMBER(SEARCH(Assumptions!$C$5,D42)),Assumptions!$D$5,IF(ISNUMBER(SEARCH(Assumptions!$C$6,D42)),Assumptions!$D$6,IF(ISNUMBER(SEARCH(Assumptions!$C$7,D42)),Assumptions!$D$7,"Other Services"))),"Other Services"))</f>
        <v/>
      </c>
    </row>
    <row r="43" customFormat="false" ht="15" hidden="false" customHeight="false" outlineLevel="0" collapsed="false">
      <c r="F43" s="41" t="str">
        <f aca="false">IF(D43="","",IFERROR(IF(ISNUMBER(SEARCH(Assumptions!$C$5,D43)),Assumptions!$D$5,IF(ISNUMBER(SEARCH(Assumptions!$C$6,D43)),Assumptions!$D$6,IF(ISNUMBER(SEARCH(Assumptions!$C$7,D43)),Assumptions!$D$7,"Other Services"))),"Other Services"))</f>
        <v/>
      </c>
    </row>
    <row r="44" customFormat="false" ht="15" hidden="false" customHeight="false" outlineLevel="0" collapsed="false">
      <c r="F44" s="41" t="str">
        <f aca="false">IF(D44="","",IFERROR(IF(ISNUMBER(SEARCH(Assumptions!$C$5,D44)),Assumptions!$D$5,IF(ISNUMBER(SEARCH(Assumptions!$C$6,D44)),Assumptions!$D$6,IF(ISNUMBER(SEARCH(Assumptions!$C$7,D44)),Assumptions!$D$7,"Other Services"))),"Other Services"))</f>
        <v/>
      </c>
    </row>
    <row r="45" customFormat="false" ht="15" hidden="false" customHeight="false" outlineLevel="0" collapsed="false">
      <c r="F45" s="41" t="str">
        <f aca="false">IF(D45="","",IFERROR(IF(ISNUMBER(SEARCH(Assumptions!$C$5,D45)),Assumptions!$D$5,IF(ISNUMBER(SEARCH(Assumptions!$C$6,D45)),Assumptions!$D$6,IF(ISNUMBER(SEARCH(Assumptions!$C$7,D45)),Assumptions!$D$7,"Other Services"))),"Other Services"))</f>
        <v/>
      </c>
    </row>
    <row r="46" customFormat="false" ht="15" hidden="false" customHeight="false" outlineLevel="0" collapsed="false">
      <c r="F46" s="41" t="str">
        <f aca="false">IF(D46="","",IFERROR(IF(ISNUMBER(SEARCH(Assumptions!$C$5,D46)),Assumptions!$D$5,IF(ISNUMBER(SEARCH(Assumptions!$C$6,D46)),Assumptions!$D$6,IF(ISNUMBER(SEARCH(Assumptions!$C$7,D46)),Assumptions!$D$7,"Other Services"))),"Other Services"))</f>
        <v/>
      </c>
    </row>
    <row r="47" customFormat="false" ht="15" hidden="false" customHeight="false" outlineLevel="0" collapsed="false">
      <c r="F47" s="41" t="str">
        <f aca="false">IF(D47="","",IFERROR(IF(ISNUMBER(SEARCH(Assumptions!$C$5,D47)),Assumptions!$D$5,IF(ISNUMBER(SEARCH(Assumptions!$C$6,D47)),Assumptions!$D$6,IF(ISNUMBER(SEARCH(Assumptions!$C$7,D47)),Assumptions!$D$7,"Other Services"))),"Other Services"))</f>
        <v/>
      </c>
    </row>
    <row r="48" customFormat="false" ht="15" hidden="false" customHeight="false" outlineLevel="0" collapsed="false">
      <c r="F48" s="41" t="str">
        <f aca="false">IF(D48="","",IFERROR(IF(ISNUMBER(SEARCH(Assumptions!$C$5,D48)),Assumptions!$D$5,IF(ISNUMBER(SEARCH(Assumptions!$C$6,D48)),Assumptions!$D$6,IF(ISNUMBER(SEARCH(Assumptions!$C$7,D48)),Assumptions!$D$7,"Other Services"))),"Other Services"))</f>
        <v/>
      </c>
    </row>
    <row r="49" customFormat="false" ht="15" hidden="false" customHeight="false" outlineLevel="0" collapsed="false">
      <c r="F49" s="41" t="str">
        <f aca="false">IF(D49="","",IFERROR(IF(ISNUMBER(SEARCH(Assumptions!$C$5,D49)),Assumptions!$D$5,IF(ISNUMBER(SEARCH(Assumptions!$C$6,D49)),Assumptions!$D$6,IF(ISNUMBER(SEARCH(Assumptions!$C$7,D49)),Assumptions!$D$7,"Other Services"))),"Other Services"))</f>
        <v/>
      </c>
    </row>
    <row r="50" customFormat="false" ht="15" hidden="false" customHeight="false" outlineLevel="0" collapsed="false">
      <c r="F50" s="41" t="str">
        <f aca="false">IF(D50="","",IFERROR(IF(ISNUMBER(SEARCH(Assumptions!$C$5,D50)),Assumptions!$D$5,IF(ISNUMBER(SEARCH(Assumptions!$C$6,D50)),Assumptions!$D$6,IF(ISNUMBER(SEARCH(Assumptions!$C$7,D50)),Assumptions!$D$7,"Other Services"))),"Other Services"))</f>
        <v/>
      </c>
    </row>
    <row r="51" customFormat="false" ht="15" hidden="false" customHeight="false" outlineLevel="0" collapsed="false">
      <c r="F51" s="41" t="str">
        <f aca="false">IF(D51="","",IFERROR(IF(ISNUMBER(SEARCH(Assumptions!$C$5,D51)),Assumptions!$D$5,IF(ISNUMBER(SEARCH(Assumptions!$C$6,D51)),Assumptions!$D$6,IF(ISNUMBER(SEARCH(Assumptions!$C$7,D51)),Assumptions!$D$7,"Other Services"))),"Other Services"))</f>
        <v/>
      </c>
    </row>
    <row r="52" customFormat="false" ht="15" hidden="false" customHeight="false" outlineLevel="0" collapsed="false">
      <c r="F52" s="41" t="str">
        <f aca="false">IF(D52="","",IFERROR(IF(ISNUMBER(SEARCH(Assumptions!$C$5,D52)),Assumptions!$D$5,IF(ISNUMBER(SEARCH(Assumptions!$C$6,D52)),Assumptions!$D$6,IF(ISNUMBER(SEARCH(Assumptions!$C$7,D52)),Assumptions!$D$7,"Other Services"))),"Other Services"))</f>
        <v/>
      </c>
    </row>
    <row r="53" customFormat="false" ht="15" hidden="false" customHeight="false" outlineLevel="0" collapsed="false">
      <c r="F53" s="41" t="str">
        <f aca="false">IF(D53="","",IFERROR(IF(ISNUMBER(SEARCH(Assumptions!$C$5,D53)),Assumptions!$D$5,IF(ISNUMBER(SEARCH(Assumptions!$C$6,D53)),Assumptions!$D$6,IF(ISNUMBER(SEARCH(Assumptions!$C$7,D53)),Assumptions!$D$7,"Other Services"))),"Other Services"))</f>
        <v/>
      </c>
    </row>
    <row r="54" customFormat="false" ht="15" hidden="false" customHeight="false" outlineLevel="0" collapsed="false">
      <c r="F54" s="41" t="str">
        <f aca="false">IF(D54="","",IFERROR(IF(ISNUMBER(SEARCH(Assumptions!$C$5,D54)),Assumptions!$D$5,IF(ISNUMBER(SEARCH(Assumptions!$C$6,D54)),Assumptions!$D$6,IF(ISNUMBER(SEARCH(Assumptions!$C$7,D54)),Assumptions!$D$7,"Other Services"))),"Other Services"))</f>
        <v/>
      </c>
    </row>
    <row r="55" customFormat="false" ht="15" hidden="false" customHeight="false" outlineLevel="0" collapsed="false">
      <c r="F55" s="41" t="str">
        <f aca="false">IF(D55="","",IFERROR(IF(ISNUMBER(SEARCH(Assumptions!$C$5,D55)),Assumptions!$D$5,IF(ISNUMBER(SEARCH(Assumptions!$C$6,D55)),Assumptions!$D$6,IF(ISNUMBER(SEARCH(Assumptions!$C$7,D55)),Assumptions!$D$7,"Other Services"))),"Other Services"))</f>
        <v/>
      </c>
    </row>
    <row r="56" customFormat="false" ht="15" hidden="false" customHeight="false" outlineLevel="0" collapsed="false">
      <c r="F56" s="41" t="str">
        <f aca="false">IF(D56="","",IFERROR(IF(ISNUMBER(SEARCH(Assumptions!$C$5,D56)),Assumptions!$D$5,IF(ISNUMBER(SEARCH(Assumptions!$C$6,D56)),Assumptions!$D$6,IF(ISNUMBER(SEARCH(Assumptions!$C$7,D56)),Assumptions!$D$7,"Other Services"))),"Other Services"))</f>
        <v/>
      </c>
    </row>
    <row r="57" customFormat="false" ht="15" hidden="false" customHeight="false" outlineLevel="0" collapsed="false">
      <c r="F57" s="41" t="str">
        <f aca="false">IF(D57="","",IFERROR(IF(ISNUMBER(SEARCH(Assumptions!$C$5,D57)),Assumptions!$D$5,IF(ISNUMBER(SEARCH(Assumptions!$C$6,D57)),Assumptions!$D$6,IF(ISNUMBER(SEARCH(Assumptions!$C$7,D57)),Assumptions!$D$7,"Other Services"))),"Other Services"))</f>
        <v/>
      </c>
    </row>
    <row r="58" customFormat="false" ht="15" hidden="false" customHeight="false" outlineLevel="0" collapsed="false">
      <c r="F58" s="41" t="str">
        <f aca="false">IF(D58="","",IFERROR(IF(ISNUMBER(SEARCH(Assumptions!$C$5,D58)),Assumptions!$D$5,IF(ISNUMBER(SEARCH(Assumptions!$C$6,D58)),Assumptions!$D$6,IF(ISNUMBER(SEARCH(Assumptions!$C$7,D58)),Assumptions!$D$7,"Other Services"))),"Other Services"))</f>
        <v/>
      </c>
    </row>
    <row r="59" customFormat="false" ht="15" hidden="false" customHeight="false" outlineLevel="0" collapsed="false">
      <c r="F59" s="41" t="str">
        <f aca="false">IF(D59="","",IFERROR(IF(ISNUMBER(SEARCH(Assumptions!$C$5,D59)),Assumptions!$D$5,IF(ISNUMBER(SEARCH(Assumptions!$C$6,D59)),Assumptions!$D$6,IF(ISNUMBER(SEARCH(Assumptions!$C$7,D59)),Assumptions!$D$7,"Other Services"))),"Other Services"))</f>
        <v/>
      </c>
    </row>
    <row r="60" customFormat="false" ht="15" hidden="false" customHeight="false" outlineLevel="0" collapsed="false">
      <c r="F60" s="41" t="str">
        <f aca="false">IF(D60="","",IFERROR(IF(ISNUMBER(SEARCH(Assumptions!$C$5,D60)),Assumptions!$D$5,IF(ISNUMBER(SEARCH(Assumptions!$C$6,D60)),Assumptions!$D$6,IF(ISNUMBER(SEARCH(Assumptions!$C$7,D60)),Assumptions!$D$7,"Other Services"))),"Other Services"))</f>
        <v/>
      </c>
    </row>
    <row r="61" customFormat="false" ht="15" hidden="false" customHeight="false" outlineLevel="0" collapsed="false">
      <c r="F61" s="41" t="str">
        <f aca="false">IF(D61="","",IFERROR(IF(ISNUMBER(SEARCH(Assumptions!$C$5,D61)),Assumptions!$D$5,IF(ISNUMBER(SEARCH(Assumptions!$C$6,D61)),Assumptions!$D$6,IF(ISNUMBER(SEARCH(Assumptions!$C$7,D61)),Assumptions!$D$7,"Other Services"))),"Other Services"))</f>
        <v/>
      </c>
    </row>
    <row r="62" customFormat="false" ht="15" hidden="false" customHeight="false" outlineLevel="0" collapsed="false">
      <c r="F62" s="41" t="str">
        <f aca="false">IF(D62="","",IFERROR(IF(ISNUMBER(SEARCH(Assumptions!$C$5,D62)),Assumptions!$D$5,IF(ISNUMBER(SEARCH(Assumptions!$C$6,D62)),Assumptions!$D$6,IF(ISNUMBER(SEARCH(Assumptions!$C$7,D62)),Assumptions!$D$7,"Other Services"))),"Other Services"))</f>
        <v/>
      </c>
    </row>
    <row r="63" customFormat="false" ht="15" hidden="false" customHeight="false" outlineLevel="0" collapsed="false">
      <c r="F63" s="41" t="str">
        <f aca="false">IF(D63="","",IFERROR(IF(ISNUMBER(SEARCH(Assumptions!$C$5,D63)),Assumptions!$D$5,IF(ISNUMBER(SEARCH(Assumptions!$C$6,D63)),Assumptions!$D$6,IF(ISNUMBER(SEARCH(Assumptions!$C$7,D63)),Assumptions!$D$7,"Other Services"))),"Other Services"))</f>
        <v/>
      </c>
    </row>
    <row r="64" customFormat="false" ht="15" hidden="false" customHeight="false" outlineLevel="0" collapsed="false">
      <c r="F64" s="41" t="str">
        <f aca="false">IF(D64="","",IFERROR(IF(ISNUMBER(SEARCH(Assumptions!$C$5,D64)),Assumptions!$D$5,IF(ISNUMBER(SEARCH(Assumptions!$C$6,D64)),Assumptions!$D$6,IF(ISNUMBER(SEARCH(Assumptions!$C$7,D64)),Assumptions!$D$7,"Other Services"))),"Other Services"))</f>
        <v/>
      </c>
    </row>
    <row r="65" customFormat="false" ht="15" hidden="false" customHeight="false" outlineLevel="0" collapsed="false">
      <c r="F65" s="41" t="str">
        <f aca="false">IF(D65="","",IFERROR(IF(ISNUMBER(SEARCH(Assumptions!$C$5,D65)),Assumptions!$D$5,IF(ISNUMBER(SEARCH(Assumptions!$C$6,D65)),Assumptions!$D$6,IF(ISNUMBER(SEARCH(Assumptions!$C$7,D65)),Assumptions!$D$7,"Other Services"))),"Other Services"))</f>
        <v/>
      </c>
    </row>
    <row r="66" customFormat="false" ht="15" hidden="false" customHeight="false" outlineLevel="0" collapsed="false">
      <c r="F66" s="41" t="str">
        <f aca="false">IF(D66="","",IFERROR(IF(ISNUMBER(SEARCH(Assumptions!$C$5,D66)),Assumptions!$D$5,IF(ISNUMBER(SEARCH(Assumptions!$C$6,D66)),Assumptions!$D$6,IF(ISNUMBER(SEARCH(Assumptions!$C$7,D66)),Assumptions!$D$7,"Other Services"))),"Other Services"))</f>
        <v/>
      </c>
    </row>
    <row r="67" customFormat="false" ht="15" hidden="false" customHeight="false" outlineLevel="0" collapsed="false">
      <c r="F67" s="41" t="str">
        <f aca="false">IF(D67="","",IFERROR(IF(ISNUMBER(SEARCH(Assumptions!$C$5,D67)),Assumptions!$D$5,IF(ISNUMBER(SEARCH(Assumptions!$C$6,D67)),Assumptions!$D$6,IF(ISNUMBER(SEARCH(Assumptions!$C$7,D67)),Assumptions!$D$7,"Other Services"))),"Other Services"))</f>
        <v/>
      </c>
    </row>
    <row r="68" customFormat="false" ht="15" hidden="false" customHeight="false" outlineLevel="0" collapsed="false">
      <c r="F68" s="41" t="str">
        <f aca="false">IF(D68="","",IFERROR(IF(ISNUMBER(SEARCH(Assumptions!$C$5,D68)),Assumptions!$D$5,IF(ISNUMBER(SEARCH(Assumptions!$C$6,D68)),Assumptions!$D$6,IF(ISNUMBER(SEARCH(Assumptions!$C$7,D68)),Assumptions!$D$7,"Other Services"))),"Other Services"))</f>
        <v/>
      </c>
    </row>
    <row r="69" customFormat="false" ht="15" hidden="false" customHeight="false" outlineLevel="0" collapsed="false">
      <c r="F69" s="41" t="str">
        <f aca="false">IF(D69="","",IFERROR(IF(ISNUMBER(SEARCH(Assumptions!$C$5,D69)),Assumptions!$D$5,IF(ISNUMBER(SEARCH(Assumptions!$C$6,D69)),Assumptions!$D$6,IF(ISNUMBER(SEARCH(Assumptions!$C$7,D69)),Assumptions!$D$7,"Other Services"))),"Other Services"))</f>
        <v/>
      </c>
    </row>
    <row r="70" customFormat="false" ht="15" hidden="false" customHeight="false" outlineLevel="0" collapsed="false">
      <c r="F70" s="41" t="str">
        <f aca="false">IF(D70="","",IFERROR(IF(ISNUMBER(SEARCH(Assumptions!$C$5,D70)),Assumptions!$D$5,IF(ISNUMBER(SEARCH(Assumptions!$C$6,D70)),Assumptions!$D$6,IF(ISNUMBER(SEARCH(Assumptions!$C$7,D70)),Assumptions!$D$7,"Other Services"))),"Other Services"))</f>
        <v/>
      </c>
    </row>
    <row r="71" customFormat="false" ht="15" hidden="false" customHeight="false" outlineLevel="0" collapsed="false">
      <c r="F71" s="41" t="str">
        <f aca="false">IF(D71="","",IFERROR(IF(ISNUMBER(SEARCH(Assumptions!$C$5,D71)),Assumptions!$D$5,IF(ISNUMBER(SEARCH(Assumptions!$C$6,D71)),Assumptions!$D$6,IF(ISNUMBER(SEARCH(Assumptions!$C$7,D71)),Assumptions!$D$7,"Other Services"))),"Other Services"))</f>
        <v/>
      </c>
    </row>
    <row r="72" customFormat="false" ht="15" hidden="false" customHeight="false" outlineLevel="0" collapsed="false">
      <c r="F72" s="41" t="str">
        <f aca="false">IF(D72="","",IFERROR(IF(ISNUMBER(SEARCH(Assumptions!$C$5,D72)),Assumptions!$D$5,IF(ISNUMBER(SEARCH(Assumptions!$C$6,D72)),Assumptions!$D$6,IF(ISNUMBER(SEARCH(Assumptions!$C$7,D72)),Assumptions!$D$7,"Other Services"))),"Other Services"))</f>
        <v/>
      </c>
    </row>
    <row r="73" customFormat="false" ht="15" hidden="false" customHeight="false" outlineLevel="0" collapsed="false">
      <c r="F73" s="41" t="str">
        <f aca="false">IF(D73="","",IFERROR(IF(ISNUMBER(SEARCH(Assumptions!$C$5,D73)),Assumptions!$D$5,IF(ISNUMBER(SEARCH(Assumptions!$C$6,D73)),Assumptions!$D$6,IF(ISNUMBER(SEARCH(Assumptions!$C$7,D73)),Assumptions!$D$7,"Other Services"))),"Other Services"))</f>
        <v/>
      </c>
    </row>
    <row r="74" customFormat="false" ht="15" hidden="false" customHeight="false" outlineLevel="0" collapsed="false">
      <c r="F74" s="41" t="str">
        <f aca="false">IF(D74="","",IFERROR(IF(ISNUMBER(SEARCH(Assumptions!$C$5,D74)),Assumptions!$D$5,IF(ISNUMBER(SEARCH(Assumptions!$C$6,D74)),Assumptions!$D$6,IF(ISNUMBER(SEARCH(Assumptions!$C$7,D74)),Assumptions!$D$7,"Other Services"))),"Other Services"))</f>
        <v/>
      </c>
    </row>
    <row r="75" customFormat="false" ht="15" hidden="false" customHeight="false" outlineLevel="0" collapsed="false">
      <c r="F75" s="41" t="str">
        <f aca="false">IF(D75="","",IFERROR(IF(ISNUMBER(SEARCH(Assumptions!$C$5,D75)),Assumptions!$D$5,IF(ISNUMBER(SEARCH(Assumptions!$C$6,D75)),Assumptions!$D$6,IF(ISNUMBER(SEARCH(Assumptions!$C$7,D75)),Assumptions!$D$7,"Other Services"))),"Other Services"))</f>
        <v/>
      </c>
    </row>
    <row r="76" customFormat="false" ht="15" hidden="false" customHeight="false" outlineLevel="0" collapsed="false">
      <c r="F76" s="41" t="str">
        <f aca="false">IF(D76="","",IFERROR(IF(ISNUMBER(SEARCH(Assumptions!$C$5,D76)),Assumptions!$D$5,IF(ISNUMBER(SEARCH(Assumptions!$C$6,D76)),Assumptions!$D$6,IF(ISNUMBER(SEARCH(Assumptions!$C$7,D76)),Assumptions!$D$7,"Other Services"))),"Other Services"))</f>
        <v/>
      </c>
    </row>
    <row r="77" customFormat="false" ht="15" hidden="false" customHeight="false" outlineLevel="0" collapsed="false">
      <c r="F77" s="41" t="str">
        <f aca="false">IF(D77="","",IFERROR(IF(ISNUMBER(SEARCH(Assumptions!$C$5,D77)),Assumptions!$D$5,IF(ISNUMBER(SEARCH(Assumptions!$C$6,D77)),Assumptions!$D$6,IF(ISNUMBER(SEARCH(Assumptions!$C$7,D77)),Assumptions!$D$7,"Other Services"))),"Other Services"))</f>
        <v/>
      </c>
    </row>
    <row r="78" customFormat="false" ht="15" hidden="false" customHeight="false" outlineLevel="0" collapsed="false">
      <c r="F78" s="41" t="str">
        <f aca="false">IF(D78="","",IFERROR(IF(ISNUMBER(SEARCH(Assumptions!$C$5,D78)),Assumptions!$D$5,IF(ISNUMBER(SEARCH(Assumptions!$C$6,D78)),Assumptions!$D$6,IF(ISNUMBER(SEARCH(Assumptions!$C$7,D78)),Assumptions!$D$7,"Other Services"))),"Other Services"))</f>
        <v/>
      </c>
    </row>
    <row r="79" customFormat="false" ht="15" hidden="false" customHeight="false" outlineLevel="0" collapsed="false">
      <c r="F79" s="41" t="str">
        <f aca="false">IF(D79="","",IFERROR(IF(ISNUMBER(SEARCH(Assumptions!$C$5,D79)),Assumptions!$D$5,IF(ISNUMBER(SEARCH(Assumptions!$C$6,D79)),Assumptions!$D$6,IF(ISNUMBER(SEARCH(Assumptions!$C$7,D79)),Assumptions!$D$7,"Other Services"))),"Other Services"))</f>
        <v/>
      </c>
    </row>
    <row r="80" customFormat="false" ht="15" hidden="false" customHeight="false" outlineLevel="0" collapsed="false">
      <c r="F80" s="41" t="str">
        <f aca="false">IF(D80="","",IFERROR(IF(ISNUMBER(SEARCH(Assumptions!$C$5,D80)),Assumptions!$D$5,IF(ISNUMBER(SEARCH(Assumptions!$C$6,D80)),Assumptions!$D$6,IF(ISNUMBER(SEARCH(Assumptions!$C$7,D80)),Assumptions!$D$7,"Other Services"))),"Other Services"))</f>
        <v/>
      </c>
    </row>
    <row r="81" customFormat="false" ht="15" hidden="false" customHeight="false" outlineLevel="0" collapsed="false">
      <c r="F81" s="41" t="str">
        <f aca="false">IF(D81="","",IFERROR(IF(ISNUMBER(SEARCH(Assumptions!$C$5,D81)),Assumptions!$D$5,IF(ISNUMBER(SEARCH(Assumptions!$C$6,D81)),Assumptions!$D$6,IF(ISNUMBER(SEARCH(Assumptions!$C$7,D81)),Assumptions!$D$7,"Other Services"))),"Other Services"))</f>
        <v/>
      </c>
    </row>
    <row r="82" customFormat="false" ht="15" hidden="false" customHeight="false" outlineLevel="0" collapsed="false">
      <c r="F82" s="41" t="str">
        <f aca="false">IF(D82="","",IFERROR(IF(ISNUMBER(SEARCH(Assumptions!$C$5,D82)),Assumptions!$D$5,IF(ISNUMBER(SEARCH(Assumptions!$C$6,D82)),Assumptions!$D$6,IF(ISNUMBER(SEARCH(Assumptions!$C$7,D82)),Assumptions!$D$7,"Other Services"))),"Other Services"))</f>
        <v/>
      </c>
    </row>
    <row r="83" customFormat="false" ht="15" hidden="false" customHeight="false" outlineLevel="0" collapsed="false">
      <c r="F83" s="41" t="str">
        <f aca="false">IF(D83="","",IFERROR(IF(ISNUMBER(SEARCH(Assumptions!$C$5,D83)),Assumptions!$D$5,IF(ISNUMBER(SEARCH(Assumptions!$C$6,D83)),Assumptions!$D$6,IF(ISNUMBER(SEARCH(Assumptions!$C$7,D83)),Assumptions!$D$7,"Other Services"))),"Other Services"))</f>
        <v/>
      </c>
    </row>
    <row r="84" customFormat="false" ht="15" hidden="false" customHeight="false" outlineLevel="0" collapsed="false">
      <c r="F84" s="41" t="str">
        <f aca="false">IF(D84="","",IFERROR(IF(ISNUMBER(SEARCH(Assumptions!$C$5,D84)),Assumptions!$D$5,IF(ISNUMBER(SEARCH(Assumptions!$C$6,D84)),Assumptions!$D$6,IF(ISNUMBER(SEARCH(Assumptions!$C$7,D84)),Assumptions!$D$7,"Other Services"))),"Other Services"))</f>
        <v/>
      </c>
    </row>
    <row r="85" customFormat="false" ht="15" hidden="false" customHeight="false" outlineLevel="0" collapsed="false">
      <c r="F85" s="41" t="str">
        <f aca="false">IF(D85="","",IFERROR(IF(ISNUMBER(SEARCH(Assumptions!$C$5,D85)),Assumptions!$D$5,IF(ISNUMBER(SEARCH(Assumptions!$C$6,D85)),Assumptions!$D$6,IF(ISNUMBER(SEARCH(Assumptions!$C$7,D85)),Assumptions!$D$7,"Other Services"))),"Other Services"))</f>
        <v/>
      </c>
    </row>
    <row r="86" customFormat="false" ht="15" hidden="false" customHeight="false" outlineLevel="0" collapsed="false">
      <c r="F86" s="41" t="str">
        <f aca="false">IF(D86="","",IFERROR(IF(ISNUMBER(SEARCH(Assumptions!$C$5,D86)),Assumptions!$D$5,IF(ISNUMBER(SEARCH(Assumptions!$C$6,D86)),Assumptions!$D$6,IF(ISNUMBER(SEARCH(Assumptions!$C$7,D86)),Assumptions!$D$7,"Other Services"))),"Other Services"))</f>
        <v/>
      </c>
    </row>
    <row r="87" customFormat="false" ht="15" hidden="false" customHeight="false" outlineLevel="0" collapsed="false">
      <c r="F87" s="41" t="str">
        <f aca="false">IF(D87="","",IFERROR(IF(ISNUMBER(SEARCH(Assumptions!$C$5,D87)),Assumptions!$D$5,IF(ISNUMBER(SEARCH(Assumptions!$C$6,D87)),Assumptions!$D$6,IF(ISNUMBER(SEARCH(Assumptions!$C$7,D87)),Assumptions!$D$7,"Other Services"))),"Other Services"))</f>
        <v/>
      </c>
    </row>
    <row r="88" customFormat="false" ht="15" hidden="false" customHeight="false" outlineLevel="0" collapsed="false">
      <c r="F88" s="41" t="str">
        <f aca="false">IF(D88="","",IFERROR(IF(ISNUMBER(SEARCH(Assumptions!$C$5,D88)),Assumptions!$D$5,IF(ISNUMBER(SEARCH(Assumptions!$C$6,D88)),Assumptions!$D$6,IF(ISNUMBER(SEARCH(Assumptions!$C$7,D88)),Assumptions!$D$7,"Other Services"))),"Other Services"))</f>
        <v/>
      </c>
    </row>
    <row r="89" customFormat="false" ht="15" hidden="false" customHeight="false" outlineLevel="0" collapsed="false">
      <c r="F89" s="41" t="str">
        <f aca="false">IF(D89="","",IFERROR(IF(ISNUMBER(SEARCH(Assumptions!$C$5,D89)),Assumptions!$D$5,IF(ISNUMBER(SEARCH(Assumptions!$C$6,D89)),Assumptions!$D$6,IF(ISNUMBER(SEARCH(Assumptions!$C$7,D89)),Assumptions!$D$7,"Other Services"))),"Other Services"))</f>
        <v/>
      </c>
    </row>
    <row r="90" customFormat="false" ht="15" hidden="false" customHeight="false" outlineLevel="0" collapsed="false">
      <c r="F90" s="41" t="str">
        <f aca="false">IF(D90="","",IFERROR(IF(ISNUMBER(SEARCH(Assumptions!$C$5,D90)),Assumptions!$D$5,IF(ISNUMBER(SEARCH(Assumptions!$C$6,D90)),Assumptions!$D$6,IF(ISNUMBER(SEARCH(Assumptions!$C$7,D90)),Assumptions!$D$7,"Other Services"))),"Other Services"))</f>
        <v/>
      </c>
    </row>
    <row r="91" customFormat="false" ht="15" hidden="false" customHeight="false" outlineLevel="0" collapsed="false">
      <c r="F91" s="41" t="str">
        <f aca="false">IF(D91="","",IFERROR(IF(ISNUMBER(SEARCH(Assumptions!$C$5,D91)),Assumptions!$D$5,IF(ISNUMBER(SEARCH(Assumptions!$C$6,D91)),Assumptions!$D$6,IF(ISNUMBER(SEARCH(Assumptions!$C$7,D91)),Assumptions!$D$7,"Other Services"))),"Other Services"))</f>
        <v/>
      </c>
    </row>
    <row r="92" customFormat="false" ht="15" hidden="false" customHeight="false" outlineLevel="0" collapsed="false">
      <c r="F92" s="41" t="str">
        <f aca="false">IF(D92="","",IFERROR(IF(ISNUMBER(SEARCH(Assumptions!$C$5,D92)),Assumptions!$D$5,IF(ISNUMBER(SEARCH(Assumptions!$C$6,D92)),Assumptions!$D$6,IF(ISNUMBER(SEARCH(Assumptions!$C$7,D92)),Assumptions!$D$7,"Other Services"))),"Other Services"))</f>
        <v/>
      </c>
    </row>
    <row r="93" customFormat="false" ht="15" hidden="false" customHeight="false" outlineLevel="0" collapsed="false">
      <c r="F93" s="41" t="str">
        <f aca="false">IF(D93="","",IFERROR(IF(ISNUMBER(SEARCH(Assumptions!$C$5,D93)),Assumptions!$D$5,IF(ISNUMBER(SEARCH(Assumptions!$C$6,D93)),Assumptions!$D$6,IF(ISNUMBER(SEARCH(Assumptions!$C$7,D93)),Assumptions!$D$7,"Other Services"))),"Other Services"))</f>
        <v/>
      </c>
    </row>
    <row r="94" customFormat="false" ht="15" hidden="false" customHeight="false" outlineLevel="0" collapsed="false">
      <c r="F94" s="41" t="str">
        <f aca="false">IF(D94="","",IFERROR(IF(ISNUMBER(SEARCH(Assumptions!$C$5,D94)),Assumptions!$D$5,IF(ISNUMBER(SEARCH(Assumptions!$C$6,D94)),Assumptions!$D$6,IF(ISNUMBER(SEARCH(Assumptions!$C$7,D94)),Assumptions!$D$7,"Other Services"))),"Other Services"))</f>
        <v/>
      </c>
    </row>
    <row r="95" customFormat="false" ht="15" hidden="false" customHeight="false" outlineLevel="0" collapsed="false">
      <c r="F95" s="41" t="str">
        <f aca="false">IF(D95="","",IFERROR(IF(ISNUMBER(SEARCH(Assumptions!$C$5,D95)),Assumptions!$D$5,IF(ISNUMBER(SEARCH(Assumptions!$C$6,D95)),Assumptions!$D$6,IF(ISNUMBER(SEARCH(Assumptions!$C$7,D95)),Assumptions!$D$7,"Other Services"))),"Other Services"))</f>
        <v/>
      </c>
    </row>
    <row r="96" customFormat="false" ht="15" hidden="false" customHeight="false" outlineLevel="0" collapsed="false">
      <c r="F96" s="41" t="str">
        <f aca="false">IF(D96="","",IFERROR(IF(ISNUMBER(SEARCH(Assumptions!$C$5,D96)),Assumptions!$D$5,IF(ISNUMBER(SEARCH(Assumptions!$C$6,D96)),Assumptions!$D$6,IF(ISNUMBER(SEARCH(Assumptions!$C$7,D96)),Assumptions!$D$7,"Other Services"))),"Other Services"))</f>
        <v/>
      </c>
    </row>
    <row r="97" customFormat="false" ht="15" hidden="false" customHeight="false" outlineLevel="0" collapsed="false">
      <c r="F97" s="41" t="str">
        <f aca="false">IF(D97="","",IFERROR(IF(ISNUMBER(SEARCH(Assumptions!$C$5,D97)),Assumptions!$D$5,IF(ISNUMBER(SEARCH(Assumptions!$C$6,D97)),Assumptions!$D$6,IF(ISNUMBER(SEARCH(Assumptions!$C$7,D97)),Assumptions!$D$7,"Other Services"))),"Other Services"))</f>
        <v/>
      </c>
    </row>
    <row r="98" customFormat="false" ht="15" hidden="false" customHeight="false" outlineLevel="0" collapsed="false">
      <c r="F98" s="41" t="str">
        <f aca="false">IF(D98="","",IFERROR(IF(ISNUMBER(SEARCH(Assumptions!$C$5,D98)),Assumptions!$D$5,IF(ISNUMBER(SEARCH(Assumptions!$C$6,D98)),Assumptions!$D$6,IF(ISNUMBER(SEARCH(Assumptions!$C$7,D98)),Assumptions!$D$7,"Other Services"))),"Other Services"))</f>
        <v/>
      </c>
    </row>
    <row r="99" customFormat="false" ht="15" hidden="false" customHeight="false" outlineLevel="0" collapsed="false">
      <c r="F99" s="41" t="str">
        <f aca="false">IF(D99="","",IFERROR(IF(ISNUMBER(SEARCH(Assumptions!$C$5,D99)),Assumptions!$D$5,IF(ISNUMBER(SEARCH(Assumptions!$C$6,D99)),Assumptions!$D$6,IF(ISNUMBER(SEARCH(Assumptions!$C$7,D99)),Assumptions!$D$7,"Other Services"))),"Other Services"))</f>
        <v/>
      </c>
    </row>
    <row r="100" customFormat="false" ht="15" hidden="false" customHeight="false" outlineLevel="0" collapsed="false">
      <c r="F100" s="41" t="str">
        <f aca="false">IF(D100="","",IFERROR(IF(ISNUMBER(SEARCH(Assumptions!$C$5,D100)),Assumptions!$D$5,IF(ISNUMBER(SEARCH(Assumptions!$C$6,D100)),Assumptions!$D$6,IF(ISNUMBER(SEARCH(Assumptions!$C$7,D100)),Assumptions!$D$7,"Other Services"))),"Other Services"))</f>
        <v/>
      </c>
    </row>
    <row r="101" customFormat="false" ht="15" hidden="false" customHeight="false" outlineLevel="0" collapsed="false">
      <c r="F101" s="41" t="str">
        <f aca="false">IF(D101="","",IFERROR(IF(ISNUMBER(SEARCH(Assumptions!$C$5,D101)),Assumptions!$D$5,IF(ISNUMBER(SEARCH(Assumptions!$C$6,D101)),Assumptions!$D$6,IF(ISNUMBER(SEARCH(Assumptions!$C$7,D101)),Assumptions!$D$7,"Other Services"))),"Other Services"))</f>
        <v/>
      </c>
    </row>
    <row r="102" customFormat="false" ht="15" hidden="false" customHeight="false" outlineLevel="0" collapsed="false">
      <c r="F102" s="41" t="str">
        <f aca="false">IF(D102="","",IFERROR(IF(ISNUMBER(SEARCH(Assumptions!$C$5,D102)),Assumptions!$D$5,IF(ISNUMBER(SEARCH(Assumptions!$C$6,D102)),Assumptions!$D$6,IF(ISNUMBER(SEARCH(Assumptions!$C$7,D102)),Assumptions!$D$7,"Other Services"))),"Other Services"))</f>
        <v/>
      </c>
    </row>
    <row r="103" customFormat="false" ht="15" hidden="false" customHeight="false" outlineLevel="0" collapsed="false">
      <c r="F103" s="41" t="str">
        <f aca="false">IF(D103="","",IFERROR(IF(ISNUMBER(SEARCH(Assumptions!$C$5,D103)),Assumptions!$D$5,IF(ISNUMBER(SEARCH(Assumptions!$C$6,D103)),Assumptions!$D$6,IF(ISNUMBER(SEARCH(Assumptions!$C$7,D103)),Assumptions!$D$7,"Other Services"))),"Other Services"))</f>
        <v/>
      </c>
    </row>
    <row r="104" customFormat="false" ht="15" hidden="false" customHeight="false" outlineLevel="0" collapsed="false">
      <c r="F104" s="41" t="str">
        <f aca="false">IF(D104="","",IFERROR(IF(ISNUMBER(SEARCH(Assumptions!$C$5,D104)),Assumptions!$D$5,IF(ISNUMBER(SEARCH(Assumptions!$C$6,D104)),Assumptions!$D$6,IF(ISNUMBER(SEARCH(Assumptions!$C$7,D104)),Assumptions!$D$7,"Other Services"))),"Other Services"))</f>
        <v/>
      </c>
    </row>
    <row r="105" customFormat="false" ht="15" hidden="false" customHeight="false" outlineLevel="0" collapsed="false">
      <c r="F105" s="41" t="str">
        <f aca="false">IF(D105="","",IFERROR(IF(ISNUMBER(SEARCH(Assumptions!$C$5,D105)),Assumptions!$D$5,IF(ISNUMBER(SEARCH(Assumptions!$C$6,D105)),Assumptions!$D$6,IF(ISNUMBER(SEARCH(Assumptions!$C$7,D105)),Assumptions!$D$7,"Other Services"))),"Other Services"))</f>
        <v/>
      </c>
    </row>
    <row r="106" customFormat="false" ht="15" hidden="false" customHeight="false" outlineLevel="0" collapsed="false">
      <c r="F106" s="41" t="str">
        <f aca="false">IF(D106="","",IFERROR(IF(ISNUMBER(SEARCH(Assumptions!$C$5,D106)),Assumptions!$D$5,IF(ISNUMBER(SEARCH(Assumptions!$C$6,D106)),Assumptions!$D$6,IF(ISNUMBER(SEARCH(Assumptions!$C$7,D106)),Assumptions!$D$7,"Other Services"))),"Other Services"))</f>
        <v/>
      </c>
    </row>
    <row r="107" customFormat="false" ht="15" hidden="false" customHeight="false" outlineLevel="0" collapsed="false">
      <c r="F107" s="41" t="str">
        <f aca="false">IF(D107="","",IFERROR(IF(ISNUMBER(SEARCH(Assumptions!$C$5,D107)),Assumptions!$D$5,IF(ISNUMBER(SEARCH(Assumptions!$C$6,D107)),Assumptions!$D$6,IF(ISNUMBER(SEARCH(Assumptions!$C$7,D107)),Assumptions!$D$7,"Other Services"))),"Other Services"))</f>
        <v/>
      </c>
    </row>
    <row r="108" customFormat="false" ht="15" hidden="false" customHeight="false" outlineLevel="0" collapsed="false">
      <c r="F108" s="41" t="str">
        <f aca="false">IF(D108="","",IFERROR(IF(ISNUMBER(SEARCH(Assumptions!$C$5,D108)),Assumptions!$D$5,IF(ISNUMBER(SEARCH(Assumptions!$C$6,D108)),Assumptions!$D$6,IF(ISNUMBER(SEARCH(Assumptions!$C$7,D108)),Assumptions!$D$7,"Other Services"))),"Other Services"))</f>
        <v/>
      </c>
    </row>
    <row r="109" customFormat="false" ht="15" hidden="false" customHeight="false" outlineLevel="0" collapsed="false">
      <c r="F109" s="41" t="str">
        <f aca="false">IF(D109="","",IFERROR(IF(ISNUMBER(SEARCH(Assumptions!$C$5,D109)),Assumptions!$D$5,IF(ISNUMBER(SEARCH(Assumptions!$C$6,D109)),Assumptions!$D$6,IF(ISNUMBER(SEARCH(Assumptions!$C$7,D109)),Assumptions!$D$7,"Other Services"))),"Other Services"))</f>
        <v/>
      </c>
    </row>
    <row r="110" customFormat="false" ht="15" hidden="false" customHeight="false" outlineLevel="0" collapsed="false">
      <c r="F110" s="41" t="str">
        <f aca="false">IF(D110="","",IFERROR(IF(ISNUMBER(SEARCH(Assumptions!$C$5,D110)),Assumptions!$D$5,IF(ISNUMBER(SEARCH(Assumptions!$C$6,D110)),Assumptions!$D$6,IF(ISNUMBER(SEARCH(Assumptions!$C$7,D110)),Assumptions!$D$7,"Other Services"))),"Other Services"))</f>
        <v/>
      </c>
    </row>
    <row r="111" customFormat="false" ht="15" hidden="false" customHeight="false" outlineLevel="0" collapsed="false">
      <c r="F111" s="41" t="str">
        <f aca="false">IF(D111="","",IFERROR(IF(ISNUMBER(SEARCH(Assumptions!$C$5,D111)),Assumptions!$D$5,IF(ISNUMBER(SEARCH(Assumptions!$C$6,D111)),Assumptions!$D$6,IF(ISNUMBER(SEARCH(Assumptions!$C$7,D111)),Assumptions!$D$7,"Other Services"))),"Other Services"))</f>
        <v/>
      </c>
    </row>
    <row r="112" customFormat="false" ht="15" hidden="false" customHeight="false" outlineLevel="0" collapsed="false">
      <c r="F112" s="41" t="str">
        <f aca="false">IF(D112="","",IFERROR(IF(ISNUMBER(SEARCH(Assumptions!$C$5,D112)),Assumptions!$D$5,IF(ISNUMBER(SEARCH(Assumptions!$C$6,D112)),Assumptions!$D$6,IF(ISNUMBER(SEARCH(Assumptions!$C$7,D112)),Assumptions!$D$7,"Other Services"))),"Other Services"))</f>
        <v/>
      </c>
    </row>
    <row r="113" customFormat="false" ht="15" hidden="false" customHeight="false" outlineLevel="0" collapsed="false">
      <c r="F113" s="41" t="str">
        <f aca="false">IF(D113="","",IFERROR(IF(ISNUMBER(SEARCH(Assumptions!$C$5,D113)),Assumptions!$D$5,IF(ISNUMBER(SEARCH(Assumptions!$C$6,D113)),Assumptions!$D$6,IF(ISNUMBER(SEARCH(Assumptions!$C$7,D113)),Assumptions!$D$7,"Other Services"))),"Other Services"))</f>
        <v/>
      </c>
    </row>
    <row r="114" customFormat="false" ht="15" hidden="false" customHeight="false" outlineLevel="0" collapsed="false">
      <c r="F114" s="41" t="str">
        <f aca="false">IF(D114="","",IFERROR(IF(ISNUMBER(SEARCH(Assumptions!$C$5,D114)),Assumptions!$D$5,IF(ISNUMBER(SEARCH(Assumptions!$C$6,D114)),Assumptions!$D$6,IF(ISNUMBER(SEARCH(Assumptions!$C$7,D114)),Assumptions!$D$7,"Other Services"))),"Other Services"))</f>
        <v/>
      </c>
    </row>
    <row r="115" customFormat="false" ht="15" hidden="false" customHeight="false" outlineLevel="0" collapsed="false">
      <c r="F115" s="41" t="str">
        <f aca="false">IF(D115="","",IFERROR(IF(ISNUMBER(SEARCH(Assumptions!$C$5,D115)),Assumptions!$D$5,IF(ISNUMBER(SEARCH(Assumptions!$C$6,D115)),Assumptions!$D$6,IF(ISNUMBER(SEARCH(Assumptions!$C$7,D115)),Assumptions!$D$7,"Other Services"))),"Other Services"))</f>
        <v/>
      </c>
    </row>
    <row r="116" customFormat="false" ht="15" hidden="false" customHeight="false" outlineLevel="0" collapsed="false">
      <c r="F116" s="41" t="str">
        <f aca="false">IF(D116="","",IFERROR(IF(ISNUMBER(SEARCH(Assumptions!$C$5,D116)),Assumptions!$D$5,IF(ISNUMBER(SEARCH(Assumptions!$C$6,D116)),Assumptions!$D$6,IF(ISNUMBER(SEARCH(Assumptions!$C$7,D116)),Assumptions!$D$7,"Other Services"))),"Other Services"))</f>
        <v/>
      </c>
    </row>
    <row r="117" customFormat="false" ht="15" hidden="false" customHeight="false" outlineLevel="0" collapsed="false">
      <c r="F117" s="41" t="str">
        <f aca="false">IF(D117="","",IFERROR(IF(ISNUMBER(SEARCH(Assumptions!$C$5,D117)),Assumptions!$D$5,IF(ISNUMBER(SEARCH(Assumptions!$C$6,D117)),Assumptions!$D$6,IF(ISNUMBER(SEARCH(Assumptions!$C$7,D117)),Assumptions!$D$7,"Other Services"))),"Other Services"))</f>
        <v/>
      </c>
    </row>
    <row r="118" customFormat="false" ht="15" hidden="false" customHeight="false" outlineLevel="0" collapsed="false">
      <c r="F118" s="41" t="str">
        <f aca="false">IF(D118="","",IFERROR(IF(ISNUMBER(SEARCH(Assumptions!$C$5,D118)),Assumptions!$D$5,IF(ISNUMBER(SEARCH(Assumptions!$C$6,D118)),Assumptions!$D$6,IF(ISNUMBER(SEARCH(Assumptions!$C$7,D118)),Assumptions!$D$7,"Other Services"))),"Other Services"))</f>
        <v/>
      </c>
    </row>
    <row r="119" customFormat="false" ht="15" hidden="false" customHeight="false" outlineLevel="0" collapsed="false">
      <c r="F119" s="41" t="str">
        <f aca="false">IF(D119="","",IFERROR(IF(ISNUMBER(SEARCH(Assumptions!$C$5,D119)),Assumptions!$D$5,IF(ISNUMBER(SEARCH(Assumptions!$C$6,D119)),Assumptions!$D$6,IF(ISNUMBER(SEARCH(Assumptions!$C$7,D119)),Assumptions!$D$7,"Other Services"))),"Other Services"))</f>
        <v/>
      </c>
    </row>
    <row r="120" customFormat="false" ht="15" hidden="false" customHeight="false" outlineLevel="0" collapsed="false">
      <c r="F120" s="41" t="str">
        <f aca="false">IF(D120="","",IFERROR(IF(ISNUMBER(SEARCH(Assumptions!$C$5,D120)),Assumptions!$D$5,IF(ISNUMBER(SEARCH(Assumptions!$C$6,D120)),Assumptions!$D$6,IF(ISNUMBER(SEARCH(Assumptions!$C$7,D120)),Assumptions!$D$7,"Other Services"))),"Other Services"))</f>
        <v/>
      </c>
    </row>
    <row r="121" customFormat="false" ht="15" hidden="false" customHeight="false" outlineLevel="0" collapsed="false">
      <c r="F121" s="41" t="str">
        <f aca="false">IF(D121="","",IFERROR(IF(ISNUMBER(SEARCH(Assumptions!$C$5,D121)),Assumptions!$D$5,IF(ISNUMBER(SEARCH(Assumptions!$C$6,D121)),Assumptions!$D$6,IF(ISNUMBER(SEARCH(Assumptions!$C$7,D121)),Assumptions!$D$7,"Other Services"))),"Other Services"))</f>
        <v/>
      </c>
    </row>
    <row r="122" customFormat="false" ht="15" hidden="false" customHeight="false" outlineLevel="0" collapsed="false">
      <c r="F122" s="41" t="str">
        <f aca="false">IF(D122="","",IFERROR(IF(ISNUMBER(SEARCH(Assumptions!$C$5,D122)),Assumptions!$D$5,IF(ISNUMBER(SEARCH(Assumptions!$C$6,D122)),Assumptions!$D$6,IF(ISNUMBER(SEARCH(Assumptions!$C$7,D122)),Assumptions!$D$7,"Other Services"))),"Other Services"))</f>
        <v/>
      </c>
    </row>
    <row r="123" customFormat="false" ht="15" hidden="false" customHeight="false" outlineLevel="0" collapsed="false">
      <c r="F123" s="41" t="str">
        <f aca="false">IF(D123="","",IFERROR(IF(ISNUMBER(SEARCH(Assumptions!$C$5,D123)),Assumptions!$D$5,IF(ISNUMBER(SEARCH(Assumptions!$C$6,D123)),Assumptions!$D$6,IF(ISNUMBER(SEARCH(Assumptions!$C$7,D123)),Assumptions!$D$7,"Other Services"))),"Other Services"))</f>
        <v/>
      </c>
    </row>
    <row r="124" customFormat="false" ht="15" hidden="false" customHeight="false" outlineLevel="0" collapsed="false">
      <c r="F124" s="41" t="str">
        <f aca="false">IF(D124="","",IFERROR(IF(ISNUMBER(SEARCH(Assumptions!$C$5,D124)),Assumptions!$D$5,IF(ISNUMBER(SEARCH(Assumptions!$C$6,D124)),Assumptions!$D$6,IF(ISNUMBER(SEARCH(Assumptions!$C$7,D124)),Assumptions!$D$7,"Other Services"))),"Other Services"))</f>
        <v/>
      </c>
    </row>
    <row r="125" customFormat="false" ht="15" hidden="false" customHeight="false" outlineLevel="0" collapsed="false">
      <c r="F125" s="41" t="str">
        <f aca="false">IF(D125="","",IFERROR(IF(ISNUMBER(SEARCH(Assumptions!$C$5,D125)),Assumptions!$D$5,IF(ISNUMBER(SEARCH(Assumptions!$C$6,D125)),Assumptions!$D$6,IF(ISNUMBER(SEARCH(Assumptions!$C$7,D125)),Assumptions!$D$7,"Other Services"))),"Other Services"))</f>
        <v/>
      </c>
    </row>
    <row r="126" customFormat="false" ht="15" hidden="false" customHeight="false" outlineLevel="0" collapsed="false">
      <c r="F126" s="41" t="str">
        <f aca="false">IF(D126="","",IFERROR(IF(ISNUMBER(SEARCH(Assumptions!$C$5,D126)),Assumptions!$D$5,IF(ISNUMBER(SEARCH(Assumptions!$C$6,D126)),Assumptions!$D$6,IF(ISNUMBER(SEARCH(Assumptions!$C$7,D126)),Assumptions!$D$7,"Other Services"))),"Other Services"))</f>
        <v/>
      </c>
    </row>
    <row r="127" customFormat="false" ht="15" hidden="false" customHeight="false" outlineLevel="0" collapsed="false">
      <c r="F127" s="41" t="str">
        <f aca="false">IF(D127="","",IFERROR(IF(ISNUMBER(SEARCH(Assumptions!$C$5,D127)),Assumptions!$D$5,IF(ISNUMBER(SEARCH(Assumptions!$C$6,D127)),Assumptions!$D$6,IF(ISNUMBER(SEARCH(Assumptions!$C$7,D127)),Assumptions!$D$7,"Other Services"))),"Other Services"))</f>
        <v/>
      </c>
    </row>
    <row r="128" customFormat="false" ht="15" hidden="false" customHeight="false" outlineLevel="0" collapsed="false">
      <c r="F128" s="41" t="str">
        <f aca="false">IF(D128="","",IFERROR(IF(ISNUMBER(SEARCH(Assumptions!$C$5,D128)),Assumptions!$D$5,IF(ISNUMBER(SEARCH(Assumptions!$C$6,D128)),Assumptions!$D$6,IF(ISNUMBER(SEARCH(Assumptions!$C$7,D128)),Assumptions!$D$7,"Other Services"))),"Other Services"))</f>
        <v/>
      </c>
    </row>
    <row r="129" customFormat="false" ht="15" hidden="false" customHeight="false" outlineLevel="0" collapsed="false">
      <c r="F129" s="41" t="str">
        <f aca="false">IF(D129="","",IFERROR(IF(ISNUMBER(SEARCH(Assumptions!$C$5,D129)),Assumptions!$D$5,IF(ISNUMBER(SEARCH(Assumptions!$C$6,D129)),Assumptions!$D$6,IF(ISNUMBER(SEARCH(Assumptions!$C$7,D129)),Assumptions!$D$7,"Other Services"))),"Other Services"))</f>
        <v/>
      </c>
    </row>
    <row r="130" customFormat="false" ht="15" hidden="false" customHeight="false" outlineLevel="0" collapsed="false">
      <c r="F130" s="41" t="str">
        <f aca="false">IF(D130="","",IFERROR(IF(ISNUMBER(SEARCH(Assumptions!$C$5,D130)),Assumptions!$D$5,IF(ISNUMBER(SEARCH(Assumptions!$C$6,D130)),Assumptions!$D$6,IF(ISNUMBER(SEARCH(Assumptions!$C$7,D130)),Assumptions!$D$7,"Other Services"))),"Other Services"))</f>
        <v/>
      </c>
    </row>
    <row r="131" customFormat="false" ht="15" hidden="false" customHeight="false" outlineLevel="0" collapsed="false">
      <c r="F131" s="41" t="str">
        <f aca="false">IF(D131="","",IFERROR(IF(ISNUMBER(SEARCH(Assumptions!$C$5,D131)),Assumptions!$D$5,IF(ISNUMBER(SEARCH(Assumptions!$C$6,D131)),Assumptions!$D$6,IF(ISNUMBER(SEARCH(Assumptions!$C$7,D131)),Assumptions!$D$7,"Other Services"))),"Other Services"))</f>
        <v/>
      </c>
    </row>
    <row r="132" customFormat="false" ht="15" hidden="false" customHeight="false" outlineLevel="0" collapsed="false">
      <c r="F132" s="41" t="str">
        <f aca="false">IF(D132="","",IFERROR(IF(ISNUMBER(SEARCH(Assumptions!$C$5,D132)),Assumptions!$D$5,IF(ISNUMBER(SEARCH(Assumptions!$C$6,D132)),Assumptions!$D$6,IF(ISNUMBER(SEARCH(Assumptions!$C$7,D132)),Assumptions!$D$7,"Other Services"))),"Other Services"))</f>
        <v/>
      </c>
    </row>
    <row r="133" customFormat="false" ht="15" hidden="false" customHeight="false" outlineLevel="0" collapsed="false">
      <c r="F133" s="41" t="str">
        <f aca="false">IF(D133="","",IFERROR(IF(ISNUMBER(SEARCH(Assumptions!$C$5,D133)),Assumptions!$D$5,IF(ISNUMBER(SEARCH(Assumptions!$C$6,D133)),Assumptions!$D$6,IF(ISNUMBER(SEARCH(Assumptions!$C$7,D133)),Assumptions!$D$7,"Other Services"))),"Other Services"))</f>
        <v/>
      </c>
    </row>
    <row r="134" customFormat="false" ht="15" hidden="false" customHeight="false" outlineLevel="0" collapsed="false">
      <c r="F134" s="41" t="str">
        <f aca="false">IF(D134="","",IFERROR(IF(ISNUMBER(SEARCH(Assumptions!$C$5,D134)),Assumptions!$D$5,IF(ISNUMBER(SEARCH(Assumptions!$C$6,D134)),Assumptions!$D$6,IF(ISNUMBER(SEARCH(Assumptions!$C$7,D134)),Assumptions!$D$7,"Other Services"))),"Other Services"))</f>
        <v/>
      </c>
    </row>
    <row r="135" customFormat="false" ht="15" hidden="false" customHeight="false" outlineLevel="0" collapsed="false">
      <c r="F135" s="41" t="str">
        <f aca="false">IF(D135="","",IFERROR(IF(ISNUMBER(SEARCH(Assumptions!$C$5,D135)),Assumptions!$D$5,IF(ISNUMBER(SEARCH(Assumptions!$C$6,D135)),Assumptions!$D$6,IF(ISNUMBER(SEARCH(Assumptions!$C$7,D135)),Assumptions!$D$7,"Other Services"))),"Other Services"))</f>
        <v/>
      </c>
    </row>
    <row r="136" customFormat="false" ht="15" hidden="false" customHeight="false" outlineLevel="0" collapsed="false">
      <c r="F136" s="41" t="str">
        <f aca="false">IF(D136="","",IFERROR(IF(ISNUMBER(SEARCH(Assumptions!$C$5,D136)),Assumptions!$D$5,IF(ISNUMBER(SEARCH(Assumptions!$C$6,D136)),Assumptions!$D$6,IF(ISNUMBER(SEARCH(Assumptions!$C$7,D136)),Assumptions!$D$7,"Other Services"))),"Other Services"))</f>
        <v/>
      </c>
    </row>
    <row r="137" customFormat="false" ht="15" hidden="false" customHeight="false" outlineLevel="0" collapsed="false">
      <c r="F137" s="41" t="str">
        <f aca="false">IF(D137="","",IFERROR(IF(ISNUMBER(SEARCH(Assumptions!$C$5,D137)),Assumptions!$D$5,IF(ISNUMBER(SEARCH(Assumptions!$C$6,D137)),Assumptions!$D$6,IF(ISNUMBER(SEARCH(Assumptions!$C$7,D137)),Assumptions!$D$7,"Other Services"))),"Other Services"))</f>
        <v/>
      </c>
    </row>
    <row r="138" customFormat="false" ht="15" hidden="false" customHeight="false" outlineLevel="0" collapsed="false">
      <c r="F138" s="41" t="str">
        <f aca="false">IF(D138="","",IFERROR(IF(ISNUMBER(SEARCH(Assumptions!$C$5,D138)),Assumptions!$D$5,IF(ISNUMBER(SEARCH(Assumptions!$C$6,D138)),Assumptions!$D$6,IF(ISNUMBER(SEARCH(Assumptions!$C$7,D138)),Assumptions!$D$7,"Other Services"))),"Other Services"))</f>
        <v/>
      </c>
    </row>
    <row r="139" customFormat="false" ht="15" hidden="false" customHeight="false" outlineLevel="0" collapsed="false">
      <c r="F139" s="41" t="str">
        <f aca="false">IF(D139="","",IFERROR(IF(ISNUMBER(SEARCH(Assumptions!$C$5,D139)),Assumptions!$D$5,IF(ISNUMBER(SEARCH(Assumptions!$C$6,D139)),Assumptions!$D$6,IF(ISNUMBER(SEARCH(Assumptions!$C$7,D139)),Assumptions!$D$7,"Other Services"))),"Other Services"))</f>
        <v/>
      </c>
    </row>
    <row r="140" customFormat="false" ht="15" hidden="false" customHeight="false" outlineLevel="0" collapsed="false">
      <c r="F140" s="41" t="str">
        <f aca="false">IF(D140="","",IFERROR(IF(ISNUMBER(SEARCH(Assumptions!$C$5,D140)),Assumptions!$D$5,IF(ISNUMBER(SEARCH(Assumptions!$C$6,D140)),Assumptions!$D$6,IF(ISNUMBER(SEARCH(Assumptions!$C$7,D140)),Assumptions!$D$7,"Other Services"))),"Other Services"))</f>
        <v/>
      </c>
    </row>
    <row r="141" customFormat="false" ht="15" hidden="false" customHeight="false" outlineLevel="0" collapsed="false">
      <c r="F141" s="41" t="str">
        <f aca="false">IF(D141="","",IFERROR(IF(ISNUMBER(SEARCH(Assumptions!$C$5,D141)),Assumptions!$D$5,IF(ISNUMBER(SEARCH(Assumptions!$C$6,D141)),Assumptions!$D$6,IF(ISNUMBER(SEARCH(Assumptions!$C$7,D141)),Assumptions!$D$7,"Other Services"))),"Other Services"))</f>
        <v/>
      </c>
    </row>
    <row r="142" customFormat="false" ht="15" hidden="false" customHeight="false" outlineLevel="0" collapsed="false">
      <c r="F142" s="41" t="str">
        <f aca="false">IF(D142="","",IFERROR(IF(ISNUMBER(SEARCH(Assumptions!$C$5,D142)),Assumptions!$D$5,IF(ISNUMBER(SEARCH(Assumptions!$C$6,D142)),Assumptions!$D$6,IF(ISNUMBER(SEARCH(Assumptions!$C$7,D142)),Assumptions!$D$7,"Other Services"))),"Other Services"))</f>
        <v/>
      </c>
    </row>
    <row r="143" customFormat="false" ht="15" hidden="false" customHeight="false" outlineLevel="0" collapsed="false">
      <c r="F143" s="41" t="str">
        <f aca="false">IF(D143="","",IFERROR(IF(ISNUMBER(SEARCH(Assumptions!$C$5,D143)),Assumptions!$D$5,IF(ISNUMBER(SEARCH(Assumptions!$C$6,D143)),Assumptions!$D$6,IF(ISNUMBER(SEARCH(Assumptions!$C$7,D143)),Assumptions!$D$7,"Other Services"))),"Other Services"))</f>
        <v/>
      </c>
    </row>
    <row r="144" customFormat="false" ht="15" hidden="false" customHeight="false" outlineLevel="0" collapsed="false">
      <c r="F144" s="41" t="str">
        <f aca="false">IF(D144="","",IFERROR(IF(ISNUMBER(SEARCH(Assumptions!$C$5,D144)),Assumptions!$D$5,IF(ISNUMBER(SEARCH(Assumptions!$C$6,D144)),Assumptions!$D$6,IF(ISNUMBER(SEARCH(Assumptions!$C$7,D144)),Assumptions!$D$7,"Other Services"))),"Other Services"))</f>
        <v/>
      </c>
    </row>
    <row r="145" customFormat="false" ht="15" hidden="false" customHeight="false" outlineLevel="0" collapsed="false">
      <c r="F145" s="41" t="str">
        <f aca="false">IF(D145="","",IFERROR(IF(ISNUMBER(SEARCH(Assumptions!$C$5,D145)),Assumptions!$D$5,IF(ISNUMBER(SEARCH(Assumptions!$C$6,D145)),Assumptions!$D$6,IF(ISNUMBER(SEARCH(Assumptions!$C$7,D145)),Assumptions!$D$7,"Other Services"))),"Other Services"))</f>
        <v/>
      </c>
    </row>
    <row r="146" customFormat="false" ht="15" hidden="false" customHeight="false" outlineLevel="0" collapsed="false">
      <c r="F146" s="41" t="str">
        <f aca="false">IF(D146="","",IFERROR(IF(ISNUMBER(SEARCH(Assumptions!$C$5,D146)),Assumptions!$D$5,IF(ISNUMBER(SEARCH(Assumptions!$C$6,D146)),Assumptions!$D$6,IF(ISNUMBER(SEARCH(Assumptions!$C$7,D146)),Assumptions!$D$7,"Other Services"))),"Other Services"))</f>
        <v/>
      </c>
    </row>
    <row r="147" customFormat="false" ht="15" hidden="false" customHeight="false" outlineLevel="0" collapsed="false">
      <c r="F147" s="41" t="str">
        <f aca="false">IF(D147="","",IFERROR(IF(ISNUMBER(SEARCH(Assumptions!$C$5,D147)),Assumptions!$D$5,IF(ISNUMBER(SEARCH(Assumptions!$C$6,D147)),Assumptions!$D$6,IF(ISNUMBER(SEARCH(Assumptions!$C$7,D147)),Assumptions!$D$7,"Other Services"))),"Other Services"))</f>
        <v/>
      </c>
    </row>
    <row r="148" customFormat="false" ht="15" hidden="false" customHeight="false" outlineLevel="0" collapsed="false">
      <c r="F148" s="41" t="str">
        <f aca="false">IF(D148="","",IFERROR(IF(ISNUMBER(SEARCH(Assumptions!$C$5,D148)),Assumptions!$D$5,IF(ISNUMBER(SEARCH(Assumptions!$C$6,D148)),Assumptions!$D$6,IF(ISNUMBER(SEARCH(Assumptions!$C$7,D148)),Assumptions!$D$7,"Other Services"))),"Other Services"))</f>
        <v/>
      </c>
    </row>
    <row r="149" customFormat="false" ht="15" hidden="false" customHeight="false" outlineLevel="0" collapsed="false">
      <c r="F149" s="41" t="str">
        <f aca="false">IF(D149="","",IFERROR(IF(ISNUMBER(SEARCH(Assumptions!$C$5,D149)),Assumptions!$D$5,IF(ISNUMBER(SEARCH(Assumptions!$C$6,D149)),Assumptions!$D$6,IF(ISNUMBER(SEARCH(Assumptions!$C$7,D149)),Assumptions!$D$7,"Other Services"))),"Other Services"))</f>
        <v/>
      </c>
    </row>
    <row r="150" customFormat="false" ht="15" hidden="false" customHeight="false" outlineLevel="0" collapsed="false">
      <c r="F150" s="41" t="str">
        <f aca="false">IF(D150="","",IFERROR(IF(ISNUMBER(SEARCH(Assumptions!$C$5,D150)),Assumptions!$D$5,IF(ISNUMBER(SEARCH(Assumptions!$C$6,D150)),Assumptions!$D$6,IF(ISNUMBER(SEARCH(Assumptions!$C$7,D150)),Assumptions!$D$7,"Other Services"))),"Other Services"))</f>
        <v/>
      </c>
    </row>
    <row r="151" customFormat="false" ht="15" hidden="false" customHeight="false" outlineLevel="0" collapsed="false">
      <c r="F151" s="41" t="str">
        <f aca="false">IF(D151="","",IFERROR(IF(ISNUMBER(SEARCH(Assumptions!$C$5,D151)),Assumptions!$D$5,IF(ISNUMBER(SEARCH(Assumptions!$C$6,D151)),Assumptions!$D$6,IF(ISNUMBER(SEARCH(Assumptions!$C$7,D151)),Assumptions!$D$7,"Other Services"))),"Other Services"))</f>
        <v/>
      </c>
    </row>
    <row r="152" customFormat="false" ht="15" hidden="false" customHeight="false" outlineLevel="0" collapsed="false">
      <c r="F152" s="41" t="str">
        <f aca="false">IF(D152="","",IFERROR(IF(ISNUMBER(SEARCH(Assumptions!$C$5,D152)),Assumptions!$D$5,IF(ISNUMBER(SEARCH(Assumptions!$C$6,D152)),Assumptions!$D$6,IF(ISNUMBER(SEARCH(Assumptions!$C$7,D152)),Assumptions!$D$7,"Other Services"))),"Other Services"))</f>
        <v/>
      </c>
    </row>
    <row r="153" customFormat="false" ht="15" hidden="false" customHeight="false" outlineLevel="0" collapsed="false">
      <c r="F153" s="41" t="str">
        <f aca="false">IF(D153="","",IFERROR(IF(ISNUMBER(SEARCH(Assumptions!$C$5,D153)),Assumptions!$D$5,IF(ISNUMBER(SEARCH(Assumptions!$C$6,D153)),Assumptions!$D$6,IF(ISNUMBER(SEARCH(Assumptions!$C$7,D153)),Assumptions!$D$7,"Other Services"))),"Other Services"))</f>
        <v/>
      </c>
    </row>
    <row r="154" customFormat="false" ht="15" hidden="false" customHeight="false" outlineLevel="0" collapsed="false">
      <c r="F154" s="41" t="str">
        <f aca="false">IF(D154="","",IFERROR(IF(ISNUMBER(SEARCH(Assumptions!$C$5,D154)),Assumptions!$D$5,IF(ISNUMBER(SEARCH(Assumptions!$C$6,D154)),Assumptions!$D$6,IF(ISNUMBER(SEARCH(Assumptions!$C$7,D154)),Assumptions!$D$7,"Other Services"))),"Other Services"))</f>
        <v/>
      </c>
    </row>
    <row r="155" customFormat="false" ht="15" hidden="false" customHeight="false" outlineLevel="0" collapsed="false">
      <c r="F155" s="41" t="str">
        <f aca="false">IF(D155="","",IFERROR(IF(ISNUMBER(SEARCH(Assumptions!$C$5,D155)),Assumptions!$D$5,IF(ISNUMBER(SEARCH(Assumptions!$C$6,D155)),Assumptions!$D$6,IF(ISNUMBER(SEARCH(Assumptions!$C$7,D155)),Assumptions!$D$7,"Other Services"))),"Other Services"))</f>
        <v/>
      </c>
    </row>
    <row r="156" customFormat="false" ht="15" hidden="false" customHeight="false" outlineLevel="0" collapsed="false">
      <c r="F156" s="41" t="str">
        <f aca="false">IF(D156="","",IFERROR(IF(ISNUMBER(SEARCH(Assumptions!$C$5,D156)),Assumptions!$D$5,IF(ISNUMBER(SEARCH(Assumptions!$C$6,D156)),Assumptions!$D$6,IF(ISNUMBER(SEARCH(Assumptions!$C$7,D156)),Assumptions!$D$7,"Other Services"))),"Other Services"))</f>
        <v/>
      </c>
    </row>
    <row r="157" customFormat="false" ht="15" hidden="false" customHeight="false" outlineLevel="0" collapsed="false">
      <c r="F157" s="41" t="str">
        <f aca="false">IF(D157="","",IFERROR(IF(ISNUMBER(SEARCH(Assumptions!$C$5,D157)),Assumptions!$D$5,IF(ISNUMBER(SEARCH(Assumptions!$C$6,D157)),Assumptions!$D$6,IF(ISNUMBER(SEARCH(Assumptions!$C$7,D157)),Assumptions!$D$7,"Other Services"))),"Other Services"))</f>
        <v/>
      </c>
    </row>
    <row r="158" customFormat="false" ht="15" hidden="false" customHeight="false" outlineLevel="0" collapsed="false">
      <c r="F158" s="41" t="str">
        <f aca="false">IF(D158="","",IFERROR(IF(ISNUMBER(SEARCH(Assumptions!$C$5,D158)),Assumptions!$D$5,IF(ISNUMBER(SEARCH(Assumptions!$C$6,D158)),Assumptions!$D$6,IF(ISNUMBER(SEARCH(Assumptions!$C$7,D158)),Assumptions!$D$7,"Other Services"))),"Other Services"))</f>
        <v/>
      </c>
    </row>
    <row r="159" customFormat="false" ht="15" hidden="false" customHeight="false" outlineLevel="0" collapsed="false">
      <c r="F159" s="41" t="str">
        <f aca="false">IF(D159="","",IFERROR(IF(ISNUMBER(SEARCH(Assumptions!$C$5,D159)),Assumptions!$D$5,IF(ISNUMBER(SEARCH(Assumptions!$C$6,D159)),Assumptions!$D$6,IF(ISNUMBER(SEARCH(Assumptions!$C$7,D159)),Assumptions!$D$7,"Other Services"))),"Other Services"))</f>
        <v/>
      </c>
    </row>
    <row r="160" customFormat="false" ht="15" hidden="false" customHeight="false" outlineLevel="0" collapsed="false">
      <c r="F160" s="41" t="str">
        <f aca="false">IF(D160="","",IFERROR(IF(ISNUMBER(SEARCH(Assumptions!$C$5,D160)),Assumptions!$D$5,IF(ISNUMBER(SEARCH(Assumptions!$C$6,D160)),Assumptions!$D$6,IF(ISNUMBER(SEARCH(Assumptions!$C$7,D160)),Assumptions!$D$7,"Other Services"))),"Other Services"))</f>
        <v/>
      </c>
    </row>
    <row r="161" customFormat="false" ht="15" hidden="false" customHeight="false" outlineLevel="0" collapsed="false">
      <c r="F161" s="41" t="str">
        <f aca="false">IF(D161="","",IFERROR(IF(ISNUMBER(SEARCH(Assumptions!$C$5,D161)),Assumptions!$D$5,IF(ISNUMBER(SEARCH(Assumptions!$C$6,D161)),Assumptions!$D$6,IF(ISNUMBER(SEARCH(Assumptions!$C$7,D161)),Assumptions!$D$7,"Other Services"))),"Other Services"))</f>
        <v/>
      </c>
    </row>
    <row r="162" customFormat="false" ht="15" hidden="false" customHeight="false" outlineLevel="0" collapsed="false">
      <c r="F162" s="41" t="str">
        <f aca="false">IF(D162="","",IFERROR(IF(ISNUMBER(SEARCH(Assumptions!$C$5,D162)),Assumptions!$D$5,IF(ISNUMBER(SEARCH(Assumptions!$C$6,D162)),Assumptions!$D$6,IF(ISNUMBER(SEARCH(Assumptions!$C$7,D162)),Assumptions!$D$7,"Other Services"))),"Other Services"))</f>
        <v/>
      </c>
    </row>
    <row r="163" customFormat="false" ht="15" hidden="false" customHeight="false" outlineLevel="0" collapsed="false">
      <c r="F163" s="41" t="str">
        <f aca="false">IF(D163="","",IFERROR(IF(ISNUMBER(SEARCH(Assumptions!$C$5,D163)),Assumptions!$D$5,IF(ISNUMBER(SEARCH(Assumptions!$C$6,D163)),Assumptions!$D$6,IF(ISNUMBER(SEARCH(Assumptions!$C$7,D163)),Assumptions!$D$7,"Other Services"))),"Other Services"))</f>
        <v/>
      </c>
    </row>
    <row r="164" customFormat="false" ht="15" hidden="false" customHeight="false" outlineLevel="0" collapsed="false">
      <c r="F164" s="41" t="str">
        <f aca="false">IF(D164="","",IFERROR(IF(ISNUMBER(SEARCH(Assumptions!$C$5,D164)),Assumptions!$D$5,IF(ISNUMBER(SEARCH(Assumptions!$C$6,D164)),Assumptions!$D$6,IF(ISNUMBER(SEARCH(Assumptions!$C$7,D164)),Assumptions!$D$7,"Other Services"))),"Other Services"))</f>
        <v/>
      </c>
    </row>
    <row r="165" customFormat="false" ht="15" hidden="false" customHeight="false" outlineLevel="0" collapsed="false">
      <c r="F165" s="41" t="str">
        <f aca="false">IF(D165="","",IFERROR(IF(ISNUMBER(SEARCH(Assumptions!$C$5,D165)),Assumptions!$D$5,IF(ISNUMBER(SEARCH(Assumptions!$C$6,D165)),Assumptions!$D$6,IF(ISNUMBER(SEARCH(Assumptions!$C$7,D165)),Assumptions!$D$7,"Other Services"))),"Other Services"))</f>
        <v/>
      </c>
    </row>
    <row r="166" customFormat="false" ht="15" hidden="false" customHeight="false" outlineLevel="0" collapsed="false">
      <c r="F166" s="41" t="str">
        <f aca="false">IF(D166="","",IFERROR(IF(ISNUMBER(SEARCH(Assumptions!$C$5,D166)),Assumptions!$D$5,IF(ISNUMBER(SEARCH(Assumptions!$C$6,D166)),Assumptions!$D$6,IF(ISNUMBER(SEARCH(Assumptions!$C$7,D166)),Assumptions!$D$7,"Other Services"))),"Other Services"))</f>
        <v/>
      </c>
    </row>
    <row r="167" customFormat="false" ht="15" hidden="false" customHeight="false" outlineLevel="0" collapsed="false">
      <c r="F167" s="41" t="str">
        <f aca="false">IF(D167="","",IFERROR(IF(ISNUMBER(SEARCH(Assumptions!$C$5,D167)),Assumptions!$D$5,IF(ISNUMBER(SEARCH(Assumptions!$C$6,D167)),Assumptions!$D$6,IF(ISNUMBER(SEARCH(Assumptions!$C$7,D167)),Assumptions!$D$7,"Other Services"))),"Other Services"))</f>
        <v/>
      </c>
    </row>
    <row r="168" customFormat="false" ht="15" hidden="false" customHeight="false" outlineLevel="0" collapsed="false">
      <c r="F168" s="41" t="str">
        <f aca="false">IF(D168="","",IFERROR(IF(ISNUMBER(SEARCH(Assumptions!$C$5,D168)),Assumptions!$D$5,IF(ISNUMBER(SEARCH(Assumptions!$C$6,D168)),Assumptions!$D$6,IF(ISNUMBER(SEARCH(Assumptions!$C$7,D168)),Assumptions!$D$7,"Other Services"))),"Other Services"))</f>
        <v/>
      </c>
    </row>
    <row r="169" customFormat="false" ht="15" hidden="false" customHeight="false" outlineLevel="0" collapsed="false">
      <c r="F169" s="41" t="str">
        <f aca="false">IF(D169="","",IFERROR(IF(ISNUMBER(SEARCH(Assumptions!$C$5,D169)),Assumptions!$D$5,IF(ISNUMBER(SEARCH(Assumptions!$C$6,D169)),Assumptions!$D$6,IF(ISNUMBER(SEARCH(Assumptions!$C$7,D169)),Assumptions!$D$7,"Other Services"))),"Other Services"))</f>
        <v/>
      </c>
    </row>
    <row r="170" customFormat="false" ht="15" hidden="false" customHeight="false" outlineLevel="0" collapsed="false">
      <c r="F170" s="41" t="str">
        <f aca="false">IF(D170="","",IFERROR(IF(ISNUMBER(SEARCH(Assumptions!$C$5,D170)),Assumptions!$D$5,IF(ISNUMBER(SEARCH(Assumptions!$C$6,D170)),Assumptions!$D$6,IF(ISNUMBER(SEARCH(Assumptions!$C$7,D170)),Assumptions!$D$7,"Other Services"))),"Other Services"))</f>
        <v/>
      </c>
    </row>
    <row r="171" customFormat="false" ht="15" hidden="false" customHeight="false" outlineLevel="0" collapsed="false">
      <c r="F171" s="41" t="str">
        <f aca="false">IF(D171="","",IFERROR(IF(ISNUMBER(SEARCH(Assumptions!$C$5,D171)),Assumptions!$D$5,IF(ISNUMBER(SEARCH(Assumptions!$C$6,D171)),Assumptions!$D$6,IF(ISNUMBER(SEARCH(Assumptions!$C$7,D171)),Assumptions!$D$7,"Other Services"))),"Other Services"))</f>
        <v/>
      </c>
    </row>
    <row r="172" customFormat="false" ht="15" hidden="false" customHeight="false" outlineLevel="0" collapsed="false">
      <c r="F172" s="41" t="str">
        <f aca="false">IF(D172="","",IFERROR(IF(ISNUMBER(SEARCH(Assumptions!$C$5,D172)),Assumptions!$D$5,IF(ISNUMBER(SEARCH(Assumptions!$C$6,D172)),Assumptions!$D$6,IF(ISNUMBER(SEARCH(Assumptions!$C$7,D172)),Assumptions!$D$7,"Other Services"))),"Other Services"))</f>
        <v/>
      </c>
    </row>
    <row r="173" customFormat="false" ht="15" hidden="false" customHeight="false" outlineLevel="0" collapsed="false">
      <c r="F173" s="41" t="str">
        <f aca="false">IF(D173="","",IFERROR(IF(ISNUMBER(SEARCH(Assumptions!$C$5,D173)),Assumptions!$D$5,IF(ISNUMBER(SEARCH(Assumptions!$C$6,D173)),Assumptions!$D$6,IF(ISNUMBER(SEARCH(Assumptions!$C$7,D173)),Assumptions!$D$7,"Other Services"))),"Other Services"))</f>
        <v/>
      </c>
    </row>
    <row r="174" customFormat="false" ht="15" hidden="false" customHeight="false" outlineLevel="0" collapsed="false">
      <c r="F174" s="41" t="str">
        <f aca="false">IF(D174="","",IFERROR(IF(ISNUMBER(SEARCH(Assumptions!$C$5,D174)),Assumptions!$D$5,IF(ISNUMBER(SEARCH(Assumptions!$C$6,D174)),Assumptions!$D$6,IF(ISNUMBER(SEARCH(Assumptions!$C$7,D174)),Assumptions!$D$7,"Other Services"))),"Other Services"))</f>
        <v/>
      </c>
    </row>
    <row r="175" customFormat="false" ht="15" hidden="false" customHeight="false" outlineLevel="0" collapsed="false">
      <c r="F175" s="41" t="str">
        <f aca="false">IF(D175="","",IFERROR(IF(ISNUMBER(SEARCH(Assumptions!$C$5,D175)),Assumptions!$D$5,IF(ISNUMBER(SEARCH(Assumptions!$C$6,D175)),Assumptions!$D$6,IF(ISNUMBER(SEARCH(Assumptions!$C$7,D175)),Assumptions!$D$7,"Other Services"))),"Other Services"))</f>
        <v/>
      </c>
    </row>
    <row r="176" customFormat="false" ht="15" hidden="false" customHeight="false" outlineLevel="0" collapsed="false">
      <c r="F176" s="41" t="str">
        <f aca="false">IF(D176="","",IFERROR(IF(ISNUMBER(SEARCH(Assumptions!$C$5,D176)),Assumptions!$D$5,IF(ISNUMBER(SEARCH(Assumptions!$C$6,D176)),Assumptions!$D$6,IF(ISNUMBER(SEARCH(Assumptions!$C$7,D176)),Assumptions!$D$7,"Other Services"))),"Other Services"))</f>
        <v/>
      </c>
    </row>
    <row r="177" customFormat="false" ht="15" hidden="false" customHeight="false" outlineLevel="0" collapsed="false">
      <c r="F177" s="41" t="str">
        <f aca="false">IF(D177="","",IFERROR(IF(ISNUMBER(SEARCH(Assumptions!$C$5,D177)),Assumptions!$D$5,IF(ISNUMBER(SEARCH(Assumptions!$C$6,D177)),Assumptions!$D$6,IF(ISNUMBER(SEARCH(Assumptions!$C$7,D177)),Assumptions!$D$7,"Other Services"))),"Other Services"))</f>
        <v/>
      </c>
    </row>
    <row r="178" customFormat="false" ht="15" hidden="false" customHeight="false" outlineLevel="0" collapsed="false">
      <c r="F178" s="41" t="str">
        <f aca="false">IF(D178="","",IFERROR(IF(ISNUMBER(SEARCH(Assumptions!$C$5,D178)),Assumptions!$D$5,IF(ISNUMBER(SEARCH(Assumptions!$C$6,D178)),Assumptions!$D$6,IF(ISNUMBER(SEARCH(Assumptions!$C$7,D178)),Assumptions!$D$7,"Other Services"))),"Other Services"))</f>
        <v/>
      </c>
    </row>
    <row r="179" customFormat="false" ht="15" hidden="false" customHeight="false" outlineLevel="0" collapsed="false">
      <c r="F179" s="41" t="str">
        <f aca="false">IF(D179="","",IFERROR(IF(ISNUMBER(SEARCH(Assumptions!$C$5,D179)),Assumptions!$D$5,IF(ISNUMBER(SEARCH(Assumptions!$C$6,D179)),Assumptions!$D$6,IF(ISNUMBER(SEARCH(Assumptions!$C$7,D179)),Assumptions!$D$7,"Other Services"))),"Other Services"))</f>
        <v/>
      </c>
    </row>
    <row r="180" customFormat="false" ht="15" hidden="false" customHeight="false" outlineLevel="0" collapsed="false">
      <c r="F180" s="41" t="str">
        <f aca="false">IF(D180="","",IFERROR(IF(ISNUMBER(SEARCH(Assumptions!$C$5,D180)),Assumptions!$D$5,IF(ISNUMBER(SEARCH(Assumptions!$C$6,D180)),Assumptions!$D$6,IF(ISNUMBER(SEARCH(Assumptions!$C$7,D180)),Assumptions!$D$7,"Other Services"))),"Other Services"))</f>
        <v/>
      </c>
    </row>
    <row r="181" customFormat="false" ht="15" hidden="false" customHeight="false" outlineLevel="0" collapsed="false">
      <c r="F181" s="41" t="str">
        <f aca="false">IF(D181="","",IFERROR(IF(ISNUMBER(SEARCH(Assumptions!$C$5,D181)),Assumptions!$D$5,IF(ISNUMBER(SEARCH(Assumptions!$C$6,D181)),Assumptions!$D$6,IF(ISNUMBER(SEARCH(Assumptions!$C$7,D181)),Assumptions!$D$7,"Other Services"))),"Other Services"))</f>
        <v/>
      </c>
    </row>
    <row r="182" customFormat="false" ht="15" hidden="false" customHeight="false" outlineLevel="0" collapsed="false">
      <c r="F182" s="41" t="str">
        <f aca="false">IF(D182="","",IFERROR(IF(ISNUMBER(SEARCH(Assumptions!$C$5,D182)),Assumptions!$D$5,IF(ISNUMBER(SEARCH(Assumptions!$C$6,D182)),Assumptions!$D$6,IF(ISNUMBER(SEARCH(Assumptions!$C$7,D182)),Assumptions!$D$7,"Other Services"))),"Other Services"))</f>
        <v/>
      </c>
    </row>
    <row r="183" customFormat="false" ht="15" hidden="false" customHeight="false" outlineLevel="0" collapsed="false">
      <c r="F183" s="41" t="str">
        <f aca="false">IF(D183="","",IFERROR(IF(ISNUMBER(SEARCH(Assumptions!$C$5,D183)),Assumptions!$D$5,IF(ISNUMBER(SEARCH(Assumptions!$C$6,D183)),Assumptions!$D$6,IF(ISNUMBER(SEARCH(Assumptions!$C$7,D183)),Assumptions!$D$7,"Other Services"))),"Other Services"))</f>
        <v/>
      </c>
    </row>
    <row r="184" customFormat="false" ht="15" hidden="false" customHeight="false" outlineLevel="0" collapsed="false">
      <c r="F184" s="41" t="str">
        <f aca="false">IF(D184="","",IFERROR(IF(ISNUMBER(SEARCH(Assumptions!$C$5,D184)),Assumptions!$D$5,IF(ISNUMBER(SEARCH(Assumptions!$C$6,D184)),Assumptions!$D$6,IF(ISNUMBER(SEARCH(Assumptions!$C$7,D184)),Assumptions!$D$7,"Other Services"))),"Other Services"))</f>
        <v/>
      </c>
    </row>
    <row r="185" customFormat="false" ht="15" hidden="false" customHeight="false" outlineLevel="0" collapsed="false">
      <c r="F185" s="41" t="str">
        <f aca="false">IF(D185="","",IFERROR(IF(ISNUMBER(SEARCH(Assumptions!$C$5,D185)),Assumptions!$D$5,IF(ISNUMBER(SEARCH(Assumptions!$C$6,D185)),Assumptions!$D$6,IF(ISNUMBER(SEARCH(Assumptions!$C$7,D185)),Assumptions!$D$7,"Other Services"))),"Other Services"))</f>
        <v/>
      </c>
    </row>
    <row r="186" customFormat="false" ht="15" hidden="false" customHeight="false" outlineLevel="0" collapsed="false">
      <c r="F186" s="41" t="str">
        <f aca="false">IF(D186="","",IFERROR(IF(ISNUMBER(SEARCH(Assumptions!$C$5,D186)),Assumptions!$D$5,IF(ISNUMBER(SEARCH(Assumptions!$C$6,D186)),Assumptions!$D$6,IF(ISNUMBER(SEARCH(Assumptions!$C$7,D186)),Assumptions!$D$7,"Other Services"))),"Other Services"))</f>
        <v/>
      </c>
    </row>
    <row r="187" customFormat="false" ht="15" hidden="false" customHeight="false" outlineLevel="0" collapsed="false">
      <c r="F187" s="41" t="str">
        <f aca="false">IF(D187="","",IFERROR(IF(ISNUMBER(SEARCH(Assumptions!$C$5,D187)),Assumptions!$D$5,IF(ISNUMBER(SEARCH(Assumptions!$C$6,D187)),Assumptions!$D$6,IF(ISNUMBER(SEARCH(Assumptions!$C$7,D187)),Assumptions!$D$7,"Other Services"))),"Other Services"))</f>
        <v/>
      </c>
    </row>
    <row r="188" customFormat="false" ht="15" hidden="false" customHeight="false" outlineLevel="0" collapsed="false">
      <c r="F188" s="41" t="str">
        <f aca="false">IF(D188="","",IFERROR(IF(ISNUMBER(SEARCH(Assumptions!$C$5,D188)),Assumptions!$D$5,IF(ISNUMBER(SEARCH(Assumptions!$C$6,D188)),Assumptions!$D$6,IF(ISNUMBER(SEARCH(Assumptions!$C$7,D188)),Assumptions!$D$7,"Other Services"))),"Other Services"))</f>
        <v/>
      </c>
    </row>
    <row r="189" customFormat="false" ht="15" hidden="false" customHeight="false" outlineLevel="0" collapsed="false">
      <c r="F189" s="41" t="str">
        <f aca="false">IF(D189="","",IFERROR(IF(ISNUMBER(SEARCH(Assumptions!$C$5,D189)),Assumptions!$D$5,IF(ISNUMBER(SEARCH(Assumptions!$C$6,D189)),Assumptions!$D$6,IF(ISNUMBER(SEARCH(Assumptions!$C$7,D189)),Assumptions!$D$7,"Other Services"))),"Other Services"))</f>
        <v/>
      </c>
    </row>
    <row r="190" customFormat="false" ht="15" hidden="false" customHeight="false" outlineLevel="0" collapsed="false">
      <c r="F190" s="41" t="str">
        <f aca="false">IF(D190="","",IFERROR(IF(ISNUMBER(SEARCH(Assumptions!$C$5,D190)),Assumptions!$D$5,IF(ISNUMBER(SEARCH(Assumptions!$C$6,D190)),Assumptions!$D$6,IF(ISNUMBER(SEARCH(Assumptions!$C$7,D190)),Assumptions!$D$7,"Other Services"))),"Other Services"))</f>
        <v/>
      </c>
    </row>
    <row r="191" customFormat="false" ht="15" hidden="false" customHeight="false" outlineLevel="0" collapsed="false">
      <c r="F191" s="41" t="str">
        <f aca="false">IF(D191="","",IFERROR(IF(ISNUMBER(SEARCH(Assumptions!$C$5,D191)),Assumptions!$D$5,IF(ISNUMBER(SEARCH(Assumptions!$C$6,D191)),Assumptions!$D$6,IF(ISNUMBER(SEARCH(Assumptions!$C$7,D191)),Assumptions!$D$7,"Other Services"))),"Other Services"))</f>
        <v/>
      </c>
    </row>
    <row r="192" customFormat="false" ht="15" hidden="false" customHeight="false" outlineLevel="0" collapsed="false">
      <c r="F192" s="41" t="str">
        <f aca="false">IF(D192="","",IFERROR(IF(ISNUMBER(SEARCH(Assumptions!$C$5,D192)),Assumptions!$D$5,IF(ISNUMBER(SEARCH(Assumptions!$C$6,D192)),Assumptions!$D$6,IF(ISNUMBER(SEARCH(Assumptions!$C$7,D192)),Assumptions!$D$7,"Other Services"))),"Other Services"))</f>
        <v/>
      </c>
    </row>
    <row r="193" customFormat="false" ht="15" hidden="false" customHeight="false" outlineLevel="0" collapsed="false">
      <c r="F193" s="41" t="str">
        <f aca="false">IF(D193="","",IFERROR(IF(ISNUMBER(SEARCH(Assumptions!$C$5,D193)),Assumptions!$D$5,IF(ISNUMBER(SEARCH(Assumptions!$C$6,D193)),Assumptions!$D$6,IF(ISNUMBER(SEARCH(Assumptions!$C$7,D193)),Assumptions!$D$7,"Other Services"))),"Other Services"))</f>
        <v/>
      </c>
    </row>
    <row r="194" customFormat="false" ht="15" hidden="false" customHeight="false" outlineLevel="0" collapsed="false">
      <c r="F194" s="41" t="str">
        <f aca="false">IF(D194="","",IFERROR(IF(ISNUMBER(SEARCH(Assumptions!$C$5,D194)),Assumptions!$D$5,IF(ISNUMBER(SEARCH(Assumptions!$C$6,D194)),Assumptions!$D$6,IF(ISNUMBER(SEARCH(Assumptions!$C$7,D194)),Assumptions!$D$7,"Other Services"))),"Other Services"))</f>
        <v/>
      </c>
    </row>
    <row r="195" customFormat="false" ht="15" hidden="false" customHeight="false" outlineLevel="0" collapsed="false">
      <c r="F195" s="41" t="str">
        <f aca="false">IF(D195="","",IFERROR(IF(ISNUMBER(SEARCH(Assumptions!$C$5,D195)),Assumptions!$D$5,IF(ISNUMBER(SEARCH(Assumptions!$C$6,D195)),Assumptions!$D$6,IF(ISNUMBER(SEARCH(Assumptions!$C$7,D195)),Assumptions!$D$7,"Other Services"))),"Other Services"))</f>
        <v/>
      </c>
    </row>
    <row r="196" customFormat="false" ht="15" hidden="false" customHeight="false" outlineLevel="0" collapsed="false">
      <c r="F196" s="41" t="str">
        <f aca="false">IF(D196="","",IFERROR(IF(ISNUMBER(SEARCH(Assumptions!$C$5,D196)),Assumptions!$D$5,IF(ISNUMBER(SEARCH(Assumptions!$C$6,D196)),Assumptions!$D$6,IF(ISNUMBER(SEARCH(Assumptions!$C$7,D196)),Assumptions!$D$7,"Other Services"))),"Other Services"))</f>
        <v/>
      </c>
    </row>
    <row r="197" customFormat="false" ht="15" hidden="false" customHeight="false" outlineLevel="0" collapsed="false">
      <c r="F197" s="41" t="str">
        <f aca="false">IF(D197="","",IFERROR(IF(ISNUMBER(SEARCH(Assumptions!$C$5,D197)),Assumptions!$D$5,IF(ISNUMBER(SEARCH(Assumptions!$C$6,D197)),Assumptions!$D$6,IF(ISNUMBER(SEARCH(Assumptions!$C$7,D197)),Assumptions!$D$7,"Other Services"))),"Other Services"))</f>
        <v/>
      </c>
    </row>
    <row r="198" customFormat="false" ht="15" hidden="false" customHeight="false" outlineLevel="0" collapsed="false">
      <c r="F198" s="41" t="str">
        <f aca="false">IF(D198="","",IFERROR(IF(ISNUMBER(SEARCH(Assumptions!$C$5,D198)),Assumptions!$D$5,IF(ISNUMBER(SEARCH(Assumptions!$C$6,D198)),Assumptions!$D$6,IF(ISNUMBER(SEARCH(Assumptions!$C$7,D198)),Assumptions!$D$7,"Other Services"))),"Other Services"))</f>
        <v/>
      </c>
    </row>
    <row r="199" customFormat="false" ht="15" hidden="false" customHeight="false" outlineLevel="0" collapsed="false">
      <c r="F199" s="41" t="str">
        <f aca="false">IF(D199="","",IFERROR(IF(ISNUMBER(SEARCH(Assumptions!$C$5,D199)),Assumptions!$D$5,IF(ISNUMBER(SEARCH(Assumptions!$C$6,D199)),Assumptions!$D$6,IF(ISNUMBER(SEARCH(Assumptions!$C$7,D199)),Assumptions!$D$7,"Other Services"))),"Other Services"))</f>
        <v/>
      </c>
    </row>
    <row r="200" customFormat="false" ht="15" hidden="false" customHeight="false" outlineLevel="0" collapsed="false">
      <c r="F200" s="41" t="str">
        <f aca="false">IF(D200="","",IFERROR(IF(ISNUMBER(SEARCH(Assumptions!$C$5,D200)),Assumptions!$D$5,IF(ISNUMBER(SEARCH(Assumptions!$C$6,D200)),Assumptions!$D$6,IF(ISNUMBER(SEARCH(Assumptions!$C$7,D200)),Assumptions!$D$7,"Other Services"))),"Other Services"))</f>
        <v/>
      </c>
    </row>
    <row r="201" customFormat="false" ht="15" hidden="false" customHeight="false" outlineLevel="0" collapsed="false">
      <c r="F201" s="41" t="str">
        <f aca="false">IF(D201="","",IFERROR(IF(ISNUMBER(SEARCH(Assumptions!$C$5,D201)),Assumptions!$D$5,IF(ISNUMBER(SEARCH(Assumptions!$C$6,D201)),Assumptions!$D$6,IF(ISNUMBER(SEARCH(Assumptions!$C$7,D201)),Assumptions!$D$7,"Other Services"))),"Other Services"))</f>
        <v/>
      </c>
    </row>
    <row r="202" customFormat="false" ht="15" hidden="false" customHeight="false" outlineLevel="0" collapsed="false">
      <c r="F202" s="41" t="str">
        <f aca="false">IF(D202="","",IFERROR(IF(ISNUMBER(SEARCH(Assumptions!$C$5,D202)),Assumptions!$D$5,IF(ISNUMBER(SEARCH(Assumptions!$C$6,D202)),Assumptions!$D$6,IF(ISNUMBER(SEARCH(Assumptions!$C$7,D202)),Assumptions!$D$7,"Other Services"))),"Other Services"))</f>
        <v/>
      </c>
    </row>
    <row r="203" customFormat="false" ht="15" hidden="false" customHeight="false" outlineLevel="0" collapsed="false">
      <c r="F203" s="41" t="str">
        <f aca="false">IF(D203="","",IFERROR(IF(ISNUMBER(SEARCH(Assumptions!$C$5,D203)),Assumptions!$D$5,IF(ISNUMBER(SEARCH(Assumptions!$C$6,D203)),Assumptions!$D$6,IF(ISNUMBER(SEARCH(Assumptions!$C$7,D203)),Assumptions!$D$7,"Other Services"))),"Other Services"))</f>
        <v/>
      </c>
    </row>
    <row r="204" customFormat="false" ht="15" hidden="false" customHeight="false" outlineLevel="0" collapsed="false">
      <c r="F204" s="41" t="str">
        <f aca="false">IF(D204="","",IFERROR(IF(ISNUMBER(SEARCH(Assumptions!$C$5,D204)),Assumptions!$D$5,IF(ISNUMBER(SEARCH(Assumptions!$C$6,D204)),Assumptions!$D$6,IF(ISNUMBER(SEARCH(Assumptions!$C$7,D204)),Assumptions!$D$7,"Other Services"))),"Other Services"))</f>
        <v/>
      </c>
    </row>
    <row r="205" customFormat="false" ht="15" hidden="false" customHeight="false" outlineLevel="0" collapsed="false">
      <c r="F205" s="41" t="str">
        <f aca="false">IF(D205="","",IFERROR(IF(ISNUMBER(SEARCH(Assumptions!$C$5,D205)),Assumptions!$D$5,IF(ISNUMBER(SEARCH(Assumptions!$C$6,D205)),Assumptions!$D$6,IF(ISNUMBER(SEARCH(Assumptions!$C$7,D205)),Assumptions!$D$7,"Other Services"))),"Other Services"))</f>
        <v/>
      </c>
    </row>
    <row r="206" customFormat="false" ht="15" hidden="false" customHeight="false" outlineLevel="0" collapsed="false">
      <c r="F206" s="41" t="str">
        <f aca="false">IF(D206="","",IFERROR(IF(ISNUMBER(SEARCH(Assumptions!$C$5,D206)),Assumptions!$D$5,IF(ISNUMBER(SEARCH(Assumptions!$C$6,D206)),Assumptions!$D$6,IF(ISNUMBER(SEARCH(Assumptions!$C$7,D206)),Assumptions!$D$7,"Other Services"))),"Other Services"))</f>
        <v/>
      </c>
    </row>
    <row r="207" customFormat="false" ht="15" hidden="false" customHeight="false" outlineLevel="0" collapsed="false">
      <c r="F207" s="41" t="str">
        <f aca="false">IF(D207="","",IFERROR(IF(ISNUMBER(SEARCH(Assumptions!$C$5,D207)),Assumptions!$D$5,IF(ISNUMBER(SEARCH(Assumptions!$C$6,D207)),Assumptions!$D$6,IF(ISNUMBER(SEARCH(Assumptions!$C$7,D207)),Assumptions!$D$7,"Other Services"))),"Other Services"))</f>
        <v/>
      </c>
    </row>
    <row r="208" customFormat="false" ht="15" hidden="false" customHeight="false" outlineLevel="0" collapsed="false">
      <c r="F208" s="41" t="str">
        <f aca="false">IF(D208="","",IFERROR(IF(ISNUMBER(SEARCH(Assumptions!$C$5,D208)),Assumptions!$D$5,IF(ISNUMBER(SEARCH(Assumptions!$C$6,D208)),Assumptions!$D$6,IF(ISNUMBER(SEARCH(Assumptions!$C$7,D208)),Assumptions!$D$7,"Other Services"))),"Other Services"))</f>
        <v/>
      </c>
    </row>
    <row r="209" customFormat="false" ht="15" hidden="false" customHeight="false" outlineLevel="0" collapsed="false">
      <c r="F209" s="41" t="str">
        <f aca="false">IF(D209="","",IFERROR(IF(ISNUMBER(SEARCH(Assumptions!$C$5,D209)),Assumptions!$D$5,IF(ISNUMBER(SEARCH(Assumptions!$C$6,D209)),Assumptions!$D$6,IF(ISNUMBER(SEARCH(Assumptions!$C$7,D209)),Assumptions!$D$7,"Other Services"))),"Other Services"))</f>
        <v/>
      </c>
    </row>
    <row r="210" customFormat="false" ht="15" hidden="false" customHeight="false" outlineLevel="0" collapsed="false">
      <c r="F210" s="41" t="str">
        <f aca="false">IF(D210="","",IFERROR(IF(ISNUMBER(SEARCH(Assumptions!$C$5,D210)),Assumptions!$D$5,IF(ISNUMBER(SEARCH(Assumptions!$C$6,D210)),Assumptions!$D$6,IF(ISNUMBER(SEARCH(Assumptions!$C$7,D210)),Assumptions!$D$7,"Other Services"))),"Other Services"))</f>
        <v/>
      </c>
    </row>
    <row r="211" customFormat="false" ht="15" hidden="false" customHeight="false" outlineLevel="0" collapsed="false">
      <c r="F211" s="41" t="str">
        <f aca="false">IF(D211="","",IFERROR(IF(ISNUMBER(SEARCH(Assumptions!$C$5,D211)),Assumptions!$D$5,IF(ISNUMBER(SEARCH(Assumptions!$C$6,D211)),Assumptions!$D$6,IF(ISNUMBER(SEARCH(Assumptions!$C$7,D211)),Assumptions!$D$7,"Other Services"))),"Other Services"))</f>
        <v/>
      </c>
    </row>
    <row r="212" customFormat="false" ht="15" hidden="false" customHeight="false" outlineLevel="0" collapsed="false">
      <c r="F212" s="41" t="str">
        <f aca="false">IF(D212="","",IFERROR(IF(ISNUMBER(SEARCH(Assumptions!$C$5,D212)),Assumptions!$D$5,IF(ISNUMBER(SEARCH(Assumptions!$C$6,D212)),Assumptions!$D$6,IF(ISNUMBER(SEARCH(Assumptions!$C$7,D212)),Assumptions!$D$7,"Other Services"))),"Other Services"))</f>
        <v/>
      </c>
    </row>
    <row r="213" customFormat="false" ht="15" hidden="false" customHeight="false" outlineLevel="0" collapsed="false">
      <c r="F213" s="41" t="str">
        <f aca="false">IF(D213="","",IFERROR(IF(ISNUMBER(SEARCH(Assumptions!$C$5,D213)),Assumptions!$D$5,IF(ISNUMBER(SEARCH(Assumptions!$C$6,D213)),Assumptions!$D$6,IF(ISNUMBER(SEARCH(Assumptions!$C$7,D213)),Assumptions!$D$7,"Other Services"))),"Other Services"))</f>
        <v/>
      </c>
    </row>
    <row r="214" customFormat="false" ht="15" hidden="false" customHeight="false" outlineLevel="0" collapsed="false">
      <c r="F214" s="41" t="str">
        <f aca="false">IF(D214="","",IFERROR(IF(ISNUMBER(SEARCH(Assumptions!$C$5,D214)),Assumptions!$D$5,IF(ISNUMBER(SEARCH(Assumptions!$C$6,D214)),Assumptions!$D$6,IF(ISNUMBER(SEARCH(Assumptions!$C$7,D214)),Assumptions!$D$7,"Other Services"))),"Other Services"))</f>
        <v/>
      </c>
    </row>
    <row r="215" customFormat="false" ht="15" hidden="false" customHeight="false" outlineLevel="0" collapsed="false">
      <c r="F215" s="41" t="str">
        <f aca="false">IF(D215="","",IFERROR(IF(ISNUMBER(SEARCH(Assumptions!$C$5,D215)),Assumptions!$D$5,IF(ISNUMBER(SEARCH(Assumptions!$C$6,D215)),Assumptions!$D$6,IF(ISNUMBER(SEARCH(Assumptions!$C$7,D215)),Assumptions!$D$7,"Other Services"))),"Other Services"))</f>
        <v/>
      </c>
    </row>
    <row r="216" customFormat="false" ht="15" hidden="false" customHeight="false" outlineLevel="0" collapsed="false">
      <c r="F216" s="41" t="str">
        <f aca="false">IF(D216="","",IFERROR(IF(ISNUMBER(SEARCH(Assumptions!$C$5,D216)),Assumptions!$D$5,IF(ISNUMBER(SEARCH(Assumptions!$C$6,D216)),Assumptions!$D$6,IF(ISNUMBER(SEARCH(Assumptions!$C$7,D216)),Assumptions!$D$7,"Other Services"))),"Other Services"))</f>
        <v/>
      </c>
    </row>
    <row r="217" customFormat="false" ht="15" hidden="false" customHeight="false" outlineLevel="0" collapsed="false">
      <c r="F217" s="41" t="str">
        <f aca="false">IF(D217="","",IFERROR(IF(ISNUMBER(SEARCH(Assumptions!$C$5,D217)),Assumptions!$D$5,IF(ISNUMBER(SEARCH(Assumptions!$C$6,D217)),Assumptions!$D$6,IF(ISNUMBER(SEARCH(Assumptions!$C$7,D217)),Assumptions!$D$7,"Other Services"))),"Other Services"))</f>
        <v/>
      </c>
    </row>
    <row r="218" customFormat="false" ht="15" hidden="false" customHeight="false" outlineLevel="0" collapsed="false">
      <c r="F218" s="41" t="str">
        <f aca="false">IF(D218="","",IFERROR(IF(ISNUMBER(SEARCH(Assumptions!$C$5,D218)),Assumptions!$D$5,IF(ISNUMBER(SEARCH(Assumptions!$C$6,D218)),Assumptions!$D$6,IF(ISNUMBER(SEARCH(Assumptions!$C$7,D218)),Assumptions!$D$7,"Other Services"))),"Other Services"))</f>
        <v/>
      </c>
    </row>
    <row r="219" customFormat="false" ht="15" hidden="false" customHeight="false" outlineLevel="0" collapsed="false">
      <c r="F219" s="41" t="str">
        <f aca="false">IF(D219="","",IFERROR(IF(ISNUMBER(SEARCH(Assumptions!$C$5,D219)),Assumptions!$D$5,IF(ISNUMBER(SEARCH(Assumptions!$C$6,D219)),Assumptions!$D$6,IF(ISNUMBER(SEARCH(Assumptions!$C$7,D219)),Assumptions!$D$7,"Other Services"))),"Other Services"))</f>
        <v/>
      </c>
    </row>
    <row r="220" customFormat="false" ht="15" hidden="false" customHeight="false" outlineLevel="0" collapsed="false">
      <c r="F220" s="41" t="str">
        <f aca="false">IF(D220="","",IFERROR(IF(ISNUMBER(SEARCH(Assumptions!$C$5,D220)),Assumptions!$D$5,IF(ISNUMBER(SEARCH(Assumptions!$C$6,D220)),Assumptions!$D$6,IF(ISNUMBER(SEARCH(Assumptions!$C$7,D220)),Assumptions!$D$7,"Other Services"))),"Other Services"))</f>
        <v/>
      </c>
    </row>
    <row r="221" customFormat="false" ht="15" hidden="false" customHeight="false" outlineLevel="0" collapsed="false">
      <c r="F221" s="41" t="str">
        <f aca="false">IF(D221="","",IFERROR(IF(ISNUMBER(SEARCH(Assumptions!$C$5,D221)),Assumptions!$D$5,IF(ISNUMBER(SEARCH(Assumptions!$C$6,D221)),Assumptions!$D$6,IF(ISNUMBER(SEARCH(Assumptions!$C$7,D221)),Assumptions!$D$7,"Other Services"))),"Other Services"))</f>
        <v/>
      </c>
    </row>
    <row r="222" customFormat="false" ht="15" hidden="false" customHeight="false" outlineLevel="0" collapsed="false">
      <c r="F222" s="41" t="str">
        <f aca="false">IF(D222="","",IFERROR(IF(ISNUMBER(SEARCH(Assumptions!$C$5,D222)),Assumptions!$D$5,IF(ISNUMBER(SEARCH(Assumptions!$C$6,D222)),Assumptions!$D$6,IF(ISNUMBER(SEARCH(Assumptions!$C$7,D222)),Assumptions!$D$7,"Other Services"))),"Other Services"))</f>
        <v/>
      </c>
    </row>
    <row r="223" customFormat="false" ht="15" hidden="false" customHeight="false" outlineLevel="0" collapsed="false">
      <c r="F223" s="41" t="str">
        <f aca="false">IF(D223="","",IFERROR(IF(ISNUMBER(SEARCH(Assumptions!$C$5,D223)),Assumptions!$D$5,IF(ISNUMBER(SEARCH(Assumptions!$C$6,D223)),Assumptions!$D$6,IF(ISNUMBER(SEARCH(Assumptions!$C$7,D223)),Assumptions!$D$7,"Other Services"))),"Other Services"))</f>
        <v/>
      </c>
    </row>
    <row r="224" customFormat="false" ht="15" hidden="false" customHeight="false" outlineLevel="0" collapsed="false">
      <c r="F224" s="41" t="str">
        <f aca="false">IF(D224="","",IFERROR(IF(ISNUMBER(SEARCH(Assumptions!$C$5,D224)),Assumptions!$D$5,IF(ISNUMBER(SEARCH(Assumptions!$C$6,D224)),Assumptions!$D$6,IF(ISNUMBER(SEARCH(Assumptions!$C$7,D224)),Assumptions!$D$7,"Other Services"))),"Other Services"))</f>
        <v/>
      </c>
    </row>
    <row r="225" customFormat="false" ht="15" hidden="false" customHeight="false" outlineLevel="0" collapsed="false">
      <c r="F225" s="41" t="str">
        <f aca="false">IF(D225="","",IFERROR(IF(ISNUMBER(SEARCH(Assumptions!$C$5,D225)),Assumptions!$D$5,IF(ISNUMBER(SEARCH(Assumptions!$C$6,D225)),Assumptions!$D$6,IF(ISNUMBER(SEARCH(Assumptions!$C$7,D225)),Assumptions!$D$7,"Other Services"))),"Other Services"))</f>
        <v/>
      </c>
    </row>
    <row r="226" customFormat="false" ht="15" hidden="false" customHeight="false" outlineLevel="0" collapsed="false">
      <c r="F226" s="41" t="str">
        <f aca="false">IF(D226="","",IFERROR(IF(ISNUMBER(SEARCH(Assumptions!$C$5,D226)),Assumptions!$D$5,IF(ISNUMBER(SEARCH(Assumptions!$C$6,D226)),Assumptions!$D$6,IF(ISNUMBER(SEARCH(Assumptions!$C$7,D226)),Assumptions!$D$7,"Other Services"))),"Other Services"))</f>
        <v/>
      </c>
    </row>
    <row r="227" customFormat="false" ht="15" hidden="false" customHeight="false" outlineLevel="0" collapsed="false">
      <c r="F227" s="41" t="str">
        <f aca="false">IF(D227="","",IFERROR(IF(ISNUMBER(SEARCH(Assumptions!$C$5,D227)),Assumptions!$D$5,IF(ISNUMBER(SEARCH(Assumptions!$C$6,D227)),Assumptions!$D$6,IF(ISNUMBER(SEARCH(Assumptions!$C$7,D227)),Assumptions!$D$7,"Other Services"))),"Other Services"))</f>
        <v/>
      </c>
    </row>
    <row r="228" customFormat="false" ht="15" hidden="false" customHeight="false" outlineLevel="0" collapsed="false">
      <c r="F228" s="41" t="str">
        <f aca="false">IF(D228="","",IFERROR(IF(ISNUMBER(SEARCH(Assumptions!$C$5,D228)),Assumptions!$D$5,IF(ISNUMBER(SEARCH(Assumptions!$C$6,D228)),Assumptions!$D$6,IF(ISNUMBER(SEARCH(Assumptions!$C$7,D228)),Assumptions!$D$7,"Other Services"))),"Other Services"))</f>
        <v/>
      </c>
    </row>
    <row r="229" customFormat="false" ht="15" hidden="false" customHeight="false" outlineLevel="0" collapsed="false">
      <c r="F229" s="41" t="str">
        <f aca="false">IF(D229="","",IFERROR(IF(ISNUMBER(SEARCH(Assumptions!$C$5,D229)),Assumptions!$D$5,IF(ISNUMBER(SEARCH(Assumptions!$C$6,D229)),Assumptions!$D$6,IF(ISNUMBER(SEARCH(Assumptions!$C$7,D229)),Assumptions!$D$7,"Other Services"))),"Other Services"))</f>
        <v/>
      </c>
    </row>
    <row r="230" customFormat="false" ht="15" hidden="false" customHeight="false" outlineLevel="0" collapsed="false">
      <c r="F230" s="41" t="str">
        <f aca="false">IF(D230="","",IFERROR(IF(ISNUMBER(SEARCH(Assumptions!$C$5,D230)),Assumptions!$D$5,IF(ISNUMBER(SEARCH(Assumptions!$C$6,D230)),Assumptions!$D$6,IF(ISNUMBER(SEARCH(Assumptions!$C$7,D230)),Assumptions!$D$7,"Other Services"))),"Other Services"))</f>
        <v/>
      </c>
    </row>
    <row r="231" customFormat="false" ht="15" hidden="false" customHeight="false" outlineLevel="0" collapsed="false">
      <c r="F231" s="41" t="str">
        <f aca="false">IF(D231="","",IFERROR(IF(ISNUMBER(SEARCH(Assumptions!$C$5,D231)),Assumptions!$D$5,IF(ISNUMBER(SEARCH(Assumptions!$C$6,D231)),Assumptions!$D$6,IF(ISNUMBER(SEARCH(Assumptions!$C$7,D231)),Assumptions!$D$7,"Other Services"))),"Other Services"))</f>
        <v/>
      </c>
    </row>
    <row r="232" customFormat="false" ht="15" hidden="false" customHeight="false" outlineLevel="0" collapsed="false">
      <c r="F232" s="41" t="str">
        <f aca="false">IF(D232="","",IFERROR(IF(ISNUMBER(SEARCH(Assumptions!$C$5,D232)),Assumptions!$D$5,IF(ISNUMBER(SEARCH(Assumptions!$C$6,D232)),Assumptions!$D$6,IF(ISNUMBER(SEARCH(Assumptions!$C$7,D232)),Assumptions!$D$7,"Other Services"))),"Other Services"))</f>
        <v/>
      </c>
    </row>
    <row r="233" customFormat="false" ht="15" hidden="false" customHeight="false" outlineLevel="0" collapsed="false">
      <c r="F233" s="41" t="str">
        <f aca="false">IF(D233="","",IFERROR(IF(ISNUMBER(SEARCH(Assumptions!$C$5,D233)),Assumptions!$D$5,IF(ISNUMBER(SEARCH(Assumptions!$C$6,D233)),Assumptions!$D$6,IF(ISNUMBER(SEARCH(Assumptions!$C$7,D233)),Assumptions!$D$7,"Other Services"))),"Other Services"))</f>
        <v/>
      </c>
    </row>
    <row r="234" customFormat="false" ht="15" hidden="false" customHeight="false" outlineLevel="0" collapsed="false">
      <c r="F234" s="41" t="str">
        <f aca="false">IF(D234="","",IFERROR(IF(ISNUMBER(SEARCH(Assumptions!$C$5,D234)),Assumptions!$D$5,IF(ISNUMBER(SEARCH(Assumptions!$C$6,D234)),Assumptions!$D$6,IF(ISNUMBER(SEARCH(Assumptions!$C$7,D234)),Assumptions!$D$7,"Other Services"))),"Other Services"))</f>
        <v/>
      </c>
    </row>
    <row r="235" customFormat="false" ht="15" hidden="false" customHeight="false" outlineLevel="0" collapsed="false">
      <c r="F235" s="41" t="str">
        <f aca="false">IF(D235="","",IFERROR(IF(ISNUMBER(SEARCH(Assumptions!$C$5,D235)),Assumptions!$D$5,IF(ISNUMBER(SEARCH(Assumptions!$C$6,D235)),Assumptions!$D$6,IF(ISNUMBER(SEARCH(Assumptions!$C$7,D235)),Assumptions!$D$7,"Other Services"))),"Other Services"))</f>
        <v/>
      </c>
    </row>
    <row r="236" customFormat="false" ht="15" hidden="false" customHeight="false" outlineLevel="0" collapsed="false">
      <c r="F236" s="41" t="str">
        <f aca="false">IF(D236="","",IFERROR(IF(ISNUMBER(SEARCH(Assumptions!$C$5,D236)),Assumptions!$D$5,IF(ISNUMBER(SEARCH(Assumptions!$C$6,D236)),Assumptions!$D$6,IF(ISNUMBER(SEARCH(Assumptions!$C$7,D236)),Assumptions!$D$7,"Other Services"))),"Other Services"))</f>
        <v/>
      </c>
    </row>
    <row r="237" customFormat="false" ht="15" hidden="false" customHeight="false" outlineLevel="0" collapsed="false">
      <c r="F237" s="41" t="str">
        <f aca="false">IF(D237="","",IFERROR(IF(ISNUMBER(SEARCH(Assumptions!$C$5,D237)),Assumptions!$D$5,IF(ISNUMBER(SEARCH(Assumptions!$C$6,D237)),Assumptions!$D$6,IF(ISNUMBER(SEARCH(Assumptions!$C$7,D237)),Assumptions!$D$7,"Other Services"))),"Other Services"))</f>
        <v/>
      </c>
    </row>
    <row r="238" customFormat="false" ht="15" hidden="false" customHeight="false" outlineLevel="0" collapsed="false">
      <c r="F238" s="41" t="str">
        <f aca="false">IF(D238="","",IFERROR(IF(ISNUMBER(SEARCH(Assumptions!$C$5,D238)),Assumptions!$D$5,IF(ISNUMBER(SEARCH(Assumptions!$C$6,D238)),Assumptions!$D$6,IF(ISNUMBER(SEARCH(Assumptions!$C$7,D238)),Assumptions!$D$7,"Other Services"))),"Other Services"))</f>
        <v/>
      </c>
    </row>
    <row r="239" customFormat="false" ht="15" hidden="false" customHeight="false" outlineLevel="0" collapsed="false">
      <c r="F239" s="41" t="str">
        <f aca="false">IF(D239="","",IFERROR(IF(ISNUMBER(SEARCH(Assumptions!$C$5,D239)),Assumptions!$D$5,IF(ISNUMBER(SEARCH(Assumptions!$C$6,D239)),Assumptions!$D$6,IF(ISNUMBER(SEARCH(Assumptions!$C$7,D239)),Assumptions!$D$7,"Other Services"))),"Other Services"))</f>
        <v/>
      </c>
    </row>
    <row r="240" customFormat="false" ht="15" hidden="false" customHeight="false" outlineLevel="0" collapsed="false">
      <c r="F240" s="41" t="str">
        <f aca="false">IF(D240="","",IFERROR(IF(ISNUMBER(SEARCH(Assumptions!$C$5,D240)),Assumptions!$D$5,IF(ISNUMBER(SEARCH(Assumptions!$C$6,D240)),Assumptions!$D$6,IF(ISNUMBER(SEARCH(Assumptions!$C$7,D240)),Assumptions!$D$7,"Other Services"))),"Other Services"))</f>
        <v/>
      </c>
    </row>
    <row r="241" customFormat="false" ht="15" hidden="false" customHeight="false" outlineLevel="0" collapsed="false">
      <c r="F241" s="41" t="str">
        <f aca="false">IF(D241="","",IFERROR(IF(ISNUMBER(SEARCH(Assumptions!$C$5,D241)),Assumptions!$D$5,IF(ISNUMBER(SEARCH(Assumptions!$C$6,D241)),Assumptions!$D$6,IF(ISNUMBER(SEARCH(Assumptions!$C$7,D241)),Assumptions!$D$7,"Other Services"))),"Other Services"))</f>
        <v/>
      </c>
    </row>
    <row r="242" customFormat="false" ht="15" hidden="false" customHeight="false" outlineLevel="0" collapsed="false">
      <c r="F242" s="41" t="str">
        <f aca="false">IF(D242="","",IFERROR(IF(ISNUMBER(SEARCH(Assumptions!$C$5,D242)),Assumptions!$D$5,IF(ISNUMBER(SEARCH(Assumptions!$C$6,D242)),Assumptions!$D$6,IF(ISNUMBER(SEARCH(Assumptions!$C$7,D242)),Assumptions!$D$7,"Other Services"))),"Other Services"))</f>
        <v/>
      </c>
    </row>
    <row r="243" customFormat="false" ht="15" hidden="false" customHeight="false" outlineLevel="0" collapsed="false">
      <c r="F243" s="41" t="str">
        <f aca="false">IF(D243="","",IFERROR(IF(ISNUMBER(SEARCH(Assumptions!$C$5,D243)),Assumptions!$D$5,IF(ISNUMBER(SEARCH(Assumptions!$C$6,D243)),Assumptions!$D$6,IF(ISNUMBER(SEARCH(Assumptions!$C$7,D243)),Assumptions!$D$7,"Other Services"))),"Other Services"))</f>
        <v/>
      </c>
    </row>
    <row r="244" customFormat="false" ht="15" hidden="false" customHeight="false" outlineLevel="0" collapsed="false">
      <c r="F244" s="41" t="str">
        <f aca="false">IF(D244="","",IFERROR(IF(ISNUMBER(SEARCH(Assumptions!$C$5,D244)),Assumptions!$D$5,IF(ISNUMBER(SEARCH(Assumptions!$C$6,D244)),Assumptions!$D$6,IF(ISNUMBER(SEARCH(Assumptions!$C$7,D244)),Assumptions!$D$7,"Other Services"))),"Other Services"))</f>
        <v/>
      </c>
    </row>
    <row r="245" customFormat="false" ht="15" hidden="false" customHeight="false" outlineLevel="0" collapsed="false">
      <c r="F245" s="41" t="str">
        <f aca="false">IF(D245="","",IFERROR(IF(ISNUMBER(SEARCH(Assumptions!$C$5,D245)),Assumptions!$D$5,IF(ISNUMBER(SEARCH(Assumptions!$C$6,D245)),Assumptions!$D$6,IF(ISNUMBER(SEARCH(Assumptions!$C$7,D245)),Assumptions!$D$7,"Other Services"))),"Other Services"))</f>
        <v/>
      </c>
    </row>
    <row r="246" customFormat="false" ht="15" hidden="false" customHeight="false" outlineLevel="0" collapsed="false">
      <c r="F246" s="41" t="str">
        <f aca="false">IF(D246="","",IFERROR(IF(ISNUMBER(SEARCH(Assumptions!$C$5,D246)),Assumptions!$D$5,IF(ISNUMBER(SEARCH(Assumptions!$C$6,D246)),Assumptions!$D$6,IF(ISNUMBER(SEARCH(Assumptions!$C$7,D246)),Assumptions!$D$7,"Other Services"))),"Other Services"))</f>
        <v/>
      </c>
    </row>
    <row r="247" customFormat="false" ht="15" hidden="false" customHeight="false" outlineLevel="0" collapsed="false">
      <c r="F247" s="41" t="str">
        <f aca="false">IF(D247="","",IFERROR(IF(ISNUMBER(SEARCH(Assumptions!$C$5,D247)),Assumptions!$D$5,IF(ISNUMBER(SEARCH(Assumptions!$C$6,D247)),Assumptions!$D$6,IF(ISNUMBER(SEARCH(Assumptions!$C$7,D247)),Assumptions!$D$7,"Other Services"))),"Other Services"))</f>
        <v/>
      </c>
    </row>
    <row r="248" customFormat="false" ht="15" hidden="false" customHeight="false" outlineLevel="0" collapsed="false">
      <c r="F248" s="41" t="str">
        <f aca="false">IF(D248="","",IFERROR(IF(ISNUMBER(SEARCH(Assumptions!$C$5,D248)),Assumptions!$D$5,IF(ISNUMBER(SEARCH(Assumptions!$C$6,D248)),Assumptions!$D$6,IF(ISNUMBER(SEARCH(Assumptions!$C$7,D248)),Assumptions!$D$7,"Other Services"))),"Other Services"))</f>
        <v/>
      </c>
    </row>
    <row r="249" customFormat="false" ht="15" hidden="false" customHeight="false" outlineLevel="0" collapsed="false">
      <c r="F249" s="41" t="str">
        <f aca="false">IF(D249="","",IFERROR(IF(ISNUMBER(SEARCH(Assumptions!$C$5,D249)),Assumptions!$D$5,IF(ISNUMBER(SEARCH(Assumptions!$C$6,D249)),Assumptions!$D$6,IF(ISNUMBER(SEARCH(Assumptions!$C$7,D249)),Assumptions!$D$7,"Other Services"))),"Other Services"))</f>
        <v/>
      </c>
    </row>
    <row r="250" customFormat="false" ht="15" hidden="false" customHeight="false" outlineLevel="0" collapsed="false">
      <c r="F250" s="41" t="str">
        <f aca="false">IF(D250="","",IFERROR(IF(ISNUMBER(SEARCH(Assumptions!$C$5,D250)),Assumptions!$D$5,IF(ISNUMBER(SEARCH(Assumptions!$C$6,D250)),Assumptions!$D$6,IF(ISNUMBER(SEARCH(Assumptions!$C$7,D250)),Assumptions!$D$7,"Other Services"))),"Other Services"))</f>
        <v/>
      </c>
    </row>
    <row r="251" customFormat="false" ht="15" hidden="false" customHeight="false" outlineLevel="0" collapsed="false">
      <c r="F251" s="41" t="str">
        <f aca="false">IF(D251="","",IFERROR(IF(ISNUMBER(SEARCH(Assumptions!$C$5,D251)),Assumptions!$D$5,IF(ISNUMBER(SEARCH(Assumptions!$C$6,D251)),Assumptions!$D$6,IF(ISNUMBER(SEARCH(Assumptions!$C$7,D251)),Assumptions!$D$7,"Other Services"))),"Other Services"))</f>
        <v/>
      </c>
    </row>
    <row r="252" customFormat="false" ht="15" hidden="false" customHeight="false" outlineLevel="0" collapsed="false">
      <c r="F252" s="41" t="str">
        <f aca="false">IF(D252="","",IFERROR(IF(ISNUMBER(SEARCH(Assumptions!$C$5,D252)),Assumptions!$D$5,IF(ISNUMBER(SEARCH(Assumptions!$C$6,D252)),Assumptions!$D$6,IF(ISNUMBER(SEARCH(Assumptions!$C$7,D252)),Assumptions!$D$7,"Other Services"))),"Other Services"))</f>
        <v/>
      </c>
    </row>
    <row r="253" customFormat="false" ht="15" hidden="false" customHeight="false" outlineLevel="0" collapsed="false">
      <c r="F253" s="41" t="str">
        <f aca="false">IF(D253="","",IFERROR(IF(ISNUMBER(SEARCH(Assumptions!$C$5,D253)),Assumptions!$D$5,IF(ISNUMBER(SEARCH(Assumptions!$C$6,D253)),Assumptions!$D$6,IF(ISNUMBER(SEARCH(Assumptions!$C$7,D253)),Assumptions!$D$7,"Other Services"))),"Other Services"))</f>
        <v/>
      </c>
    </row>
    <row r="254" customFormat="false" ht="15" hidden="false" customHeight="false" outlineLevel="0" collapsed="false">
      <c r="F254" s="41" t="str">
        <f aca="false">IF(D254="","",IFERROR(IF(ISNUMBER(SEARCH(Assumptions!$C$5,D254)),Assumptions!$D$5,IF(ISNUMBER(SEARCH(Assumptions!$C$6,D254)),Assumptions!$D$6,IF(ISNUMBER(SEARCH(Assumptions!$C$7,D254)),Assumptions!$D$7,"Other Services"))),"Other Services"))</f>
        <v/>
      </c>
    </row>
    <row r="255" customFormat="false" ht="15" hidden="false" customHeight="false" outlineLevel="0" collapsed="false">
      <c r="F255" s="41" t="str">
        <f aca="false">IF(D255="","",IFERROR(IF(ISNUMBER(SEARCH(Assumptions!$C$5,D255)),Assumptions!$D$5,IF(ISNUMBER(SEARCH(Assumptions!$C$6,D255)),Assumptions!$D$6,IF(ISNUMBER(SEARCH(Assumptions!$C$7,D255)),Assumptions!$D$7,"Other Services"))),"Other Services"))</f>
        <v/>
      </c>
    </row>
    <row r="256" customFormat="false" ht="15" hidden="false" customHeight="false" outlineLevel="0" collapsed="false">
      <c r="F256" s="41" t="str">
        <f aca="false">IF(D256="","",IFERROR(IF(ISNUMBER(SEARCH(Assumptions!$C$5,D256)),Assumptions!$D$5,IF(ISNUMBER(SEARCH(Assumptions!$C$6,D256)),Assumptions!$D$6,IF(ISNUMBER(SEARCH(Assumptions!$C$7,D256)),Assumptions!$D$7,"Other Services"))),"Other Services"))</f>
        <v/>
      </c>
    </row>
    <row r="257" customFormat="false" ht="15" hidden="false" customHeight="false" outlineLevel="0" collapsed="false">
      <c r="F257" s="41" t="str">
        <f aca="false">IF(D257="","",IFERROR(IF(ISNUMBER(SEARCH(Assumptions!$C$5,D257)),Assumptions!$D$5,IF(ISNUMBER(SEARCH(Assumptions!$C$6,D257)),Assumptions!$D$6,IF(ISNUMBER(SEARCH(Assumptions!$C$7,D257)),Assumptions!$D$7,"Other Services"))),"Other Services"))</f>
        <v/>
      </c>
    </row>
    <row r="258" customFormat="false" ht="15" hidden="false" customHeight="false" outlineLevel="0" collapsed="false">
      <c r="F258" s="41" t="str">
        <f aca="false">IF(D258="","",IFERROR(IF(ISNUMBER(SEARCH(Assumptions!$C$5,D258)),Assumptions!$D$5,IF(ISNUMBER(SEARCH(Assumptions!$C$6,D258)),Assumptions!$D$6,IF(ISNUMBER(SEARCH(Assumptions!$C$7,D258)),Assumptions!$D$7,"Other Services"))),"Other Services"))</f>
        <v/>
      </c>
    </row>
    <row r="259" customFormat="false" ht="15" hidden="false" customHeight="false" outlineLevel="0" collapsed="false">
      <c r="F259" s="41" t="str">
        <f aca="false">IF(D259="","",IFERROR(IF(ISNUMBER(SEARCH(Assumptions!$C$5,D259)),Assumptions!$D$5,IF(ISNUMBER(SEARCH(Assumptions!$C$6,D259)),Assumptions!$D$6,IF(ISNUMBER(SEARCH(Assumptions!$C$7,D259)),Assumptions!$D$7,"Other Services"))),"Other Services"))</f>
        <v/>
      </c>
    </row>
    <row r="260" customFormat="false" ht="15" hidden="false" customHeight="false" outlineLevel="0" collapsed="false">
      <c r="F260" s="41" t="str">
        <f aca="false">IF(D260="","",IFERROR(IF(ISNUMBER(SEARCH(Assumptions!$C$5,D260)),Assumptions!$D$5,IF(ISNUMBER(SEARCH(Assumptions!$C$6,D260)),Assumptions!$D$6,IF(ISNUMBER(SEARCH(Assumptions!$C$7,D260)),Assumptions!$D$7,"Other Services"))),"Other Services"))</f>
        <v/>
      </c>
    </row>
    <row r="261" customFormat="false" ht="15" hidden="false" customHeight="false" outlineLevel="0" collapsed="false">
      <c r="F261" s="41" t="str">
        <f aca="false">IF(D261="","",IFERROR(IF(ISNUMBER(SEARCH(Assumptions!$C$5,D261)),Assumptions!$D$5,IF(ISNUMBER(SEARCH(Assumptions!$C$6,D261)),Assumptions!$D$6,IF(ISNUMBER(SEARCH(Assumptions!$C$7,D261)),Assumptions!$D$7,"Other Services"))),"Other Services"))</f>
        <v/>
      </c>
    </row>
    <row r="262" customFormat="false" ht="15" hidden="false" customHeight="false" outlineLevel="0" collapsed="false">
      <c r="F262" s="41" t="str">
        <f aca="false">IF(D262="","",IFERROR(IF(ISNUMBER(SEARCH(Assumptions!$C$5,D262)),Assumptions!$D$5,IF(ISNUMBER(SEARCH(Assumptions!$C$6,D262)),Assumptions!$D$6,IF(ISNUMBER(SEARCH(Assumptions!$C$7,D262)),Assumptions!$D$7,"Other Services"))),"Other Services"))</f>
        <v/>
      </c>
    </row>
    <row r="263" customFormat="false" ht="15" hidden="false" customHeight="false" outlineLevel="0" collapsed="false">
      <c r="F263" s="41" t="str">
        <f aca="false">IF(D263="","",IFERROR(IF(ISNUMBER(SEARCH(Assumptions!$C$5,D263)),Assumptions!$D$5,IF(ISNUMBER(SEARCH(Assumptions!$C$6,D263)),Assumptions!$D$6,IF(ISNUMBER(SEARCH(Assumptions!$C$7,D263)),Assumptions!$D$7,"Other Services"))),"Other Services"))</f>
        <v/>
      </c>
    </row>
    <row r="264" customFormat="false" ht="15" hidden="false" customHeight="false" outlineLevel="0" collapsed="false">
      <c r="F264" s="41" t="str">
        <f aca="false">IF(D264="","",IFERROR(IF(ISNUMBER(SEARCH(Assumptions!$C$5,D264)),Assumptions!$D$5,IF(ISNUMBER(SEARCH(Assumptions!$C$6,D264)),Assumptions!$D$6,IF(ISNUMBER(SEARCH(Assumptions!$C$7,D264)),Assumptions!$D$7,"Other Services"))),"Other Services"))</f>
        <v/>
      </c>
    </row>
    <row r="265" customFormat="false" ht="15" hidden="false" customHeight="false" outlineLevel="0" collapsed="false">
      <c r="F265" s="41" t="str">
        <f aca="false">IF(D265="","",IFERROR(IF(ISNUMBER(SEARCH(Assumptions!$C$5,D265)),Assumptions!$D$5,IF(ISNUMBER(SEARCH(Assumptions!$C$6,D265)),Assumptions!$D$6,IF(ISNUMBER(SEARCH(Assumptions!$C$7,D265)),Assumptions!$D$7,"Other Services"))),"Other Services"))</f>
        <v/>
      </c>
    </row>
    <row r="266" customFormat="false" ht="15" hidden="false" customHeight="false" outlineLevel="0" collapsed="false">
      <c r="F266" s="41" t="str">
        <f aca="false">IF(D266="","",IFERROR(IF(ISNUMBER(SEARCH(Assumptions!$C$5,D266)),Assumptions!$D$5,IF(ISNUMBER(SEARCH(Assumptions!$C$6,D266)),Assumptions!$D$6,IF(ISNUMBER(SEARCH(Assumptions!$C$7,D266)),Assumptions!$D$7,"Other Services"))),"Other Services"))</f>
        <v/>
      </c>
    </row>
    <row r="267" customFormat="false" ht="15" hidden="false" customHeight="false" outlineLevel="0" collapsed="false">
      <c r="F267" s="41" t="str">
        <f aca="false">IF(D267="","",IFERROR(IF(ISNUMBER(SEARCH(Assumptions!$C$5,D267)),Assumptions!$D$5,IF(ISNUMBER(SEARCH(Assumptions!$C$6,D267)),Assumptions!$D$6,IF(ISNUMBER(SEARCH(Assumptions!$C$7,D267)),Assumptions!$D$7,"Other Services"))),"Other Services"))</f>
        <v/>
      </c>
    </row>
    <row r="268" customFormat="false" ht="15" hidden="false" customHeight="false" outlineLevel="0" collapsed="false">
      <c r="F268" s="41" t="str">
        <f aca="false">IF(D268="","",IFERROR(IF(ISNUMBER(SEARCH(Assumptions!$C$5,D268)),Assumptions!$D$5,IF(ISNUMBER(SEARCH(Assumptions!$C$6,D268)),Assumptions!$D$6,IF(ISNUMBER(SEARCH(Assumptions!$C$7,D268)),Assumptions!$D$7,"Other Services"))),"Other Services"))</f>
        <v/>
      </c>
    </row>
    <row r="269" customFormat="false" ht="15" hidden="false" customHeight="false" outlineLevel="0" collapsed="false">
      <c r="F269" s="41" t="str">
        <f aca="false">IF(D269="","",IFERROR(IF(ISNUMBER(SEARCH(Assumptions!$C$5,D269)),Assumptions!$D$5,IF(ISNUMBER(SEARCH(Assumptions!$C$6,D269)),Assumptions!$D$6,IF(ISNUMBER(SEARCH(Assumptions!$C$7,D269)),Assumptions!$D$7,"Other Services"))),"Other Services"))</f>
        <v/>
      </c>
    </row>
    <row r="270" customFormat="false" ht="15" hidden="false" customHeight="false" outlineLevel="0" collapsed="false">
      <c r="F270" s="41" t="str">
        <f aca="false">IF(D270="","",IFERROR(IF(ISNUMBER(SEARCH(Assumptions!$C$5,D270)),Assumptions!$D$5,IF(ISNUMBER(SEARCH(Assumptions!$C$6,D270)),Assumptions!$D$6,IF(ISNUMBER(SEARCH(Assumptions!$C$7,D270)),Assumptions!$D$7,"Other Services"))),"Other Services"))</f>
        <v/>
      </c>
    </row>
    <row r="271" customFormat="false" ht="15" hidden="false" customHeight="false" outlineLevel="0" collapsed="false">
      <c r="F271" s="41" t="str">
        <f aca="false">IF(D271="","",IFERROR(IF(ISNUMBER(SEARCH(Assumptions!$C$5,D271)),Assumptions!$D$5,IF(ISNUMBER(SEARCH(Assumptions!$C$6,D271)),Assumptions!$D$6,IF(ISNUMBER(SEARCH(Assumptions!$C$7,D271)),Assumptions!$D$7,"Other Services"))),"Other Services"))</f>
        <v/>
      </c>
    </row>
    <row r="272" customFormat="false" ht="15" hidden="false" customHeight="false" outlineLevel="0" collapsed="false">
      <c r="F272" s="41" t="str">
        <f aca="false">IF(D272="","",IFERROR(IF(ISNUMBER(SEARCH(Assumptions!$C$5,D272)),Assumptions!$D$5,IF(ISNUMBER(SEARCH(Assumptions!$C$6,D272)),Assumptions!$D$6,IF(ISNUMBER(SEARCH(Assumptions!$C$7,D272)),Assumptions!$D$7,"Other Services"))),"Other Services"))</f>
        <v/>
      </c>
    </row>
    <row r="273" customFormat="false" ht="15" hidden="false" customHeight="false" outlineLevel="0" collapsed="false">
      <c r="F273" s="41" t="str">
        <f aca="false">IF(D273="","",IFERROR(IF(ISNUMBER(SEARCH(Assumptions!$C$5,D273)),Assumptions!$D$5,IF(ISNUMBER(SEARCH(Assumptions!$C$6,D273)),Assumptions!$D$6,IF(ISNUMBER(SEARCH(Assumptions!$C$7,D273)),Assumptions!$D$7,"Other Services"))),"Other Services"))</f>
        <v/>
      </c>
    </row>
    <row r="274" customFormat="false" ht="15" hidden="false" customHeight="false" outlineLevel="0" collapsed="false">
      <c r="F274" s="41" t="str">
        <f aca="false">IF(D274="","",IFERROR(IF(ISNUMBER(SEARCH(Assumptions!$C$5,D274)),Assumptions!$D$5,IF(ISNUMBER(SEARCH(Assumptions!$C$6,D274)),Assumptions!$D$6,IF(ISNUMBER(SEARCH(Assumptions!$C$7,D274)),Assumptions!$D$7,"Other Services"))),"Other Services"))</f>
        <v/>
      </c>
    </row>
    <row r="275" customFormat="false" ht="15" hidden="false" customHeight="false" outlineLevel="0" collapsed="false">
      <c r="F275" s="41" t="str">
        <f aca="false">IF(D275="","",IFERROR(IF(ISNUMBER(SEARCH(Assumptions!$C$5,D275)),Assumptions!$D$5,IF(ISNUMBER(SEARCH(Assumptions!$C$6,D275)),Assumptions!$D$6,IF(ISNUMBER(SEARCH(Assumptions!$C$7,D275)),Assumptions!$D$7,"Other Services"))),"Other Services"))</f>
        <v/>
      </c>
    </row>
    <row r="276" customFormat="false" ht="15" hidden="false" customHeight="false" outlineLevel="0" collapsed="false">
      <c r="F276" s="41" t="str">
        <f aca="false">IF(D276="","",IFERROR(IF(ISNUMBER(SEARCH(Assumptions!$C$5,D276)),Assumptions!$D$5,IF(ISNUMBER(SEARCH(Assumptions!$C$6,D276)),Assumptions!$D$6,IF(ISNUMBER(SEARCH(Assumptions!$C$7,D276)),Assumptions!$D$7,"Other Services"))),"Other Services"))</f>
        <v/>
      </c>
    </row>
    <row r="277" customFormat="false" ht="15" hidden="false" customHeight="false" outlineLevel="0" collapsed="false">
      <c r="F277" s="41" t="str">
        <f aca="false">IF(D277="","",IFERROR(IF(ISNUMBER(SEARCH(Assumptions!$C$5,D277)),Assumptions!$D$5,IF(ISNUMBER(SEARCH(Assumptions!$C$6,D277)),Assumptions!$D$6,IF(ISNUMBER(SEARCH(Assumptions!$C$7,D277)),Assumptions!$D$7,"Other Services"))),"Other Services"))</f>
        <v/>
      </c>
    </row>
    <row r="278" customFormat="false" ht="15" hidden="false" customHeight="false" outlineLevel="0" collapsed="false">
      <c r="F278" s="41" t="str">
        <f aca="false">IF(D278="","",IFERROR(IF(ISNUMBER(SEARCH(Assumptions!$C$5,D278)),Assumptions!$D$5,IF(ISNUMBER(SEARCH(Assumptions!$C$6,D278)),Assumptions!$D$6,IF(ISNUMBER(SEARCH(Assumptions!$C$7,D278)),Assumptions!$D$7,"Other Services"))),"Other Services"))</f>
        <v/>
      </c>
    </row>
    <row r="279" customFormat="false" ht="15" hidden="false" customHeight="false" outlineLevel="0" collapsed="false">
      <c r="F279" s="41" t="str">
        <f aca="false">IF(D279="","",IFERROR(IF(ISNUMBER(SEARCH(Assumptions!$C$5,D279)),Assumptions!$D$5,IF(ISNUMBER(SEARCH(Assumptions!$C$6,D279)),Assumptions!$D$6,IF(ISNUMBER(SEARCH(Assumptions!$C$7,D279)),Assumptions!$D$7,"Other Services"))),"Other Services"))</f>
        <v/>
      </c>
    </row>
    <row r="280" customFormat="false" ht="15" hidden="false" customHeight="false" outlineLevel="0" collapsed="false">
      <c r="F280" s="41" t="str">
        <f aca="false">IF(D280="","",IFERROR(IF(ISNUMBER(SEARCH(Assumptions!$C$5,D280)),Assumptions!$D$5,IF(ISNUMBER(SEARCH(Assumptions!$C$6,D280)),Assumptions!$D$6,IF(ISNUMBER(SEARCH(Assumptions!$C$7,D280)),Assumptions!$D$7,"Other Services"))),"Other Services"))</f>
        <v/>
      </c>
    </row>
    <row r="281" customFormat="false" ht="15" hidden="false" customHeight="false" outlineLevel="0" collapsed="false">
      <c r="F281" s="41" t="str">
        <f aca="false">IF(D281="","",IFERROR(IF(ISNUMBER(SEARCH(Assumptions!$C$5,D281)),Assumptions!$D$5,IF(ISNUMBER(SEARCH(Assumptions!$C$6,D281)),Assumptions!$D$6,IF(ISNUMBER(SEARCH(Assumptions!$C$7,D281)),Assumptions!$D$7,"Other Services"))),"Other Services"))</f>
        <v/>
      </c>
    </row>
    <row r="282" customFormat="false" ht="15" hidden="false" customHeight="false" outlineLevel="0" collapsed="false">
      <c r="F282" s="41" t="str">
        <f aca="false">IF(D282="","",IFERROR(IF(ISNUMBER(SEARCH(Assumptions!$C$5,D282)),Assumptions!$D$5,IF(ISNUMBER(SEARCH(Assumptions!$C$6,D282)),Assumptions!$D$6,IF(ISNUMBER(SEARCH(Assumptions!$C$7,D282)),Assumptions!$D$7,"Other Services"))),"Other Services"))</f>
        <v/>
      </c>
    </row>
    <row r="283" customFormat="false" ht="15" hidden="false" customHeight="false" outlineLevel="0" collapsed="false">
      <c r="F283" s="41" t="str">
        <f aca="false">IF(D283="","",IFERROR(IF(ISNUMBER(SEARCH(Assumptions!$C$5,D283)),Assumptions!$D$5,IF(ISNUMBER(SEARCH(Assumptions!$C$6,D283)),Assumptions!$D$6,IF(ISNUMBER(SEARCH(Assumptions!$C$7,D283)),Assumptions!$D$7,"Other Services"))),"Other Services"))</f>
        <v/>
      </c>
    </row>
    <row r="284" customFormat="false" ht="15" hidden="false" customHeight="false" outlineLevel="0" collapsed="false">
      <c r="F284" s="41" t="str">
        <f aca="false">IF(D284="","",IFERROR(IF(ISNUMBER(SEARCH(Assumptions!$C$5,D284)),Assumptions!$D$5,IF(ISNUMBER(SEARCH(Assumptions!$C$6,D284)),Assumptions!$D$6,IF(ISNUMBER(SEARCH(Assumptions!$C$7,D284)),Assumptions!$D$7,"Other Services"))),"Other Services"))</f>
        <v/>
      </c>
    </row>
    <row r="285" customFormat="false" ht="15" hidden="false" customHeight="false" outlineLevel="0" collapsed="false">
      <c r="F285" s="41" t="str">
        <f aca="false">IF(D285="","",IFERROR(IF(ISNUMBER(SEARCH(Assumptions!$C$5,D285)),Assumptions!$D$5,IF(ISNUMBER(SEARCH(Assumptions!$C$6,D285)),Assumptions!$D$6,IF(ISNUMBER(SEARCH(Assumptions!$C$7,D285)),Assumptions!$D$7,"Other Services"))),"Other Services"))</f>
        <v/>
      </c>
    </row>
    <row r="286" customFormat="false" ht="15" hidden="false" customHeight="false" outlineLevel="0" collapsed="false">
      <c r="F286" s="41" t="str">
        <f aca="false">IF(D286="","",IFERROR(IF(ISNUMBER(SEARCH(Assumptions!$C$5,D286)),Assumptions!$D$5,IF(ISNUMBER(SEARCH(Assumptions!$C$6,D286)),Assumptions!$D$6,IF(ISNUMBER(SEARCH(Assumptions!$C$7,D286)),Assumptions!$D$7,"Other Services"))),"Other Services"))</f>
        <v/>
      </c>
    </row>
    <row r="287" customFormat="false" ht="15" hidden="false" customHeight="false" outlineLevel="0" collapsed="false">
      <c r="F287" s="41" t="str">
        <f aca="false">IF(D287="","",IFERROR(IF(ISNUMBER(SEARCH(Assumptions!$C$5,D287)),Assumptions!$D$5,IF(ISNUMBER(SEARCH(Assumptions!$C$6,D287)),Assumptions!$D$6,IF(ISNUMBER(SEARCH(Assumptions!$C$7,D287)),Assumptions!$D$7,"Other Services"))),"Other Services"))</f>
        <v/>
      </c>
    </row>
    <row r="288" customFormat="false" ht="15" hidden="false" customHeight="false" outlineLevel="0" collapsed="false">
      <c r="F288" s="41" t="str">
        <f aca="false">IF(D288="","",IFERROR(IF(ISNUMBER(SEARCH(Assumptions!$C$5,D288)),Assumptions!$D$5,IF(ISNUMBER(SEARCH(Assumptions!$C$6,D288)),Assumptions!$D$6,IF(ISNUMBER(SEARCH(Assumptions!$C$7,D288)),Assumptions!$D$7,"Other Services"))),"Other Services"))</f>
        <v/>
      </c>
    </row>
    <row r="289" customFormat="false" ht="15" hidden="false" customHeight="false" outlineLevel="0" collapsed="false">
      <c r="F289" s="41" t="str">
        <f aca="false">IF(D289="","",IFERROR(IF(ISNUMBER(SEARCH(Assumptions!$C$5,D289)),Assumptions!$D$5,IF(ISNUMBER(SEARCH(Assumptions!$C$6,D289)),Assumptions!$D$6,IF(ISNUMBER(SEARCH(Assumptions!$C$7,D289)),Assumptions!$D$7,"Other Services"))),"Other Services"))</f>
        <v/>
      </c>
    </row>
    <row r="290" customFormat="false" ht="15" hidden="false" customHeight="false" outlineLevel="0" collapsed="false">
      <c r="F290" s="41" t="str">
        <f aca="false">IF(D290="","",IFERROR(IF(ISNUMBER(SEARCH(Assumptions!$C$5,D290)),Assumptions!$D$5,IF(ISNUMBER(SEARCH(Assumptions!$C$6,D290)),Assumptions!$D$6,IF(ISNUMBER(SEARCH(Assumptions!$C$7,D290)),Assumptions!$D$7,"Other Services"))),"Other Services"))</f>
        <v/>
      </c>
    </row>
    <row r="291" customFormat="false" ht="15" hidden="false" customHeight="false" outlineLevel="0" collapsed="false">
      <c r="F291" s="41" t="str">
        <f aca="false">IF(D291="","",IFERROR(IF(ISNUMBER(SEARCH(Assumptions!$C$5,D291)),Assumptions!$D$5,IF(ISNUMBER(SEARCH(Assumptions!$C$6,D291)),Assumptions!$D$6,IF(ISNUMBER(SEARCH(Assumptions!$C$7,D291)),Assumptions!$D$7,"Other Services"))),"Other Services"))</f>
        <v/>
      </c>
    </row>
    <row r="292" customFormat="false" ht="15" hidden="false" customHeight="false" outlineLevel="0" collapsed="false">
      <c r="F292" s="41" t="str">
        <f aca="false">IF(D292="","",IFERROR(IF(ISNUMBER(SEARCH(Assumptions!$C$5,D292)),Assumptions!$D$5,IF(ISNUMBER(SEARCH(Assumptions!$C$6,D292)),Assumptions!$D$6,IF(ISNUMBER(SEARCH(Assumptions!$C$7,D292)),Assumptions!$D$7,"Other Services"))),"Other Services"))</f>
        <v/>
      </c>
    </row>
    <row r="293" customFormat="false" ht="15" hidden="false" customHeight="false" outlineLevel="0" collapsed="false">
      <c r="F293" s="41" t="str">
        <f aca="false">IF(D293="","",IFERROR(IF(ISNUMBER(SEARCH(Assumptions!$C$5,D293)),Assumptions!$D$5,IF(ISNUMBER(SEARCH(Assumptions!$C$6,D293)),Assumptions!$D$6,IF(ISNUMBER(SEARCH(Assumptions!$C$7,D293)),Assumptions!$D$7,"Other Services"))),"Other Services"))</f>
        <v/>
      </c>
    </row>
    <row r="294" customFormat="false" ht="15" hidden="false" customHeight="false" outlineLevel="0" collapsed="false">
      <c r="F294" s="41" t="str">
        <f aca="false">IF(D294="","",IFERROR(IF(ISNUMBER(SEARCH(Assumptions!$C$5,D294)),Assumptions!$D$5,IF(ISNUMBER(SEARCH(Assumptions!$C$6,D294)),Assumptions!$D$6,IF(ISNUMBER(SEARCH(Assumptions!$C$7,D294)),Assumptions!$D$7,"Other Services"))),"Other Services"))</f>
        <v/>
      </c>
    </row>
    <row r="295" customFormat="false" ht="15" hidden="false" customHeight="false" outlineLevel="0" collapsed="false">
      <c r="F295" s="41" t="str">
        <f aca="false">IF(D295="","",IFERROR(IF(ISNUMBER(SEARCH(Assumptions!$C$5,D295)),Assumptions!$D$5,IF(ISNUMBER(SEARCH(Assumptions!$C$6,D295)),Assumptions!$D$6,IF(ISNUMBER(SEARCH(Assumptions!$C$7,D295)),Assumptions!$D$7,"Other Services"))),"Other Services"))</f>
        <v/>
      </c>
    </row>
    <row r="296" customFormat="false" ht="15" hidden="false" customHeight="false" outlineLevel="0" collapsed="false">
      <c r="F296" s="41" t="str">
        <f aca="false">IF(D296="","",IFERROR(IF(ISNUMBER(SEARCH(Assumptions!$C$5,D296)),Assumptions!$D$5,IF(ISNUMBER(SEARCH(Assumptions!$C$6,D296)),Assumptions!$D$6,IF(ISNUMBER(SEARCH(Assumptions!$C$7,D296)),Assumptions!$D$7,"Other Services"))),"Other Services"))</f>
        <v/>
      </c>
    </row>
    <row r="297" customFormat="false" ht="15" hidden="false" customHeight="false" outlineLevel="0" collapsed="false">
      <c r="F297" s="41" t="str">
        <f aca="false">IF(D297="","",IFERROR(IF(ISNUMBER(SEARCH(Assumptions!$C$5,D297)),Assumptions!$D$5,IF(ISNUMBER(SEARCH(Assumptions!$C$6,D297)),Assumptions!$D$6,IF(ISNUMBER(SEARCH(Assumptions!$C$7,D297)),Assumptions!$D$7,"Other Services"))),"Other Services"))</f>
        <v/>
      </c>
    </row>
    <row r="298" customFormat="false" ht="15" hidden="false" customHeight="false" outlineLevel="0" collapsed="false">
      <c r="F298" s="41" t="str">
        <f aca="false">IF(D298="","",IFERROR(IF(ISNUMBER(SEARCH(Assumptions!$C$5,D298)),Assumptions!$D$5,IF(ISNUMBER(SEARCH(Assumptions!$C$6,D298)),Assumptions!$D$6,IF(ISNUMBER(SEARCH(Assumptions!$C$7,D298)),Assumptions!$D$7,"Other Services"))),"Other Services"))</f>
        <v/>
      </c>
    </row>
    <row r="299" customFormat="false" ht="15" hidden="false" customHeight="false" outlineLevel="0" collapsed="false">
      <c r="F299" s="41" t="str">
        <f aca="false">IF(D299="","",IFERROR(IF(ISNUMBER(SEARCH(Assumptions!$C$5,D299)),Assumptions!$D$5,IF(ISNUMBER(SEARCH(Assumptions!$C$6,D299)),Assumptions!$D$6,IF(ISNUMBER(SEARCH(Assumptions!$C$7,D299)),Assumptions!$D$7,"Other Services"))),"Other Services"))</f>
        <v/>
      </c>
    </row>
    <row r="300" customFormat="false" ht="15" hidden="false" customHeight="false" outlineLevel="0" collapsed="false">
      <c r="F300" s="41" t="str">
        <f aca="false">IF(D300="","",IFERROR(IF(ISNUMBER(SEARCH(Assumptions!$C$5,D300)),Assumptions!$D$5,IF(ISNUMBER(SEARCH(Assumptions!$C$6,D300)),Assumptions!$D$6,IF(ISNUMBER(SEARCH(Assumptions!$C$7,D300)),Assumptions!$D$7,"Other Services"))),"Other Services"))</f>
        <v/>
      </c>
    </row>
    <row r="301" customFormat="false" ht="15" hidden="false" customHeight="false" outlineLevel="0" collapsed="false">
      <c r="F301" s="41" t="str">
        <f aca="false">IF(D301="","",IFERROR(IF(ISNUMBER(SEARCH(Assumptions!$C$5,D301)),Assumptions!$D$5,IF(ISNUMBER(SEARCH(Assumptions!$C$6,D301)),Assumptions!$D$6,IF(ISNUMBER(SEARCH(Assumptions!$C$7,D301)),Assumptions!$D$7,"Other Services"))),"Other Services"))</f>
        <v/>
      </c>
    </row>
    <row r="302" customFormat="false" ht="15" hidden="false" customHeight="false" outlineLevel="0" collapsed="false">
      <c r="F302" s="41" t="str">
        <f aca="false">IF(D302="","",IFERROR(IF(ISNUMBER(SEARCH(Assumptions!$C$5,D302)),Assumptions!$D$5,IF(ISNUMBER(SEARCH(Assumptions!$C$6,D302)),Assumptions!$D$6,IF(ISNUMBER(SEARCH(Assumptions!$C$7,D302)),Assumptions!$D$7,"Other Services"))),"Other Services"))</f>
        <v/>
      </c>
    </row>
    <row r="303" customFormat="false" ht="15" hidden="false" customHeight="false" outlineLevel="0" collapsed="false">
      <c r="F303" s="41" t="str">
        <f aca="false">IF(D303="","",IFERROR(IF(ISNUMBER(SEARCH(Assumptions!$C$5,D303)),Assumptions!$D$5,IF(ISNUMBER(SEARCH(Assumptions!$C$6,D303)),Assumptions!$D$6,IF(ISNUMBER(SEARCH(Assumptions!$C$7,D303)),Assumptions!$D$7,"Other Services"))),"Other Services"))</f>
        <v/>
      </c>
    </row>
    <row r="304" customFormat="false" ht="15" hidden="false" customHeight="false" outlineLevel="0" collapsed="false">
      <c r="F304" s="41" t="str">
        <f aca="false">IF(D304="","",IFERROR(IF(ISNUMBER(SEARCH(Assumptions!$C$5,D304)),Assumptions!$D$5,IF(ISNUMBER(SEARCH(Assumptions!$C$6,D304)),Assumptions!$D$6,IF(ISNUMBER(SEARCH(Assumptions!$C$7,D304)),Assumptions!$D$7,"Other Services"))),"Other Services"))</f>
        <v/>
      </c>
    </row>
    <row r="305" customFormat="false" ht="15" hidden="false" customHeight="false" outlineLevel="0" collapsed="false">
      <c r="F305" s="41" t="str">
        <f aca="false">IF(D305="","",IFERROR(IF(ISNUMBER(SEARCH(Assumptions!$C$5,D305)),Assumptions!$D$5,IF(ISNUMBER(SEARCH(Assumptions!$C$6,D305)),Assumptions!$D$6,IF(ISNUMBER(SEARCH(Assumptions!$C$7,D305)),Assumptions!$D$7,"Other Services"))),"Other Services"))</f>
        <v/>
      </c>
    </row>
    <row r="306" customFormat="false" ht="15" hidden="false" customHeight="false" outlineLevel="0" collapsed="false">
      <c r="F306" s="41" t="str">
        <f aca="false">IF(D306="","",IFERROR(IF(ISNUMBER(SEARCH(Assumptions!$C$5,D306)),Assumptions!$D$5,IF(ISNUMBER(SEARCH(Assumptions!$C$6,D306)),Assumptions!$D$6,IF(ISNUMBER(SEARCH(Assumptions!$C$7,D306)),Assumptions!$D$7,"Other Services"))),"Other Services"))</f>
        <v/>
      </c>
    </row>
    <row r="307" customFormat="false" ht="15" hidden="false" customHeight="false" outlineLevel="0" collapsed="false">
      <c r="F307" s="41" t="str">
        <f aca="false">IF(D307="","",IFERROR(IF(ISNUMBER(SEARCH(Assumptions!$C$5,D307)),Assumptions!$D$5,IF(ISNUMBER(SEARCH(Assumptions!$C$6,D307)),Assumptions!$D$6,IF(ISNUMBER(SEARCH(Assumptions!$C$7,D307)),Assumptions!$D$7,"Other Services"))),"Other Services"))</f>
        <v/>
      </c>
    </row>
    <row r="308" customFormat="false" ht="15" hidden="false" customHeight="false" outlineLevel="0" collapsed="false">
      <c r="F308" s="41" t="str">
        <f aca="false">IF(D308="","",IFERROR(IF(ISNUMBER(SEARCH(Assumptions!$C$5,D308)),Assumptions!$D$5,IF(ISNUMBER(SEARCH(Assumptions!$C$6,D308)),Assumptions!$D$6,IF(ISNUMBER(SEARCH(Assumptions!$C$7,D308)),Assumptions!$D$7,"Other Services"))),"Other Services"))</f>
        <v/>
      </c>
    </row>
    <row r="309" customFormat="false" ht="15" hidden="false" customHeight="false" outlineLevel="0" collapsed="false">
      <c r="F309" s="41" t="str">
        <f aca="false">IF(D309="","",IFERROR(IF(ISNUMBER(SEARCH(Assumptions!$C$5,D309)),Assumptions!$D$5,IF(ISNUMBER(SEARCH(Assumptions!$C$6,D309)),Assumptions!$D$6,IF(ISNUMBER(SEARCH(Assumptions!$C$7,D309)),Assumptions!$D$7,"Other Services"))),"Other Services"))</f>
        <v/>
      </c>
    </row>
    <row r="310" customFormat="false" ht="15" hidden="false" customHeight="false" outlineLevel="0" collapsed="false">
      <c r="F310" s="41" t="str">
        <f aca="false">IF(D310="","",IFERROR(IF(ISNUMBER(SEARCH(Assumptions!$C$5,D310)),Assumptions!$D$5,IF(ISNUMBER(SEARCH(Assumptions!$C$6,D310)),Assumptions!$D$6,IF(ISNUMBER(SEARCH(Assumptions!$C$7,D310)),Assumptions!$D$7,"Other Services"))),"Other Services"))</f>
        <v/>
      </c>
    </row>
    <row r="311" customFormat="false" ht="15" hidden="false" customHeight="false" outlineLevel="0" collapsed="false">
      <c r="F311" s="41" t="str">
        <f aca="false">IF(D311="","",IFERROR(IF(ISNUMBER(SEARCH(Assumptions!$C$5,D311)),Assumptions!$D$5,IF(ISNUMBER(SEARCH(Assumptions!$C$6,D311)),Assumptions!$D$6,IF(ISNUMBER(SEARCH(Assumptions!$C$7,D311)),Assumptions!$D$7,"Other Services"))),"Other Services"))</f>
        <v/>
      </c>
    </row>
    <row r="312" customFormat="false" ht="15" hidden="false" customHeight="false" outlineLevel="0" collapsed="false">
      <c r="F312" s="41" t="str">
        <f aca="false">IF(D312="","",IFERROR(IF(ISNUMBER(SEARCH(Assumptions!$C$5,D312)),Assumptions!$D$5,IF(ISNUMBER(SEARCH(Assumptions!$C$6,D312)),Assumptions!$D$6,IF(ISNUMBER(SEARCH(Assumptions!$C$7,D312)),Assumptions!$D$7,"Other Services"))),"Other Services"))</f>
        <v/>
      </c>
    </row>
    <row r="313" customFormat="false" ht="15" hidden="false" customHeight="false" outlineLevel="0" collapsed="false">
      <c r="F313" s="41" t="str">
        <f aca="false">IF(D313="","",IFERROR(IF(ISNUMBER(SEARCH(Assumptions!$C$5,D313)),Assumptions!$D$5,IF(ISNUMBER(SEARCH(Assumptions!$C$6,D313)),Assumptions!$D$6,IF(ISNUMBER(SEARCH(Assumptions!$C$7,D313)),Assumptions!$D$7,"Other Services"))),"Other Services"))</f>
        <v/>
      </c>
    </row>
    <row r="314" customFormat="false" ht="15" hidden="false" customHeight="false" outlineLevel="0" collapsed="false">
      <c r="F314" s="41" t="str">
        <f aca="false">IF(D314="","",IFERROR(IF(ISNUMBER(SEARCH(Assumptions!$C$5,D314)),Assumptions!$D$5,IF(ISNUMBER(SEARCH(Assumptions!$C$6,D314)),Assumptions!$D$6,IF(ISNUMBER(SEARCH(Assumptions!$C$7,D314)),Assumptions!$D$7,"Other Services"))),"Other Services"))</f>
        <v/>
      </c>
    </row>
    <row r="315" customFormat="false" ht="15" hidden="false" customHeight="false" outlineLevel="0" collapsed="false">
      <c r="F315" s="41" t="str">
        <f aca="false">IF(D315="","",IFERROR(IF(ISNUMBER(SEARCH(Assumptions!$C$5,D315)),Assumptions!$D$5,IF(ISNUMBER(SEARCH(Assumptions!$C$6,D315)),Assumptions!$D$6,IF(ISNUMBER(SEARCH(Assumptions!$C$7,D315)),Assumptions!$D$7,"Other Services"))),"Other Services"))</f>
        <v/>
      </c>
    </row>
    <row r="316" customFormat="false" ht="15" hidden="false" customHeight="false" outlineLevel="0" collapsed="false">
      <c r="F316" s="41" t="str">
        <f aca="false">IF(D316="","",IFERROR(IF(ISNUMBER(SEARCH(Assumptions!$C$5,D316)),Assumptions!$D$5,IF(ISNUMBER(SEARCH(Assumptions!$C$6,D316)),Assumptions!$D$6,IF(ISNUMBER(SEARCH(Assumptions!$C$7,D316)),Assumptions!$D$7,"Other Services"))),"Other Services"))</f>
        <v/>
      </c>
    </row>
    <row r="317" customFormat="false" ht="15" hidden="false" customHeight="false" outlineLevel="0" collapsed="false">
      <c r="F317" s="41" t="str">
        <f aca="false">IF(D317="","",IFERROR(IF(ISNUMBER(SEARCH(Assumptions!$C$5,D317)),Assumptions!$D$5,IF(ISNUMBER(SEARCH(Assumptions!$C$6,D317)),Assumptions!$D$6,IF(ISNUMBER(SEARCH(Assumptions!$C$7,D317)),Assumptions!$D$7,"Other Services"))),"Other Services"))</f>
        <v/>
      </c>
    </row>
    <row r="318" customFormat="false" ht="15" hidden="false" customHeight="false" outlineLevel="0" collapsed="false">
      <c r="F318" s="41" t="str">
        <f aca="false">IF(D318="","",IFERROR(IF(ISNUMBER(SEARCH(Assumptions!$C$5,D318)),Assumptions!$D$5,IF(ISNUMBER(SEARCH(Assumptions!$C$6,D318)),Assumptions!$D$6,IF(ISNUMBER(SEARCH(Assumptions!$C$7,D318)),Assumptions!$D$7,"Other Services"))),"Other Services"))</f>
        <v/>
      </c>
    </row>
    <row r="319" customFormat="false" ht="15" hidden="false" customHeight="false" outlineLevel="0" collapsed="false">
      <c r="F319" s="41" t="str">
        <f aca="false">IF(D319="","",IFERROR(IF(ISNUMBER(SEARCH(Assumptions!$C$5,D319)),Assumptions!$D$5,IF(ISNUMBER(SEARCH(Assumptions!$C$6,D319)),Assumptions!$D$6,IF(ISNUMBER(SEARCH(Assumptions!$C$7,D319)),Assumptions!$D$7,"Other Services"))),"Other Services"))</f>
        <v/>
      </c>
    </row>
    <row r="320" customFormat="false" ht="15" hidden="false" customHeight="false" outlineLevel="0" collapsed="false">
      <c r="F320" s="41" t="str">
        <f aca="false">IF(D320="","",IFERROR(IF(ISNUMBER(SEARCH(Assumptions!$C$5,D320)),Assumptions!$D$5,IF(ISNUMBER(SEARCH(Assumptions!$C$6,D320)),Assumptions!$D$6,IF(ISNUMBER(SEARCH(Assumptions!$C$7,D320)),Assumptions!$D$7,"Other Services"))),"Other Services"))</f>
        <v/>
      </c>
    </row>
    <row r="321" customFormat="false" ht="15" hidden="false" customHeight="false" outlineLevel="0" collapsed="false">
      <c r="F321" s="41" t="str">
        <f aca="false">IF(D321="","",IFERROR(IF(ISNUMBER(SEARCH(Assumptions!$C$5,D321)),Assumptions!$D$5,IF(ISNUMBER(SEARCH(Assumptions!$C$6,D321)),Assumptions!$D$6,IF(ISNUMBER(SEARCH(Assumptions!$C$7,D321)),Assumptions!$D$7,"Other Services"))),"Other Services"))</f>
        <v/>
      </c>
    </row>
    <row r="322" customFormat="false" ht="15" hidden="false" customHeight="false" outlineLevel="0" collapsed="false">
      <c r="F322" s="41" t="str">
        <f aca="false">IF(D322="","",IFERROR(IF(ISNUMBER(SEARCH(Assumptions!$C$5,D322)),Assumptions!$D$5,IF(ISNUMBER(SEARCH(Assumptions!$C$6,D322)),Assumptions!$D$6,IF(ISNUMBER(SEARCH(Assumptions!$C$7,D322)),Assumptions!$D$7,"Other Services"))),"Other Services"))</f>
        <v/>
      </c>
    </row>
    <row r="323" customFormat="false" ht="15" hidden="false" customHeight="false" outlineLevel="0" collapsed="false">
      <c r="F323" s="41" t="str">
        <f aca="false">IF(D323="","",IFERROR(IF(ISNUMBER(SEARCH(Assumptions!$C$5,D323)),Assumptions!$D$5,IF(ISNUMBER(SEARCH(Assumptions!$C$6,D323)),Assumptions!$D$6,IF(ISNUMBER(SEARCH(Assumptions!$C$7,D323)),Assumptions!$D$7,"Other Services"))),"Other Services"))</f>
        <v/>
      </c>
    </row>
    <row r="324" customFormat="false" ht="15" hidden="false" customHeight="false" outlineLevel="0" collapsed="false">
      <c r="F324" s="41" t="str">
        <f aca="false">IF(D324="","",IFERROR(IF(ISNUMBER(SEARCH(Assumptions!$C$5,D324)),Assumptions!$D$5,IF(ISNUMBER(SEARCH(Assumptions!$C$6,D324)),Assumptions!$D$6,IF(ISNUMBER(SEARCH(Assumptions!$C$7,D324)),Assumptions!$D$7,"Other Services"))),"Other Services"))</f>
        <v/>
      </c>
    </row>
    <row r="325" customFormat="false" ht="15" hidden="false" customHeight="false" outlineLevel="0" collapsed="false">
      <c r="F325" s="41" t="str">
        <f aca="false">IF(D325="","",IFERROR(IF(ISNUMBER(SEARCH(Assumptions!$C$5,D325)),Assumptions!$D$5,IF(ISNUMBER(SEARCH(Assumptions!$C$6,D325)),Assumptions!$D$6,IF(ISNUMBER(SEARCH(Assumptions!$C$7,D325)),Assumptions!$D$7,"Other Services"))),"Other Services"))</f>
        <v/>
      </c>
    </row>
    <row r="326" customFormat="false" ht="15" hidden="false" customHeight="false" outlineLevel="0" collapsed="false">
      <c r="F326" s="41" t="str">
        <f aca="false">IF(D326="","",IFERROR(IF(ISNUMBER(SEARCH(Assumptions!$C$5,D326)),Assumptions!$D$5,IF(ISNUMBER(SEARCH(Assumptions!$C$6,D326)),Assumptions!$D$6,IF(ISNUMBER(SEARCH(Assumptions!$C$7,D326)),Assumptions!$D$7,"Other Services"))),"Other Services"))</f>
        <v/>
      </c>
    </row>
    <row r="327" customFormat="false" ht="15" hidden="false" customHeight="false" outlineLevel="0" collapsed="false">
      <c r="F327" s="41" t="str">
        <f aca="false">IF(D327="","",IFERROR(IF(ISNUMBER(SEARCH(Assumptions!$C$5,D327)),Assumptions!$D$5,IF(ISNUMBER(SEARCH(Assumptions!$C$6,D327)),Assumptions!$D$6,IF(ISNUMBER(SEARCH(Assumptions!$C$7,D327)),Assumptions!$D$7,"Other Services"))),"Other Services"))</f>
        <v/>
      </c>
    </row>
    <row r="328" customFormat="false" ht="15" hidden="false" customHeight="false" outlineLevel="0" collapsed="false">
      <c r="F328" s="41" t="str">
        <f aca="false">IF(D328="","",IFERROR(IF(ISNUMBER(SEARCH(Assumptions!$C$5,D328)),Assumptions!$D$5,IF(ISNUMBER(SEARCH(Assumptions!$C$6,D328)),Assumptions!$D$6,IF(ISNUMBER(SEARCH(Assumptions!$C$7,D328)),Assumptions!$D$7,"Other Services"))),"Other Services"))</f>
        <v/>
      </c>
    </row>
    <row r="329" customFormat="false" ht="15" hidden="false" customHeight="false" outlineLevel="0" collapsed="false">
      <c r="F329" s="41" t="str">
        <f aca="false">IF(D329="","",IFERROR(IF(ISNUMBER(SEARCH(Assumptions!$C$5,D329)),Assumptions!$D$5,IF(ISNUMBER(SEARCH(Assumptions!$C$6,D329)),Assumptions!$D$6,IF(ISNUMBER(SEARCH(Assumptions!$C$7,D329)),Assumptions!$D$7,"Other Services"))),"Other Services"))</f>
        <v/>
      </c>
    </row>
    <row r="330" customFormat="false" ht="15" hidden="false" customHeight="false" outlineLevel="0" collapsed="false">
      <c r="F330" s="41" t="str">
        <f aca="false">IF(D330="","",IFERROR(IF(ISNUMBER(SEARCH(Assumptions!$C$5,D330)),Assumptions!$D$5,IF(ISNUMBER(SEARCH(Assumptions!$C$6,D330)),Assumptions!$D$6,IF(ISNUMBER(SEARCH(Assumptions!$C$7,D330)),Assumptions!$D$7,"Other Services"))),"Other Services"))</f>
        <v/>
      </c>
    </row>
    <row r="331" customFormat="false" ht="15" hidden="false" customHeight="false" outlineLevel="0" collapsed="false">
      <c r="F331" s="41" t="str">
        <f aca="false">IF(D331="","",IFERROR(IF(ISNUMBER(SEARCH(Assumptions!$C$5,D331)),Assumptions!$D$5,IF(ISNUMBER(SEARCH(Assumptions!$C$6,D331)),Assumptions!$D$6,IF(ISNUMBER(SEARCH(Assumptions!$C$7,D331)),Assumptions!$D$7,"Other Services"))),"Other Services"))</f>
        <v/>
      </c>
    </row>
    <row r="332" customFormat="false" ht="15" hidden="false" customHeight="false" outlineLevel="0" collapsed="false">
      <c r="F332" s="41" t="str">
        <f aca="false">IF(D332="","",IFERROR(IF(ISNUMBER(SEARCH(Assumptions!$C$5,D332)),Assumptions!$D$5,IF(ISNUMBER(SEARCH(Assumptions!$C$6,D332)),Assumptions!$D$6,IF(ISNUMBER(SEARCH(Assumptions!$C$7,D332)),Assumptions!$D$7,"Other Services"))),"Other Services"))</f>
        <v/>
      </c>
    </row>
    <row r="333" customFormat="false" ht="15" hidden="false" customHeight="false" outlineLevel="0" collapsed="false">
      <c r="F333" s="41" t="str">
        <f aca="false">IF(D333="","",IFERROR(IF(ISNUMBER(SEARCH(Assumptions!$C$5,D333)),Assumptions!$D$5,IF(ISNUMBER(SEARCH(Assumptions!$C$6,D333)),Assumptions!$D$6,IF(ISNUMBER(SEARCH(Assumptions!$C$7,D333)),Assumptions!$D$7,"Other Services"))),"Other Services"))</f>
        <v/>
      </c>
    </row>
    <row r="334" customFormat="false" ht="15" hidden="false" customHeight="false" outlineLevel="0" collapsed="false">
      <c r="F334" s="41" t="str">
        <f aca="false">IF(D334="","",IFERROR(IF(ISNUMBER(SEARCH(Assumptions!$C$5,D334)),Assumptions!$D$5,IF(ISNUMBER(SEARCH(Assumptions!$C$6,D334)),Assumptions!$D$6,IF(ISNUMBER(SEARCH(Assumptions!$C$7,D334)),Assumptions!$D$7,"Other Services"))),"Other Services"))</f>
        <v/>
      </c>
    </row>
    <row r="335" customFormat="false" ht="15" hidden="false" customHeight="false" outlineLevel="0" collapsed="false">
      <c r="F335" s="41" t="str">
        <f aca="false">IF(D335="","",IFERROR(IF(ISNUMBER(SEARCH(Assumptions!$C$5,D335)),Assumptions!$D$5,IF(ISNUMBER(SEARCH(Assumptions!$C$6,D335)),Assumptions!$D$6,IF(ISNUMBER(SEARCH(Assumptions!$C$7,D335)),Assumptions!$D$7,"Other Services"))),"Other Services"))</f>
        <v/>
      </c>
    </row>
    <row r="336" customFormat="false" ht="15" hidden="false" customHeight="false" outlineLevel="0" collapsed="false">
      <c r="F336" s="41" t="str">
        <f aca="false">IF(D336="","",IFERROR(IF(ISNUMBER(SEARCH(Assumptions!$C$5,D336)),Assumptions!$D$5,IF(ISNUMBER(SEARCH(Assumptions!$C$6,D336)),Assumptions!$D$6,IF(ISNUMBER(SEARCH(Assumptions!$C$7,D336)),Assumptions!$D$7,"Other Services"))),"Other Services"))</f>
        <v/>
      </c>
    </row>
    <row r="337" customFormat="false" ht="15" hidden="false" customHeight="false" outlineLevel="0" collapsed="false">
      <c r="F337" s="41" t="str">
        <f aca="false">IF(D337="","",IFERROR(IF(ISNUMBER(SEARCH(Assumptions!$C$5,D337)),Assumptions!$D$5,IF(ISNUMBER(SEARCH(Assumptions!$C$6,D337)),Assumptions!$D$6,IF(ISNUMBER(SEARCH(Assumptions!$C$7,D337)),Assumptions!$D$7,"Other Services"))),"Other Services"))</f>
        <v/>
      </c>
    </row>
    <row r="338" customFormat="false" ht="15" hidden="false" customHeight="false" outlineLevel="0" collapsed="false">
      <c r="F338" s="41" t="str">
        <f aca="false">IF(D338="","",IFERROR(IF(ISNUMBER(SEARCH(Assumptions!$C$5,D338)),Assumptions!$D$5,IF(ISNUMBER(SEARCH(Assumptions!$C$6,D338)),Assumptions!$D$6,IF(ISNUMBER(SEARCH(Assumptions!$C$7,D338)),Assumptions!$D$7,"Other Services"))),"Other Services"))</f>
        <v/>
      </c>
    </row>
    <row r="339" customFormat="false" ht="15" hidden="false" customHeight="false" outlineLevel="0" collapsed="false">
      <c r="F339" s="41" t="str">
        <f aca="false">IF(D339="","",IFERROR(IF(ISNUMBER(SEARCH(Assumptions!$C$5,D339)),Assumptions!$D$5,IF(ISNUMBER(SEARCH(Assumptions!$C$6,D339)),Assumptions!$D$6,IF(ISNUMBER(SEARCH(Assumptions!$C$7,D339)),Assumptions!$D$7,"Other Services"))),"Other Services"))</f>
        <v/>
      </c>
    </row>
    <row r="340" customFormat="false" ht="15" hidden="false" customHeight="false" outlineLevel="0" collapsed="false">
      <c r="F340" s="41" t="str">
        <f aca="false">IF(D340="","",IFERROR(IF(ISNUMBER(SEARCH(Assumptions!$C$5,D340)),Assumptions!$D$5,IF(ISNUMBER(SEARCH(Assumptions!$C$6,D340)),Assumptions!$D$6,IF(ISNUMBER(SEARCH(Assumptions!$C$7,D340)),Assumptions!$D$7,"Other Services"))),"Other Services"))</f>
        <v/>
      </c>
    </row>
    <row r="341" customFormat="false" ht="15" hidden="false" customHeight="false" outlineLevel="0" collapsed="false">
      <c r="F341" s="41" t="str">
        <f aca="false">IF(D341="","",IFERROR(IF(ISNUMBER(SEARCH(Assumptions!$C$5,D341)),Assumptions!$D$5,IF(ISNUMBER(SEARCH(Assumptions!$C$6,D341)),Assumptions!$D$6,IF(ISNUMBER(SEARCH(Assumptions!$C$7,D341)),Assumptions!$D$7,"Other Services"))),"Other Services"))</f>
        <v/>
      </c>
    </row>
    <row r="342" customFormat="false" ht="15" hidden="false" customHeight="false" outlineLevel="0" collapsed="false">
      <c r="F342" s="41" t="str">
        <f aca="false">IF(D342="","",IFERROR(IF(ISNUMBER(SEARCH(Assumptions!$C$5,D342)),Assumptions!$D$5,IF(ISNUMBER(SEARCH(Assumptions!$C$6,D342)),Assumptions!$D$6,IF(ISNUMBER(SEARCH(Assumptions!$C$7,D342)),Assumptions!$D$7,"Other Services"))),"Other Services"))</f>
        <v/>
      </c>
    </row>
    <row r="343" customFormat="false" ht="15" hidden="false" customHeight="false" outlineLevel="0" collapsed="false">
      <c r="F343" s="41" t="str">
        <f aca="false">IF(D343="","",IFERROR(IF(ISNUMBER(SEARCH(Assumptions!$C$5,D343)),Assumptions!$D$5,IF(ISNUMBER(SEARCH(Assumptions!$C$6,D343)),Assumptions!$D$6,IF(ISNUMBER(SEARCH(Assumptions!$C$7,D343)),Assumptions!$D$7,"Other Services"))),"Other Services"))</f>
        <v/>
      </c>
    </row>
    <row r="344" customFormat="false" ht="15" hidden="false" customHeight="false" outlineLevel="0" collapsed="false">
      <c r="F344" s="41" t="str">
        <f aca="false">IF(D344="","",IFERROR(IF(ISNUMBER(SEARCH(Assumptions!$C$5,D344)),Assumptions!$D$5,IF(ISNUMBER(SEARCH(Assumptions!$C$6,D344)),Assumptions!$D$6,IF(ISNUMBER(SEARCH(Assumptions!$C$7,D344)),Assumptions!$D$7,"Other Services"))),"Other Services"))</f>
        <v/>
      </c>
    </row>
    <row r="345" customFormat="false" ht="15" hidden="false" customHeight="false" outlineLevel="0" collapsed="false">
      <c r="F345" s="41" t="str">
        <f aca="false">IF(D345="","",IFERROR(IF(ISNUMBER(SEARCH(Assumptions!$C$5,D345)),Assumptions!$D$5,IF(ISNUMBER(SEARCH(Assumptions!$C$6,D345)),Assumptions!$D$6,IF(ISNUMBER(SEARCH(Assumptions!$C$7,D345)),Assumptions!$D$7,"Other Services"))),"Other Services"))</f>
        <v/>
      </c>
    </row>
    <row r="346" customFormat="false" ht="15" hidden="false" customHeight="false" outlineLevel="0" collapsed="false">
      <c r="F346" s="41" t="str">
        <f aca="false">IF(D346="","",IFERROR(IF(ISNUMBER(SEARCH(Assumptions!$C$5,D346)),Assumptions!$D$5,IF(ISNUMBER(SEARCH(Assumptions!$C$6,D346)),Assumptions!$D$6,IF(ISNUMBER(SEARCH(Assumptions!$C$7,D346)),Assumptions!$D$7,"Other Services"))),"Other Services"))</f>
        <v/>
      </c>
    </row>
    <row r="347" customFormat="false" ht="15" hidden="false" customHeight="false" outlineLevel="0" collapsed="false">
      <c r="F347" s="41" t="str">
        <f aca="false">IF(D347="","",IFERROR(IF(ISNUMBER(SEARCH(Assumptions!$C$5,D347)),Assumptions!$D$5,IF(ISNUMBER(SEARCH(Assumptions!$C$6,D347)),Assumptions!$D$6,IF(ISNUMBER(SEARCH(Assumptions!$C$7,D347)),Assumptions!$D$7,"Other Services"))),"Other Services"))</f>
        <v/>
      </c>
    </row>
    <row r="348" customFormat="false" ht="15" hidden="false" customHeight="false" outlineLevel="0" collapsed="false">
      <c r="F348" s="41" t="str">
        <f aca="false">IF(D348="","",IFERROR(IF(ISNUMBER(SEARCH(Assumptions!$C$5,D348)),Assumptions!$D$5,IF(ISNUMBER(SEARCH(Assumptions!$C$6,D348)),Assumptions!$D$6,IF(ISNUMBER(SEARCH(Assumptions!$C$7,D348)),Assumptions!$D$7,"Other Services"))),"Other Services"))</f>
        <v/>
      </c>
    </row>
    <row r="349" customFormat="false" ht="15" hidden="false" customHeight="false" outlineLevel="0" collapsed="false">
      <c r="F349" s="41" t="str">
        <f aca="false">IF(D349="","",IFERROR(IF(ISNUMBER(SEARCH(Assumptions!$C$5,D349)),Assumptions!$D$5,IF(ISNUMBER(SEARCH(Assumptions!$C$6,D349)),Assumptions!$D$6,IF(ISNUMBER(SEARCH(Assumptions!$C$7,D349)),Assumptions!$D$7,"Other Services"))),"Other Services"))</f>
        <v/>
      </c>
    </row>
    <row r="350" customFormat="false" ht="15" hidden="false" customHeight="false" outlineLevel="0" collapsed="false">
      <c r="F350" s="41" t="str">
        <f aca="false">IF(D350="","",IFERROR(IF(ISNUMBER(SEARCH(Assumptions!$C$5,D350)),Assumptions!$D$5,IF(ISNUMBER(SEARCH(Assumptions!$C$6,D350)),Assumptions!$D$6,IF(ISNUMBER(SEARCH(Assumptions!$C$7,D350)),Assumptions!$D$7,"Other Services"))),"Other Services"))</f>
        <v/>
      </c>
    </row>
    <row r="351" customFormat="false" ht="15" hidden="false" customHeight="false" outlineLevel="0" collapsed="false">
      <c r="F351" s="41" t="str">
        <f aca="false">IF(D351="","",IFERROR(IF(ISNUMBER(SEARCH(Assumptions!$C$5,D351)),Assumptions!$D$5,IF(ISNUMBER(SEARCH(Assumptions!$C$6,D351)),Assumptions!$D$6,IF(ISNUMBER(SEARCH(Assumptions!$C$7,D351)),Assumptions!$D$7,"Other Services"))),"Other Services"))</f>
        <v/>
      </c>
    </row>
    <row r="352" customFormat="false" ht="15" hidden="false" customHeight="false" outlineLevel="0" collapsed="false">
      <c r="F352" s="41" t="str">
        <f aca="false">IF(D352="","",IFERROR(IF(ISNUMBER(SEARCH(Assumptions!$C$5,D352)),Assumptions!$D$5,IF(ISNUMBER(SEARCH(Assumptions!$C$6,D352)),Assumptions!$D$6,IF(ISNUMBER(SEARCH(Assumptions!$C$7,D352)),Assumptions!$D$7,"Other Services"))),"Other Services"))</f>
        <v/>
      </c>
    </row>
    <row r="353" customFormat="false" ht="15" hidden="false" customHeight="false" outlineLevel="0" collapsed="false">
      <c r="F353" s="41" t="str">
        <f aca="false">IF(D353="","",IFERROR(IF(ISNUMBER(SEARCH(Assumptions!$C$5,D353)),Assumptions!$D$5,IF(ISNUMBER(SEARCH(Assumptions!$C$6,D353)),Assumptions!$D$6,IF(ISNUMBER(SEARCH(Assumptions!$C$7,D353)),Assumptions!$D$7,"Other Services"))),"Other Services"))</f>
        <v/>
      </c>
    </row>
    <row r="354" customFormat="false" ht="15" hidden="false" customHeight="false" outlineLevel="0" collapsed="false">
      <c r="F354" s="41" t="str">
        <f aca="false">IF(D354="","",IFERROR(IF(ISNUMBER(SEARCH(Assumptions!$C$5,D354)),Assumptions!$D$5,IF(ISNUMBER(SEARCH(Assumptions!$C$6,D354)),Assumptions!$D$6,IF(ISNUMBER(SEARCH(Assumptions!$C$7,D354)),Assumptions!$D$7,"Other Services"))),"Other Services"))</f>
        <v/>
      </c>
    </row>
    <row r="355" customFormat="false" ht="15" hidden="false" customHeight="false" outlineLevel="0" collapsed="false">
      <c r="F355" s="41" t="str">
        <f aca="false">IF(D355="","",IFERROR(IF(ISNUMBER(SEARCH(Assumptions!$C$5,D355)),Assumptions!$D$5,IF(ISNUMBER(SEARCH(Assumptions!$C$6,D355)),Assumptions!$D$6,IF(ISNUMBER(SEARCH(Assumptions!$C$7,D355)),Assumptions!$D$7,"Other Services"))),"Other Services"))</f>
        <v/>
      </c>
    </row>
    <row r="356" customFormat="false" ht="15" hidden="false" customHeight="false" outlineLevel="0" collapsed="false">
      <c r="F356" s="41" t="str">
        <f aca="false">IF(D356="","",IFERROR(IF(ISNUMBER(SEARCH(Assumptions!$C$5,D356)),Assumptions!$D$5,IF(ISNUMBER(SEARCH(Assumptions!$C$6,D356)),Assumptions!$D$6,IF(ISNUMBER(SEARCH(Assumptions!$C$7,D356)),Assumptions!$D$7,"Other Services"))),"Other Services"))</f>
        <v/>
      </c>
    </row>
    <row r="357" customFormat="false" ht="15" hidden="false" customHeight="false" outlineLevel="0" collapsed="false">
      <c r="F357" s="41" t="str">
        <f aca="false">IF(D357="","",IFERROR(IF(ISNUMBER(SEARCH(Assumptions!$C$5,D357)),Assumptions!$D$5,IF(ISNUMBER(SEARCH(Assumptions!$C$6,D357)),Assumptions!$D$6,IF(ISNUMBER(SEARCH(Assumptions!$C$7,D357)),Assumptions!$D$7,"Other Services"))),"Other Services"))</f>
        <v/>
      </c>
    </row>
    <row r="358" customFormat="false" ht="15" hidden="false" customHeight="false" outlineLevel="0" collapsed="false">
      <c r="F358" s="41" t="str">
        <f aca="false">IF(D358="","",IFERROR(IF(ISNUMBER(SEARCH(Assumptions!$C$5,D358)),Assumptions!$D$5,IF(ISNUMBER(SEARCH(Assumptions!$C$6,D358)),Assumptions!$D$6,IF(ISNUMBER(SEARCH(Assumptions!$C$7,D358)),Assumptions!$D$7,"Other Services"))),"Other Services"))</f>
        <v/>
      </c>
    </row>
    <row r="359" customFormat="false" ht="15" hidden="false" customHeight="false" outlineLevel="0" collapsed="false">
      <c r="F359" s="41" t="str">
        <f aca="false">IF(D359="","",IFERROR(IF(ISNUMBER(SEARCH(Assumptions!$C$5,D359)),Assumptions!$D$5,IF(ISNUMBER(SEARCH(Assumptions!$C$6,D359)),Assumptions!$D$6,IF(ISNUMBER(SEARCH(Assumptions!$C$7,D359)),Assumptions!$D$7,"Other Services"))),"Other Services"))</f>
        <v/>
      </c>
    </row>
    <row r="360" customFormat="false" ht="15" hidden="false" customHeight="false" outlineLevel="0" collapsed="false">
      <c r="F360" s="41" t="str">
        <f aca="false">IF(D360="","",IFERROR(IF(ISNUMBER(SEARCH(Assumptions!$C$5,D360)),Assumptions!$D$5,IF(ISNUMBER(SEARCH(Assumptions!$C$6,D360)),Assumptions!$D$6,IF(ISNUMBER(SEARCH(Assumptions!$C$7,D360)),Assumptions!$D$7,"Other Services"))),"Other Services"))</f>
        <v/>
      </c>
    </row>
    <row r="361" customFormat="false" ht="15" hidden="false" customHeight="false" outlineLevel="0" collapsed="false">
      <c r="F361" s="41" t="str">
        <f aca="false">IF(D361="","",IFERROR(IF(ISNUMBER(SEARCH(Assumptions!$C$5,D361)),Assumptions!$D$5,IF(ISNUMBER(SEARCH(Assumptions!$C$6,D361)),Assumptions!$D$6,IF(ISNUMBER(SEARCH(Assumptions!$C$7,D361)),Assumptions!$D$7,"Other Services"))),"Other Services"))</f>
        <v/>
      </c>
    </row>
    <row r="362" customFormat="false" ht="15" hidden="false" customHeight="false" outlineLevel="0" collapsed="false">
      <c r="F362" s="41" t="str">
        <f aca="false">IF(D362="","",IFERROR(IF(ISNUMBER(SEARCH(Assumptions!$C$5,D362)),Assumptions!$D$5,IF(ISNUMBER(SEARCH(Assumptions!$C$6,D362)),Assumptions!$D$6,IF(ISNUMBER(SEARCH(Assumptions!$C$7,D362)),Assumptions!$D$7,"Other Services"))),"Other Services"))</f>
        <v/>
      </c>
    </row>
    <row r="363" customFormat="false" ht="15" hidden="false" customHeight="false" outlineLevel="0" collapsed="false">
      <c r="F363" s="41" t="str">
        <f aca="false">IF(D363="","",IFERROR(IF(ISNUMBER(SEARCH(Assumptions!$C$5,D363)),Assumptions!$D$5,IF(ISNUMBER(SEARCH(Assumptions!$C$6,D363)),Assumptions!$D$6,IF(ISNUMBER(SEARCH(Assumptions!$C$7,D363)),Assumptions!$D$7,"Other Services"))),"Other Services"))</f>
        <v/>
      </c>
    </row>
    <row r="364" customFormat="false" ht="15" hidden="false" customHeight="false" outlineLevel="0" collapsed="false">
      <c r="F364" s="41" t="str">
        <f aca="false">IF(D364="","",IFERROR(IF(ISNUMBER(SEARCH(Assumptions!$C$5,D364)),Assumptions!$D$5,IF(ISNUMBER(SEARCH(Assumptions!$C$6,D364)),Assumptions!$D$6,IF(ISNUMBER(SEARCH(Assumptions!$C$7,D364)),Assumptions!$D$7,"Other Services"))),"Other Services"))</f>
        <v/>
      </c>
    </row>
    <row r="365" customFormat="false" ht="15" hidden="false" customHeight="false" outlineLevel="0" collapsed="false">
      <c r="F365" s="41" t="str">
        <f aca="false">IF(D365="","",IFERROR(IF(ISNUMBER(SEARCH(Assumptions!$C$5,D365)),Assumptions!$D$5,IF(ISNUMBER(SEARCH(Assumptions!$C$6,D365)),Assumptions!$D$6,IF(ISNUMBER(SEARCH(Assumptions!$C$7,D365)),Assumptions!$D$7,"Other Services"))),"Other Services"))</f>
        <v/>
      </c>
    </row>
    <row r="366" customFormat="false" ht="15" hidden="false" customHeight="false" outlineLevel="0" collapsed="false">
      <c r="F366" s="41" t="str">
        <f aca="false">IF(D366="","",IFERROR(IF(ISNUMBER(SEARCH(Assumptions!$C$5,D366)),Assumptions!$D$5,IF(ISNUMBER(SEARCH(Assumptions!$C$6,D366)),Assumptions!$D$6,IF(ISNUMBER(SEARCH(Assumptions!$C$7,D366)),Assumptions!$D$7,"Other Services"))),"Other Services"))</f>
        <v/>
      </c>
    </row>
    <row r="367" customFormat="false" ht="15" hidden="false" customHeight="false" outlineLevel="0" collapsed="false">
      <c r="F367" s="41" t="str">
        <f aca="false">IF(D367="","",IFERROR(IF(ISNUMBER(SEARCH(Assumptions!$C$5,D367)),Assumptions!$D$5,IF(ISNUMBER(SEARCH(Assumptions!$C$6,D367)),Assumptions!$D$6,IF(ISNUMBER(SEARCH(Assumptions!$C$7,D367)),Assumptions!$D$7,"Other Services"))),"Other Services"))</f>
        <v/>
      </c>
    </row>
    <row r="368" customFormat="false" ht="15" hidden="false" customHeight="false" outlineLevel="0" collapsed="false">
      <c r="F368" s="41" t="str">
        <f aca="false">IF(D368="","",IFERROR(IF(ISNUMBER(SEARCH(Assumptions!$C$5,D368)),Assumptions!$D$5,IF(ISNUMBER(SEARCH(Assumptions!$C$6,D368)),Assumptions!$D$6,IF(ISNUMBER(SEARCH(Assumptions!$C$7,D368)),Assumptions!$D$7,"Other Services"))),"Other Services"))</f>
        <v/>
      </c>
    </row>
    <row r="369" customFormat="false" ht="15" hidden="false" customHeight="false" outlineLevel="0" collapsed="false">
      <c r="F369" s="41" t="str">
        <f aca="false">IF(D369="","",IFERROR(IF(ISNUMBER(SEARCH(Assumptions!$C$5,D369)),Assumptions!$D$5,IF(ISNUMBER(SEARCH(Assumptions!$C$6,D369)),Assumptions!$D$6,IF(ISNUMBER(SEARCH(Assumptions!$C$7,D369)),Assumptions!$D$7,"Other Services"))),"Other Services"))</f>
        <v/>
      </c>
    </row>
    <row r="370" customFormat="false" ht="15" hidden="false" customHeight="false" outlineLevel="0" collapsed="false">
      <c r="F370" s="41" t="str">
        <f aca="false">IF(D370="","",IFERROR(IF(ISNUMBER(SEARCH(Assumptions!$C$5,D370)),Assumptions!$D$5,IF(ISNUMBER(SEARCH(Assumptions!$C$6,D370)),Assumptions!$D$6,IF(ISNUMBER(SEARCH(Assumptions!$C$7,D370)),Assumptions!$D$7,"Other Services"))),"Other Services"))</f>
        <v/>
      </c>
    </row>
    <row r="371" customFormat="false" ht="15" hidden="false" customHeight="false" outlineLevel="0" collapsed="false">
      <c r="F371" s="41" t="str">
        <f aca="false">IF(D371="","",IFERROR(IF(ISNUMBER(SEARCH(Assumptions!$C$5,D371)),Assumptions!$D$5,IF(ISNUMBER(SEARCH(Assumptions!$C$6,D371)),Assumptions!$D$6,IF(ISNUMBER(SEARCH(Assumptions!$C$7,D371)),Assumptions!$D$7,"Other Services"))),"Other Services"))</f>
        <v/>
      </c>
    </row>
    <row r="372" customFormat="false" ht="15" hidden="false" customHeight="false" outlineLevel="0" collapsed="false">
      <c r="F372" s="41" t="str">
        <f aca="false">IF(D372="","",IFERROR(IF(ISNUMBER(SEARCH(Assumptions!$C$5,D372)),Assumptions!$D$5,IF(ISNUMBER(SEARCH(Assumptions!$C$6,D372)),Assumptions!$D$6,IF(ISNUMBER(SEARCH(Assumptions!$C$7,D372)),Assumptions!$D$7,"Other Services"))),"Other Services"))</f>
        <v/>
      </c>
    </row>
    <row r="373" customFormat="false" ht="15" hidden="false" customHeight="false" outlineLevel="0" collapsed="false">
      <c r="F373" s="41" t="str">
        <f aca="false">IF(D373="","",IFERROR(IF(ISNUMBER(SEARCH(Assumptions!$C$5,D373)),Assumptions!$D$5,IF(ISNUMBER(SEARCH(Assumptions!$C$6,D373)),Assumptions!$D$6,IF(ISNUMBER(SEARCH(Assumptions!$C$7,D373)),Assumptions!$D$7,"Other Services"))),"Other Services"))</f>
        <v/>
      </c>
    </row>
    <row r="374" customFormat="false" ht="15" hidden="false" customHeight="false" outlineLevel="0" collapsed="false">
      <c r="F374" s="41" t="str">
        <f aca="false">IF(D374="","",IFERROR(IF(ISNUMBER(SEARCH(Assumptions!$C$5,D374)),Assumptions!$D$5,IF(ISNUMBER(SEARCH(Assumptions!$C$6,D374)),Assumptions!$D$6,IF(ISNUMBER(SEARCH(Assumptions!$C$7,D374)),Assumptions!$D$7,"Other Services"))),"Other Services"))</f>
        <v/>
      </c>
    </row>
    <row r="375" customFormat="false" ht="15" hidden="false" customHeight="false" outlineLevel="0" collapsed="false">
      <c r="F375" s="41" t="str">
        <f aca="false">IF(D375="","",IFERROR(IF(ISNUMBER(SEARCH(Assumptions!$C$5,D375)),Assumptions!$D$5,IF(ISNUMBER(SEARCH(Assumptions!$C$6,D375)),Assumptions!$D$6,IF(ISNUMBER(SEARCH(Assumptions!$C$7,D375)),Assumptions!$D$7,"Other Services"))),"Other Services"))</f>
        <v/>
      </c>
    </row>
    <row r="376" customFormat="false" ht="15" hidden="false" customHeight="false" outlineLevel="0" collapsed="false">
      <c r="F376" s="41" t="str">
        <f aca="false">IF(D376="","",IFERROR(IF(ISNUMBER(SEARCH(Assumptions!$C$5,D376)),Assumptions!$D$5,IF(ISNUMBER(SEARCH(Assumptions!$C$6,D376)),Assumptions!$D$6,IF(ISNUMBER(SEARCH(Assumptions!$C$7,D376)),Assumptions!$D$7,"Other Services"))),"Other Services"))</f>
        <v/>
      </c>
    </row>
    <row r="377" customFormat="false" ht="15" hidden="false" customHeight="false" outlineLevel="0" collapsed="false">
      <c r="F377" s="41" t="str">
        <f aca="false">IF(D377="","",IFERROR(IF(ISNUMBER(SEARCH(Assumptions!$C$5,D377)),Assumptions!$D$5,IF(ISNUMBER(SEARCH(Assumptions!$C$6,D377)),Assumptions!$D$6,IF(ISNUMBER(SEARCH(Assumptions!$C$7,D377)),Assumptions!$D$7,"Other Services"))),"Other Services"))</f>
        <v/>
      </c>
    </row>
    <row r="378" customFormat="false" ht="15" hidden="false" customHeight="false" outlineLevel="0" collapsed="false">
      <c r="F378" s="41" t="str">
        <f aca="false">IF(D378="","",IFERROR(IF(ISNUMBER(SEARCH(Assumptions!$C$5,D378)),Assumptions!$D$5,IF(ISNUMBER(SEARCH(Assumptions!$C$6,D378)),Assumptions!$D$6,IF(ISNUMBER(SEARCH(Assumptions!$C$7,D378)),Assumptions!$D$7,"Other Services"))),"Other Services"))</f>
        <v/>
      </c>
    </row>
    <row r="379" customFormat="false" ht="15" hidden="false" customHeight="false" outlineLevel="0" collapsed="false">
      <c r="F379" s="41" t="str">
        <f aca="false">IF(D379="","",IFERROR(IF(ISNUMBER(SEARCH(Assumptions!$C$5,D379)),Assumptions!$D$5,IF(ISNUMBER(SEARCH(Assumptions!$C$6,D379)),Assumptions!$D$6,IF(ISNUMBER(SEARCH(Assumptions!$C$7,D379)),Assumptions!$D$7,"Other Services"))),"Other Services"))</f>
        <v/>
      </c>
    </row>
    <row r="380" customFormat="false" ht="15" hidden="false" customHeight="false" outlineLevel="0" collapsed="false">
      <c r="F380" s="41" t="str">
        <f aca="false">IF(D380="","",IFERROR(IF(ISNUMBER(SEARCH(Assumptions!$C$5,D380)),Assumptions!$D$5,IF(ISNUMBER(SEARCH(Assumptions!$C$6,D380)),Assumptions!$D$6,IF(ISNUMBER(SEARCH(Assumptions!$C$7,D380)),Assumptions!$D$7,"Other Services"))),"Other Services"))</f>
        <v/>
      </c>
    </row>
    <row r="381" customFormat="false" ht="15" hidden="false" customHeight="false" outlineLevel="0" collapsed="false">
      <c r="F381" s="41" t="str">
        <f aca="false">IF(D381="","",IFERROR(IF(ISNUMBER(SEARCH(Assumptions!$C$5,D381)),Assumptions!$D$5,IF(ISNUMBER(SEARCH(Assumptions!$C$6,D381)),Assumptions!$D$6,IF(ISNUMBER(SEARCH(Assumptions!$C$7,D381)),Assumptions!$D$7,"Other Services"))),"Other Services"))</f>
        <v/>
      </c>
    </row>
    <row r="382" customFormat="false" ht="15" hidden="false" customHeight="false" outlineLevel="0" collapsed="false">
      <c r="F382" s="41" t="str">
        <f aca="false">IF(D382="","",IFERROR(IF(ISNUMBER(SEARCH(Assumptions!$C$5,D382)),Assumptions!$D$5,IF(ISNUMBER(SEARCH(Assumptions!$C$6,D382)),Assumptions!$D$6,IF(ISNUMBER(SEARCH(Assumptions!$C$7,D382)),Assumptions!$D$7,"Other Services"))),"Other Services"))</f>
        <v/>
      </c>
    </row>
    <row r="383" customFormat="false" ht="15" hidden="false" customHeight="false" outlineLevel="0" collapsed="false">
      <c r="F383" s="41" t="str">
        <f aca="false">IF(D383="","",IFERROR(IF(ISNUMBER(SEARCH(Assumptions!$C$5,D383)),Assumptions!$D$5,IF(ISNUMBER(SEARCH(Assumptions!$C$6,D383)),Assumptions!$D$6,IF(ISNUMBER(SEARCH(Assumptions!$C$7,D383)),Assumptions!$D$7,"Other Services"))),"Other Services"))</f>
        <v/>
      </c>
    </row>
    <row r="384" customFormat="false" ht="15" hidden="false" customHeight="false" outlineLevel="0" collapsed="false">
      <c r="F384" s="41" t="str">
        <f aca="false">IF(D384="","",IFERROR(IF(ISNUMBER(SEARCH(Assumptions!$C$5,D384)),Assumptions!$D$5,IF(ISNUMBER(SEARCH(Assumptions!$C$6,D384)),Assumptions!$D$6,IF(ISNUMBER(SEARCH(Assumptions!$C$7,D384)),Assumptions!$D$7,"Other Services"))),"Other Services"))</f>
        <v/>
      </c>
    </row>
    <row r="385" customFormat="false" ht="15" hidden="false" customHeight="false" outlineLevel="0" collapsed="false">
      <c r="F385" s="41" t="str">
        <f aca="false">IF(D385="","",IFERROR(IF(ISNUMBER(SEARCH(Assumptions!$C$5,D385)),Assumptions!$D$5,IF(ISNUMBER(SEARCH(Assumptions!$C$6,D385)),Assumptions!$D$6,IF(ISNUMBER(SEARCH(Assumptions!$C$7,D385)),Assumptions!$D$7,"Other Services"))),"Other Services"))</f>
        <v/>
      </c>
    </row>
    <row r="386" customFormat="false" ht="15" hidden="false" customHeight="false" outlineLevel="0" collapsed="false">
      <c r="F386" s="41" t="str">
        <f aca="false">IF(D386="","",IFERROR(IF(ISNUMBER(SEARCH(Assumptions!$C$5,D386)),Assumptions!$D$5,IF(ISNUMBER(SEARCH(Assumptions!$C$6,D386)),Assumptions!$D$6,IF(ISNUMBER(SEARCH(Assumptions!$C$7,D386)),Assumptions!$D$7,"Other Services"))),"Other Services"))</f>
        <v/>
      </c>
    </row>
    <row r="387" customFormat="false" ht="15" hidden="false" customHeight="false" outlineLevel="0" collapsed="false">
      <c r="F387" s="41" t="str">
        <f aca="false">IF(D387="","",IFERROR(IF(ISNUMBER(SEARCH(Assumptions!$C$5,D387)),Assumptions!$D$5,IF(ISNUMBER(SEARCH(Assumptions!$C$6,D387)),Assumptions!$D$6,IF(ISNUMBER(SEARCH(Assumptions!$C$7,D387)),Assumptions!$D$7,"Other Services"))),"Other Services"))</f>
        <v/>
      </c>
    </row>
    <row r="388" customFormat="false" ht="15" hidden="false" customHeight="false" outlineLevel="0" collapsed="false">
      <c r="F388" s="41" t="str">
        <f aca="false">IF(D388="","",IFERROR(IF(ISNUMBER(SEARCH(Assumptions!$C$5,D388)),Assumptions!$D$5,IF(ISNUMBER(SEARCH(Assumptions!$C$6,D388)),Assumptions!$D$6,IF(ISNUMBER(SEARCH(Assumptions!$C$7,D388)),Assumptions!$D$7,"Other Services"))),"Other Services"))</f>
        <v/>
      </c>
    </row>
    <row r="389" customFormat="false" ht="15" hidden="false" customHeight="false" outlineLevel="0" collapsed="false">
      <c r="F389" s="41" t="str">
        <f aca="false">IF(D389="","",IFERROR(IF(ISNUMBER(SEARCH(Assumptions!$C$5,D389)),Assumptions!$D$5,IF(ISNUMBER(SEARCH(Assumptions!$C$6,D389)),Assumptions!$D$6,IF(ISNUMBER(SEARCH(Assumptions!$C$7,D389)),Assumptions!$D$7,"Other Services"))),"Other Services"))</f>
        <v/>
      </c>
    </row>
    <row r="390" customFormat="false" ht="15" hidden="false" customHeight="false" outlineLevel="0" collapsed="false">
      <c r="F390" s="41" t="str">
        <f aca="false">IF(D390="","",IFERROR(IF(ISNUMBER(SEARCH(Assumptions!$C$5,D390)),Assumptions!$D$5,IF(ISNUMBER(SEARCH(Assumptions!$C$6,D390)),Assumptions!$D$6,IF(ISNUMBER(SEARCH(Assumptions!$C$7,D390)),Assumptions!$D$7,"Other Services"))),"Other Services"))</f>
        <v/>
      </c>
    </row>
    <row r="391" customFormat="false" ht="15" hidden="false" customHeight="false" outlineLevel="0" collapsed="false">
      <c r="F391" s="41" t="str">
        <f aca="false">IF(D391="","",IFERROR(IF(ISNUMBER(SEARCH(Assumptions!$C$5,D391)),Assumptions!$D$5,IF(ISNUMBER(SEARCH(Assumptions!$C$6,D391)),Assumptions!$D$6,IF(ISNUMBER(SEARCH(Assumptions!$C$7,D391)),Assumptions!$D$7,"Other Services"))),"Other Services"))</f>
        <v/>
      </c>
    </row>
    <row r="392" customFormat="false" ht="15" hidden="false" customHeight="false" outlineLevel="0" collapsed="false">
      <c r="F392" s="41" t="str">
        <f aca="false">IF(D392="","",IFERROR(IF(ISNUMBER(SEARCH(Assumptions!$C$5,D392)),Assumptions!$D$5,IF(ISNUMBER(SEARCH(Assumptions!$C$6,D392)),Assumptions!$D$6,IF(ISNUMBER(SEARCH(Assumptions!$C$7,D392)),Assumptions!$D$7,"Other Services"))),"Other Services"))</f>
        <v/>
      </c>
    </row>
    <row r="393" customFormat="false" ht="15" hidden="false" customHeight="false" outlineLevel="0" collapsed="false">
      <c r="F393" s="41" t="str">
        <f aca="false">IF(D393="","",IFERROR(IF(ISNUMBER(SEARCH(Assumptions!$C$5,D393)),Assumptions!$D$5,IF(ISNUMBER(SEARCH(Assumptions!$C$6,D393)),Assumptions!$D$6,IF(ISNUMBER(SEARCH(Assumptions!$C$7,D393)),Assumptions!$D$7,"Other Services"))),"Other Services"))</f>
        <v/>
      </c>
    </row>
    <row r="394" customFormat="false" ht="15" hidden="false" customHeight="false" outlineLevel="0" collapsed="false">
      <c r="F394" s="41" t="str">
        <f aca="false">IF(D394="","",IFERROR(IF(ISNUMBER(SEARCH(Assumptions!$C$5,D394)),Assumptions!$D$5,IF(ISNUMBER(SEARCH(Assumptions!$C$6,D394)),Assumptions!$D$6,IF(ISNUMBER(SEARCH(Assumptions!$C$7,D394)),Assumptions!$D$7,"Other Services"))),"Other Services"))</f>
        <v/>
      </c>
    </row>
    <row r="395" customFormat="false" ht="15" hidden="false" customHeight="false" outlineLevel="0" collapsed="false">
      <c r="F395" s="41" t="str">
        <f aca="false">IF(D395="","",IFERROR(IF(ISNUMBER(SEARCH(Assumptions!$C$5,D395)),Assumptions!$D$5,IF(ISNUMBER(SEARCH(Assumptions!$C$6,D395)),Assumptions!$D$6,IF(ISNUMBER(SEARCH(Assumptions!$C$7,D395)),Assumptions!$D$7,"Other Services"))),"Other Services"))</f>
        <v/>
      </c>
    </row>
    <row r="396" customFormat="false" ht="15" hidden="false" customHeight="false" outlineLevel="0" collapsed="false">
      <c r="F396" s="41" t="str">
        <f aca="false">IF(D396="","",IFERROR(IF(ISNUMBER(SEARCH(Assumptions!$C$5,D396)),Assumptions!$D$5,IF(ISNUMBER(SEARCH(Assumptions!$C$6,D396)),Assumptions!$D$6,IF(ISNUMBER(SEARCH(Assumptions!$C$7,D396)),Assumptions!$D$7,"Other Services"))),"Other Services"))</f>
        <v/>
      </c>
    </row>
    <row r="397" customFormat="false" ht="15" hidden="false" customHeight="false" outlineLevel="0" collapsed="false">
      <c r="F397" s="41" t="str">
        <f aca="false">IF(D397="","",IFERROR(IF(ISNUMBER(SEARCH(Assumptions!$C$5,D397)),Assumptions!$D$5,IF(ISNUMBER(SEARCH(Assumptions!$C$6,D397)),Assumptions!$D$6,IF(ISNUMBER(SEARCH(Assumptions!$C$7,D397)),Assumptions!$D$7,"Other Services"))),"Other Services"))</f>
        <v/>
      </c>
    </row>
    <row r="398" customFormat="false" ht="15" hidden="false" customHeight="false" outlineLevel="0" collapsed="false">
      <c r="F398" s="41" t="str">
        <f aca="false">IF(D398="","",IFERROR(IF(ISNUMBER(SEARCH(Assumptions!$C$5,D398)),Assumptions!$D$5,IF(ISNUMBER(SEARCH(Assumptions!$C$6,D398)),Assumptions!$D$6,IF(ISNUMBER(SEARCH(Assumptions!$C$7,D398)),Assumptions!$D$7,"Other Services"))),"Other Services"))</f>
        <v/>
      </c>
    </row>
    <row r="399" customFormat="false" ht="15" hidden="false" customHeight="false" outlineLevel="0" collapsed="false">
      <c r="F399" s="41" t="str">
        <f aca="false">IF(D399="","",IFERROR(IF(ISNUMBER(SEARCH(Assumptions!$C$5,D399)),Assumptions!$D$5,IF(ISNUMBER(SEARCH(Assumptions!$C$6,D399)),Assumptions!$D$6,IF(ISNUMBER(SEARCH(Assumptions!$C$7,D399)),Assumptions!$D$7,"Other Services"))),"Other Services"))</f>
        <v/>
      </c>
    </row>
    <row r="400" customFormat="false" ht="15" hidden="false" customHeight="false" outlineLevel="0" collapsed="false">
      <c r="F400" s="41" t="str">
        <f aca="false">IF(D400="","",IFERROR(IF(ISNUMBER(SEARCH(Assumptions!$C$5,D400)),Assumptions!$D$5,IF(ISNUMBER(SEARCH(Assumptions!$C$6,D400)),Assumptions!$D$6,IF(ISNUMBER(SEARCH(Assumptions!$C$7,D400)),Assumptions!$D$7,"Other Services"))),"Other Services"))</f>
        <v/>
      </c>
    </row>
    <row r="401" customFormat="false" ht="15" hidden="false" customHeight="false" outlineLevel="0" collapsed="false">
      <c r="F401" s="41" t="str">
        <f aca="false">IF(D401="","",IFERROR(IF(ISNUMBER(SEARCH(Assumptions!$C$5,D401)),Assumptions!$D$5,IF(ISNUMBER(SEARCH(Assumptions!$C$6,D401)),Assumptions!$D$6,IF(ISNUMBER(SEARCH(Assumptions!$C$7,D401)),Assumptions!$D$7,"Other Services"))),"Other Services"))</f>
        <v/>
      </c>
    </row>
    <row r="402" customFormat="false" ht="15" hidden="false" customHeight="false" outlineLevel="0" collapsed="false">
      <c r="F402" s="41" t="str">
        <f aca="false">IF(D402="","",IFERROR(IF(ISNUMBER(SEARCH(Assumptions!$C$5,D402)),Assumptions!$D$5,IF(ISNUMBER(SEARCH(Assumptions!$C$6,D402)),Assumptions!$D$6,IF(ISNUMBER(SEARCH(Assumptions!$C$7,D402)),Assumptions!$D$7,"Other Services"))),"Other Services"))</f>
        <v/>
      </c>
    </row>
    <row r="403" customFormat="false" ht="15" hidden="false" customHeight="false" outlineLevel="0" collapsed="false">
      <c r="F403" s="41" t="str">
        <f aca="false">IF(D403="","",IFERROR(IF(ISNUMBER(SEARCH(Assumptions!$C$5,D403)),Assumptions!$D$5,IF(ISNUMBER(SEARCH(Assumptions!$C$6,D403)),Assumptions!$D$6,IF(ISNUMBER(SEARCH(Assumptions!$C$7,D403)),Assumptions!$D$7,"Other Services"))),"Other Services"))</f>
        <v/>
      </c>
    </row>
    <row r="404" customFormat="false" ht="15" hidden="false" customHeight="false" outlineLevel="0" collapsed="false">
      <c r="F404" s="41" t="str">
        <f aca="false">IF(D404="","",IFERROR(IF(ISNUMBER(SEARCH(Assumptions!$C$5,D404)),Assumptions!$D$5,IF(ISNUMBER(SEARCH(Assumptions!$C$6,D404)),Assumptions!$D$6,IF(ISNUMBER(SEARCH(Assumptions!$C$7,D404)),Assumptions!$D$7,"Other Services"))),"Other Services"))</f>
        <v/>
      </c>
    </row>
    <row r="405" customFormat="false" ht="15" hidden="false" customHeight="false" outlineLevel="0" collapsed="false">
      <c r="F405" s="41" t="str">
        <f aca="false">IF(D405="","",IFERROR(IF(ISNUMBER(SEARCH(Assumptions!$C$5,D405)),Assumptions!$D$5,IF(ISNUMBER(SEARCH(Assumptions!$C$6,D405)),Assumptions!$D$6,IF(ISNUMBER(SEARCH(Assumptions!$C$7,D405)),Assumptions!$D$7,"Other Services"))),"Other Services"))</f>
        <v/>
      </c>
    </row>
    <row r="406" customFormat="false" ht="15" hidden="false" customHeight="false" outlineLevel="0" collapsed="false">
      <c r="F406" s="41" t="str">
        <f aca="false">IF(D406="","",IFERROR(IF(ISNUMBER(SEARCH(Assumptions!$C$5,D406)),Assumptions!$D$5,IF(ISNUMBER(SEARCH(Assumptions!$C$6,D406)),Assumptions!$D$6,IF(ISNUMBER(SEARCH(Assumptions!$C$7,D406)),Assumptions!$D$7,"Other Services"))),"Other Services"))</f>
        <v/>
      </c>
    </row>
    <row r="407" customFormat="false" ht="15" hidden="false" customHeight="false" outlineLevel="0" collapsed="false">
      <c r="F407" s="41" t="str">
        <f aca="false">IF(D407="","",IFERROR(IF(ISNUMBER(SEARCH(Assumptions!$C$5,D407)),Assumptions!$D$5,IF(ISNUMBER(SEARCH(Assumptions!$C$6,D407)),Assumptions!$D$6,IF(ISNUMBER(SEARCH(Assumptions!$C$7,D407)),Assumptions!$D$7,"Other Services"))),"Other Services"))</f>
        <v/>
      </c>
    </row>
    <row r="408" customFormat="false" ht="15" hidden="false" customHeight="false" outlineLevel="0" collapsed="false">
      <c r="F408" s="41" t="str">
        <f aca="false">IF(D408="","",IFERROR(IF(ISNUMBER(SEARCH(Assumptions!$C$5,D408)),Assumptions!$D$5,IF(ISNUMBER(SEARCH(Assumptions!$C$6,D408)),Assumptions!$D$6,IF(ISNUMBER(SEARCH(Assumptions!$C$7,D408)),Assumptions!$D$7,"Other Services"))),"Other Services"))</f>
        <v/>
      </c>
    </row>
    <row r="409" customFormat="false" ht="15" hidden="false" customHeight="false" outlineLevel="0" collapsed="false">
      <c r="F409" s="41" t="str">
        <f aca="false">IF(D409="","",IFERROR(IF(ISNUMBER(SEARCH(Assumptions!$C$5,D409)),Assumptions!$D$5,IF(ISNUMBER(SEARCH(Assumptions!$C$6,D409)),Assumptions!$D$6,IF(ISNUMBER(SEARCH(Assumptions!$C$7,D409)),Assumptions!$D$7,"Other Services"))),"Other Services"))</f>
        <v/>
      </c>
    </row>
    <row r="410" customFormat="false" ht="15" hidden="false" customHeight="false" outlineLevel="0" collapsed="false">
      <c r="F410" s="41" t="str">
        <f aca="false">IF(D410="","",IFERROR(IF(ISNUMBER(SEARCH(Assumptions!$C$5,D410)),Assumptions!$D$5,IF(ISNUMBER(SEARCH(Assumptions!$C$6,D410)),Assumptions!$D$6,IF(ISNUMBER(SEARCH(Assumptions!$C$7,D410)),Assumptions!$D$7,"Other Services"))),"Other Services"))</f>
        <v/>
      </c>
    </row>
    <row r="411" customFormat="false" ht="15" hidden="false" customHeight="false" outlineLevel="0" collapsed="false">
      <c r="F411" s="41" t="str">
        <f aca="false">IF(D411="","",IFERROR(IF(ISNUMBER(SEARCH(Assumptions!$C$5,D411)),Assumptions!$D$5,IF(ISNUMBER(SEARCH(Assumptions!$C$6,D411)),Assumptions!$D$6,IF(ISNUMBER(SEARCH(Assumptions!$C$7,D411)),Assumptions!$D$7,"Other Services"))),"Other Services"))</f>
        <v/>
      </c>
    </row>
    <row r="412" customFormat="false" ht="15" hidden="false" customHeight="false" outlineLevel="0" collapsed="false">
      <c r="F412" s="41" t="str">
        <f aca="false">IF(D412="","",IFERROR(IF(ISNUMBER(SEARCH(Assumptions!$C$5,D412)),Assumptions!$D$5,IF(ISNUMBER(SEARCH(Assumptions!$C$6,D412)),Assumptions!$D$6,IF(ISNUMBER(SEARCH(Assumptions!$C$7,D412)),Assumptions!$D$7,"Other Services"))),"Other Services"))</f>
        <v/>
      </c>
    </row>
    <row r="413" customFormat="false" ht="15" hidden="false" customHeight="false" outlineLevel="0" collapsed="false">
      <c r="F413" s="41" t="str">
        <f aca="false">IF(D413="","",IFERROR(IF(ISNUMBER(SEARCH(Assumptions!$C$5,D413)),Assumptions!$D$5,IF(ISNUMBER(SEARCH(Assumptions!$C$6,D413)),Assumptions!$D$6,IF(ISNUMBER(SEARCH(Assumptions!$C$7,D413)),Assumptions!$D$7,"Other Services"))),"Other Services"))</f>
        <v/>
      </c>
    </row>
    <row r="414" customFormat="false" ht="15" hidden="false" customHeight="false" outlineLevel="0" collapsed="false">
      <c r="F414" s="41" t="str">
        <f aca="false">IF(D414="","",IFERROR(IF(ISNUMBER(SEARCH(Assumptions!$C$5,D414)),Assumptions!$D$5,IF(ISNUMBER(SEARCH(Assumptions!$C$6,D414)),Assumptions!$D$6,IF(ISNUMBER(SEARCH(Assumptions!$C$7,D414)),Assumptions!$D$7,"Other Services"))),"Other Services"))</f>
        <v/>
      </c>
    </row>
    <row r="415" customFormat="false" ht="15" hidden="false" customHeight="false" outlineLevel="0" collapsed="false">
      <c r="F415" s="41" t="str">
        <f aca="false">IF(D415="","",IFERROR(IF(ISNUMBER(SEARCH(Assumptions!$C$5,D415)),Assumptions!$D$5,IF(ISNUMBER(SEARCH(Assumptions!$C$6,D415)),Assumptions!$D$6,IF(ISNUMBER(SEARCH(Assumptions!$C$7,D415)),Assumptions!$D$7,"Other Services"))),"Other Services"))</f>
        <v/>
      </c>
    </row>
    <row r="416" customFormat="false" ht="15" hidden="false" customHeight="false" outlineLevel="0" collapsed="false">
      <c r="F416" s="41" t="str">
        <f aca="false">IF(D416="","",IFERROR(IF(ISNUMBER(SEARCH(Assumptions!$C$5,D416)),Assumptions!$D$5,IF(ISNUMBER(SEARCH(Assumptions!$C$6,D416)),Assumptions!$D$6,IF(ISNUMBER(SEARCH(Assumptions!$C$7,D416)),Assumptions!$D$7,"Other Services"))),"Other Services"))</f>
        <v/>
      </c>
    </row>
    <row r="417" customFormat="false" ht="15" hidden="false" customHeight="false" outlineLevel="0" collapsed="false">
      <c r="F417" s="41" t="str">
        <f aca="false">IF(D417="","",IFERROR(IF(ISNUMBER(SEARCH(Assumptions!$C$5,D417)),Assumptions!$D$5,IF(ISNUMBER(SEARCH(Assumptions!$C$6,D417)),Assumptions!$D$6,IF(ISNUMBER(SEARCH(Assumptions!$C$7,D417)),Assumptions!$D$7,"Other Services"))),"Other Services"))</f>
        <v/>
      </c>
    </row>
    <row r="418" customFormat="false" ht="15" hidden="false" customHeight="false" outlineLevel="0" collapsed="false">
      <c r="F418" s="41" t="str">
        <f aca="false">IF(D418="","",IFERROR(IF(ISNUMBER(SEARCH(Assumptions!$C$5,D418)),Assumptions!$D$5,IF(ISNUMBER(SEARCH(Assumptions!$C$6,D418)),Assumptions!$D$6,IF(ISNUMBER(SEARCH(Assumptions!$C$7,D418)),Assumptions!$D$7,"Other Services"))),"Other Services"))</f>
        <v/>
      </c>
    </row>
    <row r="419" customFormat="false" ht="15" hidden="false" customHeight="false" outlineLevel="0" collapsed="false">
      <c r="F419" s="41" t="str">
        <f aca="false">IF(D419="","",IFERROR(IF(ISNUMBER(SEARCH(Assumptions!$C$5,D419)),Assumptions!$D$5,IF(ISNUMBER(SEARCH(Assumptions!$C$6,D419)),Assumptions!$D$6,IF(ISNUMBER(SEARCH(Assumptions!$C$7,D419)),Assumptions!$D$7,"Other Services"))),"Other Services"))</f>
        <v/>
      </c>
    </row>
    <row r="420" customFormat="false" ht="15" hidden="false" customHeight="false" outlineLevel="0" collapsed="false">
      <c r="F420" s="41" t="str">
        <f aca="false">IF(D420="","",IFERROR(IF(ISNUMBER(SEARCH(Assumptions!$C$5,D420)),Assumptions!$D$5,IF(ISNUMBER(SEARCH(Assumptions!$C$6,D420)),Assumptions!$D$6,IF(ISNUMBER(SEARCH(Assumptions!$C$7,D420)),Assumptions!$D$7,"Other Services"))),"Other Services"))</f>
        <v/>
      </c>
    </row>
    <row r="421" customFormat="false" ht="15" hidden="false" customHeight="false" outlineLevel="0" collapsed="false">
      <c r="F421" s="41" t="str">
        <f aca="false">IF(D421="","",IFERROR(IF(ISNUMBER(SEARCH(Assumptions!$C$5,D421)),Assumptions!$D$5,IF(ISNUMBER(SEARCH(Assumptions!$C$6,D421)),Assumptions!$D$6,IF(ISNUMBER(SEARCH(Assumptions!$C$7,D421)),Assumptions!$D$7,"Other Services"))),"Other Services"))</f>
        <v/>
      </c>
    </row>
    <row r="422" customFormat="false" ht="15" hidden="false" customHeight="false" outlineLevel="0" collapsed="false">
      <c r="F422" s="41" t="str">
        <f aca="false">IF(D422="","",IFERROR(IF(ISNUMBER(SEARCH(Assumptions!$C$5,D422)),Assumptions!$D$5,IF(ISNUMBER(SEARCH(Assumptions!$C$6,D422)),Assumptions!$D$6,IF(ISNUMBER(SEARCH(Assumptions!$C$7,D422)),Assumptions!$D$7,"Other Services"))),"Other Services"))</f>
        <v/>
      </c>
    </row>
    <row r="423" customFormat="false" ht="15" hidden="false" customHeight="false" outlineLevel="0" collapsed="false">
      <c r="F423" s="41" t="str">
        <f aca="false">IF(D423="","",IFERROR(IF(ISNUMBER(SEARCH(Assumptions!$C$5,D423)),Assumptions!$D$5,IF(ISNUMBER(SEARCH(Assumptions!$C$6,D423)),Assumptions!$D$6,IF(ISNUMBER(SEARCH(Assumptions!$C$7,D423)),Assumptions!$D$7,"Other Services"))),"Other Services"))</f>
        <v/>
      </c>
    </row>
    <row r="424" customFormat="false" ht="15" hidden="false" customHeight="false" outlineLevel="0" collapsed="false">
      <c r="F424" s="41" t="str">
        <f aca="false">IF(D424="","",IFERROR(IF(ISNUMBER(SEARCH(Assumptions!$C$5,D424)),Assumptions!$D$5,IF(ISNUMBER(SEARCH(Assumptions!$C$6,D424)),Assumptions!$D$6,IF(ISNUMBER(SEARCH(Assumptions!$C$7,D424)),Assumptions!$D$7,"Other Services"))),"Other Services"))</f>
        <v/>
      </c>
    </row>
    <row r="425" customFormat="false" ht="15" hidden="false" customHeight="false" outlineLevel="0" collapsed="false">
      <c r="F425" s="41" t="str">
        <f aca="false">IF(D425="","",IFERROR(IF(ISNUMBER(SEARCH(Assumptions!$C$5,D425)),Assumptions!$D$5,IF(ISNUMBER(SEARCH(Assumptions!$C$6,D425)),Assumptions!$D$6,IF(ISNUMBER(SEARCH(Assumptions!$C$7,D425)),Assumptions!$D$7,"Other Services"))),"Other Services"))</f>
        <v/>
      </c>
    </row>
    <row r="426" customFormat="false" ht="15" hidden="false" customHeight="false" outlineLevel="0" collapsed="false">
      <c r="F426" s="41" t="str">
        <f aca="false">IF(D426="","",IFERROR(IF(ISNUMBER(SEARCH(Assumptions!$C$5,D426)),Assumptions!$D$5,IF(ISNUMBER(SEARCH(Assumptions!$C$6,D426)),Assumptions!$D$6,IF(ISNUMBER(SEARCH(Assumptions!$C$7,D426)),Assumptions!$D$7,"Other Services"))),"Other Services"))</f>
        <v/>
      </c>
    </row>
    <row r="427" customFormat="false" ht="15" hidden="false" customHeight="false" outlineLevel="0" collapsed="false">
      <c r="F427" s="41" t="str">
        <f aca="false">IF(D427="","",IFERROR(IF(ISNUMBER(SEARCH(Assumptions!$C$5,D427)),Assumptions!$D$5,IF(ISNUMBER(SEARCH(Assumptions!$C$6,D427)),Assumptions!$D$6,IF(ISNUMBER(SEARCH(Assumptions!$C$7,D427)),Assumptions!$D$7,"Other Services"))),"Other Services"))</f>
        <v/>
      </c>
    </row>
    <row r="428" customFormat="false" ht="15" hidden="false" customHeight="false" outlineLevel="0" collapsed="false">
      <c r="F428" s="41" t="str">
        <f aca="false">IF(D428="","",IFERROR(IF(ISNUMBER(SEARCH(Assumptions!$C$5,D428)),Assumptions!$D$5,IF(ISNUMBER(SEARCH(Assumptions!$C$6,D428)),Assumptions!$D$6,IF(ISNUMBER(SEARCH(Assumptions!$C$7,D428)),Assumptions!$D$7,"Other Services"))),"Other Services"))</f>
        <v/>
      </c>
    </row>
    <row r="429" customFormat="false" ht="15" hidden="false" customHeight="false" outlineLevel="0" collapsed="false">
      <c r="F429" s="41" t="str">
        <f aca="false">IF(D429="","",IFERROR(IF(ISNUMBER(SEARCH(Assumptions!$C$5,D429)),Assumptions!$D$5,IF(ISNUMBER(SEARCH(Assumptions!$C$6,D429)),Assumptions!$D$6,IF(ISNUMBER(SEARCH(Assumptions!$C$7,D429)),Assumptions!$D$7,"Other Services"))),"Other Services"))</f>
        <v/>
      </c>
    </row>
    <row r="430" customFormat="false" ht="15" hidden="false" customHeight="false" outlineLevel="0" collapsed="false">
      <c r="F430" s="41" t="str">
        <f aca="false">IF(D430="","",IFERROR(IF(ISNUMBER(SEARCH(Assumptions!$C$5,D430)),Assumptions!$D$5,IF(ISNUMBER(SEARCH(Assumptions!$C$6,D430)),Assumptions!$D$6,IF(ISNUMBER(SEARCH(Assumptions!$C$7,D430)),Assumptions!$D$7,"Other Services"))),"Other Services"))</f>
        <v/>
      </c>
    </row>
    <row r="431" customFormat="false" ht="15" hidden="false" customHeight="false" outlineLevel="0" collapsed="false">
      <c r="F431" s="41" t="str">
        <f aca="false">IF(D431="","",IFERROR(IF(ISNUMBER(SEARCH(Assumptions!$C$5,D431)),Assumptions!$D$5,IF(ISNUMBER(SEARCH(Assumptions!$C$6,D431)),Assumptions!$D$6,IF(ISNUMBER(SEARCH(Assumptions!$C$7,D431)),Assumptions!$D$7,"Other Services"))),"Other Services"))</f>
        <v/>
      </c>
    </row>
    <row r="432" customFormat="false" ht="15" hidden="false" customHeight="false" outlineLevel="0" collapsed="false">
      <c r="F432" s="41" t="str">
        <f aca="false">IF(D432="","",IFERROR(IF(ISNUMBER(SEARCH(Assumptions!$C$5,D432)),Assumptions!$D$5,IF(ISNUMBER(SEARCH(Assumptions!$C$6,D432)),Assumptions!$D$6,IF(ISNUMBER(SEARCH(Assumptions!$C$7,D432)),Assumptions!$D$7,"Other Services"))),"Other Services"))</f>
        <v/>
      </c>
    </row>
    <row r="433" customFormat="false" ht="15" hidden="false" customHeight="false" outlineLevel="0" collapsed="false">
      <c r="F433" s="41" t="str">
        <f aca="false">IF(D433="","",IFERROR(IF(ISNUMBER(SEARCH(Assumptions!$C$5,D433)),Assumptions!$D$5,IF(ISNUMBER(SEARCH(Assumptions!$C$6,D433)),Assumptions!$D$6,IF(ISNUMBER(SEARCH(Assumptions!$C$7,D433)),Assumptions!$D$7,"Other Services"))),"Other Services"))</f>
        <v/>
      </c>
    </row>
    <row r="434" customFormat="false" ht="15" hidden="false" customHeight="false" outlineLevel="0" collapsed="false">
      <c r="F434" s="41" t="str">
        <f aca="false">IF(D434="","",IFERROR(IF(ISNUMBER(SEARCH(Assumptions!$C$5,D434)),Assumptions!$D$5,IF(ISNUMBER(SEARCH(Assumptions!$C$6,D434)),Assumptions!$D$6,IF(ISNUMBER(SEARCH(Assumptions!$C$7,D434)),Assumptions!$D$7,"Other Services"))),"Other Services"))</f>
        <v/>
      </c>
    </row>
    <row r="435" customFormat="false" ht="15" hidden="false" customHeight="false" outlineLevel="0" collapsed="false">
      <c r="F435" s="41" t="str">
        <f aca="false">IF(D435="","",IFERROR(IF(ISNUMBER(SEARCH(Assumptions!$C$5,D435)),Assumptions!$D$5,IF(ISNUMBER(SEARCH(Assumptions!$C$6,D435)),Assumptions!$D$6,IF(ISNUMBER(SEARCH(Assumptions!$C$7,D435)),Assumptions!$D$7,"Other Services"))),"Other Services"))</f>
        <v/>
      </c>
    </row>
    <row r="436" customFormat="false" ht="15" hidden="false" customHeight="false" outlineLevel="0" collapsed="false">
      <c r="F436" s="41" t="str">
        <f aca="false">IF(D436="","",IFERROR(IF(ISNUMBER(SEARCH(Assumptions!$C$5,D436)),Assumptions!$D$5,IF(ISNUMBER(SEARCH(Assumptions!$C$6,D436)),Assumptions!$D$6,IF(ISNUMBER(SEARCH(Assumptions!$C$7,D436)),Assumptions!$D$7,"Other Services"))),"Other Services"))</f>
        <v/>
      </c>
    </row>
    <row r="437" customFormat="false" ht="15" hidden="false" customHeight="false" outlineLevel="0" collapsed="false">
      <c r="F437" s="41" t="str">
        <f aca="false">IF(D437="","",IFERROR(IF(ISNUMBER(SEARCH(Assumptions!$C$5,D437)),Assumptions!$D$5,IF(ISNUMBER(SEARCH(Assumptions!$C$6,D437)),Assumptions!$D$6,IF(ISNUMBER(SEARCH(Assumptions!$C$7,D437)),Assumptions!$D$7,"Other Services"))),"Other Services"))</f>
        <v/>
      </c>
    </row>
    <row r="438" customFormat="false" ht="15" hidden="false" customHeight="false" outlineLevel="0" collapsed="false">
      <c r="F438" s="41" t="str">
        <f aca="false">IF(D438="","",IFERROR(IF(ISNUMBER(SEARCH(Assumptions!$C$5,D438)),Assumptions!$D$5,IF(ISNUMBER(SEARCH(Assumptions!$C$6,D438)),Assumptions!$D$6,IF(ISNUMBER(SEARCH(Assumptions!$C$7,D438)),Assumptions!$D$7,"Other Services"))),"Other Services"))</f>
        <v/>
      </c>
    </row>
    <row r="439" customFormat="false" ht="15" hidden="false" customHeight="false" outlineLevel="0" collapsed="false">
      <c r="F439" s="41" t="str">
        <f aca="false">IF(D439="","",IFERROR(IF(ISNUMBER(SEARCH(Assumptions!$C$5,D439)),Assumptions!$D$5,IF(ISNUMBER(SEARCH(Assumptions!$C$6,D439)),Assumptions!$D$6,IF(ISNUMBER(SEARCH(Assumptions!$C$7,D439)),Assumptions!$D$7,"Other Services"))),"Other Services"))</f>
        <v/>
      </c>
    </row>
    <row r="440" customFormat="false" ht="15" hidden="false" customHeight="false" outlineLevel="0" collapsed="false">
      <c r="F440" s="41" t="str">
        <f aca="false">IF(D440="","",IFERROR(IF(ISNUMBER(SEARCH(Assumptions!$C$5,D440)),Assumptions!$D$5,IF(ISNUMBER(SEARCH(Assumptions!$C$6,D440)),Assumptions!$D$6,IF(ISNUMBER(SEARCH(Assumptions!$C$7,D440)),Assumptions!$D$7,"Other Services"))),"Other Services"))</f>
        <v/>
      </c>
    </row>
    <row r="441" customFormat="false" ht="15" hidden="false" customHeight="false" outlineLevel="0" collapsed="false">
      <c r="F441" s="41" t="str">
        <f aca="false">IF(D441="","",IFERROR(IF(ISNUMBER(SEARCH(Assumptions!$C$5,D441)),Assumptions!$D$5,IF(ISNUMBER(SEARCH(Assumptions!$C$6,D441)),Assumptions!$D$6,IF(ISNUMBER(SEARCH(Assumptions!$C$7,D441)),Assumptions!$D$7,"Other Services"))),"Other Services"))</f>
        <v/>
      </c>
    </row>
    <row r="442" customFormat="false" ht="15" hidden="false" customHeight="false" outlineLevel="0" collapsed="false">
      <c r="F442" s="41" t="str">
        <f aca="false">IF(D442="","",IFERROR(IF(ISNUMBER(SEARCH(Assumptions!$C$5,D442)),Assumptions!$D$5,IF(ISNUMBER(SEARCH(Assumptions!$C$6,D442)),Assumptions!$D$6,IF(ISNUMBER(SEARCH(Assumptions!$C$7,D442)),Assumptions!$D$7,"Other Services"))),"Other Services"))</f>
        <v/>
      </c>
    </row>
    <row r="443" customFormat="false" ht="15" hidden="false" customHeight="false" outlineLevel="0" collapsed="false">
      <c r="F443" s="41" t="str">
        <f aca="false">IF(D443="","",IFERROR(IF(ISNUMBER(SEARCH(Assumptions!$C$5,D443)),Assumptions!$D$5,IF(ISNUMBER(SEARCH(Assumptions!$C$6,D443)),Assumptions!$D$6,IF(ISNUMBER(SEARCH(Assumptions!$C$7,D443)),Assumptions!$D$7,"Other Services"))),"Other Services"))</f>
        <v/>
      </c>
    </row>
    <row r="444" customFormat="false" ht="15" hidden="false" customHeight="false" outlineLevel="0" collapsed="false">
      <c r="F444" s="41" t="str">
        <f aca="false">IF(D444="","",IFERROR(IF(ISNUMBER(SEARCH(Assumptions!$C$5,D444)),Assumptions!$D$5,IF(ISNUMBER(SEARCH(Assumptions!$C$6,D444)),Assumptions!$D$6,IF(ISNUMBER(SEARCH(Assumptions!$C$7,D444)),Assumptions!$D$7,"Other Services"))),"Other Services"))</f>
        <v/>
      </c>
    </row>
    <row r="445" customFormat="false" ht="15" hidden="false" customHeight="false" outlineLevel="0" collapsed="false">
      <c r="F445" s="41" t="str">
        <f aca="false">IF(D445="","",IFERROR(IF(ISNUMBER(SEARCH(Assumptions!$C$5,D445)),Assumptions!$D$5,IF(ISNUMBER(SEARCH(Assumptions!$C$6,D445)),Assumptions!$D$6,IF(ISNUMBER(SEARCH(Assumptions!$C$7,D445)),Assumptions!$D$7,"Other Services"))),"Other Services"))</f>
        <v/>
      </c>
    </row>
    <row r="446" customFormat="false" ht="15" hidden="false" customHeight="false" outlineLevel="0" collapsed="false">
      <c r="F446" s="41" t="str">
        <f aca="false">IF(D446="","",IFERROR(IF(ISNUMBER(SEARCH(Assumptions!$C$5,D446)),Assumptions!$D$5,IF(ISNUMBER(SEARCH(Assumptions!$C$6,D446)),Assumptions!$D$6,IF(ISNUMBER(SEARCH(Assumptions!$C$7,D446)),Assumptions!$D$7,"Other Services"))),"Other Services"))</f>
        <v/>
      </c>
    </row>
    <row r="447" customFormat="false" ht="15" hidden="false" customHeight="false" outlineLevel="0" collapsed="false">
      <c r="F447" s="41" t="str">
        <f aca="false">IF(D447="","",IFERROR(IF(ISNUMBER(SEARCH(Assumptions!$C$5,D447)),Assumptions!$D$5,IF(ISNUMBER(SEARCH(Assumptions!$C$6,D447)),Assumptions!$D$6,IF(ISNUMBER(SEARCH(Assumptions!$C$7,D447)),Assumptions!$D$7,"Other Services"))),"Other Services"))</f>
        <v/>
      </c>
    </row>
    <row r="448" customFormat="false" ht="15" hidden="false" customHeight="false" outlineLevel="0" collapsed="false">
      <c r="F448" s="41" t="str">
        <f aca="false">IF(D448="","",IFERROR(IF(ISNUMBER(SEARCH(Assumptions!$C$5,D448)),Assumptions!$D$5,IF(ISNUMBER(SEARCH(Assumptions!$C$6,D448)),Assumptions!$D$6,IF(ISNUMBER(SEARCH(Assumptions!$C$7,D448)),Assumptions!$D$7,"Other Services"))),"Other Services"))</f>
        <v/>
      </c>
    </row>
    <row r="449" customFormat="false" ht="15" hidden="false" customHeight="false" outlineLevel="0" collapsed="false">
      <c r="F449" s="41" t="str">
        <f aca="false">IF(D449="","",IFERROR(IF(ISNUMBER(SEARCH(Assumptions!$C$5,D449)),Assumptions!$D$5,IF(ISNUMBER(SEARCH(Assumptions!$C$6,D449)),Assumptions!$D$6,IF(ISNUMBER(SEARCH(Assumptions!$C$7,D449)),Assumptions!$D$7,"Other Services"))),"Other Services"))</f>
        <v/>
      </c>
    </row>
    <row r="450" customFormat="false" ht="15" hidden="false" customHeight="false" outlineLevel="0" collapsed="false">
      <c r="F450" s="41" t="str">
        <f aca="false">IF(D450="","",IFERROR(IF(ISNUMBER(SEARCH(Assumptions!$C$5,D450)),Assumptions!$D$5,IF(ISNUMBER(SEARCH(Assumptions!$C$6,D450)),Assumptions!$D$6,IF(ISNUMBER(SEARCH(Assumptions!$C$7,D450)),Assumptions!$D$7,"Other Services"))),"Other Services"))</f>
        <v/>
      </c>
    </row>
    <row r="451" customFormat="false" ht="15" hidden="false" customHeight="false" outlineLevel="0" collapsed="false">
      <c r="F451" s="41" t="str">
        <f aca="false">IF(D451="","",IFERROR(IF(ISNUMBER(SEARCH(Assumptions!$C$5,D451)),Assumptions!$D$5,IF(ISNUMBER(SEARCH(Assumptions!$C$6,D451)),Assumptions!$D$6,IF(ISNUMBER(SEARCH(Assumptions!$C$7,D451)),Assumptions!$D$7,"Other Services"))),"Other Services"))</f>
        <v/>
      </c>
    </row>
    <row r="452" customFormat="false" ht="15" hidden="false" customHeight="false" outlineLevel="0" collapsed="false">
      <c r="F452" s="41" t="str">
        <f aca="false">IF(D452="","",IFERROR(IF(ISNUMBER(SEARCH(Assumptions!$C$5,D452)),Assumptions!$D$5,IF(ISNUMBER(SEARCH(Assumptions!$C$6,D452)),Assumptions!$D$6,IF(ISNUMBER(SEARCH(Assumptions!$C$7,D452)),Assumptions!$D$7,"Other Services"))),"Other Services"))</f>
        <v/>
      </c>
    </row>
    <row r="453" customFormat="false" ht="15" hidden="false" customHeight="false" outlineLevel="0" collapsed="false">
      <c r="F453" s="41" t="str">
        <f aca="false">IF(D453="","",IFERROR(IF(ISNUMBER(SEARCH(Assumptions!$C$5,D453)),Assumptions!$D$5,IF(ISNUMBER(SEARCH(Assumptions!$C$6,D453)),Assumptions!$D$6,IF(ISNUMBER(SEARCH(Assumptions!$C$7,D453)),Assumptions!$D$7,"Other Services"))),"Other Services"))</f>
        <v/>
      </c>
    </row>
    <row r="454" customFormat="false" ht="15" hidden="false" customHeight="false" outlineLevel="0" collapsed="false">
      <c r="F454" s="41" t="str">
        <f aca="false">IF(D454="","",IFERROR(IF(ISNUMBER(SEARCH(Assumptions!$C$5,D454)),Assumptions!$D$5,IF(ISNUMBER(SEARCH(Assumptions!$C$6,D454)),Assumptions!$D$6,IF(ISNUMBER(SEARCH(Assumptions!$C$7,D454)),Assumptions!$D$7,"Other Services"))),"Other Services"))</f>
        <v/>
      </c>
    </row>
    <row r="455" customFormat="false" ht="15" hidden="false" customHeight="false" outlineLevel="0" collapsed="false">
      <c r="F455" s="41" t="str">
        <f aca="false">IF(D455="","",IFERROR(IF(ISNUMBER(SEARCH(Assumptions!$C$5,D455)),Assumptions!$D$5,IF(ISNUMBER(SEARCH(Assumptions!$C$6,D455)),Assumptions!$D$6,IF(ISNUMBER(SEARCH(Assumptions!$C$7,D455)),Assumptions!$D$7,"Other Services"))),"Other Services"))</f>
        <v/>
      </c>
    </row>
    <row r="456" customFormat="false" ht="15" hidden="false" customHeight="false" outlineLevel="0" collapsed="false">
      <c r="F456" s="41" t="str">
        <f aca="false">IF(D456="","",IFERROR(IF(ISNUMBER(SEARCH(Assumptions!$C$5,D456)),Assumptions!$D$5,IF(ISNUMBER(SEARCH(Assumptions!$C$6,D456)),Assumptions!$D$6,IF(ISNUMBER(SEARCH(Assumptions!$C$7,D456)),Assumptions!$D$7,"Other Services"))),"Other Services"))</f>
        <v/>
      </c>
    </row>
    <row r="457" customFormat="false" ht="15" hidden="false" customHeight="false" outlineLevel="0" collapsed="false">
      <c r="F457" s="41" t="str">
        <f aca="false">IF(D457="","",IFERROR(IF(ISNUMBER(SEARCH(Assumptions!$C$5,D457)),Assumptions!$D$5,IF(ISNUMBER(SEARCH(Assumptions!$C$6,D457)),Assumptions!$D$6,IF(ISNUMBER(SEARCH(Assumptions!$C$7,D457)),Assumptions!$D$7,"Other Services"))),"Other Services"))</f>
        <v/>
      </c>
    </row>
    <row r="458" customFormat="false" ht="15" hidden="false" customHeight="false" outlineLevel="0" collapsed="false">
      <c r="F458" s="41" t="str">
        <f aca="false">IF(D458="","",IFERROR(IF(ISNUMBER(SEARCH(Assumptions!$C$5,D458)),Assumptions!$D$5,IF(ISNUMBER(SEARCH(Assumptions!$C$6,D458)),Assumptions!$D$6,IF(ISNUMBER(SEARCH(Assumptions!$C$7,D458)),Assumptions!$D$7,"Other Services"))),"Other Services"))</f>
        <v/>
      </c>
    </row>
    <row r="459" customFormat="false" ht="15" hidden="false" customHeight="false" outlineLevel="0" collapsed="false">
      <c r="F459" s="41" t="str">
        <f aca="false">IF(D459="","",IFERROR(IF(ISNUMBER(SEARCH(Assumptions!$C$5,D459)),Assumptions!$D$5,IF(ISNUMBER(SEARCH(Assumptions!$C$6,D459)),Assumptions!$D$6,IF(ISNUMBER(SEARCH(Assumptions!$C$7,D459)),Assumptions!$D$7,"Other Services"))),"Other Services"))</f>
        <v/>
      </c>
    </row>
    <row r="460" customFormat="false" ht="15" hidden="false" customHeight="false" outlineLevel="0" collapsed="false">
      <c r="F460" s="41" t="str">
        <f aca="false">IF(D460="","",IFERROR(IF(ISNUMBER(SEARCH(Assumptions!$C$5,D460)),Assumptions!$D$5,IF(ISNUMBER(SEARCH(Assumptions!$C$6,D460)),Assumptions!$D$6,IF(ISNUMBER(SEARCH(Assumptions!$C$7,D460)),Assumptions!$D$7,"Other Services"))),"Other Services"))</f>
        <v/>
      </c>
    </row>
    <row r="461" customFormat="false" ht="15" hidden="false" customHeight="false" outlineLevel="0" collapsed="false">
      <c r="F461" s="41" t="str">
        <f aca="false">IF(D461="","",IFERROR(IF(ISNUMBER(SEARCH(Assumptions!$C$5,D461)),Assumptions!$D$5,IF(ISNUMBER(SEARCH(Assumptions!$C$6,D461)),Assumptions!$D$6,IF(ISNUMBER(SEARCH(Assumptions!$C$7,D461)),Assumptions!$D$7,"Other Services"))),"Other Services"))</f>
        <v/>
      </c>
    </row>
    <row r="462" customFormat="false" ht="15" hidden="false" customHeight="false" outlineLevel="0" collapsed="false">
      <c r="F462" s="41" t="str">
        <f aca="false">IF(D462="","",IFERROR(IF(ISNUMBER(SEARCH(Assumptions!$C$5,D462)),Assumptions!$D$5,IF(ISNUMBER(SEARCH(Assumptions!$C$6,D462)),Assumptions!$D$6,IF(ISNUMBER(SEARCH(Assumptions!$C$7,D462)),Assumptions!$D$7,"Other Services"))),"Other Services"))</f>
        <v/>
      </c>
    </row>
    <row r="463" customFormat="false" ht="15" hidden="false" customHeight="false" outlineLevel="0" collapsed="false">
      <c r="F463" s="41" t="str">
        <f aca="false">IF(D463="","",IFERROR(IF(ISNUMBER(SEARCH(Assumptions!$C$5,D463)),Assumptions!$D$5,IF(ISNUMBER(SEARCH(Assumptions!$C$6,D463)),Assumptions!$D$6,IF(ISNUMBER(SEARCH(Assumptions!$C$7,D463)),Assumptions!$D$7,"Other Services"))),"Other Services"))</f>
        <v/>
      </c>
    </row>
    <row r="464" customFormat="false" ht="15" hidden="false" customHeight="false" outlineLevel="0" collapsed="false">
      <c r="F464" s="41" t="str">
        <f aca="false">IF(D464="","",IFERROR(IF(ISNUMBER(SEARCH(Assumptions!$C$5,D464)),Assumptions!$D$5,IF(ISNUMBER(SEARCH(Assumptions!$C$6,D464)),Assumptions!$D$6,IF(ISNUMBER(SEARCH(Assumptions!$C$7,D464)),Assumptions!$D$7,"Other Services"))),"Other Services"))</f>
        <v/>
      </c>
    </row>
    <row r="465" customFormat="false" ht="15" hidden="false" customHeight="false" outlineLevel="0" collapsed="false">
      <c r="F465" s="41" t="str">
        <f aca="false">IF(D465="","",IFERROR(IF(ISNUMBER(SEARCH(Assumptions!$C$5,D465)),Assumptions!$D$5,IF(ISNUMBER(SEARCH(Assumptions!$C$6,D465)),Assumptions!$D$6,IF(ISNUMBER(SEARCH(Assumptions!$C$7,D465)),Assumptions!$D$7,"Other Services"))),"Other Services"))</f>
        <v/>
      </c>
    </row>
    <row r="466" customFormat="false" ht="15" hidden="false" customHeight="false" outlineLevel="0" collapsed="false">
      <c r="F466" s="41" t="str">
        <f aca="false">IF(D466="","",IFERROR(IF(ISNUMBER(SEARCH(Assumptions!$C$5,D466)),Assumptions!$D$5,IF(ISNUMBER(SEARCH(Assumptions!$C$6,D466)),Assumptions!$D$6,IF(ISNUMBER(SEARCH(Assumptions!$C$7,D466)),Assumptions!$D$7,"Other Services"))),"Other Services"))</f>
        <v/>
      </c>
    </row>
    <row r="467" customFormat="false" ht="15" hidden="false" customHeight="false" outlineLevel="0" collapsed="false">
      <c r="F467" s="41" t="str">
        <f aca="false">IF(D467="","",IFERROR(IF(ISNUMBER(SEARCH(Assumptions!$C$5,D467)),Assumptions!$D$5,IF(ISNUMBER(SEARCH(Assumptions!$C$6,D467)),Assumptions!$D$6,IF(ISNUMBER(SEARCH(Assumptions!$C$7,D467)),Assumptions!$D$7,"Other Services"))),"Other Services"))</f>
        <v/>
      </c>
    </row>
    <row r="468" customFormat="false" ht="15" hidden="false" customHeight="false" outlineLevel="0" collapsed="false">
      <c r="F468" s="41" t="str">
        <f aca="false">IF(D468="","",IFERROR(IF(ISNUMBER(SEARCH(Assumptions!$C$5,D468)),Assumptions!$D$5,IF(ISNUMBER(SEARCH(Assumptions!$C$6,D468)),Assumptions!$D$6,IF(ISNUMBER(SEARCH(Assumptions!$C$7,D468)),Assumptions!$D$7,"Other Services"))),"Other Services"))</f>
        <v/>
      </c>
    </row>
    <row r="469" customFormat="false" ht="15" hidden="false" customHeight="false" outlineLevel="0" collapsed="false">
      <c r="F469" s="41" t="str">
        <f aca="false">IF(D469="","",IFERROR(IF(ISNUMBER(SEARCH(Assumptions!$C$5,D469)),Assumptions!$D$5,IF(ISNUMBER(SEARCH(Assumptions!$C$6,D469)),Assumptions!$D$6,IF(ISNUMBER(SEARCH(Assumptions!$C$7,D469)),Assumptions!$D$7,"Other Services"))),"Other Services"))</f>
        <v/>
      </c>
    </row>
    <row r="470" customFormat="false" ht="15" hidden="false" customHeight="false" outlineLevel="0" collapsed="false">
      <c r="F470" s="41" t="str">
        <f aca="false">IF(D470="","",IFERROR(IF(ISNUMBER(SEARCH(Assumptions!$C$5,D470)),Assumptions!$D$5,IF(ISNUMBER(SEARCH(Assumptions!$C$6,D470)),Assumptions!$D$6,IF(ISNUMBER(SEARCH(Assumptions!$C$7,D470)),Assumptions!$D$7,"Other Services"))),"Other Services"))</f>
        <v/>
      </c>
    </row>
    <row r="471" customFormat="false" ht="15" hidden="false" customHeight="false" outlineLevel="0" collapsed="false">
      <c r="F471" s="41" t="str">
        <f aca="false">IF(D471="","",IFERROR(IF(ISNUMBER(SEARCH(Assumptions!$C$5,D471)),Assumptions!$D$5,IF(ISNUMBER(SEARCH(Assumptions!$C$6,D471)),Assumptions!$D$6,IF(ISNUMBER(SEARCH(Assumptions!$C$7,D471)),Assumptions!$D$7,"Other Services"))),"Other Services"))</f>
        <v/>
      </c>
    </row>
    <row r="472" customFormat="false" ht="15" hidden="false" customHeight="false" outlineLevel="0" collapsed="false">
      <c r="F472" s="41" t="str">
        <f aca="false">IF(D472="","",IFERROR(IF(ISNUMBER(SEARCH(Assumptions!$C$5,D472)),Assumptions!$D$5,IF(ISNUMBER(SEARCH(Assumptions!$C$6,D472)),Assumptions!$D$6,IF(ISNUMBER(SEARCH(Assumptions!$C$7,D472)),Assumptions!$D$7,"Other Services"))),"Other Services"))</f>
        <v/>
      </c>
    </row>
    <row r="473" customFormat="false" ht="15" hidden="false" customHeight="false" outlineLevel="0" collapsed="false">
      <c r="F473" s="41" t="str">
        <f aca="false">IF(D473="","",IFERROR(IF(ISNUMBER(SEARCH(Assumptions!$C$5,D473)),Assumptions!$D$5,IF(ISNUMBER(SEARCH(Assumptions!$C$6,D473)),Assumptions!$D$6,IF(ISNUMBER(SEARCH(Assumptions!$C$7,D473)),Assumptions!$D$7,"Other Services"))),"Other Services"))</f>
        <v/>
      </c>
    </row>
    <row r="474" customFormat="false" ht="15" hidden="false" customHeight="false" outlineLevel="0" collapsed="false">
      <c r="F474" s="41" t="str">
        <f aca="false">IF(D474="","",IFERROR(IF(ISNUMBER(SEARCH(Assumptions!$C$5,D474)),Assumptions!$D$5,IF(ISNUMBER(SEARCH(Assumptions!$C$6,D474)),Assumptions!$D$6,IF(ISNUMBER(SEARCH(Assumptions!$C$7,D474)),Assumptions!$D$7,"Other Services"))),"Other Services"))</f>
        <v/>
      </c>
    </row>
    <row r="475" customFormat="false" ht="15" hidden="false" customHeight="false" outlineLevel="0" collapsed="false">
      <c r="F475" s="41" t="str">
        <f aca="false">IF(D475="","",IFERROR(IF(ISNUMBER(SEARCH(Assumptions!$C$5,D475)),Assumptions!$D$5,IF(ISNUMBER(SEARCH(Assumptions!$C$6,D475)),Assumptions!$D$6,IF(ISNUMBER(SEARCH(Assumptions!$C$7,D475)),Assumptions!$D$7,"Other Services"))),"Other Services"))</f>
        <v/>
      </c>
    </row>
    <row r="476" customFormat="false" ht="15" hidden="false" customHeight="false" outlineLevel="0" collapsed="false">
      <c r="F476" s="41" t="str">
        <f aca="false">IF(D476="","",IFERROR(IF(ISNUMBER(SEARCH(Assumptions!$C$5,D476)),Assumptions!$D$5,IF(ISNUMBER(SEARCH(Assumptions!$C$6,D476)),Assumptions!$D$6,IF(ISNUMBER(SEARCH(Assumptions!$C$7,D476)),Assumptions!$D$7,"Other Services"))),"Other Services"))</f>
        <v/>
      </c>
    </row>
    <row r="477" customFormat="false" ht="15" hidden="false" customHeight="false" outlineLevel="0" collapsed="false">
      <c r="F477" s="41" t="str">
        <f aca="false">IF(D477="","",IFERROR(IF(ISNUMBER(SEARCH(Assumptions!$C$5,D477)),Assumptions!$D$5,IF(ISNUMBER(SEARCH(Assumptions!$C$6,D477)),Assumptions!$D$6,IF(ISNUMBER(SEARCH(Assumptions!$C$7,D477)),Assumptions!$D$7,"Other Services"))),"Other Services"))</f>
        <v/>
      </c>
    </row>
    <row r="478" customFormat="false" ht="15" hidden="false" customHeight="false" outlineLevel="0" collapsed="false">
      <c r="F478" s="41" t="str">
        <f aca="false">IF(D478="","",IFERROR(IF(ISNUMBER(SEARCH(Assumptions!$C$5,D478)),Assumptions!$D$5,IF(ISNUMBER(SEARCH(Assumptions!$C$6,D478)),Assumptions!$D$6,IF(ISNUMBER(SEARCH(Assumptions!$C$7,D478)),Assumptions!$D$7,"Other Services"))),"Other Services"))</f>
        <v/>
      </c>
    </row>
    <row r="479" customFormat="false" ht="15" hidden="false" customHeight="false" outlineLevel="0" collapsed="false">
      <c r="F479" s="41" t="str">
        <f aca="false">IF(D479="","",IFERROR(IF(ISNUMBER(SEARCH(Assumptions!$C$5,D479)),Assumptions!$D$5,IF(ISNUMBER(SEARCH(Assumptions!$C$6,D479)),Assumptions!$D$6,IF(ISNUMBER(SEARCH(Assumptions!$C$7,D479)),Assumptions!$D$7,"Other Services"))),"Other Services"))</f>
        <v/>
      </c>
    </row>
    <row r="480" customFormat="false" ht="15" hidden="false" customHeight="false" outlineLevel="0" collapsed="false">
      <c r="F480" s="41" t="str">
        <f aca="false">IF(D480="","",IFERROR(IF(ISNUMBER(SEARCH(Assumptions!$C$5,D480)),Assumptions!$D$5,IF(ISNUMBER(SEARCH(Assumptions!$C$6,D480)),Assumptions!$D$6,IF(ISNUMBER(SEARCH(Assumptions!$C$7,D480)),Assumptions!$D$7,"Other Services"))),"Other Services"))</f>
        <v/>
      </c>
    </row>
    <row r="481" customFormat="false" ht="15" hidden="false" customHeight="false" outlineLevel="0" collapsed="false">
      <c r="F481" s="41" t="str">
        <f aca="false">IF(D481="","",IFERROR(IF(ISNUMBER(SEARCH(Assumptions!$C$5,D481)),Assumptions!$D$5,IF(ISNUMBER(SEARCH(Assumptions!$C$6,D481)),Assumptions!$D$6,IF(ISNUMBER(SEARCH(Assumptions!$C$7,D481)),Assumptions!$D$7,"Other Services"))),"Other Services"))</f>
        <v/>
      </c>
    </row>
    <row r="482" customFormat="false" ht="15" hidden="false" customHeight="false" outlineLevel="0" collapsed="false">
      <c r="F482" s="41" t="str">
        <f aca="false">IF(D482="","",IFERROR(IF(ISNUMBER(SEARCH(Assumptions!$C$5,D482)),Assumptions!$D$5,IF(ISNUMBER(SEARCH(Assumptions!$C$6,D482)),Assumptions!$D$6,IF(ISNUMBER(SEARCH(Assumptions!$C$7,D482)),Assumptions!$D$7,"Other Services"))),"Other Services"))</f>
        <v/>
      </c>
    </row>
    <row r="483" customFormat="false" ht="15" hidden="false" customHeight="false" outlineLevel="0" collapsed="false">
      <c r="F483" s="41" t="str">
        <f aca="false">IF(D483="","",IFERROR(IF(ISNUMBER(SEARCH(Assumptions!$C$5,D483)),Assumptions!$D$5,IF(ISNUMBER(SEARCH(Assumptions!$C$6,D483)),Assumptions!$D$6,IF(ISNUMBER(SEARCH(Assumptions!$C$7,D483)),Assumptions!$D$7,"Other Services"))),"Other Services"))</f>
        <v/>
      </c>
    </row>
    <row r="484" customFormat="false" ht="15" hidden="false" customHeight="false" outlineLevel="0" collapsed="false">
      <c r="F484" s="41" t="str">
        <f aca="false">IF(D484="","",IFERROR(IF(ISNUMBER(SEARCH(Assumptions!$C$5,D484)),Assumptions!$D$5,IF(ISNUMBER(SEARCH(Assumptions!$C$6,D484)),Assumptions!$D$6,IF(ISNUMBER(SEARCH(Assumptions!$C$7,D484)),Assumptions!$D$7,"Other Services"))),"Other Services"))</f>
        <v/>
      </c>
    </row>
    <row r="485" customFormat="false" ht="15" hidden="false" customHeight="false" outlineLevel="0" collapsed="false">
      <c r="F485" s="41" t="str">
        <f aca="false">IF(D485="","",IFERROR(IF(ISNUMBER(SEARCH(Assumptions!$C$5,D485)),Assumptions!$D$5,IF(ISNUMBER(SEARCH(Assumptions!$C$6,D485)),Assumptions!$D$6,IF(ISNUMBER(SEARCH(Assumptions!$C$7,D485)),Assumptions!$D$7,"Other Services"))),"Other Services"))</f>
        <v/>
      </c>
    </row>
    <row r="486" customFormat="false" ht="15" hidden="false" customHeight="false" outlineLevel="0" collapsed="false">
      <c r="F486" s="41" t="str">
        <f aca="false">IF(D486="","",IFERROR(IF(ISNUMBER(SEARCH(Assumptions!$C$5,D486)),Assumptions!$D$5,IF(ISNUMBER(SEARCH(Assumptions!$C$6,D486)),Assumptions!$D$6,IF(ISNUMBER(SEARCH(Assumptions!$C$7,D486)),Assumptions!$D$7,"Other Services"))),"Other Services"))</f>
        <v/>
      </c>
    </row>
    <row r="487" customFormat="false" ht="15" hidden="false" customHeight="false" outlineLevel="0" collapsed="false">
      <c r="F487" s="41" t="str">
        <f aca="false">IF(D487="","",IFERROR(IF(ISNUMBER(SEARCH(Assumptions!$C$5,D487)),Assumptions!$D$5,IF(ISNUMBER(SEARCH(Assumptions!$C$6,D487)),Assumptions!$D$6,IF(ISNUMBER(SEARCH(Assumptions!$C$7,D487)),Assumptions!$D$7,"Other Services"))),"Other Services"))</f>
        <v/>
      </c>
    </row>
    <row r="488" customFormat="false" ht="15" hidden="false" customHeight="false" outlineLevel="0" collapsed="false">
      <c r="F488" s="41" t="str">
        <f aca="false">IF(D488="","",IFERROR(IF(ISNUMBER(SEARCH(Assumptions!$C$5,D488)),Assumptions!$D$5,IF(ISNUMBER(SEARCH(Assumptions!$C$6,D488)),Assumptions!$D$6,IF(ISNUMBER(SEARCH(Assumptions!$C$7,D488)),Assumptions!$D$7,"Other Services"))),"Other Services"))</f>
        <v/>
      </c>
    </row>
    <row r="489" customFormat="false" ht="15" hidden="false" customHeight="false" outlineLevel="0" collapsed="false">
      <c r="F489" s="41" t="str">
        <f aca="false">IF(D489="","",IFERROR(IF(ISNUMBER(SEARCH(Assumptions!$C$5,D489)),Assumptions!$D$5,IF(ISNUMBER(SEARCH(Assumptions!$C$6,D489)),Assumptions!$D$6,IF(ISNUMBER(SEARCH(Assumptions!$C$7,D489)),Assumptions!$D$7,"Other Services"))),"Other Services"))</f>
        <v/>
      </c>
    </row>
    <row r="490" customFormat="false" ht="15" hidden="false" customHeight="false" outlineLevel="0" collapsed="false">
      <c r="F490" s="41" t="str">
        <f aca="false">IF(D490="","",IFERROR(IF(ISNUMBER(SEARCH(Assumptions!$C$5,D490)),Assumptions!$D$5,IF(ISNUMBER(SEARCH(Assumptions!$C$6,D490)),Assumptions!$D$6,IF(ISNUMBER(SEARCH(Assumptions!$C$7,D490)),Assumptions!$D$7,"Other Services"))),"Other Services"))</f>
        <v/>
      </c>
    </row>
    <row r="491" customFormat="false" ht="15" hidden="false" customHeight="false" outlineLevel="0" collapsed="false">
      <c r="F491" s="41" t="str">
        <f aca="false">IF(D491="","",IFERROR(IF(ISNUMBER(SEARCH(Assumptions!$C$5,D491)),Assumptions!$D$5,IF(ISNUMBER(SEARCH(Assumptions!$C$6,D491)),Assumptions!$D$6,IF(ISNUMBER(SEARCH(Assumptions!$C$7,D491)),Assumptions!$D$7,"Other Services"))),"Other Services"))</f>
        <v/>
      </c>
    </row>
    <row r="492" customFormat="false" ht="15" hidden="false" customHeight="false" outlineLevel="0" collapsed="false">
      <c r="F492" s="41" t="str">
        <f aca="false">IF(D492="","",IFERROR(IF(ISNUMBER(SEARCH(Assumptions!$C$5,D492)),Assumptions!$D$5,IF(ISNUMBER(SEARCH(Assumptions!$C$6,D492)),Assumptions!$D$6,IF(ISNUMBER(SEARCH(Assumptions!$C$7,D492)),Assumptions!$D$7,"Other Services"))),"Other Services"))</f>
        <v/>
      </c>
    </row>
    <row r="493" customFormat="false" ht="15" hidden="false" customHeight="false" outlineLevel="0" collapsed="false">
      <c r="F493" s="41" t="str">
        <f aca="false">IF(D493="","",IFERROR(IF(ISNUMBER(SEARCH(Assumptions!$C$5,D493)),Assumptions!$D$5,IF(ISNUMBER(SEARCH(Assumptions!$C$6,D493)),Assumptions!$D$6,IF(ISNUMBER(SEARCH(Assumptions!$C$7,D493)),Assumptions!$D$7,"Other Services"))),"Other Services"))</f>
        <v/>
      </c>
    </row>
    <row r="494" customFormat="false" ht="15" hidden="false" customHeight="false" outlineLevel="0" collapsed="false">
      <c r="F494" s="41" t="str">
        <f aca="false">IF(D494="","",IFERROR(IF(ISNUMBER(SEARCH(Assumptions!$C$5,D494)),Assumptions!$D$5,IF(ISNUMBER(SEARCH(Assumptions!$C$6,D494)),Assumptions!$D$6,IF(ISNUMBER(SEARCH(Assumptions!$C$7,D494)),Assumptions!$D$7,"Other Services"))),"Other Services"))</f>
        <v/>
      </c>
    </row>
    <row r="495" customFormat="false" ht="15" hidden="false" customHeight="false" outlineLevel="0" collapsed="false">
      <c r="F495" s="41" t="str">
        <f aca="false">IF(D495="","",IFERROR(IF(ISNUMBER(SEARCH(Assumptions!$C$5,D495)),Assumptions!$D$5,IF(ISNUMBER(SEARCH(Assumptions!$C$6,D495)),Assumptions!$D$6,IF(ISNUMBER(SEARCH(Assumptions!$C$7,D495)),Assumptions!$D$7,"Other Services"))),"Other Services"))</f>
        <v/>
      </c>
    </row>
    <row r="496" customFormat="false" ht="15" hidden="false" customHeight="false" outlineLevel="0" collapsed="false">
      <c r="F496" s="41" t="str">
        <f aca="false">IF(D496="","",IFERROR(IF(ISNUMBER(SEARCH(Assumptions!$C$5,D496)),Assumptions!$D$5,IF(ISNUMBER(SEARCH(Assumptions!$C$6,D496)),Assumptions!$D$6,IF(ISNUMBER(SEARCH(Assumptions!$C$7,D496)),Assumptions!$D$7,"Other Services"))),"Other Services"))</f>
        <v/>
      </c>
    </row>
    <row r="497" customFormat="false" ht="15" hidden="false" customHeight="false" outlineLevel="0" collapsed="false">
      <c r="F497" s="41" t="str">
        <f aca="false">IF(D497="","",IFERROR(IF(ISNUMBER(SEARCH(Assumptions!$C$5,D497)),Assumptions!$D$5,IF(ISNUMBER(SEARCH(Assumptions!$C$6,D497)),Assumptions!$D$6,IF(ISNUMBER(SEARCH(Assumptions!$C$7,D497)),Assumptions!$D$7,"Other Services"))),"Other Services"))</f>
        <v/>
      </c>
    </row>
    <row r="498" customFormat="false" ht="15" hidden="false" customHeight="false" outlineLevel="0" collapsed="false">
      <c r="F498" s="41" t="str">
        <f aca="false">IF(D498="","",IFERROR(IF(ISNUMBER(SEARCH(Assumptions!$C$5,D498)),Assumptions!$D$5,IF(ISNUMBER(SEARCH(Assumptions!$C$6,D498)),Assumptions!$D$6,IF(ISNUMBER(SEARCH(Assumptions!$C$7,D498)),Assumptions!$D$7,"Other Services"))),"Other Services"))</f>
        <v/>
      </c>
    </row>
    <row r="499" customFormat="false" ht="15" hidden="false" customHeight="false" outlineLevel="0" collapsed="false">
      <c r="F499" s="41" t="str">
        <f aca="false">IF(D499="","",IFERROR(IF(ISNUMBER(SEARCH(Assumptions!$C$5,D499)),Assumptions!$D$5,IF(ISNUMBER(SEARCH(Assumptions!$C$6,D499)),Assumptions!$D$6,IF(ISNUMBER(SEARCH(Assumptions!$C$7,D499)),Assumptions!$D$7,"Other Services"))),"Other Services"))</f>
        <v/>
      </c>
    </row>
    <row r="500" customFormat="false" ht="15" hidden="false" customHeight="false" outlineLevel="0" collapsed="false">
      <c r="F500" s="41" t="str">
        <f aca="false">IF(D500="","",IFERROR(IF(ISNUMBER(SEARCH(Assumptions!$C$5,D500)),Assumptions!$D$5,IF(ISNUMBER(SEARCH(Assumptions!$C$6,D500)),Assumptions!$D$6,IF(ISNUMBER(SEARCH(Assumptions!$C$7,D500)),Assumptions!$D$7,"Other Services"))),"Other Services"))</f>
        <v/>
      </c>
    </row>
    <row r="501" customFormat="false" ht="15" hidden="false" customHeight="false" outlineLevel="0" collapsed="false">
      <c r="F501" s="41" t="str">
        <f aca="false">IF(D501="","",IFERROR(IF(ISNUMBER(SEARCH(Assumptions!$C$5,D501)),Assumptions!$D$5,IF(ISNUMBER(SEARCH(Assumptions!$C$6,D501)),Assumptions!$D$6,IF(ISNUMBER(SEARCH(Assumptions!$C$7,D501)),Assumptions!$D$7,"Other Services"))),"Other Services"))</f>
        <v/>
      </c>
    </row>
    <row r="502" customFormat="false" ht="15" hidden="false" customHeight="false" outlineLevel="0" collapsed="false">
      <c r="F502" s="41" t="str">
        <f aca="false">IF(D502="","",IFERROR(IF(ISNUMBER(SEARCH(Assumptions!$C$5,D502)),Assumptions!$D$5,IF(ISNUMBER(SEARCH(Assumptions!$C$6,D502)),Assumptions!$D$6,IF(ISNUMBER(SEARCH(Assumptions!$C$7,D502)),Assumptions!$D$7,"Other Services"))),"Other Services"))</f>
        <v/>
      </c>
    </row>
    <row r="503" customFormat="false" ht="15" hidden="false" customHeight="false" outlineLevel="0" collapsed="false">
      <c r="F503" s="41" t="str">
        <f aca="false">IF(D503="","",IFERROR(IF(ISNUMBER(SEARCH(Assumptions!$C$5,D503)),Assumptions!$D$5,IF(ISNUMBER(SEARCH(Assumptions!$C$6,D503)),Assumptions!$D$6,IF(ISNUMBER(SEARCH(Assumptions!$C$7,D503)),Assumptions!$D$7,"Other Services"))),"Other Services"))</f>
        <v/>
      </c>
    </row>
    <row r="504" customFormat="false" ht="15" hidden="false" customHeight="false" outlineLevel="0" collapsed="false">
      <c r="F504" s="41" t="str">
        <f aca="false">IF(D504="","",IFERROR(IF(ISNUMBER(SEARCH(Assumptions!$C$5,D504)),Assumptions!$D$5,IF(ISNUMBER(SEARCH(Assumptions!$C$6,D504)),Assumptions!$D$6,IF(ISNUMBER(SEARCH(Assumptions!$C$7,D504)),Assumptions!$D$7,"Other Services"))),"Other Services"))</f>
        <v/>
      </c>
    </row>
    <row r="505" customFormat="false" ht="15" hidden="false" customHeight="false" outlineLevel="0" collapsed="false">
      <c r="F505" s="41" t="str">
        <f aca="false">IF(D505="","",IFERROR(IF(ISNUMBER(SEARCH(Assumptions!$C$5,D505)),Assumptions!$D$5,IF(ISNUMBER(SEARCH(Assumptions!$C$6,D505)),Assumptions!$D$6,IF(ISNUMBER(SEARCH(Assumptions!$C$7,D505)),Assumptions!$D$7,"Other Services"))),"Other Services"))</f>
        <v/>
      </c>
    </row>
    <row r="506" customFormat="false" ht="15" hidden="false" customHeight="false" outlineLevel="0" collapsed="false">
      <c r="F506" s="41" t="str">
        <f aca="false">IF(D506="","",IFERROR(IF(ISNUMBER(SEARCH(Assumptions!$C$5,D506)),Assumptions!$D$5,IF(ISNUMBER(SEARCH(Assumptions!$C$6,D506)),Assumptions!$D$6,IF(ISNUMBER(SEARCH(Assumptions!$C$7,D506)),Assumptions!$D$7,"Other Services"))),"Other Services"))</f>
        <v/>
      </c>
    </row>
    <row r="507" customFormat="false" ht="15" hidden="false" customHeight="false" outlineLevel="0" collapsed="false">
      <c r="F507" s="41" t="str">
        <f aca="false">IF(D507="","",IFERROR(IF(ISNUMBER(SEARCH(Assumptions!$C$5,D507)),Assumptions!$D$5,IF(ISNUMBER(SEARCH(Assumptions!$C$6,D507)),Assumptions!$D$6,IF(ISNUMBER(SEARCH(Assumptions!$C$7,D507)),Assumptions!$D$7,"Other Services"))),"Other Services"))</f>
        <v/>
      </c>
    </row>
    <row r="508" customFormat="false" ht="15" hidden="false" customHeight="false" outlineLevel="0" collapsed="false">
      <c r="F508" s="41" t="str">
        <f aca="false">IF(D508="","",IFERROR(IF(ISNUMBER(SEARCH(Assumptions!$C$5,D508)),Assumptions!$D$5,IF(ISNUMBER(SEARCH(Assumptions!$C$6,D508)),Assumptions!$D$6,IF(ISNUMBER(SEARCH(Assumptions!$C$7,D508)),Assumptions!$D$7,"Other Services"))),"Other Services"))</f>
        <v/>
      </c>
    </row>
    <row r="509" customFormat="false" ht="15" hidden="false" customHeight="false" outlineLevel="0" collapsed="false">
      <c r="F509" s="41" t="str">
        <f aca="false">IF(D509="","",IFERROR(IF(ISNUMBER(SEARCH(Assumptions!$C$5,D509)),Assumptions!$D$5,IF(ISNUMBER(SEARCH(Assumptions!$C$6,D509)),Assumptions!$D$6,IF(ISNUMBER(SEARCH(Assumptions!$C$7,D509)),Assumptions!$D$7,"Other Services"))),"Other Services"))</f>
        <v/>
      </c>
    </row>
    <row r="510" customFormat="false" ht="15" hidden="false" customHeight="false" outlineLevel="0" collapsed="false">
      <c r="F510" s="41" t="str">
        <f aca="false">IF(D510="","",IFERROR(IF(ISNUMBER(SEARCH(Assumptions!$C$5,D510)),Assumptions!$D$5,IF(ISNUMBER(SEARCH(Assumptions!$C$6,D510)),Assumptions!$D$6,IF(ISNUMBER(SEARCH(Assumptions!$C$7,D510)),Assumptions!$D$7,"Other Services"))),"Other Services"))</f>
        <v/>
      </c>
    </row>
    <row r="511" customFormat="false" ht="15" hidden="false" customHeight="false" outlineLevel="0" collapsed="false">
      <c r="F511" s="41" t="str">
        <f aca="false">IF(D511="","",IFERROR(IF(ISNUMBER(SEARCH(Assumptions!$C$5,D511)),Assumptions!$D$5,IF(ISNUMBER(SEARCH(Assumptions!$C$6,D511)),Assumptions!$D$6,IF(ISNUMBER(SEARCH(Assumptions!$C$7,D511)),Assumptions!$D$7,"Other Services"))),"Other Services"))</f>
        <v/>
      </c>
    </row>
    <row r="512" customFormat="false" ht="15" hidden="false" customHeight="false" outlineLevel="0" collapsed="false">
      <c r="F512" s="41" t="str">
        <f aca="false">IF(D512="","",IFERROR(IF(ISNUMBER(SEARCH(Assumptions!$C$5,D512)),Assumptions!$D$5,IF(ISNUMBER(SEARCH(Assumptions!$C$6,D512)),Assumptions!$D$6,IF(ISNUMBER(SEARCH(Assumptions!$C$7,D512)),Assumptions!$D$7,"Other Services"))),"Other Services"))</f>
        <v/>
      </c>
    </row>
    <row r="513" customFormat="false" ht="15" hidden="false" customHeight="false" outlineLevel="0" collapsed="false">
      <c r="F513" s="41" t="str">
        <f aca="false">IF(D513="","",IFERROR(IF(ISNUMBER(SEARCH(Assumptions!$C$5,D513)),Assumptions!$D$5,IF(ISNUMBER(SEARCH(Assumptions!$C$6,D513)),Assumptions!$D$6,IF(ISNUMBER(SEARCH(Assumptions!$C$7,D513)),Assumptions!$D$7,"Other Services"))),"Other Services"))</f>
        <v/>
      </c>
    </row>
    <row r="514" customFormat="false" ht="15" hidden="false" customHeight="false" outlineLevel="0" collapsed="false">
      <c r="F514" s="41" t="str">
        <f aca="false">IF(D514="","",IFERROR(IF(ISNUMBER(SEARCH(Assumptions!$C$5,D514)),Assumptions!$D$5,IF(ISNUMBER(SEARCH(Assumptions!$C$6,D514)),Assumptions!$D$6,IF(ISNUMBER(SEARCH(Assumptions!$C$7,D514)),Assumptions!$D$7,"Other Services"))),"Other Services"))</f>
        <v/>
      </c>
    </row>
    <row r="515" customFormat="false" ht="15" hidden="false" customHeight="false" outlineLevel="0" collapsed="false">
      <c r="F515" s="41" t="str">
        <f aca="false">IF(D515="","",IFERROR(IF(ISNUMBER(SEARCH(Assumptions!$C$5,D515)),Assumptions!$D$5,IF(ISNUMBER(SEARCH(Assumptions!$C$6,D515)),Assumptions!$D$6,IF(ISNUMBER(SEARCH(Assumptions!$C$7,D515)),Assumptions!$D$7,"Other Services"))),"Other Services"))</f>
        <v/>
      </c>
    </row>
    <row r="516" customFormat="false" ht="15" hidden="false" customHeight="false" outlineLevel="0" collapsed="false">
      <c r="F516" s="41" t="str">
        <f aca="false">IF(D516="","",IFERROR(IF(ISNUMBER(SEARCH(Assumptions!$C$5,D516)),Assumptions!$D$5,IF(ISNUMBER(SEARCH(Assumptions!$C$6,D516)),Assumptions!$D$6,IF(ISNUMBER(SEARCH(Assumptions!$C$7,D516)),Assumptions!$D$7,"Other Services"))),"Other Services"))</f>
        <v/>
      </c>
    </row>
    <row r="517" customFormat="false" ht="15" hidden="false" customHeight="false" outlineLevel="0" collapsed="false">
      <c r="F517" s="41" t="str">
        <f aca="false">IF(D517="","",IFERROR(IF(ISNUMBER(SEARCH(Assumptions!$C$5,D517)),Assumptions!$D$5,IF(ISNUMBER(SEARCH(Assumptions!$C$6,D517)),Assumptions!$D$6,IF(ISNUMBER(SEARCH(Assumptions!$C$7,D517)),Assumptions!$D$7,"Other Services"))),"Other Services"))</f>
        <v/>
      </c>
    </row>
    <row r="518" customFormat="false" ht="15" hidden="false" customHeight="false" outlineLevel="0" collapsed="false">
      <c r="F518" s="41" t="str">
        <f aca="false">IF(D518="","",IFERROR(IF(ISNUMBER(SEARCH(Assumptions!$C$5,D518)),Assumptions!$D$5,IF(ISNUMBER(SEARCH(Assumptions!$C$6,D518)),Assumptions!$D$6,IF(ISNUMBER(SEARCH(Assumptions!$C$7,D518)),Assumptions!$D$7,"Other Services"))),"Other Services"))</f>
        <v/>
      </c>
    </row>
    <row r="519" customFormat="false" ht="15" hidden="false" customHeight="false" outlineLevel="0" collapsed="false">
      <c r="F519" s="41" t="str">
        <f aca="false">IF(D519="","",IFERROR(IF(ISNUMBER(SEARCH(Assumptions!$C$5,D519)),Assumptions!$D$5,IF(ISNUMBER(SEARCH(Assumptions!$C$6,D519)),Assumptions!$D$6,IF(ISNUMBER(SEARCH(Assumptions!$C$7,D519)),Assumptions!$D$7,"Other Services"))),"Other Services"))</f>
        <v/>
      </c>
    </row>
    <row r="520" customFormat="false" ht="15" hidden="false" customHeight="false" outlineLevel="0" collapsed="false">
      <c r="F520" s="41" t="str">
        <f aca="false">IF(D520="","",IFERROR(IF(ISNUMBER(SEARCH(Assumptions!$C$5,D520)),Assumptions!$D$5,IF(ISNUMBER(SEARCH(Assumptions!$C$6,D520)),Assumptions!$D$6,IF(ISNUMBER(SEARCH(Assumptions!$C$7,D520)),Assumptions!$D$7,"Other Services"))),"Other Services"))</f>
        <v/>
      </c>
    </row>
    <row r="521" customFormat="false" ht="15" hidden="false" customHeight="false" outlineLevel="0" collapsed="false">
      <c r="F521" s="41" t="str">
        <f aca="false">IF(D521="","",IFERROR(IF(ISNUMBER(SEARCH(Assumptions!$C$5,D521)),Assumptions!$D$5,IF(ISNUMBER(SEARCH(Assumptions!$C$6,D521)),Assumptions!$D$6,IF(ISNUMBER(SEARCH(Assumptions!$C$7,D521)),Assumptions!$D$7,"Other Services"))),"Other Services"))</f>
        <v/>
      </c>
    </row>
    <row r="522" customFormat="false" ht="15" hidden="false" customHeight="false" outlineLevel="0" collapsed="false">
      <c r="F522" s="41" t="str">
        <f aca="false">IF(D522="","",IFERROR(IF(ISNUMBER(SEARCH(Assumptions!$C$5,D522)),Assumptions!$D$5,IF(ISNUMBER(SEARCH(Assumptions!$C$6,D522)),Assumptions!$D$6,IF(ISNUMBER(SEARCH(Assumptions!$C$7,D522)),Assumptions!$D$7,"Other Services"))),"Other Services"))</f>
        <v/>
      </c>
    </row>
    <row r="523" customFormat="false" ht="15" hidden="false" customHeight="false" outlineLevel="0" collapsed="false">
      <c r="F523" s="41" t="str">
        <f aca="false">IF(D523="","",IFERROR(IF(ISNUMBER(SEARCH(Assumptions!$C$5,D523)),Assumptions!$D$5,IF(ISNUMBER(SEARCH(Assumptions!$C$6,D523)),Assumptions!$D$6,IF(ISNUMBER(SEARCH(Assumptions!$C$7,D523)),Assumptions!$D$7,"Other Services"))),"Other Services"))</f>
        <v/>
      </c>
    </row>
    <row r="524" customFormat="false" ht="15" hidden="false" customHeight="false" outlineLevel="0" collapsed="false">
      <c r="F524" s="41" t="str">
        <f aca="false">IF(D524="","",IFERROR(IF(ISNUMBER(SEARCH(Assumptions!$C$5,D524)),Assumptions!$D$5,IF(ISNUMBER(SEARCH(Assumptions!$C$6,D524)),Assumptions!$D$6,IF(ISNUMBER(SEARCH(Assumptions!$C$7,D524)),Assumptions!$D$7,"Other Services"))),"Other Services"))</f>
        <v/>
      </c>
    </row>
    <row r="525" customFormat="false" ht="15" hidden="false" customHeight="false" outlineLevel="0" collapsed="false">
      <c r="F525" s="41" t="str">
        <f aca="false">IF(D525="","",IFERROR(IF(ISNUMBER(SEARCH(Assumptions!$C$5,D525)),Assumptions!$D$5,IF(ISNUMBER(SEARCH(Assumptions!$C$6,D525)),Assumptions!$D$6,IF(ISNUMBER(SEARCH(Assumptions!$C$7,D525)),Assumptions!$D$7,"Other Services"))),"Other Services"))</f>
        <v/>
      </c>
    </row>
    <row r="526" customFormat="false" ht="15" hidden="false" customHeight="false" outlineLevel="0" collapsed="false">
      <c r="F526" s="41" t="str">
        <f aca="false">IF(D526="","",IFERROR(IF(ISNUMBER(SEARCH(Assumptions!$C$5,D526)),Assumptions!$D$5,IF(ISNUMBER(SEARCH(Assumptions!$C$6,D526)),Assumptions!$D$6,IF(ISNUMBER(SEARCH(Assumptions!$C$7,D526)),Assumptions!$D$7,"Other Services"))),"Other Services"))</f>
        <v/>
      </c>
    </row>
    <row r="527" customFormat="false" ht="15" hidden="false" customHeight="false" outlineLevel="0" collapsed="false">
      <c r="F527" s="41" t="str">
        <f aca="false">IF(D527="","",IFERROR(IF(ISNUMBER(SEARCH(Assumptions!$C$5,D527)),Assumptions!$D$5,IF(ISNUMBER(SEARCH(Assumptions!$C$6,D527)),Assumptions!$D$6,IF(ISNUMBER(SEARCH(Assumptions!$C$7,D527)),Assumptions!$D$7,"Other Services"))),"Other Services"))</f>
        <v/>
      </c>
    </row>
    <row r="528" customFormat="false" ht="15" hidden="false" customHeight="false" outlineLevel="0" collapsed="false">
      <c r="F528" s="41" t="str">
        <f aca="false">IF(D528="","",IFERROR(IF(ISNUMBER(SEARCH(Assumptions!$C$5,D528)),Assumptions!$D$5,IF(ISNUMBER(SEARCH(Assumptions!$C$6,D528)),Assumptions!$D$6,IF(ISNUMBER(SEARCH(Assumptions!$C$7,D528)),Assumptions!$D$7,"Other Services"))),"Other Services"))</f>
        <v/>
      </c>
    </row>
    <row r="529" customFormat="false" ht="15" hidden="false" customHeight="false" outlineLevel="0" collapsed="false">
      <c r="F529" s="41" t="str">
        <f aca="false">IF(D529="","",IFERROR(IF(ISNUMBER(SEARCH(Assumptions!$C$5,D529)),Assumptions!$D$5,IF(ISNUMBER(SEARCH(Assumptions!$C$6,D529)),Assumptions!$D$6,IF(ISNUMBER(SEARCH(Assumptions!$C$7,D529)),Assumptions!$D$7,"Other Services"))),"Other Services"))</f>
        <v/>
      </c>
    </row>
    <row r="530" customFormat="false" ht="15" hidden="false" customHeight="false" outlineLevel="0" collapsed="false">
      <c r="F530" s="41" t="str">
        <f aca="false">IF(D530="","",IFERROR(IF(ISNUMBER(SEARCH(Assumptions!$C$5,D530)),Assumptions!$D$5,IF(ISNUMBER(SEARCH(Assumptions!$C$6,D530)),Assumptions!$D$6,IF(ISNUMBER(SEARCH(Assumptions!$C$7,D530)),Assumptions!$D$7,"Other Services"))),"Other Services"))</f>
        <v/>
      </c>
    </row>
    <row r="531" customFormat="false" ht="15" hidden="false" customHeight="false" outlineLevel="0" collapsed="false">
      <c r="F531" s="41" t="str">
        <f aca="false">IF(D531="","",IFERROR(IF(ISNUMBER(SEARCH(Assumptions!$C$5,D531)),Assumptions!$D$5,IF(ISNUMBER(SEARCH(Assumptions!$C$6,D531)),Assumptions!$D$6,IF(ISNUMBER(SEARCH(Assumptions!$C$7,D531)),Assumptions!$D$7,"Other Services"))),"Other Services"))</f>
        <v/>
      </c>
    </row>
    <row r="532" customFormat="false" ht="15" hidden="false" customHeight="false" outlineLevel="0" collapsed="false">
      <c r="F532" s="41" t="str">
        <f aca="false">IF(D532="","",IFERROR(IF(ISNUMBER(SEARCH(Assumptions!$C$5,D532)),Assumptions!$D$5,IF(ISNUMBER(SEARCH(Assumptions!$C$6,D532)),Assumptions!$D$6,IF(ISNUMBER(SEARCH(Assumptions!$C$7,D532)),Assumptions!$D$7,"Other Services"))),"Other Services"))</f>
        <v/>
      </c>
    </row>
    <row r="533" customFormat="false" ht="15" hidden="false" customHeight="false" outlineLevel="0" collapsed="false">
      <c r="F533" s="41" t="str">
        <f aca="false">IF(D533="","",IFERROR(IF(ISNUMBER(SEARCH(Assumptions!$C$5,D533)),Assumptions!$D$5,IF(ISNUMBER(SEARCH(Assumptions!$C$6,D533)),Assumptions!$D$6,IF(ISNUMBER(SEARCH(Assumptions!$C$7,D533)),Assumptions!$D$7,"Other Services"))),"Other Services"))</f>
        <v/>
      </c>
    </row>
    <row r="534" customFormat="false" ht="15" hidden="false" customHeight="false" outlineLevel="0" collapsed="false">
      <c r="F534" s="41" t="str">
        <f aca="false">IF(D534="","",IFERROR(IF(ISNUMBER(SEARCH(Assumptions!$C$5,D534)),Assumptions!$D$5,IF(ISNUMBER(SEARCH(Assumptions!$C$6,D534)),Assumptions!$D$6,IF(ISNUMBER(SEARCH(Assumptions!$C$7,D534)),Assumptions!$D$7,"Other Services"))),"Other Services"))</f>
        <v/>
      </c>
    </row>
    <row r="535" customFormat="false" ht="15" hidden="false" customHeight="false" outlineLevel="0" collapsed="false">
      <c r="F535" s="41" t="str">
        <f aca="false">IF(D535="","",IFERROR(IF(ISNUMBER(SEARCH(Assumptions!$C$5,D535)),Assumptions!$D$5,IF(ISNUMBER(SEARCH(Assumptions!$C$6,D535)),Assumptions!$D$6,IF(ISNUMBER(SEARCH(Assumptions!$C$7,D535)),Assumptions!$D$7,"Other Services"))),"Other Services"))</f>
        <v/>
      </c>
    </row>
    <row r="536" customFormat="false" ht="15" hidden="false" customHeight="false" outlineLevel="0" collapsed="false">
      <c r="F536" s="41" t="str">
        <f aca="false">IF(D536="","",IFERROR(IF(ISNUMBER(SEARCH(Assumptions!$C$5,D536)),Assumptions!$D$5,IF(ISNUMBER(SEARCH(Assumptions!$C$6,D536)),Assumptions!$D$6,IF(ISNUMBER(SEARCH(Assumptions!$C$7,D536)),Assumptions!$D$7,"Other Services"))),"Other Services"))</f>
        <v/>
      </c>
    </row>
    <row r="537" customFormat="false" ht="15" hidden="false" customHeight="false" outlineLevel="0" collapsed="false">
      <c r="F537" s="41" t="str">
        <f aca="false">IF(D537="","",IFERROR(IF(ISNUMBER(SEARCH(Assumptions!$C$5,D537)),Assumptions!$D$5,IF(ISNUMBER(SEARCH(Assumptions!$C$6,D537)),Assumptions!$D$6,IF(ISNUMBER(SEARCH(Assumptions!$C$7,D537)),Assumptions!$D$7,"Other Services"))),"Other Services"))</f>
        <v/>
      </c>
    </row>
    <row r="538" customFormat="false" ht="15" hidden="false" customHeight="false" outlineLevel="0" collapsed="false">
      <c r="F538" s="41" t="str">
        <f aca="false">IF(D538="","",IFERROR(IF(ISNUMBER(SEARCH(Assumptions!$C$5,D538)),Assumptions!$D$5,IF(ISNUMBER(SEARCH(Assumptions!$C$6,D538)),Assumptions!$D$6,IF(ISNUMBER(SEARCH(Assumptions!$C$7,D538)),Assumptions!$D$7,"Other Services"))),"Other Services"))</f>
        <v/>
      </c>
    </row>
    <row r="539" customFormat="false" ht="15" hidden="false" customHeight="false" outlineLevel="0" collapsed="false">
      <c r="F539" s="41" t="str">
        <f aca="false">IF(D539="","",IFERROR(IF(ISNUMBER(SEARCH(Assumptions!$C$5,D539)),Assumptions!$D$5,IF(ISNUMBER(SEARCH(Assumptions!$C$6,D539)),Assumptions!$D$6,IF(ISNUMBER(SEARCH(Assumptions!$C$7,D539)),Assumptions!$D$7,"Other Services"))),"Other Services"))</f>
        <v/>
      </c>
    </row>
    <row r="540" customFormat="false" ht="15" hidden="false" customHeight="false" outlineLevel="0" collapsed="false">
      <c r="F540" s="41" t="str">
        <f aca="false">IF(D540="","",IFERROR(IF(ISNUMBER(SEARCH(Assumptions!$C$5,D540)),Assumptions!$D$5,IF(ISNUMBER(SEARCH(Assumptions!$C$6,D540)),Assumptions!$D$6,IF(ISNUMBER(SEARCH(Assumptions!$C$7,D540)),Assumptions!$D$7,"Other Services"))),"Other Services"))</f>
        <v/>
      </c>
    </row>
    <row r="541" customFormat="false" ht="15" hidden="false" customHeight="false" outlineLevel="0" collapsed="false">
      <c r="F541" s="41" t="str">
        <f aca="false">IF(D541="","",IFERROR(IF(ISNUMBER(SEARCH(Assumptions!$C$5,D541)),Assumptions!$D$5,IF(ISNUMBER(SEARCH(Assumptions!$C$6,D541)),Assumptions!$D$6,IF(ISNUMBER(SEARCH(Assumptions!$C$7,D541)),Assumptions!$D$7,"Other Services"))),"Other Services"))</f>
        <v/>
      </c>
    </row>
    <row r="542" customFormat="false" ht="15" hidden="false" customHeight="false" outlineLevel="0" collapsed="false">
      <c r="F542" s="41" t="str">
        <f aca="false">IF(D542="","",IFERROR(IF(ISNUMBER(SEARCH(Assumptions!$C$5,D542)),Assumptions!$D$5,IF(ISNUMBER(SEARCH(Assumptions!$C$6,D542)),Assumptions!$D$6,IF(ISNUMBER(SEARCH(Assumptions!$C$7,D542)),Assumptions!$D$7,"Other Services"))),"Other Services"))</f>
        <v/>
      </c>
    </row>
    <row r="543" customFormat="false" ht="15" hidden="false" customHeight="false" outlineLevel="0" collapsed="false">
      <c r="F543" s="41" t="str">
        <f aca="false">IF(D543="","",IFERROR(IF(ISNUMBER(SEARCH(Assumptions!$C$5,D543)),Assumptions!$D$5,IF(ISNUMBER(SEARCH(Assumptions!$C$6,D543)),Assumptions!$D$6,IF(ISNUMBER(SEARCH(Assumptions!$C$7,D543)),Assumptions!$D$7,"Other Services"))),"Other Services"))</f>
        <v/>
      </c>
    </row>
    <row r="544" customFormat="false" ht="15" hidden="false" customHeight="false" outlineLevel="0" collapsed="false">
      <c r="F544" s="41" t="str">
        <f aca="false">IF(D544="","",IFERROR(IF(ISNUMBER(SEARCH(Assumptions!$C$5,D544)),Assumptions!$D$5,IF(ISNUMBER(SEARCH(Assumptions!$C$6,D544)),Assumptions!$D$6,IF(ISNUMBER(SEARCH(Assumptions!$C$7,D544)),Assumptions!$D$7,"Other Services"))),"Other Services"))</f>
        <v/>
      </c>
    </row>
    <row r="545" customFormat="false" ht="15" hidden="false" customHeight="false" outlineLevel="0" collapsed="false">
      <c r="F545" s="41" t="str">
        <f aca="false">IF(D545="","",IFERROR(IF(ISNUMBER(SEARCH(Assumptions!$C$5,D545)),Assumptions!$D$5,IF(ISNUMBER(SEARCH(Assumptions!$C$6,D545)),Assumptions!$D$6,IF(ISNUMBER(SEARCH(Assumptions!$C$7,D545)),Assumptions!$D$7,"Other Services"))),"Other Services"))</f>
        <v/>
      </c>
    </row>
    <row r="546" customFormat="false" ht="15" hidden="false" customHeight="false" outlineLevel="0" collapsed="false">
      <c r="F546" s="41" t="str">
        <f aca="false">IF(D546="","",IFERROR(IF(ISNUMBER(SEARCH(Assumptions!$C$5,D546)),Assumptions!$D$5,IF(ISNUMBER(SEARCH(Assumptions!$C$6,D546)),Assumptions!$D$6,IF(ISNUMBER(SEARCH(Assumptions!$C$7,D546)),Assumptions!$D$7,"Other Services"))),"Other Services"))</f>
        <v/>
      </c>
    </row>
    <row r="547" customFormat="false" ht="15" hidden="false" customHeight="false" outlineLevel="0" collapsed="false">
      <c r="F547" s="41" t="str">
        <f aca="false">IF(D547="","",IFERROR(IF(ISNUMBER(SEARCH(Assumptions!$C$5,D547)),Assumptions!$D$5,IF(ISNUMBER(SEARCH(Assumptions!$C$6,D547)),Assumptions!$D$6,IF(ISNUMBER(SEARCH(Assumptions!$C$7,D547)),Assumptions!$D$7,"Other Services"))),"Other Services"))</f>
        <v/>
      </c>
    </row>
    <row r="548" customFormat="false" ht="15" hidden="false" customHeight="false" outlineLevel="0" collapsed="false">
      <c r="F548" s="41" t="str">
        <f aca="false">IF(D548="","",IFERROR(IF(ISNUMBER(SEARCH(Assumptions!$C$5,D548)),Assumptions!$D$5,IF(ISNUMBER(SEARCH(Assumptions!$C$6,D548)),Assumptions!$D$6,IF(ISNUMBER(SEARCH(Assumptions!$C$7,D548)),Assumptions!$D$7,"Other Services"))),"Other Services"))</f>
        <v/>
      </c>
    </row>
    <row r="549" customFormat="false" ht="15" hidden="false" customHeight="false" outlineLevel="0" collapsed="false">
      <c r="F549" s="41" t="str">
        <f aca="false">IF(D549="","",IFERROR(IF(ISNUMBER(SEARCH(Assumptions!$C$5,D549)),Assumptions!$D$5,IF(ISNUMBER(SEARCH(Assumptions!$C$6,D549)),Assumptions!$D$6,IF(ISNUMBER(SEARCH(Assumptions!$C$7,D549)),Assumptions!$D$7,"Other Services"))),"Other Services"))</f>
        <v/>
      </c>
    </row>
    <row r="550" customFormat="false" ht="15" hidden="false" customHeight="false" outlineLevel="0" collapsed="false">
      <c r="F550" s="41" t="str">
        <f aca="false">IF(D550="","",IFERROR(IF(ISNUMBER(SEARCH(Assumptions!$C$5,D550)),Assumptions!$D$5,IF(ISNUMBER(SEARCH(Assumptions!$C$6,D550)),Assumptions!$D$6,IF(ISNUMBER(SEARCH(Assumptions!$C$7,D550)),Assumptions!$D$7,"Other Services"))),"Other Services"))</f>
        <v/>
      </c>
    </row>
    <row r="551" customFormat="false" ht="15" hidden="false" customHeight="false" outlineLevel="0" collapsed="false">
      <c r="F551" s="41" t="str">
        <f aca="false">IF(D551="","",IFERROR(IF(ISNUMBER(SEARCH(Assumptions!$C$5,D551)),Assumptions!$D$5,IF(ISNUMBER(SEARCH(Assumptions!$C$6,D551)),Assumptions!$D$6,IF(ISNUMBER(SEARCH(Assumptions!$C$7,D551)),Assumptions!$D$7,"Other Services"))),"Other Services"))</f>
        <v/>
      </c>
    </row>
    <row r="552" customFormat="false" ht="15" hidden="false" customHeight="false" outlineLevel="0" collapsed="false">
      <c r="F552" s="41" t="str">
        <f aca="false">IF(D552="","",IFERROR(IF(ISNUMBER(SEARCH(Assumptions!$C$5,D552)),Assumptions!$D$5,IF(ISNUMBER(SEARCH(Assumptions!$C$6,D552)),Assumptions!$D$6,IF(ISNUMBER(SEARCH(Assumptions!$C$7,D552)),Assumptions!$D$7,"Other Services"))),"Other Services"))</f>
        <v/>
      </c>
    </row>
    <row r="553" customFormat="false" ht="15" hidden="false" customHeight="false" outlineLevel="0" collapsed="false">
      <c r="F553" s="41" t="str">
        <f aca="false">IF(D553="","",IFERROR(IF(ISNUMBER(SEARCH(Assumptions!$C$5,D553)),Assumptions!$D$5,IF(ISNUMBER(SEARCH(Assumptions!$C$6,D553)),Assumptions!$D$6,IF(ISNUMBER(SEARCH(Assumptions!$C$7,D553)),Assumptions!$D$7,"Other Services"))),"Other Services"))</f>
        <v/>
      </c>
    </row>
    <row r="554" customFormat="false" ht="15" hidden="false" customHeight="false" outlineLevel="0" collapsed="false">
      <c r="F554" s="41" t="str">
        <f aca="false">IF(D554="","",IFERROR(IF(ISNUMBER(SEARCH(Assumptions!$C$5,D554)),Assumptions!$D$5,IF(ISNUMBER(SEARCH(Assumptions!$C$6,D554)),Assumptions!$D$6,IF(ISNUMBER(SEARCH(Assumptions!$C$7,D554)),Assumptions!$D$7,"Other Services"))),"Other Services"))</f>
        <v/>
      </c>
    </row>
    <row r="555" customFormat="false" ht="15" hidden="false" customHeight="false" outlineLevel="0" collapsed="false">
      <c r="F555" s="41" t="str">
        <f aca="false">IF(D555="","",IFERROR(IF(ISNUMBER(SEARCH(Assumptions!$C$5,D555)),Assumptions!$D$5,IF(ISNUMBER(SEARCH(Assumptions!$C$6,D555)),Assumptions!$D$6,IF(ISNUMBER(SEARCH(Assumptions!$C$7,D555)),Assumptions!$D$7,"Other Services"))),"Other Services"))</f>
        <v/>
      </c>
    </row>
    <row r="556" customFormat="false" ht="15" hidden="false" customHeight="false" outlineLevel="0" collapsed="false">
      <c r="F556" s="41" t="str">
        <f aca="false">IF(D556="","",IFERROR(IF(ISNUMBER(SEARCH(Assumptions!$C$5,D556)),Assumptions!$D$5,IF(ISNUMBER(SEARCH(Assumptions!$C$6,D556)),Assumptions!$D$6,IF(ISNUMBER(SEARCH(Assumptions!$C$7,D556)),Assumptions!$D$7,"Other Services"))),"Other Services"))</f>
        <v/>
      </c>
    </row>
    <row r="557" customFormat="false" ht="15" hidden="false" customHeight="false" outlineLevel="0" collapsed="false">
      <c r="F557" s="41" t="str">
        <f aca="false">IF(D557="","",IFERROR(IF(ISNUMBER(SEARCH(Assumptions!$C$5,D557)),Assumptions!$D$5,IF(ISNUMBER(SEARCH(Assumptions!$C$6,D557)),Assumptions!$D$6,IF(ISNUMBER(SEARCH(Assumptions!$C$7,D557)),Assumptions!$D$7,"Other Services"))),"Other Services"))</f>
        <v/>
      </c>
    </row>
    <row r="558" customFormat="false" ht="15" hidden="false" customHeight="false" outlineLevel="0" collapsed="false">
      <c r="F558" s="41" t="str">
        <f aca="false">IF(D558="","",IFERROR(IF(ISNUMBER(SEARCH(Assumptions!$C$5,D558)),Assumptions!$D$5,IF(ISNUMBER(SEARCH(Assumptions!$C$6,D558)),Assumptions!$D$6,IF(ISNUMBER(SEARCH(Assumptions!$C$7,D558)),Assumptions!$D$7,"Other Services"))),"Other Services"))</f>
        <v/>
      </c>
    </row>
    <row r="559" customFormat="false" ht="15" hidden="false" customHeight="false" outlineLevel="0" collapsed="false">
      <c r="F559" s="41" t="str">
        <f aca="false">IF(D559="","",IFERROR(IF(ISNUMBER(SEARCH(Assumptions!$C$5,D559)),Assumptions!$D$5,IF(ISNUMBER(SEARCH(Assumptions!$C$6,D559)),Assumptions!$D$6,IF(ISNUMBER(SEARCH(Assumptions!$C$7,D559)),Assumptions!$D$7,"Other Services"))),"Other Services"))</f>
        <v/>
      </c>
    </row>
    <row r="560" customFormat="false" ht="15" hidden="false" customHeight="false" outlineLevel="0" collapsed="false">
      <c r="F560" s="41" t="str">
        <f aca="false">IF(D560="","",IFERROR(IF(ISNUMBER(SEARCH(Assumptions!$C$5,D560)),Assumptions!$D$5,IF(ISNUMBER(SEARCH(Assumptions!$C$6,D560)),Assumptions!$D$6,IF(ISNUMBER(SEARCH(Assumptions!$C$7,D560)),Assumptions!$D$7,"Other Services"))),"Other Services"))</f>
        <v/>
      </c>
    </row>
    <row r="561" customFormat="false" ht="15" hidden="false" customHeight="false" outlineLevel="0" collapsed="false">
      <c r="F561" s="41" t="str">
        <f aca="false">IF(D561="","",IFERROR(IF(ISNUMBER(SEARCH(Assumptions!$C$5,D561)),Assumptions!$D$5,IF(ISNUMBER(SEARCH(Assumptions!$C$6,D561)),Assumptions!$D$6,IF(ISNUMBER(SEARCH(Assumptions!$C$7,D561)),Assumptions!$D$7,"Other Services"))),"Other Services"))</f>
        <v/>
      </c>
    </row>
    <row r="562" customFormat="false" ht="15" hidden="false" customHeight="false" outlineLevel="0" collapsed="false">
      <c r="F562" s="41" t="str">
        <f aca="false">IF(D562="","",IFERROR(IF(ISNUMBER(SEARCH(Assumptions!$C$5,D562)),Assumptions!$D$5,IF(ISNUMBER(SEARCH(Assumptions!$C$6,D562)),Assumptions!$D$6,IF(ISNUMBER(SEARCH(Assumptions!$C$7,D562)),Assumptions!$D$7,"Other Services"))),"Other Services"))</f>
        <v/>
      </c>
    </row>
    <row r="563" customFormat="false" ht="15" hidden="false" customHeight="false" outlineLevel="0" collapsed="false">
      <c r="F563" s="41" t="str">
        <f aca="false">IF(D563="","",IFERROR(IF(ISNUMBER(SEARCH(Assumptions!$C$5,D563)),Assumptions!$D$5,IF(ISNUMBER(SEARCH(Assumptions!$C$6,D563)),Assumptions!$D$6,IF(ISNUMBER(SEARCH(Assumptions!$C$7,D563)),Assumptions!$D$7,"Other Services"))),"Other Services"))</f>
        <v/>
      </c>
    </row>
    <row r="564" customFormat="false" ht="15" hidden="false" customHeight="false" outlineLevel="0" collapsed="false">
      <c r="F564" s="41" t="str">
        <f aca="false">IF(D564="","",IFERROR(IF(ISNUMBER(SEARCH(Assumptions!$C$5,D564)),Assumptions!$D$5,IF(ISNUMBER(SEARCH(Assumptions!$C$6,D564)),Assumptions!$D$6,IF(ISNUMBER(SEARCH(Assumptions!$C$7,D564)),Assumptions!$D$7,"Other Services"))),"Other Services"))</f>
        <v/>
      </c>
    </row>
    <row r="565" customFormat="false" ht="15" hidden="false" customHeight="false" outlineLevel="0" collapsed="false">
      <c r="F565" s="41" t="str">
        <f aca="false">IF(D565="","",IFERROR(IF(ISNUMBER(SEARCH(Assumptions!$C$5,D565)),Assumptions!$D$5,IF(ISNUMBER(SEARCH(Assumptions!$C$6,D565)),Assumptions!$D$6,IF(ISNUMBER(SEARCH(Assumptions!$C$7,D565)),Assumptions!$D$7,"Other Services"))),"Other Services"))</f>
        <v/>
      </c>
    </row>
    <row r="566" customFormat="false" ht="15" hidden="false" customHeight="false" outlineLevel="0" collapsed="false">
      <c r="F566" s="41" t="str">
        <f aca="false">IF(D566="","",IFERROR(IF(ISNUMBER(SEARCH(Assumptions!$C$5,D566)),Assumptions!$D$5,IF(ISNUMBER(SEARCH(Assumptions!$C$6,D566)),Assumptions!$D$6,IF(ISNUMBER(SEARCH(Assumptions!$C$7,D566)),Assumptions!$D$7,"Other Services"))),"Other Services"))</f>
        <v/>
      </c>
    </row>
    <row r="567" customFormat="false" ht="15" hidden="false" customHeight="false" outlineLevel="0" collapsed="false">
      <c r="F567" s="41" t="str">
        <f aca="false">IF(D567="","",IFERROR(IF(ISNUMBER(SEARCH(Assumptions!$C$5,D567)),Assumptions!$D$5,IF(ISNUMBER(SEARCH(Assumptions!$C$6,D567)),Assumptions!$D$6,IF(ISNUMBER(SEARCH(Assumptions!$C$7,D567)),Assumptions!$D$7,"Other Services"))),"Other Services"))</f>
        <v/>
      </c>
    </row>
    <row r="568" customFormat="false" ht="15" hidden="false" customHeight="false" outlineLevel="0" collapsed="false">
      <c r="F568" s="41" t="str">
        <f aca="false">IF(D568="","",IFERROR(IF(ISNUMBER(SEARCH(Assumptions!$C$5,D568)),Assumptions!$D$5,IF(ISNUMBER(SEARCH(Assumptions!$C$6,D568)),Assumptions!$D$6,IF(ISNUMBER(SEARCH(Assumptions!$C$7,D568)),Assumptions!$D$7,"Other Services"))),"Other Services"))</f>
        <v/>
      </c>
    </row>
    <row r="569" customFormat="false" ht="15" hidden="false" customHeight="false" outlineLevel="0" collapsed="false">
      <c r="F569" s="41" t="str">
        <f aca="false">IF(D569="","",IFERROR(IF(ISNUMBER(SEARCH(Assumptions!$C$5,D569)),Assumptions!$D$5,IF(ISNUMBER(SEARCH(Assumptions!$C$6,D569)),Assumptions!$D$6,IF(ISNUMBER(SEARCH(Assumptions!$C$7,D569)),Assumptions!$D$7,"Other Services"))),"Other Services"))</f>
        <v/>
      </c>
    </row>
    <row r="570" customFormat="false" ht="15" hidden="false" customHeight="false" outlineLevel="0" collapsed="false">
      <c r="F570" s="41" t="str">
        <f aca="false">IF(D570="","",IFERROR(IF(ISNUMBER(SEARCH(Assumptions!$C$5,D570)),Assumptions!$D$5,IF(ISNUMBER(SEARCH(Assumptions!$C$6,D570)),Assumptions!$D$6,IF(ISNUMBER(SEARCH(Assumptions!$C$7,D570)),Assumptions!$D$7,"Other Services"))),"Other Services"))</f>
        <v/>
      </c>
    </row>
    <row r="571" customFormat="false" ht="15" hidden="false" customHeight="false" outlineLevel="0" collapsed="false">
      <c r="F571" s="41" t="str">
        <f aca="false">IF(D571="","",IFERROR(IF(ISNUMBER(SEARCH(Assumptions!$C$5,D571)),Assumptions!$D$5,IF(ISNUMBER(SEARCH(Assumptions!$C$6,D571)),Assumptions!$D$6,IF(ISNUMBER(SEARCH(Assumptions!$C$7,D571)),Assumptions!$D$7,"Other Services"))),"Other Services"))</f>
        <v/>
      </c>
    </row>
    <row r="572" customFormat="false" ht="15" hidden="false" customHeight="false" outlineLevel="0" collapsed="false">
      <c r="F572" s="41" t="str">
        <f aca="false">IF(D572="","",IFERROR(IF(ISNUMBER(SEARCH(Assumptions!$C$5,D572)),Assumptions!$D$5,IF(ISNUMBER(SEARCH(Assumptions!$C$6,D572)),Assumptions!$D$6,IF(ISNUMBER(SEARCH(Assumptions!$C$7,D572)),Assumptions!$D$7,"Other Services"))),"Other Services"))</f>
        <v/>
      </c>
    </row>
    <row r="573" customFormat="false" ht="15" hidden="false" customHeight="false" outlineLevel="0" collapsed="false">
      <c r="F573" s="41" t="str">
        <f aca="false">IF(D573="","",IFERROR(IF(ISNUMBER(SEARCH(Assumptions!$C$5,D573)),Assumptions!$D$5,IF(ISNUMBER(SEARCH(Assumptions!$C$6,D573)),Assumptions!$D$6,IF(ISNUMBER(SEARCH(Assumptions!$C$7,D573)),Assumptions!$D$7,"Other Services"))),"Other Services"))</f>
        <v/>
      </c>
    </row>
    <row r="574" customFormat="false" ht="15" hidden="false" customHeight="false" outlineLevel="0" collapsed="false">
      <c r="F574" s="41" t="str">
        <f aca="false">IF(D574="","",IFERROR(IF(ISNUMBER(SEARCH(Assumptions!$C$5,D574)),Assumptions!$D$5,IF(ISNUMBER(SEARCH(Assumptions!$C$6,D574)),Assumptions!$D$6,IF(ISNUMBER(SEARCH(Assumptions!$C$7,D574)),Assumptions!$D$7,"Other Services"))),"Other Services"))</f>
        <v/>
      </c>
    </row>
    <row r="575" customFormat="false" ht="15" hidden="false" customHeight="false" outlineLevel="0" collapsed="false">
      <c r="F575" s="41" t="str">
        <f aca="false">IF(D575="","",IFERROR(IF(ISNUMBER(SEARCH(Assumptions!$C$5,D575)),Assumptions!$D$5,IF(ISNUMBER(SEARCH(Assumptions!$C$6,D575)),Assumptions!$D$6,IF(ISNUMBER(SEARCH(Assumptions!$C$7,D575)),Assumptions!$D$7,"Other Services"))),"Other Services"))</f>
        <v/>
      </c>
    </row>
    <row r="576" customFormat="false" ht="15" hidden="false" customHeight="false" outlineLevel="0" collapsed="false">
      <c r="F576" s="41" t="str">
        <f aca="false">IF(D576="","",IFERROR(IF(ISNUMBER(SEARCH(Assumptions!$C$5,D576)),Assumptions!$D$5,IF(ISNUMBER(SEARCH(Assumptions!$C$6,D576)),Assumptions!$D$6,IF(ISNUMBER(SEARCH(Assumptions!$C$7,D576)),Assumptions!$D$7,"Other Services"))),"Other Services"))</f>
        <v/>
      </c>
    </row>
    <row r="577" customFormat="false" ht="15" hidden="false" customHeight="false" outlineLevel="0" collapsed="false">
      <c r="F577" s="41" t="str">
        <f aca="false">IF(D577="","",IFERROR(IF(ISNUMBER(SEARCH(Assumptions!$C$5,D577)),Assumptions!$D$5,IF(ISNUMBER(SEARCH(Assumptions!$C$6,D577)),Assumptions!$D$6,IF(ISNUMBER(SEARCH(Assumptions!$C$7,D577)),Assumptions!$D$7,"Other Services"))),"Other Services"))</f>
        <v/>
      </c>
    </row>
    <row r="578" customFormat="false" ht="15" hidden="false" customHeight="false" outlineLevel="0" collapsed="false">
      <c r="F578" s="41" t="str">
        <f aca="false">IF(D578="","",IFERROR(IF(ISNUMBER(SEARCH(Assumptions!$C$5,D578)),Assumptions!$D$5,IF(ISNUMBER(SEARCH(Assumptions!$C$6,D578)),Assumptions!$D$6,IF(ISNUMBER(SEARCH(Assumptions!$C$7,D578)),Assumptions!$D$7,"Other Services"))),"Other Services"))</f>
        <v/>
      </c>
    </row>
    <row r="579" customFormat="false" ht="15" hidden="false" customHeight="false" outlineLevel="0" collapsed="false">
      <c r="F579" s="41" t="str">
        <f aca="false">IF(D579="","",IFERROR(IF(ISNUMBER(SEARCH(Assumptions!$C$5,D579)),Assumptions!$D$5,IF(ISNUMBER(SEARCH(Assumptions!$C$6,D579)),Assumptions!$D$6,IF(ISNUMBER(SEARCH(Assumptions!$C$7,D579)),Assumptions!$D$7,"Other Services"))),"Other Services"))</f>
        <v/>
      </c>
    </row>
    <row r="580" customFormat="false" ht="15" hidden="false" customHeight="false" outlineLevel="0" collapsed="false">
      <c r="F580" s="41" t="str">
        <f aca="false">IF(D580="","",IFERROR(IF(ISNUMBER(SEARCH(Assumptions!$C$5,D580)),Assumptions!$D$5,IF(ISNUMBER(SEARCH(Assumptions!$C$6,D580)),Assumptions!$D$6,IF(ISNUMBER(SEARCH(Assumptions!$C$7,D580)),Assumptions!$D$7,"Other Services"))),"Other Services"))</f>
        <v/>
      </c>
    </row>
    <row r="581" customFormat="false" ht="15" hidden="false" customHeight="false" outlineLevel="0" collapsed="false">
      <c r="F581" s="41" t="str">
        <f aca="false">IF(D581="","",IFERROR(IF(ISNUMBER(SEARCH(Assumptions!$C$5,D581)),Assumptions!$D$5,IF(ISNUMBER(SEARCH(Assumptions!$C$6,D581)),Assumptions!$D$6,IF(ISNUMBER(SEARCH(Assumptions!$C$7,D581)),Assumptions!$D$7,"Other Services"))),"Other Services"))</f>
        <v/>
      </c>
    </row>
    <row r="582" customFormat="false" ht="15" hidden="false" customHeight="false" outlineLevel="0" collapsed="false">
      <c r="F582" s="41" t="str">
        <f aca="false">IF(D582="","",IFERROR(IF(ISNUMBER(SEARCH(Assumptions!$C$5,D582)),Assumptions!$D$5,IF(ISNUMBER(SEARCH(Assumptions!$C$6,D582)),Assumptions!$D$6,IF(ISNUMBER(SEARCH(Assumptions!$C$7,D582)),Assumptions!$D$7,"Other Services"))),"Other Services"))</f>
        <v/>
      </c>
    </row>
    <row r="583" customFormat="false" ht="15" hidden="false" customHeight="false" outlineLevel="0" collapsed="false">
      <c r="F583" s="41" t="str">
        <f aca="false">IF(D583="","",IFERROR(IF(ISNUMBER(SEARCH(Assumptions!$C$5,D583)),Assumptions!$D$5,IF(ISNUMBER(SEARCH(Assumptions!$C$6,D583)),Assumptions!$D$6,IF(ISNUMBER(SEARCH(Assumptions!$C$7,D583)),Assumptions!$D$7,"Other Services"))),"Other Services"))</f>
        <v/>
      </c>
    </row>
    <row r="584" customFormat="false" ht="15" hidden="false" customHeight="false" outlineLevel="0" collapsed="false">
      <c r="F584" s="41" t="str">
        <f aca="false">IF(D584="","",IFERROR(IF(ISNUMBER(SEARCH(Assumptions!$C$5,D584)),Assumptions!$D$5,IF(ISNUMBER(SEARCH(Assumptions!$C$6,D584)),Assumptions!$D$6,IF(ISNUMBER(SEARCH(Assumptions!$C$7,D584)),Assumptions!$D$7,"Other Services"))),"Other Services"))</f>
        <v/>
      </c>
    </row>
    <row r="585" customFormat="false" ht="15" hidden="false" customHeight="false" outlineLevel="0" collapsed="false">
      <c r="F585" s="41" t="str">
        <f aca="false">IF(D585="","",IFERROR(IF(ISNUMBER(SEARCH(Assumptions!$C$5,D585)),Assumptions!$D$5,IF(ISNUMBER(SEARCH(Assumptions!$C$6,D585)),Assumptions!$D$6,IF(ISNUMBER(SEARCH(Assumptions!$C$7,D585)),Assumptions!$D$7,"Other Services"))),"Other Services"))</f>
        <v/>
      </c>
    </row>
    <row r="586" customFormat="false" ht="15" hidden="false" customHeight="false" outlineLevel="0" collapsed="false">
      <c r="F586" s="41" t="str">
        <f aca="false">IF(D586="","",IFERROR(IF(ISNUMBER(SEARCH(Assumptions!$C$5,D586)),Assumptions!$D$5,IF(ISNUMBER(SEARCH(Assumptions!$C$6,D586)),Assumptions!$D$6,IF(ISNUMBER(SEARCH(Assumptions!$C$7,D586)),Assumptions!$D$7,"Other Services"))),"Other Services"))</f>
        <v/>
      </c>
    </row>
    <row r="587" customFormat="false" ht="15" hidden="false" customHeight="false" outlineLevel="0" collapsed="false">
      <c r="F587" s="41" t="str">
        <f aca="false">IF(D587="","",IFERROR(IF(ISNUMBER(SEARCH(Assumptions!$C$5,D587)),Assumptions!$D$5,IF(ISNUMBER(SEARCH(Assumptions!$C$6,D587)),Assumptions!$D$6,IF(ISNUMBER(SEARCH(Assumptions!$C$7,D587)),Assumptions!$D$7,"Other Services"))),"Other Services"))</f>
        <v/>
      </c>
    </row>
    <row r="588" customFormat="false" ht="15" hidden="false" customHeight="false" outlineLevel="0" collapsed="false">
      <c r="F588" s="41" t="str">
        <f aca="false">IF(D588="","",IFERROR(IF(ISNUMBER(SEARCH(Assumptions!$C$5,D588)),Assumptions!$D$5,IF(ISNUMBER(SEARCH(Assumptions!$C$6,D588)),Assumptions!$D$6,IF(ISNUMBER(SEARCH(Assumptions!$C$7,D588)),Assumptions!$D$7,"Other Services"))),"Other Services"))</f>
        <v/>
      </c>
    </row>
    <row r="589" customFormat="false" ht="15" hidden="false" customHeight="false" outlineLevel="0" collapsed="false">
      <c r="F589" s="41" t="str">
        <f aca="false">IF(D589="","",IFERROR(IF(ISNUMBER(SEARCH(Assumptions!$C$5,D589)),Assumptions!$D$5,IF(ISNUMBER(SEARCH(Assumptions!$C$6,D589)),Assumptions!$D$6,IF(ISNUMBER(SEARCH(Assumptions!$C$7,D589)),Assumptions!$D$7,"Other Services"))),"Other Services"))</f>
        <v/>
      </c>
    </row>
    <row r="590" customFormat="false" ht="15" hidden="false" customHeight="false" outlineLevel="0" collapsed="false">
      <c r="F590" s="41" t="str">
        <f aca="false">IF(D590="","",IFERROR(IF(ISNUMBER(SEARCH(Assumptions!$C$5,D590)),Assumptions!$D$5,IF(ISNUMBER(SEARCH(Assumptions!$C$6,D590)),Assumptions!$D$6,IF(ISNUMBER(SEARCH(Assumptions!$C$7,D590)),Assumptions!$D$7,"Other Services"))),"Other Services"))</f>
        <v/>
      </c>
    </row>
    <row r="591" customFormat="false" ht="15" hidden="false" customHeight="false" outlineLevel="0" collapsed="false">
      <c r="F591" s="41" t="str">
        <f aca="false">IF(D591="","",IFERROR(IF(ISNUMBER(SEARCH(Assumptions!$C$5,D591)),Assumptions!$D$5,IF(ISNUMBER(SEARCH(Assumptions!$C$6,D591)),Assumptions!$D$6,IF(ISNUMBER(SEARCH(Assumptions!$C$7,D591)),Assumptions!$D$7,"Other Services"))),"Other Services"))</f>
        <v/>
      </c>
    </row>
    <row r="592" customFormat="false" ht="15" hidden="false" customHeight="false" outlineLevel="0" collapsed="false">
      <c r="F592" s="41" t="str">
        <f aca="false">IF(D592="","",IFERROR(IF(ISNUMBER(SEARCH(Assumptions!$C$5,D592)),Assumptions!$D$5,IF(ISNUMBER(SEARCH(Assumptions!$C$6,D592)),Assumptions!$D$6,IF(ISNUMBER(SEARCH(Assumptions!$C$7,D592)),Assumptions!$D$7,"Other Services"))),"Other Services"))</f>
        <v/>
      </c>
    </row>
    <row r="593" customFormat="false" ht="15" hidden="false" customHeight="false" outlineLevel="0" collapsed="false">
      <c r="F593" s="41" t="str">
        <f aca="false">IF(D593="","",IFERROR(IF(ISNUMBER(SEARCH(Assumptions!$C$5,D593)),Assumptions!$D$5,IF(ISNUMBER(SEARCH(Assumptions!$C$6,D593)),Assumptions!$D$6,IF(ISNUMBER(SEARCH(Assumptions!$C$7,D593)),Assumptions!$D$7,"Other Services"))),"Other Services"))</f>
        <v/>
      </c>
    </row>
    <row r="594" customFormat="false" ht="15" hidden="false" customHeight="false" outlineLevel="0" collapsed="false">
      <c r="F594" s="41" t="str">
        <f aca="false">IF(D594="","",IFERROR(IF(ISNUMBER(SEARCH(Assumptions!$C$5,D594)),Assumptions!$D$5,IF(ISNUMBER(SEARCH(Assumptions!$C$6,D594)),Assumptions!$D$6,IF(ISNUMBER(SEARCH(Assumptions!$C$7,D594)),Assumptions!$D$7,"Other Services"))),"Other Services"))</f>
        <v/>
      </c>
    </row>
    <row r="595" customFormat="false" ht="15" hidden="false" customHeight="false" outlineLevel="0" collapsed="false">
      <c r="F595" s="41" t="str">
        <f aca="false">IF(D595="","",IFERROR(IF(ISNUMBER(SEARCH(Assumptions!$C$5,D595)),Assumptions!$D$5,IF(ISNUMBER(SEARCH(Assumptions!$C$6,D595)),Assumptions!$D$6,IF(ISNUMBER(SEARCH(Assumptions!$C$7,D595)),Assumptions!$D$7,"Other Services"))),"Other Services"))</f>
        <v/>
      </c>
    </row>
    <row r="596" customFormat="false" ht="15" hidden="false" customHeight="false" outlineLevel="0" collapsed="false">
      <c r="F596" s="41" t="str">
        <f aca="false">IF(D596="","",IFERROR(IF(ISNUMBER(SEARCH(Assumptions!$C$5,D596)),Assumptions!$D$5,IF(ISNUMBER(SEARCH(Assumptions!$C$6,D596)),Assumptions!$D$6,IF(ISNUMBER(SEARCH(Assumptions!$C$7,D596)),Assumptions!$D$7,"Other Services"))),"Other Services"))</f>
        <v/>
      </c>
    </row>
    <row r="597" customFormat="false" ht="15" hidden="false" customHeight="false" outlineLevel="0" collapsed="false">
      <c r="F597" s="41" t="str">
        <f aca="false">IF(D597="","",IFERROR(IF(ISNUMBER(SEARCH(Assumptions!$C$5,D597)),Assumptions!$D$5,IF(ISNUMBER(SEARCH(Assumptions!$C$6,D597)),Assumptions!$D$6,IF(ISNUMBER(SEARCH(Assumptions!$C$7,D597)),Assumptions!$D$7,"Other Services"))),"Other Services"))</f>
        <v/>
      </c>
    </row>
    <row r="598" customFormat="false" ht="15" hidden="false" customHeight="false" outlineLevel="0" collapsed="false">
      <c r="F598" s="41" t="str">
        <f aca="false">IF(D598="","",IFERROR(IF(ISNUMBER(SEARCH(Assumptions!$C$5,D598)),Assumptions!$D$5,IF(ISNUMBER(SEARCH(Assumptions!$C$6,D598)),Assumptions!$D$6,IF(ISNUMBER(SEARCH(Assumptions!$C$7,D598)),Assumptions!$D$7,"Other Services"))),"Other Services"))</f>
        <v/>
      </c>
    </row>
    <row r="599" customFormat="false" ht="15" hidden="false" customHeight="false" outlineLevel="0" collapsed="false">
      <c r="F599" s="41" t="str">
        <f aca="false">IF(D599="","",IFERROR(IF(ISNUMBER(SEARCH(Assumptions!$C$5,D599)),Assumptions!$D$5,IF(ISNUMBER(SEARCH(Assumptions!$C$6,D599)),Assumptions!$D$6,IF(ISNUMBER(SEARCH(Assumptions!$C$7,D599)),Assumptions!$D$7,"Other Services"))),"Other Services"))</f>
        <v/>
      </c>
    </row>
    <row r="600" customFormat="false" ht="15" hidden="false" customHeight="false" outlineLevel="0" collapsed="false">
      <c r="F600" s="41" t="str">
        <f aca="false">IF(D600="","",IFERROR(IF(ISNUMBER(SEARCH(Assumptions!$C$5,D600)),Assumptions!$D$5,IF(ISNUMBER(SEARCH(Assumptions!$C$6,D600)),Assumptions!$D$6,IF(ISNUMBER(SEARCH(Assumptions!$C$7,D600)),Assumptions!$D$7,"Other Services"))),"Other Services"))</f>
        <v/>
      </c>
    </row>
    <row r="601" customFormat="false" ht="15" hidden="false" customHeight="false" outlineLevel="0" collapsed="false">
      <c r="F601" s="41" t="str">
        <f aca="false">IF(D601="","",IFERROR(IF(ISNUMBER(SEARCH(Assumptions!$C$5,D601)),Assumptions!$D$5,IF(ISNUMBER(SEARCH(Assumptions!$C$6,D601)),Assumptions!$D$6,IF(ISNUMBER(SEARCH(Assumptions!$C$7,D601)),Assumptions!$D$7,"Other Services"))),"Other Services"))</f>
        <v/>
      </c>
    </row>
    <row r="602" customFormat="false" ht="15" hidden="false" customHeight="false" outlineLevel="0" collapsed="false">
      <c r="F602" s="41" t="str">
        <f aca="false">IF(D602="","",IFERROR(IF(ISNUMBER(SEARCH(Assumptions!$C$5,D602)),Assumptions!$D$5,IF(ISNUMBER(SEARCH(Assumptions!$C$6,D602)),Assumptions!$D$6,IF(ISNUMBER(SEARCH(Assumptions!$C$7,D602)),Assumptions!$D$7,"Other Services"))),"Other Services"))</f>
        <v/>
      </c>
    </row>
    <row r="603" customFormat="false" ht="15" hidden="false" customHeight="false" outlineLevel="0" collapsed="false">
      <c r="F603" s="41" t="str">
        <f aca="false">IF(D603="","",IFERROR(IF(ISNUMBER(SEARCH(Assumptions!$C$5,D603)),Assumptions!$D$5,IF(ISNUMBER(SEARCH(Assumptions!$C$6,D603)),Assumptions!$D$6,IF(ISNUMBER(SEARCH(Assumptions!$C$7,D603)),Assumptions!$D$7,"Other Services"))),"Other Services"))</f>
        <v/>
      </c>
    </row>
    <row r="604" customFormat="false" ht="15" hidden="false" customHeight="false" outlineLevel="0" collapsed="false">
      <c r="F604" s="41" t="str">
        <f aca="false">IF(D604="","",IFERROR(IF(ISNUMBER(SEARCH(Assumptions!$C$5,D604)),Assumptions!$D$5,IF(ISNUMBER(SEARCH(Assumptions!$C$6,D604)),Assumptions!$D$6,IF(ISNUMBER(SEARCH(Assumptions!$C$7,D604)),Assumptions!$D$7,"Other Services"))),"Other Services"))</f>
        <v/>
      </c>
    </row>
    <row r="605" customFormat="false" ht="15" hidden="false" customHeight="false" outlineLevel="0" collapsed="false">
      <c r="F605" s="41" t="str">
        <f aca="false">IF(D605="","",IFERROR(IF(ISNUMBER(SEARCH(Assumptions!$C$5,D605)),Assumptions!$D$5,IF(ISNUMBER(SEARCH(Assumptions!$C$6,D605)),Assumptions!$D$6,IF(ISNUMBER(SEARCH(Assumptions!$C$7,D605)),Assumptions!$D$7,"Other Services"))),"Other Services"))</f>
        <v/>
      </c>
    </row>
    <row r="606" customFormat="false" ht="15" hidden="false" customHeight="false" outlineLevel="0" collapsed="false">
      <c r="F606" s="41" t="str">
        <f aca="false">IF(D606="","",IFERROR(IF(ISNUMBER(SEARCH(Assumptions!$C$5,D606)),Assumptions!$D$5,IF(ISNUMBER(SEARCH(Assumptions!$C$6,D606)),Assumptions!$D$6,IF(ISNUMBER(SEARCH(Assumptions!$C$7,D606)),Assumptions!$D$7,"Other Services"))),"Other Services"))</f>
        <v/>
      </c>
    </row>
    <row r="607" customFormat="false" ht="15" hidden="false" customHeight="false" outlineLevel="0" collapsed="false">
      <c r="F607" s="41" t="str">
        <f aca="false">IF(D607="","",IFERROR(IF(ISNUMBER(SEARCH(Assumptions!$C$5,D607)),Assumptions!$D$5,IF(ISNUMBER(SEARCH(Assumptions!$C$6,D607)),Assumptions!$D$6,IF(ISNUMBER(SEARCH(Assumptions!$C$7,D607)),Assumptions!$D$7,"Other Services"))),"Other Services"))</f>
        <v/>
      </c>
    </row>
    <row r="608" customFormat="false" ht="15" hidden="false" customHeight="false" outlineLevel="0" collapsed="false">
      <c r="F608" s="41" t="str">
        <f aca="false">IF(D608="","",IFERROR(IF(ISNUMBER(SEARCH(Assumptions!$C$5,D608)),Assumptions!$D$5,IF(ISNUMBER(SEARCH(Assumptions!$C$6,D608)),Assumptions!$D$6,IF(ISNUMBER(SEARCH(Assumptions!$C$7,D608)),Assumptions!$D$7,"Other Services"))),"Other Services"))</f>
        <v/>
      </c>
    </row>
    <row r="609" customFormat="false" ht="15" hidden="false" customHeight="false" outlineLevel="0" collapsed="false">
      <c r="F609" s="41" t="str">
        <f aca="false">IF(D609="","",IFERROR(IF(ISNUMBER(SEARCH(Assumptions!$C$5,D609)),Assumptions!$D$5,IF(ISNUMBER(SEARCH(Assumptions!$C$6,D609)),Assumptions!$D$6,IF(ISNUMBER(SEARCH(Assumptions!$C$7,D609)),Assumptions!$D$7,"Other Services"))),"Other Services"))</f>
        <v/>
      </c>
    </row>
    <row r="610" customFormat="false" ht="15" hidden="false" customHeight="false" outlineLevel="0" collapsed="false">
      <c r="F610" s="41" t="str">
        <f aca="false">IF(D610="","",IFERROR(IF(ISNUMBER(SEARCH(Assumptions!$C$5,D610)),Assumptions!$D$5,IF(ISNUMBER(SEARCH(Assumptions!$C$6,D610)),Assumptions!$D$6,IF(ISNUMBER(SEARCH(Assumptions!$C$7,D610)),Assumptions!$D$7,"Other Services"))),"Other Services"))</f>
        <v/>
      </c>
    </row>
    <row r="611" customFormat="false" ht="15" hidden="false" customHeight="false" outlineLevel="0" collapsed="false">
      <c r="F611" s="41" t="str">
        <f aca="false">IF(D611="","",IFERROR(IF(ISNUMBER(SEARCH(Assumptions!$C$5,D611)),Assumptions!$D$5,IF(ISNUMBER(SEARCH(Assumptions!$C$6,D611)),Assumptions!$D$6,IF(ISNUMBER(SEARCH(Assumptions!$C$7,D611)),Assumptions!$D$7,"Other Services"))),"Other Services"))</f>
        <v/>
      </c>
    </row>
    <row r="612" customFormat="false" ht="15" hidden="false" customHeight="false" outlineLevel="0" collapsed="false">
      <c r="F612" s="41" t="str">
        <f aca="false">IF(D612="","",IFERROR(IF(ISNUMBER(SEARCH(Assumptions!$C$5,D612)),Assumptions!$D$5,IF(ISNUMBER(SEARCH(Assumptions!$C$6,D612)),Assumptions!$D$6,IF(ISNUMBER(SEARCH(Assumptions!$C$7,D612)),Assumptions!$D$7,"Other Services"))),"Other Services"))</f>
        <v/>
      </c>
    </row>
    <row r="613" customFormat="false" ht="15" hidden="false" customHeight="false" outlineLevel="0" collapsed="false">
      <c r="F613" s="41" t="str">
        <f aca="false">IF(D613="","",IFERROR(IF(ISNUMBER(SEARCH(Assumptions!$C$5,D613)),Assumptions!$D$5,IF(ISNUMBER(SEARCH(Assumptions!$C$6,D613)),Assumptions!$D$6,IF(ISNUMBER(SEARCH(Assumptions!$C$7,D613)),Assumptions!$D$7,"Other Services"))),"Other Services"))</f>
        <v/>
      </c>
    </row>
    <row r="614" customFormat="false" ht="15" hidden="false" customHeight="false" outlineLevel="0" collapsed="false">
      <c r="F614" s="41" t="str">
        <f aca="false">IF(D614="","",IFERROR(IF(ISNUMBER(SEARCH(Assumptions!$C$5,D614)),Assumptions!$D$5,IF(ISNUMBER(SEARCH(Assumptions!$C$6,D614)),Assumptions!$D$6,IF(ISNUMBER(SEARCH(Assumptions!$C$7,D614)),Assumptions!$D$7,"Other Services"))),"Other Services"))</f>
        <v/>
      </c>
    </row>
    <row r="615" customFormat="false" ht="15" hidden="false" customHeight="false" outlineLevel="0" collapsed="false">
      <c r="F615" s="41" t="str">
        <f aca="false">IF(D615="","",IFERROR(IF(ISNUMBER(SEARCH(Assumptions!$C$5,D615)),Assumptions!$D$5,IF(ISNUMBER(SEARCH(Assumptions!$C$6,D615)),Assumptions!$D$6,IF(ISNUMBER(SEARCH(Assumptions!$C$7,D615)),Assumptions!$D$7,"Other Services"))),"Other Services"))</f>
        <v/>
      </c>
    </row>
    <row r="616" customFormat="false" ht="15" hidden="false" customHeight="false" outlineLevel="0" collapsed="false">
      <c r="F616" s="41" t="str">
        <f aca="false">IF(D616="","",IFERROR(IF(ISNUMBER(SEARCH(Assumptions!$C$5,D616)),Assumptions!$D$5,IF(ISNUMBER(SEARCH(Assumptions!$C$6,D616)),Assumptions!$D$6,IF(ISNUMBER(SEARCH(Assumptions!$C$7,D616)),Assumptions!$D$7,"Other Services"))),"Other Services"))</f>
        <v/>
      </c>
    </row>
    <row r="617" customFormat="false" ht="15" hidden="false" customHeight="false" outlineLevel="0" collapsed="false">
      <c r="F617" s="41" t="str">
        <f aca="false">IF(D617="","",IFERROR(IF(ISNUMBER(SEARCH(Assumptions!$C$5,D617)),Assumptions!$D$5,IF(ISNUMBER(SEARCH(Assumptions!$C$6,D617)),Assumptions!$D$6,IF(ISNUMBER(SEARCH(Assumptions!$C$7,D617)),Assumptions!$D$7,"Other Services"))),"Other Services"))</f>
        <v/>
      </c>
    </row>
    <row r="618" customFormat="false" ht="15" hidden="false" customHeight="false" outlineLevel="0" collapsed="false">
      <c r="F618" s="41" t="str">
        <f aca="false">IF(D618="","",IFERROR(IF(ISNUMBER(SEARCH(Assumptions!$C$5,D618)),Assumptions!$D$5,IF(ISNUMBER(SEARCH(Assumptions!$C$6,D618)),Assumptions!$D$6,IF(ISNUMBER(SEARCH(Assumptions!$C$7,D618)),Assumptions!$D$7,"Other Services"))),"Other Services"))</f>
        <v/>
      </c>
    </row>
    <row r="619" customFormat="false" ht="15" hidden="false" customHeight="false" outlineLevel="0" collapsed="false">
      <c r="F619" s="41" t="str">
        <f aca="false">IF(D619="","",IFERROR(IF(ISNUMBER(SEARCH(Assumptions!$C$5,D619)),Assumptions!$D$5,IF(ISNUMBER(SEARCH(Assumptions!$C$6,D619)),Assumptions!$D$6,IF(ISNUMBER(SEARCH(Assumptions!$C$7,D619)),Assumptions!$D$7,"Other Services"))),"Other Services"))</f>
        <v/>
      </c>
    </row>
    <row r="620" customFormat="false" ht="15" hidden="false" customHeight="false" outlineLevel="0" collapsed="false">
      <c r="F620" s="41" t="str">
        <f aca="false">IF(D620="","",IFERROR(IF(ISNUMBER(SEARCH(Assumptions!$C$5,D620)),Assumptions!$D$5,IF(ISNUMBER(SEARCH(Assumptions!$C$6,D620)),Assumptions!$D$6,IF(ISNUMBER(SEARCH(Assumptions!$C$7,D620)),Assumptions!$D$7,"Other Services"))),"Other Services"))</f>
        <v/>
      </c>
    </row>
    <row r="621" customFormat="false" ht="15" hidden="false" customHeight="false" outlineLevel="0" collapsed="false">
      <c r="F621" s="41" t="str">
        <f aca="false">IF(D621="","",IFERROR(IF(ISNUMBER(SEARCH(Assumptions!$C$5,D621)),Assumptions!$D$5,IF(ISNUMBER(SEARCH(Assumptions!$C$6,D621)),Assumptions!$D$6,IF(ISNUMBER(SEARCH(Assumptions!$C$7,D621)),Assumptions!$D$7,"Other Services"))),"Other Services"))</f>
        <v/>
      </c>
    </row>
    <row r="622" customFormat="false" ht="15" hidden="false" customHeight="false" outlineLevel="0" collapsed="false">
      <c r="F622" s="41" t="str">
        <f aca="false">IF(D622="","",IFERROR(IF(ISNUMBER(SEARCH(Assumptions!$C$5,D622)),Assumptions!$D$5,IF(ISNUMBER(SEARCH(Assumptions!$C$6,D622)),Assumptions!$D$6,IF(ISNUMBER(SEARCH(Assumptions!$C$7,D622)),Assumptions!$D$7,"Other Services"))),"Other Services"))</f>
        <v/>
      </c>
    </row>
    <row r="623" customFormat="false" ht="15" hidden="false" customHeight="false" outlineLevel="0" collapsed="false">
      <c r="F623" s="41" t="str">
        <f aca="false">IF(D623="","",IFERROR(IF(ISNUMBER(SEARCH(Assumptions!$C$5,D623)),Assumptions!$D$5,IF(ISNUMBER(SEARCH(Assumptions!$C$6,D623)),Assumptions!$D$6,IF(ISNUMBER(SEARCH(Assumptions!$C$7,D623)),Assumptions!$D$7,"Other Services"))),"Other Services"))</f>
        <v/>
      </c>
    </row>
    <row r="624" customFormat="false" ht="15" hidden="false" customHeight="false" outlineLevel="0" collapsed="false">
      <c r="F624" s="41" t="str">
        <f aca="false">IF(D624="","",IFERROR(IF(ISNUMBER(SEARCH(Assumptions!$C$5,D624)),Assumptions!$D$5,IF(ISNUMBER(SEARCH(Assumptions!$C$6,D624)),Assumptions!$D$6,IF(ISNUMBER(SEARCH(Assumptions!$C$7,D624)),Assumptions!$D$7,"Other Services"))),"Other Services"))</f>
        <v/>
      </c>
    </row>
    <row r="625" customFormat="false" ht="15" hidden="false" customHeight="false" outlineLevel="0" collapsed="false">
      <c r="F625" s="41" t="str">
        <f aca="false">IF(D625="","",IFERROR(IF(ISNUMBER(SEARCH(Assumptions!$C$5,D625)),Assumptions!$D$5,IF(ISNUMBER(SEARCH(Assumptions!$C$6,D625)),Assumptions!$D$6,IF(ISNUMBER(SEARCH(Assumptions!$C$7,D625)),Assumptions!$D$7,"Other Services"))),"Other Services"))</f>
        <v/>
      </c>
    </row>
    <row r="626" customFormat="false" ht="15" hidden="false" customHeight="false" outlineLevel="0" collapsed="false">
      <c r="F626" s="41" t="str">
        <f aca="false">IF(D626="","",IFERROR(IF(ISNUMBER(SEARCH(Assumptions!$C$5,D626)),Assumptions!$D$5,IF(ISNUMBER(SEARCH(Assumptions!$C$6,D626)),Assumptions!$D$6,IF(ISNUMBER(SEARCH(Assumptions!$C$7,D626)),Assumptions!$D$7,"Other Services"))),"Other Services"))</f>
        <v/>
      </c>
    </row>
    <row r="627" customFormat="false" ht="15" hidden="false" customHeight="false" outlineLevel="0" collapsed="false">
      <c r="F627" s="41" t="str">
        <f aca="false">IF(D627="","",IFERROR(IF(ISNUMBER(SEARCH(Assumptions!$C$5,D627)),Assumptions!$D$5,IF(ISNUMBER(SEARCH(Assumptions!$C$6,D627)),Assumptions!$D$6,IF(ISNUMBER(SEARCH(Assumptions!$C$7,D627)),Assumptions!$D$7,"Other Services"))),"Other Services"))</f>
        <v/>
      </c>
    </row>
    <row r="628" customFormat="false" ht="15" hidden="false" customHeight="false" outlineLevel="0" collapsed="false">
      <c r="F628" s="41" t="str">
        <f aca="false">IF(D628="","",IFERROR(IF(ISNUMBER(SEARCH(Assumptions!$C$5,D628)),Assumptions!$D$5,IF(ISNUMBER(SEARCH(Assumptions!$C$6,D628)),Assumptions!$D$6,IF(ISNUMBER(SEARCH(Assumptions!$C$7,D628)),Assumptions!$D$7,"Other Services"))),"Other Services"))</f>
        <v/>
      </c>
    </row>
    <row r="629" customFormat="false" ht="15" hidden="false" customHeight="false" outlineLevel="0" collapsed="false">
      <c r="F629" s="41" t="str">
        <f aca="false">IF(D629="","",IFERROR(IF(ISNUMBER(SEARCH(Assumptions!$C$5,D629)),Assumptions!$D$5,IF(ISNUMBER(SEARCH(Assumptions!$C$6,D629)),Assumptions!$D$6,IF(ISNUMBER(SEARCH(Assumptions!$C$7,D629)),Assumptions!$D$7,"Other Services"))),"Other Services"))</f>
        <v/>
      </c>
    </row>
    <row r="630" customFormat="false" ht="15" hidden="false" customHeight="false" outlineLevel="0" collapsed="false">
      <c r="F630" s="41" t="str">
        <f aca="false">IF(D630="","",IFERROR(IF(ISNUMBER(SEARCH(Assumptions!$C$5,D630)),Assumptions!$D$5,IF(ISNUMBER(SEARCH(Assumptions!$C$6,D630)),Assumptions!$D$6,IF(ISNUMBER(SEARCH(Assumptions!$C$7,D630)),Assumptions!$D$7,"Other Services"))),"Other Services"))</f>
        <v/>
      </c>
    </row>
    <row r="631" customFormat="false" ht="15" hidden="false" customHeight="false" outlineLevel="0" collapsed="false">
      <c r="F631" s="41" t="str">
        <f aca="false">IF(D631="","",IFERROR(IF(ISNUMBER(SEARCH(Assumptions!$C$5,D631)),Assumptions!$D$5,IF(ISNUMBER(SEARCH(Assumptions!$C$6,D631)),Assumptions!$D$6,IF(ISNUMBER(SEARCH(Assumptions!$C$7,D631)),Assumptions!$D$7,"Other Services"))),"Other Services"))</f>
        <v/>
      </c>
    </row>
    <row r="632" customFormat="false" ht="15" hidden="false" customHeight="false" outlineLevel="0" collapsed="false">
      <c r="F632" s="41" t="str">
        <f aca="false">IF(D632="","",IFERROR(IF(ISNUMBER(SEARCH(Assumptions!$C$5,D632)),Assumptions!$D$5,IF(ISNUMBER(SEARCH(Assumptions!$C$6,D632)),Assumptions!$D$6,IF(ISNUMBER(SEARCH(Assumptions!$C$7,D632)),Assumptions!$D$7,"Other Services"))),"Other Services"))</f>
        <v/>
      </c>
    </row>
    <row r="633" customFormat="false" ht="15" hidden="false" customHeight="false" outlineLevel="0" collapsed="false">
      <c r="F633" s="41" t="str">
        <f aca="false">IF(D633="","",IFERROR(IF(ISNUMBER(SEARCH(Assumptions!$C$5,D633)),Assumptions!$D$5,IF(ISNUMBER(SEARCH(Assumptions!$C$6,D633)),Assumptions!$D$6,IF(ISNUMBER(SEARCH(Assumptions!$C$7,D633)),Assumptions!$D$7,"Other Services"))),"Other Services"))</f>
        <v/>
      </c>
    </row>
    <row r="634" customFormat="false" ht="15" hidden="false" customHeight="false" outlineLevel="0" collapsed="false">
      <c r="F634" s="41" t="str">
        <f aca="false">IF(D634="","",IFERROR(IF(ISNUMBER(SEARCH(Assumptions!$C$5,D634)),Assumptions!$D$5,IF(ISNUMBER(SEARCH(Assumptions!$C$6,D634)),Assumptions!$D$6,IF(ISNUMBER(SEARCH(Assumptions!$C$7,D634)),Assumptions!$D$7,"Other Services"))),"Other Services"))</f>
        <v/>
      </c>
    </row>
    <row r="635" customFormat="false" ht="15" hidden="false" customHeight="false" outlineLevel="0" collapsed="false">
      <c r="F635" s="41" t="str">
        <f aca="false">IF(D635="","",IFERROR(IF(ISNUMBER(SEARCH(Assumptions!$C$5,D635)),Assumptions!$D$5,IF(ISNUMBER(SEARCH(Assumptions!$C$6,D635)),Assumptions!$D$6,IF(ISNUMBER(SEARCH(Assumptions!$C$7,D635)),Assumptions!$D$7,"Other Services"))),"Other Services"))</f>
        <v/>
      </c>
    </row>
    <row r="636" customFormat="false" ht="15" hidden="false" customHeight="false" outlineLevel="0" collapsed="false">
      <c r="F636" s="41" t="str">
        <f aca="false">IF(D636="","",IFERROR(IF(ISNUMBER(SEARCH(Assumptions!$C$5,D636)),Assumptions!$D$5,IF(ISNUMBER(SEARCH(Assumptions!$C$6,D636)),Assumptions!$D$6,IF(ISNUMBER(SEARCH(Assumptions!$C$7,D636)),Assumptions!$D$7,"Other Services"))),"Other Services"))</f>
        <v/>
      </c>
    </row>
    <row r="637" customFormat="false" ht="15" hidden="false" customHeight="false" outlineLevel="0" collapsed="false">
      <c r="F637" s="41" t="str">
        <f aca="false">IF(D637="","",IFERROR(IF(ISNUMBER(SEARCH(Assumptions!$C$5,D637)),Assumptions!$D$5,IF(ISNUMBER(SEARCH(Assumptions!$C$6,D637)),Assumptions!$D$6,IF(ISNUMBER(SEARCH(Assumptions!$C$7,D637)),Assumptions!$D$7,"Other Services"))),"Other Services"))</f>
        <v/>
      </c>
    </row>
    <row r="638" customFormat="false" ht="15" hidden="false" customHeight="false" outlineLevel="0" collapsed="false">
      <c r="F638" s="41" t="str">
        <f aca="false">IF(D638="","",IFERROR(IF(ISNUMBER(SEARCH(Assumptions!$C$5,D638)),Assumptions!$D$5,IF(ISNUMBER(SEARCH(Assumptions!$C$6,D638)),Assumptions!$D$6,IF(ISNUMBER(SEARCH(Assumptions!$C$7,D638)),Assumptions!$D$7,"Other Services"))),"Other Services"))</f>
        <v/>
      </c>
    </row>
    <row r="639" customFormat="false" ht="15" hidden="false" customHeight="false" outlineLevel="0" collapsed="false">
      <c r="F639" s="41" t="str">
        <f aca="false">IF(D639="","",IFERROR(IF(ISNUMBER(SEARCH(Assumptions!$C$5,D639)),Assumptions!$D$5,IF(ISNUMBER(SEARCH(Assumptions!$C$6,D639)),Assumptions!$D$6,IF(ISNUMBER(SEARCH(Assumptions!$C$7,D639)),Assumptions!$D$7,"Other Services"))),"Other Services"))</f>
        <v/>
      </c>
    </row>
    <row r="640" customFormat="false" ht="15" hidden="false" customHeight="false" outlineLevel="0" collapsed="false">
      <c r="F640" s="41" t="str">
        <f aca="false">IF(D640="","",IFERROR(IF(ISNUMBER(SEARCH(Assumptions!$C$5,D640)),Assumptions!$D$5,IF(ISNUMBER(SEARCH(Assumptions!$C$6,D640)),Assumptions!$D$6,IF(ISNUMBER(SEARCH(Assumptions!$C$7,D640)),Assumptions!$D$7,"Other Services"))),"Other Services"))</f>
        <v/>
      </c>
    </row>
    <row r="641" customFormat="false" ht="15" hidden="false" customHeight="false" outlineLevel="0" collapsed="false">
      <c r="F641" s="41" t="str">
        <f aca="false">IF(D641="","",IFERROR(IF(ISNUMBER(SEARCH(Assumptions!$C$5,D641)),Assumptions!$D$5,IF(ISNUMBER(SEARCH(Assumptions!$C$6,D641)),Assumptions!$D$6,IF(ISNUMBER(SEARCH(Assumptions!$C$7,D641)),Assumptions!$D$7,"Other Services"))),"Other Services"))</f>
        <v/>
      </c>
    </row>
    <row r="642" customFormat="false" ht="15" hidden="false" customHeight="false" outlineLevel="0" collapsed="false">
      <c r="F642" s="41" t="str">
        <f aca="false">IF(D642="","",IFERROR(IF(ISNUMBER(SEARCH(Assumptions!$C$5,D642)),Assumptions!$D$5,IF(ISNUMBER(SEARCH(Assumptions!$C$6,D642)),Assumptions!$D$6,IF(ISNUMBER(SEARCH(Assumptions!$C$7,D642)),Assumptions!$D$7,"Other Services"))),"Other Services"))</f>
        <v/>
      </c>
    </row>
    <row r="643" customFormat="false" ht="15" hidden="false" customHeight="false" outlineLevel="0" collapsed="false">
      <c r="F643" s="41" t="str">
        <f aca="false">IF(D643="","",IFERROR(IF(ISNUMBER(SEARCH(Assumptions!$C$5,D643)),Assumptions!$D$5,IF(ISNUMBER(SEARCH(Assumptions!$C$6,D643)),Assumptions!$D$6,IF(ISNUMBER(SEARCH(Assumptions!$C$7,D643)),Assumptions!$D$7,"Other Services"))),"Other Services"))</f>
        <v/>
      </c>
    </row>
    <row r="644" customFormat="false" ht="15" hidden="false" customHeight="false" outlineLevel="0" collapsed="false">
      <c r="F644" s="41" t="str">
        <f aca="false">IF(D644="","",IFERROR(IF(ISNUMBER(SEARCH(Assumptions!$C$5,D644)),Assumptions!$D$5,IF(ISNUMBER(SEARCH(Assumptions!$C$6,D644)),Assumptions!$D$6,IF(ISNUMBER(SEARCH(Assumptions!$C$7,D644)),Assumptions!$D$7,"Other Services"))),"Other Services"))</f>
        <v/>
      </c>
    </row>
    <row r="645" customFormat="false" ht="15" hidden="false" customHeight="false" outlineLevel="0" collapsed="false">
      <c r="F645" s="41" t="str">
        <f aca="false">IF(D645="","",IFERROR(IF(ISNUMBER(SEARCH(Assumptions!$C$5,D645)),Assumptions!$D$5,IF(ISNUMBER(SEARCH(Assumptions!$C$6,D645)),Assumptions!$D$6,IF(ISNUMBER(SEARCH(Assumptions!$C$7,D645)),Assumptions!$D$7,"Other Services"))),"Other Services"))</f>
        <v/>
      </c>
    </row>
    <row r="646" customFormat="false" ht="15" hidden="false" customHeight="false" outlineLevel="0" collapsed="false">
      <c r="F646" s="41" t="str">
        <f aca="false">IF(D646="","",IFERROR(IF(ISNUMBER(SEARCH(Assumptions!$C$5,D646)),Assumptions!$D$5,IF(ISNUMBER(SEARCH(Assumptions!$C$6,D646)),Assumptions!$D$6,IF(ISNUMBER(SEARCH(Assumptions!$C$7,D646)),Assumptions!$D$7,"Other Services"))),"Other Services"))</f>
        <v/>
      </c>
    </row>
    <row r="647" customFormat="false" ht="15" hidden="false" customHeight="false" outlineLevel="0" collapsed="false">
      <c r="F647" s="41" t="str">
        <f aca="false">IF(D647="","",IFERROR(IF(ISNUMBER(SEARCH(Assumptions!$C$5,D647)),Assumptions!$D$5,IF(ISNUMBER(SEARCH(Assumptions!$C$6,D647)),Assumptions!$D$6,IF(ISNUMBER(SEARCH(Assumptions!$C$7,D647)),Assumptions!$D$7,"Other Services"))),"Other Services"))</f>
        <v/>
      </c>
    </row>
    <row r="648" customFormat="false" ht="15" hidden="false" customHeight="false" outlineLevel="0" collapsed="false">
      <c r="F648" s="41" t="str">
        <f aca="false">IF(D648="","",IFERROR(IF(ISNUMBER(SEARCH(Assumptions!$C$5,D648)),Assumptions!$D$5,IF(ISNUMBER(SEARCH(Assumptions!$C$6,D648)),Assumptions!$D$6,IF(ISNUMBER(SEARCH(Assumptions!$C$7,D648)),Assumptions!$D$7,"Other Services"))),"Other Services"))</f>
        <v/>
      </c>
    </row>
    <row r="649" customFormat="false" ht="15" hidden="false" customHeight="false" outlineLevel="0" collapsed="false">
      <c r="F649" s="41" t="str">
        <f aca="false">IF(D649="","",IFERROR(IF(ISNUMBER(SEARCH(Assumptions!$C$5,D649)),Assumptions!$D$5,IF(ISNUMBER(SEARCH(Assumptions!$C$6,D649)),Assumptions!$D$6,IF(ISNUMBER(SEARCH(Assumptions!$C$7,D649)),Assumptions!$D$7,"Other Services"))),"Other Services"))</f>
        <v/>
      </c>
    </row>
    <row r="650" customFormat="false" ht="15" hidden="false" customHeight="false" outlineLevel="0" collapsed="false">
      <c r="F650" s="41" t="str">
        <f aca="false">IF(D650="","",IFERROR(IF(ISNUMBER(SEARCH(Assumptions!$C$5,D650)),Assumptions!$D$5,IF(ISNUMBER(SEARCH(Assumptions!$C$6,D650)),Assumptions!$D$6,IF(ISNUMBER(SEARCH(Assumptions!$C$7,D650)),Assumptions!$D$7,"Other Services"))),"Other Services"))</f>
        <v/>
      </c>
    </row>
    <row r="651" customFormat="false" ht="15" hidden="false" customHeight="false" outlineLevel="0" collapsed="false">
      <c r="F651" s="41" t="str">
        <f aca="false">IF(D651="","",IFERROR(IF(ISNUMBER(SEARCH(Assumptions!$C$5,D651)),Assumptions!$D$5,IF(ISNUMBER(SEARCH(Assumptions!$C$6,D651)),Assumptions!$D$6,IF(ISNUMBER(SEARCH(Assumptions!$C$7,D651)),Assumptions!$D$7,"Other Services"))),"Other Services"))</f>
        <v/>
      </c>
    </row>
    <row r="652" customFormat="false" ht="15" hidden="false" customHeight="false" outlineLevel="0" collapsed="false">
      <c r="F652" s="41" t="str">
        <f aca="false">IF(D652="","",IFERROR(IF(ISNUMBER(SEARCH(Assumptions!$C$5,D652)),Assumptions!$D$5,IF(ISNUMBER(SEARCH(Assumptions!$C$6,D652)),Assumptions!$D$6,IF(ISNUMBER(SEARCH(Assumptions!$C$7,D652)),Assumptions!$D$7,"Other Services"))),"Other Services"))</f>
        <v/>
      </c>
    </row>
    <row r="653" customFormat="false" ht="15" hidden="false" customHeight="false" outlineLevel="0" collapsed="false">
      <c r="F653" s="41" t="str">
        <f aca="false">IF(D653="","",IFERROR(IF(ISNUMBER(SEARCH(Assumptions!$C$5,D653)),Assumptions!$D$5,IF(ISNUMBER(SEARCH(Assumptions!$C$6,D653)),Assumptions!$D$6,IF(ISNUMBER(SEARCH(Assumptions!$C$7,D653)),Assumptions!$D$7,"Other Services"))),"Other Services"))</f>
        <v/>
      </c>
    </row>
    <row r="654" customFormat="false" ht="15" hidden="false" customHeight="false" outlineLevel="0" collapsed="false">
      <c r="F654" s="41" t="str">
        <f aca="false">IF(D654="","",IFERROR(IF(ISNUMBER(SEARCH(Assumptions!$C$5,D654)),Assumptions!$D$5,IF(ISNUMBER(SEARCH(Assumptions!$C$6,D654)),Assumptions!$D$6,IF(ISNUMBER(SEARCH(Assumptions!$C$7,D654)),Assumptions!$D$7,"Other Services"))),"Other Services"))</f>
        <v/>
      </c>
    </row>
    <row r="655" customFormat="false" ht="15" hidden="false" customHeight="false" outlineLevel="0" collapsed="false">
      <c r="F655" s="41" t="str">
        <f aca="false">IF(D655="","",IFERROR(IF(ISNUMBER(SEARCH(Assumptions!$C$5,D655)),Assumptions!$D$5,IF(ISNUMBER(SEARCH(Assumptions!$C$6,D655)),Assumptions!$D$6,IF(ISNUMBER(SEARCH(Assumptions!$C$7,D655)),Assumptions!$D$7,"Other Services"))),"Other Services"))</f>
        <v/>
      </c>
    </row>
    <row r="656" customFormat="false" ht="15" hidden="false" customHeight="false" outlineLevel="0" collapsed="false">
      <c r="F656" s="41" t="str">
        <f aca="false">IF(D656="","",IFERROR(IF(ISNUMBER(SEARCH(Assumptions!$C$5,D656)),Assumptions!$D$5,IF(ISNUMBER(SEARCH(Assumptions!$C$6,D656)),Assumptions!$D$6,IF(ISNUMBER(SEARCH(Assumptions!$C$7,D656)),Assumptions!$D$7,"Other Services"))),"Other Services"))</f>
        <v/>
      </c>
    </row>
    <row r="657" customFormat="false" ht="15" hidden="false" customHeight="false" outlineLevel="0" collapsed="false">
      <c r="F657" s="41" t="str">
        <f aca="false">IF(D657="","",IFERROR(IF(ISNUMBER(SEARCH(Assumptions!$C$5,D657)),Assumptions!$D$5,IF(ISNUMBER(SEARCH(Assumptions!$C$6,D657)),Assumptions!$D$6,IF(ISNUMBER(SEARCH(Assumptions!$C$7,D657)),Assumptions!$D$7,"Other Services"))),"Other Services"))</f>
        <v/>
      </c>
    </row>
    <row r="658" customFormat="false" ht="15" hidden="false" customHeight="false" outlineLevel="0" collapsed="false">
      <c r="F658" s="41" t="str">
        <f aca="false">IF(D658="","",IFERROR(IF(ISNUMBER(SEARCH(Assumptions!$C$5,D658)),Assumptions!$D$5,IF(ISNUMBER(SEARCH(Assumptions!$C$6,D658)),Assumptions!$D$6,IF(ISNUMBER(SEARCH(Assumptions!$C$7,D658)),Assumptions!$D$7,"Other Services"))),"Other Services"))</f>
        <v/>
      </c>
    </row>
    <row r="659" customFormat="false" ht="15" hidden="false" customHeight="false" outlineLevel="0" collapsed="false">
      <c r="F659" s="41" t="str">
        <f aca="false">IF(D659="","",IFERROR(IF(ISNUMBER(SEARCH(Assumptions!$C$5,D659)),Assumptions!$D$5,IF(ISNUMBER(SEARCH(Assumptions!$C$6,D659)),Assumptions!$D$6,IF(ISNUMBER(SEARCH(Assumptions!$C$7,D659)),Assumptions!$D$7,"Other Services"))),"Other Services"))</f>
        <v/>
      </c>
    </row>
    <row r="660" customFormat="false" ht="15" hidden="false" customHeight="false" outlineLevel="0" collapsed="false">
      <c r="F660" s="41" t="str">
        <f aca="false">IF(D660="","",IFERROR(IF(ISNUMBER(SEARCH(Assumptions!$C$5,D660)),Assumptions!$D$5,IF(ISNUMBER(SEARCH(Assumptions!$C$6,D660)),Assumptions!$D$6,IF(ISNUMBER(SEARCH(Assumptions!$C$7,D660)),Assumptions!$D$7,"Other Services"))),"Other Services"))</f>
        <v/>
      </c>
    </row>
    <row r="661" customFormat="false" ht="15" hidden="false" customHeight="false" outlineLevel="0" collapsed="false">
      <c r="F661" s="41" t="str">
        <f aca="false">IF(D661="","",IFERROR(IF(ISNUMBER(SEARCH(Assumptions!$C$5,D661)),Assumptions!$D$5,IF(ISNUMBER(SEARCH(Assumptions!$C$6,D661)),Assumptions!$D$6,IF(ISNUMBER(SEARCH(Assumptions!$C$7,D661)),Assumptions!$D$7,"Other Services"))),"Other Services"))</f>
        <v/>
      </c>
    </row>
    <row r="662" customFormat="false" ht="15" hidden="false" customHeight="false" outlineLevel="0" collapsed="false">
      <c r="F662" s="41" t="str">
        <f aca="false">IF(D662="","",IFERROR(IF(ISNUMBER(SEARCH(Assumptions!$C$5,D662)),Assumptions!$D$5,IF(ISNUMBER(SEARCH(Assumptions!$C$6,D662)),Assumptions!$D$6,IF(ISNUMBER(SEARCH(Assumptions!$C$7,D662)),Assumptions!$D$7,"Other Services"))),"Other Services"))</f>
        <v/>
      </c>
    </row>
    <row r="663" customFormat="false" ht="15" hidden="false" customHeight="false" outlineLevel="0" collapsed="false">
      <c r="F663" s="41" t="str">
        <f aca="false">IF(D663="","",IFERROR(IF(ISNUMBER(SEARCH(Assumptions!$C$5,D663)),Assumptions!$D$5,IF(ISNUMBER(SEARCH(Assumptions!$C$6,D663)),Assumptions!$D$6,IF(ISNUMBER(SEARCH(Assumptions!$C$7,D663)),Assumptions!$D$7,"Other Services"))),"Other Services"))</f>
        <v/>
      </c>
    </row>
    <row r="664" customFormat="false" ht="15" hidden="false" customHeight="false" outlineLevel="0" collapsed="false">
      <c r="F664" s="41" t="str">
        <f aca="false">IF(D664="","",IFERROR(IF(ISNUMBER(SEARCH(Assumptions!$C$5,D664)),Assumptions!$D$5,IF(ISNUMBER(SEARCH(Assumptions!$C$6,D664)),Assumptions!$D$6,IF(ISNUMBER(SEARCH(Assumptions!$C$7,D664)),Assumptions!$D$7,"Other Services"))),"Other Services"))</f>
        <v/>
      </c>
    </row>
    <row r="665" customFormat="false" ht="15" hidden="false" customHeight="false" outlineLevel="0" collapsed="false">
      <c r="F665" s="41" t="str">
        <f aca="false">IF(D665="","",IFERROR(IF(ISNUMBER(SEARCH(Assumptions!$C$5,D665)),Assumptions!$D$5,IF(ISNUMBER(SEARCH(Assumptions!$C$6,D665)),Assumptions!$D$6,IF(ISNUMBER(SEARCH(Assumptions!$C$7,D665)),Assumptions!$D$7,"Other Services"))),"Other Services"))</f>
        <v/>
      </c>
    </row>
    <row r="666" customFormat="false" ht="15" hidden="false" customHeight="false" outlineLevel="0" collapsed="false">
      <c r="F666" s="41" t="str">
        <f aca="false">IF(D666="","",IFERROR(IF(ISNUMBER(SEARCH(Assumptions!$C$5,D666)),Assumptions!$D$5,IF(ISNUMBER(SEARCH(Assumptions!$C$6,D666)),Assumptions!$D$6,IF(ISNUMBER(SEARCH(Assumptions!$C$7,D666)),Assumptions!$D$7,"Other Services"))),"Other Services"))</f>
        <v/>
      </c>
    </row>
    <row r="667" customFormat="false" ht="15" hidden="false" customHeight="false" outlineLevel="0" collapsed="false">
      <c r="F667" s="41" t="str">
        <f aca="false">IF(D667="","",IFERROR(IF(ISNUMBER(SEARCH(Assumptions!$C$5,D667)),Assumptions!$D$5,IF(ISNUMBER(SEARCH(Assumptions!$C$6,D667)),Assumptions!$D$6,IF(ISNUMBER(SEARCH(Assumptions!$C$7,D667)),Assumptions!$D$7,"Other Services"))),"Other Services"))</f>
        <v/>
      </c>
    </row>
    <row r="668" customFormat="false" ht="15" hidden="false" customHeight="false" outlineLevel="0" collapsed="false">
      <c r="F668" s="41" t="str">
        <f aca="false">IF(D668="","",IFERROR(IF(ISNUMBER(SEARCH(Assumptions!$C$5,D668)),Assumptions!$D$5,IF(ISNUMBER(SEARCH(Assumptions!$C$6,D668)),Assumptions!$D$6,IF(ISNUMBER(SEARCH(Assumptions!$C$7,D668)),Assumptions!$D$7,"Other Services"))),"Other Services"))</f>
        <v/>
      </c>
    </row>
    <row r="669" customFormat="false" ht="15" hidden="false" customHeight="false" outlineLevel="0" collapsed="false">
      <c r="F669" s="41" t="str">
        <f aca="false">IF(D669="","",IFERROR(IF(ISNUMBER(SEARCH(Assumptions!$C$5,D669)),Assumptions!$D$5,IF(ISNUMBER(SEARCH(Assumptions!$C$6,D669)),Assumptions!$D$6,IF(ISNUMBER(SEARCH(Assumptions!$C$7,D669)),Assumptions!$D$7,"Other Services"))),"Other Services"))</f>
        <v/>
      </c>
    </row>
    <row r="670" customFormat="false" ht="15" hidden="false" customHeight="false" outlineLevel="0" collapsed="false">
      <c r="F670" s="41" t="str">
        <f aca="false">IF(D670="","",IFERROR(IF(ISNUMBER(SEARCH(Assumptions!$C$5,D670)),Assumptions!$D$5,IF(ISNUMBER(SEARCH(Assumptions!$C$6,D670)),Assumptions!$D$6,IF(ISNUMBER(SEARCH(Assumptions!$C$7,D670)),Assumptions!$D$7,"Other Services"))),"Other Services"))</f>
        <v/>
      </c>
    </row>
    <row r="671" customFormat="false" ht="15" hidden="false" customHeight="false" outlineLevel="0" collapsed="false">
      <c r="F671" s="41" t="str">
        <f aca="false">IF(D671="","",IFERROR(IF(ISNUMBER(SEARCH(Assumptions!$C$5,D671)),Assumptions!$D$5,IF(ISNUMBER(SEARCH(Assumptions!$C$6,D671)),Assumptions!$D$6,IF(ISNUMBER(SEARCH(Assumptions!$C$7,D671)),Assumptions!$D$7,"Other Services"))),"Other Services"))</f>
        <v/>
      </c>
    </row>
    <row r="672" customFormat="false" ht="15" hidden="false" customHeight="false" outlineLevel="0" collapsed="false">
      <c r="F672" s="41" t="str">
        <f aca="false">IF(D672="","",IFERROR(IF(ISNUMBER(SEARCH(Assumptions!$C$5,D672)),Assumptions!$D$5,IF(ISNUMBER(SEARCH(Assumptions!$C$6,D672)),Assumptions!$D$6,IF(ISNUMBER(SEARCH(Assumptions!$C$7,D672)),Assumptions!$D$7,"Other Services"))),"Other Services"))</f>
        <v/>
      </c>
    </row>
    <row r="673" customFormat="false" ht="15" hidden="false" customHeight="false" outlineLevel="0" collapsed="false">
      <c r="F673" s="41" t="str">
        <f aca="false">IF(D673="","",IFERROR(IF(ISNUMBER(SEARCH(Assumptions!$C$5,D673)),Assumptions!$D$5,IF(ISNUMBER(SEARCH(Assumptions!$C$6,D673)),Assumptions!$D$6,IF(ISNUMBER(SEARCH(Assumptions!$C$7,D673)),Assumptions!$D$7,"Other Services"))),"Other Services"))</f>
        <v/>
      </c>
    </row>
    <row r="674" customFormat="false" ht="15" hidden="false" customHeight="false" outlineLevel="0" collapsed="false">
      <c r="F674" s="41" t="str">
        <f aca="false">IF(D674="","",IFERROR(IF(ISNUMBER(SEARCH(Assumptions!$C$5,D674)),Assumptions!$D$5,IF(ISNUMBER(SEARCH(Assumptions!$C$6,D674)),Assumptions!$D$6,IF(ISNUMBER(SEARCH(Assumptions!$C$7,D674)),Assumptions!$D$7,"Other Services"))),"Other Services"))</f>
        <v/>
      </c>
    </row>
    <row r="675" customFormat="false" ht="15" hidden="false" customHeight="false" outlineLevel="0" collapsed="false">
      <c r="F675" s="41" t="str">
        <f aca="false">IF(D675="","",IFERROR(IF(ISNUMBER(SEARCH(Assumptions!$C$5,D675)),Assumptions!$D$5,IF(ISNUMBER(SEARCH(Assumptions!$C$6,D675)),Assumptions!$D$6,IF(ISNUMBER(SEARCH(Assumptions!$C$7,D675)),Assumptions!$D$7,"Other Services"))),"Other Services"))</f>
        <v/>
      </c>
    </row>
    <row r="676" customFormat="false" ht="15" hidden="false" customHeight="false" outlineLevel="0" collapsed="false">
      <c r="F676" s="41" t="str">
        <f aca="false">IF(D676="","",IFERROR(IF(ISNUMBER(SEARCH(Assumptions!$C$5,D676)),Assumptions!$D$5,IF(ISNUMBER(SEARCH(Assumptions!$C$6,D676)),Assumptions!$D$6,IF(ISNUMBER(SEARCH(Assumptions!$C$7,D676)),Assumptions!$D$7,"Other Services"))),"Other Services"))</f>
        <v/>
      </c>
    </row>
    <row r="677" customFormat="false" ht="15" hidden="false" customHeight="false" outlineLevel="0" collapsed="false">
      <c r="F677" s="41" t="str">
        <f aca="false">IF(D677="","",IFERROR(IF(ISNUMBER(SEARCH(Assumptions!$C$5,D677)),Assumptions!$D$5,IF(ISNUMBER(SEARCH(Assumptions!$C$6,D677)),Assumptions!$D$6,IF(ISNUMBER(SEARCH(Assumptions!$C$7,D677)),Assumptions!$D$7,"Other Services"))),"Other Services"))</f>
        <v/>
      </c>
    </row>
    <row r="678" customFormat="false" ht="15" hidden="false" customHeight="false" outlineLevel="0" collapsed="false">
      <c r="F678" s="41" t="str">
        <f aca="false">IF(D678="","",IFERROR(IF(ISNUMBER(SEARCH(Assumptions!$C$5,D678)),Assumptions!$D$5,IF(ISNUMBER(SEARCH(Assumptions!$C$6,D678)),Assumptions!$D$6,IF(ISNUMBER(SEARCH(Assumptions!$C$7,D678)),Assumptions!$D$7,"Other Services"))),"Other Services"))</f>
        <v/>
      </c>
    </row>
    <row r="679" customFormat="false" ht="15" hidden="false" customHeight="false" outlineLevel="0" collapsed="false">
      <c r="F679" s="41" t="str">
        <f aca="false">IF(D679="","",IFERROR(IF(ISNUMBER(SEARCH(Assumptions!$C$5,D679)),Assumptions!$D$5,IF(ISNUMBER(SEARCH(Assumptions!$C$6,D679)),Assumptions!$D$6,IF(ISNUMBER(SEARCH(Assumptions!$C$7,D679)),Assumptions!$D$7,"Other Services"))),"Other Services"))</f>
        <v/>
      </c>
    </row>
    <row r="680" customFormat="false" ht="15" hidden="false" customHeight="false" outlineLevel="0" collapsed="false">
      <c r="F680" s="41" t="str">
        <f aca="false">IF(D680="","",IFERROR(IF(ISNUMBER(SEARCH(Assumptions!$C$5,D680)),Assumptions!$D$5,IF(ISNUMBER(SEARCH(Assumptions!$C$6,D680)),Assumptions!$D$6,IF(ISNUMBER(SEARCH(Assumptions!$C$7,D680)),Assumptions!$D$7,"Other Services"))),"Other Services"))</f>
        <v/>
      </c>
    </row>
    <row r="681" customFormat="false" ht="15" hidden="false" customHeight="false" outlineLevel="0" collapsed="false">
      <c r="F681" s="41" t="str">
        <f aca="false">IF(D681="","",IFERROR(IF(ISNUMBER(SEARCH(Assumptions!$C$5,D681)),Assumptions!$D$5,IF(ISNUMBER(SEARCH(Assumptions!$C$6,D681)),Assumptions!$D$6,IF(ISNUMBER(SEARCH(Assumptions!$C$7,D681)),Assumptions!$D$7,"Other Services"))),"Other Services"))</f>
        <v/>
      </c>
    </row>
    <row r="682" customFormat="false" ht="15" hidden="false" customHeight="false" outlineLevel="0" collapsed="false">
      <c r="F682" s="41" t="str">
        <f aca="false">IF(D682="","",IFERROR(IF(ISNUMBER(SEARCH(Assumptions!$C$5,D682)),Assumptions!$D$5,IF(ISNUMBER(SEARCH(Assumptions!$C$6,D682)),Assumptions!$D$6,IF(ISNUMBER(SEARCH(Assumptions!$C$7,D682)),Assumptions!$D$7,"Other Services"))),"Other Services"))</f>
        <v/>
      </c>
    </row>
    <row r="683" customFormat="false" ht="15" hidden="false" customHeight="false" outlineLevel="0" collapsed="false">
      <c r="F683" s="41" t="str">
        <f aca="false">IF(D683="","",IFERROR(IF(ISNUMBER(SEARCH(Assumptions!$C$5,D683)),Assumptions!$D$5,IF(ISNUMBER(SEARCH(Assumptions!$C$6,D683)),Assumptions!$D$6,IF(ISNUMBER(SEARCH(Assumptions!$C$7,D683)),Assumptions!$D$7,"Other Services"))),"Other Services"))</f>
        <v/>
      </c>
    </row>
    <row r="684" customFormat="false" ht="15" hidden="false" customHeight="false" outlineLevel="0" collapsed="false">
      <c r="F684" s="41" t="str">
        <f aca="false">IF(D684="","",IFERROR(IF(ISNUMBER(SEARCH(Assumptions!$C$5,D684)),Assumptions!$D$5,IF(ISNUMBER(SEARCH(Assumptions!$C$6,D684)),Assumptions!$D$6,IF(ISNUMBER(SEARCH(Assumptions!$C$7,D684)),Assumptions!$D$7,"Other Services"))),"Other Services"))</f>
        <v/>
      </c>
    </row>
    <row r="685" customFormat="false" ht="15" hidden="false" customHeight="false" outlineLevel="0" collapsed="false">
      <c r="F685" s="41" t="str">
        <f aca="false">IF(D685="","",IFERROR(IF(ISNUMBER(SEARCH(Assumptions!$C$5,D685)),Assumptions!$D$5,IF(ISNUMBER(SEARCH(Assumptions!$C$6,D685)),Assumptions!$D$6,IF(ISNUMBER(SEARCH(Assumptions!$C$7,D685)),Assumptions!$D$7,"Other Services"))),"Other Services"))</f>
        <v/>
      </c>
    </row>
    <row r="686" customFormat="false" ht="15" hidden="false" customHeight="false" outlineLevel="0" collapsed="false">
      <c r="F686" s="41" t="str">
        <f aca="false">IF(D686="","",IFERROR(IF(ISNUMBER(SEARCH(Assumptions!$C$5,D686)),Assumptions!$D$5,IF(ISNUMBER(SEARCH(Assumptions!$C$6,D686)),Assumptions!$D$6,IF(ISNUMBER(SEARCH(Assumptions!$C$7,D686)),Assumptions!$D$7,"Other Services"))),"Other Services"))</f>
        <v/>
      </c>
    </row>
    <row r="687" customFormat="false" ht="15" hidden="false" customHeight="false" outlineLevel="0" collapsed="false">
      <c r="F687" s="41" t="str">
        <f aca="false">IF(D687="","",IFERROR(IF(ISNUMBER(SEARCH(Assumptions!$C$5,D687)),Assumptions!$D$5,IF(ISNUMBER(SEARCH(Assumptions!$C$6,D687)),Assumptions!$D$6,IF(ISNUMBER(SEARCH(Assumptions!$C$7,D687)),Assumptions!$D$7,"Other Services"))),"Other Services"))</f>
        <v/>
      </c>
    </row>
    <row r="688" customFormat="false" ht="15" hidden="false" customHeight="false" outlineLevel="0" collapsed="false">
      <c r="F688" s="41" t="str">
        <f aca="false">IF(D688="","",IFERROR(IF(ISNUMBER(SEARCH(Assumptions!$C$5,D688)),Assumptions!$D$5,IF(ISNUMBER(SEARCH(Assumptions!$C$6,D688)),Assumptions!$D$6,IF(ISNUMBER(SEARCH(Assumptions!$C$7,D688)),Assumptions!$D$7,"Other Services"))),"Other Services"))</f>
        <v/>
      </c>
    </row>
    <row r="689" customFormat="false" ht="15" hidden="false" customHeight="false" outlineLevel="0" collapsed="false">
      <c r="F689" s="41" t="str">
        <f aca="false">IF(D689="","",IFERROR(IF(ISNUMBER(SEARCH(Assumptions!$C$5,D689)),Assumptions!$D$5,IF(ISNUMBER(SEARCH(Assumptions!$C$6,D689)),Assumptions!$D$6,IF(ISNUMBER(SEARCH(Assumptions!$C$7,D689)),Assumptions!$D$7,"Other Services"))),"Other Services"))</f>
        <v/>
      </c>
    </row>
    <row r="690" customFormat="false" ht="15" hidden="false" customHeight="false" outlineLevel="0" collapsed="false">
      <c r="F690" s="41" t="str">
        <f aca="false">IF(D690="","",IFERROR(IF(ISNUMBER(SEARCH(Assumptions!$C$5,D690)),Assumptions!$D$5,IF(ISNUMBER(SEARCH(Assumptions!$C$6,D690)),Assumptions!$D$6,IF(ISNUMBER(SEARCH(Assumptions!$C$7,D690)),Assumptions!$D$7,"Other Services"))),"Other Services"))</f>
        <v/>
      </c>
    </row>
    <row r="691" customFormat="false" ht="15" hidden="false" customHeight="false" outlineLevel="0" collapsed="false">
      <c r="F691" s="41" t="str">
        <f aca="false">IF(D691="","",IFERROR(IF(ISNUMBER(SEARCH(Assumptions!$C$5,D691)),Assumptions!$D$5,IF(ISNUMBER(SEARCH(Assumptions!$C$6,D691)),Assumptions!$D$6,IF(ISNUMBER(SEARCH(Assumptions!$C$7,D691)),Assumptions!$D$7,"Other Services"))),"Other Services"))</f>
        <v/>
      </c>
    </row>
    <row r="692" customFormat="false" ht="15" hidden="false" customHeight="false" outlineLevel="0" collapsed="false">
      <c r="F692" s="41" t="str">
        <f aca="false">IF(D692="","",IFERROR(IF(ISNUMBER(SEARCH(Assumptions!$C$5,D692)),Assumptions!$D$5,IF(ISNUMBER(SEARCH(Assumptions!$C$6,D692)),Assumptions!$D$6,IF(ISNUMBER(SEARCH(Assumptions!$C$7,D692)),Assumptions!$D$7,"Other Services"))),"Other Services"))</f>
        <v/>
      </c>
    </row>
    <row r="693" customFormat="false" ht="15" hidden="false" customHeight="false" outlineLevel="0" collapsed="false">
      <c r="F693" s="41" t="str">
        <f aca="false">IF(D693="","",IFERROR(IF(ISNUMBER(SEARCH(Assumptions!$C$5,D693)),Assumptions!$D$5,IF(ISNUMBER(SEARCH(Assumptions!$C$6,D693)),Assumptions!$D$6,IF(ISNUMBER(SEARCH(Assumptions!$C$7,D693)),Assumptions!$D$7,"Other Services"))),"Other Services"))</f>
        <v/>
      </c>
    </row>
    <row r="694" customFormat="false" ht="15" hidden="false" customHeight="false" outlineLevel="0" collapsed="false">
      <c r="F694" s="41" t="str">
        <f aca="false">IF(D694="","",IFERROR(IF(ISNUMBER(SEARCH(Assumptions!$C$5,D694)),Assumptions!$D$5,IF(ISNUMBER(SEARCH(Assumptions!$C$6,D694)),Assumptions!$D$6,IF(ISNUMBER(SEARCH(Assumptions!$C$7,D694)),Assumptions!$D$7,"Other Services"))),"Other Services"))</f>
        <v/>
      </c>
    </row>
    <row r="695" customFormat="false" ht="15" hidden="false" customHeight="false" outlineLevel="0" collapsed="false">
      <c r="F695" s="41" t="str">
        <f aca="false">IF(D695="","",IFERROR(IF(ISNUMBER(SEARCH(Assumptions!$C$5,D695)),Assumptions!$D$5,IF(ISNUMBER(SEARCH(Assumptions!$C$6,D695)),Assumptions!$D$6,IF(ISNUMBER(SEARCH(Assumptions!$C$7,D695)),Assumptions!$D$7,"Other Services"))),"Other Services"))</f>
        <v/>
      </c>
    </row>
    <row r="696" customFormat="false" ht="15" hidden="false" customHeight="false" outlineLevel="0" collapsed="false">
      <c r="F696" s="41" t="str">
        <f aca="false">IF(D696="","",IFERROR(IF(ISNUMBER(SEARCH(Assumptions!$C$5,D696)),Assumptions!$D$5,IF(ISNUMBER(SEARCH(Assumptions!$C$6,D696)),Assumptions!$D$6,IF(ISNUMBER(SEARCH(Assumptions!$C$7,D696)),Assumptions!$D$7,"Other Services"))),"Other Services"))</f>
        <v/>
      </c>
    </row>
    <row r="697" customFormat="false" ht="15" hidden="false" customHeight="false" outlineLevel="0" collapsed="false">
      <c r="F697" s="41" t="str">
        <f aca="false">IF(D697="","",IFERROR(IF(ISNUMBER(SEARCH(Assumptions!$C$5,D697)),Assumptions!$D$5,IF(ISNUMBER(SEARCH(Assumptions!$C$6,D697)),Assumptions!$D$6,IF(ISNUMBER(SEARCH(Assumptions!$C$7,D697)),Assumptions!$D$7,"Other Services"))),"Other Services"))</f>
        <v/>
      </c>
    </row>
    <row r="698" customFormat="false" ht="15" hidden="false" customHeight="false" outlineLevel="0" collapsed="false">
      <c r="F698" s="41" t="str">
        <f aca="false">IF(D698="","",IFERROR(IF(ISNUMBER(SEARCH(Assumptions!$C$5,D698)),Assumptions!$D$5,IF(ISNUMBER(SEARCH(Assumptions!$C$6,D698)),Assumptions!$D$6,IF(ISNUMBER(SEARCH(Assumptions!$C$7,D698)),Assumptions!$D$7,"Other Services"))),"Other Services"))</f>
        <v/>
      </c>
    </row>
    <row r="699" customFormat="false" ht="15" hidden="false" customHeight="false" outlineLevel="0" collapsed="false">
      <c r="F699" s="41" t="str">
        <f aca="false">IF(D699="","",IFERROR(IF(ISNUMBER(SEARCH(Assumptions!$C$5,D699)),Assumptions!$D$5,IF(ISNUMBER(SEARCH(Assumptions!$C$6,D699)),Assumptions!$D$6,IF(ISNUMBER(SEARCH(Assumptions!$C$7,D699)),Assumptions!$D$7,"Other Services"))),"Other Services"))</f>
        <v/>
      </c>
    </row>
    <row r="700" customFormat="false" ht="15" hidden="false" customHeight="false" outlineLevel="0" collapsed="false">
      <c r="F700" s="41" t="str">
        <f aca="false">IF(D700="","",IFERROR(IF(ISNUMBER(SEARCH(Assumptions!$C$5,D700)),Assumptions!$D$5,IF(ISNUMBER(SEARCH(Assumptions!$C$6,D700)),Assumptions!$D$6,IF(ISNUMBER(SEARCH(Assumptions!$C$7,D700)),Assumptions!$D$7,"Other Services"))),"Other Services"))</f>
        <v/>
      </c>
    </row>
    <row r="701" customFormat="false" ht="15" hidden="false" customHeight="false" outlineLevel="0" collapsed="false">
      <c r="F701" s="41" t="str">
        <f aca="false">IF(D701="","",IFERROR(IF(ISNUMBER(SEARCH(Assumptions!$C$5,D701)),Assumptions!$D$5,IF(ISNUMBER(SEARCH(Assumptions!$C$6,D701)),Assumptions!$D$6,IF(ISNUMBER(SEARCH(Assumptions!$C$7,D701)),Assumptions!$D$7,"Other Services"))),"Other Services"))</f>
        <v/>
      </c>
    </row>
    <row r="702" customFormat="false" ht="15" hidden="false" customHeight="false" outlineLevel="0" collapsed="false">
      <c r="F702" s="41" t="str">
        <f aca="false">IF(D702="","",IFERROR(IF(ISNUMBER(SEARCH(Assumptions!$C$5,D702)),Assumptions!$D$5,IF(ISNUMBER(SEARCH(Assumptions!$C$6,D702)),Assumptions!$D$6,IF(ISNUMBER(SEARCH(Assumptions!$C$7,D702)),Assumptions!$D$7,"Other Services"))),"Other Services"))</f>
        <v/>
      </c>
    </row>
    <row r="703" customFormat="false" ht="15" hidden="false" customHeight="false" outlineLevel="0" collapsed="false">
      <c r="F703" s="41" t="str">
        <f aca="false">IF(D703="","",IFERROR(IF(ISNUMBER(SEARCH(Assumptions!$C$5,D703)),Assumptions!$D$5,IF(ISNUMBER(SEARCH(Assumptions!$C$6,D703)),Assumptions!$D$6,IF(ISNUMBER(SEARCH(Assumptions!$C$7,D703)),Assumptions!$D$7,"Other Services"))),"Other Services"))</f>
        <v/>
      </c>
    </row>
    <row r="704" customFormat="false" ht="15" hidden="false" customHeight="false" outlineLevel="0" collapsed="false">
      <c r="F704" s="41" t="str">
        <f aca="false">IF(D704="","",IFERROR(IF(ISNUMBER(SEARCH(Assumptions!$C$5,D704)),Assumptions!$D$5,IF(ISNUMBER(SEARCH(Assumptions!$C$6,D704)),Assumptions!$D$6,IF(ISNUMBER(SEARCH(Assumptions!$C$7,D704)),Assumptions!$D$7,"Other Services"))),"Other Services"))</f>
        <v/>
      </c>
    </row>
    <row r="705" customFormat="false" ht="15" hidden="false" customHeight="false" outlineLevel="0" collapsed="false">
      <c r="F705" s="41" t="str">
        <f aca="false">IF(D705="","",IFERROR(IF(ISNUMBER(SEARCH(Assumptions!$C$5,D705)),Assumptions!$D$5,IF(ISNUMBER(SEARCH(Assumptions!$C$6,D705)),Assumptions!$D$6,IF(ISNUMBER(SEARCH(Assumptions!$C$7,D705)),Assumptions!$D$7,"Other Services"))),"Other Services"))</f>
        <v/>
      </c>
    </row>
    <row r="706" customFormat="false" ht="15" hidden="false" customHeight="false" outlineLevel="0" collapsed="false">
      <c r="F706" s="41" t="str">
        <f aca="false">IF(D706="","",IFERROR(IF(ISNUMBER(SEARCH(Assumptions!$C$5,D706)),Assumptions!$D$5,IF(ISNUMBER(SEARCH(Assumptions!$C$6,D706)),Assumptions!$D$6,IF(ISNUMBER(SEARCH(Assumptions!$C$7,D706)),Assumptions!$D$7,"Other Services"))),"Other Services"))</f>
        <v/>
      </c>
    </row>
    <row r="707" customFormat="false" ht="15" hidden="false" customHeight="false" outlineLevel="0" collapsed="false">
      <c r="F707" s="41" t="str">
        <f aca="false">IF(D707="","",IFERROR(IF(ISNUMBER(SEARCH(Assumptions!$C$5,D707)),Assumptions!$D$5,IF(ISNUMBER(SEARCH(Assumptions!$C$6,D707)),Assumptions!$D$6,IF(ISNUMBER(SEARCH(Assumptions!$C$7,D707)),Assumptions!$D$7,"Other Services"))),"Other Services"))</f>
        <v/>
      </c>
    </row>
    <row r="708" customFormat="false" ht="15" hidden="false" customHeight="false" outlineLevel="0" collapsed="false">
      <c r="F708" s="41" t="str">
        <f aca="false">IF(D708="","",IFERROR(IF(ISNUMBER(SEARCH(Assumptions!$C$5,D708)),Assumptions!$D$5,IF(ISNUMBER(SEARCH(Assumptions!$C$6,D708)),Assumptions!$D$6,IF(ISNUMBER(SEARCH(Assumptions!$C$7,D708)),Assumptions!$D$7,"Other Services"))),"Other Services"))</f>
        <v/>
      </c>
    </row>
    <row r="709" customFormat="false" ht="15" hidden="false" customHeight="false" outlineLevel="0" collapsed="false">
      <c r="F709" s="41" t="str">
        <f aca="false">IF(D709="","",IFERROR(IF(ISNUMBER(SEARCH(Assumptions!$C$5,D709)),Assumptions!$D$5,IF(ISNUMBER(SEARCH(Assumptions!$C$6,D709)),Assumptions!$D$6,IF(ISNUMBER(SEARCH(Assumptions!$C$7,D709)),Assumptions!$D$7,"Other Services"))),"Other Services"))</f>
        <v/>
      </c>
    </row>
    <row r="710" customFormat="false" ht="15" hidden="false" customHeight="false" outlineLevel="0" collapsed="false">
      <c r="F710" s="41" t="str">
        <f aca="false">IF(D710="","",IFERROR(IF(ISNUMBER(SEARCH(Assumptions!$C$5,D710)),Assumptions!$D$5,IF(ISNUMBER(SEARCH(Assumptions!$C$6,D710)),Assumptions!$D$6,IF(ISNUMBER(SEARCH(Assumptions!$C$7,D710)),Assumptions!$D$7,"Other Services"))),"Other Services"))</f>
        <v/>
      </c>
    </row>
    <row r="711" customFormat="false" ht="15" hidden="false" customHeight="false" outlineLevel="0" collapsed="false">
      <c r="F711" s="41" t="str">
        <f aca="false">IF(D711="","",IFERROR(IF(ISNUMBER(SEARCH(Assumptions!$C$5,D711)),Assumptions!$D$5,IF(ISNUMBER(SEARCH(Assumptions!$C$6,D711)),Assumptions!$D$6,IF(ISNUMBER(SEARCH(Assumptions!$C$7,D711)),Assumptions!$D$7,"Other Services"))),"Other Services"))</f>
        <v/>
      </c>
    </row>
    <row r="712" customFormat="false" ht="15" hidden="false" customHeight="false" outlineLevel="0" collapsed="false">
      <c r="F712" s="41" t="str">
        <f aca="false">IF(D712="","",IFERROR(IF(ISNUMBER(SEARCH(Assumptions!$C$5,D712)),Assumptions!$D$5,IF(ISNUMBER(SEARCH(Assumptions!$C$6,D712)),Assumptions!$D$6,IF(ISNUMBER(SEARCH(Assumptions!$C$7,D712)),Assumptions!$D$7,"Other Services"))),"Other Services"))</f>
        <v/>
      </c>
    </row>
    <row r="713" customFormat="false" ht="15" hidden="false" customHeight="false" outlineLevel="0" collapsed="false">
      <c r="F713" s="41" t="str">
        <f aca="false">IF(D713="","",IFERROR(IF(ISNUMBER(SEARCH(Assumptions!$C$5,D713)),Assumptions!$D$5,IF(ISNUMBER(SEARCH(Assumptions!$C$6,D713)),Assumptions!$D$6,IF(ISNUMBER(SEARCH(Assumptions!$C$7,D713)),Assumptions!$D$7,"Other Services"))),"Other Services"))</f>
        <v/>
      </c>
    </row>
    <row r="714" customFormat="false" ht="15" hidden="false" customHeight="false" outlineLevel="0" collapsed="false">
      <c r="F714" s="41" t="str">
        <f aca="false">IF(D714="","",IFERROR(IF(ISNUMBER(SEARCH(Assumptions!$C$5,D714)),Assumptions!$D$5,IF(ISNUMBER(SEARCH(Assumptions!$C$6,D714)),Assumptions!$D$6,IF(ISNUMBER(SEARCH(Assumptions!$C$7,D714)),Assumptions!$D$7,"Other Services"))),"Other Services"))</f>
        <v/>
      </c>
    </row>
    <row r="715" customFormat="false" ht="15" hidden="false" customHeight="false" outlineLevel="0" collapsed="false">
      <c r="F715" s="41" t="str">
        <f aca="false">IF(D715="","",IFERROR(IF(ISNUMBER(SEARCH(Assumptions!$C$5,D715)),Assumptions!$D$5,IF(ISNUMBER(SEARCH(Assumptions!$C$6,D715)),Assumptions!$D$6,IF(ISNUMBER(SEARCH(Assumptions!$C$7,D715)),Assumptions!$D$7,"Other Services"))),"Other Services"))</f>
        <v/>
      </c>
    </row>
    <row r="716" customFormat="false" ht="15" hidden="false" customHeight="false" outlineLevel="0" collapsed="false">
      <c r="F716" s="41" t="str">
        <f aca="false">IF(D716="","",IFERROR(IF(ISNUMBER(SEARCH(Assumptions!$C$5,D716)),Assumptions!$D$5,IF(ISNUMBER(SEARCH(Assumptions!$C$6,D716)),Assumptions!$D$6,IF(ISNUMBER(SEARCH(Assumptions!$C$7,D716)),Assumptions!$D$7,"Other Services"))),"Other Services"))</f>
        <v/>
      </c>
    </row>
    <row r="717" customFormat="false" ht="15" hidden="false" customHeight="false" outlineLevel="0" collapsed="false">
      <c r="F717" s="41" t="str">
        <f aca="false">IF(D717="","",IFERROR(IF(ISNUMBER(SEARCH(Assumptions!$C$5,D717)),Assumptions!$D$5,IF(ISNUMBER(SEARCH(Assumptions!$C$6,D717)),Assumptions!$D$6,IF(ISNUMBER(SEARCH(Assumptions!$C$7,D717)),Assumptions!$D$7,"Other Services"))),"Other Services"))</f>
        <v/>
      </c>
    </row>
    <row r="718" customFormat="false" ht="15" hidden="false" customHeight="false" outlineLevel="0" collapsed="false">
      <c r="F718" s="41" t="str">
        <f aca="false">IF(D718="","",IFERROR(IF(ISNUMBER(SEARCH(Assumptions!$C$5,D718)),Assumptions!$D$5,IF(ISNUMBER(SEARCH(Assumptions!$C$6,D718)),Assumptions!$D$6,IF(ISNUMBER(SEARCH(Assumptions!$C$7,D718)),Assumptions!$D$7,"Other Services"))),"Other Services"))</f>
        <v/>
      </c>
    </row>
    <row r="719" customFormat="false" ht="15" hidden="false" customHeight="false" outlineLevel="0" collapsed="false">
      <c r="F719" s="41" t="str">
        <f aca="false">IF(D719="","",IFERROR(IF(ISNUMBER(SEARCH(Assumptions!$C$5,D719)),Assumptions!$D$5,IF(ISNUMBER(SEARCH(Assumptions!$C$6,D719)),Assumptions!$D$6,IF(ISNUMBER(SEARCH(Assumptions!$C$7,D719)),Assumptions!$D$7,"Other Services"))),"Other Services"))</f>
        <v/>
      </c>
    </row>
    <row r="720" customFormat="false" ht="15" hidden="false" customHeight="false" outlineLevel="0" collapsed="false">
      <c r="F720" s="41" t="str">
        <f aca="false">IF(D720="","",IFERROR(IF(ISNUMBER(SEARCH(Assumptions!$C$5,D720)),Assumptions!$D$5,IF(ISNUMBER(SEARCH(Assumptions!$C$6,D720)),Assumptions!$D$6,IF(ISNUMBER(SEARCH(Assumptions!$C$7,D720)),Assumptions!$D$7,"Other Services"))),"Other Services"))</f>
        <v/>
      </c>
    </row>
    <row r="721" customFormat="false" ht="15" hidden="false" customHeight="false" outlineLevel="0" collapsed="false">
      <c r="F721" s="41" t="str">
        <f aca="false">IF(D721="","",IFERROR(IF(ISNUMBER(SEARCH(Assumptions!$C$5,D721)),Assumptions!$D$5,IF(ISNUMBER(SEARCH(Assumptions!$C$6,D721)),Assumptions!$D$6,IF(ISNUMBER(SEARCH(Assumptions!$C$7,D721)),Assumptions!$D$7,"Other Services"))),"Other Services"))</f>
        <v/>
      </c>
    </row>
    <row r="722" customFormat="false" ht="15" hidden="false" customHeight="false" outlineLevel="0" collapsed="false">
      <c r="F722" s="41" t="str">
        <f aca="false">IF(D722="","",IFERROR(IF(ISNUMBER(SEARCH(Assumptions!$C$5,D722)),Assumptions!$D$5,IF(ISNUMBER(SEARCH(Assumptions!$C$6,D722)),Assumptions!$D$6,IF(ISNUMBER(SEARCH(Assumptions!$C$7,D722)),Assumptions!$D$7,"Other Services"))),"Other Services"))</f>
        <v/>
      </c>
    </row>
    <row r="723" customFormat="false" ht="15" hidden="false" customHeight="false" outlineLevel="0" collapsed="false">
      <c r="F723" s="41" t="str">
        <f aca="false">IF(D723="","",IFERROR(IF(ISNUMBER(SEARCH(Assumptions!$C$5,D723)),Assumptions!$D$5,IF(ISNUMBER(SEARCH(Assumptions!$C$6,D723)),Assumptions!$D$6,IF(ISNUMBER(SEARCH(Assumptions!$C$7,D723)),Assumptions!$D$7,"Other Services"))),"Other Services"))</f>
        <v/>
      </c>
    </row>
    <row r="724" customFormat="false" ht="15" hidden="false" customHeight="false" outlineLevel="0" collapsed="false">
      <c r="F724" s="41" t="str">
        <f aca="false">IF(D724="","",IFERROR(IF(ISNUMBER(SEARCH(Assumptions!$C$5,D724)),Assumptions!$D$5,IF(ISNUMBER(SEARCH(Assumptions!$C$6,D724)),Assumptions!$D$6,IF(ISNUMBER(SEARCH(Assumptions!$C$7,D724)),Assumptions!$D$7,"Other Services"))),"Other Services"))</f>
        <v/>
      </c>
    </row>
    <row r="725" customFormat="false" ht="15" hidden="false" customHeight="false" outlineLevel="0" collapsed="false">
      <c r="F725" s="41" t="str">
        <f aca="false">IF(D725="","",IFERROR(IF(ISNUMBER(SEARCH(Assumptions!$C$5,D725)),Assumptions!$D$5,IF(ISNUMBER(SEARCH(Assumptions!$C$6,D725)),Assumptions!$D$6,IF(ISNUMBER(SEARCH(Assumptions!$C$7,D725)),Assumptions!$D$7,"Other Services"))),"Other Services"))</f>
        <v/>
      </c>
    </row>
    <row r="726" customFormat="false" ht="15" hidden="false" customHeight="false" outlineLevel="0" collapsed="false">
      <c r="F726" s="41" t="str">
        <f aca="false">IF(D726="","",IFERROR(IF(ISNUMBER(SEARCH(Assumptions!$C$5,D726)),Assumptions!$D$5,IF(ISNUMBER(SEARCH(Assumptions!$C$6,D726)),Assumptions!$D$6,IF(ISNUMBER(SEARCH(Assumptions!$C$7,D726)),Assumptions!$D$7,"Other Services"))),"Other Services"))</f>
        <v/>
      </c>
    </row>
    <row r="727" customFormat="false" ht="15" hidden="false" customHeight="false" outlineLevel="0" collapsed="false">
      <c r="F727" s="41" t="str">
        <f aca="false">IF(D727="","",IFERROR(IF(ISNUMBER(SEARCH(Assumptions!$C$5,D727)),Assumptions!$D$5,IF(ISNUMBER(SEARCH(Assumptions!$C$6,D727)),Assumptions!$D$6,IF(ISNUMBER(SEARCH(Assumptions!$C$7,D727)),Assumptions!$D$7,"Other Services"))),"Other Services"))</f>
        <v/>
      </c>
    </row>
    <row r="728" customFormat="false" ht="15" hidden="false" customHeight="false" outlineLevel="0" collapsed="false">
      <c r="F728" s="41" t="str">
        <f aca="false">IF(D728="","",IFERROR(IF(ISNUMBER(SEARCH(Assumptions!$C$5,D728)),Assumptions!$D$5,IF(ISNUMBER(SEARCH(Assumptions!$C$6,D728)),Assumptions!$D$6,IF(ISNUMBER(SEARCH(Assumptions!$C$7,D728)),Assumptions!$D$7,"Other Services"))),"Other Services"))</f>
        <v/>
      </c>
    </row>
    <row r="729" customFormat="false" ht="15" hidden="false" customHeight="false" outlineLevel="0" collapsed="false">
      <c r="F729" s="41" t="str">
        <f aca="false">IF(D729="","",IFERROR(IF(ISNUMBER(SEARCH(Assumptions!$C$5,D729)),Assumptions!$D$5,IF(ISNUMBER(SEARCH(Assumptions!$C$6,D729)),Assumptions!$D$6,IF(ISNUMBER(SEARCH(Assumptions!$C$7,D729)),Assumptions!$D$7,"Other Services"))),"Other Services"))</f>
        <v/>
      </c>
    </row>
    <row r="730" customFormat="false" ht="15" hidden="false" customHeight="false" outlineLevel="0" collapsed="false">
      <c r="F730" s="41" t="str">
        <f aca="false">IF(D730="","",IFERROR(IF(ISNUMBER(SEARCH(Assumptions!$C$5,D730)),Assumptions!$D$5,IF(ISNUMBER(SEARCH(Assumptions!$C$6,D730)),Assumptions!$D$6,IF(ISNUMBER(SEARCH(Assumptions!$C$7,D730)),Assumptions!$D$7,"Other Services"))),"Other Services"))</f>
        <v/>
      </c>
    </row>
    <row r="731" customFormat="false" ht="15" hidden="false" customHeight="false" outlineLevel="0" collapsed="false">
      <c r="F731" s="41" t="str">
        <f aca="false">IF(D731="","",IFERROR(IF(ISNUMBER(SEARCH(Assumptions!$C$5,D731)),Assumptions!$D$5,IF(ISNUMBER(SEARCH(Assumptions!$C$6,D731)),Assumptions!$D$6,IF(ISNUMBER(SEARCH(Assumptions!$C$7,D731)),Assumptions!$D$7,"Other Services"))),"Other Services"))</f>
        <v/>
      </c>
    </row>
    <row r="732" customFormat="false" ht="15" hidden="false" customHeight="false" outlineLevel="0" collapsed="false">
      <c r="F732" s="41" t="str">
        <f aca="false">IF(D732="","",IFERROR(IF(ISNUMBER(SEARCH(Assumptions!$C$5,D732)),Assumptions!$D$5,IF(ISNUMBER(SEARCH(Assumptions!$C$6,D732)),Assumptions!$D$6,IF(ISNUMBER(SEARCH(Assumptions!$C$7,D732)),Assumptions!$D$7,"Other Services"))),"Other Services"))</f>
        <v/>
      </c>
    </row>
    <row r="733" customFormat="false" ht="15" hidden="false" customHeight="false" outlineLevel="0" collapsed="false">
      <c r="F733" s="41" t="str">
        <f aca="false">IF(D733="","",IFERROR(IF(ISNUMBER(SEARCH(Assumptions!$C$5,D733)),Assumptions!$D$5,IF(ISNUMBER(SEARCH(Assumptions!$C$6,D733)),Assumptions!$D$6,IF(ISNUMBER(SEARCH(Assumptions!$C$7,D733)),Assumptions!$D$7,"Other Services"))),"Other Services"))</f>
        <v/>
      </c>
    </row>
    <row r="734" customFormat="false" ht="15" hidden="false" customHeight="false" outlineLevel="0" collapsed="false">
      <c r="F734" s="41" t="str">
        <f aca="false">IF(D734="","",IFERROR(IF(ISNUMBER(SEARCH(Assumptions!$C$5,D734)),Assumptions!$D$5,IF(ISNUMBER(SEARCH(Assumptions!$C$6,D734)),Assumptions!$D$6,IF(ISNUMBER(SEARCH(Assumptions!$C$7,D734)),Assumptions!$D$7,"Other Services"))),"Other Services"))</f>
        <v/>
      </c>
    </row>
    <row r="735" customFormat="false" ht="15" hidden="false" customHeight="false" outlineLevel="0" collapsed="false">
      <c r="F735" s="41" t="str">
        <f aca="false">IF(D735="","",IFERROR(IF(ISNUMBER(SEARCH(Assumptions!$C$5,D735)),Assumptions!$D$5,IF(ISNUMBER(SEARCH(Assumptions!$C$6,D735)),Assumptions!$D$6,IF(ISNUMBER(SEARCH(Assumptions!$C$7,D735)),Assumptions!$D$7,"Other Services"))),"Other Services"))</f>
        <v/>
      </c>
    </row>
    <row r="736" customFormat="false" ht="15" hidden="false" customHeight="false" outlineLevel="0" collapsed="false">
      <c r="F736" s="41" t="str">
        <f aca="false">IF(D736="","",IFERROR(IF(ISNUMBER(SEARCH(Assumptions!$C$5,D736)),Assumptions!$D$5,IF(ISNUMBER(SEARCH(Assumptions!$C$6,D736)),Assumptions!$D$6,IF(ISNUMBER(SEARCH(Assumptions!$C$7,D736)),Assumptions!$D$7,"Other Services"))),"Other Services"))</f>
        <v/>
      </c>
    </row>
    <row r="737" customFormat="false" ht="15" hidden="false" customHeight="false" outlineLevel="0" collapsed="false">
      <c r="F737" s="41" t="str">
        <f aca="false">IF(D737="","",IFERROR(IF(ISNUMBER(SEARCH(Assumptions!$C$5,D737)),Assumptions!$D$5,IF(ISNUMBER(SEARCH(Assumptions!$C$6,D737)),Assumptions!$D$6,IF(ISNUMBER(SEARCH(Assumptions!$C$7,D737)),Assumptions!$D$7,"Other Services"))),"Other Services"))</f>
        <v/>
      </c>
    </row>
    <row r="738" customFormat="false" ht="15" hidden="false" customHeight="false" outlineLevel="0" collapsed="false">
      <c r="F738" s="41" t="str">
        <f aca="false">IF(D738="","",IFERROR(IF(ISNUMBER(SEARCH(Assumptions!$C$5,D738)),Assumptions!$D$5,IF(ISNUMBER(SEARCH(Assumptions!$C$6,D738)),Assumptions!$D$6,IF(ISNUMBER(SEARCH(Assumptions!$C$7,D738)),Assumptions!$D$7,"Other Services"))),"Other Services"))</f>
        <v/>
      </c>
    </row>
    <row r="739" customFormat="false" ht="15" hidden="false" customHeight="false" outlineLevel="0" collapsed="false">
      <c r="F739" s="41" t="str">
        <f aca="false">IF(D739="","",IFERROR(IF(ISNUMBER(SEARCH(Assumptions!$C$5,D739)),Assumptions!$D$5,IF(ISNUMBER(SEARCH(Assumptions!$C$6,D739)),Assumptions!$D$6,IF(ISNUMBER(SEARCH(Assumptions!$C$7,D739)),Assumptions!$D$7,"Other Services"))),"Other Services"))</f>
        <v/>
      </c>
    </row>
    <row r="740" customFormat="false" ht="15" hidden="false" customHeight="false" outlineLevel="0" collapsed="false">
      <c r="F740" s="41" t="str">
        <f aca="false">IF(D740="","",IFERROR(IF(ISNUMBER(SEARCH(Assumptions!$C$5,D740)),Assumptions!$D$5,IF(ISNUMBER(SEARCH(Assumptions!$C$6,D740)),Assumptions!$D$6,IF(ISNUMBER(SEARCH(Assumptions!$C$7,D740)),Assumptions!$D$7,"Other Services"))),"Other Services"))</f>
        <v/>
      </c>
    </row>
    <row r="741" customFormat="false" ht="15" hidden="false" customHeight="false" outlineLevel="0" collapsed="false">
      <c r="F741" s="41" t="str">
        <f aca="false">IF(D741="","",IFERROR(IF(ISNUMBER(SEARCH(Assumptions!$C$5,D741)),Assumptions!$D$5,IF(ISNUMBER(SEARCH(Assumptions!$C$6,D741)),Assumptions!$D$6,IF(ISNUMBER(SEARCH(Assumptions!$C$7,D741)),Assumptions!$D$7,"Other Services"))),"Other Services"))</f>
        <v/>
      </c>
    </row>
    <row r="742" customFormat="false" ht="15" hidden="false" customHeight="false" outlineLevel="0" collapsed="false">
      <c r="F742" s="41" t="str">
        <f aca="false">IF(D742="","",IFERROR(IF(ISNUMBER(SEARCH(Assumptions!$C$5,D742)),Assumptions!$D$5,IF(ISNUMBER(SEARCH(Assumptions!$C$6,D742)),Assumptions!$D$6,IF(ISNUMBER(SEARCH(Assumptions!$C$7,D742)),Assumptions!$D$7,"Other Services"))),"Other Services"))</f>
        <v/>
      </c>
    </row>
    <row r="743" customFormat="false" ht="15" hidden="false" customHeight="false" outlineLevel="0" collapsed="false">
      <c r="F743" s="41" t="str">
        <f aca="false">IF(D743="","",IFERROR(IF(ISNUMBER(SEARCH(Assumptions!$C$5,D743)),Assumptions!$D$5,IF(ISNUMBER(SEARCH(Assumptions!$C$6,D743)),Assumptions!$D$6,IF(ISNUMBER(SEARCH(Assumptions!$C$7,D743)),Assumptions!$D$7,"Other Services"))),"Other Services"))</f>
        <v/>
      </c>
    </row>
    <row r="744" customFormat="false" ht="15" hidden="false" customHeight="false" outlineLevel="0" collapsed="false">
      <c r="F744" s="41" t="str">
        <f aca="false">IF(D744="","",IFERROR(IF(ISNUMBER(SEARCH(Assumptions!$C$5,D744)),Assumptions!$D$5,IF(ISNUMBER(SEARCH(Assumptions!$C$6,D744)),Assumptions!$D$6,IF(ISNUMBER(SEARCH(Assumptions!$C$7,D744)),Assumptions!$D$7,"Other Services"))),"Other Services"))</f>
        <v/>
      </c>
    </row>
    <row r="745" customFormat="false" ht="15" hidden="false" customHeight="false" outlineLevel="0" collapsed="false">
      <c r="F745" s="41" t="str">
        <f aca="false">IF(D745="","",IFERROR(IF(ISNUMBER(SEARCH(Assumptions!$C$5,D745)),Assumptions!$D$5,IF(ISNUMBER(SEARCH(Assumptions!$C$6,D745)),Assumptions!$D$6,IF(ISNUMBER(SEARCH(Assumptions!$C$7,D745)),Assumptions!$D$7,"Other Services"))),"Other Services"))</f>
        <v/>
      </c>
    </row>
    <row r="746" customFormat="false" ht="15" hidden="false" customHeight="false" outlineLevel="0" collapsed="false">
      <c r="F746" s="41" t="str">
        <f aca="false">IF(D746="","",IFERROR(IF(ISNUMBER(SEARCH(Assumptions!$C$5,D746)),Assumptions!$D$5,IF(ISNUMBER(SEARCH(Assumptions!$C$6,D746)),Assumptions!$D$6,IF(ISNUMBER(SEARCH(Assumptions!$C$7,D746)),Assumptions!$D$7,"Other Services"))),"Other Services"))</f>
        <v/>
      </c>
    </row>
    <row r="747" customFormat="false" ht="15" hidden="false" customHeight="false" outlineLevel="0" collapsed="false">
      <c r="F747" s="41" t="str">
        <f aca="false">IF(D747="","",IFERROR(IF(ISNUMBER(SEARCH(Assumptions!$C$5,D747)),Assumptions!$D$5,IF(ISNUMBER(SEARCH(Assumptions!$C$6,D747)),Assumptions!$D$6,IF(ISNUMBER(SEARCH(Assumptions!$C$7,D747)),Assumptions!$D$7,"Other Services"))),"Other Services"))</f>
        <v/>
      </c>
    </row>
    <row r="748" customFormat="false" ht="15" hidden="false" customHeight="false" outlineLevel="0" collapsed="false">
      <c r="F748" s="41" t="str">
        <f aca="false">IF(D748="","",IFERROR(IF(ISNUMBER(SEARCH(Assumptions!$C$5,D748)),Assumptions!$D$5,IF(ISNUMBER(SEARCH(Assumptions!$C$6,D748)),Assumptions!$D$6,IF(ISNUMBER(SEARCH(Assumptions!$C$7,D748)),Assumptions!$D$7,"Other Services"))),"Other Services"))</f>
        <v/>
      </c>
    </row>
    <row r="749" customFormat="false" ht="15" hidden="false" customHeight="false" outlineLevel="0" collapsed="false">
      <c r="F749" s="41" t="str">
        <f aca="false">IF(D749="","",IFERROR(IF(ISNUMBER(SEARCH(Assumptions!$C$5,D749)),Assumptions!$D$5,IF(ISNUMBER(SEARCH(Assumptions!$C$6,D749)),Assumptions!$D$6,IF(ISNUMBER(SEARCH(Assumptions!$C$7,D749)),Assumptions!$D$7,"Other Services"))),"Other Services"))</f>
        <v/>
      </c>
    </row>
    <row r="750" customFormat="false" ht="15" hidden="false" customHeight="false" outlineLevel="0" collapsed="false">
      <c r="F750" s="41" t="str">
        <f aca="false">IF(D750="","",IFERROR(IF(ISNUMBER(SEARCH(Assumptions!$C$5,D750)),Assumptions!$D$5,IF(ISNUMBER(SEARCH(Assumptions!$C$6,D750)),Assumptions!$D$6,IF(ISNUMBER(SEARCH(Assumptions!$C$7,D750)),Assumptions!$D$7,"Other Services"))),"Other Services"))</f>
        <v/>
      </c>
    </row>
    <row r="751" customFormat="false" ht="15" hidden="false" customHeight="false" outlineLevel="0" collapsed="false">
      <c r="F751" s="41" t="str">
        <f aca="false">IF(D751="","",IFERROR(IF(ISNUMBER(SEARCH(Assumptions!$C$5,D751)),Assumptions!$D$5,IF(ISNUMBER(SEARCH(Assumptions!$C$6,D751)),Assumptions!$D$6,IF(ISNUMBER(SEARCH(Assumptions!$C$7,D751)),Assumptions!$D$7,"Other Services"))),"Other Services"))</f>
        <v/>
      </c>
    </row>
    <row r="752" customFormat="false" ht="15" hidden="false" customHeight="false" outlineLevel="0" collapsed="false">
      <c r="F752" s="41" t="str">
        <f aca="false">IF(D752="","",IFERROR(IF(ISNUMBER(SEARCH(Assumptions!$C$5,D752)),Assumptions!$D$5,IF(ISNUMBER(SEARCH(Assumptions!$C$6,D752)),Assumptions!$D$6,IF(ISNUMBER(SEARCH(Assumptions!$C$7,D752)),Assumptions!$D$7,"Other Services"))),"Other Services"))</f>
        <v/>
      </c>
    </row>
    <row r="753" customFormat="false" ht="15" hidden="false" customHeight="false" outlineLevel="0" collapsed="false">
      <c r="F753" s="41" t="str">
        <f aca="false">IF(D753="","",IFERROR(IF(ISNUMBER(SEARCH(Assumptions!$C$5,D753)),Assumptions!$D$5,IF(ISNUMBER(SEARCH(Assumptions!$C$6,D753)),Assumptions!$D$6,IF(ISNUMBER(SEARCH(Assumptions!$C$7,D753)),Assumptions!$D$7,"Other Services"))),"Other Services"))</f>
        <v/>
      </c>
    </row>
    <row r="754" customFormat="false" ht="15" hidden="false" customHeight="false" outlineLevel="0" collapsed="false">
      <c r="F754" s="41" t="str">
        <f aca="false">IF(D754="","",IFERROR(IF(ISNUMBER(SEARCH(Assumptions!$C$5,D754)),Assumptions!$D$5,IF(ISNUMBER(SEARCH(Assumptions!$C$6,D754)),Assumptions!$D$6,IF(ISNUMBER(SEARCH(Assumptions!$C$7,D754)),Assumptions!$D$7,"Other Services"))),"Other Services"))</f>
        <v/>
      </c>
    </row>
    <row r="755" customFormat="false" ht="15" hidden="false" customHeight="false" outlineLevel="0" collapsed="false">
      <c r="F755" s="41" t="str">
        <f aca="false">IF(D755="","",IFERROR(IF(ISNUMBER(SEARCH(Assumptions!$C$5,D755)),Assumptions!$D$5,IF(ISNUMBER(SEARCH(Assumptions!$C$6,D755)),Assumptions!$D$6,IF(ISNUMBER(SEARCH(Assumptions!$C$7,D755)),Assumptions!$D$7,"Other Services"))),"Other Services"))</f>
        <v/>
      </c>
    </row>
    <row r="756" customFormat="false" ht="15" hidden="false" customHeight="false" outlineLevel="0" collapsed="false">
      <c r="F756" s="41" t="str">
        <f aca="false">IF(D756="","",IFERROR(IF(ISNUMBER(SEARCH(Assumptions!$C$5,D756)),Assumptions!$D$5,IF(ISNUMBER(SEARCH(Assumptions!$C$6,D756)),Assumptions!$D$6,IF(ISNUMBER(SEARCH(Assumptions!$C$7,D756)),Assumptions!$D$7,"Other Services"))),"Other Services"))</f>
        <v/>
      </c>
    </row>
    <row r="757" customFormat="false" ht="15" hidden="false" customHeight="false" outlineLevel="0" collapsed="false">
      <c r="F757" s="41" t="str">
        <f aca="false">IF(D757="","",IFERROR(IF(ISNUMBER(SEARCH(Assumptions!$C$5,D757)),Assumptions!$D$5,IF(ISNUMBER(SEARCH(Assumptions!$C$6,D757)),Assumptions!$D$6,IF(ISNUMBER(SEARCH(Assumptions!$C$7,D757)),Assumptions!$D$7,"Other Services"))),"Other Services"))</f>
        <v/>
      </c>
    </row>
    <row r="758" customFormat="false" ht="15" hidden="false" customHeight="false" outlineLevel="0" collapsed="false">
      <c r="F758" s="41" t="str">
        <f aca="false">IF(D758="","",IFERROR(IF(ISNUMBER(SEARCH(Assumptions!$C$5,D758)),Assumptions!$D$5,IF(ISNUMBER(SEARCH(Assumptions!$C$6,D758)),Assumptions!$D$6,IF(ISNUMBER(SEARCH(Assumptions!$C$7,D758)),Assumptions!$D$7,"Other Services"))),"Other Services"))</f>
        <v/>
      </c>
    </row>
    <row r="759" customFormat="false" ht="15" hidden="false" customHeight="false" outlineLevel="0" collapsed="false">
      <c r="F759" s="41" t="str">
        <f aca="false">IF(D759="","",IFERROR(IF(ISNUMBER(SEARCH(Assumptions!$C$5,D759)),Assumptions!$D$5,IF(ISNUMBER(SEARCH(Assumptions!$C$6,D759)),Assumptions!$D$6,IF(ISNUMBER(SEARCH(Assumptions!$C$7,D759)),Assumptions!$D$7,"Other Services"))),"Other Services"))</f>
        <v/>
      </c>
    </row>
    <row r="760" customFormat="false" ht="15" hidden="false" customHeight="false" outlineLevel="0" collapsed="false">
      <c r="F760" s="41" t="str">
        <f aca="false">IF(D760="","",IFERROR(IF(ISNUMBER(SEARCH(Assumptions!$C$5,D760)),Assumptions!$D$5,IF(ISNUMBER(SEARCH(Assumptions!$C$6,D760)),Assumptions!$D$6,IF(ISNUMBER(SEARCH(Assumptions!$C$7,D760)),Assumptions!$D$7,"Other Services"))),"Other Services"))</f>
        <v/>
      </c>
    </row>
    <row r="761" customFormat="false" ht="15" hidden="false" customHeight="false" outlineLevel="0" collapsed="false">
      <c r="F761" s="41" t="str">
        <f aca="false">IF(D761="","",IFERROR(IF(ISNUMBER(SEARCH(Assumptions!$C$5,D761)),Assumptions!$D$5,IF(ISNUMBER(SEARCH(Assumptions!$C$6,D761)),Assumptions!$D$6,IF(ISNUMBER(SEARCH(Assumptions!$C$7,D761)),Assumptions!$D$7,"Other Services"))),"Other Services"))</f>
        <v/>
      </c>
    </row>
    <row r="762" customFormat="false" ht="15" hidden="false" customHeight="false" outlineLevel="0" collapsed="false">
      <c r="F762" s="41" t="str">
        <f aca="false">IF(D762="","",IFERROR(IF(ISNUMBER(SEARCH(Assumptions!$C$5,D762)),Assumptions!$D$5,IF(ISNUMBER(SEARCH(Assumptions!$C$6,D762)),Assumptions!$D$6,IF(ISNUMBER(SEARCH(Assumptions!$C$7,D762)),Assumptions!$D$7,"Other Services"))),"Other Services"))</f>
        <v/>
      </c>
    </row>
    <row r="763" customFormat="false" ht="15" hidden="false" customHeight="false" outlineLevel="0" collapsed="false">
      <c r="F763" s="41" t="str">
        <f aca="false">IF(D763="","",IFERROR(IF(ISNUMBER(SEARCH(Assumptions!$C$5,D763)),Assumptions!$D$5,IF(ISNUMBER(SEARCH(Assumptions!$C$6,D763)),Assumptions!$D$6,IF(ISNUMBER(SEARCH(Assumptions!$C$7,D763)),Assumptions!$D$7,"Other Services"))),"Other Services"))</f>
        <v/>
      </c>
    </row>
    <row r="764" customFormat="false" ht="15" hidden="false" customHeight="false" outlineLevel="0" collapsed="false">
      <c r="F764" s="41" t="str">
        <f aca="false">IF(D764="","",IFERROR(IF(ISNUMBER(SEARCH(Assumptions!$C$5,D764)),Assumptions!$D$5,IF(ISNUMBER(SEARCH(Assumptions!$C$6,D764)),Assumptions!$D$6,IF(ISNUMBER(SEARCH(Assumptions!$C$7,D764)),Assumptions!$D$7,"Other Services"))),"Other Services"))</f>
        <v/>
      </c>
    </row>
    <row r="765" customFormat="false" ht="15" hidden="false" customHeight="false" outlineLevel="0" collapsed="false">
      <c r="F765" s="41" t="str">
        <f aca="false">IF(D765="","",IFERROR(IF(ISNUMBER(SEARCH(Assumptions!$C$5,D765)),Assumptions!$D$5,IF(ISNUMBER(SEARCH(Assumptions!$C$6,D765)),Assumptions!$D$6,IF(ISNUMBER(SEARCH(Assumptions!$C$7,D765)),Assumptions!$D$7,"Other Services"))),"Other Services"))</f>
        <v/>
      </c>
    </row>
    <row r="766" customFormat="false" ht="15" hidden="false" customHeight="false" outlineLevel="0" collapsed="false">
      <c r="F766" s="41" t="str">
        <f aca="false">IF(D766="","",IFERROR(IF(ISNUMBER(SEARCH(Assumptions!$C$5,D766)),Assumptions!$D$5,IF(ISNUMBER(SEARCH(Assumptions!$C$6,D766)),Assumptions!$D$6,IF(ISNUMBER(SEARCH(Assumptions!$C$7,D766)),Assumptions!$D$7,"Other Services"))),"Other Services"))</f>
        <v/>
      </c>
    </row>
    <row r="767" customFormat="false" ht="15" hidden="false" customHeight="false" outlineLevel="0" collapsed="false">
      <c r="F767" s="41" t="str">
        <f aca="false">IF(D767="","",IFERROR(IF(ISNUMBER(SEARCH(Assumptions!$C$5,D767)),Assumptions!$D$5,IF(ISNUMBER(SEARCH(Assumptions!$C$6,D767)),Assumptions!$D$6,IF(ISNUMBER(SEARCH(Assumptions!$C$7,D767)),Assumptions!$D$7,"Other Services"))),"Other Services"))</f>
        <v/>
      </c>
    </row>
    <row r="768" customFormat="false" ht="15" hidden="false" customHeight="false" outlineLevel="0" collapsed="false">
      <c r="F768" s="41" t="str">
        <f aca="false">IF(D768="","",IFERROR(IF(ISNUMBER(SEARCH(Assumptions!$C$5,D768)),Assumptions!$D$5,IF(ISNUMBER(SEARCH(Assumptions!$C$6,D768)),Assumptions!$D$6,IF(ISNUMBER(SEARCH(Assumptions!$C$7,D768)),Assumptions!$D$7,"Other Services"))),"Other Services"))</f>
        <v/>
      </c>
    </row>
    <row r="769" customFormat="false" ht="15" hidden="false" customHeight="false" outlineLevel="0" collapsed="false">
      <c r="F769" s="41" t="str">
        <f aca="false">IF(D769="","",IFERROR(IF(ISNUMBER(SEARCH(Assumptions!$C$5,D769)),Assumptions!$D$5,IF(ISNUMBER(SEARCH(Assumptions!$C$6,D769)),Assumptions!$D$6,IF(ISNUMBER(SEARCH(Assumptions!$C$7,D769)),Assumptions!$D$7,"Other Services"))),"Other Services"))</f>
        <v/>
      </c>
    </row>
    <row r="770" customFormat="false" ht="15" hidden="false" customHeight="false" outlineLevel="0" collapsed="false">
      <c r="F770" s="41" t="str">
        <f aca="false">IF(D770="","",IFERROR(IF(ISNUMBER(SEARCH(Assumptions!$C$5,D770)),Assumptions!$D$5,IF(ISNUMBER(SEARCH(Assumptions!$C$6,D770)),Assumptions!$D$6,IF(ISNUMBER(SEARCH(Assumptions!$C$7,D770)),Assumptions!$D$7,"Other Services"))),"Other Services"))</f>
        <v/>
      </c>
    </row>
    <row r="771" customFormat="false" ht="15" hidden="false" customHeight="false" outlineLevel="0" collapsed="false">
      <c r="F771" s="41" t="str">
        <f aca="false">IF(D771="","",IFERROR(IF(ISNUMBER(SEARCH(Assumptions!$C$5,D771)),Assumptions!$D$5,IF(ISNUMBER(SEARCH(Assumptions!$C$6,D771)),Assumptions!$D$6,IF(ISNUMBER(SEARCH(Assumptions!$C$7,D771)),Assumptions!$D$7,"Other Services"))),"Other Services"))</f>
        <v/>
      </c>
    </row>
    <row r="772" customFormat="false" ht="15" hidden="false" customHeight="false" outlineLevel="0" collapsed="false">
      <c r="F772" s="41" t="str">
        <f aca="false">IF(D772="","",IFERROR(IF(ISNUMBER(SEARCH(Assumptions!$C$5,D772)),Assumptions!$D$5,IF(ISNUMBER(SEARCH(Assumptions!$C$6,D772)),Assumptions!$D$6,IF(ISNUMBER(SEARCH(Assumptions!$C$7,D772)),Assumptions!$D$7,"Other Services"))),"Other Services"))</f>
        <v/>
      </c>
    </row>
    <row r="773" customFormat="false" ht="15" hidden="false" customHeight="false" outlineLevel="0" collapsed="false">
      <c r="F773" s="41" t="str">
        <f aca="false">IF(D773="","",IFERROR(IF(ISNUMBER(SEARCH(Assumptions!$C$5,D773)),Assumptions!$D$5,IF(ISNUMBER(SEARCH(Assumptions!$C$6,D773)),Assumptions!$D$6,IF(ISNUMBER(SEARCH(Assumptions!$C$7,D773)),Assumptions!$D$7,"Other Services"))),"Other Services"))</f>
        <v/>
      </c>
    </row>
    <row r="774" customFormat="false" ht="15" hidden="false" customHeight="false" outlineLevel="0" collapsed="false">
      <c r="F774" s="41" t="str">
        <f aca="false">IF(D774="","",IFERROR(IF(ISNUMBER(SEARCH(Assumptions!$C$5,D774)),Assumptions!$D$5,IF(ISNUMBER(SEARCH(Assumptions!$C$6,D774)),Assumptions!$D$6,IF(ISNUMBER(SEARCH(Assumptions!$C$7,D774)),Assumptions!$D$7,"Other Services"))),"Other Services"))</f>
        <v/>
      </c>
    </row>
    <row r="775" customFormat="false" ht="15" hidden="false" customHeight="false" outlineLevel="0" collapsed="false">
      <c r="F775" s="41" t="str">
        <f aca="false">IF(D775="","",IFERROR(IF(ISNUMBER(SEARCH(Assumptions!$C$5,D775)),Assumptions!$D$5,IF(ISNUMBER(SEARCH(Assumptions!$C$6,D775)),Assumptions!$D$6,IF(ISNUMBER(SEARCH(Assumptions!$C$7,D775)),Assumptions!$D$7,"Other Services"))),"Other Services"))</f>
        <v/>
      </c>
    </row>
    <row r="776" customFormat="false" ht="15" hidden="false" customHeight="false" outlineLevel="0" collapsed="false">
      <c r="F776" s="41" t="str">
        <f aca="false">IF(D776="","",IFERROR(IF(ISNUMBER(SEARCH(Assumptions!$C$5,D776)),Assumptions!$D$5,IF(ISNUMBER(SEARCH(Assumptions!$C$6,D776)),Assumptions!$D$6,IF(ISNUMBER(SEARCH(Assumptions!$C$7,D776)),Assumptions!$D$7,"Other Services"))),"Other Services"))</f>
        <v/>
      </c>
    </row>
    <row r="777" customFormat="false" ht="15" hidden="false" customHeight="false" outlineLevel="0" collapsed="false">
      <c r="F777" s="41" t="str">
        <f aca="false">IF(D777="","",IFERROR(IF(ISNUMBER(SEARCH(Assumptions!$C$5,D777)),Assumptions!$D$5,IF(ISNUMBER(SEARCH(Assumptions!$C$6,D777)),Assumptions!$D$6,IF(ISNUMBER(SEARCH(Assumptions!$C$7,D777)),Assumptions!$D$7,"Other Services"))),"Other Services"))</f>
        <v/>
      </c>
    </row>
    <row r="778" customFormat="false" ht="15" hidden="false" customHeight="false" outlineLevel="0" collapsed="false">
      <c r="F778" s="41" t="str">
        <f aca="false">IF(D778="","",IFERROR(IF(ISNUMBER(SEARCH(Assumptions!$C$5,D778)),Assumptions!$D$5,IF(ISNUMBER(SEARCH(Assumptions!$C$6,D778)),Assumptions!$D$6,IF(ISNUMBER(SEARCH(Assumptions!$C$7,D778)),Assumptions!$D$7,"Other Services"))),"Other Services"))</f>
        <v/>
      </c>
    </row>
    <row r="779" customFormat="false" ht="15" hidden="false" customHeight="false" outlineLevel="0" collapsed="false">
      <c r="F779" s="41" t="str">
        <f aca="false">IF(D779="","",IFERROR(IF(ISNUMBER(SEARCH(Assumptions!$C$5,D779)),Assumptions!$D$5,IF(ISNUMBER(SEARCH(Assumptions!$C$6,D779)),Assumptions!$D$6,IF(ISNUMBER(SEARCH(Assumptions!$C$7,D779)),Assumptions!$D$7,"Other Services"))),"Other Services"))</f>
        <v/>
      </c>
    </row>
    <row r="780" customFormat="false" ht="15" hidden="false" customHeight="false" outlineLevel="0" collapsed="false">
      <c r="F780" s="41" t="str">
        <f aca="false">IF(D780="","",IFERROR(IF(ISNUMBER(SEARCH(Assumptions!$C$5,D780)),Assumptions!$D$5,IF(ISNUMBER(SEARCH(Assumptions!$C$6,D780)),Assumptions!$D$6,IF(ISNUMBER(SEARCH(Assumptions!$C$7,D780)),Assumptions!$D$7,"Other Services"))),"Other Services"))</f>
        <v/>
      </c>
    </row>
    <row r="781" customFormat="false" ht="15" hidden="false" customHeight="false" outlineLevel="0" collapsed="false">
      <c r="F781" s="41" t="str">
        <f aca="false">IF(D781="","",IFERROR(IF(ISNUMBER(SEARCH(Assumptions!$C$5,D781)),Assumptions!$D$5,IF(ISNUMBER(SEARCH(Assumptions!$C$6,D781)),Assumptions!$D$6,IF(ISNUMBER(SEARCH(Assumptions!$C$7,D781)),Assumptions!$D$7,"Other Services"))),"Other Services"))</f>
        <v/>
      </c>
    </row>
    <row r="782" customFormat="false" ht="15" hidden="false" customHeight="false" outlineLevel="0" collapsed="false">
      <c r="F782" s="41" t="str">
        <f aca="false">IF(D782="","",IFERROR(IF(ISNUMBER(SEARCH(Assumptions!$C$5,D782)),Assumptions!$D$5,IF(ISNUMBER(SEARCH(Assumptions!$C$6,D782)),Assumptions!$D$6,IF(ISNUMBER(SEARCH(Assumptions!$C$7,D782)),Assumptions!$D$7,"Other Services"))),"Other Services"))</f>
        <v/>
      </c>
    </row>
    <row r="783" customFormat="false" ht="15" hidden="false" customHeight="false" outlineLevel="0" collapsed="false">
      <c r="F783" s="41" t="str">
        <f aca="false">IF(D783="","",IFERROR(IF(ISNUMBER(SEARCH(Assumptions!$C$5,D783)),Assumptions!$D$5,IF(ISNUMBER(SEARCH(Assumptions!$C$6,D783)),Assumptions!$D$6,IF(ISNUMBER(SEARCH(Assumptions!$C$7,D783)),Assumptions!$D$7,"Other Services"))),"Other Services"))</f>
        <v/>
      </c>
    </row>
    <row r="784" customFormat="false" ht="15" hidden="false" customHeight="false" outlineLevel="0" collapsed="false">
      <c r="F784" s="41" t="str">
        <f aca="false">IF(D784="","",IFERROR(IF(ISNUMBER(SEARCH(Assumptions!$C$5,D784)),Assumptions!$D$5,IF(ISNUMBER(SEARCH(Assumptions!$C$6,D784)),Assumptions!$D$6,IF(ISNUMBER(SEARCH(Assumptions!$C$7,D784)),Assumptions!$D$7,"Other Services"))),"Other Services"))</f>
        <v/>
      </c>
    </row>
    <row r="785" customFormat="false" ht="15" hidden="false" customHeight="false" outlineLevel="0" collapsed="false">
      <c r="F785" s="41" t="str">
        <f aca="false">IF(D785="","",IFERROR(IF(ISNUMBER(SEARCH(Assumptions!$C$5,D785)),Assumptions!$D$5,IF(ISNUMBER(SEARCH(Assumptions!$C$6,D785)),Assumptions!$D$6,IF(ISNUMBER(SEARCH(Assumptions!$C$7,D785)),Assumptions!$D$7,"Other Services"))),"Other Services"))</f>
        <v/>
      </c>
    </row>
    <row r="786" customFormat="false" ht="15" hidden="false" customHeight="false" outlineLevel="0" collapsed="false">
      <c r="F786" s="41" t="str">
        <f aca="false">IF(D786="","",IFERROR(IF(ISNUMBER(SEARCH(Assumptions!$C$5,D786)),Assumptions!$D$5,IF(ISNUMBER(SEARCH(Assumptions!$C$6,D786)),Assumptions!$D$6,IF(ISNUMBER(SEARCH(Assumptions!$C$7,D786)),Assumptions!$D$7,"Other Services"))),"Other Services"))</f>
        <v/>
      </c>
    </row>
    <row r="787" customFormat="false" ht="15" hidden="false" customHeight="false" outlineLevel="0" collapsed="false">
      <c r="F787" s="41" t="str">
        <f aca="false">IF(D787="","",IFERROR(IF(ISNUMBER(SEARCH(Assumptions!$C$5,D787)),Assumptions!$D$5,IF(ISNUMBER(SEARCH(Assumptions!$C$6,D787)),Assumptions!$D$6,IF(ISNUMBER(SEARCH(Assumptions!$C$7,D787)),Assumptions!$D$7,"Other Services"))),"Other Services"))</f>
        <v/>
      </c>
    </row>
    <row r="788" customFormat="false" ht="15" hidden="false" customHeight="false" outlineLevel="0" collapsed="false">
      <c r="F788" s="41" t="str">
        <f aca="false">IF(D788="","",IFERROR(IF(ISNUMBER(SEARCH(Assumptions!$C$5,D788)),Assumptions!$D$5,IF(ISNUMBER(SEARCH(Assumptions!$C$6,D788)),Assumptions!$D$6,IF(ISNUMBER(SEARCH(Assumptions!$C$7,D788)),Assumptions!$D$7,"Other Services"))),"Other Services"))</f>
        <v/>
      </c>
    </row>
    <row r="789" customFormat="false" ht="15" hidden="false" customHeight="false" outlineLevel="0" collapsed="false">
      <c r="F789" s="41" t="str">
        <f aca="false">IF(D789="","",IFERROR(IF(ISNUMBER(SEARCH(Assumptions!$C$5,D789)),Assumptions!$D$5,IF(ISNUMBER(SEARCH(Assumptions!$C$6,D789)),Assumptions!$D$6,IF(ISNUMBER(SEARCH(Assumptions!$C$7,D789)),Assumptions!$D$7,"Other Services"))),"Other Services"))</f>
        <v/>
      </c>
    </row>
    <row r="790" customFormat="false" ht="15" hidden="false" customHeight="false" outlineLevel="0" collapsed="false">
      <c r="F790" s="41" t="str">
        <f aca="false">IF(D790="","",IFERROR(IF(ISNUMBER(SEARCH(Assumptions!$C$5,D790)),Assumptions!$D$5,IF(ISNUMBER(SEARCH(Assumptions!$C$6,D790)),Assumptions!$D$6,IF(ISNUMBER(SEARCH(Assumptions!$C$7,D790)),Assumptions!$D$7,"Other Services"))),"Other Services"))</f>
        <v/>
      </c>
    </row>
    <row r="791" customFormat="false" ht="15" hidden="false" customHeight="false" outlineLevel="0" collapsed="false">
      <c r="F791" s="41" t="str">
        <f aca="false">IF(D791="","",IFERROR(IF(ISNUMBER(SEARCH(Assumptions!$C$5,D791)),Assumptions!$D$5,IF(ISNUMBER(SEARCH(Assumptions!$C$6,D791)),Assumptions!$D$6,IF(ISNUMBER(SEARCH(Assumptions!$C$7,D791)),Assumptions!$D$7,"Other Services"))),"Other Services"))</f>
        <v/>
      </c>
    </row>
    <row r="792" customFormat="false" ht="15" hidden="false" customHeight="false" outlineLevel="0" collapsed="false">
      <c r="F792" s="41" t="str">
        <f aca="false">IF(D792="","",IFERROR(IF(ISNUMBER(SEARCH(Assumptions!$C$5,D792)),Assumptions!$D$5,IF(ISNUMBER(SEARCH(Assumptions!$C$6,D792)),Assumptions!$D$6,IF(ISNUMBER(SEARCH(Assumptions!$C$7,D792)),Assumptions!$D$7,"Other Services"))),"Other Services"))</f>
        <v/>
      </c>
    </row>
    <row r="793" customFormat="false" ht="15" hidden="false" customHeight="false" outlineLevel="0" collapsed="false">
      <c r="F793" s="41" t="str">
        <f aca="false">IF(D793="","",IFERROR(IF(ISNUMBER(SEARCH(Assumptions!$C$5,D793)),Assumptions!$D$5,IF(ISNUMBER(SEARCH(Assumptions!$C$6,D793)),Assumptions!$D$6,IF(ISNUMBER(SEARCH(Assumptions!$C$7,D793)),Assumptions!$D$7,"Other Services"))),"Other Services"))</f>
        <v/>
      </c>
    </row>
    <row r="794" customFormat="false" ht="15" hidden="false" customHeight="false" outlineLevel="0" collapsed="false">
      <c r="F794" s="41" t="str">
        <f aca="false">IF(D794="","",IFERROR(IF(ISNUMBER(SEARCH(Assumptions!$C$5,D794)),Assumptions!$D$5,IF(ISNUMBER(SEARCH(Assumptions!$C$6,D794)),Assumptions!$D$6,IF(ISNUMBER(SEARCH(Assumptions!$C$7,D794)),Assumptions!$D$7,"Other Services"))),"Other Services"))</f>
        <v/>
      </c>
    </row>
    <row r="795" customFormat="false" ht="15" hidden="false" customHeight="false" outlineLevel="0" collapsed="false">
      <c r="F795" s="41" t="str">
        <f aca="false">IF(D795="","",IFERROR(IF(ISNUMBER(SEARCH(Assumptions!$C$5,D795)),Assumptions!$D$5,IF(ISNUMBER(SEARCH(Assumptions!$C$6,D795)),Assumptions!$D$6,IF(ISNUMBER(SEARCH(Assumptions!$C$7,D795)),Assumptions!$D$7,"Other Services"))),"Other Services"))</f>
        <v/>
      </c>
    </row>
    <row r="796" customFormat="false" ht="15" hidden="false" customHeight="false" outlineLevel="0" collapsed="false">
      <c r="F796" s="41" t="str">
        <f aca="false">IF(D796="","",IFERROR(IF(ISNUMBER(SEARCH(Assumptions!$C$5,D796)),Assumptions!$D$5,IF(ISNUMBER(SEARCH(Assumptions!$C$6,D796)),Assumptions!$D$6,IF(ISNUMBER(SEARCH(Assumptions!$C$7,D796)),Assumptions!$D$7,"Other Services"))),"Other Services"))</f>
        <v/>
      </c>
    </row>
    <row r="797" customFormat="false" ht="15" hidden="false" customHeight="false" outlineLevel="0" collapsed="false">
      <c r="F797" s="41" t="str">
        <f aca="false">IF(D797="","",IFERROR(IF(ISNUMBER(SEARCH(Assumptions!$C$5,D797)),Assumptions!$D$5,IF(ISNUMBER(SEARCH(Assumptions!$C$6,D797)),Assumptions!$D$6,IF(ISNUMBER(SEARCH(Assumptions!$C$7,D797)),Assumptions!$D$7,"Other Services"))),"Other Services"))</f>
        <v/>
      </c>
    </row>
    <row r="798" customFormat="false" ht="15" hidden="false" customHeight="false" outlineLevel="0" collapsed="false">
      <c r="F798" s="41" t="str">
        <f aca="false">IF(D798="","",IFERROR(IF(ISNUMBER(SEARCH(Assumptions!$C$5,D798)),Assumptions!$D$5,IF(ISNUMBER(SEARCH(Assumptions!$C$6,D798)),Assumptions!$D$6,IF(ISNUMBER(SEARCH(Assumptions!$C$7,D798)),Assumptions!$D$7,"Other Services"))),"Other Services"))</f>
        <v/>
      </c>
    </row>
    <row r="799" customFormat="false" ht="15" hidden="false" customHeight="false" outlineLevel="0" collapsed="false">
      <c r="F799" s="41" t="str">
        <f aca="false">IF(D799="","",IFERROR(IF(ISNUMBER(SEARCH(Assumptions!$C$5,D799)),Assumptions!$D$5,IF(ISNUMBER(SEARCH(Assumptions!$C$6,D799)),Assumptions!$D$6,IF(ISNUMBER(SEARCH(Assumptions!$C$7,D799)),Assumptions!$D$7,"Other Services"))),"Other Services"))</f>
        <v/>
      </c>
    </row>
    <row r="800" customFormat="false" ht="15" hidden="false" customHeight="false" outlineLevel="0" collapsed="false">
      <c r="F800" s="41" t="str">
        <f aca="false">IF(D800="","",IFERROR(IF(ISNUMBER(SEARCH(Assumptions!$C$5,D800)),Assumptions!$D$5,IF(ISNUMBER(SEARCH(Assumptions!$C$6,D800)),Assumptions!$D$6,IF(ISNUMBER(SEARCH(Assumptions!$C$7,D800)),Assumptions!$D$7,"Other Services"))),"Other Services"))</f>
        <v/>
      </c>
    </row>
    <row r="801" customFormat="false" ht="15" hidden="false" customHeight="false" outlineLevel="0" collapsed="false">
      <c r="F801" s="41" t="str">
        <f aca="false">IF(D801="","",IFERROR(IF(ISNUMBER(SEARCH(Assumptions!$C$5,D801)),Assumptions!$D$5,IF(ISNUMBER(SEARCH(Assumptions!$C$6,D801)),Assumptions!$D$6,IF(ISNUMBER(SEARCH(Assumptions!$C$7,D801)),Assumptions!$D$7,"Other Services"))),"Other Services"))</f>
        <v/>
      </c>
    </row>
    <row r="802" customFormat="false" ht="15" hidden="false" customHeight="false" outlineLevel="0" collapsed="false">
      <c r="F802" s="41" t="str">
        <f aca="false">IF(D802="","",IFERROR(IF(ISNUMBER(SEARCH(Assumptions!$C$5,D802)),Assumptions!$D$5,IF(ISNUMBER(SEARCH(Assumptions!$C$6,D802)),Assumptions!$D$6,IF(ISNUMBER(SEARCH(Assumptions!$C$7,D802)),Assumptions!$D$7,"Other Services"))),"Other Services"))</f>
        <v/>
      </c>
    </row>
    <row r="803" customFormat="false" ht="15" hidden="false" customHeight="false" outlineLevel="0" collapsed="false">
      <c r="F803" s="41" t="str">
        <f aca="false">IF(D803="","",IFERROR(IF(ISNUMBER(SEARCH(Assumptions!$C$5,D803)),Assumptions!$D$5,IF(ISNUMBER(SEARCH(Assumptions!$C$6,D803)),Assumptions!$D$6,IF(ISNUMBER(SEARCH(Assumptions!$C$7,D803)),Assumptions!$D$7,"Other Services"))),"Other Services"))</f>
        <v/>
      </c>
    </row>
    <row r="804" customFormat="false" ht="15" hidden="false" customHeight="false" outlineLevel="0" collapsed="false">
      <c r="F804" s="41" t="str">
        <f aca="false">IF(D804="","",IFERROR(IF(ISNUMBER(SEARCH(Assumptions!$C$5,D804)),Assumptions!$D$5,IF(ISNUMBER(SEARCH(Assumptions!$C$6,D804)),Assumptions!$D$6,IF(ISNUMBER(SEARCH(Assumptions!$C$7,D804)),Assumptions!$D$7,"Other Services"))),"Other Services"))</f>
        <v/>
      </c>
    </row>
    <row r="805" customFormat="false" ht="15" hidden="false" customHeight="false" outlineLevel="0" collapsed="false">
      <c r="F805" s="41" t="str">
        <f aca="false">IF(D805="","",IFERROR(IF(ISNUMBER(SEARCH(Assumptions!$C$5,D805)),Assumptions!$D$5,IF(ISNUMBER(SEARCH(Assumptions!$C$6,D805)),Assumptions!$D$6,IF(ISNUMBER(SEARCH(Assumptions!$C$7,D805)),Assumptions!$D$7,"Other Services"))),"Other Services"))</f>
        <v/>
      </c>
    </row>
    <row r="806" customFormat="false" ht="15" hidden="false" customHeight="false" outlineLevel="0" collapsed="false">
      <c r="F806" s="41" t="str">
        <f aca="false">IF(D806="","",IFERROR(IF(ISNUMBER(SEARCH(Assumptions!$C$5,D806)),Assumptions!$D$5,IF(ISNUMBER(SEARCH(Assumptions!$C$6,D806)),Assumptions!$D$6,IF(ISNUMBER(SEARCH(Assumptions!$C$7,D806)),Assumptions!$D$7,"Other Services"))),"Other Services"))</f>
        <v/>
      </c>
    </row>
    <row r="807" customFormat="false" ht="15" hidden="false" customHeight="false" outlineLevel="0" collapsed="false">
      <c r="F807" s="41" t="str">
        <f aca="false">IF(D807="","",IFERROR(IF(ISNUMBER(SEARCH(Assumptions!$C$5,D807)),Assumptions!$D$5,IF(ISNUMBER(SEARCH(Assumptions!$C$6,D807)),Assumptions!$D$6,IF(ISNUMBER(SEARCH(Assumptions!$C$7,D807)),Assumptions!$D$7,"Other Services"))),"Other Services"))</f>
        <v/>
      </c>
    </row>
    <row r="808" customFormat="false" ht="15" hidden="false" customHeight="false" outlineLevel="0" collapsed="false">
      <c r="F808" s="41" t="str">
        <f aca="false">IF(D808="","",IFERROR(IF(ISNUMBER(SEARCH(Assumptions!$C$5,D808)),Assumptions!$D$5,IF(ISNUMBER(SEARCH(Assumptions!$C$6,D808)),Assumptions!$D$6,IF(ISNUMBER(SEARCH(Assumptions!$C$7,D808)),Assumptions!$D$7,"Other Services"))),"Other Services"))</f>
        <v/>
      </c>
    </row>
    <row r="809" customFormat="false" ht="15" hidden="false" customHeight="false" outlineLevel="0" collapsed="false">
      <c r="F809" s="41" t="str">
        <f aca="false">IF(D809="","",IFERROR(IF(ISNUMBER(SEARCH(Assumptions!$C$5,D809)),Assumptions!$D$5,IF(ISNUMBER(SEARCH(Assumptions!$C$6,D809)),Assumptions!$D$6,IF(ISNUMBER(SEARCH(Assumptions!$C$7,D809)),Assumptions!$D$7,"Other Services"))),"Other Services"))</f>
        <v/>
      </c>
    </row>
    <row r="810" customFormat="false" ht="15" hidden="false" customHeight="false" outlineLevel="0" collapsed="false">
      <c r="F810" s="41" t="str">
        <f aca="false">IF(D810="","",IFERROR(IF(ISNUMBER(SEARCH(Assumptions!$C$5,D810)),Assumptions!$D$5,IF(ISNUMBER(SEARCH(Assumptions!$C$6,D810)),Assumptions!$D$6,IF(ISNUMBER(SEARCH(Assumptions!$C$7,D810)),Assumptions!$D$7,"Other Services"))),"Other Services"))</f>
        <v/>
      </c>
    </row>
    <row r="811" customFormat="false" ht="15" hidden="false" customHeight="false" outlineLevel="0" collapsed="false">
      <c r="F811" s="41" t="str">
        <f aca="false">IF(D811="","",IFERROR(IF(ISNUMBER(SEARCH(Assumptions!$C$5,D811)),Assumptions!$D$5,IF(ISNUMBER(SEARCH(Assumptions!$C$6,D811)),Assumptions!$D$6,IF(ISNUMBER(SEARCH(Assumptions!$C$7,D811)),Assumptions!$D$7,"Other Services"))),"Other Services"))</f>
        <v/>
      </c>
    </row>
    <row r="812" customFormat="false" ht="15" hidden="false" customHeight="false" outlineLevel="0" collapsed="false">
      <c r="F812" s="41" t="str">
        <f aca="false">IF(D812="","",IFERROR(IF(ISNUMBER(SEARCH(Assumptions!$C$5,D812)),Assumptions!$D$5,IF(ISNUMBER(SEARCH(Assumptions!$C$6,D812)),Assumptions!$D$6,IF(ISNUMBER(SEARCH(Assumptions!$C$7,D812)),Assumptions!$D$7,"Other Services"))),"Other Services"))</f>
        <v/>
      </c>
    </row>
    <row r="813" customFormat="false" ht="15" hidden="false" customHeight="false" outlineLevel="0" collapsed="false">
      <c r="F813" s="41" t="str">
        <f aca="false">IF(D813="","",IFERROR(IF(ISNUMBER(SEARCH(Assumptions!$C$5,D813)),Assumptions!$D$5,IF(ISNUMBER(SEARCH(Assumptions!$C$6,D813)),Assumptions!$D$6,IF(ISNUMBER(SEARCH(Assumptions!$C$7,D813)),Assumptions!$D$7,"Other Services"))),"Other Services"))</f>
        <v/>
      </c>
    </row>
    <row r="814" customFormat="false" ht="15" hidden="false" customHeight="false" outlineLevel="0" collapsed="false">
      <c r="F814" s="41" t="str">
        <f aca="false">IF(D814="","",IFERROR(IF(ISNUMBER(SEARCH(Assumptions!$C$5,D814)),Assumptions!$D$5,IF(ISNUMBER(SEARCH(Assumptions!$C$6,D814)),Assumptions!$D$6,IF(ISNUMBER(SEARCH(Assumptions!$C$7,D814)),Assumptions!$D$7,"Other Services"))),"Other Services"))</f>
        <v/>
      </c>
    </row>
    <row r="815" customFormat="false" ht="15" hidden="false" customHeight="false" outlineLevel="0" collapsed="false">
      <c r="F815" s="41" t="str">
        <f aca="false">IF(D815="","",IFERROR(IF(ISNUMBER(SEARCH(Assumptions!$C$5,D815)),Assumptions!$D$5,IF(ISNUMBER(SEARCH(Assumptions!$C$6,D815)),Assumptions!$D$6,IF(ISNUMBER(SEARCH(Assumptions!$C$7,D815)),Assumptions!$D$7,"Other Services"))),"Other Services"))</f>
        <v/>
      </c>
    </row>
    <row r="816" customFormat="false" ht="15" hidden="false" customHeight="false" outlineLevel="0" collapsed="false">
      <c r="F816" s="41" t="str">
        <f aca="false">IF(D816="","",IFERROR(IF(ISNUMBER(SEARCH(Assumptions!$C$5,D816)),Assumptions!$D$5,IF(ISNUMBER(SEARCH(Assumptions!$C$6,D816)),Assumptions!$D$6,IF(ISNUMBER(SEARCH(Assumptions!$C$7,D816)),Assumptions!$D$7,"Other Services"))),"Other Services"))</f>
        <v/>
      </c>
    </row>
    <row r="817" customFormat="false" ht="15" hidden="false" customHeight="false" outlineLevel="0" collapsed="false">
      <c r="F817" s="41" t="str">
        <f aca="false">IF(D817="","",IFERROR(IF(ISNUMBER(SEARCH(Assumptions!$C$5,D817)),Assumptions!$D$5,IF(ISNUMBER(SEARCH(Assumptions!$C$6,D817)),Assumptions!$D$6,IF(ISNUMBER(SEARCH(Assumptions!$C$7,D817)),Assumptions!$D$7,"Other Services"))),"Other Services"))</f>
        <v/>
      </c>
    </row>
    <row r="818" customFormat="false" ht="15" hidden="false" customHeight="false" outlineLevel="0" collapsed="false">
      <c r="F818" s="41" t="str">
        <f aca="false">IF(D818="","",IFERROR(IF(ISNUMBER(SEARCH(Assumptions!$C$5,D818)),Assumptions!$D$5,IF(ISNUMBER(SEARCH(Assumptions!$C$6,D818)),Assumptions!$D$6,IF(ISNUMBER(SEARCH(Assumptions!$C$7,D818)),Assumptions!$D$7,"Other Services"))),"Other Services"))</f>
        <v/>
      </c>
    </row>
    <row r="819" customFormat="false" ht="15" hidden="false" customHeight="false" outlineLevel="0" collapsed="false">
      <c r="F819" s="41" t="str">
        <f aca="false">IF(D819="","",IFERROR(IF(ISNUMBER(SEARCH(Assumptions!$C$5,D819)),Assumptions!$D$5,IF(ISNUMBER(SEARCH(Assumptions!$C$6,D819)),Assumptions!$D$6,IF(ISNUMBER(SEARCH(Assumptions!$C$7,D819)),Assumptions!$D$7,"Other Services"))),"Other Services"))</f>
        <v/>
      </c>
    </row>
    <row r="820" customFormat="false" ht="15" hidden="false" customHeight="false" outlineLevel="0" collapsed="false">
      <c r="F820" s="41" t="str">
        <f aca="false">IF(D820="","",IFERROR(IF(ISNUMBER(SEARCH(Assumptions!$C$5,D820)),Assumptions!$D$5,IF(ISNUMBER(SEARCH(Assumptions!$C$6,D820)),Assumptions!$D$6,IF(ISNUMBER(SEARCH(Assumptions!$C$7,D820)),Assumptions!$D$7,"Other Services"))),"Other Services"))</f>
        <v/>
      </c>
    </row>
    <row r="821" customFormat="false" ht="15" hidden="false" customHeight="false" outlineLevel="0" collapsed="false">
      <c r="F821" s="41" t="str">
        <f aca="false">IF(D821="","",IFERROR(IF(ISNUMBER(SEARCH(Assumptions!$C$5,D821)),Assumptions!$D$5,IF(ISNUMBER(SEARCH(Assumptions!$C$6,D821)),Assumptions!$D$6,IF(ISNUMBER(SEARCH(Assumptions!$C$7,D821)),Assumptions!$D$7,"Other Services"))),"Other Services"))</f>
        <v/>
      </c>
    </row>
    <row r="822" customFormat="false" ht="15" hidden="false" customHeight="false" outlineLevel="0" collapsed="false">
      <c r="F822" s="41" t="str">
        <f aca="false">IF(D822="","",IFERROR(IF(ISNUMBER(SEARCH(Assumptions!$C$5,D822)),Assumptions!$D$5,IF(ISNUMBER(SEARCH(Assumptions!$C$6,D822)),Assumptions!$D$6,IF(ISNUMBER(SEARCH(Assumptions!$C$7,D822)),Assumptions!$D$7,"Other Services"))),"Other Services"))</f>
        <v/>
      </c>
    </row>
    <row r="823" customFormat="false" ht="15" hidden="false" customHeight="false" outlineLevel="0" collapsed="false">
      <c r="F823" s="41" t="str">
        <f aca="false">IF(D823="","",IFERROR(IF(ISNUMBER(SEARCH(Assumptions!$C$5,D823)),Assumptions!$D$5,IF(ISNUMBER(SEARCH(Assumptions!$C$6,D823)),Assumptions!$D$6,IF(ISNUMBER(SEARCH(Assumptions!$C$7,D823)),Assumptions!$D$7,"Other Services"))),"Other Services"))</f>
        <v/>
      </c>
    </row>
    <row r="824" customFormat="false" ht="15" hidden="false" customHeight="false" outlineLevel="0" collapsed="false">
      <c r="F824" s="41" t="str">
        <f aca="false">IF(D824="","",IFERROR(IF(ISNUMBER(SEARCH(Assumptions!$C$5,D824)),Assumptions!$D$5,IF(ISNUMBER(SEARCH(Assumptions!$C$6,D824)),Assumptions!$D$6,IF(ISNUMBER(SEARCH(Assumptions!$C$7,D824)),Assumptions!$D$7,"Other Services"))),"Other Services"))</f>
        <v/>
      </c>
    </row>
    <row r="825" customFormat="false" ht="15" hidden="false" customHeight="false" outlineLevel="0" collapsed="false">
      <c r="F825" s="41" t="str">
        <f aca="false">IF(D825="","",IFERROR(IF(ISNUMBER(SEARCH(Assumptions!$C$5,D825)),Assumptions!$D$5,IF(ISNUMBER(SEARCH(Assumptions!$C$6,D825)),Assumptions!$D$6,IF(ISNUMBER(SEARCH(Assumptions!$C$7,D825)),Assumptions!$D$7,"Other Services"))),"Other Services"))</f>
        <v/>
      </c>
    </row>
    <row r="826" customFormat="false" ht="15" hidden="false" customHeight="false" outlineLevel="0" collapsed="false">
      <c r="F826" s="41" t="str">
        <f aca="false">IF(D826="","",IFERROR(IF(ISNUMBER(SEARCH(Assumptions!$C$5,D826)),Assumptions!$D$5,IF(ISNUMBER(SEARCH(Assumptions!$C$6,D826)),Assumptions!$D$6,IF(ISNUMBER(SEARCH(Assumptions!$C$7,D826)),Assumptions!$D$7,"Other Services"))),"Other Services"))</f>
        <v/>
      </c>
    </row>
    <row r="827" customFormat="false" ht="15" hidden="false" customHeight="false" outlineLevel="0" collapsed="false">
      <c r="F827" s="41" t="str">
        <f aca="false">IF(D827="","",IFERROR(IF(ISNUMBER(SEARCH(Assumptions!$C$5,D827)),Assumptions!$D$5,IF(ISNUMBER(SEARCH(Assumptions!$C$6,D827)),Assumptions!$D$6,IF(ISNUMBER(SEARCH(Assumptions!$C$7,D827)),Assumptions!$D$7,"Other Services"))),"Other Services"))</f>
        <v/>
      </c>
    </row>
    <row r="828" customFormat="false" ht="15" hidden="false" customHeight="false" outlineLevel="0" collapsed="false">
      <c r="F828" s="41" t="str">
        <f aca="false">IF(D828="","",IFERROR(IF(ISNUMBER(SEARCH(Assumptions!$C$5,D828)),Assumptions!$D$5,IF(ISNUMBER(SEARCH(Assumptions!$C$6,D828)),Assumptions!$D$6,IF(ISNUMBER(SEARCH(Assumptions!$C$7,D828)),Assumptions!$D$7,"Other Services"))),"Other Services"))</f>
        <v/>
      </c>
    </row>
    <row r="829" customFormat="false" ht="15" hidden="false" customHeight="false" outlineLevel="0" collapsed="false">
      <c r="F829" s="41" t="str">
        <f aca="false">IF(D829="","",IFERROR(IF(ISNUMBER(SEARCH(Assumptions!$C$5,D829)),Assumptions!$D$5,IF(ISNUMBER(SEARCH(Assumptions!$C$6,D829)),Assumptions!$D$6,IF(ISNUMBER(SEARCH(Assumptions!$C$7,D829)),Assumptions!$D$7,"Other Services"))),"Other Services"))</f>
        <v/>
      </c>
    </row>
    <row r="830" customFormat="false" ht="15" hidden="false" customHeight="false" outlineLevel="0" collapsed="false">
      <c r="F830" s="41" t="str">
        <f aca="false">IF(D830="","",IFERROR(IF(ISNUMBER(SEARCH(Assumptions!$C$5,D830)),Assumptions!$D$5,IF(ISNUMBER(SEARCH(Assumptions!$C$6,D830)),Assumptions!$D$6,IF(ISNUMBER(SEARCH(Assumptions!$C$7,D830)),Assumptions!$D$7,"Other Services"))),"Other Services"))</f>
        <v/>
      </c>
    </row>
    <row r="831" customFormat="false" ht="15" hidden="false" customHeight="false" outlineLevel="0" collapsed="false">
      <c r="F831" s="41" t="str">
        <f aca="false">IF(D831="","",IFERROR(IF(ISNUMBER(SEARCH(Assumptions!$C$5,D831)),Assumptions!$D$5,IF(ISNUMBER(SEARCH(Assumptions!$C$6,D831)),Assumptions!$D$6,IF(ISNUMBER(SEARCH(Assumptions!$C$7,D831)),Assumptions!$D$7,"Other Services"))),"Other Services"))</f>
        <v/>
      </c>
    </row>
    <row r="832" customFormat="false" ht="15" hidden="false" customHeight="false" outlineLevel="0" collapsed="false">
      <c r="F832" s="41" t="str">
        <f aca="false">IF(D832="","",IFERROR(IF(ISNUMBER(SEARCH(Assumptions!$C$5,D832)),Assumptions!$D$5,IF(ISNUMBER(SEARCH(Assumptions!$C$6,D832)),Assumptions!$D$6,IF(ISNUMBER(SEARCH(Assumptions!$C$7,D832)),Assumptions!$D$7,"Other Services"))),"Other Services"))</f>
        <v/>
      </c>
    </row>
    <row r="833" customFormat="false" ht="15" hidden="false" customHeight="false" outlineLevel="0" collapsed="false">
      <c r="F833" s="41" t="str">
        <f aca="false">IF(D833="","",IFERROR(IF(ISNUMBER(SEARCH(Assumptions!$C$5,D833)),Assumptions!$D$5,IF(ISNUMBER(SEARCH(Assumptions!$C$6,D833)),Assumptions!$D$6,IF(ISNUMBER(SEARCH(Assumptions!$C$7,D833)),Assumptions!$D$7,"Other Services"))),"Other Services"))</f>
        <v/>
      </c>
    </row>
    <row r="834" customFormat="false" ht="15" hidden="false" customHeight="false" outlineLevel="0" collapsed="false">
      <c r="F834" s="41" t="str">
        <f aca="false">IF(D834="","",IFERROR(IF(ISNUMBER(SEARCH(Assumptions!$C$5,D834)),Assumptions!$D$5,IF(ISNUMBER(SEARCH(Assumptions!$C$6,D834)),Assumptions!$D$6,IF(ISNUMBER(SEARCH(Assumptions!$C$7,D834)),Assumptions!$D$7,"Other Services"))),"Other Services"))</f>
        <v/>
      </c>
    </row>
    <row r="835" customFormat="false" ht="15" hidden="false" customHeight="false" outlineLevel="0" collapsed="false">
      <c r="F835" s="41" t="str">
        <f aca="false">IF(D835="","",IFERROR(IF(ISNUMBER(SEARCH(Assumptions!$C$5,D835)),Assumptions!$D$5,IF(ISNUMBER(SEARCH(Assumptions!$C$6,D835)),Assumptions!$D$6,IF(ISNUMBER(SEARCH(Assumptions!$C$7,D835)),Assumptions!$D$7,"Other Services"))),"Other Services"))</f>
        <v/>
      </c>
    </row>
    <row r="836" customFormat="false" ht="15" hidden="false" customHeight="false" outlineLevel="0" collapsed="false">
      <c r="F836" s="41" t="str">
        <f aca="false">IF(D836="","",IFERROR(IF(ISNUMBER(SEARCH(Assumptions!$C$5,D836)),Assumptions!$D$5,IF(ISNUMBER(SEARCH(Assumptions!$C$6,D836)),Assumptions!$D$6,IF(ISNUMBER(SEARCH(Assumptions!$C$7,D836)),Assumptions!$D$7,"Other Services"))),"Other Services"))</f>
        <v/>
      </c>
    </row>
    <row r="837" customFormat="false" ht="15" hidden="false" customHeight="false" outlineLevel="0" collapsed="false">
      <c r="F837" s="41" t="str">
        <f aca="false">IF(D837="","",IFERROR(IF(ISNUMBER(SEARCH(Assumptions!$C$5,D837)),Assumptions!$D$5,IF(ISNUMBER(SEARCH(Assumptions!$C$6,D837)),Assumptions!$D$6,IF(ISNUMBER(SEARCH(Assumptions!$C$7,D837)),Assumptions!$D$7,"Other Services"))),"Other Services"))</f>
        <v/>
      </c>
    </row>
    <row r="838" customFormat="false" ht="15" hidden="false" customHeight="false" outlineLevel="0" collapsed="false">
      <c r="F838" s="41" t="str">
        <f aca="false">IF(D838="","",IFERROR(IF(ISNUMBER(SEARCH(Assumptions!$C$5,D838)),Assumptions!$D$5,IF(ISNUMBER(SEARCH(Assumptions!$C$6,D838)),Assumptions!$D$6,IF(ISNUMBER(SEARCH(Assumptions!$C$7,D838)),Assumptions!$D$7,"Other Services"))),"Other Services"))</f>
        <v/>
      </c>
    </row>
    <row r="839" customFormat="false" ht="15" hidden="false" customHeight="false" outlineLevel="0" collapsed="false">
      <c r="F839" s="41" t="str">
        <f aca="false">IF(D839="","",IFERROR(IF(ISNUMBER(SEARCH(Assumptions!$C$5,D839)),Assumptions!$D$5,IF(ISNUMBER(SEARCH(Assumptions!$C$6,D839)),Assumptions!$D$6,IF(ISNUMBER(SEARCH(Assumptions!$C$7,D839)),Assumptions!$D$7,"Other Services"))),"Other Services"))</f>
        <v/>
      </c>
    </row>
    <row r="840" customFormat="false" ht="15" hidden="false" customHeight="false" outlineLevel="0" collapsed="false">
      <c r="F840" s="41" t="str">
        <f aca="false">IF(D840="","",IFERROR(IF(ISNUMBER(SEARCH(Assumptions!$C$5,D840)),Assumptions!$D$5,IF(ISNUMBER(SEARCH(Assumptions!$C$6,D840)),Assumptions!$D$6,IF(ISNUMBER(SEARCH(Assumptions!$C$7,D840)),Assumptions!$D$7,"Other Services"))),"Other Services"))</f>
        <v/>
      </c>
    </row>
    <row r="841" customFormat="false" ht="15" hidden="false" customHeight="false" outlineLevel="0" collapsed="false">
      <c r="F841" s="41" t="str">
        <f aca="false">IF(D841="","",IFERROR(IF(ISNUMBER(SEARCH(Assumptions!$C$5,D841)),Assumptions!$D$5,IF(ISNUMBER(SEARCH(Assumptions!$C$6,D841)),Assumptions!$D$6,IF(ISNUMBER(SEARCH(Assumptions!$C$7,D841)),Assumptions!$D$7,"Other Services"))),"Other Services"))</f>
        <v/>
      </c>
    </row>
    <row r="842" customFormat="false" ht="15" hidden="false" customHeight="false" outlineLevel="0" collapsed="false">
      <c r="F842" s="41" t="str">
        <f aca="false">IF(D842="","",IFERROR(IF(ISNUMBER(SEARCH(Assumptions!$C$5,D842)),Assumptions!$D$5,IF(ISNUMBER(SEARCH(Assumptions!$C$6,D842)),Assumptions!$D$6,IF(ISNUMBER(SEARCH(Assumptions!$C$7,D842)),Assumptions!$D$7,"Other Services"))),"Other Services"))</f>
        <v/>
      </c>
    </row>
    <row r="843" customFormat="false" ht="15" hidden="false" customHeight="false" outlineLevel="0" collapsed="false">
      <c r="F843" s="41" t="str">
        <f aca="false">IF(D843="","",IFERROR(IF(ISNUMBER(SEARCH(Assumptions!$C$5,D843)),Assumptions!$D$5,IF(ISNUMBER(SEARCH(Assumptions!$C$6,D843)),Assumptions!$D$6,IF(ISNUMBER(SEARCH(Assumptions!$C$7,D843)),Assumptions!$D$7,"Other Services"))),"Other Services"))</f>
        <v/>
      </c>
    </row>
    <row r="844" customFormat="false" ht="15" hidden="false" customHeight="false" outlineLevel="0" collapsed="false">
      <c r="F844" s="41" t="str">
        <f aca="false">IF(D844="","",IFERROR(IF(ISNUMBER(SEARCH(Assumptions!$C$5,D844)),Assumptions!$D$5,IF(ISNUMBER(SEARCH(Assumptions!$C$6,D844)),Assumptions!$D$6,IF(ISNUMBER(SEARCH(Assumptions!$C$7,D844)),Assumptions!$D$7,"Other Services"))),"Other Services"))</f>
        <v/>
      </c>
    </row>
    <row r="845" customFormat="false" ht="15" hidden="false" customHeight="false" outlineLevel="0" collapsed="false">
      <c r="F845" s="41" t="str">
        <f aca="false">IF(D845="","",IFERROR(IF(ISNUMBER(SEARCH(Assumptions!$C$5,D845)),Assumptions!$D$5,IF(ISNUMBER(SEARCH(Assumptions!$C$6,D845)),Assumptions!$D$6,IF(ISNUMBER(SEARCH(Assumptions!$C$7,D845)),Assumptions!$D$7,"Other Services"))),"Other Services"))</f>
        <v/>
      </c>
    </row>
    <row r="846" customFormat="false" ht="15" hidden="false" customHeight="false" outlineLevel="0" collapsed="false">
      <c r="F846" s="41" t="str">
        <f aca="false">IF(D846="","",IFERROR(IF(ISNUMBER(SEARCH(Assumptions!$C$5,D846)),Assumptions!$D$5,IF(ISNUMBER(SEARCH(Assumptions!$C$6,D846)),Assumptions!$D$6,IF(ISNUMBER(SEARCH(Assumptions!$C$7,D846)),Assumptions!$D$7,"Other Services"))),"Other Services"))</f>
        <v/>
      </c>
    </row>
    <row r="847" customFormat="false" ht="15" hidden="false" customHeight="false" outlineLevel="0" collapsed="false">
      <c r="F847" s="41" t="str">
        <f aca="false">IF(D847="","",IFERROR(IF(ISNUMBER(SEARCH(Assumptions!$C$5,D847)),Assumptions!$D$5,IF(ISNUMBER(SEARCH(Assumptions!$C$6,D847)),Assumptions!$D$6,IF(ISNUMBER(SEARCH(Assumptions!$C$7,D847)),Assumptions!$D$7,"Other Services"))),"Other Services"))</f>
        <v/>
      </c>
    </row>
    <row r="848" customFormat="false" ht="15" hidden="false" customHeight="false" outlineLevel="0" collapsed="false">
      <c r="F848" s="41" t="str">
        <f aca="false">IF(D848="","",IFERROR(IF(ISNUMBER(SEARCH(Assumptions!$C$5,D848)),Assumptions!$D$5,IF(ISNUMBER(SEARCH(Assumptions!$C$6,D848)),Assumptions!$D$6,IF(ISNUMBER(SEARCH(Assumptions!$C$7,D848)),Assumptions!$D$7,"Other Services"))),"Other Services"))</f>
        <v/>
      </c>
    </row>
    <row r="849" customFormat="false" ht="15" hidden="false" customHeight="false" outlineLevel="0" collapsed="false">
      <c r="F849" s="41" t="str">
        <f aca="false">IF(D849="","",IFERROR(IF(ISNUMBER(SEARCH(Assumptions!$C$5,D849)),Assumptions!$D$5,IF(ISNUMBER(SEARCH(Assumptions!$C$6,D849)),Assumptions!$D$6,IF(ISNUMBER(SEARCH(Assumptions!$C$7,D849)),Assumptions!$D$7,"Other Services"))),"Other Services"))</f>
        <v/>
      </c>
    </row>
    <row r="850" customFormat="false" ht="15" hidden="false" customHeight="false" outlineLevel="0" collapsed="false">
      <c r="F850" s="41" t="str">
        <f aca="false">IF(D850="","",IFERROR(IF(ISNUMBER(SEARCH(Assumptions!$C$5,D850)),Assumptions!$D$5,IF(ISNUMBER(SEARCH(Assumptions!$C$6,D850)),Assumptions!$D$6,IF(ISNUMBER(SEARCH(Assumptions!$C$7,D850)),Assumptions!$D$7,"Other Services"))),"Other Services"))</f>
        <v/>
      </c>
    </row>
    <row r="851" customFormat="false" ht="15" hidden="false" customHeight="false" outlineLevel="0" collapsed="false">
      <c r="F851" s="41" t="str">
        <f aca="false">IF(D851="","",IFERROR(IF(ISNUMBER(SEARCH(Assumptions!$C$5,D851)),Assumptions!$D$5,IF(ISNUMBER(SEARCH(Assumptions!$C$6,D851)),Assumptions!$D$6,IF(ISNUMBER(SEARCH(Assumptions!$C$7,D851)),Assumptions!$D$7,"Other Services"))),"Other Services"))</f>
        <v/>
      </c>
    </row>
    <row r="852" customFormat="false" ht="15" hidden="false" customHeight="false" outlineLevel="0" collapsed="false">
      <c r="F852" s="41" t="str">
        <f aca="false">IF(D852="","",IFERROR(IF(ISNUMBER(SEARCH(Assumptions!$C$5,D852)),Assumptions!$D$5,IF(ISNUMBER(SEARCH(Assumptions!$C$6,D852)),Assumptions!$D$6,IF(ISNUMBER(SEARCH(Assumptions!$C$7,D852)),Assumptions!$D$7,"Other Services"))),"Other Services"))</f>
        <v/>
      </c>
    </row>
    <row r="853" customFormat="false" ht="15" hidden="false" customHeight="false" outlineLevel="0" collapsed="false">
      <c r="F853" s="41" t="str">
        <f aca="false">IF(D853="","",IFERROR(IF(ISNUMBER(SEARCH(Assumptions!$C$5,D853)),Assumptions!$D$5,IF(ISNUMBER(SEARCH(Assumptions!$C$6,D853)),Assumptions!$D$6,IF(ISNUMBER(SEARCH(Assumptions!$C$7,D853)),Assumptions!$D$7,"Other Services"))),"Other Services"))</f>
        <v/>
      </c>
    </row>
    <row r="854" customFormat="false" ht="15" hidden="false" customHeight="false" outlineLevel="0" collapsed="false">
      <c r="F854" s="41" t="str">
        <f aca="false">IF(D854="","",IFERROR(IF(ISNUMBER(SEARCH(Assumptions!$C$5,D854)),Assumptions!$D$5,IF(ISNUMBER(SEARCH(Assumptions!$C$6,D854)),Assumptions!$D$6,IF(ISNUMBER(SEARCH(Assumptions!$C$7,D854)),Assumptions!$D$7,"Other Services"))),"Other Services"))</f>
        <v/>
      </c>
    </row>
    <row r="855" customFormat="false" ht="15" hidden="false" customHeight="false" outlineLevel="0" collapsed="false">
      <c r="F855" s="41" t="str">
        <f aca="false">IF(D855="","",IFERROR(IF(ISNUMBER(SEARCH(Assumptions!$C$5,D855)),Assumptions!$D$5,IF(ISNUMBER(SEARCH(Assumptions!$C$6,D855)),Assumptions!$D$6,IF(ISNUMBER(SEARCH(Assumptions!$C$7,D855)),Assumptions!$D$7,"Other Services"))),"Other Services"))</f>
        <v/>
      </c>
    </row>
    <row r="856" customFormat="false" ht="15" hidden="false" customHeight="false" outlineLevel="0" collapsed="false">
      <c r="F856" s="41" t="str">
        <f aca="false">IF(D856="","",IFERROR(IF(ISNUMBER(SEARCH(Assumptions!$C$5,D856)),Assumptions!$D$5,IF(ISNUMBER(SEARCH(Assumptions!$C$6,D856)),Assumptions!$D$6,IF(ISNUMBER(SEARCH(Assumptions!$C$7,D856)),Assumptions!$D$7,"Other Services"))),"Other Services"))</f>
        <v/>
      </c>
    </row>
    <row r="857" customFormat="false" ht="15" hidden="false" customHeight="false" outlineLevel="0" collapsed="false">
      <c r="F857" s="41" t="str">
        <f aca="false">IF(D857="","",IFERROR(IF(ISNUMBER(SEARCH(Assumptions!$C$5,D857)),Assumptions!$D$5,IF(ISNUMBER(SEARCH(Assumptions!$C$6,D857)),Assumptions!$D$6,IF(ISNUMBER(SEARCH(Assumptions!$C$7,D857)),Assumptions!$D$7,"Other Services"))),"Other Services"))</f>
        <v/>
      </c>
    </row>
    <row r="858" customFormat="false" ht="15" hidden="false" customHeight="false" outlineLevel="0" collapsed="false">
      <c r="F858" s="41" t="str">
        <f aca="false">IF(D858="","",IFERROR(IF(ISNUMBER(SEARCH(Assumptions!$C$5,D858)),Assumptions!$D$5,IF(ISNUMBER(SEARCH(Assumptions!$C$6,D858)),Assumptions!$D$6,IF(ISNUMBER(SEARCH(Assumptions!$C$7,D858)),Assumptions!$D$7,"Other Services"))),"Other Services"))</f>
        <v/>
      </c>
    </row>
    <row r="859" customFormat="false" ht="15" hidden="false" customHeight="false" outlineLevel="0" collapsed="false">
      <c r="F859" s="41" t="str">
        <f aca="false">IF(D859="","",IFERROR(IF(ISNUMBER(SEARCH(Assumptions!$C$5,D859)),Assumptions!$D$5,IF(ISNUMBER(SEARCH(Assumptions!$C$6,D859)),Assumptions!$D$6,IF(ISNUMBER(SEARCH(Assumptions!$C$7,D859)),Assumptions!$D$7,"Other Services"))),"Other Services"))</f>
        <v/>
      </c>
    </row>
    <row r="860" customFormat="false" ht="15" hidden="false" customHeight="false" outlineLevel="0" collapsed="false">
      <c r="F860" s="41" t="str">
        <f aca="false">IF(D860="","",IFERROR(IF(ISNUMBER(SEARCH(Assumptions!$C$5,D860)),Assumptions!$D$5,IF(ISNUMBER(SEARCH(Assumptions!$C$6,D860)),Assumptions!$D$6,IF(ISNUMBER(SEARCH(Assumptions!$C$7,D860)),Assumptions!$D$7,"Other Services"))),"Other Services"))</f>
        <v/>
      </c>
    </row>
    <row r="861" customFormat="false" ht="15" hidden="false" customHeight="false" outlineLevel="0" collapsed="false">
      <c r="F861" s="41" t="str">
        <f aca="false">IF(D861="","",IFERROR(IF(ISNUMBER(SEARCH(Assumptions!$C$5,D861)),Assumptions!$D$5,IF(ISNUMBER(SEARCH(Assumptions!$C$6,D861)),Assumptions!$D$6,IF(ISNUMBER(SEARCH(Assumptions!$C$7,D861)),Assumptions!$D$7,"Other Services"))),"Other Services"))</f>
        <v/>
      </c>
    </row>
    <row r="862" customFormat="false" ht="15" hidden="false" customHeight="false" outlineLevel="0" collapsed="false">
      <c r="F862" s="41" t="str">
        <f aca="false">IF(D862="","",IFERROR(IF(ISNUMBER(SEARCH(Assumptions!$C$5,D862)),Assumptions!$D$5,IF(ISNUMBER(SEARCH(Assumptions!$C$6,D862)),Assumptions!$D$6,IF(ISNUMBER(SEARCH(Assumptions!$C$7,D862)),Assumptions!$D$7,"Other Services"))),"Other Services"))</f>
        <v/>
      </c>
    </row>
    <row r="863" customFormat="false" ht="15" hidden="false" customHeight="false" outlineLevel="0" collapsed="false">
      <c r="F863" s="41" t="str">
        <f aca="false">IF(D863="","",IFERROR(IF(ISNUMBER(SEARCH(Assumptions!$C$5,D863)),Assumptions!$D$5,IF(ISNUMBER(SEARCH(Assumptions!$C$6,D863)),Assumptions!$D$6,IF(ISNUMBER(SEARCH(Assumptions!$C$7,D863)),Assumptions!$D$7,"Other Services"))),"Other Services"))</f>
        <v/>
      </c>
    </row>
    <row r="864" customFormat="false" ht="15" hidden="false" customHeight="false" outlineLevel="0" collapsed="false">
      <c r="F864" s="41" t="str">
        <f aca="false">IF(D864="","",IFERROR(IF(ISNUMBER(SEARCH(Assumptions!$C$5,D864)),Assumptions!$D$5,IF(ISNUMBER(SEARCH(Assumptions!$C$6,D864)),Assumptions!$D$6,IF(ISNUMBER(SEARCH(Assumptions!$C$7,D864)),Assumptions!$D$7,"Other Services"))),"Other Services"))</f>
        <v/>
      </c>
    </row>
    <row r="865" customFormat="false" ht="15" hidden="false" customHeight="false" outlineLevel="0" collapsed="false">
      <c r="F865" s="41" t="str">
        <f aca="false">IF(D865="","",IFERROR(IF(ISNUMBER(SEARCH(Assumptions!$C$5,D865)),Assumptions!$D$5,IF(ISNUMBER(SEARCH(Assumptions!$C$6,D865)),Assumptions!$D$6,IF(ISNUMBER(SEARCH(Assumptions!$C$7,D865)),Assumptions!$D$7,"Other Services"))),"Other Services"))</f>
        <v/>
      </c>
    </row>
    <row r="866" customFormat="false" ht="15" hidden="false" customHeight="false" outlineLevel="0" collapsed="false">
      <c r="F866" s="41" t="str">
        <f aca="false">IF(D866="","",IFERROR(IF(ISNUMBER(SEARCH(Assumptions!$C$5,D866)),Assumptions!$D$5,IF(ISNUMBER(SEARCH(Assumptions!$C$6,D866)),Assumptions!$D$6,IF(ISNUMBER(SEARCH(Assumptions!$C$7,D866)),Assumptions!$D$7,"Other Services"))),"Other Services"))</f>
        <v/>
      </c>
    </row>
    <row r="867" customFormat="false" ht="15" hidden="false" customHeight="false" outlineLevel="0" collapsed="false">
      <c r="F867" s="41" t="str">
        <f aca="false">IF(D867="","",IFERROR(IF(ISNUMBER(SEARCH(Assumptions!$C$5,D867)),Assumptions!$D$5,IF(ISNUMBER(SEARCH(Assumptions!$C$6,D867)),Assumptions!$D$6,IF(ISNUMBER(SEARCH(Assumptions!$C$7,D867)),Assumptions!$D$7,"Other Services"))),"Other Services"))</f>
        <v/>
      </c>
    </row>
    <row r="868" customFormat="false" ht="15" hidden="false" customHeight="false" outlineLevel="0" collapsed="false">
      <c r="F868" s="41" t="str">
        <f aca="false">IF(D868="","",IFERROR(IF(ISNUMBER(SEARCH(Assumptions!$C$5,D868)),Assumptions!$D$5,IF(ISNUMBER(SEARCH(Assumptions!$C$6,D868)),Assumptions!$D$6,IF(ISNUMBER(SEARCH(Assumptions!$C$7,D868)),Assumptions!$D$7,"Other Services"))),"Other Services"))</f>
        <v/>
      </c>
    </row>
    <row r="869" customFormat="false" ht="15" hidden="false" customHeight="false" outlineLevel="0" collapsed="false">
      <c r="F869" s="41" t="str">
        <f aca="false">IF(D869="","",IFERROR(IF(ISNUMBER(SEARCH(Assumptions!$C$5,D869)),Assumptions!$D$5,IF(ISNUMBER(SEARCH(Assumptions!$C$6,D869)),Assumptions!$D$6,IF(ISNUMBER(SEARCH(Assumptions!$C$7,D869)),Assumptions!$D$7,"Other Services"))),"Other Services"))</f>
        <v/>
      </c>
    </row>
    <row r="870" customFormat="false" ht="15" hidden="false" customHeight="false" outlineLevel="0" collapsed="false">
      <c r="F870" s="41" t="str">
        <f aca="false">IF(D870="","",IFERROR(IF(ISNUMBER(SEARCH(Assumptions!$C$5,D870)),Assumptions!$D$5,IF(ISNUMBER(SEARCH(Assumptions!$C$6,D870)),Assumptions!$D$6,IF(ISNUMBER(SEARCH(Assumptions!$C$7,D870)),Assumptions!$D$7,"Other Services"))),"Other Services"))</f>
        <v/>
      </c>
    </row>
    <row r="871" customFormat="false" ht="15" hidden="false" customHeight="false" outlineLevel="0" collapsed="false">
      <c r="F871" s="41" t="str">
        <f aca="false">IF(D871="","",IFERROR(IF(ISNUMBER(SEARCH(Assumptions!$C$5,D871)),Assumptions!$D$5,IF(ISNUMBER(SEARCH(Assumptions!$C$6,D871)),Assumptions!$D$6,IF(ISNUMBER(SEARCH(Assumptions!$C$7,D871)),Assumptions!$D$7,"Other Services"))),"Other Services"))</f>
        <v/>
      </c>
    </row>
    <row r="872" customFormat="false" ht="15" hidden="false" customHeight="false" outlineLevel="0" collapsed="false">
      <c r="F872" s="41" t="str">
        <f aca="false">IF(D872="","",IFERROR(IF(ISNUMBER(SEARCH(Assumptions!$C$5,D872)),Assumptions!$D$5,IF(ISNUMBER(SEARCH(Assumptions!$C$6,D872)),Assumptions!$D$6,IF(ISNUMBER(SEARCH(Assumptions!$C$7,D872)),Assumptions!$D$7,"Other Services"))),"Other Services"))</f>
        <v/>
      </c>
    </row>
    <row r="873" customFormat="false" ht="15" hidden="false" customHeight="false" outlineLevel="0" collapsed="false">
      <c r="F873" s="41" t="str">
        <f aca="false">IF(D873="","",IFERROR(IF(ISNUMBER(SEARCH(Assumptions!$C$5,D873)),Assumptions!$D$5,IF(ISNUMBER(SEARCH(Assumptions!$C$6,D873)),Assumptions!$D$6,IF(ISNUMBER(SEARCH(Assumptions!$C$7,D873)),Assumptions!$D$7,"Other Services"))),"Other Services"))</f>
        <v/>
      </c>
    </row>
    <row r="874" customFormat="false" ht="15" hidden="false" customHeight="false" outlineLevel="0" collapsed="false">
      <c r="F874" s="41" t="str">
        <f aca="false">IF(D874="","",IFERROR(IF(ISNUMBER(SEARCH(Assumptions!$C$5,D874)),Assumptions!$D$5,IF(ISNUMBER(SEARCH(Assumptions!$C$6,D874)),Assumptions!$D$6,IF(ISNUMBER(SEARCH(Assumptions!$C$7,D874)),Assumptions!$D$7,"Other Services"))),"Other Services"))</f>
        <v/>
      </c>
    </row>
    <row r="875" customFormat="false" ht="15" hidden="false" customHeight="false" outlineLevel="0" collapsed="false">
      <c r="F875" s="41" t="str">
        <f aca="false">IF(D875="","",IFERROR(IF(ISNUMBER(SEARCH(Assumptions!$C$5,D875)),Assumptions!$D$5,IF(ISNUMBER(SEARCH(Assumptions!$C$6,D875)),Assumptions!$D$6,IF(ISNUMBER(SEARCH(Assumptions!$C$7,D875)),Assumptions!$D$7,"Other Services"))),"Other Services"))</f>
        <v/>
      </c>
    </row>
    <row r="876" customFormat="false" ht="15" hidden="false" customHeight="false" outlineLevel="0" collapsed="false">
      <c r="F876" s="41" t="str">
        <f aca="false">IF(D876="","",IFERROR(IF(ISNUMBER(SEARCH(Assumptions!$C$5,D876)),Assumptions!$D$5,IF(ISNUMBER(SEARCH(Assumptions!$C$6,D876)),Assumptions!$D$6,IF(ISNUMBER(SEARCH(Assumptions!$C$7,D876)),Assumptions!$D$7,"Other Services"))),"Other Services"))</f>
        <v/>
      </c>
    </row>
    <row r="877" customFormat="false" ht="15" hidden="false" customHeight="false" outlineLevel="0" collapsed="false">
      <c r="F877" s="41" t="str">
        <f aca="false">IF(D877="","",IFERROR(IF(ISNUMBER(SEARCH(Assumptions!$C$5,D877)),Assumptions!$D$5,IF(ISNUMBER(SEARCH(Assumptions!$C$6,D877)),Assumptions!$D$6,IF(ISNUMBER(SEARCH(Assumptions!$C$7,D877)),Assumptions!$D$7,"Other Services"))),"Other Services"))</f>
        <v/>
      </c>
    </row>
    <row r="878" customFormat="false" ht="15" hidden="false" customHeight="false" outlineLevel="0" collapsed="false">
      <c r="F878" s="41" t="str">
        <f aca="false">IF(D878="","",IFERROR(IF(ISNUMBER(SEARCH(Assumptions!$C$5,D878)),Assumptions!$D$5,IF(ISNUMBER(SEARCH(Assumptions!$C$6,D878)),Assumptions!$D$6,IF(ISNUMBER(SEARCH(Assumptions!$C$7,D878)),Assumptions!$D$7,"Other Services"))),"Other Services"))</f>
        <v/>
      </c>
    </row>
    <row r="879" customFormat="false" ht="15" hidden="false" customHeight="false" outlineLevel="0" collapsed="false">
      <c r="F879" s="41" t="str">
        <f aca="false">IF(D879="","",IFERROR(IF(ISNUMBER(SEARCH(Assumptions!$C$5,D879)),Assumptions!$D$5,IF(ISNUMBER(SEARCH(Assumptions!$C$6,D879)),Assumptions!$D$6,IF(ISNUMBER(SEARCH(Assumptions!$C$7,D879)),Assumptions!$D$7,"Other Services"))),"Other Services"))</f>
        <v/>
      </c>
    </row>
    <row r="880" customFormat="false" ht="15" hidden="false" customHeight="false" outlineLevel="0" collapsed="false">
      <c r="F880" s="41" t="str">
        <f aca="false">IF(D880="","",IFERROR(IF(ISNUMBER(SEARCH(Assumptions!$C$5,D880)),Assumptions!$D$5,IF(ISNUMBER(SEARCH(Assumptions!$C$6,D880)),Assumptions!$D$6,IF(ISNUMBER(SEARCH(Assumptions!$C$7,D880)),Assumptions!$D$7,"Other Services"))),"Other Services"))</f>
        <v/>
      </c>
    </row>
    <row r="881" customFormat="false" ht="15" hidden="false" customHeight="false" outlineLevel="0" collapsed="false">
      <c r="F881" s="41" t="str">
        <f aca="false">IF(D881="","",IFERROR(IF(ISNUMBER(SEARCH(Assumptions!$C$5,D881)),Assumptions!$D$5,IF(ISNUMBER(SEARCH(Assumptions!$C$6,D881)),Assumptions!$D$6,IF(ISNUMBER(SEARCH(Assumptions!$C$7,D881)),Assumptions!$D$7,"Other Services"))),"Other Services"))</f>
        <v/>
      </c>
    </row>
    <row r="882" customFormat="false" ht="15" hidden="false" customHeight="false" outlineLevel="0" collapsed="false">
      <c r="F882" s="41" t="str">
        <f aca="false">IF(D882="","",IFERROR(IF(ISNUMBER(SEARCH(Assumptions!$C$5,D882)),Assumptions!$D$5,IF(ISNUMBER(SEARCH(Assumptions!$C$6,D882)),Assumptions!$D$6,IF(ISNUMBER(SEARCH(Assumptions!$C$7,D882)),Assumptions!$D$7,"Other Services"))),"Other Services"))</f>
        <v/>
      </c>
    </row>
    <row r="883" customFormat="false" ht="15" hidden="false" customHeight="false" outlineLevel="0" collapsed="false">
      <c r="F883" s="41" t="str">
        <f aca="false">IF(D883="","",IFERROR(IF(ISNUMBER(SEARCH(Assumptions!$C$5,D883)),Assumptions!$D$5,IF(ISNUMBER(SEARCH(Assumptions!$C$6,D883)),Assumptions!$D$6,IF(ISNUMBER(SEARCH(Assumptions!$C$7,D883)),Assumptions!$D$7,"Other Services"))),"Other Services"))</f>
        <v/>
      </c>
    </row>
    <row r="884" customFormat="false" ht="15" hidden="false" customHeight="false" outlineLevel="0" collapsed="false">
      <c r="F884" s="41" t="str">
        <f aca="false">IF(D884="","",IFERROR(IF(ISNUMBER(SEARCH(Assumptions!$C$5,D884)),Assumptions!$D$5,IF(ISNUMBER(SEARCH(Assumptions!$C$6,D884)),Assumptions!$D$6,IF(ISNUMBER(SEARCH(Assumptions!$C$7,D884)),Assumptions!$D$7,"Other Services"))),"Other Services"))</f>
        <v/>
      </c>
    </row>
    <row r="885" customFormat="false" ht="15" hidden="false" customHeight="false" outlineLevel="0" collapsed="false">
      <c r="F885" s="41" t="str">
        <f aca="false">IF(D885="","",IFERROR(IF(ISNUMBER(SEARCH(Assumptions!$C$5,D885)),Assumptions!$D$5,IF(ISNUMBER(SEARCH(Assumptions!$C$6,D885)),Assumptions!$D$6,IF(ISNUMBER(SEARCH(Assumptions!$C$7,D885)),Assumptions!$D$7,"Other Services"))),"Other Services"))</f>
        <v/>
      </c>
    </row>
    <row r="886" customFormat="false" ht="15" hidden="false" customHeight="false" outlineLevel="0" collapsed="false">
      <c r="F886" s="41" t="str">
        <f aca="false">IF(D886="","",IFERROR(IF(ISNUMBER(SEARCH(Assumptions!$C$5,D886)),Assumptions!$D$5,IF(ISNUMBER(SEARCH(Assumptions!$C$6,D886)),Assumptions!$D$6,IF(ISNUMBER(SEARCH(Assumptions!$C$7,D886)),Assumptions!$D$7,"Other Services"))),"Other Services"))</f>
        <v/>
      </c>
    </row>
    <row r="887" customFormat="false" ht="15" hidden="false" customHeight="false" outlineLevel="0" collapsed="false">
      <c r="F887" s="41" t="str">
        <f aca="false">IF(D887="","",IFERROR(IF(ISNUMBER(SEARCH(Assumptions!$C$5,D887)),Assumptions!$D$5,IF(ISNUMBER(SEARCH(Assumptions!$C$6,D887)),Assumptions!$D$6,IF(ISNUMBER(SEARCH(Assumptions!$C$7,D887)),Assumptions!$D$7,"Other Services"))),"Other Services"))</f>
        <v/>
      </c>
    </row>
    <row r="888" customFormat="false" ht="15" hidden="false" customHeight="false" outlineLevel="0" collapsed="false">
      <c r="F888" s="41" t="str">
        <f aca="false">IF(D888="","",IFERROR(IF(ISNUMBER(SEARCH(Assumptions!$C$5,D888)),Assumptions!$D$5,IF(ISNUMBER(SEARCH(Assumptions!$C$6,D888)),Assumptions!$D$6,IF(ISNUMBER(SEARCH(Assumptions!$C$7,D888)),Assumptions!$D$7,"Other Services"))),"Other Services"))</f>
        <v/>
      </c>
    </row>
    <row r="889" customFormat="false" ht="15" hidden="false" customHeight="false" outlineLevel="0" collapsed="false">
      <c r="F889" s="41" t="str">
        <f aca="false">IF(D889="","",IFERROR(IF(ISNUMBER(SEARCH(Assumptions!$C$5,D889)),Assumptions!$D$5,IF(ISNUMBER(SEARCH(Assumptions!$C$6,D889)),Assumptions!$D$6,IF(ISNUMBER(SEARCH(Assumptions!$C$7,D889)),Assumptions!$D$7,"Other Services"))),"Other Services"))</f>
        <v/>
      </c>
    </row>
    <row r="890" customFormat="false" ht="15" hidden="false" customHeight="false" outlineLevel="0" collapsed="false">
      <c r="F890" s="41" t="str">
        <f aca="false">IF(D890="","",IFERROR(IF(ISNUMBER(SEARCH(Assumptions!$C$5,D890)),Assumptions!$D$5,IF(ISNUMBER(SEARCH(Assumptions!$C$6,D890)),Assumptions!$D$6,IF(ISNUMBER(SEARCH(Assumptions!$C$7,D890)),Assumptions!$D$7,"Other Services"))),"Other Services"))</f>
        <v/>
      </c>
    </row>
    <row r="891" customFormat="false" ht="15" hidden="false" customHeight="false" outlineLevel="0" collapsed="false">
      <c r="F891" s="41" t="str">
        <f aca="false">IF(D891="","",IFERROR(IF(ISNUMBER(SEARCH(Assumptions!$C$5,D891)),Assumptions!$D$5,IF(ISNUMBER(SEARCH(Assumptions!$C$6,D891)),Assumptions!$D$6,IF(ISNUMBER(SEARCH(Assumptions!$C$7,D891)),Assumptions!$D$7,"Other Services"))),"Other Services"))</f>
        <v/>
      </c>
    </row>
    <row r="892" customFormat="false" ht="15" hidden="false" customHeight="false" outlineLevel="0" collapsed="false">
      <c r="F892" s="41" t="str">
        <f aca="false">IF(D892="","",IFERROR(IF(ISNUMBER(SEARCH(Assumptions!$C$5,D892)),Assumptions!$D$5,IF(ISNUMBER(SEARCH(Assumptions!$C$6,D892)),Assumptions!$D$6,IF(ISNUMBER(SEARCH(Assumptions!$C$7,D892)),Assumptions!$D$7,"Other Services"))),"Other Services"))</f>
        <v/>
      </c>
    </row>
    <row r="893" customFormat="false" ht="15" hidden="false" customHeight="false" outlineLevel="0" collapsed="false">
      <c r="F893" s="41" t="str">
        <f aca="false">IF(D893="","",IFERROR(IF(ISNUMBER(SEARCH(Assumptions!$C$5,D893)),Assumptions!$D$5,IF(ISNUMBER(SEARCH(Assumptions!$C$6,D893)),Assumptions!$D$6,IF(ISNUMBER(SEARCH(Assumptions!$C$7,D893)),Assumptions!$D$7,"Other Services"))),"Other Services"))</f>
        <v/>
      </c>
    </row>
    <row r="894" customFormat="false" ht="15" hidden="false" customHeight="false" outlineLevel="0" collapsed="false">
      <c r="F894" s="41" t="str">
        <f aca="false">IF(D894="","",IFERROR(IF(ISNUMBER(SEARCH(Assumptions!$C$5,D894)),Assumptions!$D$5,IF(ISNUMBER(SEARCH(Assumptions!$C$6,D894)),Assumptions!$D$6,IF(ISNUMBER(SEARCH(Assumptions!$C$7,D894)),Assumptions!$D$7,"Other Services"))),"Other Services"))</f>
        <v/>
      </c>
    </row>
    <row r="895" customFormat="false" ht="15" hidden="false" customHeight="false" outlineLevel="0" collapsed="false">
      <c r="F895" s="41" t="str">
        <f aca="false">IF(D895="","",IFERROR(IF(ISNUMBER(SEARCH(Assumptions!$C$5,D895)),Assumptions!$D$5,IF(ISNUMBER(SEARCH(Assumptions!$C$6,D895)),Assumptions!$D$6,IF(ISNUMBER(SEARCH(Assumptions!$C$7,D895)),Assumptions!$D$7,"Other Services"))),"Other Services"))</f>
        <v/>
      </c>
    </row>
    <row r="896" customFormat="false" ht="15" hidden="false" customHeight="false" outlineLevel="0" collapsed="false">
      <c r="F896" s="41" t="str">
        <f aca="false">IF(D896="","",IFERROR(IF(ISNUMBER(SEARCH(Assumptions!$C$5,D896)),Assumptions!$D$5,IF(ISNUMBER(SEARCH(Assumptions!$C$6,D896)),Assumptions!$D$6,IF(ISNUMBER(SEARCH(Assumptions!$C$7,D896)),Assumptions!$D$7,"Other Services"))),"Other Services"))</f>
        <v/>
      </c>
    </row>
    <row r="897" customFormat="false" ht="15" hidden="false" customHeight="false" outlineLevel="0" collapsed="false">
      <c r="F897" s="41" t="str">
        <f aca="false">IF(D897="","",IFERROR(IF(ISNUMBER(SEARCH(Assumptions!$C$5,D897)),Assumptions!$D$5,IF(ISNUMBER(SEARCH(Assumptions!$C$6,D897)),Assumptions!$D$6,IF(ISNUMBER(SEARCH(Assumptions!$C$7,D897)),Assumptions!$D$7,"Other Services"))),"Other Services"))</f>
        <v/>
      </c>
    </row>
    <row r="898" customFormat="false" ht="15" hidden="false" customHeight="false" outlineLevel="0" collapsed="false">
      <c r="F898" s="41" t="str">
        <f aca="false">IF(D898="","",IFERROR(IF(ISNUMBER(SEARCH(Assumptions!$C$5,D898)),Assumptions!$D$5,IF(ISNUMBER(SEARCH(Assumptions!$C$6,D898)),Assumptions!$D$6,IF(ISNUMBER(SEARCH(Assumptions!$C$7,D898)),Assumptions!$D$7,"Other Services"))),"Other Services"))</f>
        <v/>
      </c>
    </row>
    <row r="899" customFormat="false" ht="15" hidden="false" customHeight="false" outlineLevel="0" collapsed="false">
      <c r="F899" s="41" t="str">
        <f aca="false">IF(D899="","",IFERROR(IF(ISNUMBER(SEARCH(Assumptions!$C$5,D899)),Assumptions!$D$5,IF(ISNUMBER(SEARCH(Assumptions!$C$6,D899)),Assumptions!$D$6,IF(ISNUMBER(SEARCH(Assumptions!$C$7,D899)),Assumptions!$D$7,"Other Services"))),"Other Services"))</f>
        <v/>
      </c>
    </row>
    <row r="900" customFormat="false" ht="15" hidden="false" customHeight="false" outlineLevel="0" collapsed="false">
      <c r="F900" s="41" t="str">
        <f aca="false">IF(D900="","",IFERROR(IF(ISNUMBER(SEARCH(Assumptions!$C$5,D900)),Assumptions!$D$5,IF(ISNUMBER(SEARCH(Assumptions!$C$6,D900)),Assumptions!$D$6,IF(ISNUMBER(SEARCH(Assumptions!$C$7,D900)),Assumptions!$D$7,"Other Services"))),"Other Services"))</f>
        <v/>
      </c>
    </row>
    <row r="901" customFormat="false" ht="15" hidden="false" customHeight="false" outlineLevel="0" collapsed="false">
      <c r="F901" s="41" t="str">
        <f aca="false">IF(D901="","",IFERROR(IF(ISNUMBER(SEARCH(Assumptions!$C$5,D901)),Assumptions!$D$5,IF(ISNUMBER(SEARCH(Assumptions!$C$6,D901)),Assumptions!$D$6,IF(ISNUMBER(SEARCH(Assumptions!$C$7,D901)),Assumptions!$D$7,"Other Services"))),"Other Services"))</f>
        <v/>
      </c>
    </row>
    <row r="902" customFormat="false" ht="15" hidden="false" customHeight="false" outlineLevel="0" collapsed="false">
      <c r="F902" s="41" t="str">
        <f aca="false">IF(D902="","",IFERROR(IF(ISNUMBER(SEARCH(Assumptions!$C$5,D902)),Assumptions!$D$5,IF(ISNUMBER(SEARCH(Assumptions!$C$6,D902)),Assumptions!$D$6,IF(ISNUMBER(SEARCH(Assumptions!$C$7,D902)),Assumptions!$D$7,"Other Services"))),"Other Services"))</f>
        <v/>
      </c>
    </row>
    <row r="903" customFormat="false" ht="15" hidden="false" customHeight="false" outlineLevel="0" collapsed="false">
      <c r="F903" s="41" t="str">
        <f aca="false">IF(D903="","",IFERROR(IF(ISNUMBER(SEARCH(Assumptions!$C$5,D903)),Assumptions!$D$5,IF(ISNUMBER(SEARCH(Assumptions!$C$6,D903)),Assumptions!$D$6,IF(ISNUMBER(SEARCH(Assumptions!$C$7,D903)),Assumptions!$D$7,"Other Services"))),"Other Services"))</f>
        <v/>
      </c>
    </row>
    <row r="904" customFormat="false" ht="15" hidden="false" customHeight="false" outlineLevel="0" collapsed="false">
      <c r="F904" s="41" t="str">
        <f aca="false">IF(D904="","",IFERROR(IF(ISNUMBER(SEARCH(Assumptions!$C$5,D904)),Assumptions!$D$5,IF(ISNUMBER(SEARCH(Assumptions!$C$6,D904)),Assumptions!$D$6,IF(ISNUMBER(SEARCH(Assumptions!$C$7,D904)),Assumptions!$D$7,"Other Services"))),"Other Services"))</f>
        <v/>
      </c>
    </row>
    <row r="905" customFormat="false" ht="15" hidden="false" customHeight="false" outlineLevel="0" collapsed="false">
      <c r="F905" s="41" t="str">
        <f aca="false">IF(D905="","",IFERROR(IF(ISNUMBER(SEARCH(Assumptions!$C$5,D905)),Assumptions!$D$5,IF(ISNUMBER(SEARCH(Assumptions!$C$6,D905)),Assumptions!$D$6,IF(ISNUMBER(SEARCH(Assumptions!$C$7,D905)),Assumptions!$D$7,"Other Services"))),"Other Services"))</f>
        <v/>
      </c>
    </row>
    <row r="906" customFormat="false" ht="15" hidden="false" customHeight="false" outlineLevel="0" collapsed="false">
      <c r="F906" s="41" t="str">
        <f aca="false">IF(D906="","",IFERROR(IF(ISNUMBER(SEARCH(Assumptions!$C$5,D906)),Assumptions!$D$5,IF(ISNUMBER(SEARCH(Assumptions!$C$6,D906)),Assumptions!$D$6,IF(ISNUMBER(SEARCH(Assumptions!$C$7,D906)),Assumptions!$D$7,"Other Services"))),"Other Services"))</f>
        <v/>
      </c>
    </row>
    <row r="907" customFormat="false" ht="15" hidden="false" customHeight="false" outlineLevel="0" collapsed="false">
      <c r="F907" s="41" t="str">
        <f aca="false">IF(D907="","",IFERROR(IF(ISNUMBER(SEARCH(Assumptions!$C$5,D907)),Assumptions!$D$5,IF(ISNUMBER(SEARCH(Assumptions!$C$6,D907)),Assumptions!$D$6,IF(ISNUMBER(SEARCH(Assumptions!$C$7,D907)),Assumptions!$D$7,"Other Services"))),"Other Services"))</f>
        <v/>
      </c>
    </row>
    <row r="908" customFormat="false" ht="15" hidden="false" customHeight="false" outlineLevel="0" collapsed="false">
      <c r="F908" s="41" t="str">
        <f aca="false">IF(D908="","",IFERROR(IF(ISNUMBER(SEARCH(Assumptions!$C$5,D908)),Assumptions!$D$5,IF(ISNUMBER(SEARCH(Assumptions!$C$6,D908)),Assumptions!$D$6,IF(ISNUMBER(SEARCH(Assumptions!$C$7,D908)),Assumptions!$D$7,"Other Services"))),"Other Services"))</f>
        <v/>
      </c>
    </row>
    <row r="909" customFormat="false" ht="15" hidden="false" customHeight="false" outlineLevel="0" collapsed="false">
      <c r="F909" s="41" t="str">
        <f aca="false">IF(D909="","",IFERROR(IF(ISNUMBER(SEARCH(Assumptions!$C$5,D909)),Assumptions!$D$5,IF(ISNUMBER(SEARCH(Assumptions!$C$6,D909)),Assumptions!$D$6,IF(ISNUMBER(SEARCH(Assumptions!$C$7,D909)),Assumptions!$D$7,"Other Services"))),"Other Services"))</f>
        <v/>
      </c>
    </row>
    <row r="910" customFormat="false" ht="15" hidden="false" customHeight="false" outlineLevel="0" collapsed="false">
      <c r="F910" s="41" t="str">
        <f aca="false">IF(D910="","",IFERROR(IF(ISNUMBER(SEARCH(Assumptions!$C$5,D910)),Assumptions!$D$5,IF(ISNUMBER(SEARCH(Assumptions!$C$6,D910)),Assumptions!$D$6,IF(ISNUMBER(SEARCH(Assumptions!$C$7,D910)),Assumptions!$D$7,"Other Services"))),"Other Services"))</f>
        <v/>
      </c>
    </row>
    <row r="911" customFormat="false" ht="15" hidden="false" customHeight="false" outlineLevel="0" collapsed="false">
      <c r="F911" s="41" t="str">
        <f aca="false">IF(D911="","",IFERROR(IF(ISNUMBER(SEARCH(Assumptions!$C$5,D911)),Assumptions!$D$5,IF(ISNUMBER(SEARCH(Assumptions!$C$6,D911)),Assumptions!$D$6,IF(ISNUMBER(SEARCH(Assumptions!$C$7,D911)),Assumptions!$D$7,"Other Services"))),"Other Services"))</f>
        <v/>
      </c>
    </row>
    <row r="912" customFormat="false" ht="15" hidden="false" customHeight="false" outlineLevel="0" collapsed="false">
      <c r="F912" s="41" t="str">
        <f aca="false">IF(D912="","",IFERROR(IF(ISNUMBER(SEARCH(Assumptions!$C$5,D912)),Assumptions!$D$5,IF(ISNUMBER(SEARCH(Assumptions!$C$6,D912)),Assumptions!$D$6,IF(ISNUMBER(SEARCH(Assumptions!$C$7,D912)),Assumptions!$D$7,"Other Services"))),"Other Services"))</f>
        <v/>
      </c>
    </row>
    <row r="913" customFormat="false" ht="15" hidden="false" customHeight="false" outlineLevel="0" collapsed="false">
      <c r="F913" s="41" t="str">
        <f aca="false">IF(D913="","",IFERROR(IF(ISNUMBER(SEARCH(Assumptions!$C$5,D913)),Assumptions!$D$5,IF(ISNUMBER(SEARCH(Assumptions!$C$6,D913)),Assumptions!$D$6,IF(ISNUMBER(SEARCH(Assumptions!$C$7,D913)),Assumptions!$D$7,"Other Services"))),"Other Services"))</f>
        <v/>
      </c>
    </row>
    <row r="914" customFormat="false" ht="15" hidden="false" customHeight="false" outlineLevel="0" collapsed="false">
      <c r="F914" s="41" t="str">
        <f aca="false">IF(D914="","",IFERROR(IF(ISNUMBER(SEARCH(Assumptions!$C$5,D914)),Assumptions!$D$5,IF(ISNUMBER(SEARCH(Assumptions!$C$6,D914)),Assumptions!$D$6,IF(ISNUMBER(SEARCH(Assumptions!$C$7,D914)),Assumptions!$D$7,"Other Services"))),"Other Services"))</f>
        <v/>
      </c>
    </row>
    <row r="915" customFormat="false" ht="15" hidden="false" customHeight="false" outlineLevel="0" collapsed="false">
      <c r="F915" s="41" t="str">
        <f aca="false">IF(D915="","",IFERROR(IF(ISNUMBER(SEARCH(Assumptions!$C$5,D915)),Assumptions!$D$5,IF(ISNUMBER(SEARCH(Assumptions!$C$6,D915)),Assumptions!$D$6,IF(ISNUMBER(SEARCH(Assumptions!$C$7,D915)),Assumptions!$D$7,"Other Services"))),"Other Services"))</f>
        <v/>
      </c>
    </row>
    <row r="916" customFormat="false" ht="15" hidden="false" customHeight="false" outlineLevel="0" collapsed="false">
      <c r="F916" s="41" t="str">
        <f aca="false">IF(D916="","",IFERROR(IF(ISNUMBER(SEARCH(Assumptions!$C$5,D916)),Assumptions!$D$5,IF(ISNUMBER(SEARCH(Assumptions!$C$6,D916)),Assumptions!$D$6,IF(ISNUMBER(SEARCH(Assumptions!$C$7,D916)),Assumptions!$D$7,"Other Services"))),"Other Services"))</f>
        <v/>
      </c>
    </row>
    <row r="917" customFormat="false" ht="15" hidden="false" customHeight="false" outlineLevel="0" collapsed="false">
      <c r="F917" s="41" t="str">
        <f aca="false">IF(D917="","",IFERROR(IF(ISNUMBER(SEARCH(Assumptions!$C$5,D917)),Assumptions!$D$5,IF(ISNUMBER(SEARCH(Assumptions!$C$6,D917)),Assumptions!$D$6,IF(ISNUMBER(SEARCH(Assumptions!$C$7,D917)),Assumptions!$D$7,"Other Services"))),"Other Services"))</f>
        <v/>
      </c>
    </row>
    <row r="918" customFormat="false" ht="15" hidden="false" customHeight="false" outlineLevel="0" collapsed="false">
      <c r="F918" s="41" t="str">
        <f aca="false">IF(D918="","",IFERROR(IF(ISNUMBER(SEARCH(Assumptions!$C$5,D918)),Assumptions!$D$5,IF(ISNUMBER(SEARCH(Assumptions!$C$6,D918)),Assumptions!$D$6,IF(ISNUMBER(SEARCH(Assumptions!$C$7,D918)),Assumptions!$D$7,"Other Services"))),"Other Services"))</f>
        <v/>
      </c>
    </row>
    <row r="919" customFormat="false" ht="15" hidden="false" customHeight="false" outlineLevel="0" collapsed="false">
      <c r="F919" s="41" t="str">
        <f aca="false">IF(D919="","",IFERROR(IF(ISNUMBER(SEARCH(Assumptions!$C$5,D919)),Assumptions!$D$5,IF(ISNUMBER(SEARCH(Assumptions!$C$6,D919)),Assumptions!$D$6,IF(ISNUMBER(SEARCH(Assumptions!$C$7,D919)),Assumptions!$D$7,"Other Services"))),"Other Services"))</f>
        <v/>
      </c>
    </row>
    <row r="920" customFormat="false" ht="15" hidden="false" customHeight="false" outlineLevel="0" collapsed="false">
      <c r="F920" s="41" t="str">
        <f aca="false">IF(D920="","",IFERROR(IF(ISNUMBER(SEARCH(Assumptions!$C$5,D920)),Assumptions!$D$5,IF(ISNUMBER(SEARCH(Assumptions!$C$6,D920)),Assumptions!$D$6,IF(ISNUMBER(SEARCH(Assumptions!$C$7,D920)),Assumptions!$D$7,"Other Services"))),"Other Services"))</f>
        <v/>
      </c>
    </row>
    <row r="921" customFormat="false" ht="15" hidden="false" customHeight="false" outlineLevel="0" collapsed="false">
      <c r="F921" s="41" t="str">
        <f aca="false">IF(D921="","",IFERROR(IF(ISNUMBER(SEARCH(Assumptions!$C$5,D921)),Assumptions!$D$5,IF(ISNUMBER(SEARCH(Assumptions!$C$6,D921)),Assumptions!$D$6,IF(ISNUMBER(SEARCH(Assumptions!$C$7,D921)),Assumptions!$D$7,"Other Services"))),"Other Services"))</f>
        <v/>
      </c>
    </row>
    <row r="922" customFormat="false" ht="15" hidden="false" customHeight="false" outlineLevel="0" collapsed="false">
      <c r="F922" s="41" t="str">
        <f aca="false">IF(D922="","",IFERROR(IF(ISNUMBER(SEARCH(Assumptions!$C$5,D922)),Assumptions!$D$5,IF(ISNUMBER(SEARCH(Assumptions!$C$6,D922)),Assumptions!$D$6,IF(ISNUMBER(SEARCH(Assumptions!$C$7,D922)),Assumptions!$D$7,"Other Services"))),"Other Services"))</f>
        <v/>
      </c>
    </row>
    <row r="923" customFormat="false" ht="15" hidden="false" customHeight="false" outlineLevel="0" collapsed="false">
      <c r="F923" s="41" t="str">
        <f aca="false">IF(D923="","",IFERROR(IF(ISNUMBER(SEARCH(Assumptions!$C$5,D923)),Assumptions!$D$5,IF(ISNUMBER(SEARCH(Assumptions!$C$6,D923)),Assumptions!$D$6,IF(ISNUMBER(SEARCH(Assumptions!$C$7,D923)),Assumptions!$D$7,"Other Services"))),"Other Services"))</f>
        <v/>
      </c>
    </row>
    <row r="924" customFormat="false" ht="15" hidden="false" customHeight="false" outlineLevel="0" collapsed="false">
      <c r="F924" s="41" t="str">
        <f aca="false">IF(D924="","",IFERROR(IF(ISNUMBER(SEARCH(Assumptions!$C$5,D924)),Assumptions!$D$5,IF(ISNUMBER(SEARCH(Assumptions!$C$6,D924)),Assumptions!$D$6,IF(ISNUMBER(SEARCH(Assumptions!$C$7,D924)),Assumptions!$D$7,"Other Services"))),"Other Services"))</f>
        <v/>
      </c>
    </row>
    <row r="925" customFormat="false" ht="15" hidden="false" customHeight="false" outlineLevel="0" collapsed="false">
      <c r="F925" s="41" t="str">
        <f aca="false">IF(D925="","",IFERROR(IF(ISNUMBER(SEARCH(Assumptions!$C$5,D925)),Assumptions!$D$5,IF(ISNUMBER(SEARCH(Assumptions!$C$6,D925)),Assumptions!$D$6,IF(ISNUMBER(SEARCH(Assumptions!$C$7,D925)),Assumptions!$D$7,"Other Services"))),"Other Services"))</f>
        <v/>
      </c>
    </row>
    <row r="926" customFormat="false" ht="15" hidden="false" customHeight="false" outlineLevel="0" collapsed="false">
      <c r="F926" s="41" t="str">
        <f aca="false">IF(D926="","",IFERROR(IF(ISNUMBER(SEARCH(Assumptions!$C$5,D926)),Assumptions!$D$5,IF(ISNUMBER(SEARCH(Assumptions!$C$6,D926)),Assumptions!$D$6,IF(ISNUMBER(SEARCH(Assumptions!$C$7,D926)),Assumptions!$D$7,"Other Services"))),"Other Services"))</f>
        <v/>
      </c>
    </row>
    <row r="927" customFormat="false" ht="15" hidden="false" customHeight="false" outlineLevel="0" collapsed="false">
      <c r="F927" s="41" t="str">
        <f aca="false">IF(D927="","",IFERROR(IF(ISNUMBER(SEARCH(Assumptions!$C$5,D927)),Assumptions!$D$5,IF(ISNUMBER(SEARCH(Assumptions!$C$6,D927)),Assumptions!$D$6,IF(ISNUMBER(SEARCH(Assumptions!$C$7,D927)),Assumptions!$D$7,"Other Services"))),"Other Services"))</f>
        <v/>
      </c>
    </row>
    <row r="928" customFormat="false" ht="15" hidden="false" customHeight="false" outlineLevel="0" collapsed="false">
      <c r="F928" s="41" t="str">
        <f aca="false">IF(D928="","",IFERROR(IF(ISNUMBER(SEARCH(Assumptions!$C$5,D928)),Assumptions!$D$5,IF(ISNUMBER(SEARCH(Assumptions!$C$6,D928)),Assumptions!$D$6,IF(ISNUMBER(SEARCH(Assumptions!$C$7,D928)),Assumptions!$D$7,"Other Services"))),"Other Services"))</f>
        <v/>
      </c>
    </row>
    <row r="929" customFormat="false" ht="15" hidden="false" customHeight="false" outlineLevel="0" collapsed="false">
      <c r="F929" s="41" t="str">
        <f aca="false">IF(D929="","",IFERROR(IF(ISNUMBER(SEARCH(Assumptions!$C$5,D929)),Assumptions!$D$5,IF(ISNUMBER(SEARCH(Assumptions!$C$6,D929)),Assumptions!$D$6,IF(ISNUMBER(SEARCH(Assumptions!$C$7,D929)),Assumptions!$D$7,"Other Services"))),"Other Services"))</f>
        <v/>
      </c>
    </row>
    <row r="930" customFormat="false" ht="15" hidden="false" customHeight="false" outlineLevel="0" collapsed="false">
      <c r="F930" s="41" t="str">
        <f aca="false">IF(D930="","",IFERROR(IF(ISNUMBER(SEARCH(Assumptions!$C$5,D930)),Assumptions!$D$5,IF(ISNUMBER(SEARCH(Assumptions!$C$6,D930)),Assumptions!$D$6,IF(ISNUMBER(SEARCH(Assumptions!$C$7,D930)),Assumptions!$D$7,"Other Services"))),"Other Services"))</f>
        <v/>
      </c>
    </row>
    <row r="931" customFormat="false" ht="15" hidden="false" customHeight="false" outlineLevel="0" collapsed="false">
      <c r="F931" s="41" t="str">
        <f aca="false">IF(D931="","",IFERROR(IF(ISNUMBER(SEARCH(Assumptions!$C$5,D931)),Assumptions!$D$5,IF(ISNUMBER(SEARCH(Assumptions!$C$6,D931)),Assumptions!$D$6,IF(ISNUMBER(SEARCH(Assumptions!$C$7,D931)),Assumptions!$D$7,"Other Services"))),"Other Services"))</f>
        <v/>
      </c>
    </row>
    <row r="932" customFormat="false" ht="15" hidden="false" customHeight="false" outlineLevel="0" collapsed="false">
      <c r="F932" s="41" t="str">
        <f aca="false">IF(D932="","",IFERROR(IF(ISNUMBER(SEARCH(Assumptions!$C$5,D932)),Assumptions!$D$5,IF(ISNUMBER(SEARCH(Assumptions!$C$6,D932)),Assumptions!$D$6,IF(ISNUMBER(SEARCH(Assumptions!$C$7,D932)),Assumptions!$D$7,"Other Services"))),"Other Services"))</f>
        <v/>
      </c>
    </row>
    <row r="933" customFormat="false" ht="15" hidden="false" customHeight="false" outlineLevel="0" collapsed="false">
      <c r="F933" s="41" t="str">
        <f aca="false">IF(D933="","",IFERROR(IF(ISNUMBER(SEARCH(Assumptions!$C$5,D933)),Assumptions!$D$5,IF(ISNUMBER(SEARCH(Assumptions!$C$6,D933)),Assumptions!$D$6,IF(ISNUMBER(SEARCH(Assumptions!$C$7,D933)),Assumptions!$D$7,"Other Services"))),"Other Services"))</f>
        <v/>
      </c>
    </row>
    <row r="934" customFormat="false" ht="15" hidden="false" customHeight="false" outlineLevel="0" collapsed="false">
      <c r="F934" s="41" t="str">
        <f aca="false">IF(D934="","",IFERROR(IF(ISNUMBER(SEARCH(Assumptions!$C$5,D934)),Assumptions!$D$5,IF(ISNUMBER(SEARCH(Assumptions!$C$6,D934)),Assumptions!$D$6,IF(ISNUMBER(SEARCH(Assumptions!$C$7,D934)),Assumptions!$D$7,"Other Services"))),"Other Services"))</f>
        <v/>
      </c>
    </row>
    <row r="935" customFormat="false" ht="15" hidden="false" customHeight="false" outlineLevel="0" collapsed="false">
      <c r="F935" s="41" t="str">
        <f aca="false">IF(D935="","",IFERROR(IF(ISNUMBER(SEARCH(Assumptions!$C$5,D935)),Assumptions!$D$5,IF(ISNUMBER(SEARCH(Assumptions!$C$6,D935)),Assumptions!$D$6,IF(ISNUMBER(SEARCH(Assumptions!$C$7,D935)),Assumptions!$D$7,"Other Services"))),"Other Services"))</f>
        <v/>
      </c>
    </row>
    <row r="936" customFormat="false" ht="15" hidden="false" customHeight="false" outlineLevel="0" collapsed="false">
      <c r="F936" s="41" t="str">
        <f aca="false">IF(D936="","",IFERROR(IF(ISNUMBER(SEARCH(Assumptions!$C$5,D936)),Assumptions!$D$5,IF(ISNUMBER(SEARCH(Assumptions!$C$6,D936)),Assumptions!$D$6,IF(ISNUMBER(SEARCH(Assumptions!$C$7,D936)),Assumptions!$D$7,"Other Services"))),"Other Services"))</f>
        <v/>
      </c>
    </row>
    <row r="937" customFormat="false" ht="15" hidden="false" customHeight="false" outlineLevel="0" collapsed="false">
      <c r="F937" s="41" t="str">
        <f aca="false">IF(D937="","",IFERROR(IF(ISNUMBER(SEARCH(Assumptions!$C$5,D937)),Assumptions!$D$5,IF(ISNUMBER(SEARCH(Assumptions!$C$6,D937)),Assumptions!$D$6,IF(ISNUMBER(SEARCH(Assumptions!$C$7,D937)),Assumptions!$D$7,"Other Services"))),"Other Services"))</f>
        <v/>
      </c>
    </row>
    <row r="938" customFormat="false" ht="15" hidden="false" customHeight="false" outlineLevel="0" collapsed="false">
      <c r="F938" s="41" t="str">
        <f aca="false">IF(D938="","",IFERROR(IF(ISNUMBER(SEARCH(Assumptions!$C$5,D938)),Assumptions!$D$5,IF(ISNUMBER(SEARCH(Assumptions!$C$6,D938)),Assumptions!$D$6,IF(ISNUMBER(SEARCH(Assumptions!$C$7,D938)),Assumptions!$D$7,"Other Services"))),"Other Services"))</f>
        <v/>
      </c>
    </row>
    <row r="939" customFormat="false" ht="15" hidden="false" customHeight="false" outlineLevel="0" collapsed="false">
      <c r="F939" s="41" t="str">
        <f aca="false">IF(D939="","",IFERROR(IF(ISNUMBER(SEARCH(Assumptions!$C$5,D939)),Assumptions!$D$5,IF(ISNUMBER(SEARCH(Assumptions!$C$6,D939)),Assumptions!$D$6,IF(ISNUMBER(SEARCH(Assumptions!$C$7,D939)),Assumptions!$D$7,"Other Services"))),"Other Services"))</f>
        <v/>
      </c>
    </row>
    <row r="940" customFormat="false" ht="15" hidden="false" customHeight="false" outlineLevel="0" collapsed="false">
      <c r="F940" s="41" t="str">
        <f aca="false">IF(D940="","",IFERROR(IF(ISNUMBER(SEARCH(Assumptions!$C$5,D940)),Assumptions!$D$5,IF(ISNUMBER(SEARCH(Assumptions!$C$6,D940)),Assumptions!$D$6,IF(ISNUMBER(SEARCH(Assumptions!$C$7,D940)),Assumptions!$D$7,"Other Services"))),"Other Services"))</f>
        <v/>
      </c>
    </row>
    <row r="941" customFormat="false" ht="15" hidden="false" customHeight="false" outlineLevel="0" collapsed="false">
      <c r="F941" s="41" t="str">
        <f aca="false">IF(D941="","",IFERROR(IF(ISNUMBER(SEARCH(Assumptions!$C$5,D941)),Assumptions!$D$5,IF(ISNUMBER(SEARCH(Assumptions!$C$6,D941)),Assumptions!$D$6,IF(ISNUMBER(SEARCH(Assumptions!$C$7,D941)),Assumptions!$D$7,"Other Services"))),"Other Services"))</f>
        <v/>
      </c>
    </row>
    <row r="942" customFormat="false" ht="15" hidden="false" customHeight="false" outlineLevel="0" collapsed="false">
      <c r="F942" s="41" t="str">
        <f aca="false">IF(D942="","",IFERROR(IF(ISNUMBER(SEARCH(Assumptions!$C$5,D942)),Assumptions!$D$5,IF(ISNUMBER(SEARCH(Assumptions!$C$6,D942)),Assumptions!$D$6,IF(ISNUMBER(SEARCH(Assumptions!$C$7,D942)),Assumptions!$D$7,"Other Services"))),"Other Services"))</f>
        <v/>
      </c>
    </row>
    <row r="943" customFormat="false" ht="15" hidden="false" customHeight="false" outlineLevel="0" collapsed="false">
      <c r="F943" s="41" t="str">
        <f aca="false">IF(D943="","",IFERROR(IF(ISNUMBER(SEARCH(Assumptions!$C$5,D943)),Assumptions!$D$5,IF(ISNUMBER(SEARCH(Assumptions!$C$6,D943)),Assumptions!$D$6,IF(ISNUMBER(SEARCH(Assumptions!$C$7,D943)),Assumptions!$D$7,"Other Services"))),"Other Services"))</f>
        <v/>
      </c>
    </row>
    <row r="944" customFormat="false" ht="15" hidden="false" customHeight="false" outlineLevel="0" collapsed="false">
      <c r="F944" s="41" t="str">
        <f aca="false">IF(D944="","",IFERROR(IF(ISNUMBER(SEARCH(Assumptions!$C$5,D944)),Assumptions!$D$5,IF(ISNUMBER(SEARCH(Assumptions!$C$6,D944)),Assumptions!$D$6,IF(ISNUMBER(SEARCH(Assumptions!$C$7,D944)),Assumptions!$D$7,"Other Services"))),"Other Services"))</f>
        <v/>
      </c>
    </row>
    <row r="945" customFormat="false" ht="15" hidden="false" customHeight="false" outlineLevel="0" collapsed="false">
      <c r="F945" s="41" t="str">
        <f aca="false">IF(D945="","",IFERROR(IF(ISNUMBER(SEARCH(Assumptions!$C$5,D945)),Assumptions!$D$5,IF(ISNUMBER(SEARCH(Assumptions!$C$6,D945)),Assumptions!$D$6,IF(ISNUMBER(SEARCH(Assumptions!$C$7,D945)),Assumptions!$D$7,"Other Services"))),"Other Services"))</f>
        <v/>
      </c>
    </row>
    <row r="946" customFormat="false" ht="15" hidden="false" customHeight="false" outlineLevel="0" collapsed="false">
      <c r="F946" s="41" t="str">
        <f aca="false">IF(D946="","",IFERROR(IF(ISNUMBER(SEARCH(Assumptions!$C$5,D946)),Assumptions!$D$5,IF(ISNUMBER(SEARCH(Assumptions!$C$6,D946)),Assumptions!$D$6,IF(ISNUMBER(SEARCH(Assumptions!$C$7,D946)),Assumptions!$D$7,"Other Services"))),"Other Services"))</f>
        <v/>
      </c>
    </row>
    <row r="947" customFormat="false" ht="15" hidden="false" customHeight="false" outlineLevel="0" collapsed="false">
      <c r="F947" s="41" t="str">
        <f aca="false">IF(D947="","",IFERROR(IF(ISNUMBER(SEARCH(Assumptions!$C$5,D947)),Assumptions!$D$5,IF(ISNUMBER(SEARCH(Assumptions!$C$6,D947)),Assumptions!$D$6,IF(ISNUMBER(SEARCH(Assumptions!$C$7,D947)),Assumptions!$D$7,"Other Services"))),"Other Services"))</f>
        <v/>
      </c>
    </row>
    <row r="948" customFormat="false" ht="15" hidden="false" customHeight="false" outlineLevel="0" collapsed="false">
      <c r="F948" s="41" t="str">
        <f aca="false">IF(D948="","",IFERROR(IF(ISNUMBER(SEARCH(Assumptions!$C$5,D948)),Assumptions!$D$5,IF(ISNUMBER(SEARCH(Assumptions!$C$6,D948)),Assumptions!$D$6,IF(ISNUMBER(SEARCH(Assumptions!$C$7,D948)),Assumptions!$D$7,"Other Services"))),"Other Services"))</f>
        <v/>
      </c>
    </row>
    <row r="949" customFormat="false" ht="15" hidden="false" customHeight="false" outlineLevel="0" collapsed="false">
      <c r="F949" s="41" t="str">
        <f aca="false">IF(D949="","",IFERROR(IF(ISNUMBER(SEARCH(Assumptions!$C$5,D949)),Assumptions!$D$5,IF(ISNUMBER(SEARCH(Assumptions!$C$6,D949)),Assumptions!$D$6,IF(ISNUMBER(SEARCH(Assumptions!$C$7,D949)),Assumptions!$D$7,"Other Services"))),"Other Services"))</f>
        <v/>
      </c>
    </row>
    <row r="950" customFormat="false" ht="15" hidden="false" customHeight="false" outlineLevel="0" collapsed="false">
      <c r="F950" s="41" t="str">
        <f aca="false">IF(D950="","",IFERROR(IF(ISNUMBER(SEARCH(Assumptions!$C$5,D950)),Assumptions!$D$5,IF(ISNUMBER(SEARCH(Assumptions!$C$6,D950)),Assumptions!$D$6,IF(ISNUMBER(SEARCH(Assumptions!$C$7,D950)),Assumptions!$D$7,"Other Services"))),"Other Services"))</f>
        <v/>
      </c>
    </row>
    <row r="951" customFormat="false" ht="15" hidden="false" customHeight="false" outlineLevel="0" collapsed="false">
      <c r="F951" s="41" t="str">
        <f aca="false">IF(D951="","",IFERROR(IF(ISNUMBER(SEARCH(Assumptions!$C$5,D951)),Assumptions!$D$5,IF(ISNUMBER(SEARCH(Assumptions!$C$6,D951)),Assumptions!$D$6,IF(ISNUMBER(SEARCH(Assumptions!$C$7,D951)),Assumptions!$D$7,"Other Services"))),"Other Services"))</f>
        <v/>
      </c>
    </row>
    <row r="952" customFormat="false" ht="15" hidden="false" customHeight="false" outlineLevel="0" collapsed="false">
      <c r="F952" s="41" t="str">
        <f aca="false">IF(D952="","",IFERROR(IF(ISNUMBER(SEARCH(Assumptions!$C$5,D952)),Assumptions!$D$5,IF(ISNUMBER(SEARCH(Assumptions!$C$6,D952)),Assumptions!$D$6,IF(ISNUMBER(SEARCH(Assumptions!$C$7,D952)),Assumptions!$D$7,"Other Services"))),"Other Services"))</f>
        <v/>
      </c>
    </row>
    <row r="953" customFormat="false" ht="15" hidden="false" customHeight="false" outlineLevel="0" collapsed="false">
      <c r="F953" s="41" t="str">
        <f aca="false">IF(D953="","",IFERROR(IF(ISNUMBER(SEARCH(Assumptions!$C$5,D953)),Assumptions!$D$5,IF(ISNUMBER(SEARCH(Assumptions!$C$6,D953)),Assumptions!$D$6,IF(ISNUMBER(SEARCH(Assumptions!$C$7,D953)),Assumptions!$D$7,"Other Services"))),"Other Services"))</f>
        <v/>
      </c>
    </row>
    <row r="954" customFormat="false" ht="15" hidden="false" customHeight="false" outlineLevel="0" collapsed="false">
      <c r="F954" s="41" t="str">
        <f aca="false">IF(D954="","",IFERROR(IF(ISNUMBER(SEARCH(Assumptions!$C$5,D954)),Assumptions!$D$5,IF(ISNUMBER(SEARCH(Assumptions!$C$6,D954)),Assumptions!$D$6,IF(ISNUMBER(SEARCH(Assumptions!$C$7,D954)),Assumptions!$D$7,"Other Services"))),"Other Services"))</f>
        <v/>
      </c>
    </row>
    <row r="955" customFormat="false" ht="15" hidden="false" customHeight="false" outlineLevel="0" collapsed="false">
      <c r="F955" s="41" t="str">
        <f aca="false">IF(D955="","",IFERROR(IF(ISNUMBER(SEARCH(Assumptions!$C$5,D955)),Assumptions!$D$5,IF(ISNUMBER(SEARCH(Assumptions!$C$6,D955)),Assumptions!$D$6,IF(ISNUMBER(SEARCH(Assumptions!$C$7,D955)),Assumptions!$D$7,"Other Services"))),"Other Services"))</f>
        <v/>
      </c>
    </row>
    <row r="956" customFormat="false" ht="15" hidden="false" customHeight="false" outlineLevel="0" collapsed="false">
      <c r="F956" s="41" t="str">
        <f aca="false">IF(D956="","",IFERROR(IF(ISNUMBER(SEARCH(Assumptions!$C$5,D956)),Assumptions!$D$5,IF(ISNUMBER(SEARCH(Assumptions!$C$6,D956)),Assumptions!$D$6,IF(ISNUMBER(SEARCH(Assumptions!$C$7,D956)),Assumptions!$D$7,"Other Services"))),"Other Services"))</f>
        <v/>
      </c>
    </row>
    <row r="957" customFormat="false" ht="15" hidden="false" customHeight="false" outlineLevel="0" collapsed="false">
      <c r="F957" s="41" t="str">
        <f aca="false">IF(D957="","",IFERROR(IF(ISNUMBER(SEARCH(Assumptions!$C$5,D957)),Assumptions!$D$5,IF(ISNUMBER(SEARCH(Assumptions!$C$6,D957)),Assumptions!$D$6,IF(ISNUMBER(SEARCH(Assumptions!$C$7,D957)),Assumptions!$D$7,"Other Services"))),"Other Services"))</f>
        <v/>
      </c>
    </row>
    <row r="958" customFormat="false" ht="15" hidden="false" customHeight="false" outlineLevel="0" collapsed="false">
      <c r="F958" s="41" t="str">
        <f aca="false">IF(D958="","",IFERROR(IF(ISNUMBER(SEARCH(Assumptions!$C$5,D958)),Assumptions!$D$5,IF(ISNUMBER(SEARCH(Assumptions!$C$6,D958)),Assumptions!$D$6,IF(ISNUMBER(SEARCH(Assumptions!$C$7,D958)),Assumptions!$D$7,"Other Services"))),"Other Services"))</f>
        <v/>
      </c>
    </row>
    <row r="959" customFormat="false" ht="15" hidden="false" customHeight="false" outlineLevel="0" collapsed="false">
      <c r="F959" s="41" t="str">
        <f aca="false">IF(D959="","",IFERROR(IF(ISNUMBER(SEARCH(Assumptions!$C$5,D959)),Assumptions!$D$5,IF(ISNUMBER(SEARCH(Assumptions!$C$6,D959)),Assumptions!$D$6,IF(ISNUMBER(SEARCH(Assumptions!$C$7,D959)),Assumptions!$D$7,"Other Services"))),"Other Services"))</f>
        <v/>
      </c>
    </row>
    <row r="960" customFormat="false" ht="15" hidden="false" customHeight="false" outlineLevel="0" collapsed="false">
      <c r="F960" s="41" t="str">
        <f aca="false">IF(D960="","",IFERROR(IF(ISNUMBER(SEARCH(Assumptions!$C$5,D960)),Assumptions!$D$5,IF(ISNUMBER(SEARCH(Assumptions!$C$6,D960)),Assumptions!$D$6,IF(ISNUMBER(SEARCH(Assumptions!$C$7,D960)),Assumptions!$D$7,"Other Services"))),"Other Services"))</f>
        <v/>
      </c>
    </row>
    <row r="961" customFormat="false" ht="15" hidden="false" customHeight="false" outlineLevel="0" collapsed="false">
      <c r="F961" s="41" t="str">
        <f aca="false">IF(D961="","",IFERROR(IF(ISNUMBER(SEARCH(Assumptions!$C$5,D961)),Assumptions!$D$5,IF(ISNUMBER(SEARCH(Assumptions!$C$6,D961)),Assumptions!$D$6,IF(ISNUMBER(SEARCH(Assumptions!$C$7,D961)),Assumptions!$D$7,"Other Services"))),"Other Services"))</f>
        <v/>
      </c>
    </row>
    <row r="962" customFormat="false" ht="15" hidden="false" customHeight="false" outlineLevel="0" collapsed="false">
      <c r="F962" s="41" t="str">
        <f aca="false">IF(D962="","",IFERROR(IF(ISNUMBER(SEARCH(Assumptions!$C$5,D962)),Assumptions!$D$5,IF(ISNUMBER(SEARCH(Assumptions!$C$6,D962)),Assumptions!$D$6,IF(ISNUMBER(SEARCH(Assumptions!$C$7,D962)),Assumptions!$D$7,"Other Services"))),"Other Services"))</f>
        <v/>
      </c>
    </row>
    <row r="963" customFormat="false" ht="15" hidden="false" customHeight="false" outlineLevel="0" collapsed="false">
      <c r="F963" s="41" t="str">
        <f aca="false">IF(D963="","",IFERROR(IF(ISNUMBER(SEARCH(Assumptions!$C$5,D963)),Assumptions!$D$5,IF(ISNUMBER(SEARCH(Assumptions!$C$6,D963)),Assumptions!$D$6,IF(ISNUMBER(SEARCH(Assumptions!$C$7,D963)),Assumptions!$D$7,"Other Services"))),"Other Services"))</f>
        <v/>
      </c>
    </row>
    <row r="964" customFormat="false" ht="15" hidden="false" customHeight="false" outlineLevel="0" collapsed="false">
      <c r="F964" s="41" t="str">
        <f aca="false">IF(D964="","",IFERROR(IF(ISNUMBER(SEARCH(Assumptions!$C$5,D964)),Assumptions!$D$5,IF(ISNUMBER(SEARCH(Assumptions!$C$6,D964)),Assumptions!$D$6,IF(ISNUMBER(SEARCH(Assumptions!$C$7,D964)),Assumptions!$D$7,"Other Services"))),"Other Services"))</f>
        <v/>
      </c>
    </row>
    <row r="965" customFormat="false" ht="15" hidden="false" customHeight="false" outlineLevel="0" collapsed="false">
      <c r="F965" s="41" t="str">
        <f aca="false">IF(D965="","",IFERROR(IF(ISNUMBER(SEARCH(Assumptions!$C$5,D965)),Assumptions!$D$5,IF(ISNUMBER(SEARCH(Assumptions!$C$6,D965)),Assumptions!$D$6,IF(ISNUMBER(SEARCH(Assumptions!$C$7,D965)),Assumptions!$D$7,"Other Services"))),"Other Services"))</f>
        <v/>
      </c>
    </row>
    <row r="966" customFormat="false" ht="15" hidden="false" customHeight="false" outlineLevel="0" collapsed="false">
      <c r="F966" s="41" t="str">
        <f aca="false">IF(D966="","",IFERROR(IF(ISNUMBER(SEARCH(Assumptions!$C$5,D966)),Assumptions!$D$5,IF(ISNUMBER(SEARCH(Assumptions!$C$6,D966)),Assumptions!$D$6,IF(ISNUMBER(SEARCH(Assumptions!$C$7,D966)),Assumptions!$D$7,"Other Services"))),"Other Services"))</f>
        <v/>
      </c>
    </row>
    <row r="967" customFormat="false" ht="15" hidden="false" customHeight="false" outlineLevel="0" collapsed="false">
      <c r="F967" s="41" t="str">
        <f aca="false">IF(D967="","",IFERROR(IF(ISNUMBER(SEARCH(Assumptions!$C$5,D967)),Assumptions!$D$5,IF(ISNUMBER(SEARCH(Assumptions!$C$6,D967)),Assumptions!$D$6,IF(ISNUMBER(SEARCH(Assumptions!$C$7,D967)),Assumptions!$D$7,"Other Services"))),"Other Services"))</f>
        <v/>
      </c>
    </row>
    <row r="968" customFormat="false" ht="15" hidden="false" customHeight="false" outlineLevel="0" collapsed="false">
      <c r="F968" s="41" t="str">
        <f aca="false">IF(D968="","",IFERROR(IF(ISNUMBER(SEARCH(Assumptions!$C$5,D968)),Assumptions!$D$5,IF(ISNUMBER(SEARCH(Assumptions!$C$6,D968)),Assumptions!$D$6,IF(ISNUMBER(SEARCH(Assumptions!$C$7,D968)),Assumptions!$D$7,"Other Services"))),"Other Services"))</f>
        <v/>
      </c>
    </row>
    <row r="969" customFormat="false" ht="15" hidden="false" customHeight="false" outlineLevel="0" collapsed="false">
      <c r="F969" s="41" t="str">
        <f aca="false">IF(D969="","",IFERROR(IF(ISNUMBER(SEARCH(Assumptions!$C$5,D969)),Assumptions!$D$5,IF(ISNUMBER(SEARCH(Assumptions!$C$6,D969)),Assumptions!$D$6,IF(ISNUMBER(SEARCH(Assumptions!$C$7,D969)),Assumptions!$D$7,"Other Services"))),"Other Services"))</f>
        <v/>
      </c>
    </row>
    <row r="970" customFormat="false" ht="15" hidden="false" customHeight="false" outlineLevel="0" collapsed="false">
      <c r="F970" s="41" t="str">
        <f aca="false">IF(D970="","",IFERROR(IF(ISNUMBER(SEARCH(Assumptions!$C$5,D970)),Assumptions!$D$5,IF(ISNUMBER(SEARCH(Assumptions!$C$6,D970)),Assumptions!$D$6,IF(ISNUMBER(SEARCH(Assumptions!$C$7,D970)),Assumptions!$D$7,"Other Services"))),"Other Services"))</f>
        <v/>
      </c>
    </row>
    <row r="971" customFormat="false" ht="15" hidden="false" customHeight="false" outlineLevel="0" collapsed="false">
      <c r="F971" s="41" t="str">
        <f aca="false">IF(D971="","",IFERROR(IF(ISNUMBER(SEARCH(Assumptions!$C$5,D971)),Assumptions!$D$5,IF(ISNUMBER(SEARCH(Assumptions!$C$6,D971)),Assumptions!$D$6,IF(ISNUMBER(SEARCH(Assumptions!$C$7,D971)),Assumptions!$D$7,"Other Services"))),"Other Services"))</f>
        <v/>
      </c>
    </row>
    <row r="972" customFormat="false" ht="15" hidden="false" customHeight="false" outlineLevel="0" collapsed="false">
      <c r="F972" s="41" t="str">
        <f aca="false">IF(D972="","",IFERROR(IF(ISNUMBER(SEARCH(Assumptions!$C$5,D972)),Assumptions!$D$5,IF(ISNUMBER(SEARCH(Assumptions!$C$6,D972)),Assumptions!$D$6,IF(ISNUMBER(SEARCH(Assumptions!$C$7,D972)),Assumptions!$D$7,"Other Services"))),"Other Services"))</f>
        <v/>
      </c>
    </row>
    <row r="973" customFormat="false" ht="15" hidden="false" customHeight="false" outlineLevel="0" collapsed="false">
      <c r="F973" s="41" t="str">
        <f aca="false">IF(D973="","",IFERROR(IF(ISNUMBER(SEARCH(Assumptions!$C$5,D973)),Assumptions!$D$5,IF(ISNUMBER(SEARCH(Assumptions!$C$6,D973)),Assumptions!$D$6,IF(ISNUMBER(SEARCH(Assumptions!$C$7,D973)),Assumptions!$D$7,"Other Services"))),"Other Services"))</f>
        <v/>
      </c>
    </row>
    <row r="974" customFormat="false" ht="15" hidden="false" customHeight="false" outlineLevel="0" collapsed="false">
      <c r="F974" s="41" t="str">
        <f aca="false">IF(D974="","",IFERROR(IF(ISNUMBER(SEARCH(Assumptions!$C$5,D974)),Assumptions!$D$5,IF(ISNUMBER(SEARCH(Assumptions!$C$6,D974)),Assumptions!$D$6,IF(ISNUMBER(SEARCH(Assumptions!$C$7,D974)),Assumptions!$D$7,"Other Services"))),"Other Services"))</f>
        <v/>
      </c>
    </row>
    <row r="975" customFormat="false" ht="15" hidden="false" customHeight="false" outlineLevel="0" collapsed="false">
      <c r="F975" s="41" t="str">
        <f aca="false">IF(D975="","",IFERROR(IF(ISNUMBER(SEARCH(Assumptions!$C$5,D975)),Assumptions!$D$5,IF(ISNUMBER(SEARCH(Assumptions!$C$6,D975)),Assumptions!$D$6,IF(ISNUMBER(SEARCH(Assumptions!$C$7,D975)),Assumptions!$D$7,"Other Services"))),"Other Services"))</f>
        <v/>
      </c>
    </row>
    <row r="976" customFormat="false" ht="15" hidden="false" customHeight="false" outlineLevel="0" collapsed="false">
      <c r="F976" s="41" t="str">
        <f aca="false">IF(D976="","",IFERROR(IF(ISNUMBER(SEARCH(Assumptions!$C$5,D976)),Assumptions!$D$5,IF(ISNUMBER(SEARCH(Assumptions!$C$6,D976)),Assumptions!$D$6,IF(ISNUMBER(SEARCH(Assumptions!$C$7,D976)),Assumptions!$D$7,"Other Services"))),"Other Services"))</f>
        <v/>
      </c>
    </row>
    <row r="977" customFormat="false" ht="15" hidden="false" customHeight="false" outlineLevel="0" collapsed="false">
      <c r="F977" s="41" t="str">
        <f aca="false">IF(D977="","",IFERROR(IF(ISNUMBER(SEARCH(Assumptions!$C$5,D977)),Assumptions!$D$5,IF(ISNUMBER(SEARCH(Assumptions!$C$6,D977)),Assumptions!$D$6,IF(ISNUMBER(SEARCH(Assumptions!$C$7,D977)),Assumptions!$D$7,"Other Services"))),"Other Services"))</f>
        <v/>
      </c>
    </row>
    <row r="978" customFormat="false" ht="15" hidden="false" customHeight="false" outlineLevel="0" collapsed="false">
      <c r="F978" s="41" t="str">
        <f aca="false">IF(D978="","",IFERROR(IF(ISNUMBER(SEARCH(Assumptions!$C$5,D978)),Assumptions!$D$5,IF(ISNUMBER(SEARCH(Assumptions!$C$6,D978)),Assumptions!$D$6,IF(ISNUMBER(SEARCH(Assumptions!$C$7,D978)),Assumptions!$D$7,"Other Services"))),"Other Services"))</f>
        <v/>
      </c>
    </row>
    <row r="979" customFormat="false" ht="15" hidden="false" customHeight="false" outlineLevel="0" collapsed="false">
      <c r="F979" s="41" t="str">
        <f aca="false">IF(D979="","",IFERROR(IF(ISNUMBER(SEARCH(Assumptions!$C$5,D979)),Assumptions!$D$5,IF(ISNUMBER(SEARCH(Assumptions!$C$6,D979)),Assumptions!$D$6,IF(ISNUMBER(SEARCH(Assumptions!$C$7,D979)),Assumptions!$D$7,"Other Services"))),"Other Services"))</f>
        <v/>
      </c>
    </row>
    <row r="980" customFormat="false" ht="15" hidden="false" customHeight="false" outlineLevel="0" collapsed="false">
      <c r="F980" s="41" t="str">
        <f aca="false">IF(D980="","",IFERROR(IF(ISNUMBER(SEARCH(Assumptions!$C$5,D980)),Assumptions!$D$5,IF(ISNUMBER(SEARCH(Assumptions!$C$6,D980)),Assumptions!$D$6,IF(ISNUMBER(SEARCH(Assumptions!$C$7,D980)),Assumptions!$D$7,"Other Services"))),"Other Services"))</f>
        <v/>
      </c>
    </row>
    <row r="981" customFormat="false" ht="15" hidden="false" customHeight="false" outlineLevel="0" collapsed="false">
      <c r="F981" s="41" t="str">
        <f aca="false">IF(D981="","",IFERROR(IF(ISNUMBER(SEARCH(Assumptions!$C$5,D981)),Assumptions!$D$5,IF(ISNUMBER(SEARCH(Assumptions!$C$6,D981)),Assumptions!$D$6,IF(ISNUMBER(SEARCH(Assumptions!$C$7,D981)),Assumptions!$D$7,"Other Services"))),"Other Services"))</f>
        <v/>
      </c>
    </row>
    <row r="982" customFormat="false" ht="15" hidden="false" customHeight="false" outlineLevel="0" collapsed="false">
      <c r="F982" s="41" t="str">
        <f aca="false">IF(D982="","",IFERROR(IF(ISNUMBER(SEARCH(Assumptions!$C$5,D982)),Assumptions!$D$5,IF(ISNUMBER(SEARCH(Assumptions!$C$6,D982)),Assumptions!$D$6,IF(ISNUMBER(SEARCH(Assumptions!$C$7,D982)),Assumptions!$D$7,"Other Services"))),"Other Services"))</f>
        <v/>
      </c>
    </row>
    <row r="983" customFormat="false" ht="15" hidden="false" customHeight="false" outlineLevel="0" collapsed="false">
      <c r="F983" s="41" t="str">
        <f aca="false">IF(D983="","",IFERROR(IF(ISNUMBER(SEARCH(Assumptions!$C$5,D983)),Assumptions!$D$5,IF(ISNUMBER(SEARCH(Assumptions!$C$6,D983)),Assumptions!$D$6,IF(ISNUMBER(SEARCH(Assumptions!$C$7,D983)),Assumptions!$D$7,"Other Services"))),"Other Services"))</f>
        <v/>
      </c>
    </row>
    <row r="984" customFormat="false" ht="15" hidden="false" customHeight="false" outlineLevel="0" collapsed="false">
      <c r="F984" s="41" t="str">
        <f aca="false">IF(D984="","",IFERROR(IF(ISNUMBER(SEARCH(Assumptions!$C$5,D984)),Assumptions!$D$5,IF(ISNUMBER(SEARCH(Assumptions!$C$6,D984)),Assumptions!$D$6,IF(ISNUMBER(SEARCH(Assumptions!$C$7,D984)),Assumptions!$D$7,"Other Services"))),"Other Services"))</f>
        <v/>
      </c>
    </row>
    <row r="985" customFormat="false" ht="15" hidden="false" customHeight="false" outlineLevel="0" collapsed="false">
      <c r="F985" s="41" t="str">
        <f aca="false">IF(D985="","",IFERROR(IF(ISNUMBER(SEARCH(Assumptions!$C$5,D985)),Assumptions!$D$5,IF(ISNUMBER(SEARCH(Assumptions!$C$6,D985)),Assumptions!$D$6,IF(ISNUMBER(SEARCH(Assumptions!$C$7,D985)),Assumptions!$D$7,"Other Services"))),"Other Services"))</f>
        <v/>
      </c>
    </row>
    <row r="986" customFormat="false" ht="15" hidden="false" customHeight="false" outlineLevel="0" collapsed="false">
      <c r="F986" s="41" t="str">
        <f aca="false">IF(D986="","",IFERROR(IF(ISNUMBER(SEARCH(Assumptions!$C$5,D986)),Assumptions!$D$5,IF(ISNUMBER(SEARCH(Assumptions!$C$6,D986)),Assumptions!$D$6,IF(ISNUMBER(SEARCH(Assumptions!$C$7,D986)),Assumptions!$D$7,"Other Services"))),"Other Services"))</f>
        <v/>
      </c>
    </row>
    <row r="987" customFormat="false" ht="15" hidden="false" customHeight="false" outlineLevel="0" collapsed="false">
      <c r="F987" s="41" t="str">
        <f aca="false">IF(D987="","",IFERROR(IF(ISNUMBER(SEARCH(Assumptions!$C$5,D987)),Assumptions!$D$5,IF(ISNUMBER(SEARCH(Assumptions!$C$6,D987)),Assumptions!$D$6,IF(ISNUMBER(SEARCH(Assumptions!$C$7,D987)),Assumptions!$D$7,"Other Services"))),"Other Services"))</f>
        <v/>
      </c>
    </row>
    <row r="988" customFormat="false" ht="15" hidden="false" customHeight="false" outlineLevel="0" collapsed="false">
      <c r="F988" s="41" t="str">
        <f aca="false">IF(D988="","",IFERROR(IF(ISNUMBER(SEARCH(Assumptions!$C$5,D988)),Assumptions!$D$5,IF(ISNUMBER(SEARCH(Assumptions!$C$6,D988)),Assumptions!$D$6,IF(ISNUMBER(SEARCH(Assumptions!$C$7,D988)),Assumptions!$D$7,"Other Services"))),"Other Services"))</f>
        <v/>
      </c>
    </row>
    <row r="989" customFormat="false" ht="15" hidden="false" customHeight="false" outlineLevel="0" collapsed="false">
      <c r="F989" s="41" t="str">
        <f aca="false">IF(D989="","",IFERROR(IF(ISNUMBER(SEARCH(Assumptions!$C$5,D989)),Assumptions!$D$5,IF(ISNUMBER(SEARCH(Assumptions!$C$6,D989)),Assumptions!$D$6,IF(ISNUMBER(SEARCH(Assumptions!$C$7,D989)),Assumptions!$D$7,"Other Services"))),"Other Services"))</f>
        <v/>
      </c>
    </row>
    <row r="990" customFormat="false" ht="15" hidden="false" customHeight="false" outlineLevel="0" collapsed="false">
      <c r="F990" s="41" t="str">
        <f aca="false">IF(D990="","",IFERROR(IF(ISNUMBER(SEARCH(Assumptions!$C$5,D990)),Assumptions!$D$5,IF(ISNUMBER(SEARCH(Assumptions!$C$6,D990)),Assumptions!$D$6,IF(ISNUMBER(SEARCH(Assumptions!$C$7,D990)),Assumptions!$D$7,"Other Services"))),"Other Services"))</f>
        <v/>
      </c>
    </row>
    <row r="991" customFormat="false" ht="15" hidden="false" customHeight="false" outlineLevel="0" collapsed="false">
      <c r="F991" s="41" t="str">
        <f aca="false">IF(D991="","",IFERROR(IF(ISNUMBER(SEARCH(Assumptions!$C$5,D991)),Assumptions!$D$5,IF(ISNUMBER(SEARCH(Assumptions!$C$6,D991)),Assumptions!$D$6,IF(ISNUMBER(SEARCH(Assumptions!$C$7,D991)),Assumptions!$D$7,"Other Services"))),"Other Services"))</f>
        <v/>
      </c>
    </row>
    <row r="992" customFormat="false" ht="15" hidden="false" customHeight="false" outlineLevel="0" collapsed="false">
      <c r="F992" s="41" t="str">
        <f aca="false">IF(D992="","",IFERROR(IF(ISNUMBER(SEARCH(Assumptions!$C$5,D992)),Assumptions!$D$5,IF(ISNUMBER(SEARCH(Assumptions!$C$6,D992)),Assumptions!$D$6,IF(ISNUMBER(SEARCH(Assumptions!$C$7,D992)),Assumptions!$D$7,"Other Services"))),"Other Services"))</f>
        <v/>
      </c>
    </row>
    <row r="993" customFormat="false" ht="15" hidden="false" customHeight="false" outlineLevel="0" collapsed="false">
      <c r="F993" s="41" t="str">
        <f aca="false">IF(D993="","",IFERROR(IF(ISNUMBER(SEARCH(Assumptions!$C$5,D993)),Assumptions!$D$5,IF(ISNUMBER(SEARCH(Assumptions!$C$6,D993)),Assumptions!$D$6,IF(ISNUMBER(SEARCH(Assumptions!$C$7,D993)),Assumptions!$D$7,"Other Services"))),"Other Services"))</f>
        <v/>
      </c>
    </row>
    <row r="994" customFormat="false" ht="15" hidden="false" customHeight="false" outlineLevel="0" collapsed="false">
      <c r="F994" s="41" t="str">
        <f aca="false">IF(D994="","",IFERROR(IF(ISNUMBER(SEARCH(Assumptions!$C$5,D994)),Assumptions!$D$5,IF(ISNUMBER(SEARCH(Assumptions!$C$6,D994)),Assumptions!$D$6,IF(ISNUMBER(SEARCH(Assumptions!$C$7,D994)),Assumptions!$D$7,"Other Services"))),"Other Services"))</f>
        <v/>
      </c>
    </row>
    <row r="995" customFormat="false" ht="15" hidden="false" customHeight="false" outlineLevel="0" collapsed="false">
      <c r="F995" s="41" t="str">
        <f aca="false">IF(D995="","",IFERROR(IF(ISNUMBER(SEARCH(Assumptions!$C$5,D995)),Assumptions!$D$5,IF(ISNUMBER(SEARCH(Assumptions!$C$6,D995)),Assumptions!$D$6,IF(ISNUMBER(SEARCH(Assumptions!$C$7,D995)),Assumptions!$D$7,"Other Services"))),"Other Services"))</f>
        <v/>
      </c>
    </row>
    <row r="996" customFormat="false" ht="15" hidden="false" customHeight="false" outlineLevel="0" collapsed="false">
      <c r="F996" s="41" t="str">
        <f aca="false">IF(D996="","",IFERROR(IF(ISNUMBER(SEARCH(Assumptions!$C$5,D996)),Assumptions!$D$5,IF(ISNUMBER(SEARCH(Assumptions!$C$6,D996)),Assumptions!$D$6,IF(ISNUMBER(SEARCH(Assumptions!$C$7,D996)),Assumptions!$D$7,"Other Services"))),"Other Services"))</f>
        <v/>
      </c>
    </row>
    <row r="997" customFormat="false" ht="15" hidden="false" customHeight="false" outlineLevel="0" collapsed="false">
      <c r="F997" s="41" t="str">
        <f aca="false">IF(D997="","",IFERROR(IF(ISNUMBER(SEARCH(Assumptions!$C$5,D997)),Assumptions!$D$5,IF(ISNUMBER(SEARCH(Assumptions!$C$6,D997)),Assumptions!$D$6,IF(ISNUMBER(SEARCH(Assumptions!$C$7,D997)),Assumptions!$D$7,"Other Services"))),"Other Services"))</f>
        <v/>
      </c>
    </row>
    <row r="998" customFormat="false" ht="15" hidden="false" customHeight="false" outlineLevel="0" collapsed="false">
      <c r="F998" s="41" t="str">
        <f aca="false">IF(D998="","",IFERROR(IF(ISNUMBER(SEARCH(Assumptions!$C$5,D998)),Assumptions!$D$5,IF(ISNUMBER(SEARCH(Assumptions!$C$6,D998)),Assumptions!$D$6,IF(ISNUMBER(SEARCH(Assumptions!$C$7,D998)),Assumptions!$D$7,"Other Services"))),"Other Services"))</f>
        <v/>
      </c>
    </row>
    <row r="999" customFormat="false" ht="15" hidden="false" customHeight="false" outlineLevel="0" collapsed="false">
      <c r="F999" s="41" t="str">
        <f aca="false">IF(D999="","",IFERROR(IF(ISNUMBER(SEARCH(Assumptions!$C$5,D999)),Assumptions!$D$5,IF(ISNUMBER(SEARCH(Assumptions!$C$6,D999)),Assumptions!$D$6,IF(ISNUMBER(SEARCH(Assumptions!$C$7,D999)),Assumptions!$D$7,"Other Services"))),"Other Services"))</f>
        <v/>
      </c>
    </row>
    <row r="1000" customFormat="false" ht="15" hidden="false" customHeight="false" outlineLevel="0" collapsed="false">
      <c r="F1000" s="41" t="str">
        <f aca="false">IF(D1000="","",IFERROR(IF(ISNUMBER(SEARCH(Assumptions!$C$5,D1000)),Assumptions!$D$5,IF(ISNUMBER(SEARCH(Assumptions!$C$6,D1000)),Assumptions!$D$6,IF(ISNUMBER(SEARCH(Assumptions!$C$7,D1000)),Assumptions!$D$7,"Other Services"))),"Other Services"))</f>
        <v/>
      </c>
    </row>
    <row r="1001" customFormat="false" ht="15" hidden="false" customHeight="false" outlineLevel="0" collapsed="false">
      <c r="F1001" s="41" t="str">
        <f aca="false">IF(D1001="","",IFERROR(IF(ISNUMBER(SEARCH(Assumptions!$C$5,D1001)),Assumptions!$D$5,IF(ISNUMBER(SEARCH(Assumptions!$C$6,D1001)),Assumptions!$D$6,IF(ISNUMBER(SEARCH(Assumptions!$C$7,D1001)),Assumptions!$D$7,"Other Services"))),"Other Services"))</f>
        <v/>
      </c>
    </row>
    <row r="1002" customFormat="false" ht="15" hidden="false" customHeight="false" outlineLevel="0" collapsed="false">
      <c r="F1002" s="41" t="str">
        <f aca="false">IF(D1002="","",IFERROR(IF(ISNUMBER(SEARCH(Assumptions!$C$5,D1002)),Assumptions!$D$5,IF(ISNUMBER(SEARCH(Assumptions!$C$6,D1002)),Assumptions!$D$6,IF(ISNUMBER(SEARCH(Assumptions!$C$7,D1002)),Assumptions!$D$7,"Other Services"))),"Other Services"))</f>
        <v/>
      </c>
    </row>
    <row r="1003" customFormat="false" ht="15" hidden="false" customHeight="false" outlineLevel="0" collapsed="false">
      <c r="F1003" s="41" t="str">
        <f aca="false">IF(D1003="","",IFERROR(IF(ISNUMBER(SEARCH(Assumptions!$C$5,D1003)),Assumptions!$D$5,IF(ISNUMBER(SEARCH(Assumptions!$C$6,D1003)),Assumptions!$D$6,IF(ISNUMBER(SEARCH(Assumptions!$C$7,D1003)),Assumptions!$D$7,"Other Services"))),"Other Services"))</f>
        <v/>
      </c>
    </row>
    <row r="1004" customFormat="false" ht="15" hidden="false" customHeight="false" outlineLevel="0" collapsed="false">
      <c r="F1004" s="41" t="str">
        <f aca="false">IF(D1004="","",IFERROR(IF(ISNUMBER(SEARCH(Assumptions!$C$5,D1004)),Assumptions!$D$5,IF(ISNUMBER(SEARCH(Assumptions!$C$6,D1004)),Assumptions!$D$6,IF(ISNUMBER(SEARCH(Assumptions!$C$7,D1004)),Assumptions!$D$7,"Other Services"))),"Other Services"))</f>
        <v/>
      </c>
    </row>
    <row r="1005" customFormat="false" ht="15" hidden="false" customHeight="false" outlineLevel="0" collapsed="false">
      <c r="F1005" s="41" t="str">
        <f aca="false">IF(D1005="","",IFERROR(IF(ISNUMBER(SEARCH(Assumptions!$C$5,D1005)),Assumptions!$D$5,IF(ISNUMBER(SEARCH(Assumptions!$C$6,D1005)),Assumptions!$D$6,IF(ISNUMBER(SEARCH(Assumptions!$C$7,D1005)),Assumptions!$D$7,"Other Services"))),"Other Services"))</f>
        <v/>
      </c>
    </row>
    <row r="1006" customFormat="false" ht="15" hidden="false" customHeight="false" outlineLevel="0" collapsed="false">
      <c r="F1006" s="41" t="str">
        <f aca="false">IF(D1006="","",IFERROR(IF(ISNUMBER(SEARCH(Assumptions!$C$5,D1006)),Assumptions!$D$5,IF(ISNUMBER(SEARCH(Assumptions!$C$6,D1006)),Assumptions!$D$6,IF(ISNUMBER(SEARCH(Assumptions!$C$7,D1006)),Assumptions!$D$7,"Other Services"))),"Other Services"))</f>
        <v/>
      </c>
    </row>
    <row r="1007" customFormat="false" ht="15" hidden="false" customHeight="false" outlineLevel="0" collapsed="false">
      <c r="F1007" s="41" t="str">
        <f aca="false">IF(D1007="","",IFERROR(IF(ISNUMBER(SEARCH(Assumptions!$C$5,D1007)),Assumptions!$D$5,IF(ISNUMBER(SEARCH(Assumptions!$C$6,D1007)),Assumptions!$D$6,IF(ISNUMBER(SEARCH(Assumptions!$C$7,D1007)),Assumptions!$D$7,"Other Services"))),"Other Services"))</f>
        <v/>
      </c>
    </row>
    <row r="1008" customFormat="false" ht="15" hidden="false" customHeight="false" outlineLevel="0" collapsed="false">
      <c r="F1008" s="41" t="str">
        <f aca="false">IF(D1008="","",IFERROR(IF(ISNUMBER(SEARCH(Assumptions!$C$5,D1008)),Assumptions!$D$5,IF(ISNUMBER(SEARCH(Assumptions!$C$6,D1008)),Assumptions!$D$6,IF(ISNUMBER(SEARCH(Assumptions!$C$7,D1008)),Assumptions!$D$7,"Other Services"))),"Other Services"))</f>
        <v/>
      </c>
    </row>
    <row r="1009" customFormat="false" ht="15" hidden="false" customHeight="false" outlineLevel="0" collapsed="false">
      <c r="F1009" s="41" t="str">
        <f aca="false">IF(D1009="","",IFERROR(IF(ISNUMBER(SEARCH(Assumptions!$C$5,D1009)),Assumptions!$D$5,IF(ISNUMBER(SEARCH(Assumptions!$C$6,D1009)),Assumptions!$D$6,IF(ISNUMBER(SEARCH(Assumptions!$C$7,D1009)),Assumptions!$D$7,"Other Services"))),"Other Services"))</f>
        <v/>
      </c>
    </row>
    <row r="1010" customFormat="false" ht="15" hidden="false" customHeight="false" outlineLevel="0" collapsed="false">
      <c r="F1010" s="41" t="str">
        <f aca="false">IF(D1010="","",IFERROR(IF(ISNUMBER(SEARCH(Assumptions!$C$5,D1010)),Assumptions!$D$5,IF(ISNUMBER(SEARCH(Assumptions!$C$6,D1010)),Assumptions!$D$6,IF(ISNUMBER(SEARCH(Assumptions!$C$7,D1010)),Assumptions!$D$7,"Other Services"))),"Other Services"))</f>
        <v/>
      </c>
    </row>
    <row r="1011" customFormat="false" ht="15" hidden="false" customHeight="false" outlineLevel="0" collapsed="false">
      <c r="F1011" s="41" t="str">
        <f aca="false">IF(D1011="","",IFERROR(IF(ISNUMBER(SEARCH(Assumptions!$C$5,D1011)),Assumptions!$D$5,IF(ISNUMBER(SEARCH(Assumptions!$C$6,D1011)),Assumptions!$D$6,IF(ISNUMBER(SEARCH(Assumptions!$C$7,D1011)),Assumptions!$D$7,"Other Services"))),"Other Services"))</f>
        <v/>
      </c>
    </row>
    <row r="1012" customFormat="false" ht="15" hidden="false" customHeight="false" outlineLevel="0" collapsed="false">
      <c r="F1012" s="41" t="str">
        <f aca="false">IF(D1012="","",IFERROR(IF(ISNUMBER(SEARCH(Assumptions!$C$5,D1012)),Assumptions!$D$5,IF(ISNUMBER(SEARCH(Assumptions!$C$6,D1012)),Assumptions!$D$6,IF(ISNUMBER(SEARCH(Assumptions!$C$7,D1012)),Assumptions!$D$7,"Other Services"))),"Other Services"))</f>
        <v/>
      </c>
    </row>
    <row r="1013" customFormat="false" ht="15" hidden="false" customHeight="false" outlineLevel="0" collapsed="false">
      <c r="F1013" s="41" t="str">
        <f aca="false">IF(D1013="","",IFERROR(IF(ISNUMBER(SEARCH(Assumptions!$C$5,D1013)),Assumptions!$D$5,IF(ISNUMBER(SEARCH(Assumptions!$C$6,D1013)),Assumptions!$D$6,IF(ISNUMBER(SEARCH(Assumptions!$C$7,D1013)),Assumptions!$D$7,"Other Services"))),"Other Services"))</f>
        <v/>
      </c>
    </row>
    <row r="1014" customFormat="false" ht="15" hidden="false" customHeight="false" outlineLevel="0" collapsed="false">
      <c r="F1014" s="41" t="str">
        <f aca="false">IF(D1014="","",IFERROR(IF(ISNUMBER(SEARCH(Assumptions!$C$5,D1014)),Assumptions!$D$5,IF(ISNUMBER(SEARCH(Assumptions!$C$6,D1014)),Assumptions!$D$6,IF(ISNUMBER(SEARCH(Assumptions!$C$7,D1014)),Assumptions!$D$7,"Other Services"))),"Other Services"))</f>
        <v/>
      </c>
    </row>
    <row r="1015" customFormat="false" ht="15" hidden="false" customHeight="false" outlineLevel="0" collapsed="false">
      <c r="F1015" s="41" t="str">
        <f aca="false">IF(D1015="","",IFERROR(IF(ISNUMBER(SEARCH(Assumptions!$C$5,D1015)),Assumptions!$D$5,IF(ISNUMBER(SEARCH(Assumptions!$C$6,D1015)),Assumptions!$D$6,IF(ISNUMBER(SEARCH(Assumptions!$C$7,D1015)),Assumptions!$D$7,"Other Services"))),"Other Services"))</f>
        <v/>
      </c>
    </row>
    <row r="1016" customFormat="false" ht="15" hidden="false" customHeight="false" outlineLevel="0" collapsed="false">
      <c r="F1016" s="41" t="str">
        <f aca="false">IF(D1016="","",IFERROR(IF(ISNUMBER(SEARCH(Assumptions!$C$5,D1016)),Assumptions!$D$5,IF(ISNUMBER(SEARCH(Assumptions!$C$6,D1016)),Assumptions!$D$6,IF(ISNUMBER(SEARCH(Assumptions!$C$7,D1016)),Assumptions!$D$7,"Other Services"))),"Other Services"))</f>
        <v/>
      </c>
    </row>
    <row r="1017" customFormat="false" ht="15" hidden="false" customHeight="false" outlineLevel="0" collapsed="false">
      <c r="F1017" s="41" t="str">
        <f aca="false">IF(D1017="","",IFERROR(IF(ISNUMBER(SEARCH(Assumptions!$C$5,D1017)),Assumptions!$D$5,IF(ISNUMBER(SEARCH(Assumptions!$C$6,D1017)),Assumptions!$D$6,IF(ISNUMBER(SEARCH(Assumptions!$C$7,D1017)),Assumptions!$D$7,"Other Services"))),"Other Services"))</f>
        <v/>
      </c>
    </row>
    <row r="1018" customFormat="false" ht="15" hidden="false" customHeight="false" outlineLevel="0" collapsed="false">
      <c r="F1018" s="41" t="str">
        <f aca="false">IF(D1018="","",IFERROR(IF(ISNUMBER(SEARCH(Assumptions!$C$5,D1018)),Assumptions!$D$5,IF(ISNUMBER(SEARCH(Assumptions!$C$6,D1018)),Assumptions!$D$6,IF(ISNUMBER(SEARCH(Assumptions!$C$7,D1018)),Assumptions!$D$7,"Other Services"))),"Other Services"))</f>
        <v/>
      </c>
    </row>
    <row r="1019" customFormat="false" ht="15" hidden="false" customHeight="false" outlineLevel="0" collapsed="false">
      <c r="F1019" s="41" t="str">
        <f aca="false">IF(D1019="","",IFERROR(IF(ISNUMBER(SEARCH(Assumptions!$C$5,D1019)),Assumptions!$D$5,IF(ISNUMBER(SEARCH(Assumptions!$C$6,D1019)),Assumptions!$D$6,IF(ISNUMBER(SEARCH(Assumptions!$C$7,D1019)),Assumptions!$D$7,"Other Services"))),"Other Services"))</f>
        <v/>
      </c>
    </row>
    <row r="1020" customFormat="false" ht="15" hidden="false" customHeight="false" outlineLevel="0" collapsed="false">
      <c r="F1020" s="41" t="str">
        <f aca="false">IF(D1020="","",IFERROR(IF(ISNUMBER(SEARCH(Assumptions!$C$5,D1020)),Assumptions!$D$5,IF(ISNUMBER(SEARCH(Assumptions!$C$6,D1020)),Assumptions!$D$6,IF(ISNUMBER(SEARCH(Assumptions!$C$7,D1020)),Assumptions!$D$7,"Other Services"))),"Other Services"))</f>
        <v/>
      </c>
    </row>
    <row r="1021" customFormat="false" ht="15" hidden="false" customHeight="false" outlineLevel="0" collapsed="false">
      <c r="F1021" s="41" t="str">
        <f aca="false">IF(D1021="","",IFERROR(IF(ISNUMBER(SEARCH(Assumptions!$C$5,D1021)),Assumptions!$D$5,IF(ISNUMBER(SEARCH(Assumptions!$C$6,D1021)),Assumptions!$D$6,IF(ISNUMBER(SEARCH(Assumptions!$C$7,D1021)),Assumptions!$D$7,"Other Services"))),"Other Services"))</f>
        <v/>
      </c>
    </row>
    <row r="1022" customFormat="false" ht="15" hidden="false" customHeight="false" outlineLevel="0" collapsed="false">
      <c r="F1022" s="41" t="str">
        <f aca="false">IF(D1022="","",IFERROR(IF(ISNUMBER(SEARCH(Assumptions!$C$5,D1022)),Assumptions!$D$5,IF(ISNUMBER(SEARCH(Assumptions!$C$6,D1022)),Assumptions!$D$6,IF(ISNUMBER(SEARCH(Assumptions!$C$7,D1022)),Assumptions!$D$7,"Other Services"))),"Other Services"))</f>
        <v/>
      </c>
    </row>
    <row r="1023" customFormat="false" ht="15" hidden="false" customHeight="false" outlineLevel="0" collapsed="false">
      <c r="F1023" s="41" t="str">
        <f aca="false">IF(D1023="","",IFERROR(IF(ISNUMBER(SEARCH(Assumptions!$C$5,D1023)),Assumptions!$D$5,IF(ISNUMBER(SEARCH(Assumptions!$C$6,D1023)),Assumptions!$D$6,IF(ISNUMBER(SEARCH(Assumptions!$C$7,D1023)),Assumptions!$D$7,"Other Services"))),"Other Services"))</f>
        <v/>
      </c>
    </row>
    <row r="1024" customFormat="false" ht="15" hidden="false" customHeight="false" outlineLevel="0" collapsed="false">
      <c r="F1024" s="41" t="str">
        <f aca="false">IF(D1024="","",IFERROR(IF(ISNUMBER(SEARCH(Assumptions!$C$5,D1024)),Assumptions!$D$5,IF(ISNUMBER(SEARCH(Assumptions!$C$6,D1024)),Assumptions!$D$6,IF(ISNUMBER(SEARCH(Assumptions!$C$7,D1024)),Assumptions!$D$7,"Other Services"))),"Other Services"))</f>
        <v/>
      </c>
    </row>
    <row r="1025" customFormat="false" ht="15" hidden="false" customHeight="false" outlineLevel="0" collapsed="false">
      <c r="F1025" s="41" t="str">
        <f aca="false">IF(D1025="","",IFERROR(IF(ISNUMBER(SEARCH(Assumptions!$C$5,D1025)),Assumptions!$D$5,IF(ISNUMBER(SEARCH(Assumptions!$C$6,D1025)),Assumptions!$D$6,IF(ISNUMBER(SEARCH(Assumptions!$C$7,D1025)),Assumptions!$D$7,"Other Services"))),"Other Services"))</f>
        <v/>
      </c>
    </row>
    <row r="1026" customFormat="false" ht="15" hidden="false" customHeight="false" outlineLevel="0" collapsed="false">
      <c r="F1026" s="41" t="str">
        <f aca="false">IF(D1026="","",IFERROR(IF(ISNUMBER(SEARCH(Assumptions!$C$5,D1026)),Assumptions!$D$5,IF(ISNUMBER(SEARCH(Assumptions!$C$6,D1026)),Assumptions!$D$6,IF(ISNUMBER(SEARCH(Assumptions!$C$7,D1026)),Assumptions!$D$7,"Other Services"))),"Other Services"))</f>
        <v/>
      </c>
    </row>
    <row r="1027" customFormat="false" ht="15" hidden="false" customHeight="false" outlineLevel="0" collapsed="false">
      <c r="F1027" s="41" t="str">
        <f aca="false">IF(D1027="","",IFERROR(IF(ISNUMBER(SEARCH(Assumptions!$C$5,D1027)),Assumptions!$D$5,IF(ISNUMBER(SEARCH(Assumptions!$C$6,D1027)),Assumptions!$D$6,IF(ISNUMBER(SEARCH(Assumptions!$C$7,D1027)),Assumptions!$D$7,"Other Services"))),"Other Services"))</f>
        <v/>
      </c>
    </row>
    <row r="1028" customFormat="false" ht="15" hidden="false" customHeight="false" outlineLevel="0" collapsed="false">
      <c r="F1028" s="41" t="str">
        <f aca="false">IF(D1028="","",IFERROR(IF(ISNUMBER(SEARCH(Assumptions!$C$5,D1028)),Assumptions!$D$5,IF(ISNUMBER(SEARCH(Assumptions!$C$6,D1028)),Assumptions!$D$6,IF(ISNUMBER(SEARCH(Assumptions!$C$7,D1028)),Assumptions!$D$7,"Other Services"))),"Other Services"))</f>
        <v/>
      </c>
    </row>
    <row r="1029" customFormat="false" ht="15" hidden="false" customHeight="false" outlineLevel="0" collapsed="false">
      <c r="F1029" s="41" t="str">
        <f aca="false">IF(D1029="","",IFERROR(IF(ISNUMBER(SEARCH(Assumptions!$C$5,D1029)),Assumptions!$D$5,IF(ISNUMBER(SEARCH(Assumptions!$C$6,D1029)),Assumptions!$D$6,IF(ISNUMBER(SEARCH(Assumptions!$C$7,D1029)),Assumptions!$D$7,"Other Services"))),"Other Services"))</f>
        <v/>
      </c>
    </row>
    <row r="1030" customFormat="false" ht="15" hidden="false" customHeight="false" outlineLevel="0" collapsed="false">
      <c r="F1030" s="41" t="str">
        <f aca="false">IF(D1030="","",IFERROR(IF(ISNUMBER(SEARCH(Assumptions!$C$5,D1030)),Assumptions!$D$5,IF(ISNUMBER(SEARCH(Assumptions!$C$6,D1030)),Assumptions!$D$6,IF(ISNUMBER(SEARCH(Assumptions!$C$7,D1030)),Assumptions!$D$7,"Other Services"))),"Other Services"))</f>
        <v/>
      </c>
    </row>
    <row r="1031" customFormat="false" ht="15" hidden="false" customHeight="false" outlineLevel="0" collapsed="false">
      <c r="F1031" s="41" t="str">
        <f aca="false">IF(D1031="","",IFERROR(IF(ISNUMBER(SEARCH(Assumptions!$C$5,D1031)),Assumptions!$D$5,IF(ISNUMBER(SEARCH(Assumptions!$C$6,D1031)),Assumptions!$D$6,IF(ISNUMBER(SEARCH(Assumptions!$C$7,D1031)),Assumptions!$D$7,"Other Services"))),"Other Services"))</f>
        <v/>
      </c>
    </row>
    <row r="1032" customFormat="false" ht="15" hidden="false" customHeight="false" outlineLevel="0" collapsed="false">
      <c r="F1032" s="41" t="str">
        <f aca="false">IF(D1032="","",IFERROR(IF(ISNUMBER(SEARCH(Assumptions!$C$5,D1032)),Assumptions!$D$5,IF(ISNUMBER(SEARCH(Assumptions!$C$6,D1032)),Assumptions!$D$6,IF(ISNUMBER(SEARCH(Assumptions!$C$7,D1032)),Assumptions!$D$7,"Other Services"))),"Other Services"))</f>
        <v/>
      </c>
    </row>
    <row r="1033" customFormat="false" ht="15" hidden="false" customHeight="false" outlineLevel="0" collapsed="false">
      <c r="F1033" s="41" t="str">
        <f aca="false">IF(D1033="","",IFERROR(IF(ISNUMBER(SEARCH(Assumptions!$C$5,D1033)),Assumptions!$D$5,IF(ISNUMBER(SEARCH(Assumptions!$C$6,D1033)),Assumptions!$D$6,IF(ISNUMBER(SEARCH(Assumptions!$C$7,D1033)),Assumptions!$D$7,"Other Services"))),"Other Services"))</f>
        <v/>
      </c>
    </row>
    <row r="1034" customFormat="false" ht="15" hidden="false" customHeight="false" outlineLevel="0" collapsed="false">
      <c r="F1034" s="41" t="str">
        <f aca="false">IF(D1034="","",IFERROR(IF(ISNUMBER(SEARCH(Assumptions!$C$5,D1034)),Assumptions!$D$5,IF(ISNUMBER(SEARCH(Assumptions!$C$6,D1034)),Assumptions!$D$6,IF(ISNUMBER(SEARCH(Assumptions!$C$7,D1034)),Assumptions!$D$7,"Other Services"))),"Other Services"))</f>
        <v/>
      </c>
    </row>
    <row r="1035" customFormat="false" ht="15" hidden="false" customHeight="false" outlineLevel="0" collapsed="false">
      <c r="F1035" s="41" t="str">
        <f aca="false">IF(D1035="","",IFERROR(IF(ISNUMBER(SEARCH(Assumptions!$C$5,D1035)),Assumptions!$D$5,IF(ISNUMBER(SEARCH(Assumptions!$C$6,D1035)),Assumptions!$D$6,IF(ISNUMBER(SEARCH(Assumptions!$C$7,D1035)),Assumptions!$D$7,"Other Services"))),"Other Services"))</f>
        <v/>
      </c>
    </row>
    <row r="1036" customFormat="false" ht="15" hidden="false" customHeight="false" outlineLevel="0" collapsed="false">
      <c r="F1036" s="41" t="str">
        <f aca="false">IF(D1036="","",IFERROR(IF(ISNUMBER(SEARCH(Assumptions!$C$5,D1036)),Assumptions!$D$5,IF(ISNUMBER(SEARCH(Assumptions!$C$6,D1036)),Assumptions!$D$6,IF(ISNUMBER(SEARCH(Assumptions!$C$7,D1036)),Assumptions!$D$7,"Other Services"))),"Other Services"))</f>
        <v/>
      </c>
    </row>
    <row r="1037" customFormat="false" ht="15" hidden="false" customHeight="false" outlineLevel="0" collapsed="false">
      <c r="F1037" s="41" t="str">
        <f aca="false">IF(D1037="","",IFERROR(IF(ISNUMBER(SEARCH(Assumptions!$C$5,D1037)),Assumptions!$D$5,IF(ISNUMBER(SEARCH(Assumptions!$C$6,D1037)),Assumptions!$D$6,IF(ISNUMBER(SEARCH(Assumptions!$C$7,D1037)),Assumptions!$D$7,"Other Services"))),"Other Services"))</f>
        <v/>
      </c>
    </row>
    <row r="1038" customFormat="false" ht="15" hidden="false" customHeight="false" outlineLevel="0" collapsed="false">
      <c r="F1038" s="41" t="str">
        <f aca="false">IF(D1038="","",IFERROR(IF(ISNUMBER(SEARCH(Assumptions!$C$5,D1038)),Assumptions!$D$5,IF(ISNUMBER(SEARCH(Assumptions!$C$6,D1038)),Assumptions!$D$6,IF(ISNUMBER(SEARCH(Assumptions!$C$7,D1038)),Assumptions!$D$7,"Other Services"))),"Other Services"))</f>
        <v/>
      </c>
    </row>
    <row r="1039" customFormat="false" ht="15" hidden="false" customHeight="false" outlineLevel="0" collapsed="false">
      <c r="F1039" s="41" t="str">
        <f aca="false">IF(D1039="","",IFERROR(IF(ISNUMBER(SEARCH(Assumptions!$C$5,D1039)),Assumptions!$D$5,IF(ISNUMBER(SEARCH(Assumptions!$C$6,D1039)),Assumptions!$D$6,IF(ISNUMBER(SEARCH(Assumptions!$C$7,D1039)),Assumptions!$D$7,"Other Services"))),"Other Services"))</f>
        <v/>
      </c>
    </row>
    <row r="1040" customFormat="false" ht="15" hidden="false" customHeight="false" outlineLevel="0" collapsed="false">
      <c r="F1040" s="41" t="str">
        <f aca="false">IF(D1040="","",IFERROR(IF(ISNUMBER(SEARCH(Assumptions!$C$5,D1040)),Assumptions!$D$5,IF(ISNUMBER(SEARCH(Assumptions!$C$6,D1040)),Assumptions!$D$6,IF(ISNUMBER(SEARCH(Assumptions!$C$7,D1040)),Assumptions!$D$7,"Other Services"))),"Other Services"))</f>
        <v/>
      </c>
    </row>
    <row r="1041" customFormat="false" ht="15" hidden="false" customHeight="false" outlineLevel="0" collapsed="false">
      <c r="F1041" s="41" t="str">
        <f aca="false">IF(D1041="","",IFERROR(IF(ISNUMBER(SEARCH(Assumptions!$C$5,D1041)),Assumptions!$D$5,IF(ISNUMBER(SEARCH(Assumptions!$C$6,D1041)),Assumptions!$D$6,IF(ISNUMBER(SEARCH(Assumptions!$C$7,D1041)),Assumptions!$D$7,"Other Services"))),"Other Services"))</f>
        <v/>
      </c>
    </row>
    <row r="1042" customFormat="false" ht="15" hidden="false" customHeight="false" outlineLevel="0" collapsed="false">
      <c r="F1042" s="41" t="str">
        <f aca="false">IF(D1042="","",IFERROR(IF(ISNUMBER(SEARCH(Assumptions!$C$5,D1042)),Assumptions!$D$5,IF(ISNUMBER(SEARCH(Assumptions!$C$6,D1042)),Assumptions!$D$6,IF(ISNUMBER(SEARCH(Assumptions!$C$7,D1042)),Assumptions!$D$7,"Other Services"))),"Other Services"))</f>
        <v/>
      </c>
    </row>
    <row r="1043" customFormat="false" ht="15" hidden="false" customHeight="false" outlineLevel="0" collapsed="false">
      <c r="F1043" s="41" t="str">
        <f aca="false">IF(D1043="","",IFERROR(IF(ISNUMBER(SEARCH(Assumptions!$C$5,D1043)),Assumptions!$D$5,IF(ISNUMBER(SEARCH(Assumptions!$C$6,D1043)),Assumptions!$D$6,IF(ISNUMBER(SEARCH(Assumptions!$C$7,D1043)),Assumptions!$D$7,"Other Services"))),"Other Services"))</f>
        <v/>
      </c>
    </row>
    <row r="1044" customFormat="false" ht="15" hidden="false" customHeight="false" outlineLevel="0" collapsed="false">
      <c r="F1044" s="41" t="str">
        <f aca="false">IF(D1044="","",IFERROR(IF(ISNUMBER(SEARCH(Assumptions!$C$5,D1044)),Assumptions!$D$5,IF(ISNUMBER(SEARCH(Assumptions!$C$6,D1044)),Assumptions!$D$6,IF(ISNUMBER(SEARCH(Assumptions!$C$7,D1044)),Assumptions!$D$7,"Other Services"))),"Other Services"))</f>
        <v/>
      </c>
    </row>
    <row r="1045" customFormat="false" ht="15" hidden="false" customHeight="false" outlineLevel="0" collapsed="false">
      <c r="F1045" s="41" t="str">
        <f aca="false">IF(D1045="","",IFERROR(IF(ISNUMBER(SEARCH(Assumptions!$C$5,D1045)),Assumptions!$D$5,IF(ISNUMBER(SEARCH(Assumptions!$C$6,D1045)),Assumptions!$D$6,IF(ISNUMBER(SEARCH(Assumptions!$C$7,D1045)),Assumptions!$D$7,"Other Services"))),"Other Services"))</f>
        <v/>
      </c>
    </row>
    <row r="1046" customFormat="false" ht="15" hidden="false" customHeight="false" outlineLevel="0" collapsed="false">
      <c r="F1046" s="41" t="str">
        <f aca="false">IF(D1046="","",IFERROR(IF(ISNUMBER(SEARCH(Assumptions!$C$5,D1046)),Assumptions!$D$5,IF(ISNUMBER(SEARCH(Assumptions!$C$6,D1046)),Assumptions!$D$6,IF(ISNUMBER(SEARCH(Assumptions!$C$7,D1046)),Assumptions!$D$7,"Other Services"))),"Other Services"))</f>
        <v/>
      </c>
    </row>
    <row r="1047" customFormat="false" ht="15" hidden="false" customHeight="false" outlineLevel="0" collapsed="false">
      <c r="F1047" s="41" t="str">
        <f aca="false">IF(D1047="","",IFERROR(IF(ISNUMBER(SEARCH(Assumptions!$C$5,D1047)),Assumptions!$D$5,IF(ISNUMBER(SEARCH(Assumptions!$C$6,D1047)),Assumptions!$D$6,IF(ISNUMBER(SEARCH(Assumptions!$C$7,D1047)),Assumptions!$D$7,"Other Services"))),"Other Services"))</f>
        <v/>
      </c>
    </row>
    <row r="1048" customFormat="false" ht="15" hidden="false" customHeight="false" outlineLevel="0" collapsed="false">
      <c r="F1048" s="41" t="str">
        <f aca="false">IF(D1048="","",IFERROR(IF(ISNUMBER(SEARCH(Assumptions!$C$5,D1048)),Assumptions!$D$5,IF(ISNUMBER(SEARCH(Assumptions!$C$6,D1048)),Assumptions!$D$6,IF(ISNUMBER(SEARCH(Assumptions!$C$7,D1048)),Assumptions!$D$7,"Other Services"))),"Other Services"))</f>
        <v/>
      </c>
    </row>
    <row r="1049" customFormat="false" ht="15" hidden="false" customHeight="false" outlineLevel="0" collapsed="false">
      <c r="F1049" s="41" t="str">
        <f aca="false">IF(D1049="","",IFERROR(IF(ISNUMBER(SEARCH(Assumptions!$C$5,D1049)),Assumptions!$D$5,IF(ISNUMBER(SEARCH(Assumptions!$C$6,D1049)),Assumptions!$D$6,IF(ISNUMBER(SEARCH(Assumptions!$C$7,D1049)),Assumptions!$D$7,"Other Services"))),"Other Services"))</f>
        <v/>
      </c>
    </row>
    <row r="1050" customFormat="false" ht="15" hidden="false" customHeight="false" outlineLevel="0" collapsed="false">
      <c r="F1050" s="41" t="str">
        <f aca="false">IF(D1050="","",IFERROR(IF(ISNUMBER(SEARCH(Assumptions!$C$5,D1050)),Assumptions!$D$5,IF(ISNUMBER(SEARCH(Assumptions!$C$6,D1050)),Assumptions!$D$6,IF(ISNUMBER(SEARCH(Assumptions!$C$7,D1050)),Assumptions!$D$7,"Other Services"))),"Other Services"))</f>
        <v/>
      </c>
    </row>
    <row r="1051" customFormat="false" ht="15" hidden="false" customHeight="false" outlineLevel="0" collapsed="false">
      <c r="F1051" s="41" t="str">
        <f aca="false">IF(D1051="","",IFERROR(IF(ISNUMBER(SEARCH(Assumptions!$C$5,D1051)),Assumptions!$D$5,IF(ISNUMBER(SEARCH(Assumptions!$C$6,D1051)),Assumptions!$D$6,IF(ISNUMBER(SEARCH(Assumptions!$C$7,D1051)),Assumptions!$D$7,"Other Services"))),"Other Services"))</f>
        <v/>
      </c>
    </row>
    <row r="1052" customFormat="false" ht="15" hidden="false" customHeight="false" outlineLevel="0" collapsed="false">
      <c r="F1052" s="41" t="str">
        <f aca="false">IF(D1052="","",IFERROR(IF(ISNUMBER(SEARCH(Assumptions!$C$5,D1052)),Assumptions!$D$5,IF(ISNUMBER(SEARCH(Assumptions!$C$6,D1052)),Assumptions!$D$6,IF(ISNUMBER(SEARCH(Assumptions!$C$7,D1052)),Assumptions!$D$7,"Other Services"))),"Other Services"))</f>
        <v/>
      </c>
    </row>
    <row r="1053" customFormat="false" ht="15" hidden="false" customHeight="false" outlineLevel="0" collapsed="false">
      <c r="F1053" s="41" t="str">
        <f aca="false">IF(D1053="","",IFERROR(IF(ISNUMBER(SEARCH(Assumptions!$C$5,D1053)),Assumptions!$D$5,IF(ISNUMBER(SEARCH(Assumptions!$C$6,D1053)),Assumptions!$D$6,IF(ISNUMBER(SEARCH(Assumptions!$C$7,D1053)),Assumptions!$D$7,"Other Services"))),"Other Services"))</f>
        <v/>
      </c>
    </row>
    <row r="1054" customFormat="false" ht="15" hidden="false" customHeight="false" outlineLevel="0" collapsed="false">
      <c r="F1054" s="41" t="str">
        <f aca="false">IF(D1054="","",IFERROR(IF(ISNUMBER(SEARCH(Assumptions!$C$5,D1054)),Assumptions!$D$5,IF(ISNUMBER(SEARCH(Assumptions!$C$6,D1054)),Assumptions!$D$6,IF(ISNUMBER(SEARCH(Assumptions!$C$7,D1054)),Assumptions!$D$7,"Other Services"))),"Other Services"))</f>
        <v/>
      </c>
    </row>
    <row r="1055" customFormat="false" ht="15" hidden="false" customHeight="false" outlineLevel="0" collapsed="false">
      <c r="F1055" s="41" t="str">
        <f aca="false">IF(D1055="","",IFERROR(IF(ISNUMBER(SEARCH(Assumptions!$C$5,D1055)),Assumptions!$D$5,IF(ISNUMBER(SEARCH(Assumptions!$C$6,D1055)),Assumptions!$D$6,IF(ISNUMBER(SEARCH(Assumptions!$C$7,D1055)),Assumptions!$D$7,"Other Services"))),"Other Services"))</f>
        <v/>
      </c>
    </row>
    <row r="1056" customFormat="false" ht="15" hidden="false" customHeight="false" outlineLevel="0" collapsed="false">
      <c r="F1056" s="41" t="str">
        <f aca="false">IF(D1056="","",IFERROR(IF(ISNUMBER(SEARCH(Assumptions!$C$5,D1056)),Assumptions!$D$5,IF(ISNUMBER(SEARCH(Assumptions!$C$6,D1056)),Assumptions!$D$6,IF(ISNUMBER(SEARCH(Assumptions!$C$7,D1056)),Assumptions!$D$7,"Other Services"))),"Other Services"))</f>
        <v/>
      </c>
    </row>
    <row r="1057" customFormat="false" ht="15" hidden="false" customHeight="false" outlineLevel="0" collapsed="false">
      <c r="F1057" s="41" t="str">
        <f aca="false">IF(D1057="","",IFERROR(IF(ISNUMBER(SEARCH(Assumptions!$C$5,D1057)),Assumptions!$D$5,IF(ISNUMBER(SEARCH(Assumptions!$C$6,D1057)),Assumptions!$D$6,IF(ISNUMBER(SEARCH(Assumptions!$C$7,D1057)),Assumptions!$D$7,"Other Services"))),"Other Services"))</f>
        <v/>
      </c>
    </row>
    <row r="1058" customFormat="false" ht="15" hidden="false" customHeight="false" outlineLevel="0" collapsed="false">
      <c r="F1058" s="41" t="str">
        <f aca="false">IF(D1058="","",IFERROR(IF(ISNUMBER(SEARCH(Assumptions!$C$5,D1058)),Assumptions!$D$5,IF(ISNUMBER(SEARCH(Assumptions!$C$6,D1058)),Assumptions!$D$6,IF(ISNUMBER(SEARCH(Assumptions!$C$7,D1058)),Assumptions!$D$7,"Other Services"))),"Other Services"))</f>
        <v/>
      </c>
    </row>
    <row r="1059" customFormat="false" ht="15" hidden="false" customHeight="false" outlineLevel="0" collapsed="false">
      <c r="F1059" s="41" t="str">
        <f aca="false">IF(D1059="","",IFERROR(IF(ISNUMBER(SEARCH(Assumptions!$C$5,D1059)),Assumptions!$D$5,IF(ISNUMBER(SEARCH(Assumptions!$C$6,D1059)),Assumptions!$D$6,IF(ISNUMBER(SEARCH(Assumptions!$C$7,D1059)),Assumptions!$D$7,"Other Services"))),"Other Services"))</f>
        <v/>
      </c>
    </row>
    <row r="1060" customFormat="false" ht="15" hidden="false" customHeight="false" outlineLevel="0" collapsed="false">
      <c r="F1060" s="41" t="str">
        <f aca="false">IF(D1060="","",IFERROR(IF(ISNUMBER(SEARCH(Assumptions!$C$5,D1060)),Assumptions!$D$5,IF(ISNUMBER(SEARCH(Assumptions!$C$6,D1060)),Assumptions!$D$6,IF(ISNUMBER(SEARCH(Assumptions!$C$7,D1060)),Assumptions!$D$7,"Other Services"))),"Other Services"))</f>
        <v/>
      </c>
    </row>
    <row r="1061" customFormat="false" ht="15" hidden="false" customHeight="false" outlineLevel="0" collapsed="false">
      <c r="F1061" s="41" t="str">
        <f aca="false">IF(D1061="","",IFERROR(IF(ISNUMBER(SEARCH(Assumptions!$C$5,D1061)),Assumptions!$D$5,IF(ISNUMBER(SEARCH(Assumptions!$C$6,D1061)),Assumptions!$D$6,IF(ISNUMBER(SEARCH(Assumptions!$C$7,D1061)),Assumptions!$D$7,"Other Services"))),"Other Services"))</f>
        <v/>
      </c>
    </row>
    <row r="1062" customFormat="false" ht="15" hidden="false" customHeight="false" outlineLevel="0" collapsed="false">
      <c r="F1062" s="41" t="str">
        <f aca="false">IF(D1062="","",IFERROR(IF(ISNUMBER(SEARCH(Assumptions!$C$5,D1062)),Assumptions!$D$5,IF(ISNUMBER(SEARCH(Assumptions!$C$6,D1062)),Assumptions!$D$6,IF(ISNUMBER(SEARCH(Assumptions!$C$7,D1062)),Assumptions!$D$7,"Other Services"))),"Other Services"))</f>
        <v/>
      </c>
    </row>
    <row r="1063" customFormat="false" ht="15" hidden="false" customHeight="false" outlineLevel="0" collapsed="false">
      <c r="F1063" s="41" t="str">
        <f aca="false">IF(D1063="","",IFERROR(IF(ISNUMBER(SEARCH(Assumptions!$C$5,D1063)),Assumptions!$D$5,IF(ISNUMBER(SEARCH(Assumptions!$C$6,D1063)),Assumptions!$D$6,IF(ISNUMBER(SEARCH(Assumptions!$C$7,D1063)),Assumptions!$D$7,"Other Services"))),"Other Services"))</f>
        <v/>
      </c>
    </row>
    <row r="1064" customFormat="false" ht="15" hidden="false" customHeight="false" outlineLevel="0" collapsed="false">
      <c r="F1064" s="41" t="str">
        <f aca="false">IF(D1064="","",IFERROR(IF(ISNUMBER(SEARCH(Assumptions!$C$5,D1064)),Assumptions!$D$5,IF(ISNUMBER(SEARCH(Assumptions!$C$6,D1064)),Assumptions!$D$6,IF(ISNUMBER(SEARCH(Assumptions!$C$7,D1064)),Assumptions!$D$7,"Other Services"))),"Other Services"))</f>
        <v/>
      </c>
    </row>
    <row r="1065" customFormat="false" ht="15" hidden="false" customHeight="false" outlineLevel="0" collapsed="false">
      <c r="F1065" s="41" t="str">
        <f aca="false">IF(D1065="","",IFERROR(IF(ISNUMBER(SEARCH(Assumptions!$C$5,D1065)),Assumptions!$D$5,IF(ISNUMBER(SEARCH(Assumptions!$C$6,D1065)),Assumptions!$D$6,IF(ISNUMBER(SEARCH(Assumptions!$C$7,D1065)),Assumptions!$D$7,"Other Services"))),"Other Services"))</f>
        <v/>
      </c>
    </row>
    <row r="1066" customFormat="false" ht="15" hidden="false" customHeight="false" outlineLevel="0" collapsed="false">
      <c r="F1066" s="41" t="str">
        <f aca="false">IF(D1066="","",IFERROR(IF(ISNUMBER(SEARCH(Assumptions!$C$5,D1066)),Assumptions!$D$5,IF(ISNUMBER(SEARCH(Assumptions!$C$6,D1066)),Assumptions!$D$6,IF(ISNUMBER(SEARCH(Assumptions!$C$7,D1066)),Assumptions!$D$7,"Other Services"))),"Other Services"))</f>
        <v/>
      </c>
    </row>
    <row r="1067" customFormat="false" ht="15" hidden="false" customHeight="false" outlineLevel="0" collapsed="false">
      <c r="F1067" s="41" t="str">
        <f aca="false">IF(D1067="","",IFERROR(IF(ISNUMBER(SEARCH(Assumptions!$C$5,D1067)),Assumptions!$D$5,IF(ISNUMBER(SEARCH(Assumptions!$C$6,D1067)),Assumptions!$D$6,IF(ISNUMBER(SEARCH(Assumptions!$C$7,D1067)),Assumptions!$D$7,"Other Services"))),"Other Services"))</f>
        <v/>
      </c>
    </row>
    <row r="1068" customFormat="false" ht="15" hidden="false" customHeight="false" outlineLevel="0" collapsed="false">
      <c r="F1068" s="41" t="str">
        <f aca="false">IF(D1068="","",IFERROR(IF(ISNUMBER(SEARCH(Assumptions!$C$5,D1068)),Assumptions!$D$5,IF(ISNUMBER(SEARCH(Assumptions!$C$6,D1068)),Assumptions!$D$6,IF(ISNUMBER(SEARCH(Assumptions!$C$7,D1068)),Assumptions!$D$7,"Other Services"))),"Other Services"))</f>
        <v/>
      </c>
    </row>
    <row r="1069" customFormat="false" ht="15" hidden="false" customHeight="false" outlineLevel="0" collapsed="false">
      <c r="F1069" s="41" t="str">
        <f aca="false">IF(D1069="","",IFERROR(IF(ISNUMBER(SEARCH(Assumptions!$C$5,D1069)),Assumptions!$D$5,IF(ISNUMBER(SEARCH(Assumptions!$C$6,D1069)),Assumptions!$D$6,IF(ISNUMBER(SEARCH(Assumptions!$C$7,D1069)),Assumptions!$D$7,"Other Services"))),"Other Services"))</f>
        <v/>
      </c>
    </row>
    <row r="1070" customFormat="false" ht="15" hidden="false" customHeight="false" outlineLevel="0" collapsed="false">
      <c r="F1070" s="41" t="str">
        <f aca="false">IF(D1070="","",IFERROR(IF(ISNUMBER(SEARCH(Assumptions!$C$5,D1070)),Assumptions!$D$5,IF(ISNUMBER(SEARCH(Assumptions!$C$6,D1070)),Assumptions!$D$6,IF(ISNUMBER(SEARCH(Assumptions!$C$7,D1070)),Assumptions!$D$7,"Other Services"))),"Other Services"))</f>
        <v/>
      </c>
    </row>
    <row r="1071" customFormat="false" ht="15" hidden="false" customHeight="false" outlineLevel="0" collapsed="false">
      <c r="F1071" s="41" t="str">
        <f aca="false">IF(D1071="","",IFERROR(IF(ISNUMBER(SEARCH(Assumptions!$C$5,D1071)),Assumptions!$D$5,IF(ISNUMBER(SEARCH(Assumptions!$C$6,D1071)),Assumptions!$D$6,IF(ISNUMBER(SEARCH(Assumptions!$C$7,D1071)),Assumptions!$D$7,"Other Services"))),"Other Services"))</f>
        <v/>
      </c>
    </row>
    <row r="1072" customFormat="false" ht="15" hidden="false" customHeight="false" outlineLevel="0" collapsed="false">
      <c r="F1072" s="41" t="str">
        <f aca="false">IF(D1072="","",IFERROR(IF(ISNUMBER(SEARCH(Assumptions!$C$5,D1072)),Assumptions!$D$5,IF(ISNUMBER(SEARCH(Assumptions!$C$6,D1072)),Assumptions!$D$6,IF(ISNUMBER(SEARCH(Assumptions!$C$7,D1072)),Assumptions!$D$7,"Other Services"))),"Other Services"))</f>
        <v/>
      </c>
    </row>
    <row r="1073" customFormat="false" ht="15" hidden="false" customHeight="false" outlineLevel="0" collapsed="false">
      <c r="F1073" s="41" t="str">
        <f aca="false">IF(D1073="","",IFERROR(IF(ISNUMBER(SEARCH(Assumptions!$C$5,D1073)),Assumptions!$D$5,IF(ISNUMBER(SEARCH(Assumptions!$C$6,D1073)),Assumptions!$D$6,IF(ISNUMBER(SEARCH(Assumptions!$C$7,D1073)),Assumptions!$D$7,"Other Services"))),"Other Services"))</f>
        <v/>
      </c>
    </row>
    <row r="1074" customFormat="false" ht="15" hidden="false" customHeight="false" outlineLevel="0" collapsed="false">
      <c r="F1074" s="41" t="str">
        <f aca="false">IF(D1074="","",IFERROR(IF(ISNUMBER(SEARCH(Assumptions!$C$5,D1074)),Assumptions!$D$5,IF(ISNUMBER(SEARCH(Assumptions!$C$6,D1074)),Assumptions!$D$6,IF(ISNUMBER(SEARCH(Assumptions!$C$7,D1074)),Assumptions!$D$7,"Other Services"))),"Other Services"))</f>
        <v/>
      </c>
    </row>
    <row r="1075" customFormat="false" ht="15" hidden="false" customHeight="false" outlineLevel="0" collapsed="false">
      <c r="F1075" s="41" t="str">
        <f aca="false">IF(D1075="","",IFERROR(IF(ISNUMBER(SEARCH(Assumptions!$C$5,D1075)),Assumptions!$D$5,IF(ISNUMBER(SEARCH(Assumptions!$C$6,D1075)),Assumptions!$D$6,IF(ISNUMBER(SEARCH(Assumptions!$C$7,D1075)),Assumptions!$D$7,"Other Services"))),"Other Services"))</f>
        <v/>
      </c>
    </row>
    <row r="1076" customFormat="false" ht="15" hidden="false" customHeight="false" outlineLevel="0" collapsed="false">
      <c r="F1076" s="41" t="str">
        <f aca="false">IF(D1076="","",IFERROR(IF(ISNUMBER(SEARCH(Assumptions!$C$5,D1076)),Assumptions!$D$5,IF(ISNUMBER(SEARCH(Assumptions!$C$6,D1076)),Assumptions!$D$6,IF(ISNUMBER(SEARCH(Assumptions!$C$7,D1076)),Assumptions!$D$7,"Other Services"))),"Other Services"))</f>
        <v/>
      </c>
    </row>
    <row r="1077" customFormat="false" ht="15" hidden="false" customHeight="false" outlineLevel="0" collapsed="false">
      <c r="F1077" s="41" t="str">
        <f aca="false">IF(D1077="","",IFERROR(IF(ISNUMBER(SEARCH(Assumptions!$C$5,D1077)),Assumptions!$D$5,IF(ISNUMBER(SEARCH(Assumptions!$C$6,D1077)),Assumptions!$D$6,IF(ISNUMBER(SEARCH(Assumptions!$C$7,D1077)),Assumptions!$D$7,"Other Services"))),"Other Services"))</f>
        <v/>
      </c>
    </row>
    <row r="1078" customFormat="false" ht="15" hidden="false" customHeight="false" outlineLevel="0" collapsed="false">
      <c r="F1078" s="41" t="str">
        <f aca="false">IF(D1078="","",IFERROR(IF(ISNUMBER(SEARCH(Assumptions!$C$5,D1078)),Assumptions!$D$5,IF(ISNUMBER(SEARCH(Assumptions!$C$6,D1078)),Assumptions!$D$6,IF(ISNUMBER(SEARCH(Assumptions!$C$7,D1078)),Assumptions!$D$7,"Other Services"))),"Other Services"))</f>
        <v/>
      </c>
    </row>
    <row r="1079" customFormat="false" ht="15" hidden="false" customHeight="false" outlineLevel="0" collapsed="false">
      <c r="F1079" s="41" t="str">
        <f aca="false">IF(D1079="","",IFERROR(IF(ISNUMBER(SEARCH(Assumptions!$C$5,D1079)),Assumptions!$D$5,IF(ISNUMBER(SEARCH(Assumptions!$C$6,D1079)),Assumptions!$D$6,IF(ISNUMBER(SEARCH(Assumptions!$C$7,D1079)),Assumptions!$D$7,"Other Services"))),"Other Services"))</f>
        <v/>
      </c>
    </row>
    <row r="1080" customFormat="false" ht="15" hidden="false" customHeight="false" outlineLevel="0" collapsed="false">
      <c r="F1080" s="41" t="str">
        <f aca="false">IF(D1080="","",IFERROR(IF(ISNUMBER(SEARCH(Assumptions!$C$5,D1080)),Assumptions!$D$5,IF(ISNUMBER(SEARCH(Assumptions!$C$6,D1080)),Assumptions!$D$6,IF(ISNUMBER(SEARCH(Assumptions!$C$7,D1080)),Assumptions!$D$7,"Other Services"))),"Other Services"))</f>
        <v/>
      </c>
    </row>
    <row r="1081" customFormat="false" ht="15" hidden="false" customHeight="false" outlineLevel="0" collapsed="false">
      <c r="F1081" s="41" t="str">
        <f aca="false">IF(D1081="","",IFERROR(IF(ISNUMBER(SEARCH(Assumptions!$C$5,D1081)),Assumptions!$D$5,IF(ISNUMBER(SEARCH(Assumptions!$C$6,D1081)),Assumptions!$D$6,IF(ISNUMBER(SEARCH(Assumptions!$C$7,D1081)),Assumptions!$D$7,"Other Services"))),"Other Services"))</f>
        <v/>
      </c>
    </row>
    <row r="1082" customFormat="false" ht="15" hidden="false" customHeight="false" outlineLevel="0" collapsed="false">
      <c r="F1082" s="41" t="str">
        <f aca="false">IF(D1082="","",IFERROR(IF(ISNUMBER(SEARCH(Assumptions!$C$5,D1082)),Assumptions!$D$5,IF(ISNUMBER(SEARCH(Assumptions!$C$6,D1082)),Assumptions!$D$6,IF(ISNUMBER(SEARCH(Assumptions!$C$7,D1082)),Assumptions!$D$7,"Other Services"))),"Other Services"))</f>
        <v/>
      </c>
    </row>
    <row r="1083" customFormat="false" ht="15" hidden="false" customHeight="false" outlineLevel="0" collapsed="false">
      <c r="F1083" s="41" t="str">
        <f aca="false">IF(D1083="","",IFERROR(IF(ISNUMBER(SEARCH(Assumptions!$C$5,D1083)),Assumptions!$D$5,IF(ISNUMBER(SEARCH(Assumptions!$C$6,D1083)),Assumptions!$D$6,IF(ISNUMBER(SEARCH(Assumptions!$C$7,D1083)),Assumptions!$D$7,"Other Services"))),"Other Services"))</f>
        <v/>
      </c>
    </row>
    <row r="1084" customFormat="false" ht="15" hidden="false" customHeight="false" outlineLevel="0" collapsed="false">
      <c r="F1084" s="41" t="str">
        <f aca="false">IF(D1084="","",IFERROR(IF(ISNUMBER(SEARCH(Assumptions!$C$5,D1084)),Assumptions!$D$5,IF(ISNUMBER(SEARCH(Assumptions!$C$6,D1084)),Assumptions!$D$6,IF(ISNUMBER(SEARCH(Assumptions!$C$7,D1084)),Assumptions!$D$7,"Other Services"))),"Other Services"))</f>
        <v/>
      </c>
    </row>
    <row r="1085" customFormat="false" ht="15" hidden="false" customHeight="false" outlineLevel="0" collapsed="false">
      <c r="F1085" s="41" t="str">
        <f aca="false">IF(D1085="","",IFERROR(IF(ISNUMBER(SEARCH(Assumptions!$C$5,D1085)),Assumptions!$D$5,IF(ISNUMBER(SEARCH(Assumptions!$C$6,D1085)),Assumptions!$D$6,IF(ISNUMBER(SEARCH(Assumptions!$C$7,D1085)),Assumptions!$D$7,"Other Services"))),"Other Services"))</f>
        <v/>
      </c>
    </row>
    <row r="1086" customFormat="false" ht="15" hidden="false" customHeight="false" outlineLevel="0" collapsed="false">
      <c r="F1086" s="41" t="str">
        <f aca="false">IF(D1086="","",IFERROR(IF(ISNUMBER(SEARCH(Assumptions!$C$5,D1086)),Assumptions!$D$5,IF(ISNUMBER(SEARCH(Assumptions!$C$6,D1086)),Assumptions!$D$6,IF(ISNUMBER(SEARCH(Assumptions!$C$7,D1086)),Assumptions!$D$7,"Other Services"))),"Other Services"))</f>
        <v/>
      </c>
    </row>
    <row r="1087" customFormat="false" ht="15" hidden="false" customHeight="false" outlineLevel="0" collapsed="false">
      <c r="F1087" s="41" t="str">
        <f aca="false">IF(D1087="","",IFERROR(IF(ISNUMBER(SEARCH(Assumptions!$C$5,D1087)),Assumptions!$D$5,IF(ISNUMBER(SEARCH(Assumptions!$C$6,D1087)),Assumptions!$D$6,IF(ISNUMBER(SEARCH(Assumptions!$C$7,D1087)),Assumptions!$D$7,"Other Services"))),"Other Services"))</f>
        <v/>
      </c>
    </row>
    <row r="1088" customFormat="false" ht="15" hidden="false" customHeight="false" outlineLevel="0" collapsed="false">
      <c r="F1088" s="41" t="str">
        <f aca="false">IF(D1088="","",IFERROR(IF(ISNUMBER(SEARCH(Assumptions!$C$5,D1088)),Assumptions!$D$5,IF(ISNUMBER(SEARCH(Assumptions!$C$6,D1088)),Assumptions!$D$6,IF(ISNUMBER(SEARCH(Assumptions!$C$7,D1088)),Assumptions!$D$7,"Other Services"))),"Other Services"))</f>
        <v/>
      </c>
    </row>
    <row r="1089" customFormat="false" ht="15" hidden="false" customHeight="false" outlineLevel="0" collapsed="false">
      <c r="F1089" s="41" t="str">
        <f aca="false">IF(D1089="","",IFERROR(IF(ISNUMBER(SEARCH(Assumptions!$C$5,D1089)),Assumptions!$D$5,IF(ISNUMBER(SEARCH(Assumptions!$C$6,D1089)),Assumptions!$D$6,IF(ISNUMBER(SEARCH(Assumptions!$C$7,D1089)),Assumptions!$D$7,"Other Services"))),"Other Services"))</f>
        <v/>
      </c>
    </row>
    <row r="1090" customFormat="false" ht="15" hidden="false" customHeight="false" outlineLevel="0" collapsed="false">
      <c r="F1090" s="41" t="str">
        <f aca="false">IF(D1090="","",IFERROR(IF(ISNUMBER(SEARCH(Assumptions!$C$5,D1090)),Assumptions!$D$5,IF(ISNUMBER(SEARCH(Assumptions!$C$6,D1090)),Assumptions!$D$6,IF(ISNUMBER(SEARCH(Assumptions!$C$7,D1090)),Assumptions!$D$7,"Other Services"))),"Other Services"))</f>
        <v/>
      </c>
    </row>
    <row r="1091" customFormat="false" ht="15" hidden="false" customHeight="false" outlineLevel="0" collapsed="false">
      <c r="F1091" s="41" t="str">
        <f aca="false">IF(D1091="","",IFERROR(IF(ISNUMBER(SEARCH(Assumptions!$C$5,D1091)),Assumptions!$D$5,IF(ISNUMBER(SEARCH(Assumptions!$C$6,D1091)),Assumptions!$D$6,IF(ISNUMBER(SEARCH(Assumptions!$C$7,D1091)),Assumptions!$D$7,"Other Services"))),"Other Services"))</f>
        <v/>
      </c>
    </row>
    <row r="1092" customFormat="false" ht="15" hidden="false" customHeight="false" outlineLevel="0" collapsed="false">
      <c r="F1092" s="41" t="str">
        <f aca="false">IF(D1092="","",IFERROR(IF(ISNUMBER(SEARCH(Assumptions!$C$5,D1092)),Assumptions!$D$5,IF(ISNUMBER(SEARCH(Assumptions!$C$6,D1092)),Assumptions!$D$6,IF(ISNUMBER(SEARCH(Assumptions!$C$7,D1092)),Assumptions!$D$7,"Other Services"))),"Other Services"))</f>
        <v/>
      </c>
    </row>
    <row r="1093" customFormat="false" ht="15" hidden="false" customHeight="false" outlineLevel="0" collapsed="false">
      <c r="F1093" s="41" t="str">
        <f aca="false">IF(D1093="","",IFERROR(IF(ISNUMBER(SEARCH(Assumptions!$C$5,D1093)),Assumptions!$D$5,IF(ISNUMBER(SEARCH(Assumptions!$C$6,D1093)),Assumptions!$D$6,IF(ISNUMBER(SEARCH(Assumptions!$C$7,D1093)),Assumptions!$D$7,"Other Services"))),"Other Services"))</f>
        <v/>
      </c>
    </row>
    <row r="1094" customFormat="false" ht="15" hidden="false" customHeight="false" outlineLevel="0" collapsed="false">
      <c r="F1094" s="41" t="str">
        <f aca="false">IF(D1094="","",IFERROR(IF(ISNUMBER(SEARCH(Assumptions!$C$5,D1094)),Assumptions!$D$5,IF(ISNUMBER(SEARCH(Assumptions!$C$6,D1094)),Assumptions!$D$6,IF(ISNUMBER(SEARCH(Assumptions!$C$7,D1094)),Assumptions!$D$7,"Other Services"))),"Other Services"))</f>
        <v/>
      </c>
    </row>
    <row r="1095" customFormat="false" ht="15" hidden="false" customHeight="false" outlineLevel="0" collapsed="false">
      <c r="F1095" s="41" t="str">
        <f aca="false">IF(D1095="","",IFERROR(IF(ISNUMBER(SEARCH(Assumptions!$C$5,D1095)),Assumptions!$D$5,IF(ISNUMBER(SEARCH(Assumptions!$C$6,D1095)),Assumptions!$D$6,IF(ISNUMBER(SEARCH(Assumptions!$C$7,D1095)),Assumptions!$D$7,"Other Services"))),"Other Services"))</f>
        <v/>
      </c>
    </row>
    <row r="1096" customFormat="false" ht="15" hidden="false" customHeight="false" outlineLevel="0" collapsed="false">
      <c r="F1096" s="41" t="str">
        <f aca="false">IF(D1096="","",IFERROR(IF(ISNUMBER(SEARCH(Assumptions!$C$5,D1096)),Assumptions!$D$5,IF(ISNUMBER(SEARCH(Assumptions!$C$6,D1096)),Assumptions!$D$6,IF(ISNUMBER(SEARCH(Assumptions!$C$7,D1096)),Assumptions!$D$7,"Other Services"))),"Other Services"))</f>
        <v/>
      </c>
    </row>
    <row r="1097" customFormat="false" ht="15" hidden="false" customHeight="false" outlineLevel="0" collapsed="false">
      <c r="F1097" s="41" t="str">
        <f aca="false">IF(D1097="","",IFERROR(IF(ISNUMBER(SEARCH(Assumptions!$C$5,D1097)),Assumptions!$D$5,IF(ISNUMBER(SEARCH(Assumptions!$C$6,D1097)),Assumptions!$D$6,IF(ISNUMBER(SEARCH(Assumptions!$C$7,D1097)),Assumptions!$D$7,"Other Services"))),"Other Services"))</f>
        <v/>
      </c>
    </row>
    <row r="1098" customFormat="false" ht="15" hidden="false" customHeight="false" outlineLevel="0" collapsed="false">
      <c r="F1098" s="41" t="str">
        <f aca="false">IF(D1098="","",IFERROR(IF(ISNUMBER(SEARCH(Assumptions!$C$5,D1098)),Assumptions!$D$5,IF(ISNUMBER(SEARCH(Assumptions!$C$6,D1098)),Assumptions!$D$6,IF(ISNUMBER(SEARCH(Assumptions!$C$7,D1098)),Assumptions!$D$7,"Other Services"))),"Other Services"))</f>
        <v/>
      </c>
    </row>
    <row r="1099" customFormat="false" ht="15" hidden="false" customHeight="false" outlineLevel="0" collapsed="false">
      <c r="F1099" s="41" t="str">
        <f aca="false">IF(D1099="","",IFERROR(IF(ISNUMBER(SEARCH(Assumptions!$C$5,D1099)),Assumptions!$D$5,IF(ISNUMBER(SEARCH(Assumptions!$C$6,D1099)),Assumptions!$D$6,IF(ISNUMBER(SEARCH(Assumptions!$C$7,D1099)),Assumptions!$D$7,"Other Services"))),"Other Services"))</f>
        <v/>
      </c>
    </row>
    <row r="1100" customFormat="false" ht="15" hidden="false" customHeight="false" outlineLevel="0" collapsed="false">
      <c r="F1100" s="41" t="str">
        <f aca="false">IF(D1100="","",IFERROR(IF(ISNUMBER(SEARCH(Assumptions!$C$5,D1100)),Assumptions!$D$5,IF(ISNUMBER(SEARCH(Assumptions!$C$6,D1100)),Assumptions!$D$6,IF(ISNUMBER(SEARCH(Assumptions!$C$7,D1100)),Assumptions!$D$7,"Other Services"))),"Other Services"))</f>
        <v/>
      </c>
    </row>
    <row r="1101" customFormat="false" ht="15" hidden="false" customHeight="false" outlineLevel="0" collapsed="false">
      <c r="F1101" s="41" t="str">
        <f aca="false">IF(D1101="","",IFERROR(IF(ISNUMBER(SEARCH(Assumptions!$C$5,D1101)),Assumptions!$D$5,IF(ISNUMBER(SEARCH(Assumptions!$C$6,D1101)),Assumptions!$D$6,IF(ISNUMBER(SEARCH(Assumptions!$C$7,D1101)),Assumptions!$D$7,"Other Services"))),"Other Services"))</f>
        <v/>
      </c>
    </row>
    <row r="1102" customFormat="false" ht="15" hidden="false" customHeight="false" outlineLevel="0" collapsed="false">
      <c r="F1102" s="41" t="str">
        <f aca="false">IF(D1102="","",IFERROR(IF(ISNUMBER(SEARCH(Assumptions!$C$5,D1102)),Assumptions!$D$5,IF(ISNUMBER(SEARCH(Assumptions!$C$6,D1102)),Assumptions!$D$6,IF(ISNUMBER(SEARCH(Assumptions!$C$7,D1102)),Assumptions!$D$7,"Other Services"))),"Other Services"))</f>
        <v/>
      </c>
    </row>
    <row r="1103" customFormat="false" ht="15" hidden="false" customHeight="false" outlineLevel="0" collapsed="false">
      <c r="F1103" s="41" t="str">
        <f aca="false">IF(D1103="","",IFERROR(IF(ISNUMBER(SEARCH(Assumptions!$C$5,D1103)),Assumptions!$D$5,IF(ISNUMBER(SEARCH(Assumptions!$C$6,D1103)),Assumptions!$D$6,IF(ISNUMBER(SEARCH(Assumptions!$C$7,D1103)),Assumptions!$D$7,"Other Services"))),"Other Services"))</f>
        <v/>
      </c>
    </row>
    <row r="1104" customFormat="false" ht="15" hidden="false" customHeight="false" outlineLevel="0" collapsed="false">
      <c r="F1104" s="41" t="str">
        <f aca="false">IF(D1104="","",IFERROR(IF(ISNUMBER(SEARCH(Assumptions!$C$5,D1104)),Assumptions!$D$5,IF(ISNUMBER(SEARCH(Assumptions!$C$6,D1104)),Assumptions!$D$6,IF(ISNUMBER(SEARCH(Assumptions!$C$7,D1104)),Assumptions!$D$7,"Other Services"))),"Other Services"))</f>
        <v/>
      </c>
    </row>
    <row r="1105" customFormat="false" ht="15" hidden="false" customHeight="false" outlineLevel="0" collapsed="false">
      <c r="F1105" s="41" t="str">
        <f aca="false">IF(D1105="","",IFERROR(IF(ISNUMBER(SEARCH(Assumptions!$C$5,D1105)),Assumptions!$D$5,IF(ISNUMBER(SEARCH(Assumptions!$C$6,D1105)),Assumptions!$D$6,IF(ISNUMBER(SEARCH(Assumptions!$C$7,D1105)),Assumptions!$D$7,"Other Services"))),"Other Services"))</f>
        <v/>
      </c>
    </row>
    <row r="1106" customFormat="false" ht="15" hidden="false" customHeight="false" outlineLevel="0" collapsed="false">
      <c r="F1106" s="41" t="str">
        <f aca="false">IF(D1106="","",IFERROR(IF(ISNUMBER(SEARCH(Assumptions!$C$5,D1106)),Assumptions!$D$5,IF(ISNUMBER(SEARCH(Assumptions!$C$6,D1106)),Assumptions!$D$6,IF(ISNUMBER(SEARCH(Assumptions!$C$7,D1106)),Assumptions!$D$7,"Other Services"))),"Other Services"))</f>
        <v/>
      </c>
    </row>
    <row r="1107" customFormat="false" ht="15" hidden="false" customHeight="false" outlineLevel="0" collapsed="false">
      <c r="F1107" s="41" t="str">
        <f aca="false">IF(D1107="","",IFERROR(IF(ISNUMBER(SEARCH(Assumptions!$C$5,D1107)),Assumptions!$D$5,IF(ISNUMBER(SEARCH(Assumptions!$C$6,D1107)),Assumptions!$D$6,IF(ISNUMBER(SEARCH(Assumptions!$C$7,D1107)),Assumptions!$D$7,"Other Services"))),"Other Services"))</f>
        <v/>
      </c>
    </row>
    <row r="1108" customFormat="false" ht="15" hidden="false" customHeight="false" outlineLevel="0" collapsed="false">
      <c r="F1108" s="41" t="str">
        <f aca="false">IF(D1108="","",IFERROR(IF(ISNUMBER(SEARCH(Assumptions!$C$5,D1108)),Assumptions!$D$5,IF(ISNUMBER(SEARCH(Assumptions!$C$6,D1108)),Assumptions!$D$6,IF(ISNUMBER(SEARCH(Assumptions!$C$7,D1108)),Assumptions!$D$7,"Other Services"))),"Other Services"))</f>
        <v/>
      </c>
    </row>
    <row r="1109" customFormat="false" ht="15" hidden="false" customHeight="false" outlineLevel="0" collapsed="false">
      <c r="F1109" s="41" t="str">
        <f aca="false">IF(D1109="","",IFERROR(IF(ISNUMBER(SEARCH(Assumptions!$C$5,D1109)),Assumptions!$D$5,IF(ISNUMBER(SEARCH(Assumptions!$C$6,D1109)),Assumptions!$D$6,IF(ISNUMBER(SEARCH(Assumptions!$C$7,D1109)),Assumptions!$D$7,"Other Services"))),"Other Services"))</f>
        <v/>
      </c>
    </row>
    <row r="1110" customFormat="false" ht="15" hidden="false" customHeight="false" outlineLevel="0" collapsed="false">
      <c r="F1110" s="41" t="str">
        <f aca="false">IF(D1110="","",IFERROR(IF(ISNUMBER(SEARCH(Assumptions!$C$5,D1110)),Assumptions!$D$5,IF(ISNUMBER(SEARCH(Assumptions!$C$6,D1110)),Assumptions!$D$6,IF(ISNUMBER(SEARCH(Assumptions!$C$7,D1110)),Assumptions!$D$7,"Other Services"))),"Other Services"))</f>
        <v/>
      </c>
    </row>
    <row r="1111" customFormat="false" ht="15" hidden="false" customHeight="false" outlineLevel="0" collapsed="false">
      <c r="F1111" s="41" t="str">
        <f aca="false">IF(D1111="","",IFERROR(IF(ISNUMBER(SEARCH(Assumptions!$C$5,D1111)),Assumptions!$D$5,IF(ISNUMBER(SEARCH(Assumptions!$C$6,D1111)),Assumptions!$D$6,IF(ISNUMBER(SEARCH(Assumptions!$C$7,D1111)),Assumptions!$D$7,"Other Services"))),"Other Services"))</f>
        <v/>
      </c>
    </row>
    <row r="1112" customFormat="false" ht="15" hidden="false" customHeight="false" outlineLevel="0" collapsed="false">
      <c r="F1112" s="41" t="str">
        <f aca="false">IF(D1112="","",IFERROR(IF(ISNUMBER(SEARCH(Assumptions!$C$5,D1112)),Assumptions!$D$5,IF(ISNUMBER(SEARCH(Assumptions!$C$6,D1112)),Assumptions!$D$6,IF(ISNUMBER(SEARCH(Assumptions!$C$7,D1112)),Assumptions!$D$7,"Other Services"))),"Other Services"))</f>
        <v/>
      </c>
    </row>
    <row r="1113" customFormat="false" ht="15" hidden="false" customHeight="false" outlineLevel="0" collapsed="false">
      <c r="F1113" s="41" t="str">
        <f aca="false">IF(D1113="","",IFERROR(IF(ISNUMBER(SEARCH(Assumptions!$C$5,D1113)),Assumptions!$D$5,IF(ISNUMBER(SEARCH(Assumptions!$C$6,D1113)),Assumptions!$D$6,IF(ISNUMBER(SEARCH(Assumptions!$C$7,D1113)),Assumptions!$D$7,"Other Services"))),"Other Services"))</f>
        <v/>
      </c>
    </row>
    <row r="1114" customFormat="false" ht="15" hidden="false" customHeight="false" outlineLevel="0" collapsed="false">
      <c r="F1114" s="41" t="str">
        <f aca="false">IF(D1114="","",IFERROR(IF(ISNUMBER(SEARCH(Assumptions!$C$5,D1114)),Assumptions!$D$5,IF(ISNUMBER(SEARCH(Assumptions!$C$6,D1114)),Assumptions!$D$6,IF(ISNUMBER(SEARCH(Assumptions!$C$7,D1114)),Assumptions!$D$7,"Other Services"))),"Other Services"))</f>
        <v/>
      </c>
    </row>
    <row r="1115" customFormat="false" ht="15" hidden="false" customHeight="false" outlineLevel="0" collapsed="false">
      <c r="F1115" s="41" t="str">
        <f aca="false">IF(D1115="","",IFERROR(IF(ISNUMBER(SEARCH(Assumptions!$C$5,D1115)),Assumptions!$D$5,IF(ISNUMBER(SEARCH(Assumptions!$C$6,D1115)),Assumptions!$D$6,IF(ISNUMBER(SEARCH(Assumptions!$C$7,D1115)),Assumptions!$D$7,"Other Services"))),"Other Services"))</f>
        <v/>
      </c>
    </row>
    <row r="1116" customFormat="false" ht="15" hidden="false" customHeight="false" outlineLevel="0" collapsed="false">
      <c r="F1116" s="41" t="str">
        <f aca="false">IF(D1116="","",IFERROR(IF(ISNUMBER(SEARCH(Assumptions!$C$5,D1116)),Assumptions!$D$5,IF(ISNUMBER(SEARCH(Assumptions!$C$6,D1116)),Assumptions!$D$6,IF(ISNUMBER(SEARCH(Assumptions!$C$7,D1116)),Assumptions!$D$7,"Other Services"))),"Other Services"))</f>
        <v/>
      </c>
    </row>
    <row r="1117" customFormat="false" ht="15" hidden="false" customHeight="false" outlineLevel="0" collapsed="false">
      <c r="F1117" s="41" t="str">
        <f aca="false">IF(D1117="","",IFERROR(IF(ISNUMBER(SEARCH(Assumptions!$C$5,D1117)),Assumptions!$D$5,IF(ISNUMBER(SEARCH(Assumptions!$C$6,D1117)),Assumptions!$D$6,IF(ISNUMBER(SEARCH(Assumptions!$C$7,D1117)),Assumptions!$D$7,"Other Services"))),"Other Services"))</f>
        <v/>
      </c>
    </row>
    <row r="1118" customFormat="false" ht="15" hidden="false" customHeight="false" outlineLevel="0" collapsed="false">
      <c r="F1118" s="41" t="str">
        <f aca="false">IF(D1118="","",IFERROR(IF(ISNUMBER(SEARCH(Assumptions!$C$5,D1118)),Assumptions!$D$5,IF(ISNUMBER(SEARCH(Assumptions!$C$6,D1118)),Assumptions!$D$6,IF(ISNUMBER(SEARCH(Assumptions!$C$7,D1118)),Assumptions!$D$7,"Other Services"))),"Other Services"))</f>
        <v/>
      </c>
    </row>
    <row r="1119" customFormat="false" ht="15" hidden="false" customHeight="false" outlineLevel="0" collapsed="false">
      <c r="F1119" s="41" t="str">
        <f aca="false">IF(D1119="","",IFERROR(IF(ISNUMBER(SEARCH(Assumptions!$C$5,D1119)),Assumptions!$D$5,IF(ISNUMBER(SEARCH(Assumptions!$C$6,D1119)),Assumptions!$D$6,IF(ISNUMBER(SEARCH(Assumptions!$C$7,D1119)),Assumptions!$D$7,"Other Services"))),"Other Services"))</f>
        <v/>
      </c>
    </row>
    <row r="1120" customFormat="false" ht="15" hidden="false" customHeight="false" outlineLevel="0" collapsed="false">
      <c r="F1120" s="41" t="str">
        <f aca="false">IF(D1120="","",IFERROR(IF(ISNUMBER(SEARCH(Assumptions!$C$5,D1120)),Assumptions!$D$5,IF(ISNUMBER(SEARCH(Assumptions!$C$6,D1120)),Assumptions!$D$6,IF(ISNUMBER(SEARCH(Assumptions!$C$7,D1120)),Assumptions!$D$7,"Other Services"))),"Other Services"))</f>
        <v/>
      </c>
    </row>
    <row r="1121" customFormat="false" ht="15" hidden="false" customHeight="false" outlineLevel="0" collapsed="false">
      <c r="F1121" s="41" t="str">
        <f aca="false">IF(D1121="","",IFERROR(IF(ISNUMBER(SEARCH(Assumptions!$C$5,D1121)),Assumptions!$D$5,IF(ISNUMBER(SEARCH(Assumptions!$C$6,D1121)),Assumptions!$D$6,IF(ISNUMBER(SEARCH(Assumptions!$C$7,D1121)),Assumptions!$D$7,"Other Services"))),"Other Services"))</f>
        <v/>
      </c>
    </row>
    <row r="1122" customFormat="false" ht="15" hidden="false" customHeight="false" outlineLevel="0" collapsed="false">
      <c r="F1122" s="41" t="str">
        <f aca="false">IF(D1122="","",IFERROR(IF(ISNUMBER(SEARCH(Assumptions!$C$5,D1122)),Assumptions!$D$5,IF(ISNUMBER(SEARCH(Assumptions!$C$6,D1122)),Assumptions!$D$6,IF(ISNUMBER(SEARCH(Assumptions!$C$7,D1122)),Assumptions!$D$7,"Other Services"))),"Other Services"))</f>
        <v/>
      </c>
    </row>
    <row r="1123" customFormat="false" ht="15" hidden="false" customHeight="false" outlineLevel="0" collapsed="false">
      <c r="F1123" s="41" t="str">
        <f aca="false">IF(D1123="","",IFERROR(IF(ISNUMBER(SEARCH(Assumptions!$C$5,D1123)),Assumptions!$D$5,IF(ISNUMBER(SEARCH(Assumptions!$C$6,D1123)),Assumptions!$D$6,IF(ISNUMBER(SEARCH(Assumptions!$C$7,D1123)),Assumptions!$D$7,"Other Services"))),"Other Services"))</f>
        <v/>
      </c>
    </row>
    <row r="1124" customFormat="false" ht="15" hidden="false" customHeight="false" outlineLevel="0" collapsed="false">
      <c r="F1124" s="41" t="str">
        <f aca="false">IF(D1124="","",IFERROR(IF(ISNUMBER(SEARCH(Assumptions!$C$5,D1124)),Assumptions!$D$5,IF(ISNUMBER(SEARCH(Assumptions!$C$6,D1124)),Assumptions!$D$6,IF(ISNUMBER(SEARCH(Assumptions!$C$7,D1124)),Assumptions!$D$7,"Other Services"))),"Other Services"))</f>
        <v/>
      </c>
    </row>
    <row r="1125" customFormat="false" ht="15" hidden="false" customHeight="false" outlineLevel="0" collapsed="false">
      <c r="F1125" s="41" t="str">
        <f aca="false">IF(D1125="","",IFERROR(IF(ISNUMBER(SEARCH(Assumptions!$C$5,D1125)),Assumptions!$D$5,IF(ISNUMBER(SEARCH(Assumptions!$C$6,D1125)),Assumptions!$D$6,IF(ISNUMBER(SEARCH(Assumptions!$C$7,D1125)),Assumptions!$D$7,"Other Services"))),"Other Services"))</f>
        <v/>
      </c>
    </row>
    <row r="1126" customFormat="false" ht="15" hidden="false" customHeight="false" outlineLevel="0" collapsed="false">
      <c r="F1126" s="41" t="str">
        <f aca="false">IF(D1126="","",IFERROR(IF(ISNUMBER(SEARCH(Assumptions!$C$5,D1126)),Assumptions!$D$5,IF(ISNUMBER(SEARCH(Assumptions!$C$6,D1126)),Assumptions!$D$6,IF(ISNUMBER(SEARCH(Assumptions!$C$7,D1126)),Assumptions!$D$7,"Other Services"))),"Other Services"))</f>
        <v/>
      </c>
    </row>
    <row r="1127" customFormat="false" ht="15" hidden="false" customHeight="false" outlineLevel="0" collapsed="false">
      <c r="F1127" s="41" t="str">
        <f aca="false">IF(D1127="","",IFERROR(IF(ISNUMBER(SEARCH(Assumptions!$C$5,D1127)),Assumptions!$D$5,IF(ISNUMBER(SEARCH(Assumptions!$C$6,D1127)),Assumptions!$D$6,IF(ISNUMBER(SEARCH(Assumptions!$C$7,D1127)),Assumptions!$D$7,"Other Services"))),"Other Services"))</f>
        <v/>
      </c>
    </row>
    <row r="1128" customFormat="false" ht="15" hidden="false" customHeight="false" outlineLevel="0" collapsed="false">
      <c r="F1128" s="41" t="str">
        <f aca="false">IF(D1128="","",IFERROR(IF(ISNUMBER(SEARCH(Assumptions!$C$5,D1128)),Assumptions!$D$5,IF(ISNUMBER(SEARCH(Assumptions!$C$6,D1128)),Assumptions!$D$6,IF(ISNUMBER(SEARCH(Assumptions!$C$7,D1128)),Assumptions!$D$7,"Other Services"))),"Other Services"))</f>
        <v/>
      </c>
    </row>
    <row r="1129" customFormat="false" ht="15" hidden="false" customHeight="false" outlineLevel="0" collapsed="false">
      <c r="F1129" s="41" t="str">
        <f aca="false">IF(D1129="","",IFERROR(IF(ISNUMBER(SEARCH(Assumptions!$C$5,D1129)),Assumptions!$D$5,IF(ISNUMBER(SEARCH(Assumptions!$C$6,D1129)),Assumptions!$D$6,IF(ISNUMBER(SEARCH(Assumptions!$C$7,D1129)),Assumptions!$D$7,"Other Services"))),"Other Services"))</f>
        <v/>
      </c>
    </row>
    <row r="1130" customFormat="false" ht="15" hidden="false" customHeight="false" outlineLevel="0" collapsed="false">
      <c r="F1130" s="41" t="str">
        <f aca="false">IF(D1130="","",IFERROR(IF(ISNUMBER(SEARCH(Assumptions!$C$5,D1130)),Assumptions!$D$5,IF(ISNUMBER(SEARCH(Assumptions!$C$6,D1130)),Assumptions!$D$6,IF(ISNUMBER(SEARCH(Assumptions!$C$7,D1130)),Assumptions!$D$7,"Other Services"))),"Other Services"))</f>
        <v/>
      </c>
    </row>
    <row r="1131" customFormat="false" ht="15" hidden="false" customHeight="false" outlineLevel="0" collapsed="false">
      <c r="F1131" s="41" t="str">
        <f aca="false">IF(D1131="","",IFERROR(IF(ISNUMBER(SEARCH(Assumptions!$C$5,D1131)),Assumptions!$D$5,IF(ISNUMBER(SEARCH(Assumptions!$C$6,D1131)),Assumptions!$D$6,IF(ISNUMBER(SEARCH(Assumptions!$C$7,D1131)),Assumptions!$D$7,"Other Services"))),"Other Services"))</f>
        <v/>
      </c>
    </row>
    <row r="1132" customFormat="false" ht="15" hidden="false" customHeight="false" outlineLevel="0" collapsed="false">
      <c r="F1132" s="41" t="str">
        <f aca="false">IF(D1132="","",IFERROR(IF(ISNUMBER(SEARCH(Assumptions!$C$5,D1132)),Assumptions!$D$5,IF(ISNUMBER(SEARCH(Assumptions!$C$6,D1132)),Assumptions!$D$6,IF(ISNUMBER(SEARCH(Assumptions!$C$7,D1132)),Assumptions!$D$7,"Other Services"))),"Other Services"))</f>
        <v/>
      </c>
    </row>
    <row r="1133" customFormat="false" ht="15" hidden="false" customHeight="false" outlineLevel="0" collapsed="false">
      <c r="F1133" s="41" t="str">
        <f aca="false">IF(D1133="","",IFERROR(IF(ISNUMBER(SEARCH(Assumptions!$C$5,D1133)),Assumptions!$D$5,IF(ISNUMBER(SEARCH(Assumptions!$C$6,D1133)),Assumptions!$D$6,IF(ISNUMBER(SEARCH(Assumptions!$C$7,D1133)),Assumptions!$D$7,"Other Services"))),"Other Services"))</f>
        <v/>
      </c>
    </row>
    <row r="1134" customFormat="false" ht="15" hidden="false" customHeight="false" outlineLevel="0" collapsed="false">
      <c r="F1134" s="41" t="str">
        <f aca="false">IF(D1134="","",IFERROR(IF(ISNUMBER(SEARCH(Assumptions!$C$5,D1134)),Assumptions!$D$5,IF(ISNUMBER(SEARCH(Assumptions!$C$6,D1134)),Assumptions!$D$6,IF(ISNUMBER(SEARCH(Assumptions!$C$7,D1134)),Assumptions!$D$7,"Other Services"))),"Other Services"))</f>
        <v/>
      </c>
    </row>
    <row r="1135" customFormat="false" ht="15" hidden="false" customHeight="false" outlineLevel="0" collapsed="false">
      <c r="F1135" s="41" t="str">
        <f aca="false">IF(D1135="","",IFERROR(IF(ISNUMBER(SEARCH(Assumptions!$C$5,D1135)),Assumptions!$D$5,IF(ISNUMBER(SEARCH(Assumptions!$C$6,D1135)),Assumptions!$D$6,IF(ISNUMBER(SEARCH(Assumptions!$C$7,D1135)),Assumptions!$D$7,"Other Services"))),"Other Services"))</f>
        <v/>
      </c>
    </row>
    <row r="1136" customFormat="false" ht="15" hidden="false" customHeight="false" outlineLevel="0" collapsed="false">
      <c r="F1136" s="41" t="str">
        <f aca="false">IF(D1136="","",IFERROR(IF(ISNUMBER(SEARCH(Assumptions!$C$5,D1136)),Assumptions!$D$5,IF(ISNUMBER(SEARCH(Assumptions!$C$6,D1136)),Assumptions!$D$6,IF(ISNUMBER(SEARCH(Assumptions!$C$7,D1136)),Assumptions!$D$7,"Other Services"))),"Other Services"))</f>
        <v/>
      </c>
    </row>
    <row r="1137" customFormat="false" ht="15" hidden="false" customHeight="false" outlineLevel="0" collapsed="false">
      <c r="F1137" s="41" t="str">
        <f aca="false">IF(D1137="","",IFERROR(IF(ISNUMBER(SEARCH(Assumptions!$C$5,D1137)),Assumptions!$D$5,IF(ISNUMBER(SEARCH(Assumptions!$C$6,D1137)),Assumptions!$D$6,IF(ISNUMBER(SEARCH(Assumptions!$C$7,D1137)),Assumptions!$D$7,"Other Services"))),"Other Services"))</f>
        <v/>
      </c>
    </row>
    <row r="1138" customFormat="false" ht="15" hidden="false" customHeight="false" outlineLevel="0" collapsed="false">
      <c r="F1138" s="41" t="str">
        <f aca="false">IF(D1138="","",IFERROR(IF(ISNUMBER(SEARCH(Assumptions!$C$5,D1138)),Assumptions!$D$5,IF(ISNUMBER(SEARCH(Assumptions!$C$6,D1138)),Assumptions!$D$6,IF(ISNUMBER(SEARCH(Assumptions!$C$7,D1138)),Assumptions!$D$7,"Other Services"))),"Other Services"))</f>
        <v/>
      </c>
    </row>
    <row r="1139" customFormat="false" ht="15" hidden="false" customHeight="false" outlineLevel="0" collapsed="false">
      <c r="F1139" s="41" t="str">
        <f aca="false">IF(D1139="","",IFERROR(IF(ISNUMBER(SEARCH(Assumptions!$C$5,D1139)),Assumptions!$D$5,IF(ISNUMBER(SEARCH(Assumptions!$C$6,D1139)),Assumptions!$D$6,IF(ISNUMBER(SEARCH(Assumptions!$C$7,D1139)),Assumptions!$D$7,"Other Services"))),"Other Services"))</f>
        <v/>
      </c>
    </row>
    <row r="1140" customFormat="false" ht="15" hidden="false" customHeight="false" outlineLevel="0" collapsed="false">
      <c r="F1140" s="41" t="str">
        <f aca="false">IF(D1140="","",IFERROR(IF(ISNUMBER(SEARCH(Assumptions!$C$5,D1140)),Assumptions!$D$5,IF(ISNUMBER(SEARCH(Assumptions!$C$6,D1140)),Assumptions!$D$6,IF(ISNUMBER(SEARCH(Assumptions!$C$7,D1140)),Assumptions!$D$7,"Other Services"))),"Other Services"))</f>
        <v/>
      </c>
    </row>
    <row r="1141" customFormat="false" ht="15" hidden="false" customHeight="false" outlineLevel="0" collapsed="false">
      <c r="F1141" s="41" t="str">
        <f aca="false">IF(D1141="","",IFERROR(IF(ISNUMBER(SEARCH(Assumptions!$C$5,D1141)),Assumptions!$D$5,IF(ISNUMBER(SEARCH(Assumptions!$C$6,D1141)),Assumptions!$D$6,IF(ISNUMBER(SEARCH(Assumptions!$C$7,D1141)),Assumptions!$D$7,"Other Services"))),"Other Services"))</f>
        <v/>
      </c>
    </row>
    <row r="1142" customFormat="false" ht="15" hidden="false" customHeight="false" outlineLevel="0" collapsed="false">
      <c r="F1142" s="41" t="str">
        <f aca="false">IF(D1142="","",IFERROR(IF(ISNUMBER(SEARCH(Assumptions!$C$5,D1142)),Assumptions!$D$5,IF(ISNUMBER(SEARCH(Assumptions!$C$6,D1142)),Assumptions!$D$6,IF(ISNUMBER(SEARCH(Assumptions!$C$7,D1142)),Assumptions!$D$7,"Other Services"))),"Other Services"))</f>
        <v/>
      </c>
    </row>
    <row r="1143" customFormat="false" ht="15" hidden="false" customHeight="false" outlineLevel="0" collapsed="false">
      <c r="F1143" s="41" t="str">
        <f aca="false">IF(D1143="","",IFERROR(IF(ISNUMBER(SEARCH(Assumptions!$C$5,D1143)),Assumptions!$D$5,IF(ISNUMBER(SEARCH(Assumptions!$C$6,D1143)),Assumptions!$D$6,IF(ISNUMBER(SEARCH(Assumptions!$C$7,D1143)),Assumptions!$D$7,"Other Services"))),"Other Services"))</f>
        <v/>
      </c>
    </row>
    <row r="1144" customFormat="false" ht="15" hidden="false" customHeight="false" outlineLevel="0" collapsed="false">
      <c r="F1144" s="41" t="str">
        <f aca="false">IF(D1144="","",IFERROR(IF(ISNUMBER(SEARCH(Assumptions!$C$5,D1144)),Assumptions!$D$5,IF(ISNUMBER(SEARCH(Assumptions!$C$6,D1144)),Assumptions!$D$6,IF(ISNUMBER(SEARCH(Assumptions!$C$7,D1144)),Assumptions!$D$7,"Other Services"))),"Other Services"))</f>
        <v/>
      </c>
    </row>
    <row r="1145" customFormat="false" ht="15" hidden="false" customHeight="false" outlineLevel="0" collapsed="false">
      <c r="F1145" s="41" t="str">
        <f aca="false">IF(D1145="","",IFERROR(IF(ISNUMBER(SEARCH(Assumptions!$C$5,D1145)),Assumptions!$D$5,IF(ISNUMBER(SEARCH(Assumptions!$C$6,D1145)),Assumptions!$D$6,IF(ISNUMBER(SEARCH(Assumptions!$C$7,D1145)),Assumptions!$D$7,"Other Services"))),"Other Services"))</f>
        <v/>
      </c>
    </row>
    <row r="1146" customFormat="false" ht="15" hidden="false" customHeight="false" outlineLevel="0" collapsed="false">
      <c r="F1146" s="41" t="str">
        <f aca="false">IF(D1146="","",IFERROR(IF(ISNUMBER(SEARCH(Assumptions!$C$5,D1146)),Assumptions!$D$5,IF(ISNUMBER(SEARCH(Assumptions!$C$6,D1146)),Assumptions!$D$6,IF(ISNUMBER(SEARCH(Assumptions!$C$7,D1146)),Assumptions!$D$7,"Other Services"))),"Other Services"))</f>
        <v/>
      </c>
    </row>
    <row r="1147" customFormat="false" ht="15" hidden="false" customHeight="false" outlineLevel="0" collapsed="false">
      <c r="F1147" s="41" t="str">
        <f aca="false">IF(D1147="","",IFERROR(IF(ISNUMBER(SEARCH(Assumptions!$C$5,D1147)),Assumptions!$D$5,IF(ISNUMBER(SEARCH(Assumptions!$C$6,D1147)),Assumptions!$D$6,IF(ISNUMBER(SEARCH(Assumptions!$C$7,D1147)),Assumptions!$D$7,"Other Services"))),"Other Services"))</f>
        <v/>
      </c>
    </row>
    <row r="1148" customFormat="false" ht="15" hidden="false" customHeight="false" outlineLevel="0" collapsed="false">
      <c r="F1148" s="41" t="str">
        <f aca="false">IF(D1148="","",IFERROR(IF(ISNUMBER(SEARCH(Assumptions!$C$5,D1148)),Assumptions!$D$5,IF(ISNUMBER(SEARCH(Assumptions!$C$6,D1148)),Assumptions!$D$6,IF(ISNUMBER(SEARCH(Assumptions!$C$7,D1148)),Assumptions!$D$7,"Other Services"))),"Other Services"))</f>
        <v/>
      </c>
    </row>
    <row r="1149" customFormat="false" ht="15" hidden="false" customHeight="false" outlineLevel="0" collapsed="false">
      <c r="F1149" s="41" t="str">
        <f aca="false">IF(D1149="","",IFERROR(IF(ISNUMBER(SEARCH(Assumptions!$C$5,D1149)),Assumptions!$D$5,IF(ISNUMBER(SEARCH(Assumptions!$C$6,D1149)),Assumptions!$D$6,IF(ISNUMBER(SEARCH(Assumptions!$C$7,D1149)),Assumptions!$D$7,"Other Services"))),"Other Services"))</f>
        <v/>
      </c>
    </row>
    <row r="1150" customFormat="false" ht="15" hidden="false" customHeight="false" outlineLevel="0" collapsed="false">
      <c r="F1150" s="41" t="str">
        <f aca="false">IF(D1150="","",IFERROR(IF(ISNUMBER(SEARCH(Assumptions!$C$5,D1150)),Assumptions!$D$5,IF(ISNUMBER(SEARCH(Assumptions!$C$6,D1150)),Assumptions!$D$6,IF(ISNUMBER(SEARCH(Assumptions!$C$7,D1150)),Assumptions!$D$7,"Other Services"))),"Other Services"))</f>
        <v/>
      </c>
    </row>
    <row r="1151" customFormat="false" ht="15" hidden="false" customHeight="false" outlineLevel="0" collapsed="false">
      <c r="F1151" s="41" t="str">
        <f aca="false">IF(D1151="","",IFERROR(IF(ISNUMBER(SEARCH(Assumptions!$C$5,D1151)),Assumptions!$D$5,IF(ISNUMBER(SEARCH(Assumptions!$C$6,D1151)),Assumptions!$D$6,IF(ISNUMBER(SEARCH(Assumptions!$C$7,D1151)),Assumptions!$D$7,"Other Services"))),"Other Services"))</f>
        <v/>
      </c>
    </row>
    <row r="1152" customFormat="false" ht="15" hidden="false" customHeight="false" outlineLevel="0" collapsed="false">
      <c r="F1152" s="41" t="str">
        <f aca="false">IF(D1152="","",IFERROR(IF(ISNUMBER(SEARCH(Assumptions!$C$5,D1152)),Assumptions!$D$5,IF(ISNUMBER(SEARCH(Assumptions!$C$6,D1152)),Assumptions!$D$6,IF(ISNUMBER(SEARCH(Assumptions!$C$7,D1152)),Assumptions!$D$7,"Other Services"))),"Other Services"))</f>
        <v/>
      </c>
    </row>
    <row r="1153" customFormat="false" ht="15" hidden="false" customHeight="false" outlineLevel="0" collapsed="false">
      <c r="F1153" s="41" t="str">
        <f aca="false">IF(D1153="","",IFERROR(IF(ISNUMBER(SEARCH(Assumptions!$C$5,D1153)),Assumptions!$D$5,IF(ISNUMBER(SEARCH(Assumptions!$C$6,D1153)),Assumptions!$D$6,IF(ISNUMBER(SEARCH(Assumptions!$C$7,D1153)),Assumptions!$D$7,"Other Services"))),"Other Services"))</f>
        <v/>
      </c>
    </row>
    <row r="1154" customFormat="false" ht="15" hidden="false" customHeight="false" outlineLevel="0" collapsed="false">
      <c r="F1154" s="41" t="str">
        <f aca="false">IF(D1154="","",IFERROR(IF(ISNUMBER(SEARCH(Assumptions!$C$5,D1154)),Assumptions!$D$5,IF(ISNUMBER(SEARCH(Assumptions!$C$6,D1154)),Assumptions!$D$6,IF(ISNUMBER(SEARCH(Assumptions!$C$7,D1154)),Assumptions!$D$7,"Other Services"))),"Other Services"))</f>
        <v/>
      </c>
    </row>
    <row r="1155" customFormat="false" ht="15" hidden="false" customHeight="false" outlineLevel="0" collapsed="false">
      <c r="F1155" s="41" t="str">
        <f aca="false">IF(D1155="","",IFERROR(IF(ISNUMBER(SEARCH(Assumptions!$C$5,D1155)),Assumptions!$D$5,IF(ISNUMBER(SEARCH(Assumptions!$C$6,D1155)),Assumptions!$D$6,IF(ISNUMBER(SEARCH(Assumptions!$C$7,D1155)),Assumptions!$D$7,"Other Services"))),"Other Services"))</f>
        <v/>
      </c>
    </row>
    <row r="1156" customFormat="false" ht="15" hidden="false" customHeight="false" outlineLevel="0" collapsed="false">
      <c r="F1156" s="41" t="str">
        <f aca="false">IF(D1156="","",IFERROR(IF(ISNUMBER(SEARCH(Assumptions!$C$5,D1156)),Assumptions!$D$5,IF(ISNUMBER(SEARCH(Assumptions!$C$6,D1156)),Assumptions!$D$6,IF(ISNUMBER(SEARCH(Assumptions!$C$7,D1156)),Assumptions!$D$7,"Other Services"))),"Other Services"))</f>
        <v/>
      </c>
    </row>
    <row r="1157" customFormat="false" ht="15" hidden="false" customHeight="false" outlineLevel="0" collapsed="false">
      <c r="F1157" s="41" t="str">
        <f aca="false">IF(D1157="","",IFERROR(IF(ISNUMBER(SEARCH(Assumptions!$C$5,D1157)),Assumptions!$D$5,IF(ISNUMBER(SEARCH(Assumptions!$C$6,D1157)),Assumptions!$D$6,IF(ISNUMBER(SEARCH(Assumptions!$C$7,D1157)),Assumptions!$D$7,"Other Services"))),"Other Services"))</f>
        <v/>
      </c>
    </row>
    <row r="1158" customFormat="false" ht="15" hidden="false" customHeight="false" outlineLevel="0" collapsed="false">
      <c r="F1158" s="41" t="str">
        <f aca="false">IF(D1158="","",IFERROR(IF(ISNUMBER(SEARCH(Assumptions!$C$5,D1158)),Assumptions!$D$5,IF(ISNUMBER(SEARCH(Assumptions!$C$6,D1158)),Assumptions!$D$6,IF(ISNUMBER(SEARCH(Assumptions!$C$7,D1158)),Assumptions!$D$7,"Other Services"))),"Other Services"))</f>
        <v/>
      </c>
    </row>
    <row r="1159" customFormat="false" ht="15" hidden="false" customHeight="false" outlineLevel="0" collapsed="false">
      <c r="F1159" s="41" t="str">
        <f aca="false">IF(D1159="","",IFERROR(IF(ISNUMBER(SEARCH(Assumptions!$C$5,D1159)),Assumptions!$D$5,IF(ISNUMBER(SEARCH(Assumptions!$C$6,D1159)),Assumptions!$D$6,IF(ISNUMBER(SEARCH(Assumptions!$C$7,D1159)),Assumptions!$D$7,"Other Services"))),"Other Services"))</f>
        <v/>
      </c>
    </row>
    <row r="1160" customFormat="false" ht="15" hidden="false" customHeight="false" outlineLevel="0" collapsed="false">
      <c r="F1160" s="41" t="str">
        <f aca="false">IF(D1160="","",IFERROR(IF(ISNUMBER(SEARCH(Assumptions!$C$5,D1160)),Assumptions!$D$5,IF(ISNUMBER(SEARCH(Assumptions!$C$6,D1160)),Assumptions!$D$6,IF(ISNUMBER(SEARCH(Assumptions!$C$7,D1160)),Assumptions!$D$7,"Other Services"))),"Other Services"))</f>
        <v/>
      </c>
    </row>
    <row r="1161" customFormat="false" ht="15" hidden="false" customHeight="false" outlineLevel="0" collapsed="false">
      <c r="F1161" s="41" t="str">
        <f aca="false">IF(D1161="","",IFERROR(IF(ISNUMBER(SEARCH(Assumptions!$C$5,D1161)),Assumptions!$D$5,IF(ISNUMBER(SEARCH(Assumptions!$C$6,D1161)),Assumptions!$D$6,IF(ISNUMBER(SEARCH(Assumptions!$C$7,D1161)),Assumptions!$D$7,"Other Services"))),"Other Services"))</f>
        <v/>
      </c>
    </row>
    <row r="1162" customFormat="false" ht="15" hidden="false" customHeight="false" outlineLevel="0" collapsed="false">
      <c r="F1162" s="41" t="str">
        <f aca="false">IF(D1162="","",IFERROR(IF(ISNUMBER(SEARCH(Assumptions!$C$5,D1162)),Assumptions!$D$5,IF(ISNUMBER(SEARCH(Assumptions!$C$6,D1162)),Assumptions!$D$6,IF(ISNUMBER(SEARCH(Assumptions!$C$7,D1162)),Assumptions!$D$7,"Other Services"))),"Other Services"))</f>
        <v/>
      </c>
    </row>
    <row r="1163" customFormat="false" ht="15" hidden="false" customHeight="false" outlineLevel="0" collapsed="false">
      <c r="F1163" s="41" t="str">
        <f aca="false">IF(D1163="","",IFERROR(IF(ISNUMBER(SEARCH(Assumptions!$C$5,D1163)),Assumptions!$D$5,IF(ISNUMBER(SEARCH(Assumptions!$C$6,D1163)),Assumptions!$D$6,IF(ISNUMBER(SEARCH(Assumptions!$C$7,D1163)),Assumptions!$D$7,"Other Services"))),"Other Services"))</f>
        <v/>
      </c>
    </row>
    <row r="1164" customFormat="false" ht="15" hidden="false" customHeight="false" outlineLevel="0" collapsed="false">
      <c r="F1164" s="41" t="str">
        <f aca="false">IF(D1164="","",IFERROR(IF(ISNUMBER(SEARCH(Assumptions!$C$5,D1164)),Assumptions!$D$5,IF(ISNUMBER(SEARCH(Assumptions!$C$6,D1164)),Assumptions!$D$6,IF(ISNUMBER(SEARCH(Assumptions!$C$7,D1164)),Assumptions!$D$7,"Other Services"))),"Other Services"))</f>
        <v/>
      </c>
    </row>
    <row r="1165" customFormat="false" ht="15" hidden="false" customHeight="false" outlineLevel="0" collapsed="false">
      <c r="F1165" s="41" t="str">
        <f aca="false">IF(D1165="","",IFERROR(IF(ISNUMBER(SEARCH(Assumptions!$C$5,D1165)),Assumptions!$D$5,IF(ISNUMBER(SEARCH(Assumptions!$C$6,D1165)),Assumptions!$D$6,IF(ISNUMBER(SEARCH(Assumptions!$C$7,D1165)),Assumptions!$D$7,"Other Services"))),"Other Services"))</f>
        <v/>
      </c>
    </row>
    <row r="1166" customFormat="false" ht="15" hidden="false" customHeight="false" outlineLevel="0" collapsed="false">
      <c r="F1166" s="41" t="str">
        <f aca="false">IF(D1166="","",IFERROR(IF(ISNUMBER(SEARCH(Assumptions!$C$5,D1166)),Assumptions!$D$5,IF(ISNUMBER(SEARCH(Assumptions!$C$6,D1166)),Assumptions!$D$6,IF(ISNUMBER(SEARCH(Assumptions!$C$7,D1166)),Assumptions!$D$7,"Other Services"))),"Other Services"))</f>
        <v/>
      </c>
    </row>
    <row r="1167" customFormat="false" ht="15" hidden="false" customHeight="false" outlineLevel="0" collapsed="false">
      <c r="F1167" s="41" t="str">
        <f aca="false">IF(D1167="","",IFERROR(IF(ISNUMBER(SEARCH(Assumptions!$C$5,D1167)),Assumptions!$D$5,IF(ISNUMBER(SEARCH(Assumptions!$C$6,D1167)),Assumptions!$D$6,IF(ISNUMBER(SEARCH(Assumptions!$C$7,D1167)),Assumptions!$D$7,"Other Services"))),"Other Services"))</f>
        <v/>
      </c>
    </row>
    <row r="1168" customFormat="false" ht="15" hidden="false" customHeight="false" outlineLevel="0" collapsed="false">
      <c r="F1168" s="41" t="str">
        <f aca="false">IF(D1168="","",IFERROR(IF(ISNUMBER(SEARCH(Assumptions!$C$5,D1168)),Assumptions!$D$5,IF(ISNUMBER(SEARCH(Assumptions!$C$6,D1168)),Assumptions!$D$6,IF(ISNUMBER(SEARCH(Assumptions!$C$7,D1168)),Assumptions!$D$7,"Other Services"))),"Other Services"))</f>
        <v/>
      </c>
    </row>
    <row r="1169" customFormat="false" ht="15" hidden="false" customHeight="false" outlineLevel="0" collapsed="false">
      <c r="F1169" s="41" t="str">
        <f aca="false">IF(D1169="","",IFERROR(IF(ISNUMBER(SEARCH(Assumptions!$C$5,D1169)),Assumptions!$D$5,IF(ISNUMBER(SEARCH(Assumptions!$C$6,D1169)),Assumptions!$D$6,IF(ISNUMBER(SEARCH(Assumptions!$C$7,D1169)),Assumptions!$D$7,"Other Services"))),"Other Services"))</f>
        <v/>
      </c>
    </row>
    <row r="1170" customFormat="false" ht="15" hidden="false" customHeight="false" outlineLevel="0" collapsed="false">
      <c r="F1170" s="41" t="str">
        <f aca="false">IF(D1170="","",IFERROR(IF(ISNUMBER(SEARCH(Assumptions!$C$5,D1170)),Assumptions!$D$5,IF(ISNUMBER(SEARCH(Assumptions!$C$6,D1170)),Assumptions!$D$6,IF(ISNUMBER(SEARCH(Assumptions!$C$7,D1170)),Assumptions!$D$7,"Other Services"))),"Other Services"))</f>
        <v/>
      </c>
    </row>
    <row r="1171" customFormat="false" ht="15" hidden="false" customHeight="false" outlineLevel="0" collapsed="false">
      <c r="F1171" s="41" t="str">
        <f aca="false">IF(D1171="","",IFERROR(IF(ISNUMBER(SEARCH(Assumptions!$C$5,D1171)),Assumptions!$D$5,IF(ISNUMBER(SEARCH(Assumptions!$C$6,D1171)),Assumptions!$D$6,IF(ISNUMBER(SEARCH(Assumptions!$C$7,D1171)),Assumptions!$D$7,"Other Services"))),"Other Services"))</f>
        <v/>
      </c>
    </row>
    <row r="1172" customFormat="false" ht="15" hidden="false" customHeight="false" outlineLevel="0" collapsed="false">
      <c r="F1172" s="41" t="str">
        <f aca="false">IF(D1172="","",IFERROR(IF(ISNUMBER(SEARCH(Assumptions!$C$5,D1172)),Assumptions!$D$5,IF(ISNUMBER(SEARCH(Assumptions!$C$6,D1172)),Assumptions!$D$6,IF(ISNUMBER(SEARCH(Assumptions!$C$7,D1172)),Assumptions!$D$7,"Other Services"))),"Other Services"))</f>
        <v/>
      </c>
    </row>
    <row r="1173" customFormat="false" ht="15" hidden="false" customHeight="false" outlineLevel="0" collapsed="false">
      <c r="F1173" s="41" t="str">
        <f aca="false">IF(D1173="","",IFERROR(IF(ISNUMBER(SEARCH(Assumptions!$C$5,D1173)),Assumptions!$D$5,IF(ISNUMBER(SEARCH(Assumptions!$C$6,D1173)),Assumptions!$D$6,IF(ISNUMBER(SEARCH(Assumptions!$C$7,D1173)),Assumptions!$D$7,"Other Services"))),"Other Services"))</f>
        <v/>
      </c>
    </row>
    <row r="1174" customFormat="false" ht="15" hidden="false" customHeight="false" outlineLevel="0" collapsed="false">
      <c r="F1174" s="41" t="str">
        <f aca="false">IF(D1174="","",IFERROR(IF(ISNUMBER(SEARCH(Assumptions!$C$5,D1174)),Assumptions!$D$5,IF(ISNUMBER(SEARCH(Assumptions!$C$6,D1174)),Assumptions!$D$6,IF(ISNUMBER(SEARCH(Assumptions!$C$7,D1174)),Assumptions!$D$7,"Other Services"))),"Other Services"))</f>
        <v/>
      </c>
    </row>
    <row r="1175" customFormat="false" ht="15" hidden="false" customHeight="false" outlineLevel="0" collapsed="false">
      <c r="F1175" s="41" t="str">
        <f aca="false">IF(D1175="","",IFERROR(IF(ISNUMBER(SEARCH(Assumptions!$C$5,D1175)),Assumptions!$D$5,IF(ISNUMBER(SEARCH(Assumptions!$C$6,D1175)),Assumptions!$D$6,IF(ISNUMBER(SEARCH(Assumptions!$C$7,D1175)),Assumptions!$D$7,"Other Services"))),"Other Services"))</f>
        <v/>
      </c>
    </row>
    <row r="1176" customFormat="false" ht="15" hidden="false" customHeight="false" outlineLevel="0" collapsed="false">
      <c r="F1176" s="41" t="str">
        <f aca="false">IF(D1176="","",IFERROR(IF(ISNUMBER(SEARCH(Assumptions!$C$5,D1176)),Assumptions!$D$5,IF(ISNUMBER(SEARCH(Assumptions!$C$6,D1176)),Assumptions!$D$6,IF(ISNUMBER(SEARCH(Assumptions!$C$7,D1176)),Assumptions!$D$7,"Other Services"))),"Other Services"))</f>
        <v/>
      </c>
    </row>
    <row r="1177" customFormat="false" ht="15" hidden="false" customHeight="false" outlineLevel="0" collapsed="false">
      <c r="F1177" s="41" t="str">
        <f aca="false">IF(D1177="","",IFERROR(IF(ISNUMBER(SEARCH(Assumptions!$C$5,D1177)),Assumptions!$D$5,IF(ISNUMBER(SEARCH(Assumptions!$C$6,D1177)),Assumptions!$D$6,IF(ISNUMBER(SEARCH(Assumptions!$C$7,D1177)),Assumptions!$D$7,"Other Services"))),"Other Services"))</f>
        <v/>
      </c>
    </row>
    <row r="1178" customFormat="false" ht="15" hidden="false" customHeight="false" outlineLevel="0" collapsed="false">
      <c r="F1178" s="41" t="str">
        <f aca="false">IF(D1178="","",IFERROR(IF(ISNUMBER(SEARCH(Assumptions!$C$5,D1178)),Assumptions!$D$5,IF(ISNUMBER(SEARCH(Assumptions!$C$6,D1178)),Assumptions!$D$6,IF(ISNUMBER(SEARCH(Assumptions!$C$7,D1178)),Assumptions!$D$7,"Other Services"))),"Other Services"))</f>
        <v/>
      </c>
    </row>
    <row r="1179" customFormat="false" ht="15" hidden="false" customHeight="false" outlineLevel="0" collapsed="false">
      <c r="F1179" s="41" t="str">
        <f aca="false">IF(D1179="","",IFERROR(IF(ISNUMBER(SEARCH(Assumptions!$C$5,D1179)),Assumptions!$D$5,IF(ISNUMBER(SEARCH(Assumptions!$C$6,D1179)),Assumptions!$D$6,IF(ISNUMBER(SEARCH(Assumptions!$C$7,D1179)),Assumptions!$D$7,"Other Services"))),"Other Services"))</f>
        <v/>
      </c>
    </row>
    <row r="1180" customFormat="false" ht="15" hidden="false" customHeight="false" outlineLevel="0" collapsed="false">
      <c r="F1180" s="41" t="str">
        <f aca="false">IF(D1180="","",IFERROR(IF(ISNUMBER(SEARCH(Assumptions!$C$5,D1180)),Assumptions!$D$5,IF(ISNUMBER(SEARCH(Assumptions!$C$6,D1180)),Assumptions!$D$6,IF(ISNUMBER(SEARCH(Assumptions!$C$7,D1180)),Assumptions!$D$7,"Other Services"))),"Other Services"))</f>
        <v/>
      </c>
    </row>
    <row r="1181" customFormat="false" ht="15" hidden="false" customHeight="false" outlineLevel="0" collapsed="false">
      <c r="F1181" s="41" t="str">
        <f aca="false">IF(D1181="","",IFERROR(IF(ISNUMBER(SEARCH(Assumptions!$C$5,D1181)),Assumptions!$D$5,IF(ISNUMBER(SEARCH(Assumptions!$C$6,D1181)),Assumptions!$D$6,IF(ISNUMBER(SEARCH(Assumptions!$C$7,D1181)),Assumptions!$D$7,"Other Services"))),"Other Services"))</f>
        <v/>
      </c>
    </row>
    <row r="1182" customFormat="false" ht="15" hidden="false" customHeight="false" outlineLevel="0" collapsed="false">
      <c r="F1182" s="41" t="str">
        <f aca="false">IF(D1182="","",IFERROR(IF(ISNUMBER(SEARCH(Assumptions!$C$5,D1182)),Assumptions!$D$5,IF(ISNUMBER(SEARCH(Assumptions!$C$6,D1182)),Assumptions!$D$6,IF(ISNUMBER(SEARCH(Assumptions!$C$7,D1182)),Assumptions!$D$7,"Other Services"))),"Other Services"))</f>
        <v/>
      </c>
    </row>
    <row r="1183" customFormat="false" ht="15" hidden="false" customHeight="false" outlineLevel="0" collapsed="false">
      <c r="F1183" s="41" t="str">
        <f aca="false">IF(D1183="","",IFERROR(IF(ISNUMBER(SEARCH(Assumptions!$C$5,D1183)),Assumptions!$D$5,IF(ISNUMBER(SEARCH(Assumptions!$C$6,D1183)),Assumptions!$D$6,IF(ISNUMBER(SEARCH(Assumptions!$C$7,D1183)),Assumptions!$D$7,"Other Services"))),"Other Services"))</f>
        <v/>
      </c>
    </row>
    <row r="1184" customFormat="false" ht="15" hidden="false" customHeight="false" outlineLevel="0" collapsed="false">
      <c r="F1184" s="41" t="str">
        <f aca="false">IF(D1184="","",IFERROR(IF(ISNUMBER(SEARCH(Assumptions!$C$5,D1184)),Assumptions!$D$5,IF(ISNUMBER(SEARCH(Assumptions!$C$6,D1184)),Assumptions!$D$6,IF(ISNUMBER(SEARCH(Assumptions!$C$7,D1184)),Assumptions!$D$7,"Other Services"))),"Other Services"))</f>
        <v/>
      </c>
    </row>
    <row r="1185" customFormat="false" ht="15" hidden="false" customHeight="false" outlineLevel="0" collapsed="false">
      <c r="F1185" s="41" t="str">
        <f aca="false">IF(D1185="","",IFERROR(IF(ISNUMBER(SEARCH(Assumptions!$C$5,D1185)),Assumptions!$D$5,IF(ISNUMBER(SEARCH(Assumptions!$C$6,D1185)),Assumptions!$D$6,IF(ISNUMBER(SEARCH(Assumptions!$C$7,D1185)),Assumptions!$D$7,"Other Services"))),"Other Services"))</f>
        <v/>
      </c>
    </row>
    <row r="1186" customFormat="false" ht="15" hidden="false" customHeight="false" outlineLevel="0" collapsed="false">
      <c r="F1186" s="41" t="str">
        <f aca="false">IF(D1186="","",IFERROR(IF(ISNUMBER(SEARCH(Assumptions!$C$5,D1186)),Assumptions!$D$5,IF(ISNUMBER(SEARCH(Assumptions!$C$6,D1186)),Assumptions!$D$6,IF(ISNUMBER(SEARCH(Assumptions!$C$7,D1186)),Assumptions!$D$7,"Other Services"))),"Other Services"))</f>
        <v/>
      </c>
    </row>
    <row r="1187" customFormat="false" ht="15" hidden="false" customHeight="false" outlineLevel="0" collapsed="false">
      <c r="F1187" s="41" t="str">
        <f aca="false">IF(D1187="","",IFERROR(IF(ISNUMBER(SEARCH(Assumptions!$C$5,D1187)),Assumptions!$D$5,IF(ISNUMBER(SEARCH(Assumptions!$C$6,D1187)),Assumptions!$D$6,IF(ISNUMBER(SEARCH(Assumptions!$C$7,D1187)),Assumptions!$D$7,"Other Services"))),"Other Services"))</f>
        <v/>
      </c>
    </row>
    <row r="1188" customFormat="false" ht="15" hidden="false" customHeight="false" outlineLevel="0" collapsed="false">
      <c r="F1188" s="41" t="str">
        <f aca="false">IF(D1188="","",IFERROR(IF(ISNUMBER(SEARCH(Assumptions!$C$5,D1188)),Assumptions!$D$5,IF(ISNUMBER(SEARCH(Assumptions!$C$6,D1188)),Assumptions!$D$6,IF(ISNUMBER(SEARCH(Assumptions!$C$7,D1188)),Assumptions!$D$7,"Other Services"))),"Other Services"))</f>
        <v/>
      </c>
    </row>
    <row r="1189" customFormat="false" ht="15" hidden="false" customHeight="false" outlineLevel="0" collapsed="false">
      <c r="F1189" s="41" t="str">
        <f aca="false">IF(D1189="","",IFERROR(IF(ISNUMBER(SEARCH(Assumptions!$C$5,D1189)),Assumptions!$D$5,IF(ISNUMBER(SEARCH(Assumptions!$C$6,D1189)),Assumptions!$D$6,IF(ISNUMBER(SEARCH(Assumptions!$C$7,D1189)),Assumptions!$D$7,"Other Services"))),"Other Services"))</f>
        <v/>
      </c>
    </row>
    <row r="1190" customFormat="false" ht="15" hidden="false" customHeight="false" outlineLevel="0" collapsed="false">
      <c r="F1190" s="41" t="str">
        <f aca="false">IF(D1190="","",IFERROR(IF(ISNUMBER(SEARCH(Assumptions!$C$5,D1190)),Assumptions!$D$5,IF(ISNUMBER(SEARCH(Assumptions!$C$6,D1190)),Assumptions!$D$6,IF(ISNUMBER(SEARCH(Assumptions!$C$7,D1190)),Assumptions!$D$7,"Other Services"))),"Other Services"))</f>
        <v/>
      </c>
    </row>
    <row r="1191" customFormat="false" ht="15" hidden="false" customHeight="false" outlineLevel="0" collapsed="false">
      <c r="F1191" s="41" t="str">
        <f aca="false">IF(D1191="","",IFERROR(IF(ISNUMBER(SEARCH(Assumptions!$C$5,D1191)),Assumptions!$D$5,IF(ISNUMBER(SEARCH(Assumptions!$C$6,D1191)),Assumptions!$D$6,IF(ISNUMBER(SEARCH(Assumptions!$C$7,D1191)),Assumptions!$D$7,"Other Services"))),"Other Services"))</f>
        <v/>
      </c>
    </row>
    <row r="1192" customFormat="false" ht="15" hidden="false" customHeight="false" outlineLevel="0" collapsed="false">
      <c r="F1192" s="41" t="str">
        <f aca="false">IF(D1192="","",IFERROR(IF(ISNUMBER(SEARCH(Assumptions!$C$5,D1192)),Assumptions!$D$5,IF(ISNUMBER(SEARCH(Assumptions!$C$6,D1192)),Assumptions!$D$6,IF(ISNUMBER(SEARCH(Assumptions!$C$7,D1192)),Assumptions!$D$7,"Other Services"))),"Other Services"))</f>
        <v/>
      </c>
    </row>
    <row r="1193" customFormat="false" ht="15" hidden="false" customHeight="false" outlineLevel="0" collapsed="false">
      <c r="F1193" s="41" t="str">
        <f aca="false">IF(D1193="","",IFERROR(IF(ISNUMBER(SEARCH(Assumptions!$C$5,D1193)),Assumptions!$D$5,IF(ISNUMBER(SEARCH(Assumptions!$C$6,D1193)),Assumptions!$D$6,IF(ISNUMBER(SEARCH(Assumptions!$C$7,D1193)),Assumptions!$D$7,"Other Services"))),"Other Services"))</f>
        <v/>
      </c>
    </row>
    <row r="1194" customFormat="false" ht="15" hidden="false" customHeight="false" outlineLevel="0" collapsed="false">
      <c r="F1194" s="41" t="str">
        <f aca="false">IF(D1194="","",IFERROR(IF(ISNUMBER(SEARCH(Assumptions!$C$5,D1194)),Assumptions!$D$5,IF(ISNUMBER(SEARCH(Assumptions!$C$6,D1194)),Assumptions!$D$6,IF(ISNUMBER(SEARCH(Assumptions!$C$7,D1194)),Assumptions!$D$7,"Other Services"))),"Other Services"))</f>
        <v/>
      </c>
    </row>
    <row r="1195" customFormat="false" ht="15" hidden="false" customHeight="false" outlineLevel="0" collapsed="false">
      <c r="F1195" s="41" t="str">
        <f aca="false">IF(D1195="","",IFERROR(IF(ISNUMBER(SEARCH(Assumptions!$C$5,D1195)),Assumptions!$D$5,IF(ISNUMBER(SEARCH(Assumptions!$C$6,D1195)),Assumptions!$D$6,IF(ISNUMBER(SEARCH(Assumptions!$C$7,D1195)),Assumptions!$D$7,"Other Services"))),"Other Services"))</f>
        <v/>
      </c>
    </row>
    <row r="1196" customFormat="false" ht="15" hidden="false" customHeight="false" outlineLevel="0" collapsed="false">
      <c r="F1196" s="41" t="str">
        <f aca="false">IF(D1196="","",IFERROR(IF(ISNUMBER(SEARCH(Assumptions!$C$5,D1196)),Assumptions!$D$5,IF(ISNUMBER(SEARCH(Assumptions!$C$6,D1196)),Assumptions!$D$6,IF(ISNUMBER(SEARCH(Assumptions!$C$7,D1196)),Assumptions!$D$7,"Other Services"))),"Other Services"))</f>
        <v/>
      </c>
    </row>
    <row r="1197" customFormat="false" ht="15" hidden="false" customHeight="false" outlineLevel="0" collapsed="false">
      <c r="F1197" s="41" t="str">
        <f aca="false">IF(D1197="","",IFERROR(IF(ISNUMBER(SEARCH(Assumptions!$C$5,D1197)),Assumptions!$D$5,IF(ISNUMBER(SEARCH(Assumptions!$C$6,D1197)),Assumptions!$D$6,IF(ISNUMBER(SEARCH(Assumptions!$C$7,D1197)),Assumptions!$D$7,"Other Services"))),"Other Services"))</f>
        <v/>
      </c>
    </row>
    <row r="1198" customFormat="false" ht="15" hidden="false" customHeight="false" outlineLevel="0" collapsed="false">
      <c r="F1198" s="41" t="str">
        <f aca="false">IF(D1198="","",IFERROR(IF(ISNUMBER(SEARCH(Assumptions!$C$5,D1198)),Assumptions!$D$5,IF(ISNUMBER(SEARCH(Assumptions!$C$6,D1198)),Assumptions!$D$6,IF(ISNUMBER(SEARCH(Assumptions!$C$7,D1198)),Assumptions!$D$7,"Other Services"))),"Other Services"))</f>
        <v/>
      </c>
    </row>
    <row r="1199" customFormat="false" ht="15" hidden="false" customHeight="false" outlineLevel="0" collapsed="false">
      <c r="F1199" s="41" t="str">
        <f aca="false">IF(D1199="","",IFERROR(IF(ISNUMBER(SEARCH(Assumptions!$C$5,D1199)),Assumptions!$D$5,IF(ISNUMBER(SEARCH(Assumptions!$C$6,D1199)),Assumptions!$D$6,IF(ISNUMBER(SEARCH(Assumptions!$C$7,D1199)),Assumptions!$D$7,"Other Services"))),"Other Services"))</f>
        <v/>
      </c>
    </row>
    <row r="1200" customFormat="false" ht="15" hidden="false" customHeight="false" outlineLevel="0" collapsed="false">
      <c r="F1200" s="41" t="str">
        <f aca="false">IF(D1200="","",IFERROR(IF(ISNUMBER(SEARCH(Assumptions!$C$5,D1200)),Assumptions!$D$5,IF(ISNUMBER(SEARCH(Assumptions!$C$6,D1200)),Assumptions!$D$6,IF(ISNUMBER(SEARCH(Assumptions!$C$7,D1200)),Assumptions!$D$7,"Other Services"))),"Other Services"))</f>
        <v/>
      </c>
    </row>
    <row r="1201" customFormat="false" ht="15" hidden="false" customHeight="false" outlineLevel="0" collapsed="false">
      <c r="F1201" s="41" t="str">
        <f aca="false">IF(D1201="","",IFERROR(IF(ISNUMBER(SEARCH(Assumptions!$C$5,D1201)),Assumptions!$D$5,IF(ISNUMBER(SEARCH(Assumptions!$C$6,D1201)),Assumptions!$D$6,IF(ISNUMBER(SEARCH(Assumptions!$C$7,D1201)),Assumptions!$D$7,"Other Services"))),"Other Services"))</f>
        <v/>
      </c>
    </row>
    <row r="1202" customFormat="false" ht="15" hidden="false" customHeight="false" outlineLevel="0" collapsed="false">
      <c r="F1202" s="41" t="str">
        <f aca="false">IF(D1202="","",IFERROR(IF(ISNUMBER(SEARCH(Assumptions!$C$5,D1202)),Assumptions!$D$5,IF(ISNUMBER(SEARCH(Assumptions!$C$6,D1202)),Assumptions!$D$6,IF(ISNUMBER(SEARCH(Assumptions!$C$7,D1202)),Assumptions!$D$7,"Other Services"))),"Other Services"))</f>
        <v/>
      </c>
    </row>
    <row r="1203" customFormat="false" ht="15" hidden="false" customHeight="false" outlineLevel="0" collapsed="false">
      <c r="F1203" s="41" t="str">
        <f aca="false">IF(D1203="","",IFERROR(IF(ISNUMBER(SEARCH(Assumptions!$C$5,D1203)),Assumptions!$D$5,IF(ISNUMBER(SEARCH(Assumptions!$C$6,D1203)),Assumptions!$D$6,IF(ISNUMBER(SEARCH(Assumptions!$C$7,D1203)),Assumptions!$D$7,"Other Services"))),"Other Services"))</f>
        <v/>
      </c>
    </row>
    <row r="1204" customFormat="false" ht="15" hidden="false" customHeight="false" outlineLevel="0" collapsed="false">
      <c r="F1204" s="41" t="str">
        <f aca="false">IF(D1204="","",IFERROR(IF(ISNUMBER(SEARCH(Assumptions!$C$5,D1204)),Assumptions!$D$5,IF(ISNUMBER(SEARCH(Assumptions!$C$6,D1204)),Assumptions!$D$6,IF(ISNUMBER(SEARCH(Assumptions!$C$7,D1204)),Assumptions!$D$7,"Other Services"))),"Other Services"))</f>
        <v/>
      </c>
    </row>
    <row r="1205" customFormat="false" ht="15" hidden="false" customHeight="false" outlineLevel="0" collapsed="false">
      <c r="F1205" s="41" t="str">
        <f aca="false">IF(D1205="","",IFERROR(IF(ISNUMBER(SEARCH(Assumptions!$C$5,D1205)),Assumptions!$D$5,IF(ISNUMBER(SEARCH(Assumptions!$C$6,D1205)),Assumptions!$D$6,IF(ISNUMBER(SEARCH(Assumptions!$C$7,D1205)),Assumptions!$D$7,"Other Services"))),"Other Services"))</f>
        <v/>
      </c>
    </row>
    <row r="1206" customFormat="false" ht="15" hidden="false" customHeight="false" outlineLevel="0" collapsed="false">
      <c r="F1206" s="41" t="str">
        <f aca="false">IF(D1206="","",IFERROR(IF(ISNUMBER(SEARCH(Assumptions!$C$5,D1206)),Assumptions!$D$5,IF(ISNUMBER(SEARCH(Assumptions!$C$6,D1206)),Assumptions!$D$6,IF(ISNUMBER(SEARCH(Assumptions!$C$7,D1206)),Assumptions!$D$7,"Other Services"))),"Other Services"))</f>
        <v/>
      </c>
    </row>
    <row r="1207" customFormat="false" ht="15" hidden="false" customHeight="false" outlineLevel="0" collapsed="false">
      <c r="F1207" s="41" t="str">
        <f aca="false">IF(D1207="","",IFERROR(IF(ISNUMBER(SEARCH(Assumptions!$C$5,D1207)),Assumptions!$D$5,IF(ISNUMBER(SEARCH(Assumptions!$C$6,D1207)),Assumptions!$D$6,IF(ISNUMBER(SEARCH(Assumptions!$C$7,D1207)),Assumptions!$D$7,"Other Services"))),"Other Services"))</f>
        <v/>
      </c>
    </row>
    <row r="1208" customFormat="false" ht="15" hidden="false" customHeight="false" outlineLevel="0" collapsed="false">
      <c r="F1208" s="41" t="str">
        <f aca="false">IF(D1208="","",IFERROR(IF(ISNUMBER(SEARCH(Assumptions!$C$5,D1208)),Assumptions!$D$5,IF(ISNUMBER(SEARCH(Assumptions!$C$6,D1208)),Assumptions!$D$6,IF(ISNUMBER(SEARCH(Assumptions!$C$7,D1208)),Assumptions!$D$7,"Other Services"))),"Other Services"))</f>
        <v/>
      </c>
    </row>
    <row r="1209" customFormat="false" ht="15" hidden="false" customHeight="false" outlineLevel="0" collapsed="false">
      <c r="F1209" s="41" t="str">
        <f aca="false">IF(D1209="","",IFERROR(IF(ISNUMBER(SEARCH(Assumptions!$C$5,D1209)),Assumptions!$D$5,IF(ISNUMBER(SEARCH(Assumptions!$C$6,D1209)),Assumptions!$D$6,IF(ISNUMBER(SEARCH(Assumptions!$C$7,D1209)),Assumptions!$D$7,"Other Services"))),"Other Services"))</f>
        <v/>
      </c>
    </row>
    <row r="1210" customFormat="false" ht="15" hidden="false" customHeight="false" outlineLevel="0" collapsed="false">
      <c r="F1210" s="41" t="str">
        <f aca="false">IF(D1210="","",IFERROR(IF(ISNUMBER(SEARCH(Assumptions!$C$5,D1210)),Assumptions!$D$5,IF(ISNUMBER(SEARCH(Assumptions!$C$6,D1210)),Assumptions!$D$6,IF(ISNUMBER(SEARCH(Assumptions!$C$7,D1210)),Assumptions!$D$7,"Other Services"))),"Other Services"))</f>
        <v/>
      </c>
    </row>
    <row r="1211" customFormat="false" ht="15" hidden="false" customHeight="false" outlineLevel="0" collapsed="false">
      <c r="F1211" s="41" t="str">
        <f aca="false">IF(D1211="","",IFERROR(IF(ISNUMBER(SEARCH(Assumptions!$C$5,D1211)),Assumptions!$D$5,IF(ISNUMBER(SEARCH(Assumptions!$C$6,D1211)),Assumptions!$D$6,IF(ISNUMBER(SEARCH(Assumptions!$C$7,D1211)),Assumptions!$D$7,"Other Services"))),"Other Services"))</f>
        <v/>
      </c>
    </row>
    <row r="1212" customFormat="false" ht="15" hidden="false" customHeight="false" outlineLevel="0" collapsed="false">
      <c r="F1212" s="41" t="str">
        <f aca="false">IF(D1212="","",IFERROR(IF(ISNUMBER(SEARCH(Assumptions!$C$5,D1212)),Assumptions!$D$5,IF(ISNUMBER(SEARCH(Assumptions!$C$6,D1212)),Assumptions!$D$6,IF(ISNUMBER(SEARCH(Assumptions!$C$7,D1212)),Assumptions!$D$7,"Other Services"))),"Other Services"))</f>
        <v/>
      </c>
    </row>
    <row r="1213" customFormat="false" ht="15" hidden="false" customHeight="false" outlineLevel="0" collapsed="false">
      <c r="F1213" s="41" t="str">
        <f aca="false">IF(D1213="","",IFERROR(IF(ISNUMBER(SEARCH(Assumptions!$C$5,D1213)),Assumptions!$D$5,IF(ISNUMBER(SEARCH(Assumptions!$C$6,D1213)),Assumptions!$D$6,IF(ISNUMBER(SEARCH(Assumptions!$C$7,D1213)),Assumptions!$D$7,"Other Services"))),"Other Services"))</f>
        <v/>
      </c>
    </row>
    <row r="1214" customFormat="false" ht="15" hidden="false" customHeight="false" outlineLevel="0" collapsed="false">
      <c r="F1214" s="41" t="str">
        <f aca="false">IF(D1214="","",IFERROR(IF(ISNUMBER(SEARCH(Assumptions!$C$5,D1214)),Assumptions!$D$5,IF(ISNUMBER(SEARCH(Assumptions!$C$6,D1214)),Assumptions!$D$6,IF(ISNUMBER(SEARCH(Assumptions!$C$7,D1214)),Assumptions!$D$7,"Other Services"))),"Other Services"))</f>
        <v/>
      </c>
    </row>
    <row r="1215" customFormat="false" ht="15" hidden="false" customHeight="false" outlineLevel="0" collapsed="false">
      <c r="F1215" s="41" t="str">
        <f aca="false">IF(D1215="","",IFERROR(IF(ISNUMBER(SEARCH(Assumptions!$C$5,D1215)),Assumptions!$D$5,IF(ISNUMBER(SEARCH(Assumptions!$C$6,D1215)),Assumptions!$D$6,IF(ISNUMBER(SEARCH(Assumptions!$C$7,D1215)),Assumptions!$D$7,"Other Services"))),"Other Services"))</f>
        <v/>
      </c>
    </row>
    <row r="1216" customFormat="false" ht="15" hidden="false" customHeight="false" outlineLevel="0" collapsed="false">
      <c r="F1216" s="41" t="str">
        <f aca="false">IF(D1216="","",IFERROR(IF(ISNUMBER(SEARCH(Assumptions!$C$5,D1216)),Assumptions!$D$5,IF(ISNUMBER(SEARCH(Assumptions!$C$6,D1216)),Assumptions!$D$6,IF(ISNUMBER(SEARCH(Assumptions!$C$7,D1216)),Assumptions!$D$7,"Other Services"))),"Other Services"))</f>
        <v/>
      </c>
    </row>
    <row r="1217" customFormat="false" ht="15" hidden="false" customHeight="false" outlineLevel="0" collapsed="false">
      <c r="F1217" s="41" t="str">
        <f aca="false">IF(D1217="","",IFERROR(IF(ISNUMBER(SEARCH(Assumptions!$C$5,D1217)),Assumptions!$D$5,IF(ISNUMBER(SEARCH(Assumptions!$C$6,D1217)),Assumptions!$D$6,IF(ISNUMBER(SEARCH(Assumptions!$C$7,D1217)),Assumptions!$D$7,"Other Services"))),"Other Services"))</f>
        <v/>
      </c>
    </row>
    <row r="1218" customFormat="false" ht="15" hidden="false" customHeight="false" outlineLevel="0" collapsed="false">
      <c r="F1218" s="41" t="str">
        <f aca="false">IF(D1218="","",IFERROR(IF(ISNUMBER(SEARCH(Assumptions!$C$5,D1218)),Assumptions!$D$5,IF(ISNUMBER(SEARCH(Assumptions!$C$6,D1218)),Assumptions!$D$6,IF(ISNUMBER(SEARCH(Assumptions!$C$7,D1218)),Assumptions!$D$7,"Other Services"))),"Other Services"))</f>
        <v/>
      </c>
    </row>
    <row r="1219" customFormat="false" ht="15" hidden="false" customHeight="false" outlineLevel="0" collapsed="false">
      <c r="F1219" s="41" t="str">
        <f aca="false">IF(D1219="","",IFERROR(IF(ISNUMBER(SEARCH(Assumptions!$C$5,D1219)),Assumptions!$D$5,IF(ISNUMBER(SEARCH(Assumptions!$C$6,D1219)),Assumptions!$D$6,IF(ISNUMBER(SEARCH(Assumptions!$C$7,D1219)),Assumptions!$D$7,"Other Services"))),"Other Services"))</f>
        <v/>
      </c>
    </row>
    <row r="1220" customFormat="false" ht="15" hidden="false" customHeight="false" outlineLevel="0" collapsed="false">
      <c r="F1220" s="41" t="str">
        <f aca="false">IF(D1220="","",IFERROR(IF(ISNUMBER(SEARCH(Assumptions!$C$5,D1220)),Assumptions!$D$5,IF(ISNUMBER(SEARCH(Assumptions!$C$6,D1220)),Assumptions!$D$6,IF(ISNUMBER(SEARCH(Assumptions!$C$7,D1220)),Assumptions!$D$7,"Other Services"))),"Other Services"))</f>
        <v/>
      </c>
    </row>
    <row r="1221" customFormat="false" ht="15" hidden="false" customHeight="false" outlineLevel="0" collapsed="false">
      <c r="F1221" s="41" t="str">
        <f aca="false">IF(D1221="","",IFERROR(IF(ISNUMBER(SEARCH(Assumptions!$C$5,D1221)),Assumptions!$D$5,IF(ISNUMBER(SEARCH(Assumptions!$C$6,D1221)),Assumptions!$D$6,IF(ISNUMBER(SEARCH(Assumptions!$C$7,D1221)),Assumptions!$D$7,"Other Services"))),"Other Services"))</f>
        <v/>
      </c>
    </row>
    <row r="1222" customFormat="false" ht="15" hidden="false" customHeight="false" outlineLevel="0" collapsed="false">
      <c r="F1222" s="41" t="str">
        <f aca="false">IF(D1222="","",IFERROR(IF(ISNUMBER(SEARCH(Assumptions!$C$5,D1222)),Assumptions!$D$5,IF(ISNUMBER(SEARCH(Assumptions!$C$6,D1222)),Assumptions!$D$6,IF(ISNUMBER(SEARCH(Assumptions!$C$7,D1222)),Assumptions!$D$7,"Other Services"))),"Other Services"))</f>
        <v/>
      </c>
    </row>
    <row r="1223" customFormat="false" ht="15" hidden="false" customHeight="false" outlineLevel="0" collapsed="false">
      <c r="F1223" s="41" t="str">
        <f aca="false">IF(D1223="","",IFERROR(IF(ISNUMBER(SEARCH(Assumptions!$C$5,D1223)),Assumptions!$D$5,IF(ISNUMBER(SEARCH(Assumptions!$C$6,D1223)),Assumptions!$D$6,IF(ISNUMBER(SEARCH(Assumptions!$C$7,D1223)),Assumptions!$D$7,"Other Services"))),"Other Services"))</f>
        <v/>
      </c>
    </row>
    <row r="1224" customFormat="false" ht="15" hidden="false" customHeight="false" outlineLevel="0" collapsed="false">
      <c r="F1224" s="41" t="str">
        <f aca="false">IF(D1224="","",IFERROR(IF(ISNUMBER(SEARCH(Assumptions!$C$5,D1224)),Assumptions!$D$5,IF(ISNUMBER(SEARCH(Assumptions!$C$6,D1224)),Assumptions!$D$6,IF(ISNUMBER(SEARCH(Assumptions!$C$7,D1224)),Assumptions!$D$7,"Other Services"))),"Other Services"))</f>
        <v/>
      </c>
    </row>
    <row r="1225" customFormat="false" ht="15" hidden="false" customHeight="false" outlineLevel="0" collapsed="false">
      <c r="F1225" s="41" t="str">
        <f aca="false">IF(D1225="","",IFERROR(IF(ISNUMBER(SEARCH(Assumptions!$C$5,D1225)),Assumptions!$D$5,IF(ISNUMBER(SEARCH(Assumptions!$C$6,D1225)),Assumptions!$D$6,IF(ISNUMBER(SEARCH(Assumptions!$C$7,D1225)),Assumptions!$D$7,"Other Services"))),"Other Services"))</f>
        <v/>
      </c>
    </row>
    <row r="1226" customFormat="false" ht="15" hidden="false" customHeight="false" outlineLevel="0" collapsed="false">
      <c r="F1226" s="41" t="str">
        <f aca="false">IF(D1226="","",IFERROR(IF(ISNUMBER(SEARCH(Assumptions!$C$5,D1226)),Assumptions!$D$5,IF(ISNUMBER(SEARCH(Assumptions!$C$6,D1226)),Assumptions!$D$6,IF(ISNUMBER(SEARCH(Assumptions!$C$7,D1226)),Assumptions!$D$7,"Other Services"))),"Other Services"))</f>
        <v/>
      </c>
    </row>
    <row r="1227" customFormat="false" ht="15" hidden="false" customHeight="false" outlineLevel="0" collapsed="false">
      <c r="F1227" s="41" t="str">
        <f aca="false">IF(D1227="","",IFERROR(IF(ISNUMBER(SEARCH(Assumptions!$C$5,D1227)),Assumptions!$D$5,IF(ISNUMBER(SEARCH(Assumptions!$C$6,D1227)),Assumptions!$D$6,IF(ISNUMBER(SEARCH(Assumptions!$C$7,D1227)),Assumptions!$D$7,"Other Services"))),"Other Services"))</f>
        <v/>
      </c>
    </row>
    <row r="1228" customFormat="false" ht="15" hidden="false" customHeight="false" outlineLevel="0" collapsed="false">
      <c r="F1228" s="41" t="str">
        <f aca="false">IF(D1228="","",IFERROR(IF(ISNUMBER(SEARCH(Assumptions!$C$5,D1228)),Assumptions!$D$5,IF(ISNUMBER(SEARCH(Assumptions!$C$6,D1228)),Assumptions!$D$6,IF(ISNUMBER(SEARCH(Assumptions!$C$7,D1228)),Assumptions!$D$7,"Other Services"))),"Other Services"))</f>
        <v/>
      </c>
    </row>
    <row r="1229" customFormat="false" ht="15" hidden="false" customHeight="false" outlineLevel="0" collapsed="false">
      <c r="F1229" s="41" t="str">
        <f aca="false">IF(D1229="","",IFERROR(IF(ISNUMBER(SEARCH(Assumptions!$C$5,D1229)),Assumptions!$D$5,IF(ISNUMBER(SEARCH(Assumptions!$C$6,D1229)),Assumptions!$D$6,IF(ISNUMBER(SEARCH(Assumptions!$C$7,D1229)),Assumptions!$D$7,"Other Services"))),"Other Services"))</f>
        <v/>
      </c>
    </row>
    <row r="1230" customFormat="false" ht="15" hidden="false" customHeight="false" outlineLevel="0" collapsed="false">
      <c r="F1230" s="41" t="str">
        <f aca="false">IF(D1230="","",IFERROR(IF(ISNUMBER(SEARCH(Assumptions!$C$5,D1230)),Assumptions!$D$5,IF(ISNUMBER(SEARCH(Assumptions!$C$6,D1230)),Assumptions!$D$6,IF(ISNUMBER(SEARCH(Assumptions!$C$7,D1230)),Assumptions!$D$7,"Other Services"))),"Other Services"))</f>
        <v/>
      </c>
    </row>
    <row r="1231" customFormat="false" ht="15" hidden="false" customHeight="false" outlineLevel="0" collapsed="false">
      <c r="F1231" s="41" t="str">
        <f aca="false">IF(D1231="","",IFERROR(IF(ISNUMBER(SEARCH(Assumptions!$C$5,D1231)),Assumptions!$D$5,IF(ISNUMBER(SEARCH(Assumptions!$C$6,D1231)),Assumptions!$D$6,IF(ISNUMBER(SEARCH(Assumptions!$C$7,D1231)),Assumptions!$D$7,"Other Services"))),"Other Services"))</f>
        <v/>
      </c>
    </row>
    <row r="1232" customFormat="false" ht="15" hidden="false" customHeight="false" outlineLevel="0" collapsed="false">
      <c r="F1232" s="41" t="str">
        <f aca="false">IF(D1232="","",IFERROR(IF(ISNUMBER(SEARCH(Assumptions!$C$5,D1232)),Assumptions!$D$5,IF(ISNUMBER(SEARCH(Assumptions!$C$6,D1232)),Assumptions!$D$6,IF(ISNUMBER(SEARCH(Assumptions!$C$7,D1232)),Assumptions!$D$7,"Other Services"))),"Other Services"))</f>
        <v/>
      </c>
    </row>
    <row r="1233" customFormat="false" ht="15" hidden="false" customHeight="false" outlineLevel="0" collapsed="false">
      <c r="F1233" s="41" t="str">
        <f aca="false">IF(D1233="","",IFERROR(IF(ISNUMBER(SEARCH(Assumptions!$C$5,D1233)),Assumptions!$D$5,IF(ISNUMBER(SEARCH(Assumptions!$C$6,D1233)),Assumptions!$D$6,IF(ISNUMBER(SEARCH(Assumptions!$C$7,D1233)),Assumptions!$D$7,"Other Services"))),"Other Services"))</f>
        <v/>
      </c>
    </row>
    <row r="1234" customFormat="false" ht="15" hidden="false" customHeight="false" outlineLevel="0" collapsed="false">
      <c r="F1234" s="41" t="str">
        <f aca="false">IF(D1234="","",IFERROR(IF(ISNUMBER(SEARCH(Assumptions!$C$5,D1234)),Assumptions!$D$5,IF(ISNUMBER(SEARCH(Assumptions!$C$6,D1234)),Assumptions!$D$6,IF(ISNUMBER(SEARCH(Assumptions!$C$7,D1234)),Assumptions!$D$7,"Other Services"))),"Other Services"))</f>
        <v/>
      </c>
    </row>
    <row r="1235" customFormat="false" ht="15" hidden="false" customHeight="false" outlineLevel="0" collapsed="false">
      <c r="F1235" s="41" t="str">
        <f aca="false">IF(D1235="","",IFERROR(IF(ISNUMBER(SEARCH(Assumptions!$C$5,D1235)),Assumptions!$D$5,IF(ISNUMBER(SEARCH(Assumptions!$C$6,D1235)),Assumptions!$D$6,IF(ISNUMBER(SEARCH(Assumptions!$C$7,D1235)),Assumptions!$D$7,"Other Services"))),"Other Services"))</f>
        <v/>
      </c>
    </row>
    <row r="1236" customFormat="false" ht="15" hidden="false" customHeight="false" outlineLevel="0" collapsed="false">
      <c r="F1236" s="41" t="str">
        <f aca="false">IF(D1236="","",IFERROR(IF(ISNUMBER(SEARCH(Assumptions!$C$5,D1236)),Assumptions!$D$5,IF(ISNUMBER(SEARCH(Assumptions!$C$6,D1236)),Assumptions!$D$6,IF(ISNUMBER(SEARCH(Assumptions!$C$7,D1236)),Assumptions!$D$7,"Other Services"))),"Other Services"))</f>
        <v/>
      </c>
    </row>
    <row r="1237" customFormat="false" ht="15" hidden="false" customHeight="false" outlineLevel="0" collapsed="false">
      <c r="F1237" s="41" t="str">
        <f aca="false">IF(D1237="","",IFERROR(IF(ISNUMBER(SEARCH(Assumptions!$C$5,D1237)),Assumptions!$D$5,IF(ISNUMBER(SEARCH(Assumptions!$C$6,D1237)),Assumptions!$D$6,IF(ISNUMBER(SEARCH(Assumptions!$C$7,D1237)),Assumptions!$D$7,"Other Services"))),"Other Services"))</f>
        <v/>
      </c>
    </row>
    <row r="1238" customFormat="false" ht="15" hidden="false" customHeight="false" outlineLevel="0" collapsed="false">
      <c r="F1238" s="41" t="str">
        <f aca="false">IF(D1238="","",IFERROR(IF(ISNUMBER(SEARCH(Assumptions!$C$5,D1238)),Assumptions!$D$5,IF(ISNUMBER(SEARCH(Assumptions!$C$6,D1238)),Assumptions!$D$6,IF(ISNUMBER(SEARCH(Assumptions!$C$7,D1238)),Assumptions!$D$7,"Other Services"))),"Other Services"))</f>
        <v/>
      </c>
    </row>
    <row r="1239" customFormat="false" ht="15" hidden="false" customHeight="false" outlineLevel="0" collapsed="false">
      <c r="F1239" s="41" t="str">
        <f aca="false">IF(D1239="","",IFERROR(IF(ISNUMBER(SEARCH(Assumptions!$C$5,D1239)),Assumptions!$D$5,IF(ISNUMBER(SEARCH(Assumptions!$C$6,D1239)),Assumptions!$D$6,IF(ISNUMBER(SEARCH(Assumptions!$C$7,D1239)),Assumptions!$D$7,"Other Services"))),"Other Services"))</f>
        <v/>
      </c>
    </row>
    <row r="1240" customFormat="false" ht="15" hidden="false" customHeight="false" outlineLevel="0" collapsed="false">
      <c r="F1240" s="41" t="str">
        <f aca="false">IF(D1240="","",IFERROR(IF(ISNUMBER(SEARCH(Assumptions!$C$5,D1240)),Assumptions!$D$5,IF(ISNUMBER(SEARCH(Assumptions!$C$6,D1240)),Assumptions!$D$6,IF(ISNUMBER(SEARCH(Assumptions!$C$7,D1240)),Assumptions!$D$7,"Other Services"))),"Other Services"))</f>
        <v/>
      </c>
    </row>
    <row r="1241" customFormat="false" ht="15" hidden="false" customHeight="false" outlineLevel="0" collapsed="false">
      <c r="F1241" s="41" t="str">
        <f aca="false">IF(D1241="","",IFERROR(IF(ISNUMBER(SEARCH(Assumptions!$C$5,D1241)),Assumptions!$D$5,IF(ISNUMBER(SEARCH(Assumptions!$C$6,D1241)),Assumptions!$D$6,IF(ISNUMBER(SEARCH(Assumptions!$C$7,D1241)),Assumptions!$D$7,"Other Services"))),"Other Services"))</f>
        <v/>
      </c>
    </row>
    <row r="1242" customFormat="false" ht="15" hidden="false" customHeight="false" outlineLevel="0" collapsed="false">
      <c r="F1242" s="41" t="str">
        <f aca="false">IF(D1242="","",IFERROR(IF(ISNUMBER(SEARCH(Assumptions!$C$5,D1242)),Assumptions!$D$5,IF(ISNUMBER(SEARCH(Assumptions!$C$6,D1242)),Assumptions!$D$6,IF(ISNUMBER(SEARCH(Assumptions!$C$7,D1242)),Assumptions!$D$7,"Other Services"))),"Other Services"))</f>
        <v/>
      </c>
    </row>
    <row r="1243" customFormat="false" ht="15" hidden="false" customHeight="false" outlineLevel="0" collapsed="false">
      <c r="F1243" s="41" t="str">
        <f aca="false">IF(D1243="","",IFERROR(IF(ISNUMBER(SEARCH(Assumptions!$C$5,D1243)),Assumptions!$D$5,IF(ISNUMBER(SEARCH(Assumptions!$C$6,D1243)),Assumptions!$D$6,IF(ISNUMBER(SEARCH(Assumptions!$C$7,D1243)),Assumptions!$D$7,"Other Services"))),"Other Services"))</f>
        <v/>
      </c>
    </row>
    <row r="1244" customFormat="false" ht="15" hidden="false" customHeight="false" outlineLevel="0" collapsed="false">
      <c r="F1244" s="41" t="str">
        <f aca="false">IF(D1244="","",IFERROR(IF(ISNUMBER(SEARCH(Assumptions!$C$5,D1244)),Assumptions!$D$5,IF(ISNUMBER(SEARCH(Assumptions!$C$6,D1244)),Assumptions!$D$6,IF(ISNUMBER(SEARCH(Assumptions!$C$7,D1244)),Assumptions!$D$7,"Other Services"))),"Other Services"))</f>
        <v/>
      </c>
    </row>
    <row r="1245" customFormat="false" ht="15" hidden="false" customHeight="false" outlineLevel="0" collapsed="false">
      <c r="F1245" s="41" t="str">
        <f aca="false">IF(D1245="","",IFERROR(IF(ISNUMBER(SEARCH(Assumptions!$C$5,D1245)),Assumptions!$D$5,IF(ISNUMBER(SEARCH(Assumptions!$C$6,D1245)),Assumptions!$D$6,IF(ISNUMBER(SEARCH(Assumptions!$C$7,D1245)),Assumptions!$D$7,"Other Services"))),"Other Services"))</f>
        <v/>
      </c>
    </row>
    <row r="1246" customFormat="false" ht="15" hidden="false" customHeight="false" outlineLevel="0" collapsed="false">
      <c r="F1246" s="41" t="str">
        <f aca="false">IF(D1246="","",IFERROR(IF(ISNUMBER(SEARCH(Assumptions!$C$5,D1246)),Assumptions!$D$5,IF(ISNUMBER(SEARCH(Assumptions!$C$6,D1246)),Assumptions!$D$6,IF(ISNUMBER(SEARCH(Assumptions!$C$7,D1246)),Assumptions!$D$7,"Other Services"))),"Other Services"))</f>
        <v/>
      </c>
    </row>
    <row r="1247" customFormat="false" ht="15" hidden="false" customHeight="false" outlineLevel="0" collapsed="false">
      <c r="F1247" s="41" t="str">
        <f aca="false">IF(D1247="","",IFERROR(IF(ISNUMBER(SEARCH(Assumptions!$C$5,D1247)),Assumptions!$D$5,IF(ISNUMBER(SEARCH(Assumptions!$C$6,D1247)),Assumptions!$D$6,IF(ISNUMBER(SEARCH(Assumptions!$C$7,D1247)),Assumptions!$D$7,"Other Services"))),"Other Services"))</f>
        <v/>
      </c>
    </row>
    <row r="1248" customFormat="false" ht="15" hidden="false" customHeight="false" outlineLevel="0" collapsed="false">
      <c r="F1248" s="41" t="str">
        <f aca="false">IF(D1248="","",IFERROR(IF(ISNUMBER(SEARCH(Assumptions!$C$5,D1248)),Assumptions!$D$5,IF(ISNUMBER(SEARCH(Assumptions!$C$6,D1248)),Assumptions!$D$6,IF(ISNUMBER(SEARCH(Assumptions!$C$7,D1248)),Assumptions!$D$7,"Other Services"))),"Other Services"))</f>
        <v/>
      </c>
    </row>
    <row r="1249" customFormat="false" ht="15" hidden="false" customHeight="false" outlineLevel="0" collapsed="false">
      <c r="F1249" s="41" t="str">
        <f aca="false">IF(D1249="","",IFERROR(IF(ISNUMBER(SEARCH(Assumptions!$C$5,D1249)),Assumptions!$D$5,IF(ISNUMBER(SEARCH(Assumptions!$C$6,D1249)),Assumptions!$D$6,IF(ISNUMBER(SEARCH(Assumptions!$C$7,D1249)),Assumptions!$D$7,"Other Services"))),"Other Services"))</f>
        <v/>
      </c>
    </row>
    <row r="1250" customFormat="false" ht="15" hidden="false" customHeight="false" outlineLevel="0" collapsed="false">
      <c r="F1250" s="41" t="str">
        <f aca="false">IF(D1250="","",IFERROR(IF(ISNUMBER(SEARCH(Assumptions!$C$5,D1250)),Assumptions!$D$5,IF(ISNUMBER(SEARCH(Assumptions!$C$6,D1250)),Assumptions!$D$6,IF(ISNUMBER(SEARCH(Assumptions!$C$7,D1250)),Assumptions!$D$7,"Other Services"))),"Other Services"))</f>
        <v/>
      </c>
    </row>
    <row r="1251" customFormat="false" ht="15" hidden="false" customHeight="false" outlineLevel="0" collapsed="false">
      <c r="F1251" s="41" t="str">
        <f aca="false">IF(D1251="","",IFERROR(IF(ISNUMBER(SEARCH(Assumptions!$C$5,D1251)),Assumptions!$D$5,IF(ISNUMBER(SEARCH(Assumptions!$C$6,D1251)),Assumptions!$D$6,IF(ISNUMBER(SEARCH(Assumptions!$C$7,D1251)),Assumptions!$D$7,"Other Services"))),"Other Services"))</f>
        <v/>
      </c>
    </row>
    <row r="1252" customFormat="false" ht="15" hidden="false" customHeight="false" outlineLevel="0" collapsed="false">
      <c r="F1252" s="41" t="str">
        <f aca="false">IF(D1252="","",IFERROR(IF(ISNUMBER(SEARCH(Assumptions!$C$5,D1252)),Assumptions!$D$5,IF(ISNUMBER(SEARCH(Assumptions!$C$6,D1252)),Assumptions!$D$6,IF(ISNUMBER(SEARCH(Assumptions!$C$7,D1252)),Assumptions!$D$7,"Other Services"))),"Other Services"))</f>
        <v/>
      </c>
    </row>
    <row r="1253" customFormat="false" ht="15" hidden="false" customHeight="false" outlineLevel="0" collapsed="false">
      <c r="F1253" s="41" t="str">
        <f aca="false">IF(D1253="","",IFERROR(IF(ISNUMBER(SEARCH(Assumptions!$C$5,D1253)),Assumptions!$D$5,IF(ISNUMBER(SEARCH(Assumptions!$C$6,D1253)),Assumptions!$D$6,IF(ISNUMBER(SEARCH(Assumptions!$C$7,D1253)),Assumptions!$D$7,"Other Services"))),"Other Services"))</f>
        <v/>
      </c>
    </row>
    <row r="1254" customFormat="false" ht="15" hidden="false" customHeight="false" outlineLevel="0" collapsed="false">
      <c r="F1254" s="41" t="str">
        <f aca="false">IF(D1254="","",IFERROR(IF(ISNUMBER(SEARCH(Assumptions!$C$5,D1254)),Assumptions!$D$5,IF(ISNUMBER(SEARCH(Assumptions!$C$6,D1254)),Assumptions!$D$6,IF(ISNUMBER(SEARCH(Assumptions!$C$7,D1254)),Assumptions!$D$7,"Other Services"))),"Other Services"))</f>
        <v/>
      </c>
    </row>
    <row r="1255" customFormat="false" ht="15" hidden="false" customHeight="false" outlineLevel="0" collapsed="false">
      <c r="F1255" s="41" t="str">
        <f aca="false">IF(D1255="","",IFERROR(IF(ISNUMBER(SEARCH(Assumptions!$C$5,D1255)),Assumptions!$D$5,IF(ISNUMBER(SEARCH(Assumptions!$C$6,D1255)),Assumptions!$D$6,IF(ISNUMBER(SEARCH(Assumptions!$C$7,D1255)),Assumptions!$D$7,"Other Services"))),"Other Services"))</f>
        <v/>
      </c>
    </row>
    <row r="1256" customFormat="false" ht="15" hidden="false" customHeight="false" outlineLevel="0" collapsed="false">
      <c r="F1256" s="41" t="str">
        <f aca="false">IF(D1256="","",IFERROR(IF(ISNUMBER(SEARCH(Assumptions!$C$5,D1256)),Assumptions!$D$5,IF(ISNUMBER(SEARCH(Assumptions!$C$6,D1256)),Assumptions!$D$6,IF(ISNUMBER(SEARCH(Assumptions!$C$7,D1256)),Assumptions!$D$7,"Other Services"))),"Other Services"))</f>
        <v/>
      </c>
    </row>
    <row r="1257" customFormat="false" ht="15" hidden="false" customHeight="false" outlineLevel="0" collapsed="false">
      <c r="F1257" s="41" t="str">
        <f aca="false">IF(D1257="","",IFERROR(IF(ISNUMBER(SEARCH(Assumptions!$C$5,D1257)),Assumptions!$D$5,IF(ISNUMBER(SEARCH(Assumptions!$C$6,D1257)),Assumptions!$D$6,IF(ISNUMBER(SEARCH(Assumptions!$C$7,D1257)),Assumptions!$D$7,"Other Services"))),"Other Services"))</f>
        <v/>
      </c>
    </row>
    <row r="1258" customFormat="false" ht="15" hidden="false" customHeight="false" outlineLevel="0" collapsed="false">
      <c r="F1258" s="41" t="str">
        <f aca="false">IF(D1258="","",IFERROR(IF(ISNUMBER(SEARCH(Assumptions!$C$5,D1258)),Assumptions!$D$5,IF(ISNUMBER(SEARCH(Assumptions!$C$6,D1258)),Assumptions!$D$6,IF(ISNUMBER(SEARCH(Assumptions!$C$7,D1258)),Assumptions!$D$7,"Other Services"))),"Other Services"))</f>
        <v/>
      </c>
    </row>
    <row r="1259" customFormat="false" ht="15" hidden="false" customHeight="false" outlineLevel="0" collapsed="false">
      <c r="F1259" s="41" t="str">
        <f aca="false">IF(D1259="","",IFERROR(IF(ISNUMBER(SEARCH(Assumptions!$C$5,D1259)),Assumptions!$D$5,IF(ISNUMBER(SEARCH(Assumptions!$C$6,D1259)),Assumptions!$D$6,IF(ISNUMBER(SEARCH(Assumptions!$C$7,D1259)),Assumptions!$D$7,"Other Services"))),"Other Services"))</f>
        <v/>
      </c>
    </row>
    <row r="1260" customFormat="false" ht="15" hidden="false" customHeight="false" outlineLevel="0" collapsed="false">
      <c r="F1260" s="41" t="str">
        <f aca="false">IF(D1260="","",IFERROR(IF(ISNUMBER(SEARCH(Assumptions!$C$5,D1260)),Assumptions!$D$5,IF(ISNUMBER(SEARCH(Assumptions!$C$6,D1260)),Assumptions!$D$6,IF(ISNUMBER(SEARCH(Assumptions!$C$7,D1260)),Assumptions!$D$7,"Other Services"))),"Other Services"))</f>
        <v/>
      </c>
    </row>
    <row r="1261" customFormat="false" ht="15" hidden="false" customHeight="false" outlineLevel="0" collapsed="false">
      <c r="F1261" s="41" t="str">
        <f aca="false">IF(D1261="","",IFERROR(IF(ISNUMBER(SEARCH(Assumptions!$C$5,D1261)),Assumptions!$D$5,IF(ISNUMBER(SEARCH(Assumptions!$C$6,D1261)),Assumptions!$D$6,IF(ISNUMBER(SEARCH(Assumptions!$C$7,D1261)),Assumptions!$D$7,"Other Services"))),"Other Services"))</f>
        <v/>
      </c>
    </row>
    <row r="1262" customFormat="false" ht="15" hidden="false" customHeight="false" outlineLevel="0" collapsed="false">
      <c r="F1262" s="41" t="str">
        <f aca="false">IF(D1262="","",IFERROR(IF(ISNUMBER(SEARCH(Assumptions!$C$5,D1262)),Assumptions!$D$5,IF(ISNUMBER(SEARCH(Assumptions!$C$6,D1262)),Assumptions!$D$6,IF(ISNUMBER(SEARCH(Assumptions!$C$7,D1262)),Assumptions!$D$7,"Other Services"))),"Other Services"))</f>
        <v/>
      </c>
    </row>
    <row r="1263" customFormat="false" ht="15" hidden="false" customHeight="false" outlineLevel="0" collapsed="false">
      <c r="F1263" s="41" t="str">
        <f aca="false">IF(D1263="","",IFERROR(IF(ISNUMBER(SEARCH(Assumptions!$C$5,D1263)),Assumptions!$D$5,IF(ISNUMBER(SEARCH(Assumptions!$C$6,D1263)),Assumptions!$D$6,IF(ISNUMBER(SEARCH(Assumptions!$C$7,D1263)),Assumptions!$D$7,"Other Services"))),"Other Services"))</f>
        <v/>
      </c>
    </row>
    <row r="1264" customFormat="false" ht="15" hidden="false" customHeight="false" outlineLevel="0" collapsed="false">
      <c r="F1264" s="41" t="str">
        <f aca="false">IF(D1264="","",IFERROR(IF(ISNUMBER(SEARCH(Assumptions!$C$5,D1264)),Assumptions!$D$5,IF(ISNUMBER(SEARCH(Assumptions!$C$6,D1264)),Assumptions!$D$6,IF(ISNUMBER(SEARCH(Assumptions!$C$7,D1264)),Assumptions!$D$7,"Other Services"))),"Other Services"))</f>
        <v/>
      </c>
    </row>
    <row r="1265" customFormat="false" ht="15" hidden="false" customHeight="false" outlineLevel="0" collapsed="false">
      <c r="F1265" s="41" t="str">
        <f aca="false">IF(D1265="","",IFERROR(IF(ISNUMBER(SEARCH(Assumptions!$C$5,D1265)),Assumptions!$D$5,IF(ISNUMBER(SEARCH(Assumptions!$C$6,D1265)),Assumptions!$D$6,IF(ISNUMBER(SEARCH(Assumptions!$C$7,D1265)),Assumptions!$D$7,"Other Services"))),"Other Services"))</f>
        <v/>
      </c>
    </row>
    <row r="1266" customFormat="false" ht="15" hidden="false" customHeight="false" outlineLevel="0" collapsed="false">
      <c r="F1266" s="41" t="str">
        <f aca="false">IF(D1266="","",IFERROR(IF(ISNUMBER(SEARCH(Assumptions!$C$5,D1266)),Assumptions!$D$5,IF(ISNUMBER(SEARCH(Assumptions!$C$6,D1266)),Assumptions!$D$6,IF(ISNUMBER(SEARCH(Assumptions!$C$7,D1266)),Assumptions!$D$7,"Other Services"))),"Other Services"))</f>
        <v/>
      </c>
    </row>
    <row r="1267" customFormat="false" ht="15" hidden="false" customHeight="false" outlineLevel="0" collapsed="false">
      <c r="F1267" s="41" t="str">
        <f aca="false">IF(D1267="","",IFERROR(IF(ISNUMBER(SEARCH(Assumptions!$C$5,D1267)),Assumptions!$D$5,IF(ISNUMBER(SEARCH(Assumptions!$C$6,D1267)),Assumptions!$D$6,IF(ISNUMBER(SEARCH(Assumptions!$C$7,D1267)),Assumptions!$D$7,"Other Services"))),"Other Services"))</f>
        <v/>
      </c>
    </row>
    <row r="1268" customFormat="false" ht="15" hidden="false" customHeight="false" outlineLevel="0" collapsed="false">
      <c r="F1268" s="41" t="str">
        <f aca="false">IF(D1268="","",IFERROR(IF(ISNUMBER(SEARCH(Assumptions!$C$5,D1268)),Assumptions!$D$5,IF(ISNUMBER(SEARCH(Assumptions!$C$6,D1268)),Assumptions!$D$6,IF(ISNUMBER(SEARCH(Assumptions!$C$7,D1268)),Assumptions!$D$7,"Other Services"))),"Other Services"))</f>
        <v/>
      </c>
    </row>
    <row r="1269" customFormat="false" ht="15" hidden="false" customHeight="false" outlineLevel="0" collapsed="false">
      <c r="F1269" s="41" t="str">
        <f aca="false">IF(D1269="","",IFERROR(IF(ISNUMBER(SEARCH(Assumptions!$C$5,D1269)),Assumptions!$D$5,IF(ISNUMBER(SEARCH(Assumptions!$C$6,D1269)),Assumptions!$D$6,IF(ISNUMBER(SEARCH(Assumptions!$C$7,D1269)),Assumptions!$D$7,"Other Services"))),"Other Services"))</f>
        <v/>
      </c>
    </row>
    <row r="1270" customFormat="false" ht="15" hidden="false" customHeight="false" outlineLevel="0" collapsed="false">
      <c r="F1270" s="41" t="str">
        <f aca="false">IF(D1270="","",IFERROR(IF(ISNUMBER(SEARCH(Assumptions!$C$5,D1270)),Assumptions!$D$5,IF(ISNUMBER(SEARCH(Assumptions!$C$6,D1270)),Assumptions!$D$6,IF(ISNUMBER(SEARCH(Assumptions!$C$7,D1270)),Assumptions!$D$7,"Other Services"))),"Other Services"))</f>
        <v/>
      </c>
    </row>
    <row r="1271" customFormat="false" ht="15" hidden="false" customHeight="false" outlineLevel="0" collapsed="false">
      <c r="F1271" s="41" t="str">
        <f aca="false">IF(D1271="","",IFERROR(IF(ISNUMBER(SEARCH(Assumptions!$C$5,D1271)),Assumptions!$D$5,IF(ISNUMBER(SEARCH(Assumptions!$C$6,D1271)),Assumptions!$D$6,IF(ISNUMBER(SEARCH(Assumptions!$C$7,D1271)),Assumptions!$D$7,"Other Services"))),"Other Services"))</f>
        <v/>
      </c>
    </row>
    <row r="1272" customFormat="false" ht="15" hidden="false" customHeight="false" outlineLevel="0" collapsed="false">
      <c r="F1272" s="41" t="str">
        <f aca="false">IF(D1272="","",IFERROR(IF(ISNUMBER(SEARCH(Assumptions!$C$5,D1272)),Assumptions!$D$5,IF(ISNUMBER(SEARCH(Assumptions!$C$6,D1272)),Assumptions!$D$6,IF(ISNUMBER(SEARCH(Assumptions!$C$7,D1272)),Assumptions!$D$7,"Other Services"))),"Other Services"))</f>
        <v/>
      </c>
    </row>
    <row r="1273" customFormat="false" ht="15" hidden="false" customHeight="false" outlineLevel="0" collapsed="false">
      <c r="F1273" s="41" t="str">
        <f aca="false">IF(D1273="","",IFERROR(IF(ISNUMBER(SEARCH(Assumptions!$C$5,D1273)),Assumptions!$D$5,IF(ISNUMBER(SEARCH(Assumptions!$C$6,D1273)),Assumptions!$D$6,IF(ISNUMBER(SEARCH(Assumptions!$C$7,D1273)),Assumptions!$D$7,"Other Services"))),"Other Services"))</f>
        <v/>
      </c>
    </row>
    <row r="1274" customFormat="false" ht="15" hidden="false" customHeight="false" outlineLevel="0" collapsed="false">
      <c r="F1274" s="41" t="str">
        <f aca="false">IF(D1274="","",IFERROR(IF(ISNUMBER(SEARCH(Assumptions!$C$5,D1274)),Assumptions!$D$5,IF(ISNUMBER(SEARCH(Assumptions!$C$6,D1274)),Assumptions!$D$6,IF(ISNUMBER(SEARCH(Assumptions!$C$7,D1274)),Assumptions!$D$7,"Other Services"))),"Other Services"))</f>
        <v/>
      </c>
    </row>
    <row r="1275" customFormat="false" ht="15" hidden="false" customHeight="false" outlineLevel="0" collapsed="false">
      <c r="F1275" s="41" t="str">
        <f aca="false">IF(D1275="","",IFERROR(IF(ISNUMBER(SEARCH(Assumptions!$C$5,D1275)),Assumptions!$D$5,IF(ISNUMBER(SEARCH(Assumptions!$C$6,D1275)),Assumptions!$D$6,IF(ISNUMBER(SEARCH(Assumptions!$C$7,D1275)),Assumptions!$D$7,"Other Services"))),"Other Services"))</f>
        <v/>
      </c>
    </row>
    <row r="1276" customFormat="false" ht="15" hidden="false" customHeight="false" outlineLevel="0" collapsed="false">
      <c r="F1276" s="41" t="str">
        <f aca="false">IF(D1276="","",IFERROR(IF(ISNUMBER(SEARCH(Assumptions!$C$5,D1276)),Assumptions!$D$5,IF(ISNUMBER(SEARCH(Assumptions!$C$6,D1276)),Assumptions!$D$6,IF(ISNUMBER(SEARCH(Assumptions!$C$7,D1276)),Assumptions!$D$7,"Other Services"))),"Other Services"))</f>
        <v/>
      </c>
    </row>
    <row r="1277" customFormat="false" ht="15" hidden="false" customHeight="false" outlineLevel="0" collapsed="false">
      <c r="F1277" s="41" t="str">
        <f aca="false">IF(D1277="","",IFERROR(IF(ISNUMBER(SEARCH(Assumptions!$C$5,D1277)),Assumptions!$D$5,IF(ISNUMBER(SEARCH(Assumptions!$C$6,D1277)),Assumptions!$D$6,IF(ISNUMBER(SEARCH(Assumptions!$C$7,D1277)),Assumptions!$D$7,"Other Services"))),"Other Services"))</f>
        <v/>
      </c>
    </row>
    <row r="1278" customFormat="false" ht="15" hidden="false" customHeight="false" outlineLevel="0" collapsed="false">
      <c r="F1278" s="41" t="str">
        <f aca="false">IF(D1278="","",IFERROR(IF(ISNUMBER(SEARCH(Assumptions!$C$5,D1278)),Assumptions!$D$5,IF(ISNUMBER(SEARCH(Assumptions!$C$6,D1278)),Assumptions!$D$6,IF(ISNUMBER(SEARCH(Assumptions!$C$7,D1278)),Assumptions!$D$7,"Other Services"))),"Other Services"))</f>
        <v/>
      </c>
    </row>
    <row r="1279" customFormat="false" ht="15" hidden="false" customHeight="false" outlineLevel="0" collapsed="false">
      <c r="F1279" s="41" t="str">
        <f aca="false">IF(D1279="","",IFERROR(IF(ISNUMBER(SEARCH(Assumptions!$C$5,D1279)),Assumptions!$D$5,IF(ISNUMBER(SEARCH(Assumptions!$C$6,D1279)),Assumptions!$D$6,IF(ISNUMBER(SEARCH(Assumptions!$C$7,D1279)),Assumptions!$D$7,"Other Services"))),"Other Services"))</f>
        <v/>
      </c>
    </row>
    <row r="1280" customFormat="false" ht="15" hidden="false" customHeight="false" outlineLevel="0" collapsed="false">
      <c r="F1280" s="41" t="str">
        <f aca="false">IF(D1280="","",IFERROR(IF(ISNUMBER(SEARCH(Assumptions!$C$5,D1280)),Assumptions!$D$5,IF(ISNUMBER(SEARCH(Assumptions!$C$6,D1280)),Assumptions!$D$6,IF(ISNUMBER(SEARCH(Assumptions!$C$7,D1280)),Assumptions!$D$7,"Other Services"))),"Other Services"))</f>
        <v/>
      </c>
    </row>
    <row r="1281" customFormat="false" ht="15" hidden="false" customHeight="false" outlineLevel="0" collapsed="false">
      <c r="F1281" s="41" t="str">
        <f aca="false">IF(D1281="","",IFERROR(IF(ISNUMBER(SEARCH(Assumptions!$C$5,D1281)),Assumptions!$D$5,IF(ISNUMBER(SEARCH(Assumptions!$C$6,D1281)),Assumptions!$D$6,IF(ISNUMBER(SEARCH(Assumptions!$C$7,D1281)),Assumptions!$D$7,"Other Services"))),"Other Services"))</f>
        <v/>
      </c>
    </row>
    <row r="1282" customFormat="false" ht="15" hidden="false" customHeight="false" outlineLevel="0" collapsed="false">
      <c r="F1282" s="41" t="str">
        <f aca="false">IF(D1282="","",IFERROR(IF(ISNUMBER(SEARCH(Assumptions!$C$5,D1282)),Assumptions!$D$5,IF(ISNUMBER(SEARCH(Assumptions!$C$6,D1282)),Assumptions!$D$6,IF(ISNUMBER(SEARCH(Assumptions!$C$7,D1282)),Assumptions!$D$7,"Other Services"))),"Other Services"))</f>
        <v/>
      </c>
    </row>
    <row r="1283" customFormat="false" ht="15" hidden="false" customHeight="false" outlineLevel="0" collapsed="false">
      <c r="F1283" s="41" t="str">
        <f aca="false">IF(D1283="","",IFERROR(IF(ISNUMBER(SEARCH(Assumptions!$C$5,D1283)),Assumptions!$D$5,IF(ISNUMBER(SEARCH(Assumptions!$C$6,D1283)),Assumptions!$D$6,IF(ISNUMBER(SEARCH(Assumptions!$C$7,D1283)),Assumptions!$D$7,"Other Services"))),"Other Services"))</f>
        <v/>
      </c>
    </row>
    <row r="1284" customFormat="false" ht="15" hidden="false" customHeight="false" outlineLevel="0" collapsed="false">
      <c r="F1284" s="41" t="str">
        <f aca="false">IF(D1284="","",IFERROR(IF(ISNUMBER(SEARCH(Assumptions!$C$5,D1284)),Assumptions!$D$5,IF(ISNUMBER(SEARCH(Assumptions!$C$6,D1284)),Assumptions!$D$6,IF(ISNUMBER(SEARCH(Assumptions!$C$7,D1284)),Assumptions!$D$7,"Other Services"))),"Other Services"))</f>
        <v/>
      </c>
    </row>
    <row r="1285" customFormat="false" ht="15" hidden="false" customHeight="false" outlineLevel="0" collapsed="false">
      <c r="F1285" s="41" t="str">
        <f aca="false">IF(D1285="","",IFERROR(IF(ISNUMBER(SEARCH(Assumptions!$C$5,D1285)),Assumptions!$D$5,IF(ISNUMBER(SEARCH(Assumptions!$C$6,D1285)),Assumptions!$D$6,IF(ISNUMBER(SEARCH(Assumptions!$C$7,D1285)),Assumptions!$D$7,"Other Services"))),"Other Services"))</f>
        <v/>
      </c>
    </row>
    <row r="1286" customFormat="false" ht="15" hidden="false" customHeight="false" outlineLevel="0" collapsed="false">
      <c r="F1286" s="41" t="str">
        <f aca="false">IF(D1286="","",IFERROR(IF(ISNUMBER(SEARCH(Assumptions!$C$5,D1286)),Assumptions!$D$5,IF(ISNUMBER(SEARCH(Assumptions!$C$6,D1286)),Assumptions!$D$6,IF(ISNUMBER(SEARCH(Assumptions!$C$7,D1286)),Assumptions!$D$7,"Other Services"))),"Other Services"))</f>
        <v/>
      </c>
    </row>
    <row r="1287" customFormat="false" ht="15" hidden="false" customHeight="false" outlineLevel="0" collapsed="false">
      <c r="F1287" s="41" t="str">
        <f aca="false">IF(D1287="","",IFERROR(IF(ISNUMBER(SEARCH(Assumptions!$C$5,D1287)),Assumptions!$D$5,IF(ISNUMBER(SEARCH(Assumptions!$C$6,D1287)),Assumptions!$D$6,IF(ISNUMBER(SEARCH(Assumptions!$C$7,D1287)),Assumptions!$D$7,"Other Services"))),"Other Services"))</f>
        <v/>
      </c>
    </row>
    <row r="1288" customFormat="false" ht="15" hidden="false" customHeight="false" outlineLevel="0" collapsed="false">
      <c r="F1288" s="41" t="str">
        <f aca="false">IF(D1288="","",IFERROR(IF(ISNUMBER(SEARCH(Assumptions!$C$5,D1288)),Assumptions!$D$5,IF(ISNUMBER(SEARCH(Assumptions!$C$6,D1288)),Assumptions!$D$6,IF(ISNUMBER(SEARCH(Assumptions!$C$7,D1288)),Assumptions!$D$7,"Other Services"))),"Other Services"))</f>
        <v/>
      </c>
    </row>
    <row r="1289" customFormat="false" ht="15" hidden="false" customHeight="false" outlineLevel="0" collapsed="false">
      <c r="F1289" s="41" t="str">
        <f aca="false">IF(D1289="","",IFERROR(IF(ISNUMBER(SEARCH(Assumptions!$C$5,D1289)),Assumptions!$D$5,IF(ISNUMBER(SEARCH(Assumptions!$C$6,D1289)),Assumptions!$D$6,IF(ISNUMBER(SEARCH(Assumptions!$C$7,D1289)),Assumptions!$D$7,"Other Services"))),"Other Services"))</f>
        <v/>
      </c>
    </row>
    <row r="1290" customFormat="false" ht="15" hidden="false" customHeight="false" outlineLevel="0" collapsed="false">
      <c r="F1290" s="41" t="str">
        <f aca="false">IF(D1290="","",IFERROR(IF(ISNUMBER(SEARCH(Assumptions!$C$5,D1290)),Assumptions!$D$5,IF(ISNUMBER(SEARCH(Assumptions!$C$6,D1290)),Assumptions!$D$6,IF(ISNUMBER(SEARCH(Assumptions!$C$7,D1290)),Assumptions!$D$7,"Other Services"))),"Other Services"))</f>
        <v/>
      </c>
    </row>
    <row r="1291" customFormat="false" ht="15" hidden="false" customHeight="false" outlineLevel="0" collapsed="false">
      <c r="F1291" s="41" t="str">
        <f aca="false">IF(D1291="","",IFERROR(IF(ISNUMBER(SEARCH(Assumptions!$C$5,D1291)),Assumptions!$D$5,IF(ISNUMBER(SEARCH(Assumptions!$C$6,D1291)),Assumptions!$D$6,IF(ISNUMBER(SEARCH(Assumptions!$C$7,D1291)),Assumptions!$D$7,"Other Services"))),"Other Services"))</f>
        <v/>
      </c>
    </row>
    <row r="1292" customFormat="false" ht="15" hidden="false" customHeight="false" outlineLevel="0" collapsed="false">
      <c r="F1292" s="41" t="str">
        <f aca="false">IF(D1292="","",IFERROR(IF(ISNUMBER(SEARCH(Assumptions!$C$5,D1292)),Assumptions!$D$5,IF(ISNUMBER(SEARCH(Assumptions!$C$6,D1292)),Assumptions!$D$6,IF(ISNUMBER(SEARCH(Assumptions!$C$7,D1292)),Assumptions!$D$7,"Other Services"))),"Other Services"))</f>
        <v/>
      </c>
    </row>
    <row r="1293" customFormat="false" ht="15" hidden="false" customHeight="false" outlineLevel="0" collapsed="false">
      <c r="F1293" s="41" t="str">
        <f aca="false">IF(D1293="","",IFERROR(IF(ISNUMBER(SEARCH(Assumptions!$C$5,D1293)),Assumptions!$D$5,IF(ISNUMBER(SEARCH(Assumptions!$C$6,D1293)),Assumptions!$D$6,IF(ISNUMBER(SEARCH(Assumptions!$C$7,D1293)),Assumptions!$D$7,"Other Services"))),"Other Services"))</f>
        <v/>
      </c>
    </row>
    <row r="1294" customFormat="false" ht="15" hidden="false" customHeight="false" outlineLevel="0" collapsed="false">
      <c r="F1294" s="41" t="str">
        <f aca="false">IF(D1294="","",IFERROR(IF(ISNUMBER(SEARCH(Assumptions!$C$5,D1294)),Assumptions!$D$5,IF(ISNUMBER(SEARCH(Assumptions!$C$6,D1294)),Assumptions!$D$6,IF(ISNUMBER(SEARCH(Assumptions!$C$7,D1294)),Assumptions!$D$7,"Other Services"))),"Other Services"))</f>
        <v/>
      </c>
    </row>
    <row r="1295" customFormat="false" ht="15" hidden="false" customHeight="false" outlineLevel="0" collapsed="false">
      <c r="F1295" s="41" t="str">
        <f aca="false">IF(D1295="","",IFERROR(IF(ISNUMBER(SEARCH(Assumptions!$C$5,D1295)),Assumptions!$D$5,IF(ISNUMBER(SEARCH(Assumptions!$C$6,D1295)),Assumptions!$D$6,IF(ISNUMBER(SEARCH(Assumptions!$C$7,D1295)),Assumptions!$D$7,"Other Services"))),"Other Services"))</f>
        <v/>
      </c>
    </row>
    <row r="1296" customFormat="false" ht="15" hidden="false" customHeight="false" outlineLevel="0" collapsed="false">
      <c r="F1296" s="41" t="str">
        <f aca="false">IF(D1296="","",IFERROR(IF(ISNUMBER(SEARCH(Assumptions!$C$5,D1296)),Assumptions!$D$5,IF(ISNUMBER(SEARCH(Assumptions!$C$6,D1296)),Assumptions!$D$6,IF(ISNUMBER(SEARCH(Assumptions!$C$7,D1296)),Assumptions!$D$7,"Other Services"))),"Other Services"))</f>
        <v/>
      </c>
    </row>
    <row r="1297" customFormat="false" ht="15" hidden="false" customHeight="false" outlineLevel="0" collapsed="false">
      <c r="F1297" s="41" t="str">
        <f aca="false">IF(D1297="","",IFERROR(IF(ISNUMBER(SEARCH(Assumptions!$C$5,D1297)),Assumptions!$D$5,IF(ISNUMBER(SEARCH(Assumptions!$C$6,D1297)),Assumptions!$D$6,IF(ISNUMBER(SEARCH(Assumptions!$C$7,D1297)),Assumptions!$D$7,"Other Services"))),"Other Services"))</f>
        <v/>
      </c>
    </row>
    <row r="1298" customFormat="false" ht="15" hidden="false" customHeight="false" outlineLevel="0" collapsed="false">
      <c r="F1298" s="41" t="str">
        <f aca="false">IF(D1298="","",IFERROR(IF(ISNUMBER(SEARCH(Assumptions!$C$5,D1298)),Assumptions!$D$5,IF(ISNUMBER(SEARCH(Assumptions!$C$6,D1298)),Assumptions!$D$6,IF(ISNUMBER(SEARCH(Assumptions!$C$7,D1298)),Assumptions!$D$7,"Other Services"))),"Other Services"))</f>
        <v/>
      </c>
    </row>
    <row r="1299" customFormat="false" ht="15" hidden="false" customHeight="false" outlineLevel="0" collapsed="false">
      <c r="F1299" s="41" t="str">
        <f aca="false">IF(D1299="","",IFERROR(IF(ISNUMBER(SEARCH(Assumptions!$C$5,D1299)),Assumptions!$D$5,IF(ISNUMBER(SEARCH(Assumptions!$C$6,D1299)),Assumptions!$D$6,IF(ISNUMBER(SEARCH(Assumptions!$C$7,D1299)),Assumptions!$D$7,"Other Services"))),"Other Services"))</f>
        <v/>
      </c>
    </row>
    <row r="1300" customFormat="false" ht="15" hidden="false" customHeight="false" outlineLevel="0" collapsed="false">
      <c r="F1300" s="41" t="str">
        <f aca="false">IF(D1300="","",IFERROR(IF(ISNUMBER(SEARCH(Assumptions!$C$5,D1300)),Assumptions!$D$5,IF(ISNUMBER(SEARCH(Assumptions!$C$6,D1300)),Assumptions!$D$6,IF(ISNUMBER(SEARCH(Assumptions!$C$7,D1300)),Assumptions!$D$7,"Other Services"))),"Other Services"))</f>
        <v/>
      </c>
    </row>
    <row r="1301" customFormat="false" ht="15" hidden="false" customHeight="false" outlineLevel="0" collapsed="false">
      <c r="F1301" s="41" t="str">
        <f aca="false">IF(D1301="","",IFERROR(IF(ISNUMBER(SEARCH(Assumptions!$C$5,D1301)),Assumptions!$D$5,IF(ISNUMBER(SEARCH(Assumptions!$C$6,D1301)),Assumptions!$D$6,IF(ISNUMBER(SEARCH(Assumptions!$C$7,D1301)),Assumptions!$D$7,"Other Services"))),"Other Services"))</f>
        <v/>
      </c>
    </row>
    <row r="1302" customFormat="false" ht="15" hidden="false" customHeight="false" outlineLevel="0" collapsed="false">
      <c r="F1302" s="41" t="str">
        <f aca="false">IF(D1302="","",IFERROR(IF(ISNUMBER(SEARCH(Assumptions!$C$5,D1302)),Assumptions!$D$5,IF(ISNUMBER(SEARCH(Assumptions!$C$6,D1302)),Assumptions!$D$6,IF(ISNUMBER(SEARCH(Assumptions!$C$7,D1302)),Assumptions!$D$7,"Other Services"))),"Other Services"))</f>
        <v/>
      </c>
    </row>
    <row r="1303" customFormat="false" ht="15" hidden="false" customHeight="false" outlineLevel="0" collapsed="false">
      <c r="F1303" s="41" t="str">
        <f aca="false">IF(D1303="","",IFERROR(IF(ISNUMBER(SEARCH(Assumptions!$C$5,D1303)),Assumptions!$D$5,IF(ISNUMBER(SEARCH(Assumptions!$C$6,D1303)),Assumptions!$D$6,IF(ISNUMBER(SEARCH(Assumptions!$C$7,D1303)),Assumptions!$D$7,"Other Services"))),"Other Services"))</f>
        <v/>
      </c>
    </row>
    <row r="1304" customFormat="false" ht="15" hidden="false" customHeight="false" outlineLevel="0" collapsed="false">
      <c r="F1304" s="41" t="str">
        <f aca="false">IF(D1304="","",IFERROR(IF(ISNUMBER(SEARCH(Assumptions!$C$5,D1304)),Assumptions!$D$5,IF(ISNUMBER(SEARCH(Assumptions!$C$6,D1304)),Assumptions!$D$6,IF(ISNUMBER(SEARCH(Assumptions!$C$7,D1304)),Assumptions!$D$7,"Other Services"))),"Other Services"))</f>
        <v/>
      </c>
    </row>
    <row r="1305" customFormat="false" ht="15" hidden="false" customHeight="false" outlineLevel="0" collapsed="false">
      <c r="F1305" s="41" t="str">
        <f aca="false">IF(D1305="","",IFERROR(IF(ISNUMBER(SEARCH(Assumptions!$C$5,D1305)),Assumptions!$D$5,IF(ISNUMBER(SEARCH(Assumptions!$C$6,D1305)),Assumptions!$D$6,IF(ISNUMBER(SEARCH(Assumptions!$C$7,D1305)),Assumptions!$D$7,"Other Services"))),"Other Services"))</f>
        <v/>
      </c>
    </row>
    <row r="1306" customFormat="false" ht="15" hidden="false" customHeight="false" outlineLevel="0" collapsed="false">
      <c r="F1306" s="41" t="str">
        <f aca="false">IF(D1306="","",IFERROR(IF(ISNUMBER(SEARCH(Assumptions!$C$5,D1306)),Assumptions!$D$5,IF(ISNUMBER(SEARCH(Assumptions!$C$6,D1306)),Assumptions!$D$6,IF(ISNUMBER(SEARCH(Assumptions!$C$7,D1306)),Assumptions!$D$7,"Other Services"))),"Other Services"))</f>
        <v/>
      </c>
    </row>
    <row r="1307" customFormat="false" ht="15" hidden="false" customHeight="false" outlineLevel="0" collapsed="false">
      <c r="F1307" s="41" t="str">
        <f aca="false">IF(D1307="","",IFERROR(IF(ISNUMBER(SEARCH(Assumptions!$C$5,D1307)),Assumptions!$D$5,IF(ISNUMBER(SEARCH(Assumptions!$C$6,D1307)),Assumptions!$D$6,IF(ISNUMBER(SEARCH(Assumptions!$C$7,D1307)),Assumptions!$D$7,"Other Services"))),"Other Services"))</f>
        <v/>
      </c>
    </row>
    <row r="1308" customFormat="false" ht="15" hidden="false" customHeight="false" outlineLevel="0" collapsed="false">
      <c r="F1308" s="41" t="str">
        <f aca="false">IF(D1308="","",IFERROR(IF(ISNUMBER(SEARCH(Assumptions!$C$5,D1308)),Assumptions!$D$5,IF(ISNUMBER(SEARCH(Assumptions!$C$6,D1308)),Assumptions!$D$6,IF(ISNUMBER(SEARCH(Assumptions!$C$7,D1308)),Assumptions!$D$7,"Other Services"))),"Other Services"))</f>
        <v/>
      </c>
    </row>
    <row r="1309" customFormat="false" ht="15" hidden="false" customHeight="false" outlineLevel="0" collapsed="false">
      <c r="F1309" s="41" t="str">
        <f aca="false">IF(D1309="","",IFERROR(IF(ISNUMBER(SEARCH(Assumptions!$C$5,D1309)),Assumptions!$D$5,IF(ISNUMBER(SEARCH(Assumptions!$C$6,D1309)),Assumptions!$D$6,IF(ISNUMBER(SEARCH(Assumptions!$C$7,D1309)),Assumptions!$D$7,"Other Services"))),"Other Services"))</f>
        <v/>
      </c>
    </row>
    <row r="1310" customFormat="false" ht="15" hidden="false" customHeight="false" outlineLevel="0" collapsed="false">
      <c r="F1310" s="41" t="str">
        <f aca="false">IF(D1310="","",IFERROR(IF(ISNUMBER(SEARCH(Assumptions!$C$5,D1310)),Assumptions!$D$5,IF(ISNUMBER(SEARCH(Assumptions!$C$6,D1310)),Assumptions!$D$6,IF(ISNUMBER(SEARCH(Assumptions!$C$7,D1310)),Assumptions!$D$7,"Other Services"))),"Other Services"))</f>
        <v/>
      </c>
    </row>
    <row r="1311" customFormat="false" ht="15" hidden="false" customHeight="false" outlineLevel="0" collapsed="false">
      <c r="F1311" s="41" t="str">
        <f aca="false">IF(D1311="","",IFERROR(IF(ISNUMBER(SEARCH(Assumptions!$C$5,D1311)),Assumptions!$D$5,IF(ISNUMBER(SEARCH(Assumptions!$C$6,D1311)),Assumptions!$D$6,IF(ISNUMBER(SEARCH(Assumptions!$C$7,D1311)),Assumptions!$D$7,"Other Services"))),"Other Services"))</f>
        <v/>
      </c>
    </row>
    <row r="1312" customFormat="false" ht="15" hidden="false" customHeight="false" outlineLevel="0" collapsed="false">
      <c r="F1312" s="41" t="str">
        <f aca="false">IF(D1312="","",IFERROR(IF(ISNUMBER(SEARCH(Assumptions!$C$5,D1312)),Assumptions!$D$5,IF(ISNUMBER(SEARCH(Assumptions!$C$6,D1312)),Assumptions!$D$6,IF(ISNUMBER(SEARCH(Assumptions!$C$7,D1312)),Assumptions!$D$7,"Other Services"))),"Other Services"))</f>
        <v/>
      </c>
    </row>
    <row r="1313" customFormat="false" ht="15" hidden="false" customHeight="false" outlineLevel="0" collapsed="false">
      <c r="F1313" s="41" t="str">
        <f aca="false">IF(D1313="","",IFERROR(IF(ISNUMBER(SEARCH(Assumptions!$C$5,D1313)),Assumptions!$D$5,IF(ISNUMBER(SEARCH(Assumptions!$C$6,D1313)),Assumptions!$D$6,IF(ISNUMBER(SEARCH(Assumptions!$C$7,D1313)),Assumptions!$D$7,"Other Services"))),"Other Services"))</f>
        <v/>
      </c>
    </row>
    <row r="1314" customFormat="false" ht="15" hidden="false" customHeight="false" outlineLevel="0" collapsed="false">
      <c r="F1314" s="41" t="str">
        <f aca="false">IF(D1314="","",IFERROR(IF(ISNUMBER(SEARCH(Assumptions!$C$5,D1314)),Assumptions!$D$5,IF(ISNUMBER(SEARCH(Assumptions!$C$6,D1314)),Assumptions!$D$6,IF(ISNUMBER(SEARCH(Assumptions!$C$7,D1314)),Assumptions!$D$7,"Other Services"))),"Other Services"))</f>
        <v/>
      </c>
    </row>
    <row r="1315" customFormat="false" ht="15" hidden="false" customHeight="false" outlineLevel="0" collapsed="false">
      <c r="F1315" s="41" t="str">
        <f aca="false">IF(D1315="","",IFERROR(IF(ISNUMBER(SEARCH(Assumptions!$C$5,D1315)),Assumptions!$D$5,IF(ISNUMBER(SEARCH(Assumptions!$C$6,D1315)),Assumptions!$D$6,IF(ISNUMBER(SEARCH(Assumptions!$C$7,D1315)),Assumptions!$D$7,"Other Services"))),"Other Services"))</f>
        <v/>
      </c>
    </row>
    <row r="1316" customFormat="false" ht="15" hidden="false" customHeight="false" outlineLevel="0" collapsed="false">
      <c r="F1316" s="41" t="str">
        <f aca="false">IF(D1316="","",IFERROR(IF(ISNUMBER(SEARCH(Assumptions!$C$5,D1316)),Assumptions!$D$5,IF(ISNUMBER(SEARCH(Assumptions!$C$6,D1316)),Assumptions!$D$6,IF(ISNUMBER(SEARCH(Assumptions!$C$7,D1316)),Assumptions!$D$7,"Other Services"))),"Other Services"))</f>
        <v/>
      </c>
    </row>
    <row r="1317" customFormat="false" ht="15" hidden="false" customHeight="false" outlineLevel="0" collapsed="false">
      <c r="F1317" s="41" t="str">
        <f aca="false">IF(D1317="","",IFERROR(IF(ISNUMBER(SEARCH(Assumptions!$C$5,D1317)),Assumptions!$D$5,IF(ISNUMBER(SEARCH(Assumptions!$C$6,D1317)),Assumptions!$D$6,IF(ISNUMBER(SEARCH(Assumptions!$C$7,D1317)),Assumptions!$D$7,"Other Services"))),"Other Services"))</f>
        <v/>
      </c>
    </row>
    <row r="1318" customFormat="false" ht="15" hidden="false" customHeight="false" outlineLevel="0" collapsed="false">
      <c r="F1318" s="41" t="str">
        <f aca="false">IF(D1318="","",IFERROR(IF(ISNUMBER(SEARCH(Assumptions!$C$5,D1318)),Assumptions!$D$5,IF(ISNUMBER(SEARCH(Assumptions!$C$6,D1318)),Assumptions!$D$6,IF(ISNUMBER(SEARCH(Assumptions!$C$7,D1318)),Assumptions!$D$7,"Other Services"))),"Other Services"))</f>
        <v/>
      </c>
    </row>
    <row r="1319" customFormat="false" ht="15" hidden="false" customHeight="false" outlineLevel="0" collapsed="false">
      <c r="F1319" s="41" t="str">
        <f aca="false">IF(D1319="","",IFERROR(IF(ISNUMBER(SEARCH(Assumptions!$C$5,D1319)),Assumptions!$D$5,IF(ISNUMBER(SEARCH(Assumptions!$C$6,D1319)),Assumptions!$D$6,IF(ISNUMBER(SEARCH(Assumptions!$C$7,D1319)),Assumptions!$D$7,"Other Services"))),"Other Services"))</f>
        <v/>
      </c>
    </row>
    <row r="1320" customFormat="false" ht="15" hidden="false" customHeight="false" outlineLevel="0" collapsed="false">
      <c r="F1320" s="41" t="str">
        <f aca="false">IF(D1320="","",IFERROR(IF(ISNUMBER(SEARCH(Assumptions!$C$5,D1320)),Assumptions!$D$5,IF(ISNUMBER(SEARCH(Assumptions!$C$6,D1320)),Assumptions!$D$6,IF(ISNUMBER(SEARCH(Assumptions!$C$7,D1320)),Assumptions!$D$7,"Other Services"))),"Other Services"))</f>
        <v/>
      </c>
    </row>
    <row r="1321" customFormat="false" ht="15" hidden="false" customHeight="false" outlineLevel="0" collapsed="false">
      <c r="F1321" s="41" t="str">
        <f aca="false">IF(D1321="","",IFERROR(IF(ISNUMBER(SEARCH(Assumptions!$C$5,D1321)),Assumptions!$D$5,IF(ISNUMBER(SEARCH(Assumptions!$C$6,D1321)),Assumptions!$D$6,IF(ISNUMBER(SEARCH(Assumptions!$C$7,D1321)),Assumptions!$D$7,"Other Services"))),"Other Services"))</f>
        <v/>
      </c>
    </row>
    <row r="1322" customFormat="false" ht="15" hidden="false" customHeight="false" outlineLevel="0" collapsed="false">
      <c r="F1322" s="41" t="str">
        <f aca="false">IF(D1322="","",IFERROR(IF(ISNUMBER(SEARCH(Assumptions!$C$5,D1322)),Assumptions!$D$5,IF(ISNUMBER(SEARCH(Assumptions!$C$6,D1322)),Assumptions!$D$6,IF(ISNUMBER(SEARCH(Assumptions!$C$7,D1322)),Assumptions!$D$7,"Other Services"))),"Other Services"))</f>
        <v/>
      </c>
    </row>
    <row r="1323" customFormat="false" ht="15" hidden="false" customHeight="false" outlineLevel="0" collapsed="false">
      <c r="F1323" s="41" t="str">
        <f aca="false">IF(D1323="","",IFERROR(IF(ISNUMBER(SEARCH(Assumptions!$C$5,D1323)),Assumptions!$D$5,IF(ISNUMBER(SEARCH(Assumptions!$C$6,D1323)),Assumptions!$D$6,IF(ISNUMBER(SEARCH(Assumptions!$C$7,D1323)),Assumptions!$D$7,"Other Services"))),"Other Services"))</f>
        <v/>
      </c>
    </row>
    <row r="1324" customFormat="false" ht="15" hidden="false" customHeight="false" outlineLevel="0" collapsed="false">
      <c r="F1324" s="41" t="str">
        <f aca="false">IF(D1324="","",IFERROR(IF(ISNUMBER(SEARCH(Assumptions!$C$5,D1324)),Assumptions!$D$5,IF(ISNUMBER(SEARCH(Assumptions!$C$6,D1324)),Assumptions!$D$6,IF(ISNUMBER(SEARCH(Assumptions!$C$7,D1324)),Assumptions!$D$7,"Other Services"))),"Other Services"))</f>
        <v/>
      </c>
    </row>
    <row r="1325" customFormat="false" ht="15" hidden="false" customHeight="false" outlineLevel="0" collapsed="false">
      <c r="F1325" s="41" t="str">
        <f aca="false">IF(D1325="","",IFERROR(IF(ISNUMBER(SEARCH(Assumptions!$C$5,D1325)),Assumptions!$D$5,IF(ISNUMBER(SEARCH(Assumptions!$C$6,D1325)),Assumptions!$D$6,IF(ISNUMBER(SEARCH(Assumptions!$C$7,D1325)),Assumptions!$D$7,"Other Services"))),"Other Services"))</f>
        <v/>
      </c>
    </row>
    <row r="1326" customFormat="false" ht="15" hidden="false" customHeight="false" outlineLevel="0" collapsed="false">
      <c r="F1326" s="41" t="str">
        <f aca="false">IF(D1326="","",IFERROR(IF(ISNUMBER(SEARCH(Assumptions!$C$5,D1326)),Assumptions!$D$5,IF(ISNUMBER(SEARCH(Assumptions!$C$6,D1326)),Assumptions!$D$6,IF(ISNUMBER(SEARCH(Assumptions!$C$7,D1326)),Assumptions!$D$7,"Other Services"))),"Other Services"))</f>
        <v/>
      </c>
    </row>
    <row r="1327" customFormat="false" ht="15" hidden="false" customHeight="false" outlineLevel="0" collapsed="false">
      <c r="F1327" s="41" t="str">
        <f aca="false">IF(D1327="","",IFERROR(IF(ISNUMBER(SEARCH(Assumptions!$C$5,D1327)),Assumptions!$D$5,IF(ISNUMBER(SEARCH(Assumptions!$C$6,D1327)),Assumptions!$D$6,IF(ISNUMBER(SEARCH(Assumptions!$C$7,D1327)),Assumptions!$D$7,"Other Services"))),"Other Services"))</f>
        <v/>
      </c>
    </row>
    <row r="1328" customFormat="false" ht="15" hidden="false" customHeight="false" outlineLevel="0" collapsed="false">
      <c r="F1328" s="41" t="str">
        <f aca="false">IF(D1328="","",IFERROR(IF(ISNUMBER(SEARCH(Assumptions!$C$5,D1328)),Assumptions!$D$5,IF(ISNUMBER(SEARCH(Assumptions!$C$6,D1328)),Assumptions!$D$6,IF(ISNUMBER(SEARCH(Assumptions!$C$7,D1328)),Assumptions!$D$7,"Other Services"))),"Other Services"))</f>
        <v/>
      </c>
    </row>
    <row r="1329" customFormat="false" ht="15" hidden="false" customHeight="false" outlineLevel="0" collapsed="false">
      <c r="F1329" s="41" t="str">
        <f aca="false">IF(D1329="","",IFERROR(IF(ISNUMBER(SEARCH(Assumptions!$C$5,D1329)),Assumptions!$D$5,IF(ISNUMBER(SEARCH(Assumptions!$C$6,D1329)),Assumptions!$D$6,IF(ISNUMBER(SEARCH(Assumptions!$C$7,D1329)),Assumptions!$D$7,"Other Services"))),"Other Services"))</f>
        <v/>
      </c>
    </row>
    <row r="1330" customFormat="false" ht="15" hidden="false" customHeight="false" outlineLevel="0" collapsed="false">
      <c r="F1330" s="41" t="str">
        <f aca="false">IF(D1330="","",IFERROR(IF(ISNUMBER(SEARCH(Assumptions!$C$5,D1330)),Assumptions!$D$5,IF(ISNUMBER(SEARCH(Assumptions!$C$6,D1330)),Assumptions!$D$6,IF(ISNUMBER(SEARCH(Assumptions!$C$7,D1330)),Assumptions!$D$7,"Other Services"))),"Other Services"))</f>
        <v/>
      </c>
    </row>
    <row r="1331" customFormat="false" ht="15" hidden="false" customHeight="false" outlineLevel="0" collapsed="false">
      <c r="F1331" s="41" t="str">
        <f aca="false">IF(D1331="","",IFERROR(IF(ISNUMBER(SEARCH(Assumptions!$C$5,D1331)),Assumptions!$D$5,IF(ISNUMBER(SEARCH(Assumptions!$C$6,D1331)),Assumptions!$D$6,IF(ISNUMBER(SEARCH(Assumptions!$C$7,D1331)),Assumptions!$D$7,"Other Services"))),"Other Services"))</f>
        <v/>
      </c>
    </row>
    <row r="1332" customFormat="false" ht="15" hidden="false" customHeight="false" outlineLevel="0" collapsed="false">
      <c r="F1332" s="41" t="str">
        <f aca="false">IF(D1332="","",IFERROR(IF(ISNUMBER(SEARCH(Assumptions!$C$5,D1332)),Assumptions!$D$5,IF(ISNUMBER(SEARCH(Assumptions!$C$6,D1332)),Assumptions!$D$6,IF(ISNUMBER(SEARCH(Assumptions!$C$7,D1332)),Assumptions!$D$7,"Other Services"))),"Other Services"))</f>
        <v/>
      </c>
    </row>
    <row r="1333" customFormat="false" ht="15" hidden="false" customHeight="false" outlineLevel="0" collapsed="false">
      <c r="F1333" s="41" t="str">
        <f aca="false">IF(D1333="","",IFERROR(IF(ISNUMBER(SEARCH(Assumptions!$C$5,D1333)),Assumptions!$D$5,IF(ISNUMBER(SEARCH(Assumptions!$C$6,D1333)),Assumptions!$D$6,IF(ISNUMBER(SEARCH(Assumptions!$C$7,D1333)),Assumptions!$D$7,"Other Services"))),"Other Services"))</f>
        <v/>
      </c>
    </row>
    <row r="1334" customFormat="false" ht="15" hidden="false" customHeight="false" outlineLevel="0" collapsed="false">
      <c r="F1334" s="41" t="str">
        <f aca="false">IF(D1334="","",IFERROR(IF(ISNUMBER(SEARCH(Assumptions!$C$5,D1334)),Assumptions!$D$5,IF(ISNUMBER(SEARCH(Assumptions!$C$6,D1334)),Assumptions!$D$6,IF(ISNUMBER(SEARCH(Assumptions!$C$7,D1334)),Assumptions!$D$7,"Other Services"))),"Other Services"))</f>
        <v/>
      </c>
    </row>
    <row r="1335" customFormat="false" ht="15" hidden="false" customHeight="false" outlineLevel="0" collapsed="false">
      <c r="F1335" s="41" t="str">
        <f aca="false">IF(D1335="","",IFERROR(IF(ISNUMBER(SEARCH(Assumptions!$C$5,D1335)),Assumptions!$D$5,IF(ISNUMBER(SEARCH(Assumptions!$C$6,D1335)),Assumptions!$D$6,IF(ISNUMBER(SEARCH(Assumptions!$C$7,D1335)),Assumptions!$D$7,"Other Services"))),"Other Services"))</f>
        <v/>
      </c>
    </row>
    <row r="1336" customFormat="false" ht="15" hidden="false" customHeight="false" outlineLevel="0" collapsed="false">
      <c r="F1336" s="41" t="str">
        <f aca="false">IF(D1336="","",IFERROR(IF(ISNUMBER(SEARCH(Assumptions!$C$5,D1336)),Assumptions!$D$5,IF(ISNUMBER(SEARCH(Assumptions!$C$6,D1336)),Assumptions!$D$6,IF(ISNUMBER(SEARCH(Assumptions!$C$7,D1336)),Assumptions!$D$7,"Other Services"))),"Other Services"))</f>
        <v/>
      </c>
    </row>
    <row r="1337" customFormat="false" ht="15" hidden="false" customHeight="false" outlineLevel="0" collapsed="false">
      <c r="F1337" s="41" t="str">
        <f aca="false">IF(D1337="","",IFERROR(IF(ISNUMBER(SEARCH(Assumptions!$C$5,D1337)),Assumptions!$D$5,IF(ISNUMBER(SEARCH(Assumptions!$C$6,D1337)),Assumptions!$D$6,IF(ISNUMBER(SEARCH(Assumptions!$C$7,D1337)),Assumptions!$D$7,"Other Services"))),"Other Services"))</f>
        <v/>
      </c>
    </row>
    <row r="1338" customFormat="false" ht="15" hidden="false" customHeight="false" outlineLevel="0" collapsed="false">
      <c r="F1338" s="41" t="str">
        <f aca="false">IF(D1338="","",IFERROR(IF(ISNUMBER(SEARCH(Assumptions!$C$5,D1338)),Assumptions!$D$5,IF(ISNUMBER(SEARCH(Assumptions!$C$6,D1338)),Assumptions!$D$6,IF(ISNUMBER(SEARCH(Assumptions!$C$7,D1338)),Assumptions!$D$7,"Other Services"))),"Other Services"))</f>
        <v/>
      </c>
    </row>
    <row r="1339" customFormat="false" ht="15" hidden="false" customHeight="false" outlineLevel="0" collapsed="false">
      <c r="F1339" s="41" t="str">
        <f aca="false">IF(D1339="","",IFERROR(IF(ISNUMBER(SEARCH(Assumptions!$C$5,D1339)),Assumptions!$D$5,IF(ISNUMBER(SEARCH(Assumptions!$C$6,D1339)),Assumptions!$D$6,IF(ISNUMBER(SEARCH(Assumptions!$C$7,D1339)),Assumptions!$D$7,"Other Services"))),"Other Services"))</f>
        <v/>
      </c>
    </row>
    <row r="1340" customFormat="false" ht="15" hidden="false" customHeight="false" outlineLevel="0" collapsed="false">
      <c r="F1340" s="41" t="str">
        <f aca="false">IF(D1340="","",IFERROR(IF(ISNUMBER(SEARCH(Assumptions!$C$5,D1340)),Assumptions!$D$5,IF(ISNUMBER(SEARCH(Assumptions!$C$6,D1340)),Assumptions!$D$6,IF(ISNUMBER(SEARCH(Assumptions!$C$7,D1340)),Assumptions!$D$7,"Other Services"))),"Other Services"))</f>
        <v/>
      </c>
    </row>
    <row r="1341" customFormat="false" ht="15" hidden="false" customHeight="false" outlineLevel="0" collapsed="false">
      <c r="F1341" s="41" t="str">
        <f aca="false">IF(D1341="","",IFERROR(IF(ISNUMBER(SEARCH(Assumptions!$C$5,D1341)),Assumptions!$D$5,IF(ISNUMBER(SEARCH(Assumptions!$C$6,D1341)),Assumptions!$D$6,IF(ISNUMBER(SEARCH(Assumptions!$C$7,D1341)),Assumptions!$D$7,"Other Services"))),"Other Services"))</f>
        <v/>
      </c>
    </row>
    <row r="1342" customFormat="false" ht="15" hidden="false" customHeight="false" outlineLevel="0" collapsed="false">
      <c r="F1342" s="41" t="str">
        <f aca="false">IF(D1342="","",IFERROR(IF(ISNUMBER(SEARCH(Assumptions!$C$5,D1342)),Assumptions!$D$5,IF(ISNUMBER(SEARCH(Assumptions!$C$6,D1342)),Assumptions!$D$6,IF(ISNUMBER(SEARCH(Assumptions!$C$7,D1342)),Assumptions!$D$7,"Other Services"))),"Other Services"))</f>
        <v/>
      </c>
    </row>
    <row r="1343" customFormat="false" ht="15" hidden="false" customHeight="false" outlineLevel="0" collapsed="false">
      <c r="F1343" s="41" t="str">
        <f aca="false">IF(D1343="","",IFERROR(IF(ISNUMBER(SEARCH(Assumptions!$C$5,D1343)),Assumptions!$D$5,IF(ISNUMBER(SEARCH(Assumptions!$C$6,D1343)),Assumptions!$D$6,IF(ISNUMBER(SEARCH(Assumptions!$C$7,D1343)),Assumptions!$D$7,"Other Services"))),"Other Services"))</f>
        <v/>
      </c>
    </row>
    <row r="1344" customFormat="false" ht="15" hidden="false" customHeight="false" outlineLevel="0" collapsed="false">
      <c r="F1344" s="41" t="str">
        <f aca="false">IF(D1344="","",IFERROR(IF(ISNUMBER(SEARCH(Assumptions!$C$5,D1344)),Assumptions!$D$5,IF(ISNUMBER(SEARCH(Assumptions!$C$6,D1344)),Assumptions!$D$6,IF(ISNUMBER(SEARCH(Assumptions!$C$7,D1344)),Assumptions!$D$7,"Other Services"))),"Other Services"))</f>
        <v/>
      </c>
    </row>
    <row r="1345" customFormat="false" ht="15" hidden="false" customHeight="false" outlineLevel="0" collapsed="false">
      <c r="F1345" s="41" t="str">
        <f aca="false">IF(D1345="","",IFERROR(IF(ISNUMBER(SEARCH(Assumptions!$C$5,D1345)),Assumptions!$D$5,IF(ISNUMBER(SEARCH(Assumptions!$C$6,D1345)),Assumptions!$D$6,IF(ISNUMBER(SEARCH(Assumptions!$C$7,D1345)),Assumptions!$D$7,"Other Services"))),"Other Services"))</f>
        <v/>
      </c>
    </row>
    <row r="1346" customFormat="false" ht="15" hidden="false" customHeight="false" outlineLevel="0" collapsed="false">
      <c r="F1346" s="41" t="str">
        <f aca="false">IF(D1346="","",IFERROR(IF(ISNUMBER(SEARCH(Assumptions!$C$5,D1346)),Assumptions!$D$5,IF(ISNUMBER(SEARCH(Assumptions!$C$6,D1346)),Assumptions!$D$6,IF(ISNUMBER(SEARCH(Assumptions!$C$7,D1346)),Assumptions!$D$7,"Other Services"))),"Other Services"))</f>
        <v/>
      </c>
    </row>
    <row r="1347" customFormat="false" ht="15" hidden="false" customHeight="false" outlineLevel="0" collapsed="false">
      <c r="F1347" s="41" t="str">
        <f aca="false">IF(D1347="","",IFERROR(IF(ISNUMBER(SEARCH(Assumptions!$C$5,D1347)),Assumptions!$D$5,IF(ISNUMBER(SEARCH(Assumptions!$C$6,D1347)),Assumptions!$D$6,IF(ISNUMBER(SEARCH(Assumptions!$C$7,D1347)),Assumptions!$D$7,"Other Services"))),"Other Services"))</f>
        <v/>
      </c>
    </row>
    <row r="1348" customFormat="false" ht="15" hidden="false" customHeight="false" outlineLevel="0" collapsed="false">
      <c r="F1348" s="41" t="str">
        <f aca="false">IF(D1348="","",IFERROR(IF(ISNUMBER(SEARCH(Assumptions!$C$5,D1348)),Assumptions!$D$5,IF(ISNUMBER(SEARCH(Assumptions!$C$6,D1348)),Assumptions!$D$6,IF(ISNUMBER(SEARCH(Assumptions!$C$7,D1348)),Assumptions!$D$7,"Other Services"))),"Other Services"))</f>
        <v/>
      </c>
    </row>
    <row r="1349" customFormat="false" ht="15" hidden="false" customHeight="false" outlineLevel="0" collapsed="false">
      <c r="F1349" s="41" t="str">
        <f aca="false">IF(D1349="","",IFERROR(IF(ISNUMBER(SEARCH(Assumptions!$C$5,D1349)),Assumptions!$D$5,IF(ISNUMBER(SEARCH(Assumptions!$C$6,D1349)),Assumptions!$D$6,IF(ISNUMBER(SEARCH(Assumptions!$C$7,D1349)),Assumptions!$D$7,"Other Services"))),"Other Services"))</f>
        <v/>
      </c>
    </row>
    <row r="1350" customFormat="false" ht="15" hidden="false" customHeight="false" outlineLevel="0" collapsed="false">
      <c r="F1350" s="41" t="str">
        <f aca="false">IF(D1350="","",IFERROR(IF(ISNUMBER(SEARCH(Assumptions!$C$5,D1350)),Assumptions!$D$5,IF(ISNUMBER(SEARCH(Assumptions!$C$6,D1350)),Assumptions!$D$6,IF(ISNUMBER(SEARCH(Assumptions!$C$7,D1350)),Assumptions!$D$7,"Other Services"))),"Other Services"))</f>
        <v/>
      </c>
    </row>
    <row r="1351" customFormat="false" ht="15" hidden="false" customHeight="false" outlineLevel="0" collapsed="false">
      <c r="F1351" s="41" t="str">
        <f aca="false">IF(D1351="","",IFERROR(IF(ISNUMBER(SEARCH(Assumptions!$C$5,D1351)),Assumptions!$D$5,IF(ISNUMBER(SEARCH(Assumptions!$C$6,D1351)),Assumptions!$D$6,IF(ISNUMBER(SEARCH(Assumptions!$C$7,D1351)),Assumptions!$D$7,"Other Services"))),"Other Services"))</f>
        <v/>
      </c>
    </row>
    <row r="1352" customFormat="false" ht="15" hidden="false" customHeight="false" outlineLevel="0" collapsed="false">
      <c r="F1352" s="41" t="str">
        <f aca="false">IF(D1352="","",IFERROR(IF(ISNUMBER(SEARCH(Assumptions!$C$5,D1352)),Assumptions!$D$5,IF(ISNUMBER(SEARCH(Assumptions!$C$6,D1352)),Assumptions!$D$6,IF(ISNUMBER(SEARCH(Assumptions!$C$7,D1352)),Assumptions!$D$7,"Other Services"))),"Other Services"))</f>
        <v/>
      </c>
    </row>
    <row r="1353" customFormat="false" ht="15" hidden="false" customHeight="false" outlineLevel="0" collapsed="false">
      <c r="F1353" s="41" t="str">
        <f aca="false">IF(D1353="","",IFERROR(IF(ISNUMBER(SEARCH(Assumptions!$C$5,D1353)),Assumptions!$D$5,IF(ISNUMBER(SEARCH(Assumptions!$C$6,D1353)),Assumptions!$D$6,IF(ISNUMBER(SEARCH(Assumptions!$C$7,D1353)),Assumptions!$D$7,"Other Services"))),"Other Services"))</f>
        <v/>
      </c>
    </row>
    <row r="1354" customFormat="false" ht="15" hidden="false" customHeight="false" outlineLevel="0" collapsed="false">
      <c r="F1354" s="41" t="str">
        <f aca="false">IF(D1354="","",IFERROR(IF(ISNUMBER(SEARCH(Assumptions!$C$5,D1354)),Assumptions!$D$5,IF(ISNUMBER(SEARCH(Assumptions!$C$6,D1354)),Assumptions!$D$6,IF(ISNUMBER(SEARCH(Assumptions!$C$7,D1354)),Assumptions!$D$7,"Other Services"))),"Other Services"))</f>
        <v/>
      </c>
    </row>
    <row r="1355" customFormat="false" ht="15" hidden="false" customHeight="false" outlineLevel="0" collapsed="false">
      <c r="F1355" s="41" t="str">
        <f aca="false">IF(D1355="","",IFERROR(IF(ISNUMBER(SEARCH(Assumptions!$C$5,D1355)),Assumptions!$D$5,IF(ISNUMBER(SEARCH(Assumptions!$C$6,D1355)),Assumptions!$D$6,IF(ISNUMBER(SEARCH(Assumptions!$C$7,D1355)),Assumptions!$D$7,"Other Services"))),"Other Services"))</f>
        <v/>
      </c>
    </row>
    <row r="1356" customFormat="false" ht="15" hidden="false" customHeight="false" outlineLevel="0" collapsed="false">
      <c r="F1356" s="41" t="str">
        <f aca="false">IF(D1356="","",IFERROR(IF(ISNUMBER(SEARCH(Assumptions!$C$5,D1356)),Assumptions!$D$5,IF(ISNUMBER(SEARCH(Assumptions!$C$6,D1356)),Assumptions!$D$6,IF(ISNUMBER(SEARCH(Assumptions!$C$7,D1356)),Assumptions!$D$7,"Other Services"))),"Other Services"))</f>
        <v/>
      </c>
    </row>
    <row r="1357" customFormat="false" ht="15" hidden="false" customHeight="false" outlineLevel="0" collapsed="false">
      <c r="F1357" s="41" t="str">
        <f aca="false">IF(D1357="","",IFERROR(IF(ISNUMBER(SEARCH(Assumptions!$C$5,D1357)),Assumptions!$D$5,IF(ISNUMBER(SEARCH(Assumptions!$C$6,D1357)),Assumptions!$D$6,IF(ISNUMBER(SEARCH(Assumptions!$C$7,D1357)),Assumptions!$D$7,"Other Services"))),"Other Services"))</f>
        <v/>
      </c>
    </row>
    <row r="1358" customFormat="false" ht="15" hidden="false" customHeight="false" outlineLevel="0" collapsed="false">
      <c r="F1358" s="41" t="str">
        <f aca="false">IF(D1358="","",IFERROR(IF(ISNUMBER(SEARCH(Assumptions!$C$5,D1358)),Assumptions!$D$5,IF(ISNUMBER(SEARCH(Assumptions!$C$6,D1358)),Assumptions!$D$6,IF(ISNUMBER(SEARCH(Assumptions!$C$7,D1358)),Assumptions!$D$7,"Other Services"))),"Other Services"))</f>
        <v/>
      </c>
    </row>
    <row r="1359" customFormat="false" ht="15" hidden="false" customHeight="false" outlineLevel="0" collapsed="false">
      <c r="F1359" s="41" t="str">
        <f aca="false">IF(D1359="","",IFERROR(IF(ISNUMBER(SEARCH(Assumptions!$C$5,D1359)),Assumptions!$D$5,IF(ISNUMBER(SEARCH(Assumptions!$C$6,D1359)),Assumptions!$D$6,IF(ISNUMBER(SEARCH(Assumptions!$C$7,D1359)),Assumptions!$D$7,"Other Services"))),"Other Services"))</f>
        <v/>
      </c>
    </row>
    <row r="1360" customFormat="false" ht="15" hidden="false" customHeight="false" outlineLevel="0" collapsed="false">
      <c r="F1360" s="41" t="str">
        <f aca="false">IF(D1360="","",IFERROR(IF(ISNUMBER(SEARCH(Assumptions!$C$5,D1360)),Assumptions!$D$5,IF(ISNUMBER(SEARCH(Assumptions!$C$6,D1360)),Assumptions!$D$6,IF(ISNUMBER(SEARCH(Assumptions!$C$7,D1360)),Assumptions!$D$7,"Other Services"))),"Other Services"))</f>
        <v/>
      </c>
    </row>
    <row r="1361" customFormat="false" ht="15" hidden="false" customHeight="false" outlineLevel="0" collapsed="false">
      <c r="F1361" s="41" t="str">
        <f aca="false">IF(D1361="","",IFERROR(IF(ISNUMBER(SEARCH(Assumptions!$C$5,D1361)),Assumptions!$D$5,IF(ISNUMBER(SEARCH(Assumptions!$C$6,D1361)),Assumptions!$D$6,IF(ISNUMBER(SEARCH(Assumptions!$C$7,D1361)),Assumptions!$D$7,"Other Services"))),"Other Services"))</f>
        <v/>
      </c>
    </row>
    <row r="1362" customFormat="false" ht="15" hidden="false" customHeight="false" outlineLevel="0" collapsed="false">
      <c r="F1362" s="41" t="str">
        <f aca="false">IF(D1362="","",IFERROR(IF(ISNUMBER(SEARCH(Assumptions!$C$5,D1362)),Assumptions!$D$5,IF(ISNUMBER(SEARCH(Assumptions!$C$6,D1362)),Assumptions!$D$6,IF(ISNUMBER(SEARCH(Assumptions!$C$7,D1362)),Assumptions!$D$7,"Other Services"))),"Other Services"))</f>
        <v/>
      </c>
    </row>
    <row r="1363" customFormat="false" ht="15" hidden="false" customHeight="false" outlineLevel="0" collapsed="false">
      <c r="F1363" s="41" t="str">
        <f aca="false">IF(D1363="","",IFERROR(IF(ISNUMBER(SEARCH(Assumptions!$C$5,D1363)),Assumptions!$D$5,IF(ISNUMBER(SEARCH(Assumptions!$C$6,D1363)),Assumptions!$D$6,IF(ISNUMBER(SEARCH(Assumptions!$C$7,D1363)),Assumptions!$D$7,"Other Services"))),"Other Services"))</f>
        <v/>
      </c>
    </row>
    <row r="1364" customFormat="false" ht="15" hidden="false" customHeight="false" outlineLevel="0" collapsed="false">
      <c r="F1364" s="41" t="str">
        <f aca="false">IF(D1364="","",IFERROR(IF(ISNUMBER(SEARCH(Assumptions!$C$5,D1364)),Assumptions!$D$5,IF(ISNUMBER(SEARCH(Assumptions!$C$6,D1364)),Assumptions!$D$6,IF(ISNUMBER(SEARCH(Assumptions!$C$7,D1364)),Assumptions!$D$7,"Other Services"))),"Other Services"))</f>
        <v/>
      </c>
    </row>
    <row r="1365" customFormat="false" ht="15" hidden="false" customHeight="false" outlineLevel="0" collapsed="false">
      <c r="F1365" s="41" t="str">
        <f aca="false">IF(D1365="","",IFERROR(IF(ISNUMBER(SEARCH(Assumptions!$C$5,D1365)),Assumptions!$D$5,IF(ISNUMBER(SEARCH(Assumptions!$C$6,D1365)),Assumptions!$D$6,IF(ISNUMBER(SEARCH(Assumptions!$C$7,D1365)),Assumptions!$D$7,"Other Services"))),"Other Services"))</f>
        <v/>
      </c>
    </row>
    <row r="1366" customFormat="false" ht="15" hidden="false" customHeight="false" outlineLevel="0" collapsed="false">
      <c r="F1366" s="41" t="str">
        <f aca="false">IF(D1366="","",IFERROR(IF(ISNUMBER(SEARCH(Assumptions!$C$5,D1366)),Assumptions!$D$5,IF(ISNUMBER(SEARCH(Assumptions!$C$6,D1366)),Assumptions!$D$6,IF(ISNUMBER(SEARCH(Assumptions!$C$7,D1366)),Assumptions!$D$7,"Other Services"))),"Other Services"))</f>
        <v/>
      </c>
    </row>
    <row r="1367" customFormat="false" ht="15" hidden="false" customHeight="false" outlineLevel="0" collapsed="false">
      <c r="F1367" s="41" t="str">
        <f aca="false">IF(D1367="","",IFERROR(IF(ISNUMBER(SEARCH(Assumptions!$C$5,D1367)),Assumptions!$D$5,IF(ISNUMBER(SEARCH(Assumptions!$C$6,D1367)),Assumptions!$D$6,IF(ISNUMBER(SEARCH(Assumptions!$C$7,D1367)),Assumptions!$D$7,"Other Services"))),"Other Services"))</f>
        <v/>
      </c>
    </row>
    <row r="1368" customFormat="false" ht="15" hidden="false" customHeight="false" outlineLevel="0" collapsed="false">
      <c r="F1368" s="41" t="str">
        <f aca="false">IF(D1368="","",IFERROR(IF(ISNUMBER(SEARCH(Assumptions!$C$5,D1368)),Assumptions!$D$5,IF(ISNUMBER(SEARCH(Assumptions!$C$6,D1368)),Assumptions!$D$6,IF(ISNUMBER(SEARCH(Assumptions!$C$7,D1368)),Assumptions!$D$7,"Other Services"))),"Other Services"))</f>
        <v/>
      </c>
    </row>
    <row r="1369" customFormat="false" ht="15" hidden="false" customHeight="false" outlineLevel="0" collapsed="false">
      <c r="F1369" s="41" t="str">
        <f aca="false">IF(D1369="","",IFERROR(IF(ISNUMBER(SEARCH(Assumptions!$C$5,D1369)),Assumptions!$D$5,IF(ISNUMBER(SEARCH(Assumptions!$C$6,D1369)),Assumptions!$D$6,IF(ISNUMBER(SEARCH(Assumptions!$C$7,D1369)),Assumptions!$D$7,"Other Services"))),"Other Services"))</f>
        <v/>
      </c>
    </row>
    <row r="1370" customFormat="false" ht="15" hidden="false" customHeight="false" outlineLevel="0" collapsed="false">
      <c r="F1370" s="41" t="str">
        <f aca="false">IF(D1370="","",IFERROR(IF(ISNUMBER(SEARCH(Assumptions!$C$5,D1370)),Assumptions!$D$5,IF(ISNUMBER(SEARCH(Assumptions!$C$6,D1370)),Assumptions!$D$6,IF(ISNUMBER(SEARCH(Assumptions!$C$7,D1370)),Assumptions!$D$7,"Other Services"))),"Other Services"))</f>
        <v/>
      </c>
    </row>
    <row r="1371" customFormat="false" ht="15" hidden="false" customHeight="false" outlineLevel="0" collapsed="false">
      <c r="F1371" s="41" t="str">
        <f aca="false">IF(D1371="","",IFERROR(IF(ISNUMBER(SEARCH(Assumptions!$C$5,D1371)),Assumptions!$D$5,IF(ISNUMBER(SEARCH(Assumptions!$C$6,D1371)),Assumptions!$D$6,IF(ISNUMBER(SEARCH(Assumptions!$C$7,D1371)),Assumptions!$D$7,"Other Services"))),"Other Services"))</f>
        <v/>
      </c>
    </row>
    <row r="1372" customFormat="false" ht="15" hidden="false" customHeight="false" outlineLevel="0" collapsed="false">
      <c r="F1372" s="41" t="str">
        <f aca="false">IF(D1372="","",IFERROR(IF(ISNUMBER(SEARCH(Assumptions!$C$5,D1372)),Assumptions!$D$5,IF(ISNUMBER(SEARCH(Assumptions!$C$6,D1372)),Assumptions!$D$6,IF(ISNUMBER(SEARCH(Assumptions!$C$7,D1372)),Assumptions!$D$7,"Other Services"))),"Other Services"))</f>
        <v/>
      </c>
    </row>
    <row r="1373" customFormat="false" ht="15" hidden="false" customHeight="false" outlineLevel="0" collapsed="false">
      <c r="F1373" s="41" t="str">
        <f aca="false">IF(D1373="","",IFERROR(IF(ISNUMBER(SEARCH(Assumptions!$C$5,D1373)),Assumptions!$D$5,IF(ISNUMBER(SEARCH(Assumptions!$C$6,D1373)),Assumptions!$D$6,IF(ISNUMBER(SEARCH(Assumptions!$C$7,D1373)),Assumptions!$D$7,"Other Services"))),"Other Services"))</f>
        <v/>
      </c>
    </row>
    <row r="1374" customFormat="false" ht="15" hidden="false" customHeight="false" outlineLevel="0" collapsed="false">
      <c r="F1374" s="41" t="str">
        <f aca="false">IF(D1374="","",IFERROR(IF(ISNUMBER(SEARCH(Assumptions!$C$5,D1374)),Assumptions!$D$5,IF(ISNUMBER(SEARCH(Assumptions!$C$6,D1374)),Assumptions!$D$6,IF(ISNUMBER(SEARCH(Assumptions!$C$7,D1374)),Assumptions!$D$7,"Other Services"))),"Other Services"))</f>
        <v/>
      </c>
    </row>
    <row r="1375" customFormat="false" ht="15" hidden="false" customHeight="false" outlineLevel="0" collapsed="false">
      <c r="F1375" s="41" t="str">
        <f aca="false">IF(D1375="","",IFERROR(IF(ISNUMBER(SEARCH(Assumptions!$C$5,D1375)),Assumptions!$D$5,IF(ISNUMBER(SEARCH(Assumptions!$C$6,D1375)),Assumptions!$D$6,IF(ISNUMBER(SEARCH(Assumptions!$C$7,D1375)),Assumptions!$D$7,"Other Services"))),"Other Services"))</f>
        <v/>
      </c>
    </row>
    <row r="1376" customFormat="false" ht="15" hidden="false" customHeight="false" outlineLevel="0" collapsed="false">
      <c r="F1376" s="41" t="str">
        <f aca="false">IF(D1376="","",IFERROR(IF(ISNUMBER(SEARCH(Assumptions!$C$5,D1376)),Assumptions!$D$5,IF(ISNUMBER(SEARCH(Assumptions!$C$6,D1376)),Assumptions!$D$6,IF(ISNUMBER(SEARCH(Assumptions!$C$7,D1376)),Assumptions!$D$7,"Other Services"))),"Other Services"))</f>
        <v/>
      </c>
    </row>
    <row r="1377" customFormat="false" ht="15" hidden="false" customHeight="false" outlineLevel="0" collapsed="false">
      <c r="F1377" s="41" t="str">
        <f aca="false">IF(D1377="","",IFERROR(IF(ISNUMBER(SEARCH(Assumptions!$C$5,D1377)),Assumptions!$D$5,IF(ISNUMBER(SEARCH(Assumptions!$C$6,D1377)),Assumptions!$D$6,IF(ISNUMBER(SEARCH(Assumptions!$C$7,D1377)),Assumptions!$D$7,"Other Services"))),"Other Services"))</f>
        <v/>
      </c>
    </row>
    <row r="1378" customFormat="false" ht="15" hidden="false" customHeight="false" outlineLevel="0" collapsed="false">
      <c r="F1378" s="41" t="str">
        <f aca="false">IF(D1378="","",IFERROR(IF(ISNUMBER(SEARCH(Assumptions!$C$5,D1378)),Assumptions!$D$5,IF(ISNUMBER(SEARCH(Assumptions!$C$6,D1378)),Assumptions!$D$6,IF(ISNUMBER(SEARCH(Assumptions!$C$7,D1378)),Assumptions!$D$7,"Other Services"))),"Other Services"))</f>
        <v/>
      </c>
    </row>
    <row r="1379" customFormat="false" ht="15" hidden="false" customHeight="false" outlineLevel="0" collapsed="false">
      <c r="F1379" s="41" t="str">
        <f aca="false">IF(D1379="","",IFERROR(IF(ISNUMBER(SEARCH(Assumptions!$C$5,D1379)),Assumptions!$D$5,IF(ISNUMBER(SEARCH(Assumptions!$C$6,D1379)),Assumptions!$D$6,IF(ISNUMBER(SEARCH(Assumptions!$C$7,D1379)),Assumptions!$D$7,"Other Services"))),"Other Services"))</f>
        <v/>
      </c>
    </row>
    <row r="1380" customFormat="false" ht="15" hidden="false" customHeight="false" outlineLevel="0" collapsed="false">
      <c r="F1380" s="41" t="str">
        <f aca="false">IF(D1380="","",IFERROR(IF(ISNUMBER(SEARCH(Assumptions!$C$5,D1380)),Assumptions!$D$5,IF(ISNUMBER(SEARCH(Assumptions!$C$6,D1380)),Assumptions!$D$6,IF(ISNUMBER(SEARCH(Assumptions!$C$7,D1380)),Assumptions!$D$7,"Other Services"))),"Other Services"))</f>
        <v/>
      </c>
    </row>
    <row r="1381" customFormat="false" ht="15" hidden="false" customHeight="false" outlineLevel="0" collapsed="false">
      <c r="F1381" s="41" t="str">
        <f aca="false">IF(D1381="","",IFERROR(IF(ISNUMBER(SEARCH(Assumptions!$C$5,D1381)),Assumptions!$D$5,IF(ISNUMBER(SEARCH(Assumptions!$C$6,D1381)),Assumptions!$D$6,IF(ISNUMBER(SEARCH(Assumptions!$C$7,D1381)),Assumptions!$D$7,"Other Services"))),"Other Services"))</f>
        <v/>
      </c>
    </row>
    <row r="1382" customFormat="false" ht="15" hidden="false" customHeight="false" outlineLevel="0" collapsed="false">
      <c r="F1382" s="41" t="str">
        <f aca="false">IF(D1382="","",IFERROR(IF(ISNUMBER(SEARCH(Assumptions!$C$5,D1382)),Assumptions!$D$5,IF(ISNUMBER(SEARCH(Assumptions!$C$6,D1382)),Assumptions!$D$6,IF(ISNUMBER(SEARCH(Assumptions!$C$7,D1382)),Assumptions!$D$7,"Other Services"))),"Other Services"))</f>
        <v/>
      </c>
    </row>
    <row r="1383" customFormat="false" ht="15" hidden="false" customHeight="false" outlineLevel="0" collapsed="false">
      <c r="F1383" s="41" t="str">
        <f aca="false">IF(D1383="","",IFERROR(IF(ISNUMBER(SEARCH(Assumptions!$C$5,D1383)),Assumptions!$D$5,IF(ISNUMBER(SEARCH(Assumptions!$C$6,D1383)),Assumptions!$D$6,IF(ISNUMBER(SEARCH(Assumptions!$C$7,D1383)),Assumptions!$D$7,"Other Services"))),"Other Services"))</f>
        <v/>
      </c>
    </row>
    <row r="1384" customFormat="false" ht="15" hidden="false" customHeight="false" outlineLevel="0" collapsed="false">
      <c r="F1384" s="41" t="str">
        <f aca="false">IF(D1384="","",IFERROR(IF(ISNUMBER(SEARCH(Assumptions!$C$5,D1384)),Assumptions!$D$5,IF(ISNUMBER(SEARCH(Assumptions!$C$6,D1384)),Assumptions!$D$6,IF(ISNUMBER(SEARCH(Assumptions!$C$7,D1384)),Assumptions!$D$7,"Other Services"))),"Other Services"))</f>
        <v/>
      </c>
    </row>
    <row r="1385" customFormat="false" ht="15" hidden="false" customHeight="false" outlineLevel="0" collapsed="false">
      <c r="F1385" s="41" t="str">
        <f aca="false">IF(D1385="","",IFERROR(IF(ISNUMBER(SEARCH(Assumptions!$C$5,D1385)),Assumptions!$D$5,IF(ISNUMBER(SEARCH(Assumptions!$C$6,D1385)),Assumptions!$D$6,IF(ISNUMBER(SEARCH(Assumptions!$C$7,D1385)),Assumptions!$D$7,"Other Services"))),"Other Services"))</f>
        <v/>
      </c>
    </row>
    <row r="1386" customFormat="false" ht="15" hidden="false" customHeight="false" outlineLevel="0" collapsed="false">
      <c r="F1386" s="41" t="str">
        <f aca="false">IF(D1386="","",IFERROR(IF(ISNUMBER(SEARCH(Assumptions!$C$5,D1386)),Assumptions!$D$5,IF(ISNUMBER(SEARCH(Assumptions!$C$6,D1386)),Assumptions!$D$6,IF(ISNUMBER(SEARCH(Assumptions!$C$7,D1386)),Assumptions!$D$7,"Other Services"))),"Other Services"))</f>
        <v/>
      </c>
    </row>
    <row r="1387" customFormat="false" ht="15" hidden="false" customHeight="false" outlineLevel="0" collapsed="false">
      <c r="F1387" s="41" t="str">
        <f aca="false">IF(D1387="","",IFERROR(IF(ISNUMBER(SEARCH(Assumptions!$C$5,D1387)),Assumptions!$D$5,IF(ISNUMBER(SEARCH(Assumptions!$C$6,D1387)),Assumptions!$D$6,IF(ISNUMBER(SEARCH(Assumptions!$C$7,D1387)),Assumptions!$D$7,"Other Services"))),"Other Services"))</f>
        <v/>
      </c>
    </row>
    <row r="1388" customFormat="false" ht="15" hidden="false" customHeight="false" outlineLevel="0" collapsed="false">
      <c r="F1388" s="41" t="str">
        <f aca="false">IF(D1388="","",IFERROR(IF(ISNUMBER(SEARCH(Assumptions!$C$5,D1388)),Assumptions!$D$5,IF(ISNUMBER(SEARCH(Assumptions!$C$6,D1388)),Assumptions!$D$6,IF(ISNUMBER(SEARCH(Assumptions!$C$7,D1388)),Assumptions!$D$7,"Other Services"))),"Other Services"))</f>
        <v/>
      </c>
    </row>
    <row r="1389" customFormat="false" ht="15" hidden="false" customHeight="false" outlineLevel="0" collapsed="false">
      <c r="F1389" s="41" t="str">
        <f aca="false">IF(D1389="","",IFERROR(IF(ISNUMBER(SEARCH(Assumptions!$C$5,D1389)),Assumptions!$D$5,IF(ISNUMBER(SEARCH(Assumptions!$C$6,D1389)),Assumptions!$D$6,IF(ISNUMBER(SEARCH(Assumptions!$C$7,D1389)),Assumptions!$D$7,"Other Services"))),"Other Services"))</f>
        <v/>
      </c>
    </row>
    <row r="1390" customFormat="false" ht="15" hidden="false" customHeight="false" outlineLevel="0" collapsed="false">
      <c r="F1390" s="41" t="str">
        <f aca="false">IF(D1390="","",IFERROR(IF(ISNUMBER(SEARCH(Assumptions!$C$5,D1390)),Assumptions!$D$5,IF(ISNUMBER(SEARCH(Assumptions!$C$6,D1390)),Assumptions!$D$6,IF(ISNUMBER(SEARCH(Assumptions!$C$7,D1390)),Assumptions!$D$7,"Other Services"))),"Other Services"))</f>
        <v/>
      </c>
    </row>
    <row r="1391" customFormat="false" ht="15" hidden="false" customHeight="false" outlineLevel="0" collapsed="false">
      <c r="F1391" s="41" t="str">
        <f aca="false">IF(D1391="","",IFERROR(IF(ISNUMBER(SEARCH(Assumptions!$C$5,D1391)),Assumptions!$D$5,IF(ISNUMBER(SEARCH(Assumptions!$C$6,D1391)),Assumptions!$D$6,IF(ISNUMBER(SEARCH(Assumptions!$C$7,D1391)),Assumptions!$D$7,"Other Services"))),"Other Services"))</f>
        <v/>
      </c>
    </row>
    <row r="1392" customFormat="false" ht="15" hidden="false" customHeight="false" outlineLevel="0" collapsed="false">
      <c r="F1392" s="41" t="str">
        <f aca="false">IF(D1392="","",IFERROR(IF(ISNUMBER(SEARCH(Assumptions!$C$5,D1392)),Assumptions!$D$5,IF(ISNUMBER(SEARCH(Assumptions!$C$6,D1392)),Assumptions!$D$6,IF(ISNUMBER(SEARCH(Assumptions!$C$7,D1392)),Assumptions!$D$7,"Other Services"))),"Other Services"))</f>
        <v/>
      </c>
    </row>
    <row r="1393" customFormat="false" ht="15" hidden="false" customHeight="false" outlineLevel="0" collapsed="false">
      <c r="F1393" s="41" t="str">
        <f aca="false">IF(D1393="","",IFERROR(IF(ISNUMBER(SEARCH(Assumptions!$C$5,D1393)),Assumptions!$D$5,IF(ISNUMBER(SEARCH(Assumptions!$C$6,D1393)),Assumptions!$D$6,IF(ISNUMBER(SEARCH(Assumptions!$C$7,D1393)),Assumptions!$D$7,"Other Services"))),"Other Services"))</f>
        <v/>
      </c>
    </row>
    <row r="1394" customFormat="false" ht="15" hidden="false" customHeight="false" outlineLevel="0" collapsed="false">
      <c r="F1394" s="41" t="str">
        <f aca="false">IF(D1394="","",IFERROR(IF(ISNUMBER(SEARCH(Assumptions!$C$5,D1394)),Assumptions!$D$5,IF(ISNUMBER(SEARCH(Assumptions!$C$6,D1394)),Assumptions!$D$6,IF(ISNUMBER(SEARCH(Assumptions!$C$7,D1394)),Assumptions!$D$7,"Other Services"))),"Other Services"))</f>
        <v/>
      </c>
    </row>
    <row r="1395" customFormat="false" ht="15" hidden="false" customHeight="false" outlineLevel="0" collapsed="false">
      <c r="F1395" s="41" t="str">
        <f aca="false">IF(D1395="","",IFERROR(IF(ISNUMBER(SEARCH(Assumptions!$C$5,D1395)),Assumptions!$D$5,IF(ISNUMBER(SEARCH(Assumptions!$C$6,D1395)),Assumptions!$D$6,IF(ISNUMBER(SEARCH(Assumptions!$C$7,D1395)),Assumptions!$D$7,"Other Services"))),"Other Services"))</f>
        <v/>
      </c>
    </row>
    <row r="1396" customFormat="false" ht="15" hidden="false" customHeight="false" outlineLevel="0" collapsed="false">
      <c r="F1396" s="41" t="str">
        <f aca="false">IF(D1396="","",IFERROR(IF(ISNUMBER(SEARCH(Assumptions!$C$5,D1396)),Assumptions!$D$5,IF(ISNUMBER(SEARCH(Assumptions!$C$6,D1396)),Assumptions!$D$6,IF(ISNUMBER(SEARCH(Assumptions!$C$7,D1396)),Assumptions!$D$7,"Other Services"))),"Other Services"))</f>
        <v/>
      </c>
    </row>
    <row r="1397" customFormat="false" ht="15" hidden="false" customHeight="false" outlineLevel="0" collapsed="false">
      <c r="F1397" s="41" t="str">
        <f aca="false">IF(D1397="","",IFERROR(IF(ISNUMBER(SEARCH(Assumptions!$C$5,D1397)),Assumptions!$D$5,IF(ISNUMBER(SEARCH(Assumptions!$C$6,D1397)),Assumptions!$D$6,IF(ISNUMBER(SEARCH(Assumptions!$C$7,D1397)),Assumptions!$D$7,"Other Services"))),"Other Services"))</f>
        <v/>
      </c>
    </row>
    <row r="1398" customFormat="false" ht="15" hidden="false" customHeight="false" outlineLevel="0" collapsed="false">
      <c r="F1398" s="41" t="str">
        <f aca="false">IF(D1398="","",IFERROR(IF(ISNUMBER(SEARCH(Assumptions!$C$5,D1398)),Assumptions!$D$5,IF(ISNUMBER(SEARCH(Assumptions!$C$6,D1398)),Assumptions!$D$6,IF(ISNUMBER(SEARCH(Assumptions!$C$7,D1398)),Assumptions!$D$7,"Other Services"))),"Other Services"))</f>
        <v/>
      </c>
    </row>
    <row r="1399" customFormat="false" ht="15" hidden="false" customHeight="false" outlineLevel="0" collapsed="false">
      <c r="F1399" s="41" t="str">
        <f aca="false">IF(D1399="","",IFERROR(IF(ISNUMBER(SEARCH(Assumptions!$C$5,D1399)),Assumptions!$D$5,IF(ISNUMBER(SEARCH(Assumptions!$C$6,D1399)),Assumptions!$D$6,IF(ISNUMBER(SEARCH(Assumptions!$C$7,D1399)),Assumptions!$D$7,"Other Services"))),"Other Services"))</f>
        <v/>
      </c>
    </row>
    <row r="1400" customFormat="false" ht="15" hidden="false" customHeight="false" outlineLevel="0" collapsed="false">
      <c r="F1400" s="41" t="str">
        <f aca="false">IF(D1400="","",IFERROR(IF(ISNUMBER(SEARCH(Assumptions!$C$5,D1400)),Assumptions!$D$5,IF(ISNUMBER(SEARCH(Assumptions!$C$6,D1400)),Assumptions!$D$6,IF(ISNUMBER(SEARCH(Assumptions!$C$7,D1400)),Assumptions!$D$7,"Other Services"))),"Other Services"))</f>
        <v/>
      </c>
    </row>
    <row r="1401" customFormat="false" ht="15" hidden="false" customHeight="false" outlineLevel="0" collapsed="false">
      <c r="F1401" s="41" t="str">
        <f aca="false">IF(D1401="","",IFERROR(IF(ISNUMBER(SEARCH(Assumptions!$C$5,D1401)),Assumptions!$D$5,IF(ISNUMBER(SEARCH(Assumptions!$C$6,D1401)),Assumptions!$D$6,IF(ISNUMBER(SEARCH(Assumptions!$C$7,D1401)),Assumptions!$D$7,"Other Services"))),"Other Services"))</f>
        <v/>
      </c>
    </row>
    <row r="1402" customFormat="false" ht="15" hidden="false" customHeight="false" outlineLevel="0" collapsed="false">
      <c r="F1402" s="41" t="str">
        <f aca="false">IF(D1402="","",IFERROR(IF(ISNUMBER(SEARCH(Assumptions!$C$5,D1402)),Assumptions!$D$5,IF(ISNUMBER(SEARCH(Assumptions!$C$6,D1402)),Assumptions!$D$6,IF(ISNUMBER(SEARCH(Assumptions!$C$7,D1402)),Assumptions!$D$7,"Other Services"))),"Other Services"))</f>
        <v/>
      </c>
    </row>
    <row r="1403" customFormat="false" ht="15" hidden="false" customHeight="false" outlineLevel="0" collapsed="false">
      <c r="F1403" s="41" t="str">
        <f aca="false">IF(D1403="","",IFERROR(IF(ISNUMBER(SEARCH(Assumptions!$C$5,D1403)),Assumptions!$D$5,IF(ISNUMBER(SEARCH(Assumptions!$C$6,D1403)),Assumptions!$D$6,IF(ISNUMBER(SEARCH(Assumptions!$C$7,D1403)),Assumptions!$D$7,"Other Services"))),"Other Services"))</f>
        <v/>
      </c>
    </row>
    <row r="1404" customFormat="false" ht="15" hidden="false" customHeight="false" outlineLevel="0" collapsed="false">
      <c r="F1404" s="41" t="str">
        <f aca="false">IF(D1404="","",IFERROR(IF(ISNUMBER(SEARCH(Assumptions!$C$5,D1404)),Assumptions!$D$5,IF(ISNUMBER(SEARCH(Assumptions!$C$6,D1404)),Assumptions!$D$6,IF(ISNUMBER(SEARCH(Assumptions!$C$7,D1404)),Assumptions!$D$7,"Other Services"))),"Other Services"))</f>
        <v/>
      </c>
    </row>
    <row r="1405" customFormat="false" ht="15" hidden="false" customHeight="false" outlineLevel="0" collapsed="false">
      <c r="F1405" s="41" t="str">
        <f aca="false">IF(D1405="","",IFERROR(IF(ISNUMBER(SEARCH(Assumptions!$C$5,D1405)),Assumptions!$D$5,IF(ISNUMBER(SEARCH(Assumptions!$C$6,D1405)),Assumptions!$D$6,IF(ISNUMBER(SEARCH(Assumptions!$C$7,D1405)),Assumptions!$D$7,"Other Services"))),"Other Services"))</f>
        <v/>
      </c>
    </row>
    <row r="1406" customFormat="false" ht="15" hidden="false" customHeight="false" outlineLevel="0" collapsed="false">
      <c r="F1406" s="41" t="str">
        <f aca="false">IF(D1406="","",IFERROR(IF(ISNUMBER(SEARCH(Assumptions!$C$5,D1406)),Assumptions!$D$5,IF(ISNUMBER(SEARCH(Assumptions!$C$6,D1406)),Assumptions!$D$6,IF(ISNUMBER(SEARCH(Assumptions!$C$7,D1406)),Assumptions!$D$7,"Other Services"))),"Other Services"))</f>
        <v/>
      </c>
    </row>
    <row r="1407" customFormat="false" ht="15" hidden="false" customHeight="false" outlineLevel="0" collapsed="false">
      <c r="F1407" s="41" t="str">
        <f aca="false">IF(D1407="","",IFERROR(IF(ISNUMBER(SEARCH(Assumptions!$C$5,D1407)),Assumptions!$D$5,IF(ISNUMBER(SEARCH(Assumptions!$C$6,D1407)),Assumptions!$D$6,IF(ISNUMBER(SEARCH(Assumptions!$C$7,D1407)),Assumptions!$D$7,"Other Services"))),"Other Services"))</f>
        <v/>
      </c>
    </row>
    <row r="1408" customFormat="false" ht="15" hidden="false" customHeight="false" outlineLevel="0" collapsed="false">
      <c r="F1408" s="41" t="str">
        <f aca="false">IF(D1408="","",IFERROR(IF(ISNUMBER(SEARCH(Assumptions!$C$5,D1408)),Assumptions!$D$5,IF(ISNUMBER(SEARCH(Assumptions!$C$6,D1408)),Assumptions!$D$6,IF(ISNUMBER(SEARCH(Assumptions!$C$7,D1408)),Assumptions!$D$7,"Other Services"))),"Other Services"))</f>
        <v/>
      </c>
    </row>
    <row r="1409" customFormat="false" ht="15" hidden="false" customHeight="false" outlineLevel="0" collapsed="false">
      <c r="F1409" s="41" t="str">
        <f aca="false">IF(D1409="","",IFERROR(IF(ISNUMBER(SEARCH(Assumptions!$C$5,D1409)),Assumptions!$D$5,IF(ISNUMBER(SEARCH(Assumptions!$C$6,D1409)),Assumptions!$D$6,IF(ISNUMBER(SEARCH(Assumptions!$C$7,D1409)),Assumptions!$D$7,"Other Services"))),"Other Services"))</f>
        <v/>
      </c>
    </row>
    <row r="1410" customFormat="false" ht="15" hidden="false" customHeight="false" outlineLevel="0" collapsed="false">
      <c r="F1410" s="41" t="str">
        <f aca="false">IF(D1410="","",IFERROR(IF(ISNUMBER(SEARCH(Assumptions!$C$5,D1410)),Assumptions!$D$5,IF(ISNUMBER(SEARCH(Assumptions!$C$6,D1410)),Assumptions!$D$6,IF(ISNUMBER(SEARCH(Assumptions!$C$7,D1410)),Assumptions!$D$7,"Other Services"))),"Other Services"))</f>
        <v/>
      </c>
    </row>
    <row r="1411" customFormat="false" ht="15" hidden="false" customHeight="false" outlineLevel="0" collapsed="false">
      <c r="F1411" s="41" t="str">
        <f aca="false">IF(D1411="","",IFERROR(IF(ISNUMBER(SEARCH(Assumptions!$C$5,D1411)),Assumptions!$D$5,IF(ISNUMBER(SEARCH(Assumptions!$C$6,D1411)),Assumptions!$D$6,IF(ISNUMBER(SEARCH(Assumptions!$C$7,D1411)),Assumptions!$D$7,"Other Services"))),"Other Services"))</f>
        <v/>
      </c>
    </row>
    <row r="1412" customFormat="false" ht="15" hidden="false" customHeight="false" outlineLevel="0" collapsed="false">
      <c r="F1412" s="41" t="str">
        <f aca="false">IF(D1412="","",IFERROR(IF(ISNUMBER(SEARCH(Assumptions!$C$5,D1412)),Assumptions!$D$5,IF(ISNUMBER(SEARCH(Assumptions!$C$6,D1412)),Assumptions!$D$6,IF(ISNUMBER(SEARCH(Assumptions!$C$7,D1412)),Assumptions!$D$7,"Other Services"))),"Other Services"))</f>
        <v/>
      </c>
    </row>
    <row r="1413" customFormat="false" ht="15" hidden="false" customHeight="false" outlineLevel="0" collapsed="false">
      <c r="F1413" s="41" t="str">
        <f aca="false">IF(D1413="","",IFERROR(IF(ISNUMBER(SEARCH(Assumptions!$C$5,D1413)),Assumptions!$D$5,IF(ISNUMBER(SEARCH(Assumptions!$C$6,D1413)),Assumptions!$D$6,IF(ISNUMBER(SEARCH(Assumptions!$C$7,D1413)),Assumptions!$D$7,"Other Services"))),"Other Services"))</f>
        <v/>
      </c>
    </row>
    <row r="1414" customFormat="false" ht="15" hidden="false" customHeight="false" outlineLevel="0" collapsed="false">
      <c r="F1414" s="41" t="str">
        <f aca="false">IF(D1414="","",IFERROR(IF(ISNUMBER(SEARCH(Assumptions!$C$5,D1414)),Assumptions!$D$5,IF(ISNUMBER(SEARCH(Assumptions!$C$6,D1414)),Assumptions!$D$6,IF(ISNUMBER(SEARCH(Assumptions!$C$7,D1414)),Assumptions!$D$7,"Other Services"))),"Other Services"))</f>
        <v/>
      </c>
    </row>
    <row r="1415" customFormat="false" ht="15" hidden="false" customHeight="false" outlineLevel="0" collapsed="false">
      <c r="F1415" s="41" t="str">
        <f aca="false">IF(D1415="","",IFERROR(IF(ISNUMBER(SEARCH(Assumptions!$C$5,D1415)),Assumptions!$D$5,IF(ISNUMBER(SEARCH(Assumptions!$C$6,D1415)),Assumptions!$D$6,IF(ISNUMBER(SEARCH(Assumptions!$C$7,D1415)),Assumptions!$D$7,"Other Services"))),"Other Services"))</f>
        <v/>
      </c>
    </row>
    <row r="1416" customFormat="false" ht="15" hidden="false" customHeight="false" outlineLevel="0" collapsed="false">
      <c r="F1416" s="41" t="str">
        <f aca="false">IF(D1416="","",IFERROR(IF(ISNUMBER(SEARCH(Assumptions!$C$5,D1416)),Assumptions!$D$5,IF(ISNUMBER(SEARCH(Assumptions!$C$6,D1416)),Assumptions!$D$6,IF(ISNUMBER(SEARCH(Assumptions!$C$7,D1416)),Assumptions!$D$7,"Other Services"))),"Other Services"))</f>
        <v/>
      </c>
    </row>
    <row r="1417" customFormat="false" ht="15" hidden="false" customHeight="false" outlineLevel="0" collapsed="false">
      <c r="F1417" s="41" t="str">
        <f aca="false">IF(D1417="","",IFERROR(IF(ISNUMBER(SEARCH(Assumptions!$C$5,D1417)),Assumptions!$D$5,IF(ISNUMBER(SEARCH(Assumptions!$C$6,D1417)),Assumptions!$D$6,IF(ISNUMBER(SEARCH(Assumptions!$C$7,D1417)),Assumptions!$D$7,"Other Services"))),"Other Services"))</f>
        <v/>
      </c>
    </row>
    <row r="1418" customFormat="false" ht="15" hidden="false" customHeight="false" outlineLevel="0" collapsed="false">
      <c r="F1418" s="41" t="str">
        <f aca="false">IF(D1418="","",IFERROR(IF(ISNUMBER(SEARCH(Assumptions!$C$5,D1418)),Assumptions!$D$5,IF(ISNUMBER(SEARCH(Assumptions!$C$6,D1418)),Assumptions!$D$6,IF(ISNUMBER(SEARCH(Assumptions!$C$7,D1418)),Assumptions!$D$7,"Other Services"))),"Other Services"))</f>
        <v/>
      </c>
    </row>
    <row r="1419" customFormat="false" ht="15" hidden="false" customHeight="false" outlineLevel="0" collapsed="false">
      <c r="F1419" s="41" t="str">
        <f aca="false">IF(D1419="","",IFERROR(IF(ISNUMBER(SEARCH(Assumptions!$C$5,D1419)),Assumptions!$D$5,IF(ISNUMBER(SEARCH(Assumptions!$C$6,D1419)),Assumptions!$D$6,IF(ISNUMBER(SEARCH(Assumptions!$C$7,D1419)),Assumptions!$D$7,"Other Services"))),"Other Services"))</f>
        <v/>
      </c>
    </row>
    <row r="1420" customFormat="false" ht="15" hidden="false" customHeight="false" outlineLevel="0" collapsed="false">
      <c r="F1420" s="41" t="str">
        <f aca="false">IF(D1420="","",IFERROR(IF(ISNUMBER(SEARCH(Assumptions!$C$5,D1420)),Assumptions!$D$5,IF(ISNUMBER(SEARCH(Assumptions!$C$6,D1420)),Assumptions!$D$6,IF(ISNUMBER(SEARCH(Assumptions!$C$7,D1420)),Assumptions!$D$7,"Other Services"))),"Other Services"))</f>
        <v/>
      </c>
    </row>
    <row r="1421" customFormat="false" ht="15" hidden="false" customHeight="false" outlineLevel="0" collapsed="false">
      <c r="F1421" s="41" t="str">
        <f aca="false">IF(D1421="","",IFERROR(IF(ISNUMBER(SEARCH(Assumptions!$C$5,D1421)),Assumptions!$D$5,IF(ISNUMBER(SEARCH(Assumptions!$C$6,D1421)),Assumptions!$D$6,IF(ISNUMBER(SEARCH(Assumptions!$C$7,D1421)),Assumptions!$D$7,"Other Services"))),"Other Services"))</f>
        <v/>
      </c>
    </row>
    <row r="1422" customFormat="false" ht="15" hidden="false" customHeight="false" outlineLevel="0" collapsed="false">
      <c r="F1422" s="41" t="str">
        <f aca="false">IF(D1422="","",IFERROR(IF(ISNUMBER(SEARCH(Assumptions!$C$5,D1422)),Assumptions!$D$5,IF(ISNUMBER(SEARCH(Assumptions!$C$6,D1422)),Assumptions!$D$6,IF(ISNUMBER(SEARCH(Assumptions!$C$7,D1422)),Assumptions!$D$7,"Other Services"))),"Other Services"))</f>
        <v/>
      </c>
    </row>
    <row r="1423" customFormat="false" ht="15" hidden="false" customHeight="false" outlineLevel="0" collapsed="false">
      <c r="F1423" s="41" t="str">
        <f aca="false">IF(D1423="","",IFERROR(IF(ISNUMBER(SEARCH(Assumptions!$C$5,D1423)),Assumptions!$D$5,IF(ISNUMBER(SEARCH(Assumptions!$C$6,D1423)),Assumptions!$D$6,IF(ISNUMBER(SEARCH(Assumptions!$C$7,D1423)),Assumptions!$D$7,"Other Services"))),"Other Services"))</f>
        <v/>
      </c>
    </row>
    <row r="1424" customFormat="false" ht="15" hidden="false" customHeight="false" outlineLevel="0" collapsed="false">
      <c r="F1424" s="41" t="str">
        <f aca="false">IF(D1424="","",IFERROR(IF(ISNUMBER(SEARCH(Assumptions!$C$5,D1424)),Assumptions!$D$5,IF(ISNUMBER(SEARCH(Assumptions!$C$6,D1424)),Assumptions!$D$6,IF(ISNUMBER(SEARCH(Assumptions!$C$7,D1424)),Assumptions!$D$7,"Other Services"))),"Other Services"))</f>
        <v/>
      </c>
    </row>
    <row r="1425" customFormat="false" ht="15" hidden="false" customHeight="false" outlineLevel="0" collapsed="false">
      <c r="F1425" s="41" t="str">
        <f aca="false">IF(D1425="","",IFERROR(IF(ISNUMBER(SEARCH(Assumptions!$C$5,D1425)),Assumptions!$D$5,IF(ISNUMBER(SEARCH(Assumptions!$C$6,D1425)),Assumptions!$D$6,IF(ISNUMBER(SEARCH(Assumptions!$C$7,D1425)),Assumptions!$D$7,"Other Services"))),"Other Services"))</f>
        <v/>
      </c>
    </row>
    <row r="1426" customFormat="false" ht="15" hidden="false" customHeight="false" outlineLevel="0" collapsed="false">
      <c r="F1426" s="41" t="str">
        <f aca="false">IF(D1426="","",IFERROR(IF(ISNUMBER(SEARCH(Assumptions!$C$5,D1426)),Assumptions!$D$5,IF(ISNUMBER(SEARCH(Assumptions!$C$6,D1426)),Assumptions!$D$6,IF(ISNUMBER(SEARCH(Assumptions!$C$7,D1426)),Assumptions!$D$7,"Other Services"))),"Other Services"))</f>
        <v/>
      </c>
    </row>
    <row r="1427" customFormat="false" ht="15" hidden="false" customHeight="false" outlineLevel="0" collapsed="false">
      <c r="F1427" s="41" t="str">
        <f aca="false">IF(D1427="","",IFERROR(IF(ISNUMBER(SEARCH(Assumptions!$C$5,D1427)),Assumptions!$D$5,IF(ISNUMBER(SEARCH(Assumptions!$C$6,D1427)),Assumptions!$D$6,IF(ISNUMBER(SEARCH(Assumptions!$C$7,D1427)),Assumptions!$D$7,"Other Services"))),"Other Services"))</f>
        <v/>
      </c>
    </row>
    <row r="1428" customFormat="false" ht="15" hidden="false" customHeight="false" outlineLevel="0" collapsed="false">
      <c r="F1428" s="41" t="str">
        <f aca="false">IF(D1428="","",IFERROR(IF(ISNUMBER(SEARCH(Assumptions!$C$5,D1428)),Assumptions!$D$5,IF(ISNUMBER(SEARCH(Assumptions!$C$6,D1428)),Assumptions!$D$6,IF(ISNUMBER(SEARCH(Assumptions!$C$7,D1428)),Assumptions!$D$7,"Other Services"))),"Other Services"))</f>
        <v/>
      </c>
    </row>
    <row r="1429" customFormat="false" ht="15" hidden="false" customHeight="false" outlineLevel="0" collapsed="false">
      <c r="F1429" s="41" t="str">
        <f aca="false">IF(D1429="","",IFERROR(IF(ISNUMBER(SEARCH(Assumptions!$C$5,D1429)),Assumptions!$D$5,IF(ISNUMBER(SEARCH(Assumptions!$C$6,D1429)),Assumptions!$D$6,IF(ISNUMBER(SEARCH(Assumptions!$C$7,D1429)),Assumptions!$D$7,"Other Services"))),"Other Services"))</f>
        <v/>
      </c>
    </row>
    <row r="1430" customFormat="false" ht="15" hidden="false" customHeight="false" outlineLevel="0" collapsed="false">
      <c r="F1430" s="41" t="str">
        <f aca="false">IF(D1430="","",IFERROR(IF(ISNUMBER(SEARCH(Assumptions!$C$5,D1430)),Assumptions!$D$5,IF(ISNUMBER(SEARCH(Assumptions!$C$6,D1430)),Assumptions!$D$6,IF(ISNUMBER(SEARCH(Assumptions!$C$7,D1430)),Assumptions!$D$7,"Other Services"))),"Other Services"))</f>
        <v/>
      </c>
    </row>
    <row r="1431" customFormat="false" ht="15" hidden="false" customHeight="false" outlineLevel="0" collapsed="false">
      <c r="F1431" s="41" t="str">
        <f aca="false">IF(D1431="","",IFERROR(IF(ISNUMBER(SEARCH(Assumptions!$C$5,D1431)),Assumptions!$D$5,IF(ISNUMBER(SEARCH(Assumptions!$C$6,D1431)),Assumptions!$D$6,IF(ISNUMBER(SEARCH(Assumptions!$C$7,D1431)),Assumptions!$D$7,"Other Services"))),"Other Services"))</f>
        <v/>
      </c>
    </row>
    <row r="1432" customFormat="false" ht="15" hidden="false" customHeight="false" outlineLevel="0" collapsed="false">
      <c r="F1432" s="41" t="str">
        <f aca="false">IF(D1432="","",IFERROR(IF(ISNUMBER(SEARCH(Assumptions!$C$5,D1432)),Assumptions!$D$5,IF(ISNUMBER(SEARCH(Assumptions!$C$6,D1432)),Assumptions!$D$6,IF(ISNUMBER(SEARCH(Assumptions!$C$7,D1432)),Assumptions!$D$7,"Other Services"))),"Other Services"))</f>
        <v/>
      </c>
    </row>
    <row r="1433" customFormat="false" ht="15" hidden="false" customHeight="false" outlineLevel="0" collapsed="false">
      <c r="F1433" s="41" t="str">
        <f aca="false">IF(D1433="","",IFERROR(IF(ISNUMBER(SEARCH(Assumptions!$C$5,D1433)),Assumptions!$D$5,IF(ISNUMBER(SEARCH(Assumptions!$C$6,D1433)),Assumptions!$D$6,IF(ISNUMBER(SEARCH(Assumptions!$C$7,D1433)),Assumptions!$D$7,"Other Services"))),"Other Services"))</f>
        <v/>
      </c>
    </row>
    <row r="1434" customFormat="false" ht="15" hidden="false" customHeight="false" outlineLevel="0" collapsed="false">
      <c r="F1434" s="41" t="str">
        <f aca="false">IF(D1434="","",IFERROR(IF(ISNUMBER(SEARCH(Assumptions!$C$5,D1434)),Assumptions!$D$5,IF(ISNUMBER(SEARCH(Assumptions!$C$6,D1434)),Assumptions!$D$6,IF(ISNUMBER(SEARCH(Assumptions!$C$7,D1434)),Assumptions!$D$7,"Other Services"))),"Other Services"))</f>
        <v/>
      </c>
    </row>
    <row r="1435" customFormat="false" ht="15" hidden="false" customHeight="false" outlineLevel="0" collapsed="false">
      <c r="F1435" s="41" t="str">
        <f aca="false">IF(D1435="","",IFERROR(IF(ISNUMBER(SEARCH(Assumptions!$C$5,D1435)),Assumptions!$D$5,IF(ISNUMBER(SEARCH(Assumptions!$C$6,D1435)),Assumptions!$D$6,IF(ISNUMBER(SEARCH(Assumptions!$C$7,D1435)),Assumptions!$D$7,"Other Services"))),"Other Services"))</f>
        <v/>
      </c>
    </row>
    <row r="1436" customFormat="false" ht="15" hidden="false" customHeight="false" outlineLevel="0" collapsed="false">
      <c r="F1436" s="41" t="str">
        <f aca="false">IF(D1436="","",IFERROR(IF(ISNUMBER(SEARCH(Assumptions!$C$5,D1436)),Assumptions!$D$5,IF(ISNUMBER(SEARCH(Assumptions!$C$6,D1436)),Assumptions!$D$6,IF(ISNUMBER(SEARCH(Assumptions!$C$7,D1436)),Assumptions!$D$7,"Other Services"))),"Other Services"))</f>
        <v/>
      </c>
    </row>
    <row r="1437" customFormat="false" ht="15" hidden="false" customHeight="false" outlineLevel="0" collapsed="false">
      <c r="F1437" s="41" t="str">
        <f aca="false">IF(D1437="","",IFERROR(IF(ISNUMBER(SEARCH(Assumptions!$C$5,D1437)),Assumptions!$D$5,IF(ISNUMBER(SEARCH(Assumptions!$C$6,D1437)),Assumptions!$D$6,IF(ISNUMBER(SEARCH(Assumptions!$C$7,D1437)),Assumptions!$D$7,"Other Services"))),"Other Services"))</f>
        <v/>
      </c>
    </row>
    <row r="1438" customFormat="false" ht="15" hidden="false" customHeight="false" outlineLevel="0" collapsed="false">
      <c r="F1438" s="41" t="str">
        <f aca="false">IF(D1438="","",IFERROR(IF(ISNUMBER(SEARCH(Assumptions!$C$5,D1438)),Assumptions!$D$5,IF(ISNUMBER(SEARCH(Assumptions!$C$6,D1438)),Assumptions!$D$6,IF(ISNUMBER(SEARCH(Assumptions!$C$7,D1438)),Assumptions!$D$7,"Other Services"))),"Other Services"))</f>
        <v/>
      </c>
    </row>
    <row r="1439" customFormat="false" ht="15" hidden="false" customHeight="false" outlineLevel="0" collapsed="false">
      <c r="F1439" s="41" t="str">
        <f aca="false">IF(D1439="","",IFERROR(IF(ISNUMBER(SEARCH(Assumptions!$C$5,D1439)),Assumptions!$D$5,IF(ISNUMBER(SEARCH(Assumptions!$C$6,D1439)),Assumptions!$D$6,IF(ISNUMBER(SEARCH(Assumptions!$C$7,D1439)),Assumptions!$D$7,"Other Services"))),"Other Services"))</f>
        <v/>
      </c>
    </row>
    <row r="1440" customFormat="false" ht="15" hidden="false" customHeight="false" outlineLevel="0" collapsed="false">
      <c r="F1440" s="41" t="str">
        <f aca="false">IF(D1440="","",IFERROR(IF(ISNUMBER(SEARCH(Assumptions!$C$5,D1440)),Assumptions!$D$5,IF(ISNUMBER(SEARCH(Assumptions!$C$6,D1440)),Assumptions!$D$6,IF(ISNUMBER(SEARCH(Assumptions!$C$7,D1440)),Assumptions!$D$7,"Other Services"))),"Other Services"))</f>
        <v/>
      </c>
    </row>
    <row r="1441" customFormat="false" ht="15" hidden="false" customHeight="false" outlineLevel="0" collapsed="false">
      <c r="F1441" s="41" t="str">
        <f aca="false">IF(D1441="","",IFERROR(IF(ISNUMBER(SEARCH(Assumptions!$C$5,D1441)),Assumptions!$D$5,IF(ISNUMBER(SEARCH(Assumptions!$C$6,D1441)),Assumptions!$D$6,IF(ISNUMBER(SEARCH(Assumptions!$C$7,D1441)),Assumptions!$D$7,"Other Services"))),"Other Services"))</f>
        <v/>
      </c>
    </row>
    <row r="1442" customFormat="false" ht="15" hidden="false" customHeight="false" outlineLevel="0" collapsed="false">
      <c r="F1442" s="41" t="str">
        <f aca="false">IF(D1442="","",IFERROR(IF(ISNUMBER(SEARCH(Assumptions!$C$5,D1442)),Assumptions!$D$5,IF(ISNUMBER(SEARCH(Assumptions!$C$6,D1442)),Assumptions!$D$6,IF(ISNUMBER(SEARCH(Assumptions!$C$7,D1442)),Assumptions!$D$7,"Other Services"))),"Other Services"))</f>
        <v/>
      </c>
    </row>
    <row r="1443" customFormat="false" ht="15" hidden="false" customHeight="false" outlineLevel="0" collapsed="false">
      <c r="F1443" s="41" t="str">
        <f aca="false">IF(D1443="","",IFERROR(IF(ISNUMBER(SEARCH(Assumptions!$C$5,D1443)),Assumptions!$D$5,IF(ISNUMBER(SEARCH(Assumptions!$C$6,D1443)),Assumptions!$D$6,IF(ISNUMBER(SEARCH(Assumptions!$C$7,D1443)),Assumptions!$D$7,"Other Services"))),"Other Services"))</f>
        <v/>
      </c>
    </row>
    <row r="1444" customFormat="false" ht="15" hidden="false" customHeight="false" outlineLevel="0" collapsed="false">
      <c r="F1444" s="41" t="str">
        <f aca="false">IF(D1444="","",IFERROR(IF(ISNUMBER(SEARCH(Assumptions!$C$5,D1444)),Assumptions!$D$5,IF(ISNUMBER(SEARCH(Assumptions!$C$6,D1444)),Assumptions!$D$6,IF(ISNUMBER(SEARCH(Assumptions!$C$7,D1444)),Assumptions!$D$7,"Other Services"))),"Other Services"))</f>
        <v/>
      </c>
    </row>
    <row r="1445" customFormat="false" ht="15" hidden="false" customHeight="false" outlineLevel="0" collapsed="false">
      <c r="F1445" s="41" t="str">
        <f aca="false">IF(D1445="","",IFERROR(IF(ISNUMBER(SEARCH(Assumptions!$C$5,D1445)),Assumptions!$D$5,IF(ISNUMBER(SEARCH(Assumptions!$C$6,D1445)),Assumptions!$D$6,IF(ISNUMBER(SEARCH(Assumptions!$C$7,D1445)),Assumptions!$D$7,"Other Services"))),"Other Services"))</f>
        <v/>
      </c>
    </row>
    <row r="1446" customFormat="false" ht="15" hidden="false" customHeight="false" outlineLevel="0" collapsed="false">
      <c r="F1446" s="41" t="str">
        <f aca="false">IF(D1446="","",IFERROR(IF(ISNUMBER(SEARCH(Assumptions!$C$5,D1446)),Assumptions!$D$5,IF(ISNUMBER(SEARCH(Assumptions!$C$6,D1446)),Assumptions!$D$6,IF(ISNUMBER(SEARCH(Assumptions!$C$7,D1446)),Assumptions!$D$7,"Other Services"))),"Other Services"))</f>
        <v/>
      </c>
    </row>
    <row r="1447" customFormat="false" ht="15" hidden="false" customHeight="false" outlineLevel="0" collapsed="false">
      <c r="F1447" s="41" t="str">
        <f aca="false">IF(D1447="","",IFERROR(IF(ISNUMBER(SEARCH(Assumptions!$C$5,D1447)),Assumptions!$D$5,IF(ISNUMBER(SEARCH(Assumptions!$C$6,D1447)),Assumptions!$D$6,IF(ISNUMBER(SEARCH(Assumptions!$C$7,D1447)),Assumptions!$D$7,"Other Services"))),"Other Services"))</f>
        <v/>
      </c>
    </row>
    <row r="1448" customFormat="false" ht="15" hidden="false" customHeight="false" outlineLevel="0" collapsed="false">
      <c r="F1448" s="41" t="str">
        <f aca="false">IF(D1448="","",IFERROR(IF(ISNUMBER(SEARCH(Assumptions!$C$5,D1448)),Assumptions!$D$5,IF(ISNUMBER(SEARCH(Assumptions!$C$6,D1448)),Assumptions!$D$6,IF(ISNUMBER(SEARCH(Assumptions!$C$7,D1448)),Assumptions!$D$7,"Other Services"))),"Other Services"))</f>
        <v/>
      </c>
    </row>
    <row r="1449" customFormat="false" ht="15" hidden="false" customHeight="false" outlineLevel="0" collapsed="false">
      <c r="F1449" s="41" t="str">
        <f aca="false">IF(D1449="","",IFERROR(IF(ISNUMBER(SEARCH(Assumptions!$C$5,D1449)),Assumptions!$D$5,IF(ISNUMBER(SEARCH(Assumptions!$C$6,D1449)),Assumptions!$D$6,IF(ISNUMBER(SEARCH(Assumptions!$C$7,D1449)),Assumptions!$D$7,"Other Services"))),"Other Services"))</f>
        <v/>
      </c>
    </row>
    <row r="1450" customFormat="false" ht="15" hidden="false" customHeight="false" outlineLevel="0" collapsed="false">
      <c r="F1450" s="41" t="str">
        <f aca="false">IF(D1450="","",IFERROR(IF(ISNUMBER(SEARCH(Assumptions!$C$5,D1450)),Assumptions!$D$5,IF(ISNUMBER(SEARCH(Assumptions!$C$6,D1450)),Assumptions!$D$6,IF(ISNUMBER(SEARCH(Assumptions!$C$7,D1450)),Assumptions!$D$7,"Other Services"))),"Other Services"))</f>
        <v/>
      </c>
    </row>
    <row r="1451" customFormat="false" ht="15" hidden="false" customHeight="false" outlineLevel="0" collapsed="false">
      <c r="F1451" s="41" t="str">
        <f aca="false">IF(D1451="","",IFERROR(IF(ISNUMBER(SEARCH(Assumptions!$C$5,D1451)),Assumptions!$D$5,IF(ISNUMBER(SEARCH(Assumptions!$C$6,D1451)),Assumptions!$D$6,IF(ISNUMBER(SEARCH(Assumptions!$C$7,D1451)),Assumptions!$D$7,"Other Services"))),"Other Services"))</f>
        <v/>
      </c>
    </row>
    <row r="1452" customFormat="false" ht="15" hidden="false" customHeight="false" outlineLevel="0" collapsed="false">
      <c r="F1452" s="41" t="str">
        <f aca="false">IF(D1452="","",IFERROR(IF(ISNUMBER(SEARCH(Assumptions!$C$5,D1452)),Assumptions!$D$5,IF(ISNUMBER(SEARCH(Assumptions!$C$6,D1452)),Assumptions!$D$6,IF(ISNUMBER(SEARCH(Assumptions!$C$7,D1452)),Assumptions!$D$7,"Other Services"))),"Other Services"))</f>
        <v/>
      </c>
    </row>
    <row r="1453" customFormat="false" ht="15" hidden="false" customHeight="false" outlineLevel="0" collapsed="false">
      <c r="F1453" s="41" t="str">
        <f aca="false">IF(D1453="","",IFERROR(IF(ISNUMBER(SEARCH(Assumptions!$C$5,D1453)),Assumptions!$D$5,IF(ISNUMBER(SEARCH(Assumptions!$C$6,D1453)),Assumptions!$D$6,IF(ISNUMBER(SEARCH(Assumptions!$C$7,D1453)),Assumptions!$D$7,"Other Services"))),"Other Services"))</f>
        <v/>
      </c>
    </row>
    <row r="1454" customFormat="false" ht="15" hidden="false" customHeight="false" outlineLevel="0" collapsed="false">
      <c r="F1454" s="41" t="str">
        <f aca="false">IF(D1454="","",IFERROR(IF(ISNUMBER(SEARCH(Assumptions!$C$5,D1454)),Assumptions!$D$5,IF(ISNUMBER(SEARCH(Assumptions!$C$6,D1454)),Assumptions!$D$6,IF(ISNUMBER(SEARCH(Assumptions!$C$7,D1454)),Assumptions!$D$7,"Other Services"))),"Other Services"))</f>
        <v/>
      </c>
    </row>
    <row r="1455" customFormat="false" ht="15" hidden="false" customHeight="false" outlineLevel="0" collapsed="false">
      <c r="F1455" s="41" t="str">
        <f aca="false">IF(D1455="","",IFERROR(IF(ISNUMBER(SEARCH(Assumptions!$C$5,D1455)),Assumptions!$D$5,IF(ISNUMBER(SEARCH(Assumptions!$C$6,D1455)),Assumptions!$D$6,IF(ISNUMBER(SEARCH(Assumptions!$C$7,D1455)),Assumptions!$D$7,"Other Services"))),"Other Services"))</f>
        <v/>
      </c>
    </row>
    <row r="1456" customFormat="false" ht="15" hidden="false" customHeight="false" outlineLevel="0" collapsed="false">
      <c r="F1456" s="41" t="str">
        <f aca="false">IF(D1456="","",IFERROR(IF(ISNUMBER(SEARCH(Assumptions!$C$5,D1456)),Assumptions!$D$5,IF(ISNUMBER(SEARCH(Assumptions!$C$6,D1456)),Assumptions!$D$6,IF(ISNUMBER(SEARCH(Assumptions!$C$7,D1456)),Assumptions!$D$7,"Other Services"))),"Other Services"))</f>
        <v/>
      </c>
    </row>
    <row r="1457" customFormat="false" ht="15" hidden="false" customHeight="false" outlineLevel="0" collapsed="false">
      <c r="F1457" s="41" t="str">
        <f aca="false">IF(D1457="","",IFERROR(IF(ISNUMBER(SEARCH(Assumptions!$C$5,D1457)),Assumptions!$D$5,IF(ISNUMBER(SEARCH(Assumptions!$C$6,D1457)),Assumptions!$D$6,IF(ISNUMBER(SEARCH(Assumptions!$C$7,D1457)),Assumptions!$D$7,"Other Services"))),"Other Services"))</f>
        <v/>
      </c>
    </row>
    <row r="1458" customFormat="false" ht="15" hidden="false" customHeight="false" outlineLevel="0" collapsed="false">
      <c r="F1458" s="41" t="str">
        <f aca="false">IF(D1458="","",IFERROR(IF(ISNUMBER(SEARCH(Assumptions!$C$5,D1458)),Assumptions!$D$5,IF(ISNUMBER(SEARCH(Assumptions!$C$6,D1458)),Assumptions!$D$6,IF(ISNUMBER(SEARCH(Assumptions!$C$7,D1458)),Assumptions!$D$7,"Other Services"))),"Other Services"))</f>
        <v/>
      </c>
    </row>
    <row r="1459" customFormat="false" ht="15" hidden="false" customHeight="false" outlineLevel="0" collapsed="false">
      <c r="F1459" s="41" t="str">
        <f aca="false">IF(D1459="","",IFERROR(IF(ISNUMBER(SEARCH(Assumptions!$C$5,D1459)),Assumptions!$D$5,IF(ISNUMBER(SEARCH(Assumptions!$C$6,D1459)),Assumptions!$D$6,IF(ISNUMBER(SEARCH(Assumptions!$C$7,D1459)),Assumptions!$D$7,"Other Services"))),"Other Services"))</f>
        <v/>
      </c>
    </row>
    <row r="1460" customFormat="false" ht="15" hidden="false" customHeight="false" outlineLevel="0" collapsed="false">
      <c r="F1460" s="41" t="str">
        <f aca="false">IF(D1460="","",IFERROR(IF(ISNUMBER(SEARCH(Assumptions!$C$5,D1460)),Assumptions!$D$5,IF(ISNUMBER(SEARCH(Assumptions!$C$6,D1460)),Assumptions!$D$6,IF(ISNUMBER(SEARCH(Assumptions!$C$7,D1460)),Assumptions!$D$7,"Other Services"))),"Other Services"))</f>
        <v/>
      </c>
    </row>
    <row r="1461" customFormat="false" ht="15" hidden="false" customHeight="false" outlineLevel="0" collapsed="false">
      <c r="F1461" s="41" t="str">
        <f aca="false">IF(D1461="","",IFERROR(IF(ISNUMBER(SEARCH(Assumptions!$C$5,D1461)),Assumptions!$D$5,IF(ISNUMBER(SEARCH(Assumptions!$C$6,D1461)),Assumptions!$D$6,IF(ISNUMBER(SEARCH(Assumptions!$C$7,D1461)),Assumptions!$D$7,"Other Services"))),"Other Services"))</f>
        <v/>
      </c>
    </row>
    <row r="1462" customFormat="false" ht="15" hidden="false" customHeight="false" outlineLevel="0" collapsed="false">
      <c r="F1462" s="41" t="str">
        <f aca="false">IF(D1462="","",IFERROR(IF(ISNUMBER(SEARCH(Assumptions!$C$5,D1462)),Assumptions!$D$5,IF(ISNUMBER(SEARCH(Assumptions!$C$6,D1462)),Assumptions!$D$6,IF(ISNUMBER(SEARCH(Assumptions!$C$7,D1462)),Assumptions!$D$7,"Other Services"))),"Other Services"))</f>
        <v/>
      </c>
    </row>
    <row r="1463" customFormat="false" ht="15" hidden="false" customHeight="false" outlineLevel="0" collapsed="false">
      <c r="F1463" s="41" t="str">
        <f aca="false">IF(D1463="","",IFERROR(IF(ISNUMBER(SEARCH(Assumptions!$C$5,D1463)),Assumptions!$D$5,IF(ISNUMBER(SEARCH(Assumptions!$C$6,D1463)),Assumptions!$D$6,IF(ISNUMBER(SEARCH(Assumptions!$C$7,D1463)),Assumptions!$D$7,"Other Services"))),"Other Services"))</f>
        <v/>
      </c>
    </row>
    <row r="1464" customFormat="false" ht="15" hidden="false" customHeight="false" outlineLevel="0" collapsed="false">
      <c r="F1464" s="41" t="str">
        <f aca="false">IF(D1464="","",IFERROR(IF(ISNUMBER(SEARCH(Assumptions!$C$5,D1464)),Assumptions!$D$5,IF(ISNUMBER(SEARCH(Assumptions!$C$6,D1464)),Assumptions!$D$6,IF(ISNUMBER(SEARCH(Assumptions!$C$7,D1464)),Assumptions!$D$7,"Other Services"))),"Other Services"))</f>
        <v/>
      </c>
    </row>
    <row r="1465" customFormat="false" ht="15" hidden="false" customHeight="false" outlineLevel="0" collapsed="false">
      <c r="F1465" s="41" t="str">
        <f aca="false">IF(D1465="","",IFERROR(IF(ISNUMBER(SEARCH(Assumptions!$C$5,D1465)),Assumptions!$D$5,IF(ISNUMBER(SEARCH(Assumptions!$C$6,D1465)),Assumptions!$D$6,IF(ISNUMBER(SEARCH(Assumptions!$C$7,D1465)),Assumptions!$D$7,"Other Services"))),"Other Services"))</f>
        <v/>
      </c>
    </row>
    <row r="1466" customFormat="false" ht="15" hidden="false" customHeight="false" outlineLevel="0" collapsed="false">
      <c r="F1466" s="41" t="str">
        <f aca="false">IF(D1466="","",IFERROR(IF(ISNUMBER(SEARCH(Assumptions!$C$5,D1466)),Assumptions!$D$5,IF(ISNUMBER(SEARCH(Assumptions!$C$6,D1466)),Assumptions!$D$6,IF(ISNUMBER(SEARCH(Assumptions!$C$7,D1466)),Assumptions!$D$7,"Other Services"))),"Other Services"))</f>
        <v/>
      </c>
    </row>
    <row r="1467" customFormat="false" ht="15" hidden="false" customHeight="false" outlineLevel="0" collapsed="false">
      <c r="F1467" s="41" t="str">
        <f aca="false">IF(D1467="","",IFERROR(IF(ISNUMBER(SEARCH(Assumptions!$C$5,D1467)),Assumptions!$D$5,IF(ISNUMBER(SEARCH(Assumptions!$C$6,D1467)),Assumptions!$D$6,IF(ISNUMBER(SEARCH(Assumptions!$C$7,D1467)),Assumptions!$D$7,"Other Services"))),"Other Services"))</f>
        <v/>
      </c>
    </row>
    <row r="1468" customFormat="false" ht="15" hidden="false" customHeight="false" outlineLevel="0" collapsed="false">
      <c r="F1468" s="41" t="str">
        <f aca="false">IF(D1468="","",IFERROR(IF(ISNUMBER(SEARCH(Assumptions!$C$5,D1468)),Assumptions!$D$5,IF(ISNUMBER(SEARCH(Assumptions!$C$6,D1468)),Assumptions!$D$6,IF(ISNUMBER(SEARCH(Assumptions!$C$7,D1468)),Assumptions!$D$7,"Other Services"))),"Other Services"))</f>
        <v/>
      </c>
    </row>
    <row r="1469" customFormat="false" ht="15" hidden="false" customHeight="false" outlineLevel="0" collapsed="false">
      <c r="F1469" s="41" t="str">
        <f aca="false">IF(D1469="","",IFERROR(IF(ISNUMBER(SEARCH(Assumptions!$C$5,D1469)),Assumptions!$D$5,IF(ISNUMBER(SEARCH(Assumptions!$C$6,D1469)),Assumptions!$D$6,IF(ISNUMBER(SEARCH(Assumptions!$C$7,D1469)),Assumptions!$D$7,"Other Services"))),"Other Services"))</f>
        <v/>
      </c>
    </row>
    <row r="1470" customFormat="false" ht="15" hidden="false" customHeight="false" outlineLevel="0" collapsed="false">
      <c r="F1470" s="41" t="str">
        <f aca="false">IF(D1470="","",IFERROR(IF(ISNUMBER(SEARCH(Assumptions!$C$5,D1470)),Assumptions!$D$5,IF(ISNUMBER(SEARCH(Assumptions!$C$6,D1470)),Assumptions!$D$6,IF(ISNUMBER(SEARCH(Assumptions!$C$7,D1470)),Assumptions!$D$7,"Other Services"))),"Other Services"))</f>
        <v/>
      </c>
    </row>
    <row r="1471" customFormat="false" ht="15" hidden="false" customHeight="false" outlineLevel="0" collapsed="false">
      <c r="F1471" s="41" t="str">
        <f aca="false">IF(D1471="","",IFERROR(IF(ISNUMBER(SEARCH(Assumptions!$C$5,D1471)),Assumptions!$D$5,IF(ISNUMBER(SEARCH(Assumptions!$C$6,D1471)),Assumptions!$D$6,IF(ISNUMBER(SEARCH(Assumptions!$C$7,D1471)),Assumptions!$D$7,"Other Services"))),"Other Services"))</f>
        <v/>
      </c>
    </row>
    <row r="1472" customFormat="false" ht="15" hidden="false" customHeight="false" outlineLevel="0" collapsed="false">
      <c r="F1472" s="41" t="str">
        <f aca="false">IF(D1472="","",IFERROR(IF(ISNUMBER(SEARCH(Assumptions!$C$5,D1472)),Assumptions!$D$5,IF(ISNUMBER(SEARCH(Assumptions!$C$6,D1472)),Assumptions!$D$6,IF(ISNUMBER(SEARCH(Assumptions!$C$7,D1472)),Assumptions!$D$7,"Other Services"))),"Other Services"))</f>
        <v/>
      </c>
    </row>
    <row r="1473" customFormat="false" ht="15" hidden="false" customHeight="false" outlineLevel="0" collapsed="false">
      <c r="F1473" s="41" t="str">
        <f aca="false">IF(D1473="","",IFERROR(IF(ISNUMBER(SEARCH(Assumptions!$C$5,D1473)),Assumptions!$D$5,IF(ISNUMBER(SEARCH(Assumptions!$C$6,D1473)),Assumptions!$D$6,IF(ISNUMBER(SEARCH(Assumptions!$C$7,D1473)),Assumptions!$D$7,"Other Services"))),"Other Services"))</f>
        <v/>
      </c>
    </row>
    <row r="1474" customFormat="false" ht="15" hidden="false" customHeight="false" outlineLevel="0" collapsed="false">
      <c r="F1474" s="41" t="str">
        <f aca="false">IF(D1474="","",IFERROR(IF(ISNUMBER(SEARCH(Assumptions!$C$5,D1474)),Assumptions!$D$5,IF(ISNUMBER(SEARCH(Assumptions!$C$6,D1474)),Assumptions!$D$6,IF(ISNUMBER(SEARCH(Assumptions!$C$7,D1474)),Assumptions!$D$7,"Other Services"))),"Other Services"))</f>
        <v/>
      </c>
    </row>
    <row r="1475" customFormat="false" ht="15" hidden="false" customHeight="false" outlineLevel="0" collapsed="false">
      <c r="F1475" s="41" t="str">
        <f aca="false">IF(D1475="","",IFERROR(IF(ISNUMBER(SEARCH(Assumptions!$C$5,D1475)),Assumptions!$D$5,IF(ISNUMBER(SEARCH(Assumptions!$C$6,D1475)),Assumptions!$D$6,IF(ISNUMBER(SEARCH(Assumptions!$C$7,D1475)),Assumptions!$D$7,"Other Services"))),"Other Services"))</f>
        <v/>
      </c>
    </row>
    <row r="1476" customFormat="false" ht="15" hidden="false" customHeight="false" outlineLevel="0" collapsed="false">
      <c r="F1476" s="41" t="str">
        <f aca="false">IF(D1476="","",IFERROR(IF(ISNUMBER(SEARCH(Assumptions!$C$5,D1476)),Assumptions!$D$5,IF(ISNUMBER(SEARCH(Assumptions!$C$6,D1476)),Assumptions!$D$6,IF(ISNUMBER(SEARCH(Assumptions!$C$7,D1476)),Assumptions!$D$7,"Other Services"))),"Other Services"))</f>
        <v/>
      </c>
    </row>
    <row r="1477" customFormat="false" ht="15" hidden="false" customHeight="false" outlineLevel="0" collapsed="false">
      <c r="F1477" s="41" t="str">
        <f aca="false">IF(D1477="","",IFERROR(IF(ISNUMBER(SEARCH(Assumptions!$C$5,D1477)),Assumptions!$D$5,IF(ISNUMBER(SEARCH(Assumptions!$C$6,D1477)),Assumptions!$D$6,IF(ISNUMBER(SEARCH(Assumptions!$C$7,D1477)),Assumptions!$D$7,"Other Services"))),"Other Services"))</f>
        <v/>
      </c>
    </row>
    <row r="1478" customFormat="false" ht="15" hidden="false" customHeight="false" outlineLevel="0" collapsed="false">
      <c r="F1478" s="41" t="str">
        <f aca="false">IF(D1478="","",IFERROR(IF(ISNUMBER(SEARCH(Assumptions!$C$5,D1478)),Assumptions!$D$5,IF(ISNUMBER(SEARCH(Assumptions!$C$6,D1478)),Assumptions!$D$6,IF(ISNUMBER(SEARCH(Assumptions!$C$7,D1478)),Assumptions!$D$7,"Other Services"))),"Other Services"))</f>
        <v/>
      </c>
    </row>
    <row r="1479" customFormat="false" ht="15" hidden="false" customHeight="false" outlineLevel="0" collapsed="false">
      <c r="F1479" s="41" t="str">
        <f aca="false">IF(D1479="","",IFERROR(IF(ISNUMBER(SEARCH(Assumptions!$C$5,D1479)),Assumptions!$D$5,IF(ISNUMBER(SEARCH(Assumptions!$C$6,D1479)),Assumptions!$D$6,IF(ISNUMBER(SEARCH(Assumptions!$C$7,D1479)),Assumptions!$D$7,"Other Services"))),"Other Services"))</f>
        <v/>
      </c>
    </row>
    <row r="1480" customFormat="false" ht="15" hidden="false" customHeight="false" outlineLevel="0" collapsed="false">
      <c r="F1480" s="41" t="str">
        <f aca="false">IF(D1480="","",IFERROR(IF(ISNUMBER(SEARCH(Assumptions!$C$5,D1480)),Assumptions!$D$5,IF(ISNUMBER(SEARCH(Assumptions!$C$6,D1480)),Assumptions!$D$6,IF(ISNUMBER(SEARCH(Assumptions!$C$7,D1480)),Assumptions!$D$7,"Other Services"))),"Other Services"))</f>
        <v/>
      </c>
    </row>
    <row r="1481" customFormat="false" ht="15" hidden="false" customHeight="false" outlineLevel="0" collapsed="false">
      <c r="F1481" s="41" t="str">
        <f aca="false">IF(D1481="","",IFERROR(IF(ISNUMBER(SEARCH(Assumptions!$C$5,D1481)),Assumptions!$D$5,IF(ISNUMBER(SEARCH(Assumptions!$C$6,D1481)),Assumptions!$D$6,IF(ISNUMBER(SEARCH(Assumptions!$C$7,D1481)),Assumptions!$D$7,"Other Services"))),"Other Services"))</f>
        <v/>
      </c>
    </row>
    <row r="1482" customFormat="false" ht="15" hidden="false" customHeight="false" outlineLevel="0" collapsed="false">
      <c r="F1482" s="41" t="str">
        <f aca="false">IF(D1482="","",IFERROR(IF(ISNUMBER(SEARCH(Assumptions!$C$5,D1482)),Assumptions!$D$5,IF(ISNUMBER(SEARCH(Assumptions!$C$6,D1482)),Assumptions!$D$6,IF(ISNUMBER(SEARCH(Assumptions!$C$7,D1482)),Assumptions!$D$7,"Other Services"))),"Other Services"))</f>
        <v/>
      </c>
    </row>
    <row r="1483" customFormat="false" ht="15" hidden="false" customHeight="false" outlineLevel="0" collapsed="false">
      <c r="F1483" s="41" t="str">
        <f aca="false">IF(D1483="","",IFERROR(IF(ISNUMBER(SEARCH(Assumptions!$C$5,D1483)),Assumptions!$D$5,IF(ISNUMBER(SEARCH(Assumptions!$C$6,D1483)),Assumptions!$D$6,IF(ISNUMBER(SEARCH(Assumptions!$C$7,D1483)),Assumptions!$D$7,"Other Services"))),"Other Services"))</f>
        <v/>
      </c>
    </row>
    <row r="1484" customFormat="false" ht="15" hidden="false" customHeight="false" outlineLevel="0" collapsed="false">
      <c r="F1484" s="41" t="str">
        <f aca="false">IF(D1484="","",IFERROR(IF(ISNUMBER(SEARCH(Assumptions!$C$5,D1484)),Assumptions!$D$5,IF(ISNUMBER(SEARCH(Assumptions!$C$6,D1484)),Assumptions!$D$6,IF(ISNUMBER(SEARCH(Assumptions!$C$7,D1484)),Assumptions!$D$7,"Other Services"))),"Other Services"))</f>
        <v/>
      </c>
    </row>
    <row r="1485" customFormat="false" ht="15" hidden="false" customHeight="false" outlineLevel="0" collapsed="false">
      <c r="F1485" s="41" t="str">
        <f aca="false">IF(D1485="","",IFERROR(IF(ISNUMBER(SEARCH(Assumptions!$C$5,D1485)),Assumptions!$D$5,IF(ISNUMBER(SEARCH(Assumptions!$C$6,D1485)),Assumptions!$D$6,IF(ISNUMBER(SEARCH(Assumptions!$C$7,D1485)),Assumptions!$D$7,"Other Services"))),"Other Services"))</f>
        <v/>
      </c>
    </row>
    <row r="1486" customFormat="false" ht="15" hidden="false" customHeight="false" outlineLevel="0" collapsed="false">
      <c r="F1486" s="41" t="str">
        <f aca="false">IF(D1486="","",IFERROR(IF(ISNUMBER(SEARCH(Assumptions!$C$5,D1486)),Assumptions!$D$5,IF(ISNUMBER(SEARCH(Assumptions!$C$6,D1486)),Assumptions!$D$6,IF(ISNUMBER(SEARCH(Assumptions!$C$7,D1486)),Assumptions!$D$7,"Other Services"))),"Other Services"))</f>
        <v/>
      </c>
    </row>
    <row r="1487" customFormat="false" ht="15" hidden="false" customHeight="false" outlineLevel="0" collapsed="false">
      <c r="F1487" s="41" t="str">
        <f aca="false">IF(D1487="","",IFERROR(IF(ISNUMBER(SEARCH(Assumptions!$C$5,D1487)),Assumptions!$D$5,IF(ISNUMBER(SEARCH(Assumptions!$C$6,D1487)),Assumptions!$D$6,IF(ISNUMBER(SEARCH(Assumptions!$C$7,D1487)),Assumptions!$D$7,"Other Services"))),"Other Services"))</f>
        <v/>
      </c>
    </row>
    <row r="1488" customFormat="false" ht="15" hidden="false" customHeight="false" outlineLevel="0" collapsed="false">
      <c r="F1488" s="41" t="str">
        <f aca="false">IF(D1488="","",IFERROR(IF(ISNUMBER(SEARCH(Assumptions!$C$5,D1488)),Assumptions!$D$5,IF(ISNUMBER(SEARCH(Assumptions!$C$6,D1488)),Assumptions!$D$6,IF(ISNUMBER(SEARCH(Assumptions!$C$7,D1488)),Assumptions!$D$7,"Other Services"))),"Other Services"))</f>
        <v/>
      </c>
    </row>
    <row r="1489" customFormat="false" ht="15" hidden="false" customHeight="false" outlineLevel="0" collapsed="false">
      <c r="F1489" s="41" t="str">
        <f aca="false">IF(D1489="","",IFERROR(IF(ISNUMBER(SEARCH(Assumptions!$C$5,D1489)),Assumptions!$D$5,IF(ISNUMBER(SEARCH(Assumptions!$C$6,D1489)),Assumptions!$D$6,IF(ISNUMBER(SEARCH(Assumptions!$C$7,D1489)),Assumptions!$D$7,"Other Services"))),"Other Services"))</f>
        <v/>
      </c>
    </row>
    <row r="1490" customFormat="false" ht="15" hidden="false" customHeight="false" outlineLevel="0" collapsed="false">
      <c r="F1490" s="41" t="str">
        <f aca="false">IF(D1490="","",IFERROR(IF(ISNUMBER(SEARCH(Assumptions!$C$5,D1490)),Assumptions!$D$5,IF(ISNUMBER(SEARCH(Assumptions!$C$6,D1490)),Assumptions!$D$6,IF(ISNUMBER(SEARCH(Assumptions!$C$7,D1490)),Assumptions!$D$7,"Other Services"))),"Other Services"))</f>
        <v/>
      </c>
    </row>
    <row r="1491" customFormat="false" ht="15" hidden="false" customHeight="false" outlineLevel="0" collapsed="false">
      <c r="F1491" s="41" t="str">
        <f aca="false">IF(D1491="","",IFERROR(IF(ISNUMBER(SEARCH(Assumptions!$C$5,D1491)),Assumptions!$D$5,IF(ISNUMBER(SEARCH(Assumptions!$C$6,D1491)),Assumptions!$D$6,IF(ISNUMBER(SEARCH(Assumptions!$C$7,D1491)),Assumptions!$D$7,"Other Services"))),"Other Services"))</f>
        <v/>
      </c>
    </row>
    <row r="1492" customFormat="false" ht="15" hidden="false" customHeight="false" outlineLevel="0" collapsed="false">
      <c r="F1492" s="41" t="str">
        <f aca="false">IF(D1492="","",IFERROR(IF(ISNUMBER(SEARCH(Assumptions!$C$5,D1492)),Assumptions!$D$5,IF(ISNUMBER(SEARCH(Assumptions!$C$6,D1492)),Assumptions!$D$6,IF(ISNUMBER(SEARCH(Assumptions!$C$7,D1492)),Assumptions!$D$7,"Other Services"))),"Other Services"))</f>
        <v/>
      </c>
    </row>
    <row r="1493" customFormat="false" ht="15" hidden="false" customHeight="false" outlineLevel="0" collapsed="false">
      <c r="F1493" s="41" t="str">
        <f aca="false">IF(D1493="","",IFERROR(IF(ISNUMBER(SEARCH(Assumptions!$C$5,D1493)),Assumptions!$D$5,IF(ISNUMBER(SEARCH(Assumptions!$C$6,D1493)),Assumptions!$D$6,IF(ISNUMBER(SEARCH(Assumptions!$C$7,D1493)),Assumptions!$D$7,"Other Services"))),"Other Services"))</f>
        <v/>
      </c>
    </row>
    <row r="1494" customFormat="false" ht="15" hidden="false" customHeight="false" outlineLevel="0" collapsed="false">
      <c r="F1494" s="41" t="str">
        <f aca="false">IF(D1494="","",IFERROR(IF(ISNUMBER(SEARCH(Assumptions!$C$5,D1494)),Assumptions!$D$5,IF(ISNUMBER(SEARCH(Assumptions!$C$6,D1494)),Assumptions!$D$6,IF(ISNUMBER(SEARCH(Assumptions!$C$7,D1494)),Assumptions!$D$7,"Other Services"))),"Other Services"))</f>
        <v/>
      </c>
    </row>
    <row r="1495" customFormat="false" ht="15" hidden="false" customHeight="false" outlineLevel="0" collapsed="false">
      <c r="F1495" s="41" t="str">
        <f aca="false">IF(D1495="","",IFERROR(IF(ISNUMBER(SEARCH(Assumptions!$C$5,D1495)),Assumptions!$D$5,IF(ISNUMBER(SEARCH(Assumptions!$C$6,D1495)),Assumptions!$D$6,IF(ISNUMBER(SEARCH(Assumptions!$C$7,D1495)),Assumptions!$D$7,"Other Services"))),"Other Services"))</f>
        <v/>
      </c>
    </row>
    <row r="1496" customFormat="false" ht="15" hidden="false" customHeight="false" outlineLevel="0" collapsed="false">
      <c r="F1496" s="41" t="str">
        <f aca="false">IF(D1496="","",IFERROR(IF(ISNUMBER(SEARCH(Assumptions!$C$5,D1496)),Assumptions!$D$5,IF(ISNUMBER(SEARCH(Assumptions!$C$6,D1496)),Assumptions!$D$6,IF(ISNUMBER(SEARCH(Assumptions!$C$7,D1496)),Assumptions!$D$7,"Other Services"))),"Other Services"))</f>
        <v/>
      </c>
    </row>
    <row r="1497" customFormat="false" ht="15" hidden="false" customHeight="false" outlineLevel="0" collapsed="false">
      <c r="F1497" s="41" t="str">
        <f aca="false">IF(D1497="","",IFERROR(IF(ISNUMBER(SEARCH(Assumptions!$C$5,D1497)),Assumptions!$D$5,IF(ISNUMBER(SEARCH(Assumptions!$C$6,D1497)),Assumptions!$D$6,IF(ISNUMBER(SEARCH(Assumptions!$C$7,D1497)),Assumptions!$D$7,"Other Services"))),"Other Services"))</f>
        <v/>
      </c>
    </row>
    <row r="1498" customFormat="false" ht="15" hidden="false" customHeight="false" outlineLevel="0" collapsed="false">
      <c r="F1498" s="41" t="str">
        <f aca="false">IF(D1498="","",IFERROR(IF(ISNUMBER(SEARCH(Assumptions!$C$5,D1498)),Assumptions!$D$5,IF(ISNUMBER(SEARCH(Assumptions!$C$6,D1498)),Assumptions!$D$6,IF(ISNUMBER(SEARCH(Assumptions!$C$7,D1498)),Assumptions!$D$7,"Other Services"))),"Other Services"))</f>
        <v/>
      </c>
    </row>
    <row r="1499" customFormat="false" ht="15" hidden="false" customHeight="false" outlineLevel="0" collapsed="false">
      <c r="F1499" s="41" t="str">
        <f aca="false">IF(D1499="","",IFERROR(IF(ISNUMBER(SEARCH(Assumptions!$C$5,D1499)),Assumptions!$D$5,IF(ISNUMBER(SEARCH(Assumptions!$C$6,D1499)),Assumptions!$D$6,IF(ISNUMBER(SEARCH(Assumptions!$C$7,D1499)),Assumptions!$D$7,"Other Services"))),"Other Services"))</f>
        <v/>
      </c>
    </row>
    <row r="1500" customFormat="false" ht="15" hidden="false" customHeight="false" outlineLevel="0" collapsed="false">
      <c r="F1500" s="41" t="str">
        <f aca="false">IF(D1500="","",IFERROR(IF(ISNUMBER(SEARCH(Assumptions!$C$5,D1500)),Assumptions!$D$5,IF(ISNUMBER(SEARCH(Assumptions!$C$6,D1500)),Assumptions!$D$6,IF(ISNUMBER(SEARCH(Assumptions!$C$7,D1500)),Assumptions!$D$7,"Other Services"))),"Other Services"))</f>
        <v/>
      </c>
    </row>
    <row r="1501" customFormat="false" ht="15" hidden="false" customHeight="false" outlineLevel="0" collapsed="false">
      <c r="F1501" s="41" t="str">
        <f aca="false">IF(D1501="","",IFERROR(IF(ISNUMBER(SEARCH(Assumptions!$C$5,D1501)),Assumptions!$D$5,IF(ISNUMBER(SEARCH(Assumptions!$C$6,D1501)),Assumptions!$D$6,IF(ISNUMBER(SEARCH(Assumptions!$C$7,D1501)),Assumptions!$D$7,"Other Services"))),"Other Services"))</f>
        <v/>
      </c>
    </row>
    <row r="1502" customFormat="false" ht="15" hidden="false" customHeight="false" outlineLevel="0" collapsed="false">
      <c r="F1502" s="41" t="str">
        <f aca="false">IF(D1502="","",IFERROR(IF(ISNUMBER(SEARCH(Assumptions!$C$5,D1502)),Assumptions!$D$5,IF(ISNUMBER(SEARCH(Assumptions!$C$6,D1502)),Assumptions!$D$6,IF(ISNUMBER(SEARCH(Assumptions!$C$7,D1502)),Assumptions!$D$7,"Other Services"))),"Other Services"))</f>
        <v/>
      </c>
    </row>
    <row r="1503" customFormat="false" ht="15" hidden="false" customHeight="false" outlineLevel="0" collapsed="false">
      <c r="F1503" s="41" t="str">
        <f aca="false">IF(D1503="","",IFERROR(IF(ISNUMBER(SEARCH(Assumptions!$C$5,D1503)),Assumptions!$D$5,IF(ISNUMBER(SEARCH(Assumptions!$C$6,D1503)),Assumptions!$D$6,IF(ISNUMBER(SEARCH(Assumptions!$C$7,D1503)),Assumptions!$D$7,"Other Services"))),"Other Services"))</f>
        <v/>
      </c>
    </row>
    <row r="1504" customFormat="false" ht="15" hidden="false" customHeight="false" outlineLevel="0" collapsed="false">
      <c r="F1504" s="41" t="str">
        <f aca="false">IF(D1504="","",IFERROR(IF(ISNUMBER(SEARCH(Assumptions!$C$5,D1504)),Assumptions!$D$5,IF(ISNUMBER(SEARCH(Assumptions!$C$6,D1504)),Assumptions!$D$6,IF(ISNUMBER(SEARCH(Assumptions!$C$7,D1504)),Assumptions!$D$7,"Other Services"))),"Other Services"))</f>
        <v/>
      </c>
    </row>
    <row r="1505" customFormat="false" ht="15" hidden="false" customHeight="false" outlineLevel="0" collapsed="false">
      <c r="F1505" s="41" t="str">
        <f aca="false">IF(D1505="","",IFERROR(IF(ISNUMBER(SEARCH(Assumptions!$C$5,D1505)),Assumptions!$D$5,IF(ISNUMBER(SEARCH(Assumptions!$C$6,D1505)),Assumptions!$D$6,IF(ISNUMBER(SEARCH(Assumptions!$C$7,D1505)),Assumptions!$D$7,"Other Services"))),"Other Services"))</f>
        <v/>
      </c>
    </row>
    <row r="1506" customFormat="false" ht="15" hidden="false" customHeight="false" outlineLevel="0" collapsed="false">
      <c r="F1506" s="41" t="str">
        <f aca="false">IF(D1506="","",IFERROR(IF(ISNUMBER(SEARCH(Assumptions!$C$5,D1506)),Assumptions!$D$5,IF(ISNUMBER(SEARCH(Assumptions!$C$6,D1506)),Assumptions!$D$6,IF(ISNUMBER(SEARCH(Assumptions!$C$7,D1506)),Assumptions!$D$7,"Other Services"))),"Other Services"))</f>
        <v/>
      </c>
    </row>
    <row r="1507" customFormat="false" ht="15" hidden="false" customHeight="false" outlineLevel="0" collapsed="false">
      <c r="F1507" s="41" t="str">
        <f aca="false">IF(D1507="","",IFERROR(IF(ISNUMBER(SEARCH(Assumptions!$C$5,D1507)),Assumptions!$D$5,IF(ISNUMBER(SEARCH(Assumptions!$C$6,D1507)),Assumptions!$D$6,IF(ISNUMBER(SEARCH(Assumptions!$C$7,D1507)),Assumptions!$D$7,"Other Services"))),"Other Services"))</f>
        <v/>
      </c>
    </row>
    <row r="1508" customFormat="false" ht="15" hidden="false" customHeight="false" outlineLevel="0" collapsed="false">
      <c r="F1508" s="41" t="str">
        <f aca="false">IF(D1508="","",IFERROR(IF(ISNUMBER(SEARCH(Assumptions!$C$5,D1508)),Assumptions!$D$5,IF(ISNUMBER(SEARCH(Assumptions!$C$6,D1508)),Assumptions!$D$6,IF(ISNUMBER(SEARCH(Assumptions!$C$7,D1508)),Assumptions!$D$7,"Other Services"))),"Other Services"))</f>
        <v/>
      </c>
    </row>
    <row r="1509" customFormat="false" ht="15" hidden="false" customHeight="false" outlineLevel="0" collapsed="false">
      <c r="F1509" s="41" t="str">
        <f aca="false">IF(D1509="","",IFERROR(IF(ISNUMBER(SEARCH(Assumptions!$C$5,D1509)),Assumptions!$D$5,IF(ISNUMBER(SEARCH(Assumptions!$C$6,D1509)),Assumptions!$D$6,IF(ISNUMBER(SEARCH(Assumptions!$C$7,D1509)),Assumptions!$D$7,"Other Services"))),"Other Services"))</f>
        <v/>
      </c>
    </row>
    <row r="1510" customFormat="false" ht="15" hidden="false" customHeight="false" outlineLevel="0" collapsed="false">
      <c r="F1510" s="41" t="str">
        <f aca="false">IF(D1510="","",IFERROR(IF(ISNUMBER(SEARCH(Assumptions!$C$5,D1510)),Assumptions!$D$5,IF(ISNUMBER(SEARCH(Assumptions!$C$6,D1510)),Assumptions!$D$6,IF(ISNUMBER(SEARCH(Assumptions!$C$7,D1510)),Assumptions!$D$7,"Other Services"))),"Other Services"))</f>
        <v/>
      </c>
    </row>
    <row r="1511" customFormat="false" ht="15" hidden="false" customHeight="false" outlineLevel="0" collapsed="false">
      <c r="F1511" s="41" t="str">
        <f aca="false">IF(D1511="","",IFERROR(IF(ISNUMBER(SEARCH(Assumptions!$C$5,D1511)),Assumptions!$D$5,IF(ISNUMBER(SEARCH(Assumptions!$C$6,D1511)),Assumptions!$D$6,IF(ISNUMBER(SEARCH(Assumptions!$C$7,D1511)),Assumptions!$D$7,"Other Services"))),"Other Services"))</f>
        <v/>
      </c>
    </row>
    <row r="1512" customFormat="false" ht="15" hidden="false" customHeight="false" outlineLevel="0" collapsed="false">
      <c r="F1512" s="41" t="str">
        <f aca="false">IF(D1512="","",IFERROR(IF(ISNUMBER(SEARCH(Assumptions!$C$5,D1512)),Assumptions!$D$5,IF(ISNUMBER(SEARCH(Assumptions!$C$6,D1512)),Assumptions!$D$6,IF(ISNUMBER(SEARCH(Assumptions!$C$7,D1512)),Assumptions!$D$7,"Other Services"))),"Other Services"))</f>
        <v/>
      </c>
    </row>
    <row r="1513" customFormat="false" ht="15" hidden="false" customHeight="false" outlineLevel="0" collapsed="false">
      <c r="F1513" s="41" t="str">
        <f aca="false">IF(D1513="","",IFERROR(IF(ISNUMBER(SEARCH(Assumptions!$C$5,D1513)),Assumptions!$D$5,IF(ISNUMBER(SEARCH(Assumptions!$C$6,D1513)),Assumptions!$D$6,IF(ISNUMBER(SEARCH(Assumptions!$C$7,D1513)),Assumptions!$D$7,"Other Services"))),"Other Services"))</f>
        <v/>
      </c>
    </row>
    <row r="1514" customFormat="false" ht="15" hidden="false" customHeight="false" outlineLevel="0" collapsed="false">
      <c r="F1514" s="41" t="str">
        <f aca="false">IF(D1514="","",IFERROR(IF(ISNUMBER(SEARCH(Assumptions!$C$5,D1514)),Assumptions!$D$5,IF(ISNUMBER(SEARCH(Assumptions!$C$6,D1514)),Assumptions!$D$6,IF(ISNUMBER(SEARCH(Assumptions!$C$7,D1514)),Assumptions!$D$7,"Other Services"))),"Other Services"))</f>
        <v/>
      </c>
    </row>
    <row r="1515" customFormat="false" ht="15" hidden="false" customHeight="false" outlineLevel="0" collapsed="false">
      <c r="F1515" s="41" t="str">
        <f aca="false">IF(D1515="","",IFERROR(IF(ISNUMBER(SEARCH(Assumptions!$C$5,D1515)),Assumptions!$D$5,IF(ISNUMBER(SEARCH(Assumptions!$C$6,D1515)),Assumptions!$D$6,IF(ISNUMBER(SEARCH(Assumptions!$C$7,D1515)),Assumptions!$D$7,"Other Services"))),"Other Services"))</f>
        <v/>
      </c>
    </row>
    <row r="1516" customFormat="false" ht="15" hidden="false" customHeight="false" outlineLevel="0" collapsed="false">
      <c r="F1516" s="41" t="str">
        <f aca="false">IF(D1516="","",IFERROR(IF(ISNUMBER(SEARCH(Assumptions!$C$5,D1516)),Assumptions!$D$5,IF(ISNUMBER(SEARCH(Assumptions!$C$6,D1516)),Assumptions!$D$6,IF(ISNUMBER(SEARCH(Assumptions!$C$7,D1516)),Assumptions!$D$7,"Other Services"))),"Other Services"))</f>
        <v/>
      </c>
    </row>
    <row r="1517" customFormat="false" ht="15" hidden="false" customHeight="false" outlineLevel="0" collapsed="false">
      <c r="F1517" s="41" t="str">
        <f aca="false">IF(D1517="","",IFERROR(IF(ISNUMBER(SEARCH(Assumptions!$C$5,D1517)),Assumptions!$D$5,IF(ISNUMBER(SEARCH(Assumptions!$C$6,D1517)),Assumptions!$D$6,IF(ISNUMBER(SEARCH(Assumptions!$C$7,D1517)),Assumptions!$D$7,"Other Services"))),"Other Services"))</f>
        <v/>
      </c>
    </row>
    <row r="1518" customFormat="false" ht="15" hidden="false" customHeight="false" outlineLevel="0" collapsed="false">
      <c r="F1518" s="41" t="str">
        <f aca="false">IF(D1518="","",IFERROR(IF(ISNUMBER(SEARCH(Assumptions!$C$5,D1518)),Assumptions!$D$5,IF(ISNUMBER(SEARCH(Assumptions!$C$6,D1518)),Assumptions!$D$6,IF(ISNUMBER(SEARCH(Assumptions!$C$7,D1518)),Assumptions!$D$7,"Other Services"))),"Other Services"))</f>
        <v/>
      </c>
    </row>
    <row r="1519" customFormat="false" ht="15" hidden="false" customHeight="false" outlineLevel="0" collapsed="false">
      <c r="F1519" s="41" t="str">
        <f aca="false">IF(D1519="","",IFERROR(IF(ISNUMBER(SEARCH(Assumptions!$C$5,D1519)),Assumptions!$D$5,IF(ISNUMBER(SEARCH(Assumptions!$C$6,D1519)),Assumptions!$D$6,IF(ISNUMBER(SEARCH(Assumptions!$C$7,D1519)),Assumptions!$D$7,"Other Services"))),"Other Services"))</f>
        <v/>
      </c>
    </row>
    <row r="1520" customFormat="false" ht="15" hidden="false" customHeight="false" outlineLevel="0" collapsed="false">
      <c r="F1520" s="41" t="str">
        <f aca="false">IF(D1520="","",IFERROR(IF(ISNUMBER(SEARCH(Assumptions!$C$5,D1520)),Assumptions!$D$5,IF(ISNUMBER(SEARCH(Assumptions!$C$6,D1520)),Assumptions!$D$6,IF(ISNUMBER(SEARCH(Assumptions!$C$7,D1520)),Assumptions!$D$7,"Other Services"))),"Other Services"))</f>
        <v/>
      </c>
    </row>
    <row r="1521" customFormat="false" ht="15" hidden="false" customHeight="false" outlineLevel="0" collapsed="false">
      <c r="F1521" s="41" t="str">
        <f aca="false">IF(D1521="","",IFERROR(IF(ISNUMBER(SEARCH(Assumptions!$C$5,D1521)),Assumptions!$D$5,IF(ISNUMBER(SEARCH(Assumptions!$C$6,D1521)),Assumptions!$D$6,IF(ISNUMBER(SEARCH(Assumptions!$C$7,D1521)),Assumptions!$D$7,"Other Services"))),"Other Services"))</f>
        <v/>
      </c>
    </row>
    <row r="1522" customFormat="false" ht="15" hidden="false" customHeight="false" outlineLevel="0" collapsed="false">
      <c r="F1522" s="41" t="str">
        <f aca="false">IF(D1522="","",IFERROR(IF(ISNUMBER(SEARCH(Assumptions!$C$5,D1522)),Assumptions!$D$5,IF(ISNUMBER(SEARCH(Assumptions!$C$6,D1522)),Assumptions!$D$6,IF(ISNUMBER(SEARCH(Assumptions!$C$7,D1522)),Assumptions!$D$7,"Other Services"))),"Other Services"))</f>
        <v/>
      </c>
    </row>
    <row r="1523" customFormat="false" ht="15" hidden="false" customHeight="false" outlineLevel="0" collapsed="false">
      <c r="F1523" s="41" t="str">
        <f aca="false">IF(D1523="","",IFERROR(IF(ISNUMBER(SEARCH(Assumptions!$C$5,D1523)),Assumptions!$D$5,IF(ISNUMBER(SEARCH(Assumptions!$C$6,D1523)),Assumptions!$D$6,IF(ISNUMBER(SEARCH(Assumptions!$C$7,D1523)),Assumptions!$D$7,"Other Services"))),"Other Services"))</f>
        <v/>
      </c>
    </row>
    <row r="1524" customFormat="false" ht="15" hidden="false" customHeight="false" outlineLevel="0" collapsed="false">
      <c r="F1524" s="41" t="str">
        <f aca="false">IF(D1524="","",IFERROR(IF(ISNUMBER(SEARCH(Assumptions!$C$5,D1524)),Assumptions!$D$5,IF(ISNUMBER(SEARCH(Assumptions!$C$6,D1524)),Assumptions!$D$6,IF(ISNUMBER(SEARCH(Assumptions!$C$7,D1524)),Assumptions!$D$7,"Other Services"))),"Other Services"))</f>
        <v/>
      </c>
    </row>
    <row r="1525" customFormat="false" ht="15" hidden="false" customHeight="false" outlineLevel="0" collapsed="false">
      <c r="F1525" s="41" t="str">
        <f aca="false">IF(D1525="","",IFERROR(IF(ISNUMBER(SEARCH(Assumptions!$C$5,D1525)),Assumptions!$D$5,IF(ISNUMBER(SEARCH(Assumptions!$C$6,D1525)),Assumptions!$D$6,IF(ISNUMBER(SEARCH(Assumptions!$C$7,D1525)),Assumptions!$D$7,"Other Services"))),"Other Services"))</f>
        <v/>
      </c>
    </row>
    <row r="1526" customFormat="false" ht="15" hidden="false" customHeight="false" outlineLevel="0" collapsed="false">
      <c r="F1526" s="41" t="str">
        <f aca="false">IF(D1526="","",IFERROR(IF(ISNUMBER(SEARCH(Assumptions!$C$5,D1526)),Assumptions!$D$5,IF(ISNUMBER(SEARCH(Assumptions!$C$6,D1526)),Assumptions!$D$6,IF(ISNUMBER(SEARCH(Assumptions!$C$7,D1526)),Assumptions!$D$7,"Other Services"))),"Other Services"))</f>
        <v/>
      </c>
    </row>
    <row r="1527" customFormat="false" ht="15" hidden="false" customHeight="false" outlineLevel="0" collapsed="false">
      <c r="F1527" s="41" t="str">
        <f aca="false">IF(D1527="","",IFERROR(IF(ISNUMBER(SEARCH(Assumptions!$C$5,D1527)),Assumptions!$D$5,IF(ISNUMBER(SEARCH(Assumptions!$C$6,D1527)),Assumptions!$D$6,IF(ISNUMBER(SEARCH(Assumptions!$C$7,D1527)),Assumptions!$D$7,"Other Services"))),"Other Services"))</f>
        <v/>
      </c>
    </row>
    <row r="1528" customFormat="false" ht="15" hidden="false" customHeight="false" outlineLevel="0" collapsed="false">
      <c r="F1528" s="41" t="str">
        <f aca="false">IF(D1528="","",IFERROR(IF(ISNUMBER(SEARCH(Assumptions!$C$5,D1528)),Assumptions!$D$5,IF(ISNUMBER(SEARCH(Assumptions!$C$6,D1528)),Assumptions!$D$6,IF(ISNUMBER(SEARCH(Assumptions!$C$7,D1528)),Assumptions!$D$7,"Other Services"))),"Other Services"))</f>
        <v/>
      </c>
    </row>
    <row r="1529" customFormat="false" ht="15" hidden="false" customHeight="false" outlineLevel="0" collapsed="false">
      <c r="F1529" s="41" t="str">
        <f aca="false">IF(D1529="","",IFERROR(IF(ISNUMBER(SEARCH(Assumptions!$C$5,D1529)),Assumptions!$D$5,IF(ISNUMBER(SEARCH(Assumptions!$C$6,D1529)),Assumptions!$D$6,IF(ISNUMBER(SEARCH(Assumptions!$C$7,D1529)),Assumptions!$D$7,"Other Services"))),"Other Services"))</f>
        <v/>
      </c>
    </row>
    <row r="1530" customFormat="false" ht="15" hidden="false" customHeight="false" outlineLevel="0" collapsed="false">
      <c r="F1530" s="41" t="str">
        <f aca="false">IF(D1530="","",IFERROR(IF(ISNUMBER(SEARCH(Assumptions!$C$5,D1530)),Assumptions!$D$5,IF(ISNUMBER(SEARCH(Assumptions!$C$6,D1530)),Assumptions!$D$6,IF(ISNUMBER(SEARCH(Assumptions!$C$7,D1530)),Assumptions!$D$7,"Other Services"))),"Other Services"))</f>
        <v/>
      </c>
    </row>
    <row r="1531" customFormat="false" ht="15" hidden="false" customHeight="false" outlineLevel="0" collapsed="false">
      <c r="F1531" s="41" t="str">
        <f aca="false">IF(D1531="","",IFERROR(IF(ISNUMBER(SEARCH(Assumptions!$C$5,D1531)),Assumptions!$D$5,IF(ISNUMBER(SEARCH(Assumptions!$C$6,D1531)),Assumptions!$D$6,IF(ISNUMBER(SEARCH(Assumptions!$C$7,D1531)),Assumptions!$D$7,"Other Services"))),"Other Services"))</f>
        <v/>
      </c>
    </row>
    <row r="1532" customFormat="false" ht="15" hidden="false" customHeight="false" outlineLevel="0" collapsed="false">
      <c r="F1532" s="41" t="str">
        <f aca="false">IF(D1532="","",IFERROR(IF(ISNUMBER(SEARCH(Assumptions!$C$5,D1532)),Assumptions!$D$5,IF(ISNUMBER(SEARCH(Assumptions!$C$6,D1532)),Assumptions!$D$6,IF(ISNUMBER(SEARCH(Assumptions!$C$7,D1532)),Assumptions!$D$7,"Other Services"))),"Other Services"))</f>
        <v/>
      </c>
    </row>
    <row r="1533" customFormat="false" ht="15" hidden="false" customHeight="false" outlineLevel="0" collapsed="false">
      <c r="F1533" s="41" t="str">
        <f aca="false">IF(D1533="","",IFERROR(IF(ISNUMBER(SEARCH(Assumptions!$C$5,D1533)),Assumptions!$D$5,IF(ISNUMBER(SEARCH(Assumptions!$C$6,D1533)),Assumptions!$D$6,IF(ISNUMBER(SEARCH(Assumptions!$C$7,D1533)),Assumptions!$D$7,"Other Services"))),"Other Services"))</f>
        <v/>
      </c>
    </row>
    <row r="1534" customFormat="false" ht="15" hidden="false" customHeight="false" outlineLevel="0" collapsed="false">
      <c r="F1534" s="41" t="str">
        <f aca="false">IF(D1534="","",IFERROR(IF(ISNUMBER(SEARCH(Assumptions!$C$5,D1534)),Assumptions!$D$5,IF(ISNUMBER(SEARCH(Assumptions!$C$6,D1534)),Assumptions!$D$6,IF(ISNUMBER(SEARCH(Assumptions!$C$7,D1534)),Assumptions!$D$7,"Other Services"))),"Other Services"))</f>
        <v/>
      </c>
    </row>
    <row r="1535" customFormat="false" ht="15" hidden="false" customHeight="false" outlineLevel="0" collapsed="false">
      <c r="F1535" s="41" t="str">
        <f aca="false">IF(D1535="","",IFERROR(IF(ISNUMBER(SEARCH(Assumptions!$C$5,D1535)),Assumptions!$D$5,IF(ISNUMBER(SEARCH(Assumptions!$C$6,D1535)),Assumptions!$D$6,IF(ISNUMBER(SEARCH(Assumptions!$C$7,D1535)),Assumptions!$D$7,"Other Services"))),"Other Services"))</f>
        <v/>
      </c>
    </row>
    <row r="1536" customFormat="false" ht="15" hidden="false" customHeight="false" outlineLevel="0" collapsed="false">
      <c r="F1536" s="41" t="str">
        <f aca="false">IF(D1536="","",IFERROR(IF(ISNUMBER(SEARCH(Assumptions!$C$5,D1536)),Assumptions!$D$5,IF(ISNUMBER(SEARCH(Assumptions!$C$6,D1536)),Assumptions!$D$6,IF(ISNUMBER(SEARCH(Assumptions!$C$7,D1536)),Assumptions!$D$7,"Other Services"))),"Other Services"))</f>
        <v/>
      </c>
    </row>
    <row r="1537" customFormat="false" ht="15" hidden="false" customHeight="false" outlineLevel="0" collapsed="false">
      <c r="F1537" s="41" t="str">
        <f aca="false">IF(D1537="","",IFERROR(IF(ISNUMBER(SEARCH(Assumptions!$C$5,D1537)),Assumptions!$D$5,IF(ISNUMBER(SEARCH(Assumptions!$C$6,D1537)),Assumptions!$D$6,IF(ISNUMBER(SEARCH(Assumptions!$C$7,D1537)),Assumptions!$D$7,"Other Services"))),"Other Services"))</f>
        <v/>
      </c>
    </row>
    <row r="1538" customFormat="false" ht="15" hidden="false" customHeight="false" outlineLevel="0" collapsed="false">
      <c r="F1538" s="41" t="str">
        <f aca="false">IF(D1538="","",IFERROR(IF(ISNUMBER(SEARCH(Assumptions!$C$5,D1538)),Assumptions!$D$5,IF(ISNUMBER(SEARCH(Assumptions!$C$6,D1538)),Assumptions!$D$6,IF(ISNUMBER(SEARCH(Assumptions!$C$7,D1538)),Assumptions!$D$7,"Other Services"))),"Other Services"))</f>
        <v/>
      </c>
    </row>
    <row r="1539" customFormat="false" ht="15" hidden="false" customHeight="false" outlineLevel="0" collapsed="false">
      <c r="F1539" s="41" t="str">
        <f aca="false">IF(D1539="","",IFERROR(IF(ISNUMBER(SEARCH(Assumptions!$C$5,D1539)),Assumptions!$D$5,IF(ISNUMBER(SEARCH(Assumptions!$C$6,D1539)),Assumptions!$D$6,IF(ISNUMBER(SEARCH(Assumptions!$C$7,D1539)),Assumptions!$D$7,"Other Services"))),"Other Services"))</f>
        <v/>
      </c>
    </row>
    <row r="1540" customFormat="false" ht="15" hidden="false" customHeight="false" outlineLevel="0" collapsed="false">
      <c r="F1540" s="41" t="str">
        <f aca="false">IF(D1540="","",IFERROR(IF(ISNUMBER(SEARCH(Assumptions!$C$5,D1540)),Assumptions!$D$5,IF(ISNUMBER(SEARCH(Assumptions!$C$6,D1540)),Assumptions!$D$6,IF(ISNUMBER(SEARCH(Assumptions!$C$7,D1540)),Assumptions!$D$7,"Other Services"))),"Other Services"))</f>
        <v/>
      </c>
    </row>
    <row r="1541" customFormat="false" ht="15" hidden="false" customHeight="false" outlineLevel="0" collapsed="false">
      <c r="F1541" s="41" t="str">
        <f aca="false">IF(D1541="","",IFERROR(IF(ISNUMBER(SEARCH(Assumptions!$C$5,D1541)),Assumptions!$D$5,IF(ISNUMBER(SEARCH(Assumptions!$C$6,D1541)),Assumptions!$D$6,IF(ISNUMBER(SEARCH(Assumptions!$C$7,D1541)),Assumptions!$D$7,"Other Services"))),"Other Services"))</f>
        <v/>
      </c>
    </row>
    <row r="1542" customFormat="false" ht="15" hidden="false" customHeight="false" outlineLevel="0" collapsed="false">
      <c r="F1542" s="41" t="str">
        <f aca="false">IF(D1542="","",IFERROR(IF(ISNUMBER(SEARCH(Assumptions!$C$5,D1542)),Assumptions!$D$5,IF(ISNUMBER(SEARCH(Assumptions!$C$6,D1542)),Assumptions!$D$6,IF(ISNUMBER(SEARCH(Assumptions!$C$7,D1542)),Assumptions!$D$7,"Other Services"))),"Other Services"))</f>
        <v/>
      </c>
    </row>
    <row r="1543" customFormat="false" ht="15" hidden="false" customHeight="false" outlineLevel="0" collapsed="false">
      <c r="F1543" s="41" t="str">
        <f aca="false">IF(D1543="","",IFERROR(IF(ISNUMBER(SEARCH(Assumptions!$C$5,D1543)),Assumptions!$D$5,IF(ISNUMBER(SEARCH(Assumptions!$C$6,D1543)),Assumptions!$D$6,IF(ISNUMBER(SEARCH(Assumptions!$C$7,D1543)),Assumptions!$D$7,"Other Services"))),"Other Services"))</f>
        <v/>
      </c>
    </row>
    <row r="1544" customFormat="false" ht="15" hidden="false" customHeight="false" outlineLevel="0" collapsed="false">
      <c r="F1544" s="41" t="str">
        <f aca="false">IF(D1544="","",IFERROR(IF(ISNUMBER(SEARCH(Assumptions!$C$5,D1544)),Assumptions!$D$5,IF(ISNUMBER(SEARCH(Assumptions!$C$6,D1544)),Assumptions!$D$6,IF(ISNUMBER(SEARCH(Assumptions!$C$7,D1544)),Assumptions!$D$7,"Other Services"))),"Other Services"))</f>
        <v/>
      </c>
    </row>
    <row r="1545" customFormat="false" ht="15" hidden="false" customHeight="false" outlineLevel="0" collapsed="false">
      <c r="F1545" s="41" t="str">
        <f aca="false">IF(D1545="","",IFERROR(IF(ISNUMBER(SEARCH(Assumptions!$C$5,D1545)),Assumptions!$D$5,IF(ISNUMBER(SEARCH(Assumptions!$C$6,D1545)),Assumptions!$D$6,IF(ISNUMBER(SEARCH(Assumptions!$C$7,D1545)),Assumptions!$D$7,"Other Services"))),"Other Services"))</f>
        <v/>
      </c>
    </row>
    <row r="1546" customFormat="false" ht="15" hidden="false" customHeight="false" outlineLevel="0" collapsed="false">
      <c r="F1546" s="41" t="str">
        <f aca="false">IF(D1546="","",IFERROR(IF(ISNUMBER(SEARCH(Assumptions!$C$5,D1546)),Assumptions!$D$5,IF(ISNUMBER(SEARCH(Assumptions!$C$6,D1546)),Assumptions!$D$6,IF(ISNUMBER(SEARCH(Assumptions!$C$7,D1546)),Assumptions!$D$7,"Other Services"))),"Other Services"))</f>
        <v/>
      </c>
    </row>
    <row r="1547" customFormat="false" ht="15" hidden="false" customHeight="false" outlineLevel="0" collapsed="false">
      <c r="F1547" s="41" t="str">
        <f aca="false">IF(D1547="","",IFERROR(IF(ISNUMBER(SEARCH(Assumptions!$C$5,D1547)),Assumptions!$D$5,IF(ISNUMBER(SEARCH(Assumptions!$C$6,D1547)),Assumptions!$D$6,IF(ISNUMBER(SEARCH(Assumptions!$C$7,D1547)),Assumptions!$D$7,"Other Services"))),"Other Services"))</f>
        <v/>
      </c>
    </row>
    <row r="1548" customFormat="false" ht="15" hidden="false" customHeight="false" outlineLevel="0" collapsed="false">
      <c r="F1548" s="41" t="str">
        <f aca="false">IF(D1548="","",IFERROR(IF(ISNUMBER(SEARCH(Assumptions!$C$5,D1548)),Assumptions!$D$5,IF(ISNUMBER(SEARCH(Assumptions!$C$6,D1548)),Assumptions!$D$6,IF(ISNUMBER(SEARCH(Assumptions!$C$7,D1548)),Assumptions!$D$7,"Other Services"))),"Other Services"))</f>
        <v/>
      </c>
    </row>
    <row r="1549" customFormat="false" ht="15" hidden="false" customHeight="false" outlineLevel="0" collapsed="false">
      <c r="F1549" s="41" t="str">
        <f aca="false">IF(D1549="","",IFERROR(IF(ISNUMBER(SEARCH(Assumptions!$C$5,D1549)),Assumptions!$D$5,IF(ISNUMBER(SEARCH(Assumptions!$C$6,D1549)),Assumptions!$D$6,IF(ISNUMBER(SEARCH(Assumptions!$C$7,D1549)),Assumptions!$D$7,"Other Services"))),"Other Services"))</f>
        <v/>
      </c>
    </row>
    <row r="1550" customFormat="false" ht="15" hidden="false" customHeight="false" outlineLevel="0" collapsed="false">
      <c r="F1550" s="41" t="str">
        <f aca="false">IF(D1550="","",IFERROR(IF(ISNUMBER(SEARCH(Assumptions!$C$5,D1550)),Assumptions!$D$5,IF(ISNUMBER(SEARCH(Assumptions!$C$6,D1550)),Assumptions!$D$6,IF(ISNUMBER(SEARCH(Assumptions!$C$7,D1550)),Assumptions!$D$7,"Other Services"))),"Other Services"))</f>
        <v/>
      </c>
    </row>
    <row r="1551" customFormat="false" ht="15" hidden="false" customHeight="false" outlineLevel="0" collapsed="false">
      <c r="F1551" s="41" t="str">
        <f aca="false">IF(D1551="","",IFERROR(IF(ISNUMBER(SEARCH(Assumptions!$C$5,D1551)),Assumptions!$D$5,IF(ISNUMBER(SEARCH(Assumptions!$C$6,D1551)),Assumptions!$D$6,IF(ISNUMBER(SEARCH(Assumptions!$C$7,D1551)),Assumptions!$D$7,"Other Services"))),"Other Services"))</f>
        <v/>
      </c>
    </row>
    <row r="1552" customFormat="false" ht="15" hidden="false" customHeight="false" outlineLevel="0" collapsed="false">
      <c r="F1552" s="41" t="str">
        <f aca="false">IF(D1552="","",IFERROR(IF(ISNUMBER(SEARCH(Assumptions!$C$5,D1552)),Assumptions!$D$5,IF(ISNUMBER(SEARCH(Assumptions!$C$6,D1552)),Assumptions!$D$6,IF(ISNUMBER(SEARCH(Assumptions!$C$7,D1552)),Assumptions!$D$7,"Other Services"))),"Other Services"))</f>
        <v/>
      </c>
    </row>
    <row r="1553" customFormat="false" ht="15" hidden="false" customHeight="false" outlineLevel="0" collapsed="false">
      <c r="F1553" s="41" t="str">
        <f aca="false">IF(D1553="","",IFERROR(IF(ISNUMBER(SEARCH(Assumptions!$C$5,D1553)),Assumptions!$D$5,IF(ISNUMBER(SEARCH(Assumptions!$C$6,D1553)),Assumptions!$D$6,IF(ISNUMBER(SEARCH(Assumptions!$C$7,D1553)),Assumptions!$D$7,"Other Services"))),"Other Services"))</f>
        <v/>
      </c>
    </row>
    <row r="1554" customFormat="false" ht="15" hidden="false" customHeight="false" outlineLevel="0" collapsed="false">
      <c r="F1554" s="41" t="str">
        <f aca="false">IF(D1554="","",IFERROR(IF(ISNUMBER(SEARCH(Assumptions!$C$5,D1554)),Assumptions!$D$5,IF(ISNUMBER(SEARCH(Assumptions!$C$6,D1554)),Assumptions!$D$6,IF(ISNUMBER(SEARCH(Assumptions!$C$7,D1554)),Assumptions!$D$7,"Other Services"))),"Other Services"))</f>
        <v/>
      </c>
    </row>
    <row r="1555" customFormat="false" ht="15" hidden="false" customHeight="false" outlineLevel="0" collapsed="false">
      <c r="F1555" s="41" t="str">
        <f aca="false">IF(D1555="","",IFERROR(IF(ISNUMBER(SEARCH(Assumptions!$C$5,D1555)),Assumptions!$D$5,IF(ISNUMBER(SEARCH(Assumptions!$C$6,D1555)),Assumptions!$D$6,IF(ISNUMBER(SEARCH(Assumptions!$C$7,D1555)),Assumptions!$D$7,"Other Services"))),"Other Services"))</f>
        <v/>
      </c>
    </row>
    <row r="1556" customFormat="false" ht="15" hidden="false" customHeight="false" outlineLevel="0" collapsed="false">
      <c r="F1556" s="41" t="str">
        <f aca="false">IF(D1556="","",IFERROR(IF(ISNUMBER(SEARCH(Assumptions!$C$5,D1556)),Assumptions!$D$5,IF(ISNUMBER(SEARCH(Assumptions!$C$6,D1556)),Assumptions!$D$6,IF(ISNUMBER(SEARCH(Assumptions!$C$7,D1556)),Assumptions!$D$7,"Other Services"))),"Other Services"))</f>
        <v/>
      </c>
    </row>
    <row r="1557" customFormat="false" ht="15" hidden="false" customHeight="false" outlineLevel="0" collapsed="false">
      <c r="F1557" s="41" t="str">
        <f aca="false">IF(D1557="","",IFERROR(IF(ISNUMBER(SEARCH(Assumptions!$C$5,D1557)),Assumptions!$D$5,IF(ISNUMBER(SEARCH(Assumptions!$C$6,D1557)),Assumptions!$D$6,IF(ISNUMBER(SEARCH(Assumptions!$C$7,D1557)),Assumptions!$D$7,"Other Services"))),"Other Services"))</f>
        <v/>
      </c>
    </row>
    <row r="1558" customFormat="false" ht="15" hidden="false" customHeight="false" outlineLevel="0" collapsed="false">
      <c r="F1558" s="41" t="str">
        <f aca="false">IF(D1558="","",IFERROR(IF(ISNUMBER(SEARCH(Assumptions!$C$5,D1558)),Assumptions!$D$5,IF(ISNUMBER(SEARCH(Assumptions!$C$6,D1558)),Assumptions!$D$6,IF(ISNUMBER(SEARCH(Assumptions!$C$7,D1558)),Assumptions!$D$7,"Other Services"))),"Other Services"))</f>
        <v/>
      </c>
    </row>
    <row r="1559" customFormat="false" ht="15" hidden="false" customHeight="false" outlineLevel="0" collapsed="false">
      <c r="F1559" s="41" t="str">
        <f aca="false">IF(D1559="","",IFERROR(IF(ISNUMBER(SEARCH(Assumptions!$C$5,D1559)),Assumptions!$D$5,IF(ISNUMBER(SEARCH(Assumptions!$C$6,D1559)),Assumptions!$D$6,IF(ISNUMBER(SEARCH(Assumptions!$C$7,D1559)),Assumptions!$D$7,"Other Services"))),"Other Services"))</f>
        <v/>
      </c>
    </row>
    <row r="1560" customFormat="false" ht="15" hidden="false" customHeight="false" outlineLevel="0" collapsed="false">
      <c r="F1560" s="41" t="str">
        <f aca="false">IF(D1560="","",IFERROR(IF(ISNUMBER(SEARCH(Assumptions!$C$5,D1560)),Assumptions!$D$5,IF(ISNUMBER(SEARCH(Assumptions!$C$6,D1560)),Assumptions!$D$6,IF(ISNUMBER(SEARCH(Assumptions!$C$7,D1560)),Assumptions!$D$7,"Other Services"))),"Other Services"))</f>
        <v/>
      </c>
    </row>
    <row r="1561" customFormat="false" ht="15" hidden="false" customHeight="false" outlineLevel="0" collapsed="false">
      <c r="F1561" s="41" t="str">
        <f aca="false">IF(D1561="","",IFERROR(IF(ISNUMBER(SEARCH(Assumptions!$C$5,D1561)),Assumptions!$D$5,IF(ISNUMBER(SEARCH(Assumptions!$C$6,D1561)),Assumptions!$D$6,IF(ISNUMBER(SEARCH(Assumptions!$C$7,D1561)),Assumptions!$D$7,"Other Services"))),"Other Services"))</f>
        <v/>
      </c>
    </row>
    <row r="1562" customFormat="false" ht="15" hidden="false" customHeight="false" outlineLevel="0" collapsed="false">
      <c r="F1562" s="41" t="str">
        <f aca="false">IF(D1562="","",IFERROR(IF(ISNUMBER(SEARCH(Assumptions!$C$5,D1562)),Assumptions!$D$5,IF(ISNUMBER(SEARCH(Assumptions!$C$6,D1562)),Assumptions!$D$6,IF(ISNUMBER(SEARCH(Assumptions!$C$7,D1562)),Assumptions!$D$7,"Other Services"))),"Other Services"))</f>
        <v/>
      </c>
    </row>
    <row r="1563" customFormat="false" ht="15" hidden="false" customHeight="false" outlineLevel="0" collapsed="false">
      <c r="F1563" s="41" t="str">
        <f aca="false">IF(D1563="","",IFERROR(IF(ISNUMBER(SEARCH(Assumptions!$C$5,D1563)),Assumptions!$D$5,IF(ISNUMBER(SEARCH(Assumptions!$C$6,D1563)),Assumptions!$D$6,IF(ISNUMBER(SEARCH(Assumptions!$C$7,D1563)),Assumptions!$D$7,"Other Services"))),"Other Services"))</f>
        <v/>
      </c>
    </row>
    <row r="1564" customFormat="false" ht="15" hidden="false" customHeight="false" outlineLevel="0" collapsed="false">
      <c r="F1564" s="41" t="str">
        <f aca="false">IF(D1564="","",IFERROR(IF(ISNUMBER(SEARCH(Assumptions!$C$5,D1564)),Assumptions!$D$5,IF(ISNUMBER(SEARCH(Assumptions!$C$6,D1564)),Assumptions!$D$6,IF(ISNUMBER(SEARCH(Assumptions!$C$7,D1564)),Assumptions!$D$7,"Other Services"))),"Other Services"))</f>
        <v/>
      </c>
    </row>
    <row r="1565" customFormat="false" ht="15" hidden="false" customHeight="false" outlineLevel="0" collapsed="false">
      <c r="F1565" s="41" t="str">
        <f aca="false">IF(D1565="","",IFERROR(IF(ISNUMBER(SEARCH(Assumptions!$C$5,D1565)),Assumptions!$D$5,IF(ISNUMBER(SEARCH(Assumptions!$C$6,D1565)),Assumptions!$D$6,IF(ISNUMBER(SEARCH(Assumptions!$C$7,D1565)),Assumptions!$D$7,"Other Services"))),"Other Services"))</f>
        <v/>
      </c>
    </row>
    <row r="1566" customFormat="false" ht="15" hidden="false" customHeight="false" outlineLevel="0" collapsed="false">
      <c r="F1566" s="41" t="str">
        <f aca="false">IF(D1566="","",IFERROR(IF(ISNUMBER(SEARCH(Assumptions!$C$5,D1566)),Assumptions!$D$5,IF(ISNUMBER(SEARCH(Assumptions!$C$6,D1566)),Assumptions!$D$6,IF(ISNUMBER(SEARCH(Assumptions!$C$7,D1566)),Assumptions!$D$7,"Other Services"))),"Other Services"))</f>
        <v/>
      </c>
    </row>
    <row r="1567" customFormat="false" ht="15" hidden="false" customHeight="false" outlineLevel="0" collapsed="false">
      <c r="F1567" s="41" t="str">
        <f aca="false">IF(D1567="","",IFERROR(IF(ISNUMBER(SEARCH(Assumptions!$C$5,D1567)),Assumptions!$D$5,IF(ISNUMBER(SEARCH(Assumptions!$C$6,D1567)),Assumptions!$D$6,IF(ISNUMBER(SEARCH(Assumptions!$C$7,D1567)),Assumptions!$D$7,"Other Services"))),"Other Services"))</f>
        <v/>
      </c>
    </row>
    <row r="1568" customFormat="false" ht="15" hidden="false" customHeight="false" outlineLevel="0" collapsed="false">
      <c r="F1568" s="41" t="str">
        <f aca="false">IF(D1568="","",IFERROR(IF(ISNUMBER(SEARCH(Assumptions!$C$5,D1568)),Assumptions!$D$5,IF(ISNUMBER(SEARCH(Assumptions!$C$6,D1568)),Assumptions!$D$6,IF(ISNUMBER(SEARCH(Assumptions!$C$7,D1568)),Assumptions!$D$7,"Other Services"))),"Other Services"))</f>
        <v/>
      </c>
    </row>
    <row r="1569" customFormat="false" ht="15" hidden="false" customHeight="false" outlineLevel="0" collapsed="false">
      <c r="F1569" s="41" t="str">
        <f aca="false">IF(D1569="","",IFERROR(IF(ISNUMBER(SEARCH(Assumptions!$C$5,D1569)),Assumptions!$D$5,IF(ISNUMBER(SEARCH(Assumptions!$C$6,D1569)),Assumptions!$D$6,IF(ISNUMBER(SEARCH(Assumptions!$C$7,D1569)),Assumptions!$D$7,"Other Services"))),"Other Services"))</f>
        <v/>
      </c>
    </row>
    <row r="1570" customFormat="false" ht="15" hidden="false" customHeight="false" outlineLevel="0" collapsed="false">
      <c r="F1570" s="41" t="str">
        <f aca="false">IF(D1570="","",IFERROR(IF(ISNUMBER(SEARCH(Assumptions!$C$5,D1570)),Assumptions!$D$5,IF(ISNUMBER(SEARCH(Assumptions!$C$6,D1570)),Assumptions!$D$6,IF(ISNUMBER(SEARCH(Assumptions!$C$7,D1570)),Assumptions!$D$7,"Other Services"))),"Other Services"))</f>
        <v/>
      </c>
    </row>
    <row r="1571" customFormat="false" ht="15" hidden="false" customHeight="false" outlineLevel="0" collapsed="false">
      <c r="F1571" s="41" t="str">
        <f aca="false">IF(D1571="","",IFERROR(IF(ISNUMBER(SEARCH(Assumptions!$C$5,D1571)),Assumptions!$D$5,IF(ISNUMBER(SEARCH(Assumptions!$C$6,D1571)),Assumptions!$D$6,IF(ISNUMBER(SEARCH(Assumptions!$C$7,D1571)),Assumptions!$D$7,"Other Services"))),"Other Services"))</f>
        <v/>
      </c>
    </row>
    <row r="1572" customFormat="false" ht="15" hidden="false" customHeight="false" outlineLevel="0" collapsed="false">
      <c r="F1572" s="41" t="str">
        <f aca="false">IF(D1572="","",IFERROR(IF(ISNUMBER(SEARCH(Assumptions!$C$5,D1572)),Assumptions!$D$5,IF(ISNUMBER(SEARCH(Assumptions!$C$6,D1572)),Assumptions!$D$6,IF(ISNUMBER(SEARCH(Assumptions!$C$7,D1572)),Assumptions!$D$7,"Other Services"))),"Other Services"))</f>
        <v/>
      </c>
    </row>
    <row r="1573" customFormat="false" ht="15" hidden="false" customHeight="false" outlineLevel="0" collapsed="false">
      <c r="F1573" s="41" t="str">
        <f aca="false">IF(D1573="","",IFERROR(IF(ISNUMBER(SEARCH(Assumptions!$C$5,D1573)),Assumptions!$D$5,IF(ISNUMBER(SEARCH(Assumptions!$C$6,D1573)),Assumptions!$D$6,IF(ISNUMBER(SEARCH(Assumptions!$C$7,D1573)),Assumptions!$D$7,"Other Services"))),"Other Services"))</f>
        <v/>
      </c>
    </row>
    <row r="1574" customFormat="false" ht="15" hidden="false" customHeight="false" outlineLevel="0" collapsed="false">
      <c r="F1574" s="41" t="str">
        <f aca="false">IF(D1574="","",IFERROR(IF(ISNUMBER(SEARCH(Assumptions!$C$5,D1574)),Assumptions!$D$5,IF(ISNUMBER(SEARCH(Assumptions!$C$6,D1574)),Assumptions!$D$6,IF(ISNUMBER(SEARCH(Assumptions!$C$7,D1574)),Assumptions!$D$7,"Other Services"))),"Other Services"))</f>
        <v/>
      </c>
    </row>
    <row r="1575" customFormat="false" ht="15" hidden="false" customHeight="false" outlineLevel="0" collapsed="false">
      <c r="F1575" s="41" t="str">
        <f aca="false">IF(D1575="","",IFERROR(IF(ISNUMBER(SEARCH(Assumptions!$C$5,D1575)),Assumptions!$D$5,IF(ISNUMBER(SEARCH(Assumptions!$C$6,D1575)),Assumptions!$D$6,IF(ISNUMBER(SEARCH(Assumptions!$C$7,D1575)),Assumptions!$D$7,"Other Services"))),"Other Services"))</f>
        <v/>
      </c>
    </row>
    <row r="1576" customFormat="false" ht="15" hidden="false" customHeight="false" outlineLevel="0" collapsed="false">
      <c r="F1576" s="41" t="str">
        <f aca="false">IF(D1576="","",IFERROR(IF(ISNUMBER(SEARCH(Assumptions!$C$5,D1576)),Assumptions!$D$5,IF(ISNUMBER(SEARCH(Assumptions!$C$6,D1576)),Assumptions!$D$6,IF(ISNUMBER(SEARCH(Assumptions!$C$7,D1576)),Assumptions!$D$7,"Other Services"))),"Other Services"))</f>
        <v/>
      </c>
    </row>
    <row r="1577" customFormat="false" ht="15" hidden="false" customHeight="false" outlineLevel="0" collapsed="false">
      <c r="F1577" s="41" t="str">
        <f aca="false">IF(D1577="","",IFERROR(IF(ISNUMBER(SEARCH(Assumptions!$C$5,D1577)),Assumptions!$D$5,IF(ISNUMBER(SEARCH(Assumptions!$C$6,D1577)),Assumptions!$D$6,IF(ISNUMBER(SEARCH(Assumptions!$C$7,D1577)),Assumptions!$D$7,"Other Services"))),"Other Services"))</f>
        <v/>
      </c>
    </row>
    <row r="1578" customFormat="false" ht="15" hidden="false" customHeight="false" outlineLevel="0" collapsed="false">
      <c r="F1578" s="41" t="str">
        <f aca="false">IF(D1578="","",IFERROR(IF(ISNUMBER(SEARCH(Assumptions!$C$5,D1578)),Assumptions!$D$5,IF(ISNUMBER(SEARCH(Assumptions!$C$6,D1578)),Assumptions!$D$6,IF(ISNUMBER(SEARCH(Assumptions!$C$7,D1578)),Assumptions!$D$7,"Other Services"))),"Other Services"))</f>
        <v/>
      </c>
    </row>
    <row r="1579" customFormat="false" ht="15" hidden="false" customHeight="false" outlineLevel="0" collapsed="false">
      <c r="F1579" s="41" t="str">
        <f aca="false">IF(D1579="","",IFERROR(IF(ISNUMBER(SEARCH(Assumptions!$C$5,D1579)),Assumptions!$D$5,IF(ISNUMBER(SEARCH(Assumptions!$C$6,D1579)),Assumptions!$D$6,IF(ISNUMBER(SEARCH(Assumptions!$C$7,D1579)),Assumptions!$D$7,"Other Services"))),"Other Services"))</f>
        <v/>
      </c>
    </row>
    <row r="1580" customFormat="false" ht="15" hidden="false" customHeight="false" outlineLevel="0" collapsed="false">
      <c r="F1580" s="41" t="str">
        <f aca="false">IF(D1580="","",IFERROR(IF(ISNUMBER(SEARCH(Assumptions!$C$5,D1580)),Assumptions!$D$5,IF(ISNUMBER(SEARCH(Assumptions!$C$6,D1580)),Assumptions!$D$6,IF(ISNUMBER(SEARCH(Assumptions!$C$7,D1580)),Assumptions!$D$7,"Other Services"))),"Other Services"))</f>
        <v/>
      </c>
    </row>
    <row r="1581" customFormat="false" ht="15" hidden="false" customHeight="false" outlineLevel="0" collapsed="false">
      <c r="F1581" s="41" t="str">
        <f aca="false">IF(D1581="","",IFERROR(IF(ISNUMBER(SEARCH(Assumptions!$C$5,D1581)),Assumptions!$D$5,IF(ISNUMBER(SEARCH(Assumptions!$C$6,D1581)),Assumptions!$D$6,IF(ISNUMBER(SEARCH(Assumptions!$C$7,D1581)),Assumptions!$D$7,"Other Services"))),"Other Services"))</f>
        <v/>
      </c>
    </row>
    <row r="1582" customFormat="false" ht="15" hidden="false" customHeight="false" outlineLevel="0" collapsed="false">
      <c r="F1582" s="41" t="str">
        <f aca="false">IF(D1582="","",IFERROR(IF(ISNUMBER(SEARCH(Assumptions!$C$5,D1582)),Assumptions!$D$5,IF(ISNUMBER(SEARCH(Assumptions!$C$6,D1582)),Assumptions!$D$6,IF(ISNUMBER(SEARCH(Assumptions!$C$7,D1582)),Assumptions!$D$7,"Other Services"))),"Other Services"))</f>
        <v/>
      </c>
    </row>
    <row r="1583" customFormat="false" ht="15" hidden="false" customHeight="false" outlineLevel="0" collapsed="false">
      <c r="F1583" s="41" t="str">
        <f aca="false">IF(D1583="","",IFERROR(IF(ISNUMBER(SEARCH(Assumptions!$C$5,D1583)),Assumptions!$D$5,IF(ISNUMBER(SEARCH(Assumptions!$C$6,D1583)),Assumptions!$D$6,IF(ISNUMBER(SEARCH(Assumptions!$C$7,D1583)),Assumptions!$D$7,"Other Services"))),"Other Services"))</f>
        <v/>
      </c>
    </row>
    <row r="1584" customFormat="false" ht="15" hidden="false" customHeight="false" outlineLevel="0" collapsed="false">
      <c r="F1584" s="41" t="str">
        <f aca="false">IF(D1584="","",IFERROR(IF(ISNUMBER(SEARCH(Assumptions!$C$5,D1584)),Assumptions!$D$5,IF(ISNUMBER(SEARCH(Assumptions!$C$6,D1584)),Assumptions!$D$6,IF(ISNUMBER(SEARCH(Assumptions!$C$7,D1584)),Assumptions!$D$7,"Other Services"))),"Other Services"))</f>
        <v/>
      </c>
    </row>
    <row r="1585" customFormat="false" ht="15" hidden="false" customHeight="false" outlineLevel="0" collapsed="false">
      <c r="F1585" s="41" t="str">
        <f aca="false">IF(D1585="","",IFERROR(IF(ISNUMBER(SEARCH(Assumptions!$C$5,D1585)),Assumptions!$D$5,IF(ISNUMBER(SEARCH(Assumptions!$C$6,D1585)),Assumptions!$D$6,IF(ISNUMBER(SEARCH(Assumptions!$C$7,D1585)),Assumptions!$D$7,"Other Services"))),"Other Services"))</f>
        <v/>
      </c>
    </row>
    <row r="1586" customFormat="false" ht="15" hidden="false" customHeight="false" outlineLevel="0" collapsed="false">
      <c r="F1586" s="41" t="str">
        <f aca="false">IF(D1586="","",IFERROR(IF(ISNUMBER(SEARCH(Assumptions!$C$5,D1586)),Assumptions!$D$5,IF(ISNUMBER(SEARCH(Assumptions!$C$6,D1586)),Assumptions!$D$6,IF(ISNUMBER(SEARCH(Assumptions!$C$7,D1586)),Assumptions!$D$7,"Other Services"))),"Other Services"))</f>
        <v/>
      </c>
    </row>
    <row r="1587" customFormat="false" ht="15" hidden="false" customHeight="false" outlineLevel="0" collapsed="false">
      <c r="F1587" s="41" t="str">
        <f aca="false">IF(D1587="","",IFERROR(IF(ISNUMBER(SEARCH(Assumptions!$C$5,D1587)),Assumptions!$D$5,IF(ISNUMBER(SEARCH(Assumptions!$C$6,D1587)),Assumptions!$D$6,IF(ISNUMBER(SEARCH(Assumptions!$C$7,D1587)),Assumptions!$D$7,"Other Services"))),"Other Services"))</f>
        <v/>
      </c>
    </row>
    <row r="1588" customFormat="false" ht="15" hidden="false" customHeight="false" outlineLevel="0" collapsed="false">
      <c r="F1588" s="41" t="str">
        <f aca="false">IF(D1588="","",IFERROR(IF(ISNUMBER(SEARCH(Assumptions!$C$5,D1588)),Assumptions!$D$5,IF(ISNUMBER(SEARCH(Assumptions!$C$6,D1588)),Assumptions!$D$6,IF(ISNUMBER(SEARCH(Assumptions!$C$7,D1588)),Assumptions!$D$7,"Other Services"))),"Other Services"))</f>
        <v/>
      </c>
    </row>
    <row r="1589" customFormat="false" ht="15" hidden="false" customHeight="false" outlineLevel="0" collapsed="false">
      <c r="F1589" s="41" t="str">
        <f aca="false">IF(D1589="","",IFERROR(IF(ISNUMBER(SEARCH(Assumptions!$C$5,D1589)),Assumptions!$D$5,IF(ISNUMBER(SEARCH(Assumptions!$C$6,D1589)),Assumptions!$D$6,IF(ISNUMBER(SEARCH(Assumptions!$C$7,D1589)),Assumptions!$D$7,"Other Services"))),"Other Services"))</f>
        <v/>
      </c>
    </row>
    <row r="1590" customFormat="false" ht="15" hidden="false" customHeight="false" outlineLevel="0" collapsed="false">
      <c r="F1590" s="41" t="str">
        <f aca="false">IF(D1590="","",IFERROR(IF(ISNUMBER(SEARCH(Assumptions!$C$5,D1590)),Assumptions!$D$5,IF(ISNUMBER(SEARCH(Assumptions!$C$6,D1590)),Assumptions!$D$6,IF(ISNUMBER(SEARCH(Assumptions!$C$7,D1590)),Assumptions!$D$7,"Other Services"))),"Other Services"))</f>
        <v/>
      </c>
    </row>
    <row r="1591" customFormat="false" ht="15" hidden="false" customHeight="false" outlineLevel="0" collapsed="false">
      <c r="F1591" s="41" t="str">
        <f aca="false">IF(D1591="","",IFERROR(IF(ISNUMBER(SEARCH(Assumptions!$C$5,D1591)),Assumptions!$D$5,IF(ISNUMBER(SEARCH(Assumptions!$C$6,D1591)),Assumptions!$D$6,IF(ISNUMBER(SEARCH(Assumptions!$C$7,D1591)),Assumptions!$D$7,"Other Services"))),"Other Services"))</f>
        <v/>
      </c>
    </row>
    <row r="1592" customFormat="false" ht="15" hidden="false" customHeight="false" outlineLevel="0" collapsed="false">
      <c r="F1592" s="41" t="str">
        <f aca="false">IF(D1592="","",IFERROR(IF(ISNUMBER(SEARCH(Assumptions!$C$5,D1592)),Assumptions!$D$5,IF(ISNUMBER(SEARCH(Assumptions!$C$6,D1592)),Assumptions!$D$6,IF(ISNUMBER(SEARCH(Assumptions!$C$7,D1592)),Assumptions!$D$7,"Other Services"))),"Other Services"))</f>
        <v/>
      </c>
    </row>
    <row r="1593" customFormat="false" ht="15" hidden="false" customHeight="false" outlineLevel="0" collapsed="false">
      <c r="F1593" s="41" t="str">
        <f aca="false">IF(D1593="","",IFERROR(IF(ISNUMBER(SEARCH(Assumptions!$C$5,D1593)),Assumptions!$D$5,IF(ISNUMBER(SEARCH(Assumptions!$C$6,D1593)),Assumptions!$D$6,IF(ISNUMBER(SEARCH(Assumptions!$C$7,D1593)),Assumptions!$D$7,"Other Services"))),"Other Services"))</f>
        <v/>
      </c>
    </row>
    <row r="1594" customFormat="false" ht="15" hidden="false" customHeight="false" outlineLevel="0" collapsed="false">
      <c r="F1594" s="41" t="str">
        <f aca="false">IF(D1594="","",IFERROR(IF(ISNUMBER(SEARCH(Assumptions!$C$5,D1594)),Assumptions!$D$5,IF(ISNUMBER(SEARCH(Assumptions!$C$6,D1594)),Assumptions!$D$6,IF(ISNUMBER(SEARCH(Assumptions!$C$7,D1594)),Assumptions!$D$7,"Other Services"))),"Other Services"))</f>
        <v/>
      </c>
    </row>
    <row r="1595" customFormat="false" ht="15" hidden="false" customHeight="false" outlineLevel="0" collapsed="false">
      <c r="F1595" s="41" t="str">
        <f aca="false">IF(D1595="","",IFERROR(IF(ISNUMBER(SEARCH(Assumptions!$C$5,D1595)),Assumptions!$D$5,IF(ISNUMBER(SEARCH(Assumptions!$C$6,D1595)),Assumptions!$D$6,IF(ISNUMBER(SEARCH(Assumptions!$C$7,D1595)),Assumptions!$D$7,"Other Services"))),"Other Services"))</f>
        <v/>
      </c>
    </row>
    <row r="1596" customFormat="false" ht="15" hidden="false" customHeight="false" outlineLevel="0" collapsed="false">
      <c r="F1596" s="41" t="str">
        <f aca="false">IF(D1596="","",IFERROR(IF(ISNUMBER(SEARCH(Assumptions!$C$5,D1596)),Assumptions!$D$5,IF(ISNUMBER(SEARCH(Assumptions!$C$6,D1596)),Assumptions!$D$6,IF(ISNUMBER(SEARCH(Assumptions!$C$7,D1596)),Assumptions!$D$7,"Other Services"))),"Other Services"))</f>
        <v/>
      </c>
    </row>
    <row r="1597" customFormat="false" ht="15" hidden="false" customHeight="false" outlineLevel="0" collapsed="false">
      <c r="F1597" s="41" t="str">
        <f aca="false">IF(D1597="","",IFERROR(IF(ISNUMBER(SEARCH(Assumptions!$C$5,D1597)),Assumptions!$D$5,IF(ISNUMBER(SEARCH(Assumptions!$C$6,D1597)),Assumptions!$D$6,IF(ISNUMBER(SEARCH(Assumptions!$C$7,D1597)),Assumptions!$D$7,"Other Services"))),"Other Services"))</f>
        <v/>
      </c>
    </row>
    <row r="1598" customFormat="false" ht="15" hidden="false" customHeight="false" outlineLevel="0" collapsed="false">
      <c r="F1598" s="41" t="str">
        <f aca="false">IF(D1598="","",IFERROR(IF(ISNUMBER(SEARCH(Assumptions!$C$5,D1598)),Assumptions!$D$5,IF(ISNUMBER(SEARCH(Assumptions!$C$6,D1598)),Assumptions!$D$6,IF(ISNUMBER(SEARCH(Assumptions!$C$7,D1598)),Assumptions!$D$7,"Other Services"))),"Other Services"))</f>
        <v/>
      </c>
    </row>
    <row r="1599" customFormat="false" ht="15" hidden="false" customHeight="false" outlineLevel="0" collapsed="false">
      <c r="F1599" s="41" t="str">
        <f aca="false">IF(D1599="","",IFERROR(IF(ISNUMBER(SEARCH(Assumptions!$C$5,D1599)),Assumptions!$D$5,IF(ISNUMBER(SEARCH(Assumptions!$C$6,D1599)),Assumptions!$D$6,IF(ISNUMBER(SEARCH(Assumptions!$C$7,D1599)),Assumptions!$D$7,"Other Services"))),"Other Services"))</f>
        <v/>
      </c>
    </row>
    <row r="1600" customFormat="false" ht="15" hidden="false" customHeight="false" outlineLevel="0" collapsed="false">
      <c r="F1600" s="41" t="str">
        <f aca="false">IF(D1600="","",IFERROR(IF(ISNUMBER(SEARCH(Assumptions!$C$5,D1600)),Assumptions!$D$5,IF(ISNUMBER(SEARCH(Assumptions!$C$6,D1600)),Assumptions!$D$6,IF(ISNUMBER(SEARCH(Assumptions!$C$7,D1600)),Assumptions!$D$7,"Other Services"))),"Other Services"))</f>
        <v/>
      </c>
    </row>
    <row r="1601" customFormat="false" ht="15" hidden="false" customHeight="false" outlineLevel="0" collapsed="false">
      <c r="F1601" s="41" t="str">
        <f aca="false">IF(D1601="","",IFERROR(IF(ISNUMBER(SEARCH(Assumptions!$C$5,D1601)),Assumptions!$D$5,IF(ISNUMBER(SEARCH(Assumptions!$C$6,D1601)),Assumptions!$D$6,IF(ISNUMBER(SEARCH(Assumptions!$C$7,D1601)),Assumptions!$D$7,"Other Services"))),"Other Services"))</f>
        <v/>
      </c>
    </row>
    <row r="1602" customFormat="false" ht="15" hidden="false" customHeight="false" outlineLevel="0" collapsed="false">
      <c r="F1602" s="41" t="str">
        <f aca="false">IF(D1602="","",IFERROR(IF(ISNUMBER(SEARCH(Assumptions!$C$5,D1602)),Assumptions!$D$5,IF(ISNUMBER(SEARCH(Assumptions!$C$6,D1602)),Assumptions!$D$6,IF(ISNUMBER(SEARCH(Assumptions!$C$7,D1602)),Assumptions!$D$7,"Other Services"))),"Other Services"))</f>
        <v/>
      </c>
    </row>
    <row r="1603" customFormat="false" ht="15" hidden="false" customHeight="false" outlineLevel="0" collapsed="false">
      <c r="F1603" s="41" t="str">
        <f aca="false">IF(D1603="","",IFERROR(IF(ISNUMBER(SEARCH(Assumptions!$C$5,D1603)),Assumptions!$D$5,IF(ISNUMBER(SEARCH(Assumptions!$C$6,D1603)),Assumptions!$D$6,IF(ISNUMBER(SEARCH(Assumptions!$C$7,D1603)),Assumptions!$D$7,"Other Services"))),"Other Services"))</f>
        <v/>
      </c>
    </row>
    <row r="1604" customFormat="false" ht="15" hidden="false" customHeight="false" outlineLevel="0" collapsed="false">
      <c r="F1604" s="41" t="str">
        <f aca="false">IF(D1604="","",IFERROR(IF(ISNUMBER(SEARCH(Assumptions!$C$5,D1604)),Assumptions!$D$5,IF(ISNUMBER(SEARCH(Assumptions!$C$6,D1604)),Assumptions!$D$6,IF(ISNUMBER(SEARCH(Assumptions!$C$7,D1604)),Assumptions!$D$7,"Other Services"))),"Other Services"))</f>
        <v/>
      </c>
    </row>
    <row r="1605" customFormat="false" ht="15" hidden="false" customHeight="false" outlineLevel="0" collapsed="false">
      <c r="F1605" s="41" t="str">
        <f aca="false">IF(D1605="","",IFERROR(IF(ISNUMBER(SEARCH(Assumptions!$C$5,D1605)),Assumptions!$D$5,IF(ISNUMBER(SEARCH(Assumptions!$C$6,D1605)),Assumptions!$D$6,IF(ISNUMBER(SEARCH(Assumptions!$C$7,D1605)),Assumptions!$D$7,"Other Services"))),"Other Services"))</f>
        <v/>
      </c>
    </row>
    <row r="1606" customFormat="false" ht="15" hidden="false" customHeight="false" outlineLevel="0" collapsed="false">
      <c r="F1606" s="41" t="str">
        <f aca="false">IF(D1606="","",IFERROR(IF(ISNUMBER(SEARCH(Assumptions!$C$5,D1606)),Assumptions!$D$5,IF(ISNUMBER(SEARCH(Assumptions!$C$6,D1606)),Assumptions!$D$6,IF(ISNUMBER(SEARCH(Assumptions!$C$7,D1606)),Assumptions!$D$7,"Other Services"))),"Other Services"))</f>
        <v/>
      </c>
    </row>
    <row r="1607" customFormat="false" ht="15" hidden="false" customHeight="false" outlineLevel="0" collapsed="false">
      <c r="F1607" s="41" t="str">
        <f aca="false">IF(D1607="","",IFERROR(IF(ISNUMBER(SEARCH(Assumptions!$C$5,D1607)),Assumptions!$D$5,IF(ISNUMBER(SEARCH(Assumptions!$C$6,D1607)),Assumptions!$D$6,IF(ISNUMBER(SEARCH(Assumptions!$C$7,D1607)),Assumptions!$D$7,"Other Services"))),"Other Services"))</f>
        <v/>
      </c>
    </row>
    <row r="1608" customFormat="false" ht="15" hidden="false" customHeight="false" outlineLevel="0" collapsed="false">
      <c r="F1608" s="41" t="str">
        <f aca="false">IF(D1608="","",IFERROR(IF(ISNUMBER(SEARCH(Assumptions!$C$5,D1608)),Assumptions!$D$5,IF(ISNUMBER(SEARCH(Assumptions!$C$6,D1608)),Assumptions!$D$6,IF(ISNUMBER(SEARCH(Assumptions!$C$7,D1608)),Assumptions!$D$7,"Other Services"))),"Other Services"))</f>
        <v/>
      </c>
    </row>
    <row r="1609" customFormat="false" ht="15" hidden="false" customHeight="false" outlineLevel="0" collapsed="false">
      <c r="F1609" s="41" t="str">
        <f aca="false">IF(D1609="","",IFERROR(IF(ISNUMBER(SEARCH(Assumptions!$C$5,D1609)),Assumptions!$D$5,IF(ISNUMBER(SEARCH(Assumptions!$C$6,D1609)),Assumptions!$D$6,IF(ISNUMBER(SEARCH(Assumptions!$C$7,D1609)),Assumptions!$D$7,"Other Services"))),"Other Services"))</f>
        <v/>
      </c>
    </row>
    <row r="1610" customFormat="false" ht="15" hidden="false" customHeight="false" outlineLevel="0" collapsed="false">
      <c r="F1610" s="41" t="str">
        <f aca="false">IF(D1610="","",IFERROR(IF(ISNUMBER(SEARCH(Assumptions!$C$5,D1610)),Assumptions!$D$5,IF(ISNUMBER(SEARCH(Assumptions!$C$6,D1610)),Assumptions!$D$6,IF(ISNUMBER(SEARCH(Assumptions!$C$7,D1610)),Assumptions!$D$7,"Other Services"))),"Other Services"))</f>
        <v/>
      </c>
    </row>
    <row r="1611" customFormat="false" ht="15" hidden="false" customHeight="false" outlineLevel="0" collapsed="false">
      <c r="F1611" s="41" t="str">
        <f aca="false">IF(D1611="","",IFERROR(IF(ISNUMBER(SEARCH(Assumptions!$C$5,D1611)),Assumptions!$D$5,IF(ISNUMBER(SEARCH(Assumptions!$C$6,D1611)),Assumptions!$D$6,IF(ISNUMBER(SEARCH(Assumptions!$C$7,D1611)),Assumptions!$D$7,"Other Services"))),"Other Services"))</f>
        <v/>
      </c>
    </row>
    <row r="1612" customFormat="false" ht="15" hidden="false" customHeight="false" outlineLevel="0" collapsed="false">
      <c r="F1612" s="41" t="str">
        <f aca="false">IF(D1612="","",IFERROR(IF(ISNUMBER(SEARCH(Assumptions!$C$5,D1612)),Assumptions!$D$5,IF(ISNUMBER(SEARCH(Assumptions!$C$6,D1612)),Assumptions!$D$6,IF(ISNUMBER(SEARCH(Assumptions!$C$7,D1612)),Assumptions!$D$7,"Other Services"))),"Other Services"))</f>
        <v/>
      </c>
    </row>
    <row r="1613" customFormat="false" ht="15" hidden="false" customHeight="false" outlineLevel="0" collapsed="false">
      <c r="F1613" s="41" t="str">
        <f aca="false">IF(D1613="","",IFERROR(IF(ISNUMBER(SEARCH(Assumptions!$C$5,D1613)),Assumptions!$D$5,IF(ISNUMBER(SEARCH(Assumptions!$C$6,D1613)),Assumptions!$D$6,IF(ISNUMBER(SEARCH(Assumptions!$C$7,D1613)),Assumptions!$D$7,"Other Services"))),"Other Services"))</f>
        <v/>
      </c>
    </row>
    <row r="1614" customFormat="false" ht="15" hidden="false" customHeight="false" outlineLevel="0" collapsed="false">
      <c r="F1614" s="41" t="str">
        <f aca="false">IF(D1614="","",IFERROR(IF(ISNUMBER(SEARCH(Assumptions!$C$5,D1614)),Assumptions!$D$5,IF(ISNUMBER(SEARCH(Assumptions!$C$6,D1614)),Assumptions!$D$6,IF(ISNUMBER(SEARCH(Assumptions!$C$7,D1614)),Assumptions!$D$7,"Other Services"))),"Other Services"))</f>
        <v/>
      </c>
    </row>
    <row r="1615" customFormat="false" ht="15" hidden="false" customHeight="false" outlineLevel="0" collapsed="false">
      <c r="F1615" s="41" t="str">
        <f aca="false">IF(D1615="","",IFERROR(IF(ISNUMBER(SEARCH(Assumptions!$C$5,D1615)),Assumptions!$D$5,IF(ISNUMBER(SEARCH(Assumptions!$C$6,D1615)),Assumptions!$D$6,IF(ISNUMBER(SEARCH(Assumptions!$C$7,D1615)),Assumptions!$D$7,"Other Services"))),"Other Services"))</f>
        <v/>
      </c>
    </row>
    <row r="1616" customFormat="false" ht="15" hidden="false" customHeight="false" outlineLevel="0" collapsed="false">
      <c r="F1616" s="41" t="str">
        <f aca="false">IF(D1616="","",IFERROR(IF(ISNUMBER(SEARCH(Assumptions!$C$5,D1616)),Assumptions!$D$5,IF(ISNUMBER(SEARCH(Assumptions!$C$6,D1616)),Assumptions!$D$6,IF(ISNUMBER(SEARCH(Assumptions!$C$7,D1616)),Assumptions!$D$7,"Other Services"))),"Other Services"))</f>
        <v/>
      </c>
    </row>
    <row r="1617" customFormat="false" ht="15" hidden="false" customHeight="false" outlineLevel="0" collapsed="false">
      <c r="F1617" s="41" t="str">
        <f aca="false">IF(D1617="","",IFERROR(IF(ISNUMBER(SEARCH(Assumptions!$C$5,D1617)),Assumptions!$D$5,IF(ISNUMBER(SEARCH(Assumptions!$C$6,D1617)),Assumptions!$D$6,IF(ISNUMBER(SEARCH(Assumptions!$C$7,D1617)),Assumptions!$D$7,"Other Services"))),"Other Services"))</f>
        <v/>
      </c>
    </row>
    <row r="1618" customFormat="false" ht="15" hidden="false" customHeight="false" outlineLevel="0" collapsed="false">
      <c r="F1618" s="41" t="str">
        <f aca="false">IF(D1618="","",IFERROR(IF(ISNUMBER(SEARCH(Assumptions!$C$5,D1618)),Assumptions!$D$5,IF(ISNUMBER(SEARCH(Assumptions!$C$6,D1618)),Assumptions!$D$6,IF(ISNUMBER(SEARCH(Assumptions!$C$7,D1618)),Assumptions!$D$7,"Other Services"))),"Other Services"))</f>
        <v/>
      </c>
    </row>
    <row r="1619" customFormat="false" ht="15" hidden="false" customHeight="false" outlineLevel="0" collapsed="false">
      <c r="F1619" s="41" t="str">
        <f aca="false">IF(D1619="","",IFERROR(IF(ISNUMBER(SEARCH(Assumptions!$C$5,D1619)),Assumptions!$D$5,IF(ISNUMBER(SEARCH(Assumptions!$C$6,D1619)),Assumptions!$D$6,IF(ISNUMBER(SEARCH(Assumptions!$C$7,D1619)),Assumptions!$D$7,"Other Services"))),"Other Services"))</f>
        <v/>
      </c>
    </row>
    <row r="1620" customFormat="false" ht="15" hidden="false" customHeight="false" outlineLevel="0" collapsed="false">
      <c r="F1620" s="41" t="str">
        <f aca="false">IF(D1620="","",IFERROR(IF(ISNUMBER(SEARCH(Assumptions!$C$5,D1620)),Assumptions!$D$5,IF(ISNUMBER(SEARCH(Assumptions!$C$6,D1620)),Assumptions!$D$6,IF(ISNUMBER(SEARCH(Assumptions!$C$7,D1620)),Assumptions!$D$7,"Other Services"))),"Other Services"))</f>
        <v/>
      </c>
    </row>
    <row r="1621" customFormat="false" ht="15" hidden="false" customHeight="false" outlineLevel="0" collapsed="false">
      <c r="F1621" s="41" t="str">
        <f aca="false">IF(D1621="","",IFERROR(IF(ISNUMBER(SEARCH(Assumptions!$C$5,D1621)),Assumptions!$D$5,IF(ISNUMBER(SEARCH(Assumptions!$C$6,D1621)),Assumptions!$D$6,IF(ISNUMBER(SEARCH(Assumptions!$C$7,D1621)),Assumptions!$D$7,"Other Services"))),"Other Services"))</f>
        <v/>
      </c>
    </row>
    <row r="1622" customFormat="false" ht="15" hidden="false" customHeight="false" outlineLevel="0" collapsed="false">
      <c r="F1622" s="41" t="str">
        <f aca="false">IF(D1622="","",IFERROR(IF(ISNUMBER(SEARCH(Assumptions!$C$5,D1622)),Assumptions!$D$5,IF(ISNUMBER(SEARCH(Assumptions!$C$6,D1622)),Assumptions!$D$6,IF(ISNUMBER(SEARCH(Assumptions!$C$7,D1622)),Assumptions!$D$7,"Other Services"))),"Other Services"))</f>
        <v/>
      </c>
    </row>
    <row r="1623" customFormat="false" ht="15" hidden="false" customHeight="false" outlineLevel="0" collapsed="false">
      <c r="F1623" s="41" t="str">
        <f aca="false">IF(D1623="","",IFERROR(IF(ISNUMBER(SEARCH(Assumptions!$C$5,D1623)),Assumptions!$D$5,IF(ISNUMBER(SEARCH(Assumptions!$C$6,D1623)),Assumptions!$D$6,IF(ISNUMBER(SEARCH(Assumptions!$C$7,D1623)),Assumptions!$D$7,"Other Services"))),"Other Services"))</f>
        <v/>
      </c>
    </row>
    <row r="1624" customFormat="false" ht="15" hidden="false" customHeight="false" outlineLevel="0" collapsed="false">
      <c r="F1624" s="41" t="str">
        <f aca="false">IF(D1624="","",IFERROR(IF(ISNUMBER(SEARCH(Assumptions!$C$5,D1624)),Assumptions!$D$5,IF(ISNUMBER(SEARCH(Assumptions!$C$6,D1624)),Assumptions!$D$6,IF(ISNUMBER(SEARCH(Assumptions!$C$7,D1624)),Assumptions!$D$7,"Other Services"))),"Other Services"))</f>
        <v/>
      </c>
    </row>
    <row r="1625" customFormat="false" ht="15" hidden="false" customHeight="false" outlineLevel="0" collapsed="false">
      <c r="F1625" s="41" t="str">
        <f aca="false">IF(D1625="","",IFERROR(IF(ISNUMBER(SEARCH(Assumptions!$C$5,D1625)),Assumptions!$D$5,IF(ISNUMBER(SEARCH(Assumptions!$C$6,D1625)),Assumptions!$D$6,IF(ISNUMBER(SEARCH(Assumptions!$C$7,D1625)),Assumptions!$D$7,"Other Services"))),"Other Services"))</f>
        <v/>
      </c>
    </row>
    <row r="1626" customFormat="false" ht="15" hidden="false" customHeight="false" outlineLevel="0" collapsed="false">
      <c r="F1626" s="41" t="str">
        <f aca="false">IF(D1626="","",IFERROR(IF(ISNUMBER(SEARCH(Assumptions!$C$5,D1626)),Assumptions!$D$5,IF(ISNUMBER(SEARCH(Assumptions!$C$6,D1626)),Assumptions!$D$6,IF(ISNUMBER(SEARCH(Assumptions!$C$7,D1626)),Assumptions!$D$7,"Other Services"))),"Other Services"))</f>
        <v/>
      </c>
    </row>
    <row r="1627" customFormat="false" ht="15" hidden="false" customHeight="false" outlineLevel="0" collapsed="false">
      <c r="F1627" s="41" t="str">
        <f aca="false">IF(D1627="","",IFERROR(IF(ISNUMBER(SEARCH(Assumptions!$C$5,D1627)),Assumptions!$D$5,IF(ISNUMBER(SEARCH(Assumptions!$C$6,D1627)),Assumptions!$D$6,IF(ISNUMBER(SEARCH(Assumptions!$C$7,D1627)),Assumptions!$D$7,"Other Services"))),"Other Services"))</f>
        <v/>
      </c>
    </row>
    <row r="1628" customFormat="false" ht="15" hidden="false" customHeight="false" outlineLevel="0" collapsed="false">
      <c r="F1628" s="41" t="str">
        <f aca="false">IF(D1628="","",IFERROR(IF(ISNUMBER(SEARCH(Assumptions!$C$5,D1628)),Assumptions!$D$5,IF(ISNUMBER(SEARCH(Assumptions!$C$6,D1628)),Assumptions!$D$6,IF(ISNUMBER(SEARCH(Assumptions!$C$7,D1628)),Assumptions!$D$7,"Other Services"))),"Other Services"))</f>
        <v/>
      </c>
    </row>
    <row r="1629" customFormat="false" ht="15" hidden="false" customHeight="false" outlineLevel="0" collapsed="false">
      <c r="F1629" s="41" t="str">
        <f aca="false">IF(D1629="","",IFERROR(IF(ISNUMBER(SEARCH(Assumptions!$C$5,D1629)),Assumptions!$D$5,IF(ISNUMBER(SEARCH(Assumptions!$C$6,D1629)),Assumptions!$D$6,IF(ISNUMBER(SEARCH(Assumptions!$C$7,D1629)),Assumptions!$D$7,"Other Services"))),"Other Services"))</f>
        <v/>
      </c>
    </row>
    <row r="1630" customFormat="false" ht="15" hidden="false" customHeight="false" outlineLevel="0" collapsed="false">
      <c r="F1630" s="41" t="str">
        <f aca="false">IF(D1630="","",IFERROR(IF(ISNUMBER(SEARCH(Assumptions!$C$5,D1630)),Assumptions!$D$5,IF(ISNUMBER(SEARCH(Assumptions!$C$6,D1630)),Assumptions!$D$6,IF(ISNUMBER(SEARCH(Assumptions!$C$7,D1630)),Assumptions!$D$7,"Other Services"))),"Other Services"))</f>
        <v/>
      </c>
    </row>
    <row r="1631" customFormat="false" ht="15" hidden="false" customHeight="false" outlineLevel="0" collapsed="false">
      <c r="F1631" s="41" t="str">
        <f aca="false">IF(D1631="","",IFERROR(IF(ISNUMBER(SEARCH(Assumptions!$C$5,D1631)),Assumptions!$D$5,IF(ISNUMBER(SEARCH(Assumptions!$C$6,D1631)),Assumptions!$D$6,IF(ISNUMBER(SEARCH(Assumptions!$C$7,D1631)),Assumptions!$D$7,"Other Services"))),"Other Services"))</f>
        <v/>
      </c>
    </row>
    <row r="1632" customFormat="false" ht="15" hidden="false" customHeight="false" outlineLevel="0" collapsed="false">
      <c r="F1632" s="41" t="str">
        <f aca="false">IF(D1632="","",IFERROR(IF(ISNUMBER(SEARCH(Assumptions!$C$5,D1632)),Assumptions!$D$5,IF(ISNUMBER(SEARCH(Assumptions!$C$6,D1632)),Assumptions!$D$6,IF(ISNUMBER(SEARCH(Assumptions!$C$7,D1632)),Assumptions!$D$7,"Other Services"))),"Other Services"))</f>
        <v/>
      </c>
    </row>
    <row r="1633" customFormat="false" ht="15" hidden="false" customHeight="false" outlineLevel="0" collapsed="false">
      <c r="F1633" s="41" t="str">
        <f aca="false">IF(D1633="","",IFERROR(IF(ISNUMBER(SEARCH(Assumptions!$C$5,D1633)),Assumptions!$D$5,IF(ISNUMBER(SEARCH(Assumptions!$C$6,D1633)),Assumptions!$D$6,IF(ISNUMBER(SEARCH(Assumptions!$C$7,D1633)),Assumptions!$D$7,"Other Services"))),"Other Services"))</f>
        <v/>
      </c>
    </row>
    <row r="1634" customFormat="false" ht="15" hidden="false" customHeight="false" outlineLevel="0" collapsed="false">
      <c r="F1634" s="41" t="str">
        <f aca="false">IF(D1634="","",IFERROR(IF(ISNUMBER(SEARCH(Assumptions!$C$5,D1634)),Assumptions!$D$5,IF(ISNUMBER(SEARCH(Assumptions!$C$6,D1634)),Assumptions!$D$6,IF(ISNUMBER(SEARCH(Assumptions!$C$7,D1634)),Assumptions!$D$7,"Other Services"))),"Other Services"))</f>
        <v/>
      </c>
    </row>
    <row r="1635" customFormat="false" ht="15" hidden="false" customHeight="false" outlineLevel="0" collapsed="false">
      <c r="F1635" s="41" t="str">
        <f aca="false">IF(D1635="","",IFERROR(IF(ISNUMBER(SEARCH(Assumptions!$C$5,D1635)),Assumptions!$D$5,IF(ISNUMBER(SEARCH(Assumptions!$C$6,D1635)),Assumptions!$D$6,IF(ISNUMBER(SEARCH(Assumptions!$C$7,D1635)),Assumptions!$D$7,"Other Services"))),"Other Services"))</f>
        <v/>
      </c>
    </row>
    <row r="1636" customFormat="false" ht="15" hidden="false" customHeight="false" outlineLevel="0" collapsed="false">
      <c r="F1636" s="41" t="str">
        <f aca="false">IF(D1636="","",IFERROR(IF(ISNUMBER(SEARCH(Assumptions!$C$5,D1636)),Assumptions!$D$5,IF(ISNUMBER(SEARCH(Assumptions!$C$6,D1636)),Assumptions!$D$6,IF(ISNUMBER(SEARCH(Assumptions!$C$7,D1636)),Assumptions!$D$7,"Other Services"))),"Other Services"))</f>
        <v/>
      </c>
    </row>
    <row r="1637" customFormat="false" ht="15" hidden="false" customHeight="false" outlineLevel="0" collapsed="false">
      <c r="F1637" s="41" t="str">
        <f aca="false">IF(D1637="","",IFERROR(IF(ISNUMBER(SEARCH(Assumptions!$C$5,D1637)),Assumptions!$D$5,IF(ISNUMBER(SEARCH(Assumptions!$C$6,D1637)),Assumptions!$D$6,IF(ISNUMBER(SEARCH(Assumptions!$C$7,D1637)),Assumptions!$D$7,"Other Services"))),"Other Services"))</f>
        <v/>
      </c>
    </row>
    <row r="1638" customFormat="false" ht="15" hidden="false" customHeight="false" outlineLevel="0" collapsed="false">
      <c r="F1638" s="41" t="str">
        <f aca="false">IF(D1638="","",IFERROR(IF(ISNUMBER(SEARCH(Assumptions!$C$5,D1638)),Assumptions!$D$5,IF(ISNUMBER(SEARCH(Assumptions!$C$6,D1638)),Assumptions!$D$6,IF(ISNUMBER(SEARCH(Assumptions!$C$7,D1638)),Assumptions!$D$7,"Other Services"))),"Other Services"))</f>
        <v/>
      </c>
    </row>
    <row r="1639" customFormat="false" ht="15" hidden="false" customHeight="false" outlineLevel="0" collapsed="false">
      <c r="F1639" s="41" t="str">
        <f aca="false">IF(D1639="","",IFERROR(IF(ISNUMBER(SEARCH(Assumptions!$C$5,D1639)),Assumptions!$D$5,IF(ISNUMBER(SEARCH(Assumptions!$C$6,D1639)),Assumptions!$D$6,IF(ISNUMBER(SEARCH(Assumptions!$C$7,D1639)),Assumptions!$D$7,"Other Services"))),"Other Services"))</f>
        <v/>
      </c>
    </row>
    <row r="1640" customFormat="false" ht="15" hidden="false" customHeight="false" outlineLevel="0" collapsed="false">
      <c r="F1640" s="41" t="str">
        <f aca="false">IF(D1640="","",IFERROR(IF(ISNUMBER(SEARCH(Assumptions!$C$5,D1640)),Assumptions!$D$5,IF(ISNUMBER(SEARCH(Assumptions!$C$6,D1640)),Assumptions!$D$6,IF(ISNUMBER(SEARCH(Assumptions!$C$7,D1640)),Assumptions!$D$7,"Other Services"))),"Other Services"))</f>
        <v/>
      </c>
    </row>
    <row r="1641" customFormat="false" ht="15" hidden="false" customHeight="false" outlineLevel="0" collapsed="false">
      <c r="F1641" s="41" t="str">
        <f aca="false">IF(D1641="","",IFERROR(IF(ISNUMBER(SEARCH(Assumptions!$C$5,D1641)),Assumptions!$D$5,IF(ISNUMBER(SEARCH(Assumptions!$C$6,D1641)),Assumptions!$D$6,IF(ISNUMBER(SEARCH(Assumptions!$C$7,D1641)),Assumptions!$D$7,"Other Services"))),"Other Services"))</f>
        <v/>
      </c>
    </row>
    <row r="1642" customFormat="false" ht="15" hidden="false" customHeight="false" outlineLevel="0" collapsed="false">
      <c r="F1642" s="41" t="str">
        <f aca="false">IF(D1642="","",IFERROR(IF(ISNUMBER(SEARCH(Assumptions!$C$5,D1642)),Assumptions!$D$5,IF(ISNUMBER(SEARCH(Assumptions!$C$6,D1642)),Assumptions!$D$6,IF(ISNUMBER(SEARCH(Assumptions!$C$7,D1642)),Assumptions!$D$7,"Other Services"))),"Other Services"))</f>
        <v/>
      </c>
    </row>
    <row r="1643" customFormat="false" ht="15" hidden="false" customHeight="false" outlineLevel="0" collapsed="false">
      <c r="F1643" s="41" t="str">
        <f aca="false">IF(D1643="","",IFERROR(IF(ISNUMBER(SEARCH(Assumptions!$C$5,D1643)),Assumptions!$D$5,IF(ISNUMBER(SEARCH(Assumptions!$C$6,D1643)),Assumptions!$D$6,IF(ISNUMBER(SEARCH(Assumptions!$C$7,D1643)),Assumptions!$D$7,"Other Services"))),"Other Services"))</f>
        <v/>
      </c>
    </row>
    <row r="1644" customFormat="false" ht="15" hidden="false" customHeight="false" outlineLevel="0" collapsed="false">
      <c r="F1644" s="41" t="str">
        <f aca="false">IF(D1644="","",IFERROR(IF(ISNUMBER(SEARCH(Assumptions!$C$5,D1644)),Assumptions!$D$5,IF(ISNUMBER(SEARCH(Assumptions!$C$6,D1644)),Assumptions!$D$6,IF(ISNUMBER(SEARCH(Assumptions!$C$7,D1644)),Assumptions!$D$7,"Other Services"))),"Other Services"))</f>
        <v/>
      </c>
    </row>
    <row r="1645" customFormat="false" ht="15" hidden="false" customHeight="false" outlineLevel="0" collapsed="false">
      <c r="F1645" s="41" t="str">
        <f aca="false">IF(D1645="","",IFERROR(IF(ISNUMBER(SEARCH(Assumptions!$C$5,D1645)),Assumptions!$D$5,IF(ISNUMBER(SEARCH(Assumptions!$C$6,D1645)),Assumptions!$D$6,IF(ISNUMBER(SEARCH(Assumptions!$C$7,D1645)),Assumptions!$D$7,"Other Services"))),"Other Services"))</f>
        <v/>
      </c>
    </row>
    <row r="1646" customFormat="false" ht="15" hidden="false" customHeight="false" outlineLevel="0" collapsed="false">
      <c r="F1646" s="41" t="str">
        <f aca="false">IF(D1646="","",IFERROR(IF(ISNUMBER(SEARCH(Assumptions!$C$5,D1646)),Assumptions!$D$5,IF(ISNUMBER(SEARCH(Assumptions!$C$6,D1646)),Assumptions!$D$6,IF(ISNUMBER(SEARCH(Assumptions!$C$7,D1646)),Assumptions!$D$7,"Other Services"))),"Other Services"))</f>
        <v/>
      </c>
    </row>
    <row r="1647" customFormat="false" ht="15" hidden="false" customHeight="false" outlineLevel="0" collapsed="false">
      <c r="F1647" s="41" t="str">
        <f aca="false">IF(D1647="","",IFERROR(IF(ISNUMBER(SEARCH(Assumptions!$C$5,D1647)),Assumptions!$D$5,IF(ISNUMBER(SEARCH(Assumptions!$C$6,D1647)),Assumptions!$D$6,IF(ISNUMBER(SEARCH(Assumptions!$C$7,D1647)),Assumptions!$D$7,"Other Services"))),"Other Services"))</f>
        <v/>
      </c>
    </row>
    <row r="1648" customFormat="false" ht="15" hidden="false" customHeight="false" outlineLevel="0" collapsed="false">
      <c r="F1648" s="41" t="str">
        <f aca="false">IF(D1648="","",IFERROR(IF(ISNUMBER(SEARCH(Assumptions!$C$5,D1648)),Assumptions!$D$5,IF(ISNUMBER(SEARCH(Assumptions!$C$6,D1648)),Assumptions!$D$6,IF(ISNUMBER(SEARCH(Assumptions!$C$7,D1648)),Assumptions!$D$7,"Other Services"))),"Other Services"))</f>
        <v/>
      </c>
    </row>
    <row r="1649" customFormat="false" ht="15" hidden="false" customHeight="false" outlineLevel="0" collapsed="false">
      <c r="F1649" s="41" t="str">
        <f aca="false">IF(D1649="","",IFERROR(IF(ISNUMBER(SEARCH(Assumptions!$C$5,D1649)),Assumptions!$D$5,IF(ISNUMBER(SEARCH(Assumptions!$C$6,D1649)),Assumptions!$D$6,IF(ISNUMBER(SEARCH(Assumptions!$C$7,D1649)),Assumptions!$D$7,"Other Services"))),"Other Services"))</f>
        <v/>
      </c>
    </row>
    <row r="1650" customFormat="false" ht="15" hidden="false" customHeight="false" outlineLevel="0" collapsed="false">
      <c r="F1650" s="41" t="str">
        <f aca="false">IF(D1650="","",IFERROR(IF(ISNUMBER(SEARCH(Assumptions!$C$5,D1650)),Assumptions!$D$5,IF(ISNUMBER(SEARCH(Assumptions!$C$6,D1650)),Assumptions!$D$6,IF(ISNUMBER(SEARCH(Assumptions!$C$7,D1650)),Assumptions!$D$7,"Other Services"))),"Other Services"))</f>
        <v/>
      </c>
    </row>
    <row r="1651" customFormat="false" ht="15" hidden="false" customHeight="false" outlineLevel="0" collapsed="false">
      <c r="F1651" s="41" t="str">
        <f aca="false">IF(D1651="","",IFERROR(IF(ISNUMBER(SEARCH(Assumptions!$C$5,D1651)),Assumptions!$D$5,IF(ISNUMBER(SEARCH(Assumptions!$C$6,D1651)),Assumptions!$D$6,IF(ISNUMBER(SEARCH(Assumptions!$C$7,D1651)),Assumptions!$D$7,"Other Services"))),"Other Services"))</f>
        <v/>
      </c>
    </row>
    <row r="1652" customFormat="false" ht="15" hidden="false" customHeight="false" outlineLevel="0" collapsed="false">
      <c r="F1652" s="41" t="str">
        <f aca="false">IF(D1652="","",IFERROR(IF(ISNUMBER(SEARCH(Assumptions!$C$5,D1652)),Assumptions!$D$5,IF(ISNUMBER(SEARCH(Assumptions!$C$6,D1652)),Assumptions!$D$6,IF(ISNUMBER(SEARCH(Assumptions!$C$7,D1652)),Assumptions!$D$7,"Other Services"))),"Other Services"))</f>
        <v/>
      </c>
    </row>
    <row r="1653" customFormat="false" ht="15" hidden="false" customHeight="false" outlineLevel="0" collapsed="false">
      <c r="F1653" s="41" t="str">
        <f aca="false">IF(D1653="","",IFERROR(IF(ISNUMBER(SEARCH(Assumptions!$C$5,D1653)),Assumptions!$D$5,IF(ISNUMBER(SEARCH(Assumptions!$C$6,D1653)),Assumptions!$D$6,IF(ISNUMBER(SEARCH(Assumptions!$C$7,D1653)),Assumptions!$D$7,"Other Services"))),"Other Services"))</f>
        <v/>
      </c>
    </row>
    <row r="1654" customFormat="false" ht="15" hidden="false" customHeight="false" outlineLevel="0" collapsed="false">
      <c r="F1654" s="41" t="str">
        <f aca="false">IF(D1654="","",IFERROR(IF(ISNUMBER(SEARCH(Assumptions!$C$5,D1654)),Assumptions!$D$5,IF(ISNUMBER(SEARCH(Assumptions!$C$6,D1654)),Assumptions!$D$6,IF(ISNUMBER(SEARCH(Assumptions!$C$7,D1654)),Assumptions!$D$7,"Other Services"))),"Other Services"))</f>
        <v/>
      </c>
    </row>
    <row r="1655" customFormat="false" ht="15" hidden="false" customHeight="false" outlineLevel="0" collapsed="false">
      <c r="F1655" s="41" t="str">
        <f aca="false">IF(D1655="","",IFERROR(IF(ISNUMBER(SEARCH(Assumptions!$C$5,D1655)),Assumptions!$D$5,IF(ISNUMBER(SEARCH(Assumptions!$C$6,D1655)),Assumptions!$D$6,IF(ISNUMBER(SEARCH(Assumptions!$C$7,D1655)),Assumptions!$D$7,"Other Services"))),"Other Services"))</f>
        <v/>
      </c>
    </row>
    <row r="1656" customFormat="false" ht="15" hidden="false" customHeight="false" outlineLevel="0" collapsed="false">
      <c r="F1656" s="41" t="str">
        <f aca="false">IF(D1656="","",IFERROR(IF(ISNUMBER(SEARCH(Assumptions!$C$5,D1656)),Assumptions!$D$5,IF(ISNUMBER(SEARCH(Assumptions!$C$6,D1656)),Assumptions!$D$6,IF(ISNUMBER(SEARCH(Assumptions!$C$7,D1656)),Assumptions!$D$7,"Other Services"))),"Other Services"))</f>
        <v/>
      </c>
    </row>
    <row r="1657" customFormat="false" ht="15" hidden="false" customHeight="false" outlineLevel="0" collapsed="false">
      <c r="F1657" s="41" t="str">
        <f aca="false">IF(D1657="","",IFERROR(IF(ISNUMBER(SEARCH(Assumptions!$C$5,D1657)),Assumptions!$D$5,IF(ISNUMBER(SEARCH(Assumptions!$C$6,D1657)),Assumptions!$D$6,IF(ISNUMBER(SEARCH(Assumptions!$C$7,D1657)),Assumptions!$D$7,"Other Services"))),"Other Services"))</f>
        <v/>
      </c>
    </row>
    <row r="1658" customFormat="false" ht="15" hidden="false" customHeight="false" outlineLevel="0" collapsed="false">
      <c r="F1658" s="41" t="str">
        <f aca="false">IF(D1658="","",IFERROR(IF(ISNUMBER(SEARCH(Assumptions!$C$5,D1658)),Assumptions!$D$5,IF(ISNUMBER(SEARCH(Assumptions!$C$6,D1658)),Assumptions!$D$6,IF(ISNUMBER(SEARCH(Assumptions!$C$7,D1658)),Assumptions!$D$7,"Other Services"))),"Other Services"))</f>
        <v/>
      </c>
    </row>
    <row r="1659" customFormat="false" ht="15" hidden="false" customHeight="false" outlineLevel="0" collapsed="false">
      <c r="F1659" s="41" t="str">
        <f aca="false">IF(D1659="","",IFERROR(IF(ISNUMBER(SEARCH(Assumptions!$C$5,D1659)),Assumptions!$D$5,IF(ISNUMBER(SEARCH(Assumptions!$C$6,D1659)),Assumptions!$D$6,IF(ISNUMBER(SEARCH(Assumptions!$C$7,D1659)),Assumptions!$D$7,"Other Services"))),"Other Services"))</f>
        <v/>
      </c>
    </row>
    <row r="1660" customFormat="false" ht="15" hidden="false" customHeight="false" outlineLevel="0" collapsed="false">
      <c r="F1660" s="41" t="str">
        <f aca="false">IF(D1660="","",IFERROR(IF(ISNUMBER(SEARCH(Assumptions!$C$5,D1660)),Assumptions!$D$5,IF(ISNUMBER(SEARCH(Assumptions!$C$6,D1660)),Assumptions!$D$6,IF(ISNUMBER(SEARCH(Assumptions!$C$7,D1660)),Assumptions!$D$7,"Other Services"))),"Other Services"))</f>
        <v/>
      </c>
    </row>
    <row r="1661" customFormat="false" ht="15" hidden="false" customHeight="false" outlineLevel="0" collapsed="false">
      <c r="F1661" s="41" t="str">
        <f aca="false">IF(D1661="","",IFERROR(IF(ISNUMBER(SEARCH(Assumptions!$C$5,D1661)),Assumptions!$D$5,IF(ISNUMBER(SEARCH(Assumptions!$C$6,D1661)),Assumptions!$D$6,IF(ISNUMBER(SEARCH(Assumptions!$C$7,D1661)),Assumptions!$D$7,"Other Services"))),"Other Services"))</f>
        <v/>
      </c>
    </row>
    <row r="1662" customFormat="false" ht="15" hidden="false" customHeight="false" outlineLevel="0" collapsed="false">
      <c r="F1662" s="41" t="str">
        <f aca="false">IF(D1662="","",IFERROR(IF(ISNUMBER(SEARCH(Assumptions!$C$5,D1662)),Assumptions!$D$5,IF(ISNUMBER(SEARCH(Assumptions!$C$6,D1662)),Assumptions!$D$6,IF(ISNUMBER(SEARCH(Assumptions!$C$7,D1662)),Assumptions!$D$7,"Other Services"))),"Other Services"))</f>
        <v/>
      </c>
    </row>
    <row r="1663" customFormat="false" ht="15" hidden="false" customHeight="false" outlineLevel="0" collapsed="false">
      <c r="F1663" s="41" t="str">
        <f aca="false">IF(D1663="","",IFERROR(IF(ISNUMBER(SEARCH(Assumptions!$C$5,D1663)),Assumptions!$D$5,IF(ISNUMBER(SEARCH(Assumptions!$C$6,D1663)),Assumptions!$D$6,IF(ISNUMBER(SEARCH(Assumptions!$C$7,D1663)),Assumptions!$D$7,"Other Services"))),"Other Services"))</f>
        <v/>
      </c>
    </row>
    <row r="1664" customFormat="false" ht="15" hidden="false" customHeight="false" outlineLevel="0" collapsed="false">
      <c r="F1664" s="41" t="str">
        <f aca="false">IF(D1664="","",IFERROR(IF(ISNUMBER(SEARCH(Assumptions!$C$5,D1664)),Assumptions!$D$5,IF(ISNUMBER(SEARCH(Assumptions!$C$6,D1664)),Assumptions!$D$6,IF(ISNUMBER(SEARCH(Assumptions!$C$7,D1664)),Assumptions!$D$7,"Other Services"))),"Other Services"))</f>
        <v/>
      </c>
    </row>
    <row r="1665" customFormat="false" ht="15" hidden="false" customHeight="false" outlineLevel="0" collapsed="false">
      <c r="F1665" s="41" t="str">
        <f aca="false">IF(D1665="","",IFERROR(IF(ISNUMBER(SEARCH(Assumptions!$C$5,D1665)),Assumptions!$D$5,IF(ISNUMBER(SEARCH(Assumptions!$C$6,D1665)),Assumptions!$D$6,IF(ISNUMBER(SEARCH(Assumptions!$C$7,D1665)),Assumptions!$D$7,"Other Services"))),"Other Services"))</f>
        <v/>
      </c>
    </row>
    <row r="1666" customFormat="false" ht="15" hidden="false" customHeight="false" outlineLevel="0" collapsed="false">
      <c r="F1666" s="41" t="str">
        <f aca="false">IF(D1666="","",IFERROR(IF(ISNUMBER(SEARCH(Assumptions!$C$5,D1666)),Assumptions!$D$5,IF(ISNUMBER(SEARCH(Assumptions!$C$6,D1666)),Assumptions!$D$6,IF(ISNUMBER(SEARCH(Assumptions!$C$7,D1666)),Assumptions!$D$7,"Other Services"))),"Other Services"))</f>
        <v/>
      </c>
    </row>
    <row r="1667" customFormat="false" ht="15" hidden="false" customHeight="false" outlineLevel="0" collapsed="false">
      <c r="F1667" s="41" t="str">
        <f aca="false">IF(D1667="","",IFERROR(IF(ISNUMBER(SEARCH(Assumptions!$C$5,D1667)),Assumptions!$D$5,IF(ISNUMBER(SEARCH(Assumptions!$C$6,D1667)),Assumptions!$D$6,IF(ISNUMBER(SEARCH(Assumptions!$C$7,D1667)),Assumptions!$D$7,"Other Services"))),"Other Services"))</f>
        <v/>
      </c>
    </row>
    <row r="1668" customFormat="false" ht="15" hidden="false" customHeight="false" outlineLevel="0" collapsed="false">
      <c r="F1668" s="41" t="str">
        <f aca="false">IF(D1668="","",IFERROR(IF(ISNUMBER(SEARCH(Assumptions!$C$5,D1668)),Assumptions!$D$5,IF(ISNUMBER(SEARCH(Assumptions!$C$6,D1668)),Assumptions!$D$6,IF(ISNUMBER(SEARCH(Assumptions!$C$7,D1668)),Assumptions!$D$7,"Other Services"))),"Other Services"))</f>
        <v/>
      </c>
    </row>
    <row r="1669" customFormat="false" ht="15" hidden="false" customHeight="false" outlineLevel="0" collapsed="false">
      <c r="F1669" s="41" t="str">
        <f aca="false">IF(D1669="","",IFERROR(IF(ISNUMBER(SEARCH(Assumptions!$C$5,D1669)),Assumptions!$D$5,IF(ISNUMBER(SEARCH(Assumptions!$C$6,D1669)),Assumptions!$D$6,IF(ISNUMBER(SEARCH(Assumptions!$C$7,D1669)),Assumptions!$D$7,"Other Services"))),"Other Services"))</f>
        <v/>
      </c>
    </row>
    <row r="1670" customFormat="false" ht="15" hidden="false" customHeight="false" outlineLevel="0" collapsed="false">
      <c r="F1670" s="41" t="str">
        <f aca="false">IF(D1670="","",IFERROR(IF(ISNUMBER(SEARCH(Assumptions!$C$5,D1670)),Assumptions!$D$5,IF(ISNUMBER(SEARCH(Assumptions!$C$6,D1670)),Assumptions!$D$6,IF(ISNUMBER(SEARCH(Assumptions!$C$7,D1670)),Assumptions!$D$7,"Other Services"))),"Other Services"))</f>
        <v/>
      </c>
    </row>
    <row r="1671" customFormat="false" ht="15" hidden="false" customHeight="false" outlineLevel="0" collapsed="false">
      <c r="F1671" s="41" t="str">
        <f aca="false">IF(D1671="","",IFERROR(IF(ISNUMBER(SEARCH(Assumptions!$C$5,D1671)),Assumptions!$D$5,IF(ISNUMBER(SEARCH(Assumptions!$C$6,D1671)),Assumptions!$D$6,IF(ISNUMBER(SEARCH(Assumptions!$C$7,D1671)),Assumptions!$D$7,"Other Services"))),"Other Services"))</f>
        <v/>
      </c>
    </row>
    <row r="1672" customFormat="false" ht="15" hidden="false" customHeight="false" outlineLevel="0" collapsed="false">
      <c r="F1672" s="41" t="str">
        <f aca="false">IF(D1672="","",IFERROR(IF(ISNUMBER(SEARCH(Assumptions!$C$5,D1672)),Assumptions!$D$5,IF(ISNUMBER(SEARCH(Assumptions!$C$6,D1672)),Assumptions!$D$6,IF(ISNUMBER(SEARCH(Assumptions!$C$7,D1672)),Assumptions!$D$7,"Other Services"))),"Other Services"))</f>
        <v/>
      </c>
    </row>
    <row r="1673" customFormat="false" ht="15" hidden="false" customHeight="false" outlineLevel="0" collapsed="false">
      <c r="F1673" s="41" t="str">
        <f aca="false">IF(D1673="","",IFERROR(IF(ISNUMBER(SEARCH(Assumptions!$C$5,D1673)),Assumptions!$D$5,IF(ISNUMBER(SEARCH(Assumptions!$C$6,D1673)),Assumptions!$D$6,IF(ISNUMBER(SEARCH(Assumptions!$C$7,D1673)),Assumptions!$D$7,"Other Services"))),"Other Services"))</f>
        <v/>
      </c>
    </row>
    <row r="1674" customFormat="false" ht="15" hidden="false" customHeight="false" outlineLevel="0" collapsed="false">
      <c r="F1674" s="41" t="str">
        <f aca="false">IF(D1674="","",IFERROR(IF(ISNUMBER(SEARCH(Assumptions!$C$5,D1674)),Assumptions!$D$5,IF(ISNUMBER(SEARCH(Assumptions!$C$6,D1674)),Assumptions!$D$6,IF(ISNUMBER(SEARCH(Assumptions!$C$7,D1674)),Assumptions!$D$7,"Other Services"))),"Other Services"))</f>
        <v/>
      </c>
    </row>
    <row r="1675" customFormat="false" ht="15" hidden="false" customHeight="false" outlineLevel="0" collapsed="false">
      <c r="F1675" s="41" t="str">
        <f aca="false">IF(D1675="","",IFERROR(IF(ISNUMBER(SEARCH(Assumptions!$C$5,D1675)),Assumptions!$D$5,IF(ISNUMBER(SEARCH(Assumptions!$C$6,D1675)),Assumptions!$D$6,IF(ISNUMBER(SEARCH(Assumptions!$C$7,D1675)),Assumptions!$D$7,"Other Services"))),"Other Services"))</f>
        <v/>
      </c>
    </row>
    <row r="1676" customFormat="false" ht="15" hidden="false" customHeight="false" outlineLevel="0" collapsed="false">
      <c r="F1676" s="41" t="str">
        <f aca="false">IF(D1676="","",IFERROR(IF(ISNUMBER(SEARCH(Assumptions!$C$5,D1676)),Assumptions!$D$5,IF(ISNUMBER(SEARCH(Assumptions!$C$6,D1676)),Assumptions!$D$6,IF(ISNUMBER(SEARCH(Assumptions!$C$7,D1676)),Assumptions!$D$7,"Other Services"))),"Other Services"))</f>
        <v/>
      </c>
    </row>
    <row r="1677" customFormat="false" ht="15" hidden="false" customHeight="false" outlineLevel="0" collapsed="false">
      <c r="F1677" s="41" t="str">
        <f aca="false">IF(D1677="","",IFERROR(IF(ISNUMBER(SEARCH(Assumptions!$C$5,D1677)),Assumptions!$D$5,IF(ISNUMBER(SEARCH(Assumptions!$C$6,D1677)),Assumptions!$D$6,IF(ISNUMBER(SEARCH(Assumptions!$C$7,D1677)),Assumptions!$D$7,"Other Services"))),"Other Services"))</f>
        <v/>
      </c>
    </row>
    <row r="1678" customFormat="false" ht="15" hidden="false" customHeight="false" outlineLevel="0" collapsed="false">
      <c r="F1678" s="41" t="str">
        <f aca="false">IF(D1678="","",IFERROR(IF(ISNUMBER(SEARCH(Assumptions!$C$5,D1678)),Assumptions!$D$5,IF(ISNUMBER(SEARCH(Assumptions!$C$6,D1678)),Assumptions!$D$6,IF(ISNUMBER(SEARCH(Assumptions!$C$7,D1678)),Assumptions!$D$7,"Other Services"))),"Other Services"))</f>
        <v/>
      </c>
    </row>
    <row r="1679" customFormat="false" ht="15" hidden="false" customHeight="false" outlineLevel="0" collapsed="false">
      <c r="F1679" s="41" t="str">
        <f aca="false">IF(D1679="","",IFERROR(IF(ISNUMBER(SEARCH(Assumptions!$C$5,D1679)),Assumptions!$D$5,IF(ISNUMBER(SEARCH(Assumptions!$C$6,D1679)),Assumptions!$D$6,IF(ISNUMBER(SEARCH(Assumptions!$C$7,D1679)),Assumptions!$D$7,"Other Services"))),"Other Services"))</f>
        <v/>
      </c>
    </row>
    <row r="1680" customFormat="false" ht="15" hidden="false" customHeight="false" outlineLevel="0" collapsed="false">
      <c r="F1680" s="41" t="str">
        <f aca="false">IF(D1680="","",IFERROR(IF(ISNUMBER(SEARCH(Assumptions!$C$5,D1680)),Assumptions!$D$5,IF(ISNUMBER(SEARCH(Assumptions!$C$6,D1680)),Assumptions!$D$6,IF(ISNUMBER(SEARCH(Assumptions!$C$7,D1680)),Assumptions!$D$7,"Other Services"))),"Other Services"))</f>
        <v/>
      </c>
    </row>
    <row r="1681" customFormat="false" ht="15" hidden="false" customHeight="false" outlineLevel="0" collapsed="false">
      <c r="F1681" s="41" t="str">
        <f aca="false">IF(D1681="","",IFERROR(IF(ISNUMBER(SEARCH(Assumptions!$C$5,D1681)),Assumptions!$D$5,IF(ISNUMBER(SEARCH(Assumptions!$C$6,D1681)),Assumptions!$D$6,IF(ISNUMBER(SEARCH(Assumptions!$C$7,D1681)),Assumptions!$D$7,"Other Services"))),"Other Services"))</f>
        <v/>
      </c>
    </row>
    <row r="1682" customFormat="false" ht="15" hidden="false" customHeight="false" outlineLevel="0" collapsed="false">
      <c r="F1682" s="41" t="str">
        <f aca="false">IF(D1682="","",IFERROR(IF(ISNUMBER(SEARCH(Assumptions!$C$5,D1682)),Assumptions!$D$5,IF(ISNUMBER(SEARCH(Assumptions!$C$6,D1682)),Assumptions!$D$6,IF(ISNUMBER(SEARCH(Assumptions!$C$7,D1682)),Assumptions!$D$7,"Other Services"))),"Other Services"))</f>
        <v/>
      </c>
    </row>
    <row r="1683" customFormat="false" ht="15" hidden="false" customHeight="false" outlineLevel="0" collapsed="false">
      <c r="F1683" s="41" t="str">
        <f aca="false">IF(D1683="","",IFERROR(IF(ISNUMBER(SEARCH(Assumptions!$C$5,D1683)),Assumptions!$D$5,IF(ISNUMBER(SEARCH(Assumptions!$C$6,D1683)),Assumptions!$D$6,IF(ISNUMBER(SEARCH(Assumptions!$C$7,D1683)),Assumptions!$D$7,"Other Services"))),"Other Services"))</f>
        <v/>
      </c>
    </row>
    <row r="1684" customFormat="false" ht="15" hidden="false" customHeight="false" outlineLevel="0" collapsed="false">
      <c r="F1684" s="41" t="str">
        <f aca="false">IF(D1684="","",IFERROR(IF(ISNUMBER(SEARCH(Assumptions!$C$5,D1684)),Assumptions!$D$5,IF(ISNUMBER(SEARCH(Assumptions!$C$6,D1684)),Assumptions!$D$6,IF(ISNUMBER(SEARCH(Assumptions!$C$7,D1684)),Assumptions!$D$7,"Other Services"))),"Other Services"))</f>
        <v/>
      </c>
    </row>
    <row r="1685" customFormat="false" ht="15" hidden="false" customHeight="false" outlineLevel="0" collapsed="false">
      <c r="F1685" s="41" t="str">
        <f aca="false">IF(D1685="","",IFERROR(IF(ISNUMBER(SEARCH(Assumptions!$C$5,D1685)),Assumptions!$D$5,IF(ISNUMBER(SEARCH(Assumptions!$C$6,D1685)),Assumptions!$D$6,IF(ISNUMBER(SEARCH(Assumptions!$C$7,D1685)),Assumptions!$D$7,"Other Services"))),"Other Services"))</f>
        <v/>
      </c>
    </row>
    <row r="1686" customFormat="false" ht="15" hidden="false" customHeight="false" outlineLevel="0" collapsed="false">
      <c r="F1686" s="41" t="str">
        <f aca="false">IF(D1686="","",IFERROR(IF(ISNUMBER(SEARCH(Assumptions!$C$5,D1686)),Assumptions!$D$5,IF(ISNUMBER(SEARCH(Assumptions!$C$6,D1686)),Assumptions!$D$6,IF(ISNUMBER(SEARCH(Assumptions!$C$7,D1686)),Assumptions!$D$7,"Other Services"))),"Other Services"))</f>
        <v/>
      </c>
    </row>
    <row r="1687" customFormat="false" ht="15" hidden="false" customHeight="false" outlineLevel="0" collapsed="false">
      <c r="F1687" s="41" t="str">
        <f aca="false">IF(D1687="","",IFERROR(IF(ISNUMBER(SEARCH(Assumptions!$C$5,D1687)),Assumptions!$D$5,IF(ISNUMBER(SEARCH(Assumptions!$C$6,D1687)),Assumptions!$D$6,IF(ISNUMBER(SEARCH(Assumptions!$C$7,D1687)),Assumptions!$D$7,"Other Services"))),"Other Services"))</f>
        <v/>
      </c>
    </row>
    <row r="1688" customFormat="false" ht="15" hidden="false" customHeight="false" outlineLevel="0" collapsed="false">
      <c r="F1688" s="41" t="str">
        <f aca="false">IF(D1688="","",IFERROR(IF(ISNUMBER(SEARCH(Assumptions!$C$5,D1688)),Assumptions!$D$5,IF(ISNUMBER(SEARCH(Assumptions!$C$6,D1688)),Assumptions!$D$6,IF(ISNUMBER(SEARCH(Assumptions!$C$7,D1688)),Assumptions!$D$7,"Other Services"))),"Other Services"))</f>
        <v/>
      </c>
    </row>
    <row r="1689" customFormat="false" ht="15" hidden="false" customHeight="false" outlineLevel="0" collapsed="false">
      <c r="F1689" s="41" t="str">
        <f aca="false">IF(D1689="","",IFERROR(IF(ISNUMBER(SEARCH(Assumptions!$C$5,D1689)),Assumptions!$D$5,IF(ISNUMBER(SEARCH(Assumptions!$C$6,D1689)),Assumptions!$D$6,IF(ISNUMBER(SEARCH(Assumptions!$C$7,D1689)),Assumptions!$D$7,"Other Services"))),"Other Services"))</f>
        <v/>
      </c>
    </row>
    <row r="1690" customFormat="false" ht="15" hidden="false" customHeight="false" outlineLevel="0" collapsed="false">
      <c r="F1690" s="41" t="str">
        <f aca="false">IF(D1690="","",IFERROR(IF(ISNUMBER(SEARCH(Assumptions!$C$5,D1690)),Assumptions!$D$5,IF(ISNUMBER(SEARCH(Assumptions!$C$6,D1690)),Assumptions!$D$6,IF(ISNUMBER(SEARCH(Assumptions!$C$7,D1690)),Assumptions!$D$7,"Other Services"))),"Other Services"))</f>
        <v/>
      </c>
    </row>
    <row r="1691" customFormat="false" ht="15" hidden="false" customHeight="false" outlineLevel="0" collapsed="false">
      <c r="F1691" s="41" t="str">
        <f aca="false">IF(D1691="","",IFERROR(IF(ISNUMBER(SEARCH(Assumptions!$C$5,D1691)),Assumptions!$D$5,IF(ISNUMBER(SEARCH(Assumptions!$C$6,D1691)),Assumptions!$D$6,IF(ISNUMBER(SEARCH(Assumptions!$C$7,D1691)),Assumptions!$D$7,"Other Services"))),"Other Services"))</f>
        <v/>
      </c>
    </row>
    <row r="1692" customFormat="false" ht="15" hidden="false" customHeight="false" outlineLevel="0" collapsed="false">
      <c r="F1692" s="41" t="str">
        <f aca="false">IF(D1692="","",IFERROR(IF(ISNUMBER(SEARCH(Assumptions!$C$5,D1692)),Assumptions!$D$5,IF(ISNUMBER(SEARCH(Assumptions!$C$6,D1692)),Assumptions!$D$6,IF(ISNUMBER(SEARCH(Assumptions!$C$7,D1692)),Assumptions!$D$7,"Other Services"))),"Other Services"))</f>
        <v/>
      </c>
    </row>
    <row r="1693" customFormat="false" ht="15" hidden="false" customHeight="false" outlineLevel="0" collapsed="false">
      <c r="F1693" s="41" t="str">
        <f aca="false">IF(D1693="","",IFERROR(IF(ISNUMBER(SEARCH(Assumptions!$C$5,D1693)),Assumptions!$D$5,IF(ISNUMBER(SEARCH(Assumptions!$C$6,D1693)),Assumptions!$D$6,IF(ISNUMBER(SEARCH(Assumptions!$C$7,D1693)),Assumptions!$D$7,"Other Services"))),"Other Services"))</f>
        <v/>
      </c>
    </row>
    <row r="1694" customFormat="false" ht="15" hidden="false" customHeight="false" outlineLevel="0" collapsed="false">
      <c r="F1694" s="41" t="str">
        <f aca="false">IF(D1694="","",IFERROR(IF(ISNUMBER(SEARCH(Assumptions!$C$5,D1694)),Assumptions!$D$5,IF(ISNUMBER(SEARCH(Assumptions!$C$6,D1694)),Assumptions!$D$6,IF(ISNUMBER(SEARCH(Assumptions!$C$7,D1694)),Assumptions!$D$7,"Other Services"))),"Other Services"))</f>
        <v/>
      </c>
    </row>
    <row r="1695" customFormat="false" ht="15" hidden="false" customHeight="false" outlineLevel="0" collapsed="false">
      <c r="F1695" s="41" t="str">
        <f aca="false">IF(D1695="","",IFERROR(IF(ISNUMBER(SEARCH(Assumptions!$C$5,D1695)),Assumptions!$D$5,IF(ISNUMBER(SEARCH(Assumptions!$C$6,D1695)),Assumptions!$D$6,IF(ISNUMBER(SEARCH(Assumptions!$C$7,D1695)),Assumptions!$D$7,"Other Services"))),"Other Services"))</f>
        <v/>
      </c>
    </row>
    <row r="1696" customFormat="false" ht="15" hidden="false" customHeight="false" outlineLevel="0" collapsed="false">
      <c r="F1696" s="41" t="str">
        <f aca="false">IF(D1696="","",IFERROR(IF(ISNUMBER(SEARCH(Assumptions!$C$5,D1696)),Assumptions!$D$5,IF(ISNUMBER(SEARCH(Assumptions!$C$6,D1696)),Assumptions!$D$6,IF(ISNUMBER(SEARCH(Assumptions!$C$7,D1696)),Assumptions!$D$7,"Other Services"))),"Other Services"))</f>
        <v/>
      </c>
    </row>
    <row r="1697" customFormat="false" ht="15" hidden="false" customHeight="false" outlineLevel="0" collapsed="false">
      <c r="F1697" s="41" t="str">
        <f aca="false">IF(D1697="","",IFERROR(IF(ISNUMBER(SEARCH(Assumptions!$C$5,D1697)),Assumptions!$D$5,IF(ISNUMBER(SEARCH(Assumptions!$C$6,D1697)),Assumptions!$D$6,IF(ISNUMBER(SEARCH(Assumptions!$C$7,D1697)),Assumptions!$D$7,"Other Services"))),"Other Services"))</f>
        <v/>
      </c>
    </row>
    <row r="1698" customFormat="false" ht="15" hidden="false" customHeight="false" outlineLevel="0" collapsed="false">
      <c r="F1698" s="41" t="str">
        <f aca="false">IF(D1698="","",IFERROR(IF(ISNUMBER(SEARCH(Assumptions!$C$5,D1698)),Assumptions!$D$5,IF(ISNUMBER(SEARCH(Assumptions!$C$6,D1698)),Assumptions!$D$6,IF(ISNUMBER(SEARCH(Assumptions!$C$7,D1698)),Assumptions!$D$7,"Other Services"))),"Other Services"))</f>
        <v/>
      </c>
    </row>
    <row r="1699" customFormat="false" ht="15" hidden="false" customHeight="false" outlineLevel="0" collapsed="false">
      <c r="F1699" s="41" t="str">
        <f aca="false">IF(D1699="","",IFERROR(IF(ISNUMBER(SEARCH(Assumptions!$C$5,D1699)),Assumptions!$D$5,IF(ISNUMBER(SEARCH(Assumptions!$C$6,D1699)),Assumptions!$D$6,IF(ISNUMBER(SEARCH(Assumptions!$C$7,D1699)),Assumptions!$D$7,"Other Services"))),"Other Services"))</f>
        <v/>
      </c>
    </row>
    <row r="1700" customFormat="false" ht="15" hidden="false" customHeight="false" outlineLevel="0" collapsed="false">
      <c r="F1700" s="41" t="str">
        <f aca="false">IF(D1700="","",IFERROR(IF(ISNUMBER(SEARCH(Assumptions!$C$5,D1700)),Assumptions!$D$5,IF(ISNUMBER(SEARCH(Assumptions!$C$6,D1700)),Assumptions!$D$6,IF(ISNUMBER(SEARCH(Assumptions!$C$7,D1700)),Assumptions!$D$7,"Other Services"))),"Other Services"))</f>
        <v/>
      </c>
    </row>
    <row r="1701" customFormat="false" ht="15" hidden="false" customHeight="false" outlineLevel="0" collapsed="false">
      <c r="F1701" s="41" t="str">
        <f aca="false">IF(D1701="","",IFERROR(IF(ISNUMBER(SEARCH(Assumptions!$C$5,D1701)),Assumptions!$D$5,IF(ISNUMBER(SEARCH(Assumptions!$C$6,D1701)),Assumptions!$D$6,IF(ISNUMBER(SEARCH(Assumptions!$C$7,D1701)),Assumptions!$D$7,"Other Services"))),"Other Services"))</f>
        <v/>
      </c>
    </row>
    <row r="1702" customFormat="false" ht="15" hidden="false" customHeight="false" outlineLevel="0" collapsed="false">
      <c r="F1702" s="41" t="str">
        <f aca="false">IF(D1702="","",IFERROR(IF(ISNUMBER(SEARCH(Assumptions!$C$5,D1702)),Assumptions!$D$5,IF(ISNUMBER(SEARCH(Assumptions!$C$6,D1702)),Assumptions!$D$6,IF(ISNUMBER(SEARCH(Assumptions!$C$7,D1702)),Assumptions!$D$7,"Other Services"))),"Other Services"))</f>
        <v/>
      </c>
    </row>
    <row r="1703" customFormat="false" ht="15" hidden="false" customHeight="false" outlineLevel="0" collapsed="false">
      <c r="F1703" s="41" t="str">
        <f aca="false">IF(D1703="","",IFERROR(IF(ISNUMBER(SEARCH(Assumptions!$C$5,D1703)),Assumptions!$D$5,IF(ISNUMBER(SEARCH(Assumptions!$C$6,D1703)),Assumptions!$D$6,IF(ISNUMBER(SEARCH(Assumptions!$C$7,D1703)),Assumptions!$D$7,"Other Services"))),"Other Services"))</f>
        <v/>
      </c>
    </row>
    <row r="1704" customFormat="false" ht="15" hidden="false" customHeight="false" outlineLevel="0" collapsed="false">
      <c r="F1704" s="41" t="str">
        <f aca="false">IF(D1704="","",IFERROR(IF(ISNUMBER(SEARCH(Assumptions!$C$5,D1704)),Assumptions!$D$5,IF(ISNUMBER(SEARCH(Assumptions!$C$6,D1704)),Assumptions!$D$6,IF(ISNUMBER(SEARCH(Assumptions!$C$7,D1704)),Assumptions!$D$7,"Other Services"))),"Other Services"))</f>
        <v/>
      </c>
    </row>
    <row r="1705" customFormat="false" ht="15" hidden="false" customHeight="false" outlineLevel="0" collapsed="false">
      <c r="F1705" s="41" t="str">
        <f aca="false">IF(D1705="","",IFERROR(IF(ISNUMBER(SEARCH(Assumptions!$C$5,D1705)),Assumptions!$D$5,IF(ISNUMBER(SEARCH(Assumptions!$C$6,D1705)),Assumptions!$D$6,IF(ISNUMBER(SEARCH(Assumptions!$C$7,D1705)),Assumptions!$D$7,"Other Services"))),"Other Services"))</f>
        <v/>
      </c>
    </row>
    <row r="1706" customFormat="false" ht="15" hidden="false" customHeight="false" outlineLevel="0" collapsed="false">
      <c r="F1706" s="41" t="str">
        <f aca="false">IF(D1706="","",IFERROR(IF(ISNUMBER(SEARCH(Assumptions!$C$5,D1706)),Assumptions!$D$5,IF(ISNUMBER(SEARCH(Assumptions!$C$6,D1706)),Assumptions!$D$6,IF(ISNUMBER(SEARCH(Assumptions!$C$7,D1706)),Assumptions!$D$7,"Other Services"))),"Other Services"))</f>
        <v/>
      </c>
    </row>
    <row r="1707" customFormat="false" ht="15" hidden="false" customHeight="false" outlineLevel="0" collapsed="false">
      <c r="F1707" s="41" t="str">
        <f aca="false">IF(D1707="","",IFERROR(IF(ISNUMBER(SEARCH(Assumptions!$C$5,D1707)),Assumptions!$D$5,IF(ISNUMBER(SEARCH(Assumptions!$C$6,D1707)),Assumptions!$D$6,IF(ISNUMBER(SEARCH(Assumptions!$C$7,D1707)),Assumptions!$D$7,"Other Services"))),"Other Services"))</f>
        <v/>
      </c>
    </row>
    <row r="1708" customFormat="false" ht="15" hidden="false" customHeight="false" outlineLevel="0" collapsed="false">
      <c r="F1708" s="41" t="str">
        <f aca="false">IF(D1708="","",IFERROR(IF(ISNUMBER(SEARCH(Assumptions!$C$5,D1708)),Assumptions!$D$5,IF(ISNUMBER(SEARCH(Assumptions!$C$6,D1708)),Assumptions!$D$6,IF(ISNUMBER(SEARCH(Assumptions!$C$7,D1708)),Assumptions!$D$7,"Other Services"))),"Other Services"))</f>
        <v/>
      </c>
    </row>
    <row r="1709" customFormat="false" ht="15" hidden="false" customHeight="false" outlineLevel="0" collapsed="false">
      <c r="F1709" s="41" t="str">
        <f aca="false">IF(D1709="","",IFERROR(IF(ISNUMBER(SEARCH(Assumptions!$C$5,D1709)),Assumptions!$D$5,IF(ISNUMBER(SEARCH(Assumptions!$C$6,D1709)),Assumptions!$D$6,IF(ISNUMBER(SEARCH(Assumptions!$C$7,D1709)),Assumptions!$D$7,"Other Services"))),"Other Services"))</f>
        <v/>
      </c>
    </row>
    <row r="1710" customFormat="false" ht="15" hidden="false" customHeight="false" outlineLevel="0" collapsed="false">
      <c r="F1710" s="41" t="str">
        <f aca="false">IF(D1710="","",IFERROR(IF(ISNUMBER(SEARCH(Assumptions!$C$5,D1710)),Assumptions!$D$5,IF(ISNUMBER(SEARCH(Assumptions!$C$6,D1710)),Assumptions!$D$6,IF(ISNUMBER(SEARCH(Assumptions!$C$7,D1710)),Assumptions!$D$7,"Other Services"))),"Other Services"))</f>
        <v/>
      </c>
    </row>
    <row r="1711" customFormat="false" ht="15" hidden="false" customHeight="false" outlineLevel="0" collapsed="false">
      <c r="F1711" s="41" t="str">
        <f aca="false">IF(D1711="","",IFERROR(IF(ISNUMBER(SEARCH(Assumptions!$C$5,D1711)),Assumptions!$D$5,IF(ISNUMBER(SEARCH(Assumptions!$C$6,D1711)),Assumptions!$D$6,IF(ISNUMBER(SEARCH(Assumptions!$C$7,D1711)),Assumptions!$D$7,"Other Services"))),"Other Services"))</f>
        <v/>
      </c>
    </row>
    <row r="1712" customFormat="false" ht="15" hidden="false" customHeight="false" outlineLevel="0" collapsed="false">
      <c r="F1712" s="41" t="str">
        <f aca="false">IF(D1712="","",IFERROR(IF(ISNUMBER(SEARCH(Assumptions!$C$5,D1712)),Assumptions!$D$5,IF(ISNUMBER(SEARCH(Assumptions!$C$6,D1712)),Assumptions!$D$6,IF(ISNUMBER(SEARCH(Assumptions!$C$7,D1712)),Assumptions!$D$7,"Other Services"))),"Other Services"))</f>
        <v/>
      </c>
    </row>
    <row r="1713" customFormat="false" ht="15" hidden="false" customHeight="false" outlineLevel="0" collapsed="false">
      <c r="F1713" s="41" t="str">
        <f aca="false">IF(D1713="","",IFERROR(IF(ISNUMBER(SEARCH(Assumptions!$C$5,D1713)),Assumptions!$D$5,IF(ISNUMBER(SEARCH(Assumptions!$C$6,D1713)),Assumptions!$D$6,IF(ISNUMBER(SEARCH(Assumptions!$C$7,D1713)),Assumptions!$D$7,"Other Services"))),"Other Services"))</f>
        <v/>
      </c>
    </row>
    <row r="1714" customFormat="false" ht="15" hidden="false" customHeight="false" outlineLevel="0" collapsed="false">
      <c r="F1714" s="41" t="str">
        <f aca="false">IF(D1714="","",IFERROR(IF(ISNUMBER(SEARCH(Assumptions!$C$5,D1714)),Assumptions!$D$5,IF(ISNUMBER(SEARCH(Assumptions!$C$6,D1714)),Assumptions!$D$6,IF(ISNUMBER(SEARCH(Assumptions!$C$7,D1714)),Assumptions!$D$7,"Other Services"))),"Other Services"))</f>
        <v/>
      </c>
    </row>
    <row r="1715" customFormat="false" ht="15" hidden="false" customHeight="false" outlineLevel="0" collapsed="false">
      <c r="F1715" s="41" t="str">
        <f aca="false">IF(D1715="","",IFERROR(IF(ISNUMBER(SEARCH(Assumptions!$C$5,D1715)),Assumptions!$D$5,IF(ISNUMBER(SEARCH(Assumptions!$C$6,D1715)),Assumptions!$D$6,IF(ISNUMBER(SEARCH(Assumptions!$C$7,D1715)),Assumptions!$D$7,"Other Services"))),"Other Services"))</f>
        <v/>
      </c>
    </row>
    <row r="1716" customFormat="false" ht="15" hidden="false" customHeight="false" outlineLevel="0" collapsed="false">
      <c r="F1716" s="41" t="str">
        <f aca="false">IF(D1716="","",IFERROR(IF(ISNUMBER(SEARCH(Assumptions!$C$5,D1716)),Assumptions!$D$5,IF(ISNUMBER(SEARCH(Assumptions!$C$6,D1716)),Assumptions!$D$6,IF(ISNUMBER(SEARCH(Assumptions!$C$7,D1716)),Assumptions!$D$7,"Other Services"))),"Other Services"))</f>
        <v/>
      </c>
    </row>
    <row r="1717" customFormat="false" ht="15" hidden="false" customHeight="false" outlineLevel="0" collapsed="false">
      <c r="F1717" s="41" t="str">
        <f aca="false">IF(D1717="","",IFERROR(IF(ISNUMBER(SEARCH(Assumptions!$C$5,D1717)),Assumptions!$D$5,IF(ISNUMBER(SEARCH(Assumptions!$C$6,D1717)),Assumptions!$D$6,IF(ISNUMBER(SEARCH(Assumptions!$C$7,D1717)),Assumptions!$D$7,"Other Services"))),"Other Services"))</f>
        <v/>
      </c>
    </row>
    <row r="1718" customFormat="false" ht="15" hidden="false" customHeight="false" outlineLevel="0" collapsed="false">
      <c r="F1718" s="41" t="str">
        <f aca="false">IF(D1718="","",IFERROR(IF(ISNUMBER(SEARCH(Assumptions!$C$5,D1718)),Assumptions!$D$5,IF(ISNUMBER(SEARCH(Assumptions!$C$6,D1718)),Assumptions!$D$6,IF(ISNUMBER(SEARCH(Assumptions!$C$7,D1718)),Assumptions!$D$7,"Other Services"))),"Other Services"))</f>
        <v/>
      </c>
    </row>
    <row r="1719" customFormat="false" ht="15" hidden="false" customHeight="false" outlineLevel="0" collapsed="false">
      <c r="F1719" s="41" t="str">
        <f aca="false">IF(D1719="","",IFERROR(IF(ISNUMBER(SEARCH(Assumptions!$C$5,D1719)),Assumptions!$D$5,IF(ISNUMBER(SEARCH(Assumptions!$C$6,D1719)),Assumptions!$D$6,IF(ISNUMBER(SEARCH(Assumptions!$C$7,D1719)),Assumptions!$D$7,"Other Services"))),"Other Services"))</f>
        <v/>
      </c>
    </row>
    <row r="1720" customFormat="false" ht="15" hidden="false" customHeight="false" outlineLevel="0" collapsed="false">
      <c r="F1720" s="41" t="str">
        <f aca="false">IF(D1720="","",IFERROR(IF(ISNUMBER(SEARCH(Assumptions!$C$5,D1720)),Assumptions!$D$5,IF(ISNUMBER(SEARCH(Assumptions!$C$6,D1720)),Assumptions!$D$6,IF(ISNUMBER(SEARCH(Assumptions!$C$7,D1720)),Assumptions!$D$7,"Other Services"))),"Other Services"))</f>
        <v/>
      </c>
    </row>
    <row r="1721" customFormat="false" ht="15" hidden="false" customHeight="false" outlineLevel="0" collapsed="false">
      <c r="F1721" s="41" t="str">
        <f aca="false">IF(D1721="","",IFERROR(IF(ISNUMBER(SEARCH(Assumptions!$C$5,D1721)),Assumptions!$D$5,IF(ISNUMBER(SEARCH(Assumptions!$C$6,D1721)),Assumptions!$D$6,IF(ISNUMBER(SEARCH(Assumptions!$C$7,D1721)),Assumptions!$D$7,"Other Services"))),"Other Services"))</f>
        <v/>
      </c>
    </row>
    <row r="1722" customFormat="false" ht="15" hidden="false" customHeight="false" outlineLevel="0" collapsed="false">
      <c r="F1722" s="41" t="str">
        <f aca="false">IF(D1722="","",IFERROR(IF(ISNUMBER(SEARCH(Assumptions!$C$5,D1722)),Assumptions!$D$5,IF(ISNUMBER(SEARCH(Assumptions!$C$6,D1722)),Assumptions!$D$6,IF(ISNUMBER(SEARCH(Assumptions!$C$7,D1722)),Assumptions!$D$7,"Other Services"))),"Other Services"))</f>
        <v/>
      </c>
    </row>
    <row r="1723" customFormat="false" ht="15" hidden="false" customHeight="false" outlineLevel="0" collapsed="false">
      <c r="F1723" s="41" t="str">
        <f aca="false">IF(D1723="","",IFERROR(IF(ISNUMBER(SEARCH(Assumptions!$C$5,D1723)),Assumptions!$D$5,IF(ISNUMBER(SEARCH(Assumptions!$C$6,D1723)),Assumptions!$D$6,IF(ISNUMBER(SEARCH(Assumptions!$C$7,D1723)),Assumptions!$D$7,"Other Services"))),"Other Services"))</f>
        <v/>
      </c>
    </row>
    <row r="1724" customFormat="false" ht="15" hidden="false" customHeight="false" outlineLevel="0" collapsed="false">
      <c r="F1724" s="41" t="str">
        <f aca="false">IF(D1724="","",IFERROR(IF(ISNUMBER(SEARCH(Assumptions!$C$5,D1724)),Assumptions!$D$5,IF(ISNUMBER(SEARCH(Assumptions!$C$6,D1724)),Assumptions!$D$6,IF(ISNUMBER(SEARCH(Assumptions!$C$7,D1724)),Assumptions!$D$7,"Other Services"))),"Other Services"))</f>
        <v/>
      </c>
    </row>
    <row r="1725" customFormat="false" ht="15" hidden="false" customHeight="false" outlineLevel="0" collapsed="false">
      <c r="F1725" s="41" t="str">
        <f aca="false">IF(D1725="","",IFERROR(IF(ISNUMBER(SEARCH(Assumptions!$C$5,D1725)),Assumptions!$D$5,IF(ISNUMBER(SEARCH(Assumptions!$C$6,D1725)),Assumptions!$D$6,IF(ISNUMBER(SEARCH(Assumptions!$C$7,D1725)),Assumptions!$D$7,"Other Services"))),"Other Services"))</f>
        <v/>
      </c>
    </row>
    <row r="1726" customFormat="false" ht="15" hidden="false" customHeight="false" outlineLevel="0" collapsed="false">
      <c r="F1726" s="41" t="str">
        <f aca="false">IF(D1726="","",IFERROR(IF(ISNUMBER(SEARCH(Assumptions!$C$5,D1726)),Assumptions!$D$5,IF(ISNUMBER(SEARCH(Assumptions!$C$6,D1726)),Assumptions!$D$6,IF(ISNUMBER(SEARCH(Assumptions!$C$7,D1726)),Assumptions!$D$7,"Other Services"))),"Other Services"))</f>
        <v/>
      </c>
    </row>
    <row r="1727" customFormat="false" ht="15" hidden="false" customHeight="false" outlineLevel="0" collapsed="false">
      <c r="F1727" s="41" t="str">
        <f aca="false">IF(D1727="","",IFERROR(IF(ISNUMBER(SEARCH(Assumptions!$C$5,D1727)),Assumptions!$D$5,IF(ISNUMBER(SEARCH(Assumptions!$C$6,D1727)),Assumptions!$D$6,IF(ISNUMBER(SEARCH(Assumptions!$C$7,D1727)),Assumptions!$D$7,"Other Services"))),"Other Services"))</f>
        <v/>
      </c>
    </row>
    <row r="1728" customFormat="false" ht="15" hidden="false" customHeight="false" outlineLevel="0" collapsed="false">
      <c r="F1728" s="41" t="str">
        <f aca="false">IF(D1728="","",IFERROR(IF(ISNUMBER(SEARCH(Assumptions!$C$5,D1728)),Assumptions!$D$5,IF(ISNUMBER(SEARCH(Assumptions!$C$6,D1728)),Assumptions!$D$6,IF(ISNUMBER(SEARCH(Assumptions!$C$7,D1728)),Assumptions!$D$7,"Other Services"))),"Other Services"))</f>
        <v/>
      </c>
    </row>
    <row r="1729" customFormat="false" ht="15" hidden="false" customHeight="false" outlineLevel="0" collapsed="false">
      <c r="F1729" s="41" t="str">
        <f aca="false">IF(D1729="","",IFERROR(IF(ISNUMBER(SEARCH(Assumptions!$C$5,D1729)),Assumptions!$D$5,IF(ISNUMBER(SEARCH(Assumptions!$C$6,D1729)),Assumptions!$D$6,IF(ISNUMBER(SEARCH(Assumptions!$C$7,D1729)),Assumptions!$D$7,"Other Services"))),"Other Services"))</f>
        <v/>
      </c>
    </row>
    <row r="1730" customFormat="false" ht="15" hidden="false" customHeight="false" outlineLevel="0" collapsed="false">
      <c r="F1730" s="41" t="str">
        <f aca="false">IF(D1730="","",IFERROR(IF(ISNUMBER(SEARCH(Assumptions!$C$5,D1730)),Assumptions!$D$5,IF(ISNUMBER(SEARCH(Assumptions!$C$6,D1730)),Assumptions!$D$6,IF(ISNUMBER(SEARCH(Assumptions!$C$7,D1730)),Assumptions!$D$7,"Other Services"))),"Other Services"))</f>
        <v/>
      </c>
    </row>
    <row r="1731" customFormat="false" ht="15" hidden="false" customHeight="false" outlineLevel="0" collapsed="false">
      <c r="F1731" s="41" t="str">
        <f aca="false">IF(D1731="","",IFERROR(IF(ISNUMBER(SEARCH(Assumptions!$C$5,D1731)),Assumptions!$D$5,IF(ISNUMBER(SEARCH(Assumptions!$C$6,D1731)),Assumptions!$D$6,IF(ISNUMBER(SEARCH(Assumptions!$C$7,D1731)),Assumptions!$D$7,"Other Services"))),"Other Services"))</f>
        <v/>
      </c>
    </row>
    <row r="1732" customFormat="false" ht="15" hidden="false" customHeight="false" outlineLevel="0" collapsed="false">
      <c r="F1732" s="41" t="str">
        <f aca="false">IF(D1732="","",IFERROR(IF(ISNUMBER(SEARCH(Assumptions!$C$5,D1732)),Assumptions!$D$5,IF(ISNUMBER(SEARCH(Assumptions!$C$6,D1732)),Assumptions!$D$6,IF(ISNUMBER(SEARCH(Assumptions!$C$7,D1732)),Assumptions!$D$7,"Other Services"))),"Other Services"))</f>
        <v/>
      </c>
    </row>
    <row r="1733" customFormat="false" ht="15" hidden="false" customHeight="false" outlineLevel="0" collapsed="false">
      <c r="F1733" s="41" t="str">
        <f aca="false">IF(D1733="","",IFERROR(IF(ISNUMBER(SEARCH(Assumptions!$C$5,D1733)),Assumptions!$D$5,IF(ISNUMBER(SEARCH(Assumptions!$C$6,D1733)),Assumptions!$D$6,IF(ISNUMBER(SEARCH(Assumptions!$C$7,D1733)),Assumptions!$D$7,"Other Services"))),"Other Services"))</f>
        <v/>
      </c>
    </row>
    <row r="1734" customFormat="false" ht="15" hidden="false" customHeight="false" outlineLevel="0" collapsed="false">
      <c r="F1734" s="41" t="str">
        <f aca="false">IF(D1734="","",IFERROR(IF(ISNUMBER(SEARCH(Assumptions!$C$5,D1734)),Assumptions!$D$5,IF(ISNUMBER(SEARCH(Assumptions!$C$6,D1734)),Assumptions!$D$6,IF(ISNUMBER(SEARCH(Assumptions!$C$7,D1734)),Assumptions!$D$7,"Other Services"))),"Other Services"))</f>
        <v/>
      </c>
    </row>
    <row r="1735" customFormat="false" ht="15" hidden="false" customHeight="false" outlineLevel="0" collapsed="false">
      <c r="F1735" s="41" t="str">
        <f aca="false">IF(D1735="","",IFERROR(IF(ISNUMBER(SEARCH(Assumptions!$C$5,D1735)),Assumptions!$D$5,IF(ISNUMBER(SEARCH(Assumptions!$C$6,D1735)),Assumptions!$D$6,IF(ISNUMBER(SEARCH(Assumptions!$C$7,D1735)),Assumptions!$D$7,"Other Services"))),"Other Services"))</f>
        <v/>
      </c>
    </row>
    <row r="1736" customFormat="false" ht="15" hidden="false" customHeight="false" outlineLevel="0" collapsed="false">
      <c r="F1736" s="41" t="str">
        <f aca="false">IF(D1736="","",IFERROR(IF(ISNUMBER(SEARCH(Assumptions!$C$5,D1736)),Assumptions!$D$5,IF(ISNUMBER(SEARCH(Assumptions!$C$6,D1736)),Assumptions!$D$6,IF(ISNUMBER(SEARCH(Assumptions!$C$7,D1736)),Assumptions!$D$7,"Other Services"))),"Other Services"))</f>
        <v/>
      </c>
    </row>
    <row r="1737" customFormat="false" ht="15" hidden="false" customHeight="false" outlineLevel="0" collapsed="false">
      <c r="F1737" s="41" t="str">
        <f aca="false">IF(D1737="","",IFERROR(IF(ISNUMBER(SEARCH(Assumptions!$C$5,D1737)),Assumptions!$D$5,IF(ISNUMBER(SEARCH(Assumptions!$C$6,D1737)),Assumptions!$D$6,IF(ISNUMBER(SEARCH(Assumptions!$C$7,D1737)),Assumptions!$D$7,"Other Services"))),"Other Services"))</f>
        <v/>
      </c>
    </row>
    <row r="1738" customFormat="false" ht="15" hidden="false" customHeight="false" outlineLevel="0" collapsed="false">
      <c r="F1738" s="41" t="str">
        <f aca="false">IF(D1738="","",IFERROR(IF(ISNUMBER(SEARCH(Assumptions!$C$5,D1738)),Assumptions!$D$5,IF(ISNUMBER(SEARCH(Assumptions!$C$6,D1738)),Assumptions!$D$6,IF(ISNUMBER(SEARCH(Assumptions!$C$7,D1738)),Assumptions!$D$7,"Other Services"))),"Other Services"))</f>
        <v/>
      </c>
    </row>
    <row r="1739" customFormat="false" ht="15" hidden="false" customHeight="false" outlineLevel="0" collapsed="false">
      <c r="F1739" s="41" t="str">
        <f aca="false">IF(D1739="","",IFERROR(IF(ISNUMBER(SEARCH(Assumptions!$C$5,D1739)),Assumptions!$D$5,IF(ISNUMBER(SEARCH(Assumptions!$C$6,D1739)),Assumptions!$D$6,IF(ISNUMBER(SEARCH(Assumptions!$C$7,D1739)),Assumptions!$D$7,"Other Services"))),"Other Services"))</f>
        <v/>
      </c>
    </row>
    <row r="1740" customFormat="false" ht="15" hidden="false" customHeight="false" outlineLevel="0" collapsed="false">
      <c r="F1740" s="41" t="str">
        <f aca="false">IF(D1740="","",IFERROR(IF(ISNUMBER(SEARCH(Assumptions!$C$5,D1740)),Assumptions!$D$5,IF(ISNUMBER(SEARCH(Assumptions!$C$6,D1740)),Assumptions!$D$6,IF(ISNUMBER(SEARCH(Assumptions!$C$7,D1740)),Assumptions!$D$7,"Other Services"))),"Other Services"))</f>
        <v/>
      </c>
    </row>
    <row r="1741" customFormat="false" ht="15" hidden="false" customHeight="false" outlineLevel="0" collapsed="false">
      <c r="F1741" s="41" t="str">
        <f aca="false">IF(D1741="","",IFERROR(IF(ISNUMBER(SEARCH(Assumptions!$C$5,D1741)),Assumptions!$D$5,IF(ISNUMBER(SEARCH(Assumptions!$C$6,D1741)),Assumptions!$D$6,IF(ISNUMBER(SEARCH(Assumptions!$C$7,D1741)),Assumptions!$D$7,"Other Services"))),"Other Services"))</f>
        <v/>
      </c>
    </row>
    <row r="1742" customFormat="false" ht="15" hidden="false" customHeight="false" outlineLevel="0" collapsed="false">
      <c r="F1742" s="41" t="str">
        <f aca="false">IF(D1742="","",IFERROR(IF(ISNUMBER(SEARCH(Assumptions!$C$5,D1742)),Assumptions!$D$5,IF(ISNUMBER(SEARCH(Assumptions!$C$6,D1742)),Assumptions!$D$6,IF(ISNUMBER(SEARCH(Assumptions!$C$7,D1742)),Assumptions!$D$7,"Other Services"))),"Other Services"))</f>
        <v/>
      </c>
    </row>
    <row r="1743" customFormat="false" ht="15" hidden="false" customHeight="false" outlineLevel="0" collapsed="false">
      <c r="F1743" s="41" t="str">
        <f aca="false">IF(D1743="","",IFERROR(IF(ISNUMBER(SEARCH(Assumptions!$C$5,D1743)),Assumptions!$D$5,IF(ISNUMBER(SEARCH(Assumptions!$C$6,D1743)),Assumptions!$D$6,IF(ISNUMBER(SEARCH(Assumptions!$C$7,D1743)),Assumptions!$D$7,"Other Services"))),"Other Services"))</f>
        <v/>
      </c>
    </row>
    <row r="1744" customFormat="false" ht="15" hidden="false" customHeight="false" outlineLevel="0" collapsed="false">
      <c r="F1744" s="41" t="str">
        <f aca="false">IF(D1744="","",IFERROR(IF(ISNUMBER(SEARCH(Assumptions!$C$5,D1744)),Assumptions!$D$5,IF(ISNUMBER(SEARCH(Assumptions!$C$6,D1744)),Assumptions!$D$6,IF(ISNUMBER(SEARCH(Assumptions!$C$7,D1744)),Assumptions!$D$7,"Other Services"))),"Other Services"))</f>
        <v/>
      </c>
    </row>
    <row r="1745" customFormat="false" ht="15" hidden="false" customHeight="false" outlineLevel="0" collapsed="false">
      <c r="F1745" s="41" t="str">
        <f aca="false">IF(D1745="","",IFERROR(IF(ISNUMBER(SEARCH(Assumptions!$C$5,D1745)),Assumptions!$D$5,IF(ISNUMBER(SEARCH(Assumptions!$C$6,D1745)),Assumptions!$D$6,IF(ISNUMBER(SEARCH(Assumptions!$C$7,D1745)),Assumptions!$D$7,"Other Services"))),"Other Services"))</f>
        <v/>
      </c>
    </row>
    <row r="1746" customFormat="false" ht="15" hidden="false" customHeight="false" outlineLevel="0" collapsed="false">
      <c r="F1746" s="41" t="str">
        <f aca="false">IF(D1746="","",IFERROR(IF(ISNUMBER(SEARCH(Assumptions!$C$5,D1746)),Assumptions!$D$5,IF(ISNUMBER(SEARCH(Assumptions!$C$6,D1746)),Assumptions!$D$6,IF(ISNUMBER(SEARCH(Assumptions!$C$7,D1746)),Assumptions!$D$7,"Other Services"))),"Other Services"))</f>
        <v/>
      </c>
    </row>
    <row r="1747" customFormat="false" ht="15" hidden="false" customHeight="false" outlineLevel="0" collapsed="false">
      <c r="F1747" s="41" t="str">
        <f aca="false">IF(D1747="","",IFERROR(IF(ISNUMBER(SEARCH(Assumptions!$C$5,D1747)),Assumptions!$D$5,IF(ISNUMBER(SEARCH(Assumptions!$C$6,D1747)),Assumptions!$D$6,IF(ISNUMBER(SEARCH(Assumptions!$C$7,D1747)),Assumptions!$D$7,"Other Services"))),"Other Services"))</f>
        <v/>
      </c>
    </row>
    <row r="1748" customFormat="false" ht="15" hidden="false" customHeight="false" outlineLevel="0" collapsed="false">
      <c r="F1748" s="41" t="str">
        <f aca="false">IF(D1748="","",IFERROR(IF(ISNUMBER(SEARCH(Assumptions!$C$5,D1748)),Assumptions!$D$5,IF(ISNUMBER(SEARCH(Assumptions!$C$6,D1748)),Assumptions!$D$6,IF(ISNUMBER(SEARCH(Assumptions!$C$7,D1748)),Assumptions!$D$7,"Other Services"))),"Other Services"))</f>
        <v/>
      </c>
    </row>
    <row r="1749" customFormat="false" ht="15" hidden="false" customHeight="false" outlineLevel="0" collapsed="false">
      <c r="F1749" s="41" t="str">
        <f aca="false">IF(D1749="","",IFERROR(IF(ISNUMBER(SEARCH(Assumptions!$C$5,D1749)),Assumptions!$D$5,IF(ISNUMBER(SEARCH(Assumptions!$C$6,D1749)),Assumptions!$D$6,IF(ISNUMBER(SEARCH(Assumptions!$C$7,D1749)),Assumptions!$D$7,"Other Services"))),"Other Services"))</f>
        <v/>
      </c>
    </row>
    <row r="1750" customFormat="false" ht="15" hidden="false" customHeight="false" outlineLevel="0" collapsed="false">
      <c r="F1750" s="41" t="str">
        <f aca="false">IF(D1750="","",IFERROR(IF(ISNUMBER(SEARCH(Assumptions!$C$5,D1750)),Assumptions!$D$5,IF(ISNUMBER(SEARCH(Assumptions!$C$6,D1750)),Assumptions!$D$6,IF(ISNUMBER(SEARCH(Assumptions!$C$7,D1750)),Assumptions!$D$7,"Other Services"))),"Other Services"))</f>
        <v/>
      </c>
    </row>
    <row r="1751" customFormat="false" ht="15" hidden="false" customHeight="false" outlineLevel="0" collapsed="false">
      <c r="F1751" s="41" t="str">
        <f aca="false">IF(D1751="","",IFERROR(IF(ISNUMBER(SEARCH(Assumptions!$C$5,D1751)),Assumptions!$D$5,IF(ISNUMBER(SEARCH(Assumptions!$C$6,D1751)),Assumptions!$D$6,IF(ISNUMBER(SEARCH(Assumptions!$C$7,D1751)),Assumptions!$D$7,"Other Services"))),"Other Services"))</f>
        <v/>
      </c>
    </row>
    <row r="1752" customFormat="false" ht="15" hidden="false" customHeight="false" outlineLevel="0" collapsed="false">
      <c r="F1752" s="41" t="str">
        <f aca="false">IF(D1752="","",IFERROR(IF(ISNUMBER(SEARCH(Assumptions!$C$5,D1752)),Assumptions!$D$5,IF(ISNUMBER(SEARCH(Assumptions!$C$6,D1752)),Assumptions!$D$6,IF(ISNUMBER(SEARCH(Assumptions!$C$7,D1752)),Assumptions!$D$7,"Other Services"))),"Other Services"))</f>
        <v/>
      </c>
    </row>
    <row r="1753" customFormat="false" ht="15" hidden="false" customHeight="false" outlineLevel="0" collapsed="false">
      <c r="F1753" s="41" t="str">
        <f aca="false">IF(D1753="","",IFERROR(IF(ISNUMBER(SEARCH(Assumptions!$C$5,D1753)),Assumptions!$D$5,IF(ISNUMBER(SEARCH(Assumptions!$C$6,D1753)),Assumptions!$D$6,IF(ISNUMBER(SEARCH(Assumptions!$C$7,D1753)),Assumptions!$D$7,"Other Services"))),"Other Services"))</f>
        <v/>
      </c>
    </row>
    <row r="1754" customFormat="false" ht="15" hidden="false" customHeight="false" outlineLevel="0" collapsed="false">
      <c r="F1754" s="41" t="str">
        <f aca="false">IF(D1754="","",IFERROR(IF(ISNUMBER(SEARCH(Assumptions!$C$5,D1754)),Assumptions!$D$5,IF(ISNUMBER(SEARCH(Assumptions!$C$6,D1754)),Assumptions!$D$6,IF(ISNUMBER(SEARCH(Assumptions!$C$7,D1754)),Assumptions!$D$7,"Other Services"))),"Other Services"))</f>
        <v/>
      </c>
    </row>
    <row r="1755" customFormat="false" ht="15" hidden="false" customHeight="false" outlineLevel="0" collapsed="false">
      <c r="F1755" s="41" t="str">
        <f aca="false">IF(D1755="","",IFERROR(IF(ISNUMBER(SEARCH(Assumptions!$C$5,D1755)),Assumptions!$D$5,IF(ISNUMBER(SEARCH(Assumptions!$C$6,D1755)),Assumptions!$D$6,IF(ISNUMBER(SEARCH(Assumptions!$C$7,D1755)),Assumptions!$D$7,"Other Services"))),"Other Services"))</f>
        <v/>
      </c>
    </row>
    <row r="1756" customFormat="false" ht="15" hidden="false" customHeight="false" outlineLevel="0" collapsed="false">
      <c r="F1756" s="41" t="str">
        <f aca="false">IF(D1756="","",IFERROR(IF(ISNUMBER(SEARCH(Assumptions!$C$5,D1756)),Assumptions!$D$5,IF(ISNUMBER(SEARCH(Assumptions!$C$6,D1756)),Assumptions!$D$6,IF(ISNUMBER(SEARCH(Assumptions!$C$7,D1756)),Assumptions!$D$7,"Other Services"))),"Other Services"))</f>
        <v/>
      </c>
    </row>
    <row r="1757" customFormat="false" ht="15" hidden="false" customHeight="false" outlineLevel="0" collapsed="false">
      <c r="F1757" s="41" t="str">
        <f aca="false">IF(D1757="","",IFERROR(IF(ISNUMBER(SEARCH(Assumptions!$C$5,D1757)),Assumptions!$D$5,IF(ISNUMBER(SEARCH(Assumptions!$C$6,D1757)),Assumptions!$D$6,IF(ISNUMBER(SEARCH(Assumptions!$C$7,D1757)),Assumptions!$D$7,"Other Services"))),"Other Services"))</f>
        <v/>
      </c>
    </row>
    <row r="1758" customFormat="false" ht="15" hidden="false" customHeight="false" outlineLevel="0" collapsed="false">
      <c r="F1758" s="41" t="str">
        <f aca="false">IF(D1758="","",IFERROR(IF(ISNUMBER(SEARCH(Assumptions!$C$5,D1758)),Assumptions!$D$5,IF(ISNUMBER(SEARCH(Assumptions!$C$6,D1758)),Assumptions!$D$6,IF(ISNUMBER(SEARCH(Assumptions!$C$7,D1758)),Assumptions!$D$7,"Other Services"))),"Other Services"))</f>
        <v/>
      </c>
    </row>
    <row r="1759" customFormat="false" ht="15" hidden="false" customHeight="false" outlineLevel="0" collapsed="false">
      <c r="F1759" s="41" t="str">
        <f aca="false">IF(D1759="","",IFERROR(IF(ISNUMBER(SEARCH(Assumptions!$C$5,D1759)),Assumptions!$D$5,IF(ISNUMBER(SEARCH(Assumptions!$C$6,D1759)),Assumptions!$D$6,IF(ISNUMBER(SEARCH(Assumptions!$C$7,D1759)),Assumptions!$D$7,"Other Services"))),"Other Services"))</f>
        <v/>
      </c>
    </row>
    <row r="1760" customFormat="false" ht="15" hidden="false" customHeight="false" outlineLevel="0" collapsed="false">
      <c r="F1760" s="41" t="str">
        <f aca="false">IF(D1760="","",IFERROR(IF(ISNUMBER(SEARCH(Assumptions!$C$5,D1760)),Assumptions!$D$5,IF(ISNUMBER(SEARCH(Assumptions!$C$6,D1760)),Assumptions!$D$6,IF(ISNUMBER(SEARCH(Assumptions!$C$7,D1760)),Assumptions!$D$7,"Other Services"))),"Other Services"))</f>
        <v/>
      </c>
    </row>
    <row r="1761" customFormat="false" ht="15" hidden="false" customHeight="false" outlineLevel="0" collapsed="false">
      <c r="F1761" s="41" t="str">
        <f aca="false">IF(D1761="","",IFERROR(IF(ISNUMBER(SEARCH(Assumptions!$C$5,D1761)),Assumptions!$D$5,IF(ISNUMBER(SEARCH(Assumptions!$C$6,D1761)),Assumptions!$D$6,IF(ISNUMBER(SEARCH(Assumptions!$C$7,D1761)),Assumptions!$D$7,"Other Services"))),"Other Services"))</f>
        <v/>
      </c>
    </row>
    <row r="1762" customFormat="false" ht="15" hidden="false" customHeight="false" outlineLevel="0" collapsed="false">
      <c r="F1762" s="41" t="str">
        <f aca="false">IF(D1762="","",IFERROR(IF(ISNUMBER(SEARCH(Assumptions!$C$5,D1762)),Assumptions!$D$5,IF(ISNUMBER(SEARCH(Assumptions!$C$6,D1762)),Assumptions!$D$6,IF(ISNUMBER(SEARCH(Assumptions!$C$7,D1762)),Assumptions!$D$7,"Other Services"))),"Other Services"))</f>
        <v/>
      </c>
    </row>
    <row r="1763" customFormat="false" ht="15" hidden="false" customHeight="false" outlineLevel="0" collapsed="false">
      <c r="F1763" s="41" t="str">
        <f aca="false">IF(D1763="","",IFERROR(IF(ISNUMBER(SEARCH(Assumptions!$C$5,D1763)),Assumptions!$D$5,IF(ISNUMBER(SEARCH(Assumptions!$C$6,D1763)),Assumptions!$D$6,IF(ISNUMBER(SEARCH(Assumptions!$C$7,D1763)),Assumptions!$D$7,"Other Services"))),"Other Services"))</f>
        <v/>
      </c>
    </row>
    <row r="1764" customFormat="false" ht="15" hidden="false" customHeight="false" outlineLevel="0" collapsed="false">
      <c r="F1764" s="41" t="str">
        <f aca="false">IF(D1764="","",IFERROR(IF(ISNUMBER(SEARCH(Assumptions!$C$5,D1764)),Assumptions!$D$5,IF(ISNUMBER(SEARCH(Assumptions!$C$6,D1764)),Assumptions!$D$6,IF(ISNUMBER(SEARCH(Assumptions!$C$7,D1764)),Assumptions!$D$7,"Other Services"))),"Other Services"))</f>
        <v/>
      </c>
    </row>
    <row r="1765" customFormat="false" ht="15" hidden="false" customHeight="false" outlineLevel="0" collapsed="false">
      <c r="F1765" s="41" t="str">
        <f aca="false">IF(D1765="","",IFERROR(IF(ISNUMBER(SEARCH(Assumptions!$C$5,D1765)),Assumptions!$D$5,IF(ISNUMBER(SEARCH(Assumptions!$C$6,D1765)),Assumptions!$D$6,IF(ISNUMBER(SEARCH(Assumptions!$C$7,D1765)),Assumptions!$D$7,"Other Services"))),"Other Services"))</f>
        <v/>
      </c>
    </row>
    <row r="1766" customFormat="false" ht="15" hidden="false" customHeight="false" outlineLevel="0" collapsed="false">
      <c r="F1766" s="41" t="str">
        <f aca="false">IF(D1766="","",IFERROR(IF(ISNUMBER(SEARCH(Assumptions!$C$5,D1766)),Assumptions!$D$5,IF(ISNUMBER(SEARCH(Assumptions!$C$6,D1766)),Assumptions!$D$6,IF(ISNUMBER(SEARCH(Assumptions!$C$7,D1766)),Assumptions!$D$7,"Other Services"))),"Other Services"))</f>
        <v/>
      </c>
    </row>
    <row r="1767" customFormat="false" ht="15" hidden="false" customHeight="false" outlineLevel="0" collapsed="false">
      <c r="F1767" s="41" t="str">
        <f aca="false">IF(D1767="","",IFERROR(IF(ISNUMBER(SEARCH(Assumptions!$C$5,D1767)),Assumptions!$D$5,IF(ISNUMBER(SEARCH(Assumptions!$C$6,D1767)),Assumptions!$D$6,IF(ISNUMBER(SEARCH(Assumptions!$C$7,D1767)),Assumptions!$D$7,"Other Services"))),"Other Services"))</f>
        <v/>
      </c>
    </row>
    <row r="1768" customFormat="false" ht="15" hidden="false" customHeight="false" outlineLevel="0" collapsed="false">
      <c r="F1768" s="41" t="str">
        <f aca="false">IF(D1768="","",IFERROR(IF(ISNUMBER(SEARCH(Assumptions!$C$5,D1768)),Assumptions!$D$5,IF(ISNUMBER(SEARCH(Assumptions!$C$6,D1768)),Assumptions!$D$6,IF(ISNUMBER(SEARCH(Assumptions!$C$7,D1768)),Assumptions!$D$7,"Other Services"))),"Other Services"))</f>
        <v/>
      </c>
    </row>
    <row r="1769" customFormat="false" ht="15" hidden="false" customHeight="false" outlineLevel="0" collapsed="false">
      <c r="F1769" s="41" t="str">
        <f aca="false">IF(D1769="","",IFERROR(IF(ISNUMBER(SEARCH(Assumptions!$C$5,D1769)),Assumptions!$D$5,IF(ISNUMBER(SEARCH(Assumptions!$C$6,D1769)),Assumptions!$D$6,IF(ISNUMBER(SEARCH(Assumptions!$C$7,D1769)),Assumptions!$D$7,"Other Services"))),"Other Services"))</f>
        <v/>
      </c>
    </row>
    <row r="1770" customFormat="false" ht="15" hidden="false" customHeight="false" outlineLevel="0" collapsed="false">
      <c r="F1770" s="41" t="str">
        <f aca="false">IF(D1770="","",IFERROR(IF(ISNUMBER(SEARCH(Assumptions!$C$5,D1770)),Assumptions!$D$5,IF(ISNUMBER(SEARCH(Assumptions!$C$6,D1770)),Assumptions!$D$6,IF(ISNUMBER(SEARCH(Assumptions!$C$7,D1770)),Assumptions!$D$7,"Other Services"))),"Other Services"))</f>
        <v/>
      </c>
    </row>
    <row r="1771" customFormat="false" ht="15" hidden="false" customHeight="false" outlineLevel="0" collapsed="false">
      <c r="F1771" s="41" t="str">
        <f aca="false">IF(D1771="","",IFERROR(IF(ISNUMBER(SEARCH(Assumptions!$C$5,D1771)),Assumptions!$D$5,IF(ISNUMBER(SEARCH(Assumptions!$C$6,D1771)),Assumptions!$D$6,IF(ISNUMBER(SEARCH(Assumptions!$C$7,D1771)),Assumptions!$D$7,"Other Services"))),"Other Services"))</f>
        <v/>
      </c>
    </row>
    <row r="1772" customFormat="false" ht="15" hidden="false" customHeight="false" outlineLevel="0" collapsed="false">
      <c r="F1772" s="41" t="str">
        <f aca="false">IF(D1772="","",IFERROR(IF(ISNUMBER(SEARCH(Assumptions!$C$5,D1772)),Assumptions!$D$5,IF(ISNUMBER(SEARCH(Assumptions!$C$6,D1772)),Assumptions!$D$6,IF(ISNUMBER(SEARCH(Assumptions!$C$7,D1772)),Assumptions!$D$7,"Other Services"))),"Other Services"))</f>
        <v/>
      </c>
    </row>
    <row r="1773" customFormat="false" ht="15" hidden="false" customHeight="false" outlineLevel="0" collapsed="false">
      <c r="F1773" s="41" t="str">
        <f aca="false">IF(D1773="","",IFERROR(IF(ISNUMBER(SEARCH(Assumptions!$C$5,D1773)),Assumptions!$D$5,IF(ISNUMBER(SEARCH(Assumptions!$C$6,D1773)),Assumptions!$D$6,IF(ISNUMBER(SEARCH(Assumptions!$C$7,D1773)),Assumptions!$D$7,"Other Services"))),"Other Services"))</f>
        <v/>
      </c>
    </row>
    <row r="1774" customFormat="false" ht="15" hidden="false" customHeight="false" outlineLevel="0" collapsed="false">
      <c r="F1774" s="41" t="str">
        <f aca="false">IF(D1774="","",IFERROR(IF(ISNUMBER(SEARCH(Assumptions!$C$5,D1774)),Assumptions!$D$5,IF(ISNUMBER(SEARCH(Assumptions!$C$6,D1774)),Assumptions!$D$6,IF(ISNUMBER(SEARCH(Assumptions!$C$7,D1774)),Assumptions!$D$7,"Other Services"))),"Other Services"))</f>
        <v/>
      </c>
    </row>
    <row r="1775" customFormat="false" ht="15" hidden="false" customHeight="false" outlineLevel="0" collapsed="false">
      <c r="F1775" s="41" t="str">
        <f aca="false">IF(D1775="","",IFERROR(IF(ISNUMBER(SEARCH(Assumptions!$C$5,D1775)),Assumptions!$D$5,IF(ISNUMBER(SEARCH(Assumptions!$C$6,D1775)),Assumptions!$D$6,IF(ISNUMBER(SEARCH(Assumptions!$C$7,D1775)),Assumptions!$D$7,"Other Services"))),"Other Services"))</f>
        <v/>
      </c>
    </row>
    <row r="1776" customFormat="false" ht="15" hidden="false" customHeight="false" outlineLevel="0" collapsed="false">
      <c r="F1776" s="41" t="str">
        <f aca="false">IF(D1776="","",IFERROR(IF(ISNUMBER(SEARCH(Assumptions!$C$5,D1776)),Assumptions!$D$5,IF(ISNUMBER(SEARCH(Assumptions!$C$6,D1776)),Assumptions!$D$6,IF(ISNUMBER(SEARCH(Assumptions!$C$7,D1776)),Assumptions!$D$7,"Other Services"))),"Other Services"))</f>
        <v/>
      </c>
    </row>
    <row r="1777" customFormat="false" ht="15" hidden="false" customHeight="false" outlineLevel="0" collapsed="false">
      <c r="F1777" s="41" t="str">
        <f aca="false">IF(D1777="","",IFERROR(IF(ISNUMBER(SEARCH(Assumptions!$C$5,D1777)),Assumptions!$D$5,IF(ISNUMBER(SEARCH(Assumptions!$C$6,D1777)),Assumptions!$D$6,IF(ISNUMBER(SEARCH(Assumptions!$C$7,D1777)),Assumptions!$D$7,"Other Services"))),"Other Services"))</f>
        <v/>
      </c>
    </row>
    <row r="1778" customFormat="false" ht="15" hidden="false" customHeight="false" outlineLevel="0" collapsed="false">
      <c r="F1778" s="41" t="str">
        <f aca="false">IF(D1778="","",IFERROR(IF(ISNUMBER(SEARCH(Assumptions!$C$5,D1778)),Assumptions!$D$5,IF(ISNUMBER(SEARCH(Assumptions!$C$6,D1778)),Assumptions!$D$6,IF(ISNUMBER(SEARCH(Assumptions!$C$7,D1778)),Assumptions!$D$7,"Other Services"))),"Other Services"))</f>
        <v/>
      </c>
    </row>
    <row r="1779" customFormat="false" ht="15" hidden="false" customHeight="false" outlineLevel="0" collapsed="false">
      <c r="F1779" s="41" t="str">
        <f aca="false">IF(D1779="","",IFERROR(IF(ISNUMBER(SEARCH(Assumptions!$C$5,D1779)),Assumptions!$D$5,IF(ISNUMBER(SEARCH(Assumptions!$C$6,D1779)),Assumptions!$D$6,IF(ISNUMBER(SEARCH(Assumptions!$C$7,D1779)),Assumptions!$D$7,"Other Services"))),"Other Services"))</f>
        <v/>
      </c>
    </row>
    <row r="1780" customFormat="false" ht="15" hidden="false" customHeight="false" outlineLevel="0" collapsed="false">
      <c r="F1780" s="41" t="str">
        <f aca="false">IF(D1780="","",IFERROR(IF(ISNUMBER(SEARCH(Assumptions!$C$5,D1780)),Assumptions!$D$5,IF(ISNUMBER(SEARCH(Assumptions!$C$6,D1780)),Assumptions!$D$6,IF(ISNUMBER(SEARCH(Assumptions!$C$7,D1780)),Assumptions!$D$7,"Other Services"))),"Other Services"))</f>
        <v/>
      </c>
    </row>
    <row r="1781" customFormat="false" ht="15" hidden="false" customHeight="false" outlineLevel="0" collapsed="false">
      <c r="F1781" s="41" t="str">
        <f aca="false">IF(D1781="","",IFERROR(IF(ISNUMBER(SEARCH(Assumptions!$C$5,D1781)),Assumptions!$D$5,IF(ISNUMBER(SEARCH(Assumptions!$C$6,D1781)),Assumptions!$D$6,IF(ISNUMBER(SEARCH(Assumptions!$C$7,D1781)),Assumptions!$D$7,"Other Services"))),"Other Services"))</f>
        <v/>
      </c>
    </row>
    <row r="1782" customFormat="false" ht="15" hidden="false" customHeight="false" outlineLevel="0" collapsed="false">
      <c r="F1782" s="41" t="str">
        <f aca="false">IF(D1782="","",IFERROR(IF(ISNUMBER(SEARCH(Assumptions!$C$5,D1782)),Assumptions!$D$5,IF(ISNUMBER(SEARCH(Assumptions!$C$6,D1782)),Assumptions!$D$6,IF(ISNUMBER(SEARCH(Assumptions!$C$7,D1782)),Assumptions!$D$7,"Other Services"))),"Other Services"))</f>
        <v/>
      </c>
    </row>
    <row r="1783" customFormat="false" ht="15" hidden="false" customHeight="false" outlineLevel="0" collapsed="false">
      <c r="F1783" s="41" t="str">
        <f aca="false">IF(D1783="","",IFERROR(IF(ISNUMBER(SEARCH(Assumptions!$C$5,D1783)),Assumptions!$D$5,IF(ISNUMBER(SEARCH(Assumptions!$C$6,D1783)),Assumptions!$D$6,IF(ISNUMBER(SEARCH(Assumptions!$C$7,D1783)),Assumptions!$D$7,"Other Services"))),"Other Services"))</f>
        <v/>
      </c>
    </row>
    <row r="1784" customFormat="false" ht="15" hidden="false" customHeight="false" outlineLevel="0" collapsed="false">
      <c r="F1784" s="41" t="str">
        <f aca="false">IF(D1784="","",IFERROR(IF(ISNUMBER(SEARCH(Assumptions!$C$5,D1784)),Assumptions!$D$5,IF(ISNUMBER(SEARCH(Assumptions!$C$6,D1784)),Assumptions!$D$6,IF(ISNUMBER(SEARCH(Assumptions!$C$7,D1784)),Assumptions!$D$7,"Other Services"))),"Other Services"))</f>
        <v/>
      </c>
    </row>
    <row r="1785" customFormat="false" ht="15" hidden="false" customHeight="false" outlineLevel="0" collapsed="false">
      <c r="F1785" s="41" t="str">
        <f aca="false">IF(D1785="","",IFERROR(IF(ISNUMBER(SEARCH(Assumptions!$C$5,D1785)),Assumptions!$D$5,IF(ISNUMBER(SEARCH(Assumptions!$C$6,D1785)),Assumptions!$D$6,IF(ISNUMBER(SEARCH(Assumptions!$C$7,D1785)),Assumptions!$D$7,"Other Services"))),"Other Services"))</f>
        <v/>
      </c>
    </row>
    <row r="1786" customFormat="false" ht="15" hidden="false" customHeight="false" outlineLevel="0" collapsed="false">
      <c r="F1786" s="41" t="str">
        <f aca="false">IF(D1786="","",IFERROR(IF(ISNUMBER(SEARCH(Assumptions!$C$5,D1786)),Assumptions!$D$5,IF(ISNUMBER(SEARCH(Assumptions!$C$6,D1786)),Assumptions!$D$6,IF(ISNUMBER(SEARCH(Assumptions!$C$7,D1786)),Assumptions!$D$7,"Other Services"))),"Other Services"))</f>
        <v/>
      </c>
    </row>
    <row r="1787" customFormat="false" ht="15" hidden="false" customHeight="false" outlineLevel="0" collapsed="false">
      <c r="F1787" s="41" t="str">
        <f aca="false">IF(D1787="","",IFERROR(IF(ISNUMBER(SEARCH(Assumptions!$C$5,D1787)),Assumptions!$D$5,IF(ISNUMBER(SEARCH(Assumptions!$C$6,D1787)),Assumptions!$D$6,IF(ISNUMBER(SEARCH(Assumptions!$C$7,D1787)),Assumptions!$D$7,"Other Services"))),"Other Services"))</f>
        <v/>
      </c>
    </row>
    <row r="1788" customFormat="false" ht="15" hidden="false" customHeight="false" outlineLevel="0" collapsed="false">
      <c r="F1788" s="41" t="str">
        <f aca="false">IF(D1788="","",IFERROR(IF(ISNUMBER(SEARCH(Assumptions!$C$5,D1788)),Assumptions!$D$5,IF(ISNUMBER(SEARCH(Assumptions!$C$6,D1788)),Assumptions!$D$6,IF(ISNUMBER(SEARCH(Assumptions!$C$7,D1788)),Assumptions!$D$7,"Other Services"))),"Other Services"))</f>
        <v/>
      </c>
    </row>
    <row r="1789" customFormat="false" ht="15" hidden="false" customHeight="false" outlineLevel="0" collapsed="false">
      <c r="F1789" s="41" t="str">
        <f aca="false">IF(D1789="","",IFERROR(IF(ISNUMBER(SEARCH(Assumptions!$C$5,D1789)),Assumptions!$D$5,IF(ISNUMBER(SEARCH(Assumptions!$C$6,D1789)),Assumptions!$D$6,IF(ISNUMBER(SEARCH(Assumptions!$C$7,D1789)),Assumptions!$D$7,"Other Services"))),"Other Services"))</f>
        <v/>
      </c>
    </row>
    <row r="1790" customFormat="false" ht="15" hidden="false" customHeight="false" outlineLevel="0" collapsed="false">
      <c r="F1790" s="41" t="str">
        <f aca="false">IF(D1790="","",IFERROR(IF(ISNUMBER(SEARCH(Assumptions!$C$5,D1790)),Assumptions!$D$5,IF(ISNUMBER(SEARCH(Assumptions!$C$6,D1790)),Assumptions!$D$6,IF(ISNUMBER(SEARCH(Assumptions!$C$7,D1790)),Assumptions!$D$7,"Other Services"))),"Other Services"))</f>
        <v/>
      </c>
    </row>
    <row r="1791" customFormat="false" ht="15" hidden="false" customHeight="false" outlineLevel="0" collapsed="false">
      <c r="F1791" s="41" t="str">
        <f aca="false">IF(D1791="","",IFERROR(IF(ISNUMBER(SEARCH(Assumptions!$C$5,D1791)),Assumptions!$D$5,IF(ISNUMBER(SEARCH(Assumptions!$C$6,D1791)),Assumptions!$D$6,IF(ISNUMBER(SEARCH(Assumptions!$C$7,D1791)),Assumptions!$D$7,"Other Services"))),"Other Services"))</f>
        <v/>
      </c>
    </row>
    <row r="1792" customFormat="false" ht="15" hidden="false" customHeight="false" outlineLevel="0" collapsed="false">
      <c r="F1792" s="41" t="str">
        <f aca="false">IF(D1792="","",IFERROR(IF(ISNUMBER(SEARCH(Assumptions!$C$5,D1792)),Assumptions!$D$5,IF(ISNUMBER(SEARCH(Assumptions!$C$6,D1792)),Assumptions!$D$6,IF(ISNUMBER(SEARCH(Assumptions!$C$7,D1792)),Assumptions!$D$7,"Other Services"))),"Other Services"))</f>
        <v/>
      </c>
    </row>
    <row r="1793" customFormat="false" ht="15" hidden="false" customHeight="false" outlineLevel="0" collapsed="false">
      <c r="F1793" s="41" t="str">
        <f aca="false">IF(D1793="","",IFERROR(IF(ISNUMBER(SEARCH(Assumptions!$C$5,D1793)),Assumptions!$D$5,IF(ISNUMBER(SEARCH(Assumptions!$C$6,D1793)),Assumptions!$D$6,IF(ISNUMBER(SEARCH(Assumptions!$C$7,D1793)),Assumptions!$D$7,"Other Services"))),"Other Services"))</f>
        <v/>
      </c>
    </row>
    <row r="1794" customFormat="false" ht="15" hidden="false" customHeight="false" outlineLevel="0" collapsed="false">
      <c r="F1794" s="41" t="str">
        <f aca="false">IF(D1794="","",IFERROR(IF(ISNUMBER(SEARCH(Assumptions!$C$5,D1794)),Assumptions!$D$5,IF(ISNUMBER(SEARCH(Assumptions!$C$6,D1794)),Assumptions!$D$6,IF(ISNUMBER(SEARCH(Assumptions!$C$7,D1794)),Assumptions!$D$7,"Other Services"))),"Other Services"))</f>
        <v/>
      </c>
    </row>
    <row r="1795" customFormat="false" ht="15" hidden="false" customHeight="false" outlineLevel="0" collapsed="false">
      <c r="F1795" s="41" t="str">
        <f aca="false">IF(D1795="","",IFERROR(IF(ISNUMBER(SEARCH(Assumptions!$C$5,D1795)),Assumptions!$D$5,IF(ISNUMBER(SEARCH(Assumptions!$C$6,D1795)),Assumptions!$D$6,IF(ISNUMBER(SEARCH(Assumptions!$C$7,D1795)),Assumptions!$D$7,"Other Services"))),"Other Services"))</f>
        <v/>
      </c>
    </row>
    <row r="1796" customFormat="false" ht="15" hidden="false" customHeight="false" outlineLevel="0" collapsed="false">
      <c r="F1796" s="41" t="str">
        <f aca="false">IF(D1796="","",IFERROR(IF(ISNUMBER(SEARCH(Assumptions!$C$5,D1796)),Assumptions!$D$5,IF(ISNUMBER(SEARCH(Assumptions!$C$6,D1796)),Assumptions!$D$6,IF(ISNUMBER(SEARCH(Assumptions!$C$7,D1796)),Assumptions!$D$7,"Other Services"))),"Other Services"))</f>
        <v/>
      </c>
    </row>
    <row r="1797" customFormat="false" ht="15" hidden="false" customHeight="false" outlineLevel="0" collapsed="false">
      <c r="F1797" s="41" t="str">
        <f aca="false">IF(D1797="","",IFERROR(IF(ISNUMBER(SEARCH(Assumptions!$C$5,D1797)),Assumptions!$D$5,IF(ISNUMBER(SEARCH(Assumptions!$C$6,D1797)),Assumptions!$D$6,IF(ISNUMBER(SEARCH(Assumptions!$C$7,D1797)),Assumptions!$D$7,"Other Services"))),"Other Services"))</f>
        <v/>
      </c>
    </row>
    <row r="1798" customFormat="false" ht="15" hidden="false" customHeight="false" outlineLevel="0" collapsed="false">
      <c r="F1798" s="41" t="str">
        <f aca="false">IF(D1798="","",IFERROR(IF(ISNUMBER(SEARCH(Assumptions!$C$5,D1798)),Assumptions!$D$5,IF(ISNUMBER(SEARCH(Assumptions!$C$6,D1798)),Assumptions!$D$6,IF(ISNUMBER(SEARCH(Assumptions!$C$7,D1798)),Assumptions!$D$7,"Other Services"))),"Other Services"))</f>
        <v/>
      </c>
    </row>
    <row r="1799" customFormat="false" ht="15" hidden="false" customHeight="false" outlineLevel="0" collapsed="false">
      <c r="F1799" s="41" t="str">
        <f aca="false">IF(D1799="","",IFERROR(IF(ISNUMBER(SEARCH(Assumptions!$C$5,D1799)),Assumptions!$D$5,IF(ISNUMBER(SEARCH(Assumptions!$C$6,D1799)),Assumptions!$D$6,IF(ISNUMBER(SEARCH(Assumptions!$C$7,D1799)),Assumptions!$D$7,"Other Services"))),"Other Services"))</f>
        <v/>
      </c>
    </row>
    <row r="1800" customFormat="false" ht="15" hidden="false" customHeight="false" outlineLevel="0" collapsed="false">
      <c r="F1800" s="41" t="str">
        <f aca="false">IF(D1800="","",IFERROR(IF(ISNUMBER(SEARCH(Assumptions!$C$5,D1800)),Assumptions!$D$5,IF(ISNUMBER(SEARCH(Assumptions!$C$6,D1800)),Assumptions!$D$6,IF(ISNUMBER(SEARCH(Assumptions!$C$7,D1800)),Assumptions!$D$7,"Other Services"))),"Other Services"))</f>
        <v/>
      </c>
    </row>
    <row r="1801" customFormat="false" ht="15" hidden="false" customHeight="false" outlineLevel="0" collapsed="false">
      <c r="F1801" s="41" t="str">
        <f aca="false">IF(D1801="","",IFERROR(IF(ISNUMBER(SEARCH(Assumptions!$C$5,D1801)),Assumptions!$D$5,IF(ISNUMBER(SEARCH(Assumptions!$C$6,D1801)),Assumptions!$D$6,IF(ISNUMBER(SEARCH(Assumptions!$C$7,D1801)),Assumptions!$D$7,"Other Services"))),"Other Services"))</f>
        <v/>
      </c>
    </row>
    <row r="1802" customFormat="false" ht="15" hidden="false" customHeight="false" outlineLevel="0" collapsed="false">
      <c r="F1802" s="41" t="str">
        <f aca="false">IF(D1802="","",IFERROR(IF(ISNUMBER(SEARCH(Assumptions!$C$5,D1802)),Assumptions!$D$5,IF(ISNUMBER(SEARCH(Assumptions!$C$6,D1802)),Assumptions!$D$6,IF(ISNUMBER(SEARCH(Assumptions!$C$7,D1802)),Assumptions!$D$7,"Other Services"))),"Other Services"))</f>
        <v/>
      </c>
    </row>
    <row r="1803" customFormat="false" ht="15" hidden="false" customHeight="false" outlineLevel="0" collapsed="false">
      <c r="F1803" s="41" t="str">
        <f aca="false">IF(D1803="","",IFERROR(IF(ISNUMBER(SEARCH(Assumptions!$C$5,D1803)),Assumptions!$D$5,IF(ISNUMBER(SEARCH(Assumptions!$C$6,D1803)),Assumptions!$D$6,IF(ISNUMBER(SEARCH(Assumptions!$C$7,D1803)),Assumptions!$D$7,"Other Services"))),"Other Services"))</f>
        <v/>
      </c>
    </row>
    <row r="1804" customFormat="false" ht="15" hidden="false" customHeight="false" outlineLevel="0" collapsed="false">
      <c r="F1804" s="41" t="str">
        <f aca="false">IF(D1804="","",IFERROR(IF(ISNUMBER(SEARCH(Assumptions!$C$5,D1804)),Assumptions!$D$5,IF(ISNUMBER(SEARCH(Assumptions!$C$6,D1804)),Assumptions!$D$6,IF(ISNUMBER(SEARCH(Assumptions!$C$7,D1804)),Assumptions!$D$7,"Other Services"))),"Other Services"))</f>
        <v/>
      </c>
    </row>
    <row r="1805" customFormat="false" ht="15" hidden="false" customHeight="false" outlineLevel="0" collapsed="false">
      <c r="F1805" s="41" t="str">
        <f aca="false">IF(D1805="","",IFERROR(IF(ISNUMBER(SEARCH(Assumptions!$C$5,D1805)),Assumptions!$D$5,IF(ISNUMBER(SEARCH(Assumptions!$C$6,D1805)),Assumptions!$D$6,IF(ISNUMBER(SEARCH(Assumptions!$C$7,D1805)),Assumptions!$D$7,"Other Services"))),"Other Services"))</f>
        <v/>
      </c>
    </row>
    <row r="1806" customFormat="false" ht="15" hidden="false" customHeight="false" outlineLevel="0" collapsed="false">
      <c r="F1806" s="41" t="str">
        <f aca="false">IF(D1806="","",IFERROR(IF(ISNUMBER(SEARCH(Assumptions!$C$5,D1806)),Assumptions!$D$5,IF(ISNUMBER(SEARCH(Assumptions!$C$6,D1806)),Assumptions!$D$6,IF(ISNUMBER(SEARCH(Assumptions!$C$7,D1806)),Assumptions!$D$7,"Other Services"))),"Other Services"))</f>
        <v/>
      </c>
    </row>
    <row r="1807" customFormat="false" ht="15" hidden="false" customHeight="false" outlineLevel="0" collapsed="false">
      <c r="F1807" s="41" t="str">
        <f aca="false">IF(D1807="","",IFERROR(IF(ISNUMBER(SEARCH(Assumptions!$C$5,D1807)),Assumptions!$D$5,IF(ISNUMBER(SEARCH(Assumptions!$C$6,D1807)),Assumptions!$D$6,IF(ISNUMBER(SEARCH(Assumptions!$C$7,D1807)),Assumptions!$D$7,"Other Services"))),"Other Services"))</f>
        <v/>
      </c>
    </row>
    <row r="1808" customFormat="false" ht="15" hidden="false" customHeight="false" outlineLevel="0" collapsed="false">
      <c r="F1808" s="41" t="str">
        <f aca="false">IF(D1808="","",IFERROR(IF(ISNUMBER(SEARCH(Assumptions!$C$5,D1808)),Assumptions!$D$5,IF(ISNUMBER(SEARCH(Assumptions!$C$6,D1808)),Assumptions!$D$6,IF(ISNUMBER(SEARCH(Assumptions!$C$7,D1808)),Assumptions!$D$7,"Other Services"))),"Other Services"))</f>
        <v/>
      </c>
    </row>
    <row r="1809" customFormat="false" ht="15" hidden="false" customHeight="false" outlineLevel="0" collapsed="false">
      <c r="F1809" s="41" t="str">
        <f aca="false">IF(D1809="","",IFERROR(IF(ISNUMBER(SEARCH(Assumptions!$C$5,D1809)),Assumptions!$D$5,IF(ISNUMBER(SEARCH(Assumptions!$C$6,D1809)),Assumptions!$D$6,IF(ISNUMBER(SEARCH(Assumptions!$C$7,D1809)),Assumptions!$D$7,"Other Services"))),"Other Services"))</f>
        <v/>
      </c>
    </row>
    <row r="1810" customFormat="false" ht="15" hidden="false" customHeight="false" outlineLevel="0" collapsed="false">
      <c r="F1810" s="41" t="str">
        <f aca="false">IF(D1810="","",IFERROR(IF(ISNUMBER(SEARCH(Assumptions!$C$5,D1810)),Assumptions!$D$5,IF(ISNUMBER(SEARCH(Assumptions!$C$6,D1810)),Assumptions!$D$6,IF(ISNUMBER(SEARCH(Assumptions!$C$7,D1810)),Assumptions!$D$7,"Other Services"))),"Other Services"))</f>
        <v/>
      </c>
    </row>
    <row r="1811" customFormat="false" ht="15" hidden="false" customHeight="false" outlineLevel="0" collapsed="false">
      <c r="F1811" s="41" t="str">
        <f aca="false">IF(D1811="","",IFERROR(IF(ISNUMBER(SEARCH(Assumptions!$C$5,D1811)),Assumptions!$D$5,IF(ISNUMBER(SEARCH(Assumptions!$C$6,D1811)),Assumptions!$D$6,IF(ISNUMBER(SEARCH(Assumptions!$C$7,D1811)),Assumptions!$D$7,"Other Services"))),"Other Services"))</f>
        <v/>
      </c>
    </row>
    <row r="1812" customFormat="false" ht="15" hidden="false" customHeight="false" outlineLevel="0" collapsed="false">
      <c r="F1812" s="41" t="str">
        <f aca="false">IF(D1812="","",IFERROR(IF(ISNUMBER(SEARCH(Assumptions!$C$5,D1812)),Assumptions!$D$5,IF(ISNUMBER(SEARCH(Assumptions!$C$6,D1812)),Assumptions!$D$6,IF(ISNUMBER(SEARCH(Assumptions!$C$7,D1812)),Assumptions!$D$7,"Other Services"))),"Other Services"))</f>
        <v/>
      </c>
    </row>
    <row r="1813" customFormat="false" ht="15" hidden="false" customHeight="false" outlineLevel="0" collapsed="false">
      <c r="F1813" s="41" t="str">
        <f aca="false">IF(D1813="","",IFERROR(IF(ISNUMBER(SEARCH(Assumptions!$C$5,D1813)),Assumptions!$D$5,IF(ISNUMBER(SEARCH(Assumptions!$C$6,D1813)),Assumptions!$D$6,IF(ISNUMBER(SEARCH(Assumptions!$C$7,D1813)),Assumptions!$D$7,"Other Services"))),"Other Services"))</f>
        <v/>
      </c>
    </row>
    <row r="1814" customFormat="false" ht="15" hidden="false" customHeight="false" outlineLevel="0" collapsed="false">
      <c r="F1814" s="41" t="str">
        <f aca="false">IF(D1814="","",IFERROR(IF(ISNUMBER(SEARCH(Assumptions!$C$5,D1814)),Assumptions!$D$5,IF(ISNUMBER(SEARCH(Assumptions!$C$6,D1814)),Assumptions!$D$6,IF(ISNUMBER(SEARCH(Assumptions!$C$7,D1814)),Assumptions!$D$7,"Other Services"))),"Other Services"))</f>
        <v/>
      </c>
    </row>
    <row r="1815" customFormat="false" ht="15" hidden="false" customHeight="false" outlineLevel="0" collapsed="false">
      <c r="F1815" s="41" t="str">
        <f aca="false">IF(D1815="","",IFERROR(IF(ISNUMBER(SEARCH(Assumptions!$C$5,D1815)),Assumptions!$D$5,IF(ISNUMBER(SEARCH(Assumptions!$C$6,D1815)),Assumptions!$D$6,IF(ISNUMBER(SEARCH(Assumptions!$C$7,D1815)),Assumptions!$D$7,"Other Services"))),"Other Services"))</f>
        <v/>
      </c>
    </row>
    <row r="1816" customFormat="false" ht="15" hidden="false" customHeight="false" outlineLevel="0" collapsed="false">
      <c r="F1816" s="41" t="str">
        <f aca="false">IF(D1816="","",IFERROR(IF(ISNUMBER(SEARCH(Assumptions!$C$5,D1816)),Assumptions!$D$5,IF(ISNUMBER(SEARCH(Assumptions!$C$6,D1816)),Assumptions!$D$6,IF(ISNUMBER(SEARCH(Assumptions!$C$7,D1816)),Assumptions!$D$7,"Other Services"))),"Other Services"))</f>
        <v/>
      </c>
    </row>
    <row r="1817" customFormat="false" ht="15" hidden="false" customHeight="false" outlineLevel="0" collapsed="false">
      <c r="F1817" s="41" t="str">
        <f aca="false">IF(D1817="","",IFERROR(IF(ISNUMBER(SEARCH(Assumptions!$C$5,D1817)),Assumptions!$D$5,IF(ISNUMBER(SEARCH(Assumptions!$C$6,D1817)),Assumptions!$D$6,IF(ISNUMBER(SEARCH(Assumptions!$C$7,D1817)),Assumptions!$D$7,"Other Services"))),"Other Services"))</f>
        <v/>
      </c>
    </row>
    <row r="1818" customFormat="false" ht="15" hidden="false" customHeight="false" outlineLevel="0" collapsed="false">
      <c r="F1818" s="41" t="str">
        <f aca="false">IF(D1818="","",IFERROR(IF(ISNUMBER(SEARCH(Assumptions!$C$5,D1818)),Assumptions!$D$5,IF(ISNUMBER(SEARCH(Assumptions!$C$6,D1818)),Assumptions!$D$6,IF(ISNUMBER(SEARCH(Assumptions!$C$7,D1818)),Assumptions!$D$7,"Other Services"))),"Other Services"))</f>
        <v/>
      </c>
    </row>
    <row r="1819" customFormat="false" ht="15" hidden="false" customHeight="false" outlineLevel="0" collapsed="false">
      <c r="F1819" s="41" t="str">
        <f aca="false">IF(D1819="","",IFERROR(IF(ISNUMBER(SEARCH(Assumptions!$C$5,D1819)),Assumptions!$D$5,IF(ISNUMBER(SEARCH(Assumptions!$C$6,D1819)),Assumptions!$D$6,IF(ISNUMBER(SEARCH(Assumptions!$C$7,D1819)),Assumptions!$D$7,"Other Services"))),"Other Services"))</f>
        <v/>
      </c>
    </row>
    <row r="1820" customFormat="false" ht="15" hidden="false" customHeight="false" outlineLevel="0" collapsed="false">
      <c r="F1820" s="41" t="str">
        <f aca="false">IF(D1820="","",IFERROR(IF(ISNUMBER(SEARCH(Assumptions!$C$5,D1820)),Assumptions!$D$5,IF(ISNUMBER(SEARCH(Assumptions!$C$6,D1820)),Assumptions!$D$6,IF(ISNUMBER(SEARCH(Assumptions!$C$7,D1820)),Assumptions!$D$7,"Other Services"))),"Other Services"))</f>
        <v/>
      </c>
    </row>
    <row r="1821" customFormat="false" ht="15" hidden="false" customHeight="false" outlineLevel="0" collapsed="false">
      <c r="F1821" s="41" t="str">
        <f aca="false">IF(D1821="","",IFERROR(IF(ISNUMBER(SEARCH(Assumptions!$C$5,D1821)),Assumptions!$D$5,IF(ISNUMBER(SEARCH(Assumptions!$C$6,D1821)),Assumptions!$D$6,IF(ISNUMBER(SEARCH(Assumptions!$C$7,D1821)),Assumptions!$D$7,"Other Services"))),"Other Services"))</f>
        <v/>
      </c>
    </row>
    <row r="1822" customFormat="false" ht="15" hidden="false" customHeight="false" outlineLevel="0" collapsed="false">
      <c r="F1822" s="41" t="str">
        <f aca="false">IF(D1822="","",IFERROR(IF(ISNUMBER(SEARCH(Assumptions!$C$5,D1822)),Assumptions!$D$5,IF(ISNUMBER(SEARCH(Assumptions!$C$6,D1822)),Assumptions!$D$6,IF(ISNUMBER(SEARCH(Assumptions!$C$7,D1822)),Assumptions!$D$7,"Other Services"))),"Other Services"))</f>
        <v/>
      </c>
    </row>
    <row r="1823" customFormat="false" ht="15" hidden="false" customHeight="false" outlineLevel="0" collapsed="false">
      <c r="F1823" s="41" t="str">
        <f aca="false">IF(D1823="","",IFERROR(IF(ISNUMBER(SEARCH(Assumptions!$C$5,D1823)),Assumptions!$D$5,IF(ISNUMBER(SEARCH(Assumptions!$C$6,D1823)),Assumptions!$D$6,IF(ISNUMBER(SEARCH(Assumptions!$C$7,D1823)),Assumptions!$D$7,"Other Services"))),"Other Services"))</f>
        <v/>
      </c>
    </row>
    <row r="1824" customFormat="false" ht="15" hidden="false" customHeight="false" outlineLevel="0" collapsed="false">
      <c r="F1824" s="41" t="str">
        <f aca="false">IF(D1824="","",IFERROR(IF(ISNUMBER(SEARCH(Assumptions!$C$5,D1824)),Assumptions!$D$5,IF(ISNUMBER(SEARCH(Assumptions!$C$6,D1824)),Assumptions!$D$6,IF(ISNUMBER(SEARCH(Assumptions!$C$7,D1824)),Assumptions!$D$7,"Other Services"))),"Other Services"))</f>
        <v/>
      </c>
    </row>
    <row r="1825" customFormat="false" ht="15" hidden="false" customHeight="false" outlineLevel="0" collapsed="false">
      <c r="F1825" s="41" t="str">
        <f aca="false">IF(D1825="","",IFERROR(IF(ISNUMBER(SEARCH(Assumptions!$C$5,D1825)),Assumptions!$D$5,IF(ISNUMBER(SEARCH(Assumptions!$C$6,D1825)),Assumptions!$D$6,IF(ISNUMBER(SEARCH(Assumptions!$C$7,D1825)),Assumptions!$D$7,"Other Services"))),"Other Services"))</f>
        <v/>
      </c>
    </row>
    <row r="1826" customFormat="false" ht="15" hidden="false" customHeight="false" outlineLevel="0" collapsed="false">
      <c r="F1826" s="41" t="str">
        <f aca="false">IF(D1826="","",IFERROR(IF(ISNUMBER(SEARCH(Assumptions!$C$5,D1826)),Assumptions!$D$5,IF(ISNUMBER(SEARCH(Assumptions!$C$6,D1826)),Assumptions!$D$6,IF(ISNUMBER(SEARCH(Assumptions!$C$7,D1826)),Assumptions!$D$7,"Other Services"))),"Other Services"))</f>
        <v/>
      </c>
    </row>
    <row r="1827" customFormat="false" ht="15" hidden="false" customHeight="false" outlineLevel="0" collapsed="false">
      <c r="F1827" s="41" t="str">
        <f aca="false">IF(D1827="","",IFERROR(IF(ISNUMBER(SEARCH(Assumptions!$C$5,D1827)),Assumptions!$D$5,IF(ISNUMBER(SEARCH(Assumptions!$C$6,D1827)),Assumptions!$D$6,IF(ISNUMBER(SEARCH(Assumptions!$C$7,D1827)),Assumptions!$D$7,"Other Services"))),"Other Services"))</f>
        <v/>
      </c>
    </row>
    <row r="1828" customFormat="false" ht="15" hidden="false" customHeight="false" outlineLevel="0" collapsed="false">
      <c r="F1828" s="41" t="str">
        <f aca="false">IF(D1828="","",IFERROR(IF(ISNUMBER(SEARCH(Assumptions!$C$5,D1828)),Assumptions!$D$5,IF(ISNUMBER(SEARCH(Assumptions!$C$6,D1828)),Assumptions!$D$6,IF(ISNUMBER(SEARCH(Assumptions!$C$7,D1828)),Assumptions!$D$7,"Other Services"))),"Other Services"))</f>
        <v/>
      </c>
    </row>
    <row r="1829" customFormat="false" ht="15" hidden="false" customHeight="false" outlineLevel="0" collapsed="false">
      <c r="F1829" s="41" t="str">
        <f aca="false">IF(D1829="","",IFERROR(IF(ISNUMBER(SEARCH(Assumptions!$C$5,D1829)),Assumptions!$D$5,IF(ISNUMBER(SEARCH(Assumptions!$C$6,D1829)),Assumptions!$D$6,IF(ISNUMBER(SEARCH(Assumptions!$C$7,D1829)),Assumptions!$D$7,"Other Services"))),"Other Services"))</f>
        <v/>
      </c>
    </row>
    <row r="1830" customFormat="false" ht="15" hidden="false" customHeight="false" outlineLevel="0" collapsed="false">
      <c r="F1830" s="41" t="str">
        <f aca="false">IF(D1830="","",IFERROR(IF(ISNUMBER(SEARCH(Assumptions!$C$5,D1830)),Assumptions!$D$5,IF(ISNUMBER(SEARCH(Assumptions!$C$6,D1830)),Assumptions!$D$6,IF(ISNUMBER(SEARCH(Assumptions!$C$7,D1830)),Assumptions!$D$7,"Other Services"))),"Other Services"))</f>
        <v/>
      </c>
    </row>
    <row r="1831" customFormat="false" ht="15" hidden="false" customHeight="false" outlineLevel="0" collapsed="false">
      <c r="F1831" s="41" t="str">
        <f aca="false">IF(D1831="","",IFERROR(IF(ISNUMBER(SEARCH(Assumptions!$C$5,D1831)),Assumptions!$D$5,IF(ISNUMBER(SEARCH(Assumptions!$C$6,D1831)),Assumptions!$D$6,IF(ISNUMBER(SEARCH(Assumptions!$C$7,D1831)),Assumptions!$D$7,"Other Services"))),"Other Services"))</f>
        <v/>
      </c>
    </row>
    <row r="1832" customFormat="false" ht="15" hidden="false" customHeight="false" outlineLevel="0" collapsed="false">
      <c r="F1832" s="41" t="str">
        <f aca="false">IF(D1832="","",IFERROR(IF(ISNUMBER(SEARCH(Assumptions!$C$5,D1832)),Assumptions!$D$5,IF(ISNUMBER(SEARCH(Assumptions!$C$6,D1832)),Assumptions!$D$6,IF(ISNUMBER(SEARCH(Assumptions!$C$7,D1832)),Assumptions!$D$7,"Other Services"))),"Other Services"))</f>
        <v/>
      </c>
    </row>
    <row r="1833" customFormat="false" ht="15" hidden="false" customHeight="false" outlineLevel="0" collapsed="false">
      <c r="F1833" s="41" t="str">
        <f aca="false">IF(D1833="","",IFERROR(IF(ISNUMBER(SEARCH(Assumptions!$C$5,D1833)),Assumptions!$D$5,IF(ISNUMBER(SEARCH(Assumptions!$C$6,D1833)),Assumptions!$D$6,IF(ISNUMBER(SEARCH(Assumptions!$C$7,D1833)),Assumptions!$D$7,"Other Services"))),"Other Services"))</f>
        <v/>
      </c>
    </row>
    <row r="1834" customFormat="false" ht="15" hidden="false" customHeight="false" outlineLevel="0" collapsed="false">
      <c r="F1834" s="41" t="str">
        <f aca="false">IF(D1834="","",IFERROR(IF(ISNUMBER(SEARCH(Assumptions!$C$5,D1834)),Assumptions!$D$5,IF(ISNUMBER(SEARCH(Assumptions!$C$6,D1834)),Assumptions!$D$6,IF(ISNUMBER(SEARCH(Assumptions!$C$7,D1834)),Assumptions!$D$7,"Other Services"))),"Other Services"))</f>
        <v/>
      </c>
    </row>
    <row r="1835" customFormat="false" ht="15" hidden="false" customHeight="false" outlineLevel="0" collapsed="false">
      <c r="F1835" s="41" t="str">
        <f aca="false">IF(D1835="","",IFERROR(IF(ISNUMBER(SEARCH(Assumptions!$C$5,D1835)),Assumptions!$D$5,IF(ISNUMBER(SEARCH(Assumptions!$C$6,D1835)),Assumptions!$D$6,IF(ISNUMBER(SEARCH(Assumptions!$C$7,D1835)),Assumptions!$D$7,"Other Services"))),"Other Services"))</f>
        <v/>
      </c>
    </row>
    <row r="1836" customFormat="false" ht="15" hidden="false" customHeight="false" outlineLevel="0" collapsed="false">
      <c r="F1836" s="41" t="str">
        <f aca="false">IF(D1836="","",IFERROR(IF(ISNUMBER(SEARCH(Assumptions!$C$5,D1836)),Assumptions!$D$5,IF(ISNUMBER(SEARCH(Assumptions!$C$6,D1836)),Assumptions!$D$6,IF(ISNUMBER(SEARCH(Assumptions!$C$7,D1836)),Assumptions!$D$7,"Other Services"))),"Other Services"))</f>
        <v/>
      </c>
    </row>
    <row r="1837" customFormat="false" ht="15" hidden="false" customHeight="false" outlineLevel="0" collapsed="false">
      <c r="F1837" s="41" t="str">
        <f aca="false">IF(D1837="","",IFERROR(IF(ISNUMBER(SEARCH(Assumptions!$C$5,D1837)),Assumptions!$D$5,IF(ISNUMBER(SEARCH(Assumptions!$C$6,D1837)),Assumptions!$D$6,IF(ISNUMBER(SEARCH(Assumptions!$C$7,D1837)),Assumptions!$D$7,"Other Services"))),"Other Services"))</f>
        <v/>
      </c>
    </row>
    <row r="1838" customFormat="false" ht="15" hidden="false" customHeight="false" outlineLevel="0" collapsed="false">
      <c r="F1838" s="41" t="str">
        <f aca="false">IF(D1838="","",IFERROR(IF(ISNUMBER(SEARCH(Assumptions!$C$5,D1838)),Assumptions!$D$5,IF(ISNUMBER(SEARCH(Assumptions!$C$6,D1838)),Assumptions!$D$6,IF(ISNUMBER(SEARCH(Assumptions!$C$7,D1838)),Assumptions!$D$7,"Other Services"))),"Other Services"))</f>
        <v/>
      </c>
    </row>
    <row r="1839" customFormat="false" ht="15" hidden="false" customHeight="false" outlineLevel="0" collapsed="false">
      <c r="F1839" s="41" t="str">
        <f aca="false">IF(D1839="","",IFERROR(IF(ISNUMBER(SEARCH(Assumptions!$C$5,D1839)),Assumptions!$D$5,IF(ISNUMBER(SEARCH(Assumptions!$C$6,D1839)),Assumptions!$D$6,IF(ISNUMBER(SEARCH(Assumptions!$C$7,D1839)),Assumptions!$D$7,"Other Services"))),"Other Services"))</f>
        <v/>
      </c>
    </row>
    <row r="1840" customFormat="false" ht="15" hidden="false" customHeight="false" outlineLevel="0" collapsed="false">
      <c r="F1840" s="41" t="str">
        <f aca="false">IF(D1840="","",IFERROR(IF(ISNUMBER(SEARCH(Assumptions!$C$5,D1840)),Assumptions!$D$5,IF(ISNUMBER(SEARCH(Assumptions!$C$6,D1840)),Assumptions!$D$6,IF(ISNUMBER(SEARCH(Assumptions!$C$7,D1840)),Assumptions!$D$7,"Other Services"))),"Other Services"))</f>
        <v/>
      </c>
    </row>
    <row r="1841" customFormat="false" ht="15" hidden="false" customHeight="false" outlineLevel="0" collapsed="false">
      <c r="F1841" s="41" t="str">
        <f aca="false">IF(D1841="","",IFERROR(IF(ISNUMBER(SEARCH(Assumptions!$C$5,D1841)),Assumptions!$D$5,IF(ISNUMBER(SEARCH(Assumptions!$C$6,D1841)),Assumptions!$D$6,IF(ISNUMBER(SEARCH(Assumptions!$C$7,D1841)),Assumptions!$D$7,"Other Services"))),"Other Services"))</f>
        <v/>
      </c>
    </row>
    <row r="1842" customFormat="false" ht="15" hidden="false" customHeight="false" outlineLevel="0" collapsed="false">
      <c r="F1842" s="41" t="str">
        <f aca="false">IF(D1842="","",IFERROR(IF(ISNUMBER(SEARCH(Assumptions!$C$5,D1842)),Assumptions!$D$5,IF(ISNUMBER(SEARCH(Assumptions!$C$6,D1842)),Assumptions!$D$6,IF(ISNUMBER(SEARCH(Assumptions!$C$7,D1842)),Assumptions!$D$7,"Other Services"))),"Other Services"))</f>
        <v/>
      </c>
    </row>
    <row r="1843" customFormat="false" ht="15" hidden="false" customHeight="false" outlineLevel="0" collapsed="false">
      <c r="F1843" s="41" t="str">
        <f aca="false">IF(D1843="","",IFERROR(IF(ISNUMBER(SEARCH(Assumptions!$C$5,D1843)),Assumptions!$D$5,IF(ISNUMBER(SEARCH(Assumptions!$C$6,D1843)),Assumptions!$D$6,IF(ISNUMBER(SEARCH(Assumptions!$C$7,D1843)),Assumptions!$D$7,"Other Services"))),"Other Services"))</f>
        <v/>
      </c>
    </row>
    <row r="1844" customFormat="false" ht="15" hidden="false" customHeight="false" outlineLevel="0" collapsed="false">
      <c r="F1844" s="41" t="str">
        <f aca="false">IF(D1844="","",IFERROR(IF(ISNUMBER(SEARCH(Assumptions!$C$5,D1844)),Assumptions!$D$5,IF(ISNUMBER(SEARCH(Assumptions!$C$6,D1844)),Assumptions!$D$6,IF(ISNUMBER(SEARCH(Assumptions!$C$7,D1844)),Assumptions!$D$7,"Other Services"))),"Other Services"))</f>
        <v/>
      </c>
    </row>
    <row r="1845" customFormat="false" ht="15" hidden="false" customHeight="false" outlineLevel="0" collapsed="false">
      <c r="F1845" s="41" t="str">
        <f aca="false">IF(D1845="","",IFERROR(IF(ISNUMBER(SEARCH(Assumptions!$C$5,D1845)),Assumptions!$D$5,IF(ISNUMBER(SEARCH(Assumptions!$C$6,D1845)),Assumptions!$D$6,IF(ISNUMBER(SEARCH(Assumptions!$C$7,D1845)),Assumptions!$D$7,"Other Services"))),"Other Services"))</f>
        <v/>
      </c>
    </row>
    <row r="1846" customFormat="false" ht="15" hidden="false" customHeight="false" outlineLevel="0" collapsed="false">
      <c r="F1846" s="41" t="str">
        <f aca="false">IF(D1846="","",IFERROR(IF(ISNUMBER(SEARCH(Assumptions!$C$5,D1846)),Assumptions!$D$5,IF(ISNUMBER(SEARCH(Assumptions!$C$6,D1846)),Assumptions!$D$6,IF(ISNUMBER(SEARCH(Assumptions!$C$7,D1846)),Assumptions!$D$7,"Other Services"))),"Other Services"))</f>
        <v/>
      </c>
    </row>
    <row r="1847" customFormat="false" ht="15" hidden="false" customHeight="false" outlineLevel="0" collapsed="false">
      <c r="F1847" s="41" t="str">
        <f aca="false">IF(D1847="","",IFERROR(IF(ISNUMBER(SEARCH(Assumptions!$C$5,D1847)),Assumptions!$D$5,IF(ISNUMBER(SEARCH(Assumptions!$C$6,D1847)),Assumptions!$D$6,IF(ISNUMBER(SEARCH(Assumptions!$C$7,D1847)),Assumptions!$D$7,"Other Services"))),"Other Services"))</f>
        <v/>
      </c>
    </row>
    <row r="1848" customFormat="false" ht="15" hidden="false" customHeight="false" outlineLevel="0" collapsed="false">
      <c r="F1848" s="41" t="str">
        <f aca="false">IF(D1848="","",IFERROR(IF(ISNUMBER(SEARCH(Assumptions!$C$5,D1848)),Assumptions!$D$5,IF(ISNUMBER(SEARCH(Assumptions!$C$6,D1848)),Assumptions!$D$6,IF(ISNUMBER(SEARCH(Assumptions!$C$7,D1848)),Assumptions!$D$7,"Other Services"))),"Other Services"))</f>
        <v/>
      </c>
    </row>
    <row r="1849" customFormat="false" ht="15" hidden="false" customHeight="false" outlineLevel="0" collapsed="false">
      <c r="F1849" s="41" t="str">
        <f aca="false">IF(D1849="","",IFERROR(IF(ISNUMBER(SEARCH(Assumptions!$C$5,D1849)),Assumptions!$D$5,IF(ISNUMBER(SEARCH(Assumptions!$C$6,D1849)),Assumptions!$D$6,IF(ISNUMBER(SEARCH(Assumptions!$C$7,D1849)),Assumptions!$D$7,"Other Services"))),"Other Services"))</f>
        <v/>
      </c>
    </row>
    <row r="1850" customFormat="false" ht="15" hidden="false" customHeight="false" outlineLevel="0" collapsed="false">
      <c r="F1850" s="41" t="str">
        <f aca="false">IF(D1850="","",IFERROR(IF(ISNUMBER(SEARCH(Assumptions!$C$5,D1850)),Assumptions!$D$5,IF(ISNUMBER(SEARCH(Assumptions!$C$6,D1850)),Assumptions!$D$6,IF(ISNUMBER(SEARCH(Assumptions!$C$7,D1850)),Assumptions!$D$7,"Other Services"))),"Other Services"))</f>
        <v/>
      </c>
    </row>
    <row r="1851" customFormat="false" ht="15" hidden="false" customHeight="false" outlineLevel="0" collapsed="false">
      <c r="F1851" s="41" t="str">
        <f aca="false">IF(D1851="","",IFERROR(IF(ISNUMBER(SEARCH(Assumptions!$C$5,D1851)),Assumptions!$D$5,IF(ISNUMBER(SEARCH(Assumptions!$C$6,D1851)),Assumptions!$D$6,IF(ISNUMBER(SEARCH(Assumptions!$C$7,D1851)),Assumptions!$D$7,"Other Services"))),"Other Services"))</f>
        <v/>
      </c>
    </row>
    <row r="1852" customFormat="false" ht="15" hidden="false" customHeight="false" outlineLevel="0" collapsed="false">
      <c r="F1852" s="41" t="str">
        <f aca="false">IF(D1852="","",IFERROR(IF(ISNUMBER(SEARCH(Assumptions!$C$5,D1852)),Assumptions!$D$5,IF(ISNUMBER(SEARCH(Assumptions!$C$6,D1852)),Assumptions!$D$6,IF(ISNUMBER(SEARCH(Assumptions!$C$7,D1852)),Assumptions!$D$7,"Other Services"))),"Other Services"))</f>
        <v/>
      </c>
    </row>
    <row r="1853" customFormat="false" ht="15" hidden="false" customHeight="false" outlineLevel="0" collapsed="false">
      <c r="F1853" s="41" t="str">
        <f aca="false">IF(D1853="","",IFERROR(IF(ISNUMBER(SEARCH(Assumptions!$C$5,D1853)),Assumptions!$D$5,IF(ISNUMBER(SEARCH(Assumptions!$C$6,D1853)),Assumptions!$D$6,IF(ISNUMBER(SEARCH(Assumptions!$C$7,D1853)),Assumptions!$D$7,"Other Services"))),"Other Services"))</f>
        <v/>
      </c>
    </row>
    <row r="1854" customFormat="false" ht="15" hidden="false" customHeight="false" outlineLevel="0" collapsed="false">
      <c r="F1854" s="41" t="str">
        <f aca="false">IF(D1854="","",IFERROR(IF(ISNUMBER(SEARCH(Assumptions!$C$5,D1854)),Assumptions!$D$5,IF(ISNUMBER(SEARCH(Assumptions!$C$6,D1854)),Assumptions!$D$6,IF(ISNUMBER(SEARCH(Assumptions!$C$7,D1854)),Assumptions!$D$7,"Other Services"))),"Other Services"))</f>
        <v/>
      </c>
    </row>
    <row r="1855" customFormat="false" ht="15" hidden="false" customHeight="false" outlineLevel="0" collapsed="false">
      <c r="F1855" s="41" t="str">
        <f aca="false">IF(D1855="","",IFERROR(IF(ISNUMBER(SEARCH(Assumptions!$C$5,D1855)),Assumptions!$D$5,IF(ISNUMBER(SEARCH(Assumptions!$C$6,D1855)),Assumptions!$D$6,IF(ISNUMBER(SEARCH(Assumptions!$C$7,D1855)),Assumptions!$D$7,"Other Services"))),"Other Services"))</f>
        <v/>
      </c>
    </row>
    <row r="1856" customFormat="false" ht="15" hidden="false" customHeight="false" outlineLevel="0" collapsed="false">
      <c r="F1856" s="41" t="str">
        <f aca="false">IF(D1856="","",IFERROR(IF(ISNUMBER(SEARCH(Assumptions!$C$5,D1856)),Assumptions!$D$5,IF(ISNUMBER(SEARCH(Assumptions!$C$6,D1856)),Assumptions!$D$6,IF(ISNUMBER(SEARCH(Assumptions!$C$7,D1856)),Assumptions!$D$7,"Other Services"))),"Other Services"))</f>
        <v/>
      </c>
    </row>
    <row r="1857" customFormat="false" ht="15" hidden="false" customHeight="false" outlineLevel="0" collapsed="false">
      <c r="F1857" s="41" t="str">
        <f aca="false">IF(D1857="","",IFERROR(IF(ISNUMBER(SEARCH(Assumptions!$C$5,D1857)),Assumptions!$D$5,IF(ISNUMBER(SEARCH(Assumptions!$C$6,D1857)),Assumptions!$D$6,IF(ISNUMBER(SEARCH(Assumptions!$C$7,D1857)),Assumptions!$D$7,"Other Services"))),"Other Services"))</f>
        <v/>
      </c>
    </row>
    <row r="1858" customFormat="false" ht="15" hidden="false" customHeight="false" outlineLevel="0" collapsed="false">
      <c r="F1858" s="41" t="str">
        <f aca="false">IF(D1858="","",IFERROR(IF(ISNUMBER(SEARCH(Assumptions!$C$5,D1858)),Assumptions!$D$5,IF(ISNUMBER(SEARCH(Assumptions!$C$6,D1858)),Assumptions!$D$6,IF(ISNUMBER(SEARCH(Assumptions!$C$7,D1858)),Assumptions!$D$7,"Other Services"))),"Other Services"))</f>
        <v/>
      </c>
    </row>
    <row r="1859" customFormat="false" ht="15" hidden="false" customHeight="false" outlineLevel="0" collapsed="false">
      <c r="F1859" s="41" t="str">
        <f aca="false">IF(D1859="","",IFERROR(IF(ISNUMBER(SEARCH(Assumptions!$C$5,D1859)),Assumptions!$D$5,IF(ISNUMBER(SEARCH(Assumptions!$C$6,D1859)),Assumptions!$D$6,IF(ISNUMBER(SEARCH(Assumptions!$C$7,D1859)),Assumptions!$D$7,"Other Services"))),"Other Services"))</f>
        <v/>
      </c>
    </row>
    <row r="1860" customFormat="false" ht="15" hidden="false" customHeight="false" outlineLevel="0" collapsed="false">
      <c r="F1860" s="41" t="str">
        <f aca="false">IF(D1860="","",IFERROR(IF(ISNUMBER(SEARCH(Assumptions!$C$5,D1860)),Assumptions!$D$5,IF(ISNUMBER(SEARCH(Assumptions!$C$6,D1860)),Assumptions!$D$6,IF(ISNUMBER(SEARCH(Assumptions!$C$7,D1860)),Assumptions!$D$7,"Other Services"))),"Other Services"))</f>
        <v/>
      </c>
    </row>
    <row r="1861" customFormat="false" ht="15" hidden="false" customHeight="false" outlineLevel="0" collapsed="false">
      <c r="F1861" s="41" t="str">
        <f aca="false">IF(D1861="","",IFERROR(IF(ISNUMBER(SEARCH(Assumptions!$C$5,D1861)),Assumptions!$D$5,IF(ISNUMBER(SEARCH(Assumptions!$C$6,D1861)),Assumptions!$D$6,IF(ISNUMBER(SEARCH(Assumptions!$C$7,D1861)),Assumptions!$D$7,"Other Services"))),"Other Services"))</f>
        <v/>
      </c>
    </row>
    <row r="1862" customFormat="false" ht="15" hidden="false" customHeight="false" outlineLevel="0" collapsed="false">
      <c r="F1862" s="41" t="str">
        <f aca="false">IF(D1862="","",IFERROR(IF(ISNUMBER(SEARCH(Assumptions!$C$5,D1862)),Assumptions!$D$5,IF(ISNUMBER(SEARCH(Assumptions!$C$6,D1862)),Assumptions!$D$6,IF(ISNUMBER(SEARCH(Assumptions!$C$7,D1862)),Assumptions!$D$7,"Other Services"))),"Other Services"))</f>
        <v/>
      </c>
    </row>
    <row r="1863" customFormat="false" ht="15" hidden="false" customHeight="false" outlineLevel="0" collapsed="false">
      <c r="F1863" s="41" t="str">
        <f aca="false">IF(D1863="","",IFERROR(IF(ISNUMBER(SEARCH(Assumptions!$C$5,D1863)),Assumptions!$D$5,IF(ISNUMBER(SEARCH(Assumptions!$C$6,D1863)),Assumptions!$D$6,IF(ISNUMBER(SEARCH(Assumptions!$C$7,D1863)),Assumptions!$D$7,"Other Services"))),"Other Services"))</f>
        <v/>
      </c>
    </row>
    <row r="1864" customFormat="false" ht="15" hidden="false" customHeight="false" outlineLevel="0" collapsed="false">
      <c r="F1864" s="41" t="str">
        <f aca="false">IF(D1864="","",IFERROR(IF(ISNUMBER(SEARCH(Assumptions!$C$5,D1864)),Assumptions!$D$5,IF(ISNUMBER(SEARCH(Assumptions!$C$6,D1864)),Assumptions!$D$6,IF(ISNUMBER(SEARCH(Assumptions!$C$7,D1864)),Assumptions!$D$7,"Other Services"))),"Other Services"))</f>
        <v/>
      </c>
    </row>
    <row r="1865" customFormat="false" ht="15" hidden="false" customHeight="false" outlineLevel="0" collapsed="false">
      <c r="F1865" s="41" t="str">
        <f aca="false">IF(D1865="","",IFERROR(IF(ISNUMBER(SEARCH(Assumptions!$C$5,D1865)),Assumptions!$D$5,IF(ISNUMBER(SEARCH(Assumptions!$C$6,D1865)),Assumptions!$D$6,IF(ISNUMBER(SEARCH(Assumptions!$C$7,D1865)),Assumptions!$D$7,"Other Services"))),"Other Services"))</f>
        <v/>
      </c>
    </row>
    <row r="1866" customFormat="false" ht="15" hidden="false" customHeight="false" outlineLevel="0" collapsed="false">
      <c r="F1866" s="41" t="str">
        <f aca="false">IF(D1866="","",IFERROR(IF(ISNUMBER(SEARCH(Assumptions!$C$5,D1866)),Assumptions!$D$5,IF(ISNUMBER(SEARCH(Assumptions!$C$6,D1866)),Assumptions!$D$6,IF(ISNUMBER(SEARCH(Assumptions!$C$7,D1866)),Assumptions!$D$7,"Other Services"))),"Other Services"))</f>
        <v/>
      </c>
    </row>
    <row r="1867" customFormat="false" ht="15" hidden="false" customHeight="false" outlineLevel="0" collapsed="false">
      <c r="F1867" s="41" t="str">
        <f aca="false">IF(D1867="","",IFERROR(IF(ISNUMBER(SEARCH(Assumptions!$C$5,D1867)),Assumptions!$D$5,IF(ISNUMBER(SEARCH(Assumptions!$C$6,D1867)),Assumptions!$D$6,IF(ISNUMBER(SEARCH(Assumptions!$C$7,D1867)),Assumptions!$D$7,"Other Services"))),"Other Services"))</f>
        <v/>
      </c>
    </row>
    <row r="1868" customFormat="false" ht="15" hidden="false" customHeight="false" outlineLevel="0" collapsed="false">
      <c r="F1868" s="41" t="str">
        <f aca="false">IF(D1868="","",IFERROR(IF(ISNUMBER(SEARCH(Assumptions!$C$5,D1868)),Assumptions!$D$5,IF(ISNUMBER(SEARCH(Assumptions!$C$6,D1868)),Assumptions!$D$6,IF(ISNUMBER(SEARCH(Assumptions!$C$7,D1868)),Assumptions!$D$7,"Other Services"))),"Other Services"))</f>
        <v/>
      </c>
    </row>
    <row r="1869" customFormat="false" ht="15" hidden="false" customHeight="false" outlineLevel="0" collapsed="false">
      <c r="F1869" s="41" t="str">
        <f aca="false">IF(D1869="","",IFERROR(IF(ISNUMBER(SEARCH(Assumptions!$C$5,D1869)),Assumptions!$D$5,IF(ISNUMBER(SEARCH(Assumptions!$C$6,D1869)),Assumptions!$D$6,IF(ISNUMBER(SEARCH(Assumptions!$C$7,D1869)),Assumptions!$D$7,"Other Services"))),"Other Services"))</f>
        <v/>
      </c>
    </row>
    <row r="1870" customFormat="false" ht="15" hidden="false" customHeight="false" outlineLevel="0" collapsed="false">
      <c r="F1870" s="41" t="str">
        <f aca="false">IF(D1870="","",IFERROR(IF(ISNUMBER(SEARCH(Assumptions!$C$5,D1870)),Assumptions!$D$5,IF(ISNUMBER(SEARCH(Assumptions!$C$6,D1870)),Assumptions!$D$6,IF(ISNUMBER(SEARCH(Assumptions!$C$7,D1870)),Assumptions!$D$7,"Other Services"))),"Other Services"))</f>
        <v/>
      </c>
    </row>
    <row r="1871" customFormat="false" ht="15" hidden="false" customHeight="false" outlineLevel="0" collapsed="false">
      <c r="F1871" s="41" t="str">
        <f aca="false">IF(D1871="","",IFERROR(IF(ISNUMBER(SEARCH(Assumptions!$C$5,D1871)),Assumptions!$D$5,IF(ISNUMBER(SEARCH(Assumptions!$C$6,D1871)),Assumptions!$D$6,IF(ISNUMBER(SEARCH(Assumptions!$C$7,D1871)),Assumptions!$D$7,"Other Services"))),"Other Services"))</f>
        <v/>
      </c>
    </row>
    <row r="1872" customFormat="false" ht="15" hidden="false" customHeight="false" outlineLevel="0" collapsed="false">
      <c r="F1872" s="41" t="str">
        <f aca="false">IF(D1872="","",IFERROR(IF(ISNUMBER(SEARCH(Assumptions!$C$5,D1872)),Assumptions!$D$5,IF(ISNUMBER(SEARCH(Assumptions!$C$6,D1872)),Assumptions!$D$6,IF(ISNUMBER(SEARCH(Assumptions!$C$7,D1872)),Assumptions!$D$7,"Other Services"))),"Other Services"))</f>
        <v/>
      </c>
    </row>
    <row r="1873" customFormat="false" ht="15" hidden="false" customHeight="false" outlineLevel="0" collapsed="false">
      <c r="F1873" s="41" t="str">
        <f aca="false">IF(D1873="","",IFERROR(IF(ISNUMBER(SEARCH(Assumptions!$C$5,D1873)),Assumptions!$D$5,IF(ISNUMBER(SEARCH(Assumptions!$C$6,D1873)),Assumptions!$D$6,IF(ISNUMBER(SEARCH(Assumptions!$C$7,D1873)),Assumptions!$D$7,"Other Services"))),"Other Services"))</f>
        <v/>
      </c>
    </row>
    <row r="1874" customFormat="false" ht="15" hidden="false" customHeight="false" outlineLevel="0" collapsed="false">
      <c r="F1874" s="41" t="str">
        <f aca="false">IF(D1874="","",IFERROR(IF(ISNUMBER(SEARCH(Assumptions!$C$5,D1874)),Assumptions!$D$5,IF(ISNUMBER(SEARCH(Assumptions!$C$6,D1874)),Assumptions!$D$6,IF(ISNUMBER(SEARCH(Assumptions!$C$7,D1874)),Assumptions!$D$7,"Other Services"))),"Other Services"))</f>
        <v/>
      </c>
    </row>
    <row r="1875" customFormat="false" ht="15" hidden="false" customHeight="false" outlineLevel="0" collapsed="false">
      <c r="F1875" s="41" t="str">
        <f aca="false">IF(D1875="","",IFERROR(IF(ISNUMBER(SEARCH(Assumptions!$C$5,D1875)),Assumptions!$D$5,IF(ISNUMBER(SEARCH(Assumptions!$C$6,D1875)),Assumptions!$D$6,IF(ISNUMBER(SEARCH(Assumptions!$C$7,D1875)),Assumptions!$D$7,"Other Services"))),"Other Services"))</f>
        <v/>
      </c>
    </row>
    <row r="1876" customFormat="false" ht="15" hidden="false" customHeight="false" outlineLevel="0" collapsed="false">
      <c r="F1876" s="41" t="str">
        <f aca="false">IF(D1876="","",IFERROR(IF(ISNUMBER(SEARCH(Assumptions!$C$5,D1876)),Assumptions!$D$5,IF(ISNUMBER(SEARCH(Assumptions!$C$6,D1876)),Assumptions!$D$6,IF(ISNUMBER(SEARCH(Assumptions!$C$7,D1876)),Assumptions!$D$7,"Other Services"))),"Other Services"))</f>
        <v/>
      </c>
    </row>
    <row r="1877" customFormat="false" ht="15" hidden="false" customHeight="false" outlineLevel="0" collapsed="false">
      <c r="F1877" s="41" t="str">
        <f aca="false">IF(D1877="","",IFERROR(IF(ISNUMBER(SEARCH(Assumptions!$C$5,D1877)),Assumptions!$D$5,IF(ISNUMBER(SEARCH(Assumptions!$C$6,D1877)),Assumptions!$D$6,IF(ISNUMBER(SEARCH(Assumptions!$C$7,D1877)),Assumptions!$D$7,"Other Services"))),"Other Services"))</f>
        <v/>
      </c>
    </row>
    <row r="1878" customFormat="false" ht="15" hidden="false" customHeight="false" outlineLevel="0" collapsed="false">
      <c r="F1878" s="41" t="str">
        <f aca="false">IF(D1878="","",IFERROR(IF(ISNUMBER(SEARCH(Assumptions!$C$5,D1878)),Assumptions!$D$5,IF(ISNUMBER(SEARCH(Assumptions!$C$6,D1878)),Assumptions!$D$6,IF(ISNUMBER(SEARCH(Assumptions!$C$7,D1878)),Assumptions!$D$7,"Other Services"))),"Other Services"))</f>
        <v/>
      </c>
    </row>
    <row r="1879" customFormat="false" ht="15" hidden="false" customHeight="false" outlineLevel="0" collapsed="false">
      <c r="F1879" s="41" t="str">
        <f aca="false">IF(D1879="","",IFERROR(IF(ISNUMBER(SEARCH(Assumptions!$C$5,D1879)),Assumptions!$D$5,IF(ISNUMBER(SEARCH(Assumptions!$C$6,D1879)),Assumptions!$D$6,IF(ISNUMBER(SEARCH(Assumptions!$C$7,D1879)),Assumptions!$D$7,"Other Services"))),"Other Services"))</f>
        <v/>
      </c>
    </row>
    <row r="1880" customFormat="false" ht="15" hidden="false" customHeight="false" outlineLevel="0" collapsed="false">
      <c r="F1880" s="41" t="str">
        <f aca="false">IF(D1880="","",IFERROR(IF(ISNUMBER(SEARCH(Assumptions!$C$5,D1880)),Assumptions!$D$5,IF(ISNUMBER(SEARCH(Assumptions!$C$6,D1880)),Assumptions!$D$6,IF(ISNUMBER(SEARCH(Assumptions!$C$7,D1880)),Assumptions!$D$7,"Other Services"))),"Other Services"))</f>
        <v/>
      </c>
    </row>
    <row r="1881" customFormat="false" ht="15" hidden="false" customHeight="false" outlineLevel="0" collapsed="false">
      <c r="F1881" s="41" t="str">
        <f aca="false">IF(D1881="","",IFERROR(IF(ISNUMBER(SEARCH(Assumptions!$C$5,D1881)),Assumptions!$D$5,IF(ISNUMBER(SEARCH(Assumptions!$C$6,D1881)),Assumptions!$D$6,IF(ISNUMBER(SEARCH(Assumptions!$C$7,D1881)),Assumptions!$D$7,"Other Services"))),"Other Services"))</f>
        <v/>
      </c>
    </row>
    <row r="1882" customFormat="false" ht="15" hidden="false" customHeight="false" outlineLevel="0" collapsed="false">
      <c r="F1882" s="41" t="str">
        <f aca="false">IF(D1882="","",IFERROR(IF(ISNUMBER(SEARCH(Assumptions!$C$5,D1882)),Assumptions!$D$5,IF(ISNUMBER(SEARCH(Assumptions!$C$6,D1882)),Assumptions!$D$6,IF(ISNUMBER(SEARCH(Assumptions!$C$7,D1882)),Assumptions!$D$7,"Other Services"))),"Other Services"))</f>
        <v/>
      </c>
    </row>
    <row r="1883" customFormat="false" ht="15" hidden="false" customHeight="false" outlineLevel="0" collapsed="false">
      <c r="F1883" s="41" t="str">
        <f aca="false">IF(D1883="","",IFERROR(IF(ISNUMBER(SEARCH(Assumptions!$C$5,D1883)),Assumptions!$D$5,IF(ISNUMBER(SEARCH(Assumptions!$C$6,D1883)),Assumptions!$D$6,IF(ISNUMBER(SEARCH(Assumptions!$C$7,D1883)),Assumptions!$D$7,"Other Services"))),"Other Services"))</f>
        <v/>
      </c>
    </row>
    <row r="1884" customFormat="false" ht="15" hidden="false" customHeight="false" outlineLevel="0" collapsed="false">
      <c r="F1884" s="41" t="str">
        <f aca="false">IF(D1884="","",IFERROR(IF(ISNUMBER(SEARCH(Assumptions!$C$5,D1884)),Assumptions!$D$5,IF(ISNUMBER(SEARCH(Assumptions!$C$6,D1884)),Assumptions!$D$6,IF(ISNUMBER(SEARCH(Assumptions!$C$7,D1884)),Assumptions!$D$7,"Other Services"))),"Other Services"))</f>
        <v/>
      </c>
    </row>
    <row r="1885" customFormat="false" ht="15" hidden="false" customHeight="false" outlineLevel="0" collapsed="false">
      <c r="F1885" s="41" t="str">
        <f aca="false">IF(D1885="","",IFERROR(IF(ISNUMBER(SEARCH(Assumptions!$C$5,D1885)),Assumptions!$D$5,IF(ISNUMBER(SEARCH(Assumptions!$C$6,D1885)),Assumptions!$D$6,IF(ISNUMBER(SEARCH(Assumptions!$C$7,D1885)),Assumptions!$D$7,"Other Services"))),"Other Services"))</f>
        <v/>
      </c>
    </row>
    <row r="1886" customFormat="false" ht="15" hidden="false" customHeight="false" outlineLevel="0" collapsed="false">
      <c r="F1886" s="41" t="str">
        <f aca="false">IF(D1886="","",IFERROR(IF(ISNUMBER(SEARCH(Assumptions!$C$5,D1886)),Assumptions!$D$5,IF(ISNUMBER(SEARCH(Assumptions!$C$6,D1886)),Assumptions!$D$6,IF(ISNUMBER(SEARCH(Assumptions!$C$7,D1886)),Assumptions!$D$7,"Other Services"))),"Other Services"))</f>
        <v/>
      </c>
    </row>
    <row r="1887" customFormat="false" ht="15" hidden="false" customHeight="false" outlineLevel="0" collapsed="false">
      <c r="F1887" s="41" t="str">
        <f aca="false">IF(D1887="","",IFERROR(IF(ISNUMBER(SEARCH(Assumptions!$C$5,D1887)),Assumptions!$D$5,IF(ISNUMBER(SEARCH(Assumptions!$C$6,D1887)),Assumptions!$D$6,IF(ISNUMBER(SEARCH(Assumptions!$C$7,D1887)),Assumptions!$D$7,"Other Services"))),"Other Services"))</f>
        <v/>
      </c>
    </row>
    <row r="1888" customFormat="false" ht="15" hidden="false" customHeight="false" outlineLevel="0" collapsed="false">
      <c r="F1888" s="41" t="str">
        <f aca="false">IF(D1888="","",IFERROR(IF(ISNUMBER(SEARCH(Assumptions!$C$5,D1888)),Assumptions!$D$5,IF(ISNUMBER(SEARCH(Assumptions!$C$6,D1888)),Assumptions!$D$6,IF(ISNUMBER(SEARCH(Assumptions!$C$7,D1888)),Assumptions!$D$7,"Other Services"))),"Other Services"))</f>
        <v/>
      </c>
    </row>
    <row r="1889" customFormat="false" ht="15" hidden="false" customHeight="false" outlineLevel="0" collapsed="false">
      <c r="F1889" s="41" t="str">
        <f aca="false">IF(D1889="","",IFERROR(IF(ISNUMBER(SEARCH(Assumptions!$C$5,D1889)),Assumptions!$D$5,IF(ISNUMBER(SEARCH(Assumptions!$C$6,D1889)),Assumptions!$D$6,IF(ISNUMBER(SEARCH(Assumptions!$C$7,D1889)),Assumptions!$D$7,"Other Services"))),"Other Services"))</f>
        <v/>
      </c>
    </row>
    <row r="1890" customFormat="false" ht="15" hidden="false" customHeight="false" outlineLevel="0" collapsed="false">
      <c r="F1890" s="41" t="str">
        <f aca="false">IF(D1890="","",IFERROR(IF(ISNUMBER(SEARCH(Assumptions!$C$5,D1890)),Assumptions!$D$5,IF(ISNUMBER(SEARCH(Assumptions!$C$6,D1890)),Assumptions!$D$6,IF(ISNUMBER(SEARCH(Assumptions!$C$7,D1890)),Assumptions!$D$7,"Other Services"))),"Other Services"))</f>
        <v/>
      </c>
    </row>
    <row r="1891" customFormat="false" ht="15" hidden="false" customHeight="false" outlineLevel="0" collapsed="false">
      <c r="F1891" s="41" t="str">
        <f aca="false">IF(D1891="","",IFERROR(IF(ISNUMBER(SEARCH(Assumptions!$C$5,D1891)),Assumptions!$D$5,IF(ISNUMBER(SEARCH(Assumptions!$C$6,D1891)),Assumptions!$D$6,IF(ISNUMBER(SEARCH(Assumptions!$C$7,D1891)),Assumptions!$D$7,"Other Services"))),"Other Services"))</f>
        <v/>
      </c>
    </row>
    <row r="1892" customFormat="false" ht="15" hidden="false" customHeight="false" outlineLevel="0" collapsed="false">
      <c r="F1892" s="41" t="str">
        <f aca="false">IF(D1892="","",IFERROR(IF(ISNUMBER(SEARCH(Assumptions!$C$5,D1892)),Assumptions!$D$5,IF(ISNUMBER(SEARCH(Assumptions!$C$6,D1892)),Assumptions!$D$6,IF(ISNUMBER(SEARCH(Assumptions!$C$7,D1892)),Assumptions!$D$7,"Other Services"))),"Other Services"))</f>
        <v/>
      </c>
    </row>
    <row r="1893" customFormat="false" ht="15" hidden="false" customHeight="false" outlineLevel="0" collapsed="false">
      <c r="F1893" s="41" t="str">
        <f aca="false">IF(D1893="","",IFERROR(IF(ISNUMBER(SEARCH(Assumptions!$C$5,D1893)),Assumptions!$D$5,IF(ISNUMBER(SEARCH(Assumptions!$C$6,D1893)),Assumptions!$D$6,IF(ISNUMBER(SEARCH(Assumptions!$C$7,D1893)),Assumptions!$D$7,"Other Services"))),"Other Services"))</f>
        <v/>
      </c>
    </row>
    <row r="1894" customFormat="false" ht="15" hidden="false" customHeight="false" outlineLevel="0" collapsed="false">
      <c r="F1894" s="41" t="str">
        <f aca="false">IF(D1894="","",IFERROR(IF(ISNUMBER(SEARCH(Assumptions!$C$5,D1894)),Assumptions!$D$5,IF(ISNUMBER(SEARCH(Assumptions!$C$6,D1894)),Assumptions!$D$6,IF(ISNUMBER(SEARCH(Assumptions!$C$7,D1894)),Assumptions!$D$7,"Other Services"))),"Other Services"))</f>
        <v/>
      </c>
    </row>
    <row r="1895" customFormat="false" ht="15" hidden="false" customHeight="false" outlineLevel="0" collapsed="false">
      <c r="F1895" s="41" t="str">
        <f aca="false">IF(D1895="","",IFERROR(IF(ISNUMBER(SEARCH(Assumptions!$C$5,D1895)),Assumptions!$D$5,IF(ISNUMBER(SEARCH(Assumptions!$C$6,D1895)),Assumptions!$D$6,IF(ISNUMBER(SEARCH(Assumptions!$C$7,D1895)),Assumptions!$D$7,"Other Services"))),"Other Services"))</f>
        <v/>
      </c>
    </row>
    <row r="1896" customFormat="false" ht="15" hidden="false" customHeight="false" outlineLevel="0" collapsed="false">
      <c r="F1896" s="41" t="str">
        <f aca="false">IF(D1896="","",IFERROR(IF(ISNUMBER(SEARCH(Assumptions!$C$5,D1896)),Assumptions!$D$5,IF(ISNUMBER(SEARCH(Assumptions!$C$6,D1896)),Assumptions!$D$6,IF(ISNUMBER(SEARCH(Assumptions!$C$7,D1896)),Assumptions!$D$7,"Other Services"))),"Other Services"))</f>
        <v/>
      </c>
    </row>
    <row r="1897" customFormat="false" ht="15" hidden="false" customHeight="false" outlineLevel="0" collapsed="false">
      <c r="F1897" s="41" t="str">
        <f aca="false">IF(D1897="","",IFERROR(IF(ISNUMBER(SEARCH(Assumptions!$C$5,D1897)),Assumptions!$D$5,IF(ISNUMBER(SEARCH(Assumptions!$C$6,D1897)),Assumptions!$D$6,IF(ISNUMBER(SEARCH(Assumptions!$C$7,D1897)),Assumptions!$D$7,"Other Services"))),"Other Services"))</f>
        <v/>
      </c>
    </row>
    <row r="1898" customFormat="false" ht="15" hidden="false" customHeight="false" outlineLevel="0" collapsed="false">
      <c r="F1898" s="41" t="str">
        <f aca="false">IF(D1898="","",IFERROR(IF(ISNUMBER(SEARCH(Assumptions!$C$5,D1898)),Assumptions!$D$5,IF(ISNUMBER(SEARCH(Assumptions!$C$6,D1898)),Assumptions!$D$6,IF(ISNUMBER(SEARCH(Assumptions!$C$7,D1898)),Assumptions!$D$7,"Other Services"))),"Other Services"))</f>
        <v/>
      </c>
    </row>
    <row r="1899" customFormat="false" ht="15" hidden="false" customHeight="false" outlineLevel="0" collapsed="false">
      <c r="F1899" s="41" t="str">
        <f aca="false">IF(D1899="","",IFERROR(IF(ISNUMBER(SEARCH(Assumptions!$C$5,D1899)),Assumptions!$D$5,IF(ISNUMBER(SEARCH(Assumptions!$C$6,D1899)),Assumptions!$D$6,IF(ISNUMBER(SEARCH(Assumptions!$C$7,D1899)),Assumptions!$D$7,"Other Services"))),"Other Services"))</f>
        <v/>
      </c>
    </row>
    <row r="1900" customFormat="false" ht="15" hidden="false" customHeight="false" outlineLevel="0" collapsed="false">
      <c r="F1900" s="41" t="str">
        <f aca="false">IF(D1900="","",IFERROR(IF(ISNUMBER(SEARCH(Assumptions!$C$5,D1900)),Assumptions!$D$5,IF(ISNUMBER(SEARCH(Assumptions!$C$6,D1900)),Assumptions!$D$6,IF(ISNUMBER(SEARCH(Assumptions!$C$7,D1900)),Assumptions!$D$7,"Other Services"))),"Other Services"))</f>
        <v/>
      </c>
    </row>
    <row r="1901" customFormat="false" ht="15" hidden="false" customHeight="false" outlineLevel="0" collapsed="false">
      <c r="F1901" s="41" t="str">
        <f aca="false">IF(D1901="","",IFERROR(IF(ISNUMBER(SEARCH(Assumptions!$C$5,D1901)),Assumptions!$D$5,IF(ISNUMBER(SEARCH(Assumptions!$C$6,D1901)),Assumptions!$D$6,IF(ISNUMBER(SEARCH(Assumptions!$C$7,D1901)),Assumptions!$D$7,"Other Services"))),"Other Services"))</f>
        <v/>
      </c>
    </row>
    <row r="1902" customFormat="false" ht="15" hidden="false" customHeight="false" outlineLevel="0" collapsed="false">
      <c r="F1902" s="41" t="str">
        <f aca="false">IF(D1902="","",IFERROR(IF(ISNUMBER(SEARCH(Assumptions!$C$5,D1902)),Assumptions!$D$5,IF(ISNUMBER(SEARCH(Assumptions!$C$6,D1902)),Assumptions!$D$6,IF(ISNUMBER(SEARCH(Assumptions!$C$7,D1902)),Assumptions!$D$7,"Other Services"))),"Other Services"))</f>
        <v/>
      </c>
    </row>
    <row r="1903" customFormat="false" ht="15" hidden="false" customHeight="false" outlineLevel="0" collapsed="false">
      <c r="F1903" s="41" t="str">
        <f aca="false">IF(D1903="","",IFERROR(IF(ISNUMBER(SEARCH(Assumptions!$C$5,D1903)),Assumptions!$D$5,IF(ISNUMBER(SEARCH(Assumptions!$C$6,D1903)),Assumptions!$D$6,IF(ISNUMBER(SEARCH(Assumptions!$C$7,D1903)),Assumptions!$D$7,"Other Services"))),"Other Services"))</f>
        <v/>
      </c>
    </row>
    <row r="1904" customFormat="false" ht="15" hidden="false" customHeight="false" outlineLevel="0" collapsed="false">
      <c r="F1904" s="41" t="str">
        <f aca="false">IF(D1904="","",IFERROR(IF(ISNUMBER(SEARCH(Assumptions!$C$5,D1904)),Assumptions!$D$5,IF(ISNUMBER(SEARCH(Assumptions!$C$6,D1904)),Assumptions!$D$6,IF(ISNUMBER(SEARCH(Assumptions!$C$7,D1904)),Assumptions!$D$7,"Other Services"))),"Other Services"))</f>
        <v/>
      </c>
    </row>
    <row r="1905" customFormat="false" ht="15" hidden="false" customHeight="false" outlineLevel="0" collapsed="false">
      <c r="F1905" s="41" t="str">
        <f aca="false">IF(D1905="","",IFERROR(IF(ISNUMBER(SEARCH(Assumptions!$C$5,D1905)),Assumptions!$D$5,IF(ISNUMBER(SEARCH(Assumptions!$C$6,D1905)),Assumptions!$D$6,IF(ISNUMBER(SEARCH(Assumptions!$C$7,D1905)),Assumptions!$D$7,"Other Services"))),"Other Services"))</f>
        <v/>
      </c>
    </row>
    <row r="1906" customFormat="false" ht="15" hidden="false" customHeight="false" outlineLevel="0" collapsed="false">
      <c r="F1906" s="41" t="str">
        <f aca="false">IF(D1906="","",IFERROR(IF(ISNUMBER(SEARCH(Assumptions!$C$5,D1906)),Assumptions!$D$5,IF(ISNUMBER(SEARCH(Assumptions!$C$6,D1906)),Assumptions!$D$6,IF(ISNUMBER(SEARCH(Assumptions!$C$7,D1906)),Assumptions!$D$7,"Other Services"))),"Other Services"))</f>
        <v/>
      </c>
    </row>
    <row r="1907" customFormat="false" ht="15" hidden="false" customHeight="false" outlineLevel="0" collapsed="false">
      <c r="F1907" s="41" t="str">
        <f aca="false">IF(D1907="","",IFERROR(IF(ISNUMBER(SEARCH(Assumptions!$C$5,D1907)),Assumptions!$D$5,IF(ISNUMBER(SEARCH(Assumptions!$C$6,D1907)),Assumptions!$D$6,IF(ISNUMBER(SEARCH(Assumptions!$C$7,D1907)),Assumptions!$D$7,"Other Services"))),"Other Services"))</f>
        <v/>
      </c>
    </row>
    <row r="1908" customFormat="false" ht="15" hidden="false" customHeight="false" outlineLevel="0" collapsed="false">
      <c r="F1908" s="41" t="str">
        <f aca="false">IF(D1908="","",IFERROR(IF(ISNUMBER(SEARCH(Assumptions!$C$5,D1908)),Assumptions!$D$5,IF(ISNUMBER(SEARCH(Assumptions!$C$6,D1908)),Assumptions!$D$6,IF(ISNUMBER(SEARCH(Assumptions!$C$7,D1908)),Assumptions!$D$7,"Other Services"))),"Other Services"))</f>
        <v/>
      </c>
    </row>
    <row r="1909" customFormat="false" ht="15" hidden="false" customHeight="false" outlineLevel="0" collapsed="false">
      <c r="F1909" s="41" t="str">
        <f aca="false">IF(D1909="","",IFERROR(IF(ISNUMBER(SEARCH(Assumptions!$C$5,D1909)),Assumptions!$D$5,IF(ISNUMBER(SEARCH(Assumptions!$C$6,D1909)),Assumptions!$D$6,IF(ISNUMBER(SEARCH(Assumptions!$C$7,D1909)),Assumptions!$D$7,"Other Services"))),"Other Services"))</f>
        <v/>
      </c>
    </row>
    <row r="1910" customFormat="false" ht="15" hidden="false" customHeight="false" outlineLevel="0" collapsed="false">
      <c r="F1910" s="41" t="str">
        <f aca="false">IF(D1910="","",IFERROR(IF(ISNUMBER(SEARCH(Assumptions!$C$5,D1910)),Assumptions!$D$5,IF(ISNUMBER(SEARCH(Assumptions!$C$6,D1910)),Assumptions!$D$6,IF(ISNUMBER(SEARCH(Assumptions!$C$7,D1910)),Assumptions!$D$7,"Other Services"))),"Other Services"))</f>
        <v/>
      </c>
    </row>
    <row r="1911" customFormat="false" ht="15" hidden="false" customHeight="false" outlineLevel="0" collapsed="false">
      <c r="F1911" s="41" t="str">
        <f aca="false">IF(D1911="","",IFERROR(IF(ISNUMBER(SEARCH(Assumptions!$C$5,D1911)),Assumptions!$D$5,IF(ISNUMBER(SEARCH(Assumptions!$C$6,D1911)),Assumptions!$D$6,IF(ISNUMBER(SEARCH(Assumptions!$C$7,D1911)),Assumptions!$D$7,"Other Services"))),"Other Services"))</f>
        <v/>
      </c>
    </row>
    <row r="1912" customFormat="false" ht="15" hidden="false" customHeight="false" outlineLevel="0" collapsed="false">
      <c r="F1912" s="41" t="str">
        <f aca="false">IF(D1912="","",IFERROR(IF(ISNUMBER(SEARCH(Assumptions!$C$5,D1912)),Assumptions!$D$5,IF(ISNUMBER(SEARCH(Assumptions!$C$6,D1912)),Assumptions!$D$6,IF(ISNUMBER(SEARCH(Assumptions!$C$7,D1912)),Assumptions!$D$7,"Other Services"))),"Other Services"))</f>
        <v/>
      </c>
    </row>
    <row r="1913" customFormat="false" ht="15" hidden="false" customHeight="false" outlineLevel="0" collapsed="false">
      <c r="F1913" s="41" t="str">
        <f aca="false">IF(D1913="","",IFERROR(IF(ISNUMBER(SEARCH(Assumptions!$C$5,D1913)),Assumptions!$D$5,IF(ISNUMBER(SEARCH(Assumptions!$C$6,D1913)),Assumptions!$D$6,IF(ISNUMBER(SEARCH(Assumptions!$C$7,D1913)),Assumptions!$D$7,"Other Services"))),"Other Services"))</f>
        <v/>
      </c>
    </row>
    <row r="1914" customFormat="false" ht="15" hidden="false" customHeight="false" outlineLevel="0" collapsed="false">
      <c r="F1914" s="41" t="str">
        <f aca="false">IF(D1914="","",IFERROR(IF(ISNUMBER(SEARCH(Assumptions!$C$5,D1914)),Assumptions!$D$5,IF(ISNUMBER(SEARCH(Assumptions!$C$6,D1914)),Assumptions!$D$6,IF(ISNUMBER(SEARCH(Assumptions!$C$7,D1914)),Assumptions!$D$7,"Other Services"))),"Other Services"))</f>
        <v/>
      </c>
    </row>
    <row r="1915" customFormat="false" ht="15" hidden="false" customHeight="false" outlineLevel="0" collapsed="false">
      <c r="F1915" s="41" t="str">
        <f aca="false">IF(D1915="","",IFERROR(IF(ISNUMBER(SEARCH(Assumptions!$C$5,D1915)),Assumptions!$D$5,IF(ISNUMBER(SEARCH(Assumptions!$C$6,D1915)),Assumptions!$D$6,IF(ISNUMBER(SEARCH(Assumptions!$C$7,D1915)),Assumptions!$D$7,"Other Services"))),"Other Services"))</f>
        <v/>
      </c>
    </row>
    <row r="1916" customFormat="false" ht="15" hidden="false" customHeight="false" outlineLevel="0" collapsed="false">
      <c r="F1916" s="41" t="str">
        <f aca="false">IF(D1916="","",IFERROR(IF(ISNUMBER(SEARCH(Assumptions!$C$5,D1916)),Assumptions!$D$5,IF(ISNUMBER(SEARCH(Assumptions!$C$6,D1916)),Assumptions!$D$6,IF(ISNUMBER(SEARCH(Assumptions!$C$7,D1916)),Assumptions!$D$7,"Other Services"))),"Other Services"))</f>
        <v/>
      </c>
    </row>
    <row r="1917" customFormat="false" ht="15" hidden="false" customHeight="false" outlineLevel="0" collapsed="false">
      <c r="F1917" s="41" t="str">
        <f aca="false">IF(D1917="","",IFERROR(IF(ISNUMBER(SEARCH(Assumptions!$C$5,D1917)),Assumptions!$D$5,IF(ISNUMBER(SEARCH(Assumptions!$C$6,D1917)),Assumptions!$D$6,IF(ISNUMBER(SEARCH(Assumptions!$C$7,D1917)),Assumptions!$D$7,"Other Services"))),"Other Services"))</f>
        <v/>
      </c>
    </row>
    <row r="1918" customFormat="false" ht="15" hidden="false" customHeight="false" outlineLevel="0" collapsed="false">
      <c r="F1918" s="41" t="str">
        <f aca="false">IF(D1918="","",IFERROR(IF(ISNUMBER(SEARCH(Assumptions!$C$5,D1918)),Assumptions!$D$5,IF(ISNUMBER(SEARCH(Assumptions!$C$6,D1918)),Assumptions!$D$6,IF(ISNUMBER(SEARCH(Assumptions!$C$7,D1918)),Assumptions!$D$7,"Other Services"))),"Other Services"))</f>
        <v/>
      </c>
    </row>
    <row r="1919" customFormat="false" ht="15" hidden="false" customHeight="false" outlineLevel="0" collapsed="false">
      <c r="F1919" s="41" t="str">
        <f aca="false">IF(D1919="","",IFERROR(IF(ISNUMBER(SEARCH(Assumptions!$C$5,D1919)),Assumptions!$D$5,IF(ISNUMBER(SEARCH(Assumptions!$C$6,D1919)),Assumptions!$D$6,IF(ISNUMBER(SEARCH(Assumptions!$C$7,D1919)),Assumptions!$D$7,"Other Services"))),"Other Services"))</f>
        <v/>
      </c>
    </row>
    <row r="1920" customFormat="false" ht="15" hidden="false" customHeight="false" outlineLevel="0" collapsed="false">
      <c r="F1920" s="41" t="str">
        <f aca="false">IF(D1920="","",IFERROR(IF(ISNUMBER(SEARCH(Assumptions!$C$5,D1920)),Assumptions!$D$5,IF(ISNUMBER(SEARCH(Assumptions!$C$6,D1920)),Assumptions!$D$6,IF(ISNUMBER(SEARCH(Assumptions!$C$7,D1920)),Assumptions!$D$7,"Other Services"))),"Other Services"))</f>
        <v/>
      </c>
    </row>
    <row r="1921" customFormat="false" ht="15" hidden="false" customHeight="false" outlineLevel="0" collapsed="false">
      <c r="F1921" s="41" t="str">
        <f aca="false">IF(D1921="","",IFERROR(IF(ISNUMBER(SEARCH(Assumptions!$C$5,D1921)),Assumptions!$D$5,IF(ISNUMBER(SEARCH(Assumptions!$C$6,D1921)),Assumptions!$D$6,IF(ISNUMBER(SEARCH(Assumptions!$C$7,D1921)),Assumptions!$D$7,"Other Services"))),"Other Services"))</f>
        <v/>
      </c>
    </row>
    <row r="1922" customFormat="false" ht="15" hidden="false" customHeight="false" outlineLevel="0" collapsed="false">
      <c r="F1922" s="41" t="str">
        <f aca="false">IF(D1922="","",IFERROR(IF(ISNUMBER(SEARCH(Assumptions!$C$5,D1922)),Assumptions!$D$5,IF(ISNUMBER(SEARCH(Assumptions!$C$6,D1922)),Assumptions!$D$6,IF(ISNUMBER(SEARCH(Assumptions!$C$7,D1922)),Assumptions!$D$7,"Other Services"))),"Other Services"))</f>
        <v/>
      </c>
    </row>
    <row r="1923" customFormat="false" ht="15" hidden="false" customHeight="false" outlineLevel="0" collapsed="false">
      <c r="F1923" s="41" t="str">
        <f aca="false">IF(D1923="","",IFERROR(IF(ISNUMBER(SEARCH(Assumptions!$C$5,D1923)),Assumptions!$D$5,IF(ISNUMBER(SEARCH(Assumptions!$C$6,D1923)),Assumptions!$D$6,IF(ISNUMBER(SEARCH(Assumptions!$C$7,D1923)),Assumptions!$D$7,"Other Services"))),"Other Services"))</f>
        <v/>
      </c>
    </row>
    <row r="1924" customFormat="false" ht="15" hidden="false" customHeight="false" outlineLevel="0" collapsed="false">
      <c r="F1924" s="41" t="str">
        <f aca="false">IF(D1924="","",IFERROR(IF(ISNUMBER(SEARCH(Assumptions!$C$5,D1924)),Assumptions!$D$5,IF(ISNUMBER(SEARCH(Assumptions!$C$6,D1924)),Assumptions!$D$6,IF(ISNUMBER(SEARCH(Assumptions!$C$7,D1924)),Assumptions!$D$7,"Other Services"))),"Other Services"))</f>
        <v/>
      </c>
    </row>
    <row r="1925" customFormat="false" ht="15" hidden="false" customHeight="false" outlineLevel="0" collapsed="false">
      <c r="F1925" s="41" t="str">
        <f aca="false">IF(D1925="","",IFERROR(IF(ISNUMBER(SEARCH(Assumptions!$C$5,D1925)),Assumptions!$D$5,IF(ISNUMBER(SEARCH(Assumptions!$C$6,D1925)),Assumptions!$D$6,IF(ISNUMBER(SEARCH(Assumptions!$C$7,D1925)),Assumptions!$D$7,"Other Services"))),"Other Services"))</f>
        <v/>
      </c>
    </row>
    <row r="1926" customFormat="false" ht="15" hidden="false" customHeight="false" outlineLevel="0" collapsed="false">
      <c r="F1926" s="41" t="str">
        <f aca="false">IF(D1926="","",IFERROR(IF(ISNUMBER(SEARCH(Assumptions!$C$5,D1926)),Assumptions!$D$5,IF(ISNUMBER(SEARCH(Assumptions!$C$6,D1926)),Assumptions!$D$6,IF(ISNUMBER(SEARCH(Assumptions!$C$7,D1926)),Assumptions!$D$7,"Other Services"))),"Other Services"))</f>
        <v/>
      </c>
    </row>
    <row r="1927" customFormat="false" ht="15" hidden="false" customHeight="false" outlineLevel="0" collapsed="false">
      <c r="F1927" s="41" t="str">
        <f aca="false">IF(D1927="","",IFERROR(IF(ISNUMBER(SEARCH(Assumptions!$C$5,D1927)),Assumptions!$D$5,IF(ISNUMBER(SEARCH(Assumptions!$C$6,D1927)),Assumptions!$D$6,IF(ISNUMBER(SEARCH(Assumptions!$C$7,D1927)),Assumptions!$D$7,"Other Services"))),"Other Services"))</f>
        <v/>
      </c>
    </row>
    <row r="1928" customFormat="false" ht="15" hidden="false" customHeight="false" outlineLevel="0" collapsed="false">
      <c r="F1928" s="41" t="str">
        <f aca="false">IF(D1928="","",IFERROR(IF(ISNUMBER(SEARCH(Assumptions!$C$5,D1928)),Assumptions!$D$5,IF(ISNUMBER(SEARCH(Assumptions!$C$6,D1928)),Assumptions!$D$6,IF(ISNUMBER(SEARCH(Assumptions!$C$7,D1928)),Assumptions!$D$7,"Other Services"))),"Other Services"))</f>
        <v/>
      </c>
    </row>
    <row r="1929" customFormat="false" ht="15" hidden="false" customHeight="false" outlineLevel="0" collapsed="false">
      <c r="F1929" s="41" t="str">
        <f aca="false">IF(D1929="","",IFERROR(IF(ISNUMBER(SEARCH(Assumptions!$C$5,D1929)),Assumptions!$D$5,IF(ISNUMBER(SEARCH(Assumptions!$C$6,D1929)),Assumptions!$D$6,IF(ISNUMBER(SEARCH(Assumptions!$C$7,D1929)),Assumptions!$D$7,"Other Services"))),"Other Services"))</f>
        <v/>
      </c>
    </row>
    <row r="1930" customFormat="false" ht="15" hidden="false" customHeight="false" outlineLevel="0" collapsed="false">
      <c r="F1930" s="41" t="str">
        <f aca="false">IF(D1930="","",IFERROR(IF(ISNUMBER(SEARCH(Assumptions!$C$5,D1930)),Assumptions!$D$5,IF(ISNUMBER(SEARCH(Assumptions!$C$6,D1930)),Assumptions!$D$6,IF(ISNUMBER(SEARCH(Assumptions!$C$7,D1930)),Assumptions!$D$7,"Other Services"))),"Other Services"))</f>
        <v/>
      </c>
    </row>
    <row r="1931" customFormat="false" ht="15" hidden="false" customHeight="false" outlineLevel="0" collapsed="false">
      <c r="F1931" s="41" t="str">
        <f aca="false">IF(D1931="","",IFERROR(IF(ISNUMBER(SEARCH(Assumptions!$C$5,D1931)),Assumptions!$D$5,IF(ISNUMBER(SEARCH(Assumptions!$C$6,D1931)),Assumptions!$D$6,IF(ISNUMBER(SEARCH(Assumptions!$C$7,D1931)),Assumptions!$D$7,"Other Services"))),"Other Services"))</f>
        <v/>
      </c>
    </row>
    <row r="1932" customFormat="false" ht="15" hidden="false" customHeight="false" outlineLevel="0" collapsed="false">
      <c r="F1932" s="41" t="str">
        <f aca="false">IF(D1932="","",IFERROR(IF(ISNUMBER(SEARCH(Assumptions!$C$5,D1932)),Assumptions!$D$5,IF(ISNUMBER(SEARCH(Assumptions!$C$6,D1932)),Assumptions!$D$6,IF(ISNUMBER(SEARCH(Assumptions!$C$7,D1932)),Assumptions!$D$7,"Other Services"))),"Other Services"))</f>
        <v/>
      </c>
    </row>
    <row r="1933" customFormat="false" ht="15" hidden="false" customHeight="false" outlineLevel="0" collapsed="false">
      <c r="F1933" s="41" t="str">
        <f aca="false">IF(D1933="","",IFERROR(IF(ISNUMBER(SEARCH(Assumptions!$C$5,D1933)),Assumptions!$D$5,IF(ISNUMBER(SEARCH(Assumptions!$C$6,D1933)),Assumptions!$D$6,IF(ISNUMBER(SEARCH(Assumptions!$C$7,D1933)),Assumptions!$D$7,"Other Services"))),"Other Services"))</f>
        <v/>
      </c>
    </row>
    <row r="1934" customFormat="false" ht="15" hidden="false" customHeight="false" outlineLevel="0" collapsed="false">
      <c r="F1934" s="41" t="str">
        <f aca="false">IF(D1934="","",IFERROR(IF(ISNUMBER(SEARCH(Assumptions!$C$5,D1934)),Assumptions!$D$5,IF(ISNUMBER(SEARCH(Assumptions!$C$6,D1934)),Assumptions!$D$6,IF(ISNUMBER(SEARCH(Assumptions!$C$7,D1934)),Assumptions!$D$7,"Other Services"))),"Other Services"))</f>
        <v/>
      </c>
    </row>
    <row r="1935" customFormat="false" ht="15" hidden="false" customHeight="false" outlineLevel="0" collapsed="false">
      <c r="F1935" s="41" t="str">
        <f aca="false">IF(D1935="","",IFERROR(IF(ISNUMBER(SEARCH(Assumptions!$C$5,D1935)),Assumptions!$D$5,IF(ISNUMBER(SEARCH(Assumptions!$C$6,D1935)),Assumptions!$D$6,IF(ISNUMBER(SEARCH(Assumptions!$C$7,D1935)),Assumptions!$D$7,"Other Services"))),"Other Services"))</f>
        <v/>
      </c>
    </row>
    <row r="1936" customFormat="false" ht="15" hidden="false" customHeight="false" outlineLevel="0" collapsed="false">
      <c r="F1936" s="41" t="str">
        <f aca="false">IF(D1936="","",IFERROR(IF(ISNUMBER(SEARCH(Assumptions!$C$5,D1936)),Assumptions!$D$5,IF(ISNUMBER(SEARCH(Assumptions!$C$6,D1936)),Assumptions!$D$6,IF(ISNUMBER(SEARCH(Assumptions!$C$7,D1936)),Assumptions!$D$7,"Other Services"))),"Other Services"))</f>
        <v/>
      </c>
    </row>
    <row r="1937" customFormat="false" ht="15" hidden="false" customHeight="false" outlineLevel="0" collapsed="false">
      <c r="F1937" s="41" t="str">
        <f aca="false">IF(D1937="","",IFERROR(IF(ISNUMBER(SEARCH(Assumptions!$C$5,D1937)),Assumptions!$D$5,IF(ISNUMBER(SEARCH(Assumptions!$C$6,D1937)),Assumptions!$D$6,IF(ISNUMBER(SEARCH(Assumptions!$C$7,D1937)),Assumptions!$D$7,"Other Services"))),"Other Services"))</f>
        <v/>
      </c>
    </row>
    <row r="1938" customFormat="false" ht="15" hidden="false" customHeight="false" outlineLevel="0" collapsed="false">
      <c r="F1938" s="41" t="str">
        <f aca="false">IF(D1938="","",IFERROR(IF(ISNUMBER(SEARCH(Assumptions!$C$5,D1938)),Assumptions!$D$5,IF(ISNUMBER(SEARCH(Assumptions!$C$6,D1938)),Assumptions!$D$6,IF(ISNUMBER(SEARCH(Assumptions!$C$7,D1938)),Assumptions!$D$7,"Other Services"))),"Other Services"))</f>
        <v/>
      </c>
    </row>
    <row r="1939" customFormat="false" ht="15" hidden="false" customHeight="false" outlineLevel="0" collapsed="false">
      <c r="F1939" s="41" t="str">
        <f aca="false">IF(D1939="","",IFERROR(IF(ISNUMBER(SEARCH(Assumptions!$C$5,D1939)),Assumptions!$D$5,IF(ISNUMBER(SEARCH(Assumptions!$C$6,D1939)),Assumptions!$D$6,IF(ISNUMBER(SEARCH(Assumptions!$C$7,D1939)),Assumptions!$D$7,"Other Services"))),"Other Services"))</f>
        <v/>
      </c>
    </row>
    <row r="1940" customFormat="false" ht="15" hidden="false" customHeight="false" outlineLevel="0" collapsed="false">
      <c r="F1940" s="41" t="str">
        <f aca="false">IF(D1940="","",IFERROR(IF(ISNUMBER(SEARCH(Assumptions!$C$5,D1940)),Assumptions!$D$5,IF(ISNUMBER(SEARCH(Assumptions!$C$6,D1940)),Assumptions!$D$6,IF(ISNUMBER(SEARCH(Assumptions!$C$7,D1940)),Assumptions!$D$7,"Other Services"))),"Other Services"))</f>
        <v/>
      </c>
    </row>
    <row r="1941" customFormat="false" ht="15" hidden="false" customHeight="false" outlineLevel="0" collapsed="false">
      <c r="F1941" s="41" t="str">
        <f aca="false">IF(D1941="","",IFERROR(IF(ISNUMBER(SEARCH(Assumptions!$C$5,D1941)),Assumptions!$D$5,IF(ISNUMBER(SEARCH(Assumptions!$C$6,D1941)),Assumptions!$D$6,IF(ISNUMBER(SEARCH(Assumptions!$C$7,D1941)),Assumptions!$D$7,"Other Services"))),"Other Services"))</f>
        <v/>
      </c>
    </row>
    <row r="1942" customFormat="false" ht="15" hidden="false" customHeight="false" outlineLevel="0" collapsed="false">
      <c r="F1942" s="41" t="str">
        <f aca="false">IF(D1942="","",IFERROR(IF(ISNUMBER(SEARCH(Assumptions!$C$5,D1942)),Assumptions!$D$5,IF(ISNUMBER(SEARCH(Assumptions!$C$6,D1942)),Assumptions!$D$6,IF(ISNUMBER(SEARCH(Assumptions!$C$7,D1942)),Assumptions!$D$7,"Other Services"))),"Other Services"))</f>
        <v/>
      </c>
    </row>
    <row r="1943" customFormat="false" ht="15" hidden="false" customHeight="false" outlineLevel="0" collapsed="false">
      <c r="F1943" s="41" t="str">
        <f aca="false">IF(D1943="","",IFERROR(IF(ISNUMBER(SEARCH(Assumptions!$C$5,D1943)),Assumptions!$D$5,IF(ISNUMBER(SEARCH(Assumptions!$C$6,D1943)),Assumptions!$D$6,IF(ISNUMBER(SEARCH(Assumptions!$C$7,D1943)),Assumptions!$D$7,"Other Services"))),"Other Services"))</f>
        <v/>
      </c>
    </row>
    <row r="1944" customFormat="false" ht="15" hidden="false" customHeight="false" outlineLevel="0" collapsed="false">
      <c r="F1944" s="41" t="str">
        <f aca="false">IF(D1944="","",IFERROR(IF(ISNUMBER(SEARCH(Assumptions!$C$5,D1944)),Assumptions!$D$5,IF(ISNUMBER(SEARCH(Assumptions!$C$6,D1944)),Assumptions!$D$6,IF(ISNUMBER(SEARCH(Assumptions!$C$7,D1944)),Assumptions!$D$7,"Other Services"))),"Other Services"))</f>
        <v/>
      </c>
    </row>
    <row r="1945" customFormat="false" ht="15" hidden="false" customHeight="false" outlineLevel="0" collapsed="false">
      <c r="F1945" s="41" t="str">
        <f aca="false">IF(D1945="","",IFERROR(IF(ISNUMBER(SEARCH(Assumptions!$C$5,D1945)),Assumptions!$D$5,IF(ISNUMBER(SEARCH(Assumptions!$C$6,D1945)),Assumptions!$D$6,IF(ISNUMBER(SEARCH(Assumptions!$C$7,D1945)),Assumptions!$D$7,"Other Services"))),"Other Services"))</f>
        <v/>
      </c>
    </row>
    <row r="1946" customFormat="false" ht="15" hidden="false" customHeight="false" outlineLevel="0" collapsed="false">
      <c r="F1946" s="41" t="str">
        <f aca="false">IF(D1946="","",IFERROR(IF(ISNUMBER(SEARCH(Assumptions!$C$5,D1946)),Assumptions!$D$5,IF(ISNUMBER(SEARCH(Assumptions!$C$6,D1946)),Assumptions!$D$6,IF(ISNUMBER(SEARCH(Assumptions!$C$7,D1946)),Assumptions!$D$7,"Other Services"))),"Other Services"))</f>
        <v/>
      </c>
    </row>
    <row r="1947" customFormat="false" ht="15" hidden="false" customHeight="false" outlineLevel="0" collapsed="false">
      <c r="F1947" s="41" t="str">
        <f aca="false">IF(D1947="","",IFERROR(IF(ISNUMBER(SEARCH(Assumptions!$C$5,D1947)),Assumptions!$D$5,IF(ISNUMBER(SEARCH(Assumptions!$C$6,D1947)),Assumptions!$D$6,IF(ISNUMBER(SEARCH(Assumptions!$C$7,D1947)),Assumptions!$D$7,"Other Services"))),"Other Services"))</f>
        <v/>
      </c>
    </row>
    <row r="1948" customFormat="false" ht="15" hidden="false" customHeight="false" outlineLevel="0" collapsed="false">
      <c r="F1948" s="41" t="str">
        <f aca="false">IF(D1948="","",IFERROR(IF(ISNUMBER(SEARCH(Assumptions!$C$5,D1948)),Assumptions!$D$5,IF(ISNUMBER(SEARCH(Assumptions!$C$6,D1948)),Assumptions!$D$6,IF(ISNUMBER(SEARCH(Assumptions!$C$7,D1948)),Assumptions!$D$7,"Other Services"))),"Other Services"))</f>
        <v/>
      </c>
    </row>
    <row r="1949" customFormat="false" ht="15" hidden="false" customHeight="false" outlineLevel="0" collapsed="false">
      <c r="F1949" s="41" t="str">
        <f aca="false">IF(D1949="","",IFERROR(IF(ISNUMBER(SEARCH(Assumptions!$C$5,D1949)),Assumptions!$D$5,IF(ISNUMBER(SEARCH(Assumptions!$C$6,D1949)),Assumptions!$D$6,IF(ISNUMBER(SEARCH(Assumptions!$C$7,D1949)),Assumptions!$D$7,"Other Services"))),"Other Services"))</f>
        <v/>
      </c>
    </row>
    <row r="1950" customFormat="false" ht="15" hidden="false" customHeight="false" outlineLevel="0" collapsed="false">
      <c r="F1950" s="41" t="str">
        <f aca="false">IF(D1950="","",IFERROR(IF(ISNUMBER(SEARCH(Assumptions!$C$5,D1950)),Assumptions!$D$5,IF(ISNUMBER(SEARCH(Assumptions!$C$6,D1950)),Assumptions!$D$6,IF(ISNUMBER(SEARCH(Assumptions!$C$7,D1950)),Assumptions!$D$7,"Other Services"))),"Other Services"))</f>
        <v/>
      </c>
    </row>
    <row r="1951" customFormat="false" ht="15" hidden="false" customHeight="false" outlineLevel="0" collapsed="false">
      <c r="F1951" s="41" t="str">
        <f aca="false">IF(D1951="","",IFERROR(IF(ISNUMBER(SEARCH(Assumptions!$C$5,D1951)),Assumptions!$D$5,IF(ISNUMBER(SEARCH(Assumptions!$C$6,D1951)),Assumptions!$D$6,IF(ISNUMBER(SEARCH(Assumptions!$C$7,D1951)),Assumptions!$D$7,"Other Services"))),"Other Services"))</f>
        <v/>
      </c>
    </row>
    <row r="1952" customFormat="false" ht="15" hidden="false" customHeight="false" outlineLevel="0" collapsed="false">
      <c r="F1952" s="41" t="str">
        <f aca="false">IF(D1952="","",IFERROR(IF(ISNUMBER(SEARCH(Assumptions!$C$5,D1952)),Assumptions!$D$5,IF(ISNUMBER(SEARCH(Assumptions!$C$6,D1952)),Assumptions!$D$6,IF(ISNUMBER(SEARCH(Assumptions!$C$7,D1952)),Assumptions!$D$7,"Other Services"))),"Other Services"))</f>
        <v/>
      </c>
    </row>
    <row r="1953" customFormat="false" ht="15" hidden="false" customHeight="false" outlineLevel="0" collapsed="false">
      <c r="F1953" s="41" t="str">
        <f aca="false">IF(D1953="","",IFERROR(IF(ISNUMBER(SEARCH(Assumptions!$C$5,D1953)),Assumptions!$D$5,IF(ISNUMBER(SEARCH(Assumptions!$C$6,D1953)),Assumptions!$D$6,IF(ISNUMBER(SEARCH(Assumptions!$C$7,D1953)),Assumptions!$D$7,"Other Services"))),"Other Services"))</f>
        <v/>
      </c>
    </row>
    <row r="1954" customFormat="false" ht="15" hidden="false" customHeight="false" outlineLevel="0" collapsed="false">
      <c r="F1954" s="41" t="str">
        <f aca="false">IF(D1954="","",IFERROR(IF(ISNUMBER(SEARCH(Assumptions!$C$5,D1954)),Assumptions!$D$5,IF(ISNUMBER(SEARCH(Assumptions!$C$6,D1954)),Assumptions!$D$6,IF(ISNUMBER(SEARCH(Assumptions!$C$7,D1954)),Assumptions!$D$7,"Other Services"))),"Other Services"))</f>
        <v/>
      </c>
    </row>
    <row r="1955" customFormat="false" ht="15" hidden="false" customHeight="false" outlineLevel="0" collapsed="false">
      <c r="F1955" s="41" t="str">
        <f aca="false">IF(D1955="","",IFERROR(IF(ISNUMBER(SEARCH(Assumptions!$C$5,D1955)),Assumptions!$D$5,IF(ISNUMBER(SEARCH(Assumptions!$C$6,D1955)),Assumptions!$D$6,IF(ISNUMBER(SEARCH(Assumptions!$C$7,D1955)),Assumptions!$D$7,"Other Services"))),"Other Services"))</f>
        <v/>
      </c>
    </row>
    <row r="1956" customFormat="false" ht="15" hidden="false" customHeight="false" outlineLevel="0" collapsed="false">
      <c r="F1956" s="41" t="str">
        <f aca="false">IF(D1956="","",IFERROR(IF(ISNUMBER(SEARCH(Assumptions!$C$5,D1956)),Assumptions!$D$5,IF(ISNUMBER(SEARCH(Assumptions!$C$6,D1956)),Assumptions!$D$6,IF(ISNUMBER(SEARCH(Assumptions!$C$7,D1956)),Assumptions!$D$7,"Other Services"))),"Other Services"))</f>
        <v/>
      </c>
    </row>
    <row r="1957" customFormat="false" ht="15" hidden="false" customHeight="false" outlineLevel="0" collapsed="false">
      <c r="F1957" s="41" t="str">
        <f aca="false">IF(D1957="","",IFERROR(IF(ISNUMBER(SEARCH(Assumptions!$C$5,D1957)),Assumptions!$D$5,IF(ISNUMBER(SEARCH(Assumptions!$C$6,D1957)),Assumptions!$D$6,IF(ISNUMBER(SEARCH(Assumptions!$C$7,D1957)),Assumptions!$D$7,"Other Services"))),"Other Services"))</f>
        <v/>
      </c>
    </row>
    <row r="1958" customFormat="false" ht="15" hidden="false" customHeight="false" outlineLevel="0" collapsed="false">
      <c r="F1958" s="41" t="str">
        <f aca="false">IF(D1958="","",IFERROR(IF(ISNUMBER(SEARCH(Assumptions!$C$5,D1958)),Assumptions!$D$5,IF(ISNUMBER(SEARCH(Assumptions!$C$6,D1958)),Assumptions!$D$6,IF(ISNUMBER(SEARCH(Assumptions!$C$7,D1958)),Assumptions!$D$7,"Other Services"))),"Other Services"))</f>
        <v/>
      </c>
    </row>
    <row r="1959" customFormat="false" ht="15" hidden="false" customHeight="false" outlineLevel="0" collapsed="false">
      <c r="F1959" s="41" t="str">
        <f aca="false">IF(D1959="","",IFERROR(IF(ISNUMBER(SEARCH(Assumptions!$C$5,D1959)),Assumptions!$D$5,IF(ISNUMBER(SEARCH(Assumptions!$C$6,D1959)),Assumptions!$D$6,IF(ISNUMBER(SEARCH(Assumptions!$C$7,D1959)),Assumptions!$D$7,"Other Services"))),"Other Services"))</f>
        <v/>
      </c>
    </row>
    <row r="1960" customFormat="false" ht="15" hidden="false" customHeight="false" outlineLevel="0" collapsed="false">
      <c r="F1960" s="41" t="str">
        <f aca="false">IF(D1960="","",IFERROR(IF(ISNUMBER(SEARCH(Assumptions!$C$5,D1960)),Assumptions!$D$5,IF(ISNUMBER(SEARCH(Assumptions!$C$6,D1960)),Assumptions!$D$6,IF(ISNUMBER(SEARCH(Assumptions!$C$7,D1960)),Assumptions!$D$7,"Other Services"))),"Other Services"))</f>
        <v/>
      </c>
    </row>
    <row r="1961" customFormat="false" ht="15" hidden="false" customHeight="false" outlineLevel="0" collapsed="false">
      <c r="F1961" s="41" t="str">
        <f aca="false">IF(D1961="","",IFERROR(IF(ISNUMBER(SEARCH(Assumptions!$C$5,D1961)),Assumptions!$D$5,IF(ISNUMBER(SEARCH(Assumptions!$C$6,D1961)),Assumptions!$D$6,IF(ISNUMBER(SEARCH(Assumptions!$C$7,D1961)),Assumptions!$D$7,"Other Services"))),"Other Services"))</f>
        <v/>
      </c>
    </row>
    <row r="1962" customFormat="false" ht="15" hidden="false" customHeight="false" outlineLevel="0" collapsed="false">
      <c r="F1962" s="41" t="str">
        <f aca="false">IF(D1962="","",IFERROR(IF(ISNUMBER(SEARCH(Assumptions!$C$5,D1962)),Assumptions!$D$5,IF(ISNUMBER(SEARCH(Assumptions!$C$6,D1962)),Assumptions!$D$6,IF(ISNUMBER(SEARCH(Assumptions!$C$7,D1962)),Assumptions!$D$7,"Other Services"))),"Other Services"))</f>
        <v/>
      </c>
    </row>
    <row r="1963" customFormat="false" ht="15" hidden="false" customHeight="false" outlineLevel="0" collapsed="false">
      <c r="F1963" s="41" t="str">
        <f aca="false">IF(D1963="","",IFERROR(IF(ISNUMBER(SEARCH(Assumptions!$C$5,D1963)),Assumptions!$D$5,IF(ISNUMBER(SEARCH(Assumptions!$C$6,D1963)),Assumptions!$D$6,IF(ISNUMBER(SEARCH(Assumptions!$C$7,D1963)),Assumptions!$D$7,"Other Services"))),"Other Services"))</f>
        <v/>
      </c>
    </row>
    <row r="1964" customFormat="false" ht="15" hidden="false" customHeight="false" outlineLevel="0" collapsed="false">
      <c r="F1964" s="41" t="str">
        <f aca="false">IF(D1964="","",IFERROR(IF(ISNUMBER(SEARCH(Assumptions!$C$5,D1964)),Assumptions!$D$5,IF(ISNUMBER(SEARCH(Assumptions!$C$6,D1964)),Assumptions!$D$6,IF(ISNUMBER(SEARCH(Assumptions!$C$7,D1964)),Assumptions!$D$7,"Other Services"))),"Other Services"))</f>
        <v/>
      </c>
    </row>
    <row r="1965" customFormat="false" ht="15" hidden="false" customHeight="false" outlineLevel="0" collapsed="false">
      <c r="F1965" s="41" t="str">
        <f aca="false">IF(D1965="","",IFERROR(IF(ISNUMBER(SEARCH(Assumptions!$C$5,D1965)),Assumptions!$D$5,IF(ISNUMBER(SEARCH(Assumptions!$C$6,D1965)),Assumptions!$D$6,IF(ISNUMBER(SEARCH(Assumptions!$C$7,D1965)),Assumptions!$D$7,"Other Services"))),"Other Services"))</f>
        <v/>
      </c>
    </row>
    <row r="1966" customFormat="false" ht="15" hidden="false" customHeight="false" outlineLevel="0" collapsed="false">
      <c r="F1966" s="41" t="str">
        <f aca="false">IF(D1966="","",IFERROR(IF(ISNUMBER(SEARCH(Assumptions!$C$5,D1966)),Assumptions!$D$5,IF(ISNUMBER(SEARCH(Assumptions!$C$6,D1966)),Assumptions!$D$6,IF(ISNUMBER(SEARCH(Assumptions!$C$7,D1966)),Assumptions!$D$7,"Other Services"))),"Other Services"))</f>
        <v/>
      </c>
    </row>
    <row r="1967" customFormat="false" ht="15" hidden="false" customHeight="false" outlineLevel="0" collapsed="false">
      <c r="F1967" s="41" t="str">
        <f aca="false">IF(D1967="","",IFERROR(IF(ISNUMBER(SEARCH(Assumptions!$C$5,D1967)),Assumptions!$D$5,IF(ISNUMBER(SEARCH(Assumptions!$C$6,D1967)),Assumptions!$D$6,IF(ISNUMBER(SEARCH(Assumptions!$C$7,D1967)),Assumptions!$D$7,"Other Services"))),"Other Services"))</f>
        <v/>
      </c>
    </row>
    <row r="1968" customFormat="false" ht="15" hidden="false" customHeight="false" outlineLevel="0" collapsed="false">
      <c r="F1968" s="41" t="str">
        <f aca="false">IF(D1968="","",IFERROR(IF(ISNUMBER(SEARCH(Assumptions!$C$5,D1968)),Assumptions!$D$5,IF(ISNUMBER(SEARCH(Assumptions!$C$6,D1968)),Assumptions!$D$6,IF(ISNUMBER(SEARCH(Assumptions!$C$7,D1968)),Assumptions!$D$7,"Other Services"))),"Other Services"))</f>
        <v/>
      </c>
    </row>
    <row r="1969" customFormat="false" ht="15" hidden="false" customHeight="false" outlineLevel="0" collapsed="false">
      <c r="F1969" s="41" t="str">
        <f aca="false">IF(D1969="","",IFERROR(IF(ISNUMBER(SEARCH(Assumptions!$C$5,D1969)),Assumptions!$D$5,IF(ISNUMBER(SEARCH(Assumptions!$C$6,D1969)),Assumptions!$D$6,IF(ISNUMBER(SEARCH(Assumptions!$C$7,D1969)),Assumptions!$D$7,"Other Services"))),"Other Services"))</f>
        <v/>
      </c>
    </row>
    <row r="1970" customFormat="false" ht="15" hidden="false" customHeight="false" outlineLevel="0" collapsed="false">
      <c r="F1970" s="41" t="str">
        <f aca="false">IF(D1970="","",IFERROR(IF(ISNUMBER(SEARCH(Assumptions!$C$5,D1970)),Assumptions!$D$5,IF(ISNUMBER(SEARCH(Assumptions!$C$6,D1970)),Assumptions!$D$6,IF(ISNUMBER(SEARCH(Assumptions!$C$7,D1970)),Assumptions!$D$7,"Other Services"))),"Other Services"))</f>
        <v/>
      </c>
    </row>
    <row r="1971" customFormat="false" ht="15" hidden="false" customHeight="false" outlineLevel="0" collapsed="false">
      <c r="F1971" s="41" t="str">
        <f aca="false">IF(D1971="","",IFERROR(IF(ISNUMBER(SEARCH(Assumptions!$C$5,D1971)),Assumptions!$D$5,IF(ISNUMBER(SEARCH(Assumptions!$C$6,D1971)),Assumptions!$D$6,IF(ISNUMBER(SEARCH(Assumptions!$C$7,D1971)),Assumptions!$D$7,"Other Services"))),"Other Services"))</f>
        <v/>
      </c>
    </row>
    <row r="1972" customFormat="false" ht="15" hidden="false" customHeight="false" outlineLevel="0" collapsed="false">
      <c r="F1972" s="41" t="str">
        <f aca="false">IF(D1972="","",IFERROR(IF(ISNUMBER(SEARCH(Assumptions!$C$5,D1972)),Assumptions!$D$5,IF(ISNUMBER(SEARCH(Assumptions!$C$6,D1972)),Assumptions!$D$6,IF(ISNUMBER(SEARCH(Assumptions!$C$7,D1972)),Assumptions!$D$7,"Other Services"))),"Other Services"))</f>
        <v/>
      </c>
    </row>
    <row r="1973" customFormat="false" ht="15" hidden="false" customHeight="false" outlineLevel="0" collapsed="false">
      <c r="F1973" s="41" t="str">
        <f aca="false">IF(D1973="","",IFERROR(IF(ISNUMBER(SEARCH(Assumptions!$C$5,D1973)),Assumptions!$D$5,IF(ISNUMBER(SEARCH(Assumptions!$C$6,D1973)),Assumptions!$D$6,IF(ISNUMBER(SEARCH(Assumptions!$C$7,D1973)),Assumptions!$D$7,"Other Services"))),"Other Services"))</f>
        <v/>
      </c>
    </row>
    <row r="1974" customFormat="false" ht="15" hidden="false" customHeight="false" outlineLevel="0" collapsed="false">
      <c r="F1974" s="41" t="str">
        <f aca="false">IF(D1974="","",IFERROR(IF(ISNUMBER(SEARCH(Assumptions!$C$5,D1974)),Assumptions!$D$5,IF(ISNUMBER(SEARCH(Assumptions!$C$6,D1974)),Assumptions!$D$6,IF(ISNUMBER(SEARCH(Assumptions!$C$7,D1974)),Assumptions!$D$7,"Other Services"))),"Other Services"))</f>
        <v/>
      </c>
    </row>
    <row r="1975" customFormat="false" ht="15" hidden="false" customHeight="false" outlineLevel="0" collapsed="false">
      <c r="F1975" s="41" t="str">
        <f aca="false">IF(D1975="","",IFERROR(IF(ISNUMBER(SEARCH(Assumptions!$C$5,D1975)),Assumptions!$D$5,IF(ISNUMBER(SEARCH(Assumptions!$C$6,D1975)),Assumptions!$D$6,IF(ISNUMBER(SEARCH(Assumptions!$C$7,D1975)),Assumptions!$D$7,"Other Services"))),"Other Services"))</f>
        <v/>
      </c>
    </row>
    <row r="1976" customFormat="false" ht="15" hidden="false" customHeight="false" outlineLevel="0" collapsed="false">
      <c r="F1976" s="41" t="str">
        <f aca="false">IF(D1976="","",IFERROR(IF(ISNUMBER(SEARCH(Assumptions!$C$5,D1976)),Assumptions!$D$5,IF(ISNUMBER(SEARCH(Assumptions!$C$6,D1976)),Assumptions!$D$6,IF(ISNUMBER(SEARCH(Assumptions!$C$7,D1976)),Assumptions!$D$7,"Other Services"))),"Other Services"))</f>
        <v/>
      </c>
    </row>
    <row r="1977" customFormat="false" ht="15" hidden="false" customHeight="false" outlineLevel="0" collapsed="false">
      <c r="F1977" s="41" t="str">
        <f aca="false">IF(D1977="","",IFERROR(IF(ISNUMBER(SEARCH(Assumptions!$C$5,D1977)),Assumptions!$D$5,IF(ISNUMBER(SEARCH(Assumptions!$C$6,D1977)),Assumptions!$D$6,IF(ISNUMBER(SEARCH(Assumptions!$C$7,D1977)),Assumptions!$D$7,"Other Services"))),"Other Services"))</f>
        <v/>
      </c>
    </row>
    <row r="1978" customFormat="false" ht="15" hidden="false" customHeight="false" outlineLevel="0" collapsed="false">
      <c r="F1978" s="41" t="str">
        <f aca="false">IF(D1978="","",IFERROR(IF(ISNUMBER(SEARCH(Assumptions!$C$5,D1978)),Assumptions!$D$5,IF(ISNUMBER(SEARCH(Assumptions!$C$6,D1978)),Assumptions!$D$6,IF(ISNUMBER(SEARCH(Assumptions!$C$7,D1978)),Assumptions!$D$7,"Other Services"))),"Other Services"))</f>
        <v/>
      </c>
    </row>
    <row r="1979" customFormat="false" ht="15" hidden="false" customHeight="false" outlineLevel="0" collapsed="false">
      <c r="F1979" s="41" t="str">
        <f aca="false">IF(D1979="","",IFERROR(IF(ISNUMBER(SEARCH(Assumptions!$C$5,D1979)),Assumptions!$D$5,IF(ISNUMBER(SEARCH(Assumptions!$C$6,D1979)),Assumptions!$D$6,IF(ISNUMBER(SEARCH(Assumptions!$C$7,D1979)),Assumptions!$D$7,"Other Services"))),"Other Services"))</f>
        <v/>
      </c>
    </row>
    <row r="1980" customFormat="false" ht="15" hidden="false" customHeight="false" outlineLevel="0" collapsed="false">
      <c r="F1980" s="41" t="str">
        <f aca="false">IF(D1980="","",IFERROR(IF(ISNUMBER(SEARCH(Assumptions!$C$5,D1980)),Assumptions!$D$5,IF(ISNUMBER(SEARCH(Assumptions!$C$6,D1980)),Assumptions!$D$6,IF(ISNUMBER(SEARCH(Assumptions!$C$7,D1980)),Assumptions!$D$7,"Other Services"))),"Other Services"))</f>
        <v/>
      </c>
    </row>
    <row r="1981" customFormat="false" ht="15" hidden="false" customHeight="false" outlineLevel="0" collapsed="false">
      <c r="F1981" s="41" t="str">
        <f aca="false">IF(D1981="","",IFERROR(IF(ISNUMBER(SEARCH(Assumptions!$C$5,D1981)),Assumptions!$D$5,IF(ISNUMBER(SEARCH(Assumptions!$C$6,D1981)),Assumptions!$D$6,IF(ISNUMBER(SEARCH(Assumptions!$C$7,D1981)),Assumptions!$D$7,"Other Services"))),"Other Services"))</f>
        <v/>
      </c>
    </row>
    <row r="1982" customFormat="false" ht="15" hidden="false" customHeight="false" outlineLevel="0" collapsed="false">
      <c r="F1982" s="41" t="str">
        <f aca="false">IF(D1982="","",IFERROR(IF(ISNUMBER(SEARCH(Assumptions!$C$5,D1982)),Assumptions!$D$5,IF(ISNUMBER(SEARCH(Assumptions!$C$6,D1982)),Assumptions!$D$6,IF(ISNUMBER(SEARCH(Assumptions!$C$7,D1982)),Assumptions!$D$7,"Other Services"))),"Other Services"))</f>
        <v/>
      </c>
    </row>
    <row r="1983" customFormat="false" ht="15" hidden="false" customHeight="false" outlineLevel="0" collapsed="false">
      <c r="F1983" s="41" t="str">
        <f aca="false">IF(D1983="","",IFERROR(IF(ISNUMBER(SEARCH(Assumptions!$C$5,D1983)),Assumptions!$D$5,IF(ISNUMBER(SEARCH(Assumptions!$C$6,D1983)),Assumptions!$D$6,IF(ISNUMBER(SEARCH(Assumptions!$C$7,D1983)),Assumptions!$D$7,"Other Services"))),"Other Services"))</f>
        <v/>
      </c>
    </row>
    <row r="1984" customFormat="false" ht="15" hidden="false" customHeight="false" outlineLevel="0" collapsed="false">
      <c r="F1984" s="41" t="str">
        <f aca="false">IF(D1984="","",IFERROR(IF(ISNUMBER(SEARCH(Assumptions!$C$5,D1984)),Assumptions!$D$5,IF(ISNUMBER(SEARCH(Assumptions!$C$6,D1984)),Assumptions!$D$6,IF(ISNUMBER(SEARCH(Assumptions!$C$7,D1984)),Assumptions!$D$7,"Other Services"))),"Other Services"))</f>
        <v/>
      </c>
    </row>
    <row r="1985" customFormat="false" ht="15" hidden="false" customHeight="false" outlineLevel="0" collapsed="false">
      <c r="F1985" s="41" t="str">
        <f aca="false">IF(D1985="","",IFERROR(IF(ISNUMBER(SEARCH(Assumptions!$C$5,D1985)),Assumptions!$D$5,IF(ISNUMBER(SEARCH(Assumptions!$C$6,D1985)),Assumptions!$D$6,IF(ISNUMBER(SEARCH(Assumptions!$C$7,D1985)),Assumptions!$D$7,"Other Services"))),"Other Services"))</f>
        <v/>
      </c>
    </row>
    <row r="1986" customFormat="false" ht="15" hidden="false" customHeight="false" outlineLevel="0" collapsed="false">
      <c r="F1986" s="41" t="str">
        <f aca="false">IF(D1986="","",IFERROR(IF(ISNUMBER(SEARCH(Assumptions!$C$5,D1986)),Assumptions!$D$5,IF(ISNUMBER(SEARCH(Assumptions!$C$6,D1986)),Assumptions!$D$6,IF(ISNUMBER(SEARCH(Assumptions!$C$7,D1986)),Assumptions!$D$7,"Other Services"))),"Other Services"))</f>
        <v/>
      </c>
    </row>
    <row r="1987" customFormat="false" ht="15" hidden="false" customHeight="false" outlineLevel="0" collapsed="false">
      <c r="F1987" s="41" t="str">
        <f aca="false">IF(D1987="","",IFERROR(IF(ISNUMBER(SEARCH(Assumptions!$C$5,D1987)),Assumptions!$D$5,IF(ISNUMBER(SEARCH(Assumptions!$C$6,D1987)),Assumptions!$D$6,IF(ISNUMBER(SEARCH(Assumptions!$C$7,D1987)),Assumptions!$D$7,"Other Services"))),"Other Services"))</f>
        <v/>
      </c>
    </row>
    <row r="1988" customFormat="false" ht="15" hidden="false" customHeight="false" outlineLevel="0" collapsed="false">
      <c r="F1988" s="41" t="str">
        <f aca="false">IF(D1988="","",IFERROR(IF(ISNUMBER(SEARCH(Assumptions!$C$5,D1988)),Assumptions!$D$5,IF(ISNUMBER(SEARCH(Assumptions!$C$6,D1988)),Assumptions!$D$6,IF(ISNUMBER(SEARCH(Assumptions!$C$7,D1988)),Assumptions!$D$7,"Other Services"))),"Other Services"))</f>
        <v/>
      </c>
    </row>
    <row r="1989" customFormat="false" ht="15" hidden="false" customHeight="false" outlineLevel="0" collapsed="false">
      <c r="F1989" s="41" t="str">
        <f aca="false">IF(D1989="","",IFERROR(IF(ISNUMBER(SEARCH(Assumptions!$C$5,D1989)),Assumptions!$D$5,IF(ISNUMBER(SEARCH(Assumptions!$C$6,D1989)),Assumptions!$D$6,IF(ISNUMBER(SEARCH(Assumptions!$C$7,D1989)),Assumptions!$D$7,"Other Services"))),"Other Services"))</f>
        <v/>
      </c>
    </row>
    <row r="1990" customFormat="false" ht="15" hidden="false" customHeight="false" outlineLevel="0" collapsed="false">
      <c r="F1990" s="41" t="str">
        <f aca="false">IF(D1990="","",IFERROR(IF(ISNUMBER(SEARCH(Assumptions!$C$5,D1990)),Assumptions!$D$5,IF(ISNUMBER(SEARCH(Assumptions!$C$6,D1990)),Assumptions!$D$6,IF(ISNUMBER(SEARCH(Assumptions!$C$7,D1990)),Assumptions!$D$7,"Other Services"))),"Other Services"))</f>
        <v/>
      </c>
    </row>
    <row r="1991" customFormat="false" ht="15" hidden="false" customHeight="false" outlineLevel="0" collapsed="false">
      <c r="F1991" s="41" t="str">
        <f aca="false">IF(D1991="","",IFERROR(IF(ISNUMBER(SEARCH(Assumptions!$C$5,D1991)),Assumptions!$D$5,IF(ISNUMBER(SEARCH(Assumptions!$C$6,D1991)),Assumptions!$D$6,IF(ISNUMBER(SEARCH(Assumptions!$C$7,D1991)),Assumptions!$D$7,"Other Services"))),"Other Services"))</f>
        <v/>
      </c>
    </row>
    <row r="1992" customFormat="false" ht="15" hidden="false" customHeight="false" outlineLevel="0" collapsed="false">
      <c r="F1992" s="41" t="str">
        <f aca="false">IF(D1992="","",IFERROR(IF(ISNUMBER(SEARCH(Assumptions!$C$5,D1992)),Assumptions!$D$5,IF(ISNUMBER(SEARCH(Assumptions!$C$6,D1992)),Assumptions!$D$6,IF(ISNUMBER(SEARCH(Assumptions!$C$7,D1992)),Assumptions!$D$7,"Other Services"))),"Other Services"))</f>
        <v/>
      </c>
    </row>
    <row r="1993" customFormat="false" ht="15" hidden="false" customHeight="false" outlineLevel="0" collapsed="false">
      <c r="F1993" s="41" t="str">
        <f aca="false">IF(D1993="","",IFERROR(IF(ISNUMBER(SEARCH(Assumptions!$C$5,D1993)),Assumptions!$D$5,IF(ISNUMBER(SEARCH(Assumptions!$C$6,D1993)),Assumptions!$D$6,IF(ISNUMBER(SEARCH(Assumptions!$C$7,D1993)),Assumptions!$D$7,"Other Services"))),"Other Services"))</f>
        <v/>
      </c>
    </row>
    <row r="1994" customFormat="false" ht="15" hidden="false" customHeight="false" outlineLevel="0" collapsed="false">
      <c r="F1994" s="41" t="str">
        <f aca="false">IF(D1994="","",IFERROR(IF(ISNUMBER(SEARCH(Assumptions!$C$5,D1994)),Assumptions!$D$5,IF(ISNUMBER(SEARCH(Assumptions!$C$6,D1994)),Assumptions!$D$6,IF(ISNUMBER(SEARCH(Assumptions!$C$7,D1994)),Assumptions!$D$7,"Other Services"))),"Other Services"))</f>
        <v/>
      </c>
    </row>
    <row r="1995" customFormat="false" ht="15" hidden="false" customHeight="false" outlineLevel="0" collapsed="false">
      <c r="F1995" s="41" t="str">
        <f aca="false">IF(D1995="","",IFERROR(IF(ISNUMBER(SEARCH(Assumptions!$C$5,D1995)),Assumptions!$D$5,IF(ISNUMBER(SEARCH(Assumptions!$C$6,D1995)),Assumptions!$D$6,IF(ISNUMBER(SEARCH(Assumptions!$C$7,D1995)),Assumptions!$D$7,"Other Services"))),"Other Services"))</f>
        <v/>
      </c>
    </row>
    <row r="1996" customFormat="false" ht="15" hidden="false" customHeight="false" outlineLevel="0" collapsed="false">
      <c r="F1996" s="41" t="str">
        <f aca="false">IF(D1996="","",IFERROR(IF(ISNUMBER(SEARCH(Assumptions!$C$5,D1996)),Assumptions!$D$5,IF(ISNUMBER(SEARCH(Assumptions!$C$6,D1996)),Assumptions!$D$6,IF(ISNUMBER(SEARCH(Assumptions!$C$7,D1996)),Assumptions!$D$7,"Other Services"))),"Other Services"))</f>
        <v/>
      </c>
    </row>
    <row r="1997" customFormat="false" ht="15" hidden="false" customHeight="false" outlineLevel="0" collapsed="false">
      <c r="F1997" s="41" t="str">
        <f aca="false">IF(D1997="","",IFERROR(IF(ISNUMBER(SEARCH(Assumptions!$C$5,D1997)),Assumptions!$D$5,IF(ISNUMBER(SEARCH(Assumptions!$C$6,D1997)),Assumptions!$D$6,IF(ISNUMBER(SEARCH(Assumptions!$C$7,D1997)),Assumptions!$D$7,"Other Services"))),"Other Services"))</f>
        <v/>
      </c>
    </row>
    <row r="1998" customFormat="false" ht="15" hidden="false" customHeight="false" outlineLevel="0" collapsed="false">
      <c r="F1998" s="41" t="str">
        <f aca="false">IF(D1998="","",IFERROR(IF(ISNUMBER(SEARCH(Assumptions!$C$5,D1998)),Assumptions!$D$5,IF(ISNUMBER(SEARCH(Assumptions!$C$6,D1998)),Assumptions!$D$6,IF(ISNUMBER(SEARCH(Assumptions!$C$7,D1998)),Assumptions!$D$7,"Other Services"))),"Other Services"))</f>
        <v/>
      </c>
    </row>
    <row r="1999" customFormat="false" ht="15" hidden="false" customHeight="false" outlineLevel="0" collapsed="false">
      <c r="F1999" s="41" t="str">
        <f aca="false">IF(D1999="","",IFERROR(IF(ISNUMBER(SEARCH(Assumptions!$C$5,D1999)),Assumptions!$D$5,IF(ISNUMBER(SEARCH(Assumptions!$C$6,D1999)),Assumptions!$D$6,IF(ISNUMBER(SEARCH(Assumptions!$C$7,D1999)),Assumptions!$D$7,"Other Services"))),"Other Services"))</f>
        <v/>
      </c>
    </row>
    <row r="2000" customFormat="false" ht="15" hidden="false" customHeight="false" outlineLevel="0" collapsed="false">
      <c r="F2000" s="41" t="str">
        <f aca="false">IF(D2000="","",IFERROR(IF(ISNUMBER(SEARCH(Assumptions!$C$5,D2000)),Assumptions!$D$5,IF(ISNUMBER(SEARCH(Assumptions!$C$6,D2000)),Assumptions!$D$6,IF(ISNUMBER(SEARCH(Assumptions!$C$7,D2000)),Assumptions!$D$7,"Other Services"))),"Other Services"))</f>
        <v/>
      </c>
    </row>
    <row r="2001" customFormat="false" ht="15" hidden="false" customHeight="false" outlineLevel="0" collapsed="false">
      <c r="F2001" s="41" t="str">
        <f aca="false">IF(D2001="","",IFERROR(IF(ISNUMBER(SEARCH(Assumptions!$C$5,D2001)),Assumptions!$D$5,IF(ISNUMBER(SEARCH(Assumptions!$C$6,D2001)),Assumptions!$D$6,IF(ISNUMBER(SEARCH(Assumptions!$C$7,D2001)),Assumptions!$D$7,"Other Services"))),"Other Services"))</f>
        <v/>
      </c>
    </row>
    <row r="2002" customFormat="false" ht="15" hidden="false" customHeight="false" outlineLevel="0" collapsed="false">
      <c r="F2002" s="41" t="str">
        <f aca="false">IF(D2002="","",IFERROR(IF(ISNUMBER(SEARCH(Assumptions!$C$5,D2002)),Assumptions!$D$5,IF(ISNUMBER(SEARCH(Assumptions!$C$6,D2002)),Assumptions!$D$6,IF(ISNUMBER(SEARCH(Assumptions!$C$7,D2002)),Assumptions!$D$7,"Other Services"))),"Other Services"))</f>
        <v/>
      </c>
    </row>
    <row r="2003" customFormat="false" ht="15" hidden="false" customHeight="false" outlineLevel="0" collapsed="false">
      <c r="F2003" s="41" t="str">
        <f aca="false">IF(D2003="","",IFERROR(IF(ISNUMBER(SEARCH(Assumptions!$C$5,D2003)),Assumptions!$D$5,IF(ISNUMBER(SEARCH(Assumptions!$C$6,D2003)),Assumptions!$D$6,IF(ISNUMBER(SEARCH(Assumptions!$C$7,D2003)),Assumptions!$D$7,"Other Services"))),"Other Services"))</f>
        <v/>
      </c>
    </row>
    <row r="2004" customFormat="false" ht="15" hidden="false" customHeight="false" outlineLevel="0" collapsed="false">
      <c r="F2004" s="41" t="str">
        <f aca="false">IF(D2004="","",IFERROR(IF(ISNUMBER(SEARCH(Assumptions!$C$5,D2004)),Assumptions!$D$5,IF(ISNUMBER(SEARCH(Assumptions!$C$6,D2004)),Assumptions!$D$6,IF(ISNUMBER(SEARCH(Assumptions!$C$7,D2004)),Assumptions!$D$7,"Other Services"))),"Other Services"))</f>
        <v/>
      </c>
    </row>
    <row r="2005" customFormat="false" ht="15" hidden="false" customHeight="false" outlineLevel="0" collapsed="false">
      <c r="F2005" s="41" t="str">
        <f aca="false">IF(D2005="","",IFERROR(IF(ISNUMBER(SEARCH(Assumptions!$C$5,D2005)),Assumptions!$D$5,IF(ISNUMBER(SEARCH(Assumptions!$C$6,D2005)),Assumptions!$D$6,IF(ISNUMBER(SEARCH(Assumptions!$C$7,D2005)),Assumptions!$D$7,"Other Services"))),"Other Services"))</f>
        <v/>
      </c>
    </row>
    <row r="2006" customFormat="false" ht="15" hidden="false" customHeight="false" outlineLevel="0" collapsed="false">
      <c r="F2006" s="41" t="str">
        <f aca="false">IF(D2006="","",IFERROR(IF(ISNUMBER(SEARCH(Assumptions!$C$5,D2006)),Assumptions!$D$5,IF(ISNUMBER(SEARCH(Assumptions!$C$6,D2006)),Assumptions!$D$6,IF(ISNUMBER(SEARCH(Assumptions!$C$7,D2006)),Assumptions!$D$7,"Other Services"))),"Other Services"))</f>
        <v/>
      </c>
    </row>
    <row r="2007" customFormat="false" ht="15" hidden="false" customHeight="false" outlineLevel="0" collapsed="false">
      <c r="F2007" s="41" t="str">
        <f aca="false">IF(D2007="","",IFERROR(IF(ISNUMBER(SEARCH(Assumptions!$C$5,D2007)),Assumptions!$D$5,IF(ISNUMBER(SEARCH(Assumptions!$C$6,D2007)),Assumptions!$D$6,IF(ISNUMBER(SEARCH(Assumptions!$C$7,D2007)),Assumptions!$D$7,"Other Services"))),"Other Services"))</f>
        <v/>
      </c>
    </row>
    <row r="2008" customFormat="false" ht="15" hidden="false" customHeight="false" outlineLevel="0" collapsed="false">
      <c r="F2008" s="41" t="str">
        <f aca="false">IF(D2008="","",IFERROR(IF(ISNUMBER(SEARCH(Assumptions!$C$5,D2008)),Assumptions!$D$5,IF(ISNUMBER(SEARCH(Assumptions!$C$6,D2008)),Assumptions!$D$6,IF(ISNUMBER(SEARCH(Assumptions!$C$7,D2008)),Assumptions!$D$7,"Other Services"))),"Other Services"))</f>
        <v/>
      </c>
    </row>
    <row r="2009" customFormat="false" ht="15" hidden="false" customHeight="false" outlineLevel="0" collapsed="false">
      <c r="F2009" s="41" t="str">
        <f aca="false">IF(D2009="","",IFERROR(IF(ISNUMBER(SEARCH(Assumptions!$C$5,D2009)),Assumptions!$D$5,IF(ISNUMBER(SEARCH(Assumptions!$C$6,D2009)),Assumptions!$D$6,IF(ISNUMBER(SEARCH(Assumptions!$C$7,D2009)),Assumptions!$D$7,"Other Services"))),"Other Services"))</f>
        <v/>
      </c>
    </row>
    <row r="2010" customFormat="false" ht="15" hidden="false" customHeight="false" outlineLevel="0" collapsed="false">
      <c r="F2010" s="41" t="str">
        <f aca="false">IF(D2010="","",IFERROR(IF(ISNUMBER(SEARCH(Assumptions!$C$5,D2010)),Assumptions!$D$5,IF(ISNUMBER(SEARCH(Assumptions!$C$6,D2010)),Assumptions!$D$6,IF(ISNUMBER(SEARCH(Assumptions!$C$7,D2010)),Assumptions!$D$7,"Other Services"))),"Other Services"))</f>
        <v/>
      </c>
    </row>
    <row r="2011" customFormat="false" ht="15" hidden="false" customHeight="false" outlineLevel="0" collapsed="false">
      <c r="F2011" s="41" t="str">
        <f aca="false">IF(D2011="","",IFERROR(IF(ISNUMBER(SEARCH(Assumptions!$C$5,D2011)),Assumptions!$D$5,IF(ISNUMBER(SEARCH(Assumptions!$C$6,D2011)),Assumptions!$D$6,IF(ISNUMBER(SEARCH(Assumptions!$C$7,D2011)),Assumptions!$D$7,"Other Services"))),"Other Services"))</f>
        <v/>
      </c>
    </row>
    <row r="2012" customFormat="false" ht="15" hidden="false" customHeight="false" outlineLevel="0" collapsed="false">
      <c r="F2012" s="41" t="str">
        <f aca="false">IF(D2012="","",IFERROR(IF(ISNUMBER(SEARCH(Assumptions!$C$5,D2012)),Assumptions!$D$5,IF(ISNUMBER(SEARCH(Assumptions!$C$6,D2012)),Assumptions!$D$6,IF(ISNUMBER(SEARCH(Assumptions!$C$7,D2012)),Assumptions!$D$7,"Other Services"))),"Other Services"))</f>
        <v/>
      </c>
    </row>
    <row r="2013" customFormat="false" ht="15" hidden="false" customHeight="false" outlineLevel="0" collapsed="false">
      <c r="F2013" s="41" t="str">
        <f aca="false">IF(D2013="","",IFERROR(IF(ISNUMBER(SEARCH(Assumptions!$C$5,D2013)),Assumptions!$D$5,IF(ISNUMBER(SEARCH(Assumptions!$C$6,D2013)),Assumptions!$D$6,IF(ISNUMBER(SEARCH(Assumptions!$C$7,D2013)),Assumptions!$D$7,"Other Services"))),"Other Services"))</f>
        <v/>
      </c>
    </row>
    <row r="2014" customFormat="false" ht="15" hidden="false" customHeight="false" outlineLevel="0" collapsed="false">
      <c r="F2014" s="41" t="str">
        <f aca="false">IF(D2014="","",IFERROR(IF(ISNUMBER(SEARCH(Assumptions!$C$5,D2014)),Assumptions!$D$5,IF(ISNUMBER(SEARCH(Assumptions!$C$6,D2014)),Assumptions!$D$6,IF(ISNUMBER(SEARCH(Assumptions!$C$7,D2014)),Assumptions!$D$7,"Other Services"))),"Other Services"))</f>
        <v/>
      </c>
    </row>
    <row r="2015" customFormat="false" ht="15" hidden="false" customHeight="false" outlineLevel="0" collapsed="false">
      <c r="F2015" s="41" t="str">
        <f aca="false">IF(D2015="","",IFERROR(IF(ISNUMBER(SEARCH(Assumptions!$C$5,D2015)),Assumptions!$D$5,IF(ISNUMBER(SEARCH(Assumptions!$C$6,D2015)),Assumptions!$D$6,IF(ISNUMBER(SEARCH(Assumptions!$C$7,D2015)),Assumptions!$D$7,"Other Services"))),"Other Services"))</f>
        <v/>
      </c>
    </row>
    <row r="2016" customFormat="false" ht="15" hidden="false" customHeight="false" outlineLevel="0" collapsed="false">
      <c r="F2016" s="41" t="str">
        <f aca="false">IF(D2016="","",IFERROR(IF(ISNUMBER(SEARCH(Assumptions!$C$5,D2016)),Assumptions!$D$5,IF(ISNUMBER(SEARCH(Assumptions!$C$6,D2016)),Assumptions!$D$6,IF(ISNUMBER(SEARCH(Assumptions!$C$7,D2016)),Assumptions!$D$7,"Other Services"))),"Other Services"))</f>
        <v/>
      </c>
    </row>
    <row r="2017" customFormat="false" ht="15" hidden="false" customHeight="false" outlineLevel="0" collapsed="false">
      <c r="F2017" s="41" t="str">
        <f aca="false">IF(D2017="","",IFERROR(IF(ISNUMBER(SEARCH(Assumptions!$C$5,D2017)),Assumptions!$D$5,IF(ISNUMBER(SEARCH(Assumptions!$C$6,D2017)),Assumptions!$D$6,IF(ISNUMBER(SEARCH(Assumptions!$C$7,D2017)),Assumptions!$D$7,"Other Services"))),"Other Services"))</f>
        <v/>
      </c>
    </row>
    <row r="2018" customFormat="false" ht="15" hidden="false" customHeight="false" outlineLevel="0" collapsed="false">
      <c r="F2018" s="41" t="str">
        <f aca="false">IF(D2018="","",IFERROR(IF(ISNUMBER(SEARCH(Assumptions!$C$5,D2018)),Assumptions!$D$5,IF(ISNUMBER(SEARCH(Assumptions!$C$6,D2018)),Assumptions!$D$6,IF(ISNUMBER(SEARCH(Assumptions!$C$7,D2018)),Assumptions!$D$7,"Other Services"))),"Other Services"))</f>
        <v/>
      </c>
    </row>
    <row r="2019" customFormat="false" ht="15" hidden="false" customHeight="false" outlineLevel="0" collapsed="false">
      <c r="F2019" s="41" t="str">
        <f aca="false">IF(D2019="","",IFERROR(IF(ISNUMBER(SEARCH(Assumptions!$C$5,D2019)),Assumptions!$D$5,IF(ISNUMBER(SEARCH(Assumptions!$C$6,D2019)),Assumptions!$D$6,IF(ISNUMBER(SEARCH(Assumptions!$C$7,D2019)),Assumptions!$D$7,"Other Services"))),"Other Services"))</f>
        <v/>
      </c>
    </row>
    <row r="2020" customFormat="false" ht="15" hidden="false" customHeight="false" outlineLevel="0" collapsed="false">
      <c r="F2020" s="41" t="str">
        <f aca="false">IF(D2020="","",IFERROR(IF(ISNUMBER(SEARCH(Assumptions!$C$5,D2020)),Assumptions!$D$5,IF(ISNUMBER(SEARCH(Assumptions!$C$6,D2020)),Assumptions!$D$6,IF(ISNUMBER(SEARCH(Assumptions!$C$7,D2020)),Assumptions!$D$7,"Other Services"))),"Other Services"))</f>
        <v/>
      </c>
    </row>
    <row r="2021" customFormat="false" ht="15" hidden="false" customHeight="false" outlineLevel="0" collapsed="false">
      <c r="F2021" s="41" t="str">
        <f aca="false">IF(D2021="","",IFERROR(IF(ISNUMBER(SEARCH(Assumptions!$C$5,D2021)),Assumptions!$D$5,IF(ISNUMBER(SEARCH(Assumptions!$C$6,D2021)),Assumptions!$D$6,IF(ISNUMBER(SEARCH(Assumptions!$C$7,D2021)),Assumptions!$D$7,"Other Services"))),"Other Services"))</f>
        <v/>
      </c>
    </row>
    <row r="2022" customFormat="false" ht="15" hidden="false" customHeight="false" outlineLevel="0" collapsed="false">
      <c r="F2022" s="41" t="str">
        <f aca="false">IF(D2022="","",IFERROR(IF(ISNUMBER(SEARCH(Assumptions!$C$5,D2022)),Assumptions!$D$5,IF(ISNUMBER(SEARCH(Assumptions!$C$6,D2022)),Assumptions!$D$6,IF(ISNUMBER(SEARCH(Assumptions!$C$7,D2022)),Assumptions!$D$7,"Other Services"))),"Other Services"))</f>
        <v/>
      </c>
    </row>
    <row r="2023" customFormat="false" ht="15" hidden="false" customHeight="false" outlineLevel="0" collapsed="false">
      <c r="F2023" s="41" t="str">
        <f aca="false">IF(D2023="","",IFERROR(IF(ISNUMBER(SEARCH(Assumptions!$C$5,D2023)),Assumptions!$D$5,IF(ISNUMBER(SEARCH(Assumptions!$C$6,D2023)),Assumptions!$D$6,IF(ISNUMBER(SEARCH(Assumptions!$C$7,D2023)),Assumptions!$D$7,"Other Services"))),"Other Services"))</f>
        <v/>
      </c>
    </row>
    <row r="2024" customFormat="false" ht="15" hidden="false" customHeight="false" outlineLevel="0" collapsed="false">
      <c r="F2024" s="41" t="str">
        <f aca="false">IF(D2024="","",IFERROR(IF(ISNUMBER(SEARCH(Assumptions!$C$5,D2024)),Assumptions!$D$5,IF(ISNUMBER(SEARCH(Assumptions!$C$6,D2024)),Assumptions!$D$6,IF(ISNUMBER(SEARCH(Assumptions!$C$7,D2024)),Assumptions!$D$7,"Other Services"))),"Other Services"))</f>
        <v/>
      </c>
    </row>
    <row r="2025" customFormat="false" ht="15" hidden="false" customHeight="false" outlineLevel="0" collapsed="false">
      <c r="F2025" s="41" t="str">
        <f aca="false">IF(D2025="","",IFERROR(IF(ISNUMBER(SEARCH(Assumptions!$C$5,D2025)),Assumptions!$D$5,IF(ISNUMBER(SEARCH(Assumptions!$C$6,D2025)),Assumptions!$D$6,IF(ISNUMBER(SEARCH(Assumptions!$C$7,D2025)),Assumptions!$D$7,"Other Services"))),"Other Services"))</f>
        <v/>
      </c>
    </row>
    <row r="2026" customFormat="false" ht="15" hidden="false" customHeight="false" outlineLevel="0" collapsed="false">
      <c r="F2026" s="41" t="str">
        <f aca="false">IF(D2026="","",IFERROR(IF(ISNUMBER(SEARCH(Assumptions!$C$5,D2026)),Assumptions!$D$5,IF(ISNUMBER(SEARCH(Assumptions!$C$6,D2026)),Assumptions!$D$6,IF(ISNUMBER(SEARCH(Assumptions!$C$7,D2026)),Assumptions!$D$7,"Other Services"))),"Other Services"))</f>
        <v/>
      </c>
    </row>
    <row r="2027" customFormat="false" ht="15" hidden="false" customHeight="false" outlineLevel="0" collapsed="false">
      <c r="F2027" s="41" t="str">
        <f aca="false">IF(D2027="","",IFERROR(IF(ISNUMBER(SEARCH(Assumptions!$C$5,D2027)),Assumptions!$D$5,IF(ISNUMBER(SEARCH(Assumptions!$C$6,D2027)),Assumptions!$D$6,IF(ISNUMBER(SEARCH(Assumptions!$C$7,D2027)),Assumptions!$D$7,"Other Services"))),"Other Services"))</f>
        <v/>
      </c>
    </row>
    <row r="2028" customFormat="false" ht="15" hidden="false" customHeight="false" outlineLevel="0" collapsed="false">
      <c r="F2028" s="41" t="str">
        <f aca="false">IF(D2028="","",IFERROR(IF(ISNUMBER(SEARCH(Assumptions!$C$5,D2028)),Assumptions!$D$5,IF(ISNUMBER(SEARCH(Assumptions!$C$6,D2028)),Assumptions!$D$6,IF(ISNUMBER(SEARCH(Assumptions!$C$7,D2028)),Assumptions!$D$7,"Other Services"))),"Other Services"))</f>
        <v/>
      </c>
    </row>
    <row r="2029" customFormat="false" ht="15" hidden="false" customHeight="false" outlineLevel="0" collapsed="false">
      <c r="F2029" s="41" t="str">
        <f aca="false">IF(D2029="","",IFERROR(IF(ISNUMBER(SEARCH(Assumptions!$C$5,D2029)),Assumptions!$D$5,IF(ISNUMBER(SEARCH(Assumptions!$C$6,D2029)),Assumptions!$D$6,IF(ISNUMBER(SEARCH(Assumptions!$C$7,D2029)),Assumptions!$D$7,"Other Services"))),"Other Services"))</f>
        <v/>
      </c>
    </row>
    <row r="2030" customFormat="false" ht="15" hidden="false" customHeight="false" outlineLevel="0" collapsed="false">
      <c r="F2030" s="41" t="str">
        <f aca="false">IF(D2030="","",IFERROR(IF(ISNUMBER(SEARCH(Assumptions!$C$5,D2030)),Assumptions!$D$5,IF(ISNUMBER(SEARCH(Assumptions!$C$6,D2030)),Assumptions!$D$6,IF(ISNUMBER(SEARCH(Assumptions!$C$7,D2030)),Assumptions!$D$7,"Other Services"))),"Other Services"))</f>
        <v/>
      </c>
    </row>
    <row r="2031" customFormat="false" ht="15" hidden="false" customHeight="false" outlineLevel="0" collapsed="false">
      <c r="F2031" s="41" t="str">
        <f aca="false">IF(D2031="","",IFERROR(IF(ISNUMBER(SEARCH(Assumptions!$C$5,D2031)),Assumptions!$D$5,IF(ISNUMBER(SEARCH(Assumptions!$C$6,D2031)),Assumptions!$D$6,IF(ISNUMBER(SEARCH(Assumptions!$C$7,D2031)),Assumptions!$D$7,"Other Services"))),"Other Services"))</f>
        <v/>
      </c>
    </row>
    <row r="2032" customFormat="false" ht="15" hidden="false" customHeight="false" outlineLevel="0" collapsed="false">
      <c r="F2032" s="41" t="str">
        <f aca="false">IF(D2032="","",IFERROR(IF(ISNUMBER(SEARCH(Assumptions!$C$5,D2032)),Assumptions!$D$5,IF(ISNUMBER(SEARCH(Assumptions!$C$6,D2032)),Assumptions!$D$6,IF(ISNUMBER(SEARCH(Assumptions!$C$7,D2032)),Assumptions!$D$7,"Other Services"))),"Other Services"))</f>
        <v/>
      </c>
    </row>
    <row r="2033" customFormat="false" ht="15" hidden="false" customHeight="false" outlineLevel="0" collapsed="false">
      <c r="F2033" s="41" t="str">
        <f aca="false">IF(D2033="","",IFERROR(IF(ISNUMBER(SEARCH(Assumptions!$C$5,D2033)),Assumptions!$D$5,IF(ISNUMBER(SEARCH(Assumptions!$C$6,D2033)),Assumptions!$D$6,IF(ISNUMBER(SEARCH(Assumptions!$C$7,D2033)),Assumptions!$D$7,"Other Services"))),"Other Services"))</f>
        <v/>
      </c>
    </row>
    <row r="2034" customFormat="false" ht="15" hidden="false" customHeight="false" outlineLevel="0" collapsed="false">
      <c r="F2034" s="41" t="str">
        <f aca="false">IF(D2034="","",IFERROR(IF(ISNUMBER(SEARCH(Assumptions!$C$5,D2034)),Assumptions!$D$5,IF(ISNUMBER(SEARCH(Assumptions!$C$6,D2034)),Assumptions!$D$6,IF(ISNUMBER(SEARCH(Assumptions!$C$7,D2034)),Assumptions!$D$7,"Other Services"))),"Other Services"))</f>
        <v/>
      </c>
    </row>
    <row r="2035" customFormat="false" ht="15" hidden="false" customHeight="false" outlineLevel="0" collapsed="false">
      <c r="F2035" s="41" t="str">
        <f aca="false">IF(D2035="","",IFERROR(IF(ISNUMBER(SEARCH(Assumptions!$C$5,D2035)),Assumptions!$D$5,IF(ISNUMBER(SEARCH(Assumptions!$C$6,D2035)),Assumptions!$D$6,IF(ISNUMBER(SEARCH(Assumptions!$C$7,D2035)),Assumptions!$D$7,"Other Services"))),"Other Services"))</f>
        <v/>
      </c>
    </row>
    <row r="2036" customFormat="false" ht="15" hidden="false" customHeight="false" outlineLevel="0" collapsed="false">
      <c r="F2036" s="41" t="str">
        <f aca="false">IF(D2036="","",IFERROR(IF(ISNUMBER(SEARCH(Assumptions!$C$5,D2036)),Assumptions!$D$5,IF(ISNUMBER(SEARCH(Assumptions!$C$6,D2036)),Assumptions!$D$6,IF(ISNUMBER(SEARCH(Assumptions!$C$7,D2036)),Assumptions!$D$7,"Other Services"))),"Other Services"))</f>
        <v/>
      </c>
    </row>
    <row r="2037" customFormat="false" ht="15" hidden="false" customHeight="false" outlineLevel="0" collapsed="false">
      <c r="F2037" s="41" t="str">
        <f aca="false">IF(D2037="","",IFERROR(IF(ISNUMBER(SEARCH(Assumptions!$C$5,D2037)),Assumptions!$D$5,IF(ISNUMBER(SEARCH(Assumptions!$C$6,D2037)),Assumptions!$D$6,IF(ISNUMBER(SEARCH(Assumptions!$C$7,D2037)),Assumptions!$D$7,"Other Services"))),"Other Services"))</f>
        <v/>
      </c>
    </row>
    <row r="2038" customFormat="false" ht="15" hidden="false" customHeight="false" outlineLevel="0" collapsed="false">
      <c r="F2038" s="41" t="str">
        <f aca="false">IF(D2038="","",IFERROR(IF(ISNUMBER(SEARCH(Assumptions!$C$5,D2038)),Assumptions!$D$5,IF(ISNUMBER(SEARCH(Assumptions!$C$6,D2038)),Assumptions!$D$6,IF(ISNUMBER(SEARCH(Assumptions!$C$7,D2038)),Assumptions!$D$7,"Other Services"))),"Other Services"))</f>
        <v/>
      </c>
    </row>
    <row r="2039" customFormat="false" ht="15" hidden="false" customHeight="false" outlineLevel="0" collapsed="false">
      <c r="F2039" s="41" t="str">
        <f aca="false">IF(D2039="","",IFERROR(IF(ISNUMBER(SEARCH(Assumptions!$C$5,D2039)),Assumptions!$D$5,IF(ISNUMBER(SEARCH(Assumptions!$C$6,D2039)),Assumptions!$D$6,IF(ISNUMBER(SEARCH(Assumptions!$C$7,D2039)),Assumptions!$D$7,"Other Services"))),"Other Services"))</f>
        <v/>
      </c>
    </row>
    <row r="2040" customFormat="false" ht="15" hidden="false" customHeight="false" outlineLevel="0" collapsed="false">
      <c r="F2040" s="41" t="str">
        <f aca="false">IF(D2040="","",IFERROR(IF(ISNUMBER(SEARCH(Assumptions!$C$5,D2040)),Assumptions!$D$5,IF(ISNUMBER(SEARCH(Assumptions!$C$6,D2040)),Assumptions!$D$6,IF(ISNUMBER(SEARCH(Assumptions!$C$7,D2040)),Assumptions!$D$7,"Other Services"))),"Other Services"))</f>
        <v/>
      </c>
    </row>
    <row r="2041" customFormat="false" ht="15" hidden="false" customHeight="false" outlineLevel="0" collapsed="false">
      <c r="F2041" s="41" t="str">
        <f aca="false">IF(D2041="","",IFERROR(IF(ISNUMBER(SEARCH(Assumptions!$C$5,D2041)),Assumptions!$D$5,IF(ISNUMBER(SEARCH(Assumptions!$C$6,D2041)),Assumptions!$D$6,IF(ISNUMBER(SEARCH(Assumptions!$C$7,D2041)),Assumptions!$D$7,"Other Services"))),"Other Services"))</f>
        <v/>
      </c>
    </row>
    <row r="2042" customFormat="false" ht="15" hidden="false" customHeight="false" outlineLevel="0" collapsed="false">
      <c r="F2042" s="41" t="str">
        <f aca="false">IF(D2042="","",IFERROR(IF(ISNUMBER(SEARCH(Assumptions!$C$5,D2042)),Assumptions!$D$5,IF(ISNUMBER(SEARCH(Assumptions!$C$6,D2042)),Assumptions!$D$6,IF(ISNUMBER(SEARCH(Assumptions!$C$7,D2042)),Assumptions!$D$7,"Other Services"))),"Other Services"))</f>
        <v/>
      </c>
    </row>
    <row r="2043" customFormat="false" ht="15" hidden="false" customHeight="false" outlineLevel="0" collapsed="false">
      <c r="F2043" s="41" t="str">
        <f aca="false">IF(D2043="","",IFERROR(IF(ISNUMBER(SEARCH(Assumptions!$C$5,D2043)),Assumptions!$D$5,IF(ISNUMBER(SEARCH(Assumptions!$C$6,D2043)),Assumptions!$D$6,IF(ISNUMBER(SEARCH(Assumptions!$C$7,D2043)),Assumptions!$D$7,"Other Services"))),"Other Services"))</f>
        <v/>
      </c>
    </row>
    <row r="2044" customFormat="false" ht="15" hidden="false" customHeight="false" outlineLevel="0" collapsed="false">
      <c r="F2044" s="41" t="str">
        <f aca="false">IF(D2044="","",IFERROR(IF(ISNUMBER(SEARCH(Assumptions!$C$5,D2044)),Assumptions!$D$5,IF(ISNUMBER(SEARCH(Assumptions!$C$6,D2044)),Assumptions!$D$6,IF(ISNUMBER(SEARCH(Assumptions!$C$7,D2044)),Assumptions!$D$7,"Other Services"))),"Other Services"))</f>
        <v/>
      </c>
    </row>
    <row r="2045" customFormat="false" ht="15" hidden="false" customHeight="false" outlineLevel="0" collapsed="false">
      <c r="F2045" s="41" t="str">
        <f aca="false">IF(D2045="","",IFERROR(IF(ISNUMBER(SEARCH(Assumptions!$C$5,D2045)),Assumptions!$D$5,IF(ISNUMBER(SEARCH(Assumptions!$C$6,D2045)),Assumptions!$D$6,IF(ISNUMBER(SEARCH(Assumptions!$C$7,D2045)),Assumptions!$D$7,"Other Services"))),"Other Services"))</f>
        <v/>
      </c>
    </row>
    <row r="2046" customFormat="false" ht="15" hidden="false" customHeight="false" outlineLevel="0" collapsed="false">
      <c r="F2046" s="41" t="str">
        <f aca="false">IF(D2046="","",IFERROR(IF(ISNUMBER(SEARCH(Assumptions!$C$5,D2046)),Assumptions!$D$5,IF(ISNUMBER(SEARCH(Assumptions!$C$6,D2046)),Assumptions!$D$6,IF(ISNUMBER(SEARCH(Assumptions!$C$7,D2046)),Assumptions!$D$7,"Other Services"))),"Other Services"))</f>
        <v/>
      </c>
    </row>
    <row r="2047" customFormat="false" ht="15" hidden="false" customHeight="false" outlineLevel="0" collapsed="false">
      <c r="F2047" s="41" t="str">
        <f aca="false">IF(D2047="","",IFERROR(IF(ISNUMBER(SEARCH(Assumptions!$C$5,D2047)),Assumptions!$D$5,IF(ISNUMBER(SEARCH(Assumptions!$C$6,D2047)),Assumptions!$D$6,IF(ISNUMBER(SEARCH(Assumptions!$C$7,D2047)),Assumptions!$D$7,"Other Services"))),"Other Services"))</f>
        <v/>
      </c>
    </row>
    <row r="2048" customFormat="false" ht="15" hidden="false" customHeight="false" outlineLevel="0" collapsed="false">
      <c r="F2048" s="41" t="str">
        <f aca="false">IF(D2048="","",IFERROR(IF(ISNUMBER(SEARCH(Assumptions!$C$5,D2048)),Assumptions!$D$5,IF(ISNUMBER(SEARCH(Assumptions!$C$6,D2048)),Assumptions!$D$6,IF(ISNUMBER(SEARCH(Assumptions!$C$7,D2048)),Assumptions!$D$7,"Other Services"))),"Other Services"))</f>
        <v/>
      </c>
    </row>
    <row r="2049" customFormat="false" ht="15" hidden="false" customHeight="false" outlineLevel="0" collapsed="false">
      <c r="F2049" s="41" t="str">
        <f aca="false">IF(D2049="","",IFERROR(IF(ISNUMBER(SEARCH(Assumptions!$C$5,D2049)),Assumptions!$D$5,IF(ISNUMBER(SEARCH(Assumptions!$C$6,D2049)),Assumptions!$D$6,IF(ISNUMBER(SEARCH(Assumptions!$C$7,D2049)),Assumptions!$D$7,"Other Services"))),"Other Services"))</f>
        <v/>
      </c>
    </row>
    <row r="2050" customFormat="false" ht="15" hidden="false" customHeight="false" outlineLevel="0" collapsed="false">
      <c r="F2050" s="41" t="str">
        <f aca="false">IF(D2050="","",IFERROR(IF(ISNUMBER(SEARCH(Assumptions!$C$5,D2050)),Assumptions!$D$5,IF(ISNUMBER(SEARCH(Assumptions!$C$6,D2050)),Assumptions!$D$6,IF(ISNUMBER(SEARCH(Assumptions!$C$7,D2050)),Assumptions!$D$7,"Other Services"))),"Other Services"))</f>
        <v/>
      </c>
    </row>
    <row r="2051" customFormat="false" ht="15" hidden="false" customHeight="false" outlineLevel="0" collapsed="false">
      <c r="F2051" s="41" t="str">
        <f aca="false">IF(D2051="","",IFERROR(IF(ISNUMBER(SEARCH(Assumptions!$C$5,D2051)),Assumptions!$D$5,IF(ISNUMBER(SEARCH(Assumptions!$C$6,D2051)),Assumptions!$D$6,IF(ISNUMBER(SEARCH(Assumptions!$C$7,D2051)),Assumptions!$D$7,"Other Services"))),"Other Services"))</f>
        <v/>
      </c>
    </row>
    <row r="2052" customFormat="false" ht="15" hidden="false" customHeight="false" outlineLevel="0" collapsed="false">
      <c r="F2052" s="41" t="str">
        <f aca="false">IF(D2052="","",IFERROR(IF(ISNUMBER(SEARCH(Assumptions!$C$5,D2052)),Assumptions!$D$5,IF(ISNUMBER(SEARCH(Assumptions!$C$6,D2052)),Assumptions!$D$6,IF(ISNUMBER(SEARCH(Assumptions!$C$7,D2052)),Assumptions!$D$7,"Other Services"))),"Other Services"))</f>
        <v/>
      </c>
    </row>
    <row r="2053" customFormat="false" ht="15" hidden="false" customHeight="false" outlineLevel="0" collapsed="false">
      <c r="F2053" s="41" t="str">
        <f aca="false">IF(D2053="","",IFERROR(IF(ISNUMBER(SEARCH(Assumptions!$C$5,D2053)),Assumptions!$D$5,IF(ISNUMBER(SEARCH(Assumptions!$C$6,D2053)),Assumptions!$D$6,IF(ISNUMBER(SEARCH(Assumptions!$C$7,D2053)),Assumptions!$D$7,"Other Services"))),"Other Services"))</f>
        <v/>
      </c>
    </row>
    <row r="2054" customFormat="false" ht="15" hidden="false" customHeight="false" outlineLevel="0" collapsed="false">
      <c r="F2054" s="41" t="str">
        <f aca="false">IF(D2054="","",IFERROR(IF(ISNUMBER(SEARCH(Assumptions!$C$5,D2054)),Assumptions!$D$5,IF(ISNUMBER(SEARCH(Assumptions!$C$6,D2054)),Assumptions!$D$6,IF(ISNUMBER(SEARCH(Assumptions!$C$7,D2054)),Assumptions!$D$7,"Other Services"))),"Other Services"))</f>
        <v/>
      </c>
    </row>
    <row r="2055" customFormat="false" ht="15" hidden="false" customHeight="false" outlineLevel="0" collapsed="false">
      <c r="F2055" s="41" t="str">
        <f aca="false">IF(D2055="","",IFERROR(IF(ISNUMBER(SEARCH(Assumptions!$C$5,D2055)),Assumptions!$D$5,IF(ISNUMBER(SEARCH(Assumptions!$C$6,D2055)),Assumptions!$D$6,IF(ISNUMBER(SEARCH(Assumptions!$C$7,D2055)),Assumptions!$D$7,"Other Services"))),"Other Services"))</f>
        <v/>
      </c>
    </row>
    <row r="2056" customFormat="false" ht="15" hidden="false" customHeight="false" outlineLevel="0" collapsed="false">
      <c r="F2056" s="41" t="str">
        <f aca="false">IF(D2056="","",IFERROR(IF(ISNUMBER(SEARCH(Assumptions!$C$5,D2056)),Assumptions!$D$5,IF(ISNUMBER(SEARCH(Assumptions!$C$6,D2056)),Assumptions!$D$6,IF(ISNUMBER(SEARCH(Assumptions!$C$7,D2056)),Assumptions!$D$7,"Other Services"))),"Other Services"))</f>
        <v/>
      </c>
    </row>
    <row r="2057" customFormat="false" ht="15" hidden="false" customHeight="false" outlineLevel="0" collapsed="false">
      <c r="F2057" s="41" t="str">
        <f aca="false">IF(D2057="","",IFERROR(IF(ISNUMBER(SEARCH(Assumptions!$C$5,D2057)),Assumptions!$D$5,IF(ISNUMBER(SEARCH(Assumptions!$C$6,D2057)),Assumptions!$D$6,IF(ISNUMBER(SEARCH(Assumptions!$C$7,D2057)),Assumptions!$D$7,"Other Services"))),"Other Services"))</f>
        <v/>
      </c>
    </row>
    <row r="2058" customFormat="false" ht="15" hidden="false" customHeight="false" outlineLevel="0" collapsed="false">
      <c r="F2058" s="41" t="str">
        <f aca="false">IF(D2058="","",IFERROR(IF(ISNUMBER(SEARCH(Assumptions!$C$5,D2058)),Assumptions!$D$5,IF(ISNUMBER(SEARCH(Assumptions!$C$6,D2058)),Assumptions!$D$6,IF(ISNUMBER(SEARCH(Assumptions!$C$7,D2058)),Assumptions!$D$7,"Other Services"))),"Other Services"))</f>
        <v/>
      </c>
    </row>
    <row r="2059" customFormat="false" ht="15" hidden="false" customHeight="false" outlineLevel="0" collapsed="false">
      <c r="F2059" s="41" t="str">
        <f aca="false">IF(D2059="","",IFERROR(IF(ISNUMBER(SEARCH(Assumptions!$C$5,D2059)),Assumptions!$D$5,IF(ISNUMBER(SEARCH(Assumptions!$C$6,D2059)),Assumptions!$D$6,IF(ISNUMBER(SEARCH(Assumptions!$C$7,D2059)),Assumptions!$D$7,"Other Services"))),"Other Services"))</f>
        <v/>
      </c>
    </row>
    <row r="2060" customFormat="false" ht="15" hidden="false" customHeight="false" outlineLevel="0" collapsed="false">
      <c r="F2060" s="41" t="str">
        <f aca="false">IF(D2060="","",IFERROR(IF(ISNUMBER(SEARCH(Assumptions!$C$5,D2060)),Assumptions!$D$5,IF(ISNUMBER(SEARCH(Assumptions!$C$6,D2060)),Assumptions!$D$6,IF(ISNUMBER(SEARCH(Assumptions!$C$7,D2060)),Assumptions!$D$7,"Other Services"))),"Other Services"))</f>
        <v/>
      </c>
    </row>
    <row r="2061" customFormat="false" ht="15" hidden="false" customHeight="false" outlineLevel="0" collapsed="false">
      <c r="F2061" s="41" t="str">
        <f aca="false">IF(D2061="","",IFERROR(IF(ISNUMBER(SEARCH(Assumptions!$C$5,D2061)),Assumptions!$D$5,IF(ISNUMBER(SEARCH(Assumptions!$C$6,D2061)),Assumptions!$D$6,IF(ISNUMBER(SEARCH(Assumptions!$C$7,D2061)),Assumptions!$D$7,"Other Services"))),"Other Services"))</f>
        <v/>
      </c>
    </row>
    <row r="2062" customFormat="false" ht="15" hidden="false" customHeight="false" outlineLevel="0" collapsed="false">
      <c r="F2062" s="41" t="str">
        <f aca="false">IF(D2062="","",IFERROR(IF(ISNUMBER(SEARCH(Assumptions!$C$5,D2062)),Assumptions!$D$5,IF(ISNUMBER(SEARCH(Assumptions!$C$6,D2062)),Assumptions!$D$6,IF(ISNUMBER(SEARCH(Assumptions!$C$7,D2062)),Assumptions!$D$7,"Other Services"))),"Other Services"))</f>
        <v/>
      </c>
    </row>
    <row r="2063" customFormat="false" ht="15" hidden="false" customHeight="false" outlineLevel="0" collapsed="false">
      <c r="F2063" s="41" t="str">
        <f aca="false">IF(D2063="","",IFERROR(IF(ISNUMBER(SEARCH(Assumptions!$C$5,D2063)),Assumptions!$D$5,IF(ISNUMBER(SEARCH(Assumptions!$C$6,D2063)),Assumptions!$D$6,IF(ISNUMBER(SEARCH(Assumptions!$C$7,D2063)),Assumptions!$D$7,"Other Services"))),"Other Services"))</f>
        <v/>
      </c>
    </row>
    <row r="2064" customFormat="false" ht="15" hidden="false" customHeight="false" outlineLevel="0" collapsed="false">
      <c r="F2064" s="41" t="str">
        <f aca="false">IF(D2064="","",IFERROR(IF(ISNUMBER(SEARCH(Assumptions!$C$5,D2064)),Assumptions!$D$5,IF(ISNUMBER(SEARCH(Assumptions!$C$6,D2064)),Assumptions!$D$6,IF(ISNUMBER(SEARCH(Assumptions!$C$7,D2064)),Assumptions!$D$7,"Other Services"))),"Other Services"))</f>
        <v/>
      </c>
    </row>
    <row r="2065" customFormat="false" ht="15" hidden="false" customHeight="false" outlineLevel="0" collapsed="false">
      <c r="F2065" s="41" t="str">
        <f aca="false">IF(D2065="","",IFERROR(IF(ISNUMBER(SEARCH(Assumptions!$C$5,D2065)),Assumptions!$D$5,IF(ISNUMBER(SEARCH(Assumptions!$C$6,D2065)),Assumptions!$D$6,IF(ISNUMBER(SEARCH(Assumptions!$C$7,D2065)),Assumptions!$D$7,"Other Services"))),"Other Services"))</f>
        <v/>
      </c>
    </row>
    <row r="2066" customFormat="false" ht="15" hidden="false" customHeight="false" outlineLevel="0" collapsed="false">
      <c r="F2066" s="41" t="str">
        <f aca="false">IF(D2066="","",IFERROR(IF(ISNUMBER(SEARCH(Assumptions!$C$5,D2066)),Assumptions!$D$5,IF(ISNUMBER(SEARCH(Assumptions!$C$6,D2066)),Assumptions!$D$6,IF(ISNUMBER(SEARCH(Assumptions!$C$7,D2066)),Assumptions!$D$7,"Other Services"))),"Other Services"))</f>
        <v/>
      </c>
    </row>
    <row r="2067" customFormat="false" ht="15" hidden="false" customHeight="false" outlineLevel="0" collapsed="false">
      <c r="F2067" s="41" t="str">
        <f aca="false">IF(D2067="","",IFERROR(IF(ISNUMBER(SEARCH(Assumptions!$C$5,D2067)),Assumptions!$D$5,IF(ISNUMBER(SEARCH(Assumptions!$C$6,D2067)),Assumptions!$D$6,IF(ISNUMBER(SEARCH(Assumptions!$C$7,D2067)),Assumptions!$D$7,"Other Services"))),"Other Services"))</f>
        <v/>
      </c>
    </row>
    <row r="2068" customFormat="false" ht="15" hidden="false" customHeight="false" outlineLevel="0" collapsed="false">
      <c r="F2068" s="41" t="str">
        <f aca="false">IF(D2068="","",IFERROR(IF(ISNUMBER(SEARCH(Assumptions!$C$5,D2068)),Assumptions!$D$5,IF(ISNUMBER(SEARCH(Assumptions!$C$6,D2068)),Assumptions!$D$6,IF(ISNUMBER(SEARCH(Assumptions!$C$7,D2068)),Assumptions!$D$7,"Other Services"))),"Other Services"))</f>
        <v/>
      </c>
    </row>
    <row r="2069" customFormat="false" ht="15" hidden="false" customHeight="false" outlineLevel="0" collapsed="false">
      <c r="F2069" s="41" t="str">
        <f aca="false">IF(D2069="","",IFERROR(IF(ISNUMBER(SEARCH(Assumptions!$C$5,D2069)),Assumptions!$D$5,IF(ISNUMBER(SEARCH(Assumptions!$C$6,D2069)),Assumptions!$D$6,IF(ISNUMBER(SEARCH(Assumptions!$C$7,D2069)),Assumptions!$D$7,"Other Services"))),"Other Services"))</f>
        <v/>
      </c>
    </row>
    <row r="2070" customFormat="false" ht="15" hidden="false" customHeight="false" outlineLevel="0" collapsed="false">
      <c r="F2070" s="41" t="str">
        <f aca="false">IF(D2070="","",IFERROR(IF(ISNUMBER(SEARCH(Assumptions!$C$5,D2070)),Assumptions!$D$5,IF(ISNUMBER(SEARCH(Assumptions!$C$6,D2070)),Assumptions!$D$6,IF(ISNUMBER(SEARCH(Assumptions!$C$7,D2070)),Assumptions!$D$7,"Other Services"))),"Other Services"))</f>
        <v/>
      </c>
    </row>
    <row r="2071" customFormat="false" ht="15" hidden="false" customHeight="false" outlineLevel="0" collapsed="false">
      <c r="F2071" s="41" t="str">
        <f aca="false">IF(D2071="","",IFERROR(IF(ISNUMBER(SEARCH(Assumptions!$C$5,D2071)),Assumptions!$D$5,IF(ISNUMBER(SEARCH(Assumptions!$C$6,D2071)),Assumptions!$D$6,IF(ISNUMBER(SEARCH(Assumptions!$C$7,D2071)),Assumptions!$D$7,"Other Services"))),"Other Services"))</f>
        <v/>
      </c>
    </row>
    <row r="2072" customFormat="false" ht="15" hidden="false" customHeight="false" outlineLevel="0" collapsed="false">
      <c r="F2072" s="41" t="str">
        <f aca="false">IF(D2072="","",IFERROR(IF(ISNUMBER(SEARCH(Assumptions!$C$5,D2072)),Assumptions!$D$5,IF(ISNUMBER(SEARCH(Assumptions!$C$6,D2072)),Assumptions!$D$6,IF(ISNUMBER(SEARCH(Assumptions!$C$7,D2072)),Assumptions!$D$7,"Other Services"))),"Other Services"))</f>
        <v/>
      </c>
    </row>
    <row r="2073" customFormat="false" ht="15" hidden="false" customHeight="false" outlineLevel="0" collapsed="false">
      <c r="F2073" s="41" t="str">
        <f aca="false">IF(D2073="","",IFERROR(IF(ISNUMBER(SEARCH(Assumptions!$C$5,D2073)),Assumptions!$D$5,IF(ISNUMBER(SEARCH(Assumptions!$C$6,D2073)),Assumptions!$D$6,IF(ISNUMBER(SEARCH(Assumptions!$C$7,D2073)),Assumptions!$D$7,"Other Services"))),"Other Services"))</f>
        <v/>
      </c>
    </row>
    <row r="2074" customFormat="false" ht="15" hidden="false" customHeight="false" outlineLevel="0" collapsed="false">
      <c r="F2074" s="41" t="str">
        <f aca="false">IF(D2074="","",IFERROR(IF(ISNUMBER(SEARCH(Assumptions!$C$5,D2074)),Assumptions!$D$5,IF(ISNUMBER(SEARCH(Assumptions!$C$6,D2074)),Assumptions!$D$6,IF(ISNUMBER(SEARCH(Assumptions!$C$7,D2074)),Assumptions!$D$7,"Other Services"))),"Other Services"))</f>
        <v/>
      </c>
    </row>
    <row r="2075" customFormat="false" ht="15" hidden="false" customHeight="false" outlineLevel="0" collapsed="false">
      <c r="F2075" s="41" t="str">
        <f aca="false">IF(D2075="","",IFERROR(IF(ISNUMBER(SEARCH(Assumptions!$C$5,D2075)),Assumptions!$D$5,IF(ISNUMBER(SEARCH(Assumptions!$C$6,D2075)),Assumptions!$D$6,IF(ISNUMBER(SEARCH(Assumptions!$C$7,D2075)),Assumptions!$D$7,"Other Services"))),"Other Services"))</f>
        <v/>
      </c>
    </row>
    <row r="2076" customFormat="false" ht="15" hidden="false" customHeight="false" outlineLevel="0" collapsed="false">
      <c r="F2076" s="41" t="str">
        <f aca="false">IF(D2076="","",IFERROR(IF(ISNUMBER(SEARCH(Assumptions!$C$5,D2076)),Assumptions!$D$5,IF(ISNUMBER(SEARCH(Assumptions!$C$6,D2076)),Assumptions!$D$6,IF(ISNUMBER(SEARCH(Assumptions!$C$7,D2076)),Assumptions!$D$7,"Other Services"))),"Other Services"))</f>
        <v/>
      </c>
    </row>
    <row r="2077" customFormat="false" ht="15" hidden="false" customHeight="false" outlineLevel="0" collapsed="false">
      <c r="F2077" s="41" t="str">
        <f aca="false">IF(D2077="","",IFERROR(IF(ISNUMBER(SEARCH(Assumptions!$C$5,D2077)),Assumptions!$D$5,IF(ISNUMBER(SEARCH(Assumptions!$C$6,D2077)),Assumptions!$D$6,IF(ISNUMBER(SEARCH(Assumptions!$C$7,D2077)),Assumptions!$D$7,"Other Services"))),"Other Services"))</f>
        <v/>
      </c>
    </row>
    <row r="2078" customFormat="false" ht="15" hidden="false" customHeight="false" outlineLevel="0" collapsed="false">
      <c r="F2078" s="41" t="str">
        <f aca="false">IF(D2078="","",IFERROR(IF(ISNUMBER(SEARCH(Assumptions!$C$5,D2078)),Assumptions!$D$5,IF(ISNUMBER(SEARCH(Assumptions!$C$6,D2078)),Assumptions!$D$6,IF(ISNUMBER(SEARCH(Assumptions!$C$7,D2078)),Assumptions!$D$7,"Other Services"))),"Other Services"))</f>
        <v/>
      </c>
    </row>
    <row r="2079" customFormat="false" ht="15" hidden="false" customHeight="false" outlineLevel="0" collapsed="false">
      <c r="F2079" s="41" t="str">
        <f aca="false">IF(D2079="","",IFERROR(IF(ISNUMBER(SEARCH(Assumptions!$C$5,D2079)),Assumptions!$D$5,IF(ISNUMBER(SEARCH(Assumptions!$C$6,D2079)),Assumptions!$D$6,IF(ISNUMBER(SEARCH(Assumptions!$C$7,D2079)),Assumptions!$D$7,"Other Services"))),"Other Services"))</f>
        <v/>
      </c>
    </row>
    <row r="2080" customFormat="false" ht="15" hidden="false" customHeight="false" outlineLevel="0" collapsed="false">
      <c r="F2080" s="41" t="str">
        <f aca="false">IF(D2080="","",IFERROR(IF(ISNUMBER(SEARCH(Assumptions!$C$5,D2080)),Assumptions!$D$5,IF(ISNUMBER(SEARCH(Assumptions!$C$6,D2080)),Assumptions!$D$6,IF(ISNUMBER(SEARCH(Assumptions!$C$7,D2080)),Assumptions!$D$7,"Other Services"))),"Other Services"))</f>
        <v/>
      </c>
    </row>
    <row r="2081" customFormat="false" ht="15" hidden="false" customHeight="false" outlineLevel="0" collapsed="false">
      <c r="F2081" s="41" t="str">
        <f aca="false">IF(D2081="","",IFERROR(IF(ISNUMBER(SEARCH(Assumptions!$C$5,D2081)),Assumptions!$D$5,IF(ISNUMBER(SEARCH(Assumptions!$C$6,D2081)),Assumptions!$D$6,IF(ISNUMBER(SEARCH(Assumptions!$C$7,D2081)),Assumptions!$D$7,"Other Services"))),"Other Services"))</f>
        <v/>
      </c>
    </row>
    <row r="2082" customFormat="false" ht="15" hidden="false" customHeight="false" outlineLevel="0" collapsed="false">
      <c r="F2082" s="41" t="str">
        <f aca="false">IF(D2082="","",IFERROR(IF(ISNUMBER(SEARCH(Assumptions!$C$5,D2082)),Assumptions!$D$5,IF(ISNUMBER(SEARCH(Assumptions!$C$6,D2082)),Assumptions!$D$6,IF(ISNUMBER(SEARCH(Assumptions!$C$7,D2082)),Assumptions!$D$7,"Other Services"))),"Other Services"))</f>
        <v/>
      </c>
    </row>
    <row r="2083" customFormat="false" ht="15" hidden="false" customHeight="false" outlineLevel="0" collapsed="false">
      <c r="F2083" s="41" t="str">
        <f aca="false">IF(D2083="","",IFERROR(IF(ISNUMBER(SEARCH(Assumptions!$C$5,D2083)),Assumptions!$D$5,IF(ISNUMBER(SEARCH(Assumptions!$C$6,D2083)),Assumptions!$D$6,IF(ISNUMBER(SEARCH(Assumptions!$C$7,D2083)),Assumptions!$D$7,"Other Services"))),"Other Services"))</f>
        <v/>
      </c>
    </row>
    <row r="2084" customFormat="false" ht="15" hidden="false" customHeight="false" outlineLevel="0" collapsed="false">
      <c r="F2084" s="41" t="str">
        <f aca="false">IF(D2084="","",IFERROR(IF(ISNUMBER(SEARCH(Assumptions!$C$5,D2084)),Assumptions!$D$5,IF(ISNUMBER(SEARCH(Assumptions!$C$6,D2084)),Assumptions!$D$6,IF(ISNUMBER(SEARCH(Assumptions!$C$7,D2084)),Assumptions!$D$7,"Other Services"))),"Other Services"))</f>
        <v/>
      </c>
    </row>
    <row r="2085" customFormat="false" ht="15" hidden="false" customHeight="false" outlineLevel="0" collapsed="false">
      <c r="F2085" s="41" t="str">
        <f aca="false">IF(D2085="","",IFERROR(IF(ISNUMBER(SEARCH(Assumptions!$C$5,D2085)),Assumptions!$D$5,IF(ISNUMBER(SEARCH(Assumptions!$C$6,D2085)),Assumptions!$D$6,IF(ISNUMBER(SEARCH(Assumptions!$C$7,D2085)),Assumptions!$D$7,"Other Services"))),"Other Services"))</f>
        <v/>
      </c>
    </row>
    <row r="2086" customFormat="false" ht="15" hidden="false" customHeight="false" outlineLevel="0" collapsed="false">
      <c r="F2086" s="41" t="str">
        <f aca="false">IF(D2086="","",IFERROR(IF(ISNUMBER(SEARCH(Assumptions!$C$5,D2086)),Assumptions!$D$5,IF(ISNUMBER(SEARCH(Assumptions!$C$6,D2086)),Assumptions!$D$6,IF(ISNUMBER(SEARCH(Assumptions!$C$7,D2086)),Assumptions!$D$7,"Other Services"))),"Other Services"))</f>
        <v/>
      </c>
    </row>
    <row r="2087" customFormat="false" ht="15" hidden="false" customHeight="false" outlineLevel="0" collapsed="false">
      <c r="F2087" s="41" t="str">
        <f aca="false">IF(D2087="","",IFERROR(IF(ISNUMBER(SEARCH(Assumptions!$C$5,D2087)),Assumptions!$D$5,IF(ISNUMBER(SEARCH(Assumptions!$C$6,D2087)),Assumptions!$D$6,IF(ISNUMBER(SEARCH(Assumptions!$C$7,D2087)),Assumptions!$D$7,"Other Services"))),"Other Services"))</f>
        <v/>
      </c>
    </row>
    <row r="2088" customFormat="false" ht="15" hidden="false" customHeight="false" outlineLevel="0" collapsed="false">
      <c r="F2088" s="41" t="str">
        <f aca="false">IF(D2088="","",IFERROR(IF(ISNUMBER(SEARCH(Assumptions!$C$5,D2088)),Assumptions!$D$5,IF(ISNUMBER(SEARCH(Assumptions!$C$6,D2088)),Assumptions!$D$6,IF(ISNUMBER(SEARCH(Assumptions!$C$7,D2088)),Assumptions!$D$7,"Other Services"))),"Other Services"))</f>
        <v/>
      </c>
    </row>
    <row r="2089" customFormat="false" ht="15" hidden="false" customHeight="false" outlineLevel="0" collapsed="false">
      <c r="F2089" s="41" t="str">
        <f aca="false">IF(D2089="","",IFERROR(IF(ISNUMBER(SEARCH(Assumptions!$C$5,D2089)),Assumptions!$D$5,IF(ISNUMBER(SEARCH(Assumptions!$C$6,D2089)),Assumptions!$D$6,IF(ISNUMBER(SEARCH(Assumptions!$C$7,D2089)),Assumptions!$D$7,"Other Services"))),"Other Services"))</f>
        <v/>
      </c>
    </row>
    <row r="2090" customFormat="false" ht="15" hidden="false" customHeight="false" outlineLevel="0" collapsed="false">
      <c r="F2090" s="41" t="str">
        <f aca="false">IF(D2090="","",IFERROR(IF(ISNUMBER(SEARCH(Assumptions!$C$5,D2090)),Assumptions!$D$5,IF(ISNUMBER(SEARCH(Assumptions!$C$6,D2090)),Assumptions!$D$6,IF(ISNUMBER(SEARCH(Assumptions!$C$7,D2090)),Assumptions!$D$7,"Other Services"))),"Other Services"))</f>
        <v/>
      </c>
    </row>
    <row r="2091" customFormat="false" ht="15" hidden="false" customHeight="false" outlineLevel="0" collapsed="false">
      <c r="F2091" s="41" t="str">
        <f aca="false">IF(D2091="","",IFERROR(IF(ISNUMBER(SEARCH(Assumptions!$C$5,D2091)),Assumptions!$D$5,IF(ISNUMBER(SEARCH(Assumptions!$C$6,D2091)),Assumptions!$D$6,IF(ISNUMBER(SEARCH(Assumptions!$C$7,D2091)),Assumptions!$D$7,"Other Services"))),"Other Services"))</f>
        <v/>
      </c>
    </row>
    <row r="2092" customFormat="false" ht="15" hidden="false" customHeight="false" outlineLevel="0" collapsed="false">
      <c r="F2092" s="41" t="str">
        <f aca="false">IF(D2092="","",IFERROR(IF(ISNUMBER(SEARCH(Assumptions!$C$5,D2092)),Assumptions!$D$5,IF(ISNUMBER(SEARCH(Assumptions!$C$6,D2092)),Assumptions!$D$6,IF(ISNUMBER(SEARCH(Assumptions!$C$7,D2092)),Assumptions!$D$7,"Other Services"))),"Other Services"))</f>
        <v/>
      </c>
    </row>
    <row r="2093" customFormat="false" ht="15" hidden="false" customHeight="false" outlineLevel="0" collapsed="false">
      <c r="F2093" s="41" t="str">
        <f aca="false">IF(D2093="","",IFERROR(IF(ISNUMBER(SEARCH(Assumptions!$C$5,D2093)),Assumptions!$D$5,IF(ISNUMBER(SEARCH(Assumptions!$C$6,D2093)),Assumptions!$D$6,IF(ISNUMBER(SEARCH(Assumptions!$C$7,D2093)),Assumptions!$D$7,"Other Services"))),"Other Services"))</f>
        <v/>
      </c>
    </row>
    <row r="2094" customFormat="false" ht="15" hidden="false" customHeight="false" outlineLevel="0" collapsed="false">
      <c r="F2094" s="41" t="str">
        <f aca="false">IF(D2094="","",IFERROR(IF(ISNUMBER(SEARCH(Assumptions!$C$5,D2094)),Assumptions!$D$5,IF(ISNUMBER(SEARCH(Assumptions!$C$6,D2094)),Assumptions!$D$6,IF(ISNUMBER(SEARCH(Assumptions!$C$7,D2094)),Assumptions!$D$7,"Other Services"))),"Other Services"))</f>
        <v/>
      </c>
    </row>
    <row r="2095" customFormat="false" ht="15" hidden="false" customHeight="false" outlineLevel="0" collapsed="false">
      <c r="F2095" s="41" t="str">
        <f aca="false">IF(D2095="","",IFERROR(IF(ISNUMBER(SEARCH(Assumptions!$C$5,D2095)),Assumptions!$D$5,IF(ISNUMBER(SEARCH(Assumptions!$C$6,D2095)),Assumptions!$D$6,IF(ISNUMBER(SEARCH(Assumptions!$C$7,D2095)),Assumptions!$D$7,"Other Services"))),"Other Services"))</f>
        <v/>
      </c>
    </row>
    <row r="2096" customFormat="false" ht="15" hidden="false" customHeight="false" outlineLevel="0" collapsed="false">
      <c r="F2096" s="41" t="str">
        <f aca="false">IF(D2096="","",IFERROR(IF(ISNUMBER(SEARCH(Assumptions!$C$5,D2096)),Assumptions!$D$5,IF(ISNUMBER(SEARCH(Assumptions!$C$6,D2096)),Assumptions!$D$6,IF(ISNUMBER(SEARCH(Assumptions!$C$7,D2096)),Assumptions!$D$7,"Other Services"))),"Other Services"))</f>
        <v/>
      </c>
    </row>
    <row r="2097" customFormat="false" ht="15" hidden="false" customHeight="false" outlineLevel="0" collapsed="false">
      <c r="F2097" s="41" t="str">
        <f aca="false">IF(D2097="","",IFERROR(IF(ISNUMBER(SEARCH(Assumptions!$C$5,D2097)),Assumptions!$D$5,IF(ISNUMBER(SEARCH(Assumptions!$C$6,D2097)),Assumptions!$D$6,IF(ISNUMBER(SEARCH(Assumptions!$C$7,D2097)),Assumptions!$D$7,"Other Services"))),"Other Services"))</f>
        <v/>
      </c>
    </row>
    <row r="2098" customFormat="false" ht="15" hidden="false" customHeight="false" outlineLevel="0" collapsed="false">
      <c r="F2098" s="41" t="str">
        <f aca="false">IF(D2098="","",IFERROR(IF(ISNUMBER(SEARCH(Assumptions!$C$5,D2098)),Assumptions!$D$5,IF(ISNUMBER(SEARCH(Assumptions!$C$6,D2098)),Assumptions!$D$6,IF(ISNUMBER(SEARCH(Assumptions!$C$7,D2098)),Assumptions!$D$7,"Other Services"))),"Other Services"))</f>
        <v/>
      </c>
    </row>
    <row r="2099" customFormat="false" ht="15" hidden="false" customHeight="false" outlineLevel="0" collapsed="false">
      <c r="F2099" s="41" t="str">
        <f aca="false">IF(D2099="","",IFERROR(IF(ISNUMBER(SEARCH(Assumptions!$C$5,D2099)),Assumptions!$D$5,IF(ISNUMBER(SEARCH(Assumptions!$C$6,D2099)),Assumptions!$D$6,IF(ISNUMBER(SEARCH(Assumptions!$C$7,D2099)),Assumptions!$D$7,"Other Services"))),"Other Services"))</f>
        <v/>
      </c>
    </row>
    <row r="2100" customFormat="false" ht="15" hidden="false" customHeight="false" outlineLevel="0" collapsed="false">
      <c r="F2100" s="41" t="str">
        <f aca="false">IF(D2100="","",IFERROR(IF(ISNUMBER(SEARCH(Assumptions!$C$5,D2100)),Assumptions!$D$5,IF(ISNUMBER(SEARCH(Assumptions!$C$6,D2100)),Assumptions!$D$6,IF(ISNUMBER(SEARCH(Assumptions!$C$7,D2100)),Assumptions!$D$7,"Other Services"))),"Other Services"))</f>
        <v/>
      </c>
    </row>
    <row r="2101" customFormat="false" ht="15" hidden="false" customHeight="false" outlineLevel="0" collapsed="false">
      <c r="F2101" s="41" t="str">
        <f aca="false">IF(D2101="","",IFERROR(IF(ISNUMBER(SEARCH(Assumptions!$C$5,D2101)),Assumptions!$D$5,IF(ISNUMBER(SEARCH(Assumptions!$C$6,D2101)),Assumptions!$D$6,IF(ISNUMBER(SEARCH(Assumptions!$C$7,D2101)),Assumptions!$D$7,"Other Services"))),"Other Services"))</f>
        <v/>
      </c>
    </row>
    <row r="2102" customFormat="false" ht="15" hidden="false" customHeight="false" outlineLevel="0" collapsed="false">
      <c r="F2102" s="41" t="str">
        <f aca="false">IF(D2102="","",IFERROR(IF(ISNUMBER(SEARCH(Assumptions!$C$5,D2102)),Assumptions!$D$5,IF(ISNUMBER(SEARCH(Assumptions!$C$6,D2102)),Assumptions!$D$6,IF(ISNUMBER(SEARCH(Assumptions!$C$7,D2102)),Assumptions!$D$7,"Other Services"))),"Other Services"))</f>
        <v/>
      </c>
    </row>
    <row r="2103" customFormat="false" ht="15" hidden="false" customHeight="false" outlineLevel="0" collapsed="false">
      <c r="F2103" s="41" t="str">
        <f aca="false">IF(D2103="","",IFERROR(IF(ISNUMBER(SEARCH(Assumptions!$C$5,D2103)),Assumptions!$D$5,IF(ISNUMBER(SEARCH(Assumptions!$C$6,D2103)),Assumptions!$D$6,IF(ISNUMBER(SEARCH(Assumptions!$C$7,D2103)),Assumptions!$D$7,"Other Services"))),"Other Services"))</f>
        <v/>
      </c>
    </row>
    <row r="2104" customFormat="false" ht="15" hidden="false" customHeight="false" outlineLevel="0" collapsed="false">
      <c r="F2104" s="41" t="str">
        <f aca="false">IF(D2104="","",IFERROR(IF(ISNUMBER(SEARCH(Assumptions!$C$5,D2104)),Assumptions!$D$5,IF(ISNUMBER(SEARCH(Assumptions!$C$6,D2104)),Assumptions!$D$6,IF(ISNUMBER(SEARCH(Assumptions!$C$7,D2104)),Assumptions!$D$7,"Other Services"))),"Other Services"))</f>
        <v/>
      </c>
    </row>
    <row r="2105" customFormat="false" ht="15" hidden="false" customHeight="false" outlineLevel="0" collapsed="false">
      <c r="F2105" s="41" t="str">
        <f aca="false">IF(D2105="","",IFERROR(IF(ISNUMBER(SEARCH(Assumptions!$C$5,D2105)),Assumptions!$D$5,IF(ISNUMBER(SEARCH(Assumptions!$C$6,D2105)),Assumptions!$D$6,IF(ISNUMBER(SEARCH(Assumptions!$C$7,D2105)),Assumptions!$D$7,"Other Services"))),"Other Services"))</f>
        <v/>
      </c>
    </row>
    <row r="2106" customFormat="false" ht="15" hidden="false" customHeight="false" outlineLevel="0" collapsed="false">
      <c r="F2106" s="41" t="str">
        <f aca="false">IF(D2106="","",IFERROR(IF(ISNUMBER(SEARCH(Assumptions!$C$5,D2106)),Assumptions!$D$5,IF(ISNUMBER(SEARCH(Assumptions!$C$6,D2106)),Assumptions!$D$6,IF(ISNUMBER(SEARCH(Assumptions!$C$7,D2106)),Assumptions!$D$7,"Other Services"))),"Other Services"))</f>
        <v/>
      </c>
    </row>
    <row r="2107" customFormat="false" ht="15" hidden="false" customHeight="false" outlineLevel="0" collapsed="false">
      <c r="F2107" s="41" t="str">
        <f aca="false">IF(D2107="","",IFERROR(IF(ISNUMBER(SEARCH(Assumptions!$C$5,D2107)),Assumptions!$D$5,IF(ISNUMBER(SEARCH(Assumptions!$C$6,D2107)),Assumptions!$D$6,IF(ISNUMBER(SEARCH(Assumptions!$C$7,D2107)),Assumptions!$D$7,"Other Services"))),"Other Services"))</f>
        <v/>
      </c>
    </row>
    <row r="2108" customFormat="false" ht="15" hidden="false" customHeight="false" outlineLevel="0" collapsed="false">
      <c r="F2108" s="41" t="str">
        <f aca="false">IF(D2108="","",IFERROR(IF(ISNUMBER(SEARCH(Assumptions!$C$5,D2108)),Assumptions!$D$5,IF(ISNUMBER(SEARCH(Assumptions!$C$6,D2108)),Assumptions!$D$6,IF(ISNUMBER(SEARCH(Assumptions!$C$7,D2108)),Assumptions!$D$7,"Other Services"))),"Other Services"))</f>
        <v/>
      </c>
    </row>
    <row r="2109" customFormat="false" ht="15" hidden="false" customHeight="false" outlineLevel="0" collapsed="false">
      <c r="F2109" s="41" t="str">
        <f aca="false">IF(D2109="","",IFERROR(IF(ISNUMBER(SEARCH(Assumptions!$C$5,D2109)),Assumptions!$D$5,IF(ISNUMBER(SEARCH(Assumptions!$C$6,D2109)),Assumptions!$D$6,IF(ISNUMBER(SEARCH(Assumptions!$C$7,D2109)),Assumptions!$D$7,"Other Services"))),"Other Services"))</f>
        <v/>
      </c>
    </row>
    <row r="2110" customFormat="false" ht="15" hidden="false" customHeight="false" outlineLevel="0" collapsed="false">
      <c r="F2110" s="41" t="str">
        <f aca="false">IF(D2110="","",IFERROR(IF(ISNUMBER(SEARCH(Assumptions!$C$5,D2110)),Assumptions!$D$5,IF(ISNUMBER(SEARCH(Assumptions!$C$6,D2110)),Assumptions!$D$6,IF(ISNUMBER(SEARCH(Assumptions!$C$7,D2110)),Assumptions!$D$7,"Other Services"))),"Other Services"))</f>
        <v/>
      </c>
    </row>
    <row r="2111" customFormat="false" ht="15" hidden="false" customHeight="false" outlineLevel="0" collapsed="false">
      <c r="F2111" s="41" t="str">
        <f aca="false">IF(D2111="","",IFERROR(IF(ISNUMBER(SEARCH(Assumptions!$C$5,D2111)),Assumptions!$D$5,IF(ISNUMBER(SEARCH(Assumptions!$C$6,D2111)),Assumptions!$D$6,IF(ISNUMBER(SEARCH(Assumptions!$C$7,D2111)),Assumptions!$D$7,"Other Services"))),"Other Services"))</f>
        <v/>
      </c>
    </row>
    <row r="2112" customFormat="false" ht="15" hidden="false" customHeight="false" outlineLevel="0" collapsed="false">
      <c r="F2112" s="41" t="str">
        <f aca="false">IF(D2112="","",IFERROR(IF(ISNUMBER(SEARCH(Assumptions!$C$5,D2112)),Assumptions!$D$5,IF(ISNUMBER(SEARCH(Assumptions!$C$6,D2112)),Assumptions!$D$6,IF(ISNUMBER(SEARCH(Assumptions!$C$7,D2112)),Assumptions!$D$7,"Other Services"))),"Other Services"))</f>
        <v/>
      </c>
    </row>
    <row r="2113" customFormat="false" ht="15" hidden="false" customHeight="false" outlineLevel="0" collapsed="false">
      <c r="F2113" s="41" t="str">
        <f aca="false">IF(D2113="","",IFERROR(IF(ISNUMBER(SEARCH(Assumptions!$C$5,D2113)),Assumptions!$D$5,IF(ISNUMBER(SEARCH(Assumptions!$C$6,D2113)),Assumptions!$D$6,IF(ISNUMBER(SEARCH(Assumptions!$C$7,D2113)),Assumptions!$D$7,"Other Services"))),"Other Services"))</f>
        <v/>
      </c>
    </row>
    <row r="2114" customFormat="false" ht="15" hidden="false" customHeight="false" outlineLevel="0" collapsed="false">
      <c r="F2114" s="41" t="str">
        <f aca="false">IF(D2114="","",IFERROR(IF(ISNUMBER(SEARCH(Assumptions!$C$5,D2114)),Assumptions!$D$5,IF(ISNUMBER(SEARCH(Assumptions!$C$6,D2114)),Assumptions!$D$6,IF(ISNUMBER(SEARCH(Assumptions!$C$7,D2114)),Assumptions!$D$7,"Other Services"))),"Other Services"))</f>
        <v/>
      </c>
    </row>
    <row r="2115" customFormat="false" ht="15" hidden="false" customHeight="false" outlineLevel="0" collapsed="false">
      <c r="F2115" s="41" t="str">
        <f aca="false">IF(D2115="","",IFERROR(IF(ISNUMBER(SEARCH(Assumptions!$C$5,D2115)),Assumptions!$D$5,IF(ISNUMBER(SEARCH(Assumptions!$C$6,D2115)),Assumptions!$D$6,IF(ISNUMBER(SEARCH(Assumptions!$C$7,D2115)),Assumptions!$D$7,"Other Services"))),"Other Services"))</f>
        <v/>
      </c>
    </row>
    <row r="2116" customFormat="false" ht="15" hidden="false" customHeight="false" outlineLevel="0" collapsed="false">
      <c r="F2116" s="41" t="str">
        <f aca="false">IF(D2116="","",IFERROR(IF(ISNUMBER(SEARCH(Assumptions!$C$5,D2116)),Assumptions!$D$5,IF(ISNUMBER(SEARCH(Assumptions!$C$6,D2116)),Assumptions!$D$6,IF(ISNUMBER(SEARCH(Assumptions!$C$7,D2116)),Assumptions!$D$7,"Other Services"))),"Other Services"))</f>
        <v/>
      </c>
    </row>
    <row r="2117" customFormat="false" ht="15" hidden="false" customHeight="false" outlineLevel="0" collapsed="false">
      <c r="F2117" s="41" t="str">
        <f aca="false">IF(D2117="","",IFERROR(IF(ISNUMBER(SEARCH(Assumptions!$C$5,D2117)),Assumptions!$D$5,IF(ISNUMBER(SEARCH(Assumptions!$C$6,D2117)),Assumptions!$D$6,IF(ISNUMBER(SEARCH(Assumptions!$C$7,D2117)),Assumptions!$D$7,"Other Services"))),"Other Services"))</f>
        <v/>
      </c>
    </row>
    <row r="2118" customFormat="false" ht="15" hidden="false" customHeight="false" outlineLevel="0" collapsed="false">
      <c r="F2118" s="41" t="str">
        <f aca="false">IF(D2118="","",IFERROR(IF(ISNUMBER(SEARCH(Assumptions!$C$5,D2118)),Assumptions!$D$5,IF(ISNUMBER(SEARCH(Assumptions!$C$6,D2118)),Assumptions!$D$6,IF(ISNUMBER(SEARCH(Assumptions!$C$7,D2118)),Assumptions!$D$7,"Other Services"))),"Other Services"))</f>
        <v/>
      </c>
    </row>
    <row r="2119" customFormat="false" ht="15" hidden="false" customHeight="false" outlineLevel="0" collapsed="false">
      <c r="F2119" s="41" t="str">
        <f aca="false">IF(D2119="","",IFERROR(IF(ISNUMBER(SEARCH(Assumptions!$C$5,D2119)),Assumptions!$D$5,IF(ISNUMBER(SEARCH(Assumptions!$C$6,D2119)),Assumptions!$D$6,IF(ISNUMBER(SEARCH(Assumptions!$C$7,D2119)),Assumptions!$D$7,"Other Services"))),"Other Services"))</f>
        <v/>
      </c>
    </row>
    <row r="2120" customFormat="false" ht="15" hidden="false" customHeight="false" outlineLevel="0" collapsed="false">
      <c r="F2120" s="41" t="str">
        <f aca="false">IF(D2120="","",IFERROR(IF(ISNUMBER(SEARCH(Assumptions!$C$5,D2120)),Assumptions!$D$5,IF(ISNUMBER(SEARCH(Assumptions!$C$6,D2120)),Assumptions!$D$6,IF(ISNUMBER(SEARCH(Assumptions!$C$7,D2120)),Assumptions!$D$7,"Other Services"))),"Other Services"))</f>
        <v/>
      </c>
    </row>
    <row r="2121" customFormat="false" ht="15" hidden="false" customHeight="false" outlineLevel="0" collapsed="false">
      <c r="F2121" s="41" t="str">
        <f aca="false">IF(D2121="","",IFERROR(IF(ISNUMBER(SEARCH(Assumptions!$C$5,D2121)),Assumptions!$D$5,IF(ISNUMBER(SEARCH(Assumptions!$C$6,D2121)),Assumptions!$D$6,IF(ISNUMBER(SEARCH(Assumptions!$C$7,D2121)),Assumptions!$D$7,"Other Services"))),"Other Services"))</f>
        <v/>
      </c>
    </row>
    <row r="2122" customFormat="false" ht="15" hidden="false" customHeight="false" outlineLevel="0" collapsed="false">
      <c r="F2122" s="41" t="str">
        <f aca="false">IF(D2122="","",IFERROR(IF(ISNUMBER(SEARCH(Assumptions!$C$5,D2122)),Assumptions!$D$5,IF(ISNUMBER(SEARCH(Assumptions!$C$6,D2122)),Assumptions!$D$6,IF(ISNUMBER(SEARCH(Assumptions!$C$7,D2122)),Assumptions!$D$7,"Other Services"))),"Other Services"))</f>
        <v/>
      </c>
    </row>
    <row r="2123" customFormat="false" ht="15" hidden="false" customHeight="false" outlineLevel="0" collapsed="false">
      <c r="F2123" s="41" t="str">
        <f aca="false">IF(D2123="","",IFERROR(IF(ISNUMBER(SEARCH(Assumptions!$C$5,D2123)),Assumptions!$D$5,IF(ISNUMBER(SEARCH(Assumptions!$C$6,D2123)),Assumptions!$D$6,IF(ISNUMBER(SEARCH(Assumptions!$C$7,D2123)),Assumptions!$D$7,"Other Services"))),"Other Services"))</f>
        <v/>
      </c>
    </row>
    <row r="2124" customFormat="false" ht="15" hidden="false" customHeight="false" outlineLevel="0" collapsed="false">
      <c r="F2124" s="41" t="str">
        <f aca="false">IF(D2124="","",IFERROR(IF(ISNUMBER(SEARCH(Assumptions!$C$5,D2124)),Assumptions!$D$5,IF(ISNUMBER(SEARCH(Assumptions!$C$6,D2124)),Assumptions!$D$6,IF(ISNUMBER(SEARCH(Assumptions!$C$7,D2124)),Assumptions!$D$7,"Other Services"))),"Other Services"))</f>
        <v/>
      </c>
    </row>
    <row r="2125" customFormat="false" ht="15" hidden="false" customHeight="false" outlineLevel="0" collapsed="false">
      <c r="F2125" s="41" t="str">
        <f aca="false">IF(D2125="","",IFERROR(IF(ISNUMBER(SEARCH(Assumptions!$C$5,D2125)),Assumptions!$D$5,IF(ISNUMBER(SEARCH(Assumptions!$C$6,D2125)),Assumptions!$D$6,IF(ISNUMBER(SEARCH(Assumptions!$C$7,D2125)),Assumptions!$D$7,"Other Services"))),"Other Services"))</f>
        <v/>
      </c>
    </row>
    <row r="2126" customFormat="false" ht="15" hidden="false" customHeight="false" outlineLevel="0" collapsed="false">
      <c r="F2126" s="41" t="str">
        <f aca="false">IF(D2126="","",IFERROR(IF(ISNUMBER(SEARCH(Assumptions!$C$5,D2126)),Assumptions!$D$5,IF(ISNUMBER(SEARCH(Assumptions!$C$6,D2126)),Assumptions!$D$6,IF(ISNUMBER(SEARCH(Assumptions!$C$7,D2126)),Assumptions!$D$7,"Other Services"))),"Other Services"))</f>
        <v/>
      </c>
    </row>
    <row r="2127" customFormat="false" ht="15" hidden="false" customHeight="false" outlineLevel="0" collapsed="false">
      <c r="F2127" s="41" t="str">
        <f aca="false">IF(D2127="","",IFERROR(IF(ISNUMBER(SEARCH(Assumptions!$C$5,D2127)),Assumptions!$D$5,IF(ISNUMBER(SEARCH(Assumptions!$C$6,D2127)),Assumptions!$D$6,IF(ISNUMBER(SEARCH(Assumptions!$C$7,D2127)),Assumptions!$D$7,"Other Services"))),"Other Services"))</f>
        <v/>
      </c>
    </row>
    <row r="2128" customFormat="false" ht="15" hidden="false" customHeight="false" outlineLevel="0" collapsed="false">
      <c r="F2128" s="41" t="str">
        <f aca="false">IF(D2128="","",IFERROR(IF(ISNUMBER(SEARCH(Assumptions!$C$5,D2128)),Assumptions!$D$5,IF(ISNUMBER(SEARCH(Assumptions!$C$6,D2128)),Assumptions!$D$6,IF(ISNUMBER(SEARCH(Assumptions!$C$7,D2128)),Assumptions!$D$7,"Other Services"))),"Other Services"))</f>
        <v/>
      </c>
    </row>
    <row r="2129" customFormat="false" ht="15" hidden="false" customHeight="false" outlineLevel="0" collapsed="false">
      <c r="F2129" s="41" t="str">
        <f aca="false">IF(D2129="","",IFERROR(IF(ISNUMBER(SEARCH(Assumptions!$C$5,D2129)),Assumptions!$D$5,IF(ISNUMBER(SEARCH(Assumptions!$C$6,D2129)),Assumptions!$D$6,IF(ISNUMBER(SEARCH(Assumptions!$C$7,D2129)),Assumptions!$D$7,"Other Services"))),"Other Services"))</f>
        <v/>
      </c>
    </row>
    <row r="2130" customFormat="false" ht="15" hidden="false" customHeight="false" outlineLevel="0" collapsed="false">
      <c r="F2130" s="41" t="str">
        <f aca="false">IF(D2130="","",IFERROR(IF(ISNUMBER(SEARCH(Assumptions!$C$5,D2130)),Assumptions!$D$5,IF(ISNUMBER(SEARCH(Assumptions!$C$6,D2130)),Assumptions!$D$6,IF(ISNUMBER(SEARCH(Assumptions!$C$7,D2130)),Assumptions!$D$7,"Other Services"))),"Other Services"))</f>
        <v/>
      </c>
    </row>
    <row r="2131" customFormat="false" ht="15" hidden="false" customHeight="false" outlineLevel="0" collapsed="false">
      <c r="F2131" s="41" t="str">
        <f aca="false">IF(D2131="","",IFERROR(IF(ISNUMBER(SEARCH(Assumptions!$C$5,D2131)),Assumptions!$D$5,IF(ISNUMBER(SEARCH(Assumptions!$C$6,D2131)),Assumptions!$D$6,IF(ISNUMBER(SEARCH(Assumptions!$C$7,D2131)),Assumptions!$D$7,"Other Services"))),"Other Services"))</f>
        <v/>
      </c>
    </row>
    <row r="2132" customFormat="false" ht="15" hidden="false" customHeight="false" outlineLevel="0" collapsed="false">
      <c r="F2132" s="41" t="str">
        <f aca="false">IF(D2132="","",IFERROR(IF(ISNUMBER(SEARCH(Assumptions!$C$5,D2132)),Assumptions!$D$5,IF(ISNUMBER(SEARCH(Assumptions!$C$6,D2132)),Assumptions!$D$6,IF(ISNUMBER(SEARCH(Assumptions!$C$7,D2132)),Assumptions!$D$7,"Other Services"))),"Other Services"))</f>
        <v/>
      </c>
    </row>
    <row r="2133" customFormat="false" ht="15" hidden="false" customHeight="false" outlineLevel="0" collapsed="false">
      <c r="F2133" s="41" t="str">
        <f aca="false">IF(D2133="","",IFERROR(IF(ISNUMBER(SEARCH(Assumptions!$C$5,D2133)),Assumptions!$D$5,IF(ISNUMBER(SEARCH(Assumptions!$C$6,D2133)),Assumptions!$D$6,IF(ISNUMBER(SEARCH(Assumptions!$C$7,D2133)),Assumptions!$D$7,"Other Services"))),"Other Services"))</f>
        <v/>
      </c>
    </row>
    <row r="2134" customFormat="false" ht="15" hidden="false" customHeight="false" outlineLevel="0" collapsed="false">
      <c r="F2134" s="41" t="str">
        <f aca="false">IF(D2134="","",IFERROR(IF(ISNUMBER(SEARCH(Assumptions!$C$5,D2134)),Assumptions!$D$5,IF(ISNUMBER(SEARCH(Assumptions!$C$6,D2134)),Assumptions!$D$6,IF(ISNUMBER(SEARCH(Assumptions!$C$7,D2134)),Assumptions!$D$7,"Other Services"))),"Other Services"))</f>
        <v/>
      </c>
    </row>
    <row r="2135" customFormat="false" ht="15" hidden="false" customHeight="false" outlineLevel="0" collapsed="false">
      <c r="F2135" s="41" t="str">
        <f aca="false">IF(D2135="","",IFERROR(IF(ISNUMBER(SEARCH(Assumptions!$C$5,D2135)),Assumptions!$D$5,IF(ISNUMBER(SEARCH(Assumptions!$C$6,D2135)),Assumptions!$D$6,IF(ISNUMBER(SEARCH(Assumptions!$C$7,D2135)),Assumptions!$D$7,"Other Services"))),"Other Services"))</f>
        <v/>
      </c>
    </row>
    <row r="2136" customFormat="false" ht="15" hidden="false" customHeight="false" outlineLevel="0" collapsed="false">
      <c r="F2136" s="41" t="str">
        <f aca="false">IF(D2136="","",IFERROR(IF(ISNUMBER(SEARCH(Assumptions!$C$5,D2136)),Assumptions!$D$5,IF(ISNUMBER(SEARCH(Assumptions!$C$6,D2136)),Assumptions!$D$6,IF(ISNUMBER(SEARCH(Assumptions!$C$7,D2136)),Assumptions!$D$7,"Other Services"))),"Other Services"))</f>
        <v/>
      </c>
    </row>
    <row r="2137" customFormat="false" ht="15" hidden="false" customHeight="false" outlineLevel="0" collapsed="false">
      <c r="F2137" s="41" t="str">
        <f aca="false">IF(D2137="","",IFERROR(IF(ISNUMBER(SEARCH(Assumptions!$C$5,D2137)),Assumptions!$D$5,IF(ISNUMBER(SEARCH(Assumptions!$C$6,D2137)),Assumptions!$D$6,IF(ISNUMBER(SEARCH(Assumptions!$C$7,D2137)),Assumptions!$D$7,"Other Services"))),"Other Services"))</f>
        <v/>
      </c>
    </row>
    <row r="2138" customFormat="false" ht="15" hidden="false" customHeight="false" outlineLevel="0" collapsed="false">
      <c r="F2138" s="41" t="str">
        <f aca="false">IF(D2138="","",IFERROR(IF(ISNUMBER(SEARCH(Assumptions!$C$5,D2138)),Assumptions!$D$5,IF(ISNUMBER(SEARCH(Assumptions!$C$6,D2138)),Assumptions!$D$6,IF(ISNUMBER(SEARCH(Assumptions!$C$7,D2138)),Assumptions!$D$7,"Other Services"))),"Other Services"))</f>
        <v/>
      </c>
    </row>
    <row r="2139" customFormat="false" ht="15" hidden="false" customHeight="false" outlineLevel="0" collapsed="false">
      <c r="F2139" s="41" t="str">
        <f aca="false">IF(D2139="","",IFERROR(IF(ISNUMBER(SEARCH(Assumptions!$C$5,D2139)),Assumptions!$D$5,IF(ISNUMBER(SEARCH(Assumptions!$C$6,D2139)),Assumptions!$D$6,IF(ISNUMBER(SEARCH(Assumptions!$C$7,D2139)),Assumptions!$D$7,"Other Services"))),"Other Services"))</f>
        <v/>
      </c>
    </row>
    <row r="2140" customFormat="false" ht="15" hidden="false" customHeight="false" outlineLevel="0" collapsed="false">
      <c r="F2140" s="41" t="str">
        <f aca="false">IF(D2140="","",IFERROR(IF(ISNUMBER(SEARCH(Assumptions!$C$5,D2140)),Assumptions!$D$5,IF(ISNUMBER(SEARCH(Assumptions!$C$6,D2140)),Assumptions!$D$6,IF(ISNUMBER(SEARCH(Assumptions!$C$7,D2140)),Assumptions!$D$7,"Other Services"))),"Other Services"))</f>
        <v/>
      </c>
    </row>
    <row r="2141" customFormat="false" ht="15" hidden="false" customHeight="false" outlineLevel="0" collapsed="false">
      <c r="F2141" s="41" t="str">
        <f aca="false">IF(D2141="","",IFERROR(IF(ISNUMBER(SEARCH(Assumptions!$C$5,D2141)),Assumptions!$D$5,IF(ISNUMBER(SEARCH(Assumptions!$C$6,D2141)),Assumptions!$D$6,IF(ISNUMBER(SEARCH(Assumptions!$C$7,D2141)),Assumptions!$D$7,"Other Services"))),"Other Services"))</f>
        <v/>
      </c>
    </row>
    <row r="2142" customFormat="false" ht="15" hidden="false" customHeight="false" outlineLevel="0" collapsed="false">
      <c r="F2142" s="41" t="str">
        <f aca="false">IF(D2142="","",IFERROR(IF(ISNUMBER(SEARCH(Assumptions!$C$5,D2142)),Assumptions!$D$5,IF(ISNUMBER(SEARCH(Assumptions!$C$6,D2142)),Assumptions!$D$6,IF(ISNUMBER(SEARCH(Assumptions!$C$7,D2142)),Assumptions!$D$7,"Other Services"))),"Other Services"))</f>
        <v/>
      </c>
    </row>
    <row r="2143" customFormat="false" ht="15" hidden="false" customHeight="false" outlineLevel="0" collapsed="false">
      <c r="F2143" s="41" t="str">
        <f aca="false">IF(D2143="","",IFERROR(IF(ISNUMBER(SEARCH(Assumptions!$C$5,D2143)),Assumptions!$D$5,IF(ISNUMBER(SEARCH(Assumptions!$C$6,D2143)),Assumptions!$D$6,IF(ISNUMBER(SEARCH(Assumptions!$C$7,D2143)),Assumptions!$D$7,"Other Services"))),"Other Services"))</f>
        <v/>
      </c>
    </row>
    <row r="2144" customFormat="false" ht="15" hidden="false" customHeight="false" outlineLevel="0" collapsed="false">
      <c r="F2144" s="41" t="str">
        <f aca="false">IF(D2144="","",IFERROR(IF(ISNUMBER(SEARCH(Assumptions!$C$5,D2144)),Assumptions!$D$5,IF(ISNUMBER(SEARCH(Assumptions!$C$6,D2144)),Assumptions!$D$6,IF(ISNUMBER(SEARCH(Assumptions!$C$7,D2144)),Assumptions!$D$7,"Other Services"))),"Other Services"))</f>
        <v/>
      </c>
    </row>
    <row r="2145" customFormat="false" ht="15" hidden="false" customHeight="false" outlineLevel="0" collapsed="false">
      <c r="F2145" s="41" t="str">
        <f aca="false">IF(D2145="","",IFERROR(IF(ISNUMBER(SEARCH(Assumptions!$C$5,D2145)),Assumptions!$D$5,IF(ISNUMBER(SEARCH(Assumptions!$C$6,D2145)),Assumptions!$D$6,IF(ISNUMBER(SEARCH(Assumptions!$C$7,D2145)),Assumptions!$D$7,"Other Services"))),"Other Services"))</f>
        <v/>
      </c>
    </row>
    <row r="2146" customFormat="false" ht="15" hidden="false" customHeight="false" outlineLevel="0" collapsed="false">
      <c r="F2146" s="41" t="str">
        <f aca="false">IF(D2146="","",IFERROR(IF(ISNUMBER(SEARCH(Assumptions!$C$5,D2146)),Assumptions!$D$5,IF(ISNUMBER(SEARCH(Assumptions!$C$6,D2146)),Assumptions!$D$6,IF(ISNUMBER(SEARCH(Assumptions!$C$7,D2146)),Assumptions!$D$7,"Other Services"))),"Other Services"))</f>
        <v/>
      </c>
    </row>
    <row r="2147" customFormat="false" ht="15" hidden="false" customHeight="false" outlineLevel="0" collapsed="false">
      <c r="F2147" s="41" t="str">
        <f aca="false">IF(D2147="","",IFERROR(IF(ISNUMBER(SEARCH(Assumptions!$C$5,D2147)),Assumptions!$D$5,IF(ISNUMBER(SEARCH(Assumptions!$C$6,D2147)),Assumptions!$D$6,IF(ISNUMBER(SEARCH(Assumptions!$C$7,D2147)),Assumptions!$D$7,"Other Services"))),"Other Services"))</f>
        <v/>
      </c>
    </row>
    <row r="2148" customFormat="false" ht="15" hidden="false" customHeight="false" outlineLevel="0" collapsed="false">
      <c r="F2148" s="41" t="str">
        <f aca="false">IF(D2148="","",IFERROR(IF(ISNUMBER(SEARCH(Assumptions!$C$5,D2148)),Assumptions!$D$5,IF(ISNUMBER(SEARCH(Assumptions!$C$6,D2148)),Assumptions!$D$6,IF(ISNUMBER(SEARCH(Assumptions!$C$7,D2148)),Assumptions!$D$7,"Other Services"))),"Other Services"))</f>
        <v/>
      </c>
    </row>
    <row r="2149" customFormat="false" ht="15" hidden="false" customHeight="false" outlineLevel="0" collapsed="false">
      <c r="F2149" s="41" t="str">
        <f aca="false">IF(D2149="","",IFERROR(IF(ISNUMBER(SEARCH(Assumptions!$C$5,D2149)),Assumptions!$D$5,IF(ISNUMBER(SEARCH(Assumptions!$C$6,D2149)),Assumptions!$D$6,IF(ISNUMBER(SEARCH(Assumptions!$C$7,D2149)),Assumptions!$D$7,"Other Services"))),"Other Services"))</f>
        <v/>
      </c>
    </row>
    <row r="2150" customFormat="false" ht="15" hidden="false" customHeight="false" outlineLevel="0" collapsed="false">
      <c r="F2150" s="41" t="str">
        <f aca="false">IF(D2150="","",IFERROR(IF(ISNUMBER(SEARCH(Assumptions!$C$5,D2150)),Assumptions!$D$5,IF(ISNUMBER(SEARCH(Assumptions!$C$6,D2150)),Assumptions!$D$6,IF(ISNUMBER(SEARCH(Assumptions!$C$7,D2150)),Assumptions!$D$7,"Other Services"))),"Other Services"))</f>
        <v/>
      </c>
    </row>
    <row r="2151" customFormat="false" ht="15" hidden="false" customHeight="false" outlineLevel="0" collapsed="false">
      <c r="F2151" s="41" t="str">
        <f aca="false">IF(D2151="","",IFERROR(IF(ISNUMBER(SEARCH(Assumptions!$C$5,D2151)),Assumptions!$D$5,IF(ISNUMBER(SEARCH(Assumptions!$C$6,D2151)),Assumptions!$D$6,IF(ISNUMBER(SEARCH(Assumptions!$C$7,D2151)),Assumptions!$D$7,"Other Services"))),"Other Services"))</f>
        <v/>
      </c>
    </row>
    <row r="2152" customFormat="false" ht="15" hidden="false" customHeight="false" outlineLevel="0" collapsed="false">
      <c r="F2152" s="41" t="str">
        <f aca="false">IF(D2152="","",IFERROR(IF(ISNUMBER(SEARCH(Assumptions!$C$5,D2152)),Assumptions!$D$5,IF(ISNUMBER(SEARCH(Assumptions!$C$6,D2152)),Assumptions!$D$6,IF(ISNUMBER(SEARCH(Assumptions!$C$7,D2152)),Assumptions!$D$7,"Other Services"))),"Other Services"))</f>
        <v/>
      </c>
    </row>
    <row r="2153" customFormat="false" ht="15" hidden="false" customHeight="false" outlineLevel="0" collapsed="false">
      <c r="F2153" s="41" t="str">
        <f aca="false">IF(D2153="","",IFERROR(IF(ISNUMBER(SEARCH(Assumptions!$C$5,D2153)),Assumptions!$D$5,IF(ISNUMBER(SEARCH(Assumptions!$C$6,D2153)),Assumptions!$D$6,IF(ISNUMBER(SEARCH(Assumptions!$C$7,D2153)),Assumptions!$D$7,"Other Services"))),"Other Services"))</f>
        <v/>
      </c>
    </row>
    <row r="2154" customFormat="false" ht="15" hidden="false" customHeight="false" outlineLevel="0" collapsed="false">
      <c r="F2154" s="41" t="str">
        <f aca="false">IF(D2154="","",IFERROR(IF(ISNUMBER(SEARCH(Assumptions!$C$5,D2154)),Assumptions!$D$5,IF(ISNUMBER(SEARCH(Assumptions!$C$6,D2154)),Assumptions!$D$6,IF(ISNUMBER(SEARCH(Assumptions!$C$7,D2154)),Assumptions!$D$7,"Other Services"))),"Other Services"))</f>
        <v/>
      </c>
    </row>
    <row r="2155" customFormat="false" ht="15" hidden="false" customHeight="false" outlineLevel="0" collapsed="false">
      <c r="F2155" s="41" t="str">
        <f aca="false">IF(D2155="","",IFERROR(IF(ISNUMBER(SEARCH(Assumptions!$C$5,D2155)),Assumptions!$D$5,IF(ISNUMBER(SEARCH(Assumptions!$C$6,D2155)),Assumptions!$D$6,IF(ISNUMBER(SEARCH(Assumptions!$C$7,D2155)),Assumptions!$D$7,"Other Services"))),"Other Services"))</f>
        <v/>
      </c>
    </row>
    <row r="2156" customFormat="false" ht="15" hidden="false" customHeight="false" outlineLevel="0" collapsed="false">
      <c r="F2156" s="41" t="str">
        <f aca="false">IF(D2156="","",IFERROR(IF(ISNUMBER(SEARCH(Assumptions!$C$5,D2156)),Assumptions!$D$5,IF(ISNUMBER(SEARCH(Assumptions!$C$6,D2156)),Assumptions!$D$6,IF(ISNUMBER(SEARCH(Assumptions!$C$7,D2156)),Assumptions!$D$7,"Other Services"))),"Other Services"))</f>
        <v/>
      </c>
    </row>
    <row r="2157" customFormat="false" ht="15" hidden="false" customHeight="false" outlineLevel="0" collapsed="false">
      <c r="F2157" s="41" t="str">
        <f aca="false">IF(D2157="","",IFERROR(IF(ISNUMBER(SEARCH(Assumptions!$C$5,D2157)),Assumptions!$D$5,IF(ISNUMBER(SEARCH(Assumptions!$C$6,D2157)),Assumptions!$D$6,IF(ISNUMBER(SEARCH(Assumptions!$C$7,D2157)),Assumptions!$D$7,"Other Services"))),"Other Services"))</f>
        <v/>
      </c>
    </row>
    <row r="2158" customFormat="false" ht="15" hidden="false" customHeight="false" outlineLevel="0" collapsed="false">
      <c r="F2158" s="41" t="str">
        <f aca="false">IF(D2158="","",IFERROR(IF(ISNUMBER(SEARCH(Assumptions!$C$5,D2158)),Assumptions!$D$5,IF(ISNUMBER(SEARCH(Assumptions!$C$6,D2158)),Assumptions!$D$6,IF(ISNUMBER(SEARCH(Assumptions!$C$7,D2158)),Assumptions!$D$7,"Other Services"))),"Other Services"))</f>
        <v/>
      </c>
    </row>
    <row r="2159" customFormat="false" ht="15" hidden="false" customHeight="false" outlineLevel="0" collapsed="false">
      <c r="F2159" s="41" t="str">
        <f aca="false">IF(D2159="","",IFERROR(IF(ISNUMBER(SEARCH(Assumptions!$C$5,D2159)),Assumptions!$D$5,IF(ISNUMBER(SEARCH(Assumptions!$C$6,D2159)),Assumptions!$D$6,IF(ISNUMBER(SEARCH(Assumptions!$C$7,D2159)),Assumptions!$D$7,"Other Services"))),"Other Services"))</f>
        <v/>
      </c>
    </row>
    <row r="2160" customFormat="false" ht="15" hidden="false" customHeight="false" outlineLevel="0" collapsed="false">
      <c r="F2160" s="41" t="str">
        <f aca="false">IF(D2160="","",IFERROR(IF(ISNUMBER(SEARCH(Assumptions!$C$5,D2160)),Assumptions!$D$5,IF(ISNUMBER(SEARCH(Assumptions!$C$6,D2160)),Assumptions!$D$6,IF(ISNUMBER(SEARCH(Assumptions!$C$7,D2160)),Assumptions!$D$7,"Other Services"))),"Other Services"))</f>
        <v/>
      </c>
    </row>
    <row r="2161" customFormat="false" ht="15" hidden="false" customHeight="false" outlineLevel="0" collapsed="false">
      <c r="F2161" s="41" t="str">
        <f aca="false">IF(D2161="","",IFERROR(IF(ISNUMBER(SEARCH(Assumptions!$C$5,D2161)),Assumptions!$D$5,IF(ISNUMBER(SEARCH(Assumptions!$C$6,D2161)),Assumptions!$D$6,IF(ISNUMBER(SEARCH(Assumptions!$C$7,D2161)),Assumptions!$D$7,"Other Services"))),"Other Services"))</f>
        <v/>
      </c>
    </row>
    <row r="2162" customFormat="false" ht="15" hidden="false" customHeight="false" outlineLevel="0" collapsed="false">
      <c r="F2162" s="41" t="str">
        <f aca="false">IF(D2162="","",IFERROR(IF(ISNUMBER(SEARCH(Assumptions!$C$5,D2162)),Assumptions!$D$5,IF(ISNUMBER(SEARCH(Assumptions!$C$6,D2162)),Assumptions!$D$6,IF(ISNUMBER(SEARCH(Assumptions!$C$7,D2162)),Assumptions!$D$7,"Other Services"))),"Other Services"))</f>
        <v/>
      </c>
    </row>
    <row r="2163" customFormat="false" ht="15" hidden="false" customHeight="false" outlineLevel="0" collapsed="false">
      <c r="F2163" s="41" t="str">
        <f aca="false">IF(D2163="","",IFERROR(IF(ISNUMBER(SEARCH(Assumptions!$C$5,D2163)),Assumptions!$D$5,IF(ISNUMBER(SEARCH(Assumptions!$C$6,D2163)),Assumptions!$D$6,IF(ISNUMBER(SEARCH(Assumptions!$C$7,D2163)),Assumptions!$D$7,"Other Services"))),"Other Services"))</f>
        <v/>
      </c>
    </row>
    <row r="2164" customFormat="false" ht="15" hidden="false" customHeight="false" outlineLevel="0" collapsed="false">
      <c r="F2164" s="41" t="str">
        <f aca="false">IF(D2164="","",IFERROR(IF(ISNUMBER(SEARCH(Assumptions!$C$5,D2164)),Assumptions!$D$5,IF(ISNUMBER(SEARCH(Assumptions!$C$6,D2164)),Assumptions!$D$6,IF(ISNUMBER(SEARCH(Assumptions!$C$7,D2164)),Assumptions!$D$7,"Other Services"))),"Other Services"))</f>
        <v/>
      </c>
    </row>
    <row r="2165" customFormat="false" ht="15" hidden="false" customHeight="false" outlineLevel="0" collapsed="false">
      <c r="F2165" s="41" t="str">
        <f aca="false">IF(D2165="","",IFERROR(IF(ISNUMBER(SEARCH(Assumptions!$C$5,D2165)),Assumptions!$D$5,IF(ISNUMBER(SEARCH(Assumptions!$C$6,D2165)),Assumptions!$D$6,IF(ISNUMBER(SEARCH(Assumptions!$C$7,D2165)),Assumptions!$D$7,"Other Services"))),"Other Services"))</f>
        <v/>
      </c>
    </row>
    <row r="2166" customFormat="false" ht="15" hidden="false" customHeight="false" outlineLevel="0" collapsed="false">
      <c r="F2166" s="41" t="str">
        <f aca="false">IF(D2166="","",IFERROR(IF(ISNUMBER(SEARCH(Assumptions!$C$5,D2166)),Assumptions!$D$5,IF(ISNUMBER(SEARCH(Assumptions!$C$6,D2166)),Assumptions!$D$6,IF(ISNUMBER(SEARCH(Assumptions!$C$7,D2166)),Assumptions!$D$7,"Other Services"))),"Other Services"))</f>
        <v/>
      </c>
    </row>
    <row r="2167" customFormat="false" ht="15" hidden="false" customHeight="false" outlineLevel="0" collapsed="false">
      <c r="F2167" s="41" t="str">
        <f aca="false">IF(D2167="","",IFERROR(IF(ISNUMBER(SEARCH(Assumptions!$C$5,D2167)),Assumptions!$D$5,IF(ISNUMBER(SEARCH(Assumptions!$C$6,D2167)),Assumptions!$D$6,IF(ISNUMBER(SEARCH(Assumptions!$C$7,D2167)),Assumptions!$D$7,"Other Services"))),"Other Services"))</f>
        <v/>
      </c>
    </row>
    <row r="2168" customFormat="false" ht="15" hidden="false" customHeight="false" outlineLevel="0" collapsed="false">
      <c r="F2168" s="41" t="str">
        <f aca="false">IF(D2168="","",IFERROR(IF(ISNUMBER(SEARCH(Assumptions!$C$5,D2168)),Assumptions!$D$5,IF(ISNUMBER(SEARCH(Assumptions!$C$6,D2168)),Assumptions!$D$6,IF(ISNUMBER(SEARCH(Assumptions!$C$7,D2168)),Assumptions!$D$7,"Other Services"))),"Other Services"))</f>
        <v/>
      </c>
    </row>
    <row r="2169" customFormat="false" ht="15" hidden="false" customHeight="false" outlineLevel="0" collapsed="false">
      <c r="F2169" s="41" t="str">
        <f aca="false">IF(D2169="","",IFERROR(IF(ISNUMBER(SEARCH(Assumptions!$C$5,D2169)),Assumptions!$D$5,IF(ISNUMBER(SEARCH(Assumptions!$C$6,D2169)),Assumptions!$D$6,IF(ISNUMBER(SEARCH(Assumptions!$C$7,D2169)),Assumptions!$D$7,"Other Services"))),"Other Services"))</f>
        <v/>
      </c>
    </row>
    <row r="2170" customFormat="false" ht="15" hidden="false" customHeight="false" outlineLevel="0" collapsed="false">
      <c r="F2170" s="41" t="str">
        <f aca="false">IF(D2170="","",IFERROR(IF(ISNUMBER(SEARCH(Assumptions!$C$5,D2170)),Assumptions!$D$5,IF(ISNUMBER(SEARCH(Assumptions!$C$6,D2170)),Assumptions!$D$6,IF(ISNUMBER(SEARCH(Assumptions!$C$7,D2170)),Assumptions!$D$7,"Other Services"))),"Other Services"))</f>
        <v/>
      </c>
    </row>
    <row r="2171" customFormat="false" ht="15" hidden="false" customHeight="false" outlineLevel="0" collapsed="false">
      <c r="F2171" s="41" t="str">
        <f aca="false">IF(D2171="","",IFERROR(IF(ISNUMBER(SEARCH(Assumptions!$C$5,D2171)),Assumptions!$D$5,IF(ISNUMBER(SEARCH(Assumptions!$C$6,D2171)),Assumptions!$D$6,IF(ISNUMBER(SEARCH(Assumptions!$C$7,D2171)),Assumptions!$D$7,"Other Services"))),"Other Services"))</f>
        <v/>
      </c>
    </row>
    <row r="2172" customFormat="false" ht="15" hidden="false" customHeight="false" outlineLevel="0" collapsed="false">
      <c r="F2172" s="41" t="str">
        <f aca="false">IF(D2172="","",IFERROR(IF(ISNUMBER(SEARCH(Assumptions!$C$5,D2172)),Assumptions!$D$5,IF(ISNUMBER(SEARCH(Assumptions!$C$6,D2172)),Assumptions!$D$6,IF(ISNUMBER(SEARCH(Assumptions!$C$7,D2172)),Assumptions!$D$7,"Other Services"))),"Other Services"))</f>
        <v/>
      </c>
    </row>
    <row r="2173" customFormat="false" ht="15" hidden="false" customHeight="false" outlineLevel="0" collapsed="false">
      <c r="F2173" s="41" t="str">
        <f aca="false">IF(D2173="","",IFERROR(IF(ISNUMBER(SEARCH(Assumptions!$C$5,D2173)),Assumptions!$D$5,IF(ISNUMBER(SEARCH(Assumptions!$C$6,D2173)),Assumptions!$D$6,IF(ISNUMBER(SEARCH(Assumptions!$C$7,D2173)),Assumptions!$D$7,"Other Services"))),"Other Services"))</f>
        <v/>
      </c>
    </row>
    <row r="2174" customFormat="false" ht="15" hidden="false" customHeight="false" outlineLevel="0" collapsed="false">
      <c r="F2174" s="41" t="str">
        <f aca="false">IF(D2174="","",IFERROR(IF(ISNUMBER(SEARCH(Assumptions!$C$5,D2174)),Assumptions!$D$5,IF(ISNUMBER(SEARCH(Assumptions!$C$6,D2174)),Assumptions!$D$6,IF(ISNUMBER(SEARCH(Assumptions!$C$7,D2174)),Assumptions!$D$7,"Other Services"))),"Other Services"))</f>
        <v/>
      </c>
    </row>
    <row r="2175" customFormat="false" ht="15" hidden="false" customHeight="false" outlineLevel="0" collapsed="false">
      <c r="F2175" s="41" t="str">
        <f aca="false">IF(D2175="","",IFERROR(IF(ISNUMBER(SEARCH(Assumptions!$C$5,D2175)),Assumptions!$D$5,IF(ISNUMBER(SEARCH(Assumptions!$C$6,D2175)),Assumptions!$D$6,IF(ISNUMBER(SEARCH(Assumptions!$C$7,D2175)),Assumptions!$D$7,"Other Services"))),"Other Services"))</f>
        <v/>
      </c>
    </row>
    <row r="2176" customFormat="false" ht="15" hidden="false" customHeight="false" outlineLevel="0" collapsed="false">
      <c r="F2176" s="41" t="str">
        <f aca="false">IF(D2176="","",IFERROR(IF(ISNUMBER(SEARCH(Assumptions!$C$5,D2176)),Assumptions!$D$5,IF(ISNUMBER(SEARCH(Assumptions!$C$6,D2176)),Assumptions!$D$6,IF(ISNUMBER(SEARCH(Assumptions!$C$7,D2176)),Assumptions!$D$7,"Other Services"))),"Other Services"))</f>
        <v/>
      </c>
    </row>
    <row r="2177" customFormat="false" ht="15" hidden="false" customHeight="false" outlineLevel="0" collapsed="false">
      <c r="F2177" s="41" t="str">
        <f aca="false">IF(D2177="","",IFERROR(IF(ISNUMBER(SEARCH(Assumptions!$C$5,D2177)),Assumptions!$D$5,IF(ISNUMBER(SEARCH(Assumptions!$C$6,D2177)),Assumptions!$D$6,IF(ISNUMBER(SEARCH(Assumptions!$C$7,D2177)),Assumptions!$D$7,"Other Services"))),"Other Services"))</f>
        <v/>
      </c>
    </row>
    <row r="2178" customFormat="false" ht="15" hidden="false" customHeight="false" outlineLevel="0" collapsed="false">
      <c r="F2178" s="41" t="str">
        <f aca="false">IF(D2178="","",IFERROR(IF(ISNUMBER(SEARCH(Assumptions!$C$5,D2178)),Assumptions!$D$5,IF(ISNUMBER(SEARCH(Assumptions!$C$6,D2178)),Assumptions!$D$6,IF(ISNUMBER(SEARCH(Assumptions!$C$7,D2178)),Assumptions!$D$7,"Other Services"))),"Other Services"))</f>
        <v/>
      </c>
    </row>
    <row r="2179" customFormat="false" ht="15" hidden="false" customHeight="false" outlineLevel="0" collapsed="false">
      <c r="F2179" s="41" t="str">
        <f aca="false">IF(D2179="","",IFERROR(IF(ISNUMBER(SEARCH(Assumptions!$C$5,D2179)),Assumptions!$D$5,IF(ISNUMBER(SEARCH(Assumptions!$C$6,D2179)),Assumptions!$D$6,IF(ISNUMBER(SEARCH(Assumptions!$C$7,D2179)),Assumptions!$D$7,"Other Services"))),"Other Services"))</f>
        <v/>
      </c>
    </row>
    <row r="2180" customFormat="false" ht="15" hidden="false" customHeight="false" outlineLevel="0" collapsed="false">
      <c r="F2180" s="41" t="str">
        <f aca="false">IF(D2180="","",IFERROR(IF(ISNUMBER(SEARCH(Assumptions!$C$5,D2180)),Assumptions!$D$5,IF(ISNUMBER(SEARCH(Assumptions!$C$6,D2180)),Assumptions!$D$6,IF(ISNUMBER(SEARCH(Assumptions!$C$7,D2180)),Assumptions!$D$7,"Other Services"))),"Other Services"))</f>
        <v/>
      </c>
    </row>
    <row r="2181" customFormat="false" ht="15" hidden="false" customHeight="false" outlineLevel="0" collapsed="false">
      <c r="F2181" s="41" t="str">
        <f aca="false">IF(D2181="","",IFERROR(IF(ISNUMBER(SEARCH(Assumptions!$C$5,D2181)),Assumptions!$D$5,IF(ISNUMBER(SEARCH(Assumptions!$C$6,D2181)),Assumptions!$D$6,IF(ISNUMBER(SEARCH(Assumptions!$C$7,D2181)),Assumptions!$D$7,"Other Services"))),"Other Services"))</f>
        <v/>
      </c>
    </row>
    <row r="2182" customFormat="false" ht="15" hidden="false" customHeight="false" outlineLevel="0" collapsed="false">
      <c r="F2182" s="41" t="str">
        <f aca="false">IF(D2182="","",IFERROR(IF(ISNUMBER(SEARCH(Assumptions!$C$5,D2182)),Assumptions!$D$5,IF(ISNUMBER(SEARCH(Assumptions!$C$6,D2182)),Assumptions!$D$6,IF(ISNUMBER(SEARCH(Assumptions!$C$7,D2182)),Assumptions!$D$7,"Other Services"))),"Other Services"))</f>
        <v/>
      </c>
    </row>
    <row r="2183" customFormat="false" ht="15" hidden="false" customHeight="false" outlineLevel="0" collapsed="false">
      <c r="F2183" s="41" t="str">
        <f aca="false">IF(D2183="","",IFERROR(IF(ISNUMBER(SEARCH(Assumptions!$C$5,D2183)),Assumptions!$D$5,IF(ISNUMBER(SEARCH(Assumptions!$C$6,D2183)),Assumptions!$D$6,IF(ISNUMBER(SEARCH(Assumptions!$C$7,D2183)),Assumptions!$D$7,"Other Services"))),"Other Services"))</f>
        <v/>
      </c>
    </row>
    <row r="2184" customFormat="false" ht="15" hidden="false" customHeight="false" outlineLevel="0" collapsed="false">
      <c r="F2184" s="41" t="str">
        <f aca="false">IF(D2184="","",IFERROR(IF(ISNUMBER(SEARCH(Assumptions!$C$5,D2184)),Assumptions!$D$5,IF(ISNUMBER(SEARCH(Assumptions!$C$6,D2184)),Assumptions!$D$6,IF(ISNUMBER(SEARCH(Assumptions!$C$7,D2184)),Assumptions!$D$7,"Other Services"))),"Other Services"))</f>
        <v/>
      </c>
    </row>
    <row r="2185" customFormat="false" ht="15" hidden="false" customHeight="false" outlineLevel="0" collapsed="false">
      <c r="F2185" s="41" t="str">
        <f aca="false">IF(D2185="","",IFERROR(IF(ISNUMBER(SEARCH(Assumptions!$C$5,D2185)),Assumptions!$D$5,IF(ISNUMBER(SEARCH(Assumptions!$C$6,D2185)),Assumptions!$D$6,IF(ISNUMBER(SEARCH(Assumptions!$C$7,D2185)),Assumptions!$D$7,"Other Services"))),"Other Services"))</f>
        <v/>
      </c>
    </row>
    <row r="2186" customFormat="false" ht="15" hidden="false" customHeight="false" outlineLevel="0" collapsed="false">
      <c r="F2186" s="41" t="str">
        <f aca="false">IF(D2186="","",IFERROR(IF(ISNUMBER(SEARCH(Assumptions!$C$5,D2186)),Assumptions!$D$5,IF(ISNUMBER(SEARCH(Assumptions!$C$6,D2186)),Assumptions!$D$6,IF(ISNUMBER(SEARCH(Assumptions!$C$7,D2186)),Assumptions!$D$7,"Other Services"))),"Other Services"))</f>
        <v/>
      </c>
    </row>
    <row r="2187" customFormat="false" ht="15" hidden="false" customHeight="false" outlineLevel="0" collapsed="false">
      <c r="F2187" s="41" t="str">
        <f aca="false">IF(D2187="","",IFERROR(IF(ISNUMBER(SEARCH(Assumptions!$C$5,D2187)),Assumptions!$D$5,IF(ISNUMBER(SEARCH(Assumptions!$C$6,D2187)),Assumptions!$D$6,IF(ISNUMBER(SEARCH(Assumptions!$C$7,D2187)),Assumptions!$D$7,"Other Services"))),"Other Services"))</f>
        <v/>
      </c>
    </row>
    <row r="2188" customFormat="false" ht="15" hidden="false" customHeight="false" outlineLevel="0" collapsed="false">
      <c r="F2188" s="41" t="str">
        <f aca="false">IF(D2188="","",IFERROR(IF(ISNUMBER(SEARCH(Assumptions!$C$5,D2188)),Assumptions!$D$5,IF(ISNUMBER(SEARCH(Assumptions!$C$6,D2188)),Assumptions!$D$6,IF(ISNUMBER(SEARCH(Assumptions!$C$7,D2188)),Assumptions!$D$7,"Other Services"))),"Other Services"))</f>
        <v/>
      </c>
    </row>
    <row r="2189" customFormat="false" ht="15" hidden="false" customHeight="false" outlineLevel="0" collapsed="false">
      <c r="F2189" s="41" t="str">
        <f aca="false">IF(D2189="","",IFERROR(IF(ISNUMBER(SEARCH(Assumptions!$C$5,D2189)),Assumptions!$D$5,IF(ISNUMBER(SEARCH(Assumptions!$C$6,D2189)),Assumptions!$D$6,IF(ISNUMBER(SEARCH(Assumptions!$C$7,D2189)),Assumptions!$D$7,"Other Services"))),"Other Services"))</f>
        <v/>
      </c>
    </row>
    <row r="2190" customFormat="false" ht="15" hidden="false" customHeight="false" outlineLevel="0" collapsed="false">
      <c r="F2190" s="41" t="str">
        <f aca="false">IF(D2190="","",IFERROR(IF(ISNUMBER(SEARCH(Assumptions!$C$5,D2190)),Assumptions!$D$5,IF(ISNUMBER(SEARCH(Assumptions!$C$6,D2190)),Assumptions!$D$6,IF(ISNUMBER(SEARCH(Assumptions!$C$7,D2190)),Assumptions!$D$7,"Other Services"))),"Other Services"))</f>
        <v/>
      </c>
    </row>
    <row r="2191" customFormat="false" ht="15" hidden="false" customHeight="false" outlineLevel="0" collapsed="false">
      <c r="F2191" s="41" t="str">
        <f aca="false">IF(D2191="","",IFERROR(IF(ISNUMBER(SEARCH(Assumptions!$C$5,D2191)),Assumptions!$D$5,IF(ISNUMBER(SEARCH(Assumptions!$C$6,D2191)),Assumptions!$D$6,IF(ISNUMBER(SEARCH(Assumptions!$C$7,D2191)),Assumptions!$D$7,"Other Services"))),"Other Services"))</f>
        <v/>
      </c>
    </row>
    <row r="2192" customFormat="false" ht="15" hidden="false" customHeight="false" outlineLevel="0" collapsed="false">
      <c r="F2192" s="41" t="str">
        <f aca="false">IF(D2192="","",IFERROR(IF(ISNUMBER(SEARCH(Assumptions!$C$5,D2192)),Assumptions!$D$5,IF(ISNUMBER(SEARCH(Assumptions!$C$6,D2192)),Assumptions!$D$6,IF(ISNUMBER(SEARCH(Assumptions!$C$7,D2192)),Assumptions!$D$7,"Other Services"))),"Other Services"))</f>
        <v/>
      </c>
    </row>
    <row r="2193" customFormat="false" ht="15" hidden="false" customHeight="false" outlineLevel="0" collapsed="false">
      <c r="F2193" s="41" t="str">
        <f aca="false">IF(D2193="","",IFERROR(IF(ISNUMBER(SEARCH(Assumptions!$C$5,D2193)),Assumptions!$D$5,IF(ISNUMBER(SEARCH(Assumptions!$C$6,D2193)),Assumptions!$D$6,IF(ISNUMBER(SEARCH(Assumptions!$C$7,D2193)),Assumptions!$D$7,"Other Services"))),"Other Services"))</f>
        <v/>
      </c>
    </row>
    <row r="2194" customFormat="false" ht="15" hidden="false" customHeight="false" outlineLevel="0" collapsed="false">
      <c r="F2194" s="41" t="str">
        <f aca="false">IF(D2194="","",IFERROR(IF(ISNUMBER(SEARCH(Assumptions!$C$5,D2194)),Assumptions!$D$5,IF(ISNUMBER(SEARCH(Assumptions!$C$6,D2194)),Assumptions!$D$6,IF(ISNUMBER(SEARCH(Assumptions!$C$7,D2194)),Assumptions!$D$7,"Other Services"))),"Other Services"))</f>
        <v/>
      </c>
    </row>
    <row r="2195" customFormat="false" ht="15" hidden="false" customHeight="false" outlineLevel="0" collapsed="false">
      <c r="F2195" s="41" t="str">
        <f aca="false">IF(D2195="","",IFERROR(IF(ISNUMBER(SEARCH(Assumptions!$C$5,D2195)),Assumptions!$D$5,IF(ISNUMBER(SEARCH(Assumptions!$C$6,D2195)),Assumptions!$D$6,IF(ISNUMBER(SEARCH(Assumptions!$C$7,D2195)),Assumptions!$D$7,"Other Services"))),"Other Services"))</f>
        <v/>
      </c>
    </row>
    <row r="2196" customFormat="false" ht="15" hidden="false" customHeight="false" outlineLevel="0" collapsed="false">
      <c r="F2196" s="41" t="str">
        <f aca="false">IF(D2196="","",IFERROR(IF(ISNUMBER(SEARCH(Assumptions!$C$5,D2196)),Assumptions!$D$5,IF(ISNUMBER(SEARCH(Assumptions!$C$6,D2196)),Assumptions!$D$6,IF(ISNUMBER(SEARCH(Assumptions!$C$7,D2196)),Assumptions!$D$7,"Other Services"))),"Other Services"))</f>
        <v/>
      </c>
    </row>
    <row r="2197" customFormat="false" ht="15" hidden="false" customHeight="false" outlineLevel="0" collapsed="false">
      <c r="F2197" s="41" t="str">
        <f aca="false">IF(D2197="","",IFERROR(IF(ISNUMBER(SEARCH(Assumptions!$C$5,D2197)),Assumptions!$D$5,IF(ISNUMBER(SEARCH(Assumptions!$C$6,D2197)),Assumptions!$D$6,IF(ISNUMBER(SEARCH(Assumptions!$C$7,D2197)),Assumptions!$D$7,"Other Services"))),"Other Services"))</f>
        <v/>
      </c>
    </row>
    <row r="2198" customFormat="false" ht="15" hidden="false" customHeight="false" outlineLevel="0" collapsed="false">
      <c r="F2198" s="41" t="str">
        <f aca="false">IF(D2198="","",IFERROR(IF(ISNUMBER(SEARCH(Assumptions!$C$5,D2198)),Assumptions!$D$5,IF(ISNUMBER(SEARCH(Assumptions!$C$6,D2198)),Assumptions!$D$6,IF(ISNUMBER(SEARCH(Assumptions!$C$7,D2198)),Assumptions!$D$7,"Other Services"))),"Other Services"))</f>
        <v/>
      </c>
    </row>
    <row r="2199" customFormat="false" ht="15" hidden="false" customHeight="false" outlineLevel="0" collapsed="false">
      <c r="F2199" s="41" t="str">
        <f aca="false">IF(D2199="","",IFERROR(IF(ISNUMBER(SEARCH(Assumptions!$C$5,D2199)),Assumptions!$D$5,IF(ISNUMBER(SEARCH(Assumptions!$C$6,D2199)),Assumptions!$D$6,IF(ISNUMBER(SEARCH(Assumptions!$C$7,D2199)),Assumptions!$D$7,"Other Services"))),"Other Services"))</f>
        <v/>
      </c>
    </row>
    <row r="2200" customFormat="false" ht="15" hidden="false" customHeight="false" outlineLevel="0" collapsed="false">
      <c r="F2200" s="41" t="str">
        <f aca="false">IF(D2200="","",IFERROR(IF(ISNUMBER(SEARCH(Assumptions!$C$5,D2200)),Assumptions!$D$5,IF(ISNUMBER(SEARCH(Assumptions!$C$6,D2200)),Assumptions!$D$6,IF(ISNUMBER(SEARCH(Assumptions!$C$7,D2200)),Assumptions!$D$7,"Other Services"))),"Other Services"))</f>
        <v/>
      </c>
    </row>
    <row r="2201" customFormat="false" ht="15" hidden="false" customHeight="false" outlineLevel="0" collapsed="false">
      <c r="F2201" s="41" t="str">
        <f aca="false">IF(D2201="","",IFERROR(IF(ISNUMBER(SEARCH(Assumptions!$C$5,D2201)),Assumptions!$D$5,IF(ISNUMBER(SEARCH(Assumptions!$C$6,D2201)),Assumptions!$D$6,IF(ISNUMBER(SEARCH(Assumptions!$C$7,D2201)),Assumptions!$D$7,"Other Services"))),"Other Services"))</f>
        <v/>
      </c>
    </row>
    <row r="2202" customFormat="false" ht="15" hidden="false" customHeight="false" outlineLevel="0" collapsed="false">
      <c r="F2202" s="41" t="str">
        <f aca="false">IF(D2202="","",IFERROR(IF(ISNUMBER(SEARCH(Assumptions!$C$5,D2202)),Assumptions!$D$5,IF(ISNUMBER(SEARCH(Assumptions!$C$6,D2202)),Assumptions!$D$6,IF(ISNUMBER(SEARCH(Assumptions!$C$7,D2202)),Assumptions!$D$7,"Other Services"))),"Other Services"))</f>
        <v/>
      </c>
    </row>
    <row r="2203" customFormat="false" ht="15" hidden="false" customHeight="false" outlineLevel="0" collapsed="false">
      <c r="F2203" s="41" t="str">
        <f aca="false">IF(D2203="","",IFERROR(IF(ISNUMBER(SEARCH(Assumptions!$C$5,D2203)),Assumptions!$D$5,IF(ISNUMBER(SEARCH(Assumptions!$C$6,D2203)),Assumptions!$D$6,IF(ISNUMBER(SEARCH(Assumptions!$C$7,D2203)),Assumptions!$D$7,"Other Services"))),"Other Services"))</f>
        <v/>
      </c>
    </row>
    <row r="2204" customFormat="false" ht="15" hidden="false" customHeight="false" outlineLevel="0" collapsed="false">
      <c r="F2204" s="41" t="str">
        <f aca="false">IF(D2204="","",IFERROR(IF(ISNUMBER(SEARCH(Assumptions!$C$5,D2204)),Assumptions!$D$5,IF(ISNUMBER(SEARCH(Assumptions!$C$6,D2204)),Assumptions!$D$6,IF(ISNUMBER(SEARCH(Assumptions!$C$7,D2204)),Assumptions!$D$7,"Other Services"))),"Other Services"))</f>
        <v/>
      </c>
    </row>
    <row r="2205" customFormat="false" ht="15" hidden="false" customHeight="false" outlineLevel="0" collapsed="false">
      <c r="F2205" s="41" t="str">
        <f aca="false">IF(D2205="","",IFERROR(IF(ISNUMBER(SEARCH(Assumptions!$C$5,D2205)),Assumptions!$D$5,IF(ISNUMBER(SEARCH(Assumptions!$C$6,D2205)),Assumptions!$D$6,IF(ISNUMBER(SEARCH(Assumptions!$C$7,D2205)),Assumptions!$D$7,"Other Services"))),"Other Services"))</f>
        <v/>
      </c>
    </row>
    <row r="2206" customFormat="false" ht="15" hidden="false" customHeight="false" outlineLevel="0" collapsed="false">
      <c r="F2206" s="41" t="str">
        <f aca="false">IF(D2206="","",IFERROR(IF(ISNUMBER(SEARCH(Assumptions!$C$5,D2206)),Assumptions!$D$5,IF(ISNUMBER(SEARCH(Assumptions!$C$6,D2206)),Assumptions!$D$6,IF(ISNUMBER(SEARCH(Assumptions!$C$7,D2206)),Assumptions!$D$7,"Other Services"))),"Other Services"))</f>
        <v/>
      </c>
    </row>
    <row r="2207" customFormat="false" ht="15" hidden="false" customHeight="false" outlineLevel="0" collapsed="false">
      <c r="F2207" s="41" t="str">
        <f aca="false">IF(D2207="","",IFERROR(IF(ISNUMBER(SEARCH(Assumptions!$C$5,D2207)),Assumptions!$D$5,IF(ISNUMBER(SEARCH(Assumptions!$C$6,D2207)),Assumptions!$D$6,IF(ISNUMBER(SEARCH(Assumptions!$C$7,D2207)),Assumptions!$D$7,"Other Services"))),"Other Services"))</f>
        <v/>
      </c>
    </row>
    <row r="2208" customFormat="false" ht="15" hidden="false" customHeight="false" outlineLevel="0" collapsed="false">
      <c r="F2208" s="41" t="str">
        <f aca="false">IF(D2208="","",IFERROR(IF(ISNUMBER(SEARCH(Assumptions!$C$5,D2208)),Assumptions!$D$5,IF(ISNUMBER(SEARCH(Assumptions!$C$6,D2208)),Assumptions!$D$6,IF(ISNUMBER(SEARCH(Assumptions!$C$7,D2208)),Assumptions!$D$7,"Other Services"))),"Other Services"))</f>
        <v/>
      </c>
    </row>
    <row r="2209" customFormat="false" ht="15" hidden="false" customHeight="false" outlineLevel="0" collapsed="false">
      <c r="F2209" s="41" t="str">
        <f aca="false">IF(D2209="","",IFERROR(IF(ISNUMBER(SEARCH(Assumptions!$C$5,D2209)),Assumptions!$D$5,IF(ISNUMBER(SEARCH(Assumptions!$C$6,D2209)),Assumptions!$D$6,IF(ISNUMBER(SEARCH(Assumptions!$C$7,D2209)),Assumptions!$D$7,"Other Services"))),"Other Services"))</f>
        <v/>
      </c>
    </row>
    <row r="2210" customFormat="false" ht="15" hidden="false" customHeight="false" outlineLevel="0" collapsed="false">
      <c r="F2210" s="41" t="str">
        <f aca="false">IF(D2210="","",IFERROR(IF(ISNUMBER(SEARCH(Assumptions!$C$5,D2210)),Assumptions!$D$5,IF(ISNUMBER(SEARCH(Assumptions!$C$6,D2210)),Assumptions!$D$6,IF(ISNUMBER(SEARCH(Assumptions!$C$7,D2210)),Assumptions!$D$7,"Other Services"))),"Other Services"))</f>
        <v/>
      </c>
    </row>
    <row r="2211" customFormat="false" ht="15" hidden="false" customHeight="false" outlineLevel="0" collapsed="false">
      <c r="F2211" s="41" t="str">
        <f aca="false">IF(D2211="","",IFERROR(IF(ISNUMBER(SEARCH(Assumptions!$C$5,D2211)),Assumptions!$D$5,IF(ISNUMBER(SEARCH(Assumptions!$C$6,D2211)),Assumptions!$D$6,IF(ISNUMBER(SEARCH(Assumptions!$C$7,D2211)),Assumptions!$D$7,"Other Services"))),"Other Services"))</f>
        <v/>
      </c>
    </row>
    <row r="2212" customFormat="false" ht="15" hidden="false" customHeight="false" outlineLevel="0" collapsed="false">
      <c r="F2212" s="41" t="str">
        <f aca="false">IF(D2212="","",IFERROR(IF(ISNUMBER(SEARCH(Assumptions!$C$5,D2212)),Assumptions!$D$5,IF(ISNUMBER(SEARCH(Assumptions!$C$6,D2212)),Assumptions!$D$6,IF(ISNUMBER(SEARCH(Assumptions!$C$7,D2212)),Assumptions!$D$7,"Other Services"))),"Other Services"))</f>
        <v/>
      </c>
    </row>
    <row r="2213" customFormat="false" ht="15" hidden="false" customHeight="false" outlineLevel="0" collapsed="false">
      <c r="F2213" s="41" t="str">
        <f aca="false">IF(D2213="","",IFERROR(IF(ISNUMBER(SEARCH(Assumptions!$C$5,D2213)),Assumptions!$D$5,IF(ISNUMBER(SEARCH(Assumptions!$C$6,D2213)),Assumptions!$D$6,IF(ISNUMBER(SEARCH(Assumptions!$C$7,D2213)),Assumptions!$D$7,"Other Services"))),"Other Services"))</f>
        <v/>
      </c>
    </row>
    <row r="2214" customFormat="false" ht="15" hidden="false" customHeight="false" outlineLevel="0" collapsed="false">
      <c r="F2214" s="41" t="str">
        <f aca="false">IF(D2214="","",IFERROR(IF(ISNUMBER(SEARCH(Assumptions!$C$5,D2214)),Assumptions!$D$5,IF(ISNUMBER(SEARCH(Assumptions!$C$6,D2214)),Assumptions!$D$6,IF(ISNUMBER(SEARCH(Assumptions!$C$7,D2214)),Assumptions!$D$7,"Other Services"))),"Other Services"))</f>
        <v/>
      </c>
    </row>
    <row r="2215" customFormat="false" ht="15" hidden="false" customHeight="false" outlineLevel="0" collapsed="false">
      <c r="F2215" s="41" t="str">
        <f aca="false">IF(D2215="","",IFERROR(IF(ISNUMBER(SEARCH(Assumptions!$C$5,D2215)),Assumptions!$D$5,IF(ISNUMBER(SEARCH(Assumptions!$C$6,D2215)),Assumptions!$D$6,IF(ISNUMBER(SEARCH(Assumptions!$C$7,D2215)),Assumptions!$D$7,"Other Services"))),"Other Services"))</f>
        <v/>
      </c>
    </row>
    <row r="2216" customFormat="false" ht="15" hidden="false" customHeight="false" outlineLevel="0" collapsed="false">
      <c r="F2216" s="41" t="str">
        <f aca="false">IF(D2216="","",IFERROR(IF(ISNUMBER(SEARCH(Assumptions!$C$5,D2216)),Assumptions!$D$5,IF(ISNUMBER(SEARCH(Assumptions!$C$6,D2216)),Assumptions!$D$6,IF(ISNUMBER(SEARCH(Assumptions!$C$7,D2216)),Assumptions!$D$7,"Other Services"))),"Other Services"))</f>
        <v/>
      </c>
    </row>
    <row r="2217" customFormat="false" ht="15" hidden="false" customHeight="false" outlineLevel="0" collapsed="false">
      <c r="F2217" s="41" t="str">
        <f aca="false">IF(D2217="","",IFERROR(IF(ISNUMBER(SEARCH(Assumptions!$C$5,D2217)),Assumptions!$D$5,IF(ISNUMBER(SEARCH(Assumptions!$C$6,D2217)),Assumptions!$D$6,IF(ISNUMBER(SEARCH(Assumptions!$C$7,D2217)),Assumptions!$D$7,"Other Services"))),"Other Services"))</f>
        <v/>
      </c>
    </row>
    <row r="2218" customFormat="false" ht="15" hidden="false" customHeight="false" outlineLevel="0" collapsed="false">
      <c r="F2218" s="41" t="str">
        <f aca="false">IF(D2218="","",IFERROR(IF(ISNUMBER(SEARCH(Assumptions!$C$5,D2218)),Assumptions!$D$5,IF(ISNUMBER(SEARCH(Assumptions!$C$6,D2218)),Assumptions!$D$6,IF(ISNUMBER(SEARCH(Assumptions!$C$7,D2218)),Assumptions!$D$7,"Other Services"))),"Other Services"))</f>
        <v/>
      </c>
    </row>
    <row r="2219" customFormat="false" ht="15" hidden="false" customHeight="false" outlineLevel="0" collapsed="false">
      <c r="F2219" s="41" t="str">
        <f aca="false">IF(D2219="","",IFERROR(IF(ISNUMBER(SEARCH(Assumptions!$C$5,D2219)),Assumptions!$D$5,IF(ISNUMBER(SEARCH(Assumptions!$C$6,D2219)),Assumptions!$D$6,IF(ISNUMBER(SEARCH(Assumptions!$C$7,D2219)),Assumptions!$D$7,"Other Services"))),"Other Services"))</f>
        <v/>
      </c>
    </row>
    <row r="2220" customFormat="false" ht="15" hidden="false" customHeight="false" outlineLevel="0" collapsed="false">
      <c r="F2220" s="41" t="str">
        <f aca="false">IF(D2220="","",IFERROR(IF(ISNUMBER(SEARCH(Assumptions!$C$5,D2220)),Assumptions!$D$5,IF(ISNUMBER(SEARCH(Assumptions!$C$6,D2220)),Assumptions!$D$6,IF(ISNUMBER(SEARCH(Assumptions!$C$7,D2220)),Assumptions!$D$7,"Other Services"))),"Other Services"))</f>
        <v/>
      </c>
    </row>
    <row r="2221" customFormat="false" ht="15" hidden="false" customHeight="false" outlineLevel="0" collapsed="false">
      <c r="F2221" s="41" t="str">
        <f aca="false">IF(D2221="","",IFERROR(IF(ISNUMBER(SEARCH(Assumptions!$C$5,D2221)),Assumptions!$D$5,IF(ISNUMBER(SEARCH(Assumptions!$C$6,D2221)),Assumptions!$D$6,IF(ISNUMBER(SEARCH(Assumptions!$C$7,D2221)),Assumptions!$D$7,"Other Services"))),"Other Services"))</f>
        <v/>
      </c>
    </row>
    <row r="2222" customFormat="false" ht="15" hidden="false" customHeight="false" outlineLevel="0" collapsed="false">
      <c r="F2222" s="41" t="str">
        <f aca="false">IF(D2222="","",IFERROR(IF(ISNUMBER(SEARCH(Assumptions!$C$5,D2222)),Assumptions!$D$5,IF(ISNUMBER(SEARCH(Assumptions!$C$6,D2222)),Assumptions!$D$6,IF(ISNUMBER(SEARCH(Assumptions!$C$7,D2222)),Assumptions!$D$7,"Other Services"))),"Other Services"))</f>
        <v/>
      </c>
    </row>
    <row r="2223" customFormat="false" ht="15" hidden="false" customHeight="false" outlineLevel="0" collapsed="false">
      <c r="F2223" s="41" t="str">
        <f aca="false">IF(D2223="","",IFERROR(IF(ISNUMBER(SEARCH(Assumptions!$C$5,D2223)),Assumptions!$D$5,IF(ISNUMBER(SEARCH(Assumptions!$C$6,D2223)),Assumptions!$D$6,IF(ISNUMBER(SEARCH(Assumptions!$C$7,D2223)),Assumptions!$D$7,"Other Services"))),"Other Services"))</f>
        <v/>
      </c>
    </row>
    <row r="2224" customFormat="false" ht="15" hidden="false" customHeight="false" outlineLevel="0" collapsed="false">
      <c r="F2224" s="41" t="str">
        <f aca="false">IF(D2224="","",IFERROR(IF(ISNUMBER(SEARCH(Assumptions!$C$5,D2224)),Assumptions!$D$5,IF(ISNUMBER(SEARCH(Assumptions!$C$6,D2224)),Assumptions!$D$6,IF(ISNUMBER(SEARCH(Assumptions!$C$7,D2224)),Assumptions!$D$7,"Other Services"))),"Other Services"))</f>
        <v/>
      </c>
    </row>
    <row r="2225" customFormat="false" ht="15" hidden="false" customHeight="false" outlineLevel="0" collapsed="false">
      <c r="F2225" s="41" t="str">
        <f aca="false">IF(D2225="","",IFERROR(IF(ISNUMBER(SEARCH(Assumptions!$C$5,D2225)),Assumptions!$D$5,IF(ISNUMBER(SEARCH(Assumptions!$C$6,D2225)),Assumptions!$D$6,IF(ISNUMBER(SEARCH(Assumptions!$C$7,D2225)),Assumptions!$D$7,"Other Services"))),"Other Services"))</f>
        <v/>
      </c>
    </row>
    <row r="2226" customFormat="false" ht="15" hidden="false" customHeight="false" outlineLevel="0" collapsed="false">
      <c r="F2226" s="41" t="str">
        <f aca="false">IF(D2226="","",IFERROR(IF(ISNUMBER(SEARCH(Assumptions!$C$5,D2226)),Assumptions!$D$5,IF(ISNUMBER(SEARCH(Assumptions!$C$6,D2226)),Assumptions!$D$6,IF(ISNUMBER(SEARCH(Assumptions!$C$7,D2226)),Assumptions!$D$7,"Other Services"))),"Other Services"))</f>
        <v/>
      </c>
    </row>
    <row r="2227" customFormat="false" ht="15" hidden="false" customHeight="false" outlineLevel="0" collapsed="false">
      <c r="F2227" s="41" t="str">
        <f aca="false">IF(D2227="","",IFERROR(IF(ISNUMBER(SEARCH(Assumptions!$C$5,D2227)),Assumptions!$D$5,IF(ISNUMBER(SEARCH(Assumptions!$C$6,D2227)),Assumptions!$D$6,IF(ISNUMBER(SEARCH(Assumptions!$C$7,D2227)),Assumptions!$D$7,"Other Services"))),"Other Services"))</f>
        <v/>
      </c>
    </row>
    <row r="2228" customFormat="false" ht="15" hidden="false" customHeight="false" outlineLevel="0" collapsed="false">
      <c r="F2228" s="41" t="str">
        <f aca="false">IF(D2228="","",IFERROR(IF(ISNUMBER(SEARCH(Assumptions!$C$5,D2228)),Assumptions!$D$5,IF(ISNUMBER(SEARCH(Assumptions!$C$6,D2228)),Assumptions!$D$6,IF(ISNUMBER(SEARCH(Assumptions!$C$7,D2228)),Assumptions!$D$7,"Other Services"))),"Other Services"))</f>
        <v/>
      </c>
    </row>
    <row r="2229" customFormat="false" ht="15" hidden="false" customHeight="false" outlineLevel="0" collapsed="false">
      <c r="F2229" s="41" t="str">
        <f aca="false">IF(D2229="","",IFERROR(IF(ISNUMBER(SEARCH(Assumptions!$C$5,D2229)),Assumptions!$D$5,IF(ISNUMBER(SEARCH(Assumptions!$C$6,D2229)),Assumptions!$D$6,IF(ISNUMBER(SEARCH(Assumptions!$C$7,D2229)),Assumptions!$D$7,"Other Services"))),"Other Services"))</f>
        <v/>
      </c>
    </row>
    <row r="2230" customFormat="false" ht="15" hidden="false" customHeight="false" outlineLevel="0" collapsed="false">
      <c r="F2230" s="41" t="str">
        <f aca="false">IF(D2230="","",IFERROR(IF(ISNUMBER(SEARCH(Assumptions!$C$5,D2230)),Assumptions!$D$5,IF(ISNUMBER(SEARCH(Assumptions!$C$6,D2230)),Assumptions!$D$6,IF(ISNUMBER(SEARCH(Assumptions!$C$7,D2230)),Assumptions!$D$7,"Other Services"))),"Other Services"))</f>
        <v/>
      </c>
    </row>
    <row r="2231" customFormat="false" ht="15" hidden="false" customHeight="false" outlineLevel="0" collapsed="false">
      <c r="F2231" s="41" t="str">
        <f aca="false">IF(D2231="","",IFERROR(IF(ISNUMBER(SEARCH(Assumptions!$C$5,D2231)),Assumptions!$D$5,IF(ISNUMBER(SEARCH(Assumptions!$C$6,D2231)),Assumptions!$D$6,IF(ISNUMBER(SEARCH(Assumptions!$C$7,D2231)),Assumptions!$D$7,"Other Services"))),"Other Services"))</f>
        <v/>
      </c>
    </row>
    <row r="2232" customFormat="false" ht="15" hidden="false" customHeight="false" outlineLevel="0" collapsed="false">
      <c r="F2232" s="41" t="str">
        <f aca="false">IF(D2232="","",IFERROR(IF(ISNUMBER(SEARCH(Assumptions!$C$5,D2232)),Assumptions!$D$5,IF(ISNUMBER(SEARCH(Assumptions!$C$6,D2232)),Assumptions!$D$6,IF(ISNUMBER(SEARCH(Assumptions!$C$7,D2232)),Assumptions!$D$7,"Other Services"))),"Other Services"))</f>
        <v/>
      </c>
    </row>
    <row r="2233" customFormat="false" ht="15" hidden="false" customHeight="false" outlineLevel="0" collapsed="false">
      <c r="F2233" s="41" t="str">
        <f aca="false">IF(D2233="","",IFERROR(IF(ISNUMBER(SEARCH(Assumptions!$C$5,D2233)),Assumptions!$D$5,IF(ISNUMBER(SEARCH(Assumptions!$C$6,D2233)),Assumptions!$D$6,IF(ISNUMBER(SEARCH(Assumptions!$C$7,D2233)),Assumptions!$D$7,"Other Services"))),"Other Services"))</f>
        <v/>
      </c>
    </row>
    <row r="2234" customFormat="false" ht="15" hidden="false" customHeight="false" outlineLevel="0" collapsed="false">
      <c r="F2234" s="41" t="str">
        <f aca="false">IF(D2234="","",IFERROR(IF(ISNUMBER(SEARCH(Assumptions!$C$5,D2234)),Assumptions!$D$5,IF(ISNUMBER(SEARCH(Assumptions!$C$6,D2234)),Assumptions!$D$6,IF(ISNUMBER(SEARCH(Assumptions!$C$7,D2234)),Assumptions!$D$7,"Other Services"))),"Other Services"))</f>
        <v/>
      </c>
    </row>
    <row r="2235" customFormat="false" ht="15" hidden="false" customHeight="false" outlineLevel="0" collapsed="false">
      <c r="F2235" s="41" t="str">
        <f aca="false">IF(D2235="","",IFERROR(IF(ISNUMBER(SEARCH(Assumptions!$C$5,D2235)),Assumptions!$D$5,IF(ISNUMBER(SEARCH(Assumptions!$C$6,D2235)),Assumptions!$D$6,IF(ISNUMBER(SEARCH(Assumptions!$C$7,D2235)),Assumptions!$D$7,"Other Services"))),"Other Services"))</f>
        <v/>
      </c>
    </row>
    <row r="2236" customFormat="false" ht="15" hidden="false" customHeight="false" outlineLevel="0" collapsed="false">
      <c r="F2236" s="41" t="str">
        <f aca="false">IF(D2236="","",IFERROR(IF(ISNUMBER(SEARCH(Assumptions!$C$5,D2236)),Assumptions!$D$5,IF(ISNUMBER(SEARCH(Assumptions!$C$6,D2236)),Assumptions!$D$6,IF(ISNUMBER(SEARCH(Assumptions!$C$7,D2236)),Assumptions!$D$7,"Other Services"))),"Other Services"))</f>
        <v/>
      </c>
    </row>
    <row r="2237" customFormat="false" ht="15" hidden="false" customHeight="false" outlineLevel="0" collapsed="false">
      <c r="F2237" s="41" t="str">
        <f aca="false">IF(D2237="","",IFERROR(IF(ISNUMBER(SEARCH(Assumptions!$C$5,D2237)),Assumptions!$D$5,IF(ISNUMBER(SEARCH(Assumptions!$C$6,D2237)),Assumptions!$D$6,IF(ISNUMBER(SEARCH(Assumptions!$C$7,D2237)),Assumptions!$D$7,"Other Services"))),"Other Services"))</f>
        <v/>
      </c>
    </row>
    <row r="2238" customFormat="false" ht="15" hidden="false" customHeight="false" outlineLevel="0" collapsed="false">
      <c r="F2238" s="41" t="str">
        <f aca="false">IF(D2238="","",IFERROR(IF(ISNUMBER(SEARCH(Assumptions!$C$5,D2238)),Assumptions!$D$5,IF(ISNUMBER(SEARCH(Assumptions!$C$6,D2238)),Assumptions!$D$6,IF(ISNUMBER(SEARCH(Assumptions!$C$7,D2238)),Assumptions!$D$7,"Other Services"))),"Other Services"))</f>
        <v/>
      </c>
    </row>
    <row r="2239" customFormat="false" ht="15" hidden="false" customHeight="false" outlineLevel="0" collapsed="false">
      <c r="F2239" s="41" t="str">
        <f aca="false">IF(D2239="","",IFERROR(IF(ISNUMBER(SEARCH(Assumptions!$C$5,D2239)),Assumptions!$D$5,IF(ISNUMBER(SEARCH(Assumptions!$C$6,D2239)),Assumptions!$D$6,IF(ISNUMBER(SEARCH(Assumptions!$C$7,D2239)),Assumptions!$D$7,"Other Services"))),"Other Services"))</f>
        <v/>
      </c>
    </row>
    <row r="2240" customFormat="false" ht="15" hidden="false" customHeight="false" outlineLevel="0" collapsed="false">
      <c r="F2240" s="41" t="str">
        <f aca="false">IF(D2240="","",IFERROR(IF(ISNUMBER(SEARCH(Assumptions!$C$5,D2240)),Assumptions!$D$5,IF(ISNUMBER(SEARCH(Assumptions!$C$6,D2240)),Assumptions!$D$6,IF(ISNUMBER(SEARCH(Assumptions!$C$7,D2240)),Assumptions!$D$7,"Other Services"))),"Other Services"))</f>
        <v/>
      </c>
    </row>
    <row r="2241" customFormat="false" ht="15" hidden="false" customHeight="false" outlineLevel="0" collapsed="false">
      <c r="F2241" s="41" t="str">
        <f aca="false">IF(D2241="","",IFERROR(IF(ISNUMBER(SEARCH(Assumptions!$C$5,D2241)),Assumptions!$D$5,IF(ISNUMBER(SEARCH(Assumptions!$C$6,D2241)),Assumptions!$D$6,IF(ISNUMBER(SEARCH(Assumptions!$C$7,D2241)),Assumptions!$D$7,"Other Services"))),"Other Services"))</f>
        <v/>
      </c>
    </row>
    <row r="2242" customFormat="false" ht="15" hidden="false" customHeight="false" outlineLevel="0" collapsed="false">
      <c r="F2242" s="41" t="str">
        <f aca="false">IF(D2242="","",IFERROR(IF(ISNUMBER(SEARCH(Assumptions!$C$5,D2242)),Assumptions!$D$5,IF(ISNUMBER(SEARCH(Assumptions!$C$6,D2242)),Assumptions!$D$6,IF(ISNUMBER(SEARCH(Assumptions!$C$7,D2242)),Assumptions!$D$7,"Other Services"))),"Other Services"))</f>
        <v/>
      </c>
    </row>
    <row r="2243" customFormat="false" ht="15" hidden="false" customHeight="false" outlineLevel="0" collapsed="false">
      <c r="F2243" s="41" t="str">
        <f aca="false">IF(D2243="","",IFERROR(IF(ISNUMBER(SEARCH(Assumptions!$C$5,D2243)),Assumptions!$D$5,IF(ISNUMBER(SEARCH(Assumptions!$C$6,D2243)),Assumptions!$D$6,IF(ISNUMBER(SEARCH(Assumptions!$C$7,D2243)),Assumptions!$D$7,"Other Services"))),"Other Services"))</f>
        <v/>
      </c>
    </row>
    <row r="2244" customFormat="false" ht="15" hidden="false" customHeight="false" outlineLevel="0" collapsed="false">
      <c r="F2244" s="41" t="str">
        <f aca="false">IF(D2244="","",IFERROR(IF(ISNUMBER(SEARCH(Assumptions!$C$5,D2244)),Assumptions!$D$5,IF(ISNUMBER(SEARCH(Assumptions!$C$6,D2244)),Assumptions!$D$6,IF(ISNUMBER(SEARCH(Assumptions!$C$7,D2244)),Assumptions!$D$7,"Other Services"))),"Other Services"))</f>
        <v/>
      </c>
    </row>
    <row r="2245" customFormat="false" ht="15" hidden="false" customHeight="false" outlineLevel="0" collapsed="false">
      <c r="F2245" s="41" t="str">
        <f aca="false">IF(D2245="","",IFERROR(IF(ISNUMBER(SEARCH(Assumptions!$C$5,D2245)),Assumptions!$D$5,IF(ISNUMBER(SEARCH(Assumptions!$C$6,D2245)),Assumptions!$D$6,IF(ISNUMBER(SEARCH(Assumptions!$C$7,D2245)),Assumptions!$D$7,"Other Services"))),"Other Services"))</f>
        <v/>
      </c>
    </row>
    <row r="2246" customFormat="false" ht="15" hidden="false" customHeight="false" outlineLevel="0" collapsed="false">
      <c r="F2246" s="41" t="str">
        <f aca="false">IF(D2246="","",IFERROR(IF(ISNUMBER(SEARCH(Assumptions!$C$5,D2246)),Assumptions!$D$5,IF(ISNUMBER(SEARCH(Assumptions!$C$6,D2246)),Assumptions!$D$6,IF(ISNUMBER(SEARCH(Assumptions!$C$7,D2246)),Assumptions!$D$7,"Other Services"))),"Other Services"))</f>
        <v/>
      </c>
    </row>
    <row r="2247" customFormat="false" ht="15" hidden="false" customHeight="false" outlineLevel="0" collapsed="false">
      <c r="F2247" s="41" t="str">
        <f aca="false">IF(D2247="","",IFERROR(IF(ISNUMBER(SEARCH(Assumptions!$C$5,D2247)),Assumptions!$D$5,IF(ISNUMBER(SEARCH(Assumptions!$C$6,D2247)),Assumptions!$D$6,IF(ISNUMBER(SEARCH(Assumptions!$C$7,D2247)),Assumptions!$D$7,"Other Services"))),"Other Services"))</f>
        <v/>
      </c>
    </row>
    <row r="2248" customFormat="false" ht="15" hidden="false" customHeight="false" outlineLevel="0" collapsed="false">
      <c r="F2248" s="41" t="str">
        <f aca="false">IF(D2248="","",IFERROR(IF(ISNUMBER(SEARCH(Assumptions!$C$5,D2248)),Assumptions!$D$5,IF(ISNUMBER(SEARCH(Assumptions!$C$6,D2248)),Assumptions!$D$6,IF(ISNUMBER(SEARCH(Assumptions!$C$7,D2248)),Assumptions!$D$7,"Other Services"))),"Other Services"))</f>
        <v/>
      </c>
    </row>
    <row r="2249" customFormat="false" ht="15" hidden="false" customHeight="false" outlineLevel="0" collapsed="false">
      <c r="F2249" s="41" t="str">
        <f aca="false">IF(D2249="","",IFERROR(IF(ISNUMBER(SEARCH(Assumptions!$C$5,D2249)),Assumptions!$D$5,IF(ISNUMBER(SEARCH(Assumptions!$C$6,D2249)),Assumptions!$D$6,IF(ISNUMBER(SEARCH(Assumptions!$C$7,D2249)),Assumptions!$D$7,"Other Services"))),"Other Services"))</f>
        <v/>
      </c>
    </row>
    <row r="2250" customFormat="false" ht="15" hidden="false" customHeight="false" outlineLevel="0" collapsed="false">
      <c r="F2250" s="41" t="str">
        <f aca="false">IF(D2250="","",IFERROR(IF(ISNUMBER(SEARCH(Assumptions!$C$5,D2250)),Assumptions!$D$5,IF(ISNUMBER(SEARCH(Assumptions!$C$6,D2250)),Assumptions!$D$6,IF(ISNUMBER(SEARCH(Assumptions!$C$7,D2250)),Assumptions!$D$7,"Other Services"))),"Other Services"))</f>
        <v/>
      </c>
    </row>
    <row r="2251" customFormat="false" ht="15" hidden="false" customHeight="false" outlineLevel="0" collapsed="false">
      <c r="F2251" s="41" t="str">
        <f aca="false">IF(D2251="","",IFERROR(IF(ISNUMBER(SEARCH(Assumptions!$C$5,D2251)),Assumptions!$D$5,IF(ISNUMBER(SEARCH(Assumptions!$C$6,D2251)),Assumptions!$D$6,IF(ISNUMBER(SEARCH(Assumptions!$C$7,D2251)),Assumptions!$D$7,"Other Services"))),"Other Services"))</f>
        <v/>
      </c>
    </row>
    <row r="2252" customFormat="false" ht="15" hidden="false" customHeight="false" outlineLevel="0" collapsed="false">
      <c r="F2252" s="41" t="str">
        <f aca="false">IF(D2252="","",IFERROR(IF(ISNUMBER(SEARCH(Assumptions!$C$5,D2252)),Assumptions!$D$5,IF(ISNUMBER(SEARCH(Assumptions!$C$6,D2252)),Assumptions!$D$6,IF(ISNUMBER(SEARCH(Assumptions!$C$7,D2252)),Assumptions!$D$7,"Other Services"))),"Other Services"))</f>
        <v/>
      </c>
    </row>
    <row r="2253" customFormat="false" ht="15" hidden="false" customHeight="false" outlineLevel="0" collapsed="false">
      <c r="F2253" s="41" t="str">
        <f aca="false">IF(D2253="","",IFERROR(IF(ISNUMBER(SEARCH(Assumptions!$C$5,D2253)),Assumptions!$D$5,IF(ISNUMBER(SEARCH(Assumptions!$C$6,D2253)),Assumptions!$D$6,IF(ISNUMBER(SEARCH(Assumptions!$C$7,D2253)),Assumptions!$D$7,"Other Services"))),"Other Services"))</f>
        <v/>
      </c>
    </row>
    <row r="2254" customFormat="false" ht="15" hidden="false" customHeight="false" outlineLevel="0" collapsed="false">
      <c r="F2254" s="41" t="str">
        <f aca="false">IF(D2254="","",IFERROR(IF(ISNUMBER(SEARCH(Assumptions!$C$5,D2254)),Assumptions!$D$5,IF(ISNUMBER(SEARCH(Assumptions!$C$6,D2254)),Assumptions!$D$6,IF(ISNUMBER(SEARCH(Assumptions!$C$7,D2254)),Assumptions!$D$7,"Other Services"))),"Other Services"))</f>
        <v/>
      </c>
    </row>
    <row r="2255" customFormat="false" ht="15" hidden="false" customHeight="false" outlineLevel="0" collapsed="false">
      <c r="F2255" s="41" t="str">
        <f aca="false">IF(D2255="","",IFERROR(IF(ISNUMBER(SEARCH(Assumptions!$C$5,D2255)),Assumptions!$D$5,IF(ISNUMBER(SEARCH(Assumptions!$C$6,D2255)),Assumptions!$D$6,IF(ISNUMBER(SEARCH(Assumptions!$C$7,D2255)),Assumptions!$D$7,"Other Services"))),"Other Services"))</f>
        <v/>
      </c>
    </row>
    <row r="2256" customFormat="false" ht="15" hidden="false" customHeight="false" outlineLevel="0" collapsed="false">
      <c r="F2256" s="41" t="str">
        <f aca="false">IF(D2256="","",IFERROR(IF(ISNUMBER(SEARCH(Assumptions!$C$5,D2256)),Assumptions!$D$5,IF(ISNUMBER(SEARCH(Assumptions!$C$6,D2256)),Assumptions!$D$6,IF(ISNUMBER(SEARCH(Assumptions!$C$7,D2256)),Assumptions!$D$7,"Other Services"))),"Other Services"))</f>
        <v/>
      </c>
    </row>
    <row r="2257" customFormat="false" ht="15" hidden="false" customHeight="false" outlineLevel="0" collapsed="false">
      <c r="F2257" s="41" t="str">
        <f aca="false">IF(D2257="","",IFERROR(IF(ISNUMBER(SEARCH(Assumptions!$C$5,D2257)),Assumptions!$D$5,IF(ISNUMBER(SEARCH(Assumptions!$C$6,D2257)),Assumptions!$D$6,IF(ISNUMBER(SEARCH(Assumptions!$C$7,D2257)),Assumptions!$D$7,"Other Services"))),"Other Services"))</f>
        <v/>
      </c>
    </row>
    <row r="2258" customFormat="false" ht="15" hidden="false" customHeight="false" outlineLevel="0" collapsed="false">
      <c r="F2258" s="41" t="str">
        <f aca="false">IF(D2258="","",IFERROR(IF(ISNUMBER(SEARCH(Assumptions!$C$5,D2258)),Assumptions!$D$5,IF(ISNUMBER(SEARCH(Assumptions!$C$6,D2258)),Assumptions!$D$6,IF(ISNUMBER(SEARCH(Assumptions!$C$7,D2258)),Assumptions!$D$7,"Other Services"))),"Other Services"))</f>
        <v/>
      </c>
    </row>
    <row r="2259" customFormat="false" ht="15" hidden="false" customHeight="false" outlineLevel="0" collapsed="false">
      <c r="F2259" s="41" t="str">
        <f aca="false">IF(D2259="","",IFERROR(IF(ISNUMBER(SEARCH(Assumptions!$C$5,D2259)),Assumptions!$D$5,IF(ISNUMBER(SEARCH(Assumptions!$C$6,D2259)),Assumptions!$D$6,IF(ISNUMBER(SEARCH(Assumptions!$C$7,D2259)),Assumptions!$D$7,"Other Services"))),"Other Services"))</f>
        <v/>
      </c>
    </row>
    <row r="2260" customFormat="false" ht="15" hidden="false" customHeight="false" outlineLevel="0" collapsed="false">
      <c r="F2260" s="41" t="str">
        <f aca="false">IF(D2260="","",IFERROR(IF(ISNUMBER(SEARCH(Assumptions!$C$5,D2260)),Assumptions!$D$5,IF(ISNUMBER(SEARCH(Assumptions!$C$6,D2260)),Assumptions!$D$6,IF(ISNUMBER(SEARCH(Assumptions!$C$7,D2260)),Assumptions!$D$7,"Other Services"))),"Other Services"))</f>
        <v/>
      </c>
    </row>
    <row r="2261" customFormat="false" ht="15" hidden="false" customHeight="false" outlineLevel="0" collapsed="false">
      <c r="F2261" s="41" t="str">
        <f aca="false">IF(D2261="","",IFERROR(IF(ISNUMBER(SEARCH(Assumptions!$C$5,D2261)),Assumptions!$D$5,IF(ISNUMBER(SEARCH(Assumptions!$C$6,D2261)),Assumptions!$D$6,IF(ISNUMBER(SEARCH(Assumptions!$C$7,D2261)),Assumptions!$D$7,"Other Services"))),"Other Services"))</f>
        <v/>
      </c>
    </row>
    <row r="2262" customFormat="false" ht="15" hidden="false" customHeight="false" outlineLevel="0" collapsed="false">
      <c r="F2262" s="41" t="str">
        <f aca="false">IF(D2262="","",IFERROR(IF(ISNUMBER(SEARCH(Assumptions!$C$5,D2262)),Assumptions!$D$5,IF(ISNUMBER(SEARCH(Assumptions!$C$6,D2262)),Assumptions!$D$6,IF(ISNUMBER(SEARCH(Assumptions!$C$7,D2262)),Assumptions!$D$7,"Other Services"))),"Other Services"))</f>
        <v/>
      </c>
    </row>
    <row r="2263" customFormat="false" ht="15" hidden="false" customHeight="false" outlineLevel="0" collapsed="false">
      <c r="F2263" s="41" t="str">
        <f aca="false">IF(D2263="","",IFERROR(IF(ISNUMBER(SEARCH(Assumptions!$C$5,D2263)),Assumptions!$D$5,IF(ISNUMBER(SEARCH(Assumptions!$C$6,D2263)),Assumptions!$D$6,IF(ISNUMBER(SEARCH(Assumptions!$C$7,D2263)),Assumptions!$D$7,"Other Services"))),"Other Services"))</f>
        <v/>
      </c>
    </row>
    <row r="2264" customFormat="false" ht="15" hidden="false" customHeight="false" outlineLevel="0" collapsed="false">
      <c r="F2264" s="41" t="str">
        <f aca="false">IF(D2264="","",IFERROR(IF(ISNUMBER(SEARCH(Assumptions!$C$5,D2264)),Assumptions!$D$5,IF(ISNUMBER(SEARCH(Assumptions!$C$6,D2264)),Assumptions!$D$6,IF(ISNUMBER(SEARCH(Assumptions!$C$7,D2264)),Assumptions!$D$7,"Other Services"))),"Other Services"))</f>
        <v/>
      </c>
    </row>
    <row r="2265" customFormat="false" ht="15" hidden="false" customHeight="false" outlineLevel="0" collapsed="false">
      <c r="F2265" s="41" t="str">
        <f aca="false">IF(D2265="","",IFERROR(IF(ISNUMBER(SEARCH(Assumptions!$C$5,D2265)),Assumptions!$D$5,IF(ISNUMBER(SEARCH(Assumptions!$C$6,D2265)),Assumptions!$D$6,IF(ISNUMBER(SEARCH(Assumptions!$C$7,D2265)),Assumptions!$D$7,"Other Services"))),"Other Services"))</f>
        <v/>
      </c>
    </row>
    <row r="2266" customFormat="false" ht="15" hidden="false" customHeight="false" outlineLevel="0" collapsed="false">
      <c r="F2266" s="41" t="str">
        <f aca="false">IF(D2266="","",IFERROR(IF(ISNUMBER(SEARCH(Assumptions!$C$5,D2266)),Assumptions!$D$5,IF(ISNUMBER(SEARCH(Assumptions!$C$6,D2266)),Assumptions!$D$6,IF(ISNUMBER(SEARCH(Assumptions!$C$7,D2266)),Assumptions!$D$7,"Other Services"))),"Other Services"))</f>
        <v/>
      </c>
    </row>
    <row r="2267" customFormat="false" ht="15" hidden="false" customHeight="false" outlineLevel="0" collapsed="false">
      <c r="F2267" s="41" t="str">
        <f aca="false">IF(D2267="","",IFERROR(IF(ISNUMBER(SEARCH(Assumptions!$C$5,D2267)),Assumptions!$D$5,IF(ISNUMBER(SEARCH(Assumptions!$C$6,D2267)),Assumptions!$D$6,IF(ISNUMBER(SEARCH(Assumptions!$C$7,D2267)),Assumptions!$D$7,"Other Services"))),"Other Services"))</f>
        <v/>
      </c>
    </row>
    <row r="2268" customFormat="false" ht="15" hidden="false" customHeight="false" outlineLevel="0" collapsed="false">
      <c r="F2268" s="41" t="str">
        <f aca="false">IF(D2268="","",IFERROR(IF(ISNUMBER(SEARCH(Assumptions!$C$5,D2268)),Assumptions!$D$5,IF(ISNUMBER(SEARCH(Assumptions!$C$6,D2268)),Assumptions!$D$6,IF(ISNUMBER(SEARCH(Assumptions!$C$7,D2268)),Assumptions!$D$7,"Other Services"))),"Other Services"))</f>
        <v/>
      </c>
    </row>
    <row r="2269" customFormat="false" ht="15" hidden="false" customHeight="false" outlineLevel="0" collapsed="false">
      <c r="F2269" s="41" t="str">
        <f aca="false">IF(D2269="","",IFERROR(IF(ISNUMBER(SEARCH(Assumptions!$C$5,D2269)),Assumptions!$D$5,IF(ISNUMBER(SEARCH(Assumptions!$C$6,D2269)),Assumptions!$D$6,IF(ISNUMBER(SEARCH(Assumptions!$C$7,D2269)),Assumptions!$D$7,"Other Services"))),"Other Services"))</f>
        <v/>
      </c>
    </row>
    <row r="2270" customFormat="false" ht="15" hidden="false" customHeight="false" outlineLevel="0" collapsed="false">
      <c r="F2270" s="41" t="str">
        <f aca="false">IF(D2270="","",IFERROR(IF(ISNUMBER(SEARCH(Assumptions!$C$5,D2270)),Assumptions!$D$5,IF(ISNUMBER(SEARCH(Assumptions!$C$6,D2270)),Assumptions!$D$6,IF(ISNUMBER(SEARCH(Assumptions!$C$7,D2270)),Assumptions!$D$7,"Other Services"))),"Other Services"))</f>
        <v/>
      </c>
    </row>
    <row r="2271" customFormat="false" ht="15" hidden="false" customHeight="false" outlineLevel="0" collapsed="false">
      <c r="F2271" s="41" t="str">
        <f aca="false">IF(D2271="","",IFERROR(IF(ISNUMBER(SEARCH(Assumptions!$C$5,D2271)),Assumptions!$D$5,IF(ISNUMBER(SEARCH(Assumptions!$C$6,D2271)),Assumptions!$D$6,IF(ISNUMBER(SEARCH(Assumptions!$C$7,D2271)),Assumptions!$D$7,"Other Services"))),"Other Services"))</f>
        <v/>
      </c>
    </row>
    <row r="2272" customFormat="false" ht="15" hidden="false" customHeight="false" outlineLevel="0" collapsed="false">
      <c r="F2272" s="41" t="str">
        <f aca="false">IF(D2272="","",IFERROR(IF(ISNUMBER(SEARCH(Assumptions!$C$5,D2272)),Assumptions!$D$5,IF(ISNUMBER(SEARCH(Assumptions!$C$6,D2272)),Assumptions!$D$6,IF(ISNUMBER(SEARCH(Assumptions!$C$7,D2272)),Assumptions!$D$7,"Other Services"))),"Other Services"))</f>
        <v/>
      </c>
    </row>
    <row r="2273" customFormat="false" ht="15" hidden="false" customHeight="false" outlineLevel="0" collapsed="false">
      <c r="F2273" s="41" t="str">
        <f aca="false">IF(D2273="","",IFERROR(IF(ISNUMBER(SEARCH(Assumptions!$C$5,D2273)),Assumptions!$D$5,IF(ISNUMBER(SEARCH(Assumptions!$C$6,D2273)),Assumptions!$D$6,IF(ISNUMBER(SEARCH(Assumptions!$C$7,D2273)),Assumptions!$D$7,"Other Services"))),"Other Services"))</f>
        <v/>
      </c>
    </row>
    <row r="2274" customFormat="false" ht="15" hidden="false" customHeight="false" outlineLevel="0" collapsed="false">
      <c r="F2274" s="41" t="str">
        <f aca="false">IF(D2274="","",IFERROR(IF(ISNUMBER(SEARCH(Assumptions!$C$5,D2274)),Assumptions!$D$5,IF(ISNUMBER(SEARCH(Assumptions!$C$6,D2274)),Assumptions!$D$6,IF(ISNUMBER(SEARCH(Assumptions!$C$7,D2274)),Assumptions!$D$7,"Other Services"))),"Other Services"))</f>
        <v/>
      </c>
    </row>
    <row r="2275" customFormat="false" ht="15" hidden="false" customHeight="false" outlineLevel="0" collapsed="false">
      <c r="F2275" s="41" t="str">
        <f aca="false">IF(D2275="","",IFERROR(IF(ISNUMBER(SEARCH(Assumptions!$C$5,D2275)),Assumptions!$D$5,IF(ISNUMBER(SEARCH(Assumptions!$C$6,D2275)),Assumptions!$D$6,IF(ISNUMBER(SEARCH(Assumptions!$C$7,D2275)),Assumptions!$D$7,"Other Services"))),"Other Services"))</f>
        <v/>
      </c>
    </row>
    <row r="2276" customFormat="false" ht="15" hidden="false" customHeight="false" outlineLevel="0" collapsed="false">
      <c r="F2276" s="41" t="str">
        <f aca="false">IF(D2276="","",IFERROR(IF(ISNUMBER(SEARCH(Assumptions!$C$5,D2276)),Assumptions!$D$5,IF(ISNUMBER(SEARCH(Assumptions!$C$6,D2276)),Assumptions!$D$6,IF(ISNUMBER(SEARCH(Assumptions!$C$7,D2276)),Assumptions!$D$7,"Other Services"))),"Other Services"))</f>
        <v/>
      </c>
    </row>
    <row r="2277" customFormat="false" ht="15" hidden="false" customHeight="false" outlineLevel="0" collapsed="false">
      <c r="F2277" s="41" t="str">
        <f aca="false">IF(D2277="","",IFERROR(IF(ISNUMBER(SEARCH(Assumptions!$C$5,D2277)),Assumptions!$D$5,IF(ISNUMBER(SEARCH(Assumptions!$C$6,D2277)),Assumptions!$D$6,IF(ISNUMBER(SEARCH(Assumptions!$C$7,D2277)),Assumptions!$D$7,"Other Services"))),"Other Services"))</f>
        <v/>
      </c>
    </row>
    <row r="2278" customFormat="false" ht="15" hidden="false" customHeight="false" outlineLevel="0" collapsed="false">
      <c r="F2278" s="41" t="str">
        <f aca="false">IF(D2278="","",IFERROR(IF(ISNUMBER(SEARCH(Assumptions!$C$5,D2278)),Assumptions!$D$5,IF(ISNUMBER(SEARCH(Assumptions!$C$6,D2278)),Assumptions!$D$6,IF(ISNUMBER(SEARCH(Assumptions!$C$7,D2278)),Assumptions!$D$7,"Other Services"))),"Other Services"))</f>
        <v/>
      </c>
    </row>
    <row r="2279" customFormat="false" ht="15" hidden="false" customHeight="false" outlineLevel="0" collapsed="false">
      <c r="F2279" s="41" t="str">
        <f aca="false">IF(D2279="","",IFERROR(IF(ISNUMBER(SEARCH(Assumptions!$C$5,D2279)),Assumptions!$D$5,IF(ISNUMBER(SEARCH(Assumptions!$C$6,D2279)),Assumptions!$D$6,IF(ISNUMBER(SEARCH(Assumptions!$C$7,D2279)),Assumptions!$D$7,"Other Services"))),"Other Services"))</f>
        <v/>
      </c>
    </row>
    <row r="2280" customFormat="false" ht="15" hidden="false" customHeight="false" outlineLevel="0" collapsed="false">
      <c r="F2280" s="41" t="str">
        <f aca="false">IF(D2280="","",IFERROR(IF(ISNUMBER(SEARCH(Assumptions!$C$5,D2280)),Assumptions!$D$5,IF(ISNUMBER(SEARCH(Assumptions!$C$6,D2280)),Assumptions!$D$6,IF(ISNUMBER(SEARCH(Assumptions!$C$7,D2280)),Assumptions!$D$7,"Other Services"))),"Other Services"))</f>
        <v/>
      </c>
    </row>
    <row r="2281" customFormat="false" ht="15" hidden="false" customHeight="false" outlineLevel="0" collapsed="false">
      <c r="F2281" s="41" t="str">
        <f aca="false">IF(D2281="","",IFERROR(IF(ISNUMBER(SEARCH(Assumptions!$C$5,D2281)),Assumptions!$D$5,IF(ISNUMBER(SEARCH(Assumptions!$C$6,D2281)),Assumptions!$D$6,IF(ISNUMBER(SEARCH(Assumptions!$C$7,D2281)),Assumptions!$D$7,"Other Services"))),"Other Services"))</f>
        <v/>
      </c>
    </row>
    <row r="2282" customFormat="false" ht="15" hidden="false" customHeight="false" outlineLevel="0" collapsed="false">
      <c r="F2282" s="41" t="str">
        <f aca="false">IF(D2282="","",IFERROR(IF(ISNUMBER(SEARCH(Assumptions!$C$5,D2282)),Assumptions!$D$5,IF(ISNUMBER(SEARCH(Assumptions!$C$6,D2282)),Assumptions!$D$6,IF(ISNUMBER(SEARCH(Assumptions!$C$7,D2282)),Assumptions!$D$7,"Other Services"))),"Other Services"))</f>
        <v/>
      </c>
    </row>
    <row r="2283" customFormat="false" ht="15" hidden="false" customHeight="false" outlineLevel="0" collapsed="false">
      <c r="F2283" s="41" t="str">
        <f aca="false">IF(D2283="","",IFERROR(IF(ISNUMBER(SEARCH(Assumptions!$C$5,D2283)),Assumptions!$D$5,IF(ISNUMBER(SEARCH(Assumptions!$C$6,D2283)),Assumptions!$D$6,IF(ISNUMBER(SEARCH(Assumptions!$C$7,D2283)),Assumptions!$D$7,"Other Services"))),"Other Services"))</f>
        <v/>
      </c>
    </row>
    <row r="2284" customFormat="false" ht="15" hidden="false" customHeight="false" outlineLevel="0" collapsed="false">
      <c r="F2284" s="41" t="str">
        <f aca="false">IF(D2284="","",IFERROR(IF(ISNUMBER(SEARCH(Assumptions!$C$5,D2284)),Assumptions!$D$5,IF(ISNUMBER(SEARCH(Assumptions!$C$6,D2284)),Assumptions!$D$6,IF(ISNUMBER(SEARCH(Assumptions!$C$7,D2284)),Assumptions!$D$7,"Other Services"))),"Other Services"))</f>
        <v/>
      </c>
    </row>
    <row r="2285" customFormat="false" ht="15" hidden="false" customHeight="false" outlineLevel="0" collapsed="false">
      <c r="F2285" s="41" t="str">
        <f aca="false">IF(D2285="","",IFERROR(IF(ISNUMBER(SEARCH(Assumptions!$C$5,D2285)),Assumptions!$D$5,IF(ISNUMBER(SEARCH(Assumptions!$C$6,D2285)),Assumptions!$D$6,IF(ISNUMBER(SEARCH(Assumptions!$C$7,D2285)),Assumptions!$D$7,"Other Services"))),"Other Services"))</f>
        <v/>
      </c>
    </row>
    <row r="2286" customFormat="false" ht="15" hidden="false" customHeight="false" outlineLevel="0" collapsed="false">
      <c r="F2286" s="41" t="str">
        <f aca="false">IF(D2286="","",IFERROR(IF(ISNUMBER(SEARCH(Assumptions!$C$5,D2286)),Assumptions!$D$5,IF(ISNUMBER(SEARCH(Assumptions!$C$6,D2286)),Assumptions!$D$6,IF(ISNUMBER(SEARCH(Assumptions!$C$7,D2286)),Assumptions!$D$7,"Other Services"))),"Other Services"))</f>
        <v/>
      </c>
    </row>
    <row r="2287" customFormat="false" ht="15" hidden="false" customHeight="false" outlineLevel="0" collapsed="false">
      <c r="F2287" s="41" t="str">
        <f aca="false">IF(D2287="","",IFERROR(IF(ISNUMBER(SEARCH(Assumptions!$C$5,D2287)),Assumptions!$D$5,IF(ISNUMBER(SEARCH(Assumptions!$C$6,D2287)),Assumptions!$D$6,IF(ISNUMBER(SEARCH(Assumptions!$C$7,D2287)),Assumptions!$D$7,"Other Services"))),"Other Services"))</f>
        <v/>
      </c>
    </row>
    <row r="2288" customFormat="false" ht="15" hidden="false" customHeight="false" outlineLevel="0" collapsed="false">
      <c r="F2288" s="41" t="str">
        <f aca="false">IF(D2288="","",IFERROR(IF(ISNUMBER(SEARCH(Assumptions!$C$5,D2288)),Assumptions!$D$5,IF(ISNUMBER(SEARCH(Assumptions!$C$6,D2288)),Assumptions!$D$6,IF(ISNUMBER(SEARCH(Assumptions!$C$7,D2288)),Assumptions!$D$7,"Other Services"))),"Other Services"))</f>
        <v/>
      </c>
    </row>
    <row r="2289" customFormat="false" ht="15" hidden="false" customHeight="false" outlineLevel="0" collapsed="false">
      <c r="F2289" s="41" t="str">
        <f aca="false">IF(D2289="","",IFERROR(IF(ISNUMBER(SEARCH(Assumptions!$C$5,D2289)),Assumptions!$D$5,IF(ISNUMBER(SEARCH(Assumptions!$C$6,D2289)),Assumptions!$D$6,IF(ISNUMBER(SEARCH(Assumptions!$C$7,D2289)),Assumptions!$D$7,"Other Services"))),"Other Services"))</f>
        <v/>
      </c>
    </row>
    <row r="2290" customFormat="false" ht="15" hidden="false" customHeight="false" outlineLevel="0" collapsed="false">
      <c r="F2290" s="41" t="str">
        <f aca="false">IF(D2290="","",IFERROR(IF(ISNUMBER(SEARCH(Assumptions!$C$5,D2290)),Assumptions!$D$5,IF(ISNUMBER(SEARCH(Assumptions!$C$6,D2290)),Assumptions!$D$6,IF(ISNUMBER(SEARCH(Assumptions!$C$7,D2290)),Assumptions!$D$7,"Other Services"))),"Other Services"))</f>
        <v/>
      </c>
    </row>
    <row r="2291" customFormat="false" ht="15" hidden="false" customHeight="false" outlineLevel="0" collapsed="false">
      <c r="F2291" s="41" t="str">
        <f aca="false">IF(D2291="","",IFERROR(IF(ISNUMBER(SEARCH(Assumptions!$C$5,D2291)),Assumptions!$D$5,IF(ISNUMBER(SEARCH(Assumptions!$C$6,D2291)),Assumptions!$D$6,IF(ISNUMBER(SEARCH(Assumptions!$C$7,D2291)),Assumptions!$D$7,"Other Services"))),"Other Services"))</f>
        <v/>
      </c>
    </row>
    <row r="2292" customFormat="false" ht="15" hidden="false" customHeight="false" outlineLevel="0" collapsed="false">
      <c r="F2292" s="41" t="str">
        <f aca="false">IF(D2292="","",IFERROR(IF(ISNUMBER(SEARCH(Assumptions!$C$5,D2292)),Assumptions!$D$5,IF(ISNUMBER(SEARCH(Assumptions!$C$6,D2292)),Assumptions!$D$6,IF(ISNUMBER(SEARCH(Assumptions!$C$7,D2292)),Assumptions!$D$7,"Other Services"))),"Other Services"))</f>
        <v/>
      </c>
    </row>
    <row r="2293" customFormat="false" ht="15" hidden="false" customHeight="false" outlineLevel="0" collapsed="false">
      <c r="F2293" s="41" t="str">
        <f aca="false">IF(D2293="","",IFERROR(IF(ISNUMBER(SEARCH(Assumptions!$C$5,D2293)),Assumptions!$D$5,IF(ISNUMBER(SEARCH(Assumptions!$C$6,D2293)),Assumptions!$D$6,IF(ISNUMBER(SEARCH(Assumptions!$C$7,D2293)),Assumptions!$D$7,"Other Services"))),"Other Services"))</f>
        <v/>
      </c>
    </row>
    <row r="2294" customFormat="false" ht="15" hidden="false" customHeight="false" outlineLevel="0" collapsed="false">
      <c r="F2294" s="41" t="str">
        <f aca="false">IF(D2294="","",IFERROR(IF(ISNUMBER(SEARCH(Assumptions!$C$5,D2294)),Assumptions!$D$5,IF(ISNUMBER(SEARCH(Assumptions!$C$6,D2294)),Assumptions!$D$6,IF(ISNUMBER(SEARCH(Assumptions!$C$7,D2294)),Assumptions!$D$7,"Other Services"))),"Other Services"))</f>
        <v/>
      </c>
    </row>
    <row r="2295" customFormat="false" ht="15" hidden="false" customHeight="false" outlineLevel="0" collapsed="false">
      <c r="F2295" s="41" t="str">
        <f aca="false">IF(D2295="","",IFERROR(IF(ISNUMBER(SEARCH(Assumptions!$C$5,D2295)),Assumptions!$D$5,IF(ISNUMBER(SEARCH(Assumptions!$C$6,D2295)),Assumptions!$D$6,IF(ISNUMBER(SEARCH(Assumptions!$C$7,D2295)),Assumptions!$D$7,"Other Services"))),"Other Services"))</f>
        <v/>
      </c>
    </row>
    <row r="2296" customFormat="false" ht="15" hidden="false" customHeight="false" outlineLevel="0" collapsed="false">
      <c r="F2296" s="41" t="str">
        <f aca="false">IF(D2296="","",IFERROR(IF(ISNUMBER(SEARCH(Assumptions!$C$5,D2296)),Assumptions!$D$5,IF(ISNUMBER(SEARCH(Assumptions!$C$6,D2296)),Assumptions!$D$6,IF(ISNUMBER(SEARCH(Assumptions!$C$7,D2296)),Assumptions!$D$7,"Other Services"))),"Other Services"))</f>
        <v/>
      </c>
    </row>
    <row r="2297" customFormat="false" ht="15" hidden="false" customHeight="false" outlineLevel="0" collapsed="false">
      <c r="F2297" s="41" t="str">
        <f aca="false">IF(D2297="","",IFERROR(IF(ISNUMBER(SEARCH(Assumptions!$C$5,D2297)),Assumptions!$D$5,IF(ISNUMBER(SEARCH(Assumptions!$C$6,D2297)),Assumptions!$D$6,IF(ISNUMBER(SEARCH(Assumptions!$C$7,D2297)),Assumptions!$D$7,"Other Services"))),"Other Services"))</f>
        <v/>
      </c>
    </row>
    <row r="2298" customFormat="false" ht="15" hidden="false" customHeight="false" outlineLevel="0" collapsed="false">
      <c r="F2298" s="41" t="str">
        <f aca="false">IF(D2298="","",IFERROR(IF(ISNUMBER(SEARCH(Assumptions!$C$5,D2298)),Assumptions!$D$5,IF(ISNUMBER(SEARCH(Assumptions!$C$6,D2298)),Assumptions!$D$6,IF(ISNUMBER(SEARCH(Assumptions!$C$7,D2298)),Assumptions!$D$7,"Other Services"))),"Other Services"))</f>
        <v/>
      </c>
    </row>
    <row r="2299" customFormat="false" ht="15" hidden="false" customHeight="false" outlineLevel="0" collapsed="false">
      <c r="F2299" s="41" t="str">
        <f aca="false">IF(D2299="","",IFERROR(IF(ISNUMBER(SEARCH(Assumptions!$C$5,D2299)),Assumptions!$D$5,IF(ISNUMBER(SEARCH(Assumptions!$C$6,D2299)),Assumptions!$D$6,IF(ISNUMBER(SEARCH(Assumptions!$C$7,D2299)),Assumptions!$D$7,"Other Services"))),"Other Services"))</f>
        <v/>
      </c>
    </row>
    <row r="2300" customFormat="false" ht="15" hidden="false" customHeight="false" outlineLevel="0" collapsed="false">
      <c r="F2300" s="41" t="str">
        <f aca="false">IF(D2300="","",IFERROR(IF(ISNUMBER(SEARCH(Assumptions!$C$5,D2300)),Assumptions!$D$5,IF(ISNUMBER(SEARCH(Assumptions!$C$6,D2300)),Assumptions!$D$6,IF(ISNUMBER(SEARCH(Assumptions!$C$7,D2300)),Assumptions!$D$7,"Other Services"))),"Other Services"))</f>
        <v/>
      </c>
    </row>
    <row r="2301" customFormat="false" ht="15" hidden="false" customHeight="false" outlineLevel="0" collapsed="false">
      <c r="F2301" s="41" t="str">
        <f aca="false">IF(D2301="","",IFERROR(IF(ISNUMBER(SEARCH(Assumptions!$C$5,D2301)),Assumptions!$D$5,IF(ISNUMBER(SEARCH(Assumptions!$C$6,D2301)),Assumptions!$D$6,IF(ISNUMBER(SEARCH(Assumptions!$C$7,D2301)),Assumptions!$D$7,"Other Services"))),"Other Services"))</f>
        <v/>
      </c>
    </row>
    <row r="2302" customFormat="false" ht="15" hidden="false" customHeight="false" outlineLevel="0" collapsed="false">
      <c r="F2302" s="41" t="str">
        <f aca="false">IF(D2302="","",IFERROR(IF(ISNUMBER(SEARCH(Assumptions!$C$5,D2302)),Assumptions!$D$5,IF(ISNUMBER(SEARCH(Assumptions!$C$6,D2302)),Assumptions!$D$6,IF(ISNUMBER(SEARCH(Assumptions!$C$7,D2302)),Assumptions!$D$7,"Other Services"))),"Other Services"))</f>
        <v/>
      </c>
    </row>
    <row r="2303" customFormat="false" ht="15" hidden="false" customHeight="false" outlineLevel="0" collapsed="false">
      <c r="F2303" s="41" t="str">
        <f aca="false">IF(D2303="","",IFERROR(IF(ISNUMBER(SEARCH(Assumptions!$C$5,D2303)),Assumptions!$D$5,IF(ISNUMBER(SEARCH(Assumptions!$C$6,D2303)),Assumptions!$D$6,IF(ISNUMBER(SEARCH(Assumptions!$C$7,D2303)),Assumptions!$D$7,"Other Services"))),"Other Services"))</f>
        <v/>
      </c>
    </row>
    <row r="2304" customFormat="false" ht="15" hidden="false" customHeight="false" outlineLevel="0" collapsed="false">
      <c r="F2304" s="41" t="str">
        <f aca="false">IF(D2304="","",IFERROR(IF(ISNUMBER(SEARCH(Assumptions!$C$5,D2304)),Assumptions!$D$5,IF(ISNUMBER(SEARCH(Assumptions!$C$6,D2304)),Assumptions!$D$6,IF(ISNUMBER(SEARCH(Assumptions!$C$7,D2304)),Assumptions!$D$7,"Other Services"))),"Other Services"))</f>
        <v/>
      </c>
    </row>
    <row r="2305" customFormat="false" ht="15" hidden="false" customHeight="false" outlineLevel="0" collapsed="false">
      <c r="F2305" s="41" t="str">
        <f aca="false">IF(D2305="","",IFERROR(IF(ISNUMBER(SEARCH(Assumptions!$C$5,D2305)),Assumptions!$D$5,IF(ISNUMBER(SEARCH(Assumptions!$C$6,D2305)),Assumptions!$D$6,IF(ISNUMBER(SEARCH(Assumptions!$C$7,D2305)),Assumptions!$D$7,"Other Services"))),"Other Services"))</f>
        <v/>
      </c>
    </row>
    <row r="2306" customFormat="false" ht="15" hidden="false" customHeight="false" outlineLevel="0" collapsed="false">
      <c r="F2306" s="41" t="str">
        <f aca="false">IF(D2306="","",IFERROR(IF(ISNUMBER(SEARCH(Assumptions!$C$5,D2306)),Assumptions!$D$5,IF(ISNUMBER(SEARCH(Assumptions!$C$6,D2306)),Assumptions!$D$6,IF(ISNUMBER(SEARCH(Assumptions!$C$7,D2306)),Assumptions!$D$7,"Other Services"))),"Other Services"))</f>
        <v/>
      </c>
    </row>
    <row r="2307" customFormat="false" ht="15" hidden="false" customHeight="false" outlineLevel="0" collapsed="false">
      <c r="F2307" s="41" t="str">
        <f aca="false">IF(D2307="","",IFERROR(IF(ISNUMBER(SEARCH(Assumptions!$C$5,D2307)),Assumptions!$D$5,IF(ISNUMBER(SEARCH(Assumptions!$C$6,D2307)),Assumptions!$D$6,IF(ISNUMBER(SEARCH(Assumptions!$C$7,D2307)),Assumptions!$D$7,"Other Services"))),"Other Services"))</f>
        <v/>
      </c>
    </row>
    <row r="2308" customFormat="false" ht="15" hidden="false" customHeight="false" outlineLevel="0" collapsed="false">
      <c r="F2308" s="41" t="str">
        <f aca="false">IF(D2308="","",IFERROR(IF(ISNUMBER(SEARCH(Assumptions!$C$5,D2308)),Assumptions!$D$5,IF(ISNUMBER(SEARCH(Assumptions!$C$6,D2308)),Assumptions!$D$6,IF(ISNUMBER(SEARCH(Assumptions!$C$7,D2308)),Assumptions!$D$7,"Other Services"))),"Other Services"))</f>
        <v/>
      </c>
    </row>
    <row r="2309" customFormat="false" ht="15" hidden="false" customHeight="false" outlineLevel="0" collapsed="false">
      <c r="F2309" s="41" t="str">
        <f aca="false">IF(D2309="","",IFERROR(IF(ISNUMBER(SEARCH(Assumptions!$C$5,D2309)),Assumptions!$D$5,IF(ISNUMBER(SEARCH(Assumptions!$C$6,D2309)),Assumptions!$D$6,IF(ISNUMBER(SEARCH(Assumptions!$C$7,D2309)),Assumptions!$D$7,"Other Services"))),"Other Services"))</f>
        <v/>
      </c>
    </row>
    <row r="2310" customFormat="false" ht="15" hidden="false" customHeight="false" outlineLevel="0" collapsed="false">
      <c r="F2310" s="41" t="str">
        <f aca="false">IF(D2310="","",IFERROR(IF(ISNUMBER(SEARCH(Assumptions!$C$5,D2310)),Assumptions!$D$5,IF(ISNUMBER(SEARCH(Assumptions!$C$6,D2310)),Assumptions!$D$6,IF(ISNUMBER(SEARCH(Assumptions!$C$7,D2310)),Assumptions!$D$7,"Other Services"))),"Other Services"))</f>
        <v/>
      </c>
    </row>
    <row r="2311" customFormat="false" ht="15" hidden="false" customHeight="false" outlineLevel="0" collapsed="false">
      <c r="F2311" s="41" t="str">
        <f aca="false">IF(D2311="","",IFERROR(IF(ISNUMBER(SEARCH(Assumptions!$C$5,D2311)),Assumptions!$D$5,IF(ISNUMBER(SEARCH(Assumptions!$C$6,D2311)),Assumptions!$D$6,IF(ISNUMBER(SEARCH(Assumptions!$C$7,D2311)),Assumptions!$D$7,"Other Services"))),"Other Services"))</f>
        <v/>
      </c>
    </row>
    <row r="2312" customFormat="false" ht="15" hidden="false" customHeight="false" outlineLevel="0" collapsed="false">
      <c r="F2312" s="41" t="str">
        <f aca="false">IF(D2312="","",IFERROR(IF(ISNUMBER(SEARCH(Assumptions!$C$5,D2312)),Assumptions!$D$5,IF(ISNUMBER(SEARCH(Assumptions!$C$6,D2312)),Assumptions!$D$6,IF(ISNUMBER(SEARCH(Assumptions!$C$7,D2312)),Assumptions!$D$7,"Other Services"))),"Other Services"))</f>
        <v/>
      </c>
    </row>
    <row r="2313" customFormat="false" ht="15" hidden="false" customHeight="false" outlineLevel="0" collapsed="false">
      <c r="F2313" s="41" t="str">
        <f aca="false">IF(D2313="","",IFERROR(IF(ISNUMBER(SEARCH(Assumptions!$C$5,D2313)),Assumptions!$D$5,IF(ISNUMBER(SEARCH(Assumptions!$C$6,D2313)),Assumptions!$D$6,IF(ISNUMBER(SEARCH(Assumptions!$C$7,D2313)),Assumptions!$D$7,"Other Services"))),"Other Services"))</f>
        <v/>
      </c>
    </row>
    <row r="2314" customFormat="false" ht="15" hidden="false" customHeight="false" outlineLevel="0" collapsed="false">
      <c r="F2314" s="41" t="str">
        <f aca="false">IF(D2314="","",IFERROR(IF(ISNUMBER(SEARCH(Assumptions!$C$5,D2314)),Assumptions!$D$5,IF(ISNUMBER(SEARCH(Assumptions!$C$6,D2314)),Assumptions!$D$6,IF(ISNUMBER(SEARCH(Assumptions!$C$7,D2314)),Assumptions!$D$7,"Other Services"))),"Other Services"))</f>
        <v/>
      </c>
    </row>
    <row r="2315" customFormat="false" ht="15" hidden="false" customHeight="false" outlineLevel="0" collapsed="false">
      <c r="F2315" s="41" t="str">
        <f aca="false">IF(D2315="","",IFERROR(IF(ISNUMBER(SEARCH(Assumptions!$C$5,D2315)),Assumptions!$D$5,IF(ISNUMBER(SEARCH(Assumptions!$C$6,D2315)),Assumptions!$D$6,IF(ISNUMBER(SEARCH(Assumptions!$C$7,D2315)),Assumptions!$D$7,"Other Services"))),"Other Services"))</f>
        <v/>
      </c>
    </row>
    <row r="2316" customFormat="false" ht="15" hidden="false" customHeight="false" outlineLevel="0" collapsed="false">
      <c r="F2316" s="41" t="str">
        <f aca="false">IF(D2316="","",IFERROR(IF(ISNUMBER(SEARCH(Assumptions!$C$5,D2316)),Assumptions!$D$5,IF(ISNUMBER(SEARCH(Assumptions!$C$6,D2316)),Assumptions!$D$6,IF(ISNUMBER(SEARCH(Assumptions!$C$7,D2316)),Assumptions!$D$7,"Other Services"))),"Other Services"))</f>
        <v/>
      </c>
    </row>
    <row r="2317" customFormat="false" ht="15" hidden="false" customHeight="false" outlineLevel="0" collapsed="false">
      <c r="F2317" s="41" t="str">
        <f aca="false">IF(D2317="","",IFERROR(IF(ISNUMBER(SEARCH(Assumptions!$C$5,D2317)),Assumptions!$D$5,IF(ISNUMBER(SEARCH(Assumptions!$C$6,D2317)),Assumptions!$D$6,IF(ISNUMBER(SEARCH(Assumptions!$C$7,D2317)),Assumptions!$D$7,"Other Services"))),"Other Services"))</f>
        <v/>
      </c>
    </row>
    <row r="2318" customFormat="false" ht="15" hidden="false" customHeight="false" outlineLevel="0" collapsed="false">
      <c r="F2318" s="41" t="str">
        <f aca="false">IF(D2318="","",IFERROR(IF(ISNUMBER(SEARCH(Assumptions!$C$5,D2318)),Assumptions!$D$5,IF(ISNUMBER(SEARCH(Assumptions!$C$6,D2318)),Assumptions!$D$6,IF(ISNUMBER(SEARCH(Assumptions!$C$7,D2318)),Assumptions!$D$7,"Other Services"))),"Other Services"))</f>
        <v/>
      </c>
    </row>
    <row r="2319" customFormat="false" ht="15" hidden="false" customHeight="false" outlineLevel="0" collapsed="false">
      <c r="F2319" s="41" t="str">
        <f aca="false">IF(D2319="","",IFERROR(IF(ISNUMBER(SEARCH(Assumptions!$C$5,D2319)),Assumptions!$D$5,IF(ISNUMBER(SEARCH(Assumptions!$C$6,D2319)),Assumptions!$D$6,IF(ISNUMBER(SEARCH(Assumptions!$C$7,D2319)),Assumptions!$D$7,"Other Services"))),"Other Services"))</f>
        <v/>
      </c>
    </row>
    <row r="2320" customFormat="false" ht="15" hidden="false" customHeight="false" outlineLevel="0" collapsed="false">
      <c r="F2320" s="41" t="str">
        <f aca="false">IF(D2320="","",IFERROR(IF(ISNUMBER(SEARCH(Assumptions!$C$5,D2320)),Assumptions!$D$5,IF(ISNUMBER(SEARCH(Assumptions!$C$6,D2320)),Assumptions!$D$6,IF(ISNUMBER(SEARCH(Assumptions!$C$7,D2320)),Assumptions!$D$7,"Other Services"))),"Other Services"))</f>
        <v/>
      </c>
    </row>
    <row r="2321" customFormat="false" ht="15" hidden="false" customHeight="false" outlineLevel="0" collapsed="false">
      <c r="F2321" s="41" t="str">
        <f aca="false">IF(D2321="","",IFERROR(IF(ISNUMBER(SEARCH(Assumptions!$C$5,D2321)),Assumptions!$D$5,IF(ISNUMBER(SEARCH(Assumptions!$C$6,D2321)),Assumptions!$D$6,IF(ISNUMBER(SEARCH(Assumptions!$C$7,D2321)),Assumptions!$D$7,"Other Services"))),"Other Services"))</f>
        <v/>
      </c>
    </row>
    <row r="2322" customFormat="false" ht="15" hidden="false" customHeight="false" outlineLevel="0" collapsed="false">
      <c r="F2322" s="41" t="str">
        <f aca="false">IF(D2322="","",IFERROR(IF(ISNUMBER(SEARCH(Assumptions!$C$5,D2322)),Assumptions!$D$5,IF(ISNUMBER(SEARCH(Assumptions!$C$6,D2322)),Assumptions!$D$6,IF(ISNUMBER(SEARCH(Assumptions!$C$7,D2322)),Assumptions!$D$7,"Other Services"))),"Other Services"))</f>
        <v/>
      </c>
    </row>
    <row r="2323" customFormat="false" ht="15" hidden="false" customHeight="false" outlineLevel="0" collapsed="false">
      <c r="F2323" s="41" t="str">
        <f aca="false">IF(D2323="","",IFERROR(IF(ISNUMBER(SEARCH(Assumptions!$C$5,D2323)),Assumptions!$D$5,IF(ISNUMBER(SEARCH(Assumptions!$C$6,D2323)),Assumptions!$D$6,IF(ISNUMBER(SEARCH(Assumptions!$C$7,D2323)),Assumptions!$D$7,"Other Services"))),"Other Services"))</f>
        <v/>
      </c>
    </row>
    <row r="2324" customFormat="false" ht="15" hidden="false" customHeight="false" outlineLevel="0" collapsed="false">
      <c r="F2324" s="41" t="str">
        <f aca="false">IF(D2324="","",IFERROR(IF(ISNUMBER(SEARCH(Assumptions!$C$5,D2324)),Assumptions!$D$5,IF(ISNUMBER(SEARCH(Assumptions!$C$6,D2324)),Assumptions!$D$6,IF(ISNUMBER(SEARCH(Assumptions!$C$7,D2324)),Assumptions!$D$7,"Other Services"))),"Other Services"))</f>
        <v/>
      </c>
    </row>
    <row r="2325" customFormat="false" ht="15" hidden="false" customHeight="false" outlineLevel="0" collapsed="false">
      <c r="F2325" s="41" t="str">
        <f aca="false">IF(D2325="","",IFERROR(IF(ISNUMBER(SEARCH(Assumptions!$C$5,D2325)),Assumptions!$D$5,IF(ISNUMBER(SEARCH(Assumptions!$C$6,D2325)),Assumptions!$D$6,IF(ISNUMBER(SEARCH(Assumptions!$C$7,D2325)),Assumptions!$D$7,"Other Services"))),"Other Services"))</f>
        <v/>
      </c>
    </row>
    <row r="2326" customFormat="false" ht="15" hidden="false" customHeight="false" outlineLevel="0" collapsed="false">
      <c r="F2326" s="41" t="str">
        <f aca="false">IF(D2326="","",IFERROR(IF(ISNUMBER(SEARCH(Assumptions!$C$5,D2326)),Assumptions!$D$5,IF(ISNUMBER(SEARCH(Assumptions!$C$6,D2326)),Assumptions!$D$6,IF(ISNUMBER(SEARCH(Assumptions!$C$7,D2326)),Assumptions!$D$7,"Other Services"))),"Other Services"))</f>
        <v/>
      </c>
    </row>
    <row r="2327" customFormat="false" ht="15" hidden="false" customHeight="false" outlineLevel="0" collapsed="false">
      <c r="F2327" s="41" t="str">
        <f aca="false">IF(D2327="","",IFERROR(IF(ISNUMBER(SEARCH(Assumptions!$C$5,D2327)),Assumptions!$D$5,IF(ISNUMBER(SEARCH(Assumptions!$C$6,D2327)),Assumptions!$D$6,IF(ISNUMBER(SEARCH(Assumptions!$C$7,D2327)),Assumptions!$D$7,"Other Services"))),"Other Services"))</f>
        <v/>
      </c>
    </row>
    <row r="2328" customFormat="false" ht="15" hidden="false" customHeight="false" outlineLevel="0" collapsed="false">
      <c r="F2328" s="41" t="str">
        <f aca="false">IF(D2328="","",IFERROR(IF(ISNUMBER(SEARCH(Assumptions!$C$5,D2328)),Assumptions!$D$5,IF(ISNUMBER(SEARCH(Assumptions!$C$6,D2328)),Assumptions!$D$6,IF(ISNUMBER(SEARCH(Assumptions!$C$7,D2328)),Assumptions!$D$7,"Other Services"))),"Other Services"))</f>
        <v/>
      </c>
    </row>
    <row r="2329" customFormat="false" ht="15" hidden="false" customHeight="false" outlineLevel="0" collapsed="false">
      <c r="F2329" s="41" t="str">
        <f aca="false">IF(D2329="","",IFERROR(IF(ISNUMBER(SEARCH(Assumptions!$C$5,D2329)),Assumptions!$D$5,IF(ISNUMBER(SEARCH(Assumptions!$C$6,D2329)),Assumptions!$D$6,IF(ISNUMBER(SEARCH(Assumptions!$C$7,D2329)),Assumptions!$D$7,"Other Services"))),"Other Services"))</f>
        <v/>
      </c>
    </row>
    <row r="2330" customFormat="false" ht="15" hidden="false" customHeight="false" outlineLevel="0" collapsed="false">
      <c r="F2330" s="41" t="str">
        <f aca="false">IF(D2330="","",IFERROR(IF(ISNUMBER(SEARCH(Assumptions!$C$5,D2330)),Assumptions!$D$5,IF(ISNUMBER(SEARCH(Assumptions!$C$6,D2330)),Assumptions!$D$6,IF(ISNUMBER(SEARCH(Assumptions!$C$7,D2330)),Assumptions!$D$7,"Other Services"))),"Other Services"))</f>
        <v/>
      </c>
    </row>
    <row r="2331" customFormat="false" ht="15" hidden="false" customHeight="false" outlineLevel="0" collapsed="false">
      <c r="F2331" s="41" t="str">
        <f aca="false">IF(D2331="","",IFERROR(IF(ISNUMBER(SEARCH(Assumptions!$C$5,D2331)),Assumptions!$D$5,IF(ISNUMBER(SEARCH(Assumptions!$C$6,D2331)),Assumptions!$D$6,IF(ISNUMBER(SEARCH(Assumptions!$C$7,D2331)),Assumptions!$D$7,"Other Services"))),"Other Services"))</f>
        <v/>
      </c>
    </row>
    <row r="2332" customFormat="false" ht="15" hidden="false" customHeight="false" outlineLevel="0" collapsed="false">
      <c r="F2332" s="41" t="str">
        <f aca="false">IF(D2332="","",IFERROR(IF(ISNUMBER(SEARCH(Assumptions!$C$5,D2332)),Assumptions!$D$5,IF(ISNUMBER(SEARCH(Assumptions!$C$6,D2332)),Assumptions!$D$6,IF(ISNUMBER(SEARCH(Assumptions!$C$7,D2332)),Assumptions!$D$7,"Other Services"))),"Other Services"))</f>
        <v/>
      </c>
    </row>
    <row r="2333" customFormat="false" ht="15" hidden="false" customHeight="false" outlineLevel="0" collapsed="false">
      <c r="F2333" s="41" t="str">
        <f aca="false">IF(D2333="","",IFERROR(IF(ISNUMBER(SEARCH(Assumptions!$C$5,D2333)),Assumptions!$D$5,IF(ISNUMBER(SEARCH(Assumptions!$C$6,D2333)),Assumptions!$D$6,IF(ISNUMBER(SEARCH(Assumptions!$C$7,D2333)),Assumptions!$D$7,"Other Services"))),"Other Services"))</f>
        <v/>
      </c>
    </row>
    <row r="2334" customFormat="false" ht="15" hidden="false" customHeight="false" outlineLevel="0" collapsed="false">
      <c r="F2334" s="41" t="str">
        <f aca="false">IF(D2334="","",IFERROR(IF(ISNUMBER(SEARCH(Assumptions!$C$5,D2334)),Assumptions!$D$5,IF(ISNUMBER(SEARCH(Assumptions!$C$6,D2334)),Assumptions!$D$6,IF(ISNUMBER(SEARCH(Assumptions!$C$7,D2334)),Assumptions!$D$7,"Other Services"))),"Other Services"))</f>
        <v/>
      </c>
    </row>
    <row r="2335" customFormat="false" ht="15" hidden="false" customHeight="false" outlineLevel="0" collapsed="false">
      <c r="F2335" s="41" t="str">
        <f aca="false">IF(D2335="","",IFERROR(IF(ISNUMBER(SEARCH(Assumptions!$C$5,D2335)),Assumptions!$D$5,IF(ISNUMBER(SEARCH(Assumptions!$C$6,D2335)),Assumptions!$D$6,IF(ISNUMBER(SEARCH(Assumptions!$C$7,D2335)),Assumptions!$D$7,"Other Services"))),"Other Services"))</f>
        <v/>
      </c>
    </row>
    <row r="2336" customFormat="false" ht="15" hidden="false" customHeight="false" outlineLevel="0" collapsed="false">
      <c r="F2336" s="41" t="str">
        <f aca="false">IF(D2336="","",IFERROR(IF(ISNUMBER(SEARCH(Assumptions!$C$5,D2336)),Assumptions!$D$5,IF(ISNUMBER(SEARCH(Assumptions!$C$6,D2336)),Assumptions!$D$6,IF(ISNUMBER(SEARCH(Assumptions!$C$7,D2336)),Assumptions!$D$7,"Other Services"))),"Other Services"))</f>
        <v/>
      </c>
    </row>
    <row r="2337" customFormat="false" ht="15" hidden="false" customHeight="false" outlineLevel="0" collapsed="false">
      <c r="F2337" s="41" t="str">
        <f aca="false">IF(D2337="","",IFERROR(IF(ISNUMBER(SEARCH(Assumptions!$C$5,D2337)),Assumptions!$D$5,IF(ISNUMBER(SEARCH(Assumptions!$C$6,D2337)),Assumptions!$D$6,IF(ISNUMBER(SEARCH(Assumptions!$C$7,D2337)),Assumptions!$D$7,"Other Services"))),"Other Services"))</f>
        <v/>
      </c>
    </row>
    <row r="2338" customFormat="false" ht="15" hidden="false" customHeight="false" outlineLevel="0" collapsed="false">
      <c r="F2338" s="41" t="str">
        <f aca="false">IF(D2338="","",IFERROR(IF(ISNUMBER(SEARCH(Assumptions!$C$5,D2338)),Assumptions!$D$5,IF(ISNUMBER(SEARCH(Assumptions!$C$6,D2338)),Assumptions!$D$6,IF(ISNUMBER(SEARCH(Assumptions!$C$7,D2338)),Assumptions!$D$7,"Other Services"))),"Other Services"))</f>
        <v/>
      </c>
    </row>
    <row r="2339" customFormat="false" ht="15" hidden="false" customHeight="false" outlineLevel="0" collapsed="false">
      <c r="F2339" s="41" t="str">
        <f aca="false">IF(D2339="","",IFERROR(IF(ISNUMBER(SEARCH(Assumptions!$C$5,D2339)),Assumptions!$D$5,IF(ISNUMBER(SEARCH(Assumptions!$C$6,D2339)),Assumptions!$D$6,IF(ISNUMBER(SEARCH(Assumptions!$C$7,D2339)),Assumptions!$D$7,"Other Services"))),"Other Services"))</f>
        <v/>
      </c>
    </row>
    <row r="2340" customFormat="false" ht="15" hidden="false" customHeight="false" outlineLevel="0" collapsed="false">
      <c r="F2340" s="41" t="str">
        <f aca="false">IF(D2340="","",IFERROR(IF(ISNUMBER(SEARCH(Assumptions!$C$5,D2340)),Assumptions!$D$5,IF(ISNUMBER(SEARCH(Assumptions!$C$6,D2340)),Assumptions!$D$6,IF(ISNUMBER(SEARCH(Assumptions!$C$7,D2340)),Assumptions!$D$7,"Other Services"))),"Other Services"))</f>
        <v/>
      </c>
    </row>
    <row r="2341" customFormat="false" ht="15" hidden="false" customHeight="false" outlineLevel="0" collapsed="false">
      <c r="F2341" s="41" t="str">
        <f aca="false">IF(D2341="","",IFERROR(IF(ISNUMBER(SEARCH(Assumptions!$C$5,D2341)),Assumptions!$D$5,IF(ISNUMBER(SEARCH(Assumptions!$C$6,D2341)),Assumptions!$D$6,IF(ISNUMBER(SEARCH(Assumptions!$C$7,D2341)),Assumptions!$D$7,"Other Services"))),"Other Services"))</f>
        <v/>
      </c>
    </row>
    <row r="2342" customFormat="false" ht="15" hidden="false" customHeight="false" outlineLevel="0" collapsed="false">
      <c r="F2342" s="41" t="str">
        <f aca="false">IF(D2342="","",IFERROR(IF(ISNUMBER(SEARCH(Assumptions!$C$5,D2342)),Assumptions!$D$5,IF(ISNUMBER(SEARCH(Assumptions!$C$6,D2342)),Assumptions!$D$6,IF(ISNUMBER(SEARCH(Assumptions!$C$7,D2342)),Assumptions!$D$7,"Other Services"))),"Other Services"))</f>
        <v/>
      </c>
    </row>
    <row r="2343" customFormat="false" ht="15" hidden="false" customHeight="false" outlineLevel="0" collapsed="false">
      <c r="F2343" s="41" t="str">
        <f aca="false">IF(D2343="","",IFERROR(IF(ISNUMBER(SEARCH(Assumptions!$C$5,D2343)),Assumptions!$D$5,IF(ISNUMBER(SEARCH(Assumptions!$C$6,D2343)),Assumptions!$D$6,IF(ISNUMBER(SEARCH(Assumptions!$C$7,D2343)),Assumptions!$D$7,"Other Services"))),"Other Services"))</f>
        <v/>
      </c>
    </row>
    <row r="2344" customFormat="false" ht="15" hidden="false" customHeight="false" outlineLevel="0" collapsed="false">
      <c r="F2344" s="41" t="str">
        <f aca="false">IF(D2344="","",IFERROR(IF(ISNUMBER(SEARCH(Assumptions!$C$5,D2344)),Assumptions!$D$5,IF(ISNUMBER(SEARCH(Assumptions!$C$6,D2344)),Assumptions!$D$6,IF(ISNUMBER(SEARCH(Assumptions!$C$7,D2344)),Assumptions!$D$7,"Other Services"))),"Other Services"))</f>
        <v/>
      </c>
    </row>
    <row r="2345" customFormat="false" ht="15" hidden="false" customHeight="false" outlineLevel="0" collapsed="false">
      <c r="F2345" s="41" t="str">
        <f aca="false">IF(D2345="","",IFERROR(IF(ISNUMBER(SEARCH(Assumptions!$C$5,D2345)),Assumptions!$D$5,IF(ISNUMBER(SEARCH(Assumptions!$C$6,D2345)),Assumptions!$D$6,IF(ISNUMBER(SEARCH(Assumptions!$C$7,D2345)),Assumptions!$D$7,"Other Services"))),"Other Services"))</f>
        <v/>
      </c>
    </row>
    <row r="2346" customFormat="false" ht="15" hidden="false" customHeight="false" outlineLevel="0" collapsed="false">
      <c r="F2346" s="41" t="str">
        <f aca="false">IF(D2346="","",IFERROR(IF(ISNUMBER(SEARCH(Assumptions!$C$5,D2346)),Assumptions!$D$5,IF(ISNUMBER(SEARCH(Assumptions!$C$6,D2346)),Assumptions!$D$6,IF(ISNUMBER(SEARCH(Assumptions!$C$7,D2346)),Assumptions!$D$7,"Other Services"))),"Other Services"))</f>
        <v/>
      </c>
    </row>
    <row r="2347" customFormat="false" ht="15" hidden="false" customHeight="false" outlineLevel="0" collapsed="false">
      <c r="F2347" s="41" t="str">
        <f aca="false">IF(D2347="","",IFERROR(IF(ISNUMBER(SEARCH(Assumptions!$C$5,D2347)),Assumptions!$D$5,IF(ISNUMBER(SEARCH(Assumptions!$C$6,D2347)),Assumptions!$D$6,IF(ISNUMBER(SEARCH(Assumptions!$C$7,D2347)),Assumptions!$D$7,"Other Services"))),"Other Services"))</f>
        <v/>
      </c>
    </row>
    <row r="2348" customFormat="false" ht="15" hidden="false" customHeight="false" outlineLevel="0" collapsed="false">
      <c r="F2348" s="41" t="str">
        <f aca="false">IF(D2348="","",IFERROR(IF(ISNUMBER(SEARCH(Assumptions!$C$5,D2348)),Assumptions!$D$5,IF(ISNUMBER(SEARCH(Assumptions!$C$6,D2348)),Assumptions!$D$6,IF(ISNUMBER(SEARCH(Assumptions!$C$7,D2348)),Assumptions!$D$7,"Other Services"))),"Other Services"))</f>
        <v/>
      </c>
    </row>
    <row r="2349" customFormat="false" ht="15" hidden="false" customHeight="false" outlineLevel="0" collapsed="false">
      <c r="F2349" s="41" t="str">
        <f aca="false">IF(D2349="","",IFERROR(IF(ISNUMBER(SEARCH(Assumptions!$C$5,D2349)),Assumptions!$D$5,IF(ISNUMBER(SEARCH(Assumptions!$C$6,D2349)),Assumptions!$D$6,IF(ISNUMBER(SEARCH(Assumptions!$C$7,D2349)),Assumptions!$D$7,"Other Services"))),"Other Services"))</f>
        <v/>
      </c>
    </row>
    <row r="2350" customFormat="false" ht="15" hidden="false" customHeight="false" outlineLevel="0" collapsed="false">
      <c r="F2350" s="41" t="str">
        <f aca="false">IF(D2350="","",IFERROR(IF(ISNUMBER(SEARCH(Assumptions!$C$5,D2350)),Assumptions!$D$5,IF(ISNUMBER(SEARCH(Assumptions!$C$6,D2350)),Assumptions!$D$6,IF(ISNUMBER(SEARCH(Assumptions!$C$7,D2350)),Assumptions!$D$7,"Other Services"))),"Other Services"))</f>
        <v/>
      </c>
    </row>
    <row r="2351" customFormat="false" ht="15" hidden="false" customHeight="false" outlineLevel="0" collapsed="false">
      <c r="F2351" s="41" t="str">
        <f aca="false">IF(D2351="","",IFERROR(IF(ISNUMBER(SEARCH(Assumptions!$C$5,D2351)),Assumptions!$D$5,IF(ISNUMBER(SEARCH(Assumptions!$C$6,D2351)),Assumptions!$D$6,IF(ISNUMBER(SEARCH(Assumptions!$C$7,D2351)),Assumptions!$D$7,"Other Services"))),"Other Services"))</f>
        <v/>
      </c>
    </row>
    <row r="2352" customFormat="false" ht="15" hidden="false" customHeight="false" outlineLevel="0" collapsed="false">
      <c r="F2352" s="41" t="str">
        <f aca="false">IF(D2352="","",IFERROR(IF(ISNUMBER(SEARCH(Assumptions!$C$5,D2352)),Assumptions!$D$5,IF(ISNUMBER(SEARCH(Assumptions!$C$6,D2352)),Assumptions!$D$6,IF(ISNUMBER(SEARCH(Assumptions!$C$7,D2352)),Assumptions!$D$7,"Other Services"))),"Other Services"))</f>
        <v/>
      </c>
    </row>
    <row r="2353" customFormat="false" ht="15" hidden="false" customHeight="false" outlineLevel="0" collapsed="false">
      <c r="F2353" s="41" t="str">
        <f aca="false">IF(D2353="","",IFERROR(IF(ISNUMBER(SEARCH(Assumptions!$C$5,D2353)),Assumptions!$D$5,IF(ISNUMBER(SEARCH(Assumptions!$C$6,D2353)),Assumptions!$D$6,IF(ISNUMBER(SEARCH(Assumptions!$C$7,D2353)),Assumptions!$D$7,"Other Services"))),"Other Services"))</f>
        <v/>
      </c>
    </row>
    <row r="2354" customFormat="false" ht="15" hidden="false" customHeight="false" outlineLevel="0" collapsed="false">
      <c r="F2354" s="41" t="str">
        <f aca="false">IF(D2354="","",IFERROR(IF(ISNUMBER(SEARCH(Assumptions!$C$5,D2354)),Assumptions!$D$5,IF(ISNUMBER(SEARCH(Assumptions!$C$6,D2354)),Assumptions!$D$6,IF(ISNUMBER(SEARCH(Assumptions!$C$7,D2354)),Assumptions!$D$7,"Other Services"))),"Other Services"))</f>
        <v/>
      </c>
    </row>
    <row r="2355" customFormat="false" ht="15" hidden="false" customHeight="false" outlineLevel="0" collapsed="false">
      <c r="F2355" s="41" t="str">
        <f aca="false">IF(D2355="","",IFERROR(IF(ISNUMBER(SEARCH(Assumptions!$C$5,D2355)),Assumptions!$D$5,IF(ISNUMBER(SEARCH(Assumptions!$C$6,D2355)),Assumptions!$D$6,IF(ISNUMBER(SEARCH(Assumptions!$C$7,D2355)),Assumptions!$D$7,"Other Services"))),"Other Services"))</f>
        <v/>
      </c>
    </row>
    <row r="2356" customFormat="false" ht="15" hidden="false" customHeight="false" outlineLevel="0" collapsed="false">
      <c r="F2356" s="41" t="str">
        <f aca="false">IF(D2356="","",IFERROR(IF(ISNUMBER(SEARCH(Assumptions!$C$5,D2356)),Assumptions!$D$5,IF(ISNUMBER(SEARCH(Assumptions!$C$6,D2356)),Assumptions!$D$6,IF(ISNUMBER(SEARCH(Assumptions!$C$7,D2356)),Assumptions!$D$7,"Other Services"))),"Other Services"))</f>
        <v/>
      </c>
    </row>
    <row r="2357" customFormat="false" ht="15" hidden="false" customHeight="false" outlineLevel="0" collapsed="false">
      <c r="F2357" s="41" t="str">
        <f aca="false">IF(D2357="","",IFERROR(IF(ISNUMBER(SEARCH(Assumptions!$C$5,D2357)),Assumptions!$D$5,IF(ISNUMBER(SEARCH(Assumptions!$C$6,D2357)),Assumptions!$D$6,IF(ISNUMBER(SEARCH(Assumptions!$C$7,D2357)),Assumptions!$D$7,"Other Services"))),"Other Services"))</f>
        <v/>
      </c>
    </row>
    <row r="2358" customFormat="false" ht="15" hidden="false" customHeight="false" outlineLevel="0" collapsed="false">
      <c r="F2358" s="41" t="str">
        <f aca="false">IF(D2358="","",IFERROR(IF(ISNUMBER(SEARCH(Assumptions!$C$5,D2358)),Assumptions!$D$5,IF(ISNUMBER(SEARCH(Assumptions!$C$6,D2358)),Assumptions!$D$6,IF(ISNUMBER(SEARCH(Assumptions!$C$7,D2358)),Assumptions!$D$7,"Other Services"))),"Other Services"))</f>
        <v/>
      </c>
    </row>
    <row r="2359" customFormat="false" ht="15" hidden="false" customHeight="false" outlineLevel="0" collapsed="false">
      <c r="F2359" s="41" t="str">
        <f aca="false">IF(D2359="","",IFERROR(IF(ISNUMBER(SEARCH(Assumptions!$C$5,D2359)),Assumptions!$D$5,IF(ISNUMBER(SEARCH(Assumptions!$C$6,D2359)),Assumptions!$D$6,IF(ISNUMBER(SEARCH(Assumptions!$C$7,D2359)),Assumptions!$D$7,"Other Services"))),"Other Services"))</f>
        <v/>
      </c>
    </row>
    <row r="2360" customFormat="false" ht="15" hidden="false" customHeight="false" outlineLevel="0" collapsed="false">
      <c r="F2360" s="41" t="str">
        <f aca="false">IF(D2360="","",IFERROR(IF(ISNUMBER(SEARCH(Assumptions!$C$5,D2360)),Assumptions!$D$5,IF(ISNUMBER(SEARCH(Assumptions!$C$6,D2360)),Assumptions!$D$6,IF(ISNUMBER(SEARCH(Assumptions!$C$7,D2360)),Assumptions!$D$7,"Other Services"))),"Other Services"))</f>
        <v/>
      </c>
    </row>
    <row r="2361" customFormat="false" ht="15" hidden="false" customHeight="false" outlineLevel="0" collapsed="false">
      <c r="F2361" s="41" t="str">
        <f aca="false">IF(D2361="","",IFERROR(IF(ISNUMBER(SEARCH(Assumptions!$C$5,D2361)),Assumptions!$D$5,IF(ISNUMBER(SEARCH(Assumptions!$C$6,D2361)),Assumptions!$D$6,IF(ISNUMBER(SEARCH(Assumptions!$C$7,D2361)),Assumptions!$D$7,"Other Services"))),"Other Services"))</f>
        <v/>
      </c>
    </row>
    <row r="2362" customFormat="false" ht="15" hidden="false" customHeight="false" outlineLevel="0" collapsed="false">
      <c r="F2362" s="41" t="str">
        <f aca="false">IF(D2362="","",IFERROR(IF(ISNUMBER(SEARCH(Assumptions!$C$5,D2362)),Assumptions!$D$5,IF(ISNUMBER(SEARCH(Assumptions!$C$6,D2362)),Assumptions!$D$6,IF(ISNUMBER(SEARCH(Assumptions!$C$7,D2362)),Assumptions!$D$7,"Other Services"))),"Other Services"))</f>
        <v/>
      </c>
    </row>
    <row r="2363" customFormat="false" ht="15" hidden="false" customHeight="false" outlineLevel="0" collapsed="false">
      <c r="F2363" s="41" t="str">
        <f aca="false">IF(D2363="","",IFERROR(IF(ISNUMBER(SEARCH(Assumptions!$C$5,D2363)),Assumptions!$D$5,IF(ISNUMBER(SEARCH(Assumptions!$C$6,D2363)),Assumptions!$D$6,IF(ISNUMBER(SEARCH(Assumptions!$C$7,D2363)),Assumptions!$D$7,"Other Services"))),"Other Services"))</f>
        <v/>
      </c>
    </row>
    <row r="2364" customFormat="false" ht="15" hidden="false" customHeight="false" outlineLevel="0" collapsed="false">
      <c r="F2364" s="41" t="str">
        <f aca="false">IF(D2364="","",IFERROR(IF(ISNUMBER(SEARCH(Assumptions!$C$5,D2364)),Assumptions!$D$5,IF(ISNUMBER(SEARCH(Assumptions!$C$6,D2364)),Assumptions!$D$6,IF(ISNUMBER(SEARCH(Assumptions!$C$7,D2364)),Assumptions!$D$7,"Other Services"))),"Other Services"))</f>
        <v/>
      </c>
    </row>
    <row r="2365" customFormat="false" ht="15" hidden="false" customHeight="false" outlineLevel="0" collapsed="false">
      <c r="F2365" s="41" t="str">
        <f aca="false">IF(D2365="","",IFERROR(IF(ISNUMBER(SEARCH(Assumptions!$C$5,D2365)),Assumptions!$D$5,IF(ISNUMBER(SEARCH(Assumptions!$C$6,D2365)),Assumptions!$D$6,IF(ISNUMBER(SEARCH(Assumptions!$C$7,D2365)),Assumptions!$D$7,"Other Services"))),"Other Services"))</f>
        <v/>
      </c>
    </row>
    <row r="2366" customFormat="false" ht="15" hidden="false" customHeight="false" outlineLevel="0" collapsed="false">
      <c r="F2366" s="41" t="str">
        <f aca="false">IF(D2366="","",IFERROR(IF(ISNUMBER(SEARCH(Assumptions!$C$5,D2366)),Assumptions!$D$5,IF(ISNUMBER(SEARCH(Assumptions!$C$6,D2366)),Assumptions!$D$6,IF(ISNUMBER(SEARCH(Assumptions!$C$7,D2366)),Assumptions!$D$7,"Other Services"))),"Other Services"))</f>
        <v/>
      </c>
    </row>
    <row r="2367" customFormat="false" ht="15" hidden="false" customHeight="false" outlineLevel="0" collapsed="false">
      <c r="F2367" s="41" t="str">
        <f aca="false">IF(D2367="","",IFERROR(IF(ISNUMBER(SEARCH(Assumptions!$C$5,D2367)),Assumptions!$D$5,IF(ISNUMBER(SEARCH(Assumptions!$C$6,D2367)),Assumptions!$D$6,IF(ISNUMBER(SEARCH(Assumptions!$C$7,D2367)),Assumptions!$D$7,"Other Services"))),"Other Services"))</f>
        <v/>
      </c>
    </row>
    <row r="2368" customFormat="false" ht="15" hidden="false" customHeight="false" outlineLevel="0" collapsed="false">
      <c r="F2368" s="41" t="str">
        <f aca="false">IF(D2368="","",IFERROR(IF(ISNUMBER(SEARCH(Assumptions!$C$5,D2368)),Assumptions!$D$5,IF(ISNUMBER(SEARCH(Assumptions!$C$6,D2368)),Assumptions!$D$6,IF(ISNUMBER(SEARCH(Assumptions!$C$7,D2368)),Assumptions!$D$7,"Other Services"))),"Other Services"))</f>
        <v/>
      </c>
    </row>
    <row r="2369" customFormat="false" ht="15" hidden="false" customHeight="false" outlineLevel="0" collapsed="false">
      <c r="F2369" s="41" t="str">
        <f aca="false">IF(D2369="","",IFERROR(IF(ISNUMBER(SEARCH(Assumptions!$C$5,D2369)),Assumptions!$D$5,IF(ISNUMBER(SEARCH(Assumptions!$C$6,D2369)),Assumptions!$D$6,IF(ISNUMBER(SEARCH(Assumptions!$C$7,D2369)),Assumptions!$D$7,"Other Services"))),"Other Services"))</f>
        <v/>
      </c>
    </row>
    <row r="2370" customFormat="false" ht="15" hidden="false" customHeight="false" outlineLevel="0" collapsed="false">
      <c r="F2370" s="41" t="str">
        <f aca="false">IF(D2370="","",IFERROR(IF(ISNUMBER(SEARCH(Assumptions!$C$5,D2370)),Assumptions!$D$5,IF(ISNUMBER(SEARCH(Assumptions!$C$6,D2370)),Assumptions!$D$6,IF(ISNUMBER(SEARCH(Assumptions!$C$7,D2370)),Assumptions!$D$7,"Other Services"))),"Other Services"))</f>
        <v/>
      </c>
    </row>
    <row r="2371" customFormat="false" ht="15" hidden="false" customHeight="false" outlineLevel="0" collapsed="false">
      <c r="F2371" s="41" t="str">
        <f aca="false">IF(D2371="","",IFERROR(IF(ISNUMBER(SEARCH(Assumptions!$C$5,D2371)),Assumptions!$D$5,IF(ISNUMBER(SEARCH(Assumptions!$C$6,D2371)),Assumptions!$D$6,IF(ISNUMBER(SEARCH(Assumptions!$C$7,D2371)),Assumptions!$D$7,"Other Services"))),"Other Services"))</f>
        <v/>
      </c>
    </row>
    <row r="2372" customFormat="false" ht="15" hidden="false" customHeight="false" outlineLevel="0" collapsed="false">
      <c r="F2372" s="41" t="str">
        <f aca="false">IF(D2372="","",IFERROR(IF(ISNUMBER(SEARCH(Assumptions!$C$5,D2372)),Assumptions!$D$5,IF(ISNUMBER(SEARCH(Assumptions!$C$6,D2372)),Assumptions!$D$6,IF(ISNUMBER(SEARCH(Assumptions!$C$7,D2372)),Assumptions!$D$7,"Other Services"))),"Other Services"))</f>
        <v/>
      </c>
    </row>
    <row r="2373" customFormat="false" ht="15" hidden="false" customHeight="false" outlineLevel="0" collapsed="false">
      <c r="F2373" s="41" t="str">
        <f aca="false">IF(D2373="","",IFERROR(IF(ISNUMBER(SEARCH(Assumptions!$C$5,D2373)),Assumptions!$D$5,IF(ISNUMBER(SEARCH(Assumptions!$C$6,D2373)),Assumptions!$D$6,IF(ISNUMBER(SEARCH(Assumptions!$C$7,D2373)),Assumptions!$D$7,"Other Services"))),"Other Services"))</f>
        <v/>
      </c>
    </row>
    <row r="2374" customFormat="false" ht="15" hidden="false" customHeight="false" outlineLevel="0" collapsed="false">
      <c r="F2374" s="41" t="str">
        <f aca="false">IF(D2374="","",IFERROR(IF(ISNUMBER(SEARCH(Assumptions!$C$5,D2374)),Assumptions!$D$5,IF(ISNUMBER(SEARCH(Assumptions!$C$6,D2374)),Assumptions!$D$6,IF(ISNUMBER(SEARCH(Assumptions!$C$7,D2374)),Assumptions!$D$7,"Other Services"))),"Other Services"))</f>
        <v/>
      </c>
    </row>
    <row r="2375" customFormat="false" ht="15" hidden="false" customHeight="false" outlineLevel="0" collapsed="false">
      <c r="F2375" s="41" t="str">
        <f aca="false">IF(D2375="","",IFERROR(IF(ISNUMBER(SEARCH(Assumptions!$C$5,D2375)),Assumptions!$D$5,IF(ISNUMBER(SEARCH(Assumptions!$C$6,D2375)),Assumptions!$D$6,IF(ISNUMBER(SEARCH(Assumptions!$C$7,D2375)),Assumptions!$D$7,"Other Services"))),"Other Services"))</f>
        <v/>
      </c>
    </row>
    <row r="2376" customFormat="false" ht="15" hidden="false" customHeight="false" outlineLevel="0" collapsed="false">
      <c r="F2376" s="41" t="str">
        <f aca="false">IF(D2376="","",IFERROR(IF(ISNUMBER(SEARCH(Assumptions!$C$5,D2376)),Assumptions!$D$5,IF(ISNUMBER(SEARCH(Assumptions!$C$6,D2376)),Assumptions!$D$6,IF(ISNUMBER(SEARCH(Assumptions!$C$7,D2376)),Assumptions!$D$7,"Other Services"))),"Other Services"))</f>
        <v/>
      </c>
    </row>
    <row r="2377" customFormat="false" ht="15" hidden="false" customHeight="false" outlineLevel="0" collapsed="false">
      <c r="F2377" s="41" t="str">
        <f aca="false">IF(D2377="","",IFERROR(IF(ISNUMBER(SEARCH(Assumptions!$C$5,D2377)),Assumptions!$D$5,IF(ISNUMBER(SEARCH(Assumptions!$C$6,D2377)),Assumptions!$D$6,IF(ISNUMBER(SEARCH(Assumptions!$C$7,D2377)),Assumptions!$D$7,"Other Services"))),"Other Services"))</f>
        <v/>
      </c>
    </row>
    <row r="2378" customFormat="false" ht="15" hidden="false" customHeight="false" outlineLevel="0" collapsed="false">
      <c r="F2378" s="41" t="str">
        <f aca="false">IF(D2378="","",IFERROR(IF(ISNUMBER(SEARCH(Assumptions!$C$5,D2378)),Assumptions!$D$5,IF(ISNUMBER(SEARCH(Assumptions!$C$6,D2378)),Assumptions!$D$6,IF(ISNUMBER(SEARCH(Assumptions!$C$7,D2378)),Assumptions!$D$7,"Other Services"))),"Other Services"))</f>
        <v/>
      </c>
    </row>
    <row r="2379" customFormat="false" ht="15" hidden="false" customHeight="false" outlineLevel="0" collapsed="false">
      <c r="F2379" s="41" t="str">
        <f aca="false">IF(D2379="","",IFERROR(IF(ISNUMBER(SEARCH(Assumptions!$C$5,D2379)),Assumptions!$D$5,IF(ISNUMBER(SEARCH(Assumptions!$C$6,D2379)),Assumptions!$D$6,IF(ISNUMBER(SEARCH(Assumptions!$C$7,D2379)),Assumptions!$D$7,"Other Services"))),"Other Services"))</f>
        <v/>
      </c>
    </row>
    <row r="2380" customFormat="false" ht="15" hidden="false" customHeight="false" outlineLevel="0" collapsed="false">
      <c r="F2380" s="41" t="str">
        <f aca="false">IF(D2380="","",IFERROR(IF(ISNUMBER(SEARCH(Assumptions!$C$5,D2380)),Assumptions!$D$5,IF(ISNUMBER(SEARCH(Assumptions!$C$6,D2380)),Assumptions!$D$6,IF(ISNUMBER(SEARCH(Assumptions!$C$7,D2380)),Assumptions!$D$7,"Other Services"))),"Other Services"))</f>
        <v/>
      </c>
    </row>
    <row r="2381" customFormat="false" ht="15" hidden="false" customHeight="false" outlineLevel="0" collapsed="false">
      <c r="F2381" s="41" t="str">
        <f aca="false">IF(D2381="","",IFERROR(IF(ISNUMBER(SEARCH(Assumptions!$C$5,D2381)),Assumptions!$D$5,IF(ISNUMBER(SEARCH(Assumptions!$C$6,D2381)),Assumptions!$D$6,IF(ISNUMBER(SEARCH(Assumptions!$C$7,D2381)),Assumptions!$D$7,"Other Services"))),"Other Services"))</f>
        <v/>
      </c>
    </row>
    <row r="2382" customFormat="false" ht="15" hidden="false" customHeight="false" outlineLevel="0" collapsed="false">
      <c r="F2382" s="41" t="str">
        <f aca="false">IF(D2382="","",IFERROR(IF(ISNUMBER(SEARCH(Assumptions!$C$5,D2382)),Assumptions!$D$5,IF(ISNUMBER(SEARCH(Assumptions!$C$6,D2382)),Assumptions!$D$6,IF(ISNUMBER(SEARCH(Assumptions!$C$7,D2382)),Assumptions!$D$7,"Other Services"))),"Other Services"))</f>
        <v/>
      </c>
    </row>
    <row r="2383" customFormat="false" ht="15" hidden="false" customHeight="false" outlineLevel="0" collapsed="false">
      <c r="F2383" s="41" t="str">
        <f aca="false">IF(D2383="","",IFERROR(IF(ISNUMBER(SEARCH(Assumptions!$C$5,D2383)),Assumptions!$D$5,IF(ISNUMBER(SEARCH(Assumptions!$C$6,D2383)),Assumptions!$D$6,IF(ISNUMBER(SEARCH(Assumptions!$C$7,D2383)),Assumptions!$D$7,"Other Services"))),"Other Services"))</f>
        <v/>
      </c>
    </row>
    <row r="2384" customFormat="false" ht="15" hidden="false" customHeight="false" outlineLevel="0" collapsed="false">
      <c r="F2384" s="41" t="str">
        <f aca="false">IF(D2384="","",IFERROR(IF(ISNUMBER(SEARCH(Assumptions!$C$5,D2384)),Assumptions!$D$5,IF(ISNUMBER(SEARCH(Assumptions!$C$6,D2384)),Assumptions!$D$6,IF(ISNUMBER(SEARCH(Assumptions!$C$7,D2384)),Assumptions!$D$7,"Other Services"))),"Other Services"))</f>
        <v/>
      </c>
    </row>
    <row r="2385" customFormat="false" ht="15" hidden="false" customHeight="false" outlineLevel="0" collapsed="false">
      <c r="F2385" s="41" t="str">
        <f aca="false">IF(D2385="","",IFERROR(IF(ISNUMBER(SEARCH(Assumptions!$C$5,D2385)),Assumptions!$D$5,IF(ISNUMBER(SEARCH(Assumptions!$C$6,D2385)),Assumptions!$D$6,IF(ISNUMBER(SEARCH(Assumptions!$C$7,D2385)),Assumptions!$D$7,"Other Services"))),"Other Services"))</f>
        <v/>
      </c>
    </row>
    <row r="2386" customFormat="false" ht="15" hidden="false" customHeight="false" outlineLevel="0" collapsed="false">
      <c r="F2386" s="41" t="str">
        <f aca="false">IF(D2386="","",IFERROR(IF(ISNUMBER(SEARCH(Assumptions!$C$5,D2386)),Assumptions!$D$5,IF(ISNUMBER(SEARCH(Assumptions!$C$6,D2386)),Assumptions!$D$6,IF(ISNUMBER(SEARCH(Assumptions!$C$7,D2386)),Assumptions!$D$7,"Other Services"))),"Other Services"))</f>
        <v/>
      </c>
    </row>
    <row r="2387" customFormat="false" ht="15" hidden="false" customHeight="false" outlineLevel="0" collapsed="false">
      <c r="F2387" s="41" t="str">
        <f aca="false">IF(D2387="","",IFERROR(IF(ISNUMBER(SEARCH(Assumptions!$C$5,D2387)),Assumptions!$D$5,IF(ISNUMBER(SEARCH(Assumptions!$C$6,D2387)),Assumptions!$D$6,IF(ISNUMBER(SEARCH(Assumptions!$C$7,D2387)),Assumptions!$D$7,"Other Services"))),"Other Services"))</f>
        <v/>
      </c>
    </row>
    <row r="2388" customFormat="false" ht="15" hidden="false" customHeight="false" outlineLevel="0" collapsed="false">
      <c r="F2388" s="41" t="str">
        <f aca="false">IF(D2388="","",IFERROR(IF(ISNUMBER(SEARCH(Assumptions!$C$5,D2388)),Assumptions!$D$5,IF(ISNUMBER(SEARCH(Assumptions!$C$6,D2388)),Assumptions!$D$6,IF(ISNUMBER(SEARCH(Assumptions!$C$7,D2388)),Assumptions!$D$7,"Other Services"))),"Other Services"))</f>
        <v/>
      </c>
    </row>
    <row r="2389" customFormat="false" ht="15" hidden="false" customHeight="false" outlineLevel="0" collapsed="false">
      <c r="F2389" s="41" t="str">
        <f aca="false">IF(D2389="","",IFERROR(IF(ISNUMBER(SEARCH(Assumptions!$C$5,D2389)),Assumptions!$D$5,IF(ISNUMBER(SEARCH(Assumptions!$C$6,D2389)),Assumptions!$D$6,IF(ISNUMBER(SEARCH(Assumptions!$C$7,D2389)),Assumptions!$D$7,"Other Services"))),"Other Services"))</f>
        <v/>
      </c>
    </row>
    <row r="2390" customFormat="false" ht="15" hidden="false" customHeight="false" outlineLevel="0" collapsed="false">
      <c r="F2390" s="41" t="str">
        <f aca="false">IF(D2390="","",IFERROR(IF(ISNUMBER(SEARCH(Assumptions!$C$5,D2390)),Assumptions!$D$5,IF(ISNUMBER(SEARCH(Assumptions!$C$6,D2390)),Assumptions!$D$6,IF(ISNUMBER(SEARCH(Assumptions!$C$7,D2390)),Assumptions!$D$7,"Other Services"))),"Other Services"))</f>
        <v/>
      </c>
    </row>
    <row r="2391" customFormat="false" ht="15" hidden="false" customHeight="false" outlineLevel="0" collapsed="false">
      <c r="F2391" s="41" t="str">
        <f aca="false">IF(D2391="","",IFERROR(IF(ISNUMBER(SEARCH(Assumptions!$C$5,D2391)),Assumptions!$D$5,IF(ISNUMBER(SEARCH(Assumptions!$C$6,D2391)),Assumptions!$D$6,IF(ISNUMBER(SEARCH(Assumptions!$C$7,D2391)),Assumptions!$D$7,"Other Services"))),"Other Services"))</f>
        <v/>
      </c>
    </row>
    <row r="2392" customFormat="false" ht="15" hidden="false" customHeight="false" outlineLevel="0" collapsed="false">
      <c r="F2392" s="41" t="str">
        <f aca="false">IF(D2392="","",IFERROR(IF(ISNUMBER(SEARCH(Assumptions!$C$5,D2392)),Assumptions!$D$5,IF(ISNUMBER(SEARCH(Assumptions!$C$6,D2392)),Assumptions!$D$6,IF(ISNUMBER(SEARCH(Assumptions!$C$7,D2392)),Assumptions!$D$7,"Other Services"))),"Other Services"))</f>
        <v/>
      </c>
    </row>
    <row r="2393" customFormat="false" ht="15" hidden="false" customHeight="false" outlineLevel="0" collapsed="false">
      <c r="F2393" s="41" t="str">
        <f aca="false">IF(D2393="","",IFERROR(IF(ISNUMBER(SEARCH(Assumptions!$C$5,D2393)),Assumptions!$D$5,IF(ISNUMBER(SEARCH(Assumptions!$C$6,D2393)),Assumptions!$D$6,IF(ISNUMBER(SEARCH(Assumptions!$C$7,D2393)),Assumptions!$D$7,"Other Services"))),"Other Services"))</f>
        <v/>
      </c>
    </row>
    <row r="2394" customFormat="false" ht="15" hidden="false" customHeight="false" outlineLevel="0" collapsed="false">
      <c r="F2394" s="41" t="str">
        <f aca="false">IF(D2394="","",IFERROR(IF(ISNUMBER(SEARCH(Assumptions!$C$5,D2394)),Assumptions!$D$5,IF(ISNUMBER(SEARCH(Assumptions!$C$6,D2394)),Assumptions!$D$6,IF(ISNUMBER(SEARCH(Assumptions!$C$7,D2394)),Assumptions!$D$7,"Other Services"))),"Other Services"))</f>
        <v/>
      </c>
    </row>
    <row r="2395" customFormat="false" ht="15" hidden="false" customHeight="false" outlineLevel="0" collapsed="false">
      <c r="F2395" s="41" t="str">
        <f aca="false">IF(D2395="","",IFERROR(IF(ISNUMBER(SEARCH(Assumptions!$C$5,D2395)),Assumptions!$D$5,IF(ISNUMBER(SEARCH(Assumptions!$C$6,D2395)),Assumptions!$D$6,IF(ISNUMBER(SEARCH(Assumptions!$C$7,D2395)),Assumptions!$D$7,"Other Services"))),"Other Services"))</f>
        <v/>
      </c>
    </row>
    <row r="2396" customFormat="false" ht="15" hidden="false" customHeight="false" outlineLevel="0" collapsed="false">
      <c r="F2396" s="41" t="str">
        <f aca="false">IF(D2396="","",IFERROR(IF(ISNUMBER(SEARCH(Assumptions!$C$5,D2396)),Assumptions!$D$5,IF(ISNUMBER(SEARCH(Assumptions!$C$6,D2396)),Assumptions!$D$6,IF(ISNUMBER(SEARCH(Assumptions!$C$7,D2396)),Assumptions!$D$7,"Other Services"))),"Other Services"))</f>
        <v/>
      </c>
    </row>
    <row r="2397" customFormat="false" ht="15" hidden="false" customHeight="false" outlineLevel="0" collapsed="false">
      <c r="F2397" s="41" t="str">
        <f aca="false">IF(D2397="","",IFERROR(IF(ISNUMBER(SEARCH(Assumptions!$C$5,D2397)),Assumptions!$D$5,IF(ISNUMBER(SEARCH(Assumptions!$C$6,D2397)),Assumptions!$D$6,IF(ISNUMBER(SEARCH(Assumptions!$C$7,D2397)),Assumptions!$D$7,"Other Services"))),"Other Services"))</f>
        <v/>
      </c>
    </row>
    <row r="2398" customFormat="false" ht="15" hidden="false" customHeight="false" outlineLevel="0" collapsed="false">
      <c r="F2398" s="41" t="str">
        <f aca="false">IF(D2398="","",IFERROR(IF(ISNUMBER(SEARCH(Assumptions!$C$5,D2398)),Assumptions!$D$5,IF(ISNUMBER(SEARCH(Assumptions!$C$6,D2398)),Assumptions!$D$6,IF(ISNUMBER(SEARCH(Assumptions!$C$7,D2398)),Assumptions!$D$7,"Other Services"))),"Other Services"))</f>
        <v/>
      </c>
    </row>
    <row r="2399" customFormat="false" ht="15" hidden="false" customHeight="false" outlineLevel="0" collapsed="false">
      <c r="F2399" s="41" t="str">
        <f aca="false">IF(D2399="","",IFERROR(IF(ISNUMBER(SEARCH(Assumptions!$C$5,D2399)),Assumptions!$D$5,IF(ISNUMBER(SEARCH(Assumptions!$C$6,D2399)),Assumptions!$D$6,IF(ISNUMBER(SEARCH(Assumptions!$C$7,D2399)),Assumptions!$D$7,"Other Services"))),"Other Services"))</f>
        <v/>
      </c>
    </row>
    <row r="2400" customFormat="false" ht="15" hidden="false" customHeight="false" outlineLevel="0" collapsed="false">
      <c r="F2400" s="41" t="str">
        <f aca="false">IF(D2400="","",IFERROR(IF(ISNUMBER(SEARCH(Assumptions!$C$5,D2400)),Assumptions!$D$5,IF(ISNUMBER(SEARCH(Assumptions!$C$6,D2400)),Assumptions!$D$6,IF(ISNUMBER(SEARCH(Assumptions!$C$7,D2400)),Assumptions!$D$7,"Other Services"))),"Other Services"))</f>
        <v/>
      </c>
    </row>
    <row r="2401" customFormat="false" ht="15" hidden="false" customHeight="false" outlineLevel="0" collapsed="false">
      <c r="F2401" s="41" t="str">
        <f aca="false">IF(D2401="","",IFERROR(IF(ISNUMBER(SEARCH(Assumptions!$C$5,D2401)),Assumptions!$D$5,IF(ISNUMBER(SEARCH(Assumptions!$C$6,D2401)),Assumptions!$D$6,IF(ISNUMBER(SEARCH(Assumptions!$C$7,D2401)),Assumptions!$D$7,"Other Services"))),"Other Services"))</f>
        <v/>
      </c>
    </row>
    <row r="2402" customFormat="false" ht="15" hidden="false" customHeight="false" outlineLevel="0" collapsed="false">
      <c r="F2402" s="41" t="str">
        <f aca="false">IF(D2402="","",IFERROR(IF(ISNUMBER(SEARCH(Assumptions!$C$5,D2402)),Assumptions!$D$5,IF(ISNUMBER(SEARCH(Assumptions!$C$6,D2402)),Assumptions!$D$6,IF(ISNUMBER(SEARCH(Assumptions!$C$7,D2402)),Assumptions!$D$7,"Other Services"))),"Other Services"))</f>
        <v/>
      </c>
    </row>
    <row r="2403" customFormat="false" ht="15" hidden="false" customHeight="false" outlineLevel="0" collapsed="false">
      <c r="F2403" s="41" t="str">
        <f aca="false">IF(D2403="","",IFERROR(IF(ISNUMBER(SEARCH(Assumptions!$C$5,D2403)),Assumptions!$D$5,IF(ISNUMBER(SEARCH(Assumptions!$C$6,D2403)),Assumptions!$D$6,IF(ISNUMBER(SEARCH(Assumptions!$C$7,D2403)),Assumptions!$D$7,"Other Services"))),"Other Services"))</f>
        <v/>
      </c>
    </row>
    <row r="2404" customFormat="false" ht="15" hidden="false" customHeight="false" outlineLevel="0" collapsed="false">
      <c r="F2404" s="41" t="str">
        <f aca="false">IF(D2404="","",IFERROR(IF(ISNUMBER(SEARCH(Assumptions!$C$5,D2404)),Assumptions!$D$5,IF(ISNUMBER(SEARCH(Assumptions!$C$6,D2404)),Assumptions!$D$6,IF(ISNUMBER(SEARCH(Assumptions!$C$7,D2404)),Assumptions!$D$7,"Other Services"))),"Other Services"))</f>
        <v/>
      </c>
    </row>
    <row r="2405" customFormat="false" ht="15" hidden="false" customHeight="false" outlineLevel="0" collapsed="false">
      <c r="F2405" s="41" t="str">
        <f aca="false">IF(D2405="","",IFERROR(IF(ISNUMBER(SEARCH(Assumptions!$C$5,D2405)),Assumptions!$D$5,IF(ISNUMBER(SEARCH(Assumptions!$C$6,D2405)),Assumptions!$D$6,IF(ISNUMBER(SEARCH(Assumptions!$C$7,D2405)),Assumptions!$D$7,"Other Services"))),"Other Services"))</f>
        <v/>
      </c>
    </row>
    <row r="2406" customFormat="false" ht="15" hidden="false" customHeight="false" outlineLevel="0" collapsed="false">
      <c r="F2406" s="41" t="str">
        <f aca="false">IF(D2406="","",IFERROR(IF(ISNUMBER(SEARCH(Assumptions!$C$5,D2406)),Assumptions!$D$5,IF(ISNUMBER(SEARCH(Assumptions!$C$6,D2406)),Assumptions!$D$6,IF(ISNUMBER(SEARCH(Assumptions!$C$7,D2406)),Assumptions!$D$7,"Other Services"))),"Other Services"))</f>
        <v/>
      </c>
    </row>
    <row r="2407" customFormat="false" ht="15" hidden="false" customHeight="false" outlineLevel="0" collapsed="false">
      <c r="F2407" s="41" t="str">
        <f aca="false">IF(D2407="","",IFERROR(IF(ISNUMBER(SEARCH(Assumptions!$C$5,D2407)),Assumptions!$D$5,IF(ISNUMBER(SEARCH(Assumptions!$C$6,D2407)),Assumptions!$D$6,IF(ISNUMBER(SEARCH(Assumptions!$C$7,D2407)),Assumptions!$D$7,"Other Services"))),"Other Services"))</f>
        <v/>
      </c>
    </row>
    <row r="2408" customFormat="false" ht="15" hidden="false" customHeight="false" outlineLevel="0" collapsed="false">
      <c r="F2408" s="41" t="str">
        <f aca="false">IF(D2408="","",IFERROR(IF(ISNUMBER(SEARCH(Assumptions!$C$5,D2408)),Assumptions!$D$5,IF(ISNUMBER(SEARCH(Assumptions!$C$6,D2408)),Assumptions!$D$6,IF(ISNUMBER(SEARCH(Assumptions!$C$7,D2408)),Assumptions!$D$7,"Other Services"))),"Other Services"))</f>
        <v/>
      </c>
    </row>
    <row r="2409" customFormat="false" ht="15" hidden="false" customHeight="false" outlineLevel="0" collapsed="false">
      <c r="F2409" s="41" t="str">
        <f aca="false">IF(D2409="","",IFERROR(IF(ISNUMBER(SEARCH(Assumptions!$C$5,D2409)),Assumptions!$D$5,IF(ISNUMBER(SEARCH(Assumptions!$C$6,D2409)),Assumptions!$D$6,IF(ISNUMBER(SEARCH(Assumptions!$C$7,D2409)),Assumptions!$D$7,"Other Services"))),"Other Services"))</f>
        <v/>
      </c>
    </row>
    <row r="2410" customFormat="false" ht="15" hidden="false" customHeight="false" outlineLevel="0" collapsed="false">
      <c r="F2410" s="41" t="str">
        <f aca="false">IF(D2410="","",IFERROR(IF(ISNUMBER(SEARCH(Assumptions!$C$5,D2410)),Assumptions!$D$5,IF(ISNUMBER(SEARCH(Assumptions!$C$6,D2410)),Assumptions!$D$6,IF(ISNUMBER(SEARCH(Assumptions!$C$7,D2410)),Assumptions!$D$7,"Other Services"))),"Other Services"))</f>
        <v/>
      </c>
    </row>
    <row r="2411" customFormat="false" ht="15" hidden="false" customHeight="false" outlineLevel="0" collapsed="false">
      <c r="F2411" s="41" t="str">
        <f aca="false">IF(D2411="","",IFERROR(IF(ISNUMBER(SEARCH(Assumptions!$C$5,D2411)),Assumptions!$D$5,IF(ISNUMBER(SEARCH(Assumptions!$C$6,D2411)),Assumptions!$D$6,IF(ISNUMBER(SEARCH(Assumptions!$C$7,D2411)),Assumptions!$D$7,"Other Services"))),"Other Services"))</f>
        <v/>
      </c>
    </row>
    <row r="2412" customFormat="false" ht="15" hidden="false" customHeight="false" outlineLevel="0" collapsed="false">
      <c r="F2412" s="41" t="str">
        <f aca="false">IF(D2412="","",IFERROR(IF(ISNUMBER(SEARCH(Assumptions!$C$5,D2412)),Assumptions!$D$5,IF(ISNUMBER(SEARCH(Assumptions!$C$6,D2412)),Assumptions!$D$6,IF(ISNUMBER(SEARCH(Assumptions!$C$7,D2412)),Assumptions!$D$7,"Other Services"))),"Other Services"))</f>
        <v/>
      </c>
    </row>
    <row r="2413" customFormat="false" ht="15" hidden="false" customHeight="false" outlineLevel="0" collapsed="false">
      <c r="F2413" s="41" t="str">
        <f aca="false">IF(D2413="","",IFERROR(IF(ISNUMBER(SEARCH(Assumptions!$C$5,D2413)),Assumptions!$D$5,IF(ISNUMBER(SEARCH(Assumptions!$C$6,D2413)),Assumptions!$D$6,IF(ISNUMBER(SEARCH(Assumptions!$C$7,D2413)),Assumptions!$D$7,"Other Services"))),"Other Services"))</f>
        <v/>
      </c>
    </row>
    <row r="2414" customFormat="false" ht="15" hidden="false" customHeight="false" outlineLevel="0" collapsed="false">
      <c r="F2414" s="41" t="str">
        <f aca="false">IF(D2414="","",IFERROR(IF(ISNUMBER(SEARCH(Assumptions!$C$5,D2414)),Assumptions!$D$5,IF(ISNUMBER(SEARCH(Assumptions!$C$6,D2414)),Assumptions!$D$6,IF(ISNUMBER(SEARCH(Assumptions!$C$7,D2414)),Assumptions!$D$7,"Other Services"))),"Other Services"))</f>
        <v/>
      </c>
    </row>
    <row r="2415" customFormat="false" ht="15" hidden="false" customHeight="false" outlineLevel="0" collapsed="false">
      <c r="F2415" s="41" t="str">
        <f aca="false">IF(D2415="","",IFERROR(IF(ISNUMBER(SEARCH(Assumptions!$C$5,D2415)),Assumptions!$D$5,IF(ISNUMBER(SEARCH(Assumptions!$C$6,D2415)),Assumptions!$D$6,IF(ISNUMBER(SEARCH(Assumptions!$C$7,D2415)),Assumptions!$D$7,"Other Services"))),"Other Services"))</f>
        <v/>
      </c>
    </row>
    <row r="2416" customFormat="false" ht="15" hidden="false" customHeight="false" outlineLevel="0" collapsed="false">
      <c r="F2416" s="41" t="str">
        <f aca="false">IF(D2416="","",IFERROR(IF(ISNUMBER(SEARCH(Assumptions!$C$5,D2416)),Assumptions!$D$5,IF(ISNUMBER(SEARCH(Assumptions!$C$6,D2416)),Assumptions!$D$6,IF(ISNUMBER(SEARCH(Assumptions!$C$7,D2416)),Assumptions!$D$7,"Other Services"))),"Other Services"))</f>
        <v/>
      </c>
    </row>
    <row r="2417" customFormat="false" ht="15" hidden="false" customHeight="false" outlineLevel="0" collapsed="false">
      <c r="F2417" s="41" t="str">
        <f aca="false">IF(D2417="","",IFERROR(IF(ISNUMBER(SEARCH(Assumptions!$C$5,D2417)),Assumptions!$D$5,IF(ISNUMBER(SEARCH(Assumptions!$C$6,D2417)),Assumptions!$D$6,IF(ISNUMBER(SEARCH(Assumptions!$C$7,D2417)),Assumptions!$D$7,"Other Services"))),"Other Services"))</f>
        <v/>
      </c>
    </row>
    <row r="2418" customFormat="false" ht="15" hidden="false" customHeight="false" outlineLevel="0" collapsed="false">
      <c r="F2418" s="41" t="str">
        <f aca="false">IF(D2418="","",IFERROR(IF(ISNUMBER(SEARCH(Assumptions!$C$5,D2418)),Assumptions!$D$5,IF(ISNUMBER(SEARCH(Assumptions!$C$6,D2418)),Assumptions!$D$6,IF(ISNUMBER(SEARCH(Assumptions!$C$7,D2418)),Assumptions!$D$7,"Other Services"))),"Other Services"))</f>
        <v/>
      </c>
    </row>
    <row r="2419" customFormat="false" ht="15" hidden="false" customHeight="false" outlineLevel="0" collapsed="false">
      <c r="F2419" s="41" t="str">
        <f aca="false">IF(D2419="","",IFERROR(IF(ISNUMBER(SEARCH(Assumptions!$C$5,D2419)),Assumptions!$D$5,IF(ISNUMBER(SEARCH(Assumptions!$C$6,D2419)),Assumptions!$D$6,IF(ISNUMBER(SEARCH(Assumptions!$C$7,D2419)),Assumptions!$D$7,"Other Services"))),"Other Services"))</f>
        <v/>
      </c>
    </row>
    <row r="2420" customFormat="false" ht="15" hidden="false" customHeight="false" outlineLevel="0" collapsed="false">
      <c r="F2420" s="41" t="str">
        <f aca="false">IF(D2420="","",IFERROR(IF(ISNUMBER(SEARCH(Assumptions!$C$5,D2420)),Assumptions!$D$5,IF(ISNUMBER(SEARCH(Assumptions!$C$6,D2420)),Assumptions!$D$6,IF(ISNUMBER(SEARCH(Assumptions!$C$7,D2420)),Assumptions!$D$7,"Other Services"))),"Other Services"))</f>
        <v/>
      </c>
    </row>
    <row r="2421" customFormat="false" ht="15" hidden="false" customHeight="false" outlineLevel="0" collapsed="false">
      <c r="F2421" s="41" t="str">
        <f aca="false">IF(D2421="","",IFERROR(IF(ISNUMBER(SEARCH(Assumptions!$C$5,D2421)),Assumptions!$D$5,IF(ISNUMBER(SEARCH(Assumptions!$C$6,D2421)),Assumptions!$D$6,IF(ISNUMBER(SEARCH(Assumptions!$C$7,D2421)),Assumptions!$D$7,"Other Services"))),"Other Services"))</f>
        <v/>
      </c>
    </row>
    <row r="2422" customFormat="false" ht="15" hidden="false" customHeight="false" outlineLevel="0" collapsed="false">
      <c r="F2422" s="41" t="str">
        <f aca="false">IF(D2422="","",IFERROR(IF(ISNUMBER(SEARCH(Assumptions!$C$5,D2422)),Assumptions!$D$5,IF(ISNUMBER(SEARCH(Assumptions!$C$6,D2422)),Assumptions!$D$6,IF(ISNUMBER(SEARCH(Assumptions!$C$7,D2422)),Assumptions!$D$7,"Other Services"))),"Other Services"))</f>
        <v/>
      </c>
    </row>
    <row r="2423" customFormat="false" ht="15" hidden="false" customHeight="false" outlineLevel="0" collapsed="false">
      <c r="F2423" s="41" t="str">
        <f aca="false">IF(D2423="","",IFERROR(IF(ISNUMBER(SEARCH(Assumptions!$C$5,D2423)),Assumptions!$D$5,IF(ISNUMBER(SEARCH(Assumptions!$C$6,D2423)),Assumptions!$D$6,IF(ISNUMBER(SEARCH(Assumptions!$C$7,D2423)),Assumptions!$D$7,"Other Services"))),"Other Services"))</f>
        <v/>
      </c>
    </row>
    <row r="2424" customFormat="false" ht="15" hidden="false" customHeight="false" outlineLevel="0" collapsed="false">
      <c r="F2424" s="41" t="str">
        <f aca="false">IF(D2424="","",IFERROR(IF(ISNUMBER(SEARCH(Assumptions!$C$5,D2424)),Assumptions!$D$5,IF(ISNUMBER(SEARCH(Assumptions!$C$6,D2424)),Assumptions!$D$6,IF(ISNUMBER(SEARCH(Assumptions!$C$7,D2424)),Assumptions!$D$7,"Other Services"))),"Other Services"))</f>
        <v/>
      </c>
    </row>
    <row r="2425" customFormat="false" ht="15" hidden="false" customHeight="false" outlineLevel="0" collapsed="false">
      <c r="F2425" s="41" t="str">
        <f aca="false">IF(D2425="","",IFERROR(IF(ISNUMBER(SEARCH(Assumptions!$C$5,D2425)),Assumptions!$D$5,IF(ISNUMBER(SEARCH(Assumptions!$C$6,D2425)),Assumptions!$D$6,IF(ISNUMBER(SEARCH(Assumptions!$C$7,D2425)),Assumptions!$D$7,"Other Services"))),"Other Services"))</f>
        <v/>
      </c>
    </row>
    <row r="2426" customFormat="false" ht="15" hidden="false" customHeight="false" outlineLevel="0" collapsed="false">
      <c r="F2426" s="41" t="str">
        <f aca="false">IF(D2426="","",IFERROR(IF(ISNUMBER(SEARCH(Assumptions!$C$5,D2426)),Assumptions!$D$5,IF(ISNUMBER(SEARCH(Assumptions!$C$6,D2426)),Assumptions!$D$6,IF(ISNUMBER(SEARCH(Assumptions!$C$7,D2426)),Assumptions!$D$7,"Other Services"))),"Other Services"))</f>
        <v/>
      </c>
    </row>
    <row r="2427" customFormat="false" ht="15" hidden="false" customHeight="false" outlineLevel="0" collapsed="false">
      <c r="F2427" s="41" t="str">
        <f aca="false">IF(D2427="","",IFERROR(IF(ISNUMBER(SEARCH(Assumptions!$C$5,D2427)),Assumptions!$D$5,IF(ISNUMBER(SEARCH(Assumptions!$C$6,D2427)),Assumptions!$D$6,IF(ISNUMBER(SEARCH(Assumptions!$C$7,D2427)),Assumptions!$D$7,"Other Services"))),"Other Services"))</f>
        <v/>
      </c>
    </row>
    <row r="2428" customFormat="false" ht="15" hidden="false" customHeight="false" outlineLevel="0" collapsed="false">
      <c r="F2428" s="41" t="str">
        <f aca="false">IF(D2428="","",IFERROR(IF(ISNUMBER(SEARCH(Assumptions!$C$5,D2428)),Assumptions!$D$5,IF(ISNUMBER(SEARCH(Assumptions!$C$6,D2428)),Assumptions!$D$6,IF(ISNUMBER(SEARCH(Assumptions!$C$7,D2428)),Assumptions!$D$7,"Other Services"))),"Other Services"))</f>
        <v/>
      </c>
    </row>
    <row r="2429" customFormat="false" ht="15" hidden="false" customHeight="false" outlineLevel="0" collapsed="false">
      <c r="F2429" s="41" t="str">
        <f aca="false">IF(D2429="","",IFERROR(IF(ISNUMBER(SEARCH(Assumptions!$C$5,D2429)),Assumptions!$D$5,IF(ISNUMBER(SEARCH(Assumptions!$C$6,D2429)),Assumptions!$D$6,IF(ISNUMBER(SEARCH(Assumptions!$C$7,D2429)),Assumptions!$D$7,"Other Services"))),"Other Services"))</f>
        <v/>
      </c>
    </row>
    <row r="2430" customFormat="false" ht="15" hidden="false" customHeight="false" outlineLevel="0" collapsed="false">
      <c r="F2430" s="41" t="str">
        <f aca="false">IF(D2430="","",IFERROR(IF(ISNUMBER(SEARCH(Assumptions!$C$5,D2430)),Assumptions!$D$5,IF(ISNUMBER(SEARCH(Assumptions!$C$6,D2430)),Assumptions!$D$6,IF(ISNUMBER(SEARCH(Assumptions!$C$7,D2430)),Assumptions!$D$7,"Other Services"))),"Other Services"))</f>
        <v/>
      </c>
    </row>
    <row r="2431" customFormat="false" ht="15" hidden="false" customHeight="false" outlineLevel="0" collapsed="false">
      <c r="F2431" s="41" t="str">
        <f aca="false">IF(D2431="","",IFERROR(IF(ISNUMBER(SEARCH(Assumptions!$C$5,D2431)),Assumptions!$D$5,IF(ISNUMBER(SEARCH(Assumptions!$C$6,D2431)),Assumptions!$D$6,IF(ISNUMBER(SEARCH(Assumptions!$C$7,D2431)),Assumptions!$D$7,"Other Services"))),"Other Services"))</f>
        <v/>
      </c>
    </row>
    <row r="2432" customFormat="false" ht="15" hidden="false" customHeight="false" outlineLevel="0" collapsed="false">
      <c r="F2432" s="41" t="str">
        <f aca="false">IF(D2432="","",IFERROR(IF(ISNUMBER(SEARCH(Assumptions!$C$5,D2432)),Assumptions!$D$5,IF(ISNUMBER(SEARCH(Assumptions!$C$6,D2432)),Assumptions!$D$6,IF(ISNUMBER(SEARCH(Assumptions!$C$7,D2432)),Assumptions!$D$7,"Other Services"))),"Other Services"))</f>
        <v/>
      </c>
    </row>
    <row r="2433" customFormat="false" ht="15" hidden="false" customHeight="false" outlineLevel="0" collapsed="false">
      <c r="F2433" s="41" t="str">
        <f aca="false">IF(D2433="","",IFERROR(IF(ISNUMBER(SEARCH(Assumptions!$C$5,D2433)),Assumptions!$D$5,IF(ISNUMBER(SEARCH(Assumptions!$C$6,D2433)),Assumptions!$D$6,IF(ISNUMBER(SEARCH(Assumptions!$C$7,D2433)),Assumptions!$D$7,"Other Services"))),"Other Services"))</f>
        <v/>
      </c>
    </row>
    <row r="2434" customFormat="false" ht="15" hidden="false" customHeight="false" outlineLevel="0" collapsed="false">
      <c r="F2434" s="41" t="str">
        <f aca="false">IF(D2434="","",IFERROR(IF(ISNUMBER(SEARCH(Assumptions!$C$5,D2434)),Assumptions!$D$5,IF(ISNUMBER(SEARCH(Assumptions!$C$6,D2434)),Assumptions!$D$6,IF(ISNUMBER(SEARCH(Assumptions!$C$7,D2434)),Assumptions!$D$7,"Other Services"))),"Other Services"))</f>
        <v/>
      </c>
    </row>
    <row r="2435" customFormat="false" ht="15" hidden="false" customHeight="false" outlineLevel="0" collapsed="false">
      <c r="F2435" s="41" t="str">
        <f aca="false">IF(D2435="","",IFERROR(IF(ISNUMBER(SEARCH(Assumptions!$C$5,D2435)),Assumptions!$D$5,IF(ISNUMBER(SEARCH(Assumptions!$C$6,D2435)),Assumptions!$D$6,IF(ISNUMBER(SEARCH(Assumptions!$C$7,D2435)),Assumptions!$D$7,"Other Services"))),"Other Services"))</f>
        <v/>
      </c>
    </row>
    <row r="2436" customFormat="false" ht="15" hidden="false" customHeight="false" outlineLevel="0" collapsed="false">
      <c r="F2436" s="41" t="str">
        <f aca="false">IF(D2436="","",IFERROR(IF(ISNUMBER(SEARCH(Assumptions!$C$5,D2436)),Assumptions!$D$5,IF(ISNUMBER(SEARCH(Assumptions!$C$6,D2436)),Assumptions!$D$6,IF(ISNUMBER(SEARCH(Assumptions!$C$7,D2436)),Assumptions!$D$7,"Other Services"))),"Other Services"))</f>
        <v/>
      </c>
    </row>
    <row r="2437" customFormat="false" ht="15" hidden="false" customHeight="false" outlineLevel="0" collapsed="false">
      <c r="F2437" s="41" t="str">
        <f aca="false">IF(D2437="","",IFERROR(IF(ISNUMBER(SEARCH(Assumptions!$C$5,D2437)),Assumptions!$D$5,IF(ISNUMBER(SEARCH(Assumptions!$C$6,D2437)),Assumptions!$D$6,IF(ISNUMBER(SEARCH(Assumptions!$C$7,D2437)),Assumptions!$D$7,"Other Services"))),"Other Services"))</f>
        <v/>
      </c>
    </row>
    <row r="2438" customFormat="false" ht="15" hidden="false" customHeight="false" outlineLevel="0" collapsed="false">
      <c r="F2438" s="41" t="str">
        <f aca="false">IF(D2438="","",IFERROR(IF(ISNUMBER(SEARCH(Assumptions!$C$5,D2438)),Assumptions!$D$5,IF(ISNUMBER(SEARCH(Assumptions!$C$6,D2438)),Assumptions!$D$6,IF(ISNUMBER(SEARCH(Assumptions!$C$7,D2438)),Assumptions!$D$7,"Other Services"))),"Other Services"))</f>
        <v/>
      </c>
    </row>
    <row r="2439" customFormat="false" ht="15" hidden="false" customHeight="false" outlineLevel="0" collapsed="false">
      <c r="F2439" s="41" t="str">
        <f aca="false">IF(D2439="","",IFERROR(IF(ISNUMBER(SEARCH(Assumptions!$C$5,D2439)),Assumptions!$D$5,IF(ISNUMBER(SEARCH(Assumptions!$C$6,D2439)),Assumptions!$D$6,IF(ISNUMBER(SEARCH(Assumptions!$C$7,D2439)),Assumptions!$D$7,"Other Services"))),"Other Services"))</f>
        <v/>
      </c>
    </row>
    <row r="2440" customFormat="false" ht="15" hidden="false" customHeight="false" outlineLevel="0" collapsed="false">
      <c r="F2440" s="41" t="str">
        <f aca="false">IF(D2440="","",IFERROR(IF(ISNUMBER(SEARCH(Assumptions!$C$5,D2440)),Assumptions!$D$5,IF(ISNUMBER(SEARCH(Assumptions!$C$6,D2440)),Assumptions!$D$6,IF(ISNUMBER(SEARCH(Assumptions!$C$7,D2440)),Assumptions!$D$7,"Other Services"))),"Other Services"))</f>
        <v/>
      </c>
    </row>
    <row r="2441" customFormat="false" ht="15" hidden="false" customHeight="false" outlineLevel="0" collapsed="false">
      <c r="F2441" s="41" t="str">
        <f aca="false">IF(D2441="","",IFERROR(IF(ISNUMBER(SEARCH(Assumptions!$C$5,D2441)),Assumptions!$D$5,IF(ISNUMBER(SEARCH(Assumptions!$C$6,D2441)),Assumptions!$D$6,IF(ISNUMBER(SEARCH(Assumptions!$C$7,D2441)),Assumptions!$D$7,"Other Services"))),"Other Services"))</f>
        <v/>
      </c>
    </row>
    <row r="2442" customFormat="false" ht="15" hidden="false" customHeight="false" outlineLevel="0" collapsed="false">
      <c r="F2442" s="41" t="str">
        <f aca="false">IF(D2442="","",IFERROR(IF(ISNUMBER(SEARCH(Assumptions!$C$5,D2442)),Assumptions!$D$5,IF(ISNUMBER(SEARCH(Assumptions!$C$6,D2442)),Assumptions!$D$6,IF(ISNUMBER(SEARCH(Assumptions!$C$7,D2442)),Assumptions!$D$7,"Other Services"))),"Other Services"))</f>
        <v/>
      </c>
    </row>
    <row r="2443" customFormat="false" ht="15" hidden="false" customHeight="false" outlineLevel="0" collapsed="false">
      <c r="F2443" s="41" t="str">
        <f aca="false">IF(D2443="","",IFERROR(IF(ISNUMBER(SEARCH(Assumptions!$C$5,D2443)),Assumptions!$D$5,IF(ISNUMBER(SEARCH(Assumptions!$C$6,D2443)),Assumptions!$D$6,IF(ISNUMBER(SEARCH(Assumptions!$C$7,D2443)),Assumptions!$D$7,"Other Services"))),"Other Services"))</f>
        <v/>
      </c>
    </row>
    <row r="2444" customFormat="false" ht="15" hidden="false" customHeight="false" outlineLevel="0" collapsed="false">
      <c r="F2444" s="41" t="str">
        <f aca="false">IF(D2444="","",IFERROR(IF(ISNUMBER(SEARCH(Assumptions!$C$5,D2444)),Assumptions!$D$5,IF(ISNUMBER(SEARCH(Assumptions!$C$6,D2444)),Assumptions!$D$6,IF(ISNUMBER(SEARCH(Assumptions!$C$7,D2444)),Assumptions!$D$7,"Other Services"))),"Other Services"))</f>
        <v/>
      </c>
    </row>
    <row r="2445" customFormat="false" ht="15" hidden="false" customHeight="false" outlineLevel="0" collapsed="false">
      <c r="F2445" s="41" t="str">
        <f aca="false">IF(D2445="","",IFERROR(IF(ISNUMBER(SEARCH(Assumptions!$C$5,D2445)),Assumptions!$D$5,IF(ISNUMBER(SEARCH(Assumptions!$C$6,D2445)),Assumptions!$D$6,IF(ISNUMBER(SEARCH(Assumptions!$C$7,D2445)),Assumptions!$D$7,"Other Services"))),"Other Services"))</f>
        <v/>
      </c>
    </row>
    <row r="2446" customFormat="false" ht="15" hidden="false" customHeight="false" outlineLevel="0" collapsed="false">
      <c r="F2446" s="41" t="str">
        <f aca="false">IF(D2446="","",IFERROR(IF(ISNUMBER(SEARCH(Assumptions!$C$5,D2446)),Assumptions!$D$5,IF(ISNUMBER(SEARCH(Assumptions!$C$6,D2446)),Assumptions!$D$6,IF(ISNUMBER(SEARCH(Assumptions!$C$7,D2446)),Assumptions!$D$7,"Other Services"))),"Other Services"))</f>
        <v/>
      </c>
    </row>
    <row r="2447" customFormat="false" ht="15" hidden="false" customHeight="false" outlineLevel="0" collapsed="false">
      <c r="F2447" s="41" t="str">
        <f aca="false">IF(D2447="","",IFERROR(IF(ISNUMBER(SEARCH(Assumptions!$C$5,D2447)),Assumptions!$D$5,IF(ISNUMBER(SEARCH(Assumptions!$C$6,D2447)),Assumptions!$D$6,IF(ISNUMBER(SEARCH(Assumptions!$C$7,D2447)),Assumptions!$D$7,"Other Services"))),"Other Services"))</f>
        <v/>
      </c>
    </row>
    <row r="2448" customFormat="false" ht="15" hidden="false" customHeight="false" outlineLevel="0" collapsed="false">
      <c r="F2448" s="41" t="str">
        <f aca="false">IF(D2448="","",IFERROR(IF(ISNUMBER(SEARCH(Assumptions!$C$5,D2448)),Assumptions!$D$5,IF(ISNUMBER(SEARCH(Assumptions!$C$6,D2448)),Assumptions!$D$6,IF(ISNUMBER(SEARCH(Assumptions!$C$7,D2448)),Assumptions!$D$7,"Other Services"))),"Other Services"))</f>
        <v/>
      </c>
    </row>
    <row r="2449" customFormat="false" ht="15" hidden="false" customHeight="false" outlineLevel="0" collapsed="false">
      <c r="F2449" s="41" t="str">
        <f aca="false">IF(D2449="","",IFERROR(IF(ISNUMBER(SEARCH(Assumptions!$C$5,D2449)),Assumptions!$D$5,IF(ISNUMBER(SEARCH(Assumptions!$C$6,D2449)),Assumptions!$D$6,IF(ISNUMBER(SEARCH(Assumptions!$C$7,D2449)),Assumptions!$D$7,"Other Services"))),"Other Services"))</f>
        <v/>
      </c>
    </row>
    <row r="2450" customFormat="false" ht="15" hidden="false" customHeight="false" outlineLevel="0" collapsed="false">
      <c r="F2450" s="41" t="str">
        <f aca="false">IF(D2450="","",IFERROR(IF(ISNUMBER(SEARCH(Assumptions!$C$5,D2450)),Assumptions!$D$5,IF(ISNUMBER(SEARCH(Assumptions!$C$6,D2450)),Assumptions!$D$6,IF(ISNUMBER(SEARCH(Assumptions!$C$7,D2450)),Assumptions!$D$7,"Other Services"))),"Other Services"))</f>
        <v/>
      </c>
    </row>
    <row r="2451" customFormat="false" ht="15" hidden="false" customHeight="false" outlineLevel="0" collapsed="false">
      <c r="F2451" s="41" t="str">
        <f aca="false">IF(D2451="","",IFERROR(IF(ISNUMBER(SEARCH(Assumptions!$C$5,D2451)),Assumptions!$D$5,IF(ISNUMBER(SEARCH(Assumptions!$C$6,D2451)),Assumptions!$D$6,IF(ISNUMBER(SEARCH(Assumptions!$C$7,D2451)),Assumptions!$D$7,"Other Services"))),"Other Services"))</f>
        <v/>
      </c>
    </row>
    <row r="2452" customFormat="false" ht="15" hidden="false" customHeight="false" outlineLevel="0" collapsed="false">
      <c r="F2452" s="41" t="str">
        <f aca="false">IF(D2452="","",IFERROR(IF(ISNUMBER(SEARCH(Assumptions!$C$5,D2452)),Assumptions!$D$5,IF(ISNUMBER(SEARCH(Assumptions!$C$6,D2452)),Assumptions!$D$6,IF(ISNUMBER(SEARCH(Assumptions!$C$7,D2452)),Assumptions!$D$7,"Other Services"))),"Other Services"))</f>
        <v/>
      </c>
    </row>
    <row r="2453" customFormat="false" ht="15" hidden="false" customHeight="false" outlineLevel="0" collapsed="false">
      <c r="F2453" s="41" t="str">
        <f aca="false">IF(D2453="","",IFERROR(IF(ISNUMBER(SEARCH(Assumptions!$C$5,D2453)),Assumptions!$D$5,IF(ISNUMBER(SEARCH(Assumptions!$C$6,D2453)),Assumptions!$D$6,IF(ISNUMBER(SEARCH(Assumptions!$C$7,D2453)),Assumptions!$D$7,"Other Services"))),"Other Services"))</f>
        <v/>
      </c>
    </row>
    <row r="2454" customFormat="false" ht="15" hidden="false" customHeight="false" outlineLevel="0" collapsed="false">
      <c r="F2454" s="41" t="str">
        <f aca="false">IF(D2454="","",IFERROR(IF(ISNUMBER(SEARCH(Assumptions!$C$5,D2454)),Assumptions!$D$5,IF(ISNUMBER(SEARCH(Assumptions!$C$6,D2454)),Assumptions!$D$6,IF(ISNUMBER(SEARCH(Assumptions!$C$7,D2454)),Assumptions!$D$7,"Other Services"))),"Other Services"))</f>
        <v/>
      </c>
    </row>
    <row r="2455" customFormat="false" ht="15" hidden="false" customHeight="false" outlineLevel="0" collapsed="false">
      <c r="F2455" s="41" t="str">
        <f aca="false">IF(D2455="","",IFERROR(IF(ISNUMBER(SEARCH(Assumptions!$C$5,D2455)),Assumptions!$D$5,IF(ISNUMBER(SEARCH(Assumptions!$C$6,D2455)),Assumptions!$D$6,IF(ISNUMBER(SEARCH(Assumptions!$C$7,D2455)),Assumptions!$D$7,"Other Services"))),"Other Services"))</f>
        <v/>
      </c>
    </row>
    <row r="2456" customFormat="false" ht="15" hidden="false" customHeight="false" outlineLevel="0" collapsed="false">
      <c r="F2456" s="41" t="str">
        <f aca="false">IF(D2456="","",IFERROR(IF(ISNUMBER(SEARCH(Assumptions!$C$5,D2456)),Assumptions!$D$5,IF(ISNUMBER(SEARCH(Assumptions!$C$6,D2456)),Assumptions!$D$6,IF(ISNUMBER(SEARCH(Assumptions!$C$7,D2456)),Assumptions!$D$7,"Other Services"))),"Other Services"))</f>
        <v/>
      </c>
    </row>
    <row r="2457" customFormat="false" ht="15" hidden="false" customHeight="false" outlineLevel="0" collapsed="false">
      <c r="F2457" s="41" t="str">
        <f aca="false">IF(D2457="","",IFERROR(IF(ISNUMBER(SEARCH(Assumptions!$C$5,D2457)),Assumptions!$D$5,IF(ISNUMBER(SEARCH(Assumptions!$C$6,D2457)),Assumptions!$D$6,IF(ISNUMBER(SEARCH(Assumptions!$C$7,D2457)),Assumptions!$D$7,"Other Services"))),"Other Services"))</f>
        <v/>
      </c>
    </row>
    <row r="2458" customFormat="false" ht="15" hidden="false" customHeight="false" outlineLevel="0" collapsed="false">
      <c r="F2458" s="41" t="str">
        <f aca="false">IF(D2458="","",IFERROR(IF(ISNUMBER(SEARCH(Assumptions!$C$5,D2458)),Assumptions!$D$5,IF(ISNUMBER(SEARCH(Assumptions!$C$6,D2458)),Assumptions!$D$6,IF(ISNUMBER(SEARCH(Assumptions!$C$7,D2458)),Assumptions!$D$7,"Other Services"))),"Other Services"))</f>
        <v/>
      </c>
    </row>
    <row r="2459" customFormat="false" ht="15" hidden="false" customHeight="false" outlineLevel="0" collapsed="false">
      <c r="F2459" s="41" t="str">
        <f aca="false">IF(D2459="","",IFERROR(IF(ISNUMBER(SEARCH(Assumptions!$C$5,D2459)),Assumptions!$D$5,IF(ISNUMBER(SEARCH(Assumptions!$C$6,D2459)),Assumptions!$D$6,IF(ISNUMBER(SEARCH(Assumptions!$C$7,D2459)),Assumptions!$D$7,"Other Services"))),"Other Services"))</f>
        <v/>
      </c>
    </row>
    <row r="2460" customFormat="false" ht="15" hidden="false" customHeight="false" outlineLevel="0" collapsed="false">
      <c r="F2460" s="41" t="str">
        <f aca="false">IF(D2460="","",IFERROR(IF(ISNUMBER(SEARCH(Assumptions!$C$5,D2460)),Assumptions!$D$5,IF(ISNUMBER(SEARCH(Assumptions!$C$6,D2460)),Assumptions!$D$6,IF(ISNUMBER(SEARCH(Assumptions!$C$7,D2460)),Assumptions!$D$7,"Other Services"))),"Other Services"))</f>
        <v/>
      </c>
    </row>
    <row r="2461" customFormat="false" ht="15" hidden="false" customHeight="false" outlineLevel="0" collapsed="false">
      <c r="F2461" s="41" t="str">
        <f aca="false">IF(D2461="","",IFERROR(IF(ISNUMBER(SEARCH(Assumptions!$C$5,D2461)),Assumptions!$D$5,IF(ISNUMBER(SEARCH(Assumptions!$C$6,D2461)),Assumptions!$D$6,IF(ISNUMBER(SEARCH(Assumptions!$C$7,D2461)),Assumptions!$D$7,"Other Services"))),"Other Services"))</f>
        <v/>
      </c>
    </row>
    <row r="2462" customFormat="false" ht="15" hidden="false" customHeight="false" outlineLevel="0" collapsed="false">
      <c r="F2462" s="41" t="str">
        <f aca="false">IF(D2462="","",IFERROR(IF(ISNUMBER(SEARCH(Assumptions!$C$5,D2462)),Assumptions!$D$5,IF(ISNUMBER(SEARCH(Assumptions!$C$6,D2462)),Assumptions!$D$6,IF(ISNUMBER(SEARCH(Assumptions!$C$7,D2462)),Assumptions!$D$7,"Other Services"))),"Other Services"))</f>
        <v/>
      </c>
    </row>
    <row r="2463" customFormat="false" ht="15" hidden="false" customHeight="false" outlineLevel="0" collapsed="false">
      <c r="F2463" s="41" t="str">
        <f aca="false">IF(D2463="","",IFERROR(IF(ISNUMBER(SEARCH(Assumptions!$C$5,D2463)),Assumptions!$D$5,IF(ISNUMBER(SEARCH(Assumptions!$C$6,D2463)),Assumptions!$D$6,IF(ISNUMBER(SEARCH(Assumptions!$C$7,D2463)),Assumptions!$D$7,"Other Services"))),"Other Services"))</f>
        <v/>
      </c>
    </row>
    <row r="2464" customFormat="false" ht="15" hidden="false" customHeight="false" outlineLevel="0" collapsed="false">
      <c r="F2464" s="41" t="str">
        <f aca="false">IF(D2464="","",IFERROR(IF(ISNUMBER(SEARCH(Assumptions!$C$5,D2464)),Assumptions!$D$5,IF(ISNUMBER(SEARCH(Assumptions!$C$6,D2464)),Assumptions!$D$6,IF(ISNUMBER(SEARCH(Assumptions!$C$7,D2464)),Assumptions!$D$7,"Other Services"))),"Other Services"))</f>
        <v/>
      </c>
    </row>
    <row r="2465" customFormat="false" ht="15" hidden="false" customHeight="false" outlineLevel="0" collapsed="false">
      <c r="F2465" s="41" t="str">
        <f aca="false">IF(D2465="","",IFERROR(IF(ISNUMBER(SEARCH(Assumptions!$C$5,D2465)),Assumptions!$D$5,IF(ISNUMBER(SEARCH(Assumptions!$C$6,D2465)),Assumptions!$D$6,IF(ISNUMBER(SEARCH(Assumptions!$C$7,D2465)),Assumptions!$D$7,"Other Services"))),"Other Services"))</f>
        <v/>
      </c>
    </row>
    <row r="2466" customFormat="false" ht="15" hidden="false" customHeight="false" outlineLevel="0" collapsed="false">
      <c r="F2466" s="41" t="str">
        <f aca="false">IF(D2466="","",IFERROR(IF(ISNUMBER(SEARCH(Assumptions!$C$5,D2466)),Assumptions!$D$5,IF(ISNUMBER(SEARCH(Assumptions!$C$6,D2466)),Assumptions!$D$6,IF(ISNUMBER(SEARCH(Assumptions!$C$7,D2466)),Assumptions!$D$7,"Other Services"))),"Other Services"))</f>
        <v/>
      </c>
    </row>
    <row r="2467" customFormat="false" ht="15" hidden="false" customHeight="false" outlineLevel="0" collapsed="false">
      <c r="F2467" s="41" t="str">
        <f aca="false">IF(D2467="","",IFERROR(IF(ISNUMBER(SEARCH(Assumptions!$C$5,D2467)),Assumptions!$D$5,IF(ISNUMBER(SEARCH(Assumptions!$C$6,D2467)),Assumptions!$D$6,IF(ISNUMBER(SEARCH(Assumptions!$C$7,D2467)),Assumptions!$D$7,"Other Services"))),"Other Services"))</f>
        <v/>
      </c>
    </row>
    <row r="2468" customFormat="false" ht="15" hidden="false" customHeight="false" outlineLevel="0" collapsed="false">
      <c r="F2468" s="41" t="str">
        <f aca="false">IF(D2468="","",IFERROR(IF(ISNUMBER(SEARCH(Assumptions!$C$5,D2468)),Assumptions!$D$5,IF(ISNUMBER(SEARCH(Assumptions!$C$6,D2468)),Assumptions!$D$6,IF(ISNUMBER(SEARCH(Assumptions!$C$7,D2468)),Assumptions!$D$7,"Other Services"))),"Other Services"))</f>
        <v/>
      </c>
    </row>
    <row r="2469" customFormat="false" ht="15" hidden="false" customHeight="false" outlineLevel="0" collapsed="false">
      <c r="F2469" s="41" t="str">
        <f aca="false">IF(D2469="","",IFERROR(IF(ISNUMBER(SEARCH(Assumptions!$C$5,D2469)),Assumptions!$D$5,IF(ISNUMBER(SEARCH(Assumptions!$C$6,D2469)),Assumptions!$D$6,IF(ISNUMBER(SEARCH(Assumptions!$C$7,D2469)),Assumptions!$D$7,"Other Services"))),"Other Services"))</f>
        <v/>
      </c>
    </row>
    <row r="2470" customFormat="false" ht="15" hidden="false" customHeight="false" outlineLevel="0" collapsed="false">
      <c r="F2470" s="41" t="str">
        <f aca="false">IF(D2470="","",IFERROR(IF(ISNUMBER(SEARCH(Assumptions!$C$5,D2470)),Assumptions!$D$5,IF(ISNUMBER(SEARCH(Assumptions!$C$6,D2470)),Assumptions!$D$6,IF(ISNUMBER(SEARCH(Assumptions!$C$7,D2470)),Assumptions!$D$7,"Other Services"))),"Other Services"))</f>
        <v/>
      </c>
    </row>
    <row r="2471" customFormat="false" ht="15" hidden="false" customHeight="false" outlineLevel="0" collapsed="false">
      <c r="F2471" s="41" t="str">
        <f aca="false">IF(D2471="","",IFERROR(IF(ISNUMBER(SEARCH(Assumptions!$C$5,D2471)),Assumptions!$D$5,IF(ISNUMBER(SEARCH(Assumptions!$C$6,D2471)),Assumptions!$D$6,IF(ISNUMBER(SEARCH(Assumptions!$C$7,D2471)),Assumptions!$D$7,"Other Services"))),"Other Services"))</f>
        <v/>
      </c>
    </row>
    <row r="2472" customFormat="false" ht="15" hidden="false" customHeight="false" outlineLevel="0" collapsed="false">
      <c r="F2472" s="41" t="str">
        <f aca="false">IF(D2472="","",IFERROR(IF(ISNUMBER(SEARCH(Assumptions!$C$5,D2472)),Assumptions!$D$5,IF(ISNUMBER(SEARCH(Assumptions!$C$6,D2472)),Assumptions!$D$6,IF(ISNUMBER(SEARCH(Assumptions!$C$7,D2472)),Assumptions!$D$7,"Other Services"))),"Other Services"))</f>
        <v/>
      </c>
    </row>
    <row r="2473" customFormat="false" ht="15" hidden="false" customHeight="false" outlineLevel="0" collapsed="false">
      <c r="F2473" s="41" t="str">
        <f aca="false">IF(D2473="","",IFERROR(IF(ISNUMBER(SEARCH(Assumptions!$C$5,D2473)),Assumptions!$D$5,IF(ISNUMBER(SEARCH(Assumptions!$C$6,D2473)),Assumptions!$D$6,IF(ISNUMBER(SEARCH(Assumptions!$C$7,D2473)),Assumptions!$D$7,"Other Services"))),"Other Services"))</f>
        <v/>
      </c>
    </row>
    <row r="2474" customFormat="false" ht="15" hidden="false" customHeight="false" outlineLevel="0" collapsed="false">
      <c r="F2474" s="41" t="str">
        <f aca="false">IF(D2474="","",IFERROR(IF(ISNUMBER(SEARCH(Assumptions!$C$5,D2474)),Assumptions!$D$5,IF(ISNUMBER(SEARCH(Assumptions!$C$6,D2474)),Assumptions!$D$6,IF(ISNUMBER(SEARCH(Assumptions!$C$7,D2474)),Assumptions!$D$7,"Other Services"))),"Other Services"))</f>
        <v/>
      </c>
    </row>
    <row r="2475" customFormat="false" ht="15" hidden="false" customHeight="false" outlineLevel="0" collapsed="false">
      <c r="F2475" s="41" t="str">
        <f aca="false">IF(D2475="","",IFERROR(IF(ISNUMBER(SEARCH(Assumptions!$C$5,D2475)),Assumptions!$D$5,IF(ISNUMBER(SEARCH(Assumptions!$C$6,D2475)),Assumptions!$D$6,IF(ISNUMBER(SEARCH(Assumptions!$C$7,D2475)),Assumptions!$D$7,"Other Services"))),"Other Services"))</f>
        <v/>
      </c>
    </row>
    <row r="2476" customFormat="false" ht="15" hidden="false" customHeight="false" outlineLevel="0" collapsed="false">
      <c r="F2476" s="41" t="str">
        <f aca="false">IF(D2476="","",IFERROR(IF(ISNUMBER(SEARCH(Assumptions!$C$5,D2476)),Assumptions!$D$5,IF(ISNUMBER(SEARCH(Assumptions!$C$6,D2476)),Assumptions!$D$6,IF(ISNUMBER(SEARCH(Assumptions!$C$7,D2476)),Assumptions!$D$7,"Other Services"))),"Other Services"))</f>
        <v/>
      </c>
    </row>
    <row r="2477" customFormat="false" ht="15" hidden="false" customHeight="false" outlineLevel="0" collapsed="false">
      <c r="F2477" s="41" t="str">
        <f aca="false">IF(D2477="","",IFERROR(IF(ISNUMBER(SEARCH(Assumptions!$C$5,D2477)),Assumptions!$D$5,IF(ISNUMBER(SEARCH(Assumptions!$C$6,D2477)),Assumptions!$D$6,IF(ISNUMBER(SEARCH(Assumptions!$C$7,D2477)),Assumptions!$D$7,"Other Services"))),"Other Services"))</f>
        <v/>
      </c>
    </row>
    <row r="2478" customFormat="false" ht="15" hidden="false" customHeight="false" outlineLevel="0" collapsed="false">
      <c r="F2478" s="41" t="str">
        <f aca="false">IF(D2478="","",IFERROR(IF(ISNUMBER(SEARCH(Assumptions!$C$5,D2478)),Assumptions!$D$5,IF(ISNUMBER(SEARCH(Assumptions!$C$6,D2478)),Assumptions!$D$6,IF(ISNUMBER(SEARCH(Assumptions!$C$7,D2478)),Assumptions!$D$7,"Other Services"))),"Other Services"))</f>
        <v/>
      </c>
    </row>
    <row r="2479" customFormat="false" ht="15" hidden="false" customHeight="false" outlineLevel="0" collapsed="false">
      <c r="F2479" s="41" t="str">
        <f aca="false">IF(D2479="","",IFERROR(IF(ISNUMBER(SEARCH(Assumptions!$C$5,D2479)),Assumptions!$D$5,IF(ISNUMBER(SEARCH(Assumptions!$C$6,D2479)),Assumptions!$D$6,IF(ISNUMBER(SEARCH(Assumptions!$C$7,D2479)),Assumptions!$D$7,"Other Services"))),"Other Services"))</f>
        <v/>
      </c>
    </row>
    <row r="2480" customFormat="false" ht="15" hidden="false" customHeight="false" outlineLevel="0" collapsed="false">
      <c r="F2480" s="41" t="str">
        <f aca="false">IF(D2480="","",IFERROR(IF(ISNUMBER(SEARCH(Assumptions!$C$5,D2480)),Assumptions!$D$5,IF(ISNUMBER(SEARCH(Assumptions!$C$6,D2480)),Assumptions!$D$6,IF(ISNUMBER(SEARCH(Assumptions!$C$7,D2480)),Assumptions!$D$7,"Other Services"))),"Other Services"))</f>
        <v/>
      </c>
    </row>
    <row r="2481" customFormat="false" ht="15" hidden="false" customHeight="false" outlineLevel="0" collapsed="false">
      <c r="F2481" s="41" t="str">
        <f aca="false">IF(D2481="","",IFERROR(IF(ISNUMBER(SEARCH(Assumptions!$C$5,D2481)),Assumptions!$D$5,IF(ISNUMBER(SEARCH(Assumptions!$C$6,D2481)),Assumptions!$D$6,IF(ISNUMBER(SEARCH(Assumptions!$C$7,D2481)),Assumptions!$D$7,"Other Services"))),"Other Services"))</f>
        <v/>
      </c>
    </row>
    <row r="2482" customFormat="false" ht="15" hidden="false" customHeight="false" outlineLevel="0" collapsed="false">
      <c r="F2482" s="41" t="str">
        <f aca="false">IF(D2482="","",IFERROR(IF(ISNUMBER(SEARCH(Assumptions!$C$5,D2482)),Assumptions!$D$5,IF(ISNUMBER(SEARCH(Assumptions!$C$6,D2482)),Assumptions!$D$6,IF(ISNUMBER(SEARCH(Assumptions!$C$7,D2482)),Assumptions!$D$7,"Other Services"))),"Other Services"))</f>
        <v/>
      </c>
    </row>
    <row r="2483" customFormat="false" ht="15" hidden="false" customHeight="false" outlineLevel="0" collapsed="false">
      <c r="F2483" s="41" t="str">
        <f aca="false">IF(D2483="","",IFERROR(IF(ISNUMBER(SEARCH(Assumptions!$C$5,D2483)),Assumptions!$D$5,IF(ISNUMBER(SEARCH(Assumptions!$C$6,D2483)),Assumptions!$D$6,IF(ISNUMBER(SEARCH(Assumptions!$C$7,D2483)),Assumptions!$D$7,"Other Services"))),"Other Services"))</f>
        <v/>
      </c>
    </row>
    <row r="2484" customFormat="false" ht="15" hidden="false" customHeight="false" outlineLevel="0" collapsed="false">
      <c r="F2484" s="41" t="str">
        <f aca="false">IF(D2484="","",IFERROR(IF(ISNUMBER(SEARCH(Assumptions!$C$5,D2484)),Assumptions!$D$5,IF(ISNUMBER(SEARCH(Assumptions!$C$6,D2484)),Assumptions!$D$6,IF(ISNUMBER(SEARCH(Assumptions!$C$7,D2484)),Assumptions!$D$7,"Other Services"))),"Other Services"))</f>
        <v/>
      </c>
    </row>
    <row r="2485" customFormat="false" ht="15" hidden="false" customHeight="false" outlineLevel="0" collapsed="false">
      <c r="F2485" s="41" t="str">
        <f aca="false">IF(D2485="","",IFERROR(IF(ISNUMBER(SEARCH(Assumptions!$C$5,D2485)),Assumptions!$D$5,IF(ISNUMBER(SEARCH(Assumptions!$C$6,D2485)),Assumptions!$D$6,IF(ISNUMBER(SEARCH(Assumptions!$C$7,D2485)),Assumptions!$D$7,"Other Services"))),"Other Services"))</f>
        <v/>
      </c>
    </row>
    <row r="2486" customFormat="false" ht="15" hidden="false" customHeight="false" outlineLevel="0" collapsed="false">
      <c r="F2486" s="41" t="str">
        <f aca="false">IF(D2486="","",IFERROR(IF(ISNUMBER(SEARCH(Assumptions!$C$5,D2486)),Assumptions!$D$5,IF(ISNUMBER(SEARCH(Assumptions!$C$6,D2486)),Assumptions!$D$6,IF(ISNUMBER(SEARCH(Assumptions!$C$7,D2486)),Assumptions!$D$7,"Other Services"))),"Other Services"))</f>
        <v/>
      </c>
    </row>
    <row r="2487" customFormat="false" ht="15" hidden="false" customHeight="false" outlineLevel="0" collapsed="false">
      <c r="F2487" s="41" t="str">
        <f aca="false">IF(D2487="","",IFERROR(IF(ISNUMBER(SEARCH(Assumptions!$C$5,D2487)),Assumptions!$D$5,IF(ISNUMBER(SEARCH(Assumptions!$C$6,D2487)),Assumptions!$D$6,IF(ISNUMBER(SEARCH(Assumptions!$C$7,D2487)),Assumptions!$D$7,"Other Services"))),"Other Services"))</f>
        <v/>
      </c>
    </row>
    <row r="2488" customFormat="false" ht="15" hidden="false" customHeight="false" outlineLevel="0" collapsed="false">
      <c r="F2488" s="41" t="str">
        <f aca="false">IF(D2488="","",IFERROR(IF(ISNUMBER(SEARCH(Assumptions!$C$5,D2488)),Assumptions!$D$5,IF(ISNUMBER(SEARCH(Assumptions!$C$6,D2488)),Assumptions!$D$6,IF(ISNUMBER(SEARCH(Assumptions!$C$7,D2488)),Assumptions!$D$7,"Other Services"))),"Other Services"))</f>
        <v/>
      </c>
    </row>
    <row r="2489" customFormat="false" ht="15" hidden="false" customHeight="false" outlineLevel="0" collapsed="false">
      <c r="F2489" s="41" t="str">
        <f aca="false">IF(D2489="","",IFERROR(IF(ISNUMBER(SEARCH(Assumptions!$C$5,D2489)),Assumptions!$D$5,IF(ISNUMBER(SEARCH(Assumptions!$C$6,D2489)),Assumptions!$D$6,IF(ISNUMBER(SEARCH(Assumptions!$C$7,D2489)),Assumptions!$D$7,"Other Services"))),"Other Services"))</f>
        <v/>
      </c>
    </row>
    <row r="2490" customFormat="false" ht="15" hidden="false" customHeight="false" outlineLevel="0" collapsed="false">
      <c r="F2490" s="41" t="str">
        <f aca="false">IF(D2490="","",IFERROR(IF(ISNUMBER(SEARCH(Assumptions!$C$5,D2490)),Assumptions!$D$5,IF(ISNUMBER(SEARCH(Assumptions!$C$6,D2490)),Assumptions!$D$6,IF(ISNUMBER(SEARCH(Assumptions!$C$7,D2490)),Assumptions!$D$7,"Other Services"))),"Other Services"))</f>
        <v/>
      </c>
    </row>
    <row r="2491" customFormat="false" ht="15" hidden="false" customHeight="false" outlineLevel="0" collapsed="false">
      <c r="F2491" s="41" t="str">
        <f aca="false">IF(D2491="","",IFERROR(IF(ISNUMBER(SEARCH(Assumptions!$C$5,D2491)),Assumptions!$D$5,IF(ISNUMBER(SEARCH(Assumptions!$C$6,D2491)),Assumptions!$D$6,IF(ISNUMBER(SEARCH(Assumptions!$C$7,D2491)),Assumptions!$D$7,"Other Services"))),"Other Services"))</f>
        <v/>
      </c>
    </row>
    <row r="2492" customFormat="false" ht="15" hidden="false" customHeight="false" outlineLevel="0" collapsed="false">
      <c r="F2492" s="41" t="str">
        <f aca="false">IF(D2492="","",IFERROR(IF(ISNUMBER(SEARCH(Assumptions!$C$5,D2492)),Assumptions!$D$5,IF(ISNUMBER(SEARCH(Assumptions!$C$6,D2492)),Assumptions!$D$6,IF(ISNUMBER(SEARCH(Assumptions!$C$7,D2492)),Assumptions!$D$7,"Other Services"))),"Other Services"))</f>
        <v/>
      </c>
    </row>
    <row r="2493" customFormat="false" ht="15" hidden="false" customHeight="false" outlineLevel="0" collapsed="false">
      <c r="F2493" s="41" t="str">
        <f aca="false">IF(D2493="","",IFERROR(IF(ISNUMBER(SEARCH(Assumptions!$C$5,D2493)),Assumptions!$D$5,IF(ISNUMBER(SEARCH(Assumptions!$C$6,D2493)),Assumptions!$D$6,IF(ISNUMBER(SEARCH(Assumptions!$C$7,D2493)),Assumptions!$D$7,"Other Services"))),"Other Services"))</f>
        <v/>
      </c>
    </row>
    <row r="2494" customFormat="false" ht="15" hidden="false" customHeight="false" outlineLevel="0" collapsed="false">
      <c r="F2494" s="41" t="str">
        <f aca="false">IF(D2494="","",IFERROR(IF(ISNUMBER(SEARCH(Assumptions!$C$5,D2494)),Assumptions!$D$5,IF(ISNUMBER(SEARCH(Assumptions!$C$6,D2494)),Assumptions!$D$6,IF(ISNUMBER(SEARCH(Assumptions!$C$7,D2494)),Assumptions!$D$7,"Other Services"))),"Other Services"))</f>
        <v/>
      </c>
    </row>
    <row r="2495" customFormat="false" ht="15" hidden="false" customHeight="false" outlineLevel="0" collapsed="false">
      <c r="F2495" s="41" t="str">
        <f aca="false">IF(D2495="","",IFERROR(IF(ISNUMBER(SEARCH(Assumptions!$C$5,D2495)),Assumptions!$D$5,IF(ISNUMBER(SEARCH(Assumptions!$C$6,D2495)),Assumptions!$D$6,IF(ISNUMBER(SEARCH(Assumptions!$C$7,D2495)),Assumptions!$D$7,"Other Services"))),"Other Services"))</f>
        <v/>
      </c>
    </row>
    <row r="2496" customFormat="false" ht="15" hidden="false" customHeight="false" outlineLevel="0" collapsed="false">
      <c r="F2496" s="41" t="str">
        <f aca="false">IF(D2496="","",IFERROR(IF(ISNUMBER(SEARCH(Assumptions!$C$5,D2496)),Assumptions!$D$5,IF(ISNUMBER(SEARCH(Assumptions!$C$6,D2496)),Assumptions!$D$6,IF(ISNUMBER(SEARCH(Assumptions!$C$7,D2496)),Assumptions!$D$7,"Other Services"))),"Other Services"))</f>
        <v/>
      </c>
    </row>
    <row r="2497" customFormat="false" ht="15" hidden="false" customHeight="false" outlineLevel="0" collapsed="false">
      <c r="F2497" s="41" t="str">
        <f aca="false">IF(D2497="","",IFERROR(IF(ISNUMBER(SEARCH(Assumptions!$C$5,D2497)),Assumptions!$D$5,IF(ISNUMBER(SEARCH(Assumptions!$C$6,D2497)),Assumptions!$D$6,IF(ISNUMBER(SEARCH(Assumptions!$C$7,D2497)),Assumptions!$D$7,"Other Services"))),"Other Services"))</f>
        <v/>
      </c>
    </row>
    <row r="2498" customFormat="false" ht="15" hidden="false" customHeight="false" outlineLevel="0" collapsed="false">
      <c r="F2498" s="41" t="str">
        <f aca="false">IF(D2498="","",IFERROR(IF(ISNUMBER(SEARCH(Assumptions!$C$5,D2498)),Assumptions!$D$5,IF(ISNUMBER(SEARCH(Assumptions!$C$6,D2498)),Assumptions!$D$6,IF(ISNUMBER(SEARCH(Assumptions!$C$7,D2498)),Assumptions!$D$7,"Other Services"))),"Other Services"))</f>
        <v/>
      </c>
    </row>
    <row r="2499" customFormat="false" ht="15" hidden="false" customHeight="false" outlineLevel="0" collapsed="false">
      <c r="F2499" s="41" t="str">
        <f aca="false">IF(D2499="","",IFERROR(IF(ISNUMBER(SEARCH(Assumptions!$C$5,D2499)),Assumptions!$D$5,IF(ISNUMBER(SEARCH(Assumptions!$C$6,D2499)),Assumptions!$D$6,IF(ISNUMBER(SEARCH(Assumptions!$C$7,D2499)),Assumptions!$D$7,"Other Services"))),"Other Services"))</f>
        <v/>
      </c>
    </row>
    <row r="2500" customFormat="false" ht="15" hidden="false" customHeight="false" outlineLevel="0" collapsed="false">
      <c r="F2500" s="41" t="str">
        <f aca="false">IF(D2500="","",IFERROR(IF(ISNUMBER(SEARCH(Assumptions!$C$5,D2500)),Assumptions!$D$5,IF(ISNUMBER(SEARCH(Assumptions!$C$6,D2500)),Assumptions!$D$6,IF(ISNUMBER(SEARCH(Assumptions!$C$7,D2500)),Assumptions!$D$7,"Other Services"))),"Other Services"))</f>
        <v/>
      </c>
    </row>
    <row r="2501" customFormat="false" ht="15" hidden="false" customHeight="false" outlineLevel="0" collapsed="false">
      <c r="F2501" s="41" t="str">
        <f aca="false">IF(D2501="","",IFERROR(IF(ISNUMBER(SEARCH(Assumptions!$C$5,D2501)),Assumptions!$D$5,IF(ISNUMBER(SEARCH(Assumptions!$C$6,D2501)),Assumptions!$D$6,IF(ISNUMBER(SEARCH(Assumptions!$C$7,D2501)),Assumptions!$D$7,"Other Services"))),"Other Services"))</f>
        <v/>
      </c>
    </row>
    <row r="2502" customFormat="false" ht="15" hidden="false" customHeight="false" outlineLevel="0" collapsed="false">
      <c r="F2502" s="41" t="str">
        <f aca="false">IF(D2502="","",IFERROR(IF(ISNUMBER(SEARCH(Assumptions!$C$5,D2502)),Assumptions!$D$5,IF(ISNUMBER(SEARCH(Assumptions!$C$6,D2502)),Assumptions!$D$6,IF(ISNUMBER(SEARCH(Assumptions!$C$7,D2502)),Assumptions!$D$7,"Other Services"))),"Other Services"))</f>
        <v/>
      </c>
    </row>
    <row r="2503" customFormat="false" ht="15" hidden="false" customHeight="false" outlineLevel="0" collapsed="false">
      <c r="F2503" s="41" t="str">
        <f aca="false">IF(D2503="","",IFERROR(IF(ISNUMBER(SEARCH(Assumptions!$C$5,D2503)),Assumptions!$D$5,IF(ISNUMBER(SEARCH(Assumptions!$C$6,D2503)),Assumptions!$D$6,IF(ISNUMBER(SEARCH(Assumptions!$C$7,D2503)),Assumptions!$D$7,"Other Services"))),"Other Services"))</f>
        <v/>
      </c>
    </row>
    <row r="2504" customFormat="false" ht="15" hidden="false" customHeight="false" outlineLevel="0" collapsed="false">
      <c r="F2504" s="41" t="str">
        <f aca="false">IF(D2504="","",IFERROR(IF(ISNUMBER(SEARCH(Assumptions!$C$5,D2504)),Assumptions!$D$5,IF(ISNUMBER(SEARCH(Assumptions!$C$6,D2504)),Assumptions!$D$6,IF(ISNUMBER(SEARCH(Assumptions!$C$7,D2504)),Assumptions!$D$7,"Other Services"))),"Other Services"))</f>
        <v/>
      </c>
    </row>
    <row r="2505" customFormat="false" ht="15" hidden="false" customHeight="false" outlineLevel="0" collapsed="false">
      <c r="F2505" s="41" t="str">
        <f aca="false">IF(D2505="","",IFERROR(IF(ISNUMBER(SEARCH(Assumptions!$C$5,D2505)),Assumptions!$D$5,IF(ISNUMBER(SEARCH(Assumptions!$C$6,D2505)),Assumptions!$D$6,IF(ISNUMBER(SEARCH(Assumptions!$C$7,D2505)),Assumptions!$D$7,"Other Services"))),"Other Services"))</f>
        <v/>
      </c>
    </row>
    <row r="2506" customFormat="false" ht="15" hidden="false" customHeight="false" outlineLevel="0" collapsed="false">
      <c r="F2506" s="41" t="str">
        <f aca="false">IF(D2506="","",IFERROR(IF(ISNUMBER(SEARCH(Assumptions!$C$5,D2506)),Assumptions!$D$5,IF(ISNUMBER(SEARCH(Assumptions!$C$6,D2506)),Assumptions!$D$6,IF(ISNUMBER(SEARCH(Assumptions!$C$7,D2506)),Assumptions!$D$7,"Other Services"))),"Other Services"))</f>
        <v/>
      </c>
    </row>
    <row r="2507" customFormat="false" ht="15" hidden="false" customHeight="false" outlineLevel="0" collapsed="false">
      <c r="F2507" s="41" t="str">
        <f aca="false">IF(D2507="","",IFERROR(IF(ISNUMBER(SEARCH(Assumptions!$C$5,D2507)),Assumptions!$D$5,IF(ISNUMBER(SEARCH(Assumptions!$C$6,D2507)),Assumptions!$D$6,IF(ISNUMBER(SEARCH(Assumptions!$C$7,D2507)),Assumptions!$D$7,"Other Services"))),"Other Services"))</f>
        <v/>
      </c>
    </row>
    <row r="2508" customFormat="false" ht="15" hidden="false" customHeight="false" outlineLevel="0" collapsed="false">
      <c r="F2508" s="41" t="str">
        <f aca="false">IF(D2508="","",IFERROR(IF(ISNUMBER(SEARCH(Assumptions!$C$5,D2508)),Assumptions!$D$5,IF(ISNUMBER(SEARCH(Assumptions!$C$6,D2508)),Assumptions!$D$6,IF(ISNUMBER(SEARCH(Assumptions!$C$7,D2508)),Assumptions!$D$7,"Other Services"))),"Other Services"))</f>
        <v/>
      </c>
    </row>
    <row r="2509" customFormat="false" ht="15" hidden="false" customHeight="false" outlineLevel="0" collapsed="false">
      <c r="F2509" s="41" t="str">
        <f aca="false">IF(D2509="","",IFERROR(IF(ISNUMBER(SEARCH(Assumptions!$C$5,D2509)),Assumptions!$D$5,IF(ISNUMBER(SEARCH(Assumptions!$C$6,D2509)),Assumptions!$D$6,IF(ISNUMBER(SEARCH(Assumptions!$C$7,D2509)),Assumptions!$D$7,"Other Services"))),"Other Services"))</f>
        <v/>
      </c>
    </row>
    <row r="2510" customFormat="false" ht="15" hidden="false" customHeight="false" outlineLevel="0" collapsed="false">
      <c r="F2510" s="41" t="str">
        <f aca="false">IF(D2510="","",IFERROR(IF(ISNUMBER(SEARCH(Assumptions!$C$5,D2510)),Assumptions!$D$5,IF(ISNUMBER(SEARCH(Assumptions!$C$6,D2510)),Assumptions!$D$6,IF(ISNUMBER(SEARCH(Assumptions!$C$7,D2510)),Assumptions!$D$7,"Other Services"))),"Other Services"))</f>
        <v/>
      </c>
    </row>
    <row r="2511" customFormat="false" ht="15" hidden="false" customHeight="false" outlineLevel="0" collapsed="false">
      <c r="F2511" s="41" t="str">
        <f aca="false">IF(D2511="","",IFERROR(IF(ISNUMBER(SEARCH(Assumptions!$C$5,D2511)),Assumptions!$D$5,IF(ISNUMBER(SEARCH(Assumptions!$C$6,D2511)),Assumptions!$D$6,IF(ISNUMBER(SEARCH(Assumptions!$C$7,D2511)),Assumptions!$D$7,"Other Services"))),"Other Services"))</f>
        <v/>
      </c>
    </row>
    <row r="2512" customFormat="false" ht="15" hidden="false" customHeight="false" outlineLevel="0" collapsed="false">
      <c r="F2512" s="41" t="str">
        <f aca="false">IF(D2512="","",IFERROR(IF(ISNUMBER(SEARCH(Assumptions!$C$5,D2512)),Assumptions!$D$5,IF(ISNUMBER(SEARCH(Assumptions!$C$6,D2512)),Assumptions!$D$6,IF(ISNUMBER(SEARCH(Assumptions!$C$7,D2512)),Assumptions!$D$7,"Other Services"))),"Other Services"))</f>
        <v/>
      </c>
    </row>
    <row r="2513" customFormat="false" ht="15" hidden="false" customHeight="false" outlineLevel="0" collapsed="false">
      <c r="F2513" s="41" t="str">
        <f aca="false">IF(D2513="","",IFERROR(IF(ISNUMBER(SEARCH(Assumptions!$C$5,D2513)),Assumptions!$D$5,IF(ISNUMBER(SEARCH(Assumptions!$C$6,D2513)),Assumptions!$D$6,IF(ISNUMBER(SEARCH(Assumptions!$C$7,D2513)),Assumptions!$D$7,"Other Services"))),"Other Services"))</f>
        <v/>
      </c>
    </row>
    <row r="2514" customFormat="false" ht="15" hidden="false" customHeight="false" outlineLevel="0" collapsed="false">
      <c r="F2514" s="41" t="str">
        <f aca="false">IF(D2514="","",IFERROR(IF(ISNUMBER(SEARCH(Assumptions!$C$5,D2514)),Assumptions!$D$5,IF(ISNUMBER(SEARCH(Assumptions!$C$6,D2514)),Assumptions!$D$6,IF(ISNUMBER(SEARCH(Assumptions!$C$7,D2514)),Assumptions!$D$7,"Other Services"))),"Other Services"))</f>
        <v/>
      </c>
    </row>
    <row r="2515" customFormat="false" ht="15" hidden="false" customHeight="false" outlineLevel="0" collapsed="false">
      <c r="F2515" s="41" t="str">
        <f aca="false">IF(D2515="","",IFERROR(IF(ISNUMBER(SEARCH(Assumptions!$C$5,D2515)),Assumptions!$D$5,IF(ISNUMBER(SEARCH(Assumptions!$C$6,D2515)),Assumptions!$D$6,IF(ISNUMBER(SEARCH(Assumptions!$C$7,D2515)),Assumptions!$D$7,"Other Services"))),"Other Services"))</f>
        <v/>
      </c>
    </row>
    <row r="2516" customFormat="false" ht="15" hidden="false" customHeight="false" outlineLevel="0" collapsed="false">
      <c r="F2516" s="41" t="str">
        <f aca="false">IF(D2516="","",IFERROR(IF(ISNUMBER(SEARCH(Assumptions!$C$5,D2516)),Assumptions!$D$5,IF(ISNUMBER(SEARCH(Assumptions!$C$6,D2516)),Assumptions!$D$6,IF(ISNUMBER(SEARCH(Assumptions!$C$7,D2516)),Assumptions!$D$7,"Other Services"))),"Other Services"))</f>
        <v/>
      </c>
    </row>
    <row r="2517" customFormat="false" ht="15" hidden="false" customHeight="false" outlineLevel="0" collapsed="false">
      <c r="F2517" s="41" t="str">
        <f aca="false">IF(D2517="","",IFERROR(IF(ISNUMBER(SEARCH(Assumptions!$C$5,D2517)),Assumptions!$D$5,IF(ISNUMBER(SEARCH(Assumptions!$C$6,D2517)),Assumptions!$D$6,IF(ISNUMBER(SEARCH(Assumptions!$C$7,D2517)),Assumptions!$D$7,"Other Services"))),"Other Services"))</f>
        <v/>
      </c>
    </row>
    <row r="2518" customFormat="false" ht="15" hidden="false" customHeight="false" outlineLevel="0" collapsed="false">
      <c r="F2518" s="41" t="str">
        <f aca="false">IF(D2518="","",IFERROR(IF(ISNUMBER(SEARCH(Assumptions!$C$5,D2518)),Assumptions!$D$5,IF(ISNUMBER(SEARCH(Assumptions!$C$6,D2518)),Assumptions!$D$6,IF(ISNUMBER(SEARCH(Assumptions!$C$7,D2518)),Assumptions!$D$7,"Other Services"))),"Other Services"))</f>
        <v/>
      </c>
    </row>
    <row r="2519" customFormat="false" ht="15" hidden="false" customHeight="false" outlineLevel="0" collapsed="false">
      <c r="F2519" s="41" t="str">
        <f aca="false">IF(D2519="","",IFERROR(IF(ISNUMBER(SEARCH(Assumptions!$C$5,D2519)),Assumptions!$D$5,IF(ISNUMBER(SEARCH(Assumptions!$C$6,D2519)),Assumptions!$D$6,IF(ISNUMBER(SEARCH(Assumptions!$C$7,D2519)),Assumptions!$D$7,"Other Services"))),"Other Services"))</f>
        <v/>
      </c>
    </row>
    <row r="2520" customFormat="false" ht="15" hidden="false" customHeight="false" outlineLevel="0" collapsed="false">
      <c r="F2520" s="41" t="str">
        <f aca="false">IF(D2520="","",IFERROR(IF(ISNUMBER(SEARCH(Assumptions!$C$5,D2520)),Assumptions!$D$5,IF(ISNUMBER(SEARCH(Assumptions!$C$6,D2520)),Assumptions!$D$6,IF(ISNUMBER(SEARCH(Assumptions!$C$7,D2520)),Assumptions!$D$7,"Other Services"))),"Other Services"))</f>
        <v/>
      </c>
    </row>
    <row r="2521" customFormat="false" ht="15" hidden="false" customHeight="false" outlineLevel="0" collapsed="false">
      <c r="F2521" s="41" t="str">
        <f aca="false">IF(D2521="","",IFERROR(IF(ISNUMBER(SEARCH(Assumptions!$C$5,D2521)),Assumptions!$D$5,IF(ISNUMBER(SEARCH(Assumptions!$C$6,D2521)),Assumptions!$D$6,IF(ISNUMBER(SEARCH(Assumptions!$C$7,D2521)),Assumptions!$D$7,"Other Services"))),"Other Services"))</f>
        <v/>
      </c>
    </row>
    <row r="2522" customFormat="false" ht="15" hidden="false" customHeight="false" outlineLevel="0" collapsed="false">
      <c r="F2522" s="41" t="str">
        <f aca="false">IF(D2522="","",IFERROR(IF(ISNUMBER(SEARCH(Assumptions!$C$5,D2522)),Assumptions!$D$5,IF(ISNUMBER(SEARCH(Assumptions!$C$6,D2522)),Assumptions!$D$6,IF(ISNUMBER(SEARCH(Assumptions!$C$7,D2522)),Assumptions!$D$7,"Other Services"))),"Other Services"))</f>
        <v/>
      </c>
    </row>
    <row r="2523" customFormat="false" ht="15" hidden="false" customHeight="false" outlineLevel="0" collapsed="false">
      <c r="F2523" s="41" t="str">
        <f aca="false">IF(D2523="","",IFERROR(IF(ISNUMBER(SEARCH(Assumptions!$C$5,D2523)),Assumptions!$D$5,IF(ISNUMBER(SEARCH(Assumptions!$C$6,D2523)),Assumptions!$D$6,IF(ISNUMBER(SEARCH(Assumptions!$C$7,D2523)),Assumptions!$D$7,"Other Services"))),"Other Services"))</f>
        <v/>
      </c>
    </row>
    <row r="2524" customFormat="false" ht="15" hidden="false" customHeight="false" outlineLevel="0" collapsed="false">
      <c r="F2524" s="41" t="str">
        <f aca="false">IF(D2524="","",IFERROR(IF(ISNUMBER(SEARCH(Assumptions!$C$5,D2524)),Assumptions!$D$5,IF(ISNUMBER(SEARCH(Assumptions!$C$6,D2524)),Assumptions!$D$6,IF(ISNUMBER(SEARCH(Assumptions!$C$7,D2524)),Assumptions!$D$7,"Other Services"))),"Other Services"))</f>
        <v/>
      </c>
    </row>
    <row r="2525" customFormat="false" ht="15" hidden="false" customHeight="false" outlineLevel="0" collapsed="false">
      <c r="F2525" s="41" t="str">
        <f aca="false">IF(D2525="","",IFERROR(IF(ISNUMBER(SEARCH(Assumptions!$C$5,D2525)),Assumptions!$D$5,IF(ISNUMBER(SEARCH(Assumptions!$C$6,D2525)),Assumptions!$D$6,IF(ISNUMBER(SEARCH(Assumptions!$C$7,D2525)),Assumptions!$D$7,"Other Services"))),"Other Services"))</f>
        <v/>
      </c>
    </row>
    <row r="2526" customFormat="false" ht="15" hidden="false" customHeight="false" outlineLevel="0" collapsed="false">
      <c r="F2526" s="41" t="str">
        <f aca="false">IF(D2526="","",IFERROR(IF(ISNUMBER(SEARCH(Assumptions!$C$5,D2526)),Assumptions!$D$5,IF(ISNUMBER(SEARCH(Assumptions!$C$6,D2526)),Assumptions!$D$6,IF(ISNUMBER(SEARCH(Assumptions!$C$7,D2526)),Assumptions!$D$7,"Other Services"))),"Other Services"))</f>
        <v/>
      </c>
    </row>
    <row r="2527" customFormat="false" ht="15" hidden="false" customHeight="false" outlineLevel="0" collapsed="false">
      <c r="F2527" s="41" t="str">
        <f aca="false">IF(D2527="","",IFERROR(IF(ISNUMBER(SEARCH(Assumptions!$C$5,D2527)),Assumptions!$D$5,IF(ISNUMBER(SEARCH(Assumptions!$C$6,D2527)),Assumptions!$D$6,IF(ISNUMBER(SEARCH(Assumptions!$C$7,D2527)),Assumptions!$D$7,"Other Services"))),"Other Services"))</f>
        <v/>
      </c>
    </row>
    <row r="2528" customFormat="false" ht="15" hidden="false" customHeight="false" outlineLevel="0" collapsed="false">
      <c r="F2528" s="41" t="str">
        <f aca="false">IF(D2528="","",IFERROR(IF(ISNUMBER(SEARCH(Assumptions!$C$5,D2528)),Assumptions!$D$5,IF(ISNUMBER(SEARCH(Assumptions!$C$6,D2528)),Assumptions!$D$6,IF(ISNUMBER(SEARCH(Assumptions!$C$7,D2528)),Assumptions!$D$7,"Other Services"))),"Other Services"))</f>
        <v/>
      </c>
    </row>
    <row r="2529" customFormat="false" ht="15" hidden="false" customHeight="false" outlineLevel="0" collapsed="false">
      <c r="F2529" s="41" t="str">
        <f aca="false">IF(D2529="","",IFERROR(IF(ISNUMBER(SEARCH(Assumptions!$C$5,D2529)),Assumptions!$D$5,IF(ISNUMBER(SEARCH(Assumptions!$C$6,D2529)),Assumptions!$D$6,IF(ISNUMBER(SEARCH(Assumptions!$C$7,D2529)),Assumptions!$D$7,"Other Services"))),"Other Services"))</f>
        <v/>
      </c>
    </row>
    <row r="2530" customFormat="false" ht="15" hidden="false" customHeight="false" outlineLevel="0" collapsed="false">
      <c r="F2530" s="41" t="str">
        <f aca="false">IF(D2530="","",IFERROR(IF(ISNUMBER(SEARCH(Assumptions!$C$5,D2530)),Assumptions!$D$5,IF(ISNUMBER(SEARCH(Assumptions!$C$6,D2530)),Assumptions!$D$6,IF(ISNUMBER(SEARCH(Assumptions!$C$7,D2530)),Assumptions!$D$7,"Other Services"))),"Other Services"))</f>
        <v/>
      </c>
    </row>
    <row r="2531" customFormat="false" ht="15" hidden="false" customHeight="false" outlineLevel="0" collapsed="false">
      <c r="F2531" s="41" t="str">
        <f aca="false">IF(D2531="","",IFERROR(IF(ISNUMBER(SEARCH(Assumptions!$C$5,D2531)),Assumptions!$D$5,IF(ISNUMBER(SEARCH(Assumptions!$C$6,D2531)),Assumptions!$D$6,IF(ISNUMBER(SEARCH(Assumptions!$C$7,D2531)),Assumptions!$D$7,"Other Services"))),"Other Services"))</f>
        <v/>
      </c>
    </row>
    <row r="2532" customFormat="false" ht="15" hidden="false" customHeight="false" outlineLevel="0" collapsed="false">
      <c r="F2532" s="41" t="str">
        <f aca="false">IF(D2532="","",IFERROR(IF(ISNUMBER(SEARCH(Assumptions!$C$5,D2532)),Assumptions!$D$5,IF(ISNUMBER(SEARCH(Assumptions!$C$6,D2532)),Assumptions!$D$6,IF(ISNUMBER(SEARCH(Assumptions!$C$7,D2532)),Assumptions!$D$7,"Other Services"))),"Other Services"))</f>
        <v/>
      </c>
    </row>
    <row r="2533" customFormat="false" ht="15" hidden="false" customHeight="false" outlineLevel="0" collapsed="false">
      <c r="F2533" s="41" t="str">
        <f aca="false">IF(D2533="","",IFERROR(IF(ISNUMBER(SEARCH(Assumptions!$C$5,D2533)),Assumptions!$D$5,IF(ISNUMBER(SEARCH(Assumptions!$C$6,D2533)),Assumptions!$D$6,IF(ISNUMBER(SEARCH(Assumptions!$C$7,D2533)),Assumptions!$D$7,"Other Services"))),"Other Services"))</f>
        <v/>
      </c>
    </row>
    <row r="2534" customFormat="false" ht="15" hidden="false" customHeight="false" outlineLevel="0" collapsed="false">
      <c r="F2534" s="41" t="str">
        <f aca="false">IF(D2534="","",IFERROR(IF(ISNUMBER(SEARCH(Assumptions!$C$5,D2534)),Assumptions!$D$5,IF(ISNUMBER(SEARCH(Assumptions!$C$6,D2534)),Assumptions!$D$6,IF(ISNUMBER(SEARCH(Assumptions!$C$7,D2534)),Assumptions!$D$7,"Other Services"))),"Other Services"))</f>
        <v/>
      </c>
    </row>
    <row r="2535" customFormat="false" ht="15" hidden="false" customHeight="false" outlineLevel="0" collapsed="false">
      <c r="F2535" s="41" t="str">
        <f aca="false">IF(D2535="","",IFERROR(IF(ISNUMBER(SEARCH(Assumptions!$C$5,D2535)),Assumptions!$D$5,IF(ISNUMBER(SEARCH(Assumptions!$C$6,D2535)),Assumptions!$D$6,IF(ISNUMBER(SEARCH(Assumptions!$C$7,D2535)),Assumptions!$D$7,"Other Services"))),"Other Services"))</f>
        <v/>
      </c>
    </row>
    <row r="2536" customFormat="false" ht="15" hidden="false" customHeight="false" outlineLevel="0" collapsed="false">
      <c r="F2536" s="41" t="str">
        <f aca="false">IF(D2536="","",IFERROR(IF(ISNUMBER(SEARCH(Assumptions!$C$5,D2536)),Assumptions!$D$5,IF(ISNUMBER(SEARCH(Assumptions!$C$6,D2536)),Assumptions!$D$6,IF(ISNUMBER(SEARCH(Assumptions!$C$7,D2536)),Assumptions!$D$7,"Other Services"))),"Other Services"))</f>
        <v/>
      </c>
    </row>
    <row r="2537" customFormat="false" ht="15" hidden="false" customHeight="false" outlineLevel="0" collapsed="false">
      <c r="F2537" s="41" t="str">
        <f aca="false">IF(D2537="","",IFERROR(IF(ISNUMBER(SEARCH(Assumptions!$C$5,D2537)),Assumptions!$D$5,IF(ISNUMBER(SEARCH(Assumptions!$C$6,D2537)),Assumptions!$D$6,IF(ISNUMBER(SEARCH(Assumptions!$C$7,D2537)),Assumptions!$D$7,"Other Services"))),"Other Services"))</f>
        <v/>
      </c>
    </row>
    <row r="2538" customFormat="false" ht="15" hidden="false" customHeight="false" outlineLevel="0" collapsed="false">
      <c r="F2538" s="41" t="str">
        <f aca="false">IF(D2538="","",IFERROR(IF(ISNUMBER(SEARCH(Assumptions!$C$5,D2538)),Assumptions!$D$5,IF(ISNUMBER(SEARCH(Assumptions!$C$6,D2538)),Assumptions!$D$6,IF(ISNUMBER(SEARCH(Assumptions!$C$7,D2538)),Assumptions!$D$7,"Other Services"))),"Other Services"))</f>
        <v/>
      </c>
    </row>
    <row r="2539" customFormat="false" ht="15" hidden="false" customHeight="false" outlineLevel="0" collapsed="false">
      <c r="F2539" s="41" t="str">
        <f aca="false">IF(D2539="","",IFERROR(IF(ISNUMBER(SEARCH(Assumptions!$C$5,D2539)),Assumptions!$D$5,IF(ISNUMBER(SEARCH(Assumptions!$C$6,D2539)),Assumptions!$D$6,IF(ISNUMBER(SEARCH(Assumptions!$C$7,D2539)),Assumptions!$D$7,"Other Services"))),"Other Services"))</f>
        <v/>
      </c>
    </row>
    <row r="2540" customFormat="false" ht="15" hidden="false" customHeight="false" outlineLevel="0" collapsed="false">
      <c r="F2540" s="41" t="str">
        <f aca="false">IF(D2540="","",IFERROR(IF(ISNUMBER(SEARCH(Assumptions!$C$5,D2540)),Assumptions!$D$5,IF(ISNUMBER(SEARCH(Assumptions!$C$6,D2540)),Assumptions!$D$6,IF(ISNUMBER(SEARCH(Assumptions!$C$7,D2540)),Assumptions!$D$7,"Other Services"))),"Other Services"))</f>
        <v/>
      </c>
    </row>
    <row r="2541" customFormat="false" ht="15" hidden="false" customHeight="false" outlineLevel="0" collapsed="false">
      <c r="F2541" s="41" t="str">
        <f aca="false">IF(D2541="","",IFERROR(IF(ISNUMBER(SEARCH(Assumptions!$C$5,D2541)),Assumptions!$D$5,IF(ISNUMBER(SEARCH(Assumptions!$C$6,D2541)),Assumptions!$D$6,IF(ISNUMBER(SEARCH(Assumptions!$C$7,D2541)),Assumptions!$D$7,"Other Services"))),"Other Services"))</f>
        <v/>
      </c>
    </row>
    <row r="2542" customFormat="false" ht="15" hidden="false" customHeight="false" outlineLevel="0" collapsed="false">
      <c r="F2542" s="41" t="str">
        <f aca="false">IF(D2542="","",IFERROR(IF(ISNUMBER(SEARCH(Assumptions!$C$5,D2542)),Assumptions!$D$5,IF(ISNUMBER(SEARCH(Assumptions!$C$6,D2542)),Assumptions!$D$6,IF(ISNUMBER(SEARCH(Assumptions!$C$7,D2542)),Assumptions!$D$7,"Other Services"))),"Other Services"))</f>
        <v/>
      </c>
    </row>
    <row r="2543" customFormat="false" ht="15" hidden="false" customHeight="false" outlineLevel="0" collapsed="false">
      <c r="F2543" s="41" t="str">
        <f aca="false">IF(D2543="","",IFERROR(IF(ISNUMBER(SEARCH(Assumptions!$C$5,D2543)),Assumptions!$D$5,IF(ISNUMBER(SEARCH(Assumptions!$C$6,D2543)),Assumptions!$D$6,IF(ISNUMBER(SEARCH(Assumptions!$C$7,D2543)),Assumptions!$D$7,"Other Services"))),"Other Services"))</f>
        <v/>
      </c>
    </row>
    <row r="2544" customFormat="false" ht="15" hidden="false" customHeight="false" outlineLevel="0" collapsed="false">
      <c r="F2544" s="41" t="str">
        <f aca="false">IF(D2544="","",IFERROR(IF(ISNUMBER(SEARCH(Assumptions!$C$5,D2544)),Assumptions!$D$5,IF(ISNUMBER(SEARCH(Assumptions!$C$6,D2544)),Assumptions!$D$6,IF(ISNUMBER(SEARCH(Assumptions!$C$7,D2544)),Assumptions!$D$7,"Other Services"))),"Other Services"))</f>
        <v/>
      </c>
    </row>
    <row r="2545" customFormat="false" ht="15" hidden="false" customHeight="false" outlineLevel="0" collapsed="false">
      <c r="F2545" s="41" t="str">
        <f aca="false">IF(D2545="","",IFERROR(IF(ISNUMBER(SEARCH(Assumptions!$C$5,D2545)),Assumptions!$D$5,IF(ISNUMBER(SEARCH(Assumptions!$C$6,D2545)),Assumptions!$D$6,IF(ISNUMBER(SEARCH(Assumptions!$C$7,D2545)),Assumptions!$D$7,"Other Services"))),"Other Services"))</f>
        <v/>
      </c>
    </row>
    <row r="2546" customFormat="false" ht="15" hidden="false" customHeight="false" outlineLevel="0" collapsed="false">
      <c r="F2546" s="41" t="str">
        <f aca="false">IF(D2546="","",IFERROR(IF(ISNUMBER(SEARCH(Assumptions!$C$5,D2546)),Assumptions!$D$5,IF(ISNUMBER(SEARCH(Assumptions!$C$6,D2546)),Assumptions!$D$6,IF(ISNUMBER(SEARCH(Assumptions!$C$7,D2546)),Assumptions!$D$7,"Other Services"))),"Other Services"))</f>
        <v/>
      </c>
    </row>
    <row r="2547" customFormat="false" ht="15" hidden="false" customHeight="false" outlineLevel="0" collapsed="false">
      <c r="F2547" s="41" t="str">
        <f aca="false">IF(D2547="","",IFERROR(IF(ISNUMBER(SEARCH(Assumptions!$C$5,D2547)),Assumptions!$D$5,IF(ISNUMBER(SEARCH(Assumptions!$C$6,D2547)),Assumptions!$D$6,IF(ISNUMBER(SEARCH(Assumptions!$C$7,D2547)),Assumptions!$D$7,"Other Services"))),"Other Services"))</f>
        <v/>
      </c>
    </row>
    <row r="2548" customFormat="false" ht="15" hidden="false" customHeight="false" outlineLevel="0" collapsed="false">
      <c r="F2548" s="41" t="str">
        <f aca="false">IF(D2548="","",IFERROR(IF(ISNUMBER(SEARCH(Assumptions!$C$5,D2548)),Assumptions!$D$5,IF(ISNUMBER(SEARCH(Assumptions!$C$6,D2548)),Assumptions!$D$6,IF(ISNUMBER(SEARCH(Assumptions!$C$7,D2548)),Assumptions!$D$7,"Other Services"))),"Other Services"))</f>
        <v/>
      </c>
    </row>
    <row r="2549" customFormat="false" ht="15" hidden="false" customHeight="false" outlineLevel="0" collapsed="false">
      <c r="F2549" s="41" t="str">
        <f aca="false">IF(D2549="","",IFERROR(IF(ISNUMBER(SEARCH(Assumptions!$C$5,D2549)),Assumptions!$D$5,IF(ISNUMBER(SEARCH(Assumptions!$C$6,D2549)),Assumptions!$D$6,IF(ISNUMBER(SEARCH(Assumptions!$C$7,D2549)),Assumptions!$D$7,"Other Services"))),"Other Services"))</f>
        <v/>
      </c>
    </row>
    <row r="2550" customFormat="false" ht="15" hidden="false" customHeight="false" outlineLevel="0" collapsed="false">
      <c r="F2550" s="41" t="str">
        <f aca="false">IF(D2550="","",IFERROR(IF(ISNUMBER(SEARCH(Assumptions!$C$5,D2550)),Assumptions!$D$5,IF(ISNUMBER(SEARCH(Assumptions!$C$6,D2550)),Assumptions!$D$6,IF(ISNUMBER(SEARCH(Assumptions!$C$7,D2550)),Assumptions!$D$7,"Other Services"))),"Other Services"))</f>
        <v/>
      </c>
    </row>
    <row r="2551" customFormat="false" ht="15" hidden="false" customHeight="false" outlineLevel="0" collapsed="false">
      <c r="F2551" s="41" t="str">
        <f aca="false">IF(D2551="","",IFERROR(IF(ISNUMBER(SEARCH(Assumptions!$C$5,D2551)),Assumptions!$D$5,IF(ISNUMBER(SEARCH(Assumptions!$C$6,D2551)),Assumptions!$D$6,IF(ISNUMBER(SEARCH(Assumptions!$C$7,D2551)),Assumptions!$D$7,"Other Services"))),"Other Services"))</f>
        <v/>
      </c>
    </row>
    <row r="2552" customFormat="false" ht="15" hidden="false" customHeight="false" outlineLevel="0" collapsed="false">
      <c r="F2552" s="41" t="str">
        <f aca="false">IF(D2552="","",IFERROR(IF(ISNUMBER(SEARCH(Assumptions!$C$5,D2552)),Assumptions!$D$5,IF(ISNUMBER(SEARCH(Assumptions!$C$6,D2552)),Assumptions!$D$6,IF(ISNUMBER(SEARCH(Assumptions!$C$7,D2552)),Assumptions!$D$7,"Other Services"))),"Other Services"))</f>
        <v/>
      </c>
    </row>
    <row r="2553" customFormat="false" ht="15" hidden="false" customHeight="false" outlineLevel="0" collapsed="false">
      <c r="F2553" s="41" t="str">
        <f aca="false">IF(D2553="","",IFERROR(IF(ISNUMBER(SEARCH(Assumptions!$C$5,D2553)),Assumptions!$D$5,IF(ISNUMBER(SEARCH(Assumptions!$C$6,D2553)),Assumptions!$D$6,IF(ISNUMBER(SEARCH(Assumptions!$C$7,D2553)),Assumptions!$D$7,"Other Services"))),"Other Services"))</f>
        <v/>
      </c>
    </row>
    <row r="2554" customFormat="false" ht="15" hidden="false" customHeight="false" outlineLevel="0" collapsed="false">
      <c r="F2554" s="41" t="str">
        <f aca="false">IF(D2554="","",IFERROR(IF(ISNUMBER(SEARCH(Assumptions!$C$5,D2554)),Assumptions!$D$5,IF(ISNUMBER(SEARCH(Assumptions!$C$6,D2554)),Assumptions!$D$6,IF(ISNUMBER(SEARCH(Assumptions!$C$7,D2554)),Assumptions!$D$7,"Other Services"))),"Other Services"))</f>
        <v/>
      </c>
    </row>
    <row r="2555" customFormat="false" ht="15" hidden="false" customHeight="false" outlineLevel="0" collapsed="false">
      <c r="F2555" s="41" t="str">
        <f aca="false">IF(D2555="","",IFERROR(IF(ISNUMBER(SEARCH(Assumptions!$C$5,D2555)),Assumptions!$D$5,IF(ISNUMBER(SEARCH(Assumptions!$C$6,D2555)),Assumptions!$D$6,IF(ISNUMBER(SEARCH(Assumptions!$C$7,D2555)),Assumptions!$D$7,"Other Services"))),"Other Services"))</f>
        <v/>
      </c>
    </row>
    <row r="2556" customFormat="false" ht="15" hidden="false" customHeight="false" outlineLevel="0" collapsed="false">
      <c r="F2556" s="41" t="str">
        <f aca="false">IF(D2556="","",IFERROR(IF(ISNUMBER(SEARCH(Assumptions!$C$5,D2556)),Assumptions!$D$5,IF(ISNUMBER(SEARCH(Assumptions!$C$6,D2556)),Assumptions!$D$6,IF(ISNUMBER(SEARCH(Assumptions!$C$7,D2556)),Assumptions!$D$7,"Other Services"))),"Other Services"))</f>
        <v/>
      </c>
    </row>
    <row r="2557" customFormat="false" ht="15" hidden="false" customHeight="false" outlineLevel="0" collapsed="false">
      <c r="F2557" s="41" t="str">
        <f aca="false">IF(D2557="","",IFERROR(IF(ISNUMBER(SEARCH(Assumptions!$C$5,D2557)),Assumptions!$D$5,IF(ISNUMBER(SEARCH(Assumptions!$C$6,D2557)),Assumptions!$D$6,IF(ISNUMBER(SEARCH(Assumptions!$C$7,D2557)),Assumptions!$D$7,"Other Services"))),"Other Services"))</f>
        <v/>
      </c>
    </row>
    <row r="2558" customFormat="false" ht="15" hidden="false" customHeight="false" outlineLevel="0" collapsed="false">
      <c r="F2558" s="41" t="str">
        <f aca="false">IF(D2558="","",IFERROR(IF(ISNUMBER(SEARCH(Assumptions!$C$5,D2558)),Assumptions!$D$5,IF(ISNUMBER(SEARCH(Assumptions!$C$6,D2558)),Assumptions!$D$6,IF(ISNUMBER(SEARCH(Assumptions!$C$7,D2558)),Assumptions!$D$7,"Other Services"))),"Other Services"))</f>
        <v/>
      </c>
    </row>
    <row r="2559" customFormat="false" ht="15" hidden="false" customHeight="false" outlineLevel="0" collapsed="false">
      <c r="F2559" s="41" t="str">
        <f aca="false">IF(D2559="","",IFERROR(IF(ISNUMBER(SEARCH(Assumptions!$C$5,D2559)),Assumptions!$D$5,IF(ISNUMBER(SEARCH(Assumptions!$C$6,D2559)),Assumptions!$D$6,IF(ISNUMBER(SEARCH(Assumptions!$C$7,D2559)),Assumptions!$D$7,"Other Services"))),"Other Services"))</f>
        <v/>
      </c>
    </row>
    <row r="2560" customFormat="false" ht="15" hidden="false" customHeight="false" outlineLevel="0" collapsed="false">
      <c r="F2560" s="41" t="str">
        <f aca="false">IF(D2560="","",IFERROR(IF(ISNUMBER(SEARCH(Assumptions!$C$5,D2560)),Assumptions!$D$5,IF(ISNUMBER(SEARCH(Assumptions!$C$6,D2560)),Assumptions!$D$6,IF(ISNUMBER(SEARCH(Assumptions!$C$7,D2560)),Assumptions!$D$7,"Other Services"))),"Other Services"))</f>
        <v/>
      </c>
    </row>
    <row r="2561" customFormat="false" ht="15" hidden="false" customHeight="false" outlineLevel="0" collapsed="false">
      <c r="F2561" s="41" t="str">
        <f aca="false">IF(D2561="","",IFERROR(IF(ISNUMBER(SEARCH(Assumptions!$C$5,D2561)),Assumptions!$D$5,IF(ISNUMBER(SEARCH(Assumptions!$C$6,D2561)),Assumptions!$D$6,IF(ISNUMBER(SEARCH(Assumptions!$C$7,D2561)),Assumptions!$D$7,"Other Services"))),"Other Services"))</f>
        <v/>
      </c>
    </row>
    <row r="2562" customFormat="false" ht="15" hidden="false" customHeight="false" outlineLevel="0" collapsed="false">
      <c r="F2562" s="41" t="str">
        <f aca="false">IF(D2562="","",IFERROR(IF(ISNUMBER(SEARCH(Assumptions!$C$5,D2562)),Assumptions!$D$5,IF(ISNUMBER(SEARCH(Assumptions!$C$6,D2562)),Assumptions!$D$6,IF(ISNUMBER(SEARCH(Assumptions!$C$7,D2562)),Assumptions!$D$7,"Other Services"))),"Other Services"))</f>
        <v/>
      </c>
    </row>
    <row r="2563" customFormat="false" ht="15" hidden="false" customHeight="false" outlineLevel="0" collapsed="false">
      <c r="F2563" s="41" t="str">
        <f aca="false">IF(D2563="","",IFERROR(IF(ISNUMBER(SEARCH(Assumptions!$C$5,D2563)),Assumptions!$D$5,IF(ISNUMBER(SEARCH(Assumptions!$C$6,D2563)),Assumptions!$D$6,IF(ISNUMBER(SEARCH(Assumptions!$C$7,D2563)),Assumptions!$D$7,"Other Services"))),"Other Services"))</f>
        <v/>
      </c>
    </row>
    <row r="2564" customFormat="false" ht="15" hidden="false" customHeight="false" outlineLevel="0" collapsed="false">
      <c r="F2564" s="41" t="str">
        <f aca="false">IF(D2564="","",IFERROR(IF(ISNUMBER(SEARCH(Assumptions!$C$5,D2564)),Assumptions!$D$5,IF(ISNUMBER(SEARCH(Assumptions!$C$6,D2564)),Assumptions!$D$6,IF(ISNUMBER(SEARCH(Assumptions!$C$7,D2564)),Assumptions!$D$7,"Other Services"))),"Other Services"))</f>
        <v/>
      </c>
    </row>
    <row r="2565" customFormat="false" ht="15" hidden="false" customHeight="false" outlineLevel="0" collapsed="false">
      <c r="F2565" s="41" t="str">
        <f aca="false">IF(D2565="","",IFERROR(IF(ISNUMBER(SEARCH(Assumptions!$C$5,D2565)),Assumptions!$D$5,IF(ISNUMBER(SEARCH(Assumptions!$C$6,D2565)),Assumptions!$D$6,IF(ISNUMBER(SEARCH(Assumptions!$C$7,D2565)),Assumptions!$D$7,"Other Services"))),"Other Services"))</f>
        <v/>
      </c>
    </row>
    <row r="2566" customFormat="false" ht="15" hidden="false" customHeight="false" outlineLevel="0" collapsed="false">
      <c r="F2566" s="41" t="str">
        <f aca="false">IF(D2566="","",IFERROR(IF(ISNUMBER(SEARCH(Assumptions!$C$5,D2566)),Assumptions!$D$5,IF(ISNUMBER(SEARCH(Assumptions!$C$6,D2566)),Assumptions!$D$6,IF(ISNUMBER(SEARCH(Assumptions!$C$7,D2566)),Assumptions!$D$7,"Other Services"))),"Other Services"))</f>
        <v/>
      </c>
    </row>
    <row r="2567" customFormat="false" ht="15" hidden="false" customHeight="false" outlineLevel="0" collapsed="false">
      <c r="F2567" s="41" t="str">
        <f aca="false">IF(D2567="","",IFERROR(IF(ISNUMBER(SEARCH(Assumptions!$C$5,D2567)),Assumptions!$D$5,IF(ISNUMBER(SEARCH(Assumptions!$C$6,D2567)),Assumptions!$D$6,IF(ISNUMBER(SEARCH(Assumptions!$C$7,D2567)),Assumptions!$D$7,"Other Services"))),"Other Services"))</f>
        <v/>
      </c>
    </row>
    <row r="2568" customFormat="false" ht="15" hidden="false" customHeight="false" outlineLevel="0" collapsed="false">
      <c r="F2568" s="41" t="str">
        <f aca="false">IF(D2568="","",IFERROR(IF(ISNUMBER(SEARCH(Assumptions!$C$5,D2568)),Assumptions!$D$5,IF(ISNUMBER(SEARCH(Assumptions!$C$6,D2568)),Assumptions!$D$6,IF(ISNUMBER(SEARCH(Assumptions!$C$7,D2568)),Assumptions!$D$7,"Other Services"))),"Other Services"))</f>
        <v/>
      </c>
    </row>
    <row r="2569" customFormat="false" ht="15" hidden="false" customHeight="false" outlineLevel="0" collapsed="false">
      <c r="F2569" s="41" t="str">
        <f aca="false">IF(D2569="","",IFERROR(IF(ISNUMBER(SEARCH(Assumptions!$C$5,D2569)),Assumptions!$D$5,IF(ISNUMBER(SEARCH(Assumptions!$C$6,D2569)),Assumptions!$D$6,IF(ISNUMBER(SEARCH(Assumptions!$C$7,D2569)),Assumptions!$D$7,"Other Services"))),"Other Services"))</f>
        <v/>
      </c>
    </row>
    <row r="2570" customFormat="false" ht="15" hidden="false" customHeight="false" outlineLevel="0" collapsed="false">
      <c r="F2570" s="41" t="str">
        <f aca="false">IF(D2570="","",IFERROR(IF(ISNUMBER(SEARCH(Assumptions!$C$5,D2570)),Assumptions!$D$5,IF(ISNUMBER(SEARCH(Assumptions!$C$6,D2570)),Assumptions!$D$6,IF(ISNUMBER(SEARCH(Assumptions!$C$7,D2570)),Assumptions!$D$7,"Other Services"))),"Other Services"))</f>
        <v/>
      </c>
    </row>
    <row r="2571" customFormat="false" ht="15" hidden="false" customHeight="false" outlineLevel="0" collapsed="false">
      <c r="F2571" s="41" t="str">
        <f aca="false">IF(D2571="","",IFERROR(IF(ISNUMBER(SEARCH(Assumptions!$C$5,D2571)),Assumptions!$D$5,IF(ISNUMBER(SEARCH(Assumptions!$C$6,D2571)),Assumptions!$D$6,IF(ISNUMBER(SEARCH(Assumptions!$C$7,D2571)),Assumptions!$D$7,"Other Services"))),"Other Services"))</f>
        <v/>
      </c>
    </row>
    <row r="2572" customFormat="false" ht="15" hidden="false" customHeight="false" outlineLevel="0" collapsed="false">
      <c r="F2572" s="41" t="str">
        <f aca="false">IF(D2572="","",IFERROR(IF(ISNUMBER(SEARCH(Assumptions!$C$5,D2572)),Assumptions!$D$5,IF(ISNUMBER(SEARCH(Assumptions!$C$6,D2572)),Assumptions!$D$6,IF(ISNUMBER(SEARCH(Assumptions!$C$7,D2572)),Assumptions!$D$7,"Other Services"))),"Other Services"))</f>
        <v/>
      </c>
    </row>
    <row r="2573" customFormat="false" ht="15" hidden="false" customHeight="false" outlineLevel="0" collapsed="false">
      <c r="F2573" s="41" t="str">
        <f aca="false">IF(D2573="","",IFERROR(IF(ISNUMBER(SEARCH(Assumptions!$C$5,D2573)),Assumptions!$D$5,IF(ISNUMBER(SEARCH(Assumptions!$C$6,D2573)),Assumptions!$D$6,IF(ISNUMBER(SEARCH(Assumptions!$C$7,D2573)),Assumptions!$D$7,"Other Services"))),"Other Services"))</f>
        <v/>
      </c>
    </row>
    <row r="2574" customFormat="false" ht="15" hidden="false" customHeight="false" outlineLevel="0" collapsed="false">
      <c r="F2574" s="41" t="str">
        <f aca="false">IF(D2574="","",IFERROR(IF(ISNUMBER(SEARCH(Assumptions!$C$5,D2574)),Assumptions!$D$5,IF(ISNUMBER(SEARCH(Assumptions!$C$6,D2574)),Assumptions!$D$6,IF(ISNUMBER(SEARCH(Assumptions!$C$7,D2574)),Assumptions!$D$7,"Other Services"))),"Other Services"))</f>
        <v/>
      </c>
    </row>
    <row r="2575" customFormat="false" ht="15" hidden="false" customHeight="false" outlineLevel="0" collapsed="false">
      <c r="F2575" s="41" t="str">
        <f aca="false">IF(D2575="","",IFERROR(IF(ISNUMBER(SEARCH(Assumptions!$C$5,D2575)),Assumptions!$D$5,IF(ISNUMBER(SEARCH(Assumptions!$C$6,D2575)),Assumptions!$D$6,IF(ISNUMBER(SEARCH(Assumptions!$C$7,D2575)),Assumptions!$D$7,"Other Services"))),"Other Services"))</f>
        <v/>
      </c>
    </row>
    <row r="2576" customFormat="false" ht="15" hidden="false" customHeight="false" outlineLevel="0" collapsed="false">
      <c r="F2576" s="41" t="str">
        <f aca="false">IF(D2576="","",IFERROR(IF(ISNUMBER(SEARCH(Assumptions!$C$5,D2576)),Assumptions!$D$5,IF(ISNUMBER(SEARCH(Assumptions!$C$6,D2576)),Assumptions!$D$6,IF(ISNUMBER(SEARCH(Assumptions!$C$7,D2576)),Assumptions!$D$7,"Other Services"))),"Other Services"))</f>
        <v/>
      </c>
    </row>
    <row r="2577" customFormat="false" ht="15" hidden="false" customHeight="false" outlineLevel="0" collapsed="false">
      <c r="F2577" s="41" t="str">
        <f aca="false">IF(D2577="","",IFERROR(IF(ISNUMBER(SEARCH(Assumptions!$C$5,D2577)),Assumptions!$D$5,IF(ISNUMBER(SEARCH(Assumptions!$C$6,D2577)),Assumptions!$D$6,IF(ISNUMBER(SEARCH(Assumptions!$C$7,D2577)),Assumptions!$D$7,"Other Services"))),"Other Services"))</f>
        <v/>
      </c>
    </row>
    <row r="2578" customFormat="false" ht="15" hidden="false" customHeight="false" outlineLevel="0" collapsed="false">
      <c r="F2578" s="41" t="str">
        <f aca="false">IF(D2578="","",IFERROR(IF(ISNUMBER(SEARCH(Assumptions!$C$5,D2578)),Assumptions!$D$5,IF(ISNUMBER(SEARCH(Assumptions!$C$6,D2578)),Assumptions!$D$6,IF(ISNUMBER(SEARCH(Assumptions!$C$7,D2578)),Assumptions!$D$7,"Other Services"))),"Other Services"))</f>
        <v/>
      </c>
    </row>
    <row r="2579" customFormat="false" ht="15" hidden="false" customHeight="false" outlineLevel="0" collapsed="false">
      <c r="F2579" s="41" t="str">
        <f aca="false">IF(D2579="","",IFERROR(IF(ISNUMBER(SEARCH(Assumptions!$C$5,D2579)),Assumptions!$D$5,IF(ISNUMBER(SEARCH(Assumptions!$C$6,D2579)),Assumptions!$D$6,IF(ISNUMBER(SEARCH(Assumptions!$C$7,D2579)),Assumptions!$D$7,"Other Services"))),"Other Services"))</f>
        <v/>
      </c>
    </row>
    <row r="2580" customFormat="false" ht="15" hidden="false" customHeight="false" outlineLevel="0" collapsed="false">
      <c r="F2580" s="41" t="str">
        <f aca="false">IF(D2580="","",IFERROR(IF(ISNUMBER(SEARCH(Assumptions!$C$5,D2580)),Assumptions!$D$5,IF(ISNUMBER(SEARCH(Assumptions!$C$6,D2580)),Assumptions!$D$6,IF(ISNUMBER(SEARCH(Assumptions!$C$7,D2580)),Assumptions!$D$7,"Other Services"))),"Other Services"))</f>
        <v/>
      </c>
    </row>
    <row r="2581" customFormat="false" ht="15" hidden="false" customHeight="false" outlineLevel="0" collapsed="false">
      <c r="F2581" s="41" t="str">
        <f aca="false">IF(D2581="","",IFERROR(IF(ISNUMBER(SEARCH(Assumptions!$C$5,D2581)),Assumptions!$D$5,IF(ISNUMBER(SEARCH(Assumptions!$C$6,D2581)),Assumptions!$D$6,IF(ISNUMBER(SEARCH(Assumptions!$C$7,D2581)),Assumptions!$D$7,"Other Services"))),"Other Services"))</f>
        <v/>
      </c>
    </row>
    <row r="2582" customFormat="false" ht="15" hidden="false" customHeight="false" outlineLevel="0" collapsed="false">
      <c r="F2582" s="41" t="str">
        <f aca="false">IF(D2582="","",IFERROR(IF(ISNUMBER(SEARCH(Assumptions!$C$5,D2582)),Assumptions!$D$5,IF(ISNUMBER(SEARCH(Assumptions!$C$6,D2582)),Assumptions!$D$6,IF(ISNUMBER(SEARCH(Assumptions!$C$7,D2582)),Assumptions!$D$7,"Other Services"))),"Other Services"))</f>
        <v/>
      </c>
    </row>
    <row r="2583" customFormat="false" ht="15" hidden="false" customHeight="false" outlineLevel="0" collapsed="false">
      <c r="F2583" s="41" t="str">
        <f aca="false">IF(D2583="","",IFERROR(IF(ISNUMBER(SEARCH(Assumptions!$C$5,D2583)),Assumptions!$D$5,IF(ISNUMBER(SEARCH(Assumptions!$C$6,D2583)),Assumptions!$D$6,IF(ISNUMBER(SEARCH(Assumptions!$C$7,D2583)),Assumptions!$D$7,"Other Services"))),"Other Services"))</f>
        <v/>
      </c>
    </row>
    <row r="2584" customFormat="false" ht="15" hidden="false" customHeight="false" outlineLevel="0" collapsed="false">
      <c r="F2584" s="41" t="str">
        <f aca="false">IF(D2584="","",IFERROR(IF(ISNUMBER(SEARCH(Assumptions!$C$5,D2584)),Assumptions!$D$5,IF(ISNUMBER(SEARCH(Assumptions!$C$6,D2584)),Assumptions!$D$6,IF(ISNUMBER(SEARCH(Assumptions!$C$7,D2584)),Assumptions!$D$7,"Other Services"))),"Other Services"))</f>
        <v/>
      </c>
    </row>
    <row r="2585" customFormat="false" ht="15" hidden="false" customHeight="false" outlineLevel="0" collapsed="false">
      <c r="F2585" s="41" t="str">
        <f aca="false">IF(D2585="","",IFERROR(IF(ISNUMBER(SEARCH(Assumptions!$C$5,D2585)),Assumptions!$D$5,IF(ISNUMBER(SEARCH(Assumptions!$C$6,D2585)),Assumptions!$D$6,IF(ISNUMBER(SEARCH(Assumptions!$C$7,D2585)),Assumptions!$D$7,"Other Services"))),"Other Services"))</f>
        <v/>
      </c>
    </row>
    <row r="2586" customFormat="false" ht="15" hidden="false" customHeight="false" outlineLevel="0" collapsed="false">
      <c r="F2586" s="41" t="str">
        <f aca="false">IF(D2586="","",IFERROR(IF(ISNUMBER(SEARCH(Assumptions!$C$5,D2586)),Assumptions!$D$5,IF(ISNUMBER(SEARCH(Assumptions!$C$6,D2586)),Assumptions!$D$6,IF(ISNUMBER(SEARCH(Assumptions!$C$7,D2586)),Assumptions!$D$7,"Other Services"))),"Other Services"))</f>
        <v/>
      </c>
    </row>
    <row r="2587" customFormat="false" ht="15" hidden="false" customHeight="false" outlineLevel="0" collapsed="false">
      <c r="F2587" s="41" t="str">
        <f aca="false">IF(D2587="","",IFERROR(IF(ISNUMBER(SEARCH(Assumptions!$C$5,D2587)),Assumptions!$D$5,IF(ISNUMBER(SEARCH(Assumptions!$C$6,D2587)),Assumptions!$D$6,IF(ISNUMBER(SEARCH(Assumptions!$C$7,D2587)),Assumptions!$D$7,"Other Services"))),"Other Services"))</f>
        <v/>
      </c>
    </row>
    <row r="2588" customFormat="false" ht="15" hidden="false" customHeight="false" outlineLevel="0" collapsed="false">
      <c r="F2588" s="41" t="str">
        <f aca="false">IF(D2588="","",IFERROR(IF(ISNUMBER(SEARCH(Assumptions!$C$5,D2588)),Assumptions!$D$5,IF(ISNUMBER(SEARCH(Assumptions!$C$6,D2588)),Assumptions!$D$6,IF(ISNUMBER(SEARCH(Assumptions!$C$7,D2588)),Assumptions!$D$7,"Other Services"))),"Other Services"))</f>
        <v/>
      </c>
    </row>
    <row r="2589" customFormat="false" ht="15" hidden="false" customHeight="false" outlineLevel="0" collapsed="false">
      <c r="F2589" s="41" t="str">
        <f aca="false">IF(D2589="","",IFERROR(IF(ISNUMBER(SEARCH(Assumptions!$C$5,D2589)),Assumptions!$D$5,IF(ISNUMBER(SEARCH(Assumptions!$C$6,D2589)),Assumptions!$D$6,IF(ISNUMBER(SEARCH(Assumptions!$C$7,D2589)),Assumptions!$D$7,"Other Services"))),"Other Services"))</f>
        <v/>
      </c>
    </row>
    <row r="2590" customFormat="false" ht="15" hidden="false" customHeight="false" outlineLevel="0" collapsed="false">
      <c r="F2590" s="41" t="str">
        <f aca="false">IF(D2590="","",IFERROR(IF(ISNUMBER(SEARCH(Assumptions!$C$5,D2590)),Assumptions!$D$5,IF(ISNUMBER(SEARCH(Assumptions!$C$6,D2590)),Assumptions!$D$6,IF(ISNUMBER(SEARCH(Assumptions!$C$7,D2590)),Assumptions!$D$7,"Other Services"))),"Other Services"))</f>
        <v/>
      </c>
    </row>
    <row r="2591" customFormat="false" ht="15" hidden="false" customHeight="false" outlineLevel="0" collapsed="false">
      <c r="F2591" s="41" t="str">
        <f aca="false">IF(D2591="","",IFERROR(IF(ISNUMBER(SEARCH(Assumptions!$C$5,D2591)),Assumptions!$D$5,IF(ISNUMBER(SEARCH(Assumptions!$C$6,D2591)),Assumptions!$D$6,IF(ISNUMBER(SEARCH(Assumptions!$C$7,D2591)),Assumptions!$D$7,"Other Services"))),"Other Services"))</f>
        <v/>
      </c>
    </row>
    <row r="2592" customFormat="false" ht="15" hidden="false" customHeight="false" outlineLevel="0" collapsed="false">
      <c r="F2592" s="41" t="str">
        <f aca="false">IF(D2592="","",IFERROR(IF(ISNUMBER(SEARCH(Assumptions!$C$5,D2592)),Assumptions!$D$5,IF(ISNUMBER(SEARCH(Assumptions!$C$6,D2592)),Assumptions!$D$6,IF(ISNUMBER(SEARCH(Assumptions!$C$7,D2592)),Assumptions!$D$7,"Other Services"))),"Other Services"))</f>
        <v/>
      </c>
    </row>
    <row r="2593" customFormat="false" ht="15" hidden="false" customHeight="false" outlineLevel="0" collapsed="false">
      <c r="F2593" s="41" t="str">
        <f aca="false">IF(D2593="","",IFERROR(IF(ISNUMBER(SEARCH(Assumptions!$C$5,D2593)),Assumptions!$D$5,IF(ISNUMBER(SEARCH(Assumptions!$C$6,D2593)),Assumptions!$D$6,IF(ISNUMBER(SEARCH(Assumptions!$C$7,D2593)),Assumptions!$D$7,"Other Services"))),"Other Services"))</f>
        <v/>
      </c>
    </row>
    <row r="2594" customFormat="false" ht="15" hidden="false" customHeight="false" outlineLevel="0" collapsed="false">
      <c r="F2594" s="41" t="str">
        <f aca="false">IF(D2594="","",IFERROR(IF(ISNUMBER(SEARCH(Assumptions!$C$5,D2594)),Assumptions!$D$5,IF(ISNUMBER(SEARCH(Assumptions!$C$6,D2594)),Assumptions!$D$6,IF(ISNUMBER(SEARCH(Assumptions!$C$7,D2594)),Assumptions!$D$7,"Other Services"))),"Other Services"))</f>
        <v/>
      </c>
    </row>
    <row r="2595" customFormat="false" ht="15" hidden="false" customHeight="false" outlineLevel="0" collapsed="false">
      <c r="F2595" s="41" t="str">
        <f aca="false">IF(D2595="","",IFERROR(IF(ISNUMBER(SEARCH(Assumptions!$C$5,D2595)),Assumptions!$D$5,IF(ISNUMBER(SEARCH(Assumptions!$C$6,D2595)),Assumptions!$D$6,IF(ISNUMBER(SEARCH(Assumptions!$C$7,D2595)),Assumptions!$D$7,"Other Services"))),"Other Services"))</f>
        <v/>
      </c>
    </row>
    <row r="2596" customFormat="false" ht="15" hidden="false" customHeight="false" outlineLevel="0" collapsed="false">
      <c r="F2596" s="41" t="str">
        <f aca="false">IF(D2596="","",IFERROR(IF(ISNUMBER(SEARCH(Assumptions!$C$5,D2596)),Assumptions!$D$5,IF(ISNUMBER(SEARCH(Assumptions!$C$6,D2596)),Assumptions!$D$6,IF(ISNUMBER(SEARCH(Assumptions!$C$7,D2596)),Assumptions!$D$7,"Other Services"))),"Other Services"))</f>
        <v/>
      </c>
    </row>
    <row r="2597" customFormat="false" ht="15" hidden="false" customHeight="false" outlineLevel="0" collapsed="false">
      <c r="F2597" s="41" t="str">
        <f aca="false">IF(D2597="","",IFERROR(IF(ISNUMBER(SEARCH(Assumptions!$C$5,D2597)),Assumptions!$D$5,IF(ISNUMBER(SEARCH(Assumptions!$C$6,D2597)),Assumptions!$D$6,IF(ISNUMBER(SEARCH(Assumptions!$C$7,D2597)),Assumptions!$D$7,"Other Services"))),"Other Services"))</f>
        <v/>
      </c>
    </row>
    <row r="2598" customFormat="false" ht="15" hidden="false" customHeight="false" outlineLevel="0" collapsed="false">
      <c r="F2598" s="41" t="str">
        <f aca="false">IF(D2598="","",IFERROR(IF(ISNUMBER(SEARCH(Assumptions!$C$5,D2598)),Assumptions!$D$5,IF(ISNUMBER(SEARCH(Assumptions!$C$6,D2598)),Assumptions!$D$6,IF(ISNUMBER(SEARCH(Assumptions!$C$7,D2598)),Assumptions!$D$7,"Other Services"))),"Other Services"))</f>
        <v/>
      </c>
    </row>
    <row r="2599" customFormat="false" ht="15" hidden="false" customHeight="false" outlineLevel="0" collapsed="false">
      <c r="F2599" s="41" t="str">
        <f aca="false">IF(D2599="","",IFERROR(IF(ISNUMBER(SEARCH(Assumptions!$C$5,D2599)),Assumptions!$D$5,IF(ISNUMBER(SEARCH(Assumptions!$C$6,D2599)),Assumptions!$D$6,IF(ISNUMBER(SEARCH(Assumptions!$C$7,D2599)),Assumptions!$D$7,"Other Services"))),"Other Services"))</f>
        <v/>
      </c>
    </row>
    <row r="2600" customFormat="false" ht="15" hidden="false" customHeight="false" outlineLevel="0" collapsed="false">
      <c r="F2600" s="41" t="str">
        <f aca="false">IF(D2600="","",IFERROR(IF(ISNUMBER(SEARCH(Assumptions!$C$5,D2600)),Assumptions!$D$5,IF(ISNUMBER(SEARCH(Assumptions!$C$6,D2600)),Assumptions!$D$6,IF(ISNUMBER(SEARCH(Assumptions!$C$7,D2600)),Assumptions!$D$7,"Other Services"))),"Other Services"))</f>
        <v/>
      </c>
    </row>
    <row r="2601" customFormat="false" ht="15" hidden="false" customHeight="false" outlineLevel="0" collapsed="false">
      <c r="F2601" s="41" t="str">
        <f aca="false">IF(D2601="","",IFERROR(IF(ISNUMBER(SEARCH(Assumptions!$C$5,D2601)),Assumptions!$D$5,IF(ISNUMBER(SEARCH(Assumptions!$C$6,D2601)),Assumptions!$D$6,IF(ISNUMBER(SEARCH(Assumptions!$C$7,D2601)),Assumptions!$D$7,"Other Services"))),"Other Services"))</f>
        <v/>
      </c>
    </row>
    <row r="2602" customFormat="false" ht="15" hidden="false" customHeight="false" outlineLevel="0" collapsed="false">
      <c r="F2602" s="41" t="str">
        <f aca="false">IF(D2602="","",IFERROR(IF(ISNUMBER(SEARCH(Assumptions!$C$5,D2602)),Assumptions!$D$5,IF(ISNUMBER(SEARCH(Assumptions!$C$6,D2602)),Assumptions!$D$6,IF(ISNUMBER(SEARCH(Assumptions!$C$7,D2602)),Assumptions!$D$7,"Other Services"))),"Other Services"))</f>
        <v/>
      </c>
    </row>
    <row r="2603" customFormat="false" ht="15" hidden="false" customHeight="false" outlineLevel="0" collapsed="false">
      <c r="F2603" s="41" t="str">
        <f aca="false">IF(D2603="","",IFERROR(IF(ISNUMBER(SEARCH(Assumptions!$C$5,D2603)),Assumptions!$D$5,IF(ISNUMBER(SEARCH(Assumptions!$C$6,D2603)),Assumptions!$D$6,IF(ISNUMBER(SEARCH(Assumptions!$C$7,D2603)),Assumptions!$D$7,"Other Services"))),"Other Services"))</f>
        <v/>
      </c>
    </row>
    <row r="2604" customFormat="false" ht="15" hidden="false" customHeight="false" outlineLevel="0" collapsed="false">
      <c r="F2604" s="41" t="str">
        <f aca="false">IF(D2604="","",IFERROR(IF(ISNUMBER(SEARCH(Assumptions!$C$5,D2604)),Assumptions!$D$5,IF(ISNUMBER(SEARCH(Assumptions!$C$6,D2604)),Assumptions!$D$6,IF(ISNUMBER(SEARCH(Assumptions!$C$7,D2604)),Assumptions!$D$7,"Other Services"))),"Other Services"))</f>
        <v/>
      </c>
    </row>
    <row r="2605" customFormat="false" ht="15" hidden="false" customHeight="false" outlineLevel="0" collapsed="false">
      <c r="F2605" s="41" t="str">
        <f aca="false">IF(D2605="","",IFERROR(IF(ISNUMBER(SEARCH(Assumptions!$C$5,D2605)),Assumptions!$D$5,IF(ISNUMBER(SEARCH(Assumptions!$C$6,D2605)),Assumptions!$D$6,IF(ISNUMBER(SEARCH(Assumptions!$C$7,D2605)),Assumptions!$D$7,"Other Services"))),"Other Services"))</f>
        <v/>
      </c>
    </row>
    <row r="2606" customFormat="false" ht="15" hidden="false" customHeight="false" outlineLevel="0" collapsed="false">
      <c r="F2606" s="41" t="str">
        <f aca="false">IF(D2606="","",IFERROR(IF(ISNUMBER(SEARCH(Assumptions!$C$5,D2606)),Assumptions!$D$5,IF(ISNUMBER(SEARCH(Assumptions!$C$6,D2606)),Assumptions!$D$6,IF(ISNUMBER(SEARCH(Assumptions!$C$7,D2606)),Assumptions!$D$7,"Other Services"))),"Other Services"))</f>
        <v/>
      </c>
    </row>
    <row r="2607" customFormat="false" ht="15" hidden="false" customHeight="false" outlineLevel="0" collapsed="false">
      <c r="F2607" s="41" t="str">
        <f aca="false">IF(D2607="","",IFERROR(IF(ISNUMBER(SEARCH(Assumptions!$C$5,D2607)),Assumptions!$D$5,IF(ISNUMBER(SEARCH(Assumptions!$C$6,D2607)),Assumptions!$D$6,IF(ISNUMBER(SEARCH(Assumptions!$C$7,D2607)),Assumptions!$D$7,"Other Services"))),"Other Services"))</f>
        <v/>
      </c>
    </row>
    <row r="2608" customFormat="false" ht="15" hidden="false" customHeight="false" outlineLevel="0" collapsed="false">
      <c r="F2608" s="41" t="str">
        <f aca="false">IF(D2608="","",IFERROR(IF(ISNUMBER(SEARCH(Assumptions!$C$5,D2608)),Assumptions!$D$5,IF(ISNUMBER(SEARCH(Assumptions!$C$6,D2608)),Assumptions!$D$6,IF(ISNUMBER(SEARCH(Assumptions!$C$7,D2608)),Assumptions!$D$7,"Other Services"))),"Other Services"))</f>
        <v/>
      </c>
    </row>
    <row r="2609" customFormat="false" ht="15" hidden="false" customHeight="false" outlineLevel="0" collapsed="false">
      <c r="F2609" s="41" t="str">
        <f aca="false">IF(D2609="","",IFERROR(IF(ISNUMBER(SEARCH(Assumptions!$C$5,D2609)),Assumptions!$D$5,IF(ISNUMBER(SEARCH(Assumptions!$C$6,D2609)),Assumptions!$D$6,IF(ISNUMBER(SEARCH(Assumptions!$C$7,D2609)),Assumptions!$D$7,"Other Services"))),"Other Services"))</f>
        <v/>
      </c>
    </row>
    <row r="2610" customFormat="false" ht="15" hidden="false" customHeight="false" outlineLevel="0" collapsed="false">
      <c r="F2610" s="41" t="str">
        <f aca="false">IF(D2610="","",IFERROR(IF(ISNUMBER(SEARCH(Assumptions!$C$5,D2610)),Assumptions!$D$5,IF(ISNUMBER(SEARCH(Assumptions!$C$6,D2610)),Assumptions!$D$6,IF(ISNUMBER(SEARCH(Assumptions!$C$7,D2610)),Assumptions!$D$7,"Other Services"))),"Other Services"))</f>
        <v/>
      </c>
    </row>
    <row r="2611" customFormat="false" ht="15" hidden="false" customHeight="false" outlineLevel="0" collapsed="false">
      <c r="F2611" s="41" t="str">
        <f aca="false">IF(D2611="","",IFERROR(IF(ISNUMBER(SEARCH(Assumptions!$C$5,D2611)),Assumptions!$D$5,IF(ISNUMBER(SEARCH(Assumptions!$C$6,D2611)),Assumptions!$D$6,IF(ISNUMBER(SEARCH(Assumptions!$C$7,D2611)),Assumptions!$D$7,"Other Services"))),"Other Services"))</f>
        <v/>
      </c>
    </row>
    <row r="2612" customFormat="false" ht="15" hidden="false" customHeight="false" outlineLevel="0" collapsed="false">
      <c r="F2612" s="41" t="str">
        <f aca="false">IF(D2612="","",IFERROR(IF(ISNUMBER(SEARCH(Assumptions!$C$5,D2612)),Assumptions!$D$5,IF(ISNUMBER(SEARCH(Assumptions!$C$6,D2612)),Assumptions!$D$6,IF(ISNUMBER(SEARCH(Assumptions!$C$7,D2612)),Assumptions!$D$7,"Other Services"))),"Other Services"))</f>
        <v/>
      </c>
    </row>
    <row r="2613" customFormat="false" ht="15" hidden="false" customHeight="false" outlineLevel="0" collapsed="false">
      <c r="F2613" s="41" t="str">
        <f aca="false">IF(D2613="","",IFERROR(IF(ISNUMBER(SEARCH(Assumptions!$C$5,D2613)),Assumptions!$D$5,IF(ISNUMBER(SEARCH(Assumptions!$C$6,D2613)),Assumptions!$D$6,IF(ISNUMBER(SEARCH(Assumptions!$C$7,D2613)),Assumptions!$D$7,"Other Services"))),"Other Services"))</f>
        <v/>
      </c>
    </row>
    <row r="2614" customFormat="false" ht="15" hidden="false" customHeight="false" outlineLevel="0" collapsed="false">
      <c r="F2614" s="41" t="str">
        <f aca="false">IF(D2614="","",IFERROR(IF(ISNUMBER(SEARCH(Assumptions!$C$5,D2614)),Assumptions!$D$5,IF(ISNUMBER(SEARCH(Assumptions!$C$6,D2614)),Assumptions!$D$6,IF(ISNUMBER(SEARCH(Assumptions!$C$7,D2614)),Assumptions!$D$7,"Other Services"))),"Other Services"))</f>
        <v/>
      </c>
    </row>
    <row r="2615" customFormat="false" ht="15" hidden="false" customHeight="false" outlineLevel="0" collapsed="false">
      <c r="F2615" s="41" t="str">
        <f aca="false">IF(D2615="","",IFERROR(IF(ISNUMBER(SEARCH(Assumptions!$C$5,D2615)),Assumptions!$D$5,IF(ISNUMBER(SEARCH(Assumptions!$C$6,D2615)),Assumptions!$D$6,IF(ISNUMBER(SEARCH(Assumptions!$C$7,D2615)),Assumptions!$D$7,"Other Services"))),"Other Services"))</f>
        <v/>
      </c>
    </row>
    <row r="2616" customFormat="false" ht="15" hidden="false" customHeight="false" outlineLevel="0" collapsed="false">
      <c r="F2616" s="41" t="str">
        <f aca="false">IF(D2616="","",IFERROR(IF(ISNUMBER(SEARCH(Assumptions!$C$5,D2616)),Assumptions!$D$5,IF(ISNUMBER(SEARCH(Assumptions!$C$6,D2616)),Assumptions!$D$6,IF(ISNUMBER(SEARCH(Assumptions!$C$7,D2616)),Assumptions!$D$7,"Other Services"))),"Other Services"))</f>
        <v/>
      </c>
    </row>
    <row r="2617" customFormat="false" ht="15" hidden="false" customHeight="false" outlineLevel="0" collapsed="false">
      <c r="F2617" s="41" t="str">
        <f aca="false">IF(D2617="","",IFERROR(IF(ISNUMBER(SEARCH(Assumptions!$C$5,D2617)),Assumptions!$D$5,IF(ISNUMBER(SEARCH(Assumptions!$C$6,D2617)),Assumptions!$D$6,IF(ISNUMBER(SEARCH(Assumptions!$C$7,D2617)),Assumptions!$D$7,"Other Services"))),"Other Services"))</f>
        <v/>
      </c>
    </row>
    <row r="2618" customFormat="false" ht="15" hidden="false" customHeight="false" outlineLevel="0" collapsed="false">
      <c r="F2618" s="41" t="str">
        <f aca="false">IF(D2618="","",IFERROR(IF(ISNUMBER(SEARCH(Assumptions!$C$5,D2618)),Assumptions!$D$5,IF(ISNUMBER(SEARCH(Assumptions!$C$6,D2618)),Assumptions!$D$6,IF(ISNUMBER(SEARCH(Assumptions!$C$7,D2618)),Assumptions!$D$7,"Other Services"))),"Other Services"))</f>
        <v/>
      </c>
    </row>
    <row r="2619" customFormat="false" ht="15" hidden="false" customHeight="false" outlineLevel="0" collapsed="false">
      <c r="F2619" s="41" t="str">
        <f aca="false">IF(D2619="","",IFERROR(IF(ISNUMBER(SEARCH(Assumptions!$C$5,D2619)),Assumptions!$D$5,IF(ISNUMBER(SEARCH(Assumptions!$C$6,D2619)),Assumptions!$D$6,IF(ISNUMBER(SEARCH(Assumptions!$C$7,D2619)),Assumptions!$D$7,"Other Services"))),"Other Services"))</f>
        <v/>
      </c>
    </row>
    <row r="2620" customFormat="false" ht="15" hidden="false" customHeight="false" outlineLevel="0" collapsed="false">
      <c r="F2620" s="41" t="str">
        <f aca="false">IF(D2620="","",IFERROR(IF(ISNUMBER(SEARCH(Assumptions!$C$5,D2620)),Assumptions!$D$5,IF(ISNUMBER(SEARCH(Assumptions!$C$6,D2620)),Assumptions!$D$6,IF(ISNUMBER(SEARCH(Assumptions!$C$7,D2620)),Assumptions!$D$7,"Other Services"))),"Other Services"))</f>
        <v/>
      </c>
    </row>
    <row r="2621" customFormat="false" ht="15" hidden="false" customHeight="false" outlineLevel="0" collapsed="false">
      <c r="F2621" s="41" t="str">
        <f aca="false">IF(D2621="","",IFERROR(IF(ISNUMBER(SEARCH(Assumptions!$C$5,D2621)),Assumptions!$D$5,IF(ISNUMBER(SEARCH(Assumptions!$C$6,D2621)),Assumptions!$D$6,IF(ISNUMBER(SEARCH(Assumptions!$C$7,D2621)),Assumptions!$D$7,"Other Services"))),"Other Services"))</f>
        <v/>
      </c>
    </row>
    <row r="2622" customFormat="false" ht="15" hidden="false" customHeight="false" outlineLevel="0" collapsed="false">
      <c r="F2622" s="41" t="str">
        <f aca="false">IF(D2622="","",IFERROR(IF(ISNUMBER(SEARCH(Assumptions!$C$5,D2622)),Assumptions!$D$5,IF(ISNUMBER(SEARCH(Assumptions!$C$6,D2622)),Assumptions!$D$6,IF(ISNUMBER(SEARCH(Assumptions!$C$7,D2622)),Assumptions!$D$7,"Other Services"))),"Other Services"))</f>
        <v/>
      </c>
    </row>
    <row r="2623" customFormat="false" ht="15" hidden="false" customHeight="false" outlineLevel="0" collapsed="false">
      <c r="F2623" s="41" t="str">
        <f aca="false">IF(D2623="","",IFERROR(IF(ISNUMBER(SEARCH(Assumptions!$C$5,D2623)),Assumptions!$D$5,IF(ISNUMBER(SEARCH(Assumptions!$C$6,D2623)),Assumptions!$D$6,IF(ISNUMBER(SEARCH(Assumptions!$C$7,D2623)),Assumptions!$D$7,"Other Services"))),"Other Services"))</f>
        <v/>
      </c>
    </row>
    <row r="2624" customFormat="false" ht="15" hidden="false" customHeight="false" outlineLevel="0" collapsed="false">
      <c r="F2624" s="41" t="str">
        <f aca="false">IF(D2624="","",IFERROR(IF(ISNUMBER(SEARCH(Assumptions!$C$5,D2624)),Assumptions!$D$5,IF(ISNUMBER(SEARCH(Assumptions!$C$6,D2624)),Assumptions!$D$6,IF(ISNUMBER(SEARCH(Assumptions!$C$7,D2624)),Assumptions!$D$7,"Other Services"))),"Other Services"))</f>
        <v/>
      </c>
    </row>
    <row r="2625" customFormat="false" ht="15" hidden="false" customHeight="false" outlineLevel="0" collapsed="false">
      <c r="F2625" s="41" t="str">
        <f aca="false">IF(D2625="","",IFERROR(IF(ISNUMBER(SEARCH(Assumptions!$C$5,D2625)),Assumptions!$D$5,IF(ISNUMBER(SEARCH(Assumptions!$C$6,D2625)),Assumptions!$D$6,IF(ISNUMBER(SEARCH(Assumptions!$C$7,D2625)),Assumptions!$D$7,"Other Services"))),"Other Services"))</f>
        <v/>
      </c>
    </row>
    <row r="2626" customFormat="false" ht="15" hidden="false" customHeight="false" outlineLevel="0" collapsed="false">
      <c r="F2626" s="41" t="str">
        <f aca="false">IF(D2626="","",IFERROR(IF(ISNUMBER(SEARCH(Assumptions!$C$5,D2626)),Assumptions!$D$5,IF(ISNUMBER(SEARCH(Assumptions!$C$6,D2626)),Assumptions!$D$6,IF(ISNUMBER(SEARCH(Assumptions!$C$7,D2626)),Assumptions!$D$7,"Other Services"))),"Other Services"))</f>
        <v/>
      </c>
    </row>
    <row r="2627" customFormat="false" ht="15" hidden="false" customHeight="false" outlineLevel="0" collapsed="false">
      <c r="F2627" s="41" t="str">
        <f aca="false">IF(D2627="","",IFERROR(IF(ISNUMBER(SEARCH(Assumptions!$C$5,D2627)),Assumptions!$D$5,IF(ISNUMBER(SEARCH(Assumptions!$C$6,D2627)),Assumptions!$D$6,IF(ISNUMBER(SEARCH(Assumptions!$C$7,D2627)),Assumptions!$D$7,"Other Services"))),"Other Services"))</f>
        <v/>
      </c>
    </row>
    <row r="2628" customFormat="false" ht="15" hidden="false" customHeight="false" outlineLevel="0" collapsed="false">
      <c r="F2628" s="41" t="str">
        <f aca="false">IF(D2628="","",IFERROR(IF(ISNUMBER(SEARCH(Assumptions!$C$5,D2628)),Assumptions!$D$5,IF(ISNUMBER(SEARCH(Assumptions!$C$6,D2628)),Assumptions!$D$6,IF(ISNUMBER(SEARCH(Assumptions!$C$7,D2628)),Assumptions!$D$7,"Other Services"))),"Other Services"))</f>
        <v/>
      </c>
    </row>
    <row r="2629" customFormat="false" ht="15" hidden="false" customHeight="false" outlineLevel="0" collapsed="false">
      <c r="F2629" s="41" t="str">
        <f aca="false">IF(D2629="","",IFERROR(IF(ISNUMBER(SEARCH(Assumptions!$C$5,D2629)),Assumptions!$D$5,IF(ISNUMBER(SEARCH(Assumptions!$C$6,D2629)),Assumptions!$D$6,IF(ISNUMBER(SEARCH(Assumptions!$C$7,D2629)),Assumptions!$D$7,"Other Services"))),"Other Services"))</f>
        <v/>
      </c>
    </row>
    <row r="2630" customFormat="false" ht="15" hidden="false" customHeight="false" outlineLevel="0" collapsed="false">
      <c r="F2630" s="41" t="str">
        <f aca="false">IF(D2630="","",IFERROR(IF(ISNUMBER(SEARCH(Assumptions!$C$5,D2630)),Assumptions!$D$5,IF(ISNUMBER(SEARCH(Assumptions!$C$6,D2630)),Assumptions!$D$6,IF(ISNUMBER(SEARCH(Assumptions!$C$7,D2630)),Assumptions!$D$7,"Other Services"))),"Other Services"))</f>
        <v/>
      </c>
    </row>
    <row r="2631" customFormat="false" ht="15" hidden="false" customHeight="false" outlineLevel="0" collapsed="false">
      <c r="F2631" s="41" t="str">
        <f aca="false">IF(D2631="","",IFERROR(IF(ISNUMBER(SEARCH(Assumptions!$C$5,D2631)),Assumptions!$D$5,IF(ISNUMBER(SEARCH(Assumptions!$C$6,D2631)),Assumptions!$D$6,IF(ISNUMBER(SEARCH(Assumptions!$C$7,D2631)),Assumptions!$D$7,"Other Services"))),"Other Services"))</f>
        <v/>
      </c>
    </row>
    <row r="2632" customFormat="false" ht="15" hidden="false" customHeight="false" outlineLevel="0" collapsed="false">
      <c r="F2632" s="41" t="str">
        <f aca="false">IF(D2632="","",IFERROR(IF(ISNUMBER(SEARCH(Assumptions!$C$5,D2632)),Assumptions!$D$5,IF(ISNUMBER(SEARCH(Assumptions!$C$6,D2632)),Assumptions!$D$6,IF(ISNUMBER(SEARCH(Assumptions!$C$7,D2632)),Assumptions!$D$7,"Other Services"))),"Other Services"))</f>
        <v/>
      </c>
    </row>
    <row r="2633" customFormat="false" ht="15" hidden="false" customHeight="false" outlineLevel="0" collapsed="false">
      <c r="F2633" s="41" t="str">
        <f aca="false">IF(D2633="","",IFERROR(IF(ISNUMBER(SEARCH(Assumptions!$C$5,D2633)),Assumptions!$D$5,IF(ISNUMBER(SEARCH(Assumptions!$C$6,D2633)),Assumptions!$D$6,IF(ISNUMBER(SEARCH(Assumptions!$C$7,D2633)),Assumptions!$D$7,"Other Services"))),"Other Services"))</f>
        <v/>
      </c>
    </row>
    <row r="2634" customFormat="false" ht="15" hidden="false" customHeight="false" outlineLevel="0" collapsed="false">
      <c r="F2634" s="41" t="str">
        <f aca="false">IF(D2634="","",IFERROR(IF(ISNUMBER(SEARCH(Assumptions!$C$5,D2634)),Assumptions!$D$5,IF(ISNUMBER(SEARCH(Assumptions!$C$6,D2634)),Assumptions!$D$6,IF(ISNUMBER(SEARCH(Assumptions!$C$7,D2634)),Assumptions!$D$7,"Other Services"))),"Other Services"))</f>
        <v/>
      </c>
    </row>
    <row r="2635" customFormat="false" ht="15" hidden="false" customHeight="false" outlineLevel="0" collapsed="false">
      <c r="F2635" s="41" t="str">
        <f aca="false">IF(D2635="","",IFERROR(IF(ISNUMBER(SEARCH(Assumptions!$C$5,D2635)),Assumptions!$D$5,IF(ISNUMBER(SEARCH(Assumptions!$C$6,D2635)),Assumptions!$D$6,IF(ISNUMBER(SEARCH(Assumptions!$C$7,D2635)),Assumptions!$D$7,"Other Services"))),"Other Services"))</f>
        <v/>
      </c>
    </row>
    <row r="2636" customFormat="false" ht="15" hidden="false" customHeight="false" outlineLevel="0" collapsed="false">
      <c r="F2636" s="41" t="str">
        <f aca="false">IF(D2636="","",IFERROR(IF(ISNUMBER(SEARCH(Assumptions!$C$5,D2636)),Assumptions!$D$5,IF(ISNUMBER(SEARCH(Assumptions!$C$6,D2636)),Assumptions!$D$6,IF(ISNUMBER(SEARCH(Assumptions!$C$7,D2636)),Assumptions!$D$7,"Other Services"))),"Other Services"))</f>
        <v/>
      </c>
    </row>
    <row r="2637" customFormat="false" ht="15" hidden="false" customHeight="false" outlineLevel="0" collapsed="false">
      <c r="F2637" s="41" t="str">
        <f aca="false">IF(D2637="","",IFERROR(IF(ISNUMBER(SEARCH(Assumptions!$C$5,D2637)),Assumptions!$D$5,IF(ISNUMBER(SEARCH(Assumptions!$C$6,D2637)),Assumptions!$D$6,IF(ISNUMBER(SEARCH(Assumptions!$C$7,D2637)),Assumptions!$D$7,"Other Services"))),"Other Services"))</f>
        <v/>
      </c>
    </row>
    <row r="2638" customFormat="false" ht="15" hidden="false" customHeight="false" outlineLevel="0" collapsed="false">
      <c r="F2638" s="41" t="str">
        <f aca="false">IF(D2638="","",IFERROR(IF(ISNUMBER(SEARCH(Assumptions!$C$5,D2638)),Assumptions!$D$5,IF(ISNUMBER(SEARCH(Assumptions!$C$6,D2638)),Assumptions!$D$6,IF(ISNUMBER(SEARCH(Assumptions!$C$7,D2638)),Assumptions!$D$7,"Other Services"))),"Other Services"))</f>
        <v/>
      </c>
    </row>
    <row r="2639" customFormat="false" ht="15" hidden="false" customHeight="false" outlineLevel="0" collapsed="false">
      <c r="F2639" s="41" t="str">
        <f aca="false">IF(D2639="","",IFERROR(IF(ISNUMBER(SEARCH(Assumptions!$C$5,D2639)),Assumptions!$D$5,IF(ISNUMBER(SEARCH(Assumptions!$C$6,D2639)),Assumptions!$D$6,IF(ISNUMBER(SEARCH(Assumptions!$C$7,D2639)),Assumptions!$D$7,"Other Services"))),"Other Services"))</f>
        <v/>
      </c>
    </row>
    <row r="2640" customFormat="false" ht="15" hidden="false" customHeight="false" outlineLevel="0" collapsed="false">
      <c r="F2640" s="41" t="str">
        <f aca="false">IF(D2640="","",IFERROR(IF(ISNUMBER(SEARCH(Assumptions!$C$5,D2640)),Assumptions!$D$5,IF(ISNUMBER(SEARCH(Assumptions!$C$6,D2640)),Assumptions!$D$6,IF(ISNUMBER(SEARCH(Assumptions!$C$7,D2640)),Assumptions!$D$7,"Other Services"))),"Other Services"))</f>
        <v/>
      </c>
    </row>
    <row r="2641" customFormat="false" ht="15" hidden="false" customHeight="false" outlineLevel="0" collapsed="false">
      <c r="F2641" s="41" t="str">
        <f aca="false">IF(D2641="","",IFERROR(IF(ISNUMBER(SEARCH(Assumptions!$C$5,D2641)),Assumptions!$D$5,IF(ISNUMBER(SEARCH(Assumptions!$C$6,D2641)),Assumptions!$D$6,IF(ISNUMBER(SEARCH(Assumptions!$C$7,D2641)),Assumptions!$D$7,"Other Services"))),"Other Services"))</f>
        <v/>
      </c>
    </row>
    <row r="2642" customFormat="false" ht="15" hidden="false" customHeight="false" outlineLevel="0" collapsed="false">
      <c r="F2642" s="41" t="str">
        <f aca="false">IF(D2642="","",IFERROR(IF(ISNUMBER(SEARCH(Assumptions!$C$5,D2642)),Assumptions!$D$5,IF(ISNUMBER(SEARCH(Assumptions!$C$6,D2642)),Assumptions!$D$6,IF(ISNUMBER(SEARCH(Assumptions!$C$7,D2642)),Assumptions!$D$7,"Other Services"))),"Other Services"))</f>
        <v/>
      </c>
    </row>
    <row r="2643" customFormat="false" ht="15" hidden="false" customHeight="false" outlineLevel="0" collapsed="false">
      <c r="F2643" s="41" t="str">
        <f aca="false">IF(D2643="","",IFERROR(IF(ISNUMBER(SEARCH(Assumptions!$C$5,D2643)),Assumptions!$D$5,IF(ISNUMBER(SEARCH(Assumptions!$C$6,D2643)),Assumptions!$D$6,IF(ISNUMBER(SEARCH(Assumptions!$C$7,D2643)),Assumptions!$D$7,"Other Services"))),"Other Services"))</f>
        <v/>
      </c>
    </row>
    <row r="2644" customFormat="false" ht="15" hidden="false" customHeight="false" outlineLevel="0" collapsed="false">
      <c r="F2644" s="41" t="str">
        <f aca="false">IF(D2644="","",IFERROR(IF(ISNUMBER(SEARCH(Assumptions!$C$5,D2644)),Assumptions!$D$5,IF(ISNUMBER(SEARCH(Assumptions!$C$6,D2644)),Assumptions!$D$6,IF(ISNUMBER(SEARCH(Assumptions!$C$7,D2644)),Assumptions!$D$7,"Other Services"))),"Other Services"))</f>
        <v/>
      </c>
    </row>
    <row r="2645" customFormat="false" ht="15" hidden="false" customHeight="false" outlineLevel="0" collapsed="false">
      <c r="F2645" s="41" t="str">
        <f aca="false">IF(D2645="","",IFERROR(IF(ISNUMBER(SEARCH(Assumptions!$C$5,D2645)),Assumptions!$D$5,IF(ISNUMBER(SEARCH(Assumptions!$C$6,D2645)),Assumptions!$D$6,IF(ISNUMBER(SEARCH(Assumptions!$C$7,D2645)),Assumptions!$D$7,"Other Services"))),"Other Services"))</f>
        <v/>
      </c>
    </row>
    <row r="2646" customFormat="false" ht="15" hidden="false" customHeight="false" outlineLevel="0" collapsed="false">
      <c r="F2646" s="41" t="str">
        <f aca="false">IF(D2646="","",IFERROR(IF(ISNUMBER(SEARCH(Assumptions!$C$5,D2646)),Assumptions!$D$5,IF(ISNUMBER(SEARCH(Assumptions!$C$6,D2646)),Assumptions!$D$6,IF(ISNUMBER(SEARCH(Assumptions!$C$7,D2646)),Assumptions!$D$7,"Other Services"))),"Other Services"))</f>
        <v/>
      </c>
    </row>
    <row r="2647" customFormat="false" ht="15" hidden="false" customHeight="false" outlineLevel="0" collapsed="false">
      <c r="F2647" s="41" t="str">
        <f aca="false">IF(D2647="","",IFERROR(IF(ISNUMBER(SEARCH(Assumptions!$C$5,D2647)),Assumptions!$D$5,IF(ISNUMBER(SEARCH(Assumptions!$C$6,D2647)),Assumptions!$D$6,IF(ISNUMBER(SEARCH(Assumptions!$C$7,D2647)),Assumptions!$D$7,"Other Services"))),"Other Services"))</f>
        <v/>
      </c>
    </row>
    <row r="2648" customFormat="false" ht="15" hidden="false" customHeight="false" outlineLevel="0" collapsed="false">
      <c r="F2648" s="41" t="str">
        <f aca="false">IF(D2648="","",IFERROR(IF(ISNUMBER(SEARCH(Assumptions!$C$5,D2648)),Assumptions!$D$5,IF(ISNUMBER(SEARCH(Assumptions!$C$6,D2648)),Assumptions!$D$6,IF(ISNUMBER(SEARCH(Assumptions!$C$7,D2648)),Assumptions!$D$7,"Other Services"))),"Other Services"))</f>
        <v/>
      </c>
    </row>
    <row r="2649" customFormat="false" ht="15" hidden="false" customHeight="false" outlineLevel="0" collapsed="false">
      <c r="F2649" s="41" t="str">
        <f aca="false">IF(D2649="","",IFERROR(IF(ISNUMBER(SEARCH(Assumptions!$C$5,D2649)),Assumptions!$D$5,IF(ISNUMBER(SEARCH(Assumptions!$C$6,D2649)),Assumptions!$D$6,IF(ISNUMBER(SEARCH(Assumptions!$C$7,D2649)),Assumptions!$D$7,"Other Services"))),"Other Services"))</f>
        <v/>
      </c>
    </row>
    <row r="2650" customFormat="false" ht="15" hidden="false" customHeight="false" outlineLevel="0" collapsed="false">
      <c r="F2650" s="41" t="str">
        <f aca="false">IF(D2650="","",IFERROR(IF(ISNUMBER(SEARCH(Assumptions!$C$5,D2650)),Assumptions!$D$5,IF(ISNUMBER(SEARCH(Assumptions!$C$6,D2650)),Assumptions!$D$6,IF(ISNUMBER(SEARCH(Assumptions!$C$7,D2650)),Assumptions!$D$7,"Other Services"))),"Other Services"))</f>
        <v/>
      </c>
    </row>
    <row r="2651" customFormat="false" ht="15" hidden="false" customHeight="false" outlineLevel="0" collapsed="false">
      <c r="F2651" s="41" t="str">
        <f aca="false">IF(D2651="","",IFERROR(IF(ISNUMBER(SEARCH(Assumptions!$C$5,D2651)),Assumptions!$D$5,IF(ISNUMBER(SEARCH(Assumptions!$C$6,D2651)),Assumptions!$D$6,IF(ISNUMBER(SEARCH(Assumptions!$C$7,D2651)),Assumptions!$D$7,"Other Services"))),"Other Services"))</f>
        <v/>
      </c>
    </row>
    <row r="2652" customFormat="false" ht="15" hidden="false" customHeight="false" outlineLevel="0" collapsed="false">
      <c r="F2652" s="41" t="str">
        <f aca="false">IF(D2652="","",IFERROR(IF(ISNUMBER(SEARCH(Assumptions!$C$5,D2652)),Assumptions!$D$5,IF(ISNUMBER(SEARCH(Assumptions!$C$6,D2652)),Assumptions!$D$6,IF(ISNUMBER(SEARCH(Assumptions!$C$7,D2652)),Assumptions!$D$7,"Other Services"))),"Other Services"))</f>
        <v/>
      </c>
    </row>
    <row r="2653" customFormat="false" ht="15" hidden="false" customHeight="false" outlineLevel="0" collapsed="false">
      <c r="F2653" s="41" t="str">
        <f aca="false">IF(D2653="","",IFERROR(IF(ISNUMBER(SEARCH(Assumptions!$C$5,D2653)),Assumptions!$D$5,IF(ISNUMBER(SEARCH(Assumptions!$C$6,D2653)),Assumptions!$D$6,IF(ISNUMBER(SEARCH(Assumptions!$C$7,D2653)),Assumptions!$D$7,"Other Services"))),"Other Services"))</f>
        <v/>
      </c>
    </row>
    <row r="2654" customFormat="false" ht="15" hidden="false" customHeight="false" outlineLevel="0" collapsed="false">
      <c r="F2654" s="41" t="str">
        <f aca="false">IF(D2654="","",IFERROR(IF(ISNUMBER(SEARCH(Assumptions!$C$5,D2654)),Assumptions!$D$5,IF(ISNUMBER(SEARCH(Assumptions!$C$6,D2654)),Assumptions!$D$6,IF(ISNUMBER(SEARCH(Assumptions!$C$7,D2654)),Assumptions!$D$7,"Other Services"))),"Other Services"))</f>
        <v/>
      </c>
    </row>
    <row r="2655" customFormat="false" ht="15" hidden="false" customHeight="false" outlineLevel="0" collapsed="false">
      <c r="F2655" s="41" t="str">
        <f aca="false">IF(D2655="","",IFERROR(IF(ISNUMBER(SEARCH(Assumptions!$C$5,D2655)),Assumptions!$D$5,IF(ISNUMBER(SEARCH(Assumptions!$C$6,D2655)),Assumptions!$D$6,IF(ISNUMBER(SEARCH(Assumptions!$C$7,D2655)),Assumptions!$D$7,"Other Services"))),"Other Services"))</f>
        <v/>
      </c>
    </row>
    <row r="2656" customFormat="false" ht="15" hidden="false" customHeight="false" outlineLevel="0" collapsed="false">
      <c r="F2656" s="41" t="str">
        <f aca="false">IF(D2656="","",IFERROR(IF(ISNUMBER(SEARCH(Assumptions!$C$5,D2656)),Assumptions!$D$5,IF(ISNUMBER(SEARCH(Assumptions!$C$6,D2656)),Assumptions!$D$6,IF(ISNUMBER(SEARCH(Assumptions!$C$7,D2656)),Assumptions!$D$7,"Other Services"))),"Other Services"))</f>
        <v/>
      </c>
    </row>
    <row r="2657" customFormat="false" ht="15" hidden="false" customHeight="false" outlineLevel="0" collapsed="false">
      <c r="F2657" s="41" t="str">
        <f aca="false">IF(D2657="","",IFERROR(IF(ISNUMBER(SEARCH(Assumptions!$C$5,D2657)),Assumptions!$D$5,IF(ISNUMBER(SEARCH(Assumptions!$C$6,D2657)),Assumptions!$D$6,IF(ISNUMBER(SEARCH(Assumptions!$C$7,D2657)),Assumptions!$D$7,"Other Services"))),"Other Services"))</f>
        <v/>
      </c>
    </row>
    <row r="2658" customFormat="false" ht="15" hidden="false" customHeight="false" outlineLevel="0" collapsed="false">
      <c r="F2658" s="41" t="str">
        <f aca="false">IF(D2658="","",IFERROR(IF(ISNUMBER(SEARCH(Assumptions!$C$5,D2658)),Assumptions!$D$5,IF(ISNUMBER(SEARCH(Assumptions!$C$6,D2658)),Assumptions!$D$6,IF(ISNUMBER(SEARCH(Assumptions!$C$7,D2658)),Assumptions!$D$7,"Other Services"))),"Other Services"))</f>
        <v/>
      </c>
    </row>
    <row r="2659" customFormat="false" ht="15" hidden="false" customHeight="false" outlineLevel="0" collapsed="false">
      <c r="F2659" s="41" t="str">
        <f aca="false">IF(D2659="","",IFERROR(IF(ISNUMBER(SEARCH(Assumptions!$C$5,D2659)),Assumptions!$D$5,IF(ISNUMBER(SEARCH(Assumptions!$C$6,D2659)),Assumptions!$D$6,IF(ISNUMBER(SEARCH(Assumptions!$C$7,D2659)),Assumptions!$D$7,"Other Services"))),"Other Services"))</f>
        <v/>
      </c>
    </row>
    <row r="2660" customFormat="false" ht="15" hidden="false" customHeight="false" outlineLevel="0" collapsed="false">
      <c r="F2660" s="41" t="str">
        <f aca="false">IF(D2660="","",IFERROR(IF(ISNUMBER(SEARCH(Assumptions!$C$5,D2660)),Assumptions!$D$5,IF(ISNUMBER(SEARCH(Assumptions!$C$6,D2660)),Assumptions!$D$6,IF(ISNUMBER(SEARCH(Assumptions!$C$7,D2660)),Assumptions!$D$7,"Other Services"))),"Other Services"))</f>
        <v/>
      </c>
    </row>
    <row r="2661" customFormat="false" ht="15" hidden="false" customHeight="false" outlineLevel="0" collapsed="false">
      <c r="F2661" s="41" t="str">
        <f aca="false">IF(D2661="","",IFERROR(IF(ISNUMBER(SEARCH(Assumptions!$C$5,D2661)),Assumptions!$D$5,IF(ISNUMBER(SEARCH(Assumptions!$C$6,D2661)),Assumptions!$D$6,IF(ISNUMBER(SEARCH(Assumptions!$C$7,D2661)),Assumptions!$D$7,"Other Services"))),"Other Services"))</f>
        <v/>
      </c>
    </row>
    <row r="2662" customFormat="false" ht="15" hidden="false" customHeight="false" outlineLevel="0" collapsed="false">
      <c r="F2662" s="41" t="str">
        <f aca="false">IF(D2662="","",IFERROR(IF(ISNUMBER(SEARCH(Assumptions!$C$5,D2662)),Assumptions!$D$5,IF(ISNUMBER(SEARCH(Assumptions!$C$6,D2662)),Assumptions!$D$6,IF(ISNUMBER(SEARCH(Assumptions!$C$7,D2662)),Assumptions!$D$7,"Other Services"))),"Other Services"))</f>
        <v/>
      </c>
    </row>
    <row r="2663" customFormat="false" ht="15" hidden="false" customHeight="false" outlineLevel="0" collapsed="false">
      <c r="F2663" s="41" t="str">
        <f aca="false">IF(D2663="","",IFERROR(IF(ISNUMBER(SEARCH(Assumptions!$C$5,D2663)),Assumptions!$D$5,IF(ISNUMBER(SEARCH(Assumptions!$C$6,D2663)),Assumptions!$D$6,IF(ISNUMBER(SEARCH(Assumptions!$C$7,D2663)),Assumptions!$D$7,"Other Services"))),"Other Services"))</f>
        <v/>
      </c>
    </row>
    <row r="2664" customFormat="false" ht="15" hidden="false" customHeight="false" outlineLevel="0" collapsed="false">
      <c r="F2664" s="41" t="str">
        <f aca="false">IF(D2664="","",IFERROR(IF(ISNUMBER(SEARCH(Assumptions!$C$5,D2664)),Assumptions!$D$5,IF(ISNUMBER(SEARCH(Assumptions!$C$6,D2664)),Assumptions!$D$6,IF(ISNUMBER(SEARCH(Assumptions!$C$7,D2664)),Assumptions!$D$7,"Other Services"))),"Other Services"))</f>
        <v/>
      </c>
    </row>
    <row r="2665" customFormat="false" ht="15" hidden="false" customHeight="false" outlineLevel="0" collapsed="false">
      <c r="F2665" s="41" t="str">
        <f aca="false">IF(D2665="","",IFERROR(IF(ISNUMBER(SEARCH(Assumptions!$C$5,D2665)),Assumptions!$D$5,IF(ISNUMBER(SEARCH(Assumptions!$C$6,D2665)),Assumptions!$D$6,IF(ISNUMBER(SEARCH(Assumptions!$C$7,D2665)),Assumptions!$D$7,"Other Services"))),"Other Services"))</f>
        <v/>
      </c>
    </row>
    <row r="2666" customFormat="false" ht="15" hidden="false" customHeight="false" outlineLevel="0" collapsed="false">
      <c r="F2666" s="41" t="str">
        <f aca="false">IF(D2666="","",IFERROR(IF(ISNUMBER(SEARCH(Assumptions!$C$5,D2666)),Assumptions!$D$5,IF(ISNUMBER(SEARCH(Assumptions!$C$6,D2666)),Assumptions!$D$6,IF(ISNUMBER(SEARCH(Assumptions!$C$7,D2666)),Assumptions!$D$7,"Other Services"))),"Other Services"))</f>
        <v/>
      </c>
    </row>
    <row r="2667" customFormat="false" ht="15" hidden="false" customHeight="false" outlineLevel="0" collapsed="false">
      <c r="F2667" s="41" t="str">
        <f aca="false">IF(D2667="","",IFERROR(IF(ISNUMBER(SEARCH(Assumptions!$C$5,D2667)),Assumptions!$D$5,IF(ISNUMBER(SEARCH(Assumptions!$C$6,D2667)),Assumptions!$D$6,IF(ISNUMBER(SEARCH(Assumptions!$C$7,D2667)),Assumptions!$D$7,"Other Services"))),"Other Services"))</f>
        <v/>
      </c>
    </row>
    <row r="2668" customFormat="false" ht="15" hidden="false" customHeight="false" outlineLevel="0" collapsed="false">
      <c r="F2668" s="41" t="str">
        <f aca="false">IF(D2668="","",IFERROR(IF(ISNUMBER(SEARCH(Assumptions!$C$5,D2668)),Assumptions!$D$5,IF(ISNUMBER(SEARCH(Assumptions!$C$6,D2668)),Assumptions!$D$6,IF(ISNUMBER(SEARCH(Assumptions!$C$7,D2668)),Assumptions!$D$7,"Other Services"))),"Other Services"))</f>
        <v/>
      </c>
    </row>
    <row r="2669" customFormat="false" ht="15" hidden="false" customHeight="false" outlineLevel="0" collapsed="false">
      <c r="F2669" s="41" t="str">
        <f aca="false">IF(D2669="","",IFERROR(IF(ISNUMBER(SEARCH(Assumptions!$C$5,D2669)),Assumptions!$D$5,IF(ISNUMBER(SEARCH(Assumptions!$C$6,D2669)),Assumptions!$D$6,IF(ISNUMBER(SEARCH(Assumptions!$C$7,D2669)),Assumptions!$D$7,"Other Services"))),"Other Services"))</f>
        <v/>
      </c>
    </row>
    <row r="2670" customFormat="false" ht="15" hidden="false" customHeight="false" outlineLevel="0" collapsed="false">
      <c r="F2670" s="41" t="str">
        <f aca="false">IF(D2670="","",IFERROR(IF(ISNUMBER(SEARCH(Assumptions!$C$5,D2670)),Assumptions!$D$5,IF(ISNUMBER(SEARCH(Assumptions!$C$6,D2670)),Assumptions!$D$6,IF(ISNUMBER(SEARCH(Assumptions!$C$7,D2670)),Assumptions!$D$7,"Other Services"))),"Other Services"))</f>
        <v/>
      </c>
    </row>
    <row r="2671" customFormat="false" ht="15" hidden="false" customHeight="false" outlineLevel="0" collapsed="false">
      <c r="F2671" s="41" t="str">
        <f aca="false">IF(D2671="","",IFERROR(IF(ISNUMBER(SEARCH(Assumptions!$C$5,D2671)),Assumptions!$D$5,IF(ISNUMBER(SEARCH(Assumptions!$C$6,D2671)),Assumptions!$D$6,IF(ISNUMBER(SEARCH(Assumptions!$C$7,D2671)),Assumptions!$D$7,"Other Services"))),"Other Services"))</f>
        <v/>
      </c>
    </row>
    <row r="2672" customFormat="false" ht="15" hidden="false" customHeight="false" outlineLevel="0" collapsed="false">
      <c r="F2672" s="41" t="str">
        <f aca="false">IF(D2672="","",IFERROR(IF(ISNUMBER(SEARCH(Assumptions!$C$5,D2672)),Assumptions!$D$5,IF(ISNUMBER(SEARCH(Assumptions!$C$6,D2672)),Assumptions!$D$6,IF(ISNUMBER(SEARCH(Assumptions!$C$7,D2672)),Assumptions!$D$7,"Other Services"))),"Other Services"))</f>
        <v/>
      </c>
    </row>
    <row r="2673" customFormat="false" ht="15" hidden="false" customHeight="false" outlineLevel="0" collapsed="false">
      <c r="F2673" s="41" t="str">
        <f aca="false">IF(D2673="","",IFERROR(IF(ISNUMBER(SEARCH(Assumptions!$C$5,D2673)),Assumptions!$D$5,IF(ISNUMBER(SEARCH(Assumptions!$C$6,D2673)),Assumptions!$D$6,IF(ISNUMBER(SEARCH(Assumptions!$C$7,D2673)),Assumptions!$D$7,"Other Services"))),"Other Services"))</f>
        <v/>
      </c>
    </row>
    <row r="2674" customFormat="false" ht="15" hidden="false" customHeight="false" outlineLevel="0" collapsed="false">
      <c r="F2674" s="41" t="str">
        <f aca="false">IF(D2674="","",IFERROR(IF(ISNUMBER(SEARCH(Assumptions!$C$5,D2674)),Assumptions!$D$5,IF(ISNUMBER(SEARCH(Assumptions!$C$6,D2674)),Assumptions!$D$6,IF(ISNUMBER(SEARCH(Assumptions!$C$7,D2674)),Assumptions!$D$7,"Other Services"))),"Other Services"))</f>
        <v/>
      </c>
    </row>
    <row r="2675" customFormat="false" ht="15" hidden="false" customHeight="false" outlineLevel="0" collapsed="false">
      <c r="F2675" s="41" t="str">
        <f aca="false">IF(D2675="","",IFERROR(IF(ISNUMBER(SEARCH(Assumptions!$C$5,D2675)),Assumptions!$D$5,IF(ISNUMBER(SEARCH(Assumptions!$C$6,D2675)),Assumptions!$D$6,IF(ISNUMBER(SEARCH(Assumptions!$C$7,D2675)),Assumptions!$D$7,"Other Services"))),"Other Services"))</f>
        <v/>
      </c>
    </row>
    <row r="2676" customFormat="false" ht="15" hidden="false" customHeight="false" outlineLevel="0" collapsed="false">
      <c r="F2676" s="41" t="str">
        <f aca="false">IF(D2676="","",IFERROR(IF(ISNUMBER(SEARCH(Assumptions!$C$5,D2676)),Assumptions!$D$5,IF(ISNUMBER(SEARCH(Assumptions!$C$6,D2676)),Assumptions!$D$6,IF(ISNUMBER(SEARCH(Assumptions!$C$7,D2676)),Assumptions!$D$7,"Other Services"))),"Other Services"))</f>
        <v/>
      </c>
    </row>
    <row r="2677" customFormat="false" ht="15" hidden="false" customHeight="false" outlineLevel="0" collapsed="false">
      <c r="F2677" s="41" t="str">
        <f aca="false">IF(D2677="","",IFERROR(IF(ISNUMBER(SEARCH(Assumptions!$C$5,D2677)),Assumptions!$D$5,IF(ISNUMBER(SEARCH(Assumptions!$C$6,D2677)),Assumptions!$D$6,IF(ISNUMBER(SEARCH(Assumptions!$C$7,D2677)),Assumptions!$D$7,"Other Services"))),"Other Services"))</f>
        <v/>
      </c>
    </row>
    <row r="2678" customFormat="false" ht="15" hidden="false" customHeight="false" outlineLevel="0" collapsed="false">
      <c r="F2678" s="41" t="str">
        <f aca="false">IF(D2678="","",IFERROR(IF(ISNUMBER(SEARCH(Assumptions!$C$5,D2678)),Assumptions!$D$5,IF(ISNUMBER(SEARCH(Assumptions!$C$6,D2678)),Assumptions!$D$6,IF(ISNUMBER(SEARCH(Assumptions!$C$7,D2678)),Assumptions!$D$7,"Other Services"))),"Other Services"))</f>
        <v/>
      </c>
    </row>
    <row r="2679" customFormat="false" ht="15" hidden="false" customHeight="false" outlineLevel="0" collapsed="false">
      <c r="F2679" s="41" t="str">
        <f aca="false">IF(D2679="","",IFERROR(IF(ISNUMBER(SEARCH(Assumptions!$C$5,D2679)),Assumptions!$D$5,IF(ISNUMBER(SEARCH(Assumptions!$C$6,D2679)),Assumptions!$D$6,IF(ISNUMBER(SEARCH(Assumptions!$C$7,D2679)),Assumptions!$D$7,"Other Services"))),"Other Services"))</f>
        <v/>
      </c>
    </row>
    <row r="2680" customFormat="false" ht="15" hidden="false" customHeight="false" outlineLevel="0" collapsed="false">
      <c r="F2680" s="41" t="str">
        <f aca="false">IF(D2680="","",IFERROR(IF(ISNUMBER(SEARCH(Assumptions!$C$5,D2680)),Assumptions!$D$5,IF(ISNUMBER(SEARCH(Assumptions!$C$6,D2680)),Assumptions!$D$6,IF(ISNUMBER(SEARCH(Assumptions!$C$7,D2680)),Assumptions!$D$7,"Other Services"))),"Other Services"))</f>
        <v/>
      </c>
    </row>
    <row r="2681" customFormat="false" ht="15" hidden="false" customHeight="false" outlineLevel="0" collapsed="false">
      <c r="F2681" s="41" t="str">
        <f aca="false">IF(D2681="","",IFERROR(IF(ISNUMBER(SEARCH(Assumptions!$C$5,D2681)),Assumptions!$D$5,IF(ISNUMBER(SEARCH(Assumptions!$C$6,D2681)),Assumptions!$D$6,IF(ISNUMBER(SEARCH(Assumptions!$C$7,D2681)),Assumptions!$D$7,"Other Services"))),"Other Services"))</f>
        <v/>
      </c>
    </row>
    <row r="2682" customFormat="false" ht="15" hidden="false" customHeight="false" outlineLevel="0" collapsed="false">
      <c r="F2682" s="41" t="str">
        <f aca="false">IF(D2682="","",IFERROR(IF(ISNUMBER(SEARCH(Assumptions!$C$5,D2682)),Assumptions!$D$5,IF(ISNUMBER(SEARCH(Assumptions!$C$6,D2682)),Assumptions!$D$6,IF(ISNUMBER(SEARCH(Assumptions!$C$7,D2682)),Assumptions!$D$7,"Other Services"))),"Other Services"))</f>
        <v/>
      </c>
    </row>
    <row r="2683" customFormat="false" ht="15" hidden="false" customHeight="false" outlineLevel="0" collapsed="false">
      <c r="F2683" s="41" t="str">
        <f aca="false">IF(D2683="","",IFERROR(IF(ISNUMBER(SEARCH(Assumptions!$C$5,D2683)),Assumptions!$D$5,IF(ISNUMBER(SEARCH(Assumptions!$C$6,D2683)),Assumptions!$D$6,IF(ISNUMBER(SEARCH(Assumptions!$C$7,D2683)),Assumptions!$D$7,"Other Services"))),"Other Services"))</f>
        <v/>
      </c>
    </row>
    <row r="2684" customFormat="false" ht="15" hidden="false" customHeight="false" outlineLevel="0" collapsed="false">
      <c r="F2684" s="41" t="str">
        <f aca="false">IF(D2684="","",IFERROR(IF(ISNUMBER(SEARCH(Assumptions!$C$5,D2684)),Assumptions!$D$5,IF(ISNUMBER(SEARCH(Assumptions!$C$6,D2684)),Assumptions!$D$6,IF(ISNUMBER(SEARCH(Assumptions!$C$7,D2684)),Assumptions!$D$7,"Other Services"))),"Other Services"))</f>
        <v/>
      </c>
    </row>
    <row r="2685" customFormat="false" ht="15" hidden="false" customHeight="false" outlineLevel="0" collapsed="false">
      <c r="F2685" s="41" t="str">
        <f aca="false">IF(D2685="","",IFERROR(IF(ISNUMBER(SEARCH(Assumptions!$C$5,D2685)),Assumptions!$D$5,IF(ISNUMBER(SEARCH(Assumptions!$C$6,D2685)),Assumptions!$D$6,IF(ISNUMBER(SEARCH(Assumptions!$C$7,D2685)),Assumptions!$D$7,"Other Services"))),"Other Services"))</f>
        <v/>
      </c>
    </row>
    <row r="2686" customFormat="false" ht="15" hidden="false" customHeight="false" outlineLevel="0" collapsed="false">
      <c r="F2686" s="41" t="str">
        <f aca="false">IF(D2686="","",IFERROR(IF(ISNUMBER(SEARCH(Assumptions!$C$5,D2686)),Assumptions!$D$5,IF(ISNUMBER(SEARCH(Assumptions!$C$6,D2686)),Assumptions!$D$6,IF(ISNUMBER(SEARCH(Assumptions!$C$7,D2686)),Assumptions!$D$7,"Other Services"))),"Other Services"))</f>
        <v/>
      </c>
    </row>
    <row r="2687" customFormat="false" ht="15" hidden="false" customHeight="false" outlineLevel="0" collapsed="false">
      <c r="F2687" s="41" t="str">
        <f aca="false">IF(D2687="","",IFERROR(IF(ISNUMBER(SEARCH(Assumptions!$C$5,D2687)),Assumptions!$D$5,IF(ISNUMBER(SEARCH(Assumptions!$C$6,D2687)),Assumptions!$D$6,IF(ISNUMBER(SEARCH(Assumptions!$C$7,D2687)),Assumptions!$D$7,"Other Services"))),"Other Services"))</f>
        <v/>
      </c>
    </row>
    <row r="2688" customFormat="false" ht="15" hidden="false" customHeight="false" outlineLevel="0" collapsed="false">
      <c r="F2688" s="41" t="str">
        <f aca="false">IF(D2688="","",IFERROR(IF(ISNUMBER(SEARCH(Assumptions!$C$5,D2688)),Assumptions!$D$5,IF(ISNUMBER(SEARCH(Assumptions!$C$6,D2688)),Assumptions!$D$6,IF(ISNUMBER(SEARCH(Assumptions!$C$7,D2688)),Assumptions!$D$7,"Other Services"))),"Other Services"))</f>
        <v/>
      </c>
    </row>
    <row r="2689" customFormat="false" ht="15" hidden="false" customHeight="false" outlineLevel="0" collapsed="false">
      <c r="F2689" s="41" t="str">
        <f aca="false">IF(D2689="","",IFERROR(IF(ISNUMBER(SEARCH(Assumptions!$C$5,D2689)),Assumptions!$D$5,IF(ISNUMBER(SEARCH(Assumptions!$C$6,D2689)),Assumptions!$D$6,IF(ISNUMBER(SEARCH(Assumptions!$C$7,D2689)),Assumptions!$D$7,"Other Services"))),"Other Services"))</f>
        <v/>
      </c>
    </row>
    <row r="2690" customFormat="false" ht="15" hidden="false" customHeight="false" outlineLevel="0" collapsed="false">
      <c r="F2690" s="41" t="str">
        <f aca="false">IF(D2690="","",IFERROR(IF(ISNUMBER(SEARCH(Assumptions!$C$5,D2690)),Assumptions!$D$5,IF(ISNUMBER(SEARCH(Assumptions!$C$6,D2690)),Assumptions!$D$6,IF(ISNUMBER(SEARCH(Assumptions!$C$7,D2690)),Assumptions!$D$7,"Other Services"))),"Other Services"))</f>
        <v/>
      </c>
    </row>
    <row r="2691" customFormat="false" ht="15" hidden="false" customHeight="false" outlineLevel="0" collapsed="false">
      <c r="F2691" s="41" t="str">
        <f aca="false">IF(D2691="","",IFERROR(IF(ISNUMBER(SEARCH(Assumptions!$C$5,D2691)),Assumptions!$D$5,IF(ISNUMBER(SEARCH(Assumptions!$C$6,D2691)),Assumptions!$D$6,IF(ISNUMBER(SEARCH(Assumptions!$C$7,D2691)),Assumptions!$D$7,"Other Services"))),"Other Services"))</f>
        <v/>
      </c>
    </row>
    <row r="2692" customFormat="false" ht="15" hidden="false" customHeight="false" outlineLevel="0" collapsed="false">
      <c r="F2692" s="41" t="str">
        <f aca="false">IF(D2692="","",IFERROR(IF(ISNUMBER(SEARCH(Assumptions!$C$5,D2692)),Assumptions!$D$5,IF(ISNUMBER(SEARCH(Assumptions!$C$6,D2692)),Assumptions!$D$6,IF(ISNUMBER(SEARCH(Assumptions!$C$7,D2692)),Assumptions!$D$7,"Other Services"))),"Other Services"))</f>
        <v/>
      </c>
    </row>
    <row r="2693" customFormat="false" ht="15" hidden="false" customHeight="false" outlineLevel="0" collapsed="false">
      <c r="F2693" s="41" t="str">
        <f aca="false">IF(D2693="","",IFERROR(IF(ISNUMBER(SEARCH(Assumptions!$C$5,D2693)),Assumptions!$D$5,IF(ISNUMBER(SEARCH(Assumptions!$C$6,D2693)),Assumptions!$D$6,IF(ISNUMBER(SEARCH(Assumptions!$C$7,D2693)),Assumptions!$D$7,"Other Services"))),"Other Services"))</f>
        <v/>
      </c>
    </row>
    <row r="2694" customFormat="false" ht="15" hidden="false" customHeight="false" outlineLevel="0" collapsed="false">
      <c r="F2694" s="41" t="str">
        <f aca="false">IF(D2694="","",IFERROR(IF(ISNUMBER(SEARCH(Assumptions!$C$5,D2694)),Assumptions!$D$5,IF(ISNUMBER(SEARCH(Assumptions!$C$6,D2694)),Assumptions!$D$6,IF(ISNUMBER(SEARCH(Assumptions!$C$7,D2694)),Assumptions!$D$7,"Other Services"))),"Other Services"))</f>
        <v/>
      </c>
    </row>
    <row r="2695" customFormat="false" ht="15" hidden="false" customHeight="false" outlineLevel="0" collapsed="false">
      <c r="F2695" s="41" t="str">
        <f aca="false">IF(D2695="","",IFERROR(IF(ISNUMBER(SEARCH(Assumptions!$C$5,D2695)),Assumptions!$D$5,IF(ISNUMBER(SEARCH(Assumptions!$C$6,D2695)),Assumptions!$D$6,IF(ISNUMBER(SEARCH(Assumptions!$C$7,D2695)),Assumptions!$D$7,"Other Services"))),"Other Services"))</f>
        <v/>
      </c>
    </row>
    <row r="2696" customFormat="false" ht="15" hidden="false" customHeight="false" outlineLevel="0" collapsed="false">
      <c r="F2696" s="41" t="str">
        <f aca="false">IF(D2696="","",IFERROR(IF(ISNUMBER(SEARCH(Assumptions!$C$5,D2696)),Assumptions!$D$5,IF(ISNUMBER(SEARCH(Assumptions!$C$6,D2696)),Assumptions!$D$6,IF(ISNUMBER(SEARCH(Assumptions!$C$7,D2696)),Assumptions!$D$7,"Other Services"))),"Other Services"))</f>
        <v/>
      </c>
    </row>
    <row r="2697" customFormat="false" ht="15" hidden="false" customHeight="false" outlineLevel="0" collapsed="false">
      <c r="F2697" s="41" t="str">
        <f aca="false">IF(D2697="","",IFERROR(IF(ISNUMBER(SEARCH(Assumptions!$C$5,D2697)),Assumptions!$D$5,IF(ISNUMBER(SEARCH(Assumptions!$C$6,D2697)),Assumptions!$D$6,IF(ISNUMBER(SEARCH(Assumptions!$C$7,D2697)),Assumptions!$D$7,"Other Services"))),"Other Services"))</f>
        <v/>
      </c>
    </row>
    <row r="2698" customFormat="false" ht="15" hidden="false" customHeight="false" outlineLevel="0" collapsed="false">
      <c r="F2698" s="41" t="str">
        <f aca="false">IF(D2698="","",IFERROR(IF(ISNUMBER(SEARCH(Assumptions!$C$5,D2698)),Assumptions!$D$5,IF(ISNUMBER(SEARCH(Assumptions!$C$6,D2698)),Assumptions!$D$6,IF(ISNUMBER(SEARCH(Assumptions!$C$7,D2698)),Assumptions!$D$7,"Other Services"))),"Other Services"))</f>
        <v/>
      </c>
    </row>
    <row r="2699" customFormat="false" ht="15" hidden="false" customHeight="false" outlineLevel="0" collapsed="false">
      <c r="F2699" s="41" t="str">
        <f aca="false">IF(D2699="","",IFERROR(IF(ISNUMBER(SEARCH(Assumptions!$C$5,D2699)),Assumptions!$D$5,IF(ISNUMBER(SEARCH(Assumptions!$C$6,D2699)),Assumptions!$D$6,IF(ISNUMBER(SEARCH(Assumptions!$C$7,D2699)),Assumptions!$D$7,"Other Services"))),"Other Services"))</f>
        <v/>
      </c>
    </row>
    <row r="2700" customFormat="false" ht="15" hidden="false" customHeight="false" outlineLevel="0" collapsed="false">
      <c r="F2700" s="41" t="str">
        <f aca="false">IF(D2700="","",IFERROR(IF(ISNUMBER(SEARCH(Assumptions!$C$5,D2700)),Assumptions!$D$5,IF(ISNUMBER(SEARCH(Assumptions!$C$6,D2700)),Assumptions!$D$6,IF(ISNUMBER(SEARCH(Assumptions!$C$7,D2700)),Assumptions!$D$7,"Other Services"))),"Other Services"))</f>
        <v/>
      </c>
    </row>
    <row r="2701" customFormat="false" ht="15" hidden="false" customHeight="false" outlineLevel="0" collapsed="false">
      <c r="F2701" s="41" t="str">
        <f aca="false">IF(D2701="","",IFERROR(IF(ISNUMBER(SEARCH(Assumptions!$C$5,D2701)),Assumptions!$D$5,IF(ISNUMBER(SEARCH(Assumptions!$C$6,D2701)),Assumptions!$D$6,IF(ISNUMBER(SEARCH(Assumptions!$C$7,D2701)),Assumptions!$D$7,"Other Services"))),"Other Services"))</f>
        <v/>
      </c>
    </row>
    <row r="2702" customFormat="false" ht="15" hidden="false" customHeight="false" outlineLevel="0" collapsed="false">
      <c r="F2702" s="41" t="str">
        <f aca="false">IF(D2702="","",IFERROR(IF(ISNUMBER(SEARCH(Assumptions!$C$5,D2702)),Assumptions!$D$5,IF(ISNUMBER(SEARCH(Assumptions!$C$6,D2702)),Assumptions!$D$6,IF(ISNUMBER(SEARCH(Assumptions!$C$7,D2702)),Assumptions!$D$7,"Other Services"))),"Other Services"))</f>
        <v/>
      </c>
    </row>
    <row r="2703" customFormat="false" ht="15" hidden="false" customHeight="false" outlineLevel="0" collapsed="false">
      <c r="F2703" s="41" t="str">
        <f aca="false">IF(D2703="","",IFERROR(IF(ISNUMBER(SEARCH(Assumptions!$C$5,D2703)),Assumptions!$D$5,IF(ISNUMBER(SEARCH(Assumptions!$C$6,D2703)),Assumptions!$D$6,IF(ISNUMBER(SEARCH(Assumptions!$C$7,D2703)),Assumptions!$D$7,"Other Services"))),"Other Services"))</f>
        <v/>
      </c>
    </row>
    <row r="2704" customFormat="false" ht="15" hidden="false" customHeight="false" outlineLevel="0" collapsed="false">
      <c r="F2704" s="41" t="str">
        <f aca="false">IF(D2704="","",IFERROR(IF(ISNUMBER(SEARCH(Assumptions!$C$5,D2704)),Assumptions!$D$5,IF(ISNUMBER(SEARCH(Assumptions!$C$6,D2704)),Assumptions!$D$6,IF(ISNUMBER(SEARCH(Assumptions!$C$7,D2704)),Assumptions!$D$7,"Other Services"))),"Other Services"))</f>
        <v/>
      </c>
    </row>
    <row r="2705" customFormat="false" ht="15" hidden="false" customHeight="false" outlineLevel="0" collapsed="false">
      <c r="F2705" s="41" t="str">
        <f aca="false">IF(D2705="","",IFERROR(IF(ISNUMBER(SEARCH(Assumptions!$C$5,D2705)),Assumptions!$D$5,IF(ISNUMBER(SEARCH(Assumptions!$C$6,D2705)),Assumptions!$D$6,IF(ISNUMBER(SEARCH(Assumptions!$C$7,D2705)),Assumptions!$D$7,"Other Services"))),"Other Services"))</f>
        <v/>
      </c>
    </row>
    <row r="2706" customFormat="false" ht="15" hidden="false" customHeight="false" outlineLevel="0" collapsed="false">
      <c r="F2706" s="41" t="str">
        <f aca="false">IF(D2706="","",IFERROR(IF(ISNUMBER(SEARCH(Assumptions!$C$5,D2706)),Assumptions!$D$5,IF(ISNUMBER(SEARCH(Assumptions!$C$6,D2706)),Assumptions!$D$6,IF(ISNUMBER(SEARCH(Assumptions!$C$7,D2706)),Assumptions!$D$7,"Other Services"))),"Other Services"))</f>
        <v/>
      </c>
    </row>
    <row r="2707" customFormat="false" ht="15" hidden="false" customHeight="false" outlineLevel="0" collapsed="false">
      <c r="F2707" s="41" t="str">
        <f aca="false">IF(D2707="","",IFERROR(IF(ISNUMBER(SEARCH(Assumptions!$C$5,D2707)),Assumptions!$D$5,IF(ISNUMBER(SEARCH(Assumptions!$C$6,D2707)),Assumptions!$D$6,IF(ISNUMBER(SEARCH(Assumptions!$C$7,D2707)),Assumptions!$D$7,"Other Services"))),"Other Services"))</f>
        <v/>
      </c>
    </row>
    <row r="2708" customFormat="false" ht="15" hidden="false" customHeight="false" outlineLevel="0" collapsed="false">
      <c r="F2708" s="41" t="str">
        <f aca="false">IF(D2708="","",IFERROR(IF(ISNUMBER(SEARCH(Assumptions!$C$5,D2708)),Assumptions!$D$5,IF(ISNUMBER(SEARCH(Assumptions!$C$6,D2708)),Assumptions!$D$6,IF(ISNUMBER(SEARCH(Assumptions!$C$7,D2708)),Assumptions!$D$7,"Other Services"))),"Other Services"))</f>
        <v/>
      </c>
    </row>
    <row r="2709" customFormat="false" ht="15" hidden="false" customHeight="false" outlineLevel="0" collapsed="false">
      <c r="F2709" s="41" t="str">
        <f aca="false">IF(D2709="","",IFERROR(IF(ISNUMBER(SEARCH(Assumptions!$C$5,D2709)),Assumptions!$D$5,IF(ISNUMBER(SEARCH(Assumptions!$C$6,D2709)),Assumptions!$D$6,IF(ISNUMBER(SEARCH(Assumptions!$C$7,D2709)),Assumptions!$D$7,"Other Services"))),"Other Services"))</f>
        <v/>
      </c>
    </row>
    <row r="2710" customFormat="false" ht="15" hidden="false" customHeight="false" outlineLevel="0" collapsed="false">
      <c r="F2710" s="41" t="str">
        <f aca="false">IF(D2710="","",IFERROR(IF(ISNUMBER(SEARCH(Assumptions!$C$5,D2710)),Assumptions!$D$5,IF(ISNUMBER(SEARCH(Assumptions!$C$6,D2710)),Assumptions!$D$6,IF(ISNUMBER(SEARCH(Assumptions!$C$7,D2710)),Assumptions!$D$7,"Other Services"))),"Other Services"))</f>
        <v/>
      </c>
    </row>
    <row r="2711" customFormat="false" ht="15" hidden="false" customHeight="false" outlineLevel="0" collapsed="false">
      <c r="F2711" s="41" t="str">
        <f aca="false">IF(D2711="","",IFERROR(IF(ISNUMBER(SEARCH(Assumptions!$C$5,D2711)),Assumptions!$D$5,IF(ISNUMBER(SEARCH(Assumptions!$C$6,D2711)),Assumptions!$D$6,IF(ISNUMBER(SEARCH(Assumptions!$C$7,D2711)),Assumptions!$D$7,"Other Services"))),"Other Services"))</f>
        <v/>
      </c>
    </row>
    <row r="2712" customFormat="false" ht="15" hidden="false" customHeight="false" outlineLevel="0" collapsed="false">
      <c r="F2712" s="41" t="str">
        <f aca="false">IF(D2712="","",IFERROR(IF(ISNUMBER(SEARCH(Assumptions!$C$5,D2712)),Assumptions!$D$5,IF(ISNUMBER(SEARCH(Assumptions!$C$6,D2712)),Assumptions!$D$6,IF(ISNUMBER(SEARCH(Assumptions!$C$7,D2712)),Assumptions!$D$7,"Other Services"))),"Other Services"))</f>
        <v/>
      </c>
    </row>
    <row r="2713" customFormat="false" ht="15" hidden="false" customHeight="false" outlineLevel="0" collapsed="false">
      <c r="F2713" s="41" t="str">
        <f aca="false">IF(D2713="","",IFERROR(IF(ISNUMBER(SEARCH(Assumptions!$C$5,D2713)),Assumptions!$D$5,IF(ISNUMBER(SEARCH(Assumptions!$C$6,D2713)),Assumptions!$D$6,IF(ISNUMBER(SEARCH(Assumptions!$C$7,D2713)),Assumptions!$D$7,"Other Services"))),"Other Services"))</f>
        <v/>
      </c>
    </row>
    <row r="2714" customFormat="false" ht="15" hidden="false" customHeight="false" outlineLevel="0" collapsed="false">
      <c r="F2714" s="41" t="str">
        <f aca="false">IF(D2714="","",IFERROR(IF(ISNUMBER(SEARCH(Assumptions!$C$5,D2714)),Assumptions!$D$5,IF(ISNUMBER(SEARCH(Assumptions!$C$6,D2714)),Assumptions!$D$6,IF(ISNUMBER(SEARCH(Assumptions!$C$7,D2714)),Assumptions!$D$7,"Other Services"))),"Other Services"))</f>
        <v/>
      </c>
    </row>
    <row r="2715" customFormat="false" ht="15" hidden="false" customHeight="false" outlineLevel="0" collapsed="false">
      <c r="F2715" s="41" t="str">
        <f aca="false">IF(D2715="","",IFERROR(IF(ISNUMBER(SEARCH(Assumptions!$C$5,D2715)),Assumptions!$D$5,IF(ISNUMBER(SEARCH(Assumptions!$C$6,D2715)),Assumptions!$D$6,IF(ISNUMBER(SEARCH(Assumptions!$C$7,D2715)),Assumptions!$D$7,"Other Services"))),"Other Services"))</f>
        <v/>
      </c>
    </row>
    <row r="2716" customFormat="false" ht="15" hidden="false" customHeight="false" outlineLevel="0" collapsed="false">
      <c r="F2716" s="41" t="str">
        <f aca="false">IF(D2716="","",IFERROR(IF(ISNUMBER(SEARCH(Assumptions!$C$5,D2716)),Assumptions!$D$5,IF(ISNUMBER(SEARCH(Assumptions!$C$6,D2716)),Assumptions!$D$6,IF(ISNUMBER(SEARCH(Assumptions!$C$7,D2716)),Assumptions!$D$7,"Other Services"))),"Other Services"))</f>
        <v/>
      </c>
    </row>
    <row r="2717" customFormat="false" ht="15" hidden="false" customHeight="false" outlineLevel="0" collapsed="false">
      <c r="F2717" s="41" t="str">
        <f aca="false">IF(D2717="","",IFERROR(IF(ISNUMBER(SEARCH(Assumptions!$C$5,D2717)),Assumptions!$D$5,IF(ISNUMBER(SEARCH(Assumptions!$C$6,D2717)),Assumptions!$D$6,IF(ISNUMBER(SEARCH(Assumptions!$C$7,D2717)),Assumptions!$D$7,"Other Services"))),"Other Services"))</f>
        <v/>
      </c>
    </row>
    <row r="2718" customFormat="false" ht="15" hidden="false" customHeight="false" outlineLevel="0" collapsed="false">
      <c r="F2718" s="41" t="str">
        <f aca="false">IF(D2718="","",IFERROR(IF(ISNUMBER(SEARCH(Assumptions!$C$5,D2718)),Assumptions!$D$5,IF(ISNUMBER(SEARCH(Assumptions!$C$6,D2718)),Assumptions!$D$6,IF(ISNUMBER(SEARCH(Assumptions!$C$7,D2718)),Assumptions!$D$7,"Other Services"))),"Other Services"))</f>
        <v/>
      </c>
    </row>
    <row r="2719" customFormat="false" ht="15" hidden="false" customHeight="false" outlineLevel="0" collapsed="false">
      <c r="F2719" s="41" t="str">
        <f aca="false">IF(D2719="","",IFERROR(IF(ISNUMBER(SEARCH(Assumptions!$C$5,D2719)),Assumptions!$D$5,IF(ISNUMBER(SEARCH(Assumptions!$C$6,D2719)),Assumptions!$D$6,IF(ISNUMBER(SEARCH(Assumptions!$C$7,D2719)),Assumptions!$D$7,"Other Services"))),"Other Services"))</f>
        <v/>
      </c>
    </row>
    <row r="2720" customFormat="false" ht="15" hidden="false" customHeight="false" outlineLevel="0" collapsed="false">
      <c r="F2720" s="41" t="str">
        <f aca="false">IF(D2720="","",IFERROR(IF(ISNUMBER(SEARCH(Assumptions!$C$5,D2720)),Assumptions!$D$5,IF(ISNUMBER(SEARCH(Assumptions!$C$6,D2720)),Assumptions!$D$6,IF(ISNUMBER(SEARCH(Assumptions!$C$7,D2720)),Assumptions!$D$7,"Other Services"))),"Other Services"))</f>
        <v/>
      </c>
    </row>
    <row r="2721" customFormat="false" ht="15" hidden="false" customHeight="false" outlineLevel="0" collapsed="false">
      <c r="F2721" s="41" t="str">
        <f aca="false">IF(D2721="","",IFERROR(IF(ISNUMBER(SEARCH(Assumptions!$C$5,D2721)),Assumptions!$D$5,IF(ISNUMBER(SEARCH(Assumptions!$C$6,D2721)),Assumptions!$D$6,IF(ISNUMBER(SEARCH(Assumptions!$C$7,D2721)),Assumptions!$D$7,"Other Services"))),"Other Services"))</f>
        <v/>
      </c>
    </row>
    <row r="2722" customFormat="false" ht="15" hidden="false" customHeight="false" outlineLevel="0" collapsed="false">
      <c r="F2722" s="41" t="str">
        <f aca="false">IF(D2722="","",IFERROR(IF(ISNUMBER(SEARCH(Assumptions!$C$5,D2722)),Assumptions!$D$5,IF(ISNUMBER(SEARCH(Assumptions!$C$6,D2722)),Assumptions!$D$6,IF(ISNUMBER(SEARCH(Assumptions!$C$7,D2722)),Assumptions!$D$7,"Other Services"))),"Other Services"))</f>
        <v/>
      </c>
    </row>
    <row r="2723" customFormat="false" ht="15" hidden="false" customHeight="false" outlineLevel="0" collapsed="false">
      <c r="F2723" s="41" t="str">
        <f aca="false">IF(D2723="","",IFERROR(IF(ISNUMBER(SEARCH(Assumptions!$C$5,D2723)),Assumptions!$D$5,IF(ISNUMBER(SEARCH(Assumptions!$C$6,D2723)),Assumptions!$D$6,IF(ISNUMBER(SEARCH(Assumptions!$C$7,D2723)),Assumptions!$D$7,"Other Services"))),"Other Services"))</f>
        <v/>
      </c>
    </row>
    <row r="2724" customFormat="false" ht="15" hidden="false" customHeight="false" outlineLevel="0" collapsed="false">
      <c r="F2724" s="41" t="str">
        <f aca="false">IF(D2724="","",IFERROR(IF(ISNUMBER(SEARCH(Assumptions!$C$5,D2724)),Assumptions!$D$5,IF(ISNUMBER(SEARCH(Assumptions!$C$6,D2724)),Assumptions!$D$6,IF(ISNUMBER(SEARCH(Assumptions!$C$7,D2724)),Assumptions!$D$7,"Other Services"))),"Other Services"))</f>
        <v/>
      </c>
    </row>
    <row r="2725" customFormat="false" ht="15" hidden="false" customHeight="false" outlineLevel="0" collapsed="false">
      <c r="F2725" s="41" t="str">
        <f aca="false">IF(D2725="","",IFERROR(IF(ISNUMBER(SEARCH(Assumptions!$C$5,D2725)),Assumptions!$D$5,IF(ISNUMBER(SEARCH(Assumptions!$C$6,D2725)),Assumptions!$D$6,IF(ISNUMBER(SEARCH(Assumptions!$C$7,D2725)),Assumptions!$D$7,"Other Services"))),"Other Services"))</f>
        <v/>
      </c>
    </row>
    <row r="2726" customFormat="false" ht="15" hidden="false" customHeight="false" outlineLevel="0" collapsed="false">
      <c r="F2726" s="41" t="str">
        <f aca="false">IF(D2726="","",IFERROR(IF(ISNUMBER(SEARCH(Assumptions!$C$5,D2726)),Assumptions!$D$5,IF(ISNUMBER(SEARCH(Assumptions!$C$6,D2726)),Assumptions!$D$6,IF(ISNUMBER(SEARCH(Assumptions!$C$7,D2726)),Assumptions!$D$7,"Other Services"))),"Other Services"))</f>
        <v/>
      </c>
    </row>
    <row r="2727" customFormat="false" ht="15" hidden="false" customHeight="false" outlineLevel="0" collapsed="false">
      <c r="F2727" s="41" t="str">
        <f aca="false">IF(D2727="","",IFERROR(IF(ISNUMBER(SEARCH(Assumptions!$C$5,D2727)),Assumptions!$D$5,IF(ISNUMBER(SEARCH(Assumptions!$C$6,D2727)),Assumptions!$D$6,IF(ISNUMBER(SEARCH(Assumptions!$C$7,D2727)),Assumptions!$D$7,"Other Services"))),"Other Services"))</f>
        <v/>
      </c>
    </row>
    <row r="2728" customFormat="false" ht="15" hidden="false" customHeight="false" outlineLevel="0" collapsed="false">
      <c r="F2728" s="41" t="str">
        <f aca="false">IF(D2728="","",IFERROR(IF(ISNUMBER(SEARCH(Assumptions!$C$5,D2728)),Assumptions!$D$5,IF(ISNUMBER(SEARCH(Assumptions!$C$6,D2728)),Assumptions!$D$6,IF(ISNUMBER(SEARCH(Assumptions!$C$7,D2728)),Assumptions!$D$7,"Other Services"))),"Other Services"))</f>
        <v/>
      </c>
    </row>
    <row r="2729" customFormat="false" ht="15" hidden="false" customHeight="false" outlineLevel="0" collapsed="false">
      <c r="F2729" s="41" t="str">
        <f aca="false">IF(D2729="","",IFERROR(IF(ISNUMBER(SEARCH(Assumptions!$C$5,D2729)),Assumptions!$D$5,IF(ISNUMBER(SEARCH(Assumptions!$C$6,D2729)),Assumptions!$D$6,IF(ISNUMBER(SEARCH(Assumptions!$C$7,D2729)),Assumptions!$D$7,"Other Services"))),"Other Services"))</f>
        <v/>
      </c>
    </row>
    <row r="2730" customFormat="false" ht="15" hidden="false" customHeight="false" outlineLevel="0" collapsed="false">
      <c r="F2730" s="41" t="str">
        <f aca="false">IF(D2730="","",IFERROR(IF(ISNUMBER(SEARCH(Assumptions!$C$5,D2730)),Assumptions!$D$5,IF(ISNUMBER(SEARCH(Assumptions!$C$6,D2730)),Assumptions!$D$6,IF(ISNUMBER(SEARCH(Assumptions!$C$7,D2730)),Assumptions!$D$7,"Other Services"))),"Other Services"))</f>
        <v/>
      </c>
    </row>
    <row r="2731" customFormat="false" ht="15" hidden="false" customHeight="false" outlineLevel="0" collapsed="false">
      <c r="F2731" s="41" t="str">
        <f aca="false">IF(D2731="","",IFERROR(IF(ISNUMBER(SEARCH(Assumptions!$C$5,D2731)),Assumptions!$D$5,IF(ISNUMBER(SEARCH(Assumptions!$C$6,D2731)),Assumptions!$D$6,IF(ISNUMBER(SEARCH(Assumptions!$C$7,D2731)),Assumptions!$D$7,"Other Services"))),"Other Services"))</f>
        <v/>
      </c>
    </row>
    <row r="2732" customFormat="false" ht="15" hidden="false" customHeight="false" outlineLevel="0" collapsed="false">
      <c r="F2732" s="41" t="str">
        <f aca="false">IF(D2732="","",IFERROR(IF(ISNUMBER(SEARCH(Assumptions!$C$5,D2732)),Assumptions!$D$5,IF(ISNUMBER(SEARCH(Assumptions!$C$6,D2732)),Assumptions!$D$6,IF(ISNUMBER(SEARCH(Assumptions!$C$7,D2732)),Assumptions!$D$7,"Other Services"))),"Other Services"))</f>
        <v/>
      </c>
    </row>
    <row r="2733" customFormat="false" ht="15" hidden="false" customHeight="false" outlineLevel="0" collapsed="false">
      <c r="F2733" s="41" t="str">
        <f aca="false">IF(D2733="","",IFERROR(IF(ISNUMBER(SEARCH(Assumptions!$C$5,D2733)),Assumptions!$D$5,IF(ISNUMBER(SEARCH(Assumptions!$C$6,D2733)),Assumptions!$D$6,IF(ISNUMBER(SEARCH(Assumptions!$C$7,D2733)),Assumptions!$D$7,"Other Services"))),"Other Services"))</f>
        <v/>
      </c>
    </row>
    <row r="2734" customFormat="false" ht="15" hidden="false" customHeight="false" outlineLevel="0" collapsed="false">
      <c r="F2734" s="41" t="str">
        <f aca="false">IF(D2734="","",IFERROR(IF(ISNUMBER(SEARCH(Assumptions!$C$5,D2734)),Assumptions!$D$5,IF(ISNUMBER(SEARCH(Assumptions!$C$6,D2734)),Assumptions!$D$6,IF(ISNUMBER(SEARCH(Assumptions!$C$7,D2734)),Assumptions!$D$7,"Other Services"))),"Other Services"))</f>
        <v/>
      </c>
    </row>
    <row r="2735" customFormat="false" ht="15" hidden="false" customHeight="false" outlineLevel="0" collapsed="false">
      <c r="F2735" s="41" t="str">
        <f aca="false">IF(D2735="","",IFERROR(IF(ISNUMBER(SEARCH(Assumptions!$C$5,D2735)),Assumptions!$D$5,IF(ISNUMBER(SEARCH(Assumptions!$C$6,D2735)),Assumptions!$D$6,IF(ISNUMBER(SEARCH(Assumptions!$C$7,D2735)),Assumptions!$D$7,"Other Services"))),"Other Services"))</f>
        <v/>
      </c>
    </row>
    <row r="2736" customFormat="false" ht="15" hidden="false" customHeight="false" outlineLevel="0" collapsed="false">
      <c r="F2736" s="41" t="str">
        <f aca="false">IF(D2736="","",IFERROR(IF(ISNUMBER(SEARCH(Assumptions!$C$5,D2736)),Assumptions!$D$5,IF(ISNUMBER(SEARCH(Assumptions!$C$6,D2736)),Assumptions!$D$6,IF(ISNUMBER(SEARCH(Assumptions!$C$7,D2736)),Assumptions!$D$7,"Other Services"))),"Other Services"))</f>
        <v/>
      </c>
    </row>
    <row r="2737" customFormat="false" ht="15" hidden="false" customHeight="false" outlineLevel="0" collapsed="false">
      <c r="F2737" s="41" t="str">
        <f aca="false">IF(D2737="","",IFERROR(IF(ISNUMBER(SEARCH(Assumptions!$C$5,D2737)),Assumptions!$D$5,IF(ISNUMBER(SEARCH(Assumptions!$C$6,D2737)),Assumptions!$D$6,IF(ISNUMBER(SEARCH(Assumptions!$C$7,D2737)),Assumptions!$D$7,"Other Services"))),"Other Services"))</f>
        <v/>
      </c>
    </row>
    <row r="2738" customFormat="false" ht="15" hidden="false" customHeight="false" outlineLevel="0" collapsed="false">
      <c r="F2738" s="41" t="str">
        <f aca="false">IF(D2738="","",IFERROR(IF(ISNUMBER(SEARCH(Assumptions!$C$5,D2738)),Assumptions!$D$5,IF(ISNUMBER(SEARCH(Assumptions!$C$6,D2738)),Assumptions!$D$6,IF(ISNUMBER(SEARCH(Assumptions!$C$7,D2738)),Assumptions!$D$7,"Other Services"))),"Other Services"))</f>
        <v/>
      </c>
    </row>
    <row r="2739" customFormat="false" ht="15" hidden="false" customHeight="false" outlineLevel="0" collapsed="false">
      <c r="F2739" s="41" t="str">
        <f aca="false">IF(D2739="","",IFERROR(IF(ISNUMBER(SEARCH(Assumptions!$C$5,D2739)),Assumptions!$D$5,IF(ISNUMBER(SEARCH(Assumptions!$C$6,D2739)),Assumptions!$D$6,IF(ISNUMBER(SEARCH(Assumptions!$C$7,D2739)),Assumptions!$D$7,"Other Services"))),"Other Services"))</f>
        <v/>
      </c>
    </row>
    <row r="2740" customFormat="false" ht="15" hidden="false" customHeight="false" outlineLevel="0" collapsed="false">
      <c r="F2740" s="41" t="str">
        <f aca="false">IF(D2740="","",IFERROR(IF(ISNUMBER(SEARCH(Assumptions!$C$5,D2740)),Assumptions!$D$5,IF(ISNUMBER(SEARCH(Assumptions!$C$6,D2740)),Assumptions!$D$6,IF(ISNUMBER(SEARCH(Assumptions!$C$7,D2740)),Assumptions!$D$7,"Other Services"))),"Other Services"))</f>
        <v/>
      </c>
    </row>
    <row r="2741" customFormat="false" ht="15" hidden="false" customHeight="false" outlineLevel="0" collapsed="false">
      <c r="F2741" s="41" t="str">
        <f aca="false">IF(D2741="","",IFERROR(IF(ISNUMBER(SEARCH(Assumptions!$C$5,D2741)),Assumptions!$D$5,IF(ISNUMBER(SEARCH(Assumptions!$C$6,D2741)),Assumptions!$D$6,IF(ISNUMBER(SEARCH(Assumptions!$C$7,D2741)),Assumptions!$D$7,"Other Services"))),"Other Services"))</f>
        <v/>
      </c>
    </row>
    <row r="2742" customFormat="false" ht="15" hidden="false" customHeight="false" outlineLevel="0" collapsed="false">
      <c r="F2742" s="41" t="str">
        <f aca="false">IF(D2742="","",IFERROR(IF(ISNUMBER(SEARCH(Assumptions!$C$5,D2742)),Assumptions!$D$5,IF(ISNUMBER(SEARCH(Assumptions!$C$6,D2742)),Assumptions!$D$6,IF(ISNUMBER(SEARCH(Assumptions!$C$7,D2742)),Assumptions!$D$7,"Other Services"))),"Other Services"))</f>
        <v/>
      </c>
    </row>
    <row r="2743" customFormat="false" ht="15" hidden="false" customHeight="false" outlineLevel="0" collapsed="false">
      <c r="F2743" s="41" t="str">
        <f aca="false">IF(D2743="","",IFERROR(IF(ISNUMBER(SEARCH(Assumptions!$C$5,D2743)),Assumptions!$D$5,IF(ISNUMBER(SEARCH(Assumptions!$C$6,D2743)),Assumptions!$D$6,IF(ISNUMBER(SEARCH(Assumptions!$C$7,D2743)),Assumptions!$D$7,"Other Services"))),"Other Services"))</f>
        <v/>
      </c>
    </row>
    <row r="2744" customFormat="false" ht="15" hidden="false" customHeight="false" outlineLevel="0" collapsed="false">
      <c r="F2744" s="41" t="str">
        <f aca="false">IF(D2744="","",IFERROR(IF(ISNUMBER(SEARCH(Assumptions!$C$5,D2744)),Assumptions!$D$5,IF(ISNUMBER(SEARCH(Assumptions!$C$6,D2744)),Assumptions!$D$6,IF(ISNUMBER(SEARCH(Assumptions!$C$7,D2744)),Assumptions!$D$7,"Other Services"))),"Other Services"))</f>
        <v/>
      </c>
    </row>
    <row r="2745" customFormat="false" ht="15" hidden="false" customHeight="false" outlineLevel="0" collapsed="false">
      <c r="F2745" s="41" t="str">
        <f aca="false">IF(D2745="","",IFERROR(IF(ISNUMBER(SEARCH(Assumptions!$C$5,D2745)),Assumptions!$D$5,IF(ISNUMBER(SEARCH(Assumptions!$C$6,D2745)),Assumptions!$D$6,IF(ISNUMBER(SEARCH(Assumptions!$C$7,D2745)),Assumptions!$D$7,"Other Services"))),"Other Services"))</f>
        <v/>
      </c>
    </row>
    <row r="2746" customFormat="false" ht="15" hidden="false" customHeight="false" outlineLevel="0" collapsed="false">
      <c r="F2746" s="41" t="str">
        <f aca="false">IF(D2746="","",IFERROR(IF(ISNUMBER(SEARCH(Assumptions!$C$5,D2746)),Assumptions!$D$5,IF(ISNUMBER(SEARCH(Assumptions!$C$6,D2746)),Assumptions!$D$6,IF(ISNUMBER(SEARCH(Assumptions!$C$7,D2746)),Assumptions!$D$7,"Other Services"))),"Other Services"))</f>
        <v/>
      </c>
    </row>
    <row r="2747" customFormat="false" ht="15" hidden="false" customHeight="false" outlineLevel="0" collapsed="false">
      <c r="F2747" s="41" t="str">
        <f aca="false">IF(D2747="","",IFERROR(IF(ISNUMBER(SEARCH(Assumptions!$C$5,D2747)),Assumptions!$D$5,IF(ISNUMBER(SEARCH(Assumptions!$C$6,D2747)),Assumptions!$D$6,IF(ISNUMBER(SEARCH(Assumptions!$C$7,D2747)),Assumptions!$D$7,"Other Services"))),"Other Services"))</f>
        <v/>
      </c>
    </row>
    <row r="2748" customFormat="false" ht="15" hidden="false" customHeight="false" outlineLevel="0" collapsed="false">
      <c r="F2748" s="41" t="str">
        <f aca="false">IF(D2748="","",IFERROR(IF(ISNUMBER(SEARCH(Assumptions!$C$5,D2748)),Assumptions!$D$5,IF(ISNUMBER(SEARCH(Assumptions!$C$6,D2748)),Assumptions!$D$6,IF(ISNUMBER(SEARCH(Assumptions!$C$7,D2748)),Assumptions!$D$7,"Other Services"))),"Other Services"))</f>
        <v/>
      </c>
    </row>
    <row r="2749" customFormat="false" ht="15" hidden="false" customHeight="false" outlineLevel="0" collapsed="false">
      <c r="F2749" s="41" t="str">
        <f aca="false">IF(D2749="","",IFERROR(IF(ISNUMBER(SEARCH(Assumptions!$C$5,D2749)),Assumptions!$D$5,IF(ISNUMBER(SEARCH(Assumptions!$C$6,D2749)),Assumptions!$D$6,IF(ISNUMBER(SEARCH(Assumptions!$C$7,D2749)),Assumptions!$D$7,"Other Services"))),"Other Services"))</f>
        <v/>
      </c>
    </row>
    <row r="2750" customFormat="false" ht="15" hidden="false" customHeight="false" outlineLevel="0" collapsed="false">
      <c r="F2750" s="41" t="str">
        <f aca="false">IF(D2750="","",IFERROR(IF(ISNUMBER(SEARCH(Assumptions!$C$5,D2750)),Assumptions!$D$5,IF(ISNUMBER(SEARCH(Assumptions!$C$6,D2750)),Assumptions!$D$6,IF(ISNUMBER(SEARCH(Assumptions!$C$7,D2750)),Assumptions!$D$7,"Other Services"))),"Other Services"))</f>
        <v/>
      </c>
    </row>
    <row r="2751" customFormat="false" ht="15" hidden="false" customHeight="false" outlineLevel="0" collapsed="false">
      <c r="F2751" s="41" t="str">
        <f aca="false">IF(D2751="","",IFERROR(IF(ISNUMBER(SEARCH(Assumptions!$C$5,D2751)),Assumptions!$D$5,IF(ISNUMBER(SEARCH(Assumptions!$C$6,D2751)),Assumptions!$D$6,IF(ISNUMBER(SEARCH(Assumptions!$C$7,D2751)),Assumptions!$D$7,"Other Services"))),"Other Services"))</f>
        <v/>
      </c>
    </row>
    <row r="2752" customFormat="false" ht="15" hidden="false" customHeight="false" outlineLevel="0" collapsed="false">
      <c r="F2752" s="41" t="str">
        <f aca="false">IF(D2752="","",IFERROR(IF(ISNUMBER(SEARCH(Assumptions!$C$5,D2752)),Assumptions!$D$5,IF(ISNUMBER(SEARCH(Assumptions!$C$6,D2752)),Assumptions!$D$6,IF(ISNUMBER(SEARCH(Assumptions!$C$7,D2752)),Assumptions!$D$7,"Other Services"))),"Other Services"))</f>
        <v/>
      </c>
    </row>
    <row r="2753" customFormat="false" ht="15" hidden="false" customHeight="false" outlineLevel="0" collapsed="false">
      <c r="F2753" s="41" t="str">
        <f aca="false">IF(D2753="","",IFERROR(IF(ISNUMBER(SEARCH(Assumptions!$C$5,D2753)),Assumptions!$D$5,IF(ISNUMBER(SEARCH(Assumptions!$C$6,D2753)),Assumptions!$D$6,IF(ISNUMBER(SEARCH(Assumptions!$C$7,D2753)),Assumptions!$D$7,"Other Services"))),"Other Services"))</f>
        <v/>
      </c>
    </row>
    <row r="2754" customFormat="false" ht="15" hidden="false" customHeight="false" outlineLevel="0" collapsed="false">
      <c r="F2754" s="41" t="str">
        <f aca="false">IF(D2754="","",IFERROR(IF(ISNUMBER(SEARCH(Assumptions!$C$5,D2754)),Assumptions!$D$5,IF(ISNUMBER(SEARCH(Assumptions!$C$6,D2754)),Assumptions!$D$6,IF(ISNUMBER(SEARCH(Assumptions!$C$7,D2754)),Assumptions!$D$7,"Other Services"))),"Other Services"))</f>
        <v/>
      </c>
    </row>
    <row r="2755" customFormat="false" ht="15" hidden="false" customHeight="false" outlineLevel="0" collapsed="false">
      <c r="F2755" s="41" t="str">
        <f aca="false">IF(D2755="","",IFERROR(IF(ISNUMBER(SEARCH(Assumptions!$C$5,D2755)),Assumptions!$D$5,IF(ISNUMBER(SEARCH(Assumptions!$C$6,D2755)),Assumptions!$D$6,IF(ISNUMBER(SEARCH(Assumptions!$C$7,D2755)),Assumptions!$D$7,"Other Services"))),"Other Services"))</f>
        <v/>
      </c>
    </row>
    <row r="2756" customFormat="false" ht="15" hidden="false" customHeight="false" outlineLevel="0" collapsed="false">
      <c r="F2756" s="41" t="str">
        <f aca="false">IF(D2756="","",IFERROR(IF(ISNUMBER(SEARCH(Assumptions!$C$5,D2756)),Assumptions!$D$5,IF(ISNUMBER(SEARCH(Assumptions!$C$6,D2756)),Assumptions!$D$6,IF(ISNUMBER(SEARCH(Assumptions!$C$7,D2756)),Assumptions!$D$7,"Other Services"))),"Other Services"))</f>
        <v/>
      </c>
    </row>
    <row r="2757" customFormat="false" ht="15" hidden="false" customHeight="false" outlineLevel="0" collapsed="false">
      <c r="F2757" s="41" t="str">
        <f aca="false">IF(D2757="","",IFERROR(IF(ISNUMBER(SEARCH(Assumptions!$C$5,D2757)),Assumptions!$D$5,IF(ISNUMBER(SEARCH(Assumptions!$C$6,D2757)),Assumptions!$D$6,IF(ISNUMBER(SEARCH(Assumptions!$C$7,D2757)),Assumptions!$D$7,"Other Services"))),"Other Services"))</f>
        <v/>
      </c>
    </row>
    <row r="2758" customFormat="false" ht="15" hidden="false" customHeight="false" outlineLevel="0" collapsed="false">
      <c r="F2758" s="41" t="str">
        <f aca="false">IF(D2758="","",IFERROR(IF(ISNUMBER(SEARCH(Assumptions!$C$5,D2758)),Assumptions!$D$5,IF(ISNUMBER(SEARCH(Assumptions!$C$6,D2758)),Assumptions!$D$6,IF(ISNUMBER(SEARCH(Assumptions!$C$7,D2758)),Assumptions!$D$7,"Other Services"))),"Other Services"))</f>
        <v/>
      </c>
    </row>
    <row r="2759" customFormat="false" ht="15" hidden="false" customHeight="false" outlineLevel="0" collapsed="false">
      <c r="F2759" s="41" t="str">
        <f aca="false">IF(D2759="","",IFERROR(IF(ISNUMBER(SEARCH(Assumptions!$C$5,D2759)),Assumptions!$D$5,IF(ISNUMBER(SEARCH(Assumptions!$C$6,D2759)),Assumptions!$D$6,IF(ISNUMBER(SEARCH(Assumptions!$C$7,D2759)),Assumptions!$D$7,"Other Services"))),"Other Services"))</f>
        <v/>
      </c>
    </row>
    <row r="2760" customFormat="false" ht="15" hidden="false" customHeight="false" outlineLevel="0" collapsed="false">
      <c r="F2760" s="41" t="str">
        <f aca="false">IF(D2760="","",IFERROR(IF(ISNUMBER(SEARCH(Assumptions!$C$5,D2760)),Assumptions!$D$5,IF(ISNUMBER(SEARCH(Assumptions!$C$6,D2760)),Assumptions!$D$6,IF(ISNUMBER(SEARCH(Assumptions!$C$7,D2760)),Assumptions!$D$7,"Other Services"))),"Other Services"))</f>
        <v/>
      </c>
    </row>
    <row r="2761" customFormat="false" ht="15" hidden="false" customHeight="false" outlineLevel="0" collapsed="false">
      <c r="F2761" s="41" t="str">
        <f aca="false">IF(D2761="","",IFERROR(IF(ISNUMBER(SEARCH(Assumptions!$C$5,D2761)),Assumptions!$D$5,IF(ISNUMBER(SEARCH(Assumptions!$C$6,D2761)),Assumptions!$D$6,IF(ISNUMBER(SEARCH(Assumptions!$C$7,D2761)),Assumptions!$D$7,"Other Services"))),"Other Services"))</f>
        <v/>
      </c>
    </row>
    <row r="2762" customFormat="false" ht="15" hidden="false" customHeight="false" outlineLevel="0" collapsed="false">
      <c r="F2762" s="41" t="str">
        <f aca="false">IF(D2762="","",IFERROR(IF(ISNUMBER(SEARCH(Assumptions!$C$5,D2762)),Assumptions!$D$5,IF(ISNUMBER(SEARCH(Assumptions!$C$6,D2762)),Assumptions!$D$6,IF(ISNUMBER(SEARCH(Assumptions!$C$7,D2762)),Assumptions!$D$7,"Other Services"))),"Other Services"))</f>
        <v/>
      </c>
    </row>
    <row r="2763" customFormat="false" ht="15" hidden="false" customHeight="false" outlineLevel="0" collapsed="false">
      <c r="F2763" s="41" t="str">
        <f aca="false">IF(D2763="","",IFERROR(IF(ISNUMBER(SEARCH(Assumptions!$C$5,D2763)),Assumptions!$D$5,IF(ISNUMBER(SEARCH(Assumptions!$C$6,D2763)),Assumptions!$D$6,IF(ISNUMBER(SEARCH(Assumptions!$C$7,D2763)),Assumptions!$D$7,"Other Services"))),"Other Services"))</f>
        <v/>
      </c>
    </row>
    <row r="2764" customFormat="false" ht="15" hidden="false" customHeight="false" outlineLevel="0" collapsed="false">
      <c r="F2764" s="41" t="str">
        <f aca="false">IF(D2764="","",IFERROR(IF(ISNUMBER(SEARCH(Assumptions!$C$5,D2764)),Assumptions!$D$5,IF(ISNUMBER(SEARCH(Assumptions!$C$6,D2764)),Assumptions!$D$6,IF(ISNUMBER(SEARCH(Assumptions!$C$7,D2764)),Assumptions!$D$7,"Other Services"))),"Other Services"))</f>
        <v/>
      </c>
    </row>
    <row r="2765" customFormat="false" ht="15" hidden="false" customHeight="false" outlineLevel="0" collapsed="false">
      <c r="F2765" s="41" t="str">
        <f aca="false">IF(D2765="","",IFERROR(IF(ISNUMBER(SEARCH(Assumptions!$C$5,D2765)),Assumptions!$D$5,IF(ISNUMBER(SEARCH(Assumptions!$C$6,D2765)),Assumptions!$D$6,IF(ISNUMBER(SEARCH(Assumptions!$C$7,D2765)),Assumptions!$D$7,"Other Services"))),"Other Services"))</f>
        <v/>
      </c>
    </row>
    <row r="2766" customFormat="false" ht="15" hidden="false" customHeight="false" outlineLevel="0" collapsed="false">
      <c r="F2766" s="41" t="str">
        <f aca="false">IF(D2766="","",IFERROR(IF(ISNUMBER(SEARCH(Assumptions!$C$5,D2766)),Assumptions!$D$5,IF(ISNUMBER(SEARCH(Assumptions!$C$6,D2766)),Assumptions!$D$6,IF(ISNUMBER(SEARCH(Assumptions!$C$7,D2766)),Assumptions!$D$7,"Other Services"))),"Other Services"))</f>
        <v/>
      </c>
    </row>
    <row r="2767" customFormat="false" ht="15" hidden="false" customHeight="false" outlineLevel="0" collapsed="false">
      <c r="F2767" s="41" t="str">
        <f aca="false">IF(D2767="","",IFERROR(IF(ISNUMBER(SEARCH(Assumptions!$C$5,D2767)),Assumptions!$D$5,IF(ISNUMBER(SEARCH(Assumptions!$C$6,D2767)),Assumptions!$D$6,IF(ISNUMBER(SEARCH(Assumptions!$C$7,D2767)),Assumptions!$D$7,"Other Services"))),"Other Services"))</f>
        <v/>
      </c>
    </row>
    <row r="2768" customFormat="false" ht="15" hidden="false" customHeight="false" outlineLevel="0" collapsed="false">
      <c r="F2768" s="41" t="str">
        <f aca="false">IF(D2768="","",IFERROR(IF(ISNUMBER(SEARCH(Assumptions!$C$5,D2768)),Assumptions!$D$5,IF(ISNUMBER(SEARCH(Assumptions!$C$6,D2768)),Assumptions!$D$6,IF(ISNUMBER(SEARCH(Assumptions!$C$7,D2768)),Assumptions!$D$7,"Other Services"))),"Other Services"))</f>
        <v/>
      </c>
    </row>
    <row r="2769" customFormat="false" ht="15" hidden="false" customHeight="false" outlineLevel="0" collapsed="false">
      <c r="F2769" s="41" t="str">
        <f aca="false">IF(D2769="","",IFERROR(IF(ISNUMBER(SEARCH(Assumptions!$C$5,D2769)),Assumptions!$D$5,IF(ISNUMBER(SEARCH(Assumptions!$C$6,D2769)),Assumptions!$D$6,IF(ISNUMBER(SEARCH(Assumptions!$C$7,D2769)),Assumptions!$D$7,"Other Services"))),"Other Services"))</f>
        <v/>
      </c>
    </row>
    <row r="2770" customFormat="false" ht="15" hidden="false" customHeight="false" outlineLevel="0" collapsed="false">
      <c r="F2770" s="41" t="str">
        <f aca="false">IF(D2770="","",IFERROR(IF(ISNUMBER(SEARCH(Assumptions!$C$5,D2770)),Assumptions!$D$5,IF(ISNUMBER(SEARCH(Assumptions!$C$6,D2770)),Assumptions!$D$6,IF(ISNUMBER(SEARCH(Assumptions!$C$7,D2770)),Assumptions!$D$7,"Other Services"))),"Other Services"))</f>
        <v/>
      </c>
    </row>
    <row r="2771" customFormat="false" ht="15" hidden="false" customHeight="false" outlineLevel="0" collapsed="false">
      <c r="F2771" s="41" t="str">
        <f aca="false">IF(D2771="","",IFERROR(IF(ISNUMBER(SEARCH(Assumptions!$C$5,D2771)),Assumptions!$D$5,IF(ISNUMBER(SEARCH(Assumptions!$C$6,D2771)),Assumptions!$D$6,IF(ISNUMBER(SEARCH(Assumptions!$C$7,D2771)),Assumptions!$D$7,"Other Services"))),"Other Services"))</f>
        <v/>
      </c>
    </row>
    <row r="2772" customFormat="false" ht="15" hidden="false" customHeight="false" outlineLevel="0" collapsed="false">
      <c r="F2772" s="41" t="str">
        <f aca="false">IF(D2772="","",IFERROR(IF(ISNUMBER(SEARCH(Assumptions!$C$5,D2772)),Assumptions!$D$5,IF(ISNUMBER(SEARCH(Assumptions!$C$6,D2772)),Assumptions!$D$6,IF(ISNUMBER(SEARCH(Assumptions!$C$7,D2772)),Assumptions!$D$7,"Other Services"))),"Other Services"))</f>
        <v/>
      </c>
    </row>
    <row r="2773" customFormat="false" ht="15" hidden="false" customHeight="false" outlineLevel="0" collapsed="false">
      <c r="F2773" s="41" t="str">
        <f aca="false">IF(D2773="","",IFERROR(IF(ISNUMBER(SEARCH(Assumptions!$C$5,D2773)),Assumptions!$D$5,IF(ISNUMBER(SEARCH(Assumptions!$C$6,D2773)),Assumptions!$D$6,IF(ISNUMBER(SEARCH(Assumptions!$C$7,D2773)),Assumptions!$D$7,"Other Services"))),"Other Services"))</f>
        <v/>
      </c>
    </row>
    <row r="2774" customFormat="false" ht="15" hidden="false" customHeight="false" outlineLevel="0" collapsed="false">
      <c r="F2774" s="41" t="str">
        <f aca="false">IF(D2774="","",IFERROR(IF(ISNUMBER(SEARCH(Assumptions!$C$5,D2774)),Assumptions!$D$5,IF(ISNUMBER(SEARCH(Assumptions!$C$6,D2774)),Assumptions!$D$6,IF(ISNUMBER(SEARCH(Assumptions!$C$7,D2774)),Assumptions!$D$7,"Other Services"))),"Other Services"))</f>
        <v/>
      </c>
    </row>
    <row r="2775" customFormat="false" ht="15" hidden="false" customHeight="false" outlineLevel="0" collapsed="false">
      <c r="F2775" s="41" t="str">
        <f aca="false">IF(D2775="","",IFERROR(IF(ISNUMBER(SEARCH(Assumptions!$C$5,D2775)),Assumptions!$D$5,IF(ISNUMBER(SEARCH(Assumptions!$C$6,D2775)),Assumptions!$D$6,IF(ISNUMBER(SEARCH(Assumptions!$C$7,D2775)),Assumptions!$D$7,"Other Services"))),"Other Services"))</f>
        <v/>
      </c>
    </row>
    <row r="2776" customFormat="false" ht="15" hidden="false" customHeight="false" outlineLevel="0" collapsed="false">
      <c r="F2776" s="41" t="str">
        <f aca="false">IF(D2776="","",IFERROR(IF(ISNUMBER(SEARCH(Assumptions!$C$5,D2776)),Assumptions!$D$5,IF(ISNUMBER(SEARCH(Assumptions!$C$6,D2776)),Assumptions!$D$6,IF(ISNUMBER(SEARCH(Assumptions!$C$7,D2776)),Assumptions!$D$7,"Other Services"))),"Other Services"))</f>
        <v/>
      </c>
    </row>
    <row r="2777" customFormat="false" ht="15" hidden="false" customHeight="false" outlineLevel="0" collapsed="false">
      <c r="F2777" s="41" t="str">
        <f aca="false">IF(D2777="","",IFERROR(IF(ISNUMBER(SEARCH(Assumptions!$C$5,D2777)),Assumptions!$D$5,IF(ISNUMBER(SEARCH(Assumptions!$C$6,D2777)),Assumptions!$D$6,IF(ISNUMBER(SEARCH(Assumptions!$C$7,D2777)),Assumptions!$D$7,"Other Services"))),"Other Services"))</f>
        <v/>
      </c>
    </row>
    <row r="2778" customFormat="false" ht="15" hidden="false" customHeight="false" outlineLevel="0" collapsed="false">
      <c r="F2778" s="41" t="str">
        <f aca="false">IF(D2778="","",IFERROR(IF(ISNUMBER(SEARCH(Assumptions!$C$5,D2778)),Assumptions!$D$5,IF(ISNUMBER(SEARCH(Assumptions!$C$6,D2778)),Assumptions!$D$6,IF(ISNUMBER(SEARCH(Assumptions!$C$7,D2778)),Assumptions!$D$7,"Other Services"))),"Other Services"))</f>
        <v/>
      </c>
    </row>
    <row r="2779" customFormat="false" ht="15" hidden="false" customHeight="false" outlineLevel="0" collapsed="false">
      <c r="F2779" s="41" t="str">
        <f aca="false">IF(D2779="","",IFERROR(IF(ISNUMBER(SEARCH(Assumptions!$C$5,D2779)),Assumptions!$D$5,IF(ISNUMBER(SEARCH(Assumptions!$C$6,D2779)),Assumptions!$D$6,IF(ISNUMBER(SEARCH(Assumptions!$C$7,D2779)),Assumptions!$D$7,"Other Services"))),"Other Services"))</f>
        <v/>
      </c>
    </row>
    <row r="2780" customFormat="false" ht="15" hidden="false" customHeight="false" outlineLevel="0" collapsed="false">
      <c r="F2780" s="41" t="str">
        <f aca="false">IF(D2780="","",IFERROR(IF(ISNUMBER(SEARCH(Assumptions!$C$5,D2780)),Assumptions!$D$5,IF(ISNUMBER(SEARCH(Assumptions!$C$6,D2780)),Assumptions!$D$6,IF(ISNUMBER(SEARCH(Assumptions!$C$7,D2780)),Assumptions!$D$7,"Other Services"))),"Other Services"))</f>
        <v/>
      </c>
    </row>
    <row r="2781" customFormat="false" ht="15" hidden="false" customHeight="false" outlineLevel="0" collapsed="false">
      <c r="F2781" s="41" t="str">
        <f aca="false">IF(D2781="","",IFERROR(IF(ISNUMBER(SEARCH(Assumptions!$C$5,D2781)),Assumptions!$D$5,IF(ISNUMBER(SEARCH(Assumptions!$C$6,D2781)),Assumptions!$D$6,IF(ISNUMBER(SEARCH(Assumptions!$C$7,D2781)),Assumptions!$D$7,"Other Services"))),"Other Services"))</f>
        <v/>
      </c>
    </row>
    <row r="2782" customFormat="false" ht="15" hidden="false" customHeight="false" outlineLevel="0" collapsed="false">
      <c r="F2782" s="41" t="str">
        <f aca="false">IF(D2782="","",IFERROR(IF(ISNUMBER(SEARCH(Assumptions!$C$5,D2782)),Assumptions!$D$5,IF(ISNUMBER(SEARCH(Assumptions!$C$6,D2782)),Assumptions!$D$6,IF(ISNUMBER(SEARCH(Assumptions!$C$7,D2782)),Assumptions!$D$7,"Other Services"))),"Other Services"))</f>
        <v/>
      </c>
    </row>
    <row r="2783" customFormat="false" ht="15" hidden="false" customHeight="false" outlineLevel="0" collapsed="false">
      <c r="F2783" s="41" t="str">
        <f aca="false">IF(D2783="","",IFERROR(IF(ISNUMBER(SEARCH(Assumptions!$C$5,D2783)),Assumptions!$D$5,IF(ISNUMBER(SEARCH(Assumptions!$C$6,D2783)),Assumptions!$D$6,IF(ISNUMBER(SEARCH(Assumptions!$C$7,D2783)),Assumptions!$D$7,"Other Services"))),"Other Services"))</f>
        <v/>
      </c>
    </row>
    <row r="2784" customFormat="false" ht="15" hidden="false" customHeight="false" outlineLevel="0" collapsed="false">
      <c r="F2784" s="41" t="str">
        <f aca="false">IF(D2784="","",IFERROR(IF(ISNUMBER(SEARCH(Assumptions!$C$5,D2784)),Assumptions!$D$5,IF(ISNUMBER(SEARCH(Assumptions!$C$6,D2784)),Assumptions!$D$6,IF(ISNUMBER(SEARCH(Assumptions!$C$7,D2784)),Assumptions!$D$7,"Other Services"))),"Other Services"))</f>
        <v/>
      </c>
    </row>
    <row r="2785" customFormat="false" ht="15" hidden="false" customHeight="false" outlineLevel="0" collapsed="false">
      <c r="F2785" s="41" t="str">
        <f aca="false">IF(D2785="","",IFERROR(IF(ISNUMBER(SEARCH(Assumptions!$C$5,D2785)),Assumptions!$D$5,IF(ISNUMBER(SEARCH(Assumptions!$C$6,D2785)),Assumptions!$D$6,IF(ISNUMBER(SEARCH(Assumptions!$C$7,D2785)),Assumptions!$D$7,"Other Services"))),"Other Services"))</f>
        <v/>
      </c>
    </row>
    <row r="2786" customFormat="false" ht="15" hidden="false" customHeight="false" outlineLevel="0" collapsed="false">
      <c r="F2786" s="41" t="str">
        <f aca="false">IF(D2786="","",IFERROR(IF(ISNUMBER(SEARCH(Assumptions!$C$5,D2786)),Assumptions!$D$5,IF(ISNUMBER(SEARCH(Assumptions!$C$6,D2786)),Assumptions!$D$6,IF(ISNUMBER(SEARCH(Assumptions!$C$7,D2786)),Assumptions!$D$7,"Other Services"))),"Other Services"))</f>
        <v/>
      </c>
    </row>
    <row r="2787" customFormat="false" ht="15" hidden="false" customHeight="false" outlineLevel="0" collapsed="false">
      <c r="F2787" s="41" t="str">
        <f aca="false">IF(D2787="","",IFERROR(IF(ISNUMBER(SEARCH(Assumptions!$C$5,D2787)),Assumptions!$D$5,IF(ISNUMBER(SEARCH(Assumptions!$C$6,D2787)),Assumptions!$D$6,IF(ISNUMBER(SEARCH(Assumptions!$C$7,D2787)),Assumptions!$D$7,"Other Services"))),"Other Services"))</f>
        <v/>
      </c>
    </row>
    <row r="2788" customFormat="false" ht="15" hidden="false" customHeight="false" outlineLevel="0" collapsed="false">
      <c r="F2788" s="41" t="str">
        <f aca="false">IF(D2788="","",IFERROR(IF(ISNUMBER(SEARCH(Assumptions!$C$5,D2788)),Assumptions!$D$5,IF(ISNUMBER(SEARCH(Assumptions!$C$6,D2788)),Assumptions!$D$6,IF(ISNUMBER(SEARCH(Assumptions!$C$7,D2788)),Assumptions!$D$7,"Other Services"))),"Other Services"))</f>
        <v/>
      </c>
    </row>
    <row r="2789" customFormat="false" ht="15" hidden="false" customHeight="false" outlineLevel="0" collapsed="false">
      <c r="F2789" s="41" t="str">
        <f aca="false">IF(D2789="","",IFERROR(IF(ISNUMBER(SEARCH(Assumptions!$C$5,D2789)),Assumptions!$D$5,IF(ISNUMBER(SEARCH(Assumptions!$C$6,D2789)),Assumptions!$D$6,IF(ISNUMBER(SEARCH(Assumptions!$C$7,D2789)),Assumptions!$D$7,"Other Services"))),"Other Services"))</f>
        <v/>
      </c>
    </row>
    <row r="2790" customFormat="false" ht="15" hidden="false" customHeight="false" outlineLevel="0" collapsed="false">
      <c r="F2790" s="41" t="str">
        <f aca="false">IF(D2790="","",IFERROR(IF(ISNUMBER(SEARCH(Assumptions!$C$5,D2790)),Assumptions!$D$5,IF(ISNUMBER(SEARCH(Assumptions!$C$6,D2790)),Assumptions!$D$6,IF(ISNUMBER(SEARCH(Assumptions!$C$7,D2790)),Assumptions!$D$7,"Other Services"))),"Other Services"))</f>
        <v/>
      </c>
    </row>
    <row r="2791" customFormat="false" ht="15" hidden="false" customHeight="false" outlineLevel="0" collapsed="false">
      <c r="F2791" s="41" t="str">
        <f aca="false">IF(D2791="","",IFERROR(IF(ISNUMBER(SEARCH(Assumptions!$C$5,D2791)),Assumptions!$D$5,IF(ISNUMBER(SEARCH(Assumptions!$C$6,D2791)),Assumptions!$D$6,IF(ISNUMBER(SEARCH(Assumptions!$C$7,D2791)),Assumptions!$D$7,"Other Services"))),"Other Services"))</f>
        <v/>
      </c>
    </row>
    <row r="2792" customFormat="false" ht="15" hidden="false" customHeight="false" outlineLevel="0" collapsed="false">
      <c r="F2792" s="41" t="str">
        <f aca="false">IF(D2792="","",IFERROR(IF(ISNUMBER(SEARCH(Assumptions!$C$5,D2792)),Assumptions!$D$5,IF(ISNUMBER(SEARCH(Assumptions!$C$6,D2792)),Assumptions!$D$6,IF(ISNUMBER(SEARCH(Assumptions!$C$7,D2792)),Assumptions!$D$7,"Other Services"))),"Other Services"))</f>
        <v/>
      </c>
    </row>
    <row r="2793" customFormat="false" ht="15" hidden="false" customHeight="false" outlineLevel="0" collapsed="false">
      <c r="F2793" s="41" t="str">
        <f aca="false">IF(D2793="","",IFERROR(IF(ISNUMBER(SEARCH(Assumptions!$C$5,D2793)),Assumptions!$D$5,IF(ISNUMBER(SEARCH(Assumptions!$C$6,D2793)),Assumptions!$D$6,IF(ISNUMBER(SEARCH(Assumptions!$C$7,D2793)),Assumptions!$D$7,"Other Services"))),"Other Services"))</f>
        <v/>
      </c>
    </row>
    <row r="2794" customFormat="false" ht="15" hidden="false" customHeight="false" outlineLevel="0" collapsed="false">
      <c r="F2794" s="41" t="str">
        <f aca="false">IF(D2794="","",IFERROR(IF(ISNUMBER(SEARCH(Assumptions!$C$5,D2794)),Assumptions!$D$5,IF(ISNUMBER(SEARCH(Assumptions!$C$6,D2794)),Assumptions!$D$6,IF(ISNUMBER(SEARCH(Assumptions!$C$7,D2794)),Assumptions!$D$7,"Other Services"))),"Other Services"))</f>
        <v/>
      </c>
    </row>
    <row r="2795" customFormat="false" ht="15" hidden="false" customHeight="false" outlineLevel="0" collapsed="false">
      <c r="F2795" s="41" t="str">
        <f aca="false">IF(D2795="","",IFERROR(IF(ISNUMBER(SEARCH(Assumptions!$C$5,D2795)),Assumptions!$D$5,IF(ISNUMBER(SEARCH(Assumptions!$C$6,D2795)),Assumptions!$D$6,IF(ISNUMBER(SEARCH(Assumptions!$C$7,D2795)),Assumptions!$D$7,"Other Services"))),"Other Services"))</f>
        <v/>
      </c>
    </row>
    <row r="2796" customFormat="false" ht="15" hidden="false" customHeight="false" outlineLevel="0" collapsed="false">
      <c r="F2796" s="41" t="str">
        <f aca="false">IF(D2796="","",IFERROR(IF(ISNUMBER(SEARCH(Assumptions!$C$5,D2796)),Assumptions!$D$5,IF(ISNUMBER(SEARCH(Assumptions!$C$6,D2796)),Assumptions!$D$6,IF(ISNUMBER(SEARCH(Assumptions!$C$7,D2796)),Assumptions!$D$7,"Other Services"))),"Other Services"))</f>
        <v/>
      </c>
    </row>
    <row r="2797" customFormat="false" ht="15" hidden="false" customHeight="false" outlineLevel="0" collapsed="false">
      <c r="F2797" s="41" t="str">
        <f aca="false">IF(D2797="","",IFERROR(IF(ISNUMBER(SEARCH(Assumptions!$C$5,D2797)),Assumptions!$D$5,IF(ISNUMBER(SEARCH(Assumptions!$C$6,D2797)),Assumptions!$D$6,IF(ISNUMBER(SEARCH(Assumptions!$C$7,D2797)),Assumptions!$D$7,"Other Services"))),"Other Services"))</f>
        <v/>
      </c>
    </row>
    <row r="2798" customFormat="false" ht="15" hidden="false" customHeight="false" outlineLevel="0" collapsed="false">
      <c r="F2798" s="41" t="str">
        <f aca="false">IF(D2798="","",IFERROR(IF(ISNUMBER(SEARCH(Assumptions!$C$5,D2798)),Assumptions!$D$5,IF(ISNUMBER(SEARCH(Assumptions!$C$6,D2798)),Assumptions!$D$6,IF(ISNUMBER(SEARCH(Assumptions!$C$7,D2798)),Assumptions!$D$7,"Other Services"))),"Other Services"))</f>
        <v/>
      </c>
    </row>
    <row r="2799" customFormat="false" ht="15" hidden="false" customHeight="false" outlineLevel="0" collapsed="false">
      <c r="F2799" s="41" t="str">
        <f aca="false">IF(D2799="","",IFERROR(IF(ISNUMBER(SEARCH(Assumptions!$C$5,D2799)),Assumptions!$D$5,IF(ISNUMBER(SEARCH(Assumptions!$C$6,D2799)),Assumptions!$D$6,IF(ISNUMBER(SEARCH(Assumptions!$C$7,D2799)),Assumptions!$D$7,"Other Services"))),"Other Services"))</f>
        <v/>
      </c>
    </row>
    <row r="2800" customFormat="false" ht="15" hidden="false" customHeight="false" outlineLevel="0" collapsed="false">
      <c r="F2800" s="41" t="str">
        <f aca="false">IF(D2800="","",IFERROR(IF(ISNUMBER(SEARCH(Assumptions!$C$5,D2800)),Assumptions!$D$5,IF(ISNUMBER(SEARCH(Assumptions!$C$6,D2800)),Assumptions!$D$6,IF(ISNUMBER(SEARCH(Assumptions!$C$7,D2800)),Assumptions!$D$7,"Other Services"))),"Other Services"))</f>
        <v/>
      </c>
    </row>
    <row r="2801" customFormat="false" ht="15" hidden="false" customHeight="false" outlineLevel="0" collapsed="false">
      <c r="F2801" s="41" t="str">
        <f aca="false">IF(D2801="","",IFERROR(IF(ISNUMBER(SEARCH(Assumptions!$C$5,D2801)),Assumptions!$D$5,IF(ISNUMBER(SEARCH(Assumptions!$C$6,D2801)),Assumptions!$D$6,IF(ISNUMBER(SEARCH(Assumptions!$C$7,D2801)),Assumptions!$D$7,"Other Services"))),"Other Services"))</f>
        <v/>
      </c>
    </row>
    <row r="2802" customFormat="false" ht="15" hidden="false" customHeight="false" outlineLevel="0" collapsed="false">
      <c r="F2802" s="41" t="str">
        <f aca="false">IF(D2802="","",IFERROR(IF(ISNUMBER(SEARCH(Assumptions!$C$5,D2802)),Assumptions!$D$5,IF(ISNUMBER(SEARCH(Assumptions!$C$6,D2802)),Assumptions!$D$6,IF(ISNUMBER(SEARCH(Assumptions!$C$7,D2802)),Assumptions!$D$7,"Other Services"))),"Other Services"))</f>
        <v/>
      </c>
    </row>
    <row r="2803" customFormat="false" ht="15" hidden="false" customHeight="false" outlineLevel="0" collapsed="false">
      <c r="F2803" s="41" t="str">
        <f aca="false">IF(D2803="","",IFERROR(IF(ISNUMBER(SEARCH(Assumptions!$C$5,D2803)),Assumptions!$D$5,IF(ISNUMBER(SEARCH(Assumptions!$C$6,D2803)),Assumptions!$D$6,IF(ISNUMBER(SEARCH(Assumptions!$C$7,D2803)),Assumptions!$D$7,"Other Services"))),"Other Services"))</f>
        <v/>
      </c>
    </row>
    <row r="2804" customFormat="false" ht="15" hidden="false" customHeight="false" outlineLevel="0" collapsed="false">
      <c r="F2804" s="41" t="str">
        <f aca="false">IF(D2804="","",IFERROR(IF(ISNUMBER(SEARCH(Assumptions!$C$5,D2804)),Assumptions!$D$5,IF(ISNUMBER(SEARCH(Assumptions!$C$6,D2804)),Assumptions!$D$6,IF(ISNUMBER(SEARCH(Assumptions!$C$7,D2804)),Assumptions!$D$7,"Other Services"))),"Other Services"))</f>
        <v/>
      </c>
    </row>
    <row r="2805" customFormat="false" ht="15" hidden="false" customHeight="false" outlineLevel="0" collapsed="false">
      <c r="F2805" s="41" t="str">
        <f aca="false">IF(D2805="","",IFERROR(IF(ISNUMBER(SEARCH(Assumptions!$C$5,D2805)),Assumptions!$D$5,IF(ISNUMBER(SEARCH(Assumptions!$C$6,D2805)),Assumptions!$D$6,IF(ISNUMBER(SEARCH(Assumptions!$C$7,D2805)),Assumptions!$D$7,"Other Services"))),"Other Services"))</f>
        <v/>
      </c>
    </row>
    <row r="2806" customFormat="false" ht="15" hidden="false" customHeight="false" outlineLevel="0" collapsed="false">
      <c r="F2806" s="41" t="str">
        <f aca="false">IF(D2806="","",IFERROR(IF(ISNUMBER(SEARCH(Assumptions!$C$5,D2806)),Assumptions!$D$5,IF(ISNUMBER(SEARCH(Assumptions!$C$6,D2806)),Assumptions!$D$6,IF(ISNUMBER(SEARCH(Assumptions!$C$7,D2806)),Assumptions!$D$7,"Other Services"))),"Other Services"))</f>
        <v/>
      </c>
    </row>
    <row r="2807" customFormat="false" ht="15" hidden="false" customHeight="false" outlineLevel="0" collapsed="false">
      <c r="F2807" s="41" t="str">
        <f aca="false">IF(D2807="","",IFERROR(IF(ISNUMBER(SEARCH(Assumptions!$C$5,D2807)),Assumptions!$D$5,IF(ISNUMBER(SEARCH(Assumptions!$C$6,D2807)),Assumptions!$D$6,IF(ISNUMBER(SEARCH(Assumptions!$C$7,D2807)),Assumptions!$D$7,"Other Services"))),"Other Services"))</f>
        <v/>
      </c>
    </row>
    <row r="2808" customFormat="false" ht="15" hidden="false" customHeight="false" outlineLevel="0" collapsed="false">
      <c r="F2808" s="41" t="str">
        <f aca="false">IF(D2808="","",IFERROR(IF(ISNUMBER(SEARCH(Assumptions!$C$5,D2808)),Assumptions!$D$5,IF(ISNUMBER(SEARCH(Assumptions!$C$6,D2808)),Assumptions!$D$6,IF(ISNUMBER(SEARCH(Assumptions!$C$7,D2808)),Assumptions!$D$7,"Other Services"))),"Other Services"))</f>
        <v/>
      </c>
    </row>
    <row r="2809" customFormat="false" ht="15" hidden="false" customHeight="false" outlineLevel="0" collapsed="false">
      <c r="F2809" s="41" t="str">
        <f aca="false">IF(D2809="","",IFERROR(IF(ISNUMBER(SEARCH(Assumptions!$C$5,D2809)),Assumptions!$D$5,IF(ISNUMBER(SEARCH(Assumptions!$C$6,D2809)),Assumptions!$D$6,IF(ISNUMBER(SEARCH(Assumptions!$C$7,D2809)),Assumptions!$D$7,"Other Services"))),"Other Services"))</f>
        <v/>
      </c>
    </row>
    <row r="2810" customFormat="false" ht="15" hidden="false" customHeight="false" outlineLevel="0" collapsed="false">
      <c r="F2810" s="41" t="str">
        <f aca="false">IF(D2810="","",IFERROR(IF(ISNUMBER(SEARCH(Assumptions!$C$5,D2810)),Assumptions!$D$5,IF(ISNUMBER(SEARCH(Assumptions!$C$6,D2810)),Assumptions!$D$6,IF(ISNUMBER(SEARCH(Assumptions!$C$7,D2810)),Assumptions!$D$7,"Other Services"))),"Other Services"))</f>
        <v/>
      </c>
    </row>
    <row r="2811" customFormat="false" ht="15" hidden="false" customHeight="false" outlineLevel="0" collapsed="false">
      <c r="F2811" s="41" t="str">
        <f aca="false">IF(D2811="","",IFERROR(IF(ISNUMBER(SEARCH(Assumptions!$C$5,D2811)),Assumptions!$D$5,IF(ISNUMBER(SEARCH(Assumptions!$C$6,D2811)),Assumptions!$D$6,IF(ISNUMBER(SEARCH(Assumptions!$C$7,D2811)),Assumptions!$D$7,"Other Services"))),"Other Services"))</f>
        <v/>
      </c>
    </row>
    <row r="2812" customFormat="false" ht="15" hidden="false" customHeight="false" outlineLevel="0" collapsed="false">
      <c r="F2812" s="41" t="str">
        <f aca="false">IF(D2812="","",IFERROR(IF(ISNUMBER(SEARCH(Assumptions!$C$5,D2812)),Assumptions!$D$5,IF(ISNUMBER(SEARCH(Assumptions!$C$6,D2812)),Assumptions!$D$6,IF(ISNUMBER(SEARCH(Assumptions!$C$7,D2812)),Assumptions!$D$7,"Other Services"))),"Other Services"))</f>
        <v/>
      </c>
    </row>
    <row r="2813" customFormat="false" ht="15" hidden="false" customHeight="false" outlineLevel="0" collapsed="false">
      <c r="F2813" s="41" t="str">
        <f aca="false">IF(D2813="","",IFERROR(IF(ISNUMBER(SEARCH(Assumptions!$C$5,D2813)),Assumptions!$D$5,IF(ISNUMBER(SEARCH(Assumptions!$C$6,D2813)),Assumptions!$D$6,IF(ISNUMBER(SEARCH(Assumptions!$C$7,D2813)),Assumptions!$D$7,"Other Services"))),"Other Services"))</f>
        <v/>
      </c>
    </row>
    <row r="2814" customFormat="false" ht="15" hidden="false" customHeight="false" outlineLevel="0" collapsed="false">
      <c r="F2814" s="41" t="str">
        <f aca="false">IF(D2814="","",IFERROR(IF(ISNUMBER(SEARCH(Assumptions!$C$5,D2814)),Assumptions!$D$5,IF(ISNUMBER(SEARCH(Assumptions!$C$6,D2814)),Assumptions!$D$6,IF(ISNUMBER(SEARCH(Assumptions!$C$7,D2814)),Assumptions!$D$7,"Other Services"))),"Other Services"))</f>
        <v/>
      </c>
    </row>
    <row r="2815" customFormat="false" ht="15" hidden="false" customHeight="false" outlineLevel="0" collapsed="false">
      <c r="F2815" s="41" t="str">
        <f aca="false">IF(D2815="","",IFERROR(IF(ISNUMBER(SEARCH(Assumptions!$C$5,D2815)),Assumptions!$D$5,IF(ISNUMBER(SEARCH(Assumptions!$C$6,D2815)),Assumptions!$D$6,IF(ISNUMBER(SEARCH(Assumptions!$C$7,D2815)),Assumptions!$D$7,"Other Services"))),"Other Services"))</f>
        <v/>
      </c>
    </row>
    <row r="2816" customFormat="false" ht="15" hidden="false" customHeight="false" outlineLevel="0" collapsed="false">
      <c r="F2816" s="41" t="str">
        <f aca="false">IF(D2816="","",IFERROR(IF(ISNUMBER(SEARCH(Assumptions!$C$5,D2816)),Assumptions!$D$5,IF(ISNUMBER(SEARCH(Assumptions!$C$6,D2816)),Assumptions!$D$6,IF(ISNUMBER(SEARCH(Assumptions!$C$7,D2816)),Assumptions!$D$7,"Other Services"))),"Other Services"))</f>
        <v/>
      </c>
    </row>
    <row r="2817" customFormat="false" ht="15" hidden="false" customHeight="false" outlineLevel="0" collapsed="false">
      <c r="F2817" s="41" t="str">
        <f aca="false">IF(D2817="","",IFERROR(IF(ISNUMBER(SEARCH(Assumptions!$C$5,D2817)),Assumptions!$D$5,IF(ISNUMBER(SEARCH(Assumptions!$C$6,D2817)),Assumptions!$D$6,IF(ISNUMBER(SEARCH(Assumptions!$C$7,D2817)),Assumptions!$D$7,"Other Services"))),"Other Services"))</f>
        <v/>
      </c>
    </row>
    <row r="2818" customFormat="false" ht="15" hidden="false" customHeight="false" outlineLevel="0" collapsed="false">
      <c r="F2818" s="41" t="str">
        <f aca="false">IF(D2818="","",IFERROR(IF(ISNUMBER(SEARCH(Assumptions!$C$5,D2818)),Assumptions!$D$5,IF(ISNUMBER(SEARCH(Assumptions!$C$6,D2818)),Assumptions!$D$6,IF(ISNUMBER(SEARCH(Assumptions!$C$7,D2818)),Assumptions!$D$7,"Other Services"))),"Other Services"))</f>
        <v/>
      </c>
    </row>
    <row r="2819" customFormat="false" ht="15" hidden="false" customHeight="false" outlineLevel="0" collapsed="false">
      <c r="F2819" s="41" t="str">
        <f aca="false">IF(D2819="","",IFERROR(IF(ISNUMBER(SEARCH(Assumptions!$C$5,D2819)),Assumptions!$D$5,IF(ISNUMBER(SEARCH(Assumptions!$C$6,D2819)),Assumptions!$D$6,IF(ISNUMBER(SEARCH(Assumptions!$C$7,D2819)),Assumptions!$D$7,"Other Services"))),"Other Services"))</f>
        <v/>
      </c>
    </row>
    <row r="2820" customFormat="false" ht="15" hidden="false" customHeight="false" outlineLevel="0" collapsed="false">
      <c r="F2820" s="41" t="str">
        <f aca="false">IF(D2820="","",IFERROR(IF(ISNUMBER(SEARCH(Assumptions!$C$5,D2820)),Assumptions!$D$5,IF(ISNUMBER(SEARCH(Assumptions!$C$6,D2820)),Assumptions!$D$6,IF(ISNUMBER(SEARCH(Assumptions!$C$7,D2820)),Assumptions!$D$7,"Other Services"))),"Other Services"))</f>
        <v/>
      </c>
    </row>
    <row r="2821" customFormat="false" ht="15" hidden="false" customHeight="false" outlineLevel="0" collapsed="false">
      <c r="F2821" s="41" t="str">
        <f aca="false">IF(D2821="","",IFERROR(IF(ISNUMBER(SEARCH(Assumptions!$C$5,D2821)),Assumptions!$D$5,IF(ISNUMBER(SEARCH(Assumptions!$C$6,D2821)),Assumptions!$D$6,IF(ISNUMBER(SEARCH(Assumptions!$C$7,D2821)),Assumptions!$D$7,"Other Services"))),"Other Services"))</f>
        <v/>
      </c>
    </row>
    <row r="2822" customFormat="false" ht="15" hidden="false" customHeight="false" outlineLevel="0" collapsed="false">
      <c r="F2822" s="41" t="str">
        <f aca="false">IF(D2822="","",IFERROR(IF(ISNUMBER(SEARCH(Assumptions!$C$5,D2822)),Assumptions!$D$5,IF(ISNUMBER(SEARCH(Assumptions!$C$6,D2822)),Assumptions!$D$6,IF(ISNUMBER(SEARCH(Assumptions!$C$7,D2822)),Assumptions!$D$7,"Other Services"))),"Other Services"))</f>
        <v/>
      </c>
    </row>
    <row r="2823" customFormat="false" ht="15" hidden="false" customHeight="false" outlineLevel="0" collapsed="false">
      <c r="F2823" s="41" t="str">
        <f aca="false">IF(D2823="","",IFERROR(IF(ISNUMBER(SEARCH(Assumptions!$C$5,D2823)),Assumptions!$D$5,IF(ISNUMBER(SEARCH(Assumptions!$C$6,D2823)),Assumptions!$D$6,IF(ISNUMBER(SEARCH(Assumptions!$C$7,D2823)),Assumptions!$D$7,"Other Services"))),"Other Services"))</f>
        <v/>
      </c>
    </row>
    <row r="2824" customFormat="false" ht="15" hidden="false" customHeight="false" outlineLevel="0" collapsed="false">
      <c r="F2824" s="41" t="str">
        <f aca="false">IF(D2824="","",IFERROR(IF(ISNUMBER(SEARCH(Assumptions!$C$5,D2824)),Assumptions!$D$5,IF(ISNUMBER(SEARCH(Assumptions!$C$6,D2824)),Assumptions!$D$6,IF(ISNUMBER(SEARCH(Assumptions!$C$7,D2824)),Assumptions!$D$7,"Other Services"))),"Other Services"))</f>
        <v/>
      </c>
    </row>
    <row r="2825" customFormat="false" ht="15" hidden="false" customHeight="false" outlineLevel="0" collapsed="false">
      <c r="F2825" s="41" t="str">
        <f aca="false">IF(D2825="","",IFERROR(IF(ISNUMBER(SEARCH(Assumptions!$C$5,D2825)),Assumptions!$D$5,IF(ISNUMBER(SEARCH(Assumptions!$C$6,D2825)),Assumptions!$D$6,IF(ISNUMBER(SEARCH(Assumptions!$C$7,D2825)),Assumptions!$D$7,"Other Services"))),"Other Services"))</f>
        <v/>
      </c>
    </row>
    <row r="2826" customFormat="false" ht="15" hidden="false" customHeight="false" outlineLevel="0" collapsed="false">
      <c r="F2826" s="41" t="str">
        <f aca="false">IF(D2826="","",IFERROR(IF(ISNUMBER(SEARCH(Assumptions!$C$5,D2826)),Assumptions!$D$5,IF(ISNUMBER(SEARCH(Assumptions!$C$6,D2826)),Assumptions!$D$6,IF(ISNUMBER(SEARCH(Assumptions!$C$7,D2826)),Assumptions!$D$7,"Other Services"))),"Other Services"))</f>
        <v/>
      </c>
    </row>
    <row r="2827" customFormat="false" ht="15" hidden="false" customHeight="false" outlineLevel="0" collapsed="false">
      <c r="F2827" s="41" t="str">
        <f aca="false">IF(D2827="","",IFERROR(IF(ISNUMBER(SEARCH(Assumptions!$C$5,D2827)),Assumptions!$D$5,IF(ISNUMBER(SEARCH(Assumptions!$C$6,D2827)),Assumptions!$D$6,IF(ISNUMBER(SEARCH(Assumptions!$C$7,D2827)),Assumptions!$D$7,"Other Services"))),"Other Services"))</f>
        <v/>
      </c>
    </row>
    <row r="2828" customFormat="false" ht="15" hidden="false" customHeight="false" outlineLevel="0" collapsed="false">
      <c r="F2828" s="41" t="str">
        <f aca="false">IF(D2828="","",IFERROR(IF(ISNUMBER(SEARCH(Assumptions!$C$5,D2828)),Assumptions!$D$5,IF(ISNUMBER(SEARCH(Assumptions!$C$6,D2828)),Assumptions!$D$6,IF(ISNUMBER(SEARCH(Assumptions!$C$7,D2828)),Assumptions!$D$7,"Other Services"))),"Other Services"))</f>
        <v/>
      </c>
    </row>
    <row r="2829" customFormat="false" ht="15" hidden="false" customHeight="false" outlineLevel="0" collapsed="false">
      <c r="F2829" s="41" t="str">
        <f aca="false">IF(D2829="","",IFERROR(IF(ISNUMBER(SEARCH(Assumptions!$C$5,D2829)),Assumptions!$D$5,IF(ISNUMBER(SEARCH(Assumptions!$C$6,D2829)),Assumptions!$D$6,IF(ISNUMBER(SEARCH(Assumptions!$C$7,D2829)),Assumptions!$D$7,"Other Services"))),"Other Services"))</f>
        <v/>
      </c>
    </row>
    <row r="2830" customFormat="false" ht="15" hidden="false" customHeight="false" outlineLevel="0" collapsed="false">
      <c r="F2830" s="41" t="str">
        <f aca="false">IF(D2830="","",IFERROR(IF(ISNUMBER(SEARCH(Assumptions!$C$5,D2830)),Assumptions!$D$5,IF(ISNUMBER(SEARCH(Assumptions!$C$6,D2830)),Assumptions!$D$6,IF(ISNUMBER(SEARCH(Assumptions!$C$7,D2830)),Assumptions!$D$7,"Other Services"))),"Other Services"))</f>
        <v/>
      </c>
    </row>
    <row r="2831" customFormat="false" ht="15" hidden="false" customHeight="false" outlineLevel="0" collapsed="false">
      <c r="F2831" s="41" t="str">
        <f aca="false">IF(D2831="","",IFERROR(IF(ISNUMBER(SEARCH(Assumptions!$C$5,D2831)),Assumptions!$D$5,IF(ISNUMBER(SEARCH(Assumptions!$C$6,D2831)),Assumptions!$D$6,IF(ISNUMBER(SEARCH(Assumptions!$C$7,D2831)),Assumptions!$D$7,"Other Services"))),"Other Services"))</f>
        <v/>
      </c>
    </row>
    <row r="2832" customFormat="false" ht="15" hidden="false" customHeight="false" outlineLevel="0" collapsed="false">
      <c r="F2832" s="41" t="str">
        <f aca="false">IF(D2832="","",IFERROR(IF(ISNUMBER(SEARCH(Assumptions!$C$5,D2832)),Assumptions!$D$5,IF(ISNUMBER(SEARCH(Assumptions!$C$6,D2832)),Assumptions!$D$6,IF(ISNUMBER(SEARCH(Assumptions!$C$7,D2832)),Assumptions!$D$7,"Other Services"))),"Other Services"))</f>
        <v/>
      </c>
    </row>
    <row r="2833" customFormat="false" ht="15" hidden="false" customHeight="false" outlineLevel="0" collapsed="false">
      <c r="F2833" s="41" t="str">
        <f aca="false">IF(D2833="","",IFERROR(IF(ISNUMBER(SEARCH(Assumptions!$C$5,D2833)),Assumptions!$D$5,IF(ISNUMBER(SEARCH(Assumptions!$C$6,D2833)),Assumptions!$D$6,IF(ISNUMBER(SEARCH(Assumptions!$C$7,D2833)),Assumptions!$D$7,"Other Services"))),"Other Services"))</f>
        <v/>
      </c>
    </row>
    <row r="2834" customFormat="false" ht="15" hidden="false" customHeight="false" outlineLevel="0" collapsed="false">
      <c r="F2834" s="41" t="str">
        <f aca="false">IF(D2834="","",IFERROR(IF(ISNUMBER(SEARCH(Assumptions!$C$5,D2834)),Assumptions!$D$5,IF(ISNUMBER(SEARCH(Assumptions!$C$6,D2834)),Assumptions!$D$6,IF(ISNUMBER(SEARCH(Assumptions!$C$7,D2834)),Assumptions!$D$7,"Other Services"))),"Other Services"))</f>
        <v/>
      </c>
    </row>
    <row r="2835" customFormat="false" ht="15" hidden="false" customHeight="false" outlineLevel="0" collapsed="false">
      <c r="F2835" s="41" t="str">
        <f aca="false">IF(D2835="","",IFERROR(IF(ISNUMBER(SEARCH(Assumptions!$C$5,D2835)),Assumptions!$D$5,IF(ISNUMBER(SEARCH(Assumptions!$C$6,D2835)),Assumptions!$D$6,IF(ISNUMBER(SEARCH(Assumptions!$C$7,D2835)),Assumptions!$D$7,"Other Services"))),"Other Services"))</f>
        <v/>
      </c>
    </row>
    <row r="2836" customFormat="false" ht="15" hidden="false" customHeight="false" outlineLevel="0" collapsed="false">
      <c r="F2836" s="41" t="str">
        <f aca="false">IF(D2836="","",IFERROR(IF(ISNUMBER(SEARCH(Assumptions!$C$5,D2836)),Assumptions!$D$5,IF(ISNUMBER(SEARCH(Assumptions!$C$6,D2836)),Assumptions!$D$6,IF(ISNUMBER(SEARCH(Assumptions!$C$7,D2836)),Assumptions!$D$7,"Other Services"))),"Other Services"))</f>
        <v/>
      </c>
    </row>
    <row r="2837" customFormat="false" ht="15" hidden="false" customHeight="false" outlineLevel="0" collapsed="false">
      <c r="F2837" s="41" t="str">
        <f aca="false">IF(D2837="","",IFERROR(IF(ISNUMBER(SEARCH(Assumptions!$C$5,D2837)),Assumptions!$D$5,IF(ISNUMBER(SEARCH(Assumptions!$C$6,D2837)),Assumptions!$D$6,IF(ISNUMBER(SEARCH(Assumptions!$C$7,D2837)),Assumptions!$D$7,"Other Services"))),"Other Services"))</f>
        <v/>
      </c>
    </row>
    <row r="2838" customFormat="false" ht="15" hidden="false" customHeight="false" outlineLevel="0" collapsed="false">
      <c r="F2838" s="41" t="str">
        <f aca="false">IF(D2838="","",IFERROR(IF(ISNUMBER(SEARCH(Assumptions!$C$5,D2838)),Assumptions!$D$5,IF(ISNUMBER(SEARCH(Assumptions!$C$6,D2838)),Assumptions!$D$6,IF(ISNUMBER(SEARCH(Assumptions!$C$7,D2838)),Assumptions!$D$7,"Other Services"))),"Other Services"))</f>
        <v/>
      </c>
    </row>
    <row r="2839" customFormat="false" ht="15" hidden="false" customHeight="false" outlineLevel="0" collapsed="false">
      <c r="F2839" s="41" t="str">
        <f aca="false">IF(D2839="","",IFERROR(IF(ISNUMBER(SEARCH(Assumptions!$C$5,D2839)),Assumptions!$D$5,IF(ISNUMBER(SEARCH(Assumptions!$C$6,D2839)),Assumptions!$D$6,IF(ISNUMBER(SEARCH(Assumptions!$C$7,D2839)),Assumptions!$D$7,"Other Services"))),"Other Services"))</f>
        <v/>
      </c>
    </row>
    <row r="2840" customFormat="false" ht="15" hidden="false" customHeight="false" outlineLevel="0" collapsed="false">
      <c r="F2840" s="41" t="str">
        <f aca="false">IF(D2840="","",IFERROR(IF(ISNUMBER(SEARCH(Assumptions!$C$5,D2840)),Assumptions!$D$5,IF(ISNUMBER(SEARCH(Assumptions!$C$6,D2840)),Assumptions!$D$6,IF(ISNUMBER(SEARCH(Assumptions!$C$7,D2840)),Assumptions!$D$7,"Other Services"))),"Other Services"))</f>
        <v/>
      </c>
    </row>
    <row r="2841" customFormat="false" ht="15" hidden="false" customHeight="false" outlineLevel="0" collapsed="false">
      <c r="F2841" s="41" t="str">
        <f aca="false">IF(D2841="","",IFERROR(IF(ISNUMBER(SEARCH(Assumptions!$C$5,D2841)),Assumptions!$D$5,IF(ISNUMBER(SEARCH(Assumptions!$C$6,D2841)),Assumptions!$D$6,IF(ISNUMBER(SEARCH(Assumptions!$C$7,D2841)),Assumptions!$D$7,"Other Services"))),"Other Services"))</f>
        <v/>
      </c>
    </row>
    <row r="2842" customFormat="false" ht="15" hidden="false" customHeight="false" outlineLevel="0" collapsed="false">
      <c r="F2842" s="41" t="str">
        <f aca="false">IF(D2842="","",IFERROR(IF(ISNUMBER(SEARCH(Assumptions!$C$5,D2842)),Assumptions!$D$5,IF(ISNUMBER(SEARCH(Assumptions!$C$6,D2842)),Assumptions!$D$6,IF(ISNUMBER(SEARCH(Assumptions!$C$7,D2842)),Assumptions!$D$7,"Other Services"))),"Other Services"))</f>
        <v/>
      </c>
    </row>
    <row r="2843" customFormat="false" ht="15" hidden="false" customHeight="false" outlineLevel="0" collapsed="false">
      <c r="F2843" s="41" t="str">
        <f aca="false">IF(D2843="","",IFERROR(IF(ISNUMBER(SEARCH(Assumptions!$C$5,D2843)),Assumptions!$D$5,IF(ISNUMBER(SEARCH(Assumptions!$C$6,D2843)),Assumptions!$D$6,IF(ISNUMBER(SEARCH(Assumptions!$C$7,D2843)),Assumptions!$D$7,"Other Services"))),"Other Services"))</f>
        <v/>
      </c>
    </row>
    <row r="2844" customFormat="false" ht="15" hidden="false" customHeight="false" outlineLevel="0" collapsed="false">
      <c r="F2844" s="41" t="str">
        <f aca="false">IF(D2844="","",IFERROR(IF(ISNUMBER(SEARCH(Assumptions!$C$5,D2844)),Assumptions!$D$5,IF(ISNUMBER(SEARCH(Assumptions!$C$6,D2844)),Assumptions!$D$6,IF(ISNUMBER(SEARCH(Assumptions!$C$7,D2844)),Assumptions!$D$7,"Other Services"))),"Other Services"))</f>
        <v/>
      </c>
    </row>
    <row r="2845" customFormat="false" ht="15" hidden="false" customHeight="false" outlineLevel="0" collapsed="false">
      <c r="F2845" s="41" t="str">
        <f aca="false">IF(D2845="","",IFERROR(IF(ISNUMBER(SEARCH(Assumptions!$C$5,D2845)),Assumptions!$D$5,IF(ISNUMBER(SEARCH(Assumptions!$C$6,D2845)),Assumptions!$D$6,IF(ISNUMBER(SEARCH(Assumptions!$C$7,D2845)),Assumptions!$D$7,"Other Services"))),"Other Services"))</f>
        <v/>
      </c>
    </row>
    <row r="2846" customFormat="false" ht="15" hidden="false" customHeight="false" outlineLevel="0" collapsed="false">
      <c r="F2846" s="41" t="str">
        <f aca="false">IF(D2846="","",IFERROR(IF(ISNUMBER(SEARCH(Assumptions!$C$5,D2846)),Assumptions!$D$5,IF(ISNUMBER(SEARCH(Assumptions!$C$6,D2846)),Assumptions!$D$6,IF(ISNUMBER(SEARCH(Assumptions!$C$7,D2846)),Assumptions!$D$7,"Other Services"))),"Other Services"))</f>
        <v/>
      </c>
    </row>
    <row r="2847" customFormat="false" ht="15" hidden="false" customHeight="false" outlineLevel="0" collapsed="false">
      <c r="F2847" s="41" t="str">
        <f aca="false">IF(D2847="","",IFERROR(IF(ISNUMBER(SEARCH(Assumptions!$C$5,D2847)),Assumptions!$D$5,IF(ISNUMBER(SEARCH(Assumptions!$C$6,D2847)),Assumptions!$D$6,IF(ISNUMBER(SEARCH(Assumptions!$C$7,D2847)),Assumptions!$D$7,"Other Services"))),"Other Services"))</f>
        <v/>
      </c>
    </row>
    <row r="2848" customFormat="false" ht="15" hidden="false" customHeight="false" outlineLevel="0" collapsed="false">
      <c r="F2848" s="41" t="str">
        <f aca="false">IF(D2848="","",IFERROR(IF(ISNUMBER(SEARCH(Assumptions!$C$5,D2848)),Assumptions!$D$5,IF(ISNUMBER(SEARCH(Assumptions!$C$6,D2848)),Assumptions!$D$6,IF(ISNUMBER(SEARCH(Assumptions!$C$7,D2848)),Assumptions!$D$7,"Other Services"))),"Other Services"))</f>
        <v/>
      </c>
    </row>
    <row r="2849" customFormat="false" ht="15" hidden="false" customHeight="false" outlineLevel="0" collapsed="false">
      <c r="F2849" s="41" t="str">
        <f aca="false">IF(D2849="","",IFERROR(IF(ISNUMBER(SEARCH(Assumptions!$C$5,D2849)),Assumptions!$D$5,IF(ISNUMBER(SEARCH(Assumptions!$C$6,D2849)),Assumptions!$D$6,IF(ISNUMBER(SEARCH(Assumptions!$C$7,D2849)),Assumptions!$D$7,"Other Services"))),"Other Services"))</f>
        <v/>
      </c>
    </row>
    <row r="2850" customFormat="false" ht="15" hidden="false" customHeight="false" outlineLevel="0" collapsed="false">
      <c r="F2850" s="41" t="str">
        <f aca="false">IF(D2850="","",IFERROR(IF(ISNUMBER(SEARCH(Assumptions!$C$5,D2850)),Assumptions!$D$5,IF(ISNUMBER(SEARCH(Assumptions!$C$6,D2850)),Assumptions!$D$6,IF(ISNUMBER(SEARCH(Assumptions!$C$7,D2850)),Assumptions!$D$7,"Other Services"))),"Other Services"))</f>
        <v/>
      </c>
    </row>
    <row r="2851" customFormat="false" ht="15" hidden="false" customHeight="false" outlineLevel="0" collapsed="false">
      <c r="F2851" s="41" t="str">
        <f aca="false">IF(D2851="","",IFERROR(IF(ISNUMBER(SEARCH(Assumptions!$C$5,D2851)),Assumptions!$D$5,IF(ISNUMBER(SEARCH(Assumptions!$C$6,D2851)),Assumptions!$D$6,IF(ISNUMBER(SEARCH(Assumptions!$C$7,D2851)),Assumptions!$D$7,"Other Services"))),"Other Services"))</f>
        <v/>
      </c>
    </row>
    <row r="2852" customFormat="false" ht="15" hidden="false" customHeight="false" outlineLevel="0" collapsed="false">
      <c r="F2852" s="41" t="str">
        <f aca="false">IF(D2852="","",IFERROR(IF(ISNUMBER(SEARCH(Assumptions!$C$5,D2852)),Assumptions!$D$5,IF(ISNUMBER(SEARCH(Assumptions!$C$6,D2852)),Assumptions!$D$6,IF(ISNUMBER(SEARCH(Assumptions!$C$7,D2852)),Assumptions!$D$7,"Other Services"))),"Other Services"))</f>
        <v/>
      </c>
    </row>
    <row r="2853" customFormat="false" ht="15" hidden="false" customHeight="false" outlineLevel="0" collapsed="false">
      <c r="F2853" s="41" t="str">
        <f aca="false">IF(D2853="","",IFERROR(IF(ISNUMBER(SEARCH(Assumptions!$C$5,D2853)),Assumptions!$D$5,IF(ISNUMBER(SEARCH(Assumptions!$C$6,D2853)),Assumptions!$D$6,IF(ISNUMBER(SEARCH(Assumptions!$C$7,D2853)),Assumptions!$D$7,"Other Services"))),"Other Services"))</f>
        <v/>
      </c>
    </row>
    <row r="2854" customFormat="false" ht="15" hidden="false" customHeight="false" outlineLevel="0" collapsed="false">
      <c r="F2854" s="41" t="str">
        <f aca="false">IF(D2854="","",IFERROR(IF(ISNUMBER(SEARCH(Assumptions!$C$5,D2854)),Assumptions!$D$5,IF(ISNUMBER(SEARCH(Assumptions!$C$6,D2854)),Assumptions!$D$6,IF(ISNUMBER(SEARCH(Assumptions!$C$7,D2854)),Assumptions!$D$7,"Other Services"))),"Other Services"))</f>
        <v/>
      </c>
    </row>
    <row r="2855" customFormat="false" ht="15" hidden="false" customHeight="false" outlineLevel="0" collapsed="false">
      <c r="F2855" s="41" t="str">
        <f aca="false">IF(D2855="","",IFERROR(IF(ISNUMBER(SEARCH(Assumptions!$C$5,D2855)),Assumptions!$D$5,IF(ISNUMBER(SEARCH(Assumptions!$C$6,D2855)),Assumptions!$D$6,IF(ISNUMBER(SEARCH(Assumptions!$C$7,D2855)),Assumptions!$D$7,"Other Services"))),"Other Services"))</f>
        <v/>
      </c>
    </row>
    <row r="2856" customFormat="false" ht="15" hidden="false" customHeight="false" outlineLevel="0" collapsed="false">
      <c r="F2856" s="41" t="str">
        <f aca="false">IF(D2856="","",IFERROR(IF(ISNUMBER(SEARCH(Assumptions!$C$5,D2856)),Assumptions!$D$5,IF(ISNUMBER(SEARCH(Assumptions!$C$6,D2856)),Assumptions!$D$6,IF(ISNUMBER(SEARCH(Assumptions!$C$7,D2856)),Assumptions!$D$7,"Other Services"))),"Other Services"))</f>
        <v/>
      </c>
    </row>
    <row r="2857" customFormat="false" ht="15" hidden="false" customHeight="false" outlineLevel="0" collapsed="false">
      <c r="F2857" s="41" t="str">
        <f aca="false">IF(D2857="","",IFERROR(IF(ISNUMBER(SEARCH(Assumptions!$C$5,D2857)),Assumptions!$D$5,IF(ISNUMBER(SEARCH(Assumptions!$C$6,D2857)),Assumptions!$D$6,IF(ISNUMBER(SEARCH(Assumptions!$C$7,D2857)),Assumptions!$D$7,"Other Services"))),"Other Services"))</f>
        <v/>
      </c>
    </row>
    <row r="2858" customFormat="false" ht="15" hidden="false" customHeight="false" outlineLevel="0" collapsed="false">
      <c r="F2858" s="41" t="str">
        <f aca="false">IF(D2858="","",IFERROR(IF(ISNUMBER(SEARCH(Assumptions!$C$5,D2858)),Assumptions!$D$5,IF(ISNUMBER(SEARCH(Assumptions!$C$6,D2858)),Assumptions!$D$6,IF(ISNUMBER(SEARCH(Assumptions!$C$7,D2858)),Assumptions!$D$7,"Other Services"))),"Other Services"))</f>
        <v/>
      </c>
    </row>
    <row r="2859" customFormat="false" ht="15" hidden="false" customHeight="false" outlineLevel="0" collapsed="false">
      <c r="F2859" s="41" t="str">
        <f aca="false">IF(D2859="","",IFERROR(IF(ISNUMBER(SEARCH(Assumptions!$C$5,D2859)),Assumptions!$D$5,IF(ISNUMBER(SEARCH(Assumptions!$C$6,D2859)),Assumptions!$D$6,IF(ISNUMBER(SEARCH(Assumptions!$C$7,D2859)),Assumptions!$D$7,"Other Services"))),"Other Services"))</f>
        <v/>
      </c>
    </row>
    <row r="2860" customFormat="false" ht="15" hidden="false" customHeight="false" outlineLevel="0" collapsed="false">
      <c r="F2860" s="41" t="str">
        <f aca="false">IF(D2860="","",IFERROR(IF(ISNUMBER(SEARCH(Assumptions!$C$5,D2860)),Assumptions!$D$5,IF(ISNUMBER(SEARCH(Assumptions!$C$6,D2860)),Assumptions!$D$6,IF(ISNUMBER(SEARCH(Assumptions!$C$7,D2860)),Assumptions!$D$7,"Other Services"))),"Other Services"))</f>
        <v/>
      </c>
    </row>
    <row r="2861" customFormat="false" ht="15" hidden="false" customHeight="false" outlineLevel="0" collapsed="false">
      <c r="F2861" s="41" t="str">
        <f aca="false">IF(D2861="","",IFERROR(IF(ISNUMBER(SEARCH(Assumptions!$C$5,D2861)),Assumptions!$D$5,IF(ISNUMBER(SEARCH(Assumptions!$C$6,D2861)),Assumptions!$D$6,IF(ISNUMBER(SEARCH(Assumptions!$C$7,D2861)),Assumptions!$D$7,"Other Services"))),"Other Services"))</f>
        <v/>
      </c>
    </row>
    <row r="2862" customFormat="false" ht="15" hidden="false" customHeight="false" outlineLevel="0" collapsed="false">
      <c r="F2862" s="41" t="str">
        <f aca="false">IF(D2862="","",IFERROR(IF(ISNUMBER(SEARCH(Assumptions!$C$5,D2862)),Assumptions!$D$5,IF(ISNUMBER(SEARCH(Assumptions!$C$6,D2862)),Assumptions!$D$6,IF(ISNUMBER(SEARCH(Assumptions!$C$7,D2862)),Assumptions!$D$7,"Other Services"))),"Other Services"))</f>
        <v/>
      </c>
    </row>
    <row r="2863" customFormat="false" ht="15" hidden="false" customHeight="false" outlineLevel="0" collapsed="false">
      <c r="F2863" s="41" t="str">
        <f aca="false">IF(D2863="","",IFERROR(IF(ISNUMBER(SEARCH(Assumptions!$C$5,D2863)),Assumptions!$D$5,IF(ISNUMBER(SEARCH(Assumptions!$C$6,D2863)),Assumptions!$D$6,IF(ISNUMBER(SEARCH(Assumptions!$C$7,D2863)),Assumptions!$D$7,"Other Services"))),"Other Services"))</f>
        <v/>
      </c>
    </row>
    <row r="2864" customFormat="false" ht="15" hidden="false" customHeight="false" outlineLevel="0" collapsed="false">
      <c r="F2864" s="41" t="str">
        <f aca="false">IF(D2864="","",IFERROR(IF(ISNUMBER(SEARCH(Assumptions!$C$5,D2864)),Assumptions!$D$5,IF(ISNUMBER(SEARCH(Assumptions!$C$6,D2864)),Assumptions!$D$6,IF(ISNUMBER(SEARCH(Assumptions!$C$7,D2864)),Assumptions!$D$7,"Other Services"))),"Other Services"))</f>
        <v/>
      </c>
    </row>
    <row r="2865" customFormat="false" ht="15" hidden="false" customHeight="false" outlineLevel="0" collapsed="false">
      <c r="F2865" s="41" t="str">
        <f aca="false">IF(D2865="","",IFERROR(IF(ISNUMBER(SEARCH(Assumptions!$C$5,D2865)),Assumptions!$D$5,IF(ISNUMBER(SEARCH(Assumptions!$C$6,D2865)),Assumptions!$D$6,IF(ISNUMBER(SEARCH(Assumptions!$C$7,D2865)),Assumptions!$D$7,"Other Services"))),"Other Services"))</f>
        <v/>
      </c>
    </row>
    <row r="2866" customFormat="false" ht="15" hidden="false" customHeight="false" outlineLevel="0" collapsed="false">
      <c r="F2866" s="41" t="str">
        <f aca="false">IF(D2866="","",IFERROR(IF(ISNUMBER(SEARCH(Assumptions!$C$5,D2866)),Assumptions!$D$5,IF(ISNUMBER(SEARCH(Assumptions!$C$6,D2866)),Assumptions!$D$6,IF(ISNUMBER(SEARCH(Assumptions!$C$7,D2866)),Assumptions!$D$7,"Other Services"))),"Other Services"))</f>
        <v/>
      </c>
    </row>
    <row r="2867" customFormat="false" ht="15" hidden="false" customHeight="false" outlineLevel="0" collapsed="false">
      <c r="F2867" s="41" t="str">
        <f aca="false">IF(D2867="","",IFERROR(IF(ISNUMBER(SEARCH(Assumptions!$C$5,D2867)),Assumptions!$D$5,IF(ISNUMBER(SEARCH(Assumptions!$C$6,D2867)),Assumptions!$D$6,IF(ISNUMBER(SEARCH(Assumptions!$C$7,D2867)),Assumptions!$D$7,"Other Services"))),"Other Services"))</f>
        <v/>
      </c>
    </row>
    <row r="2868" customFormat="false" ht="15" hidden="false" customHeight="false" outlineLevel="0" collapsed="false">
      <c r="F2868" s="41" t="str">
        <f aca="false">IF(D2868="","",IFERROR(IF(ISNUMBER(SEARCH(Assumptions!$C$5,D2868)),Assumptions!$D$5,IF(ISNUMBER(SEARCH(Assumptions!$C$6,D2868)),Assumptions!$D$6,IF(ISNUMBER(SEARCH(Assumptions!$C$7,D2868)),Assumptions!$D$7,"Other Services"))),"Other Services"))</f>
        <v/>
      </c>
    </row>
    <row r="2869" customFormat="false" ht="15" hidden="false" customHeight="false" outlineLevel="0" collapsed="false">
      <c r="F2869" s="41" t="str">
        <f aca="false">IF(D2869="","",IFERROR(IF(ISNUMBER(SEARCH(Assumptions!$C$5,D2869)),Assumptions!$D$5,IF(ISNUMBER(SEARCH(Assumptions!$C$6,D2869)),Assumptions!$D$6,IF(ISNUMBER(SEARCH(Assumptions!$C$7,D2869)),Assumptions!$D$7,"Other Services"))),"Other Services"))</f>
        <v/>
      </c>
    </row>
    <row r="2870" customFormat="false" ht="15" hidden="false" customHeight="false" outlineLevel="0" collapsed="false">
      <c r="F2870" s="41" t="str">
        <f aca="false">IF(D2870="","",IFERROR(IF(ISNUMBER(SEARCH(Assumptions!$C$5,D2870)),Assumptions!$D$5,IF(ISNUMBER(SEARCH(Assumptions!$C$6,D2870)),Assumptions!$D$6,IF(ISNUMBER(SEARCH(Assumptions!$C$7,D2870)),Assumptions!$D$7,"Other Services"))),"Other Services"))</f>
        <v/>
      </c>
    </row>
    <row r="2871" customFormat="false" ht="15" hidden="false" customHeight="false" outlineLevel="0" collapsed="false">
      <c r="F2871" s="41" t="str">
        <f aca="false">IF(D2871="","",IFERROR(IF(ISNUMBER(SEARCH(Assumptions!$C$5,D2871)),Assumptions!$D$5,IF(ISNUMBER(SEARCH(Assumptions!$C$6,D2871)),Assumptions!$D$6,IF(ISNUMBER(SEARCH(Assumptions!$C$7,D2871)),Assumptions!$D$7,"Other Services"))),"Other Services"))</f>
        <v/>
      </c>
    </row>
    <row r="2872" customFormat="false" ht="15" hidden="false" customHeight="false" outlineLevel="0" collapsed="false">
      <c r="F2872" s="41" t="str">
        <f aca="false">IF(D2872="","",IFERROR(IF(ISNUMBER(SEARCH(Assumptions!$C$5,D2872)),Assumptions!$D$5,IF(ISNUMBER(SEARCH(Assumptions!$C$6,D2872)),Assumptions!$D$6,IF(ISNUMBER(SEARCH(Assumptions!$C$7,D2872)),Assumptions!$D$7,"Other Services"))),"Other Services"))</f>
        <v/>
      </c>
    </row>
    <row r="2873" customFormat="false" ht="15" hidden="false" customHeight="false" outlineLevel="0" collapsed="false">
      <c r="F2873" s="41" t="str">
        <f aca="false">IF(D2873="","",IFERROR(IF(ISNUMBER(SEARCH(Assumptions!$C$5,D2873)),Assumptions!$D$5,IF(ISNUMBER(SEARCH(Assumptions!$C$6,D2873)),Assumptions!$D$6,IF(ISNUMBER(SEARCH(Assumptions!$C$7,D2873)),Assumptions!$D$7,"Other Services"))),"Other Services"))</f>
        <v/>
      </c>
    </row>
    <row r="2874" customFormat="false" ht="15" hidden="false" customHeight="false" outlineLevel="0" collapsed="false">
      <c r="F2874" s="41" t="str">
        <f aca="false">IF(D2874="","",IFERROR(IF(ISNUMBER(SEARCH(Assumptions!$C$5,D2874)),Assumptions!$D$5,IF(ISNUMBER(SEARCH(Assumptions!$C$6,D2874)),Assumptions!$D$6,IF(ISNUMBER(SEARCH(Assumptions!$C$7,D2874)),Assumptions!$D$7,"Other Services"))),"Other Services"))</f>
        <v/>
      </c>
    </row>
    <row r="2875" customFormat="false" ht="15" hidden="false" customHeight="false" outlineLevel="0" collapsed="false">
      <c r="F2875" s="41" t="str">
        <f aca="false">IF(D2875="","",IFERROR(IF(ISNUMBER(SEARCH(Assumptions!$C$5,D2875)),Assumptions!$D$5,IF(ISNUMBER(SEARCH(Assumptions!$C$6,D2875)),Assumptions!$D$6,IF(ISNUMBER(SEARCH(Assumptions!$C$7,D2875)),Assumptions!$D$7,"Other Services"))),"Other Services"))</f>
        <v/>
      </c>
    </row>
    <row r="2876" customFormat="false" ht="15" hidden="false" customHeight="false" outlineLevel="0" collapsed="false">
      <c r="F2876" s="41" t="str">
        <f aca="false">IF(D2876="","",IFERROR(IF(ISNUMBER(SEARCH(Assumptions!$C$5,D2876)),Assumptions!$D$5,IF(ISNUMBER(SEARCH(Assumptions!$C$6,D2876)),Assumptions!$D$6,IF(ISNUMBER(SEARCH(Assumptions!$C$7,D2876)),Assumptions!$D$7,"Other Services"))),"Other Services"))</f>
        <v/>
      </c>
    </row>
    <row r="2877" customFormat="false" ht="15" hidden="false" customHeight="false" outlineLevel="0" collapsed="false">
      <c r="F2877" s="41" t="str">
        <f aca="false">IF(D2877="","",IFERROR(IF(ISNUMBER(SEARCH(Assumptions!$C$5,D2877)),Assumptions!$D$5,IF(ISNUMBER(SEARCH(Assumptions!$C$6,D2877)),Assumptions!$D$6,IF(ISNUMBER(SEARCH(Assumptions!$C$7,D2877)),Assumptions!$D$7,"Other Services"))),"Other Services"))</f>
        <v/>
      </c>
    </row>
    <row r="2878" customFormat="false" ht="15" hidden="false" customHeight="false" outlineLevel="0" collapsed="false">
      <c r="F2878" s="41" t="str">
        <f aca="false">IF(D2878="","",IFERROR(IF(ISNUMBER(SEARCH(Assumptions!$C$5,D2878)),Assumptions!$D$5,IF(ISNUMBER(SEARCH(Assumptions!$C$6,D2878)),Assumptions!$D$6,IF(ISNUMBER(SEARCH(Assumptions!$C$7,D2878)),Assumptions!$D$7,"Other Services"))),"Other Services"))</f>
        <v/>
      </c>
    </row>
    <row r="2879" customFormat="false" ht="15" hidden="false" customHeight="false" outlineLevel="0" collapsed="false">
      <c r="F2879" s="41" t="str">
        <f aca="false">IF(D2879="","",IFERROR(IF(ISNUMBER(SEARCH(Assumptions!$C$5,D2879)),Assumptions!$D$5,IF(ISNUMBER(SEARCH(Assumptions!$C$6,D2879)),Assumptions!$D$6,IF(ISNUMBER(SEARCH(Assumptions!$C$7,D2879)),Assumptions!$D$7,"Other Services"))),"Other Services"))</f>
        <v/>
      </c>
    </row>
    <row r="2880" customFormat="false" ht="15" hidden="false" customHeight="false" outlineLevel="0" collapsed="false">
      <c r="F2880" s="41" t="str">
        <f aca="false">IF(D2880="","",IFERROR(IF(ISNUMBER(SEARCH(Assumptions!$C$5,D2880)),Assumptions!$D$5,IF(ISNUMBER(SEARCH(Assumptions!$C$6,D2880)),Assumptions!$D$6,IF(ISNUMBER(SEARCH(Assumptions!$C$7,D2880)),Assumptions!$D$7,"Other Services"))),"Other Services"))</f>
        <v/>
      </c>
    </row>
    <row r="2881" customFormat="false" ht="15" hidden="false" customHeight="false" outlineLevel="0" collapsed="false">
      <c r="F2881" s="41" t="str">
        <f aca="false">IF(D2881="","",IFERROR(IF(ISNUMBER(SEARCH(Assumptions!$C$5,D2881)),Assumptions!$D$5,IF(ISNUMBER(SEARCH(Assumptions!$C$6,D2881)),Assumptions!$D$6,IF(ISNUMBER(SEARCH(Assumptions!$C$7,D2881)),Assumptions!$D$7,"Other Services"))),"Other Services"))</f>
        <v/>
      </c>
    </row>
    <row r="2882" customFormat="false" ht="15" hidden="false" customHeight="false" outlineLevel="0" collapsed="false">
      <c r="F2882" s="41" t="str">
        <f aca="false">IF(D2882="","",IFERROR(IF(ISNUMBER(SEARCH(Assumptions!$C$5,D2882)),Assumptions!$D$5,IF(ISNUMBER(SEARCH(Assumptions!$C$6,D2882)),Assumptions!$D$6,IF(ISNUMBER(SEARCH(Assumptions!$C$7,D2882)),Assumptions!$D$7,"Other Services"))),"Other Services"))</f>
        <v/>
      </c>
    </row>
    <row r="2883" customFormat="false" ht="15" hidden="false" customHeight="false" outlineLevel="0" collapsed="false">
      <c r="F2883" s="41" t="str">
        <f aca="false">IF(D2883="","",IFERROR(IF(ISNUMBER(SEARCH(Assumptions!$C$5,D2883)),Assumptions!$D$5,IF(ISNUMBER(SEARCH(Assumptions!$C$6,D2883)),Assumptions!$D$6,IF(ISNUMBER(SEARCH(Assumptions!$C$7,D2883)),Assumptions!$D$7,"Other Services"))),"Other Services"))</f>
        <v/>
      </c>
    </row>
    <row r="2884" customFormat="false" ht="15" hidden="false" customHeight="false" outlineLevel="0" collapsed="false">
      <c r="F2884" s="41" t="str">
        <f aca="false">IF(D2884="","",IFERROR(IF(ISNUMBER(SEARCH(Assumptions!$C$5,D2884)),Assumptions!$D$5,IF(ISNUMBER(SEARCH(Assumptions!$C$6,D2884)),Assumptions!$D$6,IF(ISNUMBER(SEARCH(Assumptions!$C$7,D2884)),Assumptions!$D$7,"Other Services"))),"Other Services"))</f>
        <v/>
      </c>
    </row>
    <row r="2885" customFormat="false" ht="15" hidden="false" customHeight="false" outlineLevel="0" collapsed="false">
      <c r="F2885" s="41" t="str">
        <f aca="false">IF(D2885="","",IFERROR(IF(ISNUMBER(SEARCH(Assumptions!$C$5,D2885)),Assumptions!$D$5,IF(ISNUMBER(SEARCH(Assumptions!$C$6,D2885)),Assumptions!$D$6,IF(ISNUMBER(SEARCH(Assumptions!$C$7,D2885)),Assumptions!$D$7,"Other Services"))),"Other Services"))</f>
        <v/>
      </c>
    </row>
    <row r="2886" customFormat="false" ht="15" hidden="false" customHeight="false" outlineLevel="0" collapsed="false">
      <c r="F2886" s="41" t="str">
        <f aca="false">IF(D2886="","",IFERROR(IF(ISNUMBER(SEARCH(Assumptions!$C$5,D2886)),Assumptions!$D$5,IF(ISNUMBER(SEARCH(Assumptions!$C$6,D2886)),Assumptions!$D$6,IF(ISNUMBER(SEARCH(Assumptions!$C$7,D2886)),Assumptions!$D$7,"Other Services"))),"Other Services"))</f>
        <v/>
      </c>
    </row>
    <row r="2887" customFormat="false" ht="15" hidden="false" customHeight="false" outlineLevel="0" collapsed="false">
      <c r="F2887" s="41" t="str">
        <f aca="false">IF(D2887="","",IFERROR(IF(ISNUMBER(SEARCH(Assumptions!$C$5,D2887)),Assumptions!$D$5,IF(ISNUMBER(SEARCH(Assumptions!$C$6,D2887)),Assumptions!$D$6,IF(ISNUMBER(SEARCH(Assumptions!$C$7,D2887)),Assumptions!$D$7,"Other Services"))),"Other Services"))</f>
        <v/>
      </c>
    </row>
    <row r="2888" customFormat="false" ht="15" hidden="false" customHeight="false" outlineLevel="0" collapsed="false">
      <c r="F2888" s="41" t="str">
        <f aca="false">IF(D2888="","",IFERROR(IF(ISNUMBER(SEARCH(Assumptions!$C$5,D2888)),Assumptions!$D$5,IF(ISNUMBER(SEARCH(Assumptions!$C$6,D2888)),Assumptions!$D$6,IF(ISNUMBER(SEARCH(Assumptions!$C$7,D2888)),Assumptions!$D$7,"Other Services"))),"Other Services"))</f>
        <v/>
      </c>
    </row>
    <row r="2889" customFormat="false" ht="15" hidden="false" customHeight="false" outlineLevel="0" collapsed="false">
      <c r="F2889" s="41" t="str">
        <f aca="false">IF(D2889="","",IFERROR(IF(ISNUMBER(SEARCH(Assumptions!$C$5,D2889)),Assumptions!$D$5,IF(ISNUMBER(SEARCH(Assumptions!$C$6,D2889)),Assumptions!$D$6,IF(ISNUMBER(SEARCH(Assumptions!$C$7,D2889)),Assumptions!$D$7,"Other Services"))),"Other Services"))</f>
        <v/>
      </c>
    </row>
    <row r="2890" customFormat="false" ht="15" hidden="false" customHeight="false" outlineLevel="0" collapsed="false">
      <c r="F2890" s="41" t="str">
        <f aca="false">IF(D2890="","",IFERROR(IF(ISNUMBER(SEARCH(Assumptions!$C$5,D2890)),Assumptions!$D$5,IF(ISNUMBER(SEARCH(Assumptions!$C$6,D2890)),Assumptions!$D$6,IF(ISNUMBER(SEARCH(Assumptions!$C$7,D2890)),Assumptions!$D$7,"Other Services"))),"Other Services"))</f>
        <v/>
      </c>
    </row>
    <row r="2891" customFormat="false" ht="15" hidden="false" customHeight="false" outlineLevel="0" collapsed="false">
      <c r="F2891" s="41" t="str">
        <f aca="false">IF(D2891="","",IFERROR(IF(ISNUMBER(SEARCH(Assumptions!$C$5,D2891)),Assumptions!$D$5,IF(ISNUMBER(SEARCH(Assumptions!$C$6,D2891)),Assumptions!$D$6,IF(ISNUMBER(SEARCH(Assumptions!$C$7,D2891)),Assumptions!$D$7,"Other Services"))),"Other Services"))</f>
        <v/>
      </c>
    </row>
    <row r="2892" customFormat="false" ht="15" hidden="false" customHeight="false" outlineLevel="0" collapsed="false">
      <c r="F2892" s="41" t="str">
        <f aca="false">IF(D2892="","",IFERROR(IF(ISNUMBER(SEARCH(Assumptions!$C$5,D2892)),Assumptions!$D$5,IF(ISNUMBER(SEARCH(Assumptions!$C$6,D2892)),Assumptions!$D$6,IF(ISNUMBER(SEARCH(Assumptions!$C$7,D2892)),Assumptions!$D$7,"Other Services"))),"Other Services"))</f>
        <v/>
      </c>
    </row>
    <row r="2893" customFormat="false" ht="15" hidden="false" customHeight="false" outlineLevel="0" collapsed="false">
      <c r="F2893" s="41" t="str">
        <f aca="false">IF(D2893="","",IFERROR(IF(ISNUMBER(SEARCH(Assumptions!$C$5,D2893)),Assumptions!$D$5,IF(ISNUMBER(SEARCH(Assumptions!$C$6,D2893)),Assumptions!$D$6,IF(ISNUMBER(SEARCH(Assumptions!$C$7,D2893)),Assumptions!$D$7,"Other Services"))),"Other Services"))</f>
        <v/>
      </c>
    </row>
    <row r="2894" customFormat="false" ht="15" hidden="false" customHeight="false" outlineLevel="0" collapsed="false">
      <c r="F2894" s="41" t="str">
        <f aca="false">IF(D2894="","",IFERROR(IF(ISNUMBER(SEARCH(Assumptions!$C$5,D2894)),Assumptions!$D$5,IF(ISNUMBER(SEARCH(Assumptions!$C$6,D2894)),Assumptions!$D$6,IF(ISNUMBER(SEARCH(Assumptions!$C$7,D2894)),Assumptions!$D$7,"Other Services"))),"Other Services"))</f>
        <v/>
      </c>
    </row>
    <row r="2895" customFormat="false" ht="15" hidden="false" customHeight="false" outlineLevel="0" collapsed="false">
      <c r="F2895" s="41" t="str">
        <f aca="false">IF(D2895="","",IFERROR(IF(ISNUMBER(SEARCH(Assumptions!$C$5,D2895)),Assumptions!$D$5,IF(ISNUMBER(SEARCH(Assumptions!$C$6,D2895)),Assumptions!$D$6,IF(ISNUMBER(SEARCH(Assumptions!$C$7,D2895)),Assumptions!$D$7,"Other Services"))),"Other Services"))</f>
        <v/>
      </c>
    </row>
    <row r="2896" customFormat="false" ht="15" hidden="false" customHeight="false" outlineLevel="0" collapsed="false">
      <c r="F2896" s="41" t="str">
        <f aca="false">IF(D2896="","",IFERROR(IF(ISNUMBER(SEARCH(Assumptions!$C$5,D2896)),Assumptions!$D$5,IF(ISNUMBER(SEARCH(Assumptions!$C$6,D2896)),Assumptions!$D$6,IF(ISNUMBER(SEARCH(Assumptions!$C$7,D2896)),Assumptions!$D$7,"Other Services"))),"Other Services"))</f>
        <v/>
      </c>
    </row>
    <row r="2897" customFormat="false" ht="15" hidden="false" customHeight="false" outlineLevel="0" collapsed="false">
      <c r="F2897" s="41" t="str">
        <f aca="false">IF(D2897="","",IFERROR(IF(ISNUMBER(SEARCH(Assumptions!$C$5,D2897)),Assumptions!$D$5,IF(ISNUMBER(SEARCH(Assumptions!$C$6,D2897)),Assumptions!$D$6,IF(ISNUMBER(SEARCH(Assumptions!$C$7,D2897)),Assumptions!$D$7,"Other Services"))),"Other Services"))</f>
        <v/>
      </c>
    </row>
    <row r="2898" customFormat="false" ht="15" hidden="false" customHeight="false" outlineLevel="0" collapsed="false">
      <c r="F2898" s="41" t="str">
        <f aca="false">IF(D2898="","",IFERROR(IF(ISNUMBER(SEARCH(Assumptions!$C$5,D2898)),Assumptions!$D$5,IF(ISNUMBER(SEARCH(Assumptions!$C$6,D2898)),Assumptions!$D$6,IF(ISNUMBER(SEARCH(Assumptions!$C$7,D2898)),Assumptions!$D$7,"Other Services"))),"Other Services"))</f>
        <v/>
      </c>
    </row>
    <row r="2899" customFormat="false" ht="15" hidden="false" customHeight="false" outlineLevel="0" collapsed="false">
      <c r="F2899" s="41" t="str">
        <f aca="false">IF(D2899="","",IFERROR(IF(ISNUMBER(SEARCH(Assumptions!$C$5,D2899)),Assumptions!$D$5,IF(ISNUMBER(SEARCH(Assumptions!$C$6,D2899)),Assumptions!$D$6,IF(ISNUMBER(SEARCH(Assumptions!$C$7,D2899)),Assumptions!$D$7,"Other Services"))),"Other Services"))</f>
        <v/>
      </c>
    </row>
    <row r="2900" customFormat="false" ht="15" hidden="false" customHeight="false" outlineLevel="0" collapsed="false">
      <c r="F2900" s="41" t="str">
        <f aca="false">IF(D2900="","",IFERROR(IF(ISNUMBER(SEARCH(Assumptions!$C$5,D2900)),Assumptions!$D$5,IF(ISNUMBER(SEARCH(Assumptions!$C$6,D2900)),Assumptions!$D$6,IF(ISNUMBER(SEARCH(Assumptions!$C$7,D2900)),Assumptions!$D$7,"Other Services"))),"Other Services"))</f>
        <v/>
      </c>
    </row>
    <row r="2901" customFormat="false" ht="15" hidden="false" customHeight="false" outlineLevel="0" collapsed="false">
      <c r="F2901" s="41" t="str">
        <f aca="false">IF(D2901="","",IFERROR(IF(ISNUMBER(SEARCH(Assumptions!$C$5,D2901)),Assumptions!$D$5,IF(ISNUMBER(SEARCH(Assumptions!$C$6,D2901)),Assumptions!$D$6,IF(ISNUMBER(SEARCH(Assumptions!$C$7,D2901)),Assumptions!$D$7,"Other Services"))),"Other Services"))</f>
        <v/>
      </c>
    </row>
    <row r="2902" customFormat="false" ht="15" hidden="false" customHeight="false" outlineLevel="0" collapsed="false">
      <c r="F2902" s="41" t="str">
        <f aca="false">IF(D2902="","",IFERROR(IF(ISNUMBER(SEARCH(Assumptions!$C$5,D2902)),Assumptions!$D$5,IF(ISNUMBER(SEARCH(Assumptions!$C$6,D2902)),Assumptions!$D$6,IF(ISNUMBER(SEARCH(Assumptions!$C$7,D2902)),Assumptions!$D$7,"Other Services"))),"Other Services"))</f>
        <v/>
      </c>
    </row>
    <row r="2903" customFormat="false" ht="15" hidden="false" customHeight="false" outlineLevel="0" collapsed="false">
      <c r="F2903" s="41" t="str">
        <f aca="false">IF(D2903="","",IFERROR(IF(ISNUMBER(SEARCH(Assumptions!$C$5,D2903)),Assumptions!$D$5,IF(ISNUMBER(SEARCH(Assumptions!$C$6,D2903)),Assumptions!$D$6,IF(ISNUMBER(SEARCH(Assumptions!$C$7,D2903)),Assumptions!$D$7,"Other Services"))),"Other Services"))</f>
        <v/>
      </c>
    </row>
    <row r="2904" customFormat="false" ht="15" hidden="false" customHeight="false" outlineLevel="0" collapsed="false">
      <c r="F2904" s="41" t="str">
        <f aca="false">IF(D2904="","",IFERROR(IF(ISNUMBER(SEARCH(Assumptions!$C$5,D2904)),Assumptions!$D$5,IF(ISNUMBER(SEARCH(Assumptions!$C$6,D2904)),Assumptions!$D$6,IF(ISNUMBER(SEARCH(Assumptions!$C$7,D2904)),Assumptions!$D$7,"Other Services"))),"Other Services"))</f>
        <v/>
      </c>
    </row>
    <row r="2905" customFormat="false" ht="15" hidden="false" customHeight="false" outlineLevel="0" collapsed="false">
      <c r="F2905" s="41" t="str">
        <f aca="false">IF(D2905="","",IFERROR(IF(ISNUMBER(SEARCH(Assumptions!$C$5,D2905)),Assumptions!$D$5,IF(ISNUMBER(SEARCH(Assumptions!$C$6,D2905)),Assumptions!$D$6,IF(ISNUMBER(SEARCH(Assumptions!$C$7,D2905)),Assumptions!$D$7,"Other Services"))),"Other Services"))</f>
        <v/>
      </c>
    </row>
    <row r="2906" customFormat="false" ht="15" hidden="false" customHeight="false" outlineLevel="0" collapsed="false">
      <c r="F2906" s="41" t="str">
        <f aca="false">IF(D2906="","",IFERROR(IF(ISNUMBER(SEARCH(Assumptions!$C$5,D2906)),Assumptions!$D$5,IF(ISNUMBER(SEARCH(Assumptions!$C$6,D2906)),Assumptions!$D$6,IF(ISNUMBER(SEARCH(Assumptions!$C$7,D2906)),Assumptions!$D$7,"Other Services"))),"Other Services"))</f>
        <v/>
      </c>
    </row>
    <row r="2907" customFormat="false" ht="15" hidden="false" customHeight="false" outlineLevel="0" collapsed="false">
      <c r="F2907" s="41" t="str">
        <f aca="false">IF(D2907="","",IFERROR(IF(ISNUMBER(SEARCH(Assumptions!$C$5,D2907)),Assumptions!$D$5,IF(ISNUMBER(SEARCH(Assumptions!$C$6,D2907)),Assumptions!$D$6,IF(ISNUMBER(SEARCH(Assumptions!$C$7,D2907)),Assumptions!$D$7,"Other Services"))),"Other Services"))</f>
        <v/>
      </c>
    </row>
    <row r="2908" customFormat="false" ht="15" hidden="false" customHeight="false" outlineLevel="0" collapsed="false">
      <c r="F2908" s="41" t="str">
        <f aca="false">IF(D2908="","",IFERROR(IF(ISNUMBER(SEARCH(Assumptions!$C$5,D2908)),Assumptions!$D$5,IF(ISNUMBER(SEARCH(Assumptions!$C$6,D2908)),Assumptions!$D$6,IF(ISNUMBER(SEARCH(Assumptions!$C$7,D2908)),Assumptions!$D$7,"Other Services"))),"Other Services"))</f>
        <v/>
      </c>
    </row>
    <row r="2909" customFormat="false" ht="15" hidden="false" customHeight="false" outlineLevel="0" collapsed="false">
      <c r="F2909" s="41" t="str">
        <f aca="false">IF(D2909="","",IFERROR(IF(ISNUMBER(SEARCH(Assumptions!$C$5,D2909)),Assumptions!$D$5,IF(ISNUMBER(SEARCH(Assumptions!$C$6,D2909)),Assumptions!$D$6,IF(ISNUMBER(SEARCH(Assumptions!$C$7,D2909)),Assumptions!$D$7,"Other Services"))),"Other Services"))</f>
        <v/>
      </c>
    </row>
    <row r="2910" customFormat="false" ht="15" hidden="false" customHeight="false" outlineLevel="0" collapsed="false">
      <c r="F2910" s="41" t="str">
        <f aca="false">IF(D2910="","",IFERROR(IF(ISNUMBER(SEARCH(Assumptions!$C$5,D2910)),Assumptions!$D$5,IF(ISNUMBER(SEARCH(Assumptions!$C$6,D2910)),Assumptions!$D$6,IF(ISNUMBER(SEARCH(Assumptions!$C$7,D2910)),Assumptions!$D$7,"Other Services"))),"Other Services"))</f>
        <v/>
      </c>
    </row>
    <row r="2911" customFormat="false" ht="15" hidden="false" customHeight="false" outlineLevel="0" collapsed="false">
      <c r="F2911" s="41" t="str">
        <f aca="false">IF(D2911="","",IFERROR(IF(ISNUMBER(SEARCH(Assumptions!$C$5,D2911)),Assumptions!$D$5,IF(ISNUMBER(SEARCH(Assumptions!$C$6,D2911)),Assumptions!$D$6,IF(ISNUMBER(SEARCH(Assumptions!$C$7,D2911)),Assumptions!$D$7,"Other Services"))),"Other Services"))</f>
        <v/>
      </c>
    </row>
    <row r="2912" customFormat="false" ht="15" hidden="false" customHeight="false" outlineLevel="0" collapsed="false">
      <c r="F2912" s="41" t="str">
        <f aca="false">IF(D2912="","",IFERROR(IF(ISNUMBER(SEARCH(Assumptions!$C$5,D2912)),Assumptions!$D$5,IF(ISNUMBER(SEARCH(Assumptions!$C$6,D2912)),Assumptions!$D$6,IF(ISNUMBER(SEARCH(Assumptions!$C$7,D2912)),Assumptions!$D$7,"Other Services"))),"Other Services"))</f>
        <v/>
      </c>
    </row>
    <row r="2913" customFormat="false" ht="15" hidden="false" customHeight="false" outlineLevel="0" collapsed="false">
      <c r="F2913" s="41" t="str">
        <f aca="false">IF(D2913="","",IFERROR(IF(ISNUMBER(SEARCH(Assumptions!$C$5,D2913)),Assumptions!$D$5,IF(ISNUMBER(SEARCH(Assumptions!$C$6,D2913)),Assumptions!$D$6,IF(ISNUMBER(SEARCH(Assumptions!$C$7,D2913)),Assumptions!$D$7,"Other Services"))),"Other Services"))</f>
        <v/>
      </c>
    </row>
    <row r="2914" customFormat="false" ht="15" hidden="false" customHeight="false" outlineLevel="0" collapsed="false">
      <c r="F2914" s="41" t="str">
        <f aca="false">IF(D2914="","",IFERROR(IF(ISNUMBER(SEARCH(Assumptions!$C$5,D2914)),Assumptions!$D$5,IF(ISNUMBER(SEARCH(Assumptions!$C$6,D2914)),Assumptions!$D$6,IF(ISNUMBER(SEARCH(Assumptions!$C$7,D2914)),Assumptions!$D$7,"Other Services"))),"Other Services"))</f>
        <v/>
      </c>
    </row>
    <row r="2915" customFormat="false" ht="15" hidden="false" customHeight="false" outlineLevel="0" collapsed="false">
      <c r="F2915" s="41" t="str">
        <f aca="false">IF(D2915="","",IFERROR(IF(ISNUMBER(SEARCH(Assumptions!$C$5,D2915)),Assumptions!$D$5,IF(ISNUMBER(SEARCH(Assumptions!$C$6,D2915)),Assumptions!$D$6,IF(ISNUMBER(SEARCH(Assumptions!$C$7,D2915)),Assumptions!$D$7,"Other Services"))),"Other Services"))</f>
        <v/>
      </c>
    </row>
    <row r="2916" customFormat="false" ht="15" hidden="false" customHeight="false" outlineLevel="0" collapsed="false">
      <c r="F2916" s="41" t="str">
        <f aca="false">IF(D2916="","",IFERROR(IF(ISNUMBER(SEARCH(Assumptions!$C$5,D2916)),Assumptions!$D$5,IF(ISNUMBER(SEARCH(Assumptions!$C$6,D2916)),Assumptions!$D$6,IF(ISNUMBER(SEARCH(Assumptions!$C$7,D2916)),Assumptions!$D$7,"Other Services"))),"Other Services"))</f>
        <v/>
      </c>
    </row>
    <row r="2917" customFormat="false" ht="15" hidden="false" customHeight="false" outlineLevel="0" collapsed="false">
      <c r="F2917" s="41" t="str">
        <f aca="false">IF(D2917="","",IFERROR(IF(ISNUMBER(SEARCH(Assumptions!$C$5,D2917)),Assumptions!$D$5,IF(ISNUMBER(SEARCH(Assumptions!$C$6,D2917)),Assumptions!$D$6,IF(ISNUMBER(SEARCH(Assumptions!$C$7,D2917)),Assumptions!$D$7,"Other Services"))),"Other Services"))</f>
        <v/>
      </c>
    </row>
    <row r="2918" customFormat="false" ht="15" hidden="false" customHeight="false" outlineLevel="0" collapsed="false">
      <c r="F2918" s="41" t="str">
        <f aca="false">IF(D2918="","",IFERROR(IF(ISNUMBER(SEARCH(Assumptions!$C$5,D2918)),Assumptions!$D$5,IF(ISNUMBER(SEARCH(Assumptions!$C$6,D2918)),Assumptions!$D$6,IF(ISNUMBER(SEARCH(Assumptions!$C$7,D2918)),Assumptions!$D$7,"Other Services"))),"Other Services"))</f>
        <v/>
      </c>
    </row>
    <row r="2919" customFormat="false" ht="15" hidden="false" customHeight="false" outlineLevel="0" collapsed="false">
      <c r="F2919" s="41" t="str">
        <f aca="false">IF(D2919="","",IFERROR(IF(ISNUMBER(SEARCH(Assumptions!$C$5,D2919)),Assumptions!$D$5,IF(ISNUMBER(SEARCH(Assumptions!$C$6,D2919)),Assumptions!$D$6,IF(ISNUMBER(SEARCH(Assumptions!$C$7,D2919)),Assumptions!$D$7,"Other Services"))),"Other Services"))</f>
        <v/>
      </c>
    </row>
    <row r="2920" customFormat="false" ht="15" hidden="false" customHeight="false" outlineLevel="0" collapsed="false">
      <c r="F2920" s="41" t="str">
        <f aca="false">IF(D2920="","",IFERROR(IF(ISNUMBER(SEARCH(Assumptions!$C$5,D2920)),Assumptions!$D$5,IF(ISNUMBER(SEARCH(Assumptions!$C$6,D2920)),Assumptions!$D$6,IF(ISNUMBER(SEARCH(Assumptions!$C$7,D2920)),Assumptions!$D$7,"Other Services"))),"Other Services"))</f>
        <v/>
      </c>
    </row>
    <row r="2921" customFormat="false" ht="15" hidden="false" customHeight="false" outlineLevel="0" collapsed="false">
      <c r="F2921" s="41" t="str">
        <f aca="false">IF(D2921="","",IFERROR(IF(ISNUMBER(SEARCH(Assumptions!$C$5,D2921)),Assumptions!$D$5,IF(ISNUMBER(SEARCH(Assumptions!$C$6,D2921)),Assumptions!$D$6,IF(ISNUMBER(SEARCH(Assumptions!$C$7,D2921)),Assumptions!$D$7,"Other Services"))),"Other Services"))</f>
        <v/>
      </c>
    </row>
    <row r="2922" customFormat="false" ht="15" hidden="false" customHeight="false" outlineLevel="0" collapsed="false">
      <c r="F2922" s="41" t="str">
        <f aca="false">IF(D2922="","",IFERROR(IF(ISNUMBER(SEARCH(Assumptions!$C$5,D2922)),Assumptions!$D$5,IF(ISNUMBER(SEARCH(Assumptions!$C$6,D2922)),Assumptions!$D$6,IF(ISNUMBER(SEARCH(Assumptions!$C$7,D2922)),Assumptions!$D$7,"Other Services"))),"Other Services"))</f>
        <v/>
      </c>
    </row>
    <row r="2923" customFormat="false" ht="15" hidden="false" customHeight="false" outlineLevel="0" collapsed="false">
      <c r="F2923" s="41" t="str">
        <f aca="false">IF(D2923="","",IFERROR(IF(ISNUMBER(SEARCH(Assumptions!$C$5,D2923)),Assumptions!$D$5,IF(ISNUMBER(SEARCH(Assumptions!$C$6,D2923)),Assumptions!$D$6,IF(ISNUMBER(SEARCH(Assumptions!$C$7,D2923)),Assumptions!$D$7,"Other Services"))),"Other Services"))</f>
        <v/>
      </c>
    </row>
    <row r="2924" customFormat="false" ht="15" hidden="false" customHeight="false" outlineLevel="0" collapsed="false">
      <c r="F2924" s="41" t="str">
        <f aca="false">IF(D2924="","",IFERROR(IF(ISNUMBER(SEARCH(Assumptions!$C$5,D2924)),Assumptions!$D$5,IF(ISNUMBER(SEARCH(Assumptions!$C$6,D2924)),Assumptions!$D$6,IF(ISNUMBER(SEARCH(Assumptions!$C$7,D2924)),Assumptions!$D$7,"Other Services"))),"Other Services"))</f>
        <v/>
      </c>
    </row>
    <row r="2925" customFormat="false" ht="15" hidden="false" customHeight="false" outlineLevel="0" collapsed="false">
      <c r="F2925" s="41" t="str">
        <f aca="false">IF(D2925="","",IFERROR(IF(ISNUMBER(SEARCH(Assumptions!$C$5,D2925)),Assumptions!$D$5,IF(ISNUMBER(SEARCH(Assumptions!$C$6,D2925)),Assumptions!$D$6,IF(ISNUMBER(SEARCH(Assumptions!$C$7,D2925)),Assumptions!$D$7,"Other Services"))),"Other Services"))</f>
        <v/>
      </c>
    </row>
    <row r="2926" customFormat="false" ht="15" hidden="false" customHeight="false" outlineLevel="0" collapsed="false">
      <c r="F2926" s="41" t="str">
        <f aca="false">IF(D2926="","",IFERROR(IF(ISNUMBER(SEARCH(Assumptions!$C$5,D2926)),Assumptions!$D$5,IF(ISNUMBER(SEARCH(Assumptions!$C$6,D2926)),Assumptions!$D$6,IF(ISNUMBER(SEARCH(Assumptions!$C$7,D2926)),Assumptions!$D$7,"Other Services"))),"Other Services"))</f>
        <v/>
      </c>
    </row>
    <row r="2927" customFormat="false" ht="15" hidden="false" customHeight="false" outlineLevel="0" collapsed="false">
      <c r="F2927" s="41" t="str">
        <f aca="false">IF(D2927="","",IFERROR(IF(ISNUMBER(SEARCH(Assumptions!$C$5,D2927)),Assumptions!$D$5,IF(ISNUMBER(SEARCH(Assumptions!$C$6,D2927)),Assumptions!$D$6,IF(ISNUMBER(SEARCH(Assumptions!$C$7,D2927)),Assumptions!$D$7,"Other Services"))),"Other Services"))</f>
        <v/>
      </c>
    </row>
    <row r="2928" customFormat="false" ht="15" hidden="false" customHeight="false" outlineLevel="0" collapsed="false">
      <c r="F2928" s="41" t="str">
        <f aca="false">IF(D2928="","",IFERROR(IF(ISNUMBER(SEARCH(Assumptions!$C$5,D2928)),Assumptions!$D$5,IF(ISNUMBER(SEARCH(Assumptions!$C$6,D2928)),Assumptions!$D$6,IF(ISNUMBER(SEARCH(Assumptions!$C$7,D2928)),Assumptions!$D$7,"Other Services"))),"Other Services"))</f>
        <v/>
      </c>
    </row>
    <row r="2929" customFormat="false" ht="15" hidden="false" customHeight="false" outlineLevel="0" collapsed="false">
      <c r="F2929" s="41" t="str">
        <f aca="false">IF(D2929="","",IFERROR(IF(ISNUMBER(SEARCH(Assumptions!$C$5,D2929)),Assumptions!$D$5,IF(ISNUMBER(SEARCH(Assumptions!$C$6,D2929)),Assumptions!$D$6,IF(ISNUMBER(SEARCH(Assumptions!$C$7,D2929)),Assumptions!$D$7,"Other Services"))),"Other Services"))</f>
        <v/>
      </c>
    </row>
    <row r="2930" customFormat="false" ht="15" hidden="false" customHeight="false" outlineLevel="0" collapsed="false">
      <c r="F2930" s="41" t="str">
        <f aca="false">IF(D2930="","",IFERROR(IF(ISNUMBER(SEARCH(Assumptions!$C$5,D2930)),Assumptions!$D$5,IF(ISNUMBER(SEARCH(Assumptions!$C$6,D2930)),Assumptions!$D$6,IF(ISNUMBER(SEARCH(Assumptions!$C$7,D2930)),Assumptions!$D$7,"Other Services"))),"Other Services"))</f>
        <v/>
      </c>
    </row>
    <row r="2931" customFormat="false" ht="15" hidden="false" customHeight="false" outlineLevel="0" collapsed="false">
      <c r="F2931" s="41" t="str">
        <f aca="false">IF(D2931="","",IFERROR(IF(ISNUMBER(SEARCH(Assumptions!$C$5,D2931)),Assumptions!$D$5,IF(ISNUMBER(SEARCH(Assumptions!$C$6,D2931)),Assumptions!$D$6,IF(ISNUMBER(SEARCH(Assumptions!$C$7,D2931)),Assumptions!$D$7,"Other Services"))),"Other Services"))</f>
        <v/>
      </c>
    </row>
    <row r="2932" customFormat="false" ht="15" hidden="false" customHeight="false" outlineLevel="0" collapsed="false">
      <c r="F2932" s="41" t="str">
        <f aca="false">IF(D2932="","",IFERROR(IF(ISNUMBER(SEARCH(Assumptions!$C$5,D2932)),Assumptions!$D$5,IF(ISNUMBER(SEARCH(Assumptions!$C$6,D2932)),Assumptions!$D$6,IF(ISNUMBER(SEARCH(Assumptions!$C$7,D2932)),Assumptions!$D$7,"Other Services"))),"Other Services"))</f>
        <v/>
      </c>
    </row>
    <row r="2933" customFormat="false" ht="15" hidden="false" customHeight="false" outlineLevel="0" collapsed="false">
      <c r="F2933" s="41" t="str">
        <f aca="false">IF(D2933="","",IFERROR(IF(ISNUMBER(SEARCH(Assumptions!$C$5,D2933)),Assumptions!$D$5,IF(ISNUMBER(SEARCH(Assumptions!$C$6,D2933)),Assumptions!$D$6,IF(ISNUMBER(SEARCH(Assumptions!$C$7,D2933)),Assumptions!$D$7,"Other Services"))),"Other Services"))</f>
        <v/>
      </c>
    </row>
    <row r="2934" customFormat="false" ht="15" hidden="false" customHeight="false" outlineLevel="0" collapsed="false">
      <c r="F2934" s="41" t="str">
        <f aca="false">IF(D2934="","",IFERROR(IF(ISNUMBER(SEARCH(Assumptions!$C$5,D2934)),Assumptions!$D$5,IF(ISNUMBER(SEARCH(Assumptions!$C$6,D2934)),Assumptions!$D$6,IF(ISNUMBER(SEARCH(Assumptions!$C$7,D2934)),Assumptions!$D$7,"Other Services"))),"Other Services"))</f>
        <v/>
      </c>
    </row>
    <row r="2935" customFormat="false" ht="15" hidden="false" customHeight="false" outlineLevel="0" collapsed="false">
      <c r="F2935" s="41" t="str">
        <f aca="false">IF(D2935="","",IFERROR(IF(ISNUMBER(SEARCH(Assumptions!$C$5,D2935)),Assumptions!$D$5,IF(ISNUMBER(SEARCH(Assumptions!$C$6,D2935)),Assumptions!$D$6,IF(ISNUMBER(SEARCH(Assumptions!$C$7,D2935)),Assumptions!$D$7,"Other Services"))),"Other Services"))</f>
        <v/>
      </c>
    </row>
    <row r="2936" customFormat="false" ht="15" hidden="false" customHeight="false" outlineLevel="0" collapsed="false">
      <c r="F2936" s="41" t="str">
        <f aca="false">IF(D2936="","",IFERROR(IF(ISNUMBER(SEARCH(Assumptions!$C$5,D2936)),Assumptions!$D$5,IF(ISNUMBER(SEARCH(Assumptions!$C$6,D2936)),Assumptions!$D$6,IF(ISNUMBER(SEARCH(Assumptions!$C$7,D2936)),Assumptions!$D$7,"Other Services"))),"Other Services"))</f>
        <v/>
      </c>
    </row>
    <row r="2937" customFormat="false" ht="15" hidden="false" customHeight="false" outlineLevel="0" collapsed="false">
      <c r="F2937" s="41" t="str">
        <f aca="false">IF(D2937="","",IFERROR(IF(ISNUMBER(SEARCH(Assumptions!$C$5,D2937)),Assumptions!$D$5,IF(ISNUMBER(SEARCH(Assumptions!$C$6,D2937)),Assumptions!$D$6,IF(ISNUMBER(SEARCH(Assumptions!$C$7,D2937)),Assumptions!$D$7,"Other Services"))),"Other Services"))</f>
        <v/>
      </c>
    </row>
    <row r="2938" customFormat="false" ht="15" hidden="false" customHeight="false" outlineLevel="0" collapsed="false">
      <c r="F2938" s="41" t="str">
        <f aca="false">IF(D2938="","",IFERROR(IF(ISNUMBER(SEARCH(Assumptions!$C$5,D2938)),Assumptions!$D$5,IF(ISNUMBER(SEARCH(Assumptions!$C$6,D2938)),Assumptions!$D$6,IF(ISNUMBER(SEARCH(Assumptions!$C$7,D2938)),Assumptions!$D$7,"Other Services"))),"Other Services"))</f>
        <v/>
      </c>
    </row>
    <row r="2939" customFormat="false" ht="15" hidden="false" customHeight="false" outlineLevel="0" collapsed="false">
      <c r="F2939" s="41" t="str">
        <f aca="false">IF(D2939="","",IFERROR(IF(ISNUMBER(SEARCH(Assumptions!$C$5,D2939)),Assumptions!$D$5,IF(ISNUMBER(SEARCH(Assumptions!$C$6,D2939)),Assumptions!$D$6,IF(ISNUMBER(SEARCH(Assumptions!$C$7,D2939)),Assumptions!$D$7,"Other Services"))),"Other Services"))</f>
        <v/>
      </c>
    </row>
    <row r="2940" customFormat="false" ht="15" hidden="false" customHeight="false" outlineLevel="0" collapsed="false">
      <c r="F2940" s="41" t="str">
        <f aca="false">IF(D2940="","",IFERROR(IF(ISNUMBER(SEARCH(Assumptions!$C$5,D2940)),Assumptions!$D$5,IF(ISNUMBER(SEARCH(Assumptions!$C$6,D2940)),Assumptions!$D$6,IF(ISNUMBER(SEARCH(Assumptions!$C$7,D2940)),Assumptions!$D$7,"Other Services"))),"Other Services"))</f>
        <v/>
      </c>
    </row>
    <row r="2941" customFormat="false" ht="15" hidden="false" customHeight="false" outlineLevel="0" collapsed="false">
      <c r="F2941" s="41" t="str">
        <f aca="false">IF(D2941="","",IFERROR(IF(ISNUMBER(SEARCH(Assumptions!$C$5,D2941)),Assumptions!$D$5,IF(ISNUMBER(SEARCH(Assumptions!$C$6,D2941)),Assumptions!$D$6,IF(ISNUMBER(SEARCH(Assumptions!$C$7,D2941)),Assumptions!$D$7,"Other Services"))),"Other Services"))</f>
        <v/>
      </c>
    </row>
    <row r="2942" customFormat="false" ht="15" hidden="false" customHeight="false" outlineLevel="0" collapsed="false">
      <c r="F2942" s="41" t="str">
        <f aca="false">IF(D2942="","",IFERROR(IF(ISNUMBER(SEARCH(Assumptions!$C$5,D2942)),Assumptions!$D$5,IF(ISNUMBER(SEARCH(Assumptions!$C$6,D2942)),Assumptions!$D$6,IF(ISNUMBER(SEARCH(Assumptions!$C$7,D2942)),Assumptions!$D$7,"Other Services"))),"Other Services"))</f>
        <v/>
      </c>
    </row>
    <row r="2943" customFormat="false" ht="15" hidden="false" customHeight="false" outlineLevel="0" collapsed="false">
      <c r="F2943" s="41" t="str">
        <f aca="false">IF(D2943="","",IFERROR(IF(ISNUMBER(SEARCH(Assumptions!$C$5,D2943)),Assumptions!$D$5,IF(ISNUMBER(SEARCH(Assumptions!$C$6,D2943)),Assumptions!$D$6,IF(ISNUMBER(SEARCH(Assumptions!$C$7,D2943)),Assumptions!$D$7,"Other Services"))),"Other Services"))</f>
        <v/>
      </c>
    </row>
    <row r="2944" customFormat="false" ht="15" hidden="false" customHeight="false" outlineLevel="0" collapsed="false">
      <c r="F2944" s="41" t="str">
        <f aca="false">IF(D2944="","",IFERROR(IF(ISNUMBER(SEARCH(Assumptions!$C$5,D2944)),Assumptions!$D$5,IF(ISNUMBER(SEARCH(Assumptions!$C$6,D2944)),Assumptions!$D$6,IF(ISNUMBER(SEARCH(Assumptions!$C$7,D2944)),Assumptions!$D$7,"Other Services"))),"Other Services"))</f>
        <v/>
      </c>
    </row>
    <row r="2945" customFormat="false" ht="15" hidden="false" customHeight="false" outlineLevel="0" collapsed="false">
      <c r="F2945" s="41" t="str">
        <f aca="false">IF(D2945="","",IFERROR(IF(ISNUMBER(SEARCH(Assumptions!$C$5,D2945)),Assumptions!$D$5,IF(ISNUMBER(SEARCH(Assumptions!$C$6,D2945)),Assumptions!$D$6,IF(ISNUMBER(SEARCH(Assumptions!$C$7,D2945)),Assumptions!$D$7,"Other Services"))),"Other Services"))</f>
        <v/>
      </c>
    </row>
    <row r="2946" customFormat="false" ht="15" hidden="false" customHeight="false" outlineLevel="0" collapsed="false">
      <c r="F2946" s="41" t="str">
        <f aca="false">IF(D2946="","",IFERROR(IF(ISNUMBER(SEARCH(Assumptions!$C$5,D2946)),Assumptions!$D$5,IF(ISNUMBER(SEARCH(Assumptions!$C$6,D2946)),Assumptions!$D$6,IF(ISNUMBER(SEARCH(Assumptions!$C$7,D2946)),Assumptions!$D$7,"Other Services"))),"Other Services"))</f>
        <v/>
      </c>
    </row>
    <row r="2947" customFormat="false" ht="15" hidden="false" customHeight="false" outlineLevel="0" collapsed="false">
      <c r="F2947" s="41" t="str">
        <f aca="false">IF(D2947="","",IFERROR(IF(ISNUMBER(SEARCH(Assumptions!$C$5,D2947)),Assumptions!$D$5,IF(ISNUMBER(SEARCH(Assumptions!$C$6,D2947)),Assumptions!$D$6,IF(ISNUMBER(SEARCH(Assumptions!$C$7,D2947)),Assumptions!$D$7,"Other Services"))),"Other Services"))</f>
        <v/>
      </c>
    </row>
    <row r="2948" customFormat="false" ht="15" hidden="false" customHeight="false" outlineLevel="0" collapsed="false">
      <c r="F2948" s="41" t="str">
        <f aca="false">IF(D2948="","",IFERROR(IF(ISNUMBER(SEARCH(Assumptions!$C$5,D2948)),Assumptions!$D$5,IF(ISNUMBER(SEARCH(Assumptions!$C$6,D2948)),Assumptions!$D$6,IF(ISNUMBER(SEARCH(Assumptions!$C$7,D2948)),Assumptions!$D$7,"Other Services"))),"Other Services"))</f>
        <v/>
      </c>
    </row>
    <row r="2949" customFormat="false" ht="15" hidden="false" customHeight="false" outlineLevel="0" collapsed="false">
      <c r="F2949" s="41" t="str">
        <f aca="false">IF(D2949="","",IFERROR(IF(ISNUMBER(SEARCH(Assumptions!$C$5,D2949)),Assumptions!$D$5,IF(ISNUMBER(SEARCH(Assumptions!$C$6,D2949)),Assumptions!$D$6,IF(ISNUMBER(SEARCH(Assumptions!$C$7,D2949)),Assumptions!$D$7,"Other Services"))),"Other Services"))</f>
        <v/>
      </c>
    </row>
    <row r="2950" customFormat="false" ht="15" hidden="false" customHeight="false" outlineLevel="0" collapsed="false">
      <c r="F2950" s="41" t="str">
        <f aca="false">IF(D2950="","",IFERROR(IF(ISNUMBER(SEARCH(Assumptions!$C$5,D2950)),Assumptions!$D$5,IF(ISNUMBER(SEARCH(Assumptions!$C$6,D2950)),Assumptions!$D$6,IF(ISNUMBER(SEARCH(Assumptions!$C$7,D2950)),Assumptions!$D$7,"Other Services"))),"Other Services"))</f>
        <v/>
      </c>
    </row>
    <row r="2951" customFormat="false" ht="15" hidden="false" customHeight="false" outlineLevel="0" collapsed="false">
      <c r="F2951" s="41" t="str">
        <f aca="false">IF(D2951="","",IFERROR(IF(ISNUMBER(SEARCH(Assumptions!$C$5,D2951)),Assumptions!$D$5,IF(ISNUMBER(SEARCH(Assumptions!$C$6,D2951)),Assumptions!$D$6,IF(ISNUMBER(SEARCH(Assumptions!$C$7,D2951)),Assumptions!$D$7,"Other Services"))),"Other Services"))</f>
        <v/>
      </c>
    </row>
    <row r="2952" customFormat="false" ht="15" hidden="false" customHeight="false" outlineLevel="0" collapsed="false">
      <c r="F2952" s="41" t="str">
        <f aca="false">IF(D2952="","",IFERROR(IF(ISNUMBER(SEARCH(Assumptions!$C$5,D2952)),Assumptions!$D$5,IF(ISNUMBER(SEARCH(Assumptions!$C$6,D2952)),Assumptions!$D$6,IF(ISNUMBER(SEARCH(Assumptions!$C$7,D2952)),Assumptions!$D$7,"Other Services"))),"Other Services"))</f>
        <v/>
      </c>
    </row>
    <row r="2953" customFormat="false" ht="15" hidden="false" customHeight="false" outlineLevel="0" collapsed="false">
      <c r="F2953" s="41" t="str">
        <f aca="false">IF(D2953="","",IFERROR(IF(ISNUMBER(SEARCH(Assumptions!$C$5,D2953)),Assumptions!$D$5,IF(ISNUMBER(SEARCH(Assumptions!$C$6,D2953)),Assumptions!$D$6,IF(ISNUMBER(SEARCH(Assumptions!$C$7,D2953)),Assumptions!$D$7,"Other Services"))),"Other Services"))</f>
        <v/>
      </c>
    </row>
    <row r="2954" customFormat="false" ht="15" hidden="false" customHeight="false" outlineLevel="0" collapsed="false">
      <c r="F2954" s="41" t="str">
        <f aca="false">IF(D2954="","",IFERROR(IF(ISNUMBER(SEARCH(Assumptions!$C$5,D2954)),Assumptions!$D$5,IF(ISNUMBER(SEARCH(Assumptions!$C$6,D2954)),Assumptions!$D$6,IF(ISNUMBER(SEARCH(Assumptions!$C$7,D2954)),Assumptions!$D$7,"Other Services"))),"Other Services"))</f>
        <v/>
      </c>
    </row>
    <row r="2955" customFormat="false" ht="15" hidden="false" customHeight="false" outlineLevel="0" collapsed="false">
      <c r="F2955" s="41" t="str">
        <f aca="false">IF(D2955="","",IFERROR(IF(ISNUMBER(SEARCH(Assumptions!$C$5,D2955)),Assumptions!$D$5,IF(ISNUMBER(SEARCH(Assumptions!$C$6,D2955)),Assumptions!$D$6,IF(ISNUMBER(SEARCH(Assumptions!$C$7,D2955)),Assumptions!$D$7,"Other Services"))),"Other Services"))</f>
        <v/>
      </c>
    </row>
    <row r="2956" customFormat="false" ht="15" hidden="false" customHeight="false" outlineLevel="0" collapsed="false">
      <c r="F2956" s="41" t="str">
        <f aca="false">IF(D2956="","",IFERROR(IF(ISNUMBER(SEARCH(Assumptions!$C$5,D2956)),Assumptions!$D$5,IF(ISNUMBER(SEARCH(Assumptions!$C$6,D2956)),Assumptions!$D$6,IF(ISNUMBER(SEARCH(Assumptions!$C$7,D2956)),Assumptions!$D$7,"Other Services"))),"Other Services"))</f>
        <v/>
      </c>
    </row>
    <row r="2957" customFormat="false" ht="15" hidden="false" customHeight="false" outlineLevel="0" collapsed="false">
      <c r="F2957" s="41" t="str">
        <f aca="false">IF(D2957="","",IFERROR(IF(ISNUMBER(SEARCH(Assumptions!$C$5,D2957)),Assumptions!$D$5,IF(ISNUMBER(SEARCH(Assumptions!$C$6,D2957)),Assumptions!$D$6,IF(ISNUMBER(SEARCH(Assumptions!$C$7,D2957)),Assumptions!$D$7,"Other Services"))),"Other Services"))</f>
        <v/>
      </c>
    </row>
    <row r="2958" customFormat="false" ht="15" hidden="false" customHeight="false" outlineLevel="0" collapsed="false">
      <c r="F2958" s="41" t="str">
        <f aca="false">IF(D2958="","",IFERROR(IF(ISNUMBER(SEARCH(Assumptions!$C$5,D2958)),Assumptions!$D$5,IF(ISNUMBER(SEARCH(Assumptions!$C$6,D2958)),Assumptions!$D$6,IF(ISNUMBER(SEARCH(Assumptions!$C$7,D2958)),Assumptions!$D$7,"Other Services"))),"Other Services"))</f>
        <v/>
      </c>
    </row>
    <row r="2959" customFormat="false" ht="15" hidden="false" customHeight="false" outlineLevel="0" collapsed="false">
      <c r="F2959" s="41" t="str">
        <f aca="false">IF(D2959="","",IFERROR(IF(ISNUMBER(SEARCH(Assumptions!$C$5,D2959)),Assumptions!$D$5,IF(ISNUMBER(SEARCH(Assumptions!$C$6,D2959)),Assumptions!$D$6,IF(ISNUMBER(SEARCH(Assumptions!$C$7,D2959)),Assumptions!$D$7,"Other Services"))),"Other Services"))</f>
        <v/>
      </c>
    </row>
    <row r="2960" customFormat="false" ht="15" hidden="false" customHeight="false" outlineLevel="0" collapsed="false">
      <c r="F2960" s="41" t="str">
        <f aca="false">IF(D2960="","",IFERROR(IF(ISNUMBER(SEARCH(Assumptions!$C$5,D2960)),Assumptions!$D$5,IF(ISNUMBER(SEARCH(Assumptions!$C$6,D2960)),Assumptions!$D$6,IF(ISNUMBER(SEARCH(Assumptions!$C$7,D2960)),Assumptions!$D$7,"Other Services"))),"Other Services"))</f>
        <v/>
      </c>
    </row>
    <row r="2961" customFormat="false" ht="15" hidden="false" customHeight="false" outlineLevel="0" collapsed="false">
      <c r="F2961" s="41" t="str">
        <f aca="false">IF(D2961="","",IFERROR(IF(ISNUMBER(SEARCH(Assumptions!$C$5,D2961)),Assumptions!$D$5,IF(ISNUMBER(SEARCH(Assumptions!$C$6,D2961)),Assumptions!$D$6,IF(ISNUMBER(SEARCH(Assumptions!$C$7,D2961)),Assumptions!$D$7,"Other Services"))),"Other Services"))</f>
        <v/>
      </c>
    </row>
    <row r="2962" customFormat="false" ht="15" hidden="false" customHeight="false" outlineLevel="0" collapsed="false">
      <c r="F2962" s="41" t="str">
        <f aca="false">IF(D2962="","",IFERROR(IF(ISNUMBER(SEARCH(Assumptions!$C$5,D2962)),Assumptions!$D$5,IF(ISNUMBER(SEARCH(Assumptions!$C$6,D2962)),Assumptions!$D$6,IF(ISNUMBER(SEARCH(Assumptions!$C$7,D2962)),Assumptions!$D$7,"Other Services"))),"Other Services"))</f>
        <v/>
      </c>
    </row>
    <row r="2963" customFormat="false" ht="15" hidden="false" customHeight="false" outlineLevel="0" collapsed="false">
      <c r="F2963" s="41" t="str">
        <f aca="false">IF(D2963="","",IFERROR(IF(ISNUMBER(SEARCH(Assumptions!$C$5,D2963)),Assumptions!$D$5,IF(ISNUMBER(SEARCH(Assumptions!$C$6,D2963)),Assumptions!$D$6,IF(ISNUMBER(SEARCH(Assumptions!$C$7,D2963)),Assumptions!$D$7,"Other Services"))),"Other Services"))</f>
        <v/>
      </c>
    </row>
    <row r="2964" customFormat="false" ht="15" hidden="false" customHeight="false" outlineLevel="0" collapsed="false">
      <c r="F2964" s="41" t="str">
        <f aca="false">IF(D2964="","",IFERROR(IF(ISNUMBER(SEARCH(Assumptions!$C$5,D2964)),Assumptions!$D$5,IF(ISNUMBER(SEARCH(Assumptions!$C$6,D2964)),Assumptions!$D$6,IF(ISNUMBER(SEARCH(Assumptions!$C$7,D2964)),Assumptions!$D$7,"Other Services"))),"Other Services"))</f>
        <v/>
      </c>
    </row>
    <row r="2965" customFormat="false" ht="15" hidden="false" customHeight="false" outlineLevel="0" collapsed="false">
      <c r="F2965" s="41" t="str">
        <f aca="false">IF(D2965="","",IFERROR(IF(ISNUMBER(SEARCH(Assumptions!$C$5,D2965)),Assumptions!$D$5,IF(ISNUMBER(SEARCH(Assumptions!$C$6,D2965)),Assumptions!$D$6,IF(ISNUMBER(SEARCH(Assumptions!$C$7,D2965)),Assumptions!$D$7,"Other Services"))),"Other Services"))</f>
        <v/>
      </c>
    </row>
    <row r="2966" customFormat="false" ht="15" hidden="false" customHeight="false" outlineLevel="0" collapsed="false">
      <c r="F2966" s="41" t="str">
        <f aca="false">IF(D2966="","",IFERROR(IF(ISNUMBER(SEARCH(Assumptions!$C$5,D2966)),Assumptions!$D$5,IF(ISNUMBER(SEARCH(Assumptions!$C$6,D2966)),Assumptions!$D$6,IF(ISNUMBER(SEARCH(Assumptions!$C$7,D2966)),Assumptions!$D$7,"Other Services"))),"Other Services"))</f>
        <v/>
      </c>
    </row>
    <row r="2967" customFormat="false" ht="15" hidden="false" customHeight="false" outlineLevel="0" collapsed="false">
      <c r="F2967" s="41" t="str">
        <f aca="false">IF(D2967="","",IFERROR(IF(ISNUMBER(SEARCH(Assumptions!$C$5,D2967)),Assumptions!$D$5,IF(ISNUMBER(SEARCH(Assumptions!$C$6,D2967)),Assumptions!$D$6,IF(ISNUMBER(SEARCH(Assumptions!$C$7,D2967)),Assumptions!$D$7,"Other Services"))),"Other Services"))</f>
        <v/>
      </c>
    </row>
    <row r="2968" customFormat="false" ht="15" hidden="false" customHeight="false" outlineLevel="0" collapsed="false">
      <c r="F2968" s="41" t="str">
        <f aca="false">IF(D2968="","",IFERROR(IF(ISNUMBER(SEARCH(Assumptions!$C$5,D2968)),Assumptions!$D$5,IF(ISNUMBER(SEARCH(Assumptions!$C$6,D2968)),Assumptions!$D$6,IF(ISNUMBER(SEARCH(Assumptions!$C$7,D2968)),Assumptions!$D$7,"Other Services"))),"Other Services"))</f>
        <v/>
      </c>
    </row>
    <row r="2969" customFormat="false" ht="15" hidden="false" customHeight="false" outlineLevel="0" collapsed="false">
      <c r="F2969" s="41" t="str">
        <f aca="false">IF(D2969="","",IFERROR(IF(ISNUMBER(SEARCH(Assumptions!$C$5,D2969)),Assumptions!$D$5,IF(ISNUMBER(SEARCH(Assumptions!$C$6,D2969)),Assumptions!$D$6,IF(ISNUMBER(SEARCH(Assumptions!$C$7,D2969)),Assumptions!$D$7,"Other Services"))),"Other Services"))</f>
        <v/>
      </c>
    </row>
    <row r="2970" customFormat="false" ht="15" hidden="false" customHeight="false" outlineLevel="0" collapsed="false">
      <c r="F2970" s="41" t="str">
        <f aca="false">IF(D2970="","",IFERROR(IF(ISNUMBER(SEARCH(Assumptions!$C$5,D2970)),Assumptions!$D$5,IF(ISNUMBER(SEARCH(Assumptions!$C$6,D2970)),Assumptions!$D$6,IF(ISNUMBER(SEARCH(Assumptions!$C$7,D2970)),Assumptions!$D$7,"Other Services"))),"Other Services"))</f>
        <v/>
      </c>
    </row>
    <row r="2971" customFormat="false" ht="15" hidden="false" customHeight="false" outlineLevel="0" collapsed="false">
      <c r="F2971" s="41" t="str">
        <f aca="false">IF(D2971="","",IFERROR(IF(ISNUMBER(SEARCH(Assumptions!$C$5,D2971)),Assumptions!$D$5,IF(ISNUMBER(SEARCH(Assumptions!$C$6,D2971)),Assumptions!$D$6,IF(ISNUMBER(SEARCH(Assumptions!$C$7,D2971)),Assumptions!$D$7,"Other Services"))),"Other Services"))</f>
        <v/>
      </c>
    </row>
    <row r="2972" customFormat="false" ht="15" hidden="false" customHeight="false" outlineLevel="0" collapsed="false">
      <c r="F2972" s="41" t="str">
        <f aca="false">IF(D2972="","",IFERROR(IF(ISNUMBER(SEARCH(Assumptions!$C$5,D2972)),Assumptions!$D$5,IF(ISNUMBER(SEARCH(Assumptions!$C$6,D2972)),Assumptions!$D$6,IF(ISNUMBER(SEARCH(Assumptions!$C$7,D2972)),Assumptions!$D$7,"Other Services"))),"Other Services"))</f>
        <v/>
      </c>
    </row>
    <row r="2973" customFormat="false" ht="15" hidden="false" customHeight="false" outlineLevel="0" collapsed="false">
      <c r="F2973" s="41" t="str">
        <f aca="false">IF(D2973="","",IFERROR(IF(ISNUMBER(SEARCH(Assumptions!$C$5,D2973)),Assumptions!$D$5,IF(ISNUMBER(SEARCH(Assumptions!$C$6,D2973)),Assumptions!$D$6,IF(ISNUMBER(SEARCH(Assumptions!$C$7,D2973)),Assumptions!$D$7,"Other Services"))),"Other Services"))</f>
        <v/>
      </c>
    </row>
    <row r="2974" customFormat="false" ht="15" hidden="false" customHeight="false" outlineLevel="0" collapsed="false">
      <c r="F2974" s="41" t="str">
        <f aca="false">IF(D2974="","",IFERROR(IF(ISNUMBER(SEARCH(Assumptions!$C$5,D2974)),Assumptions!$D$5,IF(ISNUMBER(SEARCH(Assumptions!$C$6,D2974)),Assumptions!$D$6,IF(ISNUMBER(SEARCH(Assumptions!$C$7,D2974)),Assumptions!$D$7,"Other Services"))),"Other Services"))</f>
        <v/>
      </c>
    </row>
    <row r="2975" customFormat="false" ht="15" hidden="false" customHeight="false" outlineLevel="0" collapsed="false">
      <c r="F2975" s="41" t="str">
        <f aca="false">IF(D2975="","",IFERROR(IF(ISNUMBER(SEARCH(Assumptions!$C$5,D2975)),Assumptions!$D$5,IF(ISNUMBER(SEARCH(Assumptions!$C$6,D2975)),Assumptions!$D$6,IF(ISNUMBER(SEARCH(Assumptions!$C$7,D2975)),Assumptions!$D$7,"Other Services"))),"Other Services"))</f>
        <v/>
      </c>
    </row>
    <row r="2976" customFormat="false" ht="15" hidden="false" customHeight="false" outlineLevel="0" collapsed="false">
      <c r="F2976" s="41" t="str">
        <f aca="false">IF(D2976="","",IFERROR(IF(ISNUMBER(SEARCH(Assumptions!$C$5,D2976)),Assumptions!$D$5,IF(ISNUMBER(SEARCH(Assumptions!$C$6,D2976)),Assumptions!$D$6,IF(ISNUMBER(SEARCH(Assumptions!$C$7,D2976)),Assumptions!$D$7,"Other Services"))),"Other Services"))</f>
        <v/>
      </c>
    </row>
    <row r="2977" customFormat="false" ht="15" hidden="false" customHeight="false" outlineLevel="0" collapsed="false">
      <c r="F2977" s="41" t="str">
        <f aca="false">IF(D2977="","",IFERROR(IF(ISNUMBER(SEARCH(Assumptions!$C$5,D2977)),Assumptions!$D$5,IF(ISNUMBER(SEARCH(Assumptions!$C$6,D2977)),Assumptions!$D$6,IF(ISNUMBER(SEARCH(Assumptions!$C$7,D2977)),Assumptions!$D$7,"Other Services"))),"Other Services"))</f>
        <v/>
      </c>
    </row>
    <row r="2978" customFormat="false" ht="15" hidden="false" customHeight="false" outlineLevel="0" collapsed="false">
      <c r="F2978" s="41" t="str">
        <f aca="false">IF(D2978="","",IFERROR(IF(ISNUMBER(SEARCH(Assumptions!$C$5,D2978)),Assumptions!$D$5,IF(ISNUMBER(SEARCH(Assumptions!$C$6,D2978)),Assumptions!$D$6,IF(ISNUMBER(SEARCH(Assumptions!$C$7,D2978)),Assumptions!$D$7,"Other Services"))),"Other Services"))</f>
        <v/>
      </c>
    </row>
    <row r="2979" customFormat="false" ht="15" hidden="false" customHeight="false" outlineLevel="0" collapsed="false">
      <c r="F2979" s="41" t="str">
        <f aca="false">IF(D2979="","",IFERROR(IF(ISNUMBER(SEARCH(Assumptions!$C$5,D2979)),Assumptions!$D$5,IF(ISNUMBER(SEARCH(Assumptions!$C$6,D2979)),Assumptions!$D$6,IF(ISNUMBER(SEARCH(Assumptions!$C$7,D2979)),Assumptions!$D$7,"Other Services"))),"Other Services"))</f>
        <v/>
      </c>
    </row>
    <row r="2980" customFormat="false" ht="15" hidden="false" customHeight="false" outlineLevel="0" collapsed="false">
      <c r="F2980" s="41" t="str">
        <f aca="false">IF(D2980="","",IFERROR(IF(ISNUMBER(SEARCH(Assumptions!$C$5,D2980)),Assumptions!$D$5,IF(ISNUMBER(SEARCH(Assumptions!$C$6,D2980)),Assumptions!$D$6,IF(ISNUMBER(SEARCH(Assumptions!$C$7,D2980)),Assumptions!$D$7,"Other Services"))),"Other Services"))</f>
        <v/>
      </c>
    </row>
    <row r="2981" customFormat="false" ht="15" hidden="false" customHeight="false" outlineLevel="0" collapsed="false">
      <c r="F2981" s="41" t="str">
        <f aca="false">IF(D2981="","",IFERROR(IF(ISNUMBER(SEARCH(Assumptions!$C$5,D2981)),Assumptions!$D$5,IF(ISNUMBER(SEARCH(Assumptions!$C$6,D2981)),Assumptions!$D$6,IF(ISNUMBER(SEARCH(Assumptions!$C$7,D2981)),Assumptions!$D$7,"Other Services"))),"Other Services"))</f>
        <v/>
      </c>
    </row>
    <row r="2982" customFormat="false" ht="15" hidden="false" customHeight="false" outlineLevel="0" collapsed="false">
      <c r="F2982" s="41" t="str">
        <f aca="false">IF(D2982="","",IFERROR(IF(ISNUMBER(SEARCH(Assumptions!$C$5,D2982)),Assumptions!$D$5,IF(ISNUMBER(SEARCH(Assumptions!$C$6,D2982)),Assumptions!$D$6,IF(ISNUMBER(SEARCH(Assumptions!$C$7,D2982)),Assumptions!$D$7,"Other Services"))),"Other Services"))</f>
        <v/>
      </c>
    </row>
    <row r="2983" customFormat="false" ht="15" hidden="false" customHeight="false" outlineLevel="0" collapsed="false">
      <c r="F2983" s="41" t="str">
        <f aca="false">IF(D2983="","",IFERROR(IF(ISNUMBER(SEARCH(Assumptions!$C$5,D2983)),Assumptions!$D$5,IF(ISNUMBER(SEARCH(Assumptions!$C$6,D2983)),Assumptions!$D$6,IF(ISNUMBER(SEARCH(Assumptions!$C$7,D2983)),Assumptions!$D$7,"Other Services"))),"Other Services"))</f>
        <v/>
      </c>
    </row>
    <row r="2984" customFormat="false" ht="15" hidden="false" customHeight="false" outlineLevel="0" collapsed="false">
      <c r="F2984" s="41" t="str">
        <f aca="false">IF(D2984="","",IFERROR(IF(ISNUMBER(SEARCH(Assumptions!$C$5,D2984)),Assumptions!$D$5,IF(ISNUMBER(SEARCH(Assumptions!$C$6,D2984)),Assumptions!$D$6,IF(ISNUMBER(SEARCH(Assumptions!$C$7,D2984)),Assumptions!$D$7,"Other Services"))),"Other Services"))</f>
        <v/>
      </c>
    </row>
    <row r="2985" customFormat="false" ht="15" hidden="false" customHeight="false" outlineLevel="0" collapsed="false">
      <c r="F2985" s="41" t="str">
        <f aca="false">IF(D2985="","",IFERROR(IF(ISNUMBER(SEARCH(Assumptions!$C$5,D2985)),Assumptions!$D$5,IF(ISNUMBER(SEARCH(Assumptions!$C$6,D2985)),Assumptions!$D$6,IF(ISNUMBER(SEARCH(Assumptions!$C$7,D2985)),Assumptions!$D$7,"Other Services"))),"Other Services"))</f>
        <v/>
      </c>
    </row>
    <row r="2986" customFormat="false" ht="15" hidden="false" customHeight="false" outlineLevel="0" collapsed="false">
      <c r="F2986" s="41" t="str">
        <f aca="false">IF(D2986="","",IFERROR(IF(ISNUMBER(SEARCH(Assumptions!$C$5,D2986)),Assumptions!$D$5,IF(ISNUMBER(SEARCH(Assumptions!$C$6,D2986)),Assumptions!$D$6,IF(ISNUMBER(SEARCH(Assumptions!$C$7,D2986)),Assumptions!$D$7,"Other Services"))),"Other Services"))</f>
        <v/>
      </c>
    </row>
    <row r="2987" customFormat="false" ht="15" hidden="false" customHeight="false" outlineLevel="0" collapsed="false">
      <c r="F2987" s="41" t="str">
        <f aca="false">IF(D2987="","",IFERROR(IF(ISNUMBER(SEARCH(Assumptions!$C$5,D2987)),Assumptions!$D$5,IF(ISNUMBER(SEARCH(Assumptions!$C$6,D2987)),Assumptions!$D$6,IF(ISNUMBER(SEARCH(Assumptions!$C$7,D2987)),Assumptions!$D$7,"Other Services"))),"Other Services"))</f>
        <v/>
      </c>
    </row>
    <row r="2988" customFormat="false" ht="15" hidden="false" customHeight="false" outlineLevel="0" collapsed="false">
      <c r="F2988" s="41" t="str">
        <f aca="false">IF(D2988="","",IFERROR(IF(ISNUMBER(SEARCH(Assumptions!$C$5,D2988)),Assumptions!$D$5,IF(ISNUMBER(SEARCH(Assumptions!$C$6,D2988)),Assumptions!$D$6,IF(ISNUMBER(SEARCH(Assumptions!$C$7,D2988)),Assumptions!$D$7,"Other Services"))),"Other Services"))</f>
        <v/>
      </c>
    </row>
    <row r="2989" customFormat="false" ht="15" hidden="false" customHeight="false" outlineLevel="0" collapsed="false">
      <c r="F2989" s="41" t="str">
        <f aca="false">IF(D2989="","",IFERROR(IF(ISNUMBER(SEARCH(Assumptions!$C$5,D2989)),Assumptions!$D$5,IF(ISNUMBER(SEARCH(Assumptions!$C$6,D2989)),Assumptions!$D$6,IF(ISNUMBER(SEARCH(Assumptions!$C$7,D2989)),Assumptions!$D$7,"Other Services"))),"Other Services"))</f>
        <v/>
      </c>
    </row>
    <row r="2990" customFormat="false" ht="15" hidden="false" customHeight="false" outlineLevel="0" collapsed="false">
      <c r="F2990" s="41" t="str">
        <f aca="false">IF(D2990="","",IFERROR(IF(ISNUMBER(SEARCH(Assumptions!$C$5,D2990)),Assumptions!$D$5,IF(ISNUMBER(SEARCH(Assumptions!$C$6,D2990)),Assumptions!$D$6,IF(ISNUMBER(SEARCH(Assumptions!$C$7,D2990)),Assumptions!$D$7,"Other Services"))),"Other Services"))</f>
        <v/>
      </c>
    </row>
    <row r="2991" customFormat="false" ht="15" hidden="false" customHeight="false" outlineLevel="0" collapsed="false">
      <c r="F2991" s="41" t="str">
        <f aca="false">IF(D2991="","",IFERROR(IF(ISNUMBER(SEARCH(Assumptions!$C$5,D2991)),Assumptions!$D$5,IF(ISNUMBER(SEARCH(Assumptions!$C$6,D2991)),Assumptions!$D$6,IF(ISNUMBER(SEARCH(Assumptions!$C$7,D2991)),Assumptions!$D$7,"Other Services"))),"Other Services"))</f>
        <v/>
      </c>
    </row>
    <row r="2992" customFormat="false" ht="15" hidden="false" customHeight="false" outlineLevel="0" collapsed="false">
      <c r="F2992" s="41" t="str">
        <f aca="false">IF(D2992="","",IFERROR(IF(ISNUMBER(SEARCH(Assumptions!$C$5,D2992)),Assumptions!$D$5,IF(ISNUMBER(SEARCH(Assumptions!$C$6,D2992)),Assumptions!$D$6,IF(ISNUMBER(SEARCH(Assumptions!$C$7,D2992)),Assumptions!$D$7,"Other Services"))),"Other Services"))</f>
        <v/>
      </c>
    </row>
    <row r="2993" customFormat="false" ht="15" hidden="false" customHeight="false" outlineLevel="0" collapsed="false">
      <c r="F2993" s="41" t="str">
        <f aca="false">IF(D2993="","",IFERROR(IF(ISNUMBER(SEARCH(Assumptions!$C$5,D2993)),Assumptions!$D$5,IF(ISNUMBER(SEARCH(Assumptions!$C$6,D2993)),Assumptions!$D$6,IF(ISNUMBER(SEARCH(Assumptions!$C$7,D2993)),Assumptions!$D$7,"Other Services"))),"Other Services"))</f>
        <v/>
      </c>
    </row>
    <row r="2994" customFormat="false" ht="15" hidden="false" customHeight="false" outlineLevel="0" collapsed="false">
      <c r="F2994" s="41" t="str">
        <f aca="false">IF(D2994="","",IFERROR(IF(ISNUMBER(SEARCH(Assumptions!$C$5,D2994)),Assumptions!$D$5,IF(ISNUMBER(SEARCH(Assumptions!$C$6,D2994)),Assumptions!$D$6,IF(ISNUMBER(SEARCH(Assumptions!$C$7,D2994)),Assumptions!$D$7,"Other Services"))),"Other Services"))</f>
        <v/>
      </c>
    </row>
    <row r="2995" customFormat="false" ht="15" hidden="false" customHeight="false" outlineLevel="0" collapsed="false">
      <c r="F2995" s="41" t="str">
        <f aca="false">IF(D2995="","",IFERROR(IF(ISNUMBER(SEARCH(Assumptions!$C$5,D2995)),Assumptions!$D$5,IF(ISNUMBER(SEARCH(Assumptions!$C$6,D2995)),Assumptions!$D$6,IF(ISNUMBER(SEARCH(Assumptions!$C$7,D2995)),Assumptions!$D$7,"Other Services"))),"Other Services"))</f>
        <v/>
      </c>
    </row>
    <row r="2996" customFormat="false" ht="15" hidden="false" customHeight="false" outlineLevel="0" collapsed="false">
      <c r="F2996" s="41" t="str">
        <f aca="false">IF(D2996="","",IFERROR(IF(ISNUMBER(SEARCH(Assumptions!$C$5,D2996)),Assumptions!$D$5,IF(ISNUMBER(SEARCH(Assumptions!$C$6,D2996)),Assumptions!$D$6,IF(ISNUMBER(SEARCH(Assumptions!$C$7,D2996)),Assumptions!$D$7,"Other Services"))),"Other Services"))</f>
        <v/>
      </c>
    </row>
    <row r="2997" customFormat="false" ht="15" hidden="false" customHeight="false" outlineLevel="0" collapsed="false">
      <c r="F2997" s="41" t="str">
        <f aca="false">IF(D2997="","",IFERROR(IF(ISNUMBER(SEARCH(Assumptions!$C$5,D2997)),Assumptions!$D$5,IF(ISNUMBER(SEARCH(Assumptions!$C$6,D2997)),Assumptions!$D$6,IF(ISNUMBER(SEARCH(Assumptions!$C$7,D2997)),Assumptions!$D$7,"Other Services"))),"Other Services"))</f>
        <v/>
      </c>
    </row>
    <row r="2998" customFormat="false" ht="15" hidden="false" customHeight="false" outlineLevel="0" collapsed="false">
      <c r="F2998" s="41" t="str">
        <f aca="false">IF(D2998="","",IFERROR(IF(ISNUMBER(SEARCH(Assumptions!$C$5,D2998)),Assumptions!$D$5,IF(ISNUMBER(SEARCH(Assumptions!$C$6,D2998)),Assumptions!$D$6,IF(ISNUMBER(SEARCH(Assumptions!$C$7,D2998)),Assumptions!$D$7,"Other Services"))),"Other Services"))</f>
        <v/>
      </c>
    </row>
    <row r="2999" customFormat="false" ht="15" hidden="false" customHeight="false" outlineLevel="0" collapsed="false">
      <c r="F2999" s="41" t="str">
        <f aca="false">IF(D2999="","",IFERROR(IF(ISNUMBER(SEARCH(Assumptions!$C$5,D2999)),Assumptions!$D$5,IF(ISNUMBER(SEARCH(Assumptions!$C$6,D2999)),Assumptions!$D$6,IF(ISNUMBER(SEARCH(Assumptions!$C$7,D2999)),Assumptions!$D$7,"Other Services"))),"Other Services"))</f>
        <v/>
      </c>
    </row>
    <row r="3000" customFormat="false" ht="15" hidden="false" customHeight="false" outlineLevel="0" collapsed="false">
      <c r="F3000" s="41" t="str">
        <f aca="false">IF(D3000="","",IFERROR(IF(ISNUMBER(SEARCH(Assumptions!$C$5,D3000)),Assumptions!$D$5,IF(ISNUMBER(SEARCH(Assumptions!$C$6,D3000)),Assumptions!$D$6,IF(ISNUMBER(SEARCH(Assumptions!$C$7,D3000)),Assumptions!$D$7,"Other Services"))),"Other Services"))</f>
        <v/>
      </c>
    </row>
    <row r="3001" customFormat="false" ht="15" hidden="false" customHeight="false" outlineLevel="0" collapsed="false">
      <c r="F3001" s="41" t="str">
        <f aca="false">IF(D3001="","",IFERROR(IF(ISNUMBER(SEARCH(Assumptions!$C$5,D3001)),Assumptions!$D$5,IF(ISNUMBER(SEARCH(Assumptions!$C$6,D3001)),Assumptions!$D$6,IF(ISNUMBER(SEARCH(Assumptions!$C$7,D3001)),Assumptions!$D$7,"Other Services"))),"Other Services"))</f>
        <v/>
      </c>
    </row>
    <row r="3002" customFormat="false" ht="15" hidden="false" customHeight="false" outlineLevel="0" collapsed="false">
      <c r="F3002" s="41" t="str">
        <f aca="false">IF(D3002="","",IFERROR(IF(ISNUMBER(SEARCH(Assumptions!$C$5,D3002)),Assumptions!$D$5,IF(ISNUMBER(SEARCH(Assumptions!$C$6,D3002)),Assumptions!$D$6,IF(ISNUMBER(SEARCH(Assumptions!$C$7,D3002)),Assumptions!$D$7,"Other Services"))),"Other Services"))</f>
        <v/>
      </c>
    </row>
    <row r="3003" customFormat="false" ht="15" hidden="false" customHeight="false" outlineLevel="0" collapsed="false">
      <c r="F3003" s="41" t="str">
        <f aca="false">IF(D3003="","",IFERROR(IF(ISNUMBER(SEARCH(Assumptions!$C$5,D3003)),Assumptions!$D$5,IF(ISNUMBER(SEARCH(Assumptions!$C$6,D3003)),Assumptions!$D$6,IF(ISNUMBER(SEARCH(Assumptions!$C$7,D3003)),Assumptions!$D$7,"Other Services"))),"Other Services"))</f>
        <v/>
      </c>
    </row>
    <row r="3004" customFormat="false" ht="15" hidden="false" customHeight="false" outlineLevel="0" collapsed="false">
      <c r="F3004" s="41" t="str">
        <f aca="false">IF(D3004="","",IFERROR(IF(ISNUMBER(SEARCH(Assumptions!$C$5,D3004)),Assumptions!$D$5,IF(ISNUMBER(SEARCH(Assumptions!$C$6,D3004)),Assumptions!$D$6,IF(ISNUMBER(SEARCH(Assumptions!$C$7,D3004)),Assumptions!$D$7,"Other Services"))),"Other Services"))</f>
        <v/>
      </c>
    </row>
    <row r="3005" customFormat="false" ht="15" hidden="false" customHeight="false" outlineLevel="0" collapsed="false">
      <c r="F3005" s="41" t="str">
        <f aca="false">IF(D3005="","",IFERROR(IF(ISNUMBER(SEARCH(Assumptions!$C$5,D3005)),Assumptions!$D$5,IF(ISNUMBER(SEARCH(Assumptions!$C$6,D3005)),Assumptions!$D$6,IF(ISNUMBER(SEARCH(Assumptions!$C$7,D3005)),Assumptions!$D$7,"Other Services"))),"Other Services"))</f>
        <v/>
      </c>
    </row>
    <row r="3006" customFormat="false" ht="15" hidden="false" customHeight="false" outlineLevel="0" collapsed="false">
      <c r="F3006" s="41" t="str">
        <f aca="false">IF(D3006="","",IFERROR(IF(ISNUMBER(SEARCH(Assumptions!$C$5,D3006)),Assumptions!$D$5,IF(ISNUMBER(SEARCH(Assumptions!$C$6,D3006)),Assumptions!$D$6,IF(ISNUMBER(SEARCH(Assumptions!$C$7,D3006)),Assumptions!$D$7,"Other Services"))),"Other Services"))</f>
        <v/>
      </c>
    </row>
    <row r="3007" customFormat="false" ht="15" hidden="false" customHeight="false" outlineLevel="0" collapsed="false">
      <c r="F3007" s="41" t="str">
        <f aca="false">IF(D3007="","",IFERROR(IF(ISNUMBER(SEARCH(Assumptions!$C$5,D3007)),Assumptions!$D$5,IF(ISNUMBER(SEARCH(Assumptions!$C$6,D3007)),Assumptions!$D$6,IF(ISNUMBER(SEARCH(Assumptions!$C$7,D3007)),Assumptions!$D$7,"Other Services"))),"Other Services"))</f>
        <v/>
      </c>
    </row>
    <row r="3008" customFormat="false" ht="15" hidden="false" customHeight="false" outlineLevel="0" collapsed="false">
      <c r="F3008" s="41" t="str">
        <f aca="false">IF(D3008="","",IFERROR(IF(ISNUMBER(SEARCH(Assumptions!$C$5,D3008)),Assumptions!$D$5,IF(ISNUMBER(SEARCH(Assumptions!$C$6,D3008)),Assumptions!$D$6,IF(ISNUMBER(SEARCH(Assumptions!$C$7,D3008)),Assumptions!$D$7,"Other Services"))),"Other Services"))</f>
        <v/>
      </c>
    </row>
    <row r="3009" customFormat="false" ht="15" hidden="false" customHeight="false" outlineLevel="0" collapsed="false">
      <c r="F3009" s="41" t="str">
        <f aca="false">IF(D3009="","",IFERROR(IF(ISNUMBER(SEARCH(Assumptions!$C$5,D3009)),Assumptions!$D$5,IF(ISNUMBER(SEARCH(Assumptions!$C$6,D3009)),Assumptions!$D$6,IF(ISNUMBER(SEARCH(Assumptions!$C$7,D3009)),Assumptions!$D$7,"Other Services"))),"Other Services"))</f>
        <v/>
      </c>
    </row>
    <row r="3010" customFormat="false" ht="15" hidden="false" customHeight="false" outlineLevel="0" collapsed="false">
      <c r="F3010" s="41" t="str">
        <f aca="false">IF(D3010="","",IFERROR(IF(ISNUMBER(SEARCH(Assumptions!$C$5,D3010)),Assumptions!$D$5,IF(ISNUMBER(SEARCH(Assumptions!$C$6,D3010)),Assumptions!$D$6,IF(ISNUMBER(SEARCH(Assumptions!$C$7,D3010)),Assumptions!$D$7,"Other Services"))),"Other Services"))</f>
        <v/>
      </c>
    </row>
    <row r="3011" customFormat="false" ht="15" hidden="false" customHeight="false" outlineLevel="0" collapsed="false">
      <c r="F3011" s="41" t="str">
        <f aca="false">IF(D3011="","",IFERROR(IF(ISNUMBER(SEARCH(Assumptions!$C$5,D3011)),Assumptions!$D$5,IF(ISNUMBER(SEARCH(Assumptions!$C$6,D3011)),Assumptions!$D$6,IF(ISNUMBER(SEARCH(Assumptions!$C$7,D3011)),Assumptions!$D$7,"Other Services"))),"Other Services"))</f>
        <v/>
      </c>
    </row>
    <row r="3012" customFormat="false" ht="15" hidden="false" customHeight="false" outlineLevel="0" collapsed="false">
      <c r="F3012" s="41" t="str">
        <f aca="false">IF(D3012="","",IFERROR(IF(ISNUMBER(SEARCH(Assumptions!$C$5,D3012)),Assumptions!$D$5,IF(ISNUMBER(SEARCH(Assumptions!$C$6,D3012)),Assumptions!$D$6,IF(ISNUMBER(SEARCH(Assumptions!$C$7,D3012)),Assumptions!$D$7,"Other Services"))),"Other Services"))</f>
        <v/>
      </c>
    </row>
    <row r="3013" customFormat="false" ht="15" hidden="false" customHeight="false" outlineLevel="0" collapsed="false">
      <c r="F3013" s="41" t="str">
        <f aca="false">IF(D3013="","",IFERROR(IF(ISNUMBER(SEARCH(Assumptions!$C$5,D3013)),Assumptions!$D$5,IF(ISNUMBER(SEARCH(Assumptions!$C$6,D3013)),Assumptions!$D$6,IF(ISNUMBER(SEARCH(Assumptions!$C$7,D3013)),Assumptions!$D$7,"Other Services"))),"Other Services"))</f>
        <v/>
      </c>
    </row>
    <row r="3014" customFormat="false" ht="15" hidden="false" customHeight="false" outlineLevel="0" collapsed="false">
      <c r="F3014" s="41" t="str">
        <f aca="false">IF(D3014="","",IFERROR(IF(ISNUMBER(SEARCH(Assumptions!$C$5,D3014)),Assumptions!$D$5,IF(ISNUMBER(SEARCH(Assumptions!$C$6,D3014)),Assumptions!$D$6,IF(ISNUMBER(SEARCH(Assumptions!$C$7,D3014)),Assumptions!$D$7,"Other Services"))),"Other Services"))</f>
        <v/>
      </c>
    </row>
    <row r="3015" customFormat="false" ht="15" hidden="false" customHeight="false" outlineLevel="0" collapsed="false">
      <c r="F3015" s="41" t="str">
        <f aca="false">IF(D3015="","",IFERROR(IF(ISNUMBER(SEARCH(Assumptions!$C$5,D3015)),Assumptions!$D$5,IF(ISNUMBER(SEARCH(Assumptions!$C$6,D3015)),Assumptions!$D$6,IF(ISNUMBER(SEARCH(Assumptions!$C$7,D3015)),Assumptions!$D$7,"Other Services"))),"Other Services"))</f>
        <v/>
      </c>
    </row>
    <row r="3016" customFormat="false" ht="15" hidden="false" customHeight="false" outlineLevel="0" collapsed="false">
      <c r="F3016" s="41" t="str">
        <f aca="false">IF(D3016="","",IFERROR(IF(ISNUMBER(SEARCH(Assumptions!$C$5,D3016)),Assumptions!$D$5,IF(ISNUMBER(SEARCH(Assumptions!$C$6,D3016)),Assumptions!$D$6,IF(ISNUMBER(SEARCH(Assumptions!$C$7,D3016)),Assumptions!$D$7,"Other Services"))),"Other Services"))</f>
        <v/>
      </c>
    </row>
    <row r="3017" customFormat="false" ht="15" hidden="false" customHeight="false" outlineLevel="0" collapsed="false">
      <c r="F3017" s="41" t="str">
        <f aca="false">IF(D3017="","",IFERROR(IF(ISNUMBER(SEARCH(Assumptions!$C$5,D3017)),Assumptions!$D$5,IF(ISNUMBER(SEARCH(Assumptions!$C$6,D3017)),Assumptions!$D$6,IF(ISNUMBER(SEARCH(Assumptions!$C$7,D3017)),Assumptions!$D$7,"Other Services"))),"Other Services"))</f>
        <v/>
      </c>
    </row>
    <row r="3018" customFormat="false" ht="15" hidden="false" customHeight="false" outlineLevel="0" collapsed="false">
      <c r="F3018" s="41" t="str">
        <f aca="false">IF(D3018="","",IFERROR(IF(ISNUMBER(SEARCH(Assumptions!$C$5,D3018)),Assumptions!$D$5,IF(ISNUMBER(SEARCH(Assumptions!$C$6,D3018)),Assumptions!$D$6,IF(ISNUMBER(SEARCH(Assumptions!$C$7,D3018)),Assumptions!$D$7,"Other Services"))),"Other Services"))</f>
        <v/>
      </c>
    </row>
    <row r="3019" customFormat="false" ht="15" hidden="false" customHeight="false" outlineLevel="0" collapsed="false">
      <c r="F3019" s="41" t="str">
        <f aca="false">IF(D3019="","",IFERROR(IF(ISNUMBER(SEARCH(Assumptions!$C$5,D3019)),Assumptions!$D$5,IF(ISNUMBER(SEARCH(Assumptions!$C$6,D3019)),Assumptions!$D$6,IF(ISNUMBER(SEARCH(Assumptions!$C$7,D3019)),Assumptions!$D$7,"Other Services"))),"Other Services"))</f>
        <v/>
      </c>
    </row>
    <row r="3020" customFormat="false" ht="15" hidden="false" customHeight="false" outlineLevel="0" collapsed="false">
      <c r="F3020" s="41" t="str">
        <f aca="false">IF(D3020="","",IFERROR(IF(ISNUMBER(SEARCH(Assumptions!$C$5,D3020)),Assumptions!$D$5,IF(ISNUMBER(SEARCH(Assumptions!$C$6,D3020)),Assumptions!$D$6,IF(ISNUMBER(SEARCH(Assumptions!$C$7,D3020)),Assumptions!$D$7,"Other Services"))),"Other Services"))</f>
        <v/>
      </c>
    </row>
    <row r="3021" customFormat="false" ht="15" hidden="false" customHeight="false" outlineLevel="0" collapsed="false">
      <c r="F3021" s="41" t="str">
        <f aca="false">IF(D3021="","",IFERROR(IF(ISNUMBER(SEARCH(Assumptions!$C$5,D3021)),Assumptions!$D$5,IF(ISNUMBER(SEARCH(Assumptions!$C$6,D3021)),Assumptions!$D$6,IF(ISNUMBER(SEARCH(Assumptions!$C$7,D3021)),Assumptions!$D$7,"Other Services"))),"Other Services"))</f>
        <v/>
      </c>
    </row>
    <row r="3022" customFormat="false" ht="15" hidden="false" customHeight="false" outlineLevel="0" collapsed="false">
      <c r="F3022" s="41" t="str">
        <f aca="false">IF(D3022="","",IFERROR(IF(ISNUMBER(SEARCH(Assumptions!$C$5,D3022)),Assumptions!$D$5,IF(ISNUMBER(SEARCH(Assumptions!$C$6,D3022)),Assumptions!$D$6,IF(ISNUMBER(SEARCH(Assumptions!$C$7,D3022)),Assumptions!$D$7,"Other Services"))),"Other Services"))</f>
        <v/>
      </c>
    </row>
    <row r="3023" customFormat="false" ht="15" hidden="false" customHeight="false" outlineLevel="0" collapsed="false">
      <c r="F3023" s="41" t="str">
        <f aca="false">IF(D3023="","",IFERROR(IF(ISNUMBER(SEARCH(Assumptions!$C$5,D3023)),Assumptions!$D$5,IF(ISNUMBER(SEARCH(Assumptions!$C$6,D3023)),Assumptions!$D$6,IF(ISNUMBER(SEARCH(Assumptions!$C$7,D3023)),Assumptions!$D$7,"Other Services"))),"Other Services"))</f>
        <v/>
      </c>
    </row>
    <row r="3024" customFormat="false" ht="15" hidden="false" customHeight="false" outlineLevel="0" collapsed="false">
      <c r="F3024" s="41" t="str">
        <f aca="false">IF(D3024="","",IFERROR(IF(ISNUMBER(SEARCH(Assumptions!$C$5,D3024)),Assumptions!$D$5,IF(ISNUMBER(SEARCH(Assumptions!$C$6,D3024)),Assumptions!$D$6,IF(ISNUMBER(SEARCH(Assumptions!$C$7,D3024)),Assumptions!$D$7,"Other Services"))),"Other Services"))</f>
        <v/>
      </c>
    </row>
    <row r="3025" customFormat="false" ht="15" hidden="false" customHeight="false" outlineLevel="0" collapsed="false">
      <c r="F3025" s="41" t="str">
        <f aca="false">IF(D3025="","",IFERROR(IF(ISNUMBER(SEARCH(Assumptions!$C$5,D3025)),Assumptions!$D$5,IF(ISNUMBER(SEARCH(Assumptions!$C$6,D3025)),Assumptions!$D$6,IF(ISNUMBER(SEARCH(Assumptions!$C$7,D3025)),Assumptions!$D$7,"Other Services"))),"Other Services"))</f>
        <v/>
      </c>
    </row>
    <row r="3026" customFormat="false" ht="15" hidden="false" customHeight="false" outlineLevel="0" collapsed="false">
      <c r="F3026" s="41" t="str">
        <f aca="false">IF(D3026="","",IFERROR(IF(ISNUMBER(SEARCH(Assumptions!$C$5,D3026)),Assumptions!$D$5,IF(ISNUMBER(SEARCH(Assumptions!$C$6,D3026)),Assumptions!$D$6,IF(ISNUMBER(SEARCH(Assumptions!$C$7,D3026)),Assumptions!$D$7,"Other Services"))),"Other Services"))</f>
        <v/>
      </c>
    </row>
    <row r="3027" customFormat="false" ht="15" hidden="false" customHeight="false" outlineLevel="0" collapsed="false">
      <c r="F3027" s="41" t="str">
        <f aca="false">IF(D3027="","",IFERROR(IF(ISNUMBER(SEARCH(Assumptions!$C$5,D3027)),Assumptions!$D$5,IF(ISNUMBER(SEARCH(Assumptions!$C$6,D3027)),Assumptions!$D$6,IF(ISNUMBER(SEARCH(Assumptions!$C$7,D3027)),Assumptions!$D$7,"Other Services"))),"Other Services"))</f>
        <v/>
      </c>
    </row>
    <row r="3028" customFormat="false" ht="15" hidden="false" customHeight="false" outlineLevel="0" collapsed="false">
      <c r="F3028" s="41" t="str">
        <f aca="false">IF(D3028="","",IFERROR(IF(ISNUMBER(SEARCH(Assumptions!$C$5,D3028)),Assumptions!$D$5,IF(ISNUMBER(SEARCH(Assumptions!$C$6,D3028)),Assumptions!$D$6,IF(ISNUMBER(SEARCH(Assumptions!$C$7,D3028)),Assumptions!$D$7,"Other Services"))),"Other Services"))</f>
        <v/>
      </c>
    </row>
    <row r="3029" customFormat="false" ht="15" hidden="false" customHeight="false" outlineLevel="0" collapsed="false">
      <c r="F3029" s="41" t="str">
        <f aca="false">IF(D3029="","",IFERROR(IF(ISNUMBER(SEARCH(Assumptions!$C$5,D3029)),Assumptions!$D$5,IF(ISNUMBER(SEARCH(Assumptions!$C$6,D3029)),Assumptions!$D$6,IF(ISNUMBER(SEARCH(Assumptions!$C$7,D3029)),Assumptions!$D$7,"Other Services"))),"Other Services"))</f>
        <v/>
      </c>
    </row>
    <row r="3030" customFormat="false" ht="15" hidden="false" customHeight="false" outlineLevel="0" collapsed="false">
      <c r="F3030" s="41" t="str">
        <f aca="false">IF(D3030="","",IFERROR(IF(ISNUMBER(SEARCH(Assumptions!$C$5,D3030)),Assumptions!$D$5,IF(ISNUMBER(SEARCH(Assumptions!$C$6,D3030)),Assumptions!$D$6,IF(ISNUMBER(SEARCH(Assumptions!$C$7,D3030)),Assumptions!$D$7,"Other Services"))),"Other Services"))</f>
        <v/>
      </c>
    </row>
    <row r="3031" customFormat="false" ht="15" hidden="false" customHeight="false" outlineLevel="0" collapsed="false">
      <c r="F3031" s="41" t="str">
        <f aca="false">IF(D3031="","",IFERROR(IF(ISNUMBER(SEARCH(Assumptions!$C$5,D3031)),Assumptions!$D$5,IF(ISNUMBER(SEARCH(Assumptions!$C$6,D3031)),Assumptions!$D$6,IF(ISNUMBER(SEARCH(Assumptions!$C$7,D3031)),Assumptions!$D$7,"Other Services"))),"Other Services"))</f>
        <v/>
      </c>
    </row>
    <row r="3032" customFormat="false" ht="15" hidden="false" customHeight="false" outlineLevel="0" collapsed="false">
      <c r="F3032" s="41" t="str">
        <f aca="false">IF(D3032="","",IFERROR(IF(ISNUMBER(SEARCH(Assumptions!$C$5,D3032)),Assumptions!$D$5,IF(ISNUMBER(SEARCH(Assumptions!$C$6,D3032)),Assumptions!$D$6,IF(ISNUMBER(SEARCH(Assumptions!$C$7,D3032)),Assumptions!$D$7,"Other Services"))),"Other Services"))</f>
        <v/>
      </c>
    </row>
    <row r="3033" customFormat="false" ht="15" hidden="false" customHeight="false" outlineLevel="0" collapsed="false">
      <c r="F3033" s="41" t="str">
        <f aca="false">IF(D3033="","",IFERROR(IF(ISNUMBER(SEARCH(Assumptions!$C$5,D3033)),Assumptions!$D$5,IF(ISNUMBER(SEARCH(Assumptions!$C$6,D3033)),Assumptions!$D$6,IF(ISNUMBER(SEARCH(Assumptions!$C$7,D3033)),Assumptions!$D$7,"Other Services"))),"Other Services"))</f>
        <v/>
      </c>
    </row>
    <row r="3034" customFormat="false" ht="15" hidden="false" customHeight="false" outlineLevel="0" collapsed="false">
      <c r="F3034" s="41" t="str">
        <f aca="false">IF(D3034="","",IFERROR(IF(ISNUMBER(SEARCH(Assumptions!$C$5,D3034)),Assumptions!$D$5,IF(ISNUMBER(SEARCH(Assumptions!$C$6,D3034)),Assumptions!$D$6,IF(ISNUMBER(SEARCH(Assumptions!$C$7,D3034)),Assumptions!$D$7,"Other Services"))),"Other Services"))</f>
        <v/>
      </c>
    </row>
    <row r="3035" customFormat="false" ht="15" hidden="false" customHeight="false" outlineLevel="0" collapsed="false">
      <c r="F3035" s="41" t="str">
        <f aca="false">IF(D3035="","",IFERROR(IF(ISNUMBER(SEARCH(Assumptions!$C$5,D3035)),Assumptions!$D$5,IF(ISNUMBER(SEARCH(Assumptions!$C$6,D3035)),Assumptions!$D$6,IF(ISNUMBER(SEARCH(Assumptions!$C$7,D3035)),Assumptions!$D$7,"Other Services"))),"Other Services"))</f>
        <v/>
      </c>
    </row>
    <row r="3036" customFormat="false" ht="15" hidden="false" customHeight="false" outlineLevel="0" collapsed="false">
      <c r="F3036" s="41" t="str">
        <f aca="false">IF(D3036="","",IFERROR(IF(ISNUMBER(SEARCH(Assumptions!$C$5,D3036)),Assumptions!$D$5,IF(ISNUMBER(SEARCH(Assumptions!$C$6,D3036)),Assumptions!$D$6,IF(ISNUMBER(SEARCH(Assumptions!$C$7,D3036)),Assumptions!$D$7,"Other Services"))),"Other Services"))</f>
        <v/>
      </c>
    </row>
    <row r="3037" customFormat="false" ht="15" hidden="false" customHeight="false" outlineLevel="0" collapsed="false">
      <c r="F3037" s="41" t="str">
        <f aca="false">IF(D3037="","",IFERROR(IF(ISNUMBER(SEARCH(Assumptions!$C$5,D3037)),Assumptions!$D$5,IF(ISNUMBER(SEARCH(Assumptions!$C$6,D3037)),Assumptions!$D$6,IF(ISNUMBER(SEARCH(Assumptions!$C$7,D3037)),Assumptions!$D$7,"Other Services"))),"Other Services"))</f>
        <v/>
      </c>
    </row>
    <row r="3038" customFormat="false" ht="15" hidden="false" customHeight="false" outlineLevel="0" collapsed="false">
      <c r="F3038" s="41" t="str">
        <f aca="false">IF(D3038="","",IFERROR(IF(ISNUMBER(SEARCH(Assumptions!$C$5,D3038)),Assumptions!$D$5,IF(ISNUMBER(SEARCH(Assumptions!$C$6,D3038)),Assumptions!$D$6,IF(ISNUMBER(SEARCH(Assumptions!$C$7,D3038)),Assumptions!$D$7,"Other Services"))),"Other Services"))</f>
        <v/>
      </c>
    </row>
    <row r="3039" customFormat="false" ht="15" hidden="false" customHeight="false" outlineLevel="0" collapsed="false">
      <c r="F3039" s="41" t="str">
        <f aca="false">IF(D3039="","",IFERROR(IF(ISNUMBER(SEARCH(Assumptions!$C$5,D3039)),Assumptions!$D$5,IF(ISNUMBER(SEARCH(Assumptions!$C$6,D3039)),Assumptions!$D$6,IF(ISNUMBER(SEARCH(Assumptions!$C$7,D3039)),Assumptions!$D$7,"Other Services"))),"Other Services"))</f>
        <v/>
      </c>
    </row>
    <row r="3040" customFormat="false" ht="15" hidden="false" customHeight="false" outlineLevel="0" collapsed="false">
      <c r="F3040" s="41" t="str">
        <f aca="false">IF(D3040="","",IFERROR(IF(ISNUMBER(SEARCH(Assumptions!$C$5,D3040)),Assumptions!$D$5,IF(ISNUMBER(SEARCH(Assumptions!$C$6,D3040)),Assumptions!$D$6,IF(ISNUMBER(SEARCH(Assumptions!$C$7,D3040)),Assumptions!$D$7,"Other Services"))),"Other Services"))</f>
        <v/>
      </c>
    </row>
    <row r="3041" customFormat="false" ht="15" hidden="false" customHeight="false" outlineLevel="0" collapsed="false">
      <c r="F3041" s="41" t="str">
        <f aca="false">IF(D3041="","",IFERROR(IF(ISNUMBER(SEARCH(Assumptions!$C$5,D3041)),Assumptions!$D$5,IF(ISNUMBER(SEARCH(Assumptions!$C$6,D3041)),Assumptions!$D$6,IF(ISNUMBER(SEARCH(Assumptions!$C$7,D3041)),Assumptions!$D$7,"Other Services"))),"Other Services"))</f>
        <v/>
      </c>
    </row>
    <row r="3042" customFormat="false" ht="15" hidden="false" customHeight="false" outlineLevel="0" collapsed="false">
      <c r="F3042" s="41" t="str">
        <f aca="false">IF(D3042="","",IFERROR(IF(ISNUMBER(SEARCH(Assumptions!$C$5,D3042)),Assumptions!$D$5,IF(ISNUMBER(SEARCH(Assumptions!$C$6,D3042)),Assumptions!$D$6,IF(ISNUMBER(SEARCH(Assumptions!$C$7,D3042)),Assumptions!$D$7,"Other Services"))),"Other Services"))</f>
        <v/>
      </c>
    </row>
    <row r="3043" customFormat="false" ht="15" hidden="false" customHeight="false" outlineLevel="0" collapsed="false">
      <c r="F3043" s="41" t="str">
        <f aca="false">IF(D3043="","",IFERROR(IF(ISNUMBER(SEARCH(Assumptions!$C$5,D3043)),Assumptions!$D$5,IF(ISNUMBER(SEARCH(Assumptions!$C$6,D3043)),Assumptions!$D$6,IF(ISNUMBER(SEARCH(Assumptions!$C$7,D3043)),Assumptions!$D$7,"Other Services"))),"Other Services"))</f>
        <v/>
      </c>
    </row>
    <row r="3044" customFormat="false" ht="15" hidden="false" customHeight="false" outlineLevel="0" collapsed="false">
      <c r="F3044" s="41" t="str">
        <f aca="false">IF(D3044="","",IFERROR(IF(ISNUMBER(SEARCH(Assumptions!$C$5,D3044)),Assumptions!$D$5,IF(ISNUMBER(SEARCH(Assumptions!$C$6,D3044)),Assumptions!$D$6,IF(ISNUMBER(SEARCH(Assumptions!$C$7,D3044)),Assumptions!$D$7,"Other Services"))),"Other Services"))</f>
        <v/>
      </c>
    </row>
    <row r="3045" customFormat="false" ht="15" hidden="false" customHeight="false" outlineLevel="0" collapsed="false">
      <c r="F3045" s="41" t="str">
        <f aca="false">IF(D3045="","",IFERROR(IF(ISNUMBER(SEARCH(Assumptions!$C$5,D3045)),Assumptions!$D$5,IF(ISNUMBER(SEARCH(Assumptions!$C$6,D3045)),Assumptions!$D$6,IF(ISNUMBER(SEARCH(Assumptions!$C$7,D3045)),Assumptions!$D$7,"Other Services"))),"Other Services"))</f>
        <v/>
      </c>
    </row>
    <row r="3046" customFormat="false" ht="15" hidden="false" customHeight="false" outlineLevel="0" collapsed="false">
      <c r="F3046" s="41" t="str">
        <f aca="false">IF(D3046="","",IFERROR(IF(ISNUMBER(SEARCH(Assumptions!$C$5,D3046)),Assumptions!$D$5,IF(ISNUMBER(SEARCH(Assumptions!$C$6,D3046)),Assumptions!$D$6,IF(ISNUMBER(SEARCH(Assumptions!$C$7,D3046)),Assumptions!$D$7,"Other Services"))),"Other Services"))</f>
        <v/>
      </c>
    </row>
    <row r="3047" customFormat="false" ht="15" hidden="false" customHeight="false" outlineLevel="0" collapsed="false">
      <c r="F3047" s="41" t="str">
        <f aca="false">IF(D3047="","",IFERROR(IF(ISNUMBER(SEARCH(Assumptions!$C$5,D3047)),Assumptions!$D$5,IF(ISNUMBER(SEARCH(Assumptions!$C$6,D3047)),Assumptions!$D$6,IF(ISNUMBER(SEARCH(Assumptions!$C$7,D3047)),Assumptions!$D$7,"Other Services"))),"Other Services"))</f>
        <v/>
      </c>
    </row>
    <row r="3048" customFormat="false" ht="15" hidden="false" customHeight="false" outlineLevel="0" collapsed="false">
      <c r="F3048" s="41" t="str">
        <f aca="false">IF(D3048="","",IFERROR(IF(ISNUMBER(SEARCH(Assumptions!$C$5,D3048)),Assumptions!$D$5,IF(ISNUMBER(SEARCH(Assumptions!$C$6,D3048)),Assumptions!$D$6,IF(ISNUMBER(SEARCH(Assumptions!$C$7,D3048)),Assumptions!$D$7,"Other Services"))),"Other Services"))</f>
        <v/>
      </c>
    </row>
    <row r="3049" customFormat="false" ht="15" hidden="false" customHeight="false" outlineLevel="0" collapsed="false">
      <c r="F3049" s="41" t="str">
        <f aca="false">IF(D3049="","",IFERROR(IF(ISNUMBER(SEARCH(Assumptions!$C$5,D3049)),Assumptions!$D$5,IF(ISNUMBER(SEARCH(Assumptions!$C$6,D3049)),Assumptions!$D$6,IF(ISNUMBER(SEARCH(Assumptions!$C$7,D3049)),Assumptions!$D$7,"Other Services"))),"Other Services"))</f>
        <v/>
      </c>
    </row>
    <row r="3050" customFormat="false" ht="15" hidden="false" customHeight="false" outlineLevel="0" collapsed="false">
      <c r="F3050" s="41" t="str">
        <f aca="false">IF(D3050="","",IFERROR(IF(ISNUMBER(SEARCH(Assumptions!$C$5,D3050)),Assumptions!$D$5,IF(ISNUMBER(SEARCH(Assumptions!$C$6,D3050)),Assumptions!$D$6,IF(ISNUMBER(SEARCH(Assumptions!$C$7,D3050)),Assumptions!$D$7,"Other Services"))),"Other Services"))</f>
        <v/>
      </c>
    </row>
    <row r="3051" customFormat="false" ht="15" hidden="false" customHeight="false" outlineLevel="0" collapsed="false">
      <c r="F3051" s="41" t="str">
        <f aca="false">IF(D3051="","",IFERROR(IF(ISNUMBER(SEARCH(Assumptions!$C$5,D3051)),Assumptions!$D$5,IF(ISNUMBER(SEARCH(Assumptions!$C$6,D3051)),Assumptions!$D$6,IF(ISNUMBER(SEARCH(Assumptions!$C$7,D3051)),Assumptions!$D$7,"Other Services"))),"Other Services"))</f>
        <v/>
      </c>
    </row>
    <row r="3052" customFormat="false" ht="15" hidden="false" customHeight="false" outlineLevel="0" collapsed="false">
      <c r="F3052" s="41" t="str">
        <f aca="false">IF(D3052="","",IFERROR(IF(ISNUMBER(SEARCH(Assumptions!$C$5,D3052)),Assumptions!$D$5,IF(ISNUMBER(SEARCH(Assumptions!$C$6,D3052)),Assumptions!$D$6,IF(ISNUMBER(SEARCH(Assumptions!$C$7,D3052)),Assumptions!$D$7,"Other Services"))),"Other Services"))</f>
        <v/>
      </c>
    </row>
    <row r="3053" customFormat="false" ht="15" hidden="false" customHeight="false" outlineLevel="0" collapsed="false">
      <c r="F3053" s="41" t="str">
        <f aca="false">IF(D3053="","",IFERROR(IF(ISNUMBER(SEARCH(Assumptions!$C$5,D3053)),Assumptions!$D$5,IF(ISNUMBER(SEARCH(Assumptions!$C$6,D3053)),Assumptions!$D$6,IF(ISNUMBER(SEARCH(Assumptions!$C$7,D3053)),Assumptions!$D$7,"Other Services"))),"Other Services"))</f>
        <v/>
      </c>
    </row>
    <row r="3054" customFormat="false" ht="15" hidden="false" customHeight="false" outlineLevel="0" collapsed="false">
      <c r="F3054" s="41" t="str">
        <f aca="false">IF(D3054="","",IFERROR(IF(ISNUMBER(SEARCH(Assumptions!$C$5,D3054)),Assumptions!$D$5,IF(ISNUMBER(SEARCH(Assumptions!$C$6,D3054)),Assumptions!$D$6,IF(ISNUMBER(SEARCH(Assumptions!$C$7,D3054)),Assumptions!$D$7,"Other Services"))),"Other Services"))</f>
        <v/>
      </c>
    </row>
    <row r="3055" customFormat="false" ht="15" hidden="false" customHeight="false" outlineLevel="0" collapsed="false">
      <c r="F3055" s="41" t="str">
        <f aca="false">IF(D3055="","",IFERROR(IF(ISNUMBER(SEARCH(Assumptions!$C$5,D3055)),Assumptions!$D$5,IF(ISNUMBER(SEARCH(Assumptions!$C$6,D3055)),Assumptions!$D$6,IF(ISNUMBER(SEARCH(Assumptions!$C$7,D3055)),Assumptions!$D$7,"Other Services"))),"Other Services"))</f>
        <v/>
      </c>
    </row>
    <row r="3056" customFormat="false" ht="15" hidden="false" customHeight="false" outlineLevel="0" collapsed="false">
      <c r="F3056" s="41" t="str">
        <f aca="false">IF(D3056="","",IFERROR(IF(ISNUMBER(SEARCH(Assumptions!$C$5,D3056)),Assumptions!$D$5,IF(ISNUMBER(SEARCH(Assumptions!$C$6,D3056)),Assumptions!$D$6,IF(ISNUMBER(SEARCH(Assumptions!$C$7,D3056)),Assumptions!$D$7,"Other Services"))),"Other Services"))</f>
        <v/>
      </c>
    </row>
    <row r="3057" customFormat="false" ht="15" hidden="false" customHeight="false" outlineLevel="0" collapsed="false">
      <c r="F3057" s="41" t="str">
        <f aca="false">IF(D3057="","",IFERROR(IF(ISNUMBER(SEARCH(Assumptions!$C$5,D3057)),Assumptions!$D$5,IF(ISNUMBER(SEARCH(Assumptions!$C$6,D3057)),Assumptions!$D$6,IF(ISNUMBER(SEARCH(Assumptions!$C$7,D3057)),Assumptions!$D$7,"Other Services"))),"Other Services"))</f>
        <v/>
      </c>
    </row>
    <row r="3058" customFormat="false" ht="15" hidden="false" customHeight="false" outlineLevel="0" collapsed="false">
      <c r="F3058" s="41" t="str">
        <f aca="false">IF(D3058="","",IFERROR(IF(ISNUMBER(SEARCH(Assumptions!$C$5,D3058)),Assumptions!$D$5,IF(ISNUMBER(SEARCH(Assumptions!$C$6,D3058)),Assumptions!$D$6,IF(ISNUMBER(SEARCH(Assumptions!$C$7,D3058)),Assumptions!$D$7,"Other Services"))),"Other Services"))</f>
        <v/>
      </c>
    </row>
    <row r="3059" customFormat="false" ht="15" hidden="false" customHeight="false" outlineLevel="0" collapsed="false">
      <c r="F3059" s="41" t="str">
        <f aca="false">IF(D3059="","",IFERROR(IF(ISNUMBER(SEARCH(Assumptions!$C$5,D3059)),Assumptions!$D$5,IF(ISNUMBER(SEARCH(Assumptions!$C$6,D3059)),Assumptions!$D$6,IF(ISNUMBER(SEARCH(Assumptions!$C$7,D3059)),Assumptions!$D$7,"Other Services"))),"Other Services"))</f>
        <v/>
      </c>
    </row>
    <row r="3060" customFormat="false" ht="15" hidden="false" customHeight="false" outlineLevel="0" collapsed="false">
      <c r="F3060" s="41" t="str">
        <f aca="false">IF(D3060="","",IFERROR(IF(ISNUMBER(SEARCH(Assumptions!$C$5,D3060)),Assumptions!$D$5,IF(ISNUMBER(SEARCH(Assumptions!$C$6,D3060)),Assumptions!$D$6,IF(ISNUMBER(SEARCH(Assumptions!$C$7,D3060)),Assumptions!$D$7,"Other Services"))),"Other Services"))</f>
        <v/>
      </c>
    </row>
    <row r="3061" customFormat="false" ht="15" hidden="false" customHeight="false" outlineLevel="0" collapsed="false">
      <c r="F3061" s="41" t="str">
        <f aca="false">IF(D3061="","",IFERROR(IF(ISNUMBER(SEARCH(Assumptions!$C$5,D3061)),Assumptions!$D$5,IF(ISNUMBER(SEARCH(Assumptions!$C$6,D3061)),Assumptions!$D$6,IF(ISNUMBER(SEARCH(Assumptions!$C$7,D3061)),Assumptions!$D$7,"Other Services"))),"Other Services"))</f>
        <v/>
      </c>
    </row>
    <row r="3062" customFormat="false" ht="15" hidden="false" customHeight="false" outlineLevel="0" collapsed="false">
      <c r="F3062" s="41" t="str">
        <f aca="false">IF(D3062="","",IFERROR(IF(ISNUMBER(SEARCH(Assumptions!$C$5,D3062)),Assumptions!$D$5,IF(ISNUMBER(SEARCH(Assumptions!$C$6,D3062)),Assumptions!$D$6,IF(ISNUMBER(SEARCH(Assumptions!$C$7,D3062)),Assumptions!$D$7,"Other Services"))),"Other Services"))</f>
        <v/>
      </c>
    </row>
    <row r="3063" customFormat="false" ht="15" hidden="false" customHeight="false" outlineLevel="0" collapsed="false">
      <c r="F3063" s="41" t="str">
        <f aca="false">IF(D3063="","",IFERROR(IF(ISNUMBER(SEARCH(Assumptions!$C$5,D3063)),Assumptions!$D$5,IF(ISNUMBER(SEARCH(Assumptions!$C$6,D3063)),Assumptions!$D$6,IF(ISNUMBER(SEARCH(Assumptions!$C$7,D3063)),Assumptions!$D$7,"Other Services"))),"Other Services"))</f>
        <v/>
      </c>
    </row>
    <row r="3064" customFormat="false" ht="15" hidden="false" customHeight="false" outlineLevel="0" collapsed="false">
      <c r="F3064" s="41" t="str">
        <f aca="false">IF(D3064="","",IFERROR(IF(ISNUMBER(SEARCH(Assumptions!$C$5,D3064)),Assumptions!$D$5,IF(ISNUMBER(SEARCH(Assumptions!$C$6,D3064)),Assumptions!$D$6,IF(ISNUMBER(SEARCH(Assumptions!$C$7,D3064)),Assumptions!$D$7,"Other Services"))),"Other Services"))</f>
        <v/>
      </c>
    </row>
    <row r="3065" customFormat="false" ht="15" hidden="false" customHeight="false" outlineLevel="0" collapsed="false">
      <c r="F3065" s="41" t="str">
        <f aca="false">IF(D3065="","",IFERROR(IF(ISNUMBER(SEARCH(Assumptions!$C$5,D3065)),Assumptions!$D$5,IF(ISNUMBER(SEARCH(Assumptions!$C$6,D3065)),Assumptions!$D$6,IF(ISNUMBER(SEARCH(Assumptions!$C$7,D3065)),Assumptions!$D$7,"Other Services"))),"Other Services"))</f>
        <v/>
      </c>
    </row>
    <row r="3066" customFormat="false" ht="15" hidden="false" customHeight="false" outlineLevel="0" collapsed="false">
      <c r="F3066" s="41" t="str">
        <f aca="false">IF(D3066="","",IFERROR(IF(ISNUMBER(SEARCH(Assumptions!$C$5,D3066)),Assumptions!$D$5,IF(ISNUMBER(SEARCH(Assumptions!$C$6,D3066)),Assumptions!$D$6,IF(ISNUMBER(SEARCH(Assumptions!$C$7,D3066)),Assumptions!$D$7,"Other Services"))),"Other Services"))</f>
        <v/>
      </c>
    </row>
    <row r="3067" customFormat="false" ht="15" hidden="false" customHeight="false" outlineLevel="0" collapsed="false">
      <c r="F3067" s="41" t="str">
        <f aca="false">IF(D3067="","",IFERROR(IF(ISNUMBER(SEARCH(Assumptions!$C$5,D3067)),Assumptions!$D$5,IF(ISNUMBER(SEARCH(Assumptions!$C$6,D3067)),Assumptions!$D$6,IF(ISNUMBER(SEARCH(Assumptions!$C$7,D3067)),Assumptions!$D$7,"Other Services"))),"Other Services"))</f>
        <v/>
      </c>
    </row>
    <row r="3068" customFormat="false" ht="15" hidden="false" customHeight="false" outlineLevel="0" collapsed="false">
      <c r="F3068" s="41" t="str">
        <f aca="false">IF(D3068="","",IFERROR(IF(ISNUMBER(SEARCH(Assumptions!$C$5,D3068)),Assumptions!$D$5,IF(ISNUMBER(SEARCH(Assumptions!$C$6,D3068)),Assumptions!$D$6,IF(ISNUMBER(SEARCH(Assumptions!$C$7,D3068)),Assumptions!$D$7,"Other Services"))),"Other Services"))</f>
        <v/>
      </c>
    </row>
    <row r="3069" customFormat="false" ht="15" hidden="false" customHeight="false" outlineLevel="0" collapsed="false">
      <c r="F3069" s="41" t="str">
        <f aca="false">IF(D3069="","",IFERROR(IF(ISNUMBER(SEARCH(Assumptions!$C$5,D3069)),Assumptions!$D$5,IF(ISNUMBER(SEARCH(Assumptions!$C$6,D3069)),Assumptions!$D$6,IF(ISNUMBER(SEARCH(Assumptions!$C$7,D3069)),Assumptions!$D$7,"Other Services"))),"Other Services"))</f>
        <v/>
      </c>
    </row>
    <row r="3070" customFormat="false" ht="15" hidden="false" customHeight="false" outlineLevel="0" collapsed="false">
      <c r="F3070" s="41" t="str">
        <f aca="false">IF(D3070="","",IFERROR(IF(ISNUMBER(SEARCH(Assumptions!$C$5,D3070)),Assumptions!$D$5,IF(ISNUMBER(SEARCH(Assumptions!$C$6,D3070)),Assumptions!$D$6,IF(ISNUMBER(SEARCH(Assumptions!$C$7,D3070)),Assumptions!$D$7,"Other Services"))),"Other Services"))</f>
        <v/>
      </c>
    </row>
    <row r="3071" customFormat="false" ht="15" hidden="false" customHeight="false" outlineLevel="0" collapsed="false">
      <c r="F3071" s="41" t="str">
        <f aca="false">IF(D3071="","",IFERROR(IF(ISNUMBER(SEARCH(Assumptions!$C$5,D3071)),Assumptions!$D$5,IF(ISNUMBER(SEARCH(Assumptions!$C$6,D3071)),Assumptions!$D$6,IF(ISNUMBER(SEARCH(Assumptions!$C$7,D3071)),Assumptions!$D$7,"Other Services"))),"Other Services"))</f>
        <v/>
      </c>
    </row>
    <row r="3072" customFormat="false" ht="15" hidden="false" customHeight="false" outlineLevel="0" collapsed="false">
      <c r="F3072" s="41" t="str">
        <f aca="false">IF(D3072="","",IFERROR(IF(ISNUMBER(SEARCH(Assumptions!$C$5,D3072)),Assumptions!$D$5,IF(ISNUMBER(SEARCH(Assumptions!$C$6,D3072)),Assumptions!$D$6,IF(ISNUMBER(SEARCH(Assumptions!$C$7,D3072)),Assumptions!$D$7,"Other Services"))),"Other Services"))</f>
        <v/>
      </c>
    </row>
    <row r="3073" customFormat="false" ht="15" hidden="false" customHeight="false" outlineLevel="0" collapsed="false">
      <c r="F3073" s="41" t="str">
        <f aca="false">IF(D3073="","",IFERROR(IF(ISNUMBER(SEARCH(Assumptions!$C$5,D3073)),Assumptions!$D$5,IF(ISNUMBER(SEARCH(Assumptions!$C$6,D3073)),Assumptions!$D$6,IF(ISNUMBER(SEARCH(Assumptions!$C$7,D3073)),Assumptions!$D$7,"Other Services"))),"Other Services"))</f>
        <v/>
      </c>
    </row>
    <row r="3074" customFormat="false" ht="15" hidden="false" customHeight="false" outlineLevel="0" collapsed="false">
      <c r="F3074" s="41" t="str">
        <f aca="false">IF(D3074="","",IFERROR(IF(ISNUMBER(SEARCH(Assumptions!$C$5,D3074)),Assumptions!$D$5,IF(ISNUMBER(SEARCH(Assumptions!$C$6,D3074)),Assumptions!$D$6,IF(ISNUMBER(SEARCH(Assumptions!$C$7,D3074)),Assumptions!$D$7,"Other Services"))),"Other Services"))</f>
        <v/>
      </c>
    </row>
    <row r="3075" customFormat="false" ht="15" hidden="false" customHeight="false" outlineLevel="0" collapsed="false">
      <c r="F3075" s="41" t="str">
        <f aca="false">IF(D3075="","",IFERROR(IF(ISNUMBER(SEARCH(Assumptions!$C$5,D3075)),Assumptions!$D$5,IF(ISNUMBER(SEARCH(Assumptions!$C$6,D3075)),Assumptions!$D$6,IF(ISNUMBER(SEARCH(Assumptions!$C$7,D3075)),Assumptions!$D$7,"Other Services"))),"Other Services"))</f>
        <v/>
      </c>
    </row>
    <row r="3076" customFormat="false" ht="15" hidden="false" customHeight="false" outlineLevel="0" collapsed="false">
      <c r="F3076" s="41" t="str">
        <f aca="false">IF(D3076="","",IFERROR(IF(ISNUMBER(SEARCH(Assumptions!$C$5,D3076)),Assumptions!$D$5,IF(ISNUMBER(SEARCH(Assumptions!$C$6,D3076)),Assumptions!$D$6,IF(ISNUMBER(SEARCH(Assumptions!$C$7,D3076)),Assumptions!$D$7,"Other Services"))),"Other Services"))</f>
        <v/>
      </c>
    </row>
    <row r="3077" customFormat="false" ht="15" hidden="false" customHeight="false" outlineLevel="0" collapsed="false">
      <c r="F3077" s="41" t="str">
        <f aca="false">IF(D3077="","",IFERROR(IF(ISNUMBER(SEARCH(Assumptions!$C$5,D3077)),Assumptions!$D$5,IF(ISNUMBER(SEARCH(Assumptions!$C$6,D3077)),Assumptions!$D$6,IF(ISNUMBER(SEARCH(Assumptions!$C$7,D3077)),Assumptions!$D$7,"Other Services"))),"Other Services"))</f>
        <v/>
      </c>
    </row>
    <row r="3078" customFormat="false" ht="15" hidden="false" customHeight="false" outlineLevel="0" collapsed="false">
      <c r="F3078" s="41" t="str">
        <f aca="false">IF(D3078="","",IFERROR(IF(ISNUMBER(SEARCH(Assumptions!$C$5,D3078)),Assumptions!$D$5,IF(ISNUMBER(SEARCH(Assumptions!$C$6,D3078)),Assumptions!$D$6,IF(ISNUMBER(SEARCH(Assumptions!$C$7,D3078)),Assumptions!$D$7,"Other Services"))),"Other Services"))</f>
        <v/>
      </c>
    </row>
    <row r="3079" customFormat="false" ht="15" hidden="false" customHeight="false" outlineLevel="0" collapsed="false">
      <c r="F3079" s="41" t="str">
        <f aca="false">IF(D3079="","",IFERROR(IF(ISNUMBER(SEARCH(Assumptions!$C$5,D3079)),Assumptions!$D$5,IF(ISNUMBER(SEARCH(Assumptions!$C$6,D3079)),Assumptions!$D$6,IF(ISNUMBER(SEARCH(Assumptions!$C$7,D3079)),Assumptions!$D$7,"Other Services"))),"Other Services"))</f>
        <v/>
      </c>
    </row>
    <row r="3080" customFormat="false" ht="15" hidden="false" customHeight="false" outlineLevel="0" collapsed="false">
      <c r="F3080" s="41" t="str">
        <f aca="false">IF(D3080="","",IFERROR(IF(ISNUMBER(SEARCH(Assumptions!$C$5,D3080)),Assumptions!$D$5,IF(ISNUMBER(SEARCH(Assumptions!$C$6,D3080)),Assumptions!$D$6,IF(ISNUMBER(SEARCH(Assumptions!$C$7,D3080)),Assumptions!$D$7,"Other Services"))),"Other Services"))</f>
        <v/>
      </c>
    </row>
    <row r="3081" customFormat="false" ht="15" hidden="false" customHeight="false" outlineLevel="0" collapsed="false">
      <c r="F3081" s="41" t="str">
        <f aca="false">IF(D3081="","",IFERROR(IF(ISNUMBER(SEARCH(Assumptions!$C$5,D3081)),Assumptions!$D$5,IF(ISNUMBER(SEARCH(Assumptions!$C$6,D3081)),Assumptions!$D$6,IF(ISNUMBER(SEARCH(Assumptions!$C$7,D3081)),Assumptions!$D$7,"Other Services"))),"Other Services"))</f>
        <v/>
      </c>
    </row>
    <row r="3082" customFormat="false" ht="15" hidden="false" customHeight="false" outlineLevel="0" collapsed="false">
      <c r="F3082" s="41" t="str">
        <f aca="false">IF(D3082="","",IFERROR(IF(ISNUMBER(SEARCH(Assumptions!$C$5,D3082)),Assumptions!$D$5,IF(ISNUMBER(SEARCH(Assumptions!$C$6,D3082)),Assumptions!$D$6,IF(ISNUMBER(SEARCH(Assumptions!$C$7,D3082)),Assumptions!$D$7,"Other Services"))),"Other Services"))</f>
        <v/>
      </c>
    </row>
    <row r="3083" customFormat="false" ht="15" hidden="false" customHeight="false" outlineLevel="0" collapsed="false">
      <c r="F3083" s="41" t="str">
        <f aca="false">IF(D3083="","",IFERROR(IF(ISNUMBER(SEARCH(Assumptions!$C$5,D3083)),Assumptions!$D$5,IF(ISNUMBER(SEARCH(Assumptions!$C$6,D3083)),Assumptions!$D$6,IF(ISNUMBER(SEARCH(Assumptions!$C$7,D3083)),Assumptions!$D$7,"Other Services"))),"Other Services"))</f>
        <v/>
      </c>
    </row>
    <row r="3084" customFormat="false" ht="15" hidden="false" customHeight="false" outlineLevel="0" collapsed="false">
      <c r="F3084" s="41" t="str">
        <f aca="false">IF(D3084="","",IFERROR(IF(ISNUMBER(SEARCH(Assumptions!$C$5,D3084)),Assumptions!$D$5,IF(ISNUMBER(SEARCH(Assumptions!$C$6,D3084)),Assumptions!$D$6,IF(ISNUMBER(SEARCH(Assumptions!$C$7,D3084)),Assumptions!$D$7,"Other Services"))),"Other Services"))</f>
        <v/>
      </c>
    </row>
    <row r="3085" customFormat="false" ht="15" hidden="false" customHeight="false" outlineLevel="0" collapsed="false">
      <c r="F3085" s="41" t="str">
        <f aca="false">IF(D3085="","",IFERROR(IF(ISNUMBER(SEARCH(Assumptions!$C$5,D3085)),Assumptions!$D$5,IF(ISNUMBER(SEARCH(Assumptions!$C$6,D3085)),Assumptions!$D$6,IF(ISNUMBER(SEARCH(Assumptions!$C$7,D3085)),Assumptions!$D$7,"Other Services"))),"Other Services"))</f>
        <v/>
      </c>
    </row>
    <row r="3086" customFormat="false" ht="15" hidden="false" customHeight="false" outlineLevel="0" collapsed="false">
      <c r="F3086" s="41" t="str">
        <f aca="false">IF(D3086="","",IFERROR(IF(ISNUMBER(SEARCH(Assumptions!$C$5,D3086)),Assumptions!$D$5,IF(ISNUMBER(SEARCH(Assumptions!$C$6,D3086)),Assumptions!$D$6,IF(ISNUMBER(SEARCH(Assumptions!$C$7,D3086)),Assumptions!$D$7,"Other Services"))),"Other Services"))</f>
        <v/>
      </c>
    </row>
    <row r="3087" customFormat="false" ht="15" hidden="false" customHeight="false" outlineLevel="0" collapsed="false">
      <c r="F3087" s="41" t="str">
        <f aca="false">IF(D3087="","",IFERROR(IF(ISNUMBER(SEARCH(Assumptions!$C$5,D3087)),Assumptions!$D$5,IF(ISNUMBER(SEARCH(Assumptions!$C$6,D3087)),Assumptions!$D$6,IF(ISNUMBER(SEARCH(Assumptions!$C$7,D3087)),Assumptions!$D$7,"Other Services"))),"Other Services"))</f>
        <v/>
      </c>
    </row>
    <row r="3088" customFormat="false" ht="15" hidden="false" customHeight="false" outlineLevel="0" collapsed="false">
      <c r="F3088" s="41" t="str">
        <f aca="false">IF(D3088="","",IFERROR(IF(ISNUMBER(SEARCH(Assumptions!$C$5,D3088)),Assumptions!$D$5,IF(ISNUMBER(SEARCH(Assumptions!$C$6,D3088)),Assumptions!$D$6,IF(ISNUMBER(SEARCH(Assumptions!$C$7,D3088)),Assumptions!$D$7,"Other Services"))),"Other Services"))</f>
        <v/>
      </c>
    </row>
    <row r="3089" customFormat="false" ht="15" hidden="false" customHeight="false" outlineLevel="0" collapsed="false">
      <c r="F3089" s="41" t="str">
        <f aca="false">IF(D3089="","",IFERROR(IF(ISNUMBER(SEARCH(Assumptions!$C$5,D3089)),Assumptions!$D$5,IF(ISNUMBER(SEARCH(Assumptions!$C$6,D3089)),Assumptions!$D$6,IF(ISNUMBER(SEARCH(Assumptions!$C$7,D3089)),Assumptions!$D$7,"Other Services"))),"Other Services"))</f>
        <v/>
      </c>
    </row>
    <row r="3090" customFormat="false" ht="15" hidden="false" customHeight="false" outlineLevel="0" collapsed="false">
      <c r="F3090" s="41" t="str">
        <f aca="false">IF(D3090="","",IFERROR(IF(ISNUMBER(SEARCH(Assumptions!$C$5,D3090)),Assumptions!$D$5,IF(ISNUMBER(SEARCH(Assumptions!$C$6,D3090)),Assumptions!$D$6,IF(ISNUMBER(SEARCH(Assumptions!$C$7,D3090)),Assumptions!$D$7,"Other Services"))),"Other Services"))</f>
        <v/>
      </c>
    </row>
    <row r="3091" customFormat="false" ht="15" hidden="false" customHeight="false" outlineLevel="0" collapsed="false">
      <c r="F3091" s="41" t="str">
        <f aca="false">IF(D3091="","",IFERROR(IF(ISNUMBER(SEARCH(Assumptions!$C$5,D3091)),Assumptions!$D$5,IF(ISNUMBER(SEARCH(Assumptions!$C$6,D3091)),Assumptions!$D$6,IF(ISNUMBER(SEARCH(Assumptions!$C$7,D3091)),Assumptions!$D$7,"Other Services"))),"Other Services"))</f>
        <v/>
      </c>
    </row>
    <row r="3092" customFormat="false" ht="15" hidden="false" customHeight="false" outlineLevel="0" collapsed="false">
      <c r="F3092" s="41" t="str">
        <f aca="false">IF(D3092="","",IFERROR(IF(ISNUMBER(SEARCH(Assumptions!$C$5,D3092)),Assumptions!$D$5,IF(ISNUMBER(SEARCH(Assumptions!$C$6,D3092)),Assumptions!$D$6,IF(ISNUMBER(SEARCH(Assumptions!$C$7,D3092)),Assumptions!$D$7,"Other Services"))),"Other Services"))</f>
        <v/>
      </c>
    </row>
    <row r="3093" customFormat="false" ht="15" hidden="false" customHeight="false" outlineLevel="0" collapsed="false">
      <c r="F3093" s="41" t="str">
        <f aca="false">IF(D3093="","",IFERROR(IF(ISNUMBER(SEARCH(Assumptions!$C$5,D3093)),Assumptions!$D$5,IF(ISNUMBER(SEARCH(Assumptions!$C$6,D3093)),Assumptions!$D$6,IF(ISNUMBER(SEARCH(Assumptions!$C$7,D3093)),Assumptions!$D$7,"Other Services"))),"Other Services"))</f>
        <v/>
      </c>
    </row>
    <row r="3094" customFormat="false" ht="15" hidden="false" customHeight="false" outlineLevel="0" collapsed="false">
      <c r="F3094" s="41" t="str">
        <f aca="false">IF(D3094="","",IFERROR(IF(ISNUMBER(SEARCH(Assumptions!$C$5,D3094)),Assumptions!$D$5,IF(ISNUMBER(SEARCH(Assumptions!$C$6,D3094)),Assumptions!$D$6,IF(ISNUMBER(SEARCH(Assumptions!$C$7,D3094)),Assumptions!$D$7,"Other Services"))),"Other Services"))</f>
        <v/>
      </c>
    </row>
    <row r="3095" customFormat="false" ht="15" hidden="false" customHeight="false" outlineLevel="0" collapsed="false">
      <c r="F3095" s="41" t="str">
        <f aca="false">IF(D3095="","",IFERROR(IF(ISNUMBER(SEARCH(Assumptions!$C$5,D3095)),Assumptions!$D$5,IF(ISNUMBER(SEARCH(Assumptions!$C$6,D3095)),Assumptions!$D$6,IF(ISNUMBER(SEARCH(Assumptions!$C$7,D3095)),Assumptions!$D$7,"Other Services"))),"Other Services"))</f>
        <v/>
      </c>
    </row>
    <row r="3096" customFormat="false" ht="15" hidden="false" customHeight="false" outlineLevel="0" collapsed="false">
      <c r="F3096" s="41" t="str">
        <f aca="false">IF(D3096="","",IFERROR(IF(ISNUMBER(SEARCH(Assumptions!$C$5,D3096)),Assumptions!$D$5,IF(ISNUMBER(SEARCH(Assumptions!$C$6,D3096)),Assumptions!$D$6,IF(ISNUMBER(SEARCH(Assumptions!$C$7,D3096)),Assumptions!$D$7,"Other Services"))),"Other Services"))</f>
        <v/>
      </c>
    </row>
    <row r="3097" customFormat="false" ht="15" hidden="false" customHeight="false" outlineLevel="0" collapsed="false">
      <c r="F3097" s="41" t="str">
        <f aca="false">IF(D3097="","",IFERROR(IF(ISNUMBER(SEARCH(Assumptions!$C$5,D3097)),Assumptions!$D$5,IF(ISNUMBER(SEARCH(Assumptions!$C$6,D3097)),Assumptions!$D$6,IF(ISNUMBER(SEARCH(Assumptions!$C$7,D3097)),Assumptions!$D$7,"Other Services"))),"Other Services"))</f>
        <v/>
      </c>
    </row>
    <row r="3098" customFormat="false" ht="15" hidden="false" customHeight="false" outlineLevel="0" collapsed="false">
      <c r="F3098" s="41" t="str">
        <f aca="false">IF(D3098="","",IFERROR(IF(ISNUMBER(SEARCH(Assumptions!$C$5,D3098)),Assumptions!$D$5,IF(ISNUMBER(SEARCH(Assumptions!$C$6,D3098)),Assumptions!$D$6,IF(ISNUMBER(SEARCH(Assumptions!$C$7,D3098)),Assumptions!$D$7,"Other Services"))),"Other Services"))</f>
        <v/>
      </c>
    </row>
    <row r="3099" customFormat="false" ht="15" hidden="false" customHeight="false" outlineLevel="0" collapsed="false">
      <c r="F3099" s="41" t="str">
        <f aca="false">IF(D3099="","",IFERROR(IF(ISNUMBER(SEARCH(Assumptions!$C$5,D3099)),Assumptions!$D$5,IF(ISNUMBER(SEARCH(Assumptions!$C$6,D3099)),Assumptions!$D$6,IF(ISNUMBER(SEARCH(Assumptions!$C$7,D3099)),Assumptions!$D$7,"Other Services"))),"Other Services"))</f>
        <v/>
      </c>
    </row>
    <row r="3100" customFormat="false" ht="15" hidden="false" customHeight="false" outlineLevel="0" collapsed="false">
      <c r="F3100" s="41" t="str">
        <f aca="false">IF(D3100="","",IFERROR(IF(ISNUMBER(SEARCH(Assumptions!$C$5,D3100)),Assumptions!$D$5,IF(ISNUMBER(SEARCH(Assumptions!$C$6,D3100)),Assumptions!$D$6,IF(ISNUMBER(SEARCH(Assumptions!$C$7,D3100)),Assumptions!$D$7,"Other Services"))),"Other Services"))</f>
        <v/>
      </c>
    </row>
    <row r="3101" customFormat="false" ht="15" hidden="false" customHeight="false" outlineLevel="0" collapsed="false">
      <c r="F3101" s="41" t="str">
        <f aca="false">IF(D3101="","",IFERROR(IF(ISNUMBER(SEARCH(Assumptions!$C$5,D3101)),Assumptions!$D$5,IF(ISNUMBER(SEARCH(Assumptions!$C$6,D3101)),Assumptions!$D$6,IF(ISNUMBER(SEARCH(Assumptions!$C$7,D3101)),Assumptions!$D$7,"Other Services"))),"Other Services"))</f>
        <v/>
      </c>
    </row>
    <row r="3102" customFormat="false" ht="15" hidden="false" customHeight="false" outlineLevel="0" collapsed="false">
      <c r="F3102" s="41" t="str">
        <f aca="false">IF(D3102="","",IFERROR(IF(ISNUMBER(SEARCH(Assumptions!$C$5,D3102)),Assumptions!$D$5,IF(ISNUMBER(SEARCH(Assumptions!$C$6,D3102)),Assumptions!$D$6,IF(ISNUMBER(SEARCH(Assumptions!$C$7,D3102)),Assumptions!$D$7,"Other Services"))),"Other Services"))</f>
        <v/>
      </c>
    </row>
    <row r="3103" customFormat="false" ht="15" hidden="false" customHeight="false" outlineLevel="0" collapsed="false">
      <c r="F3103" s="41" t="str">
        <f aca="false">IF(D3103="","",IFERROR(IF(ISNUMBER(SEARCH(Assumptions!$C$5,D3103)),Assumptions!$D$5,IF(ISNUMBER(SEARCH(Assumptions!$C$6,D3103)),Assumptions!$D$6,IF(ISNUMBER(SEARCH(Assumptions!$C$7,D3103)),Assumptions!$D$7,"Other Services"))),"Other Services"))</f>
        <v/>
      </c>
    </row>
    <row r="3104" customFormat="false" ht="15" hidden="false" customHeight="false" outlineLevel="0" collapsed="false">
      <c r="F3104" s="41" t="str">
        <f aca="false">IF(D3104="","",IFERROR(IF(ISNUMBER(SEARCH(Assumptions!$C$5,D3104)),Assumptions!$D$5,IF(ISNUMBER(SEARCH(Assumptions!$C$6,D3104)),Assumptions!$D$6,IF(ISNUMBER(SEARCH(Assumptions!$C$7,D3104)),Assumptions!$D$7,"Other Services"))),"Other Services"))</f>
        <v/>
      </c>
    </row>
    <row r="3105" customFormat="false" ht="15" hidden="false" customHeight="false" outlineLevel="0" collapsed="false">
      <c r="F3105" s="41" t="str">
        <f aca="false">IF(D3105="","",IFERROR(IF(ISNUMBER(SEARCH(Assumptions!$C$5,D3105)),Assumptions!$D$5,IF(ISNUMBER(SEARCH(Assumptions!$C$6,D3105)),Assumptions!$D$6,IF(ISNUMBER(SEARCH(Assumptions!$C$7,D3105)),Assumptions!$D$7,"Other Services"))),"Other Services"))</f>
        <v/>
      </c>
    </row>
    <row r="3106" customFormat="false" ht="15" hidden="false" customHeight="false" outlineLevel="0" collapsed="false">
      <c r="F3106" s="41" t="str">
        <f aca="false">IF(D3106="","",IFERROR(IF(ISNUMBER(SEARCH(Assumptions!$C$5,D3106)),Assumptions!$D$5,IF(ISNUMBER(SEARCH(Assumptions!$C$6,D3106)),Assumptions!$D$6,IF(ISNUMBER(SEARCH(Assumptions!$C$7,D3106)),Assumptions!$D$7,"Other Services"))),"Other Services"))</f>
        <v/>
      </c>
    </row>
    <row r="3107" customFormat="false" ht="15" hidden="false" customHeight="false" outlineLevel="0" collapsed="false">
      <c r="F3107" s="41" t="str">
        <f aca="false">IF(D3107="","",IFERROR(IF(ISNUMBER(SEARCH(Assumptions!$C$5,D3107)),Assumptions!$D$5,IF(ISNUMBER(SEARCH(Assumptions!$C$6,D3107)),Assumptions!$D$6,IF(ISNUMBER(SEARCH(Assumptions!$C$7,D3107)),Assumptions!$D$7,"Other Services"))),"Other Services"))</f>
        <v/>
      </c>
    </row>
    <row r="3108" customFormat="false" ht="15" hidden="false" customHeight="false" outlineLevel="0" collapsed="false">
      <c r="F3108" s="41" t="str">
        <f aca="false">IF(D3108="","",IFERROR(IF(ISNUMBER(SEARCH(Assumptions!$C$5,D3108)),Assumptions!$D$5,IF(ISNUMBER(SEARCH(Assumptions!$C$6,D3108)),Assumptions!$D$6,IF(ISNUMBER(SEARCH(Assumptions!$C$7,D3108)),Assumptions!$D$7,"Other Services"))),"Other Services"))</f>
        <v/>
      </c>
    </row>
    <row r="3109" customFormat="false" ht="15" hidden="false" customHeight="false" outlineLevel="0" collapsed="false">
      <c r="F3109" s="41" t="str">
        <f aca="false">IF(D3109="","",IFERROR(IF(ISNUMBER(SEARCH(Assumptions!$C$5,D3109)),Assumptions!$D$5,IF(ISNUMBER(SEARCH(Assumptions!$C$6,D3109)),Assumptions!$D$6,IF(ISNUMBER(SEARCH(Assumptions!$C$7,D3109)),Assumptions!$D$7,"Other Services"))),"Other Services"))</f>
        <v/>
      </c>
    </row>
    <row r="3110" customFormat="false" ht="15" hidden="false" customHeight="false" outlineLevel="0" collapsed="false">
      <c r="F3110" s="41" t="str">
        <f aca="false">IF(D3110="","",IFERROR(IF(ISNUMBER(SEARCH(Assumptions!$C$5,D3110)),Assumptions!$D$5,IF(ISNUMBER(SEARCH(Assumptions!$C$6,D3110)),Assumptions!$D$6,IF(ISNUMBER(SEARCH(Assumptions!$C$7,D3110)),Assumptions!$D$7,"Other Services"))),"Other Services"))</f>
        <v/>
      </c>
    </row>
    <row r="3111" customFormat="false" ht="15" hidden="false" customHeight="false" outlineLevel="0" collapsed="false">
      <c r="F3111" s="41" t="str">
        <f aca="false">IF(D3111="","",IFERROR(IF(ISNUMBER(SEARCH(Assumptions!$C$5,D3111)),Assumptions!$D$5,IF(ISNUMBER(SEARCH(Assumptions!$C$6,D3111)),Assumptions!$D$6,IF(ISNUMBER(SEARCH(Assumptions!$C$7,D3111)),Assumptions!$D$7,"Other Services"))),"Other Services"))</f>
        <v/>
      </c>
    </row>
    <row r="3112" customFormat="false" ht="15" hidden="false" customHeight="false" outlineLevel="0" collapsed="false">
      <c r="F3112" s="41" t="str">
        <f aca="false">IF(D3112="","",IFERROR(IF(ISNUMBER(SEARCH(Assumptions!$C$5,D3112)),Assumptions!$D$5,IF(ISNUMBER(SEARCH(Assumptions!$C$6,D3112)),Assumptions!$D$6,IF(ISNUMBER(SEARCH(Assumptions!$C$7,D3112)),Assumptions!$D$7,"Other Services"))),"Other Services"))</f>
        <v/>
      </c>
    </row>
    <row r="3113" customFormat="false" ht="15" hidden="false" customHeight="false" outlineLevel="0" collapsed="false">
      <c r="F3113" s="41" t="str">
        <f aca="false">IF(D3113="","",IFERROR(IF(ISNUMBER(SEARCH(Assumptions!$C$5,D3113)),Assumptions!$D$5,IF(ISNUMBER(SEARCH(Assumptions!$C$6,D3113)),Assumptions!$D$6,IF(ISNUMBER(SEARCH(Assumptions!$C$7,D3113)),Assumptions!$D$7,"Other Services"))),"Other Services"))</f>
        <v/>
      </c>
    </row>
    <row r="3114" customFormat="false" ht="15" hidden="false" customHeight="false" outlineLevel="0" collapsed="false">
      <c r="F3114" s="41" t="str">
        <f aca="false">IF(D3114="","",IFERROR(IF(ISNUMBER(SEARCH(Assumptions!$C$5,D3114)),Assumptions!$D$5,IF(ISNUMBER(SEARCH(Assumptions!$C$6,D3114)),Assumptions!$D$6,IF(ISNUMBER(SEARCH(Assumptions!$C$7,D3114)),Assumptions!$D$7,"Other Services"))),"Other Services"))</f>
        <v/>
      </c>
    </row>
    <row r="3115" customFormat="false" ht="15" hidden="false" customHeight="false" outlineLevel="0" collapsed="false">
      <c r="F3115" s="41" t="str">
        <f aca="false">IF(D3115="","",IFERROR(IF(ISNUMBER(SEARCH(Assumptions!$C$5,D3115)),Assumptions!$D$5,IF(ISNUMBER(SEARCH(Assumptions!$C$6,D3115)),Assumptions!$D$6,IF(ISNUMBER(SEARCH(Assumptions!$C$7,D3115)),Assumptions!$D$7,"Other Services"))),"Other Services"))</f>
        <v/>
      </c>
    </row>
    <row r="3116" customFormat="false" ht="15" hidden="false" customHeight="false" outlineLevel="0" collapsed="false">
      <c r="F3116" s="41" t="str">
        <f aca="false">IF(D3116="","",IFERROR(IF(ISNUMBER(SEARCH(Assumptions!$C$5,D3116)),Assumptions!$D$5,IF(ISNUMBER(SEARCH(Assumptions!$C$6,D3116)),Assumptions!$D$6,IF(ISNUMBER(SEARCH(Assumptions!$C$7,D3116)),Assumptions!$D$7,"Other Services"))),"Other Services"))</f>
        <v/>
      </c>
    </row>
    <row r="3117" customFormat="false" ht="15" hidden="false" customHeight="false" outlineLevel="0" collapsed="false">
      <c r="F3117" s="41" t="str">
        <f aca="false">IF(D3117="","",IFERROR(IF(ISNUMBER(SEARCH(Assumptions!$C$5,D3117)),Assumptions!$D$5,IF(ISNUMBER(SEARCH(Assumptions!$C$6,D3117)),Assumptions!$D$6,IF(ISNUMBER(SEARCH(Assumptions!$C$7,D3117)),Assumptions!$D$7,"Other Services"))),"Other Services"))</f>
        <v/>
      </c>
    </row>
    <row r="3118" customFormat="false" ht="15" hidden="false" customHeight="false" outlineLevel="0" collapsed="false">
      <c r="F3118" s="41" t="str">
        <f aca="false">IF(D3118="","",IFERROR(IF(ISNUMBER(SEARCH(Assumptions!$C$5,D3118)),Assumptions!$D$5,IF(ISNUMBER(SEARCH(Assumptions!$C$6,D3118)),Assumptions!$D$6,IF(ISNUMBER(SEARCH(Assumptions!$C$7,D3118)),Assumptions!$D$7,"Other Services"))),"Other Services"))</f>
        <v/>
      </c>
    </row>
    <row r="3119" customFormat="false" ht="15" hidden="false" customHeight="false" outlineLevel="0" collapsed="false">
      <c r="F3119" s="41" t="str">
        <f aca="false">IF(D3119="","",IFERROR(IF(ISNUMBER(SEARCH(Assumptions!$C$5,D3119)),Assumptions!$D$5,IF(ISNUMBER(SEARCH(Assumptions!$C$6,D3119)),Assumptions!$D$6,IF(ISNUMBER(SEARCH(Assumptions!$C$7,D3119)),Assumptions!$D$7,"Other Services"))),"Other Services"))</f>
        <v/>
      </c>
    </row>
    <row r="3120" customFormat="false" ht="15" hidden="false" customHeight="false" outlineLevel="0" collapsed="false">
      <c r="F3120" s="41" t="str">
        <f aca="false">IF(D3120="","",IFERROR(IF(ISNUMBER(SEARCH(Assumptions!$C$5,D3120)),Assumptions!$D$5,IF(ISNUMBER(SEARCH(Assumptions!$C$6,D3120)),Assumptions!$D$6,IF(ISNUMBER(SEARCH(Assumptions!$C$7,D3120)),Assumptions!$D$7,"Other Services"))),"Other Services"))</f>
        <v/>
      </c>
    </row>
    <row r="3121" customFormat="false" ht="15" hidden="false" customHeight="false" outlineLevel="0" collapsed="false">
      <c r="F3121" s="41" t="str">
        <f aca="false">IF(D3121="","",IFERROR(IF(ISNUMBER(SEARCH(Assumptions!$C$5,D3121)),Assumptions!$D$5,IF(ISNUMBER(SEARCH(Assumptions!$C$6,D3121)),Assumptions!$D$6,IF(ISNUMBER(SEARCH(Assumptions!$C$7,D3121)),Assumptions!$D$7,"Other Services"))),"Other Services"))</f>
        <v/>
      </c>
    </row>
    <row r="3122" customFormat="false" ht="15" hidden="false" customHeight="false" outlineLevel="0" collapsed="false">
      <c r="F3122" s="41" t="str">
        <f aca="false">IF(D3122="","",IFERROR(IF(ISNUMBER(SEARCH(Assumptions!$C$5,D3122)),Assumptions!$D$5,IF(ISNUMBER(SEARCH(Assumptions!$C$6,D3122)),Assumptions!$D$6,IF(ISNUMBER(SEARCH(Assumptions!$C$7,D3122)),Assumptions!$D$7,"Other Services"))),"Other Services"))</f>
        <v/>
      </c>
    </row>
    <row r="3123" customFormat="false" ht="15" hidden="false" customHeight="false" outlineLevel="0" collapsed="false">
      <c r="F3123" s="41" t="str">
        <f aca="false">IF(D3123="","",IFERROR(IF(ISNUMBER(SEARCH(Assumptions!$C$5,D3123)),Assumptions!$D$5,IF(ISNUMBER(SEARCH(Assumptions!$C$6,D3123)),Assumptions!$D$6,IF(ISNUMBER(SEARCH(Assumptions!$C$7,D3123)),Assumptions!$D$7,"Other Services"))),"Other Services"))</f>
        <v/>
      </c>
    </row>
    <row r="3124" customFormat="false" ht="15" hidden="false" customHeight="false" outlineLevel="0" collapsed="false">
      <c r="F3124" s="41" t="str">
        <f aca="false">IF(D3124="","",IFERROR(IF(ISNUMBER(SEARCH(Assumptions!$C$5,D3124)),Assumptions!$D$5,IF(ISNUMBER(SEARCH(Assumptions!$C$6,D3124)),Assumptions!$D$6,IF(ISNUMBER(SEARCH(Assumptions!$C$7,D3124)),Assumptions!$D$7,"Other Services"))),"Other Services"))</f>
        <v/>
      </c>
    </row>
    <row r="3125" customFormat="false" ht="15" hidden="false" customHeight="false" outlineLevel="0" collapsed="false">
      <c r="F3125" s="41" t="str">
        <f aca="false">IF(D3125="","",IFERROR(IF(ISNUMBER(SEARCH(Assumptions!$C$5,D3125)),Assumptions!$D$5,IF(ISNUMBER(SEARCH(Assumptions!$C$6,D3125)),Assumptions!$D$6,IF(ISNUMBER(SEARCH(Assumptions!$C$7,D3125)),Assumptions!$D$7,"Other Services"))),"Other Services"))</f>
        <v/>
      </c>
    </row>
    <row r="3126" customFormat="false" ht="15" hidden="false" customHeight="false" outlineLevel="0" collapsed="false">
      <c r="F3126" s="41" t="str">
        <f aca="false">IF(D3126="","",IFERROR(IF(ISNUMBER(SEARCH(Assumptions!$C$5,D3126)),Assumptions!$D$5,IF(ISNUMBER(SEARCH(Assumptions!$C$6,D3126)),Assumptions!$D$6,IF(ISNUMBER(SEARCH(Assumptions!$C$7,D3126)),Assumptions!$D$7,"Other Services"))),"Other Services"))</f>
        <v/>
      </c>
    </row>
    <row r="3127" customFormat="false" ht="15" hidden="false" customHeight="false" outlineLevel="0" collapsed="false">
      <c r="F3127" s="41" t="str">
        <f aca="false">IF(D3127="","",IFERROR(IF(ISNUMBER(SEARCH(Assumptions!$C$5,D3127)),Assumptions!$D$5,IF(ISNUMBER(SEARCH(Assumptions!$C$6,D3127)),Assumptions!$D$6,IF(ISNUMBER(SEARCH(Assumptions!$C$7,D3127)),Assumptions!$D$7,"Other Services"))),"Other Services"))</f>
        <v/>
      </c>
    </row>
    <row r="3128" customFormat="false" ht="15" hidden="false" customHeight="false" outlineLevel="0" collapsed="false">
      <c r="F3128" s="41" t="str">
        <f aca="false">IF(D3128="","",IFERROR(IF(ISNUMBER(SEARCH(Assumptions!$C$5,D3128)),Assumptions!$D$5,IF(ISNUMBER(SEARCH(Assumptions!$C$6,D3128)),Assumptions!$D$6,IF(ISNUMBER(SEARCH(Assumptions!$C$7,D3128)),Assumptions!$D$7,"Other Services"))),"Other Services"))</f>
        <v/>
      </c>
    </row>
    <row r="3129" customFormat="false" ht="15" hidden="false" customHeight="false" outlineLevel="0" collapsed="false">
      <c r="F3129" s="41" t="str">
        <f aca="false">IF(D3129="","",IFERROR(IF(ISNUMBER(SEARCH(Assumptions!$C$5,D3129)),Assumptions!$D$5,IF(ISNUMBER(SEARCH(Assumptions!$C$6,D3129)),Assumptions!$D$6,IF(ISNUMBER(SEARCH(Assumptions!$C$7,D3129)),Assumptions!$D$7,"Other Services"))),"Other Services"))</f>
        <v/>
      </c>
    </row>
    <row r="3130" customFormat="false" ht="15" hidden="false" customHeight="false" outlineLevel="0" collapsed="false">
      <c r="F3130" s="41" t="str">
        <f aca="false">IF(D3130="","",IFERROR(IF(ISNUMBER(SEARCH(Assumptions!$C$5,D3130)),Assumptions!$D$5,IF(ISNUMBER(SEARCH(Assumptions!$C$6,D3130)),Assumptions!$D$6,IF(ISNUMBER(SEARCH(Assumptions!$C$7,D3130)),Assumptions!$D$7,"Other Services"))),"Other Services"))</f>
        <v/>
      </c>
    </row>
    <row r="3131" customFormat="false" ht="15" hidden="false" customHeight="false" outlineLevel="0" collapsed="false">
      <c r="F3131" s="41" t="str">
        <f aca="false">IF(D3131="","",IFERROR(IF(ISNUMBER(SEARCH(Assumptions!$C$5,D3131)),Assumptions!$D$5,IF(ISNUMBER(SEARCH(Assumptions!$C$6,D3131)),Assumptions!$D$6,IF(ISNUMBER(SEARCH(Assumptions!$C$7,D3131)),Assumptions!$D$7,"Other Services"))),"Other Services"))</f>
        <v/>
      </c>
    </row>
    <row r="3132" customFormat="false" ht="15" hidden="false" customHeight="false" outlineLevel="0" collapsed="false">
      <c r="F3132" s="41" t="str">
        <f aca="false">IF(D3132="","",IFERROR(IF(ISNUMBER(SEARCH(Assumptions!$C$5,D3132)),Assumptions!$D$5,IF(ISNUMBER(SEARCH(Assumptions!$C$6,D3132)),Assumptions!$D$6,IF(ISNUMBER(SEARCH(Assumptions!$C$7,D3132)),Assumptions!$D$7,"Other Services"))),"Other Services"))</f>
        <v/>
      </c>
    </row>
    <row r="3133" customFormat="false" ht="15" hidden="false" customHeight="false" outlineLevel="0" collapsed="false">
      <c r="F3133" s="41" t="str">
        <f aca="false">IF(D3133="","",IFERROR(IF(ISNUMBER(SEARCH(Assumptions!$C$5,D3133)),Assumptions!$D$5,IF(ISNUMBER(SEARCH(Assumptions!$C$6,D3133)),Assumptions!$D$6,IF(ISNUMBER(SEARCH(Assumptions!$C$7,D3133)),Assumptions!$D$7,"Other Services"))),"Other Services"))</f>
        <v/>
      </c>
    </row>
    <row r="3134" customFormat="false" ht="15" hidden="false" customHeight="false" outlineLevel="0" collapsed="false">
      <c r="F3134" s="41" t="str">
        <f aca="false">IF(D3134="","",IFERROR(IF(ISNUMBER(SEARCH(Assumptions!$C$5,D3134)),Assumptions!$D$5,IF(ISNUMBER(SEARCH(Assumptions!$C$6,D3134)),Assumptions!$D$6,IF(ISNUMBER(SEARCH(Assumptions!$C$7,D3134)),Assumptions!$D$7,"Other Services"))),"Other Services"))</f>
        <v/>
      </c>
    </row>
    <row r="3135" customFormat="false" ht="15" hidden="false" customHeight="false" outlineLevel="0" collapsed="false">
      <c r="F3135" s="41" t="str">
        <f aca="false">IF(D3135="","",IFERROR(IF(ISNUMBER(SEARCH(Assumptions!$C$5,D3135)),Assumptions!$D$5,IF(ISNUMBER(SEARCH(Assumptions!$C$6,D3135)),Assumptions!$D$6,IF(ISNUMBER(SEARCH(Assumptions!$C$7,D3135)),Assumptions!$D$7,"Other Services"))),"Other Services"))</f>
        <v/>
      </c>
    </row>
    <row r="3136" customFormat="false" ht="15" hidden="false" customHeight="false" outlineLevel="0" collapsed="false">
      <c r="F3136" s="41" t="str">
        <f aca="false">IF(D3136="","",IFERROR(IF(ISNUMBER(SEARCH(Assumptions!$C$5,D3136)),Assumptions!$D$5,IF(ISNUMBER(SEARCH(Assumptions!$C$6,D3136)),Assumptions!$D$6,IF(ISNUMBER(SEARCH(Assumptions!$C$7,D3136)),Assumptions!$D$7,"Other Services"))),"Other Services"))</f>
        <v/>
      </c>
    </row>
    <row r="3137" customFormat="false" ht="15" hidden="false" customHeight="false" outlineLevel="0" collapsed="false">
      <c r="F3137" s="41" t="str">
        <f aca="false">IF(D3137="","",IFERROR(IF(ISNUMBER(SEARCH(Assumptions!$C$5,D3137)),Assumptions!$D$5,IF(ISNUMBER(SEARCH(Assumptions!$C$6,D3137)),Assumptions!$D$6,IF(ISNUMBER(SEARCH(Assumptions!$C$7,D3137)),Assumptions!$D$7,"Other Services"))),"Other Services"))</f>
        <v/>
      </c>
    </row>
    <row r="3138" customFormat="false" ht="15" hidden="false" customHeight="false" outlineLevel="0" collapsed="false">
      <c r="F3138" s="41" t="str">
        <f aca="false">IF(D3138="","",IFERROR(IF(ISNUMBER(SEARCH(Assumptions!$C$5,D3138)),Assumptions!$D$5,IF(ISNUMBER(SEARCH(Assumptions!$C$6,D3138)),Assumptions!$D$6,IF(ISNUMBER(SEARCH(Assumptions!$C$7,D3138)),Assumptions!$D$7,"Other Services"))),"Other Services"))</f>
        <v/>
      </c>
    </row>
    <row r="3139" customFormat="false" ht="15" hidden="false" customHeight="false" outlineLevel="0" collapsed="false">
      <c r="F3139" s="41" t="str">
        <f aca="false">IF(D3139="","",IFERROR(IF(ISNUMBER(SEARCH(Assumptions!$C$5,D3139)),Assumptions!$D$5,IF(ISNUMBER(SEARCH(Assumptions!$C$6,D3139)),Assumptions!$D$6,IF(ISNUMBER(SEARCH(Assumptions!$C$7,D3139)),Assumptions!$D$7,"Other Services"))),"Other Services"))</f>
        <v/>
      </c>
    </row>
    <row r="3140" customFormat="false" ht="15" hidden="false" customHeight="false" outlineLevel="0" collapsed="false">
      <c r="F3140" s="41" t="str">
        <f aca="false">IF(D3140="","",IFERROR(IF(ISNUMBER(SEARCH(Assumptions!$C$5,D3140)),Assumptions!$D$5,IF(ISNUMBER(SEARCH(Assumptions!$C$6,D3140)),Assumptions!$D$6,IF(ISNUMBER(SEARCH(Assumptions!$C$7,D3140)),Assumptions!$D$7,"Other Services"))),"Other Services"))</f>
        <v/>
      </c>
    </row>
    <row r="3141" customFormat="false" ht="15" hidden="false" customHeight="false" outlineLevel="0" collapsed="false">
      <c r="F3141" s="41" t="str">
        <f aca="false">IF(D3141="","",IFERROR(IF(ISNUMBER(SEARCH(Assumptions!$C$5,D3141)),Assumptions!$D$5,IF(ISNUMBER(SEARCH(Assumptions!$C$6,D3141)),Assumptions!$D$6,IF(ISNUMBER(SEARCH(Assumptions!$C$7,D3141)),Assumptions!$D$7,"Other Services"))),"Other Services"))</f>
        <v/>
      </c>
    </row>
    <row r="3142" customFormat="false" ht="15" hidden="false" customHeight="false" outlineLevel="0" collapsed="false">
      <c r="F3142" s="41" t="str">
        <f aca="false">IF(D3142="","",IFERROR(IF(ISNUMBER(SEARCH(Assumptions!$C$5,D3142)),Assumptions!$D$5,IF(ISNUMBER(SEARCH(Assumptions!$C$6,D3142)),Assumptions!$D$6,IF(ISNUMBER(SEARCH(Assumptions!$C$7,D3142)),Assumptions!$D$7,"Other Services"))),"Other Services"))</f>
        <v/>
      </c>
    </row>
    <row r="3143" customFormat="false" ht="15" hidden="false" customHeight="false" outlineLevel="0" collapsed="false">
      <c r="F3143" s="41" t="str">
        <f aca="false">IF(D3143="","",IFERROR(IF(ISNUMBER(SEARCH(Assumptions!$C$5,D3143)),Assumptions!$D$5,IF(ISNUMBER(SEARCH(Assumptions!$C$6,D3143)),Assumptions!$D$6,IF(ISNUMBER(SEARCH(Assumptions!$C$7,D3143)),Assumptions!$D$7,"Other Services"))),"Other Services"))</f>
        <v/>
      </c>
    </row>
    <row r="3144" customFormat="false" ht="15" hidden="false" customHeight="false" outlineLevel="0" collapsed="false">
      <c r="F3144" s="41" t="str">
        <f aca="false">IF(D3144="","",IFERROR(IF(ISNUMBER(SEARCH(Assumptions!$C$5,D3144)),Assumptions!$D$5,IF(ISNUMBER(SEARCH(Assumptions!$C$6,D3144)),Assumptions!$D$6,IF(ISNUMBER(SEARCH(Assumptions!$C$7,D3144)),Assumptions!$D$7,"Other Services"))),"Other Services"))</f>
        <v/>
      </c>
    </row>
    <row r="3145" customFormat="false" ht="15" hidden="false" customHeight="false" outlineLevel="0" collapsed="false">
      <c r="F3145" s="41" t="str">
        <f aca="false">IF(D3145="","",IFERROR(IF(ISNUMBER(SEARCH(Assumptions!$C$5,D3145)),Assumptions!$D$5,IF(ISNUMBER(SEARCH(Assumptions!$C$6,D3145)),Assumptions!$D$6,IF(ISNUMBER(SEARCH(Assumptions!$C$7,D3145)),Assumptions!$D$7,"Other Services"))),"Other Services"))</f>
        <v/>
      </c>
    </row>
    <row r="3146" customFormat="false" ht="15" hidden="false" customHeight="false" outlineLevel="0" collapsed="false">
      <c r="F3146" s="41" t="str">
        <f aca="false">IF(D3146="","",IFERROR(IF(ISNUMBER(SEARCH(Assumptions!$C$5,D3146)),Assumptions!$D$5,IF(ISNUMBER(SEARCH(Assumptions!$C$6,D3146)),Assumptions!$D$6,IF(ISNUMBER(SEARCH(Assumptions!$C$7,D3146)),Assumptions!$D$7,"Other Services"))),"Other Services"))</f>
        <v/>
      </c>
    </row>
    <row r="3147" customFormat="false" ht="15" hidden="false" customHeight="false" outlineLevel="0" collapsed="false">
      <c r="F3147" s="41" t="str">
        <f aca="false">IF(D3147="","",IFERROR(IF(ISNUMBER(SEARCH(Assumptions!$C$5,D3147)),Assumptions!$D$5,IF(ISNUMBER(SEARCH(Assumptions!$C$6,D3147)),Assumptions!$D$6,IF(ISNUMBER(SEARCH(Assumptions!$C$7,D3147)),Assumptions!$D$7,"Other Services"))),"Other Services"))</f>
        <v/>
      </c>
    </row>
    <row r="3148" customFormat="false" ht="15" hidden="false" customHeight="false" outlineLevel="0" collapsed="false">
      <c r="F3148" s="41" t="str">
        <f aca="false">IF(D3148="","",IFERROR(IF(ISNUMBER(SEARCH(Assumptions!$C$5,D3148)),Assumptions!$D$5,IF(ISNUMBER(SEARCH(Assumptions!$C$6,D3148)),Assumptions!$D$6,IF(ISNUMBER(SEARCH(Assumptions!$C$7,D3148)),Assumptions!$D$7,"Other Services"))),"Other Services"))</f>
        <v/>
      </c>
    </row>
    <row r="3149" customFormat="false" ht="15" hidden="false" customHeight="false" outlineLevel="0" collapsed="false">
      <c r="F3149" s="41" t="str">
        <f aca="false">IF(D3149="","",IFERROR(IF(ISNUMBER(SEARCH(Assumptions!$C$5,D3149)),Assumptions!$D$5,IF(ISNUMBER(SEARCH(Assumptions!$C$6,D3149)),Assumptions!$D$6,IF(ISNUMBER(SEARCH(Assumptions!$C$7,D3149)),Assumptions!$D$7,"Other Services"))),"Other Services"))</f>
        <v/>
      </c>
    </row>
    <row r="3150" customFormat="false" ht="15" hidden="false" customHeight="false" outlineLevel="0" collapsed="false">
      <c r="F3150" s="41" t="str">
        <f aca="false">IF(D3150="","",IFERROR(IF(ISNUMBER(SEARCH(Assumptions!$C$5,D3150)),Assumptions!$D$5,IF(ISNUMBER(SEARCH(Assumptions!$C$6,D3150)),Assumptions!$D$6,IF(ISNUMBER(SEARCH(Assumptions!$C$7,D3150)),Assumptions!$D$7,"Other Services"))),"Other Services"))</f>
        <v/>
      </c>
    </row>
    <row r="3151" customFormat="false" ht="15" hidden="false" customHeight="false" outlineLevel="0" collapsed="false">
      <c r="F3151" s="41" t="str">
        <f aca="false">IF(D3151="","",IFERROR(IF(ISNUMBER(SEARCH(Assumptions!$C$5,D3151)),Assumptions!$D$5,IF(ISNUMBER(SEARCH(Assumptions!$C$6,D3151)),Assumptions!$D$6,IF(ISNUMBER(SEARCH(Assumptions!$C$7,D3151)),Assumptions!$D$7,"Other Services"))),"Other Services"))</f>
        <v/>
      </c>
    </row>
    <row r="3152" customFormat="false" ht="15" hidden="false" customHeight="false" outlineLevel="0" collapsed="false">
      <c r="F3152" s="41" t="str">
        <f aca="false">IF(D3152="","",IFERROR(IF(ISNUMBER(SEARCH(Assumptions!$C$5,D3152)),Assumptions!$D$5,IF(ISNUMBER(SEARCH(Assumptions!$C$6,D3152)),Assumptions!$D$6,IF(ISNUMBER(SEARCH(Assumptions!$C$7,D3152)),Assumptions!$D$7,"Other Services"))),"Other Services"))</f>
        <v/>
      </c>
    </row>
    <row r="3153" customFormat="false" ht="15" hidden="false" customHeight="false" outlineLevel="0" collapsed="false">
      <c r="F3153" s="41" t="str">
        <f aca="false">IF(D3153="","",IFERROR(IF(ISNUMBER(SEARCH(Assumptions!$C$5,D3153)),Assumptions!$D$5,IF(ISNUMBER(SEARCH(Assumptions!$C$6,D3153)),Assumptions!$D$6,IF(ISNUMBER(SEARCH(Assumptions!$C$7,D3153)),Assumptions!$D$7,"Other Services"))),"Other Services"))</f>
        <v/>
      </c>
    </row>
    <row r="3154" customFormat="false" ht="15" hidden="false" customHeight="false" outlineLevel="0" collapsed="false">
      <c r="F3154" s="41" t="str">
        <f aca="false">IF(D3154="","",IFERROR(IF(ISNUMBER(SEARCH(Assumptions!$C$5,D3154)),Assumptions!$D$5,IF(ISNUMBER(SEARCH(Assumptions!$C$6,D3154)),Assumptions!$D$6,IF(ISNUMBER(SEARCH(Assumptions!$C$7,D3154)),Assumptions!$D$7,"Other Services"))),"Other Services"))</f>
        <v/>
      </c>
    </row>
    <row r="3155" customFormat="false" ht="15" hidden="false" customHeight="false" outlineLevel="0" collapsed="false">
      <c r="F3155" s="41" t="str">
        <f aca="false">IF(D3155="","",IFERROR(IF(ISNUMBER(SEARCH(Assumptions!$C$5,D3155)),Assumptions!$D$5,IF(ISNUMBER(SEARCH(Assumptions!$C$6,D3155)),Assumptions!$D$6,IF(ISNUMBER(SEARCH(Assumptions!$C$7,D3155)),Assumptions!$D$7,"Other Services"))),"Other Services"))</f>
        <v/>
      </c>
    </row>
    <row r="3156" customFormat="false" ht="15" hidden="false" customHeight="false" outlineLevel="0" collapsed="false">
      <c r="F3156" s="41" t="str">
        <f aca="false">IF(D3156="","",IFERROR(IF(ISNUMBER(SEARCH(Assumptions!$C$5,D3156)),Assumptions!$D$5,IF(ISNUMBER(SEARCH(Assumptions!$C$6,D3156)),Assumptions!$D$6,IF(ISNUMBER(SEARCH(Assumptions!$C$7,D3156)),Assumptions!$D$7,"Other Services"))),"Other Services"))</f>
        <v/>
      </c>
    </row>
    <row r="3157" customFormat="false" ht="15" hidden="false" customHeight="false" outlineLevel="0" collapsed="false">
      <c r="F3157" s="41" t="str">
        <f aca="false">IF(D3157="","",IFERROR(IF(ISNUMBER(SEARCH(Assumptions!$C$5,D3157)),Assumptions!$D$5,IF(ISNUMBER(SEARCH(Assumptions!$C$6,D3157)),Assumptions!$D$6,IF(ISNUMBER(SEARCH(Assumptions!$C$7,D3157)),Assumptions!$D$7,"Other Services"))),"Other Services"))</f>
        <v/>
      </c>
    </row>
    <row r="3158" customFormat="false" ht="15" hidden="false" customHeight="false" outlineLevel="0" collapsed="false">
      <c r="F3158" s="41" t="str">
        <f aca="false">IF(D3158="","",IFERROR(IF(ISNUMBER(SEARCH(Assumptions!$C$5,D3158)),Assumptions!$D$5,IF(ISNUMBER(SEARCH(Assumptions!$C$6,D3158)),Assumptions!$D$6,IF(ISNUMBER(SEARCH(Assumptions!$C$7,D3158)),Assumptions!$D$7,"Other Services"))),"Other Services"))</f>
        <v/>
      </c>
    </row>
    <row r="3159" customFormat="false" ht="15" hidden="false" customHeight="false" outlineLevel="0" collapsed="false">
      <c r="F3159" s="41" t="str">
        <f aca="false">IF(D3159="","",IFERROR(IF(ISNUMBER(SEARCH(Assumptions!$C$5,D3159)),Assumptions!$D$5,IF(ISNUMBER(SEARCH(Assumptions!$C$6,D3159)),Assumptions!$D$6,IF(ISNUMBER(SEARCH(Assumptions!$C$7,D3159)),Assumptions!$D$7,"Other Services"))),"Other Services"))</f>
        <v/>
      </c>
    </row>
    <row r="3160" customFormat="false" ht="15" hidden="false" customHeight="false" outlineLevel="0" collapsed="false">
      <c r="F3160" s="41" t="str">
        <f aca="false">IF(D3160="","",IFERROR(IF(ISNUMBER(SEARCH(Assumptions!$C$5,D3160)),Assumptions!$D$5,IF(ISNUMBER(SEARCH(Assumptions!$C$6,D3160)),Assumptions!$D$6,IF(ISNUMBER(SEARCH(Assumptions!$C$7,D3160)),Assumptions!$D$7,"Other Services"))),"Other Services"))</f>
        <v/>
      </c>
    </row>
    <row r="3161" customFormat="false" ht="15" hidden="false" customHeight="false" outlineLevel="0" collapsed="false">
      <c r="F3161" s="41" t="str">
        <f aca="false">IF(D3161="","",IFERROR(IF(ISNUMBER(SEARCH(Assumptions!$C$5,D3161)),Assumptions!$D$5,IF(ISNUMBER(SEARCH(Assumptions!$C$6,D3161)),Assumptions!$D$6,IF(ISNUMBER(SEARCH(Assumptions!$C$7,D3161)),Assumptions!$D$7,"Other Services"))),"Other Services"))</f>
        <v/>
      </c>
    </row>
    <row r="3162" customFormat="false" ht="15" hidden="false" customHeight="false" outlineLevel="0" collapsed="false">
      <c r="F3162" s="41" t="str">
        <f aca="false">IF(D3162="","",IFERROR(IF(ISNUMBER(SEARCH(Assumptions!$C$5,D3162)),Assumptions!$D$5,IF(ISNUMBER(SEARCH(Assumptions!$C$6,D3162)),Assumptions!$D$6,IF(ISNUMBER(SEARCH(Assumptions!$C$7,D3162)),Assumptions!$D$7,"Other Services"))),"Other Services"))</f>
        <v/>
      </c>
    </row>
    <row r="3163" customFormat="false" ht="15" hidden="false" customHeight="false" outlineLevel="0" collapsed="false">
      <c r="F3163" s="41" t="str">
        <f aca="false">IF(D3163="","",IFERROR(IF(ISNUMBER(SEARCH(Assumptions!$C$5,D3163)),Assumptions!$D$5,IF(ISNUMBER(SEARCH(Assumptions!$C$6,D3163)),Assumptions!$D$6,IF(ISNUMBER(SEARCH(Assumptions!$C$7,D3163)),Assumptions!$D$7,"Other Services"))),"Other Services"))</f>
        <v/>
      </c>
    </row>
    <row r="3164" customFormat="false" ht="15" hidden="false" customHeight="false" outlineLevel="0" collapsed="false">
      <c r="F3164" s="41" t="str">
        <f aca="false">IF(D3164="","",IFERROR(IF(ISNUMBER(SEARCH(Assumptions!$C$5,D3164)),Assumptions!$D$5,IF(ISNUMBER(SEARCH(Assumptions!$C$6,D3164)),Assumptions!$D$6,IF(ISNUMBER(SEARCH(Assumptions!$C$7,D3164)),Assumptions!$D$7,"Other Services"))),"Other Services"))</f>
        <v/>
      </c>
    </row>
    <row r="3165" customFormat="false" ht="15" hidden="false" customHeight="false" outlineLevel="0" collapsed="false">
      <c r="F3165" s="41" t="str">
        <f aca="false">IF(D3165="","",IFERROR(IF(ISNUMBER(SEARCH(Assumptions!$C$5,D3165)),Assumptions!$D$5,IF(ISNUMBER(SEARCH(Assumptions!$C$6,D3165)),Assumptions!$D$6,IF(ISNUMBER(SEARCH(Assumptions!$C$7,D3165)),Assumptions!$D$7,"Other Services"))),"Other Services"))</f>
        <v/>
      </c>
    </row>
    <row r="3166" customFormat="false" ht="15" hidden="false" customHeight="false" outlineLevel="0" collapsed="false">
      <c r="F3166" s="41" t="str">
        <f aca="false">IF(D3166="","",IFERROR(IF(ISNUMBER(SEARCH(Assumptions!$C$5,D3166)),Assumptions!$D$5,IF(ISNUMBER(SEARCH(Assumptions!$C$6,D3166)),Assumptions!$D$6,IF(ISNUMBER(SEARCH(Assumptions!$C$7,D3166)),Assumptions!$D$7,"Other Services"))),"Other Services"))</f>
        <v/>
      </c>
    </row>
    <row r="3167" customFormat="false" ht="15" hidden="false" customHeight="false" outlineLevel="0" collapsed="false">
      <c r="F3167" s="41" t="str">
        <f aca="false">IF(D3167="","",IFERROR(IF(ISNUMBER(SEARCH(Assumptions!$C$5,D3167)),Assumptions!$D$5,IF(ISNUMBER(SEARCH(Assumptions!$C$6,D3167)),Assumptions!$D$6,IF(ISNUMBER(SEARCH(Assumptions!$C$7,D3167)),Assumptions!$D$7,"Other Services"))),"Other Services"))</f>
        <v/>
      </c>
    </row>
    <row r="3168" customFormat="false" ht="15" hidden="false" customHeight="false" outlineLevel="0" collapsed="false">
      <c r="F3168" s="41" t="str">
        <f aca="false">IF(D3168="","",IFERROR(IF(ISNUMBER(SEARCH(Assumptions!$C$5,D3168)),Assumptions!$D$5,IF(ISNUMBER(SEARCH(Assumptions!$C$6,D3168)),Assumptions!$D$6,IF(ISNUMBER(SEARCH(Assumptions!$C$7,D3168)),Assumptions!$D$7,"Other Services"))),"Other Services"))</f>
        <v/>
      </c>
    </row>
    <row r="3169" customFormat="false" ht="15" hidden="false" customHeight="false" outlineLevel="0" collapsed="false">
      <c r="F3169" s="41" t="str">
        <f aca="false">IF(D3169="","",IFERROR(IF(ISNUMBER(SEARCH(Assumptions!$C$5,D3169)),Assumptions!$D$5,IF(ISNUMBER(SEARCH(Assumptions!$C$6,D3169)),Assumptions!$D$6,IF(ISNUMBER(SEARCH(Assumptions!$C$7,D3169)),Assumptions!$D$7,"Other Services"))),"Other Services"))</f>
        <v/>
      </c>
    </row>
    <row r="3170" customFormat="false" ht="15" hidden="false" customHeight="false" outlineLevel="0" collapsed="false">
      <c r="F3170" s="41" t="str">
        <f aca="false">IF(D3170="","",IFERROR(IF(ISNUMBER(SEARCH(Assumptions!$C$5,D3170)),Assumptions!$D$5,IF(ISNUMBER(SEARCH(Assumptions!$C$6,D3170)),Assumptions!$D$6,IF(ISNUMBER(SEARCH(Assumptions!$C$7,D3170)),Assumptions!$D$7,"Other Services"))),"Other Services"))</f>
        <v/>
      </c>
    </row>
    <row r="3171" customFormat="false" ht="15" hidden="false" customHeight="false" outlineLevel="0" collapsed="false">
      <c r="F3171" s="41" t="str">
        <f aca="false">IF(D3171="","",IFERROR(IF(ISNUMBER(SEARCH(Assumptions!$C$5,D3171)),Assumptions!$D$5,IF(ISNUMBER(SEARCH(Assumptions!$C$6,D3171)),Assumptions!$D$6,IF(ISNUMBER(SEARCH(Assumptions!$C$7,D3171)),Assumptions!$D$7,"Other Services"))),"Other Services"))</f>
        <v/>
      </c>
    </row>
    <row r="3172" customFormat="false" ht="15" hidden="false" customHeight="false" outlineLevel="0" collapsed="false">
      <c r="F3172" s="41" t="str">
        <f aca="false">IF(D3172="","",IFERROR(IF(ISNUMBER(SEARCH(Assumptions!$C$5,D3172)),Assumptions!$D$5,IF(ISNUMBER(SEARCH(Assumptions!$C$6,D3172)),Assumptions!$D$6,IF(ISNUMBER(SEARCH(Assumptions!$C$7,D3172)),Assumptions!$D$7,"Other Services"))),"Other Services"))</f>
        <v/>
      </c>
    </row>
    <row r="3173" customFormat="false" ht="15" hidden="false" customHeight="false" outlineLevel="0" collapsed="false">
      <c r="F3173" s="41" t="str">
        <f aca="false">IF(D3173="","",IFERROR(IF(ISNUMBER(SEARCH(Assumptions!$C$5,D3173)),Assumptions!$D$5,IF(ISNUMBER(SEARCH(Assumptions!$C$6,D3173)),Assumptions!$D$6,IF(ISNUMBER(SEARCH(Assumptions!$C$7,D3173)),Assumptions!$D$7,"Other Services"))),"Other Services"))</f>
        <v/>
      </c>
    </row>
    <row r="3174" customFormat="false" ht="15" hidden="false" customHeight="false" outlineLevel="0" collapsed="false">
      <c r="F3174" s="41" t="str">
        <f aca="false">IF(D3174="","",IFERROR(IF(ISNUMBER(SEARCH(Assumptions!$C$5,D3174)),Assumptions!$D$5,IF(ISNUMBER(SEARCH(Assumptions!$C$6,D3174)),Assumptions!$D$6,IF(ISNUMBER(SEARCH(Assumptions!$C$7,D3174)),Assumptions!$D$7,"Other Services"))),"Other Services"))</f>
        <v/>
      </c>
    </row>
    <row r="3175" customFormat="false" ht="15" hidden="false" customHeight="false" outlineLevel="0" collapsed="false">
      <c r="F3175" s="41" t="str">
        <f aca="false">IF(D3175="","",IFERROR(IF(ISNUMBER(SEARCH(Assumptions!$C$5,D3175)),Assumptions!$D$5,IF(ISNUMBER(SEARCH(Assumptions!$C$6,D3175)),Assumptions!$D$6,IF(ISNUMBER(SEARCH(Assumptions!$C$7,D3175)),Assumptions!$D$7,"Other Services"))),"Other Services"))</f>
        <v/>
      </c>
    </row>
    <row r="3176" customFormat="false" ht="15" hidden="false" customHeight="false" outlineLevel="0" collapsed="false">
      <c r="F3176" s="41" t="str">
        <f aca="false">IF(D3176="","",IFERROR(IF(ISNUMBER(SEARCH(Assumptions!$C$5,D3176)),Assumptions!$D$5,IF(ISNUMBER(SEARCH(Assumptions!$C$6,D3176)),Assumptions!$D$6,IF(ISNUMBER(SEARCH(Assumptions!$C$7,D3176)),Assumptions!$D$7,"Other Services"))),"Other Services"))</f>
        <v/>
      </c>
    </row>
    <row r="3177" customFormat="false" ht="15" hidden="false" customHeight="false" outlineLevel="0" collapsed="false">
      <c r="F3177" s="41" t="str">
        <f aca="false">IF(D3177="","",IFERROR(IF(ISNUMBER(SEARCH(Assumptions!$C$5,D3177)),Assumptions!$D$5,IF(ISNUMBER(SEARCH(Assumptions!$C$6,D3177)),Assumptions!$D$6,IF(ISNUMBER(SEARCH(Assumptions!$C$7,D3177)),Assumptions!$D$7,"Other Services"))),"Other Services"))</f>
        <v/>
      </c>
    </row>
    <row r="3178" customFormat="false" ht="15" hidden="false" customHeight="false" outlineLevel="0" collapsed="false">
      <c r="F3178" s="41" t="str">
        <f aca="false">IF(D3178="","",IFERROR(IF(ISNUMBER(SEARCH(Assumptions!$C$5,D3178)),Assumptions!$D$5,IF(ISNUMBER(SEARCH(Assumptions!$C$6,D3178)),Assumptions!$D$6,IF(ISNUMBER(SEARCH(Assumptions!$C$7,D3178)),Assumptions!$D$7,"Other Services"))),"Other Services"))</f>
        <v/>
      </c>
    </row>
    <row r="3179" customFormat="false" ht="15" hidden="false" customHeight="false" outlineLevel="0" collapsed="false">
      <c r="F3179" s="41" t="str">
        <f aca="false">IF(D3179="","",IFERROR(IF(ISNUMBER(SEARCH(Assumptions!$C$5,D3179)),Assumptions!$D$5,IF(ISNUMBER(SEARCH(Assumptions!$C$6,D3179)),Assumptions!$D$6,IF(ISNUMBER(SEARCH(Assumptions!$C$7,D3179)),Assumptions!$D$7,"Other Services"))),"Other Services"))</f>
        <v/>
      </c>
    </row>
    <row r="3180" customFormat="false" ht="15" hidden="false" customHeight="false" outlineLevel="0" collapsed="false">
      <c r="F3180" s="41" t="str">
        <f aca="false">IF(D3180="","",IFERROR(IF(ISNUMBER(SEARCH(Assumptions!$C$5,D3180)),Assumptions!$D$5,IF(ISNUMBER(SEARCH(Assumptions!$C$6,D3180)),Assumptions!$D$6,IF(ISNUMBER(SEARCH(Assumptions!$C$7,D3180)),Assumptions!$D$7,"Other Services"))),"Other Services"))</f>
        <v/>
      </c>
    </row>
    <row r="3181" customFormat="false" ht="15" hidden="false" customHeight="false" outlineLevel="0" collapsed="false">
      <c r="F3181" s="41" t="str">
        <f aca="false">IF(D3181="","",IFERROR(IF(ISNUMBER(SEARCH(Assumptions!$C$5,D3181)),Assumptions!$D$5,IF(ISNUMBER(SEARCH(Assumptions!$C$6,D3181)),Assumptions!$D$6,IF(ISNUMBER(SEARCH(Assumptions!$C$7,D3181)),Assumptions!$D$7,"Other Services"))),"Other Services"))</f>
        <v/>
      </c>
    </row>
    <row r="3182" customFormat="false" ht="15" hidden="false" customHeight="false" outlineLevel="0" collapsed="false">
      <c r="F3182" s="41" t="str">
        <f aca="false">IF(D3182="","",IFERROR(IF(ISNUMBER(SEARCH(Assumptions!$C$5,D3182)),Assumptions!$D$5,IF(ISNUMBER(SEARCH(Assumptions!$C$6,D3182)),Assumptions!$D$6,IF(ISNUMBER(SEARCH(Assumptions!$C$7,D3182)),Assumptions!$D$7,"Other Services"))),"Other Services"))</f>
        <v/>
      </c>
    </row>
    <row r="3183" customFormat="false" ht="15" hidden="false" customHeight="false" outlineLevel="0" collapsed="false">
      <c r="F3183" s="41" t="str">
        <f aca="false">IF(D3183="","",IFERROR(IF(ISNUMBER(SEARCH(Assumptions!$C$5,D3183)),Assumptions!$D$5,IF(ISNUMBER(SEARCH(Assumptions!$C$6,D3183)),Assumptions!$D$6,IF(ISNUMBER(SEARCH(Assumptions!$C$7,D3183)),Assumptions!$D$7,"Other Services"))),"Other Services"))</f>
        <v/>
      </c>
    </row>
    <row r="3184" customFormat="false" ht="15" hidden="false" customHeight="false" outlineLevel="0" collapsed="false">
      <c r="F3184" s="41" t="str">
        <f aca="false">IF(D3184="","",IFERROR(IF(ISNUMBER(SEARCH(Assumptions!$C$5,D3184)),Assumptions!$D$5,IF(ISNUMBER(SEARCH(Assumptions!$C$6,D3184)),Assumptions!$D$6,IF(ISNUMBER(SEARCH(Assumptions!$C$7,D3184)),Assumptions!$D$7,"Other Services"))),"Other Services"))</f>
        <v/>
      </c>
    </row>
    <row r="3185" customFormat="false" ht="15" hidden="false" customHeight="false" outlineLevel="0" collapsed="false">
      <c r="F3185" s="41" t="str">
        <f aca="false">IF(D3185="","",IFERROR(IF(ISNUMBER(SEARCH(Assumptions!$C$5,D3185)),Assumptions!$D$5,IF(ISNUMBER(SEARCH(Assumptions!$C$6,D3185)),Assumptions!$D$6,IF(ISNUMBER(SEARCH(Assumptions!$C$7,D3185)),Assumptions!$D$7,"Other Services"))),"Other Services"))</f>
        <v/>
      </c>
    </row>
    <row r="3186" customFormat="false" ht="15" hidden="false" customHeight="false" outlineLevel="0" collapsed="false">
      <c r="F3186" s="41" t="str">
        <f aca="false">IF(D3186="","",IFERROR(IF(ISNUMBER(SEARCH(Assumptions!$C$5,D3186)),Assumptions!$D$5,IF(ISNUMBER(SEARCH(Assumptions!$C$6,D3186)),Assumptions!$D$6,IF(ISNUMBER(SEARCH(Assumptions!$C$7,D3186)),Assumptions!$D$7,"Other Services"))),"Other Services"))</f>
        <v/>
      </c>
    </row>
    <row r="3187" customFormat="false" ht="15" hidden="false" customHeight="false" outlineLevel="0" collapsed="false">
      <c r="F3187" s="41" t="str">
        <f aca="false">IF(D3187="","",IFERROR(IF(ISNUMBER(SEARCH(Assumptions!$C$5,D3187)),Assumptions!$D$5,IF(ISNUMBER(SEARCH(Assumptions!$C$6,D3187)),Assumptions!$D$6,IF(ISNUMBER(SEARCH(Assumptions!$C$7,D3187)),Assumptions!$D$7,"Other Services"))),"Other Services"))</f>
        <v/>
      </c>
    </row>
    <row r="3188" customFormat="false" ht="15" hidden="false" customHeight="false" outlineLevel="0" collapsed="false">
      <c r="F3188" s="41" t="str">
        <f aca="false">IF(D3188="","",IFERROR(IF(ISNUMBER(SEARCH(Assumptions!$C$5,D3188)),Assumptions!$D$5,IF(ISNUMBER(SEARCH(Assumptions!$C$6,D3188)),Assumptions!$D$6,IF(ISNUMBER(SEARCH(Assumptions!$C$7,D3188)),Assumptions!$D$7,"Other Services"))),"Other Services"))</f>
        <v/>
      </c>
    </row>
    <row r="3189" customFormat="false" ht="15" hidden="false" customHeight="false" outlineLevel="0" collapsed="false">
      <c r="F3189" s="41" t="str">
        <f aca="false">IF(D3189="","",IFERROR(IF(ISNUMBER(SEARCH(Assumptions!$C$5,D3189)),Assumptions!$D$5,IF(ISNUMBER(SEARCH(Assumptions!$C$6,D3189)),Assumptions!$D$6,IF(ISNUMBER(SEARCH(Assumptions!$C$7,D3189)),Assumptions!$D$7,"Other Services"))),"Other Services"))</f>
        <v/>
      </c>
    </row>
    <row r="3190" customFormat="false" ht="15" hidden="false" customHeight="false" outlineLevel="0" collapsed="false">
      <c r="F3190" s="41" t="str">
        <f aca="false">IF(D3190="","",IFERROR(IF(ISNUMBER(SEARCH(Assumptions!$C$5,D3190)),Assumptions!$D$5,IF(ISNUMBER(SEARCH(Assumptions!$C$6,D3190)),Assumptions!$D$6,IF(ISNUMBER(SEARCH(Assumptions!$C$7,D3190)),Assumptions!$D$7,"Other Services"))),"Other Services"))</f>
        <v/>
      </c>
    </row>
    <row r="3191" customFormat="false" ht="15" hidden="false" customHeight="false" outlineLevel="0" collapsed="false">
      <c r="F3191" s="41" t="str">
        <f aca="false">IF(D3191="","",IFERROR(IF(ISNUMBER(SEARCH(Assumptions!$C$5,D3191)),Assumptions!$D$5,IF(ISNUMBER(SEARCH(Assumptions!$C$6,D3191)),Assumptions!$D$6,IF(ISNUMBER(SEARCH(Assumptions!$C$7,D3191)),Assumptions!$D$7,"Other Services"))),"Other Services"))</f>
        <v/>
      </c>
    </row>
    <row r="3192" customFormat="false" ht="15" hidden="false" customHeight="false" outlineLevel="0" collapsed="false">
      <c r="F3192" s="41" t="str">
        <f aca="false">IF(D3192="","",IFERROR(IF(ISNUMBER(SEARCH(Assumptions!$C$5,D3192)),Assumptions!$D$5,IF(ISNUMBER(SEARCH(Assumptions!$C$6,D3192)),Assumptions!$D$6,IF(ISNUMBER(SEARCH(Assumptions!$C$7,D3192)),Assumptions!$D$7,"Other Services"))),"Other Services"))</f>
        <v/>
      </c>
    </row>
    <row r="3193" customFormat="false" ht="15" hidden="false" customHeight="false" outlineLevel="0" collapsed="false">
      <c r="F3193" s="41" t="str">
        <f aca="false">IF(D3193="","",IFERROR(IF(ISNUMBER(SEARCH(Assumptions!$C$5,D3193)),Assumptions!$D$5,IF(ISNUMBER(SEARCH(Assumptions!$C$6,D3193)),Assumptions!$D$6,IF(ISNUMBER(SEARCH(Assumptions!$C$7,D3193)),Assumptions!$D$7,"Other Services"))),"Other Services"))</f>
        <v/>
      </c>
    </row>
    <row r="3194" customFormat="false" ht="15" hidden="false" customHeight="false" outlineLevel="0" collapsed="false">
      <c r="F3194" s="41" t="str">
        <f aca="false">IF(D3194="","",IFERROR(IF(ISNUMBER(SEARCH(Assumptions!$C$5,D3194)),Assumptions!$D$5,IF(ISNUMBER(SEARCH(Assumptions!$C$6,D3194)),Assumptions!$D$6,IF(ISNUMBER(SEARCH(Assumptions!$C$7,D3194)),Assumptions!$D$7,"Other Services"))),"Other Services"))</f>
        <v/>
      </c>
    </row>
    <row r="3195" customFormat="false" ht="15" hidden="false" customHeight="false" outlineLevel="0" collapsed="false">
      <c r="F3195" s="41" t="str">
        <f aca="false">IF(D3195="","",IFERROR(IF(ISNUMBER(SEARCH(Assumptions!$C$5,D3195)),Assumptions!$D$5,IF(ISNUMBER(SEARCH(Assumptions!$C$6,D3195)),Assumptions!$D$6,IF(ISNUMBER(SEARCH(Assumptions!$C$7,D3195)),Assumptions!$D$7,"Other Services"))),"Other Services"))</f>
        <v/>
      </c>
    </row>
    <row r="3196" customFormat="false" ht="15" hidden="false" customHeight="false" outlineLevel="0" collapsed="false">
      <c r="F3196" s="41" t="str">
        <f aca="false">IF(D3196="","",IFERROR(IF(ISNUMBER(SEARCH(Assumptions!$C$5,D3196)),Assumptions!$D$5,IF(ISNUMBER(SEARCH(Assumptions!$C$6,D3196)),Assumptions!$D$6,IF(ISNUMBER(SEARCH(Assumptions!$C$7,D3196)),Assumptions!$D$7,"Other Services"))),"Other Services"))</f>
        <v/>
      </c>
    </row>
    <row r="3197" customFormat="false" ht="15" hidden="false" customHeight="false" outlineLevel="0" collapsed="false">
      <c r="F3197" s="41" t="str">
        <f aca="false">IF(D3197="","",IFERROR(IF(ISNUMBER(SEARCH(Assumptions!$C$5,D3197)),Assumptions!$D$5,IF(ISNUMBER(SEARCH(Assumptions!$C$6,D3197)),Assumptions!$D$6,IF(ISNUMBER(SEARCH(Assumptions!$C$7,D3197)),Assumptions!$D$7,"Other Services"))),"Other Services"))</f>
        <v/>
      </c>
    </row>
    <row r="3198" customFormat="false" ht="15" hidden="false" customHeight="false" outlineLevel="0" collapsed="false">
      <c r="F3198" s="41" t="str">
        <f aca="false">IF(D3198="","",IFERROR(IF(ISNUMBER(SEARCH(Assumptions!$C$5,D3198)),Assumptions!$D$5,IF(ISNUMBER(SEARCH(Assumptions!$C$6,D3198)),Assumptions!$D$6,IF(ISNUMBER(SEARCH(Assumptions!$C$7,D3198)),Assumptions!$D$7,"Other Services"))),"Other Services"))</f>
        <v/>
      </c>
    </row>
    <row r="3199" customFormat="false" ht="15" hidden="false" customHeight="false" outlineLevel="0" collapsed="false">
      <c r="F3199" s="41" t="str">
        <f aca="false">IF(D3199="","",IFERROR(IF(ISNUMBER(SEARCH(Assumptions!$C$5,D3199)),Assumptions!$D$5,IF(ISNUMBER(SEARCH(Assumptions!$C$6,D3199)),Assumptions!$D$6,IF(ISNUMBER(SEARCH(Assumptions!$C$7,D3199)),Assumptions!$D$7,"Other Services"))),"Other Services"))</f>
        <v/>
      </c>
    </row>
    <row r="3200" customFormat="false" ht="15" hidden="false" customHeight="false" outlineLevel="0" collapsed="false">
      <c r="F3200" s="41" t="str">
        <f aca="false">IF(D3200="","",IFERROR(IF(ISNUMBER(SEARCH(Assumptions!$C$5,D3200)),Assumptions!$D$5,IF(ISNUMBER(SEARCH(Assumptions!$C$6,D3200)),Assumptions!$D$6,IF(ISNUMBER(SEARCH(Assumptions!$C$7,D3200)),Assumptions!$D$7,"Other Services"))),"Other Services"))</f>
        <v/>
      </c>
    </row>
    <row r="3201" customFormat="false" ht="15" hidden="false" customHeight="false" outlineLevel="0" collapsed="false">
      <c r="F3201" s="41" t="str">
        <f aca="false">IF(D3201="","",IFERROR(IF(ISNUMBER(SEARCH(Assumptions!$C$5,D3201)),Assumptions!$D$5,IF(ISNUMBER(SEARCH(Assumptions!$C$6,D3201)),Assumptions!$D$6,IF(ISNUMBER(SEARCH(Assumptions!$C$7,D3201)),Assumptions!$D$7,"Other Services"))),"Other Services"))</f>
        <v/>
      </c>
    </row>
    <row r="3202" customFormat="false" ht="15" hidden="false" customHeight="false" outlineLevel="0" collapsed="false">
      <c r="F3202" s="41" t="str">
        <f aca="false">IF(D3202="","",IFERROR(IF(ISNUMBER(SEARCH(Assumptions!$C$5,D3202)),Assumptions!$D$5,IF(ISNUMBER(SEARCH(Assumptions!$C$6,D3202)),Assumptions!$D$6,IF(ISNUMBER(SEARCH(Assumptions!$C$7,D3202)),Assumptions!$D$7,"Other Services"))),"Other Services"))</f>
        <v/>
      </c>
    </row>
    <row r="3203" customFormat="false" ht="15" hidden="false" customHeight="false" outlineLevel="0" collapsed="false">
      <c r="F3203" s="41" t="str">
        <f aca="false">IF(D3203="","",IFERROR(IF(ISNUMBER(SEARCH(Assumptions!$C$5,D3203)),Assumptions!$D$5,IF(ISNUMBER(SEARCH(Assumptions!$C$6,D3203)),Assumptions!$D$6,IF(ISNUMBER(SEARCH(Assumptions!$C$7,D3203)),Assumptions!$D$7,"Other Services"))),"Other Services"))</f>
        <v/>
      </c>
    </row>
    <row r="3204" customFormat="false" ht="15" hidden="false" customHeight="false" outlineLevel="0" collapsed="false">
      <c r="F3204" s="41" t="str">
        <f aca="false">IF(D3204="","",IFERROR(IF(ISNUMBER(SEARCH(Assumptions!$C$5,D3204)),Assumptions!$D$5,IF(ISNUMBER(SEARCH(Assumptions!$C$6,D3204)),Assumptions!$D$6,IF(ISNUMBER(SEARCH(Assumptions!$C$7,D3204)),Assumptions!$D$7,"Other Services"))),"Other Services"))</f>
        <v/>
      </c>
    </row>
    <row r="3205" customFormat="false" ht="15" hidden="false" customHeight="false" outlineLevel="0" collapsed="false">
      <c r="F3205" s="41" t="str">
        <f aca="false">IF(D3205="","",IFERROR(IF(ISNUMBER(SEARCH(Assumptions!$C$5,D3205)),Assumptions!$D$5,IF(ISNUMBER(SEARCH(Assumptions!$C$6,D3205)),Assumptions!$D$6,IF(ISNUMBER(SEARCH(Assumptions!$C$7,D3205)),Assumptions!$D$7,"Other Services"))),"Other Services"))</f>
        <v/>
      </c>
    </row>
    <row r="3206" customFormat="false" ht="15" hidden="false" customHeight="false" outlineLevel="0" collapsed="false">
      <c r="F3206" s="41" t="str">
        <f aca="false">IF(D3206="","",IFERROR(IF(ISNUMBER(SEARCH(Assumptions!$C$5,D3206)),Assumptions!$D$5,IF(ISNUMBER(SEARCH(Assumptions!$C$6,D3206)),Assumptions!$D$6,IF(ISNUMBER(SEARCH(Assumptions!$C$7,D3206)),Assumptions!$D$7,"Other Services"))),"Other Services"))</f>
        <v/>
      </c>
    </row>
    <row r="3207" customFormat="false" ht="15" hidden="false" customHeight="false" outlineLevel="0" collapsed="false">
      <c r="F3207" s="41" t="str">
        <f aca="false">IF(D3207="","",IFERROR(IF(ISNUMBER(SEARCH(Assumptions!$C$5,D3207)),Assumptions!$D$5,IF(ISNUMBER(SEARCH(Assumptions!$C$6,D3207)),Assumptions!$D$6,IF(ISNUMBER(SEARCH(Assumptions!$C$7,D3207)),Assumptions!$D$7,"Other Services"))),"Other Services"))</f>
        <v/>
      </c>
    </row>
    <row r="3208" customFormat="false" ht="15" hidden="false" customHeight="false" outlineLevel="0" collapsed="false">
      <c r="F3208" s="41" t="str">
        <f aca="false">IF(D3208="","",IFERROR(IF(ISNUMBER(SEARCH(Assumptions!$C$5,D3208)),Assumptions!$D$5,IF(ISNUMBER(SEARCH(Assumptions!$C$6,D3208)),Assumptions!$D$6,IF(ISNUMBER(SEARCH(Assumptions!$C$7,D3208)),Assumptions!$D$7,"Other Services"))),"Other Services"))</f>
        <v/>
      </c>
    </row>
    <row r="3209" customFormat="false" ht="15" hidden="false" customHeight="false" outlineLevel="0" collapsed="false">
      <c r="F3209" s="41" t="str">
        <f aca="false">IF(D3209="","",IFERROR(IF(ISNUMBER(SEARCH(Assumptions!$C$5,D3209)),Assumptions!$D$5,IF(ISNUMBER(SEARCH(Assumptions!$C$6,D3209)),Assumptions!$D$6,IF(ISNUMBER(SEARCH(Assumptions!$C$7,D3209)),Assumptions!$D$7,"Other Services"))),"Other Services"))</f>
        <v/>
      </c>
    </row>
    <row r="3210" customFormat="false" ht="15" hidden="false" customHeight="false" outlineLevel="0" collapsed="false">
      <c r="F3210" s="41" t="str">
        <f aca="false">IF(D3210="","",IFERROR(IF(ISNUMBER(SEARCH(Assumptions!$C$5,D3210)),Assumptions!$D$5,IF(ISNUMBER(SEARCH(Assumptions!$C$6,D3210)),Assumptions!$D$6,IF(ISNUMBER(SEARCH(Assumptions!$C$7,D3210)),Assumptions!$D$7,"Other Services"))),"Other Services"))</f>
        <v/>
      </c>
    </row>
    <row r="3211" customFormat="false" ht="15" hidden="false" customHeight="false" outlineLevel="0" collapsed="false">
      <c r="F3211" s="41" t="str">
        <f aca="false">IF(D3211="","",IFERROR(IF(ISNUMBER(SEARCH(Assumptions!$C$5,D3211)),Assumptions!$D$5,IF(ISNUMBER(SEARCH(Assumptions!$C$6,D3211)),Assumptions!$D$6,IF(ISNUMBER(SEARCH(Assumptions!$C$7,D3211)),Assumptions!$D$7,"Other Services"))),"Other Services"))</f>
        <v/>
      </c>
    </row>
    <row r="3212" customFormat="false" ht="15" hidden="false" customHeight="false" outlineLevel="0" collapsed="false">
      <c r="F3212" s="41" t="str">
        <f aca="false">IF(D3212="","",IFERROR(IF(ISNUMBER(SEARCH(Assumptions!$C$5,D3212)),Assumptions!$D$5,IF(ISNUMBER(SEARCH(Assumptions!$C$6,D3212)),Assumptions!$D$6,IF(ISNUMBER(SEARCH(Assumptions!$C$7,D3212)),Assumptions!$D$7,"Other Services"))),"Other Services"))</f>
        <v/>
      </c>
    </row>
    <row r="3213" customFormat="false" ht="15" hidden="false" customHeight="false" outlineLevel="0" collapsed="false">
      <c r="F3213" s="41" t="str">
        <f aca="false">IF(D3213="","",IFERROR(IF(ISNUMBER(SEARCH(Assumptions!$C$5,D3213)),Assumptions!$D$5,IF(ISNUMBER(SEARCH(Assumptions!$C$6,D3213)),Assumptions!$D$6,IF(ISNUMBER(SEARCH(Assumptions!$C$7,D3213)),Assumptions!$D$7,"Other Services"))),"Other Services"))</f>
        <v/>
      </c>
    </row>
    <row r="3214" customFormat="false" ht="15" hidden="false" customHeight="false" outlineLevel="0" collapsed="false">
      <c r="F3214" s="41" t="str">
        <f aca="false">IF(D3214="","",IFERROR(IF(ISNUMBER(SEARCH(Assumptions!$C$5,D3214)),Assumptions!$D$5,IF(ISNUMBER(SEARCH(Assumptions!$C$6,D3214)),Assumptions!$D$6,IF(ISNUMBER(SEARCH(Assumptions!$C$7,D3214)),Assumptions!$D$7,"Other Services"))),"Other Services"))</f>
        <v/>
      </c>
    </row>
    <row r="3215" customFormat="false" ht="15" hidden="false" customHeight="false" outlineLevel="0" collapsed="false">
      <c r="F3215" s="41" t="str">
        <f aca="false">IF(D3215="","",IFERROR(IF(ISNUMBER(SEARCH(Assumptions!$C$5,D3215)),Assumptions!$D$5,IF(ISNUMBER(SEARCH(Assumptions!$C$6,D3215)),Assumptions!$D$6,IF(ISNUMBER(SEARCH(Assumptions!$C$7,D3215)),Assumptions!$D$7,"Other Services"))),"Other Services"))</f>
        <v/>
      </c>
    </row>
    <row r="3216" customFormat="false" ht="15" hidden="false" customHeight="false" outlineLevel="0" collapsed="false">
      <c r="F3216" s="41" t="str">
        <f aca="false">IF(D3216="","",IFERROR(IF(ISNUMBER(SEARCH(Assumptions!$C$5,D3216)),Assumptions!$D$5,IF(ISNUMBER(SEARCH(Assumptions!$C$6,D3216)),Assumptions!$D$6,IF(ISNUMBER(SEARCH(Assumptions!$C$7,D3216)),Assumptions!$D$7,"Other Services"))),"Other Services"))</f>
        <v/>
      </c>
    </row>
    <row r="3217" customFormat="false" ht="15" hidden="false" customHeight="false" outlineLevel="0" collapsed="false">
      <c r="F3217" s="41" t="str">
        <f aca="false">IF(D3217="","",IFERROR(IF(ISNUMBER(SEARCH(Assumptions!$C$5,D3217)),Assumptions!$D$5,IF(ISNUMBER(SEARCH(Assumptions!$C$6,D3217)),Assumptions!$D$6,IF(ISNUMBER(SEARCH(Assumptions!$C$7,D3217)),Assumptions!$D$7,"Other Services"))),"Other Services"))</f>
        <v/>
      </c>
    </row>
    <row r="3218" customFormat="false" ht="15" hidden="false" customHeight="false" outlineLevel="0" collapsed="false">
      <c r="F3218" s="41" t="str">
        <f aca="false">IF(D3218="","",IFERROR(IF(ISNUMBER(SEARCH(Assumptions!$C$5,D3218)),Assumptions!$D$5,IF(ISNUMBER(SEARCH(Assumptions!$C$6,D3218)),Assumptions!$D$6,IF(ISNUMBER(SEARCH(Assumptions!$C$7,D3218)),Assumptions!$D$7,"Other Services"))),"Other Services"))</f>
        <v/>
      </c>
    </row>
    <row r="3219" customFormat="false" ht="15" hidden="false" customHeight="false" outlineLevel="0" collapsed="false">
      <c r="F3219" s="41" t="str">
        <f aca="false">IF(D3219="","",IFERROR(IF(ISNUMBER(SEARCH(Assumptions!$C$5,D3219)),Assumptions!$D$5,IF(ISNUMBER(SEARCH(Assumptions!$C$6,D3219)),Assumptions!$D$6,IF(ISNUMBER(SEARCH(Assumptions!$C$7,D3219)),Assumptions!$D$7,"Other Services"))),"Other Services"))</f>
        <v/>
      </c>
    </row>
    <row r="3220" customFormat="false" ht="15" hidden="false" customHeight="false" outlineLevel="0" collapsed="false">
      <c r="F3220" s="41" t="str">
        <f aca="false">IF(D3220="","",IFERROR(IF(ISNUMBER(SEARCH(Assumptions!$C$5,D3220)),Assumptions!$D$5,IF(ISNUMBER(SEARCH(Assumptions!$C$6,D3220)),Assumptions!$D$6,IF(ISNUMBER(SEARCH(Assumptions!$C$7,D3220)),Assumptions!$D$7,"Other Services"))),"Other Services"))</f>
        <v/>
      </c>
    </row>
    <row r="3221" customFormat="false" ht="15" hidden="false" customHeight="false" outlineLevel="0" collapsed="false">
      <c r="F3221" s="41" t="str">
        <f aca="false">IF(D3221="","",IFERROR(IF(ISNUMBER(SEARCH(Assumptions!$C$5,D3221)),Assumptions!$D$5,IF(ISNUMBER(SEARCH(Assumptions!$C$6,D3221)),Assumptions!$D$6,IF(ISNUMBER(SEARCH(Assumptions!$C$7,D3221)),Assumptions!$D$7,"Other Services"))),"Other Services"))</f>
        <v/>
      </c>
    </row>
    <row r="3222" customFormat="false" ht="15" hidden="false" customHeight="false" outlineLevel="0" collapsed="false">
      <c r="F3222" s="41" t="str">
        <f aca="false">IF(D3222="","",IFERROR(IF(ISNUMBER(SEARCH(Assumptions!$C$5,D3222)),Assumptions!$D$5,IF(ISNUMBER(SEARCH(Assumptions!$C$6,D3222)),Assumptions!$D$6,IF(ISNUMBER(SEARCH(Assumptions!$C$7,D3222)),Assumptions!$D$7,"Other Services"))),"Other Services"))</f>
        <v/>
      </c>
    </row>
    <row r="3223" customFormat="false" ht="15" hidden="false" customHeight="false" outlineLevel="0" collapsed="false">
      <c r="F3223" s="41" t="str">
        <f aca="false">IF(D3223="","",IFERROR(IF(ISNUMBER(SEARCH(Assumptions!$C$5,D3223)),Assumptions!$D$5,IF(ISNUMBER(SEARCH(Assumptions!$C$6,D3223)),Assumptions!$D$6,IF(ISNUMBER(SEARCH(Assumptions!$C$7,D3223)),Assumptions!$D$7,"Other Services"))),"Other Services"))</f>
        <v/>
      </c>
    </row>
    <row r="3224" customFormat="false" ht="15" hidden="false" customHeight="false" outlineLevel="0" collapsed="false">
      <c r="F3224" s="41" t="str">
        <f aca="false">IF(D3224="","",IFERROR(IF(ISNUMBER(SEARCH(Assumptions!$C$5,D3224)),Assumptions!$D$5,IF(ISNUMBER(SEARCH(Assumptions!$C$6,D3224)),Assumptions!$D$6,IF(ISNUMBER(SEARCH(Assumptions!$C$7,D3224)),Assumptions!$D$7,"Other Services"))),"Other Services"))</f>
        <v/>
      </c>
    </row>
    <row r="3225" customFormat="false" ht="15" hidden="false" customHeight="false" outlineLevel="0" collapsed="false">
      <c r="F3225" s="41" t="str">
        <f aca="false">IF(D3225="","",IFERROR(IF(ISNUMBER(SEARCH(Assumptions!$C$5,D3225)),Assumptions!$D$5,IF(ISNUMBER(SEARCH(Assumptions!$C$6,D3225)),Assumptions!$D$6,IF(ISNUMBER(SEARCH(Assumptions!$C$7,D3225)),Assumptions!$D$7,"Other Services"))),"Other Services"))</f>
        <v/>
      </c>
    </row>
    <row r="3226" customFormat="false" ht="15" hidden="false" customHeight="false" outlineLevel="0" collapsed="false">
      <c r="F3226" s="41" t="str">
        <f aca="false">IF(D3226="","",IFERROR(IF(ISNUMBER(SEARCH(Assumptions!$C$5,D3226)),Assumptions!$D$5,IF(ISNUMBER(SEARCH(Assumptions!$C$6,D3226)),Assumptions!$D$6,IF(ISNUMBER(SEARCH(Assumptions!$C$7,D3226)),Assumptions!$D$7,"Other Services"))),"Other Services"))</f>
        <v/>
      </c>
    </row>
    <row r="3227" customFormat="false" ht="15" hidden="false" customHeight="false" outlineLevel="0" collapsed="false">
      <c r="F3227" s="41" t="str">
        <f aca="false">IF(D3227="","",IFERROR(IF(ISNUMBER(SEARCH(Assumptions!$C$5,D3227)),Assumptions!$D$5,IF(ISNUMBER(SEARCH(Assumptions!$C$6,D3227)),Assumptions!$D$6,IF(ISNUMBER(SEARCH(Assumptions!$C$7,D3227)),Assumptions!$D$7,"Other Services"))),"Other Services"))</f>
        <v/>
      </c>
    </row>
    <row r="3228" customFormat="false" ht="15" hidden="false" customHeight="false" outlineLevel="0" collapsed="false">
      <c r="F3228" s="41" t="str">
        <f aca="false">IF(D3228="","",IFERROR(IF(ISNUMBER(SEARCH(Assumptions!$C$5,D3228)),Assumptions!$D$5,IF(ISNUMBER(SEARCH(Assumptions!$C$6,D3228)),Assumptions!$D$6,IF(ISNUMBER(SEARCH(Assumptions!$C$7,D3228)),Assumptions!$D$7,"Other Services"))),"Other Services"))</f>
        <v/>
      </c>
    </row>
    <row r="3229" customFormat="false" ht="15" hidden="false" customHeight="false" outlineLevel="0" collapsed="false">
      <c r="F3229" s="41" t="str">
        <f aca="false">IF(D3229="","",IFERROR(IF(ISNUMBER(SEARCH(Assumptions!$C$5,D3229)),Assumptions!$D$5,IF(ISNUMBER(SEARCH(Assumptions!$C$6,D3229)),Assumptions!$D$6,IF(ISNUMBER(SEARCH(Assumptions!$C$7,D3229)),Assumptions!$D$7,"Other Services"))),"Other Services"))</f>
        <v/>
      </c>
    </row>
    <row r="3230" customFormat="false" ht="15" hidden="false" customHeight="false" outlineLevel="0" collapsed="false">
      <c r="F3230" s="41" t="str">
        <f aca="false">IF(D3230="","",IFERROR(IF(ISNUMBER(SEARCH(Assumptions!$C$5,D3230)),Assumptions!$D$5,IF(ISNUMBER(SEARCH(Assumptions!$C$6,D3230)),Assumptions!$D$6,IF(ISNUMBER(SEARCH(Assumptions!$C$7,D3230)),Assumptions!$D$7,"Other Services"))),"Other Services"))</f>
        <v/>
      </c>
    </row>
    <row r="3231" customFormat="false" ht="15" hidden="false" customHeight="false" outlineLevel="0" collapsed="false">
      <c r="F3231" s="41" t="str">
        <f aca="false">IF(D3231="","",IFERROR(IF(ISNUMBER(SEARCH(Assumptions!$C$5,D3231)),Assumptions!$D$5,IF(ISNUMBER(SEARCH(Assumptions!$C$6,D3231)),Assumptions!$D$6,IF(ISNUMBER(SEARCH(Assumptions!$C$7,D3231)),Assumptions!$D$7,"Other Services"))),"Other Services"))</f>
        <v/>
      </c>
    </row>
    <row r="3232" customFormat="false" ht="15" hidden="false" customHeight="false" outlineLevel="0" collapsed="false">
      <c r="F3232" s="41" t="str">
        <f aca="false">IF(D3232="","",IFERROR(IF(ISNUMBER(SEARCH(Assumptions!$C$5,D3232)),Assumptions!$D$5,IF(ISNUMBER(SEARCH(Assumptions!$C$6,D3232)),Assumptions!$D$6,IF(ISNUMBER(SEARCH(Assumptions!$C$7,D3232)),Assumptions!$D$7,"Other Services"))),"Other Services"))</f>
        <v/>
      </c>
    </row>
    <row r="3233" customFormat="false" ht="15" hidden="false" customHeight="false" outlineLevel="0" collapsed="false">
      <c r="F3233" s="41" t="str">
        <f aca="false">IF(D3233="","",IFERROR(IF(ISNUMBER(SEARCH(Assumptions!$C$5,D3233)),Assumptions!$D$5,IF(ISNUMBER(SEARCH(Assumptions!$C$6,D3233)),Assumptions!$D$6,IF(ISNUMBER(SEARCH(Assumptions!$C$7,D3233)),Assumptions!$D$7,"Other Services"))),"Other Services"))</f>
        <v/>
      </c>
    </row>
    <row r="3234" customFormat="false" ht="15" hidden="false" customHeight="false" outlineLevel="0" collapsed="false">
      <c r="F3234" s="41" t="str">
        <f aca="false">IF(D3234="","",IFERROR(IF(ISNUMBER(SEARCH(Assumptions!$C$5,D3234)),Assumptions!$D$5,IF(ISNUMBER(SEARCH(Assumptions!$C$6,D3234)),Assumptions!$D$6,IF(ISNUMBER(SEARCH(Assumptions!$C$7,D3234)),Assumptions!$D$7,"Other Services"))),"Other Services"))</f>
        <v/>
      </c>
    </row>
    <row r="3235" customFormat="false" ht="15" hidden="false" customHeight="false" outlineLevel="0" collapsed="false">
      <c r="F3235" s="41" t="str">
        <f aca="false">IF(D3235="","",IFERROR(IF(ISNUMBER(SEARCH(Assumptions!$C$5,D3235)),Assumptions!$D$5,IF(ISNUMBER(SEARCH(Assumptions!$C$6,D3235)),Assumptions!$D$6,IF(ISNUMBER(SEARCH(Assumptions!$C$7,D3235)),Assumptions!$D$7,"Other Services"))),"Other Services"))</f>
        <v/>
      </c>
    </row>
    <row r="3236" customFormat="false" ht="15" hidden="false" customHeight="false" outlineLevel="0" collapsed="false">
      <c r="F3236" s="41" t="str">
        <f aca="false">IF(D3236="","",IFERROR(IF(ISNUMBER(SEARCH(Assumptions!$C$5,D3236)),Assumptions!$D$5,IF(ISNUMBER(SEARCH(Assumptions!$C$6,D3236)),Assumptions!$D$6,IF(ISNUMBER(SEARCH(Assumptions!$C$7,D3236)),Assumptions!$D$7,"Other Services"))),"Other Services"))</f>
        <v/>
      </c>
    </row>
    <row r="3237" customFormat="false" ht="15" hidden="false" customHeight="false" outlineLevel="0" collapsed="false">
      <c r="F3237" s="41" t="str">
        <f aca="false">IF(D3237="","",IFERROR(IF(ISNUMBER(SEARCH(Assumptions!$C$5,D3237)),Assumptions!$D$5,IF(ISNUMBER(SEARCH(Assumptions!$C$6,D3237)),Assumptions!$D$6,IF(ISNUMBER(SEARCH(Assumptions!$C$7,D3237)),Assumptions!$D$7,"Other Services"))),"Other Services"))</f>
        <v/>
      </c>
    </row>
    <row r="3238" customFormat="false" ht="15" hidden="false" customHeight="false" outlineLevel="0" collapsed="false">
      <c r="F3238" s="41" t="str">
        <f aca="false">IF(D3238="","",IFERROR(IF(ISNUMBER(SEARCH(Assumptions!$C$5,D3238)),Assumptions!$D$5,IF(ISNUMBER(SEARCH(Assumptions!$C$6,D3238)),Assumptions!$D$6,IF(ISNUMBER(SEARCH(Assumptions!$C$7,D3238)),Assumptions!$D$7,"Other Services"))),"Other Services"))</f>
        <v/>
      </c>
    </row>
    <row r="3239" customFormat="false" ht="15" hidden="false" customHeight="false" outlineLevel="0" collapsed="false">
      <c r="F3239" s="41" t="str">
        <f aca="false">IF(D3239="","",IFERROR(IF(ISNUMBER(SEARCH(Assumptions!$C$5,D3239)),Assumptions!$D$5,IF(ISNUMBER(SEARCH(Assumptions!$C$6,D3239)),Assumptions!$D$6,IF(ISNUMBER(SEARCH(Assumptions!$C$7,D3239)),Assumptions!$D$7,"Other Services"))),"Other Services"))</f>
        <v/>
      </c>
    </row>
    <row r="3240" customFormat="false" ht="15" hidden="false" customHeight="false" outlineLevel="0" collapsed="false">
      <c r="F3240" s="41" t="str">
        <f aca="false">IF(D3240="","",IFERROR(IF(ISNUMBER(SEARCH(Assumptions!$C$5,D3240)),Assumptions!$D$5,IF(ISNUMBER(SEARCH(Assumptions!$C$6,D3240)),Assumptions!$D$6,IF(ISNUMBER(SEARCH(Assumptions!$C$7,D3240)),Assumptions!$D$7,"Other Services"))),"Other Services"))</f>
        <v/>
      </c>
    </row>
    <row r="3241" customFormat="false" ht="15" hidden="false" customHeight="false" outlineLevel="0" collapsed="false">
      <c r="F3241" s="41" t="str">
        <f aca="false">IF(D3241="","",IFERROR(IF(ISNUMBER(SEARCH(Assumptions!$C$5,D3241)),Assumptions!$D$5,IF(ISNUMBER(SEARCH(Assumptions!$C$6,D3241)),Assumptions!$D$6,IF(ISNUMBER(SEARCH(Assumptions!$C$7,D3241)),Assumptions!$D$7,"Other Services"))),"Other Services"))</f>
        <v/>
      </c>
    </row>
    <row r="3242" customFormat="false" ht="15" hidden="false" customHeight="false" outlineLevel="0" collapsed="false">
      <c r="F3242" s="41" t="str">
        <f aca="false">IF(D3242="","",IFERROR(IF(ISNUMBER(SEARCH(Assumptions!$C$5,D3242)),Assumptions!$D$5,IF(ISNUMBER(SEARCH(Assumptions!$C$6,D3242)),Assumptions!$D$6,IF(ISNUMBER(SEARCH(Assumptions!$C$7,D3242)),Assumptions!$D$7,"Other Services"))),"Other Services"))</f>
        <v/>
      </c>
    </row>
    <row r="3243" customFormat="false" ht="15" hidden="false" customHeight="false" outlineLevel="0" collapsed="false">
      <c r="F3243" s="41" t="str">
        <f aca="false">IF(D3243="","",IFERROR(IF(ISNUMBER(SEARCH(Assumptions!$C$5,D3243)),Assumptions!$D$5,IF(ISNUMBER(SEARCH(Assumptions!$C$6,D3243)),Assumptions!$D$6,IF(ISNUMBER(SEARCH(Assumptions!$C$7,D3243)),Assumptions!$D$7,"Other Services"))),"Other Services"))</f>
        <v/>
      </c>
    </row>
    <row r="3244" customFormat="false" ht="15" hidden="false" customHeight="false" outlineLevel="0" collapsed="false">
      <c r="F3244" s="41" t="str">
        <f aca="false">IF(D3244="","",IFERROR(IF(ISNUMBER(SEARCH(Assumptions!$C$5,D3244)),Assumptions!$D$5,IF(ISNUMBER(SEARCH(Assumptions!$C$6,D3244)),Assumptions!$D$6,IF(ISNUMBER(SEARCH(Assumptions!$C$7,D3244)),Assumptions!$D$7,"Other Services"))),"Other Services"))</f>
        <v/>
      </c>
    </row>
    <row r="3245" customFormat="false" ht="15" hidden="false" customHeight="false" outlineLevel="0" collapsed="false">
      <c r="F3245" s="41" t="str">
        <f aca="false">IF(D3245="","",IFERROR(IF(ISNUMBER(SEARCH(Assumptions!$C$5,D3245)),Assumptions!$D$5,IF(ISNUMBER(SEARCH(Assumptions!$C$6,D3245)),Assumptions!$D$6,IF(ISNUMBER(SEARCH(Assumptions!$C$7,D3245)),Assumptions!$D$7,"Other Services"))),"Other Services"))</f>
        <v/>
      </c>
    </row>
    <row r="3246" customFormat="false" ht="15" hidden="false" customHeight="false" outlineLevel="0" collapsed="false">
      <c r="F3246" s="41" t="str">
        <f aca="false">IF(D3246="","",IFERROR(IF(ISNUMBER(SEARCH(Assumptions!$C$5,D3246)),Assumptions!$D$5,IF(ISNUMBER(SEARCH(Assumptions!$C$6,D3246)),Assumptions!$D$6,IF(ISNUMBER(SEARCH(Assumptions!$C$7,D3246)),Assumptions!$D$7,"Other Services"))),"Other Services"))</f>
        <v/>
      </c>
    </row>
    <row r="3247" customFormat="false" ht="15" hidden="false" customHeight="false" outlineLevel="0" collapsed="false">
      <c r="F3247" s="41" t="str">
        <f aca="false">IF(D3247="","",IFERROR(IF(ISNUMBER(SEARCH(Assumptions!$C$5,D3247)),Assumptions!$D$5,IF(ISNUMBER(SEARCH(Assumptions!$C$6,D3247)),Assumptions!$D$6,IF(ISNUMBER(SEARCH(Assumptions!$C$7,D3247)),Assumptions!$D$7,"Other Services"))),"Other Services"))</f>
        <v/>
      </c>
    </row>
    <row r="3248" customFormat="false" ht="15" hidden="false" customHeight="false" outlineLevel="0" collapsed="false">
      <c r="F3248" s="41" t="str">
        <f aca="false">IF(D3248="","",IFERROR(IF(ISNUMBER(SEARCH(Assumptions!$C$5,D3248)),Assumptions!$D$5,IF(ISNUMBER(SEARCH(Assumptions!$C$6,D3248)),Assumptions!$D$6,IF(ISNUMBER(SEARCH(Assumptions!$C$7,D3248)),Assumptions!$D$7,"Other Services"))),"Other Services"))</f>
        <v/>
      </c>
    </row>
    <row r="3249" customFormat="false" ht="15" hidden="false" customHeight="false" outlineLevel="0" collapsed="false">
      <c r="F3249" s="41" t="str">
        <f aca="false">IF(D3249="","",IFERROR(IF(ISNUMBER(SEARCH(Assumptions!$C$5,D3249)),Assumptions!$D$5,IF(ISNUMBER(SEARCH(Assumptions!$C$6,D3249)),Assumptions!$D$6,IF(ISNUMBER(SEARCH(Assumptions!$C$7,D3249)),Assumptions!$D$7,"Other Services"))),"Other Services"))</f>
        <v/>
      </c>
    </row>
    <row r="3250" customFormat="false" ht="15" hidden="false" customHeight="false" outlineLevel="0" collapsed="false">
      <c r="F3250" s="41" t="str">
        <f aca="false">IF(D3250="","",IFERROR(IF(ISNUMBER(SEARCH(Assumptions!$C$5,D3250)),Assumptions!$D$5,IF(ISNUMBER(SEARCH(Assumptions!$C$6,D3250)),Assumptions!$D$6,IF(ISNUMBER(SEARCH(Assumptions!$C$7,D3250)),Assumptions!$D$7,"Other Services"))),"Other Services"))</f>
        <v/>
      </c>
    </row>
    <row r="3251" customFormat="false" ht="15" hidden="false" customHeight="false" outlineLevel="0" collapsed="false">
      <c r="F3251" s="41" t="str">
        <f aca="false">IF(D3251="","",IFERROR(IF(ISNUMBER(SEARCH(Assumptions!$C$5,D3251)),Assumptions!$D$5,IF(ISNUMBER(SEARCH(Assumptions!$C$6,D3251)),Assumptions!$D$6,IF(ISNUMBER(SEARCH(Assumptions!$C$7,D3251)),Assumptions!$D$7,"Other Services"))),"Other Services"))</f>
        <v/>
      </c>
    </row>
    <row r="3252" customFormat="false" ht="15" hidden="false" customHeight="false" outlineLevel="0" collapsed="false">
      <c r="F3252" s="41" t="str">
        <f aca="false">IF(D3252="","",IFERROR(IF(ISNUMBER(SEARCH(Assumptions!$C$5,D3252)),Assumptions!$D$5,IF(ISNUMBER(SEARCH(Assumptions!$C$6,D3252)),Assumptions!$D$6,IF(ISNUMBER(SEARCH(Assumptions!$C$7,D3252)),Assumptions!$D$7,"Other Services"))),"Other Services"))</f>
        <v/>
      </c>
    </row>
    <row r="3253" customFormat="false" ht="15" hidden="false" customHeight="false" outlineLevel="0" collapsed="false">
      <c r="F3253" s="41" t="str">
        <f aca="false">IF(D3253="","",IFERROR(IF(ISNUMBER(SEARCH(Assumptions!$C$5,D3253)),Assumptions!$D$5,IF(ISNUMBER(SEARCH(Assumptions!$C$6,D3253)),Assumptions!$D$6,IF(ISNUMBER(SEARCH(Assumptions!$C$7,D3253)),Assumptions!$D$7,"Other Services"))),"Other Services"))</f>
        <v/>
      </c>
    </row>
    <row r="3254" customFormat="false" ht="15" hidden="false" customHeight="false" outlineLevel="0" collapsed="false">
      <c r="F3254" s="41" t="str">
        <f aca="false">IF(D3254="","",IFERROR(IF(ISNUMBER(SEARCH(Assumptions!$C$5,D3254)),Assumptions!$D$5,IF(ISNUMBER(SEARCH(Assumptions!$C$6,D3254)),Assumptions!$D$6,IF(ISNUMBER(SEARCH(Assumptions!$C$7,D3254)),Assumptions!$D$7,"Other Services"))),"Other Services"))</f>
        <v/>
      </c>
    </row>
    <row r="3255" customFormat="false" ht="15" hidden="false" customHeight="false" outlineLevel="0" collapsed="false">
      <c r="F3255" s="41" t="str">
        <f aca="false">IF(D3255="","",IFERROR(IF(ISNUMBER(SEARCH(Assumptions!$C$5,D3255)),Assumptions!$D$5,IF(ISNUMBER(SEARCH(Assumptions!$C$6,D3255)),Assumptions!$D$6,IF(ISNUMBER(SEARCH(Assumptions!$C$7,D3255)),Assumptions!$D$7,"Other Services"))),"Other Services"))</f>
        <v/>
      </c>
    </row>
    <row r="3256" customFormat="false" ht="15" hidden="false" customHeight="false" outlineLevel="0" collapsed="false">
      <c r="F3256" s="41" t="str">
        <f aca="false">IF(D3256="","",IFERROR(IF(ISNUMBER(SEARCH(Assumptions!$C$5,D3256)),Assumptions!$D$5,IF(ISNUMBER(SEARCH(Assumptions!$C$6,D3256)),Assumptions!$D$6,IF(ISNUMBER(SEARCH(Assumptions!$C$7,D3256)),Assumptions!$D$7,"Other Services"))),"Other Services"))</f>
        <v/>
      </c>
    </row>
    <row r="3257" customFormat="false" ht="15" hidden="false" customHeight="false" outlineLevel="0" collapsed="false">
      <c r="F3257" s="41" t="str">
        <f aca="false">IF(D3257="","",IFERROR(IF(ISNUMBER(SEARCH(Assumptions!$C$5,D3257)),Assumptions!$D$5,IF(ISNUMBER(SEARCH(Assumptions!$C$6,D3257)),Assumptions!$D$6,IF(ISNUMBER(SEARCH(Assumptions!$C$7,D3257)),Assumptions!$D$7,"Other Services"))),"Other Services"))</f>
        <v/>
      </c>
    </row>
    <row r="3258" customFormat="false" ht="15" hidden="false" customHeight="false" outlineLevel="0" collapsed="false">
      <c r="F3258" s="41" t="str">
        <f aca="false">IF(D3258="","",IFERROR(IF(ISNUMBER(SEARCH(Assumptions!$C$5,D3258)),Assumptions!$D$5,IF(ISNUMBER(SEARCH(Assumptions!$C$6,D3258)),Assumptions!$D$6,IF(ISNUMBER(SEARCH(Assumptions!$C$7,D3258)),Assumptions!$D$7,"Other Services"))),"Other Services"))</f>
        <v/>
      </c>
    </row>
    <row r="3259" customFormat="false" ht="15" hidden="false" customHeight="false" outlineLevel="0" collapsed="false">
      <c r="F3259" s="41" t="str">
        <f aca="false">IF(D3259="","",IFERROR(IF(ISNUMBER(SEARCH(Assumptions!$C$5,D3259)),Assumptions!$D$5,IF(ISNUMBER(SEARCH(Assumptions!$C$6,D3259)),Assumptions!$D$6,IF(ISNUMBER(SEARCH(Assumptions!$C$7,D3259)),Assumptions!$D$7,"Other Services"))),"Other Services"))</f>
        <v/>
      </c>
    </row>
    <row r="3260" customFormat="false" ht="15" hidden="false" customHeight="false" outlineLevel="0" collapsed="false">
      <c r="F3260" s="41" t="str">
        <f aca="false">IF(D3260="","",IFERROR(IF(ISNUMBER(SEARCH(Assumptions!$C$5,D3260)),Assumptions!$D$5,IF(ISNUMBER(SEARCH(Assumptions!$C$6,D3260)),Assumptions!$D$6,IF(ISNUMBER(SEARCH(Assumptions!$C$7,D3260)),Assumptions!$D$7,"Other Services"))),"Other Services"))</f>
        <v/>
      </c>
    </row>
    <row r="3261" customFormat="false" ht="15" hidden="false" customHeight="false" outlineLevel="0" collapsed="false">
      <c r="F3261" s="41" t="str">
        <f aca="false">IF(D3261="","",IFERROR(IF(ISNUMBER(SEARCH(Assumptions!$C$5,D3261)),Assumptions!$D$5,IF(ISNUMBER(SEARCH(Assumptions!$C$6,D3261)),Assumptions!$D$6,IF(ISNUMBER(SEARCH(Assumptions!$C$7,D3261)),Assumptions!$D$7,"Other Services"))),"Other Services"))</f>
        <v/>
      </c>
    </row>
    <row r="3262" customFormat="false" ht="15" hidden="false" customHeight="false" outlineLevel="0" collapsed="false">
      <c r="F3262" s="41" t="str">
        <f aca="false">IF(D3262="","",IFERROR(IF(ISNUMBER(SEARCH(Assumptions!$C$5,D3262)),Assumptions!$D$5,IF(ISNUMBER(SEARCH(Assumptions!$C$6,D3262)),Assumptions!$D$6,IF(ISNUMBER(SEARCH(Assumptions!$C$7,D3262)),Assumptions!$D$7,"Other Services"))),"Other Services"))</f>
        <v/>
      </c>
    </row>
    <row r="3263" customFormat="false" ht="15" hidden="false" customHeight="false" outlineLevel="0" collapsed="false">
      <c r="F3263" s="41" t="str">
        <f aca="false">IF(D3263="","",IFERROR(IF(ISNUMBER(SEARCH(Assumptions!$C$5,D3263)),Assumptions!$D$5,IF(ISNUMBER(SEARCH(Assumptions!$C$6,D3263)),Assumptions!$D$6,IF(ISNUMBER(SEARCH(Assumptions!$C$7,D3263)),Assumptions!$D$7,"Other Services"))),"Other Services"))</f>
        <v/>
      </c>
    </row>
    <row r="3264" customFormat="false" ht="15" hidden="false" customHeight="false" outlineLevel="0" collapsed="false">
      <c r="F3264" s="41" t="str">
        <f aca="false">IF(D3264="","",IFERROR(IF(ISNUMBER(SEARCH(Assumptions!$C$5,D3264)),Assumptions!$D$5,IF(ISNUMBER(SEARCH(Assumptions!$C$6,D3264)),Assumptions!$D$6,IF(ISNUMBER(SEARCH(Assumptions!$C$7,D3264)),Assumptions!$D$7,"Other Services"))),"Other Services"))</f>
        <v/>
      </c>
    </row>
    <row r="3265" customFormat="false" ht="15" hidden="false" customHeight="false" outlineLevel="0" collapsed="false">
      <c r="F3265" s="41" t="str">
        <f aca="false">IF(D3265="","",IFERROR(IF(ISNUMBER(SEARCH(Assumptions!$C$5,D3265)),Assumptions!$D$5,IF(ISNUMBER(SEARCH(Assumptions!$C$6,D3265)),Assumptions!$D$6,IF(ISNUMBER(SEARCH(Assumptions!$C$7,D3265)),Assumptions!$D$7,"Other Services"))),"Other Services"))</f>
        <v/>
      </c>
    </row>
    <row r="3266" customFormat="false" ht="15" hidden="false" customHeight="false" outlineLevel="0" collapsed="false">
      <c r="F3266" s="41" t="str">
        <f aca="false">IF(D3266="","",IFERROR(IF(ISNUMBER(SEARCH(Assumptions!$C$5,D3266)),Assumptions!$D$5,IF(ISNUMBER(SEARCH(Assumptions!$C$6,D3266)),Assumptions!$D$6,IF(ISNUMBER(SEARCH(Assumptions!$C$7,D3266)),Assumptions!$D$7,"Other Services"))),"Other Services"))</f>
        <v/>
      </c>
    </row>
    <row r="3267" customFormat="false" ht="15" hidden="false" customHeight="false" outlineLevel="0" collapsed="false">
      <c r="F3267" s="41" t="str">
        <f aca="false">IF(D3267="","",IFERROR(IF(ISNUMBER(SEARCH(Assumptions!$C$5,D3267)),Assumptions!$D$5,IF(ISNUMBER(SEARCH(Assumptions!$C$6,D3267)),Assumptions!$D$6,IF(ISNUMBER(SEARCH(Assumptions!$C$7,D3267)),Assumptions!$D$7,"Other Services"))),"Other Services"))</f>
        <v/>
      </c>
    </row>
    <row r="3268" customFormat="false" ht="15" hidden="false" customHeight="false" outlineLevel="0" collapsed="false">
      <c r="F3268" s="41" t="str">
        <f aca="false">IF(D3268="","",IFERROR(IF(ISNUMBER(SEARCH(Assumptions!$C$5,D3268)),Assumptions!$D$5,IF(ISNUMBER(SEARCH(Assumptions!$C$6,D3268)),Assumptions!$D$6,IF(ISNUMBER(SEARCH(Assumptions!$C$7,D3268)),Assumptions!$D$7,"Other Services"))),"Other Services"))</f>
        <v/>
      </c>
    </row>
    <row r="3269" customFormat="false" ht="15" hidden="false" customHeight="false" outlineLevel="0" collapsed="false">
      <c r="F3269" s="41" t="str">
        <f aca="false">IF(D3269="","",IFERROR(IF(ISNUMBER(SEARCH(Assumptions!$C$5,D3269)),Assumptions!$D$5,IF(ISNUMBER(SEARCH(Assumptions!$C$6,D3269)),Assumptions!$D$6,IF(ISNUMBER(SEARCH(Assumptions!$C$7,D3269)),Assumptions!$D$7,"Other Services"))),"Other Services"))</f>
        <v/>
      </c>
    </row>
    <row r="3270" customFormat="false" ht="15" hidden="false" customHeight="false" outlineLevel="0" collapsed="false">
      <c r="F3270" s="41" t="str">
        <f aca="false">IF(D3270="","",IFERROR(IF(ISNUMBER(SEARCH(Assumptions!$C$5,D3270)),Assumptions!$D$5,IF(ISNUMBER(SEARCH(Assumptions!$C$6,D3270)),Assumptions!$D$6,IF(ISNUMBER(SEARCH(Assumptions!$C$7,D3270)),Assumptions!$D$7,"Other Services"))),"Other Services"))</f>
        <v/>
      </c>
    </row>
    <row r="3271" customFormat="false" ht="15" hidden="false" customHeight="false" outlineLevel="0" collapsed="false">
      <c r="F3271" s="41" t="str">
        <f aca="false">IF(D3271="","",IFERROR(IF(ISNUMBER(SEARCH(Assumptions!$C$5,D3271)),Assumptions!$D$5,IF(ISNUMBER(SEARCH(Assumptions!$C$6,D3271)),Assumptions!$D$6,IF(ISNUMBER(SEARCH(Assumptions!$C$7,D3271)),Assumptions!$D$7,"Other Services"))),"Other Services"))</f>
        <v/>
      </c>
    </row>
    <row r="3272" customFormat="false" ht="15" hidden="false" customHeight="false" outlineLevel="0" collapsed="false">
      <c r="F3272" s="41" t="str">
        <f aca="false">IF(D3272="","",IFERROR(IF(ISNUMBER(SEARCH(Assumptions!$C$5,D3272)),Assumptions!$D$5,IF(ISNUMBER(SEARCH(Assumptions!$C$6,D3272)),Assumptions!$D$6,IF(ISNUMBER(SEARCH(Assumptions!$C$7,D3272)),Assumptions!$D$7,"Other Services"))),"Other Services"))</f>
        <v/>
      </c>
    </row>
    <row r="3273" customFormat="false" ht="15" hidden="false" customHeight="false" outlineLevel="0" collapsed="false">
      <c r="F3273" s="41" t="str">
        <f aca="false">IF(D3273="","",IFERROR(IF(ISNUMBER(SEARCH(Assumptions!$C$5,D3273)),Assumptions!$D$5,IF(ISNUMBER(SEARCH(Assumptions!$C$6,D3273)),Assumptions!$D$6,IF(ISNUMBER(SEARCH(Assumptions!$C$7,D3273)),Assumptions!$D$7,"Other Services"))),"Other Services"))</f>
        <v/>
      </c>
    </row>
    <row r="3274" customFormat="false" ht="15" hidden="false" customHeight="false" outlineLevel="0" collapsed="false">
      <c r="F3274" s="41" t="str">
        <f aca="false">IF(D3274="","",IFERROR(IF(ISNUMBER(SEARCH(Assumptions!$C$5,D3274)),Assumptions!$D$5,IF(ISNUMBER(SEARCH(Assumptions!$C$6,D3274)),Assumptions!$D$6,IF(ISNUMBER(SEARCH(Assumptions!$C$7,D3274)),Assumptions!$D$7,"Other Services"))),"Other Services"))</f>
        <v/>
      </c>
    </row>
    <row r="3275" customFormat="false" ht="15" hidden="false" customHeight="false" outlineLevel="0" collapsed="false">
      <c r="F3275" s="41" t="str">
        <f aca="false">IF(D3275="","",IFERROR(IF(ISNUMBER(SEARCH(Assumptions!$C$5,D3275)),Assumptions!$D$5,IF(ISNUMBER(SEARCH(Assumptions!$C$6,D3275)),Assumptions!$D$6,IF(ISNUMBER(SEARCH(Assumptions!$C$7,D3275)),Assumptions!$D$7,"Other Services"))),"Other Services"))</f>
        <v/>
      </c>
    </row>
    <row r="3276" customFormat="false" ht="15" hidden="false" customHeight="false" outlineLevel="0" collapsed="false">
      <c r="F3276" s="41" t="str">
        <f aca="false">IF(D3276="","",IFERROR(IF(ISNUMBER(SEARCH(Assumptions!$C$5,D3276)),Assumptions!$D$5,IF(ISNUMBER(SEARCH(Assumptions!$C$6,D3276)),Assumptions!$D$6,IF(ISNUMBER(SEARCH(Assumptions!$C$7,D3276)),Assumptions!$D$7,"Other Services"))),"Other Services"))</f>
        <v/>
      </c>
    </row>
    <row r="3277" customFormat="false" ht="15" hidden="false" customHeight="false" outlineLevel="0" collapsed="false">
      <c r="F3277" s="41" t="str">
        <f aca="false">IF(D3277="","",IFERROR(IF(ISNUMBER(SEARCH(Assumptions!$C$5,D3277)),Assumptions!$D$5,IF(ISNUMBER(SEARCH(Assumptions!$C$6,D3277)),Assumptions!$D$6,IF(ISNUMBER(SEARCH(Assumptions!$C$7,D3277)),Assumptions!$D$7,"Other Services"))),"Other Services"))</f>
        <v/>
      </c>
    </row>
    <row r="3278" customFormat="false" ht="15" hidden="false" customHeight="false" outlineLevel="0" collapsed="false">
      <c r="F3278" s="41" t="str">
        <f aca="false">IF(D3278="","",IFERROR(IF(ISNUMBER(SEARCH(Assumptions!$C$5,D3278)),Assumptions!$D$5,IF(ISNUMBER(SEARCH(Assumptions!$C$6,D3278)),Assumptions!$D$6,IF(ISNUMBER(SEARCH(Assumptions!$C$7,D3278)),Assumptions!$D$7,"Other Services"))),"Other Services"))</f>
        <v/>
      </c>
    </row>
    <row r="3279" customFormat="false" ht="15" hidden="false" customHeight="false" outlineLevel="0" collapsed="false">
      <c r="F3279" s="41" t="str">
        <f aca="false">IF(D3279="","",IFERROR(IF(ISNUMBER(SEARCH(Assumptions!$C$5,D3279)),Assumptions!$D$5,IF(ISNUMBER(SEARCH(Assumptions!$C$6,D3279)),Assumptions!$D$6,IF(ISNUMBER(SEARCH(Assumptions!$C$7,D3279)),Assumptions!$D$7,"Other Services"))),"Other Services"))</f>
        <v/>
      </c>
    </row>
    <row r="3280" customFormat="false" ht="15" hidden="false" customHeight="false" outlineLevel="0" collapsed="false">
      <c r="F3280" s="41" t="str">
        <f aca="false">IF(D3280="","",IFERROR(IF(ISNUMBER(SEARCH(Assumptions!$C$5,D3280)),Assumptions!$D$5,IF(ISNUMBER(SEARCH(Assumptions!$C$6,D3280)),Assumptions!$D$6,IF(ISNUMBER(SEARCH(Assumptions!$C$7,D3280)),Assumptions!$D$7,"Other Services"))),"Other Services"))</f>
        <v/>
      </c>
    </row>
    <row r="3281" customFormat="false" ht="15" hidden="false" customHeight="false" outlineLevel="0" collapsed="false">
      <c r="F3281" s="41" t="str">
        <f aca="false">IF(D3281="","",IFERROR(IF(ISNUMBER(SEARCH(Assumptions!$C$5,D3281)),Assumptions!$D$5,IF(ISNUMBER(SEARCH(Assumptions!$C$6,D3281)),Assumptions!$D$6,IF(ISNUMBER(SEARCH(Assumptions!$C$7,D3281)),Assumptions!$D$7,"Other Services"))),"Other Services"))</f>
        <v/>
      </c>
    </row>
    <row r="3282" customFormat="false" ht="15" hidden="false" customHeight="false" outlineLevel="0" collapsed="false">
      <c r="F3282" s="41" t="str">
        <f aca="false">IF(D3282="","",IFERROR(IF(ISNUMBER(SEARCH(Assumptions!$C$5,D3282)),Assumptions!$D$5,IF(ISNUMBER(SEARCH(Assumptions!$C$6,D3282)),Assumptions!$D$6,IF(ISNUMBER(SEARCH(Assumptions!$C$7,D3282)),Assumptions!$D$7,"Other Services"))),"Other Services"))</f>
        <v/>
      </c>
    </row>
    <row r="3283" customFormat="false" ht="15" hidden="false" customHeight="false" outlineLevel="0" collapsed="false">
      <c r="F3283" s="41" t="str">
        <f aca="false">IF(D3283="","",IFERROR(IF(ISNUMBER(SEARCH(Assumptions!$C$5,D3283)),Assumptions!$D$5,IF(ISNUMBER(SEARCH(Assumptions!$C$6,D3283)),Assumptions!$D$6,IF(ISNUMBER(SEARCH(Assumptions!$C$7,D3283)),Assumptions!$D$7,"Other Services"))),"Other Services"))</f>
        <v/>
      </c>
    </row>
    <row r="3284" customFormat="false" ht="15" hidden="false" customHeight="false" outlineLevel="0" collapsed="false">
      <c r="F3284" s="41" t="str">
        <f aca="false">IF(D3284="","",IFERROR(IF(ISNUMBER(SEARCH(Assumptions!$C$5,D3284)),Assumptions!$D$5,IF(ISNUMBER(SEARCH(Assumptions!$C$6,D3284)),Assumptions!$D$6,IF(ISNUMBER(SEARCH(Assumptions!$C$7,D3284)),Assumptions!$D$7,"Other Services"))),"Other Services"))</f>
        <v/>
      </c>
    </row>
    <row r="3285" customFormat="false" ht="15" hidden="false" customHeight="false" outlineLevel="0" collapsed="false">
      <c r="F3285" s="41" t="str">
        <f aca="false">IF(D3285="","",IFERROR(IF(ISNUMBER(SEARCH(Assumptions!$C$5,D3285)),Assumptions!$D$5,IF(ISNUMBER(SEARCH(Assumptions!$C$6,D3285)),Assumptions!$D$6,IF(ISNUMBER(SEARCH(Assumptions!$C$7,D3285)),Assumptions!$D$7,"Other Services"))),"Other Services"))</f>
        <v/>
      </c>
    </row>
    <row r="3286" customFormat="false" ht="15" hidden="false" customHeight="false" outlineLevel="0" collapsed="false">
      <c r="F3286" s="41" t="str">
        <f aca="false">IF(D3286="","",IFERROR(IF(ISNUMBER(SEARCH(Assumptions!$C$5,D3286)),Assumptions!$D$5,IF(ISNUMBER(SEARCH(Assumptions!$C$6,D3286)),Assumptions!$D$6,IF(ISNUMBER(SEARCH(Assumptions!$C$7,D3286)),Assumptions!$D$7,"Other Services"))),"Other Services"))</f>
        <v/>
      </c>
    </row>
    <row r="3287" customFormat="false" ht="15" hidden="false" customHeight="false" outlineLevel="0" collapsed="false">
      <c r="F3287" s="41" t="str">
        <f aca="false">IF(D3287="","",IFERROR(IF(ISNUMBER(SEARCH(Assumptions!$C$5,D3287)),Assumptions!$D$5,IF(ISNUMBER(SEARCH(Assumptions!$C$6,D3287)),Assumptions!$D$6,IF(ISNUMBER(SEARCH(Assumptions!$C$7,D3287)),Assumptions!$D$7,"Other Services"))),"Other Services"))</f>
        <v/>
      </c>
    </row>
    <row r="3288" customFormat="false" ht="15" hidden="false" customHeight="false" outlineLevel="0" collapsed="false">
      <c r="F3288" s="41" t="str">
        <f aca="false">IF(D3288="","",IFERROR(IF(ISNUMBER(SEARCH(Assumptions!$C$5,D3288)),Assumptions!$D$5,IF(ISNUMBER(SEARCH(Assumptions!$C$6,D3288)),Assumptions!$D$6,IF(ISNUMBER(SEARCH(Assumptions!$C$7,D3288)),Assumptions!$D$7,"Other Services"))),"Other Services"))</f>
        <v/>
      </c>
    </row>
    <row r="3289" customFormat="false" ht="15" hidden="false" customHeight="false" outlineLevel="0" collapsed="false">
      <c r="F3289" s="41" t="str">
        <f aca="false">IF(D3289="","",IFERROR(IF(ISNUMBER(SEARCH(Assumptions!$C$5,D3289)),Assumptions!$D$5,IF(ISNUMBER(SEARCH(Assumptions!$C$6,D3289)),Assumptions!$D$6,IF(ISNUMBER(SEARCH(Assumptions!$C$7,D3289)),Assumptions!$D$7,"Other Services"))),"Other Services"))</f>
        <v/>
      </c>
    </row>
    <row r="3290" customFormat="false" ht="15" hidden="false" customHeight="false" outlineLevel="0" collapsed="false">
      <c r="F3290" s="41" t="str">
        <f aca="false">IF(D3290="","",IFERROR(IF(ISNUMBER(SEARCH(Assumptions!$C$5,D3290)),Assumptions!$D$5,IF(ISNUMBER(SEARCH(Assumptions!$C$6,D3290)),Assumptions!$D$6,IF(ISNUMBER(SEARCH(Assumptions!$C$7,D3290)),Assumptions!$D$7,"Other Services"))),"Other Services"))</f>
        <v/>
      </c>
    </row>
    <row r="3291" customFormat="false" ht="15" hidden="false" customHeight="false" outlineLevel="0" collapsed="false">
      <c r="F3291" s="41" t="str">
        <f aca="false">IF(D3291="","",IFERROR(IF(ISNUMBER(SEARCH(Assumptions!$C$5,D3291)),Assumptions!$D$5,IF(ISNUMBER(SEARCH(Assumptions!$C$6,D3291)),Assumptions!$D$6,IF(ISNUMBER(SEARCH(Assumptions!$C$7,D3291)),Assumptions!$D$7,"Other Services"))),"Other Services"))</f>
        <v/>
      </c>
    </row>
    <row r="3292" customFormat="false" ht="15" hidden="false" customHeight="false" outlineLevel="0" collapsed="false">
      <c r="F3292" s="41" t="str">
        <f aca="false">IF(D3292="","",IFERROR(IF(ISNUMBER(SEARCH(Assumptions!$C$5,D3292)),Assumptions!$D$5,IF(ISNUMBER(SEARCH(Assumptions!$C$6,D3292)),Assumptions!$D$6,IF(ISNUMBER(SEARCH(Assumptions!$C$7,D3292)),Assumptions!$D$7,"Other Services"))),"Other Services"))</f>
        <v/>
      </c>
    </row>
    <row r="3293" customFormat="false" ht="15" hidden="false" customHeight="false" outlineLevel="0" collapsed="false">
      <c r="F3293" s="41" t="str">
        <f aca="false">IF(D3293="","",IFERROR(IF(ISNUMBER(SEARCH(Assumptions!$C$5,D3293)),Assumptions!$D$5,IF(ISNUMBER(SEARCH(Assumptions!$C$6,D3293)),Assumptions!$D$6,IF(ISNUMBER(SEARCH(Assumptions!$C$7,D3293)),Assumptions!$D$7,"Other Services"))),"Other Services"))</f>
        <v/>
      </c>
    </row>
    <row r="3294" customFormat="false" ht="15" hidden="false" customHeight="false" outlineLevel="0" collapsed="false">
      <c r="F3294" s="41" t="str">
        <f aca="false">IF(D3294="","",IFERROR(IF(ISNUMBER(SEARCH(Assumptions!$C$5,D3294)),Assumptions!$D$5,IF(ISNUMBER(SEARCH(Assumptions!$C$6,D3294)),Assumptions!$D$6,IF(ISNUMBER(SEARCH(Assumptions!$C$7,D3294)),Assumptions!$D$7,"Other Services"))),"Other Services"))</f>
        <v/>
      </c>
    </row>
    <row r="3295" customFormat="false" ht="15" hidden="false" customHeight="false" outlineLevel="0" collapsed="false">
      <c r="F3295" s="41" t="str">
        <f aca="false">IF(D3295="","",IFERROR(IF(ISNUMBER(SEARCH(Assumptions!$C$5,D3295)),Assumptions!$D$5,IF(ISNUMBER(SEARCH(Assumptions!$C$6,D3295)),Assumptions!$D$6,IF(ISNUMBER(SEARCH(Assumptions!$C$7,D3295)),Assumptions!$D$7,"Other Services"))),"Other Services"))</f>
        <v/>
      </c>
    </row>
    <row r="3296" customFormat="false" ht="15" hidden="false" customHeight="false" outlineLevel="0" collapsed="false">
      <c r="F3296" s="41" t="str">
        <f aca="false">IF(D3296="","",IFERROR(IF(ISNUMBER(SEARCH(Assumptions!$C$5,D3296)),Assumptions!$D$5,IF(ISNUMBER(SEARCH(Assumptions!$C$6,D3296)),Assumptions!$D$6,IF(ISNUMBER(SEARCH(Assumptions!$C$7,D3296)),Assumptions!$D$7,"Other Services"))),"Other Services"))</f>
        <v/>
      </c>
    </row>
    <row r="3297" customFormat="false" ht="15" hidden="false" customHeight="false" outlineLevel="0" collapsed="false">
      <c r="F3297" s="41" t="str">
        <f aca="false">IF(D3297="","",IFERROR(IF(ISNUMBER(SEARCH(Assumptions!$C$5,D3297)),Assumptions!$D$5,IF(ISNUMBER(SEARCH(Assumptions!$C$6,D3297)),Assumptions!$D$6,IF(ISNUMBER(SEARCH(Assumptions!$C$7,D3297)),Assumptions!$D$7,"Other Services"))),"Other Services"))</f>
        <v/>
      </c>
    </row>
    <row r="3298" customFormat="false" ht="15" hidden="false" customHeight="false" outlineLevel="0" collapsed="false">
      <c r="F3298" s="41" t="str">
        <f aca="false">IF(D3298="","",IFERROR(IF(ISNUMBER(SEARCH(Assumptions!$C$5,D3298)),Assumptions!$D$5,IF(ISNUMBER(SEARCH(Assumptions!$C$6,D3298)),Assumptions!$D$6,IF(ISNUMBER(SEARCH(Assumptions!$C$7,D3298)),Assumptions!$D$7,"Other Services"))),"Other Services"))</f>
        <v/>
      </c>
    </row>
    <row r="3299" customFormat="false" ht="15" hidden="false" customHeight="false" outlineLevel="0" collapsed="false">
      <c r="F3299" s="41" t="str">
        <f aca="false">IF(D3299="","",IFERROR(IF(ISNUMBER(SEARCH(Assumptions!$C$5,D3299)),Assumptions!$D$5,IF(ISNUMBER(SEARCH(Assumptions!$C$6,D3299)),Assumptions!$D$6,IF(ISNUMBER(SEARCH(Assumptions!$C$7,D3299)),Assumptions!$D$7,"Other Services"))),"Other Services"))</f>
        <v/>
      </c>
    </row>
    <row r="3300" customFormat="false" ht="15" hidden="false" customHeight="false" outlineLevel="0" collapsed="false">
      <c r="F3300" s="41" t="str">
        <f aca="false">IF(D3300="","",IFERROR(IF(ISNUMBER(SEARCH(Assumptions!$C$5,D3300)),Assumptions!$D$5,IF(ISNUMBER(SEARCH(Assumptions!$C$6,D3300)),Assumptions!$D$6,IF(ISNUMBER(SEARCH(Assumptions!$C$7,D3300)),Assumptions!$D$7,"Other Services"))),"Other Services"))</f>
        <v/>
      </c>
    </row>
    <row r="3301" customFormat="false" ht="15" hidden="false" customHeight="false" outlineLevel="0" collapsed="false">
      <c r="F3301" s="41" t="str">
        <f aca="false">IF(D3301="","",IFERROR(IF(ISNUMBER(SEARCH(Assumptions!$C$5,D3301)),Assumptions!$D$5,IF(ISNUMBER(SEARCH(Assumptions!$C$6,D3301)),Assumptions!$D$6,IF(ISNUMBER(SEARCH(Assumptions!$C$7,D3301)),Assumptions!$D$7,"Other Services"))),"Other Services"))</f>
        <v/>
      </c>
    </row>
    <row r="3302" customFormat="false" ht="15" hidden="false" customHeight="false" outlineLevel="0" collapsed="false">
      <c r="F3302" s="41" t="str">
        <f aca="false">IF(D3302="","",IFERROR(IF(ISNUMBER(SEARCH(Assumptions!$C$5,D3302)),Assumptions!$D$5,IF(ISNUMBER(SEARCH(Assumptions!$C$6,D3302)),Assumptions!$D$6,IF(ISNUMBER(SEARCH(Assumptions!$C$7,D3302)),Assumptions!$D$7,"Other Services"))),"Other Services"))</f>
        <v/>
      </c>
    </row>
    <row r="3303" customFormat="false" ht="15" hidden="false" customHeight="false" outlineLevel="0" collapsed="false">
      <c r="F3303" s="41" t="str">
        <f aca="false">IF(D3303="","",IFERROR(IF(ISNUMBER(SEARCH(Assumptions!$C$5,D3303)),Assumptions!$D$5,IF(ISNUMBER(SEARCH(Assumptions!$C$6,D3303)),Assumptions!$D$6,IF(ISNUMBER(SEARCH(Assumptions!$C$7,D3303)),Assumptions!$D$7,"Other Services"))),"Other Services"))</f>
        <v/>
      </c>
    </row>
    <row r="3304" customFormat="false" ht="15" hidden="false" customHeight="false" outlineLevel="0" collapsed="false">
      <c r="F3304" s="41" t="str">
        <f aca="false">IF(D3304="","",IFERROR(IF(ISNUMBER(SEARCH(Assumptions!$C$5,D3304)),Assumptions!$D$5,IF(ISNUMBER(SEARCH(Assumptions!$C$6,D3304)),Assumptions!$D$6,IF(ISNUMBER(SEARCH(Assumptions!$C$7,D3304)),Assumptions!$D$7,"Other Services"))),"Other Services"))</f>
        <v/>
      </c>
    </row>
    <row r="3305" customFormat="false" ht="15" hidden="false" customHeight="false" outlineLevel="0" collapsed="false">
      <c r="F3305" s="41" t="str">
        <f aca="false">IF(D3305="","",IFERROR(IF(ISNUMBER(SEARCH(Assumptions!$C$5,D3305)),Assumptions!$D$5,IF(ISNUMBER(SEARCH(Assumptions!$C$6,D3305)),Assumptions!$D$6,IF(ISNUMBER(SEARCH(Assumptions!$C$7,D3305)),Assumptions!$D$7,"Other Services"))),"Other Services"))</f>
        <v/>
      </c>
    </row>
    <row r="3306" customFormat="false" ht="15" hidden="false" customHeight="false" outlineLevel="0" collapsed="false">
      <c r="F3306" s="41" t="str">
        <f aca="false">IF(D3306="","",IFERROR(IF(ISNUMBER(SEARCH(Assumptions!$C$5,D3306)),Assumptions!$D$5,IF(ISNUMBER(SEARCH(Assumptions!$C$6,D3306)),Assumptions!$D$6,IF(ISNUMBER(SEARCH(Assumptions!$C$7,D3306)),Assumptions!$D$7,"Other Services"))),"Other Services"))</f>
        <v/>
      </c>
    </row>
    <row r="3307" customFormat="false" ht="15" hidden="false" customHeight="false" outlineLevel="0" collapsed="false">
      <c r="F3307" s="41" t="str">
        <f aca="false">IF(D3307="","",IFERROR(IF(ISNUMBER(SEARCH(Assumptions!$C$5,D3307)),Assumptions!$D$5,IF(ISNUMBER(SEARCH(Assumptions!$C$6,D3307)),Assumptions!$D$6,IF(ISNUMBER(SEARCH(Assumptions!$C$7,D3307)),Assumptions!$D$7,"Other Services"))),"Other Services"))</f>
        <v/>
      </c>
    </row>
    <row r="3308" customFormat="false" ht="15" hidden="false" customHeight="false" outlineLevel="0" collapsed="false">
      <c r="F3308" s="41" t="str">
        <f aca="false">IF(D3308="","",IFERROR(IF(ISNUMBER(SEARCH(Assumptions!$C$5,D3308)),Assumptions!$D$5,IF(ISNUMBER(SEARCH(Assumptions!$C$6,D3308)),Assumptions!$D$6,IF(ISNUMBER(SEARCH(Assumptions!$C$7,D3308)),Assumptions!$D$7,"Other Services"))),"Other Services"))</f>
        <v/>
      </c>
    </row>
    <row r="3309" customFormat="false" ht="15" hidden="false" customHeight="false" outlineLevel="0" collapsed="false">
      <c r="F3309" s="41" t="str">
        <f aca="false">IF(D3309="","",IFERROR(IF(ISNUMBER(SEARCH(Assumptions!$C$5,D3309)),Assumptions!$D$5,IF(ISNUMBER(SEARCH(Assumptions!$C$6,D3309)),Assumptions!$D$6,IF(ISNUMBER(SEARCH(Assumptions!$C$7,D3309)),Assumptions!$D$7,"Other Services"))),"Other Services"))</f>
        <v/>
      </c>
    </row>
    <row r="3310" customFormat="false" ht="15" hidden="false" customHeight="false" outlineLevel="0" collapsed="false">
      <c r="F3310" s="41" t="str">
        <f aca="false">IF(D3310="","",IFERROR(IF(ISNUMBER(SEARCH(Assumptions!$C$5,D3310)),Assumptions!$D$5,IF(ISNUMBER(SEARCH(Assumptions!$C$6,D3310)),Assumptions!$D$6,IF(ISNUMBER(SEARCH(Assumptions!$C$7,D3310)),Assumptions!$D$7,"Other Services"))),"Other Services"))</f>
        <v/>
      </c>
    </row>
    <row r="3311" customFormat="false" ht="15" hidden="false" customHeight="false" outlineLevel="0" collapsed="false">
      <c r="F3311" s="41" t="str">
        <f aca="false">IF(D3311="","",IFERROR(IF(ISNUMBER(SEARCH(Assumptions!$C$5,D3311)),Assumptions!$D$5,IF(ISNUMBER(SEARCH(Assumptions!$C$6,D3311)),Assumptions!$D$6,IF(ISNUMBER(SEARCH(Assumptions!$C$7,D3311)),Assumptions!$D$7,"Other Services"))),"Other Services"))</f>
        <v/>
      </c>
    </row>
    <row r="3312" customFormat="false" ht="15" hidden="false" customHeight="false" outlineLevel="0" collapsed="false">
      <c r="F3312" s="41" t="str">
        <f aca="false">IF(D3312="","",IFERROR(IF(ISNUMBER(SEARCH(Assumptions!$C$5,D3312)),Assumptions!$D$5,IF(ISNUMBER(SEARCH(Assumptions!$C$6,D3312)),Assumptions!$D$6,IF(ISNUMBER(SEARCH(Assumptions!$C$7,D3312)),Assumptions!$D$7,"Other Services"))),"Other Services"))</f>
        <v/>
      </c>
    </row>
    <row r="3313" customFormat="false" ht="15" hidden="false" customHeight="false" outlineLevel="0" collapsed="false">
      <c r="F3313" s="41" t="str">
        <f aca="false">IF(D3313="","",IFERROR(IF(ISNUMBER(SEARCH(Assumptions!$C$5,D3313)),Assumptions!$D$5,IF(ISNUMBER(SEARCH(Assumptions!$C$6,D3313)),Assumptions!$D$6,IF(ISNUMBER(SEARCH(Assumptions!$C$7,D3313)),Assumptions!$D$7,"Other Services"))),"Other Services"))</f>
        <v/>
      </c>
    </row>
    <row r="3314" customFormat="false" ht="15" hidden="false" customHeight="false" outlineLevel="0" collapsed="false">
      <c r="F3314" s="41" t="str">
        <f aca="false">IF(D3314="","",IFERROR(IF(ISNUMBER(SEARCH(Assumptions!$C$5,D3314)),Assumptions!$D$5,IF(ISNUMBER(SEARCH(Assumptions!$C$6,D3314)),Assumptions!$D$6,IF(ISNUMBER(SEARCH(Assumptions!$C$7,D3314)),Assumptions!$D$7,"Other Services"))),"Other Services"))</f>
        <v/>
      </c>
    </row>
    <row r="3315" customFormat="false" ht="15" hidden="false" customHeight="false" outlineLevel="0" collapsed="false">
      <c r="F3315" s="41" t="str">
        <f aca="false">IF(D3315="","",IFERROR(IF(ISNUMBER(SEARCH(Assumptions!$C$5,D3315)),Assumptions!$D$5,IF(ISNUMBER(SEARCH(Assumptions!$C$6,D3315)),Assumptions!$D$6,IF(ISNUMBER(SEARCH(Assumptions!$C$7,D3315)),Assumptions!$D$7,"Other Services"))),"Other Services"))</f>
        <v/>
      </c>
    </row>
    <row r="3316" customFormat="false" ht="15" hidden="false" customHeight="false" outlineLevel="0" collapsed="false">
      <c r="F3316" s="41" t="str">
        <f aca="false">IF(D3316="","",IFERROR(IF(ISNUMBER(SEARCH(Assumptions!$C$5,D3316)),Assumptions!$D$5,IF(ISNUMBER(SEARCH(Assumptions!$C$6,D3316)),Assumptions!$D$6,IF(ISNUMBER(SEARCH(Assumptions!$C$7,D3316)),Assumptions!$D$7,"Other Services"))),"Other Services"))</f>
        <v/>
      </c>
    </row>
    <row r="3317" customFormat="false" ht="15" hidden="false" customHeight="false" outlineLevel="0" collapsed="false">
      <c r="F3317" s="41" t="str">
        <f aca="false">IF(D3317="","",IFERROR(IF(ISNUMBER(SEARCH(Assumptions!$C$5,D3317)),Assumptions!$D$5,IF(ISNUMBER(SEARCH(Assumptions!$C$6,D3317)),Assumptions!$D$6,IF(ISNUMBER(SEARCH(Assumptions!$C$7,D3317)),Assumptions!$D$7,"Other Services"))),"Other Services"))</f>
        <v/>
      </c>
    </row>
    <row r="3318" customFormat="false" ht="15" hidden="false" customHeight="false" outlineLevel="0" collapsed="false">
      <c r="F3318" s="41" t="str">
        <f aca="false">IF(D3318="","",IFERROR(IF(ISNUMBER(SEARCH(Assumptions!$C$5,D3318)),Assumptions!$D$5,IF(ISNUMBER(SEARCH(Assumptions!$C$6,D3318)),Assumptions!$D$6,IF(ISNUMBER(SEARCH(Assumptions!$C$7,D3318)),Assumptions!$D$7,"Other Services"))),"Other Services"))</f>
        <v/>
      </c>
    </row>
    <row r="3319" customFormat="false" ht="15" hidden="false" customHeight="false" outlineLevel="0" collapsed="false">
      <c r="F3319" s="41" t="str">
        <f aca="false">IF(D3319="","",IFERROR(IF(ISNUMBER(SEARCH(Assumptions!$C$5,D3319)),Assumptions!$D$5,IF(ISNUMBER(SEARCH(Assumptions!$C$6,D3319)),Assumptions!$D$6,IF(ISNUMBER(SEARCH(Assumptions!$C$7,D3319)),Assumptions!$D$7,"Other Services"))),"Other Services"))</f>
        <v/>
      </c>
    </row>
    <row r="3320" customFormat="false" ht="15" hidden="false" customHeight="false" outlineLevel="0" collapsed="false">
      <c r="F3320" s="41" t="str">
        <f aca="false">IF(D3320="","",IFERROR(IF(ISNUMBER(SEARCH(Assumptions!$C$5,D3320)),Assumptions!$D$5,IF(ISNUMBER(SEARCH(Assumptions!$C$6,D3320)),Assumptions!$D$6,IF(ISNUMBER(SEARCH(Assumptions!$C$7,D3320)),Assumptions!$D$7,"Other Services"))),"Other Services"))</f>
        <v/>
      </c>
    </row>
    <row r="3321" customFormat="false" ht="15" hidden="false" customHeight="false" outlineLevel="0" collapsed="false">
      <c r="F3321" s="41" t="str">
        <f aca="false">IF(D3321="","",IFERROR(IF(ISNUMBER(SEARCH(Assumptions!$C$5,D3321)),Assumptions!$D$5,IF(ISNUMBER(SEARCH(Assumptions!$C$6,D3321)),Assumptions!$D$6,IF(ISNUMBER(SEARCH(Assumptions!$C$7,D3321)),Assumptions!$D$7,"Other Services"))),"Other Services"))</f>
        <v/>
      </c>
    </row>
    <row r="3322" customFormat="false" ht="15" hidden="false" customHeight="false" outlineLevel="0" collapsed="false">
      <c r="F3322" s="41" t="str">
        <f aca="false">IF(D3322="","",IFERROR(IF(ISNUMBER(SEARCH(Assumptions!$C$5,D3322)),Assumptions!$D$5,IF(ISNUMBER(SEARCH(Assumptions!$C$6,D3322)),Assumptions!$D$6,IF(ISNUMBER(SEARCH(Assumptions!$C$7,D3322)),Assumptions!$D$7,"Other Services"))),"Other Services"))</f>
        <v/>
      </c>
    </row>
    <row r="3323" customFormat="false" ht="15" hidden="false" customHeight="false" outlineLevel="0" collapsed="false">
      <c r="F3323" s="41" t="str">
        <f aca="false">IF(D3323="","",IFERROR(IF(ISNUMBER(SEARCH(Assumptions!$C$5,D3323)),Assumptions!$D$5,IF(ISNUMBER(SEARCH(Assumptions!$C$6,D3323)),Assumptions!$D$6,IF(ISNUMBER(SEARCH(Assumptions!$C$7,D3323)),Assumptions!$D$7,"Other Services"))),"Other Services"))</f>
        <v/>
      </c>
    </row>
    <row r="3324" customFormat="false" ht="15" hidden="false" customHeight="false" outlineLevel="0" collapsed="false">
      <c r="F3324" s="41" t="str">
        <f aca="false">IF(D3324="","",IFERROR(IF(ISNUMBER(SEARCH(Assumptions!$C$5,D3324)),Assumptions!$D$5,IF(ISNUMBER(SEARCH(Assumptions!$C$6,D3324)),Assumptions!$D$6,IF(ISNUMBER(SEARCH(Assumptions!$C$7,D3324)),Assumptions!$D$7,"Other Services"))),"Other Services"))</f>
        <v/>
      </c>
    </row>
    <row r="3325" customFormat="false" ht="15" hidden="false" customHeight="false" outlineLevel="0" collapsed="false">
      <c r="F3325" s="41" t="str">
        <f aca="false">IF(D3325="","",IFERROR(IF(ISNUMBER(SEARCH(Assumptions!$C$5,D3325)),Assumptions!$D$5,IF(ISNUMBER(SEARCH(Assumptions!$C$6,D3325)),Assumptions!$D$6,IF(ISNUMBER(SEARCH(Assumptions!$C$7,D3325)),Assumptions!$D$7,"Other Services"))),"Other Services"))</f>
        <v/>
      </c>
    </row>
    <row r="3326" customFormat="false" ht="15" hidden="false" customHeight="false" outlineLevel="0" collapsed="false">
      <c r="F3326" s="41" t="str">
        <f aca="false">IF(D3326="","",IFERROR(IF(ISNUMBER(SEARCH(Assumptions!$C$5,D3326)),Assumptions!$D$5,IF(ISNUMBER(SEARCH(Assumptions!$C$6,D3326)),Assumptions!$D$6,IF(ISNUMBER(SEARCH(Assumptions!$C$7,D3326)),Assumptions!$D$7,"Other Services"))),"Other Services"))</f>
        <v/>
      </c>
    </row>
    <row r="3327" customFormat="false" ht="15" hidden="false" customHeight="false" outlineLevel="0" collapsed="false">
      <c r="F3327" s="41" t="str">
        <f aca="false">IF(D3327="","",IFERROR(IF(ISNUMBER(SEARCH(Assumptions!$C$5,D3327)),Assumptions!$D$5,IF(ISNUMBER(SEARCH(Assumptions!$C$6,D3327)),Assumptions!$D$6,IF(ISNUMBER(SEARCH(Assumptions!$C$7,D3327)),Assumptions!$D$7,"Other Services"))),"Other Services"))</f>
        <v/>
      </c>
    </row>
    <row r="3328" customFormat="false" ht="15" hidden="false" customHeight="false" outlineLevel="0" collapsed="false">
      <c r="F3328" s="41" t="str">
        <f aca="false">IF(D3328="","",IFERROR(IF(ISNUMBER(SEARCH(Assumptions!$C$5,D3328)),Assumptions!$D$5,IF(ISNUMBER(SEARCH(Assumptions!$C$6,D3328)),Assumptions!$D$6,IF(ISNUMBER(SEARCH(Assumptions!$C$7,D3328)),Assumptions!$D$7,"Other Services"))),"Other Services"))</f>
        <v/>
      </c>
    </row>
    <row r="3329" customFormat="false" ht="15" hidden="false" customHeight="false" outlineLevel="0" collapsed="false">
      <c r="F3329" s="41" t="str">
        <f aca="false">IF(D3329="","",IFERROR(IF(ISNUMBER(SEARCH(Assumptions!$C$5,D3329)),Assumptions!$D$5,IF(ISNUMBER(SEARCH(Assumptions!$C$6,D3329)),Assumptions!$D$6,IF(ISNUMBER(SEARCH(Assumptions!$C$7,D3329)),Assumptions!$D$7,"Other Services"))),"Other Services"))</f>
        <v/>
      </c>
    </row>
    <row r="3330" customFormat="false" ht="15" hidden="false" customHeight="false" outlineLevel="0" collapsed="false">
      <c r="F3330" s="41" t="str">
        <f aca="false">IF(D3330="","",IFERROR(IF(ISNUMBER(SEARCH(Assumptions!$C$5,D3330)),Assumptions!$D$5,IF(ISNUMBER(SEARCH(Assumptions!$C$6,D3330)),Assumptions!$D$6,IF(ISNUMBER(SEARCH(Assumptions!$C$7,D3330)),Assumptions!$D$7,"Other Services"))),"Other Services"))</f>
        <v/>
      </c>
    </row>
    <row r="3331" customFormat="false" ht="15" hidden="false" customHeight="false" outlineLevel="0" collapsed="false">
      <c r="F3331" s="41" t="str">
        <f aca="false">IF(D3331="","",IFERROR(IF(ISNUMBER(SEARCH(Assumptions!$C$5,D3331)),Assumptions!$D$5,IF(ISNUMBER(SEARCH(Assumptions!$C$6,D3331)),Assumptions!$D$6,IF(ISNUMBER(SEARCH(Assumptions!$C$7,D3331)),Assumptions!$D$7,"Other Services"))),"Other Services"))</f>
        <v/>
      </c>
    </row>
    <row r="3332" customFormat="false" ht="15" hidden="false" customHeight="false" outlineLevel="0" collapsed="false">
      <c r="F3332" s="41" t="str">
        <f aca="false">IF(D3332="","",IFERROR(IF(ISNUMBER(SEARCH(Assumptions!$C$5,D3332)),Assumptions!$D$5,IF(ISNUMBER(SEARCH(Assumptions!$C$6,D3332)),Assumptions!$D$6,IF(ISNUMBER(SEARCH(Assumptions!$C$7,D3332)),Assumptions!$D$7,"Other Services"))),"Other Services"))</f>
        <v/>
      </c>
    </row>
    <row r="3333" customFormat="false" ht="15" hidden="false" customHeight="false" outlineLevel="0" collapsed="false">
      <c r="F3333" s="41" t="str">
        <f aca="false">IF(D3333="","",IFERROR(IF(ISNUMBER(SEARCH(Assumptions!$C$5,D3333)),Assumptions!$D$5,IF(ISNUMBER(SEARCH(Assumptions!$C$6,D3333)),Assumptions!$D$6,IF(ISNUMBER(SEARCH(Assumptions!$C$7,D3333)),Assumptions!$D$7,"Other Services"))),"Other Services"))</f>
        <v/>
      </c>
    </row>
    <row r="3334" customFormat="false" ht="15" hidden="false" customHeight="false" outlineLevel="0" collapsed="false">
      <c r="F3334" s="41" t="str">
        <f aca="false">IF(D3334="","",IFERROR(IF(ISNUMBER(SEARCH(Assumptions!$C$5,D3334)),Assumptions!$D$5,IF(ISNUMBER(SEARCH(Assumptions!$C$6,D3334)),Assumptions!$D$6,IF(ISNUMBER(SEARCH(Assumptions!$C$7,D3334)),Assumptions!$D$7,"Other Services"))),"Other Services"))</f>
        <v/>
      </c>
    </row>
    <row r="3335" customFormat="false" ht="15" hidden="false" customHeight="false" outlineLevel="0" collapsed="false">
      <c r="F3335" s="41" t="str">
        <f aca="false">IF(D3335="","",IFERROR(IF(ISNUMBER(SEARCH(Assumptions!$C$5,D3335)),Assumptions!$D$5,IF(ISNUMBER(SEARCH(Assumptions!$C$6,D3335)),Assumptions!$D$6,IF(ISNUMBER(SEARCH(Assumptions!$C$7,D3335)),Assumptions!$D$7,"Other Services"))),"Other Services"))</f>
        <v/>
      </c>
    </row>
    <row r="3336" customFormat="false" ht="15" hidden="false" customHeight="false" outlineLevel="0" collapsed="false">
      <c r="F3336" s="41" t="str">
        <f aca="false">IF(D3336="","",IFERROR(IF(ISNUMBER(SEARCH(Assumptions!$C$5,D3336)),Assumptions!$D$5,IF(ISNUMBER(SEARCH(Assumptions!$C$6,D3336)),Assumptions!$D$6,IF(ISNUMBER(SEARCH(Assumptions!$C$7,D3336)),Assumptions!$D$7,"Other Services"))),"Other Services"))</f>
        <v/>
      </c>
    </row>
    <row r="3337" customFormat="false" ht="15" hidden="false" customHeight="false" outlineLevel="0" collapsed="false">
      <c r="F3337" s="41" t="str">
        <f aca="false">IF(D3337="","",IFERROR(IF(ISNUMBER(SEARCH(Assumptions!$C$5,D3337)),Assumptions!$D$5,IF(ISNUMBER(SEARCH(Assumptions!$C$6,D3337)),Assumptions!$D$6,IF(ISNUMBER(SEARCH(Assumptions!$C$7,D3337)),Assumptions!$D$7,"Other Services"))),"Other Services"))</f>
        <v/>
      </c>
    </row>
    <row r="3338" customFormat="false" ht="15" hidden="false" customHeight="false" outlineLevel="0" collapsed="false">
      <c r="F3338" s="41" t="str">
        <f aca="false">IF(D3338="","",IFERROR(IF(ISNUMBER(SEARCH(Assumptions!$C$5,D3338)),Assumptions!$D$5,IF(ISNUMBER(SEARCH(Assumptions!$C$6,D3338)),Assumptions!$D$6,IF(ISNUMBER(SEARCH(Assumptions!$C$7,D3338)),Assumptions!$D$7,"Other Services"))),"Other Services"))</f>
        <v/>
      </c>
    </row>
    <row r="3339" customFormat="false" ht="15" hidden="false" customHeight="false" outlineLevel="0" collapsed="false">
      <c r="F3339" s="41" t="str">
        <f aca="false">IF(D3339="","",IFERROR(IF(ISNUMBER(SEARCH(Assumptions!$C$5,D3339)),Assumptions!$D$5,IF(ISNUMBER(SEARCH(Assumptions!$C$6,D3339)),Assumptions!$D$6,IF(ISNUMBER(SEARCH(Assumptions!$C$7,D3339)),Assumptions!$D$7,"Other Services"))),"Other Services"))</f>
        <v/>
      </c>
    </row>
    <row r="3340" customFormat="false" ht="15" hidden="false" customHeight="false" outlineLevel="0" collapsed="false">
      <c r="F3340" s="41" t="str">
        <f aca="false">IF(D3340="","",IFERROR(IF(ISNUMBER(SEARCH(Assumptions!$C$5,D3340)),Assumptions!$D$5,IF(ISNUMBER(SEARCH(Assumptions!$C$6,D3340)),Assumptions!$D$6,IF(ISNUMBER(SEARCH(Assumptions!$C$7,D3340)),Assumptions!$D$7,"Other Services"))),"Other Services"))</f>
        <v/>
      </c>
    </row>
    <row r="3341" customFormat="false" ht="15" hidden="false" customHeight="false" outlineLevel="0" collapsed="false">
      <c r="F3341" s="41" t="str">
        <f aca="false">IF(D3341="","",IFERROR(IF(ISNUMBER(SEARCH(Assumptions!$C$5,D3341)),Assumptions!$D$5,IF(ISNUMBER(SEARCH(Assumptions!$C$6,D3341)),Assumptions!$D$6,IF(ISNUMBER(SEARCH(Assumptions!$C$7,D3341)),Assumptions!$D$7,"Other Services"))),"Other Services"))</f>
        <v/>
      </c>
    </row>
    <row r="3342" customFormat="false" ht="15" hidden="false" customHeight="false" outlineLevel="0" collapsed="false">
      <c r="F3342" s="41" t="str">
        <f aca="false">IF(D3342="","",IFERROR(IF(ISNUMBER(SEARCH(Assumptions!$C$5,D3342)),Assumptions!$D$5,IF(ISNUMBER(SEARCH(Assumptions!$C$6,D3342)),Assumptions!$D$6,IF(ISNUMBER(SEARCH(Assumptions!$C$7,D3342)),Assumptions!$D$7,"Other Services"))),"Other Services"))</f>
        <v/>
      </c>
    </row>
    <row r="3343" customFormat="false" ht="15" hidden="false" customHeight="false" outlineLevel="0" collapsed="false">
      <c r="F3343" s="41" t="str">
        <f aca="false">IF(D3343="","",IFERROR(IF(ISNUMBER(SEARCH(Assumptions!$C$5,D3343)),Assumptions!$D$5,IF(ISNUMBER(SEARCH(Assumptions!$C$6,D3343)),Assumptions!$D$6,IF(ISNUMBER(SEARCH(Assumptions!$C$7,D3343)),Assumptions!$D$7,"Other Services"))),"Other Services"))</f>
        <v/>
      </c>
    </row>
    <row r="3344" customFormat="false" ht="15" hidden="false" customHeight="false" outlineLevel="0" collapsed="false">
      <c r="F3344" s="41" t="str">
        <f aca="false">IF(D3344="","",IFERROR(IF(ISNUMBER(SEARCH(Assumptions!$C$5,D3344)),Assumptions!$D$5,IF(ISNUMBER(SEARCH(Assumptions!$C$6,D3344)),Assumptions!$D$6,IF(ISNUMBER(SEARCH(Assumptions!$C$7,D3344)),Assumptions!$D$7,"Other Services"))),"Other Services"))</f>
        <v/>
      </c>
    </row>
    <row r="3345" customFormat="false" ht="15" hidden="false" customHeight="false" outlineLevel="0" collapsed="false">
      <c r="F3345" s="41" t="str">
        <f aca="false">IF(D3345="","",IFERROR(IF(ISNUMBER(SEARCH(Assumptions!$C$5,D3345)),Assumptions!$D$5,IF(ISNUMBER(SEARCH(Assumptions!$C$6,D3345)),Assumptions!$D$6,IF(ISNUMBER(SEARCH(Assumptions!$C$7,D3345)),Assumptions!$D$7,"Other Services"))),"Other Services"))</f>
        <v/>
      </c>
    </row>
    <row r="3346" customFormat="false" ht="15" hidden="false" customHeight="false" outlineLevel="0" collapsed="false">
      <c r="F3346" s="41" t="str">
        <f aca="false">IF(D3346="","",IFERROR(IF(ISNUMBER(SEARCH(Assumptions!$C$5,D3346)),Assumptions!$D$5,IF(ISNUMBER(SEARCH(Assumptions!$C$6,D3346)),Assumptions!$D$6,IF(ISNUMBER(SEARCH(Assumptions!$C$7,D3346)),Assumptions!$D$7,"Other Services"))),"Other Services"))</f>
        <v/>
      </c>
    </row>
    <row r="3347" customFormat="false" ht="15" hidden="false" customHeight="false" outlineLevel="0" collapsed="false">
      <c r="F3347" s="41" t="str">
        <f aca="false">IF(D3347="","",IFERROR(IF(ISNUMBER(SEARCH(Assumptions!$C$5,D3347)),Assumptions!$D$5,IF(ISNUMBER(SEARCH(Assumptions!$C$6,D3347)),Assumptions!$D$6,IF(ISNUMBER(SEARCH(Assumptions!$C$7,D3347)),Assumptions!$D$7,"Other Services"))),"Other Services"))</f>
        <v/>
      </c>
    </row>
    <row r="3348" customFormat="false" ht="15" hidden="false" customHeight="false" outlineLevel="0" collapsed="false">
      <c r="F3348" s="41" t="str">
        <f aca="false">IF(D3348="","",IFERROR(IF(ISNUMBER(SEARCH(Assumptions!$C$5,D3348)),Assumptions!$D$5,IF(ISNUMBER(SEARCH(Assumptions!$C$6,D3348)),Assumptions!$D$6,IF(ISNUMBER(SEARCH(Assumptions!$C$7,D3348)),Assumptions!$D$7,"Other Services"))),"Other Services"))</f>
        <v/>
      </c>
    </row>
    <row r="3349" customFormat="false" ht="15" hidden="false" customHeight="false" outlineLevel="0" collapsed="false">
      <c r="F3349" s="41" t="str">
        <f aca="false">IF(D3349="","",IFERROR(IF(ISNUMBER(SEARCH(Assumptions!$C$5,D3349)),Assumptions!$D$5,IF(ISNUMBER(SEARCH(Assumptions!$C$6,D3349)),Assumptions!$D$6,IF(ISNUMBER(SEARCH(Assumptions!$C$7,D3349)),Assumptions!$D$7,"Other Services"))),"Other Services"))</f>
        <v/>
      </c>
    </row>
    <row r="3350" customFormat="false" ht="15" hidden="false" customHeight="false" outlineLevel="0" collapsed="false">
      <c r="F3350" s="41" t="str">
        <f aca="false">IF(D3350="","",IFERROR(IF(ISNUMBER(SEARCH(Assumptions!$C$5,D3350)),Assumptions!$D$5,IF(ISNUMBER(SEARCH(Assumptions!$C$6,D3350)),Assumptions!$D$6,IF(ISNUMBER(SEARCH(Assumptions!$C$7,D3350)),Assumptions!$D$7,"Other Services"))),"Other Services"))</f>
        <v/>
      </c>
    </row>
    <row r="3351" customFormat="false" ht="15" hidden="false" customHeight="false" outlineLevel="0" collapsed="false">
      <c r="F3351" s="41" t="str">
        <f aca="false">IF(D3351="","",IFERROR(IF(ISNUMBER(SEARCH(Assumptions!$C$5,D3351)),Assumptions!$D$5,IF(ISNUMBER(SEARCH(Assumptions!$C$6,D3351)),Assumptions!$D$6,IF(ISNUMBER(SEARCH(Assumptions!$C$7,D3351)),Assumptions!$D$7,"Other Services"))),"Other Services"))</f>
        <v/>
      </c>
    </row>
    <row r="3352" customFormat="false" ht="15" hidden="false" customHeight="false" outlineLevel="0" collapsed="false">
      <c r="F3352" s="41" t="str">
        <f aca="false">IF(D3352="","",IFERROR(IF(ISNUMBER(SEARCH(Assumptions!$C$5,D3352)),Assumptions!$D$5,IF(ISNUMBER(SEARCH(Assumptions!$C$6,D3352)),Assumptions!$D$6,IF(ISNUMBER(SEARCH(Assumptions!$C$7,D3352)),Assumptions!$D$7,"Other Services"))),"Other Services"))</f>
        <v/>
      </c>
    </row>
    <row r="3353" customFormat="false" ht="15" hidden="false" customHeight="false" outlineLevel="0" collapsed="false">
      <c r="F3353" s="41" t="str">
        <f aca="false">IF(D3353="","",IFERROR(IF(ISNUMBER(SEARCH(Assumptions!$C$5,D3353)),Assumptions!$D$5,IF(ISNUMBER(SEARCH(Assumptions!$C$6,D3353)),Assumptions!$D$6,IF(ISNUMBER(SEARCH(Assumptions!$C$7,D3353)),Assumptions!$D$7,"Other Services"))),"Other Services"))</f>
        <v/>
      </c>
    </row>
    <row r="3354" customFormat="false" ht="15" hidden="false" customHeight="false" outlineLevel="0" collapsed="false">
      <c r="F3354" s="41" t="str">
        <f aca="false">IF(D3354="","",IFERROR(IF(ISNUMBER(SEARCH(Assumptions!$C$5,D3354)),Assumptions!$D$5,IF(ISNUMBER(SEARCH(Assumptions!$C$6,D3354)),Assumptions!$D$6,IF(ISNUMBER(SEARCH(Assumptions!$C$7,D3354)),Assumptions!$D$7,"Other Services"))),"Other Services"))</f>
        <v/>
      </c>
    </row>
    <row r="3355" customFormat="false" ht="15" hidden="false" customHeight="false" outlineLevel="0" collapsed="false">
      <c r="F3355" s="41" t="str">
        <f aca="false">IF(D3355="","",IFERROR(IF(ISNUMBER(SEARCH(Assumptions!$C$5,D3355)),Assumptions!$D$5,IF(ISNUMBER(SEARCH(Assumptions!$C$6,D3355)),Assumptions!$D$6,IF(ISNUMBER(SEARCH(Assumptions!$C$7,D3355)),Assumptions!$D$7,"Other Services"))),"Other Services"))</f>
        <v/>
      </c>
    </row>
    <row r="3356" customFormat="false" ht="15" hidden="false" customHeight="false" outlineLevel="0" collapsed="false">
      <c r="F3356" s="41" t="str">
        <f aca="false">IF(D3356="","",IFERROR(IF(ISNUMBER(SEARCH(Assumptions!$C$5,D3356)),Assumptions!$D$5,IF(ISNUMBER(SEARCH(Assumptions!$C$6,D3356)),Assumptions!$D$6,IF(ISNUMBER(SEARCH(Assumptions!$C$7,D3356)),Assumptions!$D$7,"Other Services"))),"Other Services"))</f>
        <v/>
      </c>
    </row>
    <row r="3357" customFormat="false" ht="15" hidden="false" customHeight="false" outlineLevel="0" collapsed="false">
      <c r="F3357" s="41" t="str">
        <f aca="false">IF(D3357="","",IFERROR(IF(ISNUMBER(SEARCH(Assumptions!$C$5,D3357)),Assumptions!$D$5,IF(ISNUMBER(SEARCH(Assumptions!$C$6,D3357)),Assumptions!$D$6,IF(ISNUMBER(SEARCH(Assumptions!$C$7,D3357)),Assumptions!$D$7,"Other Services"))),"Other Services"))</f>
        <v/>
      </c>
    </row>
    <row r="3358" customFormat="false" ht="15" hidden="false" customHeight="false" outlineLevel="0" collapsed="false">
      <c r="F3358" s="41" t="str">
        <f aca="false">IF(D3358="","",IFERROR(IF(ISNUMBER(SEARCH(Assumptions!$C$5,D3358)),Assumptions!$D$5,IF(ISNUMBER(SEARCH(Assumptions!$C$6,D3358)),Assumptions!$D$6,IF(ISNUMBER(SEARCH(Assumptions!$C$7,D3358)),Assumptions!$D$7,"Other Services"))),"Other Services"))</f>
        <v/>
      </c>
    </row>
    <row r="3359" customFormat="false" ht="15" hidden="false" customHeight="false" outlineLevel="0" collapsed="false">
      <c r="F3359" s="41" t="str">
        <f aca="false">IF(D3359="","",IFERROR(IF(ISNUMBER(SEARCH(Assumptions!$C$5,D3359)),Assumptions!$D$5,IF(ISNUMBER(SEARCH(Assumptions!$C$6,D3359)),Assumptions!$D$6,IF(ISNUMBER(SEARCH(Assumptions!$C$7,D3359)),Assumptions!$D$7,"Other Services"))),"Other Services"))</f>
        <v/>
      </c>
    </row>
    <row r="3360" customFormat="false" ht="15" hidden="false" customHeight="false" outlineLevel="0" collapsed="false">
      <c r="F3360" s="41" t="str">
        <f aca="false">IF(D3360="","",IFERROR(IF(ISNUMBER(SEARCH(Assumptions!$C$5,D3360)),Assumptions!$D$5,IF(ISNUMBER(SEARCH(Assumptions!$C$6,D3360)),Assumptions!$D$6,IF(ISNUMBER(SEARCH(Assumptions!$C$7,D3360)),Assumptions!$D$7,"Other Services"))),"Other Services"))</f>
        <v/>
      </c>
    </row>
    <row r="3361" customFormat="false" ht="15" hidden="false" customHeight="false" outlineLevel="0" collapsed="false">
      <c r="F3361" s="41" t="str">
        <f aca="false">IF(D3361="","",IFERROR(IF(ISNUMBER(SEARCH(Assumptions!$C$5,D3361)),Assumptions!$D$5,IF(ISNUMBER(SEARCH(Assumptions!$C$6,D3361)),Assumptions!$D$6,IF(ISNUMBER(SEARCH(Assumptions!$C$7,D3361)),Assumptions!$D$7,"Other Services"))),"Other Services"))</f>
        <v/>
      </c>
    </row>
    <row r="3362" customFormat="false" ht="15" hidden="false" customHeight="false" outlineLevel="0" collapsed="false">
      <c r="F3362" s="41" t="str">
        <f aca="false">IF(D3362="","",IFERROR(IF(ISNUMBER(SEARCH(Assumptions!$C$5,D3362)),Assumptions!$D$5,IF(ISNUMBER(SEARCH(Assumptions!$C$6,D3362)),Assumptions!$D$6,IF(ISNUMBER(SEARCH(Assumptions!$C$7,D3362)),Assumptions!$D$7,"Other Services"))),"Other Services"))</f>
        <v/>
      </c>
    </row>
    <row r="3363" customFormat="false" ht="15" hidden="false" customHeight="false" outlineLevel="0" collapsed="false">
      <c r="F3363" s="41" t="str">
        <f aca="false">IF(D3363="","",IFERROR(IF(ISNUMBER(SEARCH(Assumptions!$C$5,D3363)),Assumptions!$D$5,IF(ISNUMBER(SEARCH(Assumptions!$C$6,D3363)),Assumptions!$D$6,IF(ISNUMBER(SEARCH(Assumptions!$C$7,D3363)),Assumptions!$D$7,"Other Services"))),"Other Services"))</f>
        <v/>
      </c>
    </row>
    <row r="3364" customFormat="false" ht="15" hidden="false" customHeight="false" outlineLevel="0" collapsed="false">
      <c r="F3364" s="41" t="str">
        <f aca="false">IF(D3364="","",IFERROR(IF(ISNUMBER(SEARCH(Assumptions!$C$5,D3364)),Assumptions!$D$5,IF(ISNUMBER(SEARCH(Assumptions!$C$6,D3364)),Assumptions!$D$6,IF(ISNUMBER(SEARCH(Assumptions!$C$7,D3364)),Assumptions!$D$7,"Other Services"))),"Other Services"))</f>
        <v/>
      </c>
    </row>
    <row r="3365" customFormat="false" ht="15" hidden="false" customHeight="false" outlineLevel="0" collapsed="false">
      <c r="F3365" s="41" t="str">
        <f aca="false">IF(D3365="","",IFERROR(IF(ISNUMBER(SEARCH(Assumptions!$C$5,D3365)),Assumptions!$D$5,IF(ISNUMBER(SEARCH(Assumptions!$C$6,D3365)),Assumptions!$D$6,IF(ISNUMBER(SEARCH(Assumptions!$C$7,D3365)),Assumptions!$D$7,"Other Services"))),"Other Services"))</f>
        <v/>
      </c>
    </row>
    <row r="3366" customFormat="false" ht="15" hidden="false" customHeight="false" outlineLevel="0" collapsed="false">
      <c r="F3366" s="41" t="str">
        <f aca="false">IF(D3366="","",IFERROR(IF(ISNUMBER(SEARCH(Assumptions!$C$5,D3366)),Assumptions!$D$5,IF(ISNUMBER(SEARCH(Assumptions!$C$6,D3366)),Assumptions!$D$6,IF(ISNUMBER(SEARCH(Assumptions!$C$7,D3366)),Assumptions!$D$7,"Other Services"))),"Other Services"))</f>
        <v/>
      </c>
    </row>
    <row r="3367" customFormat="false" ht="15" hidden="false" customHeight="false" outlineLevel="0" collapsed="false">
      <c r="F3367" s="41" t="str">
        <f aca="false">IF(D3367="","",IFERROR(IF(ISNUMBER(SEARCH(Assumptions!$C$5,D3367)),Assumptions!$D$5,IF(ISNUMBER(SEARCH(Assumptions!$C$6,D3367)),Assumptions!$D$6,IF(ISNUMBER(SEARCH(Assumptions!$C$7,D3367)),Assumptions!$D$7,"Other Services"))),"Other Services"))</f>
        <v/>
      </c>
    </row>
    <row r="3368" customFormat="false" ht="15" hidden="false" customHeight="false" outlineLevel="0" collapsed="false">
      <c r="F3368" s="41" t="str">
        <f aca="false">IF(D3368="","",IFERROR(IF(ISNUMBER(SEARCH(Assumptions!$C$5,D3368)),Assumptions!$D$5,IF(ISNUMBER(SEARCH(Assumptions!$C$6,D3368)),Assumptions!$D$6,IF(ISNUMBER(SEARCH(Assumptions!$C$7,D3368)),Assumptions!$D$7,"Other Services"))),"Other Services"))</f>
        <v/>
      </c>
    </row>
    <row r="3369" customFormat="false" ht="15" hidden="false" customHeight="false" outlineLevel="0" collapsed="false">
      <c r="F3369" s="41" t="str">
        <f aca="false">IF(D3369="","",IFERROR(IF(ISNUMBER(SEARCH(Assumptions!$C$5,D3369)),Assumptions!$D$5,IF(ISNUMBER(SEARCH(Assumptions!$C$6,D3369)),Assumptions!$D$6,IF(ISNUMBER(SEARCH(Assumptions!$C$7,D3369)),Assumptions!$D$7,"Other Services"))),"Other Services"))</f>
        <v/>
      </c>
    </row>
    <row r="3370" customFormat="false" ht="15" hidden="false" customHeight="false" outlineLevel="0" collapsed="false">
      <c r="F3370" s="41" t="str">
        <f aca="false">IF(D3370="","",IFERROR(IF(ISNUMBER(SEARCH(Assumptions!$C$5,D3370)),Assumptions!$D$5,IF(ISNUMBER(SEARCH(Assumptions!$C$6,D3370)),Assumptions!$D$6,IF(ISNUMBER(SEARCH(Assumptions!$C$7,D3370)),Assumptions!$D$7,"Other Services"))),"Other Services"))</f>
        <v/>
      </c>
    </row>
    <row r="3371" customFormat="false" ht="15" hidden="false" customHeight="false" outlineLevel="0" collapsed="false">
      <c r="F3371" s="41" t="str">
        <f aca="false">IF(D3371="","",IFERROR(IF(ISNUMBER(SEARCH(Assumptions!$C$5,D3371)),Assumptions!$D$5,IF(ISNUMBER(SEARCH(Assumptions!$C$6,D3371)),Assumptions!$D$6,IF(ISNUMBER(SEARCH(Assumptions!$C$7,D3371)),Assumptions!$D$7,"Other Services"))),"Other Services"))</f>
        <v/>
      </c>
    </row>
    <row r="3372" customFormat="false" ht="15" hidden="false" customHeight="false" outlineLevel="0" collapsed="false">
      <c r="F3372" s="41" t="str">
        <f aca="false">IF(D3372="","",IFERROR(IF(ISNUMBER(SEARCH(Assumptions!$C$5,D3372)),Assumptions!$D$5,IF(ISNUMBER(SEARCH(Assumptions!$C$6,D3372)),Assumptions!$D$6,IF(ISNUMBER(SEARCH(Assumptions!$C$7,D3372)),Assumptions!$D$7,"Other Services"))),"Other Services"))</f>
        <v/>
      </c>
    </row>
    <row r="3373" customFormat="false" ht="15" hidden="false" customHeight="false" outlineLevel="0" collapsed="false">
      <c r="F3373" s="41" t="str">
        <f aca="false">IF(D3373="","",IFERROR(IF(ISNUMBER(SEARCH(Assumptions!$C$5,D3373)),Assumptions!$D$5,IF(ISNUMBER(SEARCH(Assumptions!$C$6,D3373)),Assumptions!$D$6,IF(ISNUMBER(SEARCH(Assumptions!$C$7,D3373)),Assumptions!$D$7,"Other Services"))),"Other Services"))</f>
        <v/>
      </c>
    </row>
    <row r="3374" customFormat="false" ht="15" hidden="false" customHeight="false" outlineLevel="0" collapsed="false">
      <c r="F3374" s="41" t="str">
        <f aca="false">IF(D3374="","",IFERROR(IF(ISNUMBER(SEARCH(Assumptions!$C$5,D3374)),Assumptions!$D$5,IF(ISNUMBER(SEARCH(Assumptions!$C$6,D3374)),Assumptions!$D$6,IF(ISNUMBER(SEARCH(Assumptions!$C$7,D3374)),Assumptions!$D$7,"Other Services"))),"Other Services"))</f>
        <v/>
      </c>
    </row>
    <row r="3375" customFormat="false" ht="15" hidden="false" customHeight="false" outlineLevel="0" collapsed="false">
      <c r="F3375" s="41" t="str">
        <f aca="false">IF(D3375="","",IFERROR(IF(ISNUMBER(SEARCH(Assumptions!$C$5,D3375)),Assumptions!$D$5,IF(ISNUMBER(SEARCH(Assumptions!$C$6,D3375)),Assumptions!$D$6,IF(ISNUMBER(SEARCH(Assumptions!$C$7,D3375)),Assumptions!$D$7,"Other Services"))),"Other Services"))</f>
        <v/>
      </c>
    </row>
    <row r="3376" customFormat="false" ht="15" hidden="false" customHeight="false" outlineLevel="0" collapsed="false">
      <c r="F3376" s="41" t="str">
        <f aca="false">IF(D3376="","",IFERROR(IF(ISNUMBER(SEARCH(Assumptions!$C$5,D3376)),Assumptions!$D$5,IF(ISNUMBER(SEARCH(Assumptions!$C$6,D3376)),Assumptions!$D$6,IF(ISNUMBER(SEARCH(Assumptions!$C$7,D3376)),Assumptions!$D$7,"Other Services"))),"Other Services"))</f>
        <v/>
      </c>
    </row>
    <row r="3377" customFormat="false" ht="15" hidden="false" customHeight="false" outlineLevel="0" collapsed="false">
      <c r="F3377" s="41" t="str">
        <f aca="false">IF(D3377="","",IFERROR(IF(ISNUMBER(SEARCH(Assumptions!$C$5,D3377)),Assumptions!$D$5,IF(ISNUMBER(SEARCH(Assumptions!$C$6,D3377)),Assumptions!$D$6,IF(ISNUMBER(SEARCH(Assumptions!$C$7,D3377)),Assumptions!$D$7,"Other Services"))),"Other Services"))</f>
        <v/>
      </c>
    </row>
    <row r="3378" customFormat="false" ht="15" hidden="false" customHeight="false" outlineLevel="0" collapsed="false">
      <c r="F3378" s="41" t="str">
        <f aca="false">IF(D3378="","",IFERROR(IF(ISNUMBER(SEARCH(Assumptions!$C$5,D3378)),Assumptions!$D$5,IF(ISNUMBER(SEARCH(Assumptions!$C$6,D3378)),Assumptions!$D$6,IF(ISNUMBER(SEARCH(Assumptions!$C$7,D3378)),Assumptions!$D$7,"Other Services"))),"Other Services"))</f>
        <v/>
      </c>
    </row>
    <row r="3379" customFormat="false" ht="15" hidden="false" customHeight="false" outlineLevel="0" collapsed="false">
      <c r="F3379" s="41" t="str">
        <f aca="false">IF(D3379="","",IFERROR(IF(ISNUMBER(SEARCH(Assumptions!$C$5,D3379)),Assumptions!$D$5,IF(ISNUMBER(SEARCH(Assumptions!$C$6,D3379)),Assumptions!$D$6,IF(ISNUMBER(SEARCH(Assumptions!$C$7,D3379)),Assumptions!$D$7,"Other Services"))),"Other Services"))</f>
        <v/>
      </c>
    </row>
    <row r="3380" customFormat="false" ht="15" hidden="false" customHeight="false" outlineLevel="0" collapsed="false">
      <c r="F3380" s="41" t="str">
        <f aca="false">IF(D3380="","",IFERROR(IF(ISNUMBER(SEARCH(Assumptions!$C$5,D3380)),Assumptions!$D$5,IF(ISNUMBER(SEARCH(Assumptions!$C$6,D3380)),Assumptions!$D$6,IF(ISNUMBER(SEARCH(Assumptions!$C$7,D3380)),Assumptions!$D$7,"Other Services"))),"Other Services"))</f>
        <v/>
      </c>
    </row>
    <row r="3381" customFormat="false" ht="15" hidden="false" customHeight="false" outlineLevel="0" collapsed="false">
      <c r="F3381" s="41" t="str">
        <f aca="false">IF(D3381="","",IFERROR(IF(ISNUMBER(SEARCH(Assumptions!$C$5,D3381)),Assumptions!$D$5,IF(ISNUMBER(SEARCH(Assumptions!$C$6,D3381)),Assumptions!$D$6,IF(ISNUMBER(SEARCH(Assumptions!$C$7,D3381)),Assumptions!$D$7,"Other Services"))),"Other Services"))</f>
        <v/>
      </c>
    </row>
    <row r="3382" customFormat="false" ht="15" hidden="false" customHeight="false" outlineLevel="0" collapsed="false">
      <c r="F3382" s="41" t="str">
        <f aca="false">IF(D3382="","",IFERROR(IF(ISNUMBER(SEARCH(Assumptions!$C$5,D3382)),Assumptions!$D$5,IF(ISNUMBER(SEARCH(Assumptions!$C$6,D3382)),Assumptions!$D$6,IF(ISNUMBER(SEARCH(Assumptions!$C$7,D3382)),Assumptions!$D$7,"Other Services"))),"Other Services"))</f>
        <v/>
      </c>
    </row>
    <row r="3383" customFormat="false" ht="15" hidden="false" customHeight="false" outlineLevel="0" collapsed="false">
      <c r="F3383" s="41" t="str">
        <f aca="false">IF(D3383="","",IFERROR(IF(ISNUMBER(SEARCH(Assumptions!$C$5,D3383)),Assumptions!$D$5,IF(ISNUMBER(SEARCH(Assumptions!$C$6,D3383)),Assumptions!$D$6,IF(ISNUMBER(SEARCH(Assumptions!$C$7,D3383)),Assumptions!$D$7,"Other Services"))),"Other Services"))</f>
        <v/>
      </c>
    </row>
    <row r="3384" customFormat="false" ht="15" hidden="false" customHeight="false" outlineLevel="0" collapsed="false">
      <c r="F3384" s="41" t="str">
        <f aca="false">IF(D3384="","",IFERROR(IF(ISNUMBER(SEARCH(Assumptions!$C$5,D3384)),Assumptions!$D$5,IF(ISNUMBER(SEARCH(Assumptions!$C$6,D3384)),Assumptions!$D$6,IF(ISNUMBER(SEARCH(Assumptions!$C$7,D3384)),Assumptions!$D$7,"Other Services"))),"Other Services"))</f>
        <v/>
      </c>
    </row>
    <row r="3385" customFormat="false" ht="15" hidden="false" customHeight="false" outlineLevel="0" collapsed="false">
      <c r="F3385" s="41" t="str">
        <f aca="false">IF(D3385="","",IFERROR(IF(ISNUMBER(SEARCH(Assumptions!$C$5,D3385)),Assumptions!$D$5,IF(ISNUMBER(SEARCH(Assumptions!$C$6,D3385)),Assumptions!$D$6,IF(ISNUMBER(SEARCH(Assumptions!$C$7,D3385)),Assumptions!$D$7,"Other Services"))),"Other Services"))</f>
        <v/>
      </c>
    </row>
    <row r="3386" customFormat="false" ht="15" hidden="false" customHeight="false" outlineLevel="0" collapsed="false">
      <c r="F3386" s="41" t="str">
        <f aca="false">IF(D3386="","",IFERROR(IF(ISNUMBER(SEARCH(Assumptions!$C$5,D3386)),Assumptions!$D$5,IF(ISNUMBER(SEARCH(Assumptions!$C$6,D3386)),Assumptions!$D$6,IF(ISNUMBER(SEARCH(Assumptions!$C$7,D3386)),Assumptions!$D$7,"Other Services"))),"Other Services"))</f>
        <v/>
      </c>
    </row>
    <row r="3387" customFormat="false" ht="15" hidden="false" customHeight="false" outlineLevel="0" collapsed="false">
      <c r="F3387" s="41" t="str">
        <f aca="false">IF(D3387="","",IFERROR(IF(ISNUMBER(SEARCH(Assumptions!$C$5,D3387)),Assumptions!$D$5,IF(ISNUMBER(SEARCH(Assumptions!$C$6,D3387)),Assumptions!$D$6,IF(ISNUMBER(SEARCH(Assumptions!$C$7,D3387)),Assumptions!$D$7,"Other Services"))),"Other Services"))</f>
        <v/>
      </c>
    </row>
    <row r="3388" customFormat="false" ht="15" hidden="false" customHeight="false" outlineLevel="0" collapsed="false">
      <c r="F3388" s="41" t="str">
        <f aca="false">IF(D3388="","",IFERROR(IF(ISNUMBER(SEARCH(Assumptions!$C$5,D3388)),Assumptions!$D$5,IF(ISNUMBER(SEARCH(Assumptions!$C$6,D3388)),Assumptions!$D$6,IF(ISNUMBER(SEARCH(Assumptions!$C$7,D3388)),Assumptions!$D$7,"Other Services"))),"Other Services"))</f>
        <v/>
      </c>
    </row>
    <row r="3389" customFormat="false" ht="15" hidden="false" customHeight="false" outlineLevel="0" collapsed="false">
      <c r="F3389" s="41" t="str">
        <f aca="false">IF(D3389="","",IFERROR(IF(ISNUMBER(SEARCH(Assumptions!$C$5,D3389)),Assumptions!$D$5,IF(ISNUMBER(SEARCH(Assumptions!$C$6,D3389)),Assumptions!$D$6,IF(ISNUMBER(SEARCH(Assumptions!$C$7,D3389)),Assumptions!$D$7,"Other Services"))),"Other Services"))</f>
        <v/>
      </c>
    </row>
    <row r="3390" customFormat="false" ht="15" hidden="false" customHeight="false" outlineLevel="0" collapsed="false">
      <c r="F3390" s="41" t="str">
        <f aca="false">IF(D3390="","",IFERROR(IF(ISNUMBER(SEARCH(Assumptions!$C$5,D3390)),Assumptions!$D$5,IF(ISNUMBER(SEARCH(Assumptions!$C$6,D3390)),Assumptions!$D$6,IF(ISNUMBER(SEARCH(Assumptions!$C$7,D3390)),Assumptions!$D$7,"Other Services"))),"Other Services"))</f>
        <v/>
      </c>
    </row>
    <row r="3391" customFormat="false" ht="15" hidden="false" customHeight="false" outlineLevel="0" collapsed="false">
      <c r="F3391" s="41" t="str">
        <f aca="false">IF(D3391="","",IFERROR(IF(ISNUMBER(SEARCH(Assumptions!$C$5,D3391)),Assumptions!$D$5,IF(ISNUMBER(SEARCH(Assumptions!$C$6,D3391)),Assumptions!$D$6,IF(ISNUMBER(SEARCH(Assumptions!$C$7,D3391)),Assumptions!$D$7,"Other Services"))),"Other Services"))</f>
        <v/>
      </c>
    </row>
    <row r="3392" customFormat="false" ht="15" hidden="false" customHeight="false" outlineLevel="0" collapsed="false">
      <c r="F3392" s="41" t="str">
        <f aca="false">IF(D3392="","",IFERROR(IF(ISNUMBER(SEARCH(Assumptions!$C$5,D3392)),Assumptions!$D$5,IF(ISNUMBER(SEARCH(Assumptions!$C$6,D3392)),Assumptions!$D$6,IF(ISNUMBER(SEARCH(Assumptions!$C$7,D3392)),Assumptions!$D$7,"Other Services"))),"Other Services"))</f>
        <v/>
      </c>
    </row>
    <row r="3393" customFormat="false" ht="15" hidden="false" customHeight="false" outlineLevel="0" collapsed="false">
      <c r="F3393" s="41" t="str">
        <f aca="false">IF(D3393="","",IFERROR(IF(ISNUMBER(SEARCH(Assumptions!$C$5,D3393)),Assumptions!$D$5,IF(ISNUMBER(SEARCH(Assumptions!$C$6,D3393)),Assumptions!$D$6,IF(ISNUMBER(SEARCH(Assumptions!$C$7,D3393)),Assumptions!$D$7,"Other Services"))),"Other Services"))</f>
        <v/>
      </c>
    </row>
    <row r="3394" customFormat="false" ht="15" hidden="false" customHeight="false" outlineLevel="0" collapsed="false">
      <c r="F3394" s="41" t="str">
        <f aca="false">IF(D3394="","",IFERROR(IF(ISNUMBER(SEARCH(Assumptions!$C$5,D3394)),Assumptions!$D$5,IF(ISNUMBER(SEARCH(Assumptions!$C$6,D3394)),Assumptions!$D$6,IF(ISNUMBER(SEARCH(Assumptions!$C$7,D3394)),Assumptions!$D$7,"Other Services"))),"Other Services"))</f>
        <v/>
      </c>
    </row>
    <row r="3395" customFormat="false" ht="15" hidden="false" customHeight="false" outlineLevel="0" collapsed="false">
      <c r="F3395" s="41" t="str">
        <f aca="false">IF(D3395="","",IFERROR(IF(ISNUMBER(SEARCH(Assumptions!$C$5,D3395)),Assumptions!$D$5,IF(ISNUMBER(SEARCH(Assumptions!$C$6,D3395)),Assumptions!$D$6,IF(ISNUMBER(SEARCH(Assumptions!$C$7,D3395)),Assumptions!$D$7,"Other Services"))),"Other Services"))</f>
        <v/>
      </c>
    </row>
    <row r="3396" customFormat="false" ht="15" hidden="false" customHeight="false" outlineLevel="0" collapsed="false">
      <c r="F3396" s="41" t="str">
        <f aca="false">IF(D3396="","",IFERROR(IF(ISNUMBER(SEARCH(Assumptions!$C$5,D3396)),Assumptions!$D$5,IF(ISNUMBER(SEARCH(Assumptions!$C$6,D3396)),Assumptions!$D$6,IF(ISNUMBER(SEARCH(Assumptions!$C$7,D3396)),Assumptions!$D$7,"Other Services"))),"Other Services"))</f>
        <v/>
      </c>
    </row>
    <row r="3397" customFormat="false" ht="15" hidden="false" customHeight="false" outlineLevel="0" collapsed="false">
      <c r="F3397" s="41" t="str">
        <f aca="false">IF(D3397="","",IFERROR(IF(ISNUMBER(SEARCH(Assumptions!$C$5,D3397)),Assumptions!$D$5,IF(ISNUMBER(SEARCH(Assumptions!$C$6,D3397)),Assumptions!$D$6,IF(ISNUMBER(SEARCH(Assumptions!$C$7,D3397)),Assumptions!$D$7,"Other Services"))),"Other Services"))</f>
        <v/>
      </c>
    </row>
    <row r="3398" customFormat="false" ht="15" hidden="false" customHeight="false" outlineLevel="0" collapsed="false">
      <c r="F3398" s="41" t="str">
        <f aca="false">IF(D3398="","",IFERROR(IF(ISNUMBER(SEARCH(Assumptions!$C$5,D3398)),Assumptions!$D$5,IF(ISNUMBER(SEARCH(Assumptions!$C$6,D3398)),Assumptions!$D$6,IF(ISNUMBER(SEARCH(Assumptions!$C$7,D3398)),Assumptions!$D$7,"Other Services"))),"Other Services"))</f>
        <v/>
      </c>
    </row>
    <row r="3399" customFormat="false" ht="15" hidden="false" customHeight="false" outlineLevel="0" collapsed="false">
      <c r="F3399" s="41" t="str">
        <f aca="false">IF(D3399="","",IFERROR(IF(ISNUMBER(SEARCH(Assumptions!$C$5,D3399)),Assumptions!$D$5,IF(ISNUMBER(SEARCH(Assumptions!$C$6,D3399)),Assumptions!$D$6,IF(ISNUMBER(SEARCH(Assumptions!$C$7,D3399)),Assumptions!$D$7,"Other Services"))),"Other Services"))</f>
        <v/>
      </c>
    </row>
    <row r="3400" customFormat="false" ht="15" hidden="false" customHeight="false" outlineLevel="0" collapsed="false">
      <c r="F3400" s="41" t="str">
        <f aca="false">IF(D3400="","",IFERROR(IF(ISNUMBER(SEARCH(Assumptions!$C$5,D3400)),Assumptions!$D$5,IF(ISNUMBER(SEARCH(Assumptions!$C$6,D3400)),Assumptions!$D$6,IF(ISNUMBER(SEARCH(Assumptions!$C$7,D3400)),Assumptions!$D$7,"Other Services"))),"Other Services"))</f>
        <v/>
      </c>
    </row>
    <row r="3401" customFormat="false" ht="15" hidden="false" customHeight="false" outlineLevel="0" collapsed="false">
      <c r="F3401" s="41" t="str">
        <f aca="false">IF(D3401="","",IFERROR(IF(ISNUMBER(SEARCH(Assumptions!$C$5,D3401)),Assumptions!$D$5,IF(ISNUMBER(SEARCH(Assumptions!$C$6,D3401)),Assumptions!$D$6,IF(ISNUMBER(SEARCH(Assumptions!$C$7,D3401)),Assumptions!$D$7,"Other Services"))),"Other Services"))</f>
        <v/>
      </c>
    </row>
    <row r="3402" customFormat="false" ht="15" hidden="false" customHeight="false" outlineLevel="0" collapsed="false">
      <c r="F3402" s="41" t="str">
        <f aca="false">IF(D3402="","",IFERROR(IF(ISNUMBER(SEARCH(Assumptions!$C$5,D3402)),Assumptions!$D$5,IF(ISNUMBER(SEARCH(Assumptions!$C$6,D3402)),Assumptions!$D$6,IF(ISNUMBER(SEARCH(Assumptions!$C$7,D3402)),Assumptions!$D$7,"Other Services"))),"Other Services"))</f>
        <v/>
      </c>
    </row>
    <row r="3403" customFormat="false" ht="15" hidden="false" customHeight="false" outlineLevel="0" collapsed="false">
      <c r="F3403" s="41" t="str">
        <f aca="false">IF(D3403="","",IFERROR(IF(ISNUMBER(SEARCH(Assumptions!$C$5,D3403)),Assumptions!$D$5,IF(ISNUMBER(SEARCH(Assumptions!$C$6,D3403)),Assumptions!$D$6,IF(ISNUMBER(SEARCH(Assumptions!$C$7,D3403)),Assumptions!$D$7,"Other Services"))),"Other Services"))</f>
        <v/>
      </c>
    </row>
    <row r="3404" customFormat="false" ht="15" hidden="false" customHeight="false" outlineLevel="0" collapsed="false">
      <c r="F3404" s="41" t="str">
        <f aca="false">IF(D3404="","",IFERROR(IF(ISNUMBER(SEARCH(Assumptions!$C$5,D3404)),Assumptions!$D$5,IF(ISNUMBER(SEARCH(Assumptions!$C$6,D3404)),Assumptions!$D$6,IF(ISNUMBER(SEARCH(Assumptions!$C$7,D3404)),Assumptions!$D$7,"Other Services"))),"Other Services"))</f>
        <v/>
      </c>
    </row>
    <row r="3405" customFormat="false" ht="15" hidden="false" customHeight="false" outlineLevel="0" collapsed="false">
      <c r="F3405" s="41" t="str">
        <f aca="false">IF(D3405="","",IFERROR(IF(ISNUMBER(SEARCH(Assumptions!$C$5,D3405)),Assumptions!$D$5,IF(ISNUMBER(SEARCH(Assumptions!$C$6,D3405)),Assumptions!$D$6,IF(ISNUMBER(SEARCH(Assumptions!$C$7,D3405)),Assumptions!$D$7,"Other Services"))),"Other Services"))</f>
        <v/>
      </c>
    </row>
    <row r="3406" customFormat="false" ht="15" hidden="false" customHeight="false" outlineLevel="0" collapsed="false">
      <c r="F3406" s="41" t="str">
        <f aca="false">IF(D3406="","",IFERROR(IF(ISNUMBER(SEARCH(Assumptions!$C$5,D3406)),Assumptions!$D$5,IF(ISNUMBER(SEARCH(Assumptions!$C$6,D3406)),Assumptions!$D$6,IF(ISNUMBER(SEARCH(Assumptions!$C$7,D3406)),Assumptions!$D$7,"Other Services"))),"Other Services"))</f>
        <v/>
      </c>
    </row>
    <row r="3407" customFormat="false" ht="15" hidden="false" customHeight="false" outlineLevel="0" collapsed="false">
      <c r="F3407" s="41" t="str">
        <f aca="false">IF(D3407="","",IFERROR(IF(ISNUMBER(SEARCH(Assumptions!$C$5,D3407)),Assumptions!$D$5,IF(ISNUMBER(SEARCH(Assumptions!$C$6,D3407)),Assumptions!$D$6,IF(ISNUMBER(SEARCH(Assumptions!$C$7,D3407)),Assumptions!$D$7,"Other Services"))),"Other Services"))</f>
        <v/>
      </c>
    </row>
    <row r="3408" customFormat="false" ht="15" hidden="false" customHeight="false" outlineLevel="0" collapsed="false">
      <c r="F3408" s="41" t="str">
        <f aca="false">IF(D3408="","",IFERROR(IF(ISNUMBER(SEARCH(Assumptions!$C$5,D3408)),Assumptions!$D$5,IF(ISNUMBER(SEARCH(Assumptions!$C$6,D3408)),Assumptions!$D$6,IF(ISNUMBER(SEARCH(Assumptions!$C$7,D3408)),Assumptions!$D$7,"Other Services"))),"Other Services"))</f>
        <v/>
      </c>
    </row>
    <row r="3409" customFormat="false" ht="15" hidden="false" customHeight="false" outlineLevel="0" collapsed="false">
      <c r="F3409" s="41" t="str">
        <f aca="false">IF(D3409="","",IFERROR(IF(ISNUMBER(SEARCH(Assumptions!$C$5,D3409)),Assumptions!$D$5,IF(ISNUMBER(SEARCH(Assumptions!$C$6,D3409)),Assumptions!$D$6,IF(ISNUMBER(SEARCH(Assumptions!$C$7,D3409)),Assumptions!$D$7,"Other Services"))),"Other Services"))</f>
        <v/>
      </c>
    </row>
    <row r="3410" customFormat="false" ht="15" hidden="false" customHeight="false" outlineLevel="0" collapsed="false">
      <c r="F3410" s="41" t="str">
        <f aca="false">IF(D3410="","",IFERROR(IF(ISNUMBER(SEARCH(Assumptions!$C$5,D3410)),Assumptions!$D$5,IF(ISNUMBER(SEARCH(Assumptions!$C$6,D3410)),Assumptions!$D$6,IF(ISNUMBER(SEARCH(Assumptions!$C$7,D3410)),Assumptions!$D$7,"Other Services"))),"Other Services"))</f>
        <v/>
      </c>
    </row>
    <row r="3411" customFormat="false" ht="15" hidden="false" customHeight="false" outlineLevel="0" collapsed="false">
      <c r="F3411" s="41" t="str">
        <f aca="false">IF(D3411="","",IFERROR(IF(ISNUMBER(SEARCH(Assumptions!$C$5,D3411)),Assumptions!$D$5,IF(ISNUMBER(SEARCH(Assumptions!$C$6,D3411)),Assumptions!$D$6,IF(ISNUMBER(SEARCH(Assumptions!$C$7,D3411)),Assumptions!$D$7,"Other Services"))),"Other Services"))</f>
        <v/>
      </c>
    </row>
    <row r="3412" customFormat="false" ht="15" hidden="false" customHeight="false" outlineLevel="0" collapsed="false">
      <c r="F3412" s="41" t="str">
        <f aca="false">IF(D3412="","",IFERROR(IF(ISNUMBER(SEARCH(Assumptions!$C$5,D3412)),Assumptions!$D$5,IF(ISNUMBER(SEARCH(Assumptions!$C$6,D3412)),Assumptions!$D$6,IF(ISNUMBER(SEARCH(Assumptions!$C$7,D3412)),Assumptions!$D$7,"Other Services"))),"Other Services"))</f>
        <v/>
      </c>
    </row>
    <row r="3413" customFormat="false" ht="15" hidden="false" customHeight="false" outlineLevel="0" collapsed="false">
      <c r="F3413" s="41" t="str">
        <f aca="false">IF(D3413="","",IFERROR(IF(ISNUMBER(SEARCH(Assumptions!$C$5,D3413)),Assumptions!$D$5,IF(ISNUMBER(SEARCH(Assumptions!$C$6,D3413)),Assumptions!$D$6,IF(ISNUMBER(SEARCH(Assumptions!$C$7,D3413)),Assumptions!$D$7,"Other Services"))),"Other Services"))</f>
        <v/>
      </c>
    </row>
    <row r="3414" customFormat="false" ht="15" hidden="false" customHeight="false" outlineLevel="0" collapsed="false">
      <c r="F3414" s="41" t="str">
        <f aca="false">IF(D3414="","",IFERROR(IF(ISNUMBER(SEARCH(Assumptions!$C$5,D3414)),Assumptions!$D$5,IF(ISNUMBER(SEARCH(Assumptions!$C$6,D3414)),Assumptions!$D$6,IF(ISNUMBER(SEARCH(Assumptions!$C$7,D3414)),Assumptions!$D$7,"Other Services"))),"Other Services"))</f>
        <v/>
      </c>
    </row>
    <row r="3415" customFormat="false" ht="15" hidden="false" customHeight="false" outlineLevel="0" collapsed="false">
      <c r="F3415" s="41" t="str">
        <f aca="false">IF(D3415="","",IFERROR(IF(ISNUMBER(SEARCH(Assumptions!$C$5,D3415)),Assumptions!$D$5,IF(ISNUMBER(SEARCH(Assumptions!$C$6,D3415)),Assumptions!$D$6,IF(ISNUMBER(SEARCH(Assumptions!$C$7,D3415)),Assumptions!$D$7,"Other Services"))),"Other Services"))</f>
        <v/>
      </c>
    </row>
    <row r="3416" customFormat="false" ht="15" hidden="false" customHeight="false" outlineLevel="0" collapsed="false">
      <c r="F3416" s="41" t="str">
        <f aca="false">IF(D3416="","",IFERROR(IF(ISNUMBER(SEARCH(Assumptions!$C$5,D3416)),Assumptions!$D$5,IF(ISNUMBER(SEARCH(Assumptions!$C$6,D3416)),Assumptions!$D$6,IF(ISNUMBER(SEARCH(Assumptions!$C$7,D3416)),Assumptions!$D$7,"Other Services"))),"Other Services"))</f>
        <v/>
      </c>
    </row>
    <row r="3417" customFormat="false" ht="15" hidden="false" customHeight="false" outlineLevel="0" collapsed="false">
      <c r="F3417" s="41" t="str">
        <f aca="false">IF(D3417="","",IFERROR(IF(ISNUMBER(SEARCH(Assumptions!$C$5,D3417)),Assumptions!$D$5,IF(ISNUMBER(SEARCH(Assumptions!$C$6,D3417)),Assumptions!$D$6,IF(ISNUMBER(SEARCH(Assumptions!$C$7,D3417)),Assumptions!$D$7,"Other Services"))),"Other Services"))</f>
        <v/>
      </c>
    </row>
    <row r="3418" customFormat="false" ht="15" hidden="false" customHeight="false" outlineLevel="0" collapsed="false">
      <c r="F3418" s="41" t="str">
        <f aca="false">IF(D3418="","",IFERROR(IF(ISNUMBER(SEARCH(Assumptions!$C$5,D3418)),Assumptions!$D$5,IF(ISNUMBER(SEARCH(Assumptions!$C$6,D3418)),Assumptions!$D$6,IF(ISNUMBER(SEARCH(Assumptions!$C$7,D3418)),Assumptions!$D$7,"Other Services"))),"Other Services"))</f>
        <v/>
      </c>
    </row>
    <row r="3419" customFormat="false" ht="15" hidden="false" customHeight="false" outlineLevel="0" collapsed="false">
      <c r="F3419" s="41" t="str">
        <f aca="false">IF(D3419="","",IFERROR(IF(ISNUMBER(SEARCH(Assumptions!$C$5,D3419)),Assumptions!$D$5,IF(ISNUMBER(SEARCH(Assumptions!$C$6,D3419)),Assumptions!$D$6,IF(ISNUMBER(SEARCH(Assumptions!$C$7,D3419)),Assumptions!$D$7,"Other Services"))),"Other Services"))</f>
        <v/>
      </c>
    </row>
    <row r="3420" customFormat="false" ht="15" hidden="false" customHeight="false" outlineLevel="0" collapsed="false">
      <c r="F3420" s="41" t="str">
        <f aca="false">IF(D3420="","",IFERROR(IF(ISNUMBER(SEARCH(Assumptions!$C$5,D3420)),Assumptions!$D$5,IF(ISNUMBER(SEARCH(Assumptions!$C$6,D3420)),Assumptions!$D$6,IF(ISNUMBER(SEARCH(Assumptions!$C$7,D3420)),Assumptions!$D$7,"Other Services"))),"Other Services"))</f>
        <v/>
      </c>
    </row>
    <row r="3421" customFormat="false" ht="15" hidden="false" customHeight="false" outlineLevel="0" collapsed="false">
      <c r="F3421" s="41" t="str">
        <f aca="false">IF(D3421="","",IFERROR(IF(ISNUMBER(SEARCH(Assumptions!$C$5,D3421)),Assumptions!$D$5,IF(ISNUMBER(SEARCH(Assumptions!$C$6,D3421)),Assumptions!$D$6,IF(ISNUMBER(SEARCH(Assumptions!$C$7,D3421)),Assumptions!$D$7,"Other Services"))),"Other Services"))</f>
        <v/>
      </c>
    </row>
    <row r="3422" customFormat="false" ht="15" hidden="false" customHeight="false" outlineLevel="0" collapsed="false">
      <c r="F3422" s="41" t="str">
        <f aca="false">IF(D3422="","",IFERROR(IF(ISNUMBER(SEARCH(Assumptions!$C$5,D3422)),Assumptions!$D$5,IF(ISNUMBER(SEARCH(Assumptions!$C$6,D3422)),Assumptions!$D$6,IF(ISNUMBER(SEARCH(Assumptions!$C$7,D3422)),Assumptions!$D$7,"Other Services"))),"Other Services"))</f>
        <v/>
      </c>
    </row>
    <row r="3423" customFormat="false" ht="15" hidden="false" customHeight="false" outlineLevel="0" collapsed="false">
      <c r="F3423" s="41" t="str">
        <f aca="false">IF(D3423="","",IFERROR(IF(ISNUMBER(SEARCH(Assumptions!$C$5,D3423)),Assumptions!$D$5,IF(ISNUMBER(SEARCH(Assumptions!$C$6,D3423)),Assumptions!$D$6,IF(ISNUMBER(SEARCH(Assumptions!$C$7,D3423)),Assumptions!$D$7,"Other Services"))),"Other Services"))</f>
        <v/>
      </c>
    </row>
    <row r="3424" customFormat="false" ht="15" hidden="false" customHeight="false" outlineLevel="0" collapsed="false">
      <c r="F3424" s="41" t="str">
        <f aca="false">IF(D3424="","",IFERROR(IF(ISNUMBER(SEARCH(Assumptions!$C$5,D3424)),Assumptions!$D$5,IF(ISNUMBER(SEARCH(Assumptions!$C$6,D3424)),Assumptions!$D$6,IF(ISNUMBER(SEARCH(Assumptions!$C$7,D3424)),Assumptions!$D$7,"Other Services"))),"Other Services"))</f>
        <v/>
      </c>
    </row>
    <row r="3425" customFormat="false" ht="15" hidden="false" customHeight="false" outlineLevel="0" collapsed="false">
      <c r="F3425" s="41" t="str">
        <f aca="false">IF(D3425="","",IFERROR(IF(ISNUMBER(SEARCH(Assumptions!$C$5,D3425)),Assumptions!$D$5,IF(ISNUMBER(SEARCH(Assumptions!$C$6,D3425)),Assumptions!$D$6,IF(ISNUMBER(SEARCH(Assumptions!$C$7,D3425)),Assumptions!$D$7,"Other Services"))),"Other Services"))</f>
        <v/>
      </c>
    </row>
    <row r="3426" customFormat="false" ht="15" hidden="false" customHeight="false" outlineLevel="0" collapsed="false">
      <c r="F3426" s="41" t="str">
        <f aca="false">IF(D3426="","",IFERROR(IF(ISNUMBER(SEARCH(Assumptions!$C$5,D3426)),Assumptions!$D$5,IF(ISNUMBER(SEARCH(Assumptions!$C$6,D3426)),Assumptions!$D$6,IF(ISNUMBER(SEARCH(Assumptions!$C$7,D3426)),Assumptions!$D$7,"Other Services"))),"Other Services"))</f>
        <v/>
      </c>
    </row>
    <row r="3427" customFormat="false" ht="15" hidden="false" customHeight="false" outlineLevel="0" collapsed="false">
      <c r="F3427" s="41" t="str">
        <f aca="false">IF(D3427="","",IFERROR(IF(ISNUMBER(SEARCH(Assumptions!$C$5,D3427)),Assumptions!$D$5,IF(ISNUMBER(SEARCH(Assumptions!$C$6,D3427)),Assumptions!$D$6,IF(ISNUMBER(SEARCH(Assumptions!$C$7,D3427)),Assumptions!$D$7,"Other Services"))),"Other Services"))</f>
        <v/>
      </c>
    </row>
    <row r="3428" customFormat="false" ht="15" hidden="false" customHeight="false" outlineLevel="0" collapsed="false">
      <c r="F3428" s="41" t="str">
        <f aca="false">IF(D3428="","",IFERROR(IF(ISNUMBER(SEARCH(Assumptions!$C$5,D3428)),Assumptions!$D$5,IF(ISNUMBER(SEARCH(Assumptions!$C$6,D3428)),Assumptions!$D$6,IF(ISNUMBER(SEARCH(Assumptions!$C$7,D3428)),Assumptions!$D$7,"Other Services"))),"Other Services"))</f>
        <v/>
      </c>
    </row>
    <row r="3429" customFormat="false" ht="15" hidden="false" customHeight="false" outlineLevel="0" collapsed="false">
      <c r="F3429" s="41" t="str">
        <f aca="false">IF(D3429="","",IFERROR(IF(ISNUMBER(SEARCH(Assumptions!$C$5,D3429)),Assumptions!$D$5,IF(ISNUMBER(SEARCH(Assumptions!$C$6,D3429)),Assumptions!$D$6,IF(ISNUMBER(SEARCH(Assumptions!$C$7,D3429)),Assumptions!$D$7,"Other Services"))),"Other Services"))</f>
        <v/>
      </c>
    </row>
    <row r="3430" customFormat="false" ht="15" hidden="false" customHeight="false" outlineLevel="0" collapsed="false">
      <c r="F3430" s="41" t="str">
        <f aca="false">IF(D3430="","",IFERROR(IF(ISNUMBER(SEARCH(Assumptions!$C$5,D3430)),Assumptions!$D$5,IF(ISNUMBER(SEARCH(Assumptions!$C$6,D3430)),Assumptions!$D$6,IF(ISNUMBER(SEARCH(Assumptions!$C$7,D3430)),Assumptions!$D$7,"Other Services"))),"Other Services"))</f>
        <v/>
      </c>
    </row>
    <row r="3431" customFormat="false" ht="15" hidden="false" customHeight="false" outlineLevel="0" collapsed="false">
      <c r="F3431" s="41" t="str">
        <f aca="false">IF(D3431="","",IFERROR(IF(ISNUMBER(SEARCH(Assumptions!$C$5,D3431)),Assumptions!$D$5,IF(ISNUMBER(SEARCH(Assumptions!$C$6,D3431)),Assumptions!$D$6,IF(ISNUMBER(SEARCH(Assumptions!$C$7,D3431)),Assumptions!$D$7,"Other Services"))),"Other Services"))</f>
        <v/>
      </c>
    </row>
    <row r="3432" customFormat="false" ht="15" hidden="false" customHeight="false" outlineLevel="0" collapsed="false">
      <c r="F3432" s="41" t="str">
        <f aca="false">IF(D3432="","",IFERROR(IF(ISNUMBER(SEARCH(Assumptions!$C$5,D3432)),Assumptions!$D$5,IF(ISNUMBER(SEARCH(Assumptions!$C$6,D3432)),Assumptions!$D$6,IF(ISNUMBER(SEARCH(Assumptions!$C$7,D3432)),Assumptions!$D$7,"Other Services"))),"Other Services"))</f>
        <v/>
      </c>
    </row>
    <row r="3433" customFormat="false" ht="15" hidden="false" customHeight="false" outlineLevel="0" collapsed="false">
      <c r="F3433" s="41" t="str">
        <f aca="false">IF(D3433="","",IFERROR(IF(ISNUMBER(SEARCH(Assumptions!$C$5,D3433)),Assumptions!$D$5,IF(ISNUMBER(SEARCH(Assumptions!$C$6,D3433)),Assumptions!$D$6,IF(ISNUMBER(SEARCH(Assumptions!$C$7,D3433)),Assumptions!$D$7,"Other Services"))),"Other Services"))</f>
        <v/>
      </c>
    </row>
    <row r="3434" customFormat="false" ht="15" hidden="false" customHeight="false" outlineLevel="0" collapsed="false">
      <c r="F3434" s="41" t="str">
        <f aca="false">IF(D3434="","",IFERROR(IF(ISNUMBER(SEARCH(Assumptions!$C$5,D3434)),Assumptions!$D$5,IF(ISNUMBER(SEARCH(Assumptions!$C$6,D3434)),Assumptions!$D$6,IF(ISNUMBER(SEARCH(Assumptions!$C$7,D3434)),Assumptions!$D$7,"Other Services"))),"Other Services"))</f>
        <v/>
      </c>
    </row>
    <row r="3435" customFormat="false" ht="15" hidden="false" customHeight="false" outlineLevel="0" collapsed="false">
      <c r="F3435" s="41" t="str">
        <f aca="false">IF(D3435="","",IFERROR(IF(ISNUMBER(SEARCH(Assumptions!$C$5,D3435)),Assumptions!$D$5,IF(ISNUMBER(SEARCH(Assumptions!$C$6,D3435)),Assumptions!$D$6,IF(ISNUMBER(SEARCH(Assumptions!$C$7,D3435)),Assumptions!$D$7,"Other Services"))),"Other Services"))</f>
        <v/>
      </c>
    </row>
    <row r="3436" customFormat="false" ht="15" hidden="false" customHeight="false" outlineLevel="0" collapsed="false">
      <c r="F3436" s="41" t="str">
        <f aca="false">IF(D3436="","",IFERROR(IF(ISNUMBER(SEARCH(Assumptions!$C$5,D3436)),Assumptions!$D$5,IF(ISNUMBER(SEARCH(Assumptions!$C$6,D3436)),Assumptions!$D$6,IF(ISNUMBER(SEARCH(Assumptions!$C$7,D3436)),Assumptions!$D$7,"Other Services"))),"Other Services"))</f>
        <v/>
      </c>
    </row>
    <row r="3437" customFormat="false" ht="15" hidden="false" customHeight="false" outlineLevel="0" collapsed="false">
      <c r="F3437" s="41" t="str">
        <f aca="false">IF(D3437="","",IFERROR(IF(ISNUMBER(SEARCH(Assumptions!$C$5,D3437)),Assumptions!$D$5,IF(ISNUMBER(SEARCH(Assumptions!$C$6,D3437)),Assumptions!$D$6,IF(ISNUMBER(SEARCH(Assumptions!$C$7,D3437)),Assumptions!$D$7,"Other Services"))),"Other Services"))</f>
        <v/>
      </c>
    </row>
    <row r="3438" customFormat="false" ht="15" hidden="false" customHeight="false" outlineLevel="0" collapsed="false">
      <c r="F3438" s="41" t="str">
        <f aca="false">IF(D3438="","",IFERROR(IF(ISNUMBER(SEARCH(Assumptions!$C$5,D3438)),Assumptions!$D$5,IF(ISNUMBER(SEARCH(Assumptions!$C$6,D3438)),Assumptions!$D$6,IF(ISNUMBER(SEARCH(Assumptions!$C$7,D3438)),Assumptions!$D$7,"Other Services"))),"Other Services"))</f>
        <v/>
      </c>
    </row>
    <row r="3439" customFormat="false" ht="15" hidden="false" customHeight="false" outlineLevel="0" collapsed="false">
      <c r="F3439" s="41" t="str">
        <f aca="false">IF(D3439="","",IFERROR(IF(ISNUMBER(SEARCH(Assumptions!$C$5,D3439)),Assumptions!$D$5,IF(ISNUMBER(SEARCH(Assumptions!$C$6,D3439)),Assumptions!$D$6,IF(ISNUMBER(SEARCH(Assumptions!$C$7,D3439)),Assumptions!$D$7,"Other Services"))),"Other Services"))</f>
        <v/>
      </c>
    </row>
    <row r="3440" customFormat="false" ht="15" hidden="false" customHeight="false" outlineLevel="0" collapsed="false">
      <c r="F3440" s="41" t="str">
        <f aca="false">IF(D3440="","",IFERROR(IF(ISNUMBER(SEARCH(Assumptions!$C$5,D3440)),Assumptions!$D$5,IF(ISNUMBER(SEARCH(Assumptions!$C$6,D3440)),Assumptions!$D$6,IF(ISNUMBER(SEARCH(Assumptions!$C$7,D3440)),Assumptions!$D$7,"Other Services"))),"Other Services"))</f>
        <v/>
      </c>
    </row>
    <row r="3441" customFormat="false" ht="15" hidden="false" customHeight="false" outlineLevel="0" collapsed="false">
      <c r="F3441" s="41" t="str">
        <f aca="false">IF(D3441="","",IFERROR(IF(ISNUMBER(SEARCH(Assumptions!$C$5,D3441)),Assumptions!$D$5,IF(ISNUMBER(SEARCH(Assumptions!$C$6,D3441)),Assumptions!$D$6,IF(ISNUMBER(SEARCH(Assumptions!$C$7,D3441)),Assumptions!$D$7,"Other Services"))),"Other Services"))</f>
        <v/>
      </c>
    </row>
    <row r="3442" customFormat="false" ht="15" hidden="false" customHeight="false" outlineLevel="0" collapsed="false">
      <c r="F3442" s="41" t="str">
        <f aca="false">IF(D3442="","",IFERROR(IF(ISNUMBER(SEARCH(Assumptions!$C$5,D3442)),Assumptions!$D$5,IF(ISNUMBER(SEARCH(Assumptions!$C$6,D3442)),Assumptions!$D$6,IF(ISNUMBER(SEARCH(Assumptions!$C$7,D3442)),Assumptions!$D$7,"Other Services"))),"Other Services"))</f>
        <v/>
      </c>
    </row>
    <row r="3443" customFormat="false" ht="15" hidden="false" customHeight="false" outlineLevel="0" collapsed="false">
      <c r="F3443" s="41" t="str">
        <f aca="false">IF(D3443="","",IFERROR(IF(ISNUMBER(SEARCH(Assumptions!$C$5,D3443)),Assumptions!$D$5,IF(ISNUMBER(SEARCH(Assumptions!$C$6,D3443)),Assumptions!$D$6,IF(ISNUMBER(SEARCH(Assumptions!$C$7,D3443)),Assumptions!$D$7,"Other Services"))),"Other Services"))</f>
        <v/>
      </c>
    </row>
    <row r="3444" customFormat="false" ht="15" hidden="false" customHeight="false" outlineLevel="0" collapsed="false">
      <c r="F3444" s="41" t="str">
        <f aca="false">IF(D3444="","",IFERROR(IF(ISNUMBER(SEARCH(Assumptions!$C$5,D3444)),Assumptions!$D$5,IF(ISNUMBER(SEARCH(Assumptions!$C$6,D3444)),Assumptions!$D$6,IF(ISNUMBER(SEARCH(Assumptions!$C$7,D3444)),Assumptions!$D$7,"Other Services"))),"Other Services"))</f>
        <v/>
      </c>
    </row>
    <row r="3445" customFormat="false" ht="15" hidden="false" customHeight="false" outlineLevel="0" collapsed="false">
      <c r="F3445" s="41" t="str">
        <f aca="false">IF(D3445="","",IFERROR(IF(ISNUMBER(SEARCH(Assumptions!$C$5,D3445)),Assumptions!$D$5,IF(ISNUMBER(SEARCH(Assumptions!$C$6,D3445)),Assumptions!$D$6,IF(ISNUMBER(SEARCH(Assumptions!$C$7,D3445)),Assumptions!$D$7,"Other Services"))),"Other Services"))</f>
        <v/>
      </c>
    </row>
    <row r="3446" customFormat="false" ht="15" hidden="false" customHeight="false" outlineLevel="0" collapsed="false">
      <c r="F3446" s="41" t="str">
        <f aca="false">IF(D3446="","",IFERROR(IF(ISNUMBER(SEARCH(Assumptions!$C$5,D3446)),Assumptions!$D$5,IF(ISNUMBER(SEARCH(Assumptions!$C$6,D3446)),Assumptions!$D$6,IF(ISNUMBER(SEARCH(Assumptions!$C$7,D3446)),Assumptions!$D$7,"Other Services"))),"Other Services"))</f>
        <v/>
      </c>
    </row>
    <row r="3447" customFormat="false" ht="15" hidden="false" customHeight="false" outlineLevel="0" collapsed="false">
      <c r="F3447" s="41" t="str">
        <f aca="false">IF(D3447="","",IFERROR(IF(ISNUMBER(SEARCH(Assumptions!$C$5,D3447)),Assumptions!$D$5,IF(ISNUMBER(SEARCH(Assumptions!$C$6,D3447)),Assumptions!$D$6,IF(ISNUMBER(SEARCH(Assumptions!$C$7,D3447)),Assumptions!$D$7,"Other Services"))),"Other Services"))</f>
        <v/>
      </c>
    </row>
    <row r="3448" customFormat="false" ht="15" hidden="false" customHeight="false" outlineLevel="0" collapsed="false">
      <c r="F3448" s="41" t="str">
        <f aca="false">IF(D3448="","",IFERROR(IF(ISNUMBER(SEARCH(Assumptions!$C$5,D3448)),Assumptions!$D$5,IF(ISNUMBER(SEARCH(Assumptions!$C$6,D3448)),Assumptions!$D$6,IF(ISNUMBER(SEARCH(Assumptions!$C$7,D3448)),Assumptions!$D$7,"Other Services"))),"Other Services"))</f>
        <v/>
      </c>
    </row>
    <row r="3449" customFormat="false" ht="15" hidden="false" customHeight="false" outlineLevel="0" collapsed="false">
      <c r="F3449" s="41" t="str">
        <f aca="false">IF(D3449="","",IFERROR(IF(ISNUMBER(SEARCH(Assumptions!$C$5,D3449)),Assumptions!$D$5,IF(ISNUMBER(SEARCH(Assumptions!$C$6,D3449)),Assumptions!$D$6,IF(ISNUMBER(SEARCH(Assumptions!$C$7,D3449)),Assumptions!$D$7,"Other Services"))),"Other Services"))</f>
        <v/>
      </c>
    </row>
    <row r="3450" customFormat="false" ht="15" hidden="false" customHeight="false" outlineLevel="0" collapsed="false">
      <c r="F3450" s="41" t="str">
        <f aca="false">IF(D3450="","",IFERROR(IF(ISNUMBER(SEARCH(Assumptions!$C$5,D3450)),Assumptions!$D$5,IF(ISNUMBER(SEARCH(Assumptions!$C$6,D3450)),Assumptions!$D$6,IF(ISNUMBER(SEARCH(Assumptions!$C$7,D3450)),Assumptions!$D$7,"Other Services"))),"Other Services"))</f>
        <v/>
      </c>
    </row>
    <row r="3451" customFormat="false" ht="15" hidden="false" customHeight="false" outlineLevel="0" collapsed="false">
      <c r="F3451" s="41" t="str">
        <f aca="false">IF(D3451="","",IFERROR(IF(ISNUMBER(SEARCH(Assumptions!$C$5,D3451)),Assumptions!$D$5,IF(ISNUMBER(SEARCH(Assumptions!$C$6,D3451)),Assumptions!$D$6,IF(ISNUMBER(SEARCH(Assumptions!$C$7,D3451)),Assumptions!$D$7,"Other Services"))),"Other Services"))</f>
        <v/>
      </c>
    </row>
    <row r="3452" customFormat="false" ht="15" hidden="false" customHeight="false" outlineLevel="0" collapsed="false">
      <c r="F3452" s="41" t="str">
        <f aca="false">IF(D3452="","",IFERROR(IF(ISNUMBER(SEARCH(Assumptions!$C$5,D3452)),Assumptions!$D$5,IF(ISNUMBER(SEARCH(Assumptions!$C$6,D3452)),Assumptions!$D$6,IF(ISNUMBER(SEARCH(Assumptions!$C$7,D3452)),Assumptions!$D$7,"Other Services"))),"Other Services"))</f>
        <v/>
      </c>
    </row>
    <row r="3453" customFormat="false" ht="15" hidden="false" customHeight="false" outlineLevel="0" collapsed="false">
      <c r="F3453" s="41" t="str">
        <f aca="false">IF(D3453="","",IFERROR(IF(ISNUMBER(SEARCH(Assumptions!$C$5,D3453)),Assumptions!$D$5,IF(ISNUMBER(SEARCH(Assumptions!$C$6,D3453)),Assumptions!$D$6,IF(ISNUMBER(SEARCH(Assumptions!$C$7,D3453)),Assumptions!$D$7,"Other Services"))),"Other Services"))</f>
        <v/>
      </c>
    </row>
    <row r="3454" customFormat="false" ht="15" hidden="false" customHeight="false" outlineLevel="0" collapsed="false">
      <c r="F3454" s="41" t="str">
        <f aca="false">IF(D3454="","",IFERROR(IF(ISNUMBER(SEARCH(Assumptions!$C$5,D3454)),Assumptions!$D$5,IF(ISNUMBER(SEARCH(Assumptions!$C$6,D3454)),Assumptions!$D$6,IF(ISNUMBER(SEARCH(Assumptions!$C$7,D3454)),Assumptions!$D$7,"Other Services"))),"Other Services"))</f>
        <v/>
      </c>
    </row>
    <row r="3455" customFormat="false" ht="15" hidden="false" customHeight="false" outlineLevel="0" collapsed="false">
      <c r="F3455" s="41" t="str">
        <f aca="false">IF(D3455="","",IFERROR(IF(ISNUMBER(SEARCH(Assumptions!$C$5,D3455)),Assumptions!$D$5,IF(ISNUMBER(SEARCH(Assumptions!$C$6,D3455)),Assumptions!$D$6,IF(ISNUMBER(SEARCH(Assumptions!$C$7,D3455)),Assumptions!$D$7,"Other Services"))),"Other Services"))</f>
        <v/>
      </c>
    </row>
    <row r="3456" customFormat="false" ht="15" hidden="false" customHeight="false" outlineLevel="0" collapsed="false">
      <c r="F3456" s="41" t="str">
        <f aca="false">IF(D3456="","",IFERROR(IF(ISNUMBER(SEARCH(Assumptions!$C$5,D3456)),Assumptions!$D$5,IF(ISNUMBER(SEARCH(Assumptions!$C$6,D3456)),Assumptions!$D$6,IF(ISNUMBER(SEARCH(Assumptions!$C$7,D3456)),Assumptions!$D$7,"Other Services"))),"Other Services"))</f>
        <v/>
      </c>
    </row>
    <row r="3457" customFormat="false" ht="15" hidden="false" customHeight="false" outlineLevel="0" collapsed="false">
      <c r="F3457" s="41" t="str">
        <f aca="false">IF(D3457="","",IFERROR(IF(ISNUMBER(SEARCH(Assumptions!$C$5,D3457)),Assumptions!$D$5,IF(ISNUMBER(SEARCH(Assumptions!$C$6,D3457)),Assumptions!$D$6,IF(ISNUMBER(SEARCH(Assumptions!$C$7,D3457)),Assumptions!$D$7,"Other Services"))),"Other Services"))</f>
        <v/>
      </c>
    </row>
    <row r="3458" customFormat="false" ht="15" hidden="false" customHeight="false" outlineLevel="0" collapsed="false">
      <c r="F3458" s="41" t="str">
        <f aca="false">IF(D3458="","",IFERROR(IF(ISNUMBER(SEARCH(Assumptions!$C$5,D3458)),Assumptions!$D$5,IF(ISNUMBER(SEARCH(Assumptions!$C$6,D3458)),Assumptions!$D$6,IF(ISNUMBER(SEARCH(Assumptions!$C$7,D3458)),Assumptions!$D$7,"Other Services"))),"Other Services"))</f>
        <v/>
      </c>
    </row>
    <row r="3459" customFormat="false" ht="15" hidden="false" customHeight="false" outlineLevel="0" collapsed="false">
      <c r="F3459" s="41" t="str">
        <f aca="false">IF(D3459="","",IFERROR(IF(ISNUMBER(SEARCH(Assumptions!$C$5,D3459)),Assumptions!$D$5,IF(ISNUMBER(SEARCH(Assumptions!$C$6,D3459)),Assumptions!$D$6,IF(ISNUMBER(SEARCH(Assumptions!$C$7,D3459)),Assumptions!$D$7,"Other Services"))),"Other Services"))</f>
        <v/>
      </c>
    </row>
    <row r="3460" customFormat="false" ht="15" hidden="false" customHeight="false" outlineLevel="0" collapsed="false">
      <c r="F3460" s="41" t="str">
        <f aca="false">IF(D3460="","",IFERROR(IF(ISNUMBER(SEARCH(Assumptions!$C$5,D3460)),Assumptions!$D$5,IF(ISNUMBER(SEARCH(Assumptions!$C$6,D3460)),Assumptions!$D$6,IF(ISNUMBER(SEARCH(Assumptions!$C$7,D3460)),Assumptions!$D$7,"Other Services"))),"Other Services"))</f>
        <v/>
      </c>
    </row>
    <row r="3461" customFormat="false" ht="15" hidden="false" customHeight="false" outlineLevel="0" collapsed="false">
      <c r="F3461" s="41" t="str">
        <f aca="false">IF(D3461="","",IFERROR(IF(ISNUMBER(SEARCH(Assumptions!$C$5,D3461)),Assumptions!$D$5,IF(ISNUMBER(SEARCH(Assumptions!$C$6,D3461)),Assumptions!$D$6,IF(ISNUMBER(SEARCH(Assumptions!$C$7,D3461)),Assumptions!$D$7,"Other Services"))),"Other Services"))</f>
        <v/>
      </c>
    </row>
    <row r="3462" customFormat="false" ht="15" hidden="false" customHeight="false" outlineLevel="0" collapsed="false">
      <c r="F3462" s="41" t="str">
        <f aca="false">IF(D3462="","",IFERROR(IF(ISNUMBER(SEARCH(Assumptions!$C$5,D3462)),Assumptions!$D$5,IF(ISNUMBER(SEARCH(Assumptions!$C$6,D3462)),Assumptions!$D$6,IF(ISNUMBER(SEARCH(Assumptions!$C$7,D3462)),Assumptions!$D$7,"Other Services"))),"Other Services"))</f>
        <v/>
      </c>
    </row>
    <row r="3463" customFormat="false" ht="15" hidden="false" customHeight="false" outlineLevel="0" collapsed="false">
      <c r="F3463" s="41" t="str">
        <f aca="false">IF(D3463="","",IFERROR(IF(ISNUMBER(SEARCH(Assumptions!$C$5,D3463)),Assumptions!$D$5,IF(ISNUMBER(SEARCH(Assumptions!$C$6,D3463)),Assumptions!$D$6,IF(ISNUMBER(SEARCH(Assumptions!$C$7,D3463)),Assumptions!$D$7,"Other Services"))),"Other Services"))</f>
        <v/>
      </c>
    </row>
    <row r="3464" customFormat="false" ht="15" hidden="false" customHeight="false" outlineLevel="0" collapsed="false">
      <c r="F3464" s="41" t="str">
        <f aca="false">IF(D3464="","",IFERROR(IF(ISNUMBER(SEARCH(Assumptions!$C$5,D3464)),Assumptions!$D$5,IF(ISNUMBER(SEARCH(Assumptions!$C$6,D3464)),Assumptions!$D$6,IF(ISNUMBER(SEARCH(Assumptions!$C$7,D3464)),Assumptions!$D$7,"Other Services"))),"Other Services"))</f>
        <v/>
      </c>
    </row>
    <row r="3465" customFormat="false" ht="15" hidden="false" customHeight="false" outlineLevel="0" collapsed="false">
      <c r="F3465" s="41" t="str">
        <f aca="false">IF(D3465="","",IFERROR(IF(ISNUMBER(SEARCH(Assumptions!$C$5,D3465)),Assumptions!$D$5,IF(ISNUMBER(SEARCH(Assumptions!$C$6,D3465)),Assumptions!$D$6,IF(ISNUMBER(SEARCH(Assumptions!$C$7,D3465)),Assumptions!$D$7,"Other Services"))),"Other Services"))</f>
        <v/>
      </c>
    </row>
    <row r="3466" customFormat="false" ht="15" hidden="false" customHeight="false" outlineLevel="0" collapsed="false">
      <c r="F3466" s="41" t="str">
        <f aca="false">IF(D3466="","",IFERROR(IF(ISNUMBER(SEARCH(Assumptions!$C$5,D3466)),Assumptions!$D$5,IF(ISNUMBER(SEARCH(Assumptions!$C$6,D3466)),Assumptions!$D$6,IF(ISNUMBER(SEARCH(Assumptions!$C$7,D3466)),Assumptions!$D$7,"Other Services"))),"Other Services"))</f>
        <v/>
      </c>
    </row>
    <row r="3467" customFormat="false" ht="15" hidden="false" customHeight="false" outlineLevel="0" collapsed="false">
      <c r="F3467" s="41" t="str">
        <f aca="false">IF(D3467="","",IFERROR(IF(ISNUMBER(SEARCH(Assumptions!$C$5,D3467)),Assumptions!$D$5,IF(ISNUMBER(SEARCH(Assumptions!$C$6,D3467)),Assumptions!$D$6,IF(ISNUMBER(SEARCH(Assumptions!$C$7,D3467)),Assumptions!$D$7,"Other Services"))),"Other Services"))</f>
        <v/>
      </c>
    </row>
    <row r="3468" customFormat="false" ht="15" hidden="false" customHeight="false" outlineLevel="0" collapsed="false">
      <c r="F3468" s="41" t="str">
        <f aca="false">IF(D3468="","",IFERROR(IF(ISNUMBER(SEARCH(Assumptions!$C$5,D3468)),Assumptions!$D$5,IF(ISNUMBER(SEARCH(Assumptions!$C$6,D3468)),Assumptions!$D$6,IF(ISNUMBER(SEARCH(Assumptions!$C$7,D3468)),Assumptions!$D$7,"Other Services"))),"Other Services"))</f>
        <v/>
      </c>
    </row>
    <row r="3469" customFormat="false" ht="15" hidden="false" customHeight="false" outlineLevel="0" collapsed="false">
      <c r="F3469" s="41" t="str">
        <f aca="false">IF(D3469="","",IFERROR(IF(ISNUMBER(SEARCH(Assumptions!$C$5,D3469)),Assumptions!$D$5,IF(ISNUMBER(SEARCH(Assumptions!$C$6,D3469)),Assumptions!$D$6,IF(ISNUMBER(SEARCH(Assumptions!$C$7,D3469)),Assumptions!$D$7,"Other Services"))),"Other Services"))</f>
        <v/>
      </c>
    </row>
    <row r="3470" customFormat="false" ht="15" hidden="false" customHeight="false" outlineLevel="0" collapsed="false">
      <c r="F3470" s="41" t="str">
        <f aca="false">IF(D3470="","",IFERROR(IF(ISNUMBER(SEARCH(Assumptions!$C$5,D3470)),Assumptions!$D$5,IF(ISNUMBER(SEARCH(Assumptions!$C$6,D3470)),Assumptions!$D$6,IF(ISNUMBER(SEARCH(Assumptions!$C$7,D3470)),Assumptions!$D$7,"Other Services"))),"Other Services"))</f>
        <v/>
      </c>
    </row>
    <row r="3471" customFormat="false" ht="15" hidden="false" customHeight="false" outlineLevel="0" collapsed="false">
      <c r="F3471" s="41" t="str">
        <f aca="false">IF(D3471="","",IFERROR(IF(ISNUMBER(SEARCH(Assumptions!$C$5,D3471)),Assumptions!$D$5,IF(ISNUMBER(SEARCH(Assumptions!$C$6,D3471)),Assumptions!$D$6,IF(ISNUMBER(SEARCH(Assumptions!$C$7,D3471)),Assumptions!$D$7,"Other Services"))),"Other Services"))</f>
        <v/>
      </c>
    </row>
    <row r="3472" customFormat="false" ht="15" hidden="false" customHeight="false" outlineLevel="0" collapsed="false">
      <c r="F3472" s="41" t="str">
        <f aca="false">IF(D3472="","",IFERROR(IF(ISNUMBER(SEARCH(Assumptions!$C$5,D3472)),Assumptions!$D$5,IF(ISNUMBER(SEARCH(Assumptions!$C$6,D3472)),Assumptions!$D$6,IF(ISNUMBER(SEARCH(Assumptions!$C$7,D3472)),Assumptions!$D$7,"Other Services"))),"Other Services"))</f>
        <v/>
      </c>
    </row>
    <row r="3473" customFormat="false" ht="15" hidden="false" customHeight="false" outlineLevel="0" collapsed="false">
      <c r="F3473" s="41" t="str">
        <f aca="false">IF(D3473="","",IFERROR(IF(ISNUMBER(SEARCH(Assumptions!$C$5,D3473)),Assumptions!$D$5,IF(ISNUMBER(SEARCH(Assumptions!$C$6,D3473)),Assumptions!$D$6,IF(ISNUMBER(SEARCH(Assumptions!$C$7,D3473)),Assumptions!$D$7,"Other Services"))),"Other Services"))</f>
        <v/>
      </c>
    </row>
    <row r="3474" customFormat="false" ht="15" hidden="false" customHeight="false" outlineLevel="0" collapsed="false">
      <c r="F3474" s="41" t="str">
        <f aca="false">IF(D3474="","",IFERROR(IF(ISNUMBER(SEARCH(Assumptions!$C$5,D3474)),Assumptions!$D$5,IF(ISNUMBER(SEARCH(Assumptions!$C$6,D3474)),Assumptions!$D$6,IF(ISNUMBER(SEARCH(Assumptions!$C$7,D3474)),Assumptions!$D$7,"Other Services"))),"Other Services"))</f>
        <v/>
      </c>
    </row>
    <row r="3475" customFormat="false" ht="15" hidden="false" customHeight="false" outlineLevel="0" collapsed="false">
      <c r="F3475" s="41" t="str">
        <f aca="false">IF(D3475="","",IFERROR(IF(ISNUMBER(SEARCH(Assumptions!$C$5,D3475)),Assumptions!$D$5,IF(ISNUMBER(SEARCH(Assumptions!$C$6,D3475)),Assumptions!$D$6,IF(ISNUMBER(SEARCH(Assumptions!$C$7,D3475)),Assumptions!$D$7,"Other Services"))),"Other Services"))</f>
        <v/>
      </c>
    </row>
    <row r="3476" customFormat="false" ht="15" hidden="false" customHeight="false" outlineLevel="0" collapsed="false">
      <c r="F3476" s="41" t="str">
        <f aca="false">IF(D3476="","",IFERROR(IF(ISNUMBER(SEARCH(Assumptions!$C$5,D3476)),Assumptions!$D$5,IF(ISNUMBER(SEARCH(Assumptions!$C$6,D3476)),Assumptions!$D$6,IF(ISNUMBER(SEARCH(Assumptions!$C$7,D3476)),Assumptions!$D$7,"Other Services"))),"Other Services"))</f>
        <v/>
      </c>
    </row>
    <row r="3477" customFormat="false" ht="15" hidden="false" customHeight="false" outlineLevel="0" collapsed="false">
      <c r="F3477" s="41" t="str">
        <f aca="false">IF(D3477="","",IFERROR(IF(ISNUMBER(SEARCH(Assumptions!$C$5,D3477)),Assumptions!$D$5,IF(ISNUMBER(SEARCH(Assumptions!$C$6,D3477)),Assumptions!$D$6,IF(ISNUMBER(SEARCH(Assumptions!$C$7,D3477)),Assumptions!$D$7,"Other Services"))),"Other Services"))</f>
        <v/>
      </c>
    </row>
    <row r="3478" customFormat="false" ht="15" hidden="false" customHeight="false" outlineLevel="0" collapsed="false">
      <c r="F3478" s="41" t="str">
        <f aca="false">IF(D3478="","",IFERROR(IF(ISNUMBER(SEARCH(Assumptions!$C$5,D3478)),Assumptions!$D$5,IF(ISNUMBER(SEARCH(Assumptions!$C$6,D3478)),Assumptions!$D$6,IF(ISNUMBER(SEARCH(Assumptions!$C$7,D3478)),Assumptions!$D$7,"Other Services"))),"Other Services"))</f>
        <v/>
      </c>
    </row>
    <row r="3479" customFormat="false" ht="15" hidden="false" customHeight="false" outlineLevel="0" collapsed="false">
      <c r="F3479" s="41" t="str">
        <f aca="false">IF(D3479="","",IFERROR(IF(ISNUMBER(SEARCH(Assumptions!$C$5,D3479)),Assumptions!$D$5,IF(ISNUMBER(SEARCH(Assumptions!$C$6,D3479)),Assumptions!$D$6,IF(ISNUMBER(SEARCH(Assumptions!$C$7,D3479)),Assumptions!$D$7,"Other Services"))),"Other Services"))</f>
        <v/>
      </c>
    </row>
    <row r="3480" customFormat="false" ht="15" hidden="false" customHeight="false" outlineLevel="0" collapsed="false">
      <c r="F3480" s="41" t="str">
        <f aca="false">IF(D3480="","",IFERROR(IF(ISNUMBER(SEARCH(Assumptions!$C$5,D3480)),Assumptions!$D$5,IF(ISNUMBER(SEARCH(Assumptions!$C$6,D3480)),Assumptions!$D$6,IF(ISNUMBER(SEARCH(Assumptions!$C$7,D3480)),Assumptions!$D$7,"Other Services"))),"Other Services"))</f>
        <v/>
      </c>
    </row>
    <row r="3481" customFormat="false" ht="15" hidden="false" customHeight="false" outlineLevel="0" collapsed="false">
      <c r="F3481" s="41" t="str">
        <f aca="false">IF(D3481="","",IFERROR(IF(ISNUMBER(SEARCH(Assumptions!$C$5,D3481)),Assumptions!$D$5,IF(ISNUMBER(SEARCH(Assumptions!$C$6,D3481)),Assumptions!$D$6,IF(ISNUMBER(SEARCH(Assumptions!$C$7,D3481)),Assumptions!$D$7,"Other Services"))),"Other Services"))</f>
        <v/>
      </c>
    </row>
    <row r="3482" customFormat="false" ht="15" hidden="false" customHeight="false" outlineLevel="0" collapsed="false">
      <c r="F3482" s="41" t="str">
        <f aca="false">IF(D3482="","",IFERROR(IF(ISNUMBER(SEARCH(Assumptions!$C$5,D3482)),Assumptions!$D$5,IF(ISNUMBER(SEARCH(Assumptions!$C$6,D3482)),Assumptions!$D$6,IF(ISNUMBER(SEARCH(Assumptions!$C$7,D3482)),Assumptions!$D$7,"Other Services"))),"Other Services"))</f>
        <v/>
      </c>
    </row>
    <row r="3483" customFormat="false" ht="15" hidden="false" customHeight="false" outlineLevel="0" collapsed="false">
      <c r="F3483" s="41" t="str">
        <f aca="false">IF(D3483="","",IFERROR(IF(ISNUMBER(SEARCH(Assumptions!$C$5,D3483)),Assumptions!$D$5,IF(ISNUMBER(SEARCH(Assumptions!$C$6,D3483)),Assumptions!$D$6,IF(ISNUMBER(SEARCH(Assumptions!$C$7,D3483)),Assumptions!$D$7,"Other Services"))),"Other Services"))</f>
        <v/>
      </c>
    </row>
    <row r="3484" customFormat="false" ht="15" hidden="false" customHeight="false" outlineLevel="0" collapsed="false">
      <c r="F3484" s="41" t="str">
        <f aca="false">IF(D3484="","",IFERROR(IF(ISNUMBER(SEARCH(Assumptions!$C$5,D3484)),Assumptions!$D$5,IF(ISNUMBER(SEARCH(Assumptions!$C$6,D3484)),Assumptions!$D$6,IF(ISNUMBER(SEARCH(Assumptions!$C$7,D3484)),Assumptions!$D$7,"Other Services"))),"Other Services"))</f>
        <v/>
      </c>
    </row>
    <row r="3485" customFormat="false" ht="15" hidden="false" customHeight="false" outlineLevel="0" collapsed="false">
      <c r="F3485" s="41" t="str">
        <f aca="false">IF(D3485="","",IFERROR(IF(ISNUMBER(SEARCH(Assumptions!$C$5,D3485)),Assumptions!$D$5,IF(ISNUMBER(SEARCH(Assumptions!$C$6,D3485)),Assumptions!$D$6,IF(ISNUMBER(SEARCH(Assumptions!$C$7,D3485)),Assumptions!$D$7,"Other Services"))),"Other Services"))</f>
        <v/>
      </c>
    </row>
    <row r="3486" customFormat="false" ht="15" hidden="false" customHeight="false" outlineLevel="0" collapsed="false">
      <c r="F3486" s="41" t="str">
        <f aca="false">IF(D3486="","",IFERROR(IF(ISNUMBER(SEARCH(Assumptions!$C$5,D3486)),Assumptions!$D$5,IF(ISNUMBER(SEARCH(Assumptions!$C$6,D3486)),Assumptions!$D$6,IF(ISNUMBER(SEARCH(Assumptions!$C$7,D3486)),Assumptions!$D$7,"Other Services"))),"Other Services"))</f>
        <v/>
      </c>
    </row>
    <row r="3487" customFormat="false" ht="15" hidden="false" customHeight="false" outlineLevel="0" collapsed="false">
      <c r="F3487" s="41" t="str">
        <f aca="false">IF(D3487="","",IFERROR(IF(ISNUMBER(SEARCH(Assumptions!$C$5,D3487)),Assumptions!$D$5,IF(ISNUMBER(SEARCH(Assumptions!$C$6,D3487)),Assumptions!$D$6,IF(ISNUMBER(SEARCH(Assumptions!$C$7,D3487)),Assumptions!$D$7,"Other Services"))),"Other Services"))</f>
        <v/>
      </c>
    </row>
    <row r="3488" customFormat="false" ht="15" hidden="false" customHeight="false" outlineLevel="0" collapsed="false">
      <c r="F3488" s="41" t="str">
        <f aca="false">IF(D3488="","",IFERROR(IF(ISNUMBER(SEARCH(Assumptions!$C$5,D3488)),Assumptions!$D$5,IF(ISNUMBER(SEARCH(Assumptions!$C$6,D3488)),Assumptions!$D$6,IF(ISNUMBER(SEARCH(Assumptions!$C$7,D3488)),Assumptions!$D$7,"Other Services"))),"Other Services"))</f>
        <v/>
      </c>
    </row>
    <row r="3489" customFormat="false" ht="15" hidden="false" customHeight="false" outlineLevel="0" collapsed="false">
      <c r="F3489" s="41" t="str">
        <f aca="false">IF(D3489="","",IFERROR(IF(ISNUMBER(SEARCH(Assumptions!$C$5,D3489)),Assumptions!$D$5,IF(ISNUMBER(SEARCH(Assumptions!$C$6,D3489)),Assumptions!$D$6,IF(ISNUMBER(SEARCH(Assumptions!$C$7,D3489)),Assumptions!$D$7,"Other Services"))),"Other Services"))</f>
        <v/>
      </c>
    </row>
    <row r="3490" customFormat="false" ht="15" hidden="false" customHeight="false" outlineLevel="0" collapsed="false">
      <c r="F3490" s="41" t="str">
        <f aca="false">IF(D3490="","",IFERROR(IF(ISNUMBER(SEARCH(Assumptions!$C$5,D3490)),Assumptions!$D$5,IF(ISNUMBER(SEARCH(Assumptions!$C$6,D3490)),Assumptions!$D$6,IF(ISNUMBER(SEARCH(Assumptions!$C$7,D3490)),Assumptions!$D$7,"Other Services"))),"Other Services"))</f>
        <v/>
      </c>
    </row>
    <row r="3491" customFormat="false" ht="15" hidden="false" customHeight="false" outlineLevel="0" collapsed="false">
      <c r="F3491" s="41" t="str">
        <f aca="false">IF(D3491="","",IFERROR(IF(ISNUMBER(SEARCH(Assumptions!$C$5,D3491)),Assumptions!$D$5,IF(ISNUMBER(SEARCH(Assumptions!$C$6,D3491)),Assumptions!$D$6,IF(ISNUMBER(SEARCH(Assumptions!$C$7,D3491)),Assumptions!$D$7,"Other Services"))),"Other Services"))</f>
        <v/>
      </c>
    </row>
    <row r="3492" customFormat="false" ht="15" hidden="false" customHeight="false" outlineLevel="0" collapsed="false">
      <c r="F3492" s="41" t="str">
        <f aca="false">IF(D3492="","",IFERROR(IF(ISNUMBER(SEARCH(Assumptions!$C$5,D3492)),Assumptions!$D$5,IF(ISNUMBER(SEARCH(Assumptions!$C$6,D3492)),Assumptions!$D$6,IF(ISNUMBER(SEARCH(Assumptions!$C$7,D3492)),Assumptions!$D$7,"Other Services"))),"Other Services"))</f>
        <v/>
      </c>
    </row>
    <row r="3493" customFormat="false" ht="15" hidden="false" customHeight="false" outlineLevel="0" collapsed="false">
      <c r="F3493" s="41" t="str">
        <f aca="false">IF(D3493="","",IFERROR(IF(ISNUMBER(SEARCH(Assumptions!$C$5,D3493)),Assumptions!$D$5,IF(ISNUMBER(SEARCH(Assumptions!$C$6,D3493)),Assumptions!$D$6,IF(ISNUMBER(SEARCH(Assumptions!$C$7,D3493)),Assumptions!$D$7,"Other Services"))),"Other Services"))</f>
        <v/>
      </c>
    </row>
    <row r="3494" customFormat="false" ht="15" hidden="false" customHeight="false" outlineLevel="0" collapsed="false">
      <c r="F3494" s="41" t="str">
        <f aca="false">IF(D3494="","",IFERROR(IF(ISNUMBER(SEARCH(Assumptions!$C$5,D3494)),Assumptions!$D$5,IF(ISNUMBER(SEARCH(Assumptions!$C$6,D3494)),Assumptions!$D$6,IF(ISNUMBER(SEARCH(Assumptions!$C$7,D3494)),Assumptions!$D$7,"Other Services"))),"Other Services"))</f>
        <v/>
      </c>
    </row>
    <row r="3495" customFormat="false" ht="15" hidden="false" customHeight="false" outlineLevel="0" collapsed="false">
      <c r="F3495" s="41" t="str">
        <f aca="false">IF(D3495="","",IFERROR(IF(ISNUMBER(SEARCH(Assumptions!$C$5,D3495)),Assumptions!$D$5,IF(ISNUMBER(SEARCH(Assumptions!$C$6,D3495)),Assumptions!$D$6,IF(ISNUMBER(SEARCH(Assumptions!$C$7,D3495)),Assumptions!$D$7,"Other Services"))),"Other Services"))</f>
        <v/>
      </c>
    </row>
    <row r="3496" customFormat="false" ht="15" hidden="false" customHeight="false" outlineLevel="0" collapsed="false">
      <c r="F3496" s="41" t="str">
        <f aca="false">IF(D3496="","",IFERROR(IF(ISNUMBER(SEARCH(Assumptions!$C$5,D3496)),Assumptions!$D$5,IF(ISNUMBER(SEARCH(Assumptions!$C$6,D3496)),Assumptions!$D$6,IF(ISNUMBER(SEARCH(Assumptions!$C$7,D3496)),Assumptions!$D$7,"Other Services"))),"Other Services"))</f>
        <v/>
      </c>
    </row>
    <row r="3497" customFormat="false" ht="15" hidden="false" customHeight="false" outlineLevel="0" collapsed="false">
      <c r="F3497" s="41" t="str">
        <f aca="false">IF(D3497="","",IFERROR(IF(ISNUMBER(SEARCH(Assumptions!$C$5,D3497)),Assumptions!$D$5,IF(ISNUMBER(SEARCH(Assumptions!$C$6,D3497)),Assumptions!$D$6,IF(ISNUMBER(SEARCH(Assumptions!$C$7,D3497)),Assumptions!$D$7,"Other Services"))),"Other Services"))</f>
        <v/>
      </c>
    </row>
    <row r="3498" customFormat="false" ht="15" hidden="false" customHeight="false" outlineLevel="0" collapsed="false">
      <c r="F3498" s="41" t="str">
        <f aca="false">IF(D3498="","",IFERROR(IF(ISNUMBER(SEARCH(Assumptions!$C$5,D3498)),Assumptions!$D$5,IF(ISNUMBER(SEARCH(Assumptions!$C$6,D3498)),Assumptions!$D$6,IF(ISNUMBER(SEARCH(Assumptions!$C$7,D3498)),Assumptions!$D$7,"Other Services"))),"Other Services"))</f>
        <v/>
      </c>
    </row>
    <row r="3499" customFormat="false" ht="15" hidden="false" customHeight="false" outlineLevel="0" collapsed="false">
      <c r="F3499" s="41" t="str">
        <f aca="false">IF(D3499="","",IFERROR(IF(ISNUMBER(SEARCH(Assumptions!$C$5,D3499)),Assumptions!$D$5,IF(ISNUMBER(SEARCH(Assumptions!$C$6,D3499)),Assumptions!$D$6,IF(ISNUMBER(SEARCH(Assumptions!$C$7,D3499)),Assumptions!$D$7,"Other Services"))),"Other Services"))</f>
        <v/>
      </c>
    </row>
    <row r="3500" customFormat="false" ht="15" hidden="false" customHeight="false" outlineLevel="0" collapsed="false">
      <c r="F3500" s="41" t="str">
        <f aca="false">IF(D3500="","",IFERROR(IF(ISNUMBER(SEARCH(Assumptions!$C$5,D3500)),Assumptions!$D$5,IF(ISNUMBER(SEARCH(Assumptions!$C$6,D3500)),Assumptions!$D$6,IF(ISNUMBER(SEARCH(Assumptions!$C$7,D3500)),Assumptions!$D$7,"Other Services"))),"Other Services"))</f>
        <v/>
      </c>
    </row>
    <row r="3501" customFormat="false" ht="15" hidden="false" customHeight="false" outlineLevel="0" collapsed="false">
      <c r="F3501" s="41" t="str">
        <f aca="false">IF(D3501="","",IFERROR(IF(ISNUMBER(SEARCH(Assumptions!$C$5,D3501)),Assumptions!$D$5,IF(ISNUMBER(SEARCH(Assumptions!$C$6,D3501)),Assumptions!$D$6,IF(ISNUMBER(SEARCH(Assumptions!$C$7,D3501)),Assumptions!$D$7,"Other Services"))),"Other Services"))</f>
        <v/>
      </c>
    </row>
    <row r="3502" customFormat="false" ht="15" hidden="false" customHeight="false" outlineLevel="0" collapsed="false">
      <c r="F3502" s="41" t="str">
        <f aca="false">IF(D3502="","",IFERROR(IF(ISNUMBER(SEARCH(Assumptions!$C$5,D3502)),Assumptions!$D$5,IF(ISNUMBER(SEARCH(Assumptions!$C$6,D3502)),Assumptions!$D$6,IF(ISNUMBER(SEARCH(Assumptions!$C$7,D3502)),Assumptions!$D$7,"Other Services"))),"Other Services"))</f>
        <v/>
      </c>
    </row>
    <row r="3503" customFormat="false" ht="15" hidden="false" customHeight="false" outlineLevel="0" collapsed="false">
      <c r="F3503" s="41" t="str">
        <f aca="false">IF(D3503="","",IFERROR(IF(ISNUMBER(SEARCH(Assumptions!$C$5,D3503)),Assumptions!$D$5,IF(ISNUMBER(SEARCH(Assumptions!$C$6,D3503)),Assumptions!$D$6,IF(ISNUMBER(SEARCH(Assumptions!$C$7,D3503)),Assumptions!$D$7,"Other Services"))),"Other Services"))</f>
        <v/>
      </c>
    </row>
    <row r="3504" customFormat="false" ht="15" hidden="false" customHeight="false" outlineLevel="0" collapsed="false">
      <c r="F3504" s="41" t="str">
        <f aca="false">IF(D3504="","",IFERROR(IF(ISNUMBER(SEARCH(Assumptions!$C$5,D3504)),Assumptions!$D$5,IF(ISNUMBER(SEARCH(Assumptions!$C$6,D3504)),Assumptions!$D$6,IF(ISNUMBER(SEARCH(Assumptions!$C$7,D3504)),Assumptions!$D$7,"Other Services"))),"Other Services"))</f>
        <v/>
      </c>
    </row>
    <row r="3505" customFormat="false" ht="15" hidden="false" customHeight="false" outlineLevel="0" collapsed="false">
      <c r="F3505" s="41" t="str">
        <f aca="false">IF(D3505="","",IFERROR(IF(ISNUMBER(SEARCH(Assumptions!$C$5,D3505)),Assumptions!$D$5,IF(ISNUMBER(SEARCH(Assumptions!$C$6,D3505)),Assumptions!$D$6,IF(ISNUMBER(SEARCH(Assumptions!$C$7,D3505)),Assumptions!$D$7,"Other Services"))),"Other Services"))</f>
        <v/>
      </c>
    </row>
    <row r="3506" customFormat="false" ht="15" hidden="false" customHeight="false" outlineLevel="0" collapsed="false">
      <c r="F3506" s="41" t="str">
        <f aca="false">IF(D3506="","",IFERROR(IF(ISNUMBER(SEARCH(Assumptions!$C$5,D3506)),Assumptions!$D$5,IF(ISNUMBER(SEARCH(Assumptions!$C$6,D3506)),Assumptions!$D$6,IF(ISNUMBER(SEARCH(Assumptions!$C$7,D3506)),Assumptions!$D$7,"Other Services"))),"Other Services"))</f>
        <v/>
      </c>
    </row>
    <row r="3507" customFormat="false" ht="15" hidden="false" customHeight="false" outlineLevel="0" collapsed="false">
      <c r="F3507" s="41" t="str">
        <f aca="false">IF(D3507="","",IFERROR(IF(ISNUMBER(SEARCH(Assumptions!$C$5,D3507)),Assumptions!$D$5,IF(ISNUMBER(SEARCH(Assumptions!$C$6,D3507)),Assumptions!$D$6,IF(ISNUMBER(SEARCH(Assumptions!$C$7,D3507)),Assumptions!$D$7,"Other Services"))),"Other Services"))</f>
        <v/>
      </c>
    </row>
    <row r="3508" customFormat="false" ht="15" hidden="false" customHeight="false" outlineLevel="0" collapsed="false">
      <c r="F3508" s="41" t="str">
        <f aca="false">IF(D3508="","",IFERROR(IF(ISNUMBER(SEARCH(Assumptions!$C$5,D3508)),Assumptions!$D$5,IF(ISNUMBER(SEARCH(Assumptions!$C$6,D3508)),Assumptions!$D$6,IF(ISNUMBER(SEARCH(Assumptions!$C$7,D3508)),Assumptions!$D$7,"Other Services"))),"Other Services"))</f>
        <v/>
      </c>
    </row>
    <row r="3509" customFormat="false" ht="15" hidden="false" customHeight="false" outlineLevel="0" collapsed="false">
      <c r="F3509" s="41" t="str">
        <f aca="false">IF(D3509="","",IFERROR(IF(ISNUMBER(SEARCH(Assumptions!$C$5,D3509)),Assumptions!$D$5,IF(ISNUMBER(SEARCH(Assumptions!$C$6,D3509)),Assumptions!$D$6,IF(ISNUMBER(SEARCH(Assumptions!$C$7,D3509)),Assumptions!$D$7,"Other Services"))),"Other Services"))</f>
        <v/>
      </c>
    </row>
    <row r="3510" customFormat="false" ht="15" hidden="false" customHeight="false" outlineLevel="0" collapsed="false">
      <c r="F3510" s="41" t="str">
        <f aca="false">IF(D3510="","",IFERROR(IF(ISNUMBER(SEARCH(Assumptions!$C$5,D3510)),Assumptions!$D$5,IF(ISNUMBER(SEARCH(Assumptions!$C$6,D3510)),Assumptions!$D$6,IF(ISNUMBER(SEARCH(Assumptions!$C$7,D3510)),Assumptions!$D$7,"Other Services"))),"Other Services"))</f>
        <v/>
      </c>
    </row>
    <row r="3511" customFormat="false" ht="15" hidden="false" customHeight="false" outlineLevel="0" collapsed="false">
      <c r="F3511" s="41" t="str">
        <f aca="false">IF(D3511="","",IFERROR(IF(ISNUMBER(SEARCH(Assumptions!$C$5,D3511)),Assumptions!$D$5,IF(ISNUMBER(SEARCH(Assumptions!$C$6,D3511)),Assumptions!$D$6,IF(ISNUMBER(SEARCH(Assumptions!$C$7,D3511)),Assumptions!$D$7,"Other Services"))),"Other Services"))</f>
        <v/>
      </c>
    </row>
    <row r="3512" customFormat="false" ht="15" hidden="false" customHeight="false" outlineLevel="0" collapsed="false">
      <c r="F3512" s="41" t="str">
        <f aca="false">IF(D3512="","",IFERROR(IF(ISNUMBER(SEARCH(Assumptions!$C$5,D3512)),Assumptions!$D$5,IF(ISNUMBER(SEARCH(Assumptions!$C$6,D3512)),Assumptions!$D$6,IF(ISNUMBER(SEARCH(Assumptions!$C$7,D3512)),Assumptions!$D$7,"Other Services"))),"Other Services"))</f>
        <v/>
      </c>
    </row>
    <row r="3513" customFormat="false" ht="15" hidden="false" customHeight="false" outlineLevel="0" collapsed="false">
      <c r="F3513" s="41" t="str">
        <f aca="false">IF(D3513="","",IFERROR(IF(ISNUMBER(SEARCH(Assumptions!$C$5,D3513)),Assumptions!$D$5,IF(ISNUMBER(SEARCH(Assumptions!$C$6,D3513)),Assumptions!$D$6,IF(ISNUMBER(SEARCH(Assumptions!$C$7,D3513)),Assumptions!$D$7,"Other Services"))),"Other Services"))</f>
        <v/>
      </c>
    </row>
    <row r="3514" customFormat="false" ht="15" hidden="false" customHeight="false" outlineLevel="0" collapsed="false">
      <c r="F3514" s="41" t="str">
        <f aca="false">IF(D3514="","",IFERROR(IF(ISNUMBER(SEARCH(Assumptions!$C$5,D3514)),Assumptions!$D$5,IF(ISNUMBER(SEARCH(Assumptions!$C$6,D3514)),Assumptions!$D$6,IF(ISNUMBER(SEARCH(Assumptions!$C$7,D3514)),Assumptions!$D$7,"Other Services"))),"Other Services"))</f>
        <v/>
      </c>
    </row>
    <row r="3515" customFormat="false" ht="15" hidden="false" customHeight="false" outlineLevel="0" collapsed="false">
      <c r="F3515" s="41" t="str">
        <f aca="false">IF(D3515="","",IFERROR(IF(ISNUMBER(SEARCH(Assumptions!$C$5,D3515)),Assumptions!$D$5,IF(ISNUMBER(SEARCH(Assumptions!$C$6,D3515)),Assumptions!$D$6,IF(ISNUMBER(SEARCH(Assumptions!$C$7,D3515)),Assumptions!$D$7,"Other Services"))),"Other Services"))</f>
        <v/>
      </c>
    </row>
    <row r="3516" customFormat="false" ht="15" hidden="false" customHeight="false" outlineLevel="0" collapsed="false">
      <c r="F3516" s="41" t="str">
        <f aca="false">IF(D3516="","",IFERROR(IF(ISNUMBER(SEARCH(Assumptions!$C$5,D3516)),Assumptions!$D$5,IF(ISNUMBER(SEARCH(Assumptions!$C$6,D3516)),Assumptions!$D$6,IF(ISNUMBER(SEARCH(Assumptions!$C$7,D3516)),Assumptions!$D$7,"Other Services"))),"Other Services"))</f>
        <v/>
      </c>
    </row>
    <row r="3517" customFormat="false" ht="15" hidden="false" customHeight="false" outlineLevel="0" collapsed="false">
      <c r="F3517" s="41" t="str">
        <f aca="false">IF(D3517="","",IFERROR(IF(ISNUMBER(SEARCH(Assumptions!$C$5,D3517)),Assumptions!$D$5,IF(ISNUMBER(SEARCH(Assumptions!$C$6,D3517)),Assumptions!$D$6,IF(ISNUMBER(SEARCH(Assumptions!$C$7,D3517)),Assumptions!$D$7,"Other Services"))),"Other Services"))</f>
        <v/>
      </c>
    </row>
    <row r="3518" customFormat="false" ht="15" hidden="false" customHeight="false" outlineLevel="0" collapsed="false">
      <c r="F3518" s="41" t="str">
        <f aca="false">IF(D3518="","",IFERROR(IF(ISNUMBER(SEARCH(Assumptions!$C$5,D3518)),Assumptions!$D$5,IF(ISNUMBER(SEARCH(Assumptions!$C$6,D3518)),Assumptions!$D$6,IF(ISNUMBER(SEARCH(Assumptions!$C$7,D3518)),Assumptions!$D$7,"Other Services"))),"Other Services"))</f>
        <v/>
      </c>
    </row>
    <row r="3519" customFormat="false" ht="15" hidden="false" customHeight="false" outlineLevel="0" collapsed="false">
      <c r="F3519" s="41" t="str">
        <f aca="false">IF(D3519="","",IFERROR(IF(ISNUMBER(SEARCH(Assumptions!$C$5,D3519)),Assumptions!$D$5,IF(ISNUMBER(SEARCH(Assumptions!$C$6,D3519)),Assumptions!$D$6,IF(ISNUMBER(SEARCH(Assumptions!$C$7,D3519)),Assumptions!$D$7,"Other Services"))),"Other Services"))</f>
        <v/>
      </c>
    </row>
    <row r="3520" customFormat="false" ht="15" hidden="false" customHeight="false" outlineLevel="0" collapsed="false">
      <c r="F3520" s="41" t="str">
        <f aca="false">IF(D3520="","",IFERROR(IF(ISNUMBER(SEARCH(Assumptions!$C$5,D3520)),Assumptions!$D$5,IF(ISNUMBER(SEARCH(Assumptions!$C$6,D3520)),Assumptions!$D$6,IF(ISNUMBER(SEARCH(Assumptions!$C$7,D3520)),Assumptions!$D$7,"Other Services"))),"Other Services"))</f>
        <v/>
      </c>
    </row>
    <row r="3521" customFormat="false" ht="15" hidden="false" customHeight="false" outlineLevel="0" collapsed="false">
      <c r="F3521" s="41" t="str">
        <f aca="false">IF(D3521="","",IFERROR(IF(ISNUMBER(SEARCH(Assumptions!$C$5,D3521)),Assumptions!$D$5,IF(ISNUMBER(SEARCH(Assumptions!$C$6,D3521)),Assumptions!$D$6,IF(ISNUMBER(SEARCH(Assumptions!$C$7,D3521)),Assumptions!$D$7,"Other Services"))),"Other Services"))</f>
        <v/>
      </c>
    </row>
    <row r="3522" customFormat="false" ht="15" hidden="false" customHeight="false" outlineLevel="0" collapsed="false">
      <c r="F3522" s="41" t="str">
        <f aca="false">IF(D3522="","",IFERROR(IF(ISNUMBER(SEARCH(Assumptions!$C$5,D3522)),Assumptions!$D$5,IF(ISNUMBER(SEARCH(Assumptions!$C$6,D3522)),Assumptions!$D$6,IF(ISNUMBER(SEARCH(Assumptions!$C$7,D3522)),Assumptions!$D$7,"Other Services"))),"Other Services"))</f>
        <v/>
      </c>
    </row>
    <row r="3523" customFormat="false" ht="15" hidden="false" customHeight="false" outlineLevel="0" collapsed="false">
      <c r="F3523" s="41" t="str">
        <f aca="false">IF(D3523="","",IFERROR(IF(ISNUMBER(SEARCH(Assumptions!$C$5,D3523)),Assumptions!$D$5,IF(ISNUMBER(SEARCH(Assumptions!$C$6,D3523)),Assumptions!$D$6,IF(ISNUMBER(SEARCH(Assumptions!$C$7,D3523)),Assumptions!$D$7,"Other Services"))),"Other Services"))</f>
        <v/>
      </c>
    </row>
    <row r="3524" customFormat="false" ht="15" hidden="false" customHeight="false" outlineLevel="0" collapsed="false">
      <c r="F3524" s="41" t="str">
        <f aca="false">IF(D3524="","",IFERROR(IF(ISNUMBER(SEARCH(Assumptions!$C$5,D3524)),Assumptions!$D$5,IF(ISNUMBER(SEARCH(Assumptions!$C$6,D3524)),Assumptions!$D$6,IF(ISNUMBER(SEARCH(Assumptions!$C$7,D3524)),Assumptions!$D$7,"Other Services"))),"Other Services"))</f>
        <v/>
      </c>
    </row>
    <row r="3525" customFormat="false" ht="15" hidden="false" customHeight="false" outlineLevel="0" collapsed="false">
      <c r="F3525" s="41" t="str">
        <f aca="false">IF(D3525="","",IFERROR(IF(ISNUMBER(SEARCH(Assumptions!$C$5,D3525)),Assumptions!$D$5,IF(ISNUMBER(SEARCH(Assumptions!$C$6,D3525)),Assumptions!$D$6,IF(ISNUMBER(SEARCH(Assumptions!$C$7,D3525)),Assumptions!$D$7,"Other Services"))),"Other Services"))</f>
        <v/>
      </c>
    </row>
    <row r="3526" customFormat="false" ht="15" hidden="false" customHeight="false" outlineLevel="0" collapsed="false">
      <c r="F3526" s="41" t="str">
        <f aca="false">IF(D3526="","",IFERROR(IF(ISNUMBER(SEARCH(Assumptions!$C$5,D3526)),Assumptions!$D$5,IF(ISNUMBER(SEARCH(Assumptions!$C$6,D3526)),Assumptions!$D$6,IF(ISNUMBER(SEARCH(Assumptions!$C$7,D3526)),Assumptions!$D$7,"Other Services"))),"Other Services"))</f>
        <v/>
      </c>
    </row>
    <row r="3527" customFormat="false" ht="15" hidden="false" customHeight="false" outlineLevel="0" collapsed="false">
      <c r="F3527" s="41" t="str">
        <f aca="false">IF(D3527="","",IFERROR(IF(ISNUMBER(SEARCH(Assumptions!$C$5,D3527)),Assumptions!$D$5,IF(ISNUMBER(SEARCH(Assumptions!$C$6,D3527)),Assumptions!$D$6,IF(ISNUMBER(SEARCH(Assumptions!$C$7,D3527)),Assumptions!$D$7,"Other Services"))),"Other Services"))</f>
        <v/>
      </c>
    </row>
    <row r="3528" customFormat="false" ht="15" hidden="false" customHeight="false" outlineLevel="0" collapsed="false">
      <c r="F3528" s="41" t="str">
        <f aca="false">IF(D3528="","",IFERROR(IF(ISNUMBER(SEARCH(Assumptions!$C$5,D3528)),Assumptions!$D$5,IF(ISNUMBER(SEARCH(Assumptions!$C$6,D3528)),Assumptions!$D$6,IF(ISNUMBER(SEARCH(Assumptions!$C$7,D3528)),Assumptions!$D$7,"Other Services"))),"Other Services"))</f>
        <v/>
      </c>
    </row>
    <row r="3529" customFormat="false" ht="15" hidden="false" customHeight="false" outlineLevel="0" collapsed="false">
      <c r="F3529" s="41" t="str">
        <f aca="false">IF(D3529="","",IFERROR(IF(ISNUMBER(SEARCH(Assumptions!$C$5,D3529)),Assumptions!$D$5,IF(ISNUMBER(SEARCH(Assumptions!$C$6,D3529)),Assumptions!$D$6,IF(ISNUMBER(SEARCH(Assumptions!$C$7,D3529)),Assumptions!$D$7,"Other Services"))),"Other Services"))</f>
        <v/>
      </c>
    </row>
    <row r="3530" customFormat="false" ht="15" hidden="false" customHeight="false" outlineLevel="0" collapsed="false">
      <c r="F3530" s="41" t="str">
        <f aca="false">IF(D3530="","",IFERROR(IF(ISNUMBER(SEARCH(Assumptions!$C$5,D3530)),Assumptions!$D$5,IF(ISNUMBER(SEARCH(Assumptions!$C$6,D3530)),Assumptions!$D$6,IF(ISNUMBER(SEARCH(Assumptions!$C$7,D3530)),Assumptions!$D$7,"Other Services"))),"Other Services"))</f>
        <v/>
      </c>
    </row>
    <row r="3531" customFormat="false" ht="15" hidden="false" customHeight="false" outlineLevel="0" collapsed="false">
      <c r="F3531" s="41" t="str">
        <f aca="false">IF(D3531="","",IFERROR(IF(ISNUMBER(SEARCH(Assumptions!$C$5,D3531)),Assumptions!$D$5,IF(ISNUMBER(SEARCH(Assumptions!$C$6,D3531)),Assumptions!$D$6,IF(ISNUMBER(SEARCH(Assumptions!$C$7,D3531)),Assumptions!$D$7,"Other Services"))),"Other Services"))</f>
        <v/>
      </c>
    </row>
    <row r="3532" customFormat="false" ht="15" hidden="false" customHeight="false" outlineLevel="0" collapsed="false">
      <c r="F3532" s="41" t="str">
        <f aca="false">IF(D3532="","",IFERROR(IF(ISNUMBER(SEARCH(Assumptions!$C$5,D3532)),Assumptions!$D$5,IF(ISNUMBER(SEARCH(Assumptions!$C$6,D3532)),Assumptions!$D$6,IF(ISNUMBER(SEARCH(Assumptions!$C$7,D3532)),Assumptions!$D$7,"Other Services"))),"Other Services"))</f>
        <v/>
      </c>
    </row>
    <row r="3533" customFormat="false" ht="15" hidden="false" customHeight="false" outlineLevel="0" collapsed="false">
      <c r="F3533" s="41" t="str">
        <f aca="false">IF(D3533="","",IFERROR(IF(ISNUMBER(SEARCH(Assumptions!$C$5,D3533)),Assumptions!$D$5,IF(ISNUMBER(SEARCH(Assumptions!$C$6,D3533)),Assumptions!$D$6,IF(ISNUMBER(SEARCH(Assumptions!$C$7,D3533)),Assumptions!$D$7,"Other Services"))),"Other Services"))</f>
        <v/>
      </c>
    </row>
    <row r="3534" customFormat="false" ht="15" hidden="false" customHeight="false" outlineLevel="0" collapsed="false">
      <c r="F3534" s="41" t="str">
        <f aca="false">IF(D3534="","",IFERROR(IF(ISNUMBER(SEARCH(Assumptions!$C$5,D3534)),Assumptions!$D$5,IF(ISNUMBER(SEARCH(Assumptions!$C$6,D3534)),Assumptions!$D$6,IF(ISNUMBER(SEARCH(Assumptions!$C$7,D3534)),Assumptions!$D$7,"Other Services"))),"Other Services"))</f>
        <v/>
      </c>
    </row>
    <row r="3535" customFormat="false" ht="15" hidden="false" customHeight="false" outlineLevel="0" collapsed="false">
      <c r="F3535" s="41" t="str">
        <f aca="false">IF(D3535="","",IFERROR(IF(ISNUMBER(SEARCH(Assumptions!$C$5,D3535)),Assumptions!$D$5,IF(ISNUMBER(SEARCH(Assumptions!$C$6,D3535)),Assumptions!$D$6,IF(ISNUMBER(SEARCH(Assumptions!$C$7,D3535)),Assumptions!$D$7,"Other Services"))),"Other Services"))</f>
        <v/>
      </c>
    </row>
    <row r="3536" customFormat="false" ht="15" hidden="false" customHeight="false" outlineLevel="0" collapsed="false">
      <c r="F3536" s="41" t="str">
        <f aca="false">IF(D3536="","",IFERROR(IF(ISNUMBER(SEARCH(Assumptions!$C$5,D3536)),Assumptions!$D$5,IF(ISNUMBER(SEARCH(Assumptions!$C$6,D3536)),Assumptions!$D$6,IF(ISNUMBER(SEARCH(Assumptions!$C$7,D3536)),Assumptions!$D$7,"Other Services"))),"Other Services"))</f>
        <v/>
      </c>
    </row>
    <row r="3537" customFormat="false" ht="15" hidden="false" customHeight="false" outlineLevel="0" collapsed="false">
      <c r="F3537" s="41" t="str">
        <f aca="false">IF(D3537="","",IFERROR(IF(ISNUMBER(SEARCH(Assumptions!$C$5,D3537)),Assumptions!$D$5,IF(ISNUMBER(SEARCH(Assumptions!$C$6,D3537)),Assumptions!$D$6,IF(ISNUMBER(SEARCH(Assumptions!$C$7,D3537)),Assumptions!$D$7,"Other Services"))),"Other Services"))</f>
        <v/>
      </c>
    </row>
    <row r="3538" customFormat="false" ht="15" hidden="false" customHeight="false" outlineLevel="0" collapsed="false">
      <c r="F3538" s="41" t="str">
        <f aca="false">IF(D3538="","",IFERROR(IF(ISNUMBER(SEARCH(Assumptions!$C$5,D3538)),Assumptions!$D$5,IF(ISNUMBER(SEARCH(Assumptions!$C$6,D3538)),Assumptions!$D$6,IF(ISNUMBER(SEARCH(Assumptions!$C$7,D3538)),Assumptions!$D$7,"Other Services"))),"Other Services"))</f>
        <v/>
      </c>
    </row>
    <row r="3539" customFormat="false" ht="15" hidden="false" customHeight="false" outlineLevel="0" collapsed="false">
      <c r="F3539" s="41" t="str">
        <f aca="false">IF(D3539="","",IFERROR(IF(ISNUMBER(SEARCH(Assumptions!$C$5,D3539)),Assumptions!$D$5,IF(ISNUMBER(SEARCH(Assumptions!$C$6,D3539)),Assumptions!$D$6,IF(ISNUMBER(SEARCH(Assumptions!$C$7,D3539)),Assumptions!$D$7,"Other Services"))),"Other Services"))</f>
        <v/>
      </c>
    </row>
    <row r="3540" customFormat="false" ht="15" hidden="false" customHeight="false" outlineLevel="0" collapsed="false">
      <c r="F3540" s="41" t="str">
        <f aca="false">IF(D3540="","",IFERROR(IF(ISNUMBER(SEARCH(Assumptions!$C$5,D3540)),Assumptions!$D$5,IF(ISNUMBER(SEARCH(Assumptions!$C$6,D3540)),Assumptions!$D$6,IF(ISNUMBER(SEARCH(Assumptions!$C$7,D3540)),Assumptions!$D$7,"Other Services"))),"Other Services"))</f>
        <v/>
      </c>
    </row>
    <row r="3541" customFormat="false" ht="15" hidden="false" customHeight="false" outlineLevel="0" collapsed="false">
      <c r="F3541" s="41" t="str">
        <f aca="false">IF(D3541="","",IFERROR(IF(ISNUMBER(SEARCH(Assumptions!$C$5,D3541)),Assumptions!$D$5,IF(ISNUMBER(SEARCH(Assumptions!$C$6,D3541)),Assumptions!$D$6,IF(ISNUMBER(SEARCH(Assumptions!$C$7,D3541)),Assumptions!$D$7,"Other Services"))),"Other Services"))</f>
        <v/>
      </c>
    </row>
    <row r="3542" customFormat="false" ht="15" hidden="false" customHeight="false" outlineLevel="0" collapsed="false">
      <c r="F3542" s="41" t="str">
        <f aca="false">IF(D3542="","",IFERROR(IF(ISNUMBER(SEARCH(Assumptions!$C$5,D3542)),Assumptions!$D$5,IF(ISNUMBER(SEARCH(Assumptions!$C$6,D3542)),Assumptions!$D$6,IF(ISNUMBER(SEARCH(Assumptions!$C$7,D3542)),Assumptions!$D$7,"Other Services"))),"Other Services"))</f>
        <v/>
      </c>
    </row>
    <row r="3543" customFormat="false" ht="15" hidden="false" customHeight="false" outlineLevel="0" collapsed="false">
      <c r="F3543" s="41" t="str">
        <f aca="false">IF(D3543="","",IFERROR(IF(ISNUMBER(SEARCH(Assumptions!$C$5,D3543)),Assumptions!$D$5,IF(ISNUMBER(SEARCH(Assumptions!$C$6,D3543)),Assumptions!$D$6,IF(ISNUMBER(SEARCH(Assumptions!$C$7,D3543)),Assumptions!$D$7,"Other Services"))),"Other Services"))</f>
        <v/>
      </c>
    </row>
    <row r="3544" customFormat="false" ht="15" hidden="false" customHeight="false" outlineLevel="0" collapsed="false">
      <c r="F3544" s="41" t="str">
        <f aca="false">IF(D3544="","",IFERROR(IF(ISNUMBER(SEARCH(Assumptions!$C$5,D3544)),Assumptions!$D$5,IF(ISNUMBER(SEARCH(Assumptions!$C$6,D3544)),Assumptions!$D$6,IF(ISNUMBER(SEARCH(Assumptions!$C$7,D3544)),Assumptions!$D$7,"Other Services"))),"Other Services"))</f>
        <v/>
      </c>
    </row>
    <row r="3545" customFormat="false" ht="15" hidden="false" customHeight="false" outlineLevel="0" collapsed="false">
      <c r="F3545" s="41" t="str">
        <f aca="false">IF(D3545="","",IFERROR(IF(ISNUMBER(SEARCH(Assumptions!$C$5,D3545)),Assumptions!$D$5,IF(ISNUMBER(SEARCH(Assumptions!$C$6,D3545)),Assumptions!$D$6,IF(ISNUMBER(SEARCH(Assumptions!$C$7,D3545)),Assumptions!$D$7,"Other Services"))),"Other Services"))</f>
        <v/>
      </c>
    </row>
    <row r="3546" customFormat="false" ht="15" hidden="false" customHeight="false" outlineLevel="0" collapsed="false">
      <c r="F3546" s="41" t="str">
        <f aca="false">IF(D3546="","",IFERROR(IF(ISNUMBER(SEARCH(Assumptions!$C$5,D3546)),Assumptions!$D$5,IF(ISNUMBER(SEARCH(Assumptions!$C$6,D3546)),Assumptions!$D$6,IF(ISNUMBER(SEARCH(Assumptions!$C$7,D3546)),Assumptions!$D$7,"Other Services"))),"Other Services"))</f>
        <v/>
      </c>
    </row>
    <row r="3547" customFormat="false" ht="15" hidden="false" customHeight="false" outlineLevel="0" collapsed="false">
      <c r="F3547" s="41" t="str">
        <f aca="false">IF(D3547="","",IFERROR(IF(ISNUMBER(SEARCH(Assumptions!$C$5,D3547)),Assumptions!$D$5,IF(ISNUMBER(SEARCH(Assumptions!$C$6,D3547)),Assumptions!$D$6,IF(ISNUMBER(SEARCH(Assumptions!$C$7,D3547)),Assumptions!$D$7,"Other Services"))),"Other Services"))</f>
        <v/>
      </c>
    </row>
    <row r="3548" customFormat="false" ht="15" hidden="false" customHeight="false" outlineLevel="0" collapsed="false">
      <c r="F3548" s="41" t="str">
        <f aca="false">IF(D3548="","",IFERROR(IF(ISNUMBER(SEARCH(Assumptions!$C$5,D3548)),Assumptions!$D$5,IF(ISNUMBER(SEARCH(Assumptions!$C$6,D3548)),Assumptions!$D$6,IF(ISNUMBER(SEARCH(Assumptions!$C$7,D3548)),Assumptions!$D$7,"Other Services"))),"Other Services"))</f>
        <v/>
      </c>
    </row>
    <row r="3549" customFormat="false" ht="15" hidden="false" customHeight="false" outlineLevel="0" collapsed="false">
      <c r="F3549" s="41" t="str">
        <f aca="false">IF(D3549="","",IFERROR(IF(ISNUMBER(SEARCH(Assumptions!$C$5,D3549)),Assumptions!$D$5,IF(ISNUMBER(SEARCH(Assumptions!$C$6,D3549)),Assumptions!$D$6,IF(ISNUMBER(SEARCH(Assumptions!$C$7,D3549)),Assumptions!$D$7,"Other Services"))),"Other Services"))</f>
        <v/>
      </c>
    </row>
    <row r="3550" customFormat="false" ht="15" hidden="false" customHeight="false" outlineLevel="0" collapsed="false">
      <c r="F3550" s="41" t="str">
        <f aca="false">IF(D3550="","",IFERROR(IF(ISNUMBER(SEARCH(Assumptions!$C$5,D3550)),Assumptions!$D$5,IF(ISNUMBER(SEARCH(Assumptions!$C$6,D3550)),Assumptions!$D$6,IF(ISNUMBER(SEARCH(Assumptions!$C$7,D3550)),Assumptions!$D$7,"Other Services"))),"Other Services"))</f>
        <v/>
      </c>
    </row>
    <row r="3551" customFormat="false" ht="15" hidden="false" customHeight="false" outlineLevel="0" collapsed="false">
      <c r="F3551" s="41" t="str">
        <f aca="false">IF(D3551="","",IFERROR(IF(ISNUMBER(SEARCH(Assumptions!$C$5,D3551)),Assumptions!$D$5,IF(ISNUMBER(SEARCH(Assumptions!$C$6,D3551)),Assumptions!$D$6,IF(ISNUMBER(SEARCH(Assumptions!$C$7,D3551)),Assumptions!$D$7,"Other Services"))),"Other Services"))</f>
        <v/>
      </c>
    </row>
    <row r="3552" customFormat="false" ht="15" hidden="false" customHeight="false" outlineLevel="0" collapsed="false">
      <c r="F3552" s="41" t="str">
        <f aca="false">IF(D3552="","",IFERROR(IF(ISNUMBER(SEARCH(Assumptions!$C$5,D3552)),Assumptions!$D$5,IF(ISNUMBER(SEARCH(Assumptions!$C$6,D3552)),Assumptions!$D$6,IF(ISNUMBER(SEARCH(Assumptions!$C$7,D3552)),Assumptions!$D$7,"Other Services"))),"Other Services"))</f>
        <v/>
      </c>
    </row>
    <row r="3553" customFormat="false" ht="15" hidden="false" customHeight="false" outlineLevel="0" collapsed="false">
      <c r="F3553" s="41" t="str">
        <f aca="false">IF(D3553="","",IFERROR(IF(ISNUMBER(SEARCH(Assumptions!$C$5,D3553)),Assumptions!$D$5,IF(ISNUMBER(SEARCH(Assumptions!$C$6,D3553)),Assumptions!$D$6,IF(ISNUMBER(SEARCH(Assumptions!$C$7,D3553)),Assumptions!$D$7,"Other Services"))),"Other Services"))</f>
        <v/>
      </c>
    </row>
    <row r="3554" customFormat="false" ht="15" hidden="false" customHeight="false" outlineLevel="0" collapsed="false">
      <c r="F3554" s="41" t="str">
        <f aca="false">IF(D3554="","",IFERROR(IF(ISNUMBER(SEARCH(Assumptions!$C$5,D3554)),Assumptions!$D$5,IF(ISNUMBER(SEARCH(Assumptions!$C$6,D3554)),Assumptions!$D$6,IF(ISNUMBER(SEARCH(Assumptions!$C$7,D3554)),Assumptions!$D$7,"Other Services"))),"Other Services"))</f>
        <v/>
      </c>
    </row>
    <row r="3555" customFormat="false" ht="15" hidden="false" customHeight="false" outlineLevel="0" collapsed="false">
      <c r="F3555" s="41" t="str">
        <f aca="false">IF(D3555="","",IFERROR(IF(ISNUMBER(SEARCH(Assumptions!$C$5,D3555)),Assumptions!$D$5,IF(ISNUMBER(SEARCH(Assumptions!$C$6,D3555)),Assumptions!$D$6,IF(ISNUMBER(SEARCH(Assumptions!$C$7,D3555)),Assumptions!$D$7,"Other Services"))),"Other Services"))</f>
        <v/>
      </c>
    </row>
    <row r="3556" customFormat="false" ht="15" hidden="false" customHeight="false" outlineLevel="0" collapsed="false">
      <c r="F3556" s="41" t="str">
        <f aca="false">IF(D3556="","",IFERROR(IF(ISNUMBER(SEARCH(Assumptions!$C$5,D3556)),Assumptions!$D$5,IF(ISNUMBER(SEARCH(Assumptions!$C$6,D3556)),Assumptions!$D$6,IF(ISNUMBER(SEARCH(Assumptions!$C$7,D3556)),Assumptions!$D$7,"Other Services"))),"Other Services"))</f>
        <v/>
      </c>
    </row>
    <row r="3557" customFormat="false" ht="15" hidden="false" customHeight="false" outlineLevel="0" collapsed="false">
      <c r="F3557" s="41" t="str">
        <f aca="false">IF(D3557="","",IFERROR(IF(ISNUMBER(SEARCH(Assumptions!$C$5,D3557)),Assumptions!$D$5,IF(ISNUMBER(SEARCH(Assumptions!$C$6,D3557)),Assumptions!$D$6,IF(ISNUMBER(SEARCH(Assumptions!$C$7,D3557)),Assumptions!$D$7,"Other Services"))),"Other Services"))</f>
        <v/>
      </c>
    </row>
    <row r="3558" customFormat="false" ht="15" hidden="false" customHeight="false" outlineLevel="0" collapsed="false">
      <c r="F3558" s="41" t="str">
        <f aca="false">IF(D3558="","",IFERROR(IF(ISNUMBER(SEARCH(Assumptions!$C$5,D3558)),Assumptions!$D$5,IF(ISNUMBER(SEARCH(Assumptions!$C$6,D3558)),Assumptions!$D$6,IF(ISNUMBER(SEARCH(Assumptions!$C$7,D3558)),Assumptions!$D$7,"Other Services"))),"Other Services"))</f>
        <v/>
      </c>
    </row>
    <row r="3559" customFormat="false" ht="15" hidden="false" customHeight="false" outlineLevel="0" collapsed="false">
      <c r="F3559" s="41" t="str">
        <f aca="false">IF(D3559="","",IFERROR(IF(ISNUMBER(SEARCH(Assumptions!$C$5,D3559)),Assumptions!$D$5,IF(ISNUMBER(SEARCH(Assumptions!$C$6,D3559)),Assumptions!$D$6,IF(ISNUMBER(SEARCH(Assumptions!$C$7,D3559)),Assumptions!$D$7,"Other Services"))),"Other Services"))</f>
        <v/>
      </c>
    </row>
    <row r="3560" customFormat="false" ht="15" hidden="false" customHeight="false" outlineLevel="0" collapsed="false">
      <c r="F3560" s="41" t="str">
        <f aca="false">IF(D3560="","",IFERROR(IF(ISNUMBER(SEARCH(Assumptions!$C$5,D3560)),Assumptions!$D$5,IF(ISNUMBER(SEARCH(Assumptions!$C$6,D3560)),Assumptions!$D$6,IF(ISNUMBER(SEARCH(Assumptions!$C$7,D3560)),Assumptions!$D$7,"Other Services"))),"Other Services"))</f>
        <v/>
      </c>
    </row>
    <row r="3561" customFormat="false" ht="15" hidden="false" customHeight="false" outlineLevel="0" collapsed="false">
      <c r="F3561" s="41" t="str">
        <f aca="false">IF(D3561="","",IFERROR(IF(ISNUMBER(SEARCH(Assumptions!$C$5,D3561)),Assumptions!$D$5,IF(ISNUMBER(SEARCH(Assumptions!$C$6,D3561)),Assumptions!$D$6,IF(ISNUMBER(SEARCH(Assumptions!$C$7,D3561)),Assumptions!$D$7,"Other Services"))),"Other Services"))</f>
        <v/>
      </c>
    </row>
    <row r="3562" customFormat="false" ht="15" hidden="false" customHeight="false" outlineLevel="0" collapsed="false">
      <c r="F3562" s="41" t="str">
        <f aca="false">IF(D3562="","",IFERROR(IF(ISNUMBER(SEARCH(Assumptions!$C$5,D3562)),Assumptions!$D$5,IF(ISNUMBER(SEARCH(Assumptions!$C$6,D3562)),Assumptions!$D$6,IF(ISNUMBER(SEARCH(Assumptions!$C$7,D3562)),Assumptions!$D$7,"Other Services"))),"Other Services"))</f>
        <v/>
      </c>
    </row>
    <row r="3563" customFormat="false" ht="15" hidden="false" customHeight="false" outlineLevel="0" collapsed="false">
      <c r="F3563" s="41" t="str">
        <f aca="false">IF(D3563="","",IFERROR(IF(ISNUMBER(SEARCH(Assumptions!$C$5,D3563)),Assumptions!$D$5,IF(ISNUMBER(SEARCH(Assumptions!$C$6,D3563)),Assumptions!$D$6,IF(ISNUMBER(SEARCH(Assumptions!$C$7,D3563)),Assumptions!$D$7,"Other Services"))),"Other Services"))</f>
        <v/>
      </c>
    </row>
    <row r="3564" customFormat="false" ht="15" hidden="false" customHeight="false" outlineLevel="0" collapsed="false">
      <c r="F3564" s="41" t="str">
        <f aca="false">IF(D3564="","",IFERROR(IF(ISNUMBER(SEARCH(Assumptions!$C$5,D3564)),Assumptions!$D$5,IF(ISNUMBER(SEARCH(Assumptions!$C$6,D3564)),Assumptions!$D$6,IF(ISNUMBER(SEARCH(Assumptions!$C$7,D3564)),Assumptions!$D$7,"Other Services"))),"Other Services"))</f>
        <v/>
      </c>
    </row>
    <row r="3565" customFormat="false" ht="15" hidden="false" customHeight="false" outlineLevel="0" collapsed="false">
      <c r="F3565" s="41" t="str">
        <f aca="false">IF(D3565="","",IFERROR(IF(ISNUMBER(SEARCH(Assumptions!$C$5,D3565)),Assumptions!$D$5,IF(ISNUMBER(SEARCH(Assumptions!$C$6,D3565)),Assumptions!$D$6,IF(ISNUMBER(SEARCH(Assumptions!$C$7,D3565)),Assumptions!$D$7,"Other Services"))),"Other Services"))</f>
        <v/>
      </c>
    </row>
    <row r="3566" customFormat="false" ht="15" hidden="false" customHeight="false" outlineLevel="0" collapsed="false">
      <c r="F3566" s="41" t="str">
        <f aca="false">IF(D3566="","",IFERROR(IF(ISNUMBER(SEARCH(Assumptions!$C$5,D3566)),Assumptions!$D$5,IF(ISNUMBER(SEARCH(Assumptions!$C$6,D3566)),Assumptions!$D$6,IF(ISNUMBER(SEARCH(Assumptions!$C$7,D3566)),Assumptions!$D$7,"Other Services"))),"Other Services"))</f>
        <v/>
      </c>
    </row>
    <row r="3567" customFormat="false" ht="15" hidden="false" customHeight="false" outlineLevel="0" collapsed="false">
      <c r="F3567" s="41" t="str">
        <f aca="false">IF(D3567="","",IFERROR(IF(ISNUMBER(SEARCH(Assumptions!$C$5,D3567)),Assumptions!$D$5,IF(ISNUMBER(SEARCH(Assumptions!$C$6,D3567)),Assumptions!$D$6,IF(ISNUMBER(SEARCH(Assumptions!$C$7,D3567)),Assumptions!$D$7,"Other Services"))),"Other Services"))</f>
        <v/>
      </c>
    </row>
    <row r="3568" customFormat="false" ht="15" hidden="false" customHeight="false" outlineLevel="0" collapsed="false">
      <c r="F3568" s="41" t="str">
        <f aca="false">IF(D3568="","",IFERROR(IF(ISNUMBER(SEARCH(Assumptions!$C$5,D3568)),Assumptions!$D$5,IF(ISNUMBER(SEARCH(Assumptions!$C$6,D3568)),Assumptions!$D$6,IF(ISNUMBER(SEARCH(Assumptions!$C$7,D3568)),Assumptions!$D$7,"Other Services"))),"Other Services"))</f>
        <v/>
      </c>
    </row>
    <row r="3569" customFormat="false" ht="15" hidden="false" customHeight="false" outlineLevel="0" collapsed="false">
      <c r="F3569" s="41" t="str">
        <f aca="false">IF(D3569="","",IFERROR(IF(ISNUMBER(SEARCH(Assumptions!$C$5,D3569)),Assumptions!$D$5,IF(ISNUMBER(SEARCH(Assumptions!$C$6,D3569)),Assumptions!$D$6,IF(ISNUMBER(SEARCH(Assumptions!$C$7,D3569)),Assumptions!$D$7,"Other Services"))),"Other Services"))</f>
        <v/>
      </c>
    </row>
    <row r="3570" customFormat="false" ht="15" hidden="false" customHeight="false" outlineLevel="0" collapsed="false">
      <c r="F3570" s="41" t="str">
        <f aca="false">IF(D3570="","",IFERROR(IF(ISNUMBER(SEARCH(Assumptions!$C$5,D3570)),Assumptions!$D$5,IF(ISNUMBER(SEARCH(Assumptions!$C$6,D3570)),Assumptions!$D$6,IF(ISNUMBER(SEARCH(Assumptions!$C$7,D3570)),Assumptions!$D$7,"Other Services"))),"Other Services"))</f>
        <v/>
      </c>
    </row>
    <row r="3571" customFormat="false" ht="15" hidden="false" customHeight="false" outlineLevel="0" collapsed="false">
      <c r="F3571" s="41" t="str">
        <f aca="false">IF(D3571="","",IFERROR(IF(ISNUMBER(SEARCH(Assumptions!$C$5,D3571)),Assumptions!$D$5,IF(ISNUMBER(SEARCH(Assumptions!$C$6,D3571)),Assumptions!$D$6,IF(ISNUMBER(SEARCH(Assumptions!$C$7,D3571)),Assumptions!$D$7,"Other Services"))),"Other Services"))</f>
        <v/>
      </c>
    </row>
    <row r="3572" customFormat="false" ht="15" hidden="false" customHeight="false" outlineLevel="0" collapsed="false">
      <c r="F3572" s="41" t="str">
        <f aca="false">IF(D3572="","",IFERROR(IF(ISNUMBER(SEARCH(Assumptions!$C$5,D3572)),Assumptions!$D$5,IF(ISNUMBER(SEARCH(Assumptions!$C$6,D3572)),Assumptions!$D$6,IF(ISNUMBER(SEARCH(Assumptions!$C$7,D3572)),Assumptions!$D$7,"Other Services"))),"Other Services"))</f>
        <v/>
      </c>
    </row>
    <row r="3573" customFormat="false" ht="15" hidden="false" customHeight="false" outlineLevel="0" collapsed="false">
      <c r="F3573" s="41" t="str">
        <f aca="false">IF(D3573="","",IFERROR(IF(ISNUMBER(SEARCH(Assumptions!$C$5,D3573)),Assumptions!$D$5,IF(ISNUMBER(SEARCH(Assumptions!$C$6,D3573)),Assumptions!$D$6,IF(ISNUMBER(SEARCH(Assumptions!$C$7,D3573)),Assumptions!$D$7,"Other Services"))),"Other Services"))</f>
        <v/>
      </c>
    </row>
    <row r="3574" customFormat="false" ht="15" hidden="false" customHeight="false" outlineLevel="0" collapsed="false">
      <c r="F3574" s="41" t="str">
        <f aca="false">IF(D3574="","",IFERROR(IF(ISNUMBER(SEARCH(Assumptions!$C$5,D3574)),Assumptions!$D$5,IF(ISNUMBER(SEARCH(Assumptions!$C$6,D3574)),Assumptions!$D$6,IF(ISNUMBER(SEARCH(Assumptions!$C$7,D3574)),Assumptions!$D$7,"Other Services"))),"Other Services"))</f>
        <v/>
      </c>
    </row>
    <row r="3575" customFormat="false" ht="15" hidden="false" customHeight="false" outlineLevel="0" collapsed="false">
      <c r="F3575" s="41" t="str">
        <f aca="false">IF(D3575="","",IFERROR(IF(ISNUMBER(SEARCH(Assumptions!$C$5,D3575)),Assumptions!$D$5,IF(ISNUMBER(SEARCH(Assumptions!$C$6,D3575)),Assumptions!$D$6,IF(ISNUMBER(SEARCH(Assumptions!$C$7,D3575)),Assumptions!$D$7,"Other Services"))),"Other Services"))</f>
        <v/>
      </c>
    </row>
    <row r="3576" customFormat="false" ht="15" hidden="false" customHeight="false" outlineLevel="0" collapsed="false">
      <c r="F3576" s="41" t="str">
        <f aca="false">IF(D3576="","",IFERROR(IF(ISNUMBER(SEARCH(Assumptions!$C$5,D3576)),Assumptions!$D$5,IF(ISNUMBER(SEARCH(Assumptions!$C$6,D3576)),Assumptions!$D$6,IF(ISNUMBER(SEARCH(Assumptions!$C$7,D3576)),Assumptions!$D$7,"Other Services"))),"Other Services"))</f>
        <v/>
      </c>
    </row>
    <row r="3577" customFormat="false" ht="15" hidden="false" customHeight="false" outlineLevel="0" collapsed="false">
      <c r="F3577" s="41" t="str">
        <f aca="false">IF(D3577="","",IFERROR(IF(ISNUMBER(SEARCH(Assumptions!$C$5,D3577)),Assumptions!$D$5,IF(ISNUMBER(SEARCH(Assumptions!$C$6,D3577)),Assumptions!$D$6,IF(ISNUMBER(SEARCH(Assumptions!$C$7,D3577)),Assumptions!$D$7,"Other Services"))),"Other Services"))</f>
        <v/>
      </c>
    </row>
    <row r="3578" customFormat="false" ht="15" hidden="false" customHeight="false" outlineLevel="0" collapsed="false">
      <c r="F3578" s="41" t="str">
        <f aca="false">IF(D3578="","",IFERROR(IF(ISNUMBER(SEARCH(Assumptions!$C$5,D3578)),Assumptions!$D$5,IF(ISNUMBER(SEARCH(Assumptions!$C$6,D3578)),Assumptions!$D$6,IF(ISNUMBER(SEARCH(Assumptions!$C$7,D3578)),Assumptions!$D$7,"Other Services"))),"Other Services"))</f>
        <v/>
      </c>
    </row>
    <row r="3579" customFormat="false" ht="15" hidden="false" customHeight="false" outlineLevel="0" collapsed="false">
      <c r="F3579" s="41" t="str">
        <f aca="false">IF(D3579="","",IFERROR(IF(ISNUMBER(SEARCH(Assumptions!$C$5,D3579)),Assumptions!$D$5,IF(ISNUMBER(SEARCH(Assumptions!$C$6,D3579)),Assumptions!$D$6,IF(ISNUMBER(SEARCH(Assumptions!$C$7,D3579)),Assumptions!$D$7,"Other Services"))),"Other Services"))</f>
        <v/>
      </c>
    </row>
    <row r="3580" customFormat="false" ht="15" hidden="false" customHeight="false" outlineLevel="0" collapsed="false">
      <c r="F3580" s="41" t="str">
        <f aca="false">IF(D3580="","",IFERROR(IF(ISNUMBER(SEARCH(Assumptions!$C$5,D3580)),Assumptions!$D$5,IF(ISNUMBER(SEARCH(Assumptions!$C$6,D3580)),Assumptions!$D$6,IF(ISNUMBER(SEARCH(Assumptions!$C$7,D3580)),Assumptions!$D$7,"Other Services"))),"Other Services"))</f>
        <v/>
      </c>
    </row>
    <row r="3581" customFormat="false" ht="15" hidden="false" customHeight="false" outlineLevel="0" collapsed="false">
      <c r="F3581" s="41" t="str">
        <f aca="false">IF(D3581="","",IFERROR(IF(ISNUMBER(SEARCH(Assumptions!$C$5,D3581)),Assumptions!$D$5,IF(ISNUMBER(SEARCH(Assumptions!$C$6,D3581)),Assumptions!$D$6,IF(ISNUMBER(SEARCH(Assumptions!$C$7,D3581)),Assumptions!$D$7,"Other Services"))),"Other Services"))</f>
        <v/>
      </c>
    </row>
    <row r="3582" customFormat="false" ht="15" hidden="false" customHeight="false" outlineLevel="0" collapsed="false">
      <c r="F3582" s="41" t="str">
        <f aca="false">IF(D3582="","",IFERROR(IF(ISNUMBER(SEARCH(Assumptions!$C$5,D3582)),Assumptions!$D$5,IF(ISNUMBER(SEARCH(Assumptions!$C$6,D3582)),Assumptions!$D$6,IF(ISNUMBER(SEARCH(Assumptions!$C$7,D3582)),Assumptions!$D$7,"Other Services"))),"Other Services"))</f>
        <v/>
      </c>
    </row>
    <row r="3583" customFormat="false" ht="15" hidden="false" customHeight="false" outlineLevel="0" collapsed="false">
      <c r="F3583" s="41" t="str">
        <f aca="false">IF(D3583="","",IFERROR(IF(ISNUMBER(SEARCH(Assumptions!$C$5,D3583)),Assumptions!$D$5,IF(ISNUMBER(SEARCH(Assumptions!$C$6,D3583)),Assumptions!$D$6,IF(ISNUMBER(SEARCH(Assumptions!$C$7,D3583)),Assumptions!$D$7,"Other Services"))),"Other Services"))</f>
        <v/>
      </c>
    </row>
    <row r="3584" customFormat="false" ht="15" hidden="false" customHeight="false" outlineLevel="0" collapsed="false">
      <c r="F3584" s="41" t="str">
        <f aca="false">IF(D3584="","",IFERROR(IF(ISNUMBER(SEARCH(Assumptions!$C$5,D3584)),Assumptions!$D$5,IF(ISNUMBER(SEARCH(Assumptions!$C$6,D3584)),Assumptions!$D$6,IF(ISNUMBER(SEARCH(Assumptions!$C$7,D3584)),Assumptions!$D$7,"Other Services"))),"Other Services"))</f>
        <v/>
      </c>
    </row>
    <row r="3585" customFormat="false" ht="15" hidden="false" customHeight="false" outlineLevel="0" collapsed="false">
      <c r="F3585" s="41" t="str">
        <f aca="false">IF(D3585="","",IFERROR(IF(ISNUMBER(SEARCH(Assumptions!$C$5,D3585)),Assumptions!$D$5,IF(ISNUMBER(SEARCH(Assumptions!$C$6,D3585)),Assumptions!$D$6,IF(ISNUMBER(SEARCH(Assumptions!$C$7,D3585)),Assumptions!$D$7,"Other Services"))),"Other Services"))</f>
        <v/>
      </c>
    </row>
    <row r="3586" customFormat="false" ht="15" hidden="false" customHeight="false" outlineLevel="0" collapsed="false">
      <c r="F3586" s="41" t="str">
        <f aca="false">IF(D3586="","",IFERROR(IF(ISNUMBER(SEARCH(Assumptions!$C$5,D3586)),Assumptions!$D$5,IF(ISNUMBER(SEARCH(Assumptions!$C$6,D3586)),Assumptions!$D$6,IF(ISNUMBER(SEARCH(Assumptions!$C$7,D3586)),Assumptions!$D$7,"Other Services"))),"Other Services"))</f>
        <v/>
      </c>
    </row>
    <row r="3587" customFormat="false" ht="15" hidden="false" customHeight="false" outlineLevel="0" collapsed="false">
      <c r="F3587" s="41" t="str">
        <f aca="false">IF(D3587="","",IFERROR(IF(ISNUMBER(SEARCH(Assumptions!$C$5,D3587)),Assumptions!$D$5,IF(ISNUMBER(SEARCH(Assumptions!$C$6,D3587)),Assumptions!$D$6,IF(ISNUMBER(SEARCH(Assumptions!$C$7,D3587)),Assumptions!$D$7,"Other Services"))),"Other Services"))</f>
        <v/>
      </c>
    </row>
    <row r="3588" customFormat="false" ht="15" hidden="false" customHeight="false" outlineLevel="0" collapsed="false">
      <c r="F3588" s="41" t="str">
        <f aca="false">IF(D3588="","",IFERROR(IF(ISNUMBER(SEARCH(Assumptions!$C$5,D3588)),Assumptions!$D$5,IF(ISNUMBER(SEARCH(Assumptions!$C$6,D3588)),Assumptions!$D$6,IF(ISNUMBER(SEARCH(Assumptions!$C$7,D3588)),Assumptions!$D$7,"Other Services"))),"Other Services"))</f>
        <v/>
      </c>
    </row>
    <row r="3589" customFormat="false" ht="15" hidden="false" customHeight="false" outlineLevel="0" collapsed="false">
      <c r="F3589" s="41" t="str">
        <f aca="false">IF(D3589="","",IFERROR(IF(ISNUMBER(SEARCH(Assumptions!$C$5,D3589)),Assumptions!$D$5,IF(ISNUMBER(SEARCH(Assumptions!$C$6,D3589)),Assumptions!$D$6,IF(ISNUMBER(SEARCH(Assumptions!$C$7,D3589)),Assumptions!$D$7,"Other Services"))),"Other Services"))</f>
        <v/>
      </c>
    </row>
    <row r="3590" customFormat="false" ht="15" hidden="false" customHeight="false" outlineLevel="0" collapsed="false">
      <c r="F3590" s="41" t="str">
        <f aca="false">IF(D3590="","",IFERROR(IF(ISNUMBER(SEARCH(Assumptions!$C$5,D3590)),Assumptions!$D$5,IF(ISNUMBER(SEARCH(Assumptions!$C$6,D3590)),Assumptions!$D$6,IF(ISNUMBER(SEARCH(Assumptions!$C$7,D3590)),Assumptions!$D$7,"Other Services"))),"Other Services"))</f>
        <v/>
      </c>
    </row>
    <row r="3591" customFormat="false" ht="15" hidden="false" customHeight="false" outlineLevel="0" collapsed="false">
      <c r="F3591" s="41" t="str">
        <f aca="false">IF(D3591="","",IFERROR(IF(ISNUMBER(SEARCH(Assumptions!$C$5,D3591)),Assumptions!$D$5,IF(ISNUMBER(SEARCH(Assumptions!$C$6,D3591)),Assumptions!$D$6,IF(ISNUMBER(SEARCH(Assumptions!$C$7,D3591)),Assumptions!$D$7,"Other Services"))),"Other Services"))</f>
        <v/>
      </c>
    </row>
    <row r="3592" customFormat="false" ht="15" hidden="false" customHeight="false" outlineLevel="0" collapsed="false">
      <c r="F3592" s="41" t="str">
        <f aca="false">IF(D3592="","",IFERROR(IF(ISNUMBER(SEARCH(Assumptions!$C$5,D3592)),Assumptions!$D$5,IF(ISNUMBER(SEARCH(Assumptions!$C$6,D3592)),Assumptions!$D$6,IF(ISNUMBER(SEARCH(Assumptions!$C$7,D3592)),Assumptions!$D$7,"Other Services"))),"Other Services"))</f>
        <v/>
      </c>
    </row>
    <row r="3593" customFormat="false" ht="15" hidden="false" customHeight="false" outlineLevel="0" collapsed="false">
      <c r="F3593" s="41" t="str">
        <f aca="false">IF(D3593="","",IFERROR(IF(ISNUMBER(SEARCH(Assumptions!$C$5,D3593)),Assumptions!$D$5,IF(ISNUMBER(SEARCH(Assumptions!$C$6,D3593)),Assumptions!$D$6,IF(ISNUMBER(SEARCH(Assumptions!$C$7,D3593)),Assumptions!$D$7,"Other Services"))),"Other Services"))</f>
        <v/>
      </c>
    </row>
    <row r="3594" customFormat="false" ht="15" hidden="false" customHeight="false" outlineLevel="0" collapsed="false">
      <c r="F3594" s="41" t="str">
        <f aca="false">IF(D3594="","",IFERROR(IF(ISNUMBER(SEARCH(Assumptions!$C$5,D3594)),Assumptions!$D$5,IF(ISNUMBER(SEARCH(Assumptions!$C$6,D3594)),Assumptions!$D$6,IF(ISNUMBER(SEARCH(Assumptions!$C$7,D3594)),Assumptions!$D$7,"Other Services"))),"Other Services"))</f>
        <v/>
      </c>
    </row>
    <row r="3595" customFormat="false" ht="15" hidden="false" customHeight="false" outlineLevel="0" collapsed="false">
      <c r="F3595" s="41" t="str">
        <f aca="false">IF(D3595="","",IFERROR(IF(ISNUMBER(SEARCH(Assumptions!$C$5,D3595)),Assumptions!$D$5,IF(ISNUMBER(SEARCH(Assumptions!$C$6,D3595)),Assumptions!$D$6,IF(ISNUMBER(SEARCH(Assumptions!$C$7,D3595)),Assumptions!$D$7,"Other Services"))),"Other Services"))</f>
        <v/>
      </c>
    </row>
    <row r="3596" customFormat="false" ht="15" hidden="false" customHeight="false" outlineLevel="0" collapsed="false">
      <c r="F3596" s="41" t="str">
        <f aca="false">IF(D3596="","",IFERROR(IF(ISNUMBER(SEARCH(Assumptions!$C$5,D3596)),Assumptions!$D$5,IF(ISNUMBER(SEARCH(Assumptions!$C$6,D3596)),Assumptions!$D$6,IF(ISNUMBER(SEARCH(Assumptions!$C$7,D3596)),Assumptions!$D$7,"Other Services"))),"Other Services"))</f>
        <v/>
      </c>
    </row>
    <row r="3597" customFormat="false" ht="15" hidden="false" customHeight="false" outlineLevel="0" collapsed="false">
      <c r="F3597" s="41" t="str">
        <f aca="false">IF(D3597="","",IFERROR(IF(ISNUMBER(SEARCH(Assumptions!$C$5,D3597)),Assumptions!$D$5,IF(ISNUMBER(SEARCH(Assumptions!$C$6,D3597)),Assumptions!$D$6,IF(ISNUMBER(SEARCH(Assumptions!$C$7,D3597)),Assumptions!$D$7,"Other Services"))),"Other Services"))</f>
        <v/>
      </c>
    </row>
    <row r="3598" customFormat="false" ht="15" hidden="false" customHeight="false" outlineLevel="0" collapsed="false">
      <c r="F3598" s="41" t="str">
        <f aca="false">IF(D3598="","",IFERROR(IF(ISNUMBER(SEARCH(Assumptions!$C$5,D3598)),Assumptions!$D$5,IF(ISNUMBER(SEARCH(Assumptions!$C$6,D3598)),Assumptions!$D$6,IF(ISNUMBER(SEARCH(Assumptions!$C$7,D3598)),Assumptions!$D$7,"Other Services"))),"Other Services"))</f>
        <v/>
      </c>
    </row>
    <row r="3599" customFormat="false" ht="15" hidden="false" customHeight="false" outlineLevel="0" collapsed="false">
      <c r="F3599" s="41" t="str">
        <f aca="false">IF(D3599="","",IFERROR(IF(ISNUMBER(SEARCH(Assumptions!$C$5,D3599)),Assumptions!$D$5,IF(ISNUMBER(SEARCH(Assumptions!$C$6,D3599)),Assumptions!$D$6,IF(ISNUMBER(SEARCH(Assumptions!$C$7,D3599)),Assumptions!$D$7,"Other Services"))),"Other Services"))</f>
        <v/>
      </c>
    </row>
    <row r="3600" customFormat="false" ht="15" hidden="false" customHeight="false" outlineLevel="0" collapsed="false">
      <c r="F3600" s="41" t="str">
        <f aca="false">IF(D3600="","",IFERROR(IF(ISNUMBER(SEARCH(Assumptions!$C$5,D3600)),Assumptions!$D$5,IF(ISNUMBER(SEARCH(Assumptions!$C$6,D3600)),Assumptions!$D$6,IF(ISNUMBER(SEARCH(Assumptions!$C$7,D3600)),Assumptions!$D$7,"Other Services"))),"Other Services"))</f>
        <v/>
      </c>
    </row>
    <row r="3601" customFormat="false" ht="15" hidden="false" customHeight="false" outlineLevel="0" collapsed="false">
      <c r="F3601" s="41" t="str">
        <f aca="false">IF(D3601="","",IFERROR(IF(ISNUMBER(SEARCH(Assumptions!$C$5,D3601)),Assumptions!$D$5,IF(ISNUMBER(SEARCH(Assumptions!$C$6,D3601)),Assumptions!$D$6,IF(ISNUMBER(SEARCH(Assumptions!$C$7,D3601)),Assumptions!$D$7,"Other Services"))),"Other Services"))</f>
        <v/>
      </c>
    </row>
    <row r="3602" customFormat="false" ht="15" hidden="false" customHeight="false" outlineLevel="0" collapsed="false">
      <c r="F3602" s="41" t="str">
        <f aca="false">IF(D3602="","",IFERROR(IF(ISNUMBER(SEARCH(Assumptions!$C$5,D3602)),Assumptions!$D$5,IF(ISNUMBER(SEARCH(Assumptions!$C$6,D3602)),Assumptions!$D$6,IF(ISNUMBER(SEARCH(Assumptions!$C$7,D3602)),Assumptions!$D$7,"Other Services"))),"Other Services"))</f>
        <v/>
      </c>
    </row>
    <row r="3603" customFormat="false" ht="15" hidden="false" customHeight="false" outlineLevel="0" collapsed="false">
      <c r="F3603" s="41" t="str">
        <f aca="false">IF(D3603="","",IFERROR(IF(ISNUMBER(SEARCH(Assumptions!$C$5,D3603)),Assumptions!$D$5,IF(ISNUMBER(SEARCH(Assumptions!$C$6,D3603)),Assumptions!$D$6,IF(ISNUMBER(SEARCH(Assumptions!$C$7,D3603)),Assumptions!$D$7,"Other Services"))),"Other Services"))</f>
        <v/>
      </c>
    </row>
    <row r="3604" customFormat="false" ht="15" hidden="false" customHeight="false" outlineLevel="0" collapsed="false">
      <c r="F3604" s="41" t="str">
        <f aca="false">IF(D3604="","",IFERROR(IF(ISNUMBER(SEARCH(Assumptions!$C$5,D3604)),Assumptions!$D$5,IF(ISNUMBER(SEARCH(Assumptions!$C$6,D3604)),Assumptions!$D$6,IF(ISNUMBER(SEARCH(Assumptions!$C$7,D3604)),Assumptions!$D$7,"Other Services"))),"Other Services"))</f>
        <v/>
      </c>
    </row>
    <row r="3605" customFormat="false" ht="15" hidden="false" customHeight="false" outlineLevel="0" collapsed="false">
      <c r="F3605" s="41" t="str">
        <f aca="false">IF(D3605="","",IFERROR(IF(ISNUMBER(SEARCH(Assumptions!$C$5,D3605)),Assumptions!$D$5,IF(ISNUMBER(SEARCH(Assumptions!$C$6,D3605)),Assumptions!$D$6,IF(ISNUMBER(SEARCH(Assumptions!$C$7,D3605)),Assumptions!$D$7,"Other Services"))),"Other Services"))</f>
        <v/>
      </c>
    </row>
    <row r="3606" customFormat="false" ht="15" hidden="false" customHeight="false" outlineLevel="0" collapsed="false">
      <c r="F3606" s="41" t="str">
        <f aca="false">IF(D3606="","",IFERROR(IF(ISNUMBER(SEARCH(Assumptions!$C$5,D3606)),Assumptions!$D$5,IF(ISNUMBER(SEARCH(Assumptions!$C$6,D3606)),Assumptions!$D$6,IF(ISNUMBER(SEARCH(Assumptions!$C$7,D3606)),Assumptions!$D$7,"Other Services"))),"Other Services"))</f>
        <v/>
      </c>
    </row>
    <row r="3607" customFormat="false" ht="15" hidden="false" customHeight="false" outlineLevel="0" collapsed="false">
      <c r="F3607" s="41" t="str">
        <f aca="false">IF(D3607="","",IFERROR(IF(ISNUMBER(SEARCH(Assumptions!$C$5,D3607)),Assumptions!$D$5,IF(ISNUMBER(SEARCH(Assumptions!$C$6,D3607)),Assumptions!$D$6,IF(ISNUMBER(SEARCH(Assumptions!$C$7,D3607)),Assumptions!$D$7,"Other Services"))),"Other Services"))</f>
        <v/>
      </c>
    </row>
    <row r="3608" customFormat="false" ht="15" hidden="false" customHeight="false" outlineLevel="0" collapsed="false">
      <c r="F3608" s="41" t="str">
        <f aca="false">IF(D3608="","",IFERROR(IF(ISNUMBER(SEARCH(Assumptions!$C$5,D3608)),Assumptions!$D$5,IF(ISNUMBER(SEARCH(Assumptions!$C$6,D3608)),Assumptions!$D$6,IF(ISNUMBER(SEARCH(Assumptions!$C$7,D3608)),Assumptions!$D$7,"Other Services"))),"Other Services"))</f>
        <v/>
      </c>
    </row>
    <row r="3609" customFormat="false" ht="15" hidden="false" customHeight="false" outlineLevel="0" collapsed="false">
      <c r="F3609" s="41" t="str">
        <f aca="false">IF(D3609="","",IFERROR(IF(ISNUMBER(SEARCH(Assumptions!$C$5,D3609)),Assumptions!$D$5,IF(ISNUMBER(SEARCH(Assumptions!$C$6,D3609)),Assumptions!$D$6,IF(ISNUMBER(SEARCH(Assumptions!$C$7,D3609)),Assumptions!$D$7,"Other Services"))),"Other Services"))</f>
        <v/>
      </c>
    </row>
    <row r="3610" customFormat="false" ht="15" hidden="false" customHeight="false" outlineLevel="0" collapsed="false">
      <c r="F3610" s="41" t="str">
        <f aca="false">IF(D3610="","",IFERROR(IF(ISNUMBER(SEARCH(Assumptions!$C$5,D3610)),Assumptions!$D$5,IF(ISNUMBER(SEARCH(Assumptions!$C$6,D3610)),Assumptions!$D$6,IF(ISNUMBER(SEARCH(Assumptions!$C$7,D3610)),Assumptions!$D$7,"Other Services"))),"Other Services"))</f>
        <v/>
      </c>
    </row>
    <row r="3611" customFormat="false" ht="15" hidden="false" customHeight="false" outlineLevel="0" collapsed="false">
      <c r="F3611" s="41" t="str">
        <f aca="false">IF(D3611="","",IFERROR(IF(ISNUMBER(SEARCH(Assumptions!$C$5,D3611)),Assumptions!$D$5,IF(ISNUMBER(SEARCH(Assumptions!$C$6,D3611)),Assumptions!$D$6,IF(ISNUMBER(SEARCH(Assumptions!$C$7,D3611)),Assumptions!$D$7,"Other Services"))),"Other Services"))</f>
        <v/>
      </c>
    </row>
    <row r="3612" customFormat="false" ht="15" hidden="false" customHeight="false" outlineLevel="0" collapsed="false">
      <c r="F3612" s="41" t="str">
        <f aca="false">IF(D3612="","",IFERROR(IF(ISNUMBER(SEARCH(Assumptions!$C$5,D3612)),Assumptions!$D$5,IF(ISNUMBER(SEARCH(Assumptions!$C$6,D3612)),Assumptions!$D$6,IF(ISNUMBER(SEARCH(Assumptions!$C$7,D3612)),Assumptions!$D$7,"Other Services"))),"Other Services"))</f>
        <v/>
      </c>
    </row>
    <row r="3613" customFormat="false" ht="15" hidden="false" customHeight="false" outlineLevel="0" collapsed="false">
      <c r="F3613" s="41" t="str">
        <f aca="false">IF(D3613="","",IFERROR(IF(ISNUMBER(SEARCH(Assumptions!$C$5,D3613)),Assumptions!$D$5,IF(ISNUMBER(SEARCH(Assumptions!$C$6,D3613)),Assumptions!$D$6,IF(ISNUMBER(SEARCH(Assumptions!$C$7,D3613)),Assumptions!$D$7,"Other Services"))),"Other Services"))</f>
        <v/>
      </c>
    </row>
    <row r="3614" customFormat="false" ht="15" hidden="false" customHeight="false" outlineLevel="0" collapsed="false">
      <c r="F3614" s="41" t="str">
        <f aca="false">IF(D3614="","",IFERROR(IF(ISNUMBER(SEARCH(Assumptions!$C$5,D3614)),Assumptions!$D$5,IF(ISNUMBER(SEARCH(Assumptions!$C$6,D3614)),Assumptions!$D$6,IF(ISNUMBER(SEARCH(Assumptions!$C$7,D3614)),Assumptions!$D$7,"Other Services"))),"Other Services"))</f>
        <v/>
      </c>
    </row>
    <row r="3615" customFormat="false" ht="15" hidden="false" customHeight="false" outlineLevel="0" collapsed="false">
      <c r="F3615" s="41" t="str">
        <f aca="false">IF(D3615="","",IFERROR(IF(ISNUMBER(SEARCH(Assumptions!$C$5,D3615)),Assumptions!$D$5,IF(ISNUMBER(SEARCH(Assumptions!$C$6,D3615)),Assumptions!$D$6,IF(ISNUMBER(SEARCH(Assumptions!$C$7,D3615)),Assumptions!$D$7,"Other Services"))),"Other Services"))</f>
        <v/>
      </c>
    </row>
    <row r="3616" customFormat="false" ht="15" hidden="false" customHeight="false" outlineLevel="0" collapsed="false">
      <c r="F3616" s="41" t="str">
        <f aca="false">IF(D3616="","",IFERROR(IF(ISNUMBER(SEARCH(Assumptions!$C$5,D3616)),Assumptions!$D$5,IF(ISNUMBER(SEARCH(Assumptions!$C$6,D3616)),Assumptions!$D$6,IF(ISNUMBER(SEARCH(Assumptions!$C$7,D3616)),Assumptions!$D$7,"Other Services"))),"Other Services"))</f>
        <v/>
      </c>
    </row>
    <row r="3617" customFormat="false" ht="15" hidden="false" customHeight="false" outlineLevel="0" collapsed="false">
      <c r="F3617" s="41" t="str">
        <f aca="false">IF(D3617="","",IFERROR(IF(ISNUMBER(SEARCH(Assumptions!$C$5,D3617)),Assumptions!$D$5,IF(ISNUMBER(SEARCH(Assumptions!$C$6,D3617)),Assumptions!$D$6,IF(ISNUMBER(SEARCH(Assumptions!$C$7,D3617)),Assumptions!$D$7,"Other Services"))),"Other Services"))</f>
        <v/>
      </c>
    </row>
    <row r="3618" customFormat="false" ht="15" hidden="false" customHeight="false" outlineLevel="0" collapsed="false">
      <c r="F3618" s="41" t="str">
        <f aca="false">IF(D3618="","",IFERROR(IF(ISNUMBER(SEARCH(Assumptions!$C$5,D3618)),Assumptions!$D$5,IF(ISNUMBER(SEARCH(Assumptions!$C$6,D3618)),Assumptions!$D$6,IF(ISNUMBER(SEARCH(Assumptions!$C$7,D3618)),Assumptions!$D$7,"Other Services"))),"Other Services"))</f>
        <v/>
      </c>
    </row>
    <row r="3619" customFormat="false" ht="15" hidden="false" customHeight="false" outlineLevel="0" collapsed="false">
      <c r="F3619" s="41" t="str">
        <f aca="false">IF(D3619="","",IFERROR(IF(ISNUMBER(SEARCH(Assumptions!$C$5,D3619)),Assumptions!$D$5,IF(ISNUMBER(SEARCH(Assumptions!$C$6,D3619)),Assumptions!$D$6,IF(ISNUMBER(SEARCH(Assumptions!$C$7,D3619)),Assumptions!$D$7,"Other Services"))),"Other Services"))</f>
        <v/>
      </c>
    </row>
    <row r="3620" customFormat="false" ht="15" hidden="false" customHeight="false" outlineLevel="0" collapsed="false">
      <c r="F3620" s="41" t="str">
        <f aca="false">IF(D3620="","",IFERROR(IF(ISNUMBER(SEARCH(Assumptions!$C$5,D3620)),Assumptions!$D$5,IF(ISNUMBER(SEARCH(Assumptions!$C$6,D3620)),Assumptions!$D$6,IF(ISNUMBER(SEARCH(Assumptions!$C$7,D3620)),Assumptions!$D$7,"Other Services"))),"Other Services"))</f>
        <v/>
      </c>
    </row>
    <row r="3621" customFormat="false" ht="15" hidden="false" customHeight="false" outlineLevel="0" collapsed="false">
      <c r="F3621" s="41" t="str">
        <f aca="false">IF(D3621="","",IFERROR(IF(ISNUMBER(SEARCH(Assumptions!$C$5,D3621)),Assumptions!$D$5,IF(ISNUMBER(SEARCH(Assumptions!$C$6,D3621)),Assumptions!$D$6,IF(ISNUMBER(SEARCH(Assumptions!$C$7,D3621)),Assumptions!$D$7,"Other Services"))),"Other Services"))</f>
        <v/>
      </c>
    </row>
    <row r="3622" customFormat="false" ht="15" hidden="false" customHeight="false" outlineLevel="0" collapsed="false">
      <c r="F3622" s="41" t="str">
        <f aca="false">IF(D3622="","",IFERROR(IF(ISNUMBER(SEARCH(Assumptions!$C$5,D3622)),Assumptions!$D$5,IF(ISNUMBER(SEARCH(Assumptions!$C$6,D3622)),Assumptions!$D$6,IF(ISNUMBER(SEARCH(Assumptions!$C$7,D3622)),Assumptions!$D$7,"Other Services"))),"Other Services"))</f>
        <v/>
      </c>
    </row>
    <row r="3623" customFormat="false" ht="15" hidden="false" customHeight="false" outlineLevel="0" collapsed="false">
      <c r="F3623" s="41" t="str">
        <f aca="false">IF(D3623="","",IFERROR(IF(ISNUMBER(SEARCH(Assumptions!$C$5,D3623)),Assumptions!$D$5,IF(ISNUMBER(SEARCH(Assumptions!$C$6,D3623)),Assumptions!$D$6,IF(ISNUMBER(SEARCH(Assumptions!$C$7,D3623)),Assumptions!$D$7,"Other Services"))),"Other Services"))</f>
        <v/>
      </c>
    </row>
    <row r="3624" customFormat="false" ht="15" hidden="false" customHeight="false" outlineLevel="0" collapsed="false">
      <c r="F3624" s="41" t="str">
        <f aca="false">IF(D3624="","",IFERROR(IF(ISNUMBER(SEARCH(Assumptions!$C$5,D3624)),Assumptions!$D$5,IF(ISNUMBER(SEARCH(Assumptions!$C$6,D3624)),Assumptions!$D$6,IF(ISNUMBER(SEARCH(Assumptions!$C$7,D3624)),Assumptions!$D$7,"Other Services"))),"Other Services"))</f>
        <v/>
      </c>
    </row>
    <row r="3625" customFormat="false" ht="15" hidden="false" customHeight="false" outlineLevel="0" collapsed="false">
      <c r="F3625" s="41" t="str">
        <f aca="false">IF(D3625="","",IFERROR(IF(ISNUMBER(SEARCH(Assumptions!$C$5,D3625)),Assumptions!$D$5,IF(ISNUMBER(SEARCH(Assumptions!$C$6,D3625)),Assumptions!$D$6,IF(ISNUMBER(SEARCH(Assumptions!$C$7,D3625)),Assumptions!$D$7,"Other Services"))),"Other Services"))</f>
        <v/>
      </c>
    </row>
    <row r="3626" customFormat="false" ht="15" hidden="false" customHeight="false" outlineLevel="0" collapsed="false">
      <c r="F3626" s="41" t="str">
        <f aca="false">IF(D3626="","",IFERROR(IF(ISNUMBER(SEARCH(Assumptions!$C$5,D3626)),Assumptions!$D$5,IF(ISNUMBER(SEARCH(Assumptions!$C$6,D3626)),Assumptions!$D$6,IF(ISNUMBER(SEARCH(Assumptions!$C$7,D3626)),Assumptions!$D$7,"Other Services"))),"Other Services"))</f>
        <v/>
      </c>
    </row>
    <row r="3627" customFormat="false" ht="15" hidden="false" customHeight="false" outlineLevel="0" collapsed="false">
      <c r="F3627" s="41" t="str">
        <f aca="false">IF(D3627="","",IFERROR(IF(ISNUMBER(SEARCH(Assumptions!$C$5,D3627)),Assumptions!$D$5,IF(ISNUMBER(SEARCH(Assumptions!$C$6,D3627)),Assumptions!$D$6,IF(ISNUMBER(SEARCH(Assumptions!$C$7,D3627)),Assumptions!$D$7,"Other Services"))),"Other Services"))</f>
        <v/>
      </c>
    </row>
    <row r="3628" customFormat="false" ht="15" hidden="false" customHeight="false" outlineLevel="0" collapsed="false">
      <c r="F3628" s="41" t="str">
        <f aca="false">IF(D3628="","",IFERROR(IF(ISNUMBER(SEARCH(Assumptions!$C$5,D3628)),Assumptions!$D$5,IF(ISNUMBER(SEARCH(Assumptions!$C$6,D3628)),Assumptions!$D$6,IF(ISNUMBER(SEARCH(Assumptions!$C$7,D3628)),Assumptions!$D$7,"Other Services"))),"Other Services"))</f>
        <v/>
      </c>
    </row>
    <row r="3629" customFormat="false" ht="15" hidden="false" customHeight="false" outlineLevel="0" collapsed="false">
      <c r="F3629" s="41" t="str">
        <f aca="false">IF(D3629="","",IFERROR(IF(ISNUMBER(SEARCH(Assumptions!$C$5,D3629)),Assumptions!$D$5,IF(ISNUMBER(SEARCH(Assumptions!$C$6,D3629)),Assumptions!$D$6,IF(ISNUMBER(SEARCH(Assumptions!$C$7,D3629)),Assumptions!$D$7,"Other Services"))),"Other Services"))</f>
        <v/>
      </c>
    </row>
    <row r="3630" customFormat="false" ht="15" hidden="false" customHeight="false" outlineLevel="0" collapsed="false">
      <c r="F3630" s="41" t="str">
        <f aca="false">IF(D3630="","",IFERROR(IF(ISNUMBER(SEARCH(Assumptions!$C$5,D3630)),Assumptions!$D$5,IF(ISNUMBER(SEARCH(Assumptions!$C$6,D3630)),Assumptions!$D$6,IF(ISNUMBER(SEARCH(Assumptions!$C$7,D3630)),Assumptions!$D$7,"Other Services"))),"Other Services"))</f>
        <v/>
      </c>
    </row>
    <row r="3631" customFormat="false" ht="15" hidden="false" customHeight="false" outlineLevel="0" collapsed="false">
      <c r="F3631" s="41" t="str">
        <f aca="false">IF(D3631="","",IFERROR(IF(ISNUMBER(SEARCH(Assumptions!$C$5,D3631)),Assumptions!$D$5,IF(ISNUMBER(SEARCH(Assumptions!$C$6,D3631)),Assumptions!$D$6,IF(ISNUMBER(SEARCH(Assumptions!$C$7,D3631)),Assumptions!$D$7,"Other Services"))),"Other Services"))</f>
        <v/>
      </c>
    </row>
    <row r="3632" customFormat="false" ht="15" hidden="false" customHeight="false" outlineLevel="0" collapsed="false">
      <c r="F3632" s="41" t="str">
        <f aca="false">IF(D3632="","",IFERROR(IF(ISNUMBER(SEARCH(Assumptions!$C$5,D3632)),Assumptions!$D$5,IF(ISNUMBER(SEARCH(Assumptions!$C$6,D3632)),Assumptions!$D$6,IF(ISNUMBER(SEARCH(Assumptions!$C$7,D3632)),Assumptions!$D$7,"Other Services"))),"Other Services"))</f>
        <v/>
      </c>
    </row>
    <row r="3633" customFormat="false" ht="15" hidden="false" customHeight="false" outlineLevel="0" collapsed="false">
      <c r="F3633" s="41" t="str">
        <f aca="false">IF(D3633="","",IFERROR(IF(ISNUMBER(SEARCH(Assumptions!$C$5,D3633)),Assumptions!$D$5,IF(ISNUMBER(SEARCH(Assumptions!$C$6,D3633)),Assumptions!$D$6,IF(ISNUMBER(SEARCH(Assumptions!$C$7,D3633)),Assumptions!$D$7,"Other Services"))),"Other Services"))</f>
        <v/>
      </c>
    </row>
    <row r="3634" customFormat="false" ht="15" hidden="false" customHeight="false" outlineLevel="0" collapsed="false">
      <c r="F3634" s="41" t="str">
        <f aca="false">IF(D3634="","",IFERROR(IF(ISNUMBER(SEARCH(Assumptions!$C$5,D3634)),Assumptions!$D$5,IF(ISNUMBER(SEARCH(Assumptions!$C$6,D3634)),Assumptions!$D$6,IF(ISNUMBER(SEARCH(Assumptions!$C$7,D3634)),Assumptions!$D$7,"Other Services"))),"Other Services"))</f>
        <v/>
      </c>
    </row>
    <row r="3635" customFormat="false" ht="15" hidden="false" customHeight="false" outlineLevel="0" collapsed="false">
      <c r="F3635" s="41" t="str">
        <f aca="false">IF(D3635="","",IFERROR(IF(ISNUMBER(SEARCH(Assumptions!$C$5,D3635)),Assumptions!$D$5,IF(ISNUMBER(SEARCH(Assumptions!$C$6,D3635)),Assumptions!$D$6,IF(ISNUMBER(SEARCH(Assumptions!$C$7,D3635)),Assumptions!$D$7,"Other Services"))),"Other Services"))</f>
        <v/>
      </c>
    </row>
    <row r="3636" customFormat="false" ht="15" hidden="false" customHeight="false" outlineLevel="0" collapsed="false">
      <c r="F3636" s="41" t="str">
        <f aca="false">IF(D3636="","",IFERROR(IF(ISNUMBER(SEARCH(Assumptions!$C$5,D3636)),Assumptions!$D$5,IF(ISNUMBER(SEARCH(Assumptions!$C$6,D3636)),Assumptions!$D$6,IF(ISNUMBER(SEARCH(Assumptions!$C$7,D3636)),Assumptions!$D$7,"Other Services"))),"Other Services"))</f>
        <v/>
      </c>
    </row>
    <row r="3637" customFormat="false" ht="15" hidden="false" customHeight="false" outlineLevel="0" collapsed="false">
      <c r="F3637" s="41" t="str">
        <f aca="false">IF(D3637="","",IFERROR(IF(ISNUMBER(SEARCH(Assumptions!$C$5,D3637)),Assumptions!$D$5,IF(ISNUMBER(SEARCH(Assumptions!$C$6,D3637)),Assumptions!$D$6,IF(ISNUMBER(SEARCH(Assumptions!$C$7,D3637)),Assumptions!$D$7,"Other Services"))),"Other Services"))</f>
        <v/>
      </c>
    </row>
    <row r="3638" customFormat="false" ht="15" hidden="false" customHeight="false" outlineLevel="0" collapsed="false">
      <c r="F3638" s="41" t="str">
        <f aca="false">IF(D3638="","",IFERROR(IF(ISNUMBER(SEARCH(Assumptions!$C$5,D3638)),Assumptions!$D$5,IF(ISNUMBER(SEARCH(Assumptions!$C$6,D3638)),Assumptions!$D$6,IF(ISNUMBER(SEARCH(Assumptions!$C$7,D3638)),Assumptions!$D$7,"Other Services"))),"Other Services"))</f>
        <v/>
      </c>
    </row>
    <row r="3639" customFormat="false" ht="15" hidden="false" customHeight="false" outlineLevel="0" collapsed="false">
      <c r="F3639" s="41" t="str">
        <f aca="false">IF(D3639="","",IFERROR(IF(ISNUMBER(SEARCH(Assumptions!$C$5,D3639)),Assumptions!$D$5,IF(ISNUMBER(SEARCH(Assumptions!$C$6,D3639)),Assumptions!$D$6,IF(ISNUMBER(SEARCH(Assumptions!$C$7,D3639)),Assumptions!$D$7,"Other Services"))),"Other Services"))</f>
        <v/>
      </c>
    </row>
    <row r="3640" customFormat="false" ht="15" hidden="false" customHeight="false" outlineLevel="0" collapsed="false">
      <c r="F3640" s="41" t="str">
        <f aca="false">IF(D3640="","",IFERROR(IF(ISNUMBER(SEARCH(Assumptions!$C$5,D3640)),Assumptions!$D$5,IF(ISNUMBER(SEARCH(Assumptions!$C$6,D3640)),Assumptions!$D$6,IF(ISNUMBER(SEARCH(Assumptions!$C$7,D3640)),Assumptions!$D$7,"Other Services"))),"Other Services"))</f>
        <v/>
      </c>
    </row>
    <row r="3641" customFormat="false" ht="15" hidden="false" customHeight="false" outlineLevel="0" collapsed="false">
      <c r="F3641" s="41" t="str">
        <f aca="false">IF(D3641="","",IFERROR(IF(ISNUMBER(SEARCH(Assumptions!$C$5,D3641)),Assumptions!$D$5,IF(ISNUMBER(SEARCH(Assumptions!$C$6,D3641)),Assumptions!$D$6,IF(ISNUMBER(SEARCH(Assumptions!$C$7,D3641)),Assumptions!$D$7,"Other Services"))),"Other Services"))</f>
        <v/>
      </c>
    </row>
    <row r="3642" customFormat="false" ht="15" hidden="false" customHeight="false" outlineLevel="0" collapsed="false">
      <c r="F3642" s="41" t="str">
        <f aca="false">IF(D3642="","",IFERROR(IF(ISNUMBER(SEARCH(Assumptions!$C$5,D3642)),Assumptions!$D$5,IF(ISNUMBER(SEARCH(Assumptions!$C$6,D3642)),Assumptions!$D$6,IF(ISNUMBER(SEARCH(Assumptions!$C$7,D3642)),Assumptions!$D$7,"Other Services"))),"Other Services"))</f>
        <v/>
      </c>
    </row>
    <row r="3643" customFormat="false" ht="15" hidden="false" customHeight="false" outlineLevel="0" collapsed="false">
      <c r="F3643" s="41" t="str">
        <f aca="false">IF(D3643="","",IFERROR(IF(ISNUMBER(SEARCH(Assumptions!$C$5,D3643)),Assumptions!$D$5,IF(ISNUMBER(SEARCH(Assumptions!$C$6,D3643)),Assumptions!$D$6,IF(ISNUMBER(SEARCH(Assumptions!$C$7,D3643)),Assumptions!$D$7,"Other Services"))),"Other Services"))</f>
        <v/>
      </c>
    </row>
    <row r="3644" customFormat="false" ht="15" hidden="false" customHeight="false" outlineLevel="0" collapsed="false">
      <c r="F3644" s="41" t="str">
        <f aca="false">IF(D3644="","",IFERROR(IF(ISNUMBER(SEARCH(Assumptions!$C$5,D3644)),Assumptions!$D$5,IF(ISNUMBER(SEARCH(Assumptions!$C$6,D3644)),Assumptions!$D$6,IF(ISNUMBER(SEARCH(Assumptions!$C$7,D3644)),Assumptions!$D$7,"Other Services"))),"Other Services"))</f>
        <v/>
      </c>
    </row>
    <row r="3645" customFormat="false" ht="15" hidden="false" customHeight="false" outlineLevel="0" collapsed="false">
      <c r="F3645" s="41" t="str">
        <f aca="false">IF(D3645="","",IFERROR(IF(ISNUMBER(SEARCH(Assumptions!$C$5,D3645)),Assumptions!$D$5,IF(ISNUMBER(SEARCH(Assumptions!$C$6,D3645)),Assumptions!$D$6,IF(ISNUMBER(SEARCH(Assumptions!$C$7,D3645)),Assumptions!$D$7,"Other Services"))),"Other Services"))</f>
        <v/>
      </c>
    </row>
    <row r="3646" customFormat="false" ht="15" hidden="false" customHeight="false" outlineLevel="0" collapsed="false">
      <c r="F3646" s="41" t="str">
        <f aca="false">IF(D3646="","",IFERROR(IF(ISNUMBER(SEARCH(Assumptions!$C$5,D3646)),Assumptions!$D$5,IF(ISNUMBER(SEARCH(Assumptions!$C$6,D3646)),Assumptions!$D$6,IF(ISNUMBER(SEARCH(Assumptions!$C$7,D3646)),Assumptions!$D$7,"Other Services"))),"Other Services"))</f>
        <v/>
      </c>
    </row>
    <row r="3647" customFormat="false" ht="15" hidden="false" customHeight="false" outlineLevel="0" collapsed="false">
      <c r="F3647" s="41" t="str">
        <f aca="false">IF(D3647="","",IFERROR(IF(ISNUMBER(SEARCH(Assumptions!$C$5,D3647)),Assumptions!$D$5,IF(ISNUMBER(SEARCH(Assumptions!$C$6,D3647)),Assumptions!$D$6,IF(ISNUMBER(SEARCH(Assumptions!$C$7,D3647)),Assumptions!$D$7,"Other Services"))),"Other Services"))</f>
        <v/>
      </c>
    </row>
    <row r="3648" customFormat="false" ht="15" hidden="false" customHeight="false" outlineLevel="0" collapsed="false">
      <c r="F3648" s="41" t="str">
        <f aca="false">IF(D3648="","",IFERROR(IF(ISNUMBER(SEARCH(Assumptions!$C$5,D3648)),Assumptions!$D$5,IF(ISNUMBER(SEARCH(Assumptions!$C$6,D3648)),Assumptions!$D$6,IF(ISNUMBER(SEARCH(Assumptions!$C$7,D3648)),Assumptions!$D$7,"Other Services"))),"Other Services"))</f>
        <v/>
      </c>
    </row>
    <row r="3649" customFormat="false" ht="15" hidden="false" customHeight="false" outlineLevel="0" collapsed="false">
      <c r="F3649" s="41" t="str">
        <f aca="false">IF(D3649="","",IFERROR(IF(ISNUMBER(SEARCH(Assumptions!$C$5,D3649)),Assumptions!$D$5,IF(ISNUMBER(SEARCH(Assumptions!$C$6,D3649)),Assumptions!$D$6,IF(ISNUMBER(SEARCH(Assumptions!$C$7,D3649)),Assumptions!$D$7,"Other Services"))),"Other Services"))</f>
        <v/>
      </c>
    </row>
    <row r="3650" customFormat="false" ht="15" hidden="false" customHeight="false" outlineLevel="0" collapsed="false">
      <c r="F3650" s="41" t="str">
        <f aca="false">IF(D3650="","",IFERROR(IF(ISNUMBER(SEARCH(Assumptions!$C$5,D3650)),Assumptions!$D$5,IF(ISNUMBER(SEARCH(Assumptions!$C$6,D3650)),Assumptions!$D$6,IF(ISNUMBER(SEARCH(Assumptions!$C$7,D3650)),Assumptions!$D$7,"Other Services"))),"Other Services"))</f>
        <v/>
      </c>
    </row>
    <row r="3651" customFormat="false" ht="15" hidden="false" customHeight="false" outlineLevel="0" collapsed="false">
      <c r="F3651" s="41" t="str">
        <f aca="false">IF(D3651="","",IFERROR(IF(ISNUMBER(SEARCH(Assumptions!$C$5,D3651)),Assumptions!$D$5,IF(ISNUMBER(SEARCH(Assumptions!$C$6,D3651)),Assumptions!$D$6,IF(ISNUMBER(SEARCH(Assumptions!$C$7,D3651)),Assumptions!$D$7,"Other Services"))),"Other Services"))</f>
        <v/>
      </c>
    </row>
    <row r="3652" customFormat="false" ht="15" hidden="false" customHeight="false" outlineLevel="0" collapsed="false">
      <c r="F3652" s="41" t="str">
        <f aca="false">IF(D3652="","",IFERROR(IF(ISNUMBER(SEARCH(Assumptions!$C$5,D3652)),Assumptions!$D$5,IF(ISNUMBER(SEARCH(Assumptions!$C$6,D3652)),Assumptions!$D$6,IF(ISNUMBER(SEARCH(Assumptions!$C$7,D3652)),Assumptions!$D$7,"Other Services"))),"Other Services"))</f>
        <v/>
      </c>
    </row>
    <row r="3653" customFormat="false" ht="15" hidden="false" customHeight="false" outlineLevel="0" collapsed="false">
      <c r="F3653" s="41" t="str">
        <f aca="false">IF(D3653="","",IFERROR(IF(ISNUMBER(SEARCH(Assumptions!$C$5,D3653)),Assumptions!$D$5,IF(ISNUMBER(SEARCH(Assumptions!$C$6,D3653)),Assumptions!$D$6,IF(ISNUMBER(SEARCH(Assumptions!$C$7,D3653)),Assumptions!$D$7,"Other Services"))),"Other Services"))</f>
        <v/>
      </c>
    </row>
    <row r="3654" customFormat="false" ht="15" hidden="false" customHeight="false" outlineLevel="0" collapsed="false">
      <c r="F3654" s="41" t="str">
        <f aca="false">IF(D3654="","",IFERROR(IF(ISNUMBER(SEARCH(Assumptions!$C$5,D3654)),Assumptions!$D$5,IF(ISNUMBER(SEARCH(Assumptions!$C$6,D3654)),Assumptions!$D$6,IF(ISNUMBER(SEARCH(Assumptions!$C$7,D3654)),Assumptions!$D$7,"Other Services"))),"Other Services"))</f>
        <v/>
      </c>
    </row>
    <row r="3655" customFormat="false" ht="15" hidden="false" customHeight="false" outlineLevel="0" collapsed="false">
      <c r="F3655" s="41" t="str">
        <f aca="false">IF(D3655="","",IFERROR(IF(ISNUMBER(SEARCH(Assumptions!$C$5,D3655)),Assumptions!$D$5,IF(ISNUMBER(SEARCH(Assumptions!$C$6,D3655)),Assumptions!$D$6,IF(ISNUMBER(SEARCH(Assumptions!$C$7,D3655)),Assumptions!$D$7,"Other Services"))),"Other Services"))</f>
        <v/>
      </c>
    </row>
    <row r="3656" customFormat="false" ht="15" hidden="false" customHeight="false" outlineLevel="0" collapsed="false">
      <c r="F3656" s="41" t="str">
        <f aca="false">IF(D3656="","",IFERROR(IF(ISNUMBER(SEARCH(Assumptions!$C$5,D3656)),Assumptions!$D$5,IF(ISNUMBER(SEARCH(Assumptions!$C$6,D3656)),Assumptions!$D$6,IF(ISNUMBER(SEARCH(Assumptions!$C$7,D3656)),Assumptions!$D$7,"Other Services"))),"Other Services"))</f>
        <v/>
      </c>
    </row>
    <row r="3657" customFormat="false" ht="15" hidden="false" customHeight="false" outlineLevel="0" collapsed="false">
      <c r="F3657" s="41" t="str">
        <f aca="false">IF(D3657="","",IFERROR(IF(ISNUMBER(SEARCH(Assumptions!$C$5,D3657)),Assumptions!$D$5,IF(ISNUMBER(SEARCH(Assumptions!$C$6,D3657)),Assumptions!$D$6,IF(ISNUMBER(SEARCH(Assumptions!$C$7,D3657)),Assumptions!$D$7,"Other Services"))),"Other Services"))</f>
        <v/>
      </c>
    </row>
    <row r="3658" customFormat="false" ht="15" hidden="false" customHeight="false" outlineLevel="0" collapsed="false">
      <c r="F3658" s="41" t="str">
        <f aca="false">IF(D3658="","",IFERROR(IF(ISNUMBER(SEARCH(Assumptions!$C$5,D3658)),Assumptions!$D$5,IF(ISNUMBER(SEARCH(Assumptions!$C$6,D3658)),Assumptions!$D$6,IF(ISNUMBER(SEARCH(Assumptions!$C$7,D3658)),Assumptions!$D$7,"Other Services"))),"Other Services"))</f>
        <v/>
      </c>
    </row>
    <row r="3659" customFormat="false" ht="15" hidden="false" customHeight="false" outlineLevel="0" collapsed="false">
      <c r="F3659" s="41" t="str">
        <f aca="false">IF(D3659="","",IFERROR(IF(ISNUMBER(SEARCH(Assumptions!$C$5,D3659)),Assumptions!$D$5,IF(ISNUMBER(SEARCH(Assumptions!$C$6,D3659)),Assumptions!$D$6,IF(ISNUMBER(SEARCH(Assumptions!$C$7,D3659)),Assumptions!$D$7,"Other Services"))),"Other Services"))</f>
        <v/>
      </c>
    </row>
    <row r="3660" customFormat="false" ht="15" hidden="false" customHeight="false" outlineLevel="0" collapsed="false">
      <c r="F3660" s="41" t="str">
        <f aca="false">IF(D3660="","",IFERROR(IF(ISNUMBER(SEARCH(Assumptions!$C$5,D3660)),Assumptions!$D$5,IF(ISNUMBER(SEARCH(Assumptions!$C$6,D3660)),Assumptions!$D$6,IF(ISNUMBER(SEARCH(Assumptions!$C$7,D3660)),Assumptions!$D$7,"Other Services"))),"Other Services"))</f>
        <v/>
      </c>
    </row>
    <row r="3661" customFormat="false" ht="15" hidden="false" customHeight="false" outlineLevel="0" collapsed="false">
      <c r="F3661" s="41" t="str">
        <f aca="false">IF(D3661="","",IFERROR(IF(ISNUMBER(SEARCH(Assumptions!$C$5,D3661)),Assumptions!$D$5,IF(ISNUMBER(SEARCH(Assumptions!$C$6,D3661)),Assumptions!$D$6,IF(ISNUMBER(SEARCH(Assumptions!$C$7,D3661)),Assumptions!$D$7,"Other Services"))),"Other Services"))</f>
        <v/>
      </c>
    </row>
    <row r="3662" customFormat="false" ht="15" hidden="false" customHeight="false" outlineLevel="0" collapsed="false">
      <c r="F3662" s="41" t="str">
        <f aca="false">IF(D3662="","",IFERROR(IF(ISNUMBER(SEARCH(Assumptions!$C$5,D3662)),Assumptions!$D$5,IF(ISNUMBER(SEARCH(Assumptions!$C$6,D3662)),Assumptions!$D$6,IF(ISNUMBER(SEARCH(Assumptions!$C$7,D3662)),Assumptions!$D$7,"Other Services"))),"Other Services"))</f>
        <v/>
      </c>
    </row>
    <row r="3663" customFormat="false" ht="15" hidden="false" customHeight="false" outlineLevel="0" collapsed="false">
      <c r="F3663" s="41" t="str">
        <f aca="false">IF(D3663="","",IFERROR(IF(ISNUMBER(SEARCH(Assumptions!$C$5,D3663)),Assumptions!$D$5,IF(ISNUMBER(SEARCH(Assumptions!$C$6,D3663)),Assumptions!$D$6,IF(ISNUMBER(SEARCH(Assumptions!$C$7,D3663)),Assumptions!$D$7,"Other Services"))),"Other Services"))</f>
        <v/>
      </c>
    </row>
    <row r="3664" customFormat="false" ht="15" hidden="false" customHeight="false" outlineLevel="0" collapsed="false">
      <c r="F3664" s="41" t="str">
        <f aca="false">IF(D3664="","",IFERROR(IF(ISNUMBER(SEARCH(Assumptions!$C$5,D3664)),Assumptions!$D$5,IF(ISNUMBER(SEARCH(Assumptions!$C$6,D3664)),Assumptions!$D$6,IF(ISNUMBER(SEARCH(Assumptions!$C$7,D3664)),Assumptions!$D$7,"Other Services"))),"Other Services"))</f>
        <v/>
      </c>
    </row>
    <row r="3665" customFormat="false" ht="15" hidden="false" customHeight="false" outlineLevel="0" collapsed="false">
      <c r="F3665" s="41" t="str">
        <f aca="false">IF(D3665="","",IFERROR(IF(ISNUMBER(SEARCH(Assumptions!$C$5,D3665)),Assumptions!$D$5,IF(ISNUMBER(SEARCH(Assumptions!$C$6,D3665)),Assumptions!$D$6,IF(ISNUMBER(SEARCH(Assumptions!$C$7,D3665)),Assumptions!$D$7,"Other Services"))),"Other Services"))</f>
        <v/>
      </c>
    </row>
    <row r="3666" customFormat="false" ht="15" hidden="false" customHeight="false" outlineLevel="0" collapsed="false">
      <c r="F3666" s="41" t="str">
        <f aca="false">IF(D3666="","",IFERROR(IF(ISNUMBER(SEARCH(Assumptions!$C$5,D3666)),Assumptions!$D$5,IF(ISNUMBER(SEARCH(Assumptions!$C$6,D3666)),Assumptions!$D$6,IF(ISNUMBER(SEARCH(Assumptions!$C$7,D3666)),Assumptions!$D$7,"Other Services"))),"Other Services"))</f>
        <v/>
      </c>
    </row>
    <row r="3667" customFormat="false" ht="15" hidden="false" customHeight="false" outlineLevel="0" collapsed="false">
      <c r="F3667" s="41" t="str">
        <f aca="false">IF(D3667="","",IFERROR(IF(ISNUMBER(SEARCH(Assumptions!$C$5,D3667)),Assumptions!$D$5,IF(ISNUMBER(SEARCH(Assumptions!$C$6,D3667)),Assumptions!$D$6,IF(ISNUMBER(SEARCH(Assumptions!$C$7,D3667)),Assumptions!$D$7,"Other Services"))),"Other Services"))</f>
        <v/>
      </c>
    </row>
    <row r="3668" customFormat="false" ht="15" hidden="false" customHeight="false" outlineLevel="0" collapsed="false">
      <c r="F3668" s="41" t="str">
        <f aca="false">IF(D3668="","",IFERROR(IF(ISNUMBER(SEARCH(Assumptions!$C$5,D3668)),Assumptions!$D$5,IF(ISNUMBER(SEARCH(Assumptions!$C$6,D3668)),Assumptions!$D$6,IF(ISNUMBER(SEARCH(Assumptions!$C$7,D3668)),Assumptions!$D$7,"Other Services"))),"Other Services"))</f>
        <v/>
      </c>
    </row>
    <row r="3669" customFormat="false" ht="15" hidden="false" customHeight="false" outlineLevel="0" collapsed="false">
      <c r="F3669" s="41" t="str">
        <f aca="false">IF(D3669="","",IFERROR(IF(ISNUMBER(SEARCH(Assumptions!$C$5,D3669)),Assumptions!$D$5,IF(ISNUMBER(SEARCH(Assumptions!$C$6,D3669)),Assumptions!$D$6,IF(ISNUMBER(SEARCH(Assumptions!$C$7,D3669)),Assumptions!$D$7,"Other Services"))),"Other Services"))</f>
        <v/>
      </c>
    </row>
    <row r="3670" customFormat="false" ht="15" hidden="false" customHeight="false" outlineLevel="0" collapsed="false">
      <c r="F3670" s="41" t="str">
        <f aca="false">IF(D3670="","",IFERROR(IF(ISNUMBER(SEARCH(Assumptions!$C$5,D3670)),Assumptions!$D$5,IF(ISNUMBER(SEARCH(Assumptions!$C$6,D3670)),Assumptions!$D$6,IF(ISNUMBER(SEARCH(Assumptions!$C$7,D3670)),Assumptions!$D$7,"Other Services"))),"Other Services"))</f>
        <v/>
      </c>
    </row>
    <row r="3671" customFormat="false" ht="15" hidden="false" customHeight="false" outlineLevel="0" collapsed="false">
      <c r="F3671" s="41" t="str">
        <f aca="false">IF(D3671="","",IFERROR(IF(ISNUMBER(SEARCH(Assumptions!$C$5,D3671)),Assumptions!$D$5,IF(ISNUMBER(SEARCH(Assumptions!$C$6,D3671)),Assumptions!$D$6,IF(ISNUMBER(SEARCH(Assumptions!$C$7,D3671)),Assumptions!$D$7,"Other Services"))),"Other Services"))</f>
        <v/>
      </c>
    </row>
    <row r="3672" customFormat="false" ht="15" hidden="false" customHeight="false" outlineLevel="0" collapsed="false">
      <c r="F3672" s="41" t="str">
        <f aca="false">IF(D3672="","",IFERROR(IF(ISNUMBER(SEARCH(Assumptions!$C$5,D3672)),Assumptions!$D$5,IF(ISNUMBER(SEARCH(Assumptions!$C$6,D3672)),Assumptions!$D$6,IF(ISNUMBER(SEARCH(Assumptions!$C$7,D3672)),Assumptions!$D$7,"Other Services"))),"Other Services"))</f>
        <v/>
      </c>
    </row>
    <row r="3673" customFormat="false" ht="15" hidden="false" customHeight="false" outlineLevel="0" collapsed="false">
      <c r="F3673" s="41" t="str">
        <f aca="false">IF(D3673="","",IFERROR(IF(ISNUMBER(SEARCH(Assumptions!$C$5,D3673)),Assumptions!$D$5,IF(ISNUMBER(SEARCH(Assumptions!$C$6,D3673)),Assumptions!$D$6,IF(ISNUMBER(SEARCH(Assumptions!$C$7,D3673)),Assumptions!$D$7,"Other Services"))),"Other Services"))</f>
        <v/>
      </c>
    </row>
    <row r="3674" customFormat="false" ht="15" hidden="false" customHeight="false" outlineLevel="0" collapsed="false">
      <c r="F3674" s="41" t="str">
        <f aca="false">IF(D3674="","",IFERROR(IF(ISNUMBER(SEARCH(Assumptions!$C$5,D3674)),Assumptions!$D$5,IF(ISNUMBER(SEARCH(Assumptions!$C$6,D3674)),Assumptions!$D$6,IF(ISNUMBER(SEARCH(Assumptions!$C$7,D3674)),Assumptions!$D$7,"Other Services"))),"Other Services"))</f>
        <v/>
      </c>
    </row>
    <row r="3675" customFormat="false" ht="15" hidden="false" customHeight="false" outlineLevel="0" collapsed="false">
      <c r="F3675" s="41" t="str">
        <f aca="false">IF(D3675="","",IFERROR(IF(ISNUMBER(SEARCH(Assumptions!$C$5,D3675)),Assumptions!$D$5,IF(ISNUMBER(SEARCH(Assumptions!$C$6,D3675)),Assumptions!$D$6,IF(ISNUMBER(SEARCH(Assumptions!$C$7,D3675)),Assumptions!$D$7,"Other Services"))),"Other Services"))</f>
        <v/>
      </c>
    </row>
    <row r="3676" customFormat="false" ht="15" hidden="false" customHeight="false" outlineLevel="0" collapsed="false">
      <c r="F3676" s="41" t="str">
        <f aca="false">IF(D3676="","",IFERROR(IF(ISNUMBER(SEARCH(Assumptions!$C$5,D3676)),Assumptions!$D$5,IF(ISNUMBER(SEARCH(Assumptions!$C$6,D3676)),Assumptions!$D$6,IF(ISNUMBER(SEARCH(Assumptions!$C$7,D3676)),Assumptions!$D$7,"Other Services"))),"Other Services"))</f>
        <v/>
      </c>
    </row>
    <row r="3677" customFormat="false" ht="15" hidden="false" customHeight="false" outlineLevel="0" collapsed="false">
      <c r="F3677" s="41" t="str">
        <f aca="false">IF(D3677="","",IFERROR(IF(ISNUMBER(SEARCH(Assumptions!$C$5,D3677)),Assumptions!$D$5,IF(ISNUMBER(SEARCH(Assumptions!$C$6,D3677)),Assumptions!$D$6,IF(ISNUMBER(SEARCH(Assumptions!$C$7,D3677)),Assumptions!$D$7,"Other Services"))),"Other Services"))</f>
        <v/>
      </c>
    </row>
    <row r="3678" customFormat="false" ht="15" hidden="false" customHeight="false" outlineLevel="0" collapsed="false">
      <c r="F3678" s="41" t="str">
        <f aca="false">IF(D3678="","",IFERROR(IF(ISNUMBER(SEARCH(Assumptions!$C$5,D3678)),Assumptions!$D$5,IF(ISNUMBER(SEARCH(Assumptions!$C$6,D3678)),Assumptions!$D$6,IF(ISNUMBER(SEARCH(Assumptions!$C$7,D3678)),Assumptions!$D$7,"Other Services"))),"Other Services"))</f>
        <v/>
      </c>
    </row>
    <row r="3679" customFormat="false" ht="15" hidden="false" customHeight="false" outlineLevel="0" collapsed="false">
      <c r="F3679" s="41" t="str">
        <f aca="false">IF(D3679="","",IFERROR(IF(ISNUMBER(SEARCH(Assumptions!$C$5,D3679)),Assumptions!$D$5,IF(ISNUMBER(SEARCH(Assumptions!$C$6,D3679)),Assumptions!$D$6,IF(ISNUMBER(SEARCH(Assumptions!$C$7,D3679)),Assumptions!$D$7,"Other Services"))),"Other Services"))</f>
        <v/>
      </c>
    </row>
    <row r="3680" customFormat="false" ht="15" hidden="false" customHeight="false" outlineLevel="0" collapsed="false">
      <c r="F3680" s="41" t="str">
        <f aca="false">IF(D3680="","",IFERROR(IF(ISNUMBER(SEARCH(Assumptions!$C$5,D3680)),Assumptions!$D$5,IF(ISNUMBER(SEARCH(Assumptions!$C$6,D3680)),Assumptions!$D$6,IF(ISNUMBER(SEARCH(Assumptions!$C$7,D3680)),Assumptions!$D$7,"Other Services"))),"Other Services"))</f>
        <v/>
      </c>
    </row>
    <row r="3681" customFormat="false" ht="15" hidden="false" customHeight="false" outlineLevel="0" collapsed="false">
      <c r="F3681" s="41" t="str">
        <f aca="false">IF(D3681="","",IFERROR(IF(ISNUMBER(SEARCH(Assumptions!$C$5,D3681)),Assumptions!$D$5,IF(ISNUMBER(SEARCH(Assumptions!$C$6,D3681)),Assumptions!$D$6,IF(ISNUMBER(SEARCH(Assumptions!$C$7,D3681)),Assumptions!$D$7,"Other Services"))),"Other Services"))</f>
        <v/>
      </c>
    </row>
    <row r="3682" customFormat="false" ht="15" hidden="false" customHeight="false" outlineLevel="0" collapsed="false">
      <c r="F3682" s="41" t="str">
        <f aca="false">IF(D3682="","",IFERROR(IF(ISNUMBER(SEARCH(Assumptions!$C$5,D3682)),Assumptions!$D$5,IF(ISNUMBER(SEARCH(Assumptions!$C$6,D3682)),Assumptions!$D$6,IF(ISNUMBER(SEARCH(Assumptions!$C$7,D3682)),Assumptions!$D$7,"Other Services"))),"Other Services"))</f>
        <v/>
      </c>
    </row>
    <row r="3683" customFormat="false" ht="15" hidden="false" customHeight="false" outlineLevel="0" collapsed="false">
      <c r="F3683" s="41" t="str">
        <f aca="false">IF(D3683="","",IFERROR(IF(ISNUMBER(SEARCH(Assumptions!$C$5,D3683)),Assumptions!$D$5,IF(ISNUMBER(SEARCH(Assumptions!$C$6,D3683)),Assumptions!$D$6,IF(ISNUMBER(SEARCH(Assumptions!$C$7,D3683)),Assumptions!$D$7,"Other Services"))),"Other Services"))</f>
        <v/>
      </c>
    </row>
    <row r="3684" customFormat="false" ht="15" hidden="false" customHeight="false" outlineLevel="0" collapsed="false">
      <c r="F3684" s="41" t="str">
        <f aca="false">IF(D3684="","",IFERROR(IF(ISNUMBER(SEARCH(Assumptions!$C$5,D3684)),Assumptions!$D$5,IF(ISNUMBER(SEARCH(Assumptions!$C$6,D3684)),Assumptions!$D$6,IF(ISNUMBER(SEARCH(Assumptions!$C$7,D3684)),Assumptions!$D$7,"Other Services"))),"Other Services"))</f>
        <v/>
      </c>
    </row>
    <row r="3685" customFormat="false" ht="15" hidden="false" customHeight="false" outlineLevel="0" collapsed="false">
      <c r="F3685" s="41" t="str">
        <f aca="false">IF(D3685="","",IFERROR(IF(ISNUMBER(SEARCH(Assumptions!$C$5,D3685)),Assumptions!$D$5,IF(ISNUMBER(SEARCH(Assumptions!$C$6,D3685)),Assumptions!$D$6,IF(ISNUMBER(SEARCH(Assumptions!$C$7,D3685)),Assumptions!$D$7,"Other Services"))),"Other Services"))</f>
        <v/>
      </c>
    </row>
    <row r="3686" customFormat="false" ht="15" hidden="false" customHeight="false" outlineLevel="0" collapsed="false">
      <c r="F3686" s="41" t="str">
        <f aca="false">IF(D3686="","",IFERROR(IF(ISNUMBER(SEARCH(Assumptions!$C$5,D3686)),Assumptions!$D$5,IF(ISNUMBER(SEARCH(Assumptions!$C$6,D3686)),Assumptions!$D$6,IF(ISNUMBER(SEARCH(Assumptions!$C$7,D3686)),Assumptions!$D$7,"Other Services"))),"Other Services"))</f>
        <v/>
      </c>
    </row>
    <row r="3687" customFormat="false" ht="15" hidden="false" customHeight="false" outlineLevel="0" collapsed="false">
      <c r="F3687" s="41" t="str">
        <f aca="false">IF(D3687="","",IFERROR(IF(ISNUMBER(SEARCH(Assumptions!$C$5,D3687)),Assumptions!$D$5,IF(ISNUMBER(SEARCH(Assumptions!$C$6,D3687)),Assumptions!$D$6,IF(ISNUMBER(SEARCH(Assumptions!$C$7,D3687)),Assumptions!$D$7,"Other Services"))),"Other Services"))</f>
        <v/>
      </c>
    </row>
    <row r="3688" customFormat="false" ht="15" hidden="false" customHeight="false" outlineLevel="0" collapsed="false">
      <c r="F3688" s="41" t="str">
        <f aca="false">IF(D3688="","",IFERROR(IF(ISNUMBER(SEARCH(Assumptions!$C$5,D3688)),Assumptions!$D$5,IF(ISNUMBER(SEARCH(Assumptions!$C$6,D3688)),Assumptions!$D$6,IF(ISNUMBER(SEARCH(Assumptions!$C$7,D3688)),Assumptions!$D$7,"Other Services"))),"Other Services"))</f>
        <v/>
      </c>
    </row>
    <row r="3689" customFormat="false" ht="15" hidden="false" customHeight="false" outlineLevel="0" collapsed="false">
      <c r="F3689" s="41" t="str">
        <f aca="false">IF(D3689="","",IFERROR(IF(ISNUMBER(SEARCH(Assumptions!$C$5,D3689)),Assumptions!$D$5,IF(ISNUMBER(SEARCH(Assumptions!$C$6,D3689)),Assumptions!$D$6,IF(ISNUMBER(SEARCH(Assumptions!$C$7,D3689)),Assumptions!$D$7,"Other Services"))),"Other Services"))</f>
        <v/>
      </c>
    </row>
    <row r="3690" customFormat="false" ht="15" hidden="false" customHeight="false" outlineLevel="0" collapsed="false">
      <c r="F3690" s="41" t="str">
        <f aca="false">IF(D3690="","",IFERROR(IF(ISNUMBER(SEARCH(Assumptions!$C$5,D3690)),Assumptions!$D$5,IF(ISNUMBER(SEARCH(Assumptions!$C$6,D3690)),Assumptions!$D$6,IF(ISNUMBER(SEARCH(Assumptions!$C$7,D3690)),Assumptions!$D$7,"Other Services"))),"Other Services"))</f>
        <v/>
      </c>
    </row>
    <row r="3691" customFormat="false" ht="15" hidden="false" customHeight="false" outlineLevel="0" collapsed="false">
      <c r="F3691" s="41" t="str">
        <f aca="false">IF(D3691="","",IFERROR(IF(ISNUMBER(SEARCH(Assumptions!$C$5,D3691)),Assumptions!$D$5,IF(ISNUMBER(SEARCH(Assumptions!$C$6,D3691)),Assumptions!$D$6,IF(ISNUMBER(SEARCH(Assumptions!$C$7,D3691)),Assumptions!$D$7,"Other Services"))),"Other Services"))</f>
        <v/>
      </c>
    </row>
    <row r="3692" customFormat="false" ht="15" hidden="false" customHeight="false" outlineLevel="0" collapsed="false">
      <c r="F3692" s="41" t="str">
        <f aca="false">IF(D3692="","",IFERROR(IF(ISNUMBER(SEARCH(Assumptions!$C$5,D3692)),Assumptions!$D$5,IF(ISNUMBER(SEARCH(Assumptions!$C$6,D3692)),Assumptions!$D$6,IF(ISNUMBER(SEARCH(Assumptions!$C$7,D3692)),Assumptions!$D$7,"Other Services"))),"Other Services"))</f>
        <v/>
      </c>
    </row>
    <row r="3693" customFormat="false" ht="15" hidden="false" customHeight="false" outlineLevel="0" collapsed="false">
      <c r="F3693" s="41" t="str">
        <f aca="false">IF(D3693="","",IFERROR(IF(ISNUMBER(SEARCH(Assumptions!$C$5,D3693)),Assumptions!$D$5,IF(ISNUMBER(SEARCH(Assumptions!$C$6,D3693)),Assumptions!$D$6,IF(ISNUMBER(SEARCH(Assumptions!$C$7,D3693)),Assumptions!$D$7,"Other Services"))),"Other Services"))</f>
        <v/>
      </c>
    </row>
    <row r="3694" customFormat="false" ht="15" hidden="false" customHeight="false" outlineLevel="0" collapsed="false">
      <c r="F3694" s="41" t="str">
        <f aca="false">IF(D3694="","",IFERROR(IF(ISNUMBER(SEARCH(Assumptions!$C$5,D3694)),Assumptions!$D$5,IF(ISNUMBER(SEARCH(Assumptions!$C$6,D3694)),Assumptions!$D$6,IF(ISNUMBER(SEARCH(Assumptions!$C$7,D3694)),Assumptions!$D$7,"Other Services"))),"Other Services"))</f>
        <v/>
      </c>
    </row>
    <row r="3695" customFormat="false" ht="15" hidden="false" customHeight="false" outlineLevel="0" collapsed="false">
      <c r="F3695" s="41" t="str">
        <f aca="false">IF(D3695="","",IFERROR(IF(ISNUMBER(SEARCH(Assumptions!$C$5,D3695)),Assumptions!$D$5,IF(ISNUMBER(SEARCH(Assumptions!$C$6,D3695)),Assumptions!$D$6,IF(ISNUMBER(SEARCH(Assumptions!$C$7,D3695)),Assumptions!$D$7,"Other Services"))),"Other Services"))</f>
        <v/>
      </c>
    </row>
    <row r="3696" customFormat="false" ht="15" hidden="false" customHeight="false" outlineLevel="0" collapsed="false">
      <c r="F3696" s="41" t="str">
        <f aca="false">IF(D3696="","",IFERROR(IF(ISNUMBER(SEARCH(Assumptions!$C$5,D3696)),Assumptions!$D$5,IF(ISNUMBER(SEARCH(Assumptions!$C$6,D3696)),Assumptions!$D$6,IF(ISNUMBER(SEARCH(Assumptions!$C$7,D3696)),Assumptions!$D$7,"Other Services"))),"Other Services"))</f>
        <v/>
      </c>
    </row>
    <row r="3697" customFormat="false" ht="15" hidden="false" customHeight="false" outlineLevel="0" collapsed="false">
      <c r="F3697" s="41" t="str">
        <f aca="false">IF(D3697="","",IFERROR(IF(ISNUMBER(SEARCH(Assumptions!$C$5,D3697)),Assumptions!$D$5,IF(ISNUMBER(SEARCH(Assumptions!$C$6,D3697)),Assumptions!$D$6,IF(ISNUMBER(SEARCH(Assumptions!$C$7,D3697)),Assumptions!$D$7,"Other Services"))),"Other Services"))</f>
        <v/>
      </c>
    </row>
    <row r="3698" customFormat="false" ht="15" hidden="false" customHeight="false" outlineLevel="0" collapsed="false">
      <c r="F3698" s="41" t="str">
        <f aca="false">IF(D3698="","",IFERROR(IF(ISNUMBER(SEARCH(Assumptions!$C$5,D3698)),Assumptions!$D$5,IF(ISNUMBER(SEARCH(Assumptions!$C$6,D3698)),Assumptions!$D$6,IF(ISNUMBER(SEARCH(Assumptions!$C$7,D3698)),Assumptions!$D$7,"Other Services"))),"Other Services"))</f>
        <v/>
      </c>
    </row>
    <row r="3699" customFormat="false" ht="15" hidden="false" customHeight="false" outlineLevel="0" collapsed="false">
      <c r="F3699" s="41" t="str">
        <f aca="false">IF(D3699="","",IFERROR(IF(ISNUMBER(SEARCH(Assumptions!$C$5,D3699)),Assumptions!$D$5,IF(ISNUMBER(SEARCH(Assumptions!$C$6,D3699)),Assumptions!$D$6,IF(ISNUMBER(SEARCH(Assumptions!$C$7,D3699)),Assumptions!$D$7,"Other Services"))),"Other Services"))</f>
        <v/>
      </c>
    </row>
    <row r="3700" customFormat="false" ht="15" hidden="false" customHeight="false" outlineLevel="0" collapsed="false">
      <c r="F3700" s="41" t="str">
        <f aca="false">IF(D3700="","",IFERROR(IF(ISNUMBER(SEARCH(Assumptions!$C$5,D3700)),Assumptions!$D$5,IF(ISNUMBER(SEARCH(Assumptions!$C$6,D3700)),Assumptions!$D$6,IF(ISNUMBER(SEARCH(Assumptions!$C$7,D3700)),Assumptions!$D$7,"Other Services"))),"Other Services"))</f>
        <v/>
      </c>
    </row>
    <row r="3701" customFormat="false" ht="15" hidden="false" customHeight="false" outlineLevel="0" collapsed="false">
      <c r="F3701" s="41" t="str">
        <f aca="false">IF(D3701="","",IFERROR(IF(ISNUMBER(SEARCH(Assumptions!$C$5,D3701)),Assumptions!$D$5,IF(ISNUMBER(SEARCH(Assumptions!$C$6,D3701)),Assumptions!$D$6,IF(ISNUMBER(SEARCH(Assumptions!$C$7,D3701)),Assumptions!$D$7,"Other Services"))),"Other Services"))</f>
        <v/>
      </c>
    </row>
    <row r="3702" customFormat="false" ht="15" hidden="false" customHeight="false" outlineLevel="0" collapsed="false">
      <c r="F3702" s="41" t="str">
        <f aca="false">IF(D3702="","",IFERROR(IF(ISNUMBER(SEARCH(Assumptions!$C$5,D3702)),Assumptions!$D$5,IF(ISNUMBER(SEARCH(Assumptions!$C$6,D3702)),Assumptions!$D$6,IF(ISNUMBER(SEARCH(Assumptions!$C$7,D3702)),Assumptions!$D$7,"Other Services"))),"Other Services"))</f>
        <v/>
      </c>
    </row>
    <row r="3703" customFormat="false" ht="15" hidden="false" customHeight="false" outlineLevel="0" collapsed="false">
      <c r="F3703" s="41" t="str">
        <f aca="false">IF(D3703="","",IFERROR(IF(ISNUMBER(SEARCH(Assumptions!$C$5,D3703)),Assumptions!$D$5,IF(ISNUMBER(SEARCH(Assumptions!$C$6,D3703)),Assumptions!$D$6,IF(ISNUMBER(SEARCH(Assumptions!$C$7,D3703)),Assumptions!$D$7,"Other Services"))),"Other Services"))</f>
        <v/>
      </c>
    </row>
    <row r="3704" customFormat="false" ht="15" hidden="false" customHeight="false" outlineLevel="0" collapsed="false">
      <c r="F3704" s="41" t="str">
        <f aca="false">IF(D3704="","",IFERROR(IF(ISNUMBER(SEARCH(Assumptions!$C$5,D3704)),Assumptions!$D$5,IF(ISNUMBER(SEARCH(Assumptions!$C$6,D3704)),Assumptions!$D$6,IF(ISNUMBER(SEARCH(Assumptions!$C$7,D3704)),Assumptions!$D$7,"Other Services"))),"Other Services"))</f>
        <v/>
      </c>
    </row>
    <row r="3705" customFormat="false" ht="15" hidden="false" customHeight="false" outlineLevel="0" collapsed="false">
      <c r="F3705" s="41" t="str">
        <f aca="false">IF(D3705="","",IFERROR(IF(ISNUMBER(SEARCH(Assumptions!$C$5,D3705)),Assumptions!$D$5,IF(ISNUMBER(SEARCH(Assumptions!$C$6,D3705)),Assumptions!$D$6,IF(ISNUMBER(SEARCH(Assumptions!$C$7,D3705)),Assumptions!$D$7,"Other Services"))),"Other Services"))</f>
        <v/>
      </c>
    </row>
    <row r="3706" customFormat="false" ht="15" hidden="false" customHeight="false" outlineLevel="0" collapsed="false">
      <c r="F3706" s="41" t="str">
        <f aca="false">IF(D3706="","",IFERROR(IF(ISNUMBER(SEARCH(Assumptions!$C$5,D3706)),Assumptions!$D$5,IF(ISNUMBER(SEARCH(Assumptions!$C$6,D3706)),Assumptions!$D$6,IF(ISNUMBER(SEARCH(Assumptions!$C$7,D3706)),Assumptions!$D$7,"Other Services"))),"Other Services"))</f>
        <v/>
      </c>
    </row>
    <row r="3707" customFormat="false" ht="15" hidden="false" customHeight="false" outlineLevel="0" collapsed="false">
      <c r="F3707" s="41" t="str">
        <f aca="false">IF(D3707="","",IFERROR(IF(ISNUMBER(SEARCH(Assumptions!$C$5,D3707)),Assumptions!$D$5,IF(ISNUMBER(SEARCH(Assumptions!$C$6,D3707)),Assumptions!$D$6,IF(ISNUMBER(SEARCH(Assumptions!$C$7,D3707)),Assumptions!$D$7,"Other Services"))),"Other Services"))</f>
        <v/>
      </c>
    </row>
    <row r="3708" customFormat="false" ht="15" hidden="false" customHeight="false" outlineLevel="0" collapsed="false">
      <c r="F3708" s="41" t="str">
        <f aca="false">IF(D3708="","",IFERROR(IF(ISNUMBER(SEARCH(Assumptions!$C$5,D3708)),Assumptions!$D$5,IF(ISNUMBER(SEARCH(Assumptions!$C$6,D3708)),Assumptions!$D$6,IF(ISNUMBER(SEARCH(Assumptions!$C$7,D3708)),Assumptions!$D$7,"Other Services"))),"Other Services"))</f>
        <v/>
      </c>
    </row>
    <row r="3709" customFormat="false" ht="15" hidden="false" customHeight="false" outlineLevel="0" collapsed="false">
      <c r="F3709" s="41" t="str">
        <f aca="false">IF(D3709="","",IFERROR(IF(ISNUMBER(SEARCH(Assumptions!$C$5,D3709)),Assumptions!$D$5,IF(ISNUMBER(SEARCH(Assumptions!$C$6,D3709)),Assumptions!$D$6,IF(ISNUMBER(SEARCH(Assumptions!$C$7,D3709)),Assumptions!$D$7,"Other Services"))),"Other Services"))</f>
        <v/>
      </c>
    </row>
    <row r="3710" customFormat="false" ht="15" hidden="false" customHeight="false" outlineLevel="0" collapsed="false">
      <c r="F3710" s="41" t="str">
        <f aca="false">IF(D3710="","",IFERROR(IF(ISNUMBER(SEARCH(Assumptions!$C$5,D3710)),Assumptions!$D$5,IF(ISNUMBER(SEARCH(Assumptions!$C$6,D3710)),Assumptions!$D$6,IF(ISNUMBER(SEARCH(Assumptions!$C$7,D3710)),Assumptions!$D$7,"Other Services"))),"Other Services"))</f>
        <v/>
      </c>
    </row>
    <row r="3711" customFormat="false" ht="15" hidden="false" customHeight="false" outlineLevel="0" collapsed="false">
      <c r="F3711" s="41" t="str">
        <f aca="false">IF(D3711="","",IFERROR(IF(ISNUMBER(SEARCH(Assumptions!$C$5,D3711)),Assumptions!$D$5,IF(ISNUMBER(SEARCH(Assumptions!$C$6,D3711)),Assumptions!$D$6,IF(ISNUMBER(SEARCH(Assumptions!$C$7,D3711)),Assumptions!$D$7,"Other Services"))),"Other Services"))</f>
        <v/>
      </c>
    </row>
    <row r="3712" customFormat="false" ht="15" hidden="false" customHeight="false" outlineLevel="0" collapsed="false">
      <c r="F3712" s="41" t="str">
        <f aca="false">IF(D3712="","",IFERROR(IF(ISNUMBER(SEARCH(Assumptions!$C$5,D3712)),Assumptions!$D$5,IF(ISNUMBER(SEARCH(Assumptions!$C$6,D3712)),Assumptions!$D$6,IF(ISNUMBER(SEARCH(Assumptions!$C$7,D3712)),Assumptions!$D$7,"Other Services"))),"Other Services"))</f>
        <v/>
      </c>
    </row>
    <row r="3713" customFormat="false" ht="15" hidden="false" customHeight="false" outlineLevel="0" collapsed="false">
      <c r="F3713" s="41" t="str">
        <f aca="false">IF(D3713="","",IFERROR(IF(ISNUMBER(SEARCH(Assumptions!$C$5,D3713)),Assumptions!$D$5,IF(ISNUMBER(SEARCH(Assumptions!$C$6,D3713)),Assumptions!$D$6,IF(ISNUMBER(SEARCH(Assumptions!$C$7,D3713)),Assumptions!$D$7,"Other Services"))),"Other Services"))</f>
        <v/>
      </c>
    </row>
    <row r="3714" customFormat="false" ht="15" hidden="false" customHeight="false" outlineLevel="0" collapsed="false">
      <c r="F3714" s="41" t="str">
        <f aca="false">IF(D3714="","",IFERROR(IF(ISNUMBER(SEARCH(Assumptions!$C$5,D3714)),Assumptions!$D$5,IF(ISNUMBER(SEARCH(Assumptions!$C$6,D3714)),Assumptions!$D$6,IF(ISNUMBER(SEARCH(Assumptions!$C$7,D3714)),Assumptions!$D$7,"Other Services"))),"Other Services"))</f>
        <v/>
      </c>
    </row>
    <row r="3715" customFormat="false" ht="15" hidden="false" customHeight="false" outlineLevel="0" collapsed="false">
      <c r="F3715" s="41" t="str">
        <f aca="false">IF(D3715="","",IFERROR(IF(ISNUMBER(SEARCH(Assumptions!$C$5,D3715)),Assumptions!$D$5,IF(ISNUMBER(SEARCH(Assumptions!$C$6,D3715)),Assumptions!$D$6,IF(ISNUMBER(SEARCH(Assumptions!$C$7,D3715)),Assumptions!$D$7,"Other Services"))),"Other Services"))</f>
        <v/>
      </c>
    </row>
    <row r="3716" customFormat="false" ht="15" hidden="false" customHeight="false" outlineLevel="0" collapsed="false">
      <c r="F3716" s="41" t="str">
        <f aca="false">IF(D3716="","",IFERROR(IF(ISNUMBER(SEARCH(Assumptions!$C$5,D3716)),Assumptions!$D$5,IF(ISNUMBER(SEARCH(Assumptions!$C$6,D3716)),Assumptions!$D$6,IF(ISNUMBER(SEARCH(Assumptions!$C$7,D3716)),Assumptions!$D$7,"Other Services"))),"Other Services"))</f>
        <v/>
      </c>
    </row>
    <row r="3717" customFormat="false" ht="15" hidden="false" customHeight="false" outlineLevel="0" collapsed="false">
      <c r="F3717" s="41" t="str">
        <f aca="false">IF(D3717="","",IFERROR(IF(ISNUMBER(SEARCH(Assumptions!$C$5,D3717)),Assumptions!$D$5,IF(ISNUMBER(SEARCH(Assumptions!$C$6,D3717)),Assumptions!$D$6,IF(ISNUMBER(SEARCH(Assumptions!$C$7,D3717)),Assumptions!$D$7,"Other Services"))),"Other Services"))</f>
        <v/>
      </c>
    </row>
    <row r="3718" customFormat="false" ht="15" hidden="false" customHeight="false" outlineLevel="0" collapsed="false">
      <c r="F3718" s="41" t="str">
        <f aca="false">IF(D3718="","",IFERROR(IF(ISNUMBER(SEARCH(Assumptions!$C$5,D3718)),Assumptions!$D$5,IF(ISNUMBER(SEARCH(Assumptions!$C$6,D3718)),Assumptions!$D$6,IF(ISNUMBER(SEARCH(Assumptions!$C$7,D3718)),Assumptions!$D$7,"Other Services"))),"Other Services"))</f>
        <v/>
      </c>
    </row>
    <row r="3719" customFormat="false" ht="15" hidden="false" customHeight="false" outlineLevel="0" collapsed="false">
      <c r="F3719" s="41" t="str">
        <f aca="false">IF(D3719="","",IFERROR(IF(ISNUMBER(SEARCH(Assumptions!$C$5,D3719)),Assumptions!$D$5,IF(ISNUMBER(SEARCH(Assumptions!$C$6,D3719)),Assumptions!$D$6,IF(ISNUMBER(SEARCH(Assumptions!$C$7,D3719)),Assumptions!$D$7,"Other Services"))),"Other Services"))</f>
        <v/>
      </c>
    </row>
    <row r="3720" customFormat="false" ht="15" hidden="false" customHeight="false" outlineLevel="0" collapsed="false">
      <c r="F3720" s="41" t="str">
        <f aca="false">IF(D3720="","",IFERROR(IF(ISNUMBER(SEARCH(Assumptions!$C$5,D3720)),Assumptions!$D$5,IF(ISNUMBER(SEARCH(Assumptions!$C$6,D3720)),Assumptions!$D$6,IF(ISNUMBER(SEARCH(Assumptions!$C$7,D3720)),Assumptions!$D$7,"Other Services"))),"Other Services"))</f>
        <v/>
      </c>
    </row>
    <row r="3721" customFormat="false" ht="15" hidden="false" customHeight="false" outlineLevel="0" collapsed="false">
      <c r="F3721" s="41" t="str">
        <f aca="false">IF(D3721="","",IFERROR(IF(ISNUMBER(SEARCH(Assumptions!$C$5,D3721)),Assumptions!$D$5,IF(ISNUMBER(SEARCH(Assumptions!$C$6,D3721)),Assumptions!$D$6,IF(ISNUMBER(SEARCH(Assumptions!$C$7,D3721)),Assumptions!$D$7,"Other Services"))),"Other Services"))</f>
        <v/>
      </c>
    </row>
    <row r="3722" customFormat="false" ht="15" hidden="false" customHeight="false" outlineLevel="0" collapsed="false">
      <c r="F3722" s="41" t="str">
        <f aca="false">IF(D3722="","",IFERROR(IF(ISNUMBER(SEARCH(Assumptions!$C$5,D3722)),Assumptions!$D$5,IF(ISNUMBER(SEARCH(Assumptions!$C$6,D3722)),Assumptions!$D$6,IF(ISNUMBER(SEARCH(Assumptions!$C$7,D3722)),Assumptions!$D$7,"Other Services"))),"Other Services"))</f>
        <v/>
      </c>
    </row>
    <row r="3723" customFormat="false" ht="15" hidden="false" customHeight="false" outlineLevel="0" collapsed="false">
      <c r="F3723" s="41" t="str">
        <f aca="false">IF(D3723="","",IFERROR(IF(ISNUMBER(SEARCH(Assumptions!$C$5,D3723)),Assumptions!$D$5,IF(ISNUMBER(SEARCH(Assumptions!$C$6,D3723)),Assumptions!$D$6,IF(ISNUMBER(SEARCH(Assumptions!$C$7,D3723)),Assumptions!$D$7,"Other Services"))),"Other Services"))</f>
        <v/>
      </c>
    </row>
    <row r="3724" customFormat="false" ht="15" hidden="false" customHeight="false" outlineLevel="0" collapsed="false">
      <c r="F3724" s="41" t="str">
        <f aca="false">IF(D3724="","",IFERROR(IF(ISNUMBER(SEARCH(Assumptions!$C$5,D3724)),Assumptions!$D$5,IF(ISNUMBER(SEARCH(Assumptions!$C$6,D3724)),Assumptions!$D$6,IF(ISNUMBER(SEARCH(Assumptions!$C$7,D3724)),Assumptions!$D$7,"Other Services"))),"Other Services"))</f>
        <v/>
      </c>
    </row>
    <row r="3725" customFormat="false" ht="15" hidden="false" customHeight="false" outlineLevel="0" collapsed="false">
      <c r="F3725" s="41" t="str">
        <f aca="false">IF(D3725="","",IFERROR(IF(ISNUMBER(SEARCH(Assumptions!$C$5,D3725)),Assumptions!$D$5,IF(ISNUMBER(SEARCH(Assumptions!$C$6,D3725)),Assumptions!$D$6,IF(ISNUMBER(SEARCH(Assumptions!$C$7,D3725)),Assumptions!$D$7,"Other Services"))),"Other Services"))</f>
        <v/>
      </c>
    </row>
    <row r="3726" customFormat="false" ht="15" hidden="false" customHeight="false" outlineLevel="0" collapsed="false">
      <c r="F3726" s="41" t="str">
        <f aca="false">IF(D3726="","",IFERROR(IF(ISNUMBER(SEARCH(Assumptions!$C$5,D3726)),Assumptions!$D$5,IF(ISNUMBER(SEARCH(Assumptions!$C$6,D3726)),Assumptions!$D$6,IF(ISNUMBER(SEARCH(Assumptions!$C$7,D3726)),Assumptions!$D$7,"Other Services"))),"Other Services"))</f>
        <v/>
      </c>
    </row>
    <row r="3727" customFormat="false" ht="15" hidden="false" customHeight="false" outlineLevel="0" collapsed="false">
      <c r="F3727" s="41" t="str">
        <f aca="false">IF(D3727="","",IFERROR(IF(ISNUMBER(SEARCH(Assumptions!$C$5,D3727)),Assumptions!$D$5,IF(ISNUMBER(SEARCH(Assumptions!$C$6,D3727)),Assumptions!$D$6,IF(ISNUMBER(SEARCH(Assumptions!$C$7,D3727)),Assumptions!$D$7,"Other Services"))),"Other Services"))</f>
        <v/>
      </c>
    </row>
    <row r="3728" customFormat="false" ht="15" hidden="false" customHeight="false" outlineLevel="0" collapsed="false">
      <c r="F3728" s="41" t="str">
        <f aca="false">IF(D3728="","",IFERROR(IF(ISNUMBER(SEARCH(Assumptions!$C$5,D3728)),Assumptions!$D$5,IF(ISNUMBER(SEARCH(Assumptions!$C$6,D3728)),Assumptions!$D$6,IF(ISNUMBER(SEARCH(Assumptions!$C$7,D3728)),Assumptions!$D$7,"Other Services"))),"Other Services"))</f>
        <v/>
      </c>
    </row>
    <row r="3729" customFormat="false" ht="15" hidden="false" customHeight="false" outlineLevel="0" collapsed="false">
      <c r="F3729" s="41" t="str">
        <f aca="false">IF(D3729="","",IFERROR(IF(ISNUMBER(SEARCH(Assumptions!$C$5,D3729)),Assumptions!$D$5,IF(ISNUMBER(SEARCH(Assumptions!$C$6,D3729)),Assumptions!$D$6,IF(ISNUMBER(SEARCH(Assumptions!$C$7,D3729)),Assumptions!$D$7,"Other Services"))),"Other Services"))</f>
        <v/>
      </c>
    </row>
    <row r="3730" customFormat="false" ht="15" hidden="false" customHeight="false" outlineLevel="0" collapsed="false">
      <c r="F3730" s="41" t="str">
        <f aca="false">IF(D3730="","",IFERROR(IF(ISNUMBER(SEARCH(Assumptions!$C$5,D3730)),Assumptions!$D$5,IF(ISNUMBER(SEARCH(Assumptions!$C$6,D3730)),Assumptions!$D$6,IF(ISNUMBER(SEARCH(Assumptions!$C$7,D3730)),Assumptions!$D$7,"Other Services"))),"Other Services"))</f>
        <v/>
      </c>
    </row>
    <row r="3731" customFormat="false" ht="15" hidden="false" customHeight="false" outlineLevel="0" collapsed="false">
      <c r="F3731" s="41" t="str">
        <f aca="false">IF(D3731="","",IFERROR(IF(ISNUMBER(SEARCH(Assumptions!$C$5,D3731)),Assumptions!$D$5,IF(ISNUMBER(SEARCH(Assumptions!$C$6,D3731)),Assumptions!$D$6,IF(ISNUMBER(SEARCH(Assumptions!$C$7,D3731)),Assumptions!$D$7,"Other Services"))),"Other Services"))</f>
        <v/>
      </c>
    </row>
    <row r="3732" customFormat="false" ht="15" hidden="false" customHeight="false" outlineLevel="0" collapsed="false">
      <c r="F3732" s="41" t="str">
        <f aca="false">IF(D3732="","",IFERROR(IF(ISNUMBER(SEARCH(Assumptions!$C$5,D3732)),Assumptions!$D$5,IF(ISNUMBER(SEARCH(Assumptions!$C$6,D3732)),Assumptions!$D$6,IF(ISNUMBER(SEARCH(Assumptions!$C$7,D3732)),Assumptions!$D$7,"Other Services"))),"Other Services"))</f>
        <v/>
      </c>
    </row>
    <row r="3733" customFormat="false" ht="15" hidden="false" customHeight="false" outlineLevel="0" collapsed="false">
      <c r="F3733" s="41" t="str">
        <f aca="false">IF(D3733="","",IFERROR(IF(ISNUMBER(SEARCH(Assumptions!$C$5,D3733)),Assumptions!$D$5,IF(ISNUMBER(SEARCH(Assumptions!$C$6,D3733)),Assumptions!$D$6,IF(ISNUMBER(SEARCH(Assumptions!$C$7,D3733)),Assumptions!$D$7,"Other Services"))),"Other Services"))</f>
        <v/>
      </c>
    </row>
    <row r="3734" customFormat="false" ht="15" hidden="false" customHeight="false" outlineLevel="0" collapsed="false">
      <c r="F3734" s="41" t="str">
        <f aca="false">IF(D3734="","",IFERROR(IF(ISNUMBER(SEARCH(Assumptions!$C$5,D3734)),Assumptions!$D$5,IF(ISNUMBER(SEARCH(Assumptions!$C$6,D3734)),Assumptions!$D$6,IF(ISNUMBER(SEARCH(Assumptions!$C$7,D3734)),Assumptions!$D$7,"Other Services"))),"Other Services"))</f>
        <v/>
      </c>
    </row>
    <row r="3735" customFormat="false" ht="15" hidden="false" customHeight="false" outlineLevel="0" collapsed="false">
      <c r="F3735" s="41" t="str">
        <f aca="false">IF(D3735="","",IFERROR(IF(ISNUMBER(SEARCH(Assumptions!$C$5,D3735)),Assumptions!$D$5,IF(ISNUMBER(SEARCH(Assumptions!$C$6,D3735)),Assumptions!$D$6,IF(ISNUMBER(SEARCH(Assumptions!$C$7,D3735)),Assumptions!$D$7,"Other Services"))),"Other Services"))</f>
        <v/>
      </c>
    </row>
    <row r="3736" customFormat="false" ht="15" hidden="false" customHeight="false" outlineLevel="0" collapsed="false">
      <c r="F3736" s="41" t="str">
        <f aca="false">IF(D3736="","",IFERROR(IF(ISNUMBER(SEARCH(Assumptions!$C$5,D3736)),Assumptions!$D$5,IF(ISNUMBER(SEARCH(Assumptions!$C$6,D3736)),Assumptions!$D$6,IF(ISNUMBER(SEARCH(Assumptions!$C$7,D3736)),Assumptions!$D$7,"Other Services"))),"Other Services"))</f>
        <v/>
      </c>
    </row>
    <row r="3737" customFormat="false" ht="15" hidden="false" customHeight="false" outlineLevel="0" collapsed="false">
      <c r="F3737" s="41" t="str">
        <f aca="false">IF(D3737="","",IFERROR(IF(ISNUMBER(SEARCH(Assumptions!$C$5,D3737)),Assumptions!$D$5,IF(ISNUMBER(SEARCH(Assumptions!$C$6,D3737)),Assumptions!$D$6,IF(ISNUMBER(SEARCH(Assumptions!$C$7,D3737)),Assumptions!$D$7,"Other Services"))),"Other Services"))</f>
        <v/>
      </c>
    </row>
    <row r="3738" customFormat="false" ht="15" hidden="false" customHeight="false" outlineLevel="0" collapsed="false">
      <c r="F3738" s="41" t="str">
        <f aca="false">IF(D3738="","",IFERROR(IF(ISNUMBER(SEARCH(Assumptions!$C$5,D3738)),Assumptions!$D$5,IF(ISNUMBER(SEARCH(Assumptions!$C$6,D3738)),Assumptions!$D$6,IF(ISNUMBER(SEARCH(Assumptions!$C$7,D3738)),Assumptions!$D$7,"Other Services"))),"Other Services"))</f>
        <v/>
      </c>
    </row>
    <row r="3739" customFormat="false" ht="15" hidden="false" customHeight="false" outlineLevel="0" collapsed="false">
      <c r="F3739" s="41" t="str">
        <f aca="false">IF(D3739="","",IFERROR(IF(ISNUMBER(SEARCH(Assumptions!$C$5,D3739)),Assumptions!$D$5,IF(ISNUMBER(SEARCH(Assumptions!$C$6,D3739)),Assumptions!$D$6,IF(ISNUMBER(SEARCH(Assumptions!$C$7,D3739)),Assumptions!$D$7,"Other Services"))),"Other Services"))</f>
        <v/>
      </c>
    </row>
    <row r="3740" customFormat="false" ht="15" hidden="false" customHeight="false" outlineLevel="0" collapsed="false">
      <c r="F3740" s="41" t="str">
        <f aca="false">IF(D3740="","",IFERROR(IF(ISNUMBER(SEARCH(Assumptions!$C$5,D3740)),Assumptions!$D$5,IF(ISNUMBER(SEARCH(Assumptions!$C$6,D3740)),Assumptions!$D$6,IF(ISNUMBER(SEARCH(Assumptions!$C$7,D3740)),Assumptions!$D$7,"Other Services"))),"Other Services"))</f>
        <v/>
      </c>
    </row>
    <row r="3741" customFormat="false" ht="15" hidden="false" customHeight="false" outlineLevel="0" collapsed="false">
      <c r="F3741" s="41" t="str">
        <f aca="false">IF(D3741="","",IFERROR(IF(ISNUMBER(SEARCH(Assumptions!$C$5,D3741)),Assumptions!$D$5,IF(ISNUMBER(SEARCH(Assumptions!$C$6,D3741)),Assumptions!$D$6,IF(ISNUMBER(SEARCH(Assumptions!$C$7,D3741)),Assumptions!$D$7,"Other Services"))),"Other Services"))</f>
        <v/>
      </c>
    </row>
    <row r="3742" customFormat="false" ht="15" hidden="false" customHeight="false" outlineLevel="0" collapsed="false">
      <c r="F3742" s="41" t="str">
        <f aca="false">IF(D3742="","",IFERROR(IF(ISNUMBER(SEARCH(Assumptions!$C$5,D3742)),Assumptions!$D$5,IF(ISNUMBER(SEARCH(Assumptions!$C$6,D3742)),Assumptions!$D$6,IF(ISNUMBER(SEARCH(Assumptions!$C$7,D3742)),Assumptions!$D$7,"Other Services"))),"Other Services"))</f>
        <v/>
      </c>
    </row>
    <row r="3743" customFormat="false" ht="15" hidden="false" customHeight="false" outlineLevel="0" collapsed="false">
      <c r="F3743" s="41" t="str">
        <f aca="false">IF(D3743="","",IFERROR(IF(ISNUMBER(SEARCH(Assumptions!$C$5,D3743)),Assumptions!$D$5,IF(ISNUMBER(SEARCH(Assumptions!$C$6,D3743)),Assumptions!$D$6,IF(ISNUMBER(SEARCH(Assumptions!$C$7,D3743)),Assumptions!$D$7,"Other Services"))),"Other Services"))</f>
        <v/>
      </c>
    </row>
    <row r="3744" customFormat="false" ht="15" hidden="false" customHeight="false" outlineLevel="0" collapsed="false">
      <c r="F3744" s="41" t="str">
        <f aca="false">IF(D3744="","",IFERROR(IF(ISNUMBER(SEARCH(Assumptions!$C$5,D3744)),Assumptions!$D$5,IF(ISNUMBER(SEARCH(Assumptions!$C$6,D3744)),Assumptions!$D$6,IF(ISNUMBER(SEARCH(Assumptions!$C$7,D3744)),Assumptions!$D$7,"Other Services"))),"Other Services"))</f>
        <v/>
      </c>
    </row>
    <row r="3745" customFormat="false" ht="15" hidden="false" customHeight="false" outlineLevel="0" collapsed="false">
      <c r="F3745" s="41" t="str">
        <f aca="false">IF(D3745="","",IFERROR(IF(ISNUMBER(SEARCH(Assumptions!$C$5,D3745)),Assumptions!$D$5,IF(ISNUMBER(SEARCH(Assumptions!$C$6,D3745)),Assumptions!$D$6,IF(ISNUMBER(SEARCH(Assumptions!$C$7,D3745)),Assumptions!$D$7,"Other Services"))),"Other Services"))</f>
        <v/>
      </c>
    </row>
    <row r="3746" customFormat="false" ht="15" hidden="false" customHeight="false" outlineLevel="0" collapsed="false">
      <c r="F3746" s="41" t="str">
        <f aca="false">IF(D3746="","",IFERROR(IF(ISNUMBER(SEARCH(Assumptions!$C$5,D3746)),Assumptions!$D$5,IF(ISNUMBER(SEARCH(Assumptions!$C$6,D3746)),Assumptions!$D$6,IF(ISNUMBER(SEARCH(Assumptions!$C$7,D3746)),Assumptions!$D$7,"Other Services"))),"Other Services"))</f>
        <v/>
      </c>
    </row>
    <row r="3747" customFormat="false" ht="15" hidden="false" customHeight="false" outlineLevel="0" collapsed="false">
      <c r="F3747" s="41" t="str">
        <f aca="false">IF(D3747="","",IFERROR(IF(ISNUMBER(SEARCH(Assumptions!$C$5,D3747)),Assumptions!$D$5,IF(ISNUMBER(SEARCH(Assumptions!$C$6,D3747)),Assumptions!$D$6,IF(ISNUMBER(SEARCH(Assumptions!$C$7,D3747)),Assumptions!$D$7,"Other Services"))),"Other Services"))</f>
        <v/>
      </c>
    </row>
    <row r="3748" customFormat="false" ht="15" hidden="false" customHeight="false" outlineLevel="0" collapsed="false">
      <c r="F3748" s="41" t="str">
        <f aca="false">IF(D3748="","",IFERROR(IF(ISNUMBER(SEARCH(Assumptions!$C$5,D3748)),Assumptions!$D$5,IF(ISNUMBER(SEARCH(Assumptions!$C$6,D3748)),Assumptions!$D$6,IF(ISNUMBER(SEARCH(Assumptions!$C$7,D3748)),Assumptions!$D$7,"Other Services"))),"Other Services"))</f>
        <v/>
      </c>
    </row>
    <row r="3749" customFormat="false" ht="15" hidden="false" customHeight="false" outlineLevel="0" collapsed="false">
      <c r="F3749" s="41" t="str">
        <f aca="false">IF(D3749="","",IFERROR(IF(ISNUMBER(SEARCH(Assumptions!$C$5,D3749)),Assumptions!$D$5,IF(ISNUMBER(SEARCH(Assumptions!$C$6,D3749)),Assumptions!$D$6,IF(ISNUMBER(SEARCH(Assumptions!$C$7,D3749)),Assumptions!$D$7,"Other Services"))),"Other Services"))</f>
        <v/>
      </c>
    </row>
    <row r="3750" customFormat="false" ht="15" hidden="false" customHeight="false" outlineLevel="0" collapsed="false">
      <c r="F3750" s="41" t="str">
        <f aca="false">IF(D3750="","",IFERROR(IF(ISNUMBER(SEARCH(Assumptions!$C$5,D3750)),Assumptions!$D$5,IF(ISNUMBER(SEARCH(Assumptions!$C$6,D3750)),Assumptions!$D$6,IF(ISNUMBER(SEARCH(Assumptions!$C$7,D3750)),Assumptions!$D$7,"Other Services"))),"Other Services"))</f>
        <v/>
      </c>
    </row>
    <row r="3751" customFormat="false" ht="15" hidden="false" customHeight="false" outlineLevel="0" collapsed="false">
      <c r="F3751" s="41" t="str">
        <f aca="false">IF(D3751="","",IFERROR(IF(ISNUMBER(SEARCH(Assumptions!$C$5,D3751)),Assumptions!$D$5,IF(ISNUMBER(SEARCH(Assumptions!$C$6,D3751)),Assumptions!$D$6,IF(ISNUMBER(SEARCH(Assumptions!$C$7,D3751)),Assumptions!$D$7,"Other Services"))),"Other Services"))</f>
        <v/>
      </c>
    </row>
    <row r="3752" customFormat="false" ht="15" hidden="false" customHeight="false" outlineLevel="0" collapsed="false">
      <c r="F3752" s="41" t="str">
        <f aca="false">IF(D3752="","",IFERROR(IF(ISNUMBER(SEARCH(Assumptions!$C$5,D3752)),Assumptions!$D$5,IF(ISNUMBER(SEARCH(Assumptions!$C$6,D3752)),Assumptions!$D$6,IF(ISNUMBER(SEARCH(Assumptions!$C$7,D3752)),Assumptions!$D$7,"Other Services"))),"Other Services"))</f>
        <v/>
      </c>
    </row>
    <row r="3753" customFormat="false" ht="15" hidden="false" customHeight="false" outlineLevel="0" collapsed="false">
      <c r="F3753" s="41" t="str">
        <f aca="false">IF(D3753="","",IFERROR(IF(ISNUMBER(SEARCH(Assumptions!$C$5,D3753)),Assumptions!$D$5,IF(ISNUMBER(SEARCH(Assumptions!$C$6,D3753)),Assumptions!$D$6,IF(ISNUMBER(SEARCH(Assumptions!$C$7,D3753)),Assumptions!$D$7,"Other Services"))),"Other Services"))</f>
        <v/>
      </c>
    </row>
    <row r="3754" customFormat="false" ht="15" hidden="false" customHeight="false" outlineLevel="0" collapsed="false">
      <c r="F3754" s="41" t="str">
        <f aca="false">IF(D3754="","",IFERROR(IF(ISNUMBER(SEARCH(Assumptions!$C$5,D3754)),Assumptions!$D$5,IF(ISNUMBER(SEARCH(Assumptions!$C$6,D3754)),Assumptions!$D$6,IF(ISNUMBER(SEARCH(Assumptions!$C$7,D3754)),Assumptions!$D$7,"Other Services"))),"Other Services"))</f>
        <v/>
      </c>
    </row>
    <row r="3755" customFormat="false" ht="15" hidden="false" customHeight="false" outlineLevel="0" collapsed="false">
      <c r="F3755" s="41" t="str">
        <f aca="false">IF(D3755="","",IFERROR(IF(ISNUMBER(SEARCH(Assumptions!$C$5,D3755)),Assumptions!$D$5,IF(ISNUMBER(SEARCH(Assumptions!$C$6,D3755)),Assumptions!$D$6,IF(ISNUMBER(SEARCH(Assumptions!$C$7,D3755)),Assumptions!$D$7,"Other Services"))),"Other Services"))</f>
        <v/>
      </c>
    </row>
    <row r="3756" customFormat="false" ht="15" hidden="false" customHeight="false" outlineLevel="0" collapsed="false">
      <c r="F3756" s="41" t="str">
        <f aca="false">IF(D3756="","",IFERROR(IF(ISNUMBER(SEARCH(Assumptions!$C$5,D3756)),Assumptions!$D$5,IF(ISNUMBER(SEARCH(Assumptions!$C$6,D3756)),Assumptions!$D$6,IF(ISNUMBER(SEARCH(Assumptions!$C$7,D3756)),Assumptions!$D$7,"Other Services"))),"Other Services"))</f>
        <v/>
      </c>
    </row>
    <row r="3757" customFormat="false" ht="15" hidden="false" customHeight="false" outlineLevel="0" collapsed="false">
      <c r="F3757" s="41" t="str">
        <f aca="false">IF(D3757="","",IFERROR(IF(ISNUMBER(SEARCH(Assumptions!$C$5,D3757)),Assumptions!$D$5,IF(ISNUMBER(SEARCH(Assumptions!$C$6,D3757)),Assumptions!$D$6,IF(ISNUMBER(SEARCH(Assumptions!$C$7,D3757)),Assumptions!$D$7,"Other Services"))),"Other Services"))</f>
        <v/>
      </c>
    </row>
    <row r="3758" customFormat="false" ht="15" hidden="false" customHeight="false" outlineLevel="0" collapsed="false">
      <c r="F3758" s="41" t="str">
        <f aca="false">IF(D3758="","",IFERROR(IF(ISNUMBER(SEARCH(Assumptions!$C$5,D3758)),Assumptions!$D$5,IF(ISNUMBER(SEARCH(Assumptions!$C$6,D3758)),Assumptions!$D$6,IF(ISNUMBER(SEARCH(Assumptions!$C$7,D3758)),Assumptions!$D$7,"Other Services"))),"Other Services"))</f>
        <v/>
      </c>
    </row>
    <row r="3759" customFormat="false" ht="15" hidden="false" customHeight="false" outlineLevel="0" collapsed="false">
      <c r="F3759" s="41" t="str">
        <f aca="false">IF(D3759="","",IFERROR(IF(ISNUMBER(SEARCH(Assumptions!$C$5,D3759)),Assumptions!$D$5,IF(ISNUMBER(SEARCH(Assumptions!$C$6,D3759)),Assumptions!$D$6,IF(ISNUMBER(SEARCH(Assumptions!$C$7,D3759)),Assumptions!$D$7,"Other Services"))),"Other Services"))</f>
        <v/>
      </c>
    </row>
    <row r="3760" customFormat="false" ht="15" hidden="false" customHeight="false" outlineLevel="0" collapsed="false">
      <c r="F3760" s="41" t="str">
        <f aca="false">IF(D3760="","",IFERROR(IF(ISNUMBER(SEARCH(Assumptions!$C$5,D3760)),Assumptions!$D$5,IF(ISNUMBER(SEARCH(Assumptions!$C$6,D3760)),Assumptions!$D$6,IF(ISNUMBER(SEARCH(Assumptions!$C$7,D3760)),Assumptions!$D$7,"Other Services"))),"Other Services"))</f>
        <v/>
      </c>
    </row>
    <row r="3761" customFormat="false" ht="15" hidden="false" customHeight="false" outlineLevel="0" collapsed="false">
      <c r="F3761" s="41" t="str">
        <f aca="false">IF(D3761="","",IFERROR(IF(ISNUMBER(SEARCH(Assumptions!$C$5,D3761)),Assumptions!$D$5,IF(ISNUMBER(SEARCH(Assumptions!$C$6,D3761)),Assumptions!$D$6,IF(ISNUMBER(SEARCH(Assumptions!$C$7,D3761)),Assumptions!$D$7,"Other Services"))),"Other Services"))</f>
        <v/>
      </c>
    </row>
    <row r="3762" customFormat="false" ht="15" hidden="false" customHeight="false" outlineLevel="0" collapsed="false">
      <c r="F3762" s="41" t="str">
        <f aca="false">IF(D3762="","",IFERROR(IF(ISNUMBER(SEARCH(Assumptions!$C$5,D3762)),Assumptions!$D$5,IF(ISNUMBER(SEARCH(Assumptions!$C$6,D3762)),Assumptions!$D$6,IF(ISNUMBER(SEARCH(Assumptions!$C$7,D3762)),Assumptions!$D$7,"Other Services"))),"Other Services"))</f>
        <v/>
      </c>
    </row>
    <row r="3763" customFormat="false" ht="15" hidden="false" customHeight="false" outlineLevel="0" collapsed="false">
      <c r="F3763" s="41" t="str">
        <f aca="false">IF(D3763="","",IFERROR(IF(ISNUMBER(SEARCH(Assumptions!$C$5,D3763)),Assumptions!$D$5,IF(ISNUMBER(SEARCH(Assumptions!$C$6,D3763)),Assumptions!$D$6,IF(ISNUMBER(SEARCH(Assumptions!$C$7,D3763)),Assumptions!$D$7,"Other Services"))),"Other Services"))</f>
        <v/>
      </c>
    </row>
    <row r="3764" customFormat="false" ht="15" hidden="false" customHeight="false" outlineLevel="0" collapsed="false">
      <c r="F3764" s="41" t="str">
        <f aca="false">IF(D3764="","",IFERROR(IF(ISNUMBER(SEARCH(Assumptions!$C$5,D3764)),Assumptions!$D$5,IF(ISNUMBER(SEARCH(Assumptions!$C$6,D3764)),Assumptions!$D$6,IF(ISNUMBER(SEARCH(Assumptions!$C$7,D3764)),Assumptions!$D$7,"Other Services"))),"Other Services"))</f>
        <v/>
      </c>
    </row>
    <row r="3765" customFormat="false" ht="15" hidden="false" customHeight="false" outlineLevel="0" collapsed="false">
      <c r="F3765" s="41" t="str">
        <f aca="false">IF(D3765="","",IFERROR(IF(ISNUMBER(SEARCH(Assumptions!$C$5,D3765)),Assumptions!$D$5,IF(ISNUMBER(SEARCH(Assumptions!$C$6,D3765)),Assumptions!$D$6,IF(ISNUMBER(SEARCH(Assumptions!$C$7,D3765)),Assumptions!$D$7,"Other Services"))),"Other Services"))</f>
        <v/>
      </c>
    </row>
    <row r="3766" customFormat="false" ht="15" hidden="false" customHeight="false" outlineLevel="0" collapsed="false">
      <c r="F3766" s="41" t="str">
        <f aca="false">IF(D3766="","",IFERROR(IF(ISNUMBER(SEARCH(Assumptions!$C$5,D3766)),Assumptions!$D$5,IF(ISNUMBER(SEARCH(Assumptions!$C$6,D3766)),Assumptions!$D$6,IF(ISNUMBER(SEARCH(Assumptions!$C$7,D3766)),Assumptions!$D$7,"Other Services"))),"Other Services"))</f>
        <v/>
      </c>
    </row>
    <row r="3767" customFormat="false" ht="15" hidden="false" customHeight="false" outlineLevel="0" collapsed="false">
      <c r="F3767" s="41" t="str">
        <f aca="false">IF(D3767="","",IFERROR(IF(ISNUMBER(SEARCH(Assumptions!$C$5,D3767)),Assumptions!$D$5,IF(ISNUMBER(SEARCH(Assumptions!$C$6,D3767)),Assumptions!$D$6,IF(ISNUMBER(SEARCH(Assumptions!$C$7,D3767)),Assumptions!$D$7,"Other Services"))),"Other Services"))</f>
        <v/>
      </c>
    </row>
    <row r="3768" customFormat="false" ht="15" hidden="false" customHeight="false" outlineLevel="0" collapsed="false">
      <c r="F3768" s="41" t="str">
        <f aca="false">IF(D3768="","",IFERROR(IF(ISNUMBER(SEARCH(Assumptions!$C$5,D3768)),Assumptions!$D$5,IF(ISNUMBER(SEARCH(Assumptions!$C$6,D3768)),Assumptions!$D$6,IF(ISNUMBER(SEARCH(Assumptions!$C$7,D3768)),Assumptions!$D$7,"Other Services"))),"Other Services"))</f>
        <v/>
      </c>
    </row>
    <row r="3769" customFormat="false" ht="15" hidden="false" customHeight="false" outlineLevel="0" collapsed="false">
      <c r="F3769" s="41" t="str">
        <f aca="false">IF(D3769="","",IFERROR(IF(ISNUMBER(SEARCH(Assumptions!$C$5,D3769)),Assumptions!$D$5,IF(ISNUMBER(SEARCH(Assumptions!$C$6,D3769)),Assumptions!$D$6,IF(ISNUMBER(SEARCH(Assumptions!$C$7,D3769)),Assumptions!$D$7,"Other Services"))),"Other Services"))</f>
        <v/>
      </c>
    </row>
    <row r="3770" customFormat="false" ht="15" hidden="false" customHeight="false" outlineLevel="0" collapsed="false">
      <c r="F3770" s="41" t="str">
        <f aca="false">IF(D3770="","",IFERROR(IF(ISNUMBER(SEARCH(Assumptions!$C$5,D3770)),Assumptions!$D$5,IF(ISNUMBER(SEARCH(Assumptions!$C$6,D3770)),Assumptions!$D$6,IF(ISNUMBER(SEARCH(Assumptions!$C$7,D3770)),Assumptions!$D$7,"Other Services"))),"Other Services"))</f>
        <v/>
      </c>
    </row>
    <row r="3771" customFormat="false" ht="15" hidden="false" customHeight="false" outlineLevel="0" collapsed="false">
      <c r="F3771" s="41" t="str">
        <f aca="false">IF(D3771="","",IFERROR(IF(ISNUMBER(SEARCH(Assumptions!$C$5,D3771)),Assumptions!$D$5,IF(ISNUMBER(SEARCH(Assumptions!$C$6,D3771)),Assumptions!$D$6,IF(ISNUMBER(SEARCH(Assumptions!$C$7,D3771)),Assumptions!$D$7,"Other Services"))),"Other Services"))</f>
        <v/>
      </c>
    </row>
    <row r="3772" customFormat="false" ht="15" hidden="false" customHeight="false" outlineLevel="0" collapsed="false">
      <c r="F3772" s="41" t="str">
        <f aca="false">IF(D3772="","",IFERROR(IF(ISNUMBER(SEARCH(Assumptions!$C$5,D3772)),Assumptions!$D$5,IF(ISNUMBER(SEARCH(Assumptions!$C$6,D3772)),Assumptions!$D$6,IF(ISNUMBER(SEARCH(Assumptions!$C$7,D3772)),Assumptions!$D$7,"Other Services"))),"Other Services"))</f>
        <v/>
      </c>
    </row>
    <row r="3773" customFormat="false" ht="15" hidden="false" customHeight="false" outlineLevel="0" collapsed="false">
      <c r="F3773" s="41" t="str">
        <f aca="false">IF(D3773="","",IFERROR(IF(ISNUMBER(SEARCH(Assumptions!$C$5,D3773)),Assumptions!$D$5,IF(ISNUMBER(SEARCH(Assumptions!$C$6,D3773)),Assumptions!$D$6,IF(ISNUMBER(SEARCH(Assumptions!$C$7,D3773)),Assumptions!$D$7,"Other Services"))),"Other Services"))</f>
        <v/>
      </c>
    </row>
    <row r="3774" customFormat="false" ht="15" hidden="false" customHeight="false" outlineLevel="0" collapsed="false">
      <c r="F3774" s="41" t="str">
        <f aca="false">IF(D3774="","",IFERROR(IF(ISNUMBER(SEARCH(Assumptions!$C$5,D3774)),Assumptions!$D$5,IF(ISNUMBER(SEARCH(Assumptions!$C$6,D3774)),Assumptions!$D$6,IF(ISNUMBER(SEARCH(Assumptions!$C$7,D3774)),Assumptions!$D$7,"Other Services"))),"Other Services"))</f>
        <v/>
      </c>
    </row>
    <row r="3775" customFormat="false" ht="15" hidden="false" customHeight="false" outlineLevel="0" collapsed="false">
      <c r="F3775" s="41" t="str">
        <f aca="false">IF(D3775="","",IFERROR(IF(ISNUMBER(SEARCH(Assumptions!$C$5,D3775)),Assumptions!$D$5,IF(ISNUMBER(SEARCH(Assumptions!$C$6,D3775)),Assumptions!$D$6,IF(ISNUMBER(SEARCH(Assumptions!$C$7,D3775)),Assumptions!$D$7,"Other Services"))),"Other Services"))</f>
        <v/>
      </c>
    </row>
    <row r="3776" customFormat="false" ht="15" hidden="false" customHeight="false" outlineLevel="0" collapsed="false">
      <c r="F3776" s="41" t="str">
        <f aca="false">IF(D3776="","",IFERROR(IF(ISNUMBER(SEARCH(Assumptions!$C$5,D3776)),Assumptions!$D$5,IF(ISNUMBER(SEARCH(Assumptions!$C$6,D3776)),Assumptions!$D$6,IF(ISNUMBER(SEARCH(Assumptions!$C$7,D3776)),Assumptions!$D$7,"Other Services"))),"Other Services"))</f>
        <v/>
      </c>
    </row>
    <row r="3777" customFormat="false" ht="15" hidden="false" customHeight="false" outlineLevel="0" collapsed="false">
      <c r="F3777" s="41" t="str">
        <f aca="false">IF(D3777="","",IFERROR(IF(ISNUMBER(SEARCH(Assumptions!$C$5,D3777)),Assumptions!$D$5,IF(ISNUMBER(SEARCH(Assumptions!$C$6,D3777)),Assumptions!$D$6,IF(ISNUMBER(SEARCH(Assumptions!$C$7,D3777)),Assumptions!$D$7,"Other Services"))),"Other Services"))</f>
        <v/>
      </c>
    </row>
    <row r="3778" customFormat="false" ht="15" hidden="false" customHeight="false" outlineLevel="0" collapsed="false">
      <c r="F3778" s="41" t="str">
        <f aca="false">IF(D3778="","",IFERROR(IF(ISNUMBER(SEARCH(Assumptions!$C$5,D3778)),Assumptions!$D$5,IF(ISNUMBER(SEARCH(Assumptions!$C$6,D3778)),Assumptions!$D$6,IF(ISNUMBER(SEARCH(Assumptions!$C$7,D3778)),Assumptions!$D$7,"Other Services"))),"Other Services"))</f>
        <v/>
      </c>
    </row>
    <row r="3779" customFormat="false" ht="15" hidden="false" customHeight="false" outlineLevel="0" collapsed="false">
      <c r="F3779" s="41" t="str">
        <f aca="false">IF(D3779="","",IFERROR(IF(ISNUMBER(SEARCH(Assumptions!$C$5,D3779)),Assumptions!$D$5,IF(ISNUMBER(SEARCH(Assumptions!$C$6,D3779)),Assumptions!$D$6,IF(ISNUMBER(SEARCH(Assumptions!$C$7,D3779)),Assumptions!$D$7,"Other Services"))),"Other Services"))</f>
        <v/>
      </c>
    </row>
    <row r="3780" customFormat="false" ht="15" hidden="false" customHeight="false" outlineLevel="0" collapsed="false">
      <c r="F3780" s="41" t="str">
        <f aca="false">IF(D3780="","",IFERROR(IF(ISNUMBER(SEARCH(Assumptions!$C$5,D3780)),Assumptions!$D$5,IF(ISNUMBER(SEARCH(Assumptions!$C$6,D3780)),Assumptions!$D$6,IF(ISNUMBER(SEARCH(Assumptions!$C$7,D3780)),Assumptions!$D$7,"Other Services"))),"Other Services"))</f>
        <v/>
      </c>
    </row>
    <row r="3781" customFormat="false" ht="15" hidden="false" customHeight="false" outlineLevel="0" collapsed="false">
      <c r="F3781" s="41" t="str">
        <f aca="false">IF(D3781="","",IFERROR(IF(ISNUMBER(SEARCH(Assumptions!$C$5,D3781)),Assumptions!$D$5,IF(ISNUMBER(SEARCH(Assumptions!$C$6,D3781)),Assumptions!$D$6,IF(ISNUMBER(SEARCH(Assumptions!$C$7,D3781)),Assumptions!$D$7,"Other Services"))),"Other Services"))</f>
        <v/>
      </c>
    </row>
    <row r="3782" customFormat="false" ht="15" hidden="false" customHeight="false" outlineLevel="0" collapsed="false">
      <c r="F3782" s="41" t="str">
        <f aca="false">IF(D3782="","",IFERROR(IF(ISNUMBER(SEARCH(Assumptions!$C$5,D3782)),Assumptions!$D$5,IF(ISNUMBER(SEARCH(Assumptions!$C$6,D3782)),Assumptions!$D$6,IF(ISNUMBER(SEARCH(Assumptions!$C$7,D3782)),Assumptions!$D$7,"Other Services"))),"Other Services"))</f>
        <v/>
      </c>
    </row>
    <row r="3783" customFormat="false" ht="15" hidden="false" customHeight="false" outlineLevel="0" collapsed="false">
      <c r="F3783" s="41" t="str">
        <f aca="false">IF(D3783="","",IFERROR(IF(ISNUMBER(SEARCH(Assumptions!$C$5,D3783)),Assumptions!$D$5,IF(ISNUMBER(SEARCH(Assumptions!$C$6,D3783)),Assumptions!$D$6,IF(ISNUMBER(SEARCH(Assumptions!$C$7,D3783)),Assumptions!$D$7,"Other Services"))),"Other Services"))</f>
        <v/>
      </c>
    </row>
    <row r="3784" customFormat="false" ht="15" hidden="false" customHeight="false" outlineLevel="0" collapsed="false">
      <c r="F3784" s="41" t="str">
        <f aca="false">IF(D3784="","",IFERROR(IF(ISNUMBER(SEARCH(Assumptions!$C$5,D3784)),Assumptions!$D$5,IF(ISNUMBER(SEARCH(Assumptions!$C$6,D3784)),Assumptions!$D$6,IF(ISNUMBER(SEARCH(Assumptions!$C$7,D3784)),Assumptions!$D$7,"Other Services"))),"Other Services"))</f>
        <v/>
      </c>
    </row>
    <row r="3785" customFormat="false" ht="15" hidden="false" customHeight="false" outlineLevel="0" collapsed="false">
      <c r="F3785" s="41" t="str">
        <f aca="false">IF(D3785="","",IFERROR(IF(ISNUMBER(SEARCH(Assumptions!$C$5,D3785)),Assumptions!$D$5,IF(ISNUMBER(SEARCH(Assumptions!$C$6,D3785)),Assumptions!$D$6,IF(ISNUMBER(SEARCH(Assumptions!$C$7,D3785)),Assumptions!$D$7,"Other Services"))),"Other Services"))</f>
        <v/>
      </c>
    </row>
    <row r="3786" customFormat="false" ht="15" hidden="false" customHeight="false" outlineLevel="0" collapsed="false">
      <c r="F3786" s="41" t="str">
        <f aca="false">IF(D3786="","",IFERROR(IF(ISNUMBER(SEARCH(Assumptions!$C$5,D3786)),Assumptions!$D$5,IF(ISNUMBER(SEARCH(Assumptions!$C$6,D3786)),Assumptions!$D$6,IF(ISNUMBER(SEARCH(Assumptions!$C$7,D3786)),Assumptions!$D$7,"Other Services"))),"Other Services"))</f>
        <v/>
      </c>
    </row>
    <row r="3787" customFormat="false" ht="15" hidden="false" customHeight="false" outlineLevel="0" collapsed="false">
      <c r="F3787" s="41" t="str">
        <f aca="false">IF(D3787="","",IFERROR(IF(ISNUMBER(SEARCH(Assumptions!$C$5,D3787)),Assumptions!$D$5,IF(ISNUMBER(SEARCH(Assumptions!$C$6,D3787)),Assumptions!$D$6,IF(ISNUMBER(SEARCH(Assumptions!$C$7,D3787)),Assumptions!$D$7,"Other Services"))),"Other Services"))</f>
        <v/>
      </c>
    </row>
    <row r="3788" customFormat="false" ht="15" hidden="false" customHeight="false" outlineLevel="0" collapsed="false">
      <c r="F3788" s="41" t="str">
        <f aca="false">IF(D3788="","",IFERROR(IF(ISNUMBER(SEARCH(Assumptions!$C$5,D3788)),Assumptions!$D$5,IF(ISNUMBER(SEARCH(Assumptions!$C$6,D3788)),Assumptions!$D$6,IF(ISNUMBER(SEARCH(Assumptions!$C$7,D3788)),Assumptions!$D$7,"Other Services"))),"Other Services"))</f>
        <v/>
      </c>
    </row>
    <row r="3789" customFormat="false" ht="15" hidden="false" customHeight="false" outlineLevel="0" collapsed="false">
      <c r="F3789" s="41" t="str">
        <f aca="false">IF(D3789="","",IFERROR(IF(ISNUMBER(SEARCH(Assumptions!$C$5,D3789)),Assumptions!$D$5,IF(ISNUMBER(SEARCH(Assumptions!$C$6,D3789)),Assumptions!$D$6,IF(ISNUMBER(SEARCH(Assumptions!$C$7,D3789)),Assumptions!$D$7,"Other Services"))),"Other Services"))</f>
        <v/>
      </c>
    </row>
    <row r="3790" customFormat="false" ht="15" hidden="false" customHeight="false" outlineLevel="0" collapsed="false">
      <c r="F3790" s="41" t="str">
        <f aca="false">IF(D3790="","",IFERROR(IF(ISNUMBER(SEARCH(Assumptions!$C$5,D3790)),Assumptions!$D$5,IF(ISNUMBER(SEARCH(Assumptions!$C$6,D3790)),Assumptions!$D$6,IF(ISNUMBER(SEARCH(Assumptions!$C$7,D3790)),Assumptions!$D$7,"Other Services"))),"Other Services"))</f>
        <v/>
      </c>
    </row>
    <row r="3791" customFormat="false" ht="15" hidden="false" customHeight="false" outlineLevel="0" collapsed="false">
      <c r="F3791" s="41" t="str">
        <f aca="false">IF(D3791="","",IFERROR(IF(ISNUMBER(SEARCH(Assumptions!$C$5,D3791)),Assumptions!$D$5,IF(ISNUMBER(SEARCH(Assumptions!$C$6,D3791)),Assumptions!$D$6,IF(ISNUMBER(SEARCH(Assumptions!$C$7,D3791)),Assumptions!$D$7,"Other Services"))),"Other Services"))</f>
        <v/>
      </c>
    </row>
    <row r="3792" customFormat="false" ht="15" hidden="false" customHeight="false" outlineLevel="0" collapsed="false">
      <c r="F3792" s="41" t="str">
        <f aca="false">IF(D3792="","",IFERROR(IF(ISNUMBER(SEARCH(Assumptions!$C$5,D3792)),Assumptions!$D$5,IF(ISNUMBER(SEARCH(Assumptions!$C$6,D3792)),Assumptions!$D$6,IF(ISNUMBER(SEARCH(Assumptions!$C$7,D3792)),Assumptions!$D$7,"Other Services"))),"Other Services"))</f>
        <v/>
      </c>
    </row>
    <row r="3793" customFormat="false" ht="15" hidden="false" customHeight="false" outlineLevel="0" collapsed="false">
      <c r="F3793" s="41" t="str">
        <f aca="false">IF(D3793="","",IFERROR(IF(ISNUMBER(SEARCH(Assumptions!$C$5,D3793)),Assumptions!$D$5,IF(ISNUMBER(SEARCH(Assumptions!$C$6,D3793)),Assumptions!$D$6,IF(ISNUMBER(SEARCH(Assumptions!$C$7,D3793)),Assumptions!$D$7,"Other Services"))),"Other Services"))</f>
        <v/>
      </c>
    </row>
    <row r="3794" customFormat="false" ht="15" hidden="false" customHeight="false" outlineLevel="0" collapsed="false">
      <c r="F3794" s="41" t="str">
        <f aca="false">IF(D3794="","",IFERROR(IF(ISNUMBER(SEARCH(Assumptions!$C$5,D3794)),Assumptions!$D$5,IF(ISNUMBER(SEARCH(Assumptions!$C$6,D3794)),Assumptions!$D$6,IF(ISNUMBER(SEARCH(Assumptions!$C$7,D3794)),Assumptions!$D$7,"Other Services"))),"Other Services"))</f>
        <v/>
      </c>
    </row>
    <row r="3795" customFormat="false" ht="15" hidden="false" customHeight="false" outlineLevel="0" collapsed="false">
      <c r="F3795" s="41" t="str">
        <f aca="false">IF(D3795="","",IFERROR(IF(ISNUMBER(SEARCH(Assumptions!$C$5,D3795)),Assumptions!$D$5,IF(ISNUMBER(SEARCH(Assumptions!$C$6,D3795)),Assumptions!$D$6,IF(ISNUMBER(SEARCH(Assumptions!$C$7,D3795)),Assumptions!$D$7,"Other Services"))),"Other Services"))</f>
        <v/>
      </c>
    </row>
    <row r="3796" customFormat="false" ht="15" hidden="false" customHeight="false" outlineLevel="0" collapsed="false">
      <c r="F3796" s="41" t="str">
        <f aca="false">IF(D3796="","",IFERROR(IF(ISNUMBER(SEARCH(Assumptions!$C$5,D3796)),Assumptions!$D$5,IF(ISNUMBER(SEARCH(Assumptions!$C$6,D3796)),Assumptions!$D$6,IF(ISNUMBER(SEARCH(Assumptions!$C$7,D3796)),Assumptions!$D$7,"Other Services"))),"Other Services"))</f>
        <v/>
      </c>
    </row>
    <row r="3797" customFormat="false" ht="15" hidden="false" customHeight="false" outlineLevel="0" collapsed="false">
      <c r="F3797" s="41" t="str">
        <f aca="false">IF(D3797="","",IFERROR(IF(ISNUMBER(SEARCH(Assumptions!$C$5,D3797)),Assumptions!$D$5,IF(ISNUMBER(SEARCH(Assumptions!$C$6,D3797)),Assumptions!$D$6,IF(ISNUMBER(SEARCH(Assumptions!$C$7,D3797)),Assumptions!$D$7,"Other Services"))),"Other Services"))</f>
        <v/>
      </c>
    </row>
    <row r="3798" customFormat="false" ht="15" hidden="false" customHeight="false" outlineLevel="0" collapsed="false">
      <c r="F3798" s="41" t="str">
        <f aca="false">IF(D3798="","",IFERROR(IF(ISNUMBER(SEARCH(Assumptions!$C$5,D3798)),Assumptions!$D$5,IF(ISNUMBER(SEARCH(Assumptions!$C$6,D3798)),Assumptions!$D$6,IF(ISNUMBER(SEARCH(Assumptions!$C$7,D3798)),Assumptions!$D$7,"Other Services"))),"Other Services"))</f>
        <v/>
      </c>
    </row>
    <row r="3799" customFormat="false" ht="15" hidden="false" customHeight="false" outlineLevel="0" collapsed="false">
      <c r="F3799" s="41" t="str">
        <f aca="false">IF(D3799="","",IFERROR(IF(ISNUMBER(SEARCH(Assumptions!$C$5,D3799)),Assumptions!$D$5,IF(ISNUMBER(SEARCH(Assumptions!$C$6,D3799)),Assumptions!$D$6,IF(ISNUMBER(SEARCH(Assumptions!$C$7,D3799)),Assumptions!$D$7,"Other Services"))),"Other Services"))</f>
        <v/>
      </c>
    </row>
    <row r="3800" customFormat="false" ht="15" hidden="false" customHeight="false" outlineLevel="0" collapsed="false">
      <c r="F3800" s="41" t="str">
        <f aca="false">IF(D3800="","",IFERROR(IF(ISNUMBER(SEARCH(Assumptions!$C$5,D3800)),Assumptions!$D$5,IF(ISNUMBER(SEARCH(Assumptions!$C$6,D3800)),Assumptions!$D$6,IF(ISNUMBER(SEARCH(Assumptions!$C$7,D3800)),Assumptions!$D$7,"Other Services"))),"Other Services"))</f>
        <v/>
      </c>
    </row>
    <row r="3801" customFormat="false" ht="15" hidden="false" customHeight="false" outlineLevel="0" collapsed="false">
      <c r="F3801" s="41" t="str">
        <f aca="false">IF(D3801="","",IFERROR(IF(ISNUMBER(SEARCH(Assumptions!$C$5,D3801)),Assumptions!$D$5,IF(ISNUMBER(SEARCH(Assumptions!$C$6,D3801)),Assumptions!$D$6,IF(ISNUMBER(SEARCH(Assumptions!$C$7,D3801)),Assumptions!$D$7,"Other Services"))),"Other Services"))</f>
        <v/>
      </c>
    </row>
    <row r="3802" customFormat="false" ht="15" hidden="false" customHeight="false" outlineLevel="0" collapsed="false">
      <c r="F3802" s="41" t="str">
        <f aca="false">IF(D3802="","",IFERROR(IF(ISNUMBER(SEARCH(Assumptions!$C$5,D3802)),Assumptions!$D$5,IF(ISNUMBER(SEARCH(Assumptions!$C$6,D3802)),Assumptions!$D$6,IF(ISNUMBER(SEARCH(Assumptions!$C$7,D3802)),Assumptions!$D$7,"Other Services"))),"Other Services"))</f>
        <v/>
      </c>
    </row>
    <row r="3803" customFormat="false" ht="15" hidden="false" customHeight="false" outlineLevel="0" collapsed="false">
      <c r="F3803" s="41" t="str">
        <f aca="false">IF(D3803="","",IFERROR(IF(ISNUMBER(SEARCH(Assumptions!$C$5,D3803)),Assumptions!$D$5,IF(ISNUMBER(SEARCH(Assumptions!$C$6,D3803)),Assumptions!$D$6,IF(ISNUMBER(SEARCH(Assumptions!$C$7,D3803)),Assumptions!$D$7,"Other Services"))),"Other Services"))</f>
        <v/>
      </c>
    </row>
    <row r="3804" customFormat="false" ht="15" hidden="false" customHeight="false" outlineLevel="0" collapsed="false">
      <c r="F3804" s="41" t="str">
        <f aca="false">IF(D3804="","",IFERROR(IF(ISNUMBER(SEARCH(Assumptions!$C$5,D3804)),Assumptions!$D$5,IF(ISNUMBER(SEARCH(Assumptions!$C$6,D3804)),Assumptions!$D$6,IF(ISNUMBER(SEARCH(Assumptions!$C$7,D3804)),Assumptions!$D$7,"Other Services"))),"Other Services"))</f>
        <v/>
      </c>
    </row>
    <row r="3805" customFormat="false" ht="15" hidden="false" customHeight="false" outlineLevel="0" collapsed="false">
      <c r="F3805" s="41" t="str">
        <f aca="false">IF(D3805="","",IFERROR(IF(ISNUMBER(SEARCH(Assumptions!$C$5,D3805)),Assumptions!$D$5,IF(ISNUMBER(SEARCH(Assumptions!$C$6,D3805)),Assumptions!$D$6,IF(ISNUMBER(SEARCH(Assumptions!$C$7,D3805)),Assumptions!$D$7,"Other Services"))),"Other Services"))</f>
        <v/>
      </c>
    </row>
    <row r="3806" customFormat="false" ht="15" hidden="false" customHeight="false" outlineLevel="0" collapsed="false">
      <c r="F3806" s="41" t="str">
        <f aca="false">IF(D3806="","",IFERROR(IF(ISNUMBER(SEARCH(Assumptions!$C$5,D3806)),Assumptions!$D$5,IF(ISNUMBER(SEARCH(Assumptions!$C$6,D3806)),Assumptions!$D$6,IF(ISNUMBER(SEARCH(Assumptions!$C$7,D3806)),Assumptions!$D$7,"Other Services"))),"Other Services"))</f>
        <v/>
      </c>
    </row>
    <row r="3807" customFormat="false" ht="15" hidden="false" customHeight="false" outlineLevel="0" collapsed="false">
      <c r="F3807" s="41" t="str">
        <f aca="false">IF(D3807="","",IFERROR(IF(ISNUMBER(SEARCH(Assumptions!$C$5,D3807)),Assumptions!$D$5,IF(ISNUMBER(SEARCH(Assumptions!$C$6,D3807)),Assumptions!$D$6,IF(ISNUMBER(SEARCH(Assumptions!$C$7,D3807)),Assumptions!$D$7,"Other Services"))),"Other Services"))</f>
        <v/>
      </c>
    </row>
    <row r="3808" customFormat="false" ht="15" hidden="false" customHeight="false" outlineLevel="0" collapsed="false">
      <c r="F3808" s="41" t="str">
        <f aca="false">IF(D3808="","",IFERROR(IF(ISNUMBER(SEARCH(Assumptions!$C$5,D3808)),Assumptions!$D$5,IF(ISNUMBER(SEARCH(Assumptions!$C$6,D3808)),Assumptions!$D$6,IF(ISNUMBER(SEARCH(Assumptions!$C$7,D3808)),Assumptions!$D$7,"Other Services"))),"Other Services"))</f>
        <v/>
      </c>
    </row>
    <row r="3809" customFormat="false" ht="15" hidden="false" customHeight="false" outlineLevel="0" collapsed="false">
      <c r="F3809" s="41" t="str">
        <f aca="false">IF(D3809="","",IFERROR(IF(ISNUMBER(SEARCH(Assumptions!$C$5,D3809)),Assumptions!$D$5,IF(ISNUMBER(SEARCH(Assumptions!$C$6,D3809)),Assumptions!$D$6,IF(ISNUMBER(SEARCH(Assumptions!$C$7,D3809)),Assumptions!$D$7,"Other Services"))),"Other Services"))</f>
        <v/>
      </c>
    </row>
    <row r="3810" customFormat="false" ht="15" hidden="false" customHeight="false" outlineLevel="0" collapsed="false">
      <c r="F3810" s="41" t="str">
        <f aca="false">IF(D3810="","",IFERROR(IF(ISNUMBER(SEARCH(Assumptions!$C$5,D3810)),Assumptions!$D$5,IF(ISNUMBER(SEARCH(Assumptions!$C$6,D3810)),Assumptions!$D$6,IF(ISNUMBER(SEARCH(Assumptions!$C$7,D3810)),Assumptions!$D$7,"Other Services"))),"Other Services"))</f>
        <v/>
      </c>
    </row>
    <row r="3811" customFormat="false" ht="15" hidden="false" customHeight="false" outlineLevel="0" collapsed="false">
      <c r="F3811" s="41" t="str">
        <f aca="false">IF(D3811="","",IFERROR(IF(ISNUMBER(SEARCH(Assumptions!$C$5,D3811)),Assumptions!$D$5,IF(ISNUMBER(SEARCH(Assumptions!$C$6,D3811)),Assumptions!$D$6,IF(ISNUMBER(SEARCH(Assumptions!$C$7,D3811)),Assumptions!$D$7,"Other Services"))),"Other Services"))</f>
        <v/>
      </c>
    </row>
    <row r="3812" customFormat="false" ht="15" hidden="false" customHeight="false" outlineLevel="0" collapsed="false">
      <c r="F3812" s="41" t="str">
        <f aca="false">IF(D3812="","",IFERROR(IF(ISNUMBER(SEARCH(Assumptions!$C$5,D3812)),Assumptions!$D$5,IF(ISNUMBER(SEARCH(Assumptions!$C$6,D3812)),Assumptions!$D$6,IF(ISNUMBER(SEARCH(Assumptions!$C$7,D3812)),Assumptions!$D$7,"Other Services"))),"Other Services"))</f>
        <v/>
      </c>
    </row>
    <row r="3813" customFormat="false" ht="15" hidden="false" customHeight="false" outlineLevel="0" collapsed="false">
      <c r="F3813" s="41" t="str">
        <f aca="false">IF(D3813="","",IFERROR(IF(ISNUMBER(SEARCH(Assumptions!$C$5,D3813)),Assumptions!$D$5,IF(ISNUMBER(SEARCH(Assumptions!$C$6,D3813)),Assumptions!$D$6,IF(ISNUMBER(SEARCH(Assumptions!$C$7,D3813)),Assumptions!$D$7,"Other Services"))),"Other Services"))</f>
        <v/>
      </c>
    </row>
    <row r="3814" customFormat="false" ht="15" hidden="false" customHeight="false" outlineLevel="0" collapsed="false">
      <c r="F3814" s="41" t="str">
        <f aca="false">IF(D3814="","",IFERROR(IF(ISNUMBER(SEARCH(Assumptions!$C$5,D3814)),Assumptions!$D$5,IF(ISNUMBER(SEARCH(Assumptions!$C$6,D3814)),Assumptions!$D$6,IF(ISNUMBER(SEARCH(Assumptions!$C$7,D3814)),Assumptions!$D$7,"Other Services"))),"Other Services"))</f>
        <v/>
      </c>
    </row>
    <row r="3815" customFormat="false" ht="15" hidden="false" customHeight="false" outlineLevel="0" collapsed="false">
      <c r="F3815" s="41" t="str">
        <f aca="false">IF(D3815="","",IFERROR(IF(ISNUMBER(SEARCH(Assumptions!$C$5,D3815)),Assumptions!$D$5,IF(ISNUMBER(SEARCH(Assumptions!$C$6,D3815)),Assumptions!$D$6,IF(ISNUMBER(SEARCH(Assumptions!$C$7,D3815)),Assumptions!$D$7,"Other Services"))),"Other Services"))</f>
        <v/>
      </c>
    </row>
    <row r="3816" customFormat="false" ht="15" hidden="false" customHeight="false" outlineLevel="0" collapsed="false">
      <c r="F3816" s="41" t="str">
        <f aca="false">IF(D3816="","",IFERROR(IF(ISNUMBER(SEARCH(Assumptions!$C$5,D3816)),Assumptions!$D$5,IF(ISNUMBER(SEARCH(Assumptions!$C$6,D3816)),Assumptions!$D$6,IF(ISNUMBER(SEARCH(Assumptions!$C$7,D3816)),Assumptions!$D$7,"Other Services"))),"Other Services"))</f>
        <v/>
      </c>
    </row>
    <row r="3817" customFormat="false" ht="15" hidden="false" customHeight="false" outlineLevel="0" collapsed="false">
      <c r="F3817" s="41" t="str">
        <f aca="false">IF(D3817="","",IFERROR(IF(ISNUMBER(SEARCH(Assumptions!$C$5,D3817)),Assumptions!$D$5,IF(ISNUMBER(SEARCH(Assumptions!$C$6,D3817)),Assumptions!$D$6,IF(ISNUMBER(SEARCH(Assumptions!$C$7,D3817)),Assumptions!$D$7,"Other Services"))),"Other Services"))</f>
        <v/>
      </c>
    </row>
    <row r="3818" customFormat="false" ht="15" hidden="false" customHeight="false" outlineLevel="0" collapsed="false">
      <c r="F3818" s="41" t="str">
        <f aca="false">IF(D3818="","",IFERROR(IF(ISNUMBER(SEARCH(Assumptions!$C$5,D3818)),Assumptions!$D$5,IF(ISNUMBER(SEARCH(Assumptions!$C$6,D3818)),Assumptions!$D$6,IF(ISNUMBER(SEARCH(Assumptions!$C$7,D3818)),Assumptions!$D$7,"Other Services"))),"Other Services"))</f>
        <v/>
      </c>
    </row>
    <row r="3819" customFormat="false" ht="15" hidden="false" customHeight="false" outlineLevel="0" collapsed="false">
      <c r="F3819" s="41" t="str">
        <f aca="false">IF(D3819="","",IFERROR(IF(ISNUMBER(SEARCH(Assumptions!$C$5,D3819)),Assumptions!$D$5,IF(ISNUMBER(SEARCH(Assumptions!$C$6,D3819)),Assumptions!$D$6,IF(ISNUMBER(SEARCH(Assumptions!$C$7,D3819)),Assumptions!$D$7,"Other Services"))),"Other Services"))</f>
        <v/>
      </c>
    </row>
    <row r="3820" customFormat="false" ht="15" hidden="false" customHeight="false" outlineLevel="0" collapsed="false">
      <c r="F3820" s="41" t="str">
        <f aca="false">IF(D3820="","",IFERROR(IF(ISNUMBER(SEARCH(Assumptions!$C$5,D3820)),Assumptions!$D$5,IF(ISNUMBER(SEARCH(Assumptions!$C$6,D3820)),Assumptions!$D$6,IF(ISNUMBER(SEARCH(Assumptions!$C$7,D3820)),Assumptions!$D$7,"Other Services"))),"Other Services"))</f>
        <v/>
      </c>
    </row>
    <row r="3821" customFormat="false" ht="15" hidden="false" customHeight="false" outlineLevel="0" collapsed="false">
      <c r="F3821" s="41" t="str">
        <f aca="false">IF(D3821="","",IFERROR(IF(ISNUMBER(SEARCH(Assumptions!$C$5,D3821)),Assumptions!$D$5,IF(ISNUMBER(SEARCH(Assumptions!$C$6,D3821)),Assumptions!$D$6,IF(ISNUMBER(SEARCH(Assumptions!$C$7,D3821)),Assumptions!$D$7,"Other Services"))),"Other Services"))</f>
        <v/>
      </c>
    </row>
    <row r="3822" customFormat="false" ht="15" hidden="false" customHeight="false" outlineLevel="0" collapsed="false">
      <c r="F3822" s="41" t="str">
        <f aca="false">IF(D3822="","",IFERROR(IF(ISNUMBER(SEARCH(Assumptions!$C$5,D3822)),Assumptions!$D$5,IF(ISNUMBER(SEARCH(Assumptions!$C$6,D3822)),Assumptions!$D$6,IF(ISNUMBER(SEARCH(Assumptions!$C$7,D3822)),Assumptions!$D$7,"Other Services"))),"Other Services"))</f>
        <v/>
      </c>
    </row>
    <row r="3823" customFormat="false" ht="15" hidden="false" customHeight="false" outlineLevel="0" collapsed="false">
      <c r="F3823" s="41" t="str">
        <f aca="false">IF(D3823="","",IFERROR(IF(ISNUMBER(SEARCH(Assumptions!$C$5,D3823)),Assumptions!$D$5,IF(ISNUMBER(SEARCH(Assumptions!$C$6,D3823)),Assumptions!$D$6,IF(ISNUMBER(SEARCH(Assumptions!$C$7,D3823)),Assumptions!$D$7,"Other Services"))),"Other Services"))</f>
        <v/>
      </c>
    </row>
    <row r="3824" customFormat="false" ht="15" hidden="false" customHeight="false" outlineLevel="0" collapsed="false">
      <c r="F3824" s="41" t="str">
        <f aca="false">IF(D3824="","",IFERROR(IF(ISNUMBER(SEARCH(Assumptions!$C$5,D3824)),Assumptions!$D$5,IF(ISNUMBER(SEARCH(Assumptions!$C$6,D3824)),Assumptions!$D$6,IF(ISNUMBER(SEARCH(Assumptions!$C$7,D3824)),Assumptions!$D$7,"Other Services"))),"Other Services"))</f>
        <v/>
      </c>
    </row>
    <row r="3825" customFormat="false" ht="15" hidden="false" customHeight="false" outlineLevel="0" collapsed="false">
      <c r="F3825" s="41" t="str">
        <f aca="false">IF(D3825="","",IFERROR(IF(ISNUMBER(SEARCH(Assumptions!$C$5,D3825)),Assumptions!$D$5,IF(ISNUMBER(SEARCH(Assumptions!$C$6,D3825)),Assumptions!$D$6,IF(ISNUMBER(SEARCH(Assumptions!$C$7,D3825)),Assumptions!$D$7,"Other Services"))),"Other Services"))</f>
        <v/>
      </c>
    </row>
    <row r="3826" customFormat="false" ht="15" hidden="false" customHeight="false" outlineLevel="0" collapsed="false">
      <c r="F3826" s="41" t="str">
        <f aca="false">IF(D3826="","",IFERROR(IF(ISNUMBER(SEARCH(Assumptions!$C$5,D3826)),Assumptions!$D$5,IF(ISNUMBER(SEARCH(Assumptions!$C$6,D3826)),Assumptions!$D$6,IF(ISNUMBER(SEARCH(Assumptions!$C$7,D3826)),Assumptions!$D$7,"Other Services"))),"Other Services"))</f>
        <v/>
      </c>
    </row>
    <row r="3827" customFormat="false" ht="15" hidden="false" customHeight="false" outlineLevel="0" collapsed="false">
      <c r="F3827" s="41" t="str">
        <f aca="false">IF(D3827="","",IFERROR(IF(ISNUMBER(SEARCH(Assumptions!$C$5,D3827)),Assumptions!$D$5,IF(ISNUMBER(SEARCH(Assumptions!$C$6,D3827)),Assumptions!$D$6,IF(ISNUMBER(SEARCH(Assumptions!$C$7,D3827)),Assumptions!$D$7,"Other Services"))),"Other Services"))</f>
        <v/>
      </c>
    </row>
    <row r="3828" customFormat="false" ht="15" hidden="false" customHeight="false" outlineLevel="0" collapsed="false">
      <c r="F3828" s="41" t="str">
        <f aca="false">IF(D3828="","",IFERROR(IF(ISNUMBER(SEARCH(Assumptions!$C$5,D3828)),Assumptions!$D$5,IF(ISNUMBER(SEARCH(Assumptions!$C$6,D3828)),Assumptions!$D$6,IF(ISNUMBER(SEARCH(Assumptions!$C$7,D3828)),Assumptions!$D$7,"Other Services"))),"Other Services"))</f>
        <v/>
      </c>
    </row>
    <row r="3829" customFormat="false" ht="15" hidden="false" customHeight="false" outlineLevel="0" collapsed="false">
      <c r="F3829" s="41" t="str">
        <f aca="false">IF(D3829="","",IFERROR(IF(ISNUMBER(SEARCH(Assumptions!$C$5,D3829)),Assumptions!$D$5,IF(ISNUMBER(SEARCH(Assumptions!$C$6,D3829)),Assumptions!$D$6,IF(ISNUMBER(SEARCH(Assumptions!$C$7,D3829)),Assumptions!$D$7,"Other Services"))),"Other Services"))</f>
        <v/>
      </c>
    </row>
    <row r="3830" customFormat="false" ht="15" hidden="false" customHeight="false" outlineLevel="0" collapsed="false">
      <c r="F3830" s="41" t="str">
        <f aca="false">IF(D3830="","",IFERROR(IF(ISNUMBER(SEARCH(Assumptions!$C$5,D3830)),Assumptions!$D$5,IF(ISNUMBER(SEARCH(Assumptions!$C$6,D3830)),Assumptions!$D$6,IF(ISNUMBER(SEARCH(Assumptions!$C$7,D3830)),Assumptions!$D$7,"Other Services"))),"Other Services"))</f>
        <v/>
      </c>
    </row>
    <row r="3831" customFormat="false" ht="15" hidden="false" customHeight="false" outlineLevel="0" collapsed="false">
      <c r="F3831" s="41" t="str">
        <f aca="false">IF(D3831="","",IFERROR(IF(ISNUMBER(SEARCH(Assumptions!$C$5,D3831)),Assumptions!$D$5,IF(ISNUMBER(SEARCH(Assumptions!$C$6,D3831)),Assumptions!$D$6,IF(ISNUMBER(SEARCH(Assumptions!$C$7,D3831)),Assumptions!$D$7,"Other Services"))),"Other Services"))</f>
        <v/>
      </c>
    </row>
    <row r="3832" customFormat="false" ht="15" hidden="false" customHeight="false" outlineLevel="0" collapsed="false">
      <c r="F3832" s="41" t="str">
        <f aca="false">IF(D3832="","",IFERROR(IF(ISNUMBER(SEARCH(Assumptions!$C$5,D3832)),Assumptions!$D$5,IF(ISNUMBER(SEARCH(Assumptions!$C$6,D3832)),Assumptions!$D$6,IF(ISNUMBER(SEARCH(Assumptions!$C$7,D3832)),Assumptions!$D$7,"Other Services"))),"Other Services"))</f>
        <v/>
      </c>
    </row>
    <row r="3833" customFormat="false" ht="15" hidden="false" customHeight="false" outlineLevel="0" collapsed="false">
      <c r="F3833" s="41" t="str">
        <f aca="false">IF(D3833="","",IFERROR(IF(ISNUMBER(SEARCH(Assumptions!$C$5,D3833)),Assumptions!$D$5,IF(ISNUMBER(SEARCH(Assumptions!$C$6,D3833)),Assumptions!$D$6,IF(ISNUMBER(SEARCH(Assumptions!$C$7,D3833)),Assumptions!$D$7,"Other Services"))),"Other Services"))</f>
        <v/>
      </c>
    </row>
    <row r="3834" customFormat="false" ht="15" hidden="false" customHeight="false" outlineLevel="0" collapsed="false">
      <c r="F3834" s="41" t="str">
        <f aca="false">IF(D3834="","",IFERROR(IF(ISNUMBER(SEARCH(Assumptions!$C$5,D3834)),Assumptions!$D$5,IF(ISNUMBER(SEARCH(Assumptions!$C$6,D3834)),Assumptions!$D$6,IF(ISNUMBER(SEARCH(Assumptions!$C$7,D3834)),Assumptions!$D$7,"Other Services"))),"Other Services"))</f>
        <v/>
      </c>
    </row>
    <row r="3835" customFormat="false" ht="15" hidden="false" customHeight="false" outlineLevel="0" collapsed="false">
      <c r="F3835" s="41" t="str">
        <f aca="false">IF(D3835="","",IFERROR(IF(ISNUMBER(SEARCH(Assumptions!$C$5,D3835)),Assumptions!$D$5,IF(ISNUMBER(SEARCH(Assumptions!$C$6,D3835)),Assumptions!$D$6,IF(ISNUMBER(SEARCH(Assumptions!$C$7,D3835)),Assumptions!$D$7,"Other Services"))),"Other Services"))</f>
        <v/>
      </c>
    </row>
    <row r="3836" customFormat="false" ht="15" hidden="false" customHeight="false" outlineLevel="0" collapsed="false">
      <c r="F3836" s="41" t="str">
        <f aca="false">IF(D3836="","",IFERROR(IF(ISNUMBER(SEARCH(Assumptions!$C$5,D3836)),Assumptions!$D$5,IF(ISNUMBER(SEARCH(Assumptions!$C$6,D3836)),Assumptions!$D$6,IF(ISNUMBER(SEARCH(Assumptions!$C$7,D3836)),Assumptions!$D$7,"Other Services"))),"Other Services"))</f>
        <v/>
      </c>
    </row>
    <row r="3837" customFormat="false" ht="15" hidden="false" customHeight="false" outlineLevel="0" collapsed="false">
      <c r="F3837" s="41" t="str">
        <f aca="false">IF(D3837="","",IFERROR(IF(ISNUMBER(SEARCH(Assumptions!$C$5,D3837)),Assumptions!$D$5,IF(ISNUMBER(SEARCH(Assumptions!$C$6,D3837)),Assumptions!$D$6,IF(ISNUMBER(SEARCH(Assumptions!$C$7,D3837)),Assumptions!$D$7,"Other Services"))),"Other Services"))</f>
        <v/>
      </c>
    </row>
    <row r="3838" customFormat="false" ht="15" hidden="false" customHeight="false" outlineLevel="0" collapsed="false">
      <c r="F3838" s="41" t="str">
        <f aca="false">IF(D3838="","",IFERROR(IF(ISNUMBER(SEARCH(Assumptions!$C$5,D3838)),Assumptions!$D$5,IF(ISNUMBER(SEARCH(Assumptions!$C$6,D3838)),Assumptions!$D$6,IF(ISNUMBER(SEARCH(Assumptions!$C$7,D3838)),Assumptions!$D$7,"Other Services"))),"Other Services"))</f>
        <v/>
      </c>
    </row>
    <row r="3839" customFormat="false" ht="15" hidden="false" customHeight="false" outlineLevel="0" collapsed="false">
      <c r="F3839" s="41" t="str">
        <f aca="false">IF(D3839="","",IFERROR(IF(ISNUMBER(SEARCH(Assumptions!$C$5,D3839)),Assumptions!$D$5,IF(ISNUMBER(SEARCH(Assumptions!$C$6,D3839)),Assumptions!$D$6,IF(ISNUMBER(SEARCH(Assumptions!$C$7,D3839)),Assumptions!$D$7,"Other Services"))),"Other Services"))</f>
        <v/>
      </c>
    </row>
    <row r="3840" customFormat="false" ht="15" hidden="false" customHeight="false" outlineLevel="0" collapsed="false">
      <c r="F3840" s="41" t="str">
        <f aca="false">IF(D3840="","",IFERROR(IF(ISNUMBER(SEARCH(Assumptions!$C$5,D3840)),Assumptions!$D$5,IF(ISNUMBER(SEARCH(Assumptions!$C$6,D3840)),Assumptions!$D$6,IF(ISNUMBER(SEARCH(Assumptions!$C$7,D3840)),Assumptions!$D$7,"Other Services"))),"Other Services"))</f>
        <v/>
      </c>
    </row>
    <row r="3841" customFormat="false" ht="15" hidden="false" customHeight="false" outlineLevel="0" collapsed="false">
      <c r="F3841" s="41" t="str">
        <f aca="false">IF(D3841="","",IFERROR(IF(ISNUMBER(SEARCH(Assumptions!$C$5,D3841)),Assumptions!$D$5,IF(ISNUMBER(SEARCH(Assumptions!$C$6,D3841)),Assumptions!$D$6,IF(ISNUMBER(SEARCH(Assumptions!$C$7,D3841)),Assumptions!$D$7,"Other Services"))),"Other Services"))</f>
        <v/>
      </c>
    </row>
    <row r="3842" customFormat="false" ht="15" hidden="false" customHeight="false" outlineLevel="0" collapsed="false">
      <c r="F3842" s="41" t="str">
        <f aca="false">IF(D3842="","",IFERROR(IF(ISNUMBER(SEARCH(Assumptions!$C$5,D3842)),Assumptions!$D$5,IF(ISNUMBER(SEARCH(Assumptions!$C$6,D3842)),Assumptions!$D$6,IF(ISNUMBER(SEARCH(Assumptions!$C$7,D3842)),Assumptions!$D$7,"Other Services"))),"Other Services"))</f>
        <v/>
      </c>
    </row>
    <row r="3843" customFormat="false" ht="15" hidden="false" customHeight="false" outlineLevel="0" collapsed="false">
      <c r="F3843" s="41" t="str">
        <f aca="false">IF(D3843="","",IFERROR(IF(ISNUMBER(SEARCH(Assumptions!$C$5,D3843)),Assumptions!$D$5,IF(ISNUMBER(SEARCH(Assumptions!$C$6,D3843)),Assumptions!$D$6,IF(ISNUMBER(SEARCH(Assumptions!$C$7,D3843)),Assumptions!$D$7,"Other Services"))),"Other Services"))</f>
        <v/>
      </c>
    </row>
    <row r="3844" customFormat="false" ht="15" hidden="false" customHeight="false" outlineLevel="0" collapsed="false">
      <c r="F3844" s="41" t="str">
        <f aca="false">IF(D3844="","",IFERROR(IF(ISNUMBER(SEARCH(Assumptions!$C$5,D3844)),Assumptions!$D$5,IF(ISNUMBER(SEARCH(Assumptions!$C$6,D3844)),Assumptions!$D$6,IF(ISNUMBER(SEARCH(Assumptions!$C$7,D3844)),Assumptions!$D$7,"Other Services"))),"Other Services"))</f>
        <v/>
      </c>
    </row>
    <row r="3845" customFormat="false" ht="15" hidden="false" customHeight="false" outlineLevel="0" collapsed="false">
      <c r="F3845" s="41" t="str">
        <f aca="false">IF(D3845="","",IFERROR(IF(ISNUMBER(SEARCH(Assumptions!$C$5,D3845)),Assumptions!$D$5,IF(ISNUMBER(SEARCH(Assumptions!$C$6,D3845)),Assumptions!$D$6,IF(ISNUMBER(SEARCH(Assumptions!$C$7,D3845)),Assumptions!$D$7,"Other Services"))),"Other Services"))</f>
        <v/>
      </c>
    </row>
    <row r="3846" customFormat="false" ht="15" hidden="false" customHeight="false" outlineLevel="0" collapsed="false">
      <c r="F3846" s="41" t="str">
        <f aca="false">IF(D3846="","",IFERROR(IF(ISNUMBER(SEARCH(Assumptions!$C$5,D3846)),Assumptions!$D$5,IF(ISNUMBER(SEARCH(Assumptions!$C$6,D3846)),Assumptions!$D$6,IF(ISNUMBER(SEARCH(Assumptions!$C$7,D3846)),Assumptions!$D$7,"Other Services"))),"Other Services"))</f>
        <v/>
      </c>
    </row>
    <row r="3847" customFormat="false" ht="15" hidden="false" customHeight="false" outlineLevel="0" collapsed="false">
      <c r="F3847" s="41" t="str">
        <f aca="false">IF(D3847="","",IFERROR(IF(ISNUMBER(SEARCH(Assumptions!$C$5,D3847)),Assumptions!$D$5,IF(ISNUMBER(SEARCH(Assumptions!$C$6,D3847)),Assumptions!$D$6,IF(ISNUMBER(SEARCH(Assumptions!$C$7,D3847)),Assumptions!$D$7,"Other Services"))),"Other Services"))</f>
        <v/>
      </c>
    </row>
    <row r="3848" customFormat="false" ht="15" hidden="false" customHeight="false" outlineLevel="0" collapsed="false">
      <c r="F3848" s="41" t="str">
        <f aca="false">IF(D3848="","",IFERROR(IF(ISNUMBER(SEARCH(Assumptions!$C$5,D3848)),Assumptions!$D$5,IF(ISNUMBER(SEARCH(Assumptions!$C$6,D3848)),Assumptions!$D$6,IF(ISNUMBER(SEARCH(Assumptions!$C$7,D3848)),Assumptions!$D$7,"Other Services"))),"Other Services"))</f>
        <v/>
      </c>
    </row>
    <row r="3849" customFormat="false" ht="15" hidden="false" customHeight="false" outlineLevel="0" collapsed="false">
      <c r="F3849" s="41" t="str">
        <f aca="false">IF(D3849="","",IFERROR(IF(ISNUMBER(SEARCH(Assumptions!$C$5,D3849)),Assumptions!$D$5,IF(ISNUMBER(SEARCH(Assumptions!$C$6,D3849)),Assumptions!$D$6,IF(ISNUMBER(SEARCH(Assumptions!$C$7,D3849)),Assumptions!$D$7,"Other Services"))),"Other Services"))</f>
        <v/>
      </c>
    </row>
    <row r="3850" customFormat="false" ht="15" hidden="false" customHeight="false" outlineLevel="0" collapsed="false">
      <c r="F3850" s="41" t="str">
        <f aca="false">IF(D3850="","",IFERROR(IF(ISNUMBER(SEARCH(Assumptions!$C$5,D3850)),Assumptions!$D$5,IF(ISNUMBER(SEARCH(Assumptions!$C$6,D3850)),Assumptions!$D$6,IF(ISNUMBER(SEARCH(Assumptions!$C$7,D3850)),Assumptions!$D$7,"Other Services"))),"Other Services"))</f>
        <v/>
      </c>
    </row>
    <row r="3851" customFormat="false" ht="15" hidden="false" customHeight="false" outlineLevel="0" collapsed="false">
      <c r="F3851" s="41" t="str">
        <f aca="false">IF(D3851="","",IFERROR(IF(ISNUMBER(SEARCH(Assumptions!$C$5,D3851)),Assumptions!$D$5,IF(ISNUMBER(SEARCH(Assumptions!$C$6,D3851)),Assumptions!$D$6,IF(ISNUMBER(SEARCH(Assumptions!$C$7,D3851)),Assumptions!$D$7,"Other Services"))),"Other Services"))</f>
        <v/>
      </c>
    </row>
    <row r="3852" customFormat="false" ht="15" hidden="false" customHeight="false" outlineLevel="0" collapsed="false">
      <c r="F3852" s="41" t="str">
        <f aca="false">IF(D3852="","",IFERROR(IF(ISNUMBER(SEARCH(Assumptions!$C$5,D3852)),Assumptions!$D$5,IF(ISNUMBER(SEARCH(Assumptions!$C$6,D3852)),Assumptions!$D$6,IF(ISNUMBER(SEARCH(Assumptions!$C$7,D3852)),Assumptions!$D$7,"Other Services"))),"Other Services"))</f>
        <v/>
      </c>
    </row>
    <row r="3853" customFormat="false" ht="15" hidden="false" customHeight="false" outlineLevel="0" collapsed="false">
      <c r="F3853" s="41" t="str">
        <f aca="false">IF(D3853="","",IFERROR(IF(ISNUMBER(SEARCH(Assumptions!$C$5,D3853)),Assumptions!$D$5,IF(ISNUMBER(SEARCH(Assumptions!$C$6,D3853)),Assumptions!$D$6,IF(ISNUMBER(SEARCH(Assumptions!$C$7,D3853)),Assumptions!$D$7,"Other Services"))),"Other Services"))</f>
        <v/>
      </c>
    </row>
    <row r="3854" customFormat="false" ht="15" hidden="false" customHeight="false" outlineLevel="0" collapsed="false">
      <c r="F3854" s="41" t="str">
        <f aca="false">IF(D3854="","",IFERROR(IF(ISNUMBER(SEARCH(Assumptions!$C$5,D3854)),Assumptions!$D$5,IF(ISNUMBER(SEARCH(Assumptions!$C$6,D3854)),Assumptions!$D$6,IF(ISNUMBER(SEARCH(Assumptions!$C$7,D3854)),Assumptions!$D$7,"Other Services"))),"Other Services"))</f>
        <v/>
      </c>
    </row>
    <row r="3855" customFormat="false" ht="15" hidden="false" customHeight="false" outlineLevel="0" collapsed="false">
      <c r="F3855" s="41" t="str">
        <f aca="false">IF(D3855="","",IFERROR(IF(ISNUMBER(SEARCH(Assumptions!$C$5,D3855)),Assumptions!$D$5,IF(ISNUMBER(SEARCH(Assumptions!$C$6,D3855)),Assumptions!$D$6,IF(ISNUMBER(SEARCH(Assumptions!$C$7,D3855)),Assumptions!$D$7,"Other Services"))),"Other Services"))</f>
        <v/>
      </c>
    </row>
    <row r="3856" customFormat="false" ht="15" hidden="false" customHeight="false" outlineLevel="0" collapsed="false">
      <c r="F3856" s="41" t="str">
        <f aca="false">IF(D3856="","",IFERROR(IF(ISNUMBER(SEARCH(Assumptions!$C$5,D3856)),Assumptions!$D$5,IF(ISNUMBER(SEARCH(Assumptions!$C$6,D3856)),Assumptions!$D$6,IF(ISNUMBER(SEARCH(Assumptions!$C$7,D3856)),Assumptions!$D$7,"Other Services"))),"Other Services"))</f>
        <v/>
      </c>
    </row>
    <row r="3857" customFormat="false" ht="15" hidden="false" customHeight="false" outlineLevel="0" collapsed="false">
      <c r="F3857" s="41" t="str">
        <f aca="false">IF(D3857="","",IFERROR(IF(ISNUMBER(SEARCH(Assumptions!$C$5,D3857)),Assumptions!$D$5,IF(ISNUMBER(SEARCH(Assumptions!$C$6,D3857)),Assumptions!$D$6,IF(ISNUMBER(SEARCH(Assumptions!$C$7,D3857)),Assumptions!$D$7,"Other Services"))),"Other Services"))</f>
        <v/>
      </c>
    </row>
    <row r="3858" customFormat="false" ht="15" hidden="false" customHeight="false" outlineLevel="0" collapsed="false">
      <c r="F3858" s="41" t="str">
        <f aca="false">IF(D3858="","",IFERROR(IF(ISNUMBER(SEARCH(Assumptions!$C$5,D3858)),Assumptions!$D$5,IF(ISNUMBER(SEARCH(Assumptions!$C$6,D3858)),Assumptions!$D$6,IF(ISNUMBER(SEARCH(Assumptions!$C$7,D3858)),Assumptions!$D$7,"Other Services"))),"Other Services"))</f>
        <v/>
      </c>
    </row>
    <row r="3859" customFormat="false" ht="15" hidden="false" customHeight="false" outlineLevel="0" collapsed="false">
      <c r="F3859" s="41" t="str">
        <f aca="false">IF(D3859="","",IFERROR(IF(ISNUMBER(SEARCH(Assumptions!$C$5,D3859)),Assumptions!$D$5,IF(ISNUMBER(SEARCH(Assumptions!$C$6,D3859)),Assumptions!$D$6,IF(ISNUMBER(SEARCH(Assumptions!$C$7,D3859)),Assumptions!$D$7,"Other Services"))),"Other Services"))</f>
        <v/>
      </c>
    </row>
    <row r="3860" customFormat="false" ht="15" hidden="false" customHeight="false" outlineLevel="0" collapsed="false">
      <c r="F3860" s="41" t="str">
        <f aca="false">IF(D3860="","",IFERROR(IF(ISNUMBER(SEARCH(Assumptions!$C$5,D3860)),Assumptions!$D$5,IF(ISNUMBER(SEARCH(Assumptions!$C$6,D3860)),Assumptions!$D$6,IF(ISNUMBER(SEARCH(Assumptions!$C$7,D3860)),Assumptions!$D$7,"Other Services"))),"Other Services"))</f>
        <v/>
      </c>
    </row>
    <row r="3861" customFormat="false" ht="15" hidden="false" customHeight="false" outlineLevel="0" collapsed="false">
      <c r="F3861" s="41" t="str">
        <f aca="false">IF(D3861="","",IFERROR(IF(ISNUMBER(SEARCH(Assumptions!$C$5,D3861)),Assumptions!$D$5,IF(ISNUMBER(SEARCH(Assumptions!$C$6,D3861)),Assumptions!$D$6,IF(ISNUMBER(SEARCH(Assumptions!$C$7,D3861)),Assumptions!$D$7,"Other Services"))),"Other Services"))</f>
        <v/>
      </c>
    </row>
    <row r="3862" customFormat="false" ht="15" hidden="false" customHeight="false" outlineLevel="0" collapsed="false">
      <c r="F3862" s="41" t="str">
        <f aca="false">IF(D3862="","",IFERROR(IF(ISNUMBER(SEARCH(Assumptions!$C$5,D3862)),Assumptions!$D$5,IF(ISNUMBER(SEARCH(Assumptions!$C$6,D3862)),Assumptions!$D$6,IF(ISNUMBER(SEARCH(Assumptions!$C$7,D3862)),Assumptions!$D$7,"Other Services"))),"Other Services"))</f>
        <v/>
      </c>
    </row>
    <row r="3863" customFormat="false" ht="15" hidden="false" customHeight="false" outlineLevel="0" collapsed="false">
      <c r="F3863" s="41" t="str">
        <f aca="false">IF(D3863="","",IFERROR(IF(ISNUMBER(SEARCH(Assumptions!$C$5,D3863)),Assumptions!$D$5,IF(ISNUMBER(SEARCH(Assumptions!$C$6,D3863)),Assumptions!$D$6,IF(ISNUMBER(SEARCH(Assumptions!$C$7,D3863)),Assumptions!$D$7,"Other Services"))),"Other Services"))</f>
        <v/>
      </c>
    </row>
    <row r="3864" customFormat="false" ht="15" hidden="false" customHeight="false" outlineLevel="0" collapsed="false">
      <c r="F3864" s="41" t="str">
        <f aca="false">IF(D3864="","",IFERROR(IF(ISNUMBER(SEARCH(Assumptions!$C$5,D3864)),Assumptions!$D$5,IF(ISNUMBER(SEARCH(Assumptions!$C$6,D3864)),Assumptions!$D$6,IF(ISNUMBER(SEARCH(Assumptions!$C$7,D3864)),Assumptions!$D$7,"Other Services"))),"Other Services"))</f>
        <v/>
      </c>
    </row>
    <row r="3865" customFormat="false" ht="15" hidden="false" customHeight="false" outlineLevel="0" collapsed="false">
      <c r="F3865" s="41" t="str">
        <f aca="false">IF(D3865="","",IFERROR(IF(ISNUMBER(SEARCH(Assumptions!$C$5,D3865)),Assumptions!$D$5,IF(ISNUMBER(SEARCH(Assumptions!$C$6,D3865)),Assumptions!$D$6,IF(ISNUMBER(SEARCH(Assumptions!$C$7,D3865)),Assumptions!$D$7,"Other Services"))),"Other Services"))</f>
        <v/>
      </c>
    </row>
    <row r="3866" customFormat="false" ht="15" hidden="false" customHeight="false" outlineLevel="0" collapsed="false">
      <c r="F3866" s="41" t="str">
        <f aca="false">IF(D3866="","",IFERROR(IF(ISNUMBER(SEARCH(Assumptions!$C$5,D3866)),Assumptions!$D$5,IF(ISNUMBER(SEARCH(Assumptions!$C$6,D3866)),Assumptions!$D$6,IF(ISNUMBER(SEARCH(Assumptions!$C$7,D3866)),Assumptions!$D$7,"Other Services"))),"Other Services"))</f>
        <v/>
      </c>
    </row>
    <row r="3867" customFormat="false" ht="15" hidden="false" customHeight="false" outlineLevel="0" collapsed="false">
      <c r="F3867" s="41" t="str">
        <f aca="false">IF(D3867="","",IFERROR(IF(ISNUMBER(SEARCH(Assumptions!$C$5,D3867)),Assumptions!$D$5,IF(ISNUMBER(SEARCH(Assumptions!$C$6,D3867)),Assumptions!$D$6,IF(ISNUMBER(SEARCH(Assumptions!$C$7,D3867)),Assumptions!$D$7,"Other Services"))),"Other Services"))</f>
        <v/>
      </c>
    </row>
    <row r="3868" customFormat="false" ht="15" hidden="false" customHeight="false" outlineLevel="0" collapsed="false">
      <c r="F3868" s="41" t="str">
        <f aca="false">IF(D3868="","",IFERROR(IF(ISNUMBER(SEARCH(Assumptions!$C$5,D3868)),Assumptions!$D$5,IF(ISNUMBER(SEARCH(Assumptions!$C$6,D3868)),Assumptions!$D$6,IF(ISNUMBER(SEARCH(Assumptions!$C$7,D3868)),Assumptions!$D$7,"Other Services"))),"Other Services"))</f>
        <v/>
      </c>
    </row>
    <row r="3869" customFormat="false" ht="15" hidden="false" customHeight="false" outlineLevel="0" collapsed="false">
      <c r="F3869" s="41" t="str">
        <f aca="false">IF(D3869="","",IFERROR(IF(ISNUMBER(SEARCH(Assumptions!$C$5,D3869)),Assumptions!$D$5,IF(ISNUMBER(SEARCH(Assumptions!$C$6,D3869)),Assumptions!$D$6,IF(ISNUMBER(SEARCH(Assumptions!$C$7,D3869)),Assumptions!$D$7,"Other Services"))),"Other Services"))</f>
        <v/>
      </c>
    </row>
    <row r="3870" customFormat="false" ht="15" hidden="false" customHeight="false" outlineLevel="0" collapsed="false">
      <c r="F3870" s="41" t="str">
        <f aca="false">IF(D3870="","",IFERROR(IF(ISNUMBER(SEARCH(Assumptions!$C$5,D3870)),Assumptions!$D$5,IF(ISNUMBER(SEARCH(Assumptions!$C$6,D3870)),Assumptions!$D$6,IF(ISNUMBER(SEARCH(Assumptions!$C$7,D3870)),Assumptions!$D$7,"Other Services"))),"Other Services"))</f>
        <v/>
      </c>
    </row>
    <row r="3871" customFormat="false" ht="15" hidden="false" customHeight="false" outlineLevel="0" collapsed="false">
      <c r="F3871" s="41" t="str">
        <f aca="false">IF(D3871="","",IFERROR(IF(ISNUMBER(SEARCH(Assumptions!$C$5,D3871)),Assumptions!$D$5,IF(ISNUMBER(SEARCH(Assumptions!$C$6,D3871)),Assumptions!$D$6,IF(ISNUMBER(SEARCH(Assumptions!$C$7,D3871)),Assumptions!$D$7,"Other Services"))),"Other Services"))</f>
        <v/>
      </c>
    </row>
    <row r="3872" customFormat="false" ht="15" hidden="false" customHeight="false" outlineLevel="0" collapsed="false">
      <c r="F3872" s="41" t="str">
        <f aca="false">IF(D3872="","",IFERROR(IF(ISNUMBER(SEARCH(Assumptions!$C$5,D3872)),Assumptions!$D$5,IF(ISNUMBER(SEARCH(Assumptions!$C$6,D3872)),Assumptions!$D$6,IF(ISNUMBER(SEARCH(Assumptions!$C$7,D3872)),Assumptions!$D$7,"Other Services"))),"Other Services"))</f>
        <v/>
      </c>
    </row>
    <row r="3873" customFormat="false" ht="15" hidden="false" customHeight="false" outlineLevel="0" collapsed="false">
      <c r="F3873" s="41" t="str">
        <f aca="false">IF(D3873="","",IFERROR(IF(ISNUMBER(SEARCH(Assumptions!$C$5,D3873)),Assumptions!$D$5,IF(ISNUMBER(SEARCH(Assumptions!$C$6,D3873)),Assumptions!$D$6,IF(ISNUMBER(SEARCH(Assumptions!$C$7,D3873)),Assumptions!$D$7,"Other Services"))),"Other Services"))</f>
        <v/>
      </c>
    </row>
    <row r="3874" customFormat="false" ht="15" hidden="false" customHeight="false" outlineLevel="0" collapsed="false">
      <c r="F3874" s="41" t="str">
        <f aca="false">IF(D3874="","",IFERROR(IF(ISNUMBER(SEARCH(Assumptions!$C$5,D3874)),Assumptions!$D$5,IF(ISNUMBER(SEARCH(Assumptions!$C$6,D3874)),Assumptions!$D$6,IF(ISNUMBER(SEARCH(Assumptions!$C$7,D3874)),Assumptions!$D$7,"Other Services"))),"Other Services"))</f>
        <v/>
      </c>
    </row>
    <row r="3875" customFormat="false" ht="15" hidden="false" customHeight="false" outlineLevel="0" collapsed="false">
      <c r="F3875" s="41" t="str">
        <f aca="false">IF(D3875="","",IFERROR(IF(ISNUMBER(SEARCH(Assumptions!$C$5,D3875)),Assumptions!$D$5,IF(ISNUMBER(SEARCH(Assumptions!$C$6,D3875)),Assumptions!$D$6,IF(ISNUMBER(SEARCH(Assumptions!$C$7,D3875)),Assumptions!$D$7,"Other Services"))),"Other Services"))</f>
        <v/>
      </c>
    </row>
    <row r="3876" customFormat="false" ht="15" hidden="false" customHeight="false" outlineLevel="0" collapsed="false">
      <c r="F3876" s="41" t="str">
        <f aca="false">IF(D3876="","",IFERROR(IF(ISNUMBER(SEARCH(Assumptions!$C$5,D3876)),Assumptions!$D$5,IF(ISNUMBER(SEARCH(Assumptions!$C$6,D3876)),Assumptions!$D$6,IF(ISNUMBER(SEARCH(Assumptions!$C$7,D3876)),Assumptions!$D$7,"Other Services"))),"Other Services"))</f>
        <v/>
      </c>
    </row>
    <row r="3877" customFormat="false" ht="15" hidden="false" customHeight="false" outlineLevel="0" collapsed="false">
      <c r="F3877" s="41" t="str">
        <f aca="false">IF(D3877="","",IFERROR(IF(ISNUMBER(SEARCH(Assumptions!$C$5,D3877)),Assumptions!$D$5,IF(ISNUMBER(SEARCH(Assumptions!$C$6,D3877)),Assumptions!$D$6,IF(ISNUMBER(SEARCH(Assumptions!$C$7,D3877)),Assumptions!$D$7,"Other Services"))),"Other Services"))</f>
        <v/>
      </c>
    </row>
    <row r="3878" customFormat="false" ht="15" hidden="false" customHeight="false" outlineLevel="0" collapsed="false">
      <c r="F3878" s="41" t="str">
        <f aca="false">IF(D3878="","",IFERROR(IF(ISNUMBER(SEARCH(Assumptions!$C$5,D3878)),Assumptions!$D$5,IF(ISNUMBER(SEARCH(Assumptions!$C$6,D3878)),Assumptions!$D$6,IF(ISNUMBER(SEARCH(Assumptions!$C$7,D3878)),Assumptions!$D$7,"Other Services"))),"Other Services"))</f>
        <v/>
      </c>
    </row>
    <row r="3879" customFormat="false" ht="15" hidden="false" customHeight="false" outlineLevel="0" collapsed="false">
      <c r="F3879" s="41" t="str">
        <f aca="false">IF(D3879="","",IFERROR(IF(ISNUMBER(SEARCH(Assumptions!$C$5,D3879)),Assumptions!$D$5,IF(ISNUMBER(SEARCH(Assumptions!$C$6,D3879)),Assumptions!$D$6,IF(ISNUMBER(SEARCH(Assumptions!$C$7,D3879)),Assumptions!$D$7,"Other Services"))),"Other Services"))</f>
        <v/>
      </c>
    </row>
    <row r="3880" customFormat="false" ht="15" hidden="false" customHeight="false" outlineLevel="0" collapsed="false">
      <c r="F3880" s="41" t="str">
        <f aca="false">IF(D3880="","",IFERROR(IF(ISNUMBER(SEARCH(Assumptions!$C$5,D3880)),Assumptions!$D$5,IF(ISNUMBER(SEARCH(Assumptions!$C$6,D3880)),Assumptions!$D$6,IF(ISNUMBER(SEARCH(Assumptions!$C$7,D3880)),Assumptions!$D$7,"Other Services"))),"Other Services"))</f>
        <v/>
      </c>
    </row>
    <row r="3881" customFormat="false" ht="15" hidden="false" customHeight="false" outlineLevel="0" collapsed="false">
      <c r="F3881" s="41" t="str">
        <f aca="false">IF(D3881="","",IFERROR(IF(ISNUMBER(SEARCH(Assumptions!$C$5,D3881)),Assumptions!$D$5,IF(ISNUMBER(SEARCH(Assumptions!$C$6,D3881)),Assumptions!$D$6,IF(ISNUMBER(SEARCH(Assumptions!$C$7,D3881)),Assumptions!$D$7,"Other Services"))),"Other Services"))</f>
        <v/>
      </c>
    </row>
    <row r="3882" customFormat="false" ht="15" hidden="false" customHeight="false" outlineLevel="0" collapsed="false">
      <c r="F3882" s="41" t="str">
        <f aca="false">IF(D3882="","",IFERROR(IF(ISNUMBER(SEARCH(Assumptions!$C$5,D3882)),Assumptions!$D$5,IF(ISNUMBER(SEARCH(Assumptions!$C$6,D3882)),Assumptions!$D$6,IF(ISNUMBER(SEARCH(Assumptions!$C$7,D3882)),Assumptions!$D$7,"Other Services"))),"Other Services"))</f>
        <v/>
      </c>
    </row>
    <row r="3883" customFormat="false" ht="15" hidden="false" customHeight="false" outlineLevel="0" collapsed="false">
      <c r="F3883" s="41" t="str">
        <f aca="false">IF(D3883="","",IFERROR(IF(ISNUMBER(SEARCH(Assumptions!$C$5,D3883)),Assumptions!$D$5,IF(ISNUMBER(SEARCH(Assumptions!$C$6,D3883)),Assumptions!$D$6,IF(ISNUMBER(SEARCH(Assumptions!$C$7,D3883)),Assumptions!$D$7,"Other Services"))),"Other Services"))</f>
        <v/>
      </c>
    </row>
    <row r="3884" customFormat="false" ht="15" hidden="false" customHeight="false" outlineLevel="0" collapsed="false">
      <c r="F3884" s="41" t="str">
        <f aca="false">IF(D3884="","",IFERROR(IF(ISNUMBER(SEARCH(Assumptions!$C$5,D3884)),Assumptions!$D$5,IF(ISNUMBER(SEARCH(Assumptions!$C$6,D3884)),Assumptions!$D$6,IF(ISNUMBER(SEARCH(Assumptions!$C$7,D3884)),Assumptions!$D$7,"Other Services"))),"Other Services"))</f>
        <v/>
      </c>
    </row>
    <row r="3885" customFormat="false" ht="15" hidden="false" customHeight="false" outlineLevel="0" collapsed="false">
      <c r="F3885" s="41" t="str">
        <f aca="false">IF(D3885="","",IFERROR(IF(ISNUMBER(SEARCH(Assumptions!$C$5,D3885)),Assumptions!$D$5,IF(ISNUMBER(SEARCH(Assumptions!$C$6,D3885)),Assumptions!$D$6,IF(ISNUMBER(SEARCH(Assumptions!$C$7,D3885)),Assumptions!$D$7,"Other Services"))),"Other Services"))</f>
        <v/>
      </c>
    </row>
    <row r="3886" customFormat="false" ht="15" hidden="false" customHeight="false" outlineLevel="0" collapsed="false">
      <c r="F3886" s="41" t="str">
        <f aca="false">IF(D3886="","",IFERROR(IF(ISNUMBER(SEARCH(Assumptions!$C$5,D3886)),Assumptions!$D$5,IF(ISNUMBER(SEARCH(Assumptions!$C$6,D3886)),Assumptions!$D$6,IF(ISNUMBER(SEARCH(Assumptions!$C$7,D3886)),Assumptions!$D$7,"Other Services"))),"Other Services"))</f>
        <v/>
      </c>
    </row>
    <row r="3887" customFormat="false" ht="15" hidden="false" customHeight="false" outlineLevel="0" collapsed="false">
      <c r="F3887" s="41" t="str">
        <f aca="false">IF(D3887="","",IFERROR(IF(ISNUMBER(SEARCH(Assumptions!$C$5,D3887)),Assumptions!$D$5,IF(ISNUMBER(SEARCH(Assumptions!$C$6,D3887)),Assumptions!$D$6,IF(ISNUMBER(SEARCH(Assumptions!$C$7,D3887)),Assumptions!$D$7,"Other Services"))),"Other Services"))</f>
        <v/>
      </c>
    </row>
    <row r="3888" customFormat="false" ht="15" hidden="false" customHeight="false" outlineLevel="0" collapsed="false">
      <c r="F3888" s="41" t="str">
        <f aca="false">IF(D3888="","",IFERROR(IF(ISNUMBER(SEARCH(Assumptions!$C$5,D3888)),Assumptions!$D$5,IF(ISNUMBER(SEARCH(Assumptions!$C$6,D3888)),Assumptions!$D$6,IF(ISNUMBER(SEARCH(Assumptions!$C$7,D3888)),Assumptions!$D$7,"Other Services"))),"Other Services"))</f>
        <v/>
      </c>
    </row>
    <row r="3889" customFormat="false" ht="15" hidden="false" customHeight="false" outlineLevel="0" collapsed="false">
      <c r="F3889" s="41" t="str">
        <f aca="false">IF(D3889="","",IFERROR(IF(ISNUMBER(SEARCH(Assumptions!$C$5,D3889)),Assumptions!$D$5,IF(ISNUMBER(SEARCH(Assumptions!$C$6,D3889)),Assumptions!$D$6,IF(ISNUMBER(SEARCH(Assumptions!$C$7,D3889)),Assumptions!$D$7,"Other Services"))),"Other Services"))</f>
        <v/>
      </c>
    </row>
    <row r="3890" customFormat="false" ht="15" hidden="false" customHeight="false" outlineLevel="0" collapsed="false">
      <c r="F3890" s="41" t="str">
        <f aca="false">IF(D3890="","",IFERROR(IF(ISNUMBER(SEARCH(Assumptions!$C$5,D3890)),Assumptions!$D$5,IF(ISNUMBER(SEARCH(Assumptions!$C$6,D3890)),Assumptions!$D$6,IF(ISNUMBER(SEARCH(Assumptions!$C$7,D3890)),Assumptions!$D$7,"Other Services"))),"Other Services"))</f>
        <v/>
      </c>
    </row>
    <row r="3891" customFormat="false" ht="15" hidden="false" customHeight="false" outlineLevel="0" collapsed="false">
      <c r="F3891" s="41" t="str">
        <f aca="false">IF(D3891="","",IFERROR(IF(ISNUMBER(SEARCH(Assumptions!$C$5,D3891)),Assumptions!$D$5,IF(ISNUMBER(SEARCH(Assumptions!$C$6,D3891)),Assumptions!$D$6,IF(ISNUMBER(SEARCH(Assumptions!$C$7,D3891)),Assumptions!$D$7,"Other Services"))),"Other Services"))</f>
        <v/>
      </c>
    </row>
    <row r="3892" customFormat="false" ht="15" hidden="false" customHeight="false" outlineLevel="0" collapsed="false">
      <c r="F3892" s="41" t="str">
        <f aca="false">IF(D3892="","",IFERROR(IF(ISNUMBER(SEARCH(Assumptions!$C$5,D3892)),Assumptions!$D$5,IF(ISNUMBER(SEARCH(Assumptions!$C$6,D3892)),Assumptions!$D$6,IF(ISNUMBER(SEARCH(Assumptions!$C$7,D3892)),Assumptions!$D$7,"Other Services"))),"Other Services"))</f>
        <v/>
      </c>
    </row>
    <row r="3893" customFormat="false" ht="15" hidden="false" customHeight="false" outlineLevel="0" collapsed="false">
      <c r="F3893" s="41" t="str">
        <f aca="false">IF(D3893="","",IFERROR(IF(ISNUMBER(SEARCH(Assumptions!$C$5,D3893)),Assumptions!$D$5,IF(ISNUMBER(SEARCH(Assumptions!$C$6,D3893)),Assumptions!$D$6,IF(ISNUMBER(SEARCH(Assumptions!$C$7,D3893)),Assumptions!$D$7,"Other Services"))),"Other Services"))</f>
        <v/>
      </c>
    </row>
    <row r="3894" customFormat="false" ht="15" hidden="false" customHeight="false" outlineLevel="0" collapsed="false">
      <c r="F3894" s="41" t="str">
        <f aca="false">IF(D3894="","",IFERROR(IF(ISNUMBER(SEARCH(Assumptions!$C$5,D3894)),Assumptions!$D$5,IF(ISNUMBER(SEARCH(Assumptions!$C$6,D3894)),Assumptions!$D$6,IF(ISNUMBER(SEARCH(Assumptions!$C$7,D3894)),Assumptions!$D$7,"Other Services"))),"Other Services"))</f>
        <v/>
      </c>
    </row>
    <row r="3895" customFormat="false" ht="15" hidden="false" customHeight="false" outlineLevel="0" collapsed="false">
      <c r="F3895" s="41" t="str">
        <f aca="false">IF(D3895="","",IFERROR(IF(ISNUMBER(SEARCH(Assumptions!$C$5,D3895)),Assumptions!$D$5,IF(ISNUMBER(SEARCH(Assumptions!$C$6,D3895)),Assumptions!$D$6,IF(ISNUMBER(SEARCH(Assumptions!$C$7,D3895)),Assumptions!$D$7,"Other Services"))),"Other Services"))</f>
        <v/>
      </c>
    </row>
    <row r="3896" customFormat="false" ht="15" hidden="false" customHeight="false" outlineLevel="0" collapsed="false">
      <c r="F3896" s="41" t="str">
        <f aca="false">IF(D3896="","",IFERROR(IF(ISNUMBER(SEARCH(Assumptions!$C$5,D3896)),Assumptions!$D$5,IF(ISNUMBER(SEARCH(Assumptions!$C$6,D3896)),Assumptions!$D$6,IF(ISNUMBER(SEARCH(Assumptions!$C$7,D3896)),Assumptions!$D$7,"Other Services"))),"Other Services"))</f>
        <v/>
      </c>
    </row>
    <row r="3897" customFormat="false" ht="15" hidden="false" customHeight="false" outlineLevel="0" collapsed="false">
      <c r="F3897" s="41" t="str">
        <f aca="false">IF(D3897="","",IFERROR(IF(ISNUMBER(SEARCH(Assumptions!$C$5,D3897)),Assumptions!$D$5,IF(ISNUMBER(SEARCH(Assumptions!$C$6,D3897)),Assumptions!$D$6,IF(ISNUMBER(SEARCH(Assumptions!$C$7,D3897)),Assumptions!$D$7,"Other Services"))),"Other Services"))</f>
        <v/>
      </c>
    </row>
    <row r="3898" customFormat="false" ht="15" hidden="false" customHeight="false" outlineLevel="0" collapsed="false">
      <c r="F3898" s="41" t="str">
        <f aca="false">IF(D3898="","",IFERROR(IF(ISNUMBER(SEARCH(Assumptions!$C$5,D3898)),Assumptions!$D$5,IF(ISNUMBER(SEARCH(Assumptions!$C$6,D3898)),Assumptions!$D$6,IF(ISNUMBER(SEARCH(Assumptions!$C$7,D3898)),Assumptions!$D$7,"Other Services"))),"Other Services"))</f>
        <v/>
      </c>
    </row>
    <row r="3899" customFormat="false" ht="15" hidden="false" customHeight="false" outlineLevel="0" collapsed="false">
      <c r="F3899" s="41" t="str">
        <f aca="false">IF(D3899="","",IFERROR(IF(ISNUMBER(SEARCH(Assumptions!$C$5,D3899)),Assumptions!$D$5,IF(ISNUMBER(SEARCH(Assumptions!$C$6,D3899)),Assumptions!$D$6,IF(ISNUMBER(SEARCH(Assumptions!$C$7,D3899)),Assumptions!$D$7,"Other Services"))),"Other Services"))</f>
        <v/>
      </c>
    </row>
    <row r="3900" customFormat="false" ht="15" hidden="false" customHeight="false" outlineLevel="0" collapsed="false">
      <c r="F3900" s="41" t="str">
        <f aca="false">IF(D3900="","",IFERROR(IF(ISNUMBER(SEARCH(Assumptions!$C$5,D3900)),Assumptions!$D$5,IF(ISNUMBER(SEARCH(Assumptions!$C$6,D3900)),Assumptions!$D$6,IF(ISNUMBER(SEARCH(Assumptions!$C$7,D3900)),Assumptions!$D$7,"Other Services"))),"Other Services"))</f>
        <v/>
      </c>
    </row>
    <row r="3901" customFormat="false" ht="15" hidden="false" customHeight="false" outlineLevel="0" collapsed="false">
      <c r="F3901" s="41" t="str">
        <f aca="false">IF(D3901="","",IFERROR(IF(ISNUMBER(SEARCH(Assumptions!$C$5,D3901)),Assumptions!$D$5,IF(ISNUMBER(SEARCH(Assumptions!$C$6,D3901)),Assumptions!$D$6,IF(ISNUMBER(SEARCH(Assumptions!$C$7,D3901)),Assumptions!$D$7,"Other Services"))),"Other Services"))</f>
        <v/>
      </c>
    </row>
    <row r="3902" customFormat="false" ht="15" hidden="false" customHeight="false" outlineLevel="0" collapsed="false">
      <c r="F3902" s="41" t="str">
        <f aca="false">IF(D3902="","",IFERROR(IF(ISNUMBER(SEARCH(Assumptions!$C$5,D3902)),Assumptions!$D$5,IF(ISNUMBER(SEARCH(Assumptions!$C$6,D3902)),Assumptions!$D$6,IF(ISNUMBER(SEARCH(Assumptions!$C$7,D3902)),Assumptions!$D$7,"Other Services"))),"Other Services"))</f>
        <v/>
      </c>
    </row>
    <row r="3903" customFormat="false" ht="15" hidden="false" customHeight="false" outlineLevel="0" collapsed="false">
      <c r="F3903" s="41" t="str">
        <f aca="false">IF(D3903="","",IFERROR(IF(ISNUMBER(SEARCH(Assumptions!$C$5,D3903)),Assumptions!$D$5,IF(ISNUMBER(SEARCH(Assumptions!$C$6,D3903)),Assumptions!$D$6,IF(ISNUMBER(SEARCH(Assumptions!$C$7,D3903)),Assumptions!$D$7,"Other Services"))),"Other Services"))</f>
        <v/>
      </c>
    </row>
    <row r="3904" customFormat="false" ht="15" hidden="false" customHeight="false" outlineLevel="0" collapsed="false">
      <c r="F3904" s="41" t="str">
        <f aca="false">IF(D3904="","",IFERROR(IF(ISNUMBER(SEARCH(Assumptions!$C$5,D3904)),Assumptions!$D$5,IF(ISNUMBER(SEARCH(Assumptions!$C$6,D3904)),Assumptions!$D$6,IF(ISNUMBER(SEARCH(Assumptions!$C$7,D3904)),Assumptions!$D$7,"Other Services"))),"Other Services"))</f>
        <v/>
      </c>
    </row>
    <row r="3905" customFormat="false" ht="15" hidden="false" customHeight="false" outlineLevel="0" collapsed="false">
      <c r="F3905" s="41" t="str">
        <f aca="false">IF(D3905="","",IFERROR(IF(ISNUMBER(SEARCH(Assumptions!$C$5,D3905)),Assumptions!$D$5,IF(ISNUMBER(SEARCH(Assumptions!$C$6,D3905)),Assumptions!$D$6,IF(ISNUMBER(SEARCH(Assumptions!$C$7,D3905)),Assumptions!$D$7,"Other Services"))),"Other Services"))</f>
        <v/>
      </c>
    </row>
    <row r="3906" customFormat="false" ht="15" hidden="false" customHeight="false" outlineLevel="0" collapsed="false">
      <c r="F3906" s="41" t="str">
        <f aca="false">IF(D3906="","",IFERROR(IF(ISNUMBER(SEARCH(Assumptions!$C$5,D3906)),Assumptions!$D$5,IF(ISNUMBER(SEARCH(Assumptions!$C$6,D3906)),Assumptions!$D$6,IF(ISNUMBER(SEARCH(Assumptions!$C$7,D3906)),Assumptions!$D$7,"Other Services"))),"Other Services"))</f>
        <v/>
      </c>
    </row>
    <row r="3907" customFormat="false" ht="15" hidden="false" customHeight="false" outlineLevel="0" collapsed="false">
      <c r="F3907" s="41" t="str">
        <f aca="false">IF(D3907="","",IFERROR(IF(ISNUMBER(SEARCH(Assumptions!$C$5,D3907)),Assumptions!$D$5,IF(ISNUMBER(SEARCH(Assumptions!$C$6,D3907)),Assumptions!$D$6,IF(ISNUMBER(SEARCH(Assumptions!$C$7,D3907)),Assumptions!$D$7,"Other Services"))),"Other Services"))</f>
        <v/>
      </c>
    </row>
    <row r="3908" customFormat="false" ht="15" hidden="false" customHeight="false" outlineLevel="0" collapsed="false">
      <c r="F3908" s="41" t="str">
        <f aca="false">IF(D3908="","",IFERROR(IF(ISNUMBER(SEARCH(Assumptions!$C$5,D3908)),Assumptions!$D$5,IF(ISNUMBER(SEARCH(Assumptions!$C$6,D3908)),Assumptions!$D$6,IF(ISNUMBER(SEARCH(Assumptions!$C$7,D3908)),Assumptions!$D$7,"Other Services"))),"Other Services"))</f>
        <v/>
      </c>
    </row>
    <row r="3909" customFormat="false" ht="15" hidden="false" customHeight="false" outlineLevel="0" collapsed="false">
      <c r="F3909" s="41" t="str">
        <f aca="false">IF(D3909="","",IFERROR(IF(ISNUMBER(SEARCH(Assumptions!$C$5,D3909)),Assumptions!$D$5,IF(ISNUMBER(SEARCH(Assumptions!$C$6,D3909)),Assumptions!$D$6,IF(ISNUMBER(SEARCH(Assumptions!$C$7,D3909)),Assumptions!$D$7,"Other Services"))),"Other Services"))</f>
        <v/>
      </c>
    </row>
    <row r="3910" customFormat="false" ht="15" hidden="false" customHeight="false" outlineLevel="0" collapsed="false">
      <c r="F3910" s="41" t="str">
        <f aca="false">IF(D3910="","",IFERROR(IF(ISNUMBER(SEARCH(Assumptions!$C$5,D3910)),Assumptions!$D$5,IF(ISNUMBER(SEARCH(Assumptions!$C$6,D3910)),Assumptions!$D$6,IF(ISNUMBER(SEARCH(Assumptions!$C$7,D3910)),Assumptions!$D$7,"Other Services"))),"Other Services"))</f>
        <v/>
      </c>
    </row>
    <row r="3911" customFormat="false" ht="15" hidden="false" customHeight="false" outlineLevel="0" collapsed="false">
      <c r="F3911" s="41" t="str">
        <f aca="false">IF(D3911="","",IFERROR(IF(ISNUMBER(SEARCH(Assumptions!$C$5,D3911)),Assumptions!$D$5,IF(ISNUMBER(SEARCH(Assumptions!$C$6,D3911)),Assumptions!$D$6,IF(ISNUMBER(SEARCH(Assumptions!$C$7,D3911)),Assumptions!$D$7,"Other Services"))),"Other Services"))</f>
        <v/>
      </c>
    </row>
    <row r="3912" customFormat="false" ht="15" hidden="false" customHeight="false" outlineLevel="0" collapsed="false">
      <c r="F3912" s="41" t="str">
        <f aca="false">IF(D3912="","",IFERROR(IF(ISNUMBER(SEARCH(Assumptions!$C$5,D3912)),Assumptions!$D$5,IF(ISNUMBER(SEARCH(Assumptions!$C$6,D3912)),Assumptions!$D$6,IF(ISNUMBER(SEARCH(Assumptions!$C$7,D3912)),Assumptions!$D$7,"Other Services"))),"Other Services"))</f>
        <v/>
      </c>
    </row>
    <row r="3913" customFormat="false" ht="15" hidden="false" customHeight="false" outlineLevel="0" collapsed="false">
      <c r="F3913" s="41" t="str">
        <f aca="false">IF(D3913="","",IFERROR(IF(ISNUMBER(SEARCH(Assumptions!$C$5,D3913)),Assumptions!$D$5,IF(ISNUMBER(SEARCH(Assumptions!$C$6,D3913)),Assumptions!$D$6,IF(ISNUMBER(SEARCH(Assumptions!$C$7,D3913)),Assumptions!$D$7,"Other Services"))),"Other Services"))</f>
        <v/>
      </c>
    </row>
    <row r="3914" customFormat="false" ht="15" hidden="false" customHeight="false" outlineLevel="0" collapsed="false">
      <c r="F3914" s="41" t="str">
        <f aca="false">IF(D3914="","",IFERROR(IF(ISNUMBER(SEARCH(Assumptions!$C$5,D3914)),Assumptions!$D$5,IF(ISNUMBER(SEARCH(Assumptions!$C$6,D3914)),Assumptions!$D$6,IF(ISNUMBER(SEARCH(Assumptions!$C$7,D3914)),Assumptions!$D$7,"Other Services"))),"Other Services"))</f>
        <v/>
      </c>
    </row>
    <row r="3915" customFormat="false" ht="15" hidden="false" customHeight="false" outlineLevel="0" collapsed="false">
      <c r="F3915" s="41" t="str">
        <f aca="false">IF(D3915="","",IFERROR(IF(ISNUMBER(SEARCH(Assumptions!$C$5,D3915)),Assumptions!$D$5,IF(ISNUMBER(SEARCH(Assumptions!$C$6,D3915)),Assumptions!$D$6,IF(ISNUMBER(SEARCH(Assumptions!$C$7,D3915)),Assumptions!$D$7,"Other Services"))),"Other Services"))</f>
        <v/>
      </c>
    </row>
    <row r="3916" customFormat="false" ht="15" hidden="false" customHeight="false" outlineLevel="0" collapsed="false">
      <c r="F3916" s="41" t="str">
        <f aca="false">IF(D3916="","",IFERROR(IF(ISNUMBER(SEARCH(Assumptions!$C$5,D3916)),Assumptions!$D$5,IF(ISNUMBER(SEARCH(Assumptions!$C$6,D3916)),Assumptions!$D$6,IF(ISNUMBER(SEARCH(Assumptions!$C$7,D3916)),Assumptions!$D$7,"Other Services"))),"Other Services"))</f>
        <v/>
      </c>
    </row>
    <row r="3917" customFormat="false" ht="15" hidden="false" customHeight="false" outlineLevel="0" collapsed="false">
      <c r="F3917" s="41" t="str">
        <f aca="false">IF(D3917="","",IFERROR(IF(ISNUMBER(SEARCH(Assumptions!$C$5,D3917)),Assumptions!$D$5,IF(ISNUMBER(SEARCH(Assumptions!$C$6,D3917)),Assumptions!$D$6,IF(ISNUMBER(SEARCH(Assumptions!$C$7,D3917)),Assumptions!$D$7,"Other Services"))),"Other Services"))</f>
        <v/>
      </c>
    </row>
    <row r="3918" customFormat="false" ht="15" hidden="false" customHeight="false" outlineLevel="0" collapsed="false">
      <c r="F3918" s="41" t="str">
        <f aca="false">IF(D3918="","",IFERROR(IF(ISNUMBER(SEARCH(Assumptions!$C$5,D3918)),Assumptions!$D$5,IF(ISNUMBER(SEARCH(Assumptions!$C$6,D3918)),Assumptions!$D$6,IF(ISNUMBER(SEARCH(Assumptions!$C$7,D3918)),Assumptions!$D$7,"Other Services"))),"Other Services"))</f>
        <v/>
      </c>
    </row>
    <row r="3919" customFormat="false" ht="15" hidden="false" customHeight="false" outlineLevel="0" collapsed="false">
      <c r="F3919" s="41" t="str">
        <f aca="false">IF(D3919="","",IFERROR(IF(ISNUMBER(SEARCH(Assumptions!$C$5,D3919)),Assumptions!$D$5,IF(ISNUMBER(SEARCH(Assumptions!$C$6,D3919)),Assumptions!$D$6,IF(ISNUMBER(SEARCH(Assumptions!$C$7,D3919)),Assumptions!$D$7,"Other Services"))),"Other Services"))</f>
        <v/>
      </c>
    </row>
    <row r="3920" customFormat="false" ht="15" hidden="false" customHeight="false" outlineLevel="0" collapsed="false">
      <c r="F3920" s="41" t="str">
        <f aca="false">IF(D3920="","",IFERROR(IF(ISNUMBER(SEARCH(Assumptions!$C$5,D3920)),Assumptions!$D$5,IF(ISNUMBER(SEARCH(Assumptions!$C$6,D3920)),Assumptions!$D$6,IF(ISNUMBER(SEARCH(Assumptions!$C$7,D3920)),Assumptions!$D$7,"Other Services"))),"Other Services"))</f>
        <v/>
      </c>
    </row>
    <row r="3921" customFormat="false" ht="15" hidden="false" customHeight="false" outlineLevel="0" collapsed="false">
      <c r="F3921" s="41" t="str">
        <f aca="false">IF(D3921="","",IFERROR(IF(ISNUMBER(SEARCH(Assumptions!$C$5,D3921)),Assumptions!$D$5,IF(ISNUMBER(SEARCH(Assumptions!$C$6,D3921)),Assumptions!$D$6,IF(ISNUMBER(SEARCH(Assumptions!$C$7,D3921)),Assumptions!$D$7,"Other Services"))),"Other Services"))</f>
        <v/>
      </c>
    </row>
    <row r="3922" customFormat="false" ht="15" hidden="false" customHeight="false" outlineLevel="0" collapsed="false">
      <c r="F3922" s="41" t="str">
        <f aca="false">IF(D3922="","",IFERROR(IF(ISNUMBER(SEARCH(Assumptions!$C$5,D3922)),Assumptions!$D$5,IF(ISNUMBER(SEARCH(Assumptions!$C$6,D3922)),Assumptions!$D$6,IF(ISNUMBER(SEARCH(Assumptions!$C$7,D3922)),Assumptions!$D$7,"Other Services"))),"Other Services"))</f>
        <v/>
      </c>
    </row>
    <row r="3923" customFormat="false" ht="15" hidden="false" customHeight="false" outlineLevel="0" collapsed="false">
      <c r="F3923" s="41" t="str">
        <f aca="false">IF(D3923="","",IFERROR(IF(ISNUMBER(SEARCH(Assumptions!$C$5,D3923)),Assumptions!$D$5,IF(ISNUMBER(SEARCH(Assumptions!$C$6,D3923)),Assumptions!$D$6,IF(ISNUMBER(SEARCH(Assumptions!$C$7,D3923)),Assumptions!$D$7,"Other Services"))),"Other Services"))</f>
        <v/>
      </c>
    </row>
    <row r="3924" customFormat="false" ht="15" hidden="false" customHeight="false" outlineLevel="0" collapsed="false">
      <c r="F3924" s="41" t="str">
        <f aca="false">IF(D3924="","",IFERROR(IF(ISNUMBER(SEARCH(Assumptions!$C$5,D3924)),Assumptions!$D$5,IF(ISNUMBER(SEARCH(Assumptions!$C$6,D3924)),Assumptions!$D$6,IF(ISNUMBER(SEARCH(Assumptions!$C$7,D3924)),Assumptions!$D$7,"Other Services"))),"Other Services"))</f>
        <v/>
      </c>
    </row>
    <row r="3925" customFormat="false" ht="15" hidden="false" customHeight="false" outlineLevel="0" collapsed="false">
      <c r="F3925" s="41" t="str">
        <f aca="false">IF(D3925="","",IFERROR(IF(ISNUMBER(SEARCH(Assumptions!$C$5,D3925)),Assumptions!$D$5,IF(ISNUMBER(SEARCH(Assumptions!$C$6,D3925)),Assumptions!$D$6,IF(ISNUMBER(SEARCH(Assumptions!$C$7,D3925)),Assumptions!$D$7,"Other Services"))),"Other Services"))</f>
        <v/>
      </c>
    </row>
    <row r="3926" customFormat="false" ht="15" hidden="false" customHeight="false" outlineLevel="0" collapsed="false">
      <c r="F3926" s="41" t="str">
        <f aca="false">IF(D3926="","",IFERROR(IF(ISNUMBER(SEARCH(Assumptions!$C$5,D3926)),Assumptions!$D$5,IF(ISNUMBER(SEARCH(Assumptions!$C$6,D3926)),Assumptions!$D$6,IF(ISNUMBER(SEARCH(Assumptions!$C$7,D3926)),Assumptions!$D$7,"Other Services"))),"Other Services"))</f>
        <v/>
      </c>
    </row>
    <row r="3927" customFormat="false" ht="15" hidden="false" customHeight="false" outlineLevel="0" collapsed="false">
      <c r="F3927" s="41" t="str">
        <f aca="false">IF(D3927="","",IFERROR(IF(ISNUMBER(SEARCH(Assumptions!$C$5,D3927)),Assumptions!$D$5,IF(ISNUMBER(SEARCH(Assumptions!$C$6,D3927)),Assumptions!$D$6,IF(ISNUMBER(SEARCH(Assumptions!$C$7,D3927)),Assumptions!$D$7,"Other Services"))),"Other Services"))</f>
        <v/>
      </c>
    </row>
    <row r="3928" customFormat="false" ht="15" hidden="false" customHeight="false" outlineLevel="0" collapsed="false">
      <c r="F3928" s="41" t="str">
        <f aca="false">IF(D3928="","",IFERROR(IF(ISNUMBER(SEARCH(Assumptions!$C$5,D3928)),Assumptions!$D$5,IF(ISNUMBER(SEARCH(Assumptions!$C$6,D3928)),Assumptions!$D$6,IF(ISNUMBER(SEARCH(Assumptions!$C$7,D3928)),Assumptions!$D$7,"Other Services"))),"Other Services"))</f>
        <v/>
      </c>
    </row>
    <row r="3929" customFormat="false" ht="15" hidden="false" customHeight="false" outlineLevel="0" collapsed="false">
      <c r="F3929" s="41" t="str">
        <f aca="false">IF(D3929="","",IFERROR(IF(ISNUMBER(SEARCH(Assumptions!$C$5,D3929)),Assumptions!$D$5,IF(ISNUMBER(SEARCH(Assumptions!$C$6,D3929)),Assumptions!$D$6,IF(ISNUMBER(SEARCH(Assumptions!$C$7,D3929)),Assumptions!$D$7,"Other Services"))),"Other Services"))</f>
        <v/>
      </c>
    </row>
    <row r="3930" customFormat="false" ht="15" hidden="false" customHeight="false" outlineLevel="0" collapsed="false">
      <c r="F3930" s="41" t="str">
        <f aca="false">IF(D3930="","",IFERROR(IF(ISNUMBER(SEARCH(Assumptions!$C$5,D3930)),Assumptions!$D$5,IF(ISNUMBER(SEARCH(Assumptions!$C$6,D3930)),Assumptions!$D$6,IF(ISNUMBER(SEARCH(Assumptions!$C$7,D3930)),Assumptions!$D$7,"Other Services"))),"Other Services"))</f>
        <v/>
      </c>
    </row>
    <row r="3931" customFormat="false" ht="15" hidden="false" customHeight="false" outlineLevel="0" collapsed="false">
      <c r="F3931" s="41" t="str">
        <f aca="false">IF(D3931="","",IFERROR(IF(ISNUMBER(SEARCH(Assumptions!$C$5,D3931)),Assumptions!$D$5,IF(ISNUMBER(SEARCH(Assumptions!$C$6,D3931)),Assumptions!$D$6,IF(ISNUMBER(SEARCH(Assumptions!$C$7,D3931)),Assumptions!$D$7,"Other Services"))),"Other Services"))</f>
        <v/>
      </c>
    </row>
    <row r="3932" customFormat="false" ht="15" hidden="false" customHeight="false" outlineLevel="0" collapsed="false">
      <c r="F3932" s="41" t="str">
        <f aca="false">IF(D3932="","",IFERROR(IF(ISNUMBER(SEARCH(Assumptions!$C$5,D3932)),Assumptions!$D$5,IF(ISNUMBER(SEARCH(Assumptions!$C$6,D3932)),Assumptions!$D$6,IF(ISNUMBER(SEARCH(Assumptions!$C$7,D3932)),Assumptions!$D$7,"Other Services"))),"Other Services"))</f>
        <v/>
      </c>
    </row>
    <row r="3933" customFormat="false" ht="15" hidden="false" customHeight="false" outlineLevel="0" collapsed="false">
      <c r="F3933" s="41" t="str">
        <f aca="false">IF(D3933="","",IFERROR(IF(ISNUMBER(SEARCH(Assumptions!$C$5,D3933)),Assumptions!$D$5,IF(ISNUMBER(SEARCH(Assumptions!$C$6,D3933)),Assumptions!$D$6,IF(ISNUMBER(SEARCH(Assumptions!$C$7,D3933)),Assumptions!$D$7,"Other Services"))),"Other Services"))</f>
        <v/>
      </c>
    </row>
    <row r="3934" customFormat="false" ht="15" hidden="false" customHeight="false" outlineLevel="0" collapsed="false">
      <c r="F3934" s="41" t="str">
        <f aca="false">IF(D3934="","",IFERROR(IF(ISNUMBER(SEARCH(Assumptions!$C$5,D3934)),Assumptions!$D$5,IF(ISNUMBER(SEARCH(Assumptions!$C$6,D3934)),Assumptions!$D$6,IF(ISNUMBER(SEARCH(Assumptions!$C$7,D3934)),Assumptions!$D$7,"Other Services"))),"Other Services"))</f>
        <v/>
      </c>
    </row>
    <row r="3935" customFormat="false" ht="15" hidden="false" customHeight="false" outlineLevel="0" collapsed="false">
      <c r="F3935" s="41" t="str">
        <f aca="false">IF(D3935="","",IFERROR(IF(ISNUMBER(SEARCH(Assumptions!$C$5,D3935)),Assumptions!$D$5,IF(ISNUMBER(SEARCH(Assumptions!$C$6,D3935)),Assumptions!$D$6,IF(ISNUMBER(SEARCH(Assumptions!$C$7,D3935)),Assumptions!$D$7,"Other Services"))),"Other Services"))</f>
        <v/>
      </c>
    </row>
    <row r="3936" customFormat="false" ht="15" hidden="false" customHeight="false" outlineLevel="0" collapsed="false">
      <c r="F3936" s="41" t="str">
        <f aca="false">IF(D3936="","",IFERROR(IF(ISNUMBER(SEARCH(Assumptions!$C$5,D3936)),Assumptions!$D$5,IF(ISNUMBER(SEARCH(Assumptions!$C$6,D3936)),Assumptions!$D$6,IF(ISNUMBER(SEARCH(Assumptions!$C$7,D3936)),Assumptions!$D$7,"Other Services"))),"Other Services"))</f>
        <v/>
      </c>
    </row>
    <row r="3937" customFormat="false" ht="15" hidden="false" customHeight="false" outlineLevel="0" collapsed="false">
      <c r="F3937" s="41" t="str">
        <f aca="false">IF(D3937="","",IFERROR(IF(ISNUMBER(SEARCH(Assumptions!$C$5,D3937)),Assumptions!$D$5,IF(ISNUMBER(SEARCH(Assumptions!$C$6,D3937)),Assumptions!$D$6,IF(ISNUMBER(SEARCH(Assumptions!$C$7,D3937)),Assumptions!$D$7,"Other Services"))),"Other Services"))</f>
        <v/>
      </c>
    </row>
    <row r="3938" customFormat="false" ht="15" hidden="false" customHeight="false" outlineLevel="0" collapsed="false">
      <c r="F3938" s="41" t="str">
        <f aca="false">IF(D3938="","",IFERROR(IF(ISNUMBER(SEARCH(Assumptions!$C$5,D3938)),Assumptions!$D$5,IF(ISNUMBER(SEARCH(Assumptions!$C$6,D3938)),Assumptions!$D$6,IF(ISNUMBER(SEARCH(Assumptions!$C$7,D3938)),Assumptions!$D$7,"Other Services"))),"Other Services"))</f>
        <v/>
      </c>
    </row>
    <row r="3939" customFormat="false" ht="15" hidden="false" customHeight="false" outlineLevel="0" collapsed="false">
      <c r="F3939" s="41" t="str">
        <f aca="false">IF(D3939="","",IFERROR(IF(ISNUMBER(SEARCH(Assumptions!$C$5,D3939)),Assumptions!$D$5,IF(ISNUMBER(SEARCH(Assumptions!$C$6,D3939)),Assumptions!$D$6,IF(ISNUMBER(SEARCH(Assumptions!$C$7,D3939)),Assumptions!$D$7,"Other Services"))),"Other Services"))</f>
        <v/>
      </c>
    </row>
    <row r="3940" customFormat="false" ht="15" hidden="false" customHeight="false" outlineLevel="0" collapsed="false">
      <c r="F3940" s="41" t="str">
        <f aca="false">IF(D3940="","",IFERROR(IF(ISNUMBER(SEARCH(Assumptions!$C$5,D3940)),Assumptions!$D$5,IF(ISNUMBER(SEARCH(Assumptions!$C$6,D3940)),Assumptions!$D$6,IF(ISNUMBER(SEARCH(Assumptions!$C$7,D3940)),Assumptions!$D$7,"Other Services"))),"Other Services"))</f>
        <v/>
      </c>
    </row>
    <row r="3941" customFormat="false" ht="15" hidden="false" customHeight="false" outlineLevel="0" collapsed="false">
      <c r="F3941" s="41" t="str">
        <f aca="false">IF(D3941="","",IFERROR(IF(ISNUMBER(SEARCH(Assumptions!$C$5,D3941)),Assumptions!$D$5,IF(ISNUMBER(SEARCH(Assumptions!$C$6,D3941)),Assumptions!$D$6,IF(ISNUMBER(SEARCH(Assumptions!$C$7,D3941)),Assumptions!$D$7,"Other Services"))),"Other Services"))</f>
        <v/>
      </c>
    </row>
    <row r="3942" customFormat="false" ht="15" hidden="false" customHeight="false" outlineLevel="0" collapsed="false">
      <c r="F3942" s="41" t="str">
        <f aca="false">IF(D3942="","",IFERROR(IF(ISNUMBER(SEARCH(Assumptions!$C$5,D3942)),Assumptions!$D$5,IF(ISNUMBER(SEARCH(Assumptions!$C$6,D3942)),Assumptions!$D$6,IF(ISNUMBER(SEARCH(Assumptions!$C$7,D3942)),Assumptions!$D$7,"Other Services"))),"Other Services"))</f>
        <v/>
      </c>
    </row>
    <row r="3943" customFormat="false" ht="15" hidden="false" customHeight="false" outlineLevel="0" collapsed="false">
      <c r="F3943" s="41" t="str">
        <f aca="false">IF(D3943="","",IFERROR(IF(ISNUMBER(SEARCH(Assumptions!$C$5,D3943)),Assumptions!$D$5,IF(ISNUMBER(SEARCH(Assumptions!$C$6,D3943)),Assumptions!$D$6,IF(ISNUMBER(SEARCH(Assumptions!$C$7,D3943)),Assumptions!$D$7,"Other Services"))),"Other Services"))</f>
        <v/>
      </c>
    </row>
    <row r="3944" customFormat="false" ht="15" hidden="false" customHeight="false" outlineLevel="0" collapsed="false">
      <c r="F3944" s="41" t="str">
        <f aca="false">IF(D3944="","",IFERROR(IF(ISNUMBER(SEARCH(Assumptions!$C$5,D3944)),Assumptions!$D$5,IF(ISNUMBER(SEARCH(Assumptions!$C$6,D3944)),Assumptions!$D$6,IF(ISNUMBER(SEARCH(Assumptions!$C$7,D3944)),Assumptions!$D$7,"Other Services"))),"Other Services"))</f>
        <v/>
      </c>
    </row>
    <row r="3945" customFormat="false" ht="15" hidden="false" customHeight="false" outlineLevel="0" collapsed="false">
      <c r="F3945" s="41" t="str">
        <f aca="false">IF(D3945="","",IFERROR(IF(ISNUMBER(SEARCH(Assumptions!$C$5,D3945)),Assumptions!$D$5,IF(ISNUMBER(SEARCH(Assumptions!$C$6,D3945)),Assumptions!$D$6,IF(ISNUMBER(SEARCH(Assumptions!$C$7,D3945)),Assumptions!$D$7,"Other Services"))),"Other Services"))</f>
        <v/>
      </c>
    </row>
    <row r="3946" customFormat="false" ht="15" hidden="false" customHeight="false" outlineLevel="0" collapsed="false">
      <c r="F3946" s="41" t="str">
        <f aca="false">IF(D3946="","",IFERROR(IF(ISNUMBER(SEARCH(Assumptions!$C$5,D3946)),Assumptions!$D$5,IF(ISNUMBER(SEARCH(Assumptions!$C$6,D3946)),Assumptions!$D$6,IF(ISNUMBER(SEARCH(Assumptions!$C$7,D3946)),Assumptions!$D$7,"Other Services"))),"Other Services"))</f>
        <v/>
      </c>
    </row>
    <row r="3947" customFormat="false" ht="15" hidden="false" customHeight="false" outlineLevel="0" collapsed="false">
      <c r="F3947" s="41" t="str">
        <f aca="false">IF(D3947="","",IFERROR(IF(ISNUMBER(SEARCH(Assumptions!$C$5,D3947)),Assumptions!$D$5,IF(ISNUMBER(SEARCH(Assumptions!$C$6,D3947)),Assumptions!$D$6,IF(ISNUMBER(SEARCH(Assumptions!$C$7,D3947)),Assumptions!$D$7,"Other Services"))),"Other Services"))</f>
        <v/>
      </c>
    </row>
    <row r="3948" customFormat="false" ht="15" hidden="false" customHeight="false" outlineLevel="0" collapsed="false">
      <c r="F3948" s="41" t="str">
        <f aca="false">IF(D3948="","",IFERROR(IF(ISNUMBER(SEARCH(Assumptions!$C$5,D3948)),Assumptions!$D$5,IF(ISNUMBER(SEARCH(Assumptions!$C$6,D3948)),Assumptions!$D$6,IF(ISNUMBER(SEARCH(Assumptions!$C$7,D3948)),Assumptions!$D$7,"Other Services"))),"Other Services"))</f>
        <v/>
      </c>
    </row>
    <row r="3949" customFormat="false" ht="15" hidden="false" customHeight="false" outlineLevel="0" collapsed="false">
      <c r="F3949" s="41" t="str">
        <f aca="false">IF(D3949="","",IFERROR(IF(ISNUMBER(SEARCH(Assumptions!$C$5,D3949)),Assumptions!$D$5,IF(ISNUMBER(SEARCH(Assumptions!$C$6,D3949)),Assumptions!$D$6,IF(ISNUMBER(SEARCH(Assumptions!$C$7,D3949)),Assumptions!$D$7,"Other Services"))),"Other Services"))</f>
        <v/>
      </c>
    </row>
    <row r="3950" customFormat="false" ht="15" hidden="false" customHeight="false" outlineLevel="0" collapsed="false">
      <c r="F3950" s="41" t="str">
        <f aca="false">IF(D3950="","",IFERROR(IF(ISNUMBER(SEARCH(Assumptions!$C$5,D3950)),Assumptions!$D$5,IF(ISNUMBER(SEARCH(Assumptions!$C$6,D3950)),Assumptions!$D$6,IF(ISNUMBER(SEARCH(Assumptions!$C$7,D3950)),Assumptions!$D$7,"Other Services"))),"Other Services"))</f>
        <v/>
      </c>
    </row>
    <row r="3951" customFormat="false" ht="15" hidden="false" customHeight="false" outlineLevel="0" collapsed="false">
      <c r="F3951" s="41" t="str">
        <f aca="false">IF(D3951="","",IFERROR(IF(ISNUMBER(SEARCH(Assumptions!$C$5,D3951)),Assumptions!$D$5,IF(ISNUMBER(SEARCH(Assumptions!$C$6,D3951)),Assumptions!$D$6,IF(ISNUMBER(SEARCH(Assumptions!$C$7,D3951)),Assumptions!$D$7,"Other Services"))),"Other Services"))</f>
        <v/>
      </c>
    </row>
    <row r="3952" customFormat="false" ht="15" hidden="false" customHeight="false" outlineLevel="0" collapsed="false">
      <c r="F3952" s="41" t="str">
        <f aca="false">IF(D3952="","",IFERROR(IF(ISNUMBER(SEARCH(Assumptions!$C$5,D3952)),Assumptions!$D$5,IF(ISNUMBER(SEARCH(Assumptions!$C$6,D3952)),Assumptions!$D$6,IF(ISNUMBER(SEARCH(Assumptions!$C$7,D3952)),Assumptions!$D$7,"Other Services"))),"Other Services"))</f>
        <v/>
      </c>
    </row>
    <row r="3953" customFormat="false" ht="15" hidden="false" customHeight="false" outlineLevel="0" collapsed="false">
      <c r="F3953" s="41" t="str">
        <f aca="false">IF(D3953="","",IFERROR(IF(ISNUMBER(SEARCH(Assumptions!$C$5,D3953)),Assumptions!$D$5,IF(ISNUMBER(SEARCH(Assumptions!$C$6,D3953)),Assumptions!$D$6,IF(ISNUMBER(SEARCH(Assumptions!$C$7,D3953)),Assumptions!$D$7,"Other Services"))),"Other Services"))</f>
        <v/>
      </c>
    </row>
    <row r="3954" customFormat="false" ht="15" hidden="false" customHeight="false" outlineLevel="0" collapsed="false">
      <c r="F3954" s="41" t="str">
        <f aca="false">IF(D3954="","",IFERROR(IF(ISNUMBER(SEARCH(Assumptions!$C$5,D3954)),Assumptions!$D$5,IF(ISNUMBER(SEARCH(Assumptions!$C$6,D3954)),Assumptions!$D$6,IF(ISNUMBER(SEARCH(Assumptions!$C$7,D3954)),Assumptions!$D$7,"Other Services"))),"Other Services"))</f>
        <v/>
      </c>
    </row>
    <row r="3955" customFormat="false" ht="15" hidden="false" customHeight="false" outlineLevel="0" collapsed="false">
      <c r="F3955" s="41" t="str">
        <f aca="false">IF(D3955="","",IFERROR(IF(ISNUMBER(SEARCH(Assumptions!$C$5,D3955)),Assumptions!$D$5,IF(ISNUMBER(SEARCH(Assumptions!$C$6,D3955)),Assumptions!$D$6,IF(ISNUMBER(SEARCH(Assumptions!$C$7,D3955)),Assumptions!$D$7,"Other Services"))),"Other Services"))</f>
        <v/>
      </c>
    </row>
    <row r="3956" customFormat="false" ht="15" hidden="false" customHeight="false" outlineLevel="0" collapsed="false">
      <c r="F3956" s="41" t="str">
        <f aca="false">IF(D3956="","",IFERROR(IF(ISNUMBER(SEARCH(Assumptions!$C$5,D3956)),Assumptions!$D$5,IF(ISNUMBER(SEARCH(Assumptions!$C$6,D3956)),Assumptions!$D$6,IF(ISNUMBER(SEARCH(Assumptions!$C$7,D3956)),Assumptions!$D$7,"Other Services"))),"Other Services"))</f>
        <v/>
      </c>
    </row>
    <row r="3957" customFormat="false" ht="15" hidden="false" customHeight="false" outlineLevel="0" collapsed="false">
      <c r="F3957" s="41" t="str">
        <f aca="false">IF(D3957="","",IFERROR(IF(ISNUMBER(SEARCH(Assumptions!$C$5,D3957)),Assumptions!$D$5,IF(ISNUMBER(SEARCH(Assumptions!$C$6,D3957)),Assumptions!$D$6,IF(ISNUMBER(SEARCH(Assumptions!$C$7,D3957)),Assumptions!$D$7,"Other Services"))),"Other Services"))</f>
        <v/>
      </c>
    </row>
    <row r="3958" customFormat="false" ht="15" hidden="false" customHeight="false" outlineLevel="0" collapsed="false">
      <c r="F3958" s="41" t="str">
        <f aca="false">IF(D3958="","",IFERROR(IF(ISNUMBER(SEARCH(Assumptions!$C$5,D3958)),Assumptions!$D$5,IF(ISNUMBER(SEARCH(Assumptions!$C$6,D3958)),Assumptions!$D$6,IF(ISNUMBER(SEARCH(Assumptions!$C$7,D3958)),Assumptions!$D$7,"Other Services"))),"Other Services"))</f>
        <v/>
      </c>
    </row>
    <row r="3959" customFormat="false" ht="15" hidden="false" customHeight="false" outlineLevel="0" collapsed="false">
      <c r="F3959" s="41" t="str">
        <f aca="false">IF(D3959="","",IFERROR(IF(ISNUMBER(SEARCH(Assumptions!$C$5,D3959)),Assumptions!$D$5,IF(ISNUMBER(SEARCH(Assumptions!$C$6,D3959)),Assumptions!$D$6,IF(ISNUMBER(SEARCH(Assumptions!$C$7,D3959)),Assumptions!$D$7,"Other Services"))),"Other Services"))</f>
        <v/>
      </c>
    </row>
    <row r="3960" customFormat="false" ht="15" hidden="false" customHeight="false" outlineLevel="0" collapsed="false">
      <c r="F3960" s="41" t="str">
        <f aca="false">IF(D3960="","",IFERROR(IF(ISNUMBER(SEARCH(Assumptions!$C$5,D3960)),Assumptions!$D$5,IF(ISNUMBER(SEARCH(Assumptions!$C$6,D3960)),Assumptions!$D$6,IF(ISNUMBER(SEARCH(Assumptions!$C$7,D3960)),Assumptions!$D$7,"Other Services"))),"Other Services"))</f>
        <v/>
      </c>
    </row>
    <row r="3961" customFormat="false" ht="15" hidden="false" customHeight="false" outlineLevel="0" collapsed="false">
      <c r="F3961" s="41" t="str">
        <f aca="false">IF(D3961="","",IFERROR(IF(ISNUMBER(SEARCH(Assumptions!$C$5,D3961)),Assumptions!$D$5,IF(ISNUMBER(SEARCH(Assumptions!$C$6,D3961)),Assumptions!$D$6,IF(ISNUMBER(SEARCH(Assumptions!$C$7,D3961)),Assumptions!$D$7,"Other Services"))),"Other Services"))</f>
        <v/>
      </c>
    </row>
    <row r="3962" customFormat="false" ht="15" hidden="false" customHeight="false" outlineLevel="0" collapsed="false">
      <c r="F3962" s="41" t="str">
        <f aca="false">IF(D3962="","",IFERROR(IF(ISNUMBER(SEARCH(Assumptions!$C$5,D3962)),Assumptions!$D$5,IF(ISNUMBER(SEARCH(Assumptions!$C$6,D3962)),Assumptions!$D$6,IF(ISNUMBER(SEARCH(Assumptions!$C$7,D3962)),Assumptions!$D$7,"Other Services"))),"Other Services"))</f>
        <v/>
      </c>
    </row>
    <row r="3963" customFormat="false" ht="15" hidden="false" customHeight="false" outlineLevel="0" collapsed="false">
      <c r="F3963" s="41" t="str">
        <f aca="false">IF(D3963="","",IFERROR(IF(ISNUMBER(SEARCH(Assumptions!$C$5,D3963)),Assumptions!$D$5,IF(ISNUMBER(SEARCH(Assumptions!$C$6,D3963)),Assumptions!$D$6,IF(ISNUMBER(SEARCH(Assumptions!$C$7,D3963)),Assumptions!$D$7,"Other Services"))),"Other Services"))</f>
        <v/>
      </c>
    </row>
    <row r="3964" customFormat="false" ht="15" hidden="false" customHeight="false" outlineLevel="0" collapsed="false">
      <c r="F3964" s="41" t="str">
        <f aca="false">IF(D3964="","",IFERROR(IF(ISNUMBER(SEARCH(Assumptions!$C$5,D3964)),Assumptions!$D$5,IF(ISNUMBER(SEARCH(Assumptions!$C$6,D3964)),Assumptions!$D$6,IF(ISNUMBER(SEARCH(Assumptions!$C$7,D3964)),Assumptions!$D$7,"Other Services"))),"Other Services"))</f>
        <v/>
      </c>
    </row>
    <row r="3965" customFormat="false" ht="15" hidden="false" customHeight="false" outlineLevel="0" collapsed="false">
      <c r="F3965" s="41" t="str">
        <f aca="false">IF(D3965="","",IFERROR(IF(ISNUMBER(SEARCH(Assumptions!$C$5,D3965)),Assumptions!$D$5,IF(ISNUMBER(SEARCH(Assumptions!$C$6,D3965)),Assumptions!$D$6,IF(ISNUMBER(SEARCH(Assumptions!$C$7,D3965)),Assumptions!$D$7,"Other Services"))),"Other Services"))</f>
        <v/>
      </c>
    </row>
    <row r="3966" customFormat="false" ht="15" hidden="false" customHeight="false" outlineLevel="0" collapsed="false">
      <c r="F3966" s="41" t="str">
        <f aca="false">IF(D3966="","",IFERROR(IF(ISNUMBER(SEARCH(Assumptions!$C$5,D3966)),Assumptions!$D$5,IF(ISNUMBER(SEARCH(Assumptions!$C$6,D3966)),Assumptions!$D$6,IF(ISNUMBER(SEARCH(Assumptions!$C$7,D3966)),Assumptions!$D$7,"Other Services"))),"Other Services"))</f>
        <v/>
      </c>
    </row>
    <row r="3967" customFormat="false" ht="15" hidden="false" customHeight="false" outlineLevel="0" collapsed="false">
      <c r="F3967" s="41" t="str">
        <f aca="false">IF(D3967="","",IFERROR(IF(ISNUMBER(SEARCH(Assumptions!$C$5,D3967)),Assumptions!$D$5,IF(ISNUMBER(SEARCH(Assumptions!$C$6,D3967)),Assumptions!$D$6,IF(ISNUMBER(SEARCH(Assumptions!$C$7,D3967)),Assumptions!$D$7,"Other Services"))),"Other Services"))</f>
        <v/>
      </c>
    </row>
    <row r="3968" customFormat="false" ht="15" hidden="false" customHeight="false" outlineLevel="0" collapsed="false">
      <c r="F3968" s="41" t="str">
        <f aca="false">IF(D3968="","",IFERROR(IF(ISNUMBER(SEARCH(Assumptions!$C$5,D3968)),Assumptions!$D$5,IF(ISNUMBER(SEARCH(Assumptions!$C$6,D3968)),Assumptions!$D$6,IF(ISNUMBER(SEARCH(Assumptions!$C$7,D3968)),Assumptions!$D$7,"Other Services"))),"Other Services"))</f>
        <v/>
      </c>
    </row>
    <row r="3969" customFormat="false" ht="15" hidden="false" customHeight="false" outlineLevel="0" collapsed="false">
      <c r="F3969" s="41" t="str">
        <f aca="false">IF(D3969="","",IFERROR(IF(ISNUMBER(SEARCH(Assumptions!$C$5,D3969)),Assumptions!$D$5,IF(ISNUMBER(SEARCH(Assumptions!$C$6,D3969)),Assumptions!$D$6,IF(ISNUMBER(SEARCH(Assumptions!$C$7,D3969)),Assumptions!$D$7,"Other Services"))),"Other Services"))</f>
        <v/>
      </c>
    </row>
    <row r="3970" customFormat="false" ht="15" hidden="false" customHeight="false" outlineLevel="0" collapsed="false">
      <c r="F3970" s="41" t="str">
        <f aca="false">IF(D3970="","",IFERROR(IF(ISNUMBER(SEARCH(Assumptions!$C$5,D3970)),Assumptions!$D$5,IF(ISNUMBER(SEARCH(Assumptions!$C$6,D3970)),Assumptions!$D$6,IF(ISNUMBER(SEARCH(Assumptions!$C$7,D3970)),Assumptions!$D$7,"Other Services"))),"Other Services"))</f>
        <v/>
      </c>
    </row>
    <row r="3971" customFormat="false" ht="15" hidden="false" customHeight="false" outlineLevel="0" collapsed="false">
      <c r="F3971" s="41" t="str">
        <f aca="false">IF(D3971="","",IFERROR(IF(ISNUMBER(SEARCH(Assumptions!$C$5,D3971)),Assumptions!$D$5,IF(ISNUMBER(SEARCH(Assumptions!$C$6,D3971)),Assumptions!$D$6,IF(ISNUMBER(SEARCH(Assumptions!$C$7,D3971)),Assumptions!$D$7,"Other Services"))),"Other Services"))</f>
        <v/>
      </c>
    </row>
    <row r="3972" customFormat="false" ht="15" hidden="false" customHeight="false" outlineLevel="0" collapsed="false">
      <c r="F3972" s="41" t="str">
        <f aca="false">IF(D3972="","",IFERROR(IF(ISNUMBER(SEARCH(Assumptions!$C$5,D3972)),Assumptions!$D$5,IF(ISNUMBER(SEARCH(Assumptions!$C$6,D3972)),Assumptions!$D$6,IF(ISNUMBER(SEARCH(Assumptions!$C$7,D3972)),Assumptions!$D$7,"Other Services"))),"Other Services"))</f>
        <v/>
      </c>
    </row>
    <row r="3973" customFormat="false" ht="15" hidden="false" customHeight="false" outlineLevel="0" collapsed="false">
      <c r="F3973" s="41" t="str">
        <f aca="false">IF(D3973="","",IFERROR(IF(ISNUMBER(SEARCH(Assumptions!$C$5,D3973)),Assumptions!$D$5,IF(ISNUMBER(SEARCH(Assumptions!$C$6,D3973)),Assumptions!$D$6,IF(ISNUMBER(SEARCH(Assumptions!$C$7,D3973)),Assumptions!$D$7,"Other Services"))),"Other Services"))</f>
        <v/>
      </c>
    </row>
    <row r="3974" customFormat="false" ht="15" hidden="false" customHeight="false" outlineLevel="0" collapsed="false">
      <c r="F3974" s="41" t="str">
        <f aca="false">IF(D3974="","",IFERROR(IF(ISNUMBER(SEARCH(Assumptions!$C$5,D3974)),Assumptions!$D$5,IF(ISNUMBER(SEARCH(Assumptions!$C$6,D3974)),Assumptions!$D$6,IF(ISNUMBER(SEARCH(Assumptions!$C$7,D3974)),Assumptions!$D$7,"Other Services"))),"Other Services"))</f>
        <v/>
      </c>
    </row>
    <row r="3975" customFormat="false" ht="15" hidden="false" customHeight="false" outlineLevel="0" collapsed="false">
      <c r="F3975" s="41" t="str">
        <f aca="false">IF(D3975="","",IFERROR(IF(ISNUMBER(SEARCH(Assumptions!$C$5,D3975)),Assumptions!$D$5,IF(ISNUMBER(SEARCH(Assumptions!$C$6,D3975)),Assumptions!$D$6,IF(ISNUMBER(SEARCH(Assumptions!$C$7,D3975)),Assumptions!$D$7,"Other Services"))),"Other Services"))</f>
        <v/>
      </c>
    </row>
    <row r="3976" customFormat="false" ht="15" hidden="false" customHeight="false" outlineLevel="0" collapsed="false">
      <c r="F3976" s="41" t="str">
        <f aca="false">IF(D3976="","",IFERROR(IF(ISNUMBER(SEARCH(Assumptions!$C$5,D3976)),Assumptions!$D$5,IF(ISNUMBER(SEARCH(Assumptions!$C$6,D3976)),Assumptions!$D$6,IF(ISNUMBER(SEARCH(Assumptions!$C$7,D3976)),Assumptions!$D$7,"Other Services"))),"Other Services"))</f>
        <v/>
      </c>
    </row>
    <row r="3977" customFormat="false" ht="15" hidden="false" customHeight="false" outlineLevel="0" collapsed="false">
      <c r="F3977" s="41" t="str">
        <f aca="false">IF(D3977="","",IFERROR(IF(ISNUMBER(SEARCH(Assumptions!$C$5,D3977)),Assumptions!$D$5,IF(ISNUMBER(SEARCH(Assumptions!$C$6,D3977)),Assumptions!$D$6,IF(ISNUMBER(SEARCH(Assumptions!$C$7,D3977)),Assumptions!$D$7,"Other Services"))),"Other Services"))</f>
        <v/>
      </c>
    </row>
    <row r="3978" customFormat="false" ht="15" hidden="false" customHeight="false" outlineLevel="0" collapsed="false">
      <c r="F3978" s="41" t="str">
        <f aca="false">IF(D3978="","",IFERROR(IF(ISNUMBER(SEARCH(Assumptions!$C$5,D3978)),Assumptions!$D$5,IF(ISNUMBER(SEARCH(Assumptions!$C$6,D3978)),Assumptions!$D$6,IF(ISNUMBER(SEARCH(Assumptions!$C$7,D3978)),Assumptions!$D$7,"Other Services"))),"Other Services"))</f>
        <v/>
      </c>
    </row>
    <row r="3979" customFormat="false" ht="15" hidden="false" customHeight="false" outlineLevel="0" collapsed="false">
      <c r="F3979" s="41" t="str">
        <f aca="false">IF(D3979="","",IFERROR(IF(ISNUMBER(SEARCH(Assumptions!$C$5,D3979)),Assumptions!$D$5,IF(ISNUMBER(SEARCH(Assumptions!$C$6,D3979)),Assumptions!$D$6,IF(ISNUMBER(SEARCH(Assumptions!$C$7,D3979)),Assumptions!$D$7,"Other Services"))),"Other Services"))</f>
        <v/>
      </c>
    </row>
    <row r="3980" customFormat="false" ht="15" hidden="false" customHeight="false" outlineLevel="0" collapsed="false">
      <c r="F3980" s="41" t="str">
        <f aca="false">IF(D3980="","",IFERROR(IF(ISNUMBER(SEARCH(Assumptions!$C$5,D3980)),Assumptions!$D$5,IF(ISNUMBER(SEARCH(Assumptions!$C$6,D3980)),Assumptions!$D$6,IF(ISNUMBER(SEARCH(Assumptions!$C$7,D3980)),Assumptions!$D$7,"Other Services"))),"Other Services"))</f>
        <v/>
      </c>
    </row>
    <row r="3981" customFormat="false" ht="15" hidden="false" customHeight="false" outlineLevel="0" collapsed="false">
      <c r="F3981" s="41" t="str">
        <f aca="false">IF(D3981="","",IFERROR(IF(ISNUMBER(SEARCH(Assumptions!$C$5,D3981)),Assumptions!$D$5,IF(ISNUMBER(SEARCH(Assumptions!$C$6,D3981)),Assumptions!$D$6,IF(ISNUMBER(SEARCH(Assumptions!$C$7,D3981)),Assumptions!$D$7,"Other Services"))),"Other Services"))</f>
        <v/>
      </c>
    </row>
    <row r="3982" customFormat="false" ht="15" hidden="false" customHeight="false" outlineLevel="0" collapsed="false">
      <c r="F3982" s="41" t="str">
        <f aca="false">IF(D3982="","",IFERROR(IF(ISNUMBER(SEARCH(Assumptions!$C$5,D3982)),Assumptions!$D$5,IF(ISNUMBER(SEARCH(Assumptions!$C$6,D3982)),Assumptions!$D$6,IF(ISNUMBER(SEARCH(Assumptions!$C$7,D3982)),Assumptions!$D$7,"Other Services"))),"Other Services"))</f>
        <v/>
      </c>
    </row>
    <row r="3983" customFormat="false" ht="15" hidden="false" customHeight="false" outlineLevel="0" collapsed="false">
      <c r="F3983" s="41" t="str">
        <f aca="false">IF(D3983="","",IFERROR(IF(ISNUMBER(SEARCH(Assumptions!$C$5,D3983)),Assumptions!$D$5,IF(ISNUMBER(SEARCH(Assumptions!$C$6,D3983)),Assumptions!$D$6,IF(ISNUMBER(SEARCH(Assumptions!$C$7,D3983)),Assumptions!$D$7,"Other Services"))),"Other Services"))</f>
        <v/>
      </c>
    </row>
    <row r="3984" customFormat="false" ht="15" hidden="false" customHeight="false" outlineLevel="0" collapsed="false">
      <c r="F3984" s="41" t="str">
        <f aca="false">IF(D3984="","",IFERROR(IF(ISNUMBER(SEARCH(Assumptions!$C$5,D3984)),Assumptions!$D$5,IF(ISNUMBER(SEARCH(Assumptions!$C$6,D3984)),Assumptions!$D$6,IF(ISNUMBER(SEARCH(Assumptions!$C$7,D3984)),Assumptions!$D$7,"Other Services"))),"Other Services"))</f>
        <v/>
      </c>
    </row>
    <row r="3985" customFormat="false" ht="15" hidden="false" customHeight="false" outlineLevel="0" collapsed="false">
      <c r="F3985" s="41" t="str">
        <f aca="false">IF(D3985="","",IFERROR(IF(ISNUMBER(SEARCH(Assumptions!$C$5,D3985)),Assumptions!$D$5,IF(ISNUMBER(SEARCH(Assumptions!$C$6,D3985)),Assumptions!$D$6,IF(ISNUMBER(SEARCH(Assumptions!$C$7,D3985)),Assumptions!$D$7,"Other Services"))),"Other Services"))</f>
        <v/>
      </c>
    </row>
    <row r="3986" customFormat="false" ht="15" hidden="false" customHeight="false" outlineLevel="0" collapsed="false">
      <c r="F3986" s="41" t="str">
        <f aca="false">IF(D3986="","",IFERROR(IF(ISNUMBER(SEARCH(Assumptions!$C$5,D3986)),Assumptions!$D$5,IF(ISNUMBER(SEARCH(Assumptions!$C$6,D3986)),Assumptions!$D$6,IF(ISNUMBER(SEARCH(Assumptions!$C$7,D3986)),Assumptions!$D$7,"Other Services"))),"Other Services"))</f>
        <v/>
      </c>
    </row>
    <row r="3987" customFormat="false" ht="15" hidden="false" customHeight="false" outlineLevel="0" collapsed="false">
      <c r="F3987" s="41" t="str">
        <f aca="false">IF(D3987="","",IFERROR(IF(ISNUMBER(SEARCH(Assumptions!$C$5,D3987)),Assumptions!$D$5,IF(ISNUMBER(SEARCH(Assumptions!$C$6,D3987)),Assumptions!$D$6,IF(ISNUMBER(SEARCH(Assumptions!$C$7,D3987)),Assumptions!$D$7,"Other Services"))),"Other Services"))</f>
        <v/>
      </c>
    </row>
    <row r="3988" customFormat="false" ht="15" hidden="false" customHeight="false" outlineLevel="0" collapsed="false">
      <c r="F3988" s="41" t="str">
        <f aca="false">IF(D3988="","",IFERROR(IF(ISNUMBER(SEARCH(Assumptions!$C$5,D3988)),Assumptions!$D$5,IF(ISNUMBER(SEARCH(Assumptions!$C$6,D3988)),Assumptions!$D$6,IF(ISNUMBER(SEARCH(Assumptions!$C$7,D3988)),Assumptions!$D$7,"Other Services"))),"Other Services"))</f>
        <v/>
      </c>
    </row>
    <row r="3989" customFormat="false" ht="15" hidden="false" customHeight="false" outlineLevel="0" collapsed="false">
      <c r="F3989" s="41" t="str">
        <f aca="false">IF(D3989="","",IFERROR(IF(ISNUMBER(SEARCH(Assumptions!$C$5,D3989)),Assumptions!$D$5,IF(ISNUMBER(SEARCH(Assumptions!$C$6,D3989)),Assumptions!$D$6,IF(ISNUMBER(SEARCH(Assumptions!$C$7,D3989)),Assumptions!$D$7,"Other Services"))),"Other Services"))</f>
        <v/>
      </c>
    </row>
    <row r="3990" customFormat="false" ht="15" hidden="false" customHeight="false" outlineLevel="0" collapsed="false">
      <c r="F3990" s="41" t="str">
        <f aca="false">IF(D3990="","",IFERROR(IF(ISNUMBER(SEARCH(Assumptions!$C$5,D3990)),Assumptions!$D$5,IF(ISNUMBER(SEARCH(Assumptions!$C$6,D3990)),Assumptions!$D$6,IF(ISNUMBER(SEARCH(Assumptions!$C$7,D3990)),Assumptions!$D$7,"Other Services"))),"Other Services"))</f>
        <v/>
      </c>
    </row>
    <row r="3991" customFormat="false" ht="15" hidden="false" customHeight="false" outlineLevel="0" collapsed="false">
      <c r="F3991" s="41" t="str">
        <f aca="false">IF(D3991="","",IFERROR(IF(ISNUMBER(SEARCH(Assumptions!$C$5,D3991)),Assumptions!$D$5,IF(ISNUMBER(SEARCH(Assumptions!$C$6,D3991)),Assumptions!$D$6,IF(ISNUMBER(SEARCH(Assumptions!$C$7,D3991)),Assumptions!$D$7,"Other Services"))),"Other Services"))</f>
        <v/>
      </c>
    </row>
    <row r="3992" customFormat="false" ht="15" hidden="false" customHeight="false" outlineLevel="0" collapsed="false">
      <c r="F3992" s="41" t="str">
        <f aca="false">IF(D3992="","",IFERROR(IF(ISNUMBER(SEARCH(Assumptions!$C$5,D3992)),Assumptions!$D$5,IF(ISNUMBER(SEARCH(Assumptions!$C$6,D3992)),Assumptions!$D$6,IF(ISNUMBER(SEARCH(Assumptions!$C$7,D3992)),Assumptions!$D$7,"Other Services"))),"Other Services"))</f>
        <v/>
      </c>
    </row>
    <row r="3993" customFormat="false" ht="15" hidden="false" customHeight="false" outlineLevel="0" collapsed="false">
      <c r="F3993" s="41" t="str">
        <f aca="false">IF(D3993="","",IFERROR(IF(ISNUMBER(SEARCH(Assumptions!$C$5,D3993)),Assumptions!$D$5,IF(ISNUMBER(SEARCH(Assumptions!$C$6,D3993)),Assumptions!$D$6,IF(ISNUMBER(SEARCH(Assumptions!$C$7,D3993)),Assumptions!$D$7,"Other Services"))),"Other Services"))</f>
        <v/>
      </c>
    </row>
    <row r="3994" customFormat="false" ht="15" hidden="false" customHeight="false" outlineLevel="0" collapsed="false">
      <c r="F3994" s="41" t="str">
        <f aca="false">IF(D3994="","",IFERROR(IF(ISNUMBER(SEARCH(Assumptions!$C$5,D3994)),Assumptions!$D$5,IF(ISNUMBER(SEARCH(Assumptions!$C$6,D3994)),Assumptions!$D$6,IF(ISNUMBER(SEARCH(Assumptions!$C$7,D3994)),Assumptions!$D$7,"Other Services"))),"Other Services"))</f>
        <v/>
      </c>
    </row>
    <row r="3995" customFormat="false" ht="15" hidden="false" customHeight="false" outlineLevel="0" collapsed="false">
      <c r="F3995" s="41" t="str">
        <f aca="false">IF(D3995="","",IFERROR(IF(ISNUMBER(SEARCH(Assumptions!$C$5,D3995)),Assumptions!$D$5,IF(ISNUMBER(SEARCH(Assumptions!$C$6,D3995)),Assumptions!$D$6,IF(ISNUMBER(SEARCH(Assumptions!$C$7,D3995)),Assumptions!$D$7,"Other Services"))),"Other Services"))</f>
        <v/>
      </c>
    </row>
    <row r="3996" customFormat="false" ht="15" hidden="false" customHeight="false" outlineLevel="0" collapsed="false">
      <c r="F3996" s="41" t="str">
        <f aca="false">IF(D3996="","",IFERROR(IF(ISNUMBER(SEARCH(Assumptions!$C$5,D3996)),Assumptions!$D$5,IF(ISNUMBER(SEARCH(Assumptions!$C$6,D3996)),Assumptions!$D$6,IF(ISNUMBER(SEARCH(Assumptions!$C$7,D3996)),Assumptions!$D$7,"Other Services"))),"Other Services"))</f>
        <v/>
      </c>
    </row>
    <row r="3997" customFormat="false" ht="15" hidden="false" customHeight="false" outlineLevel="0" collapsed="false">
      <c r="F3997" s="41" t="str">
        <f aca="false">IF(D3997="","",IFERROR(IF(ISNUMBER(SEARCH(Assumptions!$C$5,D3997)),Assumptions!$D$5,IF(ISNUMBER(SEARCH(Assumptions!$C$6,D3997)),Assumptions!$D$6,IF(ISNUMBER(SEARCH(Assumptions!$C$7,D3997)),Assumptions!$D$7,"Other Services"))),"Other Services"))</f>
        <v/>
      </c>
    </row>
    <row r="3998" customFormat="false" ht="15" hidden="false" customHeight="false" outlineLevel="0" collapsed="false">
      <c r="F3998" s="41" t="str">
        <f aca="false">IF(D3998="","",IFERROR(IF(ISNUMBER(SEARCH(Assumptions!$C$5,D3998)),Assumptions!$D$5,IF(ISNUMBER(SEARCH(Assumptions!$C$6,D3998)),Assumptions!$D$6,IF(ISNUMBER(SEARCH(Assumptions!$C$7,D3998)),Assumptions!$D$7,"Other Services"))),"Other Services"))</f>
        <v/>
      </c>
    </row>
    <row r="3999" customFormat="false" ht="15" hidden="false" customHeight="false" outlineLevel="0" collapsed="false">
      <c r="F3999" s="41" t="str">
        <f aca="false">IF(D3999="","",IFERROR(IF(ISNUMBER(SEARCH(Assumptions!$C$5,D3999)),Assumptions!$D$5,IF(ISNUMBER(SEARCH(Assumptions!$C$6,D3999)),Assumptions!$D$6,IF(ISNUMBER(SEARCH(Assumptions!$C$7,D3999)),Assumptions!$D$7,"Other Services"))),"Other Services"))</f>
        <v/>
      </c>
    </row>
    <row r="4000" customFormat="false" ht="15" hidden="false" customHeight="false" outlineLevel="0" collapsed="false">
      <c r="F4000" s="41" t="str">
        <f aca="false">IF(D4000="","",IFERROR(IF(ISNUMBER(SEARCH(Assumptions!$C$5,D4000)),Assumptions!$D$5,IF(ISNUMBER(SEARCH(Assumptions!$C$6,D4000)),Assumptions!$D$6,IF(ISNUMBER(SEARCH(Assumptions!$C$7,D4000)),Assumptions!$D$7,"Other Services"))),"Other Services"))</f>
        <v/>
      </c>
    </row>
    <row r="4001" customFormat="false" ht="15" hidden="false" customHeight="false" outlineLevel="0" collapsed="false">
      <c r="F4001" s="41" t="str">
        <f aca="false">IF(D4001="","",IFERROR(IF(ISNUMBER(SEARCH(Assumptions!$C$5,D4001)),Assumptions!$D$5,IF(ISNUMBER(SEARCH(Assumptions!$C$6,D4001)),Assumptions!$D$6,IF(ISNUMBER(SEARCH(Assumptions!$C$7,D4001)),Assumptions!$D$7,"Other Services"))),"Other Services"))</f>
        <v/>
      </c>
    </row>
    <row r="4002" customFormat="false" ht="15" hidden="false" customHeight="false" outlineLevel="0" collapsed="false">
      <c r="F4002" s="41" t="str">
        <f aca="false">IF(D4002="","",IFERROR(IF(ISNUMBER(SEARCH(Assumptions!$C$5,D4002)),Assumptions!$D$5,IF(ISNUMBER(SEARCH(Assumptions!$C$6,D4002)),Assumptions!$D$6,IF(ISNUMBER(SEARCH(Assumptions!$C$7,D4002)),Assumptions!$D$7,"Other Services"))),"Other Services"))</f>
        <v/>
      </c>
    </row>
    <row r="4003" customFormat="false" ht="15" hidden="false" customHeight="false" outlineLevel="0" collapsed="false">
      <c r="F4003" s="41" t="str">
        <f aca="false">IF(D4003="","",IFERROR(IF(ISNUMBER(SEARCH(Assumptions!$C$5,D4003)),Assumptions!$D$5,IF(ISNUMBER(SEARCH(Assumptions!$C$6,D4003)),Assumptions!$D$6,IF(ISNUMBER(SEARCH(Assumptions!$C$7,D4003)),Assumptions!$D$7,"Other Services"))),"Other Services"))</f>
        <v/>
      </c>
    </row>
    <row r="4004" customFormat="false" ht="15" hidden="false" customHeight="false" outlineLevel="0" collapsed="false">
      <c r="F4004" s="41" t="str">
        <f aca="false">IF(D4004="","",IFERROR(IF(ISNUMBER(SEARCH(Assumptions!$C$5,D4004)),Assumptions!$D$5,IF(ISNUMBER(SEARCH(Assumptions!$C$6,D4004)),Assumptions!$D$6,IF(ISNUMBER(SEARCH(Assumptions!$C$7,D4004)),Assumptions!$D$7,"Other Services"))),"Other Services"))</f>
        <v/>
      </c>
    </row>
    <row r="4005" customFormat="false" ht="15" hidden="false" customHeight="false" outlineLevel="0" collapsed="false">
      <c r="F4005" s="41" t="str">
        <f aca="false">IF(D4005="","",IFERROR(IF(ISNUMBER(SEARCH(Assumptions!$C$5,D4005)),Assumptions!$D$5,IF(ISNUMBER(SEARCH(Assumptions!$C$6,D4005)),Assumptions!$D$6,IF(ISNUMBER(SEARCH(Assumptions!$C$7,D4005)),Assumptions!$D$7,"Other Services"))),"Other Services"))</f>
        <v/>
      </c>
    </row>
    <row r="4006" customFormat="false" ht="15" hidden="false" customHeight="false" outlineLevel="0" collapsed="false">
      <c r="F4006" s="41" t="str">
        <f aca="false">IF(D4006="","",IFERROR(IF(ISNUMBER(SEARCH(Assumptions!$C$5,D4006)),Assumptions!$D$5,IF(ISNUMBER(SEARCH(Assumptions!$C$6,D4006)),Assumptions!$D$6,IF(ISNUMBER(SEARCH(Assumptions!$C$7,D4006)),Assumptions!$D$7,"Other Services"))),"Other Services"))</f>
        <v/>
      </c>
    </row>
    <row r="4007" customFormat="false" ht="15" hidden="false" customHeight="false" outlineLevel="0" collapsed="false">
      <c r="F4007" s="41" t="str">
        <f aca="false">IF(D4007="","",IFERROR(IF(ISNUMBER(SEARCH(Assumptions!$C$5,D4007)),Assumptions!$D$5,IF(ISNUMBER(SEARCH(Assumptions!$C$6,D4007)),Assumptions!$D$6,IF(ISNUMBER(SEARCH(Assumptions!$C$7,D4007)),Assumptions!$D$7,"Other Services"))),"Other Services"))</f>
        <v/>
      </c>
    </row>
    <row r="4008" customFormat="false" ht="15" hidden="false" customHeight="false" outlineLevel="0" collapsed="false">
      <c r="F4008" s="41" t="str">
        <f aca="false">IF(D4008="","",IFERROR(IF(ISNUMBER(SEARCH(Assumptions!$C$5,D4008)),Assumptions!$D$5,IF(ISNUMBER(SEARCH(Assumptions!$C$6,D4008)),Assumptions!$D$6,IF(ISNUMBER(SEARCH(Assumptions!$C$7,D4008)),Assumptions!$D$7,"Other Services"))),"Other Services"))</f>
        <v/>
      </c>
    </row>
    <row r="4009" customFormat="false" ht="15" hidden="false" customHeight="false" outlineLevel="0" collapsed="false">
      <c r="F4009" s="41" t="str">
        <f aca="false">IF(D4009="","",IFERROR(IF(ISNUMBER(SEARCH(Assumptions!$C$5,D4009)),Assumptions!$D$5,IF(ISNUMBER(SEARCH(Assumptions!$C$6,D4009)),Assumptions!$D$6,IF(ISNUMBER(SEARCH(Assumptions!$C$7,D4009)),Assumptions!$D$7,"Other Services"))),"Other Services"))</f>
        <v/>
      </c>
    </row>
    <row r="4010" customFormat="false" ht="15" hidden="false" customHeight="false" outlineLevel="0" collapsed="false">
      <c r="F4010" s="41" t="str">
        <f aca="false">IF(D4010="","",IFERROR(IF(ISNUMBER(SEARCH(Assumptions!$C$5,D4010)),Assumptions!$D$5,IF(ISNUMBER(SEARCH(Assumptions!$C$6,D4010)),Assumptions!$D$6,IF(ISNUMBER(SEARCH(Assumptions!$C$7,D4010)),Assumptions!$D$7,"Other Services"))),"Other Services"))</f>
        <v/>
      </c>
    </row>
    <row r="4011" customFormat="false" ht="15" hidden="false" customHeight="false" outlineLevel="0" collapsed="false">
      <c r="F4011" s="41" t="str">
        <f aca="false">IF(D4011="","",IFERROR(IF(ISNUMBER(SEARCH(Assumptions!$C$5,D4011)),Assumptions!$D$5,IF(ISNUMBER(SEARCH(Assumptions!$C$6,D4011)),Assumptions!$D$6,IF(ISNUMBER(SEARCH(Assumptions!$C$7,D4011)),Assumptions!$D$7,"Other Services"))),"Other Services"))</f>
        <v/>
      </c>
    </row>
    <row r="4012" customFormat="false" ht="15" hidden="false" customHeight="false" outlineLevel="0" collapsed="false">
      <c r="F4012" s="41" t="str">
        <f aca="false">IF(D4012="","",IFERROR(IF(ISNUMBER(SEARCH(Assumptions!$C$5,D4012)),Assumptions!$D$5,IF(ISNUMBER(SEARCH(Assumptions!$C$6,D4012)),Assumptions!$D$6,IF(ISNUMBER(SEARCH(Assumptions!$C$7,D4012)),Assumptions!$D$7,"Other Services"))),"Other Services"))</f>
        <v/>
      </c>
    </row>
    <row r="4013" customFormat="false" ht="15" hidden="false" customHeight="false" outlineLevel="0" collapsed="false">
      <c r="F4013" s="41" t="str">
        <f aca="false">IF(D4013="","",IFERROR(IF(ISNUMBER(SEARCH(Assumptions!$C$5,D4013)),Assumptions!$D$5,IF(ISNUMBER(SEARCH(Assumptions!$C$6,D4013)),Assumptions!$D$6,IF(ISNUMBER(SEARCH(Assumptions!$C$7,D4013)),Assumptions!$D$7,"Other Services"))),"Other Services"))</f>
        <v/>
      </c>
    </row>
    <row r="4014" customFormat="false" ht="15" hidden="false" customHeight="false" outlineLevel="0" collapsed="false">
      <c r="F4014" s="41" t="str">
        <f aca="false">IF(D4014="","",IFERROR(IF(ISNUMBER(SEARCH(Assumptions!$C$5,D4014)),Assumptions!$D$5,IF(ISNUMBER(SEARCH(Assumptions!$C$6,D4014)),Assumptions!$D$6,IF(ISNUMBER(SEARCH(Assumptions!$C$7,D4014)),Assumptions!$D$7,"Other Services"))),"Other Services"))</f>
        <v/>
      </c>
    </row>
    <row r="4015" customFormat="false" ht="15" hidden="false" customHeight="false" outlineLevel="0" collapsed="false">
      <c r="F4015" s="41" t="str">
        <f aca="false">IF(D4015="","",IFERROR(IF(ISNUMBER(SEARCH(Assumptions!$C$5,D4015)),Assumptions!$D$5,IF(ISNUMBER(SEARCH(Assumptions!$C$6,D4015)),Assumptions!$D$6,IF(ISNUMBER(SEARCH(Assumptions!$C$7,D4015)),Assumptions!$D$7,"Other Services"))),"Other Services"))</f>
        <v/>
      </c>
    </row>
    <row r="4016" customFormat="false" ht="15" hidden="false" customHeight="false" outlineLevel="0" collapsed="false">
      <c r="F4016" s="41" t="str">
        <f aca="false">IF(D4016="","",IFERROR(IF(ISNUMBER(SEARCH(Assumptions!$C$5,D4016)),Assumptions!$D$5,IF(ISNUMBER(SEARCH(Assumptions!$C$6,D4016)),Assumptions!$D$6,IF(ISNUMBER(SEARCH(Assumptions!$C$7,D4016)),Assumptions!$D$7,"Other Services"))),"Other Services"))</f>
        <v/>
      </c>
    </row>
    <row r="4017" customFormat="false" ht="15" hidden="false" customHeight="false" outlineLevel="0" collapsed="false">
      <c r="F4017" s="41" t="str">
        <f aca="false">IF(D4017="","",IFERROR(IF(ISNUMBER(SEARCH(Assumptions!$C$5,D4017)),Assumptions!$D$5,IF(ISNUMBER(SEARCH(Assumptions!$C$6,D4017)),Assumptions!$D$6,IF(ISNUMBER(SEARCH(Assumptions!$C$7,D4017)),Assumptions!$D$7,"Other Services"))),"Other Services"))</f>
        <v/>
      </c>
    </row>
    <row r="4018" customFormat="false" ht="15" hidden="false" customHeight="false" outlineLevel="0" collapsed="false">
      <c r="F4018" s="41" t="str">
        <f aca="false">IF(D4018="","",IFERROR(IF(ISNUMBER(SEARCH(Assumptions!$C$5,D4018)),Assumptions!$D$5,IF(ISNUMBER(SEARCH(Assumptions!$C$6,D4018)),Assumptions!$D$6,IF(ISNUMBER(SEARCH(Assumptions!$C$7,D4018)),Assumptions!$D$7,"Other Services"))),"Other Services"))</f>
        <v/>
      </c>
    </row>
    <row r="4019" customFormat="false" ht="15" hidden="false" customHeight="false" outlineLevel="0" collapsed="false">
      <c r="F4019" s="41" t="str">
        <f aca="false">IF(D4019="","",IFERROR(IF(ISNUMBER(SEARCH(Assumptions!$C$5,D4019)),Assumptions!$D$5,IF(ISNUMBER(SEARCH(Assumptions!$C$6,D4019)),Assumptions!$D$6,IF(ISNUMBER(SEARCH(Assumptions!$C$7,D4019)),Assumptions!$D$7,"Other Services"))),"Other Services"))</f>
        <v/>
      </c>
    </row>
    <row r="4020" customFormat="false" ht="15" hidden="false" customHeight="false" outlineLevel="0" collapsed="false">
      <c r="F4020" s="41" t="str">
        <f aca="false">IF(D4020="","",IFERROR(IF(ISNUMBER(SEARCH(Assumptions!$C$5,D4020)),Assumptions!$D$5,IF(ISNUMBER(SEARCH(Assumptions!$C$6,D4020)),Assumptions!$D$6,IF(ISNUMBER(SEARCH(Assumptions!$C$7,D4020)),Assumptions!$D$7,"Other Services"))),"Other Services"))</f>
        <v/>
      </c>
    </row>
    <row r="4021" customFormat="false" ht="15" hidden="false" customHeight="false" outlineLevel="0" collapsed="false">
      <c r="F4021" s="41" t="str">
        <f aca="false">IF(D4021="","",IFERROR(IF(ISNUMBER(SEARCH(Assumptions!$C$5,D4021)),Assumptions!$D$5,IF(ISNUMBER(SEARCH(Assumptions!$C$6,D4021)),Assumptions!$D$6,IF(ISNUMBER(SEARCH(Assumptions!$C$7,D4021)),Assumptions!$D$7,"Other Services"))),"Other Services"))</f>
        <v/>
      </c>
    </row>
    <row r="4022" customFormat="false" ht="15" hidden="false" customHeight="false" outlineLevel="0" collapsed="false">
      <c r="F4022" s="41" t="str">
        <f aca="false">IF(D4022="","",IFERROR(IF(ISNUMBER(SEARCH(Assumptions!$C$5,D4022)),Assumptions!$D$5,IF(ISNUMBER(SEARCH(Assumptions!$C$6,D4022)),Assumptions!$D$6,IF(ISNUMBER(SEARCH(Assumptions!$C$7,D4022)),Assumptions!$D$7,"Other Services"))),"Other Services"))</f>
        <v/>
      </c>
    </row>
    <row r="4023" customFormat="false" ht="15" hidden="false" customHeight="false" outlineLevel="0" collapsed="false">
      <c r="F4023" s="41" t="str">
        <f aca="false">IF(D4023="","",IFERROR(IF(ISNUMBER(SEARCH(Assumptions!$C$5,D4023)),Assumptions!$D$5,IF(ISNUMBER(SEARCH(Assumptions!$C$6,D4023)),Assumptions!$D$6,IF(ISNUMBER(SEARCH(Assumptions!$C$7,D4023)),Assumptions!$D$7,"Other Services"))),"Other Services"))</f>
        <v/>
      </c>
    </row>
    <row r="4024" customFormat="false" ht="15" hidden="false" customHeight="false" outlineLevel="0" collapsed="false">
      <c r="F4024" s="41" t="str">
        <f aca="false">IF(D4024="","",IFERROR(IF(ISNUMBER(SEARCH(Assumptions!$C$5,D4024)),Assumptions!$D$5,IF(ISNUMBER(SEARCH(Assumptions!$C$6,D4024)),Assumptions!$D$6,IF(ISNUMBER(SEARCH(Assumptions!$C$7,D4024)),Assumptions!$D$7,"Other Services"))),"Other Services"))</f>
        <v/>
      </c>
    </row>
    <row r="4025" customFormat="false" ht="15" hidden="false" customHeight="false" outlineLevel="0" collapsed="false">
      <c r="F4025" s="41" t="str">
        <f aca="false">IF(D4025="","",IFERROR(IF(ISNUMBER(SEARCH(Assumptions!$C$5,D4025)),Assumptions!$D$5,IF(ISNUMBER(SEARCH(Assumptions!$C$6,D4025)),Assumptions!$D$6,IF(ISNUMBER(SEARCH(Assumptions!$C$7,D4025)),Assumptions!$D$7,"Other Services"))),"Other Services"))</f>
        <v/>
      </c>
    </row>
    <row r="4026" customFormat="false" ht="15" hidden="false" customHeight="false" outlineLevel="0" collapsed="false">
      <c r="F4026" s="41" t="str">
        <f aca="false">IF(D4026="","",IFERROR(IF(ISNUMBER(SEARCH(Assumptions!$C$5,D4026)),Assumptions!$D$5,IF(ISNUMBER(SEARCH(Assumptions!$C$6,D4026)),Assumptions!$D$6,IF(ISNUMBER(SEARCH(Assumptions!$C$7,D4026)),Assumptions!$D$7,"Other Services"))),"Other Services"))</f>
        <v/>
      </c>
    </row>
    <row r="4027" customFormat="false" ht="15" hidden="false" customHeight="false" outlineLevel="0" collapsed="false">
      <c r="F4027" s="41" t="str">
        <f aca="false">IF(D4027="","",IFERROR(IF(ISNUMBER(SEARCH(Assumptions!$C$5,D4027)),Assumptions!$D$5,IF(ISNUMBER(SEARCH(Assumptions!$C$6,D4027)),Assumptions!$D$6,IF(ISNUMBER(SEARCH(Assumptions!$C$7,D4027)),Assumptions!$D$7,"Other Services"))),"Other Services"))</f>
        <v/>
      </c>
    </row>
    <row r="4028" customFormat="false" ht="15" hidden="false" customHeight="false" outlineLevel="0" collapsed="false">
      <c r="F4028" s="41" t="str">
        <f aca="false">IF(D4028="","",IFERROR(IF(ISNUMBER(SEARCH(Assumptions!$C$5,D4028)),Assumptions!$D$5,IF(ISNUMBER(SEARCH(Assumptions!$C$6,D4028)),Assumptions!$D$6,IF(ISNUMBER(SEARCH(Assumptions!$C$7,D4028)),Assumptions!$D$7,"Other Services"))),"Other Services"))</f>
        <v/>
      </c>
    </row>
    <row r="4029" customFormat="false" ht="15" hidden="false" customHeight="false" outlineLevel="0" collapsed="false">
      <c r="F4029" s="41" t="str">
        <f aca="false">IF(D4029="","",IFERROR(IF(ISNUMBER(SEARCH(Assumptions!$C$5,D4029)),Assumptions!$D$5,IF(ISNUMBER(SEARCH(Assumptions!$C$6,D4029)),Assumptions!$D$6,IF(ISNUMBER(SEARCH(Assumptions!$C$7,D4029)),Assumptions!$D$7,"Other Services"))),"Other Services"))</f>
        <v/>
      </c>
    </row>
    <row r="4030" customFormat="false" ht="15" hidden="false" customHeight="false" outlineLevel="0" collapsed="false">
      <c r="F4030" s="41" t="str">
        <f aca="false">IF(D4030="","",IFERROR(IF(ISNUMBER(SEARCH(Assumptions!$C$5,D4030)),Assumptions!$D$5,IF(ISNUMBER(SEARCH(Assumptions!$C$6,D4030)),Assumptions!$D$6,IF(ISNUMBER(SEARCH(Assumptions!$C$7,D4030)),Assumptions!$D$7,"Other Services"))),"Other Services"))</f>
        <v/>
      </c>
    </row>
    <row r="4031" customFormat="false" ht="15" hidden="false" customHeight="false" outlineLevel="0" collapsed="false">
      <c r="F4031" s="41" t="str">
        <f aca="false">IF(D4031="","",IFERROR(IF(ISNUMBER(SEARCH(Assumptions!$C$5,D4031)),Assumptions!$D$5,IF(ISNUMBER(SEARCH(Assumptions!$C$6,D4031)),Assumptions!$D$6,IF(ISNUMBER(SEARCH(Assumptions!$C$7,D4031)),Assumptions!$D$7,"Other Services"))),"Other Services"))</f>
        <v/>
      </c>
    </row>
    <row r="4032" customFormat="false" ht="15" hidden="false" customHeight="false" outlineLevel="0" collapsed="false">
      <c r="F4032" s="41" t="str">
        <f aca="false">IF(D4032="","",IFERROR(IF(ISNUMBER(SEARCH(Assumptions!$C$5,D4032)),Assumptions!$D$5,IF(ISNUMBER(SEARCH(Assumptions!$C$6,D4032)),Assumptions!$D$6,IF(ISNUMBER(SEARCH(Assumptions!$C$7,D4032)),Assumptions!$D$7,"Other Services"))),"Other Services"))</f>
        <v/>
      </c>
    </row>
    <row r="4033" customFormat="false" ht="15" hidden="false" customHeight="false" outlineLevel="0" collapsed="false">
      <c r="F4033" s="41" t="str">
        <f aca="false">IF(D4033="","",IFERROR(IF(ISNUMBER(SEARCH(Assumptions!$C$5,D4033)),Assumptions!$D$5,IF(ISNUMBER(SEARCH(Assumptions!$C$6,D4033)),Assumptions!$D$6,IF(ISNUMBER(SEARCH(Assumptions!$C$7,D4033)),Assumptions!$D$7,"Other Services"))),"Other Services"))</f>
        <v/>
      </c>
    </row>
    <row r="4034" customFormat="false" ht="15" hidden="false" customHeight="false" outlineLevel="0" collapsed="false">
      <c r="F4034" s="41" t="str">
        <f aca="false">IF(D4034="","",IFERROR(IF(ISNUMBER(SEARCH(Assumptions!$C$5,D4034)),Assumptions!$D$5,IF(ISNUMBER(SEARCH(Assumptions!$C$6,D4034)),Assumptions!$D$6,IF(ISNUMBER(SEARCH(Assumptions!$C$7,D4034)),Assumptions!$D$7,"Other Services"))),"Other Services"))</f>
        <v/>
      </c>
    </row>
    <row r="4035" customFormat="false" ht="15" hidden="false" customHeight="false" outlineLevel="0" collapsed="false">
      <c r="F4035" s="41" t="str">
        <f aca="false">IF(D4035="","",IFERROR(IF(ISNUMBER(SEARCH(Assumptions!$C$5,D4035)),Assumptions!$D$5,IF(ISNUMBER(SEARCH(Assumptions!$C$6,D4035)),Assumptions!$D$6,IF(ISNUMBER(SEARCH(Assumptions!$C$7,D4035)),Assumptions!$D$7,"Other Services"))),"Other Services"))</f>
        <v/>
      </c>
    </row>
    <row r="4036" customFormat="false" ht="15" hidden="false" customHeight="false" outlineLevel="0" collapsed="false">
      <c r="F4036" s="41" t="str">
        <f aca="false">IF(D4036="","",IFERROR(IF(ISNUMBER(SEARCH(Assumptions!$C$5,D4036)),Assumptions!$D$5,IF(ISNUMBER(SEARCH(Assumptions!$C$6,D4036)),Assumptions!$D$6,IF(ISNUMBER(SEARCH(Assumptions!$C$7,D4036)),Assumptions!$D$7,"Other Services"))),"Other Services"))</f>
        <v/>
      </c>
    </row>
    <row r="4037" customFormat="false" ht="15" hidden="false" customHeight="false" outlineLevel="0" collapsed="false">
      <c r="F4037" s="41" t="str">
        <f aca="false">IF(D4037="","",IFERROR(IF(ISNUMBER(SEARCH(Assumptions!$C$5,D4037)),Assumptions!$D$5,IF(ISNUMBER(SEARCH(Assumptions!$C$6,D4037)),Assumptions!$D$6,IF(ISNUMBER(SEARCH(Assumptions!$C$7,D4037)),Assumptions!$D$7,"Other Services"))),"Other Services"))</f>
        <v/>
      </c>
    </row>
    <row r="4038" customFormat="false" ht="15" hidden="false" customHeight="false" outlineLevel="0" collapsed="false">
      <c r="F4038" s="41" t="str">
        <f aca="false">IF(D4038="","",IFERROR(IF(ISNUMBER(SEARCH(Assumptions!$C$5,D4038)),Assumptions!$D$5,IF(ISNUMBER(SEARCH(Assumptions!$C$6,D4038)),Assumptions!$D$6,IF(ISNUMBER(SEARCH(Assumptions!$C$7,D4038)),Assumptions!$D$7,"Other Services"))),"Other Services"))</f>
        <v/>
      </c>
    </row>
    <row r="4039" customFormat="false" ht="15" hidden="false" customHeight="false" outlineLevel="0" collapsed="false">
      <c r="F4039" s="41" t="str">
        <f aca="false">IF(D4039="","",IFERROR(IF(ISNUMBER(SEARCH(Assumptions!$C$5,D4039)),Assumptions!$D$5,IF(ISNUMBER(SEARCH(Assumptions!$C$6,D4039)),Assumptions!$D$6,IF(ISNUMBER(SEARCH(Assumptions!$C$7,D4039)),Assumptions!$D$7,"Other Services"))),"Other Services"))</f>
        <v/>
      </c>
    </row>
    <row r="4040" customFormat="false" ht="15" hidden="false" customHeight="false" outlineLevel="0" collapsed="false">
      <c r="F4040" s="41" t="str">
        <f aca="false">IF(D4040="","",IFERROR(IF(ISNUMBER(SEARCH(Assumptions!$C$5,D4040)),Assumptions!$D$5,IF(ISNUMBER(SEARCH(Assumptions!$C$6,D4040)),Assumptions!$D$6,IF(ISNUMBER(SEARCH(Assumptions!$C$7,D4040)),Assumptions!$D$7,"Other Services"))),"Other Services"))</f>
        <v/>
      </c>
    </row>
    <row r="4041" customFormat="false" ht="15" hidden="false" customHeight="false" outlineLevel="0" collapsed="false">
      <c r="F4041" s="41" t="str">
        <f aca="false">IF(D4041="","",IFERROR(IF(ISNUMBER(SEARCH(Assumptions!$C$5,D4041)),Assumptions!$D$5,IF(ISNUMBER(SEARCH(Assumptions!$C$6,D4041)),Assumptions!$D$6,IF(ISNUMBER(SEARCH(Assumptions!$C$7,D4041)),Assumptions!$D$7,"Other Services"))),"Other Services"))</f>
        <v/>
      </c>
    </row>
    <row r="4042" customFormat="false" ht="15" hidden="false" customHeight="false" outlineLevel="0" collapsed="false">
      <c r="F4042" s="41" t="str">
        <f aca="false">IF(D4042="","",IFERROR(IF(ISNUMBER(SEARCH(Assumptions!$C$5,D4042)),Assumptions!$D$5,IF(ISNUMBER(SEARCH(Assumptions!$C$6,D4042)),Assumptions!$D$6,IF(ISNUMBER(SEARCH(Assumptions!$C$7,D4042)),Assumptions!$D$7,"Other Services"))),"Other Services"))</f>
        <v/>
      </c>
    </row>
    <row r="4043" customFormat="false" ht="15" hidden="false" customHeight="false" outlineLevel="0" collapsed="false">
      <c r="F4043" s="41" t="str">
        <f aca="false">IF(D4043="","",IFERROR(IF(ISNUMBER(SEARCH(Assumptions!$C$5,D4043)),Assumptions!$D$5,IF(ISNUMBER(SEARCH(Assumptions!$C$6,D4043)),Assumptions!$D$6,IF(ISNUMBER(SEARCH(Assumptions!$C$7,D4043)),Assumptions!$D$7,"Other Services"))),"Other Services"))</f>
        <v/>
      </c>
    </row>
    <row r="4044" customFormat="false" ht="15" hidden="false" customHeight="false" outlineLevel="0" collapsed="false">
      <c r="F4044" s="41" t="str">
        <f aca="false">IF(D4044="","",IFERROR(IF(ISNUMBER(SEARCH(Assumptions!$C$5,D4044)),Assumptions!$D$5,IF(ISNUMBER(SEARCH(Assumptions!$C$6,D4044)),Assumptions!$D$6,IF(ISNUMBER(SEARCH(Assumptions!$C$7,D4044)),Assumptions!$D$7,"Other Services"))),"Other Services"))</f>
        <v/>
      </c>
    </row>
    <row r="4045" customFormat="false" ht="15" hidden="false" customHeight="false" outlineLevel="0" collapsed="false">
      <c r="F4045" s="41" t="str">
        <f aca="false">IF(D4045="","",IFERROR(IF(ISNUMBER(SEARCH(Assumptions!$C$5,D4045)),Assumptions!$D$5,IF(ISNUMBER(SEARCH(Assumptions!$C$6,D4045)),Assumptions!$D$6,IF(ISNUMBER(SEARCH(Assumptions!$C$7,D4045)),Assumptions!$D$7,"Other Services"))),"Other Services"))</f>
        <v/>
      </c>
    </row>
    <row r="4046" customFormat="false" ht="15" hidden="false" customHeight="false" outlineLevel="0" collapsed="false">
      <c r="F4046" s="41" t="str">
        <f aca="false">IF(D4046="","",IFERROR(IF(ISNUMBER(SEARCH(Assumptions!$C$5,D4046)),Assumptions!$D$5,IF(ISNUMBER(SEARCH(Assumptions!$C$6,D4046)),Assumptions!$D$6,IF(ISNUMBER(SEARCH(Assumptions!$C$7,D4046)),Assumptions!$D$7,"Other Services"))),"Other Services"))</f>
        <v/>
      </c>
    </row>
    <row r="4047" customFormat="false" ht="15" hidden="false" customHeight="false" outlineLevel="0" collapsed="false">
      <c r="F4047" s="41" t="str">
        <f aca="false">IF(D4047="","",IFERROR(IF(ISNUMBER(SEARCH(Assumptions!$C$5,D4047)),Assumptions!$D$5,IF(ISNUMBER(SEARCH(Assumptions!$C$6,D4047)),Assumptions!$D$6,IF(ISNUMBER(SEARCH(Assumptions!$C$7,D4047)),Assumptions!$D$7,"Other Services"))),"Other Services"))</f>
        <v/>
      </c>
    </row>
    <row r="4048" customFormat="false" ht="15" hidden="false" customHeight="false" outlineLevel="0" collapsed="false">
      <c r="F4048" s="41" t="str">
        <f aca="false">IF(D4048="","",IFERROR(IF(ISNUMBER(SEARCH(Assumptions!$C$5,D4048)),Assumptions!$D$5,IF(ISNUMBER(SEARCH(Assumptions!$C$6,D4048)),Assumptions!$D$6,IF(ISNUMBER(SEARCH(Assumptions!$C$7,D4048)),Assumptions!$D$7,"Other Services"))),"Other Services"))</f>
        <v/>
      </c>
    </row>
    <row r="4049" customFormat="false" ht="15" hidden="false" customHeight="false" outlineLevel="0" collapsed="false">
      <c r="F4049" s="41" t="str">
        <f aca="false">IF(D4049="","",IFERROR(IF(ISNUMBER(SEARCH(Assumptions!$C$5,D4049)),Assumptions!$D$5,IF(ISNUMBER(SEARCH(Assumptions!$C$6,D4049)),Assumptions!$D$6,IF(ISNUMBER(SEARCH(Assumptions!$C$7,D4049)),Assumptions!$D$7,"Other Services"))),"Other Services"))</f>
        <v/>
      </c>
    </row>
    <row r="4050" customFormat="false" ht="15" hidden="false" customHeight="false" outlineLevel="0" collapsed="false">
      <c r="F4050" s="41" t="str">
        <f aca="false">IF(D4050="","",IFERROR(IF(ISNUMBER(SEARCH(Assumptions!$C$5,D4050)),Assumptions!$D$5,IF(ISNUMBER(SEARCH(Assumptions!$C$6,D4050)),Assumptions!$D$6,IF(ISNUMBER(SEARCH(Assumptions!$C$7,D4050)),Assumptions!$D$7,"Other Services"))),"Other Services"))</f>
        <v/>
      </c>
    </row>
    <row r="4051" customFormat="false" ht="15" hidden="false" customHeight="false" outlineLevel="0" collapsed="false">
      <c r="F4051" s="41" t="str">
        <f aca="false">IF(D4051="","",IFERROR(IF(ISNUMBER(SEARCH(Assumptions!$C$5,D4051)),Assumptions!$D$5,IF(ISNUMBER(SEARCH(Assumptions!$C$6,D4051)),Assumptions!$D$6,IF(ISNUMBER(SEARCH(Assumptions!$C$7,D4051)),Assumptions!$D$7,"Other Services"))),"Other Services"))</f>
        <v/>
      </c>
    </row>
    <row r="4052" customFormat="false" ht="15" hidden="false" customHeight="false" outlineLevel="0" collapsed="false">
      <c r="F4052" s="41" t="str">
        <f aca="false">IF(D4052="","",IFERROR(IF(ISNUMBER(SEARCH(Assumptions!$C$5,D4052)),Assumptions!$D$5,IF(ISNUMBER(SEARCH(Assumptions!$C$6,D4052)),Assumptions!$D$6,IF(ISNUMBER(SEARCH(Assumptions!$C$7,D4052)),Assumptions!$D$7,"Other Services"))),"Other Services"))</f>
        <v/>
      </c>
    </row>
    <row r="4053" customFormat="false" ht="15" hidden="false" customHeight="false" outlineLevel="0" collapsed="false">
      <c r="F4053" s="41" t="str">
        <f aca="false">IF(D4053="","",IFERROR(IF(ISNUMBER(SEARCH(Assumptions!$C$5,D4053)),Assumptions!$D$5,IF(ISNUMBER(SEARCH(Assumptions!$C$6,D4053)),Assumptions!$D$6,IF(ISNUMBER(SEARCH(Assumptions!$C$7,D4053)),Assumptions!$D$7,"Other Services"))),"Other Services"))</f>
        <v/>
      </c>
    </row>
    <row r="4054" customFormat="false" ht="15" hidden="false" customHeight="false" outlineLevel="0" collapsed="false">
      <c r="F4054" s="41" t="str">
        <f aca="false">IF(D4054="","",IFERROR(IF(ISNUMBER(SEARCH(Assumptions!$C$5,D4054)),Assumptions!$D$5,IF(ISNUMBER(SEARCH(Assumptions!$C$6,D4054)),Assumptions!$D$6,IF(ISNUMBER(SEARCH(Assumptions!$C$7,D4054)),Assumptions!$D$7,"Other Services"))),"Other Services"))</f>
        <v/>
      </c>
    </row>
    <row r="4055" customFormat="false" ht="15" hidden="false" customHeight="false" outlineLevel="0" collapsed="false">
      <c r="F4055" s="41" t="str">
        <f aca="false">IF(D4055="","",IFERROR(IF(ISNUMBER(SEARCH(Assumptions!$C$5,D4055)),Assumptions!$D$5,IF(ISNUMBER(SEARCH(Assumptions!$C$6,D4055)),Assumptions!$D$6,IF(ISNUMBER(SEARCH(Assumptions!$C$7,D4055)),Assumptions!$D$7,"Other Services"))),"Other Services"))</f>
        <v/>
      </c>
    </row>
    <row r="4056" customFormat="false" ht="15" hidden="false" customHeight="false" outlineLevel="0" collapsed="false">
      <c r="F4056" s="41" t="str">
        <f aca="false">IF(D4056="","",IFERROR(IF(ISNUMBER(SEARCH(Assumptions!$C$5,D4056)),Assumptions!$D$5,IF(ISNUMBER(SEARCH(Assumptions!$C$6,D4056)),Assumptions!$D$6,IF(ISNUMBER(SEARCH(Assumptions!$C$7,D4056)),Assumptions!$D$7,"Other Services"))),"Other Services"))</f>
        <v/>
      </c>
    </row>
    <row r="4057" customFormat="false" ht="15" hidden="false" customHeight="false" outlineLevel="0" collapsed="false">
      <c r="F4057" s="41" t="str">
        <f aca="false">IF(D4057="","",IFERROR(IF(ISNUMBER(SEARCH(Assumptions!$C$5,D4057)),Assumptions!$D$5,IF(ISNUMBER(SEARCH(Assumptions!$C$6,D4057)),Assumptions!$D$6,IF(ISNUMBER(SEARCH(Assumptions!$C$7,D4057)),Assumptions!$D$7,"Other Services"))),"Other Services"))</f>
        <v/>
      </c>
    </row>
    <row r="4058" customFormat="false" ht="15" hidden="false" customHeight="false" outlineLevel="0" collapsed="false">
      <c r="F4058" s="41" t="str">
        <f aca="false">IF(D4058="","",IFERROR(IF(ISNUMBER(SEARCH(Assumptions!$C$5,D4058)),Assumptions!$D$5,IF(ISNUMBER(SEARCH(Assumptions!$C$6,D4058)),Assumptions!$D$6,IF(ISNUMBER(SEARCH(Assumptions!$C$7,D4058)),Assumptions!$D$7,"Other Services"))),"Other Services"))</f>
        <v/>
      </c>
    </row>
    <row r="4059" customFormat="false" ht="15" hidden="false" customHeight="false" outlineLevel="0" collapsed="false">
      <c r="F4059" s="41" t="str">
        <f aca="false">IF(D4059="","",IFERROR(IF(ISNUMBER(SEARCH(Assumptions!$C$5,D4059)),Assumptions!$D$5,IF(ISNUMBER(SEARCH(Assumptions!$C$6,D4059)),Assumptions!$D$6,IF(ISNUMBER(SEARCH(Assumptions!$C$7,D4059)),Assumptions!$D$7,"Other Services"))),"Other Services"))</f>
        <v/>
      </c>
    </row>
    <row r="4060" customFormat="false" ht="15" hidden="false" customHeight="false" outlineLevel="0" collapsed="false">
      <c r="F4060" s="41" t="str">
        <f aca="false">IF(D4060="","",IFERROR(IF(ISNUMBER(SEARCH(Assumptions!$C$5,D4060)),Assumptions!$D$5,IF(ISNUMBER(SEARCH(Assumptions!$C$6,D4060)),Assumptions!$D$6,IF(ISNUMBER(SEARCH(Assumptions!$C$7,D4060)),Assumptions!$D$7,"Other Services"))),"Other Services"))</f>
        <v/>
      </c>
    </row>
    <row r="4061" customFormat="false" ht="15" hidden="false" customHeight="false" outlineLevel="0" collapsed="false">
      <c r="F4061" s="41" t="str">
        <f aca="false">IF(D4061="","",IFERROR(IF(ISNUMBER(SEARCH(Assumptions!$C$5,D4061)),Assumptions!$D$5,IF(ISNUMBER(SEARCH(Assumptions!$C$6,D4061)),Assumptions!$D$6,IF(ISNUMBER(SEARCH(Assumptions!$C$7,D4061)),Assumptions!$D$7,"Other Services"))),"Other Services"))</f>
        <v/>
      </c>
    </row>
    <row r="4062" customFormat="false" ht="15" hidden="false" customHeight="false" outlineLevel="0" collapsed="false">
      <c r="F4062" s="41" t="str">
        <f aca="false">IF(D4062="","",IFERROR(IF(ISNUMBER(SEARCH(Assumptions!$C$5,D4062)),Assumptions!$D$5,IF(ISNUMBER(SEARCH(Assumptions!$C$6,D4062)),Assumptions!$D$6,IF(ISNUMBER(SEARCH(Assumptions!$C$7,D4062)),Assumptions!$D$7,"Other Services"))),"Other Services"))</f>
        <v/>
      </c>
    </row>
    <row r="4063" customFormat="false" ht="15" hidden="false" customHeight="false" outlineLevel="0" collapsed="false">
      <c r="F4063" s="41" t="str">
        <f aca="false">IF(D4063="","",IFERROR(IF(ISNUMBER(SEARCH(Assumptions!$C$5,D4063)),Assumptions!$D$5,IF(ISNUMBER(SEARCH(Assumptions!$C$6,D4063)),Assumptions!$D$6,IF(ISNUMBER(SEARCH(Assumptions!$C$7,D4063)),Assumptions!$D$7,"Other Services"))),"Other Services"))</f>
        <v/>
      </c>
    </row>
    <row r="4064" customFormat="false" ht="15" hidden="false" customHeight="false" outlineLevel="0" collapsed="false">
      <c r="F4064" s="41" t="str">
        <f aca="false">IF(D4064="","",IFERROR(IF(ISNUMBER(SEARCH(Assumptions!$C$5,D4064)),Assumptions!$D$5,IF(ISNUMBER(SEARCH(Assumptions!$C$6,D4064)),Assumptions!$D$6,IF(ISNUMBER(SEARCH(Assumptions!$C$7,D4064)),Assumptions!$D$7,"Other Services"))),"Other Services"))</f>
        <v/>
      </c>
    </row>
    <row r="4065" customFormat="false" ht="15" hidden="false" customHeight="false" outlineLevel="0" collapsed="false">
      <c r="F4065" s="41" t="str">
        <f aca="false">IF(D4065="","",IFERROR(IF(ISNUMBER(SEARCH(Assumptions!$C$5,D4065)),Assumptions!$D$5,IF(ISNUMBER(SEARCH(Assumptions!$C$6,D4065)),Assumptions!$D$6,IF(ISNUMBER(SEARCH(Assumptions!$C$7,D4065)),Assumptions!$D$7,"Other Services"))),"Other Services"))</f>
        <v/>
      </c>
    </row>
    <row r="4066" customFormat="false" ht="15" hidden="false" customHeight="false" outlineLevel="0" collapsed="false">
      <c r="F4066" s="41" t="str">
        <f aca="false">IF(D4066="","",IFERROR(IF(ISNUMBER(SEARCH(Assumptions!$C$5,D4066)),Assumptions!$D$5,IF(ISNUMBER(SEARCH(Assumptions!$C$6,D4066)),Assumptions!$D$6,IF(ISNUMBER(SEARCH(Assumptions!$C$7,D4066)),Assumptions!$D$7,"Other Services"))),"Other Services"))</f>
        <v/>
      </c>
    </row>
    <row r="4067" customFormat="false" ht="15" hidden="false" customHeight="false" outlineLevel="0" collapsed="false">
      <c r="F4067" s="41" t="str">
        <f aca="false">IF(D4067="","",IFERROR(IF(ISNUMBER(SEARCH(Assumptions!$C$5,D4067)),Assumptions!$D$5,IF(ISNUMBER(SEARCH(Assumptions!$C$6,D4067)),Assumptions!$D$6,IF(ISNUMBER(SEARCH(Assumptions!$C$7,D4067)),Assumptions!$D$7,"Other Services"))),"Other Services"))</f>
        <v/>
      </c>
    </row>
    <row r="4068" customFormat="false" ht="15" hidden="false" customHeight="false" outlineLevel="0" collapsed="false">
      <c r="F4068" s="41" t="str">
        <f aca="false">IF(D4068="","",IFERROR(IF(ISNUMBER(SEARCH(Assumptions!$C$5,D4068)),Assumptions!$D$5,IF(ISNUMBER(SEARCH(Assumptions!$C$6,D4068)),Assumptions!$D$6,IF(ISNUMBER(SEARCH(Assumptions!$C$7,D4068)),Assumptions!$D$7,"Other Services"))),"Other Services"))</f>
        <v/>
      </c>
    </row>
    <row r="4069" customFormat="false" ht="15" hidden="false" customHeight="false" outlineLevel="0" collapsed="false">
      <c r="F4069" s="41" t="str">
        <f aca="false">IF(D4069="","",IFERROR(IF(ISNUMBER(SEARCH(Assumptions!$C$5,D4069)),Assumptions!$D$5,IF(ISNUMBER(SEARCH(Assumptions!$C$6,D4069)),Assumptions!$D$6,IF(ISNUMBER(SEARCH(Assumptions!$C$7,D4069)),Assumptions!$D$7,"Other Services"))),"Other Services"))</f>
        <v/>
      </c>
    </row>
    <row r="4070" customFormat="false" ht="15" hidden="false" customHeight="false" outlineLevel="0" collapsed="false">
      <c r="F4070" s="41" t="str">
        <f aca="false">IF(D4070="","",IFERROR(IF(ISNUMBER(SEARCH(Assumptions!$C$5,D4070)),Assumptions!$D$5,IF(ISNUMBER(SEARCH(Assumptions!$C$6,D4070)),Assumptions!$D$6,IF(ISNUMBER(SEARCH(Assumptions!$C$7,D4070)),Assumptions!$D$7,"Other Services"))),"Other Services"))</f>
        <v/>
      </c>
    </row>
    <row r="4071" customFormat="false" ht="15" hidden="false" customHeight="false" outlineLevel="0" collapsed="false">
      <c r="F4071" s="41" t="str">
        <f aca="false">IF(D4071="","",IFERROR(IF(ISNUMBER(SEARCH(Assumptions!$C$5,D4071)),Assumptions!$D$5,IF(ISNUMBER(SEARCH(Assumptions!$C$6,D4071)),Assumptions!$D$6,IF(ISNUMBER(SEARCH(Assumptions!$C$7,D4071)),Assumptions!$D$7,"Other Services"))),"Other Services"))</f>
        <v/>
      </c>
    </row>
    <row r="4072" customFormat="false" ht="15" hidden="false" customHeight="false" outlineLevel="0" collapsed="false">
      <c r="F4072" s="41" t="str">
        <f aca="false">IF(D4072="","",IFERROR(IF(ISNUMBER(SEARCH(Assumptions!$C$5,D4072)),Assumptions!$D$5,IF(ISNUMBER(SEARCH(Assumptions!$C$6,D4072)),Assumptions!$D$6,IF(ISNUMBER(SEARCH(Assumptions!$C$7,D4072)),Assumptions!$D$7,"Other Services"))),"Other Services"))</f>
        <v/>
      </c>
    </row>
    <row r="4073" customFormat="false" ht="15" hidden="false" customHeight="false" outlineLevel="0" collapsed="false">
      <c r="F4073" s="41" t="str">
        <f aca="false">IF(D4073="","",IFERROR(IF(ISNUMBER(SEARCH(Assumptions!$C$5,D4073)),Assumptions!$D$5,IF(ISNUMBER(SEARCH(Assumptions!$C$6,D4073)),Assumptions!$D$6,IF(ISNUMBER(SEARCH(Assumptions!$C$7,D4073)),Assumptions!$D$7,"Other Services"))),"Other Services"))</f>
        <v/>
      </c>
    </row>
    <row r="4074" customFormat="false" ht="15" hidden="false" customHeight="false" outlineLevel="0" collapsed="false">
      <c r="F4074" s="41" t="str">
        <f aca="false">IF(D4074="","",IFERROR(IF(ISNUMBER(SEARCH(Assumptions!$C$5,D4074)),Assumptions!$D$5,IF(ISNUMBER(SEARCH(Assumptions!$C$6,D4074)),Assumptions!$D$6,IF(ISNUMBER(SEARCH(Assumptions!$C$7,D4074)),Assumptions!$D$7,"Other Services"))),"Other Services"))</f>
        <v/>
      </c>
    </row>
    <row r="4075" customFormat="false" ht="15" hidden="false" customHeight="false" outlineLevel="0" collapsed="false">
      <c r="F4075" s="41" t="str">
        <f aca="false">IF(D4075="","",IFERROR(IF(ISNUMBER(SEARCH(Assumptions!$C$5,D4075)),Assumptions!$D$5,IF(ISNUMBER(SEARCH(Assumptions!$C$6,D4075)),Assumptions!$D$6,IF(ISNUMBER(SEARCH(Assumptions!$C$7,D4075)),Assumptions!$D$7,"Other Services"))),"Other Services"))</f>
        <v/>
      </c>
    </row>
    <row r="4076" customFormat="false" ht="15" hidden="false" customHeight="false" outlineLevel="0" collapsed="false">
      <c r="F4076" s="41" t="str">
        <f aca="false">IF(D4076="","",IFERROR(IF(ISNUMBER(SEARCH(Assumptions!$C$5,D4076)),Assumptions!$D$5,IF(ISNUMBER(SEARCH(Assumptions!$C$6,D4076)),Assumptions!$D$6,IF(ISNUMBER(SEARCH(Assumptions!$C$7,D4076)),Assumptions!$D$7,"Other Services"))),"Other Services"))</f>
        <v/>
      </c>
    </row>
    <row r="4077" customFormat="false" ht="15" hidden="false" customHeight="false" outlineLevel="0" collapsed="false">
      <c r="F4077" s="41" t="str">
        <f aca="false">IF(D4077="","",IFERROR(IF(ISNUMBER(SEARCH(Assumptions!$C$5,D4077)),Assumptions!$D$5,IF(ISNUMBER(SEARCH(Assumptions!$C$6,D4077)),Assumptions!$D$6,IF(ISNUMBER(SEARCH(Assumptions!$C$7,D4077)),Assumptions!$D$7,"Other Services"))),"Other Services"))</f>
        <v/>
      </c>
    </row>
    <row r="4078" customFormat="false" ht="15" hidden="false" customHeight="false" outlineLevel="0" collapsed="false">
      <c r="F4078" s="41" t="str">
        <f aca="false">IF(D4078="","",IFERROR(IF(ISNUMBER(SEARCH(Assumptions!$C$5,D4078)),Assumptions!$D$5,IF(ISNUMBER(SEARCH(Assumptions!$C$6,D4078)),Assumptions!$D$6,IF(ISNUMBER(SEARCH(Assumptions!$C$7,D4078)),Assumptions!$D$7,"Other Services"))),"Other Services"))</f>
        <v/>
      </c>
    </row>
    <row r="4079" customFormat="false" ht="15" hidden="false" customHeight="false" outlineLevel="0" collapsed="false">
      <c r="F4079" s="41" t="str">
        <f aca="false">IF(D4079="","",IFERROR(IF(ISNUMBER(SEARCH(Assumptions!$C$5,D4079)),Assumptions!$D$5,IF(ISNUMBER(SEARCH(Assumptions!$C$6,D4079)),Assumptions!$D$6,IF(ISNUMBER(SEARCH(Assumptions!$C$7,D4079)),Assumptions!$D$7,"Other Services"))),"Other Services"))</f>
        <v/>
      </c>
    </row>
    <row r="4080" customFormat="false" ht="15" hidden="false" customHeight="false" outlineLevel="0" collapsed="false">
      <c r="F4080" s="41" t="str">
        <f aca="false">IF(D4080="","",IFERROR(IF(ISNUMBER(SEARCH(Assumptions!$C$5,D4080)),Assumptions!$D$5,IF(ISNUMBER(SEARCH(Assumptions!$C$6,D4080)),Assumptions!$D$6,IF(ISNUMBER(SEARCH(Assumptions!$C$7,D4080)),Assumptions!$D$7,"Other Services"))),"Other Services"))</f>
        <v/>
      </c>
    </row>
    <row r="4081" customFormat="false" ht="15" hidden="false" customHeight="false" outlineLevel="0" collapsed="false">
      <c r="F4081" s="41" t="str">
        <f aca="false">IF(D4081="","",IFERROR(IF(ISNUMBER(SEARCH(Assumptions!$C$5,D4081)),Assumptions!$D$5,IF(ISNUMBER(SEARCH(Assumptions!$C$6,D4081)),Assumptions!$D$6,IF(ISNUMBER(SEARCH(Assumptions!$C$7,D4081)),Assumptions!$D$7,"Other Services"))),"Other Services"))</f>
        <v/>
      </c>
    </row>
    <row r="4082" customFormat="false" ht="15" hidden="false" customHeight="false" outlineLevel="0" collapsed="false">
      <c r="F4082" s="41" t="str">
        <f aca="false">IF(D4082="","",IFERROR(IF(ISNUMBER(SEARCH(Assumptions!$C$5,D4082)),Assumptions!$D$5,IF(ISNUMBER(SEARCH(Assumptions!$C$6,D4082)),Assumptions!$D$6,IF(ISNUMBER(SEARCH(Assumptions!$C$7,D4082)),Assumptions!$D$7,"Other Services"))),"Other Services"))</f>
        <v/>
      </c>
    </row>
    <row r="4083" customFormat="false" ht="15" hidden="false" customHeight="false" outlineLevel="0" collapsed="false">
      <c r="F4083" s="41" t="str">
        <f aca="false">IF(D4083="","",IFERROR(IF(ISNUMBER(SEARCH(Assumptions!$C$5,D4083)),Assumptions!$D$5,IF(ISNUMBER(SEARCH(Assumptions!$C$6,D4083)),Assumptions!$D$6,IF(ISNUMBER(SEARCH(Assumptions!$C$7,D4083)),Assumptions!$D$7,"Other Services"))),"Other Services"))</f>
        <v/>
      </c>
    </row>
    <row r="4084" customFormat="false" ht="15" hidden="false" customHeight="false" outlineLevel="0" collapsed="false">
      <c r="F4084" s="41" t="str">
        <f aca="false">IF(D4084="","",IFERROR(IF(ISNUMBER(SEARCH(Assumptions!$C$5,D4084)),Assumptions!$D$5,IF(ISNUMBER(SEARCH(Assumptions!$C$6,D4084)),Assumptions!$D$6,IF(ISNUMBER(SEARCH(Assumptions!$C$7,D4084)),Assumptions!$D$7,"Other Services"))),"Other Services"))</f>
        <v/>
      </c>
    </row>
    <row r="4085" customFormat="false" ht="15" hidden="false" customHeight="false" outlineLevel="0" collapsed="false">
      <c r="F4085" s="41" t="str">
        <f aca="false">IF(D4085="","",IFERROR(IF(ISNUMBER(SEARCH(Assumptions!$C$5,D4085)),Assumptions!$D$5,IF(ISNUMBER(SEARCH(Assumptions!$C$6,D4085)),Assumptions!$D$6,IF(ISNUMBER(SEARCH(Assumptions!$C$7,D4085)),Assumptions!$D$7,"Other Services"))),"Other Services"))</f>
        <v/>
      </c>
    </row>
    <row r="4086" customFormat="false" ht="15" hidden="false" customHeight="false" outlineLevel="0" collapsed="false">
      <c r="F4086" s="41" t="str">
        <f aca="false">IF(D4086="","",IFERROR(IF(ISNUMBER(SEARCH(Assumptions!$C$5,D4086)),Assumptions!$D$5,IF(ISNUMBER(SEARCH(Assumptions!$C$6,D4086)),Assumptions!$D$6,IF(ISNUMBER(SEARCH(Assumptions!$C$7,D4086)),Assumptions!$D$7,"Other Services"))),"Other Services"))</f>
        <v/>
      </c>
    </row>
    <row r="4087" customFormat="false" ht="15" hidden="false" customHeight="false" outlineLevel="0" collapsed="false">
      <c r="F4087" s="41" t="str">
        <f aca="false">IF(D4087="","",IFERROR(IF(ISNUMBER(SEARCH(Assumptions!$C$5,D4087)),Assumptions!$D$5,IF(ISNUMBER(SEARCH(Assumptions!$C$6,D4087)),Assumptions!$D$6,IF(ISNUMBER(SEARCH(Assumptions!$C$7,D4087)),Assumptions!$D$7,"Other Services"))),"Other Services"))</f>
        <v/>
      </c>
    </row>
    <row r="4088" customFormat="false" ht="15" hidden="false" customHeight="false" outlineLevel="0" collapsed="false">
      <c r="F4088" s="41" t="str">
        <f aca="false">IF(D4088="","",IFERROR(IF(ISNUMBER(SEARCH(Assumptions!$C$5,D4088)),Assumptions!$D$5,IF(ISNUMBER(SEARCH(Assumptions!$C$6,D4088)),Assumptions!$D$6,IF(ISNUMBER(SEARCH(Assumptions!$C$7,D4088)),Assumptions!$D$7,"Other Services"))),"Other Services"))</f>
        <v/>
      </c>
    </row>
    <row r="4089" customFormat="false" ht="15" hidden="false" customHeight="false" outlineLevel="0" collapsed="false">
      <c r="F4089" s="41" t="str">
        <f aca="false">IF(D4089="","",IFERROR(IF(ISNUMBER(SEARCH(Assumptions!$C$5,D4089)),Assumptions!$D$5,IF(ISNUMBER(SEARCH(Assumptions!$C$6,D4089)),Assumptions!$D$6,IF(ISNUMBER(SEARCH(Assumptions!$C$7,D4089)),Assumptions!$D$7,"Other Services"))),"Other Services"))</f>
        <v/>
      </c>
    </row>
    <row r="4090" customFormat="false" ht="15" hidden="false" customHeight="false" outlineLevel="0" collapsed="false">
      <c r="F4090" s="41" t="str">
        <f aca="false">IF(D4090="","",IFERROR(IF(ISNUMBER(SEARCH(Assumptions!$C$5,D4090)),Assumptions!$D$5,IF(ISNUMBER(SEARCH(Assumptions!$C$6,D4090)),Assumptions!$D$6,IF(ISNUMBER(SEARCH(Assumptions!$C$7,D4090)),Assumptions!$D$7,"Other Services"))),"Other Services"))</f>
        <v/>
      </c>
    </row>
    <row r="4091" customFormat="false" ht="15" hidden="false" customHeight="false" outlineLevel="0" collapsed="false">
      <c r="F4091" s="41" t="str">
        <f aca="false">IF(D4091="","",IFERROR(IF(ISNUMBER(SEARCH(Assumptions!$C$5,D4091)),Assumptions!$D$5,IF(ISNUMBER(SEARCH(Assumptions!$C$6,D4091)),Assumptions!$D$6,IF(ISNUMBER(SEARCH(Assumptions!$C$7,D4091)),Assumptions!$D$7,"Other Services"))),"Other Services"))</f>
        <v/>
      </c>
    </row>
    <row r="4092" customFormat="false" ht="15" hidden="false" customHeight="false" outlineLevel="0" collapsed="false">
      <c r="F4092" s="41" t="str">
        <f aca="false">IF(D4092="","",IFERROR(IF(ISNUMBER(SEARCH(Assumptions!$C$5,D4092)),Assumptions!$D$5,IF(ISNUMBER(SEARCH(Assumptions!$C$6,D4092)),Assumptions!$D$6,IF(ISNUMBER(SEARCH(Assumptions!$C$7,D4092)),Assumptions!$D$7,"Other Services"))),"Other Services"))</f>
        <v/>
      </c>
    </row>
    <row r="4093" customFormat="false" ht="15" hidden="false" customHeight="false" outlineLevel="0" collapsed="false">
      <c r="F4093" s="41" t="str">
        <f aca="false">IF(D4093="","",IFERROR(IF(ISNUMBER(SEARCH(Assumptions!$C$5,D4093)),Assumptions!$D$5,IF(ISNUMBER(SEARCH(Assumptions!$C$6,D4093)),Assumptions!$D$6,IF(ISNUMBER(SEARCH(Assumptions!$C$7,D4093)),Assumptions!$D$7,"Other Services"))),"Other Services"))</f>
        <v/>
      </c>
    </row>
    <row r="4094" customFormat="false" ht="15" hidden="false" customHeight="false" outlineLevel="0" collapsed="false">
      <c r="F4094" s="41" t="str">
        <f aca="false">IF(D4094="","",IFERROR(IF(ISNUMBER(SEARCH(Assumptions!$C$5,D4094)),Assumptions!$D$5,IF(ISNUMBER(SEARCH(Assumptions!$C$6,D4094)),Assumptions!$D$6,IF(ISNUMBER(SEARCH(Assumptions!$C$7,D4094)),Assumptions!$D$7,"Other Services"))),"Other Services"))</f>
        <v/>
      </c>
    </row>
    <row r="4095" customFormat="false" ht="15" hidden="false" customHeight="false" outlineLevel="0" collapsed="false">
      <c r="F4095" s="41" t="str">
        <f aca="false">IF(D4095="","",IFERROR(IF(ISNUMBER(SEARCH(Assumptions!$C$5,D4095)),Assumptions!$D$5,IF(ISNUMBER(SEARCH(Assumptions!$C$6,D4095)),Assumptions!$D$6,IF(ISNUMBER(SEARCH(Assumptions!$C$7,D4095)),Assumptions!$D$7,"Other Services"))),"Other Services"))</f>
        <v/>
      </c>
    </row>
    <row r="4096" customFormat="false" ht="15" hidden="false" customHeight="false" outlineLevel="0" collapsed="false">
      <c r="F4096" s="41" t="str">
        <f aca="false">IF(D4096="","",IFERROR(IF(ISNUMBER(SEARCH(Assumptions!$C$5,D4096)),Assumptions!$D$5,IF(ISNUMBER(SEARCH(Assumptions!$C$6,D4096)),Assumptions!$D$6,IF(ISNUMBER(SEARCH(Assumptions!$C$7,D4096)),Assumptions!$D$7,"Other Services"))),"Other Services"))</f>
        <v/>
      </c>
    </row>
    <row r="4097" customFormat="false" ht="15" hidden="false" customHeight="false" outlineLevel="0" collapsed="false">
      <c r="F4097" s="41" t="str">
        <f aca="false">IF(D4097="","",IFERROR(IF(ISNUMBER(SEARCH(Assumptions!$C$5,D4097)),Assumptions!$D$5,IF(ISNUMBER(SEARCH(Assumptions!$C$6,D4097)),Assumptions!$D$6,IF(ISNUMBER(SEARCH(Assumptions!$C$7,D4097)),Assumptions!$D$7,"Other Services"))),"Other Services"))</f>
        <v/>
      </c>
    </row>
    <row r="4098" customFormat="false" ht="15" hidden="false" customHeight="false" outlineLevel="0" collapsed="false">
      <c r="F4098" s="41" t="str">
        <f aca="false">IF(D4098="","",IFERROR(IF(ISNUMBER(SEARCH(Assumptions!$C$5,D4098)),Assumptions!$D$5,IF(ISNUMBER(SEARCH(Assumptions!$C$6,D4098)),Assumptions!$D$6,IF(ISNUMBER(SEARCH(Assumptions!$C$7,D4098)),Assumptions!$D$7,"Other Services"))),"Other Services"))</f>
        <v/>
      </c>
    </row>
    <row r="4099" customFormat="false" ht="15" hidden="false" customHeight="false" outlineLevel="0" collapsed="false">
      <c r="F4099" s="41" t="str">
        <f aca="false">IF(D4099="","",IFERROR(IF(ISNUMBER(SEARCH(Assumptions!$C$5,D4099)),Assumptions!$D$5,IF(ISNUMBER(SEARCH(Assumptions!$C$6,D4099)),Assumptions!$D$6,IF(ISNUMBER(SEARCH(Assumptions!$C$7,D4099)),Assumptions!$D$7,"Other Services"))),"Other Services"))</f>
        <v/>
      </c>
    </row>
    <row r="4100" customFormat="false" ht="15" hidden="false" customHeight="false" outlineLevel="0" collapsed="false">
      <c r="F4100" s="41" t="str">
        <f aca="false">IF(D4100="","",IFERROR(IF(ISNUMBER(SEARCH(Assumptions!$C$5,D4100)),Assumptions!$D$5,IF(ISNUMBER(SEARCH(Assumptions!$C$6,D4100)),Assumptions!$D$6,IF(ISNUMBER(SEARCH(Assumptions!$C$7,D4100)),Assumptions!$D$7,"Other Services"))),"Other Services"))</f>
        <v/>
      </c>
    </row>
    <row r="4101" customFormat="false" ht="15" hidden="false" customHeight="false" outlineLevel="0" collapsed="false">
      <c r="F4101" s="41" t="str">
        <f aca="false">IF(D4101="","",IFERROR(IF(ISNUMBER(SEARCH(Assumptions!$C$5,D4101)),Assumptions!$D$5,IF(ISNUMBER(SEARCH(Assumptions!$C$6,D4101)),Assumptions!$D$6,IF(ISNUMBER(SEARCH(Assumptions!$C$7,D4101)),Assumptions!$D$7,"Other Services"))),"Other Services"))</f>
        <v/>
      </c>
    </row>
    <row r="4102" customFormat="false" ht="15" hidden="false" customHeight="false" outlineLevel="0" collapsed="false">
      <c r="F4102" s="41" t="str">
        <f aca="false">IF(D4102="","",IFERROR(IF(ISNUMBER(SEARCH(Assumptions!$C$5,D4102)),Assumptions!$D$5,IF(ISNUMBER(SEARCH(Assumptions!$C$6,D4102)),Assumptions!$D$6,IF(ISNUMBER(SEARCH(Assumptions!$C$7,D4102)),Assumptions!$D$7,"Other Services"))),"Other Services"))</f>
        <v/>
      </c>
    </row>
    <row r="4103" customFormat="false" ht="15" hidden="false" customHeight="false" outlineLevel="0" collapsed="false">
      <c r="F4103" s="41" t="str">
        <f aca="false">IF(D4103="","",IFERROR(IF(ISNUMBER(SEARCH(Assumptions!$C$5,D4103)),Assumptions!$D$5,IF(ISNUMBER(SEARCH(Assumptions!$C$6,D4103)),Assumptions!$D$6,IF(ISNUMBER(SEARCH(Assumptions!$C$7,D4103)),Assumptions!$D$7,"Other Services"))),"Other Services"))</f>
        <v/>
      </c>
    </row>
    <row r="4104" customFormat="false" ht="15" hidden="false" customHeight="false" outlineLevel="0" collapsed="false">
      <c r="F4104" s="41" t="str">
        <f aca="false">IF(D4104="","",IFERROR(IF(ISNUMBER(SEARCH(Assumptions!$C$5,D4104)),Assumptions!$D$5,IF(ISNUMBER(SEARCH(Assumptions!$C$6,D4104)),Assumptions!$D$6,IF(ISNUMBER(SEARCH(Assumptions!$C$7,D4104)),Assumptions!$D$7,"Other Services"))),"Other Services"))</f>
        <v/>
      </c>
    </row>
    <row r="4105" customFormat="false" ht="15" hidden="false" customHeight="false" outlineLevel="0" collapsed="false">
      <c r="F4105" s="41" t="str">
        <f aca="false">IF(D4105="","",IFERROR(IF(ISNUMBER(SEARCH(Assumptions!$C$5,D4105)),Assumptions!$D$5,IF(ISNUMBER(SEARCH(Assumptions!$C$6,D4105)),Assumptions!$D$6,IF(ISNUMBER(SEARCH(Assumptions!$C$7,D4105)),Assumptions!$D$7,"Other Services"))),"Other Services"))</f>
        <v/>
      </c>
    </row>
    <row r="4106" customFormat="false" ht="15" hidden="false" customHeight="false" outlineLevel="0" collapsed="false">
      <c r="F4106" s="41" t="str">
        <f aca="false">IF(D4106="","",IFERROR(IF(ISNUMBER(SEARCH(Assumptions!$C$5,D4106)),Assumptions!$D$5,IF(ISNUMBER(SEARCH(Assumptions!$C$6,D4106)),Assumptions!$D$6,IF(ISNUMBER(SEARCH(Assumptions!$C$7,D4106)),Assumptions!$D$7,"Other Services"))),"Other Services"))</f>
        <v/>
      </c>
    </row>
    <row r="4107" customFormat="false" ht="15" hidden="false" customHeight="false" outlineLevel="0" collapsed="false">
      <c r="F4107" s="41" t="str">
        <f aca="false">IF(D4107="","",IFERROR(IF(ISNUMBER(SEARCH(Assumptions!$C$5,D4107)),Assumptions!$D$5,IF(ISNUMBER(SEARCH(Assumptions!$C$6,D4107)),Assumptions!$D$6,IF(ISNUMBER(SEARCH(Assumptions!$C$7,D4107)),Assumptions!$D$7,"Other Services"))),"Other Services"))</f>
        <v/>
      </c>
    </row>
    <row r="4108" customFormat="false" ht="15" hidden="false" customHeight="false" outlineLevel="0" collapsed="false">
      <c r="F4108" s="41" t="str">
        <f aca="false">IF(D4108="","",IFERROR(IF(ISNUMBER(SEARCH(Assumptions!$C$5,D4108)),Assumptions!$D$5,IF(ISNUMBER(SEARCH(Assumptions!$C$6,D4108)),Assumptions!$D$6,IF(ISNUMBER(SEARCH(Assumptions!$C$7,D4108)),Assumptions!$D$7,"Other Services"))),"Other Services"))</f>
        <v/>
      </c>
    </row>
    <row r="4109" customFormat="false" ht="15" hidden="false" customHeight="false" outlineLevel="0" collapsed="false">
      <c r="F4109" s="41" t="str">
        <f aca="false">IF(D4109="","",IFERROR(IF(ISNUMBER(SEARCH(Assumptions!$C$5,D4109)),Assumptions!$D$5,IF(ISNUMBER(SEARCH(Assumptions!$C$6,D4109)),Assumptions!$D$6,IF(ISNUMBER(SEARCH(Assumptions!$C$7,D4109)),Assumptions!$D$7,"Other Services"))),"Other Services"))</f>
        <v/>
      </c>
    </row>
    <row r="4110" customFormat="false" ht="15" hidden="false" customHeight="false" outlineLevel="0" collapsed="false">
      <c r="F4110" s="41" t="str">
        <f aca="false">IF(D4110="","",IFERROR(IF(ISNUMBER(SEARCH(Assumptions!$C$5,D4110)),Assumptions!$D$5,IF(ISNUMBER(SEARCH(Assumptions!$C$6,D4110)),Assumptions!$D$6,IF(ISNUMBER(SEARCH(Assumptions!$C$7,D4110)),Assumptions!$D$7,"Other Services"))),"Other Services"))</f>
        <v/>
      </c>
    </row>
    <row r="4111" customFormat="false" ht="15" hidden="false" customHeight="false" outlineLevel="0" collapsed="false">
      <c r="F4111" s="41" t="str">
        <f aca="false">IF(D4111="","",IFERROR(IF(ISNUMBER(SEARCH(Assumptions!$C$5,D4111)),Assumptions!$D$5,IF(ISNUMBER(SEARCH(Assumptions!$C$6,D4111)),Assumptions!$D$6,IF(ISNUMBER(SEARCH(Assumptions!$C$7,D4111)),Assumptions!$D$7,"Other Services"))),"Other Services"))</f>
        <v/>
      </c>
    </row>
    <row r="4112" customFormat="false" ht="15" hidden="false" customHeight="false" outlineLevel="0" collapsed="false">
      <c r="F4112" s="41" t="str">
        <f aca="false">IF(D4112="","",IFERROR(IF(ISNUMBER(SEARCH(Assumptions!$C$5,D4112)),Assumptions!$D$5,IF(ISNUMBER(SEARCH(Assumptions!$C$6,D4112)),Assumptions!$D$6,IF(ISNUMBER(SEARCH(Assumptions!$C$7,D4112)),Assumptions!$D$7,"Other Services"))),"Other Services"))</f>
        <v/>
      </c>
    </row>
    <row r="4113" customFormat="false" ht="15" hidden="false" customHeight="false" outlineLevel="0" collapsed="false">
      <c r="F4113" s="41" t="str">
        <f aca="false">IF(D4113="","",IFERROR(IF(ISNUMBER(SEARCH(Assumptions!$C$5,D4113)),Assumptions!$D$5,IF(ISNUMBER(SEARCH(Assumptions!$C$6,D4113)),Assumptions!$D$6,IF(ISNUMBER(SEARCH(Assumptions!$C$7,D4113)),Assumptions!$D$7,"Other Services"))),"Other Services"))</f>
        <v/>
      </c>
    </row>
    <row r="4114" customFormat="false" ht="15" hidden="false" customHeight="false" outlineLevel="0" collapsed="false">
      <c r="F4114" s="41" t="str">
        <f aca="false">IF(D4114="","",IFERROR(IF(ISNUMBER(SEARCH(Assumptions!$C$5,D4114)),Assumptions!$D$5,IF(ISNUMBER(SEARCH(Assumptions!$C$6,D4114)),Assumptions!$D$6,IF(ISNUMBER(SEARCH(Assumptions!$C$7,D4114)),Assumptions!$D$7,"Other Services"))),"Other Services"))</f>
        <v/>
      </c>
    </row>
    <row r="4115" customFormat="false" ht="15" hidden="false" customHeight="false" outlineLevel="0" collapsed="false">
      <c r="F4115" s="41" t="str">
        <f aca="false">IF(D4115="","",IFERROR(IF(ISNUMBER(SEARCH(Assumptions!$C$5,D4115)),Assumptions!$D$5,IF(ISNUMBER(SEARCH(Assumptions!$C$6,D4115)),Assumptions!$D$6,IF(ISNUMBER(SEARCH(Assumptions!$C$7,D4115)),Assumptions!$D$7,"Other Services"))),"Other Services"))</f>
        <v/>
      </c>
    </row>
    <row r="4116" customFormat="false" ht="15" hidden="false" customHeight="false" outlineLevel="0" collapsed="false">
      <c r="F4116" s="41" t="str">
        <f aca="false">IF(D4116="","",IFERROR(IF(ISNUMBER(SEARCH(Assumptions!$C$5,D4116)),Assumptions!$D$5,IF(ISNUMBER(SEARCH(Assumptions!$C$6,D4116)),Assumptions!$D$6,IF(ISNUMBER(SEARCH(Assumptions!$C$7,D4116)),Assumptions!$D$7,"Other Services"))),"Other Services"))</f>
        <v/>
      </c>
    </row>
    <row r="4117" customFormat="false" ht="15" hidden="false" customHeight="false" outlineLevel="0" collapsed="false">
      <c r="F4117" s="41" t="str">
        <f aca="false">IF(D4117="","",IFERROR(IF(ISNUMBER(SEARCH(Assumptions!$C$5,D4117)),Assumptions!$D$5,IF(ISNUMBER(SEARCH(Assumptions!$C$6,D4117)),Assumptions!$D$6,IF(ISNUMBER(SEARCH(Assumptions!$C$7,D4117)),Assumptions!$D$7,"Other Services"))),"Other Services"))</f>
        <v/>
      </c>
    </row>
    <row r="4118" customFormat="false" ht="15" hidden="false" customHeight="false" outlineLevel="0" collapsed="false">
      <c r="F4118" s="41" t="str">
        <f aca="false">IF(D4118="","",IFERROR(IF(ISNUMBER(SEARCH(Assumptions!$C$5,D4118)),Assumptions!$D$5,IF(ISNUMBER(SEARCH(Assumptions!$C$6,D4118)),Assumptions!$D$6,IF(ISNUMBER(SEARCH(Assumptions!$C$7,D4118)),Assumptions!$D$7,"Other Services"))),"Other Services"))</f>
        <v/>
      </c>
    </row>
    <row r="4119" customFormat="false" ht="15" hidden="false" customHeight="false" outlineLevel="0" collapsed="false">
      <c r="F4119" s="41" t="str">
        <f aca="false">IF(D4119="","",IFERROR(IF(ISNUMBER(SEARCH(Assumptions!$C$5,D4119)),Assumptions!$D$5,IF(ISNUMBER(SEARCH(Assumptions!$C$6,D4119)),Assumptions!$D$6,IF(ISNUMBER(SEARCH(Assumptions!$C$7,D4119)),Assumptions!$D$7,"Other Services"))),"Other Services"))</f>
        <v/>
      </c>
    </row>
    <row r="4120" customFormat="false" ht="15" hidden="false" customHeight="false" outlineLevel="0" collapsed="false">
      <c r="F4120" s="41" t="str">
        <f aca="false">IF(D4120="","",IFERROR(IF(ISNUMBER(SEARCH(Assumptions!$C$5,D4120)),Assumptions!$D$5,IF(ISNUMBER(SEARCH(Assumptions!$C$6,D4120)),Assumptions!$D$6,IF(ISNUMBER(SEARCH(Assumptions!$C$7,D4120)),Assumptions!$D$7,"Other Services"))),"Other Services"))</f>
        <v/>
      </c>
    </row>
    <row r="4121" customFormat="false" ht="15" hidden="false" customHeight="false" outlineLevel="0" collapsed="false">
      <c r="F4121" s="41" t="str">
        <f aca="false">IF(D4121="","",IFERROR(IF(ISNUMBER(SEARCH(Assumptions!$C$5,D4121)),Assumptions!$D$5,IF(ISNUMBER(SEARCH(Assumptions!$C$6,D4121)),Assumptions!$D$6,IF(ISNUMBER(SEARCH(Assumptions!$C$7,D4121)),Assumptions!$D$7,"Other Services"))),"Other Services"))</f>
        <v/>
      </c>
    </row>
    <row r="4122" customFormat="false" ht="15" hidden="false" customHeight="false" outlineLevel="0" collapsed="false">
      <c r="F4122" s="41" t="str">
        <f aca="false">IF(D4122="","",IFERROR(IF(ISNUMBER(SEARCH(Assumptions!$C$5,D4122)),Assumptions!$D$5,IF(ISNUMBER(SEARCH(Assumptions!$C$6,D4122)),Assumptions!$D$6,IF(ISNUMBER(SEARCH(Assumptions!$C$7,D4122)),Assumptions!$D$7,"Other Services"))),"Other Services"))</f>
        <v/>
      </c>
    </row>
    <row r="4123" customFormat="false" ht="15" hidden="false" customHeight="false" outlineLevel="0" collapsed="false">
      <c r="F4123" s="41" t="str">
        <f aca="false">IF(D4123="","",IFERROR(IF(ISNUMBER(SEARCH(Assumptions!$C$5,D4123)),Assumptions!$D$5,IF(ISNUMBER(SEARCH(Assumptions!$C$6,D4123)),Assumptions!$D$6,IF(ISNUMBER(SEARCH(Assumptions!$C$7,D4123)),Assumptions!$D$7,"Other Services"))),"Other Services"))</f>
        <v/>
      </c>
    </row>
    <row r="4124" customFormat="false" ht="15" hidden="false" customHeight="false" outlineLevel="0" collapsed="false">
      <c r="F4124" s="41" t="str">
        <f aca="false">IF(D4124="","",IFERROR(IF(ISNUMBER(SEARCH(Assumptions!$C$5,D4124)),Assumptions!$D$5,IF(ISNUMBER(SEARCH(Assumptions!$C$6,D4124)),Assumptions!$D$6,IF(ISNUMBER(SEARCH(Assumptions!$C$7,D4124)),Assumptions!$D$7,"Other Services"))),"Other Services"))</f>
        <v/>
      </c>
    </row>
    <row r="4125" customFormat="false" ht="15" hidden="false" customHeight="false" outlineLevel="0" collapsed="false">
      <c r="F4125" s="41" t="str">
        <f aca="false">IF(D4125="","",IFERROR(IF(ISNUMBER(SEARCH(Assumptions!$C$5,D4125)),Assumptions!$D$5,IF(ISNUMBER(SEARCH(Assumptions!$C$6,D4125)),Assumptions!$D$6,IF(ISNUMBER(SEARCH(Assumptions!$C$7,D4125)),Assumptions!$D$7,"Other Services"))),"Other Services"))</f>
        <v/>
      </c>
    </row>
    <row r="4126" customFormat="false" ht="15" hidden="false" customHeight="false" outlineLevel="0" collapsed="false">
      <c r="F4126" s="41" t="str">
        <f aca="false">IF(D4126="","",IFERROR(IF(ISNUMBER(SEARCH(Assumptions!$C$5,D4126)),Assumptions!$D$5,IF(ISNUMBER(SEARCH(Assumptions!$C$6,D4126)),Assumptions!$D$6,IF(ISNUMBER(SEARCH(Assumptions!$C$7,D4126)),Assumptions!$D$7,"Other Services"))),"Other Services"))</f>
        <v/>
      </c>
    </row>
    <row r="4127" customFormat="false" ht="15" hidden="false" customHeight="false" outlineLevel="0" collapsed="false">
      <c r="F4127" s="41" t="str">
        <f aca="false">IF(D4127="","",IFERROR(IF(ISNUMBER(SEARCH(Assumptions!$C$5,D4127)),Assumptions!$D$5,IF(ISNUMBER(SEARCH(Assumptions!$C$6,D4127)),Assumptions!$D$6,IF(ISNUMBER(SEARCH(Assumptions!$C$7,D4127)),Assumptions!$D$7,"Other Services"))),"Other Services"))</f>
        <v/>
      </c>
    </row>
    <row r="4128" customFormat="false" ht="15" hidden="false" customHeight="false" outlineLevel="0" collapsed="false">
      <c r="F4128" s="41" t="str">
        <f aca="false">IF(D4128="","",IFERROR(IF(ISNUMBER(SEARCH(Assumptions!$C$5,D4128)),Assumptions!$D$5,IF(ISNUMBER(SEARCH(Assumptions!$C$6,D4128)),Assumptions!$D$6,IF(ISNUMBER(SEARCH(Assumptions!$C$7,D4128)),Assumptions!$D$7,"Other Services"))),"Other Services"))</f>
        <v/>
      </c>
    </row>
    <row r="4129" customFormat="false" ht="15" hidden="false" customHeight="false" outlineLevel="0" collapsed="false">
      <c r="F4129" s="41" t="str">
        <f aca="false">IF(D4129="","",IFERROR(IF(ISNUMBER(SEARCH(Assumptions!$C$5,D4129)),Assumptions!$D$5,IF(ISNUMBER(SEARCH(Assumptions!$C$6,D4129)),Assumptions!$D$6,IF(ISNUMBER(SEARCH(Assumptions!$C$7,D4129)),Assumptions!$D$7,"Other Services"))),"Other Services"))</f>
        <v/>
      </c>
    </row>
    <row r="4130" customFormat="false" ht="15" hidden="false" customHeight="false" outlineLevel="0" collapsed="false">
      <c r="F4130" s="41" t="str">
        <f aca="false">IF(D4130="","",IFERROR(IF(ISNUMBER(SEARCH(Assumptions!$C$5,D4130)),Assumptions!$D$5,IF(ISNUMBER(SEARCH(Assumptions!$C$6,D4130)),Assumptions!$D$6,IF(ISNUMBER(SEARCH(Assumptions!$C$7,D4130)),Assumptions!$D$7,"Other Services"))),"Other Services"))</f>
        <v/>
      </c>
    </row>
    <row r="4131" customFormat="false" ht="15" hidden="false" customHeight="false" outlineLevel="0" collapsed="false">
      <c r="F4131" s="41" t="str">
        <f aca="false">IF(D4131="","",IFERROR(IF(ISNUMBER(SEARCH(Assumptions!$C$5,D4131)),Assumptions!$D$5,IF(ISNUMBER(SEARCH(Assumptions!$C$6,D4131)),Assumptions!$D$6,IF(ISNUMBER(SEARCH(Assumptions!$C$7,D4131)),Assumptions!$D$7,"Other Services"))),"Other Services"))</f>
        <v/>
      </c>
    </row>
    <row r="4132" customFormat="false" ht="15" hidden="false" customHeight="false" outlineLevel="0" collapsed="false">
      <c r="F4132" s="41" t="str">
        <f aca="false">IF(D4132="","",IFERROR(IF(ISNUMBER(SEARCH(Assumptions!$C$5,D4132)),Assumptions!$D$5,IF(ISNUMBER(SEARCH(Assumptions!$C$6,D4132)),Assumptions!$D$6,IF(ISNUMBER(SEARCH(Assumptions!$C$7,D4132)),Assumptions!$D$7,"Other Services"))),"Other Services"))</f>
        <v/>
      </c>
    </row>
    <row r="4133" customFormat="false" ht="15" hidden="false" customHeight="false" outlineLevel="0" collapsed="false">
      <c r="F4133" s="41" t="str">
        <f aca="false">IF(D4133="","",IFERROR(IF(ISNUMBER(SEARCH(Assumptions!$C$5,D4133)),Assumptions!$D$5,IF(ISNUMBER(SEARCH(Assumptions!$C$6,D4133)),Assumptions!$D$6,IF(ISNUMBER(SEARCH(Assumptions!$C$7,D4133)),Assumptions!$D$7,"Other Services"))),"Other Services"))</f>
        <v/>
      </c>
    </row>
    <row r="4134" customFormat="false" ht="15" hidden="false" customHeight="false" outlineLevel="0" collapsed="false">
      <c r="F4134" s="41" t="str">
        <f aca="false">IF(D4134="","",IFERROR(IF(ISNUMBER(SEARCH(Assumptions!$C$5,D4134)),Assumptions!$D$5,IF(ISNUMBER(SEARCH(Assumptions!$C$6,D4134)),Assumptions!$D$6,IF(ISNUMBER(SEARCH(Assumptions!$C$7,D4134)),Assumptions!$D$7,"Other Services"))),"Other Services"))</f>
        <v/>
      </c>
    </row>
    <row r="4135" customFormat="false" ht="15" hidden="false" customHeight="false" outlineLevel="0" collapsed="false">
      <c r="F4135" s="41" t="str">
        <f aca="false">IF(D4135="","",IFERROR(IF(ISNUMBER(SEARCH(Assumptions!$C$5,D4135)),Assumptions!$D$5,IF(ISNUMBER(SEARCH(Assumptions!$C$6,D4135)),Assumptions!$D$6,IF(ISNUMBER(SEARCH(Assumptions!$C$7,D4135)),Assumptions!$D$7,"Other Services"))),"Other Services"))</f>
        <v/>
      </c>
    </row>
    <row r="4136" customFormat="false" ht="15" hidden="false" customHeight="false" outlineLevel="0" collapsed="false">
      <c r="F4136" s="41" t="str">
        <f aca="false">IF(D4136="","",IFERROR(IF(ISNUMBER(SEARCH(Assumptions!$C$5,D4136)),Assumptions!$D$5,IF(ISNUMBER(SEARCH(Assumptions!$C$6,D4136)),Assumptions!$D$6,IF(ISNUMBER(SEARCH(Assumptions!$C$7,D4136)),Assumptions!$D$7,"Other Services"))),"Other Services"))</f>
        <v/>
      </c>
    </row>
    <row r="4137" customFormat="false" ht="15" hidden="false" customHeight="false" outlineLevel="0" collapsed="false">
      <c r="F4137" s="41" t="str">
        <f aca="false">IF(D4137="","",IFERROR(IF(ISNUMBER(SEARCH(Assumptions!$C$5,D4137)),Assumptions!$D$5,IF(ISNUMBER(SEARCH(Assumptions!$C$6,D4137)),Assumptions!$D$6,IF(ISNUMBER(SEARCH(Assumptions!$C$7,D4137)),Assumptions!$D$7,"Other Services"))),"Other Services"))</f>
        <v/>
      </c>
    </row>
    <row r="4138" customFormat="false" ht="15" hidden="false" customHeight="false" outlineLevel="0" collapsed="false">
      <c r="F4138" s="41" t="str">
        <f aca="false">IF(D4138="","",IFERROR(IF(ISNUMBER(SEARCH(Assumptions!$C$5,D4138)),Assumptions!$D$5,IF(ISNUMBER(SEARCH(Assumptions!$C$6,D4138)),Assumptions!$D$6,IF(ISNUMBER(SEARCH(Assumptions!$C$7,D4138)),Assumptions!$D$7,"Other Services"))),"Other Services"))</f>
        <v/>
      </c>
    </row>
    <row r="4139" customFormat="false" ht="15" hidden="false" customHeight="false" outlineLevel="0" collapsed="false">
      <c r="F4139" s="41" t="str">
        <f aca="false">IF(D4139="","",IFERROR(IF(ISNUMBER(SEARCH(Assumptions!$C$5,D4139)),Assumptions!$D$5,IF(ISNUMBER(SEARCH(Assumptions!$C$6,D4139)),Assumptions!$D$6,IF(ISNUMBER(SEARCH(Assumptions!$C$7,D4139)),Assumptions!$D$7,"Other Services"))),"Other Services"))</f>
        <v/>
      </c>
    </row>
    <row r="4140" customFormat="false" ht="15" hidden="false" customHeight="false" outlineLevel="0" collapsed="false">
      <c r="F4140" s="41" t="str">
        <f aca="false">IF(D4140="","",IFERROR(IF(ISNUMBER(SEARCH(Assumptions!$C$5,D4140)),Assumptions!$D$5,IF(ISNUMBER(SEARCH(Assumptions!$C$6,D4140)),Assumptions!$D$6,IF(ISNUMBER(SEARCH(Assumptions!$C$7,D4140)),Assumptions!$D$7,"Other Services"))),"Other Services"))</f>
        <v/>
      </c>
    </row>
    <row r="4141" customFormat="false" ht="15" hidden="false" customHeight="false" outlineLevel="0" collapsed="false">
      <c r="F4141" s="41" t="str">
        <f aca="false">IF(D4141="","",IFERROR(IF(ISNUMBER(SEARCH(Assumptions!$C$5,D4141)),Assumptions!$D$5,IF(ISNUMBER(SEARCH(Assumptions!$C$6,D4141)),Assumptions!$D$6,IF(ISNUMBER(SEARCH(Assumptions!$C$7,D4141)),Assumptions!$D$7,"Other Services"))),"Other Services"))</f>
        <v/>
      </c>
    </row>
    <row r="4142" customFormat="false" ht="15" hidden="false" customHeight="false" outlineLevel="0" collapsed="false">
      <c r="F4142" s="41" t="str">
        <f aca="false">IF(D4142="","",IFERROR(IF(ISNUMBER(SEARCH(Assumptions!$C$5,D4142)),Assumptions!$D$5,IF(ISNUMBER(SEARCH(Assumptions!$C$6,D4142)),Assumptions!$D$6,IF(ISNUMBER(SEARCH(Assumptions!$C$7,D4142)),Assumptions!$D$7,"Other Services"))),"Other Services"))</f>
        <v/>
      </c>
    </row>
    <row r="4143" customFormat="false" ht="15" hidden="false" customHeight="false" outlineLevel="0" collapsed="false">
      <c r="F4143" s="41" t="str">
        <f aca="false">IF(D4143="","",IFERROR(IF(ISNUMBER(SEARCH(Assumptions!$C$5,D4143)),Assumptions!$D$5,IF(ISNUMBER(SEARCH(Assumptions!$C$6,D4143)),Assumptions!$D$6,IF(ISNUMBER(SEARCH(Assumptions!$C$7,D4143)),Assumptions!$D$7,"Other Services"))),"Other Services"))</f>
        <v/>
      </c>
    </row>
    <row r="4144" customFormat="false" ht="15" hidden="false" customHeight="false" outlineLevel="0" collapsed="false">
      <c r="F4144" s="41" t="str">
        <f aca="false">IF(D4144="","",IFERROR(IF(ISNUMBER(SEARCH(Assumptions!$C$5,D4144)),Assumptions!$D$5,IF(ISNUMBER(SEARCH(Assumptions!$C$6,D4144)),Assumptions!$D$6,IF(ISNUMBER(SEARCH(Assumptions!$C$7,D4144)),Assumptions!$D$7,"Other Services"))),"Other Services"))</f>
        <v/>
      </c>
    </row>
    <row r="4145" customFormat="false" ht="15" hidden="false" customHeight="false" outlineLevel="0" collapsed="false">
      <c r="F4145" s="41" t="str">
        <f aca="false">IF(D4145="","",IFERROR(IF(ISNUMBER(SEARCH(Assumptions!$C$5,D4145)),Assumptions!$D$5,IF(ISNUMBER(SEARCH(Assumptions!$C$6,D4145)),Assumptions!$D$6,IF(ISNUMBER(SEARCH(Assumptions!$C$7,D4145)),Assumptions!$D$7,"Other Services"))),"Other Services"))</f>
        <v/>
      </c>
    </row>
    <row r="4146" customFormat="false" ht="15" hidden="false" customHeight="false" outlineLevel="0" collapsed="false">
      <c r="F4146" s="41" t="str">
        <f aca="false">IF(D4146="","",IFERROR(IF(ISNUMBER(SEARCH(Assumptions!$C$5,D4146)),Assumptions!$D$5,IF(ISNUMBER(SEARCH(Assumptions!$C$6,D4146)),Assumptions!$D$6,IF(ISNUMBER(SEARCH(Assumptions!$C$7,D4146)),Assumptions!$D$7,"Other Services"))),"Other Services"))</f>
        <v/>
      </c>
    </row>
    <row r="4147" customFormat="false" ht="15" hidden="false" customHeight="false" outlineLevel="0" collapsed="false">
      <c r="F4147" s="41" t="str">
        <f aca="false">IF(D4147="","",IFERROR(IF(ISNUMBER(SEARCH(Assumptions!$C$5,D4147)),Assumptions!$D$5,IF(ISNUMBER(SEARCH(Assumptions!$C$6,D4147)),Assumptions!$D$6,IF(ISNUMBER(SEARCH(Assumptions!$C$7,D4147)),Assumptions!$D$7,"Other Services"))),"Other Services"))</f>
        <v/>
      </c>
    </row>
    <row r="4148" customFormat="false" ht="15" hidden="false" customHeight="false" outlineLevel="0" collapsed="false">
      <c r="F4148" s="41" t="str">
        <f aca="false">IF(D4148="","",IFERROR(IF(ISNUMBER(SEARCH(Assumptions!$C$5,D4148)),Assumptions!$D$5,IF(ISNUMBER(SEARCH(Assumptions!$C$6,D4148)),Assumptions!$D$6,IF(ISNUMBER(SEARCH(Assumptions!$C$7,D4148)),Assumptions!$D$7,"Other Services"))),"Other Services"))</f>
        <v/>
      </c>
    </row>
    <row r="4149" customFormat="false" ht="15" hidden="false" customHeight="false" outlineLevel="0" collapsed="false">
      <c r="F4149" s="41" t="str">
        <f aca="false">IF(D4149="","",IFERROR(IF(ISNUMBER(SEARCH(Assumptions!$C$5,D4149)),Assumptions!$D$5,IF(ISNUMBER(SEARCH(Assumptions!$C$6,D4149)),Assumptions!$D$6,IF(ISNUMBER(SEARCH(Assumptions!$C$7,D4149)),Assumptions!$D$7,"Other Services"))),"Other Services"))</f>
        <v/>
      </c>
    </row>
    <row r="4150" customFormat="false" ht="15" hidden="false" customHeight="false" outlineLevel="0" collapsed="false">
      <c r="F4150" s="41" t="str">
        <f aca="false">IF(D4150="","",IFERROR(IF(ISNUMBER(SEARCH(Assumptions!$C$5,D4150)),Assumptions!$D$5,IF(ISNUMBER(SEARCH(Assumptions!$C$6,D4150)),Assumptions!$D$6,IF(ISNUMBER(SEARCH(Assumptions!$C$7,D4150)),Assumptions!$D$7,"Other Services"))),"Other Services"))</f>
        <v/>
      </c>
    </row>
    <row r="4151" customFormat="false" ht="15" hidden="false" customHeight="false" outlineLevel="0" collapsed="false">
      <c r="F4151" s="41" t="str">
        <f aca="false">IF(D4151="","",IFERROR(IF(ISNUMBER(SEARCH(Assumptions!$C$5,D4151)),Assumptions!$D$5,IF(ISNUMBER(SEARCH(Assumptions!$C$6,D4151)),Assumptions!$D$6,IF(ISNUMBER(SEARCH(Assumptions!$C$7,D4151)),Assumptions!$D$7,"Other Services"))),"Other Services"))</f>
        <v/>
      </c>
    </row>
    <row r="4152" customFormat="false" ht="15" hidden="false" customHeight="false" outlineLevel="0" collapsed="false">
      <c r="F4152" s="41" t="str">
        <f aca="false">IF(D4152="","",IFERROR(IF(ISNUMBER(SEARCH(Assumptions!$C$5,D4152)),Assumptions!$D$5,IF(ISNUMBER(SEARCH(Assumptions!$C$6,D4152)),Assumptions!$D$6,IF(ISNUMBER(SEARCH(Assumptions!$C$7,D4152)),Assumptions!$D$7,"Other Services"))),"Other Services"))</f>
        <v/>
      </c>
    </row>
    <row r="4153" customFormat="false" ht="15" hidden="false" customHeight="false" outlineLevel="0" collapsed="false">
      <c r="F4153" s="41" t="str">
        <f aca="false">IF(D4153="","",IFERROR(IF(ISNUMBER(SEARCH(Assumptions!$C$5,D4153)),Assumptions!$D$5,IF(ISNUMBER(SEARCH(Assumptions!$C$6,D4153)),Assumptions!$D$6,IF(ISNUMBER(SEARCH(Assumptions!$C$7,D4153)),Assumptions!$D$7,"Other Services"))),"Other Services"))</f>
        <v/>
      </c>
    </row>
    <row r="4154" customFormat="false" ht="15" hidden="false" customHeight="false" outlineLevel="0" collapsed="false">
      <c r="F4154" s="41" t="str">
        <f aca="false">IF(D4154="","",IFERROR(IF(ISNUMBER(SEARCH(Assumptions!$C$5,D4154)),Assumptions!$D$5,IF(ISNUMBER(SEARCH(Assumptions!$C$6,D4154)),Assumptions!$D$6,IF(ISNUMBER(SEARCH(Assumptions!$C$7,D4154)),Assumptions!$D$7,"Other Services"))),"Other Services"))</f>
        <v/>
      </c>
    </row>
    <row r="4155" customFormat="false" ht="15" hidden="false" customHeight="false" outlineLevel="0" collapsed="false">
      <c r="F4155" s="41" t="str">
        <f aca="false">IF(D4155="","",IFERROR(IF(ISNUMBER(SEARCH(Assumptions!$C$5,D4155)),Assumptions!$D$5,IF(ISNUMBER(SEARCH(Assumptions!$C$6,D4155)),Assumptions!$D$6,IF(ISNUMBER(SEARCH(Assumptions!$C$7,D4155)),Assumptions!$D$7,"Other Services"))),"Other Services"))</f>
        <v/>
      </c>
    </row>
    <row r="4156" customFormat="false" ht="15" hidden="false" customHeight="false" outlineLevel="0" collapsed="false">
      <c r="F4156" s="41" t="str">
        <f aca="false">IF(D4156="","",IFERROR(IF(ISNUMBER(SEARCH(Assumptions!$C$5,D4156)),Assumptions!$D$5,IF(ISNUMBER(SEARCH(Assumptions!$C$6,D4156)),Assumptions!$D$6,IF(ISNUMBER(SEARCH(Assumptions!$C$7,D4156)),Assumptions!$D$7,"Other Services"))),"Other Services"))</f>
        <v/>
      </c>
    </row>
    <row r="4157" customFormat="false" ht="15" hidden="false" customHeight="false" outlineLevel="0" collapsed="false">
      <c r="F4157" s="41" t="str">
        <f aca="false">IF(D4157="","",IFERROR(IF(ISNUMBER(SEARCH(Assumptions!$C$5,D4157)),Assumptions!$D$5,IF(ISNUMBER(SEARCH(Assumptions!$C$6,D4157)),Assumptions!$D$6,IF(ISNUMBER(SEARCH(Assumptions!$C$7,D4157)),Assumptions!$D$7,"Other Services"))),"Other Services"))</f>
        <v/>
      </c>
    </row>
    <row r="4158" customFormat="false" ht="15" hidden="false" customHeight="false" outlineLevel="0" collapsed="false">
      <c r="F4158" s="41" t="str">
        <f aca="false">IF(D4158="","",IFERROR(IF(ISNUMBER(SEARCH(Assumptions!$C$5,D4158)),Assumptions!$D$5,IF(ISNUMBER(SEARCH(Assumptions!$C$6,D4158)),Assumptions!$D$6,IF(ISNUMBER(SEARCH(Assumptions!$C$7,D4158)),Assumptions!$D$7,"Other Services"))),"Other Services"))</f>
        <v/>
      </c>
    </row>
    <row r="4159" customFormat="false" ht="15" hidden="false" customHeight="false" outlineLevel="0" collapsed="false">
      <c r="F4159" s="41" t="str">
        <f aca="false">IF(D4159="","",IFERROR(IF(ISNUMBER(SEARCH(Assumptions!$C$5,D4159)),Assumptions!$D$5,IF(ISNUMBER(SEARCH(Assumptions!$C$6,D4159)),Assumptions!$D$6,IF(ISNUMBER(SEARCH(Assumptions!$C$7,D4159)),Assumptions!$D$7,"Other Services"))),"Other Services"))</f>
        <v/>
      </c>
    </row>
    <row r="4160" customFormat="false" ht="15" hidden="false" customHeight="false" outlineLevel="0" collapsed="false">
      <c r="F4160" s="41" t="str">
        <f aca="false">IF(D4160="","",IFERROR(IF(ISNUMBER(SEARCH(Assumptions!$C$5,D4160)),Assumptions!$D$5,IF(ISNUMBER(SEARCH(Assumptions!$C$6,D4160)),Assumptions!$D$6,IF(ISNUMBER(SEARCH(Assumptions!$C$7,D4160)),Assumptions!$D$7,"Other Services"))),"Other Services"))</f>
        <v/>
      </c>
    </row>
    <row r="4161" customFormat="false" ht="15" hidden="false" customHeight="false" outlineLevel="0" collapsed="false">
      <c r="F4161" s="41" t="str">
        <f aca="false">IF(D4161="","",IFERROR(IF(ISNUMBER(SEARCH(Assumptions!$C$5,D4161)),Assumptions!$D$5,IF(ISNUMBER(SEARCH(Assumptions!$C$6,D4161)),Assumptions!$D$6,IF(ISNUMBER(SEARCH(Assumptions!$C$7,D4161)),Assumptions!$D$7,"Other Services"))),"Other Services"))</f>
        <v/>
      </c>
    </row>
    <row r="4162" customFormat="false" ht="15" hidden="false" customHeight="false" outlineLevel="0" collapsed="false">
      <c r="F4162" s="41" t="str">
        <f aca="false">IF(D4162="","",IFERROR(IF(ISNUMBER(SEARCH(Assumptions!$C$5,D4162)),Assumptions!$D$5,IF(ISNUMBER(SEARCH(Assumptions!$C$6,D4162)),Assumptions!$D$6,IF(ISNUMBER(SEARCH(Assumptions!$C$7,D4162)),Assumptions!$D$7,"Other Services"))),"Other Services"))</f>
        <v/>
      </c>
    </row>
    <row r="4163" customFormat="false" ht="15" hidden="false" customHeight="false" outlineLevel="0" collapsed="false">
      <c r="F4163" s="41" t="str">
        <f aca="false">IF(D4163="","",IFERROR(IF(ISNUMBER(SEARCH(Assumptions!$C$5,D4163)),Assumptions!$D$5,IF(ISNUMBER(SEARCH(Assumptions!$C$6,D4163)),Assumptions!$D$6,IF(ISNUMBER(SEARCH(Assumptions!$C$7,D4163)),Assumptions!$D$7,"Other Services"))),"Other Services"))</f>
        <v/>
      </c>
    </row>
    <row r="4164" customFormat="false" ht="15" hidden="false" customHeight="false" outlineLevel="0" collapsed="false">
      <c r="F4164" s="41" t="str">
        <f aca="false">IF(D4164="","",IFERROR(IF(ISNUMBER(SEARCH(Assumptions!$C$5,D4164)),Assumptions!$D$5,IF(ISNUMBER(SEARCH(Assumptions!$C$6,D4164)),Assumptions!$D$6,IF(ISNUMBER(SEARCH(Assumptions!$C$7,D4164)),Assumptions!$D$7,"Other Services"))),"Other Services"))</f>
        <v/>
      </c>
    </row>
    <row r="4165" customFormat="false" ht="15" hidden="false" customHeight="false" outlineLevel="0" collapsed="false">
      <c r="F4165" s="41" t="str">
        <f aca="false">IF(D4165="","",IFERROR(IF(ISNUMBER(SEARCH(Assumptions!$C$5,D4165)),Assumptions!$D$5,IF(ISNUMBER(SEARCH(Assumptions!$C$6,D4165)),Assumptions!$D$6,IF(ISNUMBER(SEARCH(Assumptions!$C$7,D4165)),Assumptions!$D$7,"Other Services"))),"Other Services"))</f>
        <v/>
      </c>
    </row>
    <row r="4166" customFormat="false" ht="15" hidden="false" customHeight="false" outlineLevel="0" collapsed="false">
      <c r="F4166" s="41" t="str">
        <f aca="false">IF(D4166="","",IFERROR(IF(ISNUMBER(SEARCH(Assumptions!$C$5,D4166)),Assumptions!$D$5,IF(ISNUMBER(SEARCH(Assumptions!$C$6,D4166)),Assumptions!$D$6,IF(ISNUMBER(SEARCH(Assumptions!$C$7,D4166)),Assumptions!$D$7,"Other Services"))),"Other Services"))</f>
        <v/>
      </c>
    </row>
    <row r="4167" customFormat="false" ht="15" hidden="false" customHeight="false" outlineLevel="0" collapsed="false">
      <c r="F4167" s="41" t="str">
        <f aca="false">IF(D4167="","",IFERROR(IF(ISNUMBER(SEARCH(Assumptions!$C$5,D4167)),Assumptions!$D$5,IF(ISNUMBER(SEARCH(Assumptions!$C$6,D4167)),Assumptions!$D$6,IF(ISNUMBER(SEARCH(Assumptions!$C$7,D4167)),Assumptions!$D$7,"Other Services"))),"Other Services"))</f>
        <v/>
      </c>
    </row>
    <row r="4168" customFormat="false" ht="15" hidden="false" customHeight="false" outlineLevel="0" collapsed="false">
      <c r="F4168" s="41" t="str">
        <f aca="false">IF(D4168="","",IFERROR(IF(ISNUMBER(SEARCH(Assumptions!$C$5,D4168)),Assumptions!$D$5,IF(ISNUMBER(SEARCH(Assumptions!$C$6,D4168)),Assumptions!$D$6,IF(ISNUMBER(SEARCH(Assumptions!$C$7,D4168)),Assumptions!$D$7,"Other Services"))),"Other Services"))</f>
        <v/>
      </c>
    </row>
    <row r="4169" customFormat="false" ht="15" hidden="false" customHeight="false" outlineLevel="0" collapsed="false">
      <c r="F4169" s="41" t="str">
        <f aca="false">IF(D4169="","",IFERROR(IF(ISNUMBER(SEARCH(Assumptions!$C$5,D4169)),Assumptions!$D$5,IF(ISNUMBER(SEARCH(Assumptions!$C$6,D4169)),Assumptions!$D$6,IF(ISNUMBER(SEARCH(Assumptions!$C$7,D4169)),Assumptions!$D$7,"Other Services"))),"Other Services"))</f>
        <v/>
      </c>
    </row>
    <row r="4170" customFormat="false" ht="15" hidden="false" customHeight="false" outlineLevel="0" collapsed="false">
      <c r="F4170" s="41" t="str">
        <f aca="false">IF(D4170="","",IFERROR(IF(ISNUMBER(SEARCH(Assumptions!$C$5,D4170)),Assumptions!$D$5,IF(ISNUMBER(SEARCH(Assumptions!$C$6,D4170)),Assumptions!$D$6,IF(ISNUMBER(SEARCH(Assumptions!$C$7,D4170)),Assumptions!$D$7,"Other Services"))),"Other Services"))</f>
        <v/>
      </c>
    </row>
    <row r="4171" customFormat="false" ht="15" hidden="false" customHeight="false" outlineLevel="0" collapsed="false">
      <c r="F4171" s="41" t="str">
        <f aca="false">IF(D4171="","",IFERROR(IF(ISNUMBER(SEARCH(Assumptions!$C$5,D4171)),Assumptions!$D$5,IF(ISNUMBER(SEARCH(Assumptions!$C$6,D4171)),Assumptions!$D$6,IF(ISNUMBER(SEARCH(Assumptions!$C$7,D4171)),Assumptions!$D$7,"Other Services"))),"Other Services"))</f>
        <v/>
      </c>
    </row>
    <row r="4172" customFormat="false" ht="15" hidden="false" customHeight="false" outlineLevel="0" collapsed="false">
      <c r="F4172" s="41" t="str">
        <f aca="false">IF(D4172="","",IFERROR(IF(ISNUMBER(SEARCH(Assumptions!$C$5,D4172)),Assumptions!$D$5,IF(ISNUMBER(SEARCH(Assumptions!$C$6,D4172)),Assumptions!$D$6,IF(ISNUMBER(SEARCH(Assumptions!$C$7,D4172)),Assumptions!$D$7,"Other Services"))),"Other Services"))</f>
        <v/>
      </c>
    </row>
    <row r="4173" customFormat="false" ht="15" hidden="false" customHeight="false" outlineLevel="0" collapsed="false">
      <c r="F4173" s="41" t="str">
        <f aca="false">IF(D4173="","",IFERROR(IF(ISNUMBER(SEARCH(Assumptions!$C$5,D4173)),Assumptions!$D$5,IF(ISNUMBER(SEARCH(Assumptions!$C$6,D4173)),Assumptions!$D$6,IF(ISNUMBER(SEARCH(Assumptions!$C$7,D4173)),Assumptions!$D$7,"Other Services"))),"Other Services"))</f>
        <v/>
      </c>
    </row>
    <row r="4174" customFormat="false" ht="15" hidden="false" customHeight="false" outlineLevel="0" collapsed="false">
      <c r="F4174" s="41" t="str">
        <f aca="false">IF(D4174="","",IFERROR(IF(ISNUMBER(SEARCH(Assumptions!$C$5,D4174)),Assumptions!$D$5,IF(ISNUMBER(SEARCH(Assumptions!$C$6,D4174)),Assumptions!$D$6,IF(ISNUMBER(SEARCH(Assumptions!$C$7,D4174)),Assumptions!$D$7,"Other Services"))),"Other Services"))</f>
        <v/>
      </c>
    </row>
    <row r="4175" customFormat="false" ht="15" hidden="false" customHeight="false" outlineLevel="0" collapsed="false">
      <c r="F4175" s="41" t="str">
        <f aca="false">IF(D4175="","",IFERROR(IF(ISNUMBER(SEARCH(Assumptions!$C$5,D4175)),Assumptions!$D$5,IF(ISNUMBER(SEARCH(Assumptions!$C$6,D4175)),Assumptions!$D$6,IF(ISNUMBER(SEARCH(Assumptions!$C$7,D4175)),Assumptions!$D$7,"Other Services"))),"Other Services"))</f>
        <v/>
      </c>
    </row>
    <row r="4176" customFormat="false" ht="15" hidden="false" customHeight="false" outlineLevel="0" collapsed="false">
      <c r="F4176" s="41" t="str">
        <f aca="false">IF(D4176="","",IFERROR(IF(ISNUMBER(SEARCH(Assumptions!$C$5,D4176)),Assumptions!$D$5,IF(ISNUMBER(SEARCH(Assumptions!$C$6,D4176)),Assumptions!$D$6,IF(ISNUMBER(SEARCH(Assumptions!$C$7,D4176)),Assumptions!$D$7,"Other Services"))),"Other Services"))</f>
        <v/>
      </c>
    </row>
    <row r="4177" customFormat="false" ht="15" hidden="false" customHeight="false" outlineLevel="0" collapsed="false">
      <c r="F4177" s="41" t="str">
        <f aca="false">IF(D4177="","",IFERROR(IF(ISNUMBER(SEARCH(Assumptions!$C$5,D4177)),Assumptions!$D$5,IF(ISNUMBER(SEARCH(Assumptions!$C$6,D4177)),Assumptions!$D$6,IF(ISNUMBER(SEARCH(Assumptions!$C$7,D4177)),Assumptions!$D$7,"Other Services"))),"Other Services"))</f>
        <v/>
      </c>
    </row>
    <row r="4178" customFormat="false" ht="15" hidden="false" customHeight="false" outlineLevel="0" collapsed="false">
      <c r="F4178" s="41" t="str">
        <f aca="false">IF(D4178="","",IFERROR(IF(ISNUMBER(SEARCH(Assumptions!$C$5,D4178)),Assumptions!$D$5,IF(ISNUMBER(SEARCH(Assumptions!$C$6,D4178)),Assumptions!$D$6,IF(ISNUMBER(SEARCH(Assumptions!$C$7,D4178)),Assumptions!$D$7,"Other Services"))),"Other Services"))</f>
        <v/>
      </c>
    </row>
    <row r="4179" customFormat="false" ht="15" hidden="false" customHeight="false" outlineLevel="0" collapsed="false">
      <c r="F4179" s="41" t="str">
        <f aca="false">IF(D4179="","",IFERROR(IF(ISNUMBER(SEARCH(Assumptions!$C$5,D4179)),Assumptions!$D$5,IF(ISNUMBER(SEARCH(Assumptions!$C$6,D4179)),Assumptions!$D$6,IF(ISNUMBER(SEARCH(Assumptions!$C$7,D4179)),Assumptions!$D$7,"Other Services"))),"Other Services"))</f>
        <v/>
      </c>
    </row>
    <row r="4180" customFormat="false" ht="15" hidden="false" customHeight="false" outlineLevel="0" collapsed="false">
      <c r="F4180" s="41" t="str">
        <f aca="false">IF(D4180="","",IFERROR(IF(ISNUMBER(SEARCH(Assumptions!$C$5,D4180)),Assumptions!$D$5,IF(ISNUMBER(SEARCH(Assumptions!$C$6,D4180)),Assumptions!$D$6,IF(ISNUMBER(SEARCH(Assumptions!$C$7,D4180)),Assumptions!$D$7,"Other Services"))),"Other Services"))</f>
        <v/>
      </c>
    </row>
    <row r="4181" customFormat="false" ht="15" hidden="false" customHeight="false" outlineLevel="0" collapsed="false">
      <c r="F4181" s="41" t="str">
        <f aca="false">IF(D4181="","",IFERROR(IF(ISNUMBER(SEARCH(Assumptions!$C$5,D4181)),Assumptions!$D$5,IF(ISNUMBER(SEARCH(Assumptions!$C$6,D4181)),Assumptions!$D$6,IF(ISNUMBER(SEARCH(Assumptions!$C$7,D4181)),Assumptions!$D$7,"Other Services"))),"Other Services"))</f>
        <v/>
      </c>
    </row>
    <row r="4182" customFormat="false" ht="15" hidden="false" customHeight="false" outlineLevel="0" collapsed="false">
      <c r="F4182" s="41" t="str">
        <f aca="false">IF(D4182="","",IFERROR(IF(ISNUMBER(SEARCH(Assumptions!$C$5,D4182)),Assumptions!$D$5,IF(ISNUMBER(SEARCH(Assumptions!$C$6,D4182)),Assumptions!$D$6,IF(ISNUMBER(SEARCH(Assumptions!$C$7,D4182)),Assumptions!$D$7,"Other Services"))),"Other Services"))</f>
        <v/>
      </c>
    </row>
    <row r="4183" customFormat="false" ht="15" hidden="false" customHeight="false" outlineLevel="0" collapsed="false">
      <c r="F4183" s="41" t="str">
        <f aca="false">IF(D4183="","",IFERROR(IF(ISNUMBER(SEARCH(Assumptions!$C$5,D4183)),Assumptions!$D$5,IF(ISNUMBER(SEARCH(Assumptions!$C$6,D4183)),Assumptions!$D$6,IF(ISNUMBER(SEARCH(Assumptions!$C$7,D4183)),Assumptions!$D$7,"Other Services"))),"Other Services"))</f>
        <v/>
      </c>
    </row>
    <row r="4184" customFormat="false" ht="15" hidden="false" customHeight="false" outlineLevel="0" collapsed="false">
      <c r="F4184" s="41" t="str">
        <f aca="false">IF(D4184="","",IFERROR(IF(ISNUMBER(SEARCH(Assumptions!$C$5,D4184)),Assumptions!$D$5,IF(ISNUMBER(SEARCH(Assumptions!$C$6,D4184)),Assumptions!$D$6,IF(ISNUMBER(SEARCH(Assumptions!$C$7,D4184)),Assumptions!$D$7,"Other Services"))),"Other Services"))</f>
        <v/>
      </c>
    </row>
    <row r="4185" customFormat="false" ht="15" hidden="false" customHeight="false" outlineLevel="0" collapsed="false">
      <c r="F4185" s="41" t="str">
        <f aca="false">IF(D4185="","",IFERROR(IF(ISNUMBER(SEARCH(Assumptions!$C$5,D4185)),Assumptions!$D$5,IF(ISNUMBER(SEARCH(Assumptions!$C$6,D4185)),Assumptions!$D$6,IF(ISNUMBER(SEARCH(Assumptions!$C$7,D4185)),Assumptions!$D$7,"Other Services"))),"Other Services"))</f>
        <v/>
      </c>
    </row>
    <row r="4186" customFormat="false" ht="15" hidden="false" customHeight="false" outlineLevel="0" collapsed="false">
      <c r="F4186" s="41" t="str">
        <f aca="false">IF(D4186="","",IFERROR(IF(ISNUMBER(SEARCH(Assumptions!$C$5,D4186)),Assumptions!$D$5,IF(ISNUMBER(SEARCH(Assumptions!$C$6,D4186)),Assumptions!$D$6,IF(ISNUMBER(SEARCH(Assumptions!$C$7,D4186)),Assumptions!$D$7,"Other Services"))),"Other Services"))</f>
        <v/>
      </c>
    </row>
    <row r="4187" customFormat="false" ht="15" hidden="false" customHeight="false" outlineLevel="0" collapsed="false">
      <c r="F4187" s="41" t="str">
        <f aca="false">IF(D4187="","",IFERROR(IF(ISNUMBER(SEARCH(Assumptions!$C$5,D4187)),Assumptions!$D$5,IF(ISNUMBER(SEARCH(Assumptions!$C$6,D4187)),Assumptions!$D$6,IF(ISNUMBER(SEARCH(Assumptions!$C$7,D4187)),Assumptions!$D$7,"Other Services"))),"Other Services"))</f>
        <v/>
      </c>
    </row>
    <row r="4188" customFormat="false" ht="15" hidden="false" customHeight="false" outlineLevel="0" collapsed="false">
      <c r="F4188" s="41" t="str">
        <f aca="false">IF(D4188="","",IFERROR(IF(ISNUMBER(SEARCH(Assumptions!$C$5,D4188)),Assumptions!$D$5,IF(ISNUMBER(SEARCH(Assumptions!$C$6,D4188)),Assumptions!$D$6,IF(ISNUMBER(SEARCH(Assumptions!$C$7,D4188)),Assumptions!$D$7,"Other Services"))),"Other Services"))</f>
        <v/>
      </c>
    </row>
    <row r="4189" customFormat="false" ht="15" hidden="false" customHeight="false" outlineLevel="0" collapsed="false">
      <c r="F4189" s="41" t="str">
        <f aca="false">IF(D4189="","",IFERROR(IF(ISNUMBER(SEARCH(Assumptions!$C$5,D4189)),Assumptions!$D$5,IF(ISNUMBER(SEARCH(Assumptions!$C$6,D4189)),Assumptions!$D$6,IF(ISNUMBER(SEARCH(Assumptions!$C$7,D4189)),Assumptions!$D$7,"Other Services"))),"Other Services"))</f>
        <v/>
      </c>
    </row>
    <row r="4190" customFormat="false" ht="15" hidden="false" customHeight="false" outlineLevel="0" collapsed="false">
      <c r="F4190" s="41" t="str">
        <f aca="false">IF(D4190="","",IFERROR(IF(ISNUMBER(SEARCH(Assumptions!$C$5,D4190)),Assumptions!$D$5,IF(ISNUMBER(SEARCH(Assumptions!$C$6,D4190)),Assumptions!$D$6,IF(ISNUMBER(SEARCH(Assumptions!$C$7,D4190)),Assumptions!$D$7,"Other Services"))),"Other Services"))</f>
        <v/>
      </c>
    </row>
    <row r="4191" customFormat="false" ht="15" hidden="false" customHeight="false" outlineLevel="0" collapsed="false">
      <c r="F4191" s="41" t="str">
        <f aca="false">IF(D4191="","",IFERROR(IF(ISNUMBER(SEARCH(Assumptions!$C$5,D4191)),Assumptions!$D$5,IF(ISNUMBER(SEARCH(Assumptions!$C$6,D4191)),Assumptions!$D$6,IF(ISNUMBER(SEARCH(Assumptions!$C$7,D4191)),Assumptions!$D$7,"Other Services"))),"Other Services"))</f>
        <v/>
      </c>
    </row>
    <row r="4192" customFormat="false" ht="15" hidden="false" customHeight="false" outlineLevel="0" collapsed="false">
      <c r="F4192" s="41" t="str">
        <f aca="false">IF(D4192="","",IFERROR(IF(ISNUMBER(SEARCH(Assumptions!$C$5,D4192)),Assumptions!$D$5,IF(ISNUMBER(SEARCH(Assumptions!$C$6,D4192)),Assumptions!$D$6,IF(ISNUMBER(SEARCH(Assumptions!$C$7,D4192)),Assumptions!$D$7,"Other Services"))),"Other Services"))</f>
        <v/>
      </c>
    </row>
    <row r="4193" customFormat="false" ht="15" hidden="false" customHeight="false" outlineLevel="0" collapsed="false">
      <c r="F4193" s="41" t="str">
        <f aca="false">IF(D4193="","",IFERROR(IF(ISNUMBER(SEARCH(Assumptions!$C$5,D4193)),Assumptions!$D$5,IF(ISNUMBER(SEARCH(Assumptions!$C$6,D4193)),Assumptions!$D$6,IF(ISNUMBER(SEARCH(Assumptions!$C$7,D4193)),Assumptions!$D$7,"Other Services"))),"Other Services"))</f>
        <v/>
      </c>
    </row>
    <row r="4194" customFormat="false" ht="15" hidden="false" customHeight="false" outlineLevel="0" collapsed="false">
      <c r="F4194" s="41" t="str">
        <f aca="false">IF(D4194="","",IFERROR(IF(ISNUMBER(SEARCH(Assumptions!$C$5,D4194)),Assumptions!$D$5,IF(ISNUMBER(SEARCH(Assumptions!$C$6,D4194)),Assumptions!$D$6,IF(ISNUMBER(SEARCH(Assumptions!$C$7,D4194)),Assumptions!$D$7,"Other Services"))),"Other Services"))</f>
        <v/>
      </c>
    </row>
    <row r="4195" customFormat="false" ht="15" hidden="false" customHeight="false" outlineLevel="0" collapsed="false">
      <c r="F4195" s="41" t="str">
        <f aca="false">IF(D4195="","",IFERROR(IF(ISNUMBER(SEARCH(Assumptions!$C$5,D4195)),Assumptions!$D$5,IF(ISNUMBER(SEARCH(Assumptions!$C$6,D4195)),Assumptions!$D$6,IF(ISNUMBER(SEARCH(Assumptions!$C$7,D4195)),Assumptions!$D$7,"Other Services"))),"Other Services"))</f>
        <v/>
      </c>
    </row>
    <row r="4196" customFormat="false" ht="15" hidden="false" customHeight="false" outlineLevel="0" collapsed="false">
      <c r="F4196" s="41" t="str">
        <f aca="false">IF(D4196="","",IFERROR(IF(ISNUMBER(SEARCH(Assumptions!$C$5,D4196)),Assumptions!$D$5,IF(ISNUMBER(SEARCH(Assumptions!$C$6,D4196)),Assumptions!$D$6,IF(ISNUMBER(SEARCH(Assumptions!$C$7,D4196)),Assumptions!$D$7,"Other Services"))),"Other Services"))</f>
        <v/>
      </c>
    </row>
    <row r="4197" customFormat="false" ht="15" hidden="false" customHeight="false" outlineLevel="0" collapsed="false">
      <c r="F4197" s="41" t="str">
        <f aca="false">IF(D4197="","",IFERROR(IF(ISNUMBER(SEARCH(Assumptions!$C$5,D4197)),Assumptions!$D$5,IF(ISNUMBER(SEARCH(Assumptions!$C$6,D4197)),Assumptions!$D$6,IF(ISNUMBER(SEARCH(Assumptions!$C$7,D4197)),Assumptions!$D$7,"Other Services"))),"Other Services"))</f>
        <v/>
      </c>
    </row>
    <row r="4198" customFormat="false" ht="15" hidden="false" customHeight="false" outlineLevel="0" collapsed="false">
      <c r="F4198" s="41" t="str">
        <f aca="false">IF(D4198="","",IFERROR(IF(ISNUMBER(SEARCH(Assumptions!$C$5,D4198)),Assumptions!$D$5,IF(ISNUMBER(SEARCH(Assumptions!$C$6,D4198)),Assumptions!$D$6,IF(ISNUMBER(SEARCH(Assumptions!$C$7,D4198)),Assumptions!$D$7,"Other Services"))),"Other Services"))</f>
        <v/>
      </c>
    </row>
    <row r="4199" customFormat="false" ht="15" hidden="false" customHeight="false" outlineLevel="0" collapsed="false">
      <c r="F4199" s="41" t="str">
        <f aca="false">IF(D4199="","",IFERROR(IF(ISNUMBER(SEARCH(Assumptions!$C$5,D4199)),Assumptions!$D$5,IF(ISNUMBER(SEARCH(Assumptions!$C$6,D4199)),Assumptions!$D$6,IF(ISNUMBER(SEARCH(Assumptions!$C$7,D4199)),Assumptions!$D$7,"Other Services"))),"Other Services"))</f>
        <v/>
      </c>
    </row>
    <row r="4200" customFormat="false" ht="15" hidden="false" customHeight="false" outlineLevel="0" collapsed="false">
      <c r="F4200" s="41" t="str">
        <f aca="false">IF(D4200="","",IFERROR(IF(ISNUMBER(SEARCH(Assumptions!$C$5,D4200)),Assumptions!$D$5,IF(ISNUMBER(SEARCH(Assumptions!$C$6,D4200)),Assumptions!$D$6,IF(ISNUMBER(SEARCH(Assumptions!$C$7,D4200)),Assumptions!$D$7,"Other Services"))),"Other Services"))</f>
        <v/>
      </c>
    </row>
    <row r="4201" customFormat="false" ht="15" hidden="false" customHeight="false" outlineLevel="0" collapsed="false">
      <c r="F4201" s="41" t="str">
        <f aca="false">IF(D4201="","",IFERROR(IF(ISNUMBER(SEARCH(Assumptions!$C$5,D4201)),Assumptions!$D$5,IF(ISNUMBER(SEARCH(Assumptions!$C$6,D4201)),Assumptions!$D$6,IF(ISNUMBER(SEARCH(Assumptions!$C$7,D4201)),Assumptions!$D$7,"Other Services"))),"Other Services"))</f>
        <v/>
      </c>
    </row>
    <row r="4202" customFormat="false" ht="15" hidden="false" customHeight="false" outlineLevel="0" collapsed="false">
      <c r="F4202" s="41" t="str">
        <f aca="false">IF(D4202="","",IFERROR(IF(ISNUMBER(SEARCH(Assumptions!$C$5,D4202)),Assumptions!$D$5,IF(ISNUMBER(SEARCH(Assumptions!$C$6,D4202)),Assumptions!$D$6,IF(ISNUMBER(SEARCH(Assumptions!$C$7,D4202)),Assumptions!$D$7,"Other Services"))),"Other Services"))</f>
        <v/>
      </c>
    </row>
    <row r="4203" customFormat="false" ht="15" hidden="false" customHeight="false" outlineLevel="0" collapsed="false">
      <c r="F4203" s="41" t="str">
        <f aca="false">IF(D4203="","",IFERROR(IF(ISNUMBER(SEARCH(Assumptions!$C$5,D4203)),Assumptions!$D$5,IF(ISNUMBER(SEARCH(Assumptions!$C$6,D4203)),Assumptions!$D$6,IF(ISNUMBER(SEARCH(Assumptions!$C$7,D4203)),Assumptions!$D$7,"Other Services"))),"Other Services"))</f>
        <v/>
      </c>
    </row>
    <row r="4204" customFormat="false" ht="15" hidden="false" customHeight="false" outlineLevel="0" collapsed="false">
      <c r="F4204" s="41" t="str">
        <f aca="false">IF(D4204="","",IFERROR(IF(ISNUMBER(SEARCH(Assumptions!$C$5,D4204)),Assumptions!$D$5,IF(ISNUMBER(SEARCH(Assumptions!$C$6,D4204)),Assumptions!$D$6,IF(ISNUMBER(SEARCH(Assumptions!$C$7,D4204)),Assumptions!$D$7,"Other Services"))),"Other Services"))</f>
        <v/>
      </c>
    </row>
    <row r="4205" customFormat="false" ht="15" hidden="false" customHeight="false" outlineLevel="0" collapsed="false">
      <c r="F4205" s="41" t="str">
        <f aca="false">IF(D4205="","",IFERROR(IF(ISNUMBER(SEARCH(Assumptions!$C$5,D4205)),Assumptions!$D$5,IF(ISNUMBER(SEARCH(Assumptions!$C$6,D4205)),Assumptions!$D$6,IF(ISNUMBER(SEARCH(Assumptions!$C$7,D4205)),Assumptions!$D$7,"Other Services"))),"Other Services"))</f>
        <v/>
      </c>
    </row>
    <row r="4206" customFormat="false" ht="15" hidden="false" customHeight="false" outlineLevel="0" collapsed="false">
      <c r="F4206" s="41" t="str">
        <f aca="false">IF(D4206="","",IFERROR(IF(ISNUMBER(SEARCH(Assumptions!$C$5,D4206)),Assumptions!$D$5,IF(ISNUMBER(SEARCH(Assumptions!$C$6,D4206)),Assumptions!$D$6,IF(ISNUMBER(SEARCH(Assumptions!$C$7,D4206)),Assumptions!$D$7,"Other Services"))),"Other Services"))</f>
        <v/>
      </c>
    </row>
    <row r="4207" customFormat="false" ht="15" hidden="false" customHeight="false" outlineLevel="0" collapsed="false">
      <c r="F4207" s="41" t="str">
        <f aca="false">IF(D4207="","",IFERROR(IF(ISNUMBER(SEARCH(Assumptions!$C$5,D4207)),Assumptions!$D$5,IF(ISNUMBER(SEARCH(Assumptions!$C$6,D4207)),Assumptions!$D$6,IF(ISNUMBER(SEARCH(Assumptions!$C$7,D4207)),Assumptions!$D$7,"Other Services"))),"Other Services"))</f>
        <v/>
      </c>
    </row>
    <row r="4208" customFormat="false" ht="15" hidden="false" customHeight="false" outlineLevel="0" collapsed="false">
      <c r="F4208" s="41" t="str">
        <f aca="false">IF(D4208="","",IFERROR(IF(ISNUMBER(SEARCH(Assumptions!$C$5,D4208)),Assumptions!$D$5,IF(ISNUMBER(SEARCH(Assumptions!$C$6,D4208)),Assumptions!$D$6,IF(ISNUMBER(SEARCH(Assumptions!$C$7,D4208)),Assumptions!$D$7,"Other Services"))),"Other Services"))</f>
        <v/>
      </c>
    </row>
    <row r="4209" customFormat="false" ht="15" hidden="false" customHeight="false" outlineLevel="0" collapsed="false">
      <c r="F4209" s="41" t="str">
        <f aca="false">IF(D4209="","",IFERROR(IF(ISNUMBER(SEARCH(Assumptions!$C$5,D4209)),Assumptions!$D$5,IF(ISNUMBER(SEARCH(Assumptions!$C$6,D4209)),Assumptions!$D$6,IF(ISNUMBER(SEARCH(Assumptions!$C$7,D4209)),Assumptions!$D$7,"Other Services"))),"Other Services"))</f>
        <v/>
      </c>
    </row>
    <row r="4210" customFormat="false" ht="15" hidden="false" customHeight="false" outlineLevel="0" collapsed="false">
      <c r="F4210" s="41" t="str">
        <f aca="false">IF(D4210="","",IFERROR(IF(ISNUMBER(SEARCH(Assumptions!$C$5,D4210)),Assumptions!$D$5,IF(ISNUMBER(SEARCH(Assumptions!$C$6,D4210)),Assumptions!$D$6,IF(ISNUMBER(SEARCH(Assumptions!$C$7,D4210)),Assumptions!$D$7,"Other Services"))),"Other Services"))</f>
        <v/>
      </c>
    </row>
    <row r="4211" customFormat="false" ht="15" hidden="false" customHeight="false" outlineLevel="0" collapsed="false">
      <c r="F4211" s="41" t="str">
        <f aca="false">IF(D4211="","",IFERROR(IF(ISNUMBER(SEARCH(Assumptions!$C$5,D4211)),Assumptions!$D$5,IF(ISNUMBER(SEARCH(Assumptions!$C$6,D4211)),Assumptions!$D$6,IF(ISNUMBER(SEARCH(Assumptions!$C$7,D4211)),Assumptions!$D$7,"Other Services"))),"Other Services"))</f>
        <v/>
      </c>
    </row>
    <row r="4212" customFormat="false" ht="15" hidden="false" customHeight="false" outlineLevel="0" collapsed="false">
      <c r="F4212" s="41" t="str">
        <f aca="false">IF(D4212="","",IFERROR(IF(ISNUMBER(SEARCH(Assumptions!$C$5,D4212)),Assumptions!$D$5,IF(ISNUMBER(SEARCH(Assumptions!$C$6,D4212)),Assumptions!$D$6,IF(ISNUMBER(SEARCH(Assumptions!$C$7,D4212)),Assumptions!$D$7,"Other Services"))),"Other Services"))</f>
        <v/>
      </c>
    </row>
    <row r="4213" customFormat="false" ht="15" hidden="false" customHeight="false" outlineLevel="0" collapsed="false">
      <c r="F4213" s="41" t="str">
        <f aca="false">IF(D4213="","",IFERROR(IF(ISNUMBER(SEARCH(Assumptions!$C$5,D4213)),Assumptions!$D$5,IF(ISNUMBER(SEARCH(Assumptions!$C$6,D4213)),Assumptions!$D$6,IF(ISNUMBER(SEARCH(Assumptions!$C$7,D4213)),Assumptions!$D$7,"Other Services"))),"Other Services"))</f>
        <v/>
      </c>
    </row>
    <row r="4214" customFormat="false" ht="15" hidden="false" customHeight="false" outlineLevel="0" collapsed="false">
      <c r="F4214" s="41" t="str">
        <f aca="false">IF(D4214="","",IFERROR(IF(ISNUMBER(SEARCH(Assumptions!$C$5,D4214)),Assumptions!$D$5,IF(ISNUMBER(SEARCH(Assumptions!$C$6,D4214)),Assumptions!$D$6,IF(ISNUMBER(SEARCH(Assumptions!$C$7,D4214)),Assumptions!$D$7,"Other Services"))),"Other Services"))</f>
        <v/>
      </c>
    </row>
    <row r="4215" customFormat="false" ht="15" hidden="false" customHeight="false" outlineLevel="0" collapsed="false">
      <c r="F4215" s="41" t="str">
        <f aca="false">IF(D4215="","",IFERROR(IF(ISNUMBER(SEARCH(Assumptions!$C$5,D4215)),Assumptions!$D$5,IF(ISNUMBER(SEARCH(Assumptions!$C$6,D4215)),Assumptions!$D$6,IF(ISNUMBER(SEARCH(Assumptions!$C$7,D4215)),Assumptions!$D$7,"Other Services"))),"Other Services"))</f>
        <v/>
      </c>
    </row>
    <row r="4216" customFormat="false" ht="15" hidden="false" customHeight="false" outlineLevel="0" collapsed="false">
      <c r="F4216" s="41" t="str">
        <f aca="false">IF(D4216="","",IFERROR(IF(ISNUMBER(SEARCH(Assumptions!$C$5,D4216)),Assumptions!$D$5,IF(ISNUMBER(SEARCH(Assumptions!$C$6,D4216)),Assumptions!$D$6,IF(ISNUMBER(SEARCH(Assumptions!$C$7,D4216)),Assumptions!$D$7,"Other Services"))),"Other Services"))</f>
        <v/>
      </c>
    </row>
    <row r="4217" customFormat="false" ht="15" hidden="false" customHeight="false" outlineLevel="0" collapsed="false">
      <c r="F4217" s="41" t="str">
        <f aca="false">IF(D4217="","",IFERROR(IF(ISNUMBER(SEARCH(Assumptions!$C$5,D4217)),Assumptions!$D$5,IF(ISNUMBER(SEARCH(Assumptions!$C$6,D4217)),Assumptions!$D$6,IF(ISNUMBER(SEARCH(Assumptions!$C$7,D4217)),Assumptions!$D$7,"Other Services"))),"Other Services"))</f>
        <v/>
      </c>
    </row>
    <row r="4218" customFormat="false" ht="15" hidden="false" customHeight="false" outlineLevel="0" collapsed="false">
      <c r="F4218" s="41" t="str">
        <f aca="false">IF(D4218="","",IFERROR(IF(ISNUMBER(SEARCH(Assumptions!$C$5,D4218)),Assumptions!$D$5,IF(ISNUMBER(SEARCH(Assumptions!$C$6,D4218)),Assumptions!$D$6,IF(ISNUMBER(SEARCH(Assumptions!$C$7,D4218)),Assumptions!$D$7,"Other Services"))),"Other Services"))</f>
        <v/>
      </c>
    </row>
    <row r="4219" customFormat="false" ht="15" hidden="false" customHeight="false" outlineLevel="0" collapsed="false">
      <c r="F4219" s="41" t="str">
        <f aca="false">IF(D4219="","",IFERROR(IF(ISNUMBER(SEARCH(Assumptions!$C$5,D4219)),Assumptions!$D$5,IF(ISNUMBER(SEARCH(Assumptions!$C$6,D4219)),Assumptions!$D$6,IF(ISNUMBER(SEARCH(Assumptions!$C$7,D4219)),Assumptions!$D$7,"Other Services"))),"Other Services"))</f>
        <v/>
      </c>
    </row>
    <row r="4220" customFormat="false" ht="15" hidden="false" customHeight="false" outlineLevel="0" collapsed="false">
      <c r="F4220" s="41" t="str">
        <f aca="false">IF(D4220="","",IFERROR(IF(ISNUMBER(SEARCH(Assumptions!$C$5,D4220)),Assumptions!$D$5,IF(ISNUMBER(SEARCH(Assumptions!$C$6,D4220)),Assumptions!$D$6,IF(ISNUMBER(SEARCH(Assumptions!$C$7,D4220)),Assumptions!$D$7,"Other Services"))),"Other Services"))</f>
        <v/>
      </c>
    </row>
    <row r="4221" customFormat="false" ht="15" hidden="false" customHeight="false" outlineLevel="0" collapsed="false">
      <c r="F4221" s="41" t="str">
        <f aca="false">IF(D4221="","",IFERROR(IF(ISNUMBER(SEARCH(Assumptions!$C$5,D4221)),Assumptions!$D$5,IF(ISNUMBER(SEARCH(Assumptions!$C$6,D4221)),Assumptions!$D$6,IF(ISNUMBER(SEARCH(Assumptions!$C$7,D4221)),Assumptions!$D$7,"Other Services"))),"Other Services"))</f>
        <v/>
      </c>
    </row>
    <row r="4222" customFormat="false" ht="15" hidden="false" customHeight="false" outlineLevel="0" collapsed="false">
      <c r="F4222" s="41" t="str">
        <f aca="false">IF(D4222="","",IFERROR(IF(ISNUMBER(SEARCH(Assumptions!$C$5,D4222)),Assumptions!$D$5,IF(ISNUMBER(SEARCH(Assumptions!$C$6,D4222)),Assumptions!$D$6,IF(ISNUMBER(SEARCH(Assumptions!$C$7,D4222)),Assumptions!$D$7,"Other Services"))),"Other Services"))</f>
        <v/>
      </c>
    </row>
    <row r="4223" customFormat="false" ht="15" hidden="false" customHeight="false" outlineLevel="0" collapsed="false">
      <c r="F4223" s="41" t="str">
        <f aca="false">IF(D4223="","",IFERROR(IF(ISNUMBER(SEARCH(Assumptions!$C$5,D4223)),Assumptions!$D$5,IF(ISNUMBER(SEARCH(Assumptions!$C$6,D4223)),Assumptions!$D$6,IF(ISNUMBER(SEARCH(Assumptions!$C$7,D4223)),Assumptions!$D$7,"Other Services"))),"Other Services"))</f>
        <v/>
      </c>
    </row>
    <row r="4224" customFormat="false" ht="15" hidden="false" customHeight="false" outlineLevel="0" collapsed="false">
      <c r="F4224" s="41" t="str">
        <f aca="false">IF(D4224="","",IFERROR(IF(ISNUMBER(SEARCH(Assumptions!$C$5,D4224)),Assumptions!$D$5,IF(ISNUMBER(SEARCH(Assumptions!$C$6,D4224)),Assumptions!$D$6,IF(ISNUMBER(SEARCH(Assumptions!$C$7,D4224)),Assumptions!$D$7,"Other Services"))),"Other Services"))</f>
        <v/>
      </c>
    </row>
    <row r="4225" customFormat="false" ht="15" hidden="false" customHeight="false" outlineLevel="0" collapsed="false">
      <c r="F4225" s="41" t="str">
        <f aca="false">IF(D4225="","",IFERROR(IF(ISNUMBER(SEARCH(Assumptions!$C$5,D4225)),Assumptions!$D$5,IF(ISNUMBER(SEARCH(Assumptions!$C$6,D4225)),Assumptions!$D$6,IF(ISNUMBER(SEARCH(Assumptions!$C$7,D4225)),Assumptions!$D$7,"Other Services"))),"Other Services"))</f>
        <v/>
      </c>
    </row>
    <row r="4226" customFormat="false" ht="15" hidden="false" customHeight="false" outlineLevel="0" collapsed="false">
      <c r="F4226" s="41" t="str">
        <f aca="false">IF(D4226="","",IFERROR(IF(ISNUMBER(SEARCH(Assumptions!$C$5,D4226)),Assumptions!$D$5,IF(ISNUMBER(SEARCH(Assumptions!$C$6,D4226)),Assumptions!$D$6,IF(ISNUMBER(SEARCH(Assumptions!$C$7,D4226)),Assumptions!$D$7,"Other Services"))),"Other Services"))</f>
        <v/>
      </c>
    </row>
    <row r="4227" customFormat="false" ht="15" hidden="false" customHeight="false" outlineLevel="0" collapsed="false">
      <c r="F4227" s="41" t="str">
        <f aca="false">IF(D4227="","",IFERROR(IF(ISNUMBER(SEARCH(Assumptions!$C$5,D4227)),Assumptions!$D$5,IF(ISNUMBER(SEARCH(Assumptions!$C$6,D4227)),Assumptions!$D$6,IF(ISNUMBER(SEARCH(Assumptions!$C$7,D4227)),Assumptions!$D$7,"Other Services"))),"Other Services"))</f>
        <v/>
      </c>
    </row>
    <row r="4228" customFormat="false" ht="15" hidden="false" customHeight="false" outlineLevel="0" collapsed="false">
      <c r="F4228" s="41" t="str">
        <f aca="false">IF(D4228="","",IFERROR(IF(ISNUMBER(SEARCH(Assumptions!$C$5,D4228)),Assumptions!$D$5,IF(ISNUMBER(SEARCH(Assumptions!$C$6,D4228)),Assumptions!$D$6,IF(ISNUMBER(SEARCH(Assumptions!$C$7,D4228)),Assumptions!$D$7,"Other Services"))),"Other Services"))</f>
        <v/>
      </c>
    </row>
    <row r="4229" customFormat="false" ht="15" hidden="false" customHeight="false" outlineLevel="0" collapsed="false">
      <c r="F4229" s="41" t="str">
        <f aca="false">IF(D4229="","",IFERROR(IF(ISNUMBER(SEARCH(Assumptions!$C$5,D4229)),Assumptions!$D$5,IF(ISNUMBER(SEARCH(Assumptions!$C$6,D4229)),Assumptions!$D$6,IF(ISNUMBER(SEARCH(Assumptions!$C$7,D4229)),Assumptions!$D$7,"Other Services"))),"Other Services"))</f>
        <v/>
      </c>
    </row>
    <row r="4230" customFormat="false" ht="15" hidden="false" customHeight="false" outlineLevel="0" collapsed="false">
      <c r="F4230" s="41" t="str">
        <f aca="false">IF(D4230="","",IFERROR(IF(ISNUMBER(SEARCH(Assumptions!$C$5,D4230)),Assumptions!$D$5,IF(ISNUMBER(SEARCH(Assumptions!$C$6,D4230)),Assumptions!$D$6,IF(ISNUMBER(SEARCH(Assumptions!$C$7,D4230)),Assumptions!$D$7,"Other Services"))),"Other Services"))</f>
        <v/>
      </c>
    </row>
    <row r="4231" customFormat="false" ht="15" hidden="false" customHeight="false" outlineLevel="0" collapsed="false">
      <c r="F4231" s="41" t="str">
        <f aca="false">IF(D4231="","",IFERROR(IF(ISNUMBER(SEARCH(Assumptions!$C$5,D4231)),Assumptions!$D$5,IF(ISNUMBER(SEARCH(Assumptions!$C$6,D4231)),Assumptions!$D$6,IF(ISNUMBER(SEARCH(Assumptions!$C$7,D4231)),Assumptions!$D$7,"Other Services"))),"Other Services"))</f>
        <v/>
      </c>
    </row>
    <row r="4232" customFormat="false" ht="15" hidden="false" customHeight="false" outlineLevel="0" collapsed="false">
      <c r="F4232" s="41" t="str">
        <f aca="false">IF(D4232="","",IFERROR(IF(ISNUMBER(SEARCH(Assumptions!$C$5,D4232)),Assumptions!$D$5,IF(ISNUMBER(SEARCH(Assumptions!$C$6,D4232)),Assumptions!$D$6,IF(ISNUMBER(SEARCH(Assumptions!$C$7,D4232)),Assumptions!$D$7,"Other Services"))),"Other Services"))</f>
        <v/>
      </c>
    </row>
    <row r="4233" customFormat="false" ht="15" hidden="false" customHeight="false" outlineLevel="0" collapsed="false">
      <c r="F4233" s="41" t="str">
        <f aca="false">IF(D4233="","",IFERROR(IF(ISNUMBER(SEARCH(Assumptions!$C$5,D4233)),Assumptions!$D$5,IF(ISNUMBER(SEARCH(Assumptions!$C$6,D4233)),Assumptions!$D$6,IF(ISNUMBER(SEARCH(Assumptions!$C$7,D4233)),Assumptions!$D$7,"Other Services"))),"Other Services"))</f>
        <v/>
      </c>
    </row>
    <row r="4234" customFormat="false" ht="15" hidden="false" customHeight="false" outlineLevel="0" collapsed="false">
      <c r="F4234" s="41" t="str">
        <f aca="false">IF(D4234="","",IFERROR(IF(ISNUMBER(SEARCH(Assumptions!$C$5,D4234)),Assumptions!$D$5,IF(ISNUMBER(SEARCH(Assumptions!$C$6,D4234)),Assumptions!$D$6,IF(ISNUMBER(SEARCH(Assumptions!$C$7,D4234)),Assumptions!$D$7,"Other Services"))),"Other Services"))</f>
        <v/>
      </c>
    </row>
    <row r="4235" customFormat="false" ht="15" hidden="false" customHeight="false" outlineLevel="0" collapsed="false">
      <c r="F4235" s="41" t="str">
        <f aca="false">IF(D4235="","",IFERROR(IF(ISNUMBER(SEARCH(Assumptions!$C$5,D4235)),Assumptions!$D$5,IF(ISNUMBER(SEARCH(Assumptions!$C$6,D4235)),Assumptions!$D$6,IF(ISNUMBER(SEARCH(Assumptions!$C$7,D4235)),Assumptions!$D$7,"Other Services"))),"Other Services"))</f>
        <v/>
      </c>
    </row>
    <row r="4236" customFormat="false" ht="15" hidden="false" customHeight="false" outlineLevel="0" collapsed="false">
      <c r="F4236" s="41" t="str">
        <f aca="false">IF(D4236="","",IFERROR(IF(ISNUMBER(SEARCH(Assumptions!$C$5,D4236)),Assumptions!$D$5,IF(ISNUMBER(SEARCH(Assumptions!$C$6,D4236)),Assumptions!$D$6,IF(ISNUMBER(SEARCH(Assumptions!$C$7,D4236)),Assumptions!$D$7,"Other Services"))),"Other Services"))</f>
        <v/>
      </c>
    </row>
    <row r="4237" customFormat="false" ht="15" hidden="false" customHeight="false" outlineLevel="0" collapsed="false">
      <c r="F4237" s="41" t="str">
        <f aca="false">IF(D4237="","",IFERROR(IF(ISNUMBER(SEARCH(Assumptions!$C$5,D4237)),Assumptions!$D$5,IF(ISNUMBER(SEARCH(Assumptions!$C$6,D4237)),Assumptions!$D$6,IF(ISNUMBER(SEARCH(Assumptions!$C$7,D4237)),Assumptions!$D$7,"Other Services"))),"Other Services"))</f>
        <v/>
      </c>
    </row>
    <row r="4238" customFormat="false" ht="15" hidden="false" customHeight="false" outlineLevel="0" collapsed="false">
      <c r="F4238" s="41" t="str">
        <f aca="false">IF(D4238="","",IFERROR(IF(ISNUMBER(SEARCH(Assumptions!$C$5,D4238)),Assumptions!$D$5,IF(ISNUMBER(SEARCH(Assumptions!$C$6,D4238)),Assumptions!$D$6,IF(ISNUMBER(SEARCH(Assumptions!$C$7,D4238)),Assumptions!$D$7,"Other Services"))),"Other Services"))</f>
        <v/>
      </c>
    </row>
    <row r="4239" customFormat="false" ht="15" hidden="false" customHeight="false" outlineLevel="0" collapsed="false">
      <c r="F4239" s="41" t="str">
        <f aca="false">IF(D4239="","",IFERROR(IF(ISNUMBER(SEARCH(Assumptions!$C$5,D4239)),Assumptions!$D$5,IF(ISNUMBER(SEARCH(Assumptions!$C$6,D4239)),Assumptions!$D$6,IF(ISNUMBER(SEARCH(Assumptions!$C$7,D4239)),Assumptions!$D$7,"Other Services"))),"Other Services"))</f>
        <v/>
      </c>
    </row>
    <row r="4240" customFormat="false" ht="15" hidden="false" customHeight="false" outlineLevel="0" collapsed="false">
      <c r="F4240" s="41" t="str">
        <f aca="false">IF(D4240="","",IFERROR(IF(ISNUMBER(SEARCH(Assumptions!$C$5,D4240)),Assumptions!$D$5,IF(ISNUMBER(SEARCH(Assumptions!$C$6,D4240)),Assumptions!$D$6,IF(ISNUMBER(SEARCH(Assumptions!$C$7,D4240)),Assumptions!$D$7,"Other Services"))),"Other Services"))</f>
        <v/>
      </c>
    </row>
    <row r="4241" customFormat="false" ht="15" hidden="false" customHeight="false" outlineLevel="0" collapsed="false">
      <c r="F4241" s="41" t="str">
        <f aca="false">IF(D4241="","",IFERROR(IF(ISNUMBER(SEARCH(Assumptions!$C$5,D4241)),Assumptions!$D$5,IF(ISNUMBER(SEARCH(Assumptions!$C$6,D4241)),Assumptions!$D$6,IF(ISNUMBER(SEARCH(Assumptions!$C$7,D4241)),Assumptions!$D$7,"Other Services"))),"Other Services"))</f>
        <v/>
      </c>
    </row>
    <row r="4242" customFormat="false" ht="15" hidden="false" customHeight="false" outlineLevel="0" collapsed="false">
      <c r="F4242" s="41" t="str">
        <f aca="false">IF(D4242="","",IFERROR(IF(ISNUMBER(SEARCH(Assumptions!$C$5,D4242)),Assumptions!$D$5,IF(ISNUMBER(SEARCH(Assumptions!$C$6,D4242)),Assumptions!$D$6,IF(ISNUMBER(SEARCH(Assumptions!$C$7,D4242)),Assumptions!$D$7,"Other Services"))),"Other Services"))</f>
        <v/>
      </c>
    </row>
    <row r="4243" customFormat="false" ht="15" hidden="false" customHeight="false" outlineLevel="0" collapsed="false">
      <c r="F4243" s="41" t="str">
        <f aca="false">IF(D4243="","",IFERROR(IF(ISNUMBER(SEARCH(Assumptions!$C$5,D4243)),Assumptions!$D$5,IF(ISNUMBER(SEARCH(Assumptions!$C$6,D4243)),Assumptions!$D$6,IF(ISNUMBER(SEARCH(Assumptions!$C$7,D4243)),Assumptions!$D$7,"Other Services"))),"Other Services"))</f>
        <v/>
      </c>
    </row>
    <row r="4244" customFormat="false" ht="15" hidden="false" customHeight="false" outlineLevel="0" collapsed="false">
      <c r="F4244" s="41" t="str">
        <f aca="false">IF(D4244="","",IFERROR(IF(ISNUMBER(SEARCH(Assumptions!$C$5,D4244)),Assumptions!$D$5,IF(ISNUMBER(SEARCH(Assumptions!$C$6,D4244)),Assumptions!$D$6,IF(ISNUMBER(SEARCH(Assumptions!$C$7,D4244)),Assumptions!$D$7,"Other Services"))),"Other Services"))</f>
        <v/>
      </c>
    </row>
    <row r="4245" customFormat="false" ht="15" hidden="false" customHeight="false" outlineLevel="0" collapsed="false">
      <c r="F4245" s="41" t="str">
        <f aca="false">IF(D4245="","",IFERROR(IF(ISNUMBER(SEARCH(Assumptions!$C$5,D4245)),Assumptions!$D$5,IF(ISNUMBER(SEARCH(Assumptions!$C$6,D4245)),Assumptions!$D$6,IF(ISNUMBER(SEARCH(Assumptions!$C$7,D4245)),Assumptions!$D$7,"Other Services"))),"Other Services"))</f>
        <v/>
      </c>
    </row>
    <row r="4246" customFormat="false" ht="15" hidden="false" customHeight="false" outlineLevel="0" collapsed="false">
      <c r="F4246" s="41" t="str">
        <f aca="false">IF(D4246="","",IFERROR(IF(ISNUMBER(SEARCH(Assumptions!$C$5,D4246)),Assumptions!$D$5,IF(ISNUMBER(SEARCH(Assumptions!$C$6,D4246)),Assumptions!$D$6,IF(ISNUMBER(SEARCH(Assumptions!$C$7,D4246)),Assumptions!$D$7,"Other Services"))),"Other Services"))</f>
        <v/>
      </c>
    </row>
    <row r="4247" customFormat="false" ht="15" hidden="false" customHeight="false" outlineLevel="0" collapsed="false">
      <c r="F4247" s="41" t="str">
        <f aca="false">IF(D4247="","",IFERROR(IF(ISNUMBER(SEARCH(Assumptions!$C$5,D4247)),Assumptions!$D$5,IF(ISNUMBER(SEARCH(Assumptions!$C$6,D4247)),Assumptions!$D$6,IF(ISNUMBER(SEARCH(Assumptions!$C$7,D4247)),Assumptions!$D$7,"Other Services"))),"Other Services"))</f>
        <v/>
      </c>
    </row>
    <row r="4248" customFormat="false" ht="15" hidden="false" customHeight="false" outlineLevel="0" collapsed="false">
      <c r="F4248" s="41" t="str">
        <f aca="false">IF(D4248="","",IFERROR(IF(ISNUMBER(SEARCH(Assumptions!$C$5,D4248)),Assumptions!$D$5,IF(ISNUMBER(SEARCH(Assumptions!$C$6,D4248)),Assumptions!$D$6,IF(ISNUMBER(SEARCH(Assumptions!$C$7,D4248)),Assumptions!$D$7,"Other Services"))),"Other Services"))</f>
        <v/>
      </c>
    </row>
    <row r="4249" customFormat="false" ht="15" hidden="false" customHeight="false" outlineLevel="0" collapsed="false">
      <c r="F4249" s="41" t="str">
        <f aca="false">IF(D4249="","",IFERROR(IF(ISNUMBER(SEARCH(Assumptions!$C$5,D4249)),Assumptions!$D$5,IF(ISNUMBER(SEARCH(Assumptions!$C$6,D4249)),Assumptions!$D$6,IF(ISNUMBER(SEARCH(Assumptions!$C$7,D4249)),Assumptions!$D$7,"Other Services"))),"Other Services"))</f>
        <v/>
      </c>
    </row>
    <row r="4250" customFormat="false" ht="15" hidden="false" customHeight="false" outlineLevel="0" collapsed="false">
      <c r="F4250" s="41" t="str">
        <f aca="false">IF(D4250="","",IFERROR(IF(ISNUMBER(SEARCH(Assumptions!$C$5,D4250)),Assumptions!$D$5,IF(ISNUMBER(SEARCH(Assumptions!$C$6,D4250)),Assumptions!$D$6,IF(ISNUMBER(SEARCH(Assumptions!$C$7,D4250)),Assumptions!$D$7,"Other Services"))),"Other Services"))</f>
        <v/>
      </c>
    </row>
    <row r="4251" customFormat="false" ht="15" hidden="false" customHeight="false" outlineLevel="0" collapsed="false">
      <c r="F4251" s="41" t="str">
        <f aca="false">IF(D4251="","",IFERROR(IF(ISNUMBER(SEARCH(Assumptions!$C$5,D4251)),Assumptions!$D$5,IF(ISNUMBER(SEARCH(Assumptions!$C$6,D4251)),Assumptions!$D$6,IF(ISNUMBER(SEARCH(Assumptions!$C$7,D4251)),Assumptions!$D$7,"Other Services"))),"Other Services"))</f>
        <v/>
      </c>
    </row>
    <row r="4252" customFormat="false" ht="15" hidden="false" customHeight="false" outlineLevel="0" collapsed="false">
      <c r="F4252" s="41" t="str">
        <f aca="false">IF(D4252="","",IFERROR(IF(ISNUMBER(SEARCH(Assumptions!$C$5,D4252)),Assumptions!$D$5,IF(ISNUMBER(SEARCH(Assumptions!$C$6,D4252)),Assumptions!$D$6,IF(ISNUMBER(SEARCH(Assumptions!$C$7,D4252)),Assumptions!$D$7,"Other Services"))),"Other Services"))</f>
        <v/>
      </c>
    </row>
    <row r="4253" customFormat="false" ht="15" hidden="false" customHeight="false" outlineLevel="0" collapsed="false">
      <c r="F4253" s="41" t="str">
        <f aca="false">IF(D4253="","",IFERROR(IF(ISNUMBER(SEARCH(Assumptions!$C$5,D4253)),Assumptions!$D$5,IF(ISNUMBER(SEARCH(Assumptions!$C$6,D4253)),Assumptions!$D$6,IF(ISNUMBER(SEARCH(Assumptions!$C$7,D4253)),Assumptions!$D$7,"Other Services"))),"Other Services"))</f>
        <v/>
      </c>
    </row>
    <row r="4254" customFormat="false" ht="15" hidden="false" customHeight="false" outlineLevel="0" collapsed="false">
      <c r="F4254" s="41" t="str">
        <f aca="false">IF(D4254="","",IFERROR(IF(ISNUMBER(SEARCH(Assumptions!$C$5,D4254)),Assumptions!$D$5,IF(ISNUMBER(SEARCH(Assumptions!$C$6,D4254)),Assumptions!$D$6,IF(ISNUMBER(SEARCH(Assumptions!$C$7,D4254)),Assumptions!$D$7,"Other Services"))),"Other Services"))</f>
        <v/>
      </c>
    </row>
    <row r="4255" customFormat="false" ht="15" hidden="false" customHeight="false" outlineLevel="0" collapsed="false">
      <c r="F4255" s="41" t="str">
        <f aca="false">IF(D4255="","",IFERROR(IF(ISNUMBER(SEARCH(Assumptions!$C$5,D4255)),Assumptions!$D$5,IF(ISNUMBER(SEARCH(Assumptions!$C$6,D4255)),Assumptions!$D$6,IF(ISNUMBER(SEARCH(Assumptions!$C$7,D4255)),Assumptions!$D$7,"Other Services"))),"Other Services"))</f>
        <v/>
      </c>
    </row>
    <row r="4256" customFormat="false" ht="15" hidden="false" customHeight="false" outlineLevel="0" collapsed="false">
      <c r="F4256" s="41" t="str">
        <f aca="false">IF(D4256="","",IFERROR(IF(ISNUMBER(SEARCH(Assumptions!$C$5,D4256)),Assumptions!$D$5,IF(ISNUMBER(SEARCH(Assumptions!$C$6,D4256)),Assumptions!$D$6,IF(ISNUMBER(SEARCH(Assumptions!$C$7,D4256)),Assumptions!$D$7,"Other Services"))),"Other Services"))</f>
        <v/>
      </c>
    </row>
    <row r="4257" customFormat="false" ht="15" hidden="false" customHeight="false" outlineLevel="0" collapsed="false">
      <c r="F4257" s="41" t="str">
        <f aca="false">IF(D4257="","",IFERROR(IF(ISNUMBER(SEARCH(Assumptions!$C$5,D4257)),Assumptions!$D$5,IF(ISNUMBER(SEARCH(Assumptions!$C$6,D4257)),Assumptions!$D$6,IF(ISNUMBER(SEARCH(Assumptions!$C$7,D4257)),Assumptions!$D$7,"Other Services"))),"Other Services"))</f>
        <v/>
      </c>
    </row>
    <row r="4258" customFormat="false" ht="15" hidden="false" customHeight="false" outlineLevel="0" collapsed="false">
      <c r="F4258" s="41" t="str">
        <f aca="false">IF(D4258="","",IFERROR(IF(ISNUMBER(SEARCH(Assumptions!$C$5,D4258)),Assumptions!$D$5,IF(ISNUMBER(SEARCH(Assumptions!$C$6,D4258)),Assumptions!$D$6,IF(ISNUMBER(SEARCH(Assumptions!$C$7,D4258)),Assumptions!$D$7,"Other Services"))),"Other Services"))</f>
        <v/>
      </c>
    </row>
    <row r="4259" customFormat="false" ht="15" hidden="false" customHeight="false" outlineLevel="0" collapsed="false">
      <c r="F4259" s="41" t="str">
        <f aca="false">IF(D4259="","",IFERROR(IF(ISNUMBER(SEARCH(Assumptions!$C$5,D4259)),Assumptions!$D$5,IF(ISNUMBER(SEARCH(Assumptions!$C$6,D4259)),Assumptions!$D$6,IF(ISNUMBER(SEARCH(Assumptions!$C$7,D4259)),Assumptions!$D$7,"Other Services"))),"Other Services"))</f>
        <v/>
      </c>
    </row>
    <row r="4260" customFormat="false" ht="15" hidden="false" customHeight="false" outlineLevel="0" collapsed="false">
      <c r="F4260" s="41" t="str">
        <f aca="false">IF(D4260="","",IFERROR(IF(ISNUMBER(SEARCH(Assumptions!$C$5,D4260)),Assumptions!$D$5,IF(ISNUMBER(SEARCH(Assumptions!$C$6,D4260)),Assumptions!$D$6,IF(ISNUMBER(SEARCH(Assumptions!$C$7,D4260)),Assumptions!$D$7,"Other Services"))),"Other Services"))</f>
        <v/>
      </c>
    </row>
    <row r="4261" customFormat="false" ht="15" hidden="false" customHeight="false" outlineLevel="0" collapsed="false">
      <c r="F4261" s="41" t="str">
        <f aca="false">IF(D4261="","",IFERROR(IF(ISNUMBER(SEARCH(Assumptions!$C$5,D4261)),Assumptions!$D$5,IF(ISNUMBER(SEARCH(Assumptions!$C$6,D4261)),Assumptions!$D$6,IF(ISNUMBER(SEARCH(Assumptions!$C$7,D4261)),Assumptions!$D$7,"Other Services"))),"Other Services"))</f>
        <v/>
      </c>
    </row>
    <row r="4262" customFormat="false" ht="15" hidden="false" customHeight="false" outlineLevel="0" collapsed="false">
      <c r="F4262" s="41" t="str">
        <f aca="false">IF(D4262="","",IFERROR(IF(ISNUMBER(SEARCH(Assumptions!$C$5,D4262)),Assumptions!$D$5,IF(ISNUMBER(SEARCH(Assumptions!$C$6,D4262)),Assumptions!$D$6,IF(ISNUMBER(SEARCH(Assumptions!$C$7,D4262)),Assumptions!$D$7,"Other Services"))),"Other Services"))</f>
        <v/>
      </c>
    </row>
    <row r="4263" customFormat="false" ht="15" hidden="false" customHeight="false" outlineLevel="0" collapsed="false">
      <c r="F4263" s="41" t="str">
        <f aca="false">IF(D4263="","",IFERROR(IF(ISNUMBER(SEARCH(Assumptions!$C$5,D4263)),Assumptions!$D$5,IF(ISNUMBER(SEARCH(Assumptions!$C$6,D4263)),Assumptions!$D$6,IF(ISNUMBER(SEARCH(Assumptions!$C$7,D4263)),Assumptions!$D$7,"Other Services"))),"Other Services"))</f>
        <v/>
      </c>
    </row>
    <row r="4264" customFormat="false" ht="15" hidden="false" customHeight="false" outlineLevel="0" collapsed="false">
      <c r="F4264" s="41" t="str">
        <f aca="false">IF(D4264="","",IFERROR(IF(ISNUMBER(SEARCH(Assumptions!$C$5,D4264)),Assumptions!$D$5,IF(ISNUMBER(SEARCH(Assumptions!$C$6,D4264)),Assumptions!$D$6,IF(ISNUMBER(SEARCH(Assumptions!$C$7,D4264)),Assumptions!$D$7,"Other Services"))),"Other Services"))</f>
        <v/>
      </c>
    </row>
    <row r="4265" customFormat="false" ht="15" hidden="false" customHeight="false" outlineLevel="0" collapsed="false">
      <c r="F4265" s="41" t="str">
        <f aca="false">IF(D4265="","",IFERROR(IF(ISNUMBER(SEARCH(Assumptions!$C$5,D4265)),Assumptions!$D$5,IF(ISNUMBER(SEARCH(Assumptions!$C$6,D4265)),Assumptions!$D$6,IF(ISNUMBER(SEARCH(Assumptions!$C$7,D4265)),Assumptions!$D$7,"Other Services"))),"Other Services"))</f>
        <v/>
      </c>
    </row>
    <row r="4266" customFormat="false" ht="15" hidden="false" customHeight="false" outlineLevel="0" collapsed="false">
      <c r="F4266" s="41" t="str">
        <f aca="false">IF(D4266="","",IFERROR(IF(ISNUMBER(SEARCH(Assumptions!$C$5,D4266)),Assumptions!$D$5,IF(ISNUMBER(SEARCH(Assumptions!$C$6,D4266)),Assumptions!$D$6,IF(ISNUMBER(SEARCH(Assumptions!$C$7,D4266)),Assumptions!$D$7,"Other Services"))),"Other Services"))</f>
        <v/>
      </c>
    </row>
    <row r="4267" customFormat="false" ht="15" hidden="false" customHeight="false" outlineLevel="0" collapsed="false">
      <c r="F4267" s="41" t="str">
        <f aca="false">IF(D4267="","",IFERROR(IF(ISNUMBER(SEARCH(Assumptions!$C$5,D4267)),Assumptions!$D$5,IF(ISNUMBER(SEARCH(Assumptions!$C$6,D4267)),Assumptions!$D$6,IF(ISNUMBER(SEARCH(Assumptions!$C$7,D4267)),Assumptions!$D$7,"Other Services"))),"Other Services"))</f>
        <v/>
      </c>
    </row>
    <row r="4268" customFormat="false" ht="15" hidden="false" customHeight="false" outlineLevel="0" collapsed="false">
      <c r="F4268" s="41" t="str">
        <f aca="false">IF(D4268="","",IFERROR(IF(ISNUMBER(SEARCH(Assumptions!$C$5,D4268)),Assumptions!$D$5,IF(ISNUMBER(SEARCH(Assumptions!$C$6,D4268)),Assumptions!$D$6,IF(ISNUMBER(SEARCH(Assumptions!$C$7,D4268)),Assumptions!$D$7,"Other Services"))),"Other Services"))</f>
        <v/>
      </c>
    </row>
    <row r="4269" customFormat="false" ht="15" hidden="false" customHeight="false" outlineLevel="0" collapsed="false">
      <c r="F4269" s="41" t="str">
        <f aca="false">IF(D4269="","",IFERROR(IF(ISNUMBER(SEARCH(Assumptions!$C$5,D4269)),Assumptions!$D$5,IF(ISNUMBER(SEARCH(Assumptions!$C$6,D4269)),Assumptions!$D$6,IF(ISNUMBER(SEARCH(Assumptions!$C$7,D4269)),Assumptions!$D$7,"Other Services"))),"Other Services"))</f>
        <v/>
      </c>
    </row>
    <row r="4270" customFormat="false" ht="15" hidden="false" customHeight="false" outlineLevel="0" collapsed="false">
      <c r="F4270" s="41" t="str">
        <f aca="false">IF(D4270="","",IFERROR(IF(ISNUMBER(SEARCH(Assumptions!$C$5,D4270)),Assumptions!$D$5,IF(ISNUMBER(SEARCH(Assumptions!$C$6,D4270)),Assumptions!$D$6,IF(ISNUMBER(SEARCH(Assumptions!$C$7,D4270)),Assumptions!$D$7,"Other Services"))),"Other Services"))</f>
        <v/>
      </c>
    </row>
    <row r="4271" customFormat="false" ht="15" hidden="false" customHeight="false" outlineLevel="0" collapsed="false">
      <c r="F4271" s="41" t="str">
        <f aca="false">IF(D4271="","",IFERROR(IF(ISNUMBER(SEARCH(Assumptions!$C$5,D4271)),Assumptions!$D$5,IF(ISNUMBER(SEARCH(Assumptions!$C$6,D4271)),Assumptions!$D$6,IF(ISNUMBER(SEARCH(Assumptions!$C$7,D4271)),Assumptions!$D$7,"Other Services"))),"Other Services"))</f>
        <v/>
      </c>
    </row>
    <row r="4272" customFormat="false" ht="15" hidden="false" customHeight="false" outlineLevel="0" collapsed="false">
      <c r="F4272" s="41" t="str">
        <f aca="false">IF(D4272="","",IFERROR(IF(ISNUMBER(SEARCH(Assumptions!$C$5,D4272)),Assumptions!$D$5,IF(ISNUMBER(SEARCH(Assumptions!$C$6,D4272)),Assumptions!$D$6,IF(ISNUMBER(SEARCH(Assumptions!$C$7,D4272)),Assumptions!$D$7,"Other Services"))),"Other Services"))</f>
        <v/>
      </c>
    </row>
    <row r="4273" customFormat="false" ht="15" hidden="false" customHeight="false" outlineLevel="0" collapsed="false">
      <c r="F4273" s="41" t="str">
        <f aca="false">IF(D4273="","",IFERROR(IF(ISNUMBER(SEARCH(Assumptions!$C$5,D4273)),Assumptions!$D$5,IF(ISNUMBER(SEARCH(Assumptions!$C$6,D4273)),Assumptions!$D$6,IF(ISNUMBER(SEARCH(Assumptions!$C$7,D4273)),Assumptions!$D$7,"Other Services"))),"Other Services"))</f>
        <v/>
      </c>
    </row>
    <row r="4274" customFormat="false" ht="15" hidden="false" customHeight="false" outlineLevel="0" collapsed="false">
      <c r="F4274" s="41" t="str">
        <f aca="false">IF(D4274="","",IFERROR(IF(ISNUMBER(SEARCH(Assumptions!$C$5,D4274)),Assumptions!$D$5,IF(ISNUMBER(SEARCH(Assumptions!$C$6,D4274)),Assumptions!$D$6,IF(ISNUMBER(SEARCH(Assumptions!$C$7,D4274)),Assumptions!$D$7,"Other Services"))),"Other Services"))</f>
        <v/>
      </c>
    </row>
    <row r="4275" customFormat="false" ht="15" hidden="false" customHeight="false" outlineLevel="0" collapsed="false">
      <c r="F4275" s="41" t="str">
        <f aca="false">IF(D4275="","",IFERROR(IF(ISNUMBER(SEARCH(Assumptions!$C$5,D4275)),Assumptions!$D$5,IF(ISNUMBER(SEARCH(Assumptions!$C$6,D4275)),Assumptions!$D$6,IF(ISNUMBER(SEARCH(Assumptions!$C$7,D4275)),Assumptions!$D$7,"Other Services"))),"Other Services"))</f>
        <v/>
      </c>
    </row>
    <row r="4276" customFormat="false" ht="15" hidden="false" customHeight="false" outlineLevel="0" collapsed="false">
      <c r="F4276" s="41" t="str">
        <f aca="false">IF(D4276="","",IFERROR(IF(ISNUMBER(SEARCH(Assumptions!$C$5,D4276)),Assumptions!$D$5,IF(ISNUMBER(SEARCH(Assumptions!$C$6,D4276)),Assumptions!$D$6,IF(ISNUMBER(SEARCH(Assumptions!$C$7,D4276)),Assumptions!$D$7,"Other Services"))),"Other Services"))</f>
        <v/>
      </c>
    </row>
    <row r="4277" customFormat="false" ht="15" hidden="false" customHeight="false" outlineLevel="0" collapsed="false">
      <c r="F4277" s="41" t="str">
        <f aca="false">IF(D4277="","",IFERROR(IF(ISNUMBER(SEARCH(Assumptions!$C$5,D4277)),Assumptions!$D$5,IF(ISNUMBER(SEARCH(Assumptions!$C$6,D4277)),Assumptions!$D$6,IF(ISNUMBER(SEARCH(Assumptions!$C$7,D4277)),Assumptions!$D$7,"Other Services"))),"Other Services"))</f>
        <v/>
      </c>
    </row>
    <row r="4278" customFormat="false" ht="15" hidden="false" customHeight="false" outlineLevel="0" collapsed="false">
      <c r="F4278" s="41" t="str">
        <f aca="false">IF(D4278="","",IFERROR(IF(ISNUMBER(SEARCH(Assumptions!$C$5,D4278)),Assumptions!$D$5,IF(ISNUMBER(SEARCH(Assumptions!$C$6,D4278)),Assumptions!$D$6,IF(ISNUMBER(SEARCH(Assumptions!$C$7,D4278)),Assumptions!$D$7,"Other Services"))),"Other Services"))</f>
        <v/>
      </c>
    </row>
    <row r="4279" customFormat="false" ht="15" hidden="false" customHeight="false" outlineLevel="0" collapsed="false">
      <c r="F4279" s="41" t="str">
        <f aca="false">IF(D4279="","",IFERROR(IF(ISNUMBER(SEARCH(Assumptions!$C$5,D4279)),Assumptions!$D$5,IF(ISNUMBER(SEARCH(Assumptions!$C$6,D4279)),Assumptions!$D$6,IF(ISNUMBER(SEARCH(Assumptions!$C$7,D4279)),Assumptions!$D$7,"Other Services"))),"Other Services"))</f>
        <v/>
      </c>
    </row>
    <row r="4280" customFormat="false" ht="15" hidden="false" customHeight="false" outlineLevel="0" collapsed="false">
      <c r="F4280" s="41" t="str">
        <f aca="false">IF(D4280="","",IFERROR(IF(ISNUMBER(SEARCH(Assumptions!$C$5,D4280)),Assumptions!$D$5,IF(ISNUMBER(SEARCH(Assumptions!$C$6,D4280)),Assumptions!$D$6,IF(ISNUMBER(SEARCH(Assumptions!$C$7,D4280)),Assumptions!$D$7,"Other Services"))),"Other Services"))</f>
        <v/>
      </c>
    </row>
    <row r="4281" customFormat="false" ht="15" hidden="false" customHeight="false" outlineLevel="0" collapsed="false">
      <c r="F4281" s="41" t="str">
        <f aca="false">IF(D4281="","",IFERROR(IF(ISNUMBER(SEARCH(Assumptions!$C$5,D4281)),Assumptions!$D$5,IF(ISNUMBER(SEARCH(Assumptions!$C$6,D4281)),Assumptions!$D$6,IF(ISNUMBER(SEARCH(Assumptions!$C$7,D4281)),Assumptions!$D$7,"Other Services"))),"Other Services"))</f>
        <v/>
      </c>
    </row>
    <row r="4282" customFormat="false" ht="15" hidden="false" customHeight="false" outlineLevel="0" collapsed="false">
      <c r="F4282" s="41" t="str">
        <f aca="false">IF(D4282="","",IFERROR(IF(ISNUMBER(SEARCH(Assumptions!$C$5,D4282)),Assumptions!$D$5,IF(ISNUMBER(SEARCH(Assumptions!$C$6,D4282)),Assumptions!$D$6,IF(ISNUMBER(SEARCH(Assumptions!$C$7,D4282)),Assumptions!$D$7,"Other Services"))),"Other Services"))</f>
        <v/>
      </c>
    </row>
    <row r="4283" customFormat="false" ht="15" hidden="false" customHeight="false" outlineLevel="0" collapsed="false">
      <c r="F4283" s="41" t="str">
        <f aca="false">IF(D4283="","",IFERROR(IF(ISNUMBER(SEARCH(Assumptions!$C$5,D4283)),Assumptions!$D$5,IF(ISNUMBER(SEARCH(Assumptions!$C$6,D4283)),Assumptions!$D$6,IF(ISNUMBER(SEARCH(Assumptions!$C$7,D4283)),Assumptions!$D$7,"Other Services"))),"Other Services"))</f>
        <v/>
      </c>
    </row>
    <row r="4284" customFormat="false" ht="15" hidden="false" customHeight="false" outlineLevel="0" collapsed="false">
      <c r="F4284" s="41" t="str">
        <f aca="false">IF(D4284="","",IFERROR(IF(ISNUMBER(SEARCH(Assumptions!$C$5,D4284)),Assumptions!$D$5,IF(ISNUMBER(SEARCH(Assumptions!$C$6,D4284)),Assumptions!$D$6,IF(ISNUMBER(SEARCH(Assumptions!$C$7,D4284)),Assumptions!$D$7,"Other Services"))),"Other Services"))</f>
        <v/>
      </c>
    </row>
    <row r="4285" customFormat="false" ht="15" hidden="false" customHeight="false" outlineLevel="0" collapsed="false">
      <c r="F4285" s="41" t="str">
        <f aca="false">IF(D4285="","",IFERROR(IF(ISNUMBER(SEARCH(Assumptions!$C$5,D4285)),Assumptions!$D$5,IF(ISNUMBER(SEARCH(Assumptions!$C$6,D4285)),Assumptions!$D$6,IF(ISNUMBER(SEARCH(Assumptions!$C$7,D4285)),Assumptions!$D$7,"Other Services"))),"Other Services"))</f>
        <v/>
      </c>
    </row>
    <row r="4286" customFormat="false" ht="15" hidden="false" customHeight="false" outlineLevel="0" collapsed="false">
      <c r="F4286" s="41" t="str">
        <f aca="false">IF(D4286="","",IFERROR(IF(ISNUMBER(SEARCH(Assumptions!$C$5,D4286)),Assumptions!$D$5,IF(ISNUMBER(SEARCH(Assumptions!$C$6,D4286)),Assumptions!$D$6,IF(ISNUMBER(SEARCH(Assumptions!$C$7,D4286)),Assumptions!$D$7,"Other Services"))),"Other Services"))</f>
        <v/>
      </c>
    </row>
    <row r="4287" customFormat="false" ht="15" hidden="false" customHeight="false" outlineLevel="0" collapsed="false">
      <c r="F4287" s="41" t="str">
        <f aca="false">IF(D4287="","",IFERROR(IF(ISNUMBER(SEARCH(Assumptions!$C$5,D4287)),Assumptions!$D$5,IF(ISNUMBER(SEARCH(Assumptions!$C$6,D4287)),Assumptions!$D$6,IF(ISNUMBER(SEARCH(Assumptions!$C$7,D4287)),Assumptions!$D$7,"Other Services"))),"Other Services"))</f>
        <v/>
      </c>
    </row>
    <row r="4288" customFormat="false" ht="15" hidden="false" customHeight="false" outlineLevel="0" collapsed="false">
      <c r="F4288" s="41" t="str">
        <f aca="false">IF(D4288="","",IFERROR(IF(ISNUMBER(SEARCH(Assumptions!$C$5,D4288)),Assumptions!$D$5,IF(ISNUMBER(SEARCH(Assumptions!$C$6,D4288)),Assumptions!$D$6,IF(ISNUMBER(SEARCH(Assumptions!$C$7,D4288)),Assumptions!$D$7,"Other Services"))),"Other Services"))</f>
        <v/>
      </c>
    </row>
    <row r="4289" customFormat="false" ht="15" hidden="false" customHeight="false" outlineLevel="0" collapsed="false">
      <c r="F4289" s="41" t="str">
        <f aca="false">IF(D4289="","",IFERROR(IF(ISNUMBER(SEARCH(Assumptions!$C$5,D4289)),Assumptions!$D$5,IF(ISNUMBER(SEARCH(Assumptions!$C$6,D4289)),Assumptions!$D$6,IF(ISNUMBER(SEARCH(Assumptions!$C$7,D4289)),Assumptions!$D$7,"Other Services"))),"Other Services"))</f>
        <v/>
      </c>
    </row>
    <row r="4290" customFormat="false" ht="15" hidden="false" customHeight="false" outlineLevel="0" collapsed="false">
      <c r="F4290" s="41" t="str">
        <f aca="false">IF(D4290="","",IFERROR(IF(ISNUMBER(SEARCH(Assumptions!$C$5,D4290)),Assumptions!$D$5,IF(ISNUMBER(SEARCH(Assumptions!$C$6,D4290)),Assumptions!$D$6,IF(ISNUMBER(SEARCH(Assumptions!$C$7,D4290)),Assumptions!$D$7,"Other Services"))),"Other Services"))</f>
        <v/>
      </c>
    </row>
    <row r="4291" customFormat="false" ht="15" hidden="false" customHeight="false" outlineLevel="0" collapsed="false">
      <c r="F4291" s="41" t="str">
        <f aca="false">IF(D4291="","",IFERROR(IF(ISNUMBER(SEARCH(Assumptions!$C$5,D4291)),Assumptions!$D$5,IF(ISNUMBER(SEARCH(Assumptions!$C$6,D4291)),Assumptions!$D$6,IF(ISNUMBER(SEARCH(Assumptions!$C$7,D4291)),Assumptions!$D$7,"Other Services"))),"Other Services"))</f>
        <v/>
      </c>
    </row>
    <row r="4292" customFormat="false" ht="15" hidden="false" customHeight="false" outlineLevel="0" collapsed="false">
      <c r="F4292" s="41" t="str">
        <f aca="false">IF(D4292="","",IFERROR(IF(ISNUMBER(SEARCH(Assumptions!$C$5,D4292)),Assumptions!$D$5,IF(ISNUMBER(SEARCH(Assumptions!$C$6,D4292)),Assumptions!$D$6,IF(ISNUMBER(SEARCH(Assumptions!$C$7,D4292)),Assumptions!$D$7,"Other Services"))),"Other Services"))</f>
        <v/>
      </c>
    </row>
    <row r="4293" customFormat="false" ht="15" hidden="false" customHeight="false" outlineLevel="0" collapsed="false">
      <c r="F4293" s="41" t="str">
        <f aca="false">IF(D4293="","",IFERROR(IF(ISNUMBER(SEARCH(Assumptions!$C$5,D4293)),Assumptions!$D$5,IF(ISNUMBER(SEARCH(Assumptions!$C$6,D4293)),Assumptions!$D$6,IF(ISNUMBER(SEARCH(Assumptions!$C$7,D4293)),Assumptions!$D$7,"Other Services"))),"Other Services"))</f>
        <v/>
      </c>
    </row>
    <row r="4294" customFormat="false" ht="15" hidden="false" customHeight="false" outlineLevel="0" collapsed="false">
      <c r="F4294" s="41" t="str">
        <f aca="false">IF(D4294="","",IFERROR(IF(ISNUMBER(SEARCH(Assumptions!$C$5,D4294)),Assumptions!$D$5,IF(ISNUMBER(SEARCH(Assumptions!$C$6,D4294)),Assumptions!$D$6,IF(ISNUMBER(SEARCH(Assumptions!$C$7,D4294)),Assumptions!$D$7,"Other Services"))),"Other Services"))</f>
        <v/>
      </c>
    </row>
    <row r="4295" customFormat="false" ht="15" hidden="false" customHeight="false" outlineLevel="0" collapsed="false">
      <c r="F4295" s="41" t="str">
        <f aca="false">IF(D4295="","",IFERROR(IF(ISNUMBER(SEARCH(Assumptions!$C$5,D4295)),Assumptions!$D$5,IF(ISNUMBER(SEARCH(Assumptions!$C$6,D4295)),Assumptions!$D$6,IF(ISNUMBER(SEARCH(Assumptions!$C$7,D4295)),Assumptions!$D$7,"Other Services"))),"Other Services"))</f>
        <v/>
      </c>
    </row>
    <row r="4296" customFormat="false" ht="15" hidden="false" customHeight="false" outlineLevel="0" collapsed="false">
      <c r="F4296" s="41" t="str">
        <f aca="false">IF(D4296="","",IFERROR(IF(ISNUMBER(SEARCH(Assumptions!$C$5,D4296)),Assumptions!$D$5,IF(ISNUMBER(SEARCH(Assumptions!$C$6,D4296)),Assumptions!$D$6,IF(ISNUMBER(SEARCH(Assumptions!$C$7,D4296)),Assumptions!$D$7,"Other Services"))),"Other Services"))</f>
        <v/>
      </c>
    </row>
    <row r="4297" customFormat="false" ht="15" hidden="false" customHeight="false" outlineLevel="0" collapsed="false">
      <c r="F4297" s="41" t="str">
        <f aca="false">IF(D4297="","",IFERROR(IF(ISNUMBER(SEARCH(Assumptions!$C$5,D4297)),Assumptions!$D$5,IF(ISNUMBER(SEARCH(Assumptions!$C$6,D4297)),Assumptions!$D$6,IF(ISNUMBER(SEARCH(Assumptions!$C$7,D4297)),Assumptions!$D$7,"Other Services"))),"Other Services"))</f>
        <v/>
      </c>
    </row>
    <row r="4298" customFormat="false" ht="15" hidden="false" customHeight="false" outlineLevel="0" collapsed="false">
      <c r="F4298" s="41" t="str">
        <f aca="false">IF(D4298="","",IFERROR(IF(ISNUMBER(SEARCH(Assumptions!$C$5,D4298)),Assumptions!$D$5,IF(ISNUMBER(SEARCH(Assumptions!$C$6,D4298)),Assumptions!$D$6,IF(ISNUMBER(SEARCH(Assumptions!$C$7,D4298)),Assumptions!$D$7,"Other Services"))),"Other Services"))</f>
        <v/>
      </c>
    </row>
    <row r="4299" customFormat="false" ht="15" hidden="false" customHeight="false" outlineLevel="0" collapsed="false">
      <c r="F4299" s="41" t="str">
        <f aca="false">IF(D4299="","",IFERROR(IF(ISNUMBER(SEARCH(Assumptions!$C$5,D4299)),Assumptions!$D$5,IF(ISNUMBER(SEARCH(Assumptions!$C$6,D4299)),Assumptions!$D$6,IF(ISNUMBER(SEARCH(Assumptions!$C$7,D4299)),Assumptions!$D$7,"Other Services"))),"Other Services"))</f>
        <v/>
      </c>
    </row>
    <row r="4300" customFormat="false" ht="15" hidden="false" customHeight="false" outlineLevel="0" collapsed="false">
      <c r="F4300" s="41" t="str">
        <f aca="false">IF(D4300="","",IFERROR(IF(ISNUMBER(SEARCH(Assumptions!$C$5,D4300)),Assumptions!$D$5,IF(ISNUMBER(SEARCH(Assumptions!$C$6,D4300)),Assumptions!$D$6,IF(ISNUMBER(SEARCH(Assumptions!$C$7,D4300)),Assumptions!$D$7,"Other Services"))),"Other Services"))</f>
        <v/>
      </c>
    </row>
    <row r="4301" customFormat="false" ht="15" hidden="false" customHeight="false" outlineLevel="0" collapsed="false">
      <c r="F4301" s="41" t="str">
        <f aca="false">IF(D4301="","",IFERROR(IF(ISNUMBER(SEARCH(Assumptions!$C$5,D4301)),Assumptions!$D$5,IF(ISNUMBER(SEARCH(Assumptions!$C$6,D4301)),Assumptions!$D$6,IF(ISNUMBER(SEARCH(Assumptions!$C$7,D4301)),Assumptions!$D$7,"Other Services"))),"Other Services"))</f>
        <v/>
      </c>
    </row>
    <row r="4302" customFormat="false" ht="15" hidden="false" customHeight="false" outlineLevel="0" collapsed="false">
      <c r="F4302" s="41" t="str">
        <f aca="false">IF(D4302="","",IFERROR(IF(ISNUMBER(SEARCH(Assumptions!$C$5,D4302)),Assumptions!$D$5,IF(ISNUMBER(SEARCH(Assumptions!$C$6,D4302)),Assumptions!$D$6,IF(ISNUMBER(SEARCH(Assumptions!$C$7,D4302)),Assumptions!$D$7,"Other Services"))),"Other Services"))</f>
        <v/>
      </c>
    </row>
    <row r="4303" customFormat="false" ht="15" hidden="false" customHeight="false" outlineLevel="0" collapsed="false">
      <c r="F4303" s="41" t="str">
        <f aca="false">IF(D4303="","",IFERROR(IF(ISNUMBER(SEARCH(Assumptions!$C$5,D4303)),Assumptions!$D$5,IF(ISNUMBER(SEARCH(Assumptions!$C$6,D4303)),Assumptions!$D$6,IF(ISNUMBER(SEARCH(Assumptions!$C$7,D4303)),Assumptions!$D$7,"Other Services"))),"Other Services"))</f>
        <v/>
      </c>
    </row>
    <row r="4304" customFormat="false" ht="15" hidden="false" customHeight="false" outlineLevel="0" collapsed="false">
      <c r="F4304" s="41" t="str">
        <f aca="false">IF(D4304="","",IFERROR(IF(ISNUMBER(SEARCH(Assumptions!$C$5,D4304)),Assumptions!$D$5,IF(ISNUMBER(SEARCH(Assumptions!$C$6,D4304)),Assumptions!$D$6,IF(ISNUMBER(SEARCH(Assumptions!$C$7,D4304)),Assumptions!$D$7,"Other Services"))),"Other Services"))</f>
        <v/>
      </c>
    </row>
    <row r="4305" customFormat="false" ht="15" hidden="false" customHeight="false" outlineLevel="0" collapsed="false">
      <c r="F4305" s="41" t="str">
        <f aca="false">IF(D4305="","",IFERROR(IF(ISNUMBER(SEARCH(Assumptions!$C$5,D4305)),Assumptions!$D$5,IF(ISNUMBER(SEARCH(Assumptions!$C$6,D4305)),Assumptions!$D$6,IF(ISNUMBER(SEARCH(Assumptions!$C$7,D4305)),Assumptions!$D$7,"Other Services"))),"Other Services"))</f>
        <v/>
      </c>
    </row>
    <row r="4306" customFormat="false" ht="15" hidden="false" customHeight="false" outlineLevel="0" collapsed="false">
      <c r="F4306" s="41" t="str">
        <f aca="false">IF(D4306="","",IFERROR(IF(ISNUMBER(SEARCH(Assumptions!$C$5,D4306)),Assumptions!$D$5,IF(ISNUMBER(SEARCH(Assumptions!$C$6,D4306)),Assumptions!$D$6,IF(ISNUMBER(SEARCH(Assumptions!$C$7,D4306)),Assumptions!$D$7,"Other Services"))),"Other Services"))</f>
        <v/>
      </c>
    </row>
    <row r="4307" customFormat="false" ht="15" hidden="false" customHeight="false" outlineLevel="0" collapsed="false">
      <c r="F4307" s="41" t="str">
        <f aca="false">IF(D4307="","",IFERROR(IF(ISNUMBER(SEARCH(Assumptions!$C$5,D4307)),Assumptions!$D$5,IF(ISNUMBER(SEARCH(Assumptions!$C$6,D4307)),Assumptions!$D$6,IF(ISNUMBER(SEARCH(Assumptions!$C$7,D4307)),Assumptions!$D$7,"Other Services"))),"Other Services"))</f>
        <v/>
      </c>
    </row>
    <row r="4308" customFormat="false" ht="15" hidden="false" customHeight="false" outlineLevel="0" collapsed="false">
      <c r="F4308" s="41" t="str">
        <f aca="false">IF(D4308="","",IFERROR(IF(ISNUMBER(SEARCH(Assumptions!$C$5,D4308)),Assumptions!$D$5,IF(ISNUMBER(SEARCH(Assumptions!$C$6,D4308)),Assumptions!$D$6,IF(ISNUMBER(SEARCH(Assumptions!$C$7,D4308)),Assumptions!$D$7,"Other Services"))),"Other Services"))</f>
        <v/>
      </c>
    </row>
    <row r="4309" customFormat="false" ht="15" hidden="false" customHeight="false" outlineLevel="0" collapsed="false">
      <c r="F4309" s="41" t="str">
        <f aca="false">IF(D4309="","",IFERROR(IF(ISNUMBER(SEARCH(Assumptions!$C$5,D4309)),Assumptions!$D$5,IF(ISNUMBER(SEARCH(Assumptions!$C$6,D4309)),Assumptions!$D$6,IF(ISNUMBER(SEARCH(Assumptions!$C$7,D4309)),Assumptions!$D$7,"Other Services"))),"Other Services"))</f>
        <v/>
      </c>
    </row>
    <row r="4310" customFormat="false" ht="15" hidden="false" customHeight="false" outlineLevel="0" collapsed="false">
      <c r="F4310" s="41" t="str">
        <f aca="false">IF(D4310="","",IFERROR(IF(ISNUMBER(SEARCH(Assumptions!$C$5,D4310)),Assumptions!$D$5,IF(ISNUMBER(SEARCH(Assumptions!$C$6,D4310)),Assumptions!$D$6,IF(ISNUMBER(SEARCH(Assumptions!$C$7,D4310)),Assumptions!$D$7,"Other Services"))),"Other Services"))</f>
        <v/>
      </c>
    </row>
    <row r="4311" customFormat="false" ht="15" hidden="false" customHeight="false" outlineLevel="0" collapsed="false">
      <c r="F4311" s="41" t="str">
        <f aca="false">IF(D4311="","",IFERROR(IF(ISNUMBER(SEARCH(Assumptions!$C$5,D4311)),Assumptions!$D$5,IF(ISNUMBER(SEARCH(Assumptions!$C$6,D4311)),Assumptions!$D$6,IF(ISNUMBER(SEARCH(Assumptions!$C$7,D4311)),Assumptions!$D$7,"Other Services"))),"Other Services"))</f>
        <v/>
      </c>
    </row>
    <row r="4312" customFormat="false" ht="15" hidden="false" customHeight="false" outlineLevel="0" collapsed="false">
      <c r="F4312" s="41" t="str">
        <f aca="false">IF(D4312="","",IFERROR(IF(ISNUMBER(SEARCH(Assumptions!$C$5,D4312)),Assumptions!$D$5,IF(ISNUMBER(SEARCH(Assumptions!$C$6,D4312)),Assumptions!$D$6,IF(ISNUMBER(SEARCH(Assumptions!$C$7,D4312)),Assumptions!$D$7,"Other Services"))),"Other Services"))</f>
        <v/>
      </c>
    </row>
    <row r="4313" customFormat="false" ht="15" hidden="false" customHeight="false" outlineLevel="0" collapsed="false">
      <c r="F4313" s="41" t="str">
        <f aca="false">IF(D4313="","",IFERROR(IF(ISNUMBER(SEARCH(Assumptions!$C$5,D4313)),Assumptions!$D$5,IF(ISNUMBER(SEARCH(Assumptions!$C$6,D4313)),Assumptions!$D$6,IF(ISNUMBER(SEARCH(Assumptions!$C$7,D4313)),Assumptions!$D$7,"Other Services"))),"Other Services"))</f>
        <v/>
      </c>
    </row>
    <row r="4314" customFormat="false" ht="15" hidden="false" customHeight="false" outlineLevel="0" collapsed="false">
      <c r="F4314" s="41" t="str">
        <f aca="false">IF(D4314="","",IFERROR(IF(ISNUMBER(SEARCH(Assumptions!$C$5,D4314)),Assumptions!$D$5,IF(ISNUMBER(SEARCH(Assumptions!$C$6,D4314)),Assumptions!$D$6,IF(ISNUMBER(SEARCH(Assumptions!$C$7,D4314)),Assumptions!$D$7,"Other Services"))),"Other Services"))</f>
        <v/>
      </c>
    </row>
    <row r="4315" customFormat="false" ht="15" hidden="false" customHeight="false" outlineLevel="0" collapsed="false">
      <c r="F4315" s="41" t="str">
        <f aca="false">IF(D4315="","",IFERROR(IF(ISNUMBER(SEARCH(Assumptions!$C$5,D4315)),Assumptions!$D$5,IF(ISNUMBER(SEARCH(Assumptions!$C$6,D4315)),Assumptions!$D$6,IF(ISNUMBER(SEARCH(Assumptions!$C$7,D4315)),Assumptions!$D$7,"Other Services"))),"Other Services"))</f>
        <v/>
      </c>
    </row>
    <row r="4316" customFormat="false" ht="15" hidden="false" customHeight="false" outlineLevel="0" collapsed="false">
      <c r="F4316" s="41" t="str">
        <f aca="false">IF(D4316="","",IFERROR(IF(ISNUMBER(SEARCH(Assumptions!$C$5,D4316)),Assumptions!$D$5,IF(ISNUMBER(SEARCH(Assumptions!$C$6,D4316)),Assumptions!$D$6,IF(ISNUMBER(SEARCH(Assumptions!$C$7,D4316)),Assumptions!$D$7,"Other Services"))),"Other Services"))</f>
        <v/>
      </c>
    </row>
    <row r="4317" customFormat="false" ht="15" hidden="false" customHeight="false" outlineLevel="0" collapsed="false">
      <c r="F4317" s="41" t="str">
        <f aca="false">IF(D4317="","",IFERROR(IF(ISNUMBER(SEARCH(Assumptions!$C$5,D4317)),Assumptions!$D$5,IF(ISNUMBER(SEARCH(Assumptions!$C$6,D4317)),Assumptions!$D$6,IF(ISNUMBER(SEARCH(Assumptions!$C$7,D4317)),Assumptions!$D$7,"Other Services"))),"Other Services"))</f>
        <v/>
      </c>
    </row>
    <row r="4318" customFormat="false" ht="15" hidden="false" customHeight="false" outlineLevel="0" collapsed="false">
      <c r="F4318" s="41" t="str">
        <f aca="false">IF(D4318="","",IFERROR(IF(ISNUMBER(SEARCH(Assumptions!$C$5,D4318)),Assumptions!$D$5,IF(ISNUMBER(SEARCH(Assumptions!$C$6,D4318)),Assumptions!$D$6,IF(ISNUMBER(SEARCH(Assumptions!$C$7,D4318)),Assumptions!$D$7,"Other Services"))),"Other Services"))</f>
        <v/>
      </c>
    </row>
    <row r="4319" customFormat="false" ht="15" hidden="false" customHeight="false" outlineLevel="0" collapsed="false">
      <c r="F4319" s="41" t="str">
        <f aca="false">IF(D4319="","",IFERROR(IF(ISNUMBER(SEARCH(Assumptions!$C$5,D4319)),Assumptions!$D$5,IF(ISNUMBER(SEARCH(Assumptions!$C$6,D4319)),Assumptions!$D$6,IF(ISNUMBER(SEARCH(Assumptions!$C$7,D4319)),Assumptions!$D$7,"Other Services"))),"Other Services"))</f>
        <v/>
      </c>
    </row>
    <row r="4320" customFormat="false" ht="15" hidden="false" customHeight="false" outlineLevel="0" collapsed="false">
      <c r="F4320" s="41" t="str">
        <f aca="false">IF(D4320="","",IFERROR(IF(ISNUMBER(SEARCH(Assumptions!$C$5,D4320)),Assumptions!$D$5,IF(ISNUMBER(SEARCH(Assumptions!$C$6,D4320)),Assumptions!$D$6,IF(ISNUMBER(SEARCH(Assumptions!$C$7,D4320)),Assumptions!$D$7,"Other Services"))),"Other Services"))</f>
        <v/>
      </c>
    </row>
    <row r="4321" customFormat="false" ht="15" hidden="false" customHeight="false" outlineLevel="0" collapsed="false">
      <c r="F4321" s="41" t="str">
        <f aca="false">IF(D4321="","",IFERROR(IF(ISNUMBER(SEARCH(Assumptions!$C$5,D4321)),Assumptions!$D$5,IF(ISNUMBER(SEARCH(Assumptions!$C$6,D4321)),Assumptions!$D$6,IF(ISNUMBER(SEARCH(Assumptions!$C$7,D4321)),Assumptions!$D$7,"Other Services"))),"Other Services"))</f>
        <v/>
      </c>
    </row>
    <row r="4322" customFormat="false" ht="15" hidden="false" customHeight="false" outlineLevel="0" collapsed="false">
      <c r="F4322" s="41" t="str">
        <f aca="false">IF(D4322="","",IFERROR(IF(ISNUMBER(SEARCH(Assumptions!$C$5,D4322)),Assumptions!$D$5,IF(ISNUMBER(SEARCH(Assumptions!$C$6,D4322)),Assumptions!$D$6,IF(ISNUMBER(SEARCH(Assumptions!$C$7,D4322)),Assumptions!$D$7,"Other Services"))),"Other Services"))</f>
        <v/>
      </c>
    </row>
    <row r="4323" customFormat="false" ht="15" hidden="false" customHeight="false" outlineLevel="0" collapsed="false">
      <c r="F4323" s="41" t="str">
        <f aca="false">IF(D4323="","",IFERROR(IF(ISNUMBER(SEARCH(Assumptions!$C$5,D4323)),Assumptions!$D$5,IF(ISNUMBER(SEARCH(Assumptions!$C$6,D4323)),Assumptions!$D$6,IF(ISNUMBER(SEARCH(Assumptions!$C$7,D4323)),Assumptions!$D$7,"Other Services"))),"Other Services"))</f>
        <v/>
      </c>
    </row>
    <row r="4324" customFormat="false" ht="15" hidden="false" customHeight="false" outlineLevel="0" collapsed="false">
      <c r="F4324" s="41" t="str">
        <f aca="false">IF(D4324="","",IFERROR(IF(ISNUMBER(SEARCH(Assumptions!$C$5,D4324)),Assumptions!$D$5,IF(ISNUMBER(SEARCH(Assumptions!$C$6,D4324)),Assumptions!$D$6,IF(ISNUMBER(SEARCH(Assumptions!$C$7,D4324)),Assumptions!$D$7,"Other Services"))),"Other Services"))</f>
        <v/>
      </c>
    </row>
    <row r="4325" customFormat="false" ht="15" hidden="false" customHeight="false" outlineLevel="0" collapsed="false">
      <c r="F4325" s="41" t="str">
        <f aca="false">IF(D4325="","",IFERROR(IF(ISNUMBER(SEARCH(Assumptions!$C$5,D4325)),Assumptions!$D$5,IF(ISNUMBER(SEARCH(Assumptions!$C$6,D4325)),Assumptions!$D$6,IF(ISNUMBER(SEARCH(Assumptions!$C$7,D4325)),Assumptions!$D$7,"Other Services"))),"Other Services"))</f>
        <v/>
      </c>
    </row>
    <row r="4326" customFormat="false" ht="15" hidden="false" customHeight="false" outlineLevel="0" collapsed="false">
      <c r="F4326" s="41" t="str">
        <f aca="false">IF(D4326="","",IFERROR(IF(ISNUMBER(SEARCH(Assumptions!$C$5,D4326)),Assumptions!$D$5,IF(ISNUMBER(SEARCH(Assumptions!$C$6,D4326)),Assumptions!$D$6,IF(ISNUMBER(SEARCH(Assumptions!$C$7,D4326)),Assumptions!$D$7,"Other Services"))),"Other Services"))</f>
        <v/>
      </c>
    </row>
    <row r="4327" customFormat="false" ht="15" hidden="false" customHeight="false" outlineLevel="0" collapsed="false">
      <c r="F4327" s="41" t="str">
        <f aca="false">IF(D4327="","",IFERROR(IF(ISNUMBER(SEARCH(Assumptions!$C$5,D4327)),Assumptions!$D$5,IF(ISNUMBER(SEARCH(Assumptions!$C$6,D4327)),Assumptions!$D$6,IF(ISNUMBER(SEARCH(Assumptions!$C$7,D4327)),Assumptions!$D$7,"Other Services"))),"Other Services"))</f>
        <v/>
      </c>
    </row>
    <row r="4328" customFormat="false" ht="15" hidden="false" customHeight="false" outlineLevel="0" collapsed="false">
      <c r="F4328" s="41" t="str">
        <f aca="false">IF(D4328="","",IFERROR(IF(ISNUMBER(SEARCH(Assumptions!$C$5,D4328)),Assumptions!$D$5,IF(ISNUMBER(SEARCH(Assumptions!$C$6,D4328)),Assumptions!$D$6,IF(ISNUMBER(SEARCH(Assumptions!$C$7,D4328)),Assumptions!$D$7,"Other Services"))),"Other Services"))</f>
        <v/>
      </c>
    </row>
    <row r="4329" customFormat="false" ht="15" hidden="false" customHeight="false" outlineLevel="0" collapsed="false">
      <c r="F4329" s="41" t="str">
        <f aca="false">IF(D4329="","",IFERROR(IF(ISNUMBER(SEARCH(Assumptions!$C$5,D4329)),Assumptions!$D$5,IF(ISNUMBER(SEARCH(Assumptions!$C$6,D4329)),Assumptions!$D$6,IF(ISNUMBER(SEARCH(Assumptions!$C$7,D4329)),Assumptions!$D$7,"Other Services"))),"Other Services"))</f>
        <v/>
      </c>
    </row>
    <row r="4330" customFormat="false" ht="15" hidden="false" customHeight="false" outlineLevel="0" collapsed="false">
      <c r="F4330" s="41" t="str">
        <f aca="false">IF(D4330="","",IFERROR(IF(ISNUMBER(SEARCH(Assumptions!$C$5,D4330)),Assumptions!$D$5,IF(ISNUMBER(SEARCH(Assumptions!$C$6,D4330)),Assumptions!$D$6,IF(ISNUMBER(SEARCH(Assumptions!$C$7,D4330)),Assumptions!$D$7,"Other Services"))),"Other Services"))</f>
        <v/>
      </c>
    </row>
    <row r="4331" customFormat="false" ht="15" hidden="false" customHeight="false" outlineLevel="0" collapsed="false">
      <c r="F4331" s="41" t="str">
        <f aca="false">IF(D4331="","",IFERROR(IF(ISNUMBER(SEARCH(Assumptions!$C$5,D4331)),Assumptions!$D$5,IF(ISNUMBER(SEARCH(Assumptions!$C$6,D4331)),Assumptions!$D$6,IF(ISNUMBER(SEARCH(Assumptions!$C$7,D4331)),Assumptions!$D$7,"Other Services"))),"Other Services"))</f>
        <v/>
      </c>
    </row>
    <row r="4332" customFormat="false" ht="15" hidden="false" customHeight="false" outlineLevel="0" collapsed="false">
      <c r="F4332" s="41" t="str">
        <f aca="false">IF(D4332="","",IFERROR(IF(ISNUMBER(SEARCH(Assumptions!$C$5,D4332)),Assumptions!$D$5,IF(ISNUMBER(SEARCH(Assumptions!$C$6,D4332)),Assumptions!$D$6,IF(ISNUMBER(SEARCH(Assumptions!$C$7,D4332)),Assumptions!$D$7,"Other Services"))),"Other Services"))</f>
        <v/>
      </c>
    </row>
    <row r="4333" customFormat="false" ht="15" hidden="false" customHeight="false" outlineLevel="0" collapsed="false">
      <c r="F4333" s="41" t="str">
        <f aca="false">IF(D4333="","",IFERROR(IF(ISNUMBER(SEARCH(Assumptions!$C$5,D4333)),Assumptions!$D$5,IF(ISNUMBER(SEARCH(Assumptions!$C$6,D4333)),Assumptions!$D$6,IF(ISNUMBER(SEARCH(Assumptions!$C$7,D4333)),Assumptions!$D$7,"Other Services"))),"Other Services"))</f>
        <v/>
      </c>
    </row>
    <row r="4334" customFormat="false" ht="15" hidden="false" customHeight="false" outlineLevel="0" collapsed="false">
      <c r="F4334" s="41" t="str">
        <f aca="false">IF(D4334="","",IFERROR(IF(ISNUMBER(SEARCH(Assumptions!$C$5,D4334)),Assumptions!$D$5,IF(ISNUMBER(SEARCH(Assumptions!$C$6,D4334)),Assumptions!$D$6,IF(ISNUMBER(SEARCH(Assumptions!$C$7,D4334)),Assumptions!$D$7,"Other Services"))),"Other Services"))</f>
        <v/>
      </c>
    </row>
    <row r="4335" customFormat="false" ht="15" hidden="false" customHeight="false" outlineLevel="0" collapsed="false">
      <c r="F4335" s="41" t="str">
        <f aca="false">IF(D4335="","",IFERROR(IF(ISNUMBER(SEARCH(Assumptions!$C$5,D4335)),Assumptions!$D$5,IF(ISNUMBER(SEARCH(Assumptions!$C$6,D4335)),Assumptions!$D$6,IF(ISNUMBER(SEARCH(Assumptions!$C$7,D4335)),Assumptions!$D$7,"Other Services"))),"Other Services"))</f>
        <v/>
      </c>
    </row>
    <row r="4336" customFormat="false" ht="15" hidden="false" customHeight="false" outlineLevel="0" collapsed="false">
      <c r="F4336" s="41" t="str">
        <f aca="false">IF(D4336="","",IFERROR(IF(ISNUMBER(SEARCH(Assumptions!$C$5,D4336)),Assumptions!$D$5,IF(ISNUMBER(SEARCH(Assumptions!$C$6,D4336)),Assumptions!$D$6,IF(ISNUMBER(SEARCH(Assumptions!$C$7,D4336)),Assumptions!$D$7,"Other Services"))),"Other Services"))</f>
        <v/>
      </c>
    </row>
    <row r="4337" customFormat="false" ht="15" hidden="false" customHeight="false" outlineLevel="0" collapsed="false">
      <c r="F4337" s="41" t="str">
        <f aca="false">IF(D4337="","",IFERROR(IF(ISNUMBER(SEARCH(Assumptions!$C$5,D4337)),Assumptions!$D$5,IF(ISNUMBER(SEARCH(Assumptions!$C$6,D4337)),Assumptions!$D$6,IF(ISNUMBER(SEARCH(Assumptions!$C$7,D4337)),Assumptions!$D$7,"Other Services"))),"Other Services"))</f>
        <v/>
      </c>
    </row>
    <row r="4338" customFormat="false" ht="15" hidden="false" customHeight="false" outlineLevel="0" collapsed="false">
      <c r="F4338" s="41" t="str">
        <f aca="false">IF(D4338="","",IFERROR(IF(ISNUMBER(SEARCH(Assumptions!$C$5,D4338)),Assumptions!$D$5,IF(ISNUMBER(SEARCH(Assumptions!$C$6,D4338)),Assumptions!$D$6,IF(ISNUMBER(SEARCH(Assumptions!$C$7,D4338)),Assumptions!$D$7,"Other Services"))),"Other Services"))</f>
        <v/>
      </c>
    </row>
    <row r="4339" customFormat="false" ht="15" hidden="false" customHeight="false" outlineLevel="0" collapsed="false">
      <c r="F4339" s="41" t="str">
        <f aca="false">IF(D4339="","",IFERROR(IF(ISNUMBER(SEARCH(Assumptions!$C$5,D4339)),Assumptions!$D$5,IF(ISNUMBER(SEARCH(Assumptions!$C$6,D4339)),Assumptions!$D$6,IF(ISNUMBER(SEARCH(Assumptions!$C$7,D4339)),Assumptions!$D$7,"Other Services"))),"Other Services"))</f>
        <v/>
      </c>
    </row>
    <row r="4340" customFormat="false" ht="15" hidden="false" customHeight="false" outlineLevel="0" collapsed="false">
      <c r="F4340" s="41" t="str">
        <f aca="false">IF(D4340="","",IFERROR(IF(ISNUMBER(SEARCH(Assumptions!$C$5,D4340)),Assumptions!$D$5,IF(ISNUMBER(SEARCH(Assumptions!$C$6,D4340)),Assumptions!$D$6,IF(ISNUMBER(SEARCH(Assumptions!$C$7,D4340)),Assumptions!$D$7,"Other Services"))),"Other Services"))</f>
        <v/>
      </c>
    </row>
    <row r="4341" customFormat="false" ht="15" hidden="false" customHeight="false" outlineLevel="0" collapsed="false">
      <c r="F4341" s="41" t="str">
        <f aca="false">IF(D4341="","",IFERROR(IF(ISNUMBER(SEARCH(Assumptions!$C$5,D4341)),Assumptions!$D$5,IF(ISNUMBER(SEARCH(Assumptions!$C$6,D4341)),Assumptions!$D$6,IF(ISNUMBER(SEARCH(Assumptions!$C$7,D4341)),Assumptions!$D$7,"Other Services"))),"Other Services"))</f>
        <v/>
      </c>
    </row>
    <row r="4342" customFormat="false" ht="15" hidden="false" customHeight="false" outlineLevel="0" collapsed="false">
      <c r="F4342" s="41" t="str">
        <f aca="false">IF(D4342="","",IFERROR(IF(ISNUMBER(SEARCH(Assumptions!$C$5,D4342)),Assumptions!$D$5,IF(ISNUMBER(SEARCH(Assumptions!$C$6,D4342)),Assumptions!$D$6,IF(ISNUMBER(SEARCH(Assumptions!$C$7,D4342)),Assumptions!$D$7,"Other Services"))),"Other Services"))</f>
        <v/>
      </c>
    </row>
    <row r="4343" customFormat="false" ht="15" hidden="false" customHeight="false" outlineLevel="0" collapsed="false">
      <c r="F4343" s="41" t="str">
        <f aca="false">IF(D4343="","",IFERROR(IF(ISNUMBER(SEARCH(Assumptions!$C$5,D4343)),Assumptions!$D$5,IF(ISNUMBER(SEARCH(Assumptions!$C$6,D4343)),Assumptions!$D$6,IF(ISNUMBER(SEARCH(Assumptions!$C$7,D4343)),Assumptions!$D$7,"Other Services"))),"Other Services"))</f>
        <v/>
      </c>
    </row>
    <row r="4344" customFormat="false" ht="15" hidden="false" customHeight="false" outlineLevel="0" collapsed="false">
      <c r="F4344" s="41" t="str">
        <f aca="false">IF(D4344="","",IFERROR(IF(ISNUMBER(SEARCH(Assumptions!$C$5,D4344)),Assumptions!$D$5,IF(ISNUMBER(SEARCH(Assumptions!$C$6,D4344)),Assumptions!$D$6,IF(ISNUMBER(SEARCH(Assumptions!$C$7,D4344)),Assumptions!$D$7,"Other Services"))),"Other Services"))</f>
        <v/>
      </c>
    </row>
    <row r="4345" customFormat="false" ht="15" hidden="false" customHeight="false" outlineLevel="0" collapsed="false">
      <c r="F4345" s="41" t="str">
        <f aca="false">IF(D4345="","",IFERROR(IF(ISNUMBER(SEARCH(Assumptions!$C$5,D4345)),Assumptions!$D$5,IF(ISNUMBER(SEARCH(Assumptions!$C$6,D4345)),Assumptions!$D$6,IF(ISNUMBER(SEARCH(Assumptions!$C$7,D4345)),Assumptions!$D$7,"Other Services"))),"Other Services"))</f>
        <v/>
      </c>
    </row>
    <row r="4346" customFormat="false" ht="15" hidden="false" customHeight="false" outlineLevel="0" collapsed="false">
      <c r="F4346" s="41" t="str">
        <f aca="false">IF(D4346="","",IFERROR(IF(ISNUMBER(SEARCH(Assumptions!$C$5,D4346)),Assumptions!$D$5,IF(ISNUMBER(SEARCH(Assumptions!$C$6,D4346)),Assumptions!$D$6,IF(ISNUMBER(SEARCH(Assumptions!$C$7,D4346)),Assumptions!$D$7,"Other Services"))),"Other Services"))</f>
        <v/>
      </c>
    </row>
    <row r="4347" customFormat="false" ht="15" hidden="false" customHeight="false" outlineLevel="0" collapsed="false">
      <c r="F4347" s="41" t="str">
        <f aca="false">IF(D4347="","",IFERROR(IF(ISNUMBER(SEARCH(Assumptions!$C$5,D4347)),Assumptions!$D$5,IF(ISNUMBER(SEARCH(Assumptions!$C$6,D4347)),Assumptions!$D$6,IF(ISNUMBER(SEARCH(Assumptions!$C$7,D4347)),Assumptions!$D$7,"Other Services"))),"Other Services"))</f>
        <v/>
      </c>
    </row>
    <row r="4348" customFormat="false" ht="15" hidden="false" customHeight="false" outlineLevel="0" collapsed="false">
      <c r="F4348" s="41" t="str">
        <f aca="false">IF(D4348="","",IFERROR(IF(ISNUMBER(SEARCH(Assumptions!$C$5,D4348)),Assumptions!$D$5,IF(ISNUMBER(SEARCH(Assumptions!$C$6,D4348)),Assumptions!$D$6,IF(ISNUMBER(SEARCH(Assumptions!$C$7,D4348)),Assumptions!$D$7,"Other Services"))),"Other Services"))</f>
        <v/>
      </c>
    </row>
    <row r="4349" customFormat="false" ht="15" hidden="false" customHeight="false" outlineLevel="0" collapsed="false">
      <c r="F4349" s="41" t="str">
        <f aca="false">IF(D4349="","",IFERROR(IF(ISNUMBER(SEARCH(Assumptions!$C$5,D4349)),Assumptions!$D$5,IF(ISNUMBER(SEARCH(Assumptions!$C$6,D4349)),Assumptions!$D$6,IF(ISNUMBER(SEARCH(Assumptions!$C$7,D4349)),Assumptions!$D$7,"Other Services"))),"Other Services"))</f>
        <v/>
      </c>
    </row>
    <row r="4350" customFormat="false" ht="15" hidden="false" customHeight="false" outlineLevel="0" collapsed="false">
      <c r="F4350" s="41" t="str">
        <f aca="false">IF(D4350="","",IFERROR(IF(ISNUMBER(SEARCH(Assumptions!$C$5,D4350)),Assumptions!$D$5,IF(ISNUMBER(SEARCH(Assumptions!$C$6,D4350)),Assumptions!$D$6,IF(ISNUMBER(SEARCH(Assumptions!$C$7,D4350)),Assumptions!$D$7,"Other Services"))),"Other Services"))</f>
        <v/>
      </c>
    </row>
    <row r="4351" customFormat="false" ht="15" hidden="false" customHeight="false" outlineLevel="0" collapsed="false">
      <c r="F4351" s="41" t="str">
        <f aca="false">IF(D4351="","",IFERROR(IF(ISNUMBER(SEARCH(Assumptions!$C$5,D4351)),Assumptions!$D$5,IF(ISNUMBER(SEARCH(Assumptions!$C$6,D4351)),Assumptions!$D$6,IF(ISNUMBER(SEARCH(Assumptions!$C$7,D4351)),Assumptions!$D$7,"Other Services"))),"Other Services"))</f>
        <v/>
      </c>
    </row>
    <row r="4352" customFormat="false" ht="15" hidden="false" customHeight="false" outlineLevel="0" collapsed="false">
      <c r="F4352" s="41" t="str">
        <f aca="false">IF(D4352="","",IFERROR(IF(ISNUMBER(SEARCH(Assumptions!$C$5,D4352)),Assumptions!$D$5,IF(ISNUMBER(SEARCH(Assumptions!$C$6,D4352)),Assumptions!$D$6,IF(ISNUMBER(SEARCH(Assumptions!$C$7,D4352)),Assumptions!$D$7,"Other Services"))),"Other Services"))</f>
        <v/>
      </c>
    </row>
    <row r="4353" customFormat="false" ht="15" hidden="false" customHeight="false" outlineLevel="0" collapsed="false">
      <c r="F4353" s="41" t="str">
        <f aca="false">IF(D4353="","",IFERROR(IF(ISNUMBER(SEARCH(Assumptions!$C$5,D4353)),Assumptions!$D$5,IF(ISNUMBER(SEARCH(Assumptions!$C$6,D4353)),Assumptions!$D$6,IF(ISNUMBER(SEARCH(Assumptions!$C$7,D4353)),Assumptions!$D$7,"Other Services"))),"Other Services"))</f>
        <v/>
      </c>
    </row>
    <row r="4354" customFormat="false" ht="15" hidden="false" customHeight="false" outlineLevel="0" collapsed="false">
      <c r="F4354" s="41" t="str">
        <f aca="false">IF(D4354="","",IFERROR(IF(ISNUMBER(SEARCH(Assumptions!$C$5,D4354)),Assumptions!$D$5,IF(ISNUMBER(SEARCH(Assumptions!$C$6,D4354)),Assumptions!$D$6,IF(ISNUMBER(SEARCH(Assumptions!$C$7,D4354)),Assumptions!$D$7,"Other Services"))),"Other Services"))</f>
        <v/>
      </c>
    </row>
    <row r="4355" customFormat="false" ht="15" hidden="false" customHeight="false" outlineLevel="0" collapsed="false">
      <c r="F4355" s="41" t="str">
        <f aca="false">IF(D4355="","",IFERROR(IF(ISNUMBER(SEARCH(Assumptions!$C$5,D4355)),Assumptions!$D$5,IF(ISNUMBER(SEARCH(Assumptions!$C$6,D4355)),Assumptions!$D$6,IF(ISNUMBER(SEARCH(Assumptions!$C$7,D4355)),Assumptions!$D$7,"Other Services"))),"Other Services"))</f>
        <v/>
      </c>
    </row>
    <row r="4356" customFormat="false" ht="15" hidden="false" customHeight="false" outlineLevel="0" collapsed="false">
      <c r="F4356" s="41" t="str">
        <f aca="false">IF(D4356="","",IFERROR(IF(ISNUMBER(SEARCH(Assumptions!$C$5,D4356)),Assumptions!$D$5,IF(ISNUMBER(SEARCH(Assumptions!$C$6,D4356)),Assumptions!$D$6,IF(ISNUMBER(SEARCH(Assumptions!$C$7,D4356)),Assumptions!$D$7,"Other Services"))),"Other Services"))</f>
        <v/>
      </c>
    </row>
    <row r="4357" customFormat="false" ht="15" hidden="false" customHeight="false" outlineLevel="0" collapsed="false">
      <c r="F4357" s="41" t="str">
        <f aca="false">IF(D4357="","",IFERROR(IF(ISNUMBER(SEARCH(Assumptions!$C$5,D4357)),Assumptions!$D$5,IF(ISNUMBER(SEARCH(Assumptions!$C$6,D4357)),Assumptions!$D$6,IF(ISNUMBER(SEARCH(Assumptions!$C$7,D4357)),Assumptions!$D$7,"Other Services"))),"Other Services"))</f>
        <v/>
      </c>
    </row>
    <row r="4358" customFormat="false" ht="15" hidden="false" customHeight="false" outlineLevel="0" collapsed="false">
      <c r="F4358" s="41" t="str">
        <f aca="false">IF(D4358="","",IFERROR(IF(ISNUMBER(SEARCH(Assumptions!$C$5,D4358)),Assumptions!$D$5,IF(ISNUMBER(SEARCH(Assumptions!$C$6,D4358)),Assumptions!$D$6,IF(ISNUMBER(SEARCH(Assumptions!$C$7,D4358)),Assumptions!$D$7,"Other Services"))),"Other Services"))</f>
        <v/>
      </c>
    </row>
    <row r="4359" customFormat="false" ht="15" hidden="false" customHeight="false" outlineLevel="0" collapsed="false">
      <c r="F4359" s="41" t="str">
        <f aca="false">IF(D4359="","",IFERROR(IF(ISNUMBER(SEARCH(Assumptions!$C$5,D4359)),Assumptions!$D$5,IF(ISNUMBER(SEARCH(Assumptions!$C$6,D4359)),Assumptions!$D$6,IF(ISNUMBER(SEARCH(Assumptions!$C$7,D4359)),Assumptions!$D$7,"Other Services"))),"Other Services"))</f>
        <v/>
      </c>
    </row>
    <row r="4360" customFormat="false" ht="15" hidden="false" customHeight="false" outlineLevel="0" collapsed="false">
      <c r="F4360" s="41" t="str">
        <f aca="false">IF(D4360="","",IFERROR(IF(ISNUMBER(SEARCH(Assumptions!$C$5,D4360)),Assumptions!$D$5,IF(ISNUMBER(SEARCH(Assumptions!$C$6,D4360)),Assumptions!$D$6,IF(ISNUMBER(SEARCH(Assumptions!$C$7,D4360)),Assumptions!$D$7,"Other Services"))),"Other Services"))</f>
        <v/>
      </c>
    </row>
    <row r="4361" customFormat="false" ht="15" hidden="false" customHeight="false" outlineLevel="0" collapsed="false">
      <c r="F4361" s="41" t="str">
        <f aca="false">IF(D4361="","",IFERROR(IF(ISNUMBER(SEARCH(Assumptions!$C$5,D4361)),Assumptions!$D$5,IF(ISNUMBER(SEARCH(Assumptions!$C$6,D4361)),Assumptions!$D$6,IF(ISNUMBER(SEARCH(Assumptions!$C$7,D4361)),Assumptions!$D$7,"Other Services"))),"Other Services"))</f>
        <v/>
      </c>
    </row>
    <row r="4362" customFormat="false" ht="15" hidden="false" customHeight="false" outlineLevel="0" collapsed="false">
      <c r="F4362" s="41" t="str">
        <f aca="false">IF(D4362="","",IFERROR(IF(ISNUMBER(SEARCH(Assumptions!$C$5,D4362)),Assumptions!$D$5,IF(ISNUMBER(SEARCH(Assumptions!$C$6,D4362)),Assumptions!$D$6,IF(ISNUMBER(SEARCH(Assumptions!$C$7,D4362)),Assumptions!$D$7,"Other Services"))),"Other Services"))</f>
        <v/>
      </c>
    </row>
    <row r="4363" customFormat="false" ht="15" hidden="false" customHeight="false" outlineLevel="0" collapsed="false">
      <c r="F4363" s="41" t="str">
        <f aca="false">IF(D4363="","",IFERROR(IF(ISNUMBER(SEARCH(Assumptions!$C$5,D4363)),Assumptions!$D$5,IF(ISNUMBER(SEARCH(Assumptions!$C$6,D4363)),Assumptions!$D$6,IF(ISNUMBER(SEARCH(Assumptions!$C$7,D4363)),Assumptions!$D$7,"Other Services"))),"Other Services"))</f>
        <v/>
      </c>
    </row>
    <row r="4364" customFormat="false" ht="15" hidden="false" customHeight="false" outlineLevel="0" collapsed="false">
      <c r="F4364" s="41" t="str">
        <f aca="false">IF(D4364="","",IFERROR(IF(ISNUMBER(SEARCH(Assumptions!$C$5,D4364)),Assumptions!$D$5,IF(ISNUMBER(SEARCH(Assumptions!$C$6,D4364)),Assumptions!$D$6,IF(ISNUMBER(SEARCH(Assumptions!$C$7,D4364)),Assumptions!$D$7,"Other Services"))),"Other Services"))</f>
        <v/>
      </c>
    </row>
    <row r="4365" customFormat="false" ht="15" hidden="false" customHeight="false" outlineLevel="0" collapsed="false">
      <c r="F4365" s="41" t="str">
        <f aca="false">IF(D4365="","",IFERROR(IF(ISNUMBER(SEARCH(Assumptions!$C$5,D4365)),Assumptions!$D$5,IF(ISNUMBER(SEARCH(Assumptions!$C$6,D4365)),Assumptions!$D$6,IF(ISNUMBER(SEARCH(Assumptions!$C$7,D4365)),Assumptions!$D$7,"Other Services"))),"Other Services"))</f>
        <v/>
      </c>
    </row>
    <row r="4366" customFormat="false" ht="15" hidden="false" customHeight="false" outlineLevel="0" collapsed="false">
      <c r="F4366" s="41" t="str">
        <f aca="false">IF(D4366="","",IFERROR(IF(ISNUMBER(SEARCH(Assumptions!$C$5,D4366)),Assumptions!$D$5,IF(ISNUMBER(SEARCH(Assumptions!$C$6,D4366)),Assumptions!$D$6,IF(ISNUMBER(SEARCH(Assumptions!$C$7,D4366)),Assumptions!$D$7,"Other Services"))),"Other Services"))</f>
        <v/>
      </c>
    </row>
    <row r="4367" customFormat="false" ht="15" hidden="false" customHeight="false" outlineLevel="0" collapsed="false">
      <c r="F4367" s="41" t="str">
        <f aca="false">IF(D4367="","",IFERROR(IF(ISNUMBER(SEARCH(Assumptions!$C$5,D4367)),Assumptions!$D$5,IF(ISNUMBER(SEARCH(Assumptions!$C$6,D4367)),Assumptions!$D$6,IF(ISNUMBER(SEARCH(Assumptions!$C$7,D4367)),Assumptions!$D$7,"Other Services"))),"Other Services"))</f>
        <v/>
      </c>
    </row>
    <row r="4368" customFormat="false" ht="15" hidden="false" customHeight="false" outlineLevel="0" collapsed="false">
      <c r="F4368" s="41" t="str">
        <f aca="false">IF(D4368="","",IFERROR(IF(ISNUMBER(SEARCH(Assumptions!$C$5,D4368)),Assumptions!$D$5,IF(ISNUMBER(SEARCH(Assumptions!$C$6,D4368)),Assumptions!$D$6,IF(ISNUMBER(SEARCH(Assumptions!$C$7,D4368)),Assumptions!$D$7,"Other Services"))),"Other Services"))</f>
        <v/>
      </c>
    </row>
    <row r="4369" customFormat="false" ht="15" hidden="false" customHeight="false" outlineLevel="0" collapsed="false">
      <c r="F4369" s="41" t="str">
        <f aca="false">IF(D4369="","",IFERROR(IF(ISNUMBER(SEARCH(Assumptions!$C$5,D4369)),Assumptions!$D$5,IF(ISNUMBER(SEARCH(Assumptions!$C$6,D4369)),Assumptions!$D$6,IF(ISNUMBER(SEARCH(Assumptions!$C$7,D4369)),Assumptions!$D$7,"Other Services"))),"Other Services"))</f>
        <v/>
      </c>
    </row>
    <row r="4370" customFormat="false" ht="15" hidden="false" customHeight="false" outlineLevel="0" collapsed="false">
      <c r="F4370" s="41" t="str">
        <f aca="false">IF(D4370="","",IFERROR(IF(ISNUMBER(SEARCH(Assumptions!$C$5,D4370)),Assumptions!$D$5,IF(ISNUMBER(SEARCH(Assumptions!$C$6,D4370)),Assumptions!$D$6,IF(ISNUMBER(SEARCH(Assumptions!$C$7,D4370)),Assumptions!$D$7,"Other Services"))),"Other Services"))</f>
        <v/>
      </c>
    </row>
    <row r="4371" customFormat="false" ht="15" hidden="false" customHeight="false" outlineLevel="0" collapsed="false">
      <c r="F4371" s="41" t="str">
        <f aca="false">IF(D4371="","",IFERROR(IF(ISNUMBER(SEARCH(Assumptions!$C$5,D4371)),Assumptions!$D$5,IF(ISNUMBER(SEARCH(Assumptions!$C$6,D4371)),Assumptions!$D$6,IF(ISNUMBER(SEARCH(Assumptions!$C$7,D4371)),Assumptions!$D$7,"Other Services"))),"Other Services"))</f>
        <v/>
      </c>
    </row>
    <row r="4372" customFormat="false" ht="15" hidden="false" customHeight="false" outlineLevel="0" collapsed="false">
      <c r="F4372" s="41" t="str">
        <f aca="false">IF(D4372="","",IFERROR(IF(ISNUMBER(SEARCH(Assumptions!$C$5,D4372)),Assumptions!$D$5,IF(ISNUMBER(SEARCH(Assumptions!$C$6,D4372)),Assumptions!$D$6,IF(ISNUMBER(SEARCH(Assumptions!$C$7,D4372)),Assumptions!$D$7,"Other Services"))),"Other Services"))</f>
        <v/>
      </c>
    </row>
    <row r="4373" customFormat="false" ht="15" hidden="false" customHeight="false" outlineLevel="0" collapsed="false">
      <c r="F4373" s="41" t="str">
        <f aca="false">IF(D4373="","",IFERROR(IF(ISNUMBER(SEARCH(Assumptions!$C$5,D4373)),Assumptions!$D$5,IF(ISNUMBER(SEARCH(Assumptions!$C$6,D4373)),Assumptions!$D$6,IF(ISNUMBER(SEARCH(Assumptions!$C$7,D4373)),Assumptions!$D$7,"Other Services"))),"Other Services"))</f>
        <v/>
      </c>
    </row>
    <row r="4374" customFormat="false" ht="15" hidden="false" customHeight="false" outlineLevel="0" collapsed="false">
      <c r="F4374" s="41" t="str">
        <f aca="false">IF(D4374="","",IFERROR(IF(ISNUMBER(SEARCH(Assumptions!$C$5,D4374)),Assumptions!$D$5,IF(ISNUMBER(SEARCH(Assumptions!$C$6,D4374)),Assumptions!$D$6,IF(ISNUMBER(SEARCH(Assumptions!$C$7,D4374)),Assumptions!$D$7,"Other Services"))),"Other Services"))</f>
        <v/>
      </c>
    </row>
    <row r="4375" customFormat="false" ht="15" hidden="false" customHeight="false" outlineLevel="0" collapsed="false">
      <c r="F4375" s="41" t="str">
        <f aca="false">IF(D4375="","",IFERROR(IF(ISNUMBER(SEARCH(Assumptions!$C$5,D4375)),Assumptions!$D$5,IF(ISNUMBER(SEARCH(Assumptions!$C$6,D4375)),Assumptions!$D$6,IF(ISNUMBER(SEARCH(Assumptions!$C$7,D4375)),Assumptions!$D$7,"Other Services"))),"Other Services"))</f>
        <v/>
      </c>
    </row>
    <row r="4376" customFormat="false" ht="15" hidden="false" customHeight="false" outlineLevel="0" collapsed="false">
      <c r="F4376" s="41" t="str">
        <f aca="false">IF(D4376="","",IFERROR(IF(ISNUMBER(SEARCH(Assumptions!$C$5,D4376)),Assumptions!$D$5,IF(ISNUMBER(SEARCH(Assumptions!$C$6,D4376)),Assumptions!$D$6,IF(ISNUMBER(SEARCH(Assumptions!$C$7,D4376)),Assumptions!$D$7,"Other Services"))),"Other Services"))</f>
        <v/>
      </c>
    </row>
    <row r="4377" customFormat="false" ht="15" hidden="false" customHeight="false" outlineLevel="0" collapsed="false">
      <c r="F4377" s="41" t="str">
        <f aca="false">IF(D4377="","",IFERROR(IF(ISNUMBER(SEARCH(Assumptions!$C$5,D4377)),Assumptions!$D$5,IF(ISNUMBER(SEARCH(Assumptions!$C$6,D4377)),Assumptions!$D$6,IF(ISNUMBER(SEARCH(Assumptions!$C$7,D4377)),Assumptions!$D$7,"Other Services"))),"Other Services"))</f>
        <v/>
      </c>
    </row>
    <row r="4378" customFormat="false" ht="15" hidden="false" customHeight="false" outlineLevel="0" collapsed="false">
      <c r="F4378" s="41" t="str">
        <f aca="false">IF(D4378="","",IFERROR(IF(ISNUMBER(SEARCH(Assumptions!$C$5,D4378)),Assumptions!$D$5,IF(ISNUMBER(SEARCH(Assumptions!$C$6,D4378)),Assumptions!$D$6,IF(ISNUMBER(SEARCH(Assumptions!$C$7,D4378)),Assumptions!$D$7,"Other Services"))),"Other Services"))</f>
        <v/>
      </c>
    </row>
    <row r="4379" customFormat="false" ht="15" hidden="false" customHeight="false" outlineLevel="0" collapsed="false">
      <c r="F4379" s="41" t="str">
        <f aca="false">IF(D4379="","",IFERROR(IF(ISNUMBER(SEARCH(Assumptions!$C$5,D4379)),Assumptions!$D$5,IF(ISNUMBER(SEARCH(Assumptions!$C$6,D4379)),Assumptions!$D$6,IF(ISNUMBER(SEARCH(Assumptions!$C$7,D4379)),Assumptions!$D$7,"Other Services"))),"Other Services"))</f>
        <v/>
      </c>
    </row>
    <row r="4380" customFormat="false" ht="15" hidden="false" customHeight="false" outlineLevel="0" collapsed="false">
      <c r="F4380" s="41" t="str">
        <f aca="false">IF(D4380="","",IFERROR(IF(ISNUMBER(SEARCH(Assumptions!$C$5,D4380)),Assumptions!$D$5,IF(ISNUMBER(SEARCH(Assumptions!$C$6,D4380)),Assumptions!$D$6,IF(ISNUMBER(SEARCH(Assumptions!$C$7,D4380)),Assumptions!$D$7,"Other Services"))),"Other Services"))</f>
        <v/>
      </c>
    </row>
    <row r="4381" customFormat="false" ht="15" hidden="false" customHeight="false" outlineLevel="0" collapsed="false">
      <c r="F4381" s="41" t="str">
        <f aca="false">IF(D4381="","",IFERROR(IF(ISNUMBER(SEARCH(Assumptions!$C$5,D4381)),Assumptions!$D$5,IF(ISNUMBER(SEARCH(Assumptions!$C$6,D4381)),Assumptions!$D$6,IF(ISNUMBER(SEARCH(Assumptions!$C$7,D4381)),Assumptions!$D$7,"Other Services"))),"Other Services"))</f>
        <v/>
      </c>
    </row>
    <row r="4382" customFormat="false" ht="15" hidden="false" customHeight="false" outlineLevel="0" collapsed="false">
      <c r="F4382" s="41" t="str">
        <f aca="false">IF(D4382="","",IFERROR(IF(ISNUMBER(SEARCH(Assumptions!$C$5,D4382)),Assumptions!$D$5,IF(ISNUMBER(SEARCH(Assumptions!$C$6,D4382)),Assumptions!$D$6,IF(ISNUMBER(SEARCH(Assumptions!$C$7,D4382)),Assumptions!$D$7,"Other Services"))),"Other Services"))</f>
        <v/>
      </c>
    </row>
    <row r="4383" customFormat="false" ht="15" hidden="false" customHeight="false" outlineLevel="0" collapsed="false">
      <c r="F4383" s="41" t="str">
        <f aca="false">IF(D4383="","",IFERROR(IF(ISNUMBER(SEARCH(Assumptions!$C$5,D4383)),Assumptions!$D$5,IF(ISNUMBER(SEARCH(Assumptions!$C$6,D4383)),Assumptions!$D$6,IF(ISNUMBER(SEARCH(Assumptions!$C$7,D4383)),Assumptions!$D$7,"Other Services"))),"Other Services"))</f>
        <v/>
      </c>
    </row>
    <row r="4384" customFormat="false" ht="15" hidden="false" customHeight="false" outlineLevel="0" collapsed="false">
      <c r="F4384" s="41" t="str">
        <f aca="false">IF(D4384="","",IFERROR(IF(ISNUMBER(SEARCH(Assumptions!$C$5,D4384)),Assumptions!$D$5,IF(ISNUMBER(SEARCH(Assumptions!$C$6,D4384)),Assumptions!$D$6,IF(ISNUMBER(SEARCH(Assumptions!$C$7,D4384)),Assumptions!$D$7,"Other Services"))),"Other Services"))</f>
        <v/>
      </c>
    </row>
    <row r="4385" customFormat="false" ht="15" hidden="false" customHeight="false" outlineLevel="0" collapsed="false">
      <c r="F4385" s="41" t="str">
        <f aca="false">IF(D4385="","",IFERROR(IF(ISNUMBER(SEARCH(Assumptions!$C$5,D4385)),Assumptions!$D$5,IF(ISNUMBER(SEARCH(Assumptions!$C$6,D4385)),Assumptions!$D$6,IF(ISNUMBER(SEARCH(Assumptions!$C$7,D4385)),Assumptions!$D$7,"Other Services"))),"Other Services"))</f>
        <v/>
      </c>
    </row>
    <row r="4386" customFormat="false" ht="15" hidden="false" customHeight="false" outlineLevel="0" collapsed="false">
      <c r="F4386" s="41" t="str">
        <f aca="false">IF(D4386="","",IFERROR(IF(ISNUMBER(SEARCH(Assumptions!$C$5,D4386)),Assumptions!$D$5,IF(ISNUMBER(SEARCH(Assumptions!$C$6,D4386)),Assumptions!$D$6,IF(ISNUMBER(SEARCH(Assumptions!$C$7,D4386)),Assumptions!$D$7,"Other Services"))),"Other Services"))</f>
        <v/>
      </c>
    </row>
    <row r="4387" customFormat="false" ht="15" hidden="false" customHeight="false" outlineLevel="0" collapsed="false">
      <c r="F4387" s="41" t="str">
        <f aca="false">IF(D4387="","",IFERROR(IF(ISNUMBER(SEARCH(Assumptions!$C$5,D4387)),Assumptions!$D$5,IF(ISNUMBER(SEARCH(Assumptions!$C$6,D4387)),Assumptions!$D$6,IF(ISNUMBER(SEARCH(Assumptions!$C$7,D4387)),Assumptions!$D$7,"Other Services"))),"Other Services"))</f>
        <v/>
      </c>
    </row>
    <row r="4388" customFormat="false" ht="15" hidden="false" customHeight="false" outlineLevel="0" collapsed="false">
      <c r="F4388" s="41" t="str">
        <f aca="false">IF(D4388="","",IFERROR(IF(ISNUMBER(SEARCH(Assumptions!$C$5,D4388)),Assumptions!$D$5,IF(ISNUMBER(SEARCH(Assumptions!$C$6,D4388)),Assumptions!$D$6,IF(ISNUMBER(SEARCH(Assumptions!$C$7,D4388)),Assumptions!$D$7,"Other Services"))),"Other Services"))</f>
        <v/>
      </c>
    </row>
    <row r="4389" customFormat="false" ht="15" hidden="false" customHeight="false" outlineLevel="0" collapsed="false">
      <c r="F4389" s="41" t="str">
        <f aca="false">IF(D4389="","",IFERROR(IF(ISNUMBER(SEARCH(Assumptions!$C$5,D4389)),Assumptions!$D$5,IF(ISNUMBER(SEARCH(Assumptions!$C$6,D4389)),Assumptions!$D$6,IF(ISNUMBER(SEARCH(Assumptions!$C$7,D4389)),Assumptions!$D$7,"Other Services"))),"Other Services"))</f>
        <v/>
      </c>
    </row>
    <row r="4390" customFormat="false" ht="15" hidden="false" customHeight="false" outlineLevel="0" collapsed="false">
      <c r="F4390" s="41" t="str">
        <f aca="false">IF(D4390="","",IFERROR(IF(ISNUMBER(SEARCH(Assumptions!$C$5,D4390)),Assumptions!$D$5,IF(ISNUMBER(SEARCH(Assumptions!$C$6,D4390)),Assumptions!$D$6,IF(ISNUMBER(SEARCH(Assumptions!$C$7,D4390)),Assumptions!$D$7,"Other Services"))),"Other Services"))</f>
        <v/>
      </c>
    </row>
    <row r="4391" customFormat="false" ht="15" hidden="false" customHeight="false" outlineLevel="0" collapsed="false">
      <c r="F4391" s="41" t="str">
        <f aca="false">IF(D4391="","",IFERROR(IF(ISNUMBER(SEARCH(Assumptions!$C$5,D4391)),Assumptions!$D$5,IF(ISNUMBER(SEARCH(Assumptions!$C$6,D4391)),Assumptions!$D$6,IF(ISNUMBER(SEARCH(Assumptions!$C$7,D4391)),Assumptions!$D$7,"Other Services"))),"Other Services"))</f>
        <v/>
      </c>
    </row>
    <row r="4392" customFormat="false" ht="15" hidden="false" customHeight="false" outlineLevel="0" collapsed="false">
      <c r="F4392" s="41" t="str">
        <f aca="false">IF(D4392="","",IFERROR(IF(ISNUMBER(SEARCH(Assumptions!$C$5,D4392)),Assumptions!$D$5,IF(ISNUMBER(SEARCH(Assumptions!$C$6,D4392)),Assumptions!$D$6,IF(ISNUMBER(SEARCH(Assumptions!$C$7,D4392)),Assumptions!$D$7,"Other Services"))),"Other Services"))</f>
        <v/>
      </c>
    </row>
    <row r="4393" customFormat="false" ht="15" hidden="false" customHeight="false" outlineLevel="0" collapsed="false">
      <c r="F4393" s="41" t="str">
        <f aca="false">IF(D4393="","",IFERROR(IF(ISNUMBER(SEARCH(Assumptions!$C$5,D4393)),Assumptions!$D$5,IF(ISNUMBER(SEARCH(Assumptions!$C$6,D4393)),Assumptions!$D$6,IF(ISNUMBER(SEARCH(Assumptions!$C$7,D4393)),Assumptions!$D$7,"Other Services"))),"Other Services"))</f>
        <v/>
      </c>
    </row>
    <row r="4394" customFormat="false" ht="15" hidden="false" customHeight="false" outlineLevel="0" collapsed="false">
      <c r="F4394" s="41" t="str">
        <f aca="false">IF(D4394="","",IFERROR(IF(ISNUMBER(SEARCH(Assumptions!$C$5,D4394)),Assumptions!$D$5,IF(ISNUMBER(SEARCH(Assumptions!$C$6,D4394)),Assumptions!$D$6,IF(ISNUMBER(SEARCH(Assumptions!$C$7,D4394)),Assumptions!$D$7,"Other Services"))),"Other Services"))</f>
        <v/>
      </c>
    </row>
    <row r="4395" customFormat="false" ht="15" hidden="false" customHeight="false" outlineLevel="0" collapsed="false">
      <c r="F4395" s="41" t="str">
        <f aca="false">IF(D4395="","",IFERROR(IF(ISNUMBER(SEARCH(Assumptions!$C$5,D4395)),Assumptions!$D$5,IF(ISNUMBER(SEARCH(Assumptions!$C$6,D4395)),Assumptions!$D$6,IF(ISNUMBER(SEARCH(Assumptions!$C$7,D4395)),Assumptions!$D$7,"Other Services"))),"Other Services"))</f>
        <v/>
      </c>
    </row>
    <row r="4396" customFormat="false" ht="15" hidden="false" customHeight="false" outlineLevel="0" collapsed="false">
      <c r="F4396" s="41" t="str">
        <f aca="false">IF(D4396="","",IFERROR(IF(ISNUMBER(SEARCH(Assumptions!$C$5,D4396)),Assumptions!$D$5,IF(ISNUMBER(SEARCH(Assumptions!$C$6,D4396)),Assumptions!$D$6,IF(ISNUMBER(SEARCH(Assumptions!$C$7,D4396)),Assumptions!$D$7,"Other Services"))),"Other Services"))</f>
        <v/>
      </c>
    </row>
    <row r="4397" customFormat="false" ht="15" hidden="false" customHeight="false" outlineLevel="0" collapsed="false">
      <c r="F4397" s="41" t="str">
        <f aca="false">IF(D4397="","",IFERROR(IF(ISNUMBER(SEARCH(Assumptions!$C$5,D4397)),Assumptions!$D$5,IF(ISNUMBER(SEARCH(Assumptions!$C$6,D4397)),Assumptions!$D$6,IF(ISNUMBER(SEARCH(Assumptions!$C$7,D4397)),Assumptions!$D$7,"Other Services"))),"Other Services"))</f>
        <v/>
      </c>
    </row>
    <row r="4398" customFormat="false" ht="15" hidden="false" customHeight="false" outlineLevel="0" collapsed="false">
      <c r="F4398" s="41" t="str">
        <f aca="false">IF(D4398="","",IFERROR(IF(ISNUMBER(SEARCH(Assumptions!$C$5,D4398)),Assumptions!$D$5,IF(ISNUMBER(SEARCH(Assumptions!$C$6,D4398)),Assumptions!$D$6,IF(ISNUMBER(SEARCH(Assumptions!$C$7,D4398)),Assumptions!$D$7,"Other Services"))),"Other Services"))</f>
        <v/>
      </c>
    </row>
    <row r="4399" customFormat="false" ht="15" hidden="false" customHeight="false" outlineLevel="0" collapsed="false">
      <c r="F4399" s="41" t="str">
        <f aca="false">IF(D4399="","",IFERROR(IF(ISNUMBER(SEARCH(Assumptions!$C$5,D4399)),Assumptions!$D$5,IF(ISNUMBER(SEARCH(Assumptions!$C$6,D4399)),Assumptions!$D$6,IF(ISNUMBER(SEARCH(Assumptions!$C$7,D4399)),Assumptions!$D$7,"Other Services"))),"Other Services"))</f>
        <v/>
      </c>
    </row>
    <row r="4400" customFormat="false" ht="15" hidden="false" customHeight="false" outlineLevel="0" collapsed="false">
      <c r="F4400" s="41" t="str">
        <f aca="false">IF(D4400="","",IFERROR(IF(ISNUMBER(SEARCH(Assumptions!$C$5,D4400)),Assumptions!$D$5,IF(ISNUMBER(SEARCH(Assumptions!$C$6,D4400)),Assumptions!$D$6,IF(ISNUMBER(SEARCH(Assumptions!$C$7,D4400)),Assumptions!$D$7,"Other Services"))),"Other Services"))</f>
        <v/>
      </c>
    </row>
    <row r="4401" customFormat="false" ht="15" hidden="false" customHeight="false" outlineLevel="0" collapsed="false">
      <c r="F4401" s="41" t="str">
        <f aca="false">IF(D4401="","",IFERROR(IF(ISNUMBER(SEARCH(Assumptions!$C$5,D4401)),Assumptions!$D$5,IF(ISNUMBER(SEARCH(Assumptions!$C$6,D4401)),Assumptions!$D$6,IF(ISNUMBER(SEARCH(Assumptions!$C$7,D4401)),Assumptions!$D$7,"Other Services"))),"Other Services"))</f>
        <v/>
      </c>
    </row>
    <row r="4402" customFormat="false" ht="15" hidden="false" customHeight="false" outlineLevel="0" collapsed="false">
      <c r="F4402" s="41" t="str">
        <f aca="false">IF(D4402="","",IFERROR(IF(ISNUMBER(SEARCH(Assumptions!$C$5,D4402)),Assumptions!$D$5,IF(ISNUMBER(SEARCH(Assumptions!$C$6,D4402)),Assumptions!$D$6,IF(ISNUMBER(SEARCH(Assumptions!$C$7,D4402)),Assumptions!$D$7,"Other Services"))),"Other Services"))</f>
        <v/>
      </c>
    </row>
    <row r="4403" customFormat="false" ht="15" hidden="false" customHeight="false" outlineLevel="0" collapsed="false">
      <c r="F4403" s="41" t="str">
        <f aca="false">IF(D4403="","",IFERROR(IF(ISNUMBER(SEARCH(Assumptions!$C$5,D4403)),Assumptions!$D$5,IF(ISNUMBER(SEARCH(Assumptions!$C$6,D4403)),Assumptions!$D$6,IF(ISNUMBER(SEARCH(Assumptions!$C$7,D4403)),Assumptions!$D$7,"Other Services"))),"Other Services"))</f>
        <v/>
      </c>
    </row>
    <row r="4404" customFormat="false" ht="15" hidden="false" customHeight="false" outlineLevel="0" collapsed="false">
      <c r="F4404" s="41" t="str">
        <f aca="false">IF(D4404="","",IFERROR(IF(ISNUMBER(SEARCH(Assumptions!$C$5,D4404)),Assumptions!$D$5,IF(ISNUMBER(SEARCH(Assumptions!$C$6,D4404)),Assumptions!$D$6,IF(ISNUMBER(SEARCH(Assumptions!$C$7,D4404)),Assumptions!$D$7,"Other Services"))),"Other Services"))</f>
        <v/>
      </c>
    </row>
    <row r="4405" customFormat="false" ht="15" hidden="false" customHeight="false" outlineLevel="0" collapsed="false">
      <c r="F4405" s="41" t="str">
        <f aca="false">IF(D4405="","",IFERROR(IF(ISNUMBER(SEARCH(Assumptions!$C$5,D4405)),Assumptions!$D$5,IF(ISNUMBER(SEARCH(Assumptions!$C$6,D4405)),Assumptions!$D$6,IF(ISNUMBER(SEARCH(Assumptions!$C$7,D4405)),Assumptions!$D$7,"Other Services"))),"Other Services"))</f>
        <v/>
      </c>
    </row>
    <row r="4406" customFormat="false" ht="15" hidden="false" customHeight="false" outlineLevel="0" collapsed="false">
      <c r="F4406" s="41" t="str">
        <f aca="false">IF(D4406="","",IFERROR(IF(ISNUMBER(SEARCH(Assumptions!$C$5,D4406)),Assumptions!$D$5,IF(ISNUMBER(SEARCH(Assumptions!$C$6,D4406)),Assumptions!$D$6,IF(ISNUMBER(SEARCH(Assumptions!$C$7,D4406)),Assumptions!$D$7,"Other Services"))),"Other Services"))</f>
        <v/>
      </c>
    </row>
    <row r="4407" customFormat="false" ht="15" hidden="false" customHeight="false" outlineLevel="0" collapsed="false">
      <c r="F4407" s="41" t="str">
        <f aca="false">IF(D4407="","",IFERROR(IF(ISNUMBER(SEARCH(Assumptions!$C$5,D4407)),Assumptions!$D$5,IF(ISNUMBER(SEARCH(Assumptions!$C$6,D4407)),Assumptions!$D$6,IF(ISNUMBER(SEARCH(Assumptions!$C$7,D4407)),Assumptions!$D$7,"Other Services"))),"Other Services"))</f>
        <v/>
      </c>
    </row>
    <row r="4408" customFormat="false" ht="15" hidden="false" customHeight="false" outlineLevel="0" collapsed="false">
      <c r="F4408" s="41" t="str">
        <f aca="false">IF(D4408="","",IFERROR(IF(ISNUMBER(SEARCH(Assumptions!$C$5,D4408)),Assumptions!$D$5,IF(ISNUMBER(SEARCH(Assumptions!$C$6,D4408)),Assumptions!$D$6,IF(ISNUMBER(SEARCH(Assumptions!$C$7,D4408)),Assumptions!$D$7,"Other Services"))),"Other Services"))</f>
        <v/>
      </c>
    </row>
    <row r="4409" customFormat="false" ht="15" hidden="false" customHeight="false" outlineLevel="0" collapsed="false">
      <c r="F4409" s="41" t="str">
        <f aca="false">IF(D4409="","",IFERROR(IF(ISNUMBER(SEARCH(Assumptions!$C$5,D4409)),Assumptions!$D$5,IF(ISNUMBER(SEARCH(Assumptions!$C$6,D4409)),Assumptions!$D$6,IF(ISNUMBER(SEARCH(Assumptions!$C$7,D4409)),Assumptions!$D$7,"Other Services"))),"Other Services"))</f>
        <v/>
      </c>
    </row>
    <row r="4410" customFormat="false" ht="15" hidden="false" customHeight="false" outlineLevel="0" collapsed="false">
      <c r="F4410" s="41" t="str">
        <f aca="false">IF(D4410="","",IFERROR(IF(ISNUMBER(SEARCH(Assumptions!$C$5,D4410)),Assumptions!$D$5,IF(ISNUMBER(SEARCH(Assumptions!$C$6,D4410)),Assumptions!$D$6,IF(ISNUMBER(SEARCH(Assumptions!$C$7,D4410)),Assumptions!$D$7,"Other Services"))),"Other Services"))</f>
        <v/>
      </c>
    </row>
    <row r="4411" customFormat="false" ht="15" hidden="false" customHeight="false" outlineLevel="0" collapsed="false">
      <c r="F4411" s="41" t="str">
        <f aca="false">IF(D4411="","",IFERROR(IF(ISNUMBER(SEARCH(Assumptions!$C$5,D4411)),Assumptions!$D$5,IF(ISNUMBER(SEARCH(Assumptions!$C$6,D4411)),Assumptions!$D$6,IF(ISNUMBER(SEARCH(Assumptions!$C$7,D4411)),Assumptions!$D$7,"Other Services"))),"Other Services"))</f>
        <v/>
      </c>
    </row>
    <row r="4412" customFormat="false" ht="15" hidden="false" customHeight="false" outlineLevel="0" collapsed="false">
      <c r="F4412" s="41" t="str">
        <f aca="false">IF(D4412="","",IFERROR(IF(ISNUMBER(SEARCH(Assumptions!$C$5,D4412)),Assumptions!$D$5,IF(ISNUMBER(SEARCH(Assumptions!$C$6,D4412)),Assumptions!$D$6,IF(ISNUMBER(SEARCH(Assumptions!$C$7,D4412)),Assumptions!$D$7,"Other Services"))),"Other Services"))</f>
        <v/>
      </c>
    </row>
    <row r="4413" customFormat="false" ht="15" hidden="false" customHeight="false" outlineLevel="0" collapsed="false">
      <c r="F4413" s="41" t="str">
        <f aca="false">IF(D4413="","",IFERROR(IF(ISNUMBER(SEARCH(Assumptions!$C$5,D4413)),Assumptions!$D$5,IF(ISNUMBER(SEARCH(Assumptions!$C$6,D4413)),Assumptions!$D$6,IF(ISNUMBER(SEARCH(Assumptions!$C$7,D4413)),Assumptions!$D$7,"Other Services"))),"Other Services"))</f>
        <v/>
      </c>
    </row>
    <row r="4414" customFormat="false" ht="15" hidden="false" customHeight="false" outlineLevel="0" collapsed="false">
      <c r="F4414" s="41" t="str">
        <f aca="false">IF(D4414="","",IFERROR(IF(ISNUMBER(SEARCH(Assumptions!$C$5,D4414)),Assumptions!$D$5,IF(ISNUMBER(SEARCH(Assumptions!$C$6,D4414)),Assumptions!$D$6,IF(ISNUMBER(SEARCH(Assumptions!$C$7,D4414)),Assumptions!$D$7,"Other Services"))),"Other Services"))</f>
        <v/>
      </c>
    </row>
    <row r="4415" customFormat="false" ht="15" hidden="false" customHeight="false" outlineLevel="0" collapsed="false">
      <c r="F4415" s="41" t="str">
        <f aca="false">IF(D4415="","",IFERROR(IF(ISNUMBER(SEARCH(Assumptions!$C$5,D4415)),Assumptions!$D$5,IF(ISNUMBER(SEARCH(Assumptions!$C$6,D4415)),Assumptions!$D$6,IF(ISNUMBER(SEARCH(Assumptions!$C$7,D4415)),Assumptions!$D$7,"Other Services"))),"Other Services"))</f>
        <v/>
      </c>
    </row>
    <row r="4416" customFormat="false" ht="15" hidden="false" customHeight="false" outlineLevel="0" collapsed="false">
      <c r="F4416" s="41" t="str">
        <f aca="false">IF(D4416="","",IFERROR(IF(ISNUMBER(SEARCH(Assumptions!$C$5,D4416)),Assumptions!$D$5,IF(ISNUMBER(SEARCH(Assumptions!$C$6,D4416)),Assumptions!$D$6,IF(ISNUMBER(SEARCH(Assumptions!$C$7,D4416)),Assumptions!$D$7,"Other Services"))),"Other Services"))</f>
        <v/>
      </c>
    </row>
    <row r="4417" customFormat="false" ht="15" hidden="false" customHeight="false" outlineLevel="0" collapsed="false">
      <c r="F4417" s="41" t="str">
        <f aca="false">IF(D4417="","",IFERROR(IF(ISNUMBER(SEARCH(Assumptions!$C$5,D4417)),Assumptions!$D$5,IF(ISNUMBER(SEARCH(Assumptions!$C$6,D4417)),Assumptions!$D$6,IF(ISNUMBER(SEARCH(Assumptions!$C$7,D4417)),Assumptions!$D$7,"Other Services"))),"Other Services"))</f>
        <v/>
      </c>
    </row>
    <row r="4418" customFormat="false" ht="15" hidden="false" customHeight="false" outlineLevel="0" collapsed="false">
      <c r="F4418" s="41" t="str">
        <f aca="false">IF(D4418="","",IFERROR(IF(ISNUMBER(SEARCH(Assumptions!$C$5,D4418)),Assumptions!$D$5,IF(ISNUMBER(SEARCH(Assumptions!$C$6,D4418)),Assumptions!$D$6,IF(ISNUMBER(SEARCH(Assumptions!$C$7,D4418)),Assumptions!$D$7,"Other Services"))),"Other Services"))</f>
        <v/>
      </c>
    </row>
    <row r="4419" customFormat="false" ht="15" hidden="false" customHeight="false" outlineLevel="0" collapsed="false">
      <c r="F4419" s="41" t="str">
        <f aca="false">IF(D4419="","",IFERROR(IF(ISNUMBER(SEARCH(Assumptions!$C$5,D4419)),Assumptions!$D$5,IF(ISNUMBER(SEARCH(Assumptions!$C$6,D4419)),Assumptions!$D$6,IF(ISNUMBER(SEARCH(Assumptions!$C$7,D4419)),Assumptions!$D$7,"Other Services"))),"Other Services"))</f>
        <v/>
      </c>
    </row>
    <row r="4420" customFormat="false" ht="15" hidden="false" customHeight="false" outlineLevel="0" collapsed="false">
      <c r="F4420" s="41" t="str">
        <f aca="false">IF(D4420="","",IFERROR(IF(ISNUMBER(SEARCH(Assumptions!$C$5,D4420)),Assumptions!$D$5,IF(ISNUMBER(SEARCH(Assumptions!$C$6,D4420)),Assumptions!$D$6,IF(ISNUMBER(SEARCH(Assumptions!$C$7,D4420)),Assumptions!$D$7,"Other Services"))),"Other Services"))</f>
        <v/>
      </c>
    </row>
    <row r="4421" customFormat="false" ht="15" hidden="false" customHeight="false" outlineLevel="0" collapsed="false">
      <c r="F4421" s="41" t="str">
        <f aca="false">IF(D4421="","",IFERROR(IF(ISNUMBER(SEARCH(Assumptions!$C$5,D4421)),Assumptions!$D$5,IF(ISNUMBER(SEARCH(Assumptions!$C$6,D4421)),Assumptions!$D$6,IF(ISNUMBER(SEARCH(Assumptions!$C$7,D4421)),Assumptions!$D$7,"Other Services"))),"Other Services"))</f>
        <v/>
      </c>
    </row>
    <row r="4422" customFormat="false" ht="15" hidden="false" customHeight="false" outlineLevel="0" collapsed="false">
      <c r="F4422" s="41" t="str">
        <f aca="false">IF(D4422="","",IFERROR(IF(ISNUMBER(SEARCH(Assumptions!$C$5,D4422)),Assumptions!$D$5,IF(ISNUMBER(SEARCH(Assumptions!$C$6,D4422)),Assumptions!$D$6,IF(ISNUMBER(SEARCH(Assumptions!$C$7,D4422)),Assumptions!$D$7,"Other Services"))),"Other Services"))</f>
        <v/>
      </c>
    </row>
    <row r="4423" customFormat="false" ht="15" hidden="false" customHeight="false" outlineLevel="0" collapsed="false">
      <c r="F4423" s="41" t="str">
        <f aca="false">IF(D4423="","",IFERROR(IF(ISNUMBER(SEARCH(Assumptions!$C$5,D4423)),Assumptions!$D$5,IF(ISNUMBER(SEARCH(Assumptions!$C$6,D4423)),Assumptions!$D$6,IF(ISNUMBER(SEARCH(Assumptions!$C$7,D4423)),Assumptions!$D$7,"Other Services"))),"Other Services"))</f>
        <v/>
      </c>
    </row>
    <row r="4424" customFormat="false" ht="15" hidden="false" customHeight="false" outlineLevel="0" collapsed="false">
      <c r="F4424" s="41" t="str">
        <f aca="false">IF(D4424="","",IFERROR(IF(ISNUMBER(SEARCH(Assumptions!$C$5,D4424)),Assumptions!$D$5,IF(ISNUMBER(SEARCH(Assumptions!$C$6,D4424)),Assumptions!$D$6,IF(ISNUMBER(SEARCH(Assumptions!$C$7,D4424)),Assumptions!$D$7,"Other Services"))),"Other Services"))</f>
        <v/>
      </c>
    </row>
    <row r="4425" customFormat="false" ht="15" hidden="false" customHeight="false" outlineLevel="0" collapsed="false">
      <c r="F4425" s="41" t="str">
        <f aca="false">IF(D4425="","",IFERROR(IF(ISNUMBER(SEARCH(Assumptions!$C$5,D4425)),Assumptions!$D$5,IF(ISNUMBER(SEARCH(Assumptions!$C$6,D4425)),Assumptions!$D$6,IF(ISNUMBER(SEARCH(Assumptions!$C$7,D4425)),Assumptions!$D$7,"Other Services"))),"Other Services"))</f>
        <v/>
      </c>
    </row>
    <row r="4426" customFormat="false" ht="15" hidden="false" customHeight="false" outlineLevel="0" collapsed="false">
      <c r="F4426" s="41" t="str">
        <f aca="false">IF(D4426="","",IFERROR(IF(ISNUMBER(SEARCH(Assumptions!$C$5,D4426)),Assumptions!$D$5,IF(ISNUMBER(SEARCH(Assumptions!$C$6,D4426)),Assumptions!$D$6,IF(ISNUMBER(SEARCH(Assumptions!$C$7,D4426)),Assumptions!$D$7,"Other Services"))),"Other Services"))</f>
        <v/>
      </c>
    </row>
    <row r="4427" customFormat="false" ht="15" hidden="false" customHeight="false" outlineLevel="0" collapsed="false">
      <c r="F4427" s="41" t="str">
        <f aca="false">IF(D4427="","",IFERROR(IF(ISNUMBER(SEARCH(Assumptions!$C$5,D4427)),Assumptions!$D$5,IF(ISNUMBER(SEARCH(Assumptions!$C$6,D4427)),Assumptions!$D$6,IF(ISNUMBER(SEARCH(Assumptions!$C$7,D4427)),Assumptions!$D$7,"Other Services"))),"Other Services"))</f>
        <v/>
      </c>
    </row>
    <row r="4428" customFormat="false" ht="15" hidden="false" customHeight="false" outlineLevel="0" collapsed="false">
      <c r="F4428" s="41" t="str">
        <f aca="false">IF(D4428="","",IFERROR(IF(ISNUMBER(SEARCH(Assumptions!$C$5,D4428)),Assumptions!$D$5,IF(ISNUMBER(SEARCH(Assumptions!$C$6,D4428)),Assumptions!$D$6,IF(ISNUMBER(SEARCH(Assumptions!$C$7,D4428)),Assumptions!$D$7,"Other Services"))),"Other Services"))</f>
        <v/>
      </c>
    </row>
    <row r="4429" customFormat="false" ht="15" hidden="false" customHeight="false" outlineLevel="0" collapsed="false">
      <c r="F4429" s="41" t="str">
        <f aca="false">IF(D4429="","",IFERROR(IF(ISNUMBER(SEARCH(Assumptions!$C$5,D4429)),Assumptions!$D$5,IF(ISNUMBER(SEARCH(Assumptions!$C$6,D4429)),Assumptions!$D$6,IF(ISNUMBER(SEARCH(Assumptions!$C$7,D4429)),Assumptions!$D$7,"Other Services"))),"Other Services"))</f>
        <v/>
      </c>
    </row>
    <row r="4430" customFormat="false" ht="15" hidden="false" customHeight="false" outlineLevel="0" collapsed="false">
      <c r="F4430" s="41" t="str">
        <f aca="false">IF(D4430="","",IFERROR(IF(ISNUMBER(SEARCH(Assumptions!$C$5,D4430)),Assumptions!$D$5,IF(ISNUMBER(SEARCH(Assumptions!$C$6,D4430)),Assumptions!$D$6,IF(ISNUMBER(SEARCH(Assumptions!$C$7,D4430)),Assumptions!$D$7,"Other Services"))),"Other Services"))</f>
        <v/>
      </c>
    </row>
    <row r="4431" customFormat="false" ht="15" hidden="false" customHeight="false" outlineLevel="0" collapsed="false">
      <c r="F4431" s="41" t="str">
        <f aca="false">IF(D4431="","",IFERROR(IF(ISNUMBER(SEARCH(Assumptions!$C$5,D4431)),Assumptions!$D$5,IF(ISNUMBER(SEARCH(Assumptions!$C$6,D4431)),Assumptions!$D$6,IF(ISNUMBER(SEARCH(Assumptions!$C$7,D4431)),Assumptions!$D$7,"Other Services"))),"Other Services"))</f>
        <v/>
      </c>
    </row>
    <row r="4432" customFormat="false" ht="15" hidden="false" customHeight="false" outlineLevel="0" collapsed="false">
      <c r="F4432" s="41" t="str">
        <f aca="false">IF(D4432="","",IFERROR(IF(ISNUMBER(SEARCH(Assumptions!$C$5,D4432)),Assumptions!$D$5,IF(ISNUMBER(SEARCH(Assumptions!$C$6,D4432)),Assumptions!$D$6,IF(ISNUMBER(SEARCH(Assumptions!$C$7,D4432)),Assumptions!$D$7,"Other Services"))),"Other Services"))</f>
        <v/>
      </c>
    </row>
    <row r="4433" customFormat="false" ht="15" hidden="false" customHeight="false" outlineLevel="0" collapsed="false">
      <c r="F4433" s="41" t="str">
        <f aca="false">IF(D4433="","",IFERROR(IF(ISNUMBER(SEARCH(Assumptions!$C$5,D4433)),Assumptions!$D$5,IF(ISNUMBER(SEARCH(Assumptions!$C$6,D4433)),Assumptions!$D$6,IF(ISNUMBER(SEARCH(Assumptions!$C$7,D4433)),Assumptions!$D$7,"Other Services"))),"Other Services"))</f>
        <v/>
      </c>
    </row>
    <row r="4434" customFormat="false" ht="15" hidden="false" customHeight="false" outlineLevel="0" collapsed="false">
      <c r="F4434" s="41" t="str">
        <f aca="false">IF(D4434="","",IFERROR(IF(ISNUMBER(SEARCH(Assumptions!$C$5,D4434)),Assumptions!$D$5,IF(ISNUMBER(SEARCH(Assumptions!$C$6,D4434)),Assumptions!$D$6,IF(ISNUMBER(SEARCH(Assumptions!$C$7,D4434)),Assumptions!$D$7,"Other Services"))),"Other Services"))</f>
        <v/>
      </c>
    </row>
    <row r="4435" customFormat="false" ht="15" hidden="false" customHeight="false" outlineLevel="0" collapsed="false">
      <c r="F4435" s="41" t="str">
        <f aca="false">IF(D4435="","",IFERROR(IF(ISNUMBER(SEARCH(Assumptions!$C$5,D4435)),Assumptions!$D$5,IF(ISNUMBER(SEARCH(Assumptions!$C$6,D4435)),Assumptions!$D$6,IF(ISNUMBER(SEARCH(Assumptions!$C$7,D4435)),Assumptions!$D$7,"Other Services"))),"Other Services"))</f>
        <v/>
      </c>
    </row>
    <row r="4436" customFormat="false" ht="15" hidden="false" customHeight="false" outlineLevel="0" collapsed="false">
      <c r="F4436" s="41" t="str">
        <f aca="false">IF(D4436="","",IFERROR(IF(ISNUMBER(SEARCH(Assumptions!$C$5,D4436)),Assumptions!$D$5,IF(ISNUMBER(SEARCH(Assumptions!$C$6,D4436)),Assumptions!$D$6,IF(ISNUMBER(SEARCH(Assumptions!$C$7,D4436)),Assumptions!$D$7,"Other Services"))),"Other Services"))</f>
        <v/>
      </c>
    </row>
    <row r="4437" customFormat="false" ht="15" hidden="false" customHeight="false" outlineLevel="0" collapsed="false">
      <c r="F4437" s="41" t="str">
        <f aca="false">IF(D4437="","",IFERROR(IF(ISNUMBER(SEARCH(Assumptions!$C$5,D4437)),Assumptions!$D$5,IF(ISNUMBER(SEARCH(Assumptions!$C$6,D4437)),Assumptions!$D$6,IF(ISNUMBER(SEARCH(Assumptions!$C$7,D4437)),Assumptions!$D$7,"Other Services"))),"Other Services"))</f>
        <v/>
      </c>
    </row>
    <row r="4438" customFormat="false" ht="15" hidden="false" customHeight="false" outlineLevel="0" collapsed="false">
      <c r="F4438" s="41" t="str">
        <f aca="false">IF(D4438="","",IFERROR(IF(ISNUMBER(SEARCH(Assumptions!$C$5,D4438)),Assumptions!$D$5,IF(ISNUMBER(SEARCH(Assumptions!$C$6,D4438)),Assumptions!$D$6,IF(ISNUMBER(SEARCH(Assumptions!$C$7,D4438)),Assumptions!$D$7,"Other Services"))),"Other Services"))</f>
        <v/>
      </c>
    </row>
    <row r="4439" customFormat="false" ht="15" hidden="false" customHeight="false" outlineLevel="0" collapsed="false">
      <c r="F4439" s="41" t="str">
        <f aca="false">IF(D4439="","",IFERROR(IF(ISNUMBER(SEARCH(Assumptions!$C$5,D4439)),Assumptions!$D$5,IF(ISNUMBER(SEARCH(Assumptions!$C$6,D4439)),Assumptions!$D$6,IF(ISNUMBER(SEARCH(Assumptions!$C$7,D4439)),Assumptions!$D$7,"Other Services"))),"Other Services"))</f>
        <v/>
      </c>
    </row>
    <row r="4440" customFormat="false" ht="15" hidden="false" customHeight="false" outlineLevel="0" collapsed="false">
      <c r="F4440" s="41" t="str">
        <f aca="false">IF(D4440="","",IFERROR(IF(ISNUMBER(SEARCH(Assumptions!$C$5,D4440)),Assumptions!$D$5,IF(ISNUMBER(SEARCH(Assumptions!$C$6,D4440)),Assumptions!$D$6,IF(ISNUMBER(SEARCH(Assumptions!$C$7,D4440)),Assumptions!$D$7,"Other Services"))),"Other Services"))</f>
        <v/>
      </c>
    </row>
    <row r="4441" customFormat="false" ht="15" hidden="false" customHeight="false" outlineLevel="0" collapsed="false">
      <c r="F4441" s="41" t="str">
        <f aca="false">IF(D4441="","",IFERROR(IF(ISNUMBER(SEARCH(Assumptions!$C$5,D4441)),Assumptions!$D$5,IF(ISNUMBER(SEARCH(Assumptions!$C$6,D4441)),Assumptions!$D$6,IF(ISNUMBER(SEARCH(Assumptions!$C$7,D4441)),Assumptions!$D$7,"Other Services"))),"Other Services"))</f>
        <v/>
      </c>
    </row>
    <row r="4442" customFormat="false" ht="15" hidden="false" customHeight="false" outlineLevel="0" collapsed="false">
      <c r="F4442" s="41" t="str">
        <f aca="false">IF(D4442="","",IFERROR(IF(ISNUMBER(SEARCH(Assumptions!$C$5,D4442)),Assumptions!$D$5,IF(ISNUMBER(SEARCH(Assumptions!$C$6,D4442)),Assumptions!$D$6,IF(ISNUMBER(SEARCH(Assumptions!$C$7,D4442)),Assumptions!$D$7,"Other Services"))),"Other Services"))</f>
        <v/>
      </c>
    </row>
    <row r="4443" customFormat="false" ht="15" hidden="false" customHeight="false" outlineLevel="0" collapsed="false">
      <c r="F4443" s="41" t="str">
        <f aca="false">IF(D4443="","",IFERROR(IF(ISNUMBER(SEARCH(Assumptions!$C$5,D4443)),Assumptions!$D$5,IF(ISNUMBER(SEARCH(Assumptions!$C$6,D4443)),Assumptions!$D$6,IF(ISNUMBER(SEARCH(Assumptions!$C$7,D4443)),Assumptions!$D$7,"Other Services"))),"Other Services"))</f>
        <v/>
      </c>
    </row>
    <row r="4444" customFormat="false" ht="15" hidden="false" customHeight="false" outlineLevel="0" collapsed="false">
      <c r="F4444" s="41" t="str">
        <f aca="false">IF(D4444="","",IFERROR(IF(ISNUMBER(SEARCH(Assumptions!$C$5,D4444)),Assumptions!$D$5,IF(ISNUMBER(SEARCH(Assumptions!$C$6,D4444)),Assumptions!$D$6,IF(ISNUMBER(SEARCH(Assumptions!$C$7,D4444)),Assumptions!$D$7,"Other Services"))),"Other Services"))</f>
        <v/>
      </c>
    </row>
    <row r="4445" customFormat="false" ht="15" hidden="false" customHeight="false" outlineLevel="0" collapsed="false">
      <c r="F4445" s="41" t="str">
        <f aca="false">IF(D4445="","",IFERROR(IF(ISNUMBER(SEARCH(Assumptions!$C$5,D4445)),Assumptions!$D$5,IF(ISNUMBER(SEARCH(Assumptions!$C$6,D4445)),Assumptions!$D$6,IF(ISNUMBER(SEARCH(Assumptions!$C$7,D4445)),Assumptions!$D$7,"Other Services"))),"Other Services"))</f>
        <v/>
      </c>
    </row>
    <row r="4446" customFormat="false" ht="15" hidden="false" customHeight="false" outlineLevel="0" collapsed="false">
      <c r="F4446" s="41" t="str">
        <f aca="false">IF(D4446="","",IFERROR(IF(ISNUMBER(SEARCH(Assumptions!$C$5,D4446)),Assumptions!$D$5,IF(ISNUMBER(SEARCH(Assumptions!$C$6,D4446)),Assumptions!$D$6,IF(ISNUMBER(SEARCH(Assumptions!$C$7,D4446)),Assumptions!$D$7,"Other Services"))),"Other Services"))</f>
        <v/>
      </c>
    </row>
    <row r="4447" customFormat="false" ht="15" hidden="false" customHeight="false" outlineLevel="0" collapsed="false">
      <c r="F4447" s="41" t="str">
        <f aca="false">IF(D4447="","",IFERROR(IF(ISNUMBER(SEARCH(Assumptions!$C$5,D4447)),Assumptions!$D$5,IF(ISNUMBER(SEARCH(Assumptions!$C$6,D4447)),Assumptions!$D$6,IF(ISNUMBER(SEARCH(Assumptions!$C$7,D4447)),Assumptions!$D$7,"Other Services"))),"Other Services"))</f>
        <v/>
      </c>
    </row>
    <row r="4448" customFormat="false" ht="15" hidden="false" customHeight="false" outlineLevel="0" collapsed="false">
      <c r="F4448" s="41" t="str">
        <f aca="false">IF(D4448="","",IFERROR(IF(ISNUMBER(SEARCH(Assumptions!$C$5,D4448)),Assumptions!$D$5,IF(ISNUMBER(SEARCH(Assumptions!$C$6,D4448)),Assumptions!$D$6,IF(ISNUMBER(SEARCH(Assumptions!$C$7,D4448)),Assumptions!$D$7,"Other Services"))),"Other Services"))</f>
        <v/>
      </c>
    </row>
    <row r="4449" customFormat="false" ht="15" hidden="false" customHeight="false" outlineLevel="0" collapsed="false">
      <c r="F4449" s="41" t="str">
        <f aca="false">IF(D4449="","",IFERROR(IF(ISNUMBER(SEARCH(Assumptions!$C$5,D4449)),Assumptions!$D$5,IF(ISNUMBER(SEARCH(Assumptions!$C$6,D4449)),Assumptions!$D$6,IF(ISNUMBER(SEARCH(Assumptions!$C$7,D4449)),Assumptions!$D$7,"Other Services"))),"Other Services"))</f>
        <v/>
      </c>
    </row>
    <row r="4450" customFormat="false" ht="15" hidden="false" customHeight="false" outlineLevel="0" collapsed="false">
      <c r="F4450" s="41" t="str">
        <f aca="false">IF(D4450="","",IFERROR(IF(ISNUMBER(SEARCH(Assumptions!$C$5,D4450)),Assumptions!$D$5,IF(ISNUMBER(SEARCH(Assumptions!$C$6,D4450)),Assumptions!$D$6,IF(ISNUMBER(SEARCH(Assumptions!$C$7,D4450)),Assumptions!$D$7,"Other Services"))),"Other Services"))</f>
        <v/>
      </c>
    </row>
    <row r="4451" customFormat="false" ht="15" hidden="false" customHeight="false" outlineLevel="0" collapsed="false">
      <c r="F4451" s="41" t="str">
        <f aca="false">IF(D4451="","",IFERROR(IF(ISNUMBER(SEARCH(Assumptions!$C$5,D4451)),Assumptions!$D$5,IF(ISNUMBER(SEARCH(Assumptions!$C$6,D4451)),Assumptions!$D$6,IF(ISNUMBER(SEARCH(Assumptions!$C$7,D4451)),Assumptions!$D$7,"Other Services"))),"Other Services"))</f>
        <v/>
      </c>
    </row>
    <row r="4452" customFormat="false" ht="15" hidden="false" customHeight="false" outlineLevel="0" collapsed="false">
      <c r="F4452" s="41" t="str">
        <f aca="false">IF(D4452="","",IFERROR(IF(ISNUMBER(SEARCH(Assumptions!$C$5,D4452)),Assumptions!$D$5,IF(ISNUMBER(SEARCH(Assumptions!$C$6,D4452)),Assumptions!$D$6,IF(ISNUMBER(SEARCH(Assumptions!$C$7,D4452)),Assumptions!$D$7,"Other Services"))),"Other Services"))</f>
        <v/>
      </c>
    </row>
    <row r="4453" customFormat="false" ht="15" hidden="false" customHeight="false" outlineLevel="0" collapsed="false">
      <c r="F4453" s="41" t="str">
        <f aca="false">IF(D4453="","",IFERROR(IF(ISNUMBER(SEARCH(Assumptions!$C$5,D4453)),Assumptions!$D$5,IF(ISNUMBER(SEARCH(Assumptions!$C$6,D4453)),Assumptions!$D$6,IF(ISNUMBER(SEARCH(Assumptions!$C$7,D4453)),Assumptions!$D$7,"Other Services"))),"Other Services"))</f>
        <v/>
      </c>
    </row>
    <row r="4454" customFormat="false" ht="15" hidden="false" customHeight="false" outlineLevel="0" collapsed="false">
      <c r="F4454" s="41" t="str">
        <f aca="false">IF(D4454="","",IFERROR(IF(ISNUMBER(SEARCH(Assumptions!$C$5,D4454)),Assumptions!$D$5,IF(ISNUMBER(SEARCH(Assumptions!$C$6,D4454)),Assumptions!$D$6,IF(ISNUMBER(SEARCH(Assumptions!$C$7,D4454)),Assumptions!$D$7,"Other Services"))),"Other Services"))</f>
        <v/>
      </c>
    </row>
    <row r="4455" customFormat="false" ht="15" hidden="false" customHeight="false" outlineLevel="0" collapsed="false">
      <c r="F4455" s="41" t="str">
        <f aca="false">IF(D4455="","",IFERROR(IF(ISNUMBER(SEARCH(Assumptions!$C$5,D4455)),Assumptions!$D$5,IF(ISNUMBER(SEARCH(Assumptions!$C$6,D4455)),Assumptions!$D$6,IF(ISNUMBER(SEARCH(Assumptions!$C$7,D4455)),Assumptions!$D$7,"Other Services"))),"Other Services"))</f>
        <v/>
      </c>
    </row>
    <row r="4456" customFormat="false" ht="15" hidden="false" customHeight="false" outlineLevel="0" collapsed="false">
      <c r="F4456" s="41" t="str">
        <f aca="false">IF(D4456="","",IFERROR(IF(ISNUMBER(SEARCH(Assumptions!$C$5,D4456)),Assumptions!$D$5,IF(ISNUMBER(SEARCH(Assumptions!$C$6,D4456)),Assumptions!$D$6,IF(ISNUMBER(SEARCH(Assumptions!$C$7,D4456)),Assumptions!$D$7,"Other Services"))),"Other Services"))</f>
        <v/>
      </c>
    </row>
    <row r="4457" customFormat="false" ht="15" hidden="false" customHeight="false" outlineLevel="0" collapsed="false">
      <c r="F4457" s="41" t="str">
        <f aca="false">IF(D4457="","",IFERROR(IF(ISNUMBER(SEARCH(Assumptions!$C$5,D4457)),Assumptions!$D$5,IF(ISNUMBER(SEARCH(Assumptions!$C$6,D4457)),Assumptions!$D$6,IF(ISNUMBER(SEARCH(Assumptions!$C$7,D4457)),Assumptions!$D$7,"Other Services"))),"Other Services"))</f>
        <v/>
      </c>
    </row>
    <row r="4458" customFormat="false" ht="15" hidden="false" customHeight="false" outlineLevel="0" collapsed="false">
      <c r="F4458" s="41" t="str">
        <f aca="false">IF(D4458="","",IFERROR(IF(ISNUMBER(SEARCH(Assumptions!$C$5,D4458)),Assumptions!$D$5,IF(ISNUMBER(SEARCH(Assumptions!$C$6,D4458)),Assumptions!$D$6,IF(ISNUMBER(SEARCH(Assumptions!$C$7,D4458)),Assumptions!$D$7,"Other Services"))),"Other Services"))</f>
        <v/>
      </c>
    </row>
    <row r="4459" customFormat="false" ht="15" hidden="false" customHeight="false" outlineLevel="0" collapsed="false">
      <c r="F4459" s="41" t="str">
        <f aca="false">IF(D4459="","",IFERROR(IF(ISNUMBER(SEARCH(Assumptions!$C$5,D4459)),Assumptions!$D$5,IF(ISNUMBER(SEARCH(Assumptions!$C$6,D4459)),Assumptions!$D$6,IF(ISNUMBER(SEARCH(Assumptions!$C$7,D4459)),Assumptions!$D$7,"Other Services"))),"Other Services"))</f>
        <v/>
      </c>
    </row>
    <row r="4460" customFormat="false" ht="15" hidden="false" customHeight="false" outlineLevel="0" collapsed="false">
      <c r="F4460" s="41" t="str">
        <f aca="false">IF(D4460="","",IFERROR(IF(ISNUMBER(SEARCH(Assumptions!$C$5,D4460)),Assumptions!$D$5,IF(ISNUMBER(SEARCH(Assumptions!$C$6,D4460)),Assumptions!$D$6,IF(ISNUMBER(SEARCH(Assumptions!$C$7,D4460)),Assumptions!$D$7,"Other Services"))),"Other Services"))</f>
        <v/>
      </c>
    </row>
    <row r="4461" customFormat="false" ht="15" hidden="false" customHeight="false" outlineLevel="0" collapsed="false">
      <c r="F4461" s="41" t="str">
        <f aca="false">IF(D4461="","",IFERROR(IF(ISNUMBER(SEARCH(Assumptions!$C$5,D4461)),Assumptions!$D$5,IF(ISNUMBER(SEARCH(Assumptions!$C$6,D4461)),Assumptions!$D$6,IF(ISNUMBER(SEARCH(Assumptions!$C$7,D4461)),Assumptions!$D$7,"Other Services"))),"Other Services"))</f>
        <v/>
      </c>
    </row>
    <row r="4462" customFormat="false" ht="15" hidden="false" customHeight="false" outlineLevel="0" collapsed="false">
      <c r="F4462" s="41" t="str">
        <f aca="false">IF(D4462="","",IFERROR(IF(ISNUMBER(SEARCH(Assumptions!$C$5,D4462)),Assumptions!$D$5,IF(ISNUMBER(SEARCH(Assumptions!$C$6,D4462)),Assumptions!$D$6,IF(ISNUMBER(SEARCH(Assumptions!$C$7,D4462)),Assumptions!$D$7,"Other Services"))),"Other Services"))</f>
        <v/>
      </c>
    </row>
    <row r="4463" customFormat="false" ht="15" hidden="false" customHeight="false" outlineLevel="0" collapsed="false">
      <c r="F4463" s="41" t="str">
        <f aca="false">IF(D4463="","",IFERROR(IF(ISNUMBER(SEARCH(Assumptions!$C$5,D4463)),Assumptions!$D$5,IF(ISNUMBER(SEARCH(Assumptions!$C$6,D4463)),Assumptions!$D$6,IF(ISNUMBER(SEARCH(Assumptions!$C$7,D4463)),Assumptions!$D$7,"Other Services"))),"Other Services"))</f>
        <v/>
      </c>
    </row>
    <row r="4464" customFormat="false" ht="15" hidden="false" customHeight="false" outlineLevel="0" collapsed="false">
      <c r="F4464" s="41" t="str">
        <f aca="false">IF(D4464="","",IFERROR(IF(ISNUMBER(SEARCH(Assumptions!$C$5,D4464)),Assumptions!$D$5,IF(ISNUMBER(SEARCH(Assumptions!$C$6,D4464)),Assumptions!$D$6,IF(ISNUMBER(SEARCH(Assumptions!$C$7,D4464)),Assumptions!$D$7,"Other Services"))),"Other Services"))</f>
        <v/>
      </c>
    </row>
    <row r="4465" customFormat="false" ht="15" hidden="false" customHeight="false" outlineLevel="0" collapsed="false">
      <c r="F4465" s="41" t="str">
        <f aca="false">IF(D4465="","",IFERROR(IF(ISNUMBER(SEARCH(Assumptions!$C$5,D4465)),Assumptions!$D$5,IF(ISNUMBER(SEARCH(Assumptions!$C$6,D4465)),Assumptions!$D$6,IF(ISNUMBER(SEARCH(Assumptions!$C$7,D4465)),Assumptions!$D$7,"Other Services"))),"Other Services"))</f>
        <v/>
      </c>
    </row>
    <row r="4466" customFormat="false" ht="15" hidden="false" customHeight="false" outlineLevel="0" collapsed="false">
      <c r="F4466" s="41" t="str">
        <f aca="false">IF(D4466="","",IFERROR(IF(ISNUMBER(SEARCH(Assumptions!$C$5,D4466)),Assumptions!$D$5,IF(ISNUMBER(SEARCH(Assumptions!$C$6,D4466)),Assumptions!$D$6,IF(ISNUMBER(SEARCH(Assumptions!$C$7,D4466)),Assumptions!$D$7,"Other Services"))),"Other Services"))</f>
        <v/>
      </c>
    </row>
    <row r="4467" customFormat="false" ht="15" hidden="false" customHeight="false" outlineLevel="0" collapsed="false">
      <c r="F4467" s="41" t="str">
        <f aca="false">IF(D4467="","",IFERROR(IF(ISNUMBER(SEARCH(Assumptions!$C$5,D4467)),Assumptions!$D$5,IF(ISNUMBER(SEARCH(Assumptions!$C$6,D4467)),Assumptions!$D$6,IF(ISNUMBER(SEARCH(Assumptions!$C$7,D4467)),Assumptions!$D$7,"Other Services"))),"Other Services"))</f>
        <v/>
      </c>
    </row>
    <row r="4468" customFormat="false" ht="15" hidden="false" customHeight="false" outlineLevel="0" collapsed="false">
      <c r="F4468" s="41" t="str">
        <f aca="false">IF(D4468="","",IFERROR(IF(ISNUMBER(SEARCH(Assumptions!$C$5,D4468)),Assumptions!$D$5,IF(ISNUMBER(SEARCH(Assumptions!$C$6,D4468)),Assumptions!$D$6,IF(ISNUMBER(SEARCH(Assumptions!$C$7,D4468)),Assumptions!$D$7,"Other Services"))),"Other Services"))</f>
        <v/>
      </c>
    </row>
    <row r="4469" customFormat="false" ht="15" hidden="false" customHeight="false" outlineLevel="0" collapsed="false">
      <c r="F4469" s="41" t="str">
        <f aca="false">IF(D4469="","",IFERROR(IF(ISNUMBER(SEARCH(Assumptions!$C$5,D4469)),Assumptions!$D$5,IF(ISNUMBER(SEARCH(Assumptions!$C$6,D4469)),Assumptions!$D$6,IF(ISNUMBER(SEARCH(Assumptions!$C$7,D4469)),Assumptions!$D$7,"Other Services"))),"Other Services"))</f>
        <v/>
      </c>
    </row>
    <row r="4470" customFormat="false" ht="15" hidden="false" customHeight="false" outlineLevel="0" collapsed="false">
      <c r="F4470" s="41" t="str">
        <f aca="false">IF(D4470="","",IFERROR(IF(ISNUMBER(SEARCH(Assumptions!$C$5,D4470)),Assumptions!$D$5,IF(ISNUMBER(SEARCH(Assumptions!$C$6,D4470)),Assumptions!$D$6,IF(ISNUMBER(SEARCH(Assumptions!$C$7,D4470)),Assumptions!$D$7,"Other Services"))),"Other Services"))</f>
        <v/>
      </c>
    </row>
    <row r="4471" customFormat="false" ht="15" hidden="false" customHeight="false" outlineLevel="0" collapsed="false">
      <c r="F4471" s="41" t="str">
        <f aca="false">IF(D4471="","",IFERROR(IF(ISNUMBER(SEARCH(Assumptions!$C$5,D4471)),Assumptions!$D$5,IF(ISNUMBER(SEARCH(Assumptions!$C$6,D4471)),Assumptions!$D$6,IF(ISNUMBER(SEARCH(Assumptions!$C$7,D4471)),Assumptions!$D$7,"Other Services"))),"Other Services"))</f>
        <v/>
      </c>
    </row>
    <row r="4472" customFormat="false" ht="15" hidden="false" customHeight="false" outlineLevel="0" collapsed="false">
      <c r="F4472" s="41" t="str">
        <f aca="false">IF(D4472="","",IFERROR(IF(ISNUMBER(SEARCH(Assumptions!$C$5,D4472)),Assumptions!$D$5,IF(ISNUMBER(SEARCH(Assumptions!$C$6,D4472)),Assumptions!$D$6,IF(ISNUMBER(SEARCH(Assumptions!$C$7,D4472)),Assumptions!$D$7,"Other Services"))),"Other Services"))</f>
        <v/>
      </c>
    </row>
    <row r="4473" customFormat="false" ht="15" hidden="false" customHeight="false" outlineLevel="0" collapsed="false">
      <c r="F4473" s="41" t="str">
        <f aca="false">IF(D4473="","",IFERROR(IF(ISNUMBER(SEARCH(Assumptions!$C$5,D4473)),Assumptions!$D$5,IF(ISNUMBER(SEARCH(Assumptions!$C$6,D4473)),Assumptions!$D$6,IF(ISNUMBER(SEARCH(Assumptions!$C$7,D4473)),Assumptions!$D$7,"Other Services"))),"Other Services"))</f>
        <v/>
      </c>
    </row>
    <row r="4474" customFormat="false" ht="15" hidden="false" customHeight="false" outlineLevel="0" collapsed="false">
      <c r="F4474" s="41" t="str">
        <f aca="false">IF(D4474="","",IFERROR(IF(ISNUMBER(SEARCH(Assumptions!$C$5,D4474)),Assumptions!$D$5,IF(ISNUMBER(SEARCH(Assumptions!$C$6,D4474)),Assumptions!$D$6,IF(ISNUMBER(SEARCH(Assumptions!$C$7,D4474)),Assumptions!$D$7,"Other Services"))),"Other Services"))</f>
        <v/>
      </c>
    </row>
    <row r="4475" customFormat="false" ht="15" hidden="false" customHeight="false" outlineLevel="0" collapsed="false">
      <c r="F4475" s="41" t="str">
        <f aca="false">IF(D4475="","",IFERROR(IF(ISNUMBER(SEARCH(Assumptions!$C$5,D4475)),Assumptions!$D$5,IF(ISNUMBER(SEARCH(Assumptions!$C$6,D4475)),Assumptions!$D$6,IF(ISNUMBER(SEARCH(Assumptions!$C$7,D4475)),Assumptions!$D$7,"Other Services"))),"Other Services"))</f>
        <v/>
      </c>
    </row>
    <row r="4476" customFormat="false" ht="15" hidden="false" customHeight="false" outlineLevel="0" collapsed="false">
      <c r="F4476" s="41" t="str">
        <f aca="false">IF(D4476="","",IFERROR(IF(ISNUMBER(SEARCH(Assumptions!$C$5,D4476)),Assumptions!$D$5,IF(ISNUMBER(SEARCH(Assumptions!$C$6,D4476)),Assumptions!$D$6,IF(ISNUMBER(SEARCH(Assumptions!$C$7,D4476)),Assumptions!$D$7,"Other Services"))),"Other Services"))</f>
        <v/>
      </c>
    </row>
    <row r="4477" customFormat="false" ht="15" hidden="false" customHeight="false" outlineLevel="0" collapsed="false">
      <c r="F4477" s="41" t="str">
        <f aca="false">IF(D4477="","",IFERROR(IF(ISNUMBER(SEARCH(Assumptions!$C$5,D4477)),Assumptions!$D$5,IF(ISNUMBER(SEARCH(Assumptions!$C$6,D4477)),Assumptions!$D$6,IF(ISNUMBER(SEARCH(Assumptions!$C$7,D4477)),Assumptions!$D$7,"Other Services"))),"Other Services"))</f>
        <v/>
      </c>
    </row>
    <row r="4478" customFormat="false" ht="15" hidden="false" customHeight="false" outlineLevel="0" collapsed="false">
      <c r="F4478" s="41" t="str">
        <f aca="false">IF(D4478="","",IFERROR(IF(ISNUMBER(SEARCH(Assumptions!$C$5,D4478)),Assumptions!$D$5,IF(ISNUMBER(SEARCH(Assumptions!$C$6,D4478)),Assumptions!$D$6,IF(ISNUMBER(SEARCH(Assumptions!$C$7,D4478)),Assumptions!$D$7,"Other Services"))),"Other Services"))</f>
        <v/>
      </c>
    </row>
    <row r="4479" customFormat="false" ht="15" hidden="false" customHeight="false" outlineLevel="0" collapsed="false">
      <c r="F4479" s="41" t="str">
        <f aca="false">IF(D4479="","",IFERROR(IF(ISNUMBER(SEARCH(Assumptions!$C$5,D4479)),Assumptions!$D$5,IF(ISNUMBER(SEARCH(Assumptions!$C$6,D4479)),Assumptions!$D$6,IF(ISNUMBER(SEARCH(Assumptions!$C$7,D4479)),Assumptions!$D$7,"Other Services"))),"Other Services"))</f>
        <v/>
      </c>
    </row>
    <row r="4480" customFormat="false" ht="15" hidden="false" customHeight="false" outlineLevel="0" collapsed="false">
      <c r="F4480" s="41" t="str">
        <f aca="false">IF(D4480="","",IFERROR(IF(ISNUMBER(SEARCH(Assumptions!$C$5,D4480)),Assumptions!$D$5,IF(ISNUMBER(SEARCH(Assumptions!$C$6,D4480)),Assumptions!$D$6,IF(ISNUMBER(SEARCH(Assumptions!$C$7,D4480)),Assumptions!$D$7,"Other Services"))),"Other Services"))</f>
        <v/>
      </c>
    </row>
    <row r="4481" customFormat="false" ht="15" hidden="false" customHeight="false" outlineLevel="0" collapsed="false">
      <c r="F4481" s="41" t="str">
        <f aca="false">IF(D4481="","",IFERROR(IF(ISNUMBER(SEARCH(Assumptions!$C$5,D4481)),Assumptions!$D$5,IF(ISNUMBER(SEARCH(Assumptions!$C$6,D4481)),Assumptions!$D$6,IF(ISNUMBER(SEARCH(Assumptions!$C$7,D4481)),Assumptions!$D$7,"Other Services"))),"Other Services"))</f>
        <v/>
      </c>
    </row>
    <row r="4482" customFormat="false" ht="15" hidden="false" customHeight="false" outlineLevel="0" collapsed="false">
      <c r="F4482" s="41" t="str">
        <f aca="false">IF(D4482="","",IFERROR(IF(ISNUMBER(SEARCH(Assumptions!$C$5,D4482)),Assumptions!$D$5,IF(ISNUMBER(SEARCH(Assumptions!$C$6,D4482)),Assumptions!$D$6,IF(ISNUMBER(SEARCH(Assumptions!$C$7,D4482)),Assumptions!$D$7,"Other Services"))),"Other Services"))</f>
        <v/>
      </c>
    </row>
    <row r="4483" customFormat="false" ht="15" hidden="false" customHeight="false" outlineLevel="0" collapsed="false">
      <c r="F4483" s="41" t="str">
        <f aca="false">IF(D4483="","",IFERROR(IF(ISNUMBER(SEARCH(Assumptions!$C$5,D4483)),Assumptions!$D$5,IF(ISNUMBER(SEARCH(Assumptions!$C$6,D4483)),Assumptions!$D$6,IF(ISNUMBER(SEARCH(Assumptions!$C$7,D4483)),Assumptions!$D$7,"Other Services"))),"Other Services"))</f>
        <v/>
      </c>
    </row>
    <row r="4484" customFormat="false" ht="15" hidden="false" customHeight="false" outlineLevel="0" collapsed="false">
      <c r="F4484" s="41" t="str">
        <f aca="false">IF(D4484="","",IFERROR(IF(ISNUMBER(SEARCH(Assumptions!$C$5,D4484)),Assumptions!$D$5,IF(ISNUMBER(SEARCH(Assumptions!$C$6,D4484)),Assumptions!$D$6,IF(ISNUMBER(SEARCH(Assumptions!$C$7,D4484)),Assumptions!$D$7,"Other Services"))),"Other Services"))</f>
        <v/>
      </c>
    </row>
    <row r="4485" customFormat="false" ht="15" hidden="false" customHeight="false" outlineLevel="0" collapsed="false">
      <c r="F4485" s="41" t="str">
        <f aca="false">IF(D4485="","",IFERROR(IF(ISNUMBER(SEARCH(Assumptions!$C$5,D4485)),Assumptions!$D$5,IF(ISNUMBER(SEARCH(Assumptions!$C$6,D4485)),Assumptions!$D$6,IF(ISNUMBER(SEARCH(Assumptions!$C$7,D4485)),Assumptions!$D$7,"Other Services"))),"Other Services"))</f>
        <v/>
      </c>
    </row>
    <row r="4486" customFormat="false" ht="15" hidden="false" customHeight="false" outlineLevel="0" collapsed="false">
      <c r="F4486" s="41" t="str">
        <f aca="false">IF(D4486="","",IFERROR(IF(ISNUMBER(SEARCH(Assumptions!$C$5,D4486)),Assumptions!$D$5,IF(ISNUMBER(SEARCH(Assumptions!$C$6,D4486)),Assumptions!$D$6,IF(ISNUMBER(SEARCH(Assumptions!$C$7,D4486)),Assumptions!$D$7,"Other Services"))),"Other Services"))</f>
        <v/>
      </c>
    </row>
    <row r="4487" customFormat="false" ht="15" hidden="false" customHeight="false" outlineLevel="0" collapsed="false">
      <c r="F4487" s="41" t="str">
        <f aca="false">IF(D4487="","",IFERROR(IF(ISNUMBER(SEARCH(Assumptions!$C$5,D4487)),Assumptions!$D$5,IF(ISNUMBER(SEARCH(Assumptions!$C$6,D4487)),Assumptions!$D$6,IF(ISNUMBER(SEARCH(Assumptions!$C$7,D4487)),Assumptions!$D$7,"Other Services"))),"Other Services"))</f>
        <v/>
      </c>
    </row>
    <row r="4488" customFormat="false" ht="15" hidden="false" customHeight="false" outlineLevel="0" collapsed="false">
      <c r="F4488" s="41" t="str">
        <f aca="false">IF(D4488="","",IFERROR(IF(ISNUMBER(SEARCH(Assumptions!$C$5,D4488)),Assumptions!$D$5,IF(ISNUMBER(SEARCH(Assumptions!$C$6,D4488)),Assumptions!$D$6,IF(ISNUMBER(SEARCH(Assumptions!$C$7,D4488)),Assumptions!$D$7,"Other Services"))),"Other Services"))</f>
        <v/>
      </c>
    </row>
    <row r="4489" customFormat="false" ht="15" hidden="false" customHeight="false" outlineLevel="0" collapsed="false">
      <c r="F4489" s="41" t="str">
        <f aca="false">IF(D4489="","",IFERROR(IF(ISNUMBER(SEARCH(Assumptions!$C$5,D4489)),Assumptions!$D$5,IF(ISNUMBER(SEARCH(Assumptions!$C$6,D4489)),Assumptions!$D$6,IF(ISNUMBER(SEARCH(Assumptions!$C$7,D4489)),Assumptions!$D$7,"Other Services"))),"Other Services"))</f>
        <v/>
      </c>
    </row>
    <row r="4490" customFormat="false" ht="15" hidden="false" customHeight="false" outlineLevel="0" collapsed="false">
      <c r="F4490" s="41" t="str">
        <f aca="false">IF(D4490="","",IFERROR(IF(ISNUMBER(SEARCH(Assumptions!$C$5,D4490)),Assumptions!$D$5,IF(ISNUMBER(SEARCH(Assumptions!$C$6,D4490)),Assumptions!$D$6,IF(ISNUMBER(SEARCH(Assumptions!$C$7,D4490)),Assumptions!$D$7,"Other Services"))),"Other Services"))</f>
        <v/>
      </c>
    </row>
    <row r="4491" customFormat="false" ht="15" hidden="false" customHeight="false" outlineLevel="0" collapsed="false">
      <c r="F4491" s="41" t="str">
        <f aca="false">IF(D4491="","",IFERROR(IF(ISNUMBER(SEARCH(Assumptions!$C$5,D4491)),Assumptions!$D$5,IF(ISNUMBER(SEARCH(Assumptions!$C$6,D4491)),Assumptions!$D$6,IF(ISNUMBER(SEARCH(Assumptions!$C$7,D4491)),Assumptions!$D$7,"Other Services"))),"Other Services"))</f>
        <v/>
      </c>
    </row>
    <row r="4492" customFormat="false" ht="15" hidden="false" customHeight="false" outlineLevel="0" collapsed="false">
      <c r="F4492" s="41" t="str">
        <f aca="false">IF(D4492="","",IFERROR(IF(ISNUMBER(SEARCH(Assumptions!$C$5,D4492)),Assumptions!$D$5,IF(ISNUMBER(SEARCH(Assumptions!$C$6,D4492)),Assumptions!$D$6,IF(ISNUMBER(SEARCH(Assumptions!$C$7,D4492)),Assumptions!$D$7,"Other Services"))),"Other Services"))</f>
        <v/>
      </c>
    </row>
    <row r="4493" customFormat="false" ht="15" hidden="false" customHeight="false" outlineLevel="0" collapsed="false">
      <c r="F4493" s="41" t="str">
        <f aca="false">IF(D4493="","",IFERROR(IF(ISNUMBER(SEARCH(Assumptions!$C$5,D4493)),Assumptions!$D$5,IF(ISNUMBER(SEARCH(Assumptions!$C$6,D4493)),Assumptions!$D$6,IF(ISNUMBER(SEARCH(Assumptions!$C$7,D4493)),Assumptions!$D$7,"Other Services"))),"Other Services"))</f>
        <v/>
      </c>
    </row>
    <row r="4494" customFormat="false" ht="15" hidden="false" customHeight="false" outlineLevel="0" collapsed="false">
      <c r="F4494" s="41" t="str">
        <f aca="false">IF(D4494="","",IFERROR(IF(ISNUMBER(SEARCH(Assumptions!$C$5,D4494)),Assumptions!$D$5,IF(ISNUMBER(SEARCH(Assumptions!$C$6,D4494)),Assumptions!$D$6,IF(ISNUMBER(SEARCH(Assumptions!$C$7,D4494)),Assumptions!$D$7,"Other Services"))),"Other Services"))</f>
        <v/>
      </c>
    </row>
    <row r="4495" customFormat="false" ht="15" hidden="false" customHeight="false" outlineLevel="0" collapsed="false">
      <c r="F4495" s="41" t="str">
        <f aca="false">IF(D4495="","",IFERROR(IF(ISNUMBER(SEARCH(Assumptions!$C$5,D4495)),Assumptions!$D$5,IF(ISNUMBER(SEARCH(Assumptions!$C$6,D4495)),Assumptions!$D$6,IF(ISNUMBER(SEARCH(Assumptions!$C$7,D4495)),Assumptions!$D$7,"Other Services"))),"Other Services"))</f>
        <v/>
      </c>
    </row>
    <row r="4496" customFormat="false" ht="15" hidden="false" customHeight="false" outlineLevel="0" collapsed="false">
      <c r="F4496" s="41" t="str">
        <f aca="false">IF(D4496="","",IFERROR(IF(ISNUMBER(SEARCH(Assumptions!$C$5,D4496)),Assumptions!$D$5,IF(ISNUMBER(SEARCH(Assumptions!$C$6,D4496)),Assumptions!$D$6,IF(ISNUMBER(SEARCH(Assumptions!$C$7,D4496)),Assumptions!$D$7,"Other Services"))),"Other Services"))</f>
        <v/>
      </c>
    </row>
    <row r="4497" customFormat="false" ht="15" hidden="false" customHeight="false" outlineLevel="0" collapsed="false">
      <c r="F4497" s="41" t="str">
        <f aca="false">IF(D4497="","",IFERROR(IF(ISNUMBER(SEARCH(Assumptions!$C$5,D4497)),Assumptions!$D$5,IF(ISNUMBER(SEARCH(Assumptions!$C$6,D4497)),Assumptions!$D$6,IF(ISNUMBER(SEARCH(Assumptions!$C$7,D4497)),Assumptions!$D$7,"Other Services"))),"Other Services"))</f>
        <v/>
      </c>
    </row>
    <row r="4498" customFormat="false" ht="15" hidden="false" customHeight="false" outlineLevel="0" collapsed="false">
      <c r="F4498" s="41" t="str">
        <f aca="false">IF(D4498="","",IFERROR(IF(ISNUMBER(SEARCH(Assumptions!$C$5,D4498)),Assumptions!$D$5,IF(ISNUMBER(SEARCH(Assumptions!$C$6,D4498)),Assumptions!$D$6,IF(ISNUMBER(SEARCH(Assumptions!$C$7,D4498)),Assumptions!$D$7,"Other Services"))),"Other Services"))</f>
        <v/>
      </c>
    </row>
    <row r="4499" customFormat="false" ht="15" hidden="false" customHeight="false" outlineLevel="0" collapsed="false">
      <c r="F4499" s="41" t="str">
        <f aca="false">IF(D4499="","",IFERROR(IF(ISNUMBER(SEARCH(Assumptions!$C$5,D4499)),Assumptions!$D$5,IF(ISNUMBER(SEARCH(Assumptions!$C$6,D4499)),Assumptions!$D$6,IF(ISNUMBER(SEARCH(Assumptions!$C$7,D4499)),Assumptions!$D$7,"Other Services"))),"Other Services"))</f>
        <v/>
      </c>
    </row>
    <row r="4500" customFormat="false" ht="15" hidden="false" customHeight="false" outlineLevel="0" collapsed="false">
      <c r="F4500" s="41" t="str">
        <f aca="false">IF(D4500="","",IFERROR(IF(ISNUMBER(SEARCH(Assumptions!$C$5,D4500)),Assumptions!$D$5,IF(ISNUMBER(SEARCH(Assumptions!$C$6,D4500)),Assumptions!$D$6,IF(ISNUMBER(SEARCH(Assumptions!$C$7,D4500)),Assumptions!$D$7,"Other Services"))),"Other Services"))</f>
        <v/>
      </c>
    </row>
    <row r="4501" customFormat="false" ht="15" hidden="false" customHeight="false" outlineLevel="0" collapsed="false">
      <c r="F4501" s="41" t="str">
        <f aca="false">IF(D4501="","",IFERROR(IF(ISNUMBER(SEARCH(Assumptions!$C$5,D4501)),Assumptions!$D$5,IF(ISNUMBER(SEARCH(Assumptions!$C$6,D4501)),Assumptions!$D$6,IF(ISNUMBER(SEARCH(Assumptions!$C$7,D4501)),Assumptions!$D$7,"Other Services"))),"Other Services"))</f>
        <v/>
      </c>
    </row>
    <row r="4502" customFormat="false" ht="15" hidden="false" customHeight="false" outlineLevel="0" collapsed="false">
      <c r="F4502" s="41" t="str">
        <f aca="false">IF(D4502="","",IFERROR(IF(ISNUMBER(SEARCH(Assumptions!$C$5,D4502)),Assumptions!$D$5,IF(ISNUMBER(SEARCH(Assumptions!$C$6,D4502)),Assumptions!$D$6,IF(ISNUMBER(SEARCH(Assumptions!$C$7,D4502)),Assumptions!$D$7,"Other Services"))),"Other Services"))</f>
        <v/>
      </c>
    </row>
    <row r="4503" customFormat="false" ht="15" hidden="false" customHeight="false" outlineLevel="0" collapsed="false">
      <c r="F4503" s="41" t="str">
        <f aca="false">IF(D4503="","",IFERROR(IF(ISNUMBER(SEARCH(Assumptions!$C$5,D4503)),Assumptions!$D$5,IF(ISNUMBER(SEARCH(Assumptions!$C$6,D4503)),Assumptions!$D$6,IF(ISNUMBER(SEARCH(Assumptions!$C$7,D4503)),Assumptions!$D$7,"Other Services"))),"Other Services"))</f>
        <v/>
      </c>
    </row>
    <row r="4504" customFormat="false" ht="15" hidden="false" customHeight="false" outlineLevel="0" collapsed="false">
      <c r="F4504" s="41" t="str">
        <f aca="false">IF(D4504="","",IFERROR(IF(ISNUMBER(SEARCH(Assumptions!$C$5,D4504)),Assumptions!$D$5,IF(ISNUMBER(SEARCH(Assumptions!$C$6,D4504)),Assumptions!$D$6,IF(ISNUMBER(SEARCH(Assumptions!$C$7,D4504)),Assumptions!$D$7,"Other Services"))),"Other Services"))</f>
        <v/>
      </c>
    </row>
    <row r="4505" customFormat="false" ht="15" hidden="false" customHeight="false" outlineLevel="0" collapsed="false">
      <c r="F4505" s="41" t="str">
        <f aca="false">IF(D4505="","",IFERROR(IF(ISNUMBER(SEARCH(Assumptions!$C$5,D4505)),Assumptions!$D$5,IF(ISNUMBER(SEARCH(Assumptions!$C$6,D4505)),Assumptions!$D$6,IF(ISNUMBER(SEARCH(Assumptions!$C$7,D4505)),Assumptions!$D$7,"Other Services"))),"Other Services"))</f>
        <v/>
      </c>
    </row>
    <row r="4506" customFormat="false" ht="15" hidden="false" customHeight="false" outlineLevel="0" collapsed="false">
      <c r="F4506" s="41" t="str">
        <f aca="false">IF(D4506="","",IFERROR(IF(ISNUMBER(SEARCH(Assumptions!$C$5,D4506)),Assumptions!$D$5,IF(ISNUMBER(SEARCH(Assumptions!$C$6,D4506)),Assumptions!$D$6,IF(ISNUMBER(SEARCH(Assumptions!$C$7,D4506)),Assumptions!$D$7,"Other Services"))),"Other Services"))</f>
        <v/>
      </c>
    </row>
    <row r="4507" customFormat="false" ht="15" hidden="false" customHeight="false" outlineLevel="0" collapsed="false">
      <c r="F4507" s="41" t="str">
        <f aca="false">IF(D4507="","",IFERROR(IF(ISNUMBER(SEARCH(Assumptions!$C$5,D4507)),Assumptions!$D$5,IF(ISNUMBER(SEARCH(Assumptions!$C$6,D4507)),Assumptions!$D$6,IF(ISNUMBER(SEARCH(Assumptions!$C$7,D4507)),Assumptions!$D$7,"Other Services"))),"Other Services"))</f>
        <v/>
      </c>
    </row>
    <row r="4508" customFormat="false" ht="15" hidden="false" customHeight="false" outlineLevel="0" collapsed="false">
      <c r="F4508" s="41" t="str">
        <f aca="false">IF(D4508="","",IFERROR(IF(ISNUMBER(SEARCH(Assumptions!$C$5,D4508)),Assumptions!$D$5,IF(ISNUMBER(SEARCH(Assumptions!$C$6,D4508)),Assumptions!$D$6,IF(ISNUMBER(SEARCH(Assumptions!$C$7,D4508)),Assumptions!$D$7,"Other Services"))),"Other Services"))</f>
        <v/>
      </c>
    </row>
    <row r="4509" customFormat="false" ht="15" hidden="false" customHeight="false" outlineLevel="0" collapsed="false">
      <c r="F4509" s="41" t="str">
        <f aca="false">IF(D4509="","",IFERROR(IF(ISNUMBER(SEARCH(Assumptions!$C$5,D4509)),Assumptions!$D$5,IF(ISNUMBER(SEARCH(Assumptions!$C$6,D4509)),Assumptions!$D$6,IF(ISNUMBER(SEARCH(Assumptions!$C$7,D4509)),Assumptions!$D$7,"Other Services"))),"Other Services"))</f>
        <v/>
      </c>
    </row>
    <row r="4510" customFormat="false" ht="15" hidden="false" customHeight="false" outlineLevel="0" collapsed="false">
      <c r="F4510" s="41" t="str">
        <f aca="false">IF(D4510="","",IFERROR(IF(ISNUMBER(SEARCH(Assumptions!$C$5,D4510)),Assumptions!$D$5,IF(ISNUMBER(SEARCH(Assumptions!$C$6,D4510)),Assumptions!$D$6,IF(ISNUMBER(SEARCH(Assumptions!$C$7,D4510)),Assumptions!$D$7,"Other Services"))),"Other Services"))</f>
        <v/>
      </c>
    </row>
    <row r="4511" customFormat="false" ht="15" hidden="false" customHeight="false" outlineLevel="0" collapsed="false">
      <c r="F4511" s="41" t="str">
        <f aca="false">IF(D4511="","",IFERROR(IF(ISNUMBER(SEARCH(Assumptions!$C$5,D4511)),Assumptions!$D$5,IF(ISNUMBER(SEARCH(Assumptions!$C$6,D4511)),Assumptions!$D$6,IF(ISNUMBER(SEARCH(Assumptions!$C$7,D4511)),Assumptions!$D$7,"Other Services"))),"Other Services"))</f>
        <v/>
      </c>
    </row>
    <row r="4512" customFormat="false" ht="15" hidden="false" customHeight="false" outlineLevel="0" collapsed="false">
      <c r="F4512" s="41" t="str">
        <f aca="false">IF(D4512="","",IFERROR(IF(ISNUMBER(SEARCH(Assumptions!$C$5,D4512)),Assumptions!$D$5,IF(ISNUMBER(SEARCH(Assumptions!$C$6,D4512)),Assumptions!$D$6,IF(ISNUMBER(SEARCH(Assumptions!$C$7,D4512)),Assumptions!$D$7,"Other Services"))),"Other Services"))</f>
        <v/>
      </c>
    </row>
    <row r="4513" customFormat="false" ht="15" hidden="false" customHeight="false" outlineLevel="0" collapsed="false">
      <c r="F4513" s="41" t="str">
        <f aca="false">IF(D4513="","",IFERROR(IF(ISNUMBER(SEARCH(Assumptions!$C$5,D4513)),Assumptions!$D$5,IF(ISNUMBER(SEARCH(Assumptions!$C$6,D4513)),Assumptions!$D$6,IF(ISNUMBER(SEARCH(Assumptions!$C$7,D4513)),Assumptions!$D$7,"Other Services"))),"Other Services"))</f>
        <v/>
      </c>
    </row>
    <row r="4514" customFormat="false" ht="15" hidden="false" customHeight="false" outlineLevel="0" collapsed="false">
      <c r="F4514" s="41" t="str">
        <f aca="false">IF(D4514="","",IFERROR(IF(ISNUMBER(SEARCH(Assumptions!$C$5,D4514)),Assumptions!$D$5,IF(ISNUMBER(SEARCH(Assumptions!$C$6,D4514)),Assumptions!$D$6,IF(ISNUMBER(SEARCH(Assumptions!$C$7,D4514)),Assumptions!$D$7,"Other Services"))),"Other Services"))</f>
        <v/>
      </c>
    </row>
    <row r="4515" customFormat="false" ht="15" hidden="false" customHeight="false" outlineLevel="0" collapsed="false">
      <c r="F4515" s="41" t="str">
        <f aca="false">IF(D4515="","",IFERROR(IF(ISNUMBER(SEARCH(Assumptions!$C$5,D4515)),Assumptions!$D$5,IF(ISNUMBER(SEARCH(Assumptions!$C$6,D4515)),Assumptions!$D$6,IF(ISNUMBER(SEARCH(Assumptions!$C$7,D4515)),Assumptions!$D$7,"Other Services"))),"Other Services"))</f>
        <v/>
      </c>
    </row>
    <row r="4516" customFormat="false" ht="15" hidden="false" customHeight="false" outlineLevel="0" collapsed="false">
      <c r="F4516" s="41" t="str">
        <f aca="false">IF(D4516="","",IFERROR(IF(ISNUMBER(SEARCH(Assumptions!$C$5,D4516)),Assumptions!$D$5,IF(ISNUMBER(SEARCH(Assumptions!$C$6,D4516)),Assumptions!$D$6,IF(ISNUMBER(SEARCH(Assumptions!$C$7,D4516)),Assumptions!$D$7,"Other Services"))),"Other Services"))</f>
        <v/>
      </c>
    </row>
    <row r="4517" customFormat="false" ht="15" hidden="false" customHeight="false" outlineLevel="0" collapsed="false">
      <c r="F4517" s="41" t="str">
        <f aca="false">IF(D4517="","",IFERROR(IF(ISNUMBER(SEARCH(Assumptions!$C$5,D4517)),Assumptions!$D$5,IF(ISNUMBER(SEARCH(Assumptions!$C$6,D4517)),Assumptions!$D$6,IF(ISNUMBER(SEARCH(Assumptions!$C$7,D4517)),Assumptions!$D$7,"Other Services"))),"Other Services"))</f>
        <v/>
      </c>
    </row>
    <row r="4518" customFormat="false" ht="15" hidden="false" customHeight="false" outlineLevel="0" collapsed="false">
      <c r="F4518" s="41" t="str">
        <f aca="false">IF(D4518="","",IFERROR(IF(ISNUMBER(SEARCH(Assumptions!$C$5,D4518)),Assumptions!$D$5,IF(ISNUMBER(SEARCH(Assumptions!$C$6,D4518)),Assumptions!$D$6,IF(ISNUMBER(SEARCH(Assumptions!$C$7,D4518)),Assumptions!$D$7,"Other Services"))),"Other Services"))</f>
        <v/>
      </c>
    </row>
    <row r="4519" customFormat="false" ht="15" hidden="false" customHeight="false" outlineLevel="0" collapsed="false">
      <c r="F4519" s="41" t="str">
        <f aca="false">IF(D4519="","",IFERROR(IF(ISNUMBER(SEARCH(Assumptions!$C$5,D4519)),Assumptions!$D$5,IF(ISNUMBER(SEARCH(Assumptions!$C$6,D4519)),Assumptions!$D$6,IF(ISNUMBER(SEARCH(Assumptions!$C$7,D4519)),Assumptions!$D$7,"Other Services"))),"Other Services"))</f>
        <v/>
      </c>
    </row>
    <row r="4520" customFormat="false" ht="15" hidden="false" customHeight="false" outlineLevel="0" collapsed="false">
      <c r="F4520" s="41" t="str">
        <f aca="false">IF(D4520="","",IFERROR(IF(ISNUMBER(SEARCH(Assumptions!$C$5,D4520)),Assumptions!$D$5,IF(ISNUMBER(SEARCH(Assumptions!$C$6,D4520)),Assumptions!$D$6,IF(ISNUMBER(SEARCH(Assumptions!$C$7,D4520)),Assumptions!$D$7,"Other Services"))),"Other Services"))</f>
        <v/>
      </c>
    </row>
    <row r="4521" customFormat="false" ht="15" hidden="false" customHeight="false" outlineLevel="0" collapsed="false">
      <c r="F4521" s="41" t="str">
        <f aca="false">IF(D4521="","",IFERROR(IF(ISNUMBER(SEARCH(Assumptions!$C$5,D4521)),Assumptions!$D$5,IF(ISNUMBER(SEARCH(Assumptions!$C$6,D4521)),Assumptions!$D$6,IF(ISNUMBER(SEARCH(Assumptions!$C$7,D4521)),Assumptions!$D$7,"Other Services"))),"Other Services"))</f>
        <v/>
      </c>
    </row>
    <row r="4522" customFormat="false" ht="15" hidden="false" customHeight="false" outlineLevel="0" collapsed="false">
      <c r="F4522" s="41" t="str">
        <f aca="false">IF(D4522="","",IFERROR(IF(ISNUMBER(SEARCH(Assumptions!$C$5,D4522)),Assumptions!$D$5,IF(ISNUMBER(SEARCH(Assumptions!$C$6,D4522)),Assumptions!$D$6,IF(ISNUMBER(SEARCH(Assumptions!$C$7,D4522)),Assumptions!$D$7,"Other Services"))),"Other Services"))</f>
        <v/>
      </c>
    </row>
    <row r="4523" customFormat="false" ht="15" hidden="false" customHeight="false" outlineLevel="0" collapsed="false">
      <c r="F4523" s="41" t="str">
        <f aca="false">IF(D4523="","",IFERROR(IF(ISNUMBER(SEARCH(Assumptions!$C$5,D4523)),Assumptions!$D$5,IF(ISNUMBER(SEARCH(Assumptions!$C$6,D4523)),Assumptions!$D$6,IF(ISNUMBER(SEARCH(Assumptions!$C$7,D4523)),Assumptions!$D$7,"Other Services"))),"Other Services"))</f>
        <v/>
      </c>
    </row>
    <row r="4524" customFormat="false" ht="15" hidden="false" customHeight="false" outlineLevel="0" collapsed="false">
      <c r="F4524" s="41" t="str">
        <f aca="false">IF(D4524="","",IFERROR(IF(ISNUMBER(SEARCH(Assumptions!$C$5,D4524)),Assumptions!$D$5,IF(ISNUMBER(SEARCH(Assumptions!$C$6,D4524)),Assumptions!$D$6,IF(ISNUMBER(SEARCH(Assumptions!$C$7,D4524)),Assumptions!$D$7,"Other Services"))),"Other Services"))</f>
        <v/>
      </c>
    </row>
    <row r="4525" customFormat="false" ht="15" hidden="false" customHeight="false" outlineLevel="0" collapsed="false">
      <c r="F4525" s="41" t="str">
        <f aca="false">IF(D4525="","",IFERROR(IF(ISNUMBER(SEARCH(Assumptions!$C$5,D4525)),Assumptions!$D$5,IF(ISNUMBER(SEARCH(Assumptions!$C$6,D4525)),Assumptions!$D$6,IF(ISNUMBER(SEARCH(Assumptions!$C$7,D4525)),Assumptions!$D$7,"Other Services"))),"Other Services"))</f>
        <v/>
      </c>
    </row>
    <row r="4526" customFormat="false" ht="15" hidden="false" customHeight="false" outlineLevel="0" collapsed="false">
      <c r="F4526" s="41" t="str">
        <f aca="false">IF(D4526="","",IFERROR(IF(ISNUMBER(SEARCH(Assumptions!$C$5,D4526)),Assumptions!$D$5,IF(ISNUMBER(SEARCH(Assumptions!$C$6,D4526)),Assumptions!$D$6,IF(ISNUMBER(SEARCH(Assumptions!$C$7,D4526)),Assumptions!$D$7,"Other Services"))),"Other Services"))</f>
        <v/>
      </c>
    </row>
    <row r="4527" customFormat="false" ht="15" hidden="false" customHeight="false" outlineLevel="0" collapsed="false">
      <c r="F4527" s="41" t="str">
        <f aca="false">IF(D4527="","",IFERROR(IF(ISNUMBER(SEARCH(Assumptions!$C$5,D4527)),Assumptions!$D$5,IF(ISNUMBER(SEARCH(Assumptions!$C$6,D4527)),Assumptions!$D$6,IF(ISNUMBER(SEARCH(Assumptions!$C$7,D4527)),Assumptions!$D$7,"Other Services"))),"Other Services"))</f>
        <v/>
      </c>
    </row>
    <row r="4528" customFormat="false" ht="15" hidden="false" customHeight="false" outlineLevel="0" collapsed="false">
      <c r="F4528" s="41" t="str">
        <f aca="false">IF(D4528="","",IFERROR(IF(ISNUMBER(SEARCH(Assumptions!$C$5,D4528)),Assumptions!$D$5,IF(ISNUMBER(SEARCH(Assumptions!$C$6,D4528)),Assumptions!$D$6,IF(ISNUMBER(SEARCH(Assumptions!$C$7,D4528)),Assumptions!$D$7,"Other Services"))),"Other Services"))</f>
        <v/>
      </c>
    </row>
    <row r="4529" customFormat="false" ht="15" hidden="false" customHeight="false" outlineLevel="0" collapsed="false">
      <c r="F4529" s="41" t="str">
        <f aca="false">IF(D4529="","",IFERROR(IF(ISNUMBER(SEARCH(Assumptions!$C$5,D4529)),Assumptions!$D$5,IF(ISNUMBER(SEARCH(Assumptions!$C$6,D4529)),Assumptions!$D$6,IF(ISNUMBER(SEARCH(Assumptions!$C$7,D4529)),Assumptions!$D$7,"Other Services"))),"Other Services"))</f>
        <v/>
      </c>
    </row>
    <row r="4530" customFormat="false" ht="15" hidden="false" customHeight="false" outlineLevel="0" collapsed="false">
      <c r="F4530" s="41" t="str">
        <f aca="false">IF(D4530="","",IFERROR(IF(ISNUMBER(SEARCH(Assumptions!$C$5,D4530)),Assumptions!$D$5,IF(ISNUMBER(SEARCH(Assumptions!$C$6,D4530)),Assumptions!$D$6,IF(ISNUMBER(SEARCH(Assumptions!$C$7,D4530)),Assumptions!$D$7,"Other Services"))),"Other Services"))</f>
        <v/>
      </c>
    </row>
    <row r="4531" customFormat="false" ht="15" hidden="false" customHeight="false" outlineLevel="0" collapsed="false">
      <c r="F4531" s="41" t="str">
        <f aca="false">IF(D4531="","",IFERROR(IF(ISNUMBER(SEARCH(Assumptions!$C$5,D4531)),Assumptions!$D$5,IF(ISNUMBER(SEARCH(Assumptions!$C$6,D4531)),Assumptions!$D$6,IF(ISNUMBER(SEARCH(Assumptions!$C$7,D4531)),Assumptions!$D$7,"Other Services"))),"Other Services"))</f>
        <v/>
      </c>
    </row>
    <row r="4532" customFormat="false" ht="15" hidden="false" customHeight="false" outlineLevel="0" collapsed="false">
      <c r="F4532" s="41" t="str">
        <f aca="false">IF(D4532="","",IFERROR(IF(ISNUMBER(SEARCH(Assumptions!$C$5,D4532)),Assumptions!$D$5,IF(ISNUMBER(SEARCH(Assumptions!$C$6,D4532)),Assumptions!$D$6,IF(ISNUMBER(SEARCH(Assumptions!$C$7,D4532)),Assumptions!$D$7,"Other Services"))),"Other Services"))</f>
        <v/>
      </c>
    </row>
    <row r="4533" customFormat="false" ht="15" hidden="false" customHeight="false" outlineLevel="0" collapsed="false">
      <c r="F4533" s="41" t="str">
        <f aca="false">IF(D4533="","",IFERROR(IF(ISNUMBER(SEARCH(Assumptions!$C$5,D4533)),Assumptions!$D$5,IF(ISNUMBER(SEARCH(Assumptions!$C$6,D4533)),Assumptions!$D$6,IF(ISNUMBER(SEARCH(Assumptions!$C$7,D4533)),Assumptions!$D$7,"Other Services"))),"Other Services"))</f>
        <v/>
      </c>
    </row>
    <row r="4534" customFormat="false" ht="15" hidden="false" customHeight="false" outlineLevel="0" collapsed="false">
      <c r="F4534" s="41" t="str">
        <f aca="false">IF(D4534="","",IFERROR(IF(ISNUMBER(SEARCH(Assumptions!$C$5,D4534)),Assumptions!$D$5,IF(ISNUMBER(SEARCH(Assumptions!$C$6,D4534)),Assumptions!$D$6,IF(ISNUMBER(SEARCH(Assumptions!$C$7,D4534)),Assumptions!$D$7,"Other Services"))),"Other Services"))</f>
        <v/>
      </c>
    </row>
    <row r="4535" customFormat="false" ht="15" hidden="false" customHeight="false" outlineLevel="0" collapsed="false">
      <c r="F4535" s="41" t="str">
        <f aca="false">IF(D4535="","",IFERROR(IF(ISNUMBER(SEARCH(Assumptions!$C$5,D4535)),Assumptions!$D$5,IF(ISNUMBER(SEARCH(Assumptions!$C$6,D4535)),Assumptions!$D$6,IF(ISNUMBER(SEARCH(Assumptions!$C$7,D4535)),Assumptions!$D$7,"Other Services"))),"Other Services"))</f>
        <v/>
      </c>
    </row>
    <row r="4536" customFormat="false" ht="15" hidden="false" customHeight="false" outlineLevel="0" collapsed="false">
      <c r="F4536" s="41" t="str">
        <f aca="false">IF(D4536="","",IFERROR(IF(ISNUMBER(SEARCH(Assumptions!$C$5,D4536)),Assumptions!$D$5,IF(ISNUMBER(SEARCH(Assumptions!$C$6,D4536)),Assumptions!$D$6,IF(ISNUMBER(SEARCH(Assumptions!$C$7,D4536)),Assumptions!$D$7,"Other Services"))),"Other Services"))</f>
        <v/>
      </c>
    </row>
    <row r="4537" customFormat="false" ht="15" hidden="false" customHeight="false" outlineLevel="0" collapsed="false">
      <c r="F4537" s="41" t="str">
        <f aca="false">IF(D4537="","",IFERROR(IF(ISNUMBER(SEARCH(Assumptions!$C$5,D4537)),Assumptions!$D$5,IF(ISNUMBER(SEARCH(Assumptions!$C$6,D4537)),Assumptions!$D$6,IF(ISNUMBER(SEARCH(Assumptions!$C$7,D4537)),Assumptions!$D$7,"Other Services"))),"Other Services"))</f>
        <v/>
      </c>
    </row>
    <row r="4538" customFormat="false" ht="15" hidden="false" customHeight="false" outlineLevel="0" collapsed="false">
      <c r="F4538" s="41" t="str">
        <f aca="false">IF(D4538="","",IFERROR(IF(ISNUMBER(SEARCH(Assumptions!$C$5,D4538)),Assumptions!$D$5,IF(ISNUMBER(SEARCH(Assumptions!$C$6,D4538)),Assumptions!$D$6,IF(ISNUMBER(SEARCH(Assumptions!$C$7,D4538)),Assumptions!$D$7,"Other Services"))),"Other Services"))</f>
        <v/>
      </c>
    </row>
    <row r="4539" customFormat="false" ht="15" hidden="false" customHeight="false" outlineLevel="0" collapsed="false">
      <c r="F4539" s="41" t="str">
        <f aca="false">IF(D4539="","",IFERROR(IF(ISNUMBER(SEARCH(Assumptions!$C$5,D4539)),Assumptions!$D$5,IF(ISNUMBER(SEARCH(Assumptions!$C$6,D4539)),Assumptions!$D$6,IF(ISNUMBER(SEARCH(Assumptions!$C$7,D4539)),Assumptions!$D$7,"Other Services"))),"Other Services"))</f>
        <v/>
      </c>
    </row>
    <row r="4540" customFormat="false" ht="15" hidden="false" customHeight="false" outlineLevel="0" collapsed="false">
      <c r="F4540" s="41" t="str">
        <f aca="false">IF(D4540="","",IFERROR(IF(ISNUMBER(SEARCH(Assumptions!$C$5,D4540)),Assumptions!$D$5,IF(ISNUMBER(SEARCH(Assumptions!$C$6,D4540)),Assumptions!$D$6,IF(ISNUMBER(SEARCH(Assumptions!$C$7,D4540)),Assumptions!$D$7,"Other Services"))),"Other Services"))</f>
        <v/>
      </c>
    </row>
    <row r="4541" customFormat="false" ht="15" hidden="false" customHeight="false" outlineLevel="0" collapsed="false">
      <c r="F4541" s="41" t="str">
        <f aca="false">IF(D4541="","",IFERROR(IF(ISNUMBER(SEARCH(Assumptions!$C$5,D4541)),Assumptions!$D$5,IF(ISNUMBER(SEARCH(Assumptions!$C$6,D4541)),Assumptions!$D$6,IF(ISNUMBER(SEARCH(Assumptions!$C$7,D4541)),Assumptions!$D$7,"Other Services"))),"Other Services"))</f>
        <v/>
      </c>
    </row>
    <row r="4542" customFormat="false" ht="15" hidden="false" customHeight="false" outlineLevel="0" collapsed="false">
      <c r="F4542" s="41" t="str">
        <f aca="false">IF(D4542="","",IFERROR(IF(ISNUMBER(SEARCH(Assumptions!$C$5,D4542)),Assumptions!$D$5,IF(ISNUMBER(SEARCH(Assumptions!$C$6,D4542)),Assumptions!$D$6,IF(ISNUMBER(SEARCH(Assumptions!$C$7,D4542)),Assumptions!$D$7,"Other Services"))),"Other Services"))</f>
        <v/>
      </c>
    </row>
    <row r="4543" customFormat="false" ht="15" hidden="false" customHeight="false" outlineLevel="0" collapsed="false">
      <c r="F4543" s="41" t="str">
        <f aca="false">IF(D4543="","",IFERROR(IF(ISNUMBER(SEARCH(Assumptions!$C$5,D4543)),Assumptions!$D$5,IF(ISNUMBER(SEARCH(Assumptions!$C$6,D4543)),Assumptions!$D$6,IF(ISNUMBER(SEARCH(Assumptions!$C$7,D4543)),Assumptions!$D$7,"Other Services"))),"Other Services"))</f>
        <v/>
      </c>
    </row>
    <row r="4544" customFormat="false" ht="15" hidden="false" customHeight="false" outlineLevel="0" collapsed="false">
      <c r="F4544" s="41" t="str">
        <f aca="false">IF(D4544="","",IFERROR(IF(ISNUMBER(SEARCH(Assumptions!$C$5,D4544)),Assumptions!$D$5,IF(ISNUMBER(SEARCH(Assumptions!$C$6,D4544)),Assumptions!$D$6,IF(ISNUMBER(SEARCH(Assumptions!$C$7,D4544)),Assumptions!$D$7,"Other Services"))),"Other Services"))</f>
        <v/>
      </c>
    </row>
    <row r="4545" customFormat="false" ht="15" hidden="false" customHeight="false" outlineLevel="0" collapsed="false">
      <c r="F4545" s="41" t="str">
        <f aca="false">IF(D4545="","",IFERROR(IF(ISNUMBER(SEARCH(Assumptions!$C$5,D4545)),Assumptions!$D$5,IF(ISNUMBER(SEARCH(Assumptions!$C$6,D4545)),Assumptions!$D$6,IF(ISNUMBER(SEARCH(Assumptions!$C$7,D4545)),Assumptions!$D$7,"Other Services"))),"Other Services"))</f>
        <v/>
      </c>
    </row>
    <row r="4546" customFormat="false" ht="15" hidden="false" customHeight="false" outlineLevel="0" collapsed="false">
      <c r="F4546" s="41" t="str">
        <f aca="false">IF(D4546="","",IFERROR(IF(ISNUMBER(SEARCH(Assumptions!$C$5,D4546)),Assumptions!$D$5,IF(ISNUMBER(SEARCH(Assumptions!$C$6,D4546)),Assumptions!$D$6,IF(ISNUMBER(SEARCH(Assumptions!$C$7,D4546)),Assumptions!$D$7,"Other Services"))),"Other Services"))</f>
        <v/>
      </c>
    </row>
    <row r="4547" customFormat="false" ht="15" hidden="false" customHeight="false" outlineLevel="0" collapsed="false">
      <c r="F4547" s="41" t="str">
        <f aca="false">IF(D4547="","",IFERROR(IF(ISNUMBER(SEARCH(Assumptions!$C$5,D4547)),Assumptions!$D$5,IF(ISNUMBER(SEARCH(Assumptions!$C$6,D4547)),Assumptions!$D$6,IF(ISNUMBER(SEARCH(Assumptions!$C$7,D4547)),Assumptions!$D$7,"Other Services"))),"Other Services"))</f>
        <v/>
      </c>
    </row>
    <row r="4548" customFormat="false" ht="15" hidden="false" customHeight="false" outlineLevel="0" collapsed="false">
      <c r="F4548" s="41" t="str">
        <f aca="false">IF(D4548="","",IFERROR(IF(ISNUMBER(SEARCH(Assumptions!$C$5,D4548)),Assumptions!$D$5,IF(ISNUMBER(SEARCH(Assumptions!$C$6,D4548)),Assumptions!$D$6,IF(ISNUMBER(SEARCH(Assumptions!$C$7,D4548)),Assumptions!$D$7,"Other Services"))),"Other Services"))</f>
        <v/>
      </c>
    </row>
    <row r="4549" customFormat="false" ht="15" hidden="false" customHeight="false" outlineLevel="0" collapsed="false">
      <c r="F4549" s="41" t="str">
        <f aca="false">IF(D4549="","",IFERROR(IF(ISNUMBER(SEARCH(Assumptions!$C$5,D4549)),Assumptions!$D$5,IF(ISNUMBER(SEARCH(Assumptions!$C$6,D4549)),Assumptions!$D$6,IF(ISNUMBER(SEARCH(Assumptions!$C$7,D4549)),Assumptions!$D$7,"Other Services"))),"Other Services"))</f>
        <v/>
      </c>
    </row>
    <row r="4550" customFormat="false" ht="15" hidden="false" customHeight="false" outlineLevel="0" collapsed="false">
      <c r="F4550" s="41" t="str">
        <f aca="false">IF(D4550="","",IFERROR(IF(ISNUMBER(SEARCH(Assumptions!$C$5,D4550)),Assumptions!$D$5,IF(ISNUMBER(SEARCH(Assumptions!$C$6,D4550)),Assumptions!$D$6,IF(ISNUMBER(SEARCH(Assumptions!$C$7,D4550)),Assumptions!$D$7,"Other Services"))),"Other Services"))</f>
        <v/>
      </c>
    </row>
    <row r="4551" customFormat="false" ht="15" hidden="false" customHeight="false" outlineLevel="0" collapsed="false">
      <c r="F4551" s="41" t="str">
        <f aca="false">IF(D4551="","",IFERROR(IF(ISNUMBER(SEARCH(Assumptions!$C$5,D4551)),Assumptions!$D$5,IF(ISNUMBER(SEARCH(Assumptions!$C$6,D4551)),Assumptions!$D$6,IF(ISNUMBER(SEARCH(Assumptions!$C$7,D4551)),Assumptions!$D$7,"Other Services"))),"Other Services"))</f>
        <v/>
      </c>
    </row>
    <row r="4552" customFormat="false" ht="15" hidden="false" customHeight="false" outlineLevel="0" collapsed="false">
      <c r="F4552" s="41" t="str">
        <f aca="false">IF(D4552="","",IFERROR(IF(ISNUMBER(SEARCH(Assumptions!$C$5,D4552)),Assumptions!$D$5,IF(ISNUMBER(SEARCH(Assumptions!$C$6,D4552)),Assumptions!$D$6,IF(ISNUMBER(SEARCH(Assumptions!$C$7,D4552)),Assumptions!$D$7,"Other Services"))),"Other Services"))</f>
        <v/>
      </c>
    </row>
    <row r="4553" customFormat="false" ht="15" hidden="false" customHeight="false" outlineLevel="0" collapsed="false">
      <c r="F4553" s="41" t="str">
        <f aca="false">IF(D4553="","",IFERROR(IF(ISNUMBER(SEARCH(Assumptions!$C$5,D4553)),Assumptions!$D$5,IF(ISNUMBER(SEARCH(Assumptions!$C$6,D4553)),Assumptions!$D$6,IF(ISNUMBER(SEARCH(Assumptions!$C$7,D4553)),Assumptions!$D$7,"Other Services"))),"Other Services"))</f>
        <v/>
      </c>
    </row>
    <row r="4554" customFormat="false" ht="15" hidden="false" customHeight="false" outlineLevel="0" collapsed="false">
      <c r="F4554" s="41" t="str">
        <f aca="false">IF(D4554="","",IFERROR(IF(ISNUMBER(SEARCH(Assumptions!$C$5,D4554)),Assumptions!$D$5,IF(ISNUMBER(SEARCH(Assumptions!$C$6,D4554)),Assumptions!$D$6,IF(ISNUMBER(SEARCH(Assumptions!$C$7,D4554)),Assumptions!$D$7,"Other Services"))),"Other Services"))</f>
        <v/>
      </c>
    </row>
    <row r="4555" customFormat="false" ht="15" hidden="false" customHeight="false" outlineLevel="0" collapsed="false">
      <c r="F4555" s="41" t="str">
        <f aca="false">IF(D4555="","",IFERROR(IF(ISNUMBER(SEARCH(Assumptions!$C$5,D4555)),Assumptions!$D$5,IF(ISNUMBER(SEARCH(Assumptions!$C$6,D4555)),Assumptions!$D$6,IF(ISNUMBER(SEARCH(Assumptions!$C$7,D4555)),Assumptions!$D$7,"Other Services"))),"Other Services"))</f>
        <v/>
      </c>
    </row>
    <row r="4556" customFormat="false" ht="15" hidden="false" customHeight="false" outlineLevel="0" collapsed="false">
      <c r="F4556" s="41" t="str">
        <f aca="false">IF(D4556="","",IFERROR(IF(ISNUMBER(SEARCH(Assumptions!$C$5,D4556)),Assumptions!$D$5,IF(ISNUMBER(SEARCH(Assumptions!$C$6,D4556)),Assumptions!$D$6,IF(ISNUMBER(SEARCH(Assumptions!$C$7,D4556)),Assumptions!$D$7,"Other Services"))),"Other Services"))</f>
        <v/>
      </c>
    </row>
    <row r="4557" customFormat="false" ht="15" hidden="false" customHeight="false" outlineLevel="0" collapsed="false">
      <c r="F4557" s="41" t="str">
        <f aca="false">IF(D4557="","",IFERROR(IF(ISNUMBER(SEARCH(Assumptions!$C$5,D4557)),Assumptions!$D$5,IF(ISNUMBER(SEARCH(Assumptions!$C$6,D4557)),Assumptions!$D$6,IF(ISNUMBER(SEARCH(Assumptions!$C$7,D4557)),Assumptions!$D$7,"Other Services"))),"Other Services"))</f>
        <v/>
      </c>
    </row>
    <row r="4558" customFormat="false" ht="15" hidden="false" customHeight="false" outlineLevel="0" collapsed="false">
      <c r="F4558" s="41" t="str">
        <f aca="false">IF(D4558="","",IFERROR(IF(ISNUMBER(SEARCH(Assumptions!$C$5,D4558)),Assumptions!$D$5,IF(ISNUMBER(SEARCH(Assumptions!$C$6,D4558)),Assumptions!$D$6,IF(ISNUMBER(SEARCH(Assumptions!$C$7,D4558)),Assumptions!$D$7,"Other Services"))),"Other Services"))</f>
        <v/>
      </c>
    </row>
    <row r="4559" customFormat="false" ht="15" hidden="false" customHeight="false" outlineLevel="0" collapsed="false">
      <c r="F4559" s="41" t="str">
        <f aca="false">IF(D4559="","",IFERROR(IF(ISNUMBER(SEARCH(Assumptions!$C$5,D4559)),Assumptions!$D$5,IF(ISNUMBER(SEARCH(Assumptions!$C$6,D4559)),Assumptions!$D$6,IF(ISNUMBER(SEARCH(Assumptions!$C$7,D4559)),Assumptions!$D$7,"Other Services"))),"Other Services"))</f>
        <v/>
      </c>
    </row>
    <row r="4560" customFormat="false" ht="15" hidden="false" customHeight="false" outlineLevel="0" collapsed="false">
      <c r="F4560" s="41" t="str">
        <f aca="false">IF(D4560="","",IFERROR(IF(ISNUMBER(SEARCH(Assumptions!$C$5,D4560)),Assumptions!$D$5,IF(ISNUMBER(SEARCH(Assumptions!$C$6,D4560)),Assumptions!$D$6,IF(ISNUMBER(SEARCH(Assumptions!$C$7,D4560)),Assumptions!$D$7,"Other Services"))),"Other Services"))</f>
        <v/>
      </c>
    </row>
    <row r="4561" customFormat="false" ht="15" hidden="false" customHeight="false" outlineLevel="0" collapsed="false">
      <c r="F4561" s="41" t="str">
        <f aca="false">IF(D4561="","",IFERROR(IF(ISNUMBER(SEARCH(Assumptions!$C$5,D4561)),Assumptions!$D$5,IF(ISNUMBER(SEARCH(Assumptions!$C$6,D4561)),Assumptions!$D$6,IF(ISNUMBER(SEARCH(Assumptions!$C$7,D4561)),Assumptions!$D$7,"Other Services"))),"Other Services"))</f>
        <v/>
      </c>
    </row>
    <row r="4562" customFormat="false" ht="15" hidden="false" customHeight="false" outlineLevel="0" collapsed="false">
      <c r="F4562" s="41" t="str">
        <f aca="false">IF(D4562="","",IFERROR(IF(ISNUMBER(SEARCH(Assumptions!$C$5,D4562)),Assumptions!$D$5,IF(ISNUMBER(SEARCH(Assumptions!$C$6,D4562)),Assumptions!$D$6,IF(ISNUMBER(SEARCH(Assumptions!$C$7,D4562)),Assumptions!$D$7,"Other Services"))),"Other Services"))</f>
        <v/>
      </c>
    </row>
    <row r="4563" customFormat="false" ht="15" hidden="false" customHeight="false" outlineLevel="0" collapsed="false">
      <c r="F4563" s="41" t="str">
        <f aca="false">IF(D4563="","",IFERROR(IF(ISNUMBER(SEARCH(Assumptions!$C$5,D4563)),Assumptions!$D$5,IF(ISNUMBER(SEARCH(Assumptions!$C$6,D4563)),Assumptions!$D$6,IF(ISNUMBER(SEARCH(Assumptions!$C$7,D4563)),Assumptions!$D$7,"Other Services"))),"Other Services"))</f>
        <v/>
      </c>
    </row>
    <row r="4564" customFormat="false" ht="15" hidden="false" customHeight="false" outlineLevel="0" collapsed="false">
      <c r="F4564" s="41" t="str">
        <f aca="false">IF(D4564="","",IFERROR(IF(ISNUMBER(SEARCH(Assumptions!$C$5,D4564)),Assumptions!$D$5,IF(ISNUMBER(SEARCH(Assumptions!$C$6,D4564)),Assumptions!$D$6,IF(ISNUMBER(SEARCH(Assumptions!$C$7,D4564)),Assumptions!$D$7,"Other Services"))),"Other Services"))</f>
        <v/>
      </c>
    </row>
    <row r="4565" customFormat="false" ht="15" hidden="false" customHeight="false" outlineLevel="0" collapsed="false">
      <c r="F4565" s="41" t="str">
        <f aca="false">IF(D4565="","",IFERROR(IF(ISNUMBER(SEARCH(Assumptions!$C$5,D4565)),Assumptions!$D$5,IF(ISNUMBER(SEARCH(Assumptions!$C$6,D4565)),Assumptions!$D$6,IF(ISNUMBER(SEARCH(Assumptions!$C$7,D4565)),Assumptions!$D$7,"Other Services"))),"Other Services"))</f>
        <v/>
      </c>
    </row>
    <row r="4566" customFormat="false" ht="15" hidden="false" customHeight="false" outlineLevel="0" collapsed="false">
      <c r="F4566" s="41" t="str">
        <f aca="false">IF(D4566="","",IFERROR(IF(ISNUMBER(SEARCH(Assumptions!$C$5,D4566)),Assumptions!$D$5,IF(ISNUMBER(SEARCH(Assumptions!$C$6,D4566)),Assumptions!$D$6,IF(ISNUMBER(SEARCH(Assumptions!$C$7,D4566)),Assumptions!$D$7,"Other Services"))),"Other Services"))</f>
        <v/>
      </c>
    </row>
    <row r="4567" customFormat="false" ht="15" hidden="false" customHeight="false" outlineLevel="0" collapsed="false">
      <c r="F4567" s="41" t="str">
        <f aca="false">IF(D4567="","",IFERROR(IF(ISNUMBER(SEARCH(Assumptions!$C$5,D4567)),Assumptions!$D$5,IF(ISNUMBER(SEARCH(Assumptions!$C$6,D4567)),Assumptions!$D$6,IF(ISNUMBER(SEARCH(Assumptions!$C$7,D4567)),Assumptions!$D$7,"Other Services"))),"Other Services"))</f>
        <v/>
      </c>
    </row>
    <row r="4568" customFormat="false" ht="15" hidden="false" customHeight="false" outlineLevel="0" collapsed="false">
      <c r="F4568" s="41" t="str">
        <f aca="false">IF(D4568="","",IFERROR(IF(ISNUMBER(SEARCH(Assumptions!$C$5,D4568)),Assumptions!$D$5,IF(ISNUMBER(SEARCH(Assumptions!$C$6,D4568)),Assumptions!$D$6,IF(ISNUMBER(SEARCH(Assumptions!$C$7,D4568)),Assumptions!$D$7,"Other Services"))),"Other Services"))</f>
        <v/>
      </c>
    </row>
    <row r="4569" customFormat="false" ht="15" hidden="false" customHeight="false" outlineLevel="0" collapsed="false">
      <c r="F4569" s="41" t="str">
        <f aca="false">IF(D4569="","",IFERROR(IF(ISNUMBER(SEARCH(Assumptions!$C$5,D4569)),Assumptions!$D$5,IF(ISNUMBER(SEARCH(Assumptions!$C$6,D4569)),Assumptions!$D$6,IF(ISNUMBER(SEARCH(Assumptions!$C$7,D4569)),Assumptions!$D$7,"Other Services"))),"Other Services"))</f>
        <v/>
      </c>
    </row>
    <row r="4570" customFormat="false" ht="15" hidden="false" customHeight="false" outlineLevel="0" collapsed="false">
      <c r="F4570" s="41" t="str">
        <f aca="false">IF(D4570="","",IFERROR(IF(ISNUMBER(SEARCH(Assumptions!$C$5,D4570)),Assumptions!$D$5,IF(ISNUMBER(SEARCH(Assumptions!$C$6,D4570)),Assumptions!$D$6,IF(ISNUMBER(SEARCH(Assumptions!$C$7,D4570)),Assumptions!$D$7,"Other Services"))),"Other Services"))</f>
        <v/>
      </c>
    </row>
    <row r="4571" customFormat="false" ht="15" hidden="false" customHeight="false" outlineLevel="0" collapsed="false">
      <c r="F4571" s="41" t="str">
        <f aca="false">IF(D4571="","",IFERROR(IF(ISNUMBER(SEARCH(Assumptions!$C$5,D4571)),Assumptions!$D$5,IF(ISNUMBER(SEARCH(Assumptions!$C$6,D4571)),Assumptions!$D$6,IF(ISNUMBER(SEARCH(Assumptions!$C$7,D4571)),Assumptions!$D$7,"Other Services"))),"Other Services"))</f>
        <v/>
      </c>
    </row>
    <row r="4572" customFormat="false" ht="15" hidden="false" customHeight="false" outlineLevel="0" collapsed="false">
      <c r="F4572" s="41" t="str">
        <f aca="false">IF(D4572="","",IFERROR(IF(ISNUMBER(SEARCH(Assumptions!$C$5,D4572)),Assumptions!$D$5,IF(ISNUMBER(SEARCH(Assumptions!$C$6,D4572)),Assumptions!$D$6,IF(ISNUMBER(SEARCH(Assumptions!$C$7,D4572)),Assumptions!$D$7,"Other Services"))),"Other Services"))</f>
        <v/>
      </c>
    </row>
    <row r="4573" customFormat="false" ht="15" hidden="false" customHeight="false" outlineLevel="0" collapsed="false">
      <c r="F4573" s="41" t="str">
        <f aca="false">IF(D4573="","",IFERROR(IF(ISNUMBER(SEARCH(Assumptions!$C$5,D4573)),Assumptions!$D$5,IF(ISNUMBER(SEARCH(Assumptions!$C$6,D4573)),Assumptions!$D$6,IF(ISNUMBER(SEARCH(Assumptions!$C$7,D4573)),Assumptions!$D$7,"Other Services"))),"Other Services"))</f>
        <v/>
      </c>
    </row>
    <row r="4574" customFormat="false" ht="15" hidden="false" customHeight="false" outlineLevel="0" collapsed="false">
      <c r="F4574" s="41" t="str">
        <f aca="false">IF(D4574="","",IFERROR(IF(ISNUMBER(SEARCH(Assumptions!$C$5,D4574)),Assumptions!$D$5,IF(ISNUMBER(SEARCH(Assumptions!$C$6,D4574)),Assumptions!$D$6,IF(ISNUMBER(SEARCH(Assumptions!$C$7,D4574)),Assumptions!$D$7,"Other Services"))),"Other Services"))</f>
        <v/>
      </c>
    </row>
    <row r="4575" customFormat="false" ht="15" hidden="false" customHeight="false" outlineLevel="0" collapsed="false">
      <c r="F4575" s="41" t="str">
        <f aca="false">IF(D4575="","",IFERROR(IF(ISNUMBER(SEARCH(Assumptions!$C$5,D4575)),Assumptions!$D$5,IF(ISNUMBER(SEARCH(Assumptions!$C$6,D4575)),Assumptions!$D$6,IF(ISNUMBER(SEARCH(Assumptions!$C$7,D4575)),Assumptions!$D$7,"Other Services"))),"Other Services"))</f>
        <v/>
      </c>
    </row>
    <row r="4576" customFormat="false" ht="15" hidden="false" customHeight="false" outlineLevel="0" collapsed="false">
      <c r="F4576" s="41" t="str">
        <f aca="false">IF(D4576="","",IFERROR(IF(ISNUMBER(SEARCH(Assumptions!$C$5,D4576)),Assumptions!$D$5,IF(ISNUMBER(SEARCH(Assumptions!$C$6,D4576)),Assumptions!$D$6,IF(ISNUMBER(SEARCH(Assumptions!$C$7,D4576)),Assumptions!$D$7,"Other Services"))),"Other Services"))</f>
        <v/>
      </c>
    </row>
    <row r="4577" customFormat="false" ht="15" hidden="false" customHeight="false" outlineLevel="0" collapsed="false">
      <c r="F4577" s="41" t="str">
        <f aca="false">IF(D4577="","",IFERROR(IF(ISNUMBER(SEARCH(Assumptions!$C$5,D4577)),Assumptions!$D$5,IF(ISNUMBER(SEARCH(Assumptions!$C$6,D4577)),Assumptions!$D$6,IF(ISNUMBER(SEARCH(Assumptions!$C$7,D4577)),Assumptions!$D$7,"Other Services"))),"Other Services"))</f>
        <v/>
      </c>
    </row>
    <row r="4578" customFormat="false" ht="15" hidden="false" customHeight="false" outlineLevel="0" collapsed="false">
      <c r="F4578" s="41" t="str">
        <f aca="false">IF(D4578="","",IFERROR(IF(ISNUMBER(SEARCH(Assumptions!$C$5,D4578)),Assumptions!$D$5,IF(ISNUMBER(SEARCH(Assumptions!$C$6,D4578)),Assumptions!$D$6,IF(ISNUMBER(SEARCH(Assumptions!$C$7,D4578)),Assumptions!$D$7,"Other Services"))),"Other Services"))</f>
        <v/>
      </c>
    </row>
    <row r="4579" customFormat="false" ht="15" hidden="false" customHeight="false" outlineLevel="0" collapsed="false">
      <c r="F4579" s="41" t="str">
        <f aca="false">IF(D4579="","",IFERROR(IF(ISNUMBER(SEARCH(Assumptions!$C$5,D4579)),Assumptions!$D$5,IF(ISNUMBER(SEARCH(Assumptions!$C$6,D4579)),Assumptions!$D$6,IF(ISNUMBER(SEARCH(Assumptions!$C$7,D4579)),Assumptions!$D$7,"Other Services"))),"Other Services"))</f>
        <v/>
      </c>
    </row>
    <row r="4580" customFormat="false" ht="15" hidden="false" customHeight="false" outlineLevel="0" collapsed="false">
      <c r="F4580" s="41" t="str">
        <f aca="false">IF(D4580="","",IFERROR(IF(ISNUMBER(SEARCH(Assumptions!$C$5,D4580)),Assumptions!$D$5,IF(ISNUMBER(SEARCH(Assumptions!$C$6,D4580)),Assumptions!$D$6,IF(ISNUMBER(SEARCH(Assumptions!$C$7,D4580)),Assumptions!$D$7,"Other Services"))),"Other Services"))</f>
        <v/>
      </c>
    </row>
    <row r="4581" customFormat="false" ht="15" hidden="false" customHeight="false" outlineLevel="0" collapsed="false">
      <c r="F4581" s="41" t="str">
        <f aca="false">IF(D4581="","",IFERROR(IF(ISNUMBER(SEARCH(Assumptions!$C$5,D4581)),Assumptions!$D$5,IF(ISNUMBER(SEARCH(Assumptions!$C$6,D4581)),Assumptions!$D$6,IF(ISNUMBER(SEARCH(Assumptions!$C$7,D4581)),Assumptions!$D$7,"Other Services"))),"Other Services"))</f>
        <v/>
      </c>
    </row>
    <row r="4582" customFormat="false" ht="15" hidden="false" customHeight="false" outlineLevel="0" collapsed="false">
      <c r="F4582" s="41" t="str">
        <f aca="false">IF(D4582="","",IFERROR(IF(ISNUMBER(SEARCH(Assumptions!$C$5,D4582)),Assumptions!$D$5,IF(ISNUMBER(SEARCH(Assumptions!$C$6,D4582)),Assumptions!$D$6,IF(ISNUMBER(SEARCH(Assumptions!$C$7,D4582)),Assumptions!$D$7,"Other Services"))),"Other Services"))</f>
        <v/>
      </c>
    </row>
    <row r="4583" customFormat="false" ht="15" hidden="false" customHeight="false" outlineLevel="0" collapsed="false">
      <c r="F4583" s="41" t="str">
        <f aca="false">IF(D4583="","",IFERROR(IF(ISNUMBER(SEARCH(Assumptions!$C$5,D4583)),Assumptions!$D$5,IF(ISNUMBER(SEARCH(Assumptions!$C$6,D4583)),Assumptions!$D$6,IF(ISNUMBER(SEARCH(Assumptions!$C$7,D4583)),Assumptions!$D$7,"Other Services"))),"Other Services"))</f>
        <v/>
      </c>
    </row>
    <row r="4584" customFormat="false" ht="15" hidden="false" customHeight="false" outlineLevel="0" collapsed="false">
      <c r="F4584" s="41" t="str">
        <f aca="false">IF(D4584="","",IFERROR(IF(ISNUMBER(SEARCH(Assumptions!$C$5,D4584)),Assumptions!$D$5,IF(ISNUMBER(SEARCH(Assumptions!$C$6,D4584)),Assumptions!$D$6,IF(ISNUMBER(SEARCH(Assumptions!$C$7,D4584)),Assumptions!$D$7,"Other Services"))),"Other Services"))</f>
        <v/>
      </c>
    </row>
    <row r="4585" customFormat="false" ht="15" hidden="false" customHeight="false" outlineLevel="0" collapsed="false">
      <c r="F4585" s="41" t="str">
        <f aca="false">IF(D4585="","",IFERROR(IF(ISNUMBER(SEARCH(Assumptions!$C$5,D4585)),Assumptions!$D$5,IF(ISNUMBER(SEARCH(Assumptions!$C$6,D4585)),Assumptions!$D$6,IF(ISNUMBER(SEARCH(Assumptions!$C$7,D4585)),Assumptions!$D$7,"Other Services"))),"Other Services"))</f>
        <v/>
      </c>
    </row>
    <row r="4586" customFormat="false" ht="15" hidden="false" customHeight="false" outlineLevel="0" collapsed="false">
      <c r="F4586" s="41" t="str">
        <f aca="false">IF(D4586="","",IFERROR(IF(ISNUMBER(SEARCH(Assumptions!$C$5,D4586)),Assumptions!$D$5,IF(ISNUMBER(SEARCH(Assumptions!$C$6,D4586)),Assumptions!$D$6,IF(ISNUMBER(SEARCH(Assumptions!$C$7,D4586)),Assumptions!$D$7,"Other Services"))),"Other Services"))</f>
        <v/>
      </c>
    </row>
    <row r="4587" customFormat="false" ht="15" hidden="false" customHeight="false" outlineLevel="0" collapsed="false">
      <c r="F4587" s="41" t="str">
        <f aca="false">IF(D4587="","",IFERROR(IF(ISNUMBER(SEARCH(Assumptions!$C$5,D4587)),Assumptions!$D$5,IF(ISNUMBER(SEARCH(Assumptions!$C$6,D4587)),Assumptions!$D$6,IF(ISNUMBER(SEARCH(Assumptions!$C$7,D4587)),Assumptions!$D$7,"Other Services"))),"Other Services"))</f>
        <v/>
      </c>
    </row>
    <row r="4588" customFormat="false" ht="15" hidden="false" customHeight="false" outlineLevel="0" collapsed="false">
      <c r="F4588" s="41" t="str">
        <f aca="false">IF(D4588="","",IFERROR(IF(ISNUMBER(SEARCH(Assumptions!$C$5,D4588)),Assumptions!$D$5,IF(ISNUMBER(SEARCH(Assumptions!$C$6,D4588)),Assumptions!$D$6,IF(ISNUMBER(SEARCH(Assumptions!$C$7,D4588)),Assumptions!$D$7,"Other Services"))),"Other Services"))</f>
        <v/>
      </c>
    </row>
    <row r="4589" customFormat="false" ht="15" hidden="false" customHeight="false" outlineLevel="0" collapsed="false">
      <c r="F4589" s="41" t="str">
        <f aca="false">IF(D4589="","",IFERROR(IF(ISNUMBER(SEARCH(Assumptions!$C$5,D4589)),Assumptions!$D$5,IF(ISNUMBER(SEARCH(Assumptions!$C$6,D4589)),Assumptions!$D$6,IF(ISNUMBER(SEARCH(Assumptions!$C$7,D4589)),Assumptions!$D$7,"Other Services"))),"Other Services"))</f>
        <v/>
      </c>
    </row>
    <row r="4590" customFormat="false" ht="15" hidden="false" customHeight="false" outlineLevel="0" collapsed="false">
      <c r="F4590" s="41" t="str">
        <f aca="false">IF(D4590="","",IFERROR(IF(ISNUMBER(SEARCH(Assumptions!$C$5,D4590)),Assumptions!$D$5,IF(ISNUMBER(SEARCH(Assumptions!$C$6,D4590)),Assumptions!$D$6,IF(ISNUMBER(SEARCH(Assumptions!$C$7,D4590)),Assumptions!$D$7,"Other Services"))),"Other Services"))</f>
        <v/>
      </c>
    </row>
    <row r="4591" customFormat="false" ht="15" hidden="false" customHeight="false" outlineLevel="0" collapsed="false">
      <c r="F4591" s="41" t="str">
        <f aca="false">IF(D4591="","",IFERROR(IF(ISNUMBER(SEARCH(Assumptions!$C$5,D4591)),Assumptions!$D$5,IF(ISNUMBER(SEARCH(Assumptions!$C$6,D4591)),Assumptions!$D$6,IF(ISNUMBER(SEARCH(Assumptions!$C$7,D4591)),Assumptions!$D$7,"Other Services"))),"Other Services"))</f>
        <v/>
      </c>
    </row>
    <row r="4592" customFormat="false" ht="15" hidden="false" customHeight="false" outlineLevel="0" collapsed="false">
      <c r="F4592" s="41" t="str">
        <f aca="false">IF(D4592="","",IFERROR(IF(ISNUMBER(SEARCH(Assumptions!$C$5,D4592)),Assumptions!$D$5,IF(ISNUMBER(SEARCH(Assumptions!$C$6,D4592)),Assumptions!$D$6,IF(ISNUMBER(SEARCH(Assumptions!$C$7,D4592)),Assumptions!$D$7,"Other Services"))),"Other Services"))</f>
        <v/>
      </c>
    </row>
    <row r="4593" customFormat="false" ht="15" hidden="false" customHeight="false" outlineLevel="0" collapsed="false">
      <c r="F4593" s="41" t="str">
        <f aca="false">IF(D4593="","",IFERROR(IF(ISNUMBER(SEARCH(Assumptions!$C$5,D4593)),Assumptions!$D$5,IF(ISNUMBER(SEARCH(Assumptions!$C$6,D4593)),Assumptions!$D$6,IF(ISNUMBER(SEARCH(Assumptions!$C$7,D4593)),Assumptions!$D$7,"Other Services"))),"Other Services"))</f>
        <v/>
      </c>
    </row>
    <row r="4594" customFormat="false" ht="15" hidden="false" customHeight="false" outlineLevel="0" collapsed="false">
      <c r="F4594" s="41" t="str">
        <f aca="false">IF(D4594="","",IFERROR(IF(ISNUMBER(SEARCH(Assumptions!$C$5,D4594)),Assumptions!$D$5,IF(ISNUMBER(SEARCH(Assumptions!$C$6,D4594)),Assumptions!$D$6,IF(ISNUMBER(SEARCH(Assumptions!$C$7,D4594)),Assumptions!$D$7,"Other Services"))),"Other Services"))</f>
        <v/>
      </c>
    </row>
    <row r="4595" customFormat="false" ht="15" hidden="false" customHeight="false" outlineLevel="0" collapsed="false">
      <c r="F4595" s="41" t="str">
        <f aca="false">IF(D4595="","",IFERROR(IF(ISNUMBER(SEARCH(Assumptions!$C$5,D4595)),Assumptions!$D$5,IF(ISNUMBER(SEARCH(Assumptions!$C$6,D4595)),Assumptions!$D$6,IF(ISNUMBER(SEARCH(Assumptions!$C$7,D4595)),Assumptions!$D$7,"Other Services"))),"Other Services"))</f>
        <v/>
      </c>
    </row>
    <row r="4596" customFormat="false" ht="15" hidden="false" customHeight="false" outlineLevel="0" collapsed="false">
      <c r="F4596" s="41" t="str">
        <f aca="false">IF(D4596="","",IFERROR(IF(ISNUMBER(SEARCH(Assumptions!$C$5,D4596)),Assumptions!$D$5,IF(ISNUMBER(SEARCH(Assumptions!$C$6,D4596)),Assumptions!$D$6,IF(ISNUMBER(SEARCH(Assumptions!$C$7,D4596)),Assumptions!$D$7,"Other Services"))),"Other Services"))</f>
        <v/>
      </c>
    </row>
    <row r="4597" customFormat="false" ht="15" hidden="false" customHeight="false" outlineLevel="0" collapsed="false">
      <c r="F4597" s="41" t="str">
        <f aca="false">IF(D4597="","",IFERROR(IF(ISNUMBER(SEARCH(Assumptions!$C$5,D4597)),Assumptions!$D$5,IF(ISNUMBER(SEARCH(Assumptions!$C$6,D4597)),Assumptions!$D$6,IF(ISNUMBER(SEARCH(Assumptions!$C$7,D4597)),Assumptions!$D$7,"Other Services"))),"Other Services"))</f>
        <v/>
      </c>
    </row>
    <row r="4598" customFormat="false" ht="15" hidden="false" customHeight="false" outlineLevel="0" collapsed="false">
      <c r="F4598" s="41" t="str">
        <f aca="false">IF(D4598="","",IFERROR(IF(ISNUMBER(SEARCH(Assumptions!$C$5,D4598)),Assumptions!$D$5,IF(ISNUMBER(SEARCH(Assumptions!$C$6,D4598)),Assumptions!$D$6,IF(ISNUMBER(SEARCH(Assumptions!$C$7,D4598)),Assumptions!$D$7,"Other Services"))),"Other Services"))</f>
        <v/>
      </c>
    </row>
    <row r="4599" customFormat="false" ht="15" hidden="false" customHeight="false" outlineLevel="0" collapsed="false">
      <c r="F4599" s="41" t="str">
        <f aca="false">IF(D4599="","",IFERROR(IF(ISNUMBER(SEARCH(Assumptions!$C$5,D4599)),Assumptions!$D$5,IF(ISNUMBER(SEARCH(Assumptions!$C$6,D4599)),Assumptions!$D$6,IF(ISNUMBER(SEARCH(Assumptions!$C$7,D4599)),Assumptions!$D$7,"Other Services"))),"Other Services"))</f>
        <v/>
      </c>
    </row>
    <row r="4600" customFormat="false" ht="15" hidden="false" customHeight="false" outlineLevel="0" collapsed="false">
      <c r="F4600" s="41" t="str">
        <f aca="false">IF(D4600="","",IFERROR(IF(ISNUMBER(SEARCH(Assumptions!$C$5,D4600)),Assumptions!$D$5,IF(ISNUMBER(SEARCH(Assumptions!$C$6,D4600)),Assumptions!$D$6,IF(ISNUMBER(SEARCH(Assumptions!$C$7,D4600)),Assumptions!$D$7,"Other Services"))),"Other Services"))</f>
        <v/>
      </c>
    </row>
    <row r="4601" customFormat="false" ht="15" hidden="false" customHeight="false" outlineLevel="0" collapsed="false">
      <c r="F4601" s="41" t="str">
        <f aca="false">IF(D4601="","",IFERROR(IF(ISNUMBER(SEARCH(Assumptions!$C$5,D4601)),Assumptions!$D$5,IF(ISNUMBER(SEARCH(Assumptions!$C$6,D4601)),Assumptions!$D$6,IF(ISNUMBER(SEARCH(Assumptions!$C$7,D4601)),Assumptions!$D$7,"Other Services"))),"Other Services"))</f>
        <v/>
      </c>
    </row>
    <row r="4602" customFormat="false" ht="15" hidden="false" customHeight="false" outlineLevel="0" collapsed="false">
      <c r="F4602" s="41" t="str">
        <f aca="false">IF(D4602="","",IFERROR(IF(ISNUMBER(SEARCH(Assumptions!$C$5,D4602)),Assumptions!$D$5,IF(ISNUMBER(SEARCH(Assumptions!$C$6,D4602)),Assumptions!$D$6,IF(ISNUMBER(SEARCH(Assumptions!$C$7,D4602)),Assumptions!$D$7,"Other Services"))),"Other Services"))</f>
        <v/>
      </c>
    </row>
    <row r="4603" customFormat="false" ht="15" hidden="false" customHeight="false" outlineLevel="0" collapsed="false">
      <c r="F4603" s="41" t="str">
        <f aca="false">IF(D4603="","",IFERROR(IF(ISNUMBER(SEARCH(Assumptions!$C$5,D4603)),Assumptions!$D$5,IF(ISNUMBER(SEARCH(Assumptions!$C$6,D4603)),Assumptions!$D$6,IF(ISNUMBER(SEARCH(Assumptions!$C$7,D4603)),Assumptions!$D$7,"Other Services"))),"Other Services"))</f>
        <v/>
      </c>
    </row>
    <row r="4604" customFormat="false" ht="15" hidden="false" customHeight="false" outlineLevel="0" collapsed="false">
      <c r="F4604" s="41" t="str">
        <f aca="false">IF(D4604="","",IFERROR(IF(ISNUMBER(SEARCH(Assumptions!$C$5,D4604)),Assumptions!$D$5,IF(ISNUMBER(SEARCH(Assumptions!$C$6,D4604)),Assumptions!$D$6,IF(ISNUMBER(SEARCH(Assumptions!$C$7,D4604)),Assumptions!$D$7,"Other Services"))),"Other Services"))</f>
        <v/>
      </c>
    </row>
    <row r="4605" customFormat="false" ht="15" hidden="false" customHeight="false" outlineLevel="0" collapsed="false">
      <c r="F4605" s="41" t="str">
        <f aca="false">IF(D4605="","",IFERROR(IF(ISNUMBER(SEARCH(Assumptions!$C$5,D4605)),Assumptions!$D$5,IF(ISNUMBER(SEARCH(Assumptions!$C$6,D4605)),Assumptions!$D$6,IF(ISNUMBER(SEARCH(Assumptions!$C$7,D4605)),Assumptions!$D$7,"Other Services"))),"Other Services"))</f>
        <v/>
      </c>
    </row>
    <row r="4606" customFormat="false" ht="15" hidden="false" customHeight="false" outlineLevel="0" collapsed="false">
      <c r="F4606" s="41" t="str">
        <f aca="false">IF(D4606="","",IFERROR(IF(ISNUMBER(SEARCH(Assumptions!$C$5,D4606)),Assumptions!$D$5,IF(ISNUMBER(SEARCH(Assumptions!$C$6,D4606)),Assumptions!$D$6,IF(ISNUMBER(SEARCH(Assumptions!$C$7,D4606)),Assumptions!$D$7,"Other Services"))),"Other Services"))</f>
        <v/>
      </c>
    </row>
    <row r="4607" customFormat="false" ht="15" hidden="false" customHeight="false" outlineLevel="0" collapsed="false">
      <c r="F4607" s="41" t="str">
        <f aca="false">IF(D4607="","",IFERROR(IF(ISNUMBER(SEARCH(Assumptions!$C$5,D4607)),Assumptions!$D$5,IF(ISNUMBER(SEARCH(Assumptions!$C$6,D4607)),Assumptions!$D$6,IF(ISNUMBER(SEARCH(Assumptions!$C$7,D4607)),Assumptions!$D$7,"Other Services"))),"Other Services"))</f>
        <v/>
      </c>
    </row>
    <row r="4608" customFormat="false" ht="15" hidden="false" customHeight="false" outlineLevel="0" collapsed="false">
      <c r="F4608" s="41" t="str">
        <f aca="false">IF(D4608="","",IFERROR(IF(ISNUMBER(SEARCH(Assumptions!$C$5,D4608)),Assumptions!$D$5,IF(ISNUMBER(SEARCH(Assumptions!$C$6,D4608)),Assumptions!$D$6,IF(ISNUMBER(SEARCH(Assumptions!$C$7,D4608)),Assumptions!$D$7,"Other Services"))),"Other Services"))</f>
        <v/>
      </c>
    </row>
    <row r="4609" customFormat="false" ht="15" hidden="false" customHeight="false" outlineLevel="0" collapsed="false">
      <c r="F4609" s="41" t="str">
        <f aca="false">IF(D4609="","",IFERROR(IF(ISNUMBER(SEARCH(Assumptions!$C$5,D4609)),Assumptions!$D$5,IF(ISNUMBER(SEARCH(Assumptions!$C$6,D4609)),Assumptions!$D$6,IF(ISNUMBER(SEARCH(Assumptions!$C$7,D4609)),Assumptions!$D$7,"Other Services"))),"Other Services"))</f>
        <v/>
      </c>
    </row>
    <row r="4610" customFormat="false" ht="15" hidden="false" customHeight="false" outlineLevel="0" collapsed="false">
      <c r="F4610" s="41" t="str">
        <f aca="false">IF(D4610="","",IFERROR(IF(ISNUMBER(SEARCH(Assumptions!$C$5,D4610)),Assumptions!$D$5,IF(ISNUMBER(SEARCH(Assumptions!$C$6,D4610)),Assumptions!$D$6,IF(ISNUMBER(SEARCH(Assumptions!$C$7,D4610)),Assumptions!$D$7,"Other Services"))),"Other Services"))</f>
        <v/>
      </c>
    </row>
    <row r="4611" customFormat="false" ht="15" hidden="false" customHeight="false" outlineLevel="0" collapsed="false">
      <c r="F4611" s="41" t="str">
        <f aca="false">IF(D4611="","",IFERROR(IF(ISNUMBER(SEARCH(Assumptions!$C$5,D4611)),Assumptions!$D$5,IF(ISNUMBER(SEARCH(Assumptions!$C$6,D4611)),Assumptions!$D$6,IF(ISNUMBER(SEARCH(Assumptions!$C$7,D4611)),Assumptions!$D$7,"Other Services"))),"Other Services"))</f>
        <v/>
      </c>
    </row>
    <row r="4612" customFormat="false" ht="15" hidden="false" customHeight="false" outlineLevel="0" collapsed="false">
      <c r="F4612" s="41" t="str">
        <f aca="false">IF(D4612="","",IFERROR(IF(ISNUMBER(SEARCH(Assumptions!$C$5,D4612)),Assumptions!$D$5,IF(ISNUMBER(SEARCH(Assumptions!$C$6,D4612)),Assumptions!$D$6,IF(ISNUMBER(SEARCH(Assumptions!$C$7,D4612)),Assumptions!$D$7,"Other Services"))),"Other Services"))</f>
        <v/>
      </c>
    </row>
    <row r="4613" customFormat="false" ht="15" hidden="false" customHeight="false" outlineLevel="0" collapsed="false">
      <c r="F4613" s="41" t="str">
        <f aca="false">IF(D4613="","",IFERROR(IF(ISNUMBER(SEARCH(Assumptions!$C$5,D4613)),Assumptions!$D$5,IF(ISNUMBER(SEARCH(Assumptions!$C$6,D4613)),Assumptions!$D$6,IF(ISNUMBER(SEARCH(Assumptions!$C$7,D4613)),Assumptions!$D$7,"Other Services"))),"Other Services"))</f>
        <v/>
      </c>
    </row>
    <row r="4614" customFormat="false" ht="15" hidden="false" customHeight="false" outlineLevel="0" collapsed="false">
      <c r="F4614" s="41" t="str">
        <f aca="false">IF(D4614="","",IFERROR(IF(ISNUMBER(SEARCH(Assumptions!$C$5,D4614)),Assumptions!$D$5,IF(ISNUMBER(SEARCH(Assumptions!$C$6,D4614)),Assumptions!$D$6,IF(ISNUMBER(SEARCH(Assumptions!$C$7,D4614)),Assumptions!$D$7,"Other Services"))),"Other Services"))</f>
        <v/>
      </c>
    </row>
    <row r="4615" customFormat="false" ht="15" hidden="false" customHeight="false" outlineLevel="0" collapsed="false">
      <c r="F4615" s="41" t="str">
        <f aca="false">IF(D4615="","",IFERROR(IF(ISNUMBER(SEARCH(Assumptions!$C$5,D4615)),Assumptions!$D$5,IF(ISNUMBER(SEARCH(Assumptions!$C$6,D4615)),Assumptions!$D$6,IF(ISNUMBER(SEARCH(Assumptions!$C$7,D4615)),Assumptions!$D$7,"Other Services"))),"Other Services"))</f>
        <v/>
      </c>
    </row>
    <row r="4616" customFormat="false" ht="15" hidden="false" customHeight="false" outlineLevel="0" collapsed="false">
      <c r="F4616" s="41" t="str">
        <f aca="false">IF(D4616="","",IFERROR(IF(ISNUMBER(SEARCH(Assumptions!$C$5,D4616)),Assumptions!$D$5,IF(ISNUMBER(SEARCH(Assumptions!$C$6,D4616)),Assumptions!$D$6,IF(ISNUMBER(SEARCH(Assumptions!$C$7,D4616)),Assumptions!$D$7,"Other Services"))),"Other Services"))</f>
        <v/>
      </c>
    </row>
    <row r="4617" customFormat="false" ht="15" hidden="false" customHeight="false" outlineLevel="0" collapsed="false">
      <c r="F4617" s="41" t="str">
        <f aca="false">IF(D4617="","",IFERROR(IF(ISNUMBER(SEARCH(Assumptions!$C$5,D4617)),Assumptions!$D$5,IF(ISNUMBER(SEARCH(Assumptions!$C$6,D4617)),Assumptions!$D$6,IF(ISNUMBER(SEARCH(Assumptions!$C$7,D4617)),Assumptions!$D$7,"Other Services"))),"Other Services"))</f>
        <v/>
      </c>
    </row>
    <row r="4618" customFormat="false" ht="15" hidden="false" customHeight="false" outlineLevel="0" collapsed="false">
      <c r="F4618" s="41" t="str">
        <f aca="false">IF(D4618="","",IFERROR(IF(ISNUMBER(SEARCH(Assumptions!$C$5,D4618)),Assumptions!$D$5,IF(ISNUMBER(SEARCH(Assumptions!$C$6,D4618)),Assumptions!$D$6,IF(ISNUMBER(SEARCH(Assumptions!$C$7,D4618)),Assumptions!$D$7,"Other Services"))),"Other Services"))</f>
        <v/>
      </c>
    </row>
    <row r="4619" customFormat="false" ht="15" hidden="false" customHeight="false" outlineLevel="0" collapsed="false">
      <c r="F4619" s="41" t="str">
        <f aca="false">IF(D4619="","",IFERROR(IF(ISNUMBER(SEARCH(Assumptions!$C$5,D4619)),Assumptions!$D$5,IF(ISNUMBER(SEARCH(Assumptions!$C$6,D4619)),Assumptions!$D$6,IF(ISNUMBER(SEARCH(Assumptions!$C$7,D4619)),Assumptions!$D$7,"Other Services"))),"Other Services"))</f>
        <v/>
      </c>
    </row>
    <row r="4620" customFormat="false" ht="15" hidden="false" customHeight="false" outlineLevel="0" collapsed="false">
      <c r="F4620" s="41" t="str">
        <f aca="false">IF(D4620="","",IFERROR(IF(ISNUMBER(SEARCH(Assumptions!$C$5,D4620)),Assumptions!$D$5,IF(ISNUMBER(SEARCH(Assumptions!$C$6,D4620)),Assumptions!$D$6,IF(ISNUMBER(SEARCH(Assumptions!$C$7,D4620)),Assumptions!$D$7,"Other Services"))),"Other Services"))</f>
        <v/>
      </c>
    </row>
    <row r="4621" customFormat="false" ht="15" hidden="false" customHeight="false" outlineLevel="0" collapsed="false">
      <c r="F4621" s="41" t="str">
        <f aca="false">IF(D4621="","",IFERROR(IF(ISNUMBER(SEARCH(Assumptions!$C$5,D4621)),Assumptions!$D$5,IF(ISNUMBER(SEARCH(Assumptions!$C$6,D4621)),Assumptions!$D$6,IF(ISNUMBER(SEARCH(Assumptions!$C$7,D4621)),Assumptions!$D$7,"Other Services"))),"Other Services"))</f>
        <v/>
      </c>
    </row>
    <row r="4622" customFormat="false" ht="15" hidden="false" customHeight="false" outlineLevel="0" collapsed="false">
      <c r="F4622" s="41" t="str">
        <f aca="false">IF(D4622="","",IFERROR(IF(ISNUMBER(SEARCH(Assumptions!$C$5,D4622)),Assumptions!$D$5,IF(ISNUMBER(SEARCH(Assumptions!$C$6,D4622)),Assumptions!$D$6,IF(ISNUMBER(SEARCH(Assumptions!$C$7,D4622)),Assumptions!$D$7,"Other Services"))),"Other Services"))</f>
        <v/>
      </c>
    </row>
    <row r="4623" customFormat="false" ht="15" hidden="false" customHeight="false" outlineLevel="0" collapsed="false">
      <c r="F4623" s="41" t="str">
        <f aca="false">IF(D4623="","",IFERROR(IF(ISNUMBER(SEARCH(Assumptions!$C$5,D4623)),Assumptions!$D$5,IF(ISNUMBER(SEARCH(Assumptions!$C$6,D4623)),Assumptions!$D$6,IF(ISNUMBER(SEARCH(Assumptions!$C$7,D4623)),Assumptions!$D$7,"Other Services"))),"Other Services"))</f>
        <v/>
      </c>
    </row>
    <row r="4624" customFormat="false" ht="15" hidden="false" customHeight="false" outlineLevel="0" collapsed="false">
      <c r="F4624" s="41" t="str">
        <f aca="false">IF(D4624="","",IFERROR(IF(ISNUMBER(SEARCH(Assumptions!$C$5,D4624)),Assumptions!$D$5,IF(ISNUMBER(SEARCH(Assumptions!$C$6,D4624)),Assumptions!$D$6,IF(ISNUMBER(SEARCH(Assumptions!$C$7,D4624)),Assumptions!$D$7,"Other Services"))),"Other Services"))</f>
        <v/>
      </c>
    </row>
    <row r="4625" customFormat="false" ht="15" hidden="false" customHeight="false" outlineLevel="0" collapsed="false">
      <c r="F4625" s="41" t="str">
        <f aca="false">IF(D4625="","",IFERROR(IF(ISNUMBER(SEARCH(Assumptions!$C$5,D4625)),Assumptions!$D$5,IF(ISNUMBER(SEARCH(Assumptions!$C$6,D4625)),Assumptions!$D$6,IF(ISNUMBER(SEARCH(Assumptions!$C$7,D4625)),Assumptions!$D$7,"Other Services"))),"Other Services"))</f>
        <v/>
      </c>
    </row>
    <row r="4626" customFormat="false" ht="15" hidden="false" customHeight="false" outlineLevel="0" collapsed="false">
      <c r="F4626" s="41" t="str">
        <f aca="false">IF(D4626="","",IFERROR(IF(ISNUMBER(SEARCH(Assumptions!$C$5,D4626)),Assumptions!$D$5,IF(ISNUMBER(SEARCH(Assumptions!$C$6,D4626)),Assumptions!$D$6,IF(ISNUMBER(SEARCH(Assumptions!$C$7,D4626)),Assumptions!$D$7,"Other Services"))),"Other Services"))</f>
        <v/>
      </c>
    </row>
    <row r="4627" customFormat="false" ht="15" hidden="false" customHeight="false" outlineLevel="0" collapsed="false">
      <c r="F4627" s="41" t="str">
        <f aca="false">IF(D4627="","",IFERROR(IF(ISNUMBER(SEARCH(Assumptions!$C$5,D4627)),Assumptions!$D$5,IF(ISNUMBER(SEARCH(Assumptions!$C$6,D4627)),Assumptions!$D$6,IF(ISNUMBER(SEARCH(Assumptions!$C$7,D4627)),Assumptions!$D$7,"Other Services"))),"Other Services"))</f>
        <v/>
      </c>
    </row>
    <row r="4628" customFormat="false" ht="15" hidden="false" customHeight="false" outlineLevel="0" collapsed="false">
      <c r="F4628" s="41" t="str">
        <f aca="false">IF(D4628="","",IFERROR(IF(ISNUMBER(SEARCH(Assumptions!$C$5,D4628)),Assumptions!$D$5,IF(ISNUMBER(SEARCH(Assumptions!$C$6,D4628)),Assumptions!$D$6,IF(ISNUMBER(SEARCH(Assumptions!$C$7,D4628)),Assumptions!$D$7,"Other Services"))),"Other Services"))</f>
        <v/>
      </c>
    </row>
    <row r="4629" customFormat="false" ht="15" hidden="false" customHeight="false" outlineLevel="0" collapsed="false">
      <c r="F4629" s="41" t="str">
        <f aca="false">IF(D4629="","",IFERROR(IF(ISNUMBER(SEARCH(Assumptions!$C$5,D4629)),Assumptions!$D$5,IF(ISNUMBER(SEARCH(Assumptions!$C$6,D4629)),Assumptions!$D$6,IF(ISNUMBER(SEARCH(Assumptions!$C$7,D4629)),Assumptions!$D$7,"Other Services"))),"Other Services"))</f>
        <v/>
      </c>
    </row>
    <row r="4630" customFormat="false" ht="15" hidden="false" customHeight="false" outlineLevel="0" collapsed="false">
      <c r="F4630" s="41" t="str">
        <f aca="false">IF(D4630="","",IFERROR(IF(ISNUMBER(SEARCH(Assumptions!$C$5,D4630)),Assumptions!$D$5,IF(ISNUMBER(SEARCH(Assumptions!$C$6,D4630)),Assumptions!$D$6,IF(ISNUMBER(SEARCH(Assumptions!$C$7,D4630)),Assumptions!$D$7,"Other Services"))),"Other Services"))</f>
        <v/>
      </c>
    </row>
    <row r="4631" customFormat="false" ht="15" hidden="false" customHeight="false" outlineLevel="0" collapsed="false">
      <c r="F4631" s="41" t="str">
        <f aca="false">IF(D4631="","",IFERROR(IF(ISNUMBER(SEARCH(Assumptions!$C$5,D4631)),Assumptions!$D$5,IF(ISNUMBER(SEARCH(Assumptions!$C$6,D4631)),Assumptions!$D$6,IF(ISNUMBER(SEARCH(Assumptions!$C$7,D4631)),Assumptions!$D$7,"Other Services"))),"Other Services"))</f>
        <v/>
      </c>
    </row>
    <row r="4632" customFormat="false" ht="15" hidden="false" customHeight="false" outlineLevel="0" collapsed="false">
      <c r="F4632" s="41" t="str">
        <f aca="false">IF(D4632="","",IFERROR(IF(ISNUMBER(SEARCH(Assumptions!$C$5,D4632)),Assumptions!$D$5,IF(ISNUMBER(SEARCH(Assumptions!$C$6,D4632)),Assumptions!$D$6,IF(ISNUMBER(SEARCH(Assumptions!$C$7,D4632)),Assumptions!$D$7,"Other Services"))),"Other Services"))</f>
        <v/>
      </c>
    </row>
    <row r="4633" customFormat="false" ht="15" hidden="false" customHeight="false" outlineLevel="0" collapsed="false">
      <c r="F4633" s="41" t="str">
        <f aca="false">IF(D4633="","",IFERROR(IF(ISNUMBER(SEARCH(Assumptions!$C$5,D4633)),Assumptions!$D$5,IF(ISNUMBER(SEARCH(Assumptions!$C$6,D4633)),Assumptions!$D$6,IF(ISNUMBER(SEARCH(Assumptions!$C$7,D4633)),Assumptions!$D$7,"Other Services"))),"Other Services"))</f>
        <v/>
      </c>
    </row>
    <row r="4634" customFormat="false" ht="15" hidden="false" customHeight="false" outlineLevel="0" collapsed="false">
      <c r="F4634" s="41" t="str">
        <f aca="false">IF(D4634="","",IFERROR(IF(ISNUMBER(SEARCH(Assumptions!$C$5,D4634)),Assumptions!$D$5,IF(ISNUMBER(SEARCH(Assumptions!$C$6,D4634)),Assumptions!$D$6,IF(ISNUMBER(SEARCH(Assumptions!$C$7,D4634)),Assumptions!$D$7,"Other Services"))),"Other Services"))</f>
        <v/>
      </c>
    </row>
    <row r="4635" customFormat="false" ht="15" hidden="false" customHeight="false" outlineLevel="0" collapsed="false">
      <c r="F4635" s="41" t="str">
        <f aca="false">IF(D4635="","",IFERROR(IF(ISNUMBER(SEARCH(Assumptions!$C$5,D4635)),Assumptions!$D$5,IF(ISNUMBER(SEARCH(Assumptions!$C$6,D4635)),Assumptions!$D$6,IF(ISNUMBER(SEARCH(Assumptions!$C$7,D4635)),Assumptions!$D$7,"Other Services"))),"Other Services"))</f>
        <v/>
      </c>
    </row>
    <row r="4636" customFormat="false" ht="15" hidden="false" customHeight="false" outlineLevel="0" collapsed="false">
      <c r="F4636" s="41" t="str">
        <f aca="false">IF(D4636="","",IFERROR(IF(ISNUMBER(SEARCH(Assumptions!$C$5,D4636)),Assumptions!$D$5,IF(ISNUMBER(SEARCH(Assumptions!$C$6,D4636)),Assumptions!$D$6,IF(ISNUMBER(SEARCH(Assumptions!$C$7,D4636)),Assumptions!$D$7,"Other Services"))),"Other Services"))</f>
        <v/>
      </c>
    </row>
    <row r="4637" customFormat="false" ht="15" hidden="false" customHeight="false" outlineLevel="0" collapsed="false">
      <c r="F4637" s="41" t="str">
        <f aca="false">IF(D4637="","",IFERROR(IF(ISNUMBER(SEARCH(Assumptions!$C$5,D4637)),Assumptions!$D$5,IF(ISNUMBER(SEARCH(Assumptions!$C$6,D4637)),Assumptions!$D$6,IF(ISNUMBER(SEARCH(Assumptions!$C$7,D4637)),Assumptions!$D$7,"Other Services"))),"Other Services"))</f>
        <v/>
      </c>
    </row>
    <row r="4638" customFormat="false" ht="15" hidden="false" customHeight="false" outlineLevel="0" collapsed="false">
      <c r="F4638" s="41" t="str">
        <f aca="false">IF(D4638="","",IFERROR(IF(ISNUMBER(SEARCH(Assumptions!$C$5,D4638)),Assumptions!$D$5,IF(ISNUMBER(SEARCH(Assumptions!$C$6,D4638)),Assumptions!$D$6,IF(ISNUMBER(SEARCH(Assumptions!$C$7,D4638)),Assumptions!$D$7,"Other Services"))),"Other Services"))</f>
        <v/>
      </c>
    </row>
    <row r="4639" customFormat="false" ht="15" hidden="false" customHeight="false" outlineLevel="0" collapsed="false">
      <c r="F4639" s="41" t="str">
        <f aca="false">IF(D4639="","",IFERROR(IF(ISNUMBER(SEARCH(Assumptions!$C$5,D4639)),Assumptions!$D$5,IF(ISNUMBER(SEARCH(Assumptions!$C$6,D4639)),Assumptions!$D$6,IF(ISNUMBER(SEARCH(Assumptions!$C$7,D4639)),Assumptions!$D$7,"Other Services"))),"Other Services"))</f>
        <v/>
      </c>
    </row>
    <row r="4640" customFormat="false" ht="15" hidden="false" customHeight="false" outlineLevel="0" collapsed="false">
      <c r="F4640" s="41" t="str">
        <f aca="false">IF(D4640="","",IFERROR(IF(ISNUMBER(SEARCH(Assumptions!$C$5,D4640)),Assumptions!$D$5,IF(ISNUMBER(SEARCH(Assumptions!$C$6,D4640)),Assumptions!$D$6,IF(ISNUMBER(SEARCH(Assumptions!$C$7,D4640)),Assumptions!$D$7,"Other Services"))),"Other Services"))</f>
        <v/>
      </c>
    </row>
    <row r="4641" customFormat="false" ht="15" hidden="false" customHeight="false" outlineLevel="0" collapsed="false">
      <c r="F4641" s="41" t="str">
        <f aca="false">IF(D4641="","",IFERROR(IF(ISNUMBER(SEARCH(Assumptions!$C$5,D4641)),Assumptions!$D$5,IF(ISNUMBER(SEARCH(Assumptions!$C$6,D4641)),Assumptions!$D$6,IF(ISNUMBER(SEARCH(Assumptions!$C$7,D4641)),Assumptions!$D$7,"Other Services"))),"Other Services"))</f>
        <v/>
      </c>
    </row>
    <row r="4642" customFormat="false" ht="15" hidden="false" customHeight="false" outlineLevel="0" collapsed="false">
      <c r="F4642" s="41" t="str">
        <f aca="false">IF(D4642="","",IFERROR(IF(ISNUMBER(SEARCH(Assumptions!$C$5,D4642)),Assumptions!$D$5,IF(ISNUMBER(SEARCH(Assumptions!$C$6,D4642)),Assumptions!$D$6,IF(ISNUMBER(SEARCH(Assumptions!$C$7,D4642)),Assumptions!$D$7,"Other Services"))),"Other Services"))</f>
        <v/>
      </c>
    </row>
    <row r="4643" customFormat="false" ht="15" hidden="false" customHeight="false" outlineLevel="0" collapsed="false">
      <c r="F4643" s="41" t="str">
        <f aca="false">IF(D4643="","",IFERROR(IF(ISNUMBER(SEARCH(Assumptions!$C$5,D4643)),Assumptions!$D$5,IF(ISNUMBER(SEARCH(Assumptions!$C$6,D4643)),Assumptions!$D$6,IF(ISNUMBER(SEARCH(Assumptions!$C$7,D4643)),Assumptions!$D$7,"Other Services"))),"Other Services"))</f>
        <v/>
      </c>
    </row>
    <row r="4644" customFormat="false" ht="15" hidden="false" customHeight="false" outlineLevel="0" collapsed="false">
      <c r="F4644" s="41" t="str">
        <f aca="false">IF(D4644="","",IFERROR(IF(ISNUMBER(SEARCH(Assumptions!$C$5,D4644)),Assumptions!$D$5,IF(ISNUMBER(SEARCH(Assumptions!$C$6,D4644)),Assumptions!$D$6,IF(ISNUMBER(SEARCH(Assumptions!$C$7,D4644)),Assumptions!$D$7,"Other Services"))),"Other Services"))</f>
        <v/>
      </c>
    </row>
    <row r="4645" customFormat="false" ht="15" hidden="false" customHeight="false" outlineLevel="0" collapsed="false">
      <c r="F4645" s="41" t="str">
        <f aca="false">IF(D4645="","",IFERROR(IF(ISNUMBER(SEARCH(Assumptions!$C$5,D4645)),Assumptions!$D$5,IF(ISNUMBER(SEARCH(Assumptions!$C$6,D4645)),Assumptions!$D$6,IF(ISNUMBER(SEARCH(Assumptions!$C$7,D4645)),Assumptions!$D$7,"Other Services"))),"Other Services"))</f>
        <v/>
      </c>
    </row>
    <row r="4646" customFormat="false" ht="15" hidden="false" customHeight="false" outlineLevel="0" collapsed="false">
      <c r="F4646" s="41" t="str">
        <f aca="false">IF(D4646="","",IFERROR(IF(ISNUMBER(SEARCH(Assumptions!$C$5,D4646)),Assumptions!$D$5,IF(ISNUMBER(SEARCH(Assumptions!$C$6,D4646)),Assumptions!$D$6,IF(ISNUMBER(SEARCH(Assumptions!$C$7,D4646)),Assumptions!$D$7,"Other Services"))),"Other Services"))</f>
        <v/>
      </c>
    </row>
    <row r="4647" customFormat="false" ht="15" hidden="false" customHeight="false" outlineLevel="0" collapsed="false">
      <c r="F4647" s="41" t="str">
        <f aca="false">IF(D4647="","",IFERROR(IF(ISNUMBER(SEARCH(Assumptions!$C$5,D4647)),Assumptions!$D$5,IF(ISNUMBER(SEARCH(Assumptions!$C$6,D4647)),Assumptions!$D$6,IF(ISNUMBER(SEARCH(Assumptions!$C$7,D4647)),Assumptions!$D$7,"Other Services"))),"Other Services"))</f>
        <v/>
      </c>
    </row>
    <row r="4648" customFormat="false" ht="15" hidden="false" customHeight="false" outlineLevel="0" collapsed="false">
      <c r="F4648" s="41" t="str">
        <f aca="false">IF(D4648="","",IFERROR(IF(ISNUMBER(SEARCH(Assumptions!$C$5,D4648)),Assumptions!$D$5,IF(ISNUMBER(SEARCH(Assumptions!$C$6,D4648)),Assumptions!$D$6,IF(ISNUMBER(SEARCH(Assumptions!$C$7,D4648)),Assumptions!$D$7,"Other Services"))),"Other Services"))</f>
        <v/>
      </c>
    </row>
    <row r="4649" customFormat="false" ht="15" hidden="false" customHeight="false" outlineLevel="0" collapsed="false">
      <c r="F4649" s="41" t="str">
        <f aca="false">IF(D4649="","",IFERROR(IF(ISNUMBER(SEARCH(Assumptions!$C$5,D4649)),Assumptions!$D$5,IF(ISNUMBER(SEARCH(Assumptions!$C$6,D4649)),Assumptions!$D$6,IF(ISNUMBER(SEARCH(Assumptions!$C$7,D4649)),Assumptions!$D$7,"Other Services"))),"Other Services"))</f>
        <v/>
      </c>
    </row>
    <row r="4650" customFormat="false" ht="15" hidden="false" customHeight="false" outlineLevel="0" collapsed="false">
      <c r="F4650" s="41" t="str">
        <f aca="false">IF(D4650="","",IFERROR(IF(ISNUMBER(SEARCH(Assumptions!$C$5,D4650)),Assumptions!$D$5,IF(ISNUMBER(SEARCH(Assumptions!$C$6,D4650)),Assumptions!$D$6,IF(ISNUMBER(SEARCH(Assumptions!$C$7,D4650)),Assumptions!$D$7,"Other Services"))),"Other Services"))</f>
        <v/>
      </c>
    </row>
    <row r="4651" customFormat="false" ht="15" hidden="false" customHeight="false" outlineLevel="0" collapsed="false">
      <c r="F4651" s="41" t="str">
        <f aca="false">IF(D4651="","",IFERROR(IF(ISNUMBER(SEARCH(Assumptions!$C$5,D4651)),Assumptions!$D$5,IF(ISNUMBER(SEARCH(Assumptions!$C$6,D4651)),Assumptions!$D$6,IF(ISNUMBER(SEARCH(Assumptions!$C$7,D4651)),Assumptions!$D$7,"Other Services"))),"Other Services"))</f>
        <v/>
      </c>
    </row>
    <row r="4652" customFormat="false" ht="15" hidden="false" customHeight="false" outlineLevel="0" collapsed="false">
      <c r="F4652" s="41" t="str">
        <f aca="false">IF(D4652="","",IFERROR(IF(ISNUMBER(SEARCH(Assumptions!$C$5,D4652)),Assumptions!$D$5,IF(ISNUMBER(SEARCH(Assumptions!$C$6,D4652)),Assumptions!$D$6,IF(ISNUMBER(SEARCH(Assumptions!$C$7,D4652)),Assumptions!$D$7,"Other Services"))),"Other Services"))</f>
        <v/>
      </c>
    </row>
    <row r="4653" customFormat="false" ht="15" hidden="false" customHeight="false" outlineLevel="0" collapsed="false">
      <c r="F4653" s="41" t="str">
        <f aca="false">IF(D4653="","",IFERROR(IF(ISNUMBER(SEARCH(Assumptions!$C$5,D4653)),Assumptions!$D$5,IF(ISNUMBER(SEARCH(Assumptions!$C$6,D4653)),Assumptions!$D$6,IF(ISNUMBER(SEARCH(Assumptions!$C$7,D4653)),Assumptions!$D$7,"Other Services"))),"Other Services"))</f>
        <v/>
      </c>
    </row>
    <row r="4654" customFormat="false" ht="15" hidden="false" customHeight="false" outlineLevel="0" collapsed="false">
      <c r="F4654" s="41" t="str">
        <f aca="false">IF(D4654="","",IFERROR(IF(ISNUMBER(SEARCH(Assumptions!$C$5,D4654)),Assumptions!$D$5,IF(ISNUMBER(SEARCH(Assumptions!$C$6,D4654)),Assumptions!$D$6,IF(ISNUMBER(SEARCH(Assumptions!$C$7,D4654)),Assumptions!$D$7,"Other Services"))),"Other Services"))</f>
        <v/>
      </c>
    </row>
    <row r="4655" customFormat="false" ht="15" hidden="false" customHeight="false" outlineLevel="0" collapsed="false">
      <c r="F4655" s="41" t="str">
        <f aca="false">IF(D4655="","",IFERROR(IF(ISNUMBER(SEARCH(Assumptions!$C$5,D4655)),Assumptions!$D$5,IF(ISNUMBER(SEARCH(Assumptions!$C$6,D4655)),Assumptions!$D$6,IF(ISNUMBER(SEARCH(Assumptions!$C$7,D4655)),Assumptions!$D$7,"Other Services"))),"Other Services"))</f>
        <v/>
      </c>
    </row>
    <row r="4656" customFormat="false" ht="15" hidden="false" customHeight="false" outlineLevel="0" collapsed="false">
      <c r="F4656" s="41" t="str">
        <f aca="false">IF(D4656="","",IFERROR(IF(ISNUMBER(SEARCH(Assumptions!$C$5,D4656)),Assumptions!$D$5,IF(ISNUMBER(SEARCH(Assumptions!$C$6,D4656)),Assumptions!$D$6,IF(ISNUMBER(SEARCH(Assumptions!$C$7,D4656)),Assumptions!$D$7,"Other Services"))),"Other Services"))</f>
        <v/>
      </c>
    </row>
    <row r="4657" customFormat="false" ht="15" hidden="false" customHeight="false" outlineLevel="0" collapsed="false">
      <c r="F4657" s="41" t="str">
        <f aca="false">IF(D4657="","",IFERROR(IF(ISNUMBER(SEARCH(Assumptions!$C$5,D4657)),Assumptions!$D$5,IF(ISNUMBER(SEARCH(Assumptions!$C$6,D4657)),Assumptions!$D$6,IF(ISNUMBER(SEARCH(Assumptions!$C$7,D4657)),Assumptions!$D$7,"Other Services"))),"Other Services"))</f>
        <v/>
      </c>
    </row>
    <row r="4658" customFormat="false" ht="15" hidden="false" customHeight="false" outlineLevel="0" collapsed="false">
      <c r="F4658" s="41" t="str">
        <f aca="false">IF(D4658="","",IFERROR(IF(ISNUMBER(SEARCH(Assumptions!$C$5,D4658)),Assumptions!$D$5,IF(ISNUMBER(SEARCH(Assumptions!$C$6,D4658)),Assumptions!$D$6,IF(ISNUMBER(SEARCH(Assumptions!$C$7,D4658)),Assumptions!$D$7,"Other Services"))),"Other Services"))</f>
        <v/>
      </c>
    </row>
    <row r="4659" customFormat="false" ht="15" hidden="false" customHeight="false" outlineLevel="0" collapsed="false">
      <c r="F4659" s="41" t="str">
        <f aca="false">IF(D4659="","",IFERROR(IF(ISNUMBER(SEARCH(Assumptions!$C$5,D4659)),Assumptions!$D$5,IF(ISNUMBER(SEARCH(Assumptions!$C$6,D4659)),Assumptions!$D$6,IF(ISNUMBER(SEARCH(Assumptions!$C$7,D4659)),Assumptions!$D$7,"Other Services"))),"Other Services"))</f>
        <v/>
      </c>
    </row>
    <row r="4660" customFormat="false" ht="15" hidden="false" customHeight="false" outlineLevel="0" collapsed="false">
      <c r="F4660" s="41" t="str">
        <f aca="false">IF(D4660="","",IFERROR(IF(ISNUMBER(SEARCH(Assumptions!$C$5,D4660)),Assumptions!$D$5,IF(ISNUMBER(SEARCH(Assumptions!$C$6,D4660)),Assumptions!$D$6,IF(ISNUMBER(SEARCH(Assumptions!$C$7,D4660)),Assumptions!$D$7,"Other Services"))),"Other Services"))</f>
        <v/>
      </c>
    </row>
    <row r="4661" customFormat="false" ht="15" hidden="false" customHeight="false" outlineLevel="0" collapsed="false">
      <c r="F4661" s="41" t="str">
        <f aca="false">IF(D4661="","",IFERROR(IF(ISNUMBER(SEARCH(Assumptions!$C$5,D4661)),Assumptions!$D$5,IF(ISNUMBER(SEARCH(Assumptions!$C$6,D4661)),Assumptions!$D$6,IF(ISNUMBER(SEARCH(Assumptions!$C$7,D4661)),Assumptions!$D$7,"Other Services"))),"Other Services"))</f>
        <v/>
      </c>
    </row>
    <row r="4662" customFormat="false" ht="15" hidden="false" customHeight="false" outlineLevel="0" collapsed="false">
      <c r="F4662" s="41" t="str">
        <f aca="false">IF(D4662="","",IFERROR(IF(ISNUMBER(SEARCH(Assumptions!$C$5,D4662)),Assumptions!$D$5,IF(ISNUMBER(SEARCH(Assumptions!$C$6,D4662)),Assumptions!$D$6,IF(ISNUMBER(SEARCH(Assumptions!$C$7,D4662)),Assumptions!$D$7,"Other Services"))),"Other Services"))</f>
        <v/>
      </c>
    </row>
    <row r="4663" customFormat="false" ht="15" hidden="false" customHeight="false" outlineLevel="0" collapsed="false">
      <c r="F4663" s="41" t="str">
        <f aca="false">IF(D4663="","",IFERROR(IF(ISNUMBER(SEARCH(Assumptions!$C$5,D4663)),Assumptions!$D$5,IF(ISNUMBER(SEARCH(Assumptions!$C$6,D4663)),Assumptions!$D$6,IF(ISNUMBER(SEARCH(Assumptions!$C$7,D4663)),Assumptions!$D$7,"Other Services"))),"Other Services"))</f>
        <v/>
      </c>
    </row>
    <row r="4664" customFormat="false" ht="15" hidden="false" customHeight="false" outlineLevel="0" collapsed="false">
      <c r="F4664" s="41" t="str">
        <f aca="false">IF(D4664="","",IFERROR(IF(ISNUMBER(SEARCH(Assumptions!$C$5,D4664)),Assumptions!$D$5,IF(ISNUMBER(SEARCH(Assumptions!$C$6,D4664)),Assumptions!$D$6,IF(ISNUMBER(SEARCH(Assumptions!$C$7,D4664)),Assumptions!$D$7,"Other Services"))),"Other Services"))</f>
        <v/>
      </c>
    </row>
    <row r="4665" customFormat="false" ht="15" hidden="false" customHeight="false" outlineLevel="0" collapsed="false">
      <c r="F4665" s="41" t="str">
        <f aca="false">IF(D4665="","",IFERROR(IF(ISNUMBER(SEARCH(Assumptions!$C$5,D4665)),Assumptions!$D$5,IF(ISNUMBER(SEARCH(Assumptions!$C$6,D4665)),Assumptions!$D$6,IF(ISNUMBER(SEARCH(Assumptions!$C$7,D4665)),Assumptions!$D$7,"Other Services"))),"Other Services"))</f>
        <v/>
      </c>
    </row>
    <row r="4666" customFormat="false" ht="15" hidden="false" customHeight="false" outlineLevel="0" collapsed="false">
      <c r="F4666" s="41" t="str">
        <f aca="false">IF(D4666="","",IFERROR(IF(ISNUMBER(SEARCH(Assumptions!$C$5,D4666)),Assumptions!$D$5,IF(ISNUMBER(SEARCH(Assumptions!$C$6,D4666)),Assumptions!$D$6,IF(ISNUMBER(SEARCH(Assumptions!$C$7,D4666)),Assumptions!$D$7,"Other Services"))),"Other Services"))</f>
        <v/>
      </c>
    </row>
    <row r="4667" customFormat="false" ht="15" hidden="false" customHeight="false" outlineLevel="0" collapsed="false">
      <c r="F4667" s="41" t="str">
        <f aca="false">IF(D4667="","",IFERROR(IF(ISNUMBER(SEARCH(Assumptions!$C$5,D4667)),Assumptions!$D$5,IF(ISNUMBER(SEARCH(Assumptions!$C$6,D4667)),Assumptions!$D$6,IF(ISNUMBER(SEARCH(Assumptions!$C$7,D4667)),Assumptions!$D$7,"Other Services"))),"Other Services"))</f>
        <v/>
      </c>
    </row>
    <row r="4668" customFormat="false" ht="15" hidden="false" customHeight="false" outlineLevel="0" collapsed="false">
      <c r="F4668" s="41" t="str">
        <f aca="false">IF(D4668="","",IFERROR(IF(ISNUMBER(SEARCH(Assumptions!$C$5,D4668)),Assumptions!$D$5,IF(ISNUMBER(SEARCH(Assumptions!$C$6,D4668)),Assumptions!$D$6,IF(ISNUMBER(SEARCH(Assumptions!$C$7,D4668)),Assumptions!$D$7,"Other Services"))),"Other Services"))</f>
        <v/>
      </c>
    </row>
    <row r="4669" customFormat="false" ht="15" hidden="false" customHeight="false" outlineLevel="0" collapsed="false">
      <c r="F4669" s="41" t="str">
        <f aca="false">IF(D4669="","",IFERROR(IF(ISNUMBER(SEARCH(Assumptions!$C$5,D4669)),Assumptions!$D$5,IF(ISNUMBER(SEARCH(Assumptions!$C$6,D4669)),Assumptions!$D$6,IF(ISNUMBER(SEARCH(Assumptions!$C$7,D4669)),Assumptions!$D$7,"Other Services"))),"Other Services"))</f>
        <v/>
      </c>
    </row>
    <row r="4670" customFormat="false" ht="15" hidden="false" customHeight="false" outlineLevel="0" collapsed="false">
      <c r="F4670" s="41" t="str">
        <f aca="false">IF(D4670="","",IFERROR(IF(ISNUMBER(SEARCH(Assumptions!$C$5,D4670)),Assumptions!$D$5,IF(ISNUMBER(SEARCH(Assumptions!$C$6,D4670)),Assumptions!$D$6,IF(ISNUMBER(SEARCH(Assumptions!$C$7,D4670)),Assumptions!$D$7,"Other Services"))),"Other Services"))</f>
        <v/>
      </c>
    </row>
    <row r="4671" customFormat="false" ht="15" hidden="false" customHeight="false" outlineLevel="0" collapsed="false">
      <c r="F4671" s="41" t="str">
        <f aca="false">IF(D4671="","",IFERROR(IF(ISNUMBER(SEARCH(Assumptions!$C$5,D4671)),Assumptions!$D$5,IF(ISNUMBER(SEARCH(Assumptions!$C$6,D4671)),Assumptions!$D$6,IF(ISNUMBER(SEARCH(Assumptions!$C$7,D4671)),Assumptions!$D$7,"Other Services"))),"Other Services"))</f>
        <v/>
      </c>
    </row>
    <row r="4672" customFormat="false" ht="15" hidden="false" customHeight="false" outlineLevel="0" collapsed="false">
      <c r="F4672" s="41" t="str">
        <f aca="false">IF(D4672="","",IFERROR(IF(ISNUMBER(SEARCH(Assumptions!$C$5,D4672)),Assumptions!$D$5,IF(ISNUMBER(SEARCH(Assumptions!$C$6,D4672)),Assumptions!$D$6,IF(ISNUMBER(SEARCH(Assumptions!$C$7,D4672)),Assumptions!$D$7,"Other Services"))),"Other Services"))</f>
        <v/>
      </c>
    </row>
    <row r="4673" customFormat="false" ht="15" hidden="false" customHeight="false" outlineLevel="0" collapsed="false">
      <c r="F4673" s="41" t="str">
        <f aca="false">IF(D4673="","",IFERROR(IF(ISNUMBER(SEARCH(Assumptions!$C$5,D4673)),Assumptions!$D$5,IF(ISNUMBER(SEARCH(Assumptions!$C$6,D4673)),Assumptions!$D$6,IF(ISNUMBER(SEARCH(Assumptions!$C$7,D4673)),Assumptions!$D$7,"Other Services"))),"Other Services"))</f>
        <v/>
      </c>
    </row>
    <row r="4674" customFormat="false" ht="15" hidden="false" customHeight="false" outlineLevel="0" collapsed="false">
      <c r="F4674" s="41" t="str">
        <f aca="false">IF(D4674="","",IFERROR(IF(ISNUMBER(SEARCH(Assumptions!$C$5,D4674)),Assumptions!$D$5,IF(ISNUMBER(SEARCH(Assumptions!$C$6,D4674)),Assumptions!$D$6,IF(ISNUMBER(SEARCH(Assumptions!$C$7,D4674)),Assumptions!$D$7,"Other Services"))),"Other Services"))</f>
        <v/>
      </c>
    </row>
    <row r="4675" customFormat="false" ht="15" hidden="false" customHeight="false" outlineLevel="0" collapsed="false">
      <c r="F4675" s="41" t="str">
        <f aca="false">IF(D4675="","",IFERROR(IF(ISNUMBER(SEARCH(Assumptions!$C$5,D4675)),Assumptions!$D$5,IF(ISNUMBER(SEARCH(Assumptions!$C$6,D4675)),Assumptions!$D$6,IF(ISNUMBER(SEARCH(Assumptions!$C$7,D4675)),Assumptions!$D$7,"Other Services"))),"Other Services"))</f>
        <v/>
      </c>
    </row>
    <row r="4676" customFormat="false" ht="15" hidden="false" customHeight="false" outlineLevel="0" collapsed="false">
      <c r="F4676" s="41" t="str">
        <f aca="false">IF(D4676="","",IFERROR(IF(ISNUMBER(SEARCH(Assumptions!$C$5,D4676)),Assumptions!$D$5,IF(ISNUMBER(SEARCH(Assumptions!$C$6,D4676)),Assumptions!$D$6,IF(ISNUMBER(SEARCH(Assumptions!$C$7,D4676)),Assumptions!$D$7,"Other Services"))),"Other Services"))</f>
        <v/>
      </c>
    </row>
    <row r="4677" customFormat="false" ht="15" hidden="false" customHeight="false" outlineLevel="0" collapsed="false">
      <c r="F4677" s="41" t="str">
        <f aca="false">IF(D4677="","",IFERROR(IF(ISNUMBER(SEARCH(Assumptions!$C$5,D4677)),Assumptions!$D$5,IF(ISNUMBER(SEARCH(Assumptions!$C$6,D4677)),Assumptions!$D$6,IF(ISNUMBER(SEARCH(Assumptions!$C$7,D4677)),Assumptions!$D$7,"Other Services"))),"Other Services"))</f>
        <v/>
      </c>
    </row>
    <row r="4678" customFormat="false" ht="15" hidden="false" customHeight="false" outlineLevel="0" collapsed="false">
      <c r="F4678" s="41" t="str">
        <f aca="false">IF(D4678="","",IFERROR(IF(ISNUMBER(SEARCH(Assumptions!$C$5,D4678)),Assumptions!$D$5,IF(ISNUMBER(SEARCH(Assumptions!$C$6,D4678)),Assumptions!$D$6,IF(ISNUMBER(SEARCH(Assumptions!$C$7,D4678)),Assumptions!$D$7,"Other Services"))),"Other Services"))</f>
        <v/>
      </c>
    </row>
    <row r="4679" customFormat="false" ht="15" hidden="false" customHeight="false" outlineLevel="0" collapsed="false">
      <c r="F4679" s="41" t="str">
        <f aca="false">IF(D4679="","",IFERROR(IF(ISNUMBER(SEARCH(Assumptions!$C$5,D4679)),Assumptions!$D$5,IF(ISNUMBER(SEARCH(Assumptions!$C$6,D4679)),Assumptions!$D$6,IF(ISNUMBER(SEARCH(Assumptions!$C$7,D4679)),Assumptions!$D$7,"Other Services"))),"Other Services"))</f>
        <v/>
      </c>
    </row>
    <row r="4680" customFormat="false" ht="15" hidden="false" customHeight="false" outlineLevel="0" collapsed="false">
      <c r="F4680" s="41" t="str">
        <f aca="false">IF(D4680="","",IFERROR(IF(ISNUMBER(SEARCH(Assumptions!$C$5,D4680)),Assumptions!$D$5,IF(ISNUMBER(SEARCH(Assumptions!$C$6,D4680)),Assumptions!$D$6,IF(ISNUMBER(SEARCH(Assumptions!$C$7,D4680)),Assumptions!$D$7,"Other Services"))),"Other Services"))</f>
        <v/>
      </c>
    </row>
    <row r="4681" customFormat="false" ht="15" hidden="false" customHeight="false" outlineLevel="0" collapsed="false">
      <c r="F4681" s="41" t="str">
        <f aca="false">IF(D4681="","",IFERROR(IF(ISNUMBER(SEARCH(Assumptions!$C$5,D4681)),Assumptions!$D$5,IF(ISNUMBER(SEARCH(Assumptions!$C$6,D4681)),Assumptions!$D$6,IF(ISNUMBER(SEARCH(Assumptions!$C$7,D4681)),Assumptions!$D$7,"Other Services"))),"Other Services"))</f>
        <v/>
      </c>
    </row>
    <row r="4682" customFormat="false" ht="15" hidden="false" customHeight="false" outlineLevel="0" collapsed="false">
      <c r="F4682" s="41" t="str">
        <f aca="false">IF(D4682="","",IFERROR(IF(ISNUMBER(SEARCH(Assumptions!$C$5,D4682)),Assumptions!$D$5,IF(ISNUMBER(SEARCH(Assumptions!$C$6,D4682)),Assumptions!$D$6,IF(ISNUMBER(SEARCH(Assumptions!$C$7,D4682)),Assumptions!$D$7,"Other Services"))),"Other Services"))</f>
        <v/>
      </c>
    </row>
    <row r="4683" customFormat="false" ht="15" hidden="false" customHeight="false" outlineLevel="0" collapsed="false">
      <c r="F4683" s="41" t="str">
        <f aca="false">IF(D4683="","",IFERROR(IF(ISNUMBER(SEARCH(Assumptions!$C$5,D4683)),Assumptions!$D$5,IF(ISNUMBER(SEARCH(Assumptions!$C$6,D4683)),Assumptions!$D$6,IF(ISNUMBER(SEARCH(Assumptions!$C$7,D4683)),Assumptions!$D$7,"Other Services"))),"Other Services"))</f>
        <v/>
      </c>
    </row>
    <row r="4684" customFormat="false" ht="15" hidden="false" customHeight="false" outlineLevel="0" collapsed="false">
      <c r="F4684" s="41" t="str">
        <f aca="false">IF(D4684="","",IFERROR(IF(ISNUMBER(SEARCH(Assumptions!$C$5,D4684)),Assumptions!$D$5,IF(ISNUMBER(SEARCH(Assumptions!$C$6,D4684)),Assumptions!$D$6,IF(ISNUMBER(SEARCH(Assumptions!$C$7,D4684)),Assumptions!$D$7,"Other Services"))),"Other Services"))</f>
        <v/>
      </c>
    </row>
    <row r="4685" customFormat="false" ht="15" hidden="false" customHeight="false" outlineLevel="0" collapsed="false">
      <c r="F4685" s="41" t="str">
        <f aca="false">IF(D4685="","",IFERROR(IF(ISNUMBER(SEARCH(Assumptions!$C$5,D4685)),Assumptions!$D$5,IF(ISNUMBER(SEARCH(Assumptions!$C$6,D4685)),Assumptions!$D$6,IF(ISNUMBER(SEARCH(Assumptions!$C$7,D4685)),Assumptions!$D$7,"Other Services"))),"Other Services"))</f>
        <v/>
      </c>
    </row>
    <row r="4686" customFormat="false" ht="15" hidden="false" customHeight="false" outlineLevel="0" collapsed="false">
      <c r="F4686" s="41" t="str">
        <f aca="false">IF(D4686="","",IFERROR(IF(ISNUMBER(SEARCH(Assumptions!$C$5,D4686)),Assumptions!$D$5,IF(ISNUMBER(SEARCH(Assumptions!$C$6,D4686)),Assumptions!$D$6,IF(ISNUMBER(SEARCH(Assumptions!$C$7,D4686)),Assumptions!$D$7,"Other Services"))),"Other Services"))</f>
        <v/>
      </c>
    </row>
    <row r="4687" customFormat="false" ht="15" hidden="false" customHeight="false" outlineLevel="0" collapsed="false">
      <c r="F4687" s="41" t="str">
        <f aca="false">IF(D4687="","",IFERROR(IF(ISNUMBER(SEARCH(Assumptions!$C$5,D4687)),Assumptions!$D$5,IF(ISNUMBER(SEARCH(Assumptions!$C$6,D4687)),Assumptions!$D$6,IF(ISNUMBER(SEARCH(Assumptions!$C$7,D4687)),Assumptions!$D$7,"Other Services"))),"Other Services"))</f>
        <v/>
      </c>
    </row>
    <row r="4688" customFormat="false" ht="15" hidden="false" customHeight="false" outlineLevel="0" collapsed="false">
      <c r="F4688" s="41" t="str">
        <f aca="false">IF(D4688="","",IFERROR(IF(ISNUMBER(SEARCH(Assumptions!$C$5,D4688)),Assumptions!$D$5,IF(ISNUMBER(SEARCH(Assumptions!$C$6,D4688)),Assumptions!$D$6,IF(ISNUMBER(SEARCH(Assumptions!$C$7,D4688)),Assumptions!$D$7,"Other Services"))),"Other Services"))</f>
        <v/>
      </c>
    </row>
    <row r="4689" customFormat="false" ht="15" hidden="false" customHeight="false" outlineLevel="0" collapsed="false">
      <c r="F4689" s="41" t="str">
        <f aca="false">IF(D4689="","",IFERROR(IF(ISNUMBER(SEARCH(Assumptions!$C$5,D4689)),Assumptions!$D$5,IF(ISNUMBER(SEARCH(Assumptions!$C$6,D4689)),Assumptions!$D$6,IF(ISNUMBER(SEARCH(Assumptions!$C$7,D4689)),Assumptions!$D$7,"Other Services"))),"Other Services"))</f>
        <v/>
      </c>
    </row>
    <row r="4690" customFormat="false" ht="15" hidden="false" customHeight="false" outlineLevel="0" collapsed="false">
      <c r="F4690" s="41" t="str">
        <f aca="false">IF(D4690="","",IFERROR(IF(ISNUMBER(SEARCH(Assumptions!$C$5,D4690)),Assumptions!$D$5,IF(ISNUMBER(SEARCH(Assumptions!$C$6,D4690)),Assumptions!$D$6,IF(ISNUMBER(SEARCH(Assumptions!$C$7,D4690)),Assumptions!$D$7,"Other Services"))),"Other Services"))</f>
        <v/>
      </c>
    </row>
    <row r="4691" customFormat="false" ht="15" hidden="false" customHeight="false" outlineLevel="0" collapsed="false">
      <c r="F4691" s="41" t="str">
        <f aca="false">IF(D4691="","",IFERROR(IF(ISNUMBER(SEARCH(Assumptions!$C$5,D4691)),Assumptions!$D$5,IF(ISNUMBER(SEARCH(Assumptions!$C$6,D4691)),Assumptions!$D$6,IF(ISNUMBER(SEARCH(Assumptions!$C$7,D4691)),Assumptions!$D$7,"Other Services"))),"Other Services"))</f>
        <v/>
      </c>
    </row>
    <row r="4692" customFormat="false" ht="15" hidden="false" customHeight="false" outlineLevel="0" collapsed="false">
      <c r="F4692" s="41" t="str">
        <f aca="false">IF(D4692="","",IFERROR(IF(ISNUMBER(SEARCH(Assumptions!$C$5,D4692)),Assumptions!$D$5,IF(ISNUMBER(SEARCH(Assumptions!$C$6,D4692)),Assumptions!$D$6,IF(ISNUMBER(SEARCH(Assumptions!$C$7,D4692)),Assumptions!$D$7,"Other Services"))),"Other Services"))</f>
        <v/>
      </c>
    </row>
    <row r="4693" customFormat="false" ht="15" hidden="false" customHeight="false" outlineLevel="0" collapsed="false">
      <c r="F4693" s="41" t="str">
        <f aca="false">IF(D4693="","",IFERROR(IF(ISNUMBER(SEARCH(Assumptions!$C$5,D4693)),Assumptions!$D$5,IF(ISNUMBER(SEARCH(Assumptions!$C$6,D4693)),Assumptions!$D$6,IF(ISNUMBER(SEARCH(Assumptions!$C$7,D4693)),Assumptions!$D$7,"Other Services"))),"Other Services"))</f>
        <v/>
      </c>
    </row>
    <row r="4694" customFormat="false" ht="15" hidden="false" customHeight="false" outlineLevel="0" collapsed="false">
      <c r="F4694" s="41" t="str">
        <f aca="false">IF(D4694="","",IFERROR(IF(ISNUMBER(SEARCH(Assumptions!$C$5,D4694)),Assumptions!$D$5,IF(ISNUMBER(SEARCH(Assumptions!$C$6,D4694)),Assumptions!$D$6,IF(ISNUMBER(SEARCH(Assumptions!$C$7,D4694)),Assumptions!$D$7,"Other Services"))),"Other Services"))</f>
        <v/>
      </c>
    </row>
    <row r="4695" customFormat="false" ht="15" hidden="false" customHeight="false" outlineLevel="0" collapsed="false">
      <c r="F4695" s="41" t="str">
        <f aca="false">IF(D4695="","",IFERROR(IF(ISNUMBER(SEARCH(Assumptions!$C$5,D4695)),Assumptions!$D$5,IF(ISNUMBER(SEARCH(Assumptions!$C$6,D4695)),Assumptions!$D$6,IF(ISNUMBER(SEARCH(Assumptions!$C$7,D4695)),Assumptions!$D$7,"Other Services"))),"Other Services"))</f>
        <v/>
      </c>
    </row>
    <row r="4696" customFormat="false" ht="15" hidden="false" customHeight="false" outlineLevel="0" collapsed="false">
      <c r="F4696" s="41" t="str">
        <f aca="false">IF(D4696="","",IFERROR(IF(ISNUMBER(SEARCH(Assumptions!$C$5,D4696)),Assumptions!$D$5,IF(ISNUMBER(SEARCH(Assumptions!$C$6,D4696)),Assumptions!$D$6,IF(ISNUMBER(SEARCH(Assumptions!$C$7,D4696)),Assumptions!$D$7,"Other Services"))),"Other Services"))</f>
        <v/>
      </c>
    </row>
    <row r="4697" customFormat="false" ht="15" hidden="false" customHeight="false" outlineLevel="0" collapsed="false">
      <c r="F4697" s="41" t="str">
        <f aca="false">IF(D4697="","",IFERROR(IF(ISNUMBER(SEARCH(Assumptions!$C$5,D4697)),Assumptions!$D$5,IF(ISNUMBER(SEARCH(Assumptions!$C$6,D4697)),Assumptions!$D$6,IF(ISNUMBER(SEARCH(Assumptions!$C$7,D4697)),Assumptions!$D$7,"Other Services"))),"Other Services"))</f>
        <v/>
      </c>
    </row>
    <row r="4698" customFormat="false" ht="15" hidden="false" customHeight="false" outlineLevel="0" collapsed="false">
      <c r="F4698" s="41" t="str">
        <f aca="false">IF(D4698="","",IFERROR(IF(ISNUMBER(SEARCH(Assumptions!$C$5,D4698)),Assumptions!$D$5,IF(ISNUMBER(SEARCH(Assumptions!$C$6,D4698)),Assumptions!$D$6,IF(ISNUMBER(SEARCH(Assumptions!$C$7,D4698)),Assumptions!$D$7,"Other Services"))),"Other Services"))</f>
        <v/>
      </c>
    </row>
    <row r="4699" customFormat="false" ht="15" hidden="false" customHeight="false" outlineLevel="0" collapsed="false">
      <c r="F4699" s="41" t="str">
        <f aca="false">IF(D4699="","",IFERROR(IF(ISNUMBER(SEARCH(Assumptions!$C$5,D4699)),Assumptions!$D$5,IF(ISNUMBER(SEARCH(Assumptions!$C$6,D4699)),Assumptions!$D$6,IF(ISNUMBER(SEARCH(Assumptions!$C$7,D4699)),Assumptions!$D$7,"Other Services"))),"Other Services"))</f>
        <v/>
      </c>
    </row>
    <row r="4700" customFormat="false" ht="15" hidden="false" customHeight="false" outlineLevel="0" collapsed="false">
      <c r="F4700" s="41" t="str">
        <f aca="false">IF(D4700="","",IFERROR(IF(ISNUMBER(SEARCH(Assumptions!$C$5,D4700)),Assumptions!$D$5,IF(ISNUMBER(SEARCH(Assumptions!$C$6,D4700)),Assumptions!$D$6,IF(ISNUMBER(SEARCH(Assumptions!$C$7,D4700)),Assumptions!$D$7,"Other Services"))),"Other Services"))</f>
        <v/>
      </c>
    </row>
    <row r="4701" customFormat="false" ht="15" hidden="false" customHeight="false" outlineLevel="0" collapsed="false">
      <c r="F4701" s="41" t="str">
        <f aca="false">IF(D4701="","",IFERROR(IF(ISNUMBER(SEARCH(Assumptions!$C$5,D4701)),Assumptions!$D$5,IF(ISNUMBER(SEARCH(Assumptions!$C$6,D4701)),Assumptions!$D$6,IF(ISNUMBER(SEARCH(Assumptions!$C$7,D4701)),Assumptions!$D$7,"Other Services"))),"Other Services"))</f>
        <v/>
      </c>
    </row>
    <row r="4702" customFormat="false" ht="15" hidden="false" customHeight="false" outlineLevel="0" collapsed="false">
      <c r="F4702" s="41" t="str">
        <f aca="false">IF(D4702="","",IFERROR(IF(ISNUMBER(SEARCH(Assumptions!$C$5,D4702)),Assumptions!$D$5,IF(ISNUMBER(SEARCH(Assumptions!$C$6,D4702)),Assumptions!$D$6,IF(ISNUMBER(SEARCH(Assumptions!$C$7,D4702)),Assumptions!$D$7,"Other Services"))),"Other Services"))</f>
        <v/>
      </c>
    </row>
    <row r="4703" customFormat="false" ht="15" hidden="false" customHeight="false" outlineLevel="0" collapsed="false">
      <c r="F4703" s="41" t="str">
        <f aca="false">IF(D4703="","",IFERROR(IF(ISNUMBER(SEARCH(Assumptions!$C$5,D4703)),Assumptions!$D$5,IF(ISNUMBER(SEARCH(Assumptions!$C$6,D4703)),Assumptions!$D$6,IF(ISNUMBER(SEARCH(Assumptions!$C$7,D4703)),Assumptions!$D$7,"Other Services"))),"Other Services"))</f>
        <v/>
      </c>
    </row>
    <row r="4704" customFormat="false" ht="15" hidden="false" customHeight="false" outlineLevel="0" collapsed="false">
      <c r="F4704" s="41" t="str">
        <f aca="false">IF(D4704="","",IFERROR(IF(ISNUMBER(SEARCH(Assumptions!$C$5,D4704)),Assumptions!$D$5,IF(ISNUMBER(SEARCH(Assumptions!$C$6,D4704)),Assumptions!$D$6,IF(ISNUMBER(SEARCH(Assumptions!$C$7,D4704)),Assumptions!$D$7,"Other Services"))),"Other Services"))</f>
        <v/>
      </c>
    </row>
    <row r="4705" customFormat="false" ht="15" hidden="false" customHeight="false" outlineLevel="0" collapsed="false">
      <c r="F4705" s="41" t="str">
        <f aca="false">IF(D4705="","",IFERROR(IF(ISNUMBER(SEARCH(Assumptions!$C$5,D4705)),Assumptions!$D$5,IF(ISNUMBER(SEARCH(Assumptions!$C$6,D4705)),Assumptions!$D$6,IF(ISNUMBER(SEARCH(Assumptions!$C$7,D4705)),Assumptions!$D$7,"Other Services"))),"Other Services"))</f>
        <v/>
      </c>
    </row>
    <row r="4706" customFormat="false" ht="15" hidden="false" customHeight="false" outlineLevel="0" collapsed="false">
      <c r="F4706" s="41" t="str">
        <f aca="false">IF(D4706="","",IFERROR(IF(ISNUMBER(SEARCH(Assumptions!$C$5,D4706)),Assumptions!$D$5,IF(ISNUMBER(SEARCH(Assumptions!$C$6,D4706)),Assumptions!$D$6,IF(ISNUMBER(SEARCH(Assumptions!$C$7,D4706)),Assumptions!$D$7,"Other Services"))),"Other Services"))</f>
        <v/>
      </c>
    </row>
    <row r="4707" customFormat="false" ht="15" hidden="false" customHeight="false" outlineLevel="0" collapsed="false">
      <c r="F4707" s="41" t="str">
        <f aca="false">IF(D4707="","",IFERROR(IF(ISNUMBER(SEARCH(Assumptions!$C$5,D4707)),Assumptions!$D$5,IF(ISNUMBER(SEARCH(Assumptions!$C$6,D4707)),Assumptions!$D$6,IF(ISNUMBER(SEARCH(Assumptions!$C$7,D4707)),Assumptions!$D$7,"Other Services"))),"Other Services"))</f>
        <v/>
      </c>
    </row>
    <row r="4708" customFormat="false" ht="15" hidden="false" customHeight="false" outlineLevel="0" collapsed="false">
      <c r="F4708" s="41" t="str">
        <f aca="false">IF(D4708="","",IFERROR(IF(ISNUMBER(SEARCH(Assumptions!$C$5,D4708)),Assumptions!$D$5,IF(ISNUMBER(SEARCH(Assumptions!$C$6,D4708)),Assumptions!$D$6,IF(ISNUMBER(SEARCH(Assumptions!$C$7,D4708)),Assumptions!$D$7,"Other Services"))),"Other Services"))</f>
        <v/>
      </c>
    </row>
    <row r="4709" customFormat="false" ht="15" hidden="false" customHeight="false" outlineLevel="0" collapsed="false">
      <c r="F4709" s="41" t="str">
        <f aca="false">IF(D4709="","",IFERROR(IF(ISNUMBER(SEARCH(Assumptions!$C$5,D4709)),Assumptions!$D$5,IF(ISNUMBER(SEARCH(Assumptions!$C$6,D4709)),Assumptions!$D$6,IF(ISNUMBER(SEARCH(Assumptions!$C$7,D4709)),Assumptions!$D$7,"Other Services"))),"Other Services"))</f>
        <v/>
      </c>
    </row>
    <row r="4710" customFormat="false" ht="15" hidden="false" customHeight="false" outlineLevel="0" collapsed="false">
      <c r="F4710" s="41" t="str">
        <f aca="false">IF(D4710="","",IFERROR(IF(ISNUMBER(SEARCH(Assumptions!$C$5,D4710)),Assumptions!$D$5,IF(ISNUMBER(SEARCH(Assumptions!$C$6,D4710)),Assumptions!$D$6,IF(ISNUMBER(SEARCH(Assumptions!$C$7,D4710)),Assumptions!$D$7,"Other Services"))),"Other Services"))</f>
        <v/>
      </c>
    </row>
    <row r="4711" customFormat="false" ht="15" hidden="false" customHeight="false" outlineLevel="0" collapsed="false">
      <c r="F4711" s="41" t="str">
        <f aca="false">IF(D4711="","",IFERROR(IF(ISNUMBER(SEARCH(Assumptions!$C$5,D4711)),Assumptions!$D$5,IF(ISNUMBER(SEARCH(Assumptions!$C$6,D4711)),Assumptions!$D$6,IF(ISNUMBER(SEARCH(Assumptions!$C$7,D4711)),Assumptions!$D$7,"Other Services"))),"Other Services"))</f>
        <v/>
      </c>
    </row>
    <row r="4712" customFormat="false" ht="15" hidden="false" customHeight="false" outlineLevel="0" collapsed="false">
      <c r="F4712" s="41" t="str">
        <f aca="false">IF(D4712="","",IFERROR(IF(ISNUMBER(SEARCH(Assumptions!$C$5,D4712)),Assumptions!$D$5,IF(ISNUMBER(SEARCH(Assumptions!$C$6,D4712)),Assumptions!$D$6,IF(ISNUMBER(SEARCH(Assumptions!$C$7,D4712)),Assumptions!$D$7,"Other Services"))),"Other Services"))</f>
        <v/>
      </c>
    </row>
    <row r="4713" customFormat="false" ht="15" hidden="false" customHeight="false" outlineLevel="0" collapsed="false">
      <c r="F4713" s="41" t="str">
        <f aca="false">IF(D4713="","",IFERROR(IF(ISNUMBER(SEARCH(Assumptions!$C$5,D4713)),Assumptions!$D$5,IF(ISNUMBER(SEARCH(Assumptions!$C$6,D4713)),Assumptions!$D$6,IF(ISNUMBER(SEARCH(Assumptions!$C$7,D4713)),Assumptions!$D$7,"Other Services"))),"Other Services"))</f>
        <v/>
      </c>
    </row>
    <row r="4714" customFormat="false" ht="15" hidden="false" customHeight="false" outlineLevel="0" collapsed="false">
      <c r="F4714" s="41" t="str">
        <f aca="false">IF(D4714="","",IFERROR(IF(ISNUMBER(SEARCH(Assumptions!$C$5,D4714)),Assumptions!$D$5,IF(ISNUMBER(SEARCH(Assumptions!$C$6,D4714)),Assumptions!$D$6,IF(ISNUMBER(SEARCH(Assumptions!$C$7,D4714)),Assumptions!$D$7,"Other Services"))),"Other Services"))</f>
        <v/>
      </c>
    </row>
    <row r="4715" customFormat="false" ht="15" hidden="false" customHeight="false" outlineLevel="0" collapsed="false">
      <c r="F4715" s="41" t="str">
        <f aca="false">IF(D4715="","",IFERROR(IF(ISNUMBER(SEARCH(Assumptions!$C$5,D4715)),Assumptions!$D$5,IF(ISNUMBER(SEARCH(Assumptions!$C$6,D4715)),Assumptions!$D$6,IF(ISNUMBER(SEARCH(Assumptions!$C$7,D4715)),Assumptions!$D$7,"Other Services"))),"Other Services"))</f>
        <v/>
      </c>
    </row>
    <row r="4716" customFormat="false" ht="15" hidden="false" customHeight="false" outlineLevel="0" collapsed="false">
      <c r="F4716" s="41" t="str">
        <f aca="false">IF(D4716="","",IFERROR(IF(ISNUMBER(SEARCH(Assumptions!$C$5,D4716)),Assumptions!$D$5,IF(ISNUMBER(SEARCH(Assumptions!$C$6,D4716)),Assumptions!$D$6,IF(ISNUMBER(SEARCH(Assumptions!$C$7,D4716)),Assumptions!$D$7,"Other Services"))),"Other Services"))</f>
        <v/>
      </c>
    </row>
    <row r="4717" customFormat="false" ht="15" hidden="false" customHeight="false" outlineLevel="0" collapsed="false">
      <c r="F4717" s="41" t="str">
        <f aca="false">IF(D4717="","",IFERROR(IF(ISNUMBER(SEARCH(Assumptions!$C$5,D4717)),Assumptions!$D$5,IF(ISNUMBER(SEARCH(Assumptions!$C$6,D4717)),Assumptions!$D$6,IF(ISNUMBER(SEARCH(Assumptions!$C$7,D4717)),Assumptions!$D$7,"Other Services"))),"Other Services"))</f>
        <v/>
      </c>
    </row>
    <row r="4718" customFormat="false" ht="15" hidden="false" customHeight="false" outlineLevel="0" collapsed="false">
      <c r="F4718" s="41" t="str">
        <f aca="false">IF(D4718="","",IFERROR(IF(ISNUMBER(SEARCH(Assumptions!$C$5,D4718)),Assumptions!$D$5,IF(ISNUMBER(SEARCH(Assumptions!$C$6,D4718)),Assumptions!$D$6,IF(ISNUMBER(SEARCH(Assumptions!$C$7,D4718)),Assumptions!$D$7,"Other Services"))),"Other Services"))</f>
        <v/>
      </c>
    </row>
    <row r="4719" customFormat="false" ht="15" hidden="false" customHeight="false" outlineLevel="0" collapsed="false">
      <c r="F4719" s="41" t="str">
        <f aca="false">IF(D4719="","",IFERROR(IF(ISNUMBER(SEARCH(Assumptions!$C$5,D4719)),Assumptions!$D$5,IF(ISNUMBER(SEARCH(Assumptions!$C$6,D4719)),Assumptions!$D$6,IF(ISNUMBER(SEARCH(Assumptions!$C$7,D4719)),Assumptions!$D$7,"Other Services"))),"Other Services"))</f>
        <v/>
      </c>
    </row>
    <row r="4720" customFormat="false" ht="15" hidden="false" customHeight="false" outlineLevel="0" collapsed="false">
      <c r="F4720" s="41" t="str">
        <f aca="false">IF(D4720="","",IFERROR(IF(ISNUMBER(SEARCH(Assumptions!$C$5,D4720)),Assumptions!$D$5,IF(ISNUMBER(SEARCH(Assumptions!$C$6,D4720)),Assumptions!$D$6,IF(ISNUMBER(SEARCH(Assumptions!$C$7,D4720)),Assumptions!$D$7,"Other Services"))),"Other Services"))</f>
        <v/>
      </c>
    </row>
    <row r="4721" customFormat="false" ht="15" hidden="false" customHeight="false" outlineLevel="0" collapsed="false">
      <c r="F4721" s="41" t="str">
        <f aca="false">IF(D4721="","",IFERROR(IF(ISNUMBER(SEARCH(Assumptions!$C$5,D4721)),Assumptions!$D$5,IF(ISNUMBER(SEARCH(Assumptions!$C$6,D4721)),Assumptions!$D$6,IF(ISNUMBER(SEARCH(Assumptions!$C$7,D4721)),Assumptions!$D$7,"Other Services"))),"Other Services"))</f>
        <v/>
      </c>
    </row>
    <row r="4722" customFormat="false" ht="15" hidden="false" customHeight="false" outlineLevel="0" collapsed="false">
      <c r="F4722" s="41" t="str">
        <f aca="false">IF(D4722="","",IFERROR(IF(ISNUMBER(SEARCH(Assumptions!$C$5,D4722)),Assumptions!$D$5,IF(ISNUMBER(SEARCH(Assumptions!$C$6,D4722)),Assumptions!$D$6,IF(ISNUMBER(SEARCH(Assumptions!$C$7,D4722)),Assumptions!$D$7,"Other Services"))),"Other Services"))</f>
        <v/>
      </c>
    </row>
    <row r="4723" customFormat="false" ht="15" hidden="false" customHeight="false" outlineLevel="0" collapsed="false">
      <c r="F4723" s="41" t="str">
        <f aca="false">IF(D4723="","",IFERROR(IF(ISNUMBER(SEARCH(Assumptions!$C$5,D4723)),Assumptions!$D$5,IF(ISNUMBER(SEARCH(Assumptions!$C$6,D4723)),Assumptions!$D$6,IF(ISNUMBER(SEARCH(Assumptions!$C$7,D4723)),Assumptions!$D$7,"Other Services"))),"Other Services"))</f>
        <v/>
      </c>
    </row>
    <row r="4724" customFormat="false" ht="15" hidden="false" customHeight="false" outlineLevel="0" collapsed="false">
      <c r="F4724" s="41" t="str">
        <f aca="false">IF(D4724="","",IFERROR(IF(ISNUMBER(SEARCH(Assumptions!$C$5,D4724)),Assumptions!$D$5,IF(ISNUMBER(SEARCH(Assumptions!$C$6,D4724)),Assumptions!$D$6,IF(ISNUMBER(SEARCH(Assumptions!$C$7,D4724)),Assumptions!$D$7,"Other Services"))),"Other Services"))</f>
        <v/>
      </c>
    </row>
    <row r="4725" customFormat="false" ht="15" hidden="false" customHeight="false" outlineLevel="0" collapsed="false">
      <c r="F4725" s="41" t="str">
        <f aca="false">IF(D4725="","",IFERROR(IF(ISNUMBER(SEARCH(Assumptions!$C$5,D4725)),Assumptions!$D$5,IF(ISNUMBER(SEARCH(Assumptions!$C$6,D4725)),Assumptions!$D$6,IF(ISNUMBER(SEARCH(Assumptions!$C$7,D4725)),Assumptions!$D$7,"Other Services"))),"Other Services"))</f>
        <v/>
      </c>
    </row>
    <row r="4726" customFormat="false" ht="15" hidden="false" customHeight="false" outlineLevel="0" collapsed="false">
      <c r="F4726" s="41" t="str">
        <f aca="false">IF(D4726="","",IFERROR(IF(ISNUMBER(SEARCH(Assumptions!$C$5,D4726)),Assumptions!$D$5,IF(ISNUMBER(SEARCH(Assumptions!$C$6,D4726)),Assumptions!$D$6,IF(ISNUMBER(SEARCH(Assumptions!$C$7,D4726)),Assumptions!$D$7,"Other Services"))),"Other Services"))</f>
        <v/>
      </c>
    </row>
    <row r="4727" customFormat="false" ht="15" hidden="false" customHeight="false" outlineLevel="0" collapsed="false">
      <c r="F4727" s="41" t="str">
        <f aca="false">IF(D4727="","",IFERROR(IF(ISNUMBER(SEARCH(Assumptions!$C$5,D4727)),Assumptions!$D$5,IF(ISNUMBER(SEARCH(Assumptions!$C$6,D4727)),Assumptions!$D$6,IF(ISNUMBER(SEARCH(Assumptions!$C$7,D4727)),Assumptions!$D$7,"Other Services"))),"Other Services"))</f>
        <v/>
      </c>
    </row>
    <row r="4728" customFormat="false" ht="15" hidden="false" customHeight="false" outlineLevel="0" collapsed="false">
      <c r="F4728" s="41" t="str">
        <f aca="false">IF(D4728="","",IFERROR(IF(ISNUMBER(SEARCH(Assumptions!$C$5,D4728)),Assumptions!$D$5,IF(ISNUMBER(SEARCH(Assumptions!$C$6,D4728)),Assumptions!$D$6,IF(ISNUMBER(SEARCH(Assumptions!$C$7,D4728)),Assumptions!$D$7,"Other Services"))),"Other Services"))</f>
        <v/>
      </c>
    </row>
    <row r="4729" customFormat="false" ht="15" hidden="false" customHeight="false" outlineLevel="0" collapsed="false">
      <c r="F4729" s="41" t="str">
        <f aca="false">IF(D4729="","",IFERROR(IF(ISNUMBER(SEARCH(Assumptions!$C$5,D4729)),Assumptions!$D$5,IF(ISNUMBER(SEARCH(Assumptions!$C$6,D4729)),Assumptions!$D$6,IF(ISNUMBER(SEARCH(Assumptions!$C$7,D4729)),Assumptions!$D$7,"Other Services"))),"Other Services"))</f>
        <v/>
      </c>
    </row>
    <row r="4730" customFormat="false" ht="15" hidden="false" customHeight="false" outlineLevel="0" collapsed="false">
      <c r="F4730" s="41" t="str">
        <f aca="false">IF(D4730="","",IFERROR(IF(ISNUMBER(SEARCH(Assumptions!$C$5,D4730)),Assumptions!$D$5,IF(ISNUMBER(SEARCH(Assumptions!$C$6,D4730)),Assumptions!$D$6,IF(ISNUMBER(SEARCH(Assumptions!$C$7,D4730)),Assumptions!$D$7,"Other Services"))),"Other Services"))</f>
        <v/>
      </c>
    </row>
    <row r="4731" customFormat="false" ht="15" hidden="false" customHeight="false" outlineLevel="0" collapsed="false">
      <c r="F4731" s="41" t="str">
        <f aca="false">IF(D4731="","",IFERROR(IF(ISNUMBER(SEARCH(Assumptions!$C$5,D4731)),Assumptions!$D$5,IF(ISNUMBER(SEARCH(Assumptions!$C$6,D4731)),Assumptions!$D$6,IF(ISNUMBER(SEARCH(Assumptions!$C$7,D4731)),Assumptions!$D$7,"Other Services"))),"Other Services"))</f>
        <v/>
      </c>
    </row>
    <row r="4732" customFormat="false" ht="15" hidden="false" customHeight="false" outlineLevel="0" collapsed="false">
      <c r="F4732" s="41" t="str">
        <f aca="false">IF(D4732="","",IFERROR(IF(ISNUMBER(SEARCH(Assumptions!$C$5,D4732)),Assumptions!$D$5,IF(ISNUMBER(SEARCH(Assumptions!$C$6,D4732)),Assumptions!$D$6,IF(ISNUMBER(SEARCH(Assumptions!$C$7,D4732)),Assumptions!$D$7,"Other Services"))),"Other Services"))</f>
        <v/>
      </c>
    </row>
    <row r="4733" customFormat="false" ht="15" hidden="false" customHeight="false" outlineLevel="0" collapsed="false">
      <c r="F4733" s="41" t="str">
        <f aca="false">IF(D4733="","",IFERROR(IF(ISNUMBER(SEARCH(Assumptions!$C$5,D4733)),Assumptions!$D$5,IF(ISNUMBER(SEARCH(Assumptions!$C$6,D4733)),Assumptions!$D$6,IF(ISNUMBER(SEARCH(Assumptions!$C$7,D4733)),Assumptions!$D$7,"Other Services"))),"Other Services"))</f>
        <v/>
      </c>
    </row>
    <row r="4734" customFormat="false" ht="15" hidden="false" customHeight="false" outlineLevel="0" collapsed="false">
      <c r="F4734" s="41" t="str">
        <f aca="false">IF(D4734="","",IFERROR(IF(ISNUMBER(SEARCH(Assumptions!$C$5,D4734)),Assumptions!$D$5,IF(ISNUMBER(SEARCH(Assumptions!$C$6,D4734)),Assumptions!$D$6,IF(ISNUMBER(SEARCH(Assumptions!$C$7,D4734)),Assumptions!$D$7,"Other Services"))),"Other Services"))</f>
        <v/>
      </c>
    </row>
    <row r="4735" customFormat="false" ht="15" hidden="false" customHeight="false" outlineLevel="0" collapsed="false">
      <c r="F4735" s="41" t="str">
        <f aca="false">IF(D4735="","",IFERROR(IF(ISNUMBER(SEARCH(Assumptions!$C$5,D4735)),Assumptions!$D$5,IF(ISNUMBER(SEARCH(Assumptions!$C$6,D4735)),Assumptions!$D$6,IF(ISNUMBER(SEARCH(Assumptions!$C$7,D4735)),Assumptions!$D$7,"Other Services"))),"Other Services"))</f>
        <v/>
      </c>
    </row>
    <row r="4736" customFormat="false" ht="15" hidden="false" customHeight="false" outlineLevel="0" collapsed="false">
      <c r="F4736" s="41" t="str">
        <f aca="false">IF(D4736="","",IFERROR(IF(ISNUMBER(SEARCH(Assumptions!$C$5,D4736)),Assumptions!$D$5,IF(ISNUMBER(SEARCH(Assumptions!$C$6,D4736)),Assumptions!$D$6,IF(ISNUMBER(SEARCH(Assumptions!$C$7,D4736)),Assumptions!$D$7,"Other Services"))),"Other Services"))</f>
        <v/>
      </c>
    </row>
    <row r="4737" customFormat="false" ht="15" hidden="false" customHeight="false" outlineLevel="0" collapsed="false">
      <c r="F4737" s="41" t="str">
        <f aca="false">IF(D4737="","",IFERROR(IF(ISNUMBER(SEARCH(Assumptions!$C$5,D4737)),Assumptions!$D$5,IF(ISNUMBER(SEARCH(Assumptions!$C$6,D4737)),Assumptions!$D$6,IF(ISNUMBER(SEARCH(Assumptions!$C$7,D4737)),Assumptions!$D$7,"Other Services"))),"Other Services"))</f>
        <v/>
      </c>
    </row>
    <row r="4738" customFormat="false" ht="15" hidden="false" customHeight="false" outlineLevel="0" collapsed="false">
      <c r="F4738" s="41" t="str">
        <f aca="false">IF(D4738="","",IFERROR(IF(ISNUMBER(SEARCH(Assumptions!$C$5,D4738)),Assumptions!$D$5,IF(ISNUMBER(SEARCH(Assumptions!$C$6,D4738)),Assumptions!$D$6,IF(ISNUMBER(SEARCH(Assumptions!$C$7,D4738)),Assumptions!$D$7,"Other Services"))),"Other Services"))</f>
        <v/>
      </c>
    </row>
    <row r="4739" customFormat="false" ht="15" hidden="false" customHeight="false" outlineLevel="0" collapsed="false">
      <c r="F4739" s="41" t="str">
        <f aca="false">IF(D4739="","",IFERROR(IF(ISNUMBER(SEARCH(Assumptions!$C$5,D4739)),Assumptions!$D$5,IF(ISNUMBER(SEARCH(Assumptions!$C$6,D4739)),Assumptions!$D$6,IF(ISNUMBER(SEARCH(Assumptions!$C$7,D4739)),Assumptions!$D$7,"Other Services"))),"Other Services"))</f>
        <v/>
      </c>
    </row>
    <row r="4740" customFormat="false" ht="15" hidden="false" customHeight="false" outlineLevel="0" collapsed="false">
      <c r="F4740" s="41" t="str">
        <f aca="false">IF(D4740="","",IFERROR(IF(ISNUMBER(SEARCH(Assumptions!$C$5,D4740)),Assumptions!$D$5,IF(ISNUMBER(SEARCH(Assumptions!$C$6,D4740)),Assumptions!$D$6,IF(ISNUMBER(SEARCH(Assumptions!$C$7,D4740)),Assumptions!$D$7,"Other Services"))),"Other Services"))</f>
        <v/>
      </c>
    </row>
    <row r="4741" customFormat="false" ht="15" hidden="false" customHeight="false" outlineLevel="0" collapsed="false">
      <c r="F4741" s="41" t="str">
        <f aca="false">IF(D4741="","",IFERROR(IF(ISNUMBER(SEARCH(Assumptions!$C$5,D4741)),Assumptions!$D$5,IF(ISNUMBER(SEARCH(Assumptions!$C$6,D4741)),Assumptions!$D$6,IF(ISNUMBER(SEARCH(Assumptions!$C$7,D4741)),Assumptions!$D$7,"Other Services"))),"Other Services"))</f>
        <v/>
      </c>
    </row>
    <row r="4742" customFormat="false" ht="15" hidden="false" customHeight="false" outlineLevel="0" collapsed="false">
      <c r="F4742" s="41" t="str">
        <f aca="false">IF(D4742="","",IFERROR(IF(ISNUMBER(SEARCH(Assumptions!$C$5,D4742)),Assumptions!$D$5,IF(ISNUMBER(SEARCH(Assumptions!$C$6,D4742)),Assumptions!$D$6,IF(ISNUMBER(SEARCH(Assumptions!$C$7,D4742)),Assumptions!$D$7,"Other Services"))),"Other Services"))</f>
        <v/>
      </c>
    </row>
    <row r="4743" customFormat="false" ht="15" hidden="false" customHeight="false" outlineLevel="0" collapsed="false">
      <c r="F4743" s="41" t="str">
        <f aca="false">IF(D4743="","",IFERROR(IF(ISNUMBER(SEARCH(Assumptions!$C$5,D4743)),Assumptions!$D$5,IF(ISNUMBER(SEARCH(Assumptions!$C$6,D4743)),Assumptions!$D$6,IF(ISNUMBER(SEARCH(Assumptions!$C$7,D4743)),Assumptions!$D$7,"Other Services"))),"Other Services"))</f>
        <v/>
      </c>
    </row>
    <row r="4744" customFormat="false" ht="15" hidden="false" customHeight="false" outlineLevel="0" collapsed="false">
      <c r="F4744" s="41" t="str">
        <f aca="false">IF(D4744="","",IFERROR(IF(ISNUMBER(SEARCH(Assumptions!$C$5,D4744)),Assumptions!$D$5,IF(ISNUMBER(SEARCH(Assumptions!$C$6,D4744)),Assumptions!$D$6,IF(ISNUMBER(SEARCH(Assumptions!$C$7,D4744)),Assumptions!$D$7,"Other Services"))),"Other Services"))</f>
        <v/>
      </c>
    </row>
    <row r="4745" customFormat="false" ht="15" hidden="false" customHeight="false" outlineLevel="0" collapsed="false">
      <c r="F4745" s="41" t="str">
        <f aca="false">IF(D4745="","",IFERROR(IF(ISNUMBER(SEARCH(Assumptions!$C$5,D4745)),Assumptions!$D$5,IF(ISNUMBER(SEARCH(Assumptions!$C$6,D4745)),Assumptions!$D$6,IF(ISNUMBER(SEARCH(Assumptions!$C$7,D4745)),Assumptions!$D$7,"Other Services"))),"Other Services"))</f>
        <v/>
      </c>
    </row>
    <row r="4746" customFormat="false" ht="15" hidden="false" customHeight="false" outlineLevel="0" collapsed="false">
      <c r="F4746" s="41" t="str">
        <f aca="false">IF(D4746="","",IFERROR(IF(ISNUMBER(SEARCH(Assumptions!$C$5,D4746)),Assumptions!$D$5,IF(ISNUMBER(SEARCH(Assumptions!$C$6,D4746)),Assumptions!$D$6,IF(ISNUMBER(SEARCH(Assumptions!$C$7,D4746)),Assumptions!$D$7,"Other Services"))),"Other Services"))</f>
        <v/>
      </c>
    </row>
    <row r="4747" customFormat="false" ht="15" hidden="false" customHeight="false" outlineLevel="0" collapsed="false">
      <c r="F4747" s="41" t="str">
        <f aca="false">IF(D4747="","",IFERROR(IF(ISNUMBER(SEARCH(Assumptions!$C$5,D4747)),Assumptions!$D$5,IF(ISNUMBER(SEARCH(Assumptions!$C$6,D4747)),Assumptions!$D$6,IF(ISNUMBER(SEARCH(Assumptions!$C$7,D4747)),Assumptions!$D$7,"Other Services"))),"Other Services"))</f>
        <v/>
      </c>
    </row>
    <row r="4748" customFormat="false" ht="15" hidden="false" customHeight="false" outlineLevel="0" collapsed="false">
      <c r="F4748" s="41" t="str">
        <f aca="false">IF(D4748="","",IFERROR(IF(ISNUMBER(SEARCH(Assumptions!$C$5,D4748)),Assumptions!$D$5,IF(ISNUMBER(SEARCH(Assumptions!$C$6,D4748)),Assumptions!$D$6,IF(ISNUMBER(SEARCH(Assumptions!$C$7,D4748)),Assumptions!$D$7,"Other Services"))),"Other Services"))</f>
        <v/>
      </c>
    </row>
    <row r="4749" customFormat="false" ht="15" hidden="false" customHeight="false" outlineLevel="0" collapsed="false">
      <c r="F4749" s="41" t="str">
        <f aca="false">IF(D4749="","",IFERROR(IF(ISNUMBER(SEARCH(Assumptions!$C$5,D4749)),Assumptions!$D$5,IF(ISNUMBER(SEARCH(Assumptions!$C$6,D4749)),Assumptions!$D$6,IF(ISNUMBER(SEARCH(Assumptions!$C$7,D4749)),Assumptions!$D$7,"Other Services"))),"Other Services"))</f>
        <v/>
      </c>
    </row>
    <row r="4750" customFormat="false" ht="15" hidden="false" customHeight="false" outlineLevel="0" collapsed="false">
      <c r="F4750" s="41" t="str">
        <f aca="false">IF(D4750="","",IFERROR(IF(ISNUMBER(SEARCH(Assumptions!$C$5,D4750)),Assumptions!$D$5,IF(ISNUMBER(SEARCH(Assumptions!$C$6,D4750)),Assumptions!$D$6,IF(ISNUMBER(SEARCH(Assumptions!$C$7,D4750)),Assumptions!$D$7,"Other Services"))),"Other Services"))</f>
        <v/>
      </c>
    </row>
    <row r="4751" customFormat="false" ht="15" hidden="false" customHeight="false" outlineLevel="0" collapsed="false">
      <c r="F4751" s="41" t="str">
        <f aca="false">IF(D4751="","",IFERROR(IF(ISNUMBER(SEARCH(Assumptions!$C$5,D4751)),Assumptions!$D$5,IF(ISNUMBER(SEARCH(Assumptions!$C$6,D4751)),Assumptions!$D$6,IF(ISNUMBER(SEARCH(Assumptions!$C$7,D4751)),Assumptions!$D$7,"Other Services"))),"Other Services"))</f>
        <v/>
      </c>
    </row>
    <row r="4752" customFormat="false" ht="15" hidden="false" customHeight="false" outlineLevel="0" collapsed="false">
      <c r="F4752" s="41" t="str">
        <f aca="false">IF(D4752="","",IFERROR(IF(ISNUMBER(SEARCH(Assumptions!$C$5,D4752)),Assumptions!$D$5,IF(ISNUMBER(SEARCH(Assumptions!$C$6,D4752)),Assumptions!$D$6,IF(ISNUMBER(SEARCH(Assumptions!$C$7,D4752)),Assumptions!$D$7,"Other Services"))),"Other Services"))</f>
        <v/>
      </c>
    </row>
    <row r="4753" customFormat="false" ht="15" hidden="false" customHeight="false" outlineLevel="0" collapsed="false">
      <c r="F4753" s="41" t="str">
        <f aca="false">IF(D4753="","",IFERROR(IF(ISNUMBER(SEARCH(Assumptions!$C$5,D4753)),Assumptions!$D$5,IF(ISNUMBER(SEARCH(Assumptions!$C$6,D4753)),Assumptions!$D$6,IF(ISNUMBER(SEARCH(Assumptions!$C$7,D4753)),Assumptions!$D$7,"Other Services"))),"Other Services"))</f>
        <v/>
      </c>
    </row>
    <row r="4754" customFormat="false" ht="15" hidden="false" customHeight="false" outlineLevel="0" collapsed="false">
      <c r="F4754" s="41" t="str">
        <f aca="false">IF(D4754="","",IFERROR(IF(ISNUMBER(SEARCH(Assumptions!$C$5,D4754)),Assumptions!$D$5,IF(ISNUMBER(SEARCH(Assumptions!$C$6,D4754)),Assumptions!$D$6,IF(ISNUMBER(SEARCH(Assumptions!$C$7,D4754)),Assumptions!$D$7,"Other Services"))),"Other Services"))</f>
        <v/>
      </c>
    </row>
    <row r="4755" customFormat="false" ht="15" hidden="false" customHeight="false" outlineLevel="0" collapsed="false">
      <c r="F4755" s="41" t="str">
        <f aca="false">IF(D4755="","",IFERROR(IF(ISNUMBER(SEARCH(Assumptions!$C$5,D4755)),Assumptions!$D$5,IF(ISNUMBER(SEARCH(Assumptions!$C$6,D4755)),Assumptions!$D$6,IF(ISNUMBER(SEARCH(Assumptions!$C$7,D4755)),Assumptions!$D$7,"Other Services"))),"Other Services"))</f>
        <v/>
      </c>
    </row>
    <row r="4756" customFormat="false" ht="15" hidden="false" customHeight="false" outlineLevel="0" collapsed="false">
      <c r="F4756" s="41" t="str">
        <f aca="false">IF(D4756="","",IFERROR(IF(ISNUMBER(SEARCH(Assumptions!$C$5,D4756)),Assumptions!$D$5,IF(ISNUMBER(SEARCH(Assumptions!$C$6,D4756)),Assumptions!$D$6,IF(ISNUMBER(SEARCH(Assumptions!$C$7,D4756)),Assumptions!$D$7,"Other Services"))),"Other Services"))</f>
        <v/>
      </c>
    </row>
    <row r="4757" customFormat="false" ht="15" hidden="false" customHeight="false" outlineLevel="0" collapsed="false">
      <c r="F4757" s="41" t="str">
        <f aca="false">IF(D4757="","",IFERROR(IF(ISNUMBER(SEARCH(Assumptions!$C$5,D4757)),Assumptions!$D$5,IF(ISNUMBER(SEARCH(Assumptions!$C$6,D4757)),Assumptions!$D$6,IF(ISNUMBER(SEARCH(Assumptions!$C$7,D4757)),Assumptions!$D$7,"Other Services"))),"Other Services"))</f>
        <v/>
      </c>
    </row>
    <row r="4758" customFormat="false" ht="15" hidden="false" customHeight="false" outlineLevel="0" collapsed="false">
      <c r="F4758" s="41" t="str">
        <f aca="false">IF(D4758="","",IFERROR(IF(ISNUMBER(SEARCH(Assumptions!$C$5,D4758)),Assumptions!$D$5,IF(ISNUMBER(SEARCH(Assumptions!$C$6,D4758)),Assumptions!$D$6,IF(ISNUMBER(SEARCH(Assumptions!$C$7,D4758)),Assumptions!$D$7,"Other Services"))),"Other Services"))</f>
        <v/>
      </c>
    </row>
    <row r="4759" customFormat="false" ht="15" hidden="false" customHeight="false" outlineLevel="0" collapsed="false">
      <c r="F4759" s="41" t="str">
        <f aca="false">IF(D4759="","",IFERROR(IF(ISNUMBER(SEARCH(Assumptions!$C$5,D4759)),Assumptions!$D$5,IF(ISNUMBER(SEARCH(Assumptions!$C$6,D4759)),Assumptions!$D$6,IF(ISNUMBER(SEARCH(Assumptions!$C$7,D4759)),Assumptions!$D$7,"Other Services"))),"Other Services"))</f>
        <v/>
      </c>
    </row>
    <row r="4760" customFormat="false" ht="15" hidden="false" customHeight="false" outlineLevel="0" collapsed="false">
      <c r="F4760" s="41" t="str">
        <f aca="false">IF(D4760="","",IFERROR(IF(ISNUMBER(SEARCH(Assumptions!$C$5,D4760)),Assumptions!$D$5,IF(ISNUMBER(SEARCH(Assumptions!$C$6,D4760)),Assumptions!$D$6,IF(ISNUMBER(SEARCH(Assumptions!$C$7,D4760)),Assumptions!$D$7,"Other Services"))),"Other Services"))</f>
        <v/>
      </c>
    </row>
    <row r="4761" customFormat="false" ht="15" hidden="false" customHeight="false" outlineLevel="0" collapsed="false">
      <c r="F4761" s="41" t="str">
        <f aca="false">IF(D4761="","",IFERROR(IF(ISNUMBER(SEARCH(Assumptions!$C$5,D4761)),Assumptions!$D$5,IF(ISNUMBER(SEARCH(Assumptions!$C$6,D4761)),Assumptions!$D$6,IF(ISNUMBER(SEARCH(Assumptions!$C$7,D4761)),Assumptions!$D$7,"Other Services"))),"Other Services"))</f>
        <v/>
      </c>
    </row>
    <row r="4762" customFormat="false" ht="15" hidden="false" customHeight="false" outlineLevel="0" collapsed="false">
      <c r="F4762" s="41" t="str">
        <f aca="false">IF(D4762="","",IFERROR(IF(ISNUMBER(SEARCH(Assumptions!$C$5,D4762)),Assumptions!$D$5,IF(ISNUMBER(SEARCH(Assumptions!$C$6,D4762)),Assumptions!$D$6,IF(ISNUMBER(SEARCH(Assumptions!$C$7,D4762)),Assumptions!$D$7,"Other Services"))),"Other Services"))</f>
        <v/>
      </c>
    </row>
    <row r="4763" customFormat="false" ht="15" hidden="false" customHeight="false" outlineLevel="0" collapsed="false">
      <c r="F4763" s="41" t="str">
        <f aca="false">IF(D4763="","",IFERROR(IF(ISNUMBER(SEARCH(Assumptions!$C$5,D4763)),Assumptions!$D$5,IF(ISNUMBER(SEARCH(Assumptions!$C$6,D4763)),Assumptions!$D$6,IF(ISNUMBER(SEARCH(Assumptions!$C$7,D4763)),Assumptions!$D$7,"Other Services"))),"Other Services"))</f>
        <v/>
      </c>
    </row>
    <row r="4764" customFormat="false" ht="15" hidden="false" customHeight="false" outlineLevel="0" collapsed="false">
      <c r="F4764" s="41" t="str">
        <f aca="false">IF(D4764="","",IFERROR(IF(ISNUMBER(SEARCH(Assumptions!$C$5,D4764)),Assumptions!$D$5,IF(ISNUMBER(SEARCH(Assumptions!$C$6,D4764)),Assumptions!$D$6,IF(ISNUMBER(SEARCH(Assumptions!$C$7,D4764)),Assumptions!$D$7,"Other Services"))),"Other Services"))</f>
        <v/>
      </c>
    </row>
    <row r="4765" customFormat="false" ht="15" hidden="false" customHeight="false" outlineLevel="0" collapsed="false">
      <c r="F4765" s="41" t="str">
        <f aca="false">IF(D4765="","",IFERROR(IF(ISNUMBER(SEARCH(Assumptions!$C$5,D4765)),Assumptions!$D$5,IF(ISNUMBER(SEARCH(Assumptions!$C$6,D4765)),Assumptions!$D$6,IF(ISNUMBER(SEARCH(Assumptions!$C$7,D4765)),Assumptions!$D$7,"Other Services"))),"Other Services"))</f>
        <v/>
      </c>
    </row>
    <row r="4766" customFormat="false" ht="15" hidden="false" customHeight="false" outlineLevel="0" collapsed="false">
      <c r="F4766" s="41" t="str">
        <f aca="false">IF(D4766="","",IFERROR(IF(ISNUMBER(SEARCH(Assumptions!$C$5,D4766)),Assumptions!$D$5,IF(ISNUMBER(SEARCH(Assumptions!$C$6,D4766)),Assumptions!$D$6,IF(ISNUMBER(SEARCH(Assumptions!$C$7,D4766)),Assumptions!$D$7,"Other Services"))),"Other Services"))</f>
        <v/>
      </c>
    </row>
    <row r="4767" customFormat="false" ht="15" hidden="false" customHeight="false" outlineLevel="0" collapsed="false">
      <c r="F4767" s="41" t="str">
        <f aca="false">IF(D4767="","",IFERROR(IF(ISNUMBER(SEARCH(Assumptions!$C$5,D4767)),Assumptions!$D$5,IF(ISNUMBER(SEARCH(Assumptions!$C$6,D4767)),Assumptions!$D$6,IF(ISNUMBER(SEARCH(Assumptions!$C$7,D4767)),Assumptions!$D$7,"Other Services"))),"Other Services"))</f>
        <v/>
      </c>
    </row>
    <row r="4768" customFormat="false" ht="15" hidden="false" customHeight="false" outlineLevel="0" collapsed="false">
      <c r="F4768" s="41" t="str">
        <f aca="false">IF(D4768="","",IFERROR(IF(ISNUMBER(SEARCH(Assumptions!$C$5,D4768)),Assumptions!$D$5,IF(ISNUMBER(SEARCH(Assumptions!$C$6,D4768)),Assumptions!$D$6,IF(ISNUMBER(SEARCH(Assumptions!$C$7,D4768)),Assumptions!$D$7,"Other Services"))),"Other Services"))</f>
        <v/>
      </c>
    </row>
    <row r="4769" customFormat="false" ht="15" hidden="false" customHeight="false" outlineLevel="0" collapsed="false">
      <c r="F4769" s="41" t="str">
        <f aca="false">IF(D4769="","",IFERROR(IF(ISNUMBER(SEARCH(Assumptions!$C$5,D4769)),Assumptions!$D$5,IF(ISNUMBER(SEARCH(Assumptions!$C$6,D4769)),Assumptions!$D$6,IF(ISNUMBER(SEARCH(Assumptions!$C$7,D4769)),Assumptions!$D$7,"Other Services"))),"Other Services"))</f>
        <v/>
      </c>
    </row>
    <row r="4770" customFormat="false" ht="15" hidden="false" customHeight="false" outlineLevel="0" collapsed="false">
      <c r="F4770" s="41" t="str">
        <f aca="false">IF(D4770="","",IFERROR(IF(ISNUMBER(SEARCH(Assumptions!$C$5,D4770)),Assumptions!$D$5,IF(ISNUMBER(SEARCH(Assumptions!$C$6,D4770)),Assumptions!$D$6,IF(ISNUMBER(SEARCH(Assumptions!$C$7,D4770)),Assumptions!$D$7,"Other Services"))),"Other Services"))</f>
        <v/>
      </c>
    </row>
    <row r="4771" customFormat="false" ht="15" hidden="false" customHeight="false" outlineLevel="0" collapsed="false">
      <c r="F4771" s="41" t="str">
        <f aca="false">IF(D4771="","",IFERROR(IF(ISNUMBER(SEARCH(Assumptions!$C$5,D4771)),Assumptions!$D$5,IF(ISNUMBER(SEARCH(Assumptions!$C$6,D4771)),Assumptions!$D$6,IF(ISNUMBER(SEARCH(Assumptions!$C$7,D4771)),Assumptions!$D$7,"Other Services"))),"Other Services"))</f>
        <v/>
      </c>
    </row>
    <row r="4772" customFormat="false" ht="15" hidden="false" customHeight="false" outlineLevel="0" collapsed="false">
      <c r="F4772" s="41" t="str">
        <f aca="false">IF(D4772="","",IFERROR(IF(ISNUMBER(SEARCH(Assumptions!$C$5,D4772)),Assumptions!$D$5,IF(ISNUMBER(SEARCH(Assumptions!$C$6,D4772)),Assumptions!$D$6,IF(ISNUMBER(SEARCH(Assumptions!$C$7,D4772)),Assumptions!$D$7,"Other Services"))),"Other Services"))</f>
        <v/>
      </c>
    </row>
    <row r="4773" customFormat="false" ht="15" hidden="false" customHeight="false" outlineLevel="0" collapsed="false">
      <c r="F4773" s="41" t="str">
        <f aca="false">IF(D4773="","",IFERROR(IF(ISNUMBER(SEARCH(Assumptions!$C$5,D4773)),Assumptions!$D$5,IF(ISNUMBER(SEARCH(Assumptions!$C$6,D4773)),Assumptions!$D$6,IF(ISNUMBER(SEARCH(Assumptions!$C$7,D4773)),Assumptions!$D$7,"Other Services"))),"Other Services"))</f>
        <v/>
      </c>
    </row>
    <row r="4774" customFormat="false" ht="15" hidden="false" customHeight="false" outlineLevel="0" collapsed="false">
      <c r="F4774" s="41" t="str">
        <f aca="false">IF(D4774="","",IFERROR(IF(ISNUMBER(SEARCH(Assumptions!$C$5,D4774)),Assumptions!$D$5,IF(ISNUMBER(SEARCH(Assumptions!$C$6,D4774)),Assumptions!$D$6,IF(ISNUMBER(SEARCH(Assumptions!$C$7,D4774)),Assumptions!$D$7,"Other Services"))),"Other Services"))</f>
        <v/>
      </c>
    </row>
    <row r="4775" customFormat="false" ht="15" hidden="false" customHeight="false" outlineLevel="0" collapsed="false">
      <c r="F4775" s="41" t="str">
        <f aca="false">IF(D4775="","",IFERROR(IF(ISNUMBER(SEARCH(Assumptions!$C$5,D4775)),Assumptions!$D$5,IF(ISNUMBER(SEARCH(Assumptions!$C$6,D4775)),Assumptions!$D$6,IF(ISNUMBER(SEARCH(Assumptions!$C$7,D4775)),Assumptions!$D$7,"Other Services"))),"Other Services"))</f>
        <v/>
      </c>
    </row>
    <row r="4776" customFormat="false" ht="15" hidden="false" customHeight="false" outlineLevel="0" collapsed="false">
      <c r="F4776" s="41" t="str">
        <f aca="false">IF(D4776="","",IFERROR(IF(ISNUMBER(SEARCH(Assumptions!$C$5,D4776)),Assumptions!$D$5,IF(ISNUMBER(SEARCH(Assumptions!$C$6,D4776)),Assumptions!$D$6,IF(ISNUMBER(SEARCH(Assumptions!$C$7,D4776)),Assumptions!$D$7,"Other Services"))),"Other Services"))</f>
        <v/>
      </c>
    </row>
    <row r="4777" customFormat="false" ht="15" hidden="false" customHeight="false" outlineLevel="0" collapsed="false">
      <c r="F4777" s="41" t="str">
        <f aca="false">IF(D4777="","",IFERROR(IF(ISNUMBER(SEARCH(Assumptions!$C$5,D4777)),Assumptions!$D$5,IF(ISNUMBER(SEARCH(Assumptions!$C$6,D4777)),Assumptions!$D$6,IF(ISNUMBER(SEARCH(Assumptions!$C$7,D4777)),Assumptions!$D$7,"Other Services"))),"Other Services"))</f>
        <v/>
      </c>
    </row>
    <row r="4778" customFormat="false" ht="15" hidden="false" customHeight="false" outlineLevel="0" collapsed="false">
      <c r="F4778" s="41" t="str">
        <f aca="false">IF(D4778="","",IFERROR(IF(ISNUMBER(SEARCH(Assumptions!$C$5,D4778)),Assumptions!$D$5,IF(ISNUMBER(SEARCH(Assumptions!$C$6,D4778)),Assumptions!$D$6,IF(ISNUMBER(SEARCH(Assumptions!$C$7,D4778)),Assumptions!$D$7,"Other Services"))),"Other Services"))</f>
        <v/>
      </c>
    </row>
    <row r="4779" customFormat="false" ht="15" hidden="false" customHeight="false" outlineLevel="0" collapsed="false">
      <c r="F4779" s="41" t="str">
        <f aca="false">IF(D4779="","",IFERROR(IF(ISNUMBER(SEARCH(Assumptions!$C$5,D4779)),Assumptions!$D$5,IF(ISNUMBER(SEARCH(Assumptions!$C$6,D4779)),Assumptions!$D$6,IF(ISNUMBER(SEARCH(Assumptions!$C$7,D4779)),Assumptions!$D$7,"Other Services"))),"Other Services"))</f>
        <v/>
      </c>
    </row>
    <row r="4780" customFormat="false" ht="15" hidden="false" customHeight="false" outlineLevel="0" collapsed="false">
      <c r="F4780" s="41" t="str">
        <f aca="false">IF(D4780="","",IFERROR(IF(ISNUMBER(SEARCH(Assumptions!$C$5,D4780)),Assumptions!$D$5,IF(ISNUMBER(SEARCH(Assumptions!$C$6,D4780)),Assumptions!$D$6,IF(ISNUMBER(SEARCH(Assumptions!$C$7,D4780)),Assumptions!$D$7,"Other Services"))),"Other Services"))</f>
        <v/>
      </c>
    </row>
    <row r="4781" customFormat="false" ht="15" hidden="false" customHeight="false" outlineLevel="0" collapsed="false">
      <c r="F4781" s="41" t="str">
        <f aca="false">IF(D4781="","",IFERROR(IF(ISNUMBER(SEARCH(Assumptions!$C$5,D4781)),Assumptions!$D$5,IF(ISNUMBER(SEARCH(Assumptions!$C$6,D4781)),Assumptions!$D$6,IF(ISNUMBER(SEARCH(Assumptions!$C$7,D4781)),Assumptions!$D$7,"Other Services"))),"Other Services"))</f>
        <v/>
      </c>
    </row>
    <row r="4782" customFormat="false" ht="15" hidden="false" customHeight="false" outlineLevel="0" collapsed="false">
      <c r="F4782" s="41" t="str">
        <f aca="false">IF(D4782="","",IFERROR(IF(ISNUMBER(SEARCH(Assumptions!$C$5,D4782)),Assumptions!$D$5,IF(ISNUMBER(SEARCH(Assumptions!$C$6,D4782)),Assumptions!$D$6,IF(ISNUMBER(SEARCH(Assumptions!$C$7,D4782)),Assumptions!$D$7,"Other Services"))),"Other Services"))</f>
        <v/>
      </c>
    </row>
    <row r="4783" customFormat="false" ht="15" hidden="false" customHeight="false" outlineLevel="0" collapsed="false">
      <c r="F4783" s="41" t="str">
        <f aca="false">IF(D4783="","",IFERROR(IF(ISNUMBER(SEARCH(Assumptions!$C$5,D4783)),Assumptions!$D$5,IF(ISNUMBER(SEARCH(Assumptions!$C$6,D4783)),Assumptions!$D$6,IF(ISNUMBER(SEARCH(Assumptions!$C$7,D4783)),Assumptions!$D$7,"Other Services"))),"Other Services"))</f>
        <v/>
      </c>
    </row>
    <row r="4784" customFormat="false" ht="15" hidden="false" customHeight="false" outlineLevel="0" collapsed="false">
      <c r="F4784" s="41" t="str">
        <f aca="false">IF(D4784="","",IFERROR(IF(ISNUMBER(SEARCH(Assumptions!$C$5,D4784)),Assumptions!$D$5,IF(ISNUMBER(SEARCH(Assumptions!$C$6,D4784)),Assumptions!$D$6,IF(ISNUMBER(SEARCH(Assumptions!$C$7,D4784)),Assumptions!$D$7,"Other Services"))),"Other Services"))</f>
        <v/>
      </c>
    </row>
    <row r="4785" customFormat="false" ht="15" hidden="false" customHeight="false" outlineLevel="0" collapsed="false">
      <c r="F4785" s="41" t="str">
        <f aca="false">IF(D4785="","",IFERROR(IF(ISNUMBER(SEARCH(Assumptions!$C$5,D4785)),Assumptions!$D$5,IF(ISNUMBER(SEARCH(Assumptions!$C$6,D4785)),Assumptions!$D$6,IF(ISNUMBER(SEARCH(Assumptions!$C$7,D4785)),Assumptions!$D$7,"Other Services"))),"Other Services"))</f>
        <v/>
      </c>
    </row>
    <row r="4786" customFormat="false" ht="15" hidden="false" customHeight="false" outlineLevel="0" collapsed="false">
      <c r="F4786" s="41" t="str">
        <f aca="false">IF(D4786="","",IFERROR(IF(ISNUMBER(SEARCH(Assumptions!$C$5,D4786)),Assumptions!$D$5,IF(ISNUMBER(SEARCH(Assumptions!$C$6,D4786)),Assumptions!$D$6,IF(ISNUMBER(SEARCH(Assumptions!$C$7,D4786)),Assumptions!$D$7,"Other Services"))),"Other Services"))</f>
        <v/>
      </c>
    </row>
    <row r="4787" customFormat="false" ht="15" hidden="false" customHeight="false" outlineLevel="0" collapsed="false">
      <c r="F4787" s="41" t="str">
        <f aca="false">IF(D4787="","",IFERROR(IF(ISNUMBER(SEARCH(Assumptions!$C$5,D4787)),Assumptions!$D$5,IF(ISNUMBER(SEARCH(Assumptions!$C$6,D4787)),Assumptions!$D$6,IF(ISNUMBER(SEARCH(Assumptions!$C$7,D4787)),Assumptions!$D$7,"Other Services"))),"Other Services"))</f>
        <v/>
      </c>
    </row>
    <row r="4788" customFormat="false" ht="15" hidden="false" customHeight="false" outlineLevel="0" collapsed="false">
      <c r="F4788" s="41" t="str">
        <f aca="false">IF(D4788="","",IFERROR(IF(ISNUMBER(SEARCH(Assumptions!$C$5,D4788)),Assumptions!$D$5,IF(ISNUMBER(SEARCH(Assumptions!$C$6,D4788)),Assumptions!$D$6,IF(ISNUMBER(SEARCH(Assumptions!$C$7,D4788)),Assumptions!$D$7,"Other Services"))),"Other Services"))</f>
        <v/>
      </c>
    </row>
    <row r="4789" customFormat="false" ht="15" hidden="false" customHeight="false" outlineLevel="0" collapsed="false">
      <c r="F4789" s="41" t="str">
        <f aca="false">IF(D4789="","",IFERROR(IF(ISNUMBER(SEARCH(Assumptions!$C$5,D4789)),Assumptions!$D$5,IF(ISNUMBER(SEARCH(Assumptions!$C$6,D4789)),Assumptions!$D$6,IF(ISNUMBER(SEARCH(Assumptions!$C$7,D4789)),Assumptions!$D$7,"Other Services"))),"Other Services"))</f>
        <v/>
      </c>
    </row>
    <row r="4790" customFormat="false" ht="15" hidden="false" customHeight="false" outlineLevel="0" collapsed="false">
      <c r="F4790" s="41" t="str">
        <f aca="false">IF(D4790="","",IFERROR(IF(ISNUMBER(SEARCH(Assumptions!$C$5,D4790)),Assumptions!$D$5,IF(ISNUMBER(SEARCH(Assumptions!$C$6,D4790)),Assumptions!$D$6,IF(ISNUMBER(SEARCH(Assumptions!$C$7,D4790)),Assumptions!$D$7,"Other Services"))),"Other Services"))</f>
        <v/>
      </c>
    </row>
    <row r="4791" customFormat="false" ht="15" hidden="false" customHeight="false" outlineLevel="0" collapsed="false">
      <c r="F4791" s="41" t="str">
        <f aca="false">IF(D4791="","",IFERROR(IF(ISNUMBER(SEARCH(Assumptions!$C$5,D4791)),Assumptions!$D$5,IF(ISNUMBER(SEARCH(Assumptions!$C$6,D4791)),Assumptions!$D$6,IF(ISNUMBER(SEARCH(Assumptions!$C$7,D4791)),Assumptions!$D$7,"Other Services"))),"Other Services"))</f>
        <v/>
      </c>
    </row>
    <row r="4792" customFormat="false" ht="15" hidden="false" customHeight="false" outlineLevel="0" collapsed="false">
      <c r="F4792" s="41" t="str">
        <f aca="false">IF(D4792="","",IFERROR(IF(ISNUMBER(SEARCH(Assumptions!$C$5,D4792)),Assumptions!$D$5,IF(ISNUMBER(SEARCH(Assumptions!$C$6,D4792)),Assumptions!$D$6,IF(ISNUMBER(SEARCH(Assumptions!$C$7,D4792)),Assumptions!$D$7,"Other Services"))),"Other Services"))</f>
        <v/>
      </c>
    </row>
    <row r="4793" customFormat="false" ht="15" hidden="false" customHeight="false" outlineLevel="0" collapsed="false">
      <c r="F4793" s="41" t="str">
        <f aca="false">IF(D4793="","",IFERROR(IF(ISNUMBER(SEARCH(Assumptions!$C$5,D4793)),Assumptions!$D$5,IF(ISNUMBER(SEARCH(Assumptions!$C$6,D4793)),Assumptions!$D$6,IF(ISNUMBER(SEARCH(Assumptions!$C$7,D4793)),Assumptions!$D$7,"Other Services"))),"Other Services"))</f>
        <v/>
      </c>
    </row>
    <row r="4794" customFormat="false" ht="15" hidden="false" customHeight="false" outlineLevel="0" collapsed="false">
      <c r="F4794" s="41" t="str">
        <f aca="false">IF(D4794="","",IFERROR(IF(ISNUMBER(SEARCH(Assumptions!$C$5,D4794)),Assumptions!$D$5,IF(ISNUMBER(SEARCH(Assumptions!$C$6,D4794)),Assumptions!$D$6,IF(ISNUMBER(SEARCH(Assumptions!$C$7,D4794)),Assumptions!$D$7,"Other Services"))),"Other Services"))</f>
        <v/>
      </c>
    </row>
    <row r="4795" customFormat="false" ht="15" hidden="false" customHeight="false" outlineLevel="0" collapsed="false">
      <c r="F4795" s="41" t="str">
        <f aca="false">IF(D4795="","",IFERROR(IF(ISNUMBER(SEARCH(Assumptions!$C$5,D4795)),Assumptions!$D$5,IF(ISNUMBER(SEARCH(Assumptions!$C$6,D4795)),Assumptions!$D$6,IF(ISNUMBER(SEARCH(Assumptions!$C$7,D4795)),Assumptions!$D$7,"Other Services"))),"Other Services"))</f>
        <v/>
      </c>
    </row>
    <row r="4796" customFormat="false" ht="15" hidden="false" customHeight="false" outlineLevel="0" collapsed="false">
      <c r="F4796" s="41" t="str">
        <f aca="false">IF(D4796="","",IFERROR(IF(ISNUMBER(SEARCH(Assumptions!$C$5,D4796)),Assumptions!$D$5,IF(ISNUMBER(SEARCH(Assumptions!$C$6,D4796)),Assumptions!$D$6,IF(ISNUMBER(SEARCH(Assumptions!$C$7,D4796)),Assumptions!$D$7,"Other Services"))),"Other Services"))</f>
        <v/>
      </c>
    </row>
    <row r="4797" customFormat="false" ht="15" hidden="false" customHeight="false" outlineLevel="0" collapsed="false">
      <c r="F4797" s="41" t="str">
        <f aca="false">IF(D4797="","",IFERROR(IF(ISNUMBER(SEARCH(Assumptions!$C$5,D4797)),Assumptions!$D$5,IF(ISNUMBER(SEARCH(Assumptions!$C$6,D4797)),Assumptions!$D$6,IF(ISNUMBER(SEARCH(Assumptions!$C$7,D4797)),Assumptions!$D$7,"Other Services"))),"Other Services"))</f>
        <v/>
      </c>
    </row>
    <row r="4798" customFormat="false" ht="15" hidden="false" customHeight="false" outlineLevel="0" collapsed="false">
      <c r="F4798" s="41" t="str">
        <f aca="false">IF(D4798="","",IFERROR(IF(ISNUMBER(SEARCH(Assumptions!$C$5,D4798)),Assumptions!$D$5,IF(ISNUMBER(SEARCH(Assumptions!$C$6,D4798)),Assumptions!$D$6,IF(ISNUMBER(SEARCH(Assumptions!$C$7,D4798)),Assumptions!$D$7,"Other Services"))),"Other Services"))</f>
        <v/>
      </c>
    </row>
    <row r="4799" customFormat="false" ht="15" hidden="false" customHeight="false" outlineLevel="0" collapsed="false">
      <c r="F4799" s="41" t="str">
        <f aca="false">IF(D4799="","",IFERROR(IF(ISNUMBER(SEARCH(Assumptions!$C$5,D4799)),Assumptions!$D$5,IF(ISNUMBER(SEARCH(Assumptions!$C$6,D4799)),Assumptions!$D$6,IF(ISNUMBER(SEARCH(Assumptions!$C$7,D4799)),Assumptions!$D$7,"Other Services"))),"Other Services"))</f>
        <v/>
      </c>
    </row>
    <row r="4800" customFormat="false" ht="15" hidden="false" customHeight="false" outlineLevel="0" collapsed="false">
      <c r="F4800" s="41" t="str">
        <f aca="false">IF(D4800="","",IFERROR(IF(ISNUMBER(SEARCH(Assumptions!$C$5,D4800)),Assumptions!$D$5,IF(ISNUMBER(SEARCH(Assumptions!$C$6,D4800)),Assumptions!$D$6,IF(ISNUMBER(SEARCH(Assumptions!$C$7,D4800)),Assumptions!$D$7,"Other Services"))),"Other Services"))</f>
        <v/>
      </c>
    </row>
    <row r="4801" customFormat="false" ht="15" hidden="false" customHeight="false" outlineLevel="0" collapsed="false">
      <c r="F4801" s="41" t="str">
        <f aca="false">IF(D4801="","",IFERROR(IF(ISNUMBER(SEARCH(Assumptions!$C$5,D4801)),Assumptions!$D$5,IF(ISNUMBER(SEARCH(Assumptions!$C$6,D4801)),Assumptions!$D$6,IF(ISNUMBER(SEARCH(Assumptions!$C$7,D4801)),Assumptions!$D$7,"Other Services"))),"Other Services"))</f>
        <v/>
      </c>
    </row>
    <row r="4802" customFormat="false" ht="15" hidden="false" customHeight="false" outlineLevel="0" collapsed="false">
      <c r="F4802" s="41" t="str">
        <f aca="false">IF(D4802="","",IFERROR(IF(ISNUMBER(SEARCH(Assumptions!$C$5,D4802)),Assumptions!$D$5,IF(ISNUMBER(SEARCH(Assumptions!$C$6,D4802)),Assumptions!$D$6,IF(ISNUMBER(SEARCH(Assumptions!$C$7,D4802)),Assumptions!$D$7,"Other Services"))),"Other Services"))</f>
        <v/>
      </c>
    </row>
    <row r="4803" customFormat="false" ht="15" hidden="false" customHeight="false" outlineLevel="0" collapsed="false">
      <c r="F4803" s="41" t="str">
        <f aca="false">IF(D4803="","",IFERROR(IF(ISNUMBER(SEARCH(Assumptions!$C$5,D4803)),Assumptions!$D$5,IF(ISNUMBER(SEARCH(Assumptions!$C$6,D4803)),Assumptions!$D$6,IF(ISNUMBER(SEARCH(Assumptions!$C$7,D4803)),Assumptions!$D$7,"Other Services"))),"Other Services"))</f>
        <v/>
      </c>
    </row>
    <row r="4804" customFormat="false" ht="15" hidden="false" customHeight="false" outlineLevel="0" collapsed="false">
      <c r="F4804" s="41" t="str">
        <f aca="false">IF(D4804="","",IFERROR(IF(ISNUMBER(SEARCH(Assumptions!$C$5,D4804)),Assumptions!$D$5,IF(ISNUMBER(SEARCH(Assumptions!$C$6,D4804)),Assumptions!$D$6,IF(ISNUMBER(SEARCH(Assumptions!$C$7,D4804)),Assumptions!$D$7,"Other Services"))),"Other Services"))</f>
        <v/>
      </c>
    </row>
    <row r="4805" customFormat="false" ht="15" hidden="false" customHeight="false" outlineLevel="0" collapsed="false">
      <c r="F4805" s="41" t="str">
        <f aca="false">IF(D4805="","",IFERROR(IF(ISNUMBER(SEARCH(Assumptions!$C$5,D4805)),Assumptions!$D$5,IF(ISNUMBER(SEARCH(Assumptions!$C$6,D4805)),Assumptions!$D$6,IF(ISNUMBER(SEARCH(Assumptions!$C$7,D4805)),Assumptions!$D$7,"Other Services"))),"Other Services"))</f>
        <v/>
      </c>
    </row>
    <row r="4806" customFormat="false" ht="15" hidden="false" customHeight="false" outlineLevel="0" collapsed="false">
      <c r="F4806" s="41" t="str">
        <f aca="false">IF(D4806="","",IFERROR(IF(ISNUMBER(SEARCH(Assumptions!$C$5,D4806)),Assumptions!$D$5,IF(ISNUMBER(SEARCH(Assumptions!$C$6,D4806)),Assumptions!$D$6,IF(ISNUMBER(SEARCH(Assumptions!$C$7,D4806)),Assumptions!$D$7,"Other Services"))),"Other Services"))</f>
        <v/>
      </c>
    </row>
    <row r="4807" customFormat="false" ht="15" hidden="false" customHeight="false" outlineLevel="0" collapsed="false">
      <c r="F4807" s="41" t="str">
        <f aca="false">IF(D4807="","",IFERROR(IF(ISNUMBER(SEARCH(Assumptions!$C$5,D4807)),Assumptions!$D$5,IF(ISNUMBER(SEARCH(Assumptions!$C$6,D4807)),Assumptions!$D$6,IF(ISNUMBER(SEARCH(Assumptions!$C$7,D4807)),Assumptions!$D$7,"Other Services"))),"Other Services"))</f>
        <v/>
      </c>
    </row>
    <row r="4808" customFormat="false" ht="15" hidden="false" customHeight="false" outlineLevel="0" collapsed="false">
      <c r="F4808" s="41" t="str">
        <f aca="false">IF(D4808="","",IFERROR(IF(ISNUMBER(SEARCH(Assumptions!$C$5,D4808)),Assumptions!$D$5,IF(ISNUMBER(SEARCH(Assumptions!$C$6,D4808)),Assumptions!$D$6,IF(ISNUMBER(SEARCH(Assumptions!$C$7,D4808)),Assumptions!$D$7,"Other Services"))),"Other Services"))</f>
        <v/>
      </c>
    </row>
    <row r="4809" customFormat="false" ht="15" hidden="false" customHeight="false" outlineLevel="0" collapsed="false">
      <c r="F4809" s="41" t="str">
        <f aca="false">IF(D4809="","",IFERROR(IF(ISNUMBER(SEARCH(Assumptions!$C$5,D4809)),Assumptions!$D$5,IF(ISNUMBER(SEARCH(Assumptions!$C$6,D4809)),Assumptions!$D$6,IF(ISNUMBER(SEARCH(Assumptions!$C$7,D4809)),Assumptions!$D$7,"Other Services"))),"Other Services"))</f>
        <v/>
      </c>
    </row>
    <row r="4810" customFormat="false" ht="15" hidden="false" customHeight="false" outlineLevel="0" collapsed="false">
      <c r="F4810" s="41" t="str">
        <f aca="false">IF(D4810="","",IFERROR(IF(ISNUMBER(SEARCH(Assumptions!$C$5,D4810)),Assumptions!$D$5,IF(ISNUMBER(SEARCH(Assumptions!$C$6,D4810)),Assumptions!$D$6,IF(ISNUMBER(SEARCH(Assumptions!$C$7,D4810)),Assumptions!$D$7,"Other Services"))),"Other Services"))</f>
        <v/>
      </c>
    </row>
    <row r="4811" customFormat="false" ht="15" hidden="false" customHeight="false" outlineLevel="0" collapsed="false">
      <c r="F4811" s="41" t="str">
        <f aca="false">IF(D4811="","",IFERROR(IF(ISNUMBER(SEARCH(Assumptions!$C$5,D4811)),Assumptions!$D$5,IF(ISNUMBER(SEARCH(Assumptions!$C$6,D4811)),Assumptions!$D$6,IF(ISNUMBER(SEARCH(Assumptions!$C$7,D4811)),Assumptions!$D$7,"Other Services"))),"Other Services"))</f>
        <v/>
      </c>
    </row>
    <row r="4812" customFormat="false" ht="15" hidden="false" customHeight="false" outlineLevel="0" collapsed="false">
      <c r="F4812" s="41" t="str">
        <f aca="false">IF(D4812="","",IFERROR(IF(ISNUMBER(SEARCH(Assumptions!$C$5,D4812)),Assumptions!$D$5,IF(ISNUMBER(SEARCH(Assumptions!$C$6,D4812)),Assumptions!$D$6,IF(ISNUMBER(SEARCH(Assumptions!$C$7,D4812)),Assumptions!$D$7,"Other Services"))),"Other Services"))</f>
        <v/>
      </c>
    </row>
    <row r="4813" customFormat="false" ht="15" hidden="false" customHeight="false" outlineLevel="0" collapsed="false">
      <c r="F4813" s="41" t="str">
        <f aca="false">IF(D4813="","",IFERROR(IF(ISNUMBER(SEARCH(Assumptions!$C$5,D4813)),Assumptions!$D$5,IF(ISNUMBER(SEARCH(Assumptions!$C$6,D4813)),Assumptions!$D$6,IF(ISNUMBER(SEARCH(Assumptions!$C$7,D4813)),Assumptions!$D$7,"Other Services"))),"Other Services"))</f>
        <v/>
      </c>
    </row>
    <row r="4814" customFormat="false" ht="15" hidden="false" customHeight="false" outlineLevel="0" collapsed="false">
      <c r="F4814" s="41" t="str">
        <f aca="false">IF(D4814="","",IFERROR(IF(ISNUMBER(SEARCH(Assumptions!$C$5,D4814)),Assumptions!$D$5,IF(ISNUMBER(SEARCH(Assumptions!$C$6,D4814)),Assumptions!$D$6,IF(ISNUMBER(SEARCH(Assumptions!$C$7,D4814)),Assumptions!$D$7,"Other Services"))),"Other Services"))</f>
        <v/>
      </c>
    </row>
    <row r="4815" customFormat="false" ht="15" hidden="false" customHeight="false" outlineLevel="0" collapsed="false">
      <c r="F4815" s="41" t="str">
        <f aca="false">IF(D4815="","",IFERROR(IF(ISNUMBER(SEARCH(Assumptions!$C$5,D4815)),Assumptions!$D$5,IF(ISNUMBER(SEARCH(Assumptions!$C$6,D4815)),Assumptions!$D$6,IF(ISNUMBER(SEARCH(Assumptions!$C$7,D4815)),Assumptions!$D$7,"Other Services"))),"Other Services"))</f>
        <v/>
      </c>
    </row>
    <row r="4816" customFormat="false" ht="15" hidden="false" customHeight="false" outlineLevel="0" collapsed="false">
      <c r="F4816" s="41" t="str">
        <f aca="false">IF(D4816="","",IFERROR(IF(ISNUMBER(SEARCH(Assumptions!$C$5,D4816)),Assumptions!$D$5,IF(ISNUMBER(SEARCH(Assumptions!$C$6,D4816)),Assumptions!$D$6,IF(ISNUMBER(SEARCH(Assumptions!$C$7,D4816)),Assumptions!$D$7,"Other Services"))),"Other Services"))</f>
        <v/>
      </c>
    </row>
    <row r="4817" customFormat="false" ht="15" hidden="false" customHeight="false" outlineLevel="0" collapsed="false">
      <c r="F4817" s="41" t="str">
        <f aca="false">IF(D4817="","",IFERROR(IF(ISNUMBER(SEARCH(Assumptions!$C$5,D4817)),Assumptions!$D$5,IF(ISNUMBER(SEARCH(Assumptions!$C$6,D4817)),Assumptions!$D$6,IF(ISNUMBER(SEARCH(Assumptions!$C$7,D4817)),Assumptions!$D$7,"Other Services"))),"Other Services"))</f>
        <v/>
      </c>
    </row>
    <row r="4818" customFormat="false" ht="15" hidden="false" customHeight="false" outlineLevel="0" collapsed="false">
      <c r="F4818" s="41" t="str">
        <f aca="false">IF(D4818="","",IFERROR(IF(ISNUMBER(SEARCH(Assumptions!$C$5,D4818)),Assumptions!$D$5,IF(ISNUMBER(SEARCH(Assumptions!$C$6,D4818)),Assumptions!$D$6,IF(ISNUMBER(SEARCH(Assumptions!$C$7,D4818)),Assumptions!$D$7,"Other Services"))),"Other Services"))</f>
        <v/>
      </c>
    </row>
    <row r="4819" customFormat="false" ht="15" hidden="false" customHeight="false" outlineLevel="0" collapsed="false">
      <c r="F4819" s="41" t="str">
        <f aca="false">IF(D4819="","",IFERROR(IF(ISNUMBER(SEARCH(Assumptions!$C$5,D4819)),Assumptions!$D$5,IF(ISNUMBER(SEARCH(Assumptions!$C$6,D4819)),Assumptions!$D$6,IF(ISNUMBER(SEARCH(Assumptions!$C$7,D4819)),Assumptions!$D$7,"Other Services"))),"Other Services"))</f>
        <v/>
      </c>
    </row>
    <row r="4820" customFormat="false" ht="15" hidden="false" customHeight="false" outlineLevel="0" collapsed="false">
      <c r="F4820" s="41" t="str">
        <f aca="false">IF(D4820="","",IFERROR(IF(ISNUMBER(SEARCH(Assumptions!$C$5,D4820)),Assumptions!$D$5,IF(ISNUMBER(SEARCH(Assumptions!$C$6,D4820)),Assumptions!$D$6,IF(ISNUMBER(SEARCH(Assumptions!$C$7,D4820)),Assumptions!$D$7,"Other Services"))),"Other Services"))</f>
        <v/>
      </c>
    </row>
    <row r="4821" customFormat="false" ht="15" hidden="false" customHeight="false" outlineLevel="0" collapsed="false">
      <c r="F4821" s="41" t="str">
        <f aca="false">IF(D4821="","",IFERROR(IF(ISNUMBER(SEARCH(Assumptions!$C$5,D4821)),Assumptions!$D$5,IF(ISNUMBER(SEARCH(Assumptions!$C$6,D4821)),Assumptions!$D$6,IF(ISNUMBER(SEARCH(Assumptions!$C$7,D4821)),Assumptions!$D$7,"Other Services"))),"Other Services"))</f>
        <v/>
      </c>
    </row>
    <row r="4822" customFormat="false" ht="15" hidden="false" customHeight="false" outlineLevel="0" collapsed="false">
      <c r="F4822" s="41" t="str">
        <f aca="false">IF(D4822="","",IFERROR(IF(ISNUMBER(SEARCH(Assumptions!$C$5,D4822)),Assumptions!$D$5,IF(ISNUMBER(SEARCH(Assumptions!$C$6,D4822)),Assumptions!$D$6,IF(ISNUMBER(SEARCH(Assumptions!$C$7,D4822)),Assumptions!$D$7,"Other Services"))),"Other Services"))</f>
        <v/>
      </c>
    </row>
    <row r="4823" customFormat="false" ht="15" hidden="false" customHeight="false" outlineLevel="0" collapsed="false">
      <c r="F4823" s="41" t="str">
        <f aca="false">IF(D4823="","",IFERROR(IF(ISNUMBER(SEARCH(Assumptions!$C$5,D4823)),Assumptions!$D$5,IF(ISNUMBER(SEARCH(Assumptions!$C$6,D4823)),Assumptions!$D$6,IF(ISNUMBER(SEARCH(Assumptions!$C$7,D4823)),Assumptions!$D$7,"Other Services"))),"Other Services"))</f>
        <v/>
      </c>
    </row>
    <row r="4824" customFormat="false" ht="15" hidden="false" customHeight="false" outlineLevel="0" collapsed="false">
      <c r="F4824" s="41" t="str">
        <f aca="false">IF(D4824="","",IFERROR(IF(ISNUMBER(SEARCH(Assumptions!$C$5,D4824)),Assumptions!$D$5,IF(ISNUMBER(SEARCH(Assumptions!$C$6,D4824)),Assumptions!$D$6,IF(ISNUMBER(SEARCH(Assumptions!$C$7,D4824)),Assumptions!$D$7,"Other Services"))),"Other Services"))</f>
        <v/>
      </c>
    </row>
    <row r="4825" customFormat="false" ht="15" hidden="false" customHeight="false" outlineLevel="0" collapsed="false">
      <c r="F4825" s="41" t="str">
        <f aca="false">IF(D4825="","",IFERROR(IF(ISNUMBER(SEARCH(Assumptions!$C$5,D4825)),Assumptions!$D$5,IF(ISNUMBER(SEARCH(Assumptions!$C$6,D4825)),Assumptions!$D$6,IF(ISNUMBER(SEARCH(Assumptions!$C$7,D4825)),Assumptions!$D$7,"Other Services"))),"Other Services"))</f>
        <v/>
      </c>
    </row>
    <row r="4826" customFormat="false" ht="15" hidden="false" customHeight="false" outlineLevel="0" collapsed="false">
      <c r="F4826" s="41" t="str">
        <f aca="false">IF(D4826="","",IFERROR(IF(ISNUMBER(SEARCH(Assumptions!$C$5,D4826)),Assumptions!$D$5,IF(ISNUMBER(SEARCH(Assumptions!$C$6,D4826)),Assumptions!$D$6,IF(ISNUMBER(SEARCH(Assumptions!$C$7,D4826)),Assumptions!$D$7,"Other Services"))),"Other Services"))</f>
        <v/>
      </c>
    </row>
    <row r="4827" customFormat="false" ht="15" hidden="false" customHeight="false" outlineLevel="0" collapsed="false">
      <c r="F4827" s="41" t="str">
        <f aca="false">IF(D4827="","",IFERROR(IF(ISNUMBER(SEARCH(Assumptions!$C$5,D4827)),Assumptions!$D$5,IF(ISNUMBER(SEARCH(Assumptions!$C$6,D4827)),Assumptions!$D$6,IF(ISNUMBER(SEARCH(Assumptions!$C$7,D4827)),Assumptions!$D$7,"Other Services"))),"Other Services"))</f>
        <v/>
      </c>
    </row>
    <row r="4828" customFormat="false" ht="15" hidden="false" customHeight="false" outlineLevel="0" collapsed="false">
      <c r="F4828" s="41" t="str">
        <f aca="false">IF(D4828="","",IFERROR(IF(ISNUMBER(SEARCH(Assumptions!$C$5,D4828)),Assumptions!$D$5,IF(ISNUMBER(SEARCH(Assumptions!$C$6,D4828)),Assumptions!$D$6,IF(ISNUMBER(SEARCH(Assumptions!$C$7,D4828)),Assumptions!$D$7,"Other Services"))),"Other Services"))</f>
        <v/>
      </c>
    </row>
    <row r="4829" customFormat="false" ht="15" hidden="false" customHeight="false" outlineLevel="0" collapsed="false">
      <c r="F4829" s="41" t="str">
        <f aca="false">IF(D4829="","",IFERROR(IF(ISNUMBER(SEARCH(Assumptions!$C$5,D4829)),Assumptions!$D$5,IF(ISNUMBER(SEARCH(Assumptions!$C$6,D4829)),Assumptions!$D$6,IF(ISNUMBER(SEARCH(Assumptions!$C$7,D4829)),Assumptions!$D$7,"Other Services"))),"Other Services"))</f>
        <v/>
      </c>
    </row>
    <row r="4830" customFormat="false" ht="15" hidden="false" customHeight="false" outlineLevel="0" collapsed="false">
      <c r="F4830" s="41" t="str">
        <f aca="false">IF(D4830="","",IFERROR(IF(ISNUMBER(SEARCH(Assumptions!$C$5,D4830)),Assumptions!$D$5,IF(ISNUMBER(SEARCH(Assumptions!$C$6,D4830)),Assumptions!$D$6,IF(ISNUMBER(SEARCH(Assumptions!$C$7,D4830)),Assumptions!$D$7,"Other Services"))),"Other Services"))</f>
        <v/>
      </c>
    </row>
    <row r="4831" customFormat="false" ht="15" hidden="false" customHeight="false" outlineLevel="0" collapsed="false">
      <c r="F4831" s="41" t="str">
        <f aca="false">IF(D4831="","",IFERROR(IF(ISNUMBER(SEARCH(Assumptions!$C$5,D4831)),Assumptions!$D$5,IF(ISNUMBER(SEARCH(Assumptions!$C$6,D4831)),Assumptions!$D$6,IF(ISNUMBER(SEARCH(Assumptions!$C$7,D4831)),Assumptions!$D$7,"Other Services"))),"Other Services"))</f>
        <v/>
      </c>
    </row>
    <row r="4832" customFormat="false" ht="15" hidden="false" customHeight="false" outlineLevel="0" collapsed="false">
      <c r="F4832" s="41" t="str">
        <f aca="false">IF(D4832="","",IFERROR(IF(ISNUMBER(SEARCH(Assumptions!$C$5,D4832)),Assumptions!$D$5,IF(ISNUMBER(SEARCH(Assumptions!$C$6,D4832)),Assumptions!$D$6,IF(ISNUMBER(SEARCH(Assumptions!$C$7,D4832)),Assumptions!$D$7,"Other Services"))),"Other Services"))</f>
        <v/>
      </c>
    </row>
    <row r="4833" customFormat="false" ht="15" hidden="false" customHeight="false" outlineLevel="0" collapsed="false">
      <c r="F4833" s="41" t="str">
        <f aca="false">IF(D4833="","",IFERROR(IF(ISNUMBER(SEARCH(Assumptions!$C$5,D4833)),Assumptions!$D$5,IF(ISNUMBER(SEARCH(Assumptions!$C$6,D4833)),Assumptions!$D$6,IF(ISNUMBER(SEARCH(Assumptions!$C$7,D4833)),Assumptions!$D$7,"Other Services"))),"Other Services"))</f>
        <v/>
      </c>
    </row>
    <row r="4834" customFormat="false" ht="15" hidden="false" customHeight="false" outlineLevel="0" collapsed="false">
      <c r="F4834" s="41" t="str">
        <f aca="false">IF(D4834="","",IFERROR(IF(ISNUMBER(SEARCH(Assumptions!$C$5,D4834)),Assumptions!$D$5,IF(ISNUMBER(SEARCH(Assumptions!$C$6,D4834)),Assumptions!$D$6,IF(ISNUMBER(SEARCH(Assumptions!$C$7,D4834)),Assumptions!$D$7,"Other Services"))),"Other Services"))</f>
        <v/>
      </c>
    </row>
    <row r="4835" customFormat="false" ht="15" hidden="false" customHeight="false" outlineLevel="0" collapsed="false">
      <c r="F4835" s="41" t="str">
        <f aca="false">IF(D4835="","",IFERROR(IF(ISNUMBER(SEARCH(Assumptions!$C$5,D4835)),Assumptions!$D$5,IF(ISNUMBER(SEARCH(Assumptions!$C$6,D4835)),Assumptions!$D$6,IF(ISNUMBER(SEARCH(Assumptions!$C$7,D4835)),Assumptions!$D$7,"Other Services"))),"Other Services"))</f>
        <v/>
      </c>
    </row>
    <row r="4836" customFormat="false" ht="15" hidden="false" customHeight="false" outlineLevel="0" collapsed="false">
      <c r="F4836" s="41" t="str">
        <f aca="false">IF(D4836="","",IFERROR(IF(ISNUMBER(SEARCH(Assumptions!$C$5,D4836)),Assumptions!$D$5,IF(ISNUMBER(SEARCH(Assumptions!$C$6,D4836)),Assumptions!$D$6,IF(ISNUMBER(SEARCH(Assumptions!$C$7,D4836)),Assumptions!$D$7,"Other Services"))),"Other Services"))</f>
        <v/>
      </c>
    </row>
    <row r="4837" customFormat="false" ht="15" hidden="false" customHeight="false" outlineLevel="0" collapsed="false">
      <c r="F4837" s="41" t="str">
        <f aca="false">IF(D4837="","",IFERROR(IF(ISNUMBER(SEARCH(Assumptions!$C$5,D4837)),Assumptions!$D$5,IF(ISNUMBER(SEARCH(Assumptions!$C$6,D4837)),Assumptions!$D$6,IF(ISNUMBER(SEARCH(Assumptions!$C$7,D4837)),Assumptions!$D$7,"Other Services"))),"Other Services"))</f>
        <v/>
      </c>
    </row>
    <row r="4838" customFormat="false" ht="15" hidden="false" customHeight="false" outlineLevel="0" collapsed="false">
      <c r="F4838" s="41" t="str">
        <f aca="false">IF(D4838="","",IFERROR(IF(ISNUMBER(SEARCH(Assumptions!$C$5,D4838)),Assumptions!$D$5,IF(ISNUMBER(SEARCH(Assumptions!$C$6,D4838)),Assumptions!$D$6,IF(ISNUMBER(SEARCH(Assumptions!$C$7,D4838)),Assumptions!$D$7,"Other Services"))),"Other Services"))</f>
        <v/>
      </c>
    </row>
    <row r="4839" customFormat="false" ht="15" hidden="false" customHeight="false" outlineLevel="0" collapsed="false">
      <c r="F4839" s="41" t="str">
        <f aca="false">IF(D4839="","",IFERROR(IF(ISNUMBER(SEARCH(Assumptions!$C$5,D4839)),Assumptions!$D$5,IF(ISNUMBER(SEARCH(Assumptions!$C$6,D4839)),Assumptions!$D$6,IF(ISNUMBER(SEARCH(Assumptions!$C$7,D4839)),Assumptions!$D$7,"Other Services"))),"Other Services"))</f>
        <v/>
      </c>
    </row>
    <row r="4840" customFormat="false" ht="15" hidden="false" customHeight="false" outlineLevel="0" collapsed="false">
      <c r="F4840" s="41" t="str">
        <f aca="false">IF(D4840="","",IFERROR(IF(ISNUMBER(SEARCH(Assumptions!$C$5,D4840)),Assumptions!$D$5,IF(ISNUMBER(SEARCH(Assumptions!$C$6,D4840)),Assumptions!$D$6,IF(ISNUMBER(SEARCH(Assumptions!$C$7,D4840)),Assumptions!$D$7,"Other Services"))),"Other Services"))</f>
        <v/>
      </c>
    </row>
    <row r="4841" customFormat="false" ht="15" hidden="false" customHeight="false" outlineLevel="0" collapsed="false">
      <c r="F4841" s="41" t="str">
        <f aca="false">IF(D4841="","",IFERROR(IF(ISNUMBER(SEARCH(Assumptions!$C$5,D4841)),Assumptions!$D$5,IF(ISNUMBER(SEARCH(Assumptions!$C$6,D4841)),Assumptions!$D$6,IF(ISNUMBER(SEARCH(Assumptions!$C$7,D4841)),Assumptions!$D$7,"Other Services"))),"Other Services"))</f>
        <v/>
      </c>
    </row>
    <row r="4842" customFormat="false" ht="15" hidden="false" customHeight="false" outlineLevel="0" collapsed="false">
      <c r="F4842" s="41" t="str">
        <f aca="false">IF(D4842="","",IFERROR(IF(ISNUMBER(SEARCH(Assumptions!$C$5,D4842)),Assumptions!$D$5,IF(ISNUMBER(SEARCH(Assumptions!$C$6,D4842)),Assumptions!$D$6,IF(ISNUMBER(SEARCH(Assumptions!$C$7,D4842)),Assumptions!$D$7,"Other Services"))),"Other Services"))</f>
        <v/>
      </c>
    </row>
    <row r="4843" customFormat="false" ht="15" hidden="false" customHeight="false" outlineLevel="0" collapsed="false">
      <c r="F4843" s="41" t="str">
        <f aca="false">IF(D4843="","",IFERROR(IF(ISNUMBER(SEARCH(Assumptions!$C$5,D4843)),Assumptions!$D$5,IF(ISNUMBER(SEARCH(Assumptions!$C$6,D4843)),Assumptions!$D$6,IF(ISNUMBER(SEARCH(Assumptions!$C$7,D4843)),Assumptions!$D$7,"Other Services"))),"Other Services"))</f>
        <v/>
      </c>
    </row>
    <row r="4844" customFormat="false" ht="15" hidden="false" customHeight="false" outlineLevel="0" collapsed="false">
      <c r="F4844" s="41" t="str">
        <f aca="false">IF(D4844="","",IFERROR(IF(ISNUMBER(SEARCH(Assumptions!$C$5,D4844)),Assumptions!$D$5,IF(ISNUMBER(SEARCH(Assumptions!$C$6,D4844)),Assumptions!$D$6,IF(ISNUMBER(SEARCH(Assumptions!$C$7,D4844)),Assumptions!$D$7,"Other Services"))),"Other Services"))</f>
        <v/>
      </c>
    </row>
    <row r="4845" customFormat="false" ht="15" hidden="false" customHeight="false" outlineLevel="0" collapsed="false">
      <c r="F4845" s="41" t="str">
        <f aca="false">IF(D4845="","",IFERROR(IF(ISNUMBER(SEARCH(Assumptions!$C$5,D4845)),Assumptions!$D$5,IF(ISNUMBER(SEARCH(Assumptions!$C$6,D4845)),Assumptions!$D$6,IF(ISNUMBER(SEARCH(Assumptions!$C$7,D4845)),Assumptions!$D$7,"Other Services"))),"Other Services"))</f>
        <v/>
      </c>
    </row>
    <row r="4846" customFormat="false" ht="15" hidden="false" customHeight="false" outlineLevel="0" collapsed="false">
      <c r="F4846" s="41" t="str">
        <f aca="false">IF(D4846="","",IFERROR(IF(ISNUMBER(SEARCH(Assumptions!$C$5,D4846)),Assumptions!$D$5,IF(ISNUMBER(SEARCH(Assumptions!$C$6,D4846)),Assumptions!$D$6,IF(ISNUMBER(SEARCH(Assumptions!$C$7,D4846)),Assumptions!$D$7,"Other Services"))),"Other Services"))</f>
        <v/>
      </c>
    </row>
    <row r="4847" customFormat="false" ht="15" hidden="false" customHeight="false" outlineLevel="0" collapsed="false">
      <c r="F4847" s="41" t="str">
        <f aca="false">IF(D4847="","",IFERROR(IF(ISNUMBER(SEARCH(Assumptions!$C$5,D4847)),Assumptions!$D$5,IF(ISNUMBER(SEARCH(Assumptions!$C$6,D4847)),Assumptions!$D$6,IF(ISNUMBER(SEARCH(Assumptions!$C$7,D4847)),Assumptions!$D$7,"Other Services"))),"Other Services"))</f>
        <v/>
      </c>
    </row>
    <row r="4848" customFormat="false" ht="15" hidden="false" customHeight="false" outlineLevel="0" collapsed="false">
      <c r="F4848" s="41" t="str">
        <f aca="false">IF(D4848="","",IFERROR(IF(ISNUMBER(SEARCH(Assumptions!$C$5,D4848)),Assumptions!$D$5,IF(ISNUMBER(SEARCH(Assumptions!$C$6,D4848)),Assumptions!$D$6,IF(ISNUMBER(SEARCH(Assumptions!$C$7,D4848)),Assumptions!$D$7,"Other Services"))),"Other Services"))</f>
        <v/>
      </c>
    </row>
    <row r="4849" customFormat="false" ht="15" hidden="false" customHeight="false" outlineLevel="0" collapsed="false">
      <c r="F4849" s="41" t="str">
        <f aca="false">IF(D4849="","",IFERROR(IF(ISNUMBER(SEARCH(Assumptions!$C$5,D4849)),Assumptions!$D$5,IF(ISNUMBER(SEARCH(Assumptions!$C$6,D4849)),Assumptions!$D$6,IF(ISNUMBER(SEARCH(Assumptions!$C$7,D4849)),Assumptions!$D$7,"Other Services"))),"Other Services"))</f>
        <v/>
      </c>
    </row>
    <row r="4850" customFormat="false" ht="15" hidden="false" customHeight="false" outlineLevel="0" collapsed="false">
      <c r="F4850" s="41" t="str">
        <f aca="false">IF(D4850="","",IFERROR(IF(ISNUMBER(SEARCH(Assumptions!$C$5,D4850)),Assumptions!$D$5,IF(ISNUMBER(SEARCH(Assumptions!$C$6,D4850)),Assumptions!$D$6,IF(ISNUMBER(SEARCH(Assumptions!$C$7,D4850)),Assumptions!$D$7,"Other Services"))),"Other Services"))</f>
        <v/>
      </c>
    </row>
    <row r="4851" customFormat="false" ht="15" hidden="false" customHeight="false" outlineLevel="0" collapsed="false">
      <c r="F4851" s="41" t="str">
        <f aca="false">IF(D4851="","",IFERROR(IF(ISNUMBER(SEARCH(Assumptions!$C$5,D4851)),Assumptions!$D$5,IF(ISNUMBER(SEARCH(Assumptions!$C$6,D4851)),Assumptions!$D$6,IF(ISNUMBER(SEARCH(Assumptions!$C$7,D4851)),Assumptions!$D$7,"Other Services"))),"Other Services"))</f>
        <v/>
      </c>
    </row>
    <row r="4852" customFormat="false" ht="15" hidden="false" customHeight="false" outlineLevel="0" collapsed="false">
      <c r="F4852" s="41" t="str">
        <f aca="false">IF(D4852="","",IFERROR(IF(ISNUMBER(SEARCH(Assumptions!$C$5,D4852)),Assumptions!$D$5,IF(ISNUMBER(SEARCH(Assumptions!$C$6,D4852)),Assumptions!$D$6,IF(ISNUMBER(SEARCH(Assumptions!$C$7,D4852)),Assumptions!$D$7,"Other Services"))),"Other Services"))</f>
        <v/>
      </c>
    </row>
    <row r="4853" customFormat="false" ht="15" hidden="false" customHeight="false" outlineLevel="0" collapsed="false">
      <c r="F4853" s="41" t="str">
        <f aca="false">IF(D4853="","",IFERROR(IF(ISNUMBER(SEARCH(Assumptions!$C$5,D4853)),Assumptions!$D$5,IF(ISNUMBER(SEARCH(Assumptions!$C$6,D4853)),Assumptions!$D$6,IF(ISNUMBER(SEARCH(Assumptions!$C$7,D4853)),Assumptions!$D$7,"Other Services"))),"Other Services"))</f>
        <v/>
      </c>
    </row>
    <row r="4854" customFormat="false" ht="15" hidden="false" customHeight="false" outlineLevel="0" collapsed="false">
      <c r="F4854" s="41" t="str">
        <f aca="false">IF(D4854="","",IFERROR(IF(ISNUMBER(SEARCH(Assumptions!$C$5,D4854)),Assumptions!$D$5,IF(ISNUMBER(SEARCH(Assumptions!$C$6,D4854)),Assumptions!$D$6,IF(ISNUMBER(SEARCH(Assumptions!$C$7,D4854)),Assumptions!$D$7,"Other Services"))),"Other Services"))</f>
        <v/>
      </c>
    </row>
    <row r="4855" customFormat="false" ht="15" hidden="false" customHeight="false" outlineLevel="0" collapsed="false">
      <c r="F4855" s="41" t="str">
        <f aca="false">IF(D4855="","",IFERROR(IF(ISNUMBER(SEARCH(Assumptions!$C$5,D4855)),Assumptions!$D$5,IF(ISNUMBER(SEARCH(Assumptions!$C$6,D4855)),Assumptions!$D$6,IF(ISNUMBER(SEARCH(Assumptions!$C$7,D4855)),Assumptions!$D$7,"Other Services"))),"Other Services"))</f>
        <v/>
      </c>
    </row>
    <row r="4856" customFormat="false" ht="15" hidden="false" customHeight="false" outlineLevel="0" collapsed="false">
      <c r="F4856" s="41" t="str">
        <f aca="false">IF(D4856="","",IFERROR(IF(ISNUMBER(SEARCH(Assumptions!$C$5,D4856)),Assumptions!$D$5,IF(ISNUMBER(SEARCH(Assumptions!$C$6,D4856)),Assumptions!$D$6,IF(ISNUMBER(SEARCH(Assumptions!$C$7,D4856)),Assumptions!$D$7,"Other Services"))),"Other Services"))</f>
        <v/>
      </c>
    </row>
    <row r="4857" customFormat="false" ht="15" hidden="false" customHeight="false" outlineLevel="0" collapsed="false">
      <c r="F4857" s="41" t="str">
        <f aca="false">IF(D4857="","",IFERROR(IF(ISNUMBER(SEARCH(Assumptions!$C$5,D4857)),Assumptions!$D$5,IF(ISNUMBER(SEARCH(Assumptions!$C$6,D4857)),Assumptions!$D$6,IF(ISNUMBER(SEARCH(Assumptions!$C$7,D4857)),Assumptions!$D$7,"Other Services"))),"Other Services"))</f>
        <v/>
      </c>
    </row>
    <row r="4858" customFormat="false" ht="15" hidden="false" customHeight="false" outlineLevel="0" collapsed="false">
      <c r="F4858" s="41" t="str">
        <f aca="false">IF(D4858="","",IFERROR(IF(ISNUMBER(SEARCH(Assumptions!$C$5,D4858)),Assumptions!$D$5,IF(ISNUMBER(SEARCH(Assumptions!$C$6,D4858)),Assumptions!$D$6,IF(ISNUMBER(SEARCH(Assumptions!$C$7,D4858)),Assumptions!$D$7,"Other Services"))),"Other Services"))</f>
        <v/>
      </c>
    </row>
    <row r="4859" customFormat="false" ht="15" hidden="false" customHeight="false" outlineLevel="0" collapsed="false">
      <c r="F4859" s="41" t="str">
        <f aca="false">IF(D4859="","",IFERROR(IF(ISNUMBER(SEARCH(Assumptions!$C$5,D4859)),Assumptions!$D$5,IF(ISNUMBER(SEARCH(Assumptions!$C$6,D4859)),Assumptions!$D$6,IF(ISNUMBER(SEARCH(Assumptions!$C$7,D4859)),Assumptions!$D$7,"Other Services"))),"Other Services"))</f>
        <v/>
      </c>
    </row>
    <row r="4860" customFormat="false" ht="15" hidden="false" customHeight="false" outlineLevel="0" collapsed="false">
      <c r="F4860" s="41" t="str">
        <f aca="false">IF(D4860="","",IFERROR(IF(ISNUMBER(SEARCH(Assumptions!$C$5,D4860)),Assumptions!$D$5,IF(ISNUMBER(SEARCH(Assumptions!$C$6,D4860)),Assumptions!$D$6,IF(ISNUMBER(SEARCH(Assumptions!$C$7,D4860)),Assumptions!$D$7,"Other Services"))),"Other Services"))</f>
        <v/>
      </c>
    </row>
    <row r="4861" customFormat="false" ht="15" hidden="false" customHeight="false" outlineLevel="0" collapsed="false">
      <c r="F4861" s="41" t="str">
        <f aca="false">IF(D4861="","",IFERROR(IF(ISNUMBER(SEARCH(Assumptions!$C$5,D4861)),Assumptions!$D$5,IF(ISNUMBER(SEARCH(Assumptions!$C$6,D4861)),Assumptions!$D$6,IF(ISNUMBER(SEARCH(Assumptions!$C$7,D4861)),Assumptions!$D$7,"Other Services"))),"Other Services"))</f>
        <v/>
      </c>
    </row>
    <row r="4862" customFormat="false" ht="15" hidden="false" customHeight="false" outlineLevel="0" collapsed="false">
      <c r="F4862" s="41" t="str">
        <f aca="false">IF(D4862="","",IFERROR(IF(ISNUMBER(SEARCH(Assumptions!$C$5,D4862)),Assumptions!$D$5,IF(ISNUMBER(SEARCH(Assumptions!$C$6,D4862)),Assumptions!$D$6,IF(ISNUMBER(SEARCH(Assumptions!$C$7,D4862)),Assumptions!$D$7,"Other Services"))),"Other Services"))</f>
        <v/>
      </c>
    </row>
    <row r="4863" customFormat="false" ht="15" hidden="false" customHeight="false" outlineLevel="0" collapsed="false">
      <c r="F4863" s="41" t="str">
        <f aca="false">IF(D4863="","",IFERROR(IF(ISNUMBER(SEARCH(Assumptions!$C$5,D4863)),Assumptions!$D$5,IF(ISNUMBER(SEARCH(Assumptions!$C$6,D4863)),Assumptions!$D$6,IF(ISNUMBER(SEARCH(Assumptions!$C$7,D4863)),Assumptions!$D$7,"Other Services"))),"Other Services"))</f>
        <v/>
      </c>
    </row>
    <row r="4864" customFormat="false" ht="15" hidden="false" customHeight="false" outlineLevel="0" collapsed="false">
      <c r="F4864" s="41" t="str">
        <f aca="false">IF(D4864="","",IFERROR(IF(ISNUMBER(SEARCH(Assumptions!$C$5,D4864)),Assumptions!$D$5,IF(ISNUMBER(SEARCH(Assumptions!$C$6,D4864)),Assumptions!$D$6,IF(ISNUMBER(SEARCH(Assumptions!$C$7,D4864)),Assumptions!$D$7,"Other Services"))),"Other Services"))</f>
        <v/>
      </c>
    </row>
    <row r="4865" customFormat="false" ht="15" hidden="false" customHeight="false" outlineLevel="0" collapsed="false">
      <c r="F4865" s="41" t="str">
        <f aca="false">IF(D4865="","",IFERROR(IF(ISNUMBER(SEARCH(Assumptions!$C$5,D4865)),Assumptions!$D$5,IF(ISNUMBER(SEARCH(Assumptions!$C$6,D4865)),Assumptions!$D$6,IF(ISNUMBER(SEARCH(Assumptions!$C$7,D4865)),Assumptions!$D$7,"Other Services"))),"Other Services"))</f>
        <v/>
      </c>
    </row>
    <row r="4866" customFormat="false" ht="15" hidden="false" customHeight="false" outlineLevel="0" collapsed="false">
      <c r="F4866" s="41" t="str">
        <f aca="false">IF(D4866="","",IFERROR(IF(ISNUMBER(SEARCH(Assumptions!$C$5,D4866)),Assumptions!$D$5,IF(ISNUMBER(SEARCH(Assumptions!$C$6,D4866)),Assumptions!$D$6,IF(ISNUMBER(SEARCH(Assumptions!$C$7,D4866)),Assumptions!$D$7,"Other Services"))),"Other Services"))</f>
        <v/>
      </c>
    </row>
    <row r="4867" customFormat="false" ht="15" hidden="false" customHeight="false" outlineLevel="0" collapsed="false">
      <c r="F4867" s="41" t="str">
        <f aca="false">IF(D4867="","",IFERROR(IF(ISNUMBER(SEARCH(Assumptions!$C$5,D4867)),Assumptions!$D$5,IF(ISNUMBER(SEARCH(Assumptions!$C$6,D4867)),Assumptions!$D$6,IF(ISNUMBER(SEARCH(Assumptions!$C$7,D4867)),Assumptions!$D$7,"Other Services"))),"Other Services"))</f>
        <v/>
      </c>
    </row>
    <row r="4868" customFormat="false" ht="15" hidden="false" customHeight="false" outlineLevel="0" collapsed="false">
      <c r="F4868" s="41" t="str">
        <f aca="false">IF(D4868="","",IFERROR(IF(ISNUMBER(SEARCH(Assumptions!$C$5,D4868)),Assumptions!$D$5,IF(ISNUMBER(SEARCH(Assumptions!$C$6,D4868)),Assumptions!$D$6,IF(ISNUMBER(SEARCH(Assumptions!$C$7,D4868)),Assumptions!$D$7,"Other Services"))),"Other Services"))</f>
        <v/>
      </c>
    </row>
    <row r="4869" customFormat="false" ht="15" hidden="false" customHeight="false" outlineLevel="0" collapsed="false">
      <c r="F4869" s="41" t="str">
        <f aca="false">IF(D4869="","",IFERROR(IF(ISNUMBER(SEARCH(Assumptions!$C$5,D4869)),Assumptions!$D$5,IF(ISNUMBER(SEARCH(Assumptions!$C$6,D4869)),Assumptions!$D$6,IF(ISNUMBER(SEARCH(Assumptions!$C$7,D4869)),Assumptions!$D$7,"Other Services"))),"Other Services"))</f>
        <v/>
      </c>
    </row>
    <row r="4870" customFormat="false" ht="15" hidden="false" customHeight="false" outlineLevel="0" collapsed="false">
      <c r="F4870" s="41" t="str">
        <f aca="false">IF(D4870="","",IFERROR(IF(ISNUMBER(SEARCH(Assumptions!$C$5,D4870)),Assumptions!$D$5,IF(ISNUMBER(SEARCH(Assumptions!$C$6,D4870)),Assumptions!$D$6,IF(ISNUMBER(SEARCH(Assumptions!$C$7,D4870)),Assumptions!$D$7,"Other Services"))),"Other Services"))</f>
        <v/>
      </c>
    </row>
    <row r="4871" customFormat="false" ht="15" hidden="false" customHeight="false" outlineLevel="0" collapsed="false">
      <c r="F4871" s="41" t="str">
        <f aca="false">IF(D4871="","",IFERROR(IF(ISNUMBER(SEARCH(Assumptions!$C$5,D4871)),Assumptions!$D$5,IF(ISNUMBER(SEARCH(Assumptions!$C$6,D4871)),Assumptions!$D$6,IF(ISNUMBER(SEARCH(Assumptions!$C$7,D4871)),Assumptions!$D$7,"Other Services"))),"Other Services"))</f>
        <v/>
      </c>
    </row>
    <row r="4872" customFormat="false" ht="15" hidden="false" customHeight="false" outlineLevel="0" collapsed="false">
      <c r="F4872" s="41" t="str">
        <f aca="false">IF(D4872="","",IFERROR(IF(ISNUMBER(SEARCH(Assumptions!$C$5,D4872)),Assumptions!$D$5,IF(ISNUMBER(SEARCH(Assumptions!$C$6,D4872)),Assumptions!$D$6,IF(ISNUMBER(SEARCH(Assumptions!$C$7,D4872)),Assumptions!$D$7,"Other Services"))),"Other Services"))</f>
        <v/>
      </c>
    </row>
    <row r="4873" customFormat="false" ht="15" hidden="false" customHeight="false" outlineLevel="0" collapsed="false">
      <c r="F4873" s="41" t="str">
        <f aca="false">IF(D4873="","",IFERROR(IF(ISNUMBER(SEARCH(Assumptions!$C$5,D4873)),Assumptions!$D$5,IF(ISNUMBER(SEARCH(Assumptions!$C$6,D4873)),Assumptions!$D$6,IF(ISNUMBER(SEARCH(Assumptions!$C$7,D4873)),Assumptions!$D$7,"Other Services"))),"Other Services"))</f>
        <v/>
      </c>
    </row>
    <row r="4874" customFormat="false" ht="15" hidden="false" customHeight="false" outlineLevel="0" collapsed="false">
      <c r="F4874" s="41" t="str">
        <f aca="false">IF(D4874="","",IFERROR(IF(ISNUMBER(SEARCH(Assumptions!$C$5,D4874)),Assumptions!$D$5,IF(ISNUMBER(SEARCH(Assumptions!$C$6,D4874)),Assumptions!$D$6,IF(ISNUMBER(SEARCH(Assumptions!$C$7,D4874)),Assumptions!$D$7,"Other Services"))),"Other Services"))</f>
        <v/>
      </c>
    </row>
    <row r="4875" customFormat="false" ht="15" hidden="false" customHeight="false" outlineLevel="0" collapsed="false">
      <c r="F4875" s="41" t="str">
        <f aca="false">IF(D4875="","",IFERROR(IF(ISNUMBER(SEARCH(Assumptions!$C$5,D4875)),Assumptions!$D$5,IF(ISNUMBER(SEARCH(Assumptions!$C$6,D4875)),Assumptions!$D$6,IF(ISNUMBER(SEARCH(Assumptions!$C$7,D4875)),Assumptions!$D$7,"Other Services"))),"Other Services"))</f>
        <v/>
      </c>
    </row>
    <row r="4876" customFormat="false" ht="15" hidden="false" customHeight="false" outlineLevel="0" collapsed="false">
      <c r="F4876" s="41" t="str">
        <f aca="false">IF(D4876="","",IFERROR(IF(ISNUMBER(SEARCH(Assumptions!$C$5,D4876)),Assumptions!$D$5,IF(ISNUMBER(SEARCH(Assumptions!$C$6,D4876)),Assumptions!$D$6,IF(ISNUMBER(SEARCH(Assumptions!$C$7,D4876)),Assumptions!$D$7,"Other Services"))),"Other Services"))</f>
        <v/>
      </c>
    </row>
    <row r="4877" customFormat="false" ht="15" hidden="false" customHeight="false" outlineLevel="0" collapsed="false">
      <c r="F4877" s="41" t="str">
        <f aca="false">IF(D4877="","",IFERROR(IF(ISNUMBER(SEARCH(Assumptions!$C$5,D4877)),Assumptions!$D$5,IF(ISNUMBER(SEARCH(Assumptions!$C$6,D4877)),Assumptions!$D$6,IF(ISNUMBER(SEARCH(Assumptions!$C$7,D4877)),Assumptions!$D$7,"Other Services"))),"Other Services"))</f>
        <v/>
      </c>
    </row>
    <row r="4878" customFormat="false" ht="15" hidden="false" customHeight="false" outlineLevel="0" collapsed="false">
      <c r="F4878" s="41" t="str">
        <f aca="false">IF(D4878="","",IFERROR(IF(ISNUMBER(SEARCH(Assumptions!$C$5,D4878)),Assumptions!$D$5,IF(ISNUMBER(SEARCH(Assumptions!$C$6,D4878)),Assumptions!$D$6,IF(ISNUMBER(SEARCH(Assumptions!$C$7,D4878)),Assumptions!$D$7,"Other Services"))),"Other Services"))</f>
        <v/>
      </c>
    </row>
    <row r="4879" customFormat="false" ht="15" hidden="false" customHeight="false" outlineLevel="0" collapsed="false">
      <c r="F4879" s="41" t="str">
        <f aca="false">IF(D4879="","",IFERROR(IF(ISNUMBER(SEARCH(Assumptions!$C$5,D4879)),Assumptions!$D$5,IF(ISNUMBER(SEARCH(Assumptions!$C$6,D4879)),Assumptions!$D$6,IF(ISNUMBER(SEARCH(Assumptions!$C$7,D4879)),Assumptions!$D$7,"Other Services"))),"Other Services"))</f>
        <v/>
      </c>
    </row>
    <row r="4880" customFormat="false" ht="15" hidden="false" customHeight="false" outlineLevel="0" collapsed="false">
      <c r="F4880" s="41" t="str">
        <f aca="false">IF(D4880="","",IFERROR(IF(ISNUMBER(SEARCH(Assumptions!$C$5,D4880)),Assumptions!$D$5,IF(ISNUMBER(SEARCH(Assumptions!$C$6,D4880)),Assumptions!$D$6,IF(ISNUMBER(SEARCH(Assumptions!$C$7,D4880)),Assumptions!$D$7,"Other Services"))),"Other Services"))</f>
        <v/>
      </c>
    </row>
    <row r="4881" customFormat="false" ht="15" hidden="false" customHeight="false" outlineLevel="0" collapsed="false">
      <c r="F4881" s="41" t="str">
        <f aca="false">IF(D4881="","",IFERROR(IF(ISNUMBER(SEARCH(Assumptions!$C$5,D4881)),Assumptions!$D$5,IF(ISNUMBER(SEARCH(Assumptions!$C$6,D4881)),Assumptions!$D$6,IF(ISNUMBER(SEARCH(Assumptions!$C$7,D4881)),Assumptions!$D$7,"Other Services"))),"Other Services"))</f>
        <v/>
      </c>
    </row>
    <row r="4882" customFormat="false" ht="15" hidden="false" customHeight="false" outlineLevel="0" collapsed="false">
      <c r="F4882" s="41" t="str">
        <f aca="false">IF(D4882="","",IFERROR(IF(ISNUMBER(SEARCH(Assumptions!$C$5,D4882)),Assumptions!$D$5,IF(ISNUMBER(SEARCH(Assumptions!$C$6,D4882)),Assumptions!$D$6,IF(ISNUMBER(SEARCH(Assumptions!$C$7,D4882)),Assumptions!$D$7,"Other Services"))),"Other Services"))</f>
        <v/>
      </c>
    </row>
    <row r="4883" customFormat="false" ht="15" hidden="false" customHeight="false" outlineLevel="0" collapsed="false">
      <c r="F4883" s="41" t="str">
        <f aca="false">IF(D4883="","",IFERROR(IF(ISNUMBER(SEARCH(Assumptions!$C$5,D4883)),Assumptions!$D$5,IF(ISNUMBER(SEARCH(Assumptions!$C$6,D4883)),Assumptions!$D$6,IF(ISNUMBER(SEARCH(Assumptions!$C$7,D4883)),Assumptions!$D$7,"Other Services"))),"Other Services"))</f>
        <v/>
      </c>
    </row>
    <row r="4884" customFormat="false" ht="15" hidden="false" customHeight="false" outlineLevel="0" collapsed="false">
      <c r="F4884" s="41" t="str">
        <f aca="false">IF(D4884="","",IFERROR(IF(ISNUMBER(SEARCH(Assumptions!$C$5,D4884)),Assumptions!$D$5,IF(ISNUMBER(SEARCH(Assumptions!$C$6,D4884)),Assumptions!$D$6,IF(ISNUMBER(SEARCH(Assumptions!$C$7,D4884)),Assumptions!$D$7,"Other Services"))),"Other Services"))</f>
        <v/>
      </c>
    </row>
    <row r="4885" customFormat="false" ht="15" hidden="false" customHeight="false" outlineLevel="0" collapsed="false">
      <c r="F4885" s="41" t="str">
        <f aca="false">IF(D4885="","",IFERROR(IF(ISNUMBER(SEARCH(Assumptions!$C$5,D4885)),Assumptions!$D$5,IF(ISNUMBER(SEARCH(Assumptions!$C$6,D4885)),Assumptions!$D$6,IF(ISNUMBER(SEARCH(Assumptions!$C$7,D4885)),Assumptions!$D$7,"Other Services"))),"Other Services"))</f>
        <v/>
      </c>
    </row>
    <row r="4886" customFormat="false" ht="15" hidden="false" customHeight="false" outlineLevel="0" collapsed="false">
      <c r="F4886" s="41" t="str">
        <f aca="false">IF(D4886="","",IFERROR(IF(ISNUMBER(SEARCH(Assumptions!$C$5,D4886)),Assumptions!$D$5,IF(ISNUMBER(SEARCH(Assumptions!$C$6,D4886)),Assumptions!$D$6,IF(ISNUMBER(SEARCH(Assumptions!$C$7,D4886)),Assumptions!$D$7,"Other Services"))),"Other Services"))</f>
        <v/>
      </c>
    </row>
    <row r="4887" customFormat="false" ht="15" hidden="false" customHeight="false" outlineLevel="0" collapsed="false">
      <c r="F4887" s="41" t="str">
        <f aca="false">IF(D4887="","",IFERROR(IF(ISNUMBER(SEARCH(Assumptions!$C$5,D4887)),Assumptions!$D$5,IF(ISNUMBER(SEARCH(Assumptions!$C$6,D4887)),Assumptions!$D$6,IF(ISNUMBER(SEARCH(Assumptions!$C$7,D4887)),Assumptions!$D$7,"Other Services"))),"Other Services"))</f>
        <v/>
      </c>
    </row>
    <row r="4888" customFormat="false" ht="15" hidden="false" customHeight="false" outlineLevel="0" collapsed="false">
      <c r="F4888" s="41" t="str">
        <f aca="false">IF(D4888="","",IFERROR(IF(ISNUMBER(SEARCH(Assumptions!$C$5,D4888)),Assumptions!$D$5,IF(ISNUMBER(SEARCH(Assumptions!$C$6,D4888)),Assumptions!$D$6,IF(ISNUMBER(SEARCH(Assumptions!$C$7,D4888)),Assumptions!$D$7,"Other Services"))),"Other Services"))</f>
        <v/>
      </c>
    </row>
    <row r="4889" customFormat="false" ht="15" hidden="false" customHeight="false" outlineLevel="0" collapsed="false">
      <c r="F4889" s="41" t="str">
        <f aca="false">IF(D4889="","",IFERROR(IF(ISNUMBER(SEARCH(Assumptions!$C$5,D4889)),Assumptions!$D$5,IF(ISNUMBER(SEARCH(Assumptions!$C$6,D4889)),Assumptions!$D$6,IF(ISNUMBER(SEARCH(Assumptions!$C$7,D4889)),Assumptions!$D$7,"Other Services"))),"Other Services"))</f>
        <v/>
      </c>
    </row>
    <row r="4890" customFormat="false" ht="15" hidden="false" customHeight="false" outlineLevel="0" collapsed="false">
      <c r="F4890" s="41" t="str">
        <f aca="false">IF(D4890="","",IFERROR(IF(ISNUMBER(SEARCH(Assumptions!$C$5,D4890)),Assumptions!$D$5,IF(ISNUMBER(SEARCH(Assumptions!$C$6,D4890)),Assumptions!$D$6,IF(ISNUMBER(SEARCH(Assumptions!$C$7,D4890)),Assumptions!$D$7,"Other Services"))),"Other Services"))</f>
        <v/>
      </c>
    </row>
    <row r="4891" customFormat="false" ht="15" hidden="false" customHeight="false" outlineLevel="0" collapsed="false">
      <c r="F4891" s="41" t="str">
        <f aca="false">IF(D4891="","",IFERROR(IF(ISNUMBER(SEARCH(Assumptions!$C$5,D4891)),Assumptions!$D$5,IF(ISNUMBER(SEARCH(Assumptions!$C$6,D4891)),Assumptions!$D$6,IF(ISNUMBER(SEARCH(Assumptions!$C$7,D4891)),Assumptions!$D$7,"Other Services"))),"Other Services"))</f>
        <v/>
      </c>
    </row>
    <row r="4892" customFormat="false" ht="15" hidden="false" customHeight="false" outlineLevel="0" collapsed="false">
      <c r="F4892" s="41" t="str">
        <f aca="false">IF(D4892="","",IFERROR(IF(ISNUMBER(SEARCH(Assumptions!$C$5,D4892)),Assumptions!$D$5,IF(ISNUMBER(SEARCH(Assumptions!$C$6,D4892)),Assumptions!$D$6,IF(ISNUMBER(SEARCH(Assumptions!$C$7,D4892)),Assumptions!$D$7,"Other Services"))),"Other Services"))</f>
        <v/>
      </c>
    </row>
    <row r="4893" customFormat="false" ht="15" hidden="false" customHeight="false" outlineLevel="0" collapsed="false">
      <c r="F4893" s="41" t="str">
        <f aca="false">IF(D4893="","",IFERROR(IF(ISNUMBER(SEARCH(Assumptions!$C$5,D4893)),Assumptions!$D$5,IF(ISNUMBER(SEARCH(Assumptions!$C$6,D4893)),Assumptions!$D$6,IF(ISNUMBER(SEARCH(Assumptions!$C$7,D4893)),Assumptions!$D$7,"Other Services"))),"Other Services"))</f>
        <v/>
      </c>
    </row>
    <row r="4894" customFormat="false" ht="15" hidden="false" customHeight="false" outlineLevel="0" collapsed="false">
      <c r="F4894" s="41" t="str">
        <f aca="false">IF(D4894="","",IFERROR(IF(ISNUMBER(SEARCH(Assumptions!$C$5,D4894)),Assumptions!$D$5,IF(ISNUMBER(SEARCH(Assumptions!$C$6,D4894)),Assumptions!$D$6,IF(ISNUMBER(SEARCH(Assumptions!$C$7,D4894)),Assumptions!$D$7,"Other Services"))),"Other Services"))</f>
        <v/>
      </c>
    </row>
    <row r="4895" customFormat="false" ht="15" hidden="false" customHeight="false" outlineLevel="0" collapsed="false">
      <c r="F4895" s="41" t="str">
        <f aca="false">IF(D4895="","",IFERROR(IF(ISNUMBER(SEARCH(Assumptions!$C$5,D4895)),Assumptions!$D$5,IF(ISNUMBER(SEARCH(Assumptions!$C$6,D4895)),Assumptions!$D$6,IF(ISNUMBER(SEARCH(Assumptions!$C$7,D4895)),Assumptions!$D$7,"Other Services"))),"Other Services"))</f>
        <v/>
      </c>
    </row>
    <row r="4896" customFormat="false" ht="15" hidden="false" customHeight="false" outlineLevel="0" collapsed="false">
      <c r="F4896" s="41" t="str">
        <f aca="false">IF(D4896="","",IFERROR(IF(ISNUMBER(SEARCH(Assumptions!$C$5,D4896)),Assumptions!$D$5,IF(ISNUMBER(SEARCH(Assumptions!$C$6,D4896)),Assumptions!$D$6,IF(ISNUMBER(SEARCH(Assumptions!$C$7,D4896)),Assumptions!$D$7,"Other Services"))),"Other Services"))</f>
        <v/>
      </c>
    </row>
    <row r="4897" customFormat="false" ht="15" hidden="false" customHeight="false" outlineLevel="0" collapsed="false">
      <c r="F4897" s="41" t="str">
        <f aca="false">IF(D4897="","",IFERROR(IF(ISNUMBER(SEARCH(Assumptions!$C$5,D4897)),Assumptions!$D$5,IF(ISNUMBER(SEARCH(Assumptions!$C$6,D4897)),Assumptions!$D$6,IF(ISNUMBER(SEARCH(Assumptions!$C$7,D4897)),Assumptions!$D$7,"Other Services"))),"Other Services"))</f>
        <v/>
      </c>
    </row>
    <row r="4898" customFormat="false" ht="15" hidden="false" customHeight="false" outlineLevel="0" collapsed="false">
      <c r="F4898" s="41" t="str">
        <f aca="false">IF(D4898="","",IFERROR(IF(ISNUMBER(SEARCH(Assumptions!$C$5,D4898)),Assumptions!$D$5,IF(ISNUMBER(SEARCH(Assumptions!$C$6,D4898)),Assumptions!$D$6,IF(ISNUMBER(SEARCH(Assumptions!$C$7,D4898)),Assumptions!$D$7,"Other Services"))),"Other Services"))</f>
        <v/>
      </c>
    </row>
    <row r="4899" customFormat="false" ht="15" hidden="false" customHeight="false" outlineLevel="0" collapsed="false">
      <c r="F4899" s="41" t="str">
        <f aca="false">IF(D4899="","",IFERROR(IF(ISNUMBER(SEARCH(Assumptions!$C$5,D4899)),Assumptions!$D$5,IF(ISNUMBER(SEARCH(Assumptions!$C$6,D4899)),Assumptions!$D$6,IF(ISNUMBER(SEARCH(Assumptions!$C$7,D4899)),Assumptions!$D$7,"Other Services"))),"Other Services"))</f>
        <v/>
      </c>
    </row>
    <row r="4900" customFormat="false" ht="15" hidden="false" customHeight="false" outlineLevel="0" collapsed="false">
      <c r="F4900" s="41" t="str">
        <f aca="false">IF(D4900="","",IFERROR(IF(ISNUMBER(SEARCH(Assumptions!$C$5,D4900)),Assumptions!$D$5,IF(ISNUMBER(SEARCH(Assumptions!$C$6,D4900)),Assumptions!$D$6,IF(ISNUMBER(SEARCH(Assumptions!$C$7,D4900)),Assumptions!$D$7,"Other Services"))),"Other Services"))</f>
        <v/>
      </c>
    </row>
    <row r="4901" customFormat="false" ht="15" hidden="false" customHeight="false" outlineLevel="0" collapsed="false">
      <c r="F4901" s="41" t="str">
        <f aca="false">IF(D4901="","",IFERROR(IF(ISNUMBER(SEARCH(Assumptions!$C$5,D4901)),Assumptions!$D$5,IF(ISNUMBER(SEARCH(Assumptions!$C$6,D4901)),Assumptions!$D$6,IF(ISNUMBER(SEARCH(Assumptions!$C$7,D4901)),Assumptions!$D$7,"Other Services"))),"Other Services"))</f>
        <v/>
      </c>
    </row>
    <row r="4902" customFormat="false" ht="15" hidden="false" customHeight="false" outlineLevel="0" collapsed="false">
      <c r="F4902" s="41" t="str">
        <f aca="false">IF(D4902="","",IFERROR(IF(ISNUMBER(SEARCH(Assumptions!$C$5,D4902)),Assumptions!$D$5,IF(ISNUMBER(SEARCH(Assumptions!$C$6,D4902)),Assumptions!$D$6,IF(ISNUMBER(SEARCH(Assumptions!$C$7,D4902)),Assumptions!$D$7,"Other Services"))),"Other Services"))</f>
        <v/>
      </c>
    </row>
    <row r="4903" customFormat="false" ht="15" hidden="false" customHeight="false" outlineLevel="0" collapsed="false">
      <c r="F4903" s="41" t="str">
        <f aca="false">IF(D4903="","",IFERROR(IF(ISNUMBER(SEARCH(Assumptions!$C$5,D4903)),Assumptions!$D$5,IF(ISNUMBER(SEARCH(Assumptions!$C$6,D4903)),Assumptions!$D$6,IF(ISNUMBER(SEARCH(Assumptions!$C$7,D4903)),Assumptions!$D$7,"Other Services"))),"Other Services"))</f>
        <v/>
      </c>
    </row>
    <row r="4904" customFormat="false" ht="15" hidden="false" customHeight="false" outlineLevel="0" collapsed="false">
      <c r="F4904" s="41" t="str">
        <f aca="false">IF(D4904="","",IFERROR(IF(ISNUMBER(SEARCH(Assumptions!$C$5,D4904)),Assumptions!$D$5,IF(ISNUMBER(SEARCH(Assumptions!$C$6,D4904)),Assumptions!$D$6,IF(ISNUMBER(SEARCH(Assumptions!$C$7,D4904)),Assumptions!$D$7,"Other Services"))),"Other Services"))</f>
        <v/>
      </c>
    </row>
    <row r="4905" customFormat="false" ht="15" hidden="false" customHeight="false" outlineLevel="0" collapsed="false">
      <c r="F4905" s="41" t="str">
        <f aca="false">IF(D4905="","",IFERROR(IF(ISNUMBER(SEARCH(Assumptions!$C$5,D4905)),Assumptions!$D$5,IF(ISNUMBER(SEARCH(Assumptions!$C$6,D4905)),Assumptions!$D$6,IF(ISNUMBER(SEARCH(Assumptions!$C$7,D4905)),Assumptions!$D$7,"Other Services"))),"Other Services"))</f>
        <v/>
      </c>
    </row>
    <row r="4906" customFormat="false" ht="15" hidden="false" customHeight="false" outlineLevel="0" collapsed="false">
      <c r="F4906" s="41" t="str">
        <f aca="false">IF(D4906="","",IFERROR(IF(ISNUMBER(SEARCH(Assumptions!$C$5,D4906)),Assumptions!$D$5,IF(ISNUMBER(SEARCH(Assumptions!$C$6,D4906)),Assumptions!$D$6,IF(ISNUMBER(SEARCH(Assumptions!$C$7,D4906)),Assumptions!$D$7,"Other Services"))),"Other Services"))</f>
        <v/>
      </c>
    </row>
    <row r="4907" customFormat="false" ht="15" hidden="false" customHeight="false" outlineLevel="0" collapsed="false">
      <c r="F4907" s="41" t="str">
        <f aca="false">IF(D4907="","",IFERROR(IF(ISNUMBER(SEARCH(Assumptions!$C$5,D4907)),Assumptions!$D$5,IF(ISNUMBER(SEARCH(Assumptions!$C$6,D4907)),Assumptions!$D$6,IF(ISNUMBER(SEARCH(Assumptions!$C$7,D4907)),Assumptions!$D$7,"Other Services"))),"Other Services"))</f>
        <v/>
      </c>
    </row>
    <row r="4908" customFormat="false" ht="15" hidden="false" customHeight="false" outlineLevel="0" collapsed="false">
      <c r="F4908" s="41" t="str">
        <f aca="false">IF(D4908="","",IFERROR(IF(ISNUMBER(SEARCH(Assumptions!$C$5,D4908)),Assumptions!$D$5,IF(ISNUMBER(SEARCH(Assumptions!$C$6,D4908)),Assumptions!$D$6,IF(ISNUMBER(SEARCH(Assumptions!$C$7,D4908)),Assumptions!$D$7,"Other Services"))),"Other Services"))</f>
        <v/>
      </c>
    </row>
    <row r="4909" customFormat="false" ht="15" hidden="false" customHeight="false" outlineLevel="0" collapsed="false">
      <c r="F4909" s="41" t="str">
        <f aca="false">IF(D4909="","",IFERROR(IF(ISNUMBER(SEARCH(Assumptions!$C$5,D4909)),Assumptions!$D$5,IF(ISNUMBER(SEARCH(Assumptions!$C$6,D4909)),Assumptions!$D$6,IF(ISNUMBER(SEARCH(Assumptions!$C$7,D4909)),Assumptions!$D$7,"Other Services"))),"Other Services"))</f>
        <v/>
      </c>
    </row>
    <row r="4910" customFormat="false" ht="15" hidden="false" customHeight="false" outlineLevel="0" collapsed="false">
      <c r="F4910" s="41" t="str">
        <f aca="false">IF(D4910="","",IFERROR(IF(ISNUMBER(SEARCH(Assumptions!$C$5,D4910)),Assumptions!$D$5,IF(ISNUMBER(SEARCH(Assumptions!$C$6,D4910)),Assumptions!$D$6,IF(ISNUMBER(SEARCH(Assumptions!$C$7,D4910)),Assumptions!$D$7,"Other Services"))),"Other Services"))</f>
        <v/>
      </c>
    </row>
    <row r="4911" customFormat="false" ht="15" hidden="false" customHeight="false" outlineLevel="0" collapsed="false">
      <c r="F4911" s="41" t="str">
        <f aca="false">IF(D4911="","",IFERROR(IF(ISNUMBER(SEARCH(Assumptions!$C$5,D4911)),Assumptions!$D$5,IF(ISNUMBER(SEARCH(Assumptions!$C$6,D4911)),Assumptions!$D$6,IF(ISNUMBER(SEARCH(Assumptions!$C$7,D4911)),Assumptions!$D$7,"Other Services"))),"Other Services"))</f>
        <v/>
      </c>
    </row>
    <row r="4912" customFormat="false" ht="15" hidden="false" customHeight="false" outlineLevel="0" collapsed="false">
      <c r="F4912" s="41" t="str">
        <f aca="false">IF(D4912="","",IFERROR(IF(ISNUMBER(SEARCH(Assumptions!$C$5,D4912)),Assumptions!$D$5,IF(ISNUMBER(SEARCH(Assumptions!$C$6,D4912)),Assumptions!$D$6,IF(ISNUMBER(SEARCH(Assumptions!$C$7,D4912)),Assumptions!$D$7,"Other Services"))),"Other Services"))</f>
        <v/>
      </c>
    </row>
    <row r="4913" customFormat="false" ht="15" hidden="false" customHeight="false" outlineLevel="0" collapsed="false">
      <c r="F4913" s="41" t="str">
        <f aca="false">IF(D4913="","",IFERROR(IF(ISNUMBER(SEARCH(Assumptions!$C$5,D4913)),Assumptions!$D$5,IF(ISNUMBER(SEARCH(Assumptions!$C$6,D4913)),Assumptions!$D$6,IF(ISNUMBER(SEARCH(Assumptions!$C$7,D4913)),Assumptions!$D$7,"Other Services"))),"Other Services"))</f>
        <v/>
      </c>
    </row>
    <row r="4914" customFormat="false" ht="15" hidden="false" customHeight="false" outlineLevel="0" collapsed="false">
      <c r="F4914" s="41" t="str">
        <f aca="false">IF(D4914="","",IFERROR(IF(ISNUMBER(SEARCH(Assumptions!$C$5,D4914)),Assumptions!$D$5,IF(ISNUMBER(SEARCH(Assumptions!$C$6,D4914)),Assumptions!$D$6,IF(ISNUMBER(SEARCH(Assumptions!$C$7,D4914)),Assumptions!$D$7,"Other Services"))),"Other Services"))</f>
        <v/>
      </c>
    </row>
    <row r="4915" customFormat="false" ht="15" hidden="false" customHeight="false" outlineLevel="0" collapsed="false">
      <c r="F4915" s="41" t="str">
        <f aca="false">IF(D4915="","",IFERROR(IF(ISNUMBER(SEARCH(Assumptions!$C$5,D4915)),Assumptions!$D$5,IF(ISNUMBER(SEARCH(Assumptions!$C$6,D4915)),Assumptions!$D$6,IF(ISNUMBER(SEARCH(Assumptions!$C$7,D4915)),Assumptions!$D$7,"Other Services"))),"Other Services"))</f>
        <v/>
      </c>
    </row>
    <row r="4916" customFormat="false" ht="15" hidden="false" customHeight="false" outlineLevel="0" collapsed="false">
      <c r="F4916" s="41" t="str">
        <f aca="false">IF(D4916="","",IFERROR(IF(ISNUMBER(SEARCH(Assumptions!$C$5,D4916)),Assumptions!$D$5,IF(ISNUMBER(SEARCH(Assumptions!$C$6,D4916)),Assumptions!$D$6,IF(ISNUMBER(SEARCH(Assumptions!$C$7,D4916)),Assumptions!$D$7,"Other Services"))),"Other Services"))</f>
        <v/>
      </c>
    </row>
    <row r="4917" customFormat="false" ht="15" hidden="false" customHeight="false" outlineLevel="0" collapsed="false">
      <c r="F4917" s="41" t="str">
        <f aca="false">IF(D4917="","",IFERROR(IF(ISNUMBER(SEARCH(Assumptions!$C$5,D4917)),Assumptions!$D$5,IF(ISNUMBER(SEARCH(Assumptions!$C$6,D4917)),Assumptions!$D$6,IF(ISNUMBER(SEARCH(Assumptions!$C$7,D4917)),Assumptions!$D$7,"Other Services"))),"Other Services"))</f>
        <v/>
      </c>
    </row>
    <row r="4918" customFormat="false" ht="15" hidden="false" customHeight="false" outlineLevel="0" collapsed="false">
      <c r="F4918" s="41" t="str">
        <f aca="false">IF(D4918="","",IFERROR(IF(ISNUMBER(SEARCH(Assumptions!$C$5,D4918)),Assumptions!$D$5,IF(ISNUMBER(SEARCH(Assumptions!$C$6,D4918)),Assumptions!$D$6,IF(ISNUMBER(SEARCH(Assumptions!$C$7,D4918)),Assumptions!$D$7,"Other Services"))),"Other Services"))</f>
        <v/>
      </c>
    </row>
    <row r="4919" customFormat="false" ht="15" hidden="false" customHeight="false" outlineLevel="0" collapsed="false">
      <c r="F4919" s="41" t="str">
        <f aca="false">IF(D4919="","",IFERROR(IF(ISNUMBER(SEARCH(Assumptions!$C$5,D4919)),Assumptions!$D$5,IF(ISNUMBER(SEARCH(Assumptions!$C$6,D4919)),Assumptions!$D$6,IF(ISNUMBER(SEARCH(Assumptions!$C$7,D4919)),Assumptions!$D$7,"Other Services"))),"Other Services"))</f>
        <v/>
      </c>
    </row>
    <row r="4920" customFormat="false" ht="15" hidden="false" customHeight="false" outlineLevel="0" collapsed="false">
      <c r="F4920" s="41" t="str">
        <f aca="false">IF(D4920="","",IFERROR(IF(ISNUMBER(SEARCH(Assumptions!$C$5,D4920)),Assumptions!$D$5,IF(ISNUMBER(SEARCH(Assumptions!$C$6,D4920)),Assumptions!$D$6,IF(ISNUMBER(SEARCH(Assumptions!$C$7,D4920)),Assumptions!$D$7,"Other Services"))),"Other Services"))</f>
        <v/>
      </c>
    </row>
    <row r="4921" customFormat="false" ht="15" hidden="false" customHeight="false" outlineLevel="0" collapsed="false">
      <c r="F4921" s="41" t="str">
        <f aca="false">IF(D4921="","",IFERROR(IF(ISNUMBER(SEARCH(Assumptions!$C$5,D4921)),Assumptions!$D$5,IF(ISNUMBER(SEARCH(Assumptions!$C$6,D4921)),Assumptions!$D$6,IF(ISNUMBER(SEARCH(Assumptions!$C$7,D4921)),Assumptions!$D$7,"Other Services"))),"Other Services"))</f>
        <v/>
      </c>
    </row>
    <row r="4922" customFormat="false" ht="15" hidden="false" customHeight="false" outlineLevel="0" collapsed="false">
      <c r="F4922" s="41" t="str">
        <f aca="false">IF(D4922="","",IFERROR(IF(ISNUMBER(SEARCH(Assumptions!$C$5,D4922)),Assumptions!$D$5,IF(ISNUMBER(SEARCH(Assumptions!$C$6,D4922)),Assumptions!$D$6,IF(ISNUMBER(SEARCH(Assumptions!$C$7,D4922)),Assumptions!$D$7,"Other Services"))),"Other Services"))</f>
        <v/>
      </c>
    </row>
    <row r="4923" customFormat="false" ht="15" hidden="false" customHeight="false" outlineLevel="0" collapsed="false">
      <c r="F4923" s="41" t="str">
        <f aca="false">IF(D4923="","",IFERROR(IF(ISNUMBER(SEARCH(Assumptions!$C$5,D4923)),Assumptions!$D$5,IF(ISNUMBER(SEARCH(Assumptions!$C$6,D4923)),Assumptions!$D$6,IF(ISNUMBER(SEARCH(Assumptions!$C$7,D4923)),Assumptions!$D$7,"Other Services"))),"Other Services"))</f>
        <v/>
      </c>
    </row>
    <row r="4924" customFormat="false" ht="15" hidden="false" customHeight="false" outlineLevel="0" collapsed="false">
      <c r="F4924" s="41" t="str">
        <f aca="false">IF(D4924="","",IFERROR(IF(ISNUMBER(SEARCH(Assumptions!$C$5,D4924)),Assumptions!$D$5,IF(ISNUMBER(SEARCH(Assumptions!$C$6,D4924)),Assumptions!$D$6,IF(ISNUMBER(SEARCH(Assumptions!$C$7,D4924)),Assumptions!$D$7,"Other Services"))),"Other Services"))</f>
        <v/>
      </c>
    </row>
    <row r="4925" customFormat="false" ht="15" hidden="false" customHeight="false" outlineLevel="0" collapsed="false">
      <c r="F4925" s="41" t="str">
        <f aca="false">IF(D4925="","",IFERROR(IF(ISNUMBER(SEARCH(Assumptions!$C$5,D4925)),Assumptions!$D$5,IF(ISNUMBER(SEARCH(Assumptions!$C$6,D4925)),Assumptions!$D$6,IF(ISNUMBER(SEARCH(Assumptions!$C$7,D4925)),Assumptions!$D$7,"Other Services"))),"Other Services"))</f>
        <v/>
      </c>
    </row>
    <row r="4926" customFormat="false" ht="15" hidden="false" customHeight="false" outlineLevel="0" collapsed="false">
      <c r="F4926" s="41" t="str">
        <f aca="false">IF(D4926="","",IFERROR(IF(ISNUMBER(SEARCH(Assumptions!$C$5,D4926)),Assumptions!$D$5,IF(ISNUMBER(SEARCH(Assumptions!$C$6,D4926)),Assumptions!$D$6,IF(ISNUMBER(SEARCH(Assumptions!$C$7,D4926)),Assumptions!$D$7,"Other Services"))),"Other Services"))</f>
        <v/>
      </c>
    </row>
    <row r="4927" customFormat="false" ht="15" hidden="false" customHeight="false" outlineLevel="0" collapsed="false">
      <c r="F4927" s="41" t="str">
        <f aca="false">IF(D4927="","",IFERROR(IF(ISNUMBER(SEARCH(Assumptions!$C$5,D4927)),Assumptions!$D$5,IF(ISNUMBER(SEARCH(Assumptions!$C$6,D4927)),Assumptions!$D$6,IF(ISNUMBER(SEARCH(Assumptions!$C$7,D4927)),Assumptions!$D$7,"Other Services"))),"Other Services"))</f>
        <v/>
      </c>
    </row>
    <row r="4928" customFormat="false" ht="15" hidden="false" customHeight="false" outlineLevel="0" collapsed="false">
      <c r="F4928" s="41" t="str">
        <f aca="false">IF(D4928="","",IFERROR(IF(ISNUMBER(SEARCH(Assumptions!$C$5,D4928)),Assumptions!$D$5,IF(ISNUMBER(SEARCH(Assumptions!$C$6,D4928)),Assumptions!$D$6,IF(ISNUMBER(SEARCH(Assumptions!$C$7,D4928)),Assumptions!$D$7,"Other Services"))),"Other Services"))</f>
        <v/>
      </c>
    </row>
    <row r="4929" customFormat="false" ht="15" hidden="false" customHeight="false" outlineLevel="0" collapsed="false">
      <c r="F4929" s="41" t="str">
        <f aca="false">IF(D4929="","",IFERROR(IF(ISNUMBER(SEARCH(Assumptions!$C$5,D4929)),Assumptions!$D$5,IF(ISNUMBER(SEARCH(Assumptions!$C$6,D4929)),Assumptions!$D$6,IF(ISNUMBER(SEARCH(Assumptions!$C$7,D4929)),Assumptions!$D$7,"Other Services"))),"Other Services"))</f>
        <v/>
      </c>
    </row>
    <row r="4930" customFormat="false" ht="15" hidden="false" customHeight="false" outlineLevel="0" collapsed="false">
      <c r="F4930" s="41" t="str">
        <f aca="false">IF(D4930="","",IFERROR(IF(ISNUMBER(SEARCH(Assumptions!$C$5,D4930)),Assumptions!$D$5,IF(ISNUMBER(SEARCH(Assumptions!$C$6,D4930)),Assumptions!$D$6,IF(ISNUMBER(SEARCH(Assumptions!$C$7,D4930)),Assumptions!$D$7,"Other Services"))),"Other Services"))</f>
        <v/>
      </c>
    </row>
    <row r="4931" customFormat="false" ht="15" hidden="false" customHeight="false" outlineLevel="0" collapsed="false">
      <c r="F4931" s="41" t="str">
        <f aca="false">IF(D4931="","",IFERROR(IF(ISNUMBER(SEARCH(Assumptions!$C$5,D4931)),Assumptions!$D$5,IF(ISNUMBER(SEARCH(Assumptions!$C$6,D4931)),Assumptions!$D$6,IF(ISNUMBER(SEARCH(Assumptions!$C$7,D4931)),Assumptions!$D$7,"Other Services"))),"Other Services"))</f>
        <v/>
      </c>
    </row>
    <row r="4932" customFormat="false" ht="15" hidden="false" customHeight="false" outlineLevel="0" collapsed="false">
      <c r="F4932" s="41" t="str">
        <f aca="false">IF(D4932="","",IFERROR(IF(ISNUMBER(SEARCH(Assumptions!$C$5,D4932)),Assumptions!$D$5,IF(ISNUMBER(SEARCH(Assumptions!$C$6,D4932)),Assumptions!$D$6,IF(ISNUMBER(SEARCH(Assumptions!$C$7,D4932)),Assumptions!$D$7,"Other Services"))),"Other Services"))</f>
        <v/>
      </c>
    </row>
    <row r="4933" customFormat="false" ht="15" hidden="false" customHeight="false" outlineLevel="0" collapsed="false">
      <c r="F4933" s="41" t="str">
        <f aca="false">IF(D4933="","",IFERROR(IF(ISNUMBER(SEARCH(Assumptions!$C$5,D4933)),Assumptions!$D$5,IF(ISNUMBER(SEARCH(Assumptions!$C$6,D4933)),Assumptions!$D$6,IF(ISNUMBER(SEARCH(Assumptions!$C$7,D4933)),Assumptions!$D$7,"Other Services"))),"Other Services"))</f>
        <v/>
      </c>
    </row>
    <row r="4934" customFormat="false" ht="15" hidden="false" customHeight="false" outlineLevel="0" collapsed="false">
      <c r="F4934" s="41" t="str">
        <f aca="false">IF(D4934="","",IFERROR(IF(ISNUMBER(SEARCH(Assumptions!$C$5,D4934)),Assumptions!$D$5,IF(ISNUMBER(SEARCH(Assumptions!$C$6,D4934)),Assumptions!$D$6,IF(ISNUMBER(SEARCH(Assumptions!$C$7,D4934)),Assumptions!$D$7,"Other Services"))),"Other Services"))</f>
        <v/>
      </c>
    </row>
    <row r="4935" customFormat="false" ht="15" hidden="false" customHeight="false" outlineLevel="0" collapsed="false">
      <c r="F4935" s="41" t="str">
        <f aca="false">IF(D4935="","",IFERROR(IF(ISNUMBER(SEARCH(Assumptions!$C$5,D4935)),Assumptions!$D$5,IF(ISNUMBER(SEARCH(Assumptions!$C$6,D4935)),Assumptions!$D$6,IF(ISNUMBER(SEARCH(Assumptions!$C$7,D4935)),Assumptions!$D$7,"Other Services"))),"Other Services"))</f>
        <v/>
      </c>
    </row>
    <row r="4936" customFormat="false" ht="15" hidden="false" customHeight="false" outlineLevel="0" collapsed="false">
      <c r="F4936" s="41" t="str">
        <f aca="false">IF(D4936="","",IFERROR(IF(ISNUMBER(SEARCH(Assumptions!$C$5,D4936)),Assumptions!$D$5,IF(ISNUMBER(SEARCH(Assumptions!$C$6,D4936)),Assumptions!$D$6,IF(ISNUMBER(SEARCH(Assumptions!$C$7,D4936)),Assumptions!$D$7,"Other Services"))),"Other Services"))</f>
        <v/>
      </c>
    </row>
    <row r="4937" customFormat="false" ht="15" hidden="false" customHeight="false" outlineLevel="0" collapsed="false">
      <c r="F4937" s="41" t="str">
        <f aca="false">IF(D4937="","",IFERROR(IF(ISNUMBER(SEARCH(Assumptions!$C$5,D4937)),Assumptions!$D$5,IF(ISNUMBER(SEARCH(Assumptions!$C$6,D4937)),Assumptions!$D$6,IF(ISNUMBER(SEARCH(Assumptions!$C$7,D4937)),Assumptions!$D$7,"Other Services"))),"Other Services"))</f>
        <v/>
      </c>
    </row>
    <row r="4938" customFormat="false" ht="15" hidden="false" customHeight="false" outlineLevel="0" collapsed="false">
      <c r="F4938" s="41" t="str">
        <f aca="false">IF(D4938="","",IFERROR(IF(ISNUMBER(SEARCH(Assumptions!$C$5,D4938)),Assumptions!$D$5,IF(ISNUMBER(SEARCH(Assumptions!$C$6,D4938)),Assumptions!$D$6,IF(ISNUMBER(SEARCH(Assumptions!$C$7,D4938)),Assumptions!$D$7,"Other Services"))),"Other Services"))</f>
        <v/>
      </c>
    </row>
    <row r="4939" customFormat="false" ht="15" hidden="false" customHeight="false" outlineLevel="0" collapsed="false">
      <c r="F4939" s="41" t="str">
        <f aca="false">IF(D4939="","",IFERROR(IF(ISNUMBER(SEARCH(Assumptions!$C$5,D4939)),Assumptions!$D$5,IF(ISNUMBER(SEARCH(Assumptions!$C$6,D4939)),Assumptions!$D$6,IF(ISNUMBER(SEARCH(Assumptions!$C$7,D4939)),Assumptions!$D$7,"Other Services"))),"Other Services"))</f>
        <v/>
      </c>
    </row>
    <row r="4940" customFormat="false" ht="15" hidden="false" customHeight="false" outlineLevel="0" collapsed="false">
      <c r="F4940" s="41" t="str">
        <f aca="false">IF(D4940="","",IFERROR(IF(ISNUMBER(SEARCH(Assumptions!$C$5,D4940)),Assumptions!$D$5,IF(ISNUMBER(SEARCH(Assumptions!$C$6,D4940)),Assumptions!$D$6,IF(ISNUMBER(SEARCH(Assumptions!$C$7,D4940)),Assumptions!$D$7,"Other Services"))),"Other Services"))</f>
        <v/>
      </c>
    </row>
    <row r="4941" customFormat="false" ht="15" hidden="false" customHeight="false" outlineLevel="0" collapsed="false">
      <c r="F4941" s="41" t="str">
        <f aca="false">IF(D4941="","",IFERROR(IF(ISNUMBER(SEARCH(Assumptions!$C$5,D4941)),Assumptions!$D$5,IF(ISNUMBER(SEARCH(Assumptions!$C$6,D4941)),Assumptions!$D$6,IF(ISNUMBER(SEARCH(Assumptions!$C$7,D4941)),Assumptions!$D$7,"Other Services"))),"Other Services"))</f>
        <v/>
      </c>
    </row>
    <row r="4942" customFormat="false" ht="15" hidden="false" customHeight="false" outlineLevel="0" collapsed="false">
      <c r="F4942" s="41" t="str">
        <f aca="false">IF(D4942="","",IFERROR(IF(ISNUMBER(SEARCH(Assumptions!$C$5,D4942)),Assumptions!$D$5,IF(ISNUMBER(SEARCH(Assumptions!$C$6,D4942)),Assumptions!$D$6,IF(ISNUMBER(SEARCH(Assumptions!$C$7,D4942)),Assumptions!$D$7,"Other Services"))),"Other Services"))</f>
        <v/>
      </c>
    </row>
    <row r="4943" customFormat="false" ht="15" hidden="false" customHeight="false" outlineLevel="0" collapsed="false">
      <c r="F4943" s="41" t="str">
        <f aca="false">IF(D4943="","",IFERROR(IF(ISNUMBER(SEARCH(Assumptions!$C$5,D4943)),Assumptions!$D$5,IF(ISNUMBER(SEARCH(Assumptions!$C$6,D4943)),Assumptions!$D$6,IF(ISNUMBER(SEARCH(Assumptions!$C$7,D4943)),Assumptions!$D$7,"Other Services"))),"Other Services"))</f>
        <v/>
      </c>
    </row>
    <row r="4944" customFormat="false" ht="15" hidden="false" customHeight="false" outlineLevel="0" collapsed="false">
      <c r="F4944" s="41" t="str">
        <f aca="false">IF(D4944="","",IFERROR(IF(ISNUMBER(SEARCH(Assumptions!$C$5,D4944)),Assumptions!$D$5,IF(ISNUMBER(SEARCH(Assumptions!$C$6,D4944)),Assumptions!$D$6,IF(ISNUMBER(SEARCH(Assumptions!$C$7,D4944)),Assumptions!$D$7,"Other Services"))),"Other Services"))</f>
        <v/>
      </c>
    </row>
    <row r="4945" customFormat="false" ht="15" hidden="false" customHeight="false" outlineLevel="0" collapsed="false">
      <c r="F4945" s="41" t="str">
        <f aca="false">IF(D4945="","",IFERROR(IF(ISNUMBER(SEARCH(Assumptions!$C$5,D4945)),Assumptions!$D$5,IF(ISNUMBER(SEARCH(Assumptions!$C$6,D4945)),Assumptions!$D$6,IF(ISNUMBER(SEARCH(Assumptions!$C$7,D4945)),Assumptions!$D$7,"Other Services"))),"Other Services"))</f>
        <v/>
      </c>
    </row>
    <row r="4946" customFormat="false" ht="15" hidden="false" customHeight="false" outlineLevel="0" collapsed="false">
      <c r="F4946" s="41" t="str">
        <f aca="false">IF(D4946="","",IFERROR(IF(ISNUMBER(SEARCH(Assumptions!$C$5,D4946)),Assumptions!$D$5,IF(ISNUMBER(SEARCH(Assumptions!$C$6,D4946)),Assumptions!$D$6,IF(ISNUMBER(SEARCH(Assumptions!$C$7,D4946)),Assumptions!$D$7,"Other Services"))),"Other Services"))</f>
        <v/>
      </c>
    </row>
    <row r="4947" customFormat="false" ht="15" hidden="false" customHeight="false" outlineLevel="0" collapsed="false">
      <c r="F4947" s="41" t="str">
        <f aca="false">IF(D4947="","",IFERROR(IF(ISNUMBER(SEARCH(Assumptions!$C$5,D4947)),Assumptions!$D$5,IF(ISNUMBER(SEARCH(Assumptions!$C$6,D4947)),Assumptions!$D$6,IF(ISNUMBER(SEARCH(Assumptions!$C$7,D4947)),Assumptions!$D$7,"Other Services"))),"Other Services"))</f>
        <v/>
      </c>
    </row>
    <row r="4948" customFormat="false" ht="15" hidden="false" customHeight="false" outlineLevel="0" collapsed="false">
      <c r="F4948" s="41" t="str">
        <f aca="false">IF(D4948="","",IFERROR(IF(ISNUMBER(SEARCH(Assumptions!$C$5,D4948)),Assumptions!$D$5,IF(ISNUMBER(SEARCH(Assumptions!$C$6,D4948)),Assumptions!$D$6,IF(ISNUMBER(SEARCH(Assumptions!$C$7,D4948)),Assumptions!$D$7,"Other Services"))),"Other Services"))</f>
        <v/>
      </c>
    </row>
    <row r="4949" customFormat="false" ht="15" hidden="false" customHeight="false" outlineLevel="0" collapsed="false">
      <c r="F4949" s="41" t="str">
        <f aca="false">IF(D4949="","",IFERROR(IF(ISNUMBER(SEARCH(Assumptions!$C$5,D4949)),Assumptions!$D$5,IF(ISNUMBER(SEARCH(Assumptions!$C$6,D4949)),Assumptions!$D$6,IF(ISNUMBER(SEARCH(Assumptions!$C$7,D4949)),Assumptions!$D$7,"Other Services"))),"Other Services"))</f>
        <v/>
      </c>
    </row>
    <row r="4950" customFormat="false" ht="15" hidden="false" customHeight="false" outlineLevel="0" collapsed="false">
      <c r="F4950" s="41" t="str">
        <f aca="false">IF(D4950="","",IFERROR(IF(ISNUMBER(SEARCH(Assumptions!$C$5,D4950)),Assumptions!$D$5,IF(ISNUMBER(SEARCH(Assumptions!$C$6,D4950)),Assumptions!$D$6,IF(ISNUMBER(SEARCH(Assumptions!$C$7,D4950)),Assumptions!$D$7,"Other Services"))),"Other Services"))</f>
        <v/>
      </c>
    </row>
    <row r="4951" customFormat="false" ht="15" hidden="false" customHeight="false" outlineLevel="0" collapsed="false">
      <c r="F4951" s="41" t="str">
        <f aca="false">IF(D4951="","",IFERROR(IF(ISNUMBER(SEARCH(Assumptions!$C$5,D4951)),Assumptions!$D$5,IF(ISNUMBER(SEARCH(Assumptions!$C$6,D4951)),Assumptions!$D$6,IF(ISNUMBER(SEARCH(Assumptions!$C$7,D4951)),Assumptions!$D$7,"Other Services"))),"Other Services"))</f>
        <v/>
      </c>
    </row>
    <row r="4952" customFormat="false" ht="15" hidden="false" customHeight="false" outlineLevel="0" collapsed="false">
      <c r="F4952" s="41" t="str">
        <f aca="false">IF(D4952="","",IFERROR(IF(ISNUMBER(SEARCH(Assumptions!$C$5,D4952)),Assumptions!$D$5,IF(ISNUMBER(SEARCH(Assumptions!$C$6,D4952)),Assumptions!$D$6,IF(ISNUMBER(SEARCH(Assumptions!$C$7,D4952)),Assumptions!$D$7,"Other Services"))),"Other Services"))</f>
        <v/>
      </c>
    </row>
    <row r="4953" customFormat="false" ht="15" hidden="false" customHeight="false" outlineLevel="0" collapsed="false">
      <c r="F4953" s="41" t="str">
        <f aca="false">IF(D4953="","",IFERROR(IF(ISNUMBER(SEARCH(Assumptions!$C$5,D4953)),Assumptions!$D$5,IF(ISNUMBER(SEARCH(Assumptions!$C$6,D4953)),Assumptions!$D$6,IF(ISNUMBER(SEARCH(Assumptions!$C$7,D4953)),Assumptions!$D$7,"Other Services"))),"Other Services"))</f>
        <v/>
      </c>
    </row>
    <row r="4954" customFormat="false" ht="15" hidden="false" customHeight="false" outlineLevel="0" collapsed="false">
      <c r="F4954" s="41" t="str">
        <f aca="false">IF(D4954="","",IFERROR(IF(ISNUMBER(SEARCH(Assumptions!$C$5,D4954)),Assumptions!$D$5,IF(ISNUMBER(SEARCH(Assumptions!$C$6,D4954)),Assumptions!$D$6,IF(ISNUMBER(SEARCH(Assumptions!$C$7,D4954)),Assumptions!$D$7,"Other Services"))),"Other Services"))</f>
        <v/>
      </c>
    </row>
    <row r="4955" customFormat="false" ht="15" hidden="false" customHeight="false" outlineLevel="0" collapsed="false">
      <c r="F4955" s="41" t="str">
        <f aca="false">IF(D4955="","",IFERROR(IF(ISNUMBER(SEARCH(Assumptions!$C$5,D4955)),Assumptions!$D$5,IF(ISNUMBER(SEARCH(Assumptions!$C$6,D4955)),Assumptions!$D$6,IF(ISNUMBER(SEARCH(Assumptions!$C$7,D4955)),Assumptions!$D$7,"Other Services"))),"Other Services"))</f>
        <v/>
      </c>
    </row>
    <row r="4956" customFormat="false" ht="15" hidden="false" customHeight="false" outlineLevel="0" collapsed="false">
      <c r="F4956" s="41" t="str">
        <f aca="false">IF(D4956="","",IFERROR(IF(ISNUMBER(SEARCH(Assumptions!$C$5,D4956)),Assumptions!$D$5,IF(ISNUMBER(SEARCH(Assumptions!$C$6,D4956)),Assumptions!$D$6,IF(ISNUMBER(SEARCH(Assumptions!$C$7,D4956)),Assumptions!$D$7,"Other Services"))),"Other Services"))</f>
        <v/>
      </c>
    </row>
    <row r="4957" customFormat="false" ht="15" hidden="false" customHeight="false" outlineLevel="0" collapsed="false">
      <c r="F4957" s="41" t="str">
        <f aca="false">IF(D4957="","",IFERROR(IF(ISNUMBER(SEARCH(Assumptions!$C$5,D4957)),Assumptions!$D$5,IF(ISNUMBER(SEARCH(Assumptions!$C$6,D4957)),Assumptions!$D$6,IF(ISNUMBER(SEARCH(Assumptions!$C$7,D4957)),Assumptions!$D$7,"Other Services"))),"Other Services"))</f>
        <v/>
      </c>
    </row>
    <row r="4958" customFormat="false" ht="15" hidden="false" customHeight="false" outlineLevel="0" collapsed="false">
      <c r="F4958" s="41" t="str">
        <f aca="false">IF(D4958="","",IFERROR(IF(ISNUMBER(SEARCH(Assumptions!$C$5,D4958)),Assumptions!$D$5,IF(ISNUMBER(SEARCH(Assumptions!$C$6,D4958)),Assumptions!$D$6,IF(ISNUMBER(SEARCH(Assumptions!$C$7,D4958)),Assumptions!$D$7,"Other Services"))),"Other Services"))</f>
        <v/>
      </c>
    </row>
    <row r="4959" customFormat="false" ht="15" hidden="false" customHeight="false" outlineLevel="0" collapsed="false">
      <c r="F4959" s="41" t="str">
        <f aca="false">IF(D4959="","",IFERROR(IF(ISNUMBER(SEARCH(Assumptions!$C$5,D4959)),Assumptions!$D$5,IF(ISNUMBER(SEARCH(Assumptions!$C$6,D4959)),Assumptions!$D$6,IF(ISNUMBER(SEARCH(Assumptions!$C$7,D4959)),Assumptions!$D$7,"Other Services"))),"Other Services"))</f>
        <v/>
      </c>
    </row>
    <row r="4960" customFormat="false" ht="15" hidden="false" customHeight="false" outlineLevel="0" collapsed="false">
      <c r="F4960" s="41" t="str">
        <f aca="false">IF(D4960="","",IFERROR(IF(ISNUMBER(SEARCH(Assumptions!$C$5,D4960)),Assumptions!$D$5,IF(ISNUMBER(SEARCH(Assumptions!$C$6,D4960)),Assumptions!$D$6,IF(ISNUMBER(SEARCH(Assumptions!$C$7,D4960)),Assumptions!$D$7,"Other Services"))),"Other Services"))</f>
        <v/>
      </c>
    </row>
    <row r="4961" customFormat="false" ht="15" hidden="false" customHeight="false" outlineLevel="0" collapsed="false">
      <c r="F4961" s="41" t="str">
        <f aca="false">IF(D4961="","",IFERROR(IF(ISNUMBER(SEARCH(Assumptions!$C$5,D4961)),Assumptions!$D$5,IF(ISNUMBER(SEARCH(Assumptions!$C$6,D4961)),Assumptions!$D$6,IF(ISNUMBER(SEARCH(Assumptions!$C$7,D4961)),Assumptions!$D$7,"Other Services"))),"Other Services"))</f>
        <v/>
      </c>
    </row>
    <row r="4962" customFormat="false" ht="15" hidden="false" customHeight="false" outlineLevel="0" collapsed="false">
      <c r="F4962" s="41" t="str">
        <f aca="false">IF(D4962="","",IFERROR(IF(ISNUMBER(SEARCH(Assumptions!$C$5,D4962)),Assumptions!$D$5,IF(ISNUMBER(SEARCH(Assumptions!$C$6,D4962)),Assumptions!$D$6,IF(ISNUMBER(SEARCH(Assumptions!$C$7,D4962)),Assumptions!$D$7,"Other Services"))),"Other Services"))</f>
        <v/>
      </c>
    </row>
    <row r="4963" customFormat="false" ht="15" hidden="false" customHeight="false" outlineLevel="0" collapsed="false">
      <c r="F4963" s="41" t="str">
        <f aca="false">IF(D4963="","",IFERROR(IF(ISNUMBER(SEARCH(Assumptions!$C$5,D4963)),Assumptions!$D$5,IF(ISNUMBER(SEARCH(Assumptions!$C$6,D4963)),Assumptions!$D$6,IF(ISNUMBER(SEARCH(Assumptions!$C$7,D4963)),Assumptions!$D$7,"Other Services"))),"Other Services"))</f>
        <v/>
      </c>
    </row>
    <row r="4964" customFormat="false" ht="15" hidden="false" customHeight="false" outlineLevel="0" collapsed="false">
      <c r="F4964" s="41" t="str">
        <f aca="false">IF(D4964="","",IFERROR(IF(ISNUMBER(SEARCH(Assumptions!$C$5,D4964)),Assumptions!$D$5,IF(ISNUMBER(SEARCH(Assumptions!$C$6,D4964)),Assumptions!$D$6,IF(ISNUMBER(SEARCH(Assumptions!$C$7,D4964)),Assumptions!$D$7,"Other Services"))),"Other Services"))</f>
        <v/>
      </c>
    </row>
    <row r="4965" customFormat="false" ht="15" hidden="false" customHeight="false" outlineLevel="0" collapsed="false">
      <c r="F4965" s="41" t="str">
        <f aca="false">IF(D4965="","",IFERROR(IF(ISNUMBER(SEARCH(Assumptions!$C$5,D4965)),Assumptions!$D$5,IF(ISNUMBER(SEARCH(Assumptions!$C$6,D4965)),Assumptions!$D$6,IF(ISNUMBER(SEARCH(Assumptions!$C$7,D4965)),Assumptions!$D$7,"Other Services"))),"Other Services"))</f>
        <v/>
      </c>
    </row>
    <row r="4966" customFormat="false" ht="15" hidden="false" customHeight="false" outlineLevel="0" collapsed="false">
      <c r="F4966" s="41" t="str">
        <f aca="false">IF(D4966="","",IFERROR(IF(ISNUMBER(SEARCH(Assumptions!$C$5,D4966)),Assumptions!$D$5,IF(ISNUMBER(SEARCH(Assumptions!$C$6,D4966)),Assumptions!$D$6,IF(ISNUMBER(SEARCH(Assumptions!$C$7,D4966)),Assumptions!$D$7,"Other Services"))),"Other Services"))</f>
        <v/>
      </c>
    </row>
    <row r="4967" customFormat="false" ht="15" hidden="false" customHeight="false" outlineLevel="0" collapsed="false">
      <c r="F4967" s="41" t="str">
        <f aca="false">IF(D4967="","",IFERROR(IF(ISNUMBER(SEARCH(Assumptions!$C$5,D4967)),Assumptions!$D$5,IF(ISNUMBER(SEARCH(Assumptions!$C$6,D4967)),Assumptions!$D$6,IF(ISNUMBER(SEARCH(Assumptions!$C$7,D4967)),Assumptions!$D$7,"Other Services"))),"Other Services"))</f>
        <v/>
      </c>
    </row>
    <row r="4968" customFormat="false" ht="15" hidden="false" customHeight="false" outlineLevel="0" collapsed="false">
      <c r="F4968" s="41" t="str">
        <f aca="false">IF(D4968="","",IFERROR(IF(ISNUMBER(SEARCH(Assumptions!$C$5,D4968)),Assumptions!$D$5,IF(ISNUMBER(SEARCH(Assumptions!$C$6,D4968)),Assumptions!$D$6,IF(ISNUMBER(SEARCH(Assumptions!$C$7,D4968)),Assumptions!$D$7,"Other Services"))),"Other Services"))</f>
        <v/>
      </c>
    </row>
    <row r="4969" customFormat="false" ht="15" hidden="false" customHeight="false" outlineLevel="0" collapsed="false">
      <c r="F4969" s="41" t="str">
        <f aca="false">IF(D4969="","",IFERROR(IF(ISNUMBER(SEARCH(Assumptions!$C$5,D4969)),Assumptions!$D$5,IF(ISNUMBER(SEARCH(Assumptions!$C$6,D4969)),Assumptions!$D$6,IF(ISNUMBER(SEARCH(Assumptions!$C$7,D4969)),Assumptions!$D$7,"Other Services"))),"Other Services"))</f>
        <v/>
      </c>
    </row>
    <row r="4970" customFormat="false" ht="15" hidden="false" customHeight="false" outlineLevel="0" collapsed="false">
      <c r="F4970" s="41" t="str">
        <f aca="false">IF(D4970="","",IFERROR(IF(ISNUMBER(SEARCH(Assumptions!$C$5,D4970)),Assumptions!$D$5,IF(ISNUMBER(SEARCH(Assumptions!$C$6,D4970)),Assumptions!$D$6,IF(ISNUMBER(SEARCH(Assumptions!$C$7,D4970)),Assumptions!$D$7,"Other Services"))),"Other Services"))</f>
        <v/>
      </c>
    </row>
    <row r="4971" customFormat="false" ht="15" hidden="false" customHeight="false" outlineLevel="0" collapsed="false">
      <c r="F4971" s="41" t="str">
        <f aca="false">IF(D4971="","",IFERROR(IF(ISNUMBER(SEARCH(Assumptions!$C$5,D4971)),Assumptions!$D$5,IF(ISNUMBER(SEARCH(Assumptions!$C$6,D4971)),Assumptions!$D$6,IF(ISNUMBER(SEARCH(Assumptions!$C$7,D4971)),Assumptions!$D$7,"Other Services"))),"Other Services"))</f>
        <v/>
      </c>
    </row>
    <row r="4972" customFormat="false" ht="15" hidden="false" customHeight="false" outlineLevel="0" collapsed="false">
      <c r="F4972" s="41" t="str">
        <f aca="false">IF(D4972="","",IFERROR(IF(ISNUMBER(SEARCH(Assumptions!$C$5,D4972)),Assumptions!$D$5,IF(ISNUMBER(SEARCH(Assumptions!$C$6,D4972)),Assumptions!$D$6,IF(ISNUMBER(SEARCH(Assumptions!$C$7,D4972)),Assumptions!$D$7,"Other Services"))),"Other Services"))</f>
        <v/>
      </c>
    </row>
    <row r="4973" customFormat="false" ht="15" hidden="false" customHeight="false" outlineLevel="0" collapsed="false">
      <c r="F4973" s="41" t="str">
        <f aca="false">IF(D4973="","",IFERROR(IF(ISNUMBER(SEARCH(Assumptions!$C$5,D4973)),Assumptions!$D$5,IF(ISNUMBER(SEARCH(Assumptions!$C$6,D4973)),Assumptions!$D$6,IF(ISNUMBER(SEARCH(Assumptions!$C$7,D4973)),Assumptions!$D$7,"Other Services"))),"Other Services"))</f>
        <v/>
      </c>
    </row>
    <row r="4974" customFormat="false" ht="15" hidden="false" customHeight="false" outlineLevel="0" collapsed="false">
      <c r="F4974" s="41" t="str">
        <f aca="false">IF(D4974="","",IFERROR(IF(ISNUMBER(SEARCH(Assumptions!$C$5,D4974)),Assumptions!$D$5,IF(ISNUMBER(SEARCH(Assumptions!$C$6,D4974)),Assumptions!$D$6,IF(ISNUMBER(SEARCH(Assumptions!$C$7,D4974)),Assumptions!$D$7,"Other Services"))),"Other Services"))</f>
        <v/>
      </c>
    </row>
    <row r="4975" customFormat="false" ht="15" hidden="false" customHeight="false" outlineLevel="0" collapsed="false">
      <c r="F4975" s="41" t="str">
        <f aca="false">IF(D4975="","",IFERROR(IF(ISNUMBER(SEARCH(Assumptions!$C$5,D4975)),Assumptions!$D$5,IF(ISNUMBER(SEARCH(Assumptions!$C$6,D4975)),Assumptions!$D$6,IF(ISNUMBER(SEARCH(Assumptions!$C$7,D4975)),Assumptions!$D$7,"Other Services"))),"Other Services"))</f>
        <v/>
      </c>
    </row>
    <row r="4976" customFormat="false" ht="15" hidden="false" customHeight="false" outlineLevel="0" collapsed="false">
      <c r="F4976" s="41" t="str">
        <f aca="false">IF(D4976="","",IFERROR(IF(ISNUMBER(SEARCH(Assumptions!$C$5,D4976)),Assumptions!$D$5,IF(ISNUMBER(SEARCH(Assumptions!$C$6,D4976)),Assumptions!$D$6,IF(ISNUMBER(SEARCH(Assumptions!$C$7,D4976)),Assumptions!$D$7,"Other Services"))),"Other Services"))</f>
        <v/>
      </c>
    </row>
    <row r="4977" customFormat="false" ht="15" hidden="false" customHeight="false" outlineLevel="0" collapsed="false">
      <c r="F4977" s="41" t="str">
        <f aca="false">IF(D4977="","",IFERROR(IF(ISNUMBER(SEARCH(Assumptions!$C$5,D4977)),Assumptions!$D$5,IF(ISNUMBER(SEARCH(Assumptions!$C$6,D4977)),Assumptions!$D$6,IF(ISNUMBER(SEARCH(Assumptions!$C$7,D4977)),Assumptions!$D$7,"Other Services"))),"Other Services"))</f>
        <v/>
      </c>
    </row>
    <row r="4978" customFormat="false" ht="15" hidden="false" customHeight="false" outlineLevel="0" collapsed="false">
      <c r="F4978" s="41" t="str">
        <f aca="false">IF(D4978="","",IFERROR(IF(ISNUMBER(SEARCH(Assumptions!$C$5,D4978)),Assumptions!$D$5,IF(ISNUMBER(SEARCH(Assumptions!$C$6,D4978)),Assumptions!$D$6,IF(ISNUMBER(SEARCH(Assumptions!$C$7,D4978)),Assumptions!$D$7,"Other Services"))),"Other Services"))</f>
        <v/>
      </c>
    </row>
    <row r="4979" customFormat="false" ht="15" hidden="false" customHeight="false" outlineLevel="0" collapsed="false">
      <c r="F4979" s="41" t="str">
        <f aca="false">IF(D4979="","",IFERROR(IF(ISNUMBER(SEARCH(Assumptions!$C$5,D4979)),Assumptions!$D$5,IF(ISNUMBER(SEARCH(Assumptions!$C$6,D4979)),Assumptions!$D$6,IF(ISNUMBER(SEARCH(Assumptions!$C$7,D4979)),Assumptions!$D$7,"Other Services"))),"Other Services"))</f>
        <v/>
      </c>
    </row>
    <row r="4980" customFormat="false" ht="15" hidden="false" customHeight="false" outlineLevel="0" collapsed="false">
      <c r="F4980" s="41" t="str">
        <f aca="false">IF(D4980="","",IFERROR(IF(ISNUMBER(SEARCH(Assumptions!$C$5,D4980)),Assumptions!$D$5,IF(ISNUMBER(SEARCH(Assumptions!$C$6,D4980)),Assumptions!$D$6,IF(ISNUMBER(SEARCH(Assumptions!$C$7,D4980)),Assumptions!$D$7,"Other Services"))),"Other Services"))</f>
        <v/>
      </c>
    </row>
    <row r="4981" customFormat="false" ht="15" hidden="false" customHeight="false" outlineLevel="0" collapsed="false">
      <c r="F4981" s="41" t="str">
        <f aca="false">IF(D4981="","",IFERROR(IF(ISNUMBER(SEARCH(Assumptions!$C$5,D4981)),Assumptions!$D$5,IF(ISNUMBER(SEARCH(Assumptions!$C$6,D4981)),Assumptions!$D$6,IF(ISNUMBER(SEARCH(Assumptions!$C$7,D4981)),Assumptions!$D$7,"Other Services"))),"Other Services"))</f>
        <v/>
      </c>
    </row>
    <row r="4982" customFormat="false" ht="15" hidden="false" customHeight="false" outlineLevel="0" collapsed="false">
      <c r="F4982" s="41" t="str">
        <f aca="false">IF(D4982="","",IFERROR(IF(ISNUMBER(SEARCH(Assumptions!$C$5,D4982)),Assumptions!$D$5,IF(ISNUMBER(SEARCH(Assumptions!$C$6,D4982)),Assumptions!$D$6,IF(ISNUMBER(SEARCH(Assumptions!$C$7,D4982)),Assumptions!$D$7,"Other Services"))),"Other Services"))</f>
        <v/>
      </c>
    </row>
    <row r="4983" customFormat="false" ht="15" hidden="false" customHeight="false" outlineLevel="0" collapsed="false">
      <c r="F4983" s="41" t="str">
        <f aca="false">IF(D4983="","",IFERROR(IF(ISNUMBER(SEARCH(Assumptions!$C$5,D4983)),Assumptions!$D$5,IF(ISNUMBER(SEARCH(Assumptions!$C$6,D4983)),Assumptions!$D$6,IF(ISNUMBER(SEARCH(Assumptions!$C$7,D4983)),Assumptions!$D$7,"Other Services"))),"Other Services"))</f>
        <v/>
      </c>
    </row>
    <row r="4984" customFormat="false" ht="15" hidden="false" customHeight="false" outlineLevel="0" collapsed="false">
      <c r="F4984" s="41" t="str">
        <f aca="false">IF(D4984="","",IFERROR(IF(ISNUMBER(SEARCH(Assumptions!$C$5,D4984)),Assumptions!$D$5,IF(ISNUMBER(SEARCH(Assumptions!$C$6,D4984)),Assumptions!$D$6,IF(ISNUMBER(SEARCH(Assumptions!$C$7,D4984)),Assumptions!$D$7,"Other Services"))),"Other Services"))</f>
        <v/>
      </c>
    </row>
    <row r="4985" customFormat="false" ht="15" hidden="false" customHeight="false" outlineLevel="0" collapsed="false">
      <c r="F4985" s="41" t="str">
        <f aca="false">IF(D4985="","",IFERROR(IF(ISNUMBER(SEARCH(Assumptions!$C$5,D4985)),Assumptions!$D$5,IF(ISNUMBER(SEARCH(Assumptions!$C$6,D4985)),Assumptions!$D$6,IF(ISNUMBER(SEARCH(Assumptions!$C$7,D4985)),Assumptions!$D$7,"Other Services"))),"Other Services"))</f>
        <v/>
      </c>
    </row>
    <row r="4986" customFormat="false" ht="15" hidden="false" customHeight="false" outlineLevel="0" collapsed="false">
      <c r="F4986" s="41" t="str">
        <f aca="false">IF(D4986="","",IFERROR(IF(ISNUMBER(SEARCH(Assumptions!$C$5,D4986)),Assumptions!$D$5,IF(ISNUMBER(SEARCH(Assumptions!$C$6,D4986)),Assumptions!$D$6,IF(ISNUMBER(SEARCH(Assumptions!$C$7,D4986)),Assumptions!$D$7,"Other Services"))),"Other Services"))</f>
        <v/>
      </c>
    </row>
    <row r="4987" customFormat="false" ht="15" hidden="false" customHeight="false" outlineLevel="0" collapsed="false">
      <c r="F4987" s="41" t="str">
        <f aca="false">IF(D4987="","",IFERROR(IF(ISNUMBER(SEARCH(Assumptions!$C$5,D4987)),Assumptions!$D$5,IF(ISNUMBER(SEARCH(Assumptions!$C$6,D4987)),Assumptions!$D$6,IF(ISNUMBER(SEARCH(Assumptions!$C$7,D4987)),Assumptions!$D$7,"Other Services"))),"Other Services"))</f>
        <v/>
      </c>
    </row>
    <row r="4988" customFormat="false" ht="15" hidden="false" customHeight="false" outlineLevel="0" collapsed="false">
      <c r="F4988" s="41" t="str">
        <f aca="false">IF(D4988="","",IFERROR(IF(ISNUMBER(SEARCH(Assumptions!$C$5,D4988)),Assumptions!$D$5,IF(ISNUMBER(SEARCH(Assumptions!$C$6,D4988)),Assumptions!$D$6,IF(ISNUMBER(SEARCH(Assumptions!$C$7,D4988)),Assumptions!$D$7,"Other Services"))),"Other Services"))</f>
        <v/>
      </c>
    </row>
    <row r="4989" customFormat="false" ht="15" hidden="false" customHeight="false" outlineLevel="0" collapsed="false">
      <c r="F4989" s="41" t="str">
        <f aca="false">IF(D4989="","",IFERROR(IF(ISNUMBER(SEARCH(Assumptions!$C$5,D4989)),Assumptions!$D$5,IF(ISNUMBER(SEARCH(Assumptions!$C$6,D4989)),Assumptions!$D$6,IF(ISNUMBER(SEARCH(Assumptions!$C$7,D4989)),Assumptions!$D$7,"Other Services"))),"Other Services"))</f>
        <v/>
      </c>
    </row>
    <row r="4990" customFormat="false" ht="15" hidden="false" customHeight="false" outlineLevel="0" collapsed="false">
      <c r="F4990" s="41" t="str">
        <f aca="false">IF(D4990="","",IFERROR(IF(ISNUMBER(SEARCH(Assumptions!$C$5,D4990)),Assumptions!$D$5,IF(ISNUMBER(SEARCH(Assumptions!$C$6,D4990)),Assumptions!$D$6,IF(ISNUMBER(SEARCH(Assumptions!$C$7,D4990)),Assumptions!$D$7,"Other Services"))),"Other Services"))</f>
        <v/>
      </c>
    </row>
    <row r="4991" customFormat="false" ht="15" hidden="false" customHeight="false" outlineLevel="0" collapsed="false">
      <c r="F4991" s="41" t="str">
        <f aca="false">IF(D4991="","",IFERROR(IF(ISNUMBER(SEARCH(Assumptions!$C$5,D4991)),Assumptions!$D$5,IF(ISNUMBER(SEARCH(Assumptions!$C$6,D4991)),Assumptions!$D$6,IF(ISNUMBER(SEARCH(Assumptions!$C$7,D4991)),Assumptions!$D$7,"Other Services"))),"Other Services"))</f>
        <v/>
      </c>
    </row>
    <row r="4992" customFormat="false" ht="15" hidden="false" customHeight="false" outlineLevel="0" collapsed="false">
      <c r="F4992" s="41" t="str">
        <f aca="false">IF(D4992="","",IFERROR(IF(ISNUMBER(SEARCH(Assumptions!$C$5,D4992)),Assumptions!$D$5,IF(ISNUMBER(SEARCH(Assumptions!$C$6,D4992)),Assumptions!$D$6,IF(ISNUMBER(SEARCH(Assumptions!$C$7,D4992)),Assumptions!$D$7,"Other Services"))),"Other Services"))</f>
        <v/>
      </c>
    </row>
    <row r="4993" customFormat="false" ht="15" hidden="false" customHeight="false" outlineLevel="0" collapsed="false">
      <c r="F4993" s="41" t="str">
        <f aca="false">IF(D4993="","",IFERROR(IF(ISNUMBER(SEARCH(Assumptions!$C$5,D4993)),Assumptions!$D$5,IF(ISNUMBER(SEARCH(Assumptions!$C$6,D4993)),Assumptions!$D$6,IF(ISNUMBER(SEARCH(Assumptions!$C$7,D4993)),Assumptions!$D$7,"Other Services"))),"Other Services"))</f>
        <v/>
      </c>
    </row>
    <row r="4994" customFormat="false" ht="15" hidden="false" customHeight="false" outlineLevel="0" collapsed="false">
      <c r="F4994" s="41" t="str">
        <f aca="false">IF(D4994="","",IFERROR(IF(ISNUMBER(SEARCH(Assumptions!$C$5,D4994)),Assumptions!$D$5,IF(ISNUMBER(SEARCH(Assumptions!$C$6,D4994)),Assumptions!$D$6,IF(ISNUMBER(SEARCH(Assumptions!$C$7,D4994)),Assumptions!$D$7,"Other Services"))),"Other Services"))</f>
        <v/>
      </c>
    </row>
    <row r="4995" customFormat="false" ht="15" hidden="false" customHeight="false" outlineLevel="0" collapsed="false">
      <c r="F4995" s="41" t="str">
        <f aca="false">IF(D4995="","",IFERROR(IF(ISNUMBER(SEARCH(Assumptions!$C$5,D4995)),Assumptions!$D$5,IF(ISNUMBER(SEARCH(Assumptions!$C$6,D4995)),Assumptions!$D$6,IF(ISNUMBER(SEARCH(Assumptions!$C$7,D4995)),Assumptions!$D$7,"Other Services"))),"Other Services"))</f>
        <v/>
      </c>
    </row>
    <row r="4996" customFormat="false" ht="15" hidden="false" customHeight="false" outlineLevel="0" collapsed="false">
      <c r="F4996" s="41" t="str">
        <f aca="false">IF(D4996="","",IFERROR(IF(ISNUMBER(SEARCH(Assumptions!$C$5,D4996)),Assumptions!$D$5,IF(ISNUMBER(SEARCH(Assumptions!$C$6,D4996)),Assumptions!$D$6,IF(ISNUMBER(SEARCH(Assumptions!$C$7,D4996)),Assumptions!$D$7,"Other Services"))),"Other Services"))</f>
        <v/>
      </c>
    </row>
    <row r="4997" customFormat="false" ht="15" hidden="false" customHeight="false" outlineLevel="0" collapsed="false">
      <c r="F4997" s="41" t="str">
        <f aca="false">IF(D4997="","",IFERROR(IF(ISNUMBER(SEARCH(Assumptions!$C$5,D4997)),Assumptions!$D$5,IF(ISNUMBER(SEARCH(Assumptions!$C$6,D4997)),Assumptions!$D$6,IF(ISNUMBER(SEARCH(Assumptions!$C$7,D4997)),Assumptions!$D$7,"Other Services"))),"Other Services"))</f>
        <v/>
      </c>
    </row>
    <row r="4998" customFormat="false" ht="15" hidden="false" customHeight="false" outlineLevel="0" collapsed="false">
      <c r="F4998" s="41" t="str">
        <f aca="false">IF(D4998="","",IFERROR(IF(ISNUMBER(SEARCH(Assumptions!$C$5,D4998)),Assumptions!$D$5,IF(ISNUMBER(SEARCH(Assumptions!$C$6,D4998)),Assumptions!$D$6,IF(ISNUMBER(SEARCH(Assumptions!$C$7,D4998)),Assumptions!$D$7,"Other Services"))),"Other Services"))</f>
        <v/>
      </c>
    </row>
    <row r="4999" customFormat="false" ht="15" hidden="false" customHeight="false" outlineLevel="0" collapsed="false">
      <c r="F4999" s="41" t="str">
        <f aca="false">IF(D4999="","",IFERROR(IF(ISNUMBER(SEARCH(Assumptions!$C$5,D4999)),Assumptions!$D$5,IF(ISNUMBER(SEARCH(Assumptions!$C$6,D4999)),Assumptions!$D$6,IF(ISNUMBER(SEARCH(Assumptions!$C$7,D4999)),Assumptions!$D$7,"Other Services"))),"Other Services"))</f>
        <v/>
      </c>
    </row>
    <row r="5000" customFormat="false" ht="15" hidden="false" customHeight="false" outlineLevel="0" collapsed="false">
      <c r="F5000" s="41" t="str">
        <f aca="false">IF(D5000="","",IFERROR(IF(ISNUMBER(SEARCH(Assumptions!$C$5,D5000)),Assumptions!$D$5,IF(ISNUMBER(SEARCH(Assumptions!$C$6,D5000)),Assumptions!$D$6,IF(ISNUMBER(SEARCH(Assumptions!$C$7,D5000)),Assumptions!$D$7,"Other Services"))),"Other Services"))</f>
        <v/>
      </c>
    </row>
    <row r="5001" customFormat="false" ht="15" hidden="false" customHeight="false" outlineLevel="0" collapsed="false">
      <c r="F5001" s="41" t="str">
        <f aca="false">IF(D5001="","",IFERROR(IF(ISNUMBER(SEARCH(Assumptions!$C$5,D5001)),Assumptions!$D$5,IF(ISNUMBER(SEARCH(Assumptions!$C$6,D5001)),Assumptions!$D$6,IF(ISNUMBER(SEARCH(Assumptions!$C$7,D5001)),Assumptions!$D$7,"Other Services"))),"Other Services"))</f>
        <v/>
      </c>
    </row>
    <row r="5002" customFormat="false" ht="15" hidden="false" customHeight="false" outlineLevel="0" collapsed="false">
      <c r="F5002" s="41" t="str">
        <f aca="false">IF(D5002="","",IFERROR(IF(ISNUMBER(SEARCH(Assumptions!$C$5,D5002)),Assumptions!$D$5,IF(ISNUMBER(SEARCH(Assumptions!$C$6,D5002)),Assumptions!$D$6,IF(ISNUMBER(SEARCH(Assumptions!$C$7,D5002)),Assumptions!$D$7,"Other Services"))),"Other Services"))</f>
        <v/>
      </c>
    </row>
    <row r="5003" customFormat="false" ht="15" hidden="false" customHeight="false" outlineLevel="0" collapsed="false">
      <c r="F5003" s="41" t="str">
        <f aca="false">IF(D5003="","",IFERROR(IF(ISNUMBER(SEARCH(Assumptions!$C$5,D5003)),Assumptions!$D$5,IF(ISNUMBER(SEARCH(Assumptions!$C$6,D5003)),Assumptions!$D$6,IF(ISNUMBER(SEARCH(Assumptions!$C$7,D5003)),Assumptions!$D$7,"Other Services"))),"Other Services"))</f>
        <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59B6"/>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34"/>
    <col collapsed="false" customWidth="true" hidden="false" outlineLevel="0" max="2" min="2" style="25" width="13"/>
    <col collapsed="false" customWidth="true" hidden="false" outlineLevel="0" max="3" min="3" style="25" width="17"/>
    <col collapsed="false" customWidth="true" hidden="false" outlineLevel="0" max="4" min="4" style="25" width="13"/>
    <col collapsed="false" customWidth="true" hidden="false" outlineLevel="0" max="5" min="5" style="25" width="11"/>
    <col collapsed="false" customWidth="true" hidden="false" outlineLevel="0" max="6" min="6" style="25" width="15"/>
    <col collapsed="false" customWidth="true" hidden="false" outlineLevel="0" max="7" min="7" style="25" width="13"/>
    <col collapsed="false" customWidth="true" hidden="false" outlineLevel="0" max="8" min="8" style="25" width="20"/>
  </cols>
  <sheetData>
    <row r="1" customFormat="false" ht="15" hidden="false" customHeight="true" outlineLevel="0" collapsed="false">
      <c r="A1" s="56" t="s">
        <v>569</v>
      </c>
      <c r="B1" s="56"/>
      <c r="C1" s="56"/>
      <c r="D1" s="56"/>
      <c r="E1" s="56"/>
      <c r="F1" s="56"/>
      <c r="G1" s="56"/>
      <c r="H1" s="56"/>
    </row>
    <row r="2" customFormat="false" ht="15" hidden="false" customHeight="true" outlineLevel="0" collapsed="false">
      <c r="A2" s="44" t="s">
        <v>570</v>
      </c>
      <c r="B2" s="44"/>
      <c r="C2" s="44"/>
      <c r="D2" s="44"/>
      <c r="E2" s="44"/>
      <c r="F2" s="44"/>
      <c r="G2" s="44"/>
      <c r="H2" s="44"/>
    </row>
    <row r="4" customFormat="false" ht="15" hidden="false" customHeight="true" outlineLevel="0" collapsed="false">
      <c r="A4" s="28" t="s">
        <v>571</v>
      </c>
    </row>
    <row r="5" customFormat="false" ht="24" hidden="false" customHeight="true" outlineLevel="0" collapsed="false">
      <c r="A5" s="85" t="s">
        <v>127</v>
      </c>
      <c r="B5" s="85" t="s">
        <v>140</v>
      </c>
      <c r="C5" s="85" t="s">
        <v>220</v>
      </c>
      <c r="D5" s="85" t="s">
        <v>223</v>
      </c>
      <c r="E5" s="85" t="s">
        <v>201</v>
      </c>
      <c r="F5" s="85" t="s">
        <v>205</v>
      </c>
      <c r="G5" s="85" t="s">
        <v>207</v>
      </c>
      <c r="H5" s="85" t="s">
        <v>572</v>
      </c>
    </row>
    <row r="6" customFormat="false" ht="15" hidden="false" customHeight="true" outlineLevel="0" collapsed="false">
      <c r="A6" s="37" t="s">
        <v>168</v>
      </c>
      <c r="B6" s="77" t="n">
        <f aca="false">SUMIFS(Xero_Raw!$H$4:$H$5003,Xero_Raw!$C$4:$C$5003,"Invoice",Xero_Raw!$D$4:$D$5003,$A6,Xero_Raw!$I$4:$I$5003,"Paid")</f>
        <v>7660.55</v>
      </c>
      <c r="C6" s="77" t="n">
        <f aca="false">SUMIFS(Xero_Raw!$H$4:$H$5003,Xero_Raw!$C$4:$C$5003,"Invoice",Xero_Raw!$D$4:$D$5003,$A6,Xero_Raw!$I$4:$I$5003,"Awaiting Payment")</f>
        <v>0</v>
      </c>
      <c r="D6" s="77" t="n">
        <f aca="false">SUMIFS(Xero_Raw!$H$4:$H$5003,Xero_Raw!$C$4:$C$5003,"Invoice",Xero_Raw!$D$4:$D$5003,$A6,Xero_Raw!$I$4:$I$5003,"Overdue")</f>
        <v>31165.32</v>
      </c>
      <c r="E6" s="77" t="n">
        <f aca="false">SUMIFS(Xero_Raw!$H$4:$H$5003,Xero_Raw!$C$4:$C$5003,"Invoice",Xero_Raw!$D$4:$D$5003,$A6,Xero_Raw!$I$4:$I$5003,"Draft")</f>
        <v>31821.05</v>
      </c>
      <c r="F6" s="77" t="n">
        <f aca="false">SUMIFS(Xero_Raw!$H$4:$H$5003,Xero_Raw!$C$4:$C$5003,"Invoice",Xero_Raw!$D$4:$D$5003,$A6,Xero_Raw!$I$4:$I$5003,"Void")</f>
        <v>0</v>
      </c>
      <c r="G6" s="77" t="n">
        <f aca="false">SUMIFS(Xero_Raw!$H$4:$H$5003,Xero_Raw!$C$4:$C$5003,"Invoice",Xero_Raw!$D$4:$D$5003,$A6,Xero_Raw!$I$4:$I$5003,"Unsent")</f>
        <v>0</v>
      </c>
      <c r="H6" s="74" t="n">
        <f aca="false">B6+C6+D6</f>
        <v>38825.87</v>
      </c>
    </row>
    <row r="7" customFormat="false" ht="15" hidden="false" customHeight="true" outlineLevel="0" collapsed="false">
      <c r="A7" s="37" t="s">
        <v>144</v>
      </c>
      <c r="B7" s="77" t="n">
        <f aca="false">SUMIFS(Xero_Raw!$H$4:$H$5003,Xero_Raw!$C$4:$C$5003,"Invoice",Xero_Raw!$D$4:$D$5003,$A7,Xero_Raw!$I$4:$I$5003,"Paid")</f>
        <v>14362.95</v>
      </c>
      <c r="C7" s="77" t="n">
        <f aca="false">SUMIFS(Xero_Raw!$H$4:$H$5003,Xero_Raw!$C$4:$C$5003,"Invoice",Xero_Raw!$D$4:$D$5003,$A7,Xero_Raw!$I$4:$I$5003,"Awaiting Payment")</f>
        <v>0</v>
      </c>
      <c r="D7" s="77" t="n">
        <f aca="false">SUMIFS(Xero_Raw!$H$4:$H$5003,Xero_Raw!$C$4:$C$5003,"Invoice",Xero_Raw!$D$4:$D$5003,$A7,Xero_Raw!$I$4:$I$5003,"Overdue")</f>
        <v>0</v>
      </c>
      <c r="E7" s="77" t="n">
        <f aca="false">SUMIFS(Xero_Raw!$H$4:$H$5003,Xero_Raw!$C$4:$C$5003,"Invoice",Xero_Raw!$D$4:$D$5003,$A7,Xero_Raw!$I$4:$I$5003,"Draft")</f>
        <v>13032.12</v>
      </c>
      <c r="F7" s="77" t="n">
        <f aca="false">SUMIFS(Xero_Raw!$H$4:$H$5003,Xero_Raw!$C$4:$C$5003,"Invoice",Xero_Raw!$D$4:$D$5003,$A7,Xero_Raw!$I$4:$I$5003,"Void")</f>
        <v>0</v>
      </c>
      <c r="G7" s="77" t="n">
        <f aca="false">SUMIFS(Xero_Raw!$H$4:$H$5003,Xero_Raw!$C$4:$C$5003,"Invoice",Xero_Raw!$D$4:$D$5003,$A7,Xero_Raw!$I$4:$I$5003,"Unsent")</f>
        <v>0</v>
      </c>
      <c r="H7" s="74" t="n">
        <f aca="false">B7+C7+D7</f>
        <v>14362.95</v>
      </c>
    </row>
    <row r="8" customFormat="false" ht="15" hidden="false" customHeight="true" outlineLevel="0" collapsed="false">
      <c r="A8" s="37" t="s">
        <v>141</v>
      </c>
      <c r="B8" s="77" t="n">
        <f aca="false">SUMIFS(Xero_Raw!$H$4:$H$5003,Xero_Raw!$C$4:$C$5003,"Invoice",Xero_Raw!$D$4:$D$5003,$A8,Xero_Raw!$I$4:$I$5003,"Paid")</f>
        <v>6646.46</v>
      </c>
      <c r="C8" s="77" t="n">
        <f aca="false">SUMIFS(Xero_Raw!$H$4:$H$5003,Xero_Raw!$C$4:$C$5003,"Invoice",Xero_Raw!$D$4:$D$5003,$A8,Xero_Raw!$I$4:$I$5003,"Awaiting Payment")</f>
        <v>0</v>
      </c>
      <c r="D8" s="77" t="n">
        <f aca="false">SUMIFS(Xero_Raw!$H$4:$H$5003,Xero_Raw!$C$4:$C$5003,"Invoice",Xero_Raw!$D$4:$D$5003,$A8,Xero_Raw!$I$4:$I$5003,"Overdue")</f>
        <v>0</v>
      </c>
      <c r="E8" s="77" t="n">
        <f aca="false">SUMIFS(Xero_Raw!$H$4:$H$5003,Xero_Raw!$C$4:$C$5003,"Invoice",Xero_Raw!$D$4:$D$5003,$A8,Xero_Raw!$I$4:$I$5003,"Draft")</f>
        <v>0</v>
      </c>
      <c r="F8" s="77" t="n">
        <f aca="false">SUMIFS(Xero_Raw!$H$4:$H$5003,Xero_Raw!$C$4:$C$5003,"Invoice",Xero_Raw!$D$4:$D$5003,$A8,Xero_Raw!$I$4:$I$5003,"Void")</f>
        <v>0</v>
      </c>
      <c r="G8" s="77" t="n">
        <f aca="false">SUMIFS(Xero_Raw!$H$4:$H$5003,Xero_Raw!$C$4:$C$5003,"Invoice",Xero_Raw!$D$4:$D$5003,$A8,Xero_Raw!$I$4:$I$5003,"Unsent")</f>
        <v>0</v>
      </c>
      <c r="H8" s="74" t="n">
        <f aca="false">B8+C8+D8</f>
        <v>6646.46</v>
      </c>
    </row>
    <row r="9" customFormat="false" ht="15" hidden="false" customHeight="true" outlineLevel="0" collapsed="false">
      <c r="A9" s="37" t="s">
        <v>147</v>
      </c>
      <c r="B9" s="77" t="n">
        <f aca="false">SUMIFS(Xero_Raw!$H$4:$H$5003,Xero_Raw!$C$4:$C$5003,"Invoice",Xero_Raw!$D$4:$D$5003,$A9,Xero_Raw!$I$4:$I$5003,"Paid")</f>
        <v>0</v>
      </c>
      <c r="C9" s="77" t="n">
        <f aca="false">SUMIFS(Xero_Raw!$H$4:$H$5003,Xero_Raw!$C$4:$C$5003,"Invoice",Xero_Raw!$D$4:$D$5003,$A9,Xero_Raw!$I$4:$I$5003,"Awaiting Payment")</f>
        <v>0</v>
      </c>
      <c r="D9" s="77" t="n">
        <f aca="false">SUMIFS(Xero_Raw!$H$4:$H$5003,Xero_Raw!$C$4:$C$5003,"Invoice",Xero_Raw!$D$4:$D$5003,$A9,Xero_Raw!$I$4:$I$5003,"Overdue")</f>
        <v>0</v>
      </c>
      <c r="E9" s="77" t="n">
        <f aca="false">SUMIFS(Xero_Raw!$H$4:$H$5003,Xero_Raw!$C$4:$C$5003,"Invoice",Xero_Raw!$D$4:$D$5003,$A9,Xero_Raw!$I$4:$I$5003,"Draft")</f>
        <v>0</v>
      </c>
      <c r="F9" s="77" t="n">
        <f aca="false">SUMIFS(Xero_Raw!$H$4:$H$5003,Xero_Raw!$C$4:$C$5003,"Invoice",Xero_Raw!$D$4:$D$5003,$A9,Xero_Raw!$I$4:$I$5003,"Void")</f>
        <v>0</v>
      </c>
      <c r="G9" s="77" t="n">
        <f aca="false">SUMIFS(Xero_Raw!$H$4:$H$5003,Xero_Raw!$C$4:$C$5003,"Invoice",Xero_Raw!$D$4:$D$5003,$A9,Xero_Raw!$I$4:$I$5003,"Unsent")</f>
        <v>0</v>
      </c>
      <c r="H9" s="74" t="n">
        <f aca="false">B9+C9+D9</f>
        <v>0</v>
      </c>
    </row>
    <row r="10" customFormat="false" ht="15" hidden="false" customHeight="true" outlineLevel="0" collapsed="false">
      <c r="A10" s="37" t="s">
        <v>150</v>
      </c>
      <c r="B10" s="77" t="n">
        <f aca="false">SUMIFS(Xero_Raw!$H$4:$H$5003,Xero_Raw!$C$4:$C$5003,"Invoice",Xero_Raw!$D$4:$D$5003,$A10,Xero_Raw!$I$4:$I$5003,"Paid")</f>
        <v>0</v>
      </c>
      <c r="C10" s="77" t="n">
        <f aca="false">SUMIFS(Xero_Raw!$H$4:$H$5003,Xero_Raw!$C$4:$C$5003,"Invoice",Xero_Raw!$D$4:$D$5003,$A10,Xero_Raw!$I$4:$I$5003,"Awaiting Payment")</f>
        <v>0</v>
      </c>
      <c r="D10" s="77" t="n">
        <f aca="false">SUMIFS(Xero_Raw!$H$4:$H$5003,Xero_Raw!$C$4:$C$5003,"Invoice",Xero_Raw!$D$4:$D$5003,$A10,Xero_Raw!$I$4:$I$5003,"Overdue")</f>
        <v>0</v>
      </c>
      <c r="E10" s="77" t="n">
        <f aca="false">SUMIFS(Xero_Raw!$H$4:$H$5003,Xero_Raw!$C$4:$C$5003,"Invoice",Xero_Raw!$D$4:$D$5003,$A10,Xero_Raw!$I$4:$I$5003,"Draft")</f>
        <v>0</v>
      </c>
      <c r="F10" s="77" t="n">
        <f aca="false">SUMIFS(Xero_Raw!$H$4:$H$5003,Xero_Raw!$C$4:$C$5003,"Invoice",Xero_Raw!$D$4:$D$5003,$A10,Xero_Raw!$I$4:$I$5003,"Void")</f>
        <v>0</v>
      </c>
      <c r="G10" s="77" t="n">
        <f aca="false">SUMIFS(Xero_Raw!$H$4:$H$5003,Xero_Raw!$C$4:$C$5003,"Invoice",Xero_Raw!$D$4:$D$5003,$A10,Xero_Raw!$I$4:$I$5003,"Unsent")</f>
        <v>0</v>
      </c>
      <c r="H10" s="74" t="n">
        <f aca="false">B10+C10+D10</f>
        <v>0</v>
      </c>
    </row>
    <row r="11" customFormat="false" ht="15" hidden="false" customHeight="true" outlineLevel="0" collapsed="false">
      <c r="A11" s="37" t="s">
        <v>152</v>
      </c>
      <c r="B11" s="77" t="n">
        <f aca="false">SUMIFS(Xero_Raw!$H$4:$H$5003,Xero_Raw!$C$4:$C$5003,"Invoice",Xero_Raw!$D$4:$D$5003,$A11,Xero_Raw!$I$4:$I$5003,"Paid")</f>
        <v>23432.57</v>
      </c>
      <c r="C11" s="77" t="n">
        <f aca="false">SUMIFS(Xero_Raw!$H$4:$H$5003,Xero_Raw!$C$4:$C$5003,"Invoice",Xero_Raw!$D$4:$D$5003,$A11,Xero_Raw!$I$4:$I$5003,"Awaiting Payment")</f>
        <v>0</v>
      </c>
      <c r="D11" s="77" t="n">
        <f aca="false">SUMIFS(Xero_Raw!$H$4:$H$5003,Xero_Raw!$C$4:$C$5003,"Invoice",Xero_Raw!$D$4:$D$5003,$A11,Xero_Raw!$I$4:$I$5003,"Overdue")</f>
        <v>28580.56</v>
      </c>
      <c r="E11" s="77" t="n">
        <f aca="false">SUMIFS(Xero_Raw!$H$4:$H$5003,Xero_Raw!$C$4:$C$5003,"Invoice",Xero_Raw!$D$4:$D$5003,$A11,Xero_Raw!$I$4:$I$5003,"Draft")</f>
        <v>0</v>
      </c>
      <c r="F11" s="77" t="n">
        <f aca="false">SUMIFS(Xero_Raw!$H$4:$H$5003,Xero_Raw!$C$4:$C$5003,"Invoice",Xero_Raw!$D$4:$D$5003,$A11,Xero_Raw!$I$4:$I$5003,"Void")</f>
        <v>0</v>
      </c>
      <c r="G11" s="77" t="n">
        <f aca="false">SUMIFS(Xero_Raw!$H$4:$H$5003,Xero_Raw!$C$4:$C$5003,"Invoice",Xero_Raw!$D$4:$D$5003,$A11,Xero_Raw!$I$4:$I$5003,"Unsent")</f>
        <v>0</v>
      </c>
      <c r="H11" s="74" t="n">
        <f aca="false">B11+C11+D11</f>
        <v>52013.13</v>
      </c>
    </row>
    <row r="12" customFormat="false" ht="15" hidden="false" customHeight="true" outlineLevel="0" collapsed="false">
      <c r="A12" s="37" t="s">
        <v>178</v>
      </c>
      <c r="B12" s="77" t="n">
        <f aca="false">SUMIFS(Xero_Raw!$H$4:$H$5003,Xero_Raw!$C$4:$C$5003,"Invoice",Xero_Raw!$D$4:$D$5003,$A12,Xero_Raw!$I$4:$I$5003,"Paid")</f>
        <v>0</v>
      </c>
      <c r="C12" s="77" t="n">
        <f aca="false">SUMIFS(Xero_Raw!$H$4:$H$5003,Xero_Raw!$C$4:$C$5003,"Invoice",Xero_Raw!$D$4:$D$5003,$A12,Xero_Raw!$I$4:$I$5003,"Awaiting Payment")</f>
        <v>0</v>
      </c>
      <c r="D12" s="77" t="n">
        <f aca="false">SUMIFS(Xero_Raw!$H$4:$H$5003,Xero_Raw!$C$4:$C$5003,"Invoice",Xero_Raw!$D$4:$D$5003,$A12,Xero_Raw!$I$4:$I$5003,"Overdue")</f>
        <v>0</v>
      </c>
      <c r="E12" s="77" t="n">
        <f aca="false">SUMIFS(Xero_Raw!$H$4:$H$5003,Xero_Raw!$C$4:$C$5003,"Invoice",Xero_Raw!$D$4:$D$5003,$A12,Xero_Raw!$I$4:$I$5003,"Draft")</f>
        <v>0</v>
      </c>
      <c r="F12" s="77" t="n">
        <f aca="false">SUMIFS(Xero_Raw!$H$4:$H$5003,Xero_Raw!$C$4:$C$5003,"Invoice",Xero_Raw!$D$4:$D$5003,$A12,Xero_Raw!$I$4:$I$5003,"Void")</f>
        <v>36454.42</v>
      </c>
      <c r="G12" s="77" t="n">
        <f aca="false">SUMIFS(Xero_Raw!$H$4:$H$5003,Xero_Raw!$C$4:$C$5003,"Invoice",Xero_Raw!$D$4:$D$5003,$A12,Xero_Raw!$I$4:$I$5003,"Unsent")</f>
        <v>52102.53</v>
      </c>
      <c r="H12" s="74" t="n">
        <f aca="false">B12+C12+D12</f>
        <v>0</v>
      </c>
    </row>
    <row r="13" customFormat="false" ht="15" hidden="false" customHeight="true" outlineLevel="0" collapsed="false">
      <c r="A13" s="37" t="s">
        <v>202</v>
      </c>
      <c r="B13" s="77" t="n">
        <f aca="false">SUMIFS(Xero_Raw!$H$4:$H$5003,Xero_Raw!$C$4:$C$5003,"Invoice",Xero_Raw!$D$4:$D$5003,$A13,Xero_Raw!$I$4:$I$5003,"Paid")</f>
        <v>0</v>
      </c>
      <c r="C13" s="77" t="n">
        <f aca="false">SUMIFS(Xero_Raw!$H$4:$H$5003,Xero_Raw!$C$4:$C$5003,"Invoice",Xero_Raw!$D$4:$D$5003,$A13,Xero_Raw!$I$4:$I$5003,"Awaiting Payment")</f>
        <v>42402.31</v>
      </c>
      <c r="D13" s="77" t="n">
        <f aca="false">SUMIFS(Xero_Raw!$H$4:$H$5003,Xero_Raw!$C$4:$C$5003,"Invoice",Xero_Raw!$D$4:$D$5003,$A13,Xero_Raw!$I$4:$I$5003,"Overdue")</f>
        <v>0</v>
      </c>
      <c r="E13" s="77" t="n">
        <f aca="false">SUMIFS(Xero_Raw!$H$4:$H$5003,Xero_Raw!$C$4:$C$5003,"Invoice",Xero_Raw!$D$4:$D$5003,$A13,Xero_Raw!$I$4:$I$5003,"Draft")</f>
        <v>9674.09</v>
      </c>
      <c r="F13" s="77" t="n">
        <f aca="false">SUMIFS(Xero_Raw!$H$4:$H$5003,Xero_Raw!$C$4:$C$5003,"Invoice",Xero_Raw!$D$4:$D$5003,$A13,Xero_Raw!$I$4:$I$5003,"Void")</f>
        <v>0</v>
      </c>
      <c r="G13" s="77" t="n">
        <f aca="false">SUMIFS(Xero_Raw!$H$4:$H$5003,Xero_Raw!$C$4:$C$5003,"Invoice",Xero_Raw!$D$4:$D$5003,$A13,Xero_Raw!$I$4:$I$5003,"Unsent")</f>
        <v>0</v>
      </c>
      <c r="H13" s="74" t="n">
        <f aca="false">B13+C13+D13</f>
        <v>42402.31</v>
      </c>
    </row>
    <row r="14" customFormat="false" ht="15" hidden="false" customHeight="true" outlineLevel="0" collapsed="false">
      <c r="A14" s="37" t="s">
        <v>166</v>
      </c>
      <c r="B14" s="77" t="n">
        <f aca="false">SUMIFS(Xero_Raw!$H$4:$H$5003,Xero_Raw!$C$4:$C$5003,"Invoice",Xero_Raw!$D$4:$D$5003,$A14,Xero_Raw!$I$4:$I$5003,"Paid")</f>
        <v>10978.22</v>
      </c>
      <c r="C14" s="77" t="n">
        <f aca="false">SUMIFS(Xero_Raw!$H$4:$H$5003,Xero_Raw!$C$4:$C$5003,"Invoice",Xero_Raw!$D$4:$D$5003,$A14,Xero_Raw!$I$4:$I$5003,"Awaiting Payment")</f>
        <v>0</v>
      </c>
      <c r="D14" s="77" t="n">
        <f aca="false">SUMIFS(Xero_Raw!$H$4:$H$5003,Xero_Raw!$C$4:$C$5003,"Invoice",Xero_Raw!$D$4:$D$5003,$A14,Xero_Raw!$I$4:$I$5003,"Overdue")</f>
        <v>37477.31</v>
      </c>
      <c r="E14" s="77" t="n">
        <f aca="false">SUMIFS(Xero_Raw!$H$4:$H$5003,Xero_Raw!$C$4:$C$5003,"Invoice",Xero_Raw!$D$4:$D$5003,$A14,Xero_Raw!$I$4:$I$5003,"Draft")</f>
        <v>0</v>
      </c>
      <c r="F14" s="77" t="n">
        <f aca="false">SUMIFS(Xero_Raw!$H$4:$H$5003,Xero_Raw!$C$4:$C$5003,"Invoice",Xero_Raw!$D$4:$D$5003,$A14,Xero_Raw!$I$4:$I$5003,"Void")</f>
        <v>0</v>
      </c>
      <c r="G14" s="77" t="n">
        <f aca="false">SUMIFS(Xero_Raw!$H$4:$H$5003,Xero_Raw!$C$4:$C$5003,"Invoice",Xero_Raw!$D$4:$D$5003,$A14,Xero_Raw!$I$4:$I$5003,"Unsent")</f>
        <v>0</v>
      </c>
      <c r="H14" s="74" t="n">
        <f aca="false">B14+C14+D14</f>
        <v>48455.53</v>
      </c>
    </row>
    <row r="15" customFormat="false" ht="15" hidden="false" customHeight="true" outlineLevel="0" collapsed="false">
      <c r="A15" s="37" t="s">
        <v>156</v>
      </c>
      <c r="B15" s="77" t="n">
        <f aca="false">SUMIFS(Xero_Raw!$H$4:$H$5003,Xero_Raw!$C$4:$C$5003,"Invoice",Xero_Raw!$D$4:$D$5003,$A15,Xero_Raw!$I$4:$I$5003,"Paid")</f>
        <v>0</v>
      </c>
      <c r="C15" s="77" t="n">
        <f aca="false">SUMIFS(Xero_Raw!$H$4:$H$5003,Xero_Raw!$C$4:$C$5003,"Invoice",Xero_Raw!$D$4:$D$5003,$A15,Xero_Raw!$I$4:$I$5003,"Awaiting Payment")</f>
        <v>36482.11</v>
      </c>
      <c r="D15" s="77" t="n">
        <f aca="false">SUMIFS(Xero_Raw!$H$4:$H$5003,Xero_Raw!$C$4:$C$5003,"Invoice",Xero_Raw!$D$4:$D$5003,$A15,Xero_Raw!$I$4:$I$5003,"Overdue")</f>
        <v>25418.98</v>
      </c>
      <c r="E15" s="77" t="n">
        <f aca="false">SUMIFS(Xero_Raw!$H$4:$H$5003,Xero_Raw!$C$4:$C$5003,"Invoice",Xero_Raw!$D$4:$D$5003,$A15,Xero_Raw!$I$4:$I$5003,"Draft")</f>
        <v>0</v>
      </c>
      <c r="F15" s="77" t="n">
        <f aca="false">SUMIFS(Xero_Raw!$H$4:$H$5003,Xero_Raw!$C$4:$C$5003,"Invoice",Xero_Raw!$D$4:$D$5003,$A15,Xero_Raw!$I$4:$I$5003,"Void")</f>
        <v>16093.84</v>
      </c>
      <c r="G15" s="77" t="n">
        <f aca="false">SUMIFS(Xero_Raw!$H$4:$H$5003,Xero_Raw!$C$4:$C$5003,"Invoice",Xero_Raw!$D$4:$D$5003,$A15,Xero_Raw!$I$4:$I$5003,"Unsent")</f>
        <v>0</v>
      </c>
      <c r="H15" s="74" t="n">
        <f aca="false">B15+C15+D15</f>
        <v>61901.09</v>
      </c>
    </row>
    <row r="16" customFormat="false" ht="15" hidden="false" customHeight="true" outlineLevel="0" collapsed="false">
      <c r="A16" s="37" t="s">
        <v>136</v>
      </c>
      <c r="B16" s="77" t="n">
        <f aca="false">SUMIFS(Xero_Raw!$H$4:$H$5003,Xero_Raw!$C$4:$C$5003,"Invoice",Xero_Raw!$D$4:$D$5003,$A16,Xero_Raw!$I$4:$I$5003,"Paid")</f>
        <v>0</v>
      </c>
      <c r="C16" s="77" t="n">
        <f aca="false">SUMIFS(Xero_Raw!$H$4:$H$5003,Xero_Raw!$C$4:$C$5003,"Invoice",Xero_Raw!$D$4:$D$5003,$A16,Xero_Raw!$I$4:$I$5003,"Awaiting Payment")</f>
        <v>40736.07</v>
      </c>
      <c r="D16" s="77" t="n">
        <f aca="false">SUMIFS(Xero_Raw!$H$4:$H$5003,Xero_Raw!$C$4:$C$5003,"Invoice",Xero_Raw!$D$4:$D$5003,$A16,Xero_Raw!$I$4:$I$5003,"Overdue")</f>
        <v>17339.02</v>
      </c>
      <c r="E16" s="77" t="n">
        <f aca="false">SUMIFS(Xero_Raw!$H$4:$H$5003,Xero_Raw!$C$4:$C$5003,"Invoice",Xero_Raw!$D$4:$D$5003,$A16,Xero_Raw!$I$4:$I$5003,"Draft")</f>
        <v>0</v>
      </c>
      <c r="F16" s="77" t="n">
        <f aca="false">SUMIFS(Xero_Raw!$H$4:$H$5003,Xero_Raw!$C$4:$C$5003,"Invoice",Xero_Raw!$D$4:$D$5003,$A16,Xero_Raw!$I$4:$I$5003,"Void")</f>
        <v>0</v>
      </c>
      <c r="G16" s="77" t="n">
        <f aca="false">SUMIFS(Xero_Raw!$H$4:$H$5003,Xero_Raw!$C$4:$C$5003,"Invoice",Xero_Raw!$D$4:$D$5003,$A16,Xero_Raw!$I$4:$I$5003,"Unsent")</f>
        <v>5515.54</v>
      </c>
      <c r="H16" s="74" t="n">
        <f aca="false">B16+C16+D16</f>
        <v>58075.09</v>
      </c>
    </row>
    <row r="17" customFormat="false" ht="15" hidden="false" customHeight="true" outlineLevel="0" collapsed="false">
      <c r="A17" s="37" t="s">
        <v>164</v>
      </c>
      <c r="B17" s="77" t="n">
        <f aca="false">SUMIFS(Xero_Raw!$H$4:$H$5003,Xero_Raw!$C$4:$C$5003,"Invoice",Xero_Raw!$D$4:$D$5003,$A17,Xero_Raw!$I$4:$I$5003,"Paid")</f>
        <v>0</v>
      </c>
      <c r="C17" s="77" t="n">
        <f aca="false">SUMIFS(Xero_Raw!$H$4:$H$5003,Xero_Raw!$C$4:$C$5003,"Invoice",Xero_Raw!$D$4:$D$5003,$A17,Xero_Raw!$I$4:$I$5003,"Awaiting Payment")</f>
        <v>17796.2</v>
      </c>
      <c r="D17" s="77" t="n">
        <f aca="false">SUMIFS(Xero_Raw!$H$4:$H$5003,Xero_Raw!$C$4:$C$5003,"Invoice",Xero_Raw!$D$4:$D$5003,$A17,Xero_Raw!$I$4:$I$5003,"Overdue")</f>
        <v>41874.83</v>
      </c>
      <c r="E17" s="77" t="n">
        <f aca="false">SUMIFS(Xero_Raw!$H$4:$H$5003,Xero_Raw!$C$4:$C$5003,"Invoice",Xero_Raw!$D$4:$D$5003,$A17,Xero_Raw!$I$4:$I$5003,"Draft")</f>
        <v>0</v>
      </c>
      <c r="F17" s="77" t="n">
        <f aca="false">SUMIFS(Xero_Raw!$H$4:$H$5003,Xero_Raw!$C$4:$C$5003,"Invoice",Xero_Raw!$D$4:$D$5003,$A17,Xero_Raw!$I$4:$I$5003,"Void")</f>
        <v>0</v>
      </c>
      <c r="G17" s="77" t="n">
        <f aca="false">SUMIFS(Xero_Raw!$H$4:$H$5003,Xero_Raw!$C$4:$C$5003,"Invoice",Xero_Raw!$D$4:$D$5003,$A17,Xero_Raw!$I$4:$I$5003,"Unsent")</f>
        <v>0</v>
      </c>
      <c r="H17" s="74" t="n">
        <f aca="false">B17+C17+D17</f>
        <v>59671.03</v>
      </c>
    </row>
    <row r="18" customFormat="false" ht="15" hidden="false" customHeight="true" outlineLevel="0" collapsed="false">
      <c r="A18" s="75" t="s">
        <v>477</v>
      </c>
      <c r="B18" s="76" t="n">
        <f aca="false">SUM(B6:B17)</f>
        <v>63080.75</v>
      </c>
      <c r="C18" s="76" t="n">
        <f aca="false">SUM(C6:C17)</f>
        <v>137416.69</v>
      </c>
      <c r="D18" s="76" t="n">
        <f aca="false">SUM(D6:D17)</f>
        <v>181856.02</v>
      </c>
      <c r="E18" s="76" t="n">
        <f aca="false">SUM(E6:E17)</f>
        <v>54527.26</v>
      </c>
      <c r="F18" s="76" t="n">
        <f aca="false">SUM(F6:F17)</f>
        <v>52548.26</v>
      </c>
      <c r="G18" s="76" t="n">
        <f aca="false">SUM(G6:G17)</f>
        <v>57618.07</v>
      </c>
      <c r="H18" s="76" t="n">
        <f aca="false">SUM(H6:H17)</f>
        <v>382353.46</v>
      </c>
    </row>
    <row r="20" customFormat="false" ht="15" hidden="false" customHeight="true" outlineLevel="0" collapsed="false">
      <c r="A20" s="28" t="s">
        <v>573</v>
      </c>
    </row>
    <row r="21" customFormat="false" ht="24" hidden="false" customHeight="true" outlineLevel="0" collapsed="false">
      <c r="A21" s="86" t="s">
        <v>127</v>
      </c>
      <c r="B21" s="86" t="s">
        <v>140</v>
      </c>
      <c r="C21" s="86" t="s">
        <v>515</v>
      </c>
      <c r="D21" s="86" t="s">
        <v>201</v>
      </c>
      <c r="E21" s="86" t="s">
        <v>205</v>
      </c>
      <c r="F21" s="86" t="s">
        <v>521</v>
      </c>
      <c r="G21" s="86" t="s">
        <v>572</v>
      </c>
    </row>
    <row r="22" customFormat="false" ht="15" hidden="false" customHeight="true" outlineLevel="0" collapsed="false">
      <c r="A22" s="37" t="s">
        <v>168</v>
      </c>
      <c r="B22" s="77" t="n">
        <f aca="false">SUMIFS(Stripe_Invoices_Upload!$F$4:$F$5003,Stripe_Invoices_Upload!$D$4:$D$5003,$A22,Stripe_Invoices_Upload!$G$4:$G$5003,"Paid")</f>
        <v>14405.37</v>
      </c>
      <c r="C22" s="77" t="n">
        <f aca="false">SUMIFS(Stripe_Invoices_Upload!$F$4:$F$5003,Stripe_Invoices_Upload!$D$4:$D$5003,$A22,Stripe_Invoices_Upload!$G$4:$G$5003,"Open")</f>
        <v>0</v>
      </c>
      <c r="D22" s="77" t="n">
        <f aca="false">SUMIFS(Stripe_Invoices_Upload!$F$4:$F$5003,Stripe_Invoices_Upload!$D$4:$D$5003,$A22,Stripe_Invoices_Upload!$G$4:$G$5003,"Draft")</f>
        <v>0</v>
      </c>
      <c r="E22" s="77" t="n">
        <f aca="false">SUMIFS(Stripe_Invoices_Upload!$F$4:$F$5003,Stripe_Invoices_Upload!$D$4:$D$5003,$A22,Stripe_Invoices_Upload!$G$4:$G$5003,"Void")</f>
        <v>0</v>
      </c>
      <c r="F22" s="77" t="n">
        <f aca="false">SUMIFS(Stripe_Invoices_Upload!$F$4:$F$5003,Stripe_Invoices_Upload!$D$4:$D$5003,$A22,Stripe_Invoices_Upload!$G$4:$G$5003,"Uncollectible")</f>
        <v>0</v>
      </c>
      <c r="G22" s="74" t="n">
        <f aca="false">B22+C22</f>
        <v>14405.37</v>
      </c>
    </row>
    <row r="23" customFormat="false" ht="15" hidden="false" customHeight="true" outlineLevel="0" collapsed="false">
      <c r="A23" s="37" t="s">
        <v>144</v>
      </c>
      <c r="B23" s="77" t="n">
        <f aca="false">SUMIFS(Stripe_Invoices_Upload!$F$4:$F$5003,Stripe_Invoices_Upload!$D$4:$D$5003,$A23,Stripe_Invoices_Upload!$G$4:$G$5003,"Paid")</f>
        <v>0</v>
      </c>
      <c r="C23" s="77" t="n">
        <f aca="false">SUMIFS(Stripe_Invoices_Upload!$F$4:$F$5003,Stripe_Invoices_Upload!$D$4:$D$5003,$A23,Stripe_Invoices_Upload!$G$4:$G$5003,"Open")</f>
        <v>3063.34</v>
      </c>
      <c r="D23" s="77" t="n">
        <f aca="false">SUMIFS(Stripe_Invoices_Upload!$F$4:$F$5003,Stripe_Invoices_Upload!$D$4:$D$5003,$A23,Stripe_Invoices_Upload!$G$4:$G$5003,"Draft")</f>
        <v>758.82</v>
      </c>
      <c r="E23" s="77" t="n">
        <f aca="false">SUMIFS(Stripe_Invoices_Upload!$F$4:$F$5003,Stripe_Invoices_Upload!$D$4:$D$5003,$A23,Stripe_Invoices_Upload!$G$4:$G$5003,"Void")</f>
        <v>7432.23</v>
      </c>
      <c r="F23" s="77" t="n">
        <f aca="false">SUMIFS(Stripe_Invoices_Upload!$F$4:$F$5003,Stripe_Invoices_Upload!$D$4:$D$5003,$A23,Stripe_Invoices_Upload!$G$4:$G$5003,"Uncollectible")</f>
        <v>0</v>
      </c>
      <c r="G23" s="74" t="n">
        <f aca="false">B23+C23</f>
        <v>3063.34</v>
      </c>
    </row>
    <row r="24" customFormat="false" ht="15" hidden="false" customHeight="true" outlineLevel="0" collapsed="false">
      <c r="A24" s="37" t="s">
        <v>141</v>
      </c>
      <c r="B24" s="77" t="n">
        <f aca="false">SUMIFS(Stripe_Invoices_Upload!$F$4:$F$5003,Stripe_Invoices_Upload!$D$4:$D$5003,$A24,Stripe_Invoices_Upload!$G$4:$G$5003,"Paid")</f>
        <v>0</v>
      </c>
      <c r="C24" s="77" t="n">
        <f aca="false">SUMIFS(Stripe_Invoices_Upload!$F$4:$F$5003,Stripe_Invoices_Upload!$D$4:$D$5003,$A24,Stripe_Invoices_Upload!$G$4:$G$5003,"Open")</f>
        <v>0</v>
      </c>
      <c r="D24" s="77" t="n">
        <f aca="false">SUMIFS(Stripe_Invoices_Upload!$F$4:$F$5003,Stripe_Invoices_Upload!$D$4:$D$5003,$A24,Stripe_Invoices_Upload!$G$4:$G$5003,"Draft")</f>
        <v>0</v>
      </c>
      <c r="E24" s="77" t="n">
        <f aca="false">SUMIFS(Stripe_Invoices_Upload!$F$4:$F$5003,Stripe_Invoices_Upload!$D$4:$D$5003,$A24,Stripe_Invoices_Upload!$G$4:$G$5003,"Void")</f>
        <v>0</v>
      </c>
      <c r="F24" s="77" t="n">
        <f aca="false">SUMIFS(Stripe_Invoices_Upload!$F$4:$F$5003,Stripe_Invoices_Upload!$D$4:$D$5003,$A24,Stripe_Invoices_Upload!$G$4:$G$5003,"Uncollectible")</f>
        <v>7115.41</v>
      </c>
      <c r="G24" s="74" t="n">
        <f aca="false">B24+C24</f>
        <v>0</v>
      </c>
    </row>
    <row r="25" customFormat="false" ht="15" hidden="false" customHeight="true" outlineLevel="0" collapsed="false">
      <c r="A25" s="37" t="s">
        <v>147</v>
      </c>
      <c r="B25" s="77" t="n">
        <f aca="false">SUMIFS(Stripe_Invoices_Upload!$F$4:$F$5003,Stripe_Invoices_Upload!$D$4:$D$5003,$A25,Stripe_Invoices_Upload!$G$4:$G$5003,"Paid")</f>
        <v>5555.12</v>
      </c>
      <c r="C25" s="77" t="n">
        <f aca="false">SUMIFS(Stripe_Invoices_Upload!$F$4:$F$5003,Stripe_Invoices_Upload!$D$4:$D$5003,$A25,Stripe_Invoices_Upload!$G$4:$G$5003,"Open")</f>
        <v>0</v>
      </c>
      <c r="D25" s="77" t="n">
        <f aca="false">SUMIFS(Stripe_Invoices_Upload!$F$4:$F$5003,Stripe_Invoices_Upload!$D$4:$D$5003,$A25,Stripe_Invoices_Upload!$G$4:$G$5003,"Draft")</f>
        <v>0</v>
      </c>
      <c r="E25" s="77" t="n">
        <f aca="false">SUMIFS(Stripe_Invoices_Upload!$F$4:$F$5003,Stripe_Invoices_Upload!$D$4:$D$5003,$A25,Stripe_Invoices_Upload!$G$4:$G$5003,"Void")</f>
        <v>0</v>
      </c>
      <c r="F25" s="77" t="n">
        <f aca="false">SUMIFS(Stripe_Invoices_Upload!$F$4:$F$5003,Stripe_Invoices_Upload!$D$4:$D$5003,$A25,Stripe_Invoices_Upload!$G$4:$G$5003,"Uncollectible")</f>
        <v>0</v>
      </c>
      <c r="G25" s="74" t="n">
        <f aca="false">B25+C25</f>
        <v>5555.12</v>
      </c>
    </row>
    <row r="26" customFormat="false" ht="15" hidden="false" customHeight="true" outlineLevel="0" collapsed="false">
      <c r="A26" s="37" t="s">
        <v>150</v>
      </c>
      <c r="B26" s="77" t="n">
        <f aca="false">SUMIFS(Stripe_Invoices_Upload!$F$4:$F$5003,Stripe_Invoices_Upload!$D$4:$D$5003,$A26,Stripe_Invoices_Upload!$G$4:$G$5003,"Paid")</f>
        <v>0</v>
      </c>
      <c r="C26" s="77" t="n">
        <f aca="false">SUMIFS(Stripe_Invoices_Upload!$F$4:$F$5003,Stripe_Invoices_Upload!$D$4:$D$5003,$A26,Stripe_Invoices_Upload!$G$4:$G$5003,"Open")</f>
        <v>12447.48</v>
      </c>
      <c r="D26" s="77" t="n">
        <f aca="false">SUMIFS(Stripe_Invoices_Upload!$F$4:$F$5003,Stripe_Invoices_Upload!$D$4:$D$5003,$A26,Stripe_Invoices_Upload!$G$4:$G$5003,"Draft")</f>
        <v>3472.78</v>
      </c>
      <c r="E26" s="77" t="n">
        <f aca="false">SUMIFS(Stripe_Invoices_Upload!$F$4:$F$5003,Stripe_Invoices_Upload!$D$4:$D$5003,$A26,Stripe_Invoices_Upload!$G$4:$G$5003,"Void")</f>
        <v>0</v>
      </c>
      <c r="F26" s="77" t="n">
        <f aca="false">SUMIFS(Stripe_Invoices_Upload!$F$4:$F$5003,Stripe_Invoices_Upload!$D$4:$D$5003,$A26,Stripe_Invoices_Upload!$G$4:$G$5003,"Uncollectible")</f>
        <v>5647.09</v>
      </c>
      <c r="G26" s="74" t="n">
        <f aca="false">B26+C26</f>
        <v>12447.48</v>
      </c>
    </row>
    <row r="27" customFormat="false" ht="15" hidden="false" customHeight="true" outlineLevel="0" collapsed="false">
      <c r="A27" s="37" t="s">
        <v>152</v>
      </c>
      <c r="B27" s="77" t="n">
        <f aca="false">SUMIFS(Stripe_Invoices_Upload!$F$4:$F$5003,Stripe_Invoices_Upload!$D$4:$D$5003,$A27,Stripe_Invoices_Upload!$G$4:$G$5003,"Paid")</f>
        <v>6459.5</v>
      </c>
      <c r="C27" s="77" t="n">
        <f aca="false">SUMIFS(Stripe_Invoices_Upload!$F$4:$F$5003,Stripe_Invoices_Upload!$D$4:$D$5003,$A27,Stripe_Invoices_Upload!$G$4:$G$5003,"Open")</f>
        <v>8923.66</v>
      </c>
      <c r="D27" s="77" t="n">
        <f aca="false">SUMIFS(Stripe_Invoices_Upload!$F$4:$F$5003,Stripe_Invoices_Upload!$D$4:$D$5003,$A27,Stripe_Invoices_Upload!$G$4:$G$5003,"Draft")</f>
        <v>0</v>
      </c>
      <c r="E27" s="77" t="n">
        <f aca="false">SUMIFS(Stripe_Invoices_Upload!$F$4:$F$5003,Stripe_Invoices_Upload!$D$4:$D$5003,$A27,Stripe_Invoices_Upload!$G$4:$G$5003,"Void")</f>
        <v>0</v>
      </c>
      <c r="F27" s="77" t="n">
        <f aca="false">SUMIFS(Stripe_Invoices_Upload!$F$4:$F$5003,Stripe_Invoices_Upload!$D$4:$D$5003,$A27,Stripe_Invoices_Upload!$G$4:$G$5003,"Uncollectible")</f>
        <v>0</v>
      </c>
      <c r="G27" s="74" t="n">
        <f aca="false">B27+C27</f>
        <v>15383.16</v>
      </c>
    </row>
    <row r="28" customFormat="false" ht="15" hidden="false" customHeight="true" outlineLevel="0" collapsed="false">
      <c r="A28" s="37" t="s">
        <v>178</v>
      </c>
      <c r="B28" s="77" t="n">
        <f aca="false">SUMIFS(Stripe_Invoices_Upload!$F$4:$F$5003,Stripe_Invoices_Upload!$D$4:$D$5003,$A28,Stripe_Invoices_Upload!$G$4:$G$5003,"Paid")</f>
        <v>4247.04</v>
      </c>
      <c r="C28" s="77" t="n">
        <f aca="false">SUMIFS(Stripe_Invoices_Upload!$F$4:$F$5003,Stripe_Invoices_Upload!$D$4:$D$5003,$A28,Stripe_Invoices_Upload!$G$4:$G$5003,"Open")</f>
        <v>12302.98</v>
      </c>
      <c r="D28" s="77" t="n">
        <f aca="false">SUMIFS(Stripe_Invoices_Upload!$F$4:$F$5003,Stripe_Invoices_Upload!$D$4:$D$5003,$A28,Stripe_Invoices_Upload!$G$4:$G$5003,"Draft")</f>
        <v>2323.41</v>
      </c>
      <c r="E28" s="77" t="n">
        <f aca="false">SUMIFS(Stripe_Invoices_Upload!$F$4:$F$5003,Stripe_Invoices_Upload!$D$4:$D$5003,$A28,Stripe_Invoices_Upload!$G$4:$G$5003,"Void")</f>
        <v>0</v>
      </c>
      <c r="F28" s="77" t="n">
        <f aca="false">SUMIFS(Stripe_Invoices_Upload!$F$4:$F$5003,Stripe_Invoices_Upload!$D$4:$D$5003,$A28,Stripe_Invoices_Upload!$G$4:$G$5003,"Uncollectible")</f>
        <v>0</v>
      </c>
      <c r="G28" s="74" t="n">
        <f aca="false">B28+C28</f>
        <v>16550.02</v>
      </c>
    </row>
    <row r="29" customFormat="false" ht="15" hidden="false" customHeight="true" outlineLevel="0" collapsed="false">
      <c r="A29" s="37" t="s">
        <v>202</v>
      </c>
      <c r="B29" s="77" t="n">
        <f aca="false">SUMIFS(Stripe_Invoices_Upload!$F$4:$F$5003,Stripe_Invoices_Upload!$D$4:$D$5003,$A29,Stripe_Invoices_Upload!$G$4:$G$5003,"Paid")</f>
        <v>0</v>
      </c>
      <c r="C29" s="77" t="n">
        <f aca="false">SUMIFS(Stripe_Invoices_Upload!$F$4:$F$5003,Stripe_Invoices_Upload!$D$4:$D$5003,$A29,Stripe_Invoices_Upload!$G$4:$G$5003,"Open")</f>
        <v>0</v>
      </c>
      <c r="D29" s="77" t="n">
        <f aca="false">SUMIFS(Stripe_Invoices_Upload!$F$4:$F$5003,Stripe_Invoices_Upload!$D$4:$D$5003,$A29,Stripe_Invoices_Upload!$G$4:$G$5003,"Draft")</f>
        <v>0</v>
      </c>
      <c r="E29" s="77" t="n">
        <f aca="false">SUMIFS(Stripe_Invoices_Upload!$F$4:$F$5003,Stripe_Invoices_Upload!$D$4:$D$5003,$A29,Stripe_Invoices_Upload!$G$4:$G$5003,"Void")</f>
        <v>0</v>
      </c>
      <c r="F29" s="77" t="n">
        <f aca="false">SUMIFS(Stripe_Invoices_Upload!$F$4:$F$5003,Stripe_Invoices_Upload!$D$4:$D$5003,$A29,Stripe_Invoices_Upload!$G$4:$G$5003,"Uncollectible")</f>
        <v>0</v>
      </c>
      <c r="G29" s="74" t="n">
        <f aca="false">B29+C29</f>
        <v>0</v>
      </c>
    </row>
    <row r="30" customFormat="false" ht="15" hidden="false" customHeight="true" outlineLevel="0" collapsed="false">
      <c r="A30" s="37" t="s">
        <v>166</v>
      </c>
      <c r="B30" s="77" t="n">
        <f aca="false">SUMIFS(Stripe_Invoices_Upload!$F$4:$F$5003,Stripe_Invoices_Upload!$D$4:$D$5003,$A30,Stripe_Invoices_Upload!$G$4:$G$5003,"Paid")</f>
        <v>0</v>
      </c>
      <c r="C30" s="77" t="n">
        <f aca="false">SUMIFS(Stripe_Invoices_Upload!$F$4:$F$5003,Stripe_Invoices_Upload!$D$4:$D$5003,$A30,Stripe_Invoices_Upload!$G$4:$G$5003,"Open")</f>
        <v>0</v>
      </c>
      <c r="D30" s="77" t="n">
        <f aca="false">SUMIFS(Stripe_Invoices_Upload!$F$4:$F$5003,Stripe_Invoices_Upload!$D$4:$D$5003,$A30,Stripe_Invoices_Upload!$G$4:$G$5003,"Draft")</f>
        <v>0</v>
      </c>
      <c r="E30" s="77" t="n">
        <f aca="false">SUMIFS(Stripe_Invoices_Upload!$F$4:$F$5003,Stripe_Invoices_Upload!$D$4:$D$5003,$A30,Stripe_Invoices_Upload!$G$4:$G$5003,"Void")</f>
        <v>0</v>
      </c>
      <c r="F30" s="77" t="n">
        <f aca="false">SUMIFS(Stripe_Invoices_Upload!$F$4:$F$5003,Stripe_Invoices_Upload!$D$4:$D$5003,$A30,Stripe_Invoices_Upload!$G$4:$G$5003,"Uncollectible")</f>
        <v>0</v>
      </c>
      <c r="G30" s="74" t="n">
        <f aca="false">B30+C30</f>
        <v>0</v>
      </c>
    </row>
    <row r="31" customFormat="false" ht="15" hidden="false" customHeight="true" outlineLevel="0" collapsed="false">
      <c r="A31" s="37" t="s">
        <v>156</v>
      </c>
      <c r="B31" s="77" t="n">
        <f aca="false">SUMIFS(Stripe_Invoices_Upload!$F$4:$F$5003,Stripe_Invoices_Upload!$D$4:$D$5003,$A31,Stripe_Invoices_Upload!$G$4:$G$5003,"Paid")</f>
        <v>0</v>
      </c>
      <c r="C31" s="77" t="n">
        <f aca="false">SUMIFS(Stripe_Invoices_Upload!$F$4:$F$5003,Stripe_Invoices_Upload!$D$4:$D$5003,$A31,Stripe_Invoices_Upload!$G$4:$G$5003,"Open")</f>
        <v>0</v>
      </c>
      <c r="D31" s="77" t="n">
        <f aca="false">SUMIFS(Stripe_Invoices_Upload!$F$4:$F$5003,Stripe_Invoices_Upload!$D$4:$D$5003,$A31,Stripe_Invoices_Upload!$G$4:$G$5003,"Draft")</f>
        <v>0</v>
      </c>
      <c r="E31" s="77" t="n">
        <f aca="false">SUMIFS(Stripe_Invoices_Upload!$F$4:$F$5003,Stripe_Invoices_Upload!$D$4:$D$5003,$A31,Stripe_Invoices_Upload!$G$4:$G$5003,"Void")</f>
        <v>0</v>
      </c>
      <c r="F31" s="77" t="n">
        <f aca="false">SUMIFS(Stripe_Invoices_Upload!$F$4:$F$5003,Stripe_Invoices_Upload!$D$4:$D$5003,$A31,Stripe_Invoices_Upload!$G$4:$G$5003,"Uncollectible")</f>
        <v>0</v>
      </c>
      <c r="G31" s="74" t="n">
        <f aca="false">B31+C31</f>
        <v>0</v>
      </c>
    </row>
    <row r="32" customFormat="false" ht="15" hidden="false" customHeight="true" outlineLevel="0" collapsed="false">
      <c r="A32" s="37" t="s">
        <v>136</v>
      </c>
      <c r="B32" s="77" t="n">
        <f aca="false">SUMIFS(Stripe_Invoices_Upload!$F$4:$F$5003,Stripe_Invoices_Upload!$D$4:$D$5003,$A32,Stripe_Invoices_Upload!$G$4:$G$5003,"Paid")</f>
        <v>0</v>
      </c>
      <c r="C32" s="77" t="n">
        <f aca="false">SUMIFS(Stripe_Invoices_Upload!$F$4:$F$5003,Stripe_Invoices_Upload!$D$4:$D$5003,$A32,Stripe_Invoices_Upload!$G$4:$G$5003,"Open")</f>
        <v>0</v>
      </c>
      <c r="D32" s="77" t="n">
        <f aca="false">SUMIFS(Stripe_Invoices_Upload!$F$4:$F$5003,Stripe_Invoices_Upload!$D$4:$D$5003,$A32,Stripe_Invoices_Upload!$G$4:$G$5003,"Draft")</f>
        <v>0</v>
      </c>
      <c r="E32" s="77" t="n">
        <f aca="false">SUMIFS(Stripe_Invoices_Upload!$F$4:$F$5003,Stripe_Invoices_Upload!$D$4:$D$5003,$A32,Stripe_Invoices_Upload!$G$4:$G$5003,"Void")</f>
        <v>0</v>
      </c>
      <c r="F32" s="77" t="n">
        <f aca="false">SUMIFS(Stripe_Invoices_Upload!$F$4:$F$5003,Stripe_Invoices_Upload!$D$4:$D$5003,$A32,Stripe_Invoices_Upload!$G$4:$G$5003,"Uncollectible")</f>
        <v>0</v>
      </c>
      <c r="G32" s="74" t="n">
        <f aca="false">B32+C32</f>
        <v>0</v>
      </c>
    </row>
    <row r="33" customFormat="false" ht="15" hidden="false" customHeight="true" outlineLevel="0" collapsed="false">
      <c r="A33" s="37" t="s">
        <v>164</v>
      </c>
      <c r="B33" s="77" t="n">
        <f aca="false">SUMIFS(Stripe_Invoices_Upload!$F$4:$F$5003,Stripe_Invoices_Upload!$D$4:$D$5003,$A33,Stripe_Invoices_Upload!$G$4:$G$5003,"Paid")</f>
        <v>0</v>
      </c>
      <c r="C33" s="77" t="n">
        <f aca="false">SUMIFS(Stripe_Invoices_Upload!$F$4:$F$5003,Stripe_Invoices_Upload!$D$4:$D$5003,$A33,Stripe_Invoices_Upload!$G$4:$G$5003,"Open")</f>
        <v>0</v>
      </c>
      <c r="D33" s="77" t="n">
        <f aca="false">SUMIFS(Stripe_Invoices_Upload!$F$4:$F$5003,Stripe_Invoices_Upload!$D$4:$D$5003,$A33,Stripe_Invoices_Upload!$G$4:$G$5003,"Draft")</f>
        <v>0</v>
      </c>
      <c r="E33" s="77" t="n">
        <f aca="false">SUMIFS(Stripe_Invoices_Upload!$F$4:$F$5003,Stripe_Invoices_Upload!$D$4:$D$5003,$A33,Stripe_Invoices_Upload!$G$4:$G$5003,"Void")</f>
        <v>0</v>
      </c>
      <c r="F33" s="77" t="n">
        <f aca="false">SUMIFS(Stripe_Invoices_Upload!$F$4:$F$5003,Stripe_Invoices_Upload!$D$4:$D$5003,$A33,Stripe_Invoices_Upload!$G$4:$G$5003,"Uncollectible")</f>
        <v>0</v>
      </c>
      <c r="G33" s="74" t="n">
        <f aca="false">B33+C33</f>
        <v>0</v>
      </c>
    </row>
    <row r="34" customFormat="false" ht="15" hidden="false" customHeight="true" outlineLevel="0" collapsed="false">
      <c r="A34" s="75" t="s">
        <v>477</v>
      </c>
      <c r="B34" s="76" t="n">
        <f aca="false">SUM(B22:B33)</f>
        <v>30667.03</v>
      </c>
      <c r="C34" s="76" t="n">
        <f aca="false">SUM(C22:C33)</f>
        <v>36737.46</v>
      </c>
      <c r="D34" s="76" t="n">
        <f aca="false">SUM(D22:D33)</f>
        <v>6555.01</v>
      </c>
      <c r="E34" s="76" t="n">
        <f aca="false">SUM(E22:E33)</f>
        <v>7432.23</v>
      </c>
      <c r="F34" s="76" t="n">
        <f aca="false">SUM(F22:F33)</f>
        <v>12762.5</v>
      </c>
      <c r="G34" s="76" t="n">
        <f aca="false">SUM(G22:G33)</f>
        <v>67404.49</v>
      </c>
    </row>
    <row r="36" customFormat="false" ht="15" hidden="false" customHeight="true" outlineLevel="0" collapsed="false">
      <c r="A36" s="28" t="s">
        <v>574</v>
      </c>
    </row>
    <row r="37" customFormat="false" ht="24" hidden="false" customHeight="true" outlineLevel="0" collapsed="false">
      <c r="A37" s="85" t="s">
        <v>127</v>
      </c>
      <c r="B37" s="85" t="s">
        <v>575</v>
      </c>
      <c r="C37" s="85" t="s">
        <v>576</v>
      </c>
      <c r="D37" s="85" t="s">
        <v>577</v>
      </c>
      <c r="E37" s="85" t="s">
        <v>578</v>
      </c>
      <c r="F37" s="85" t="s">
        <v>579</v>
      </c>
      <c r="G37" s="85" t="s">
        <v>580</v>
      </c>
    </row>
    <row r="38" customFormat="false" ht="15" hidden="false" customHeight="true" outlineLevel="0" collapsed="false">
      <c r="A38" s="37" t="s">
        <v>168</v>
      </c>
      <c r="B38" s="87" t="n">
        <f aca="false">COUNTIFS(Xero_Raw!$C$4:$C$5003,"Invoice",Xero_Raw!$D$4:$D$5003,$A38,Xero_Raw!$I$4:$I$5003,"Paid")</f>
        <v>2</v>
      </c>
      <c r="C38" s="87" t="n">
        <f aca="false">COUNTIFS(Xero_Raw!$C$4:$C$5003,"Invoice",Xero_Raw!$D$4:$D$5003,$A38,Xero_Raw!$I$4:$I$5003,"Awaiting Payment")+COUNTIFS(Xero_Raw!$C$4:$C$5003,"Invoice",Xero_Raw!$D$4:$D$5003,$A38,Xero_Raw!$I$4:$I$5003,"Overdue")</f>
        <v>1</v>
      </c>
      <c r="D38" s="87" t="n">
        <f aca="false">COUNTIFS(Xero_Raw!$C$4:$C$5003,"Invoice",Xero_Raw!$D$4:$D$5003,$A38,Xero_Raw!$I$4:$I$5003,"Draft")+COUNTIFS(Xero_Raw!$C$4:$C$5003,"Invoice",Xero_Raw!$D$4:$D$5003,$A38,Xero_Raw!$I$4:$I$5003,"Void")+COUNTIFS(Xero_Raw!$C$4:$C$5003,"Invoice",Xero_Raw!$D$4:$D$5003,$A38,Xero_Raw!$I$4:$I$5003,"Unsent")</f>
        <v>1</v>
      </c>
      <c r="E38" s="87" t="n">
        <f aca="false">COUNTIFS(Stripe_Invoices_Upload!$D$4:$D$5003,$A38,Stripe_Invoices_Upload!$G$4:$G$5003,"Paid")</f>
        <v>3</v>
      </c>
      <c r="F38" s="87" t="n">
        <f aca="false">COUNTIFS(Stripe_Invoices_Upload!$D$4:$D$5003,$A38,Stripe_Invoices_Upload!$G$4:$G$5003,"Open")</f>
        <v>0</v>
      </c>
      <c r="G38" s="87" t="n">
        <f aca="false">COUNTIFS(Stripe_Invoices_Upload!$D$4:$D$5003,$A38,Stripe_Invoices_Upload!$G$4:$G$5003,"Draft")+COUNTIFS(Stripe_Invoices_Upload!$D$4:$D$5003,$A38,Stripe_Invoices_Upload!$G$4:$G$5003,"Void")+COUNTIFS(Stripe_Invoices_Upload!$D$4:$D$5003,$A38,Stripe_Invoices_Upload!$G$4:$G$5003,"Uncollectible")</f>
        <v>0</v>
      </c>
    </row>
    <row r="39" customFormat="false" ht="15" hidden="false" customHeight="true" outlineLevel="0" collapsed="false">
      <c r="A39" s="37" t="s">
        <v>144</v>
      </c>
      <c r="B39" s="87" t="n">
        <f aca="false">COUNTIFS(Xero_Raw!$C$4:$C$5003,"Invoice",Xero_Raw!$D$4:$D$5003,$A39,Xero_Raw!$I$4:$I$5003,"Paid")</f>
        <v>1</v>
      </c>
      <c r="C39" s="87" t="n">
        <f aca="false">COUNTIFS(Xero_Raw!$C$4:$C$5003,"Invoice",Xero_Raw!$D$4:$D$5003,$A39,Xero_Raw!$I$4:$I$5003,"Awaiting Payment")+COUNTIFS(Xero_Raw!$C$4:$C$5003,"Invoice",Xero_Raw!$D$4:$D$5003,$A39,Xero_Raw!$I$4:$I$5003,"Overdue")</f>
        <v>0</v>
      </c>
      <c r="D39" s="87" t="n">
        <f aca="false">COUNTIFS(Xero_Raw!$C$4:$C$5003,"Invoice",Xero_Raw!$D$4:$D$5003,$A39,Xero_Raw!$I$4:$I$5003,"Draft")+COUNTIFS(Xero_Raw!$C$4:$C$5003,"Invoice",Xero_Raw!$D$4:$D$5003,$A39,Xero_Raw!$I$4:$I$5003,"Void")+COUNTIFS(Xero_Raw!$C$4:$C$5003,"Invoice",Xero_Raw!$D$4:$D$5003,$A39,Xero_Raw!$I$4:$I$5003,"Unsent")</f>
        <v>1</v>
      </c>
      <c r="E39" s="87" t="n">
        <f aca="false">COUNTIFS(Stripe_Invoices_Upload!$D$4:$D$5003,$A39,Stripe_Invoices_Upload!$G$4:$G$5003,"Paid")</f>
        <v>0</v>
      </c>
      <c r="F39" s="87" t="n">
        <f aca="false">COUNTIFS(Stripe_Invoices_Upload!$D$4:$D$5003,$A39,Stripe_Invoices_Upload!$G$4:$G$5003,"Open")</f>
        <v>1</v>
      </c>
      <c r="G39" s="87" t="n">
        <f aca="false">COUNTIFS(Stripe_Invoices_Upload!$D$4:$D$5003,$A39,Stripe_Invoices_Upload!$G$4:$G$5003,"Draft")+COUNTIFS(Stripe_Invoices_Upload!$D$4:$D$5003,$A39,Stripe_Invoices_Upload!$G$4:$G$5003,"Void")+COUNTIFS(Stripe_Invoices_Upload!$D$4:$D$5003,$A39,Stripe_Invoices_Upload!$G$4:$G$5003,"Uncollectible")</f>
        <v>2</v>
      </c>
    </row>
    <row r="40" customFormat="false" ht="15" hidden="false" customHeight="true" outlineLevel="0" collapsed="false">
      <c r="A40" s="37" t="s">
        <v>141</v>
      </c>
      <c r="B40" s="87" t="n">
        <f aca="false">COUNTIFS(Xero_Raw!$C$4:$C$5003,"Invoice",Xero_Raw!$D$4:$D$5003,$A40,Xero_Raw!$I$4:$I$5003,"Paid")</f>
        <v>1</v>
      </c>
      <c r="C40" s="87" t="n">
        <f aca="false">COUNTIFS(Xero_Raw!$C$4:$C$5003,"Invoice",Xero_Raw!$D$4:$D$5003,$A40,Xero_Raw!$I$4:$I$5003,"Awaiting Payment")+COUNTIFS(Xero_Raw!$C$4:$C$5003,"Invoice",Xero_Raw!$D$4:$D$5003,$A40,Xero_Raw!$I$4:$I$5003,"Overdue")</f>
        <v>0</v>
      </c>
      <c r="D40" s="87" t="n">
        <f aca="false">COUNTIFS(Xero_Raw!$C$4:$C$5003,"Invoice",Xero_Raw!$D$4:$D$5003,$A40,Xero_Raw!$I$4:$I$5003,"Draft")+COUNTIFS(Xero_Raw!$C$4:$C$5003,"Invoice",Xero_Raw!$D$4:$D$5003,$A40,Xero_Raw!$I$4:$I$5003,"Void")+COUNTIFS(Xero_Raw!$C$4:$C$5003,"Invoice",Xero_Raw!$D$4:$D$5003,$A40,Xero_Raw!$I$4:$I$5003,"Unsent")</f>
        <v>0</v>
      </c>
      <c r="E40" s="87" t="n">
        <f aca="false">COUNTIFS(Stripe_Invoices_Upload!$D$4:$D$5003,$A40,Stripe_Invoices_Upload!$G$4:$G$5003,"Paid")</f>
        <v>0</v>
      </c>
      <c r="F40" s="87" t="n">
        <f aca="false">COUNTIFS(Stripe_Invoices_Upload!$D$4:$D$5003,$A40,Stripe_Invoices_Upload!$G$4:$G$5003,"Open")</f>
        <v>0</v>
      </c>
      <c r="G40" s="87" t="n">
        <f aca="false">COUNTIFS(Stripe_Invoices_Upload!$D$4:$D$5003,$A40,Stripe_Invoices_Upload!$G$4:$G$5003,"Draft")+COUNTIFS(Stripe_Invoices_Upload!$D$4:$D$5003,$A40,Stripe_Invoices_Upload!$G$4:$G$5003,"Void")+COUNTIFS(Stripe_Invoices_Upload!$D$4:$D$5003,$A40,Stripe_Invoices_Upload!$G$4:$G$5003,"Uncollectible")</f>
        <v>1</v>
      </c>
    </row>
    <row r="41" customFormat="false" ht="15" hidden="false" customHeight="true" outlineLevel="0" collapsed="false">
      <c r="A41" s="37" t="s">
        <v>147</v>
      </c>
      <c r="B41" s="87" t="n">
        <f aca="false">COUNTIFS(Xero_Raw!$C$4:$C$5003,"Invoice",Xero_Raw!$D$4:$D$5003,$A41,Xero_Raw!$I$4:$I$5003,"Paid")</f>
        <v>0</v>
      </c>
      <c r="C41" s="87" t="n">
        <f aca="false">COUNTIFS(Xero_Raw!$C$4:$C$5003,"Invoice",Xero_Raw!$D$4:$D$5003,$A41,Xero_Raw!$I$4:$I$5003,"Awaiting Payment")+COUNTIFS(Xero_Raw!$C$4:$C$5003,"Invoice",Xero_Raw!$D$4:$D$5003,$A41,Xero_Raw!$I$4:$I$5003,"Overdue")</f>
        <v>0</v>
      </c>
      <c r="D41" s="87" t="n">
        <f aca="false">COUNTIFS(Xero_Raw!$C$4:$C$5003,"Invoice",Xero_Raw!$D$4:$D$5003,$A41,Xero_Raw!$I$4:$I$5003,"Draft")+COUNTIFS(Xero_Raw!$C$4:$C$5003,"Invoice",Xero_Raw!$D$4:$D$5003,$A41,Xero_Raw!$I$4:$I$5003,"Void")+COUNTIFS(Xero_Raw!$C$4:$C$5003,"Invoice",Xero_Raw!$D$4:$D$5003,$A41,Xero_Raw!$I$4:$I$5003,"Unsent")</f>
        <v>0</v>
      </c>
      <c r="E41" s="87" t="n">
        <f aca="false">COUNTIFS(Stripe_Invoices_Upload!$D$4:$D$5003,$A41,Stripe_Invoices_Upload!$G$4:$G$5003,"Paid")</f>
        <v>1</v>
      </c>
      <c r="F41" s="87" t="n">
        <f aca="false">COUNTIFS(Stripe_Invoices_Upload!$D$4:$D$5003,$A41,Stripe_Invoices_Upload!$G$4:$G$5003,"Open")</f>
        <v>0</v>
      </c>
      <c r="G41" s="87" t="n">
        <f aca="false">COUNTIFS(Stripe_Invoices_Upload!$D$4:$D$5003,$A41,Stripe_Invoices_Upload!$G$4:$G$5003,"Draft")+COUNTIFS(Stripe_Invoices_Upload!$D$4:$D$5003,$A41,Stripe_Invoices_Upload!$G$4:$G$5003,"Void")+COUNTIFS(Stripe_Invoices_Upload!$D$4:$D$5003,$A41,Stripe_Invoices_Upload!$G$4:$G$5003,"Uncollectible")</f>
        <v>0</v>
      </c>
    </row>
    <row r="42" customFormat="false" ht="15" hidden="false" customHeight="true" outlineLevel="0" collapsed="false">
      <c r="A42" s="37" t="s">
        <v>150</v>
      </c>
      <c r="B42" s="87" t="n">
        <f aca="false">COUNTIFS(Xero_Raw!$C$4:$C$5003,"Invoice",Xero_Raw!$D$4:$D$5003,$A42,Xero_Raw!$I$4:$I$5003,"Paid")</f>
        <v>0</v>
      </c>
      <c r="C42" s="87" t="n">
        <f aca="false">COUNTIFS(Xero_Raw!$C$4:$C$5003,"Invoice",Xero_Raw!$D$4:$D$5003,$A42,Xero_Raw!$I$4:$I$5003,"Awaiting Payment")+COUNTIFS(Xero_Raw!$C$4:$C$5003,"Invoice",Xero_Raw!$D$4:$D$5003,$A42,Xero_Raw!$I$4:$I$5003,"Overdue")</f>
        <v>0</v>
      </c>
      <c r="D42" s="87" t="n">
        <f aca="false">COUNTIFS(Xero_Raw!$C$4:$C$5003,"Invoice",Xero_Raw!$D$4:$D$5003,$A42,Xero_Raw!$I$4:$I$5003,"Draft")+COUNTIFS(Xero_Raw!$C$4:$C$5003,"Invoice",Xero_Raw!$D$4:$D$5003,$A42,Xero_Raw!$I$4:$I$5003,"Void")+COUNTIFS(Xero_Raw!$C$4:$C$5003,"Invoice",Xero_Raw!$D$4:$D$5003,$A42,Xero_Raw!$I$4:$I$5003,"Unsent")</f>
        <v>0</v>
      </c>
      <c r="E42" s="87" t="n">
        <f aca="false">COUNTIFS(Stripe_Invoices_Upload!$D$4:$D$5003,$A42,Stripe_Invoices_Upload!$G$4:$G$5003,"Paid")</f>
        <v>0</v>
      </c>
      <c r="F42" s="87" t="n">
        <f aca="false">COUNTIFS(Stripe_Invoices_Upload!$D$4:$D$5003,$A42,Stripe_Invoices_Upload!$G$4:$G$5003,"Open")</f>
        <v>2</v>
      </c>
      <c r="G42" s="87" t="n">
        <f aca="false">COUNTIFS(Stripe_Invoices_Upload!$D$4:$D$5003,$A42,Stripe_Invoices_Upload!$G$4:$G$5003,"Draft")+COUNTIFS(Stripe_Invoices_Upload!$D$4:$D$5003,$A42,Stripe_Invoices_Upload!$G$4:$G$5003,"Void")+COUNTIFS(Stripe_Invoices_Upload!$D$4:$D$5003,$A42,Stripe_Invoices_Upload!$G$4:$G$5003,"Uncollectible")</f>
        <v>2</v>
      </c>
    </row>
    <row r="43" customFormat="false" ht="15" hidden="false" customHeight="true" outlineLevel="0" collapsed="false">
      <c r="A43" s="37" t="s">
        <v>152</v>
      </c>
      <c r="B43" s="87" t="n">
        <f aca="false">COUNTIFS(Xero_Raw!$C$4:$C$5003,"Invoice",Xero_Raw!$D$4:$D$5003,$A43,Xero_Raw!$I$4:$I$5003,"Paid")</f>
        <v>1</v>
      </c>
      <c r="C43" s="87" t="n">
        <f aca="false">COUNTIFS(Xero_Raw!$C$4:$C$5003,"Invoice",Xero_Raw!$D$4:$D$5003,$A43,Xero_Raw!$I$4:$I$5003,"Awaiting Payment")+COUNTIFS(Xero_Raw!$C$4:$C$5003,"Invoice",Xero_Raw!$D$4:$D$5003,$A43,Xero_Raw!$I$4:$I$5003,"Overdue")</f>
        <v>1</v>
      </c>
      <c r="D43" s="87" t="n">
        <f aca="false">COUNTIFS(Xero_Raw!$C$4:$C$5003,"Invoice",Xero_Raw!$D$4:$D$5003,$A43,Xero_Raw!$I$4:$I$5003,"Draft")+COUNTIFS(Xero_Raw!$C$4:$C$5003,"Invoice",Xero_Raw!$D$4:$D$5003,$A43,Xero_Raw!$I$4:$I$5003,"Void")+COUNTIFS(Xero_Raw!$C$4:$C$5003,"Invoice",Xero_Raw!$D$4:$D$5003,$A43,Xero_Raw!$I$4:$I$5003,"Unsent")</f>
        <v>0</v>
      </c>
      <c r="E43" s="87" t="n">
        <f aca="false">COUNTIFS(Stripe_Invoices_Upload!$D$4:$D$5003,$A43,Stripe_Invoices_Upload!$G$4:$G$5003,"Paid")</f>
        <v>1</v>
      </c>
      <c r="F43" s="87" t="n">
        <f aca="false">COUNTIFS(Stripe_Invoices_Upload!$D$4:$D$5003,$A43,Stripe_Invoices_Upload!$G$4:$G$5003,"Open")</f>
        <v>1</v>
      </c>
      <c r="G43" s="87" t="n">
        <f aca="false">COUNTIFS(Stripe_Invoices_Upload!$D$4:$D$5003,$A43,Stripe_Invoices_Upload!$G$4:$G$5003,"Draft")+COUNTIFS(Stripe_Invoices_Upload!$D$4:$D$5003,$A43,Stripe_Invoices_Upload!$G$4:$G$5003,"Void")+COUNTIFS(Stripe_Invoices_Upload!$D$4:$D$5003,$A43,Stripe_Invoices_Upload!$G$4:$G$5003,"Uncollectible")</f>
        <v>0</v>
      </c>
    </row>
    <row r="44" customFormat="false" ht="15" hidden="false" customHeight="true" outlineLevel="0" collapsed="false">
      <c r="A44" s="37" t="s">
        <v>178</v>
      </c>
      <c r="B44" s="87" t="n">
        <f aca="false">COUNTIFS(Xero_Raw!$C$4:$C$5003,"Invoice",Xero_Raw!$D$4:$D$5003,$A44,Xero_Raw!$I$4:$I$5003,"Paid")</f>
        <v>0</v>
      </c>
      <c r="C44" s="87" t="n">
        <f aca="false">COUNTIFS(Xero_Raw!$C$4:$C$5003,"Invoice",Xero_Raw!$D$4:$D$5003,$A44,Xero_Raw!$I$4:$I$5003,"Awaiting Payment")+COUNTIFS(Xero_Raw!$C$4:$C$5003,"Invoice",Xero_Raw!$D$4:$D$5003,$A44,Xero_Raw!$I$4:$I$5003,"Overdue")</f>
        <v>0</v>
      </c>
      <c r="D44" s="87" t="n">
        <f aca="false">COUNTIFS(Xero_Raw!$C$4:$C$5003,"Invoice",Xero_Raw!$D$4:$D$5003,$A44,Xero_Raw!$I$4:$I$5003,"Draft")+COUNTIFS(Xero_Raw!$C$4:$C$5003,"Invoice",Xero_Raw!$D$4:$D$5003,$A44,Xero_Raw!$I$4:$I$5003,"Void")+COUNTIFS(Xero_Raw!$C$4:$C$5003,"Invoice",Xero_Raw!$D$4:$D$5003,$A44,Xero_Raw!$I$4:$I$5003,"Unsent")</f>
        <v>3</v>
      </c>
      <c r="E44" s="87" t="n">
        <f aca="false">COUNTIFS(Stripe_Invoices_Upload!$D$4:$D$5003,$A44,Stripe_Invoices_Upload!$G$4:$G$5003,"Paid")</f>
        <v>1</v>
      </c>
      <c r="F44" s="87" t="n">
        <f aca="false">COUNTIFS(Stripe_Invoices_Upload!$D$4:$D$5003,$A44,Stripe_Invoices_Upload!$G$4:$G$5003,"Open")</f>
        <v>2</v>
      </c>
      <c r="G44" s="87" t="n">
        <f aca="false">COUNTIFS(Stripe_Invoices_Upload!$D$4:$D$5003,$A44,Stripe_Invoices_Upload!$G$4:$G$5003,"Draft")+COUNTIFS(Stripe_Invoices_Upload!$D$4:$D$5003,$A44,Stripe_Invoices_Upload!$G$4:$G$5003,"Void")+COUNTIFS(Stripe_Invoices_Upload!$D$4:$D$5003,$A44,Stripe_Invoices_Upload!$G$4:$G$5003,"Uncollectible")</f>
        <v>1</v>
      </c>
    </row>
    <row r="45" customFormat="false" ht="15" hidden="false" customHeight="true" outlineLevel="0" collapsed="false">
      <c r="A45" s="37" t="s">
        <v>202</v>
      </c>
      <c r="B45" s="87" t="n">
        <f aca="false">COUNTIFS(Xero_Raw!$C$4:$C$5003,"Invoice",Xero_Raw!$D$4:$D$5003,$A45,Xero_Raw!$I$4:$I$5003,"Paid")</f>
        <v>0</v>
      </c>
      <c r="C45" s="87" t="n">
        <f aca="false">COUNTIFS(Xero_Raw!$C$4:$C$5003,"Invoice",Xero_Raw!$D$4:$D$5003,$A45,Xero_Raw!$I$4:$I$5003,"Awaiting Payment")+COUNTIFS(Xero_Raw!$C$4:$C$5003,"Invoice",Xero_Raw!$D$4:$D$5003,$A45,Xero_Raw!$I$4:$I$5003,"Overdue")</f>
        <v>1</v>
      </c>
      <c r="D45" s="87" t="n">
        <f aca="false">COUNTIFS(Xero_Raw!$C$4:$C$5003,"Invoice",Xero_Raw!$D$4:$D$5003,$A45,Xero_Raw!$I$4:$I$5003,"Draft")+COUNTIFS(Xero_Raw!$C$4:$C$5003,"Invoice",Xero_Raw!$D$4:$D$5003,$A45,Xero_Raw!$I$4:$I$5003,"Void")+COUNTIFS(Xero_Raw!$C$4:$C$5003,"Invoice",Xero_Raw!$D$4:$D$5003,$A45,Xero_Raw!$I$4:$I$5003,"Unsent")</f>
        <v>1</v>
      </c>
      <c r="E45" s="87" t="n">
        <f aca="false">COUNTIFS(Stripe_Invoices_Upload!$D$4:$D$5003,$A45,Stripe_Invoices_Upload!$G$4:$G$5003,"Paid")</f>
        <v>0</v>
      </c>
      <c r="F45" s="87" t="n">
        <f aca="false">COUNTIFS(Stripe_Invoices_Upload!$D$4:$D$5003,$A45,Stripe_Invoices_Upload!$G$4:$G$5003,"Open")</f>
        <v>0</v>
      </c>
      <c r="G45" s="87" t="n">
        <f aca="false">COUNTIFS(Stripe_Invoices_Upload!$D$4:$D$5003,$A45,Stripe_Invoices_Upload!$G$4:$G$5003,"Draft")+COUNTIFS(Stripe_Invoices_Upload!$D$4:$D$5003,$A45,Stripe_Invoices_Upload!$G$4:$G$5003,"Void")+COUNTIFS(Stripe_Invoices_Upload!$D$4:$D$5003,$A45,Stripe_Invoices_Upload!$G$4:$G$5003,"Uncollectible")</f>
        <v>0</v>
      </c>
    </row>
    <row r="46" customFormat="false" ht="15" hidden="false" customHeight="true" outlineLevel="0" collapsed="false">
      <c r="A46" s="37" t="s">
        <v>166</v>
      </c>
      <c r="B46" s="87" t="n">
        <f aca="false">COUNTIFS(Xero_Raw!$C$4:$C$5003,"Invoice",Xero_Raw!$D$4:$D$5003,$A46,Xero_Raw!$I$4:$I$5003,"Paid")</f>
        <v>1</v>
      </c>
      <c r="C46" s="87" t="n">
        <f aca="false">COUNTIFS(Xero_Raw!$C$4:$C$5003,"Invoice",Xero_Raw!$D$4:$D$5003,$A46,Xero_Raw!$I$4:$I$5003,"Awaiting Payment")+COUNTIFS(Xero_Raw!$C$4:$C$5003,"Invoice",Xero_Raw!$D$4:$D$5003,$A46,Xero_Raw!$I$4:$I$5003,"Overdue")</f>
        <v>1</v>
      </c>
      <c r="D46" s="87" t="n">
        <f aca="false">COUNTIFS(Xero_Raw!$C$4:$C$5003,"Invoice",Xero_Raw!$D$4:$D$5003,$A46,Xero_Raw!$I$4:$I$5003,"Draft")+COUNTIFS(Xero_Raw!$C$4:$C$5003,"Invoice",Xero_Raw!$D$4:$D$5003,$A46,Xero_Raw!$I$4:$I$5003,"Void")+COUNTIFS(Xero_Raw!$C$4:$C$5003,"Invoice",Xero_Raw!$D$4:$D$5003,$A46,Xero_Raw!$I$4:$I$5003,"Unsent")</f>
        <v>0</v>
      </c>
      <c r="E46" s="87" t="n">
        <f aca="false">COUNTIFS(Stripe_Invoices_Upload!$D$4:$D$5003,$A46,Stripe_Invoices_Upload!$G$4:$G$5003,"Paid")</f>
        <v>0</v>
      </c>
      <c r="F46" s="87" t="n">
        <f aca="false">COUNTIFS(Stripe_Invoices_Upload!$D$4:$D$5003,$A46,Stripe_Invoices_Upload!$G$4:$G$5003,"Open")</f>
        <v>0</v>
      </c>
      <c r="G46" s="87" t="n">
        <f aca="false">COUNTIFS(Stripe_Invoices_Upload!$D$4:$D$5003,$A46,Stripe_Invoices_Upload!$G$4:$G$5003,"Draft")+COUNTIFS(Stripe_Invoices_Upload!$D$4:$D$5003,$A46,Stripe_Invoices_Upload!$G$4:$G$5003,"Void")+COUNTIFS(Stripe_Invoices_Upload!$D$4:$D$5003,$A46,Stripe_Invoices_Upload!$G$4:$G$5003,"Uncollectible")</f>
        <v>0</v>
      </c>
    </row>
    <row r="47" customFormat="false" ht="15" hidden="false" customHeight="true" outlineLevel="0" collapsed="false">
      <c r="A47" s="37" t="s">
        <v>156</v>
      </c>
      <c r="B47" s="87" t="n">
        <f aca="false">COUNTIFS(Xero_Raw!$C$4:$C$5003,"Invoice",Xero_Raw!$D$4:$D$5003,$A47,Xero_Raw!$I$4:$I$5003,"Paid")</f>
        <v>0</v>
      </c>
      <c r="C47" s="87" t="n">
        <f aca="false">COUNTIFS(Xero_Raw!$C$4:$C$5003,"Invoice",Xero_Raw!$D$4:$D$5003,$A47,Xero_Raw!$I$4:$I$5003,"Awaiting Payment")+COUNTIFS(Xero_Raw!$C$4:$C$5003,"Invoice",Xero_Raw!$D$4:$D$5003,$A47,Xero_Raw!$I$4:$I$5003,"Overdue")</f>
        <v>2</v>
      </c>
      <c r="D47" s="87" t="n">
        <f aca="false">COUNTIFS(Xero_Raw!$C$4:$C$5003,"Invoice",Xero_Raw!$D$4:$D$5003,$A47,Xero_Raw!$I$4:$I$5003,"Draft")+COUNTIFS(Xero_Raw!$C$4:$C$5003,"Invoice",Xero_Raw!$D$4:$D$5003,$A47,Xero_Raw!$I$4:$I$5003,"Void")+COUNTIFS(Xero_Raw!$C$4:$C$5003,"Invoice",Xero_Raw!$D$4:$D$5003,$A47,Xero_Raw!$I$4:$I$5003,"Unsent")</f>
        <v>1</v>
      </c>
      <c r="E47" s="87" t="n">
        <f aca="false">COUNTIFS(Stripe_Invoices_Upload!$D$4:$D$5003,$A47,Stripe_Invoices_Upload!$G$4:$G$5003,"Paid")</f>
        <v>0</v>
      </c>
      <c r="F47" s="87" t="n">
        <f aca="false">COUNTIFS(Stripe_Invoices_Upload!$D$4:$D$5003,$A47,Stripe_Invoices_Upload!$G$4:$G$5003,"Open")</f>
        <v>0</v>
      </c>
      <c r="G47" s="87" t="n">
        <f aca="false">COUNTIFS(Stripe_Invoices_Upload!$D$4:$D$5003,$A47,Stripe_Invoices_Upload!$G$4:$G$5003,"Draft")+COUNTIFS(Stripe_Invoices_Upload!$D$4:$D$5003,$A47,Stripe_Invoices_Upload!$G$4:$G$5003,"Void")+COUNTIFS(Stripe_Invoices_Upload!$D$4:$D$5003,$A47,Stripe_Invoices_Upload!$G$4:$G$5003,"Uncollectible")</f>
        <v>0</v>
      </c>
    </row>
    <row r="48" customFormat="false" ht="15" hidden="false" customHeight="true" outlineLevel="0" collapsed="false">
      <c r="A48" s="37" t="s">
        <v>136</v>
      </c>
      <c r="B48" s="87" t="n">
        <f aca="false">COUNTIFS(Xero_Raw!$C$4:$C$5003,"Invoice",Xero_Raw!$D$4:$D$5003,$A48,Xero_Raw!$I$4:$I$5003,"Paid")</f>
        <v>0</v>
      </c>
      <c r="C48" s="87" t="n">
        <f aca="false">COUNTIFS(Xero_Raw!$C$4:$C$5003,"Invoice",Xero_Raw!$D$4:$D$5003,$A48,Xero_Raw!$I$4:$I$5003,"Awaiting Payment")+COUNTIFS(Xero_Raw!$C$4:$C$5003,"Invoice",Xero_Raw!$D$4:$D$5003,$A48,Xero_Raw!$I$4:$I$5003,"Overdue")</f>
        <v>2</v>
      </c>
      <c r="D48" s="87" t="n">
        <f aca="false">COUNTIFS(Xero_Raw!$C$4:$C$5003,"Invoice",Xero_Raw!$D$4:$D$5003,$A48,Xero_Raw!$I$4:$I$5003,"Draft")+COUNTIFS(Xero_Raw!$C$4:$C$5003,"Invoice",Xero_Raw!$D$4:$D$5003,$A48,Xero_Raw!$I$4:$I$5003,"Void")+COUNTIFS(Xero_Raw!$C$4:$C$5003,"Invoice",Xero_Raw!$D$4:$D$5003,$A48,Xero_Raw!$I$4:$I$5003,"Unsent")</f>
        <v>1</v>
      </c>
      <c r="E48" s="87" t="n">
        <f aca="false">COUNTIFS(Stripe_Invoices_Upload!$D$4:$D$5003,$A48,Stripe_Invoices_Upload!$G$4:$G$5003,"Paid")</f>
        <v>0</v>
      </c>
      <c r="F48" s="87" t="n">
        <f aca="false">COUNTIFS(Stripe_Invoices_Upload!$D$4:$D$5003,$A48,Stripe_Invoices_Upload!$G$4:$G$5003,"Open")</f>
        <v>0</v>
      </c>
      <c r="G48" s="87" t="n">
        <f aca="false">COUNTIFS(Stripe_Invoices_Upload!$D$4:$D$5003,$A48,Stripe_Invoices_Upload!$G$4:$G$5003,"Draft")+COUNTIFS(Stripe_Invoices_Upload!$D$4:$D$5003,$A48,Stripe_Invoices_Upload!$G$4:$G$5003,"Void")+COUNTIFS(Stripe_Invoices_Upload!$D$4:$D$5003,$A48,Stripe_Invoices_Upload!$G$4:$G$5003,"Uncollectible")</f>
        <v>0</v>
      </c>
    </row>
    <row r="49" customFormat="false" ht="15" hidden="false" customHeight="true" outlineLevel="0" collapsed="false">
      <c r="A49" s="37" t="s">
        <v>164</v>
      </c>
      <c r="B49" s="87" t="n">
        <f aca="false">COUNTIFS(Xero_Raw!$C$4:$C$5003,"Invoice",Xero_Raw!$D$4:$D$5003,$A49,Xero_Raw!$I$4:$I$5003,"Paid")</f>
        <v>0</v>
      </c>
      <c r="C49" s="87" t="n">
        <f aca="false">COUNTIFS(Xero_Raw!$C$4:$C$5003,"Invoice",Xero_Raw!$D$4:$D$5003,$A49,Xero_Raw!$I$4:$I$5003,"Awaiting Payment")+COUNTIFS(Xero_Raw!$C$4:$C$5003,"Invoice",Xero_Raw!$D$4:$D$5003,$A49,Xero_Raw!$I$4:$I$5003,"Overdue")</f>
        <v>2</v>
      </c>
      <c r="D49" s="87" t="n">
        <f aca="false">COUNTIFS(Xero_Raw!$C$4:$C$5003,"Invoice",Xero_Raw!$D$4:$D$5003,$A49,Xero_Raw!$I$4:$I$5003,"Draft")+COUNTIFS(Xero_Raw!$C$4:$C$5003,"Invoice",Xero_Raw!$D$4:$D$5003,$A49,Xero_Raw!$I$4:$I$5003,"Void")+COUNTIFS(Xero_Raw!$C$4:$C$5003,"Invoice",Xero_Raw!$D$4:$D$5003,$A49,Xero_Raw!$I$4:$I$5003,"Unsent")</f>
        <v>0</v>
      </c>
      <c r="E49" s="87" t="n">
        <f aca="false">COUNTIFS(Stripe_Invoices_Upload!$D$4:$D$5003,$A49,Stripe_Invoices_Upload!$G$4:$G$5003,"Paid")</f>
        <v>0</v>
      </c>
      <c r="F49" s="87" t="n">
        <f aca="false">COUNTIFS(Stripe_Invoices_Upload!$D$4:$D$5003,$A49,Stripe_Invoices_Upload!$G$4:$G$5003,"Open")</f>
        <v>0</v>
      </c>
      <c r="G49" s="87" t="n">
        <f aca="false">COUNTIFS(Stripe_Invoices_Upload!$D$4:$D$5003,$A49,Stripe_Invoices_Upload!$G$4:$G$5003,"Draft")+COUNTIFS(Stripe_Invoices_Upload!$D$4:$D$5003,$A49,Stripe_Invoices_Upload!$G$4:$G$5003,"Void")+COUNTIFS(Stripe_Invoices_Upload!$D$4:$D$5003,$A49,Stripe_Invoices_Upload!$G$4:$G$5003,"Uncollectible")</f>
        <v>0</v>
      </c>
    </row>
    <row r="50" customFormat="false" ht="15" hidden="false" customHeight="true" outlineLevel="0" collapsed="false">
      <c r="A50" s="75" t="s">
        <v>477</v>
      </c>
      <c r="B50" s="88" t="n">
        <f aca="false">SUM(B38:B49)</f>
        <v>6</v>
      </c>
      <c r="C50" s="88" t="n">
        <f aca="false">SUM(C38:C49)</f>
        <v>10</v>
      </c>
      <c r="D50" s="88" t="n">
        <f aca="false">SUM(D38:D49)</f>
        <v>8</v>
      </c>
      <c r="E50" s="88" t="n">
        <f aca="false">SUM(E38:E49)</f>
        <v>6</v>
      </c>
      <c r="F50" s="88" t="n">
        <f aca="false">SUM(F38:F49)</f>
        <v>6</v>
      </c>
      <c r="G50" s="88" t="n">
        <f aca="false">SUM(G38:G49)</f>
        <v>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495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36"/>
    <col collapsed="false" customWidth="true" hidden="false" outlineLevel="0" max="2" min="2" style="25" width="42"/>
    <col collapsed="false" customWidth="true" hidden="false" outlineLevel="0" max="4" min="3" style="25" width="18"/>
  </cols>
  <sheetData>
    <row r="1" customFormat="false" ht="15.75" hidden="false" customHeight="true" outlineLevel="0" collapsed="false">
      <c r="A1" s="89" t="s">
        <v>581</v>
      </c>
      <c r="B1" s="89"/>
      <c r="C1" s="89"/>
      <c r="D1" s="89"/>
    </row>
    <row r="2" customFormat="false" ht="27.75" hidden="false" customHeight="true" outlineLevel="0" collapsed="false">
      <c r="A2" s="44" t="s">
        <v>582</v>
      </c>
      <c r="B2" s="44"/>
      <c r="C2" s="44"/>
      <c r="D2" s="44"/>
    </row>
    <row r="4" customFormat="false" ht="21.75" hidden="false" customHeight="true" outlineLevel="0" collapsed="false">
      <c r="A4" s="42" t="s">
        <v>241</v>
      </c>
      <c r="B4" s="42" t="s">
        <v>583</v>
      </c>
      <c r="C4" s="42" t="s">
        <v>584</v>
      </c>
      <c r="D4" s="42" t="s">
        <v>585</v>
      </c>
    </row>
    <row r="5" customFormat="false" ht="15" hidden="false" customHeight="true" outlineLevel="0" collapsed="false">
      <c r="A5" s="69" t="s">
        <v>586</v>
      </c>
    </row>
    <row r="6" customFormat="false" ht="15" hidden="false" customHeight="true" outlineLevel="0" collapsed="false">
      <c r="A6" s="37" t="s">
        <v>587</v>
      </c>
      <c r="B6" s="90" t="s">
        <v>588</v>
      </c>
      <c r="C6" s="91" t="n">
        <f aca="false">INDEX(Bank_Raw!F4:F5003,COUNT(Bank_Raw!F4:F5003))</f>
        <v>499639.33</v>
      </c>
    </row>
    <row r="7" customFormat="false" ht="15" hidden="false" customHeight="true" outlineLevel="0" collapsed="false">
      <c r="A7" s="37" t="s">
        <v>589</v>
      </c>
      <c r="B7" s="90" t="s">
        <v>590</v>
      </c>
      <c r="C7" s="91" t="n">
        <f aca="false">Receivables!F71</f>
        <v>466237.76</v>
      </c>
    </row>
    <row r="8" customFormat="false" ht="15" hidden="false" customHeight="true" outlineLevel="0" collapsed="false">
      <c r="A8" s="75" t="s">
        <v>591</v>
      </c>
      <c r="B8" s="92"/>
      <c r="C8" s="93" t="n">
        <f aca="false">SUM(C6:C7)</f>
        <v>965877.09</v>
      </c>
      <c r="D8" s="92"/>
    </row>
    <row r="10" customFormat="false" ht="15" hidden="false" customHeight="true" outlineLevel="0" collapsed="false">
      <c r="A10" s="69" t="s">
        <v>592</v>
      </c>
    </row>
    <row r="11" customFormat="false" ht="15" hidden="false" customHeight="true" outlineLevel="0" collapsed="false">
      <c r="A11" s="37" t="s">
        <v>593</v>
      </c>
      <c r="B11" s="90" t="s">
        <v>594</v>
      </c>
      <c r="D11" s="91" t="n">
        <f aca="false">Payables!F76</f>
        <v>12033.26</v>
      </c>
    </row>
    <row r="12" customFormat="false" ht="15" hidden="false" customHeight="true" outlineLevel="0" collapsed="false">
      <c r="A12" s="75" t="s">
        <v>595</v>
      </c>
      <c r="B12" s="92"/>
      <c r="C12" s="92"/>
      <c r="D12" s="93" t="n">
        <f aca="false">SUM(D11:D11)</f>
        <v>12033.26</v>
      </c>
    </row>
    <row r="14" customFormat="false" ht="15" hidden="false" customHeight="true" outlineLevel="0" collapsed="false">
      <c r="A14" s="69" t="s">
        <v>596</v>
      </c>
    </row>
    <row r="15" customFormat="false" ht="15" hidden="false" customHeight="true" outlineLevel="0" collapsed="false">
      <c r="A15" s="37" t="s">
        <v>597</v>
      </c>
      <c r="B15" s="90" t="s">
        <v>598</v>
      </c>
      <c r="D15" s="91" t="n">
        <f aca="false">Revenue_Summary!B30</f>
        <v>371810.55</v>
      </c>
    </row>
    <row r="16" customFormat="false" ht="15" hidden="false" customHeight="true" outlineLevel="0" collapsed="false">
      <c r="A16" s="37" t="s">
        <v>599</v>
      </c>
      <c r="B16" s="90" t="s">
        <v>600</v>
      </c>
      <c r="D16" s="91" t="n">
        <f aca="false">Revenue_Summary!B31</f>
        <v>327566.27</v>
      </c>
    </row>
    <row r="17" customFormat="false" ht="15" hidden="false" customHeight="true" outlineLevel="0" collapsed="false">
      <c r="A17" s="37" t="s">
        <v>601</v>
      </c>
      <c r="B17" s="90" t="s">
        <v>602</v>
      </c>
      <c r="D17" s="91" t="n">
        <f aca="false">Revenue_Summary!B32</f>
        <v>361593.45</v>
      </c>
    </row>
    <row r="18" customFormat="false" ht="15" hidden="false" customHeight="true" outlineLevel="0" collapsed="false">
      <c r="A18" s="37" t="s">
        <v>603</v>
      </c>
      <c r="B18" s="90" t="s">
        <v>604</v>
      </c>
      <c r="D18" s="91" t="n">
        <f aca="false">Revenue_Summary!B33</f>
        <v>36916.36</v>
      </c>
    </row>
    <row r="19" customFormat="false" ht="15" hidden="false" customHeight="true" outlineLevel="0" collapsed="false">
      <c r="A19" s="37" t="s">
        <v>605</v>
      </c>
      <c r="B19" s="90" t="s">
        <v>606</v>
      </c>
      <c r="D19" s="91" t="n">
        <f aca="false">SUM(Revenue_Upload!E4:E5003)</f>
        <v>25854.64</v>
      </c>
    </row>
    <row r="20" customFormat="false" ht="15" hidden="false" customHeight="true" outlineLevel="0" collapsed="false">
      <c r="A20" s="75" t="s">
        <v>607</v>
      </c>
      <c r="B20" s="92"/>
      <c r="C20" s="92"/>
      <c r="D20" s="93" t="n">
        <f aca="false">SUM(D15:D19)</f>
        <v>1123741.27</v>
      </c>
    </row>
    <row r="22" customFormat="false" ht="15" hidden="false" customHeight="true" outlineLevel="0" collapsed="false">
      <c r="A22" s="69" t="s">
        <v>608</v>
      </c>
    </row>
    <row r="23" customFormat="false" ht="15" hidden="false" customHeight="true" outlineLevel="0" collapsed="false">
      <c r="A23" s="37" t="s">
        <v>210</v>
      </c>
      <c r="B23" s="90" t="s">
        <v>609</v>
      </c>
      <c r="C23" s="91" t="n">
        <f aca="false">Expense_Summary!E6</f>
        <v>36336.51</v>
      </c>
    </row>
    <row r="24" customFormat="false" ht="15" hidden="false" customHeight="true" outlineLevel="0" collapsed="false">
      <c r="A24" s="37" t="s">
        <v>214</v>
      </c>
      <c r="B24" s="90" t="s">
        <v>610</v>
      </c>
      <c r="C24" s="91" t="n">
        <f aca="false">Expense_Summary!E7</f>
        <v>74530.61</v>
      </c>
    </row>
    <row r="25" customFormat="false" ht="15" hidden="false" customHeight="true" outlineLevel="0" collapsed="false">
      <c r="A25" s="37" t="s">
        <v>236</v>
      </c>
      <c r="B25" s="90" t="s">
        <v>611</v>
      </c>
      <c r="C25" s="91" t="n">
        <f aca="false">Expense_Summary!E8</f>
        <v>586.87</v>
      </c>
    </row>
    <row r="26" customFormat="false" ht="15" hidden="false" customHeight="true" outlineLevel="0" collapsed="false">
      <c r="A26" s="37" t="s">
        <v>216</v>
      </c>
      <c r="B26" s="90" t="s">
        <v>612</v>
      </c>
      <c r="C26" s="91" t="n">
        <f aca="false">Expense_Summary!E9</f>
        <v>36483.9</v>
      </c>
    </row>
    <row r="27" customFormat="false" ht="15" hidden="false" customHeight="true" outlineLevel="0" collapsed="false">
      <c r="A27" s="37" t="s">
        <v>212</v>
      </c>
      <c r="B27" s="90" t="s">
        <v>613</v>
      </c>
      <c r="C27" s="91" t="n">
        <f aca="false">Expense_Summary!E10</f>
        <v>56032.59</v>
      </c>
    </row>
    <row r="28" customFormat="false" ht="15" hidden="false" customHeight="true" outlineLevel="0" collapsed="false">
      <c r="A28" s="37" t="s">
        <v>228</v>
      </c>
      <c r="B28" s="90" t="s">
        <v>614</v>
      </c>
      <c r="C28" s="91" t="n">
        <f aca="false">Expense_Summary!E11</f>
        <v>7849.93</v>
      </c>
    </row>
    <row r="29" customFormat="false" ht="15" hidden="false" customHeight="true" outlineLevel="0" collapsed="false">
      <c r="A29" s="37" t="s">
        <v>615</v>
      </c>
      <c r="B29" s="90" t="s">
        <v>616</v>
      </c>
      <c r="C29" s="91" t="n">
        <f aca="false">Expense_Summary!E22</f>
        <v>65447.8</v>
      </c>
    </row>
    <row r="30" customFormat="false" ht="15" hidden="false" customHeight="true" outlineLevel="0" collapsed="false">
      <c r="A30" s="37" t="s">
        <v>617</v>
      </c>
      <c r="B30" s="90" t="s">
        <v>618</v>
      </c>
      <c r="C30" s="91" t="n">
        <f aca="false">Expense_Summary!E30</f>
        <v>51592.82</v>
      </c>
    </row>
    <row r="31" customFormat="false" ht="15" hidden="false" customHeight="true" outlineLevel="0" collapsed="false">
      <c r="A31" s="37" t="s">
        <v>619</v>
      </c>
      <c r="B31" s="90" t="s">
        <v>620</v>
      </c>
      <c r="C31" s="91" t="n">
        <f aca="false">Expense_Summary!E38</f>
        <v>52714.23</v>
      </c>
    </row>
    <row r="32" customFormat="false" ht="15" hidden="false" customHeight="true" outlineLevel="0" collapsed="false">
      <c r="A32" s="37" t="s">
        <v>621</v>
      </c>
      <c r="B32" s="90" t="s">
        <v>622</v>
      </c>
      <c r="C32" s="91" t="n">
        <f aca="false">SUM(Expenses_Upload!E4:E5003)</f>
        <v>11072.92</v>
      </c>
    </row>
    <row r="33" customFormat="false" ht="15" hidden="false" customHeight="true" outlineLevel="0" collapsed="false">
      <c r="A33" s="75" t="s">
        <v>623</v>
      </c>
      <c r="B33" s="92"/>
      <c r="C33" s="93" t="n">
        <f aca="false">SUM(C23:C32)</f>
        <v>392648.18</v>
      </c>
      <c r="D33" s="92"/>
    </row>
    <row r="35" customFormat="false" ht="15" hidden="false" customHeight="true" outlineLevel="0" collapsed="false">
      <c r="A35" s="69" t="s">
        <v>624</v>
      </c>
    </row>
    <row r="36" customFormat="false" ht="15" hidden="false" customHeight="true" outlineLevel="0" collapsed="false">
      <c r="A36" s="90" t="s">
        <v>625</v>
      </c>
      <c r="D36" s="94" t="n">
        <f aca="false">D20-C33</f>
        <v>731093.09</v>
      </c>
    </row>
    <row r="37" customFormat="false" ht="15" hidden="false" customHeight="true" outlineLevel="0" collapsed="false">
      <c r="A37" s="37" t="s">
        <v>626</v>
      </c>
      <c r="B37" s="90" t="s">
        <v>627</v>
      </c>
      <c r="C37" s="95"/>
      <c r="D37" s="96" t="n">
        <f aca="false">C8-D12-D20+C33</f>
        <v>222750.74</v>
      </c>
    </row>
    <row r="38" customFormat="false" ht="15" hidden="false" customHeight="true" outlineLevel="0" collapsed="false">
      <c r="A38" s="75" t="s">
        <v>628</v>
      </c>
      <c r="B38" s="92"/>
      <c r="C38" s="92"/>
      <c r="D38" s="93" t="n">
        <f aca="false">D37</f>
        <v>222750.74</v>
      </c>
    </row>
    <row r="40" customFormat="false" ht="15" hidden="false" customHeight="true" outlineLevel="0" collapsed="false">
      <c r="A40" s="97" t="s">
        <v>629</v>
      </c>
      <c r="B40" s="98"/>
      <c r="C40" s="97" t="n">
        <f aca="false">C8+C33</f>
        <v>1358525.27</v>
      </c>
      <c r="D40" s="97" t="n">
        <f aca="false">D12+D20+D38</f>
        <v>1358525.27</v>
      </c>
    </row>
    <row r="41" customFormat="false" ht="15" hidden="false" customHeight="true" outlineLevel="0" collapsed="false">
      <c r="A41" s="25" t="s">
        <v>630</v>
      </c>
      <c r="C41" s="99" t="str">
        <f aca="false">IF(ROUND(C40-D40,2)=0,"✓ BALANCED","✗ OUT OF BALANCE")</f>
        <v>✓ BALANCED</v>
      </c>
      <c r="D41" s="99"/>
    </row>
  </sheetData>
  <mergeCells count="3">
    <mergeCell ref="A1:D1"/>
    <mergeCell ref="A2:D2"/>
    <mergeCell ref="C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4360"/>
    <pageSetUpPr fitToPage="false"/>
  </sheetPr>
  <dimension ref="A1:C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46"/>
    <col collapsed="false" customWidth="true" hidden="false" outlineLevel="0" max="2" min="2" style="25" width="4"/>
    <col collapsed="false" customWidth="true" hidden="false" outlineLevel="0" max="3" min="3" style="25" width="18"/>
  </cols>
  <sheetData>
    <row r="1" customFormat="false" ht="17.25" hidden="false" customHeight="true" outlineLevel="0" collapsed="false">
      <c r="A1" s="100" t="s">
        <v>631</v>
      </c>
      <c r="B1" s="100"/>
      <c r="C1" s="100"/>
    </row>
    <row r="2" customFormat="false" ht="31.5" hidden="false" customHeight="true" outlineLevel="0" collapsed="false">
      <c r="A2" s="44" t="s">
        <v>632</v>
      </c>
      <c r="B2" s="44"/>
      <c r="C2" s="44"/>
    </row>
    <row r="4" customFormat="false" ht="15.75" hidden="false" customHeight="true" outlineLevel="0" collapsed="false">
      <c r="A4" s="101" t="s">
        <v>633</v>
      </c>
    </row>
    <row r="6" customFormat="false" ht="18" hidden="false" customHeight="true" outlineLevel="0" collapsed="false">
      <c r="A6" s="102" t="s">
        <v>634</v>
      </c>
      <c r="B6" s="102"/>
      <c r="C6" s="102"/>
    </row>
    <row r="7" customFormat="false" ht="15" hidden="false" customHeight="true" outlineLevel="0" collapsed="false">
      <c r="A7" s="103" t="s">
        <v>635</v>
      </c>
      <c r="C7" s="104" t="n">
        <f aca="false">Trial_Balance!D15</f>
        <v>371810.55</v>
      </c>
    </row>
    <row r="8" customFormat="false" ht="15" hidden="false" customHeight="true" outlineLevel="0" collapsed="false">
      <c r="A8" s="103" t="s">
        <v>636</v>
      </c>
      <c r="C8" s="104" t="n">
        <f aca="false">Trial_Balance!D16</f>
        <v>327566.27</v>
      </c>
    </row>
    <row r="9" customFormat="false" ht="15" hidden="false" customHeight="true" outlineLevel="0" collapsed="false">
      <c r="A9" s="103" t="s">
        <v>637</v>
      </c>
      <c r="C9" s="104" t="n">
        <f aca="false">Trial_Balance!D17</f>
        <v>361593.45</v>
      </c>
    </row>
    <row r="10" customFormat="false" ht="15" hidden="false" customHeight="true" outlineLevel="0" collapsed="false">
      <c r="A10" s="103" t="s">
        <v>638</v>
      </c>
      <c r="C10" s="104" t="n">
        <f aca="false">Trial_Balance!D18+Trial_Balance!D19</f>
        <v>62771</v>
      </c>
    </row>
    <row r="11" customFormat="false" ht="15" hidden="false" customHeight="true" outlineLevel="0" collapsed="false">
      <c r="A11" s="105" t="s">
        <v>607</v>
      </c>
      <c r="B11" s="106"/>
      <c r="C11" s="107" t="n">
        <f aca="false">Trial_Balance!D20</f>
        <v>1123741.27</v>
      </c>
    </row>
    <row r="13" customFormat="false" ht="18" hidden="false" customHeight="true" outlineLevel="0" collapsed="false">
      <c r="A13" s="102" t="s">
        <v>639</v>
      </c>
      <c r="B13" s="102"/>
      <c r="C13" s="102"/>
    </row>
    <row r="14" customFormat="false" ht="15" hidden="false" customHeight="true" outlineLevel="0" collapsed="false">
      <c r="A14" s="103" t="s">
        <v>640</v>
      </c>
      <c r="C14" s="104" t="n">
        <f aca="false">-Trial_Balance!C29</f>
        <v>-65447.8</v>
      </c>
    </row>
    <row r="15" customFormat="false" ht="15" hidden="false" customHeight="true" outlineLevel="0" collapsed="false">
      <c r="A15" s="105" t="s">
        <v>641</v>
      </c>
      <c r="B15" s="106"/>
      <c r="C15" s="107" t="n">
        <f aca="false">-Trial_Balance!C29</f>
        <v>-65447.8</v>
      </c>
    </row>
    <row r="16" customFormat="false" ht="15" hidden="false" customHeight="true" outlineLevel="0" collapsed="false">
      <c r="A16" s="105" t="s">
        <v>642</v>
      </c>
      <c r="B16" s="106"/>
      <c r="C16" s="107" t="n">
        <f aca="false">C11+C15</f>
        <v>1058293.47</v>
      </c>
    </row>
    <row r="18" customFormat="false" ht="18" hidden="false" customHeight="true" outlineLevel="0" collapsed="false">
      <c r="A18" s="102" t="s">
        <v>643</v>
      </c>
      <c r="B18" s="102"/>
      <c r="C18" s="102"/>
    </row>
    <row r="19" customFormat="false" ht="15" hidden="false" customHeight="true" outlineLevel="0" collapsed="false">
      <c r="A19" s="103" t="s">
        <v>644</v>
      </c>
      <c r="C19" s="104" t="n">
        <f aca="false">-Trial_Balance!C23</f>
        <v>-36336.51</v>
      </c>
    </row>
    <row r="20" customFormat="false" ht="15" hidden="false" customHeight="true" outlineLevel="0" collapsed="false">
      <c r="A20" s="103" t="s">
        <v>645</v>
      </c>
      <c r="C20" s="104" t="n">
        <f aca="false">-Trial_Balance!C24</f>
        <v>-74530.61</v>
      </c>
    </row>
    <row r="21" customFormat="false" ht="15" hidden="false" customHeight="true" outlineLevel="0" collapsed="false">
      <c r="A21" s="103" t="s">
        <v>646</v>
      </c>
      <c r="C21" s="104" t="n">
        <f aca="false">-(Trial_Balance!C25+Trial_Balance!C30)</f>
        <v>-52179.69</v>
      </c>
    </row>
    <row r="22" customFormat="false" ht="15" hidden="false" customHeight="true" outlineLevel="0" collapsed="false">
      <c r="A22" s="103" t="s">
        <v>647</v>
      </c>
      <c r="C22" s="104" t="n">
        <f aca="false">-Trial_Balance!C26</f>
        <v>-36483.9</v>
      </c>
    </row>
    <row r="23" customFormat="false" ht="15" hidden="false" customHeight="true" outlineLevel="0" collapsed="false">
      <c r="A23" s="103" t="s">
        <v>648</v>
      </c>
      <c r="C23" s="104" t="n">
        <f aca="false">-Trial_Balance!C27</f>
        <v>-56032.59</v>
      </c>
    </row>
    <row r="24" customFormat="false" ht="15" hidden="false" customHeight="true" outlineLevel="0" collapsed="false">
      <c r="A24" s="103" t="s">
        <v>649</v>
      </c>
      <c r="C24" s="104" t="n">
        <f aca="false">-Trial_Balance!C28</f>
        <v>-7849.93</v>
      </c>
    </row>
    <row r="25" customFormat="false" ht="15" hidden="false" customHeight="true" outlineLevel="0" collapsed="false">
      <c r="A25" s="103" t="s">
        <v>650</v>
      </c>
      <c r="C25" s="104" t="n">
        <f aca="false">-(Trial_Balance!C31+Trial_Balance!C32)</f>
        <v>-63787.15</v>
      </c>
    </row>
    <row r="26" customFormat="false" ht="15" hidden="false" customHeight="true" outlineLevel="0" collapsed="false">
      <c r="A26" s="105" t="s">
        <v>651</v>
      </c>
      <c r="B26" s="106"/>
      <c r="C26" s="107" t="n">
        <f aca="false">SUM(C19:C25)</f>
        <v>-327200.38</v>
      </c>
    </row>
    <row r="27" customFormat="false" ht="15" hidden="false" customHeight="true" outlineLevel="0" collapsed="false">
      <c r="A27" s="105" t="s">
        <v>652</v>
      </c>
      <c r="B27" s="106"/>
      <c r="C27" s="107" t="n">
        <f aca="false">C16+C26</f>
        <v>731093.09</v>
      </c>
    </row>
    <row r="29" customFormat="false" ht="15.75" hidden="false" customHeight="true" outlineLevel="0" collapsed="false">
      <c r="A29" s="101" t="s">
        <v>653</v>
      </c>
    </row>
    <row r="31" customFormat="false" ht="18" hidden="false" customHeight="true" outlineLevel="0" collapsed="false">
      <c r="A31" s="102" t="s">
        <v>586</v>
      </c>
      <c r="B31" s="102"/>
      <c r="C31" s="102"/>
    </row>
    <row r="32" customFormat="false" ht="18" hidden="false" customHeight="true" outlineLevel="0" collapsed="false">
      <c r="A32" s="108" t="s">
        <v>654</v>
      </c>
      <c r="B32" s="108"/>
      <c r="C32" s="108"/>
    </row>
    <row r="33" customFormat="false" ht="15" hidden="false" customHeight="true" outlineLevel="0" collapsed="false">
      <c r="A33" s="103" t="s">
        <v>655</v>
      </c>
      <c r="C33" s="104" t="n">
        <f aca="false">Trial_Balance!C6</f>
        <v>499639.33</v>
      </c>
    </row>
    <row r="34" customFormat="false" ht="15" hidden="false" customHeight="true" outlineLevel="0" collapsed="false">
      <c r="A34" s="103" t="s">
        <v>656</v>
      </c>
      <c r="C34" s="104" t="n">
        <f aca="false">Trial_Balance!C7</f>
        <v>466237.76</v>
      </c>
    </row>
    <row r="35" customFormat="false" ht="15" hidden="false" customHeight="true" outlineLevel="0" collapsed="false">
      <c r="A35" s="105" t="s">
        <v>657</v>
      </c>
      <c r="B35" s="106"/>
      <c r="C35" s="107" t="n">
        <f aca="false">SUM(C33:C34)</f>
        <v>965877.09</v>
      </c>
    </row>
    <row r="36" customFormat="false" ht="15" hidden="false" customHeight="true" outlineLevel="0" collapsed="false">
      <c r="A36" s="105" t="s">
        <v>658</v>
      </c>
      <c r="B36" s="106"/>
      <c r="C36" s="107" t="n">
        <f aca="false">C35</f>
        <v>965877.09</v>
      </c>
    </row>
    <row r="38" customFormat="false" ht="18" hidden="false" customHeight="true" outlineLevel="0" collapsed="false">
      <c r="A38" s="102" t="s">
        <v>659</v>
      </c>
      <c r="B38" s="102"/>
      <c r="C38" s="102"/>
    </row>
    <row r="39" customFormat="false" ht="18" hidden="false" customHeight="true" outlineLevel="0" collapsed="false">
      <c r="A39" s="108" t="s">
        <v>660</v>
      </c>
      <c r="B39" s="108"/>
      <c r="C39" s="108"/>
    </row>
    <row r="40" customFormat="false" ht="15" hidden="false" customHeight="true" outlineLevel="0" collapsed="false">
      <c r="A40" s="103" t="s">
        <v>661</v>
      </c>
      <c r="C40" s="104" t="n">
        <f aca="false">Trial_Balance!D37</f>
        <v>222750.74</v>
      </c>
    </row>
    <row r="41" customFormat="false" ht="15" hidden="false" customHeight="true" outlineLevel="0" collapsed="false">
      <c r="A41" s="103" t="s">
        <v>662</v>
      </c>
      <c r="C41" s="104" t="n">
        <f aca="false">C27</f>
        <v>731093.09</v>
      </c>
    </row>
    <row r="42" customFormat="false" ht="15" hidden="false" customHeight="true" outlineLevel="0" collapsed="false">
      <c r="A42" s="105" t="s">
        <v>628</v>
      </c>
      <c r="B42" s="106"/>
      <c r="C42" s="107" t="n">
        <f aca="false">C40+C41</f>
        <v>953843.83</v>
      </c>
    </row>
    <row r="44" customFormat="false" ht="18" hidden="false" customHeight="true" outlineLevel="0" collapsed="false">
      <c r="A44" s="108" t="s">
        <v>663</v>
      </c>
      <c r="B44" s="108"/>
      <c r="C44" s="108"/>
    </row>
    <row r="45" customFormat="false" ht="15" hidden="false" customHeight="true" outlineLevel="0" collapsed="false">
      <c r="A45" s="103" t="s">
        <v>664</v>
      </c>
      <c r="C45" s="104" t="n">
        <f aca="false">Trial_Balance!D11</f>
        <v>12033.26</v>
      </c>
    </row>
    <row r="46" customFormat="false" ht="15" hidden="false" customHeight="true" outlineLevel="0" collapsed="false">
      <c r="A46" s="105" t="s">
        <v>665</v>
      </c>
      <c r="B46" s="106"/>
      <c r="C46" s="107" t="n">
        <f aca="false">C45</f>
        <v>12033.26</v>
      </c>
    </row>
    <row r="47" customFormat="false" ht="15" hidden="false" customHeight="true" outlineLevel="0" collapsed="false">
      <c r="A47" s="105" t="s">
        <v>666</v>
      </c>
      <c r="B47" s="106"/>
      <c r="C47" s="107" t="n">
        <f aca="false">C42+C46</f>
        <v>965877.09</v>
      </c>
    </row>
    <row r="48" customFormat="false" ht="15" hidden="false" customHeight="true" outlineLevel="0" collapsed="false">
      <c r="A48" s="25" t="s">
        <v>630</v>
      </c>
      <c r="C48" s="109" t="str">
        <f aca="false">IF(ROUND(C36-C47,2)=0,"✓ BALANCED","✗ CHECK")</f>
        <v>✓ BALANCED</v>
      </c>
    </row>
    <row r="50" customFormat="false" ht="15.75" hidden="false" customHeight="true" outlineLevel="0" collapsed="false">
      <c r="A50" s="101" t="s">
        <v>667</v>
      </c>
    </row>
    <row r="52" customFormat="false" ht="18" hidden="false" customHeight="true" outlineLevel="0" collapsed="false">
      <c r="A52" s="102" t="s">
        <v>668</v>
      </c>
      <c r="B52" s="102"/>
      <c r="C52" s="102"/>
    </row>
    <row r="53" customFormat="false" ht="15" hidden="false" customHeight="true" outlineLevel="0" collapsed="false">
      <c r="A53" s="103" t="s">
        <v>662</v>
      </c>
      <c r="C53" s="104" t="n">
        <f aca="false">C27</f>
        <v>731093.09</v>
      </c>
    </row>
    <row r="54" customFormat="false" ht="15" hidden="false" customHeight="true" outlineLevel="0" collapsed="false">
      <c r="A54" s="103" t="s">
        <v>669</v>
      </c>
      <c r="C54" s="104" t="n">
        <f aca="false">-C34</f>
        <v>-466237.76</v>
      </c>
    </row>
    <row r="55" customFormat="false" ht="15" hidden="false" customHeight="true" outlineLevel="0" collapsed="false">
      <c r="A55" s="103" t="s">
        <v>670</v>
      </c>
      <c r="C55" s="104" t="n">
        <f aca="false">C45</f>
        <v>12033.26</v>
      </c>
    </row>
    <row r="56" customFormat="false" ht="15" hidden="false" customHeight="true" outlineLevel="0" collapsed="false">
      <c r="A56" s="105" t="s">
        <v>671</v>
      </c>
      <c r="B56" s="106"/>
      <c r="C56" s="107" t="n">
        <f aca="false">C27-C34+C45</f>
        <v>276888.59</v>
      </c>
    </row>
    <row r="58" customFormat="false" ht="18" hidden="false" customHeight="true" outlineLevel="0" collapsed="false">
      <c r="A58" s="102" t="s">
        <v>672</v>
      </c>
      <c r="B58" s="102"/>
      <c r="C58" s="102"/>
    </row>
    <row r="59" customFormat="false" ht="15" hidden="false" customHeight="true" outlineLevel="0" collapsed="false">
      <c r="A59" s="103" t="s">
        <v>673</v>
      </c>
      <c r="C59" s="104" t="n">
        <v>0</v>
      </c>
    </row>
    <row r="60" customFormat="false" ht="15" hidden="false" customHeight="true" outlineLevel="0" collapsed="false">
      <c r="A60" s="105" t="s">
        <v>674</v>
      </c>
      <c r="B60" s="106"/>
      <c r="C60" s="107" t="n">
        <v>0</v>
      </c>
    </row>
    <row r="62" customFormat="false" ht="18" hidden="false" customHeight="true" outlineLevel="0" collapsed="false">
      <c r="A62" s="102" t="s">
        <v>675</v>
      </c>
      <c r="B62" s="102"/>
      <c r="C62" s="102"/>
    </row>
    <row r="63" customFormat="false" ht="15" hidden="false" customHeight="true" outlineLevel="0" collapsed="false">
      <c r="A63" s="103" t="s">
        <v>673</v>
      </c>
      <c r="C63" s="104" t="n">
        <v>0</v>
      </c>
    </row>
    <row r="64" customFormat="false" ht="15" hidden="false" customHeight="true" outlineLevel="0" collapsed="false">
      <c r="A64" s="105" t="s">
        <v>676</v>
      </c>
      <c r="B64" s="106"/>
      <c r="C64" s="107" t="n">
        <v>0</v>
      </c>
    </row>
    <row r="66" customFormat="false" ht="15" hidden="false" customHeight="true" outlineLevel="0" collapsed="false">
      <c r="A66" s="105" t="s">
        <v>677</v>
      </c>
      <c r="B66" s="106"/>
      <c r="C66" s="107" t="n">
        <f aca="false">C56+C60+C64</f>
        <v>276888.59</v>
      </c>
    </row>
    <row r="67" customFormat="false" ht="15" hidden="false" customHeight="true" outlineLevel="0" collapsed="false">
      <c r="A67" s="103" t="s">
        <v>678</v>
      </c>
      <c r="C67" s="104" t="n">
        <f aca="false">C33-C66</f>
        <v>222750.74</v>
      </c>
    </row>
    <row r="68" customFormat="false" ht="15" hidden="false" customHeight="true" outlineLevel="0" collapsed="false">
      <c r="A68" s="110" t="s">
        <v>679</v>
      </c>
      <c r="C68" s="111" t="n">
        <f aca="false">C67+C66</f>
        <v>499639.33</v>
      </c>
    </row>
  </sheetData>
  <mergeCells count="13">
    <mergeCell ref="A1:C1"/>
    <mergeCell ref="A2:C2"/>
    <mergeCell ref="A6:C6"/>
    <mergeCell ref="A13:C13"/>
    <mergeCell ref="A18:C18"/>
    <mergeCell ref="A31:C31"/>
    <mergeCell ref="A32:C32"/>
    <mergeCell ref="A38:C38"/>
    <mergeCell ref="A39:C39"/>
    <mergeCell ref="A44:C44"/>
    <mergeCell ref="A52:C52"/>
    <mergeCell ref="A58:C58"/>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12E5F"/>
    <pageSetUpPr fitToPage="false"/>
  </sheetPr>
  <dimension ref="A1:C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25" width="50"/>
    <col collapsed="false" customWidth="true" hidden="false" outlineLevel="0" max="2" min="2" style="25" width="4"/>
    <col collapsed="false" customWidth="true" hidden="false" outlineLevel="0" max="3" min="3" style="25" width="18"/>
  </cols>
  <sheetData>
    <row r="1" customFormat="false" ht="17.25" hidden="false" customHeight="true" outlineLevel="0" collapsed="false">
      <c r="A1" s="100" t="s">
        <v>680</v>
      </c>
      <c r="B1" s="100"/>
      <c r="C1" s="100"/>
    </row>
    <row r="2" customFormat="false" ht="31.5" hidden="false" customHeight="true" outlineLevel="0" collapsed="false">
      <c r="A2" s="44" t="s">
        <v>681</v>
      </c>
      <c r="B2" s="44"/>
      <c r="C2" s="44"/>
    </row>
    <row r="4" customFormat="false" ht="15.75" hidden="false" customHeight="true" outlineLevel="0" collapsed="false">
      <c r="A4" s="101" t="s">
        <v>682</v>
      </c>
    </row>
    <row r="6" customFormat="false" ht="18" hidden="false" customHeight="true" outlineLevel="0" collapsed="false">
      <c r="A6" s="112" t="s">
        <v>683</v>
      </c>
      <c r="B6" s="112"/>
      <c r="C6" s="112"/>
    </row>
    <row r="7" customFormat="false" ht="15" hidden="false" customHeight="true" outlineLevel="0" collapsed="false">
      <c r="A7" s="103" t="s">
        <v>635</v>
      </c>
      <c r="C7" s="104" t="n">
        <f aca="false">Trial_Balance!D15</f>
        <v>371810.55</v>
      </c>
    </row>
    <row r="8" customFormat="false" ht="15" hidden="false" customHeight="true" outlineLevel="0" collapsed="false">
      <c r="A8" s="103" t="s">
        <v>636</v>
      </c>
      <c r="C8" s="104" t="n">
        <f aca="false">Trial_Balance!D16</f>
        <v>327566.27</v>
      </c>
    </row>
    <row r="9" customFormat="false" ht="15" hidden="false" customHeight="true" outlineLevel="0" collapsed="false">
      <c r="A9" s="103" t="s">
        <v>637</v>
      </c>
      <c r="C9" s="104" t="n">
        <f aca="false">Trial_Balance!D17</f>
        <v>361593.45</v>
      </c>
    </row>
    <row r="10" customFormat="false" ht="15" hidden="false" customHeight="true" outlineLevel="0" collapsed="false">
      <c r="A10" s="103" t="s">
        <v>638</v>
      </c>
      <c r="C10" s="104" t="n">
        <f aca="false">Trial_Balance!D18+Trial_Balance!D19</f>
        <v>62771</v>
      </c>
    </row>
    <row r="11" customFormat="false" ht="15" hidden="false" customHeight="true" outlineLevel="0" collapsed="false">
      <c r="A11" s="105" t="s">
        <v>684</v>
      </c>
      <c r="B11" s="106"/>
      <c r="C11" s="107" t="n">
        <f aca="false">Trial_Balance!D20</f>
        <v>1123741.27</v>
      </c>
    </row>
    <row r="13" customFormat="false" ht="18" hidden="false" customHeight="true" outlineLevel="0" collapsed="false">
      <c r="A13" s="112" t="s">
        <v>685</v>
      </c>
      <c r="B13" s="112"/>
      <c r="C13" s="112"/>
    </row>
    <row r="14" customFormat="false" ht="15" hidden="false" customHeight="true" outlineLevel="0" collapsed="false">
      <c r="A14" s="103" t="s">
        <v>686</v>
      </c>
      <c r="C14" s="104" t="n">
        <f aca="false">-Trial_Balance!C29</f>
        <v>-65447.8</v>
      </c>
    </row>
    <row r="15" customFormat="false" ht="15" hidden="false" customHeight="true" outlineLevel="0" collapsed="false">
      <c r="A15" s="105" t="s">
        <v>687</v>
      </c>
      <c r="B15" s="106"/>
      <c r="C15" s="107" t="n">
        <f aca="false">-Trial_Balance!C29</f>
        <v>-65447.8</v>
      </c>
    </row>
    <row r="16" customFormat="false" ht="15" hidden="false" customHeight="true" outlineLevel="0" collapsed="false">
      <c r="A16" s="105" t="s">
        <v>642</v>
      </c>
      <c r="B16" s="106"/>
      <c r="C16" s="107" t="n">
        <f aca="false">C11+C15</f>
        <v>1058293.47</v>
      </c>
    </row>
    <row r="18" customFormat="false" ht="18" hidden="false" customHeight="true" outlineLevel="0" collapsed="false">
      <c r="A18" s="112" t="s">
        <v>688</v>
      </c>
      <c r="B18" s="112"/>
      <c r="C18" s="112"/>
    </row>
    <row r="19" customFormat="false" ht="15" hidden="false" customHeight="true" outlineLevel="0" collapsed="false">
      <c r="A19" s="103" t="s">
        <v>689</v>
      </c>
      <c r="C19" s="104" t="n">
        <f aca="false">-(Trial_Balance!C23+Trial_Balance!C24+Trial_Balance!C31+Trial_Balance!C32)</f>
        <v>-174654.27</v>
      </c>
    </row>
    <row r="20" customFormat="false" ht="15" hidden="false" customHeight="true" outlineLevel="0" collapsed="false">
      <c r="A20" s="103" t="s">
        <v>690</v>
      </c>
      <c r="C20" s="104" t="n">
        <f aca="false">-(Trial_Balance!C25+Trial_Balance!C30)</f>
        <v>-52179.69</v>
      </c>
    </row>
    <row r="21" customFormat="false" ht="15" hidden="false" customHeight="true" outlineLevel="0" collapsed="false">
      <c r="A21" s="103" t="s">
        <v>691</v>
      </c>
      <c r="C21" s="104" t="n">
        <f aca="false">-Trial_Balance!C28</f>
        <v>-7849.93</v>
      </c>
    </row>
    <row r="22" customFormat="false" ht="15" hidden="false" customHeight="true" outlineLevel="0" collapsed="false">
      <c r="A22" s="103" t="s">
        <v>692</v>
      </c>
      <c r="C22" s="104" t="n">
        <f aca="false">-(Trial_Balance!C26+Trial_Balance!C27)</f>
        <v>-92516.49</v>
      </c>
    </row>
    <row r="23" customFormat="false" ht="15" hidden="false" customHeight="true" outlineLevel="0" collapsed="false">
      <c r="A23" s="105" t="s">
        <v>693</v>
      </c>
      <c r="B23" s="106"/>
      <c r="C23" s="107" t="n">
        <f aca="false">SUM(C19:C22)</f>
        <v>-327200.38</v>
      </c>
    </row>
    <row r="24" customFormat="false" ht="15" hidden="false" customHeight="true" outlineLevel="0" collapsed="false">
      <c r="A24" s="105" t="s">
        <v>694</v>
      </c>
      <c r="B24" s="106"/>
      <c r="C24" s="107" t="n">
        <f aca="false">C16+C23</f>
        <v>731093.09</v>
      </c>
    </row>
    <row r="26" customFormat="false" ht="15" hidden="false" customHeight="true" outlineLevel="0" collapsed="false">
      <c r="A26" s="105" t="s">
        <v>695</v>
      </c>
      <c r="B26" s="106"/>
      <c r="C26" s="107" t="n">
        <f aca="false">C24</f>
        <v>731093.09</v>
      </c>
    </row>
    <row r="28" customFormat="false" ht="15.75" hidden="false" customHeight="true" outlineLevel="0" collapsed="false">
      <c r="A28" s="101" t="s">
        <v>696</v>
      </c>
    </row>
    <row r="30" customFormat="false" ht="18" hidden="false" customHeight="true" outlineLevel="0" collapsed="false">
      <c r="A30" s="112" t="s">
        <v>586</v>
      </c>
      <c r="B30" s="112"/>
      <c r="C30" s="112"/>
    </row>
    <row r="31" customFormat="false" ht="18" hidden="false" customHeight="true" outlineLevel="0" collapsed="false">
      <c r="A31" s="113" t="s">
        <v>654</v>
      </c>
      <c r="B31" s="113"/>
      <c r="C31" s="113"/>
    </row>
    <row r="32" customFormat="false" ht="15" hidden="false" customHeight="true" outlineLevel="0" collapsed="false">
      <c r="A32" s="103" t="s">
        <v>655</v>
      </c>
      <c r="C32" s="104" t="n">
        <f aca="false">Trial_Balance!C6</f>
        <v>499639.33</v>
      </c>
    </row>
    <row r="33" customFormat="false" ht="15" hidden="false" customHeight="true" outlineLevel="0" collapsed="false">
      <c r="A33" s="103" t="s">
        <v>697</v>
      </c>
      <c r="C33" s="104" t="n">
        <f aca="false">Trial_Balance!C7</f>
        <v>466237.76</v>
      </c>
    </row>
    <row r="34" customFormat="false" ht="15" hidden="false" customHeight="true" outlineLevel="0" collapsed="false">
      <c r="A34" s="105" t="s">
        <v>657</v>
      </c>
      <c r="B34" s="106"/>
      <c r="C34" s="107" t="n">
        <f aca="false">SUM(C32:C33)</f>
        <v>965877.09</v>
      </c>
    </row>
    <row r="35" customFormat="false" ht="15" hidden="false" customHeight="true" outlineLevel="0" collapsed="false">
      <c r="A35" s="105" t="s">
        <v>591</v>
      </c>
      <c r="B35" s="106"/>
      <c r="C35" s="107" t="n">
        <f aca="false">C34</f>
        <v>965877.09</v>
      </c>
    </row>
    <row r="37" customFormat="false" ht="18" hidden="false" customHeight="true" outlineLevel="0" collapsed="false">
      <c r="A37" s="112" t="s">
        <v>698</v>
      </c>
      <c r="B37" s="112"/>
      <c r="C37" s="112"/>
    </row>
    <row r="38" customFormat="false" ht="18" hidden="false" customHeight="true" outlineLevel="0" collapsed="false">
      <c r="A38" s="113" t="s">
        <v>663</v>
      </c>
      <c r="B38" s="113"/>
      <c r="C38" s="113"/>
    </row>
    <row r="39" customFormat="false" ht="15" hidden="false" customHeight="true" outlineLevel="0" collapsed="false">
      <c r="A39" s="103" t="s">
        <v>699</v>
      </c>
      <c r="C39" s="104" t="n">
        <f aca="false">Trial_Balance!D11</f>
        <v>12033.26</v>
      </c>
    </row>
    <row r="40" customFormat="false" ht="15" hidden="false" customHeight="true" outlineLevel="0" collapsed="false">
      <c r="A40" s="105" t="s">
        <v>665</v>
      </c>
      <c r="B40" s="106"/>
      <c r="C40" s="107" t="n">
        <f aca="false">C39</f>
        <v>12033.26</v>
      </c>
    </row>
    <row r="42" customFormat="false" ht="18" hidden="false" customHeight="true" outlineLevel="0" collapsed="false">
      <c r="A42" s="113" t="s">
        <v>700</v>
      </c>
      <c r="B42" s="113"/>
      <c r="C42" s="113"/>
    </row>
    <row r="43" customFormat="false" ht="15" hidden="false" customHeight="true" outlineLevel="0" collapsed="false">
      <c r="A43" s="103" t="s">
        <v>701</v>
      </c>
      <c r="C43" s="104" t="n">
        <f aca="false">Trial_Balance!D37</f>
        <v>222750.74</v>
      </c>
    </row>
    <row r="44" customFormat="false" ht="15" hidden="false" customHeight="true" outlineLevel="0" collapsed="false">
      <c r="A44" s="103" t="s">
        <v>702</v>
      </c>
      <c r="C44" s="104" t="n">
        <f aca="false">C26</f>
        <v>731093.09</v>
      </c>
    </row>
    <row r="45" customFormat="false" ht="15" hidden="false" customHeight="true" outlineLevel="0" collapsed="false">
      <c r="A45" s="105" t="s">
        <v>703</v>
      </c>
      <c r="B45" s="106"/>
      <c r="C45" s="107" t="n">
        <f aca="false">C43+C44</f>
        <v>953843.83</v>
      </c>
    </row>
    <row r="46" customFormat="false" ht="15" hidden="false" customHeight="true" outlineLevel="0" collapsed="false">
      <c r="A46" s="105" t="s">
        <v>704</v>
      </c>
      <c r="B46" s="106"/>
      <c r="C46" s="107" t="n">
        <f aca="false">C40+C45</f>
        <v>965877.09</v>
      </c>
    </row>
    <row r="47" customFormat="false" ht="15" hidden="false" customHeight="true" outlineLevel="0" collapsed="false">
      <c r="A47" s="25" t="s">
        <v>630</v>
      </c>
      <c r="C47" s="109" t="str">
        <f aca="false">IF(ROUND(C35-C46,2)=0,"✓ BALANCED","✗ CHECK")</f>
        <v>✓ BALANCED</v>
      </c>
    </row>
    <row r="49" customFormat="false" ht="15.75" hidden="false" customHeight="true" outlineLevel="0" collapsed="false">
      <c r="A49" s="101" t="s">
        <v>667</v>
      </c>
    </row>
    <row r="51" customFormat="false" ht="18" hidden="false" customHeight="true" outlineLevel="0" collapsed="false">
      <c r="A51" s="112" t="s">
        <v>668</v>
      </c>
      <c r="B51" s="112"/>
      <c r="C51" s="112"/>
    </row>
    <row r="52" customFormat="false" ht="15" hidden="false" customHeight="true" outlineLevel="0" collapsed="false">
      <c r="A52" s="103" t="s">
        <v>705</v>
      </c>
      <c r="C52" s="104" t="n">
        <f aca="false">C26</f>
        <v>731093.09</v>
      </c>
    </row>
    <row r="53" customFormat="false" ht="15" hidden="false" customHeight="true" outlineLevel="0" collapsed="false">
      <c r="A53" s="103" t="s">
        <v>706</v>
      </c>
      <c r="C53" s="104"/>
    </row>
    <row r="54" customFormat="false" ht="15" hidden="false" customHeight="true" outlineLevel="0" collapsed="false">
      <c r="A54" s="114" t="s">
        <v>707</v>
      </c>
      <c r="C54" s="104" t="n">
        <f aca="false">-C33</f>
        <v>-466237.76</v>
      </c>
    </row>
    <row r="55" customFormat="false" ht="15" hidden="false" customHeight="true" outlineLevel="0" collapsed="false">
      <c r="A55" s="114" t="s">
        <v>708</v>
      </c>
      <c r="C55" s="104" t="n">
        <f aca="false">C39</f>
        <v>12033.26</v>
      </c>
    </row>
    <row r="56" customFormat="false" ht="15" hidden="false" customHeight="true" outlineLevel="0" collapsed="false">
      <c r="A56" s="105" t="s">
        <v>709</v>
      </c>
      <c r="B56" s="106"/>
      <c r="C56" s="107" t="n">
        <f aca="false">C26-C33+C39</f>
        <v>276888.59</v>
      </c>
    </row>
    <row r="58" customFormat="false" ht="18" hidden="false" customHeight="true" outlineLevel="0" collapsed="false">
      <c r="A58" s="112" t="s">
        <v>672</v>
      </c>
      <c r="B58" s="112"/>
      <c r="C58" s="112"/>
    </row>
    <row r="59" customFormat="false" ht="15" hidden="false" customHeight="true" outlineLevel="0" collapsed="false">
      <c r="A59" s="103" t="s">
        <v>673</v>
      </c>
      <c r="C59" s="104" t="n">
        <v>0</v>
      </c>
    </row>
    <row r="60" customFormat="false" ht="15" hidden="false" customHeight="true" outlineLevel="0" collapsed="false">
      <c r="A60" s="105" t="s">
        <v>710</v>
      </c>
      <c r="B60" s="106"/>
      <c r="C60" s="107" t="n">
        <v>0</v>
      </c>
    </row>
    <row r="62" customFormat="false" ht="18" hidden="false" customHeight="true" outlineLevel="0" collapsed="false">
      <c r="A62" s="112" t="s">
        <v>675</v>
      </c>
      <c r="B62" s="112"/>
      <c r="C62" s="112"/>
    </row>
    <row r="63" customFormat="false" ht="15" hidden="false" customHeight="true" outlineLevel="0" collapsed="false">
      <c r="A63" s="103" t="s">
        <v>673</v>
      </c>
      <c r="C63" s="104" t="n">
        <v>0</v>
      </c>
    </row>
    <row r="64" customFormat="false" ht="15" hidden="false" customHeight="true" outlineLevel="0" collapsed="false">
      <c r="A64" s="105" t="s">
        <v>711</v>
      </c>
      <c r="B64" s="106"/>
      <c r="C64" s="107" t="n">
        <v>0</v>
      </c>
    </row>
    <row r="66" customFormat="false" ht="15" hidden="false" customHeight="true" outlineLevel="0" collapsed="false">
      <c r="A66" s="105" t="s">
        <v>677</v>
      </c>
      <c r="B66" s="106"/>
      <c r="C66" s="107" t="n">
        <f aca="false">C56+C60+C64</f>
        <v>276888.59</v>
      </c>
    </row>
    <row r="67" customFormat="false" ht="15" hidden="false" customHeight="true" outlineLevel="0" collapsed="false">
      <c r="A67" s="103" t="s">
        <v>678</v>
      </c>
      <c r="C67" s="104" t="n">
        <f aca="false">C32-C66</f>
        <v>222750.74</v>
      </c>
    </row>
    <row r="68" customFormat="false" ht="15" hidden="false" customHeight="true" outlineLevel="0" collapsed="false">
      <c r="A68" s="110" t="s">
        <v>679</v>
      </c>
      <c r="C68" s="111" t="n">
        <f aca="false">C67+C66</f>
        <v>499639.33</v>
      </c>
    </row>
  </sheetData>
  <mergeCells count="13">
    <mergeCell ref="A1:C1"/>
    <mergeCell ref="A2:C2"/>
    <mergeCell ref="A6:C6"/>
    <mergeCell ref="A13:C13"/>
    <mergeCell ref="A18:C18"/>
    <mergeCell ref="A30:C30"/>
    <mergeCell ref="A31:C31"/>
    <mergeCell ref="A37:C37"/>
    <mergeCell ref="A38:C38"/>
    <mergeCell ref="A42:C42"/>
    <mergeCell ref="A51:C51"/>
    <mergeCell ref="A58:C58"/>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A1:M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18"/>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26"/>
    <col collapsed="false" customWidth="true" hidden="false" outlineLevel="0" max="9" min="9" style="0" width="16"/>
    <col collapsed="false" customWidth="true" hidden="false" outlineLevel="0" max="10" min="10" style="0" width="14"/>
    <col collapsed="false" customWidth="true" hidden="false" outlineLevel="0" max="11" min="11" style="0" width="20"/>
    <col collapsed="false" customWidth="true" hidden="false" outlineLevel="0" max="12" min="12" style="0" width="15"/>
    <col collapsed="false" customWidth="true" hidden="false" outlineLevel="0" max="13" min="13" style="0" width="30"/>
  </cols>
  <sheetData>
    <row r="1" customFormat="false" ht="15" hidden="false" customHeight="false" outlineLevel="0" collapsed="false">
      <c r="A1" s="115" t="s">
        <v>712</v>
      </c>
      <c r="B1" s="115"/>
      <c r="C1" s="115"/>
      <c r="D1" s="115"/>
      <c r="E1" s="115"/>
      <c r="F1" s="115"/>
      <c r="G1" s="115"/>
      <c r="H1" s="115"/>
      <c r="I1" s="115"/>
      <c r="J1" s="115"/>
      <c r="K1" s="115"/>
      <c r="L1" s="115"/>
      <c r="M1" s="115"/>
    </row>
    <row r="2" customFormat="false" ht="30" hidden="false" customHeight="true" outlineLevel="0" collapsed="false">
      <c r="A2" s="116" t="s">
        <v>713</v>
      </c>
      <c r="B2" s="116"/>
      <c r="C2" s="116"/>
      <c r="D2" s="116"/>
      <c r="E2" s="116"/>
      <c r="F2" s="116"/>
      <c r="G2" s="116"/>
      <c r="H2" s="116"/>
      <c r="I2" s="116"/>
      <c r="J2" s="116"/>
      <c r="K2" s="116"/>
      <c r="L2" s="116"/>
      <c r="M2" s="116"/>
    </row>
    <row r="3" customFormat="false" ht="24" hidden="false" customHeight="true" outlineLevel="0" collapsed="false">
      <c r="A3" s="85" t="s">
        <v>714</v>
      </c>
      <c r="B3" s="85" t="s">
        <v>315</v>
      </c>
      <c r="C3" s="85" t="s">
        <v>715</v>
      </c>
      <c r="D3" s="85" t="s">
        <v>716</v>
      </c>
      <c r="E3" s="85" t="s">
        <v>717</v>
      </c>
      <c r="F3" s="85" t="s">
        <v>718</v>
      </c>
      <c r="G3" s="85" t="s">
        <v>719</v>
      </c>
      <c r="H3" s="85" t="s">
        <v>720</v>
      </c>
      <c r="I3" s="85" t="s">
        <v>721</v>
      </c>
      <c r="J3" s="85" t="s">
        <v>722</v>
      </c>
      <c r="K3" s="85" t="s">
        <v>723</v>
      </c>
      <c r="L3" s="85" t="s">
        <v>724</v>
      </c>
      <c r="M3" s="85" t="s">
        <v>265</v>
      </c>
    </row>
    <row r="4" customFormat="false" ht="15" hidden="false" customHeight="false" outlineLevel="0" collapsed="false">
      <c r="A4" s="39" t="s">
        <v>168</v>
      </c>
      <c r="B4" s="39" t="s">
        <v>318</v>
      </c>
      <c r="C4" s="39" t="s">
        <v>725</v>
      </c>
      <c r="D4" s="39" t="s">
        <v>726</v>
      </c>
      <c r="E4" s="39" t="s">
        <v>727</v>
      </c>
      <c r="F4" s="39" t="s">
        <v>728</v>
      </c>
      <c r="G4" s="39" t="s">
        <v>267</v>
      </c>
      <c r="H4" s="39" t="s">
        <v>729</v>
      </c>
      <c r="I4" s="39" t="s">
        <v>730</v>
      </c>
      <c r="J4" s="117" t="n">
        <v>30</v>
      </c>
      <c r="K4" s="39" t="s">
        <v>731</v>
      </c>
      <c r="L4" s="39" t="s">
        <v>732</v>
      </c>
      <c r="M4" s="39"/>
    </row>
    <row r="5" customFormat="false" ht="15" hidden="false" customHeight="false" outlineLevel="0" collapsed="false">
      <c r="A5" s="39" t="s">
        <v>144</v>
      </c>
      <c r="B5" s="39" t="s">
        <v>318</v>
      </c>
      <c r="C5" s="39" t="s">
        <v>733</v>
      </c>
      <c r="D5" s="39" t="s">
        <v>726</v>
      </c>
      <c r="E5" s="39" t="s">
        <v>734</v>
      </c>
      <c r="F5" s="39" t="s">
        <v>735</v>
      </c>
      <c r="G5" s="39"/>
      <c r="H5" s="39" t="s">
        <v>736</v>
      </c>
      <c r="I5" s="39" t="s">
        <v>737</v>
      </c>
      <c r="J5" s="117" t="n">
        <v>30</v>
      </c>
      <c r="K5" s="39"/>
      <c r="L5" s="39" t="s">
        <v>732</v>
      </c>
      <c r="M5" s="39"/>
    </row>
    <row r="6" customFormat="false" ht="15" hidden="false" customHeight="false" outlineLevel="0" collapsed="false">
      <c r="A6" s="39" t="s">
        <v>141</v>
      </c>
      <c r="B6" s="39" t="s">
        <v>323</v>
      </c>
      <c r="C6" s="39" t="s">
        <v>733</v>
      </c>
      <c r="D6" s="39" t="s">
        <v>738</v>
      </c>
      <c r="E6" s="39" t="s">
        <v>739</v>
      </c>
      <c r="F6" s="39"/>
      <c r="G6" s="39"/>
      <c r="H6" s="39" t="s">
        <v>740</v>
      </c>
      <c r="I6" s="39" t="s">
        <v>741</v>
      </c>
      <c r="J6" s="117" t="n">
        <v>45</v>
      </c>
      <c r="K6" s="39"/>
      <c r="L6" s="39" t="s">
        <v>732</v>
      </c>
      <c r="M6" s="39"/>
    </row>
    <row r="7" customFormat="false" ht="15" hidden="false" customHeight="false" outlineLevel="0" collapsed="false">
      <c r="A7" s="39" t="s">
        <v>147</v>
      </c>
      <c r="B7" s="39" t="s">
        <v>318</v>
      </c>
      <c r="C7" s="39" t="s">
        <v>742</v>
      </c>
      <c r="D7" s="39" t="s">
        <v>726</v>
      </c>
      <c r="E7" s="39" t="s">
        <v>743</v>
      </c>
      <c r="F7" s="39"/>
      <c r="G7" s="39"/>
      <c r="H7" s="39" t="s">
        <v>744</v>
      </c>
      <c r="I7" s="39" t="s">
        <v>745</v>
      </c>
      <c r="J7" s="117" t="n">
        <v>60</v>
      </c>
      <c r="K7" s="39"/>
      <c r="L7" s="39" t="s">
        <v>732</v>
      </c>
      <c r="M7" s="39" t="s">
        <v>746</v>
      </c>
    </row>
    <row r="8" customFormat="false" ht="15" hidden="false" customHeight="false" outlineLevel="0" collapsed="false">
      <c r="A8" s="39" t="s">
        <v>150</v>
      </c>
      <c r="B8" s="39" t="s">
        <v>318</v>
      </c>
      <c r="C8" s="39" t="s">
        <v>747</v>
      </c>
      <c r="D8" s="39" t="s">
        <v>738</v>
      </c>
      <c r="E8" s="39" t="s">
        <v>748</v>
      </c>
      <c r="F8" s="39" t="s">
        <v>749</v>
      </c>
      <c r="G8" s="39" t="s">
        <v>750</v>
      </c>
      <c r="H8" s="39" t="s">
        <v>751</v>
      </c>
      <c r="I8" s="39" t="s">
        <v>752</v>
      </c>
      <c r="J8" s="117" t="n">
        <v>30</v>
      </c>
      <c r="K8" s="39" t="s">
        <v>753</v>
      </c>
      <c r="L8" s="39" t="s">
        <v>732</v>
      </c>
      <c r="M8" s="39"/>
    </row>
    <row r="9" customFormat="false" ht="15" hidden="false" customHeight="false" outlineLevel="0" collapsed="false">
      <c r="A9" s="39" t="s">
        <v>152</v>
      </c>
      <c r="B9" s="39" t="s">
        <v>325</v>
      </c>
      <c r="C9" s="39" t="s">
        <v>754</v>
      </c>
      <c r="D9" s="39" t="s">
        <v>755</v>
      </c>
      <c r="E9" s="39" t="s">
        <v>756</v>
      </c>
      <c r="F9" s="39" t="s">
        <v>757</v>
      </c>
      <c r="G9" s="39" t="s">
        <v>758</v>
      </c>
      <c r="H9" s="39" t="s">
        <v>759</v>
      </c>
      <c r="I9" s="39" t="s">
        <v>760</v>
      </c>
      <c r="J9" s="117" t="n">
        <v>30</v>
      </c>
      <c r="K9" s="39" t="s">
        <v>731</v>
      </c>
      <c r="L9" s="39" t="s">
        <v>732</v>
      </c>
      <c r="M9" s="39"/>
    </row>
    <row r="10" customFormat="false" ht="15" hidden="false" customHeight="false" outlineLevel="0" collapsed="false">
      <c r="A10" s="39" t="s">
        <v>178</v>
      </c>
      <c r="B10" s="39" t="s">
        <v>325</v>
      </c>
      <c r="C10" s="39" t="s">
        <v>761</v>
      </c>
      <c r="D10" s="39" t="s">
        <v>755</v>
      </c>
      <c r="E10" s="39" t="s">
        <v>762</v>
      </c>
      <c r="F10" s="39" t="s">
        <v>763</v>
      </c>
      <c r="G10" s="39" t="s">
        <v>764</v>
      </c>
      <c r="H10" s="39" t="s">
        <v>765</v>
      </c>
      <c r="I10" s="39" t="s">
        <v>766</v>
      </c>
      <c r="J10" s="117" t="n">
        <v>30</v>
      </c>
      <c r="K10" s="39"/>
      <c r="L10" s="39" t="s">
        <v>732</v>
      </c>
      <c r="M10" s="39"/>
    </row>
    <row r="11" customFormat="false" ht="15" hidden="false" customHeight="false" outlineLevel="0" collapsed="false">
      <c r="A11" s="39" t="s">
        <v>202</v>
      </c>
      <c r="B11" s="39" t="s">
        <v>326</v>
      </c>
      <c r="C11" s="39" t="s">
        <v>767</v>
      </c>
      <c r="D11" s="39" t="s">
        <v>738</v>
      </c>
      <c r="E11" s="39" t="s">
        <v>768</v>
      </c>
      <c r="F11" s="39"/>
      <c r="G11" s="39"/>
      <c r="H11" s="39" t="s">
        <v>769</v>
      </c>
      <c r="I11" s="39" t="s">
        <v>770</v>
      </c>
      <c r="J11" s="117" t="n">
        <v>45</v>
      </c>
      <c r="K11" s="39"/>
      <c r="L11" s="39" t="s">
        <v>732</v>
      </c>
      <c r="M11" s="39"/>
    </row>
    <row r="12" customFormat="false" ht="15" hidden="false" customHeight="false" outlineLevel="0" collapsed="false">
      <c r="A12" s="39" t="s">
        <v>166</v>
      </c>
      <c r="B12" s="39" t="s">
        <v>327</v>
      </c>
      <c r="C12" s="39" t="s">
        <v>771</v>
      </c>
      <c r="D12" s="39" t="s">
        <v>738</v>
      </c>
      <c r="E12" s="39" t="s">
        <v>772</v>
      </c>
      <c r="F12" s="39"/>
      <c r="G12" s="39"/>
      <c r="H12" s="39" t="s">
        <v>773</v>
      </c>
      <c r="I12" s="39" t="s">
        <v>774</v>
      </c>
      <c r="J12" s="117" t="n">
        <v>30</v>
      </c>
      <c r="K12" s="39"/>
      <c r="L12" s="39" t="s">
        <v>732</v>
      </c>
      <c r="M12" s="39"/>
    </row>
    <row r="13" customFormat="false" ht="15" hidden="false" customHeight="false" outlineLevel="0" collapsed="false">
      <c r="A13" s="39" t="s">
        <v>156</v>
      </c>
      <c r="B13" s="39" t="s">
        <v>318</v>
      </c>
      <c r="C13" s="39" t="s">
        <v>733</v>
      </c>
      <c r="D13" s="39" t="s">
        <v>726</v>
      </c>
      <c r="E13" s="39" t="s">
        <v>775</v>
      </c>
      <c r="F13" s="39" t="s">
        <v>776</v>
      </c>
      <c r="G13" s="39" t="s">
        <v>777</v>
      </c>
      <c r="H13" s="39" t="s">
        <v>778</v>
      </c>
      <c r="I13" s="39" t="s">
        <v>779</v>
      </c>
      <c r="J13" s="117" t="n">
        <v>30</v>
      </c>
      <c r="K13" s="39" t="s">
        <v>154</v>
      </c>
      <c r="L13" s="39" t="s">
        <v>732</v>
      </c>
      <c r="M13" s="39"/>
    </row>
    <row r="14" customFormat="false" ht="15" hidden="false" customHeight="false" outlineLevel="0" collapsed="false">
      <c r="A14" s="39" t="s">
        <v>136</v>
      </c>
      <c r="B14" s="39" t="s">
        <v>323</v>
      </c>
      <c r="C14" s="39" t="s">
        <v>780</v>
      </c>
      <c r="D14" s="39" t="s">
        <v>738</v>
      </c>
      <c r="E14" s="39" t="s">
        <v>781</v>
      </c>
      <c r="F14" s="39"/>
      <c r="G14" s="39"/>
      <c r="H14" s="39" t="s">
        <v>782</v>
      </c>
      <c r="I14" s="39" t="s">
        <v>783</v>
      </c>
      <c r="J14" s="117" t="n">
        <v>60</v>
      </c>
      <c r="K14" s="39"/>
      <c r="L14" s="39" t="s">
        <v>732</v>
      </c>
      <c r="M14" s="39"/>
    </row>
    <row r="15" customFormat="false" ht="15" hidden="false" customHeight="false" outlineLevel="0" collapsed="false">
      <c r="A15" s="39" t="s">
        <v>164</v>
      </c>
      <c r="B15" s="39" t="s">
        <v>327</v>
      </c>
      <c r="C15" s="39" t="s">
        <v>784</v>
      </c>
      <c r="D15" s="39" t="s">
        <v>738</v>
      </c>
      <c r="E15" s="39" t="s">
        <v>785</v>
      </c>
      <c r="F15" s="39"/>
      <c r="G15" s="39"/>
      <c r="H15" s="39" t="s">
        <v>786</v>
      </c>
      <c r="I15" s="39" t="s">
        <v>787</v>
      </c>
      <c r="J15" s="117" t="n">
        <v>60</v>
      </c>
      <c r="K15" s="39"/>
      <c r="L15" s="39" t="s">
        <v>732</v>
      </c>
      <c r="M15" s="39"/>
    </row>
    <row r="16" customFormat="false" ht="15" hidden="false" customHeight="false" outlineLevel="0" collapsed="false">
      <c r="A16" s="39"/>
      <c r="B16" s="39"/>
      <c r="C16" s="39"/>
      <c r="D16" s="39"/>
      <c r="E16" s="39"/>
      <c r="F16" s="39"/>
      <c r="G16" s="39"/>
      <c r="H16" s="39"/>
      <c r="I16" s="39"/>
      <c r="J16" s="39"/>
      <c r="K16" s="39"/>
      <c r="L16" s="39"/>
      <c r="M16" s="39"/>
    </row>
    <row r="17" customFormat="false" ht="15" hidden="false" customHeight="false" outlineLevel="0" collapsed="false">
      <c r="A17" s="39"/>
      <c r="B17" s="39"/>
      <c r="C17" s="39"/>
      <c r="D17" s="39"/>
      <c r="E17" s="39"/>
      <c r="F17" s="39"/>
      <c r="G17" s="39"/>
      <c r="H17" s="39"/>
      <c r="I17" s="39"/>
      <c r="J17" s="39"/>
      <c r="K17" s="39"/>
      <c r="L17" s="39"/>
      <c r="M17" s="39"/>
    </row>
    <row r="18" customFormat="false" ht="15" hidden="false" customHeight="false" outlineLevel="0" collapsed="false">
      <c r="A18" s="39"/>
      <c r="B18" s="39"/>
      <c r="C18" s="39"/>
      <c r="D18" s="39"/>
      <c r="E18" s="39"/>
      <c r="F18" s="39"/>
      <c r="G18" s="39"/>
      <c r="H18" s="39"/>
      <c r="I18" s="39"/>
      <c r="J18" s="39"/>
      <c r="K18" s="39"/>
      <c r="L18" s="39"/>
      <c r="M18" s="39"/>
    </row>
    <row r="19" customFormat="false" ht="15" hidden="false" customHeight="false" outlineLevel="0" collapsed="false">
      <c r="A19" s="39"/>
      <c r="B19" s="39"/>
      <c r="C19" s="39"/>
      <c r="D19" s="39"/>
      <c r="E19" s="39"/>
      <c r="F19" s="39"/>
      <c r="G19" s="39"/>
      <c r="H19" s="39"/>
      <c r="I19" s="39"/>
      <c r="J19" s="39"/>
      <c r="K19" s="39"/>
      <c r="L19" s="39"/>
      <c r="M19" s="39"/>
    </row>
    <row r="20" customFormat="false" ht="15" hidden="false" customHeight="false" outlineLevel="0" collapsed="false">
      <c r="A20" s="39"/>
      <c r="B20" s="39"/>
      <c r="C20" s="39"/>
      <c r="D20" s="39"/>
      <c r="E20" s="39"/>
      <c r="F20" s="39"/>
      <c r="G20" s="39"/>
      <c r="H20" s="39"/>
      <c r="I20" s="39"/>
      <c r="J20" s="39"/>
      <c r="K20" s="39"/>
      <c r="L20" s="39"/>
      <c r="M20" s="39"/>
    </row>
    <row r="21" customFormat="false" ht="15" hidden="false" customHeight="false" outlineLevel="0" collapsed="false">
      <c r="A21" s="39"/>
      <c r="B21" s="39"/>
      <c r="C21" s="39"/>
      <c r="D21" s="39"/>
      <c r="E21" s="39"/>
      <c r="F21" s="39"/>
      <c r="G21" s="39"/>
      <c r="H21" s="39"/>
      <c r="I21" s="39"/>
      <c r="J21" s="39"/>
      <c r="K21" s="39"/>
      <c r="L21" s="39"/>
      <c r="M21" s="39"/>
    </row>
    <row r="22" customFormat="false" ht="15" hidden="false" customHeight="false" outlineLevel="0" collapsed="false">
      <c r="A22" s="39"/>
      <c r="B22" s="39"/>
      <c r="C22" s="39"/>
      <c r="D22" s="39"/>
      <c r="E22" s="39"/>
      <c r="F22" s="39"/>
      <c r="G22" s="39"/>
      <c r="H22" s="39"/>
      <c r="I22" s="39"/>
      <c r="J22" s="39"/>
      <c r="K22" s="39"/>
      <c r="L22" s="39"/>
      <c r="M22" s="39"/>
    </row>
    <row r="23" customFormat="false" ht="15" hidden="false" customHeight="false" outlineLevel="0" collapsed="false">
      <c r="A23" s="39"/>
      <c r="B23" s="39"/>
      <c r="C23" s="39"/>
      <c r="D23" s="39"/>
      <c r="E23" s="39"/>
      <c r="F23" s="39"/>
      <c r="G23" s="39"/>
      <c r="H23" s="39"/>
      <c r="I23" s="39"/>
      <c r="J23" s="39"/>
      <c r="K23" s="39"/>
      <c r="L23" s="39"/>
      <c r="M23" s="39"/>
    </row>
    <row r="24" customFormat="false" ht="15" hidden="false" customHeight="false" outlineLevel="0" collapsed="false">
      <c r="A24" s="39"/>
      <c r="B24" s="39"/>
      <c r="C24" s="39"/>
      <c r="D24" s="39"/>
      <c r="E24" s="39"/>
      <c r="F24" s="39"/>
      <c r="G24" s="39"/>
      <c r="H24" s="39"/>
      <c r="I24" s="39"/>
      <c r="J24" s="39"/>
      <c r="K24" s="39"/>
      <c r="L24" s="39"/>
      <c r="M24" s="39"/>
    </row>
    <row r="25" customFormat="false" ht="15" hidden="false" customHeight="false" outlineLevel="0" collapsed="false">
      <c r="A25" s="39"/>
      <c r="B25" s="39"/>
      <c r="C25" s="39"/>
      <c r="D25" s="39"/>
      <c r="E25" s="39"/>
      <c r="F25" s="39"/>
      <c r="G25" s="39"/>
      <c r="H25" s="39"/>
      <c r="I25" s="39"/>
      <c r="J25" s="39"/>
      <c r="K25" s="39"/>
      <c r="L25" s="39"/>
      <c r="M25" s="39"/>
    </row>
    <row r="26" customFormat="false" ht="15" hidden="false" customHeight="false" outlineLevel="0" collapsed="false">
      <c r="A26" s="39"/>
      <c r="B26" s="39"/>
      <c r="C26" s="39"/>
      <c r="D26" s="39"/>
      <c r="E26" s="39"/>
      <c r="F26" s="39"/>
      <c r="G26" s="39"/>
      <c r="H26" s="39"/>
      <c r="I26" s="39"/>
      <c r="J26" s="39"/>
      <c r="K26" s="39"/>
      <c r="L26" s="39"/>
      <c r="M26" s="39"/>
    </row>
    <row r="27" customFormat="false" ht="15" hidden="false" customHeight="false" outlineLevel="0" collapsed="false">
      <c r="A27" s="39"/>
      <c r="B27" s="39"/>
      <c r="C27" s="39"/>
      <c r="D27" s="39"/>
      <c r="E27" s="39"/>
      <c r="F27" s="39"/>
      <c r="G27" s="39"/>
      <c r="H27" s="39"/>
      <c r="I27" s="39"/>
      <c r="J27" s="39"/>
      <c r="K27" s="39"/>
      <c r="L27" s="39"/>
      <c r="M27" s="39"/>
    </row>
    <row r="28" customFormat="false" ht="15" hidden="false" customHeight="false" outlineLevel="0" collapsed="false">
      <c r="A28" s="39"/>
      <c r="B28" s="39"/>
      <c r="C28" s="39"/>
      <c r="D28" s="39"/>
      <c r="E28" s="39"/>
      <c r="F28" s="39"/>
      <c r="G28" s="39"/>
      <c r="H28" s="39"/>
      <c r="I28" s="39"/>
      <c r="J28" s="39"/>
      <c r="K28" s="39"/>
      <c r="L28" s="39"/>
      <c r="M28" s="39"/>
    </row>
    <row r="29" customFormat="false" ht="15" hidden="false" customHeight="false" outlineLevel="0" collapsed="false">
      <c r="A29" s="39"/>
      <c r="B29" s="39"/>
      <c r="C29" s="39"/>
      <c r="D29" s="39"/>
      <c r="E29" s="39"/>
      <c r="F29" s="39"/>
      <c r="G29" s="39"/>
      <c r="H29" s="39"/>
      <c r="I29" s="39"/>
      <c r="J29" s="39"/>
      <c r="K29" s="39"/>
      <c r="L29" s="39"/>
      <c r="M29" s="39"/>
    </row>
    <row r="30" customFormat="false" ht="15" hidden="false" customHeight="false" outlineLevel="0" collapsed="false">
      <c r="A30" s="39"/>
      <c r="B30" s="39"/>
      <c r="C30" s="39"/>
      <c r="D30" s="39"/>
      <c r="E30" s="39"/>
      <c r="F30" s="39"/>
      <c r="G30" s="39"/>
      <c r="H30" s="39"/>
      <c r="I30" s="39"/>
      <c r="J30" s="39"/>
      <c r="K30" s="39"/>
      <c r="L30" s="39"/>
      <c r="M30" s="39"/>
    </row>
    <row r="31" customFormat="false" ht="15" hidden="false" customHeight="false" outlineLevel="0" collapsed="false">
      <c r="A31" s="39"/>
      <c r="B31" s="39"/>
      <c r="C31" s="39"/>
      <c r="D31" s="39"/>
      <c r="E31" s="39"/>
      <c r="F31" s="39"/>
      <c r="G31" s="39"/>
      <c r="H31" s="39"/>
      <c r="I31" s="39"/>
      <c r="J31" s="39"/>
      <c r="K31" s="39"/>
      <c r="L31" s="39"/>
      <c r="M31" s="39"/>
    </row>
    <row r="32" customFormat="false" ht="15" hidden="false" customHeight="false" outlineLevel="0" collapsed="false">
      <c r="A32" s="39"/>
      <c r="B32" s="39"/>
      <c r="C32" s="39"/>
      <c r="D32" s="39"/>
      <c r="E32" s="39"/>
      <c r="F32" s="39"/>
      <c r="G32" s="39"/>
      <c r="H32" s="39"/>
      <c r="I32" s="39"/>
      <c r="J32" s="39"/>
      <c r="K32" s="39"/>
      <c r="L32" s="39"/>
      <c r="M32" s="39"/>
    </row>
    <row r="33" customFormat="false" ht="15" hidden="false" customHeight="false" outlineLevel="0" collapsed="false">
      <c r="A33" s="39"/>
      <c r="B33" s="39"/>
      <c r="C33" s="39"/>
      <c r="D33" s="39"/>
      <c r="E33" s="39"/>
      <c r="F33" s="39"/>
      <c r="G33" s="39"/>
      <c r="H33" s="39"/>
      <c r="I33" s="39"/>
      <c r="J33" s="39"/>
      <c r="K33" s="39"/>
      <c r="L33" s="39"/>
      <c r="M33" s="39"/>
    </row>
    <row r="34" customFormat="false" ht="15" hidden="false" customHeight="false" outlineLevel="0" collapsed="false">
      <c r="A34" s="39"/>
      <c r="B34" s="39"/>
      <c r="C34" s="39"/>
      <c r="D34" s="39"/>
      <c r="E34" s="39"/>
      <c r="F34" s="39"/>
      <c r="G34" s="39"/>
      <c r="H34" s="39"/>
      <c r="I34" s="39"/>
      <c r="J34" s="39"/>
      <c r="K34" s="39"/>
      <c r="L34" s="39"/>
      <c r="M34" s="39"/>
    </row>
    <row r="35" customFormat="false" ht="15" hidden="false" customHeight="false" outlineLevel="0" collapsed="false">
      <c r="A35" s="39"/>
      <c r="B35" s="39"/>
      <c r="C35" s="39"/>
      <c r="D35" s="39"/>
      <c r="E35" s="39"/>
      <c r="F35" s="39"/>
      <c r="G35" s="39"/>
      <c r="H35" s="39"/>
      <c r="I35" s="39"/>
      <c r="J35" s="39"/>
      <c r="K35" s="39"/>
      <c r="L35" s="39"/>
      <c r="M35" s="39"/>
    </row>
    <row r="36" customFormat="false" ht="15" hidden="false" customHeight="false" outlineLevel="0" collapsed="false">
      <c r="A36" s="39"/>
      <c r="B36" s="39"/>
      <c r="C36" s="39"/>
      <c r="D36" s="39"/>
      <c r="E36" s="39"/>
      <c r="F36" s="39"/>
      <c r="G36" s="39"/>
      <c r="H36" s="39"/>
      <c r="I36" s="39"/>
      <c r="J36" s="39"/>
      <c r="K36" s="39"/>
      <c r="L36" s="39"/>
      <c r="M36" s="39"/>
    </row>
    <row r="37" customFormat="false" ht="15" hidden="false" customHeight="false" outlineLevel="0" collapsed="false">
      <c r="A37" s="39"/>
      <c r="B37" s="39"/>
      <c r="C37" s="39"/>
      <c r="D37" s="39"/>
      <c r="E37" s="39"/>
      <c r="F37" s="39"/>
      <c r="G37" s="39"/>
      <c r="H37" s="39"/>
      <c r="I37" s="39"/>
      <c r="J37" s="39"/>
      <c r="K37" s="39"/>
      <c r="L37" s="39"/>
      <c r="M37" s="39"/>
    </row>
    <row r="38" customFormat="false" ht="15" hidden="false" customHeight="false" outlineLevel="0" collapsed="false">
      <c r="A38" s="39"/>
      <c r="B38" s="39"/>
      <c r="C38" s="39"/>
      <c r="D38" s="39"/>
      <c r="E38" s="39"/>
      <c r="F38" s="39"/>
      <c r="G38" s="39"/>
      <c r="H38" s="39"/>
      <c r="I38" s="39"/>
      <c r="J38" s="39"/>
      <c r="K38" s="39"/>
      <c r="L38" s="39"/>
      <c r="M38" s="39"/>
    </row>
    <row r="39" customFormat="false" ht="15" hidden="false" customHeight="false" outlineLevel="0" collapsed="false">
      <c r="A39" s="39"/>
      <c r="B39" s="39"/>
      <c r="C39" s="39"/>
      <c r="D39" s="39"/>
      <c r="E39" s="39"/>
      <c r="F39" s="39"/>
      <c r="G39" s="39"/>
      <c r="H39" s="39"/>
      <c r="I39" s="39"/>
      <c r="J39" s="39"/>
      <c r="K39" s="39"/>
      <c r="L39" s="39"/>
      <c r="M39" s="39"/>
    </row>
    <row r="40" customFormat="false" ht="15" hidden="false" customHeight="false" outlineLevel="0" collapsed="false">
      <c r="A40" s="39"/>
      <c r="B40" s="39"/>
      <c r="C40" s="39"/>
      <c r="D40" s="39"/>
      <c r="E40" s="39"/>
      <c r="F40" s="39"/>
      <c r="G40" s="39"/>
      <c r="H40" s="39"/>
      <c r="I40" s="39"/>
      <c r="J40" s="39"/>
      <c r="K40" s="39"/>
      <c r="L40" s="39"/>
      <c r="M40" s="39"/>
    </row>
    <row r="41" customFormat="false" ht="15" hidden="false" customHeight="false" outlineLevel="0" collapsed="false">
      <c r="A41" s="39"/>
      <c r="B41" s="39"/>
      <c r="C41" s="39"/>
      <c r="D41" s="39"/>
      <c r="E41" s="39"/>
      <c r="F41" s="39"/>
      <c r="G41" s="39"/>
      <c r="H41" s="39"/>
      <c r="I41" s="39"/>
      <c r="J41" s="39"/>
      <c r="K41" s="39"/>
      <c r="L41" s="39"/>
      <c r="M41" s="39"/>
    </row>
    <row r="42" customFormat="false" ht="15" hidden="false" customHeight="false" outlineLevel="0" collapsed="false">
      <c r="A42" s="39"/>
      <c r="B42" s="39"/>
      <c r="C42" s="39"/>
      <c r="D42" s="39"/>
      <c r="E42" s="39"/>
      <c r="F42" s="39"/>
      <c r="G42" s="39"/>
      <c r="H42" s="39"/>
      <c r="I42" s="39"/>
      <c r="J42" s="39"/>
      <c r="K42" s="39"/>
      <c r="L42" s="39"/>
      <c r="M42" s="39"/>
    </row>
    <row r="43" customFormat="false" ht="15" hidden="false" customHeight="false" outlineLevel="0" collapsed="false">
      <c r="A43" s="39"/>
      <c r="B43" s="39"/>
      <c r="C43" s="39"/>
      <c r="D43" s="39"/>
      <c r="E43" s="39"/>
      <c r="F43" s="39"/>
      <c r="G43" s="39"/>
      <c r="H43" s="39"/>
      <c r="I43" s="39"/>
      <c r="J43" s="39"/>
      <c r="K43" s="39"/>
      <c r="L43" s="39"/>
      <c r="M43" s="39"/>
    </row>
    <row r="44" customFormat="false" ht="15" hidden="false" customHeight="false" outlineLevel="0" collapsed="false">
      <c r="A44" s="39"/>
      <c r="B44" s="39"/>
      <c r="C44" s="39"/>
      <c r="D44" s="39"/>
      <c r="E44" s="39"/>
      <c r="F44" s="39"/>
      <c r="G44" s="39"/>
      <c r="H44" s="39"/>
      <c r="I44" s="39"/>
      <c r="J44" s="39"/>
      <c r="K44" s="39"/>
      <c r="L44" s="39"/>
      <c r="M44" s="39"/>
    </row>
    <row r="45" customFormat="false" ht="15" hidden="false" customHeight="false" outlineLevel="0" collapsed="false">
      <c r="A45" s="39"/>
      <c r="B45" s="39"/>
      <c r="C45" s="39"/>
      <c r="D45" s="39"/>
      <c r="E45" s="39"/>
      <c r="F45" s="39"/>
      <c r="G45" s="39"/>
      <c r="H45" s="39"/>
      <c r="I45" s="39"/>
      <c r="J45" s="39"/>
      <c r="K45" s="39"/>
      <c r="L45" s="39"/>
      <c r="M45" s="39"/>
    </row>
    <row r="46" customFormat="false" ht="15" hidden="false" customHeight="false" outlineLevel="0" collapsed="false">
      <c r="A46" s="39"/>
      <c r="B46" s="39"/>
      <c r="C46" s="39"/>
      <c r="D46" s="39"/>
      <c r="E46" s="39"/>
      <c r="F46" s="39"/>
      <c r="G46" s="39"/>
      <c r="H46" s="39"/>
      <c r="I46" s="39"/>
      <c r="J46" s="39"/>
      <c r="K46" s="39"/>
      <c r="L46" s="39"/>
      <c r="M46" s="39"/>
    </row>
    <row r="47" customFormat="false" ht="15" hidden="false" customHeight="false" outlineLevel="0" collapsed="false">
      <c r="A47" s="39"/>
      <c r="B47" s="39"/>
      <c r="C47" s="39"/>
      <c r="D47" s="39"/>
      <c r="E47" s="39"/>
      <c r="F47" s="39"/>
      <c r="G47" s="39"/>
      <c r="H47" s="39"/>
      <c r="I47" s="39"/>
      <c r="J47" s="39"/>
      <c r="K47" s="39"/>
      <c r="L47" s="39"/>
      <c r="M47" s="39"/>
    </row>
    <row r="48" customFormat="false" ht="15" hidden="false" customHeight="false" outlineLevel="0" collapsed="false">
      <c r="A48" s="39"/>
      <c r="B48" s="39"/>
      <c r="C48" s="39"/>
      <c r="D48" s="39"/>
      <c r="E48" s="39"/>
      <c r="F48" s="39"/>
      <c r="G48" s="39"/>
      <c r="H48" s="39"/>
      <c r="I48" s="39"/>
      <c r="J48" s="39"/>
      <c r="K48" s="39"/>
      <c r="L48" s="39"/>
      <c r="M48" s="39"/>
    </row>
    <row r="49" customFormat="false" ht="15" hidden="false" customHeight="false" outlineLevel="0" collapsed="false">
      <c r="A49" s="39"/>
      <c r="B49" s="39"/>
      <c r="C49" s="39"/>
      <c r="D49" s="39"/>
      <c r="E49" s="39"/>
      <c r="F49" s="39"/>
      <c r="G49" s="39"/>
      <c r="H49" s="39"/>
      <c r="I49" s="39"/>
      <c r="J49" s="39"/>
      <c r="K49" s="39"/>
      <c r="L49" s="39"/>
      <c r="M49" s="39"/>
    </row>
    <row r="50" customFormat="false" ht="15" hidden="false" customHeight="false" outlineLevel="0" collapsed="false">
      <c r="A50" s="39"/>
      <c r="B50" s="39"/>
      <c r="C50" s="39"/>
      <c r="D50" s="39"/>
      <c r="E50" s="39"/>
      <c r="F50" s="39"/>
      <c r="G50" s="39"/>
      <c r="H50" s="39"/>
      <c r="I50" s="39"/>
      <c r="J50" s="39"/>
      <c r="K50" s="39"/>
      <c r="L50" s="39"/>
      <c r="M50" s="39"/>
    </row>
    <row r="51" customFormat="false" ht="15" hidden="false" customHeight="false" outlineLevel="0" collapsed="false">
      <c r="A51" s="39"/>
      <c r="B51" s="39"/>
      <c r="C51" s="39"/>
      <c r="D51" s="39"/>
      <c r="E51" s="39"/>
      <c r="F51" s="39"/>
      <c r="G51" s="39"/>
      <c r="H51" s="39"/>
      <c r="I51" s="39"/>
      <c r="J51" s="39"/>
      <c r="K51" s="39"/>
      <c r="L51" s="39"/>
      <c r="M51" s="39"/>
    </row>
    <row r="52" customFormat="false" ht="15" hidden="false" customHeight="false" outlineLevel="0" collapsed="false">
      <c r="A52" s="39"/>
      <c r="B52" s="39"/>
      <c r="C52" s="39"/>
      <c r="D52" s="39"/>
      <c r="E52" s="39"/>
      <c r="F52" s="39"/>
      <c r="G52" s="39"/>
      <c r="H52" s="39"/>
      <c r="I52" s="39"/>
      <c r="J52" s="39"/>
      <c r="K52" s="39"/>
      <c r="L52" s="39"/>
      <c r="M52" s="39"/>
    </row>
    <row r="53" customFormat="false" ht="15" hidden="false" customHeight="false" outlineLevel="0" collapsed="false">
      <c r="A53" s="39"/>
      <c r="B53" s="39"/>
      <c r="C53" s="39"/>
      <c r="D53" s="39"/>
      <c r="E53" s="39"/>
      <c r="F53" s="39"/>
      <c r="G53" s="39"/>
      <c r="H53" s="39"/>
      <c r="I53" s="39"/>
      <c r="J53" s="39"/>
      <c r="K53" s="39"/>
      <c r="L53" s="39"/>
      <c r="M53" s="39"/>
    </row>
    <row r="54" customFormat="false" ht="15" hidden="false" customHeight="false" outlineLevel="0" collapsed="false">
      <c r="A54" s="39"/>
      <c r="B54" s="39"/>
      <c r="C54" s="39"/>
      <c r="D54" s="39"/>
      <c r="E54" s="39"/>
      <c r="F54" s="39"/>
      <c r="G54" s="39"/>
      <c r="H54" s="39"/>
      <c r="I54" s="39"/>
      <c r="J54" s="39"/>
      <c r="K54" s="39"/>
      <c r="L54" s="39"/>
      <c r="M54" s="39"/>
    </row>
    <row r="55" customFormat="false" ht="15" hidden="false" customHeight="false" outlineLevel="0" collapsed="false">
      <c r="A55" s="39"/>
      <c r="B55" s="39"/>
      <c r="C55" s="39"/>
      <c r="D55" s="39"/>
      <c r="E55" s="39"/>
      <c r="F55" s="39"/>
      <c r="G55" s="39"/>
      <c r="H55" s="39"/>
      <c r="I55" s="39"/>
      <c r="J55" s="39"/>
      <c r="K55" s="39"/>
      <c r="L55" s="39"/>
      <c r="M55" s="39"/>
    </row>
    <row r="56" customFormat="false" ht="15" hidden="false" customHeight="false" outlineLevel="0" collapsed="false">
      <c r="A56" s="39"/>
      <c r="B56" s="39"/>
      <c r="C56" s="39"/>
      <c r="D56" s="39"/>
      <c r="E56" s="39"/>
      <c r="F56" s="39"/>
      <c r="G56" s="39"/>
      <c r="H56" s="39"/>
      <c r="I56" s="39"/>
      <c r="J56" s="39"/>
      <c r="K56" s="39"/>
      <c r="L56" s="39"/>
      <c r="M56" s="39"/>
    </row>
    <row r="57" customFormat="false" ht="15" hidden="false" customHeight="false" outlineLevel="0" collapsed="false">
      <c r="A57" s="39"/>
      <c r="B57" s="39"/>
      <c r="C57" s="39"/>
      <c r="D57" s="39"/>
      <c r="E57" s="39"/>
      <c r="F57" s="39"/>
      <c r="G57" s="39"/>
      <c r="H57" s="39"/>
      <c r="I57" s="39"/>
      <c r="J57" s="39"/>
      <c r="K57" s="39"/>
      <c r="L57" s="39"/>
      <c r="M57" s="39"/>
    </row>
    <row r="58" customFormat="false" ht="15" hidden="false" customHeight="false" outlineLevel="0" collapsed="false">
      <c r="A58" s="39"/>
      <c r="B58" s="39"/>
      <c r="C58" s="39"/>
      <c r="D58" s="39"/>
      <c r="E58" s="39"/>
      <c r="F58" s="39"/>
      <c r="G58" s="39"/>
      <c r="H58" s="39"/>
      <c r="I58" s="39"/>
      <c r="J58" s="39"/>
      <c r="K58" s="39"/>
      <c r="L58" s="39"/>
      <c r="M58" s="39"/>
    </row>
    <row r="59" customFormat="false" ht="15" hidden="false" customHeight="false" outlineLevel="0" collapsed="false">
      <c r="A59" s="39"/>
      <c r="B59" s="39"/>
      <c r="C59" s="39"/>
      <c r="D59" s="39"/>
      <c r="E59" s="39"/>
      <c r="F59" s="39"/>
      <c r="G59" s="39"/>
      <c r="H59" s="39"/>
      <c r="I59" s="39"/>
      <c r="J59" s="39"/>
      <c r="K59" s="39"/>
      <c r="L59" s="39"/>
      <c r="M59" s="39"/>
    </row>
    <row r="60" customFormat="false" ht="15" hidden="false" customHeight="false" outlineLevel="0" collapsed="false">
      <c r="A60" s="39"/>
      <c r="B60" s="39"/>
      <c r="C60" s="39"/>
      <c r="D60" s="39"/>
      <c r="E60" s="39"/>
      <c r="F60" s="39"/>
      <c r="G60" s="39"/>
      <c r="H60" s="39"/>
      <c r="I60" s="39"/>
      <c r="J60" s="39"/>
      <c r="K60" s="39"/>
      <c r="L60" s="39"/>
      <c r="M60" s="39"/>
    </row>
    <row r="61" customFormat="false" ht="15" hidden="false" customHeight="false" outlineLevel="0" collapsed="false">
      <c r="A61" s="39"/>
      <c r="B61" s="39"/>
      <c r="C61" s="39"/>
      <c r="D61" s="39"/>
      <c r="E61" s="39"/>
      <c r="F61" s="39"/>
      <c r="G61" s="39"/>
      <c r="H61" s="39"/>
      <c r="I61" s="39"/>
      <c r="J61" s="39"/>
      <c r="K61" s="39"/>
      <c r="L61" s="39"/>
      <c r="M61" s="39"/>
    </row>
    <row r="62" customFormat="false" ht="15" hidden="false" customHeight="false" outlineLevel="0" collapsed="false">
      <c r="A62" s="39"/>
      <c r="B62" s="39"/>
      <c r="C62" s="39"/>
      <c r="D62" s="39"/>
      <c r="E62" s="39"/>
      <c r="F62" s="39"/>
      <c r="G62" s="39"/>
      <c r="H62" s="39"/>
      <c r="I62" s="39"/>
      <c r="J62" s="39"/>
      <c r="K62" s="39"/>
      <c r="L62" s="39"/>
      <c r="M62" s="39"/>
    </row>
    <row r="63" customFormat="false" ht="15" hidden="false" customHeight="false" outlineLevel="0" collapsed="false">
      <c r="A63" s="39"/>
      <c r="B63" s="39"/>
      <c r="C63" s="39"/>
      <c r="D63" s="39"/>
      <c r="E63" s="39"/>
      <c r="F63" s="39"/>
      <c r="G63" s="39"/>
      <c r="H63" s="39"/>
      <c r="I63" s="39"/>
      <c r="J63" s="39"/>
      <c r="K63" s="39"/>
      <c r="L63" s="39"/>
      <c r="M63" s="39"/>
    </row>
    <row r="64" customFormat="false" ht="15" hidden="false" customHeight="false" outlineLevel="0" collapsed="false">
      <c r="A64" s="39"/>
      <c r="B64" s="39"/>
      <c r="C64" s="39"/>
      <c r="D64" s="39"/>
      <c r="E64" s="39"/>
      <c r="F64" s="39"/>
      <c r="G64" s="39"/>
      <c r="H64" s="39"/>
      <c r="I64" s="39"/>
      <c r="J64" s="39"/>
      <c r="K64" s="39"/>
      <c r="L64" s="39"/>
      <c r="M64" s="39"/>
    </row>
    <row r="65" customFormat="false" ht="15" hidden="false" customHeight="false" outlineLevel="0" collapsed="false">
      <c r="A65" s="39"/>
      <c r="B65" s="39"/>
      <c r="C65" s="39"/>
      <c r="D65" s="39"/>
      <c r="E65" s="39"/>
      <c r="F65" s="39"/>
      <c r="G65" s="39"/>
      <c r="H65" s="39"/>
      <c r="I65" s="39"/>
      <c r="J65" s="39"/>
      <c r="K65" s="39"/>
      <c r="L65" s="39"/>
      <c r="M65" s="39"/>
    </row>
    <row r="66" customFormat="false" ht="15" hidden="false" customHeight="false" outlineLevel="0" collapsed="false">
      <c r="A66" s="39"/>
      <c r="B66" s="39"/>
      <c r="C66" s="39"/>
      <c r="D66" s="39"/>
      <c r="E66" s="39"/>
      <c r="F66" s="39"/>
      <c r="G66" s="39"/>
      <c r="H66" s="39"/>
      <c r="I66" s="39"/>
      <c r="J66" s="39"/>
      <c r="K66" s="39"/>
      <c r="L66" s="39"/>
      <c r="M66" s="39"/>
    </row>
    <row r="67" customFormat="false" ht="15" hidden="false" customHeight="false" outlineLevel="0" collapsed="false">
      <c r="A67" s="39"/>
      <c r="B67" s="39"/>
      <c r="C67" s="39"/>
      <c r="D67" s="39"/>
      <c r="E67" s="39"/>
      <c r="F67" s="39"/>
      <c r="G67" s="39"/>
      <c r="H67" s="39"/>
      <c r="I67" s="39"/>
      <c r="J67" s="39"/>
      <c r="K67" s="39"/>
      <c r="L67" s="39"/>
      <c r="M67" s="39"/>
    </row>
    <row r="68" customFormat="false" ht="15" hidden="false" customHeight="false" outlineLevel="0" collapsed="false">
      <c r="A68" s="39"/>
      <c r="B68" s="39"/>
      <c r="C68" s="39"/>
      <c r="D68" s="39"/>
      <c r="E68" s="39"/>
      <c r="F68" s="39"/>
      <c r="G68" s="39"/>
      <c r="H68" s="39"/>
      <c r="I68" s="39"/>
      <c r="J68" s="39"/>
      <c r="K68" s="39"/>
      <c r="L68" s="39"/>
      <c r="M68" s="39"/>
    </row>
    <row r="69" customFormat="false" ht="15" hidden="false" customHeight="false" outlineLevel="0" collapsed="false">
      <c r="A69" s="39"/>
      <c r="B69" s="39"/>
      <c r="C69" s="39"/>
      <c r="D69" s="39"/>
      <c r="E69" s="39"/>
      <c r="F69" s="39"/>
      <c r="G69" s="39"/>
      <c r="H69" s="39"/>
      <c r="I69" s="39"/>
      <c r="J69" s="39"/>
      <c r="K69" s="39"/>
      <c r="L69" s="39"/>
      <c r="M69" s="39"/>
    </row>
    <row r="70" customFormat="false" ht="15" hidden="false" customHeight="false" outlineLevel="0" collapsed="false">
      <c r="A70" s="39"/>
      <c r="B70" s="39"/>
      <c r="C70" s="39"/>
      <c r="D70" s="39"/>
      <c r="E70" s="39"/>
      <c r="F70" s="39"/>
      <c r="G70" s="39"/>
      <c r="H70" s="39"/>
      <c r="I70" s="39"/>
      <c r="J70" s="39"/>
      <c r="K70" s="39"/>
      <c r="L70" s="39"/>
      <c r="M70" s="39"/>
    </row>
    <row r="71" customFormat="false" ht="15" hidden="false" customHeight="false" outlineLevel="0" collapsed="false">
      <c r="A71" s="39"/>
      <c r="B71" s="39"/>
      <c r="C71" s="39"/>
      <c r="D71" s="39"/>
      <c r="E71" s="39"/>
      <c r="F71" s="39"/>
      <c r="G71" s="39"/>
      <c r="H71" s="39"/>
      <c r="I71" s="39"/>
      <c r="J71" s="39"/>
      <c r="K71" s="39"/>
      <c r="L71" s="39"/>
      <c r="M71" s="39"/>
    </row>
    <row r="72" customFormat="false" ht="15" hidden="false" customHeight="false" outlineLevel="0" collapsed="false">
      <c r="A72" s="39"/>
      <c r="B72" s="39"/>
      <c r="C72" s="39"/>
      <c r="D72" s="39"/>
      <c r="E72" s="39"/>
      <c r="F72" s="39"/>
      <c r="G72" s="39"/>
      <c r="H72" s="39"/>
      <c r="I72" s="39"/>
      <c r="J72" s="39"/>
      <c r="K72" s="39"/>
      <c r="L72" s="39"/>
      <c r="M72" s="39"/>
    </row>
    <row r="73" customFormat="false" ht="15" hidden="false" customHeight="false" outlineLevel="0" collapsed="false">
      <c r="A73" s="39"/>
      <c r="B73" s="39"/>
      <c r="C73" s="39"/>
      <c r="D73" s="39"/>
      <c r="E73" s="39"/>
      <c r="F73" s="39"/>
      <c r="G73" s="39"/>
      <c r="H73" s="39"/>
      <c r="I73" s="39"/>
      <c r="J73" s="39"/>
      <c r="K73" s="39"/>
      <c r="L73" s="39"/>
      <c r="M73" s="39"/>
    </row>
    <row r="74" customFormat="false" ht="15" hidden="false" customHeight="false" outlineLevel="0" collapsed="false">
      <c r="A74" s="39"/>
      <c r="B74" s="39"/>
      <c r="C74" s="39"/>
      <c r="D74" s="39"/>
      <c r="E74" s="39"/>
      <c r="F74" s="39"/>
      <c r="G74" s="39"/>
      <c r="H74" s="39"/>
      <c r="I74" s="39"/>
      <c r="J74" s="39"/>
      <c r="K74" s="39"/>
      <c r="L74" s="39"/>
      <c r="M74" s="39"/>
    </row>
    <row r="75" customFormat="false" ht="15" hidden="false" customHeight="false" outlineLevel="0" collapsed="false">
      <c r="A75" s="39"/>
      <c r="B75" s="39"/>
      <c r="C75" s="39"/>
      <c r="D75" s="39"/>
      <c r="E75" s="39"/>
      <c r="F75" s="39"/>
      <c r="G75" s="39"/>
      <c r="H75" s="39"/>
      <c r="I75" s="39"/>
      <c r="J75" s="39"/>
      <c r="K75" s="39"/>
      <c r="L75" s="39"/>
      <c r="M75" s="39"/>
    </row>
    <row r="76" customFormat="false" ht="15" hidden="false" customHeight="false" outlineLevel="0" collapsed="false">
      <c r="A76" s="39"/>
      <c r="B76" s="39"/>
      <c r="C76" s="39"/>
      <c r="D76" s="39"/>
      <c r="E76" s="39"/>
      <c r="F76" s="39"/>
      <c r="G76" s="39"/>
      <c r="H76" s="39"/>
      <c r="I76" s="39"/>
      <c r="J76" s="39"/>
      <c r="K76" s="39"/>
      <c r="L76" s="39"/>
      <c r="M76" s="39"/>
    </row>
    <row r="77" customFormat="false" ht="15" hidden="false" customHeight="false" outlineLevel="0" collapsed="false">
      <c r="A77" s="39"/>
      <c r="B77" s="39"/>
      <c r="C77" s="39"/>
      <c r="D77" s="39"/>
      <c r="E77" s="39"/>
      <c r="F77" s="39"/>
      <c r="G77" s="39"/>
      <c r="H77" s="39"/>
      <c r="I77" s="39"/>
      <c r="J77" s="39"/>
      <c r="K77" s="39"/>
      <c r="L77" s="39"/>
      <c r="M77" s="39"/>
    </row>
    <row r="78" customFormat="false" ht="15" hidden="false" customHeight="false" outlineLevel="0" collapsed="false">
      <c r="A78" s="39"/>
      <c r="B78" s="39"/>
      <c r="C78" s="39"/>
      <c r="D78" s="39"/>
      <c r="E78" s="39"/>
      <c r="F78" s="39"/>
      <c r="G78" s="39"/>
      <c r="H78" s="39"/>
      <c r="I78" s="39"/>
      <c r="J78" s="39"/>
      <c r="K78" s="39"/>
      <c r="L78" s="39"/>
      <c r="M78" s="39"/>
    </row>
    <row r="79" customFormat="false" ht="15" hidden="false" customHeight="false" outlineLevel="0" collapsed="false">
      <c r="A79" s="39"/>
      <c r="B79" s="39"/>
      <c r="C79" s="39"/>
      <c r="D79" s="39"/>
      <c r="E79" s="39"/>
      <c r="F79" s="39"/>
      <c r="G79" s="39"/>
      <c r="H79" s="39"/>
      <c r="I79" s="39"/>
      <c r="J79" s="39"/>
      <c r="K79" s="39"/>
      <c r="L79" s="39"/>
      <c r="M79" s="39"/>
    </row>
    <row r="80" customFormat="false" ht="15" hidden="false" customHeight="false" outlineLevel="0" collapsed="false">
      <c r="A80" s="39"/>
      <c r="B80" s="39"/>
      <c r="C80" s="39"/>
      <c r="D80" s="39"/>
      <c r="E80" s="39"/>
      <c r="F80" s="39"/>
      <c r="G80" s="39"/>
      <c r="H80" s="39"/>
      <c r="I80" s="39"/>
      <c r="J80" s="39"/>
      <c r="K80" s="39"/>
      <c r="L80" s="39"/>
      <c r="M80" s="39"/>
    </row>
    <row r="81" customFormat="false" ht="15" hidden="false" customHeight="false" outlineLevel="0" collapsed="false">
      <c r="A81" s="39"/>
      <c r="B81" s="39"/>
      <c r="C81" s="39"/>
      <c r="D81" s="39"/>
      <c r="E81" s="39"/>
      <c r="F81" s="39"/>
      <c r="G81" s="39"/>
      <c r="H81" s="39"/>
      <c r="I81" s="39"/>
      <c r="J81" s="39"/>
      <c r="K81" s="39"/>
      <c r="L81" s="39"/>
      <c r="M81" s="39"/>
    </row>
    <row r="82" customFormat="false" ht="15" hidden="false" customHeight="false" outlineLevel="0" collapsed="false">
      <c r="A82" s="39"/>
      <c r="B82" s="39"/>
      <c r="C82" s="39"/>
      <c r="D82" s="39"/>
      <c r="E82" s="39"/>
      <c r="F82" s="39"/>
      <c r="G82" s="39"/>
      <c r="H82" s="39"/>
      <c r="I82" s="39"/>
      <c r="J82" s="39"/>
      <c r="K82" s="39"/>
      <c r="L82" s="39"/>
      <c r="M82" s="39"/>
    </row>
    <row r="83" customFormat="false" ht="15" hidden="false" customHeight="false" outlineLevel="0" collapsed="false">
      <c r="A83" s="39"/>
      <c r="B83" s="39"/>
      <c r="C83" s="39"/>
      <c r="D83" s="39"/>
      <c r="E83" s="39"/>
      <c r="F83" s="39"/>
      <c r="G83" s="39"/>
      <c r="H83" s="39"/>
      <c r="I83" s="39"/>
      <c r="J83" s="39"/>
      <c r="K83" s="39"/>
      <c r="L83" s="39"/>
      <c r="M83" s="39"/>
    </row>
    <row r="84" customFormat="false" ht="15" hidden="false" customHeight="false" outlineLevel="0" collapsed="false">
      <c r="A84" s="39"/>
      <c r="B84" s="39"/>
      <c r="C84" s="39"/>
      <c r="D84" s="39"/>
      <c r="E84" s="39"/>
      <c r="F84" s="39"/>
      <c r="G84" s="39"/>
      <c r="H84" s="39"/>
      <c r="I84" s="39"/>
      <c r="J84" s="39"/>
      <c r="K84" s="39"/>
      <c r="L84" s="39"/>
      <c r="M84" s="39"/>
    </row>
    <row r="85" customFormat="false" ht="15" hidden="false" customHeight="false" outlineLevel="0" collapsed="false">
      <c r="A85" s="39"/>
      <c r="B85" s="39"/>
      <c r="C85" s="39"/>
      <c r="D85" s="39"/>
      <c r="E85" s="39"/>
      <c r="F85" s="39"/>
      <c r="G85" s="39"/>
      <c r="H85" s="39"/>
      <c r="I85" s="39"/>
      <c r="J85" s="39"/>
      <c r="K85" s="39"/>
      <c r="L85" s="39"/>
      <c r="M85" s="39"/>
    </row>
    <row r="86" customFormat="false" ht="15" hidden="false" customHeight="false" outlineLevel="0" collapsed="false">
      <c r="A86" s="39"/>
      <c r="B86" s="39"/>
      <c r="C86" s="39"/>
      <c r="D86" s="39"/>
      <c r="E86" s="39"/>
      <c r="F86" s="39"/>
      <c r="G86" s="39"/>
      <c r="H86" s="39"/>
      <c r="I86" s="39"/>
      <c r="J86" s="39"/>
      <c r="K86" s="39"/>
      <c r="L86" s="39"/>
      <c r="M86" s="39"/>
    </row>
    <row r="87" customFormat="false" ht="15" hidden="false" customHeight="false" outlineLevel="0" collapsed="false">
      <c r="A87" s="39"/>
      <c r="B87" s="39"/>
      <c r="C87" s="39"/>
      <c r="D87" s="39"/>
      <c r="E87" s="39"/>
      <c r="F87" s="39"/>
      <c r="G87" s="39"/>
      <c r="H87" s="39"/>
      <c r="I87" s="39"/>
      <c r="J87" s="39"/>
      <c r="K87" s="39"/>
      <c r="L87" s="39"/>
      <c r="M87" s="39"/>
    </row>
    <row r="88" customFormat="false" ht="15" hidden="false" customHeight="false" outlineLevel="0" collapsed="false">
      <c r="A88" s="39"/>
      <c r="B88" s="39"/>
      <c r="C88" s="39"/>
      <c r="D88" s="39"/>
      <c r="E88" s="39"/>
      <c r="F88" s="39"/>
      <c r="G88" s="39"/>
      <c r="H88" s="39"/>
      <c r="I88" s="39"/>
      <c r="J88" s="39"/>
      <c r="K88" s="39"/>
      <c r="L88" s="39"/>
      <c r="M88" s="39"/>
    </row>
    <row r="89" customFormat="false" ht="15" hidden="false" customHeight="false" outlineLevel="0" collapsed="false">
      <c r="A89" s="39"/>
      <c r="B89" s="39"/>
      <c r="C89" s="39"/>
      <c r="D89" s="39"/>
      <c r="E89" s="39"/>
      <c r="F89" s="39"/>
      <c r="G89" s="39"/>
      <c r="H89" s="39"/>
      <c r="I89" s="39"/>
      <c r="J89" s="39"/>
      <c r="K89" s="39"/>
      <c r="L89" s="39"/>
      <c r="M89" s="39"/>
    </row>
    <row r="90" customFormat="false" ht="15" hidden="false" customHeight="false" outlineLevel="0" collapsed="false">
      <c r="A90" s="39"/>
      <c r="B90" s="39"/>
      <c r="C90" s="39"/>
      <c r="D90" s="39"/>
      <c r="E90" s="39"/>
      <c r="F90" s="39"/>
      <c r="G90" s="39"/>
      <c r="H90" s="39"/>
      <c r="I90" s="39"/>
      <c r="J90" s="39"/>
      <c r="K90" s="39"/>
      <c r="L90" s="39"/>
      <c r="M90" s="39"/>
    </row>
    <row r="91" customFormat="false" ht="15" hidden="false" customHeight="false" outlineLevel="0" collapsed="false">
      <c r="A91" s="39"/>
      <c r="B91" s="39"/>
      <c r="C91" s="39"/>
      <c r="D91" s="39"/>
      <c r="E91" s="39"/>
      <c r="F91" s="39"/>
      <c r="G91" s="39"/>
      <c r="H91" s="39"/>
      <c r="I91" s="39"/>
      <c r="J91" s="39"/>
      <c r="K91" s="39"/>
      <c r="L91" s="39"/>
      <c r="M91" s="39"/>
    </row>
    <row r="92" customFormat="false" ht="15" hidden="false" customHeight="false" outlineLevel="0" collapsed="false">
      <c r="A92" s="39"/>
      <c r="B92" s="39"/>
      <c r="C92" s="39"/>
      <c r="D92" s="39"/>
      <c r="E92" s="39"/>
      <c r="F92" s="39"/>
      <c r="G92" s="39"/>
      <c r="H92" s="39"/>
      <c r="I92" s="39"/>
      <c r="J92" s="39"/>
      <c r="K92" s="39"/>
      <c r="L92" s="39"/>
      <c r="M92" s="39"/>
    </row>
    <row r="93" customFormat="false" ht="15" hidden="false" customHeight="false" outlineLevel="0" collapsed="false">
      <c r="A93" s="39"/>
      <c r="B93" s="39"/>
      <c r="C93" s="39"/>
      <c r="D93" s="39"/>
      <c r="E93" s="39"/>
      <c r="F93" s="39"/>
      <c r="G93" s="39"/>
      <c r="H93" s="39"/>
      <c r="I93" s="39"/>
      <c r="J93" s="39"/>
      <c r="K93" s="39"/>
      <c r="L93" s="39"/>
      <c r="M93" s="39"/>
    </row>
    <row r="94" customFormat="false" ht="15" hidden="false" customHeight="false" outlineLevel="0" collapsed="false">
      <c r="A94" s="39"/>
      <c r="B94" s="39"/>
      <c r="C94" s="39"/>
      <c r="D94" s="39"/>
      <c r="E94" s="39"/>
      <c r="F94" s="39"/>
      <c r="G94" s="39"/>
      <c r="H94" s="39"/>
      <c r="I94" s="39"/>
      <c r="J94" s="39"/>
      <c r="K94" s="39"/>
      <c r="L94" s="39"/>
      <c r="M94" s="39"/>
    </row>
    <row r="95" customFormat="false" ht="15" hidden="false" customHeight="false" outlineLevel="0" collapsed="false">
      <c r="A95" s="39"/>
      <c r="B95" s="39"/>
      <c r="C95" s="39"/>
      <c r="D95" s="39"/>
      <c r="E95" s="39"/>
      <c r="F95" s="39"/>
      <c r="G95" s="39"/>
      <c r="H95" s="39"/>
      <c r="I95" s="39"/>
      <c r="J95" s="39"/>
      <c r="K95" s="39"/>
      <c r="L95" s="39"/>
      <c r="M95" s="39"/>
    </row>
    <row r="96" customFormat="false" ht="15" hidden="false" customHeight="false" outlineLevel="0" collapsed="false">
      <c r="A96" s="39"/>
      <c r="B96" s="39"/>
      <c r="C96" s="39"/>
      <c r="D96" s="39"/>
      <c r="E96" s="39"/>
      <c r="F96" s="39"/>
      <c r="G96" s="39"/>
      <c r="H96" s="39"/>
      <c r="I96" s="39"/>
      <c r="J96" s="39"/>
      <c r="K96" s="39"/>
      <c r="L96" s="39"/>
      <c r="M96" s="39"/>
    </row>
    <row r="97" customFormat="false" ht="15" hidden="false" customHeight="false" outlineLevel="0" collapsed="false">
      <c r="A97" s="39"/>
      <c r="B97" s="39"/>
      <c r="C97" s="39"/>
      <c r="D97" s="39"/>
      <c r="E97" s="39"/>
      <c r="F97" s="39"/>
      <c r="G97" s="39"/>
      <c r="H97" s="39"/>
      <c r="I97" s="39"/>
      <c r="J97" s="39"/>
      <c r="K97" s="39"/>
      <c r="L97" s="39"/>
      <c r="M97" s="39"/>
    </row>
    <row r="98" customFormat="false" ht="15" hidden="false" customHeight="false" outlineLevel="0" collapsed="false">
      <c r="A98" s="39"/>
      <c r="B98" s="39"/>
      <c r="C98" s="39"/>
      <c r="D98" s="39"/>
      <c r="E98" s="39"/>
      <c r="F98" s="39"/>
      <c r="G98" s="39"/>
      <c r="H98" s="39"/>
      <c r="I98" s="39"/>
      <c r="J98" s="39"/>
      <c r="K98" s="39"/>
      <c r="L98" s="39"/>
      <c r="M98" s="39"/>
    </row>
    <row r="99" customFormat="false" ht="15" hidden="false" customHeight="false" outlineLevel="0" collapsed="false">
      <c r="A99" s="39"/>
      <c r="B99" s="39"/>
      <c r="C99" s="39"/>
      <c r="D99" s="39"/>
      <c r="E99" s="39"/>
      <c r="F99" s="39"/>
      <c r="G99" s="39"/>
      <c r="H99" s="39"/>
      <c r="I99" s="39"/>
      <c r="J99" s="39"/>
      <c r="K99" s="39"/>
      <c r="L99" s="39"/>
      <c r="M99" s="39"/>
    </row>
    <row r="100" customFormat="false" ht="15" hidden="false" customHeight="false" outlineLevel="0" collapsed="false">
      <c r="A100" s="39"/>
      <c r="B100" s="39"/>
      <c r="C100" s="39"/>
      <c r="D100" s="39"/>
      <c r="E100" s="39"/>
      <c r="F100" s="39"/>
      <c r="G100" s="39"/>
      <c r="H100" s="39"/>
      <c r="I100" s="39"/>
      <c r="J100" s="39"/>
      <c r="K100" s="39"/>
      <c r="L100" s="39"/>
      <c r="M100" s="39"/>
    </row>
    <row r="101" customFormat="false" ht="15" hidden="false" customHeight="false" outlineLevel="0" collapsed="false">
      <c r="A101" s="39"/>
      <c r="B101" s="39"/>
      <c r="C101" s="39"/>
      <c r="D101" s="39"/>
      <c r="E101" s="39"/>
      <c r="F101" s="39"/>
      <c r="G101" s="39"/>
      <c r="H101" s="39"/>
      <c r="I101" s="39"/>
      <c r="J101" s="39"/>
      <c r="K101" s="39"/>
      <c r="L101" s="39"/>
      <c r="M101" s="39"/>
    </row>
    <row r="102" customFormat="false" ht="15" hidden="false" customHeight="false" outlineLevel="0" collapsed="false">
      <c r="A102" s="39"/>
      <c r="B102" s="39"/>
      <c r="C102" s="39"/>
      <c r="D102" s="39"/>
      <c r="E102" s="39"/>
      <c r="F102" s="39"/>
      <c r="G102" s="39"/>
      <c r="H102" s="39"/>
      <c r="I102" s="39"/>
      <c r="J102" s="39"/>
      <c r="K102" s="39"/>
      <c r="L102" s="39"/>
      <c r="M102" s="39"/>
    </row>
    <row r="103" customFormat="false" ht="15" hidden="false" customHeight="false" outlineLevel="0" collapsed="false">
      <c r="A103" s="39"/>
      <c r="B103" s="39"/>
      <c r="C103" s="39"/>
      <c r="D103" s="39"/>
      <c r="E103" s="39"/>
      <c r="F103" s="39"/>
      <c r="G103" s="39"/>
      <c r="H103" s="39"/>
      <c r="I103" s="39"/>
      <c r="J103" s="39"/>
      <c r="K103" s="39"/>
      <c r="L103" s="39"/>
      <c r="M103" s="39"/>
    </row>
    <row r="104" customFormat="false" ht="15" hidden="false" customHeight="false" outlineLevel="0" collapsed="false">
      <c r="A104" s="39"/>
      <c r="B104" s="39"/>
      <c r="C104" s="39"/>
      <c r="D104" s="39"/>
      <c r="E104" s="39"/>
      <c r="F104" s="39"/>
      <c r="G104" s="39"/>
      <c r="H104" s="39"/>
      <c r="I104" s="39"/>
      <c r="J104" s="39"/>
      <c r="K104" s="39"/>
      <c r="L104" s="39"/>
      <c r="M104" s="39"/>
    </row>
    <row r="105" customFormat="false" ht="15" hidden="false" customHeight="false" outlineLevel="0" collapsed="false">
      <c r="A105" s="39"/>
      <c r="B105" s="39"/>
      <c r="C105" s="39"/>
      <c r="D105" s="39"/>
      <c r="E105" s="39"/>
      <c r="F105" s="39"/>
      <c r="G105" s="39"/>
      <c r="H105" s="39"/>
      <c r="I105" s="39"/>
      <c r="J105" s="39"/>
      <c r="K105" s="39"/>
      <c r="L105" s="39"/>
      <c r="M105" s="39"/>
    </row>
    <row r="106" customFormat="false" ht="15" hidden="false" customHeight="false" outlineLevel="0" collapsed="false">
      <c r="A106" s="39"/>
      <c r="B106" s="39"/>
      <c r="C106" s="39"/>
      <c r="D106" s="39"/>
      <c r="E106" s="39"/>
      <c r="F106" s="39"/>
      <c r="G106" s="39"/>
      <c r="H106" s="39"/>
      <c r="I106" s="39"/>
      <c r="J106" s="39"/>
      <c r="K106" s="39"/>
      <c r="L106" s="39"/>
      <c r="M106" s="39"/>
    </row>
    <row r="107" customFormat="false" ht="15" hidden="false" customHeight="false" outlineLevel="0" collapsed="false">
      <c r="A107" s="39"/>
      <c r="B107" s="39"/>
      <c r="C107" s="39"/>
      <c r="D107" s="39"/>
      <c r="E107" s="39"/>
      <c r="F107" s="39"/>
      <c r="G107" s="39"/>
      <c r="H107" s="39"/>
      <c r="I107" s="39"/>
      <c r="J107" s="39"/>
      <c r="K107" s="39"/>
      <c r="L107" s="39"/>
      <c r="M107" s="39"/>
    </row>
    <row r="108" customFormat="false" ht="15" hidden="false" customHeight="false" outlineLevel="0" collapsed="false">
      <c r="A108" s="39"/>
      <c r="B108" s="39"/>
      <c r="C108" s="39"/>
      <c r="D108" s="39"/>
      <c r="E108" s="39"/>
      <c r="F108" s="39"/>
      <c r="G108" s="39"/>
      <c r="H108" s="39"/>
      <c r="I108" s="39"/>
      <c r="J108" s="39"/>
      <c r="K108" s="39"/>
      <c r="L108" s="39"/>
      <c r="M108" s="39"/>
    </row>
    <row r="109" customFormat="false" ht="15" hidden="false" customHeight="false" outlineLevel="0" collapsed="false">
      <c r="A109" s="39"/>
      <c r="B109" s="39"/>
      <c r="C109" s="39"/>
      <c r="D109" s="39"/>
      <c r="E109" s="39"/>
      <c r="F109" s="39"/>
      <c r="G109" s="39"/>
      <c r="H109" s="39"/>
      <c r="I109" s="39"/>
      <c r="J109" s="39"/>
      <c r="K109" s="39"/>
      <c r="L109" s="39"/>
      <c r="M109" s="39"/>
    </row>
    <row r="110" customFormat="false" ht="15" hidden="false" customHeight="false" outlineLevel="0" collapsed="false">
      <c r="A110" s="39"/>
      <c r="B110" s="39"/>
      <c r="C110" s="39"/>
      <c r="D110" s="39"/>
      <c r="E110" s="39"/>
      <c r="F110" s="39"/>
      <c r="G110" s="39"/>
      <c r="H110" s="39"/>
      <c r="I110" s="39"/>
      <c r="J110" s="39"/>
      <c r="K110" s="39"/>
      <c r="L110" s="39"/>
      <c r="M110" s="39"/>
    </row>
    <row r="111" customFormat="false" ht="15" hidden="false" customHeight="false" outlineLevel="0" collapsed="false">
      <c r="A111" s="39"/>
      <c r="B111" s="39"/>
      <c r="C111" s="39"/>
      <c r="D111" s="39"/>
      <c r="E111" s="39"/>
      <c r="F111" s="39"/>
      <c r="G111" s="39"/>
      <c r="H111" s="39"/>
      <c r="I111" s="39"/>
      <c r="J111" s="39"/>
      <c r="K111" s="39"/>
      <c r="L111" s="39"/>
      <c r="M111" s="39"/>
    </row>
    <row r="112" customFormat="false" ht="15" hidden="false" customHeight="false" outlineLevel="0" collapsed="false">
      <c r="A112" s="39"/>
      <c r="B112" s="39"/>
      <c r="C112" s="39"/>
      <c r="D112" s="39"/>
      <c r="E112" s="39"/>
      <c r="F112" s="39"/>
      <c r="G112" s="39"/>
      <c r="H112" s="39"/>
      <c r="I112" s="39"/>
      <c r="J112" s="39"/>
      <c r="K112" s="39"/>
      <c r="L112" s="39"/>
      <c r="M112" s="39"/>
    </row>
    <row r="113" customFormat="false" ht="15" hidden="false" customHeight="false" outlineLevel="0" collapsed="false">
      <c r="A113" s="39"/>
      <c r="B113" s="39"/>
      <c r="C113" s="39"/>
      <c r="D113" s="39"/>
      <c r="E113" s="39"/>
      <c r="F113" s="39"/>
      <c r="G113" s="39"/>
      <c r="H113" s="39"/>
      <c r="I113" s="39"/>
      <c r="J113" s="39"/>
      <c r="K113" s="39"/>
      <c r="L113" s="39"/>
      <c r="M113" s="39"/>
    </row>
    <row r="114" customFormat="false" ht="15" hidden="false" customHeight="false" outlineLevel="0" collapsed="false">
      <c r="A114" s="39"/>
      <c r="B114" s="39"/>
      <c r="C114" s="39"/>
      <c r="D114" s="39"/>
      <c r="E114" s="39"/>
      <c r="F114" s="39"/>
      <c r="G114" s="39"/>
      <c r="H114" s="39"/>
      <c r="I114" s="39"/>
      <c r="J114" s="39"/>
      <c r="K114" s="39"/>
      <c r="L114" s="39"/>
      <c r="M114" s="39"/>
    </row>
    <row r="115" customFormat="false" ht="15" hidden="false" customHeight="false" outlineLevel="0" collapsed="false">
      <c r="A115" s="39"/>
      <c r="B115" s="39"/>
      <c r="C115" s="39"/>
      <c r="D115" s="39"/>
      <c r="E115" s="39"/>
      <c r="F115" s="39"/>
      <c r="G115" s="39"/>
      <c r="H115" s="39"/>
      <c r="I115" s="39"/>
      <c r="J115" s="39"/>
      <c r="K115" s="39"/>
      <c r="L115" s="39"/>
      <c r="M115" s="39"/>
    </row>
    <row r="116" customFormat="false" ht="15" hidden="false" customHeight="false" outlineLevel="0" collapsed="false">
      <c r="A116" s="39"/>
      <c r="B116" s="39"/>
      <c r="C116" s="39"/>
      <c r="D116" s="39"/>
      <c r="E116" s="39"/>
      <c r="F116" s="39"/>
      <c r="G116" s="39"/>
      <c r="H116" s="39"/>
      <c r="I116" s="39"/>
      <c r="J116" s="39"/>
      <c r="K116" s="39"/>
      <c r="L116" s="39"/>
      <c r="M116" s="39"/>
    </row>
    <row r="117" customFormat="false" ht="15" hidden="false" customHeight="false" outlineLevel="0" collapsed="false">
      <c r="A117" s="39"/>
      <c r="B117" s="39"/>
      <c r="C117" s="39"/>
      <c r="D117" s="39"/>
      <c r="E117" s="39"/>
      <c r="F117" s="39"/>
      <c r="G117" s="39"/>
      <c r="H117" s="39"/>
      <c r="I117" s="39"/>
      <c r="J117" s="39"/>
      <c r="K117" s="39"/>
      <c r="L117" s="39"/>
      <c r="M117" s="39"/>
    </row>
    <row r="118" customFormat="false" ht="15" hidden="false" customHeight="false" outlineLevel="0" collapsed="false">
      <c r="A118" s="39"/>
      <c r="B118" s="39"/>
      <c r="C118" s="39"/>
      <c r="D118" s="39"/>
      <c r="E118" s="39"/>
      <c r="F118" s="39"/>
      <c r="G118" s="39"/>
      <c r="H118" s="39"/>
      <c r="I118" s="39"/>
      <c r="J118" s="39"/>
      <c r="K118" s="39"/>
      <c r="L118" s="39"/>
      <c r="M118" s="39"/>
    </row>
    <row r="119" customFormat="false" ht="15" hidden="false" customHeight="false" outlineLevel="0" collapsed="false">
      <c r="A119" s="39"/>
      <c r="B119" s="39"/>
      <c r="C119" s="39"/>
      <c r="D119" s="39"/>
      <c r="E119" s="39"/>
      <c r="F119" s="39"/>
      <c r="G119" s="39"/>
      <c r="H119" s="39"/>
      <c r="I119" s="39"/>
      <c r="J119" s="39"/>
      <c r="K119" s="39"/>
      <c r="L119" s="39"/>
      <c r="M119" s="39"/>
    </row>
    <row r="120" customFormat="false" ht="15" hidden="false" customHeight="false" outlineLevel="0" collapsed="false">
      <c r="A120" s="39"/>
      <c r="B120" s="39"/>
      <c r="C120" s="39"/>
      <c r="D120" s="39"/>
      <c r="E120" s="39"/>
      <c r="F120" s="39"/>
      <c r="G120" s="39"/>
      <c r="H120" s="39"/>
      <c r="I120" s="39"/>
      <c r="J120" s="39"/>
      <c r="K120" s="39"/>
      <c r="L120" s="39"/>
      <c r="M120" s="39"/>
    </row>
    <row r="121" customFormat="false" ht="15" hidden="false" customHeight="false" outlineLevel="0" collapsed="false">
      <c r="A121" s="39"/>
      <c r="B121" s="39"/>
      <c r="C121" s="39"/>
      <c r="D121" s="39"/>
      <c r="E121" s="39"/>
      <c r="F121" s="39"/>
      <c r="G121" s="39"/>
      <c r="H121" s="39"/>
      <c r="I121" s="39"/>
      <c r="J121" s="39"/>
      <c r="K121" s="39"/>
      <c r="L121" s="39"/>
      <c r="M121" s="39"/>
    </row>
    <row r="122" customFormat="false" ht="15" hidden="false" customHeight="false" outlineLevel="0" collapsed="false">
      <c r="A122" s="39"/>
      <c r="B122" s="39"/>
      <c r="C122" s="39"/>
      <c r="D122" s="39"/>
      <c r="E122" s="39"/>
      <c r="F122" s="39"/>
      <c r="G122" s="39"/>
      <c r="H122" s="39"/>
      <c r="I122" s="39"/>
      <c r="J122" s="39"/>
      <c r="K122" s="39"/>
      <c r="L122" s="39"/>
      <c r="M122" s="39"/>
    </row>
    <row r="123" customFormat="false" ht="15" hidden="false" customHeight="false" outlineLevel="0" collapsed="false">
      <c r="A123" s="39"/>
      <c r="B123" s="39"/>
      <c r="C123" s="39"/>
      <c r="D123" s="39"/>
      <c r="E123" s="39"/>
      <c r="F123" s="39"/>
      <c r="G123" s="39"/>
      <c r="H123" s="39"/>
      <c r="I123" s="39"/>
      <c r="J123" s="39"/>
      <c r="K123" s="39"/>
      <c r="L123" s="39"/>
      <c r="M123" s="39"/>
    </row>
    <row r="124" customFormat="false" ht="15" hidden="false" customHeight="false" outlineLevel="0" collapsed="false">
      <c r="A124" s="39"/>
      <c r="B124" s="39"/>
      <c r="C124" s="39"/>
      <c r="D124" s="39"/>
      <c r="E124" s="39"/>
      <c r="F124" s="39"/>
      <c r="G124" s="39"/>
      <c r="H124" s="39"/>
      <c r="I124" s="39"/>
      <c r="J124" s="39"/>
      <c r="K124" s="39"/>
      <c r="L124" s="39"/>
      <c r="M124" s="39"/>
    </row>
    <row r="125" customFormat="false" ht="15" hidden="false" customHeight="false" outlineLevel="0" collapsed="false">
      <c r="A125" s="39"/>
      <c r="B125" s="39"/>
      <c r="C125" s="39"/>
      <c r="D125" s="39"/>
      <c r="E125" s="39"/>
      <c r="F125" s="39"/>
      <c r="G125" s="39"/>
      <c r="H125" s="39"/>
      <c r="I125" s="39"/>
      <c r="J125" s="39"/>
      <c r="K125" s="39"/>
      <c r="L125" s="39"/>
      <c r="M125" s="39"/>
    </row>
    <row r="126" customFormat="false" ht="15" hidden="false" customHeight="false" outlineLevel="0" collapsed="false">
      <c r="A126" s="39"/>
      <c r="B126" s="39"/>
      <c r="C126" s="39"/>
      <c r="D126" s="39"/>
      <c r="E126" s="39"/>
      <c r="F126" s="39"/>
      <c r="G126" s="39"/>
      <c r="H126" s="39"/>
      <c r="I126" s="39"/>
      <c r="J126" s="39"/>
      <c r="K126" s="39"/>
      <c r="L126" s="39"/>
      <c r="M126" s="39"/>
    </row>
    <row r="127" customFormat="false" ht="15" hidden="false" customHeight="false" outlineLevel="0" collapsed="false">
      <c r="A127" s="39"/>
      <c r="B127" s="39"/>
      <c r="C127" s="39"/>
      <c r="D127" s="39"/>
      <c r="E127" s="39"/>
      <c r="F127" s="39"/>
      <c r="G127" s="39"/>
      <c r="H127" s="39"/>
      <c r="I127" s="39"/>
      <c r="J127" s="39"/>
      <c r="K127" s="39"/>
      <c r="L127" s="39"/>
      <c r="M127" s="39"/>
    </row>
    <row r="128" customFormat="false" ht="15" hidden="false" customHeight="false" outlineLevel="0" collapsed="false">
      <c r="A128" s="39"/>
      <c r="B128" s="39"/>
      <c r="C128" s="39"/>
      <c r="D128" s="39"/>
      <c r="E128" s="39"/>
      <c r="F128" s="39"/>
      <c r="G128" s="39"/>
      <c r="H128" s="39"/>
      <c r="I128" s="39"/>
      <c r="J128" s="39"/>
      <c r="K128" s="39"/>
      <c r="L128" s="39"/>
      <c r="M128" s="39"/>
    </row>
    <row r="129" customFormat="false" ht="15" hidden="false" customHeight="false" outlineLevel="0" collapsed="false">
      <c r="A129" s="39"/>
      <c r="B129" s="39"/>
      <c r="C129" s="39"/>
      <c r="D129" s="39"/>
      <c r="E129" s="39"/>
      <c r="F129" s="39"/>
      <c r="G129" s="39"/>
      <c r="H129" s="39"/>
      <c r="I129" s="39"/>
      <c r="J129" s="39"/>
      <c r="K129" s="39"/>
      <c r="L129" s="39"/>
      <c r="M129" s="39"/>
    </row>
    <row r="130" customFormat="false" ht="15" hidden="false" customHeight="false" outlineLevel="0" collapsed="false">
      <c r="A130" s="39"/>
      <c r="B130" s="39"/>
      <c r="C130" s="39"/>
      <c r="D130" s="39"/>
      <c r="E130" s="39"/>
      <c r="F130" s="39"/>
      <c r="G130" s="39"/>
      <c r="H130" s="39"/>
      <c r="I130" s="39"/>
      <c r="J130" s="39"/>
      <c r="K130" s="39"/>
      <c r="L130" s="39"/>
      <c r="M130" s="39"/>
    </row>
    <row r="131" customFormat="false" ht="15" hidden="false" customHeight="false" outlineLevel="0" collapsed="false">
      <c r="A131" s="39"/>
      <c r="B131" s="39"/>
      <c r="C131" s="39"/>
      <c r="D131" s="39"/>
      <c r="E131" s="39"/>
      <c r="F131" s="39"/>
      <c r="G131" s="39"/>
      <c r="H131" s="39"/>
      <c r="I131" s="39"/>
      <c r="J131" s="39"/>
      <c r="K131" s="39"/>
      <c r="L131" s="39"/>
      <c r="M131" s="39"/>
    </row>
    <row r="132" customFormat="false" ht="15" hidden="false" customHeight="false" outlineLevel="0" collapsed="false">
      <c r="A132" s="39"/>
      <c r="B132" s="39"/>
      <c r="C132" s="39"/>
      <c r="D132" s="39"/>
      <c r="E132" s="39"/>
      <c r="F132" s="39"/>
      <c r="G132" s="39"/>
      <c r="H132" s="39"/>
      <c r="I132" s="39"/>
      <c r="J132" s="39"/>
      <c r="K132" s="39"/>
      <c r="L132" s="39"/>
      <c r="M132" s="39"/>
    </row>
    <row r="133" customFormat="false" ht="15" hidden="false" customHeight="false" outlineLevel="0" collapsed="false">
      <c r="A133" s="39"/>
      <c r="B133" s="39"/>
      <c r="C133" s="39"/>
      <c r="D133" s="39"/>
      <c r="E133" s="39"/>
      <c r="F133" s="39"/>
      <c r="G133" s="39"/>
      <c r="H133" s="39"/>
      <c r="I133" s="39"/>
      <c r="J133" s="39"/>
      <c r="K133" s="39"/>
      <c r="L133" s="39"/>
      <c r="M133" s="39"/>
    </row>
    <row r="134" customFormat="false" ht="15" hidden="false" customHeight="false" outlineLevel="0" collapsed="false">
      <c r="A134" s="39"/>
      <c r="B134" s="39"/>
      <c r="C134" s="39"/>
      <c r="D134" s="39"/>
      <c r="E134" s="39"/>
      <c r="F134" s="39"/>
      <c r="G134" s="39"/>
      <c r="H134" s="39"/>
      <c r="I134" s="39"/>
      <c r="J134" s="39"/>
      <c r="K134" s="39"/>
      <c r="L134" s="39"/>
      <c r="M134" s="39"/>
    </row>
    <row r="135" customFormat="false" ht="15" hidden="false" customHeight="false" outlineLevel="0" collapsed="false">
      <c r="A135" s="39"/>
      <c r="B135" s="39"/>
      <c r="C135" s="39"/>
      <c r="D135" s="39"/>
      <c r="E135" s="39"/>
      <c r="F135" s="39"/>
      <c r="G135" s="39"/>
      <c r="H135" s="39"/>
      <c r="I135" s="39"/>
      <c r="J135" s="39"/>
      <c r="K135" s="39"/>
      <c r="L135" s="39"/>
      <c r="M135" s="39"/>
    </row>
    <row r="136" customFormat="false" ht="15" hidden="false" customHeight="false" outlineLevel="0" collapsed="false">
      <c r="A136" s="39"/>
      <c r="B136" s="39"/>
      <c r="C136" s="39"/>
      <c r="D136" s="39"/>
      <c r="E136" s="39"/>
      <c r="F136" s="39"/>
      <c r="G136" s="39"/>
      <c r="H136" s="39"/>
      <c r="I136" s="39"/>
      <c r="J136" s="39"/>
      <c r="K136" s="39"/>
      <c r="L136" s="39"/>
      <c r="M136" s="39"/>
    </row>
    <row r="137" customFormat="false" ht="15" hidden="false" customHeight="false" outlineLevel="0" collapsed="false">
      <c r="A137" s="39"/>
      <c r="B137" s="39"/>
      <c r="C137" s="39"/>
      <c r="D137" s="39"/>
      <c r="E137" s="39"/>
      <c r="F137" s="39"/>
      <c r="G137" s="39"/>
      <c r="H137" s="39"/>
      <c r="I137" s="39"/>
      <c r="J137" s="39"/>
      <c r="K137" s="39"/>
      <c r="L137" s="39"/>
      <c r="M137" s="39"/>
    </row>
    <row r="138" customFormat="false" ht="15" hidden="false" customHeight="false" outlineLevel="0" collapsed="false">
      <c r="A138" s="39"/>
      <c r="B138" s="39"/>
      <c r="C138" s="39"/>
      <c r="D138" s="39"/>
      <c r="E138" s="39"/>
      <c r="F138" s="39"/>
      <c r="G138" s="39"/>
      <c r="H138" s="39"/>
      <c r="I138" s="39"/>
      <c r="J138" s="39"/>
      <c r="K138" s="39"/>
      <c r="L138" s="39"/>
      <c r="M138" s="39"/>
    </row>
    <row r="139" customFormat="false" ht="15" hidden="false" customHeight="false" outlineLevel="0" collapsed="false">
      <c r="A139" s="39"/>
      <c r="B139" s="39"/>
      <c r="C139" s="39"/>
      <c r="D139" s="39"/>
      <c r="E139" s="39"/>
      <c r="F139" s="39"/>
      <c r="G139" s="39"/>
      <c r="H139" s="39"/>
      <c r="I139" s="39"/>
      <c r="J139" s="39"/>
      <c r="K139" s="39"/>
      <c r="L139" s="39"/>
      <c r="M139" s="39"/>
    </row>
    <row r="140" customFormat="false" ht="15" hidden="false" customHeight="false" outlineLevel="0" collapsed="false">
      <c r="A140" s="39"/>
      <c r="B140" s="39"/>
      <c r="C140" s="39"/>
      <c r="D140" s="39"/>
      <c r="E140" s="39"/>
      <c r="F140" s="39"/>
      <c r="G140" s="39"/>
      <c r="H140" s="39"/>
      <c r="I140" s="39"/>
      <c r="J140" s="39"/>
      <c r="K140" s="39"/>
      <c r="L140" s="39"/>
      <c r="M140" s="39"/>
    </row>
    <row r="141" customFormat="false" ht="15" hidden="false" customHeight="false" outlineLevel="0" collapsed="false">
      <c r="A141" s="39"/>
      <c r="B141" s="39"/>
      <c r="C141" s="39"/>
      <c r="D141" s="39"/>
      <c r="E141" s="39"/>
      <c r="F141" s="39"/>
      <c r="G141" s="39"/>
      <c r="H141" s="39"/>
      <c r="I141" s="39"/>
      <c r="J141" s="39"/>
      <c r="K141" s="39"/>
      <c r="L141" s="39"/>
      <c r="M141" s="39"/>
    </row>
    <row r="142" customFormat="false" ht="15" hidden="false" customHeight="false" outlineLevel="0" collapsed="false">
      <c r="A142" s="39"/>
      <c r="B142" s="39"/>
      <c r="C142" s="39"/>
      <c r="D142" s="39"/>
      <c r="E142" s="39"/>
      <c r="F142" s="39"/>
      <c r="G142" s="39"/>
      <c r="H142" s="39"/>
      <c r="I142" s="39"/>
      <c r="J142" s="39"/>
      <c r="K142" s="39"/>
      <c r="L142" s="39"/>
      <c r="M142" s="39"/>
    </row>
    <row r="143" customFormat="false" ht="15" hidden="false" customHeight="false" outlineLevel="0" collapsed="false">
      <c r="A143" s="39"/>
      <c r="B143" s="39"/>
      <c r="C143" s="39"/>
      <c r="D143" s="39"/>
      <c r="E143" s="39"/>
      <c r="F143" s="39"/>
      <c r="G143" s="39"/>
      <c r="H143" s="39"/>
      <c r="I143" s="39"/>
      <c r="J143" s="39"/>
      <c r="K143" s="39"/>
      <c r="L143" s="39"/>
      <c r="M143" s="39"/>
    </row>
    <row r="144" customFormat="false" ht="15" hidden="false" customHeight="false" outlineLevel="0" collapsed="false">
      <c r="A144" s="39"/>
      <c r="B144" s="39"/>
      <c r="C144" s="39"/>
      <c r="D144" s="39"/>
      <c r="E144" s="39"/>
      <c r="F144" s="39"/>
      <c r="G144" s="39"/>
      <c r="H144" s="39"/>
      <c r="I144" s="39"/>
      <c r="J144" s="39"/>
      <c r="K144" s="39"/>
      <c r="L144" s="39"/>
      <c r="M144" s="39"/>
    </row>
    <row r="145" customFormat="false" ht="15" hidden="false" customHeight="false" outlineLevel="0" collapsed="false">
      <c r="A145" s="39"/>
      <c r="B145" s="39"/>
      <c r="C145" s="39"/>
      <c r="D145" s="39"/>
      <c r="E145" s="39"/>
      <c r="F145" s="39"/>
      <c r="G145" s="39"/>
      <c r="H145" s="39"/>
      <c r="I145" s="39"/>
      <c r="J145" s="39"/>
      <c r="K145" s="39"/>
      <c r="L145" s="39"/>
      <c r="M145" s="39"/>
    </row>
    <row r="146" customFormat="false" ht="15" hidden="false" customHeight="false" outlineLevel="0" collapsed="false">
      <c r="A146" s="39"/>
      <c r="B146" s="39"/>
      <c r="C146" s="39"/>
      <c r="D146" s="39"/>
      <c r="E146" s="39"/>
      <c r="F146" s="39"/>
      <c r="G146" s="39"/>
      <c r="H146" s="39"/>
      <c r="I146" s="39"/>
      <c r="J146" s="39"/>
      <c r="K146" s="39"/>
      <c r="L146" s="39"/>
      <c r="M146" s="39"/>
    </row>
    <row r="147" customFormat="false" ht="15" hidden="false" customHeight="false" outlineLevel="0" collapsed="false">
      <c r="A147" s="39"/>
      <c r="B147" s="39"/>
      <c r="C147" s="39"/>
      <c r="D147" s="39"/>
      <c r="E147" s="39"/>
      <c r="F147" s="39"/>
      <c r="G147" s="39"/>
      <c r="H147" s="39"/>
      <c r="I147" s="39"/>
      <c r="J147" s="39"/>
      <c r="K147" s="39"/>
      <c r="L147" s="39"/>
      <c r="M147" s="39"/>
    </row>
    <row r="148" customFormat="false" ht="15" hidden="false" customHeight="false" outlineLevel="0" collapsed="false">
      <c r="A148" s="39"/>
      <c r="B148" s="39"/>
      <c r="C148" s="39"/>
      <c r="D148" s="39"/>
      <c r="E148" s="39"/>
      <c r="F148" s="39"/>
      <c r="G148" s="39"/>
      <c r="H148" s="39"/>
      <c r="I148" s="39"/>
      <c r="J148" s="39"/>
      <c r="K148" s="39"/>
      <c r="L148" s="39"/>
      <c r="M148" s="39"/>
    </row>
    <row r="149" customFormat="false" ht="15" hidden="false" customHeight="false" outlineLevel="0" collapsed="false">
      <c r="A149" s="39"/>
      <c r="B149" s="39"/>
      <c r="C149" s="39"/>
      <c r="D149" s="39"/>
      <c r="E149" s="39"/>
      <c r="F149" s="39"/>
      <c r="G149" s="39"/>
      <c r="H149" s="39"/>
      <c r="I149" s="39"/>
      <c r="J149" s="39"/>
      <c r="K149" s="39"/>
      <c r="L149" s="39"/>
      <c r="M149" s="39"/>
    </row>
    <row r="150" customFormat="false" ht="15" hidden="false" customHeight="false" outlineLevel="0" collapsed="false">
      <c r="A150" s="39"/>
      <c r="B150" s="39"/>
      <c r="C150" s="39"/>
      <c r="D150" s="39"/>
      <c r="E150" s="39"/>
      <c r="F150" s="39"/>
      <c r="G150" s="39"/>
      <c r="H150" s="39"/>
      <c r="I150" s="39"/>
      <c r="J150" s="39"/>
      <c r="K150" s="39"/>
      <c r="L150" s="39"/>
      <c r="M150" s="39"/>
    </row>
    <row r="151" customFormat="false" ht="15" hidden="false" customHeight="false" outlineLevel="0" collapsed="false">
      <c r="A151" s="39"/>
      <c r="B151" s="39"/>
      <c r="C151" s="39"/>
      <c r="D151" s="39"/>
      <c r="E151" s="39"/>
      <c r="F151" s="39"/>
      <c r="G151" s="39"/>
      <c r="H151" s="39"/>
      <c r="I151" s="39"/>
      <c r="J151" s="39"/>
      <c r="K151" s="39"/>
      <c r="L151" s="39"/>
      <c r="M151" s="39"/>
    </row>
    <row r="152" customFormat="false" ht="15" hidden="false" customHeight="false" outlineLevel="0" collapsed="false">
      <c r="A152" s="39"/>
      <c r="B152" s="39"/>
      <c r="C152" s="39"/>
      <c r="D152" s="39"/>
      <c r="E152" s="39"/>
      <c r="F152" s="39"/>
      <c r="G152" s="39"/>
      <c r="H152" s="39"/>
      <c r="I152" s="39"/>
      <c r="J152" s="39"/>
      <c r="K152" s="39"/>
      <c r="L152" s="39"/>
      <c r="M152" s="39"/>
    </row>
    <row r="153" customFormat="false" ht="15" hidden="false" customHeight="false" outlineLevel="0" collapsed="false">
      <c r="A153" s="39"/>
      <c r="B153" s="39"/>
      <c r="C153" s="39"/>
      <c r="D153" s="39"/>
      <c r="E153" s="39"/>
      <c r="F153" s="39"/>
      <c r="G153" s="39"/>
      <c r="H153" s="39"/>
      <c r="I153" s="39"/>
      <c r="J153" s="39"/>
      <c r="K153" s="39"/>
      <c r="L153" s="39"/>
      <c r="M153" s="39"/>
    </row>
    <row r="154" customFormat="false" ht="15" hidden="false" customHeight="false" outlineLevel="0" collapsed="false">
      <c r="A154" s="39"/>
      <c r="B154" s="39"/>
      <c r="C154" s="39"/>
      <c r="D154" s="39"/>
      <c r="E154" s="39"/>
      <c r="F154" s="39"/>
      <c r="G154" s="39"/>
      <c r="H154" s="39"/>
      <c r="I154" s="39"/>
      <c r="J154" s="39"/>
      <c r="K154" s="39"/>
      <c r="L154" s="39"/>
      <c r="M154" s="39"/>
    </row>
    <row r="155" customFormat="false" ht="15" hidden="false" customHeight="false" outlineLevel="0" collapsed="false">
      <c r="A155" s="39"/>
      <c r="B155" s="39"/>
      <c r="C155" s="39"/>
      <c r="D155" s="39"/>
      <c r="E155" s="39"/>
      <c r="F155" s="39"/>
      <c r="G155" s="39"/>
      <c r="H155" s="39"/>
      <c r="I155" s="39"/>
      <c r="J155" s="39"/>
      <c r="K155" s="39"/>
      <c r="L155" s="39"/>
      <c r="M155" s="39"/>
    </row>
    <row r="156" customFormat="false" ht="15" hidden="false" customHeight="false" outlineLevel="0" collapsed="false">
      <c r="A156" s="39"/>
      <c r="B156" s="39"/>
      <c r="C156" s="39"/>
      <c r="D156" s="39"/>
      <c r="E156" s="39"/>
      <c r="F156" s="39"/>
      <c r="G156" s="39"/>
      <c r="H156" s="39"/>
      <c r="I156" s="39"/>
      <c r="J156" s="39"/>
      <c r="K156" s="39"/>
      <c r="L156" s="39"/>
      <c r="M156" s="39"/>
    </row>
    <row r="157" customFormat="false" ht="15" hidden="false" customHeight="false" outlineLevel="0" collapsed="false">
      <c r="A157" s="39"/>
      <c r="B157" s="39"/>
      <c r="C157" s="39"/>
      <c r="D157" s="39"/>
      <c r="E157" s="39"/>
      <c r="F157" s="39"/>
      <c r="G157" s="39"/>
      <c r="H157" s="39"/>
      <c r="I157" s="39"/>
      <c r="J157" s="39"/>
      <c r="K157" s="39"/>
      <c r="L157" s="39"/>
      <c r="M157" s="39"/>
    </row>
    <row r="158" customFormat="false" ht="15" hidden="false" customHeight="false" outlineLevel="0" collapsed="false">
      <c r="A158" s="39"/>
      <c r="B158" s="39"/>
      <c r="C158" s="39"/>
      <c r="D158" s="39"/>
      <c r="E158" s="39"/>
      <c r="F158" s="39"/>
      <c r="G158" s="39"/>
      <c r="H158" s="39"/>
      <c r="I158" s="39"/>
      <c r="J158" s="39"/>
      <c r="K158" s="39"/>
      <c r="L158" s="39"/>
      <c r="M158" s="39"/>
    </row>
    <row r="159" customFormat="false" ht="15" hidden="false" customHeight="false" outlineLevel="0" collapsed="false">
      <c r="A159" s="39"/>
      <c r="B159" s="39"/>
      <c r="C159" s="39"/>
      <c r="D159" s="39"/>
      <c r="E159" s="39"/>
      <c r="F159" s="39"/>
      <c r="G159" s="39"/>
      <c r="H159" s="39"/>
      <c r="I159" s="39"/>
      <c r="J159" s="39"/>
      <c r="K159" s="39"/>
      <c r="L159" s="39"/>
      <c r="M159" s="39"/>
    </row>
    <row r="160" customFormat="false" ht="15" hidden="false" customHeight="false" outlineLevel="0" collapsed="false">
      <c r="A160" s="39"/>
      <c r="B160" s="39"/>
      <c r="C160" s="39"/>
      <c r="D160" s="39"/>
      <c r="E160" s="39"/>
      <c r="F160" s="39"/>
      <c r="G160" s="39"/>
      <c r="H160" s="39"/>
      <c r="I160" s="39"/>
      <c r="J160" s="39"/>
      <c r="K160" s="39"/>
      <c r="L160" s="39"/>
      <c r="M160" s="39"/>
    </row>
    <row r="161" customFormat="false" ht="15" hidden="false" customHeight="false" outlineLevel="0" collapsed="false">
      <c r="A161" s="39"/>
      <c r="B161" s="39"/>
      <c r="C161" s="39"/>
      <c r="D161" s="39"/>
      <c r="E161" s="39"/>
      <c r="F161" s="39"/>
      <c r="G161" s="39"/>
      <c r="H161" s="39"/>
      <c r="I161" s="39"/>
      <c r="J161" s="39"/>
      <c r="K161" s="39"/>
      <c r="L161" s="39"/>
      <c r="M161" s="39"/>
    </row>
    <row r="162" customFormat="false" ht="15" hidden="false" customHeight="false" outlineLevel="0" collapsed="false">
      <c r="A162" s="39"/>
      <c r="B162" s="39"/>
      <c r="C162" s="39"/>
      <c r="D162" s="39"/>
      <c r="E162" s="39"/>
      <c r="F162" s="39"/>
      <c r="G162" s="39"/>
      <c r="H162" s="39"/>
      <c r="I162" s="39"/>
      <c r="J162" s="39"/>
      <c r="K162" s="39"/>
      <c r="L162" s="39"/>
      <c r="M162" s="39"/>
    </row>
    <row r="163" customFormat="false" ht="15" hidden="false" customHeight="false" outlineLevel="0" collapsed="false">
      <c r="A163" s="39"/>
      <c r="B163" s="39"/>
      <c r="C163" s="39"/>
      <c r="D163" s="39"/>
      <c r="E163" s="39"/>
      <c r="F163" s="39"/>
      <c r="G163" s="39"/>
      <c r="H163" s="39"/>
      <c r="I163" s="39"/>
      <c r="J163" s="39"/>
      <c r="K163" s="39"/>
      <c r="L163" s="39"/>
      <c r="M163" s="39"/>
    </row>
    <row r="164" customFormat="false" ht="15" hidden="false" customHeight="false" outlineLevel="0" collapsed="false">
      <c r="A164" s="39"/>
      <c r="B164" s="39"/>
      <c r="C164" s="39"/>
      <c r="D164" s="39"/>
      <c r="E164" s="39"/>
      <c r="F164" s="39"/>
      <c r="G164" s="39"/>
      <c r="H164" s="39"/>
      <c r="I164" s="39"/>
      <c r="J164" s="39"/>
      <c r="K164" s="39"/>
      <c r="L164" s="39"/>
      <c r="M164" s="39"/>
    </row>
    <row r="165" customFormat="false" ht="15" hidden="false" customHeight="false" outlineLevel="0" collapsed="false">
      <c r="A165" s="39"/>
      <c r="B165" s="39"/>
      <c r="C165" s="39"/>
      <c r="D165" s="39"/>
      <c r="E165" s="39"/>
      <c r="F165" s="39"/>
      <c r="G165" s="39"/>
      <c r="H165" s="39"/>
      <c r="I165" s="39"/>
      <c r="J165" s="39"/>
      <c r="K165" s="39"/>
      <c r="L165" s="39"/>
      <c r="M165" s="39"/>
    </row>
    <row r="166" customFormat="false" ht="15" hidden="false" customHeight="false" outlineLevel="0" collapsed="false">
      <c r="A166" s="39"/>
      <c r="B166" s="39"/>
      <c r="C166" s="39"/>
      <c r="D166" s="39"/>
      <c r="E166" s="39"/>
      <c r="F166" s="39"/>
      <c r="G166" s="39"/>
      <c r="H166" s="39"/>
      <c r="I166" s="39"/>
      <c r="J166" s="39"/>
      <c r="K166" s="39"/>
      <c r="L166" s="39"/>
      <c r="M166" s="39"/>
    </row>
    <row r="167" customFormat="false" ht="15" hidden="false" customHeight="false" outlineLevel="0" collapsed="false">
      <c r="A167" s="39"/>
      <c r="B167" s="39"/>
      <c r="C167" s="39"/>
      <c r="D167" s="39"/>
      <c r="E167" s="39"/>
      <c r="F167" s="39"/>
      <c r="G167" s="39"/>
      <c r="H167" s="39"/>
      <c r="I167" s="39"/>
      <c r="J167" s="39"/>
      <c r="K167" s="39"/>
      <c r="L167" s="39"/>
      <c r="M167" s="39"/>
    </row>
    <row r="168" customFormat="false" ht="15" hidden="false" customHeight="false" outlineLevel="0" collapsed="false">
      <c r="A168" s="39"/>
      <c r="B168" s="39"/>
      <c r="C168" s="39"/>
      <c r="D168" s="39"/>
      <c r="E168" s="39"/>
      <c r="F168" s="39"/>
      <c r="G168" s="39"/>
      <c r="H168" s="39"/>
      <c r="I168" s="39"/>
      <c r="J168" s="39"/>
      <c r="K168" s="39"/>
      <c r="L168" s="39"/>
      <c r="M168" s="39"/>
    </row>
    <row r="169" customFormat="false" ht="15" hidden="false" customHeight="false" outlineLevel="0" collapsed="false">
      <c r="A169" s="39"/>
      <c r="B169" s="39"/>
      <c r="C169" s="39"/>
      <c r="D169" s="39"/>
      <c r="E169" s="39"/>
      <c r="F169" s="39"/>
      <c r="G169" s="39"/>
      <c r="H169" s="39"/>
      <c r="I169" s="39"/>
      <c r="J169" s="39"/>
      <c r="K169" s="39"/>
      <c r="L169" s="39"/>
      <c r="M169" s="39"/>
    </row>
    <row r="170" customFormat="false" ht="15" hidden="false" customHeight="false" outlineLevel="0" collapsed="false">
      <c r="A170" s="39"/>
      <c r="B170" s="39"/>
      <c r="C170" s="39"/>
      <c r="D170" s="39"/>
      <c r="E170" s="39"/>
      <c r="F170" s="39"/>
      <c r="G170" s="39"/>
      <c r="H170" s="39"/>
      <c r="I170" s="39"/>
      <c r="J170" s="39"/>
      <c r="K170" s="39"/>
      <c r="L170" s="39"/>
      <c r="M170" s="39"/>
    </row>
    <row r="171" customFormat="false" ht="15" hidden="false" customHeight="false" outlineLevel="0" collapsed="false">
      <c r="A171" s="39"/>
      <c r="B171" s="39"/>
      <c r="C171" s="39"/>
      <c r="D171" s="39"/>
      <c r="E171" s="39"/>
      <c r="F171" s="39"/>
      <c r="G171" s="39"/>
      <c r="H171" s="39"/>
      <c r="I171" s="39"/>
      <c r="J171" s="39"/>
      <c r="K171" s="39"/>
      <c r="L171" s="39"/>
      <c r="M171" s="39"/>
    </row>
    <row r="172" customFormat="false" ht="15" hidden="false" customHeight="false" outlineLevel="0" collapsed="false">
      <c r="A172" s="39"/>
      <c r="B172" s="39"/>
      <c r="C172" s="39"/>
      <c r="D172" s="39"/>
      <c r="E172" s="39"/>
      <c r="F172" s="39"/>
      <c r="G172" s="39"/>
      <c r="H172" s="39"/>
      <c r="I172" s="39"/>
      <c r="J172" s="39"/>
      <c r="K172" s="39"/>
      <c r="L172" s="39"/>
      <c r="M172" s="39"/>
    </row>
    <row r="173" customFormat="false" ht="15" hidden="false" customHeight="false" outlineLevel="0" collapsed="false">
      <c r="A173" s="39"/>
      <c r="B173" s="39"/>
      <c r="C173" s="39"/>
      <c r="D173" s="39"/>
      <c r="E173" s="39"/>
      <c r="F173" s="39"/>
      <c r="G173" s="39"/>
      <c r="H173" s="39"/>
      <c r="I173" s="39"/>
      <c r="J173" s="39"/>
      <c r="K173" s="39"/>
      <c r="L173" s="39"/>
      <c r="M173" s="39"/>
    </row>
    <row r="174" customFormat="false" ht="15" hidden="false" customHeight="false" outlineLevel="0" collapsed="false">
      <c r="A174" s="39"/>
      <c r="B174" s="39"/>
      <c r="C174" s="39"/>
      <c r="D174" s="39"/>
      <c r="E174" s="39"/>
      <c r="F174" s="39"/>
      <c r="G174" s="39"/>
      <c r="H174" s="39"/>
      <c r="I174" s="39"/>
      <c r="J174" s="39"/>
      <c r="K174" s="39"/>
      <c r="L174" s="39"/>
      <c r="M174" s="39"/>
    </row>
    <row r="175" customFormat="false" ht="15" hidden="false" customHeight="false" outlineLevel="0" collapsed="false">
      <c r="A175" s="39"/>
      <c r="B175" s="39"/>
      <c r="C175" s="39"/>
      <c r="D175" s="39"/>
      <c r="E175" s="39"/>
      <c r="F175" s="39"/>
      <c r="G175" s="39"/>
      <c r="H175" s="39"/>
      <c r="I175" s="39"/>
      <c r="J175" s="39"/>
      <c r="K175" s="39"/>
      <c r="L175" s="39"/>
      <c r="M175" s="39"/>
    </row>
    <row r="176" customFormat="false" ht="15" hidden="false" customHeight="false" outlineLevel="0" collapsed="false">
      <c r="A176" s="39"/>
      <c r="B176" s="39"/>
      <c r="C176" s="39"/>
      <c r="D176" s="39"/>
      <c r="E176" s="39"/>
      <c r="F176" s="39"/>
      <c r="G176" s="39"/>
      <c r="H176" s="39"/>
      <c r="I176" s="39"/>
      <c r="J176" s="39"/>
      <c r="K176" s="39"/>
      <c r="L176" s="39"/>
      <c r="M176" s="39"/>
    </row>
    <row r="177" customFormat="false" ht="15" hidden="false" customHeight="false" outlineLevel="0" collapsed="false">
      <c r="A177" s="39"/>
      <c r="B177" s="39"/>
      <c r="C177" s="39"/>
      <c r="D177" s="39"/>
      <c r="E177" s="39"/>
      <c r="F177" s="39"/>
      <c r="G177" s="39"/>
      <c r="H177" s="39"/>
      <c r="I177" s="39"/>
      <c r="J177" s="39"/>
      <c r="K177" s="39"/>
      <c r="L177" s="39"/>
      <c r="M177" s="39"/>
    </row>
    <row r="178" customFormat="false" ht="15" hidden="false" customHeight="false" outlineLevel="0" collapsed="false">
      <c r="A178" s="39"/>
      <c r="B178" s="39"/>
      <c r="C178" s="39"/>
      <c r="D178" s="39"/>
      <c r="E178" s="39"/>
      <c r="F178" s="39"/>
      <c r="G178" s="39"/>
      <c r="H178" s="39"/>
      <c r="I178" s="39"/>
      <c r="J178" s="39"/>
      <c r="K178" s="39"/>
      <c r="L178" s="39"/>
      <c r="M178" s="39"/>
    </row>
    <row r="179" customFormat="false" ht="15" hidden="false" customHeight="false" outlineLevel="0" collapsed="false">
      <c r="A179" s="39"/>
      <c r="B179" s="39"/>
      <c r="C179" s="39"/>
      <c r="D179" s="39"/>
      <c r="E179" s="39"/>
      <c r="F179" s="39"/>
      <c r="G179" s="39"/>
      <c r="H179" s="39"/>
      <c r="I179" s="39"/>
      <c r="J179" s="39"/>
      <c r="K179" s="39"/>
      <c r="L179" s="39"/>
      <c r="M179" s="39"/>
    </row>
    <row r="180" customFormat="false" ht="15" hidden="false" customHeight="false" outlineLevel="0" collapsed="false">
      <c r="A180" s="39"/>
      <c r="B180" s="39"/>
      <c r="C180" s="39"/>
      <c r="D180" s="39"/>
      <c r="E180" s="39"/>
      <c r="F180" s="39"/>
      <c r="G180" s="39"/>
      <c r="H180" s="39"/>
      <c r="I180" s="39"/>
      <c r="J180" s="39"/>
      <c r="K180" s="39"/>
      <c r="L180" s="39"/>
      <c r="M180" s="39"/>
    </row>
    <row r="181" customFormat="false" ht="15" hidden="false" customHeight="false" outlineLevel="0" collapsed="false">
      <c r="A181" s="39"/>
      <c r="B181" s="39"/>
      <c r="C181" s="39"/>
      <c r="D181" s="39"/>
      <c r="E181" s="39"/>
      <c r="F181" s="39"/>
      <c r="G181" s="39"/>
      <c r="H181" s="39"/>
      <c r="I181" s="39"/>
      <c r="J181" s="39"/>
      <c r="K181" s="39"/>
      <c r="L181" s="39"/>
      <c r="M181" s="39"/>
    </row>
    <row r="182" customFormat="false" ht="15" hidden="false" customHeight="false" outlineLevel="0" collapsed="false">
      <c r="A182" s="39"/>
      <c r="B182" s="39"/>
      <c r="C182" s="39"/>
      <c r="D182" s="39"/>
      <c r="E182" s="39"/>
      <c r="F182" s="39"/>
      <c r="G182" s="39"/>
      <c r="H182" s="39"/>
      <c r="I182" s="39"/>
      <c r="J182" s="39"/>
      <c r="K182" s="39"/>
      <c r="L182" s="39"/>
      <c r="M182" s="39"/>
    </row>
    <row r="183" customFormat="false" ht="15" hidden="false" customHeight="false" outlineLevel="0" collapsed="false">
      <c r="A183" s="39"/>
      <c r="B183" s="39"/>
      <c r="C183" s="39"/>
      <c r="D183" s="39"/>
      <c r="E183" s="39"/>
      <c r="F183" s="39"/>
      <c r="G183" s="39"/>
      <c r="H183" s="39"/>
      <c r="I183" s="39"/>
      <c r="J183" s="39"/>
      <c r="K183" s="39"/>
      <c r="L183" s="39"/>
      <c r="M183" s="39"/>
    </row>
    <row r="184" customFormat="false" ht="15" hidden="false" customHeight="false" outlineLevel="0" collapsed="false">
      <c r="A184" s="39"/>
      <c r="B184" s="39"/>
      <c r="C184" s="39"/>
      <c r="D184" s="39"/>
      <c r="E184" s="39"/>
      <c r="F184" s="39"/>
      <c r="G184" s="39"/>
      <c r="H184" s="39"/>
      <c r="I184" s="39"/>
      <c r="J184" s="39"/>
      <c r="K184" s="39"/>
      <c r="L184" s="39"/>
      <c r="M184" s="39"/>
    </row>
    <row r="185" customFormat="false" ht="15" hidden="false" customHeight="false" outlineLevel="0" collapsed="false">
      <c r="A185" s="39"/>
      <c r="B185" s="39"/>
      <c r="C185" s="39"/>
      <c r="D185" s="39"/>
      <c r="E185" s="39"/>
      <c r="F185" s="39"/>
      <c r="G185" s="39"/>
      <c r="H185" s="39"/>
      <c r="I185" s="39"/>
      <c r="J185" s="39"/>
      <c r="K185" s="39"/>
      <c r="L185" s="39"/>
      <c r="M185" s="39"/>
    </row>
    <row r="186" customFormat="false" ht="15" hidden="false" customHeight="false" outlineLevel="0" collapsed="false">
      <c r="A186" s="39"/>
      <c r="B186" s="39"/>
      <c r="C186" s="39"/>
      <c r="D186" s="39"/>
      <c r="E186" s="39"/>
      <c r="F186" s="39"/>
      <c r="G186" s="39"/>
      <c r="H186" s="39"/>
      <c r="I186" s="39"/>
      <c r="J186" s="39"/>
      <c r="K186" s="39"/>
      <c r="L186" s="39"/>
      <c r="M186" s="39"/>
    </row>
    <row r="187" customFormat="false" ht="15" hidden="false" customHeight="false" outlineLevel="0" collapsed="false">
      <c r="A187" s="39"/>
      <c r="B187" s="39"/>
      <c r="C187" s="39"/>
      <c r="D187" s="39"/>
      <c r="E187" s="39"/>
      <c r="F187" s="39"/>
      <c r="G187" s="39"/>
      <c r="H187" s="39"/>
      <c r="I187" s="39"/>
      <c r="J187" s="39"/>
      <c r="K187" s="39"/>
      <c r="L187" s="39"/>
      <c r="M187" s="39"/>
    </row>
    <row r="188" customFormat="false" ht="15" hidden="false" customHeight="false" outlineLevel="0" collapsed="false">
      <c r="A188" s="39"/>
      <c r="B188" s="39"/>
      <c r="C188" s="39"/>
      <c r="D188" s="39"/>
      <c r="E188" s="39"/>
      <c r="F188" s="39"/>
      <c r="G188" s="39"/>
      <c r="H188" s="39"/>
      <c r="I188" s="39"/>
      <c r="J188" s="39"/>
      <c r="K188" s="39"/>
      <c r="L188" s="39"/>
      <c r="M188" s="39"/>
    </row>
    <row r="189" customFormat="false" ht="15" hidden="false" customHeight="false" outlineLevel="0" collapsed="false">
      <c r="A189" s="39"/>
      <c r="B189" s="39"/>
      <c r="C189" s="39"/>
      <c r="D189" s="39"/>
      <c r="E189" s="39"/>
      <c r="F189" s="39"/>
      <c r="G189" s="39"/>
      <c r="H189" s="39"/>
      <c r="I189" s="39"/>
      <c r="J189" s="39"/>
      <c r="K189" s="39"/>
      <c r="L189" s="39"/>
      <c r="M189" s="39"/>
    </row>
    <row r="190" customFormat="false" ht="15" hidden="false" customHeight="false" outlineLevel="0" collapsed="false">
      <c r="A190" s="39"/>
      <c r="B190" s="39"/>
      <c r="C190" s="39"/>
      <c r="D190" s="39"/>
      <c r="E190" s="39"/>
      <c r="F190" s="39"/>
      <c r="G190" s="39"/>
      <c r="H190" s="39"/>
      <c r="I190" s="39"/>
      <c r="J190" s="39"/>
      <c r="K190" s="39"/>
      <c r="L190" s="39"/>
      <c r="M190" s="39"/>
    </row>
    <row r="191" customFormat="false" ht="15" hidden="false" customHeight="false" outlineLevel="0" collapsed="false">
      <c r="A191" s="39"/>
      <c r="B191" s="39"/>
      <c r="C191" s="39"/>
      <c r="D191" s="39"/>
      <c r="E191" s="39"/>
      <c r="F191" s="39"/>
      <c r="G191" s="39"/>
      <c r="H191" s="39"/>
      <c r="I191" s="39"/>
      <c r="J191" s="39"/>
      <c r="K191" s="39"/>
      <c r="L191" s="39"/>
      <c r="M191" s="39"/>
    </row>
    <row r="192" customFormat="false" ht="15" hidden="false" customHeight="false" outlineLevel="0" collapsed="false">
      <c r="A192" s="39"/>
      <c r="B192" s="39"/>
      <c r="C192" s="39"/>
      <c r="D192" s="39"/>
      <c r="E192" s="39"/>
      <c r="F192" s="39"/>
      <c r="G192" s="39"/>
      <c r="H192" s="39"/>
      <c r="I192" s="39"/>
      <c r="J192" s="39"/>
      <c r="K192" s="39"/>
      <c r="L192" s="39"/>
      <c r="M192" s="39"/>
    </row>
    <row r="193" customFormat="false" ht="15" hidden="false" customHeight="false" outlineLevel="0" collapsed="false">
      <c r="A193" s="39"/>
      <c r="B193" s="39"/>
      <c r="C193" s="39"/>
      <c r="D193" s="39"/>
      <c r="E193" s="39"/>
      <c r="F193" s="39"/>
      <c r="G193" s="39"/>
      <c r="H193" s="39"/>
      <c r="I193" s="39"/>
      <c r="J193" s="39"/>
      <c r="K193" s="39"/>
      <c r="L193" s="39"/>
      <c r="M193" s="39"/>
    </row>
    <row r="194" customFormat="false" ht="15" hidden="false" customHeight="false" outlineLevel="0" collapsed="false">
      <c r="A194" s="39"/>
      <c r="B194" s="39"/>
      <c r="C194" s="39"/>
      <c r="D194" s="39"/>
      <c r="E194" s="39"/>
      <c r="F194" s="39"/>
      <c r="G194" s="39"/>
      <c r="H194" s="39"/>
      <c r="I194" s="39"/>
      <c r="J194" s="39"/>
      <c r="K194" s="39"/>
      <c r="L194" s="39"/>
      <c r="M194" s="39"/>
    </row>
    <row r="195" customFormat="false" ht="15" hidden="false" customHeight="false" outlineLevel="0" collapsed="false">
      <c r="A195" s="39"/>
      <c r="B195" s="39"/>
      <c r="C195" s="39"/>
      <c r="D195" s="39"/>
      <c r="E195" s="39"/>
      <c r="F195" s="39"/>
      <c r="G195" s="39"/>
      <c r="H195" s="39"/>
      <c r="I195" s="39"/>
      <c r="J195" s="39"/>
      <c r="K195" s="39"/>
      <c r="L195" s="39"/>
      <c r="M195" s="39"/>
    </row>
    <row r="196" customFormat="false" ht="15" hidden="false" customHeight="false" outlineLevel="0" collapsed="false">
      <c r="A196" s="39"/>
      <c r="B196" s="39"/>
      <c r="C196" s="39"/>
      <c r="D196" s="39"/>
      <c r="E196" s="39"/>
      <c r="F196" s="39"/>
      <c r="G196" s="39"/>
      <c r="H196" s="39"/>
      <c r="I196" s="39"/>
      <c r="J196" s="39"/>
      <c r="K196" s="39"/>
      <c r="L196" s="39"/>
      <c r="M196" s="39"/>
    </row>
    <row r="197" customFormat="false" ht="15" hidden="false" customHeight="false" outlineLevel="0" collapsed="false">
      <c r="A197" s="39"/>
      <c r="B197" s="39"/>
      <c r="C197" s="39"/>
      <c r="D197" s="39"/>
      <c r="E197" s="39"/>
      <c r="F197" s="39"/>
      <c r="G197" s="39"/>
      <c r="H197" s="39"/>
      <c r="I197" s="39"/>
      <c r="J197" s="39"/>
      <c r="K197" s="39"/>
      <c r="L197" s="39"/>
      <c r="M197" s="39"/>
    </row>
    <row r="198" customFormat="false" ht="15" hidden="false" customHeight="false" outlineLevel="0" collapsed="false">
      <c r="A198" s="39"/>
      <c r="B198" s="39"/>
      <c r="C198" s="39"/>
      <c r="D198" s="39"/>
      <c r="E198" s="39"/>
      <c r="F198" s="39"/>
      <c r="G198" s="39"/>
      <c r="H198" s="39"/>
      <c r="I198" s="39"/>
      <c r="J198" s="39"/>
      <c r="K198" s="39"/>
      <c r="L198" s="39"/>
      <c r="M198" s="39"/>
    </row>
    <row r="199" customFormat="false" ht="15" hidden="false" customHeight="false" outlineLevel="0" collapsed="false">
      <c r="A199" s="39"/>
      <c r="B199" s="39"/>
      <c r="C199" s="39"/>
      <c r="D199" s="39"/>
      <c r="E199" s="39"/>
      <c r="F199" s="39"/>
      <c r="G199" s="39"/>
      <c r="H199" s="39"/>
      <c r="I199" s="39"/>
      <c r="J199" s="39"/>
      <c r="K199" s="39"/>
      <c r="L199" s="39"/>
      <c r="M199" s="39"/>
    </row>
    <row r="200" customFormat="false" ht="15" hidden="false" customHeight="false" outlineLevel="0" collapsed="false">
      <c r="A200" s="39"/>
      <c r="B200" s="39"/>
      <c r="C200" s="39"/>
      <c r="D200" s="39"/>
      <c r="E200" s="39"/>
      <c r="F200" s="39"/>
      <c r="G200" s="39"/>
      <c r="H200" s="39"/>
      <c r="I200" s="39"/>
      <c r="J200" s="39"/>
      <c r="K200" s="39"/>
      <c r="L200" s="39"/>
      <c r="M200" s="39"/>
    </row>
    <row r="201" customFormat="false" ht="15" hidden="false" customHeight="false" outlineLevel="0" collapsed="false">
      <c r="A201" s="39"/>
      <c r="B201" s="39"/>
      <c r="C201" s="39"/>
      <c r="D201" s="39"/>
      <c r="E201" s="39"/>
      <c r="F201" s="39"/>
      <c r="G201" s="39"/>
      <c r="H201" s="39"/>
      <c r="I201" s="39"/>
      <c r="J201" s="39"/>
      <c r="K201" s="39"/>
      <c r="L201" s="39"/>
      <c r="M201" s="39"/>
    </row>
    <row r="202" customFormat="false" ht="15" hidden="false" customHeight="false" outlineLevel="0" collapsed="false">
      <c r="A202" s="39"/>
      <c r="B202" s="39"/>
      <c r="C202" s="39"/>
      <c r="D202" s="39"/>
      <c r="E202" s="39"/>
      <c r="F202" s="39"/>
      <c r="G202" s="39"/>
      <c r="H202" s="39"/>
      <c r="I202" s="39"/>
      <c r="J202" s="39"/>
      <c r="K202" s="39"/>
      <c r="L202" s="39"/>
      <c r="M202" s="39"/>
    </row>
    <row r="203" customFormat="false" ht="15" hidden="false" customHeight="false" outlineLevel="0" collapsed="false">
      <c r="A203" s="39"/>
      <c r="B203" s="39"/>
      <c r="C203" s="39"/>
      <c r="D203" s="39"/>
      <c r="E203" s="39"/>
      <c r="F203" s="39"/>
      <c r="G203" s="39"/>
      <c r="H203" s="39"/>
      <c r="I203" s="39"/>
      <c r="J203" s="39"/>
      <c r="K203" s="39"/>
      <c r="L203" s="39"/>
      <c r="M203" s="39"/>
    </row>
    <row r="204" customFormat="false" ht="15" hidden="false" customHeight="false" outlineLevel="0" collapsed="false">
      <c r="A204" s="39"/>
      <c r="B204" s="39"/>
      <c r="C204" s="39"/>
      <c r="D204" s="39"/>
      <c r="E204" s="39"/>
      <c r="F204" s="39"/>
      <c r="G204" s="39"/>
      <c r="H204" s="39"/>
      <c r="I204" s="39"/>
      <c r="J204" s="39"/>
      <c r="K204" s="39"/>
      <c r="L204" s="39"/>
      <c r="M204" s="39"/>
    </row>
    <row r="205" customFormat="false" ht="15" hidden="false" customHeight="false" outlineLevel="0" collapsed="false">
      <c r="A205" s="39"/>
      <c r="B205" s="39"/>
      <c r="C205" s="39"/>
      <c r="D205" s="39"/>
      <c r="E205" s="39"/>
      <c r="F205" s="39"/>
      <c r="G205" s="39"/>
      <c r="H205" s="39"/>
      <c r="I205" s="39"/>
      <c r="J205" s="39"/>
      <c r="K205" s="39"/>
      <c r="L205" s="39"/>
      <c r="M205" s="39"/>
    </row>
    <row r="206" customFormat="false" ht="15" hidden="false" customHeight="false" outlineLevel="0" collapsed="false">
      <c r="A206" s="39"/>
      <c r="B206" s="39"/>
      <c r="C206" s="39"/>
      <c r="D206" s="39"/>
      <c r="E206" s="39"/>
      <c r="F206" s="39"/>
      <c r="G206" s="39"/>
      <c r="H206" s="39"/>
      <c r="I206" s="39"/>
      <c r="J206" s="39"/>
      <c r="K206" s="39"/>
      <c r="L206" s="39"/>
      <c r="M206" s="39"/>
    </row>
    <row r="207" customFormat="false" ht="15" hidden="false" customHeight="false" outlineLevel="0" collapsed="false">
      <c r="A207" s="39"/>
      <c r="B207" s="39"/>
      <c r="C207" s="39"/>
      <c r="D207" s="39"/>
      <c r="E207" s="39"/>
      <c r="F207" s="39"/>
      <c r="G207" s="39"/>
      <c r="H207" s="39"/>
      <c r="I207" s="39"/>
      <c r="J207" s="39"/>
      <c r="K207" s="39"/>
      <c r="L207" s="39"/>
      <c r="M207" s="39"/>
    </row>
    <row r="208" customFormat="false" ht="15" hidden="false" customHeight="false" outlineLevel="0" collapsed="false">
      <c r="A208" s="39"/>
      <c r="B208" s="39"/>
      <c r="C208" s="39"/>
      <c r="D208" s="39"/>
      <c r="E208" s="39"/>
      <c r="F208" s="39"/>
      <c r="G208" s="39"/>
      <c r="H208" s="39"/>
      <c r="I208" s="39"/>
      <c r="J208" s="39"/>
      <c r="K208" s="39"/>
      <c r="L208" s="39"/>
      <c r="M208" s="39"/>
    </row>
    <row r="209" customFormat="false" ht="15" hidden="false" customHeight="false" outlineLevel="0" collapsed="false">
      <c r="A209" s="39"/>
      <c r="B209" s="39"/>
      <c r="C209" s="39"/>
      <c r="D209" s="39"/>
      <c r="E209" s="39"/>
      <c r="F209" s="39"/>
      <c r="G209" s="39"/>
      <c r="H209" s="39"/>
      <c r="I209" s="39"/>
      <c r="J209" s="39"/>
      <c r="K209" s="39"/>
      <c r="L209" s="39"/>
      <c r="M209" s="39"/>
    </row>
    <row r="210" customFormat="false" ht="15" hidden="false" customHeight="false" outlineLevel="0" collapsed="false">
      <c r="A210" s="39"/>
      <c r="B210" s="39"/>
      <c r="C210" s="39"/>
      <c r="D210" s="39"/>
      <c r="E210" s="39"/>
      <c r="F210" s="39"/>
      <c r="G210" s="39"/>
      <c r="H210" s="39"/>
      <c r="I210" s="39"/>
      <c r="J210" s="39"/>
      <c r="K210" s="39"/>
      <c r="L210" s="39"/>
      <c r="M210" s="39"/>
    </row>
    <row r="211" customFormat="false" ht="15" hidden="false" customHeight="false" outlineLevel="0" collapsed="false">
      <c r="A211" s="39"/>
      <c r="B211" s="39"/>
      <c r="C211" s="39"/>
      <c r="D211" s="39"/>
      <c r="E211" s="39"/>
      <c r="F211" s="39"/>
      <c r="G211" s="39"/>
      <c r="H211" s="39"/>
      <c r="I211" s="39"/>
      <c r="J211" s="39"/>
      <c r="K211" s="39"/>
      <c r="L211" s="39"/>
      <c r="M211" s="39"/>
    </row>
    <row r="212" customFormat="false" ht="15" hidden="false" customHeight="false" outlineLevel="0" collapsed="false">
      <c r="A212" s="39"/>
      <c r="B212" s="39"/>
      <c r="C212" s="39"/>
      <c r="D212" s="39"/>
      <c r="E212" s="39"/>
      <c r="F212" s="39"/>
      <c r="G212" s="39"/>
      <c r="H212" s="39"/>
      <c r="I212" s="39"/>
      <c r="J212" s="39"/>
      <c r="K212" s="39"/>
      <c r="L212" s="39"/>
      <c r="M212" s="39"/>
    </row>
    <row r="213" customFormat="false" ht="15" hidden="false" customHeight="false" outlineLevel="0" collapsed="false">
      <c r="A213" s="39"/>
      <c r="B213" s="39"/>
      <c r="C213" s="39"/>
      <c r="D213" s="39"/>
      <c r="E213" s="39"/>
      <c r="F213" s="39"/>
      <c r="G213" s="39"/>
      <c r="H213" s="39"/>
      <c r="I213" s="39"/>
      <c r="J213" s="39"/>
      <c r="K213" s="39"/>
      <c r="L213" s="39"/>
      <c r="M213" s="39"/>
    </row>
    <row r="214" customFormat="false" ht="15" hidden="false" customHeight="false" outlineLevel="0" collapsed="false">
      <c r="A214" s="39"/>
      <c r="B214" s="39"/>
      <c r="C214" s="39"/>
      <c r="D214" s="39"/>
      <c r="E214" s="39"/>
      <c r="F214" s="39"/>
      <c r="G214" s="39"/>
      <c r="H214" s="39"/>
      <c r="I214" s="39"/>
      <c r="J214" s="39"/>
      <c r="K214" s="39"/>
      <c r="L214" s="39"/>
      <c r="M214" s="39"/>
    </row>
    <row r="215" customFormat="false" ht="15" hidden="false" customHeight="false" outlineLevel="0" collapsed="false">
      <c r="A215" s="39"/>
      <c r="B215" s="39"/>
      <c r="C215" s="39"/>
      <c r="D215" s="39"/>
      <c r="E215" s="39"/>
      <c r="F215" s="39"/>
      <c r="G215" s="39"/>
      <c r="H215" s="39"/>
      <c r="I215" s="39"/>
      <c r="J215" s="39"/>
      <c r="K215" s="39"/>
      <c r="L215" s="39"/>
      <c r="M215" s="39"/>
    </row>
    <row r="216" customFormat="false" ht="15" hidden="false" customHeight="false" outlineLevel="0" collapsed="false">
      <c r="A216" s="39"/>
      <c r="B216" s="39"/>
      <c r="C216" s="39"/>
      <c r="D216" s="39"/>
      <c r="E216" s="39"/>
      <c r="F216" s="39"/>
      <c r="G216" s="39"/>
      <c r="H216" s="39"/>
      <c r="I216" s="39"/>
      <c r="J216" s="39"/>
      <c r="K216" s="39"/>
      <c r="L216" s="39"/>
      <c r="M216" s="39"/>
    </row>
    <row r="217" customFormat="false" ht="15" hidden="false" customHeight="false" outlineLevel="0" collapsed="false">
      <c r="A217" s="39"/>
      <c r="B217" s="39"/>
      <c r="C217" s="39"/>
      <c r="D217" s="39"/>
      <c r="E217" s="39"/>
      <c r="F217" s="39"/>
      <c r="G217" s="39"/>
      <c r="H217" s="39"/>
      <c r="I217" s="39"/>
      <c r="J217" s="39"/>
      <c r="K217" s="39"/>
      <c r="L217" s="39"/>
      <c r="M217" s="39"/>
    </row>
    <row r="218" customFormat="false" ht="15" hidden="false" customHeight="false" outlineLevel="0" collapsed="false">
      <c r="A218" s="39"/>
      <c r="B218" s="39"/>
      <c r="C218" s="39"/>
      <c r="D218" s="39"/>
      <c r="E218" s="39"/>
      <c r="F218" s="39"/>
      <c r="G218" s="39"/>
      <c r="H218" s="39"/>
      <c r="I218" s="39"/>
      <c r="J218" s="39"/>
      <c r="K218" s="39"/>
      <c r="L218" s="39"/>
      <c r="M218" s="39"/>
    </row>
    <row r="219" customFormat="false" ht="15" hidden="false" customHeight="false" outlineLevel="0" collapsed="false">
      <c r="A219" s="39"/>
      <c r="B219" s="39"/>
      <c r="C219" s="39"/>
      <c r="D219" s="39"/>
      <c r="E219" s="39"/>
      <c r="F219" s="39"/>
      <c r="G219" s="39"/>
      <c r="H219" s="39"/>
      <c r="I219" s="39"/>
      <c r="J219" s="39"/>
      <c r="K219" s="39"/>
      <c r="L219" s="39"/>
      <c r="M219" s="39"/>
    </row>
    <row r="220" customFormat="false" ht="15" hidden="false" customHeight="false" outlineLevel="0" collapsed="false">
      <c r="A220" s="39"/>
      <c r="B220" s="39"/>
      <c r="C220" s="39"/>
      <c r="D220" s="39"/>
      <c r="E220" s="39"/>
      <c r="F220" s="39"/>
      <c r="G220" s="39"/>
      <c r="H220" s="39"/>
      <c r="I220" s="39"/>
      <c r="J220" s="39"/>
      <c r="K220" s="39"/>
      <c r="L220" s="39"/>
      <c r="M220" s="39"/>
    </row>
    <row r="221" customFormat="false" ht="15" hidden="false" customHeight="false" outlineLevel="0" collapsed="false">
      <c r="A221" s="39"/>
      <c r="B221" s="39"/>
      <c r="C221" s="39"/>
      <c r="D221" s="39"/>
      <c r="E221" s="39"/>
      <c r="F221" s="39"/>
      <c r="G221" s="39"/>
      <c r="H221" s="39"/>
      <c r="I221" s="39"/>
      <c r="J221" s="39"/>
      <c r="K221" s="39"/>
      <c r="L221" s="39"/>
      <c r="M221" s="39"/>
    </row>
    <row r="222" customFormat="false" ht="15" hidden="false" customHeight="false" outlineLevel="0" collapsed="false">
      <c r="A222" s="39"/>
      <c r="B222" s="39"/>
      <c r="C222" s="39"/>
      <c r="D222" s="39"/>
      <c r="E222" s="39"/>
      <c r="F222" s="39"/>
      <c r="G222" s="39"/>
      <c r="H222" s="39"/>
      <c r="I222" s="39"/>
      <c r="J222" s="39"/>
      <c r="K222" s="39"/>
      <c r="L222" s="39"/>
      <c r="M222" s="39"/>
    </row>
    <row r="223" customFormat="false" ht="15" hidden="false" customHeight="false" outlineLevel="0" collapsed="false">
      <c r="A223" s="39"/>
      <c r="B223" s="39"/>
      <c r="C223" s="39"/>
      <c r="D223" s="39"/>
      <c r="E223" s="39"/>
      <c r="F223" s="39"/>
      <c r="G223" s="39"/>
      <c r="H223" s="39"/>
      <c r="I223" s="39"/>
      <c r="J223" s="39"/>
      <c r="K223" s="39"/>
      <c r="L223" s="39"/>
      <c r="M223" s="39"/>
    </row>
    <row r="224" customFormat="false" ht="15" hidden="false" customHeight="false" outlineLevel="0" collapsed="false">
      <c r="A224" s="39"/>
      <c r="B224" s="39"/>
      <c r="C224" s="39"/>
      <c r="D224" s="39"/>
      <c r="E224" s="39"/>
      <c r="F224" s="39"/>
      <c r="G224" s="39"/>
      <c r="H224" s="39"/>
      <c r="I224" s="39"/>
      <c r="J224" s="39"/>
      <c r="K224" s="39"/>
      <c r="L224" s="39"/>
      <c r="M224" s="39"/>
    </row>
    <row r="225" customFormat="false" ht="15" hidden="false" customHeight="false" outlineLevel="0" collapsed="false">
      <c r="A225" s="39"/>
      <c r="B225" s="39"/>
      <c r="C225" s="39"/>
      <c r="D225" s="39"/>
      <c r="E225" s="39"/>
      <c r="F225" s="39"/>
      <c r="G225" s="39"/>
      <c r="H225" s="39"/>
      <c r="I225" s="39"/>
      <c r="J225" s="39"/>
      <c r="K225" s="39"/>
      <c r="L225" s="39"/>
      <c r="M225" s="39"/>
    </row>
    <row r="226" customFormat="false" ht="15" hidden="false" customHeight="false" outlineLevel="0" collapsed="false">
      <c r="A226" s="39"/>
      <c r="B226" s="39"/>
      <c r="C226" s="39"/>
      <c r="D226" s="39"/>
      <c r="E226" s="39"/>
      <c r="F226" s="39"/>
      <c r="G226" s="39"/>
      <c r="H226" s="39"/>
      <c r="I226" s="39"/>
      <c r="J226" s="39"/>
      <c r="K226" s="39"/>
      <c r="L226" s="39"/>
      <c r="M226" s="39"/>
    </row>
    <row r="227" customFormat="false" ht="15" hidden="false" customHeight="false" outlineLevel="0" collapsed="false">
      <c r="A227" s="39"/>
      <c r="B227" s="39"/>
      <c r="C227" s="39"/>
      <c r="D227" s="39"/>
      <c r="E227" s="39"/>
      <c r="F227" s="39"/>
      <c r="G227" s="39"/>
      <c r="H227" s="39"/>
      <c r="I227" s="39"/>
      <c r="J227" s="39"/>
      <c r="K227" s="39"/>
      <c r="L227" s="39"/>
      <c r="M227" s="39"/>
    </row>
    <row r="228" customFormat="false" ht="15" hidden="false" customHeight="false" outlineLevel="0" collapsed="false">
      <c r="A228" s="39"/>
      <c r="B228" s="39"/>
      <c r="C228" s="39"/>
      <c r="D228" s="39"/>
      <c r="E228" s="39"/>
      <c r="F228" s="39"/>
      <c r="G228" s="39"/>
      <c r="H228" s="39"/>
      <c r="I228" s="39"/>
      <c r="J228" s="39"/>
      <c r="K228" s="39"/>
      <c r="L228" s="39"/>
      <c r="M228" s="39"/>
    </row>
    <row r="229" customFormat="false" ht="15" hidden="false" customHeight="false" outlineLevel="0" collapsed="false">
      <c r="A229" s="39"/>
      <c r="B229" s="39"/>
      <c r="C229" s="39"/>
      <c r="D229" s="39"/>
      <c r="E229" s="39"/>
      <c r="F229" s="39"/>
      <c r="G229" s="39"/>
      <c r="H229" s="39"/>
      <c r="I229" s="39"/>
      <c r="J229" s="39"/>
      <c r="K229" s="39"/>
      <c r="L229" s="39"/>
      <c r="M229" s="39"/>
    </row>
    <row r="230" customFormat="false" ht="15" hidden="false" customHeight="false" outlineLevel="0" collapsed="false">
      <c r="A230" s="39"/>
      <c r="B230" s="39"/>
      <c r="C230" s="39"/>
      <c r="D230" s="39"/>
      <c r="E230" s="39"/>
      <c r="F230" s="39"/>
      <c r="G230" s="39"/>
      <c r="H230" s="39"/>
      <c r="I230" s="39"/>
      <c r="J230" s="39"/>
      <c r="K230" s="39"/>
      <c r="L230" s="39"/>
      <c r="M230" s="39"/>
    </row>
    <row r="231" customFormat="false" ht="15" hidden="false" customHeight="false" outlineLevel="0" collapsed="false">
      <c r="A231" s="39"/>
      <c r="B231" s="39"/>
      <c r="C231" s="39"/>
      <c r="D231" s="39"/>
      <c r="E231" s="39"/>
      <c r="F231" s="39"/>
      <c r="G231" s="39"/>
      <c r="H231" s="39"/>
      <c r="I231" s="39"/>
      <c r="J231" s="39"/>
      <c r="K231" s="39"/>
      <c r="L231" s="39"/>
      <c r="M231" s="39"/>
    </row>
    <row r="232" customFormat="false" ht="15" hidden="false" customHeight="false" outlineLevel="0" collapsed="false">
      <c r="A232" s="39"/>
      <c r="B232" s="39"/>
      <c r="C232" s="39"/>
      <c r="D232" s="39"/>
      <c r="E232" s="39"/>
      <c r="F232" s="39"/>
      <c r="G232" s="39"/>
      <c r="H232" s="39"/>
      <c r="I232" s="39"/>
      <c r="J232" s="39"/>
      <c r="K232" s="39"/>
      <c r="L232" s="39"/>
      <c r="M232" s="39"/>
    </row>
    <row r="233" customFormat="false" ht="15" hidden="false" customHeight="false" outlineLevel="0" collapsed="false">
      <c r="A233" s="39"/>
      <c r="B233" s="39"/>
      <c r="C233" s="39"/>
      <c r="D233" s="39"/>
      <c r="E233" s="39"/>
      <c r="F233" s="39"/>
      <c r="G233" s="39"/>
      <c r="H233" s="39"/>
      <c r="I233" s="39"/>
      <c r="J233" s="39"/>
      <c r="K233" s="39"/>
      <c r="L233" s="39"/>
      <c r="M233" s="39"/>
    </row>
    <row r="234" customFormat="false" ht="15" hidden="false" customHeight="false" outlineLevel="0" collapsed="false">
      <c r="A234" s="39"/>
      <c r="B234" s="39"/>
      <c r="C234" s="39"/>
      <c r="D234" s="39"/>
      <c r="E234" s="39"/>
      <c r="F234" s="39"/>
      <c r="G234" s="39"/>
      <c r="H234" s="39"/>
      <c r="I234" s="39"/>
      <c r="J234" s="39"/>
      <c r="K234" s="39"/>
      <c r="L234" s="39"/>
      <c r="M234" s="39"/>
    </row>
    <row r="235" customFormat="false" ht="15" hidden="false" customHeight="false" outlineLevel="0" collapsed="false">
      <c r="A235" s="39"/>
      <c r="B235" s="39"/>
      <c r="C235" s="39"/>
      <c r="D235" s="39"/>
      <c r="E235" s="39"/>
      <c r="F235" s="39"/>
      <c r="G235" s="39"/>
      <c r="H235" s="39"/>
      <c r="I235" s="39"/>
      <c r="J235" s="39"/>
      <c r="K235" s="39"/>
      <c r="L235" s="39"/>
      <c r="M235" s="39"/>
    </row>
    <row r="236" customFormat="false" ht="15" hidden="false" customHeight="false" outlineLevel="0" collapsed="false">
      <c r="A236" s="39"/>
      <c r="B236" s="39"/>
      <c r="C236" s="39"/>
      <c r="D236" s="39"/>
      <c r="E236" s="39"/>
      <c r="F236" s="39"/>
      <c r="G236" s="39"/>
      <c r="H236" s="39"/>
      <c r="I236" s="39"/>
      <c r="J236" s="39"/>
      <c r="K236" s="39"/>
      <c r="L236" s="39"/>
      <c r="M236" s="39"/>
    </row>
    <row r="237" customFormat="false" ht="15" hidden="false" customHeight="false" outlineLevel="0" collapsed="false">
      <c r="A237" s="39"/>
      <c r="B237" s="39"/>
      <c r="C237" s="39"/>
      <c r="D237" s="39"/>
      <c r="E237" s="39"/>
      <c r="F237" s="39"/>
      <c r="G237" s="39"/>
      <c r="H237" s="39"/>
      <c r="I237" s="39"/>
      <c r="J237" s="39"/>
      <c r="K237" s="39"/>
      <c r="L237" s="39"/>
      <c r="M237" s="39"/>
    </row>
    <row r="238" customFormat="false" ht="15" hidden="false" customHeight="false" outlineLevel="0" collapsed="false">
      <c r="A238" s="39"/>
      <c r="B238" s="39"/>
      <c r="C238" s="39"/>
      <c r="D238" s="39"/>
      <c r="E238" s="39"/>
      <c r="F238" s="39"/>
      <c r="G238" s="39"/>
      <c r="H238" s="39"/>
      <c r="I238" s="39"/>
      <c r="J238" s="39"/>
      <c r="K238" s="39"/>
      <c r="L238" s="39"/>
      <c r="M238" s="39"/>
    </row>
    <row r="239" customFormat="false" ht="15" hidden="false" customHeight="false" outlineLevel="0" collapsed="false">
      <c r="A239" s="39"/>
      <c r="B239" s="39"/>
      <c r="C239" s="39"/>
      <c r="D239" s="39"/>
      <c r="E239" s="39"/>
      <c r="F239" s="39"/>
      <c r="G239" s="39"/>
      <c r="H239" s="39"/>
      <c r="I239" s="39"/>
      <c r="J239" s="39"/>
      <c r="K239" s="39"/>
      <c r="L239" s="39"/>
      <c r="M239" s="39"/>
    </row>
    <row r="240" customFormat="false" ht="15" hidden="false" customHeight="false" outlineLevel="0" collapsed="false">
      <c r="A240" s="39"/>
      <c r="B240" s="39"/>
      <c r="C240" s="39"/>
      <c r="D240" s="39"/>
      <c r="E240" s="39"/>
      <c r="F240" s="39"/>
      <c r="G240" s="39"/>
      <c r="H240" s="39"/>
      <c r="I240" s="39"/>
      <c r="J240" s="39"/>
      <c r="K240" s="39"/>
      <c r="L240" s="39"/>
      <c r="M240" s="39"/>
    </row>
    <row r="241" customFormat="false" ht="15" hidden="false" customHeight="false" outlineLevel="0" collapsed="false">
      <c r="A241" s="39"/>
      <c r="B241" s="39"/>
      <c r="C241" s="39"/>
      <c r="D241" s="39"/>
      <c r="E241" s="39"/>
      <c r="F241" s="39"/>
      <c r="G241" s="39"/>
      <c r="H241" s="39"/>
      <c r="I241" s="39"/>
      <c r="J241" s="39"/>
      <c r="K241" s="39"/>
      <c r="L241" s="39"/>
      <c r="M241" s="39"/>
    </row>
    <row r="242" customFormat="false" ht="15" hidden="false" customHeight="false" outlineLevel="0" collapsed="false">
      <c r="A242" s="39"/>
      <c r="B242" s="39"/>
      <c r="C242" s="39"/>
      <c r="D242" s="39"/>
      <c r="E242" s="39"/>
      <c r="F242" s="39"/>
      <c r="G242" s="39"/>
      <c r="H242" s="39"/>
      <c r="I242" s="39"/>
      <c r="J242" s="39"/>
      <c r="K242" s="39"/>
      <c r="L242" s="39"/>
      <c r="M242" s="39"/>
    </row>
    <row r="243" customFormat="false" ht="15" hidden="false" customHeight="false" outlineLevel="0" collapsed="false">
      <c r="A243" s="39"/>
      <c r="B243" s="39"/>
      <c r="C243" s="39"/>
      <c r="D243" s="39"/>
      <c r="E243" s="39"/>
      <c r="F243" s="39"/>
      <c r="G243" s="39"/>
      <c r="H243" s="39"/>
      <c r="I243" s="39"/>
      <c r="J243" s="39"/>
      <c r="K243" s="39"/>
      <c r="L243" s="39"/>
      <c r="M243" s="39"/>
    </row>
    <row r="244" customFormat="false" ht="15" hidden="false" customHeight="false" outlineLevel="0" collapsed="false">
      <c r="A244" s="39"/>
      <c r="B244" s="39"/>
      <c r="C244" s="39"/>
      <c r="D244" s="39"/>
      <c r="E244" s="39"/>
      <c r="F244" s="39"/>
      <c r="G244" s="39"/>
      <c r="H244" s="39"/>
      <c r="I244" s="39"/>
      <c r="J244" s="39"/>
      <c r="K244" s="39"/>
      <c r="L244" s="39"/>
      <c r="M244" s="39"/>
    </row>
    <row r="245" customFormat="false" ht="15" hidden="false" customHeight="false" outlineLevel="0" collapsed="false">
      <c r="A245" s="39"/>
      <c r="B245" s="39"/>
      <c r="C245" s="39"/>
      <c r="D245" s="39"/>
      <c r="E245" s="39"/>
      <c r="F245" s="39"/>
      <c r="G245" s="39"/>
      <c r="H245" s="39"/>
      <c r="I245" s="39"/>
      <c r="J245" s="39"/>
      <c r="K245" s="39"/>
      <c r="L245" s="39"/>
      <c r="M245" s="39"/>
    </row>
    <row r="246" customFormat="false" ht="15" hidden="false" customHeight="false" outlineLevel="0" collapsed="false">
      <c r="A246" s="39"/>
      <c r="B246" s="39"/>
      <c r="C246" s="39"/>
      <c r="D246" s="39"/>
      <c r="E246" s="39"/>
      <c r="F246" s="39"/>
      <c r="G246" s="39"/>
      <c r="H246" s="39"/>
      <c r="I246" s="39"/>
      <c r="J246" s="39"/>
      <c r="K246" s="39"/>
      <c r="L246" s="39"/>
      <c r="M246" s="39"/>
    </row>
    <row r="247" customFormat="false" ht="15" hidden="false" customHeight="false" outlineLevel="0" collapsed="false">
      <c r="A247" s="39"/>
      <c r="B247" s="39"/>
      <c r="C247" s="39"/>
      <c r="D247" s="39"/>
      <c r="E247" s="39"/>
      <c r="F247" s="39"/>
      <c r="G247" s="39"/>
      <c r="H247" s="39"/>
      <c r="I247" s="39"/>
      <c r="J247" s="39"/>
      <c r="K247" s="39"/>
      <c r="L247" s="39"/>
      <c r="M247" s="39"/>
    </row>
    <row r="248" customFormat="false" ht="15" hidden="false" customHeight="false" outlineLevel="0" collapsed="false">
      <c r="A248" s="39"/>
      <c r="B248" s="39"/>
      <c r="C248" s="39"/>
      <c r="D248" s="39"/>
      <c r="E248" s="39"/>
      <c r="F248" s="39"/>
      <c r="G248" s="39"/>
      <c r="H248" s="39"/>
      <c r="I248" s="39"/>
      <c r="J248" s="39"/>
      <c r="K248" s="39"/>
      <c r="L248" s="39"/>
      <c r="M248" s="39"/>
    </row>
    <row r="249" customFormat="false" ht="15" hidden="false" customHeight="false" outlineLevel="0" collapsed="false">
      <c r="A249" s="39"/>
      <c r="B249" s="39"/>
      <c r="C249" s="39"/>
      <c r="D249" s="39"/>
      <c r="E249" s="39"/>
      <c r="F249" s="39"/>
      <c r="G249" s="39"/>
      <c r="H249" s="39"/>
      <c r="I249" s="39"/>
      <c r="J249" s="39"/>
      <c r="K249" s="39"/>
      <c r="L249" s="39"/>
      <c r="M249" s="39"/>
    </row>
    <row r="250" customFormat="false" ht="15" hidden="false" customHeight="false" outlineLevel="0" collapsed="false">
      <c r="A250" s="39"/>
      <c r="B250" s="39"/>
      <c r="C250" s="39"/>
      <c r="D250" s="39"/>
      <c r="E250" s="39"/>
      <c r="F250" s="39"/>
      <c r="G250" s="39"/>
      <c r="H250" s="39"/>
      <c r="I250" s="39"/>
      <c r="J250" s="39"/>
      <c r="K250" s="39"/>
      <c r="L250" s="39"/>
      <c r="M250" s="39"/>
    </row>
    <row r="251" customFormat="false" ht="15" hidden="false" customHeight="false" outlineLevel="0" collapsed="false">
      <c r="A251" s="39"/>
      <c r="B251" s="39"/>
      <c r="C251" s="39"/>
      <c r="D251" s="39"/>
      <c r="E251" s="39"/>
      <c r="F251" s="39"/>
      <c r="G251" s="39"/>
      <c r="H251" s="39"/>
      <c r="I251" s="39"/>
      <c r="J251" s="39"/>
      <c r="K251" s="39"/>
      <c r="L251" s="39"/>
      <c r="M251" s="39"/>
    </row>
    <row r="252" customFormat="false" ht="15" hidden="false" customHeight="false" outlineLevel="0" collapsed="false">
      <c r="A252" s="39"/>
      <c r="B252" s="39"/>
      <c r="C252" s="39"/>
      <c r="D252" s="39"/>
      <c r="E252" s="39"/>
      <c r="F252" s="39"/>
      <c r="G252" s="39"/>
      <c r="H252" s="39"/>
      <c r="I252" s="39"/>
      <c r="J252" s="39"/>
      <c r="K252" s="39"/>
      <c r="L252" s="39"/>
      <c r="M252" s="39"/>
    </row>
    <row r="253" customFormat="false" ht="15" hidden="false" customHeight="false" outlineLevel="0" collapsed="false">
      <c r="A253" s="39"/>
      <c r="B253" s="39"/>
      <c r="C253" s="39"/>
      <c r="D253" s="39"/>
      <c r="E253" s="39"/>
      <c r="F253" s="39"/>
      <c r="G253" s="39"/>
      <c r="H253" s="39"/>
      <c r="I253" s="39"/>
      <c r="J253" s="39"/>
      <c r="K253" s="39"/>
      <c r="L253" s="39"/>
      <c r="M253" s="39"/>
    </row>
    <row r="254" customFormat="false" ht="15" hidden="false" customHeight="false" outlineLevel="0" collapsed="false">
      <c r="A254" s="39"/>
      <c r="B254" s="39"/>
      <c r="C254" s="39"/>
      <c r="D254" s="39"/>
      <c r="E254" s="39"/>
      <c r="F254" s="39"/>
      <c r="G254" s="39"/>
      <c r="H254" s="39"/>
      <c r="I254" s="39"/>
      <c r="J254" s="39"/>
      <c r="K254" s="39"/>
      <c r="L254" s="39"/>
      <c r="M254" s="39"/>
    </row>
    <row r="255" customFormat="false" ht="15" hidden="false" customHeight="false" outlineLevel="0" collapsed="false">
      <c r="A255" s="39"/>
      <c r="B255" s="39"/>
      <c r="C255" s="39"/>
      <c r="D255" s="39"/>
      <c r="E255" s="39"/>
      <c r="F255" s="39"/>
      <c r="G255" s="39"/>
      <c r="H255" s="39"/>
      <c r="I255" s="39"/>
      <c r="J255" s="39"/>
      <c r="K255" s="39"/>
      <c r="L255" s="39"/>
      <c r="M255" s="39"/>
    </row>
    <row r="256" customFormat="false" ht="15" hidden="false" customHeight="false" outlineLevel="0" collapsed="false">
      <c r="A256" s="39"/>
      <c r="B256" s="39"/>
      <c r="C256" s="39"/>
      <c r="D256" s="39"/>
      <c r="E256" s="39"/>
      <c r="F256" s="39"/>
      <c r="G256" s="39"/>
      <c r="H256" s="39"/>
      <c r="I256" s="39"/>
      <c r="J256" s="39"/>
      <c r="K256" s="39"/>
      <c r="L256" s="39"/>
      <c r="M256" s="39"/>
    </row>
    <row r="257" customFormat="false" ht="15" hidden="false" customHeight="false" outlineLevel="0" collapsed="false">
      <c r="A257" s="39"/>
      <c r="B257" s="39"/>
      <c r="C257" s="39"/>
      <c r="D257" s="39"/>
      <c r="E257" s="39"/>
      <c r="F257" s="39"/>
      <c r="G257" s="39"/>
      <c r="H257" s="39"/>
      <c r="I257" s="39"/>
      <c r="J257" s="39"/>
      <c r="K257" s="39"/>
      <c r="L257" s="39"/>
      <c r="M257" s="39"/>
    </row>
    <row r="258" customFormat="false" ht="15" hidden="false" customHeight="false" outlineLevel="0" collapsed="false">
      <c r="A258" s="39"/>
      <c r="B258" s="39"/>
      <c r="C258" s="39"/>
      <c r="D258" s="39"/>
      <c r="E258" s="39"/>
      <c r="F258" s="39"/>
      <c r="G258" s="39"/>
      <c r="H258" s="39"/>
      <c r="I258" s="39"/>
      <c r="J258" s="39"/>
      <c r="K258" s="39"/>
      <c r="L258" s="39"/>
      <c r="M258" s="39"/>
    </row>
    <row r="259" customFormat="false" ht="15" hidden="false" customHeight="false" outlineLevel="0" collapsed="false">
      <c r="A259" s="39"/>
      <c r="B259" s="39"/>
      <c r="C259" s="39"/>
      <c r="D259" s="39"/>
      <c r="E259" s="39"/>
      <c r="F259" s="39"/>
      <c r="G259" s="39"/>
      <c r="H259" s="39"/>
      <c r="I259" s="39"/>
      <c r="J259" s="39"/>
      <c r="K259" s="39"/>
      <c r="L259" s="39"/>
      <c r="M259" s="39"/>
    </row>
    <row r="260" customFormat="false" ht="15" hidden="false" customHeight="false" outlineLevel="0" collapsed="false">
      <c r="A260" s="39"/>
      <c r="B260" s="39"/>
      <c r="C260" s="39"/>
      <c r="D260" s="39"/>
      <c r="E260" s="39"/>
      <c r="F260" s="39"/>
      <c r="G260" s="39"/>
      <c r="H260" s="39"/>
      <c r="I260" s="39"/>
      <c r="J260" s="39"/>
      <c r="K260" s="39"/>
      <c r="L260" s="39"/>
      <c r="M260" s="39"/>
    </row>
    <row r="261" customFormat="false" ht="15" hidden="false" customHeight="false" outlineLevel="0" collapsed="false">
      <c r="A261" s="39"/>
      <c r="B261" s="39"/>
      <c r="C261" s="39"/>
      <c r="D261" s="39"/>
      <c r="E261" s="39"/>
      <c r="F261" s="39"/>
      <c r="G261" s="39"/>
      <c r="H261" s="39"/>
      <c r="I261" s="39"/>
      <c r="J261" s="39"/>
      <c r="K261" s="39"/>
      <c r="L261" s="39"/>
      <c r="M261" s="39"/>
    </row>
    <row r="262" customFormat="false" ht="15" hidden="false" customHeight="false" outlineLevel="0" collapsed="false">
      <c r="A262" s="39"/>
      <c r="B262" s="39"/>
      <c r="C262" s="39"/>
      <c r="D262" s="39"/>
      <c r="E262" s="39"/>
      <c r="F262" s="39"/>
      <c r="G262" s="39"/>
      <c r="H262" s="39"/>
      <c r="I262" s="39"/>
      <c r="J262" s="39"/>
      <c r="K262" s="39"/>
      <c r="L262" s="39"/>
      <c r="M262" s="39"/>
    </row>
    <row r="263" customFormat="false" ht="15" hidden="false" customHeight="false" outlineLevel="0" collapsed="false">
      <c r="A263" s="39"/>
      <c r="B263" s="39"/>
      <c r="C263" s="39"/>
      <c r="D263" s="39"/>
      <c r="E263" s="39"/>
      <c r="F263" s="39"/>
      <c r="G263" s="39"/>
      <c r="H263" s="39"/>
      <c r="I263" s="39"/>
      <c r="J263" s="39"/>
      <c r="K263" s="39"/>
      <c r="L263" s="39"/>
      <c r="M263" s="39"/>
    </row>
    <row r="264" customFormat="false" ht="15" hidden="false" customHeight="false" outlineLevel="0" collapsed="false">
      <c r="A264" s="39"/>
      <c r="B264" s="39"/>
      <c r="C264" s="39"/>
      <c r="D264" s="39"/>
      <c r="E264" s="39"/>
      <c r="F264" s="39"/>
      <c r="G264" s="39"/>
      <c r="H264" s="39"/>
      <c r="I264" s="39"/>
      <c r="J264" s="39"/>
      <c r="K264" s="39"/>
      <c r="L264" s="39"/>
      <c r="M264" s="39"/>
    </row>
    <row r="265" customFormat="false" ht="15" hidden="false" customHeight="false" outlineLevel="0" collapsed="false">
      <c r="A265" s="39"/>
      <c r="B265" s="39"/>
      <c r="C265" s="39"/>
      <c r="D265" s="39"/>
      <c r="E265" s="39"/>
      <c r="F265" s="39"/>
      <c r="G265" s="39"/>
      <c r="H265" s="39"/>
      <c r="I265" s="39"/>
      <c r="J265" s="39"/>
      <c r="K265" s="39"/>
      <c r="L265" s="39"/>
      <c r="M265" s="39"/>
    </row>
    <row r="266" customFormat="false" ht="15" hidden="false" customHeight="false" outlineLevel="0" collapsed="false">
      <c r="A266" s="39"/>
      <c r="B266" s="39"/>
      <c r="C266" s="39"/>
      <c r="D266" s="39"/>
      <c r="E266" s="39"/>
      <c r="F266" s="39"/>
      <c r="G266" s="39"/>
      <c r="H266" s="39"/>
      <c r="I266" s="39"/>
      <c r="J266" s="39"/>
      <c r="K266" s="39"/>
      <c r="L266" s="39"/>
      <c r="M266" s="39"/>
    </row>
    <row r="267" customFormat="false" ht="15" hidden="false" customHeight="false" outlineLevel="0" collapsed="false">
      <c r="A267" s="39"/>
      <c r="B267" s="39"/>
      <c r="C267" s="39"/>
      <c r="D267" s="39"/>
      <c r="E267" s="39"/>
      <c r="F267" s="39"/>
      <c r="G267" s="39"/>
      <c r="H267" s="39"/>
      <c r="I267" s="39"/>
      <c r="J267" s="39"/>
      <c r="K267" s="39"/>
      <c r="L267" s="39"/>
      <c r="M267" s="39"/>
    </row>
    <row r="268" customFormat="false" ht="15" hidden="false" customHeight="false" outlineLevel="0" collapsed="false">
      <c r="A268" s="39"/>
      <c r="B268" s="39"/>
      <c r="C268" s="39"/>
      <c r="D268" s="39"/>
      <c r="E268" s="39"/>
      <c r="F268" s="39"/>
      <c r="G268" s="39"/>
      <c r="H268" s="39"/>
      <c r="I268" s="39"/>
      <c r="J268" s="39"/>
      <c r="K268" s="39"/>
      <c r="L268" s="39"/>
      <c r="M268" s="39"/>
    </row>
    <row r="269" customFormat="false" ht="15" hidden="false" customHeight="false" outlineLevel="0" collapsed="false">
      <c r="A269" s="39"/>
      <c r="B269" s="39"/>
      <c r="C269" s="39"/>
      <c r="D269" s="39"/>
      <c r="E269" s="39"/>
      <c r="F269" s="39"/>
      <c r="G269" s="39"/>
      <c r="H269" s="39"/>
      <c r="I269" s="39"/>
      <c r="J269" s="39"/>
      <c r="K269" s="39"/>
      <c r="L269" s="39"/>
      <c r="M269" s="39"/>
    </row>
    <row r="270" customFormat="false" ht="15" hidden="false" customHeight="false" outlineLevel="0" collapsed="false">
      <c r="A270" s="39"/>
      <c r="B270" s="39"/>
      <c r="C270" s="39"/>
      <c r="D270" s="39"/>
      <c r="E270" s="39"/>
      <c r="F270" s="39"/>
      <c r="G270" s="39"/>
      <c r="H270" s="39"/>
      <c r="I270" s="39"/>
      <c r="J270" s="39"/>
      <c r="K270" s="39"/>
      <c r="L270" s="39"/>
      <c r="M270" s="39"/>
    </row>
    <row r="271" customFormat="false" ht="15" hidden="false" customHeight="false" outlineLevel="0" collapsed="false">
      <c r="A271" s="39"/>
      <c r="B271" s="39"/>
      <c r="C271" s="39"/>
      <c r="D271" s="39"/>
      <c r="E271" s="39"/>
      <c r="F271" s="39"/>
      <c r="G271" s="39"/>
      <c r="H271" s="39"/>
      <c r="I271" s="39"/>
      <c r="J271" s="39"/>
      <c r="K271" s="39"/>
      <c r="L271" s="39"/>
      <c r="M271" s="39"/>
    </row>
    <row r="272" customFormat="false" ht="15" hidden="false" customHeight="false" outlineLevel="0" collapsed="false">
      <c r="A272" s="39"/>
      <c r="B272" s="39"/>
      <c r="C272" s="39"/>
      <c r="D272" s="39"/>
      <c r="E272" s="39"/>
      <c r="F272" s="39"/>
      <c r="G272" s="39"/>
      <c r="H272" s="39"/>
      <c r="I272" s="39"/>
      <c r="J272" s="39"/>
      <c r="K272" s="39"/>
      <c r="L272" s="39"/>
      <c r="M272" s="39"/>
    </row>
    <row r="273" customFormat="false" ht="15" hidden="false" customHeight="false" outlineLevel="0" collapsed="false">
      <c r="A273" s="39"/>
      <c r="B273" s="39"/>
      <c r="C273" s="39"/>
      <c r="D273" s="39"/>
      <c r="E273" s="39"/>
      <c r="F273" s="39"/>
      <c r="G273" s="39"/>
      <c r="H273" s="39"/>
      <c r="I273" s="39"/>
      <c r="J273" s="39"/>
      <c r="K273" s="39"/>
      <c r="L273" s="39"/>
      <c r="M273" s="39"/>
    </row>
    <row r="274" customFormat="false" ht="15" hidden="false" customHeight="false" outlineLevel="0" collapsed="false">
      <c r="A274" s="39"/>
      <c r="B274" s="39"/>
      <c r="C274" s="39"/>
      <c r="D274" s="39"/>
      <c r="E274" s="39"/>
      <c r="F274" s="39"/>
      <c r="G274" s="39"/>
      <c r="H274" s="39"/>
      <c r="I274" s="39"/>
      <c r="J274" s="39"/>
      <c r="K274" s="39"/>
      <c r="L274" s="39"/>
      <c r="M274" s="39"/>
    </row>
    <row r="275" customFormat="false" ht="15" hidden="false" customHeight="false" outlineLevel="0" collapsed="false">
      <c r="A275" s="39"/>
      <c r="B275" s="39"/>
      <c r="C275" s="39"/>
      <c r="D275" s="39"/>
      <c r="E275" s="39"/>
      <c r="F275" s="39"/>
      <c r="G275" s="39"/>
      <c r="H275" s="39"/>
      <c r="I275" s="39"/>
      <c r="J275" s="39"/>
      <c r="K275" s="39"/>
      <c r="L275" s="39"/>
      <c r="M275" s="39"/>
    </row>
    <row r="276" customFormat="false" ht="15" hidden="false" customHeight="false" outlineLevel="0" collapsed="false">
      <c r="A276" s="39"/>
      <c r="B276" s="39"/>
      <c r="C276" s="39"/>
      <c r="D276" s="39"/>
      <c r="E276" s="39"/>
      <c r="F276" s="39"/>
      <c r="G276" s="39"/>
      <c r="H276" s="39"/>
      <c r="I276" s="39"/>
      <c r="J276" s="39"/>
      <c r="K276" s="39"/>
      <c r="L276" s="39"/>
      <c r="M276" s="39"/>
    </row>
    <row r="277" customFormat="false" ht="15" hidden="false" customHeight="false" outlineLevel="0" collapsed="false">
      <c r="A277" s="39"/>
      <c r="B277" s="39"/>
      <c r="C277" s="39"/>
      <c r="D277" s="39"/>
      <c r="E277" s="39"/>
      <c r="F277" s="39"/>
      <c r="G277" s="39"/>
      <c r="H277" s="39"/>
      <c r="I277" s="39"/>
      <c r="J277" s="39"/>
      <c r="K277" s="39"/>
      <c r="L277" s="39"/>
      <c r="M277" s="39"/>
    </row>
    <row r="278" customFormat="false" ht="15" hidden="false" customHeight="false" outlineLevel="0" collapsed="false">
      <c r="A278" s="39"/>
      <c r="B278" s="39"/>
      <c r="C278" s="39"/>
      <c r="D278" s="39"/>
      <c r="E278" s="39"/>
      <c r="F278" s="39"/>
      <c r="G278" s="39"/>
      <c r="H278" s="39"/>
      <c r="I278" s="39"/>
      <c r="J278" s="39"/>
      <c r="K278" s="39"/>
      <c r="L278" s="39"/>
      <c r="M278" s="39"/>
    </row>
    <row r="279" customFormat="false" ht="15" hidden="false" customHeight="false" outlineLevel="0" collapsed="false">
      <c r="A279" s="39"/>
      <c r="B279" s="39"/>
      <c r="C279" s="39"/>
      <c r="D279" s="39"/>
      <c r="E279" s="39"/>
      <c r="F279" s="39"/>
      <c r="G279" s="39"/>
      <c r="H279" s="39"/>
      <c r="I279" s="39"/>
      <c r="J279" s="39"/>
      <c r="K279" s="39"/>
      <c r="L279" s="39"/>
      <c r="M279" s="39"/>
    </row>
    <row r="280" customFormat="false" ht="15" hidden="false" customHeight="false" outlineLevel="0" collapsed="false">
      <c r="A280" s="39"/>
      <c r="B280" s="39"/>
      <c r="C280" s="39"/>
      <c r="D280" s="39"/>
      <c r="E280" s="39"/>
      <c r="F280" s="39"/>
      <c r="G280" s="39"/>
      <c r="H280" s="39"/>
      <c r="I280" s="39"/>
      <c r="J280" s="39"/>
      <c r="K280" s="39"/>
      <c r="L280" s="39"/>
      <c r="M280" s="39"/>
    </row>
    <row r="281" customFormat="false" ht="15" hidden="false" customHeight="false" outlineLevel="0" collapsed="false">
      <c r="A281" s="39"/>
      <c r="B281" s="39"/>
      <c r="C281" s="39"/>
      <c r="D281" s="39"/>
      <c r="E281" s="39"/>
      <c r="F281" s="39"/>
      <c r="G281" s="39"/>
      <c r="H281" s="39"/>
      <c r="I281" s="39"/>
      <c r="J281" s="39"/>
      <c r="K281" s="39"/>
      <c r="L281" s="39"/>
      <c r="M281" s="39"/>
    </row>
    <row r="282" customFormat="false" ht="15" hidden="false" customHeight="false" outlineLevel="0" collapsed="false">
      <c r="A282" s="39"/>
      <c r="B282" s="39"/>
      <c r="C282" s="39"/>
      <c r="D282" s="39"/>
      <c r="E282" s="39"/>
      <c r="F282" s="39"/>
      <c r="G282" s="39"/>
      <c r="H282" s="39"/>
      <c r="I282" s="39"/>
      <c r="J282" s="39"/>
      <c r="K282" s="39"/>
      <c r="L282" s="39"/>
      <c r="M282" s="39"/>
    </row>
    <row r="283" customFormat="false" ht="15" hidden="false" customHeight="false" outlineLevel="0" collapsed="false">
      <c r="A283" s="39"/>
      <c r="B283" s="39"/>
      <c r="C283" s="39"/>
      <c r="D283" s="39"/>
      <c r="E283" s="39"/>
      <c r="F283" s="39"/>
      <c r="G283" s="39"/>
      <c r="H283" s="39"/>
      <c r="I283" s="39"/>
      <c r="J283" s="39"/>
      <c r="K283" s="39"/>
      <c r="L283" s="39"/>
      <c r="M283" s="39"/>
    </row>
    <row r="284" customFormat="false" ht="15" hidden="false" customHeight="false" outlineLevel="0" collapsed="false">
      <c r="A284" s="39"/>
      <c r="B284" s="39"/>
      <c r="C284" s="39"/>
      <c r="D284" s="39"/>
      <c r="E284" s="39"/>
      <c r="F284" s="39"/>
      <c r="G284" s="39"/>
      <c r="H284" s="39"/>
      <c r="I284" s="39"/>
      <c r="J284" s="39"/>
      <c r="K284" s="39"/>
      <c r="L284" s="39"/>
      <c r="M284" s="39"/>
    </row>
    <row r="285" customFormat="false" ht="15" hidden="false" customHeight="false" outlineLevel="0" collapsed="false">
      <c r="A285" s="39"/>
      <c r="B285" s="39"/>
      <c r="C285" s="39"/>
      <c r="D285" s="39"/>
      <c r="E285" s="39"/>
      <c r="F285" s="39"/>
      <c r="G285" s="39"/>
      <c r="H285" s="39"/>
      <c r="I285" s="39"/>
      <c r="J285" s="39"/>
      <c r="K285" s="39"/>
      <c r="L285" s="39"/>
      <c r="M285" s="39"/>
    </row>
    <row r="286" customFormat="false" ht="15" hidden="false" customHeight="false" outlineLevel="0" collapsed="false">
      <c r="A286" s="39"/>
      <c r="B286" s="39"/>
      <c r="C286" s="39"/>
      <c r="D286" s="39"/>
      <c r="E286" s="39"/>
      <c r="F286" s="39"/>
      <c r="G286" s="39"/>
      <c r="H286" s="39"/>
      <c r="I286" s="39"/>
      <c r="J286" s="39"/>
      <c r="K286" s="39"/>
      <c r="L286" s="39"/>
      <c r="M286" s="39"/>
    </row>
    <row r="287" customFormat="false" ht="15" hidden="false" customHeight="false" outlineLevel="0" collapsed="false">
      <c r="A287" s="39"/>
      <c r="B287" s="39"/>
      <c r="C287" s="39"/>
      <c r="D287" s="39"/>
      <c r="E287" s="39"/>
      <c r="F287" s="39"/>
      <c r="G287" s="39"/>
      <c r="H287" s="39"/>
      <c r="I287" s="39"/>
      <c r="J287" s="39"/>
      <c r="K287" s="39"/>
      <c r="L287" s="39"/>
      <c r="M287" s="39"/>
    </row>
    <row r="288" customFormat="false" ht="15" hidden="false" customHeight="false" outlineLevel="0" collapsed="false">
      <c r="A288" s="39"/>
      <c r="B288" s="39"/>
      <c r="C288" s="39"/>
      <c r="D288" s="39"/>
      <c r="E288" s="39"/>
      <c r="F288" s="39"/>
      <c r="G288" s="39"/>
      <c r="H288" s="39"/>
      <c r="I288" s="39"/>
      <c r="J288" s="39"/>
      <c r="K288" s="39"/>
      <c r="L288" s="39"/>
      <c r="M288" s="39"/>
    </row>
    <row r="289" customFormat="false" ht="15" hidden="false" customHeight="false" outlineLevel="0" collapsed="false">
      <c r="A289" s="39"/>
      <c r="B289" s="39"/>
      <c r="C289" s="39"/>
      <c r="D289" s="39"/>
      <c r="E289" s="39"/>
      <c r="F289" s="39"/>
      <c r="G289" s="39"/>
      <c r="H289" s="39"/>
      <c r="I289" s="39"/>
      <c r="J289" s="39"/>
      <c r="K289" s="39"/>
      <c r="L289" s="39"/>
      <c r="M289" s="39"/>
    </row>
    <row r="290" customFormat="false" ht="15" hidden="false" customHeight="false" outlineLevel="0" collapsed="false">
      <c r="A290" s="39"/>
      <c r="B290" s="39"/>
      <c r="C290" s="39"/>
      <c r="D290" s="39"/>
      <c r="E290" s="39"/>
      <c r="F290" s="39"/>
      <c r="G290" s="39"/>
      <c r="H290" s="39"/>
      <c r="I290" s="39"/>
      <c r="J290" s="39"/>
      <c r="K290" s="39"/>
      <c r="L290" s="39"/>
      <c r="M290" s="39"/>
    </row>
    <row r="291" customFormat="false" ht="15" hidden="false" customHeight="false" outlineLevel="0" collapsed="false">
      <c r="A291" s="39"/>
      <c r="B291" s="39"/>
      <c r="C291" s="39"/>
      <c r="D291" s="39"/>
      <c r="E291" s="39"/>
      <c r="F291" s="39"/>
      <c r="G291" s="39"/>
      <c r="H291" s="39"/>
      <c r="I291" s="39"/>
      <c r="J291" s="39"/>
      <c r="K291" s="39"/>
      <c r="L291" s="39"/>
      <c r="M291" s="39"/>
    </row>
    <row r="292" customFormat="false" ht="15" hidden="false" customHeight="false" outlineLevel="0" collapsed="false">
      <c r="A292" s="39"/>
      <c r="B292" s="39"/>
      <c r="C292" s="39"/>
      <c r="D292" s="39"/>
      <c r="E292" s="39"/>
      <c r="F292" s="39"/>
      <c r="G292" s="39"/>
      <c r="H292" s="39"/>
      <c r="I292" s="39"/>
      <c r="J292" s="39"/>
      <c r="K292" s="39"/>
      <c r="L292" s="39"/>
      <c r="M292" s="39"/>
    </row>
    <row r="293" customFormat="false" ht="15" hidden="false" customHeight="false" outlineLevel="0" collapsed="false">
      <c r="A293" s="39"/>
      <c r="B293" s="39"/>
      <c r="C293" s="39"/>
      <c r="D293" s="39"/>
      <c r="E293" s="39"/>
      <c r="F293" s="39"/>
      <c r="G293" s="39"/>
      <c r="H293" s="39"/>
      <c r="I293" s="39"/>
      <c r="J293" s="39"/>
      <c r="K293" s="39"/>
      <c r="L293" s="39"/>
      <c r="M293" s="39"/>
    </row>
    <row r="294" customFormat="false" ht="15" hidden="false" customHeight="false" outlineLevel="0" collapsed="false">
      <c r="A294" s="39"/>
      <c r="B294" s="39"/>
      <c r="C294" s="39"/>
      <c r="D294" s="39"/>
      <c r="E294" s="39"/>
      <c r="F294" s="39"/>
      <c r="G294" s="39"/>
      <c r="H294" s="39"/>
      <c r="I294" s="39"/>
      <c r="J294" s="39"/>
      <c r="K294" s="39"/>
      <c r="L294" s="39"/>
      <c r="M294" s="39"/>
    </row>
    <row r="295" customFormat="false" ht="15" hidden="false" customHeight="false" outlineLevel="0" collapsed="false">
      <c r="A295" s="39"/>
      <c r="B295" s="39"/>
      <c r="C295" s="39"/>
      <c r="D295" s="39"/>
      <c r="E295" s="39"/>
      <c r="F295" s="39"/>
      <c r="G295" s="39"/>
      <c r="H295" s="39"/>
      <c r="I295" s="39"/>
      <c r="J295" s="39"/>
      <c r="K295" s="39"/>
      <c r="L295" s="39"/>
      <c r="M295" s="39"/>
    </row>
    <row r="296" customFormat="false" ht="15" hidden="false" customHeight="false" outlineLevel="0" collapsed="false">
      <c r="A296" s="39"/>
      <c r="B296" s="39"/>
      <c r="C296" s="39"/>
      <c r="D296" s="39"/>
      <c r="E296" s="39"/>
      <c r="F296" s="39"/>
      <c r="G296" s="39"/>
      <c r="H296" s="39"/>
      <c r="I296" s="39"/>
      <c r="J296" s="39"/>
      <c r="K296" s="39"/>
      <c r="L296" s="39"/>
      <c r="M296" s="39"/>
    </row>
    <row r="297" customFormat="false" ht="15" hidden="false" customHeight="false" outlineLevel="0" collapsed="false">
      <c r="A297" s="39"/>
      <c r="B297" s="39"/>
      <c r="C297" s="39"/>
      <c r="D297" s="39"/>
      <c r="E297" s="39"/>
      <c r="F297" s="39"/>
      <c r="G297" s="39"/>
      <c r="H297" s="39"/>
      <c r="I297" s="39"/>
      <c r="J297" s="39"/>
      <c r="K297" s="39"/>
      <c r="L297" s="39"/>
      <c r="M297" s="39"/>
    </row>
    <row r="298" customFormat="false" ht="15" hidden="false" customHeight="false" outlineLevel="0" collapsed="false">
      <c r="A298" s="39"/>
      <c r="B298" s="39"/>
      <c r="C298" s="39"/>
      <c r="D298" s="39"/>
      <c r="E298" s="39"/>
      <c r="F298" s="39"/>
      <c r="G298" s="39"/>
      <c r="H298" s="39"/>
      <c r="I298" s="39"/>
      <c r="J298" s="39"/>
      <c r="K298" s="39"/>
      <c r="L298" s="39"/>
      <c r="M298" s="39"/>
    </row>
    <row r="299" customFormat="false" ht="15" hidden="false" customHeight="false" outlineLevel="0" collapsed="false">
      <c r="A299" s="39"/>
      <c r="B299" s="39"/>
      <c r="C299" s="39"/>
      <c r="D299" s="39"/>
      <c r="E299" s="39"/>
      <c r="F299" s="39"/>
      <c r="G299" s="39"/>
      <c r="H299" s="39"/>
      <c r="I299" s="39"/>
      <c r="J299" s="39"/>
      <c r="K299" s="39"/>
      <c r="L299" s="39"/>
      <c r="M299" s="39"/>
    </row>
    <row r="300" customFormat="false" ht="15" hidden="false" customHeight="false" outlineLevel="0" collapsed="false">
      <c r="A300" s="39"/>
      <c r="B300" s="39"/>
      <c r="C300" s="39"/>
      <c r="D300" s="39"/>
      <c r="E300" s="39"/>
      <c r="F300" s="39"/>
      <c r="G300" s="39"/>
      <c r="H300" s="39"/>
      <c r="I300" s="39"/>
      <c r="J300" s="39"/>
      <c r="K300" s="39"/>
      <c r="L300" s="39"/>
      <c r="M300" s="39"/>
    </row>
    <row r="301" customFormat="false" ht="15" hidden="false" customHeight="false" outlineLevel="0" collapsed="false">
      <c r="A301" s="39"/>
      <c r="B301" s="39"/>
      <c r="C301" s="39"/>
      <c r="D301" s="39"/>
      <c r="E301" s="39"/>
      <c r="F301" s="39"/>
      <c r="G301" s="39"/>
      <c r="H301" s="39"/>
      <c r="I301" s="39"/>
      <c r="J301" s="39"/>
      <c r="K301" s="39"/>
      <c r="L301" s="39"/>
      <c r="M301" s="39"/>
    </row>
    <row r="302" customFormat="false" ht="15" hidden="false" customHeight="false" outlineLevel="0" collapsed="false">
      <c r="A302" s="39"/>
      <c r="B302" s="39"/>
      <c r="C302" s="39"/>
      <c r="D302" s="39"/>
      <c r="E302" s="39"/>
      <c r="F302" s="39"/>
      <c r="G302" s="39"/>
      <c r="H302" s="39"/>
      <c r="I302" s="39"/>
      <c r="J302" s="39"/>
      <c r="K302" s="39"/>
      <c r="L302" s="39"/>
      <c r="M302" s="39"/>
    </row>
    <row r="303" customFormat="false" ht="15" hidden="false" customHeight="false" outlineLevel="0" collapsed="false">
      <c r="A303" s="39"/>
      <c r="B303" s="39"/>
      <c r="C303" s="39"/>
      <c r="D303" s="39"/>
      <c r="E303" s="39"/>
      <c r="F303" s="39"/>
      <c r="G303" s="39"/>
      <c r="H303" s="39"/>
      <c r="I303" s="39"/>
      <c r="J303" s="39"/>
      <c r="K303" s="39"/>
      <c r="L303" s="39"/>
      <c r="M303" s="39"/>
    </row>
    <row r="304" customFormat="false" ht="15" hidden="false" customHeight="false" outlineLevel="0" collapsed="false">
      <c r="A304" s="39"/>
      <c r="B304" s="39"/>
      <c r="C304" s="39"/>
      <c r="D304" s="39"/>
      <c r="E304" s="39"/>
      <c r="F304" s="39"/>
      <c r="G304" s="39"/>
      <c r="H304" s="39"/>
      <c r="I304" s="39"/>
      <c r="J304" s="39"/>
      <c r="K304" s="39"/>
      <c r="L304" s="39"/>
      <c r="M304" s="39"/>
    </row>
    <row r="305" customFormat="false" ht="15" hidden="false" customHeight="false" outlineLevel="0" collapsed="false">
      <c r="A305" s="39"/>
      <c r="B305" s="39"/>
      <c r="C305" s="39"/>
      <c r="D305" s="39"/>
      <c r="E305" s="39"/>
      <c r="F305" s="39"/>
      <c r="G305" s="39"/>
      <c r="H305" s="39"/>
      <c r="I305" s="39"/>
      <c r="J305" s="39"/>
      <c r="K305" s="39"/>
      <c r="L305" s="39"/>
      <c r="M305" s="39"/>
    </row>
    <row r="306" customFormat="false" ht="15" hidden="false" customHeight="false" outlineLevel="0" collapsed="false">
      <c r="A306" s="39"/>
      <c r="B306" s="39"/>
      <c r="C306" s="39"/>
      <c r="D306" s="39"/>
      <c r="E306" s="39"/>
      <c r="F306" s="39"/>
      <c r="G306" s="39"/>
      <c r="H306" s="39"/>
      <c r="I306" s="39"/>
      <c r="J306" s="39"/>
      <c r="K306" s="39"/>
      <c r="L306" s="39"/>
      <c r="M306" s="39"/>
    </row>
    <row r="307" customFormat="false" ht="15" hidden="false" customHeight="false" outlineLevel="0" collapsed="false">
      <c r="A307" s="39"/>
      <c r="B307" s="39"/>
      <c r="C307" s="39"/>
      <c r="D307" s="39"/>
      <c r="E307" s="39"/>
      <c r="F307" s="39"/>
      <c r="G307" s="39"/>
      <c r="H307" s="39"/>
      <c r="I307" s="39"/>
      <c r="J307" s="39"/>
      <c r="K307" s="39"/>
      <c r="L307" s="39"/>
      <c r="M307" s="39"/>
    </row>
    <row r="308" customFormat="false" ht="15" hidden="false" customHeight="false" outlineLevel="0" collapsed="false">
      <c r="A308" s="39"/>
      <c r="B308" s="39"/>
      <c r="C308" s="39"/>
      <c r="D308" s="39"/>
      <c r="E308" s="39"/>
      <c r="F308" s="39"/>
      <c r="G308" s="39"/>
      <c r="H308" s="39"/>
      <c r="I308" s="39"/>
      <c r="J308" s="39"/>
      <c r="K308" s="39"/>
      <c r="L308" s="39"/>
      <c r="M308" s="39"/>
    </row>
    <row r="309" customFormat="false" ht="15" hidden="false" customHeight="false" outlineLevel="0" collapsed="false">
      <c r="A309" s="39"/>
      <c r="B309" s="39"/>
      <c r="C309" s="39"/>
      <c r="D309" s="39"/>
      <c r="E309" s="39"/>
      <c r="F309" s="39"/>
      <c r="G309" s="39"/>
      <c r="H309" s="39"/>
      <c r="I309" s="39"/>
      <c r="J309" s="39"/>
      <c r="K309" s="39"/>
      <c r="L309" s="39"/>
      <c r="M309" s="39"/>
    </row>
    <row r="310" customFormat="false" ht="15" hidden="false" customHeight="false" outlineLevel="0" collapsed="false">
      <c r="A310" s="39"/>
      <c r="B310" s="39"/>
      <c r="C310" s="39"/>
      <c r="D310" s="39"/>
      <c r="E310" s="39"/>
      <c r="F310" s="39"/>
      <c r="G310" s="39"/>
      <c r="H310" s="39"/>
      <c r="I310" s="39"/>
      <c r="J310" s="39"/>
      <c r="K310" s="39"/>
      <c r="L310" s="39"/>
      <c r="M310" s="39"/>
    </row>
    <row r="311" customFormat="false" ht="15" hidden="false" customHeight="false" outlineLevel="0" collapsed="false">
      <c r="A311" s="39"/>
      <c r="B311" s="39"/>
      <c r="C311" s="39"/>
      <c r="D311" s="39"/>
      <c r="E311" s="39"/>
      <c r="F311" s="39"/>
      <c r="G311" s="39"/>
      <c r="H311" s="39"/>
      <c r="I311" s="39"/>
      <c r="J311" s="39"/>
      <c r="K311" s="39"/>
      <c r="L311" s="39"/>
      <c r="M311" s="39"/>
    </row>
    <row r="312" customFormat="false" ht="15" hidden="false" customHeight="false" outlineLevel="0" collapsed="false">
      <c r="A312" s="39"/>
      <c r="B312" s="39"/>
      <c r="C312" s="39"/>
      <c r="D312" s="39"/>
      <c r="E312" s="39"/>
      <c r="F312" s="39"/>
      <c r="G312" s="39"/>
      <c r="H312" s="39"/>
      <c r="I312" s="39"/>
      <c r="J312" s="39"/>
      <c r="K312" s="39"/>
      <c r="L312" s="39"/>
      <c r="M312" s="39"/>
    </row>
    <row r="313" customFormat="false" ht="15" hidden="false" customHeight="false" outlineLevel="0" collapsed="false">
      <c r="A313" s="39"/>
      <c r="B313" s="39"/>
      <c r="C313" s="39"/>
      <c r="D313" s="39"/>
      <c r="E313" s="39"/>
      <c r="F313" s="39"/>
      <c r="G313" s="39"/>
      <c r="H313" s="39"/>
      <c r="I313" s="39"/>
      <c r="J313" s="39"/>
      <c r="K313" s="39"/>
      <c r="L313" s="39"/>
      <c r="M313" s="39"/>
    </row>
    <row r="314" customFormat="false" ht="15" hidden="false" customHeight="false" outlineLevel="0" collapsed="false">
      <c r="A314" s="39"/>
      <c r="B314" s="39"/>
      <c r="C314" s="39"/>
      <c r="D314" s="39"/>
      <c r="E314" s="39"/>
      <c r="F314" s="39"/>
      <c r="G314" s="39"/>
      <c r="H314" s="39"/>
      <c r="I314" s="39"/>
      <c r="J314" s="39"/>
      <c r="K314" s="39"/>
      <c r="L314" s="39"/>
      <c r="M314" s="39"/>
    </row>
    <row r="315" customFormat="false" ht="15" hidden="false" customHeight="false" outlineLevel="0" collapsed="false">
      <c r="A315" s="39"/>
      <c r="B315" s="39"/>
      <c r="C315" s="39"/>
      <c r="D315" s="39"/>
      <c r="E315" s="39"/>
      <c r="F315" s="39"/>
      <c r="G315" s="39"/>
      <c r="H315" s="39"/>
      <c r="I315" s="39"/>
      <c r="J315" s="39"/>
      <c r="K315" s="39"/>
      <c r="L315" s="39"/>
      <c r="M315" s="39"/>
    </row>
    <row r="316" customFormat="false" ht="15" hidden="false" customHeight="false" outlineLevel="0" collapsed="false">
      <c r="A316" s="39"/>
      <c r="B316" s="39"/>
      <c r="C316" s="39"/>
      <c r="D316" s="39"/>
      <c r="E316" s="39"/>
      <c r="F316" s="39"/>
      <c r="G316" s="39"/>
      <c r="H316" s="39"/>
      <c r="I316" s="39"/>
      <c r="J316" s="39"/>
      <c r="K316" s="39"/>
      <c r="L316" s="39"/>
      <c r="M316" s="39"/>
    </row>
    <row r="317" customFormat="false" ht="15" hidden="false" customHeight="false" outlineLevel="0" collapsed="false">
      <c r="A317" s="39"/>
      <c r="B317" s="39"/>
      <c r="C317" s="39"/>
      <c r="D317" s="39"/>
      <c r="E317" s="39"/>
      <c r="F317" s="39"/>
      <c r="G317" s="39"/>
      <c r="H317" s="39"/>
      <c r="I317" s="39"/>
      <c r="J317" s="39"/>
      <c r="K317" s="39"/>
      <c r="L317" s="39"/>
      <c r="M317" s="39"/>
    </row>
    <row r="318" customFormat="false" ht="15" hidden="false" customHeight="false" outlineLevel="0" collapsed="false">
      <c r="A318" s="39"/>
      <c r="B318" s="39"/>
      <c r="C318" s="39"/>
      <c r="D318" s="39"/>
      <c r="E318" s="39"/>
      <c r="F318" s="39"/>
      <c r="G318" s="39"/>
      <c r="H318" s="39"/>
      <c r="I318" s="39"/>
      <c r="J318" s="39"/>
      <c r="K318" s="39"/>
      <c r="L318" s="39"/>
      <c r="M318" s="39"/>
    </row>
    <row r="319" customFormat="false" ht="15" hidden="false" customHeight="false" outlineLevel="0" collapsed="false">
      <c r="A319" s="39"/>
      <c r="B319" s="39"/>
      <c r="C319" s="39"/>
      <c r="D319" s="39"/>
      <c r="E319" s="39"/>
      <c r="F319" s="39"/>
      <c r="G319" s="39"/>
      <c r="H319" s="39"/>
      <c r="I319" s="39"/>
      <c r="J319" s="39"/>
      <c r="K319" s="39"/>
      <c r="L319" s="39"/>
      <c r="M319" s="39"/>
    </row>
    <row r="320" customFormat="false" ht="15" hidden="false" customHeight="false" outlineLevel="0" collapsed="false">
      <c r="A320" s="39"/>
      <c r="B320" s="39"/>
      <c r="C320" s="39"/>
      <c r="D320" s="39"/>
      <c r="E320" s="39"/>
      <c r="F320" s="39"/>
      <c r="G320" s="39"/>
      <c r="H320" s="39"/>
      <c r="I320" s="39"/>
      <c r="J320" s="39"/>
      <c r="K320" s="39"/>
      <c r="L320" s="39"/>
      <c r="M320" s="39"/>
    </row>
    <row r="321" customFormat="false" ht="15" hidden="false" customHeight="false" outlineLevel="0" collapsed="false">
      <c r="A321" s="39"/>
      <c r="B321" s="39"/>
      <c r="C321" s="39"/>
      <c r="D321" s="39"/>
      <c r="E321" s="39"/>
      <c r="F321" s="39"/>
      <c r="G321" s="39"/>
      <c r="H321" s="39"/>
      <c r="I321" s="39"/>
      <c r="J321" s="39"/>
      <c r="K321" s="39"/>
      <c r="L321" s="39"/>
      <c r="M321" s="39"/>
    </row>
    <row r="322" customFormat="false" ht="15" hidden="false" customHeight="false" outlineLevel="0" collapsed="false">
      <c r="A322" s="39"/>
      <c r="B322" s="39"/>
      <c r="C322" s="39"/>
      <c r="D322" s="39"/>
      <c r="E322" s="39"/>
      <c r="F322" s="39"/>
      <c r="G322" s="39"/>
      <c r="H322" s="39"/>
      <c r="I322" s="39"/>
      <c r="J322" s="39"/>
      <c r="K322" s="39"/>
      <c r="L322" s="39"/>
      <c r="M322" s="39"/>
    </row>
    <row r="323" customFormat="false" ht="15" hidden="false" customHeight="false" outlineLevel="0" collapsed="false">
      <c r="A323" s="39"/>
      <c r="B323" s="39"/>
      <c r="C323" s="39"/>
      <c r="D323" s="39"/>
      <c r="E323" s="39"/>
      <c r="F323" s="39"/>
      <c r="G323" s="39"/>
      <c r="H323" s="39"/>
      <c r="I323" s="39"/>
      <c r="J323" s="39"/>
      <c r="K323" s="39"/>
      <c r="L323" s="39"/>
      <c r="M323" s="39"/>
    </row>
    <row r="324" customFormat="false" ht="15" hidden="false" customHeight="false" outlineLevel="0" collapsed="false">
      <c r="A324" s="39"/>
      <c r="B324" s="39"/>
      <c r="C324" s="39"/>
      <c r="D324" s="39"/>
      <c r="E324" s="39"/>
      <c r="F324" s="39"/>
      <c r="G324" s="39"/>
      <c r="H324" s="39"/>
      <c r="I324" s="39"/>
      <c r="J324" s="39"/>
      <c r="K324" s="39"/>
      <c r="L324" s="39"/>
      <c r="M324" s="39"/>
    </row>
    <row r="325" customFormat="false" ht="15" hidden="false" customHeight="false" outlineLevel="0" collapsed="false">
      <c r="A325" s="39"/>
      <c r="B325" s="39"/>
      <c r="C325" s="39"/>
      <c r="D325" s="39"/>
      <c r="E325" s="39"/>
      <c r="F325" s="39"/>
      <c r="G325" s="39"/>
      <c r="H325" s="39"/>
      <c r="I325" s="39"/>
      <c r="J325" s="39"/>
      <c r="K325" s="39"/>
      <c r="L325" s="39"/>
      <c r="M325" s="39"/>
    </row>
    <row r="326" customFormat="false" ht="15" hidden="false" customHeight="false" outlineLevel="0" collapsed="false">
      <c r="A326" s="39"/>
      <c r="B326" s="39"/>
      <c r="C326" s="39"/>
      <c r="D326" s="39"/>
      <c r="E326" s="39"/>
      <c r="F326" s="39"/>
      <c r="G326" s="39"/>
      <c r="H326" s="39"/>
      <c r="I326" s="39"/>
      <c r="J326" s="39"/>
      <c r="K326" s="39"/>
      <c r="L326" s="39"/>
      <c r="M326" s="39"/>
    </row>
    <row r="327" customFormat="false" ht="15" hidden="false" customHeight="false" outlineLevel="0" collapsed="false">
      <c r="A327" s="39"/>
      <c r="B327" s="39"/>
      <c r="C327" s="39"/>
      <c r="D327" s="39"/>
      <c r="E327" s="39"/>
      <c r="F327" s="39"/>
      <c r="G327" s="39"/>
      <c r="H327" s="39"/>
      <c r="I327" s="39"/>
      <c r="J327" s="39"/>
      <c r="K327" s="39"/>
      <c r="L327" s="39"/>
      <c r="M327" s="39"/>
    </row>
    <row r="328" customFormat="false" ht="15" hidden="false" customHeight="false" outlineLevel="0" collapsed="false">
      <c r="A328" s="39"/>
      <c r="B328" s="39"/>
      <c r="C328" s="39"/>
      <c r="D328" s="39"/>
      <c r="E328" s="39"/>
      <c r="F328" s="39"/>
      <c r="G328" s="39"/>
      <c r="H328" s="39"/>
      <c r="I328" s="39"/>
      <c r="J328" s="39"/>
      <c r="K328" s="39"/>
      <c r="L328" s="39"/>
      <c r="M328" s="39"/>
    </row>
    <row r="329" customFormat="false" ht="15" hidden="false" customHeight="false" outlineLevel="0" collapsed="false">
      <c r="A329" s="39"/>
      <c r="B329" s="39"/>
      <c r="C329" s="39"/>
      <c r="D329" s="39"/>
      <c r="E329" s="39"/>
      <c r="F329" s="39"/>
      <c r="G329" s="39"/>
      <c r="H329" s="39"/>
      <c r="I329" s="39"/>
      <c r="J329" s="39"/>
      <c r="K329" s="39"/>
      <c r="L329" s="39"/>
      <c r="M329" s="39"/>
    </row>
    <row r="330" customFormat="false" ht="15" hidden="false" customHeight="false" outlineLevel="0" collapsed="false">
      <c r="A330" s="39"/>
      <c r="B330" s="39"/>
      <c r="C330" s="39"/>
      <c r="D330" s="39"/>
      <c r="E330" s="39"/>
      <c r="F330" s="39"/>
      <c r="G330" s="39"/>
      <c r="H330" s="39"/>
      <c r="I330" s="39"/>
      <c r="J330" s="39"/>
      <c r="K330" s="39"/>
      <c r="L330" s="39"/>
      <c r="M330" s="39"/>
    </row>
    <row r="331" customFormat="false" ht="15" hidden="false" customHeight="false" outlineLevel="0" collapsed="false">
      <c r="A331" s="39"/>
      <c r="B331" s="39"/>
      <c r="C331" s="39"/>
      <c r="D331" s="39"/>
      <c r="E331" s="39"/>
      <c r="F331" s="39"/>
      <c r="G331" s="39"/>
      <c r="H331" s="39"/>
      <c r="I331" s="39"/>
      <c r="J331" s="39"/>
      <c r="K331" s="39"/>
      <c r="L331" s="39"/>
      <c r="M331" s="39"/>
    </row>
    <row r="332" customFormat="false" ht="15" hidden="false" customHeight="false" outlineLevel="0" collapsed="false">
      <c r="A332" s="39"/>
      <c r="B332" s="39"/>
      <c r="C332" s="39"/>
      <c r="D332" s="39"/>
      <c r="E332" s="39"/>
      <c r="F332" s="39"/>
      <c r="G332" s="39"/>
      <c r="H332" s="39"/>
      <c r="I332" s="39"/>
      <c r="J332" s="39"/>
      <c r="K332" s="39"/>
      <c r="L332" s="39"/>
      <c r="M332" s="39"/>
    </row>
    <row r="333" customFormat="false" ht="15" hidden="false" customHeight="false" outlineLevel="0" collapsed="false">
      <c r="A333" s="39"/>
      <c r="B333" s="39"/>
      <c r="C333" s="39"/>
      <c r="D333" s="39"/>
      <c r="E333" s="39"/>
      <c r="F333" s="39"/>
      <c r="G333" s="39"/>
      <c r="H333" s="39"/>
      <c r="I333" s="39"/>
      <c r="J333" s="39"/>
      <c r="K333" s="39"/>
      <c r="L333" s="39"/>
      <c r="M333" s="39"/>
    </row>
    <row r="334" customFormat="false" ht="15" hidden="false" customHeight="false" outlineLevel="0" collapsed="false">
      <c r="A334" s="39"/>
      <c r="B334" s="39"/>
      <c r="C334" s="39"/>
      <c r="D334" s="39"/>
      <c r="E334" s="39"/>
      <c r="F334" s="39"/>
      <c r="G334" s="39"/>
      <c r="H334" s="39"/>
      <c r="I334" s="39"/>
      <c r="J334" s="39"/>
      <c r="K334" s="39"/>
      <c r="L334" s="39"/>
      <c r="M334" s="39"/>
    </row>
    <row r="335" customFormat="false" ht="15" hidden="false" customHeight="false" outlineLevel="0" collapsed="false">
      <c r="A335" s="39"/>
      <c r="B335" s="39"/>
      <c r="C335" s="39"/>
      <c r="D335" s="39"/>
      <c r="E335" s="39"/>
      <c r="F335" s="39"/>
      <c r="G335" s="39"/>
      <c r="H335" s="39"/>
      <c r="I335" s="39"/>
      <c r="J335" s="39"/>
      <c r="K335" s="39"/>
      <c r="L335" s="39"/>
      <c r="M335" s="39"/>
    </row>
    <row r="336" customFormat="false" ht="15" hidden="false" customHeight="false" outlineLevel="0" collapsed="false">
      <c r="A336" s="39"/>
      <c r="B336" s="39"/>
      <c r="C336" s="39"/>
      <c r="D336" s="39"/>
      <c r="E336" s="39"/>
      <c r="F336" s="39"/>
      <c r="G336" s="39"/>
      <c r="H336" s="39"/>
      <c r="I336" s="39"/>
      <c r="J336" s="39"/>
      <c r="K336" s="39"/>
      <c r="L336" s="39"/>
      <c r="M336" s="39"/>
    </row>
    <row r="337" customFormat="false" ht="15" hidden="false" customHeight="false" outlineLevel="0" collapsed="false">
      <c r="A337" s="39"/>
      <c r="B337" s="39"/>
      <c r="C337" s="39"/>
      <c r="D337" s="39"/>
      <c r="E337" s="39"/>
      <c r="F337" s="39"/>
      <c r="G337" s="39"/>
      <c r="H337" s="39"/>
      <c r="I337" s="39"/>
      <c r="J337" s="39"/>
      <c r="K337" s="39"/>
      <c r="L337" s="39"/>
      <c r="M337" s="39"/>
    </row>
    <row r="338" customFormat="false" ht="15" hidden="false" customHeight="false" outlineLevel="0" collapsed="false">
      <c r="A338" s="39"/>
      <c r="B338" s="39"/>
      <c r="C338" s="39"/>
      <c r="D338" s="39"/>
      <c r="E338" s="39"/>
      <c r="F338" s="39"/>
      <c r="G338" s="39"/>
      <c r="H338" s="39"/>
      <c r="I338" s="39"/>
      <c r="J338" s="39"/>
      <c r="K338" s="39"/>
      <c r="L338" s="39"/>
      <c r="M338" s="39"/>
    </row>
    <row r="339" customFormat="false" ht="15" hidden="false" customHeight="false" outlineLevel="0" collapsed="false">
      <c r="A339" s="39"/>
      <c r="B339" s="39"/>
      <c r="C339" s="39"/>
      <c r="D339" s="39"/>
      <c r="E339" s="39"/>
      <c r="F339" s="39"/>
      <c r="G339" s="39"/>
      <c r="H339" s="39"/>
      <c r="I339" s="39"/>
      <c r="J339" s="39"/>
      <c r="K339" s="39"/>
      <c r="L339" s="39"/>
      <c r="M339" s="39"/>
    </row>
    <row r="340" customFormat="false" ht="15" hidden="false" customHeight="false" outlineLevel="0" collapsed="false">
      <c r="A340" s="39"/>
      <c r="B340" s="39"/>
      <c r="C340" s="39"/>
      <c r="D340" s="39"/>
      <c r="E340" s="39"/>
      <c r="F340" s="39"/>
      <c r="G340" s="39"/>
      <c r="H340" s="39"/>
      <c r="I340" s="39"/>
      <c r="J340" s="39"/>
      <c r="K340" s="39"/>
      <c r="L340" s="39"/>
      <c r="M340" s="39"/>
    </row>
    <row r="341" customFormat="false" ht="15" hidden="false" customHeight="false" outlineLevel="0" collapsed="false">
      <c r="A341" s="39"/>
      <c r="B341" s="39"/>
      <c r="C341" s="39"/>
      <c r="D341" s="39"/>
      <c r="E341" s="39"/>
      <c r="F341" s="39"/>
      <c r="G341" s="39"/>
      <c r="H341" s="39"/>
      <c r="I341" s="39"/>
      <c r="J341" s="39"/>
      <c r="K341" s="39"/>
      <c r="L341" s="39"/>
      <c r="M341" s="39"/>
    </row>
    <row r="342" customFormat="false" ht="15" hidden="false" customHeight="false" outlineLevel="0" collapsed="false">
      <c r="A342" s="39"/>
      <c r="B342" s="39"/>
      <c r="C342" s="39"/>
      <c r="D342" s="39"/>
      <c r="E342" s="39"/>
      <c r="F342" s="39"/>
      <c r="G342" s="39"/>
      <c r="H342" s="39"/>
      <c r="I342" s="39"/>
      <c r="J342" s="39"/>
      <c r="K342" s="39"/>
      <c r="L342" s="39"/>
      <c r="M342" s="39"/>
    </row>
    <row r="343" customFormat="false" ht="15" hidden="false" customHeight="false" outlineLevel="0" collapsed="false">
      <c r="A343" s="39"/>
      <c r="B343" s="39"/>
      <c r="C343" s="39"/>
      <c r="D343" s="39"/>
      <c r="E343" s="39"/>
      <c r="F343" s="39"/>
      <c r="G343" s="39"/>
      <c r="H343" s="39"/>
      <c r="I343" s="39"/>
      <c r="J343" s="39"/>
      <c r="K343" s="39"/>
      <c r="L343" s="39"/>
      <c r="M343" s="39"/>
    </row>
    <row r="344" customFormat="false" ht="15" hidden="false" customHeight="false" outlineLevel="0" collapsed="false">
      <c r="A344" s="39"/>
      <c r="B344" s="39"/>
      <c r="C344" s="39"/>
      <c r="D344" s="39"/>
      <c r="E344" s="39"/>
      <c r="F344" s="39"/>
      <c r="G344" s="39"/>
      <c r="H344" s="39"/>
      <c r="I344" s="39"/>
      <c r="J344" s="39"/>
      <c r="K344" s="39"/>
      <c r="L344" s="39"/>
      <c r="M344" s="39"/>
    </row>
    <row r="345" customFormat="false" ht="15" hidden="false" customHeight="false" outlineLevel="0" collapsed="false">
      <c r="A345" s="39"/>
      <c r="B345" s="39"/>
      <c r="C345" s="39"/>
      <c r="D345" s="39"/>
      <c r="E345" s="39"/>
      <c r="F345" s="39"/>
      <c r="G345" s="39"/>
      <c r="H345" s="39"/>
      <c r="I345" s="39"/>
      <c r="J345" s="39"/>
      <c r="K345" s="39"/>
      <c r="L345" s="39"/>
      <c r="M345" s="39"/>
    </row>
    <row r="346" customFormat="false" ht="15" hidden="false" customHeight="false" outlineLevel="0" collapsed="false">
      <c r="A346" s="39"/>
      <c r="B346" s="39"/>
      <c r="C346" s="39"/>
      <c r="D346" s="39"/>
      <c r="E346" s="39"/>
      <c r="F346" s="39"/>
      <c r="G346" s="39"/>
      <c r="H346" s="39"/>
      <c r="I346" s="39"/>
      <c r="J346" s="39"/>
      <c r="K346" s="39"/>
      <c r="L346" s="39"/>
      <c r="M346" s="39"/>
    </row>
    <row r="347" customFormat="false" ht="15" hidden="false" customHeight="false" outlineLevel="0" collapsed="false">
      <c r="A347" s="39"/>
      <c r="B347" s="39"/>
      <c r="C347" s="39"/>
      <c r="D347" s="39"/>
      <c r="E347" s="39"/>
      <c r="F347" s="39"/>
      <c r="G347" s="39"/>
      <c r="H347" s="39"/>
      <c r="I347" s="39"/>
      <c r="J347" s="39"/>
      <c r="K347" s="39"/>
      <c r="L347" s="39"/>
      <c r="M347" s="39"/>
    </row>
    <row r="348" customFormat="false" ht="15" hidden="false" customHeight="false" outlineLevel="0" collapsed="false">
      <c r="A348" s="39"/>
      <c r="B348" s="39"/>
      <c r="C348" s="39"/>
      <c r="D348" s="39"/>
      <c r="E348" s="39"/>
      <c r="F348" s="39"/>
      <c r="G348" s="39"/>
      <c r="H348" s="39"/>
      <c r="I348" s="39"/>
      <c r="J348" s="39"/>
      <c r="K348" s="39"/>
      <c r="L348" s="39"/>
      <c r="M348" s="39"/>
    </row>
    <row r="349" customFormat="false" ht="15" hidden="false" customHeight="false" outlineLevel="0" collapsed="false">
      <c r="A349" s="39"/>
      <c r="B349" s="39"/>
      <c r="C349" s="39"/>
      <c r="D349" s="39"/>
      <c r="E349" s="39"/>
      <c r="F349" s="39"/>
      <c r="G349" s="39"/>
      <c r="H349" s="39"/>
      <c r="I349" s="39"/>
      <c r="J349" s="39"/>
      <c r="K349" s="39"/>
      <c r="L349" s="39"/>
      <c r="M349" s="39"/>
    </row>
    <row r="350" customFormat="false" ht="15" hidden="false" customHeight="false" outlineLevel="0" collapsed="false">
      <c r="A350" s="39"/>
      <c r="B350" s="39"/>
      <c r="C350" s="39"/>
      <c r="D350" s="39"/>
      <c r="E350" s="39"/>
      <c r="F350" s="39"/>
      <c r="G350" s="39"/>
      <c r="H350" s="39"/>
      <c r="I350" s="39"/>
      <c r="J350" s="39"/>
      <c r="K350" s="39"/>
      <c r="L350" s="39"/>
      <c r="M350" s="39"/>
    </row>
    <row r="351" customFormat="false" ht="15" hidden="false" customHeight="false" outlineLevel="0" collapsed="false">
      <c r="A351" s="39"/>
      <c r="B351" s="39"/>
      <c r="C351" s="39"/>
      <c r="D351" s="39"/>
      <c r="E351" s="39"/>
      <c r="F351" s="39"/>
      <c r="G351" s="39"/>
      <c r="H351" s="39"/>
      <c r="I351" s="39"/>
      <c r="J351" s="39"/>
      <c r="K351" s="39"/>
      <c r="L351" s="39"/>
      <c r="M351" s="39"/>
    </row>
    <row r="352" customFormat="false" ht="15" hidden="false" customHeight="false" outlineLevel="0" collapsed="false">
      <c r="A352" s="39"/>
      <c r="B352" s="39"/>
      <c r="C352" s="39"/>
      <c r="D352" s="39"/>
      <c r="E352" s="39"/>
      <c r="F352" s="39"/>
      <c r="G352" s="39"/>
      <c r="H352" s="39"/>
      <c r="I352" s="39"/>
      <c r="J352" s="39"/>
      <c r="K352" s="39"/>
      <c r="L352" s="39"/>
      <c r="M352" s="39"/>
    </row>
    <row r="353" customFormat="false" ht="15" hidden="false" customHeight="false" outlineLevel="0" collapsed="false">
      <c r="A353" s="39"/>
      <c r="B353" s="39"/>
      <c r="C353" s="39"/>
      <c r="D353" s="39"/>
      <c r="E353" s="39"/>
      <c r="F353" s="39"/>
      <c r="G353" s="39"/>
      <c r="H353" s="39"/>
      <c r="I353" s="39"/>
      <c r="J353" s="39"/>
      <c r="K353" s="39"/>
      <c r="L353" s="39"/>
      <c r="M353" s="39"/>
    </row>
    <row r="354" customFormat="false" ht="15" hidden="false" customHeight="false" outlineLevel="0" collapsed="false">
      <c r="A354" s="39"/>
      <c r="B354" s="39"/>
      <c r="C354" s="39"/>
      <c r="D354" s="39"/>
      <c r="E354" s="39"/>
      <c r="F354" s="39"/>
      <c r="G354" s="39"/>
      <c r="H354" s="39"/>
      <c r="I354" s="39"/>
      <c r="J354" s="39"/>
      <c r="K354" s="39"/>
      <c r="L354" s="39"/>
      <c r="M354" s="39"/>
    </row>
    <row r="355" customFormat="false" ht="15" hidden="false" customHeight="false" outlineLevel="0" collapsed="false">
      <c r="A355" s="39"/>
      <c r="B355" s="39"/>
      <c r="C355" s="39"/>
      <c r="D355" s="39"/>
      <c r="E355" s="39"/>
      <c r="F355" s="39"/>
      <c r="G355" s="39"/>
      <c r="H355" s="39"/>
      <c r="I355" s="39"/>
      <c r="J355" s="39"/>
      <c r="K355" s="39"/>
      <c r="L355" s="39"/>
      <c r="M355" s="39"/>
    </row>
    <row r="356" customFormat="false" ht="15" hidden="false" customHeight="false" outlineLevel="0" collapsed="false">
      <c r="A356" s="39"/>
      <c r="B356" s="39"/>
      <c r="C356" s="39"/>
      <c r="D356" s="39"/>
      <c r="E356" s="39"/>
      <c r="F356" s="39"/>
      <c r="G356" s="39"/>
      <c r="H356" s="39"/>
      <c r="I356" s="39"/>
      <c r="J356" s="39"/>
      <c r="K356" s="39"/>
      <c r="L356" s="39"/>
      <c r="M356" s="39"/>
    </row>
    <row r="357" customFormat="false" ht="15" hidden="false" customHeight="false" outlineLevel="0" collapsed="false">
      <c r="A357" s="39"/>
      <c r="B357" s="39"/>
      <c r="C357" s="39"/>
      <c r="D357" s="39"/>
      <c r="E357" s="39"/>
      <c r="F357" s="39"/>
      <c r="G357" s="39"/>
      <c r="H357" s="39"/>
      <c r="I357" s="39"/>
      <c r="J357" s="39"/>
      <c r="K357" s="39"/>
      <c r="L357" s="39"/>
      <c r="M357" s="39"/>
    </row>
    <row r="358" customFormat="false" ht="15" hidden="false" customHeight="false" outlineLevel="0" collapsed="false">
      <c r="A358" s="39"/>
      <c r="B358" s="39"/>
      <c r="C358" s="39"/>
      <c r="D358" s="39"/>
      <c r="E358" s="39"/>
      <c r="F358" s="39"/>
      <c r="G358" s="39"/>
      <c r="H358" s="39"/>
      <c r="I358" s="39"/>
      <c r="J358" s="39"/>
      <c r="K358" s="39"/>
      <c r="L358" s="39"/>
      <c r="M358" s="39"/>
    </row>
    <row r="359" customFormat="false" ht="15" hidden="false" customHeight="false" outlineLevel="0" collapsed="false">
      <c r="A359" s="39"/>
      <c r="B359" s="39"/>
      <c r="C359" s="39"/>
      <c r="D359" s="39"/>
      <c r="E359" s="39"/>
      <c r="F359" s="39"/>
      <c r="G359" s="39"/>
      <c r="H359" s="39"/>
      <c r="I359" s="39"/>
      <c r="J359" s="39"/>
      <c r="K359" s="39"/>
      <c r="L359" s="39"/>
      <c r="M359" s="39"/>
    </row>
    <row r="360" customFormat="false" ht="15" hidden="false" customHeight="false" outlineLevel="0" collapsed="false">
      <c r="A360" s="39"/>
      <c r="B360" s="39"/>
      <c r="C360" s="39"/>
      <c r="D360" s="39"/>
      <c r="E360" s="39"/>
      <c r="F360" s="39"/>
      <c r="G360" s="39"/>
      <c r="H360" s="39"/>
      <c r="I360" s="39"/>
      <c r="J360" s="39"/>
      <c r="K360" s="39"/>
      <c r="L360" s="39"/>
      <c r="M360" s="39"/>
    </row>
    <row r="361" customFormat="false" ht="15" hidden="false" customHeight="false" outlineLevel="0" collapsed="false">
      <c r="A361" s="39"/>
      <c r="B361" s="39"/>
      <c r="C361" s="39"/>
      <c r="D361" s="39"/>
      <c r="E361" s="39"/>
      <c r="F361" s="39"/>
      <c r="G361" s="39"/>
      <c r="H361" s="39"/>
      <c r="I361" s="39"/>
      <c r="J361" s="39"/>
      <c r="K361" s="39"/>
      <c r="L361" s="39"/>
      <c r="M361" s="39"/>
    </row>
    <row r="362" customFormat="false" ht="15" hidden="false" customHeight="false" outlineLevel="0" collapsed="false">
      <c r="A362" s="39"/>
      <c r="B362" s="39"/>
      <c r="C362" s="39"/>
      <c r="D362" s="39"/>
      <c r="E362" s="39"/>
      <c r="F362" s="39"/>
      <c r="G362" s="39"/>
      <c r="H362" s="39"/>
      <c r="I362" s="39"/>
      <c r="J362" s="39"/>
      <c r="K362" s="39"/>
      <c r="L362" s="39"/>
      <c r="M362" s="39"/>
    </row>
    <row r="363" customFormat="false" ht="15" hidden="false" customHeight="false" outlineLevel="0" collapsed="false">
      <c r="A363" s="39"/>
      <c r="B363" s="39"/>
      <c r="C363" s="39"/>
      <c r="D363" s="39"/>
      <c r="E363" s="39"/>
      <c r="F363" s="39"/>
      <c r="G363" s="39"/>
      <c r="H363" s="39"/>
      <c r="I363" s="39"/>
      <c r="J363" s="39"/>
      <c r="K363" s="39"/>
      <c r="L363" s="39"/>
      <c r="M363" s="39"/>
    </row>
    <row r="364" customFormat="false" ht="15" hidden="false" customHeight="false" outlineLevel="0" collapsed="false">
      <c r="A364" s="39"/>
      <c r="B364" s="39"/>
      <c r="C364" s="39"/>
      <c r="D364" s="39"/>
      <c r="E364" s="39"/>
      <c r="F364" s="39"/>
      <c r="G364" s="39"/>
      <c r="H364" s="39"/>
      <c r="I364" s="39"/>
      <c r="J364" s="39"/>
      <c r="K364" s="39"/>
      <c r="L364" s="39"/>
      <c r="M364" s="39"/>
    </row>
    <row r="365" customFormat="false" ht="15" hidden="false" customHeight="false" outlineLevel="0" collapsed="false">
      <c r="A365" s="39"/>
      <c r="B365" s="39"/>
      <c r="C365" s="39"/>
      <c r="D365" s="39"/>
      <c r="E365" s="39"/>
      <c r="F365" s="39"/>
      <c r="G365" s="39"/>
      <c r="H365" s="39"/>
      <c r="I365" s="39"/>
      <c r="J365" s="39"/>
      <c r="K365" s="39"/>
      <c r="L365" s="39"/>
      <c r="M365" s="39"/>
    </row>
    <row r="366" customFormat="false" ht="15" hidden="false" customHeight="false" outlineLevel="0" collapsed="false">
      <c r="A366" s="39"/>
      <c r="B366" s="39"/>
      <c r="C366" s="39"/>
      <c r="D366" s="39"/>
      <c r="E366" s="39"/>
      <c r="F366" s="39"/>
      <c r="G366" s="39"/>
      <c r="H366" s="39"/>
      <c r="I366" s="39"/>
      <c r="J366" s="39"/>
      <c r="K366" s="39"/>
      <c r="L366" s="39"/>
      <c r="M366" s="39"/>
    </row>
    <row r="367" customFormat="false" ht="15" hidden="false" customHeight="false" outlineLevel="0" collapsed="false">
      <c r="A367" s="39"/>
      <c r="B367" s="39"/>
      <c r="C367" s="39"/>
      <c r="D367" s="39"/>
      <c r="E367" s="39"/>
      <c r="F367" s="39"/>
      <c r="G367" s="39"/>
      <c r="H367" s="39"/>
      <c r="I367" s="39"/>
      <c r="J367" s="39"/>
      <c r="K367" s="39"/>
      <c r="L367" s="39"/>
      <c r="M367" s="39"/>
    </row>
    <row r="368" customFormat="false" ht="15" hidden="false" customHeight="false" outlineLevel="0" collapsed="false">
      <c r="A368" s="39"/>
      <c r="B368" s="39"/>
      <c r="C368" s="39"/>
      <c r="D368" s="39"/>
      <c r="E368" s="39"/>
      <c r="F368" s="39"/>
      <c r="G368" s="39"/>
      <c r="H368" s="39"/>
      <c r="I368" s="39"/>
      <c r="J368" s="39"/>
      <c r="K368" s="39"/>
      <c r="L368" s="39"/>
      <c r="M368" s="39"/>
    </row>
    <row r="369" customFormat="false" ht="15" hidden="false" customHeight="false" outlineLevel="0" collapsed="false">
      <c r="A369" s="39"/>
      <c r="B369" s="39"/>
      <c r="C369" s="39"/>
      <c r="D369" s="39"/>
      <c r="E369" s="39"/>
      <c r="F369" s="39"/>
      <c r="G369" s="39"/>
      <c r="H369" s="39"/>
      <c r="I369" s="39"/>
      <c r="J369" s="39"/>
      <c r="K369" s="39"/>
      <c r="L369" s="39"/>
      <c r="M369" s="39"/>
    </row>
    <row r="370" customFormat="false" ht="15" hidden="false" customHeight="false" outlineLevel="0" collapsed="false">
      <c r="A370" s="39"/>
      <c r="B370" s="39"/>
      <c r="C370" s="39"/>
      <c r="D370" s="39"/>
      <c r="E370" s="39"/>
      <c r="F370" s="39"/>
      <c r="G370" s="39"/>
      <c r="H370" s="39"/>
      <c r="I370" s="39"/>
      <c r="J370" s="39"/>
      <c r="K370" s="39"/>
      <c r="L370" s="39"/>
      <c r="M370" s="39"/>
    </row>
    <row r="371" customFormat="false" ht="15" hidden="false" customHeight="false" outlineLevel="0" collapsed="false">
      <c r="A371" s="39"/>
      <c r="B371" s="39"/>
      <c r="C371" s="39"/>
      <c r="D371" s="39"/>
      <c r="E371" s="39"/>
      <c r="F371" s="39"/>
      <c r="G371" s="39"/>
      <c r="H371" s="39"/>
      <c r="I371" s="39"/>
      <c r="J371" s="39"/>
      <c r="K371" s="39"/>
      <c r="L371" s="39"/>
      <c r="M371" s="39"/>
    </row>
    <row r="372" customFormat="false" ht="15" hidden="false" customHeight="false" outlineLevel="0" collapsed="false">
      <c r="A372" s="39"/>
      <c r="B372" s="39"/>
      <c r="C372" s="39"/>
      <c r="D372" s="39"/>
      <c r="E372" s="39"/>
      <c r="F372" s="39"/>
      <c r="G372" s="39"/>
      <c r="H372" s="39"/>
      <c r="I372" s="39"/>
      <c r="J372" s="39"/>
      <c r="K372" s="39"/>
      <c r="L372" s="39"/>
      <c r="M372" s="39"/>
    </row>
    <row r="373" customFormat="false" ht="15" hidden="false" customHeight="false" outlineLevel="0" collapsed="false">
      <c r="A373" s="39"/>
      <c r="B373" s="39"/>
      <c r="C373" s="39"/>
      <c r="D373" s="39"/>
      <c r="E373" s="39"/>
      <c r="F373" s="39"/>
      <c r="G373" s="39"/>
      <c r="H373" s="39"/>
      <c r="I373" s="39"/>
      <c r="J373" s="39"/>
      <c r="K373" s="39"/>
      <c r="L373" s="39"/>
      <c r="M373" s="39"/>
    </row>
    <row r="374" customFormat="false" ht="15" hidden="false" customHeight="false" outlineLevel="0" collapsed="false">
      <c r="A374" s="39"/>
      <c r="B374" s="39"/>
      <c r="C374" s="39"/>
      <c r="D374" s="39"/>
      <c r="E374" s="39"/>
      <c r="F374" s="39"/>
      <c r="G374" s="39"/>
      <c r="H374" s="39"/>
      <c r="I374" s="39"/>
      <c r="J374" s="39"/>
      <c r="K374" s="39"/>
      <c r="L374" s="39"/>
      <c r="M374" s="39"/>
    </row>
    <row r="375" customFormat="false" ht="15" hidden="false" customHeight="false" outlineLevel="0" collapsed="false">
      <c r="A375" s="39"/>
      <c r="B375" s="39"/>
      <c r="C375" s="39"/>
      <c r="D375" s="39"/>
      <c r="E375" s="39"/>
      <c r="F375" s="39"/>
      <c r="G375" s="39"/>
      <c r="H375" s="39"/>
      <c r="I375" s="39"/>
      <c r="J375" s="39"/>
      <c r="K375" s="39"/>
      <c r="L375" s="39"/>
      <c r="M375" s="39"/>
    </row>
    <row r="376" customFormat="false" ht="15" hidden="false" customHeight="false" outlineLevel="0" collapsed="false">
      <c r="A376" s="39"/>
      <c r="B376" s="39"/>
      <c r="C376" s="39"/>
      <c r="D376" s="39"/>
      <c r="E376" s="39"/>
      <c r="F376" s="39"/>
      <c r="G376" s="39"/>
      <c r="H376" s="39"/>
      <c r="I376" s="39"/>
      <c r="J376" s="39"/>
      <c r="K376" s="39"/>
      <c r="L376" s="39"/>
      <c r="M376" s="39"/>
    </row>
    <row r="377" customFormat="false" ht="15" hidden="false" customHeight="false" outlineLevel="0" collapsed="false">
      <c r="A377" s="39"/>
      <c r="B377" s="39"/>
      <c r="C377" s="39"/>
      <c r="D377" s="39"/>
      <c r="E377" s="39"/>
      <c r="F377" s="39"/>
      <c r="G377" s="39"/>
      <c r="H377" s="39"/>
      <c r="I377" s="39"/>
      <c r="J377" s="39"/>
      <c r="K377" s="39"/>
      <c r="L377" s="39"/>
      <c r="M377" s="39"/>
    </row>
    <row r="378" customFormat="false" ht="15" hidden="false" customHeight="false" outlineLevel="0" collapsed="false">
      <c r="A378" s="39"/>
      <c r="B378" s="39"/>
      <c r="C378" s="39"/>
      <c r="D378" s="39"/>
      <c r="E378" s="39"/>
      <c r="F378" s="39"/>
      <c r="G378" s="39"/>
      <c r="H378" s="39"/>
      <c r="I378" s="39"/>
      <c r="J378" s="39"/>
      <c r="K378" s="39"/>
      <c r="L378" s="39"/>
      <c r="M378" s="39"/>
    </row>
    <row r="379" customFormat="false" ht="15" hidden="false" customHeight="false" outlineLevel="0" collapsed="false">
      <c r="A379" s="39"/>
      <c r="B379" s="39"/>
      <c r="C379" s="39"/>
      <c r="D379" s="39"/>
      <c r="E379" s="39"/>
      <c r="F379" s="39"/>
      <c r="G379" s="39"/>
      <c r="H379" s="39"/>
      <c r="I379" s="39"/>
      <c r="J379" s="39"/>
      <c r="K379" s="39"/>
      <c r="L379" s="39"/>
      <c r="M379" s="39"/>
    </row>
    <row r="380" customFormat="false" ht="15" hidden="false" customHeight="false" outlineLevel="0" collapsed="false">
      <c r="A380" s="39"/>
      <c r="B380" s="39"/>
      <c r="C380" s="39"/>
      <c r="D380" s="39"/>
      <c r="E380" s="39"/>
      <c r="F380" s="39"/>
      <c r="G380" s="39"/>
      <c r="H380" s="39"/>
      <c r="I380" s="39"/>
      <c r="J380" s="39"/>
      <c r="K380" s="39"/>
      <c r="L380" s="39"/>
      <c r="M380" s="39"/>
    </row>
    <row r="381" customFormat="false" ht="15" hidden="false" customHeight="false" outlineLevel="0" collapsed="false">
      <c r="A381" s="39"/>
      <c r="B381" s="39"/>
      <c r="C381" s="39"/>
      <c r="D381" s="39"/>
      <c r="E381" s="39"/>
      <c r="F381" s="39"/>
      <c r="G381" s="39"/>
      <c r="H381" s="39"/>
      <c r="I381" s="39"/>
      <c r="J381" s="39"/>
      <c r="K381" s="39"/>
      <c r="L381" s="39"/>
      <c r="M381" s="39"/>
    </row>
    <row r="382" customFormat="false" ht="15" hidden="false" customHeight="false" outlineLevel="0" collapsed="false">
      <c r="A382" s="39"/>
      <c r="B382" s="39"/>
      <c r="C382" s="39"/>
      <c r="D382" s="39"/>
      <c r="E382" s="39"/>
      <c r="F382" s="39"/>
      <c r="G382" s="39"/>
      <c r="H382" s="39"/>
      <c r="I382" s="39"/>
      <c r="J382" s="39"/>
      <c r="K382" s="39"/>
      <c r="L382" s="39"/>
      <c r="M382" s="39"/>
    </row>
    <row r="383" customFormat="false" ht="15" hidden="false" customHeight="false" outlineLevel="0" collapsed="false">
      <c r="A383" s="39"/>
      <c r="B383" s="39"/>
      <c r="C383" s="39"/>
      <c r="D383" s="39"/>
      <c r="E383" s="39"/>
      <c r="F383" s="39"/>
      <c r="G383" s="39"/>
      <c r="H383" s="39"/>
      <c r="I383" s="39"/>
      <c r="J383" s="39"/>
      <c r="K383" s="39"/>
      <c r="L383" s="39"/>
      <c r="M383" s="39"/>
    </row>
    <row r="384" customFormat="false" ht="15" hidden="false" customHeight="false" outlineLevel="0" collapsed="false">
      <c r="A384" s="39"/>
      <c r="B384" s="39"/>
      <c r="C384" s="39"/>
      <c r="D384" s="39"/>
      <c r="E384" s="39"/>
      <c r="F384" s="39"/>
      <c r="G384" s="39"/>
      <c r="H384" s="39"/>
      <c r="I384" s="39"/>
      <c r="J384" s="39"/>
      <c r="K384" s="39"/>
      <c r="L384" s="39"/>
      <c r="M384" s="39"/>
    </row>
    <row r="385" customFormat="false" ht="15" hidden="false" customHeight="false" outlineLevel="0" collapsed="false">
      <c r="A385" s="39"/>
      <c r="B385" s="39"/>
      <c r="C385" s="39"/>
      <c r="D385" s="39"/>
      <c r="E385" s="39"/>
      <c r="F385" s="39"/>
      <c r="G385" s="39"/>
      <c r="H385" s="39"/>
      <c r="I385" s="39"/>
      <c r="J385" s="39"/>
      <c r="K385" s="39"/>
      <c r="L385" s="39"/>
      <c r="M385" s="39"/>
    </row>
    <row r="386" customFormat="false" ht="15" hidden="false" customHeight="false" outlineLevel="0" collapsed="false">
      <c r="A386" s="39"/>
      <c r="B386" s="39"/>
      <c r="C386" s="39"/>
      <c r="D386" s="39"/>
      <c r="E386" s="39"/>
      <c r="F386" s="39"/>
      <c r="G386" s="39"/>
      <c r="H386" s="39"/>
      <c r="I386" s="39"/>
      <c r="J386" s="39"/>
      <c r="K386" s="39"/>
      <c r="L386" s="39"/>
      <c r="M386" s="39"/>
    </row>
    <row r="387" customFormat="false" ht="15" hidden="false" customHeight="false" outlineLevel="0" collapsed="false">
      <c r="A387" s="39"/>
      <c r="B387" s="39"/>
      <c r="C387" s="39"/>
      <c r="D387" s="39"/>
      <c r="E387" s="39"/>
      <c r="F387" s="39"/>
      <c r="G387" s="39"/>
      <c r="H387" s="39"/>
      <c r="I387" s="39"/>
      <c r="J387" s="39"/>
      <c r="K387" s="39"/>
      <c r="L387" s="39"/>
      <c r="M387" s="39"/>
    </row>
    <row r="388" customFormat="false" ht="15" hidden="false" customHeight="false" outlineLevel="0" collapsed="false">
      <c r="A388" s="39"/>
      <c r="B388" s="39"/>
      <c r="C388" s="39"/>
      <c r="D388" s="39"/>
      <c r="E388" s="39"/>
      <c r="F388" s="39"/>
      <c r="G388" s="39"/>
      <c r="H388" s="39"/>
      <c r="I388" s="39"/>
      <c r="J388" s="39"/>
      <c r="K388" s="39"/>
      <c r="L388" s="39"/>
      <c r="M388" s="39"/>
    </row>
    <row r="389" customFormat="false" ht="15" hidden="false" customHeight="false" outlineLevel="0" collapsed="false">
      <c r="A389" s="39"/>
      <c r="B389" s="39"/>
      <c r="C389" s="39"/>
      <c r="D389" s="39"/>
      <c r="E389" s="39"/>
      <c r="F389" s="39"/>
      <c r="G389" s="39"/>
      <c r="H389" s="39"/>
      <c r="I389" s="39"/>
      <c r="J389" s="39"/>
      <c r="K389" s="39"/>
      <c r="L389" s="39"/>
      <c r="M389" s="39"/>
    </row>
    <row r="390" customFormat="false" ht="15" hidden="false" customHeight="false" outlineLevel="0" collapsed="false">
      <c r="A390" s="39"/>
      <c r="B390" s="39"/>
      <c r="C390" s="39"/>
      <c r="D390" s="39"/>
      <c r="E390" s="39"/>
      <c r="F390" s="39"/>
      <c r="G390" s="39"/>
      <c r="H390" s="39"/>
      <c r="I390" s="39"/>
      <c r="J390" s="39"/>
      <c r="K390" s="39"/>
      <c r="L390" s="39"/>
      <c r="M390" s="39"/>
    </row>
    <row r="391" customFormat="false" ht="15" hidden="false" customHeight="false" outlineLevel="0" collapsed="false">
      <c r="A391" s="39"/>
      <c r="B391" s="39"/>
      <c r="C391" s="39"/>
      <c r="D391" s="39"/>
      <c r="E391" s="39"/>
      <c r="F391" s="39"/>
      <c r="G391" s="39"/>
      <c r="H391" s="39"/>
      <c r="I391" s="39"/>
      <c r="J391" s="39"/>
      <c r="K391" s="39"/>
      <c r="L391" s="39"/>
      <c r="M391" s="39"/>
    </row>
    <row r="392" customFormat="false" ht="15" hidden="false" customHeight="false" outlineLevel="0" collapsed="false">
      <c r="A392" s="39"/>
      <c r="B392" s="39"/>
      <c r="C392" s="39"/>
      <c r="D392" s="39"/>
      <c r="E392" s="39"/>
      <c r="F392" s="39"/>
      <c r="G392" s="39"/>
      <c r="H392" s="39"/>
      <c r="I392" s="39"/>
      <c r="J392" s="39"/>
      <c r="K392" s="39"/>
      <c r="L392" s="39"/>
      <c r="M392" s="39"/>
    </row>
    <row r="393" customFormat="false" ht="15" hidden="false" customHeight="false" outlineLevel="0" collapsed="false">
      <c r="A393" s="39"/>
      <c r="B393" s="39"/>
      <c r="C393" s="39"/>
      <c r="D393" s="39"/>
      <c r="E393" s="39"/>
      <c r="F393" s="39"/>
      <c r="G393" s="39"/>
      <c r="H393" s="39"/>
      <c r="I393" s="39"/>
      <c r="J393" s="39"/>
      <c r="K393" s="39"/>
      <c r="L393" s="39"/>
      <c r="M393" s="39"/>
    </row>
    <row r="394" customFormat="false" ht="15" hidden="false" customHeight="false" outlineLevel="0" collapsed="false">
      <c r="A394" s="39"/>
      <c r="B394" s="39"/>
      <c r="C394" s="39"/>
      <c r="D394" s="39"/>
      <c r="E394" s="39"/>
      <c r="F394" s="39"/>
      <c r="G394" s="39"/>
      <c r="H394" s="39"/>
      <c r="I394" s="39"/>
      <c r="J394" s="39"/>
      <c r="K394" s="39"/>
      <c r="L394" s="39"/>
      <c r="M394" s="39"/>
    </row>
    <row r="395" customFormat="false" ht="15" hidden="false" customHeight="false" outlineLevel="0" collapsed="false">
      <c r="A395" s="39"/>
      <c r="B395" s="39"/>
      <c r="C395" s="39"/>
      <c r="D395" s="39"/>
      <c r="E395" s="39"/>
      <c r="F395" s="39"/>
      <c r="G395" s="39"/>
      <c r="H395" s="39"/>
      <c r="I395" s="39"/>
      <c r="J395" s="39"/>
      <c r="K395" s="39"/>
      <c r="L395" s="39"/>
      <c r="M395" s="39"/>
    </row>
    <row r="396" customFormat="false" ht="15" hidden="false" customHeight="false" outlineLevel="0" collapsed="false">
      <c r="A396" s="39"/>
      <c r="B396" s="39"/>
      <c r="C396" s="39"/>
      <c r="D396" s="39"/>
      <c r="E396" s="39"/>
      <c r="F396" s="39"/>
      <c r="G396" s="39"/>
      <c r="H396" s="39"/>
      <c r="I396" s="39"/>
      <c r="J396" s="39"/>
      <c r="K396" s="39"/>
      <c r="L396" s="39"/>
      <c r="M396" s="39"/>
    </row>
    <row r="397" customFormat="false" ht="15" hidden="false" customHeight="false" outlineLevel="0" collapsed="false">
      <c r="A397" s="39"/>
      <c r="B397" s="39"/>
      <c r="C397" s="39"/>
      <c r="D397" s="39"/>
      <c r="E397" s="39"/>
      <c r="F397" s="39"/>
      <c r="G397" s="39"/>
      <c r="H397" s="39"/>
      <c r="I397" s="39"/>
      <c r="J397" s="39"/>
      <c r="K397" s="39"/>
      <c r="L397" s="39"/>
      <c r="M397" s="39"/>
    </row>
    <row r="398" customFormat="false" ht="15" hidden="false" customHeight="false" outlineLevel="0" collapsed="false">
      <c r="A398" s="39"/>
      <c r="B398" s="39"/>
      <c r="C398" s="39"/>
      <c r="D398" s="39"/>
      <c r="E398" s="39"/>
      <c r="F398" s="39"/>
      <c r="G398" s="39"/>
      <c r="H398" s="39"/>
      <c r="I398" s="39"/>
      <c r="J398" s="39"/>
      <c r="K398" s="39"/>
      <c r="L398" s="39"/>
      <c r="M398" s="39"/>
    </row>
    <row r="399" customFormat="false" ht="15" hidden="false" customHeight="false" outlineLevel="0" collapsed="false">
      <c r="A399" s="39"/>
      <c r="B399" s="39"/>
      <c r="C399" s="39"/>
      <c r="D399" s="39"/>
      <c r="E399" s="39"/>
      <c r="F399" s="39"/>
      <c r="G399" s="39"/>
      <c r="H399" s="39"/>
      <c r="I399" s="39"/>
      <c r="J399" s="39"/>
      <c r="K399" s="39"/>
      <c r="L399" s="39"/>
      <c r="M399" s="39"/>
    </row>
    <row r="400" customFormat="false" ht="15" hidden="false" customHeight="false" outlineLevel="0" collapsed="false">
      <c r="A400" s="39"/>
      <c r="B400" s="39"/>
      <c r="C400" s="39"/>
      <c r="D400" s="39"/>
      <c r="E400" s="39"/>
      <c r="F400" s="39"/>
      <c r="G400" s="39"/>
      <c r="H400" s="39"/>
      <c r="I400" s="39"/>
      <c r="J400" s="39"/>
      <c r="K400" s="39"/>
      <c r="L400" s="39"/>
      <c r="M400" s="39"/>
    </row>
    <row r="401" customFormat="false" ht="15" hidden="false" customHeight="false" outlineLevel="0" collapsed="false">
      <c r="A401" s="39"/>
      <c r="B401" s="39"/>
      <c r="C401" s="39"/>
      <c r="D401" s="39"/>
      <c r="E401" s="39"/>
      <c r="F401" s="39"/>
      <c r="G401" s="39"/>
      <c r="H401" s="39"/>
      <c r="I401" s="39"/>
      <c r="J401" s="39"/>
      <c r="K401" s="39"/>
      <c r="L401" s="39"/>
      <c r="M401" s="39"/>
    </row>
    <row r="402" customFormat="false" ht="15" hidden="false" customHeight="false" outlineLevel="0" collapsed="false">
      <c r="A402" s="39"/>
      <c r="B402" s="39"/>
      <c r="C402" s="39"/>
      <c r="D402" s="39"/>
      <c r="E402" s="39"/>
      <c r="F402" s="39"/>
      <c r="G402" s="39"/>
      <c r="H402" s="39"/>
      <c r="I402" s="39"/>
      <c r="J402" s="39"/>
      <c r="K402" s="39"/>
      <c r="L402" s="39"/>
      <c r="M402" s="39"/>
    </row>
    <row r="403" customFormat="false" ht="15" hidden="false" customHeight="false" outlineLevel="0" collapsed="false">
      <c r="A403" s="39"/>
      <c r="B403" s="39"/>
      <c r="C403" s="39"/>
      <c r="D403" s="39"/>
      <c r="E403" s="39"/>
      <c r="F403" s="39"/>
      <c r="G403" s="39"/>
      <c r="H403" s="39"/>
      <c r="I403" s="39"/>
      <c r="J403" s="39"/>
      <c r="K403" s="39"/>
      <c r="L403" s="39"/>
      <c r="M403" s="39"/>
    </row>
    <row r="404" customFormat="false" ht="15" hidden="false" customHeight="false" outlineLevel="0" collapsed="false">
      <c r="A404" s="39"/>
      <c r="B404" s="39"/>
      <c r="C404" s="39"/>
      <c r="D404" s="39"/>
      <c r="E404" s="39"/>
      <c r="F404" s="39"/>
      <c r="G404" s="39"/>
      <c r="H404" s="39"/>
      <c r="I404" s="39"/>
      <c r="J404" s="39"/>
      <c r="K404" s="39"/>
      <c r="L404" s="39"/>
      <c r="M404" s="39"/>
    </row>
    <row r="405" customFormat="false" ht="15" hidden="false" customHeight="false" outlineLevel="0" collapsed="false">
      <c r="A405" s="39"/>
      <c r="B405" s="39"/>
      <c r="C405" s="39"/>
      <c r="D405" s="39"/>
      <c r="E405" s="39"/>
      <c r="F405" s="39"/>
      <c r="G405" s="39"/>
      <c r="H405" s="39"/>
      <c r="I405" s="39"/>
      <c r="J405" s="39"/>
      <c r="K405" s="39"/>
      <c r="L405" s="39"/>
      <c r="M405" s="39"/>
    </row>
    <row r="406" customFormat="false" ht="15" hidden="false" customHeight="false" outlineLevel="0" collapsed="false">
      <c r="A406" s="39"/>
      <c r="B406" s="39"/>
      <c r="C406" s="39"/>
      <c r="D406" s="39"/>
      <c r="E406" s="39"/>
      <c r="F406" s="39"/>
      <c r="G406" s="39"/>
      <c r="H406" s="39"/>
      <c r="I406" s="39"/>
      <c r="J406" s="39"/>
      <c r="K406" s="39"/>
      <c r="L406" s="39"/>
      <c r="M406" s="39"/>
    </row>
    <row r="407" customFormat="false" ht="15" hidden="false" customHeight="false" outlineLevel="0" collapsed="false">
      <c r="A407" s="39"/>
      <c r="B407" s="39"/>
      <c r="C407" s="39"/>
      <c r="D407" s="39"/>
      <c r="E407" s="39"/>
      <c r="F407" s="39"/>
      <c r="G407" s="39"/>
      <c r="H407" s="39"/>
      <c r="I407" s="39"/>
      <c r="J407" s="39"/>
      <c r="K407" s="39"/>
      <c r="L407" s="39"/>
      <c r="M407" s="39"/>
    </row>
    <row r="408" customFormat="false" ht="15" hidden="false" customHeight="false" outlineLevel="0" collapsed="false">
      <c r="A408" s="39"/>
      <c r="B408" s="39"/>
      <c r="C408" s="39"/>
      <c r="D408" s="39"/>
      <c r="E408" s="39"/>
      <c r="F408" s="39"/>
      <c r="G408" s="39"/>
      <c r="H408" s="39"/>
      <c r="I408" s="39"/>
      <c r="J408" s="39"/>
      <c r="K408" s="39"/>
      <c r="L408" s="39"/>
      <c r="M408" s="39"/>
    </row>
    <row r="409" customFormat="false" ht="15" hidden="false" customHeight="false" outlineLevel="0" collapsed="false">
      <c r="A409" s="39"/>
      <c r="B409" s="39"/>
      <c r="C409" s="39"/>
      <c r="D409" s="39"/>
      <c r="E409" s="39"/>
      <c r="F409" s="39"/>
      <c r="G409" s="39"/>
      <c r="H409" s="39"/>
      <c r="I409" s="39"/>
      <c r="J409" s="39"/>
      <c r="K409" s="39"/>
      <c r="L409" s="39"/>
      <c r="M409" s="39"/>
    </row>
    <row r="410" customFormat="false" ht="15" hidden="false" customHeight="false" outlineLevel="0" collapsed="false">
      <c r="A410" s="39"/>
      <c r="B410" s="39"/>
      <c r="C410" s="39"/>
      <c r="D410" s="39"/>
      <c r="E410" s="39"/>
      <c r="F410" s="39"/>
      <c r="G410" s="39"/>
      <c r="H410" s="39"/>
      <c r="I410" s="39"/>
      <c r="J410" s="39"/>
      <c r="K410" s="39"/>
      <c r="L410" s="39"/>
      <c r="M410" s="39"/>
    </row>
    <row r="411" customFormat="false" ht="15" hidden="false" customHeight="false" outlineLevel="0" collapsed="false">
      <c r="A411" s="39"/>
      <c r="B411" s="39"/>
      <c r="C411" s="39"/>
      <c r="D411" s="39"/>
      <c r="E411" s="39"/>
      <c r="F411" s="39"/>
      <c r="G411" s="39"/>
      <c r="H411" s="39"/>
      <c r="I411" s="39"/>
      <c r="J411" s="39"/>
      <c r="K411" s="39"/>
      <c r="L411" s="39"/>
      <c r="M411" s="39"/>
    </row>
    <row r="412" customFormat="false" ht="15" hidden="false" customHeight="false" outlineLevel="0" collapsed="false">
      <c r="A412" s="39"/>
      <c r="B412" s="39"/>
      <c r="C412" s="39"/>
      <c r="D412" s="39"/>
      <c r="E412" s="39"/>
      <c r="F412" s="39"/>
      <c r="G412" s="39"/>
      <c r="H412" s="39"/>
      <c r="I412" s="39"/>
      <c r="J412" s="39"/>
      <c r="K412" s="39"/>
      <c r="L412" s="39"/>
      <c r="M412" s="39"/>
    </row>
    <row r="413" customFormat="false" ht="15" hidden="false" customHeight="false" outlineLevel="0" collapsed="false">
      <c r="A413" s="39"/>
      <c r="B413" s="39"/>
      <c r="C413" s="39"/>
      <c r="D413" s="39"/>
      <c r="E413" s="39"/>
      <c r="F413" s="39"/>
      <c r="G413" s="39"/>
      <c r="H413" s="39"/>
      <c r="I413" s="39"/>
      <c r="J413" s="39"/>
      <c r="K413" s="39"/>
      <c r="L413" s="39"/>
      <c r="M413" s="39"/>
    </row>
    <row r="414" customFormat="false" ht="15" hidden="false" customHeight="false" outlineLevel="0" collapsed="false">
      <c r="A414" s="39"/>
      <c r="B414" s="39"/>
      <c r="C414" s="39"/>
      <c r="D414" s="39"/>
      <c r="E414" s="39"/>
      <c r="F414" s="39"/>
      <c r="G414" s="39"/>
      <c r="H414" s="39"/>
      <c r="I414" s="39"/>
      <c r="J414" s="39"/>
      <c r="K414" s="39"/>
      <c r="L414" s="39"/>
      <c r="M414" s="39"/>
    </row>
    <row r="415" customFormat="false" ht="15" hidden="false" customHeight="false" outlineLevel="0" collapsed="false">
      <c r="A415" s="39"/>
      <c r="B415" s="39"/>
      <c r="C415" s="39"/>
      <c r="D415" s="39"/>
      <c r="E415" s="39"/>
      <c r="F415" s="39"/>
      <c r="G415" s="39"/>
      <c r="H415" s="39"/>
      <c r="I415" s="39"/>
      <c r="J415" s="39"/>
      <c r="K415" s="39"/>
      <c r="L415" s="39"/>
      <c r="M415" s="39"/>
    </row>
    <row r="416" customFormat="false" ht="15" hidden="false" customHeight="false" outlineLevel="0" collapsed="false">
      <c r="A416" s="39"/>
      <c r="B416" s="39"/>
      <c r="C416" s="39"/>
      <c r="D416" s="39"/>
      <c r="E416" s="39"/>
      <c r="F416" s="39"/>
      <c r="G416" s="39"/>
      <c r="H416" s="39"/>
      <c r="I416" s="39"/>
      <c r="J416" s="39"/>
      <c r="K416" s="39"/>
      <c r="L416" s="39"/>
      <c r="M416" s="39"/>
    </row>
    <row r="417" customFormat="false" ht="15" hidden="false" customHeight="false" outlineLevel="0" collapsed="false">
      <c r="A417" s="39"/>
      <c r="B417" s="39"/>
      <c r="C417" s="39"/>
      <c r="D417" s="39"/>
      <c r="E417" s="39"/>
      <c r="F417" s="39"/>
      <c r="G417" s="39"/>
      <c r="H417" s="39"/>
      <c r="I417" s="39"/>
      <c r="J417" s="39"/>
      <c r="K417" s="39"/>
      <c r="L417" s="39"/>
      <c r="M417" s="39"/>
    </row>
    <row r="418" customFormat="false" ht="15" hidden="false" customHeight="false" outlineLevel="0" collapsed="false">
      <c r="A418" s="39"/>
      <c r="B418" s="39"/>
      <c r="C418" s="39"/>
      <c r="D418" s="39"/>
      <c r="E418" s="39"/>
      <c r="F418" s="39"/>
      <c r="G418" s="39"/>
      <c r="H418" s="39"/>
      <c r="I418" s="39"/>
      <c r="J418" s="39"/>
      <c r="K418" s="39"/>
      <c r="L418" s="39"/>
      <c r="M418" s="39"/>
    </row>
    <row r="419" customFormat="false" ht="15" hidden="false" customHeight="false" outlineLevel="0" collapsed="false">
      <c r="A419" s="39"/>
      <c r="B419" s="39"/>
      <c r="C419" s="39"/>
      <c r="D419" s="39"/>
      <c r="E419" s="39"/>
      <c r="F419" s="39"/>
      <c r="G419" s="39"/>
      <c r="H419" s="39"/>
      <c r="I419" s="39"/>
      <c r="J419" s="39"/>
      <c r="K419" s="39"/>
      <c r="L419" s="39"/>
      <c r="M419" s="39"/>
    </row>
    <row r="420" customFormat="false" ht="15" hidden="false" customHeight="false" outlineLevel="0" collapsed="false">
      <c r="A420" s="39"/>
      <c r="B420" s="39"/>
      <c r="C420" s="39"/>
      <c r="D420" s="39"/>
      <c r="E420" s="39"/>
      <c r="F420" s="39"/>
      <c r="G420" s="39"/>
      <c r="H420" s="39"/>
      <c r="I420" s="39"/>
      <c r="J420" s="39"/>
      <c r="K420" s="39"/>
      <c r="L420" s="39"/>
      <c r="M420" s="39"/>
    </row>
    <row r="421" customFormat="false" ht="15" hidden="false" customHeight="false" outlineLevel="0" collapsed="false">
      <c r="A421" s="39"/>
      <c r="B421" s="39"/>
      <c r="C421" s="39"/>
      <c r="D421" s="39"/>
      <c r="E421" s="39"/>
      <c r="F421" s="39"/>
      <c r="G421" s="39"/>
      <c r="H421" s="39"/>
      <c r="I421" s="39"/>
      <c r="J421" s="39"/>
      <c r="K421" s="39"/>
      <c r="L421" s="39"/>
      <c r="M421" s="39"/>
    </row>
    <row r="422" customFormat="false" ht="15" hidden="false" customHeight="false" outlineLevel="0" collapsed="false">
      <c r="A422" s="39"/>
      <c r="B422" s="39"/>
      <c r="C422" s="39"/>
      <c r="D422" s="39"/>
      <c r="E422" s="39"/>
      <c r="F422" s="39"/>
      <c r="G422" s="39"/>
      <c r="H422" s="39"/>
      <c r="I422" s="39"/>
      <c r="J422" s="39"/>
      <c r="K422" s="39"/>
      <c r="L422" s="39"/>
      <c r="M422" s="39"/>
    </row>
    <row r="423" customFormat="false" ht="15" hidden="false" customHeight="false" outlineLevel="0" collapsed="false">
      <c r="A423" s="39"/>
      <c r="B423" s="39"/>
      <c r="C423" s="39"/>
      <c r="D423" s="39"/>
      <c r="E423" s="39"/>
      <c r="F423" s="39"/>
      <c r="G423" s="39"/>
      <c r="H423" s="39"/>
      <c r="I423" s="39"/>
      <c r="J423" s="39"/>
      <c r="K423" s="39"/>
      <c r="L423" s="39"/>
      <c r="M423" s="39"/>
    </row>
    <row r="424" customFormat="false" ht="15" hidden="false" customHeight="false" outlineLevel="0" collapsed="false">
      <c r="A424" s="39"/>
      <c r="B424" s="39"/>
      <c r="C424" s="39"/>
      <c r="D424" s="39"/>
      <c r="E424" s="39"/>
      <c r="F424" s="39"/>
      <c r="G424" s="39"/>
      <c r="H424" s="39"/>
      <c r="I424" s="39"/>
      <c r="J424" s="39"/>
      <c r="K424" s="39"/>
      <c r="L424" s="39"/>
      <c r="M424" s="39"/>
    </row>
    <row r="425" customFormat="false" ht="15" hidden="false" customHeight="false" outlineLevel="0" collapsed="false">
      <c r="A425" s="39"/>
      <c r="B425" s="39"/>
      <c r="C425" s="39"/>
      <c r="D425" s="39"/>
      <c r="E425" s="39"/>
      <c r="F425" s="39"/>
      <c r="G425" s="39"/>
      <c r="H425" s="39"/>
      <c r="I425" s="39"/>
      <c r="J425" s="39"/>
      <c r="K425" s="39"/>
      <c r="L425" s="39"/>
      <c r="M425" s="39"/>
    </row>
    <row r="426" customFormat="false" ht="15" hidden="false" customHeight="false" outlineLevel="0" collapsed="false">
      <c r="A426" s="39"/>
      <c r="B426" s="39"/>
      <c r="C426" s="39"/>
      <c r="D426" s="39"/>
      <c r="E426" s="39"/>
      <c r="F426" s="39"/>
      <c r="G426" s="39"/>
      <c r="H426" s="39"/>
      <c r="I426" s="39"/>
      <c r="J426" s="39"/>
      <c r="K426" s="39"/>
      <c r="L426" s="39"/>
      <c r="M426" s="39"/>
    </row>
    <row r="427" customFormat="false" ht="15" hidden="false" customHeight="false" outlineLevel="0" collapsed="false">
      <c r="A427" s="39"/>
      <c r="B427" s="39"/>
      <c r="C427" s="39"/>
      <c r="D427" s="39"/>
      <c r="E427" s="39"/>
      <c r="F427" s="39"/>
      <c r="G427" s="39"/>
      <c r="H427" s="39"/>
      <c r="I427" s="39"/>
      <c r="J427" s="39"/>
      <c r="K427" s="39"/>
      <c r="L427" s="39"/>
      <c r="M427" s="39"/>
    </row>
    <row r="428" customFormat="false" ht="15" hidden="false" customHeight="false" outlineLevel="0" collapsed="false">
      <c r="A428" s="39"/>
      <c r="B428" s="39"/>
      <c r="C428" s="39"/>
      <c r="D428" s="39"/>
      <c r="E428" s="39"/>
      <c r="F428" s="39"/>
      <c r="G428" s="39"/>
      <c r="H428" s="39"/>
      <c r="I428" s="39"/>
      <c r="J428" s="39"/>
      <c r="K428" s="39"/>
      <c r="L428" s="39"/>
      <c r="M428" s="39"/>
    </row>
    <row r="429" customFormat="false" ht="15" hidden="false" customHeight="false" outlineLevel="0" collapsed="false">
      <c r="A429" s="39"/>
      <c r="B429" s="39"/>
      <c r="C429" s="39"/>
      <c r="D429" s="39"/>
      <c r="E429" s="39"/>
      <c r="F429" s="39"/>
      <c r="G429" s="39"/>
      <c r="H429" s="39"/>
      <c r="I429" s="39"/>
      <c r="J429" s="39"/>
      <c r="K429" s="39"/>
      <c r="L429" s="39"/>
      <c r="M429" s="39"/>
    </row>
    <row r="430" customFormat="false" ht="15" hidden="false" customHeight="false" outlineLevel="0" collapsed="false">
      <c r="A430" s="39"/>
      <c r="B430" s="39"/>
      <c r="C430" s="39"/>
      <c r="D430" s="39"/>
      <c r="E430" s="39"/>
      <c r="F430" s="39"/>
      <c r="G430" s="39"/>
      <c r="H430" s="39"/>
      <c r="I430" s="39"/>
      <c r="J430" s="39"/>
      <c r="K430" s="39"/>
      <c r="L430" s="39"/>
      <c r="M430" s="39"/>
    </row>
    <row r="431" customFormat="false" ht="15" hidden="false" customHeight="false" outlineLevel="0" collapsed="false">
      <c r="A431" s="39"/>
      <c r="B431" s="39"/>
      <c r="C431" s="39"/>
      <c r="D431" s="39"/>
      <c r="E431" s="39"/>
      <c r="F431" s="39"/>
      <c r="G431" s="39"/>
      <c r="H431" s="39"/>
      <c r="I431" s="39"/>
      <c r="J431" s="39"/>
      <c r="K431" s="39"/>
      <c r="L431" s="39"/>
      <c r="M431" s="39"/>
    </row>
    <row r="432" customFormat="false" ht="15" hidden="false" customHeight="false" outlineLevel="0" collapsed="false">
      <c r="A432" s="39"/>
      <c r="B432" s="39"/>
      <c r="C432" s="39"/>
      <c r="D432" s="39"/>
      <c r="E432" s="39"/>
      <c r="F432" s="39"/>
      <c r="G432" s="39"/>
      <c r="H432" s="39"/>
      <c r="I432" s="39"/>
      <c r="J432" s="39"/>
      <c r="K432" s="39"/>
      <c r="L432" s="39"/>
      <c r="M432" s="39"/>
    </row>
    <row r="433" customFormat="false" ht="15" hidden="false" customHeight="false" outlineLevel="0" collapsed="false">
      <c r="A433" s="39"/>
      <c r="B433" s="39"/>
      <c r="C433" s="39"/>
      <c r="D433" s="39"/>
      <c r="E433" s="39"/>
      <c r="F433" s="39"/>
      <c r="G433" s="39"/>
      <c r="H433" s="39"/>
      <c r="I433" s="39"/>
      <c r="J433" s="39"/>
      <c r="K433" s="39"/>
      <c r="L433" s="39"/>
      <c r="M433" s="39"/>
    </row>
    <row r="434" customFormat="false" ht="15" hidden="false" customHeight="false" outlineLevel="0" collapsed="false">
      <c r="A434" s="39"/>
      <c r="B434" s="39"/>
      <c r="C434" s="39"/>
      <c r="D434" s="39"/>
      <c r="E434" s="39"/>
      <c r="F434" s="39"/>
      <c r="G434" s="39"/>
      <c r="H434" s="39"/>
      <c r="I434" s="39"/>
      <c r="J434" s="39"/>
      <c r="K434" s="39"/>
      <c r="L434" s="39"/>
      <c r="M434" s="39"/>
    </row>
    <row r="435" customFormat="false" ht="15" hidden="false" customHeight="false" outlineLevel="0" collapsed="false">
      <c r="A435" s="39"/>
      <c r="B435" s="39"/>
      <c r="C435" s="39"/>
      <c r="D435" s="39"/>
      <c r="E435" s="39"/>
      <c r="F435" s="39"/>
      <c r="G435" s="39"/>
      <c r="H435" s="39"/>
      <c r="I435" s="39"/>
      <c r="J435" s="39"/>
      <c r="K435" s="39"/>
      <c r="L435" s="39"/>
      <c r="M435" s="39"/>
    </row>
    <row r="436" customFormat="false" ht="15" hidden="false" customHeight="false" outlineLevel="0" collapsed="false">
      <c r="A436" s="39"/>
      <c r="B436" s="39"/>
      <c r="C436" s="39"/>
      <c r="D436" s="39"/>
      <c r="E436" s="39"/>
      <c r="F436" s="39"/>
      <c r="G436" s="39"/>
      <c r="H436" s="39"/>
      <c r="I436" s="39"/>
      <c r="J436" s="39"/>
      <c r="K436" s="39"/>
      <c r="L436" s="39"/>
      <c r="M436" s="39"/>
    </row>
    <row r="437" customFormat="false" ht="15" hidden="false" customHeight="false" outlineLevel="0" collapsed="false">
      <c r="A437" s="39"/>
      <c r="B437" s="39"/>
      <c r="C437" s="39"/>
      <c r="D437" s="39"/>
      <c r="E437" s="39"/>
      <c r="F437" s="39"/>
      <c r="G437" s="39"/>
      <c r="H437" s="39"/>
      <c r="I437" s="39"/>
      <c r="J437" s="39"/>
      <c r="K437" s="39"/>
      <c r="L437" s="39"/>
      <c r="M437" s="39"/>
    </row>
    <row r="438" customFormat="false" ht="15" hidden="false" customHeight="false" outlineLevel="0" collapsed="false">
      <c r="A438" s="39"/>
      <c r="B438" s="39"/>
      <c r="C438" s="39"/>
      <c r="D438" s="39"/>
      <c r="E438" s="39"/>
      <c r="F438" s="39"/>
      <c r="G438" s="39"/>
      <c r="H438" s="39"/>
      <c r="I438" s="39"/>
      <c r="J438" s="39"/>
      <c r="K438" s="39"/>
      <c r="L438" s="39"/>
      <c r="M438" s="39"/>
    </row>
    <row r="439" customFormat="false" ht="15" hidden="false" customHeight="false" outlineLevel="0" collapsed="false">
      <c r="A439" s="39"/>
      <c r="B439" s="39"/>
      <c r="C439" s="39"/>
      <c r="D439" s="39"/>
      <c r="E439" s="39"/>
      <c r="F439" s="39"/>
      <c r="G439" s="39"/>
      <c r="H439" s="39"/>
      <c r="I439" s="39"/>
      <c r="J439" s="39"/>
      <c r="K439" s="39"/>
      <c r="L439" s="39"/>
      <c r="M439" s="39"/>
    </row>
    <row r="440" customFormat="false" ht="15" hidden="false" customHeight="false" outlineLevel="0" collapsed="false">
      <c r="A440" s="39"/>
      <c r="B440" s="39"/>
      <c r="C440" s="39"/>
      <c r="D440" s="39"/>
      <c r="E440" s="39"/>
      <c r="F440" s="39"/>
      <c r="G440" s="39"/>
      <c r="H440" s="39"/>
      <c r="I440" s="39"/>
      <c r="J440" s="39"/>
      <c r="K440" s="39"/>
      <c r="L440" s="39"/>
      <c r="M440" s="39"/>
    </row>
    <row r="441" customFormat="false" ht="15" hidden="false" customHeight="false" outlineLevel="0" collapsed="false">
      <c r="A441" s="39"/>
      <c r="B441" s="39"/>
      <c r="C441" s="39"/>
      <c r="D441" s="39"/>
      <c r="E441" s="39"/>
      <c r="F441" s="39"/>
      <c r="G441" s="39"/>
      <c r="H441" s="39"/>
      <c r="I441" s="39"/>
      <c r="J441" s="39"/>
      <c r="K441" s="39"/>
      <c r="L441" s="39"/>
      <c r="M441" s="39"/>
    </row>
    <row r="442" customFormat="false" ht="15" hidden="false" customHeight="false" outlineLevel="0" collapsed="false">
      <c r="A442" s="39"/>
      <c r="B442" s="39"/>
      <c r="C442" s="39"/>
      <c r="D442" s="39"/>
      <c r="E442" s="39"/>
      <c r="F442" s="39"/>
      <c r="G442" s="39"/>
      <c r="H442" s="39"/>
      <c r="I442" s="39"/>
      <c r="J442" s="39"/>
      <c r="K442" s="39"/>
      <c r="L442" s="39"/>
      <c r="M442" s="39"/>
    </row>
    <row r="443" customFormat="false" ht="15" hidden="false" customHeight="false" outlineLevel="0" collapsed="false">
      <c r="A443" s="39"/>
      <c r="B443" s="39"/>
      <c r="C443" s="39"/>
      <c r="D443" s="39"/>
      <c r="E443" s="39"/>
      <c r="F443" s="39"/>
      <c r="G443" s="39"/>
      <c r="H443" s="39"/>
      <c r="I443" s="39"/>
      <c r="J443" s="39"/>
      <c r="K443" s="39"/>
      <c r="L443" s="39"/>
      <c r="M443" s="39"/>
    </row>
    <row r="444" customFormat="false" ht="15" hidden="false" customHeight="false" outlineLevel="0" collapsed="false">
      <c r="A444" s="39"/>
      <c r="B444" s="39"/>
      <c r="C444" s="39"/>
      <c r="D444" s="39"/>
      <c r="E444" s="39"/>
      <c r="F444" s="39"/>
      <c r="G444" s="39"/>
      <c r="H444" s="39"/>
      <c r="I444" s="39"/>
      <c r="J444" s="39"/>
      <c r="K444" s="39"/>
      <c r="L444" s="39"/>
      <c r="M444" s="39"/>
    </row>
    <row r="445" customFormat="false" ht="15" hidden="false" customHeight="false" outlineLevel="0" collapsed="false">
      <c r="A445" s="39"/>
      <c r="B445" s="39"/>
      <c r="C445" s="39"/>
      <c r="D445" s="39"/>
      <c r="E445" s="39"/>
      <c r="F445" s="39"/>
      <c r="G445" s="39"/>
      <c r="H445" s="39"/>
      <c r="I445" s="39"/>
      <c r="J445" s="39"/>
      <c r="K445" s="39"/>
      <c r="L445" s="39"/>
      <c r="M445" s="39"/>
    </row>
    <row r="446" customFormat="false" ht="15" hidden="false" customHeight="false" outlineLevel="0" collapsed="false">
      <c r="A446" s="39"/>
      <c r="B446" s="39"/>
      <c r="C446" s="39"/>
      <c r="D446" s="39"/>
      <c r="E446" s="39"/>
      <c r="F446" s="39"/>
      <c r="G446" s="39"/>
      <c r="H446" s="39"/>
      <c r="I446" s="39"/>
      <c r="J446" s="39"/>
      <c r="K446" s="39"/>
      <c r="L446" s="39"/>
      <c r="M446" s="39"/>
    </row>
    <row r="447" customFormat="false" ht="15" hidden="false" customHeight="false" outlineLevel="0" collapsed="false">
      <c r="A447" s="39"/>
      <c r="B447" s="39"/>
      <c r="C447" s="39"/>
      <c r="D447" s="39"/>
      <c r="E447" s="39"/>
      <c r="F447" s="39"/>
      <c r="G447" s="39"/>
      <c r="H447" s="39"/>
      <c r="I447" s="39"/>
      <c r="J447" s="39"/>
      <c r="K447" s="39"/>
      <c r="L447" s="39"/>
      <c r="M447" s="39"/>
    </row>
    <row r="448" customFormat="false" ht="15" hidden="false" customHeight="false" outlineLevel="0" collapsed="false">
      <c r="A448" s="39"/>
      <c r="B448" s="39"/>
      <c r="C448" s="39"/>
      <c r="D448" s="39"/>
      <c r="E448" s="39"/>
      <c r="F448" s="39"/>
      <c r="G448" s="39"/>
      <c r="H448" s="39"/>
      <c r="I448" s="39"/>
      <c r="J448" s="39"/>
      <c r="K448" s="39"/>
      <c r="L448" s="39"/>
      <c r="M448" s="39"/>
    </row>
    <row r="449" customFormat="false" ht="15" hidden="false" customHeight="false" outlineLevel="0" collapsed="false">
      <c r="A449" s="39"/>
      <c r="B449" s="39"/>
      <c r="C449" s="39"/>
      <c r="D449" s="39"/>
      <c r="E449" s="39"/>
      <c r="F449" s="39"/>
      <c r="G449" s="39"/>
      <c r="H449" s="39"/>
      <c r="I449" s="39"/>
      <c r="J449" s="39"/>
      <c r="K449" s="39"/>
      <c r="L449" s="39"/>
      <c r="M449" s="39"/>
    </row>
    <row r="450" customFormat="false" ht="15" hidden="false" customHeight="false" outlineLevel="0" collapsed="false">
      <c r="A450" s="39"/>
      <c r="B450" s="39"/>
      <c r="C450" s="39"/>
      <c r="D450" s="39"/>
      <c r="E450" s="39"/>
      <c r="F450" s="39"/>
      <c r="G450" s="39"/>
      <c r="H450" s="39"/>
      <c r="I450" s="39"/>
      <c r="J450" s="39"/>
      <c r="K450" s="39"/>
      <c r="L450" s="39"/>
      <c r="M450" s="39"/>
    </row>
    <row r="451" customFormat="false" ht="15" hidden="false" customHeight="false" outlineLevel="0" collapsed="false">
      <c r="A451" s="39"/>
      <c r="B451" s="39"/>
      <c r="C451" s="39"/>
      <c r="D451" s="39"/>
      <c r="E451" s="39"/>
      <c r="F451" s="39"/>
      <c r="G451" s="39"/>
      <c r="H451" s="39"/>
      <c r="I451" s="39"/>
      <c r="J451" s="39"/>
      <c r="K451" s="39"/>
      <c r="L451" s="39"/>
      <c r="M451" s="39"/>
    </row>
    <row r="452" customFormat="false" ht="15" hidden="false" customHeight="false" outlineLevel="0" collapsed="false">
      <c r="A452" s="39"/>
      <c r="B452" s="39"/>
      <c r="C452" s="39"/>
      <c r="D452" s="39"/>
      <c r="E452" s="39"/>
      <c r="F452" s="39"/>
      <c r="G452" s="39"/>
      <c r="H452" s="39"/>
      <c r="I452" s="39"/>
      <c r="J452" s="39"/>
      <c r="K452" s="39"/>
      <c r="L452" s="39"/>
      <c r="M452" s="39"/>
    </row>
    <row r="453" customFormat="false" ht="15" hidden="false" customHeight="false" outlineLevel="0" collapsed="false">
      <c r="A453" s="39"/>
      <c r="B453" s="39"/>
      <c r="C453" s="39"/>
      <c r="D453" s="39"/>
      <c r="E453" s="39"/>
      <c r="F453" s="39"/>
      <c r="G453" s="39"/>
      <c r="H453" s="39"/>
      <c r="I453" s="39"/>
      <c r="J453" s="39"/>
      <c r="K453" s="39"/>
      <c r="L453" s="39"/>
      <c r="M453" s="39"/>
    </row>
    <row r="454" customFormat="false" ht="15" hidden="false" customHeight="false" outlineLevel="0" collapsed="false">
      <c r="A454" s="39"/>
      <c r="B454" s="39"/>
      <c r="C454" s="39"/>
      <c r="D454" s="39"/>
      <c r="E454" s="39"/>
      <c r="F454" s="39"/>
      <c r="G454" s="39"/>
      <c r="H454" s="39"/>
      <c r="I454" s="39"/>
      <c r="J454" s="39"/>
      <c r="K454" s="39"/>
      <c r="L454" s="39"/>
      <c r="M454" s="39"/>
    </row>
    <row r="455" customFormat="false" ht="15" hidden="false" customHeight="false" outlineLevel="0" collapsed="false">
      <c r="A455" s="39"/>
      <c r="B455" s="39"/>
      <c r="C455" s="39"/>
      <c r="D455" s="39"/>
      <c r="E455" s="39"/>
      <c r="F455" s="39"/>
      <c r="G455" s="39"/>
      <c r="H455" s="39"/>
      <c r="I455" s="39"/>
      <c r="J455" s="39"/>
      <c r="K455" s="39"/>
      <c r="L455" s="39"/>
      <c r="M455" s="39"/>
    </row>
    <row r="456" customFormat="false" ht="15" hidden="false" customHeight="false" outlineLevel="0" collapsed="false">
      <c r="A456" s="39"/>
      <c r="B456" s="39"/>
      <c r="C456" s="39"/>
      <c r="D456" s="39"/>
      <c r="E456" s="39"/>
      <c r="F456" s="39"/>
      <c r="G456" s="39"/>
      <c r="H456" s="39"/>
      <c r="I456" s="39"/>
      <c r="J456" s="39"/>
      <c r="K456" s="39"/>
      <c r="L456" s="39"/>
      <c r="M456" s="39"/>
    </row>
    <row r="457" customFormat="false" ht="15" hidden="false" customHeight="false" outlineLevel="0" collapsed="false">
      <c r="A457" s="39"/>
      <c r="B457" s="39"/>
      <c r="C457" s="39"/>
      <c r="D457" s="39"/>
      <c r="E457" s="39"/>
      <c r="F457" s="39"/>
      <c r="G457" s="39"/>
      <c r="H457" s="39"/>
      <c r="I457" s="39"/>
      <c r="J457" s="39"/>
      <c r="K457" s="39"/>
      <c r="L457" s="39"/>
      <c r="M457" s="39"/>
    </row>
    <row r="458" customFormat="false" ht="15" hidden="false" customHeight="false" outlineLevel="0" collapsed="false">
      <c r="A458" s="39"/>
      <c r="B458" s="39"/>
      <c r="C458" s="39"/>
      <c r="D458" s="39"/>
      <c r="E458" s="39"/>
      <c r="F458" s="39"/>
      <c r="G458" s="39"/>
      <c r="H458" s="39"/>
      <c r="I458" s="39"/>
      <c r="J458" s="39"/>
      <c r="K458" s="39"/>
      <c r="L458" s="39"/>
      <c r="M458" s="39"/>
    </row>
    <row r="459" customFormat="false" ht="15" hidden="false" customHeight="false" outlineLevel="0" collapsed="false">
      <c r="A459" s="39"/>
      <c r="B459" s="39"/>
      <c r="C459" s="39"/>
      <c r="D459" s="39"/>
      <c r="E459" s="39"/>
      <c r="F459" s="39"/>
      <c r="G459" s="39"/>
      <c r="H459" s="39"/>
      <c r="I459" s="39"/>
      <c r="J459" s="39"/>
      <c r="K459" s="39"/>
      <c r="L459" s="39"/>
      <c r="M459" s="39"/>
    </row>
    <row r="460" customFormat="false" ht="15" hidden="false" customHeight="false" outlineLevel="0" collapsed="false">
      <c r="A460" s="39"/>
      <c r="B460" s="39"/>
      <c r="C460" s="39"/>
      <c r="D460" s="39"/>
      <c r="E460" s="39"/>
      <c r="F460" s="39"/>
      <c r="G460" s="39"/>
      <c r="H460" s="39"/>
      <c r="I460" s="39"/>
      <c r="J460" s="39"/>
      <c r="K460" s="39"/>
      <c r="L460" s="39"/>
      <c r="M460" s="39"/>
    </row>
    <row r="461" customFormat="false" ht="15" hidden="false" customHeight="false" outlineLevel="0" collapsed="false">
      <c r="A461" s="39"/>
      <c r="B461" s="39"/>
      <c r="C461" s="39"/>
      <c r="D461" s="39"/>
      <c r="E461" s="39"/>
      <c r="F461" s="39"/>
      <c r="G461" s="39"/>
      <c r="H461" s="39"/>
      <c r="I461" s="39"/>
      <c r="J461" s="39"/>
      <c r="K461" s="39"/>
      <c r="L461" s="39"/>
      <c r="M461" s="39"/>
    </row>
    <row r="462" customFormat="false" ht="15" hidden="false" customHeight="false" outlineLevel="0" collapsed="false">
      <c r="A462" s="39"/>
      <c r="B462" s="39"/>
      <c r="C462" s="39"/>
      <c r="D462" s="39"/>
      <c r="E462" s="39"/>
      <c r="F462" s="39"/>
      <c r="G462" s="39"/>
      <c r="H462" s="39"/>
      <c r="I462" s="39"/>
      <c r="J462" s="39"/>
      <c r="K462" s="39"/>
      <c r="L462" s="39"/>
      <c r="M462" s="39"/>
    </row>
    <row r="463" customFormat="false" ht="15" hidden="false" customHeight="false" outlineLevel="0" collapsed="false">
      <c r="A463" s="39"/>
      <c r="B463" s="39"/>
      <c r="C463" s="39"/>
      <c r="D463" s="39"/>
      <c r="E463" s="39"/>
      <c r="F463" s="39"/>
      <c r="G463" s="39"/>
      <c r="H463" s="39"/>
      <c r="I463" s="39"/>
      <c r="J463" s="39"/>
      <c r="K463" s="39"/>
      <c r="L463" s="39"/>
      <c r="M463" s="39"/>
    </row>
    <row r="464" customFormat="false" ht="15" hidden="false" customHeight="false" outlineLevel="0" collapsed="false">
      <c r="A464" s="39"/>
      <c r="B464" s="39"/>
      <c r="C464" s="39"/>
      <c r="D464" s="39"/>
      <c r="E464" s="39"/>
      <c r="F464" s="39"/>
      <c r="G464" s="39"/>
      <c r="H464" s="39"/>
      <c r="I464" s="39"/>
      <c r="J464" s="39"/>
      <c r="K464" s="39"/>
      <c r="L464" s="39"/>
      <c r="M464" s="39"/>
    </row>
    <row r="465" customFormat="false" ht="15" hidden="false" customHeight="false" outlineLevel="0" collapsed="false">
      <c r="A465" s="39"/>
      <c r="B465" s="39"/>
      <c r="C465" s="39"/>
      <c r="D465" s="39"/>
      <c r="E465" s="39"/>
      <c r="F465" s="39"/>
      <c r="G465" s="39"/>
      <c r="H465" s="39"/>
      <c r="I465" s="39"/>
      <c r="J465" s="39"/>
      <c r="K465" s="39"/>
      <c r="L465" s="39"/>
      <c r="M465" s="39"/>
    </row>
    <row r="466" customFormat="false" ht="15" hidden="false" customHeight="false" outlineLevel="0" collapsed="false">
      <c r="A466" s="39"/>
      <c r="B466" s="39"/>
      <c r="C466" s="39"/>
      <c r="D466" s="39"/>
      <c r="E466" s="39"/>
      <c r="F466" s="39"/>
      <c r="G466" s="39"/>
      <c r="H466" s="39"/>
      <c r="I466" s="39"/>
      <c r="J466" s="39"/>
      <c r="K466" s="39"/>
      <c r="L466" s="39"/>
      <c r="M466" s="39"/>
    </row>
    <row r="467" customFormat="false" ht="15" hidden="false" customHeight="false" outlineLevel="0" collapsed="false">
      <c r="A467" s="39"/>
      <c r="B467" s="39"/>
      <c r="C467" s="39"/>
      <c r="D467" s="39"/>
      <c r="E467" s="39"/>
      <c r="F467" s="39"/>
      <c r="G467" s="39"/>
      <c r="H467" s="39"/>
      <c r="I467" s="39"/>
      <c r="J467" s="39"/>
      <c r="K467" s="39"/>
      <c r="L467" s="39"/>
      <c r="M467" s="39"/>
    </row>
    <row r="468" customFormat="false" ht="15" hidden="false" customHeight="false" outlineLevel="0" collapsed="false">
      <c r="A468" s="39"/>
      <c r="B468" s="39"/>
      <c r="C468" s="39"/>
      <c r="D468" s="39"/>
      <c r="E468" s="39"/>
      <c r="F468" s="39"/>
      <c r="G468" s="39"/>
      <c r="H468" s="39"/>
      <c r="I468" s="39"/>
      <c r="J468" s="39"/>
      <c r="K468" s="39"/>
      <c r="L468" s="39"/>
      <c r="M468" s="39"/>
    </row>
    <row r="469" customFormat="false" ht="15" hidden="false" customHeight="false" outlineLevel="0" collapsed="false">
      <c r="A469" s="39"/>
      <c r="B469" s="39"/>
      <c r="C469" s="39"/>
      <c r="D469" s="39"/>
      <c r="E469" s="39"/>
      <c r="F469" s="39"/>
      <c r="G469" s="39"/>
      <c r="H469" s="39"/>
      <c r="I469" s="39"/>
      <c r="J469" s="39"/>
      <c r="K469" s="39"/>
      <c r="L469" s="39"/>
      <c r="M469" s="39"/>
    </row>
    <row r="470" customFormat="false" ht="15" hidden="false" customHeight="false" outlineLevel="0" collapsed="false">
      <c r="A470" s="39"/>
      <c r="B470" s="39"/>
      <c r="C470" s="39"/>
      <c r="D470" s="39"/>
      <c r="E470" s="39"/>
      <c r="F470" s="39"/>
      <c r="G470" s="39"/>
      <c r="H470" s="39"/>
      <c r="I470" s="39"/>
      <c r="J470" s="39"/>
      <c r="K470" s="39"/>
      <c r="L470" s="39"/>
      <c r="M470" s="39"/>
    </row>
    <row r="471" customFormat="false" ht="15" hidden="false" customHeight="false" outlineLevel="0" collapsed="false">
      <c r="A471" s="39"/>
      <c r="B471" s="39"/>
      <c r="C471" s="39"/>
      <c r="D471" s="39"/>
      <c r="E471" s="39"/>
      <c r="F471" s="39"/>
      <c r="G471" s="39"/>
      <c r="H471" s="39"/>
      <c r="I471" s="39"/>
      <c r="J471" s="39"/>
      <c r="K471" s="39"/>
      <c r="L471" s="39"/>
      <c r="M471" s="39"/>
    </row>
    <row r="472" customFormat="false" ht="15" hidden="false" customHeight="false" outlineLevel="0" collapsed="false">
      <c r="A472" s="39"/>
      <c r="B472" s="39"/>
      <c r="C472" s="39"/>
      <c r="D472" s="39"/>
      <c r="E472" s="39"/>
      <c r="F472" s="39"/>
      <c r="G472" s="39"/>
      <c r="H472" s="39"/>
      <c r="I472" s="39"/>
      <c r="J472" s="39"/>
      <c r="K472" s="39"/>
      <c r="L472" s="39"/>
      <c r="M472" s="39"/>
    </row>
    <row r="473" customFormat="false" ht="15" hidden="false" customHeight="false" outlineLevel="0" collapsed="false">
      <c r="A473" s="39"/>
      <c r="B473" s="39"/>
      <c r="C473" s="39"/>
      <c r="D473" s="39"/>
      <c r="E473" s="39"/>
      <c r="F473" s="39"/>
      <c r="G473" s="39"/>
      <c r="H473" s="39"/>
      <c r="I473" s="39"/>
      <c r="J473" s="39"/>
      <c r="K473" s="39"/>
      <c r="L473" s="39"/>
      <c r="M473" s="39"/>
    </row>
    <row r="474" customFormat="false" ht="15" hidden="false" customHeight="false" outlineLevel="0" collapsed="false">
      <c r="A474" s="39"/>
      <c r="B474" s="39"/>
      <c r="C474" s="39"/>
      <c r="D474" s="39"/>
      <c r="E474" s="39"/>
      <c r="F474" s="39"/>
      <c r="G474" s="39"/>
      <c r="H474" s="39"/>
      <c r="I474" s="39"/>
      <c r="J474" s="39"/>
      <c r="K474" s="39"/>
      <c r="L474" s="39"/>
      <c r="M474" s="39"/>
    </row>
    <row r="475" customFormat="false" ht="15" hidden="false" customHeight="false" outlineLevel="0" collapsed="false">
      <c r="A475" s="39"/>
      <c r="B475" s="39"/>
      <c r="C475" s="39"/>
      <c r="D475" s="39"/>
      <c r="E475" s="39"/>
      <c r="F475" s="39"/>
      <c r="G475" s="39"/>
      <c r="H475" s="39"/>
      <c r="I475" s="39"/>
      <c r="J475" s="39"/>
      <c r="K475" s="39"/>
      <c r="L475" s="39"/>
      <c r="M475" s="39"/>
    </row>
    <row r="476" customFormat="false" ht="15" hidden="false" customHeight="false" outlineLevel="0" collapsed="false">
      <c r="A476" s="39"/>
      <c r="B476" s="39"/>
      <c r="C476" s="39"/>
      <c r="D476" s="39"/>
      <c r="E476" s="39"/>
      <c r="F476" s="39"/>
      <c r="G476" s="39"/>
      <c r="H476" s="39"/>
      <c r="I476" s="39"/>
      <c r="J476" s="39"/>
      <c r="K476" s="39"/>
      <c r="L476" s="39"/>
      <c r="M476" s="39"/>
    </row>
    <row r="477" customFormat="false" ht="15" hidden="false" customHeight="false" outlineLevel="0" collapsed="false">
      <c r="A477" s="39"/>
      <c r="B477" s="39"/>
      <c r="C477" s="39"/>
      <c r="D477" s="39"/>
      <c r="E477" s="39"/>
      <c r="F477" s="39"/>
      <c r="G477" s="39"/>
      <c r="H477" s="39"/>
      <c r="I477" s="39"/>
      <c r="J477" s="39"/>
      <c r="K477" s="39"/>
      <c r="L477" s="39"/>
      <c r="M477" s="39"/>
    </row>
    <row r="478" customFormat="false" ht="15" hidden="false" customHeight="false" outlineLevel="0" collapsed="false">
      <c r="A478" s="39"/>
      <c r="B478" s="39"/>
      <c r="C478" s="39"/>
      <c r="D478" s="39"/>
      <c r="E478" s="39"/>
      <c r="F478" s="39"/>
      <c r="G478" s="39"/>
      <c r="H478" s="39"/>
      <c r="I478" s="39"/>
      <c r="J478" s="39"/>
      <c r="K478" s="39"/>
      <c r="L478" s="39"/>
      <c r="M478" s="39"/>
    </row>
    <row r="479" customFormat="false" ht="15" hidden="false" customHeight="false" outlineLevel="0" collapsed="false">
      <c r="A479" s="39"/>
      <c r="B479" s="39"/>
      <c r="C479" s="39"/>
      <c r="D479" s="39"/>
      <c r="E479" s="39"/>
      <c r="F479" s="39"/>
      <c r="G479" s="39"/>
      <c r="H479" s="39"/>
      <c r="I479" s="39"/>
      <c r="J479" s="39"/>
      <c r="K479" s="39"/>
      <c r="L479" s="39"/>
      <c r="M479" s="39"/>
    </row>
    <row r="480" customFormat="false" ht="15" hidden="false" customHeight="false" outlineLevel="0" collapsed="false">
      <c r="A480" s="39"/>
      <c r="B480" s="39"/>
      <c r="C480" s="39"/>
      <c r="D480" s="39"/>
      <c r="E480" s="39"/>
      <c r="F480" s="39"/>
      <c r="G480" s="39"/>
      <c r="H480" s="39"/>
      <c r="I480" s="39"/>
      <c r="J480" s="39"/>
      <c r="K480" s="39"/>
      <c r="L480" s="39"/>
      <c r="M480" s="39"/>
    </row>
    <row r="481" customFormat="false" ht="15" hidden="false" customHeight="false" outlineLevel="0" collapsed="false">
      <c r="A481" s="39"/>
      <c r="B481" s="39"/>
      <c r="C481" s="39"/>
      <c r="D481" s="39"/>
      <c r="E481" s="39"/>
      <c r="F481" s="39"/>
      <c r="G481" s="39"/>
      <c r="H481" s="39"/>
      <c r="I481" s="39"/>
      <c r="J481" s="39"/>
      <c r="K481" s="39"/>
      <c r="L481" s="39"/>
      <c r="M481" s="39"/>
    </row>
    <row r="482" customFormat="false" ht="15" hidden="false" customHeight="false" outlineLevel="0" collapsed="false">
      <c r="A482" s="39"/>
      <c r="B482" s="39"/>
      <c r="C482" s="39"/>
      <c r="D482" s="39"/>
      <c r="E482" s="39"/>
      <c r="F482" s="39"/>
      <c r="G482" s="39"/>
      <c r="H482" s="39"/>
      <c r="I482" s="39"/>
      <c r="J482" s="39"/>
      <c r="K482" s="39"/>
      <c r="L482" s="39"/>
      <c r="M482" s="39"/>
    </row>
    <row r="483" customFormat="false" ht="15" hidden="false" customHeight="false" outlineLevel="0" collapsed="false">
      <c r="A483" s="39"/>
      <c r="B483" s="39"/>
      <c r="C483" s="39"/>
      <c r="D483" s="39"/>
      <c r="E483" s="39"/>
      <c r="F483" s="39"/>
      <c r="G483" s="39"/>
      <c r="H483" s="39"/>
      <c r="I483" s="39"/>
      <c r="J483" s="39"/>
      <c r="K483" s="39"/>
      <c r="L483" s="39"/>
      <c r="M483" s="39"/>
    </row>
    <row r="484" customFormat="false" ht="15" hidden="false" customHeight="false" outlineLevel="0" collapsed="false">
      <c r="A484" s="39"/>
      <c r="B484" s="39"/>
      <c r="C484" s="39"/>
      <c r="D484" s="39"/>
      <c r="E484" s="39"/>
      <c r="F484" s="39"/>
      <c r="G484" s="39"/>
      <c r="H484" s="39"/>
      <c r="I484" s="39"/>
      <c r="J484" s="39"/>
      <c r="K484" s="39"/>
      <c r="L484" s="39"/>
      <c r="M484" s="39"/>
    </row>
    <row r="485" customFormat="false" ht="15" hidden="false" customHeight="false" outlineLevel="0" collapsed="false">
      <c r="A485" s="39"/>
      <c r="B485" s="39"/>
      <c r="C485" s="39"/>
      <c r="D485" s="39"/>
      <c r="E485" s="39"/>
      <c r="F485" s="39"/>
      <c r="G485" s="39"/>
      <c r="H485" s="39"/>
      <c r="I485" s="39"/>
      <c r="J485" s="39"/>
      <c r="K485" s="39"/>
      <c r="L485" s="39"/>
      <c r="M485" s="39"/>
    </row>
    <row r="486" customFormat="false" ht="15" hidden="false" customHeight="false" outlineLevel="0" collapsed="false">
      <c r="A486" s="39"/>
      <c r="B486" s="39"/>
      <c r="C486" s="39"/>
      <c r="D486" s="39"/>
      <c r="E486" s="39"/>
      <c r="F486" s="39"/>
      <c r="G486" s="39"/>
      <c r="H486" s="39"/>
      <c r="I486" s="39"/>
      <c r="J486" s="39"/>
      <c r="K486" s="39"/>
      <c r="L486" s="39"/>
      <c r="M486" s="39"/>
    </row>
    <row r="487" customFormat="false" ht="15" hidden="false" customHeight="false" outlineLevel="0" collapsed="false">
      <c r="A487" s="39"/>
      <c r="B487" s="39"/>
      <c r="C487" s="39"/>
      <c r="D487" s="39"/>
      <c r="E487" s="39"/>
      <c r="F487" s="39"/>
      <c r="G487" s="39"/>
      <c r="H487" s="39"/>
      <c r="I487" s="39"/>
      <c r="J487" s="39"/>
      <c r="K487" s="39"/>
      <c r="L487" s="39"/>
      <c r="M487" s="39"/>
    </row>
    <row r="488" customFormat="false" ht="15" hidden="false" customHeight="false" outlineLevel="0" collapsed="false">
      <c r="A488" s="39"/>
      <c r="B488" s="39"/>
      <c r="C488" s="39"/>
      <c r="D488" s="39"/>
      <c r="E488" s="39"/>
      <c r="F488" s="39"/>
      <c r="G488" s="39"/>
      <c r="H488" s="39"/>
      <c r="I488" s="39"/>
      <c r="J488" s="39"/>
      <c r="K488" s="39"/>
      <c r="L488" s="39"/>
      <c r="M488" s="39"/>
    </row>
    <row r="489" customFormat="false" ht="15" hidden="false" customHeight="false" outlineLevel="0" collapsed="false">
      <c r="A489" s="39"/>
      <c r="B489" s="39"/>
      <c r="C489" s="39"/>
      <c r="D489" s="39"/>
      <c r="E489" s="39"/>
      <c r="F489" s="39"/>
      <c r="G489" s="39"/>
      <c r="H489" s="39"/>
      <c r="I489" s="39"/>
      <c r="J489" s="39"/>
      <c r="K489" s="39"/>
      <c r="L489" s="39"/>
      <c r="M489" s="39"/>
    </row>
    <row r="490" customFormat="false" ht="15" hidden="false" customHeight="false" outlineLevel="0" collapsed="false">
      <c r="A490" s="39"/>
      <c r="B490" s="39"/>
      <c r="C490" s="39"/>
      <c r="D490" s="39"/>
      <c r="E490" s="39"/>
      <c r="F490" s="39"/>
      <c r="G490" s="39"/>
      <c r="H490" s="39"/>
      <c r="I490" s="39"/>
      <c r="J490" s="39"/>
      <c r="K490" s="39"/>
      <c r="L490" s="39"/>
      <c r="M490" s="39"/>
    </row>
    <row r="491" customFormat="false" ht="15" hidden="false" customHeight="false" outlineLevel="0" collapsed="false">
      <c r="A491" s="39"/>
      <c r="B491" s="39"/>
      <c r="C491" s="39"/>
      <c r="D491" s="39"/>
      <c r="E491" s="39"/>
      <c r="F491" s="39"/>
      <c r="G491" s="39"/>
      <c r="H491" s="39"/>
      <c r="I491" s="39"/>
      <c r="J491" s="39"/>
      <c r="K491" s="39"/>
      <c r="L491" s="39"/>
      <c r="M491" s="39"/>
    </row>
    <row r="492" customFormat="false" ht="15" hidden="false" customHeight="false" outlineLevel="0" collapsed="false">
      <c r="A492" s="39"/>
      <c r="B492" s="39"/>
      <c r="C492" s="39"/>
      <c r="D492" s="39"/>
      <c r="E492" s="39"/>
      <c r="F492" s="39"/>
      <c r="G492" s="39"/>
      <c r="H492" s="39"/>
      <c r="I492" s="39"/>
      <c r="J492" s="39"/>
      <c r="K492" s="39"/>
      <c r="L492" s="39"/>
      <c r="M492" s="39"/>
    </row>
    <row r="493" customFormat="false" ht="15" hidden="false" customHeight="false" outlineLevel="0" collapsed="false">
      <c r="A493" s="39"/>
      <c r="B493" s="39"/>
      <c r="C493" s="39"/>
      <c r="D493" s="39"/>
      <c r="E493" s="39"/>
      <c r="F493" s="39"/>
      <c r="G493" s="39"/>
      <c r="H493" s="39"/>
      <c r="I493" s="39"/>
      <c r="J493" s="39"/>
      <c r="K493" s="39"/>
      <c r="L493" s="39"/>
      <c r="M493" s="39"/>
    </row>
    <row r="494" customFormat="false" ht="15" hidden="false" customHeight="false" outlineLevel="0" collapsed="false">
      <c r="A494" s="39"/>
      <c r="B494" s="39"/>
      <c r="C494" s="39"/>
      <c r="D494" s="39"/>
      <c r="E494" s="39"/>
      <c r="F494" s="39"/>
      <c r="G494" s="39"/>
      <c r="H494" s="39"/>
      <c r="I494" s="39"/>
      <c r="J494" s="39"/>
      <c r="K494" s="39"/>
      <c r="L494" s="39"/>
      <c r="M494" s="39"/>
    </row>
    <row r="495" customFormat="false" ht="15" hidden="false" customHeight="false" outlineLevel="0" collapsed="false">
      <c r="A495" s="39"/>
      <c r="B495" s="39"/>
      <c r="C495" s="39"/>
      <c r="D495" s="39"/>
      <c r="E495" s="39"/>
      <c r="F495" s="39"/>
      <c r="G495" s="39"/>
      <c r="H495" s="39"/>
      <c r="I495" s="39"/>
      <c r="J495" s="39"/>
      <c r="K495" s="39"/>
      <c r="L495" s="39"/>
      <c r="M495" s="39"/>
    </row>
    <row r="496" customFormat="false" ht="15" hidden="false" customHeight="false" outlineLevel="0" collapsed="false">
      <c r="A496" s="39"/>
      <c r="B496" s="39"/>
      <c r="C496" s="39"/>
      <c r="D496" s="39"/>
      <c r="E496" s="39"/>
      <c r="F496" s="39"/>
      <c r="G496" s="39"/>
      <c r="H496" s="39"/>
      <c r="I496" s="39"/>
      <c r="J496" s="39"/>
      <c r="K496" s="39"/>
      <c r="L496" s="39"/>
      <c r="M496" s="39"/>
    </row>
    <row r="497" customFormat="false" ht="15" hidden="false" customHeight="false" outlineLevel="0" collapsed="false">
      <c r="A497" s="39"/>
      <c r="B497" s="39"/>
      <c r="C497" s="39"/>
      <c r="D497" s="39"/>
      <c r="E497" s="39"/>
      <c r="F497" s="39"/>
      <c r="G497" s="39"/>
      <c r="H497" s="39"/>
      <c r="I497" s="39"/>
      <c r="J497" s="39"/>
      <c r="K497" s="39"/>
      <c r="L497" s="39"/>
      <c r="M497" s="39"/>
    </row>
    <row r="498" customFormat="false" ht="15" hidden="false" customHeight="false" outlineLevel="0" collapsed="false">
      <c r="A498" s="39"/>
      <c r="B498" s="39"/>
      <c r="C498" s="39"/>
      <c r="D498" s="39"/>
      <c r="E498" s="39"/>
      <c r="F498" s="39"/>
      <c r="G498" s="39"/>
      <c r="H498" s="39"/>
      <c r="I498" s="39"/>
      <c r="J498" s="39"/>
      <c r="K498" s="39"/>
      <c r="L498" s="39"/>
      <c r="M498" s="39"/>
    </row>
    <row r="499" customFormat="false" ht="15" hidden="false" customHeight="false" outlineLevel="0" collapsed="false">
      <c r="A499" s="39"/>
      <c r="B499" s="39"/>
      <c r="C499" s="39"/>
      <c r="D499" s="39"/>
      <c r="E499" s="39"/>
      <c r="F499" s="39"/>
      <c r="G499" s="39"/>
      <c r="H499" s="39"/>
      <c r="I499" s="39"/>
      <c r="J499" s="39"/>
      <c r="K499" s="39"/>
      <c r="L499" s="39"/>
      <c r="M499" s="39"/>
    </row>
    <row r="500" customFormat="false" ht="15" hidden="false" customHeight="false" outlineLevel="0" collapsed="false">
      <c r="A500" s="39"/>
      <c r="B500" s="39"/>
      <c r="C500" s="39"/>
      <c r="D500" s="39"/>
      <c r="E500" s="39"/>
      <c r="F500" s="39"/>
      <c r="G500" s="39"/>
      <c r="H500" s="39"/>
      <c r="I500" s="39"/>
      <c r="J500" s="39"/>
      <c r="K500" s="39"/>
      <c r="L500" s="39"/>
      <c r="M500" s="39"/>
    </row>
    <row r="501" customFormat="false" ht="15" hidden="false" customHeight="false" outlineLevel="0" collapsed="false">
      <c r="A501" s="39"/>
      <c r="B501" s="39"/>
      <c r="C501" s="39"/>
      <c r="D501" s="39"/>
      <c r="E501" s="39"/>
      <c r="F501" s="39"/>
      <c r="G501" s="39"/>
      <c r="H501" s="39"/>
      <c r="I501" s="39"/>
      <c r="J501" s="39"/>
      <c r="K501" s="39"/>
      <c r="L501" s="39"/>
      <c r="M501" s="39"/>
    </row>
    <row r="502" customFormat="false" ht="15" hidden="false" customHeight="false" outlineLevel="0" collapsed="false">
      <c r="A502" s="39"/>
      <c r="B502" s="39"/>
      <c r="C502" s="39"/>
      <c r="D502" s="39"/>
      <c r="E502" s="39"/>
      <c r="F502" s="39"/>
      <c r="G502" s="39"/>
      <c r="H502" s="39"/>
      <c r="I502" s="39"/>
      <c r="J502" s="39"/>
      <c r="K502" s="39"/>
      <c r="L502" s="39"/>
      <c r="M502" s="39"/>
    </row>
    <row r="503" customFormat="false" ht="15" hidden="false" customHeight="false" outlineLevel="0" collapsed="false">
      <c r="A503" s="39"/>
      <c r="B503" s="39"/>
      <c r="C503" s="39"/>
      <c r="D503" s="39"/>
      <c r="E503" s="39"/>
      <c r="F503" s="39"/>
      <c r="G503" s="39"/>
      <c r="H503" s="39"/>
      <c r="I503" s="39"/>
      <c r="J503" s="39"/>
      <c r="K503" s="39"/>
      <c r="L503" s="39"/>
      <c r="M503" s="39"/>
    </row>
    <row r="504" customFormat="false" ht="15" hidden="false" customHeight="false" outlineLevel="0" collapsed="false">
      <c r="A504" s="39"/>
      <c r="B504" s="39"/>
      <c r="C504" s="39"/>
      <c r="D504" s="39"/>
      <c r="E504" s="39"/>
      <c r="F504" s="39"/>
      <c r="G504" s="39"/>
      <c r="H504" s="39"/>
      <c r="I504" s="39"/>
      <c r="J504" s="39"/>
      <c r="K504" s="39"/>
      <c r="L504" s="39"/>
      <c r="M504" s="39"/>
    </row>
    <row r="505" customFormat="false" ht="15" hidden="false" customHeight="false" outlineLevel="0" collapsed="false">
      <c r="A505" s="39"/>
      <c r="B505" s="39"/>
      <c r="C505" s="39"/>
      <c r="D505" s="39"/>
      <c r="E505" s="39"/>
      <c r="F505" s="39"/>
      <c r="G505" s="39"/>
      <c r="H505" s="39"/>
      <c r="I505" s="39"/>
      <c r="J505" s="39"/>
      <c r="K505" s="39"/>
      <c r="L505" s="39"/>
      <c r="M505" s="39"/>
    </row>
    <row r="506" customFormat="false" ht="15" hidden="false" customHeight="false" outlineLevel="0" collapsed="false">
      <c r="A506" s="39"/>
      <c r="B506" s="39"/>
      <c r="C506" s="39"/>
      <c r="D506" s="39"/>
      <c r="E506" s="39"/>
      <c r="F506" s="39"/>
      <c r="G506" s="39"/>
      <c r="H506" s="39"/>
      <c r="I506" s="39"/>
      <c r="J506" s="39"/>
      <c r="K506" s="39"/>
      <c r="L506" s="39"/>
      <c r="M506" s="39"/>
    </row>
    <row r="507" customFormat="false" ht="15" hidden="false" customHeight="false" outlineLevel="0" collapsed="false">
      <c r="A507" s="39"/>
      <c r="B507" s="39"/>
      <c r="C507" s="39"/>
      <c r="D507" s="39"/>
      <c r="E507" s="39"/>
      <c r="F507" s="39"/>
      <c r="G507" s="39"/>
      <c r="H507" s="39"/>
      <c r="I507" s="39"/>
      <c r="J507" s="39"/>
      <c r="K507" s="39"/>
      <c r="L507" s="39"/>
      <c r="M507" s="39"/>
    </row>
    <row r="508" customFormat="false" ht="15" hidden="false" customHeight="false" outlineLevel="0" collapsed="false">
      <c r="A508" s="39"/>
      <c r="B508" s="39"/>
      <c r="C508" s="39"/>
      <c r="D508" s="39"/>
      <c r="E508" s="39"/>
      <c r="F508" s="39"/>
      <c r="G508" s="39"/>
      <c r="H508" s="39"/>
      <c r="I508" s="39"/>
      <c r="J508" s="39"/>
      <c r="K508" s="39"/>
      <c r="L508" s="39"/>
      <c r="M508" s="39"/>
    </row>
    <row r="509" customFormat="false" ht="15" hidden="false" customHeight="false" outlineLevel="0" collapsed="false">
      <c r="A509" s="39"/>
      <c r="B509" s="39"/>
      <c r="C509" s="39"/>
      <c r="D509" s="39"/>
      <c r="E509" s="39"/>
      <c r="F509" s="39"/>
      <c r="G509" s="39"/>
      <c r="H509" s="39"/>
      <c r="I509" s="39"/>
      <c r="J509" s="39"/>
      <c r="K509" s="39"/>
      <c r="L509" s="39"/>
      <c r="M509" s="39"/>
    </row>
    <row r="510" customFormat="false" ht="15" hidden="false" customHeight="false" outlineLevel="0" collapsed="false">
      <c r="A510" s="39"/>
      <c r="B510" s="39"/>
      <c r="C510" s="39"/>
      <c r="D510" s="39"/>
      <c r="E510" s="39"/>
      <c r="F510" s="39"/>
      <c r="G510" s="39"/>
      <c r="H510" s="39"/>
      <c r="I510" s="39"/>
      <c r="J510" s="39"/>
      <c r="K510" s="39"/>
      <c r="L510" s="39"/>
      <c r="M510" s="39"/>
    </row>
    <row r="511" customFormat="false" ht="15" hidden="false" customHeight="false" outlineLevel="0" collapsed="false">
      <c r="A511" s="39"/>
      <c r="B511" s="39"/>
      <c r="C511" s="39"/>
      <c r="D511" s="39"/>
      <c r="E511" s="39"/>
      <c r="F511" s="39"/>
      <c r="G511" s="39"/>
      <c r="H511" s="39"/>
      <c r="I511" s="39"/>
      <c r="J511" s="39"/>
      <c r="K511" s="39"/>
      <c r="L511" s="39"/>
      <c r="M511" s="39"/>
    </row>
    <row r="512" customFormat="false" ht="15" hidden="false" customHeight="false" outlineLevel="0" collapsed="false">
      <c r="A512" s="39"/>
      <c r="B512" s="39"/>
      <c r="C512" s="39"/>
      <c r="D512" s="39"/>
      <c r="E512" s="39"/>
      <c r="F512" s="39"/>
      <c r="G512" s="39"/>
      <c r="H512" s="39"/>
      <c r="I512" s="39"/>
      <c r="J512" s="39"/>
      <c r="K512" s="39"/>
      <c r="L512" s="39"/>
      <c r="M512" s="39"/>
    </row>
    <row r="513" customFormat="false" ht="15" hidden="false" customHeight="false" outlineLevel="0" collapsed="false">
      <c r="A513" s="39"/>
      <c r="B513" s="39"/>
      <c r="C513" s="39"/>
      <c r="D513" s="39"/>
      <c r="E513" s="39"/>
      <c r="F513" s="39"/>
      <c r="G513" s="39"/>
      <c r="H513" s="39"/>
      <c r="I513" s="39"/>
      <c r="J513" s="39"/>
      <c r="K513" s="39"/>
      <c r="L513" s="39"/>
      <c r="M513" s="39"/>
    </row>
    <row r="514" customFormat="false" ht="15" hidden="false" customHeight="false" outlineLevel="0" collapsed="false">
      <c r="A514" s="39"/>
      <c r="B514" s="39"/>
      <c r="C514" s="39"/>
      <c r="D514" s="39"/>
      <c r="E514" s="39"/>
      <c r="F514" s="39"/>
      <c r="G514" s="39"/>
      <c r="H514" s="39"/>
      <c r="I514" s="39"/>
      <c r="J514" s="39"/>
      <c r="K514" s="39"/>
      <c r="L514" s="39"/>
      <c r="M514" s="39"/>
    </row>
    <row r="515" customFormat="false" ht="15" hidden="false" customHeight="false" outlineLevel="0" collapsed="false">
      <c r="A515" s="39"/>
      <c r="B515" s="39"/>
      <c r="C515" s="39"/>
      <c r="D515" s="39"/>
      <c r="E515" s="39"/>
      <c r="F515" s="39"/>
      <c r="G515" s="39"/>
      <c r="H515" s="39"/>
      <c r="I515" s="39"/>
      <c r="J515" s="39"/>
      <c r="K515" s="39"/>
      <c r="L515" s="39"/>
      <c r="M515" s="39"/>
    </row>
    <row r="516" customFormat="false" ht="15" hidden="false" customHeight="false" outlineLevel="0" collapsed="false">
      <c r="A516" s="39"/>
      <c r="B516" s="39"/>
      <c r="C516" s="39"/>
      <c r="D516" s="39"/>
      <c r="E516" s="39"/>
      <c r="F516" s="39"/>
      <c r="G516" s="39"/>
      <c r="H516" s="39"/>
      <c r="I516" s="39"/>
      <c r="J516" s="39"/>
      <c r="K516" s="39"/>
      <c r="L516" s="39"/>
      <c r="M516" s="39"/>
    </row>
    <row r="517" customFormat="false" ht="15" hidden="false" customHeight="false" outlineLevel="0" collapsed="false">
      <c r="A517" s="39"/>
      <c r="B517" s="39"/>
      <c r="C517" s="39"/>
      <c r="D517" s="39"/>
      <c r="E517" s="39"/>
      <c r="F517" s="39"/>
      <c r="G517" s="39"/>
      <c r="H517" s="39"/>
      <c r="I517" s="39"/>
      <c r="J517" s="39"/>
      <c r="K517" s="39"/>
      <c r="L517" s="39"/>
      <c r="M517" s="39"/>
    </row>
    <row r="518" customFormat="false" ht="15" hidden="false" customHeight="false" outlineLevel="0" collapsed="false">
      <c r="A518" s="39"/>
      <c r="B518" s="39"/>
      <c r="C518" s="39"/>
      <c r="D518" s="39"/>
      <c r="E518" s="39"/>
      <c r="F518" s="39"/>
      <c r="G518" s="39"/>
      <c r="H518" s="39"/>
      <c r="I518" s="39"/>
      <c r="J518" s="39"/>
      <c r="K518" s="39"/>
      <c r="L518" s="39"/>
      <c r="M518" s="39"/>
    </row>
    <row r="519" customFormat="false" ht="15" hidden="false" customHeight="false" outlineLevel="0" collapsed="false">
      <c r="A519" s="39"/>
      <c r="B519" s="39"/>
      <c r="C519" s="39"/>
      <c r="D519" s="39"/>
      <c r="E519" s="39"/>
      <c r="F519" s="39"/>
      <c r="G519" s="39"/>
      <c r="H519" s="39"/>
      <c r="I519" s="39"/>
      <c r="J519" s="39"/>
      <c r="K519" s="39"/>
      <c r="L519" s="39"/>
      <c r="M519" s="39"/>
    </row>
    <row r="520" customFormat="false" ht="15" hidden="false" customHeight="false" outlineLevel="0" collapsed="false">
      <c r="A520" s="39"/>
      <c r="B520" s="39"/>
      <c r="C520" s="39"/>
      <c r="D520" s="39"/>
      <c r="E520" s="39"/>
      <c r="F520" s="39"/>
      <c r="G520" s="39"/>
      <c r="H520" s="39"/>
      <c r="I520" s="39"/>
      <c r="J520" s="39"/>
      <c r="K520" s="39"/>
      <c r="L520" s="39"/>
      <c r="M520" s="39"/>
    </row>
    <row r="521" customFormat="false" ht="15" hidden="false" customHeight="false" outlineLevel="0" collapsed="false">
      <c r="A521" s="39"/>
      <c r="B521" s="39"/>
      <c r="C521" s="39"/>
      <c r="D521" s="39"/>
      <c r="E521" s="39"/>
      <c r="F521" s="39"/>
      <c r="G521" s="39"/>
      <c r="H521" s="39"/>
      <c r="I521" s="39"/>
      <c r="J521" s="39"/>
      <c r="K521" s="39"/>
      <c r="L521" s="39"/>
      <c r="M521" s="39"/>
    </row>
    <row r="522" customFormat="false" ht="15" hidden="false" customHeight="false" outlineLevel="0" collapsed="false">
      <c r="A522" s="39"/>
      <c r="B522" s="39"/>
      <c r="C522" s="39"/>
      <c r="D522" s="39"/>
      <c r="E522" s="39"/>
      <c r="F522" s="39"/>
      <c r="G522" s="39"/>
      <c r="H522" s="39"/>
      <c r="I522" s="39"/>
      <c r="J522" s="39"/>
      <c r="K522" s="39"/>
      <c r="L522" s="39"/>
      <c r="M522" s="39"/>
    </row>
    <row r="523" customFormat="false" ht="15" hidden="false" customHeight="false" outlineLevel="0" collapsed="false">
      <c r="A523" s="39"/>
      <c r="B523" s="39"/>
      <c r="C523" s="39"/>
      <c r="D523" s="39"/>
      <c r="E523" s="39"/>
      <c r="F523" s="39"/>
      <c r="G523" s="39"/>
      <c r="H523" s="39"/>
      <c r="I523" s="39"/>
      <c r="J523" s="39"/>
      <c r="K523" s="39"/>
      <c r="L523" s="39"/>
      <c r="M523" s="39"/>
    </row>
    <row r="524" customFormat="false" ht="15" hidden="false" customHeight="false" outlineLevel="0" collapsed="false">
      <c r="A524" s="39"/>
      <c r="B524" s="39"/>
      <c r="C524" s="39"/>
      <c r="D524" s="39"/>
      <c r="E524" s="39"/>
      <c r="F524" s="39"/>
      <c r="G524" s="39"/>
      <c r="H524" s="39"/>
      <c r="I524" s="39"/>
      <c r="J524" s="39"/>
      <c r="K524" s="39"/>
      <c r="L524" s="39"/>
      <c r="M524" s="39"/>
    </row>
    <row r="525" customFormat="false" ht="15" hidden="false" customHeight="false" outlineLevel="0" collapsed="false">
      <c r="A525" s="39"/>
      <c r="B525" s="39"/>
      <c r="C525" s="39"/>
      <c r="D525" s="39"/>
      <c r="E525" s="39"/>
      <c r="F525" s="39"/>
      <c r="G525" s="39"/>
      <c r="H525" s="39"/>
      <c r="I525" s="39"/>
      <c r="J525" s="39"/>
      <c r="K525" s="39"/>
      <c r="L525" s="39"/>
      <c r="M525" s="39"/>
    </row>
    <row r="526" customFormat="false" ht="15" hidden="false" customHeight="false" outlineLevel="0" collapsed="false">
      <c r="A526" s="39"/>
      <c r="B526" s="39"/>
      <c r="C526" s="39"/>
      <c r="D526" s="39"/>
      <c r="E526" s="39"/>
      <c r="F526" s="39"/>
      <c r="G526" s="39"/>
      <c r="H526" s="39"/>
      <c r="I526" s="39"/>
      <c r="J526" s="39"/>
      <c r="K526" s="39"/>
      <c r="L526" s="39"/>
      <c r="M526" s="39"/>
    </row>
    <row r="527" customFormat="false" ht="15" hidden="false" customHeight="false" outlineLevel="0" collapsed="false">
      <c r="A527" s="39"/>
      <c r="B527" s="39"/>
      <c r="C527" s="39"/>
      <c r="D527" s="39"/>
      <c r="E527" s="39"/>
      <c r="F527" s="39"/>
      <c r="G527" s="39"/>
      <c r="H527" s="39"/>
      <c r="I527" s="39"/>
      <c r="J527" s="39"/>
      <c r="K527" s="39"/>
      <c r="L527" s="39"/>
      <c r="M527" s="39"/>
    </row>
    <row r="528" customFormat="false" ht="15" hidden="false" customHeight="false" outlineLevel="0" collapsed="false">
      <c r="A528" s="39"/>
      <c r="B528" s="39"/>
      <c r="C528" s="39"/>
      <c r="D528" s="39"/>
      <c r="E528" s="39"/>
      <c r="F528" s="39"/>
      <c r="G528" s="39"/>
      <c r="H528" s="39"/>
      <c r="I528" s="39"/>
      <c r="J528" s="39"/>
      <c r="K528" s="39"/>
      <c r="L528" s="39"/>
      <c r="M528" s="39"/>
    </row>
    <row r="529" customFormat="false" ht="15" hidden="false" customHeight="false" outlineLevel="0" collapsed="false">
      <c r="A529" s="39"/>
      <c r="B529" s="39"/>
      <c r="C529" s="39"/>
      <c r="D529" s="39"/>
      <c r="E529" s="39"/>
      <c r="F529" s="39"/>
      <c r="G529" s="39"/>
      <c r="H529" s="39"/>
      <c r="I529" s="39"/>
      <c r="J529" s="39"/>
      <c r="K529" s="39"/>
      <c r="L529" s="39"/>
      <c r="M529" s="39"/>
    </row>
    <row r="530" customFormat="false" ht="15" hidden="false" customHeight="false" outlineLevel="0" collapsed="false">
      <c r="A530" s="39"/>
      <c r="B530" s="39"/>
      <c r="C530" s="39"/>
      <c r="D530" s="39"/>
      <c r="E530" s="39"/>
      <c r="F530" s="39"/>
      <c r="G530" s="39"/>
      <c r="H530" s="39"/>
      <c r="I530" s="39"/>
      <c r="J530" s="39"/>
      <c r="K530" s="39"/>
      <c r="L530" s="39"/>
      <c r="M530" s="39"/>
    </row>
    <row r="531" customFormat="false" ht="15" hidden="false" customHeight="false" outlineLevel="0" collapsed="false">
      <c r="A531" s="39"/>
      <c r="B531" s="39"/>
      <c r="C531" s="39"/>
      <c r="D531" s="39"/>
      <c r="E531" s="39"/>
      <c r="F531" s="39"/>
      <c r="G531" s="39"/>
      <c r="H531" s="39"/>
      <c r="I531" s="39"/>
      <c r="J531" s="39"/>
      <c r="K531" s="39"/>
      <c r="L531" s="39"/>
      <c r="M531" s="39"/>
    </row>
    <row r="532" customFormat="false" ht="15" hidden="false" customHeight="false" outlineLevel="0" collapsed="false">
      <c r="A532" s="39"/>
      <c r="B532" s="39"/>
      <c r="C532" s="39"/>
      <c r="D532" s="39"/>
      <c r="E532" s="39"/>
      <c r="F532" s="39"/>
      <c r="G532" s="39"/>
      <c r="H532" s="39"/>
      <c r="I532" s="39"/>
      <c r="J532" s="39"/>
      <c r="K532" s="39"/>
      <c r="L532" s="39"/>
      <c r="M532" s="39"/>
    </row>
    <row r="533" customFormat="false" ht="15" hidden="false" customHeight="false" outlineLevel="0" collapsed="false">
      <c r="A533" s="39"/>
      <c r="B533" s="39"/>
      <c r="C533" s="39"/>
      <c r="D533" s="39"/>
      <c r="E533" s="39"/>
      <c r="F533" s="39"/>
      <c r="G533" s="39"/>
      <c r="H533" s="39"/>
      <c r="I533" s="39"/>
      <c r="J533" s="39"/>
      <c r="K533" s="39"/>
      <c r="L533" s="39"/>
      <c r="M533" s="39"/>
    </row>
    <row r="534" customFormat="false" ht="15" hidden="false" customHeight="false" outlineLevel="0" collapsed="false">
      <c r="A534" s="39"/>
      <c r="B534" s="39"/>
      <c r="C534" s="39"/>
      <c r="D534" s="39"/>
      <c r="E534" s="39"/>
      <c r="F534" s="39"/>
      <c r="G534" s="39"/>
      <c r="H534" s="39"/>
      <c r="I534" s="39"/>
      <c r="J534" s="39"/>
      <c r="K534" s="39"/>
      <c r="L534" s="39"/>
      <c r="M534" s="39"/>
    </row>
    <row r="535" customFormat="false" ht="15" hidden="false" customHeight="false" outlineLevel="0" collapsed="false">
      <c r="A535" s="39"/>
      <c r="B535" s="39"/>
      <c r="C535" s="39"/>
      <c r="D535" s="39"/>
      <c r="E535" s="39"/>
      <c r="F535" s="39"/>
      <c r="G535" s="39"/>
      <c r="H535" s="39"/>
      <c r="I535" s="39"/>
      <c r="J535" s="39"/>
      <c r="K535" s="39"/>
      <c r="L535" s="39"/>
      <c r="M535" s="39"/>
    </row>
    <row r="536" customFormat="false" ht="15" hidden="false" customHeight="false" outlineLevel="0" collapsed="false">
      <c r="A536" s="39"/>
      <c r="B536" s="39"/>
      <c r="C536" s="39"/>
      <c r="D536" s="39"/>
      <c r="E536" s="39"/>
      <c r="F536" s="39"/>
      <c r="G536" s="39"/>
      <c r="H536" s="39"/>
      <c r="I536" s="39"/>
      <c r="J536" s="39"/>
      <c r="K536" s="39"/>
      <c r="L536" s="39"/>
      <c r="M536" s="39"/>
    </row>
    <row r="537" customFormat="false" ht="15" hidden="false" customHeight="false" outlineLevel="0" collapsed="false">
      <c r="A537" s="39"/>
      <c r="B537" s="39"/>
      <c r="C537" s="39"/>
      <c r="D537" s="39"/>
      <c r="E537" s="39"/>
      <c r="F537" s="39"/>
      <c r="G537" s="39"/>
      <c r="H537" s="39"/>
      <c r="I537" s="39"/>
      <c r="J537" s="39"/>
      <c r="K537" s="39"/>
      <c r="L537" s="39"/>
      <c r="M537" s="39"/>
    </row>
    <row r="538" customFormat="false" ht="15" hidden="false" customHeight="false" outlineLevel="0" collapsed="false">
      <c r="A538" s="39"/>
      <c r="B538" s="39"/>
      <c r="C538" s="39"/>
      <c r="D538" s="39"/>
      <c r="E538" s="39"/>
      <c r="F538" s="39"/>
      <c r="G538" s="39"/>
      <c r="H538" s="39"/>
      <c r="I538" s="39"/>
      <c r="J538" s="39"/>
      <c r="K538" s="39"/>
      <c r="L538" s="39"/>
      <c r="M538" s="39"/>
    </row>
    <row r="539" customFormat="false" ht="15" hidden="false" customHeight="false" outlineLevel="0" collapsed="false">
      <c r="A539" s="39"/>
      <c r="B539" s="39"/>
      <c r="C539" s="39"/>
      <c r="D539" s="39"/>
      <c r="E539" s="39"/>
      <c r="F539" s="39"/>
      <c r="G539" s="39"/>
      <c r="H539" s="39"/>
      <c r="I539" s="39"/>
      <c r="J539" s="39"/>
      <c r="K539" s="39"/>
      <c r="L539" s="39"/>
      <c r="M539" s="39"/>
    </row>
    <row r="540" customFormat="false" ht="15" hidden="false" customHeight="false" outlineLevel="0" collapsed="false">
      <c r="A540" s="39"/>
      <c r="B540" s="39"/>
      <c r="C540" s="39"/>
      <c r="D540" s="39"/>
      <c r="E540" s="39"/>
      <c r="F540" s="39"/>
      <c r="G540" s="39"/>
      <c r="H540" s="39"/>
      <c r="I540" s="39"/>
      <c r="J540" s="39"/>
      <c r="K540" s="39"/>
      <c r="L540" s="39"/>
      <c r="M540" s="39"/>
    </row>
    <row r="541" customFormat="false" ht="15" hidden="false" customHeight="false" outlineLevel="0" collapsed="false">
      <c r="A541" s="39"/>
      <c r="B541" s="39"/>
      <c r="C541" s="39"/>
      <c r="D541" s="39"/>
      <c r="E541" s="39"/>
      <c r="F541" s="39"/>
      <c r="G541" s="39"/>
      <c r="H541" s="39"/>
      <c r="I541" s="39"/>
      <c r="J541" s="39"/>
      <c r="K541" s="39"/>
      <c r="L541" s="39"/>
      <c r="M541" s="39"/>
    </row>
    <row r="542" customFormat="false" ht="15" hidden="false" customHeight="false" outlineLevel="0" collapsed="false">
      <c r="A542" s="39"/>
      <c r="B542" s="39"/>
      <c r="C542" s="39"/>
      <c r="D542" s="39"/>
      <c r="E542" s="39"/>
      <c r="F542" s="39"/>
      <c r="G542" s="39"/>
      <c r="H542" s="39"/>
      <c r="I542" s="39"/>
      <c r="J542" s="39"/>
      <c r="K542" s="39"/>
      <c r="L542" s="39"/>
      <c r="M542" s="39"/>
    </row>
    <row r="543" customFormat="false" ht="15" hidden="false" customHeight="false" outlineLevel="0" collapsed="false">
      <c r="A543" s="39"/>
      <c r="B543" s="39"/>
      <c r="C543" s="39"/>
      <c r="D543" s="39"/>
      <c r="E543" s="39"/>
      <c r="F543" s="39"/>
      <c r="G543" s="39"/>
      <c r="H543" s="39"/>
      <c r="I543" s="39"/>
      <c r="J543" s="39"/>
      <c r="K543" s="39"/>
      <c r="L543" s="39"/>
      <c r="M543" s="39"/>
    </row>
    <row r="544" customFormat="false" ht="15" hidden="false" customHeight="false" outlineLevel="0" collapsed="false">
      <c r="A544" s="39"/>
      <c r="B544" s="39"/>
      <c r="C544" s="39"/>
      <c r="D544" s="39"/>
      <c r="E544" s="39"/>
      <c r="F544" s="39"/>
      <c r="G544" s="39"/>
      <c r="H544" s="39"/>
      <c r="I544" s="39"/>
      <c r="J544" s="39"/>
      <c r="K544" s="39"/>
      <c r="L544" s="39"/>
      <c r="M544" s="39"/>
    </row>
    <row r="545" customFormat="false" ht="15" hidden="false" customHeight="false" outlineLevel="0" collapsed="false">
      <c r="A545" s="39"/>
      <c r="B545" s="39"/>
      <c r="C545" s="39"/>
      <c r="D545" s="39"/>
      <c r="E545" s="39"/>
      <c r="F545" s="39"/>
      <c r="G545" s="39"/>
      <c r="H545" s="39"/>
      <c r="I545" s="39"/>
      <c r="J545" s="39"/>
      <c r="K545" s="39"/>
      <c r="L545" s="39"/>
      <c r="M545" s="39"/>
    </row>
    <row r="546" customFormat="false" ht="15" hidden="false" customHeight="false" outlineLevel="0" collapsed="false">
      <c r="A546" s="39"/>
      <c r="B546" s="39"/>
      <c r="C546" s="39"/>
      <c r="D546" s="39"/>
      <c r="E546" s="39"/>
      <c r="F546" s="39"/>
      <c r="G546" s="39"/>
      <c r="H546" s="39"/>
      <c r="I546" s="39"/>
      <c r="J546" s="39"/>
      <c r="K546" s="39"/>
      <c r="L546" s="39"/>
      <c r="M546" s="39"/>
    </row>
    <row r="547" customFormat="false" ht="15" hidden="false" customHeight="false" outlineLevel="0" collapsed="false">
      <c r="A547" s="39"/>
      <c r="B547" s="39"/>
      <c r="C547" s="39"/>
      <c r="D547" s="39"/>
      <c r="E547" s="39"/>
      <c r="F547" s="39"/>
      <c r="G547" s="39"/>
      <c r="H547" s="39"/>
      <c r="I547" s="39"/>
      <c r="J547" s="39"/>
      <c r="K547" s="39"/>
      <c r="L547" s="39"/>
      <c r="M547" s="39"/>
    </row>
    <row r="548" customFormat="false" ht="15" hidden="false" customHeight="false" outlineLevel="0" collapsed="false">
      <c r="A548" s="39"/>
      <c r="B548" s="39"/>
      <c r="C548" s="39"/>
      <c r="D548" s="39"/>
      <c r="E548" s="39"/>
      <c r="F548" s="39"/>
      <c r="G548" s="39"/>
      <c r="H548" s="39"/>
      <c r="I548" s="39"/>
      <c r="J548" s="39"/>
      <c r="K548" s="39"/>
      <c r="L548" s="39"/>
      <c r="M548" s="39"/>
    </row>
    <row r="549" customFormat="false" ht="15" hidden="false" customHeight="false" outlineLevel="0" collapsed="false">
      <c r="A549" s="39"/>
      <c r="B549" s="39"/>
      <c r="C549" s="39"/>
      <c r="D549" s="39"/>
      <c r="E549" s="39"/>
      <c r="F549" s="39"/>
      <c r="G549" s="39"/>
      <c r="H549" s="39"/>
      <c r="I549" s="39"/>
      <c r="J549" s="39"/>
      <c r="K549" s="39"/>
      <c r="L549" s="39"/>
      <c r="M549" s="39"/>
    </row>
    <row r="550" customFormat="false" ht="15" hidden="false" customHeight="false" outlineLevel="0" collapsed="false">
      <c r="A550" s="39"/>
      <c r="B550" s="39"/>
      <c r="C550" s="39"/>
      <c r="D550" s="39"/>
      <c r="E550" s="39"/>
      <c r="F550" s="39"/>
      <c r="G550" s="39"/>
      <c r="H550" s="39"/>
      <c r="I550" s="39"/>
      <c r="J550" s="39"/>
      <c r="K550" s="39"/>
      <c r="L550" s="39"/>
      <c r="M550" s="39"/>
    </row>
    <row r="551" customFormat="false" ht="15" hidden="false" customHeight="false" outlineLevel="0" collapsed="false">
      <c r="A551" s="39"/>
      <c r="B551" s="39"/>
      <c r="C551" s="39"/>
      <c r="D551" s="39"/>
      <c r="E551" s="39"/>
      <c r="F551" s="39"/>
      <c r="G551" s="39"/>
      <c r="H551" s="39"/>
      <c r="I551" s="39"/>
      <c r="J551" s="39"/>
      <c r="K551" s="39"/>
      <c r="L551" s="39"/>
      <c r="M551" s="39"/>
    </row>
    <row r="552" customFormat="false" ht="15" hidden="false" customHeight="false" outlineLevel="0" collapsed="false">
      <c r="A552" s="39"/>
      <c r="B552" s="39"/>
      <c r="C552" s="39"/>
      <c r="D552" s="39"/>
      <c r="E552" s="39"/>
      <c r="F552" s="39"/>
      <c r="G552" s="39"/>
      <c r="H552" s="39"/>
      <c r="I552" s="39"/>
      <c r="J552" s="39"/>
      <c r="K552" s="39"/>
      <c r="L552" s="39"/>
      <c r="M552" s="39"/>
    </row>
    <row r="553" customFormat="false" ht="15" hidden="false" customHeight="false" outlineLevel="0" collapsed="false">
      <c r="A553" s="39"/>
      <c r="B553" s="39"/>
      <c r="C553" s="39"/>
      <c r="D553" s="39"/>
      <c r="E553" s="39"/>
      <c r="F553" s="39"/>
      <c r="G553" s="39"/>
      <c r="H553" s="39"/>
      <c r="I553" s="39"/>
      <c r="J553" s="39"/>
      <c r="K553" s="39"/>
      <c r="L553" s="39"/>
      <c r="M553" s="39"/>
    </row>
    <row r="554" customFormat="false" ht="15" hidden="false" customHeight="false" outlineLevel="0" collapsed="false">
      <c r="A554" s="39"/>
      <c r="B554" s="39"/>
      <c r="C554" s="39"/>
      <c r="D554" s="39"/>
      <c r="E554" s="39"/>
      <c r="F554" s="39"/>
      <c r="G554" s="39"/>
      <c r="H554" s="39"/>
      <c r="I554" s="39"/>
      <c r="J554" s="39"/>
      <c r="K554" s="39"/>
      <c r="L554" s="39"/>
      <c r="M554" s="39"/>
    </row>
    <row r="555" customFormat="false" ht="15" hidden="false" customHeight="false" outlineLevel="0" collapsed="false">
      <c r="A555" s="39"/>
      <c r="B555" s="39"/>
      <c r="C555" s="39"/>
      <c r="D555" s="39"/>
      <c r="E555" s="39"/>
      <c r="F555" s="39"/>
      <c r="G555" s="39"/>
      <c r="H555" s="39"/>
      <c r="I555" s="39"/>
      <c r="J555" s="39"/>
      <c r="K555" s="39"/>
      <c r="L555" s="39"/>
      <c r="M555" s="39"/>
    </row>
    <row r="556" customFormat="false" ht="15" hidden="false" customHeight="false" outlineLevel="0" collapsed="false">
      <c r="A556" s="39"/>
      <c r="B556" s="39"/>
      <c r="C556" s="39"/>
      <c r="D556" s="39"/>
      <c r="E556" s="39"/>
      <c r="F556" s="39"/>
      <c r="G556" s="39"/>
      <c r="H556" s="39"/>
      <c r="I556" s="39"/>
      <c r="J556" s="39"/>
      <c r="K556" s="39"/>
      <c r="L556" s="39"/>
      <c r="M556" s="39"/>
    </row>
    <row r="557" customFormat="false" ht="15" hidden="false" customHeight="false" outlineLevel="0" collapsed="false">
      <c r="A557" s="39"/>
      <c r="B557" s="39"/>
      <c r="C557" s="39"/>
      <c r="D557" s="39"/>
      <c r="E557" s="39"/>
      <c r="F557" s="39"/>
      <c r="G557" s="39"/>
      <c r="H557" s="39"/>
      <c r="I557" s="39"/>
      <c r="J557" s="39"/>
      <c r="K557" s="39"/>
      <c r="L557" s="39"/>
      <c r="M557" s="39"/>
    </row>
    <row r="558" customFormat="false" ht="15" hidden="false" customHeight="false" outlineLevel="0" collapsed="false">
      <c r="A558" s="39"/>
      <c r="B558" s="39"/>
      <c r="C558" s="39"/>
      <c r="D558" s="39"/>
      <c r="E558" s="39"/>
      <c r="F558" s="39"/>
      <c r="G558" s="39"/>
      <c r="H558" s="39"/>
      <c r="I558" s="39"/>
      <c r="J558" s="39"/>
      <c r="K558" s="39"/>
      <c r="L558" s="39"/>
      <c r="M558" s="39"/>
    </row>
    <row r="559" customFormat="false" ht="15" hidden="false" customHeight="false" outlineLevel="0" collapsed="false">
      <c r="A559" s="39"/>
      <c r="B559" s="39"/>
      <c r="C559" s="39"/>
      <c r="D559" s="39"/>
      <c r="E559" s="39"/>
      <c r="F559" s="39"/>
      <c r="G559" s="39"/>
      <c r="H559" s="39"/>
      <c r="I559" s="39"/>
      <c r="J559" s="39"/>
      <c r="K559" s="39"/>
      <c r="L559" s="39"/>
      <c r="M559" s="39"/>
    </row>
    <row r="560" customFormat="false" ht="15" hidden="false" customHeight="false" outlineLevel="0" collapsed="false">
      <c r="A560" s="39"/>
      <c r="B560" s="39"/>
      <c r="C560" s="39"/>
      <c r="D560" s="39"/>
      <c r="E560" s="39"/>
      <c r="F560" s="39"/>
      <c r="G560" s="39"/>
      <c r="H560" s="39"/>
      <c r="I560" s="39"/>
      <c r="J560" s="39"/>
      <c r="K560" s="39"/>
      <c r="L560" s="39"/>
      <c r="M560" s="39"/>
    </row>
    <row r="561" customFormat="false" ht="15" hidden="false" customHeight="false" outlineLevel="0" collapsed="false">
      <c r="A561" s="39"/>
      <c r="B561" s="39"/>
      <c r="C561" s="39"/>
      <c r="D561" s="39"/>
      <c r="E561" s="39"/>
      <c r="F561" s="39"/>
      <c r="G561" s="39"/>
      <c r="H561" s="39"/>
      <c r="I561" s="39"/>
      <c r="J561" s="39"/>
      <c r="K561" s="39"/>
      <c r="L561" s="39"/>
      <c r="M561" s="39"/>
    </row>
    <row r="562" customFormat="false" ht="15" hidden="false" customHeight="false" outlineLevel="0" collapsed="false">
      <c r="A562" s="39"/>
      <c r="B562" s="39"/>
      <c r="C562" s="39"/>
      <c r="D562" s="39"/>
      <c r="E562" s="39"/>
      <c r="F562" s="39"/>
      <c r="G562" s="39"/>
      <c r="H562" s="39"/>
      <c r="I562" s="39"/>
      <c r="J562" s="39"/>
      <c r="K562" s="39"/>
      <c r="L562" s="39"/>
      <c r="M562" s="39"/>
    </row>
    <row r="563" customFormat="false" ht="15" hidden="false" customHeight="false" outlineLevel="0" collapsed="false">
      <c r="A563" s="39"/>
      <c r="B563" s="39"/>
      <c r="C563" s="39"/>
      <c r="D563" s="39"/>
      <c r="E563" s="39"/>
      <c r="F563" s="39"/>
      <c r="G563" s="39"/>
      <c r="H563" s="39"/>
      <c r="I563" s="39"/>
      <c r="J563" s="39"/>
      <c r="K563" s="39"/>
      <c r="L563" s="39"/>
      <c r="M563" s="39"/>
    </row>
    <row r="564" customFormat="false" ht="15" hidden="false" customHeight="false" outlineLevel="0" collapsed="false">
      <c r="A564" s="39"/>
      <c r="B564" s="39"/>
      <c r="C564" s="39"/>
      <c r="D564" s="39"/>
      <c r="E564" s="39"/>
      <c r="F564" s="39"/>
      <c r="G564" s="39"/>
      <c r="H564" s="39"/>
      <c r="I564" s="39"/>
      <c r="J564" s="39"/>
      <c r="K564" s="39"/>
      <c r="L564" s="39"/>
      <c r="M564" s="39"/>
    </row>
    <row r="565" customFormat="false" ht="15" hidden="false" customHeight="false" outlineLevel="0" collapsed="false">
      <c r="A565" s="39"/>
      <c r="B565" s="39"/>
      <c r="C565" s="39"/>
      <c r="D565" s="39"/>
      <c r="E565" s="39"/>
      <c r="F565" s="39"/>
      <c r="G565" s="39"/>
      <c r="H565" s="39"/>
      <c r="I565" s="39"/>
      <c r="J565" s="39"/>
      <c r="K565" s="39"/>
      <c r="L565" s="39"/>
      <c r="M565" s="39"/>
    </row>
    <row r="566" customFormat="false" ht="15" hidden="false" customHeight="false" outlineLevel="0" collapsed="false">
      <c r="A566" s="39"/>
      <c r="B566" s="39"/>
      <c r="C566" s="39"/>
      <c r="D566" s="39"/>
      <c r="E566" s="39"/>
      <c r="F566" s="39"/>
      <c r="G566" s="39"/>
      <c r="H566" s="39"/>
      <c r="I566" s="39"/>
      <c r="J566" s="39"/>
      <c r="K566" s="39"/>
      <c r="L566" s="39"/>
      <c r="M566" s="39"/>
    </row>
    <row r="567" customFormat="false" ht="15" hidden="false" customHeight="false" outlineLevel="0" collapsed="false">
      <c r="A567" s="39"/>
      <c r="B567" s="39"/>
      <c r="C567" s="39"/>
      <c r="D567" s="39"/>
      <c r="E567" s="39"/>
      <c r="F567" s="39"/>
      <c r="G567" s="39"/>
      <c r="H567" s="39"/>
      <c r="I567" s="39"/>
      <c r="J567" s="39"/>
      <c r="K567" s="39"/>
      <c r="L567" s="39"/>
      <c r="M567" s="39"/>
    </row>
    <row r="568" customFormat="false" ht="15" hidden="false" customHeight="false" outlineLevel="0" collapsed="false">
      <c r="A568" s="39"/>
      <c r="B568" s="39"/>
      <c r="C568" s="39"/>
      <c r="D568" s="39"/>
      <c r="E568" s="39"/>
      <c r="F568" s="39"/>
      <c r="G568" s="39"/>
      <c r="H568" s="39"/>
      <c r="I568" s="39"/>
      <c r="J568" s="39"/>
      <c r="K568" s="39"/>
      <c r="L568" s="39"/>
      <c r="M568" s="39"/>
    </row>
    <row r="569" customFormat="false" ht="15" hidden="false" customHeight="false" outlineLevel="0" collapsed="false">
      <c r="A569" s="39"/>
      <c r="B569" s="39"/>
      <c r="C569" s="39"/>
      <c r="D569" s="39"/>
      <c r="E569" s="39"/>
      <c r="F569" s="39"/>
      <c r="G569" s="39"/>
      <c r="H569" s="39"/>
      <c r="I569" s="39"/>
      <c r="J569" s="39"/>
      <c r="K569" s="39"/>
      <c r="L569" s="39"/>
      <c r="M569" s="39"/>
    </row>
    <row r="570" customFormat="false" ht="15" hidden="false" customHeight="false" outlineLevel="0" collapsed="false">
      <c r="A570" s="39"/>
      <c r="B570" s="39"/>
      <c r="C570" s="39"/>
      <c r="D570" s="39"/>
      <c r="E570" s="39"/>
      <c r="F570" s="39"/>
      <c r="G570" s="39"/>
      <c r="H570" s="39"/>
      <c r="I570" s="39"/>
      <c r="J570" s="39"/>
      <c r="K570" s="39"/>
      <c r="L570" s="39"/>
      <c r="M570" s="39"/>
    </row>
    <row r="571" customFormat="false" ht="15" hidden="false" customHeight="false" outlineLevel="0" collapsed="false">
      <c r="A571" s="39"/>
      <c r="B571" s="39"/>
      <c r="C571" s="39"/>
      <c r="D571" s="39"/>
      <c r="E571" s="39"/>
      <c r="F571" s="39"/>
      <c r="G571" s="39"/>
      <c r="H571" s="39"/>
      <c r="I571" s="39"/>
      <c r="J571" s="39"/>
      <c r="K571" s="39"/>
      <c r="L571" s="39"/>
      <c r="M571" s="39"/>
    </row>
    <row r="572" customFormat="false" ht="15" hidden="false" customHeight="false" outlineLevel="0" collapsed="false">
      <c r="A572" s="39"/>
      <c r="B572" s="39"/>
      <c r="C572" s="39"/>
      <c r="D572" s="39"/>
      <c r="E572" s="39"/>
      <c r="F572" s="39"/>
      <c r="G572" s="39"/>
      <c r="H572" s="39"/>
      <c r="I572" s="39"/>
      <c r="J572" s="39"/>
      <c r="K572" s="39"/>
      <c r="L572" s="39"/>
      <c r="M572" s="39"/>
    </row>
    <row r="573" customFormat="false" ht="15" hidden="false" customHeight="false" outlineLevel="0" collapsed="false">
      <c r="A573" s="39"/>
      <c r="B573" s="39"/>
      <c r="C573" s="39"/>
      <c r="D573" s="39"/>
      <c r="E573" s="39"/>
      <c r="F573" s="39"/>
      <c r="G573" s="39"/>
      <c r="H573" s="39"/>
      <c r="I573" s="39"/>
      <c r="J573" s="39"/>
      <c r="K573" s="39"/>
      <c r="L573" s="39"/>
      <c r="M573" s="39"/>
    </row>
    <row r="574" customFormat="false" ht="15" hidden="false" customHeight="false" outlineLevel="0" collapsed="false">
      <c r="A574" s="39"/>
      <c r="B574" s="39"/>
      <c r="C574" s="39"/>
      <c r="D574" s="39"/>
      <c r="E574" s="39"/>
      <c r="F574" s="39"/>
      <c r="G574" s="39"/>
      <c r="H574" s="39"/>
      <c r="I574" s="39"/>
      <c r="J574" s="39"/>
      <c r="K574" s="39"/>
      <c r="L574" s="39"/>
      <c r="M574" s="39"/>
    </row>
    <row r="575" customFormat="false" ht="15" hidden="false" customHeight="false" outlineLevel="0" collapsed="false">
      <c r="A575" s="39"/>
      <c r="B575" s="39"/>
      <c r="C575" s="39"/>
      <c r="D575" s="39"/>
      <c r="E575" s="39"/>
      <c r="F575" s="39"/>
      <c r="G575" s="39"/>
      <c r="H575" s="39"/>
      <c r="I575" s="39"/>
      <c r="J575" s="39"/>
      <c r="K575" s="39"/>
      <c r="L575" s="39"/>
      <c r="M575" s="39"/>
    </row>
    <row r="576" customFormat="false" ht="15" hidden="false" customHeight="false" outlineLevel="0" collapsed="false">
      <c r="A576" s="39"/>
      <c r="B576" s="39"/>
      <c r="C576" s="39"/>
      <c r="D576" s="39"/>
      <c r="E576" s="39"/>
      <c r="F576" s="39"/>
      <c r="G576" s="39"/>
      <c r="H576" s="39"/>
      <c r="I576" s="39"/>
      <c r="J576" s="39"/>
      <c r="K576" s="39"/>
      <c r="L576" s="39"/>
      <c r="M576" s="39"/>
    </row>
    <row r="577" customFormat="false" ht="15" hidden="false" customHeight="false" outlineLevel="0" collapsed="false">
      <c r="A577" s="39"/>
      <c r="B577" s="39"/>
      <c r="C577" s="39"/>
      <c r="D577" s="39"/>
      <c r="E577" s="39"/>
      <c r="F577" s="39"/>
      <c r="G577" s="39"/>
      <c r="H577" s="39"/>
      <c r="I577" s="39"/>
      <c r="J577" s="39"/>
      <c r="K577" s="39"/>
      <c r="L577" s="39"/>
      <c r="M577" s="39"/>
    </row>
    <row r="578" customFormat="false" ht="15" hidden="false" customHeight="false" outlineLevel="0" collapsed="false">
      <c r="A578" s="39"/>
      <c r="B578" s="39"/>
      <c r="C578" s="39"/>
      <c r="D578" s="39"/>
      <c r="E578" s="39"/>
      <c r="F578" s="39"/>
      <c r="G578" s="39"/>
      <c r="H578" s="39"/>
      <c r="I578" s="39"/>
      <c r="J578" s="39"/>
      <c r="K578" s="39"/>
      <c r="L578" s="39"/>
      <c r="M578" s="39"/>
    </row>
    <row r="579" customFormat="false" ht="15" hidden="false" customHeight="false" outlineLevel="0" collapsed="false">
      <c r="A579" s="39"/>
      <c r="B579" s="39"/>
      <c r="C579" s="39"/>
      <c r="D579" s="39"/>
      <c r="E579" s="39"/>
      <c r="F579" s="39"/>
      <c r="G579" s="39"/>
      <c r="H579" s="39"/>
      <c r="I579" s="39"/>
      <c r="J579" s="39"/>
      <c r="K579" s="39"/>
      <c r="L579" s="39"/>
      <c r="M579" s="39"/>
    </row>
    <row r="580" customFormat="false" ht="15" hidden="false" customHeight="false" outlineLevel="0" collapsed="false">
      <c r="A580" s="39"/>
      <c r="B580" s="39"/>
      <c r="C580" s="39"/>
      <c r="D580" s="39"/>
      <c r="E580" s="39"/>
      <c r="F580" s="39"/>
      <c r="G580" s="39"/>
      <c r="H580" s="39"/>
      <c r="I580" s="39"/>
      <c r="J580" s="39"/>
      <c r="K580" s="39"/>
      <c r="L580" s="39"/>
      <c r="M580" s="39"/>
    </row>
    <row r="581" customFormat="false" ht="15" hidden="false" customHeight="false" outlineLevel="0" collapsed="false">
      <c r="A581" s="39"/>
      <c r="B581" s="39"/>
      <c r="C581" s="39"/>
      <c r="D581" s="39"/>
      <c r="E581" s="39"/>
      <c r="F581" s="39"/>
      <c r="G581" s="39"/>
      <c r="H581" s="39"/>
      <c r="I581" s="39"/>
      <c r="J581" s="39"/>
      <c r="K581" s="39"/>
      <c r="L581" s="39"/>
      <c r="M581" s="39"/>
    </row>
    <row r="582" customFormat="false" ht="15" hidden="false" customHeight="false" outlineLevel="0" collapsed="false">
      <c r="A582" s="39"/>
      <c r="B582" s="39"/>
      <c r="C582" s="39"/>
      <c r="D582" s="39"/>
      <c r="E582" s="39"/>
      <c r="F582" s="39"/>
      <c r="G582" s="39"/>
      <c r="H582" s="39"/>
      <c r="I582" s="39"/>
      <c r="J582" s="39"/>
      <c r="K582" s="39"/>
      <c r="L582" s="39"/>
      <c r="M582" s="39"/>
    </row>
    <row r="583" customFormat="false" ht="15" hidden="false" customHeight="false" outlineLevel="0" collapsed="false">
      <c r="A583" s="39"/>
      <c r="B583" s="39"/>
      <c r="C583" s="39"/>
      <c r="D583" s="39"/>
      <c r="E583" s="39"/>
      <c r="F583" s="39"/>
      <c r="G583" s="39"/>
      <c r="H583" s="39"/>
      <c r="I583" s="39"/>
      <c r="J583" s="39"/>
      <c r="K583" s="39"/>
      <c r="L583" s="39"/>
      <c r="M583" s="39"/>
    </row>
    <row r="584" customFormat="false" ht="15" hidden="false" customHeight="false" outlineLevel="0" collapsed="false">
      <c r="A584" s="39"/>
      <c r="B584" s="39"/>
      <c r="C584" s="39"/>
      <c r="D584" s="39"/>
      <c r="E584" s="39"/>
      <c r="F584" s="39"/>
      <c r="G584" s="39"/>
      <c r="H584" s="39"/>
      <c r="I584" s="39"/>
      <c r="J584" s="39"/>
      <c r="K584" s="39"/>
      <c r="L584" s="39"/>
      <c r="M584" s="39"/>
    </row>
    <row r="585" customFormat="false" ht="15" hidden="false" customHeight="false" outlineLevel="0" collapsed="false">
      <c r="A585" s="39"/>
      <c r="B585" s="39"/>
      <c r="C585" s="39"/>
      <c r="D585" s="39"/>
      <c r="E585" s="39"/>
      <c r="F585" s="39"/>
      <c r="G585" s="39"/>
      <c r="H585" s="39"/>
      <c r="I585" s="39"/>
      <c r="J585" s="39"/>
      <c r="K585" s="39"/>
      <c r="L585" s="39"/>
      <c r="M585" s="39"/>
    </row>
    <row r="586" customFormat="false" ht="15" hidden="false" customHeight="false" outlineLevel="0" collapsed="false">
      <c r="A586" s="39"/>
      <c r="B586" s="39"/>
      <c r="C586" s="39"/>
      <c r="D586" s="39"/>
      <c r="E586" s="39"/>
      <c r="F586" s="39"/>
      <c r="G586" s="39"/>
      <c r="H586" s="39"/>
      <c r="I586" s="39"/>
      <c r="J586" s="39"/>
      <c r="K586" s="39"/>
      <c r="L586" s="39"/>
      <c r="M586" s="39"/>
    </row>
    <row r="587" customFormat="false" ht="15" hidden="false" customHeight="false" outlineLevel="0" collapsed="false">
      <c r="A587" s="39"/>
      <c r="B587" s="39"/>
      <c r="C587" s="39"/>
      <c r="D587" s="39"/>
      <c r="E587" s="39"/>
      <c r="F587" s="39"/>
      <c r="G587" s="39"/>
      <c r="H587" s="39"/>
      <c r="I587" s="39"/>
      <c r="J587" s="39"/>
      <c r="K587" s="39"/>
      <c r="L587" s="39"/>
      <c r="M587" s="39"/>
    </row>
    <row r="588" customFormat="false" ht="15" hidden="false" customHeight="false" outlineLevel="0" collapsed="false">
      <c r="A588" s="39"/>
      <c r="B588" s="39"/>
      <c r="C588" s="39"/>
      <c r="D588" s="39"/>
      <c r="E588" s="39"/>
      <c r="F588" s="39"/>
      <c r="G588" s="39"/>
      <c r="H588" s="39"/>
      <c r="I588" s="39"/>
      <c r="J588" s="39"/>
      <c r="K588" s="39"/>
      <c r="L588" s="39"/>
      <c r="M588" s="39"/>
    </row>
    <row r="589" customFormat="false" ht="15" hidden="false" customHeight="false" outlineLevel="0" collapsed="false">
      <c r="A589" s="39"/>
      <c r="B589" s="39"/>
      <c r="C589" s="39"/>
      <c r="D589" s="39"/>
      <c r="E589" s="39"/>
      <c r="F589" s="39"/>
      <c r="G589" s="39"/>
      <c r="H589" s="39"/>
      <c r="I589" s="39"/>
      <c r="J589" s="39"/>
      <c r="K589" s="39"/>
      <c r="L589" s="39"/>
      <c r="M589" s="39"/>
    </row>
    <row r="590" customFormat="false" ht="15" hidden="false" customHeight="false" outlineLevel="0" collapsed="false">
      <c r="A590" s="39"/>
      <c r="B590" s="39"/>
      <c r="C590" s="39"/>
      <c r="D590" s="39"/>
      <c r="E590" s="39"/>
      <c r="F590" s="39"/>
      <c r="G590" s="39"/>
      <c r="H590" s="39"/>
      <c r="I590" s="39"/>
      <c r="J590" s="39"/>
      <c r="K590" s="39"/>
      <c r="L590" s="39"/>
      <c r="M590" s="39"/>
    </row>
    <row r="591" customFormat="false" ht="15" hidden="false" customHeight="false" outlineLevel="0" collapsed="false">
      <c r="A591" s="39"/>
      <c r="B591" s="39"/>
      <c r="C591" s="39"/>
      <c r="D591" s="39"/>
      <c r="E591" s="39"/>
      <c r="F591" s="39"/>
      <c r="G591" s="39"/>
      <c r="H591" s="39"/>
      <c r="I591" s="39"/>
      <c r="J591" s="39"/>
      <c r="K591" s="39"/>
      <c r="L591" s="39"/>
      <c r="M591" s="39"/>
    </row>
    <row r="592" customFormat="false" ht="15" hidden="false" customHeight="false" outlineLevel="0" collapsed="false">
      <c r="A592" s="39"/>
      <c r="B592" s="39"/>
      <c r="C592" s="39"/>
      <c r="D592" s="39"/>
      <c r="E592" s="39"/>
      <c r="F592" s="39"/>
      <c r="G592" s="39"/>
      <c r="H592" s="39"/>
      <c r="I592" s="39"/>
      <c r="J592" s="39"/>
      <c r="K592" s="39"/>
      <c r="L592" s="39"/>
      <c r="M592" s="39"/>
    </row>
    <row r="593" customFormat="false" ht="15" hidden="false" customHeight="false" outlineLevel="0" collapsed="false">
      <c r="A593" s="39"/>
      <c r="B593" s="39"/>
      <c r="C593" s="39"/>
      <c r="D593" s="39"/>
      <c r="E593" s="39"/>
      <c r="F593" s="39"/>
      <c r="G593" s="39"/>
      <c r="H593" s="39"/>
      <c r="I593" s="39"/>
      <c r="J593" s="39"/>
      <c r="K593" s="39"/>
      <c r="L593" s="39"/>
      <c r="M593" s="39"/>
    </row>
    <row r="594" customFormat="false" ht="15" hidden="false" customHeight="false" outlineLevel="0" collapsed="false">
      <c r="A594" s="39"/>
      <c r="B594" s="39"/>
      <c r="C594" s="39"/>
      <c r="D594" s="39"/>
      <c r="E594" s="39"/>
      <c r="F594" s="39"/>
      <c r="G594" s="39"/>
      <c r="H594" s="39"/>
      <c r="I594" s="39"/>
      <c r="J594" s="39"/>
      <c r="K594" s="39"/>
      <c r="L594" s="39"/>
      <c r="M594" s="39"/>
    </row>
    <row r="595" customFormat="false" ht="15" hidden="false" customHeight="false" outlineLevel="0" collapsed="false">
      <c r="A595" s="39"/>
      <c r="B595" s="39"/>
      <c r="C595" s="39"/>
      <c r="D595" s="39"/>
      <c r="E595" s="39"/>
      <c r="F595" s="39"/>
      <c r="G595" s="39"/>
      <c r="H595" s="39"/>
      <c r="I595" s="39"/>
      <c r="J595" s="39"/>
      <c r="K595" s="39"/>
      <c r="L595" s="39"/>
      <c r="M595" s="39"/>
    </row>
    <row r="596" customFormat="false" ht="15" hidden="false" customHeight="false" outlineLevel="0" collapsed="false">
      <c r="A596" s="39"/>
      <c r="B596" s="39"/>
      <c r="C596" s="39"/>
      <c r="D596" s="39"/>
      <c r="E596" s="39"/>
      <c r="F596" s="39"/>
      <c r="G596" s="39"/>
      <c r="H596" s="39"/>
      <c r="I596" s="39"/>
      <c r="J596" s="39"/>
      <c r="K596" s="39"/>
      <c r="L596" s="39"/>
      <c r="M596" s="39"/>
    </row>
    <row r="597" customFormat="false" ht="15" hidden="false" customHeight="false" outlineLevel="0" collapsed="false">
      <c r="A597" s="39"/>
      <c r="B597" s="39"/>
      <c r="C597" s="39"/>
      <c r="D597" s="39"/>
      <c r="E597" s="39"/>
      <c r="F597" s="39"/>
      <c r="G597" s="39"/>
      <c r="H597" s="39"/>
      <c r="I597" s="39"/>
      <c r="J597" s="39"/>
      <c r="K597" s="39"/>
      <c r="L597" s="39"/>
      <c r="M597" s="39"/>
    </row>
    <row r="598" customFormat="false" ht="15" hidden="false" customHeight="false" outlineLevel="0" collapsed="false">
      <c r="A598" s="39"/>
      <c r="B598" s="39"/>
      <c r="C598" s="39"/>
      <c r="D598" s="39"/>
      <c r="E598" s="39"/>
      <c r="F598" s="39"/>
      <c r="G598" s="39"/>
      <c r="H598" s="39"/>
      <c r="I598" s="39"/>
      <c r="J598" s="39"/>
      <c r="K598" s="39"/>
      <c r="L598" s="39"/>
      <c r="M598" s="39"/>
    </row>
    <row r="599" customFormat="false" ht="15" hidden="false" customHeight="false" outlineLevel="0" collapsed="false">
      <c r="A599" s="39"/>
      <c r="B599" s="39"/>
      <c r="C599" s="39"/>
      <c r="D599" s="39"/>
      <c r="E599" s="39"/>
      <c r="F599" s="39"/>
      <c r="G599" s="39"/>
      <c r="H599" s="39"/>
      <c r="I599" s="39"/>
      <c r="J599" s="39"/>
      <c r="K599" s="39"/>
      <c r="L599" s="39"/>
      <c r="M599" s="39"/>
    </row>
    <row r="600" customFormat="false" ht="15" hidden="false" customHeight="false" outlineLevel="0" collapsed="false">
      <c r="A600" s="39"/>
      <c r="B600" s="39"/>
      <c r="C600" s="39"/>
      <c r="D600" s="39"/>
      <c r="E600" s="39"/>
      <c r="F600" s="39"/>
      <c r="G600" s="39"/>
      <c r="H600" s="39"/>
      <c r="I600" s="39"/>
      <c r="J600" s="39"/>
      <c r="K600" s="39"/>
      <c r="L600" s="39"/>
      <c r="M600" s="39"/>
    </row>
    <row r="601" customFormat="false" ht="15" hidden="false" customHeight="false" outlineLevel="0" collapsed="false">
      <c r="A601" s="39"/>
      <c r="B601" s="39"/>
      <c r="C601" s="39"/>
      <c r="D601" s="39"/>
      <c r="E601" s="39"/>
      <c r="F601" s="39"/>
      <c r="G601" s="39"/>
      <c r="H601" s="39"/>
      <c r="I601" s="39"/>
      <c r="J601" s="39"/>
      <c r="K601" s="39"/>
      <c r="L601" s="39"/>
      <c r="M601" s="39"/>
    </row>
    <row r="602" customFormat="false" ht="15" hidden="false" customHeight="false" outlineLevel="0" collapsed="false">
      <c r="A602" s="39"/>
      <c r="B602" s="39"/>
      <c r="C602" s="39"/>
      <c r="D602" s="39"/>
      <c r="E602" s="39"/>
      <c r="F602" s="39"/>
      <c r="G602" s="39"/>
      <c r="H602" s="39"/>
      <c r="I602" s="39"/>
      <c r="J602" s="39"/>
      <c r="K602" s="39"/>
      <c r="L602" s="39"/>
      <c r="M602" s="39"/>
    </row>
    <row r="603" customFormat="false" ht="15" hidden="false" customHeight="false" outlineLevel="0" collapsed="false">
      <c r="A603" s="39"/>
      <c r="B603" s="39"/>
      <c r="C603" s="39"/>
      <c r="D603" s="39"/>
      <c r="E603" s="39"/>
      <c r="F603" s="39"/>
      <c r="G603" s="39"/>
      <c r="H603" s="39"/>
      <c r="I603" s="39"/>
      <c r="J603" s="39"/>
      <c r="K603" s="39"/>
      <c r="L603" s="39"/>
      <c r="M603" s="39"/>
    </row>
    <row r="604" customFormat="false" ht="15" hidden="false" customHeight="false" outlineLevel="0" collapsed="false">
      <c r="A604" s="39"/>
      <c r="B604" s="39"/>
      <c r="C604" s="39"/>
      <c r="D604" s="39"/>
      <c r="E604" s="39"/>
      <c r="F604" s="39"/>
      <c r="G604" s="39"/>
      <c r="H604" s="39"/>
      <c r="I604" s="39"/>
      <c r="J604" s="39"/>
      <c r="K604" s="39"/>
      <c r="L604" s="39"/>
      <c r="M604" s="39"/>
    </row>
    <row r="605" customFormat="false" ht="15" hidden="false" customHeight="false" outlineLevel="0" collapsed="false">
      <c r="A605" s="39"/>
      <c r="B605" s="39"/>
      <c r="C605" s="39"/>
      <c r="D605" s="39"/>
      <c r="E605" s="39"/>
      <c r="F605" s="39"/>
      <c r="G605" s="39"/>
      <c r="H605" s="39"/>
      <c r="I605" s="39"/>
      <c r="J605" s="39"/>
      <c r="K605" s="39"/>
      <c r="L605" s="39"/>
      <c r="M605" s="39"/>
    </row>
    <row r="606" customFormat="false" ht="15" hidden="false" customHeight="false" outlineLevel="0" collapsed="false">
      <c r="A606" s="39"/>
      <c r="B606" s="39"/>
      <c r="C606" s="39"/>
      <c r="D606" s="39"/>
      <c r="E606" s="39"/>
      <c r="F606" s="39"/>
      <c r="G606" s="39"/>
      <c r="H606" s="39"/>
      <c r="I606" s="39"/>
      <c r="J606" s="39"/>
      <c r="K606" s="39"/>
      <c r="L606" s="39"/>
      <c r="M606" s="39"/>
    </row>
    <row r="607" customFormat="false" ht="15" hidden="false" customHeight="false" outlineLevel="0" collapsed="false">
      <c r="A607" s="39"/>
      <c r="B607" s="39"/>
      <c r="C607" s="39"/>
      <c r="D607" s="39"/>
      <c r="E607" s="39"/>
      <c r="F607" s="39"/>
      <c r="G607" s="39"/>
      <c r="H607" s="39"/>
      <c r="I607" s="39"/>
      <c r="J607" s="39"/>
      <c r="K607" s="39"/>
      <c r="L607" s="39"/>
      <c r="M607" s="39"/>
    </row>
    <row r="608" customFormat="false" ht="15" hidden="false" customHeight="false" outlineLevel="0" collapsed="false">
      <c r="A608" s="39"/>
      <c r="B608" s="39"/>
      <c r="C608" s="39"/>
      <c r="D608" s="39"/>
      <c r="E608" s="39"/>
      <c r="F608" s="39"/>
      <c r="G608" s="39"/>
      <c r="H608" s="39"/>
      <c r="I608" s="39"/>
      <c r="J608" s="39"/>
      <c r="K608" s="39"/>
      <c r="L608" s="39"/>
      <c r="M608" s="39"/>
    </row>
    <row r="609" customFormat="false" ht="15" hidden="false" customHeight="false" outlineLevel="0" collapsed="false">
      <c r="A609" s="39"/>
      <c r="B609" s="39"/>
      <c r="C609" s="39"/>
      <c r="D609" s="39"/>
      <c r="E609" s="39"/>
      <c r="F609" s="39"/>
      <c r="G609" s="39"/>
      <c r="H609" s="39"/>
      <c r="I609" s="39"/>
      <c r="J609" s="39"/>
      <c r="K609" s="39"/>
      <c r="L609" s="39"/>
      <c r="M609" s="39"/>
    </row>
    <row r="610" customFormat="false" ht="15" hidden="false" customHeight="false" outlineLevel="0" collapsed="false">
      <c r="A610" s="39"/>
      <c r="B610" s="39"/>
      <c r="C610" s="39"/>
      <c r="D610" s="39"/>
      <c r="E610" s="39"/>
      <c r="F610" s="39"/>
      <c r="G610" s="39"/>
      <c r="H610" s="39"/>
      <c r="I610" s="39"/>
      <c r="J610" s="39"/>
      <c r="K610" s="39"/>
      <c r="L610" s="39"/>
      <c r="M610" s="39"/>
    </row>
    <row r="611" customFormat="false" ht="15" hidden="false" customHeight="false" outlineLevel="0" collapsed="false">
      <c r="A611" s="39"/>
      <c r="B611" s="39"/>
      <c r="C611" s="39"/>
      <c r="D611" s="39"/>
      <c r="E611" s="39"/>
      <c r="F611" s="39"/>
      <c r="G611" s="39"/>
      <c r="H611" s="39"/>
      <c r="I611" s="39"/>
      <c r="J611" s="39"/>
      <c r="K611" s="39"/>
      <c r="L611" s="39"/>
      <c r="M611" s="39"/>
    </row>
    <row r="612" customFormat="false" ht="15" hidden="false" customHeight="false" outlineLevel="0" collapsed="false">
      <c r="A612" s="39"/>
      <c r="B612" s="39"/>
      <c r="C612" s="39"/>
      <c r="D612" s="39"/>
      <c r="E612" s="39"/>
      <c r="F612" s="39"/>
      <c r="G612" s="39"/>
      <c r="H612" s="39"/>
      <c r="I612" s="39"/>
      <c r="J612" s="39"/>
      <c r="K612" s="39"/>
      <c r="L612" s="39"/>
      <c r="M612" s="39"/>
    </row>
    <row r="613" customFormat="false" ht="15" hidden="false" customHeight="false" outlineLevel="0" collapsed="false">
      <c r="A613" s="39"/>
      <c r="B613" s="39"/>
      <c r="C613" s="39"/>
      <c r="D613" s="39"/>
      <c r="E613" s="39"/>
      <c r="F613" s="39"/>
      <c r="G613" s="39"/>
      <c r="H613" s="39"/>
      <c r="I613" s="39"/>
      <c r="J613" s="39"/>
      <c r="K613" s="39"/>
      <c r="L613" s="39"/>
      <c r="M613" s="39"/>
    </row>
    <row r="614" customFormat="false" ht="15" hidden="false" customHeight="false" outlineLevel="0" collapsed="false">
      <c r="A614" s="39"/>
      <c r="B614" s="39"/>
      <c r="C614" s="39"/>
      <c r="D614" s="39"/>
      <c r="E614" s="39"/>
      <c r="F614" s="39"/>
      <c r="G614" s="39"/>
      <c r="H614" s="39"/>
      <c r="I614" s="39"/>
      <c r="J614" s="39"/>
      <c r="K614" s="39"/>
      <c r="L614" s="39"/>
      <c r="M614" s="39"/>
    </row>
    <row r="615" customFormat="false" ht="15" hidden="false" customHeight="false" outlineLevel="0" collapsed="false">
      <c r="A615" s="39"/>
      <c r="B615" s="39"/>
      <c r="C615" s="39"/>
      <c r="D615" s="39"/>
      <c r="E615" s="39"/>
      <c r="F615" s="39"/>
      <c r="G615" s="39"/>
      <c r="H615" s="39"/>
      <c r="I615" s="39"/>
      <c r="J615" s="39"/>
      <c r="K615" s="39"/>
      <c r="L615" s="39"/>
      <c r="M615" s="39"/>
    </row>
    <row r="616" customFormat="false" ht="15" hidden="false" customHeight="false" outlineLevel="0" collapsed="false">
      <c r="A616" s="39"/>
      <c r="B616" s="39"/>
      <c r="C616" s="39"/>
      <c r="D616" s="39"/>
      <c r="E616" s="39"/>
      <c r="F616" s="39"/>
      <c r="G616" s="39"/>
      <c r="H616" s="39"/>
      <c r="I616" s="39"/>
      <c r="J616" s="39"/>
      <c r="K616" s="39"/>
      <c r="L616" s="39"/>
      <c r="M616" s="39"/>
    </row>
    <row r="617" customFormat="false" ht="15" hidden="false" customHeight="false" outlineLevel="0" collapsed="false">
      <c r="A617" s="39"/>
      <c r="B617" s="39"/>
      <c r="C617" s="39"/>
      <c r="D617" s="39"/>
      <c r="E617" s="39"/>
      <c r="F617" s="39"/>
      <c r="G617" s="39"/>
      <c r="H617" s="39"/>
      <c r="I617" s="39"/>
      <c r="J617" s="39"/>
      <c r="K617" s="39"/>
      <c r="L617" s="39"/>
      <c r="M617" s="39"/>
    </row>
    <row r="618" customFormat="false" ht="15" hidden="false" customHeight="false" outlineLevel="0" collapsed="false">
      <c r="A618" s="39"/>
      <c r="B618" s="39"/>
      <c r="C618" s="39"/>
      <c r="D618" s="39"/>
      <c r="E618" s="39"/>
      <c r="F618" s="39"/>
      <c r="G618" s="39"/>
      <c r="H618" s="39"/>
      <c r="I618" s="39"/>
      <c r="J618" s="39"/>
      <c r="K618" s="39"/>
      <c r="L618" s="39"/>
      <c r="M618" s="39"/>
    </row>
    <row r="619" customFormat="false" ht="15" hidden="false" customHeight="false" outlineLevel="0" collapsed="false">
      <c r="A619" s="39"/>
      <c r="B619" s="39"/>
      <c r="C619" s="39"/>
      <c r="D619" s="39"/>
      <c r="E619" s="39"/>
      <c r="F619" s="39"/>
      <c r="G619" s="39"/>
      <c r="H619" s="39"/>
      <c r="I619" s="39"/>
      <c r="J619" s="39"/>
      <c r="K619" s="39"/>
      <c r="L619" s="39"/>
      <c r="M619" s="39"/>
    </row>
    <row r="620" customFormat="false" ht="15" hidden="false" customHeight="false" outlineLevel="0" collapsed="false">
      <c r="A620" s="39"/>
      <c r="B620" s="39"/>
      <c r="C620" s="39"/>
      <c r="D620" s="39"/>
      <c r="E620" s="39"/>
      <c r="F620" s="39"/>
      <c r="G620" s="39"/>
      <c r="H620" s="39"/>
      <c r="I620" s="39"/>
      <c r="J620" s="39"/>
      <c r="K620" s="39"/>
      <c r="L620" s="39"/>
      <c r="M620" s="39"/>
    </row>
    <row r="621" customFormat="false" ht="15" hidden="false" customHeight="false" outlineLevel="0" collapsed="false">
      <c r="A621" s="39"/>
      <c r="B621" s="39"/>
      <c r="C621" s="39"/>
      <c r="D621" s="39"/>
      <c r="E621" s="39"/>
      <c r="F621" s="39"/>
      <c r="G621" s="39"/>
      <c r="H621" s="39"/>
      <c r="I621" s="39"/>
      <c r="J621" s="39"/>
      <c r="K621" s="39"/>
      <c r="L621" s="39"/>
      <c r="M621" s="39"/>
    </row>
    <row r="622" customFormat="false" ht="15" hidden="false" customHeight="false" outlineLevel="0" collapsed="false">
      <c r="A622" s="39"/>
      <c r="B622" s="39"/>
      <c r="C622" s="39"/>
      <c r="D622" s="39"/>
      <c r="E622" s="39"/>
      <c r="F622" s="39"/>
      <c r="G622" s="39"/>
      <c r="H622" s="39"/>
      <c r="I622" s="39"/>
      <c r="J622" s="39"/>
      <c r="K622" s="39"/>
      <c r="L622" s="39"/>
      <c r="M622" s="39"/>
    </row>
    <row r="623" customFormat="false" ht="15" hidden="false" customHeight="false" outlineLevel="0" collapsed="false">
      <c r="A623" s="39"/>
      <c r="B623" s="39"/>
      <c r="C623" s="39"/>
      <c r="D623" s="39"/>
      <c r="E623" s="39"/>
      <c r="F623" s="39"/>
      <c r="G623" s="39"/>
      <c r="H623" s="39"/>
      <c r="I623" s="39"/>
      <c r="J623" s="39"/>
      <c r="K623" s="39"/>
      <c r="L623" s="39"/>
      <c r="M623" s="39"/>
    </row>
    <row r="624" customFormat="false" ht="15" hidden="false" customHeight="false" outlineLevel="0" collapsed="false">
      <c r="A624" s="39"/>
      <c r="B624" s="39"/>
      <c r="C624" s="39"/>
      <c r="D624" s="39"/>
      <c r="E624" s="39"/>
      <c r="F624" s="39"/>
      <c r="G624" s="39"/>
      <c r="H624" s="39"/>
      <c r="I624" s="39"/>
      <c r="J624" s="39"/>
      <c r="K624" s="39"/>
      <c r="L624" s="39"/>
      <c r="M624" s="39"/>
    </row>
    <row r="625" customFormat="false" ht="15" hidden="false" customHeight="false" outlineLevel="0" collapsed="false">
      <c r="A625" s="39"/>
      <c r="B625" s="39"/>
      <c r="C625" s="39"/>
      <c r="D625" s="39"/>
      <c r="E625" s="39"/>
      <c r="F625" s="39"/>
      <c r="G625" s="39"/>
      <c r="H625" s="39"/>
      <c r="I625" s="39"/>
      <c r="J625" s="39"/>
      <c r="K625" s="39"/>
      <c r="L625" s="39"/>
      <c r="M625" s="39"/>
    </row>
    <row r="626" customFormat="false" ht="15" hidden="false" customHeight="false" outlineLevel="0" collapsed="false">
      <c r="A626" s="39"/>
      <c r="B626" s="39"/>
      <c r="C626" s="39"/>
      <c r="D626" s="39"/>
      <c r="E626" s="39"/>
      <c r="F626" s="39"/>
      <c r="G626" s="39"/>
      <c r="H626" s="39"/>
      <c r="I626" s="39"/>
      <c r="J626" s="39"/>
      <c r="K626" s="39"/>
      <c r="L626" s="39"/>
      <c r="M626" s="39"/>
    </row>
    <row r="627" customFormat="false" ht="15" hidden="false" customHeight="false" outlineLevel="0" collapsed="false">
      <c r="A627" s="39"/>
      <c r="B627" s="39"/>
      <c r="C627" s="39"/>
      <c r="D627" s="39"/>
      <c r="E627" s="39"/>
      <c r="F627" s="39"/>
      <c r="G627" s="39"/>
      <c r="H627" s="39"/>
      <c r="I627" s="39"/>
      <c r="J627" s="39"/>
      <c r="K627" s="39"/>
      <c r="L627" s="39"/>
      <c r="M627" s="39"/>
    </row>
    <row r="628" customFormat="false" ht="15" hidden="false" customHeight="false" outlineLevel="0" collapsed="false">
      <c r="A628" s="39"/>
      <c r="B628" s="39"/>
      <c r="C628" s="39"/>
      <c r="D628" s="39"/>
      <c r="E628" s="39"/>
      <c r="F628" s="39"/>
      <c r="G628" s="39"/>
      <c r="H628" s="39"/>
      <c r="I628" s="39"/>
      <c r="J628" s="39"/>
      <c r="K628" s="39"/>
      <c r="L628" s="39"/>
      <c r="M628" s="39"/>
    </row>
    <row r="629" customFormat="false" ht="15" hidden="false" customHeight="false" outlineLevel="0" collapsed="false">
      <c r="A629" s="39"/>
      <c r="B629" s="39"/>
      <c r="C629" s="39"/>
      <c r="D629" s="39"/>
      <c r="E629" s="39"/>
      <c r="F629" s="39"/>
      <c r="G629" s="39"/>
      <c r="H629" s="39"/>
      <c r="I629" s="39"/>
      <c r="J629" s="39"/>
      <c r="K629" s="39"/>
      <c r="L629" s="39"/>
      <c r="M629" s="39"/>
    </row>
    <row r="630" customFormat="false" ht="15" hidden="false" customHeight="false" outlineLevel="0" collapsed="false">
      <c r="A630" s="39"/>
      <c r="B630" s="39"/>
      <c r="C630" s="39"/>
      <c r="D630" s="39"/>
      <c r="E630" s="39"/>
      <c r="F630" s="39"/>
      <c r="G630" s="39"/>
      <c r="H630" s="39"/>
      <c r="I630" s="39"/>
      <c r="J630" s="39"/>
      <c r="K630" s="39"/>
      <c r="L630" s="39"/>
      <c r="M630" s="39"/>
    </row>
    <row r="631" customFormat="false" ht="15" hidden="false" customHeight="false" outlineLevel="0" collapsed="false">
      <c r="A631" s="39"/>
      <c r="B631" s="39"/>
      <c r="C631" s="39"/>
      <c r="D631" s="39"/>
      <c r="E631" s="39"/>
      <c r="F631" s="39"/>
      <c r="G631" s="39"/>
      <c r="H631" s="39"/>
      <c r="I631" s="39"/>
      <c r="J631" s="39"/>
      <c r="K631" s="39"/>
      <c r="L631" s="39"/>
      <c r="M631" s="39"/>
    </row>
    <row r="632" customFormat="false" ht="15" hidden="false" customHeight="false" outlineLevel="0" collapsed="false">
      <c r="A632" s="39"/>
      <c r="B632" s="39"/>
      <c r="C632" s="39"/>
      <c r="D632" s="39"/>
      <c r="E632" s="39"/>
      <c r="F632" s="39"/>
      <c r="G632" s="39"/>
      <c r="H632" s="39"/>
      <c r="I632" s="39"/>
      <c r="J632" s="39"/>
      <c r="K632" s="39"/>
      <c r="L632" s="39"/>
      <c r="M632" s="39"/>
    </row>
    <row r="633" customFormat="false" ht="15" hidden="false" customHeight="false" outlineLevel="0" collapsed="false">
      <c r="A633" s="39"/>
      <c r="B633" s="39"/>
      <c r="C633" s="39"/>
      <c r="D633" s="39"/>
      <c r="E633" s="39"/>
      <c r="F633" s="39"/>
      <c r="G633" s="39"/>
      <c r="H633" s="39"/>
      <c r="I633" s="39"/>
      <c r="J633" s="39"/>
      <c r="K633" s="39"/>
      <c r="L633" s="39"/>
      <c r="M633" s="39"/>
    </row>
    <row r="634" customFormat="false" ht="15" hidden="false" customHeight="false" outlineLevel="0" collapsed="false">
      <c r="A634" s="39"/>
      <c r="B634" s="39"/>
      <c r="C634" s="39"/>
      <c r="D634" s="39"/>
      <c r="E634" s="39"/>
      <c r="F634" s="39"/>
      <c r="G634" s="39"/>
      <c r="H634" s="39"/>
      <c r="I634" s="39"/>
      <c r="J634" s="39"/>
      <c r="K634" s="39"/>
      <c r="L634" s="39"/>
      <c r="M634" s="39"/>
    </row>
    <row r="635" customFormat="false" ht="15" hidden="false" customHeight="false" outlineLevel="0" collapsed="false">
      <c r="A635" s="39"/>
      <c r="B635" s="39"/>
      <c r="C635" s="39"/>
      <c r="D635" s="39"/>
      <c r="E635" s="39"/>
      <c r="F635" s="39"/>
      <c r="G635" s="39"/>
      <c r="H635" s="39"/>
      <c r="I635" s="39"/>
      <c r="J635" s="39"/>
      <c r="K635" s="39"/>
      <c r="L635" s="39"/>
      <c r="M635" s="39"/>
    </row>
    <row r="636" customFormat="false" ht="15" hidden="false" customHeight="false" outlineLevel="0" collapsed="false">
      <c r="A636" s="39"/>
      <c r="B636" s="39"/>
      <c r="C636" s="39"/>
      <c r="D636" s="39"/>
      <c r="E636" s="39"/>
      <c r="F636" s="39"/>
      <c r="G636" s="39"/>
      <c r="H636" s="39"/>
      <c r="I636" s="39"/>
      <c r="J636" s="39"/>
      <c r="K636" s="39"/>
      <c r="L636" s="39"/>
      <c r="M636" s="39"/>
    </row>
    <row r="637" customFormat="false" ht="15" hidden="false" customHeight="false" outlineLevel="0" collapsed="false">
      <c r="A637" s="39"/>
      <c r="B637" s="39"/>
      <c r="C637" s="39"/>
      <c r="D637" s="39"/>
      <c r="E637" s="39"/>
      <c r="F637" s="39"/>
      <c r="G637" s="39"/>
      <c r="H637" s="39"/>
      <c r="I637" s="39"/>
      <c r="J637" s="39"/>
      <c r="K637" s="39"/>
      <c r="L637" s="39"/>
      <c r="M637" s="39"/>
    </row>
    <row r="638" customFormat="false" ht="15" hidden="false" customHeight="false" outlineLevel="0" collapsed="false">
      <c r="A638" s="39"/>
      <c r="B638" s="39"/>
      <c r="C638" s="39"/>
      <c r="D638" s="39"/>
      <c r="E638" s="39"/>
      <c r="F638" s="39"/>
      <c r="G638" s="39"/>
      <c r="H638" s="39"/>
      <c r="I638" s="39"/>
      <c r="J638" s="39"/>
      <c r="K638" s="39"/>
      <c r="L638" s="39"/>
      <c r="M638" s="39"/>
    </row>
    <row r="639" customFormat="false" ht="15" hidden="false" customHeight="false" outlineLevel="0" collapsed="false">
      <c r="A639" s="39"/>
      <c r="B639" s="39"/>
      <c r="C639" s="39"/>
      <c r="D639" s="39"/>
      <c r="E639" s="39"/>
      <c r="F639" s="39"/>
      <c r="G639" s="39"/>
      <c r="H639" s="39"/>
      <c r="I639" s="39"/>
      <c r="J639" s="39"/>
      <c r="K639" s="39"/>
      <c r="L639" s="39"/>
      <c r="M639" s="39"/>
    </row>
    <row r="640" customFormat="false" ht="15" hidden="false" customHeight="false" outlineLevel="0" collapsed="false">
      <c r="A640" s="39"/>
      <c r="B640" s="39"/>
      <c r="C640" s="39"/>
      <c r="D640" s="39"/>
      <c r="E640" s="39"/>
      <c r="F640" s="39"/>
      <c r="G640" s="39"/>
      <c r="H640" s="39"/>
      <c r="I640" s="39"/>
      <c r="J640" s="39"/>
      <c r="K640" s="39"/>
      <c r="L640" s="39"/>
      <c r="M640" s="39"/>
    </row>
    <row r="641" customFormat="false" ht="15" hidden="false" customHeight="false" outlineLevel="0" collapsed="false">
      <c r="A641" s="39"/>
      <c r="B641" s="39"/>
      <c r="C641" s="39"/>
      <c r="D641" s="39"/>
      <c r="E641" s="39"/>
      <c r="F641" s="39"/>
      <c r="G641" s="39"/>
      <c r="H641" s="39"/>
      <c r="I641" s="39"/>
      <c r="J641" s="39"/>
      <c r="K641" s="39"/>
      <c r="L641" s="39"/>
      <c r="M641" s="39"/>
    </row>
    <row r="642" customFormat="false" ht="15" hidden="false" customHeight="false" outlineLevel="0" collapsed="false">
      <c r="A642" s="39"/>
      <c r="B642" s="39"/>
      <c r="C642" s="39"/>
      <c r="D642" s="39"/>
      <c r="E642" s="39"/>
      <c r="F642" s="39"/>
      <c r="G642" s="39"/>
      <c r="H642" s="39"/>
      <c r="I642" s="39"/>
      <c r="J642" s="39"/>
      <c r="K642" s="39"/>
      <c r="L642" s="39"/>
      <c r="M642" s="39"/>
    </row>
    <row r="643" customFormat="false" ht="15" hidden="false" customHeight="false" outlineLevel="0" collapsed="false">
      <c r="A643" s="39"/>
      <c r="B643" s="39"/>
      <c r="C643" s="39"/>
      <c r="D643" s="39"/>
      <c r="E643" s="39"/>
      <c r="F643" s="39"/>
      <c r="G643" s="39"/>
      <c r="H643" s="39"/>
      <c r="I643" s="39"/>
      <c r="J643" s="39"/>
      <c r="K643" s="39"/>
      <c r="L643" s="39"/>
      <c r="M643" s="39"/>
    </row>
    <row r="644" customFormat="false" ht="15" hidden="false" customHeight="false" outlineLevel="0" collapsed="false">
      <c r="A644" s="39"/>
      <c r="B644" s="39"/>
      <c r="C644" s="39"/>
      <c r="D644" s="39"/>
      <c r="E644" s="39"/>
      <c r="F644" s="39"/>
      <c r="G644" s="39"/>
      <c r="H644" s="39"/>
      <c r="I644" s="39"/>
      <c r="J644" s="39"/>
      <c r="K644" s="39"/>
      <c r="L644" s="39"/>
      <c r="M644" s="39"/>
    </row>
    <row r="645" customFormat="false" ht="15" hidden="false" customHeight="false" outlineLevel="0" collapsed="false">
      <c r="A645" s="39"/>
      <c r="B645" s="39"/>
      <c r="C645" s="39"/>
      <c r="D645" s="39"/>
      <c r="E645" s="39"/>
      <c r="F645" s="39"/>
      <c r="G645" s="39"/>
      <c r="H645" s="39"/>
      <c r="I645" s="39"/>
      <c r="J645" s="39"/>
      <c r="K645" s="39"/>
      <c r="L645" s="39"/>
      <c r="M645" s="39"/>
    </row>
    <row r="646" customFormat="false" ht="15" hidden="false" customHeight="false" outlineLevel="0" collapsed="false">
      <c r="A646" s="39"/>
      <c r="B646" s="39"/>
      <c r="C646" s="39"/>
      <c r="D646" s="39"/>
      <c r="E646" s="39"/>
      <c r="F646" s="39"/>
      <c r="G646" s="39"/>
      <c r="H646" s="39"/>
      <c r="I646" s="39"/>
      <c r="J646" s="39"/>
      <c r="K646" s="39"/>
      <c r="L646" s="39"/>
      <c r="M646" s="39"/>
    </row>
    <row r="647" customFormat="false" ht="15" hidden="false" customHeight="false" outlineLevel="0" collapsed="false">
      <c r="A647" s="39"/>
      <c r="B647" s="39"/>
      <c r="C647" s="39"/>
      <c r="D647" s="39"/>
      <c r="E647" s="39"/>
      <c r="F647" s="39"/>
      <c r="G647" s="39"/>
      <c r="H647" s="39"/>
      <c r="I647" s="39"/>
      <c r="J647" s="39"/>
      <c r="K647" s="39"/>
      <c r="L647" s="39"/>
      <c r="M647" s="39"/>
    </row>
    <row r="648" customFormat="false" ht="15" hidden="false" customHeight="false" outlineLevel="0" collapsed="false">
      <c r="A648" s="39"/>
      <c r="B648" s="39"/>
      <c r="C648" s="39"/>
      <c r="D648" s="39"/>
      <c r="E648" s="39"/>
      <c r="F648" s="39"/>
      <c r="G648" s="39"/>
      <c r="H648" s="39"/>
      <c r="I648" s="39"/>
      <c r="J648" s="39"/>
      <c r="K648" s="39"/>
      <c r="L648" s="39"/>
      <c r="M648" s="39"/>
    </row>
    <row r="649" customFormat="false" ht="15" hidden="false" customHeight="false" outlineLevel="0" collapsed="false">
      <c r="A649" s="39"/>
      <c r="B649" s="39"/>
      <c r="C649" s="39"/>
      <c r="D649" s="39"/>
      <c r="E649" s="39"/>
      <c r="F649" s="39"/>
      <c r="G649" s="39"/>
      <c r="H649" s="39"/>
      <c r="I649" s="39"/>
      <c r="J649" s="39"/>
      <c r="K649" s="39"/>
      <c r="L649" s="39"/>
      <c r="M649" s="39"/>
    </row>
    <row r="650" customFormat="false" ht="15" hidden="false" customHeight="false" outlineLevel="0" collapsed="false">
      <c r="A650" s="39"/>
      <c r="B650" s="39"/>
      <c r="C650" s="39"/>
      <c r="D650" s="39"/>
      <c r="E650" s="39"/>
      <c r="F650" s="39"/>
      <c r="G650" s="39"/>
      <c r="H650" s="39"/>
      <c r="I650" s="39"/>
      <c r="J650" s="39"/>
      <c r="K650" s="39"/>
      <c r="L650" s="39"/>
      <c r="M650" s="39"/>
    </row>
    <row r="651" customFormat="false" ht="15" hidden="false" customHeight="false" outlineLevel="0" collapsed="false">
      <c r="A651" s="39"/>
      <c r="B651" s="39"/>
      <c r="C651" s="39"/>
      <c r="D651" s="39"/>
      <c r="E651" s="39"/>
      <c r="F651" s="39"/>
      <c r="G651" s="39"/>
      <c r="H651" s="39"/>
      <c r="I651" s="39"/>
      <c r="J651" s="39"/>
      <c r="K651" s="39"/>
      <c r="L651" s="39"/>
      <c r="M651" s="39"/>
    </row>
    <row r="652" customFormat="false" ht="15" hidden="false" customHeight="false" outlineLevel="0" collapsed="false">
      <c r="A652" s="39"/>
      <c r="B652" s="39"/>
      <c r="C652" s="39"/>
      <c r="D652" s="39"/>
      <c r="E652" s="39"/>
      <c r="F652" s="39"/>
      <c r="G652" s="39"/>
      <c r="H652" s="39"/>
      <c r="I652" s="39"/>
      <c r="J652" s="39"/>
      <c r="K652" s="39"/>
      <c r="L652" s="39"/>
      <c r="M652" s="39"/>
    </row>
    <row r="653" customFormat="false" ht="15" hidden="false" customHeight="false" outlineLevel="0" collapsed="false">
      <c r="A653" s="39"/>
      <c r="B653" s="39"/>
      <c r="C653" s="39"/>
      <c r="D653" s="39"/>
      <c r="E653" s="39"/>
      <c r="F653" s="39"/>
      <c r="G653" s="39"/>
      <c r="H653" s="39"/>
      <c r="I653" s="39"/>
      <c r="J653" s="39"/>
      <c r="K653" s="39"/>
      <c r="L653" s="39"/>
      <c r="M653" s="39"/>
    </row>
    <row r="654" customFormat="false" ht="15" hidden="false" customHeight="false" outlineLevel="0" collapsed="false">
      <c r="A654" s="39"/>
      <c r="B654" s="39"/>
      <c r="C654" s="39"/>
      <c r="D654" s="39"/>
      <c r="E654" s="39"/>
      <c r="F654" s="39"/>
      <c r="G654" s="39"/>
      <c r="H654" s="39"/>
      <c r="I654" s="39"/>
      <c r="J654" s="39"/>
      <c r="K654" s="39"/>
      <c r="L654" s="39"/>
      <c r="M654" s="39"/>
    </row>
    <row r="655" customFormat="false" ht="15" hidden="false" customHeight="false" outlineLevel="0" collapsed="false">
      <c r="A655" s="39"/>
      <c r="B655" s="39"/>
      <c r="C655" s="39"/>
      <c r="D655" s="39"/>
      <c r="E655" s="39"/>
      <c r="F655" s="39"/>
      <c r="G655" s="39"/>
      <c r="H655" s="39"/>
      <c r="I655" s="39"/>
      <c r="J655" s="39"/>
      <c r="K655" s="39"/>
      <c r="L655" s="39"/>
      <c r="M655" s="39"/>
    </row>
    <row r="656" customFormat="false" ht="15" hidden="false" customHeight="false" outlineLevel="0" collapsed="false">
      <c r="A656" s="39"/>
      <c r="B656" s="39"/>
      <c r="C656" s="39"/>
      <c r="D656" s="39"/>
      <c r="E656" s="39"/>
      <c r="F656" s="39"/>
      <c r="G656" s="39"/>
      <c r="H656" s="39"/>
      <c r="I656" s="39"/>
      <c r="J656" s="39"/>
      <c r="K656" s="39"/>
      <c r="L656" s="39"/>
      <c r="M656" s="39"/>
    </row>
    <row r="657" customFormat="false" ht="15" hidden="false" customHeight="false" outlineLevel="0" collapsed="false">
      <c r="A657" s="39"/>
      <c r="B657" s="39"/>
      <c r="C657" s="39"/>
      <c r="D657" s="39"/>
      <c r="E657" s="39"/>
      <c r="F657" s="39"/>
      <c r="G657" s="39"/>
      <c r="H657" s="39"/>
      <c r="I657" s="39"/>
      <c r="J657" s="39"/>
      <c r="K657" s="39"/>
      <c r="L657" s="39"/>
      <c r="M657" s="39"/>
    </row>
    <row r="658" customFormat="false" ht="15" hidden="false" customHeight="false" outlineLevel="0" collapsed="false">
      <c r="A658" s="39"/>
      <c r="B658" s="39"/>
      <c r="C658" s="39"/>
      <c r="D658" s="39"/>
      <c r="E658" s="39"/>
      <c r="F658" s="39"/>
      <c r="G658" s="39"/>
      <c r="H658" s="39"/>
      <c r="I658" s="39"/>
      <c r="J658" s="39"/>
      <c r="K658" s="39"/>
      <c r="L658" s="39"/>
      <c r="M658" s="39"/>
    </row>
    <row r="659" customFormat="false" ht="15" hidden="false" customHeight="false" outlineLevel="0" collapsed="false">
      <c r="A659" s="39"/>
      <c r="B659" s="39"/>
      <c r="C659" s="39"/>
      <c r="D659" s="39"/>
      <c r="E659" s="39"/>
      <c r="F659" s="39"/>
      <c r="G659" s="39"/>
      <c r="H659" s="39"/>
      <c r="I659" s="39"/>
      <c r="J659" s="39"/>
      <c r="K659" s="39"/>
      <c r="L659" s="39"/>
      <c r="M659" s="39"/>
    </row>
    <row r="660" customFormat="false" ht="15" hidden="false" customHeight="false" outlineLevel="0" collapsed="false">
      <c r="A660" s="39"/>
      <c r="B660" s="39"/>
      <c r="C660" s="39"/>
      <c r="D660" s="39"/>
      <c r="E660" s="39"/>
      <c r="F660" s="39"/>
      <c r="G660" s="39"/>
      <c r="H660" s="39"/>
      <c r="I660" s="39"/>
      <c r="J660" s="39"/>
      <c r="K660" s="39"/>
      <c r="L660" s="39"/>
      <c r="M660" s="39"/>
    </row>
    <row r="661" customFormat="false" ht="15" hidden="false" customHeight="false" outlineLevel="0" collapsed="false">
      <c r="A661" s="39"/>
      <c r="B661" s="39"/>
      <c r="C661" s="39"/>
      <c r="D661" s="39"/>
      <c r="E661" s="39"/>
      <c r="F661" s="39"/>
      <c r="G661" s="39"/>
      <c r="H661" s="39"/>
      <c r="I661" s="39"/>
      <c r="J661" s="39"/>
      <c r="K661" s="39"/>
      <c r="L661" s="39"/>
      <c r="M661" s="39"/>
    </row>
    <row r="662" customFormat="false" ht="15" hidden="false" customHeight="false" outlineLevel="0" collapsed="false">
      <c r="A662" s="39"/>
      <c r="B662" s="39"/>
      <c r="C662" s="39"/>
      <c r="D662" s="39"/>
      <c r="E662" s="39"/>
      <c r="F662" s="39"/>
      <c r="G662" s="39"/>
      <c r="H662" s="39"/>
      <c r="I662" s="39"/>
      <c r="J662" s="39"/>
      <c r="K662" s="39"/>
      <c r="L662" s="39"/>
      <c r="M662" s="39"/>
    </row>
    <row r="663" customFormat="false" ht="15" hidden="false" customHeight="false" outlineLevel="0" collapsed="false">
      <c r="A663" s="39"/>
      <c r="B663" s="39"/>
      <c r="C663" s="39"/>
      <c r="D663" s="39"/>
      <c r="E663" s="39"/>
      <c r="F663" s="39"/>
      <c r="G663" s="39"/>
      <c r="H663" s="39"/>
      <c r="I663" s="39"/>
      <c r="J663" s="39"/>
      <c r="K663" s="39"/>
      <c r="L663" s="39"/>
      <c r="M663" s="39"/>
    </row>
    <row r="664" customFormat="false" ht="15" hidden="false" customHeight="false" outlineLevel="0" collapsed="false">
      <c r="A664" s="39"/>
      <c r="B664" s="39"/>
      <c r="C664" s="39"/>
      <c r="D664" s="39"/>
      <c r="E664" s="39"/>
      <c r="F664" s="39"/>
      <c r="G664" s="39"/>
      <c r="H664" s="39"/>
      <c r="I664" s="39"/>
      <c r="J664" s="39"/>
      <c r="K664" s="39"/>
      <c r="L664" s="39"/>
      <c r="M664" s="39"/>
    </row>
    <row r="665" customFormat="false" ht="15" hidden="false" customHeight="false" outlineLevel="0" collapsed="false">
      <c r="A665" s="39"/>
      <c r="B665" s="39"/>
      <c r="C665" s="39"/>
      <c r="D665" s="39"/>
      <c r="E665" s="39"/>
      <c r="F665" s="39"/>
      <c r="G665" s="39"/>
      <c r="H665" s="39"/>
      <c r="I665" s="39"/>
      <c r="J665" s="39"/>
      <c r="K665" s="39"/>
      <c r="L665" s="39"/>
      <c r="M665" s="39"/>
    </row>
    <row r="666" customFormat="false" ht="15" hidden="false" customHeight="false" outlineLevel="0" collapsed="false">
      <c r="A666" s="39"/>
      <c r="B666" s="39"/>
      <c r="C666" s="39"/>
      <c r="D666" s="39"/>
      <c r="E666" s="39"/>
      <c r="F666" s="39"/>
      <c r="G666" s="39"/>
      <c r="H666" s="39"/>
      <c r="I666" s="39"/>
      <c r="J666" s="39"/>
      <c r="K666" s="39"/>
      <c r="L666" s="39"/>
      <c r="M666" s="39"/>
    </row>
    <row r="667" customFormat="false" ht="15" hidden="false" customHeight="false" outlineLevel="0" collapsed="false">
      <c r="A667" s="39"/>
      <c r="B667" s="39"/>
      <c r="C667" s="39"/>
      <c r="D667" s="39"/>
      <c r="E667" s="39"/>
      <c r="F667" s="39"/>
      <c r="G667" s="39"/>
      <c r="H667" s="39"/>
      <c r="I667" s="39"/>
      <c r="J667" s="39"/>
      <c r="K667" s="39"/>
      <c r="L667" s="39"/>
      <c r="M667" s="39"/>
    </row>
    <row r="668" customFormat="false" ht="15" hidden="false" customHeight="false" outlineLevel="0" collapsed="false">
      <c r="A668" s="39"/>
      <c r="B668" s="39"/>
      <c r="C668" s="39"/>
      <c r="D668" s="39"/>
      <c r="E668" s="39"/>
      <c r="F668" s="39"/>
      <c r="G668" s="39"/>
      <c r="H668" s="39"/>
      <c r="I668" s="39"/>
      <c r="J668" s="39"/>
      <c r="K668" s="39"/>
      <c r="L668" s="39"/>
      <c r="M668" s="39"/>
    </row>
    <row r="669" customFormat="false" ht="15" hidden="false" customHeight="false" outlineLevel="0" collapsed="false">
      <c r="A669" s="39"/>
      <c r="B669" s="39"/>
      <c r="C669" s="39"/>
      <c r="D669" s="39"/>
      <c r="E669" s="39"/>
      <c r="F669" s="39"/>
      <c r="G669" s="39"/>
      <c r="H669" s="39"/>
      <c r="I669" s="39"/>
      <c r="J669" s="39"/>
      <c r="K669" s="39"/>
      <c r="L669" s="39"/>
      <c r="M669" s="39"/>
    </row>
    <row r="670" customFormat="false" ht="15" hidden="false" customHeight="false" outlineLevel="0" collapsed="false">
      <c r="A670" s="39"/>
      <c r="B670" s="39"/>
      <c r="C670" s="39"/>
      <c r="D670" s="39"/>
      <c r="E670" s="39"/>
      <c r="F670" s="39"/>
      <c r="G670" s="39"/>
      <c r="H670" s="39"/>
      <c r="I670" s="39"/>
      <c r="J670" s="39"/>
      <c r="K670" s="39"/>
      <c r="L670" s="39"/>
      <c r="M670" s="39"/>
    </row>
    <row r="671" customFormat="false" ht="15" hidden="false" customHeight="false" outlineLevel="0" collapsed="false">
      <c r="A671" s="39"/>
      <c r="B671" s="39"/>
      <c r="C671" s="39"/>
      <c r="D671" s="39"/>
      <c r="E671" s="39"/>
      <c r="F671" s="39"/>
      <c r="G671" s="39"/>
      <c r="H671" s="39"/>
      <c r="I671" s="39"/>
      <c r="J671" s="39"/>
      <c r="K671" s="39"/>
      <c r="L671" s="39"/>
      <c r="M671" s="39"/>
    </row>
    <row r="672" customFormat="false" ht="15" hidden="false" customHeight="false" outlineLevel="0" collapsed="false">
      <c r="A672" s="39"/>
      <c r="B672" s="39"/>
      <c r="C672" s="39"/>
      <c r="D672" s="39"/>
      <c r="E672" s="39"/>
      <c r="F672" s="39"/>
      <c r="G672" s="39"/>
      <c r="H672" s="39"/>
      <c r="I672" s="39"/>
      <c r="J672" s="39"/>
      <c r="K672" s="39"/>
      <c r="L672" s="39"/>
      <c r="M672" s="39"/>
    </row>
    <row r="673" customFormat="false" ht="15" hidden="false" customHeight="false" outlineLevel="0" collapsed="false">
      <c r="A673" s="39"/>
      <c r="B673" s="39"/>
      <c r="C673" s="39"/>
      <c r="D673" s="39"/>
      <c r="E673" s="39"/>
      <c r="F673" s="39"/>
      <c r="G673" s="39"/>
      <c r="H673" s="39"/>
      <c r="I673" s="39"/>
      <c r="J673" s="39"/>
      <c r="K673" s="39"/>
      <c r="L673" s="39"/>
      <c r="M673" s="39"/>
    </row>
    <row r="674" customFormat="false" ht="15" hidden="false" customHeight="false" outlineLevel="0" collapsed="false">
      <c r="A674" s="39"/>
      <c r="B674" s="39"/>
      <c r="C674" s="39"/>
      <c r="D674" s="39"/>
      <c r="E674" s="39"/>
      <c r="F674" s="39"/>
      <c r="G674" s="39"/>
      <c r="H674" s="39"/>
      <c r="I674" s="39"/>
      <c r="J674" s="39"/>
      <c r="K674" s="39"/>
      <c r="L674" s="39"/>
      <c r="M674" s="39"/>
    </row>
    <row r="675" customFormat="false" ht="15" hidden="false" customHeight="false" outlineLevel="0" collapsed="false">
      <c r="A675" s="39"/>
      <c r="B675" s="39"/>
      <c r="C675" s="39"/>
      <c r="D675" s="39"/>
      <c r="E675" s="39"/>
      <c r="F675" s="39"/>
      <c r="G675" s="39"/>
      <c r="H675" s="39"/>
      <c r="I675" s="39"/>
      <c r="J675" s="39"/>
      <c r="K675" s="39"/>
      <c r="L675" s="39"/>
      <c r="M675" s="39"/>
    </row>
    <row r="676" customFormat="false" ht="15" hidden="false" customHeight="false" outlineLevel="0" collapsed="false">
      <c r="A676" s="39"/>
      <c r="B676" s="39"/>
      <c r="C676" s="39"/>
      <c r="D676" s="39"/>
      <c r="E676" s="39"/>
      <c r="F676" s="39"/>
      <c r="G676" s="39"/>
      <c r="H676" s="39"/>
      <c r="I676" s="39"/>
      <c r="J676" s="39"/>
      <c r="K676" s="39"/>
      <c r="L676" s="39"/>
      <c r="M676" s="39"/>
    </row>
    <row r="677" customFormat="false" ht="15" hidden="false" customHeight="false" outlineLevel="0" collapsed="false">
      <c r="A677" s="39"/>
      <c r="B677" s="39"/>
      <c r="C677" s="39"/>
      <c r="D677" s="39"/>
      <c r="E677" s="39"/>
      <c r="F677" s="39"/>
      <c r="G677" s="39"/>
      <c r="H677" s="39"/>
      <c r="I677" s="39"/>
      <c r="J677" s="39"/>
      <c r="K677" s="39"/>
      <c r="L677" s="39"/>
      <c r="M677" s="39"/>
    </row>
    <row r="678" customFormat="false" ht="15" hidden="false" customHeight="false" outlineLevel="0" collapsed="false">
      <c r="A678" s="39"/>
      <c r="B678" s="39"/>
      <c r="C678" s="39"/>
      <c r="D678" s="39"/>
      <c r="E678" s="39"/>
      <c r="F678" s="39"/>
      <c r="G678" s="39"/>
      <c r="H678" s="39"/>
      <c r="I678" s="39"/>
      <c r="J678" s="39"/>
      <c r="K678" s="39"/>
      <c r="L678" s="39"/>
      <c r="M678" s="39"/>
    </row>
    <row r="679" customFormat="false" ht="15" hidden="false" customHeight="false" outlineLevel="0" collapsed="false">
      <c r="A679" s="39"/>
      <c r="B679" s="39"/>
      <c r="C679" s="39"/>
      <c r="D679" s="39"/>
      <c r="E679" s="39"/>
      <c r="F679" s="39"/>
      <c r="G679" s="39"/>
      <c r="H679" s="39"/>
      <c r="I679" s="39"/>
      <c r="J679" s="39"/>
      <c r="K679" s="39"/>
      <c r="L679" s="39"/>
      <c r="M679" s="39"/>
    </row>
    <row r="680" customFormat="false" ht="15" hidden="false" customHeight="false" outlineLevel="0" collapsed="false">
      <c r="A680" s="39"/>
      <c r="B680" s="39"/>
      <c r="C680" s="39"/>
      <c r="D680" s="39"/>
      <c r="E680" s="39"/>
      <c r="F680" s="39"/>
      <c r="G680" s="39"/>
      <c r="H680" s="39"/>
      <c r="I680" s="39"/>
      <c r="J680" s="39"/>
      <c r="K680" s="39"/>
      <c r="L680" s="39"/>
      <c r="M680" s="39"/>
    </row>
    <row r="681" customFormat="false" ht="15" hidden="false" customHeight="false" outlineLevel="0" collapsed="false">
      <c r="A681" s="39"/>
      <c r="B681" s="39"/>
      <c r="C681" s="39"/>
      <c r="D681" s="39"/>
      <c r="E681" s="39"/>
      <c r="F681" s="39"/>
      <c r="G681" s="39"/>
      <c r="H681" s="39"/>
      <c r="I681" s="39"/>
      <c r="J681" s="39"/>
      <c r="K681" s="39"/>
      <c r="L681" s="39"/>
      <c r="M681" s="39"/>
    </row>
    <row r="682" customFormat="false" ht="15" hidden="false" customHeight="false" outlineLevel="0" collapsed="false">
      <c r="A682" s="39"/>
      <c r="B682" s="39"/>
      <c r="C682" s="39"/>
      <c r="D682" s="39"/>
      <c r="E682" s="39"/>
      <c r="F682" s="39"/>
      <c r="G682" s="39"/>
      <c r="H682" s="39"/>
      <c r="I682" s="39"/>
      <c r="J682" s="39"/>
      <c r="K682" s="39"/>
      <c r="L682" s="39"/>
      <c r="M682" s="39"/>
    </row>
    <row r="683" customFormat="false" ht="15" hidden="false" customHeight="false" outlineLevel="0" collapsed="false">
      <c r="A683" s="39"/>
      <c r="B683" s="39"/>
      <c r="C683" s="39"/>
      <c r="D683" s="39"/>
      <c r="E683" s="39"/>
      <c r="F683" s="39"/>
      <c r="G683" s="39"/>
      <c r="H683" s="39"/>
      <c r="I683" s="39"/>
      <c r="J683" s="39"/>
      <c r="K683" s="39"/>
      <c r="L683" s="39"/>
      <c r="M683" s="39"/>
    </row>
    <row r="684" customFormat="false" ht="15" hidden="false" customHeight="false" outlineLevel="0" collapsed="false">
      <c r="A684" s="39"/>
      <c r="B684" s="39"/>
      <c r="C684" s="39"/>
      <c r="D684" s="39"/>
      <c r="E684" s="39"/>
      <c r="F684" s="39"/>
      <c r="G684" s="39"/>
      <c r="H684" s="39"/>
      <c r="I684" s="39"/>
      <c r="J684" s="39"/>
      <c r="K684" s="39"/>
      <c r="L684" s="39"/>
      <c r="M684" s="39"/>
    </row>
    <row r="685" customFormat="false" ht="15" hidden="false" customHeight="false" outlineLevel="0" collapsed="false">
      <c r="A685" s="39"/>
      <c r="B685" s="39"/>
      <c r="C685" s="39"/>
      <c r="D685" s="39"/>
      <c r="E685" s="39"/>
      <c r="F685" s="39"/>
      <c r="G685" s="39"/>
      <c r="H685" s="39"/>
      <c r="I685" s="39"/>
      <c r="J685" s="39"/>
      <c r="K685" s="39"/>
      <c r="L685" s="39"/>
      <c r="M685" s="39"/>
    </row>
    <row r="686" customFormat="false" ht="15" hidden="false" customHeight="false" outlineLevel="0" collapsed="false">
      <c r="A686" s="39"/>
      <c r="B686" s="39"/>
      <c r="C686" s="39"/>
      <c r="D686" s="39"/>
      <c r="E686" s="39"/>
      <c r="F686" s="39"/>
      <c r="G686" s="39"/>
      <c r="H686" s="39"/>
      <c r="I686" s="39"/>
      <c r="J686" s="39"/>
      <c r="K686" s="39"/>
      <c r="L686" s="39"/>
      <c r="M686" s="39"/>
    </row>
    <row r="687" customFormat="false" ht="15" hidden="false" customHeight="false" outlineLevel="0" collapsed="false">
      <c r="A687" s="39"/>
      <c r="B687" s="39"/>
      <c r="C687" s="39"/>
      <c r="D687" s="39"/>
      <c r="E687" s="39"/>
      <c r="F687" s="39"/>
      <c r="G687" s="39"/>
      <c r="H687" s="39"/>
      <c r="I687" s="39"/>
      <c r="J687" s="39"/>
      <c r="K687" s="39"/>
      <c r="L687" s="39"/>
      <c r="M687" s="39"/>
    </row>
    <row r="688" customFormat="false" ht="15" hidden="false" customHeight="false" outlineLevel="0" collapsed="false">
      <c r="A688" s="39"/>
      <c r="B688" s="39"/>
      <c r="C688" s="39"/>
      <c r="D688" s="39"/>
      <c r="E688" s="39"/>
      <c r="F688" s="39"/>
      <c r="G688" s="39"/>
      <c r="H688" s="39"/>
      <c r="I688" s="39"/>
      <c r="J688" s="39"/>
      <c r="K688" s="39"/>
      <c r="L688" s="39"/>
      <c r="M688" s="39"/>
    </row>
    <row r="689" customFormat="false" ht="15" hidden="false" customHeight="false" outlineLevel="0" collapsed="false">
      <c r="A689" s="39"/>
      <c r="B689" s="39"/>
      <c r="C689" s="39"/>
      <c r="D689" s="39"/>
      <c r="E689" s="39"/>
      <c r="F689" s="39"/>
      <c r="G689" s="39"/>
      <c r="H689" s="39"/>
      <c r="I689" s="39"/>
      <c r="J689" s="39"/>
      <c r="K689" s="39"/>
      <c r="L689" s="39"/>
      <c r="M689" s="39"/>
    </row>
    <row r="690" customFormat="false" ht="15" hidden="false" customHeight="false" outlineLevel="0" collapsed="false">
      <c r="A690" s="39"/>
      <c r="B690" s="39"/>
      <c r="C690" s="39"/>
      <c r="D690" s="39"/>
      <c r="E690" s="39"/>
      <c r="F690" s="39"/>
      <c r="G690" s="39"/>
      <c r="H690" s="39"/>
      <c r="I690" s="39"/>
      <c r="J690" s="39"/>
      <c r="K690" s="39"/>
      <c r="L690" s="39"/>
      <c r="M690" s="39"/>
    </row>
    <row r="691" customFormat="false" ht="15" hidden="false" customHeight="false" outlineLevel="0" collapsed="false">
      <c r="A691" s="39"/>
      <c r="B691" s="39"/>
      <c r="C691" s="39"/>
      <c r="D691" s="39"/>
      <c r="E691" s="39"/>
      <c r="F691" s="39"/>
      <c r="G691" s="39"/>
      <c r="H691" s="39"/>
      <c r="I691" s="39"/>
      <c r="J691" s="39"/>
      <c r="K691" s="39"/>
      <c r="L691" s="39"/>
      <c r="M691" s="39"/>
    </row>
    <row r="692" customFormat="false" ht="15" hidden="false" customHeight="false" outlineLevel="0" collapsed="false">
      <c r="A692" s="39"/>
      <c r="B692" s="39"/>
      <c r="C692" s="39"/>
      <c r="D692" s="39"/>
      <c r="E692" s="39"/>
      <c r="F692" s="39"/>
      <c r="G692" s="39"/>
      <c r="H692" s="39"/>
      <c r="I692" s="39"/>
      <c r="J692" s="39"/>
      <c r="K692" s="39"/>
      <c r="L692" s="39"/>
      <c r="M692" s="39"/>
    </row>
    <row r="693" customFormat="false" ht="15" hidden="false" customHeight="false" outlineLevel="0" collapsed="false">
      <c r="A693" s="39"/>
      <c r="B693" s="39"/>
      <c r="C693" s="39"/>
      <c r="D693" s="39"/>
      <c r="E693" s="39"/>
      <c r="F693" s="39"/>
      <c r="G693" s="39"/>
      <c r="H693" s="39"/>
      <c r="I693" s="39"/>
      <c r="J693" s="39"/>
      <c r="K693" s="39"/>
      <c r="L693" s="39"/>
      <c r="M693" s="39"/>
    </row>
    <row r="694" customFormat="false" ht="15" hidden="false" customHeight="false" outlineLevel="0" collapsed="false">
      <c r="A694" s="39"/>
      <c r="B694" s="39"/>
      <c r="C694" s="39"/>
      <c r="D694" s="39"/>
      <c r="E694" s="39"/>
      <c r="F694" s="39"/>
      <c r="G694" s="39"/>
      <c r="H694" s="39"/>
      <c r="I694" s="39"/>
      <c r="J694" s="39"/>
      <c r="K694" s="39"/>
      <c r="L694" s="39"/>
      <c r="M694" s="39"/>
    </row>
    <row r="695" customFormat="false" ht="15" hidden="false" customHeight="false" outlineLevel="0" collapsed="false">
      <c r="A695" s="39"/>
      <c r="B695" s="39"/>
      <c r="C695" s="39"/>
      <c r="D695" s="39"/>
      <c r="E695" s="39"/>
      <c r="F695" s="39"/>
      <c r="G695" s="39"/>
      <c r="H695" s="39"/>
      <c r="I695" s="39"/>
      <c r="J695" s="39"/>
      <c r="K695" s="39"/>
      <c r="L695" s="39"/>
      <c r="M695" s="39"/>
    </row>
    <row r="696" customFormat="false" ht="15" hidden="false" customHeight="false" outlineLevel="0" collapsed="false">
      <c r="A696" s="39"/>
      <c r="B696" s="39"/>
      <c r="C696" s="39"/>
      <c r="D696" s="39"/>
      <c r="E696" s="39"/>
      <c r="F696" s="39"/>
      <c r="G696" s="39"/>
      <c r="H696" s="39"/>
      <c r="I696" s="39"/>
      <c r="J696" s="39"/>
      <c r="K696" s="39"/>
      <c r="L696" s="39"/>
      <c r="M696" s="39"/>
    </row>
    <row r="697" customFormat="false" ht="15" hidden="false" customHeight="false" outlineLevel="0" collapsed="false">
      <c r="A697" s="39"/>
      <c r="B697" s="39"/>
      <c r="C697" s="39"/>
      <c r="D697" s="39"/>
      <c r="E697" s="39"/>
      <c r="F697" s="39"/>
      <c r="G697" s="39"/>
      <c r="H697" s="39"/>
      <c r="I697" s="39"/>
      <c r="J697" s="39"/>
      <c r="K697" s="39"/>
      <c r="L697" s="39"/>
      <c r="M697" s="39"/>
    </row>
    <row r="698" customFormat="false" ht="15" hidden="false" customHeight="false" outlineLevel="0" collapsed="false">
      <c r="A698" s="39"/>
      <c r="B698" s="39"/>
      <c r="C698" s="39"/>
      <c r="D698" s="39"/>
      <c r="E698" s="39"/>
      <c r="F698" s="39"/>
      <c r="G698" s="39"/>
      <c r="H698" s="39"/>
      <c r="I698" s="39"/>
      <c r="J698" s="39"/>
      <c r="K698" s="39"/>
      <c r="L698" s="39"/>
      <c r="M698" s="39"/>
    </row>
    <row r="699" customFormat="false" ht="15" hidden="false" customHeight="false" outlineLevel="0" collapsed="false">
      <c r="A699" s="39"/>
      <c r="B699" s="39"/>
      <c r="C699" s="39"/>
      <c r="D699" s="39"/>
      <c r="E699" s="39"/>
      <c r="F699" s="39"/>
      <c r="G699" s="39"/>
      <c r="H699" s="39"/>
      <c r="I699" s="39"/>
      <c r="J699" s="39"/>
      <c r="K699" s="39"/>
      <c r="L699" s="39"/>
      <c r="M699" s="39"/>
    </row>
    <row r="700" customFormat="false" ht="15" hidden="false" customHeight="false" outlineLevel="0" collapsed="false">
      <c r="A700" s="39"/>
      <c r="B700" s="39"/>
      <c r="C700" s="39"/>
      <c r="D700" s="39"/>
      <c r="E700" s="39"/>
      <c r="F700" s="39"/>
      <c r="G700" s="39"/>
      <c r="H700" s="39"/>
      <c r="I700" s="39"/>
      <c r="J700" s="39"/>
      <c r="K700" s="39"/>
      <c r="L700" s="39"/>
      <c r="M700" s="39"/>
    </row>
    <row r="701" customFormat="false" ht="15" hidden="false" customHeight="false" outlineLevel="0" collapsed="false">
      <c r="A701" s="39"/>
      <c r="B701" s="39"/>
      <c r="C701" s="39"/>
      <c r="D701" s="39"/>
      <c r="E701" s="39"/>
      <c r="F701" s="39"/>
      <c r="G701" s="39"/>
      <c r="H701" s="39"/>
      <c r="I701" s="39"/>
      <c r="J701" s="39"/>
      <c r="K701" s="39"/>
      <c r="L701" s="39"/>
      <c r="M701" s="39"/>
    </row>
    <row r="702" customFormat="false" ht="15" hidden="false" customHeight="false" outlineLevel="0" collapsed="false">
      <c r="A702" s="39"/>
      <c r="B702" s="39"/>
      <c r="C702" s="39"/>
      <c r="D702" s="39"/>
      <c r="E702" s="39"/>
      <c r="F702" s="39"/>
      <c r="G702" s="39"/>
      <c r="H702" s="39"/>
      <c r="I702" s="39"/>
      <c r="J702" s="39"/>
      <c r="K702" s="39"/>
      <c r="L702" s="39"/>
      <c r="M702" s="39"/>
    </row>
    <row r="703" customFormat="false" ht="15" hidden="false" customHeight="false" outlineLevel="0" collapsed="false">
      <c r="A703" s="39"/>
      <c r="B703" s="39"/>
      <c r="C703" s="39"/>
      <c r="D703" s="39"/>
      <c r="E703" s="39"/>
      <c r="F703" s="39"/>
      <c r="G703" s="39"/>
      <c r="H703" s="39"/>
      <c r="I703" s="39"/>
      <c r="J703" s="39"/>
      <c r="K703" s="39"/>
      <c r="L703" s="39"/>
      <c r="M703" s="39"/>
    </row>
    <row r="704" customFormat="false" ht="15" hidden="false" customHeight="false" outlineLevel="0" collapsed="false">
      <c r="A704" s="39"/>
      <c r="B704" s="39"/>
      <c r="C704" s="39"/>
      <c r="D704" s="39"/>
      <c r="E704" s="39"/>
      <c r="F704" s="39"/>
      <c r="G704" s="39"/>
      <c r="H704" s="39"/>
      <c r="I704" s="39"/>
      <c r="J704" s="39"/>
      <c r="K704" s="39"/>
      <c r="L704" s="39"/>
      <c r="M704" s="39"/>
    </row>
    <row r="705" customFormat="false" ht="15" hidden="false" customHeight="false" outlineLevel="0" collapsed="false">
      <c r="A705" s="39"/>
      <c r="B705" s="39"/>
      <c r="C705" s="39"/>
      <c r="D705" s="39"/>
      <c r="E705" s="39"/>
      <c r="F705" s="39"/>
      <c r="G705" s="39"/>
      <c r="H705" s="39"/>
      <c r="I705" s="39"/>
      <c r="J705" s="39"/>
      <c r="K705" s="39"/>
      <c r="L705" s="39"/>
      <c r="M705" s="39"/>
    </row>
    <row r="706" customFormat="false" ht="15" hidden="false" customHeight="false" outlineLevel="0" collapsed="false">
      <c r="A706" s="39"/>
      <c r="B706" s="39"/>
      <c r="C706" s="39"/>
      <c r="D706" s="39"/>
      <c r="E706" s="39"/>
      <c r="F706" s="39"/>
      <c r="G706" s="39"/>
      <c r="H706" s="39"/>
      <c r="I706" s="39"/>
      <c r="J706" s="39"/>
      <c r="K706" s="39"/>
      <c r="L706" s="39"/>
      <c r="M706" s="39"/>
    </row>
    <row r="707" customFormat="false" ht="15" hidden="false" customHeight="false" outlineLevel="0" collapsed="false">
      <c r="A707" s="39"/>
      <c r="B707" s="39"/>
      <c r="C707" s="39"/>
      <c r="D707" s="39"/>
      <c r="E707" s="39"/>
      <c r="F707" s="39"/>
      <c r="G707" s="39"/>
      <c r="H707" s="39"/>
      <c r="I707" s="39"/>
      <c r="J707" s="39"/>
      <c r="K707" s="39"/>
      <c r="L707" s="39"/>
      <c r="M707" s="39"/>
    </row>
    <row r="708" customFormat="false" ht="15" hidden="false" customHeight="false" outlineLevel="0" collapsed="false">
      <c r="A708" s="39"/>
      <c r="B708" s="39"/>
      <c r="C708" s="39"/>
      <c r="D708" s="39"/>
      <c r="E708" s="39"/>
      <c r="F708" s="39"/>
      <c r="G708" s="39"/>
      <c r="H708" s="39"/>
      <c r="I708" s="39"/>
      <c r="J708" s="39"/>
      <c r="K708" s="39"/>
      <c r="L708" s="39"/>
      <c r="M708" s="39"/>
    </row>
    <row r="709" customFormat="false" ht="15" hidden="false" customHeight="false" outlineLevel="0" collapsed="false">
      <c r="A709" s="39"/>
      <c r="B709" s="39"/>
      <c r="C709" s="39"/>
      <c r="D709" s="39"/>
      <c r="E709" s="39"/>
      <c r="F709" s="39"/>
      <c r="G709" s="39"/>
      <c r="H709" s="39"/>
      <c r="I709" s="39"/>
      <c r="J709" s="39"/>
      <c r="K709" s="39"/>
      <c r="L709" s="39"/>
      <c r="M709" s="39"/>
    </row>
    <row r="710" customFormat="false" ht="15" hidden="false" customHeight="false" outlineLevel="0" collapsed="false">
      <c r="A710" s="39"/>
      <c r="B710" s="39"/>
      <c r="C710" s="39"/>
      <c r="D710" s="39"/>
      <c r="E710" s="39"/>
      <c r="F710" s="39"/>
      <c r="G710" s="39"/>
      <c r="H710" s="39"/>
      <c r="I710" s="39"/>
      <c r="J710" s="39"/>
      <c r="K710" s="39"/>
      <c r="L710" s="39"/>
      <c r="M710" s="39"/>
    </row>
    <row r="711" customFormat="false" ht="15" hidden="false" customHeight="false" outlineLevel="0" collapsed="false">
      <c r="A711" s="39"/>
      <c r="B711" s="39"/>
      <c r="C711" s="39"/>
      <c r="D711" s="39"/>
      <c r="E711" s="39"/>
      <c r="F711" s="39"/>
      <c r="G711" s="39"/>
      <c r="H711" s="39"/>
      <c r="I711" s="39"/>
      <c r="J711" s="39"/>
      <c r="K711" s="39"/>
      <c r="L711" s="39"/>
      <c r="M711" s="39"/>
    </row>
    <row r="712" customFormat="false" ht="15" hidden="false" customHeight="false" outlineLevel="0" collapsed="false">
      <c r="A712" s="39"/>
      <c r="B712" s="39"/>
      <c r="C712" s="39"/>
      <c r="D712" s="39"/>
      <c r="E712" s="39"/>
      <c r="F712" s="39"/>
      <c r="G712" s="39"/>
      <c r="H712" s="39"/>
      <c r="I712" s="39"/>
      <c r="J712" s="39"/>
      <c r="K712" s="39"/>
      <c r="L712" s="39"/>
      <c r="M712" s="39"/>
    </row>
    <row r="713" customFormat="false" ht="15" hidden="false" customHeight="false" outlineLevel="0" collapsed="false">
      <c r="A713" s="39"/>
      <c r="B713" s="39"/>
      <c r="C713" s="39"/>
      <c r="D713" s="39"/>
      <c r="E713" s="39"/>
      <c r="F713" s="39"/>
      <c r="G713" s="39"/>
      <c r="H713" s="39"/>
      <c r="I713" s="39"/>
      <c r="J713" s="39"/>
      <c r="K713" s="39"/>
      <c r="L713" s="39"/>
      <c r="M713" s="39"/>
    </row>
    <row r="714" customFormat="false" ht="15" hidden="false" customHeight="false" outlineLevel="0" collapsed="false">
      <c r="A714" s="39"/>
      <c r="B714" s="39"/>
      <c r="C714" s="39"/>
      <c r="D714" s="39"/>
      <c r="E714" s="39"/>
      <c r="F714" s="39"/>
      <c r="G714" s="39"/>
      <c r="H714" s="39"/>
      <c r="I714" s="39"/>
      <c r="J714" s="39"/>
      <c r="K714" s="39"/>
      <c r="L714" s="39"/>
      <c r="M714" s="39"/>
    </row>
    <row r="715" customFormat="false" ht="15" hidden="false" customHeight="false" outlineLevel="0" collapsed="false">
      <c r="A715" s="39"/>
      <c r="B715" s="39"/>
      <c r="C715" s="39"/>
      <c r="D715" s="39"/>
      <c r="E715" s="39"/>
      <c r="F715" s="39"/>
      <c r="G715" s="39"/>
      <c r="H715" s="39"/>
      <c r="I715" s="39"/>
      <c r="J715" s="39"/>
      <c r="K715" s="39"/>
      <c r="L715" s="39"/>
      <c r="M715" s="39"/>
    </row>
    <row r="716" customFormat="false" ht="15" hidden="false" customHeight="false" outlineLevel="0" collapsed="false">
      <c r="A716" s="39"/>
      <c r="B716" s="39"/>
      <c r="C716" s="39"/>
      <c r="D716" s="39"/>
      <c r="E716" s="39"/>
      <c r="F716" s="39"/>
      <c r="G716" s="39"/>
      <c r="H716" s="39"/>
      <c r="I716" s="39"/>
      <c r="J716" s="39"/>
      <c r="K716" s="39"/>
      <c r="L716" s="39"/>
      <c r="M716" s="39"/>
    </row>
    <row r="717" customFormat="false" ht="15" hidden="false" customHeight="false" outlineLevel="0" collapsed="false">
      <c r="A717" s="39"/>
      <c r="B717" s="39"/>
      <c r="C717" s="39"/>
      <c r="D717" s="39"/>
      <c r="E717" s="39"/>
      <c r="F717" s="39"/>
      <c r="G717" s="39"/>
      <c r="H717" s="39"/>
      <c r="I717" s="39"/>
      <c r="J717" s="39"/>
      <c r="K717" s="39"/>
      <c r="L717" s="39"/>
      <c r="M717" s="39"/>
    </row>
    <row r="718" customFormat="false" ht="15" hidden="false" customHeight="false" outlineLevel="0" collapsed="false">
      <c r="A718" s="39"/>
      <c r="B718" s="39"/>
      <c r="C718" s="39"/>
      <c r="D718" s="39"/>
      <c r="E718" s="39"/>
      <c r="F718" s="39"/>
      <c r="G718" s="39"/>
      <c r="H718" s="39"/>
      <c r="I718" s="39"/>
      <c r="J718" s="39"/>
      <c r="K718" s="39"/>
      <c r="L718" s="39"/>
      <c r="M718" s="39"/>
    </row>
    <row r="719" customFormat="false" ht="15" hidden="false" customHeight="false" outlineLevel="0" collapsed="false">
      <c r="A719" s="39"/>
      <c r="B719" s="39"/>
      <c r="C719" s="39"/>
      <c r="D719" s="39"/>
      <c r="E719" s="39"/>
      <c r="F719" s="39"/>
      <c r="G719" s="39"/>
      <c r="H719" s="39"/>
      <c r="I719" s="39"/>
      <c r="J719" s="39"/>
      <c r="K719" s="39"/>
      <c r="L719" s="39"/>
      <c r="M719" s="39"/>
    </row>
    <row r="720" customFormat="false" ht="15" hidden="false" customHeight="false" outlineLevel="0" collapsed="false">
      <c r="A720" s="39"/>
      <c r="B720" s="39"/>
      <c r="C720" s="39"/>
      <c r="D720" s="39"/>
      <c r="E720" s="39"/>
      <c r="F720" s="39"/>
      <c r="G720" s="39"/>
      <c r="H720" s="39"/>
      <c r="I720" s="39"/>
      <c r="J720" s="39"/>
      <c r="K720" s="39"/>
      <c r="L720" s="39"/>
      <c r="M720" s="39"/>
    </row>
    <row r="721" customFormat="false" ht="15" hidden="false" customHeight="false" outlineLevel="0" collapsed="false">
      <c r="A721" s="39"/>
      <c r="B721" s="39"/>
      <c r="C721" s="39"/>
      <c r="D721" s="39"/>
      <c r="E721" s="39"/>
      <c r="F721" s="39"/>
      <c r="G721" s="39"/>
      <c r="H721" s="39"/>
      <c r="I721" s="39"/>
      <c r="J721" s="39"/>
      <c r="K721" s="39"/>
      <c r="L721" s="39"/>
      <c r="M721" s="39"/>
    </row>
    <row r="722" customFormat="false" ht="15" hidden="false" customHeight="false" outlineLevel="0" collapsed="false">
      <c r="A722" s="39"/>
      <c r="B722" s="39"/>
      <c r="C722" s="39"/>
      <c r="D722" s="39"/>
      <c r="E722" s="39"/>
      <c r="F722" s="39"/>
      <c r="G722" s="39"/>
      <c r="H722" s="39"/>
      <c r="I722" s="39"/>
      <c r="J722" s="39"/>
      <c r="K722" s="39"/>
      <c r="L722" s="39"/>
      <c r="M722" s="39"/>
    </row>
    <row r="723" customFormat="false" ht="15" hidden="false" customHeight="false" outlineLevel="0" collapsed="false">
      <c r="A723" s="39"/>
      <c r="B723" s="39"/>
      <c r="C723" s="39"/>
      <c r="D723" s="39"/>
      <c r="E723" s="39"/>
      <c r="F723" s="39"/>
      <c r="G723" s="39"/>
      <c r="H723" s="39"/>
      <c r="I723" s="39"/>
      <c r="J723" s="39"/>
      <c r="K723" s="39"/>
      <c r="L723" s="39"/>
      <c r="M723" s="39"/>
    </row>
    <row r="724" customFormat="false" ht="15" hidden="false" customHeight="false" outlineLevel="0" collapsed="false">
      <c r="A724" s="39"/>
      <c r="B724" s="39"/>
      <c r="C724" s="39"/>
      <c r="D724" s="39"/>
      <c r="E724" s="39"/>
      <c r="F724" s="39"/>
      <c r="G724" s="39"/>
      <c r="H724" s="39"/>
      <c r="I724" s="39"/>
      <c r="J724" s="39"/>
      <c r="K724" s="39"/>
      <c r="L724" s="39"/>
      <c r="M724" s="39"/>
    </row>
    <row r="725" customFormat="false" ht="15" hidden="false" customHeight="false" outlineLevel="0" collapsed="false">
      <c r="A725" s="39"/>
      <c r="B725" s="39"/>
      <c r="C725" s="39"/>
      <c r="D725" s="39"/>
      <c r="E725" s="39"/>
      <c r="F725" s="39"/>
      <c r="G725" s="39"/>
      <c r="H725" s="39"/>
      <c r="I725" s="39"/>
      <c r="J725" s="39"/>
      <c r="K725" s="39"/>
      <c r="L725" s="39"/>
      <c r="M725" s="39"/>
    </row>
    <row r="726" customFormat="false" ht="15" hidden="false" customHeight="false" outlineLevel="0" collapsed="false">
      <c r="A726" s="39"/>
      <c r="B726" s="39"/>
      <c r="C726" s="39"/>
      <c r="D726" s="39"/>
      <c r="E726" s="39"/>
      <c r="F726" s="39"/>
      <c r="G726" s="39"/>
      <c r="H726" s="39"/>
      <c r="I726" s="39"/>
      <c r="J726" s="39"/>
      <c r="K726" s="39"/>
      <c r="L726" s="39"/>
      <c r="M726" s="39"/>
    </row>
    <row r="727" customFormat="false" ht="15" hidden="false" customHeight="false" outlineLevel="0" collapsed="false">
      <c r="A727" s="39"/>
      <c r="B727" s="39"/>
      <c r="C727" s="39"/>
      <c r="D727" s="39"/>
      <c r="E727" s="39"/>
      <c r="F727" s="39"/>
      <c r="G727" s="39"/>
      <c r="H727" s="39"/>
      <c r="I727" s="39"/>
      <c r="J727" s="39"/>
      <c r="K727" s="39"/>
      <c r="L727" s="39"/>
      <c r="M727" s="39"/>
    </row>
    <row r="728" customFormat="false" ht="15" hidden="false" customHeight="false" outlineLevel="0" collapsed="false">
      <c r="A728" s="39"/>
      <c r="B728" s="39"/>
      <c r="C728" s="39"/>
      <c r="D728" s="39"/>
      <c r="E728" s="39"/>
      <c r="F728" s="39"/>
      <c r="G728" s="39"/>
      <c r="H728" s="39"/>
      <c r="I728" s="39"/>
      <c r="J728" s="39"/>
      <c r="K728" s="39"/>
      <c r="L728" s="39"/>
      <c r="M728" s="39"/>
    </row>
    <row r="729" customFormat="false" ht="15" hidden="false" customHeight="false" outlineLevel="0" collapsed="false">
      <c r="A729" s="39"/>
      <c r="B729" s="39"/>
      <c r="C729" s="39"/>
      <c r="D729" s="39"/>
      <c r="E729" s="39"/>
      <c r="F729" s="39"/>
      <c r="G729" s="39"/>
      <c r="H729" s="39"/>
      <c r="I729" s="39"/>
      <c r="J729" s="39"/>
      <c r="K729" s="39"/>
      <c r="L729" s="39"/>
      <c r="M729" s="39"/>
    </row>
    <row r="730" customFormat="false" ht="15" hidden="false" customHeight="false" outlineLevel="0" collapsed="false">
      <c r="A730" s="39"/>
      <c r="B730" s="39"/>
      <c r="C730" s="39"/>
      <c r="D730" s="39"/>
      <c r="E730" s="39"/>
      <c r="F730" s="39"/>
      <c r="G730" s="39"/>
      <c r="H730" s="39"/>
      <c r="I730" s="39"/>
      <c r="J730" s="39"/>
      <c r="K730" s="39"/>
      <c r="L730" s="39"/>
      <c r="M730" s="39"/>
    </row>
    <row r="731" customFormat="false" ht="15" hidden="false" customHeight="false" outlineLevel="0" collapsed="false">
      <c r="A731" s="39"/>
      <c r="B731" s="39"/>
      <c r="C731" s="39"/>
      <c r="D731" s="39"/>
      <c r="E731" s="39"/>
      <c r="F731" s="39"/>
      <c r="G731" s="39"/>
      <c r="H731" s="39"/>
      <c r="I731" s="39"/>
      <c r="J731" s="39"/>
      <c r="K731" s="39"/>
      <c r="L731" s="39"/>
      <c r="M731" s="39"/>
    </row>
    <row r="732" customFormat="false" ht="15" hidden="false" customHeight="false" outlineLevel="0" collapsed="false">
      <c r="A732" s="39"/>
      <c r="B732" s="39"/>
      <c r="C732" s="39"/>
      <c r="D732" s="39"/>
      <c r="E732" s="39"/>
      <c r="F732" s="39"/>
      <c r="G732" s="39"/>
      <c r="H732" s="39"/>
      <c r="I732" s="39"/>
      <c r="J732" s="39"/>
      <c r="K732" s="39"/>
      <c r="L732" s="39"/>
      <c r="M732" s="39"/>
    </row>
    <row r="733" customFormat="false" ht="15" hidden="false" customHeight="false" outlineLevel="0" collapsed="false">
      <c r="A733" s="39"/>
      <c r="B733" s="39"/>
      <c r="C733" s="39"/>
      <c r="D733" s="39"/>
      <c r="E733" s="39"/>
      <c r="F733" s="39"/>
      <c r="G733" s="39"/>
      <c r="H733" s="39"/>
      <c r="I733" s="39"/>
      <c r="J733" s="39"/>
      <c r="K733" s="39"/>
      <c r="L733" s="39"/>
      <c r="M733" s="39"/>
    </row>
    <row r="734" customFormat="false" ht="15" hidden="false" customHeight="false" outlineLevel="0" collapsed="false">
      <c r="A734" s="39"/>
      <c r="B734" s="39"/>
      <c r="C734" s="39"/>
      <c r="D734" s="39"/>
      <c r="E734" s="39"/>
      <c r="F734" s="39"/>
      <c r="G734" s="39"/>
      <c r="H734" s="39"/>
      <c r="I734" s="39"/>
      <c r="J734" s="39"/>
      <c r="K734" s="39"/>
      <c r="L734" s="39"/>
      <c r="M734" s="39"/>
    </row>
    <row r="735" customFormat="false" ht="15" hidden="false" customHeight="false" outlineLevel="0" collapsed="false">
      <c r="A735" s="39"/>
      <c r="B735" s="39"/>
      <c r="C735" s="39"/>
      <c r="D735" s="39"/>
      <c r="E735" s="39"/>
      <c r="F735" s="39"/>
      <c r="G735" s="39"/>
      <c r="H735" s="39"/>
      <c r="I735" s="39"/>
      <c r="J735" s="39"/>
      <c r="K735" s="39"/>
      <c r="L735" s="39"/>
      <c r="M735" s="39"/>
    </row>
    <row r="736" customFormat="false" ht="15" hidden="false" customHeight="false" outlineLevel="0" collapsed="false">
      <c r="A736" s="39"/>
      <c r="B736" s="39"/>
      <c r="C736" s="39"/>
      <c r="D736" s="39"/>
      <c r="E736" s="39"/>
      <c r="F736" s="39"/>
      <c r="G736" s="39"/>
      <c r="H736" s="39"/>
      <c r="I736" s="39"/>
      <c r="J736" s="39"/>
      <c r="K736" s="39"/>
      <c r="L736" s="39"/>
      <c r="M736" s="39"/>
    </row>
    <row r="737" customFormat="false" ht="15" hidden="false" customHeight="false" outlineLevel="0" collapsed="false">
      <c r="A737" s="39"/>
      <c r="B737" s="39"/>
      <c r="C737" s="39"/>
      <c r="D737" s="39"/>
      <c r="E737" s="39"/>
      <c r="F737" s="39"/>
      <c r="G737" s="39"/>
      <c r="H737" s="39"/>
      <c r="I737" s="39"/>
      <c r="J737" s="39"/>
      <c r="K737" s="39"/>
      <c r="L737" s="39"/>
      <c r="M737" s="39"/>
    </row>
    <row r="738" customFormat="false" ht="15" hidden="false" customHeight="false" outlineLevel="0" collapsed="false">
      <c r="A738" s="39"/>
      <c r="B738" s="39"/>
      <c r="C738" s="39"/>
      <c r="D738" s="39"/>
      <c r="E738" s="39"/>
      <c r="F738" s="39"/>
      <c r="G738" s="39"/>
      <c r="H738" s="39"/>
      <c r="I738" s="39"/>
      <c r="J738" s="39"/>
      <c r="K738" s="39"/>
      <c r="L738" s="39"/>
      <c r="M738" s="39"/>
    </row>
    <row r="739" customFormat="false" ht="15" hidden="false" customHeight="false" outlineLevel="0" collapsed="false">
      <c r="A739" s="39"/>
      <c r="B739" s="39"/>
      <c r="C739" s="39"/>
      <c r="D739" s="39"/>
      <c r="E739" s="39"/>
      <c r="F739" s="39"/>
      <c r="G739" s="39"/>
      <c r="H739" s="39"/>
      <c r="I739" s="39"/>
      <c r="J739" s="39"/>
      <c r="K739" s="39"/>
      <c r="L739" s="39"/>
      <c r="M739" s="39"/>
    </row>
    <row r="740" customFormat="false" ht="15" hidden="false" customHeight="false" outlineLevel="0" collapsed="false">
      <c r="A740" s="39"/>
      <c r="B740" s="39"/>
      <c r="C740" s="39"/>
      <c r="D740" s="39"/>
      <c r="E740" s="39"/>
      <c r="F740" s="39"/>
      <c r="G740" s="39"/>
      <c r="H740" s="39"/>
      <c r="I740" s="39"/>
      <c r="J740" s="39"/>
      <c r="K740" s="39"/>
      <c r="L740" s="39"/>
      <c r="M740" s="39"/>
    </row>
    <row r="741" customFormat="false" ht="15" hidden="false" customHeight="false" outlineLevel="0" collapsed="false">
      <c r="A741" s="39"/>
      <c r="B741" s="39"/>
      <c r="C741" s="39"/>
      <c r="D741" s="39"/>
      <c r="E741" s="39"/>
      <c r="F741" s="39"/>
      <c r="G741" s="39"/>
      <c r="H741" s="39"/>
      <c r="I741" s="39"/>
      <c r="J741" s="39"/>
      <c r="K741" s="39"/>
      <c r="L741" s="39"/>
      <c r="M741" s="39"/>
    </row>
    <row r="742" customFormat="false" ht="15" hidden="false" customHeight="false" outlineLevel="0" collapsed="false">
      <c r="A742" s="39"/>
      <c r="B742" s="39"/>
      <c r="C742" s="39"/>
      <c r="D742" s="39"/>
      <c r="E742" s="39"/>
      <c r="F742" s="39"/>
      <c r="G742" s="39"/>
      <c r="H742" s="39"/>
      <c r="I742" s="39"/>
      <c r="J742" s="39"/>
      <c r="K742" s="39"/>
      <c r="L742" s="39"/>
      <c r="M742" s="39"/>
    </row>
    <row r="743" customFormat="false" ht="15" hidden="false" customHeight="false" outlineLevel="0" collapsed="false">
      <c r="A743" s="39"/>
      <c r="B743" s="39"/>
      <c r="C743" s="39"/>
      <c r="D743" s="39"/>
      <c r="E743" s="39"/>
      <c r="F743" s="39"/>
      <c r="G743" s="39"/>
      <c r="H743" s="39"/>
      <c r="I743" s="39"/>
      <c r="J743" s="39"/>
      <c r="K743" s="39"/>
      <c r="L743" s="39"/>
      <c r="M743" s="39"/>
    </row>
    <row r="744" customFormat="false" ht="15" hidden="false" customHeight="false" outlineLevel="0" collapsed="false">
      <c r="A744" s="39"/>
      <c r="B744" s="39"/>
      <c r="C744" s="39"/>
      <c r="D744" s="39"/>
      <c r="E744" s="39"/>
      <c r="F744" s="39"/>
      <c r="G744" s="39"/>
      <c r="H744" s="39"/>
      <c r="I744" s="39"/>
      <c r="J744" s="39"/>
      <c r="K744" s="39"/>
      <c r="L744" s="39"/>
      <c r="M744" s="39"/>
    </row>
    <row r="745" customFormat="false" ht="15" hidden="false" customHeight="false" outlineLevel="0" collapsed="false">
      <c r="A745" s="39"/>
      <c r="B745" s="39"/>
      <c r="C745" s="39"/>
      <c r="D745" s="39"/>
      <c r="E745" s="39"/>
      <c r="F745" s="39"/>
      <c r="G745" s="39"/>
      <c r="H745" s="39"/>
      <c r="I745" s="39"/>
      <c r="J745" s="39"/>
      <c r="K745" s="39"/>
      <c r="L745" s="39"/>
      <c r="M745" s="39"/>
    </row>
    <row r="746" customFormat="false" ht="15" hidden="false" customHeight="false" outlineLevel="0" collapsed="false">
      <c r="A746" s="39"/>
      <c r="B746" s="39"/>
      <c r="C746" s="39"/>
      <c r="D746" s="39"/>
      <c r="E746" s="39"/>
      <c r="F746" s="39"/>
      <c r="G746" s="39"/>
      <c r="H746" s="39"/>
      <c r="I746" s="39"/>
      <c r="J746" s="39"/>
      <c r="K746" s="39"/>
      <c r="L746" s="39"/>
      <c r="M746" s="39"/>
    </row>
    <row r="747" customFormat="false" ht="15" hidden="false" customHeight="false" outlineLevel="0" collapsed="false">
      <c r="A747" s="39"/>
      <c r="B747" s="39"/>
      <c r="C747" s="39"/>
      <c r="D747" s="39"/>
      <c r="E747" s="39"/>
      <c r="F747" s="39"/>
      <c r="G747" s="39"/>
      <c r="H747" s="39"/>
      <c r="I747" s="39"/>
      <c r="J747" s="39"/>
      <c r="K747" s="39"/>
      <c r="L747" s="39"/>
      <c r="M747" s="39"/>
    </row>
    <row r="748" customFormat="false" ht="15" hidden="false" customHeight="false" outlineLevel="0" collapsed="false">
      <c r="A748" s="39"/>
      <c r="B748" s="39"/>
      <c r="C748" s="39"/>
      <c r="D748" s="39"/>
      <c r="E748" s="39"/>
      <c r="F748" s="39"/>
      <c r="G748" s="39"/>
      <c r="H748" s="39"/>
      <c r="I748" s="39"/>
      <c r="J748" s="39"/>
      <c r="K748" s="39"/>
      <c r="L748" s="39"/>
      <c r="M748" s="39"/>
    </row>
    <row r="749" customFormat="false" ht="15" hidden="false" customHeight="false" outlineLevel="0" collapsed="false">
      <c r="A749" s="39"/>
      <c r="B749" s="39"/>
      <c r="C749" s="39"/>
      <c r="D749" s="39"/>
      <c r="E749" s="39"/>
      <c r="F749" s="39"/>
      <c r="G749" s="39"/>
      <c r="H749" s="39"/>
      <c r="I749" s="39"/>
      <c r="J749" s="39"/>
      <c r="K749" s="39"/>
      <c r="L749" s="39"/>
      <c r="M749" s="39"/>
    </row>
    <row r="750" customFormat="false" ht="15" hidden="false" customHeight="false" outlineLevel="0" collapsed="false">
      <c r="A750" s="39"/>
      <c r="B750" s="39"/>
      <c r="C750" s="39"/>
      <c r="D750" s="39"/>
      <c r="E750" s="39"/>
      <c r="F750" s="39"/>
      <c r="G750" s="39"/>
      <c r="H750" s="39"/>
      <c r="I750" s="39"/>
      <c r="J750" s="39"/>
      <c r="K750" s="39"/>
      <c r="L750" s="39"/>
      <c r="M750" s="39"/>
    </row>
    <row r="751" customFormat="false" ht="15" hidden="false" customHeight="false" outlineLevel="0" collapsed="false">
      <c r="A751" s="39"/>
      <c r="B751" s="39"/>
      <c r="C751" s="39"/>
      <c r="D751" s="39"/>
      <c r="E751" s="39"/>
      <c r="F751" s="39"/>
      <c r="G751" s="39"/>
      <c r="H751" s="39"/>
      <c r="I751" s="39"/>
      <c r="J751" s="39"/>
      <c r="K751" s="39"/>
      <c r="L751" s="39"/>
      <c r="M751" s="39"/>
    </row>
    <row r="752" customFormat="false" ht="15" hidden="false" customHeight="false" outlineLevel="0" collapsed="false">
      <c r="A752" s="39"/>
      <c r="B752" s="39"/>
      <c r="C752" s="39"/>
      <c r="D752" s="39"/>
      <c r="E752" s="39"/>
      <c r="F752" s="39"/>
      <c r="G752" s="39"/>
      <c r="H752" s="39"/>
      <c r="I752" s="39"/>
      <c r="J752" s="39"/>
      <c r="K752" s="39"/>
      <c r="L752" s="39"/>
      <c r="M752" s="39"/>
    </row>
    <row r="753" customFormat="false" ht="15" hidden="false" customHeight="false" outlineLevel="0" collapsed="false">
      <c r="A753" s="39"/>
      <c r="B753" s="39"/>
      <c r="C753" s="39"/>
      <c r="D753" s="39"/>
      <c r="E753" s="39"/>
      <c r="F753" s="39"/>
      <c r="G753" s="39"/>
      <c r="H753" s="39"/>
      <c r="I753" s="39"/>
      <c r="J753" s="39"/>
      <c r="K753" s="39"/>
      <c r="L753" s="39"/>
      <c r="M753" s="39"/>
    </row>
    <row r="754" customFormat="false" ht="15" hidden="false" customHeight="false" outlineLevel="0" collapsed="false">
      <c r="A754" s="39"/>
      <c r="B754" s="39"/>
      <c r="C754" s="39"/>
      <c r="D754" s="39"/>
      <c r="E754" s="39"/>
      <c r="F754" s="39"/>
      <c r="G754" s="39"/>
      <c r="H754" s="39"/>
      <c r="I754" s="39"/>
      <c r="J754" s="39"/>
      <c r="K754" s="39"/>
      <c r="L754" s="39"/>
      <c r="M754" s="39"/>
    </row>
    <row r="755" customFormat="false" ht="15" hidden="false" customHeight="false" outlineLevel="0" collapsed="false">
      <c r="A755" s="39"/>
      <c r="B755" s="39"/>
      <c r="C755" s="39"/>
      <c r="D755" s="39"/>
      <c r="E755" s="39"/>
      <c r="F755" s="39"/>
      <c r="G755" s="39"/>
      <c r="H755" s="39"/>
      <c r="I755" s="39"/>
      <c r="J755" s="39"/>
      <c r="K755" s="39"/>
      <c r="L755" s="39"/>
      <c r="M755" s="39"/>
    </row>
    <row r="756" customFormat="false" ht="15" hidden="false" customHeight="false" outlineLevel="0" collapsed="false">
      <c r="A756" s="39"/>
      <c r="B756" s="39"/>
      <c r="C756" s="39"/>
      <c r="D756" s="39"/>
      <c r="E756" s="39"/>
      <c r="F756" s="39"/>
      <c r="G756" s="39"/>
      <c r="H756" s="39"/>
      <c r="I756" s="39"/>
      <c r="J756" s="39"/>
      <c r="K756" s="39"/>
      <c r="L756" s="39"/>
      <c r="M756" s="39"/>
    </row>
    <row r="757" customFormat="false" ht="15" hidden="false" customHeight="false" outlineLevel="0" collapsed="false">
      <c r="A757" s="39"/>
      <c r="B757" s="39"/>
      <c r="C757" s="39"/>
      <c r="D757" s="39"/>
      <c r="E757" s="39"/>
      <c r="F757" s="39"/>
      <c r="G757" s="39"/>
      <c r="H757" s="39"/>
      <c r="I757" s="39"/>
      <c r="J757" s="39"/>
      <c r="K757" s="39"/>
      <c r="L757" s="39"/>
      <c r="M757" s="39"/>
    </row>
    <row r="758" customFormat="false" ht="15" hidden="false" customHeight="false" outlineLevel="0" collapsed="false">
      <c r="A758" s="39"/>
      <c r="B758" s="39"/>
      <c r="C758" s="39"/>
      <c r="D758" s="39"/>
      <c r="E758" s="39"/>
      <c r="F758" s="39"/>
      <c r="G758" s="39"/>
      <c r="H758" s="39"/>
      <c r="I758" s="39"/>
      <c r="J758" s="39"/>
      <c r="K758" s="39"/>
      <c r="L758" s="39"/>
      <c r="M758" s="39"/>
    </row>
    <row r="759" customFormat="false" ht="15" hidden="false" customHeight="false" outlineLevel="0" collapsed="false">
      <c r="A759" s="39"/>
      <c r="B759" s="39"/>
      <c r="C759" s="39"/>
      <c r="D759" s="39"/>
      <c r="E759" s="39"/>
      <c r="F759" s="39"/>
      <c r="G759" s="39"/>
      <c r="H759" s="39"/>
      <c r="I759" s="39"/>
      <c r="J759" s="39"/>
      <c r="K759" s="39"/>
      <c r="L759" s="39"/>
      <c r="M759" s="39"/>
    </row>
    <row r="760" customFormat="false" ht="15" hidden="false" customHeight="false" outlineLevel="0" collapsed="false">
      <c r="A760" s="39"/>
      <c r="B760" s="39"/>
      <c r="C760" s="39"/>
      <c r="D760" s="39"/>
      <c r="E760" s="39"/>
      <c r="F760" s="39"/>
      <c r="G760" s="39"/>
      <c r="H760" s="39"/>
      <c r="I760" s="39"/>
      <c r="J760" s="39"/>
      <c r="K760" s="39"/>
      <c r="L760" s="39"/>
      <c r="M760" s="39"/>
    </row>
    <row r="761" customFormat="false" ht="15" hidden="false" customHeight="false" outlineLevel="0" collapsed="false">
      <c r="A761" s="39"/>
      <c r="B761" s="39"/>
      <c r="C761" s="39"/>
      <c r="D761" s="39"/>
      <c r="E761" s="39"/>
      <c r="F761" s="39"/>
      <c r="G761" s="39"/>
      <c r="H761" s="39"/>
      <c r="I761" s="39"/>
      <c r="J761" s="39"/>
      <c r="K761" s="39"/>
      <c r="L761" s="39"/>
      <c r="M761" s="39"/>
    </row>
    <row r="762" customFormat="false" ht="15" hidden="false" customHeight="false" outlineLevel="0" collapsed="false">
      <c r="A762" s="39"/>
      <c r="B762" s="39"/>
      <c r="C762" s="39"/>
      <c r="D762" s="39"/>
      <c r="E762" s="39"/>
      <c r="F762" s="39"/>
      <c r="G762" s="39"/>
      <c r="H762" s="39"/>
      <c r="I762" s="39"/>
      <c r="J762" s="39"/>
      <c r="K762" s="39"/>
      <c r="L762" s="39"/>
      <c r="M762" s="39"/>
    </row>
    <row r="763" customFormat="false" ht="15" hidden="false" customHeight="false" outlineLevel="0" collapsed="false">
      <c r="A763" s="39"/>
      <c r="B763" s="39"/>
      <c r="C763" s="39"/>
      <c r="D763" s="39"/>
      <c r="E763" s="39"/>
      <c r="F763" s="39"/>
      <c r="G763" s="39"/>
      <c r="H763" s="39"/>
      <c r="I763" s="39"/>
      <c r="J763" s="39"/>
      <c r="K763" s="39"/>
      <c r="L763" s="39"/>
      <c r="M763" s="39"/>
    </row>
    <row r="764" customFormat="false" ht="15" hidden="false" customHeight="false" outlineLevel="0" collapsed="false">
      <c r="A764" s="39"/>
      <c r="B764" s="39"/>
      <c r="C764" s="39"/>
      <c r="D764" s="39"/>
      <c r="E764" s="39"/>
      <c r="F764" s="39"/>
      <c r="G764" s="39"/>
      <c r="H764" s="39"/>
      <c r="I764" s="39"/>
      <c r="J764" s="39"/>
      <c r="K764" s="39"/>
      <c r="L764" s="39"/>
      <c r="M764" s="39"/>
    </row>
    <row r="765" customFormat="false" ht="15" hidden="false" customHeight="false" outlineLevel="0" collapsed="false">
      <c r="A765" s="39"/>
      <c r="B765" s="39"/>
      <c r="C765" s="39"/>
      <c r="D765" s="39"/>
      <c r="E765" s="39"/>
      <c r="F765" s="39"/>
      <c r="G765" s="39"/>
      <c r="H765" s="39"/>
      <c r="I765" s="39"/>
      <c r="J765" s="39"/>
      <c r="K765" s="39"/>
      <c r="L765" s="39"/>
      <c r="M765" s="39"/>
    </row>
    <row r="766" customFormat="false" ht="15" hidden="false" customHeight="false" outlineLevel="0" collapsed="false">
      <c r="A766" s="39"/>
      <c r="B766" s="39"/>
      <c r="C766" s="39"/>
      <c r="D766" s="39"/>
      <c r="E766" s="39"/>
      <c r="F766" s="39"/>
      <c r="G766" s="39"/>
      <c r="H766" s="39"/>
      <c r="I766" s="39"/>
      <c r="J766" s="39"/>
      <c r="K766" s="39"/>
      <c r="L766" s="39"/>
      <c r="M766" s="39"/>
    </row>
    <row r="767" customFormat="false" ht="15" hidden="false" customHeight="false" outlineLevel="0" collapsed="false">
      <c r="A767" s="39"/>
      <c r="B767" s="39"/>
      <c r="C767" s="39"/>
      <c r="D767" s="39"/>
      <c r="E767" s="39"/>
      <c r="F767" s="39"/>
      <c r="G767" s="39"/>
      <c r="H767" s="39"/>
      <c r="I767" s="39"/>
      <c r="J767" s="39"/>
      <c r="K767" s="39"/>
      <c r="L767" s="39"/>
      <c r="M767" s="39"/>
    </row>
    <row r="768" customFormat="false" ht="15" hidden="false" customHeight="false" outlineLevel="0" collapsed="false">
      <c r="A768" s="39"/>
      <c r="B768" s="39"/>
      <c r="C768" s="39"/>
      <c r="D768" s="39"/>
      <c r="E768" s="39"/>
      <c r="F768" s="39"/>
      <c r="G768" s="39"/>
      <c r="H768" s="39"/>
      <c r="I768" s="39"/>
      <c r="J768" s="39"/>
      <c r="K768" s="39"/>
      <c r="L768" s="39"/>
      <c r="M768" s="39"/>
    </row>
    <row r="769" customFormat="false" ht="15" hidden="false" customHeight="false" outlineLevel="0" collapsed="false">
      <c r="A769" s="39"/>
      <c r="B769" s="39"/>
      <c r="C769" s="39"/>
      <c r="D769" s="39"/>
      <c r="E769" s="39"/>
      <c r="F769" s="39"/>
      <c r="G769" s="39"/>
      <c r="H769" s="39"/>
      <c r="I769" s="39"/>
      <c r="J769" s="39"/>
      <c r="K769" s="39"/>
      <c r="L769" s="39"/>
      <c r="M769" s="39"/>
    </row>
    <row r="770" customFormat="false" ht="15" hidden="false" customHeight="false" outlineLevel="0" collapsed="false">
      <c r="A770" s="39"/>
      <c r="B770" s="39"/>
      <c r="C770" s="39"/>
      <c r="D770" s="39"/>
      <c r="E770" s="39"/>
      <c r="F770" s="39"/>
      <c r="G770" s="39"/>
      <c r="H770" s="39"/>
      <c r="I770" s="39"/>
      <c r="J770" s="39"/>
      <c r="K770" s="39"/>
      <c r="L770" s="39"/>
      <c r="M770" s="39"/>
    </row>
    <row r="771" customFormat="false" ht="15" hidden="false" customHeight="false" outlineLevel="0" collapsed="false">
      <c r="A771" s="39"/>
      <c r="B771" s="39"/>
      <c r="C771" s="39"/>
      <c r="D771" s="39"/>
      <c r="E771" s="39"/>
      <c r="F771" s="39"/>
      <c r="G771" s="39"/>
      <c r="H771" s="39"/>
      <c r="I771" s="39"/>
      <c r="J771" s="39"/>
      <c r="K771" s="39"/>
      <c r="L771" s="39"/>
      <c r="M771" s="39"/>
    </row>
    <row r="772" customFormat="false" ht="15" hidden="false" customHeight="false" outlineLevel="0" collapsed="false">
      <c r="A772" s="39"/>
      <c r="B772" s="39"/>
      <c r="C772" s="39"/>
      <c r="D772" s="39"/>
      <c r="E772" s="39"/>
      <c r="F772" s="39"/>
      <c r="G772" s="39"/>
      <c r="H772" s="39"/>
      <c r="I772" s="39"/>
      <c r="J772" s="39"/>
      <c r="K772" s="39"/>
      <c r="L772" s="39"/>
      <c r="M772" s="39"/>
    </row>
    <row r="773" customFormat="false" ht="15" hidden="false" customHeight="false" outlineLevel="0" collapsed="false">
      <c r="A773" s="39"/>
      <c r="B773" s="39"/>
      <c r="C773" s="39"/>
      <c r="D773" s="39"/>
      <c r="E773" s="39"/>
      <c r="F773" s="39"/>
      <c r="G773" s="39"/>
      <c r="H773" s="39"/>
      <c r="I773" s="39"/>
      <c r="J773" s="39"/>
      <c r="K773" s="39"/>
      <c r="L773" s="39"/>
      <c r="M773" s="39"/>
    </row>
    <row r="774" customFormat="false" ht="15" hidden="false" customHeight="false" outlineLevel="0" collapsed="false">
      <c r="A774" s="39"/>
      <c r="B774" s="39"/>
      <c r="C774" s="39"/>
      <c r="D774" s="39"/>
      <c r="E774" s="39"/>
      <c r="F774" s="39"/>
      <c r="G774" s="39"/>
      <c r="H774" s="39"/>
      <c r="I774" s="39"/>
      <c r="J774" s="39"/>
      <c r="K774" s="39"/>
      <c r="L774" s="39"/>
      <c r="M774" s="39"/>
    </row>
    <row r="775" customFormat="false" ht="15" hidden="false" customHeight="false" outlineLevel="0" collapsed="false">
      <c r="A775" s="39"/>
      <c r="B775" s="39"/>
      <c r="C775" s="39"/>
      <c r="D775" s="39"/>
      <c r="E775" s="39"/>
      <c r="F775" s="39"/>
      <c r="G775" s="39"/>
      <c r="H775" s="39"/>
      <c r="I775" s="39"/>
      <c r="J775" s="39"/>
      <c r="K775" s="39"/>
      <c r="L775" s="39"/>
      <c r="M775" s="39"/>
    </row>
    <row r="776" customFormat="false" ht="15" hidden="false" customHeight="false" outlineLevel="0" collapsed="false">
      <c r="A776" s="39"/>
      <c r="B776" s="39"/>
      <c r="C776" s="39"/>
      <c r="D776" s="39"/>
      <c r="E776" s="39"/>
      <c r="F776" s="39"/>
      <c r="G776" s="39"/>
      <c r="H776" s="39"/>
      <c r="I776" s="39"/>
      <c r="J776" s="39"/>
      <c r="K776" s="39"/>
      <c r="L776" s="39"/>
      <c r="M776" s="39"/>
    </row>
    <row r="777" customFormat="false" ht="15" hidden="false" customHeight="false" outlineLevel="0" collapsed="false">
      <c r="A777" s="39"/>
      <c r="B777" s="39"/>
      <c r="C777" s="39"/>
      <c r="D777" s="39"/>
      <c r="E777" s="39"/>
      <c r="F777" s="39"/>
      <c r="G777" s="39"/>
      <c r="H777" s="39"/>
      <c r="I777" s="39"/>
      <c r="J777" s="39"/>
      <c r="K777" s="39"/>
      <c r="L777" s="39"/>
      <c r="M777" s="39"/>
    </row>
    <row r="778" customFormat="false" ht="15" hidden="false" customHeight="false" outlineLevel="0" collapsed="false">
      <c r="A778" s="39"/>
      <c r="B778" s="39"/>
      <c r="C778" s="39"/>
      <c r="D778" s="39"/>
      <c r="E778" s="39"/>
      <c r="F778" s="39"/>
      <c r="G778" s="39"/>
      <c r="H778" s="39"/>
      <c r="I778" s="39"/>
      <c r="J778" s="39"/>
      <c r="K778" s="39"/>
      <c r="L778" s="39"/>
      <c r="M778" s="39"/>
    </row>
    <row r="779" customFormat="false" ht="15" hidden="false" customHeight="false" outlineLevel="0" collapsed="false">
      <c r="A779" s="39"/>
      <c r="B779" s="39"/>
      <c r="C779" s="39"/>
      <c r="D779" s="39"/>
      <c r="E779" s="39"/>
      <c r="F779" s="39"/>
      <c r="G779" s="39"/>
      <c r="H779" s="39"/>
      <c r="I779" s="39"/>
      <c r="J779" s="39"/>
      <c r="K779" s="39"/>
      <c r="L779" s="39"/>
      <c r="M779" s="39"/>
    </row>
    <row r="780" customFormat="false" ht="15" hidden="false" customHeight="false" outlineLevel="0" collapsed="false">
      <c r="A780" s="39"/>
      <c r="B780" s="39"/>
      <c r="C780" s="39"/>
      <c r="D780" s="39"/>
      <c r="E780" s="39"/>
      <c r="F780" s="39"/>
      <c r="G780" s="39"/>
      <c r="H780" s="39"/>
      <c r="I780" s="39"/>
      <c r="J780" s="39"/>
      <c r="K780" s="39"/>
      <c r="L780" s="39"/>
      <c r="M780" s="39"/>
    </row>
    <row r="781" customFormat="false" ht="15" hidden="false" customHeight="false" outlineLevel="0" collapsed="false">
      <c r="A781" s="39"/>
      <c r="B781" s="39"/>
      <c r="C781" s="39"/>
      <c r="D781" s="39"/>
      <c r="E781" s="39"/>
      <c r="F781" s="39"/>
      <c r="G781" s="39"/>
      <c r="H781" s="39"/>
      <c r="I781" s="39"/>
      <c r="J781" s="39"/>
      <c r="K781" s="39"/>
      <c r="L781" s="39"/>
      <c r="M781" s="39"/>
    </row>
    <row r="782" customFormat="false" ht="15" hidden="false" customHeight="false" outlineLevel="0" collapsed="false">
      <c r="A782" s="39"/>
      <c r="B782" s="39"/>
      <c r="C782" s="39"/>
      <c r="D782" s="39"/>
      <c r="E782" s="39"/>
      <c r="F782" s="39"/>
      <c r="G782" s="39"/>
      <c r="H782" s="39"/>
      <c r="I782" s="39"/>
      <c r="J782" s="39"/>
      <c r="K782" s="39"/>
      <c r="L782" s="39"/>
      <c r="M782" s="39"/>
    </row>
    <row r="783" customFormat="false" ht="15" hidden="false" customHeight="false" outlineLevel="0" collapsed="false">
      <c r="A783" s="39"/>
      <c r="B783" s="39"/>
      <c r="C783" s="39"/>
      <c r="D783" s="39"/>
      <c r="E783" s="39"/>
      <c r="F783" s="39"/>
      <c r="G783" s="39"/>
      <c r="H783" s="39"/>
      <c r="I783" s="39"/>
      <c r="J783" s="39"/>
      <c r="K783" s="39"/>
      <c r="L783" s="39"/>
      <c r="M783" s="39"/>
    </row>
    <row r="784" customFormat="false" ht="15" hidden="false" customHeight="false" outlineLevel="0" collapsed="false">
      <c r="A784" s="39"/>
      <c r="B784" s="39"/>
      <c r="C784" s="39"/>
      <c r="D784" s="39"/>
      <c r="E784" s="39"/>
      <c r="F784" s="39"/>
      <c r="G784" s="39"/>
      <c r="H784" s="39"/>
      <c r="I784" s="39"/>
      <c r="J784" s="39"/>
      <c r="K784" s="39"/>
      <c r="L784" s="39"/>
      <c r="M784" s="39"/>
    </row>
    <row r="785" customFormat="false" ht="15" hidden="false" customHeight="false" outlineLevel="0" collapsed="false">
      <c r="A785" s="39"/>
      <c r="B785" s="39"/>
      <c r="C785" s="39"/>
      <c r="D785" s="39"/>
      <c r="E785" s="39"/>
      <c r="F785" s="39"/>
      <c r="G785" s="39"/>
      <c r="H785" s="39"/>
      <c r="I785" s="39"/>
      <c r="J785" s="39"/>
      <c r="K785" s="39"/>
      <c r="L785" s="39"/>
      <c r="M785" s="39"/>
    </row>
    <row r="786" customFormat="false" ht="15" hidden="false" customHeight="false" outlineLevel="0" collapsed="false">
      <c r="A786" s="39"/>
      <c r="B786" s="39"/>
      <c r="C786" s="39"/>
      <c r="D786" s="39"/>
      <c r="E786" s="39"/>
      <c r="F786" s="39"/>
      <c r="G786" s="39"/>
      <c r="H786" s="39"/>
      <c r="I786" s="39"/>
      <c r="J786" s="39"/>
      <c r="K786" s="39"/>
      <c r="L786" s="39"/>
      <c r="M786" s="39"/>
    </row>
    <row r="787" customFormat="false" ht="15" hidden="false" customHeight="false" outlineLevel="0" collapsed="false">
      <c r="A787" s="39"/>
      <c r="B787" s="39"/>
      <c r="C787" s="39"/>
      <c r="D787" s="39"/>
      <c r="E787" s="39"/>
      <c r="F787" s="39"/>
      <c r="G787" s="39"/>
      <c r="H787" s="39"/>
      <c r="I787" s="39"/>
      <c r="J787" s="39"/>
      <c r="K787" s="39"/>
      <c r="L787" s="39"/>
      <c r="M787" s="39"/>
    </row>
    <row r="788" customFormat="false" ht="15" hidden="false" customHeight="false" outlineLevel="0" collapsed="false">
      <c r="A788" s="39"/>
      <c r="B788" s="39"/>
      <c r="C788" s="39"/>
      <c r="D788" s="39"/>
      <c r="E788" s="39"/>
      <c r="F788" s="39"/>
      <c r="G788" s="39"/>
      <c r="H788" s="39"/>
      <c r="I788" s="39"/>
      <c r="J788" s="39"/>
      <c r="K788" s="39"/>
      <c r="L788" s="39"/>
      <c r="M788" s="39"/>
    </row>
    <row r="789" customFormat="false" ht="15" hidden="false" customHeight="false" outlineLevel="0" collapsed="false">
      <c r="A789" s="39"/>
      <c r="B789" s="39"/>
      <c r="C789" s="39"/>
      <c r="D789" s="39"/>
      <c r="E789" s="39"/>
      <c r="F789" s="39"/>
      <c r="G789" s="39"/>
      <c r="H789" s="39"/>
      <c r="I789" s="39"/>
      <c r="J789" s="39"/>
      <c r="K789" s="39"/>
      <c r="L789" s="39"/>
      <c r="M789" s="39"/>
    </row>
    <row r="790" customFormat="false" ht="15" hidden="false" customHeight="false" outlineLevel="0" collapsed="false">
      <c r="A790" s="39"/>
      <c r="B790" s="39"/>
      <c r="C790" s="39"/>
      <c r="D790" s="39"/>
      <c r="E790" s="39"/>
      <c r="F790" s="39"/>
      <c r="G790" s="39"/>
      <c r="H790" s="39"/>
      <c r="I790" s="39"/>
      <c r="J790" s="39"/>
      <c r="K790" s="39"/>
      <c r="L790" s="39"/>
      <c r="M790" s="39"/>
    </row>
    <row r="791" customFormat="false" ht="15" hidden="false" customHeight="false" outlineLevel="0" collapsed="false">
      <c r="A791" s="39"/>
      <c r="B791" s="39"/>
      <c r="C791" s="39"/>
      <c r="D791" s="39"/>
      <c r="E791" s="39"/>
      <c r="F791" s="39"/>
      <c r="G791" s="39"/>
      <c r="H791" s="39"/>
      <c r="I791" s="39"/>
      <c r="J791" s="39"/>
      <c r="K791" s="39"/>
      <c r="L791" s="39"/>
      <c r="M791" s="39"/>
    </row>
    <row r="792" customFormat="false" ht="15" hidden="false" customHeight="false" outlineLevel="0" collapsed="false">
      <c r="A792" s="39"/>
      <c r="B792" s="39"/>
      <c r="C792" s="39"/>
      <c r="D792" s="39"/>
      <c r="E792" s="39"/>
      <c r="F792" s="39"/>
      <c r="G792" s="39"/>
      <c r="H792" s="39"/>
      <c r="I792" s="39"/>
      <c r="J792" s="39"/>
      <c r="K792" s="39"/>
      <c r="L792" s="39"/>
      <c r="M792" s="39"/>
    </row>
    <row r="793" customFormat="false" ht="15" hidden="false" customHeight="false" outlineLevel="0" collapsed="false">
      <c r="A793" s="39"/>
      <c r="B793" s="39"/>
      <c r="C793" s="39"/>
      <c r="D793" s="39"/>
      <c r="E793" s="39"/>
      <c r="F793" s="39"/>
      <c r="G793" s="39"/>
      <c r="H793" s="39"/>
      <c r="I793" s="39"/>
      <c r="J793" s="39"/>
      <c r="K793" s="39"/>
      <c r="L793" s="39"/>
      <c r="M793" s="39"/>
    </row>
    <row r="794" customFormat="false" ht="15" hidden="false" customHeight="false" outlineLevel="0" collapsed="false">
      <c r="A794" s="39"/>
      <c r="B794" s="39"/>
      <c r="C794" s="39"/>
      <c r="D794" s="39"/>
      <c r="E794" s="39"/>
      <c r="F794" s="39"/>
      <c r="G794" s="39"/>
      <c r="H794" s="39"/>
      <c r="I794" s="39"/>
      <c r="J794" s="39"/>
      <c r="K794" s="39"/>
      <c r="L794" s="39"/>
      <c r="M794" s="39"/>
    </row>
    <row r="795" customFormat="false" ht="15" hidden="false" customHeight="false" outlineLevel="0" collapsed="false">
      <c r="A795" s="39"/>
      <c r="B795" s="39"/>
      <c r="C795" s="39"/>
      <c r="D795" s="39"/>
      <c r="E795" s="39"/>
      <c r="F795" s="39"/>
      <c r="G795" s="39"/>
      <c r="H795" s="39"/>
      <c r="I795" s="39"/>
      <c r="J795" s="39"/>
      <c r="K795" s="39"/>
      <c r="L795" s="39"/>
      <c r="M795" s="39"/>
    </row>
    <row r="796" customFormat="false" ht="15" hidden="false" customHeight="false" outlineLevel="0" collapsed="false">
      <c r="A796" s="39"/>
      <c r="B796" s="39"/>
      <c r="C796" s="39"/>
      <c r="D796" s="39"/>
      <c r="E796" s="39"/>
      <c r="F796" s="39"/>
      <c r="G796" s="39"/>
      <c r="H796" s="39"/>
      <c r="I796" s="39"/>
      <c r="J796" s="39"/>
      <c r="K796" s="39"/>
      <c r="L796" s="39"/>
      <c r="M796" s="39"/>
    </row>
    <row r="797" customFormat="false" ht="15" hidden="false" customHeight="false" outlineLevel="0" collapsed="false">
      <c r="A797" s="39"/>
      <c r="B797" s="39"/>
      <c r="C797" s="39"/>
      <c r="D797" s="39"/>
      <c r="E797" s="39"/>
      <c r="F797" s="39"/>
      <c r="G797" s="39"/>
      <c r="H797" s="39"/>
      <c r="I797" s="39"/>
      <c r="J797" s="39"/>
      <c r="K797" s="39"/>
      <c r="L797" s="39"/>
      <c r="M797" s="39"/>
    </row>
    <row r="798" customFormat="false" ht="15" hidden="false" customHeight="false" outlineLevel="0" collapsed="false">
      <c r="A798" s="39"/>
      <c r="B798" s="39"/>
      <c r="C798" s="39"/>
      <c r="D798" s="39"/>
      <c r="E798" s="39"/>
      <c r="F798" s="39"/>
      <c r="G798" s="39"/>
      <c r="H798" s="39"/>
      <c r="I798" s="39"/>
      <c r="J798" s="39"/>
      <c r="K798" s="39"/>
      <c r="L798" s="39"/>
      <c r="M798" s="39"/>
    </row>
    <row r="799" customFormat="false" ht="15" hidden="false" customHeight="false" outlineLevel="0" collapsed="false">
      <c r="A799" s="39"/>
      <c r="B799" s="39"/>
      <c r="C799" s="39"/>
      <c r="D799" s="39"/>
      <c r="E799" s="39"/>
      <c r="F799" s="39"/>
      <c r="G799" s="39"/>
      <c r="H799" s="39"/>
      <c r="I799" s="39"/>
      <c r="J799" s="39"/>
      <c r="K799" s="39"/>
      <c r="L799" s="39"/>
      <c r="M799" s="39"/>
    </row>
    <row r="800" customFormat="false" ht="15" hidden="false" customHeight="false" outlineLevel="0" collapsed="false">
      <c r="A800" s="39"/>
      <c r="B800" s="39"/>
      <c r="C800" s="39"/>
      <c r="D800" s="39"/>
      <c r="E800" s="39"/>
      <c r="F800" s="39"/>
      <c r="G800" s="39"/>
      <c r="H800" s="39"/>
      <c r="I800" s="39"/>
      <c r="J800" s="39"/>
      <c r="K800" s="39"/>
      <c r="L800" s="39"/>
      <c r="M800" s="39"/>
    </row>
    <row r="801" customFormat="false" ht="15" hidden="false" customHeight="false" outlineLevel="0" collapsed="false">
      <c r="A801" s="39"/>
      <c r="B801" s="39"/>
      <c r="C801" s="39"/>
      <c r="D801" s="39"/>
      <c r="E801" s="39"/>
      <c r="F801" s="39"/>
      <c r="G801" s="39"/>
      <c r="H801" s="39"/>
      <c r="I801" s="39"/>
      <c r="J801" s="39"/>
      <c r="K801" s="39"/>
      <c r="L801" s="39"/>
      <c r="M801" s="39"/>
    </row>
    <row r="802" customFormat="false" ht="15" hidden="false" customHeight="false" outlineLevel="0" collapsed="false">
      <c r="A802" s="39"/>
      <c r="B802" s="39"/>
      <c r="C802" s="39"/>
      <c r="D802" s="39"/>
      <c r="E802" s="39"/>
      <c r="F802" s="39"/>
      <c r="G802" s="39"/>
      <c r="H802" s="39"/>
      <c r="I802" s="39"/>
      <c r="J802" s="39"/>
      <c r="K802" s="39"/>
      <c r="L802" s="39"/>
      <c r="M802" s="39"/>
    </row>
    <row r="803" customFormat="false" ht="15" hidden="false" customHeight="false" outlineLevel="0" collapsed="false">
      <c r="A803" s="39"/>
      <c r="B803" s="39"/>
      <c r="C803" s="39"/>
      <c r="D803" s="39"/>
      <c r="E803" s="39"/>
      <c r="F803" s="39"/>
      <c r="G803" s="39"/>
      <c r="H803" s="39"/>
      <c r="I803" s="39"/>
      <c r="J803" s="39"/>
      <c r="K803" s="39"/>
      <c r="L803" s="39"/>
      <c r="M803" s="39"/>
    </row>
    <row r="804" customFormat="false" ht="15" hidden="false" customHeight="false" outlineLevel="0" collapsed="false">
      <c r="A804" s="39"/>
      <c r="B804" s="39"/>
      <c r="C804" s="39"/>
      <c r="D804" s="39"/>
      <c r="E804" s="39"/>
      <c r="F804" s="39"/>
      <c r="G804" s="39"/>
      <c r="H804" s="39"/>
      <c r="I804" s="39"/>
      <c r="J804" s="39"/>
      <c r="K804" s="39"/>
      <c r="L804" s="39"/>
      <c r="M804" s="39"/>
    </row>
    <row r="805" customFormat="false" ht="15" hidden="false" customHeight="false" outlineLevel="0" collapsed="false">
      <c r="A805" s="39"/>
      <c r="B805" s="39"/>
      <c r="C805" s="39"/>
      <c r="D805" s="39"/>
      <c r="E805" s="39"/>
      <c r="F805" s="39"/>
      <c r="G805" s="39"/>
      <c r="H805" s="39"/>
      <c r="I805" s="39"/>
      <c r="J805" s="39"/>
      <c r="K805" s="39"/>
      <c r="L805" s="39"/>
      <c r="M805" s="39"/>
    </row>
    <row r="806" customFormat="false" ht="15" hidden="false" customHeight="false" outlineLevel="0" collapsed="false">
      <c r="A806" s="39"/>
      <c r="B806" s="39"/>
      <c r="C806" s="39"/>
      <c r="D806" s="39"/>
      <c r="E806" s="39"/>
      <c r="F806" s="39"/>
      <c r="G806" s="39"/>
      <c r="H806" s="39"/>
      <c r="I806" s="39"/>
      <c r="J806" s="39"/>
      <c r="K806" s="39"/>
      <c r="L806" s="39"/>
      <c r="M806" s="39"/>
    </row>
    <row r="807" customFormat="false" ht="15" hidden="false" customHeight="false" outlineLevel="0" collapsed="false">
      <c r="A807" s="39"/>
      <c r="B807" s="39"/>
      <c r="C807" s="39"/>
      <c r="D807" s="39"/>
      <c r="E807" s="39"/>
      <c r="F807" s="39"/>
      <c r="G807" s="39"/>
      <c r="H807" s="39"/>
      <c r="I807" s="39"/>
      <c r="J807" s="39"/>
      <c r="K807" s="39"/>
      <c r="L807" s="39"/>
      <c r="M807" s="39"/>
    </row>
    <row r="808" customFormat="false" ht="15" hidden="false" customHeight="false" outlineLevel="0" collapsed="false">
      <c r="A808" s="39"/>
      <c r="B808" s="39"/>
      <c r="C808" s="39"/>
      <c r="D808" s="39"/>
      <c r="E808" s="39"/>
      <c r="F808" s="39"/>
      <c r="G808" s="39"/>
      <c r="H808" s="39"/>
      <c r="I808" s="39"/>
      <c r="J808" s="39"/>
      <c r="K808" s="39"/>
      <c r="L808" s="39"/>
      <c r="M808" s="39"/>
    </row>
    <row r="809" customFormat="false" ht="15" hidden="false" customHeight="false" outlineLevel="0" collapsed="false">
      <c r="A809" s="39"/>
      <c r="B809" s="39"/>
      <c r="C809" s="39"/>
      <c r="D809" s="39"/>
      <c r="E809" s="39"/>
      <c r="F809" s="39"/>
      <c r="G809" s="39"/>
      <c r="H809" s="39"/>
      <c r="I809" s="39"/>
      <c r="J809" s="39"/>
      <c r="K809" s="39"/>
      <c r="L809" s="39"/>
      <c r="M809" s="39"/>
    </row>
    <row r="810" customFormat="false" ht="15" hidden="false" customHeight="false" outlineLevel="0" collapsed="false">
      <c r="A810" s="39"/>
      <c r="B810" s="39"/>
      <c r="C810" s="39"/>
      <c r="D810" s="39"/>
      <c r="E810" s="39"/>
      <c r="F810" s="39"/>
      <c r="G810" s="39"/>
      <c r="H810" s="39"/>
      <c r="I810" s="39"/>
      <c r="J810" s="39"/>
      <c r="K810" s="39"/>
      <c r="L810" s="39"/>
      <c r="M810" s="39"/>
    </row>
    <row r="811" customFormat="false" ht="15" hidden="false" customHeight="false" outlineLevel="0" collapsed="false">
      <c r="A811" s="39"/>
      <c r="B811" s="39"/>
      <c r="C811" s="39"/>
      <c r="D811" s="39"/>
      <c r="E811" s="39"/>
      <c r="F811" s="39"/>
      <c r="G811" s="39"/>
      <c r="H811" s="39"/>
      <c r="I811" s="39"/>
      <c r="J811" s="39"/>
      <c r="K811" s="39"/>
      <c r="L811" s="39"/>
      <c r="M811" s="39"/>
    </row>
    <row r="812" customFormat="false" ht="15" hidden="false" customHeight="false" outlineLevel="0" collapsed="false">
      <c r="A812" s="39"/>
      <c r="B812" s="39"/>
      <c r="C812" s="39"/>
      <c r="D812" s="39"/>
      <c r="E812" s="39"/>
      <c r="F812" s="39"/>
      <c r="G812" s="39"/>
      <c r="H812" s="39"/>
      <c r="I812" s="39"/>
      <c r="J812" s="39"/>
      <c r="K812" s="39"/>
      <c r="L812" s="39"/>
      <c r="M812" s="39"/>
    </row>
    <row r="813" customFormat="false" ht="15" hidden="false" customHeight="false" outlineLevel="0" collapsed="false">
      <c r="A813" s="39"/>
      <c r="B813" s="39"/>
      <c r="C813" s="39"/>
      <c r="D813" s="39"/>
      <c r="E813" s="39"/>
      <c r="F813" s="39"/>
      <c r="G813" s="39"/>
      <c r="H813" s="39"/>
      <c r="I813" s="39"/>
      <c r="J813" s="39"/>
      <c r="K813" s="39"/>
      <c r="L813" s="39"/>
      <c r="M813" s="39"/>
    </row>
    <row r="814" customFormat="false" ht="15" hidden="false" customHeight="false" outlineLevel="0" collapsed="false">
      <c r="A814" s="39"/>
      <c r="B814" s="39"/>
      <c r="C814" s="39"/>
      <c r="D814" s="39"/>
      <c r="E814" s="39"/>
      <c r="F814" s="39"/>
      <c r="G814" s="39"/>
      <c r="H814" s="39"/>
      <c r="I814" s="39"/>
      <c r="J814" s="39"/>
      <c r="K814" s="39"/>
      <c r="L814" s="39"/>
      <c r="M814" s="39"/>
    </row>
    <row r="815" customFormat="false" ht="15" hidden="false" customHeight="false" outlineLevel="0" collapsed="false">
      <c r="A815" s="39"/>
      <c r="B815" s="39"/>
      <c r="C815" s="39"/>
      <c r="D815" s="39"/>
      <c r="E815" s="39"/>
      <c r="F815" s="39"/>
      <c r="G815" s="39"/>
      <c r="H815" s="39"/>
      <c r="I815" s="39"/>
      <c r="J815" s="39"/>
      <c r="K815" s="39"/>
      <c r="L815" s="39"/>
      <c r="M815" s="39"/>
    </row>
    <row r="816" customFormat="false" ht="15" hidden="false" customHeight="false" outlineLevel="0" collapsed="false">
      <c r="A816" s="39"/>
      <c r="B816" s="39"/>
      <c r="C816" s="39"/>
      <c r="D816" s="39"/>
      <c r="E816" s="39"/>
      <c r="F816" s="39"/>
      <c r="G816" s="39"/>
      <c r="H816" s="39"/>
      <c r="I816" s="39"/>
      <c r="J816" s="39"/>
      <c r="K816" s="39"/>
      <c r="L816" s="39"/>
      <c r="M816" s="39"/>
    </row>
    <row r="817" customFormat="false" ht="15" hidden="false" customHeight="false" outlineLevel="0" collapsed="false">
      <c r="A817" s="39"/>
      <c r="B817" s="39"/>
      <c r="C817" s="39"/>
      <c r="D817" s="39"/>
      <c r="E817" s="39"/>
      <c r="F817" s="39"/>
      <c r="G817" s="39"/>
      <c r="H817" s="39"/>
      <c r="I817" s="39"/>
      <c r="J817" s="39"/>
      <c r="K817" s="39"/>
      <c r="L817" s="39"/>
      <c r="M817" s="39"/>
    </row>
    <row r="818" customFormat="false" ht="15" hidden="false" customHeight="false" outlineLevel="0" collapsed="false">
      <c r="A818" s="39"/>
      <c r="B818" s="39"/>
      <c r="C818" s="39"/>
      <c r="D818" s="39"/>
      <c r="E818" s="39"/>
      <c r="F818" s="39"/>
      <c r="G818" s="39"/>
      <c r="H818" s="39"/>
      <c r="I818" s="39"/>
      <c r="J818" s="39"/>
      <c r="K818" s="39"/>
      <c r="L818" s="39"/>
      <c r="M818" s="39"/>
    </row>
    <row r="819" customFormat="false" ht="15" hidden="false" customHeight="false" outlineLevel="0" collapsed="false">
      <c r="A819" s="39"/>
      <c r="B819" s="39"/>
      <c r="C819" s="39"/>
      <c r="D819" s="39"/>
      <c r="E819" s="39"/>
      <c r="F819" s="39"/>
      <c r="G819" s="39"/>
      <c r="H819" s="39"/>
      <c r="I819" s="39"/>
      <c r="J819" s="39"/>
      <c r="K819" s="39"/>
      <c r="L819" s="39"/>
      <c r="M819" s="39"/>
    </row>
    <row r="820" customFormat="false" ht="15" hidden="false" customHeight="false" outlineLevel="0" collapsed="false">
      <c r="A820" s="39"/>
      <c r="B820" s="39"/>
      <c r="C820" s="39"/>
      <c r="D820" s="39"/>
      <c r="E820" s="39"/>
      <c r="F820" s="39"/>
      <c r="G820" s="39"/>
      <c r="H820" s="39"/>
      <c r="I820" s="39"/>
      <c r="J820" s="39"/>
      <c r="K820" s="39"/>
      <c r="L820" s="39"/>
      <c r="M820" s="39"/>
    </row>
    <row r="821" customFormat="false" ht="15" hidden="false" customHeight="false" outlineLevel="0" collapsed="false">
      <c r="A821" s="39"/>
      <c r="B821" s="39"/>
      <c r="C821" s="39"/>
      <c r="D821" s="39"/>
      <c r="E821" s="39"/>
      <c r="F821" s="39"/>
      <c r="G821" s="39"/>
      <c r="H821" s="39"/>
      <c r="I821" s="39"/>
      <c r="J821" s="39"/>
      <c r="K821" s="39"/>
      <c r="L821" s="39"/>
      <c r="M821" s="39"/>
    </row>
    <row r="822" customFormat="false" ht="15" hidden="false" customHeight="false" outlineLevel="0" collapsed="false">
      <c r="A822" s="39"/>
      <c r="B822" s="39"/>
      <c r="C822" s="39"/>
      <c r="D822" s="39"/>
      <c r="E822" s="39"/>
      <c r="F822" s="39"/>
      <c r="G822" s="39"/>
      <c r="H822" s="39"/>
      <c r="I822" s="39"/>
      <c r="J822" s="39"/>
      <c r="K822" s="39"/>
      <c r="L822" s="39"/>
      <c r="M822" s="39"/>
    </row>
    <row r="823" customFormat="false" ht="15" hidden="false" customHeight="false" outlineLevel="0" collapsed="false">
      <c r="A823" s="39"/>
      <c r="B823" s="39"/>
      <c r="C823" s="39"/>
      <c r="D823" s="39"/>
      <c r="E823" s="39"/>
      <c r="F823" s="39"/>
      <c r="G823" s="39"/>
      <c r="H823" s="39"/>
      <c r="I823" s="39"/>
      <c r="J823" s="39"/>
      <c r="K823" s="39"/>
      <c r="L823" s="39"/>
      <c r="M823" s="39"/>
    </row>
    <row r="824" customFormat="false" ht="15" hidden="false" customHeight="false" outlineLevel="0" collapsed="false">
      <c r="A824" s="39"/>
      <c r="B824" s="39"/>
      <c r="C824" s="39"/>
      <c r="D824" s="39"/>
      <c r="E824" s="39"/>
      <c r="F824" s="39"/>
      <c r="G824" s="39"/>
      <c r="H824" s="39"/>
      <c r="I824" s="39"/>
      <c r="J824" s="39"/>
      <c r="K824" s="39"/>
      <c r="L824" s="39"/>
      <c r="M824" s="39"/>
    </row>
    <row r="825" customFormat="false" ht="15" hidden="false" customHeight="false" outlineLevel="0" collapsed="false">
      <c r="A825" s="39"/>
      <c r="B825" s="39"/>
      <c r="C825" s="39"/>
      <c r="D825" s="39"/>
      <c r="E825" s="39"/>
      <c r="F825" s="39"/>
      <c r="G825" s="39"/>
      <c r="H825" s="39"/>
      <c r="I825" s="39"/>
      <c r="J825" s="39"/>
      <c r="K825" s="39"/>
      <c r="L825" s="39"/>
      <c r="M825" s="39"/>
    </row>
    <row r="826" customFormat="false" ht="15" hidden="false" customHeight="false" outlineLevel="0" collapsed="false">
      <c r="A826" s="39"/>
      <c r="B826" s="39"/>
      <c r="C826" s="39"/>
      <c r="D826" s="39"/>
      <c r="E826" s="39"/>
      <c r="F826" s="39"/>
      <c r="G826" s="39"/>
      <c r="H826" s="39"/>
      <c r="I826" s="39"/>
      <c r="J826" s="39"/>
      <c r="K826" s="39"/>
      <c r="L826" s="39"/>
      <c r="M826" s="39"/>
    </row>
    <row r="827" customFormat="false" ht="15" hidden="false" customHeight="false" outlineLevel="0" collapsed="false">
      <c r="A827" s="39"/>
      <c r="B827" s="39"/>
      <c r="C827" s="39"/>
      <c r="D827" s="39"/>
      <c r="E827" s="39"/>
      <c r="F827" s="39"/>
      <c r="G827" s="39"/>
      <c r="H827" s="39"/>
      <c r="I827" s="39"/>
      <c r="J827" s="39"/>
      <c r="K827" s="39"/>
      <c r="L827" s="39"/>
      <c r="M827" s="39"/>
    </row>
    <row r="828" customFormat="false" ht="15" hidden="false" customHeight="false" outlineLevel="0" collapsed="false">
      <c r="A828" s="39"/>
      <c r="B828" s="39"/>
      <c r="C828" s="39"/>
      <c r="D828" s="39"/>
      <c r="E828" s="39"/>
      <c r="F828" s="39"/>
      <c r="G828" s="39"/>
      <c r="H828" s="39"/>
      <c r="I828" s="39"/>
      <c r="J828" s="39"/>
      <c r="K828" s="39"/>
      <c r="L828" s="39"/>
      <c r="M828" s="39"/>
    </row>
    <row r="829" customFormat="false" ht="15" hidden="false" customHeight="false" outlineLevel="0" collapsed="false">
      <c r="A829" s="39"/>
      <c r="B829" s="39"/>
      <c r="C829" s="39"/>
      <c r="D829" s="39"/>
      <c r="E829" s="39"/>
      <c r="F829" s="39"/>
      <c r="G829" s="39"/>
      <c r="H829" s="39"/>
      <c r="I829" s="39"/>
      <c r="J829" s="39"/>
      <c r="K829" s="39"/>
      <c r="L829" s="39"/>
      <c r="M829" s="39"/>
    </row>
    <row r="830" customFormat="false" ht="15" hidden="false" customHeight="false" outlineLevel="0" collapsed="false">
      <c r="A830" s="39"/>
      <c r="B830" s="39"/>
      <c r="C830" s="39"/>
      <c r="D830" s="39"/>
      <c r="E830" s="39"/>
      <c r="F830" s="39"/>
      <c r="G830" s="39"/>
      <c r="H830" s="39"/>
      <c r="I830" s="39"/>
      <c r="J830" s="39"/>
      <c r="K830" s="39"/>
      <c r="L830" s="39"/>
      <c r="M830" s="39"/>
    </row>
    <row r="831" customFormat="false" ht="15" hidden="false" customHeight="false" outlineLevel="0" collapsed="false">
      <c r="A831" s="39"/>
      <c r="B831" s="39"/>
      <c r="C831" s="39"/>
      <c r="D831" s="39"/>
      <c r="E831" s="39"/>
      <c r="F831" s="39"/>
      <c r="G831" s="39"/>
      <c r="H831" s="39"/>
      <c r="I831" s="39"/>
      <c r="J831" s="39"/>
      <c r="K831" s="39"/>
      <c r="L831" s="39"/>
      <c r="M831" s="39"/>
    </row>
    <row r="832" customFormat="false" ht="15" hidden="false" customHeight="false" outlineLevel="0" collapsed="false">
      <c r="A832" s="39"/>
      <c r="B832" s="39"/>
      <c r="C832" s="39"/>
      <c r="D832" s="39"/>
      <c r="E832" s="39"/>
      <c r="F832" s="39"/>
      <c r="G832" s="39"/>
      <c r="H832" s="39"/>
      <c r="I832" s="39"/>
      <c r="J832" s="39"/>
      <c r="K832" s="39"/>
      <c r="L832" s="39"/>
      <c r="M832" s="39"/>
    </row>
    <row r="833" customFormat="false" ht="15" hidden="false" customHeight="false" outlineLevel="0" collapsed="false">
      <c r="A833" s="39"/>
      <c r="B833" s="39"/>
      <c r="C833" s="39"/>
      <c r="D833" s="39"/>
      <c r="E833" s="39"/>
      <c r="F833" s="39"/>
      <c r="G833" s="39"/>
      <c r="H833" s="39"/>
      <c r="I833" s="39"/>
      <c r="J833" s="39"/>
      <c r="K833" s="39"/>
      <c r="L833" s="39"/>
      <c r="M833" s="39"/>
    </row>
    <row r="834" customFormat="false" ht="15" hidden="false" customHeight="false" outlineLevel="0" collapsed="false">
      <c r="A834" s="39"/>
      <c r="B834" s="39"/>
      <c r="C834" s="39"/>
      <c r="D834" s="39"/>
      <c r="E834" s="39"/>
      <c r="F834" s="39"/>
      <c r="G834" s="39"/>
      <c r="H834" s="39"/>
      <c r="I834" s="39"/>
      <c r="J834" s="39"/>
      <c r="K834" s="39"/>
      <c r="L834" s="39"/>
      <c r="M834" s="39"/>
    </row>
    <row r="835" customFormat="false" ht="15" hidden="false" customHeight="false" outlineLevel="0" collapsed="false">
      <c r="A835" s="39"/>
      <c r="B835" s="39"/>
      <c r="C835" s="39"/>
      <c r="D835" s="39"/>
      <c r="E835" s="39"/>
      <c r="F835" s="39"/>
      <c r="G835" s="39"/>
      <c r="H835" s="39"/>
      <c r="I835" s="39"/>
      <c r="J835" s="39"/>
      <c r="K835" s="39"/>
      <c r="L835" s="39"/>
      <c r="M835" s="39"/>
    </row>
    <row r="836" customFormat="false" ht="15" hidden="false" customHeight="false" outlineLevel="0" collapsed="false">
      <c r="A836" s="39"/>
      <c r="B836" s="39"/>
      <c r="C836" s="39"/>
      <c r="D836" s="39"/>
      <c r="E836" s="39"/>
      <c r="F836" s="39"/>
      <c r="G836" s="39"/>
      <c r="H836" s="39"/>
      <c r="I836" s="39"/>
      <c r="J836" s="39"/>
      <c r="K836" s="39"/>
      <c r="L836" s="39"/>
      <c r="M836" s="39"/>
    </row>
    <row r="837" customFormat="false" ht="15" hidden="false" customHeight="false" outlineLevel="0" collapsed="false">
      <c r="A837" s="39"/>
      <c r="B837" s="39"/>
      <c r="C837" s="39"/>
      <c r="D837" s="39"/>
      <c r="E837" s="39"/>
      <c r="F837" s="39"/>
      <c r="G837" s="39"/>
      <c r="H837" s="39"/>
      <c r="I837" s="39"/>
      <c r="J837" s="39"/>
      <c r="K837" s="39"/>
      <c r="L837" s="39"/>
      <c r="M837" s="39"/>
    </row>
    <row r="838" customFormat="false" ht="15" hidden="false" customHeight="false" outlineLevel="0" collapsed="false">
      <c r="A838" s="39"/>
      <c r="B838" s="39"/>
      <c r="C838" s="39"/>
      <c r="D838" s="39"/>
      <c r="E838" s="39"/>
      <c r="F838" s="39"/>
      <c r="G838" s="39"/>
      <c r="H838" s="39"/>
      <c r="I838" s="39"/>
      <c r="J838" s="39"/>
      <c r="K838" s="39"/>
      <c r="L838" s="39"/>
      <c r="M838" s="39"/>
    </row>
    <row r="839" customFormat="false" ht="15" hidden="false" customHeight="false" outlineLevel="0" collapsed="false">
      <c r="A839" s="39"/>
      <c r="B839" s="39"/>
      <c r="C839" s="39"/>
      <c r="D839" s="39"/>
      <c r="E839" s="39"/>
      <c r="F839" s="39"/>
      <c r="G839" s="39"/>
      <c r="H839" s="39"/>
      <c r="I839" s="39"/>
      <c r="J839" s="39"/>
      <c r="K839" s="39"/>
      <c r="L839" s="39"/>
      <c r="M839" s="39"/>
    </row>
    <row r="840" customFormat="false" ht="15" hidden="false" customHeight="false" outlineLevel="0" collapsed="false">
      <c r="A840" s="39"/>
      <c r="B840" s="39"/>
      <c r="C840" s="39"/>
      <c r="D840" s="39"/>
      <c r="E840" s="39"/>
      <c r="F840" s="39"/>
      <c r="G840" s="39"/>
      <c r="H840" s="39"/>
      <c r="I840" s="39"/>
      <c r="J840" s="39"/>
      <c r="K840" s="39"/>
      <c r="L840" s="39"/>
      <c r="M840" s="39"/>
    </row>
    <row r="841" customFormat="false" ht="15" hidden="false" customHeight="false" outlineLevel="0" collapsed="false">
      <c r="A841" s="39"/>
      <c r="B841" s="39"/>
      <c r="C841" s="39"/>
      <c r="D841" s="39"/>
      <c r="E841" s="39"/>
      <c r="F841" s="39"/>
      <c r="G841" s="39"/>
      <c r="H841" s="39"/>
      <c r="I841" s="39"/>
      <c r="J841" s="39"/>
      <c r="K841" s="39"/>
      <c r="L841" s="39"/>
      <c r="M841" s="39"/>
    </row>
    <row r="842" customFormat="false" ht="15" hidden="false" customHeight="false" outlineLevel="0" collapsed="false">
      <c r="A842" s="39"/>
      <c r="B842" s="39"/>
      <c r="C842" s="39"/>
      <c r="D842" s="39"/>
      <c r="E842" s="39"/>
      <c r="F842" s="39"/>
      <c r="G842" s="39"/>
      <c r="H842" s="39"/>
      <c r="I842" s="39"/>
      <c r="J842" s="39"/>
      <c r="K842" s="39"/>
      <c r="L842" s="39"/>
      <c r="M842" s="39"/>
    </row>
    <row r="843" customFormat="false" ht="15" hidden="false" customHeight="false" outlineLevel="0" collapsed="false">
      <c r="A843" s="39"/>
      <c r="B843" s="39"/>
      <c r="C843" s="39"/>
      <c r="D843" s="39"/>
      <c r="E843" s="39"/>
      <c r="F843" s="39"/>
      <c r="G843" s="39"/>
      <c r="H843" s="39"/>
      <c r="I843" s="39"/>
      <c r="J843" s="39"/>
      <c r="K843" s="39"/>
      <c r="L843" s="39"/>
      <c r="M843" s="39"/>
    </row>
    <row r="844" customFormat="false" ht="15" hidden="false" customHeight="false" outlineLevel="0" collapsed="false">
      <c r="A844" s="39"/>
      <c r="B844" s="39"/>
      <c r="C844" s="39"/>
      <c r="D844" s="39"/>
      <c r="E844" s="39"/>
      <c r="F844" s="39"/>
      <c r="G844" s="39"/>
      <c r="H844" s="39"/>
      <c r="I844" s="39"/>
      <c r="J844" s="39"/>
      <c r="K844" s="39"/>
      <c r="L844" s="39"/>
      <c r="M844" s="39"/>
    </row>
    <row r="845" customFormat="false" ht="15" hidden="false" customHeight="false" outlineLevel="0" collapsed="false">
      <c r="A845" s="39"/>
      <c r="B845" s="39"/>
      <c r="C845" s="39"/>
      <c r="D845" s="39"/>
      <c r="E845" s="39"/>
      <c r="F845" s="39"/>
      <c r="G845" s="39"/>
      <c r="H845" s="39"/>
      <c r="I845" s="39"/>
      <c r="J845" s="39"/>
      <c r="K845" s="39"/>
      <c r="L845" s="39"/>
      <c r="M845" s="39"/>
    </row>
    <row r="846" customFormat="false" ht="15" hidden="false" customHeight="false" outlineLevel="0" collapsed="false">
      <c r="A846" s="39"/>
      <c r="B846" s="39"/>
      <c r="C846" s="39"/>
      <c r="D846" s="39"/>
      <c r="E846" s="39"/>
      <c r="F846" s="39"/>
      <c r="G846" s="39"/>
      <c r="H846" s="39"/>
      <c r="I846" s="39"/>
      <c r="J846" s="39"/>
      <c r="K846" s="39"/>
      <c r="L846" s="39"/>
      <c r="M846" s="39"/>
    </row>
    <row r="847" customFormat="false" ht="15" hidden="false" customHeight="false" outlineLevel="0" collapsed="false">
      <c r="A847" s="39"/>
      <c r="B847" s="39"/>
      <c r="C847" s="39"/>
      <c r="D847" s="39"/>
      <c r="E847" s="39"/>
      <c r="F847" s="39"/>
      <c r="G847" s="39"/>
      <c r="H847" s="39"/>
      <c r="I847" s="39"/>
      <c r="J847" s="39"/>
      <c r="K847" s="39"/>
      <c r="L847" s="39"/>
      <c r="M847" s="39"/>
    </row>
    <row r="848" customFormat="false" ht="15" hidden="false" customHeight="false" outlineLevel="0" collapsed="false">
      <c r="A848" s="39"/>
      <c r="B848" s="39"/>
      <c r="C848" s="39"/>
      <c r="D848" s="39"/>
      <c r="E848" s="39"/>
      <c r="F848" s="39"/>
      <c r="G848" s="39"/>
      <c r="H848" s="39"/>
      <c r="I848" s="39"/>
      <c r="J848" s="39"/>
      <c r="K848" s="39"/>
      <c r="L848" s="39"/>
      <c r="M848" s="39"/>
    </row>
    <row r="849" customFormat="false" ht="15" hidden="false" customHeight="false" outlineLevel="0" collapsed="false">
      <c r="A849" s="39"/>
      <c r="B849" s="39"/>
      <c r="C849" s="39"/>
      <c r="D849" s="39"/>
      <c r="E849" s="39"/>
      <c r="F849" s="39"/>
      <c r="G849" s="39"/>
      <c r="H849" s="39"/>
      <c r="I849" s="39"/>
      <c r="J849" s="39"/>
      <c r="K849" s="39"/>
      <c r="L849" s="39"/>
      <c r="M849" s="39"/>
    </row>
    <row r="850" customFormat="false" ht="15" hidden="false" customHeight="false" outlineLevel="0" collapsed="false">
      <c r="A850" s="39"/>
      <c r="B850" s="39"/>
      <c r="C850" s="39"/>
      <c r="D850" s="39"/>
      <c r="E850" s="39"/>
      <c r="F850" s="39"/>
      <c r="G850" s="39"/>
      <c r="H850" s="39"/>
      <c r="I850" s="39"/>
      <c r="J850" s="39"/>
      <c r="K850" s="39"/>
      <c r="L850" s="39"/>
      <c r="M850" s="39"/>
    </row>
    <row r="851" customFormat="false" ht="15" hidden="false" customHeight="false" outlineLevel="0" collapsed="false">
      <c r="A851" s="39"/>
      <c r="B851" s="39"/>
      <c r="C851" s="39"/>
      <c r="D851" s="39"/>
      <c r="E851" s="39"/>
      <c r="F851" s="39"/>
      <c r="G851" s="39"/>
      <c r="H851" s="39"/>
      <c r="I851" s="39"/>
      <c r="J851" s="39"/>
      <c r="K851" s="39"/>
      <c r="L851" s="39"/>
      <c r="M851" s="39"/>
    </row>
    <row r="852" customFormat="false" ht="15" hidden="false" customHeight="false" outlineLevel="0" collapsed="false">
      <c r="A852" s="39"/>
      <c r="B852" s="39"/>
      <c r="C852" s="39"/>
      <c r="D852" s="39"/>
      <c r="E852" s="39"/>
      <c r="F852" s="39"/>
      <c r="G852" s="39"/>
      <c r="H852" s="39"/>
      <c r="I852" s="39"/>
      <c r="J852" s="39"/>
      <c r="K852" s="39"/>
      <c r="L852" s="39"/>
      <c r="M852" s="39"/>
    </row>
    <row r="853" customFormat="false" ht="15" hidden="false" customHeight="false" outlineLevel="0" collapsed="false">
      <c r="A853" s="39"/>
      <c r="B853" s="39"/>
      <c r="C853" s="39"/>
      <c r="D853" s="39"/>
      <c r="E853" s="39"/>
      <c r="F853" s="39"/>
      <c r="G853" s="39"/>
      <c r="H853" s="39"/>
      <c r="I853" s="39"/>
      <c r="J853" s="39"/>
      <c r="K853" s="39"/>
      <c r="L853" s="39"/>
      <c r="M853" s="39"/>
    </row>
    <row r="854" customFormat="false" ht="15" hidden="false" customHeight="false" outlineLevel="0" collapsed="false">
      <c r="A854" s="39"/>
      <c r="B854" s="39"/>
      <c r="C854" s="39"/>
      <c r="D854" s="39"/>
      <c r="E854" s="39"/>
      <c r="F854" s="39"/>
      <c r="G854" s="39"/>
      <c r="H854" s="39"/>
      <c r="I854" s="39"/>
      <c r="J854" s="39"/>
      <c r="K854" s="39"/>
      <c r="L854" s="39"/>
      <c r="M854" s="39"/>
    </row>
    <row r="855" customFormat="false" ht="15" hidden="false" customHeight="false" outlineLevel="0" collapsed="false">
      <c r="A855" s="39"/>
      <c r="B855" s="39"/>
      <c r="C855" s="39"/>
      <c r="D855" s="39"/>
      <c r="E855" s="39"/>
      <c r="F855" s="39"/>
      <c r="G855" s="39"/>
      <c r="H855" s="39"/>
      <c r="I855" s="39"/>
      <c r="J855" s="39"/>
      <c r="K855" s="39"/>
      <c r="L855" s="39"/>
      <c r="M855" s="39"/>
    </row>
    <row r="856" customFormat="false" ht="15" hidden="false" customHeight="false" outlineLevel="0" collapsed="false">
      <c r="A856" s="39"/>
      <c r="B856" s="39"/>
      <c r="C856" s="39"/>
      <c r="D856" s="39"/>
      <c r="E856" s="39"/>
      <c r="F856" s="39"/>
      <c r="G856" s="39"/>
      <c r="H856" s="39"/>
      <c r="I856" s="39"/>
      <c r="J856" s="39"/>
      <c r="K856" s="39"/>
      <c r="L856" s="39"/>
      <c r="M856" s="39"/>
    </row>
    <row r="857" customFormat="false" ht="15" hidden="false" customHeight="false" outlineLevel="0" collapsed="false">
      <c r="A857" s="39"/>
      <c r="B857" s="39"/>
      <c r="C857" s="39"/>
      <c r="D857" s="39"/>
      <c r="E857" s="39"/>
      <c r="F857" s="39"/>
      <c r="G857" s="39"/>
      <c r="H857" s="39"/>
      <c r="I857" s="39"/>
      <c r="J857" s="39"/>
      <c r="K857" s="39"/>
      <c r="L857" s="39"/>
      <c r="M857" s="39"/>
    </row>
    <row r="858" customFormat="false" ht="15" hidden="false" customHeight="false" outlineLevel="0" collapsed="false">
      <c r="A858" s="39"/>
      <c r="B858" s="39"/>
      <c r="C858" s="39"/>
      <c r="D858" s="39"/>
      <c r="E858" s="39"/>
      <c r="F858" s="39"/>
      <c r="G858" s="39"/>
      <c r="H858" s="39"/>
      <c r="I858" s="39"/>
      <c r="J858" s="39"/>
      <c r="K858" s="39"/>
      <c r="L858" s="39"/>
      <c r="M858" s="39"/>
    </row>
    <row r="859" customFormat="false" ht="15" hidden="false" customHeight="false" outlineLevel="0" collapsed="false">
      <c r="A859" s="39"/>
      <c r="B859" s="39"/>
      <c r="C859" s="39"/>
      <c r="D859" s="39"/>
      <c r="E859" s="39"/>
      <c r="F859" s="39"/>
      <c r="G859" s="39"/>
      <c r="H859" s="39"/>
      <c r="I859" s="39"/>
      <c r="J859" s="39"/>
      <c r="K859" s="39"/>
      <c r="L859" s="39"/>
      <c r="M859" s="39"/>
    </row>
    <row r="860" customFormat="false" ht="15" hidden="false" customHeight="false" outlineLevel="0" collapsed="false">
      <c r="A860" s="39"/>
      <c r="B860" s="39"/>
      <c r="C860" s="39"/>
      <c r="D860" s="39"/>
      <c r="E860" s="39"/>
      <c r="F860" s="39"/>
      <c r="G860" s="39"/>
      <c r="H860" s="39"/>
      <c r="I860" s="39"/>
      <c r="J860" s="39"/>
      <c r="K860" s="39"/>
      <c r="L860" s="39"/>
      <c r="M860" s="39"/>
    </row>
    <row r="861" customFormat="false" ht="15" hidden="false" customHeight="false" outlineLevel="0" collapsed="false">
      <c r="A861" s="39"/>
      <c r="B861" s="39"/>
      <c r="C861" s="39"/>
      <c r="D861" s="39"/>
      <c r="E861" s="39"/>
      <c r="F861" s="39"/>
      <c r="G861" s="39"/>
      <c r="H861" s="39"/>
      <c r="I861" s="39"/>
      <c r="J861" s="39"/>
      <c r="K861" s="39"/>
      <c r="L861" s="39"/>
      <c r="M861" s="39"/>
    </row>
    <row r="862" customFormat="false" ht="15" hidden="false" customHeight="false" outlineLevel="0" collapsed="false">
      <c r="A862" s="39"/>
      <c r="B862" s="39"/>
      <c r="C862" s="39"/>
      <c r="D862" s="39"/>
      <c r="E862" s="39"/>
      <c r="F862" s="39"/>
      <c r="G862" s="39"/>
      <c r="H862" s="39"/>
      <c r="I862" s="39"/>
      <c r="J862" s="39"/>
      <c r="K862" s="39"/>
      <c r="L862" s="39"/>
      <c r="M862" s="39"/>
    </row>
    <row r="863" customFormat="false" ht="15" hidden="false" customHeight="false" outlineLevel="0" collapsed="false">
      <c r="A863" s="39"/>
      <c r="B863" s="39"/>
      <c r="C863" s="39"/>
      <c r="D863" s="39"/>
      <c r="E863" s="39"/>
      <c r="F863" s="39"/>
      <c r="G863" s="39"/>
      <c r="H863" s="39"/>
      <c r="I863" s="39"/>
      <c r="J863" s="39"/>
      <c r="K863" s="39"/>
      <c r="L863" s="39"/>
      <c r="M863" s="39"/>
    </row>
    <row r="864" customFormat="false" ht="15" hidden="false" customHeight="false" outlineLevel="0" collapsed="false">
      <c r="A864" s="39"/>
      <c r="B864" s="39"/>
      <c r="C864" s="39"/>
      <c r="D864" s="39"/>
      <c r="E864" s="39"/>
      <c r="F864" s="39"/>
      <c r="G864" s="39"/>
      <c r="H864" s="39"/>
      <c r="I864" s="39"/>
      <c r="J864" s="39"/>
      <c r="K864" s="39"/>
      <c r="L864" s="39"/>
      <c r="M864" s="39"/>
    </row>
    <row r="865" customFormat="false" ht="15" hidden="false" customHeight="false" outlineLevel="0" collapsed="false">
      <c r="A865" s="39"/>
      <c r="B865" s="39"/>
      <c r="C865" s="39"/>
      <c r="D865" s="39"/>
      <c r="E865" s="39"/>
      <c r="F865" s="39"/>
      <c r="G865" s="39"/>
      <c r="H865" s="39"/>
      <c r="I865" s="39"/>
      <c r="J865" s="39"/>
      <c r="K865" s="39"/>
      <c r="L865" s="39"/>
      <c r="M865" s="39"/>
    </row>
    <row r="866" customFormat="false" ht="15" hidden="false" customHeight="false" outlineLevel="0" collapsed="false">
      <c r="A866" s="39"/>
      <c r="B866" s="39"/>
      <c r="C866" s="39"/>
      <c r="D866" s="39"/>
      <c r="E866" s="39"/>
      <c r="F866" s="39"/>
      <c r="G866" s="39"/>
      <c r="H866" s="39"/>
      <c r="I866" s="39"/>
      <c r="J866" s="39"/>
      <c r="K866" s="39"/>
      <c r="L866" s="39"/>
      <c r="M866" s="39"/>
    </row>
    <row r="867" customFormat="false" ht="15" hidden="false" customHeight="false" outlineLevel="0" collapsed="false">
      <c r="A867" s="39"/>
      <c r="B867" s="39"/>
      <c r="C867" s="39"/>
      <c r="D867" s="39"/>
      <c r="E867" s="39"/>
      <c r="F867" s="39"/>
      <c r="G867" s="39"/>
      <c r="H867" s="39"/>
      <c r="I867" s="39"/>
      <c r="J867" s="39"/>
      <c r="K867" s="39"/>
      <c r="L867" s="39"/>
      <c r="M867" s="39"/>
    </row>
    <row r="868" customFormat="false" ht="15" hidden="false" customHeight="false" outlineLevel="0" collapsed="false">
      <c r="A868" s="39"/>
      <c r="B868" s="39"/>
      <c r="C868" s="39"/>
      <c r="D868" s="39"/>
      <c r="E868" s="39"/>
      <c r="F868" s="39"/>
      <c r="G868" s="39"/>
      <c r="H868" s="39"/>
      <c r="I868" s="39"/>
      <c r="J868" s="39"/>
      <c r="K868" s="39"/>
      <c r="L868" s="39"/>
      <c r="M868" s="39"/>
    </row>
    <row r="869" customFormat="false" ht="15" hidden="false" customHeight="false" outlineLevel="0" collapsed="false">
      <c r="A869" s="39"/>
      <c r="B869" s="39"/>
      <c r="C869" s="39"/>
      <c r="D869" s="39"/>
      <c r="E869" s="39"/>
      <c r="F869" s="39"/>
      <c r="G869" s="39"/>
      <c r="H869" s="39"/>
      <c r="I869" s="39"/>
      <c r="J869" s="39"/>
      <c r="K869" s="39"/>
      <c r="L869" s="39"/>
      <c r="M869" s="39"/>
    </row>
    <row r="870" customFormat="false" ht="15" hidden="false" customHeight="false" outlineLevel="0" collapsed="false">
      <c r="A870" s="39"/>
      <c r="B870" s="39"/>
      <c r="C870" s="39"/>
      <c r="D870" s="39"/>
      <c r="E870" s="39"/>
      <c r="F870" s="39"/>
      <c r="G870" s="39"/>
      <c r="H870" s="39"/>
      <c r="I870" s="39"/>
      <c r="J870" s="39"/>
      <c r="K870" s="39"/>
      <c r="L870" s="39"/>
      <c r="M870" s="39"/>
    </row>
    <row r="871" customFormat="false" ht="15" hidden="false" customHeight="false" outlineLevel="0" collapsed="false">
      <c r="A871" s="39"/>
      <c r="B871" s="39"/>
      <c r="C871" s="39"/>
      <c r="D871" s="39"/>
      <c r="E871" s="39"/>
      <c r="F871" s="39"/>
      <c r="G871" s="39"/>
      <c r="H871" s="39"/>
      <c r="I871" s="39"/>
      <c r="J871" s="39"/>
      <c r="K871" s="39"/>
      <c r="L871" s="39"/>
      <c r="M871" s="39"/>
    </row>
    <row r="872" customFormat="false" ht="15" hidden="false" customHeight="false" outlineLevel="0" collapsed="false">
      <c r="A872" s="39"/>
      <c r="B872" s="39"/>
      <c r="C872" s="39"/>
      <c r="D872" s="39"/>
      <c r="E872" s="39"/>
      <c r="F872" s="39"/>
      <c r="G872" s="39"/>
      <c r="H872" s="39"/>
      <c r="I872" s="39"/>
      <c r="J872" s="39"/>
      <c r="K872" s="39"/>
      <c r="L872" s="39"/>
      <c r="M872" s="39"/>
    </row>
    <row r="873" customFormat="false" ht="15" hidden="false" customHeight="false" outlineLevel="0" collapsed="false">
      <c r="A873" s="39"/>
      <c r="B873" s="39"/>
      <c r="C873" s="39"/>
      <c r="D873" s="39"/>
      <c r="E873" s="39"/>
      <c r="F873" s="39"/>
      <c r="G873" s="39"/>
      <c r="H873" s="39"/>
      <c r="I873" s="39"/>
      <c r="J873" s="39"/>
      <c r="K873" s="39"/>
      <c r="L873" s="39"/>
      <c r="M873" s="39"/>
    </row>
    <row r="874" customFormat="false" ht="15" hidden="false" customHeight="false" outlineLevel="0" collapsed="false">
      <c r="A874" s="39"/>
      <c r="B874" s="39"/>
      <c r="C874" s="39"/>
      <c r="D874" s="39"/>
      <c r="E874" s="39"/>
      <c r="F874" s="39"/>
      <c r="G874" s="39"/>
      <c r="H874" s="39"/>
      <c r="I874" s="39"/>
      <c r="J874" s="39"/>
      <c r="K874" s="39"/>
      <c r="L874" s="39"/>
      <c r="M874" s="39"/>
    </row>
    <row r="875" customFormat="false" ht="15" hidden="false" customHeight="false" outlineLevel="0" collapsed="false">
      <c r="A875" s="39"/>
      <c r="B875" s="39"/>
      <c r="C875" s="39"/>
      <c r="D875" s="39"/>
      <c r="E875" s="39"/>
      <c r="F875" s="39"/>
      <c r="G875" s="39"/>
      <c r="H875" s="39"/>
      <c r="I875" s="39"/>
      <c r="J875" s="39"/>
      <c r="K875" s="39"/>
      <c r="L875" s="39"/>
      <c r="M875" s="39"/>
    </row>
    <row r="876" customFormat="false" ht="15" hidden="false" customHeight="false" outlineLevel="0" collapsed="false">
      <c r="A876" s="39"/>
      <c r="B876" s="39"/>
      <c r="C876" s="39"/>
      <c r="D876" s="39"/>
      <c r="E876" s="39"/>
      <c r="F876" s="39"/>
      <c r="G876" s="39"/>
      <c r="H876" s="39"/>
      <c r="I876" s="39"/>
      <c r="J876" s="39"/>
      <c r="K876" s="39"/>
      <c r="L876" s="39"/>
      <c r="M876" s="39"/>
    </row>
    <row r="877" customFormat="false" ht="15" hidden="false" customHeight="false" outlineLevel="0" collapsed="false">
      <c r="A877" s="39"/>
      <c r="B877" s="39"/>
      <c r="C877" s="39"/>
      <c r="D877" s="39"/>
      <c r="E877" s="39"/>
      <c r="F877" s="39"/>
      <c r="G877" s="39"/>
      <c r="H877" s="39"/>
      <c r="I877" s="39"/>
      <c r="J877" s="39"/>
      <c r="K877" s="39"/>
      <c r="L877" s="39"/>
      <c r="M877" s="39"/>
    </row>
    <row r="878" customFormat="false" ht="15" hidden="false" customHeight="false" outlineLevel="0" collapsed="false">
      <c r="A878" s="39"/>
      <c r="B878" s="39"/>
      <c r="C878" s="39"/>
      <c r="D878" s="39"/>
      <c r="E878" s="39"/>
      <c r="F878" s="39"/>
      <c r="G878" s="39"/>
      <c r="H878" s="39"/>
      <c r="I878" s="39"/>
      <c r="J878" s="39"/>
      <c r="K878" s="39"/>
      <c r="L878" s="39"/>
      <c r="M878" s="39"/>
    </row>
    <row r="879" customFormat="false" ht="15" hidden="false" customHeight="false" outlineLevel="0" collapsed="false">
      <c r="A879" s="39"/>
      <c r="B879" s="39"/>
      <c r="C879" s="39"/>
      <c r="D879" s="39"/>
      <c r="E879" s="39"/>
      <c r="F879" s="39"/>
      <c r="G879" s="39"/>
      <c r="H879" s="39"/>
      <c r="I879" s="39"/>
      <c r="J879" s="39"/>
      <c r="K879" s="39"/>
      <c r="L879" s="39"/>
      <c r="M879" s="39"/>
    </row>
    <row r="880" customFormat="false" ht="15" hidden="false" customHeight="false" outlineLevel="0" collapsed="false">
      <c r="A880" s="39"/>
      <c r="B880" s="39"/>
      <c r="C880" s="39"/>
      <c r="D880" s="39"/>
      <c r="E880" s="39"/>
      <c r="F880" s="39"/>
      <c r="G880" s="39"/>
      <c r="H880" s="39"/>
      <c r="I880" s="39"/>
      <c r="J880" s="39"/>
      <c r="K880" s="39"/>
      <c r="L880" s="39"/>
      <c r="M880" s="39"/>
    </row>
    <row r="881" customFormat="false" ht="15" hidden="false" customHeight="false" outlineLevel="0" collapsed="false">
      <c r="A881" s="39"/>
      <c r="B881" s="39"/>
      <c r="C881" s="39"/>
      <c r="D881" s="39"/>
      <c r="E881" s="39"/>
      <c r="F881" s="39"/>
      <c r="G881" s="39"/>
      <c r="H881" s="39"/>
      <c r="I881" s="39"/>
      <c r="J881" s="39"/>
      <c r="K881" s="39"/>
      <c r="L881" s="39"/>
      <c r="M881" s="39"/>
    </row>
    <row r="882" customFormat="false" ht="15" hidden="false" customHeight="false" outlineLevel="0" collapsed="false">
      <c r="A882" s="39"/>
      <c r="B882" s="39"/>
      <c r="C882" s="39"/>
      <c r="D882" s="39"/>
      <c r="E882" s="39"/>
      <c r="F882" s="39"/>
      <c r="G882" s="39"/>
      <c r="H882" s="39"/>
      <c r="I882" s="39"/>
      <c r="J882" s="39"/>
      <c r="K882" s="39"/>
      <c r="L882" s="39"/>
      <c r="M882" s="39"/>
    </row>
    <row r="883" customFormat="false" ht="15" hidden="false" customHeight="false" outlineLevel="0" collapsed="false">
      <c r="A883" s="39"/>
      <c r="B883" s="39"/>
      <c r="C883" s="39"/>
      <c r="D883" s="39"/>
      <c r="E883" s="39"/>
      <c r="F883" s="39"/>
      <c r="G883" s="39"/>
      <c r="H883" s="39"/>
      <c r="I883" s="39"/>
      <c r="J883" s="39"/>
      <c r="K883" s="39"/>
      <c r="L883" s="39"/>
      <c r="M883" s="39"/>
    </row>
    <row r="884" customFormat="false" ht="15" hidden="false" customHeight="false" outlineLevel="0" collapsed="false">
      <c r="A884" s="39"/>
      <c r="B884" s="39"/>
      <c r="C884" s="39"/>
      <c r="D884" s="39"/>
      <c r="E884" s="39"/>
      <c r="F884" s="39"/>
      <c r="G884" s="39"/>
      <c r="H884" s="39"/>
      <c r="I884" s="39"/>
      <c r="J884" s="39"/>
      <c r="K884" s="39"/>
      <c r="L884" s="39"/>
      <c r="M884" s="39"/>
    </row>
    <row r="885" customFormat="false" ht="15" hidden="false" customHeight="false" outlineLevel="0" collapsed="false">
      <c r="A885" s="39"/>
      <c r="B885" s="39"/>
      <c r="C885" s="39"/>
      <c r="D885" s="39"/>
      <c r="E885" s="39"/>
      <c r="F885" s="39"/>
      <c r="G885" s="39"/>
      <c r="H885" s="39"/>
      <c r="I885" s="39"/>
      <c r="J885" s="39"/>
      <c r="K885" s="39"/>
      <c r="L885" s="39"/>
      <c r="M885" s="39"/>
    </row>
    <row r="886" customFormat="false" ht="15" hidden="false" customHeight="false" outlineLevel="0" collapsed="false">
      <c r="A886" s="39"/>
      <c r="B886" s="39"/>
      <c r="C886" s="39"/>
      <c r="D886" s="39"/>
      <c r="E886" s="39"/>
      <c r="F886" s="39"/>
      <c r="G886" s="39"/>
      <c r="H886" s="39"/>
      <c r="I886" s="39"/>
      <c r="J886" s="39"/>
      <c r="K886" s="39"/>
      <c r="L886" s="39"/>
      <c r="M886" s="39"/>
    </row>
    <row r="887" customFormat="false" ht="15" hidden="false" customHeight="false" outlineLevel="0" collapsed="false">
      <c r="A887" s="39"/>
      <c r="B887" s="39"/>
      <c r="C887" s="39"/>
      <c r="D887" s="39"/>
      <c r="E887" s="39"/>
      <c r="F887" s="39"/>
      <c r="G887" s="39"/>
      <c r="H887" s="39"/>
      <c r="I887" s="39"/>
      <c r="J887" s="39"/>
      <c r="K887" s="39"/>
      <c r="L887" s="39"/>
      <c r="M887" s="39"/>
    </row>
    <row r="888" customFormat="false" ht="15" hidden="false" customHeight="false" outlineLevel="0" collapsed="false">
      <c r="A888" s="39"/>
      <c r="B888" s="39"/>
      <c r="C888" s="39"/>
      <c r="D888" s="39"/>
      <c r="E888" s="39"/>
      <c r="F888" s="39"/>
      <c r="G888" s="39"/>
      <c r="H888" s="39"/>
      <c r="I888" s="39"/>
      <c r="J888" s="39"/>
      <c r="K888" s="39"/>
      <c r="L888" s="39"/>
      <c r="M888" s="39"/>
    </row>
    <row r="889" customFormat="false" ht="15" hidden="false" customHeight="false" outlineLevel="0" collapsed="false">
      <c r="A889" s="39"/>
      <c r="B889" s="39"/>
      <c r="C889" s="39"/>
      <c r="D889" s="39"/>
      <c r="E889" s="39"/>
      <c r="F889" s="39"/>
      <c r="G889" s="39"/>
      <c r="H889" s="39"/>
      <c r="I889" s="39"/>
      <c r="J889" s="39"/>
      <c r="K889" s="39"/>
      <c r="L889" s="39"/>
      <c r="M889" s="39"/>
    </row>
    <row r="890" customFormat="false" ht="15" hidden="false" customHeight="false" outlineLevel="0" collapsed="false">
      <c r="A890" s="39"/>
      <c r="B890" s="39"/>
      <c r="C890" s="39"/>
      <c r="D890" s="39"/>
      <c r="E890" s="39"/>
      <c r="F890" s="39"/>
      <c r="G890" s="39"/>
      <c r="H890" s="39"/>
      <c r="I890" s="39"/>
      <c r="J890" s="39"/>
      <c r="K890" s="39"/>
      <c r="L890" s="39"/>
      <c r="M890" s="39"/>
    </row>
    <row r="891" customFormat="false" ht="15" hidden="false" customHeight="false" outlineLevel="0" collapsed="false">
      <c r="A891" s="39"/>
      <c r="B891" s="39"/>
      <c r="C891" s="39"/>
      <c r="D891" s="39"/>
      <c r="E891" s="39"/>
      <c r="F891" s="39"/>
      <c r="G891" s="39"/>
      <c r="H891" s="39"/>
      <c r="I891" s="39"/>
      <c r="J891" s="39"/>
      <c r="K891" s="39"/>
      <c r="L891" s="39"/>
      <c r="M891" s="39"/>
    </row>
    <row r="892" customFormat="false" ht="15" hidden="false" customHeight="false" outlineLevel="0" collapsed="false">
      <c r="A892" s="39"/>
      <c r="B892" s="39"/>
      <c r="C892" s="39"/>
      <c r="D892" s="39"/>
      <c r="E892" s="39"/>
      <c r="F892" s="39"/>
      <c r="G892" s="39"/>
      <c r="H892" s="39"/>
      <c r="I892" s="39"/>
      <c r="J892" s="39"/>
      <c r="K892" s="39"/>
      <c r="L892" s="39"/>
      <c r="M892" s="39"/>
    </row>
    <row r="893" customFormat="false" ht="15" hidden="false" customHeight="false" outlineLevel="0" collapsed="false">
      <c r="A893" s="39"/>
      <c r="B893" s="39"/>
      <c r="C893" s="39"/>
      <c r="D893" s="39"/>
      <c r="E893" s="39"/>
      <c r="F893" s="39"/>
      <c r="G893" s="39"/>
      <c r="H893" s="39"/>
      <c r="I893" s="39"/>
      <c r="J893" s="39"/>
      <c r="K893" s="39"/>
      <c r="L893" s="39"/>
      <c r="M893" s="39"/>
    </row>
    <row r="894" customFormat="false" ht="15" hidden="false" customHeight="false" outlineLevel="0" collapsed="false">
      <c r="A894" s="39"/>
      <c r="B894" s="39"/>
      <c r="C894" s="39"/>
      <c r="D894" s="39"/>
      <c r="E894" s="39"/>
      <c r="F894" s="39"/>
      <c r="G894" s="39"/>
      <c r="H894" s="39"/>
      <c r="I894" s="39"/>
      <c r="J894" s="39"/>
      <c r="K894" s="39"/>
      <c r="L894" s="39"/>
      <c r="M894" s="39"/>
    </row>
    <row r="895" customFormat="false" ht="15" hidden="false" customHeight="false" outlineLevel="0" collapsed="false">
      <c r="A895" s="39"/>
      <c r="B895" s="39"/>
      <c r="C895" s="39"/>
      <c r="D895" s="39"/>
      <c r="E895" s="39"/>
      <c r="F895" s="39"/>
      <c r="G895" s="39"/>
      <c r="H895" s="39"/>
      <c r="I895" s="39"/>
      <c r="J895" s="39"/>
      <c r="K895" s="39"/>
      <c r="L895" s="39"/>
      <c r="M895" s="39"/>
    </row>
    <row r="896" customFormat="false" ht="15" hidden="false" customHeight="false" outlineLevel="0" collapsed="false">
      <c r="A896" s="39"/>
      <c r="B896" s="39"/>
      <c r="C896" s="39"/>
      <c r="D896" s="39"/>
      <c r="E896" s="39"/>
      <c r="F896" s="39"/>
      <c r="G896" s="39"/>
      <c r="H896" s="39"/>
      <c r="I896" s="39"/>
      <c r="J896" s="39"/>
      <c r="K896" s="39"/>
      <c r="L896" s="39"/>
      <c r="M896" s="39"/>
    </row>
    <row r="897" customFormat="false" ht="15" hidden="false" customHeight="false" outlineLevel="0" collapsed="false">
      <c r="A897" s="39"/>
      <c r="B897" s="39"/>
      <c r="C897" s="39"/>
      <c r="D897" s="39"/>
      <c r="E897" s="39"/>
      <c r="F897" s="39"/>
      <c r="G897" s="39"/>
      <c r="H897" s="39"/>
      <c r="I897" s="39"/>
      <c r="J897" s="39"/>
      <c r="K897" s="39"/>
      <c r="L897" s="39"/>
      <c r="M897" s="39"/>
    </row>
    <row r="898" customFormat="false" ht="15" hidden="false" customHeight="false" outlineLevel="0" collapsed="false">
      <c r="A898" s="39"/>
      <c r="B898" s="39"/>
      <c r="C898" s="39"/>
      <c r="D898" s="39"/>
      <c r="E898" s="39"/>
      <c r="F898" s="39"/>
      <c r="G898" s="39"/>
      <c r="H898" s="39"/>
      <c r="I898" s="39"/>
      <c r="J898" s="39"/>
      <c r="K898" s="39"/>
      <c r="L898" s="39"/>
      <c r="M898" s="39"/>
    </row>
    <row r="899" customFormat="false" ht="15" hidden="false" customHeight="false" outlineLevel="0" collapsed="false">
      <c r="A899" s="39"/>
      <c r="B899" s="39"/>
      <c r="C899" s="39"/>
      <c r="D899" s="39"/>
      <c r="E899" s="39"/>
      <c r="F899" s="39"/>
      <c r="G899" s="39"/>
      <c r="H899" s="39"/>
      <c r="I899" s="39"/>
      <c r="J899" s="39"/>
      <c r="K899" s="39"/>
      <c r="L899" s="39"/>
      <c r="M899" s="39"/>
    </row>
    <row r="900" customFormat="false" ht="15" hidden="false" customHeight="false" outlineLevel="0" collapsed="false">
      <c r="A900" s="39"/>
      <c r="B900" s="39"/>
      <c r="C900" s="39"/>
      <c r="D900" s="39"/>
      <c r="E900" s="39"/>
      <c r="F900" s="39"/>
      <c r="G900" s="39"/>
      <c r="H900" s="39"/>
      <c r="I900" s="39"/>
      <c r="J900" s="39"/>
      <c r="K900" s="39"/>
      <c r="L900" s="39"/>
      <c r="M900" s="39"/>
    </row>
    <row r="901" customFormat="false" ht="15" hidden="false" customHeight="false" outlineLevel="0" collapsed="false">
      <c r="A901" s="39"/>
      <c r="B901" s="39"/>
      <c r="C901" s="39"/>
      <c r="D901" s="39"/>
      <c r="E901" s="39"/>
      <c r="F901" s="39"/>
      <c r="G901" s="39"/>
      <c r="H901" s="39"/>
      <c r="I901" s="39"/>
      <c r="J901" s="39"/>
      <c r="K901" s="39"/>
      <c r="L901" s="39"/>
      <c r="M901" s="39"/>
    </row>
    <row r="902" customFormat="false" ht="15" hidden="false" customHeight="false" outlineLevel="0" collapsed="false">
      <c r="A902" s="39"/>
      <c r="B902" s="39"/>
      <c r="C902" s="39"/>
      <c r="D902" s="39"/>
      <c r="E902" s="39"/>
      <c r="F902" s="39"/>
      <c r="G902" s="39"/>
      <c r="H902" s="39"/>
      <c r="I902" s="39"/>
      <c r="J902" s="39"/>
      <c r="K902" s="39"/>
      <c r="L902" s="39"/>
      <c r="M902" s="39"/>
    </row>
    <row r="903" customFormat="false" ht="15" hidden="false" customHeight="false" outlineLevel="0" collapsed="false">
      <c r="A903" s="39"/>
      <c r="B903" s="39"/>
      <c r="C903" s="39"/>
      <c r="D903" s="39"/>
      <c r="E903" s="39"/>
      <c r="F903" s="39"/>
      <c r="G903" s="39"/>
      <c r="H903" s="39"/>
      <c r="I903" s="39"/>
      <c r="J903" s="39"/>
      <c r="K903" s="39"/>
      <c r="L903" s="39"/>
      <c r="M903" s="39"/>
    </row>
    <row r="904" customFormat="false" ht="15" hidden="false" customHeight="false" outlineLevel="0" collapsed="false">
      <c r="A904" s="39"/>
      <c r="B904" s="39"/>
      <c r="C904" s="39"/>
      <c r="D904" s="39"/>
      <c r="E904" s="39"/>
      <c r="F904" s="39"/>
      <c r="G904" s="39"/>
      <c r="H904" s="39"/>
      <c r="I904" s="39"/>
      <c r="J904" s="39"/>
      <c r="K904" s="39"/>
      <c r="L904" s="39"/>
      <c r="M904" s="39"/>
    </row>
    <row r="905" customFormat="false" ht="15" hidden="false" customHeight="false" outlineLevel="0" collapsed="false">
      <c r="A905" s="39"/>
      <c r="B905" s="39"/>
      <c r="C905" s="39"/>
      <c r="D905" s="39"/>
      <c r="E905" s="39"/>
      <c r="F905" s="39"/>
      <c r="G905" s="39"/>
      <c r="H905" s="39"/>
      <c r="I905" s="39"/>
      <c r="J905" s="39"/>
      <c r="K905" s="39"/>
      <c r="L905" s="39"/>
      <c r="M905" s="39"/>
    </row>
    <row r="906" customFormat="false" ht="15" hidden="false" customHeight="false" outlineLevel="0" collapsed="false">
      <c r="A906" s="39"/>
      <c r="B906" s="39"/>
      <c r="C906" s="39"/>
      <c r="D906" s="39"/>
      <c r="E906" s="39"/>
      <c r="F906" s="39"/>
      <c r="G906" s="39"/>
      <c r="H906" s="39"/>
      <c r="I906" s="39"/>
      <c r="J906" s="39"/>
      <c r="K906" s="39"/>
      <c r="L906" s="39"/>
      <c r="M906" s="39"/>
    </row>
    <row r="907" customFormat="false" ht="15" hidden="false" customHeight="false" outlineLevel="0" collapsed="false">
      <c r="A907" s="39"/>
      <c r="B907" s="39"/>
      <c r="C907" s="39"/>
      <c r="D907" s="39"/>
      <c r="E907" s="39"/>
      <c r="F907" s="39"/>
      <c r="G907" s="39"/>
      <c r="H907" s="39"/>
      <c r="I907" s="39"/>
      <c r="J907" s="39"/>
      <c r="K907" s="39"/>
      <c r="L907" s="39"/>
      <c r="M907" s="39"/>
    </row>
    <row r="908" customFormat="false" ht="15" hidden="false" customHeight="false" outlineLevel="0" collapsed="false">
      <c r="A908" s="39"/>
      <c r="B908" s="39"/>
      <c r="C908" s="39"/>
      <c r="D908" s="39"/>
      <c r="E908" s="39"/>
      <c r="F908" s="39"/>
      <c r="G908" s="39"/>
      <c r="H908" s="39"/>
      <c r="I908" s="39"/>
      <c r="J908" s="39"/>
      <c r="K908" s="39"/>
      <c r="L908" s="39"/>
      <c r="M908" s="39"/>
    </row>
    <row r="909" customFormat="false" ht="15" hidden="false" customHeight="false" outlineLevel="0" collapsed="false">
      <c r="A909" s="39"/>
      <c r="B909" s="39"/>
      <c r="C909" s="39"/>
      <c r="D909" s="39"/>
      <c r="E909" s="39"/>
      <c r="F909" s="39"/>
      <c r="G909" s="39"/>
      <c r="H909" s="39"/>
      <c r="I909" s="39"/>
      <c r="J909" s="39"/>
      <c r="K909" s="39"/>
      <c r="L909" s="39"/>
      <c r="M909" s="39"/>
    </row>
    <row r="910" customFormat="false" ht="15" hidden="false" customHeight="false" outlineLevel="0" collapsed="false">
      <c r="A910" s="39"/>
      <c r="B910" s="39"/>
      <c r="C910" s="39"/>
      <c r="D910" s="39"/>
      <c r="E910" s="39"/>
      <c r="F910" s="39"/>
      <c r="G910" s="39"/>
      <c r="H910" s="39"/>
      <c r="I910" s="39"/>
      <c r="J910" s="39"/>
      <c r="K910" s="39"/>
      <c r="L910" s="39"/>
      <c r="M910" s="39"/>
    </row>
    <row r="911" customFormat="false" ht="15" hidden="false" customHeight="false" outlineLevel="0" collapsed="false">
      <c r="A911" s="39"/>
      <c r="B911" s="39"/>
      <c r="C911" s="39"/>
      <c r="D911" s="39"/>
      <c r="E911" s="39"/>
      <c r="F911" s="39"/>
      <c r="G911" s="39"/>
      <c r="H911" s="39"/>
      <c r="I911" s="39"/>
      <c r="J911" s="39"/>
      <c r="K911" s="39"/>
      <c r="L911" s="39"/>
      <c r="M911" s="39"/>
    </row>
    <row r="912" customFormat="false" ht="15" hidden="false" customHeight="false" outlineLevel="0" collapsed="false">
      <c r="A912" s="39"/>
      <c r="B912" s="39"/>
      <c r="C912" s="39"/>
      <c r="D912" s="39"/>
      <c r="E912" s="39"/>
      <c r="F912" s="39"/>
      <c r="G912" s="39"/>
      <c r="H912" s="39"/>
      <c r="I912" s="39"/>
      <c r="J912" s="39"/>
      <c r="K912" s="39"/>
      <c r="L912" s="39"/>
      <c r="M912" s="39"/>
    </row>
    <row r="913" customFormat="false" ht="15" hidden="false" customHeight="false" outlineLevel="0" collapsed="false">
      <c r="A913" s="39"/>
      <c r="B913" s="39"/>
      <c r="C913" s="39"/>
      <c r="D913" s="39"/>
      <c r="E913" s="39"/>
      <c r="F913" s="39"/>
      <c r="G913" s="39"/>
      <c r="H913" s="39"/>
      <c r="I913" s="39"/>
      <c r="J913" s="39"/>
      <c r="K913" s="39"/>
      <c r="L913" s="39"/>
      <c r="M913" s="39"/>
    </row>
    <row r="914" customFormat="false" ht="15" hidden="false" customHeight="false" outlineLevel="0" collapsed="false">
      <c r="A914" s="39"/>
      <c r="B914" s="39"/>
      <c r="C914" s="39"/>
      <c r="D914" s="39"/>
      <c r="E914" s="39"/>
      <c r="F914" s="39"/>
      <c r="G914" s="39"/>
      <c r="H914" s="39"/>
      <c r="I914" s="39"/>
      <c r="J914" s="39"/>
      <c r="K914" s="39"/>
      <c r="L914" s="39"/>
      <c r="M914" s="39"/>
    </row>
    <row r="915" customFormat="false" ht="15" hidden="false" customHeight="false" outlineLevel="0" collapsed="false">
      <c r="A915" s="39"/>
      <c r="B915" s="39"/>
      <c r="C915" s="39"/>
      <c r="D915" s="39"/>
      <c r="E915" s="39"/>
      <c r="F915" s="39"/>
      <c r="G915" s="39"/>
      <c r="H915" s="39"/>
      <c r="I915" s="39"/>
      <c r="J915" s="39"/>
      <c r="K915" s="39"/>
      <c r="L915" s="39"/>
      <c r="M915" s="39"/>
    </row>
    <row r="916" customFormat="false" ht="15" hidden="false" customHeight="false" outlineLevel="0" collapsed="false">
      <c r="A916" s="39"/>
      <c r="B916" s="39"/>
      <c r="C916" s="39"/>
      <c r="D916" s="39"/>
      <c r="E916" s="39"/>
      <c r="F916" s="39"/>
      <c r="G916" s="39"/>
      <c r="H916" s="39"/>
      <c r="I916" s="39"/>
      <c r="J916" s="39"/>
      <c r="K916" s="39"/>
      <c r="L916" s="39"/>
      <c r="M916" s="39"/>
    </row>
    <row r="917" customFormat="false" ht="15" hidden="false" customHeight="false" outlineLevel="0" collapsed="false">
      <c r="A917" s="39"/>
      <c r="B917" s="39"/>
      <c r="C917" s="39"/>
      <c r="D917" s="39"/>
      <c r="E917" s="39"/>
      <c r="F917" s="39"/>
      <c r="G917" s="39"/>
      <c r="H917" s="39"/>
      <c r="I917" s="39"/>
      <c r="J917" s="39"/>
      <c r="K917" s="39"/>
      <c r="L917" s="39"/>
      <c r="M917" s="39"/>
    </row>
    <row r="918" customFormat="false" ht="15" hidden="false" customHeight="false" outlineLevel="0" collapsed="false">
      <c r="A918" s="39"/>
      <c r="B918" s="39"/>
      <c r="C918" s="39"/>
      <c r="D918" s="39"/>
      <c r="E918" s="39"/>
      <c r="F918" s="39"/>
      <c r="G918" s="39"/>
      <c r="H918" s="39"/>
      <c r="I918" s="39"/>
      <c r="J918" s="39"/>
      <c r="K918" s="39"/>
      <c r="L918" s="39"/>
      <c r="M918" s="39"/>
    </row>
    <row r="919" customFormat="false" ht="15" hidden="false" customHeight="false" outlineLevel="0" collapsed="false">
      <c r="A919" s="39"/>
      <c r="B919" s="39"/>
      <c r="C919" s="39"/>
      <c r="D919" s="39"/>
      <c r="E919" s="39"/>
      <c r="F919" s="39"/>
      <c r="G919" s="39"/>
      <c r="H919" s="39"/>
      <c r="I919" s="39"/>
      <c r="J919" s="39"/>
      <c r="K919" s="39"/>
      <c r="L919" s="39"/>
      <c r="M919" s="39"/>
    </row>
    <row r="920" customFormat="false" ht="15" hidden="false" customHeight="false" outlineLevel="0" collapsed="false">
      <c r="A920" s="39"/>
      <c r="B920" s="39"/>
      <c r="C920" s="39"/>
      <c r="D920" s="39"/>
      <c r="E920" s="39"/>
      <c r="F920" s="39"/>
      <c r="G920" s="39"/>
      <c r="H920" s="39"/>
      <c r="I920" s="39"/>
      <c r="J920" s="39"/>
      <c r="K920" s="39"/>
      <c r="L920" s="39"/>
      <c r="M920" s="39"/>
    </row>
    <row r="921" customFormat="false" ht="15" hidden="false" customHeight="false" outlineLevel="0" collapsed="false">
      <c r="A921" s="39"/>
      <c r="B921" s="39"/>
      <c r="C921" s="39"/>
      <c r="D921" s="39"/>
      <c r="E921" s="39"/>
      <c r="F921" s="39"/>
      <c r="G921" s="39"/>
      <c r="H921" s="39"/>
      <c r="I921" s="39"/>
      <c r="J921" s="39"/>
      <c r="K921" s="39"/>
      <c r="L921" s="39"/>
      <c r="M921" s="39"/>
    </row>
    <row r="922" customFormat="false" ht="15" hidden="false" customHeight="false" outlineLevel="0" collapsed="false">
      <c r="A922" s="39"/>
      <c r="B922" s="39"/>
      <c r="C922" s="39"/>
      <c r="D922" s="39"/>
      <c r="E922" s="39"/>
      <c r="F922" s="39"/>
      <c r="G922" s="39"/>
      <c r="H922" s="39"/>
      <c r="I922" s="39"/>
      <c r="J922" s="39"/>
      <c r="K922" s="39"/>
      <c r="L922" s="39"/>
      <c r="M922" s="39"/>
    </row>
    <row r="923" customFormat="false" ht="15" hidden="false" customHeight="false" outlineLevel="0" collapsed="false">
      <c r="A923" s="39"/>
      <c r="B923" s="39"/>
      <c r="C923" s="39"/>
      <c r="D923" s="39"/>
      <c r="E923" s="39"/>
      <c r="F923" s="39"/>
      <c r="G923" s="39"/>
      <c r="H923" s="39"/>
      <c r="I923" s="39"/>
      <c r="J923" s="39"/>
      <c r="K923" s="39"/>
      <c r="L923" s="39"/>
      <c r="M923" s="39"/>
    </row>
    <row r="924" customFormat="false" ht="15" hidden="false" customHeight="false" outlineLevel="0" collapsed="false">
      <c r="A924" s="39"/>
      <c r="B924" s="39"/>
      <c r="C924" s="39"/>
      <c r="D924" s="39"/>
      <c r="E924" s="39"/>
      <c r="F924" s="39"/>
      <c r="G924" s="39"/>
      <c r="H924" s="39"/>
      <c r="I924" s="39"/>
      <c r="J924" s="39"/>
      <c r="K924" s="39"/>
      <c r="L924" s="39"/>
      <c r="M924" s="39"/>
    </row>
    <row r="925" customFormat="false" ht="15" hidden="false" customHeight="false" outlineLevel="0" collapsed="false">
      <c r="A925" s="39"/>
      <c r="B925" s="39"/>
      <c r="C925" s="39"/>
      <c r="D925" s="39"/>
      <c r="E925" s="39"/>
      <c r="F925" s="39"/>
      <c r="G925" s="39"/>
      <c r="H925" s="39"/>
      <c r="I925" s="39"/>
      <c r="J925" s="39"/>
      <c r="K925" s="39"/>
      <c r="L925" s="39"/>
      <c r="M925" s="39"/>
    </row>
    <row r="926" customFormat="false" ht="15" hidden="false" customHeight="false" outlineLevel="0" collapsed="false">
      <c r="A926" s="39"/>
      <c r="B926" s="39"/>
      <c r="C926" s="39"/>
      <c r="D926" s="39"/>
      <c r="E926" s="39"/>
      <c r="F926" s="39"/>
      <c r="G926" s="39"/>
      <c r="H926" s="39"/>
      <c r="I926" s="39"/>
      <c r="J926" s="39"/>
      <c r="K926" s="39"/>
      <c r="L926" s="39"/>
      <c r="M926" s="39"/>
    </row>
    <row r="927" customFormat="false" ht="15" hidden="false" customHeight="false" outlineLevel="0" collapsed="false">
      <c r="A927" s="39"/>
      <c r="B927" s="39"/>
      <c r="C927" s="39"/>
      <c r="D927" s="39"/>
      <c r="E927" s="39"/>
      <c r="F927" s="39"/>
      <c r="G927" s="39"/>
      <c r="H927" s="39"/>
      <c r="I927" s="39"/>
      <c r="J927" s="39"/>
      <c r="K927" s="39"/>
      <c r="L927" s="39"/>
      <c r="M927" s="39"/>
    </row>
    <row r="928" customFormat="false" ht="15" hidden="false" customHeight="false" outlineLevel="0" collapsed="false">
      <c r="A928" s="39"/>
      <c r="B928" s="39"/>
      <c r="C928" s="39"/>
      <c r="D928" s="39"/>
      <c r="E928" s="39"/>
      <c r="F928" s="39"/>
      <c r="G928" s="39"/>
      <c r="H928" s="39"/>
      <c r="I928" s="39"/>
      <c r="J928" s="39"/>
      <c r="K928" s="39"/>
      <c r="L928" s="39"/>
      <c r="M928" s="39"/>
    </row>
    <row r="929" customFormat="false" ht="15" hidden="false" customHeight="false" outlineLevel="0" collapsed="false">
      <c r="A929" s="39"/>
      <c r="B929" s="39"/>
      <c r="C929" s="39"/>
      <c r="D929" s="39"/>
      <c r="E929" s="39"/>
      <c r="F929" s="39"/>
      <c r="G929" s="39"/>
      <c r="H929" s="39"/>
      <c r="I929" s="39"/>
      <c r="J929" s="39"/>
      <c r="K929" s="39"/>
      <c r="L929" s="39"/>
      <c r="M929" s="39"/>
    </row>
    <row r="930" customFormat="false" ht="15" hidden="false" customHeight="false" outlineLevel="0" collapsed="false">
      <c r="A930" s="39"/>
      <c r="B930" s="39"/>
      <c r="C930" s="39"/>
      <c r="D930" s="39"/>
      <c r="E930" s="39"/>
      <c r="F930" s="39"/>
      <c r="G930" s="39"/>
      <c r="H930" s="39"/>
      <c r="I930" s="39"/>
      <c r="J930" s="39"/>
      <c r="K930" s="39"/>
      <c r="L930" s="39"/>
      <c r="M930" s="39"/>
    </row>
    <row r="931" customFormat="false" ht="15" hidden="false" customHeight="false" outlineLevel="0" collapsed="false">
      <c r="A931" s="39"/>
      <c r="B931" s="39"/>
      <c r="C931" s="39"/>
      <c r="D931" s="39"/>
      <c r="E931" s="39"/>
      <c r="F931" s="39"/>
      <c r="G931" s="39"/>
      <c r="H931" s="39"/>
      <c r="I931" s="39"/>
      <c r="J931" s="39"/>
      <c r="K931" s="39"/>
      <c r="L931" s="39"/>
      <c r="M931" s="39"/>
    </row>
    <row r="932" customFormat="false" ht="15" hidden="false" customHeight="false" outlineLevel="0" collapsed="false">
      <c r="A932" s="39"/>
      <c r="B932" s="39"/>
      <c r="C932" s="39"/>
      <c r="D932" s="39"/>
      <c r="E932" s="39"/>
      <c r="F932" s="39"/>
      <c r="G932" s="39"/>
      <c r="H932" s="39"/>
      <c r="I932" s="39"/>
      <c r="J932" s="39"/>
      <c r="K932" s="39"/>
      <c r="L932" s="39"/>
      <c r="M932" s="39"/>
    </row>
    <row r="933" customFormat="false" ht="15" hidden="false" customHeight="false" outlineLevel="0" collapsed="false">
      <c r="A933" s="39"/>
      <c r="B933" s="39"/>
      <c r="C933" s="39"/>
      <c r="D933" s="39"/>
      <c r="E933" s="39"/>
      <c r="F933" s="39"/>
      <c r="G933" s="39"/>
      <c r="H933" s="39"/>
      <c r="I933" s="39"/>
      <c r="J933" s="39"/>
      <c r="K933" s="39"/>
      <c r="L933" s="39"/>
      <c r="M933" s="39"/>
    </row>
    <row r="934" customFormat="false" ht="15" hidden="false" customHeight="false" outlineLevel="0" collapsed="false">
      <c r="A934" s="39"/>
      <c r="B934" s="39"/>
      <c r="C934" s="39"/>
      <c r="D934" s="39"/>
      <c r="E934" s="39"/>
      <c r="F934" s="39"/>
      <c r="G934" s="39"/>
      <c r="H934" s="39"/>
      <c r="I934" s="39"/>
      <c r="J934" s="39"/>
      <c r="K934" s="39"/>
      <c r="L934" s="39"/>
      <c r="M934" s="39"/>
    </row>
    <row r="935" customFormat="false" ht="15" hidden="false" customHeight="false" outlineLevel="0" collapsed="false">
      <c r="A935" s="39"/>
      <c r="B935" s="39"/>
      <c r="C935" s="39"/>
      <c r="D935" s="39"/>
      <c r="E935" s="39"/>
      <c r="F935" s="39"/>
      <c r="G935" s="39"/>
      <c r="H935" s="39"/>
      <c r="I935" s="39"/>
      <c r="J935" s="39"/>
      <c r="K935" s="39"/>
      <c r="L935" s="39"/>
      <c r="M935" s="39"/>
    </row>
    <row r="936" customFormat="false" ht="15" hidden="false" customHeight="false" outlineLevel="0" collapsed="false">
      <c r="A936" s="39"/>
      <c r="B936" s="39"/>
      <c r="C936" s="39"/>
      <c r="D936" s="39"/>
      <c r="E936" s="39"/>
      <c r="F936" s="39"/>
      <c r="G936" s="39"/>
      <c r="H936" s="39"/>
      <c r="I936" s="39"/>
      <c r="J936" s="39"/>
      <c r="K936" s="39"/>
      <c r="L936" s="39"/>
      <c r="M936" s="39"/>
    </row>
    <row r="937" customFormat="false" ht="15" hidden="false" customHeight="false" outlineLevel="0" collapsed="false">
      <c r="A937" s="39"/>
      <c r="B937" s="39"/>
      <c r="C937" s="39"/>
      <c r="D937" s="39"/>
      <c r="E937" s="39"/>
      <c r="F937" s="39"/>
      <c r="G937" s="39"/>
      <c r="H937" s="39"/>
      <c r="I937" s="39"/>
      <c r="J937" s="39"/>
      <c r="K937" s="39"/>
      <c r="L937" s="39"/>
      <c r="M937" s="39"/>
    </row>
    <row r="938" customFormat="false" ht="15" hidden="false" customHeight="false" outlineLevel="0" collapsed="false">
      <c r="A938" s="39"/>
      <c r="B938" s="39"/>
      <c r="C938" s="39"/>
      <c r="D938" s="39"/>
      <c r="E938" s="39"/>
      <c r="F938" s="39"/>
      <c r="G938" s="39"/>
      <c r="H938" s="39"/>
      <c r="I938" s="39"/>
      <c r="J938" s="39"/>
      <c r="K938" s="39"/>
      <c r="L938" s="39"/>
      <c r="M938" s="39"/>
    </row>
    <row r="939" customFormat="false" ht="15" hidden="false" customHeight="false" outlineLevel="0" collapsed="false">
      <c r="A939" s="39"/>
      <c r="B939" s="39"/>
      <c r="C939" s="39"/>
      <c r="D939" s="39"/>
      <c r="E939" s="39"/>
      <c r="F939" s="39"/>
      <c r="G939" s="39"/>
      <c r="H939" s="39"/>
      <c r="I939" s="39"/>
      <c r="J939" s="39"/>
      <c r="K939" s="39"/>
      <c r="L939" s="39"/>
      <c r="M939" s="39"/>
    </row>
    <row r="940" customFormat="false" ht="15" hidden="false" customHeight="false" outlineLevel="0" collapsed="false">
      <c r="A940" s="39"/>
      <c r="B940" s="39"/>
      <c r="C940" s="39"/>
      <c r="D940" s="39"/>
      <c r="E940" s="39"/>
      <c r="F940" s="39"/>
      <c r="G940" s="39"/>
      <c r="H940" s="39"/>
      <c r="I940" s="39"/>
      <c r="J940" s="39"/>
      <c r="K940" s="39"/>
      <c r="L940" s="39"/>
      <c r="M940" s="39"/>
    </row>
    <row r="941" customFormat="false" ht="15" hidden="false" customHeight="false" outlineLevel="0" collapsed="false">
      <c r="A941" s="39"/>
      <c r="B941" s="39"/>
      <c r="C941" s="39"/>
      <c r="D941" s="39"/>
      <c r="E941" s="39"/>
      <c r="F941" s="39"/>
      <c r="G941" s="39"/>
      <c r="H941" s="39"/>
      <c r="I941" s="39"/>
      <c r="J941" s="39"/>
      <c r="K941" s="39"/>
      <c r="L941" s="39"/>
      <c r="M941" s="39"/>
    </row>
    <row r="942" customFormat="false" ht="15" hidden="false" customHeight="false" outlineLevel="0" collapsed="false">
      <c r="A942" s="39"/>
      <c r="B942" s="39"/>
      <c r="C942" s="39"/>
      <c r="D942" s="39"/>
      <c r="E942" s="39"/>
      <c r="F942" s="39"/>
      <c r="G942" s="39"/>
      <c r="H942" s="39"/>
      <c r="I942" s="39"/>
      <c r="J942" s="39"/>
      <c r="K942" s="39"/>
      <c r="L942" s="39"/>
      <c r="M942" s="39"/>
    </row>
    <row r="943" customFormat="false" ht="15" hidden="false" customHeight="false" outlineLevel="0" collapsed="false">
      <c r="A943" s="39"/>
      <c r="B943" s="39"/>
      <c r="C943" s="39"/>
      <c r="D943" s="39"/>
      <c r="E943" s="39"/>
      <c r="F943" s="39"/>
      <c r="G943" s="39"/>
      <c r="H943" s="39"/>
      <c r="I943" s="39"/>
      <c r="J943" s="39"/>
      <c r="K943" s="39"/>
      <c r="L943" s="39"/>
      <c r="M943" s="39"/>
    </row>
    <row r="944" customFormat="false" ht="15" hidden="false" customHeight="false" outlineLevel="0" collapsed="false">
      <c r="A944" s="39"/>
      <c r="B944" s="39"/>
      <c r="C944" s="39"/>
      <c r="D944" s="39"/>
      <c r="E944" s="39"/>
      <c r="F944" s="39"/>
      <c r="G944" s="39"/>
      <c r="H944" s="39"/>
      <c r="I944" s="39"/>
      <c r="J944" s="39"/>
      <c r="K944" s="39"/>
      <c r="L944" s="39"/>
      <c r="M944" s="39"/>
    </row>
    <row r="945" customFormat="false" ht="15" hidden="false" customHeight="false" outlineLevel="0" collapsed="false">
      <c r="A945" s="39"/>
      <c r="B945" s="39"/>
      <c r="C945" s="39"/>
      <c r="D945" s="39"/>
      <c r="E945" s="39"/>
      <c r="F945" s="39"/>
      <c r="G945" s="39"/>
      <c r="H945" s="39"/>
      <c r="I945" s="39"/>
      <c r="J945" s="39"/>
      <c r="K945" s="39"/>
      <c r="L945" s="39"/>
      <c r="M945" s="39"/>
    </row>
    <row r="946" customFormat="false" ht="15" hidden="false" customHeight="false" outlineLevel="0" collapsed="false">
      <c r="A946" s="39"/>
      <c r="B946" s="39"/>
      <c r="C946" s="39"/>
      <c r="D946" s="39"/>
      <c r="E946" s="39"/>
      <c r="F946" s="39"/>
      <c r="G946" s="39"/>
      <c r="H946" s="39"/>
      <c r="I946" s="39"/>
      <c r="J946" s="39"/>
      <c r="K946" s="39"/>
      <c r="L946" s="39"/>
      <c r="M946" s="39"/>
    </row>
    <row r="947" customFormat="false" ht="15" hidden="false" customHeight="false" outlineLevel="0" collapsed="false">
      <c r="A947" s="39"/>
      <c r="B947" s="39"/>
      <c r="C947" s="39"/>
      <c r="D947" s="39"/>
      <c r="E947" s="39"/>
      <c r="F947" s="39"/>
      <c r="G947" s="39"/>
      <c r="H947" s="39"/>
      <c r="I947" s="39"/>
      <c r="J947" s="39"/>
      <c r="K947" s="39"/>
      <c r="L947" s="39"/>
      <c r="M947" s="39"/>
    </row>
    <row r="948" customFormat="false" ht="15" hidden="false" customHeight="false" outlineLevel="0" collapsed="false">
      <c r="A948" s="39"/>
      <c r="B948" s="39"/>
      <c r="C948" s="39"/>
      <c r="D948" s="39"/>
      <c r="E948" s="39"/>
      <c r="F948" s="39"/>
      <c r="G948" s="39"/>
      <c r="H948" s="39"/>
      <c r="I948" s="39"/>
      <c r="J948" s="39"/>
      <c r="K948" s="39"/>
      <c r="L948" s="39"/>
      <c r="M948" s="39"/>
    </row>
    <row r="949" customFormat="false" ht="15" hidden="false" customHeight="false" outlineLevel="0" collapsed="false">
      <c r="A949" s="39"/>
      <c r="B949" s="39"/>
      <c r="C949" s="39"/>
      <c r="D949" s="39"/>
      <c r="E949" s="39"/>
      <c r="F949" s="39"/>
      <c r="G949" s="39"/>
      <c r="H949" s="39"/>
      <c r="I949" s="39"/>
      <c r="J949" s="39"/>
      <c r="K949" s="39"/>
      <c r="L949" s="39"/>
      <c r="M949" s="39"/>
    </row>
    <row r="950" customFormat="false" ht="15" hidden="false" customHeight="false" outlineLevel="0" collapsed="false">
      <c r="A950" s="39"/>
      <c r="B950" s="39"/>
      <c r="C950" s="39"/>
      <c r="D950" s="39"/>
      <c r="E950" s="39"/>
      <c r="F950" s="39"/>
      <c r="G950" s="39"/>
      <c r="H950" s="39"/>
      <c r="I950" s="39"/>
      <c r="J950" s="39"/>
      <c r="K950" s="39"/>
      <c r="L950" s="39"/>
      <c r="M950" s="39"/>
    </row>
    <row r="951" customFormat="false" ht="15" hidden="false" customHeight="false" outlineLevel="0" collapsed="false">
      <c r="A951" s="39"/>
      <c r="B951" s="39"/>
      <c r="C951" s="39"/>
      <c r="D951" s="39"/>
      <c r="E951" s="39"/>
      <c r="F951" s="39"/>
      <c r="G951" s="39"/>
      <c r="H951" s="39"/>
      <c r="I951" s="39"/>
      <c r="J951" s="39"/>
      <c r="K951" s="39"/>
      <c r="L951" s="39"/>
      <c r="M951" s="39"/>
    </row>
    <row r="952" customFormat="false" ht="15" hidden="false" customHeight="false" outlineLevel="0" collapsed="false">
      <c r="A952" s="39"/>
      <c r="B952" s="39"/>
      <c r="C952" s="39"/>
      <c r="D952" s="39"/>
      <c r="E952" s="39"/>
      <c r="F952" s="39"/>
      <c r="G952" s="39"/>
      <c r="H952" s="39"/>
      <c r="I952" s="39"/>
      <c r="J952" s="39"/>
      <c r="K952" s="39"/>
      <c r="L952" s="39"/>
      <c r="M952" s="39"/>
    </row>
    <row r="953" customFormat="false" ht="15" hidden="false" customHeight="false" outlineLevel="0" collapsed="false">
      <c r="A953" s="39"/>
      <c r="B953" s="39"/>
      <c r="C953" s="39"/>
      <c r="D953" s="39"/>
      <c r="E953" s="39"/>
      <c r="F953" s="39"/>
      <c r="G953" s="39"/>
      <c r="H953" s="39"/>
      <c r="I953" s="39"/>
      <c r="J953" s="39"/>
      <c r="K953" s="39"/>
      <c r="L953" s="39"/>
      <c r="M953" s="39"/>
    </row>
    <row r="954" customFormat="false" ht="15" hidden="false" customHeight="false" outlineLevel="0" collapsed="false">
      <c r="A954" s="39"/>
      <c r="B954" s="39"/>
      <c r="C954" s="39"/>
      <c r="D954" s="39"/>
      <c r="E954" s="39"/>
      <c r="F954" s="39"/>
      <c r="G954" s="39"/>
      <c r="H954" s="39"/>
      <c r="I954" s="39"/>
      <c r="J954" s="39"/>
      <c r="K954" s="39"/>
      <c r="L954" s="39"/>
      <c r="M954" s="39"/>
    </row>
    <row r="955" customFormat="false" ht="15" hidden="false" customHeight="false" outlineLevel="0" collapsed="false">
      <c r="A955" s="39"/>
      <c r="B955" s="39"/>
      <c r="C955" s="39"/>
      <c r="D955" s="39"/>
      <c r="E955" s="39"/>
      <c r="F955" s="39"/>
      <c r="G955" s="39"/>
      <c r="H955" s="39"/>
      <c r="I955" s="39"/>
      <c r="J955" s="39"/>
      <c r="K955" s="39"/>
      <c r="L955" s="39"/>
      <c r="M955" s="39"/>
    </row>
    <row r="956" customFormat="false" ht="15" hidden="false" customHeight="false" outlineLevel="0" collapsed="false">
      <c r="A956" s="39"/>
      <c r="B956" s="39"/>
      <c r="C956" s="39"/>
      <c r="D956" s="39"/>
      <c r="E956" s="39"/>
      <c r="F956" s="39"/>
      <c r="G956" s="39"/>
      <c r="H956" s="39"/>
      <c r="I956" s="39"/>
      <c r="J956" s="39"/>
      <c r="K956" s="39"/>
      <c r="L956" s="39"/>
      <c r="M956" s="39"/>
    </row>
    <row r="957" customFormat="false" ht="15" hidden="false" customHeight="false" outlineLevel="0" collapsed="false">
      <c r="A957" s="39"/>
      <c r="B957" s="39"/>
      <c r="C957" s="39"/>
      <c r="D957" s="39"/>
      <c r="E957" s="39"/>
      <c r="F957" s="39"/>
      <c r="G957" s="39"/>
      <c r="H957" s="39"/>
      <c r="I957" s="39"/>
      <c r="J957" s="39"/>
      <c r="K957" s="39"/>
      <c r="L957" s="39"/>
      <c r="M957" s="39"/>
    </row>
    <row r="958" customFormat="false" ht="15" hidden="false" customHeight="false" outlineLevel="0" collapsed="false">
      <c r="A958" s="39"/>
      <c r="B958" s="39"/>
      <c r="C958" s="39"/>
      <c r="D958" s="39"/>
      <c r="E958" s="39"/>
      <c r="F958" s="39"/>
      <c r="G958" s="39"/>
      <c r="H958" s="39"/>
      <c r="I958" s="39"/>
      <c r="J958" s="39"/>
      <c r="K958" s="39"/>
      <c r="L958" s="39"/>
      <c r="M958" s="39"/>
    </row>
    <row r="959" customFormat="false" ht="15" hidden="false" customHeight="false" outlineLevel="0" collapsed="false">
      <c r="A959" s="39"/>
      <c r="B959" s="39"/>
      <c r="C959" s="39"/>
      <c r="D959" s="39"/>
      <c r="E959" s="39"/>
      <c r="F959" s="39"/>
      <c r="G959" s="39"/>
      <c r="H959" s="39"/>
      <c r="I959" s="39"/>
      <c r="J959" s="39"/>
      <c r="K959" s="39"/>
      <c r="L959" s="39"/>
      <c r="M959" s="39"/>
    </row>
    <row r="960" customFormat="false" ht="15" hidden="false" customHeight="false" outlineLevel="0" collapsed="false">
      <c r="A960" s="39"/>
      <c r="B960" s="39"/>
      <c r="C960" s="39"/>
      <c r="D960" s="39"/>
      <c r="E960" s="39"/>
      <c r="F960" s="39"/>
      <c r="G960" s="39"/>
      <c r="H960" s="39"/>
      <c r="I960" s="39"/>
      <c r="J960" s="39"/>
      <c r="K960" s="39"/>
      <c r="L960" s="39"/>
      <c r="M960" s="39"/>
    </row>
    <row r="961" customFormat="false" ht="15" hidden="false" customHeight="false" outlineLevel="0" collapsed="false">
      <c r="A961" s="39"/>
      <c r="B961" s="39"/>
      <c r="C961" s="39"/>
      <c r="D961" s="39"/>
      <c r="E961" s="39"/>
      <c r="F961" s="39"/>
      <c r="G961" s="39"/>
      <c r="H961" s="39"/>
      <c r="I961" s="39"/>
      <c r="J961" s="39"/>
      <c r="K961" s="39"/>
      <c r="L961" s="39"/>
      <c r="M961" s="39"/>
    </row>
    <row r="962" customFormat="false" ht="15" hidden="false" customHeight="false" outlineLevel="0" collapsed="false">
      <c r="A962" s="39"/>
      <c r="B962" s="39"/>
      <c r="C962" s="39"/>
      <c r="D962" s="39"/>
      <c r="E962" s="39"/>
      <c r="F962" s="39"/>
      <c r="G962" s="39"/>
      <c r="H962" s="39"/>
      <c r="I962" s="39"/>
      <c r="J962" s="39"/>
      <c r="K962" s="39"/>
      <c r="L962" s="39"/>
      <c r="M962" s="39"/>
    </row>
    <row r="963" customFormat="false" ht="15" hidden="false" customHeight="false" outlineLevel="0" collapsed="false">
      <c r="A963" s="39"/>
      <c r="B963" s="39"/>
      <c r="C963" s="39"/>
      <c r="D963" s="39"/>
      <c r="E963" s="39"/>
      <c r="F963" s="39"/>
      <c r="G963" s="39"/>
      <c r="H963" s="39"/>
      <c r="I963" s="39"/>
      <c r="J963" s="39"/>
      <c r="K963" s="39"/>
      <c r="L963" s="39"/>
      <c r="M963" s="39"/>
    </row>
    <row r="964" customFormat="false" ht="15" hidden="false" customHeight="false" outlineLevel="0" collapsed="false">
      <c r="A964" s="39"/>
      <c r="B964" s="39"/>
      <c r="C964" s="39"/>
      <c r="D964" s="39"/>
      <c r="E964" s="39"/>
      <c r="F964" s="39"/>
      <c r="G964" s="39"/>
      <c r="H964" s="39"/>
      <c r="I964" s="39"/>
      <c r="J964" s="39"/>
      <c r="K964" s="39"/>
      <c r="L964" s="39"/>
      <c r="M964" s="39"/>
    </row>
    <row r="965" customFormat="false" ht="15" hidden="false" customHeight="false" outlineLevel="0" collapsed="false">
      <c r="A965" s="39"/>
      <c r="B965" s="39"/>
      <c r="C965" s="39"/>
      <c r="D965" s="39"/>
      <c r="E965" s="39"/>
      <c r="F965" s="39"/>
      <c r="G965" s="39"/>
      <c r="H965" s="39"/>
      <c r="I965" s="39"/>
      <c r="J965" s="39"/>
      <c r="K965" s="39"/>
      <c r="L965" s="39"/>
      <c r="M965" s="39"/>
    </row>
    <row r="966" customFormat="false" ht="15" hidden="false" customHeight="false" outlineLevel="0" collapsed="false">
      <c r="A966" s="39"/>
      <c r="B966" s="39"/>
      <c r="C966" s="39"/>
      <c r="D966" s="39"/>
      <c r="E966" s="39"/>
      <c r="F966" s="39"/>
      <c r="G966" s="39"/>
      <c r="H966" s="39"/>
      <c r="I966" s="39"/>
      <c r="J966" s="39"/>
      <c r="K966" s="39"/>
      <c r="L966" s="39"/>
      <c r="M966" s="39"/>
    </row>
    <row r="967" customFormat="false" ht="15" hidden="false" customHeight="false" outlineLevel="0" collapsed="false">
      <c r="A967" s="39"/>
      <c r="B967" s="39"/>
      <c r="C967" s="39"/>
      <c r="D967" s="39"/>
      <c r="E967" s="39"/>
      <c r="F967" s="39"/>
      <c r="G967" s="39"/>
      <c r="H967" s="39"/>
      <c r="I967" s="39"/>
      <c r="J967" s="39"/>
      <c r="K967" s="39"/>
      <c r="L967" s="39"/>
      <c r="M967" s="39"/>
    </row>
    <row r="968" customFormat="false" ht="15" hidden="false" customHeight="false" outlineLevel="0" collapsed="false">
      <c r="A968" s="39"/>
      <c r="B968" s="39"/>
      <c r="C968" s="39"/>
      <c r="D968" s="39"/>
      <c r="E968" s="39"/>
      <c r="F968" s="39"/>
      <c r="G968" s="39"/>
      <c r="H968" s="39"/>
      <c r="I968" s="39"/>
      <c r="J968" s="39"/>
      <c r="K968" s="39"/>
      <c r="L968" s="39"/>
      <c r="M968" s="39"/>
    </row>
    <row r="969" customFormat="false" ht="15" hidden="false" customHeight="false" outlineLevel="0" collapsed="false">
      <c r="A969" s="39"/>
      <c r="B969" s="39"/>
      <c r="C969" s="39"/>
      <c r="D969" s="39"/>
      <c r="E969" s="39"/>
      <c r="F969" s="39"/>
      <c r="G969" s="39"/>
      <c r="H969" s="39"/>
      <c r="I969" s="39"/>
      <c r="J969" s="39"/>
      <c r="K969" s="39"/>
      <c r="L969" s="39"/>
      <c r="M969" s="39"/>
    </row>
    <row r="970" customFormat="false" ht="15" hidden="false" customHeight="false" outlineLevel="0" collapsed="false">
      <c r="A970" s="39"/>
      <c r="B970" s="39"/>
      <c r="C970" s="39"/>
      <c r="D970" s="39"/>
      <c r="E970" s="39"/>
      <c r="F970" s="39"/>
      <c r="G970" s="39"/>
      <c r="H970" s="39"/>
      <c r="I970" s="39"/>
      <c r="J970" s="39"/>
      <c r="K970" s="39"/>
      <c r="L970" s="39"/>
      <c r="M970" s="39"/>
    </row>
    <row r="971" customFormat="false" ht="15" hidden="false" customHeight="false" outlineLevel="0" collapsed="false">
      <c r="A971" s="39"/>
      <c r="B971" s="39"/>
      <c r="C971" s="39"/>
      <c r="D971" s="39"/>
      <c r="E971" s="39"/>
      <c r="F971" s="39"/>
      <c r="G971" s="39"/>
      <c r="H971" s="39"/>
      <c r="I971" s="39"/>
      <c r="J971" s="39"/>
      <c r="K971" s="39"/>
      <c r="L971" s="39"/>
      <c r="M971" s="39"/>
    </row>
    <row r="972" customFormat="false" ht="15" hidden="false" customHeight="false" outlineLevel="0" collapsed="false">
      <c r="A972" s="39"/>
      <c r="B972" s="39"/>
      <c r="C972" s="39"/>
      <c r="D972" s="39"/>
      <c r="E972" s="39"/>
      <c r="F972" s="39"/>
      <c r="G972" s="39"/>
      <c r="H972" s="39"/>
      <c r="I972" s="39"/>
      <c r="J972" s="39"/>
      <c r="K972" s="39"/>
      <c r="L972" s="39"/>
      <c r="M972" s="39"/>
    </row>
    <row r="973" customFormat="false" ht="15" hidden="false" customHeight="false" outlineLevel="0" collapsed="false">
      <c r="A973" s="39"/>
      <c r="B973" s="39"/>
      <c r="C973" s="39"/>
      <c r="D973" s="39"/>
      <c r="E973" s="39"/>
      <c r="F973" s="39"/>
      <c r="G973" s="39"/>
      <c r="H973" s="39"/>
      <c r="I973" s="39"/>
      <c r="J973" s="39"/>
      <c r="K973" s="39"/>
      <c r="L973" s="39"/>
      <c r="M973" s="39"/>
    </row>
    <row r="974" customFormat="false" ht="15" hidden="false" customHeight="false" outlineLevel="0" collapsed="false">
      <c r="A974" s="39"/>
      <c r="B974" s="39"/>
      <c r="C974" s="39"/>
      <c r="D974" s="39"/>
      <c r="E974" s="39"/>
      <c r="F974" s="39"/>
      <c r="G974" s="39"/>
      <c r="H974" s="39"/>
      <c r="I974" s="39"/>
      <c r="J974" s="39"/>
      <c r="K974" s="39"/>
      <c r="L974" s="39"/>
      <c r="M974" s="39"/>
    </row>
    <row r="975" customFormat="false" ht="15" hidden="false" customHeight="false" outlineLevel="0" collapsed="false">
      <c r="A975" s="39"/>
      <c r="B975" s="39"/>
      <c r="C975" s="39"/>
      <c r="D975" s="39"/>
      <c r="E975" s="39"/>
      <c r="F975" s="39"/>
      <c r="G975" s="39"/>
      <c r="H975" s="39"/>
      <c r="I975" s="39"/>
      <c r="J975" s="39"/>
      <c r="K975" s="39"/>
      <c r="L975" s="39"/>
      <c r="M975" s="39"/>
    </row>
    <row r="976" customFormat="false" ht="15" hidden="false" customHeight="false" outlineLevel="0" collapsed="false">
      <c r="A976" s="39"/>
      <c r="B976" s="39"/>
      <c r="C976" s="39"/>
      <c r="D976" s="39"/>
      <c r="E976" s="39"/>
      <c r="F976" s="39"/>
      <c r="G976" s="39"/>
      <c r="H976" s="39"/>
      <c r="I976" s="39"/>
      <c r="J976" s="39"/>
      <c r="K976" s="39"/>
      <c r="L976" s="39"/>
      <c r="M976" s="39"/>
    </row>
    <row r="977" customFormat="false" ht="15" hidden="false" customHeight="false" outlineLevel="0" collapsed="false">
      <c r="A977" s="39"/>
      <c r="B977" s="39"/>
      <c r="C977" s="39"/>
      <c r="D977" s="39"/>
      <c r="E977" s="39"/>
      <c r="F977" s="39"/>
      <c r="G977" s="39"/>
      <c r="H977" s="39"/>
      <c r="I977" s="39"/>
      <c r="J977" s="39"/>
      <c r="K977" s="39"/>
      <c r="L977" s="39"/>
      <c r="M977" s="39"/>
    </row>
    <row r="978" customFormat="false" ht="15" hidden="false" customHeight="false" outlineLevel="0" collapsed="false">
      <c r="A978" s="39"/>
      <c r="B978" s="39"/>
      <c r="C978" s="39"/>
      <c r="D978" s="39"/>
      <c r="E978" s="39"/>
      <c r="F978" s="39"/>
      <c r="G978" s="39"/>
      <c r="H978" s="39"/>
      <c r="I978" s="39"/>
      <c r="J978" s="39"/>
      <c r="K978" s="39"/>
      <c r="L978" s="39"/>
      <c r="M978" s="39"/>
    </row>
    <row r="979" customFormat="false" ht="15" hidden="false" customHeight="false" outlineLevel="0" collapsed="false">
      <c r="A979" s="39"/>
      <c r="B979" s="39"/>
      <c r="C979" s="39"/>
      <c r="D979" s="39"/>
      <c r="E979" s="39"/>
      <c r="F979" s="39"/>
      <c r="G979" s="39"/>
      <c r="H979" s="39"/>
      <c r="I979" s="39"/>
      <c r="J979" s="39"/>
      <c r="K979" s="39"/>
      <c r="L979" s="39"/>
      <c r="M979" s="39"/>
    </row>
    <row r="980" customFormat="false" ht="15" hidden="false" customHeight="false" outlineLevel="0" collapsed="false">
      <c r="A980" s="39"/>
      <c r="B980" s="39"/>
      <c r="C980" s="39"/>
      <c r="D980" s="39"/>
      <c r="E980" s="39"/>
      <c r="F980" s="39"/>
      <c r="G980" s="39"/>
      <c r="H980" s="39"/>
      <c r="I980" s="39"/>
      <c r="J980" s="39"/>
      <c r="K980" s="39"/>
      <c r="L980" s="39"/>
      <c r="M980" s="39"/>
    </row>
    <row r="981" customFormat="false" ht="15" hidden="false" customHeight="false" outlineLevel="0" collapsed="false">
      <c r="A981" s="39"/>
      <c r="B981" s="39"/>
      <c r="C981" s="39"/>
      <c r="D981" s="39"/>
      <c r="E981" s="39"/>
      <c r="F981" s="39"/>
      <c r="G981" s="39"/>
      <c r="H981" s="39"/>
      <c r="I981" s="39"/>
      <c r="J981" s="39"/>
      <c r="K981" s="39"/>
      <c r="L981" s="39"/>
      <c r="M981" s="39"/>
    </row>
    <row r="982" customFormat="false" ht="15" hidden="false" customHeight="false" outlineLevel="0" collapsed="false">
      <c r="A982" s="39"/>
      <c r="B982" s="39"/>
      <c r="C982" s="39"/>
      <c r="D982" s="39"/>
      <c r="E982" s="39"/>
      <c r="F982" s="39"/>
      <c r="G982" s="39"/>
      <c r="H982" s="39"/>
      <c r="I982" s="39"/>
      <c r="J982" s="39"/>
      <c r="K982" s="39"/>
      <c r="L982" s="39"/>
      <c r="M982" s="39"/>
    </row>
    <row r="983" customFormat="false" ht="15" hidden="false" customHeight="false" outlineLevel="0" collapsed="false">
      <c r="A983" s="39"/>
      <c r="B983" s="39"/>
      <c r="C983" s="39"/>
      <c r="D983" s="39"/>
      <c r="E983" s="39"/>
      <c r="F983" s="39"/>
      <c r="G983" s="39"/>
      <c r="H983" s="39"/>
      <c r="I983" s="39"/>
      <c r="J983" s="39"/>
      <c r="K983" s="39"/>
      <c r="L983" s="39"/>
      <c r="M983" s="39"/>
    </row>
    <row r="984" customFormat="false" ht="15" hidden="false" customHeight="false" outlineLevel="0" collapsed="false">
      <c r="A984" s="39"/>
      <c r="B984" s="39"/>
      <c r="C984" s="39"/>
      <c r="D984" s="39"/>
      <c r="E984" s="39"/>
      <c r="F984" s="39"/>
      <c r="G984" s="39"/>
      <c r="H984" s="39"/>
      <c r="I984" s="39"/>
      <c r="J984" s="39"/>
      <c r="K984" s="39"/>
      <c r="L984" s="39"/>
      <c r="M984" s="39"/>
    </row>
    <row r="985" customFormat="false" ht="15" hidden="false" customHeight="false" outlineLevel="0" collapsed="false">
      <c r="A985" s="39"/>
      <c r="B985" s="39"/>
      <c r="C985" s="39"/>
      <c r="D985" s="39"/>
      <c r="E985" s="39"/>
      <c r="F985" s="39"/>
      <c r="G985" s="39"/>
      <c r="H985" s="39"/>
      <c r="I985" s="39"/>
      <c r="J985" s="39"/>
      <c r="K985" s="39"/>
      <c r="L985" s="39"/>
      <c r="M985" s="39"/>
    </row>
    <row r="986" customFormat="false" ht="15" hidden="false" customHeight="false" outlineLevel="0" collapsed="false">
      <c r="A986" s="39"/>
      <c r="B986" s="39"/>
      <c r="C986" s="39"/>
      <c r="D986" s="39"/>
      <c r="E986" s="39"/>
      <c r="F986" s="39"/>
      <c r="G986" s="39"/>
      <c r="H986" s="39"/>
      <c r="I986" s="39"/>
      <c r="J986" s="39"/>
      <c r="K986" s="39"/>
      <c r="L986" s="39"/>
      <c r="M986" s="39"/>
    </row>
    <row r="987" customFormat="false" ht="15" hidden="false" customHeight="false" outlineLevel="0" collapsed="false">
      <c r="A987" s="39"/>
      <c r="B987" s="39"/>
      <c r="C987" s="39"/>
      <c r="D987" s="39"/>
      <c r="E987" s="39"/>
      <c r="F987" s="39"/>
      <c r="G987" s="39"/>
      <c r="H987" s="39"/>
      <c r="I987" s="39"/>
      <c r="J987" s="39"/>
      <c r="K987" s="39"/>
      <c r="L987" s="39"/>
      <c r="M987" s="39"/>
    </row>
    <row r="988" customFormat="false" ht="15" hidden="false" customHeight="false" outlineLevel="0" collapsed="false">
      <c r="A988" s="39"/>
      <c r="B988" s="39"/>
      <c r="C988" s="39"/>
      <c r="D988" s="39"/>
      <c r="E988" s="39"/>
      <c r="F988" s="39"/>
      <c r="G988" s="39"/>
      <c r="H988" s="39"/>
      <c r="I988" s="39"/>
      <c r="J988" s="39"/>
      <c r="K988" s="39"/>
      <c r="L988" s="39"/>
      <c r="M988" s="39"/>
    </row>
    <row r="989" customFormat="false" ht="15" hidden="false" customHeight="false" outlineLevel="0" collapsed="false">
      <c r="A989" s="39"/>
      <c r="B989" s="39"/>
      <c r="C989" s="39"/>
      <c r="D989" s="39"/>
      <c r="E989" s="39"/>
      <c r="F989" s="39"/>
      <c r="G989" s="39"/>
      <c r="H989" s="39"/>
      <c r="I989" s="39"/>
      <c r="J989" s="39"/>
      <c r="K989" s="39"/>
      <c r="L989" s="39"/>
      <c r="M989" s="39"/>
    </row>
    <row r="990" customFormat="false" ht="15" hidden="false" customHeight="false" outlineLevel="0" collapsed="false">
      <c r="A990" s="39"/>
      <c r="B990" s="39"/>
      <c r="C990" s="39"/>
      <c r="D990" s="39"/>
      <c r="E990" s="39"/>
      <c r="F990" s="39"/>
      <c r="G990" s="39"/>
      <c r="H990" s="39"/>
      <c r="I990" s="39"/>
      <c r="J990" s="39"/>
      <c r="K990" s="39"/>
      <c r="L990" s="39"/>
      <c r="M990" s="39"/>
    </row>
    <row r="991" customFormat="false" ht="15" hidden="false" customHeight="false" outlineLevel="0" collapsed="false">
      <c r="A991" s="39"/>
      <c r="B991" s="39"/>
      <c r="C991" s="39"/>
      <c r="D991" s="39"/>
      <c r="E991" s="39"/>
      <c r="F991" s="39"/>
      <c r="G991" s="39"/>
      <c r="H991" s="39"/>
      <c r="I991" s="39"/>
      <c r="J991" s="39"/>
      <c r="K991" s="39"/>
      <c r="L991" s="39"/>
      <c r="M991" s="39"/>
    </row>
    <row r="992" customFormat="false" ht="15" hidden="false" customHeight="false" outlineLevel="0" collapsed="false">
      <c r="A992" s="39"/>
      <c r="B992" s="39"/>
      <c r="C992" s="39"/>
      <c r="D992" s="39"/>
      <c r="E992" s="39"/>
      <c r="F992" s="39"/>
      <c r="G992" s="39"/>
      <c r="H992" s="39"/>
      <c r="I992" s="39"/>
      <c r="J992" s="39"/>
      <c r="K992" s="39"/>
      <c r="L992" s="39"/>
      <c r="M992" s="39"/>
    </row>
    <row r="993" customFormat="false" ht="15" hidden="false" customHeight="false" outlineLevel="0" collapsed="false">
      <c r="A993" s="39"/>
      <c r="B993" s="39"/>
      <c r="C993" s="39"/>
      <c r="D993" s="39"/>
      <c r="E993" s="39"/>
      <c r="F993" s="39"/>
      <c r="G993" s="39"/>
      <c r="H993" s="39"/>
      <c r="I993" s="39"/>
      <c r="J993" s="39"/>
      <c r="K993" s="39"/>
      <c r="L993" s="39"/>
      <c r="M993" s="39"/>
    </row>
    <row r="994" customFormat="false" ht="15" hidden="false" customHeight="false" outlineLevel="0" collapsed="false">
      <c r="A994" s="39"/>
      <c r="B994" s="39"/>
      <c r="C994" s="39"/>
      <c r="D994" s="39"/>
      <c r="E994" s="39"/>
      <c r="F994" s="39"/>
      <c r="G994" s="39"/>
      <c r="H994" s="39"/>
      <c r="I994" s="39"/>
      <c r="J994" s="39"/>
      <c r="K994" s="39"/>
      <c r="L994" s="39"/>
      <c r="M994" s="39"/>
    </row>
    <row r="995" customFormat="false" ht="15" hidden="false" customHeight="false" outlineLevel="0" collapsed="false">
      <c r="A995" s="39"/>
      <c r="B995" s="39"/>
      <c r="C995" s="39"/>
      <c r="D995" s="39"/>
      <c r="E995" s="39"/>
      <c r="F995" s="39"/>
      <c r="G995" s="39"/>
      <c r="H995" s="39"/>
      <c r="I995" s="39"/>
      <c r="J995" s="39"/>
      <c r="K995" s="39"/>
      <c r="L995" s="39"/>
      <c r="M995" s="39"/>
    </row>
    <row r="996" customFormat="false" ht="15" hidden="false" customHeight="false" outlineLevel="0" collapsed="false">
      <c r="A996" s="39"/>
      <c r="B996" s="39"/>
      <c r="C996" s="39"/>
      <c r="D996" s="39"/>
      <c r="E996" s="39"/>
      <c r="F996" s="39"/>
      <c r="G996" s="39"/>
      <c r="H996" s="39"/>
      <c r="I996" s="39"/>
      <c r="J996" s="39"/>
      <c r="K996" s="39"/>
      <c r="L996" s="39"/>
      <c r="M996" s="39"/>
    </row>
    <row r="997" customFormat="false" ht="15" hidden="false" customHeight="false" outlineLevel="0" collapsed="false">
      <c r="A997" s="39"/>
      <c r="B997" s="39"/>
      <c r="C997" s="39"/>
      <c r="D997" s="39"/>
      <c r="E997" s="39"/>
      <c r="F997" s="39"/>
      <c r="G997" s="39"/>
      <c r="H997" s="39"/>
      <c r="I997" s="39"/>
      <c r="J997" s="39"/>
      <c r="K997" s="39"/>
      <c r="L997" s="39"/>
      <c r="M997" s="39"/>
    </row>
    <row r="998" customFormat="false" ht="15" hidden="false" customHeight="false" outlineLevel="0" collapsed="false">
      <c r="A998" s="39"/>
      <c r="B998" s="39"/>
      <c r="C998" s="39"/>
      <c r="D998" s="39"/>
      <c r="E998" s="39"/>
      <c r="F998" s="39"/>
      <c r="G998" s="39"/>
      <c r="H998" s="39"/>
      <c r="I998" s="39"/>
      <c r="J998" s="39"/>
      <c r="K998" s="39"/>
      <c r="L998" s="39"/>
      <c r="M998" s="39"/>
    </row>
    <row r="999" customFormat="false" ht="15" hidden="false" customHeight="false" outlineLevel="0" collapsed="false">
      <c r="A999" s="39"/>
      <c r="B999" s="39"/>
      <c r="C999" s="39"/>
      <c r="D999" s="39"/>
      <c r="E999" s="39"/>
      <c r="F999" s="39"/>
      <c r="G999" s="39"/>
      <c r="H999" s="39"/>
      <c r="I999" s="39"/>
      <c r="J999" s="39"/>
      <c r="K999" s="39"/>
      <c r="L999" s="39"/>
      <c r="M999" s="39"/>
    </row>
    <row r="1000" customFormat="false" ht="15" hidden="false" customHeight="false" outlineLevel="0" collapsed="false">
      <c r="A1000" s="39"/>
      <c r="B1000" s="39"/>
      <c r="C1000" s="39"/>
      <c r="D1000" s="39"/>
      <c r="E1000" s="39"/>
      <c r="F1000" s="39"/>
      <c r="G1000" s="39"/>
      <c r="H1000" s="39"/>
      <c r="I1000" s="39"/>
      <c r="J1000" s="39"/>
      <c r="K1000" s="39"/>
      <c r="L1000" s="39"/>
      <c r="M1000" s="39"/>
    </row>
    <row r="1001" customFormat="false" ht="15" hidden="false" customHeight="false" outlineLevel="0" collapsed="false">
      <c r="A1001" s="39"/>
      <c r="B1001" s="39"/>
      <c r="C1001" s="39"/>
      <c r="D1001" s="39"/>
      <c r="E1001" s="39"/>
      <c r="F1001" s="39"/>
      <c r="G1001" s="39"/>
      <c r="H1001" s="39"/>
      <c r="I1001" s="39"/>
      <c r="J1001" s="39"/>
      <c r="K1001" s="39"/>
      <c r="L1001" s="39"/>
      <c r="M1001" s="39"/>
    </row>
    <row r="1002" customFormat="false" ht="15" hidden="false" customHeight="false" outlineLevel="0" collapsed="false">
      <c r="A1002" s="39"/>
      <c r="B1002" s="39"/>
      <c r="C1002" s="39"/>
      <c r="D1002" s="39"/>
      <c r="E1002" s="39"/>
      <c r="F1002" s="39"/>
      <c r="G1002" s="39"/>
      <c r="H1002" s="39"/>
      <c r="I1002" s="39"/>
      <c r="J1002" s="39"/>
      <c r="K1002" s="39"/>
      <c r="L1002" s="39"/>
      <c r="M1002" s="39"/>
    </row>
    <row r="1003" customFormat="false" ht="15" hidden="false" customHeight="false" outlineLevel="0" collapsed="false">
      <c r="A1003" s="39"/>
      <c r="B1003" s="39"/>
      <c r="C1003" s="39"/>
      <c r="D1003" s="39"/>
      <c r="E1003" s="39"/>
      <c r="F1003" s="39"/>
      <c r="G1003" s="39"/>
      <c r="H1003" s="39"/>
      <c r="I1003" s="39"/>
      <c r="J1003" s="39"/>
      <c r="K1003" s="39"/>
      <c r="L1003" s="39"/>
      <c r="M1003" s="39"/>
    </row>
    <row r="1004" customFormat="false" ht="15" hidden="false" customHeight="false" outlineLevel="0" collapsed="false">
      <c r="A1004" s="39"/>
      <c r="B1004" s="39"/>
      <c r="C1004" s="39"/>
      <c r="D1004" s="39"/>
      <c r="E1004" s="39"/>
      <c r="F1004" s="39"/>
      <c r="G1004" s="39"/>
      <c r="H1004" s="39"/>
      <c r="I1004" s="39"/>
      <c r="J1004" s="39"/>
      <c r="K1004" s="39"/>
      <c r="L1004" s="39"/>
      <c r="M1004" s="39"/>
    </row>
    <row r="1005" customFormat="false" ht="15" hidden="false" customHeight="false" outlineLevel="0" collapsed="false">
      <c r="A1005" s="39"/>
      <c r="B1005" s="39"/>
      <c r="C1005" s="39"/>
      <c r="D1005" s="39"/>
      <c r="E1005" s="39"/>
      <c r="F1005" s="39"/>
      <c r="G1005" s="39"/>
      <c r="H1005" s="39"/>
      <c r="I1005" s="39"/>
      <c r="J1005" s="39"/>
      <c r="K1005" s="39"/>
      <c r="L1005" s="39"/>
      <c r="M1005" s="39"/>
    </row>
    <row r="1006" customFormat="false" ht="15" hidden="false" customHeight="false" outlineLevel="0" collapsed="false">
      <c r="A1006" s="39"/>
      <c r="B1006" s="39"/>
      <c r="C1006" s="39"/>
      <c r="D1006" s="39"/>
      <c r="E1006" s="39"/>
      <c r="F1006" s="39"/>
      <c r="G1006" s="39"/>
      <c r="H1006" s="39"/>
      <c r="I1006" s="39"/>
      <c r="J1006" s="39"/>
      <c r="K1006" s="39"/>
      <c r="L1006" s="39"/>
      <c r="M1006" s="39"/>
    </row>
    <row r="1007" customFormat="false" ht="15" hidden="false" customHeight="false" outlineLevel="0" collapsed="false">
      <c r="A1007" s="39"/>
      <c r="B1007" s="39"/>
      <c r="C1007" s="39"/>
      <c r="D1007" s="39"/>
      <c r="E1007" s="39"/>
      <c r="F1007" s="39"/>
      <c r="G1007" s="39"/>
      <c r="H1007" s="39"/>
      <c r="I1007" s="39"/>
      <c r="J1007" s="39"/>
      <c r="K1007" s="39"/>
      <c r="L1007" s="39"/>
      <c r="M1007" s="39"/>
    </row>
    <row r="1008" customFormat="false" ht="15" hidden="false" customHeight="false" outlineLevel="0" collapsed="false">
      <c r="A1008" s="39"/>
      <c r="B1008" s="39"/>
      <c r="C1008" s="39"/>
      <c r="D1008" s="39"/>
      <c r="E1008" s="39"/>
      <c r="F1008" s="39"/>
      <c r="G1008" s="39"/>
      <c r="H1008" s="39"/>
      <c r="I1008" s="39"/>
      <c r="J1008" s="39"/>
      <c r="K1008" s="39"/>
      <c r="L1008" s="39"/>
      <c r="M1008" s="39"/>
    </row>
    <row r="1009" customFormat="false" ht="15" hidden="false" customHeight="false" outlineLevel="0" collapsed="false">
      <c r="A1009" s="39"/>
      <c r="B1009" s="39"/>
      <c r="C1009" s="39"/>
      <c r="D1009" s="39"/>
      <c r="E1009" s="39"/>
      <c r="F1009" s="39"/>
      <c r="G1009" s="39"/>
      <c r="H1009" s="39"/>
      <c r="I1009" s="39"/>
      <c r="J1009" s="39"/>
      <c r="K1009" s="39"/>
      <c r="L1009" s="39"/>
      <c r="M1009" s="39"/>
    </row>
    <row r="1010" customFormat="false" ht="15" hidden="false" customHeight="false" outlineLevel="0" collapsed="false">
      <c r="A1010" s="39"/>
      <c r="B1010" s="39"/>
      <c r="C1010" s="39"/>
      <c r="D1010" s="39"/>
      <c r="E1010" s="39"/>
      <c r="F1010" s="39"/>
      <c r="G1010" s="39"/>
      <c r="H1010" s="39"/>
      <c r="I1010" s="39"/>
      <c r="J1010" s="39"/>
      <c r="K1010" s="39"/>
      <c r="L1010" s="39"/>
      <c r="M1010" s="39"/>
    </row>
    <row r="1011" customFormat="false" ht="15" hidden="false" customHeight="false" outlineLevel="0" collapsed="false">
      <c r="A1011" s="39"/>
      <c r="B1011" s="39"/>
      <c r="C1011" s="39"/>
      <c r="D1011" s="39"/>
      <c r="E1011" s="39"/>
      <c r="F1011" s="39"/>
      <c r="G1011" s="39"/>
      <c r="H1011" s="39"/>
      <c r="I1011" s="39"/>
      <c r="J1011" s="39"/>
      <c r="K1011" s="39"/>
      <c r="L1011" s="39"/>
      <c r="M1011" s="39"/>
    </row>
    <row r="1012" customFormat="false" ht="15" hidden="false" customHeight="false" outlineLevel="0" collapsed="false">
      <c r="A1012" s="39"/>
      <c r="B1012" s="39"/>
      <c r="C1012" s="39"/>
      <c r="D1012" s="39"/>
      <c r="E1012" s="39"/>
      <c r="F1012" s="39"/>
      <c r="G1012" s="39"/>
      <c r="H1012" s="39"/>
      <c r="I1012" s="39"/>
      <c r="J1012" s="39"/>
      <c r="K1012" s="39"/>
      <c r="L1012" s="39"/>
      <c r="M1012" s="39"/>
    </row>
    <row r="1013" customFormat="false" ht="15" hidden="false" customHeight="false" outlineLevel="0" collapsed="false">
      <c r="A1013" s="39"/>
      <c r="B1013" s="39"/>
      <c r="C1013" s="39"/>
      <c r="D1013" s="39"/>
      <c r="E1013" s="39"/>
      <c r="F1013" s="39"/>
      <c r="G1013" s="39"/>
      <c r="H1013" s="39"/>
      <c r="I1013" s="39"/>
      <c r="J1013" s="39"/>
      <c r="K1013" s="39"/>
      <c r="L1013" s="39"/>
      <c r="M1013" s="39"/>
    </row>
    <row r="1014" customFormat="false" ht="15" hidden="false" customHeight="false" outlineLevel="0" collapsed="false">
      <c r="A1014" s="39"/>
      <c r="B1014" s="39"/>
      <c r="C1014" s="39"/>
      <c r="D1014" s="39"/>
      <c r="E1014" s="39"/>
      <c r="F1014" s="39"/>
      <c r="G1014" s="39"/>
      <c r="H1014" s="39"/>
      <c r="I1014" s="39"/>
      <c r="J1014" s="39"/>
      <c r="K1014" s="39"/>
      <c r="L1014" s="39"/>
      <c r="M1014" s="39"/>
    </row>
    <row r="1015" customFormat="false" ht="15" hidden="false" customHeight="false" outlineLevel="0" collapsed="false">
      <c r="A1015" s="39"/>
      <c r="B1015" s="39"/>
      <c r="C1015" s="39"/>
      <c r="D1015" s="39"/>
      <c r="E1015" s="39"/>
      <c r="F1015" s="39"/>
      <c r="G1015" s="39"/>
      <c r="H1015" s="39"/>
      <c r="I1015" s="39"/>
      <c r="J1015" s="39"/>
      <c r="K1015" s="39"/>
      <c r="L1015" s="39"/>
      <c r="M1015" s="39"/>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877F2"/>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8"/>
    <col collapsed="false" customWidth="true" hidden="false" outlineLevel="0" max="5" min="5" style="0" width="20"/>
    <col collapsed="false" customWidth="true" hidden="false" outlineLevel="0" max="6" min="6" style="0" width="16"/>
    <col collapsed="false" customWidth="true" hidden="false" outlineLevel="0" max="7" min="7" style="0" width="15"/>
    <col collapsed="false" customWidth="true" hidden="false" outlineLevel="0" max="8" min="8" style="0" width="11"/>
  </cols>
  <sheetData>
    <row r="1" customFormat="false" ht="16.15" hidden="false" customHeight="false" outlineLevel="0" collapsed="false">
      <c r="A1" s="118" t="s">
        <v>788</v>
      </c>
      <c r="B1" s="118"/>
      <c r="C1" s="118"/>
      <c r="D1" s="118"/>
      <c r="E1" s="118"/>
      <c r="F1" s="118"/>
      <c r="G1" s="118"/>
      <c r="H1" s="118"/>
    </row>
    <row r="2" customFormat="false" ht="31.5" hidden="false" customHeight="true" outlineLevel="0" collapsed="false">
      <c r="A2" s="116" t="s">
        <v>789</v>
      </c>
      <c r="B2" s="116"/>
      <c r="C2" s="116"/>
      <c r="D2" s="116"/>
      <c r="E2" s="116"/>
      <c r="F2" s="116"/>
      <c r="G2" s="116"/>
      <c r="H2" s="116"/>
    </row>
    <row r="4" customFormat="false" ht="21.75" hidden="false" customHeight="true" outlineLevel="0" collapsed="false">
      <c r="A4" s="85" t="s">
        <v>127</v>
      </c>
      <c r="B4" s="85" t="s">
        <v>259</v>
      </c>
      <c r="C4" s="85" t="s">
        <v>790</v>
      </c>
      <c r="D4" s="85" t="s">
        <v>791</v>
      </c>
      <c r="E4" s="85" t="s">
        <v>792</v>
      </c>
      <c r="F4" s="85" t="s">
        <v>793</v>
      </c>
      <c r="G4" s="85" t="s">
        <v>794</v>
      </c>
      <c r="H4" s="85" t="s">
        <v>795</v>
      </c>
    </row>
    <row r="5" customFormat="false" ht="15" hidden="false" customHeight="false" outlineLevel="0" collapsed="false">
      <c r="A5" s="41" t="s">
        <v>168</v>
      </c>
      <c r="B5" s="41" t="s">
        <v>305</v>
      </c>
      <c r="C5" s="119" t="n">
        <f aca="false">SUMIFS(Meta_Invoices!$E$5012:$E$5029,Meta_Invoices!$A$5012:$A$5029,$A5,Meta_Invoices!$B$5012:$B$5029,$B5)</f>
        <v>6169.34</v>
      </c>
      <c r="D5" s="119" t="n">
        <f aca="false">SUMIFS(Stripe_Raw!$G$4:$G$5003,Stripe_Raw!$B$4:$B$5003,$A5,Stripe_Raw!$C$4:$C$5003,"*Meta*",Stripe_Raw!$A$4:$A$5003,"&gt;="&amp;DATEVALUE("1-"&amp;$B5),Stripe_Raw!$A$4:$A$5003,"&lt;"&amp;EDATE(DATEVALUE("1-"&amp;$B5),1),Stripe_Raw!$I$4:$I$5003,"Paid")</f>
        <v>3132.84</v>
      </c>
      <c r="E5" s="119" t="n">
        <f aca="false">SUMIFS(Bank_Raw!$D$4:$D$5003,Bank_Raw!$G$4:$G$5003,$A5,Bank_Raw!$A$4:$A$5003,"&gt;="&amp;DATEVALUE("1-"&amp;$B5),Bank_Raw!$A$4:$A$5003,"&lt;"&amp;EDATE(DATEVALUE("1-"&amp;$B5),1))</f>
        <v>0</v>
      </c>
      <c r="F5" s="55" t="n">
        <f aca="false">D5+E5</f>
        <v>3132.84</v>
      </c>
      <c r="G5" s="120" t="n">
        <f aca="false">C5-F5</f>
        <v>3036.5</v>
      </c>
      <c r="H5" s="121" t="n">
        <f aca="false">IFERROR(F5/C5,"-")</f>
        <v>0.507807966492364</v>
      </c>
    </row>
    <row r="6" customFormat="false" ht="15" hidden="false" customHeight="false" outlineLevel="0" collapsed="false">
      <c r="A6" s="41" t="s">
        <v>144</v>
      </c>
      <c r="B6" s="41" t="s">
        <v>305</v>
      </c>
      <c r="C6" s="119" t="n">
        <f aca="false">SUMIFS(Meta_Invoices!$E$5012:$E$5029,Meta_Invoices!$A$5012:$A$5029,$A6,Meta_Invoices!$B$5012:$B$5029,$B6)</f>
        <v>6182.06</v>
      </c>
      <c r="D6" s="119" t="n">
        <f aca="false">SUMIFS(Stripe_Raw!$G$4:$G$5003,Stripe_Raw!$B$4:$B$5003,$A6,Stripe_Raw!$C$4:$C$5003,"*Meta*",Stripe_Raw!$A$4:$A$5003,"&gt;="&amp;DATEVALUE("1-"&amp;$B6),Stripe_Raw!$A$4:$A$5003,"&lt;"&amp;EDATE(DATEVALUE("1-"&amp;$B6),1),Stripe_Raw!$I$4:$I$5003,"Paid")</f>
        <v>4125.2</v>
      </c>
      <c r="E6" s="119" t="n">
        <f aca="false">SUMIFS(Bank_Raw!$D$4:$D$5003,Bank_Raw!$G$4:$G$5003,$A6,Bank_Raw!$A$4:$A$5003,"&gt;="&amp;DATEVALUE("1-"&amp;$B6),Bank_Raw!$A$4:$A$5003,"&lt;"&amp;EDATE(DATEVALUE("1-"&amp;$B6),1))</f>
        <v>10731.66</v>
      </c>
      <c r="F6" s="55" t="n">
        <f aca="false">D6+E6</f>
        <v>14856.86</v>
      </c>
      <c r="G6" s="120" t="n">
        <f aca="false">C6-F6</f>
        <v>-8674.8</v>
      </c>
      <c r="H6" s="121" t="n">
        <f aca="false">IFERROR(F6/C6,"-")</f>
        <v>2.40322157986173</v>
      </c>
    </row>
    <row r="7" customFormat="false" ht="15" hidden="false" customHeight="false" outlineLevel="0" collapsed="false">
      <c r="A7" s="41" t="s">
        <v>150</v>
      </c>
      <c r="B7" s="41" t="s">
        <v>305</v>
      </c>
      <c r="C7" s="119" t="n">
        <f aca="false">SUMIFS(Meta_Invoices!$E$5012:$E$5029,Meta_Invoices!$A$5012:$A$5029,$A7,Meta_Invoices!$B$5012:$B$5029,$B7)</f>
        <v>2756.32</v>
      </c>
      <c r="D7" s="119" t="n">
        <f aca="false">SUMIFS(Stripe_Raw!$G$4:$G$5003,Stripe_Raw!$B$4:$B$5003,$A7,Stripe_Raw!$C$4:$C$5003,"*Meta*",Stripe_Raw!$A$4:$A$5003,"&gt;="&amp;DATEVALUE("1-"&amp;$B7),Stripe_Raw!$A$4:$A$5003,"&lt;"&amp;EDATE(DATEVALUE("1-"&amp;$B7),1),Stripe_Raw!$I$4:$I$5003,"Paid")</f>
        <v>4253.42</v>
      </c>
      <c r="E7" s="119" t="n">
        <f aca="false">SUMIFS(Bank_Raw!$D$4:$D$5003,Bank_Raw!$G$4:$G$5003,$A7,Bank_Raw!$A$4:$A$5003,"&gt;="&amp;DATEVALUE("1-"&amp;$B7),Bank_Raw!$A$4:$A$5003,"&lt;"&amp;EDATE(DATEVALUE("1-"&amp;$B7),1))</f>
        <v>44947.42</v>
      </c>
      <c r="F7" s="55" t="n">
        <f aca="false">D7+E7</f>
        <v>49200.84</v>
      </c>
      <c r="G7" s="120" t="n">
        <f aca="false">C7-F7</f>
        <v>-46444.52</v>
      </c>
      <c r="H7" s="121" t="n">
        <f aca="false">IFERROR(F7/C7,"-")</f>
        <v>17.8501915597608</v>
      </c>
    </row>
    <row r="8" customFormat="false" ht="15" hidden="false" customHeight="false" outlineLevel="0" collapsed="false">
      <c r="A8" s="41" t="s">
        <v>152</v>
      </c>
      <c r="B8" s="41" t="s">
        <v>305</v>
      </c>
      <c r="C8" s="119" t="n">
        <f aca="false">SUMIFS(Meta_Invoices!$E$5012:$E$5029,Meta_Invoices!$A$5012:$A$5029,$A8,Meta_Invoices!$B$5012:$B$5029,$B8)</f>
        <v>2568.24</v>
      </c>
      <c r="D8" s="119" t="n">
        <f aca="false">SUMIFS(Stripe_Raw!$G$4:$G$5003,Stripe_Raw!$B$4:$B$5003,$A8,Stripe_Raw!$C$4:$C$5003,"*Meta*",Stripe_Raw!$A$4:$A$5003,"&gt;="&amp;DATEVALUE("1-"&amp;$B8),Stripe_Raw!$A$4:$A$5003,"&lt;"&amp;EDATE(DATEVALUE("1-"&amp;$B8),1),Stripe_Raw!$I$4:$I$5003,"Paid")</f>
        <v>2152.78</v>
      </c>
      <c r="E8" s="119" t="n">
        <f aca="false">SUMIFS(Bank_Raw!$D$4:$D$5003,Bank_Raw!$G$4:$G$5003,$A8,Bank_Raw!$A$4:$A$5003,"&gt;="&amp;DATEVALUE("1-"&amp;$B8),Bank_Raw!$A$4:$A$5003,"&lt;"&amp;EDATE(DATEVALUE("1-"&amp;$B8),1))</f>
        <v>0</v>
      </c>
      <c r="F8" s="55" t="n">
        <f aca="false">D8+E8</f>
        <v>2152.78</v>
      </c>
      <c r="G8" s="120" t="n">
        <f aca="false">C8-F8</f>
        <v>415.46</v>
      </c>
      <c r="H8" s="121" t="n">
        <f aca="false">IFERROR(F8/C8,"-")</f>
        <v>0.838231629442731</v>
      </c>
    </row>
    <row r="9" customFormat="false" ht="15" hidden="false" customHeight="false" outlineLevel="0" collapsed="false">
      <c r="A9" s="41" t="s">
        <v>178</v>
      </c>
      <c r="B9" s="41" t="s">
        <v>305</v>
      </c>
      <c r="C9" s="119" t="n">
        <f aca="false">SUMIFS(Meta_Invoices!$E$5012:$E$5029,Meta_Invoices!$A$5012:$A$5029,$A9,Meta_Invoices!$B$5012:$B$5029,$B9)</f>
        <v>2501.04</v>
      </c>
      <c r="D9" s="119" t="n">
        <f aca="false">SUMIFS(Stripe_Raw!$G$4:$G$5003,Stripe_Raw!$B$4:$B$5003,$A9,Stripe_Raw!$C$4:$C$5003,"*Meta*",Stripe_Raw!$A$4:$A$5003,"&gt;="&amp;DATEVALUE("1-"&amp;$B9),Stripe_Raw!$A$4:$A$5003,"&lt;"&amp;EDATE(DATEVALUE("1-"&amp;$B9),1),Stripe_Raw!$I$4:$I$5003,"Paid")</f>
        <v>0</v>
      </c>
      <c r="E9" s="119" t="n">
        <f aca="false">SUMIFS(Bank_Raw!$D$4:$D$5003,Bank_Raw!$G$4:$G$5003,$A9,Bank_Raw!$A$4:$A$5003,"&gt;="&amp;DATEVALUE("1-"&amp;$B9),Bank_Raw!$A$4:$A$5003,"&lt;"&amp;EDATE(DATEVALUE("1-"&amp;$B9),1))</f>
        <v>0</v>
      </c>
      <c r="F9" s="55" t="n">
        <f aca="false">D9+E9</f>
        <v>0</v>
      </c>
      <c r="G9" s="120" t="n">
        <f aca="false">C9-F9</f>
        <v>2501.04</v>
      </c>
      <c r="H9" s="121" t="n">
        <f aca="false">IFERROR(F9/C9,"-")</f>
        <v>0</v>
      </c>
    </row>
    <row r="10" customFormat="false" ht="15" hidden="false" customHeight="false" outlineLevel="0" collapsed="false">
      <c r="A10" s="41" t="s">
        <v>156</v>
      </c>
      <c r="B10" s="41" t="s">
        <v>305</v>
      </c>
      <c r="C10" s="119" t="n">
        <f aca="false">SUMIFS(Meta_Invoices!$E$5012:$E$5029,Meta_Invoices!$A$5012:$A$5029,$A10,Meta_Invoices!$B$5012:$B$5029,$B10)</f>
        <v>3596.58</v>
      </c>
      <c r="D10" s="119" t="n">
        <f aca="false">SUMIFS(Stripe_Raw!$G$4:$G$5003,Stripe_Raw!$B$4:$B$5003,$A10,Stripe_Raw!$C$4:$C$5003,"*Meta*",Stripe_Raw!$A$4:$A$5003,"&gt;="&amp;DATEVALUE("1-"&amp;$B10),Stripe_Raw!$A$4:$A$5003,"&lt;"&amp;EDATE(DATEVALUE("1-"&amp;$B10),1),Stripe_Raw!$I$4:$I$5003,"Paid")</f>
        <v>0</v>
      </c>
      <c r="E10" s="119" t="n">
        <f aca="false">SUMIFS(Bank_Raw!$D$4:$D$5003,Bank_Raw!$G$4:$G$5003,$A10,Bank_Raw!$A$4:$A$5003,"&gt;="&amp;DATEVALUE("1-"&amp;$B10),Bank_Raw!$A$4:$A$5003,"&lt;"&amp;EDATE(DATEVALUE("1-"&amp;$B10),1))</f>
        <v>0</v>
      </c>
      <c r="F10" s="55" t="n">
        <f aca="false">D10+E10</f>
        <v>0</v>
      </c>
      <c r="G10" s="120" t="n">
        <f aca="false">C10-F10</f>
        <v>3596.58</v>
      </c>
      <c r="H10" s="121" t="n">
        <f aca="false">IFERROR(F10/C10,"-")</f>
        <v>0</v>
      </c>
    </row>
    <row r="11" customFormat="false" ht="15" hidden="false" customHeight="false" outlineLevel="0" collapsed="false">
      <c r="A11" s="41" t="s">
        <v>168</v>
      </c>
      <c r="B11" s="41" t="s">
        <v>306</v>
      </c>
      <c r="C11" s="119" t="n">
        <f aca="false">SUMIFS(Meta_Invoices!$E$5012:$E$5029,Meta_Invoices!$A$5012:$A$5029,$A11,Meta_Invoices!$B$5012:$B$5029,$B11)</f>
        <v>4597.89</v>
      </c>
      <c r="D11" s="119" t="n">
        <f aca="false">SUMIFS(Stripe_Raw!$G$4:$G$5003,Stripe_Raw!$B$4:$B$5003,$A11,Stripe_Raw!$C$4:$C$5003,"*Meta*",Stripe_Raw!$A$4:$A$5003,"&gt;="&amp;DATEVALUE("1-"&amp;$B11),Stripe_Raw!$A$4:$A$5003,"&lt;"&amp;EDATE(DATEVALUE("1-"&amp;$B11),1),Stripe_Raw!$I$4:$I$5003,"Paid")</f>
        <v>3919.13</v>
      </c>
      <c r="E11" s="119" t="n">
        <f aca="false">SUMIFS(Bank_Raw!$D$4:$D$5003,Bank_Raw!$G$4:$G$5003,$A11,Bank_Raw!$A$4:$A$5003,"&gt;="&amp;DATEVALUE("1-"&amp;$B11),Bank_Raw!$A$4:$A$5003,"&lt;"&amp;EDATE(DATEVALUE("1-"&amp;$B11),1))</f>
        <v>0</v>
      </c>
      <c r="F11" s="55" t="n">
        <f aca="false">D11+E11</f>
        <v>3919.13</v>
      </c>
      <c r="G11" s="120" t="n">
        <f aca="false">C11-F11</f>
        <v>678.76</v>
      </c>
      <c r="H11" s="121" t="n">
        <f aca="false">IFERROR(F11/C11,"-")</f>
        <v>0.852375763665507</v>
      </c>
    </row>
    <row r="12" customFormat="false" ht="15" hidden="false" customHeight="false" outlineLevel="0" collapsed="false">
      <c r="A12" s="41" t="s">
        <v>144</v>
      </c>
      <c r="B12" s="41" t="s">
        <v>306</v>
      </c>
      <c r="C12" s="119" t="n">
        <f aca="false">SUMIFS(Meta_Invoices!$E$5012:$E$5029,Meta_Invoices!$A$5012:$A$5029,$A12,Meta_Invoices!$B$5012:$B$5029,$B12)</f>
        <v>2281.89</v>
      </c>
      <c r="D12" s="119" t="n">
        <f aca="false">SUMIFS(Stripe_Raw!$G$4:$G$5003,Stripe_Raw!$B$4:$B$5003,$A12,Stripe_Raw!$C$4:$C$5003,"*Meta*",Stripe_Raw!$A$4:$A$5003,"&gt;="&amp;DATEVALUE("1-"&amp;$B12),Stripe_Raw!$A$4:$A$5003,"&lt;"&amp;EDATE(DATEVALUE("1-"&amp;$B12),1),Stripe_Raw!$I$4:$I$5003,"Paid")</f>
        <v>3251.82</v>
      </c>
      <c r="E12" s="119" t="n">
        <f aca="false">SUMIFS(Bank_Raw!$D$4:$D$5003,Bank_Raw!$G$4:$G$5003,$A12,Bank_Raw!$A$4:$A$5003,"&gt;="&amp;DATEVALUE("1-"&amp;$B12),Bank_Raw!$A$4:$A$5003,"&lt;"&amp;EDATE(DATEVALUE("1-"&amp;$B12),1))</f>
        <v>0</v>
      </c>
      <c r="F12" s="55" t="n">
        <f aca="false">D12+E12</f>
        <v>3251.82</v>
      </c>
      <c r="G12" s="120" t="n">
        <f aca="false">C12-F12</f>
        <v>-969.93</v>
      </c>
      <c r="H12" s="121" t="n">
        <f aca="false">IFERROR(F12/C12,"-")</f>
        <v>1.4250555460605</v>
      </c>
    </row>
    <row r="13" customFormat="false" ht="15" hidden="false" customHeight="false" outlineLevel="0" collapsed="false">
      <c r="A13" s="41" t="s">
        <v>150</v>
      </c>
      <c r="B13" s="41" t="s">
        <v>306</v>
      </c>
      <c r="C13" s="119" t="n">
        <f aca="false">SUMIFS(Meta_Invoices!$E$5012:$E$5029,Meta_Invoices!$A$5012:$A$5029,$A13,Meta_Invoices!$B$5012:$B$5029,$B13)</f>
        <v>3575.87</v>
      </c>
      <c r="D13" s="119" t="n">
        <f aca="false">SUMIFS(Stripe_Raw!$G$4:$G$5003,Stripe_Raw!$B$4:$B$5003,$A13,Stripe_Raw!$C$4:$C$5003,"*Meta*",Stripe_Raw!$A$4:$A$5003,"&gt;="&amp;DATEVALUE("1-"&amp;$B13),Stripe_Raw!$A$4:$A$5003,"&lt;"&amp;EDATE(DATEVALUE("1-"&amp;$B13),1),Stripe_Raw!$I$4:$I$5003,"Paid")</f>
        <v>2771.67</v>
      </c>
      <c r="E13" s="119" t="n">
        <f aca="false">SUMIFS(Bank_Raw!$D$4:$D$5003,Bank_Raw!$G$4:$G$5003,$A13,Bank_Raw!$A$4:$A$5003,"&gt;="&amp;DATEVALUE("1-"&amp;$B13),Bank_Raw!$A$4:$A$5003,"&lt;"&amp;EDATE(DATEVALUE("1-"&amp;$B13),1))</f>
        <v>0</v>
      </c>
      <c r="F13" s="55" t="n">
        <f aca="false">D13+E13</f>
        <v>2771.67</v>
      </c>
      <c r="G13" s="120" t="n">
        <f aca="false">C13-F13</f>
        <v>804.2</v>
      </c>
      <c r="H13" s="121" t="n">
        <f aca="false">IFERROR(F13/C13,"-")</f>
        <v>0.775103681062231</v>
      </c>
    </row>
    <row r="14" customFormat="false" ht="15" hidden="false" customHeight="false" outlineLevel="0" collapsed="false">
      <c r="A14" s="41" t="s">
        <v>152</v>
      </c>
      <c r="B14" s="41" t="s">
        <v>306</v>
      </c>
      <c r="C14" s="119" t="n">
        <f aca="false">SUMIFS(Meta_Invoices!$E$5012:$E$5029,Meta_Invoices!$A$5012:$A$5029,$A14,Meta_Invoices!$B$5012:$B$5029,$B14)</f>
        <v>3582.31</v>
      </c>
      <c r="D14" s="119" t="n">
        <f aca="false">SUMIFS(Stripe_Raw!$G$4:$G$5003,Stripe_Raw!$B$4:$B$5003,$A14,Stripe_Raw!$C$4:$C$5003,"*Meta*",Stripe_Raw!$A$4:$A$5003,"&gt;="&amp;DATEVALUE("1-"&amp;$B14),Stripe_Raw!$A$4:$A$5003,"&lt;"&amp;EDATE(DATEVALUE("1-"&amp;$B14),1),Stripe_Raw!$I$4:$I$5003,"Paid")</f>
        <v>4472.02</v>
      </c>
      <c r="E14" s="119" t="n">
        <f aca="false">SUMIFS(Bank_Raw!$D$4:$D$5003,Bank_Raw!$G$4:$G$5003,$A14,Bank_Raw!$A$4:$A$5003,"&gt;="&amp;DATEVALUE("1-"&amp;$B14),Bank_Raw!$A$4:$A$5003,"&lt;"&amp;EDATE(DATEVALUE("1-"&amp;$B14),1))</f>
        <v>0</v>
      </c>
      <c r="F14" s="55" t="n">
        <f aca="false">D14+E14</f>
        <v>4472.02</v>
      </c>
      <c r="G14" s="120" t="n">
        <f aca="false">C14-F14</f>
        <v>-889.710000000001</v>
      </c>
      <c r="H14" s="121" t="n">
        <f aca="false">IFERROR(F14/C14,"-")</f>
        <v>1.24836209038302</v>
      </c>
    </row>
    <row r="15" customFormat="false" ht="15" hidden="false" customHeight="false" outlineLevel="0" collapsed="false">
      <c r="A15" s="41" t="s">
        <v>178</v>
      </c>
      <c r="B15" s="41" t="s">
        <v>306</v>
      </c>
      <c r="C15" s="119" t="n">
        <f aca="false">SUMIFS(Meta_Invoices!$E$5012:$E$5029,Meta_Invoices!$A$5012:$A$5029,$A15,Meta_Invoices!$B$5012:$B$5029,$B15)</f>
        <v>7625.47</v>
      </c>
      <c r="D15" s="119" t="n">
        <f aca="false">SUMIFS(Stripe_Raw!$G$4:$G$5003,Stripe_Raw!$B$4:$B$5003,$A15,Stripe_Raw!$C$4:$C$5003,"*Meta*",Stripe_Raw!$A$4:$A$5003,"&gt;="&amp;DATEVALUE("1-"&amp;$B15),Stripe_Raw!$A$4:$A$5003,"&lt;"&amp;EDATE(DATEVALUE("1-"&amp;$B15),1),Stripe_Raw!$I$4:$I$5003,"Paid")</f>
        <v>0</v>
      </c>
      <c r="E15" s="119" t="n">
        <f aca="false">SUMIFS(Bank_Raw!$D$4:$D$5003,Bank_Raw!$G$4:$G$5003,$A15,Bank_Raw!$A$4:$A$5003,"&gt;="&amp;DATEVALUE("1-"&amp;$B15),Bank_Raw!$A$4:$A$5003,"&lt;"&amp;EDATE(DATEVALUE("1-"&amp;$B15),1))</f>
        <v>0</v>
      </c>
      <c r="F15" s="55" t="n">
        <f aca="false">D15+E15</f>
        <v>0</v>
      </c>
      <c r="G15" s="120" t="n">
        <f aca="false">C15-F15</f>
        <v>7625.47</v>
      </c>
      <c r="H15" s="121" t="n">
        <f aca="false">IFERROR(F15/C15,"-")</f>
        <v>0</v>
      </c>
    </row>
    <row r="16" customFormat="false" ht="15" hidden="false" customHeight="false" outlineLevel="0" collapsed="false">
      <c r="A16" s="41" t="s">
        <v>156</v>
      </c>
      <c r="B16" s="41" t="s">
        <v>306</v>
      </c>
      <c r="C16" s="119" t="n">
        <f aca="false">SUMIFS(Meta_Invoices!$E$5012:$E$5029,Meta_Invoices!$A$5012:$A$5029,$A16,Meta_Invoices!$B$5012:$B$5029,$B16)</f>
        <v>3583.34</v>
      </c>
      <c r="D16" s="119" t="n">
        <f aca="false">SUMIFS(Stripe_Raw!$G$4:$G$5003,Stripe_Raw!$B$4:$B$5003,$A16,Stripe_Raw!$C$4:$C$5003,"*Meta*",Stripe_Raw!$A$4:$A$5003,"&gt;="&amp;DATEVALUE("1-"&amp;$B16),Stripe_Raw!$A$4:$A$5003,"&lt;"&amp;EDATE(DATEVALUE("1-"&amp;$B16),1),Stripe_Raw!$I$4:$I$5003,"Paid")</f>
        <v>0</v>
      </c>
      <c r="E16" s="119" t="n">
        <f aca="false">SUMIFS(Bank_Raw!$D$4:$D$5003,Bank_Raw!$G$4:$G$5003,$A16,Bank_Raw!$A$4:$A$5003,"&gt;="&amp;DATEVALUE("1-"&amp;$B16),Bank_Raw!$A$4:$A$5003,"&lt;"&amp;EDATE(DATEVALUE("1-"&amp;$B16),1))</f>
        <v>0</v>
      </c>
      <c r="F16" s="55" t="n">
        <f aca="false">D16+E16</f>
        <v>0</v>
      </c>
      <c r="G16" s="120" t="n">
        <f aca="false">C16-F16</f>
        <v>3583.34</v>
      </c>
      <c r="H16" s="121" t="n">
        <f aca="false">IFERROR(F16/C16,"-")</f>
        <v>0</v>
      </c>
    </row>
    <row r="17" customFormat="false" ht="15" hidden="false" customHeight="false" outlineLevel="0" collapsed="false">
      <c r="A17" s="41" t="s">
        <v>168</v>
      </c>
      <c r="B17" s="41" t="s">
        <v>307</v>
      </c>
      <c r="C17" s="119" t="n">
        <f aca="false">SUMIFS(Meta_Invoices!$E$5012:$E$5029,Meta_Invoices!$A$5012:$A$5029,$A17,Meta_Invoices!$B$5012:$B$5029,$B17)</f>
        <v>1035.81</v>
      </c>
      <c r="D17" s="119" t="n">
        <f aca="false">SUMIFS(Stripe_Raw!$G$4:$G$5003,Stripe_Raw!$B$4:$B$5003,$A17,Stripe_Raw!$C$4:$C$5003,"*Meta*",Stripe_Raw!$A$4:$A$5003,"&gt;="&amp;DATEVALUE("1-"&amp;$B17),Stripe_Raw!$A$4:$A$5003,"&lt;"&amp;EDATE(DATEVALUE("1-"&amp;$B17),1),Stripe_Raw!$I$4:$I$5003,"Paid")</f>
        <v>4499.32</v>
      </c>
      <c r="E17" s="119" t="n">
        <f aca="false">SUMIFS(Bank_Raw!$D$4:$D$5003,Bank_Raw!$G$4:$G$5003,$A17,Bank_Raw!$A$4:$A$5003,"&gt;="&amp;DATEVALUE("1-"&amp;$B17),Bank_Raw!$A$4:$A$5003,"&lt;"&amp;EDATE(DATEVALUE("1-"&amp;$B17),1))</f>
        <v>0</v>
      </c>
      <c r="F17" s="55" t="n">
        <f aca="false">D17+E17</f>
        <v>4499.32</v>
      </c>
      <c r="G17" s="120" t="n">
        <f aca="false">C17-F17</f>
        <v>-3463.51</v>
      </c>
      <c r="H17" s="121" t="n">
        <f aca="false">IFERROR(F17/C17,"-")</f>
        <v>4.34376961025671</v>
      </c>
    </row>
    <row r="18" customFormat="false" ht="15" hidden="false" customHeight="false" outlineLevel="0" collapsed="false">
      <c r="A18" s="41" t="s">
        <v>144</v>
      </c>
      <c r="B18" s="41" t="s">
        <v>307</v>
      </c>
      <c r="C18" s="119" t="n">
        <f aca="false">SUMIFS(Meta_Invoices!$E$5012:$E$5029,Meta_Invoices!$A$5012:$A$5029,$A18,Meta_Invoices!$B$5012:$B$5029,$B18)</f>
        <v>7398.52</v>
      </c>
      <c r="D18" s="119" t="n">
        <f aca="false">SUMIFS(Stripe_Raw!$G$4:$G$5003,Stripe_Raw!$B$4:$B$5003,$A18,Stripe_Raw!$C$4:$C$5003,"*Meta*",Stripe_Raw!$A$4:$A$5003,"&gt;="&amp;DATEVALUE("1-"&amp;$B18),Stripe_Raw!$A$4:$A$5003,"&lt;"&amp;EDATE(DATEVALUE("1-"&amp;$B18),1),Stripe_Raw!$I$4:$I$5003,"Paid")</f>
        <v>806.74</v>
      </c>
      <c r="E18" s="119" t="n">
        <f aca="false">SUMIFS(Bank_Raw!$D$4:$D$5003,Bank_Raw!$G$4:$G$5003,$A18,Bank_Raw!$A$4:$A$5003,"&gt;="&amp;DATEVALUE("1-"&amp;$B18),Bank_Raw!$A$4:$A$5003,"&lt;"&amp;EDATE(DATEVALUE("1-"&amp;$B18),1))</f>
        <v>0</v>
      </c>
      <c r="F18" s="55" t="n">
        <f aca="false">D18+E18</f>
        <v>806.74</v>
      </c>
      <c r="G18" s="120" t="n">
        <f aca="false">C18-F18</f>
        <v>6591.78</v>
      </c>
      <c r="H18" s="121" t="n">
        <f aca="false">IFERROR(F18/C18,"-")</f>
        <v>0.109040727064332</v>
      </c>
    </row>
    <row r="19" customFormat="false" ht="15" hidden="false" customHeight="false" outlineLevel="0" collapsed="false">
      <c r="A19" s="41" t="s">
        <v>150</v>
      </c>
      <c r="B19" s="41" t="s">
        <v>307</v>
      </c>
      <c r="C19" s="119" t="n">
        <f aca="false">SUMIFS(Meta_Invoices!$E$5012:$E$5029,Meta_Invoices!$A$5012:$A$5029,$A19,Meta_Invoices!$B$5012:$B$5029,$B19)</f>
        <v>2191.35</v>
      </c>
      <c r="D19" s="119" t="n">
        <f aca="false">SUMIFS(Stripe_Raw!$G$4:$G$5003,Stripe_Raw!$B$4:$B$5003,$A19,Stripe_Raw!$C$4:$C$5003,"*Meta*",Stripe_Raw!$A$4:$A$5003,"&gt;="&amp;DATEVALUE("1-"&amp;$B19),Stripe_Raw!$A$4:$A$5003,"&lt;"&amp;EDATE(DATEVALUE("1-"&amp;$B19),1),Stripe_Raw!$I$4:$I$5003,"Paid")</f>
        <v>1427.97</v>
      </c>
      <c r="E19" s="119" t="n">
        <f aca="false">SUMIFS(Bank_Raw!$D$4:$D$5003,Bank_Raw!$G$4:$G$5003,$A19,Bank_Raw!$A$4:$A$5003,"&gt;="&amp;DATEVALUE("1-"&amp;$B19),Bank_Raw!$A$4:$A$5003,"&lt;"&amp;EDATE(DATEVALUE("1-"&amp;$B19),1))</f>
        <v>0</v>
      </c>
      <c r="F19" s="55" t="n">
        <f aca="false">D19+E19</f>
        <v>1427.97</v>
      </c>
      <c r="G19" s="120" t="n">
        <f aca="false">C19-F19</f>
        <v>763.38</v>
      </c>
      <c r="H19" s="121" t="n">
        <f aca="false">IFERROR(F19/C19,"-")</f>
        <v>0.651639400369635</v>
      </c>
    </row>
    <row r="20" customFormat="false" ht="15" hidden="false" customHeight="false" outlineLevel="0" collapsed="false">
      <c r="A20" s="41" t="s">
        <v>152</v>
      </c>
      <c r="B20" s="41" t="s">
        <v>307</v>
      </c>
      <c r="C20" s="119" t="n">
        <f aca="false">SUMIFS(Meta_Invoices!$E$5012:$E$5029,Meta_Invoices!$A$5012:$A$5029,$A20,Meta_Invoices!$B$5012:$B$5029,$B20)</f>
        <v>990.96</v>
      </c>
      <c r="D20" s="119" t="n">
        <f aca="false">SUMIFS(Stripe_Raw!$G$4:$G$5003,Stripe_Raw!$B$4:$B$5003,$A20,Stripe_Raw!$C$4:$C$5003,"*Meta*",Stripe_Raw!$A$4:$A$5003,"&gt;="&amp;DATEVALUE("1-"&amp;$B20),Stripe_Raw!$A$4:$A$5003,"&lt;"&amp;EDATE(DATEVALUE("1-"&amp;$B20),1),Stripe_Raw!$I$4:$I$5003,"Paid")</f>
        <v>1018.49</v>
      </c>
      <c r="E20" s="119" t="n">
        <f aca="false">SUMIFS(Bank_Raw!$D$4:$D$5003,Bank_Raw!$G$4:$G$5003,$A20,Bank_Raw!$A$4:$A$5003,"&gt;="&amp;DATEVALUE("1-"&amp;$B20),Bank_Raw!$A$4:$A$5003,"&lt;"&amp;EDATE(DATEVALUE("1-"&amp;$B20),1))</f>
        <v>0</v>
      </c>
      <c r="F20" s="55" t="n">
        <f aca="false">D20+E20</f>
        <v>1018.49</v>
      </c>
      <c r="G20" s="120" t="n">
        <f aca="false">C20-F20</f>
        <v>-27.53</v>
      </c>
      <c r="H20" s="121" t="n">
        <f aca="false">IFERROR(F20/C20,"-")</f>
        <v>1.02778114151933</v>
      </c>
    </row>
    <row r="21" customFormat="false" ht="15" hidden="false" customHeight="false" outlineLevel="0" collapsed="false">
      <c r="A21" s="41" t="s">
        <v>178</v>
      </c>
      <c r="B21" s="41" t="s">
        <v>307</v>
      </c>
      <c r="C21" s="119" t="n">
        <f aca="false">SUMIFS(Meta_Invoices!$E$5012:$E$5029,Meta_Invoices!$A$5012:$A$5029,$A21,Meta_Invoices!$B$5012:$B$5029,$B21)</f>
        <v>2080.91</v>
      </c>
      <c r="D21" s="119" t="n">
        <f aca="false">SUMIFS(Stripe_Raw!$G$4:$G$5003,Stripe_Raw!$B$4:$B$5003,$A21,Stripe_Raw!$C$4:$C$5003,"*Meta*",Stripe_Raw!$A$4:$A$5003,"&gt;="&amp;DATEVALUE("1-"&amp;$B21),Stripe_Raw!$A$4:$A$5003,"&lt;"&amp;EDATE(DATEVALUE("1-"&amp;$B21),1),Stripe_Raw!$I$4:$I$5003,"Paid")</f>
        <v>0</v>
      </c>
      <c r="E21" s="119" t="n">
        <f aca="false">SUMIFS(Bank_Raw!$D$4:$D$5003,Bank_Raw!$G$4:$G$5003,$A21,Bank_Raw!$A$4:$A$5003,"&gt;="&amp;DATEVALUE("1-"&amp;$B21),Bank_Raw!$A$4:$A$5003,"&lt;"&amp;EDATE(DATEVALUE("1-"&amp;$B21),1))</f>
        <v>0</v>
      </c>
      <c r="F21" s="55" t="n">
        <f aca="false">D21+E21</f>
        <v>0</v>
      </c>
      <c r="G21" s="120" t="n">
        <f aca="false">C21-F21</f>
        <v>2080.91</v>
      </c>
      <c r="H21" s="121" t="n">
        <f aca="false">IFERROR(F21/C21,"-")</f>
        <v>0</v>
      </c>
    </row>
    <row r="22" customFormat="false" ht="15" hidden="false" customHeight="false" outlineLevel="0" collapsed="false">
      <c r="A22" s="41" t="s">
        <v>156</v>
      </c>
      <c r="B22" s="41" t="s">
        <v>307</v>
      </c>
      <c r="C22" s="119" t="n">
        <f aca="false">SUMIFS(Meta_Invoices!$E$5012:$E$5029,Meta_Invoices!$A$5012:$A$5029,$A22,Meta_Invoices!$B$5012:$B$5029,$B22)</f>
        <v>2729.9</v>
      </c>
      <c r="D22" s="119" t="n">
        <f aca="false">SUMIFS(Stripe_Raw!$G$4:$G$5003,Stripe_Raw!$B$4:$B$5003,$A22,Stripe_Raw!$C$4:$C$5003,"*Meta*",Stripe_Raw!$A$4:$A$5003,"&gt;="&amp;DATEVALUE("1-"&amp;$B22),Stripe_Raw!$A$4:$A$5003,"&lt;"&amp;EDATE(DATEVALUE("1-"&amp;$B22),1),Stripe_Raw!$I$4:$I$5003,"Paid")</f>
        <v>0</v>
      </c>
      <c r="E22" s="119" t="n">
        <f aca="false">SUMIFS(Bank_Raw!$D$4:$D$5003,Bank_Raw!$G$4:$G$5003,$A22,Bank_Raw!$A$4:$A$5003,"&gt;="&amp;DATEVALUE("1-"&amp;$B22),Bank_Raw!$A$4:$A$5003,"&lt;"&amp;EDATE(DATEVALUE("1-"&amp;$B22),1))</f>
        <v>0</v>
      </c>
      <c r="F22" s="55" t="n">
        <f aca="false">D22+E22</f>
        <v>0</v>
      </c>
      <c r="G22" s="120" t="n">
        <f aca="false">C22-F22</f>
        <v>2729.9</v>
      </c>
      <c r="H22" s="121" t="n">
        <f aca="false">IFERROR(F22/C22,"-")</f>
        <v>0</v>
      </c>
    </row>
    <row r="23" customFormat="false" ht="15" hidden="false" customHeight="false" outlineLevel="0" collapsed="false">
      <c r="A23" s="122" t="s">
        <v>796</v>
      </c>
      <c r="B23" s="123"/>
      <c r="C23" s="124" t="n">
        <f aca="false">SUM(C5:C22)</f>
        <v>65447.8</v>
      </c>
      <c r="D23" s="124" t="n">
        <f aca="false">SUM(D5:D22)</f>
        <v>35831.4</v>
      </c>
      <c r="E23" s="124" t="n">
        <f aca="false">SUM(E5:E22)</f>
        <v>55679.08</v>
      </c>
      <c r="F23" s="124" t="n">
        <f aca="false">SUM(F5:F22)</f>
        <v>91510.48</v>
      </c>
      <c r="G23" s="124" t="n">
        <f aca="false">SUM(G5:G22)</f>
        <v>-26062.68</v>
      </c>
      <c r="H23" s="125" t="n">
        <f aca="false">IFERROR(F23/C23,"-")</f>
        <v>1.39822087220655</v>
      </c>
    </row>
    <row r="26" customFormat="false" ht="15" hidden="false" customHeight="false" outlineLevel="0" collapsed="false">
      <c r="A26" s="126" t="s">
        <v>797</v>
      </c>
    </row>
    <row r="27" customFormat="false" ht="21.75" hidden="false" customHeight="true" outlineLevel="0" collapsed="false">
      <c r="A27" s="127" t="s">
        <v>127</v>
      </c>
      <c r="B27" s="127" t="s">
        <v>798</v>
      </c>
      <c r="C27" s="127" t="s">
        <v>793</v>
      </c>
      <c r="D27" s="127" t="s">
        <v>794</v>
      </c>
      <c r="E27" s="127" t="s">
        <v>795</v>
      </c>
    </row>
    <row r="28" customFormat="false" ht="15" hidden="false" customHeight="false" outlineLevel="0" collapsed="false">
      <c r="A28" s="41" t="s">
        <v>168</v>
      </c>
      <c r="B28" s="54" t="n">
        <f aca="false">SUMIFS($C$5:$C$22,$A$5:$A$22,A28)</f>
        <v>11803.04</v>
      </c>
      <c r="C28" s="54" t="n">
        <f aca="false">SUMIFS($F$5:$F$22,$A$5:$A$22,A28)</f>
        <v>11551.29</v>
      </c>
      <c r="D28" s="120" t="n">
        <f aca="false">B28-C28</f>
        <v>251.75</v>
      </c>
      <c r="E28" s="121" t="n">
        <f aca="false">IFERROR(C28/B28,"-")</f>
        <v>0.978670749230707</v>
      </c>
    </row>
    <row r="29" customFormat="false" ht="15" hidden="false" customHeight="false" outlineLevel="0" collapsed="false">
      <c r="A29" s="41" t="s">
        <v>144</v>
      </c>
      <c r="B29" s="54" t="n">
        <f aca="false">SUMIFS($C$5:$C$22,$A$5:$A$22,A29)</f>
        <v>15862.47</v>
      </c>
      <c r="C29" s="54" t="n">
        <f aca="false">SUMIFS($F$5:$F$22,$A$5:$A$22,A29)</f>
        <v>18915.42</v>
      </c>
      <c r="D29" s="120" t="n">
        <f aca="false">B29-C29</f>
        <v>-3052.95</v>
      </c>
      <c r="E29" s="121" t="n">
        <f aca="false">IFERROR(C29/B29,"-")</f>
        <v>1.19246372097158</v>
      </c>
    </row>
    <row r="30" customFormat="false" ht="15" hidden="false" customHeight="false" outlineLevel="0" collapsed="false">
      <c r="A30" s="41" t="s">
        <v>150</v>
      </c>
      <c r="B30" s="54" t="n">
        <f aca="false">SUMIFS($C$5:$C$22,$A$5:$A$22,A30)</f>
        <v>8523.54</v>
      </c>
      <c r="C30" s="54" t="n">
        <f aca="false">SUMIFS($F$5:$F$22,$A$5:$A$22,A30)</f>
        <v>53400.48</v>
      </c>
      <c r="D30" s="120" t="n">
        <f aca="false">B30-C30</f>
        <v>-44876.94</v>
      </c>
      <c r="E30" s="121" t="n">
        <f aca="false">IFERROR(C30/B30,"-")</f>
        <v>6.26505888398482</v>
      </c>
    </row>
    <row r="31" customFormat="false" ht="15" hidden="false" customHeight="false" outlineLevel="0" collapsed="false">
      <c r="A31" s="41" t="s">
        <v>152</v>
      </c>
      <c r="B31" s="54" t="n">
        <f aca="false">SUMIFS($C$5:$C$22,$A$5:$A$22,A31)</f>
        <v>7141.51</v>
      </c>
      <c r="C31" s="54" t="n">
        <f aca="false">SUMIFS($F$5:$F$22,$A$5:$A$22,A31)</f>
        <v>7643.29</v>
      </c>
      <c r="D31" s="120" t="n">
        <f aca="false">B31-C31</f>
        <v>-501.780000000001</v>
      </c>
      <c r="E31" s="121" t="n">
        <f aca="false">IFERROR(C31/B31,"-")</f>
        <v>1.07026245149835</v>
      </c>
    </row>
    <row r="32" customFormat="false" ht="15" hidden="false" customHeight="false" outlineLevel="0" collapsed="false">
      <c r="A32" s="41" t="s">
        <v>178</v>
      </c>
      <c r="B32" s="54" t="n">
        <f aca="false">SUMIFS($C$5:$C$22,$A$5:$A$22,A32)</f>
        <v>12207.42</v>
      </c>
      <c r="C32" s="54" t="n">
        <f aca="false">SUMIFS($F$5:$F$22,$A$5:$A$22,A32)</f>
        <v>0</v>
      </c>
      <c r="D32" s="120" t="n">
        <f aca="false">B32-C32</f>
        <v>12207.42</v>
      </c>
      <c r="E32" s="121" t="n">
        <f aca="false">IFERROR(C32/B32,"-")</f>
        <v>0</v>
      </c>
    </row>
    <row r="33" customFormat="false" ht="15" hidden="false" customHeight="false" outlineLevel="0" collapsed="false">
      <c r="A33" s="41" t="s">
        <v>156</v>
      </c>
      <c r="B33" s="54" t="n">
        <f aca="false">SUMIFS($C$5:$C$22,$A$5:$A$22,A33)</f>
        <v>9909.82</v>
      </c>
      <c r="C33" s="54" t="n">
        <f aca="false">SUMIFS($F$5:$F$22,$A$5:$A$22,A33)</f>
        <v>0</v>
      </c>
      <c r="D33" s="120" t="n">
        <f aca="false">B33-C33</f>
        <v>9909.82</v>
      </c>
      <c r="E33" s="121" t="n">
        <f aca="false">IFERROR(C33/B33,"-")</f>
        <v>0</v>
      </c>
    </row>
    <row r="34" customFormat="false" ht="15" hidden="false" customHeight="false" outlineLevel="0" collapsed="false">
      <c r="A34" s="122" t="s">
        <v>796</v>
      </c>
      <c r="B34" s="124" t="n">
        <f aca="false">SUM(B28:B33)</f>
        <v>65447.8</v>
      </c>
      <c r="C34" s="124" t="n">
        <f aca="false">SUM(C28:C33)</f>
        <v>91510.48</v>
      </c>
      <c r="D34" s="124" t="n">
        <f aca="false">SUM(D28:D33)</f>
        <v>-26062.68</v>
      </c>
      <c r="E34" s="125" t="n">
        <f aca="false">IFERROR(C34/B34,"-")</f>
        <v>1.39822087220655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S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15"/>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18" min="7" style="0" width="8"/>
  </cols>
  <sheetData>
    <row r="1" customFormat="false" ht="16.15" hidden="false" customHeight="false" outlineLevel="0" collapsed="false">
      <c r="A1" s="118" t="s">
        <v>799</v>
      </c>
      <c r="B1" s="118"/>
      <c r="C1" s="118"/>
      <c r="D1" s="118"/>
      <c r="E1" s="118"/>
      <c r="F1" s="118"/>
      <c r="G1" s="118"/>
      <c r="H1" s="118"/>
      <c r="I1" s="118"/>
      <c r="J1" s="118"/>
      <c r="K1" s="118"/>
      <c r="L1" s="118"/>
      <c r="M1" s="118"/>
      <c r="N1" s="118"/>
      <c r="O1" s="118"/>
      <c r="P1" s="118"/>
      <c r="Q1" s="118"/>
      <c r="R1" s="118"/>
      <c r="S1" s="118"/>
    </row>
    <row r="2" customFormat="false" ht="42" hidden="false" customHeight="true" outlineLevel="0" collapsed="false">
      <c r="A2" s="116" t="s">
        <v>800</v>
      </c>
      <c r="B2" s="116"/>
      <c r="C2" s="116"/>
      <c r="D2" s="116"/>
      <c r="E2" s="116"/>
      <c r="F2" s="116"/>
      <c r="G2" s="116"/>
      <c r="H2" s="116"/>
      <c r="I2" s="116"/>
      <c r="J2" s="116"/>
      <c r="K2" s="116"/>
      <c r="L2" s="116"/>
      <c r="M2" s="116"/>
      <c r="N2" s="116"/>
      <c r="O2" s="116"/>
      <c r="P2" s="116"/>
      <c r="Q2" s="116"/>
      <c r="R2" s="116"/>
      <c r="S2" s="116"/>
    </row>
    <row r="4" customFormat="false" ht="30" hidden="false" customHeight="true" outlineLevel="0" collapsed="false">
      <c r="A4" s="128" t="s">
        <v>127</v>
      </c>
      <c r="B4" s="128" t="s">
        <v>801</v>
      </c>
      <c r="C4" s="128" t="s">
        <v>802</v>
      </c>
      <c r="D4" s="128" t="s">
        <v>803</v>
      </c>
      <c r="E4" s="128" t="s">
        <v>804</v>
      </c>
      <c r="F4" s="128" t="s">
        <v>805</v>
      </c>
      <c r="G4" s="128" t="s">
        <v>806</v>
      </c>
      <c r="H4" s="128" t="s">
        <v>807</v>
      </c>
      <c r="I4" s="128" t="s">
        <v>808</v>
      </c>
      <c r="J4" s="128" t="s">
        <v>809</v>
      </c>
      <c r="K4" s="128" t="s">
        <v>810</v>
      </c>
      <c r="L4" s="128" t="s">
        <v>811</v>
      </c>
      <c r="M4" s="128" t="s">
        <v>812</v>
      </c>
      <c r="N4" s="128" t="s">
        <v>813</v>
      </c>
      <c r="O4" s="128" t="s">
        <v>814</v>
      </c>
      <c r="P4" s="128" t="s">
        <v>815</v>
      </c>
      <c r="Q4" s="128" t="s">
        <v>816</v>
      </c>
      <c r="R4" s="128" t="s">
        <v>817</v>
      </c>
    </row>
    <row r="5" customFormat="false" ht="15" hidden="false" customHeight="false" outlineLevel="0" collapsed="false">
      <c r="A5" s="39" t="s">
        <v>168</v>
      </c>
      <c r="B5" s="39" t="s">
        <v>731</v>
      </c>
      <c r="C5" s="40" t="n">
        <v>7375.79</v>
      </c>
      <c r="D5" s="39" t="s">
        <v>818</v>
      </c>
      <c r="E5" s="38" t="n">
        <v>46116</v>
      </c>
      <c r="F5" s="129" t="n">
        <f aca="true">EDATE($E5,DATEDIF($E5,TODAY(),"m")+1)</f>
        <v>46207</v>
      </c>
      <c r="G5" s="130" t="str">
        <f aca="false">IF($A5="","",IF((DATE(YEAR($E5),MONTH($E5),1)&lt;=DATE(2026,4,1)),IF((MOD(DATEDIF(DATE(YEAR($E5),MONTH($E5),1),DATE(2026,4,1),"m"),IF($D5="Quarterly",3,IF($D5="Annual",12,1)))=0),IF((COUNTIFS(Xero_Raw!$D$4:$D$5003,$A5,Xero_Raw!$G$4:$G$5003,"*Subscription*",Xero_Raw!$A$4:$A$5003,"&gt;="&amp;DATE(2026,4,1),Xero_Raw!$A$4:$A$5003,"&lt;"&amp;EDATE(DATE(2026,4,1),1))+COUNTIFS(Customer_Invoices_Upload!$E$4:$E$5003,$A5,Customer_Invoices_Upload!$G$4:$G$5003,"*Subscription*",Customer_Invoices_Upload!$B$4:$B$5003,"&gt;="&amp;DATE(2026,4,1),Customer_Invoices_Upload!$B$4:$B$5003,"&lt;"&amp;EDATE(DATE(2026,4,1),1))+COUNTIFS(Stripe_Invoices_Upload!$D$4:$D$5003,$A5,Stripe_Invoices_Upload!$E$4:$E$5003,"*Subscription*",Stripe_Invoices_Upload!$A$4:$A$5003,"&gt;="&amp;DATE(2026,4,1),Stripe_Invoices_Upload!$A$4:$A$5003,"&lt;"&amp;EDATE(DATE(2026,4,1),1)))&gt;0,"✓ Invoiced","⚠ Due"),""),""))</f>
        <v>✓ Invoiced</v>
      </c>
      <c r="H5" s="130" t="str">
        <f aca="false">IF($A5="","",IF((DATE(YEAR($E5),MONTH($E5),1)&lt;=DATE(2026,5,1)),IF((MOD(DATEDIF(DATE(YEAR($E5),MONTH($E5),1),DATE(2026,5,1),"m"),IF($D5="Quarterly",3,IF($D5="Annual",12,1)))=0),IF((COUNTIFS(Xero_Raw!$D$4:$D$5003,$A5,Xero_Raw!$G$4:$G$5003,"*Subscription*",Xero_Raw!$A$4:$A$5003,"&gt;="&amp;DATE(2026,5,1),Xero_Raw!$A$4:$A$5003,"&lt;"&amp;EDATE(DATE(2026,5,1),1))+COUNTIFS(Customer_Invoices_Upload!$E$4:$E$5003,$A5,Customer_Invoices_Upload!$G$4:$G$5003,"*Subscription*",Customer_Invoices_Upload!$B$4:$B$5003,"&gt;="&amp;DATE(2026,5,1),Customer_Invoices_Upload!$B$4:$B$5003,"&lt;"&amp;EDATE(DATE(2026,5,1),1))+COUNTIFS(Stripe_Invoices_Upload!$D$4:$D$5003,$A5,Stripe_Invoices_Upload!$E$4:$E$5003,"*Subscription*",Stripe_Invoices_Upload!$A$4:$A$5003,"&gt;="&amp;DATE(2026,5,1),Stripe_Invoices_Upload!$A$4:$A$5003,"&lt;"&amp;EDATE(DATE(2026,5,1),1)))&gt;0,"✓ Invoiced","⚠ Due"),""),""))</f>
        <v>⚠ Due</v>
      </c>
      <c r="I5" s="130" t="str">
        <f aca="false">IF($A5="","",IF((DATE(YEAR($E5),MONTH($E5),1)&lt;=DATE(2026,6,1)),IF((MOD(DATEDIF(DATE(YEAR($E5),MONTH($E5),1),DATE(2026,6,1),"m"),IF($D5="Quarterly",3,IF($D5="Annual",12,1)))=0),IF((COUNTIFS(Xero_Raw!$D$4:$D$5003,$A5,Xero_Raw!$G$4:$G$5003,"*Subscription*",Xero_Raw!$A$4:$A$5003,"&gt;="&amp;DATE(2026,6,1),Xero_Raw!$A$4:$A$5003,"&lt;"&amp;EDATE(DATE(2026,6,1),1))+COUNTIFS(Customer_Invoices_Upload!$E$4:$E$5003,$A5,Customer_Invoices_Upload!$G$4:$G$5003,"*Subscription*",Customer_Invoices_Upload!$B$4:$B$5003,"&gt;="&amp;DATE(2026,6,1),Customer_Invoices_Upload!$B$4:$B$5003,"&lt;"&amp;EDATE(DATE(2026,6,1),1))+COUNTIFS(Stripe_Invoices_Upload!$D$4:$D$5003,$A5,Stripe_Invoices_Upload!$E$4:$E$5003,"*Subscription*",Stripe_Invoices_Upload!$A$4:$A$5003,"&gt;="&amp;DATE(2026,6,1),Stripe_Invoices_Upload!$A$4:$A$5003,"&lt;"&amp;EDATE(DATE(2026,6,1),1)))&gt;0,"✓ Invoiced","⚠ Due"),""),""))</f>
        <v>⚠ Due</v>
      </c>
      <c r="J5" s="130" t="str">
        <f aca="false">IF($A5="","",IF((DATE(YEAR($E5),MONTH($E5),1)&lt;=DATE(2026,7,1)),IF((MOD(DATEDIF(DATE(YEAR($E5),MONTH($E5),1),DATE(2026,7,1),"m"),IF($D5="Quarterly",3,IF($D5="Annual",12,1)))=0),IF((COUNTIFS(Xero_Raw!$D$4:$D$5003,$A5,Xero_Raw!$G$4:$G$5003,"*Subscription*",Xero_Raw!$A$4:$A$5003,"&gt;="&amp;DATE(2026,7,1),Xero_Raw!$A$4:$A$5003,"&lt;"&amp;EDATE(DATE(2026,7,1),1))+COUNTIFS(Customer_Invoices_Upload!$E$4:$E$5003,$A5,Customer_Invoices_Upload!$G$4:$G$5003,"*Subscription*",Customer_Invoices_Upload!$B$4:$B$5003,"&gt;="&amp;DATE(2026,7,1),Customer_Invoices_Upload!$B$4:$B$5003,"&lt;"&amp;EDATE(DATE(2026,7,1),1))+COUNTIFS(Stripe_Invoices_Upload!$D$4:$D$5003,$A5,Stripe_Invoices_Upload!$E$4:$E$5003,"*Subscription*",Stripe_Invoices_Upload!$A$4:$A$5003,"&gt;="&amp;DATE(2026,7,1),Stripe_Invoices_Upload!$A$4:$A$5003,"&lt;"&amp;EDATE(DATE(2026,7,1),1)))&gt;0,"✓ Invoiced","⚠ Due"),""),""))</f>
        <v>⚠ Due</v>
      </c>
      <c r="K5" s="130" t="str">
        <f aca="false">IF($A5="","",IF((DATE(YEAR($E5),MONTH($E5),1)&lt;=DATE(2026,8,1)),IF((MOD(DATEDIF(DATE(YEAR($E5),MONTH($E5),1),DATE(2026,8,1),"m"),IF($D5="Quarterly",3,IF($D5="Annual",12,1)))=0),IF((COUNTIFS(Xero_Raw!$D$4:$D$5003,$A5,Xero_Raw!$G$4:$G$5003,"*Subscription*",Xero_Raw!$A$4:$A$5003,"&gt;="&amp;DATE(2026,8,1),Xero_Raw!$A$4:$A$5003,"&lt;"&amp;EDATE(DATE(2026,8,1),1))+COUNTIFS(Customer_Invoices_Upload!$E$4:$E$5003,$A5,Customer_Invoices_Upload!$G$4:$G$5003,"*Subscription*",Customer_Invoices_Upload!$B$4:$B$5003,"&gt;="&amp;DATE(2026,8,1),Customer_Invoices_Upload!$B$4:$B$5003,"&lt;"&amp;EDATE(DATE(2026,8,1),1))+COUNTIFS(Stripe_Invoices_Upload!$D$4:$D$5003,$A5,Stripe_Invoices_Upload!$E$4:$E$5003,"*Subscription*",Stripe_Invoices_Upload!$A$4:$A$5003,"&gt;="&amp;DATE(2026,8,1),Stripe_Invoices_Upload!$A$4:$A$5003,"&lt;"&amp;EDATE(DATE(2026,8,1),1)))&gt;0,"✓ Invoiced","⚠ Due"),""),""))</f>
        <v>⚠ Due</v>
      </c>
      <c r="L5" s="130" t="str">
        <f aca="false">IF($A5="","",IF((DATE(YEAR($E5),MONTH($E5),1)&lt;=DATE(2026,9,1)),IF((MOD(DATEDIF(DATE(YEAR($E5),MONTH($E5),1),DATE(2026,9,1),"m"),IF($D5="Quarterly",3,IF($D5="Annual",12,1)))=0),IF((COUNTIFS(Xero_Raw!$D$4:$D$5003,$A5,Xero_Raw!$G$4:$G$5003,"*Subscription*",Xero_Raw!$A$4:$A$5003,"&gt;="&amp;DATE(2026,9,1),Xero_Raw!$A$4:$A$5003,"&lt;"&amp;EDATE(DATE(2026,9,1),1))+COUNTIFS(Customer_Invoices_Upload!$E$4:$E$5003,$A5,Customer_Invoices_Upload!$G$4:$G$5003,"*Subscription*",Customer_Invoices_Upload!$B$4:$B$5003,"&gt;="&amp;DATE(2026,9,1),Customer_Invoices_Upload!$B$4:$B$5003,"&lt;"&amp;EDATE(DATE(2026,9,1),1))+COUNTIFS(Stripe_Invoices_Upload!$D$4:$D$5003,$A5,Stripe_Invoices_Upload!$E$4:$E$5003,"*Subscription*",Stripe_Invoices_Upload!$A$4:$A$5003,"&gt;="&amp;DATE(2026,9,1),Stripe_Invoices_Upload!$A$4:$A$5003,"&lt;"&amp;EDATE(DATE(2026,9,1),1)))&gt;0,"✓ Invoiced","⚠ Due"),""),""))</f>
        <v>⚠ Due</v>
      </c>
      <c r="M5" s="130" t="str">
        <f aca="false">IF($A5="","",IF((DATE(YEAR($E5),MONTH($E5),1)&lt;=DATE(2026,10,1)),IF((MOD(DATEDIF(DATE(YEAR($E5),MONTH($E5),1),DATE(2026,10,1),"m"),IF($D5="Quarterly",3,IF($D5="Annual",12,1)))=0),IF((COUNTIFS(Xero_Raw!$D$4:$D$5003,$A5,Xero_Raw!$G$4:$G$5003,"*Subscription*",Xero_Raw!$A$4:$A$5003,"&gt;="&amp;DATE(2026,10,1),Xero_Raw!$A$4:$A$5003,"&lt;"&amp;EDATE(DATE(2026,10,1),1))+COUNTIFS(Customer_Invoices_Upload!$E$4:$E$5003,$A5,Customer_Invoices_Upload!$G$4:$G$5003,"*Subscription*",Customer_Invoices_Upload!$B$4:$B$5003,"&gt;="&amp;DATE(2026,10,1),Customer_Invoices_Upload!$B$4:$B$5003,"&lt;"&amp;EDATE(DATE(2026,10,1),1))+COUNTIFS(Stripe_Invoices_Upload!$D$4:$D$5003,$A5,Stripe_Invoices_Upload!$E$4:$E$5003,"*Subscription*",Stripe_Invoices_Upload!$A$4:$A$5003,"&gt;="&amp;DATE(2026,10,1),Stripe_Invoices_Upload!$A$4:$A$5003,"&lt;"&amp;EDATE(DATE(2026,10,1),1)))&gt;0,"✓ Invoiced","⚠ Due"),""),""))</f>
        <v>⚠ Due</v>
      </c>
      <c r="N5" s="130" t="str">
        <f aca="false">IF($A5="","",IF((DATE(YEAR($E5),MONTH($E5),1)&lt;=DATE(2026,11,1)),IF((MOD(DATEDIF(DATE(YEAR($E5),MONTH($E5),1),DATE(2026,11,1),"m"),IF($D5="Quarterly",3,IF($D5="Annual",12,1)))=0),IF((COUNTIFS(Xero_Raw!$D$4:$D$5003,$A5,Xero_Raw!$G$4:$G$5003,"*Subscription*",Xero_Raw!$A$4:$A$5003,"&gt;="&amp;DATE(2026,11,1),Xero_Raw!$A$4:$A$5003,"&lt;"&amp;EDATE(DATE(2026,11,1),1))+COUNTIFS(Customer_Invoices_Upload!$E$4:$E$5003,$A5,Customer_Invoices_Upload!$G$4:$G$5003,"*Subscription*",Customer_Invoices_Upload!$B$4:$B$5003,"&gt;="&amp;DATE(2026,11,1),Customer_Invoices_Upload!$B$4:$B$5003,"&lt;"&amp;EDATE(DATE(2026,11,1),1))+COUNTIFS(Stripe_Invoices_Upload!$D$4:$D$5003,$A5,Stripe_Invoices_Upload!$E$4:$E$5003,"*Subscription*",Stripe_Invoices_Upload!$A$4:$A$5003,"&gt;="&amp;DATE(2026,11,1),Stripe_Invoices_Upload!$A$4:$A$5003,"&lt;"&amp;EDATE(DATE(2026,11,1),1)))&gt;0,"✓ Invoiced","⚠ Due"),""),""))</f>
        <v>⚠ Due</v>
      </c>
      <c r="O5" s="130" t="str">
        <f aca="false">IF($A5="","",IF((DATE(YEAR($E5),MONTH($E5),1)&lt;=DATE(2026,12,1)),IF((MOD(DATEDIF(DATE(YEAR($E5),MONTH($E5),1),DATE(2026,12,1),"m"),IF($D5="Quarterly",3,IF($D5="Annual",12,1)))=0),IF((COUNTIFS(Xero_Raw!$D$4:$D$5003,$A5,Xero_Raw!$G$4:$G$5003,"*Subscription*",Xero_Raw!$A$4:$A$5003,"&gt;="&amp;DATE(2026,12,1),Xero_Raw!$A$4:$A$5003,"&lt;"&amp;EDATE(DATE(2026,12,1),1))+COUNTIFS(Customer_Invoices_Upload!$E$4:$E$5003,$A5,Customer_Invoices_Upload!$G$4:$G$5003,"*Subscription*",Customer_Invoices_Upload!$B$4:$B$5003,"&gt;="&amp;DATE(2026,12,1),Customer_Invoices_Upload!$B$4:$B$5003,"&lt;"&amp;EDATE(DATE(2026,12,1),1))+COUNTIFS(Stripe_Invoices_Upload!$D$4:$D$5003,$A5,Stripe_Invoices_Upload!$E$4:$E$5003,"*Subscription*",Stripe_Invoices_Upload!$A$4:$A$5003,"&gt;="&amp;DATE(2026,12,1),Stripe_Invoices_Upload!$A$4:$A$5003,"&lt;"&amp;EDATE(DATE(2026,12,1),1)))&gt;0,"✓ Invoiced","⚠ Due"),""),""))</f>
        <v>⚠ Due</v>
      </c>
      <c r="P5" s="130" t="str">
        <f aca="false">IF($A5="","",IF((DATE(YEAR($E5),MONTH($E5),1)&lt;=DATE(2027,1,1)),IF((MOD(DATEDIF(DATE(YEAR($E5),MONTH($E5),1),DATE(2027,1,1),"m"),IF($D5="Quarterly",3,IF($D5="Annual",12,1)))=0),IF((COUNTIFS(Xero_Raw!$D$4:$D$5003,$A5,Xero_Raw!$G$4:$G$5003,"*Subscription*",Xero_Raw!$A$4:$A$5003,"&gt;="&amp;DATE(2027,1,1),Xero_Raw!$A$4:$A$5003,"&lt;"&amp;EDATE(DATE(2027,1,1),1))+COUNTIFS(Customer_Invoices_Upload!$E$4:$E$5003,$A5,Customer_Invoices_Upload!$G$4:$G$5003,"*Subscription*",Customer_Invoices_Upload!$B$4:$B$5003,"&gt;="&amp;DATE(2027,1,1),Customer_Invoices_Upload!$B$4:$B$5003,"&lt;"&amp;EDATE(DATE(2027,1,1),1))+COUNTIFS(Stripe_Invoices_Upload!$D$4:$D$5003,$A5,Stripe_Invoices_Upload!$E$4:$E$5003,"*Subscription*",Stripe_Invoices_Upload!$A$4:$A$5003,"&gt;="&amp;DATE(2027,1,1),Stripe_Invoices_Upload!$A$4:$A$5003,"&lt;"&amp;EDATE(DATE(2027,1,1),1)))&gt;0,"✓ Invoiced","⚠ Due"),""),""))</f>
        <v>⚠ Due</v>
      </c>
      <c r="Q5" s="130" t="str">
        <f aca="false">IF($A5="","",IF((DATE(YEAR($E5),MONTH($E5),1)&lt;=DATE(2027,2,1)),IF((MOD(DATEDIF(DATE(YEAR($E5),MONTH($E5),1),DATE(2027,2,1),"m"),IF($D5="Quarterly",3,IF($D5="Annual",12,1)))=0),IF((COUNTIFS(Xero_Raw!$D$4:$D$5003,$A5,Xero_Raw!$G$4:$G$5003,"*Subscription*",Xero_Raw!$A$4:$A$5003,"&gt;="&amp;DATE(2027,2,1),Xero_Raw!$A$4:$A$5003,"&lt;"&amp;EDATE(DATE(2027,2,1),1))+COUNTIFS(Customer_Invoices_Upload!$E$4:$E$5003,$A5,Customer_Invoices_Upload!$G$4:$G$5003,"*Subscription*",Customer_Invoices_Upload!$B$4:$B$5003,"&gt;="&amp;DATE(2027,2,1),Customer_Invoices_Upload!$B$4:$B$5003,"&lt;"&amp;EDATE(DATE(2027,2,1),1))+COUNTIFS(Stripe_Invoices_Upload!$D$4:$D$5003,$A5,Stripe_Invoices_Upload!$E$4:$E$5003,"*Subscription*",Stripe_Invoices_Upload!$A$4:$A$5003,"&gt;="&amp;DATE(2027,2,1),Stripe_Invoices_Upload!$A$4:$A$5003,"&lt;"&amp;EDATE(DATE(2027,2,1),1)))&gt;0,"✓ Invoiced","⚠ Due"),""),""))</f>
        <v>⚠ Due</v>
      </c>
      <c r="R5" s="130" t="str">
        <f aca="false">IF($A5="","",IF((DATE(YEAR($E5),MONTH($E5),1)&lt;=DATE(2027,3,1)),IF((MOD(DATEDIF(DATE(YEAR($E5),MONTH($E5),1),DATE(2027,3,1),"m"),IF($D5="Quarterly",3,IF($D5="Annual",12,1)))=0),IF((COUNTIFS(Xero_Raw!$D$4:$D$5003,$A5,Xero_Raw!$G$4:$G$5003,"*Subscription*",Xero_Raw!$A$4:$A$5003,"&gt;="&amp;DATE(2027,3,1),Xero_Raw!$A$4:$A$5003,"&lt;"&amp;EDATE(DATE(2027,3,1),1))+COUNTIFS(Customer_Invoices_Upload!$E$4:$E$5003,$A5,Customer_Invoices_Upload!$G$4:$G$5003,"*Subscription*",Customer_Invoices_Upload!$B$4:$B$5003,"&gt;="&amp;DATE(2027,3,1),Customer_Invoices_Upload!$B$4:$B$5003,"&lt;"&amp;EDATE(DATE(2027,3,1),1))+COUNTIFS(Stripe_Invoices_Upload!$D$4:$D$5003,$A5,Stripe_Invoices_Upload!$E$4:$E$5003,"*Subscription*",Stripe_Invoices_Upload!$A$4:$A$5003,"&gt;="&amp;DATE(2027,3,1),Stripe_Invoices_Upload!$A$4:$A$5003,"&lt;"&amp;EDATE(DATE(2027,3,1),1)))&gt;0,"✓ Invoiced","⚠ Due"),""),""))</f>
        <v>⚠ Due</v>
      </c>
    </row>
    <row r="6" customFormat="false" ht="15" hidden="false" customHeight="false" outlineLevel="0" collapsed="false">
      <c r="A6" s="39" t="s">
        <v>150</v>
      </c>
      <c r="B6" s="39" t="s">
        <v>753</v>
      </c>
      <c r="C6" s="40" t="n">
        <v>12500</v>
      </c>
      <c r="D6" s="39" t="s">
        <v>818</v>
      </c>
      <c r="E6" s="38" t="n">
        <v>46122</v>
      </c>
      <c r="F6" s="129" t="n">
        <f aca="true">EDATE($E6,DATEDIF($E6,TODAY(),"m")+1)</f>
        <v>46213</v>
      </c>
      <c r="G6" s="130" t="str">
        <f aca="false">IF($A6="","",IF((DATE(YEAR($E6),MONTH($E6),1)&lt;=DATE(2026,4,1)),IF((MOD(DATEDIF(DATE(YEAR($E6),MONTH($E6),1),DATE(2026,4,1),"m"),IF($D6="Quarterly",3,IF($D6="Annual",12,1)))=0),IF((COUNTIFS(Xero_Raw!$D$4:$D$5003,$A6,Xero_Raw!$G$4:$G$5003,"*Subscription*",Xero_Raw!$A$4:$A$5003,"&gt;="&amp;DATE(2026,4,1),Xero_Raw!$A$4:$A$5003,"&lt;"&amp;EDATE(DATE(2026,4,1),1))+COUNTIFS(Customer_Invoices_Upload!$E$4:$E$5003,$A6,Customer_Invoices_Upload!$G$4:$G$5003,"*Subscription*",Customer_Invoices_Upload!$B$4:$B$5003,"&gt;="&amp;DATE(2026,4,1),Customer_Invoices_Upload!$B$4:$B$5003,"&lt;"&amp;EDATE(DATE(2026,4,1),1))+COUNTIFS(Stripe_Invoices_Upload!$D$4:$D$5003,$A6,Stripe_Invoices_Upload!$E$4:$E$5003,"*Subscription*",Stripe_Invoices_Upload!$A$4:$A$5003,"&gt;="&amp;DATE(2026,4,1),Stripe_Invoices_Upload!$A$4:$A$5003,"&lt;"&amp;EDATE(DATE(2026,4,1),1)))&gt;0,"✓ Invoiced","⚠ Due"),""),""))</f>
        <v>⚠ Due</v>
      </c>
      <c r="H6" s="130" t="str">
        <f aca="false">IF($A6="","",IF((DATE(YEAR($E6),MONTH($E6),1)&lt;=DATE(2026,5,1)),IF((MOD(DATEDIF(DATE(YEAR($E6),MONTH($E6),1),DATE(2026,5,1),"m"),IF($D6="Quarterly",3,IF($D6="Annual",12,1)))=0),IF((COUNTIFS(Xero_Raw!$D$4:$D$5003,$A6,Xero_Raw!$G$4:$G$5003,"*Subscription*",Xero_Raw!$A$4:$A$5003,"&gt;="&amp;DATE(2026,5,1),Xero_Raw!$A$4:$A$5003,"&lt;"&amp;EDATE(DATE(2026,5,1),1))+COUNTIFS(Customer_Invoices_Upload!$E$4:$E$5003,$A6,Customer_Invoices_Upload!$G$4:$G$5003,"*Subscription*",Customer_Invoices_Upload!$B$4:$B$5003,"&gt;="&amp;DATE(2026,5,1),Customer_Invoices_Upload!$B$4:$B$5003,"&lt;"&amp;EDATE(DATE(2026,5,1),1))+COUNTIFS(Stripe_Invoices_Upload!$D$4:$D$5003,$A6,Stripe_Invoices_Upload!$E$4:$E$5003,"*Subscription*",Stripe_Invoices_Upload!$A$4:$A$5003,"&gt;="&amp;DATE(2026,5,1),Stripe_Invoices_Upload!$A$4:$A$5003,"&lt;"&amp;EDATE(DATE(2026,5,1),1)))&gt;0,"✓ Invoiced","⚠ Due"),""),""))</f>
        <v>✓ Invoiced</v>
      </c>
      <c r="I6" s="130" t="str">
        <f aca="false">IF($A6="","",IF((DATE(YEAR($E6),MONTH($E6),1)&lt;=DATE(2026,6,1)),IF((MOD(DATEDIF(DATE(YEAR($E6),MONTH($E6),1),DATE(2026,6,1),"m"),IF($D6="Quarterly",3,IF($D6="Annual",12,1)))=0),IF((COUNTIFS(Xero_Raw!$D$4:$D$5003,$A6,Xero_Raw!$G$4:$G$5003,"*Subscription*",Xero_Raw!$A$4:$A$5003,"&gt;="&amp;DATE(2026,6,1),Xero_Raw!$A$4:$A$5003,"&lt;"&amp;EDATE(DATE(2026,6,1),1))+COUNTIFS(Customer_Invoices_Upload!$E$4:$E$5003,$A6,Customer_Invoices_Upload!$G$4:$G$5003,"*Subscription*",Customer_Invoices_Upload!$B$4:$B$5003,"&gt;="&amp;DATE(2026,6,1),Customer_Invoices_Upload!$B$4:$B$5003,"&lt;"&amp;EDATE(DATE(2026,6,1),1))+COUNTIFS(Stripe_Invoices_Upload!$D$4:$D$5003,$A6,Stripe_Invoices_Upload!$E$4:$E$5003,"*Subscription*",Stripe_Invoices_Upload!$A$4:$A$5003,"&gt;="&amp;DATE(2026,6,1),Stripe_Invoices_Upload!$A$4:$A$5003,"&lt;"&amp;EDATE(DATE(2026,6,1),1)))&gt;0,"✓ Invoiced","⚠ Due"),""),""))</f>
        <v>⚠ Due</v>
      </c>
      <c r="J6" s="130" t="str">
        <f aca="false">IF($A6="","",IF((DATE(YEAR($E6),MONTH($E6),1)&lt;=DATE(2026,7,1)),IF((MOD(DATEDIF(DATE(YEAR($E6),MONTH($E6),1),DATE(2026,7,1),"m"),IF($D6="Quarterly",3,IF($D6="Annual",12,1)))=0),IF((COUNTIFS(Xero_Raw!$D$4:$D$5003,$A6,Xero_Raw!$G$4:$G$5003,"*Subscription*",Xero_Raw!$A$4:$A$5003,"&gt;="&amp;DATE(2026,7,1),Xero_Raw!$A$4:$A$5003,"&lt;"&amp;EDATE(DATE(2026,7,1),1))+COUNTIFS(Customer_Invoices_Upload!$E$4:$E$5003,$A6,Customer_Invoices_Upload!$G$4:$G$5003,"*Subscription*",Customer_Invoices_Upload!$B$4:$B$5003,"&gt;="&amp;DATE(2026,7,1),Customer_Invoices_Upload!$B$4:$B$5003,"&lt;"&amp;EDATE(DATE(2026,7,1),1))+COUNTIFS(Stripe_Invoices_Upload!$D$4:$D$5003,$A6,Stripe_Invoices_Upload!$E$4:$E$5003,"*Subscription*",Stripe_Invoices_Upload!$A$4:$A$5003,"&gt;="&amp;DATE(2026,7,1),Stripe_Invoices_Upload!$A$4:$A$5003,"&lt;"&amp;EDATE(DATE(2026,7,1),1)))&gt;0,"✓ Invoiced","⚠ Due"),""),""))</f>
        <v>⚠ Due</v>
      </c>
      <c r="K6" s="130" t="str">
        <f aca="false">IF($A6="","",IF((DATE(YEAR($E6),MONTH($E6),1)&lt;=DATE(2026,8,1)),IF((MOD(DATEDIF(DATE(YEAR($E6),MONTH($E6),1),DATE(2026,8,1),"m"),IF($D6="Quarterly",3,IF($D6="Annual",12,1)))=0),IF((COUNTIFS(Xero_Raw!$D$4:$D$5003,$A6,Xero_Raw!$G$4:$G$5003,"*Subscription*",Xero_Raw!$A$4:$A$5003,"&gt;="&amp;DATE(2026,8,1),Xero_Raw!$A$4:$A$5003,"&lt;"&amp;EDATE(DATE(2026,8,1),1))+COUNTIFS(Customer_Invoices_Upload!$E$4:$E$5003,$A6,Customer_Invoices_Upload!$G$4:$G$5003,"*Subscription*",Customer_Invoices_Upload!$B$4:$B$5003,"&gt;="&amp;DATE(2026,8,1),Customer_Invoices_Upload!$B$4:$B$5003,"&lt;"&amp;EDATE(DATE(2026,8,1),1))+COUNTIFS(Stripe_Invoices_Upload!$D$4:$D$5003,$A6,Stripe_Invoices_Upload!$E$4:$E$5003,"*Subscription*",Stripe_Invoices_Upload!$A$4:$A$5003,"&gt;="&amp;DATE(2026,8,1),Stripe_Invoices_Upload!$A$4:$A$5003,"&lt;"&amp;EDATE(DATE(2026,8,1),1)))&gt;0,"✓ Invoiced","⚠ Due"),""),""))</f>
        <v>⚠ Due</v>
      </c>
      <c r="L6" s="130" t="str">
        <f aca="false">IF($A6="","",IF((DATE(YEAR($E6),MONTH($E6),1)&lt;=DATE(2026,9,1)),IF((MOD(DATEDIF(DATE(YEAR($E6),MONTH($E6),1),DATE(2026,9,1),"m"),IF($D6="Quarterly",3,IF($D6="Annual",12,1)))=0),IF((COUNTIFS(Xero_Raw!$D$4:$D$5003,$A6,Xero_Raw!$G$4:$G$5003,"*Subscription*",Xero_Raw!$A$4:$A$5003,"&gt;="&amp;DATE(2026,9,1),Xero_Raw!$A$4:$A$5003,"&lt;"&amp;EDATE(DATE(2026,9,1),1))+COUNTIFS(Customer_Invoices_Upload!$E$4:$E$5003,$A6,Customer_Invoices_Upload!$G$4:$G$5003,"*Subscription*",Customer_Invoices_Upload!$B$4:$B$5003,"&gt;="&amp;DATE(2026,9,1),Customer_Invoices_Upload!$B$4:$B$5003,"&lt;"&amp;EDATE(DATE(2026,9,1),1))+COUNTIFS(Stripe_Invoices_Upload!$D$4:$D$5003,$A6,Stripe_Invoices_Upload!$E$4:$E$5003,"*Subscription*",Stripe_Invoices_Upload!$A$4:$A$5003,"&gt;="&amp;DATE(2026,9,1),Stripe_Invoices_Upload!$A$4:$A$5003,"&lt;"&amp;EDATE(DATE(2026,9,1),1)))&gt;0,"✓ Invoiced","⚠ Due"),""),""))</f>
        <v>⚠ Due</v>
      </c>
      <c r="M6" s="130" t="str">
        <f aca="false">IF($A6="","",IF((DATE(YEAR($E6),MONTH($E6),1)&lt;=DATE(2026,10,1)),IF((MOD(DATEDIF(DATE(YEAR($E6),MONTH($E6),1),DATE(2026,10,1),"m"),IF($D6="Quarterly",3,IF($D6="Annual",12,1)))=0),IF((COUNTIFS(Xero_Raw!$D$4:$D$5003,$A6,Xero_Raw!$G$4:$G$5003,"*Subscription*",Xero_Raw!$A$4:$A$5003,"&gt;="&amp;DATE(2026,10,1),Xero_Raw!$A$4:$A$5003,"&lt;"&amp;EDATE(DATE(2026,10,1),1))+COUNTIFS(Customer_Invoices_Upload!$E$4:$E$5003,$A6,Customer_Invoices_Upload!$G$4:$G$5003,"*Subscription*",Customer_Invoices_Upload!$B$4:$B$5003,"&gt;="&amp;DATE(2026,10,1),Customer_Invoices_Upload!$B$4:$B$5003,"&lt;"&amp;EDATE(DATE(2026,10,1),1))+COUNTIFS(Stripe_Invoices_Upload!$D$4:$D$5003,$A6,Stripe_Invoices_Upload!$E$4:$E$5003,"*Subscription*",Stripe_Invoices_Upload!$A$4:$A$5003,"&gt;="&amp;DATE(2026,10,1),Stripe_Invoices_Upload!$A$4:$A$5003,"&lt;"&amp;EDATE(DATE(2026,10,1),1)))&gt;0,"✓ Invoiced","⚠ Due"),""),""))</f>
        <v>⚠ Due</v>
      </c>
      <c r="N6" s="130" t="str">
        <f aca="false">IF($A6="","",IF((DATE(YEAR($E6),MONTH($E6),1)&lt;=DATE(2026,11,1)),IF((MOD(DATEDIF(DATE(YEAR($E6),MONTH($E6),1),DATE(2026,11,1),"m"),IF($D6="Quarterly",3,IF($D6="Annual",12,1)))=0),IF((COUNTIFS(Xero_Raw!$D$4:$D$5003,$A6,Xero_Raw!$G$4:$G$5003,"*Subscription*",Xero_Raw!$A$4:$A$5003,"&gt;="&amp;DATE(2026,11,1),Xero_Raw!$A$4:$A$5003,"&lt;"&amp;EDATE(DATE(2026,11,1),1))+COUNTIFS(Customer_Invoices_Upload!$E$4:$E$5003,$A6,Customer_Invoices_Upload!$G$4:$G$5003,"*Subscription*",Customer_Invoices_Upload!$B$4:$B$5003,"&gt;="&amp;DATE(2026,11,1),Customer_Invoices_Upload!$B$4:$B$5003,"&lt;"&amp;EDATE(DATE(2026,11,1),1))+COUNTIFS(Stripe_Invoices_Upload!$D$4:$D$5003,$A6,Stripe_Invoices_Upload!$E$4:$E$5003,"*Subscription*",Stripe_Invoices_Upload!$A$4:$A$5003,"&gt;="&amp;DATE(2026,11,1),Stripe_Invoices_Upload!$A$4:$A$5003,"&lt;"&amp;EDATE(DATE(2026,11,1),1)))&gt;0,"✓ Invoiced","⚠ Due"),""),""))</f>
        <v>⚠ Due</v>
      </c>
      <c r="O6" s="130" t="str">
        <f aca="false">IF($A6="","",IF((DATE(YEAR($E6),MONTH($E6),1)&lt;=DATE(2026,12,1)),IF((MOD(DATEDIF(DATE(YEAR($E6),MONTH($E6),1),DATE(2026,12,1),"m"),IF($D6="Quarterly",3,IF($D6="Annual",12,1)))=0),IF((COUNTIFS(Xero_Raw!$D$4:$D$5003,$A6,Xero_Raw!$G$4:$G$5003,"*Subscription*",Xero_Raw!$A$4:$A$5003,"&gt;="&amp;DATE(2026,12,1),Xero_Raw!$A$4:$A$5003,"&lt;"&amp;EDATE(DATE(2026,12,1),1))+COUNTIFS(Customer_Invoices_Upload!$E$4:$E$5003,$A6,Customer_Invoices_Upload!$G$4:$G$5003,"*Subscription*",Customer_Invoices_Upload!$B$4:$B$5003,"&gt;="&amp;DATE(2026,12,1),Customer_Invoices_Upload!$B$4:$B$5003,"&lt;"&amp;EDATE(DATE(2026,12,1),1))+COUNTIFS(Stripe_Invoices_Upload!$D$4:$D$5003,$A6,Stripe_Invoices_Upload!$E$4:$E$5003,"*Subscription*",Stripe_Invoices_Upload!$A$4:$A$5003,"&gt;="&amp;DATE(2026,12,1),Stripe_Invoices_Upload!$A$4:$A$5003,"&lt;"&amp;EDATE(DATE(2026,12,1),1)))&gt;0,"✓ Invoiced","⚠ Due"),""),""))</f>
        <v>⚠ Due</v>
      </c>
      <c r="P6" s="130" t="str">
        <f aca="false">IF($A6="","",IF((DATE(YEAR($E6),MONTH($E6),1)&lt;=DATE(2027,1,1)),IF((MOD(DATEDIF(DATE(YEAR($E6),MONTH($E6),1),DATE(2027,1,1),"m"),IF($D6="Quarterly",3,IF($D6="Annual",12,1)))=0),IF((COUNTIFS(Xero_Raw!$D$4:$D$5003,$A6,Xero_Raw!$G$4:$G$5003,"*Subscription*",Xero_Raw!$A$4:$A$5003,"&gt;="&amp;DATE(2027,1,1),Xero_Raw!$A$4:$A$5003,"&lt;"&amp;EDATE(DATE(2027,1,1),1))+COUNTIFS(Customer_Invoices_Upload!$E$4:$E$5003,$A6,Customer_Invoices_Upload!$G$4:$G$5003,"*Subscription*",Customer_Invoices_Upload!$B$4:$B$5003,"&gt;="&amp;DATE(2027,1,1),Customer_Invoices_Upload!$B$4:$B$5003,"&lt;"&amp;EDATE(DATE(2027,1,1),1))+COUNTIFS(Stripe_Invoices_Upload!$D$4:$D$5003,$A6,Stripe_Invoices_Upload!$E$4:$E$5003,"*Subscription*",Stripe_Invoices_Upload!$A$4:$A$5003,"&gt;="&amp;DATE(2027,1,1),Stripe_Invoices_Upload!$A$4:$A$5003,"&lt;"&amp;EDATE(DATE(2027,1,1),1)))&gt;0,"✓ Invoiced","⚠ Due"),""),""))</f>
        <v>⚠ Due</v>
      </c>
      <c r="Q6" s="130" t="str">
        <f aca="false">IF($A6="","",IF((DATE(YEAR($E6),MONTH($E6),1)&lt;=DATE(2027,2,1)),IF((MOD(DATEDIF(DATE(YEAR($E6),MONTH($E6),1),DATE(2027,2,1),"m"),IF($D6="Quarterly",3,IF($D6="Annual",12,1)))=0),IF((COUNTIFS(Xero_Raw!$D$4:$D$5003,$A6,Xero_Raw!$G$4:$G$5003,"*Subscription*",Xero_Raw!$A$4:$A$5003,"&gt;="&amp;DATE(2027,2,1),Xero_Raw!$A$4:$A$5003,"&lt;"&amp;EDATE(DATE(2027,2,1),1))+COUNTIFS(Customer_Invoices_Upload!$E$4:$E$5003,$A6,Customer_Invoices_Upload!$G$4:$G$5003,"*Subscription*",Customer_Invoices_Upload!$B$4:$B$5003,"&gt;="&amp;DATE(2027,2,1),Customer_Invoices_Upload!$B$4:$B$5003,"&lt;"&amp;EDATE(DATE(2027,2,1),1))+COUNTIFS(Stripe_Invoices_Upload!$D$4:$D$5003,$A6,Stripe_Invoices_Upload!$E$4:$E$5003,"*Subscription*",Stripe_Invoices_Upload!$A$4:$A$5003,"&gt;="&amp;DATE(2027,2,1),Stripe_Invoices_Upload!$A$4:$A$5003,"&lt;"&amp;EDATE(DATE(2027,2,1),1)))&gt;0,"✓ Invoiced","⚠ Due"),""),""))</f>
        <v>⚠ Due</v>
      </c>
      <c r="R6" s="130" t="str">
        <f aca="false">IF($A6="","",IF((DATE(YEAR($E6),MONTH($E6),1)&lt;=DATE(2027,3,1)),IF((MOD(DATEDIF(DATE(YEAR($E6),MONTH($E6),1),DATE(2027,3,1),"m"),IF($D6="Quarterly",3,IF($D6="Annual",12,1)))=0),IF((COUNTIFS(Xero_Raw!$D$4:$D$5003,$A6,Xero_Raw!$G$4:$G$5003,"*Subscription*",Xero_Raw!$A$4:$A$5003,"&gt;="&amp;DATE(2027,3,1),Xero_Raw!$A$4:$A$5003,"&lt;"&amp;EDATE(DATE(2027,3,1),1))+COUNTIFS(Customer_Invoices_Upload!$E$4:$E$5003,$A6,Customer_Invoices_Upload!$G$4:$G$5003,"*Subscription*",Customer_Invoices_Upload!$B$4:$B$5003,"&gt;="&amp;DATE(2027,3,1),Customer_Invoices_Upload!$B$4:$B$5003,"&lt;"&amp;EDATE(DATE(2027,3,1),1))+COUNTIFS(Stripe_Invoices_Upload!$D$4:$D$5003,$A6,Stripe_Invoices_Upload!$E$4:$E$5003,"*Subscription*",Stripe_Invoices_Upload!$A$4:$A$5003,"&gt;="&amp;DATE(2027,3,1),Stripe_Invoices_Upload!$A$4:$A$5003,"&lt;"&amp;EDATE(DATE(2027,3,1),1)))&gt;0,"✓ Invoiced","⚠ Due"),""),""))</f>
        <v>⚠ Due</v>
      </c>
    </row>
    <row r="7" customFormat="false" ht="15" hidden="false" customHeight="false" outlineLevel="0" collapsed="false">
      <c r="A7" s="39" t="s">
        <v>152</v>
      </c>
      <c r="B7" s="39" t="s">
        <v>731</v>
      </c>
      <c r="C7" s="40" t="n">
        <v>5400</v>
      </c>
      <c r="D7" s="39" t="s">
        <v>818</v>
      </c>
      <c r="E7" s="38" t="n">
        <v>46127</v>
      </c>
      <c r="F7" s="129" t="n">
        <f aca="true">EDATE($E7,DATEDIF($E7,TODAY(),"m")+1)</f>
        <v>46218</v>
      </c>
      <c r="G7" s="130" t="str">
        <f aca="false">IF($A7="","",IF((DATE(YEAR($E7),MONTH($E7),1)&lt;=DATE(2026,4,1)),IF((MOD(DATEDIF(DATE(YEAR($E7),MONTH($E7),1),DATE(2026,4,1),"m"),IF($D7="Quarterly",3,IF($D7="Annual",12,1)))=0),IF((COUNTIFS(Xero_Raw!$D$4:$D$5003,$A7,Xero_Raw!$G$4:$G$5003,"*Subscription*",Xero_Raw!$A$4:$A$5003,"&gt;="&amp;DATE(2026,4,1),Xero_Raw!$A$4:$A$5003,"&lt;"&amp;EDATE(DATE(2026,4,1),1))+COUNTIFS(Customer_Invoices_Upload!$E$4:$E$5003,$A7,Customer_Invoices_Upload!$G$4:$G$5003,"*Subscription*",Customer_Invoices_Upload!$B$4:$B$5003,"&gt;="&amp;DATE(2026,4,1),Customer_Invoices_Upload!$B$4:$B$5003,"&lt;"&amp;EDATE(DATE(2026,4,1),1))+COUNTIFS(Stripe_Invoices_Upload!$D$4:$D$5003,$A7,Stripe_Invoices_Upload!$E$4:$E$5003,"*Subscription*",Stripe_Invoices_Upload!$A$4:$A$5003,"&gt;="&amp;DATE(2026,4,1),Stripe_Invoices_Upload!$A$4:$A$5003,"&lt;"&amp;EDATE(DATE(2026,4,1),1)))&gt;0,"✓ Invoiced","⚠ Due"),""),""))</f>
        <v>⚠ Due</v>
      </c>
      <c r="H7" s="130" t="str">
        <f aca="false">IF($A7="","",IF((DATE(YEAR($E7),MONTH($E7),1)&lt;=DATE(2026,5,1)),IF((MOD(DATEDIF(DATE(YEAR($E7),MONTH($E7),1),DATE(2026,5,1),"m"),IF($D7="Quarterly",3,IF($D7="Annual",12,1)))=0),IF((COUNTIFS(Xero_Raw!$D$4:$D$5003,$A7,Xero_Raw!$G$4:$G$5003,"*Subscription*",Xero_Raw!$A$4:$A$5003,"&gt;="&amp;DATE(2026,5,1),Xero_Raw!$A$4:$A$5003,"&lt;"&amp;EDATE(DATE(2026,5,1),1))+COUNTIFS(Customer_Invoices_Upload!$E$4:$E$5003,$A7,Customer_Invoices_Upload!$G$4:$G$5003,"*Subscription*",Customer_Invoices_Upload!$B$4:$B$5003,"&gt;="&amp;DATE(2026,5,1),Customer_Invoices_Upload!$B$4:$B$5003,"&lt;"&amp;EDATE(DATE(2026,5,1),1))+COUNTIFS(Stripe_Invoices_Upload!$D$4:$D$5003,$A7,Stripe_Invoices_Upload!$E$4:$E$5003,"*Subscription*",Stripe_Invoices_Upload!$A$4:$A$5003,"&gt;="&amp;DATE(2026,5,1),Stripe_Invoices_Upload!$A$4:$A$5003,"&lt;"&amp;EDATE(DATE(2026,5,1),1)))&gt;0,"✓ Invoiced","⚠ Due"),""),""))</f>
        <v>⚠ Due</v>
      </c>
      <c r="I7" s="130" t="str">
        <f aca="false">IF($A7="","",IF((DATE(YEAR($E7),MONTH($E7),1)&lt;=DATE(2026,6,1)),IF((MOD(DATEDIF(DATE(YEAR($E7),MONTH($E7),1),DATE(2026,6,1),"m"),IF($D7="Quarterly",3,IF($D7="Annual",12,1)))=0),IF((COUNTIFS(Xero_Raw!$D$4:$D$5003,$A7,Xero_Raw!$G$4:$G$5003,"*Subscription*",Xero_Raw!$A$4:$A$5003,"&gt;="&amp;DATE(2026,6,1),Xero_Raw!$A$4:$A$5003,"&lt;"&amp;EDATE(DATE(2026,6,1),1))+COUNTIFS(Customer_Invoices_Upload!$E$4:$E$5003,$A7,Customer_Invoices_Upload!$G$4:$G$5003,"*Subscription*",Customer_Invoices_Upload!$B$4:$B$5003,"&gt;="&amp;DATE(2026,6,1),Customer_Invoices_Upload!$B$4:$B$5003,"&lt;"&amp;EDATE(DATE(2026,6,1),1))+COUNTIFS(Stripe_Invoices_Upload!$D$4:$D$5003,$A7,Stripe_Invoices_Upload!$E$4:$E$5003,"*Subscription*",Stripe_Invoices_Upload!$A$4:$A$5003,"&gt;="&amp;DATE(2026,6,1),Stripe_Invoices_Upload!$A$4:$A$5003,"&lt;"&amp;EDATE(DATE(2026,6,1),1)))&gt;0,"✓ Invoiced","⚠ Due"),""),""))</f>
        <v>⚠ Due</v>
      </c>
      <c r="J7" s="130" t="str">
        <f aca="false">IF($A7="","",IF((DATE(YEAR($E7),MONTH($E7),1)&lt;=DATE(2026,7,1)),IF((MOD(DATEDIF(DATE(YEAR($E7),MONTH($E7),1),DATE(2026,7,1),"m"),IF($D7="Quarterly",3,IF($D7="Annual",12,1)))=0),IF((COUNTIFS(Xero_Raw!$D$4:$D$5003,$A7,Xero_Raw!$G$4:$G$5003,"*Subscription*",Xero_Raw!$A$4:$A$5003,"&gt;="&amp;DATE(2026,7,1),Xero_Raw!$A$4:$A$5003,"&lt;"&amp;EDATE(DATE(2026,7,1),1))+COUNTIFS(Customer_Invoices_Upload!$E$4:$E$5003,$A7,Customer_Invoices_Upload!$G$4:$G$5003,"*Subscription*",Customer_Invoices_Upload!$B$4:$B$5003,"&gt;="&amp;DATE(2026,7,1),Customer_Invoices_Upload!$B$4:$B$5003,"&lt;"&amp;EDATE(DATE(2026,7,1),1))+COUNTIFS(Stripe_Invoices_Upload!$D$4:$D$5003,$A7,Stripe_Invoices_Upload!$E$4:$E$5003,"*Subscription*",Stripe_Invoices_Upload!$A$4:$A$5003,"&gt;="&amp;DATE(2026,7,1),Stripe_Invoices_Upload!$A$4:$A$5003,"&lt;"&amp;EDATE(DATE(2026,7,1),1)))&gt;0,"✓ Invoiced","⚠ Due"),""),""))</f>
        <v>⚠ Due</v>
      </c>
      <c r="K7" s="130" t="str">
        <f aca="false">IF($A7="","",IF((DATE(YEAR($E7),MONTH($E7),1)&lt;=DATE(2026,8,1)),IF((MOD(DATEDIF(DATE(YEAR($E7),MONTH($E7),1),DATE(2026,8,1),"m"),IF($D7="Quarterly",3,IF($D7="Annual",12,1)))=0),IF((COUNTIFS(Xero_Raw!$D$4:$D$5003,$A7,Xero_Raw!$G$4:$G$5003,"*Subscription*",Xero_Raw!$A$4:$A$5003,"&gt;="&amp;DATE(2026,8,1),Xero_Raw!$A$4:$A$5003,"&lt;"&amp;EDATE(DATE(2026,8,1),1))+COUNTIFS(Customer_Invoices_Upload!$E$4:$E$5003,$A7,Customer_Invoices_Upload!$G$4:$G$5003,"*Subscription*",Customer_Invoices_Upload!$B$4:$B$5003,"&gt;="&amp;DATE(2026,8,1),Customer_Invoices_Upload!$B$4:$B$5003,"&lt;"&amp;EDATE(DATE(2026,8,1),1))+COUNTIFS(Stripe_Invoices_Upload!$D$4:$D$5003,$A7,Stripe_Invoices_Upload!$E$4:$E$5003,"*Subscription*",Stripe_Invoices_Upload!$A$4:$A$5003,"&gt;="&amp;DATE(2026,8,1),Stripe_Invoices_Upload!$A$4:$A$5003,"&lt;"&amp;EDATE(DATE(2026,8,1),1)))&gt;0,"✓ Invoiced","⚠ Due"),""),""))</f>
        <v>⚠ Due</v>
      </c>
      <c r="L7" s="130" t="str">
        <f aca="false">IF($A7="","",IF((DATE(YEAR($E7),MONTH($E7),1)&lt;=DATE(2026,9,1)),IF((MOD(DATEDIF(DATE(YEAR($E7),MONTH($E7),1),DATE(2026,9,1),"m"),IF($D7="Quarterly",3,IF($D7="Annual",12,1)))=0),IF((COUNTIFS(Xero_Raw!$D$4:$D$5003,$A7,Xero_Raw!$G$4:$G$5003,"*Subscription*",Xero_Raw!$A$4:$A$5003,"&gt;="&amp;DATE(2026,9,1),Xero_Raw!$A$4:$A$5003,"&lt;"&amp;EDATE(DATE(2026,9,1),1))+COUNTIFS(Customer_Invoices_Upload!$E$4:$E$5003,$A7,Customer_Invoices_Upload!$G$4:$G$5003,"*Subscription*",Customer_Invoices_Upload!$B$4:$B$5003,"&gt;="&amp;DATE(2026,9,1),Customer_Invoices_Upload!$B$4:$B$5003,"&lt;"&amp;EDATE(DATE(2026,9,1),1))+COUNTIFS(Stripe_Invoices_Upload!$D$4:$D$5003,$A7,Stripe_Invoices_Upload!$E$4:$E$5003,"*Subscription*",Stripe_Invoices_Upload!$A$4:$A$5003,"&gt;="&amp;DATE(2026,9,1),Stripe_Invoices_Upload!$A$4:$A$5003,"&lt;"&amp;EDATE(DATE(2026,9,1),1)))&gt;0,"✓ Invoiced","⚠ Due"),""),""))</f>
        <v>⚠ Due</v>
      </c>
      <c r="M7" s="130" t="str">
        <f aca="false">IF($A7="","",IF((DATE(YEAR($E7),MONTH($E7),1)&lt;=DATE(2026,10,1)),IF((MOD(DATEDIF(DATE(YEAR($E7),MONTH($E7),1),DATE(2026,10,1),"m"),IF($D7="Quarterly",3,IF($D7="Annual",12,1)))=0),IF((COUNTIFS(Xero_Raw!$D$4:$D$5003,$A7,Xero_Raw!$G$4:$G$5003,"*Subscription*",Xero_Raw!$A$4:$A$5003,"&gt;="&amp;DATE(2026,10,1),Xero_Raw!$A$4:$A$5003,"&lt;"&amp;EDATE(DATE(2026,10,1),1))+COUNTIFS(Customer_Invoices_Upload!$E$4:$E$5003,$A7,Customer_Invoices_Upload!$G$4:$G$5003,"*Subscription*",Customer_Invoices_Upload!$B$4:$B$5003,"&gt;="&amp;DATE(2026,10,1),Customer_Invoices_Upload!$B$4:$B$5003,"&lt;"&amp;EDATE(DATE(2026,10,1),1))+COUNTIFS(Stripe_Invoices_Upload!$D$4:$D$5003,$A7,Stripe_Invoices_Upload!$E$4:$E$5003,"*Subscription*",Stripe_Invoices_Upload!$A$4:$A$5003,"&gt;="&amp;DATE(2026,10,1),Stripe_Invoices_Upload!$A$4:$A$5003,"&lt;"&amp;EDATE(DATE(2026,10,1),1)))&gt;0,"✓ Invoiced","⚠ Due"),""),""))</f>
        <v>⚠ Due</v>
      </c>
      <c r="N7" s="130" t="str">
        <f aca="false">IF($A7="","",IF((DATE(YEAR($E7),MONTH($E7),1)&lt;=DATE(2026,11,1)),IF((MOD(DATEDIF(DATE(YEAR($E7),MONTH($E7),1),DATE(2026,11,1),"m"),IF($D7="Quarterly",3,IF($D7="Annual",12,1)))=0),IF((COUNTIFS(Xero_Raw!$D$4:$D$5003,$A7,Xero_Raw!$G$4:$G$5003,"*Subscription*",Xero_Raw!$A$4:$A$5003,"&gt;="&amp;DATE(2026,11,1),Xero_Raw!$A$4:$A$5003,"&lt;"&amp;EDATE(DATE(2026,11,1),1))+COUNTIFS(Customer_Invoices_Upload!$E$4:$E$5003,$A7,Customer_Invoices_Upload!$G$4:$G$5003,"*Subscription*",Customer_Invoices_Upload!$B$4:$B$5003,"&gt;="&amp;DATE(2026,11,1),Customer_Invoices_Upload!$B$4:$B$5003,"&lt;"&amp;EDATE(DATE(2026,11,1),1))+COUNTIFS(Stripe_Invoices_Upload!$D$4:$D$5003,$A7,Stripe_Invoices_Upload!$E$4:$E$5003,"*Subscription*",Stripe_Invoices_Upload!$A$4:$A$5003,"&gt;="&amp;DATE(2026,11,1),Stripe_Invoices_Upload!$A$4:$A$5003,"&lt;"&amp;EDATE(DATE(2026,11,1),1)))&gt;0,"✓ Invoiced","⚠ Due"),""),""))</f>
        <v>⚠ Due</v>
      </c>
      <c r="O7" s="130" t="str">
        <f aca="false">IF($A7="","",IF((DATE(YEAR($E7),MONTH($E7),1)&lt;=DATE(2026,12,1)),IF((MOD(DATEDIF(DATE(YEAR($E7),MONTH($E7),1),DATE(2026,12,1),"m"),IF($D7="Quarterly",3,IF($D7="Annual",12,1)))=0),IF((COUNTIFS(Xero_Raw!$D$4:$D$5003,$A7,Xero_Raw!$G$4:$G$5003,"*Subscription*",Xero_Raw!$A$4:$A$5003,"&gt;="&amp;DATE(2026,12,1),Xero_Raw!$A$4:$A$5003,"&lt;"&amp;EDATE(DATE(2026,12,1),1))+COUNTIFS(Customer_Invoices_Upload!$E$4:$E$5003,$A7,Customer_Invoices_Upload!$G$4:$G$5003,"*Subscription*",Customer_Invoices_Upload!$B$4:$B$5003,"&gt;="&amp;DATE(2026,12,1),Customer_Invoices_Upload!$B$4:$B$5003,"&lt;"&amp;EDATE(DATE(2026,12,1),1))+COUNTIFS(Stripe_Invoices_Upload!$D$4:$D$5003,$A7,Stripe_Invoices_Upload!$E$4:$E$5003,"*Subscription*",Stripe_Invoices_Upload!$A$4:$A$5003,"&gt;="&amp;DATE(2026,12,1),Stripe_Invoices_Upload!$A$4:$A$5003,"&lt;"&amp;EDATE(DATE(2026,12,1),1)))&gt;0,"✓ Invoiced","⚠ Due"),""),""))</f>
        <v>⚠ Due</v>
      </c>
      <c r="P7" s="130" t="str">
        <f aca="false">IF($A7="","",IF((DATE(YEAR($E7),MONTH($E7),1)&lt;=DATE(2027,1,1)),IF((MOD(DATEDIF(DATE(YEAR($E7),MONTH($E7),1),DATE(2027,1,1),"m"),IF($D7="Quarterly",3,IF($D7="Annual",12,1)))=0),IF((COUNTIFS(Xero_Raw!$D$4:$D$5003,$A7,Xero_Raw!$G$4:$G$5003,"*Subscription*",Xero_Raw!$A$4:$A$5003,"&gt;="&amp;DATE(2027,1,1),Xero_Raw!$A$4:$A$5003,"&lt;"&amp;EDATE(DATE(2027,1,1),1))+COUNTIFS(Customer_Invoices_Upload!$E$4:$E$5003,$A7,Customer_Invoices_Upload!$G$4:$G$5003,"*Subscription*",Customer_Invoices_Upload!$B$4:$B$5003,"&gt;="&amp;DATE(2027,1,1),Customer_Invoices_Upload!$B$4:$B$5003,"&lt;"&amp;EDATE(DATE(2027,1,1),1))+COUNTIFS(Stripe_Invoices_Upload!$D$4:$D$5003,$A7,Stripe_Invoices_Upload!$E$4:$E$5003,"*Subscription*",Stripe_Invoices_Upload!$A$4:$A$5003,"&gt;="&amp;DATE(2027,1,1),Stripe_Invoices_Upload!$A$4:$A$5003,"&lt;"&amp;EDATE(DATE(2027,1,1),1)))&gt;0,"✓ Invoiced","⚠ Due"),""),""))</f>
        <v>⚠ Due</v>
      </c>
      <c r="Q7" s="130" t="str">
        <f aca="false">IF($A7="","",IF((DATE(YEAR($E7),MONTH($E7),1)&lt;=DATE(2027,2,1)),IF((MOD(DATEDIF(DATE(YEAR($E7),MONTH($E7),1),DATE(2027,2,1),"m"),IF($D7="Quarterly",3,IF($D7="Annual",12,1)))=0),IF((COUNTIFS(Xero_Raw!$D$4:$D$5003,$A7,Xero_Raw!$G$4:$G$5003,"*Subscription*",Xero_Raw!$A$4:$A$5003,"&gt;="&amp;DATE(2027,2,1),Xero_Raw!$A$4:$A$5003,"&lt;"&amp;EDATE(DATE(2027,2,1),1))+COUNTIFS(Customer_Invoices_Upload!$E$4:$E$5003,$A7,Customer_Invoices_Upload!$G$4:$G$5003,"*Subscription*",Customer_Invoices_Upload!$B$4:$B$5003,"&gt;="&amp;DATE(2027,2,1),Customer_Invoices_Upload!$B$4:$B$5003,"&lt;"&amp;EDATE(DATE(2027,2,1),1))+COUNTIFS(Stripe_Invoices_Upload!$D$4:$D$5003,$A7,Stripe_Invoices_Upload!$E$4:$E$5003,"*Subscription*",Stripe_Invoices_Upload!$A$4:$A$5003,"&gt;="&amp;DATE(2027,2,1),Stripe_Invoices_Upload!$A$4:$A$5003,"&lt;"&amp;EDATE(DATE(2027,2,1),1)))&gt;0,"✓ Invoiced","⚠ Due"),""),""))</f>
        <v>⚠ Due</v>
      </c>
      <c r="R7" s="130" t="str">
        <f aca="false">IF($A7="","",IF((DATE(YEAR($E7),MONTH($E7),1)&lt;=DATE(2027,3,1)),IF((MOD(DATEDIF(DATE(YEAR($E7),MONTH($E7),1),DATE(2027,3,1),"m"),IF($D7="Quarterly",3,IF($D7="Annual",12,1)))=0),IF((COUNTIFS(Xero_Raw!$D$4:$D$5003,$A7,Xero_Raw!$G$4:$G$5003,"*Subscription*",Xero_Raw!$A$4:$A$5003,"&gt;="&amp;DATE(2027,3,1),Xero_Raw!$A$4:$A$5003,"&lt;"&amp;EDATE(DATE(2027,3,1),1))+COUNTIFS(Customer_Invoices_Upload!$E$4:$E$5003,$A7,Customer_Invoices_Upload!$G$4:$G$5003,"*Subscription*",Customer_Invoices_Upload!$B$4:$B$5003,"&gt;="&amp;DATE(2027,3,1),Customer_Invoices_Upload!$B$4:$B$5003,"&lt;"&amp;EDATE(DATE(2027,3,1),1))+COUNTIFS(Stripe_Invoices_Upload!$D$4:$D$5003,$A7,Stripe_Invoices_Upload!$E$4:$E$5003,"*Subscription*",Stripe_Invoices_Upload!$A$4:$A$5003,"&gt;="&amp;DATE(2027,3,1),Stripe_Invoices_Upload!$A$4:$A$5003,"&lt;"&amp;EDATE(DATE(2027,3,1),1)))&gt;0,"✓ Invoiced","⚠ Due"),""),""))</f>
        <v>⚠ Due</v>
      </c>
    </row>
    <row r="8" customFormat="false" ht="15" hidden="false" customHeight="false" outlineLevel="0" collapsed="false">
      <c r="A8" s="39" t="s">
        <v>156</v>
      </c>
      <c r="B8" s="39" t="s">
        <v>731</v>
      </c>
      <c r="C8" s="40" t="n">
        <v>6800</v>
      </c>
      <c r="D8" s="39" t="s">
        <v>818</v>
      </c>
      <c r="E8" s="38" t="n">
        <v>46143</v>
      </c>
      <c r="F8" s="129" t="n">
        <f aca="true">EDATE($E8,DATEDIF($E8,TODAY(),"m")+1)</f>
        <v>46235</v>
      </c>
      <c r="G8" s="130" t="str">
        <f aca="false">IF($A8="","",IF((DATE(YEAR($E8),MONTH($E8),1)&lt;=DATE(2026,4,1)),IF((MOD(DATEDIF(DATE(YEAR($E8),MONTH($E8),1),DATE(2026,4,1),"m"),IF($D8="Quarterly",3,IF($D8="Annual",12,1)))=0),IF((COUNTIFS(Xero_Raw!$D$4:$D$5003,$A8,Xero_Raw!$G$4:$G$5003,"*Subscription*",Xero_Raw!$A$4:$A$5003,"&gt;="&amp;DATE(2026,4,1),Xero_Raw!$A$4:$A$5003,"&lt;"&amp;EDATE(DATE(2026,4,1),1))+COUNTIFS(Customer_Invoices_Upload!$E$4:$E$5003,$A8,Customer_Invoices_Upload!$G$4:$G$5003,"*Subscription*",Customer_Invoices_Upload!$B$4:$B$5003,"&gt;="&amp;DATE(2026,4,1),Customer_Invoices_Upload!$B$4:$B$5003,"&lt;"&amp;EDATE(DATE(2026,4,1),1))+COUNTIFS(Stripe_Invoices_Upload!$D$4:$D$5003,$A8,Stripe_Invoices_Upload!$E$4:$E$5003,"*Subscription*",Stripe_Invoices_Upload!$A$4:$A$5003,"&gt;="&amp;DATE(2026,4,1),Stripe_Invoices_Upload!$A$4:$A$5003,"&lt;"&amp;EDATE(DATE(2026,4,1),1)))&gt;0,"✓ Invoiced","⚠ Due"),""),""))</f>
        <v/>
      </c>
      <c r="H8" s="130" t="str">
        <f aca="false">IF($A8="","",IF((DATE(YEAR($E8),MONTH($E8),1)&lt;=DATE(2026,5,1)),IF((MOD(DATEDIF(DATE(YEAR($E8),MONTH($E8),1),DATE(2026,5,1),"m"),IF($D8="Quarterly",3,IF($D8="Annual",12,1)))=0),IF((COUNTIFS(Xero_Raw!$D$4:$D$5003,$A8,Xero_Raw!$G$4:$G$5003,"*Subscription*",Xero_Raw!$A$4:$A$5003,"&gt;="&amp;DATE(2026,5,1),Xero_Raw!$A$4:$A$5003,"&lt;"&amp;EDATE(DATE(2026,5,1),1))+COUNTIFS(Customer_Invoices_Upload!$E$4:$E$5003,$A8,Customer_Invoices_Upload!$G$4:$G$5003,"*Subscription*",Customer_Invoices_Upload!$B$4:$B$5003,"&gt;="&amp;DATE(2026,5,1),Customer_Invoices_Upload!$B$4:$B$5003,"&lt;"&amp;EDATE(DATE(2026,5,1),1))+COUNTIFS(Stripe_Invoices_Upload!$D$4:$D$5003,$A8,Stripe_Invoices_Upload!$E$4:$E$5003,"*Subscription*",Stripe_Invoices_Upload!$A$4:$A$5003,"&gt;="&amp;DATE(2026,5,1),Stripe_Invoices_Upload!$A$4:$A$5003,"&lt;"&amp;EDATE(DATE(2026,5,1),1)))&gt;0,"✓ Invoiced","⚠ Due"),""),""))</f>
        <v>⚠ Due</v>
      </c>
      <c r="I8" s="130" t="str">
        <f aca="false">IF($A8="","",IF((DATE(YEAR($E8),MONTH($E8),1)&lt;=DATE(2026,6,1)),IF((MOD(DATEDIF(DATE(YEAR($E8),MONTH($E8),1),DATE(2026,6,1),"m"),IF($D8="Quarterly",3,IF($D8="Annual",12,1)))=0),IF((COUNTIFS(Xero_Raw!$D$4:$D$5003,$A8,Xero_Raw!$G$4:$G$5003,"*Subscription*",Xero_Raw!$A$4:$A$5003,"&gt;="&amp;DATE(2026,6,1),Xero_Raw!$A$4:$A$5003,"&lt;"&amp;EDATE(DATE(2026,6,1),1))+COUNTIFS(Customer_Invoices_Upload!$E$4:$E$5003,$A8,Customer_Invoices_Upload!$G$4:$G$5003,"*Subscription*",Customer_Invoices_Upload!$B$4:$B$5003,"&gt;="&amp;DATE(2026,6,1),Customer_Invoices_Upload!$B$4:$B$5003,"&lt;"&amp;EDATE(DATE(2026,6,1),1))+COUNTIFS(Stripe_Invoices_Upload!$D$4:$D$5003,$A8,Stripe_Invoices_Upload!$E$4:$E$5003,"*Subscription*",Stripe_Invoices_Upload!$A$4:$A$5003,"&gt;="&amp;DATE(2026,6,1),Stripe_Invoices_Upload!$A$4:$A$5003,"&lt;"&amp;EDATE(DATE(2026,6,1),1)))&gt;0,"✓ Invoiced","⚠ Due"),""),""))</f>
        <v>⚠ Due</v>
      </c>
      <c r="J8" s="130" t="str">
        <f aca="false">IF($A8="","",IF((DATE(YEAR($E8),MONTH($E8),1)&lt;=DATE(2026,7,1)),IF((MOD(DATEDIF(DATE(YEAR($E8),MONTH($E8),1),DATE(2026,7,1),"m"),IF($D8="Quarterly",3,IF($D8="Annual",12,1)))=0),IF((COUNTIFS(Xero_Raw!$D$4:$D$5003,$A8,Xero_Raw!$G$4:$G$5003,"*Subscription*",Xero_Raw!$A$4:$A$5003,"&gt;="&amp;DATE(2026,7,1),Xero_Raw!$A$4:$A$5003,"&lt;"&amp;EDATE(DATE(2026,7,1),1))+COUNTIFS(Customer_Invoices_Upload!$E$4:$E$5003,$A8,Customer_Invoices_Upload!$G$4:$G$5003,"*Subscription*",Customer_Invoices_Upload!$B$4:$B$5003,"&gt;="&amp;DATE(2026,7,1),Customer_Invoices_Upload!$B$4:$B$5003,"&lt;"&amp;EDATE(DATE(2026,7,1),1))+COUNTIFS(Stripe_Invoices_Upload!$D$4:$D$5003,$A8,Stripe_Invoices_Upload!$E$4:$E$5003,"*Subscription*",Stripe_Invoices_Upload!$A$4:$A$5003,"&gt;="&amp;DATE(2026,7,1),Stripe_Invoices_Upload!$A$4:$A$5003,"&lt;"&amp;EDATE(DATE(2026,7,1),1)))&gt;0,"✓ Invoiced","⚠ Due"),""),""))</f>
        <v>⚠ Due</v>
      </c>
      <c r="K8" s="130" t="str">
        <f aca="false">IF($A8="","",IF((DATE(YEAR($E8),MONTH($E8),1)&lt;=DATE(2026,8,1)),IF((MOD(DATEDIF(DATE(YEAR($E8),MONTH($E8),1),DATE(2026,8,1),"m"),IF($D8="Quarterly",3,IF($D8="Annual",12,1)))=0),IF((COUNTIFS(Xero_Raw!$D$4:$D$5003,$A8,Xero_Raw!$G$4:$G$5003,"*Subscription*",Xero_Raw!$A$4:$A$5003,"&gt;="&amp;DATE(2026,8,1),Xero_Raw!$A$4:$A$5003,"&lt;"&amp;EDATE(DATE(2026,8,1),1))+COUNTIFS(Customer_Invoices_Upload!$E$4:$E$5003,$A8,Customer_Invoices_Upload!$G$4:$G$5003,"*Subscription*",Customer_Invoices_Upload!$B$4:$B$5003,"&gt;="&amp;DATE(2026,8,1),Customer_Invoices_Upload!$B$4:$B$5003,"&lt;"&amp;EDATE(DATE(2026,8,1),1))+COUNTIFS(Stripe_Invoices_Upload!$D$4:$D$5003,$A8,Stripe_Invoices_Upload!$E$4:$E$5003,"*Subscription*",Stripe_Invoices_Upload!$A$4:$A$5003,"&gt;="&amp;DATE(2026,8,1),Stripe_Invoices_Upload!$A$4:$A$5003,"&lt;"&amp;EDATE(DATE(2026,8,1),1)))&gt;0,"✓ Invoiced","⚠ Due"),""),""))</f>
        <v>⚠ Due</v>
      </c>
      <c r="L8" s="130" t="str">
        <f aca="false">IF($A8="","",IF((DATE(YEAR($E8),MONTH($E8),1)&lt;=DATE(2026,9,1)),IF((MOD(DATEDIF(DATE(YEAR($E8),MONTH($E8),1),DATE(2026,9,1),"m"),IF($D8="Quarterly",3,IF($D8="Annual",12,1)))=0),IF((COUNTIFS(Xero_Raw!$D$4:$D$5003,$A8,Xero_Raw!$G$4:$G$5003,"*Subscription*",Xero_Raw!$A$4:$A$5003,"&gt;="&amp;DATE(2026,9,1),Xero_Raw!$A$4:$A$5003,"&lt;"&amp;EDATE(DATE(2026,9,1),1))+COUNTIFS(Customer_Invoices_Upload!$E$4:$E$5003,$A8,Customer_Invoices_Upload!$G$4:$G$5003,"*Subscription*",Customer_Invoices_Upload!$B$4:$B$5003,"&gt;="&amp;DATE(2026,9,1),Customer_Invoices_Upload!$B$4:$B$5003,"&lt;"&amp;EDATE(DATE(2026,9,1),1))+COUNTIFS(Stripe_Invoices_Upload!$D$4:$D$5003,$A8,Stripe_Invoices_Upload!$E$4:$E$5003,"*Subscription*",Stripe_Invoices_Upload!$A$4:$A$5003,"&gt;="&amp;DATE(2026,9,1),Stripe_Invoices_Upload!$A$4:$A$5003,"&lt;"&amp;EDATE(DATE(2026,9,1),1)))&gt;0,"✓ Invoiced","⚠ Due"),""),""))</f>
        <v>⚠ Due</v>
      </c>
      <c r="M8" s="130" t="str">
        <f aca="false">IF($A8="","",IF((DATE(YEAR($E8),MONTH($E8),1)&lt;=DATE(2026,10,1)),IF((MOD(DATEDIF(DATE(YEAR($E8),MONTH($E8),1),DATE(2026,10,1),"m"),IF($D8="Quarterly",3,IF($D8="Annual",12,1)))=0),IF((COUNTIFS(Xero_Raw!$D$4:$D$5003,$A8,Xero_Raw!$G$4:$G$5003,"*Subscription*",Xero_Raw!$A$4:$A$5003,"&gt;="&amp;DATE(2026,10,1),Xero_Raw!$A$4:$A$5003,"&lt;"&amp;EDATE(DATE(2026,10,1),1))+COUNTIFS(Customer_Invoices_Upload!$E$4:$E$5003,$A8,Customer_Invoices_Upload!$G$4:$G$5003,"*Subscription*",Customer_Invoices_Upload!$B$4:$B$5003,"&gt;="&amp;DATE(2026,10,1),Customer_Invoices_Upload!$B$4:$B$5003,"&lt;"&amp;EDATE(DATE(2026,10,1),1))+COUNTIFS(Stripe_Invoices_Upload!$D$4:$D$5003,$A8,Stripe_Invoices_Upload!$E$4:$E$5003,"*Subscription*",Stripe_Invoices_Upload!$A$4:$A$5003,"&gt;="&amp;DATE(2026,10,1),Stripe_Invoices_Upload!$A$4:$A$5003,"&lt;"&amp;EDATE(DATE(2026,10,1),1)))&gt;0,"✓ Invoiced","⚠ Due"),""),""))</f>
        <v>⚠ Due</v>
      </c>
      <c r="N8" s="130" t="str">
        <f aca="false">IF($A8="","",IF((DATE(YEAR($E8),MONTH($E8),1)&lt;=DATE(2026,11,1)),IF((MOD(DATEDIF(DATE(YEAR($E8),MONTH($E8),1),DATE(2026,11,1),"m"),IF($D8="Quarterly",3,IF($D8="Annual",12,1)))=0),IF((COUNTIFS(Xero_Raw!$D$4:$D$5003,$A8,Xero_Raw!$G$4:$G$5003,"*Subscription*",Xero_Raw!$A$4:$A$5003,"&gt;="&amp;DATE(2026,11,1),Xero_Raw!$A$4:$A$5003,"&lt;"&amp;EDATE(DATE(2026,11,1),1))+COUNTIFS(Customer_Invoices_Upload!$E$4:$E$5003,$A8,Customer_Invoices_Upload!$G$4:$G$5003,"*Subscription*",Customer_Invoices_Upload!$B$4:$B$5003,"&gt;="&amp;DATE(2026,11,1),Customer_Invoices_Upload!$B$4:$B$5003,"&lt;"&amp;EDATE(DATE(2026,11,1),1))+COUNTIFS(Stripe_Invoices_Upload!$D$4:$D$5003,$A8,Stripe_Invoices_Upload!$E$4:$E$5003,"*Subscription*",Stripe_Invoices_Upload!$A$4:$A$5003,"&gt;="&amp;DATE(2026,11,1),Stripe_Invoices_Upload!$A$4:$A$5003,"&lt;"&amp;EDATE(DATE(2026,11,1),1)))&gt;0,"✓ Invoiced","⚠ Due"),""),""))</f>
        <v>⚠ Due</v>
      </c>
      <c r="O8" s="130" t="str">
        <f aca="false">IF($A8="","",IF((DATE(YEAR($E8),MONTH($E8),1)&lt;=DATE(2026,12,1)),IF((MOD(DATEDIF(DATE(YEAR($E8),MONTH($E8),1),DATE(2026,12,1),"m"),IF($D8="Quarterly",3,IF($D8="Annual",12,1)))=0),IF((COUNTIFS(Xero_Raw!$D$4:$D$5003,$A8,Xero_Raw!$G$4:$G$5003,"*Subscription*",Xero_Raw!$A$4:$A$5003,"&gt;="&amp;DATE(2026,12,1),Xero_Raw!$A$4:$A$5003,"&lt;"&amp;EDATE(DATE(2026,12,1),1))+COUNTIFS(Customer_Invoices_Upload!$E$4:$E$5003,$A8,Customer_Invoices_Upload!$G$4:$G$5003,"*Subscription*",Customer_Invoices_Upload!$B$4:$B$5003,"&gt;="&amp;DATE(2026,12,1),Customer_Invoices_Upload!$B$4:$B$5003,"&lt;"&amp;EDATE(DATE(2026,12,1),1))+COUNTIFS(Stripe_Invoices_Upload!$D$4:$D$5003,$A8,Stripe_Invoices_Upload!$E$4:$E$5003,"*Subscription*",Stripe_Invoices_Upload!$A$4:$A$5003,"&gt;="&amp;DATE(2026,12,1),Stripe_Invoices_Upload!$A$4:$A$5003,"&lt;"&amp;EDATE(DATE(2026,12,1),1)))&gt;0,"✓ Invoiced","⚠ Due"),""),""))</f>
        <v>⚠ Due</v>
      </c>
      <c r="P8" s="130" t="str">
        <f aca="false">IF($A8="","",IF((DATE(YEAR($E8),MONTH($E8),1)&lt;=DATE(2027,1,1)),IF((MOD(DATEDIF(DATE(YEAR($E8),MONTH($E8),1),DATE(2027,1,1),"m"),IF($D8="Quarterly",3,IF($D8="Annual",12,1)))=0),IF((COUNTIFS(Xero_Raw!$D$4:$D$5003,$A8,Xero_Raw!$G$4:$G$5003,"*Subscription*",Xero_Raw!$A$4:$A$5003,"&gt;="&amp;DATE(2027,1,1),Xero_Raw!$A$4:$A$5003,"&lt;"&amp;EDATE(DATE(2027,1,1),1))+COUNTIFS(Customer_Invoices_Upload!$E$4:$E$5003,$A8,Customer_Invoices_Upload!$G$4:$G$5003,"*Subscription*",Customer_Invoices_Upload!$B$4:$B$5003,"&gt;="&amp;DATE(2027,1,1),Customer_Invoices_Upload!$B$4:$B$5003,"&lt;"&amp;EDATE(DATE(2027,1,1),1))+COUNTIFS(Stripe_Invoices_Upload!$D$4:$D$5003,$A8,Stripe_Invoices_Upload!$E$4:$E$5003,"*Subscription*",Stripe_Invoices_Upload!$A$4:$A$5003,"&gt;="&amp;DATE(2027,1,1),Stripe_Invoices_Upload!$A$4:$A$5003,"&lt;"&amp;EDATE(DATE(2027,1,1),1)))&gt;0,"✓ Invoiced","⚠ Due"),""),""))</f>
        <v>⚠ Due</v>
      </c>
      <c r="Q8" s="130" t="str">
        <f aca="false">IF($A8="","",IF((DATE(YEAR($E8),MONTH($E8),1)&lt;=DATE(2027,2,1)),IF((MOD(DATEDIF(DATE(YEAR($E8),MONTH($E8),1),DATE(2027,2,1),"m"),IF($D8="Quarterly",3,IF($D8="Annual",12,1)))=0),IF((COUNTIFS(Xero_Raw!$D$4:$D$5003,$A8,Xero_Raw!$G$4:$G$5003,"*Subscription*",Xero_Raw!$A$4:$A$5003,"&gt;="&amp;DATE(2027,2,1),Xero_Raw!$A$4:$A$5003,"&lt;"&amp;EDATE(DATE(2027,2,1),1))+COUNTIFS(Customer_Invoices_Upload!$E$4:$E$5003,$A8,Customer_Invoices_Upload!$G$4:$G$5003,"*Subscription*",Customer_Invoices_Upload!$B$4:$B$5003,"&gt;="&amp;DATE(2027,2,1),Customer_Invoices_Upload!$B$4:$B$5003,"&lt;"&amp;EDATE(DATE(2027,2,1),1))+COUNTIFS(Stripe_Invoices_Upload!$D$4:$D$5003,$A8,Stripe_Invoices_Upload!$E$4:$E$5003,"*Subscription*",Stripe_Invoices_Upload!$A$4:$A$5003,"&gt;="&amp;DATE(2027,2,1),Stripe_Invoices_Upload!$A$4:$A$5003,"&lt;"&amp;EDATE(DATE(2027,2,1),1)))&gt;0,"✓ Invoiced","⚠ Due"),""),""))</f>
        <v>⚠ Due</v>
      </c>
      <c r="R8" s="130" t="str">
        <f aca="false">IF($A8="","",IF((DATE(YEAR($E8),MONTH($E8),1)&lt;=DATE(2027,3,1)),IF((MOD(DATEDIF(DATE(YEAR($E8),MONTH($E8),1),DATE(2027,3,1),"m"),IF($D8="Quarterly",3,IF($D8="Annual",12,1)))=0),IF((COUNTIFS(Xero_Raw!$D$4:$D$5003,$A8,Xero_Raw!$G$4:$G$5003,"*Subscription*",Xero_Raw!$A$4:$A$5003,"&gt;="&amp;DATE(2027,3,1),Xero_Raw!$A$4:$A$5003,"&lt;"&amp;EDATE(DATE(2027,3,1),1))+COUNTIFS(Customer_Invoices_Upload!$E$4:$E$5003,$A8,Customer_Invoices_Upload!$G$4:$G$5003,"*Subscription*",Customer_Invoices_Upload!$B$4:$B$5003,"&gt;="&amp;DATE(2027,3,1),Customer_Invoices_Upload!$B$4:$B$5003,"&lt;"&amp;EDATE(DATE(2027,3,1),1))+COUNTIFS(Stripe_Invoices_Upload!$D$4:$D$5003,$A8,Stripe_Invoices_Upload!$E$4:$E$5003,"*Subscription*",Stripe_Invoices_Upload!$A$4:$A$5003,"&gt;="&amp;DATE(2027,3,1),Stripe_Invoices_Upload!$A$4:$A$5003,"&lt;"&amp;EDATE(DATE(2027,3,1),1)))&gt;0,"✓ Invoiced","⚠ Due"),""),""))</f>
        <v>⚠ Due</v>
      </c>
    </row>
    <row r="9" customFormat="false" ht="15" hidden="false" customHeight="false" outlineLevel="0" collapsed="false">
      <c r="A9" s="39"/>
      <c r="B9" s="39"/>
      <c r="C9" s="40"/>
      <c r="D9" s="39"/>
      <c r="E9" s="38"/>
      <c r="F9" s="129" t="str">
        <f aca="true">IF($A9="","",EDATE($E9,DATEDIF($E9,TODAY(),"m")+1))</f>
        <v/>
      </c>
      <c r="G9" s="130" t="str">
        <f aca="false">IF($A9="","",IF((DATE(YEAR($E9),MONTH($E9),1)&lt;=DATE(2026,4,1)),IF((MOD(DATEDIF(DATE(YEAR($E9),MONTH($E9),1),DATE(2026,4,1),"m"),IF($D9="Quarterly",3,IF($D9="Annual",12,1)))=0),IF((COUNTIFS(Xero_Raw!$D$4:$D$5003,$A9,Xero_Raw!$G$4:$G$5003,"*Subscription*",Xero_Raw!$A$4:$A$5003,"&gt;="&amp;DATE(2026,4,1),Xero_Raw!$A$4:$A$5003,"&lt;"&amp;EDATE(DATE(2026,4,1),1))+COUNTIFS(Customer_Invoices_Upload!$E$4:$E$5003,$A9,Customer_Invoices_Upload!$G$4:$G$5003,"*Subscription*",Customer_Invoices_Upload!$B$4:$B$5003,"&gt;="&amp;DATE(2026,4,1),Customer_Invoices_Upload!$B$4:$B$5003,"&lt;"&amp;EDATE(DATE(2026,4,1),1))+COUNTIFS(Stripe_Invoices_Upload!$D$4:$D$5003,$A9,Stripe_Invoices_Upload!$E$4:$E$5003,"*Subscription*",Stripe_Invoices_Upload!$A$4:$A$5003,"&gt;="&amp;DATE(2026,4,1),Stripe_Invoices_Upload!$A$4:$A$5003,"&lt;"&amp;EDATE(DATE(2026,4,1),1)))&gt;0,"✓ Invoiced","⚠ Due"),""),""))</f>
        <v/>
      </c>
      <c r="H9" s="130" t="str">
        <f aca="false">IF($A9="","",IF((DATE(YEAR($E9),MONTH($E9),1)&lt;=DATE(2026,5,1)),IF((MOD(DATEDIF(DATE(YEAR($E9),MONTH($E9),1),DATE(2026,5,1),"m"),IF($D9="Quarterly",3,IF($D9="Annual",12,1)))=0),IF((COUNTIFS(Xero_Raw!$D$4:$D$5003,$A9,Xero_Raw!$G$4:$G$5003,"*Subscription*",Xero_Raw!$A$4:$A$5003,"&gt;="&amp;DATE(2026,5,1),Xero_Raw!$A$4:$A$5003,"&lt;"&amp;EDATE(DATE(2026,5,1),1))+COUNTIFS(Customer_Invoices_Upload!$E$4:$E$5003,$A9,Customer_Invoices_Upload!$G$4:$G$5003,"*Subscription*",Customer_Invoices_Upload!$B$4:$B$5003,"&gt;="&amp;DATE(2026,5,1),Customer_Invoices_Upload!$B$4:$B$5003,"&lt;"&amp;EDATE(DATE(2026,5,1),1))+COUNTIFS(Stripe_Invoices_Upload!$D$4:$D$5003,$A9,Stripe_Invoices_Upload!$E$4:$E$5003,"*Subscription*",Stripe_Invoices_Upload!$A$4:$A$5003,"&gt;="&amp;DATE(2026,5,1),Stripe_Invoices_Upload!$A$4:$A$5003,"&lt;"&amp;EDATE(DATE(2026,5,1),1)))&gt;0,"✓ Invoiced","⚠ Due"),""),""))</f>
        <v/>
      </c>
      <c r="I9" s="130" t="str">
        <f aca="false">IF($A9="","",IF((DATE(YEAR($E9),MONTH($E9),1)&lt;=DATE(2026,6,1)),IF((MOD(DATEDIF(DATE(YEAR($E9),MONTH($E9),1),DATE(2026,6,1),"m"),IF($D9="Quarterly",3,IF($D9="Annual",12,1)))=0),IF((COUNTIFS(Xero_Raw!$D$4:$D$5003,$A9,Xero_Raw!$G$4:$G$5003,"*Subscription*",Xero_Raw!$A$4:$A$5003,"&gt;="&amp;DATE(2026,6,1),Xero_Raw!$A$4:$A$5003,"&lt;"&amp;EDATE(DATE(2026,6,1),1))+COUNTIFS(Customer_Invoices_Upload!$E$4:$E$5003,$A9,Customer_Invoices_Upload!$G$4:$G$5003,"*Subscription*",Customer_Invoices_Upload!$B$4:$B$5003,"&gt;="&amp;DATE(2026,6,1),Customer_Invoices_Upload!$B$4:$B$5003,"&lt;"&amp;EDATE(DATE(2026,6,1),1))+COUNTIFS(Stripe_Invoices_Upload!$D$4:$D$5003,$A9,Stripe_Invoices_Upload!$E$4:$E$5003,"*Subscription*",Stripe_Invoices_Upload!$A$4:$A$5003,"&gt;="&amp;DATE(2026,6,1),Stripe_Invoices_Upload!$A$4:$A$5003,"&lt;"&amp;EDATE(DATE(2026,6,1),1)))&gt;0,"✓ Invoiced","⚠ Due"),""),""))</f>
        <v/>
      </c>
      <c r="J9" s="130" t="str">
        <f aca="false">IF($A9="","",IF((DATE(YEAR($E9),MONTH($E9),1)&lt;=DATE(2026,7,1)),IF((MOD(DATEDIF(DATE(YEAR($E9),MONTH($E9),1),DATE(2026,7,1),"m"),IF($D9="Quarterly",3,IF($D9="Annual",12,1)))=0),IF((COUNTIFS(Xero_Raw!$D$4:$D$5003,$A9,Xero_Raw!$G$4:$G$5003,"*Subscription*",Xero_Raw!$A$4:$A$5003,"&gt;="&amp;DATE(2026,7,1),Xero_Raw!$A$4:$A$5003,"&lt;"&amp;EDATE(DATE(2026,7,1),1))+COUNTIFS(Customer_Invoices_Upload!$E$4:$E$5003,$A9,Customer_Invoices_Upload!$G$4:$G$5003,"*Subscription*",Customer_Invoices_Upload!$B$4:$B$5003,"&gt;="&amp;DATE(2026,7,1),Customer_Invoices_Upload!$B$4:$B$5003,"&lt;"&amp;EDATE(DATE(2026,7,1),1))+COUNTIFS(Stripe_Invoices_Upload!$D$4:$D$5003,$A9,Stripe_Invoices_Upload!$E$4:$E$5003,"*Subscription*",Stripe_Invoices_Upload!$A$4:$A$5003,"&gt;="&amp;DATE(2026,7,1),Stripe_Invoices_Upload!$A$4:$A$5003,"&lt;"&amp;EDATE(DATE(2026,7,1),1)))&gt;0,"✓ Invoiced","⚠ Due"),""),""))</f>
        <v/>
      </c>
      <c r="K9" s="130" t="str">
        <f aca="false">IF($A9="","",IF((DATE(YEAR($E9),MONTH($E9),1)&lt;=DATE(2026,8,1)),IF((MOD(DATEDIF(DATE(YEAR($E9),MONTH($E9),1),DATE(2026,8,1),"m"),IF($D9="Quarterly",3,IF($D9="Annual",12,1)))=0),IF((COUNTIFS(Xero_Raw!$D$4:$D$5003,$A9,Xero_Raw!$G$4:$G$5003,"*Subscription*",Xero_Raw!$A$4:$A$5003,"&gt;="&amp;DATE(2026,8,1),Xero_Raw!$A$4:$A$5003,"&lt;"&amp;EDATE(DATE(2026,8,1),1))+COUNTIFS(Customer_Invoices_Upload!$E$4:$E$5003,$A9,Customer_Invoices_Upload!$G$4:$G$5003,"*Subscription*",Customer_Invoices_Upload!$B$4:$B$5003,"&gt;="&amp;DATE(2026,8,1),Customer_Invoices_Upload!$B$4:$B$5003,"&lt;"&amp;EDATE(DATE(2026,8,1),1))+COUNTIFS(Stripe_Invoices_Upload!$D$4:$D$5003,$A9,Stripe_Invoices_Upload!$E$4:$E$5003,"*Subscription*",Stripe_Invoices_Upload!$A$4:$A$5003,"&gt;="&amp;DATE(2026,8,1),Stripe_Invoices_Upload!$A$4:$A$5003,"&lt;"&amp;EDATE(DATE(2026,8,1),1)))&gt;0,"✓ Invoiced","⚠ Due"),""),""))</f>
        <v/>
      </c>
      <c r="L9" s="130" t="str">
        <f aca="false">IF($A9="","",IF((DATE(YEAR($E9),MONTH($E9),1)&lt;=DATE(2026,9,1)),IF((MOD(DATEDIF(DATE(YEAR($E9),MONTH($E9),1),DATE(2026,9,1),"m"),IF($D9="Quarterly",3,IF($D9="Annual",12,1)))=0),IF((COUNTIFS(Xero_Raw!$D$4:$D$5003,$A9,Xero_Raw!$G$4:$G$5003,"*Subscription*",Xero_Raw!$A$4:$A$5003,"&gt;="&amp;DATE(2026,9,1),Xero_Raw!$A$4:$A$5003,"&lt;"&amp;EDATE(DATE(2026,9,1),1))+COUNTIFS(Customer_Invoices_Upload!$E$4:$E$5003,$A9,Customer_Invoices_Upload!$G$4:$G$5003,"*Subscription*",Customer_Invoices_Upload!$B$4:$B$5003,"&gt;="&amp;DATE(2026,9,1),Customer_Invoices_Upload!$B$4:$B$5003,"&lt;"&amp;EDATE(DATE(2026,9,1),1))+COUNTIFS(Stripe_Invoices_Upload!$D$4:$D$5003,$A9,Stripe_Invoices_Upload!$E$4:$E$5003,"*Subscription*",Stripe_Invoices_Upload!$A$4:$A$5003,"&gt;="&amp;DATE(2026,9,1),Stripe_Invoices_Upload!$A$4:$A$5003,"&lt;"&amp;EDATE(DATE(2026,9,1),1)))&gt;0,"✓ Invoiced","⚠ Due"),""),""))</f>
        <v/>
      </c>
      <c r="M9" s="130" t="str">
        <f aca="false">IF($A9="","",IF((DATE(YEAR($E9),MONTH($E9),1)&lt;=DATE(2026,10,1)),IF((MOD(DATEDIF(DATE(YEAR($E9),MONTH($E9),1),DATE(2026,10,1),"m"),IF($D9="Quarterly",3,IF($D9="Annual",12,1)))=0),IF((COUNTIFS(Xero_Raw!$D$4:$D$5003,$A9,Xero_Raw!$G$4:$G$5003,"*Subscription*",Xero_Raw!$A$4:$A$5003,"&gt;="&amp;DATE(2026,10,1),Xero_Raw!$A$4:$A$5003,"&lt;"&amp;EDATE(DATE(2026,10,1),1))+COUNTIFS(Customer_Invoices_Upload!$E$4:$E$5003,$A9,Customer_Invoices_Upload!$G$4:$G$5003,"*Subscription*",Customer_Invoices_Upload!$B$4:$B$5003,"&gt;="&amp;DATE(2026,10,1),Customer_Invoices_Upload!$B$4:$B$5003,"&lt;"&amp;EDATE(DATE(2026,10,1),1))+COUNTIFS(Stripe_Invoices_Upload!$D$4:$D$5003,$A9,Stripe_Invoices_Upload!$E$4:$E$5003,"*Subscription*",Stripe_Invoices_Upload!$A$4:$A$5003,"&gt;="&amp;DATE(2026,10,1),Stripe_Invoices_Upload!$A$4:$A$5003,"&lt;"&amp;EDATE(DATE(2026,10,1),1)))&gt;0,"✓ Invoiced","⚠ Due"),""),""))</f>
        <v/>
      </c>
      <c r="N9" s="130" t="str">
        <f aca="false">IF($A9="","",IF((DATE(YEAR($E9),MONTH($E9),1)&lt;=DATE(2026,11,1)),IF((MOD(DATEDIF(DATE(YEAR($E9),MONTH($E9),1),DATE(2026,11,1),"m"),IF($D9="Quarterly",3,IF($D9="Annual",12,1)))=0),IF((COUNTIFS(Xero_Raw!$D$4:$D$5003,$A9,Xero_Raw!$G$4:$G$5003,"*Subscription*",Xero_Raw!$A$4:$A$5003,"&gt;="&amp;DATE(2026,11,1),Xero_Raw!$A$4:$A$5003,"&lt;"&amp;EDATE(DATE(2026,11,1),1))+COUNTIFS(Customer_Invoices_Upload!$E$4:$E$5003,$A9,Customer_Invoices_Upload!$G$4:$G$5003,"*Subscription*",Customer_Invoices_Upload!$B$4:$B$5003,"&gt;="&amp;DATE(2026,11,1),Customer_Invoices_Upload!$B$4:$B$5003,"&lt;"&amp;EDATE(DATE(2026,11,1),1))+COUNTIFS(Stripe_Invoices_Upload!$D$4:$D$5003,$A9,Stripe_Invoices_Upload!$E$4:$E$5003,"*Subscription*",Stripe_Invoices_Upload!$A$4:$A$5003,"&gt;="&amp;DATE(2026,11,1),Stripe_Invoices_Upload!$A$4:$A$5003,"&lt;"&amp;EDATE(DATE(2026,11,1),1)))&gt;0,"✓ Invoiced","⚠ Due"),""),""))</f>
        <v/>
      </c>
      <c r="O9" s="130" t="str">
        <f aca="false">IF($A9="","",IF((DATE(YEAR($E9),MONTH($E9),1)&lt;=DATE(2026,12,1)),IF((MOD(DATEDIF(DATE(YEAR($E9),MONTH($E9),1),DATE(2026,12,1),"m"),IF($D9="Quarterly",3,IF($D9="Annual",12,1)))=0),IF((COUNTIFS(Xero_Raw!$D$4:$D$5003,$A9,Xero_Raw!$G$4:$G$5003,"*Subscription*",Xero_Raw!$A$4:$A$5003,"&gt;="&amp;DATE(2026,12,1),Xero_Raw!$A$4:$A$5003,"&lt;"&amp;EDATE(DATE(2026,12,1),1))+COUNTIFS(Customer_Invoices_Upload!$E$4:$E$5003,$A9,Customer_Invoices_Upload!$G$4:$G$5003,"*Subscription*",Customer_Invoices_Upload!$B$4:$B$5003,"&gt;="&amp;DATE(2026,12,1),Customer_Invoices_Upload!$B$4:$B$5003,"&lt;"&amp;EDATE(DATE(2026,12,1),1))+COUNTIFS(Stripe_Invoices_Upload!$D$4:$D$5003,$A9,Stripe_Invoices_Upload!$E$4:$E$5003,"*Subscription*",Stripe_Invoices_Upload!$A$4:$A$5003,"&gt;="&amp;DATE(2026,12,1),Stripe_Invoices_Upload!$A$4:$A$5003,"&lt;"&amp;EDATE(DATE(2026,12,1),1)))&gt;0,"✓ Invoiced","⚠ Due"),""),""))</f>
        <v/>
      </c>
      <c r="P9" s="130" t="str">
        <f aca="false">IF($A9="","",IF((DATE(YEAR($E9),MONTH($E9),1)&lt;=DATE(2027,1,1)),IF((MOD(DATEDIF(DATE(YEAR($E9),MONTH($E9),1),DATE(2027,1,1),"m"),IF($D9="Quarterly",3,IF($D9="Annual",12,1)))=0),IF((COUNTIFS(Xero_Raw!$D$4:$D$5003,$A9,Xero_Raw!$G$4:$G$5003,"*Subscription*",Xero_Raw!$A$4:$A$5003,"&gt;="&amp;DATE(2027,1,1),Xero_Raw!$A$4:$A$5003,"&lt;"&amp;EDATE(DATE(2027,1,1),1))+COUNTIFS(Customer_Invoices_Upload!$E$4:$E$5003,$A9,Customer_Invoices_Upload!$G$4:$G$5003,"*Subscription*",Customer_Invoices_Upload!$B$4:$B$5003,"&gt;="&amp;DATE(2027,1,1),Customer_Invoices_Upload!$B$4:$B$5003,"&lt;"&amp;EDATE(DATE(2027,1,1),1))+COUNTIFS(Stripe_Invoices_Upload!$D$4:$D$5003,$A9,Stripe_Invoices_Upload!$E$4:$E$5003,"*Subscription*",Stripe_Invoices_Upload!$A$4:$A$5003,"&gt;="&amp;DATE(2027,1,1),Stripe_Invoices_Upload!$A$4:$A$5003,"&lt;"&amp;EDATE(DATE(2027,1,1),1)))&gt;0,"✓ Invoiced","⚠ Due"),""),""))</f>
        <v/>
      </c>
      <c r="Q9" s="130" t="str">
        <f aca="false">IF($A9="","",IF((DATE(YEAR($E9),MONTH($E9),1)&lt;=DATE(2027,2,1)),IF((MOD(DATEDIF(DATE(YEAR($E9),MONTH($E9),1),DATE(2027,2,1),"m"),IF($D9="Quarterly",3,IF($D9="Annual",12,1)))=0),IF((COUNTIFS(Xero_Raw!$D$4:$D$5003,$A9,Xero_Raw!$G$4:$G$5003,"*Subscription*",Xero_Raw!$A$4:$A$5003,"&gt;="&amp;DATE(2027,2,1),Xero_Raw!$A$4:$A$5003,"&lt;"&amp;EDATE(DATE(2027,2,1),1))+COUNTIFS(Customer_Invoices_Upload!$E$4:$E$5003,$A9,Customer_Invoices_Upload!$G$4:$G$5003,"*Subscription*",Customer_Invoices_Upload!$B$4:$B$5003,"&gt;="&amp;DATE(2027,2,1),Customer_Invoices_Upload!$B$4:$B$5003,"&lt;"&amp;EDATE(DATE(2027,2,1),1))+COUNTIFS(Stripe_Invoices_Upload!$D$4:$D$5003,$A9,Stripe_Invoices_Upload!$E$4:$E$5003,"*Subscription*",Stripe_Invoices_Upload!$A$4:$A$5003,"&gt;="&amp;DATE(2027,2,1),Stripe_Invoices_Upload!$A$4:$A$5003,"&lt;"&amp;EDATE(DATE(2027,2,1),1)))&gt;0,"✓ Invoiced","⚠ Due"),""),""))</f>
        <v/>
      </c>
      <c r="R9" s="130" t="str">
        <f aca="false">IF($A9="","",IF((DATE(YEAR($E9),MONTH($E9),1)&lt;=DATE(2027,3,1)),IF((MOD(DATEDIF(DATE(YEAR($E9),MONTH($E9),1),DATE(2027,3,1),"m"),IF($D9="Quarterly",3,IF($D9="Annual",12,1)))=0),IF((COUNTIFS(Xero_Raw!$D$4:$D$5003,$A9,Xero_Raw!$G$4:$G$5003,"*Subscription*",Xero_Raw!$A$4:$A$5003,"&gt;="&amp;DATE(2027,3,1),Xero_Raw!$A$4:$A$5003,"&lt;"&amp;EDATE(DATE(2027,3,1),1))+COUNTIFS(Customer_Invoices_Upload!$E$4:$E$5003,$A9,Customer_Invoices_Upload!$G$4:$G$5003,"*Subscription*",Customer_Invoices_Upload!$B$4:$B$5003,"&gt;="&amp;DATE(2027,3,1),Customer_Invoices_Upload!$B$4:$B$5003,"&lt;"&amp;EDATE(DATE(2027,3,1),1))+COUNTIFS(Stripe_Invoices_Upload!$D$4:$D$5003,$A9,Stripe_Invoices_Upload!$E$4:$E$5003,"*Subscription*",Stripe_Invoices_Upload!$A$4:$A$5003,"&gt;="&amp;DATE(2027,3,1),Stripe_Invoices_Upload!$A$4:$A$5003,"&lt;"&amp;EDATE(DATE(2027,3,1),1)))&gt;0,"✓ Invoiced","⚠ Due"),""),""))</f>
        <v/>
      </c>
    </row>
    <row r="10" customFormat="false" ht="15" hidden="false" customHeight="false" outlineLevel="0" collapsed="false">
      <c r="A10" s="39"/>
      <c r="B10" s="39"/>
      <c r="C10" s="40"/>
      <c r="D10" s="39"/>
      <c r="E10" s="38"/>
      <c r="F10" s="129" t="str">
        <f aca="true">IF($A10="","",EDATE($E10,DATEDIF($E10,TODAY(),"m")+1))</f>
        <v/>
      </c>
      <c r="G10" s="130" t="str">
        <f aca="false">IF($A10="","",IF((DATE(YEAR($E10),MONTH($E10),1)&lt;=DATE(2026,4,1)),IF((MOD(DATEDIF(DATE(YEAR($E10),MONTH($E10),1),DATE(2026,4,1),"m"),IF($D10="Quarterly",3,IF($D10="Annual",12,1)))=0),IF((COUNTIFS(Xero_Raw!$D$4:$D$5003,$A10,Xero_Raw!$G$4:$G$5003,"*Subscription*",Xero_Raw!$A$4:$A$5003,"&gt;="&amp;DATE(2026,4,1),Xero_Raw!$A$4:$A$5003,"&lt;"&amp;EDATE(DATE(2026,4,1),1))+COUNTIFS(Customer_Invoices_Upload!$E$4:$E$5003,$A10,Customer_Invoices_Upload!$G$4:$G$5003,"*Subscription*",Customer_Invoices_Upload!$B$4:$B$5003,"&gt;="&amp;DATE(2026,4,1),Customer_Invoices_Upload!$B$4:$B$5003,"&lt;"&amp;EDATE(DATE(2026,4,1),1))+COUNTIFS(Stripe_Invoices_Upload!$D$4:$D$5003,$A10,Stripe_Invoices_Upload!$E$4:$E$5003,"*Subscription*",Stripe_Invoices_Upload!$A$4:$A$5003,"&gt;="&amp;DATE(2026,4,1),Stripe_Invoices_Upload!$A$4:$A$5003,"&lt;"&amp;EDATE(DATE(2026,4,1),1)))&gt;0,"✓ Invoiced","⚠ Due"),""),""))</f>
        <v/>
      </c>
      <c r="H10" s="130" t="str">
        <f aca="false">IF($A10="","",IF((DATE(YEAR($E10),MONTH($E10),1)&lt;=DATE(2026,5,1)),IF((MOD(DATEDIF(DATE(YEAR($E10),MONTH($E10),1),DATE(2026,5,1),"m"),IF($D10="Quarterly",3,IF($D10="Annual",12,1)))=0),IF((COUNTIFS(Xero_Raw!$D$4:$D$5003,$A10,Xero_Raw!$G$4:$G$5003,"*Subscription*",Xero_Raw!$A$4:$A$5003,"&gt;="&amp;DATE(2026,5,1),Xero_Raw!$A$4:$A$5003,"&lt;"&amp;EDATE(DATE(2026,5,1),1))+COUNTIFS(Customer_Invoices_Upload!$E$4:$E$5003,$A10,Customer_Invoices_Upload!$G$4:$G$5003,"*Subscription*",Customer_Invoices_Upload!$B$4:$B$5003,"&gt;="&amp;DATE(2026,5,1),Customer_Invoices_Upload!$B$4:$B$5003,"&lt;"&amp;EDATE(DATE(2026,5,1),1))+COUNTIFS(Stripe_Invoices_Upload!$D$4:$D$5003,$A10,Stripe_Invoices_Upload!$E$4:$E$5003,"*Subscription*",Stripe_Invoices_Upload!$A$4:$A$5003,"&gt;="&amp;DATE(2026,5,1),Stripe_Invoices_Upload!$A$4:$A$5003,"&lt;"&amp;EDATE(DATE(2026,5,1),1)))&gt;0,"✓ Invoiced","⚠ Due"),""),""))</f>
        <v/>
      </c>
      <c r="I10" s="130" t="str">
        <f aca="false">IF($A10="","",IF((DATE(YEAR($E10),MONTH($E10),1)&lt;=DATE(2026,6,1)),IF((MOD(DATEDIF(DATE(YEAR($E10),MONTH($E10),1),DATE(2026,6,1),"m"),IF($D10="Quarterly",3,IF($D10="Annual",12,1)))=0),IF((COUNTIFS(Xero_Raw!$D$4:$D$5003,$A10,Xero_Raw!$G$4:$G$5003,"*Subscription*",Xero_Raw!$A$4:$A$5003,"&gt;="&amp;DATE(2026,6,1),Xero_Raw!$A$4:$A$5003,"&lt;"&amp;EDATE(DATE(2026,6,1),1))+COUNTIFS(Customer_Invoices_Upload!$E$4:$E$5003,$A10,Customer_Invoices_Upload!$G$4:$G$5003,"*Subscription*",Customer_Invoices_Upload!$B$4:$B$5003,"&gt;="&amp;DATE(2026,6,1),Customer_Invoices_Upload!$B$4:$B$5003,"&lt;"&amp;EDATE(DATE(2026,6,1),1))+COUNTIFS(Stripe_Invoices_Upload!$D$4:$D$5003,$A10,Stripe_Invoices_Upload!$E$4:$E$5003,"*Subscription*",Stripe_Invoices_Upload!$A$4:$A$5003,"&gt;="&amp;DATE(2026,6,1),Stripe_Invoices_Upload!$A$4:$A$5003,"&lt;"&amp;EDATE(DATE(2026,6,1),1)))&gt;0,"✓ Invoiced","⚠ Due"),""),""))</f>
        <v/>
      </c>
      <c r="J10" s="130" t="str">
        <f aca="false">IF($A10="","",IF((DATE(YEAR($E10),MONTH($E10),1)&lt;=DATE(2026,7,1)),IF((MOD(DATEDIF(DATE(YEAR($E10),MONTH($E10),1),DATE(2026,7,1),"m"),IF($D10="Quarterly",3,IF($D10="Annual",12,1)))=0),IF((COUNTIFS(Xero_Raw!$D$4:$D$5003,$A10,Xero_Raw!$G$4:$G$5003,"*Subscription*",Xero_Raw!$A$4:$A$5003,"&gt;="&amp;DATE(2026,7,1),Xero_Raw!$A$4:$A$5003,"&lt;"&amp;EDATE(DATE(2026,7,1),1))+COUNTIFS(Customer_Invoices_Upload!$E$4:$E$5003,$A10,Customer_Invoices_Upload!$G$4:$G$5003,"*Subscription*",Customer_Invoices_Upload!$B$4:$B$5003,"&gt;="&amp;DATE(2026,7,1),Customer_Invoices_Upload!$B$4:$B$5003,"&lt;"&amp;EDATE(DATE(2026,7,1),1))+COUNTIFS(Stripe_Invoices_Upload!$D$4:$D$5003,$A10,Stripe_Invoices_Upload!$E$4:$E$5003,"*Subscription*",Stripe_Invoices_Upload!$A$4:$A$5003,"&gt;="&amp;DATE(2026,7,1),Stripe_Invoices_Upload!$A$4:$A$5003,"&lt;"&amp;EDATE(DATE(2026,7,1),1)))&gt;0,"✓ Invoiced","⚠ Due"),""),""))</f>
        <v/>
      </c>
      <c r="K10" s="130" t="str">
        <f aca="false">IF($A10="","",IF((DATE(YEAR($E10),MONTH($E10),1)&lt;=DATE(2026,8,1)),IF((MOD(DATEDIF(DATE(YEAR($E10),MONTH($E10),1),DATE(2026,8,1),"m"),IF($D10="Quarterly",3,IF($D10="Annual",12,1)))=0),IF((COUNTIFS(Xero_Raw!$D$4:$D$5003,$A10,Xero_Raw!$G$4:$G$5003,"*Subscription*",Xero_Raw!$A$4:$A$5003,"&gt;="&amp;DATE(2026,8,1),Xero_Raw!$A$4:$A$5003,"&lt;"&amp;EDATE(DATE(2026,8,1),1))+COUNTIFS(Customer_Invoices_Upload!$E$4:$E$5003,$A10,Customer_Invoices_Upload!$G$4:$G$5003,"*Subscription*",Customer_Invoices_Upload!$B$4:$B$5003,"&gt;="&amp;DATE(2026,8,1),Customer_Invoices_Upload!$B$4:$B$5003,"&lt;"&amp;EDATE(DATE(2026,8,1),1))+COUNTIFS(Stripe_Invoices_Upload!$D$4:$D$5003,$A10,Stripe_Invoices_Upload!$E$4:$E$5003,"*Subscription*",Stripe_Invoices_Upload!$A$4:$A$5003,"&gt;="&amp;DATE(2026,8,1),Stripe_Invoices_Upload!$A$4:$A$5003,"&lt;"&amp;EDATE(DATE(2026,8,1),1)))&gt;0,"✓ Invoiced","⚠ Due"),""),""))</f>
        <v/>
      </c>
      <c r="L10" s="130" t="str">
        <f aca="false">IF($A10="","",IF((DATE(YEAR($E10),MONTH($E10),1)&lt;=DATE(2026,9,1)),IF((MOD(DATEDIF(DATE(YEAR($E10),MONTH($E10),1),DATE(2026,9,1),"m"),IF($D10="Quarterly",3,IF($D10="Annual",12,1)))=0),IF((COUNTIFS(Xero_Raw!$D$4:$D$5003,$A10,Xero_Raw!$G$4:$G$5003,"*Subscription*",Xero_Raw!$A$4:$A$5003,"&gt;="&amp;DATE(2026,9,1),Xero_Raw!$A$4:$A$5003,"&lt;"&amp;EDATE(DATE(2026,9,1),1))+COUNTIFS(Customer_Invoices_Upload!$E$4:$E$5003,$A10,Customer_Invoices_Upload!$G$4:$G$5003,"*Subscription*",Customer_Invoices_Upload!$B$4:$B$5003,"&gt;="&amp;DATE(2026,9,1),Customer_Invoices_Upload!$B$4:$B$5003,"&lt;"&amp;EDATE(DATE(2026,9,1),1))+COUNTIFS(Stripe_Invoices_Upload!$D$4:$D$5003,$A10,Stripe_Invoices_Upload!$E$4:$E$5003,"*Subscription*",Stripe_Invoices_Upload!$A$4:$A$5003,"&gt;="&amp;DATE(2026,9,1),Stripe_Invoices_Upload!$A$4:$A$5003,"&lt;"&amp;EDATE(DATE(2026,9,1),1)))&gt;0,"✓ Invoiced","⚠ Due"),""),""))</f>
        <v/>
      </c>
      <c r="M10" s="130" t="str">
        <f aca="false">IF($A10="","",IF((DATE(YEAR($E10),MONTH($E10),1)&lt;=DATE(2026,10,1)),IF((MOD(DATEDIF(DATE(YEAR($E10),MONTH($E10),1),DATE(2026,10,1),"m"),IF($D10="Quarterly",3,IF($D10="Annual",12,1)))=0),IF((COUNTIFS(Xero_Raw!$D$4:$D$5003,$A10,Xero_Raw!$G$4:$G$5003,"*Subscription*",Xero_Raw!$A$4:$A$5003,"&gt;="&amp;DATE(2026,10,1),Xero_Raw!$A$4:$A$5003,"&lt;"&amp;EDATE(DATE(2026,10,1),1))+COUNTIFS(Customer_Invoices_Upload!$E$4:$E$5003,$A10,Customer_Invoices_Upload!$G$4:$G$5003,"*Subscription*",Customer_Invoices_Upload!$B$4:$B$5003,"&gt;="&amp;DATE(2026,10,1),Customer_Invoices_Upload!$B$4:$B$5003,"&lt;"&amp;EDATE(DATE(2026,10,1),1))+COUNTIFS(Stripe_Invoices_Upload!$D$4:$D$5003,$A10,Stripe_Invoices_Upload!$E$4:$E$5003,"*Subscription*",Stripe_Invoices_Upload!$A$4:$A$5003,"&gt;="&amp;DATE(2026,10,1),Stripe_Invoices_Upload!$A$4:$A$5003,"&lt;"&amp;EDATE(DATE(2026,10,1),1)))&gt;0,"✓ Invoiced","⚠ Due"),""),""))</f>
        <v/>
      </c>
      <c r="N10" s="130" t="str">
        <f aca="false">IF($A10="","",IF((DATE(YEAR($E10),MONTH($E10),1)&lt;=DATE(2026,11,1)),IF((MOD(DATEDIF(DATE(YEAR($E10),MONTH($E10),1),DATE(2026,11,1),"m"),IF($D10="Quarterly",3,IF($D10="Annual",12,1)))=0),IF((COUNTIFS(Xero_Raw!$D$4:$D$5003,$A10,Xero_Raw!$G$4:$G$5003,"*Subscription*",Xero_Raw!$A$4:$A$5003,"&gt;="&amp;DATE(2026,11,1),Xero_Raw!$A$4:$A$5003,"&lt;"&amp;EDATE(DATE(2026,11,1),1))+COUNTIFS(Customer_Invoices_Upload!$E$4:$E$5003,$A10,Customer_Invoices_Upload!$G$4:$G$5003,"*Subscription*",Customer_Invoices_Upload!$B$4:$B$5003,"&gt;="&amp;DATE(2026,11,1),Customer_Invoices_Upload!$B$4:$B$5003,"&lt;"&amp;EDATE(DATE(2026,11,1),1))+COUNTIFS(Stripe_Invoices_Upload!$D$4:$D$5003,$A10,Stripe_Invoices_Upload!$E$4:$E$5003,"*Subscription*",Stripe_Invoices_Upload!$A$4:$A$5003,"&gt;="&amp;DATE(2026,11,1),Stripe_Invoices_Upload!$A$4:$A$5003,"&lt;"&amp;EDATE(DATE(2026,11,1),1)))&gt;0,"✓ Invoiced","⚠ Due"),""),""))</f>
        <v/>
      </c>
      <c r="O10" s="130" t="str">
        <f aca="false">IF($A10="","",IF((DATE(YEAR($E10),MONTH($E10),1)&lt;=DATE(2026,12,1)),IF((MOD(DATEDIF(DATE(YEAR($E10),MONTH($E10),1),DATE(2026,12,1),"m"),IF($D10="Quarterly",3,IF($D10="Annual",12,1)))=0),IF((COUNTIFS(Xero_Raw!$D$4:$D$5003,$A10,Xero_Raw!$G$4:$G$5003,"*Subscription*",Xero_Raw!$A$4:$A$5003,"&gt;="&amp;DATE(2026,12,1),Xero_Raw!$A$4:$A$5003,"&lt;"&amp;EDATE(DATE(2026,12,1),1))+COUNTIFS(Customer_Invoices_Upload!$E$4:$E$5003,$A10,Customer_Invoices_Upload!$G$4:$G$5003,"*Subscription*",Customer_Invoices_Upload!$B$4:$B$5003,"&gt;="&amp;DATE(2026,12,1),Customer_Invoices_Upload!$B$4:$B$5003,"&lt;"&amp;EDATE(DATE(2026,12,1),1))+COUNTIFS(Stripe_Invoices_Upload!$D$4:$D$5003,$A10,Stripe_Invoices_Upload!$E$4:$E$5003,"*Subscription*",Stripe_Invoices_Upload!$A$4:$A$5003,"&gt;="&amp;DATE(2026,12,1),Stripe_Invoices_Upload!$A$4:$A$5003,"&lt;"&amp;EDATE(DATE(2026,12,1),1)))&gt;0,"✓ Invoiced","⚠ Due"),""),""))</f>
        <v/>
      </c>
      <c r="P10" s="130" t="str">
        <f aca="false">IF($A10="","",IF((DATE(YEAR($E10),MONTH($E10),1)&lt;=DATE(2027,1,1)),IF((MOD(DATEDIF(DATE(YEAR($E10),MONTH($E10),1),DATE(2027,1,1),"m"),IF($D10="Quarterly",3,IF($D10="Annual",12,1)))=0),IF((COUNTIFS(Xero_Raw!$D$4:$D$5003,$A10,Xero_Raw!$G$4:$G$5003,"*Subscription*",Xero_Raw!$A$4:$A$5003,"&gt;="&amp;DATE(2027,1,1),Xero_Raw!$A$4:$A$5003,"&lt;"&amp;EDATE(DATE(2027,1,1),1))+COUNTIFS(Customer_Invoices_Upload!$E$4:$E$5003,$A10,Customer_Invoices_Upload!$G$4:$G$5003,"*Subscription*",Customer_Invoices_Upload!$B$4:$B$5003,"&gt;="&amp;DATE(2027,1,1),Customer_Invoices_Upload!$B$4:$B$5003,"&lt;"&amp;EDATE(DATE(2027,1,1),1))+COUNTIFS(Stripe_Invoices_Upload!$D$4:$D$5003,$A10,Stripe_Invoices_Upload!$E$4:$E$5003,"*Subscription*",Stripe_Invoices_Upload!$A$4:$A$5003,"&gt;="&amp;DATE(2027,1,1),Stripe_Invoices_Upload!$A$4:$A$5003,"&lt;"&amp;EDATE(DATE(2027,1,1),1)))&gt;0,"✓ Invoiced","⚠ Due"),""),""))</f>
        <v/>
      </c>
      <c r="Q10" s="130" t="str">
        <f aca="false">IF($A10="","",IF((DATE(YEAR($E10),MONTH($E10),1)&lt;=DATE(2027,2,1)),IF((MOD(DATEDIF(DATE(YEAR($E10),MONTH($E10),1),DATE(2027,2,1),"m"),IF($D10="Quarterly",3,IF($D10="Annual",12,1)))=0),IF((COUNTIFS(Xero_Raw!$D$4:$D$5003,$A10,Xero_Raw!$G$4:$G$5003,"*Subscription*",Xero_Raw!$A$4:$A$5003,"&gt;="&amp;DATE(2027,2,1),Xero_Raw!$A$4:$A$5003,"&lt;"&amp;EDATE(DATE(2027,2,1),1))+COUNTIFS(Customer_Invoices_Upload!$E$4:$E$5003,$A10,Customer_Invoices_Upload!$G$4:$G$5003,"*Subscription*",Customer_Invoices_Upload!$B$4:$B$5003,"&gt;="&amp;DATE(2027,2,1),Customer_Invoices_Upload!$B$4:$B$5003,"&lt;"&amp;EDATE(DATE(2027,2,1),1))+COUNTIFS(Stripe_Invoices_Upload!$D$4:$D$5003,$A10,Stripe_Invoices_Upload!$E$4:$E$5003,"*Subscription*",Stripe_Invoices_Upload!$A$4:$A$5003,"&gt;="&amp;DATE(2027,2,1),Stripe_Invoices_Upload!$A$4:$A$5003,"&lt;"&amp;EDATE(DATE(2027,2,1),1)))&gt;0,"✓ Invoiced","⚠ Due"),""),""))</f>
        <v/>
      </c>
      <c r="R10" s="130" t="str">
        <f aca="false">IF($A10="","",IF((DATE(YEAR($E10),MONTH($E10),1)&lt;=DATE(2027,3,1)),IF((MOD(DATEDIF(DATE(YEAR($E10),MONTH($E10),1),DATE(2027,3,1),"m"),IF($D10="Quarterly",3,IF($D10="Annual",12,1)))=0),IF((COUNTIFS(Xero_Raw!$D$4:$D$5003,$A10,Xero_Raw!$G$4:$G$5003,"*Subscription*",Xero_Raw!$A$4:$A$5003,"&gt;="&amp;DATE(2027,3,1),Xero_Raw!$A$4:$A$5003,"&lt;"&amp;EDATE(DATE(2027,3,1),1))+COUNTIFS(Customer_Invoices_Upload!$E$4:$E$5003,$A10,Customer_Invoices_Upload!$G$4:$G$5003,"*Subscription*",Customer_Invoices_Upload!$B$4:$B$5003,"&gt;="&amp;DATE(2027,3,1),Customer_Invoices_Upload!$B$4:$B$5003,"&lt;"&amp;EDATE(DATE(2027,3,1),1))+COUNTIFS(Stripe_Invoices_Upload!$D$4:$D$5003,$A10,Stripe_Invoices_Upload!$E$4:$E$5003,"*Subscription*",Stripe_Invoices_Upload!$A$4:$A$5003,"&gt;="&amp;DATE(2027,3,1),Stripe_Invoices_Upload!$A$4:$A$5003,"&lt;"&amp;EDATE(DATE(2027,3,1),1)))&gt;0,"✓ Invoiced","⚠ Due"),""),""))</f>
        <v/>
      </c>
    </row>
    <row r="11" customFormat="false" ht="15" hidden="false" customHeight="false" outlineLevel="0" collapsed="false">
      <c r="A11" s="39"/>
      <c r="B11" s="39"/>
      <c r="C11" s="40"/>
      <c r="D11" s="39"/>
      <c r="E11" s="38"/>
      <c r="F11" s="129" t="str">
        <f aca="true">IF($A11="","",EDATE($E11,DATEDIF($E11,TODAY(),"m")+1))</f>
        <v/>
      </c>
      <c r="G11" s="130" t="str">
        <f aca="false">IF($A11="","",IF((DATE(YEAR($E11),MONTH($E11),1)&lt;=DATE(2026,4,1)),IF((MOD(DATEDIF(DATE(YEAR($E11),MONTH($E11),1),DATE(2026,4,1),"m"),IF($D11="Quarterly",3,IF($D11="Annual",12,1)))=0),IF((COUNTIFS(Xero_Raw!$D$4:$D$5003,$A11,Xero_Raw!$G$4:$G$5003,"*Subscription*",Xero_Raw!$A$4:$A$5003,"&gt;="&amp;DATE(2026,4,1),Xero_Raw!$A$4:$A$5003,"&lt;"&amp;EDATE(DATE(2026,4,1),1))+COUNTIFS(Customer_Invoices_Upload!$E$4:$E$5003,$A11,Customer_Invoices_Upload!$G$4:$G$5003,"*Subscription*",Customer_Invoices_Upload!$B$4:$B$5003,"&gt;="&amp;DATE(2026,4,1),Customer_Invoices_Upload!$B$4:$B$5003,"&lt;"&amp;EDATE(DATE(2026,4,1),1))+COUNTIFS(Stripe_Invoices_Upload!$D$4:$D$5003,$A11,Stripe_Invoices_Upload!$E$4:$E$5003,"*Subscription*",Stripe_Invoices_Upload!$A$4:$A$5003,"&gt;="&amp;DATE(2026,4,1),Stripe_Invoices_Upload!$A$4:$A$5003,"&lt;"&amp;EDATE(DATE(2026,4,1),1)))&gt;0,"✓ Invoiced","⚠ Due"),""),""))</f>
        <v/>
      </c>
      <c r="H11" s="130" t="str">
        <f aca="false">IF($A11="","",IF((DATE(YEAR($E11),MONTH($E11),1)&lt;=DATE(2026,5,1)),IF((MOD(DATEDIF(DATE(YEAR($E11),MONTH($E11),1),DATE(2026,5,1),"m"),IF($D11="Quarterly",3,IF($D11="Annual",12,1)))=0),IF((COUNTIFS(Xero_Raw!$D$4:$D$5003,$A11,Xero_Raw!$G$4:$G$5003,"*Subscription*",Xero_Raw!$A$4:$A$5003,"&gt;="&amp;DATE(2026,5,1),Xero_Raw!$A$4:$A$5003,"&lt;"&amp;EDATE(DATE(2026,5,1),1))+COUNTIFS(Customer_Invoices_Upload!$E$4:$E$5003,$A11,Customer_Invoices_Upload!$G$4:$G$5003,"*Subscription*",Customer_Invoices_Upload!$B$4:$B$5003,"&gt;="&amp;DATE(2026,5,1),Customer_Invoices_Upload!$B$4:$B$5003,"&lt;"&amp;EDATE(DATE(2026,5,1),1))+COUNTIFS(Stripe_Invoices_Upload!$D$4:$D$5003,$A11,Stripe_Invoices_Upload!$E$4:$E$5003,"*Subscription*",Stripe_Invoices_Upload!$A$4:$A$5003,"&gt;="&amp;DATE(2026,5,1),Stripe_Invoices_Upload!$A$4:$A$5003,"&lt;"&amp;EDATE(DATE(2026,5,1),1)))&gt;0,"✓ Invoiced","⚠ Due"),""),""))</f>
        <v/>
      </c>
      <c r="I11" s="130" t="str">
        <f aca="false">IF($A11="","",IF((DATE(YEAR($E11),MONTH($E11),1)&lt;=DATE(2026,6,1)),IF((MOD(DATEDIF(DATE(YEAR($E11),MONTH($E11),1),DATE(2026,6,1),"m"),IF($D11="Quarterly",3,IF($D11="Annual",12,1)))=0),IF((COUNTIFS(Xero_Raw!$D$4:$D$5003,$A11,Xero_Raw!$G$4:$G$5003,"*Subscription*",Xero_Raw!$A$4:$A$5003,"&gt;="&amp;DATE(2026,6,1),Xero_Raw!$A$4:$A$5003,"&lt;"&amp;EDATE(DATE(2026,6,1),1))+COUNTIFS(Customer_Invoices_Upload!$E$4:$E$5003,$A11,Customer_Invoices_Upload!$G$4:$G$5003,"*Subscription*",Customer_Invoices_Upload!$B$4:$B$5003,"&gt;="&amp;DATE(2026,6,1),Customer_Invoices_Upload!$B$4:$B$5003,"&lt;"&amp;EDATE(DATE(2026,6,1),1))+COUNTIFS(Stripe_Invoices_Upload!$D$4:$D$5003,$A11,Stripe_Invoices_Upload!$E$4:$E$5003,"*Subscription*",Stripe_Invoices_Upload!$A$4:$A$5003,"&gt;="&amp;DATE(2026,6,1),Stripe_Invoices_Upload!$A$4:$A$5003,"&lt;"&amp;EDATE(DATE(2026,6,1),1)))&gt;0,"✓ Invoiced","⚠ Due"),""),""))</f>
        <v/>
      </c>
      <c r="J11" s="130" t="str">
        <f aca="false">IF($A11="","",IF((DATE(YEAR($E11),MONTH($E11),1)&lt;=DATE(2026,7,1)),IF((MOD(DATEDIF(DATE(YEAR($E11),MONTH($E11),1),DATE(2026,7,1),"m"),IF($D11="Quarterly",3,IF($D11="Annual",12,1)))=0),IF((COUNTIFS(Xero_Raw!$D$4:$D$5003,$A11,Xero_Raw!$G$4:$G$5003,"*Subscription*",Xero_Raw!$A$4:$A$5003,"&gt;="&amp;DATE(2026,7,1),Xero_Raw!$A$4:$A$5003,"&lt;"&amp;EDATE(DATE(2026,7,1),1))+COUNTIFS(Customer_Invoices_Upload!$E$4:$E$5003,$A11,Customer_Invoices_Upload!$G$4:$G$5003,"*Subscription*",Customer_Invoices_Upload!$B$4:$B$5003,"&gt;="&amp;DATE(2026,7,1),Customer_Invoices_Upload!$B$4:$B$5003,"&lt;"&amp;EDATE(DATE(2026,7,1),1))+COUNTIFS(Stripe_Invoices_Upload!$D$4:$D$5003,$A11,Stripe_Invoices_Upload!$E$4:$E$5003,"*Subscription*",Stripe_Invoices_Upload!$A$4:$A$5003,"&gt;="&amp;DATE(2026,7,1),Stripe_Invoices_Upload!$A$4:$A$5003,"&lt;"&amp;EDATE(DATE(2026,7,1),1)))&gt;0,"✓ Invoiced","⚠ Due"),""),""))</f>
        <v/>
      </c>
      <c r="K11" s="130" t="str">
        <f aca="false">IF($A11="","",IF((DATE(YEAR($E11),MONTH($E11),1)&lt;=DATE(2026,8,1)),IF((MOD(DATEDIF(DATE(YEAR($E11),MONTH($E11),1),DATE(2026,8,1),"m"),IF($D11="Quarterly",3,IF($D11="Annual",12,1)))=0),IF((COUNTIFS(Xero_Raw!$D$4:$D$5003,$A11,Xero_Raw!$G$4:$G$5003,"*Subscription*",Xero_Raw!$A$4:$A$5003,"&gt;="&amp;DATE(2026,8,1),Xero_Raw!$A$4:$A$5003,"&lt;"&amp;EDATE(DATE(2026,8,1),1))+COUNTIFS(Customer_Invoices_Upload!$E$4:$E$5003,$A11,Customer_Invoices_Upload!$G$4:$G$5003,"*Subscription*",Customer_Invoices_Upload!$B$4:$B$5003,"&gt;="&amp;DATE(2026,8,1),Customer_Invoices_Upload!$B$4:$B$5003,"&lt;"&amp;EDATE(DATE(2026,8,1),1))+COUNTIFS(Stripe_Invoices_Upload!$D$4:$D$5003,$A11,Stripe_Invoices_Upload!$E$4:$E$5003,"*Subscription*",Stripe_Invoices_Upload!$A$4:$A$5003,"&gt;="&amp;DATE(2026,8,1),Stripe_Invoices_Upload!$A$4:$A$5003,"&lt;"&amp;EDATE(DATE(2026,8,1),1)))&gt;0,"✓ Invoiced","⚠ Due"),""),""))</f>
        <v/>
      </c>
      <c r="L11" s="130" t="str">
        <f aca="false">IF($A11="","",IF((DATE(YEAR($E11),MONTH($E11),1)&lt;=DATE(2026,9,1)),IF((MOD(DATEDIF(DATE(YEAR($E11),MONTH($E11),1),DATE(2026,9,1),"m"),IF($D11="Quarterly",3,IF($D11="Annual",12,1)))=0),IF((COUNTIFS(Xero_Raw!$D$4:$D$5003,$A11,Xero_Raw!$G$4:$G$5003,"*Subscription*",Xero_Raw!$A$4:$A$5003,"&gt;="&amp;DATE(2026,9,1),Xero_Raw!$A$4:$A$5003,"&lt;"&amp;EDATE(DATE(2026,9,1),1))+COUNTIFS(Customer_Invoices_Upload!$E$4:$E$5003,$A11,Customer_Invoices_Upload!$G$4:$G$5003,"*Subscription*",Customer_Invoices_Upload!$B$4:$B$5003,"&gt;="&amp;DATE(2026,9,1),Customer_Invoices_Upload!$B$4:$B$5003,"&lt;"&amp;EDATE(DATE(2026,9,1),1))+COUNTIFS(Stripe_Invoices_Upload!$D$4:$D$5003,$A11,Stripe_Invoices_Upload!$E$4:$E$5003,"*Subscription*",Stripe_Invoices_Upload!$A$4:$A$5003,"&gt;="&amp;DATE(2026,9,1),Stripe_Invoices_Upload!$A$4:$A$5003,"&lt;"&amp;EDATE(DATE(2026,9,1),1)))&gt;0,"✓ Invoiced","⚠ Due"),""),""))</f>
        <v/>
      </c>
      <c r="M11" s="130" t="str">
        <f aca="false">IF($A11="","",IF((DATE(YEAR($E11),MONTH($E11),1)&lt;=DATE(2026,10,1)),IF((MOD(DATEDIF(DATE(YEAR($E11),MONTH($E11),1),DATE(2026,10,1),"m"),IF($D11="Quarterly",3,IF($D11="Annual",12,1)))=0),IF((COUNTIFS(Xero_Raw!$D$4:$D$5003,$A11,Xero_Raw!$G$4:$G$5003,"*Subscription*",Xero_Raw!$A$4:$A$5003,"&gt;="&amp;DATE(2026,10,1),Xero_Raw!$A$4:$A$5003,"&lt;"&amp;EDATE(DATE(2026,10,1),1))+COUNTIFS(Customer_Invoices_Upload!$E$4:$E$5003,$A11,Customer_Invoices_Upload!$G$4:$G$5003,"*Subscription*",Customer_Invoices_Upload!$B$4:$B$5003,"&gt;="&amp;DATE(2026,10,1),Customer_Invoices_Upload!$B$4:$B$5003,"&lt;"&amp;EDATE(DATE(2026,10,1),1))+COUNTIFS(Stripe_Invoices_Upload!$D$4:$D$5003,$A11,Stripe_Invoices_Upload!$E$4:$E$5003,"*Subscription*",Stripe_Invoices_Upload!$A$4:$A$5003,"&gt;="&amp;DATE(2026,10,1),Stripe_Invoices_Upload!$A$4:$A$5003,"&lt;"&amp;EDATE(DATE(2026,10,1),1)))&gt;0,"✓ Invoiced","⚠ Due"),""),""))</f>
        <v/>
      </c>
      <c r="N11" s="130" t="str">
        <f aca="false">IF($A11="","",IF((DATE(YEAR($E11),MONTH($E11),1)&lt;=DATE(2026,11,1)),IF((MOD(DATEDIF(DATE(YEAR($E11),MONTH($E11),1),DATE(2026,11,1),"m"),IF($D11="Quarterly",3,IF($D11="Annual",12,1)))=0),IF((COUNTIFS(Xero_Raw!$D$4:$D$5003,$A11,Xero_Raw!$G$4:$G$5003,"*Subscription*",Xero_Raw!$A$4:$A$5003,"&gt;="&amp;DATE(2026,11,1),Xero_Raw!$A$4:$A$5003,"&lt;"&amp;EDATE(DATE(2026,11,1),1))+COUNTIFS(Customer_Invoices_Upload!$E$4:$E$5003,$A11,Customer_Invoices_Upload!$G$4:$G$5003,"*Subscription*",Customer_Invoices_Upload!$B$4:$B$5003,"&gt;="&amp;DATE(2026,11,1),Customer_Invoices_Upload!$B$4:$B$5003,"&lt;"&amp;EDATE(DATE(2026,11,1),1))+COUNTIFS(Stripe_Invoices_Upload!$D$4:$D$5003,$A11,Stripe_Invoices_Upload!$E$4:$E$5003,"*Subscription*",Stripe_Invoices_Upload!$A$4:$A$5003,"&gt;="&amp;DATE(2026,11,1),Stripe_Invoices_Upload!$A$4:$A$5003,"&lt;"&amp;EDATE(DATE(2026,11,1),1)))&gt;0,"✓ Invoiced","⚠ Due"),""),""))</f>
        <v/>
      </c>
      <c r="O11" s="130" t="str">
        <f aca="false">IF($A11="","",IF((DATE(YEAR($E11),MONTH($E11),1)&lt;=DATE(2026,12,1)),IF((MOD(DATEDIF(DATE(YEAR($E11),MONTH($E11),1),DATE(2026,12,1),"m"),IF($D11="Quarterly",3,IF($D11="Annual",12,1)))=0),IF((COUNTIFS(Xero_Raw!$D$4:$D$5003,$A11,Xero_Raw!$G$4:$G$5003,"*Subscription*",Xero_Raw!$A$4:$A$5003,"&gt;="&amp;DATE(2026,12,1),Xero_Raw!$A$4:$A$5003,"&lt;"&amp;EDATE(DATE(2026,12,1),1))+COUNTIFS(Customer_Invoices_Upload!$E$4:$E$5003,$A11,Customer_Invoices_Upload!$G$4:$G$5003,"*Subscription*",Customer_Invoices_Upload!$B$4:$B$5003,"&gt;="&amp;DATE(2026,12,1),Customer_Invoices_Upload!$B$4:$B$5003,"&lt;"&amp;EDATE(DATE(2026,12,1),1))+COUNTIFS(Stripe_Invoices_Upload!$D$4:$D$5003,$A11,Stripe_Invoices_Upload!$E$4:$E$5003,"*Subscription*",Stripe_Invoices_Upload!$A$4:$A$5003,"&gt;="&amp;DATE(2026,12,1),Stripe_Invoices_Upload!$A$4:$A$5003,"&lt;"&amp;EDATE(DATE(2026,12,1),1)))&gt;0,"✓ Invoiced","⚠ Due"),""),""))</f>
        <v/>
      </c>
      <c r="P11" s="130" t="str">
        <f aca="false">IF($A11="","",IF((DATE(YEAR($E11),MONTH($E11),1)&lt;=DATE(2027,1,1)),IF((MOD(DATEDIF(DATE(YEAR($E11),MONTH($E11),1),DATE(2027,1,1),"m"),IF($D11="Quarterly",3,IF($D11="Annual",12,1)))=0),IF((COUNTIFS(Xero_Raw!$D$4:$D$5003,$A11,Xero_Raw!$G$4:$G$5003,"*Subscription*",Xero_Raw!$A$4:$A$5003,"&gt;="&amp;DATE(2027,1,1),Xero_Raw!$A$4:$A$5003,"&lt;"&amp;EDATE(DATE(2027,1,1),1))+COUNTIFS(Customer_Invoices_Upload!$E$4:$E$5003,$A11,Customer_Invoices_Upload!$G$4:$G$5003,"*Subscription*",Customer_Invoices_Upload!$B$4:$B$5003,"&gt;="&amp;DATE(2027,1,1),Customer_Invoices_Upload!$B$4:$B$5003,"&lt;"&amp;EDATE(DATE(2027,1,1),1))+COUNTIFS(Stripe_Invoices_Upload!$D$4:$D$5003,$A11,Stripe_Invoices_Upload!$E$4:$E$5003,"*Subscription*",Stripe_Invoices_Upload!$A$4:$A$5003,"&gt;="&amp;DATE(2027,1,1),Stripe_Invoices_Upload!$A$4:$A$5003,"&lt;"&amp;EDATE(DATE(2027,1,1),1)))&gt;0,"✓ Invoiced","⚠ Due"),""),""))</f>
        <v/>
      </c>
      <c r="Q11" s="130" t="str">
        <f aca="false">IF($A11="","",IF((DATE(YEAR($E11),MONTH($E11),1)&lt;=DATE(2027,2,1)),IF((MOD(DATEDIF(DATE(YEAR($E11),MONTH($E11),1),DATE(2027,2,1),"m"),IF($D11="Quarterly",3,IF($D11="Annual",12,1)))=0),IF((COUNTIFS(Xero_Raw!$D$4:$D$5003,$A11,Xero_Raw!$G$4:$G$5003,"*Subscription*",Xero_Raw!$A$4:$A$5003,"&gt;="&amp;DATE(2027,2,1),Xero_Raw!$A$4:$A$5003,"&lt;"&amp;EDATE(DATE(2027,2,1),1))+COUNTIFS(Customer_Invoices_Upload!$E$4:$E$5003,$A11,Customer_Invoices_Upload!$G$4:$G$5003,"*Subscription*",Customer_Invoices_Upload!$B$4:$B$5003,"&gt;="&amp;DATE(2027,2,1),Customer_Invoices_Upload!$B$4:$B$5003,"&lt;"&amp;EDATE(DATE(2027,2,1),1))+COUNTIFS(Stripe_Invoices_Upload!$D$4:$D$5003,$A11,Stripe_Invoices_Upload!$E$4:$E$5003,"*Subscription*",Stripe_Invoices_Upload!$A$4:$A$5003,"&gt;="&amp;DATE(2027,2,1),Stripe_Invoices_Upload!$A$4:$A$5003,"&lt;"&amp;EDATE(DATE(2027,2,1),1)))&gt;0,"✓ Invoiced","⚠ Due"),""),""))</f>
        <v/>
      </c>
      <c r="R11" s="130" t="str">
        <f aca="false">IF($A11="","",IF((DATE(YEAR($E11),MONTH($E11),1)&lt;=DATE(2027,3,1)),IF((MOD(DATEDIF(DATE(YEAR($E11),MONTH($E11),1),DATE(2027,3,1),"m"),IF($D11="Quarterly",3,IF($D11="Annual",12,1)))=0),IF((COUNTIFS(Xero_Raw!$D$4:$D$5003,$A11,Xero_Raw!$G$4:$G$5003,"*Subscription*",Xero_Raw!$A$4:$A$5003,"&gt;="&amp;DATE(2027,3,1),Xero_Raw!$A$4:$A$5003,"&lt;"&amp;EDATE(DATE(2027,3,1),1))+COUNTIFS(Customer_Invoices_Upload!$E$4:$E$5003,$A11,Customer_Invoices_Upload!$G$4:$G$5003,"*Subscription*",Customer_Invoices_Upload!$B$4:$B$5003,"&gt;="&amp;DATE(2027,3,1),Customer_Invoices_Upload!$B$4:$B$5003,"&lt;"&amp;EDATE(DATE(2027,3,1),1))+COUNTIFS(Stripe_Invoices_Upload!$D$4:$D$5003,$A11,Stripe_Invoices_Upload!$E$4:$E$5003,"*Subscription*",Stripe_Invoices_Upload!$A$4:$A$5003,"&gt;="&amp;DATE(2027,3,1),Stripe_Invoices_Upload!$A$4:$A$5003,"&lt;"&amp;EDATE(DATE(2027,3,1),1)))&gt;0,"✓ Invoiced","⚠ Due"),""),""))</f>
        <v/>
      </c>
    </row>
    <row r="12" customFormat="false" ht="15" hidden="false" customHeight="false" outlineLevel="0" collapsed="false">
      <c r="A12" s="39"/>
      <c r="B12" s="39"/>
      <c r="C12" s="40"/>
      <c r="D12" s="39"/>
      <c r="E12" s="38"/>
      <c r="F12" s="129" t="str">
        <f aca="true">IF($A12="","",EDATE($E12,DATEDIF($E12,TODAY(),"m")+1))</f>
        <v/>
      </c>
      <c r="G12" s="130" t="str">
        <f aca="false">IF($A12="","",IF((DATE(YEAR($E12),MONTH($E12),1)&lt;=DATE(2026,4,1)),IF((MOD(DATEDIF(DATE(YEAR($E12),MONTH($E12),1),DATE(2026,4,1),"m"),IF($D12="Quarterly",3,IF($D12="Annual",12,1)))=0),IF((COUNTIFS(Xero_Raw!$D$4:$D$5003,$A12,Xero_Raw!$G$4:$G$5003,"*Subscription*",Xero_Raw!$A$4:$A$5003,"&gt;="&amp;DATE(2026,4,1),Xero_Raw!$A$4:$A$5003,"&lt;"&amp;EDATE(DATE(2026,4,1),1))+COUNTIFS(Customer_Invoices_Upload!$E$4:$E$5003,$A12,Customer_Invoices_Upload!$G$4:$G$5003,"*Subscription*",Customer_Invoices_Upload!$B$4:$B$5003,"&gt;="&amp;DATE(2026,4,1),Customer_Invoices_Upload!$B$4:$B$5003,"&lt;"&amp;EDATE(DATE(2026,4,1),1))+COUNTIFS(Stripe_Invoices_Upload!$D$4:$D$5003,$A12,Stripe_Invoices_Upload!$E$4:$E$5003,"*Subscription*",Stripe_Invoices_Upload!$A$4:$A$5003,"&gt;="&amp;DATE(2026,4,1),Stripe_Invoices_Upload!$A$4:$A$5003,"&lt;"&amp;EDATE(DATE(2026,4,1),1)))&gt;0,"✓ Invoiced","⚠ Due"),""),""))</f>
        <v/>
      </c>
      <c r="H12" s="130" t="str">
        <f aca="false">IF($A12="","",IF((DATE(YEAR($E12),MONTH($E12),1)&lt;=DATE(2026,5,1)),IF((MOD(DATEDIF(DATE(YEAR($E12),MONTH($E12),1),DATE(2026,5,1),"m"),IF($D12="Quarterly",3,IF($D12="Annual",12,1)))=0),IF((COUNTIFS(Xero_Raw!$D$4:$D$5003,$A12,Xero_Raw!$G$4:$G$5003,"*Subscription*",Xero_Raw!$A$4:$A$5003,"&gt;="&amp;DATE(2026,5,1),Xero_Raw!$A$4:$A$5003,"&lt;"&amp;EDATE(DATE(2026,5,1),1))+COUNTIFS(Customer_Invoices_Upload!$E$4:$E$5003,$A12,Customer_Invoices_Upload!$G$4:$G$5003,"*Subscription*",Customer_Invoices_Upload!$B$4:$B$5003,"&gt;="&amp;DATE(2026,5,1),Customer_Invoices_Upload!$B$4:$B$5003,"&lt;"&amp;EDATE(DATE(2026,5,1),1))+COUNTIFS(Stripe_Invoices_Upload!$D$4:$D$5003,$A12,Stripe_Invoices_Upload!$E$4:$E$5003,"*Subscription*",Stripe_Invoices_Upload!$A$4:$A$5003,"&gt;="&amp;DATE(2026,5,1),Stripe_Invoices_Upload!$A$4:$A$5003,"&lt;"&amp;EDATE(DATE(2026,5,1),1)))&gt;0,"✓ Invoiced","⚠ Due"),""),""))</f>
        <v/>
      </c>
      <c r="I12" s="130" t="str">
        <f aca="false">IF($A12="","",IF((DATE(YEAR($E12),MONTH($E12),1)&lt;=DATE(2026,6,1)),IF((MOD(DATEDIF(DATE(YEAR($E12),MONTH($E12),1),DATE(2026,6,1),"m"),IF($D12="Quarterly",3,IF($D12="Annual",12,1)))=0),IF((COUNTIFS(Xero_Raw!$D$4:$D$5003,$A12,Xero_Raw!$G$4:$G$5003,"*Subscription*",Xero_Raw!$A$4:$A$5003,"&gt;="&amp;DATE(2026,6,1),Xero_Raw!$A$4:$A$5003,"&lt;"&amp;EDATE(DATE(2026,6,1),1))+COUNTIFS(Customer_Invoices_Upload!$E$4:$E$5003,$A12,Customer_Invoices_Upload!$G$4:$G$5003,"*Subscription*",Customer_Invoices_Upload!$B$4:$B$5003,"&gt;="&amp;DATE(2026,6,1),Customer_Invoices_Upload!$B$4:$B$5003,"&lt;"&amp;EDATE(DATE(2026,6,1),1))+COUNTIFS(Stripe_Invoices_Upload!$D$4:$D$5003,$A12,Stripe_Invoices_Upload!$E$4:$E$5003,"*Subscription*",Stripe_Invoices_Upload!$A$4:$A$5003,"&gt;="&amp;DATE(2026,6,1),Stripe_Invoices_Upload!$A$4:$A$5003,"&lt;"&amp;EDATE(DATE(2026,6,1),1)))&gt;0,"✓ Invoiced","⚠ Due"),""),""))</f>
        <v/>
      </c>
      <c r="J12" s="130" t="str">
        <f aca="false">IF($A12="","",IF((DATE(YEAR($E12),MONTH($E12),1)&lt;=DATE(2026,7,1)),IF((MOD(DATEDIF(DATE(YEAR($E12),MONTH($E12),1),DATE(2026,7,1),"m"),IF($D12="Quarterly",3,IF($D12="Annual",12,1)))=0),IF((COUNTIFS(Xero_Raw!$D$4:$D$5003,$A12,Xero_Raw!$G$4:$G$5003,"*Subscription*",Xero_Raw!$A$4:$A$5003,"&gt;="&amp;DATE(2026,7,1),Xero_Raw!$A$4:$A$5003,"&lt;"&amp;EDATE(DATE(2026,7,1),1))+COUNTIFS(Customer_Invoices_Upload!$E$4:$E$5003,$A12,Customer_Invoices_Upload!$G$4:$G$5003,"*Subscription*",Customer_Invoices_Upload!$B$4:$B$5003,"&gt;="&amp;DATE(2026,7,1),Customer_Invoices_Upload!$B$4:$B$5003,"&lt;"&amp;EDATE(DATE(2026,7,1),1))+COUNTIFS(Stripe_Invoices_Upload!$D$4:$D$5003,$A12,Stripe_Invoices_Upload!$E$4:$E$5003,"*Subscription*",Stripe_Invoices_Upload!$A$4:$A$5003,"&gt;="&amp;DATE(2026,7,1),Stripe_Invoices_Upload!$A$4:$A$5003,"&lt;"&amp;EDATE(DATE(2026,7,1),1)))&gt;0,"✓ Invoiced","⚠ Due"),""),""))</f>
        <v/>
      </c>
      <c r="K12" s="130" t="str">
        <f aca="false">IF($A12="","",IF((DATE(YEAR($E12),MONTH($E12),1)&lt;=DATE(2026,8,1)),IF((MOD(DATEDIF(DATE(YEAR($E12),MONTH($E12),1),DATE(2026,8,1),"m"),IF($D12="Quarterly",3,IF($D12="Annual",12,1)))=0),IF((COUNTIFS(Xero_Raw!$D$4:$D$5003,$A12,Xero_Raw!$G$4:$G$5003,"*Subscription*",Xero_Raw!$A$4:$A$5003,"&gt;="&amp;DATE(2026,8,1),Xero_Raw!$A$4:$A$5003,"&lt;"&amp;EDATE(DATE(2026,8,1),1))+COUNTIFS(Customer_Invoices_Upload!$E$4:$E$5003,$A12,Customer_Invoices_Upload!$G$4:$G$5003,"*Subscription*",Customer_Invoices_Upload!$B$4:$B$5003,"&gt;="&amp;DATE(2026,8,1),Customer_Invoices_Upload!$B$4:$B$5003,"&lt;"&amp;EDATE(DATE(2026,8,1),1))+COUNTIFS(Stripe_Invoices_Upload!$D$4:$D$5003,$A12,Stripe_Invoices_Upload!$E$4:$E$5003,"*Subscription*",Stripe_Invoices_Upload!$A$4:$A$5003,"&gt;="&amp;DATE(2026,8,1),Stripe_Invoices_Upload!$A$4:$A$5003,"&lt;"&amp;EDATE(DATE(2026,8,1),1)))&gt;0,"✓ Invoiced","⚠ Due"),""),""))</f>
        <v/>
      </c>
      <c r="L12" s="130" t="str">
        <f aca="false">IF($A12="","",IF((DATE(YEAR($E12),MONTH($E12),1)&lt;=DATE(2026,9,1)),IF((MOD(DATEDIF(DATE(YEAR($E12),MONTH($E12),1),DATE(2026,9,1),"m"),IF($D12="Quarterly",3,IF($D12="Annual",12,1)))=0),IF((COUNTIFS(Xero_Raw!$D$4:$D$5003,$A12,Xero_Raw!$G$4:$G$5003,"*Subscription*",Xero_Raw!$A$4:$A$5003,"&gt;="&amp;DATE(2026,9,1),Xero_Raw!$A$4:$A$5003,"&lt;"&amp;EDATE(DATE(2026,9,1),1))+COUNTIFS(Customer_Invoices_Upload!$E$4:$E$5003,$A12,Customer_Invoices_Upload!$G$4:$G$5003,"*Subscription*",Customer_Invoices_Upload!$B$4:$B$5003,"&gt;="&amp;DATE(2026,9,1),Customer_Invoices_Upload!$B$4:$B$5003,"&lt;"&amp;EDATE(DATE(2026,9,1),1))+COUNTIFS(Stripe_Invoices_Upload!$D$4:$D$5003,$A12,Stripe_Invoices_Upload!$E$4:$E$5003,"*Subscription*",Stripe_Invoices_Upload!$A$4:$A$5003,"&gt;="&amp;DATE(2026,9,1),Stripe_Invoices_Upload!$A$4:$A$5003,"&lt;"&amp;EDATE(DATE(2026,9,1),1)))&gt;0,"✓ Invoiced","⚠ Due"),""),""))</f>
        <v/>
      </c>
      <c r="M12" s="130" t="str">
        <f aca="false">IF($A12="","",IF((DATE(YEAR($E12),MONTH($E12),1)&lt;=DATE(2026,10,1)),IF((MOD(DATEDIF(DATE(YEAR($E12),MONTH($E12),1),DATE(2026,10,1),"m"),IF($D12="Quarterly",3,IF($D12="Annual",12,1)))=0),IF((COUNTIFS(Xero_Raw!$D$4:$D$5003,$A12,Xero_Raw!$G$4:$G$5003,"*Subscription*",Xero_Raw!$A$4:$A$5003,"&gt;="&amp;DATE(2026,10,1),Xero_Raw!$A$4:$A$5003,"&lt;"&amp;EDATE(DATE(2026,10,1),1))+COUNTIFS(Customer_Invoices_Upload!$E$4:$E$5003,$A12,Customer_Invoices_Upload!$G$4:$G$5003,"*Subscription*",Customer_Invoices_Upload!$B$4:$B$5003,"&gt;="&amp;DATE(2026,10,1),Customer_Invoices_Upload!$B$4:$B$5003,"&lt;"&amp;EDATE(DATE(2026,10,1),1))+COUNTIFS(Stripe_Invoices_Upload!$D$4:$D$5003,$A12,Stripe_Invoices_Upload!$E$4:$E$5003,"*Subscription*",Stripe_Invoices_Upload!$A$4:$A$5003,"&gt;="&amp;DATE(2026,10,1),Stripe_Invoices_Upload!$A$4:$A$5003,"&lt;"&amp;EDATE(DATE(2026,10,1),1)))&gt;0,"✓ Invoiced","⚠ Due"),""),""))</f>
        <v/>
      </c>
      <c r="N12" s="130" t="str">
        <f aca="false">IF($A12="","",IF((DATE(YEAR($E12),MONTH($E12),1)&lt;=DATE(2026,11,1)),IF((MOD(DATEDIF(DATE(YEAR($E12),MONTH($E12),1),DATE(2026,11,1),"m"),IF($D12="Quarterly",3,IF($D12="Annual",12,1)))=0),IF((COUNTIFS(Xero_Raw!$D$4:$D$5003,$A12,Xero_Raw!$G$4:$G$5003,"*Subscription*",Xero_Raw!$A$4:$A$5003,"&gt;="&amp;DATE(2026,11,1),Xero_Raw!$A$4:$A$5003,"&lt;"&amp;EDATE(DATE(2026,11,1),1))+COUNTIFS(Customer_Invoices_Upload!$E$4:$E$5003,$A12,Customer_Invoices_Upload!$G$4:$G$5003,"*Subscription*",Customer_Invoices_Upload!$B$4:$B$5003,"&gt;="&amp;DATE(2026,11,1),Customer_Invoices_Upload!$B$4:$B$5003,"&lt;"&amp;EDATE(DATE(2026,11,1),1))+COUNTIFS(Stripe_Invoices_Upload!$D$4:$D$5003,$A12,Stripe_Invoices_Upload!$E$4:$E$5003,"*Subscription*",Stripe_Invoices_Upload!$A$4:$A$5003,"&gt;="&amp;DATE(2026,11,1),Stripe_Invoices_Upload!$A$4:$A$5003,"&lt;"&amp;EDATE(DATE(2026,11,1),1)))&gt;0,"✓ Invoiced","⚠ Due"),""),""))</f>
        <v/>
      </c>
      <c r="O12" s="130" t="str">
        <f aca="false">IF($A12="","",IF((DATE(YEAR($E12),MONTH($E12),1)&lt;=DATE(2026,12,1)),IF((MOD(DATEDIF(DATE(YEAR($E12),MONTH($E12),1),DATE(2026,12,1),"m"),IF($D12="Quarterly",3,IF($D12="Annual",12,1)))=0),IF((COUNTIFS(Xero_Raw!$D$4:$D$5003,$A12,Xero_Raw!$G$4:$G$5003,"*Subscription*",Xero_Raw!$A$4:$A$5003,"&gt;="&amp;DATE(2026,12,1),Xero_Raw!$A$4:$A$5003,"&lt;"&amp;EDATE(DATE(2026,12,1),1))+COUNTIFS(Customer_Invoices_Upload!$E$4:$E$5003,$A12,Customer_Invoices_Upload!$G$4:$G$5003,"*Subscription*",Customer_Invoices_Upload!$B$4:$B$5003,"&gt;="&amp;DATE(2026,12,1),Customer_Invoices_Upload!$B$4:$B$5003,"&lt;"&amp;EDATE(DATE(2026,12,1),1))+COUNTIFS(Stripe_Invoices_Upload!$D$4:$D$5003,$A12,Stripe_Invoices_Upload!$E$4:$E$5003,"*Subscription*",Stripe_Invoices_Upload!$A$4:$A$5003,"&gt;="&amp;DATE(2026,12,1),Stripe_Invoices_Upload!$A$4:$A$5003,"&lt;"&amp;EDATE(DATE(2026,12,1),1)))&gt;0,"✓ Invoiced","⚠ Due"),""),""))</f>
        <v/>
      </c>
      <c r="P12" s="130" t="str">
        <f aca="false">IF($A12="","",IF((DATE(YEAR($E12),MONTH($E12),1)&lt;=DATE(2027,1,1)),IF((MOD(DATEDIF(DATE(YEAR($E12),MONTH($E12),1),DATE(2027,1,1),"m"),IF($D12="Quarterly",3,IF($D12="Annual",12,1)))=0),IF((COUNTIFS(Xero_Raw!$D$4:$D$5003,$A12,Xero_Raw!$G$4:$G$5003,"*Subscription*",Xero_Raw!$A$4:$A$5003,"&gt;="&amp;DATE(2027,1,1),Xero_Raw!$A$4:$A$5003,"&lt;"&amp;EDATE(DATE(2027,1,1),1))+COUNTIFS(Customer_Invoices_Upload!$E$4:$E$5003,$A12,Customer_Invoices_Upload!$G$4:$G$5003,"*Subscription*",Customer_Invoices_Upload!$B$4:$B$5003,"&gt;="&amp;DATE(2027,1,1),Customer_Invoices_Upload!$B$4:$B$5003,"&lt;"&amp;EDATE(DATE(2027,1,1),1))+COUNTIFS(Stripe_Invoices_Upload!$D$4:$D$5003,$A12,Stripe_Invoices_Upload!$E$4:$E$5003,"*Subscription*",Stripe_Invoices_Upload!$A$4:$A$5003,"&gt;="&amp;DATE(2027,1,1),Stripe_Invoices_Upload!$A$4:$A$5003,"&lt;"&amp;EDATE(DATE(2027,1,1),1)))&gt;0,"✓ Invoiced","⚠ Due"),""),""))</f>
        <v/>
      </c>
      <c r="Q12" s="130" t="str">
        <f aca="false">IF($A12="","",IF((DATE(YEAR($E12),MONTH($E12),1)&lt;=DATE(2027,2,1)),IF((MOD(DATEDIF(DATE(YEAR($E12),MONTH($E12),1),DATE(2027,2,1),"m"),IF($D12="Quarterly",3,IF($D12="Annual",12,1)))=0),IF((COUNTIFS(Xero_Raw!$D$4:$D$5003,$A12,Xero_Raw!$G$4:$G$5003,"*Subscription*",Xero_Raw!$A$4:$A$5003,"&gt;="&amp;DATE(2027,2,1),Xero_Raw!$A$4:$A$5003,"&lt;"&amp;EDATE(DATE(2027,2,1),1))+COUNTIFS(Customer_Invoices_Upload!$E$4:$E$5003,$A12,Customer_Invoices_Upload!$G$4:$G$5003,"*Subscription*",Customer_Invoices_Upload!$B$4:$B$5003,"&gt;="&amp;DATE(2027,2,1),Customer_Invoices_Upload!$B$4:$B$5003,"&lt;"&amp;EDATE(DATE(2027,2,1),1))+COUNTIFS(Stripe_Invoices_Upload!$D$4:$D$5003,$A12,Stripe_Invoices_Upload!$E$4:$E$5003,"*Subscription*",Stripe_Invoices_Upload!$A$4:$A$5003,"&gt;="&amp;DATE(2027,2,1),Stripe_Invoices_Upload!$A$4:$A$5003,"&lt;"&amp;EDATE(DATE(2027,2,1),1)))&gt;0,"✓ Invoiced","⚠ Due"),""),""))</f>
        <v/>
      </c>
      <c r="R12" s="130" t="str">
        <f aca="false">IF($A12="","",IF((DATE(YEAR($E12),MONTH($E12),1)&lt;=DATE(2027,3,1)),IF((MOD(DATEDIF(DATE(YEAR($E12),MONTH($E12),1),DATE(2027,3,1),"m"),IF($D12="Quarterly",3,IF($D12="Annual",12,1)))=0),IF((COUNTIFS(Xero_Raw!$D$4:$D$5003,$A12,Xero_Raw!$G$4:$G$5003,"*Subscription*",Xero_Raw!$A$4:$A$5003,"&gt;="&amp;DATE(2027,3,1),Xero_Raw!$A$4:$A$5003,"&lt;"&amp;EDATE(DATE(2027,3,1),1))+COUNTIFS(Customer_Invoices_Upload!$E$4:$E$5003,$A12,Customer_Invoices_Upload!$G$4:$G$5003,"*Subscription*",Customer_Invoices_Upload!$B$4:$B$5003,"&gt;="&amp;DATE(2027,3,1),Customer_Invoices_Upload!$B$4:$B$5003,"&lt;"&amp;EDATE(DATE(2027,3,1),1))+COUNTIFS(Stripe_Invoices_Upload!$D$4:$D$5003,$A12,Stripe_Invoices_Upload!$E$4:$E$5003,"*Subscription*",Stripe_Invoices_Upload!$A$4:$A$5003,"&gt;="&amp;DATE(2027,3,1),Stripe_Invoices_Upload!$A$4:$A$5003,"&lt;"&amp;EDATE(DATE(2027,3,1),1)))&gt;0,"✓ Invoiced","⚠ Due"),""),""))</f>
        <v/>
      </c>
    </row>
    <row r="13" customFormat="false" ht="15" hidden="false" customHeight="false" outlineLevel="0" collapsed="false">
      <c r="A13" s="39"/>
      <c r="B13" s="39"/>
      <c r="C13" s="40"/>
      <c r="D13" s="39"/>
      <c r="E13" s="38"/>
      <c r="F13" s="129" t="str">
        <f aca="true">IF($A13="","",EDATE($E13,DATEDIF($E13,TODAY(),"m")+1))</f>
        <v/>
      </c>
      <c r="G13" s="130" t="str">
        <f aca="false">IF($A13="","",IF((DATE(YEAR($E13),MONTH($E13),1)&lt;=DATE(2026,4,1)),IF((MOD(DATEDIF(DATE(YEAR($E13),MONTH($E13),1),DATE(2026,4,1),"m"),IF($D13="Quarterly",3,IF($D13="Annual",12,1)))=0),IF((COUNTIFS(Xero_Raw!$D$4:$D$5003,$A13,Xero_Raw!$G$4:$G$5003,"*Subscription*",Xero_Raw!$A$4:$A$5003,"&gt;="&amp;DATE(2026,4,1),Xero_Raw!$A$4:$A$5003,"&lt;"&amp;EDATE(DATE(2026,4,1),1))+COUNTIFS(Customer_Invoices_Upload!$E$4:$E$5003,$A13,Customer_Invoices_Upload!$G$4:$G$5003,"*Subscription*",Customer_Invoices_Upload!$B$4:$B$5003,"&gt;="&amp;DATE(2026,4,1),Customer_Invoices_Upload!$B$4:$B$5003,"&lt;"&amp;EDATE(DATE(2026,4,1),1))+COUNTIFS(Stripe_Invoices_Upload!$D$4:$D$5003,$A13,Stripe_Invoices_Upload!$E$4:$E$5003,"*Subscription*",Stripe_Invoices_Upload!$A$4:$A$5003,"&gt;="&amp;DATE(2026,4,1),Stripe_Invoices_Upload!$A$4:$A$5003,"&lt;"&amp;EDATE(DATE(2026,4,1),1)))&gt;0,"✓ Invoiced","⚠ Due"),""),""))</f>
        <v/>
      </c>
      <c r="H13" s="130" t="str">
        <f aca="false">IF($A13="","",IF((DATE(YEAR($E13),MONTH($E13),1)&lt;=DATE(2026,5,1)),IF((MOD(DATEDIF(DATE(YEAR($E13),MONTH($E13),1),DATE(2026,5,1),"m"),IF($D13="Quarterly",3,IF($D13="Annual",12,1)))=0),IF((COUNTIFS(Xero_Raw!$D$4:$D$5003,$A13,Xero_Raw!$G$4:$G$5003,"*Subscription*",Xero_Raw!$A$4:$A$5003,"&gt;="&amp;DATE(2026,5,1),Xero_Raw!$A$4:$A$5003,"&lt;"&amp;EDATE(DATE(2026,5,1),1))+COUNTIFS(Customer_Invoices_Upload!$E$4:$E$5003,$A13,Customer_Invoices_Upload!$G$4:$G$5003,"*Subscription*",Customer_Invoices_Upload!$B$4:$B$5003,"&gt;="&amp;DATE(2026,5,1),Customer_Invoices_Upload!$B$4:$B$5003,"&lt;"&amp;EDATE(DATE(2026,5,1),1))+COUNTIFS(Stripe_Invoices_Upload!$D$4:$D$5003,$A13,Stripe_Invoices_Upload!$E$4:$E$5003,"*Subscription*",Stripe_Invoices_Upload!$A$4:$A$5003,"&gt;="&amp;DATE(2026,5,1),Stripe_Invoices_Upload!$A$4:$A$5003,"&lt;"&amp;EDATE(DATE(2026,5,1),1)))&gt;0,"✓ Invoiced","⚠ Due"),""),""))</f>
        <v/>
      </c>
      <c r="I13" s="130" t="str">
        <f aca="false">IF($A13="","",IF((DATE(YEAR($E13),MONTH($E13),1)&lt;=DATE(2026,6,1)),IF((MOD(DATEDIF(DATE(YEAR($E13),MONTH($E13),1),DATE(2026,6,1),"m"),IF($D13="Quarterly",3,IF($D13="Annual",12,1)))=0),IF((COUNTIFS(Xero_Raw!$D$4:$D$5003,$A13,Xero_Raw!$G$4:$G$5003,"*Subscription*",Xero_Raw!$A$4:$A$5003,"&gt;="&amp;DATE(2026,6,1),Xero_Raw!$A$4:$A$5003,"&lt;"&amp;EDATE(DATE(2026,6,1),1))+COUNTIFS(Customer_Invoices_Upload!$E$4:$E$5003,$A13,Customer_Invoices_Upload!$G$4:$G$5003,"*Subscription*",Customer_Invoices_Upload!$B$4:$B$5003,"&gt;="&amp;DATE(2026,6,1),Customer_Invoices_Upload!$B$4:$B$5003,"&lt;"&amp;EDATE(DATE(2026,6,1),1))+COUNTIFS(Stripe_Invoices_Upload!$D$4:$D$5003,$A13,Stripe_Invoices_Upload!$E$4:$E$5003,"*Subscription*",Stripe_Invoices_Upload!$A$4:$A$5003,"&gt;="&amp;DATE(2026,6,1),Stripe_Invoices_Upload!$A$4:$A$5003,"&lt;"&amp;EDATE(DATE(2026,6,1),1)))&gt;0,"✓ Invoiced","⚠ Due"),""),""))</f>
        <v/>
      </c>
      <c r="J13" s="130" t="str">
        <f aca="false">IF($A13="","",IF((DATE(YEAR($E13),MONTH($E13),1)&lt;=DATE(2026,7,1)),IF((MOD(DATEDIF(DATE(YEAR($E13),MONTH($E13),1),DATE(2026,7,1),"m"),IF($D13="Quarterly",3,IF($D13="Annual",12,1)))=0),IF((COUNTIFS(Xero_Raw!$D$4:$D$5003,$A13,Xero_Raw!$G$4:$G$5003,"*Subscription*",Xero_Raw!$A$4:$A$5003,"&gt;="&amp;DATE(2026,7,1),Xero_Raw!$A$4:$A$5003,"&lt;"&amp;EDATE(DATE(2026,7,1),1))+COUNTIFS(Customer_Invoices_Upload!$E$4:$E$5003,$A13,Customer_Invoices_Upload!$G$4:$G$5003,"*Subscription*",Customer_Invoices_Upload!$B$4:$B$5003,"&gt;="&amp;DATE(2026,7,1),Customer_Invoices_Upload!$B$4:$B$5003,"&lt;"&amp;EDATE(DATE(2026,7,1),1))+COUNTIFS(Stripe_Invoices_Upload!$D$4:$D$5003,$A13,Stripe_Invoices_Upload!$E$4:$E$5003,"*Subscription*",Stripe_Invoices_Upload!$A$4:$A$5003,"&gt;="&amp;DATE(2026,7,1),Stripe_Invoices_Upload!$A$4:$A$5003,"&lt;"&amp;EDATE(DATE(2026,7,1),1)))&gt;0,"✓ Invoiced","⚠ Due"),""),""))</f>
        <v/>
      </c>
      <c r="K13" s="130" t="str">
        <f aca="false">IF($A13="","",IF((DATE(YEAR($E13),MONTH($E13),1)&lt;=DATE(2026,8,1)),IF((MOD(DATEDIF(DATE(YEAR($E13),MONTH($E13),1),DATE(2026,8,1),"m"),IF($D13="Quarterly",3,IF($D13="Annual",12,1)))=0),IF((COUNTIFS(Xero_Raw!$D$4:$D$5003,$A13,Xero_Raw!$G$4:$G$5003,"*Subscription*",Xero_Raw!$A$4:$A$5003,"&gt;="&amp;DATE(2026,8,1),Xero_Raw!$A$4:$A$5003,"&lt;"&amp;EDATE(DATE(2026,8,1),1))+COUNTIFS(Customer_Invoices_Upload!$E$4:$E$5003,$A13,Customer_Invoices_Upload!$G$4:$G$5003,"*Subscription*",Customer_Invoices_Upload!$B$4:$B$5003,"&gt;="&amp;DATE(2026,8,1),Customer_Invoices_Upload!$B$4:$B$5003,"&lt;"&amp;EDATE(DATE(2026,8,1),1))+COUNTIFS(Stripe_Invoices_Upload!$D$4:$D$5003,$A13,Stripe_Invoices_Upload!$E$4:$E$5003,"*Subscription*",Stripe_Invoices_Upload!$A$4:$A$5003,"&gt;="&amp;DATE(2026,8,1),Stripe_Invoices_Upload!$A$4:$A$5003,"&lt;"&amp;EDATE(DATE(2026,8,1),1)))&gt;0,"✓ Invoiced","⚠ Due"),""),""))</f>
        <v/>
      </c>
      <c r="L13" s="130" t="str">
        <f aca="false">IF($A13="","",IF((DATE(YEAR($E13),MONTH($E13),1)&lt;=DATE(2026,9,1)),IF((MOD(DATEDIF(DATE(YEAR($E13),MONTH($E13),1),DATE(2026,9,1),"m"),IF($D13="Quarterly",3,IF($D13="Annual",12,1)))=0),IF((COUNTIFS(Xero_Raw!$D$4:$D$5003,$A13,Xero_Raw!$G$4:$G$5003,"*Subscription*",Xero_Raw!$A$4:$A$5003,"&gt;="&amp;DATE(2026,9,1),Xero_Raw!$A$4:$A$5003,"&lt;"&amp;EDATE(DATE(2026,9,1),1))+COUNTIFS(Customer_Invoices_Upload!$E$4:$E$5003,$A13,Customer_Invoices_Upload!$G$4:$G$5003,"*Subscription*",Customer_Invoices_Upload!$B$4:$B$5003,"&gt;="&amp;DATE(2026,9,1),Customer_Invoices_Upload!$B$4:$B$5003,"&lt;"&amp;EDATE(DATE(2026,9,1),1))+COUNTIFS(Stripe_Invoices_Upload!$D$4:$D$5003,$A13,Stripe_Invoices_Upload!$E$4:$E$5003,"*Subscription*",Stripe_Invoices_Upload!$A$4:$A$5003,"&gt;="&amp;DATE(2026,9,1),Stripe_Invoices_Upload!$A$4:$A$5003,"&lt;"&amp;EDATE(DATE(2026,9,1),1)))&gt;0,"✓ Invoiced","⚠ Due"),""),""))</f>
        <v/>
      </c>
      <c r="M13" s="130" t="str">
        <f aca="false">IF($A13="","",IF((DATE(YEAR($E13),MONTH($E13),1)&lt;=DATE(2026,10,1)),IF((MOD(DATEDIF(DATE(YEAR($E13),MONTH($E13),1),DATE(2026,10,1),"m"),IF($D13="Quarterly",3,IF($D13="Annual",12,1)))=0),IF((COUNTIFS(Xero_Raw!$D$4:$D$5003,$A13,Xero_Raw!$G$4:$G$5003,"*Subscription*",Xero_Raw!$A$4:$A$5003,"&gt;="&amp;DATE(2026,10,1),Xero_Raw!$A$4:$A$5003,"&lt;"&amp;EDATE(DATE(2026,10,1),1))+COUNTIFS(Customer_Invoices_Upload!$E$4:$E$5003,$A13,Customer_Invoices_Upload!$G$4:$G$5003,"*Subscription*",Customer_Invoices_Upload!$B$4:$B$5003,"&gt;="&amp;DATE(2026,10,1),Customer_Invoices_Upload!$B$4:$B$5003,"&lt;"&amp;EDATE(DATE(2026,10,1),1))+COUNTIFS(Stripe_Invoices_Upload!$D$4:$D$5003,$A13,Stripe_Invoices_Upload!$E$4:$E$5003,"*Subscription*",Stripe_Invoices_Upload!$A$4:$A$5003,"&gt;="&amp;DATE(2026,10,1),Stripe_Invoices_Upload!$A$4:$A$5003,"&lt;"&amp;EDATE(DATE(2026,10,1),1)))&gt;0,"✓ Invoiced","⚠ Due"),""),""))</f>
        <v/>
      </c>
      <c r="N13" s="130" t="str">
        <f aca="false">IF($A13="","",IF((DATE(YEAR($E13),MONTH($E13),1)&lt;=DATE(2026,11,1)),IF((MOD(DATEDIF(DATE(YEAR($E13),MONTH($E13),1),DATE(2026,11,1),"m"),IF($D13="Quarterly",3,IF($D13="Annual",12,1)))=0),IF((COUNTIFS(Xero_Raw!$D$4:$D$5003,$A13,Xero_Raw!$G$4:$G$5003,"*Subscription*",Xero_Raw!$A$4:$A$5003,"&gt;="&amp;DATE(2026,11,1),Xero_Raw!$A$4:$A$5003,"&lt;"&amp;EDATE(DATE(2026,11,1),1))+COUNTIFS(Customer_Invoices_Upload!$E$4:$E$5003,$A13,Customer_Invoices_Upload!$G$4:$G$5003,"*Subscription*",Customer_Invoices_Upload!$B$4:$B$5003,"&gt;="&amp;DATE(2026,11,1),Customer_Invoices_Upload!$B$4:$B$5003,"&lt;"&amp;EDATE(DATE(2026,11,1),1))+COUNTIFS(Stripe_Invoices_Upload!$D$4:$D$5003,$A13,Stripe_Invoices_Upload!$E$4:$E$5003,"*Subscription*",Stripe_Invoices_Upload!$A$4:$A$5003,"&gt;="&amp;DATE(2026,11,1),Stripe_Invoices_Upload!$A$4:$A$5003,"&lt;"&amp;EDATE(DATE(2026,11,1),1)))&gt;0,"✓ Invoiced","⚠ Due"),""),""))</f>
        <v/>
      </c>
      <c r="O13" s="130" t="str">
        <f aca="false">IF($A13="","",IF((DATE(YEAR($E13),MONTH($E13),1)&lt;=DATE(2026,12,1)),IF((MOD(DATEDIF(DATE(YEAR($E13),MONTH($E13),1),DATE(2026,12,1),"m"),IF($D13="Quarterly",3,IF($D13="Annual",12,1)))=0),IF((COUNTIFS(Xero_Raw!$D$4:$D$5003,$A13,Xero_Raw!$G$4:$G$5003,"*Subscription*",Xero_Raw!$A$4:$A$5003,"&gt;="&amp;DATE(2026,12,1),Xero_Raw!$A$4:$A$5003,"&lt;"&amp;EDATE(DATE(2026,12,1),1))+COUNTIFS(Customer_Invoices_Upload!$E$4:$E$5003,$A13,Customer_Invoices_Upload!$G$4:$G$5003,"*Subscription*",Customer_Invoices_Upload!$B$4:$B$5003,"&gt;="&amp;DATE(2026,12,1),Customer_Invoices_Upload!$B$4:$B$5003,"&lt;"&amp;EDATE(DATE(2026,12,1),1))+COUNTIFS(Stripe_Invoices_Upload!$D$4:$D$5003,$A13,Stripe_Invoices_Upload!$E$4:$E$5003,"*Subscription*",Stripe_Invoices_Upload!$A$4:$A$5003,"&gt;="&amp;DATE(2026,12,1),Stripe_Invoices_Upload!$A$4:$A$5003,"&lt;"&amp;EDATE(DATE(2026,12,1),1)))&gt;0,"✓ Invoiced","⚠ Due"),""),""))</f>
        <v/>
      </c>
      <c r="P13" s="130" t="str">
        <f aca="false">IF($A13="","",IF((DATE(YEAR($E13),MONTH($E13),1)&lt;=DATE(2027,1,1)),IF((MOD(DATEDIF(DATE(YEAR($E13),MONTH($E13),1),DATE(2027,1,1),"m"),IF($D13="Quarterly",3,IF($D13="Annual",12,1)))=0),IF((COUNTIFS(Xero_Raw!$D$4:$D$5003,$A13,Xero_Raw!$G$4:$G$5003,"*Subscription*",Xero_Raw!$A$4:$A$5003,"&gt;="&amp;DATE(2027,1,1),Xero_Raw!$A$4:$A$5003,"&lt;"&amp;EDATE(DATE(2027,1,1),1))+COUNTIFS(Customer_Invoices_Upload!$E$4:$E$5003,$A13,Customer_Invoices_Upload!$G$4:$G$5003,"*Subscription*",Customer_Invoices_Upload!$B$4:$B$5003,"&gt;="&amp;DATE(2027,1,1),Customer_Invoices_Upload!$B$4:$B$5003,"&lt;"&amp;EDATE(DATE(2027,1,1),1))+COUNTIFS(Stripe_Invoices_Upload!$D$4:$D$5003,$A13,Stripe_Invoices_Upload!$E$4:$E$5003,"*Subscription*",Stripe_Invoices_Upload!$A$4:$A$5003,"&gt;="&amp;DATE(2027,1,1),Stripe_Invoices_Upload!$A$4:$A$5003,"&lt;"&amp;EDATE(DATE(2027,1,1),1)))&gt;0,"✓ Invoiced","⚠ Due"),""),""))</f>
        <v/>
      </c>
      <c r="Q13" s="130" t="str">
        <f aca="false">IF($A13="","",IF((DATE(YEAR($E13),MONTH($E13),1)&lt;=DATE(2027,2,1)),IF((MOD(DATEDIF(DATE(YEAR($E13),MONTH($E13),1),DATE(2027,2,1),"m"),IF($D13="Quarterly",3,IF($D13="Annual",12,1)))=0),IF((COUNTIFS(Xero_Raw!$D$4:$D$5003,$A13,Xero_Raw!$G$4:$G$5003,"*Subscription*",Xero_Raw!$A$4:$A$5003,"&gt;="&amp;DATE(2027,2,1),Xero_Raw!$A$4:$A$5003,"&lt;"&amp;EDATE(DATE(2027,2,1),1))+COUNTIFS(Customer_Invoices_Upload!$E$4:$E$5003,$A13,Customer_Invoices_Upload!$G$4:$G$5003,"*Subscription*",Customer_Invoices_Upload!$B$4:$B$5003,"&gt;="&amp;DATE(2027,2,1),Customer_Invoices_Upload!$B$4:$B$5003,"&lt;"&amp;EDATE(DATE(2027,2,1),1))+COUNTIFS(Stripe_Invoices_Upload!$D$4:$D$5003,$A13,Stripe_Invoices_Upload!$E$4:$E$5003,"*Subscription*",Stripe_Invoices_Upload!$A$4:$A$5003,"&gt;="&amp;DATE(2027,2,1),Stripe_Invoices_Upload!$A$4:$A$5003,"&lt;"&amp;EDATE(DATE(2027,2,1),1)))&gt;0,"✓ Invoiced","⚠ Due"),""),""))</f>
        <v/>
      </c>
      <c r="R13" s="130" t="str">
        <f aca="false">IF($A13="","",IF((DATE(YEAR($E13),MONTH($E13),1)&lt;=DATE(2027,3,1)),IF((MOD(DATEDIF(DATE(YEAR($E13),MONTH($E13),1),DATE(2027,3,1),"m"),IF($D13="Quarterly",3,IF($D13="Annual",12,1)))=0),IF((COUNTIFS(Xero_Raw!$D$4:$D$5003,$A13,Xero_Raw!$G$4:$G$5003,"*Subscription*",Xero_Raw!$A$4:$A$5003,"&gt;="&amp;DATE(2027,3,1),Xero_Raw!$A$4:$A$5003,"&lt;"&amp;EDATE(DATE(2027,3,1),1))+COUNTIFS(Customer_Invoices_Upload!$E$4:$E$5003,$A13,Customer_Invoices_Upload!$G$4:$G$5003,"*Subscription*",Customer_Invoices_Upload!$B$4:$B$5003,"&gt;="&amp;DATE(2027,3,1),Customer_Invoices_Upload!$B$4:$B$5003,"&lt;"&amp;EDATE(DATE(2027,3,1),1))+COUNTIFS(Stripe_Invoices_Upload!$D$4:$D$5003,$A13,Stripe_Invoices_Upload!$E$4:$E$5003,"*Subscription*",Stripe_Invoices_Upload!$A$4:$A$5003,"&gt;="&amp;DATE(2027,3,1),Stripe_Invoices_Upload!$A$4:$A$5003,"&lt;"&amp;EDATE(DATE(2027,3,1),1)))&gt;0,"✓ Invoiced","⚠ Due"),""),""))</f>
        <v/>
      </c>
    </row>
    <row r="14" customFormat="false" ht="15" hidden="false" customHeight="false" outlineLevel="0" collapsed="false">
      <c r="A14" s="39"/>
      <c r="B14" s="39"/>
      <c r="C14" s="40"/>
      <c r="D14" s="39"/>
      <c r="E14" s="38"/>
      <c r="F14" s="129" t="str">
        <f aca="true">IF($A14="","",EDATE($E14,DATEDIF($E14,TODAY(),"m")+1))</f>
        <v/>
      </c>
      <c r="G14" s="130" t="str">
        <f aca="false">IF($A14="","",IF((DATE(YEAR($E14),MONTH($E14),1)&lt;=DATE(2026,4,1)),IF((MOD(DATEDIF(DATE(YEAR($E14),MONTH($E14),1),DATE(2026,4,1),"m"),IF($D14="Quarterly",3,IF($D14="Annual",12,1)))=0),IF((COUNTIFS(Xero_Raw!$D$4:$D$5003,$A14,Xero_Raw!$G$4:$G$5003,"*Subscription*",Xero_Raw!$A$4:$A$5003,"&gt;="&amp;DATE(2026,4,1),Xero_Raw!$A$4:$A$5003,"&lt;"&amp;EDATE(DATE(2026,4,1),1))+COUNTIFS(Customer_Invoices_Upload!$E$4:$E$5003,$A14,Customer_Invoices_Upload!$G$4:$G$5003,"*Subscription*",Customer_Invoices_Upload!$B$4:$B$5003,"&gt;="&amp;DATE(2026,4,1),Customer_Invoices_Upload!$B$4:$B$5003,"&lt;"&amp;EDATE(DATE(2026,4,1),1))+COUNTIFS(Stripe_Invoices_Upload!$D$4:$D$5003,$A14,Stripe_Invoices_Upload!$E$4:$E$5003,"*Subscription*",Stripe_Invoices_Upload!$A$4:$A$5003,"&gt;="&amp;DATE(2026,4,1),Stripe_Invoices_Upload!$A$4:$A$5003,"&lt;"&amp;EDATE(DATE(2026,4,1),1)))&gt;0,"✓ Invoiced","⚠ Due"),""),""))</f>
        <v/>
      </c>
      <c r="H14" s="130" t="str">
        <f aca="false">IF($A14="","",IF((DATE(YEAR($E14),MONTH($E14),1)&lt;=DATE(2026,5,1)),IF((MOD(DATEDIF(DATE(YEAR($E14),MONTH($E14),1),DATE(2026,5,1),"m"),IF($D14="Quarterly",3,IF($D14="Annual",12,1)))=0),IF((COUNTIFS(Xero_Raw!$D$4:$D$5003,$A14,Xero_Raw!$G$4:$G$5003,"*Subscription*",Xero_Raw!$A$4:$A$5003,"&gt;="&amp;DATE(2026,5,1),Xero_Raw!$A$4:$A$5003,"&lt;"&amp;EDATE(DATE(2026,5,1),1))+COUNTIFS(Customer_Invoices_Upload!$E$4:$E$5003,$A14,Customer_Invoices_Upload!$G$4:$G$5003,"*Subscription*",Customer_Invoices_Upload!$B$4:$B$5003,"&gt;="&amp;DATE(2026,5,1),Customer_Invoices_Upload!$B$4:$B$5003,"&lt;"&amp;EDATE(DATE(2026,5,1),1))+COUNTIFS(Stripe_Invoices_Upload!$D$4:$D$5003,$A14,Stripe_Invoices_Upload!$E$4:$E$5003,"*Subscription*",Stripe_Invoices_Upload!$A$4:$A$5003,"&gt;="&amp;DATE(2026,5,1),Stripe_Invoices_Upload!$A$4:$A$5003,"&lt;"&amp;EDATE(DATE(2026,5,1),1)))&gt;0,"✓ Invoiced","⚠ Due"),""),""))</f>
        <v/>
      </c>
      <c r="I14" s="130" t="str">
        <f aca="false">IF($A14="","",IF((DATE(YEAR($E14),MONTH($E14),1)&lt;=DATE(2026,6,1)),IF((MOD(DATEDIF(DATE(YEAR($E14),MONTH($E14),1),DATE(2026,6,1),"m"),IF($D14="Quarterly",3,IF($D14="Annual",12,1)))=0),IF((COUNTIFS(Xero_Raw!$D$4:$D$5003,$A14,Xero_Raw!$G$4:$G$5003,"*Subscription*",Xero_Raw!$A$4:$A$5003,"&gt;="&amp;DATE(2026,6,1),Xero_Raw!$A$4:$A$5003,"&lt;"&amp;EDATE(DATE(2026,6,1),1))+COUNTIFS(Customer_Invoices_Upload!$E$4:$E$5003,$A14,Customer_Invoices_Upload!$G$4:$G$5003,"*Subscription*",Customer_Invoices_Upload!$B$4:$B$5003,"&gt;="&amp;DATE(2026,6,1),Customer_Invoices_Upload!$B$4:$B$5003,"&lt;"&amp;EDATE(DATE(2026,6,1),1))+COUNTIFS(Stripe_Invoices_Upload!$D$4:$D$5003,$A14,Stripe_Invoices_Upload!$E$4:$E$5003,"*Subscription*",Stripe_Invoices_Upload!$A$4:$A$5003,"&gt;="&amp;DATE(2026,6,1),Stripe_Invoices_Upload!$A$4:$A$5003,"&lt;"&amp;EDATE(DATE(2026,6,1),1)))&gt;0,"✓ Invoiced","⚠ Due"),""),""))</f>
        <v/>
      </c>
      <c r="J14" s="130" t="str">
        <f aca="false">IF($A14="","",IF((DATE(YEAR($E14),MONTH($E14),1)&lt;=DATE(2026,7,1)),IF((MOD(DATEDIF(DATE(YEAR($E14),MONTH($E14),1),DATE(2026,7,1),"m"),IF($D14="Quarterly",3,IF($D14="Annual",12,1)))=0),IF((COUNTIFS(Xero_Raw!$D$4:$D$5003,$A14,Xero_Raw!$G$4:$G$5003,"*Subscription*",Xero_Raw!$A$4:$A$5003,"&gt;="&amp;DATE(2026,7,1),Xero_Raw!$A$4:$A$5003,"&lt;"&amp;EDATE(DATE(2026,7,1),1))+COUNTIFS(Customer_Invoices_Upload!$E$4:$E$5003,$A14,Customer_Invoices_Upload!$G$4:$G$5003,"*Subscription*",Customer_Invoices_Upload!$B$4:$B$5003,"&gt;="&amp;DATE(2026,7,1),Customer_Invoices_Upload!$B$4:$B$5003,"&lt;"&amp;EDATE(DATE(2026,7,1),1))+COUNTIFS(Stripe_Invoices_Upload!$D$4:$D$5003,$A14,Stripe_Invoices_Upload!$E$4:$E$5003,"*Subscription*",Stripe_Invoices_Upload!$A$4:$A$5003,"&gt;="&amp;DATE(2026,7,1),Stripe_Invoices_Upload!$A$4:$A$5003,"&lt;"&amp;EDATE(DATE(2026,7,1),1)))&gt;0,"✓ Invoiced","⚠ Due"),""),""))</f>
        <v/>
      </c>
      <c r="K14" s="130" t="str">
        <f aca="false">IF($A14="","",IF((DATE(YEAR($E14),MONTH($E14),1)&lt;=DATE(2026,8,1)),IF((MOD(DATEDIF(DATE(YEAR($E14),MONTH($E14),1),DATE(2026,8,1),"m"),IF($D14="Quarterly",3,IF($D14="Annual",12,1)))=0),IF((COUNTIFS(Xero_Raw!$D$4:$D$5003,$A14,Xero_Raw!$G$4:$G$5003,"*Subscription*",Xero_Raw!$A$4:$A$5003,"&gt;="&amp;DATE(2026,8,1),Xero_Raw!$A$4:$A$5003,"&lt;"&amp;EDATE(DATE(2026,8,1),1))+COUNTIFS(Customer_Invoices_Upload!$E$4:$E$5003,$A14,Customer_Invoices_Upload!$G$4:$G$5003,"*Subscription*",Customer_Invoices_Upload!$B$4:$B$5003,"&gt;="&amp;DATE(2026,8,1),Customer_Invoices_Upload!$B$4:$B$5003,"&lt;"&amp;EDATE(DATE(2026,8,1),1))+COUNTIFS(Stripe_Invoices_Upload!$D$4:$D$5003,$A14,Stripe_Invoices_Upload!$E$4:$E$5003,"*Subscription*",Stripe_Invoices_Upload!$A$4:$A$5003,"&gt;="&amp;DATE(2026,8,1),Stripe_Invoices_Upload!$A$4:$A$5003,"&lt;"&amp;EDATE(DATE(2026,8,1),1)))&gt;0,"✓ Invoiced","⚠ Due"),""),""))</f>
        <v/>
      </c>
      <c r="L14" s="130" t="str">
        <f aca="false">IF($A14="","",IF((DATE(YEAR($E14),MONTH($E14),1)&lt;=DATE(2026,9,1)),IF((MOD(DATEDIF(DATE(YEAR($E14),MONTH($E14),1),DATE(2026,9,1),"m"),IF($D14="Quarterly",3,IF($D14="Annual",12,1)))=0),IF((COUNTIFS(Xero_Raw!$D$4:$D$5003,$A14,Xero_Raw!$G$4:$G$5003,"*Subscription*",Xero_Raw!$A$4:$A$5003,"&gt;="&amp;DATE(2026,9,1),Xero_Raw!$A$4:$A$5003,"&lt;"&amp;EDATE(DATE(2026,9,1),1))+COUNTIFS(Customer_Invoices_Upload!$E$4:$E$5003,$A14,Customer_Invoices_Upload!$G$4:$G$5003,"*Subscription*",Customer_Invoices_Upload!$B$4:$B$5003,"&gt;="&amp;DATE(2026,9,1),Customer_Invoices_Upload!$B$4:$B$5003,"&lt;"&amp;EDATE(DATE(2026,9,1),1))+COUNTIFS(Stripe_Invoices_Upload!$D$4:$D$5003,$A14,Stripe_Invoices_Upload!$E$4:$E$5003,"*Subscription*",Stripe_Invoices_Upload!$A$4:$A$5003,"&gt;="&amp;DATE(2026,9,1),Stripe_Invoices_Upload!$A$4:$A$5003,"&lt;"&amp;EDATE(DATE(2026,9,1),1)))&gt;0,"✓ Invoiced","⚠ Due"),""),""))</f>
        <v/>
      </c>
      <c r="M14" s="130" t="str">
        <f aca="false">IF($A14="","",IF((DATE(YEAR($E14),MONTH($E14),1)&lt;=DATE(2026,10,1)),IF((MOD(DATEDIF(DATE(YEAR($E14),MONTH($E14),1),DATE(2026,10,1),"m"),IF($D14="Quarterly",3,IF($D14="Annual",12,1)))=0),IF((COUNTIFS(Xero_Raw!$D$4:$D$5003,$A14,Xero_Raw!$G$4:$G$5003,"*Subscription*",Xero_Raw!$A$4:$A$5003,"&gt;="&amp;DATE(2026,10,1),Xero_Raw!$A$4:$A$5003,"&lt;"&amp;EDATE(DATE(2026,10,1),1))+COUNTIFS(Customer_Invoices_Upload!$E$4:$E$5003,$A14,Customer_Invoices_Upload!$G$4:$G$5003,"*Subscription*",Customer_Invoices_Upload!$B$4:$B$5003,"&gt;="&amp;DATE(2026,10,1),Customer_Invoices_Upload!$B$4:$B$5003,"&lt;"&amp;EDATE(DATE(2026,10,1),1))+COUNTIFS(Stripe_Invoices_Upload!$D$4:$D$5003,$A14,Stripe_Invoices_Upload!$E$4:$E$5003,"*Subscription*",Stripe_Invoices_Upload!$A$4:$A$5003,"&gt;="&amp;DATE(2026,10,1),Stripe_Invoices_Upload!$A$4:$A$5003,"&lt;"&amp;EDATE(DATE(2026,10,1),1)))&gt;0,"✓ Invoiced","⚠ Due"),""),""))</f>
        <v/>
      </c>
      <c r="N14" s="130" t="str">
        <f aca="false">IF($A14="","",IF((DATE(YEAR($E14),MONTH($E14),1)&lt;=DATE(2026,11,1)),IF((MOD(DATEDIF(DATE(YEAR($E14),MONTH($E14),1),DATE(2026,11,1),"m"),IF($D14="Quarterly",3,IF($D14="Annual",12,1)))=0),IF((COUNTIFS(Xero_Raw!$D$4:$D$5003,$A14,Xero_Raw!$G$4:$G$5003,"*Subscription*",Xero_Raw!$A$4:$A$5003,"&gt;="&amp;DATE(2026,11,1),Xero_Raw!$A$4:$A$5003,"&lt;"&amp;EDATE(DATE(2026,11,1),1))+COUNTIFS(Customer_Invoices_Upload!$E$4:$E$5003,$A14,Customer_Invoices_Upload!$G$4:$G$5003,"*Subscription*",Customer_Invoices_Upload!$B$4:$B$5003,"&gt;="&amp;DATE(2026,11,1),Customer_Invoices_Upload!$B$4:$B$5003,"&lt;"&amp;EDATE(DATE(2026,11,1),1))+COUNTIFS(Stripe_Invoices_Upload!$D$4:$D$5003,$A14,Stripe_Invoices_Upload!$E$4:$E$5003,"*Subscription*",Stripe_Invoices_Upload!$A$4:$A$5003,"&gt;="&amp;DATE(2026,11,1),Stripe_Invoices_Upload!$A$4:$A$5003,"&lt;"&amp;EDATE(DATE(2026,11,1),1)))&gt;0,"✓ Invoiced","⚠ Due"),""),""))</f>
        <v/>
      </c>
      <c r="O14" s="130" t="str">
        <f aca="false">IF($A14="","",IF((DATE(YEAR($E14),MONTH($E14),1)&lt;=DATE(2026,12,1)),IF((MOD(DATEDIF(DATE(YEAR($E14),MONTH($E14),1),DATE(2026,12,1),"m"),IF($D14="Quarterly",3,IF($D14="Annual",12,1)))=0),IF((COUNTIFS(Xero_Raw!$D$4:$D$5003,$A14,Xero_Raw!$G$4:$G$5003,"*Subscription*",Xero_Raw!$A$4:$A$5003,"&gt;="&amp;DATE(2026,12,1),Xero_Raw!$A$4:$A$5003,"&lt;"&amp;EDATE(DATE(2026,12,1),1))+COUNTIFS(Customer_Invoices_Upload!$E$4:$E$5003,$A14,Customer_Invoices_Upload!$G$4:$G$5003,"*Subscription*",Customer_Invoices_Upload!$B$4:$B$5003,"&gt;="&amp;DATE(2026,12,1),Customer_Invoices_Upload!$B$4:$B$5003,"&lt;"&amp;EDATE(DATE(2026,12,1),1))+COUNTIFS(Stripe_Invoices_Upload!$D$4:$D$5003,$A14,Stripe_Invoices_Upload!$E$4:$E$5003,"*Subscription*",Stripe_Invoices_Upload!$A$4:$A$5003,"&gt;="&amp;DATE(2026,12,1),Stripe_Invoices_Upload!$A$4:$A$5003,"&lt;"&amp;EDATE(DATE(2026,12,1),1)))&gt;0,"✓ Invoiced","⚠ Due"),""),""))</f>
        <v/>
      </c>
      <c r="P14" s="130" t="str">
        <f aca="false">IF($A14="","",IF((DATE(YEAR($E14),MONTH($E14),1)&lt;=DATE(2027,1,1)),IF((MOD(DATEDIF(DATE(YEAR($E14),MONTH($E14),1),DATE(2027,1,1),"m"),IF($D14="Quarterly",3,IF($D14="Annual",12,1)))=0),IF((COUNTIFS(Xero_Raw!$D$4:$D$5003,$A14,Xero_Raw!$G$4:$G$5003,"*Subscription*",Xero_Raw!$A$4:$A$5003,"&gt;="&amp;DATE(2027,1,1),Xero_Raw!$A$4:$A$5003,"&lt;"&amp;EDATE(DATE(2027,1,1),1))+COUNTIFS(Customer_Invoices_Upload!$E$4:$E$5003,$A14,Customer_Invoices_Upload!$G$4:$G$5003,"*Subscription*",Customer_Invoices_Upload!$B$4:$B$5003,"&gt;="&amp;DATE(2027,1,1),Customer_Invoices_Upload!$B$4:$B$5003,"&lt;"&amp;EDATE(DATE(2027,1,1),1))+COUNTIFS(Stripe_Invoices_Upload!$D$4:$D$5003,$A14,Stripe_Invoices_Upload!$E$4:$E$5003,"*Subscription*",Stripe_Invoices_Upload!$A$4:$A$5003,"&gt;="&amp;DATE(2027,1,1),Stripe_Invoices_Upload!$A$4:$A$5003,"&lt;"&amp;EDATE(DATE(2027,1,1),1)))&gt;0,"✓ Invoiced","⚠ Due"),""),""))</f>
        <v/>
      </c>
      <c r="Q14" s="130" t="str">
        <f aca="false">IF($A14="","",IF((DATE(YEAR($E14),MONTH($E14),1)&lt;=DATE(2027,2,1)),IF((MOD(DATEDIF(DATE(YEAR($E14),MONTH($E14),1),DATE(2027,2,1),"m"),IF($D14="Quarterly",3,IF($D14="Annual",12,1)))=0),IF((COUNTIFS(Xero_Raw!$D$4:$D$5003,$A14,Xero_Raw!$G$4:$G$5003,"*Subscription*",Xero_Raw!$A$4:$A$5003,"&gt;="&amp;DATE(2027,2,1),Xero_Raw!$A$4:$A$5003,"&lt;"&amp;EDATE(DATE(2027,2,1),1))+COUNTIFS(Customer_Invoices_Upload!$E$4:$E$5003,$A14,Customer_Invoices_Upload!$G$4:$G$5003,"*Subscription*",Customer_Invoices_Upload!$B$4:$B$5003,"&gt;="&amp;DATE(2027,2,1),Customer_Invoices_Upload!$B$4:$B$5003,"&lt;"&amp;EDATE(DATE(2027,2,1),1))+COUNTIFS(Stripe_Invoices_Upload!$D$4:$D$5003,$A14,Stripe_Invoices_Upload!$E$4:$E$5003,"*Subscription*",Stripe_Invoices_Upload!$A$4:$A$5003,"&gt;="&amp;DATE(2027,2,1),Stripe_Invoices_Upload!$A$4:$A$5003,"&lt;"&amp;EDATE(DATE(2027,2,1),1)))&gt;0,"✓ Invoiced","⚠ Due"),""),""))</f>
        <v/>
      </c>
      <c r="R14" s="130" t="str">
        <f aca="false">IF($A14="","",IF((DATE(YEAR($E14),MONTH($E14),1)&lt;=DATE(2027,3,1)),IF((MOD(DATEDIF(DATE(YEAR($E14),MONTH($E14),1),DATE(2027,3,1),"m"),IF($D14="Quarterly",3,IF($D14="Annual",12,1)))=0),IF((COUNTIFS(Xero_Raw!$D$4:$D$5003,$A14,Xero_Raw!$G$4:$G$5003,"*Subscription*",Xero_Raw!$A$4:$A$5003,"&gt;="&amp;DATE(2027,3,1),Xero_Raw!$A$4:$A$5003,"&lt;"&amp;EDATE(DATE(2027,3,1),1))+COUNTIFS(Customer_Invoices_Upload!$E$4:$E$5003,$A14,Customer_Invoices_Upload!$G$4:$G$5003,"*Subscription*",Customer_Invoices_Upload!$B$4:$B$5003,"&gt;="&amp;DATE(2027,3,1),Customer_Invoices_Upload!$B$4:$B$5003,"&lt;"&amp;EDATE(DATE(2027,3,1),1))+COUNTIFS(Stripe_Invoices_Upload!$D$4:$D$5003,$A14,Stripe_Invoices_Upload!$E$4:$E$5003,"*Subscription*",Stripe_Invoices_Upload!$A$4:$A$5003,"&gt;="&amp;DATE(2027,3,1),Stripe_Invoices_Upload!$A$4:$A$5003,"&lt;"&amp;EDATE(DATE(2027,3,1),1)))&gt;0,"✓ Invoiced","⚠ Due"),""),""))</f>
        <v/>
      </c>
    </row>
    <row r="15" customFormat="false" ht="15" hidden="false" customHeight="false" outlineLevel="0" collapsed="false">
      <c r="A15" s="39"/>
      <c r="B15" s="39"/>
      <c r="C15" s="40"/>
      <c r="D15" s="39"/>
      <c r="E15" s="38"/>
      <c r="F15" s="129" t="str">
        <f aca="true">IF($A15="","",EDATE($E15,DATEDIF($E15,TODAY(),"m")+1))</f>
        <v/>
      </c>
      <c r="G15" s="130" t="str">
        <f aca="false">IF($A15="","",IF((DATE(YEAR($E15),MONTH($E15),1)&lt;=DATE(2026,4,1)),IF((MOD(DATEDIF(DATE(YEAR($E15),MONTH($E15),1),DATE(2026,4,1),"m"),IF($D15="Quarterly",3,IF($D15="Annual",12,1)))=0),IF((COUNTIFS(Xero_Raw!$D$4:$D$5003,$A15,Xero_Raw!$G$4:$G$5003,"*Subscription*",Xero_Raw!$A$4:$A$5003,"&gt;="&amp;DATE(2026,4,1),Xero_Raw!$A$4:$A$5003,"&lt;"&amp;EDATE(DATE(2026,4,1),1))+COUNTIFS(Customer_Invoices_Upload!$E$4:$E$5003,$A15,Customer_Invoices_Upload!$G$4:$G$5003,"*Subscription*",Customer_Invoices_Upload!$B$4:$B$5003,"&gt;="&amp;DATE(2026,4,1),Customer_Invoices_Upload!$B$4:$B$5003,"&lt;"&amp;EDATE(DATE(2026,4,1),1))+COUNTIFS(Stripe_Invoices_Upload!$D$4:$D$5003,$A15,Stripe_Invoices_Upload!$E$4:$E$5003,"*Subscription*",Stripe_Invoices_Upload!$A$4:$A$5003,"&gt;="&amp;DATE(2026,4,1),Stripe_Invoices_Upload!$A$4:$A$5003,"&lt;"&amp;EDATE(DATE(2026,4,1),1)))&gt;0,"✓ Invoiced","⚠ Due"),""),""))</f>
        <v/>
      </c>
      <c r="H15" s="130" t="str">
        <f aca="false">IF($A15="","",IF((DATE(YEAR($E15),MONTH($E15),1)&lt;=DATE(2026,5,1)),IF((MOD(DATEDIF(DATE(YEAR($E15),MONTH($E15),1),DATE(2026,5,1),"m"),IF($D15="Quarterly",3,IF($D15="Annual",12,1)))=0),IF((COUNTIFS(Xero_Raw!$D$4:$D$5003,$A15,Xero_Raw!$G$4:$G$5003,"*Subscription*",Xero_Raw!$A$4:$A$5003,"&gt;="&amp;DATE(2026,5,1),Xero_Raw!$A$4:$A$5003,"&lt;"&amp;EDATE(DATE(2026,5,1),1))+COUNTIFS(Customer_Invoices_Upload!$E$4:$E$5003,$A15,Customer_Invoices_Upload!$G$4:$G$5003,"*Subscription*",Customer_Invoices_Upload!$B$4:$B$5003,"&gt;="&amp;DATE(2026,5,1),Customer_Invoices_Upload!$B$4:$B$5003,"&lt;"&amp;EDATE(DATE(2026,5,1),1))+COUNTIFS(Stripe_Invoices_Upload!$D$4:$D$5003,$A15,Stripe_Invoices_Upload!$E$4:$E$5003,"*Subscription*",Stripe_Invoices_Upload!$A$4:$A$5003,"&gt;="&amp;DATE(2026,5,1),Stripe_Invoices_Upload!$A$4:$A$5003,"&lt;"&amp;EDATE(DATE(2026,5,1),1)))&gt;0,"✓ Invoiced","⚠ Due"),""),""))</f>
        <v/>
      </c>
      <c r="I15" s="130" t="str">
        <f aca="false">IF($A15="","",IF((DATE(YEAR($E15),MONTH($E15),1)&lt;=DATE(2026,6,1)),IF((MOD(DATEDIF(DATE(YEAR($E15),MONTH($E15),1),DATE(2026,6,1),"m"),IF($D15="Quarterly",3,IF($D15="Annual",12,1)))=0),IF((COUNTIFS(Xero_Raw!$D$4:$D$5003,$A15,Xero_Raw!$G$4:$G$5003,"*Subscription*",Xero_Raw!$A$4:$A$5003,"&gt;="&amp;DATE(2026,6,1),Xero_Raw!$A$4:$A$5003,"&lt;"&amp;EDATE(DATE(2026,6,1),1))+COUNTIFS(Customer_Invoices_Upload!$E$4:$E$5003,$A15,Customer_Invoices_Upload!$G$4:$G$5003,"*Subscription*",Customer_Invoices_Upload!$B$4:$B$5003,"&gt;="&amp;DATE(2026,6,1),Customer_Invoices_Upload!$B$4:$B$5003,"&lt;"&amp;EDATE(DATE(2026,6,1),1))+COUNTIFS(Stripe_Invoices_Upload!$D$4:$D$5003,$A15,Stripe_Invoices_Upload!$E$4:$E$5003,"*Subscription*",Stripe_Invoices_Upload!$A$4:$A$5003,"&gt;="&amp;DATE(2026,6,1),Stripe_Invoices_Upload!$A$4:$A$5003,"&lt;"&amp;EDATE(DATE(2026,6,1),1)))&gt;0,"✓ Invoiced","⚠ Due"),""),""))</f>
        <v/>
      </c>
      <c r="J15" s="130" t="str">
        <f aca="false">IF($A15="","",IF((DATE(YEAR($E15),MONTH($E15),1)&lt;=DATE(2026,7,1)),IF((MOD(DATEDIF(DATE(YEAR($E15),MONTH($E15),1),DATE(2026,7,1),"m"),IF($D15="Quarterly",3,IF($D15="Annual",12,1)))=0),IF((COUNTIFS(Xero_Raw!$D$4:$D$5003,$A15,Xero_Raw!$G$4:$G$5003,"*Subscription*",Xero_Raw!$A$4:$A$5003,"&gt;="&amp;DATE(2026,7,1),Xero_Raw!$A$4:$A$5003,"&lt;"&amp;EDATE(DATE(2026,7,1),1))+COUNTIFS(Customer_Invoices_Upload!$E$4:$E$5003,$A15,Customer_Invoices_Upload!$G$4:$G$5003,"*Subscription*",Customer_Invoices_Upload!$B$4:$B$5003,"&gt;="&amp;DATE(2026,7,1),Customer_Invoices_Upload!$B$4:$B$5003,"&lt;"&amp;EDATE(DATE(2026,7,1),1))+COUNTIFS(Stripe_Invoices_Upload!$D$4:$D$5003,$A15,Stripe_Invoices_Upload!$E$4:$E$5003,"*Subscription*",Stripe_Invoices_Upload!$A$4:$A$5003,"&gt;="&amp;DATE(2026,7,1),Stripe_Invoices_Upload!$A$4:$A$5003,"&lt;"&amp;EDATE(DATE(2026,7,1),1)))&gt;0,"✓ Invoiced","⚠ Due"),""),""))</f>
        <v/>
      </c>
      <c r="K15" s="130" t="str">
        <f aca="false">IF($A15="","",IF((DATE(YEAR($E15),MONTH($E15),1)&lt;=DATE(2026,8,1)),IF((MOD(DATEDIF(DATE(YEAR($E15),MONTH($E15),1),DATE(2026,8,1),"m"),IF($D15="Quarterly",3,IF($D15="Annual",12,1)))=0),IF((COUNTIFS(Xero_Raw!$D$4:$D$5003,$A15,Xero_Raw!$G$4:$G$5003,"*Subscription*",Xero_Raw!$A$4:$A$5003,"&gt;="&amp;DATE(2026,8,1),Xero_Raw!$A$4:$A$5003,"&lt;"&amp;EDATE(DATE(2026,8,1),1))+COUNTIFS(Customer_Invoices_Upload!$E$4:$E$5003,$A15,Customer_Invoices_Upload!$G$4:$G$5003,"*Subscription*",Customer_Invoices_Upload!$B$4:$B$5003,"&gt;="&amp;DATE(2026,8,1),Customer_Invoices_Upload!$B$4:$B$5003,"&lt;"&amp;EDATE(DATE(2026,8,1),1))+COUNTIFS(Stripe_Invoices_Upload!$D$4:$D$5003,$A15,Stripe_Invoices_Upload!$E$4:$E$5003,"*Subscription*",Stripe_Invoices_Upload!$A$4:$A$5003,"&gt;="&amp;DATE(2026,8,1),Stripe_Invoices_Upload!$A$4:$A$5003,"&lt;"&amp;EDATE(DATE(2026,8,1),1)))&gt;0,"✓ Invoiced","⚠ Due"),""),""))</f>
        <v/>
      </c>
      <c r="L15" s="130" t="str">
        <f aca="false">IF($A15="","",IF((DATE(YEAR($E15),MONTH($E15),1)&lt;=DATE(2026,9,1)),IF((MOD(DATEDIF(DATE(YEAR($E15),MONTH($E15),1),DATE(2026,9,1),"m"),IF($D15="Quarterly",3,IF($D15="Annual",12,1)))=0),IF((COUNTIFS(Xero_Raw!$D$4:$D$5003,$A15,Xero_Raw!$G$4:$G$5003,"*Subscription*",Xero_Raw!$A$4:$A$5003,"&gt;="&amp;DATE(2026,9,1),Xero_Raw!$A$4:$A$5003,"&lt;"&amp;EDATE(DATE(2026,9,1),1))+COUNTIFS(Customer_Invoices_Upload!$E$4:$E$5003,$A15,Customer_Invoices_Upload!$G$4:$G$5003,"*Subscription*",Customer_Invoices_Upload!$B$4:$B$5003,"&gt;="&amp;DATE(2026,9,1),Customer_Invoices_Upload!$B$4:$B$5003,"&lt;"&amp;EDATE(DATE(2026,9,1),1))+COUNTIFS(Stripe_Invoices_Upload!$D$4:$D$5003,$A15,Stripe_Invoices_Upload!$E$4:$E$5003,"*Subscription*",Stripe_Invoices_Upload!$A$4:$A$5003,"&gt;="&amp;DATE(2026,9,1),Stripe_Invoices_Upload!$A$4:$A$5003,"&lt;"&amp;EDATE(DATE(2026,9,1),1)))&gt;0,"✓ Invoiced","⚠ Due"),""),""))</f>
        <v/>
      </c>
      <c r="M15" s="130" t="str">
        <f aca="false">IF($A15="","",IF((DATE(YEAR($E15),MONTH($E15),1)&lt;=DATE(2026,10,1)),IF((MOD(DATEDIF(DATE(YEAR($E15),MONTH($E15),1),DATE(2026,10,1),"m"),IF($D15="Quarterly",3,IF($D15="Annual",12,1)))=0),IF((COUNTIFS(Xero_Raw!$D$4:$D$5003,$A15,Xero_Raw!$G$4:$G$5003,"*Subscription*",Xero_Raw!$A$4:$A$5003,"&gt;="&amp;DATE(2026,10,1),Xero_Raw!$A$4:$A$5003,"&lt;"&amp;EDATE(DATE(2026,10,1),1))+COUNTIFS(Customer_Invoices_Upload!$E$4:$E$5003,$A15,Customer_Invoices_Upload!$G$4:$G$5003,"*Subscription*",Customer_Invoices_Upload!$B$4:$B$5003,"&gt;="&amp;DATE(2026,10,1),Customer_Invoices_Upload!$B$4:$B$5003,"&lt;"&amp;EDATE(DATE(2026,10,1),1))+COUNTIFS(Stripe_Invoices_Upload!$D$4:$D$5003,$A15,Stripe_Invoices_Upload!$E$4:$E$5003,"*Subscription*",Stripe_Invoices_Upload!$A$4:$A$5003,"&gt;="&amp;DATE(2026,10,1),Stripe_Invoices_Upload!$A$4:$A$5003,"&lt;"&amp;EDATE(DATE(2026,10,1),1)))&gt;0,"✓ Invoiced","⚠ Due"),""),""))</f>
        <v/>
      </c>
      <c r="N15" s="130" t="str">
        <f aca="false">IF($A15="","",IF((DATE(YEAR($E15),MONTH($E15),1)&lt;=DATE(2026,11,1)),IF((MOD(DATEDIF(DATE(YEAR($E15),MONTH($E15),1),DATE(2026,11,1),"m"),IF($D15="Quarterly",3,IF($D15="Annual",12,1)))=0),IF((COUNTIFS(Xero_Raw!$D$4:$D$5003,$A15,Xero_Raw!$G$4:$G$5003,"*Subscription*",Xero_Raw!$A$4:$A$5003,"&gt;="&amp;DATE(2026,11,1),Xero_Raw!$A$4:$A$5003,"&lt;"&amp;EDATE(DATE(2026,11,1),1))+COUNTIFS(Customer_Invoices_Upload!$E$4:$E$5003,$A15,Customer_Invoices_Upload!$G$4:$G$5003,"*Subscription*",Customer_Invoices_Upload!$B$4:$B$5003,"&gt;="&amp;DATE(2026,11,1),Customer_Invoices_Upload!$B$4:$B$5003,"&lt;"&amp;EDATE(DATE(2026,11,1),1))+COUNTIFS(Stripe_Invoices_Upload!$D$4:$D$5003,$A15,Stripe_Invoices_Upload!$E$4:$E$5003,"*Subscription*",Stripe_Invoices_Upload!$A$4:$A$5003,"&gt;="&amp;DATE(2026,11,1),Stripe_Invoices_Upload!$A$4:$A$5003,"&lt;"&amp;EDATE(DATE(2026,11,1),1)))&gt;0,"✓ Invoiced","⚠ Due"),""),""))</f>
        <v/>
      </c>
      <c r="O15" s="130" t="str">
        <f aca="false">IF($A15="","",IF((DATE(YEAR($E15),MONTH($E15),1)&lt;=DATE(2026,12,1)),IF((MOD(DATEDIF(DATE(YEAR($E15),MONTH($E15),1),DATE(2026,12,1),"m"),IF($D15="Quarterly",3,IF($D15="Annual",12,1)))=0),IF((COUNTIFS(Xero_Raw!$D$4:$D$5003,$A15,Xero_Raw!$G$4:$G$5003,"*Subscription*",Xero_Raw!$A$4:$A$5003,"&gt;="&amp;DATE(2026,12,1),Xero_Raw!$A$4:$A$5003,"&lt;"&amp;EDATE(DATE(2026,12,1),1))+COUNTIFS(Customer_Invoices_Upload!$E$4:$E$5003,$A15,Customer_Invoices_Upload!$G$4:$G$5003,"*Subscription*",Customer_Invoices_Upload!$B$4:$B$5003,"&gt;="&amp;DATE(2026,12,1),Customer_Invoices_Upload!$B$4:$B$5003,"&lt;"&amp;EDATE(DATE(2026,12,1),1))+COUNTIFS(Stripe_Invoices_Upload!$D$4:$D$5003,$A15,Stripe_Invoices_Upload!$E$4:$E$5003,"*Subscription*",Stripe_Invoices_Upload!$A$4:$A$5003,"&gt;="&amp;DATE(2026,12,1),Stripe_Invoices_Upload!$A$4:$A$5003,"&lt;"&amp;EDATE(DATE(2026,12,1),1)))&gt;0,"✓ Invoiced","⚠ Due"),""),""))</f>
        <v/>
      </c>
      <c r="P15" s="130" t="str">
        <f aca="false">IF($A15="","",IF((DATE(YEAR($E15),MONTH($E15),1)&lt;=DATE(2027,1,1)),IF((MOD(DATEDIF(DATE(YEAR($E15),MONTH($E15),1),DATE(2027,1,1),"m"),IF($D15="Quarterly",3,IF($D15="Annual",12,1)))=0),IF((COUNTIFS(Xero_Raw!$D$4:$D$5003,$A15,Xero_Raw!$G$4:$G$5003,"*Subscription*",Xero_Raw!$A$4:$A$5003,"&gt;="&amp;DATE(2027,1,1),Xero_Raw!$A$4:$A$5003,"&lt;"&amp;EDATE(DATE(2027,1,1),1))+COUNTIFS(Customer_Invoices_Upload!$E$4:$E$5003,$A15,Customer_Invoices_Upload!$G$4:$G$5003,"*Subscription*",Customer_Invoices_Upload!$B$4:$B$5003,"&gt;="&amp;DATE(2027,1,1),Customer_Invoices_Upload!$B$4:$B$5003,"&lt;"&amp;EDATE(DATE(2027,1,1),1))+COUNTIFS(Stripe_Invoices_Upload!$D$4:$D$5003,$A15,Stripe_Invoices_Upload!$E$4:$E$5003,"*Subscription*",Stripe_Invoices_Upload!$A$4:$A$5003,"&gt;="&amp;DATE(2027,1,1),Stripe_Invoices_Upload!$A$4:$A$5003,"&lt;"&amp;EDATE(DATE(2027,1,1),1)))&gt;0,"✓ Invoiced","⚠ Due"),""),""))</f>
        <v/>
      </c>
      <c r="Q15" s="130" t="str">
        <f aca="false">IF($A15="","",IF((DATE(YEAR($E15),MONTH($E15),1)&lt;=DATE(2027,2,1)),IF((MOD(DATEDIF(DATE(YEAR($E15),MONTH($E15),1),DATE(2027,2,1),"m"),IF($D15="Quarterly",3,IF($D15="Annual",12,1)))=0),IF((COUNTIFS(Xero_Raw!$D$4:$D$5003,$A15,Xero_Raw!$G$4:$G$5003,"*Subscription*",Xero_Raw!$A$4:$A$5003,"&gt;="&amp;DATE(2027,2,1),Xero_Raw!$A$4:$A$5003,"&lt;"&amp;EDATE(DATE(2027,2,1),1))+COUNTIFS(Customer_Invoices_Upload!$E$4:$E$5003,$A15,Customer_Invoices_Upload!$G$4:$G$5003,"*Subscription*",Customer_Invoices_Upload!$B$4:$B$5003,"&gt;="&amp;DATE(2027,2,1),Customer_Invoices_Upload!$B$4:$B$5003,"&lt;"&amp;EDATE(DATE(2027,2,1),1))+COUNTIFS(Stripe_Invoices_Upload!$D$4:$D$5003,$A15,Stripe_Invoices_Upload!$E$4:$E$5003,"*Subscription*",Stripe_Invoices_Upload!$A$4:$A$5003,"&gt;="&amp;DATE(2027,2,1),Stripe_Invoices_Upload!$A$4:$A$5003,"&lt;"&amp;EDATE(DATE(2027,2,1),1)))&gt;0,"✓ Invoiced","⚠ Due"),""),""))</f>
        <v/>
      </c>
      <c r="R15" s="130" t="str">
        <f aca="false">IF($A15="","",IF((DATE(YEAR($E15),MONTH($E15),1)&lt;=DATE(2027,3,1)),IF((MOD(DATEDIF(DATE(YEAR($E15),MONTH($E15),1),DATE(2027,3,1),"m"),IF($D15="Quarterly",3,IF($D15="Annual",12,1)))=0),IF((COUNTIFS(Xero_Raw!$D$4:$D$5003,$A15,Xero_Raw!$G$4:$G$5003,"*Subscription*",Xero_Raw!$A$4:$A$5003,"&gt;="&amp;DATE(2027,3,1),Xero_Raw!$A$4:$A$5003,"&lt;"&amp;EDATE(DATE(2027,3,1),1))+COUNTIFS(Customer_Invoices_Upload!$E$4:$E$5003,$A15,Customer_Invoices_Upload!$G$4:$G$5003,"*Subscription*",Customer_Invoices_Upload!$B$4:$B$5003,"&gt;="&amp;DATE(2027,3,1),Customer_Invoices_Upload!$B$4:$B$5003,"&lt;"&amp;EDATE(DATE(2027,3,1),1))+COUNTIFS(Stripe_Invoices_Upload!$D$4:$D$5003,$A15,Stripe_Invoices_Upload!$E$4:$E$5003,"*Subscription*",Stripe_Invoices_Upload!$A$4:$A$5003,"&gt;="&amp;DATE(2027,3,1),Stripe_Invoices_Upload!$A$4:$A$5003,"&lt;"&amp;EDATE(DATE(2027,3,1),1)))&gt;0,"✓ Invoiced","⚠ Due"),""),""))</f>
        <v/>
      </c>
    </row>
    <row r="16" customFormat="false" ht="15" hidden="false" customHeight="false" outlineLevel="0" collapsed="false">
      <c r="A16" s="39"/>
      <c r="B16" s="39"/>
      <c r="C16" s="40"/>
      <c r="D16" s="39"/>
      <c r="E16" s="38"/>
      <c r="F16" s="129" t="str">
        <f aca="true">IF($A16="","",EDATE($E16,DATEDIF($E16,TODAY(),"m")+1))</f>
        <v/>
      </c>
      <c r="G16" s="130" t="str">
        <f aca="false">IF($A16="","",IF((DATE(YEAR($E16),MONTH($E16),1)&lt;=DATE(2026,4,1)),IF((MOD(DATEDIF(DATE(YEAR($E16),MONTH($E16),1),DATE(2026,4,1),"m"),IF($D16="Quarterly",3,IF($D16="Annual",12,1)))=0),IF((COUNTIFS(Xero_Raw!$D$4:$D$5003,$A16,Xero_Raw!$G$4:$G$5003,"*Subscription*",Xero_Raw!$A$4:$A$5003,"&gt;="&amp;DATE(2026,4,1),Xero_Raw!$A$4:$A$5003,"&lt;"&amp;EDATE(DATE(2026,4,1),1))+COUNTIFS(Customer_Invoices_Upload!$E$4:$E$5003,$A16,Customer_Invoices_Upload!$G$4:$G$5003,"*Subscription*",Customer_Invoices_Upload!$B$4:$B$5003,"&gt;="&amp;DATE(2026,4,1),Customer_Invoices_Upload!$B$4:$B$5003,"&lt;"&amp;EDATE(DATE(2026,4,1),1))+COUNTIFS(Stripe_Invoices_Upload!$D$4:$D$5003,$A16,Stripe_Invoices_Upload!$E$4:$E$5003,"*Subscription*",Stripe_Invoices_Upload!$A$4:$A$5003,"&gt;="&amp;DATE(2026,4,1),Stripe_Invoices_Upload!$A$4:$A$5003,"&lt;"&amp;EDATE(DATE(2026,4,1),1)))&gt;0,"✓ Invoiced","⚠ Due"),""),""))</f>
        <v/>
      </c>
      <c r="H16" s="130" t="str">
        <f aca="false">IF($A16="","",IF((DATE(YEAR($E16),MONTH($E16),1)&lt;=DATE(2026,5,1)),IF((MOD(DATEDIF(DATE(YEAR($E16),MONTH($E16),1),DATE(2026,5,1),"m"),IF($D16="Quarterly",3,IF($D16="Annual",12,1)))=0),IF((COUNTIFS(Xero_Raw!$D$4:$D$5003,$A16,Xero_Raw!$G$4:$G$5003,"*Subscription*",Xero_Raw!$A$4:$A$5003,"&gt;="&amp;DATE(2026,5,1),Xero_Raw!$A$4:$A$5003,"&lt;"&amp;EDATE(DATE(2026,5,1),1))+COUNTIFS(Customer_Invoices_Upload!$E$4:$E$5003,$A16,Customer_Invoices_Upload!$G$4:$G$5003,"*Subscription*",Customer_Invoices_Upload!$B$4:$B$5003,"&gt;="&amp;DATE(2026,5,1),Customer_Invoices_Upload!$B$4:$B$5003,"&lt;"&amp;EDATE(DATE(2026,5,1),1))+COUNTIFS(Stripe_Invoices_Upload!$D$4:$D$5003,$A16,Stripe_Invoices_Upload!$E$4:$E$5003,"*Subscription*",Stripe_Invoices_Upload!$A$4:$A$5003,"&gt;="&amp;DATE(2026,5,1),Stripe_Invoices_Upload!$A$4:$A$5003,"&lt;"&amp;EDATE(DATE(2026,5,1),1)))&gt;0,"✓ Invoiced","⚠ Due"),""),""))</f>
        <v/>
      </c>
      <c r="I16" s="130" t="str">
        <f aca="false">IF($A16="","",IF((DATE(YEAR($E16),MONTH($E16),1)&lt;=DATE(2026,6,1)),IF((MOD(DATEDIF(DATE(YEAR($E16),MONTH($E16),1),DATE(2026,6,1),"m"),IF($D16="Quarterly",3,IF($D16="Annual",12,1)))=0),IF((COUNTIFS(Xero_Raw!$D$4:$D$5003,$A16,Xero_Raw!$G$4:$G$5003,"*Subscription*",Xero_Raw!$A$4:$A$5003,"&gt;="&amp;DATE(2026,6,1),Xero_Raw!$A$4:$A$5003,"&lt;"&amp;EDATE(DATE(2026,6,1),1))+COUNTIFS(Customer_Invoices_Upload!$E$4:$E$5003,$A16,Customer_Invoices_Upload!$G$4:$G$5003,"*Subscription*",Customer_Invoices_Upload!$B$4:$B$5003,"&gt;="&amp;DATE(2026,6,1),Customer_Invoices_Upload!$B$4:$B$5003,"&lt;"&amp;EDATE(DATE(2026,6,1),1))+COUNTIFS(Stripe_Invoices_Upload!$D$4:$D$5003,$A16,Stripe_Invoices_Upload!$E$4:$E$5003,"*Subscription*",Stripe_Invoices_Upload!$A$4:$A$5003,"&gt;="&amp;DATE(2026,6,1),Stripe_Invoices_Upload!$A$4:$A$5003,"&lt;"&amp;EDATE(DATE(2026,6,1),1)))&gt;0,"✓ Invoiced","⚠ Due"),""),""))</f>
        <v/>
      </c>
      <c r="J16" s="130" t="str">
        <f aca="false">IF($A16="","",IF((DATE(YEAR($E16),MONTH($E16),1)&lt;=DATE(2026,7,1)),IF((MOD(DATEDIF(DATE(YEAR($E16),MONTH($E16),1),DATE(2026,7,1),"m"),IF($D16="Quarterly",3,IF($D16="Annual",12,1)))=0),IF((COUNTIFS(Xero_Raw!$D$4:$D$5003,$A16,Xero_Raw!$G$4:$G$5003,"*Subscription*",Xero_Raw!$A$4:$A$5003,"&gt;="&amp;DATE(2026,7,1),Xero_Raw!$A$4:$A$5003,"&lt;"&amp;EDATE(DATE(2026,7,1),1))+COUNTIFS(Customer_Invoices_Upload!$E$4:$E$5003,$A16,Customer_Invoices_Upload!$G$4:$G$5003,"*Subscription*",Customer_Invoices_Upload!$B$4:$B$5003,"&gt;="&amp;DATE(2026,7,1),Customer_Invoices_Upload!$B$4:$B$5003,"&lt;"&amp;EDATE(DATE(2026,7,1),1))+COUNTIFS(Stripe_Invoices_Upload!$D$4:$D$5003,$A16,Stripe_Invoices_Upload!$E$4:$E$5003,"*Subscription*",Stripe_Invoices_Upload!$A$4:$A$5003,"&gt;="&amp;DATE(2026,7,1),Stripe_Invoices_Upload!$A$4:$A$5003,"&lt;"&amp;EDATE(DATE(2026,7,1),1)))&gt;0,"✓ Invoiced","⚠ Due"),""),""))</f>
        <v/>
      </c>
      <c r="K16" s="130" t="str">
        <f aca="false">IF($A16="","",IF((DATE(YEAR($E16),MONTH($E16),1)&lt;=DATE(2026,8,1)),IF((MOD(DATEDIF(DATE(YEAR($E16),MONTH($E16),1),DATE(2026,8,1),"m"),IF($D16="Quarterly",3,IF($D16="Annual",12,1)))=0),IF((COUNTIFS(Xero_Raw!$D$4:$D$5003,$A16,Xero_Raw!$G$4:$G$5003,"*Subscription*",Xero_Raw!$A$4:$A$5003,"&gt;="&amp;DATE(2026,8,1),Xero_Raw!$A$4:$A$5003,"&lt;"&amp;EDATE(DATE(2026,8,1),1))+COUNTIFS(Customer_Invoices_Upload!$E$4:$E$5003,$A16,Customer_Invoices_Upload!$G$4:$G$5003,"*Subscription*",Customer_Invoices_Upload!$B$4:$B$5003,"&gt;="&amp;DATE(2026,8,1),Customer_Invoices_Upload!$B$4:$B$5003,"&lt;"&amp;EDATE(DATE(2026,8,1),1))+COUNTIFS(Stripe_Invoices_Upload!$D$4:$D$5003,$A16,Stripe_Invoices_Upload!$E$4:$E$5003,"*Subscription*",Stripe_Invoices_Upload!$A$4:$A$5003,"&gt;="&amp;DATE(2026,8,1),Stripe_Invoices_Upload!$A$4:$A$5003,"&lt;"&amp;EDATE(DATE(2026,8,1),1)))&gt;0,"✓ Invoiced","⚠ Due"),""),""))</f>
        <v/>
      </c>
      <c r="L16" s="130" t="str">
        <f aca="false">IF($A16="","",IF((DATE(YEAR($E16),MONTH($E16),1)&lt;=DATE(2026,9,1)),IF((MOD(DATEDIF(DATE(YEAR($E16),MONTH($E16),1),DATE(2026,9,1),"m"),IF($D16="Quarterly",3,IF($D16="Annual",12,1)))=0),IF((COUNTIFS(Xero_Raw!$D$4:$D$5003,$A16,Xero_Raw!$G$4:$G$5003,"*Subscription*",Xero_Raw!$A$4:$A$5003,"&gt;="&amp;DATE(2026,9,1),Xero_Raw!$A$4:$A$5003,"&lt;"&amp;EDATE(DATE(2026,9,1),1))+COUNTIFS(Customer_Invoices_Upload!$E$4:$E$5003,$A16,Customer_Invoices_Upload!$G$4:$G$5003,"*Subscription*",Customer_Invoices_Upload!$B$4:$B$5003,"&gt;="&amp;DATE(2026,9,1),Customer_Invoices_Upload!$B$4:$B$5003,"&lt;"&amp;EDATE(DATE(2026,9,1),1))+COUNTIFS(Stripe_Invoices_Upload!$D$4:$D$5003,$A16,Stripe_Invoices_Upload!$E$4:$E$5003,"*Subscription*",Stripe_Invoices_Upload!$A$4:$A$5003,"&gt;="&amp;DATE(2026,9,1),Stripe_Invoices_Upload!$A$4:$A$5003,"&lt;"&amp;EDATE(DATE(2026,9,1),1)))&gt;0,"✓ Invoiced","⚠ Due"),""),""))</f>
        <v/>
      </c>
      <c r="M16" s="130" t="str">
        <f aca="false">IF($A16="","",IF((DATE(YEAR($E16),MONTH($E16),1)&lt;=DATE(2026,10,1)),IF((MOD(DATEDIF(DATE(YEAR($E16),MONTH($E16),1),DATE(2026,10,1),"m"),IF($D16="Quarterly",3,IF($D16="Annual",12,1)))=0),IF((COUNTIFS(Xero_Raw!$D$4:$D$5003,$A16,Xero_Raw!$G$4:$G$5003,"*Subscription*",Xero_Raw!$A$4:$A$5003,"&gt;="&amp;DATE(2026,10,1),Xero_Raw!$A$4:$A$5003,"&lt;"&amp;EDATE(DATE(2026,10,1),1))+COUNTIFS(Customer_Invoices_Upload!$E$4:$E$5003,$A16,Customer_Invoices_Upload!$G$4:$G$5003,"*Subscription*",Customer_Invoices_Upload!$B$4:$B$5003,"&gt;="&amp;DATE(2026,10,1),Customer_Invoices_Upload!$B$4:$B$5003,"&lt;"&amp;EDATE(DATE(2026,10,1),1))+COUNTIFS(Stripe_Invoices_Upload!$D$4:$D$5003,$A16,Stripe_Invoices_Upload!$E$4:$E$5003,"*Subscription*",Stripe_Invoices_Upload!$A$4:$A$5003,"&gt;="&amp;DATE(2026,10,1),Stripe_Invoices_Upload!$A$4:$A$5003,"&lt;"&amp;EDATE(DATE(2026,10,1),1)))&gt;0,"✓ Invoiced","⚠ Due"),""),""))</f>
        <v/>
      </c>
      <c r="N16" s="130" t="str">
        <f aca="false">IF($A16="","",IF((DATE(YEAR($E16),MONTH($E16),1)&lt;=DATE(2026,11,1)),IF((MOD(DATEDIF(DATE(YEAR($E16),MONTH($E16),1),DATE(2026,11,1),"m"),IF($D16="Quarterly",3,IF($D16="Annual",12,1)))=0),IF((COUNTIFS(Xero_Raw!$D$4:$D$5003,$A16,Xero_Raw!$G$4:$G$5003,"*Subscription*",Xero_Raw!$A$4:$A$5003,"&gt;="&amp;DATE(2026,11,1),Xero_Raw!$A$4:$A$5003,"&lt;"&amp;EDATE(DATE(2026,11,1),1))+COUNTIFS(Customer_Invoices_Upload!$E$4:$E$5003,$A16,Customer_Invoices_Upload!$G$4:$G$5003,"*Subscription*",Customer_Invoices_Upload!$B$4:$B$5003,"&gt;="&amp;DATE(2026,11,1),Customer_Invoices_Upload!$B$4:$B$5003,"&lt;"&amp;EDATE(DATE(2026,11,1),1))+COUNTIFS(Stripe_Invoices_Upload!$D$4:$D$5003,$A16,Stripe_Invoices_Upload!$E$4:$E$5003,"*Subscription*",Stripe_Invoices_Upload!$A$4:$A$5003,"&gt;="&amp;DATE(2026,11,1),Stripe_Invoices_Upload!$A$4:$A$5003,"&lt;"&amp;EDATE(DATE(2026,11,1),1)))&gt;0,"✓ Invoiced","⚠ Due"),""),""))</f>
        <v/>
      </c>
      <c r="O16" s="130" t="str">
        <f aca="false">IF($A16="","",IF((DATE(YEAR($E16),MONTH($E16),1)&lt;=DATE(2026,12,1)),IF((MOD(DATEDIF(DATE(YEAR($E16),MONTH($E16),1),DATE(2026,12,1),"m"),IF($D16="Quarterly",3,IF($D16="Annual",12,1)))=0),IF((COUNTIFS(Xero_Raw!$D$4:$D$5003,$A16,Xero_Raw!$G$4:$G$5003,"*Subscription*",Xero_Raw!$A$4:$A$5003,"&gt;="&amp;DATE(2026,12,1),Xero_Raw!$A$4:$A$5003,"&lt;"&amp;EDATE(DATE(2026,12,1),1))+COUNTIFS(Customer_Invoices_Upload!$E$4:$E$5003,$A16,Customer_Invoices_Upload!$G$4:$G$5003,"*Subscription*",Customer_Invoices_Upload!$B$4:$B$5003,"&gt;="&amp;DATE(2026,12,1),Customer_Invoices_Upload!$B$4:$B$5003,"&lt;"&amp;EDATE(DATE(2026,12,1),1))+COUNTIFS(Stripe_Invoices_Upload!$D$4:$D$5003,$A16,Stripe_Invoices_Upload!$E$4:$E$5003,"*Subscription*",Stripe_Invoices_Upload!$A$4:$A$5003,"&gt;="&amp;DATE(2026,12,1),Stripe_Invoices_Upload!$A$4:$A$5003,"&lt;"&amp;EDATE(DATE(2026,12,1),1)))&gt;0,"✓ Invoiced","⚠ Due"),""),""))</f>
        <v/>
      </c>
      <c r="P16" s="130" t="str">
        <f aca="false">IF($A16="","",IF((DATE(YEAR($E16),MONTH($E16),1)&lt;=DATE(2027,1,1)),IF((MOD(DATEDIF(DATE(YEAR($E16),MONTH($E16),1),DATE(2027,1,1),"m"),IF($D16="Quarterly",3,IF($D16="Annual",12,1)))=0),IF((COUNTIFS(Xero_Raw!$D$4:$D$5003,$A16,Xero_Raw!$G$4:$G$5003,"*Subscription*",Xero_Raw!$A$4:$A$5003,"&gt;="&amp;DATE(2027,1,1),Xero_Raw!$A$4:$A$5003,"&lt;"&amp;EDATE(DATE(2027,1,1),1))+COUNTIFS(Customer_Invoices_Upload!$E$4:$E$5003,$A16,Customer_Invoices_Upload!$G$4:$G$5003,"*Subscription*",Customer_Invoices_Upload!$B$4:$B$5003,"&gt;="&amp;DATE(2027,1,1),Customer_Invoices_Upload!$B$4:$B$5003,"&lt;"&amp;EDATE(DATE(2027,1,1),1))+COUNTIFS(Stripe_Invoices_Upload!$D$4:$D$5003,$A16,Stripe_Invoices_Upload!$E$4:$E$5003,"*Subscription*",Stripe_Invoices_Upload!$A$4:$A$5003,"&gt;="&amp;DATE(2027,1,1),Stripe_Invoices_Upload!$A$4:$A$5003,"&lt;"&amp;EDATE(DATE(2027,1,1),1)))&gt;0,"✓ Invoiced","⚠ Due"),""),""))</f>
        <v/>
      </c>
      <c r="Q16" s="130" t="str">
        <f aca="false">IF($A16="","",IF((DATE(YEAR($E16),MONTH($E16),1)&lt;=DATE(2027,2,1)),IF((MOD(DATEDIF(DATE(YEAR($E16),MONTH($E16),1),DATE(2027,2,1),"m"),IF($D16="Quarterly",3,IF($D16="Annual",12,1)))=0),IF((COUNTIFS(Xero_Raw!$D$4:$D$5003,$A16,Xero_Raw!$G$4:$G$5003,"*Subscription*",Xero_Raw!$A$4:$A$5003,"&gt;="&amp;DATE(2027,2,1),Xero_Raw!$A$4:$A$5003,"&lt;"&amp;EDATE(DATE(2027,2,1),1))+COUNTIFS(Customer_Invoices_Upload!$E$4:$E$5003,$A16,Customer_Invoices_Upload!$G$4:$G$5003,"*Subscription*",Customer_Invoices_Upload!$B$4:$B$5003,"&gt;="&amp;DATE(2027,2,1),Customer_Invoices_Upload!$B$4:$B$5003,"&lt;"&amp;EDATE(DATE(2027,2,1),1))+COUNTIFS(Stripe_Invoices_Upload!$D$4:$D$5003,$A16,Stripe_Invoices_Upload!$E$4:$E$5003,"*Subscription*",Stripe_Invoices_Upload!$A$4:$A$5003,"&gt;="&amp;DATE(2027,2,1),Stripe_Invoices_Upload!$A$4:$A$5003,"&lt;"&amp;EDATE(DATE(2027,2,1),1)))&gt;0,"✓ Invoiced","⚠ Due"),""),""))</f>
        <v/>
      </c>
      <c r="R16" s="130" t="str">
        <f aca="false">IF($A16="","",IF((DATE(YEAR($E16),MONTH($E16),1)&lt;=DATE(2027,3,1)),IF((MOD(DATEDIF(DATE(YEAR($E16),MONTH($E16),1),DATE(2027,3,1),"m"),IF($D16="Quarterly",3,IF($D16="Annual",12,1)))=0),IF((COUNTIFS(Xero_Raw!$D$4:$D$5003,$A16,Xero_Raw!$G$4:$G$5003,"*Subscription*",Xero_Raw!$A$4:$A$5003,"&gt;="&amp;DATE(2027,3,1),Xero_Raw!$A$4:$A$5003,"&lt;"&amp;EDATE(DATE(2027,3,1),1))+COUNTIFS(Customer_Invoices_Upload!$E$4:$E$5003,$A16,Customer_Invoices_Upload!$G$4:$G$5003,"*Subscription*",Customer_Invoices_Upload!$B$4:$B$5003,"&gt;="&amp;DATE(2027,3,1),Customer_Invoices_Upload!$B$4:$B$5003,"&lt;"&amp;EDATE(DATE(2027,3,1),1))+COUNTIFS(Stripe_Invoices_Upload!$D$4:$D$5003,$A16,Stripe_Invoices_Upload!$E$4:$E$5003,"*Subscription*",Stripe_Invoices_Upload!$A$4:$A$5003,"&gt;="&amp;DATE(2027,3,1),Stripe_Invoices_Upload!$A$4:$A$5003,"&lt;"&amp;EDATE(DATE(2027,3,1),1)))&gt;0,"✓ Invoiced","⚠ Due"),""),""))</f>
        <v/>
      </c>
    </row>
    <row r="17" customFormat="false" ht="15" hidden="false" customHeight="false" outlineLevel="0" collapsed="false">
      <c r="A17" s="39"/>
      <c r="B17" s="39"/>
      <c r="C17" s="40"/>
      <c r="D17" s="39"/>
      <c r="E17" s="38"/>
      <c r="F17" s="129" t="str">
        <f aca="true">IF($A17="","",EDATE($E17,DATEDIF($E17,TODAY(),"m")+1))</f>
        <v/>
      </c>
      <c r="G17" s="130" t="str">
        <f aca="false">IF($A17="","",IF((DATE(YEAR($E17),MONTH($E17),1)&lt;=DATE(2026,4,1)),IF((MOD(DATEDIF(DATE(YEAR($E17),MONTH($E17),1),DATE(2026,4,1),"m"),IF($D17="Quarterly",3,IF($D17="Annual",12,1)))=0),IF((COUNTIFS(Xero_Raw!$D$4:$D$5003,$A17,Xero_Raw!$G$4:$G$5003,"*Subscription*",Xero_Raw!$A$4:$A$5003,"&gt;="&amp;DATE(2026,4,1),Xero_Raw!$A$4:$A$5003,"&lt;"&amp;EDATE(DATE(2026,4,1),1))+COUNTIFS(Customer_Invoices_Upload!$E$4:$E$5003,$A17,Customer_Invoices_Upload!$G$4:$G$5003,"*Subscription*",Customer_Invoices_Upload!$B$4:$B$5003,"&gt;="&amp;DATE(2026,4,1),Customer_Invoices_Upload!$B$4:$B$5003,"&lt;"&amp;EDATE(DATE(2026,4,1),1))+COUNTIFS(Stripe_Invoices_Upload!$D$4:$D$5003,$A17,Stripe_Invoices_Upload!$E$4:$E$5003,"*Subscription*",Stripe_Invoices_Upload!$A$4:$A$5003,"&gt;="&amp;DATE(2026,4,1),Stripe_Invoices_Upload!$A$4:$A$5003,"&lt;"&amp;EDATE(DATE(2026,4,1),1)))&gt;0,"✓ Invoiced","⚠ Due"),""),""))</f>
        <v/>
      </c>
      <c r="H17" s="130" t="str">
        <f aca="false">IF($A17="","",IF((DATE(YEAR($E17),MONTH($E17),1)&lt;=DATE(2026,5,1)),IF((MOD(DATEDIF(DATE(YEAR($E17),MONTH($E17),1),DATE(2026,5,1),"m"),IF($D17="Quarterly",3,IF($D17="Annual",12,1)))=0),IF((COUNTIFS(Xero_Raw!$D$4:$D$5003,$A17,Xero_Raw!$G$4:$G$5003,"*Subscription*",Xero_Raw!$A$4:$A$5003,"&gt;="&amp;DATE(2026,5,1),Xero_Raw!$A$4:$A$5003,"&lt;"&amp;EDATE(DATE(2026,5,1),1))+COUNTIFS(Customer_Invoices_Upload!$E$4:$E$5003,$A17,Customer_Invoices_Upload!$G$4:$G$5003,"*Subscription*",Customer_Invoices_Upload!$B$4:$B$5003,"&gt;="&amp;DATE(2026,5,1),Customer_Invoices_Upload!$B$4:$B$5003,"&lt;"&amp;EDATE(DATE(2026,5,1),1))+COUNTIFS(Stripe_Invoices_Upload!$D$4:$D$5003,$A17,Stripe_Invoices_Upload!$E$4:$E$5003,"*Subscription*",Stripe_Invoices_Upload!$A$4:$A$5003,"&gt;="&amp;DATE(2026,5,1),Stripe_Invoices_Upload!$A$4:$A$5003,"&lt;"&amp;EDATE(DATE(2026,5,1),1)))&gt;0,"✓ Invoiced","⚠ Due"),""),""))</f>
        <v/>
      </c>
      <c r="I17" s="130" t="str">
        <f aca="false">IF($A17="","",IF((DATE(YEAR($E17),MONTH($E17),1)&lt;=DATE(2026,6,1)),IF((MOD(DATEDIF(DATE(YEAR($E17),MONTH($E17),1),DATE(2026,6,1),"m"),IF($D17="Quarterly",3,IF($D17="Annual",12,1)))=0),IF((COUNTIFS(Xero_Raw!$D$4:$D$5003,$A17,Xero_Raw!$G$4:$G$5003,"*Subscription*",Xero_Raw!$A$4:$A$5003,"&gt;="&amp;DATE(2026,6,1),Xero_Raw!$A$4:$A$5003,"&lt;"&amp;EDATE(DATE(2026,6,1),1))+COUNTIFS(Customer_Invoices_Upload!$E$4:$E$5003,$A17,Customer_Invoices_Upload!$G$4:$G$5003,"*Subscription*",Customer_Invoices_Upload!$B$4:$B$5003,"&gt;="&amp;DATE(2026,6,1),Customer_Invoices_Upload!$B$4:$B$5003,"&lt;"&amp;EDATE(DATE(2026,6,1),1))+COUNTIFS(Stripe_Invoices_Upload!$D$4:$D$5003,$A17,Stripe_Invoices_Upload!$E$4:$E$5003,"*Subscription*",Stripe_Invoices_Upload!$A$4:$A$5003,"&gt;="&amp;DATE(2026,6,1),Stripe_Invoices_Upload!$A$4:$A$5003,"&lt;"&amp;EDATE(DATE(2026,6,1),1)))&gt;0,"✓ Invoiced","⚠ Due"),""),""))</f>
        <v/>
      </c>
      <c r="J17" s="130" t="str">
        <f aca="false">IF($A17="","",IF((DATE(YEAR($E17),MONTH($E17),1)&lt;=DATE(2026,7,1)),IF((MOD(DATEDIF(DATE(YEAR($E17),MONTH($E17),1),DATE(2026,7,1),"m"),IF($D17="Quarterly",3,IF($D17="Annual",12,1)))=0),IF((COUNTIFS(Xero_Raw!$D$4:$D$5003,$A17,Xero_Raw!$G$4:$G$5003,"*Subscription*",Xero_Raw!$A$4:$A$5003,"&gt;="&amp;DATE(2026,7,1),Xero_Raw!$A$4:$A$5003,"&lt;"&amp;EDATE(DATE(2026,7,1),1))+COUNTIFS(Customer_Invoices_Upload!$E$4:$E$5003,$A17,Customer_Invoices_Upload!$G$4:$G$5003,"*Subscription*",Customer_Invoices_Upload!$B$4:$B$5003,"&gt;="&amp;DATE(2026,7,1),Customer_Invoices_Upload!$B$4:$B$5003,"&lt;"&amp;EDATE(DATE(2026,7,1),1))+COUNTIFS(Stripe_Invoices_Upload!$D$4:$D$5003,$A17,Stripe_Invoices_Upload!$E$4:$E$5003,"*Subscription*",Stripe_Invoices_Upload!$A$4:$A$5003,"&gt;="&amp;DATE(2026,7,1),Stripe_Invoices_Upload!$A$4:$A$5003,"&lt;"&amp;EDATE(DATE(2026,7,1),1)))&gt;0,"✓ Invoiced","⚠ Due"),""),""))</f>
        <v/>
      </c>
      <c r="K17" s="130" t="str">
        <f aca="false">IF($A17="","",IF((DATE(YEAR($E17),MONTH($E17),1)&lt;=DATE(2026,8,1)),IF((MOD(DATEDIF(DATE(YEAR($E17),MONTH($E17),1),DATE(2026,8,1),"m"),IF($D17="Quarterly",3,IF($D17="Annual",12,1)))=0),IF((COUNTIFS(Xero_Raw!$D$4:$D$5003,$A17,Xero_Raw!$G$4:$G$5003,"*Subscription*",Xero_Raw!$A$4:$A$5003,"&gt;="&amp;DATE(2026,8,1),Xero_Raw!$A$4:$A$5003,"&lt;"&amp;EDATE(DATE(2026,8,1),1))+COUNTIFS(Customer_Invoices_Upload!$E$4:$E$5003,$A17,Customer_Invoices_Upload!$G$4:$G$5003,"*Subscription*",Customer_Invoices_Upload!$B$4:$B$5003,"&gt;="&amp;DATE(2026,8,1),Customer_Invoices_Upload!$B$4:$B$5003,"&lt;"&amp;EDATE(DATE(2026,8,1),1))+COUNTIFS(Stripe_Invoices_Upload!$D$4:$D$5003,$A17,Stripe_Invoices_Upload!$E$4:$E$5003,"*Subscription*",Stripe_Invoices_Upload!$A$4:$A$5003,"&gt;="&amp;DATE(2026,8,1),Stripe_Invoices_Upload!$A$4:$A$5003,"&lt;"&amp;EDATE(DATE(2026,8,1),1)))&gt;0,"✓ Invoiced","⚠ Due"),""),""))</f>
        <v/>
      </c>
      <c r="L17" s="130" t="str">
        <f aca="false">IF($A17="","",IF((DATE(YEAR($E17),MONTH($E17),1)&lt;=DATE(2026,9,1)),IF((MOD(DATEDIF(DATE(YEAR($E17),MONTH($E17),1),DATE(2026,9,1),"m"),IF($D17="Quarterly",3,IF($D17="Annual",12,1)))=0),IF((COUNTIFS(Xero_Raw!$D$4:$D$5003,$A17,Xero_Raw!$G$4:$G$5003,"*Subscription*",Xero_Raw!$A$4:$A$5003,"&gt;="&amp;DATE(2026,9,1),Xero_Raw!$A$4:$A$5003,"&lt;"&amp;EDATE(DATE(2026,9,1),1))+COUNTIFS(Customer_Invoices_Upload!$E$4:$E$5003,$A17,Customer_Invoices_Upload!$G$4:$G$5003,"*Subscription*",Customer_Invoices_Upload!$B$4:$B$5003,"&gt;="&amp;DATE(2026,9,1),Customer_Invoices_Upload!$B$4:$B$5003,"&lt;"&amp;EDATE(DATE(2026,9,1),1))+COUNTIFS(Stripe_Invoices_Upload!$D$4:$D$5003,$A17,Stripe_Invoices_Upload!$E$4:$E$5003,"*Subscription*",Stripe_Invoices_Upload!$A$4:$A$5003,"&gt;="&amp;DATE(2026,9,1),Stripe_Invoices_Upload!$A$4:$A$5003,"&lt;"&amp;EDATE(DATE(2026,9,1),1)))&gt;0,"✓ Invoiced","⚠ Due"),""),""))</f>
        <v/>
      </c>
      <c r="M17" s="130" t="str">
        <f aca="false">IF($A17="","",IF((DATE(YEAR($E17),MONTH($E17),1)&lt;=DATE(2026,10,1)),IF((MOD(DATEDIF(DATE(YEAR($E17),MONTH($E17),1),DATE(2026,10,1),"m"),IF($D17="Quarterly",3,IF($D17="Annual",12,1)))=0),IF((COUNTIFS(Xero_Raw!$D$4:$D$5003,$A17,Xero_Raw!$G$4:$G$5003,"*Subscription*",Xero_Raw!$A$4:$A$5003,"&gt;="&amp;DATE(2026,10,1),Xero_Raw!$A$4:$A$5003,"&lt;"&amp;EDATE(DATE(2026,10,1),1))+COUNTIFS(Customer_Invoices_Upload!$E$4:$E$5003,$A17,Customer_Invoices_Upload!$G$4:$G$5003,"*Subscription*",Customer_Invoices_Upload!$B$4:$B$5003,"&gt;="&amp;DATE(2026,10,1),Customer_Invoices_Upload!$B$4:$B$5003,"&lt;"&amp;EDATE(DATE(2026,10,1),1))+COUNTIFS(Stripe_Invoices_Upload!$D$4:$D$5003,$A17,Stripe_Invoices_Upload!$E$4:$E$5003,"*Subscription*",Stripe_Invoices_Upload!$A$4:$A$5003,"&gt;="&amp;DATE(2026,10,1),Stripe_Invoices_Upload!$A$4:$A$5003,"&lt;"&amp;EDATE(DATE(2026,10,1),1)))&gt;0,"✓ Invoiced","⚠ Due"),""),""))</f>
        <v/>
      </c>
      <c r="N17" s="130" t="str">
        <f aca="false">IF($A17="","",IF((DATE(YEAR($E17),MONTH($E17),1)&lt;=DATE(2026,11,1)),IF((MOD(DATEDIF(DATE(YEAR($E17),MONTH($E17),1),DATE(2026,11,1),"m"),IF($D17="Quarterly",3,IF($D17="Annual",12,1)))=0),IF((COUNTIFS(Xero_Raw!$D$4:$D$5003,$A17,Xero_Raw!$G$4:$G$5003,"*Subscription*",Xero_Raw!$A$4:$A$5003,"&gt;="&amp;DATE(2026,11,1),Xero_Raw!$A$4:$A$5003,"&lt;"&amp;EDATE(DATE(2026,11,1),1))+COUNTIFS(Customer_Invoices_Upload!$E$4:$E$5003,$A17,Customer_Invoices_Upload!$G$4:$G$5003,"*Subscription*",Customer_Invoices_Upload!$B$4:$B$5003,"&gt;="&amp;DATE(2026,11,1),Customer_Invoices_Upload!$B$4:$B$5003,"&lt;"&amp;EDATE(DATE(2026,11,1),1))+COUNTIFS(Stripe_Invoices_Upload!$D$4:$D$5003,$A17,Stripe_Invoices_Upload!$E$4:$E$5003,"*Subscription*",Stripe_Invoices_Upload!$A$4:$A$5003,"&gt;="&amp;DATE(2026,11,1),Stripe_Invoices_Upload!$A$4:$A$5003,"&lt;"&amp;EDATE(DATE(2026,11,1),1)))&gt;0,"✓ Invoiced","⚠ Due"),""),""))</f>
        <v/>
      </c>
      <c r="O17" s="130" t="str">
        <f aca="false">IF($A17="","",IF((DATE(YEAR($E17),MONTH($E17),1)&lt;=DATE(2026,12,1)),IF((MOD(DATEDIF(DATE(YEAR($E17),MONTH($E17),1),DATE(2026,12,1),"m"),IF($D17="Quarterly",3,IF($D17="Annual",12,1)))=0),IF((COUNTIFS(Xero_Raw!$D$4:$D$5003,$A17,Xero_Raw!$G$4:$G$5003,"*Subscription*",Xero_Raw!$A$4:$A$5003,"&gt;="&amp;DATE(2026,12,1),Xero_Raw!$A$4:$A$5003,"&lt;"&amp;EDATE(DATE(2026,12,1),1))+COUNTIFS(Customer_Invoices_Upload!$E$4:$E$5003,$A17,Customer_Invoices_Upload!$G$4:$G$5003,"*Subscription*",Customer_Invoices_Upload!$B$4:$B$5003,"&gt;="&amp;DATE(2026,12,1),Customer_Invoices_Upload!$B$4:$B$5003,"&lt;"&amp;EDATE(DATE(2026,12,1),1))+COUNTIFS(Stripe_Invoices_Upload!$D$4:$D$5003,$A17,Stripe_Invoices_Upload!$E$4:$E$5003,"*Subscription*",Stripe_Invoices_Upload!$A$4:$A$5003,"&gt;="&amp;DATE(2026,12,1),Stripe_Invoices_Upload!$A$4:$A$5003,"&lt;"&amp;EDATE(DATE(2026,12,1),1)))&gt;0,"✓ Invoiced","⚠ Due"),""),""))</f>
        <v/>
      </c>
      <c r="P17" s="130" t="str">
        <f aca="false">IF($A17="","",IF((DATE(YEAR($E17),MONTH($E17),1)&lt;=DATE(2027,1,1)),IF((MOD(DATEDIF(DATE(YEAR($E17),MONTH($E17),1),DATE(2027,1,1),"m"),IF($D17="Quarterly",3,IF($D17="Annual",12,1)))=0),IF((COUNTIFS(Xero_Raw!$D$4:$D$5003,$A17,Xero_Raw!$G$4:$G$5003,"*Subscription*",Xero_Raw!$A$4:$A$5003,"&gt;="&amp;DATE(2027,1,1),Xero_Raw!$A$4:$A$5003,"&lt;"&amp;EDATE(DATE(2027,1,1),1))+COUNTIFS(Customer_Invoices_Upload!$E$4:$E$5003,$A17,Customer_Invoices_Upload!$G$4:$G$5003,"*Subscription*",Customer_Invoices_Upload!$B$4:$B$5003,"&gt;="&amp;DATE(2027,1,1),Customer_Invoices_Upload!$B$4:$B$5003,"&lt;"&amp;EDATE(DATE(2027,1,1),1))+COUNTIFS(Stripe_Invoices_Upload!$D$4:$D$5003,$A17,Stripe_Invoices_Upload!$E$4:$E$5003,"*Subscription*",Stripe_Invoices_Upload!$A$4:$A$5003,"&gt;="&amp;DATE(2027,1,1),Stripe_Invoices_Upload!$A$4:$A$5003,"&lt;"&amp;EDATE(DATE(2027,1,1),1)))&gt;0,"✓ Invoiced","⚠ Due"),""),""))</f>
        <v/>
      </c>
      <c r="Q17" s="130" t="str">
        <f aca="false">IF($A17="","",IF((DATE(YEAR($E17),MONTH($E17),1)&lt;=DATE(2027,2,1)),IF((MOD(DATEDIF(DATE(YEAR($E17),MONTH($E17),1),DATE(2027,2,1),"m"),IF($D17="Quarterly",3,IF($D17="Annual",12,1)))=0),IF((COUNTIFS(Xero_Raw!$D$4:$D$5003,$A17,Xero_Raw!$G$4:$G$5003,"*Subscription*",Xero_Raw!$A$4:$A$5003,"&gt;="&amp;DATE(2027,2,1),Xero_Raw!$A$4:$A$5003,"&lt;"&amp;EDATE(DATE(2027,2,1),1))+COUNTIFS(Customer_Invoices_Upload!$E$4:$E$5003,$A17,Customer_Invoices_Upload!$G$4:$G$5003,"*Subscription*",Customer_Invoices_Upload!$B$4:$B$5003,"&gt;="&amp;DATE(2027,2,1),Customer_Invoices_Upload!$B$4:$B$5003,"&lt;"&amp;EDATE(DATE(2027,2,1),1))+COUNTIFS(Stripe_Invoices_Upload!$D$4:$D$5003,$A17,Stripe_Invoices_Upload!$E$4:$E$5003,"*Subscription*",Stripe_Invoices_Upload!$A$4:$A$5003,"&gt;="&amp;DATE(2027,2,1),Stripe_Invoices_Upload!$A$4:$A$5003,"&lt;"&amp;EDATE(DATE(2027,2,1),1)))&gt;0,"✓ Invoiced","⚠ Due"),""),""))</f>
        <v/>
      </c>
      <c r="R17" s="130" t="str">
        <f aca="false">IF($A17="","",IF((DATE(YEAR($E17),MONTH($E17),1)&lt;=DATE(2027,3,1)),IF((MOD(DATEDIF(DATE(YEAR($E17),MONTH($E17),1),DATE(2027,3,1),"m"),IF($D17="Quarterly",3,IF($D17="Annual",12,1)))=0),IF((COUNTIFS(Xero_Raw!$D$4:$D$5003,$A17,Xero_Raw!$G$4:$G$5003,"*Subscription*",Xero_Raw!$A$4:$A$5003,"&gt;="&amp;DATE(2027,3,1),Xero_Raw!$A$4:$A$5003,"&lt;"&amp;EDATE(DATE(2027,3,1),1))+COUNTIFS(Customer_Invoices_Upload!$E$4:$E$5003,$A17,Customer_Invoices_Upload!$G$4:$G$5003,"*Subscription*",Customer_Invoices_Upload!$B$4:$B$5003,"&gt;="&amp;DATE(2027,3,1),Customer_Invoices_Upload!$B$4:$B$5003,"&lt;"&amp;EDATE(DATE(2027,3,1),1))+COUNTIFS(Stripe_Invoices_Upload!$D$4:$D$5003,$A17,Stripe_Invoices_Upload!$E$4:$E$5003,"*Subscription*",Stripe_Invoices_Upload!$A$4:$A$5003,"&gt;="&amp;DATE(2027,3,1),Stripe_Invoices_Upload!$A$4:$A$5003,"&lt;"&amp;EDATE(DATE(2027,3,1),1)))&gt;0,"✓ Invoiced","⚠ Due"),""),""))</f>
        <v/>
      </c>
    </row>
    <row r="18" customFormat="false" ht="15" hidden="false" customHeight="false" outlineLevel="0" collapsed="false">
      <c r="A18" s="39"/>
      <c r="B18" s="39"/>
      <c r="C18" s="40"/>
      <c r="D18" s="39"/>
      <c r="E18" s="38"/>
      <c r="F18" s="129" t="str">
        <f aca="true">IF($A18="","",EDATE($E18,DATEDIF($E18,TODAY(),"m")+1))</f>
        <v/>
      </c>
      <c r="G18" s="130" t="str">
        <f aca="false">IF($A18="","",IF((DATE(YEAR($E18),MONTH($E18),1)&lt;=DATE(2026,4,1)),IF((MOD(DATEDIF(DATE(YEAR($E18),MONTH($E18),1),DATE(2026,4,1),"m"),IF($D18="Quarterly",3,IF($D18="Annual",12,1)))=0),IF((COUNTIFS(Xero_Raw!$D$4:$D$5003,$A18,Xero_Raw!$G$4:$G$5003,"*Subscription*",Xero_Raw!$A$4:$A$5003,"&gt;="&amp;DATE(2026,4,1),Xero_Raw!$A$4:$A$5003,"&lt;"&amp;EDATE(DATE(2026,4,1),1))+COUNTIFS(Customer_Invoices_Upload!$E$4:$E$5003,$A18,Customer_Invoices_Upload!$G$4:$G$5003,"*Subscription*",Customer_Invoices_Upload!$B$4:$B$5003,"&gt;="&amp;DATE(2026,4,1),Customer_Invoices_Upload!$B$4:$B$5003,"&lt;"&amp;EDATE(DATE(2026,4,1),1))+COUNTIFS(Stripe_Invoices_Upload!$D$4:$D$5003,$A18,Stripe_Invoices_Upload!$E$4:$E$5003,"*Subscription*",Stripe_Invoices_Upload!$A$4:$A$5003,"&gt;="&amp;DATE(2026,4,1),Stripe_Invoices_Upload!$A$4:$A$5003,"&lt;"&amp;EDATE(DATE(2026,4,1),1)))&gt;0,"✓ Invoiced","⚠ Due"),""),""))</f>
        <v/>
      </c>
      <c r="H18" s="130" t="str">
        <f aca="false">IF($A18="","",IF((DATE(YEAR($E18),MONTH($E18),1)&lt;=DATE(2026,5,1)),IF((MOD(DATEDIF(DATE(YEAR($E18),MONTH($E18),1),DATE(2026,5,1),"m"),IF($D18="Quarterly",3,IF($D18="Annual",12,1)))=0),IF((COUNTIFS(Xero_Raw!$D$4:$D$5003,$A18,Xero_Raw!$G$4:$G$5003,"*Subscription*",Xero_Raw!$A$4:$A$5003,"&gt;="&amp;DATE(2026,5,1),Xero_Raw!$A$4:$A$5003,"&lt;"&amp;EDATE(DATE(2026,5,1),1))+COUNTIFS(Customer_Invoices_Upload!$E$4:$E$5003,$A18,Customer_Invoices_Upload!$G$4:$G$5003,"*Subscription*",Customer_Invoices_Upload!$B$4:$B$5003,"&gt;="&amp;DATE(2026,5,1),Customer_Invoices_Upload!$B$4:$B$5003,"&lt;"&amp;EDATE(DATE(2026,5,1),1))+COUNTIFS(Stripe_Invoices_Upload!$D$4:$D$5003,$A18,Stripe_Invoices_Upload!$E$4:$E$5003,"*Subscription*",Stripe_Invoices_Upload!$A$4:$A$5003,"&gt;="&amp;DATE(2026,5,1),Stripe_Invoices_Upload!$A$4:$A$5003,"&lt;"&amp;EDATE(DATE(2026,5,1),1)))&gt;0,"✓ Invoiced","⚠ Due"),""),""))</f>
        <v/>
      </c>
      <c r="I18" s="130" t="str">
        <f aca="false">IF($A18="","",IF((DATE(YEAR($E18),MONTH($E18),1)&lt;=DATE(2026,6,1)),IF((MOD(DATEDIF(DATE(YEAR($E18),MONTH($E18),1),DATE(2026,6,1),"m"),IF($D18="Quarterly",3,IF($D18="Annual",12,1)))=0),IF((COUNTIFS(Xero_Raw!$D$4:$D$5003,$A18,Xero_Raw!$G$4:$G$5003,"*Subscription*",Xero_Raw!$A$4:$A$5003,"&gt;="&amp;DATE(2026,6,1),Xero_Raw!$A$4:$A$5003,"&lt;"&amp;EDATE(DATE(2026,6,1),1))+COUNTIFS(Customer_Invoices_Upload!$E$4:$E$5003,$A18,Customer_Invoices_Upload!$G$4:$G$5003,"*Subscription*",Customer_Invoices_Upload!$B$4:$B$5003,"&gt;="&amp;DATE(2026,6,1),Customer_Invoices_Upload!$B$4:$B$5003,"&lt;"&amp;EDATE(DATE(2026,6,1),1))+COUNTIFS(Stripe_Invoices_Upload!$D$4:$D$5003,$A18,Stripe_Invoices_Upload!$E$4:$E$5003,"*Subscription*",Stripe_Invoices_Upload!$A$4:$A$5003,"&gt;="&amp;DATE(2026,6,1),Stripe_Invoices_Upload!$A$4:$A$5003,"&lt;"&amp;EDATE(DATE(2026,6,1),1)))&gt;0,"✓ Invoiced","⚠ Due"),""),""))</f>
        <v/>
      </c>
      <c r="J18" s="130" t="str">
        <f aca="false">IF($A18="","",IF((DATE(YEAR($E18),MONTH($E18),1)&lt;=DATE(2026,7,1)),IF((MOD(DATEDIF(DATE(YEAR($E18),MONTH($E18),1),DATE(2026,7,1),"m"),IF($D18="Quarterly",3,IF($D18="Annual",12,1)))=0),IF((COUNTIFS(Xero_Raw!$D$4:$D$5003,$A18,Xero_Raw!$G$4:$G$5003,"*Subscription*",Xero_Raw!$A$4:$A$5003,"&gt;="&amp;DATE(2026,7,1),Xero_Raw!$A$4:$A$5003,"&lt;"&amp;EDATE(DATE(2026,7,1),1))+COUNTIFS(Customer_Invoices_Upload!$E$4:$E$5003,$A18,Customer_Invoices_Upload!$G$4:$G$5003,"*Subscription*",Customer_Invoices_Upload!$B$4:$B$5003,"&gt;="&amp;DATE(2026,7,1),Customer_Invoices_Upload!$B$4:$B$5003,"&lt;"&amp;EDATE(DATE(2026,7,1),1))+COUNTIFS(Stripe_Invoices_Upload!$D$4:$D$5003,$A18,Stripe_Invoices_Upload!$E$4:$E$5003,"*Subscription*",Stripe_Invoices_Upload!$A$4:$A$5003,"&gt;="&amp;DATE(2026,7,1),Stripe_Invoices_Upload!$A$4:$A$5003,"&lt;"&amp;EDATE(DATE(2026,7,1),1)))&gt;0,"✓ Invoiced","⚠ Due"),""),""))</f>
        <v/>
      </c>
      <c r="K18" s="130" t="str">
        <f aca="false">IF($A18="","",IF((DATE(YEAR($E18),MONTH($E18),1)&lt;=DATE(2026,8,1)),IF((MOD(DATEDIF(DATE(YEAR($E18),MONTH($E18),1),DATE(2026,8,1),"m"),IF($D18="Quarterly",3,IF($D18="Annual",12,1)))=0),IF((COUNTIFS(Xero_Raw!$D$4:$D$5003,$A18,Xero_Raw!$G$4:$G$5003,"*Subscription*",Xero_Raw!$A$4:$A$5003,"&gt;="&amp;DATE(2026,8,1),Xero_Raw!$A$4:$A$5003,"&lt;"&amp;EDATE(DATE(2026,8,1),1))+COUNTIFS(Customer_Invoices_Upload!$E$4:$E$5003,$A18,Customer_Invoices_Upload!$G$4:$G$5003,"*Subscription*",Customer_Invoices_Upload!$B$4:$B$5003,"&gt;="&amp;DATE(2026,8,1),Customer_Invoices_Upload!$B$4:$B$5003,"&lt;"&amp;EDATE(DATE(2026,8,1),1))+COUNTIFS(Stripe_Invoices_Upload!$D$4:$D$5003,$A18,Stripe_Invoices_Upload!$E$4:$E$5003,"*Subscription*",Stripe_Invoices_Upload!$A$4:$A$5003,"&gt;="&amp;DATE(2026,8,1),Stripe_Invoices_Upload!$A$4:$A$5003,"&lt;"&amp;EDATE(DATE(2026,8,1),1)))&gt;0,"✓ Invoiced","⚠ Due"),""),""))</f>
        <v/>
      </c>
      <c r="L18" s="130" t="str">
        <f aca="false">IF($A18="","",IF((DATE(YEAR($E18),MONTH($E18),1)&lt;=DATE(2026,9,1)),IF((MOD(DATEDIF(DATE(YEAR($E18),MONTH($E18),1),DATE(2026,9,1),"m"),IF($D18="Quarterly",3,IF($D18="Annual",12,1)))=0),IF((COUNTIFS(Xero_Raw!$D$4:$D$5003,$A18,Xero_Raw!$G$4:$G$5003,"*Subscription*",Xero_Raw!$A$4:$A$5003,"&gt;="&amp;DATE(2026,9,1),Xero_Raw!$A$4:$A$5003,"&lt;"&amp;EDATE(DATE(2026,9,1),1))+COUNTIFS(Customer_Invoices_Upload!$E$4:$E$5003,$A18,Customer_Invoices_Upload!$G$4:$G$5003,"*Subscription*",Customer_Invoices_Upload!$B$4:$B$5003,"&gt;="&amp;DATE(2026,9,1),Customer_Invoices_Upload!$B$4:$B$5003,"&lt;"&amp;EDATE(DATE(2026,9,1),1))+COUNTIFS(Stripe_Invoices_Upload!$D$4:$D$5003,$A18,Stripe_Invoices_Upload!$E$4:$E$5003,"*Subscription*",Stripe_Invoices_Upload!$A$4:$A$5003,"&gt;="&amp;DATE(2026,9,1),Stripe_Invoices_Upload!$A$4:$A$5003,"&lt;"&amp;EDATE(DATE(2026,9,1),1)))&gt;0,"✓ Invoiced","⚠ Due"),""),""))</f>
        <v/>
      </c>
      <c r="M18" s="130" t="str">
        <f aca="false">IF($A18="","",IF((DATE(YEAR($E18),MONTH($E18),1)&lt;=DATE(2026,10,1)),IF((MOD(DATEDIF(DATE(YEAR($E18),MONTH($E18),1),DATE(2026,10,1),"m"),IF($D18="Quarterly",3,IF($D18="Annual",12,1)))=0),IF((COUNTIFS(Xero_Raw!$D$4:$D$5003,$A18,Xero_Raw!$G$4:$G$5003,"*Subscription*",Xero_Raw!$A$4:$A$5003,"&gt;="&amp;DATE(2026,10,1),Xero_Raw!$A$4:$A$5003,"&lt;"&amp;EDATE(DATE(2026,10,1),1))+COUNTIFS(Customer_Invoices_Upload!$E$4:$E$5003,$A18,Customer_Invoices_Upload!$G$4:$G$5003,"*Subscription*",Customer_Invoices_Upload!$B$4:$B$5003,"&gt;="&amp;DATE(2026,10,1),Customer_Invoices_Upload!$B$4:$B$5003,"&lt;"&amp;EDATE(DATE(2026,10,1),1))+COUNTIFS(Stripe_Invoices_Upload!$D$4:$D$5003,$A18,Stripe_Invoices_Upload!$E$4:$E$5003,"*Subscription*",Stripe_Invoices_Upload!$A$4:$A$5003,"&gt;="&amp;DATE(2026,10,1),Stripe_Invoices_Upload!$A$4:$A$5003,"&lt;"&amp;EDATE(DATE(2026,10,1),1)))&gt;0,"✓ Invoiced","⚠ Due"),""),""))</f>
        <v/>
      </c>
      <c r="N18" s="130" t="str">
        <f aca="false">IF($A18="","",IF((DATE(YEAR($E18),MONTH($E18),1)&lt;=DATE(2026,11,1)),IF((MOD(DATEDIF(DATE(YEAR($E18),MONTH($E18),1),DATE(2026,11,1),"m"),IF($D18="Quarterly",3,IF($D18="Annual",12,1)))=0),IF((COUNTIFS(Xero_Raw!$D$4:$D$5003,$A18,Xero_Raw!$G$4:$G$5003,"*Subscription*",Xero_Raw!$A$4:$A$5003,"&gt;="&amp;DATE(2026,11,1),Xero_Raw!$A$4:$A$5003,"&lt;"&amp;EDATE(DATE(2026,11,1),1))+COUNTIFS(Customer_Invoices_Upload!$E$4:$E$5003,$A18,Customer_Invoices_Upload!$G$4:$G$5003,"*Subscription*",Customer_Invoices_Upload!$B$4:$B$5003,"&gt;="&amp;DATE(2026,11,1),Customer_Invoices_Upload!$B$4:$B$5003,"&lt;"&amp;EDATE(DATE(2026,11,1),1))+COUNTIFS(Stripe_Invoices_Upload!$D$4:$D$5003,$A18,Stripe_Invoices_Upload!$E$4:$E$5003,"*Subscription*",Stripe_Invoices_Upload!$A$4:$A$5003,"&gt;="&amp;DATE(2026,11,1),Stripe_Invoices_Upload!$A$4:$A$5003,"&lt;"&amp;EDATE(DATE(2026,11,1),1)))&gt;0,"✓ Invoiced","⚠ Due"),""),""))</f>
        <v/>
      </c>
      <c r="O18" s="130" t="str">
        <f aca="false">IF($A18="","",IF((DATE(YEAR($E18),MONTH($E18),1)&lt;=DATE(2026,12,1)),IF((MOD(DATEDIF(DATE(YEAR($E18),MONTH($E18),1),DATE(2026,12,1),"m"),IF($D18="Quarterly",3,IF($D18="Annual",12,1)))=0),IF((COUNTIFS(Xero_Raw!$D$4:$D$5003,$A18,Xero_Raw!$G$4:$G$5003,"*Subscription*",Xero_Raw!$A$4:$A$5003,"&gt;="&amp;DATE(2026,12,1),Xero_Raw!$A$4:$A$5003,"&lt;"&amp;EDATE(DATE(2026,12,1),1))+COUNTIFS(Customer_Invoices_Upload!$E$4:$E$5003,$A18,Customer_Invoices_Upload!$G$4:$G$5003,"*Subscription*",Customer_Invoices_Upload!$B$4:$B$5003,"&gt;="&amp;DATE(2026,12,1),Customer_Invoices_Upload!$B$4:$B$5003,"&lt;"&amp;EDATE(DATE(2026,12,1),1))+COUNTIFS(Stripe_Invoices_Upload!$D$4:$D$5003,$A18,Stripe_Invoices_Upload!$E$4:$E$5003,"*Subscription*",Stripe_Invoices_Upload!$A$4:$A$5003,"&gt;="&amp;DATE(2026,12,1),Stripe_Invoices_Upload!$A$4:$A$5003,"&lt;"&amp;EDATE(DATE(2026,12,1),1)))&gt;0,"✓ Invoiced","⚠ Due"),""),""))</f>
        <v/>
      </c>
      <c r="P18" s="130" t="str">
        <f aca="false">IF($A18="","",IF((DATE(YEAR($E18),MONTH($E18),1)&lt;=DATE(2027,1,1)),IF((MOD(DATEDIF(DATE(YEAR($E18),MONTH($E18),1),DATE(2027,1,1),"m"),IF($D18="Quarterly",3,IF($D18="Annual",12,1)))=0),IF((COUNTIFS(Xero_Raw!$D$4:$D$5003,$A18,Xero_Raw!$G$4:$G$5003,"*Subscription*",Xero_Raw!$A$4:$A$5003,"&gt;="&amp;DATE(2027,1,1),Xero_Raw!$A$4:$A$5003,"&lt;"&amp;EDATE(DATE(2027,1,1),1))+COUNTIFS(Customer_Invoices_Upload!$E$4:$E$5003,$A18,Customer_Invoices_Upload!$G$4:$G$5003,"*Subscription*",Customer_Invoices_Upload!$B$4:$B$5003,"&gt;="&amp;DATE(2027,1,1),Customer_Invoices_Upload!$B$4:$B$5003,"&lt;"&amp;EDATE(DATE(2027,1,1),1))+COUNTIFS(Stripe_Invoices_Upload!$D$4:$D$5003,$A18,Stripe_Invoices_Upload!$E$4:$E$5003,"*Subscription*",Stripe_Invoices_Upload!$A$4:$A$5003,"&gt;="&amp;DATE(2027,1,1),Stripe_Invoices_Upload!$A$4:$A$5003,"&lt;"&amp;EDATE(DATE(2027,1,1),1)))&gt;0,"✓ Invoiced","⚠ Due"),""),""))</f>
        <v/>
      </c>
      <c r="Q18" s="130" t="str">
        <f aca="false">IF($A18="","",IF((DATE(YEAR($E18),MONTH($E18),1)&lt;=DATE(2027,2,1)),IF((MOD(DATEDIF(DATE(YEAR($E18),MONTH($E18),1),DATE(2027,2,1),"m"),IF($D18="Quarterly",3,IF($D18="Annual",12,1)))=0),IF((COUNTIFS(Xero_Raw!$D$4:$D$5003,$A18,Xero_Raw!$G$4:$G$5003,"*Subscription*",Xero_Raw!$A$4:$A$5003,"&gt;="&amp;DATE(2027,2,1),Xero_Raw!$A$4:$A$5003,"&lt;"&amp;EDATE(DATE(2027,2,1),1))+COUNTIFS(Customer_Invoices_Upload!$E$4:$E$5003,$A18,Customer_Invoices_Upload!$G$4:$G$5003,"*Subscription*",Customer_Invoices_Upload!$B$4:$B$5003,"&gt;="&amp;DATE(2027,2,1),Customer_Invoices_Upload!$B$4:$B$5003,"&lt;"&amp;EDATE(DATE(2027,2,1),1))+COUNTIFS(Stripe_Invoices_Upload!$D$4:$D$5003,$A18,Stripe_Invoices_Upload!$E$4:$E$5003,"*Subscription*",Stripe_Invoices_Upload!$A$4:$A$5003,"&gt;="&amp;DATE(2027,2,1),Stripe_Invoices_Upload!$A$4:$A$5003,"&lt;"&amp;EDATE(DATE(2027,2,1),1)))&gt;0,"✓ Invoiced","⚠ Due"),""),""))</f>
        <v/>
      </c>
      <c r="R18" s="130" t="str">
        <f aca="false">IF($A18="","",IF((DATE(YEAR($E18),MONTH($E18),1)&lt;=DATE(2027,3,1)),IF((MOD(DATEDIF(DATE(YEAR($E18),MONTH($E18),1),DATE(2027,3,1),"m"),IF($D18="Quarterly",3,IF($D18="Annual",12,1)))=0),IF((COUNTIFS(Xero_Raw!$D$4:$D$5003,$A18,Xero_Raw!$G$4:$G$5003,"*Subscription*",Xero_Raw!$A$4:$A$5003,"&gt;="&amp;DATE(2027,3,1),Xero_Raw!$A$4:$A$5003,"&lt;"&amp;EDATE(DATE(2027,3,1),1))+COUNTIFS(Customer_Invoices_Upload!$E$4:$E$5003,$A18,Customer_Invoices_Upload!$G$4:$G$5003,"*Subscription*",Customer_Invoices_Upload!$B$4:$B$5003,"&gt;="&amp;DATE(2027,3,1),Customer_Invoices_Upload!$B$4:$B$5003,"&lt;"&amp;EDATE(DATE(2027,3,1),1))+COUNTIFS(Stripe_Invoices_Upload!$D$4:$D$5003,$A18,Stripe_Invoices_Upload!$E$4:$E$5003,"*Subscription*",Stripe_Invoices_Upload!$A$4:$A$5003,"&gt;="&amp;DATE(2027,3,1),Stripe_Invoices_Upload!$A$4:$A$5003,"&lt;"&amp;EDATE(DATE(2027,3,1),1)))&gt;0,"✓ Invoiced","⚠ Due"),""),""))</f>
        <v/>
      </c>
    </row>
    <row r="19" customFormat="false" ht="15" hidden="false" customHeight="false" outlineLevel="0" collapsed="false">
      <c r="A19" s="39"/>
      <c r="B19" s="39"/>
      <c r="C19" s="40"/>
      <c r="D19" s="39"/>
      <c r="E19" s="38"/>
      <c r="F19" s="129" t="str">
        <f aca="true">IF($A19="","",EDATE($E19,DATEDIF($E19,TODAY(),"m")+1))</f>
        <v/>
      </c>
      <c r="G19" s="130" t="str">
        <f aca="false">IF($A19="","",IF((DATE(YEAR($E19),MONTH($E19),1)&lt;=DATE(2026,4,1)),IF((MOD(DATEDIF(DATE(YEAR($E19),MONTH($E19),1),DATE(2026,4,1),"m"),IF($D19="Quarterly",3,IF($D19="Annual",12,1)))=0),IF((COUNTIFS(Xero_Raw!$D$4:$D$5003,$A19,Xero_Raw!$G$4:$G$5003,"*Subscription*",Xero_Raw!$A$4:$A$5003,"&gt;="&amp;DATE(2026,4,1),Xero_Raw!$A$4:$A$5003,"&lt;"&amp;EDATE(DATE(2026,4,1),1))+COUNTIFS(Customer_Invoices_Upload!$E$4:$E$5003,$A19,Customer_Invoices_Upload!$G$4:$G$5003,"*Subscription*",Customer_Invoices_Upload!$B$4:$B$5003,"&gt;="&amp;DATE(2026,4,1),Customer_Invoices_Upload!$B$4:$B$5003,"&lt;"&amp;EDATE(DATE(2026,4,1),1))+COUNTIFS(Stripe_Invoices_Upload!$D$4:$D$5003,$A19,Stripe_Invoices_Upload!$E$4:$E$5003,"*Subscription*",Stripe_Invoices_Upload!$A$4:$A$5003,"&gt;="&amp;DATE(2026,4,1),Stripe_Invoices_Upload!$A$4:$A$5003,"&lt;"&amp;EDATE(DATE(2026,4,1),1)))&gt;0,"✓ Invoiced","⚠ Due"),""),""))</f>
        <v/>
      </c>
      <c r="H19" s="130" t="str">
        <f aca="false">IF($A19="","",IF((DATE(YEAR($E19),MONTH($E19),1)&lt;=DATE(2026,5,1)),IF((MOD(DATEDIF(DATE(YEAR($E19),MONTH($E19),1),DATE(2026,5,1),"m"),IF($D19="Quarterly",3,IF($D19="Annual",12,1)))=0),IF((COUNTIFS(Xero_Raw!$D$4:$D$5003,$A19,Xero_Raw!$G$4:$G$5003,"*Subscription*",Xero_Raw!$A$4:$A$5003,"&gt;="&amp;DATE(2026,5,1),Xero_Raw!$A$4:$A$5003,"&lt;"&amp;EDATE(DATE(2026,5,1),1))+COUNTIFS(Customer_Invoices_Upload!$E$4:$E$5003,$A19,Customer_Invoices_Upload!$G$4:$G$5003,"*Subscription*",Customer_Invoices_Upload!$B$4:$B$5003,"&gt;="&amp;DATE(2026,5,1),Customer_Invoices_Upload!$B$4:$B$5003,"&lt;"&amp;EDATE(DATE(2026,5,1),1))+COUNTIFS(Stripe_Invoices_Upload!$D$4:$D$5003,$A19,Stripe_Invoices_Upload!$E$4:$E$5003,"*Subscription*",Stripe_Invoices_Upload!$A$4:$A$5003,"&gt;="&amp;DATE(2026,5,1),Stripe_Invoices_Upload!$A$4:$A$5003,"&lt;"&amp;EDATE(DATE(2026,5,1),1)))&gt;0,"✓ Invoiced","⚠ Due"),""),""))</f>
        <v/>
      </c>
      <c r="I19" s="130" t="str">
        <f aca="false">IF($A19="","",IF((DATE(YEAR($E19),MONTH($E19),1)&lt;=DATE(2026,6,1)),IF((MOD(DATEDIF(DATE(YEAR($E19),MONTH($E19),1),DATE(2026,6,1),"m"),IF($D19="Quarterly",3,IF($D19="Annual",12,1)))=0),IF((COUNTIFS(Xero_Raw!$D$4:$D$5003,$A19,Xero_Raw!$G$4:$G$5003,"*Subscription*",Xero_Raw!$A$4:$A$5003,"&gt;="&amp;DATE(2026,6,1),Xero_Raw!$A$4:$A$5003,"&lt;"&amp;EDATE(DATE(2026,6,1),1))+COUNTIFS(Customer_Invoices_Upload!$E$4:$E$5003,$A19,Customer_Invoices_Upload!$G$4:$G$5003,"*Subscription*",Customer_Invoices_Upload!$B$4:$B$5003,"&gt;="&amp;DATE(2026,6,1),Customer_Invoices_Upload!$B$4:$B$5003,"&lt;"&amp;EDATE(DATE(2026,6,1),1))+COUNTIFS(Stripe_Invoices_Upload!$D$4:$D$5003,$A19,Stripe_Invoices_Upload!$E$4:$E$5003,"*Subscription*",Stripe_Invoices_Upload!$A$4:$A$5003,"&gt;="&amp;DATE(2026,6,1),Stripe_Invoices_Upload!$A$4:$A$5003,"&lt;"&amp;EDATE(DATE(2026,6,1),1)))&gt;0,"✓ Invoiced","⚠ Due"),""),""))</f>
        <v/>
      </c>
      <c r="J19" s="130" t="str">
        <f aca="false">IF($A19="","",IF((DATE(YEAR($E19),MONTH($E19),1)&lt;=DATE(2026,7,1)),IF((MOD(DATEDIF(DATE(YEAR($E19),MONTH($E19),1),DATE(2026,7,1),"m"),IF($D19="Quarterly",3,IF($D19="Annual",12,1)))=0),IF((COUNTIFS(Xero_Raw!$D$4:$D$5003,$A19,Xero_Raw!$G$4:$G$5003,"*Subscription*",Xero_Raw!$A$4:$A$5003,"&gt;="&amp;DATE(2026,7,1),Xero_Raw!$A$4:$A$5003,"&lt;"&amp;EDATE(DATE(2026,7,1),1))+COUNTIFS(Customer_Invoices_Upload!$E$4:$E$5003,$A19,Customer_Invoices_Upload!$G$4:$G$5003,"*Subscription*",Customer_Invoices_Upload!$B$4:$B$5003,"&gt;="&amp;DATE(2026,7,1),Customer_Invoices_Upload!$B$4:$B$5003,"&lt;"&amp;EDATE(DATE(2026,7,1),1))+COUNTIFS(Stripe_Invoices_Upload!$D$4:$D$5003,$A19,Stripe_Invoices_Upload!$E$4:$E$5003,"*Subscription*",Stripe_Invoices_Upload!$A$4:$A$5003,"&gt;="&amp;DATE(2026,7,1),Stripe_Invoices_Upload!$A$4:$A$5003,"&lt;"&amp;EDATE(DATE(2026,7,1),1)))&gt;0,"✓ Invoiced","⚠ Due"),""),""))</f>
        <v/>
      </c>
      <c r="K19" s="130" t="str">
        <f aca="false">IF($A19="","",IF((DATE(YEAR($E19),MONTH($E19),1)&lt;=DATE(2026,8,1)),IF((MOD(DATEDIF(DATE(YEAR($E19),MONTH($E19),1),DATE(2026,8,1),"m"),IF($D19="Quarterly",3,IF($D19="Annual",12,1)))=0),IF((COUNTIFS(Xero_Raw!$D$4:$D$5003,$A19,Xero_Raw!$G$4:$G$5003,"*Subscription*",Xero_Raw!$A$4:$A$5003,"&gt;="&amp;DATE(2026,8,1),Xero_Raw!$A$4:$A$5003,"&lt;"&amp;EDATE(DATE(2026,8,1),1))+COUNTIFS(Customer_Invoices_Upload!$E$4:$E$5003,$A19,Customer_Invoices_Upload!$G$4:$G$5003,"*Subscription*",Customer_Invoices_Upload!$B$4:$B$5003,"&gt;="&amp;DATE(2026,8,1),Customer_Invoices_Upload!$B$4:$B$5003,"&lt;"&amp;EDATE(DATE(2026,8,1),1))+COUNTIFS(Stripe_Invoices_Upload!$D$4:$D$5003,$A19,Stripe_Invoices_Upload!$E$4:$E$5003,"*Subscription*",Stripe_Invoices_Upload!$A$4:$A$5003,"&gt;="&amp;DATE(2026,8,1),Stripe_Invoices_Upload!$A$4:$A$5003,"&lt;"&amp;EDATE(DATE(2026,8,1),1)))&gt;0,"✓ Invoiced","⚠ Due"),""),""))</f>
        <v/>
      </c>
      <c r="L19" s="130" t="str">
        <f aca="false">IF($A19="","",IF((DATE(YEAR($E19),MONTH($E19),1)&lt;=DATE(2026,9,1)),IF((MOD(DATEDIF(DATE(YEAR($E19),MONTH($E19),1),DATE(2026,9,1),"m"),IF($D19="Quarterly",3,IF($D19="Annual",12,1)))=0),IF((COUNTIFS(Xero_Raw!$D$4:$D$5003,$A19,Xero_Raw!$G$4:$G$5003,"*Subscription*",Xero_Raw!$A$4:$A$5003,"&gt;="&amp;DATE(2026,9,1),Xero_Raw!$A$4:$A$5003,"&lt;"&amp;EDATE(DATE(2026,9,1),1))+COUNTIFS(Customer_Invoices_Upload!$E$4:$E$5003,$A19,Customer_Invoices_Upload!$G$4:$G$5003,"*Subscription*",Customer_Invoices_Upload!$B$4:$B$5003,"&gt;="&amp;DATE(2026,9,1),Customer_Invoices_Upload!$B$4:$B$5003,"&lt;"&amp;EDATE(DATE(2026,9,1),1))+COUNTIFS(Stripe_Invoices_Upload!$D$4:$D$5003,$A19,Stripe_Invoices_Upload!$E$4:$E$5003,"*Subscription*",Stripe_Invoices_Upload!$A$4:$A$5003,"&gt;="&amp;DATE(2026,9,1),Stripe_Invoices_Upload!$A$4:$A$5003,"&lt;"&amp;EDATE(DATE(2026,9,1),1)))&gt;0,"✓ Invoiced","⚠ Due"),""),""))</f>
        <v/>
      </c>
      <c r="M19" s="130" t="str">
        <f aca="false">IF($A19="","",IF((DATE(YEAR($E19),MONTH($E19),1)&lt;=DATE(2026,10,1)),IF((MOD(DATEDIF(DATE(YEAR($E19),MONTH($E19),1),DATE(2026,10,1),"m"),IF($D19="Quarterly",3,IF($D19="Annual",12,1)))=0),IF((COUNTIFS(Xero_Raw!$D$4:$D$5003,$A19,Xero_Raw!$G$4:$G$5003,"*Subscription*",Xero_Raw!$A$4:$A$5003,"&gt;="&amp;DATE(2026,10,1),Xero_Raw!$A$4:$A$5003,"&lt;"&amp;EDATE(DATE(2026,10,1),1))+COUNTIFS(Customer_Invoices_Upload!$E$4:$E$5003,$A19,Customer_Invoices_Upload!$G$4:$G$5003,"*Subscription*",Customer_Invoices_Upload!$B$4:$B$5003,"&gt;="&amp;DATE(2026,10,1),Customer_Invoices_Upload!$B$4:$B$5003,"&lt;"&amp;EDATE(DATE(2026,10,1),1))+COUNTIFS(Stripe_Invoices_Upload!$D$4:$D$5003,$A19,Stripe_Invoices_Upload!$E$4:$E$5003,"*Subscription*",Stripe_Invoices_Upload!$A$4:$A$5003,"&gt;="&amp;DATE(2026,10,1),Stripe_Invoices_Upload!$A$4:$A$5003,"&lt;"&amp;EDATE(DATE(2026,10,1),1)))&gt;0,"✓ Invoiced","⚠ Due"),""),""))</f>
        <v/>
      </c>
      <c r="N19" s="130" t="str">
        <f aca="false">IF($A19="","",IF((DATE(YEAR($E19),MONTH($E19),1)&lt;=DATE(2026,11,1)),IF((MOD(DATEDIF(DATE(YEAR($E19),MONTH($E19),1),DATE(2026,11,1),"m"),IF($D19="Quarterly",3,IF($D19="Annual",12,1)))=0),IF((COUNTIFS(Xero_Raw!$D$4:$D$5003,$A19,Xero_Raw!$G$4:$G$5003,"*Subscription*",Xero_Raw!$A$4:$A$5003,"&gt;="&amp;DATE(2026,11,1),Xero_Raw!$A$4:$A$5003,"&lt;"&amp;EDATE(DATE(2026,11,1),1))+COUNTIFS(Customer_Invoices_Upload!$E$4:$E$5003,$A19,Customer_Invoices_Upload!$G$4:$G$5003,"*Subscription*",Customer_Invoices_Upload!$B$4:$B$5003,"&gt;="&amp;DATE(2026,11,1),Customer_Invoices_Upload!$B$4:$B$5003,"&lt;"&amp;EDATE(DATE(2026,11,1),1))+COUNTIFS(Stripe_Invoices_Upload!$D$4:$D$5003,$A19,Stripe_Invoices_Upload!$E$4:$E$5003,"*Subscription*",Stripe_Invoices_Upload!$A$4:$A$5003,"&gt;="&amp;DATE(2026,11,1),Stripe_Invoices_Upload!$A$4:$A$5003,"&lt;"&amp;EDATE(DATE(2026,11,1),1)))&gt;0,"✓ Invoiced","⚠ Due"),""),""))</f>
        <v/>
      </c>
      <c r="O19" s="130" t="str">
        <f aca="false">IF($A19="","",IF((DATE(YEAR($E19),MONTH($E19),1)&lt;=DATE(2026,12,1)),IF((MOD(DATEDIF(DATE(YEAR($E19),MONTH($E19),1),DATE(2026,12,1),"m"),IF($D19="Quarterly",3,IF($D19="Annual",12,1)))=0),IF((COUNTIFS(Xero_Raw!$D$4:$D$5003,$A19,Xero_Raw!$G$4:$G$5003,"*Subscription*",Xero_Raw!$A$4:$A$5003,"&gt;="&amp;DATE(2026,12,1),Xero_Raw!$A$4:$A$5003,"&lt;"&amp;EDATE(DATE(2026,12,1),1))+COUNTIFS(Customer_Invoices_Upload!$E$4:$E$5003,$A19,Customer_Invoices_Upload!$G$4:$G$5003,"*Subscription*",Customer_Invoices_Upload!$B$4:$B$5003,"&gt;="&amp;DATE(2026,12,1),Customer_Invoices_Upload!$B$4:$B$5003,"&lt;"&amp;EDATE(DATE(2026,12,1),1))+COUNTIFS(Stripe_Invoices_Upload!$D$4:$D$5003,$A19,Stripe_Invoices_Upload!$E$4:$E$5003,"*Subscription*",Stripe_Invoices_Upload!$A$4:$A$5003,"&gt;="&amp;DATE(2026,12,1),Stripe_Invoices_Upload!$A$4:$A$5003,"&lt;"&amp;EDATE(DATE(2026,12,1),1)))&gt;0,"✓ Invoiced","⚠ Due"),""),""))</f>
        <v/>
      </c>
      <c r="P19" s="130" t="str">
        <f aca="false">IF($A19="","",IF((DATE(YEAR($E19),MONTH($E19),1)&lt;=DATE(2027,1,1)),IF((MOD(DATEDIF(DATE(YEAR($E19),MONTH($E19),1),DATE(2027,1,1),"m"),IF($D19="Quarterly",3,IF($D19="Annual",12,1)))=0),IF((COUNTIFS(Xero_Raw!$D$4:$D$5003,$A19,Xero_Raw!$G$4:$G$5003,"*Subscription*",Xero_Raw!$A$4:$A$5003,"&gt;="&amp;DATE(2027,1,1),Xero_Raw!$A$4:$A$5003,"&lt;"&amp;EDATE(DATE(2027,1,1),1))+COUNTIFS(Customer_Invoices_Upload!$E$4:$E$5003,$A19,Customer_Invoices_Upload!$G$4:$G$5003,"*Subscription*",Customer_Invoices_Upload!$B$4:$B$5003,"&gt;="&amp;DATE(2027,1,1),Customer_Invoices_Upload!$B$4:$B$5003,"&lt;"&amp;EDATE(DATE(2027,1,1),1))+COUNTIFS(Stripe_Invoices_Upload!$D$4:$D$5003,$A19,Stripe_Invoices_Upload!$E$4:$E$5003,"*Subscription*",Stripe_Invoices_Upload!$A$4:$A$5003,"&gt;="&amp;DATE(2027,1,1),Stripe_Invoices_Upload!$A$4:$A$5003,"&lt;"&amp;EDATE(DATE(2027,1,1),1)))&gt;0,"✓ Invoiced","⚠ Due"),""),""))</f>
        <v/>
      </c>
      <c r="Q19" s="130" t="str">
        <f aca="false">IF($A19="","",IF((DATE(YEAR($E19),MONTH($E19),1)&lt;=DATE(2027,2,1)),IF((MOD(DATEDIF(DATE(YEAR($E19),MONTH($E19),1),DATE(2027,2,1),"m"),IF($D19="Quarterly",3,IF($D19="Annual",12,1)))=0),IF((COUNTIFS(Xero_Raw!$D$4:$D$5003,$A19,Xero_Raw!$G$4:$G$5003,"*Subscription*",Xero_Raw!$A$4:$A$5003,"&gt;="&amp;DATE(2027,2,1),Xero_Raw!$A$4:$A$5003,"&lt;"&amp;EDATE(DATE(2027,2,1),1))+COUNTIFS(Customer_Invoices_Upload!$E$4:$E$5003,$A19,Customer_Invoices_Upload!$G$4:$G$5003,"*Subscription*",Customer_Invoices_Upload!$B$4:$B$5003,"&gt;="&amp;DATE(2027,2,1),Customer_Invoices_Upload!$B$4:$B$5003,"&lt;"&amp;EDATE(DATE(2027,2,1),1))+COUNTIFS(Stripe_Invoices_Upload!$D$4:$D$5003,$A19,Stripe_Invoices_Upload!$E$4:$E$5003,"*Subscription*",Stripe_Invoices_Upload!$A$4:$A$5003,"&gt;="&amp;DATE(2027,2,1),Stripe_Invoices_Upload!$A$4:$A$5003,"&lt;"&amp;EDATE(DATE(2027,2,1),1)))&gt;0,"✓ Invoiced","⚠ Due"),""),""))</f>
        <v/>
      </c>
      <c r="R19" s="130" t="str">
        <f aca="false">IF($A19="","",IF((DATE(YEAR($E19),MONTH($E19),1)&lt;=DATE(2027,3,1)),IF((MOD(DATEDIF(DATE(YEAR($E19),MONTH($E19),1),DATE(2027,3,1),"m"),IF($D19="Quarterly",3,IF($D19="Annual",12,1)))=0),IF((COUNTIFS(Xero_Raw!$D$4:$D$5003,$A19,Xero_Raw!$G$4:$G$5003,"*Subscription*",Xero_Raw!$A$4:$A$5003,"&gt;="&amp;DATE(2027,3,1),Xero_Raw!$A$4:$A$5003,"&lt;"&amp;EDATE(DATE(2027,3,1),1))+COUNTIFS(Customer_Invoices_Upload!$E$4:$E$5003,$A19,Customer_Invoices_Upload!$G$4:$G$5003,"*Subscription*",Customer_Invoices_Upload!$B$4:$B$5003,"&gt;="&amp;DATE(2027,3,1),Customer_Invoices_Upload!$B$4:$B$5003,"&lt;"&amp;EDATE(DATE(2027,3,1),1))+COUNTIFS(Stripe_Invoices_Upload!$D$4:$D$5003,$A19,Stripe_Invoices_Upload!$E$4:$E$5003,"*Subscription*",Stripe_Invoices_Upload!$A$4:$A$5003,"&gt;="&amp;DATE(2027,3,1),Stripe_Invoices_Upload!$A$4:$A$5003,"&lt;"&amp;EDATE(DATE(2027,3,1),1)))&gt;0,"✓ Invoiced","⚠ Due"),""),""))</f>
        <v/>
      </c>
    </row>
    <row r="20" customFormat="false" ht="15" hidden="false" customHeight="false" outlineLevel="0" collapsed="false">
      <c r="A20" s="39"/>
      <c r="B20" s="39"/>
      <c r="C20" s="40"/>
      <c r="D20" s="39"/>
      <c r="E20" s="38"/>
      <c r="F20" s="129" t="str">
        <f aca="true">IF($A20="","",EDATE($E20,DATEDIF($E20,TODAY(),"m")+1))</f>
        <v/>
      </c>
      <c r="G20" s="130" t="str">
        <f aca="false">IF($A20="","",IF((DATE(YEAR($E20),MONTH($E20),1)&lt;=DATE(2026,4,1)),IF((MOD(DATEDIF(DATE(YEAR($E20),MONTH($E20),1),DATE(2026,4,1),"m"),IF($D20="Quarterly",3,IF($D20="Annual",12,1)))=0),IF((COUNTIFS(Xero_Raw!$D$4:$D$5003,$A20,Xero_Raw!$G$4:$G$5003,"*Subscription*",Xero_Raw!$A$4:$A$5003,"&gt;="&amp;DATE(2026,4,1),Xero_Raw!$A$4:$A$5003,"&lt;"&amp;EDATE(DATE(2026,4,1),1))+COUNTIFS(Customer_Invoices_Upload!$E$4:$E$5003,$A20,Customer_Invoices_Upload!$G$4:$G$5003,"*Subscription*",Customer_Invoices_Upload!$B$4:$B$5003,"&gt;="&amp;DATE(2026,4,1),Customer_Invoices_Upload!$B$4:$B$5003,"&lt;"&amp;EDATE(DATE(2026,4,1),1))+COUNTIFS(Stripe_Invoices_Upload!$D$4:$D$5003,$A20,Stripe_Invoices_Upload!$E$4:$E$5003,"*Subscription*",Stripe_Invoices_Upload!$A$4:$A$5003,"&gt;="&amp;DATE(2026,4,1),Stripe_Invoices_Upload!$A$4:$A$5003,"&lt;"&amp;EDATE(DATE(2026,4,1),1)))&gt;0,"✓ Invoiced","⚠ Due"),""),""))</f>
        <v/>
      </c>
      <c r="H20" s="130" t="str">
        <f aca="false">IF($A20="","",IF((DATE(YEAR($E20),MONTH($E20),1)&lt;=DATE(2026,5,1)),IF((MOD(DATEDIF(DATE(YEAR($E20),MONTH($E20),1),DATE(2026,5,1),"m"),IF($D20="Quarterly",3,IF($D20="Annual",12,1)))=0),IF((COUNTIFS(Xero_Raw!$D$4:$D$5003,$A20,Xero_Raw!$G$4:$G$5003,"*Subscription*",Xero_Raw!$A$4:$A$5003,"&gt;="&amp;DATE(2026,5,1),Xero_Raw!$A$4:$A$5003,"&lt;"&amp;EDATE(DATE(2026,5,1),1))+COUNTIFS(Customer_Invoices_Upload!$E$4:$E$5003,$A20,Customer_Invoices_Upload!$G$4:$G$5003,"*Subscription*",Customer_Invoices_Upload!$B$4:$B$5003,"&gt;="&amp;DATE(2026,5,1),Customer_Invoices_Upload!$B$4:$B$5003,"&lt;"&amp;EDATE(DATE(2026,5,1),1))+COUNTIFS(Stripe_Invoices_Upload!$D$4:$D$5003,$A20,Stripe_Invoices_Upload!$E$4:$E$5003,"*Subscription*",Stripe_Invoices_Upload!$A$4:$A$5003,"&gt;="&amp;DATE(2026,5,1),Stripe_Invoices_Upload!$A$4:$A$5003,"&lt;"&amp;EDATE(DATE(2026,5,1),1)))&gt;0,"✓ Invoiced","⚠ Due"),""),""))</f>
        <v/>
      </c>
      <c r="I20" s="130" t="str">
        <f aca="false">IF($A20="","",IF((DATE(YEAR($E20),MONTH($E20),1)&lt;=DATE(2026,6,1)),IF((MOD(DATEDIF(DATE(YEAR($E20),MONTH($E20),1),DATE(2026,6,1),"m"),IF($D20="Quarterly",3,IF($D20="Annual",12,1)))=0),IF((COUNTIFS(Xero_Raw!$D$4:$D$5003,$A20,Xero_Raw!$G$4:$G$5003,"*Subscription*",Xero_Raw!$A$4:$A$5003,"&gt;="&amp;DATE(2026,6,1),Xero_Raw!$A$4:$A$5003,"&lt;"&amp;EDATE(DATE(2026,6,1),1))+COUNTIFS(Customer_Invoices_Upload!$E$4:$E$5003,$A20,Customer_Invoices_Upload!$G$4:$G$5003,"*Subscription*",Customer_Invoices_Upload!$B$4:$B$5003,"&gt;="&amp;DATE(2026,6,1),Customer_Invoices_Upload!$B$4:$B$5003,"&lt;"&amp;EDATE(DATE(2026,6,1),1))+COUNTIFS(Stripe_Invoices_Upload!$D$4:$D$5003,$A20,Stripe_Invoices_Upload!$E$4:$E$5003,"*Subscription*",Stripe_Invoices_Upload!$A$4:$A$5003,"&gt;="&amp;DATE(2026,6,1),Stripe_Invoices_Upload!$A$4:$A$5003,"&lt;"&amp;EDATE(DATE(2026,6,1),1)))&gt;0,"✓ Invoiced","⚠ Due"),""),""))</f>
        <v/>
      </c>
      <c r="J20" s="130" t="str">
        <f aca="false">IF($A20="","",IF((DATE(YEAR($E20),MONTH($E20),1)&lt;=DATE(2026,7,1)),IF((MOD(DATEDIF(DATE(YEAR($E20),MONTH($E20),1),DATE(2026,7,1),"m"),IF($D20="Quarterly",3,IF($D20="Annual",12,1)))=0),IF((COUNTIFS(Xero_Raw!$D$4:$D$5003,$A20,Xero_Raw!$G$4:$G$5003,"*Subscription*",Xero_Raw!$A$4:$A$5003,"&gt;="&amp;DATE(2026,7,1),Xero_Raw!$A$4:$A$5003,"&lt;"&amp;EDATE(DATE(2026,7,1),1))+COUNTIFS(Customer_Invoices_Upload!$E$4:$E$5003,$A20,Customer_Invoices_Upload!$G$4:$G$5003,"*Subscription*",Customer_Invoices_Upload!$B$4:$B$5003,"&gt;="&amp;DATE(2026,7,1),Customer_Invoices_Upload!$B$4:$B$5003,"&lt;"&amp;EDATE(DATE(2026,7,1),1))+COUNTIFS(Stripe_Invoices_Upload!$D$4:$D$5003,$A20,Stripe_Invoices_Upload!$E$4:$E$5003,"*Subscription*",Stripe_Invoices_Upload!$A$4:$A$5003,"&gt;="&amp;DATE(2026,7,1),Stripe_Invoices_Upload!$A$4:$A$5003,"&lt;"&amp;EDATE(DATE(2026,7,1),1)))&gt;0,"✓ Invoiced","⚠ Due"),""),""))</f>
        <v/>
      </c>
      <c r="K20" s="130" t="str">
        <f aca="false">IF($A20="","",IF((DATE(YEAR($E20),MONTH($E20),1)&lt;=DATE(2026,8,1)),IF((MOD(DATEDIF(DATE(YEAR($E20),MONTH($E20),1),DATE(2026,8,1),"m"),IF($D20="Quarterly",3,IF($D20="Annual",12,1)))=0),IF((COUNTIFS(Xero_Raw!$D$4:$D$5003,$A20,Xero_Raw!$G$4:$G$5003,"*Subscription*",Xero_Raw!$A$4:$A$5003,"&gt;="&amp;DATE(2026,8,1),Xero_Raw!$A$4:$A$5003,"&lt;"&amp;EDATE(DATE(2026,8,1),1))+COUNTIFS(Customer_Invoices_Upload!$E$4:$E$5003,$A20,Customer_Invoices_Upload!$G$4:$G$5003,"*Subscription*",Customer_Invoices_Upload!$B$4:$B$5003,"&gt;="&amp;DATE(2026,8,1),Customer_Invoices_Upload!$B$4:$B$5003,"&lt;"&amp;EDATE(DATE(2026,8,1),1))+COUNTIFS(Stripe_Invoices_Upload!$D$4:$D$5003,$A20,Stripe_Invoices_Upload!$E$4:$E$5003,"*Subscription*",Stripe_Invoices_Upload!$A$4:$A$5003,"&gt;="&amp;DATE(2026,8,1),Stripe_Invoices_Upload!$A$4:$A$5003,"&lt;"&amp;EDATE(DATE(2026,8,1),1)))&gt;0,"✓ Invoiced","⚠ Due"),""),""))</f>
        <v/>
      </c>
      <c r="L20" s="130" t="str">
        <f aca="false">IF($A20="","",IF((DATE(YEAR($E20),MONTH($E20),1)&lt;=DATE(2026,9,1)),IF((MOD(DATEDIF(DATE(YEAR($E20),MONTH($E20),1),DATE(2026,9,1),"m"),IF($D20="Quarterly",3,IF($D20="Annual",12,1)))=0),IF((COUNTIFS(Xero_Raw!$D$4:$D$5003,$A20,Xero_Raw!$G$4:$G$5003,"*Subscription*",Xero_Raw!$A$4:$A$5003,"&gt;="&amp;DATE(2026,9,1),Xero_Raw!$A$4:$A$5003,"&lt;"&amp;EDATE(DATE(2026,9,1),1))+COUNTIFS(Customer_Invoices_Upload!$E$4:$E$5003,$A20,Customer_Invoices_Upload!$G$4:$G$5003,"*Subscription*",Customer_Invoices_Upload!$B$4:$B$5003,"&gt;="&amp;DATE(2026,9,1),Customer_Invoices_Upload!$B$4:$B$5003,"&lt;"&amp;EDATE(DATE(2026,9,1),1))+COUNTIFS(Stripe_Invoices_Upload!$D$4:$D$5003,$A20,Stripe_Invoices_Upload!$E$4:$E$5003,"*Subscription*",Stripe_Invoices_Upload!$A$4:$A$5003,"&gt;="&amp;DATE(2026,9,1),Stripe_Invoices_Upload!$A$4:$A$5003,"&lt;"&amp;EDATE(DATE(2026,9,1),1)))&gt;0,"✓ Invoiced","⚠ Due"),""),""))</f>
        <v/>
      </c>
      <c r="M20" s="130" t="str">
        <f aca="false">IF($A20="","",IF((DATE(YEAR($E20),MONTH($E20),1)&lt;=DATE(2026,10,1)),IF((MOD(DATEDIF(DATE(YEAR($E20),MONTH($E20),1),DATE(2026,10,1),"m"),IF($D20="Quarterly",3,IF($D20="Annual",12,1)))=0),IF((COUNTIFS(Xero_Raw!$D$4:$D$5003,$A20,Xero_Raw!$G$4:$G$5003,"*Subscription*",Xero_Raw!$A$4:$A$5003,"&gt;="&amp;DATE(2026,10,1),Xero_Raw!$A$4:$A$5003,"&lt;"&amp;EDATE(DATE(2026,10,1),1))+COUNTIFS(Customer_Invoices_Upload!$E$4:$E$5003,$A20,Customer_Invoices_Upload!$G$4:$G$5003,"*Subscription*",Customer_Invoices_Upload!$B$4:$B$5003,"&gt;="&amp;DATE(2026,10,1),Customer_Invoices_Upload!$B$4:$B$5003,"&lt;"&amp;EDATE(DATE(2026,10,1),1))+COUNTIFS(Stripe_Invoices_Upload!$D$4:$D$5003,$A20,Stripe_Invoices_Upload!$E$4:$E$5003,"*Subscription*",Stripe_Invoices_Upload!$A$4:$A$5003,"&gt;="&amp;DATE(2026,10,1),Stripe_Invoices_Upload!$A$4:$A$5003,"&lt;"&amp;EDATE(DATE(2026,10,1),1)))&gt;0,"✓ Invoiced","⚠ Due"),""),""))</f>
        <v/>
      </c>
      <c r="N20" s="130" t="str">
        <f aca="false">IF($A20="","",IF((DATE(YEAR($E20),MONTH($E20),1)&lt;=DATE(2026,11,1)),IF((MOD(DATEDIF(DATE(YEAR($E20),MONTH($E20),1),DATE(2026,11,1),"m"),IF($D20="Quarterly",3,IF($D20="Annual",12,1)))=0),IF((COUNTIFS(Xero_Raw!$D$4:$D$5003,$A20,Xero_Raw!$G$4:$G$5003,"*Subscription*",Xero_Raw!$A$4:$A$5003,"&gt;="&amp;DATE(2026,11,1),Xero_Raw!$A$4:$A$5003,"&lt;"&amp;EDATE(DATE(2026,11,1),1))+COUNTIFS(Customer_Invoices_Upload!$E$4:$E$5003,$A20,Customer_Invoices_Upload!$G$4:$G$5003,"*Subscription*",Customer_Invoices_Upload!$B$4:$B$5003,"&gt;="&amp;DATE(2026,11,1),Customer_Invoices_Upload!$B$4:$B$5003,"&lt;"&amp;EDATE(DATE(2026,11,1),1))+COUNTIFS(Stripe_Invoices_Upload!$D$4:$D$5003,$A20,Stripe_Invoices_Upload!$E$4:$E$5003,"*Subscription*",Stripe_Invoices_Upload!$A$4:$A$5003,"&gt;="&amp;DATE(2026,11,1),Stripe_Invoices_Upload!$A$4:$A$5003,"&lt;"&amp;EDATE(DATE(2026,11,1),1)))&gt;0,"✓ Invoiced","⚠ Due"),""),""))</f>
        <v/>
      </c>
      <c r="O20" s="130" t="str">
        <f aca="false">IF($A20="","",IF((DATE(YEAR($E20),MONTH($E20),1)&lt;=DATE(2026,12,1)),IF((MOD(DATEDIF(DATE(YEAR($E20),MONTH($E20),1),DATE(2026,12,1),"m"),IF($D20="Quarterly",3,IF($D20="Annual",12,1)))=0),IF((COUNTIFS(Xero_Raw!$D$4:$D$5003,$A20,Xero_Raw!$G$4:$G$5003,"*Subscription*",Xero_Raw!$A$4:$A$5003,"&gt;="&amp;DATE(2026,12,1),Xero_Raw!$A$4:$A$5003,"&lt;"&amp;EDATE(DATE(2026,12,1),1))+COUNTIFS(Customer_Invoices_Upload!$E$4:$E$5003,$A20,Customer_Invoices_Upload!$G$4:$G$5003,"*Subscription*",Customer_Invoices_Upload!$B$4:$B$5003,"&gt;="&amp;DATE(2026,12,1),Customer_Invoices_Upload!$B$4:$B$5003,"&lt;"&amp;EDATE(DATE(2026,12,1),1))+COUNTIFS(Stripe_Invoices_Upload!$D$4:$D$5003,$A20,Stripe_Invoices_Upload!$E$4:$E$5003,"*Subscription*",Stripe_Invoices_Upload!$A$4:$A$5003,"&gt;="&amp;DATE(2026,12,1),Stripe_Invoices_Upload!$A$4:$A$5003,"&lt;"&amp;EDATE(DATE(2026,12,1),1)))&gt;0,"✓ Invoiced","⚠ Due"),""),""))</f>
        <v/>
      </c>
      <c r="P20" s="130" t="str">
        <f aca="false">IF($A20="","",IF((DATE(YEAR($E20),MONTH($E20),1)&lt;=DATE(2027,1,1)),IF((MOD(DATEDIF(DATE(YEAR($E20),MONTH($E20),1),DATE(2027,1,1),"m"),IF($D20="Quarterly",3,IF($D20="Annual",12,1)))=0),IF((COUNTIFS(Xero_Raw!$D$4:$D$5003,$A20,Xero_Raw!$G$4:$G$5003,"*Subscription*",Xero_Raw!$A$4:$A$5003,"&gt;="&amp;DATE(2027,1,1),Xero_Raw!$A$4:$A$5003,"&lt;"&amp;EDATE(DATE(2027,1,1),1))+COUNTIFS(Customer_Invoices_Upload!$E$4:$E$5003,$A20,Customer_Invoices_Upload!$G$4:$G$5003,"*Subscription*",Customer_Invoices_Upload!$B$4:$B$5003,"&gt;="&amp;DATE(2027,1,1),Customer_Invoices_Upload!$B$4:$B$5003,"&lt;"&amp;EDATE(DATE(2027,1,1),1))+COUNTIFS(Stripe_Invoices_Upload!$D$4:$D$5003,$A20,Stripe_Invoices_Upload!$E$4:$E$5003,"*Subscription*",Stripe_Invoices_Upload!$A$4:$A$5003,"&gt;="&amp;DATE(2027,1,1),Stripe_Invoices_Upload!$A$4:$A$5003,"&lt;"&amp;EDATE(DATE(2027,1,1),1)))&gt;0,"✓ Invoiced","⚠ Due"),""),""))</f>
        <v/>
      </c>
      <c r="Q20" s="130" t="str">
        <f aca="false">IF($A20="","",IF((DATE(YEAR($E20),MONTH($E20),1)&lt;=DATE(2027,2,1)),IF((MOD(DATEDIF(DATE(YEAR($E20),MONTH($E20),1),DATE(2027,2,1),"m"),IF($D20="Quarterly",3,IF($D20="Annual",12,1)))=0),IF((COUNTIFS(Xero_Raw!$D$4:$D$5003,$A20,Xero_Raw!$G$4:$G$5003,"*Subscription*",Xero_Raw!$A$4:$A$5003,"&gt;="&amp;DATE(2027,2,1),Xero_Raw!$A$4:$A$5003,"&lt;"&amp;EDATE(DATE(2027,2,1),1))+COUNTIFS(Customer_Invoices_Upload!$E$4:$E$5003,$A20,Customer_Invoices_Upload!$G$4:$G$5003,"*Subscription*",Customer_Invoices_Upload!$B$4:$B$5003,"&gt;="&amp;DATE(2027,2,1),Customer_Invoices_Upload!$B$4:$B$5003,"&lt;"&amp;EDATE(DATE(2027,2,1),1))+COUNTIFS(Stripe_Invoices_Upload!$D$4:$D$5003,$A20,Stripe_Invoices_Upload!$E$4:$E$5003,"*Subscription*",Stripe_Invoices_Upload!$A$4:$A$5003,"&gt;="&amp;DATE(2027,2,1),Stripe_Invoices_Upload!$A$4:$A$5003,"&lt;"&amp;EDATE(DATE(2027,2,1),1)))&gt;0,"✓ Invoiced","⚠ Due"),""),""))</f>
        <v/>
      </c>
      <c r="R20" s="130" t="str">
        <f aca="false">IF($A20="","",IF((DATE(YEAR($E20),MONTH($E20),1)&lt;=DATE(2027,3,1)),IF((MOD(DATEDIF(DATE(YEAR($E20),MONTH($E20),1),DATE(2027,3,1),"m"),IF($D20="Quarterly",3,IF($D20="Annual",12,1)))=0),IF((COUNTIFS(Xero_Raw!$D$4:$D$5003,$A20,Xero_Raw!$G$4:$G$5003,"*Subscription*",Xero_Raw!$A$4:$A$5003,"&gt;="&amp;DATE(2027,3,1),Xero_Raw!$A$4:$A$5003,"&lt;"&amp;EDATE(DATE(2027,3,1),1))+COUNTIFS(Customer_Invoices_Upload!$E$4:$E$5003,$A20,Customer_Invoices_Upload!$G$4:$G$5003,"*Subscription*",Customer_Invoices_Upload!$B$4:$B$5003,"&gt;="&amp;DATE(2027,3,1),Customer_Invoices_Upload!$B$4:$B$5003,"&lt;"&amp;EDATE(DATE(2027,3,1),1))+COUNTIFS(Stripe_Invoices_Upload!$D$4:$D$5003,$A20,Stripe_Invoices_Upload!$E$4:$E$5003,"*Subscription*",Stripe_Invoices_Upload!$A$4:$A$5003,"&gt;="&amp;DATE(2027,3,1),Stripe_Invoices_Upload!$A$4:$A$5003,"&lt;"&amp;EDATE(DATE(2027,3,1),1)))&gt;0,"✓ Invoiced","⚠ Due"),""),""))</f>
        <v/>
      </c>
    </row>
    <row r="21" customFormat="false" ht="15" hidden="false" customHeight="false" outlineLevel="0" collapsed="false">
      <c r="A21" s="39"/>
      <c r="B21" s="39"/>
      <c r="C21" s="40"/>
      <c r="D21" s="39"/>
      <c r="E21" s="38"/>
      <c r="F21" s="129" t="str">
        <f aca="true">IF($A21="","",EDATE($E21,DATEDIF($E21,TODAY(),"m")+1))</f>
        <v/>
      </c>
      <c r="G21" s="130" t="str">
        <f aca="false">IF($A21="","",IF((DATE(YEAR($E21),MONTH($E21),1)&lt;=DATE(2026,4,1)),IF((MOD(DATEDIF(DATE(YEAR($E21),MONTH($E21),1),DATE(2026,4,1),"m"),IF($D21="Quarterly",3,IF($D21="Annual",12,1)))=0),IF((COUNTIFS(Xero_Raw!$D$4:$D$5003,$A21,Xero_Raw!$G$4:$G$5003,"*Subscription*",Xero_Raw!$A$4:$A$5003,"&gt;="&amp;DATE(2026,4,1),Xero_Raw!$A$4:$A$5003,"&lt;"&amp;EDATE(DATE(2026,4,1),1))+COUNTIFS(Customer_Invoices_Upload!$E$4:$E$5003,$A21,Customer_Invoices_Upload!$G$4:$G$5003,"*Subscription*",Customer_Invoices_Upload!$B$4:$B$5003,"&gt;="&amp;DATE(2026,4,1),Customer_Invoices_Upload!$B$4:$B$5003,"&lt;"&amp;EDATE(DATE(2026,4,1),1))+COUNTIFS(Stripe_Invoices_Upload!$D$4:$D$5003,$A21,Stripe_Invoices_Upload!$E$4:$E$5003,"*Subscription*",Stripe_Invoices_Upload!$A$4:$A$5003,"&gt;="&amp;DATE(2026,4,1),Stripe_Invoices_Upload!$A$4:$A$5003,"&lt;"&amp;EDATE(DATE(2026,4,1),1)))&gt;0,"✓ Invoiced","⚠ Due"),""),""))</f>
        <v/>
      </c>
      <c r="H21" s="130" t="str">
        <f aca="false">IF($A21="","",IF((DATE(YEAR($E21),MONTH($E21),1)&lt;=DATE(2026,5,1)),IF((MOD(DATEDIF(DATE(YEAR($E21),MONTH($E21),1),DATE(2026,5,1),"m"),IF($D21="Quarterly",3,IF($D21="Annual",12,1)))=0),IF((COUNTIFS(Xero_Raw!$D$4:$D$5003,$A21,Xero_Raw!$G$4:$G$5003,"*Subscription*",Xero_Raw!$A$4:$A$5003,"&gt;="&amp;DATE(2026,5,1),Xero_Raw!$A$4:$A$5003,"&lt;"&amp;EDATE(DATE(2026,5,1),1))+COUNTIFS(Customer_Invoices_Upload!$E$4:$E$5003,$A21,Customer_Invoices_Upload!$G$4:$G$5003,"*Subscription*",Customer_Invoices_Upload!$B$4:$B$5003,"&gt;="&amp;DATE(2026,5,1),Customer_Invoices_Upload!$B$4:$B$5003,"&lt;"&amp;EDATE(DATE(2026,5,1),1))+COUNTIFS(Stripe_Invoices_Upload!$D$4:$D$5003,$A21,Stripe_Invoices_Upload!$E$4:$E$5003,"*Subscription*",Stripe_Invoices_Upload!$A$4:$A$5003,"&gt;="&amp;DATE(2026,5,1),Stripe_Invoices_Upload!$A$4:$A$5003,"&lt;"&amp;EDATE(DATE(2026,5,1),1)))&gt;0,"✓ Invoiced","⚠ Due"),""),""))</f>
        <v/>
      </c>
      <c r="I21" s="130" t="str">
        <f aca="false">IF($A21="","",IF((DATE(YEAR($E21),MONTH($E21),1)&lt;=DATE(2026,6,1)),IF((MOD(DATEDIF(DATE(YEAR($E21),MONTH($E21),1),DATE(2026,6,1),"m"),IF($D21="Quarterly",3,IF($D21="Annual",12,1)))=0),IF((COUNTIFS(Xero_Raw!$D$4:$D$5003,$A21,Xero_Raw!$G$4:$G$5003,"*Subscription*",Xero_Raw!$A$4:$A$5003,"&gt;="&amp;DATE(2026,6,1),Xero_Raw!$A$4:$A$5003,"&lt;"&amp;EDATE(DATE(2026,6,1),1))+COUNTIFS(Customer_Invoices_Upload!$E$4:$E$5003,$A21,Customer_Invoices_Upload!$G$4:$G$5003,"*Subscription*",Customer_Invoices_Upload!$B$4:$B$5003,"&gt;="&amp;DATE(2026,6,1),Customer_Invoices_Upload!$B$4:$B$5003,"&lt;"&amp;EDATE(DATE(2026,6,1),1))+COUNTIFS(Stripe_Invoices_Upload!$D$4:$D$5003,$A21,Stripe_Invoices_Upload!$E$4:$E$5003,"*Subscription*",Stripe_Invoices_Upload!$A$4:$A$5003,"&gt;="&amp;DATE(2026,6,1),Stripe_Invoices_Upload!$A$4:$A$5003,"&lt;"&amp;EDATE(DATE(2026,6,1),1)))&gt;0,"✓ Invoiced","⚠ Due"),""),""))</f>
        <v/>
      </c>
      <c r="J21" s="130" t="str">
        <f aca="false">IF($A21="","",IF((DATE(YEAR($E21),MONTH($E21),1)&lt;=DATE(2026,7,1)),IF((MOD(DATEDIF(DATE(YEAR($E21),MONTH($E21),1),DATE(2026,7,1),"m"),IF($D21="Quarterly",3,IF($D21="Annual",12,1)))=0),IF((COUNTIFS(Xero_Raw!$D$4:$D$5003,$A21,Xero_Raw!$G$4:$G$5003,"*Subscription*",Xero_Raw!$A$4:$A$5003,"&gt;="&amp;DATE(2026,7,1),Xero_Raw!$A$4:$A$5003,"&lt;"&amp;EDATE(DATE(2026,7,1),1))+COUNTIFS(Customer_Invoices_Upload!$E$4:$E$5003,$A21,Customer_Invoices_Upload!$G$4:$G$5003,"*Subscription*",Customer_Invoices_Upload!$B$4:$B$5003,"&gt;="&amp;DATE(2026,7,1),Customer_Invoices_Upload!$B$4:$B$5003,"&lt;"&amp;EDATE(DATE(2026,7,1),1))+COUNTIFS(Stripe_Invoices_Upload!$D$4:$D$5003,$A21,Stripe_Invoices_Upload!$E$4:$E$5003,"*Subscription*",Stripe_Invoices_Upload!$A$4:$A$5003,"&gt;="&amp;DATE(2026,7,1),Stripe_Invoices_Upload!$A$4:$A$5003,"&lt;"&amp;EDATE(DATE(2026,7,1),1)))&gt;0,"✓ Invoiced","⚠ Due"),""),""))</f>
        <v/>
      </c>
      <c r="K21" s="130" t="str">
        <f aca="false">IF($A21="","",IF((DATE(YEAR($E21),MONTH($E21),1)&lt;=DATE(2026,8,1)),IF((MOD(DATEDIF(DATE(YEAR($E21),MONTH($E21),1),DATE(2026,8,1),"m"),IF($D21="Quarterly",3,IF($D21="Annual",12,1)))=0),IF((COUNTIFS(Xero_Raw!$D$4:$D$5003,$A21,Xero_Raw!$G$4:$G$5003,"*Subscription*",Xero_Raw!$A$4:$A$5003,"&gt;="&amp;DATE(2026,8,1),Xero_Raw!$A$4:$A$5003,"&lt;"&amp;EDATE(DATE(2026,8,1),1))+COUNTIFS(Customer_Invoices_Upload!$E$4:$E$5003,$A21,Customer_Invoices_Upload!$G$4:$G$5003,"*Subscription*",Customer_Invoices_Upload!$B$4:$B$5003,"&gt;="&amp;DATE(2026,8,1),Customer_Invoices_Upload!$B$4:$B$5003,"&lt;"&amp;EDATE(DATE(2026,8,1),1))+COUNTIFS(Stripe_Invoices_Upload!$D$4:$D$5003,$A21,Stripe_Invoices_Upload!$E$4:$E$5003,"*Subscription*",Stripe_Invoices_Upload!$A$4:$A$5003,"&gt;="&amp;DATE(2026,8,1),Stripe_Invoices_Upload!$A$4:$A$5003,"&lt;"&amp;EDATE(DATE(2026,8,1),1)))&gt;0,"✓ Invoiced","⚠ Due"),""),""))</f>
        <v/>
      </c>
      <c r="L21" s="130" t="str">
        <f aca="false">IF($A21="","",IF((DATE(YEAR($E21),MONTH($E21),1)&lt;=DATE(2026,9,1)),IF((MOD(DATEDIF(DATE(YEAR($E21),MONTH($E21),1),DATE(2026,9,1),"m"),IF($D21="Quarterly",3,IF($D21="Annual",12,1)))=0),IF((COUNTIFS(Xero_Raw!$D$4:$D$5003,$A21,Xero_Raw!$G$4:$G$5003,"*Subscription*",Xero_Raw!$A$4:$A$5003,"&gt;="&amp;DATE(2026,9,1),Xero_Raw!$A$4:$A$5003,"&lt;"&amp;EDATE(DATE(2026,9,1),1))+COUNTIFS(Customer_Invoices_Upload!$E$4:$E$5003,$A21,Customer_Invoices_Upload!$G$4:$G$5003,"*Subscription*",Customer_Invoices_Upload!$B$4:$B$5003,"&gt;="&amp;DATE(2026,9,1),Customer_Invoices_Upload!$B$4:$B$5003,"&lt;"&amp;EDATE(DATE(2026,9,1),1))+COUNTIFS(Stripe_Invoices_Upload!$D$4:$D$5003,$A21,Stripe_Invoices_Upload!$E$4:$E$5003,"*Subscription*",Stripe_Invoices_Upload!$A$4:$A$5003,"&gt;="&amp;DATE(2026,9,1),Stripe_Invoices_Upload!$A$4:$A$5003,"&lt;"&amp;EDATE(DATE(2026,9,1),1)))&gt;0,"✓ Invoiced","⚠ Due"),""),""))</f>
        <v/>
      </c>
      <c r="M21" s="130" t="str">
        <f aca="false">IF($A21="","",IF((DATE(YEAR($E21),MONTH($E21),1)&lt;=DATE(2026,10,1)),IF((MOD(DATEDIF(DATE(YEAR($E21),MONTH($E21),1),DATE(2026,10,1),"m"),IF($D21="Quarterly",3,IF($D21="Annual",12,1)))=0),IF((COUNTIFS(Xero_Raw!$D$4:$D$5003,$A21,Xero_Raw!$G$4:$G$5003,"*Subscription*",Xero_Raw!$A$4:$A$5003,"&gt;="&amp;DATE(2026,10,1),Xero_Raw!$A$4:$A$5003,"&lt;"&amp;EDATE(DATE(2026,10,1),1))+COUNTIFS(Customer_Invoices_Upload!$E$4:$E$5003,$A21,Customer_Invoices_Upload!$G$4:$G$5003,"*Subscription*",Customer_Invoices_Upload!$B$4:$B$5003,"&gt;="&amp;DATE(2026,10,1),Customer_Invoices_Upload!$B$4:$B$5003,"&lt;"&amp;EDATE(DATE(2026,10,1),1))+COUNTIFS(Stripe_Invoices_Upload!$D$4:$D$5003,$A21,Stripe_Invoices_Upload!$E$4:$E$5003,"*Subscription*",Stripe_Invoices_Upload!$A$4:$A$5003,"&gt;="&amp;DATE(2026,10,1),Stripe_Invoices_Upload!$A$4:$A$5003,"&lt;"&amp;EDATE(DATE(2026,10,1),1)))&gt;0,"✓ Invoiced","⚠ Due"),""),""))</f>
        <v/>
      </c>
      <c r="N21" s="130" t="str">
        <f aca="false">IF($A21="","",IF((DATE(YEAR($E21),MONTH($E21),1)&lt;=DATE(2026,11,1)),IF((MOD(DATEDIF(DATE(YEAR($E21),MONTH($E21),1),DATE(2026,11,1),"m"),IF($D21="Quarterly",3,IF($D21="Annual",12,1)))=0),IF((COUNTIFS(Xero_Raw!$D$4:$D$5003,$A21,Xero_Raw!$G$4:$G$5003,"*Subscription*",Xero_Raw!$A$4:$A$5003,"&gt;="&amp;DATE(2026,11,1),Xero_Raw!$A$4:$A$5003,"&lt;"&amp;EDATE(DATE(2026,11,1),1))+COUNTIFS(Customer_Invoices_Upload!$E$4:$E$5003,$A21,Customer_Invoices_Upload!$G$4:$G$5003,"*Subscription*",Customer_Invoices_Upload!$B$4:$B$5003,"&gt;="&amp;DATE(2026,11,1),Customer_Invoices_Upload!$B$4:$B$5003,"&lt;"&amp;EDATE(DATE(2026,11,1),1))+COUNTIFS(Stripe_Invoices_Upload!$D$4:$D$5003,$A21,Stripe_Invoices_Upload!$E$4:$E$5003,"*Subscription*",Stripe_Invoices_Upload!$A$4:$A$5003,"&gt;="&amp;DATE(2026,11,1),Stripe_Invoices_Upload!$A$4:$A$5003,"&lt;"&amp;EDATE(DATE(2026,11,1),1)))&gt;0,"✓ Invoiced","⚠ Due"),""),""))</f>
        <v/>
      </c>
      <c r="O21" s="130" t="str">
        <f aca="false">IF($A21="","",IF((DATE(YEAR($E21),MONTH($E21),1)&lt;=DATE(2026,12,1)),IF((MOD(DATEDIF(DATE(YEAR($E21),MONTH($E21),1),DATE(2026,12,1),"m"),IF($D21="Quarterly",3,IF($D21="Annual",12,1)))=0),IF((COUNTIFS(Xero_Raw!$D$4:$D$5003,$A21,Xero_Raw!$G$4:$G$5003,"*Subscription*",Xero_Raw!$A$4:$A$5003,"&gt;="&amp;DATE(2026,12,1),Xero_Raw!$A$4:$A$5003,"&lt;"&amp;EDATE(DATE(2026,12,1),1))+COUNTIFS(Customer_Invoices_Upload!$E$4:$E$5003,$A21,Customer_Invoices_Upload!$G$4:$G$5003,"*Subscription*",Customer_Invoices_Upload!$B$4:$B$5003,"&gt;="&amp;DATE(2026,12,1),Customer_Invoices_Upload!$B$4:$B$5003,"&lt;"&amp;EDATE(DATE(2026,12,1),1))+COUNTIFS(Stripe_Invoices_Upload!$D$4:$D$5003,$A21,Stripe_Invoices_Upload!$E$4:$E$5003,"*Subscription*",Stripe_Invoices_Upload!$A$4:$A$5003,"&gt;="&amp;DATE(2026,12,1),Stripe_Invoices_Upload!$A$4:$A$5003,"&lt;"&amp;EDATE(DATE(2026,12,1),1)))&gt;0,"✓ Invoiced","⚠ Due"),""),""))</f>
        <v/>
      </c>
      <c r="P21" s="130" t="str">
        <f aca="false">IF($A21="","",IF((DATE(YEAR($E21),MONTH($E21),1)&lt;=DATE(2027,1,1)),IF((MOD(DATEDIF(DATE(YEAR($E21),MONTH($E21),1),DATE(2027,1,1),"m"),IF($D21="Quarterly",3,IF($D21="Annual",12,1)))=0),IF((COUNTIFS(Xero_Raw!$D$4:$D$5003,$A21,Xero_Raw!$G$4:$G$5003,"*Subscription*",Xero_Raw!$A$4:$A$5003,"&gt;="&amp;DATE(2027,1,1),Xero_Raw!$A$4:$A$5003,"&lt;"&amp;EDATE(DATE(2027,1,1),1))+COUNTIFS(Customer_Invoices_Upload!$E$4:$E$5003,$A21,Customer_Invoices_Upload!$G$4:$G$5003,"*Subscription*",Customer_Invoices_Upload!$B$4:$B$5003,"&gt;="&amp;DATE(2027,1,1),Customer_Invoices_Upload!$B$4:$B$5003,"&lt;"&amp;EDATE(DATE(2027,1,1),1))+COUNTIFS(Stripe_Invoices_Upload!$D$4:$D$5003,$A21,Stripe_Invoices_Upload!$E$4:$E$5003,"*Subscription*",Stripe_Invoices_Upload!$A$4:$A$5003,"&gt;="&amp;DATE(2027,1,1),Stripe_Invoices_Upload!$A$4:$A$5003,"&lt;"&amp;EDATE(DATE(2027,1,1),1)))&gt;0,"✓ Invoiced","⚠ Due"),""),""))</f>
        <v/>
      </c>
      <c r="Q21" s="130" t="str">
        <f aca="false">IF($A21="","",IF((DATE(YEAR($E21),MONTH($E21),1)&lt;=DATE(2027,2,1)),IF((MOD(DATEDIF(DATE(YEAR($E21),MONTH($E21),1),DATE(2027,2,1),"m"),IF($D21="Quarterly",3,IF($D21="Annual",12,1)))=0),IF((COUNTIFS(Xero_Raw!$D$4:$D$5003,$A21,Xero_Raw!$G$4:$G$5003,"*Subscription*",Xero_Raw!$A$4:$A$5003,"&gt;="&amp;DATE(2027,2,1),Xero_Raw!$A$4:$A$5003,"&lt;"&amp;EDATE(DATE(2027,2,1),1))+COUNTIFS(Customer_Invoices_Upload!$E$4:$E$5003,$A21,Customer_Invoices_Upload!$G$4:$G$5003,"*Subscription*",Customer_Invoices_Upload!$B$4:$B$5003,"&gt;="&amp;DATE(2027,2,1),Customer_Invoices_Upload!$B$4:$B$5003,"&lt;"&amp;EDATE(DATE(2027,2,1),1))+COUNTIFS(Stripe_Invoices_Upload!$D$4:$D$5003,$A21,Stripe_Invoices_Upload!$E$4:$E$5003,"*Subscription*",Stripe_Invoices_Upload!$A$4:$A$5003,"&gt;="&amp;DATE(2027,2,1),Stripe_Invoices_Upload!$A$4:$A$5003,"&lt;"&amp;EDATE(DATE(2027,2,1),1)))&gt;0,"✓ Invoiced","⚠ Due"),""),""))</f>
        <v/>
      </c>
      <c r="R21" s="130" t="str">
        <f aca="false">IF($A21="","",IF((DATE(YEAR($E21),MONTH($E21),1)&lt;=DATE(2027,3,1)),IF((MOD(DATEDIF(DATE(YEAR($E21),MONTH($E21),1),DATE(2027,3,1),"m"),IF($D21="Quarterly",3,IF($D21="Annual",12,1)))=0),IF((COUNTIFS(Xero_Raw!$D$4:$D$5003,$A21,Xero_Raw!$G$4:$G$5003,"*Subscription*",Xero_Raw!$A$4:$A$5003,"&gt;="&amp;DATE(2027,3,1),Xero_Raw!$A$4:$A$5003,"&lt;"&amp;EDATE(DATE(2027,3,1),1))+COUNTIFS(Customer_Invoices_Upload!$E$4:$E$5003,$A21,Customer_Invoices_Upload!$G$4:$G$5003,"*Subscription*",Customer_Invoices_Upload!$B$4:$B$5003,"&gt;="&amp;DATE(2027,3,1),Customer_Invoices_Upload!$B$4:$B$5003,"&lt;"&amp;EDATE(DATE(2027,3,1),1))+COUNTIFS(Stripe_Invoices_Upload!$D$4:$D$5003,$A21,Stripe_Invoices_Upload!$E$4:$E$5003,"*Subscription*",Stripe_Invoices_Upload!$A$4:$A$5003,"&gt;="&amp;DATE(2027,3,1),Stripe_Invoices_Upload!$A$4:$A$5003,"&lt;"&amp;EDATE(DATE(2027,3,1),1)))&gt;0,"✓ Invoiced","⚠ Due"),""),""))</f>
        <v/>
      </c>
    </row>
    <row r="22" customFormat="false" ht="15" hidden="false" customHeight="false" outlineLevel="0" collapsed="false">
      <c r="A22" s="39"/>
      <c r="B22" s="39"/>
      <c r="C22" s="40"/>
      <c r="D22" s="39"/>
      <c r="E22" s="38"/>
      <c r="F22" s="129" t="str">
        <f aca="true">IF($A22="","",EDATE($E22,DATEDIF($E22,TODAY(),"m")+1))</f>
        <v/>
      </c>
      <c r="G22" s="130" t="str">
        <f aca="false">IF($A22="","",IF((DATE(YEAR($E22),MONTH($E22),1)&lt;=DATE(2026,4,1)),IF((MOD(DATEDIF(DATE(YEAR($E22),MONTH($E22),1),DATE(2026,4,1),"m"),IF($D22="Quarterly",3,IF($D22="Annual",12,1)))=0),IF((COUNTIFS(Xero_Raw!$D$4:$D$5003,$A22,Xero_Raw!$G$4:$G$5003,"*Subscription*",Xero_Raw!$A$4:$A$5003,"&gt;="&amp;DATE(2026,4,1),Xero_Raw!$A$4:$A$5003,"&lt;"&amp;EDATE(DATE(2026,4,1),1))+COUNTIFS(Customer_Invoices_Upload!$E$4:$E$5003,$A22,Customer_Invoices_Upload!$G$4:$G$5003,"*Subscription*",Customer_Invoices_Upload!$B$4:$B$5003,"&gt;="&amp;DATE(2026,4,1),Customer_Invoices_Upload!$B$4:$B$5003,"&lt;"&amp;EDATE(DATE(2026,4,1),1))+COUNTIFS(Stripe_Invoices_Upload!$D$4:$D$5003,$A22,Stripe_Invoices_Upload!$E$4:$E$5003,"*Subscription*",Stripe_Invoices_Upload!$A$4:$A$5003,"&gt;="&amp;DATE(2026,4,1),Stripe_Invoices_Upload!$A$4:$A$5003,"&lt;"&amp;EDATE(DATE(2026,4,1),1)))&gt;0,"✓ Invoiced","⚠ Due"),""),""))</f>
        <v/>
      </c>
      <c r="H22" s="130" t="str">
        <f aca="false">IF($A22="","",IF((DATE(YEAR($E22),MONTH($E22),1)&lt;=DATE(2026,5,1)),IF((MOD(DATEDIF(DATE(YEAR($E22),MONTH($E22),1),DATE(2026,5,1),"m"),IF($D22="Quarterly",3,IF($D22="Annual",12,1)))=0),IF((COUNTIFS(Xero_Raw!$D$4:$D$5003,$A22,Xero_Raw!$G$4:$G$5003,"*Subscription*",Xero_Raw!$A$4:$A$5003,"&gt;="&amp;DATE(2026,5,1),Xero_Raw!$A$4:$A$5003,"&lt;"&amp;EDATE(DATE(2026,5,1),1))+COUNTIFS(Customer_Invoices_Upload!$E$4:$E$5003,$A22,Customer_Invoices_Upload!$G$4:$G$5003,"*Subscription*",Customer_Invoices_Upload!$B$4:$B$5003,"&gt;="&amp;DATE(2026,5,1),Customer_Invoices_Upload!$B$4:$B$5003,"&lt;"&amp;EDATE(DATE(2026,5,1),1))+COUNTIFS(Stripe_Invoices_Upload!$D$4:$D$5003,$A22,Stripe_Invoices_Upload!$E$4:$E$5003,"*Subscription*",Stripe_Invoices_Upload!$A$4:$A$5003,"&gt;="&amp;DATE(2026,5,1),Stripe_Invoices_Upload!$A$4:$A$5003,"&lt;"&amp;EDATE(DATE(2026,5,1),1)))&gt;0,"✓ Invoiced","⚠ Due"),""),""))</f>
        <v/>
      </c>
      <c r="I22" s="130" t="str">
        <f aca="false">IF($A22="","",IF((DATE(YEAR($E22),MONTH($E22),1)&lt;=DATE(2026,6,1)),IF((MOD(DATEDIF(DATE(YEAR($E22),MONTH($E22),1),DATE(2026,6,1),"m"),IF($D22="Quarterly",3,IF($D22="Annual",12,1)))=0),IF((COUNTIFS(Xero_Raw!$D$4:$D$5003,$A22,Xero_Raw!$G$4:$G$5003,"*Subscription*",Xero_Raw!$A$4:$A$5003,"&gt;="&amp;DATE(2026,6,1),Xero_Raw!$A$4:$A$5003,"&lt;"&amp;EDATE(DATE(2026,6,1),1))+COUNTIFS(Customer_Invoices_Upload!$E$4:$E$5003,$A22,Customer_Invoices_Upload!$G$4:$G$5003,"*Subscription*",Customer_Invoices_Upload!$B$4:$B$5003,"&gt;="&amp;DATE(2026,6,1),Customer_Invoices_Upload!$B$4:$B$5003,"&lt;"&amp;EDATE(DATE(2026,6,1),1))+COUNTIFS(Stripe_Invoices_Upload!$D$4:$D$5003,$A22,Stripe_Invoices_Upload!$E$4:$E$5003,"*Subscription*",Stripe_Invoices_Upload!$A$4:$A$5003,"&gt;="&amp;DATE(2026,6,1),Stripe_Invoices_Upload!$A$4:$A$5003,"&lt;"&amp;EDATE(DATE(2026,6,1),1)))&gt;0,"✓ Invoiced","⚠ Due"),""),""))</f>
        <v/>
      </c>
      <c r="J22" s="130" t="str">
        <f aca="false">IF($A22="","",IF((DATE(YEAR($E22),MONTH($E22),1)&lt;=DATE(2026,7,1)),IF((MOD(DATEDIF(DATE(YEAR($E22),MONTH($E22),1),DATE(2026,7,1),"m"),IF($D22="Quarterly",3,IF($D22="Annual",12,1)))=0),IF((COUNTIFS(Xero_Raw!$D$4:$D$5003,$A22,Xero_Raw!$G$4:$G$5003,"*Subscription*",Xero_Raw!$A$4:$A$5003,"&gt;="&amp;DATE(2026,7,1),Xero_Raw!$A$4:$A$5003,"&lt;"&amp;EDATE(DATE(2026,7,1),1))+COUNTIFS(Customer_Invoices_Upload!$E$4:$E$5003,$A22,Customer_Invoices_Upload!$G$4:$G$5003,"*Subscription*",Customer_Invoices_Upload!$B$4:$B$5003,"&gt;="&amp;DATE(2026,7,1),Customer_Invoices_Upload!$B$4:$B$5003,"&lt;"&amp;EDATE(DATE(2026,7,1),1))+COUNTIFS(Stripe_Invoices_Upload!$D$4:$D$5003,$A22,Stripe_Invoices_Upload!$E$4:$E$5003,"*Subscription*",Stripe_Invoices_Upload!$A$4:$A$5003,"&gt;="&amp;DATE(2026,7,1),Stripe_Invoices_Upload!$A$4:$A$5003,"&lt;"&amp;EDATE(DATE(2026,7,1),1)))&gt;0,"✓ Invoiced","⚠ Due"),""),""))</f>
        <v/>
      </c>
      <c r="K22" s="130" t="str">
        <f aca="false">IF($A22="","",IF((DATE(YEAR($E22),MONTH($E22),1)&lt;=DATE(2026,8,1)),IF((MOD(DATEDIF(DATE(YEAR($E22),MONTH($E22),1),DATE(2026,8,1),"m"),IF($D22="Quarterly",3,IF($D22="Annual",12,1)))=0),IF((COUNTIFS(Xero_Raw!$D$4:$D$5003,$A22,Xero_Raw!$G$4:$G$5003,"*Subscription*",Xero_Raw!$A$4:$A$5003,"&gt;="&amp;DATE(2026,8,1),Xero_Raw!$A$4:$A$5003,"&lt;"&amp;EDATE(DATE(2026,8,1),1))+COUNTIFS(Customer_Invoices_Upload!$E$4:$E$5003,$A22,Customer_Invoices_Upload!$G$4:$G$5003,"*Subscription*",Customer_Invoices_Upload!$B$4:$B$5003,"&gt;="&amp;DATE(2026,8,1),Customer_Invoices_Upload!$B$4:$B$5003,"&lt;"&amp;EDATE(DATE(2026,8,1),1))+COUNTIFS(Stripe_Invoices_Upload!$D$4:$D$5003,$A22,Stripe_Invoices_Upload!$E$4:$E$5003,"*Subscription*",Stripe_Invoices_Upload!$A$4:$A$5003,"&gt;="&amp;DATE(2026,8,1),Stripe_Invoices_Upload!$A$4:$A$5003,"&lt;"&amp;EDATE(DATE(2026,8,1),1)))&gt;0,"✓ Invoiced","⚠ Due"),""),""))</f>
        <v/>
      </c>
      <c r="L22" s="130" t="str">
        <f aca="false">IF($A22="","",IF((DATE(YEAR($E22),MONTH($E22),1)&lt;=DATE(2026,9,1)),IF((MOD(DATEDIF(DATE(YEAR($E22),MONTH($E22),1),DATE(2026,9,1),"m"),IF($D22="Quarterly",3,IF($D22="Annual",12,1)))=0),IF((COUNTIFS(Xero_Raw!$D$4:$D$5003,$A22,Xero_Raw!$G$4:$G$5003,"*Subscription*",Xero_Raw!$A$4:$A$5003,"&gt;="&amp;DATE(2026,9,1),Xero_Raw!$A$4:$A$5003,"&lt;"&amp;EDATE(DATE(2026,9,1),1))+COUNTIFS(Customer_Invoices_Upload!$E$4:$E$5003,$A22,Customer_Invoices_Upload!$G$4:$G$5003,"*Subscription*",Customer_Invoices_Upload!$B$4:$B$5003,"&gt;="&amp;DATE(2026,9,1),Customer_Invoices_Upload!$B$4:$B$5003,"&lt;"&amp;EDATE(DATE(2026,9,1),1))+COUNTIFS(Stripe_Invoices_Upload!$D$4:$D$5003,$A22,Stripe_Invoices_Upload!$E$4:$E$5003,"*Subscription*",Stripe_Invoices_Upload!$A$4:$A$5003,"&gt;="&amp;DATE(2026,9,1),Stripe_Invoices_Upload!$A$4:$A$5003,"&lt;"&amp;EDATE(DATE(2026,9,1),1)))&gt;0,"✓ Invoiced","⚠ Due"),""),""))</f>
        <v/>
      </c>
      <c r="M22" s="130" t="str">
        <f aca="false">IF($A22="","",IF((DATE(YEAR($E22),MONTH($E22),1)&lt;=DATE(2026,10,1)),IF((MOD(DATEDIF(DATE(YEAR($E22),MONTH($E22),1),DATE(2026,10,1),"m"),IF($D22="Quarterly",3,IF($D22="Annual",12,1)))=0),IF((COUNTIFS(Xero_Raw!$D$4:$D$5003,$A22,Xero_Raw!$G$4:$G$5003,"*Subscription*",Xero_Raw!$A$4:$A$5003,"&gt;="&amp;DATE(2026,10,1),Xero_Raw!$A$4:$A$5003,"&lt;"&amp;EDATE(DATE(2026,10,1),1))+COUNTIFS(Customer_Invoices_Upload!$E$4:$E$5003,$A22,Customer_Invoices_Upload!$G$4:$G$5003,"*Subscription*",Customer_Invoices_Upload!$B$4:$B$5003,"&gt;="&amp;DATE(2026,10,1),Customer_Invoices_Upload!$B$4:$B$5003,"&lt;"&amp;EDATE(DATE(2026,10,1),1))+COUNTIFS(Stripe_Invoices_Upload!$D$4:$D$5003,$A22,Stripe_Invoices_Upload!$E$4:$E$5003,"*Subscription*",Stripe_Invoices_Upload!$A$4:$A$5003,"&gt;="&amp;DATE(2026,10,1),Stripe_Invoices_Upload!$A$4:$A$5003,"&lt;"&amp;EDATE(DATE(2026,10,1),1)))&gt;0,"✓ Invoiced","⚠ Due"),""),""))</f>
        <v/>
      </c>
      <c r="N22" s="130" t="str">
        <f aca="false">IF($A22="","",IF((DATE(YEAR($E22),MONTH($E22),1)&lt;=DATE(2026,11,1)),IF((MOD(DATEDIF(DATE(YEAR($E22),MONTH($E22),1),DATE(2026,11,1),"m"),IF($D22="Quarterly",3,IF($D22="Annual",12,1)))=0),IF((COUNTIFS(Xero_Raw!$D$4:$D$5003,$A22,Xero_Raw!$G$4:$G$5003,"*Subscription*",Xero_Raw!$A$4:$A$5003,"&gt;="&amp;DATE(2026,11,1),Xero_Raw!$A$4:$A$5003,"&lt;"&amp;EDATE(DATE(2026,11,1),1))+COUNTIFS(Customer_Invoices_Upload!$E$4:$E$5003,$A22,Customer_Invoices_Upload!$G$4:$G$5003,"*Subscription*",Customer_Invoices_Upload!$B$4:$B$5003,"&gt;="&amp;DATE(2026,11,1),Customer_Invoices_Upload!$B$4:$B$5003,"&lt;"&amp;EDATE(DATE(2026,11,1),1))+COUNTIFS(Stripe_Invoices_Upload!$D$4:$D$5003,$A22,Stripe_Invoices_Upload!$E$4:$E$5003,"*Subscription*",Stripe_Invoices_Upload!$A$4:$A$5003,"&gt;="&amp;DATE(2026,11,1),Stripe_Invoices_Upload!$A$4:$A$5003,"&lt;"&amp;EDATE(DATE(2026,11,1),1)))&gt;0,"✓ Invoiced","⚠ Due"),""),""))</f>
        <v/>
      </c>
      <c r="O22" s="130" t="str">
        <f aca="false">IF($A22="","",IF((DATE(YEAR($E22),MONTH($E22),1)&lt;=DATE(2026,12,1)),IF((MOD(DATEDIF(DATE(YEAR($E22),MONTH($E22),1),DATE(2026,12,1),"m"),IF($D22="Quarterly",3,IF($D22="Annual",12,1)))=0),IF((COUNTIFS(Xero_Raw!$D$4:$D$5003,$A22,Xero_Raw!$G$4:$G$5003,"*Subscription*",Xero_Raw!$A$4:$A$5003,"&gt;="&amp;DATE(2026,12,1),Xero_Raw!$A$4:$A$5003,"&lt;"&amp;EDATE(DATE(2026,12,1),1))+COUNTIFS(Customer_Invoices_Upload!$E$4:$E$5003,$A22,Customer_Invoices_Upload!$G$4:$G$5003,"*Subscription*",Customer_Invoices_Upload!$B$4:$B$5003,"&gt;="&amp;DATE(2026,12,1),Customer_Invoices_Upload!$B$4:$B$5003,"&lt;"&amp;EDATE(DATE(2026,12,1),1))+COUNTIFS(Stripe_Invoices_Upload!$D$4:$D$5003,$A22,Stripe_Invoices_Upload!$E$4:$E$5003,"*Subscription*",Stripe_Invoices_Upload!$A$4:$A$5003,"&gt;="&amp;DATE(2026,12,1),Stripe_Invoices_Upload!$A$4:$A$5003,"&lt;"&amp;EDATE(DATE(2026,12,1),1)))&gt;0,"✓ Invoiced","⚠ Due"),""),""))</f>
        <v/>
      </c>
      <c r="P22" s="130" t="str">
        <f aca="false">IF($A22="","",IF((DATE(YEAR($E22),MONTH($E22),1)&lt;=DATE(2027,1,1)),IF((MOD(DATEDIF(DATE(YEAR($E22),MONTH($E22),1),DATE(2027,1,1),"m"),IF($D22="Quarterly",3,IF($D22="Annual",12,1)))=0),IF((COUNTIFS(Xero_Raw!$D$4:$D$5003,$A22,Xero_Raw!$G$4:$G$5003,"*Subscription*",Xero_Raw!$A$4:$A$5003,"&gt;="&amp;DATE(2027,1,1),Xero_Raw!$A$4:$A$5003,"&lt;"&amp;EDATE(DATE(2027,1,1),1))+COUNTIFS(Customer_Invoices_Upload!$E$4:$E$5003,$A22,Customer_Invoices_Upload!$G$4:$G$5003,"*Subscription*",Customer_Invoices_Upload!$B$4:$B$5003,"&gt;="&amp;DATE(2027,1,1),Customer_Invoices_Upload!$B$4:$B$5003,"&lt;"&amp;EDATE(DATE(2027,1,1),1))+COUNTIFS(Stripe_Invoices_Upload!$D$4:$D$5003,$A22,Stripe_Invoices_Upload!$E$4:$E$5003,"*Subscription*",Stripe_Invoices_Upload!$A$4:$A$5003,"&gt;="&amp;DATE(2027,1,1),Stripe_Invoices_Upload!$A$4:$A$5003,"&lt;"&amp;EDATE(DATE(2027,1,1),1)))&gt;0,"✓ Invoiced","⚠ Due"),""),""))</f>
        <v/>
      </c>
      <c r="Q22" s="130" t="str">
        <f aca="false">IF($A22="","",IF((DATE(YEAR($E22),MONTH($E22),1)&lt;=DATE(2027,2,1)),IF((MOD(DATEDIF(DATE(YEAR($E22),MONTH($E22),1),DATE(2027,2,1),"m"),IF($D22="Quarterly",3,IF($D22="Annual",12,1)))=0),IF((COUNTIFS(Xero_Raw!$D$4:$D$5003,$A22,Xero_Raw!$G$4:$G$5003,"*Subscription*",Xero_Raw!$A$4:$A$5003,"&gt;="&amp;DATE(2027,2,1),Xero_Raw!$A$4:$A$5003,"&lt;"&amp;EDATE(DATE(2027,2,1),1))+COUNTIFS(Customer_Invoices_Upload!$E$4:$E$5003,$A22,Customer_Invoices_Upload!$G$4:$G$5003,"*Subscription*",Customer_Invoices_Upload!$B$4:$B$5003,"&gt;="&amp;DATE(2027,2,1),Customer_Invoices_Upload!$B$4:$B$5003,"&lt;"&amp;EDATE(DATE(2027,2,1),1))+COUNTIFS(Stripe_Invoices_Upload!$D$4:$D$5003,$A22,Stripe_Invoices_Upload!$E$4:$E$5003,"*Subscription*",Stripe_Invoices_Upload!$A$4:$A$5003,"&gt;="&amp;DATE(2027,2,1),Stripe_Invoices_Upload!$A$4:$A$5003,"&lt;"&amp;EDATE(DATE(2027,2,1),1)))&gt;0,"✓ Invoiced","⚠ Due"),""),""))</f>
        <v/>
      </c>
      <c r="R22" s="130" t="str">
        <f aca="false">IF($A22="","",IF((DATE(YEAR($E22),MONTH($E22),1)&lt;=DATE(2027,3,1)),IF((MOD(DATEDIF(DATE(YEAR($E22),MONTH($E22),1),DATE(2027,3,1),"m"),IF($D22="Quarterly",3,IF($D22="Annual",12,1)))=0),IF((COUNTIFS(Xero_Raw!$D$4:$D$5003,$A22,Xero_Raw!$G$4:$G$5003,"*Subscription*",Xero_Raw!$A$4:$A$5003,"&gt;="&amp;DATE(2027,3,1),Xero_Raw!$A$4:$A$5003,"&lt;"&amp;EDATE(DATE(2027,3,1),1))+COUNTIFS(Customer_Invoices_Upload!$E$4:$E$5003,$A22,Customer_Invoices_Upload!$G$4:$G$5003,"*Subscription*",Customer_Invoices_Upload!$B$4:$B$5003,"&gt;="&amp;DATE(2027,3,1),Customer_Invoices_Upload!$B$4:$B$5003,"&lt;"&amp;EDATE(DATE(2027,3,1),1))+COUNTIFS(Stripe_Invoices_Upload!$D$4:$D$5003,$A22,Stripe_Invoices_Upload!$E$4:$E$5003,"*Subscription*",Stripe_Invoices_Upload!$A$4:$A$5003,"&gt;="&amp;DATE(2027,3,1),Stripe_Invoices_Upload!$A$4:$A$5003,"&lt;"&amp;EDATE(DATE(2027,3,1),1)))&gt;0,"✓ Invoiced","⚠ Due"),""),""))</f>
        <v/>
      </c>
    </row>
    <row r="23" customFormat="false" ht="15" hidden="false" customHeight="false" outlineLevel="0" collapsed="false">
      <c r="A23" s="39"/>
      <c r="B23" s="39"/>
      <c r="C23" s="40"/>
      <c r="D23" s="39"/>
      <c r="E23" s="38"/>
      <c r="F23" s="129" t="str">
        <f aca="true">IF($A23="","",EDATE($E23,DATEDIF($E23,TODAY(),"m")+1))</f>
        <v/>
      </c>
      <c r="G23" s="130" t="str">
        <f aca="false">IF($A23="","",IF((DATE(YEAR($E23),MONTH($E23),1)&lt;=DATE(2026,4,1)),IF((MOD(DATEDIF(DATE(YEAR($E23),MONTH($E23),1),DATE(2026,4,1),"m"),IF($D23="Quarterly",3,IF($D23="Annual",12,1)))=0),IF((COUNTIFS(Xero_Raw!$D$4:$D$5003,$A23,Xero_Raw!$G$4:$G$5003,"*Subscription*",Xero_Raw!$A$4:$A$5003,"&gt;="&amp;DATE(2026,4,1),Xero_Raw!$A$4:$A$5003,"&lt;"&amp;EDATE(DATE(2026,4,1),1))+COUNTIFS(Customer_Invoices_Upload!$E$4:$E$5003,$A23,Customer_Invoices_Upload!$G$4:$G$5003,"*Subscription*",Customer_Invoices_Upload!$B$4:$B$5003,"&gt;="&amp;DATE(2026,4,1),Customer_Invoices_Upload!$B$4:$B$5003,"&lt;"&amp;EDATE(DATE(2026,4,1),1))+COUNTIFS(Stripe_Invoices_Upload!$D$4:$D$5003,$A23,Stripe_Invoices_Upload!$E$4:$E$5003,"*Subscription*",Stripe_Invoices_Upload!$A$4:$A$5003,"&gt;="&amp;DATE(2026,4,1),Stripe_Invoices_Upload!$A$4:$A$5003,"&lt;"&amp;EDATE(DATE(2026,4,1),1)))&gt;0,"✓ Invoiced","⚠ Due"),""),""))</f>
        <v/>
      </c>
      <c r="H23" s="130" t="str">
        <f aca="false">IF($A23="","",IF((DATE(YEAR($E23),MONTH($E23),1)&lt;=DATE(2026,5,1)),IF((MOD(DATEDIF(DATE(YEAR($E23),MONTH($E23),1),DATE(2026,5,1),"m"),IF($D23="Quarterly",3,IF($D23="Annual",12,1)))=0),IF((COUNTIFS(Xero_Raw!$D$4:$D$5003,$A23,Xero_Raw!$G$4:$G$5003,"*Subscription*",Xero_Raw!$A$4:$A$5003,"&gt;="&amp;DATE(2026,5,1),Xero_Raw!$A$4:$A$5003,"&lt;"&amp;EDATE(DATE(2026,5,1),1))+COUNTIFS(Customer_Invoices_Upload!$E$4:$E$5003,$A23,Customer_Invoices_Upload!$G$4:$G$5003,"*Subscription*",Customer_Invoices_Upload!$B$4:$B$5003,"&gt;="&amp;DATE(2026,5,1),Customer_Invoices_Upload!$B$4:$B$5003,"&lt;"&amp;EDATE(DATE(2026,5,1),1))+COUNTIFS(Stripe_Invoices_Upload!$D$4:$D$5003,$A23,Stripe_Invoices_Upload!$E$4:$E$5003,"*Subscription*",Stripe_Invoices_Upload!$A$4:$A$5003,"&gt;="&amp;DATE(2026,5,1),Stripe_Invoices_Upload!$A$4:$A$5003,"&lt;"&amp;EDATE(DATE(2026,5,1),1)))&gt;0,"✓ Invoiced","⚠ Due"),""),""))</f>
        <v/>
      </c>
      <c r="I23" s="130" t="str">
        <f aca="false">IF($A23="","",IF((DATE(YEAR($E23),MONTH($E23),1)&lt;=DATE(2026,6,1)),IF((MOD(DATEDIF(DATE(YEAR($E23),MONTH($E23),1),DATE(2026,6,1),"m"),IF($D23="Quarterly",3,IF($D23="Annual",12,1)))=0),IF((COUNTIFS(Xero_Raw!$D$4:$D$5003,$A23,Xero_Raw!$G$4:$G$5003,"*Subscription*",Xero_Raw!$A$4:$A$5003,"&gt;="&amp;DATE(2026,6,1),Xero_Raw!$A$4:$A$5003,"&lt;"&amp;EDATE(DATE(2026,6,1),1))+COUNTIFS(Customer_Invoices_Upload!$E$4:$E$5003,$A23,Customer_Invoices_Upload!$G$4:$G$5003,"*Subscription*",Customer_Invoices_Upload!$B$4:$B$5003,"&gt;="&amp;DATE(2026,6,1),Customer_Invoices_Upload!$B$4:$B$5003,"&lt;"&amp;EDATE(DATE(2026,6,1),1))+COUNTIFS(Stripe_Invoices_Upload!$D$4:$D$5003,$A23,Stripe_Invoices_Upload!$E$4:$E$5003,"*Subscription*",Stripe_Invoices_Upload!$A$4:$A$5003,"&gt;="&amp;DATE(2026,6,1),Stripe_Invoices_Upload!$A$4:$A$5003,"&lt;"&amp;EDATE(DATE(2026,6,1),1)))&gt;0,"✓ Invoiced","⚠ Due"),""),""))</f>
        <v/>
      </c>
      <c r="J23" s="130" t="str">
        <f aca="false">IF($A23="","",IF((DATE(YEAR($E23),MONTH($E23),1)&lt;=DATE(2026,7,1)),IF((MOD(DATEDIF(DATE(YEAR($E23),MONTH($E23),1),DATE(2026,7,1),"m"),IF($D23="Quarterly",3,IF($D23="Annual",12,1)))=0),IF((COUNTIFS(Xero_Raw!$D$4:$D$5003,$A23,Xero_Raw!$G$4:$G$5003,"*Subscription*",Xero_Raw!$A$4:$A$5003,"&gt;="&amp;DATE(2026,7,1),Xero_Raw!$A$4:$A$5003,"&lt;"&amp;EDATE(DATE(2026,7,1),1))+COUNTIFS(Customer_Invoices_Upload!$E$4:$E$5003,$A23,Customer_Invoices_Upload!$G$4:$G$5003,"*Subscription*",Customer_Invoices_Upload!$B$4:$B$5003,"&gt;="&amp;DATE(2026,7,1),Customer_Invoices_Upload!$B$4:$B$5003,"&lt;"&amp;EDATE(DATE(2026,7,1),1))+COUNTIFS(Stripe_Invoices_Upload!$D$4:$D$5003,$A23,Stripe_Invoices_Upload!$E$4:$E$5003,"*Subscription*",Stripe_Invoices_Upload!$A$4:$A$5003,"&gt;="&amp;DATE(2026,7,1),Stripe_Invoices_Upload!$A$4:$A$5003,"&lt;"&amp;EDATE(DATE(2026,7,1),1)))&gt;0,"✓ Invoiced","⚠ Due"),""),""))</f>
        <v/>
      </c>
      <c r="K23" s="130" t="str">
        <f aca="false">IF($A23="","",IF((DATE(YEAR($E23),MONTH($E23),1)&lt;=DATE(2026,8,1)),IF((MOD(DATEDIF(DATE(YEAR($E23),MONTH($E23),1),DATE(2026,8,1),"m"),IF($D23="Quarterly",3,IF($D23="Annual",12,1)))=0),IF((COUNTIFS(Xero_Raw!$D$4:$D$5003,$A23,Xero_Raw!$G$4:$G$5003,"*Subscription*",Xero_Raw!$A$4:$A$5003,"&gt;="&amp;DATE(2026,8,1),Xero_Raw!$A$4:$A$5003,"&lt;"&amp;EDATE(DATE(2026,8,1),1))+COUNTIFS(Customer_Invoices_Upload!$E$4:$E$5003,$A23,Customer_Invoices_Upload!$G$4:$G$5003,"*Subscription*",Customer_Invoices_Upload!$B$4:$B$5003,"&gt;="&amp;DATE(2026,8,1),Customer_Invoices_Upload!$B$4:$B$5003,"&lt;"&amp;EDATE(DATE(2026,8,1),1))+COUNTIFS(Stripe_Invoices_Upload!$D$4:$D$5003,$A23,Stripe_Invoices_Upload!$E$4:$E$5003,"*Subscription*",Stripe_Invoices_Upload!$A$4:$A$5003,"&gt;="&amp;DATE(2026,8,1),Stripe_Invoices_Upload!$A$4:$A$5003,"&lt;"&amp;EDATE(DATE(2026,8,1),1)))&gt;0,"✓ Invoiced","⚠ Due"),""),""))</f>
        <v/>
      </c>
      <c r="L23" s="130" t="str">
        <f aca="false">IF($A23="","",IF((DATE(YEAR($E23),MONTH($E23),1)&lt;=DATE(2026,9,1)),IF((MOD(DATEDIF(DATE(YEAR($E23),MONTH($E23),1),DATE(2026,9,1),"m"),IF($D23="Quarterly",3,IF($D23="Annual",12,1)))=0),IF((COUNTIFS(Xero_Raw!$D$4:$D$5003,$A23,Xero_Raw!$G$4:$G$5003,"*Subscription*",Xero_Raw!$A$4:$A$5003,"&gt;="&amp;DATE(2026,9,1),Xero_Raw!$A$4:$A$5003,"&lt;"&amp;EDATE(DATE(2026,9,1),1))+COUNTIFS(Customer_Invoices_Upload!$E$4:$E$5003,$A23,Customer_Invoices_Upload!$G$4:$G$5003,"*Subscription*",Customer_Invoices_Upload!$B$4:$B$5003,"&gt;="&amp;DATE(2026,9,1),Customer_Invoices_Upload!$B$4:$B$5003,"&lt;"&amp;EDATE(DATE(2026,9,1),1))+COUNTIFS(Stripe_Invoices_Upload!$D$4:$D$5003,$A23,Stripe_Invoices_Upload!$E$4:$E$5003,"*Subscription*",Stripe_Invoices_Upload!$A$4:$A$5003,"&gt;="&amp;DATE(2026,9,1),Stripe_Invoices_Upload!$A$4:$A$5003,"&lt;"&amp;EDATE(DATE(2026,9,1),1)))&gt;0,"✓ Invoiced","⚠ Due"),""),""))</f>
        <v/>
      </c>
      <c r="M23" s="130" t="str">
        <f aca="false">IF($A23="","",IF((DATE(YEAR($E23),MONTH($E23),1)&lt;=DATE(2026,10,1)),IF((MOD(DATEDIF(DATE(YEAR($E23),MONTH($E23),1),DATE(2026,10,1),"m"),IF($D23="Quarterly",3,IF($D23="Annual",12,1)))=0),IF((COUNTIFS(Xero_Raw!$D$4:$D$5003,$A23,Xero_Raw!$G$4:$G$5003,"*Subscription*",Xero_Raw!$A$4:$A$5003,"&gt;="&amp;DATE(2026,10,1),Xero_Raw!$A$4:$A$5003,"&lt;"&amp;EDATE(DATE(2026,10,1),1))+COUNTIFS(Customer_Invoices_Upload!$E$4:$E$5003,$A23,Customer_Invoices_Upload!$G$4:$G$5003,"*Subscription*",Customer_Invoices_Upload!$B$4:$B$5003,"&gt;="&amp;DATE(2026,10,1),Customer_Invoices_Upload!$B$4:$B$5003,"&lt;"&amp;EDATE(DATE(2026,10,1),1))+COUNTIFS(Stripe_Invoices_Upload!$D$4:$D$5003,$A23,Stripe_Invoices_Upload!$E$4:$E$5003,"*Subscription*",Stripe_Invoices_Upload!$A$4:$A$5003,"&gt;="&amp;DATE(2026,10,1),Stripe_Invoices_Upload!$A$4:$A$5003,"&lt;"&amp;EDATE(DATE(2026,10,1),1)))&gt;0,"✓ Invoiced","⚠ Due"),""),""))</f>
        <v/>
      </c>
      <c r="N23" s="130" t="str">
        <f aca="false">IF($A23="","",IF((DATE(YEAR($E23),MONTH($E23),1)&lt;=DATE(2026,11,1)),IF((MOD(DATEDIF(DATE(YEAR($E23),MONTH($E23),1),DATE(2026,11,1),"m"),IF($D23="Quarterly",3,IF($D23="Annual",12,1)))=0),IF((COUNTIFS(Xero_Raw!$D$4:$D$5003,$A23,Xero_Raw!$G$4:$G$5003,"*Subscription*",Xero_Raw!$A$4:$A$5003,"&gt;="&amp;DATE(2026,11,1),Xero_Raw!$A$4:$A$5003,"&lt;"&amp;EDATE(DATE(2026,11,1),1))+COUNTIFS(Customer_Invoices_Upload!$E$4:$E$5003,$A23,Customer_Invoices_Upload!$G$4:$G$5003,"*Subscription*",Customer_Invoices_Upload!$B$4:$B$5003,"&gt;="&amp;DATE(2026,11,1),Customer_Invoices_Upload!$B$4:$B$5003,"&lt;"&amp;EDATE(DATE(2026,11,1),1))+COUNTIFS(Stripe_Invoices_Upload!$D$4:$D$5003,$A23,Stripe_Invoices_Upload!$E$4:$E$5003,"*Subscription*",Stripe_Invoices_Upload!$A$4:$A$5003,"&gt;="&amp;DATE(2026,11,1),Stripe_Invoices_Upload!$A$4:$A$5003,"&lt;"&amp;EDATE(DATE(2026,11,1),1)))&gt;0,"✓ Invoiced","⚠ Due"),""),""))</f>
        <v/>
      </c>
      <c r="O23" s="130" t="str">
        <f aca="false">IF($A23="","",IF((DATE(YEAR($E23),MONTH($E23),1)&lt;=DATE(2026,12,1)),IF((MOD(DATEDIF(DATE(YEAR($E23),MONTH($E23),1),DATE(2026,12,1),"m"),IF($D23="Quarterly",3,IF($D23="Annual",12,1)))=0),IF((COUNTIFS(Xero_Raw!$D$4:$D$5003,$A23,Xero_Raw!$G$4:$G$5003,"*Subscription*",Xero_Raw!$A$4:$A$5003,"&gt;="&amp;DATE(2026,12,1),Xero_Raw!$A$4:$A$5003,"&lt;"&amp;EDATE(DATE(2026,12,1),1))+COUNTIFS(Customer_Invoices_Upload!$E$4:$E$5003,$A23,Customer_Invoices_Upload!$G$4:$G$5003,"*Subscription*",Customer_Invoices_Upload!$B$4:$B$5003,"&gt;="&amp;DATE(2026,12,1),Customer_Invoices_Upload!$B$4:$B$5003,"&lt;"&amp;EDATE(DATE(2026,12,1),1))+COUNTIFS(Stripe_Invoices_Upload!$D$4:$D$5003,$A23,Stripe_Invoices_Upload!$E$4:$E$5003,"*Subscription*",Stripe_Invoices_Upload!$A$4:$A$5003,"&gt;="&amp;DATE(2026,12,1),Stripe_Invoices_Upload!$A$4:$A$5003,"&lt;"&amp;EDATE(DATE(2026,12,1),1)))&gt;0,"✓ Invoiced","⚠ Due"),""),""))</f>
        <v/>
      </c>
      <c r="P23" s="130" t="str">
        <f aca="false">IF($A23="","",IF((DATE(YEAR($E23),MONTH($E23),1)&lt;=DATE(2027,1,1)),IF((MOD(DATEDIF(DATE(YEAR($E23),MONTH($E23),1),DATE(2027,1,1),"m"),IF($D23="Quarterly",3,IF($D23="Annual",12,1)))=0),IF((COUNTIFS(Xero_Raw!$D$4:$D$5003,$A23,Xero_Raw!$G$4:$G$5003,"*Subscription*",Xero_Raw!$A$4:$A$5003,"&gt;="&amp;DATE(2027,1,1),Xero_Raw!$A$4:$A$5003,"&lt;"&amp;EDATE(DATE(2027,1,1),1))+COUNTIFS(Customer_Invoices_Upload!$E$4:$E$5003,$A23,Customer_Invoices_Upload!$G$4:$G$5003,"*Subscription*",Customer_Invoices_Upload!$B$4:$B$5003,"&gt;="&amp;DATE(2027,1,1),Customer_Invoices_Upload!$B$4:$B$5003,"&lt;"&amp;EDATE(DATE(2027,1,1),1))+COUNTIFS(Stripe_Invoices_Upload!$D$4:$D$5003,$A23,Stripe_Invoices_Upload!$E$4:$E$5003,"*Subscription*",Stripe_Invoices_Upload!$A$4:$A$5003,"&gt;="&amp;DATE(2027,1,1),Stripe_Invoices_Upload!$A$4:$A$5003,"&lt;"&amp;EDATE(DATE(2027,1,1),1)))&gt;0,"✓ Invoiced","⚠ Due"),""),""))</f>
        <v/>
      </c>
      <c r="Q23" s="130" t="str">
        <f aca="false">IF($A23="","",IF((DATE(YEAR($E23),MONTH($E23),1)&lt;=DATE(2027,2,1)),IF((MOD(DATEDIF(DATE(YEAR($E23),MONTH($E23),1),DATE(2027,2,1),"m"),IF($D23="Quarterly",3,IF($D23="Annual",12,1)))=0),IF((COUNTIFS(Xero_Raw!$D$4:$D$5003,$A23,Xero_Raw!$G$4:$G$5003,"*Subscription*",Xero_Raw!$A$4:$A$5003,"&gt;="&amp;DATE(2027,2,1),Xero_Raw!$A$4:$A$5003,"&lt;"&amp;EDATE(DATE(2027,2,1),1))+COUNTIFS(Customer_Invoices_Upload!$E$4:$E$5003,$A23,Customer_Invoices_Upload!$G$4:$G$5003,"*Subscription*",Customer_Invoices_Upload!$B$4:$B$5003,"&gt;="&amp;DATE(2027,2,1),Customer_Invoices_Upload!$B$4:$B$5003,"&lt;"&amp;EDATE(DATE(2027,2,1),1))+COUNTIFS(Stripe_Invoices_Upload!$D$4:$D$5003,$A23,Stripe_Invoices_Upload!$E$4:$E$5003,"*Subscription*",Stripe_Invoices_Upload!$A$4:$A$5003,"&gt;="&amp;DATE(2027,2,1),Stripe_Invoices_Upload!$A$4:$A$5003,"&lt;"&amp;EDATE(DATE(2027,2,1),1)))&gt;0,"✓ Invoiced","⚠ Due"),""),""))</f>
        <v/>
      </c>
      <c r="R23" s="130" t="str">
        <f aca="false">IF($A23="","",IF((DATE(YEAR($E23),MONTH($E23),1)&lt;=DATE(2027,3,1)),IF((MOD(DATEDIF(DATE(YEAR($E23),MONTH($E23),1),DATE(2027,3,1),"m"),IF($D23="Quarterly",3,IF($D23="Annual",12,1)))=0),IF((COUNTIFS(Xero_Raw!$D$4:$D$5003,$A23,Xero_Raw!$G$4:$G$5003,"*Subscription*",Xero_Raw!$A$4:$A$5003,"&gt;="&amp;DATE(2027,3,1),Xero_Raw!$A$4:$A$5003,"&lt;"&amp;EDATE(DATE(2027,3,1),1))+COUNTIFS(Customer_Invoices_Upload!$E$4:$E$5003,$A23,Customer_Invoices_Upload!$G$4:$G$5003,"*Subscription*",Customer_Invoices_Upload!$B$4:$B$5003,"&gt;="&amp;DATE(2027,3,1),Customer_Invoices_Upload!$B$4:$B$5003,"&lt;"&amp;EDATE(DATE(2027,3,1),1))+COUNTIFS(Stripe_Invoices_Upload!$D$4:$D$5003,$A23,Stripe_Invoices_Upload!$E$4:$E$5003,"*Subscription*",Stripe_Invoices_Upload!$A$4:$A$5003,"&gt;="&amp;DATE(2027,3,1),Stripe_Invoices_Upload!$A$4:$A$5003,"&lt;"&amp;EDATE(DATE(2027,3,1),1)))&gt;0,"✓ Invoiced","⚠ Due"),""),""))</f>
        <v/>
      </c>
    </row>
    <row r="24" customFormat="false" ht="15" hidden="false" customHeight="false" outlineLevel="0" collapsed="false">
      <c r="A24" s="39"/>
      <c r="B24" s="39"/>
      <c r="C24" s="40"/>
      <c r="D24" s="39"/>
      <c r="E24" s="38"/>
      <c r="F24" s="129" t="str">
        <f aca="true">IF($A24="","",EDATE($E24,DATEDIF($E24,TODAY(),"m")+1))</f>
        <v/>
      </c>
      <c r="G24" s="130" t="str">
        <f aca="false">IF($A24="","",IF((DATE(YEAR($E24),MONTH($E24),1)&lt;=DATE(2026,4,1)),IF((MOD(DATEDIF(DATE(YEAR($E24),MONTH($E24),1),DATE(2026,4,1),"m"),IF($D24="Quarterly",3,IF($D24="Annual",12,1)))=0),IF((COUNTIFS(Xero_Raw!$D$4:$D$5003,$A24,Xero_Raw!$G$4:$G$5003,"*Subscription*",Xero_Raw!$A$4:$A$5003,"&gt;="&amp;DATE(2026,4,1),Xero_Raw!$A$4:$A$5003,"&lt;"&amp;EDATE(DATE(2026,4,1),1))+COUNTIFS(Customer_Invoices_Upload!$E$4:$E$5003,$A24,Customer_Invoices_Upload!$G$4:$G$5003,"*Subscription*",Customer_Invoices_Upload!$B$4:$B$5003,"&gt;="&amp;DATE(2026,4,1),Customer_Invoices_Upload!$B$4:$B$5003,"&lt;"&amp;EDATE(DATE(2026,4,1),1))+COUNTIFS(Stripe_Invoices_Upload!$D$4:$D$5003,$A24,Stripe_Invoices_Upload!$E$4:$E$5003,"*Subscription*",Stripe_Invoices_Upload!$A$4:$A$5003,"&gt;="&amp;DATE(2026,4,1),Stripe_Invoices_Upload!$A$4:$A$5003,"&lt;"&amp;EDATE(DATE(2026,4,1),1)))&gt;0,"✓ Invoiced","⚠ Due"),""),""))</f>
        <v/>
      </c>
      <c r="H24" s="130" t="str">
        <f aca="false">IF($A24="","",IF((DATE(YEAR($E24),MONTH($E24),1)&lt;=DATE(2026,5,1)),IF((MOD(DATEDIF(DATE(YEAR($E24),MONTH($E24),1),DATE(2026,5,1),"m"),IF($D24="Quarterly",3,IF($D24="Annual",12,1)))=0),IF((COUNTIFS(Xero_Raw!$D$4:$D$5003,$A24,Xero_Raw!$G$4:$G$5003,"*Subscription*",Xero_Raw!$A$4:$A$5003,"&gt;="&amp;DATE(2026,5,1),Xero_Raw!$A$4:$A$5003,"&lt;"&amp;EDATE(DATE(2026,5,1),1))+COUNTIFS(Customer_Invoices_Upload!$E$4:$E$5003,$A24,Customer_Invoices_Upload!$G$4:$G$5003,"*Subscription*",Customer_Invoices_Upload!$B$4:$B$5003,"&gt;="&amp;DATE(2026,5,1),Customer_Invoices_Upload!$B$4:$B$5003,"&lt;"&amp;EDATE(DATE(2026,5,1),1))+COUNTIFS(Stripe_Invoices_Upload!$D$4:$D$5003,$A24,Stripe_Invoices_Upload!$E$4:$E$5003,"*Subscription*",Stripe_Invoices_Upload!$A$4:$A$5003,"&gt;="&amp;DATE(2026,5,1),Stripe_Invoices_Upload!$A$4:$A$5003,"&lt;"&amp;EDATE(DATE(2026,5,1),1)))&gt;0,"✓ Invoiced","⚠ Due"),""),""))</f>
        <v/>
      </c>
      <c r="I24" s="130" t="str">
        <f aca="false">IF($A24="","",IF((DATE(YEAR($E24),MONTH($E24),1)&lt;=DATE(2026,6,1)),IF((MOD(DATEDIF(DATE(YEAR($E24),MONTH($E24),1),DATE(2026,6,1),"m"),IF($D24="Quarterly",3,IF($D24="Annual",12,1)))=0),IF((COUNTIFS(Xero_Raw!$D$4:$D$5003,$A24,Xero_Raw!$G$4:$G$5003,"*Subscription*",Xero_Raw!$A$4:$A$5003,"&gt;="&amp;DATE(2026,6,1),Xero_Raw!$A$4:$A$5003,"&lt;"&amp;EDATE(DATE(2026,6,1),1))+COUNTIFS(Customer_Invoices_Upload!$E$4:$E$5003,$A24,Customer_Invoices_Upload!$G$4:$G$5003,"*Subscription*",Customer_Invoices_Upload!$B$4:$B$5003,"&gt;="&amp;DATE(2026,6,1),Customer_Invoices_Upload!$B$4:$B$5003,"&lt;"&amp;EDATE(DATE(2026,6,1),1))+COUNTIFS(Stripe_Invoices_Upload!$D$4:$D$5003,$A24,Stripe_Invoices_Upload!$E$4:$E$5003,"*Subscription*",Stripe_Invoices_Upload!$A$4:$A$5003,"&gt;="&amp;DATE(2026,6,1),Stripe_Invoices_Upload!$A$4:$A$5003,"&lt;"&amp;EDATE(DATE(2026,6,1),1)))&gt;0,"✓ Invoiced","⚠ Due"),""),""))</f>
        <v/>
      </c>
      <c r="J24" s="130" t="str">
        <f aca="false">IF($A24="","",IF((DATE(YEAR($E24),MONTH($E24),1)&lt;=DATE(2026,7,1)),IF((MOD(DATEDIF(DATE(YEAR($E24),MONTH($E24),1),DATE(2026,7,1),"m"),IF($D24="Quarterly",3,IF($D24="Annual",12,1)))=0),IF((COUNTIFS(Xero_Raw!$D$4:$D$5003,$A24,Xero_Raw!$G$4:$G$5003,"*Subscription*",Xero_Raw!$A$4:$A$5003,"&gt;="&amp;DATE(2026,7,1),Xero_Raw!$A$4:$A$5003,"&lt;"&amp;EDATE(DATE(2026,7,1),1))+COUNTIFS(Customer_Invoices_Upload!$E$4:$E$5003,$A24,Customer_Invoices_Upload!$G$4:$G$5003,"*Subscription*",Customer_Invoices_Upload!$B$4:$B$5003,"&gt;="&amp;DATE(2026,7,1),Customer_Invoices_Upload!$B$4:$B$5003,"&lt;"&amp;EDATE(DATE(2026,7,1),1))+COUNTIFS(Stripe_Invoices_Upload!$D$4:$D$5003,$A24,Stripe_Invoices_Upload!$E$4:$E$5003,"*Subscription*",Stripe_Invoices_Upload!$A$4:$A$5003,"&gt;="&amp;DATE(2026,7,1),Stripe_Invoices_Upload!$A$4:$A$5003,"&lt;"&amp;EDATE(DATE(2026,7,1),1)))&gt;0,"✓ Invoiced","⚠ Due"),""),""))</f>
        <v/>
      </c>
      <c r="K24" s="130" t="str">
        <f aca="false">IF($A24="","",IF((DATE(YEAR($E24),MONTH($E24),1)&lt;=DATE(2026,8,1)),IF((MOD(DATEDIF(DATE(YEAR($E24),MONTH($E24),1),DATE(2026,8,1),"m"),IF($D24="Quarterly",3,IF($D24="Annual",12,1)))=0),IF((COUNTIFS(Xero_Raw!$D$4:$D$5003,$A24,Xero_Raw!$G$4:$G$5003,"*Subscription*",Xero_Raw!$A$4:$A$5003,"&gt;="&amp;DATE(2026,8,1),Xero_Raw!$A$4:$A$5003,"&lt;"&amp;EDATE(DATE(2026,8,1),1))+COUNTIFS(Customer_Invoices_Upload!$E$4:$E$5003,$A24,Customer_Invoices_Upload!$G$4:$G$5003,"*Subscription*",Customer_Invoices_Upload!$B$4:$B$5003,"&gt;="&amp;DATE(2026,8,1),Customer_Invoices_Upload!$B$4:$B$5003,"&lt;"&amp;EDATE(DATE(2026,8,1),1))+COUNTIFS(Stripe_Invoices_Upload!$D$4:$D$5003,$A24,Stripe_Invoices_Upload!$E$4:$E$5003,"*Subscription*",Stripe_Invoices_Upload!$A$4:$A$5003,"&gt;="&amp;DATE(2026,8,1),Stripe_Invoices_Upload!$A$4:$A$5003,"&lt;"&amp;EDATE(DATE(2026,8,1),1)))&gt;0,"✓ Invoiced","⚠ Due"),""),""))</f>
        <v/>
      </c>
      <c r="L24" s="130" t="str">
        <f aca="false">IF($A24="","",IF((DATE(YEAR($E24),MONTH($E24),1)&lt;=DATE(2026,9,1)),IF((MOD(DATEDIF(DATE(YEAR($E24),MONTH($E24),1),DATE(2026,9,1),"m"),IF($D24="Quarterly",3,IF($D24="Annual",12,1)))=0),IF((COUNTIFS(Xero_Raw!$D$4:$D$5003,$A24,Xero_Raw!$G$4:$G$5003,"*Subscription*",Xero_Raw!$A$4:$A$5003,"&gt;="&amp;DATE(2026,9,1),Xero_Raw!$A$4:$A$5003,"&lt;"&amp;EDATE(DATE(2026,9,1),1))+COUNTIFS(Customer_Invoices_Upload!$E$4:$E$5003,$A24,Customer_Invoices_Upload!$G$4:$G$5003,"*Subscription*",Customer_Invoices_Upload!$B$4:$B$5003,"&gt;="&amp;DATE(2026,9,1),Customer_Invoices_Upload!$B$4:$B$5003,"&lt;"&amp;EDATE(DATE(2026,9,1),1))+COUNTIFS(Stripe_Invoices_Upload!$D$4:$D$5003,$A24,Stripe_Invoices_Upload!$E$4:$E$5003,"*Subscription*",Stripe_Invoices_Upload!$A$4:$A$5003,"&gt;="&amp;DATE(2026,9,1),Stripe_Invoices_Upload!$A$4:$A$5003,"&lt;"&amp;EDATE(DATE(2026,9,1),1)))&gt;0,"✓ Invoiced","⚠ Due"),""),""))</f>
        <v/>
      </c>
      <c r="M24" s="130" t="str">
        <f aca="false">IF($A24="","",IF((DATE(YEAR($E24),MONTH($E24),1)&lt;=DATE(2026,10,1)),IF((MOD(DATEDIF(DATE(YEAR($E24),MONTH($E24),1),DATE(2026,10,1),"m"),IF($D24="Quarterly",3,IF($D24="Annual",12,1)))=0),IF((COUNTIFS(Xero_Raw!$D$4:$D$5003,$A24,Xero_Raw!$G$4:$G$5003,"*Subscription*",Xero_Raw!$A$4:$A$5003,"&gt;="&amp;DATE(2026,10,1),Xero_Raw!$A$4:$A$5003,"&lt;"&amp;EDATE(DATE(2026,10,1),1))+COUNTIFS(Customer_Invoices_Upload!$E$4:$E$5003,$A24,Customer_Invoices_Upload!$G$4:$G$5003,"*Subscription*",Customer_Invoices_Upload!$B$4:$B$5003,"&gt;="&amp;DATE(2026,10,1),Customer_Invoices_Upload!$B$4:$B$5003,"&lt;"&amp;EDATE(DATE(2026,10,1),1))+COUNTIFS(Stripe_Invoices_Upload!$D$4:$D$5003,$A24,Stripe_Invoices_Upload!$E$4:$E$5003,"*Subscription*",Stripe_Invoices_Upload!$A$4:$A$5003,"&gt;="&amp;DATE(2026,10,1),Stripe_Invoices_Upload!$A$4:$A$5003,"&lt;"&amp;EDATE(DATE(2026,10,1),1)))&gt;0,"✓ Invoiced","⚠ Due"),""),""))</f>
        <v/>
      </c>
      <c r="N24" s="130" t="str">
        <f aca="false">IF($A24="","",IF((DATE(YEAR($E24),MONTH($E24),1)&lt;=DATE(2026,11,1)),IF((MOD(DATEDIF(DATE(YEAR($E24),MONTH($E24),1),DATE(2026,11,1),"m"),IF($D24="Quarterly",3,IF($D24="Annual",12,1)))=0),IF((COUNTIFS(Xero_Raw!$D$4:$D$5003,$A24,Xero_Raw!$G$4:$G$5003,"*Subscription*",Xero_Raw!$A$4:$A$5003,"&gt;="&amp;DATE(2026,11,1),Xero_Raw!$A$4:$A$5003,"&lt;"&amp;EDATE(DATE(2026,11,1),1))+COUNTIFS(Customer_Invoices_Upload!$E$4:$E$5003,$A24,Customer_Invoices_Upload!$G$4:$G$5003,"*Subscription*",Customer_Invoices_Upload!$B$4:$B$5003,"&gt;="&amp;DATE(2026,11,1),Customer_Invoices_Upload!$B$4:$B$5003,"&lt;"&amp;EDATE(DATE(2026,11,1),1))+COUNTIFS(Stripe_Invoices_Upload!$D$4:$D$5003,$A24,Stripe_Invoices_Upload!$E$4:$E$5003,"*Subscription*",Stripe_Invoices_Upload!$A$4:$A$5003,"&gt;="&amp;DATE(2026,11,1),Stripe_Invoices_Upload!$A$4:$A$5003,"&lt;"&amp;EDATE(DATE(2026,11,1),1)))&gt;0,"✓ Invoiced","⚠ Due"),""),""))</f>
        <v/>
      </c>
      <c r="O24" s="130" t="str">
        <f aca="false">IF($A24="","",IF((DATE(YEAR($E24),MONTH($E24),1)&lt;=DATE(2026,12,1)),IF((MOD(DATEDIF(DATE(YEAR($E24),MONTH($E24),1),DATE(2026,12,1),"m"),IF($D24="Quarterly",3,IF($D24="Annual",12,1)))=0),IF((COUNTIFS(Xero_Raw!$D$4:$D$5003,$A24,Xero_Raw!$G$4:$G$5003,"*Subscription*",Xero_Raw!$A$4:$A$5003,"&gt;="&amp;DATE(2026,12,1),Xero_Raw!$A$4:$A$5003,"&lt;"&amp;EDATE(DATE(2026,12,1),1))+COUNTIFS(Customer_Invoices_Upload!$E$4:$E$5003,$A24,Customer_Invoices_Upload!$G$4:$G$5003,"*Subscription*",Customer_Invoices_Upload!$B$4:$B$5003,"&gt;="&amp;DATE(2026,12,1),Customer_Invoices_Upload!$B$4:$B$5003,"&lt;"&amp;EDATE(DATE(2026,12,1),1))+COUNTIFS(Stripe_Invoices_Upload!$D$4:$D$5003,$A24,Stripe_Invoices_Upload!$E$4:$E$5003,"*Subscription*",Stripe_Invoices_Upload!$A$4:$A$5003,"&gt;="&amp;DATE(2026,12,1),Stripe_Invoices_Upload!$A$4:$A$5003,"&lt;"&amp;EDATE(DATE(2026,12,1),1)))&gt;0,"✓ Invoiced","⚠ Due"),""),""))</f>
        <v/>
      </c>
      <c r="P24" s="130" t="str">
        <f aca="false">IF($A24="","",IF((DATE(YEAR($E24),MONTH($E24),1)&lt;=DATE(2027,1,1)),IF((MOD(DATEDIF(DATE(YEAR($E24),MONTH($E24),1),DATE(2027,1,1),"m"),IF($D24="Quarterly",3,IF($D24="Annual",12,1)))=0),IF((COUNTIFS(Xero_Raw!$D$4:$D$5003,$A24,Xero_Raw!$G$4:$G$5003,"*Subscription*",Xero_Raw!$A$4:$A$5003,"&gt;="&amp;DATE(2027,1,1),Xero_Raw!$A$4:$A$5003,"&lt;"&amp;EDATE(DATE(2027,1,1),1))+COUNTIFS(Customer_Invoices_Upload!$E$4:$E$5003,$A24,Customer_Invoices_Upload!$G$4:$G$5003,"*Subscription*",Customer_Invoices_Upload!$B$4:$B$5003,"&gt;="&amp;DATE(2027,1,1),Customer_Invoices_Upload!$B$4:$B$5003,"&lt;"&amp;EDATE(DATE(2027,1,1),1))+COUNTIFS(Stripe_Invoices_Upload!$D$4:$D$5003,$A24,Stripe_Invoices_Upload!$E$4:$E$5003,"*Subscription*",Stripe_Invoices_Upload!$A$4:$A$5003,"&gt;="&amp;DATE(2027,1,1),Stripe_Invoices_Upload!$A$4:$A$5003,"&lt;"&amp;EDATE(DATE(2027,1,1),1)))&gt;0,"✓ Invoiced","⚠ Due"),""),""))</f>
        <v/>
      </c>
      <c r="Q24" s="130" t="str">
        <f aca="false">IF($A24="","",IF((DATE(YEAR($E24),MONTH($E24),1)&lt;=DATE(2027,2,1)),IF((MOD(DATEDIF(DATE(YEAR($E24),MONTH($E24),1),DATE(2027,2,1),"m"),IF($D24="Quarterly",3,IF($D24="Annual",12,1)))=0),IF((COUNTIFS(Xero_Raw!$D$4:$D$5003,$A24,Xero_Raw!$G$4:$G$5003,"*Subscription*",Xero_Raw!$A$4:$A$5003,"&gt;="&amp;DATE(2027,2,1),Xero_Raw!$A$4:$A$5003,"&lt;"&amp;EDATE(DATE(2027,2,1),1))+COUNTIFS(Customer_Invoices_Upload!$E$4:$E$5003,$A24,Customer_Invoices_Upload!$G$4:$G$5003,"*Subscription*",Customer_Invoices_Upload!$B$4:$B$5003,"&gt;="&amp;DATE(2027,2,1),Customer_Invoices_Upload!$B$4:$B$5003,"&lt;"&amp;EDATE(DATE(2027,2,1),1))+COUNTIFS(Stripe_Invoices_Upload!$D$4:$D$5003,$A24,Stripe_Invoices_Upload!$E$4:$E$5003,"*Subscription*",Stripe_Invoices_Upload!$A$4:$A$5003,"&gt;="&amp;DATE(2027,2,1),Stripe_Invoices_Upload!$A$4:$A$5003,"&lt;"&amp;EDATE(DATE(2027,2,1),1)))&gt;0,"✓ Invoiced","⚠ Due"),""),""))</f>
        <v/>
      </c>
      <c r="R24" s="130" t="str">
        <f aca="false">IF($A24="","",IF((DATE(YEAR($E24),MONTH($E24),1)&lt;=DATE(2027,3,1)),IF((MOD(DATEDIF(DATE(YEAR($E24),MONTH($E24),1),DATE(2027,3,1),"m"),IF($D24="Quarterly",3,IF($D24="Annual",12,1)))=0),IF((COUNTIFS(Xero_Raw!$D$4:$D$5003,$A24,Xero_Raw!$G$4:$G$5003,"*Subscription*",Xero_Raw!$A$4:$A$5003,"&gt;="&amp;DATE(2027,3,1),Xero_Raw!$A$4:$A$5003,"&lt;"&amp;EDATE(DATE(2027,3,1),1))+COUNTIFS(Customer_Invoices_Upload!$E$4:$E$5003,$A24,Customer_Invoices_Upload!$G$4:$G$5003,"*Subscription*",Customer_Invoices_Upload!$B$4:$B$5003,"&gt;="&amp;DATE(2027,3,1),Customer_Invoices_Upload!$B$4:$B$5003,"&lt;"&amp;EDATE(DATE(2027,3,1),1))+COUNTIFS(Stripe_Invoices_Upload!$D$4:$D$5003,$A24,Stripe_Invoices_Upload!$E$4:$E$5003,"*Subscription*",Stripe_Invoices_Upload!$A$4:$A$5003,"&gt;="&amp;DATE(2027,3,1),Stripe_Invoices_Upload!$A$4:$A$5003,"&lt;"&amp;EDATE(DATE(2027,3,1),1)))&gt;0,"✓ Invoiced","⚠ Due"),""),""))</f>
        <v/>
      </c>
    </row>
    <row r="25" customFormat="false" ht="15" hidden="false" customHeight="false" outlineLevel="0" collapsed="false">
      <c r="A25" s="39"/>
      <c r="B25" s="39"/>
      <c r="C25" s="40"/>
      <c r="D25" s="39"/>
      <c r="E25" s="38"/>
      <c r="F25" s="129" t="str">
        <f aca="true">IF($A25="","",EDATE($E25,DATEDIF($E25,TODAY(),"m")+1))</f>
        <v/>
      </c>
      <c r="G25" s="130" t="str">
        <f aca="false">IF($A25="","",IF((DATE(YEAR($E25),MONTH($E25),1)&lt;=DATE(2026,4,1)),IF((MOD(DATEDIF(DATE(YEAR($E25),MONTH($E25),1),DATE(2026,4,1),"m"),IF($D25="Quarterly",3,IF($D25="Annual",12,1)))=0),IF((COUNTIFS(Xero_Raw!$D$4:$D$5003,$A25,Xero_Raw!$G$4:$G$5003,"*Subscription*",Xero_Raw!$A$4:$A$5003,"&gt;="&amp;DATE(2026,4,1),Xero_Raw!$A$4:$A$5003,"&lt;"&amp;EDATE(DATE(2026,4,1),1))+COUNTIFS(Customer_Invoices_Upload!$E$4:$E$5003,$A25,Customer_Invoices_Upload!$G$4:$G$5003,"*Subscription*",Customer_Invoices_Upload!$B$4:$B$5003,"&gt;="&amp;DATE(2026,4,1),Customer_Invoices_Upload!$B$4:$B$5003,"&lt;"&amp;EDATE(DATE(2026,4,1),1))+COUNTIFS(Stripe_Invoices_Upload!$D$4:$D$5003,$A25,Stripe_Invoices_Upload!$E$4:$E$5003,"*Subscription*",Stripe_Invoices_Upload!$A$4:$A$5003,"&gt;="&amp;DATE(2026,4,1),Stripe_Invoices_Upload!$A$4:$A$5003,"&lt;"&amp;EDATE(DATE(2026,4,1),1)))&gt;0,"✓ Invoiced","⚠ Due"),""),""))</f>
        <v/>
      </c>
      <c r="H25" s="130" t="str">
        <f aca="false">IF($A25="","",IF((DATE(YEAR($E25),MONTH($E25),1)&lt;=DATE(2026,5,1)),IF((MOD(DATEDIF(DATE(YEAR($E25),MONTH($E25),1),DATE(2026,5,1),"m"),IF($D25="Quarterly",3,IF($D25="Annual",12,1)))=0),IF((COUNTIFS(Xero_Raw!$D$4:$D$5003,$A25,Xero_Raw!$G$4:$G$5003,"*Subscription*",Xero_Raw!$A$4:$A$5003,"&gt;="&amp;DATE(2026,5,1),Xero_Raw!$A$4:$A$5003,"&lt;"&amp;EDATE(DATE(2026,5,1),1))+COUNTIFS(Customer_Invoices_Upload!$E$4:$E$5003,$A25,Customer_Invoices_Upload!$G$4:$G$5003,"*Subscription*",Customer_Invoices_Upload!$B$4:$B$5003,"&gt;="&amp;DATE(2026,5,1),Customer_Invoices_Upload!$B$4:$B$5003,"&lt;"&amp;EDATE(DATE(2026,5,1),1))+COUNTIFS(Stripe_Invoices_Upload!$D$4:$D$5003,$A25,Stripe_Invoices_Upload!$E$4:$E$5003,"*Subscription*",Stripe_Invoices_Upload!$A$4:$A$5003,"&gt;="&amp;DATE(2026,5,1),Stripe_Invoices_Upload!$A$4:$A$5003,"&lt;"&amp;EDATE(DATE(2026,5,1),1)))&gt;0,"✓ Invoiced","⚠ Due"),""),""))</f>
        <v/>
      </c>
      <c r="I25" s="130" t="str">
        <f aca="false">IF($A25="","",IF((DATE(YEAR($E25),MONTH($E25),1)&lt;=DATE(2026,6,1)),IF((MOD(DATEDIF(DATE(YEAR($E25),MONTH($E25),1),DATE(2026,6,1),"m"),IF($D25="Quarterly",3,IF($D25="Annual",12,1)))=0),IF((COUNTIFS(Xero_Raw!$D$4:$D$5003,$A25,Xero_Raw!$G$4:$G$5003,"*Subscription*",Xero_Raw!$A$4:$A$5003,"&gt;="&amp;DATE(2026,6,1),Xero_Raw!$A$4:$A$5003,"&lt;"&amp;EDATE(DATE(2026,6,1),1))+COUNTIFS(Customer_Invoices_Upload!$E$4:$E$5003,$A25,Customer_Invoices_Upload!$G$4:$G$5003,"*Subscription*",Customer_Invoices_Upload!$B$4:$B$5003,"&gt;="&amp;DATE(2026,6,1),Customer_Invoices_Upload!$B$4:$B$5003,"&lt;"&amp;EDATE(DATE(2026,6,1),1))+COUNTIFS(Stripe_Invoices_Upload!$D$4:$D$5003,$A25,Stripe_Invoices_Upload!$E$4:$E$5003,"*Subscription*",Stripe_Invoices_Upload!$A$4:$A$5003,"&gt;="&amp;DATE(2026,6,1),Stripe_Invoices_Upload!$A$4:$A$5003,"&lt;"&amp;EDATE(DATE(2026,6,1),1)))&gt;0,"✓ Invoiced","⚠ Due"),""),""))</f>
        <v/>
      </c>
      <c r="J25" s="130" t="str">
        <f aca="false">IF($A25="","",IF((DATE(YEAR($E25),MONTH($E25),1)&lt;=DATE(2026,7,1)),IF((MOD(DATEDIF(DATE(YEAR($E25),MONTH($E25),1),DATE(2026,7,1),"m"),IF($D25="Quarterly",3,IF($D25="Annual",12,1)))=0),IF((COUNTIFS(Xero_Raw!$D$4:$D$5003,$A25,Xero_Raw!$G$4:$G$5003,"*Subscription*",Xero_Raw!$A$4:$A$5003,"&gt;="&amp;DATE(2026,7,1),Xero_Raw!$A$4:$A$5003,"&lt;"&amp;EDATE(DATE(2026,7,1),1))+COUNTIFS(Customer_Invoices_Upload!$E$4:$E$5003,$A25,Customer_Invoices_Upload!$G$4:$G$5003,"*Subscription*",Customer_Invoices_Upload!$B$4:$B$5003,"&gt;="&amp;DATE(2026,7,1),Customer_Invoices_Upload!$B$4:$B$5003,"&lt;"&amp;EDATE(DATE(2026,7,1),1))+COUNTIFS(Stripe_Invoices_Upload!$D$4:$D$5003,$A25,Stripe_Invoices_Upload!$E$4:$E$5003,"*Subscription*",Stripe_Invoices_Upload!$A$4:$A$5003,"&gt;="&amp;DATE(2026,7,1),Stripe_Invoices_Upload!$A$4:$A$5003,"&lt;"&amp;EDATE(DATE(2026,7,1),1)))&gt;0,"✓ Invoiced","⚠ Due"),""),""))</f>
        <v/>
      </c>
      <c r="K25" s="130" t="str">
        <f aca="false">IF($A25="","",IF((DATE(YEAR($E25),MONTH($E25),1)&lt;=DATE(2026,8,1)),IF((MOD(DATEDIF(DATE(YEAR($E25),MONTH($E25),1),DATE(2026,8,1),"m"),IF($D25="Quarterly",3,IF($D25="Annual",12,1)))=0),IF((COUNTIFS(Xero_Raw!$D$4:$D$5003,$A25,Xero_Raw!$G$4:$G$5003,"*Subscription*",Xero_Raw!$A$4:$A$5003,"&gt;="&amp;DATE(2026,8,1),Xero_Raw!$A$4:$A$5003,"&lt;"&amp;EDATE(DATE(2026,8,1),1))+COUNTIFS(Customer_Invoices_Upload!$E$4:$E$5003,$A25,Customer_Invoices_Upload!$G$4:$G$5003,"*Subscription*",Customer_Invoices_Upload!$B$4:$B$5003,"&gt;="&amp;DATE(2026,8,1),Customer_Invoices_Upload!$B$4:$B$5003,"&lt;"&amp;EDATE(DATE(2026,8,1),1))+COUNTIFS(Stripe_Invoices_Upload!$D$4:$D$5003,$A25,Stripe_Invoices_Upload!$E$4:$E$5003,"*Subscription*",Stripe_Invoices_Upload!$A$4:$A$5003,"&gt;="&amp;DATE(2026,8,1),Stripe_Invoices_Upload!$A$4:$A$5003,"&lt;"&amp;EDATE(DATE(2026,8,1),1)))&gt;0,"✓ Invoiced","⚠ Due"),""),""))</f>
        <v/>
      </c>
      <c r="L25" s="130" t="str">
        <f aca="false">IF($A25="","",IF((DATE(YEAR($E25),MONTH($E25),1)&lt;=DATE(2026,9,1)),IF((MOD(DATEDIF(DATE(YEAR($E25),MONTH($E25),1),DATE(2026,9,1),"m"),IF($D25="Quarterly",3,IF($D25="Annual",12,1)))=0),IF((COUNTIFS(Xero_Raw!$D$4:$D$5003,$A25,Xero_Raw!$G$4:$G$5003,"*Subscription*",Xero_Raw!$A$4:$A$5003,"&gt;="&amp;DATE(2026,9,1),Xero_Raw!$A$4:$A$5003,"&lt;"&amp;EDATE(DATE(2026,9,1),1))+COUNTIFS(Customer_Invoices_Upload!$E$4:$E$5003,$A25,Customer_Invoices_Upload!$G$4:$G$5003,"*Subscription*",Customer_Invoices_Upload!$B$4:$B$5003,"&gt;="&amp;DATE(2026,9,1),Customer_Invoices_Upload!$B$4:$B$5003,"&lt;"&amp;EDATE(DATE(2026,9,1),1))+COUNTIFS(Stripe_Invoices_Upload!$D$4:$D$5003,$A25,Stripe_Invoices_Upload!$E$4:$E$5003,"*Subscription*",Stripe_Invoices_Upload!$A$4:$A$5003,"&gt;="&amp;DATE(2026,9,1),Stripe_Invoices_Upload!$A$4:$A$5003,"&lt;"&amp;EDATE(DATE(2026,9,1),1)))&gt;0,"✓ Invoiced","⚠ Due"),""),""))</f>
        <v/>
      </c>
      <c r="M25" s="130" t="str">
        <f aca="false">IF($A25="","",IF((DATE(YEAR($E25),MONTH($E25),1)&lt;=DATE(2026,10,1)),IF((MOD(DATEDIF(DATE(YEAR($E25),MONTH($E25),1),DATE(2026,10,1),"m"),IF($D25="Quarterly",3,IF($D25="Annual",12,1)))=0),IF((COUNTIFS(Xero_Raw!$D$4:$D$5003,$A25,Xero_Raw!$G$4:$G$5003,"*Subscription*",Xero_Raw!$A$4:$A$5003,"&gt;="&amp;DATE(2026,10,1),Xero_Raw!$A$4:$A$5003,"&lt;"&amp;EDATE(DATE(2026,10,1),1))+COUNTIFS(Customer_Invoices_Upload!$E$4:$E$5003,$A25,Customer_Invoices_Upload!$G$4:$G$5003,"*Subscription*",Customer_Invoices_Upload!$B$4:$B$5003,"&gt;="&amp;DATE(2026,10,1),Customer_Invoices_Upload!$B$4:$B$5003,"&lt;"&amp;EDATE(DATE(2026,10,1),1))+COUNTIFS(Stripe_Invoices_Upload!$D$4:$D$5003,$A25,Stripe_Invoices_Upload!$E$4:$E$5003,"*Subscription*",Stripe_Invoices_Upload!$A$4:$A$5003,"&gt;="&amp;DATE(2026,10,1),Stripe_Invoices_Upload!$A$4:$A$5003,"&lt;"&amp;EDATE(DATE(2026,10,1),1)))&gt;0,"✓ Invoiced","⚠ Due"),""),""))</f>
        <v/>
      </c>
      <c r="N25" s="130" t="str">
        <f aca="false">IF($A25="","",IF((DATE(YEAR($E25),MONTH($E25),1)&lt;=DATE(2026,11,1)),IF((MOD(DATEDIF(DATE(YEAR($E25),MONTH($E25),1),DATE(2026,11,1),"m"),IF($D25="Quarterly",3,IF($D25="Annual",12,1)))=0),IF((COUNTIFS(Xero_Raw!$D$4:$D$5003,$A25,Xero_Raw!$G$4:$G$5003,"*Subscription*",Xero_Raw!$A$4:$A$5003,"&gt;="&amp;DATE(2026,11,1),Xero_Raw!$A$4:$A$5003,"&lt;"&amp;EDATE(DATE(2026,11,1),1))+COUNTIFS(Customer_Invoices_Upload!$E$4:$E$5003,$A25,Customer_Invoices_Upload!$G$4:$G$5003,"*Subscription*",Customer_Invoices_Upload!$B$4:$B$5003,"&gt;="&amp;DATE(2026,11,1),Customer_Invoices_Upload!$B$4:$B$5003,"&lt;"&amp;EDATE(DATE(2026,11,1),1))+COUNTIFS(Stripe_Invoices_Upload!$D$4:$D$5003,$A25,Stripe_Invoices_Upload!$E$4:$E$5003,"*Subscription*",Stripe_Invoices_Upload!$A$4:$A$5003,"&gt;="&amp;DATE(2026,11,1),Stripe_Invoices_Upload!$A$4:$A$5003,"&lt;"&amp;EDATE(DATE(2026,11,1),1)))&gt;0,"✓ Invoiced","⚠ Due"),""),""))</f>
        <v/>
      </c>
      <c r="O25" s="130" t="str">
        <f aca="false">IF($A25="","",IF((DATE(YEAR($E25),MONTH($E25),1)&lt;=DATE(2026,12,1)),IF((MOD(DATEDIF(DATE(YEAR($E25),MONTH($E25),1),DATE(2026,12,1),"m"),IF($D25="Quarterly",3,IF($D25="Annual",12,1)))=0),IF((COUNTIFS(Xero_Raw!$D$4:$D$5003,$A25,Xero_Raw!$G$4:$G$5003,"*Subscription*",Xero_Raw!$A$4:$A$5003,"&gt;="&amp;DATE(2026,12,1),Xero_Raw!$A$4:$A$5003,"&lt;"&amp;EDATE(DATE(2026,12,1),1))+COUNTIFS(Customer_Invoices_Upload!$E$4:$E$5003,$A25,Customer_Invoices_Upload!$G$4:$G$5003,"*Subscription*",Customer_Invoices_Upload!$B$4:$B$5003,"&gt;="&amp;DATE(2026,12,1),Customer_Invoices_Upload!$B$4:$B$5003,"&lt;"&amp;EDATE(DATE(2026,12,1),1))+COUNTIFS(Stripe_Invoices_Upload!$D$4:$D$5003,$A25,Stripe_Invoices_Upload!$E$4:$E$5003,"*Subscription*",Stripe_Invoices_Upload!$A$4:$A$5003,"&gt;="&amp;DATE(2026,12,1),Stripe_Invoices_Upload!$A$4:$A$5003,"&lt;"&amp;EDATE(DATE(2026,12,1),1)))&gt;0,"✓ Invoiced","⚠ Due"),""),""))</f>
        <v/>
      </c>
      <c r="P25" s="130" t="str">
        <f aca="false">IF($A25="","",IF((DATE(YEAR($E25),MONTH($E25),1)&lt;=DATE(2027,1,1)),IF((MOD(DATEDIF(DATE(YEAR($E25),MONTH($E25),1),DATE(2027,1,1),"m"),IF($D25="Quarterly",3,IF($D25="Annual",12,1)))=0),IF((COUNTIFS(Xero_Raw!$D$4:$D$5003,$A25,Xero_Raw!$G$4:$G$5003,"*Subscription*",Xero_Raw!$A$4:$A$5003,"&gt;="&amp;DATE(2027,1,1),Xero_Raw!$A$4:$A$5003,"&lt;"&amp;EDATE(DATE(2027,1,1),1))+COUNTIFS(Customer_Invoices_Upload!$E$4:$E$5003,$A25,Customer_Invoices_Upload!$G$4:$G$5003,"*Subscription*",Customer_Invoices_Upload!$B$4:$B$5003,"&gt;="&amp;DATE(2027,1,1),Customer_Invoices_Upload!$B$4:$B$5003,"&lt;"&amp;EDATE(DATE(2027,1,1),1))+COUNTIFS(Stripe_Invoices_Upload!$D$4:$D$5003,$A25,Stripe_Invoices_Upload!$E$4:$E$5003,"*Subscription*",Stripe_Invoices_Upload!$A$4:$A$5003,"&gt;="&amp;DATE(2027,1,1),Stripe_Invoices_Upload!$A$4:$A$5003,"&lt;"&amp;EDATE(DATE(2027,1,1),1)))&gt;0,"✓ Invoiced","⚠ Due"),""),""))</f>
        <v/>
      </c>
      <c r="Q25" s="130" t="str">
        <f aca="false">IF($A25="","",IF((DATE(YEAR($E25),MONTH($E25),1)&lt;=DATE(2027,2,1)),IF((MOD(DATEDIF(DATE(YEAR($E25),MONTH($E25),1),DATE(2027,2,1),"m"),IF($D25="Quarterly",3,IF($D25="Annual",12,1)))=0),IF((COUNTIFS(Xero_Raw!$D$4:$D$5003,$A25,Xero_Raw!$G$4:$G$5003,"*Subscription*",Xero_Raw!$A$4:$A$5003,"&gt;="&amp;DATE(2027,2,1),Xero_Raw!$A$4:$A$5003,"&lt;"&amp;EDATE(DATE(2027,2,1),1))+COUNTIFS(Customer_Invoices_Upload!$E$4:$E$5003,$A25,Customer_Invoices_Upload!$G$4:$G$5003,"*Subscription*",Customer_Invoices_Upload!$B$4:$B$5003,"&gt;="&amp;DATE(2027,2,1),Customer_Invoices_Upload!$B$4:$B$5003,"&lt;"&amp;EDATE(DATE(2027,2,1),1))+COUNTIFS(Stripe_Invoices_Upload!$D$4:$D$5003,$A25,Stripe_Invoices_Upload!$E$4:$E$5003,"*Subscription*",Stripe_Invoices_Upload!$A$4:$A$5003,"&gt;="&amp;DATE(2027,2,1),Stripe_Invoices_Upload!$A$4:$A$5003,"&lt;"&amp;EDATE(DATE(2027,2,1),1)))&gt;0,"✓ Invoiced","⚠ Due"),""),""))</f>
        <v/>
      </c>
      <c r="R25" s="130" t="str">
        <f aca="false">IF($A25="","",IF((DATE(YEAR($E25),MONTH($E25),1)&lt;=DATE(2027,3,1)),IF((MOD(DATEDIF(DATE(YEAR($E25),MONTH($E25),1),DATE(2027,3,1),"m"),IF($D25="Quarterly",3,IF($D25="Annual",12,1)))=0),IF((COUNTIFS(Xero_Raw!$D$4:$D$5003,$A25,Xero_Raw!$G$4:$G$5003,"*Subscription*",Xero_Raw!$A$4:$A$5003,"&gt;="&amp;DATE(2027,3,1),Xero_Raw!$A$4:$A$5003,"&lt;"&amp;EDATE(DATE(2027,3,1),1))+COUNTIFS(Customer_Invoices_Upload!$E$4:$E$5003,$A25,Customer_Invoices_Upload!$G$4:$G$5003,"*Subscription*",Customer_Invoices_Upload!$B$4:$B$5003,"&gt;="&amp;DATE(2027,3,1),Customer_Invoices_Upload!$B$4:$B$5003,"&lt;"&amp;EDATE(DATE(2027,3,1),1))+COUNTIFS(Stripe_Invoices_Upload!$D$4:$D$5003,$A25,Stripe_Invoices_Upload!$E$4:$E$5003,"*Subscription*",Stripe_Invoices_Upload!$A$4:$A$5003,"&gt;="&amp;DATE(2027,3,1),Stripe_Invoices_Upload!$A$4:$A$5003,"&lt;"&amp;EDATE(DATE(2027,3,1),1)))&gt;0,"✓ Invoiced","⚠ Due"),""),""))</f>
        <v/>
      </c>
    </row>
    <row r="26" customFormat="false" ht="15" hidden="false" customHeight="false" outlineLevel="0" collapsed="false">
      <c r="A26" s="39"/>
      <c r="B26" s="39"/>
      <c r="C26" s="40"/>
      <c r="D26" s="39"/>
      <c r="E26" s="38"/>
      <c r="F26" s="129" t="str">
        <f aca="true">IF($A26="","",EDATE($E26,DATEDIF($E26,TODAY(),"m")+1))</f>
        <v/>
      </c>
      <c r="G26" s="130" t="str">
        <f aca="false">IF($A26="","",IF((DATE(YEAR($E26),MONTH($E26),1)&lt;=DATE(2026,4,1)),IF((MOD(DATEDIF(DATE(YEAR($E26),MONTH($E26),1),DATE(2026,4,1),"m"),IF($D26="Quarterly",3,IF($D26="Annual",12,1)))=0),IF((COUNTIFS(Xero_Raw!$D$4:$D$5003,$A26,Xero_Raw!$G$4:$G$5003,"*Subscription*",Xero_Raw!$A$4:$A$5003,"&gt;="&amp;DATE(2026,4,1),Xero_Raw!$A$4:$A$5003,"&lt;"&amp;EDATE(DATE(2026,4,1),1))+COUNTIFS(Customer_Invoices_Upload!$E$4:$E$5003,$A26,Customer_Invoices_Upload!$G$4:$G$5003,"*Subscription*",Customer_Invoices_Upload!$B$4:$B$5003,"&gt;="&amp;DATE(2026,4,1),Customer_Invoices_Upload!$B$4:$B$5003,"&lt;"&amp;EDATE(DATE(2026,4,1),1))+COUNTIFS(Stripe_Invoices_Upload!$D$4:$D$5003,$A26,Stripe_Invoices_Upload!$E$4:$E$5003,"*Subscription*",Stripe_Invoices_Upload!$A$4:$A$5003,"&gt;="&amp;DATE(2026,4,1),Stripe_Invoices_Upload!$A$4:$A$5003,"&lt;"&amp;EDATE(DATE(2026,4,1),1)))&gt;0,"✓ Invoiced","⚠ Due"),""),""))</f>
        <v/>
      </c>
      <c r="H26" s="130" t="str">
        <f aca="false">IF($A26="","",IF((DATE(YEAR($E26),MONTH($E26),1)&lt;=DATE(2026,5,1)),IF((MOD(DATEDIF(DATE(YEAR($E26),MONTH($E26),1),DATE(2026,5,1),"m"),IF($D26="Quarterly",3,IF($D26="Annual",12,1)))=0),IF((COUNTIFS(Xero_Raw!$D$4:$D$5003,$A26,Xero_Raw!$G$4:$G$5003,"*Subscription*",Xero_Raw!$A$4:$A$5003,"&gt;="&amp;DATE(2026,5,1),Xero_Raw!$A$4:$A$5003,"&lt;"&amp;EDATE(DATE(2026,5,1),1))+COUNTIFS(Customer_Invoices_Upload!$E$4:$E$5003,$A26,Customer_Invoices_Upload!$G$4:$G$5003,"*Subscription*",Customer_Invoices_Upload!$B$4:$B$5003,"&gt;="&amp;DATE(2026,5,1),Customer_Invoices_Upload!$B$4:$B$5003,"&lt;"&amp;EDATE(DATE(2026,5,1),1))+COUNTIFS(Stripe_Invoices_Upload!$D$4:$D$5003,$A26,Stripe_Invoices_Upload!$E$4:$E$5003,"*Subscription*",Stripe_Invoices_Upload!$A$4:$A$5003,"&gt;="&amp;DATE(2026,5,1),Stripe_Invoices_Upload!$A$4:$A$5003,"&lt;"&amp;EDATE(DATE(2026,5,1),1)))&gt;0,"✓ Invoiced","⚠ Due"),""),""))</f>
        <v/>
      </c>
      <c r="I26" s="130" t="str">
        <f aca="false">IF($A26="","",IF((DATE(YEAR($E26),MONTH($E26),1)&lt;=DATE(2026,6,1)),IF((MOD(DATEDIF(DATE(YEAR($E26),MONTH($E26),1),DATE(2026,6,1),"m"),IF($D26="Quarterly",3,IF($D26="Annual",12,1)))=0),IF((COUNTIFS(Xero_Raw!$D$4:$D$5003,$A26,Xero_Raw!$G$4:$G$5003,"*Subscription*",Xero_Raw!$A$4:$A$5003,"&gt;="&amp;DATE(2026,6,1),Xero_Raw!$A$4:$A$5003,"&lt;"&amp;EDATE(DATE(2026,6,1),1))+COUNTIFS(Customer_Invoices_Upload!$E$4:$E$5003,$A26,Customer_Invoices_Upload!$G$4:$G$5003,"*Subscription*",Customer_Invoices_Upload!$B$4:$B$5003,"&gt;="&amp;DATE(2026,6,1),Customer_Invoices_Upload!$B$4:$B$5003,"&lt;"&amp;EDATE(DATE(2026,6,1),1))+COUNTIFS(Stripe_Invoices_Upload!$D$4:$D$5003,$A26,Stripe_Invoices_Upload!$E$4:$E$5003,"*Subscription*",Stripe_Invoices_Upload!$A$4:$A$5003,"&gt;="&amp;DATE(2026,6,1),Stripe_Invoices_Upload!$A$4:$A$5003,"&lt;"&amp;EDATE(DATE(2026,6,1),1)))&gt;0,"✓ Invoiced","⚠ Due"),""),""))</f>
        <v/>
      </c>
      <c r="J26" s="130" t="str">
        <f aca="false">IF($A26="","",IF((DATE(YEAR($E26),MONTH($E26),1)&lt;=DATE(2026,7,1)),IF((MOD(DATEDIF(DATE(YEAR($E26),MONTH($E26),1),DATE(2026,7,1),"m"),IF($D26="Quarterly",3,IF($D26="Annual",12,1)))=0),IF((COUNTIFS(Xero_Raw!$D$4:$D$5003,$A26,Xero_Raw!$G$4:$G$5003,"*Subscription*",Xero_Raw!$A$4:$A$5003,"&gt;="&amp;DATE(2026,7,1),Xero_Raw!$A$4:$A$5003,"&lt;"&amp;EDATE(DATE(2026,7,1),1))+COUNTIFS(Customer_Invoices_Upload!$E$4:$E$5003,$A26,Customer_Invoices_Upload!$G$4:$G$5003,"*Subscription*",Customer_Invoices_Upload!$B$4:$B$5003,"&gt;="&amp;DATE(2026,7,1),Customer_Invoices_Upload!$B$4:$B$5003,"&lt;"&amp;EDATE(DATE(2026,7,1),1))+COUNTIFS(Stripe_Invoices_Upload!$D$4:$D$5003,$A26,Stripe_Invoices_Upload!$E$4:$E$5003,"*Subscription*",Stripe_Invoices_Upload!$A$4:$A$5003,"&gt;="&amp;DATE(2026,7,1),Stripe_Invoices_Upload!$A$4:$A$5003,"&lt;"&amp;EDATE(DATE(2026,7,1),1)))&gt;0,"✓ Invoiced","⚠ Due"),""),""))</f>
        <v/>
      </c>
      <c r="K26" s="130" t="str">
        <f aca="false">IF($A26="","",IF((DATE(YEAR($E26),MONTH($E26),1)&lt;=DATE(2026,8,1)),IF((MOD(DATEDIF(DATE(YEAR($E26),MONTH($E26),1),DATE(2026,8,1),"m"),IF($D26="Quarterly",3,IF($D26="Annual",12,1)))=0),IF((COUNTIFS(Xero_Raw!$D$4:$D$5003,$A26,Xero_Raw!$G$4:$G$5003,"*Subscription*",Xero_Raw!$A$4:$A$5003,"&gt;="&amp;DATE(2026,8,1),Xero_Raw!$A$4:$A$5003,"&lt;"&amp;EDATE(DATE(2026,8,1),1))+COUNTIFS(Customer_Invoices_Upload!$E$4:$E$5003,$A26,Customer_Invoices_Upload!$G$4:$G$5003,"*Subscription*",Customer_Invoices_Upload!$B$4:$B$5003,"&gt;="&amp;DATE(2026,8,1),Customer_Invoices_Upload!$B$4:$B$5003,"&lt;"&amp;EDATE(DATE(2026,8,1),1))+COUNTIFS(Stripe_Invoices_Upload!$D$4:$D$5003,$A26,Stripe_Invoices_Upload!$E$4:$E$5003,"*Subscription*",Stripe_Invoices_Upload!$A$4:$A$5003,"&gt;="&amp;DATE(2026,8,1),Stripe_Invoices_Upload!$A$4:$A$5003,"&lt;"&amp;EDATE(DATE(2026,8,1),1)))&gt;0,"✓ Invoiced","⚠ Due"),""),""))</f>
        <v/>
      </c>
      <c r="L26" s="130" t="str">
        <f aca="false">IF($A26="","",IF((DATE(YEAR($E26),MONTH($E26),1)&lt;=DATE(2026,9,1)),IF((MOD(DATEDIF(DATE(YEAR($E26),MONTH($E26),1),DATE(2026,9,1),"m"),IF($D26="Quarterly",3,IF($D26="Annual",12,1)))=0),IF((COUNTIFS(Xero_Raw!$D$4:$D$5003,$A26,Xero_Raw!$G$4:$G$5003,"*Subscription*",Xero_Raw!$A$4:$A$5003,"&gt;="&amp;DATE(2026,9,1),Xero_Raw!$A$4:$A$5003,"&lt;"&amp;EDATE(DATE(2026,9,1),1))+COUNTIFS(Customer_Invoices_Upload!$E$4:$E$5003,$A26,Customer_Invoices_Upload!$G$4:$G$5003,"*Subscription*",Customer_Invoices_Upload!$B$4:$B$5003,"&gt;="&amp;DATE(2026,9,1),Customer_Invoices_Upload!$B$4:$B$5003,"&lt;"&amp;EDATE(DATE(2026,9,1),1))+COUNTIFS(Stripe_Invoices_Upload!$D$4:$D$5003,$A26,Stripe_Invoices_Upload!$E$4:$E$5003,"*Subscription*",Stripe_Invoices_Upload!$A$4:$A$5003,"&gt;="&amp;DATE(2026,9,1),Stripe_Invoices_Upload!$A$4:$A$5003,"&lt;"&amp;EDATE(DATE(2026,9,1),1)))&gt;0,"✓ Invoiced","⚠ Due"),""),""))</f>
        <v/>
      </c>
      <c r="M26" s="130" t="str">
        <f aca="false">IF($A26="","",IF((DATE(YEAR($E26),MONTH($E26),1)&lt;=DATE(2026,10,1)),IF((MOD(DATEDIF(DATE(YEAR($E26),MONTH($E26),1),DATE(2026,10,1),"m"),IF($D26="Quarterly",3,IF($D26="Annual",12,1)))=0),IF((COUNTIFS(Xero_Raw!$D$4:$D$5003,$A26,Xero_Raw!$G$4:$G$5003,"*Subscription*",Xero_Raw!$A$4:$A$5003,"&gt;="&amp;DATE(2026,10,1),Xero_Raw!$A$4:$A$5003,"&lt;"&amp;EDATE(DATE(2026,10,1),1))+COUNTIFS(Customer_Invoices_Upload!$E$4:$E$5003,$A26,Customer_Invoices_Upload!$G$4:$G$5003,"*Subscription*",Customer_Invoices_Upload!$B$4:$B$5003,"&gt;="&amp;DATE(2026,10,1),Customer_Invoices_Upload!$B$4:$B$5003,"&lt;"&amp;EDATE(DATE(2026,10,1),1))+COUNTIFS(Stripe_Invoices_Upload!$D$4:$D$5003,$A26,Stripe_Invoices_Upload!$E$4:$E$5003,"*Subscription*",Stripe_Invoices_Upload!$A$4:$A$5003,"&gt;="&amp;DATE(2026,10,1),Stripe_Invoices_Upload!$A$4:$A$5003,"&lt;"&amp;EDATE(DATE(2026,10,1),1)))&gt;0,"✓ Invoiced","⚠ Due"),""),""))</f>
        <v/>
      </c>
      <c r="N26" s="130" t="str">
        <f aca="false">IF($A26="","",IF((DATE(YEAR($E26),MONTH($E26),1)&lt;=DATE(2026,11,1)),IF((MOD(DATEDIF(DATE(YEAR($E26),MONTH($E26),1),DATE(2026,11,1),"m"),IF($D26="Quarterly",3,IF($D26="Annual",12,1)))=0),IF((COUNTIFS(Xero_Raw!$D$4:$D$5003,$A26,Xero_Raw!$G$4:$G$5003,"*Subscription*",Xero_Raw!$A$4:$A$5003,"&gt;="&amp;DATE(2026,11,1),Xero_Raw!$A$4:$A$5003,"&lt;"&amp;EDATE(DATE(2026,11,1),1))+COUNTIFS(Customer_Invoices_Upload!$E$4:$E$5003,$A26,Customer_Invoices_Upload!$G$4:$G$5003,"*Subscription*",Customer_Invoices_Upload!$B$4:$B$5003,"&gt;="&amp;DATE(2026,11,1),Customer_Invoices_Upload!$B$4:$B$5003,"&lt;"&amp;EDATE(DATE(2026,11,1),1))+COUNTIFS(Stripe_Invoices_Upload!$D$4:$D$5003,$A26,Stripe_Invoices_Upload!$E$4:$E$5003,"*Subscription*",Stripe_Invoices_Upload!$A$4:$A$5003,"&gt;="&amp;DATE(2026,11,1),Stripe_Invoices_Upload!$A$4:$A$5003,"&lt;"&amp;EDATE(DATE(2026,11,1),1)))&gt;0,"✓ Invoiced","⚠ Due"),""),""))</f>
        <v/>
      </c>
      <c r="O26" s="130" t="str">
        <f aca="false">IF($A26="","",IF((DATE(YEAR($E26),MONTH($E26),1)&lt;=DATE(2026,12,1)),IF((MOD(DATEDIF(DATE(YEAR($E26),MONTH($E26),1),DATE(2026,12,1),"m"),IF($D26="Quarterly",3,IF($D26="Annual",12,1)))=0),IF((COUNTIFS(Xero_Raw!$D$4:$D$5003,$A26,Xero_Raw!$G$4:$G$5003,"*Subscription*",Xero_Raw!$A$4:$A$5003,"&gt;="&amp;DATE(2026,12,1),Xero_Raw!$A$4:$A$5003,"&lt;"&amp;EDATE(DATE(2026,12,1),1))+COUNTIFS(Customer_Invoices_Upload!$E$4:$E$5003,$A26,Customer_Invoices_Upload!$G$4:$G$5003,"*Subscription*",Customer_Invoices_Upload!$B$4:$B$5003,"&gt;="&amp;DATE(2026,12,1),Customer_Invoices_Upload!$B$4:$B$5003,"&lt;"&amp;EDATE(DATE(2026,12,1),1))+COUNTIFS(Stripe_Invoices_Upload!$D$4:$D$5003,$A26,Stripe_Invoices_Upload!$E$4:$E$5003,"*Subscription*",Stripe_Invoices_Upload!$A$4:$A$5003,"&gt;="&amp;DATE(2026,12,1),Stripe_Invoices_Upload!$A$4:$A$5003,"&lt;"&amp;EDATE(DATE(2026,12,1),1)))&gt;0,"✓ Invoiced","⚠ Due"),""),""))</f>
        <v/>
      </c>
      <c r="P26" s="130" t="str">
        <f aca="false">IF($A26="","",IF((DATE(YEAR($E26),MONTH($E26),1)&lt;=DATE(2027,1,1)),IF((MOD(DATEDIF(DATE(YEAR($E26),MONTH($E26),1),DATE(2027,1,1),"m"),IF($D26="Quarterly",3,IF($D26="Annual",12,1)))=0),IF((COUNTIFS(Xero_Raw!$D$4:$D$5003,$A26,Xero_Raw!$G$4:$G$5003,"*Subscription*",Xero_Raw!$A$4:$A$5003,"&gt;="&amp;DATE(2027,1,1),Xero_Raw!$A$4:$A$5003,"&lt;"&amp;EDATE(DATE(2027,1,1),1))+COUNTIFS(Customer_Invoices_Upload!$E$4:$E$5003,$A26,Customer_Invoices_Upload!$G$4:$G$5003,"*Subscription*",Customer_Invoices_Upload!$B$4:$B$5003,"&gt;="&amp;DATE(2027,1,1),Customer_Invoices_Upload!$B$4:$B$5003,"&lt;"&amp;EDATE(DATE(2027,1,1),1))+COUNTIFS(Stripe_Invoices_Upload!$D$4:$D$5003,$A26,Stripe_Invoices_Upload!$E$4:$E$5003,"*Subscription*",Stripe_Invoices_Upload!$A$4:$A$5003,"&gt;="&amp;DATE(2027,1,1),Stripe_Invoices_Upload!$A$4:$A$5003,"&lt;"&amp;EDATE(DATE(2027,1,1),1)))&gt;0,"✓ Invoiced","⚠ Due"),""),""))</f>
        <v/>
      </c>
      <c r="Q26" s="130" t="str">
        <f aca="false">IF($A26="","",IF((DATE(YEAR($E26),MONTH($E26),1)&lt;=DATE(2027,2,1)),IF((MOD(DATEDIF(DATE(YEAR($E26),MONTH($E26),1),DATE(2027,2,1),"m"),IF($D26="Quarterly",3,IF($D26="Annual",12,1)))=0),IF((COUNTIFS(Xero_Raw!$D$4:$D$5003,$A26,Xero_Raw!$G$4:$G$5003,"*Subscription*",Xero_Raw!$A$4:$A$5003,"&gt;="&amp;DATE(2027,2,1),Xero_Raw!$A$4:$A$5003,"&lt;"&amp;EDATE(DATE(2027,2,1),1))+COUNTIFS(Customer_Invoices_Upload!$E$4:$E$5003,$A26,Customer_Invoices_Upload!$G$4:$G$5003,"*Subscription*",Customer_Invoices_Upload!$B$4:$B$5003,"&gt;="&amp;DATE(2027,2,1),Customer_Invoices_Upload!$B$4:$B$5003,"&lt;"&amp;EDATE(DATE(2027,2,1),1))+COUNTIFS(Stripe_Invoices_Upload!$D$4:$D$5003,$A26,Stripe_Invoices_Upload!$E$4:$E$5003,"*Subscription*",Stripe_Invoices_Upload!$A$4:$A$5003,"&gt;="&amp;DATE(2027,2,1),Stripe_Invoices_Upload!$A$4:$A$5003,"&lt;"&amp;EDATE(DATE(2027,2,1),1)))&gt;0,"✓ Invoiced","⚠ Due"),""),""))</f>
        <v/>
      </c>
      <c r="R26" s="130" t="str">
        <f aca="false">IF($A26="","",IF((DATE(YEAR($E26),MONTH($E26),1)&lt;=DATE(2027,3,1)),IF((MOD(DATEDIF(DATE(YEAR($E26),MONTH($E26),1),DATE(2027,3,1),"m"),IF($D26="Quarterly",3,IF($D26="Annual",12,1)))=0),IF((COUNTIFS(Xero_Raw!$D$4:$D$5003,$A26,Xero_Raw!$G$4:$G$5003,"*Subscription*",Xero_Raw!$A$4:$A$5003,"&gt;="&amp;DATE(2027,3,1),Xero_Raw!$A$4:$A$5003,"&lt;"&amp;EDATE(DATE(2027,3,1),1))+COUNTIFS(Customer_Invoices_Upload!$E$4:$E$5003,$A26,Customer_Invoices_Upload!$G$4:$G$5003,"*Subscription*",Customer_Invoices_Upload!$B$4:$B$5003,"&gt;="&amp;DATE(2027,3,1),Customer_Invoices_Upload!$B$4:$B$5003,"&lt;"&amp;EDATE(DATE(2027,3,1),1))+COUNTIFS(Stripe_Invoices_Upload!$D$4:$D$5003,$A26,Stripe_Invoices_Upload!$E$4:$E$5003,"*Subscription*",Stripe_Invoices_Upload!$A$4:$A$5003,"&gt;="&amp;DATE(2027,3,1),Stripe_Invoices_Upload!$A$4:$A$5003,"&lt;"&amp;EDATE(DATE(2027,3,1),1)))&gt;0,"✓ Invoiced","⚠ Due"),""),""))</f>
        <v/>
      </c>
    </row>
    <row r="27" customFormat="false" ht="15" hidden="false" customHeight="false" outlineLevel="0" collapsed="false">
      <c r="A27" s="39"/>
      <c r="B27" s="39"/>
      <c r="C27" s="40"/>
      <c r="D27" s="39"/>
      <c r="E27" s="38"/>
      <c r="F27" s="129" t="str">
        <f aca="true">IF($A27="","",EDATE($E27,DATEDIF($E27,TODAY(),"m")+1))</f>
        <v/>
      </c>
      <c r="G27" s="130" t="str">
        <f aca="false">IF($A27="","",IF((DATE(YEAR($E27),MONTH($E27),1)&lt;=DATE(2026,4,1)),IF((MOD(DATEDIF(DATE(YEAR($E27),MONTH($E27),1),DATE(2026,4,1),"m"),IF($D27="Quarterly",3,IF($D27="Annual",12,1)))=0),IF((COUNTIFS(Xero_Raw!$D$4:$D$5003,$A27,Xero_Raw!$G$4:$G$5003,"*Subscription*",Xero_Raw!$A$4:$A$5003,"&gt;="&amp;DATE(2026,4,1),Xero_Raw!$A$4:$A$5003,"&lt;"&amp;EDATE(DATE(2026,4,1),1))+COUNTIFS(Customer_Invoices_Upload!$E$4:$E$5003,$A27,Customer_Invoices_Upload!$G$4:$G$5003,"*Subscription*",Customer_Invoices_Upload!$B$4:$B$5003,"&gt;="&amp;DATE(2026,4,1),Customer_Invoices_Upload!$B$4:$B$5003,"&lt;"&amp;EDATE(DATE(2026,4,1),1))+COUNTIFS(Stripe_Invoices_Upload!$D$4:$D$5003,$A27,Stripe_Invoices_Upload!$E$4:$E$5003,"*Subscription*",Stripe_Invoices_Upload!$A$4:$A$5003,"&gt;="&amp;DATE(2026,4,1),Stripe_Invoices_Upload!$A$4:$A$5003,"&lt;"&amp;EDATE(DATE(2026,4,1),1)))&gt;0,"✓ Invoiced","⚠ Due"),""),""))</f>
        <v/>
      </c>
      <c r="H27" s="130" t="str">
        <f aca="false">IF($A27="","",IF((DATE(YEAR($E27),MONTH($E27),1)&lt;=DATE(2026,5,1)),IF((MOD(DATEDIF(DATE(YEAR($E27),MONTH($E27),1),DATE(2026,5,1),"m"),IF($D27="Quarterly",3,IF($D27="Annual",12,1)))=0),IF((COUNTIFS(Xero_Raw!$D$4:$D$5003,$A27,Xero_Raw!$G$4:$G$5003,"*Subscription*",Xero_Raw!$A$4:$A$5003,"&gt;="&amp;DATE(2026,5,1),Xero_Raw!$A$4:$A$5003,"&lt;"&amp;EDATE(DATE(2026,5,1),1))+COUNTIFS(Customer_Invoices_Upload!$E$4:$E$5003,$A27,Customer_Invoices_Upload!$G$4:$G$5003,"*Subscription*",Customer_Invoices_Upload!$B$4:$B$5003,"&gt;="&amp;DATE(2026,5,1),Customer_Invoices_Upload!$B$4:$B$5003,"&lt;"&amp;EDATE(DATE(2026,5,1),1))+COUNTIFS(Stripe_Invoices_Upload!$D$4:$D$5003,$A27,Stripe_Invoices_Upload!$E$4:$E$5003,"*Subscription*",Stripe_Invoices_Upload!$A$4:$A$5003,"&gt;="&amp;DATE(2026,5,1),Stripe_Invoices_Upload!$A$4:$A$5003,"&lt;"&amp;EDATE(DATE(2026,5,1),1)))&gt;0,"✓ Invoiced","⚠ Due"),""),""))</f>
        <v/>
      </c>
      <c r="I27" s="130" t="str">
        <f aca="false">IF($A27="","",IF((DATE(YEAR($E27),MONTH($E27),1)&lt;=DATE(2026,6,1)),IF((MOD(DATEDIF(DATE(YEAR($E27),MONTH($E27),1),DATE(2026,6,1),"m"),IF($D27="Quarterly",3,IF($D27="Annual",12,1)))=0),IF((COUNTIFS(Xero_Raw!$D$4:$D$5003,$A27,Xero_Raw!$G$4:$G$5003,"*Subscription*",Xero_Raw!$A$4:$A$5003,"&gt;="&amp;DATE(2026,6,1),Xero_Raw!$A$4:$A$5003,"&lt;"&amp;EDATE(DATE(2026,6,1),1))+COUNTIFS(Customer_Invoices_Upload!$E$4:$E$5003,$A27,Customer_Invoices_Upload!$G$4:$G$5003,"*Subscription*",Customer_Invoices_Upload!$B$4:$B$5003,"&gt;="&amp;DATE(2026,6,1),Customer_Invoices_Upload!$B$4:$B$5003,"&lt;"&amp;EDATE(DATE(2026,6,1),1))+COUNTIFS(Stripe_Invoices_Upload!$D$4:$D$5003,$A27,Stripe_Invoices_Upload!$E$4:$E$5003,"*Subscription*",Stripe_Invoices_Upload!$A$4:$A$5003,"&gt;="&amp;DATE(2026,6,1),Stripe_Invoices_Upload!$A$4:$A$5003,"&lt;"&amp;EDATE(DATE(2026,6,1),1)))&gt;0,"✓ Invoiced","⚠ Due"),""),""))</f>
        <v/>
      </c>
      <c r="J27" s="130" t="str">
        <f aca="false">IF($A27="","",IF((DATE(YEAR($E27),MONTH($E27),1)&lt;=DATE(2026,7,1)),IF((MOD(DATEDIF(DATE(YEAR($E27),MONTH($E27),1),DATE(2026,7,1),"m"),IF($D27="Quarterly",3,IF($D27="Annual",12,1)))=0),IF((COUNTIFS(Xero_Raw!$D$4:$D$5003,$A27,Xero_Raw!$G$4:$G$5003,"*Subscription*",Xero_Raw!$A$4:$A$5003,"&gt;="&amp;DATE(2026,7,1),Xero_Raw!$A$4:$A$5003,"&lt;"&amp;EDATE(DATE(2026,7,1),1))+COUNTIFS(Customer_Invoices_Upload!$E$4:$E$5003,$A27,Customer_Invoices_Upload!$G$4:$G$5003,"*Subscription*",Customer_Invoices_Upload!$B$4:$B$5003,"&gt;="&amp;DATE(2026,7,1),Customer_Invoices_Upload!$B$4:$B$5003,"&lt;"&amp;EDATE(DATE(2026,7,1),1))+COUNTIFS(Stripe_Invoices_Upload!$D$4:$D$5003,$A27,Stripe_Invoices_Upload!$E$4:$E$5003,"*Subscription*",Stripe_Invoices_Upload!$A$4:$A$5003,"&gt;="&amp;DATE(2026,7,1),Stripe_Invoices_Upload!$A$4:$A$5003,"&lt;"&amp;EDATE(DATE(2026,7,1),1)))&gt;0,"✓ Invoiced","⚠ Due"),""),""))</f>
        <v/>
      </c>
      <c r="K27" s="130" t="str">
        <f aca="false">IF($A27="","",IF((DATE(YEAR($E27),MONTH($E27),1)&lt;=DATE(2026,8,1)),IF((MOD(DATEDIF(DATE(YEAR($E27),MONTH($E27),1),DATE(2026,8,1),"m"),IF($D27="Quarterly",3,IF($D27="Annual",12,1)))=0),IF((COUNTIFS(Xero_Raw!$D$4:$D$5003,$A27,Xero_Raw!$G$4:$G$5003,"*Subscription*",Xero_Raw!$A$4:$A$5003,"&gt;="&amp;DATE(2026,8,1),Xero_Raw!$A$4:$A$5003,"&lt;"&amp;EDATE(DATE(2026,8,1),1))+COUNTIFS(Customer_Invoices_Upload!$E$4:$E$5003,$A27,Customer_Invoices_Upload!$G$4:$G$5003,"*Subscription*",Customer_Invoices_Upload!$B$4:$B$5003,"&gt;="&amp;DATE(2026,8,1),Customer_Invoices_Upload!$B$4:$B$5003,"&lt;"&amp;EDATE(DATE(2026,8,1),1))+COUNTIFS(Stripe_Invoices_Upload!$D$4:$D$5003,$A27,Stripe_Invoices_Upload!$E$4:$E$5003,"*Subscription*",Stripe_Invoices_Upload!$A$4:$A$5003,"&gt;="&amp;DATE(2026,8,1),Stripe_Invoices_Upload!$A$4:$A$5003,"&lt;"&amp;EDATE(DATE(2026,8,1),1)))&gt;0,"✓ Invoiced","⚠ Due"),""),""))</f>
        <v/>
      </c>
      <c r="L27" s="130" t="str">
        <f aca="false">IF($A27="","",IF((DATE(YEAR($E27),MONTH($E27),1)&lt;=DATE(2026,9,1)),IF((MOD(DATEDIF(DATE(YEAR($E27),MONTH($E27),1),DATE(2026,9,1),"m"),IF($D27="Quarterly",3,IF($D27="Annual",12,1)))=0),IF((COUNTIFS(Xero_Raw!$D$4:$D$5003,$A27,Xero_Raw!$G$4:$G$5003,"*Subscription*",Xero_Raw!$A$4:$A$5003,"&gt;="&amp;DATE(2026,9,1),Xero_Raw!$A$4:$A$5003,"&lt;"&amp;EDATE(DATE(2026,9,1),1))+COUNTIFS(Customer_Invoices_Upload!$E$4:$E$5003,$A27,Customer_Invoices_Upload!$G$4:$G$5003,"*Subscription*",Customer_Invoices_Upload!$B$4:$B$5003,"&gt;="&amp;DATE(2026,9,1),Customer_Invoices_Upload!$B$4:$B$5003,"&lt;"&amp;EDATE(DATE(2026,9,1),1))+COUNTIFS(Stripe_Invoices_Upload!$D$4:$D$5003,$A27,Stripe_Invoices_Upload!$E$4:$E$5003,"*Subscription*",Stripe_Invoices_Upload!$A$4:$A$5003,"&gt;="&amp;DATE(2026,9,1),Stripe_Invoices_Upload!$A$4:$A$5003,"&lt;"&amp;EDATE(DATE(2026,9,1),1)))&gt;0,"✓ Invoiced","⚠ Due"),""),""))</f>
        <v/>
      </c>
      <c r="M27" s="130" t="str">
        <f aca="false">IF($A27="","",IF((DATE(YEAR($E27),MONTH($E27),1)&lt;=DATE(2026,10,1)),IF((MOD(DATEDIF(DATE(YEAR($E27),MONTH($E27),1),DATE(2026,10,1),"m"),IF($D27="Quarterly",3,IF($D27="Annual",12,1)))=0),IF((COUNTIFS(Xero_Raw!$D$4:$D$5003,$A27,Xero_Raw!$G$4:$G$5003,"*Subscription*",Xero_Raw!$A$4:$A$5003,"&gt;="&amp;DATE(2026,10,1),Xero_Raw!$A$4:$A$5003,"&lt;"&amp;EDATE(DATE(2026,10,1),1))+COUNTIFS(Customer_Invoices_Upload!$E$4:$E$5003,$A27,Customer_Invoices_Upload!$G$4:$G$5003,"*Subscription*",Customer_Invoices_Upload!$B$4:$B$5003,"&gt;="&amp;DATE(2026,10,1),Customer_Invoices_Upload!$B$4:$B$5003,"&lt;"&amp;EDATE(DATE(2026,10,1),1))+COUNTIFS(Stripe_Invoices_Upload!$D$4:$D$5003,$A27,Stripe_Invoices_Upload!$E$4:$E$5003,"*Subscription*",Stripe_Invoices_Upload!$A$4:$A$5003,"&gt;="&amp;DATE(2026,10,1),Stripe_Invoices_Upload!$A$4:$A$5003,"&lt;"&amp;EDATE(DATE(2026,10,1),1)))&gt;0,"✓ Invoiced","⚠ Due"),""),""))</f>
        <v/>
      </c>
      <c r="N27" s="130" t="str">
        <f aca="false">IF($A27="","",IF((DATE(YEAR($E27),MONTH($E27),1)&lt;=DATE(2026,11,1)),IF((MOD(DATEDIF(DATE(YEAR($E27),MONTH($E27),1),DATE(2026,11,1),"m"),IF($D27="Quarterly",3,IF($D27="Annual",12,1)))=0),IF((COUNTIFS(Xero_Raw!$D$4:$D$5003,$A27,Xero_Raw!$G$4:$G$5003,"*Subscription*",Xero_Raw!$A$4:$A$5003,"&gt;="&amp;DATE(2026,11,1),Xero_Raw!$A$4:$A$5003,"&lt;"&amp;EDATE(DATE(2026,11,1),1))+COUNTIFS(Customer_Invoices_Upload!$E$4:$E$5003,$A27,Customer_Invoices_Upload!$G$4:$G$5003,"*Subscription*",Customer_Invoices_Upload!$B$4:$B$5003,"&gt;="&amp;DATE(2026,11,1),Customer_Invoices_Upload!$B$4:$B$5003,"&lt;"&amp;EDATE(DATE(2026,11,1),1))+COUNTIFS(Stripe_Invoices_Upload!$D$4:$D$5003,$A27,Stripe_Invoices_Upload!$E$4:$E$5003,"*Subscription*",Stripe_Invoices_Upload!$A$4:$A$5003,"&gt;="&amp;DATE(2026,11,1),Stripe_Invoices_Upload!$A$4:$A$5003,"&lt;"&amp;EDATE(DATE(2026,11,1),1)))&gt;0,"✓ Invoiced","⚠ Due"),""),""))</f>
        <v/>
      </c>
      <c r="O27" s="130" t="str">
        <f aca="false">IF($A27="","",IF((DATE(YEAR($E27),MONTH($E27),1)&lt;=DATE(2026,12,1)),IF((MOD(DATEDIF(DATE(YEAR($E27),MONTH($E27),1),DATE(2026,12,1),"m"),IF($D27="Quarterly",3,IF($D27="Annual",12,1)))=0),IF((COUNTIFS(Xero_Raw!$D$4:$D$5003,$A27,Xero_Raw!$G$4:$G$5003,"*Subscription*",Xero_Raw!$A$4:$A$5003,"&gt;="&amp;DATE(2026,12,1),Xero_Raw!$A$4:$A$5003,"&lt;"&amp;EDATE(DATE(2026,12,1),1))+COUNTIFS(Customer_Invoices_Upload!$E$4:$E$5003,$A27,Customer_Invoices_Upload!$G$4:$G$5003,"*Subscription*",Customer_Invoices_Upload!$B$4:$B$5003,"&gt;="&amp;DATE(2026,12,1),Customer_Invoices_Upload!$B$4:$B$5003,"&lt;"&amp;EDATE(DATE(2026,12,1),1))+COUNTIFS(Stripe_Invoices_Upload!$D$4:$D$5003,$A27,Stripe_Invoices_Upload!$E$4:$E$5003,"*Subscription*",Stripe_Invoices_Upload!$A$4:$A$5003,"&gt;="&amp;DATE(2026,12,1),Stripe_Invoices_Upload!$A$4:$A$5003,"&lt;"&amp;EDATE(DATE(2026,12,1),1)))&gt;0,"✓ Invoiced","⚠ Due"),""),""))</f>
        <v/>
      </c>
      <c r="P27" s="130" t="str">
        <f aca="false">IF($A27="","",IF((DATE(YEAR($E27),MONTH($E27),1)&lt;=DATE(2027,1,1)),IF((MOD(DATEDIF(DATE(YEAR($E27),MONTH($E27),1),DATE(2027,1,1),"m"),IF($D27="Quarterly",3,IF($D27="Annual",12,1)))=0),IF((COUNTIFS(Xero_Raw!$D$4:$D$5003,$A27,Xero_Raw!$G$4:$G$5003,"*Subscription*",Xero_Raw!$A$4:$A$5003,"&gt;="&amp;DATE(2027,1,1),Xero_Raw!$A$4:$A$5003,"&lt;"&amp;EDATE(DATE(2027,1,1),1))+COUNTIFS(Customer_Invoices_Upload!$E$4:$E$5003,$A27,Customer_Invoices_Upload!$G$4:$G$5003,"*Subscription*",Customer_Invoices_Upload!$B$4:$B$5003,"&gt;="&amp;DATE(2027,1,1),Customer_Invoices_Upload!$B$4:$B$5003,"&lt;"&amp;EDATE(DATE(2027,1,1),1))+COUNTIFS(Stripe_Invoices_Upload!$D$4:$D$5003,$A27,Stripe_Invoices_Upload!$E$4:$E$5003,"*Subscription*",Stripe_Invoices_Upload!$A$4:$A$5003,"&gt;="&amp;DATE(2027,1,1),Stripe_Invoices_Upload!$A$4:$A$5003,"&lt;"&amp;EDATE(DATE(2027,1,1),1)))&gt;0,"✓ Invoiced","⚠ Due"),""),""))</f>
        <v/>
      </c>
      <c r="Q27" s="130" t="str">
        <f aca="false">IF($A27="","",IF((DATE(YEAR($E27),MONTH($E27),1)&lt;=DATE(2027,2,1)),IF((MOD(DATEDIF(DATE(YEAR($E27),MONTH($E27),1),DATE(2027,2,1),"m"),IF($D27="Quarterly",3,IF($D27="Annual",12,1)))=0),IF((COUNTIFS(Xero_Raw!$D$4:$D$5003,$A27,Xero_Raw!$G$4:$G$5003,"*Subscription*",Xero_Raw!$A$4:$A$5003,"&gt;="&amp;DATE(2027,2,1),Xero_Raw!$A$4:$A$5003,"&lt;"&amp;EDATE(DATE(2027,2,1),1))+COUNTIFS(Customer_Invoices_Upload!$E$4:$E$5003,$A27,Customer_Invoices_Upload!$G$4:$G$5003,"*Subscription*",Customer_Invoices_Upload!$B$4:$B$5003,"&gt;="&amp;DATE(2027,2,1),Customer_Invoices_Upload!$B$4:$B$5003,"&lt;"&amp;EDATE(DATE(2027,2,1),1))+COUNTIFS(Stripe_Invoices_Upload!$D$4:$D$5003,$A27,Stripe_Invoices_Upload!$E$4:$E$5003,"*Subscription*",Stripe_Invoices_Upload!$A$4:$A$5003,"&gt;="&amp;DATE(2027,2,1),Stripe_Invoices_Upload!$A$4:$A$5003,"&lt;"&amp;EDATE(DATE(2027,2,1),1)))&gt;0,"✓ Invoiced","⚠ Due"),""),""))</f>
        <v/>
      </c>
      <c r="R27" s="130" t="str">
        <f aca="false">IF($A27="","",IF((DATE(YEAR($E27),MONTH($E27),1)&lt;=DATE(2027,3,1)),IF((MOD(DATEDIF(DATE(YEAR($E27),MONTH($E27),1),DATE(2027,3,1),"m"),IF($D27="Quarterly",3,IF($D27="Annual",12,1)))=0),IF((COUNTIFS(Xero_Raw!$D$4:$D$5003,$A27,Xero_Raw!$G$4:$G$5003,"*Subscription*",Xero_Raw!$A$4:$A$5003,"&gt;="&amp;DATE(2027,3,1),Xero_Raw!$A$4:$A$5003,"&lt;"&amp;EDATE(DATE(2027,3,1),1))+COUNTIFS(Customer_Invoices_Upload!$E$4:$E$5003,$A27,Customer_Invoices_Upload!$G$4:$G$5003,"*Subscription*",Customer_Invoices_Upload!$B$4:$B$5003,"&gt;="&amp;DATE(2027,3,1),Customer_Invoices_Upload!$B$4:$B$5003,"&lt;"&amp;EDATE(DATE(2027,3,1),1))+COUNTIFS(Stripe_Invoices_Upload!$D$4:$D$5003,$A27,Stripe_Invoices_Upload!$E$4:$E$5003,"*Subscription*",Stripe_Invoices_Upload!$A$4:$A$5003,"&gt;="&amp;DATE(2027,3,1),Stripe_Invoices_Upload!$A$4:$A$5003,"&lt;"&amp;EDATE(DATE(2027,3,1),1)))&gt;0,"✓ Invoiced","⚠ Due"),""),""))</f>
        <v/>
      </c>
    </row>
    <row r="28" customFormat="false" ht="15" hidden="false" customHeight="false" outlineLevel="0" collapsed="false">
      <c r="A28" s="39"/>
      <c r="B28" s="39"/>
      <c r="C28" s="40"/>
      <c r="D28" s="39"/>
      <c r="E28" s="38"/>
      <c r="F28" s="129" t="str">
        <f aca="true">IF($A28="","",EDATE($E28,DATEDIF($E28,TODAY(),"m")+1))</f>
        <v/>
      </c>
      <c r="G28" s="130" t="str">
        <f aca="false">IF($A28="","",IF((DATE(YEAR($E28),MONTH($E28),1)&lt;=DATE(2026,4,1)),IF((MOD(DATEDIF(DATE(YEAR($E28),MONTH($E28),1),DATE(2026,4,1),"m"),IF($D28="Quarterly",3,IF($D28="Annual",12,1)))=0),IF((COUNTIFS(Xero_Raw!$D$4:$D$5003,$A28,Xero_Raw!$G$4:$G$5003,"*Subscription*",Xero_Raw!$A$4:$A$5003,"&gt;="&amp;DATE(2026,4,1),Xero_Raw!$A$4:$A$5003,"&lt;"&amp;EDATE(DATE(2026,4,1),1))+COUNTIFS(Customer_Invoices_Upload!$E$4:$E$5003,$A28,Customer_Invoices_Upload!$G$4:$G$5003,"*Subscription*",Customer_Invoices_Upload!$B$4:$B$5003,"&gt;="&amp;DATE(2026,4,1),Customer_Invoices_Upload!$B$4:$B$5003,"&lt;"&amp;EDATE(DATE(2026,4,1),1))+COUNTIFS(Stripe_Invoices_Upload!$D$4:$D$5003,$A28,Stripe_Invoices_Upload!$E$4:$E$5003,"*Subscription*",Stripe_Invoices_Upload!$A$4:$A$5003,"&gt;="&amp;DATE(2026,4,1),Stripe_Invoices_Upload!$A$4:$A$5003,"&lt;"&amp;EDATE(DATE(2026,4,1),1)))&gt;0,"✓ Invoiced","⚠ Due"),""),""))</f>
        <v/>
      </c>
      <c r="H28" s="130" t="str">
        <f aca="false">IF($A28="","",IF((DATE(YEAR($E28),MONTH($E28),1)&lt;=DATE(2026,5,1)),IF((MOD(DATEDIF(DATE(YEAR($E28),MONTH($E28),1),DATE(2026,5,1),"m"),IF($D28="Quarterly",3,IF($D28="Annual",12,1)))=0),IF((COUNTIFS(Xero_Raw!$D$4:$D$5003,$A28,Xero_Raw!$G$4:$G$5003,"*Subscription*",Xero_Raw!$A$4:$A$5003,"&gt;="&amp;DATE(2026,5,1),Xero_Raw!$A$4:$A$5003,"&lt;"&amp;EDATE(DATE(2026,5,1),1))+COUNTIFS(Customer_Invoices_Upload!$E$4:$E$5003,$A28,Customer_Invoices_Upload!$G$4:$G$5003,"*Subscription*",Customer_Invoices_Upload!$B$4:$B$5003,"&gt;="&amp;DATE(2026,5,1),Customer_Invoices_Upload!$B$4:$B$5003,"&lt;"&amp;EDATE(DATE(2026,5,1),1))+COUNTIFS(Stripe_Invoices_Upload!$D$4:$D$5003,$A28,Stripe_Invoices_Upload!$E$4:$E$5003,"*Subscription*",Stripe_Invoices_Upload!$A$4:$A$5003,"&gt;="&amp;DATE(2026,5,1),Stripe_Invoices_Upload!$A$4:$A$5003,"&lt;"&amp;EDATE(DATE(2026,5,1),1)))&gt;0,"✓ Invoiced","⚠ Due"),""),""))</f>
        <v/>
      </c>
      <c r="I28" s="130" t="str">
        <f aca="false">IF($A28="","",IF((DATE(YEAR($E28),MONTH($E28),1)&lt;=DATE(2026,6,1)),IF((MOD(DATEDIF(DATE(YEAR($E28),MONTH($E28),1),DATE(2026,6,1),"m"),IF($D28="Quarterly",3,IF($D28="Annual",12,1)))=0),IF((COUNTIFS(Xero_Raw!$D$4:$D$5003,$A28,Xero_Raw!$G$4:$G$5003,"*Subscription*",Xero_Raw!$A$4:$A$5003,"&gt;="&amp;DATE(2026,6,1),Xero_Raw!$A$4:$A$5003,"&lt;"&amp;EDATE(DATE(2026,6,1),1))+COUNTIFS(Customer_Invoices_Upload!$E$4:$E$5003,$A28,Customer_Invoices_Upload!$G$4:$G$5003,"*Subscription*",Customer_Invoices_Upload!$B$4:$B$5003,"&gt;="&amp;DATE(2026,6,1),Customer_Invoices_Upload!$B$4:$B$5003,"&lt;"&amp;EDATE(DATE(2026,6,1),1))+COUNTIFS(Stripe_Invoices_Upload!$D$4:$D$5003,$A28,Stripe_Invoices_Upload!$E$4:$E$5003,"*Subscription*",Stripe_Invoices_Upload!$A$4:$A$5003,"&gt;="&amp;DATE(2026,6,1),Stripe_Invoices_Upload!$A$4:$A$5003,"&lt;"&amp;EDATE(DATE(2026,6,1),1)))&gt;0,"✓ Invoiced","⚠ Due"),""),""))</f>
        <v/>
      </c>
      <c r="J28" s="130" t="str">
        <f aca="false">IF($A28="","",IF((DATE(YEAR($E28),MONTH($E28),1)&lt;=DATE(2026,7,1)),IF((MOD(DATEDIF(DATE(YEAR($E28),MONTH($E28),1),DATE(2026,7,1),"m"),IF($D28="Quarterly",3,IF($D28="Annual",12,1)))=0),IF((COUNTIFS(Xero_Raw!$D$4:$D$5003,$A28,Xero_Raw!$G$4:$G$5003,"*Subscription*",Xero_Raw!$A$4:$A$5003,"&gt;="&amp;DATE(2026,7,1),Xero_Raw!$A$4:$A$5003,"&lt;"&amp;EDATE(DATE(2026,7,1),1))+COUNTIFS(Customer_Invoices_Upload!$E$4:$E$5003,$A28,Customer_Invoices_Upload!$G$4:$G$5003,"*Subscription*",Customer_Invoices_Upload!$B$4:$B$5003,"&gt;="&amp;DATE(2026,7,1),Customer_Invoices_Upload!$B$4:$B$5003,"&lt;"&amp;EDATE(DATE(2026,7,1),1))+COUNTIFS(Stripe_Invoices_Upload!$D$4:$D$5003,$A28,Stripe_Invoices_Upload!$E$4:$E$5003,"*Subscription*",Stripe_Invoices_Upload!$A$4:$A$5003,"&gt;="&amp;DATE(2026,7,1),Stripe_Invoices_Upload!$A$4:$A$5003,"&lt;"&amp;EDATE(DATE(2026,7,1),1)))&gt;0,"✓ Invoiced","⚠ Due"),""),""))</f>
        <v/>
      </c>
      <c r="K28" s="130" t="str">
        <f aca="false">IF($A28="","",IF((DATE(YEAR($E28),MONTH($E28),1)&lt;=DATE(2026,8,1)),IF((MOD(DATEDIF(DATE(YEAR($E28),MONTH($E28),1),DATE(2026,8,1),"m"),IF($D28="Quarterly",3,IF($D28="Annual",12,1)))=0),IF((COUNTIFS(Xero_Raw!$D$4:$D$5003,$A28,Xero_Raw!$G$4:$G$5003,"*Subscription*",Xero_Raw!$A$4:$A$5003,"&gt;="&amp;DATE(2026,8,1),Xero_Raw!$A$4:$A$5003,"&lt;"&amp;EDATE(DATE(2026,8,1),1))+COUNTIFS(Customer_Invoices_Upload!$E$4:$E$5003,$A28,Customer_Invoices_Upload!$G$4:$G$5003,"*Subscription*",Customer_Invoices_Upload!$B$4:$B$5003,"&gt;="&amp;DATE(2026,8,1),Customer_Invoices_Upload!$B$4:$B$5003,"&lt;"&amp;EDATE(DATE(2026,8,1),1))+COUNTIFS(Stripe_Invoices_Upload!$D$4:$D$5003,$A28,Stripe_Invoices_Upload!$E$4:$E$5003,"*Subscription*",Stripe_Invoices_Upload!$A$4:$A$5003,"&gt;="&amp;DATE(2026,8,1),Stripe_Invoices_Upload!$A$4:$A$5003,"&lt;"&amp;EDATE(DATE(2026,8,1),1)))&gt;0,"✓ Invoiced","⚠ Due"),""),""))</f>
        <v/>
      </c>
      <c r="L28" s="130" t="str">
        <f aca="false">IF($A28="","",IF((DATE(YEAR($E28),MONTH($E28),1)&lt;=DATE(2026,9,1)),IF((MOD(DATEDIF(DATE(YEAR($E28),MONTH($E28),1),DATE(2026,9,1),"m"),IF($D28="Quarterly",3,IF($D28="Annual",12,1)))=0),IF((COUNTIFS(Xero_Raw!$D$4:$D$5003,$A28,Xero_Raw!$G$4:$G$5003,"*Subscription*",Xero_Raw!$A$4:$A$5003,"&gt;="&amp;DATE(2026,9,1),Xero_Raw!$A$4:$A$5003,"&lt;"&amp;EDATE(DATE(2026,9,1),1))+COUNTIFS(Customer_Invoices_Upload!$E$4:$E$5003,$A28,Customer_Invoices_Upload!$G$4:$G$5003,"*Subscription*",Customer_Invoices_Upload!$B$4:$B$5003,"&gt;="&amp;DATE(2026,9,1),Customer_Invoices_Upload!$B$4:$B$5003,"&lt;"&amp;EDATE(DATE(2026,9,1),1))+COUNTIFS(Stripe_Invoices_Upload!$D$4:$D$5003,$A28,Stripe_Invoices_Upload!$E$4:$E$5003,"*Subscription*",Stripe_Invoices_Upload!$A$4:$A$5003,"&gt;="&amp;DATE(2026,9,1),Stripe_Invoices_Upload!$A$4:$A$5003,"&lt;"&amp;EDATE(DATE(2026,9,1),1)))&gt;0,"✓ Invoiced","⚠ Due"),""),""))</f>
        <v/>
      </c>
      <c r="M28" s="130" t="str">
        <f aca="false">IF($A28="","",IF((DATE(YEAR($E28),MONTH($E28),1)&lt;=DATE(2026,10,1)),IF((MOD(DATEDIF(DATE(YEAR($E28),MONTH($E28),1),DATE(2026,10,1),"m"),IF($D28="Quarterly",3,IF($D28="Annual",12,1)))=0),IF((COUNTIFS(Xero_Raw!$D$4:$D$5003,$A28,Xero_Raw!$G$4:$G$5003,"*Subscription*",Xero_Raw!$A$4:$A$5003,"&gt;="&amp;DATE(2026,10,1),Xero_Raw!$A$4:$A$5003,"&lt;"&amp;EDATE(DATE(2026,10,1),1))+COUNTIFS(Customer_Invoices_Upload!$E$4:$E$5003,$A28,Customer_Invoices_Upload!$G$4:$G$5003,"*Subscription*",Customer_Invoices_Upload!$B$4:$B$5003,"&gt;="&amp;DATE(2026,10,1),Customer_Invoices_Upload!$B$4:$B$5003,"&lt;"&amp;EDATE(DATE(2026,10,1),1))+COUNTIFS(Stripe_Invoices_Upload!$D$4:$D$5003,$A28,Stripe_Invoices_Upload!$E$4:$E$5003,"*Subscription*",Stripe_Invoices_Upload!$A$4:$A$5003,"&gt;="&amp;DATE(2026,10,1),Stripe_Invoices_Upload!$A$4:$A$5003,"&lt;"&amp;EDATE(DATE(2026,10,1),1)))&gt;0,"✓ Invoiced","⚠ Due"),""),""))</f>
        <v/>
      </c>
      <c r="N28" s="130" t="str">
        <f aca="false">IF($A28="","",IF((DATE(YEAR($E28),MONTH($E28),1)&lt;=DATE(2026,11,1)),IF((MOD(DATEDIF(DATE(YEAR($E28),MONTH($E28),1),DATE(2026,11,1),"m"),IF($D28="Quarterly",3,IF($D28="Annual",12,1)))=0),IF((COUNTIFS(Xero_Raw!$D$4:$D$5003,$A28,Xero_Raw!$G$4:$G$5003,"*Subscription*",Xero_Raw!$A$4:$A$5003,"&gt;="&amp;DATE(2026,11,1),Xero_Raw!$A$4:$A$5003,"&lt;"&amp;EDATE(DATE(2026,11,1),1))+COUNTIFS(Customer_Invoices_Upload!$E$4:$E$5003,$A28,Customer_Invoices_Upload!$G$4:$G$5003,"*Subscription*",Customer_Invoices_Upload!$B$4:$B$5003,"&gt;="&amp;DATE(2026,11,1),Customer_Invoices_Upload!$B$4:$B$5003,"&lt;"&amp;EDATE(DATE(2026,11,1),1))+COUNTIFS(Stripe_Invoices_Upload!$D$4:$D$5003,$A28,Stripe_Invoices_Upload!$E$4:$E$5003,"*Subscription*",Stripe_Invoices_Upload!$A$4:$A$5003,"&gt;="&amp;DATE(2026,11,1),Stripe_Invoices_Upload!$A$4:$A$5003,"&lt;"&amp;EDATE(DATE(2026,11,1),1)))&gt;0,"✓ Invoiced","⚠ Due"),""),""))</f>
        <v/>
      </c>
      <c r="O28" s="130" t="str">
        <f aca="false">IF($A28="","",IF((DATE(YEAR($E28),MONTH($E28),1)&lt;=DATE(2026,12,1)),IF((MOD(DATEDIF(DATE(YEAR($E28),MONTH($E28),1),DATE(2026,12,1),"m"),IF($D28="Quarterly",3,IF($D28="Annual",12,1)))=0),IF((COUNTIFS(Xero_Raw!$D$4:$D$5003,$A28,Xero_Raw!$G$4:$G$5003,"*Subscription*",Xero_Raw!$A$4:$A$5003,"&gt;="&amp;DATE(2026,12,1),Xero_Raw!$A$4:$A$5003,"&lt;"&amp;EDATE(DATE(2026,12,1),1))+COUNTIFS(Customer_Invoices_Upload!$E$4:$E$5003,$A28,Customer_Invoices_Upload!$G$4:$G$5003,"*Subscription*",Customer_Invoices_Upload!$B$4:$B$5003,"&gt;="&amp;DATE(2026,12,1),Customer_Invoices_Upload!$B$4:$B$5003,"&lt;"&amp;EDATE(DATE(2026,12,1),1))+COUNTIFS(Stripe_Invoices_Upload!$D$4:$D$5003,$A28,Stripe_Invoices_Upload!$E$4:$E$5003,"*Subscription*",Stripe_Invoices_Upload!$A$4:$A$5003,"&gt;="&amp;DATE(2026,12,1),Stripe_Invoices_Upload!$A$4:$A$5003,"&lt;"&amp;EDATE(DATE(2026,12,1),1)))&gt;0,"✓ Invoiced","⚠ Due"),""),""))</f>
        <v/>
      </c>
      <c r="P28" s="130" t="str">
        <f aca="false">IF($A28="","",IF((DATE(YEAR($E28),MONTH($E28),1)&lt;=DATE(2027,1,1)),IF((MOD(DATEDIF(DATE(YEAR($E28),MONTH($E28),1),DATE(2027,1,1),"m"),IF($D28="Quarterly",3,IF($D28="Annual",12,1)))=0),IF((COUNTIFS(Xero_Raw!$D$4:$D$5003,$A28,Xero_Raw!$G$4:$G$5003,"*Subscription*",Xero_Raw!$A$4:$A$5003,"&gt;="&amp;DATE(2027,1,1),Xero_Raw!$A$4:$A$5003,"&lt;"&amp;EDATE(DATE(2027,1,1),1))+COUNTIFS(Customer_Invoices_Upload!$E$4:$E$5003,$A28,Customer_Invoices_Upload!$G$4:$G$5003,"*Subscription*",Customer_Invoices_Upload!$B$4:$B$5003,"&gt;="&amp;DATE(2027,1,1),Customer_Invoices_Upload!$B$4:$B$5003,"&lt;"&amp;EDATE(DATE(2027,1,1),1))+COUNTIFS(Stripe_Invoices_Upload!$D$4:$D$5003,$A28,Stripe_Invoices_Upload!$E$4:$E$5003,"*Subscription*",Stripe_Invoices_Upload!$A$4:$A$5003,"&gt;="&amp;DATE(2027,1,1),Stripe_Invoices_Upload!$A$4:$A$5003,"&lt;"&amp;EDATE(DATE(2027,1,1),1)))&gt;0,"✓ Invoiced","⚠ Due"),""),""))</f>
        <v/>
      </c>
      <c r="Q28" s="130" t="str">
        <f aca="false">IF($A28="","",IF((DATE(YEAR($E28),MONTH($E28),1)&lt;=DATE(2027,2,1)),IF((MOD(DATEDIF(DATE(YEAR($E28),MONTH($E28),1),DATE(2027,2,1),"m"),IF($D28="Quarterly",3,IF($D28="Annual",12,1)))=0),IF((COUNTIFS(Xero_Raw!$D$4:$D$5003,$A28,Xero_Raw!$G$4:$G$5003,"*Subscription*",Xero_Raw!$A$4:$A$5003,"&gt;="&amp;DATE(2027,2,1),Xero_Raw!$A$4:$A$5003,"&lt;"&amp;EDATE(DATE(2027,2,1),1))+COUNTIFS(Customer_Invoices_Upload!$E$4:$E$5003,$A28,Customer_Invoices_Upload!$G$4:$G$5003,"*Subscription*",Customer_Invoices_Upload!$B$4:$B$5003,"&gt;="&amp;DATE(2027,2,1),Customer_Invoices_Upload!$B$4:$B$5003,"&lt;"&amp;EDATE(DATE(2027,2,1),1))+COUNTIFS(Stripe_Invoices_Upload!$D$4:$D$5003,$A28,Stripe_Invoices_Upload!$E$4:$E$5003,"*Subscription*",Stripe_Invoices_Upload!$A$4:$A$5003,"&gt;="&amp;DATE(2027,2,1),Stripe_Invoices_Upload!$A$4:$A$5003,"&lt;"&amp;EDATE(DATE(2027,2,1),1)))&gt;0,"✓ Invoiced","⚠ Due"),""),""))</f>
        <v/>
      </c>
      <c r="R28" s="130" t="str">
        <f aca="false">IF($A28="","",IF((DATE(YEAR($E28),MONTH($E28),1)&lt;=DATE(2027,3,1)),IF((MOD(DATEDIF(DATE(YEAR($E28),MONTH($E28),1),DATE(2027,3,1),"m"),IF($D28="Quarterly",3,IF($D28="Annual",12,1)))=0),IF((COUNTIFS(Xero_Raw!$D$4:$D$5003,$A28,Xero_Raw!$G$4:$G$5003,"*Subscription*",Xero_Raw!$A$4:$A$5003,"&gt;="&amp;DATE(2027,3,1),Xero_Raw!$A$4:$A$5003,"&lt;"&amp;EDATE(DATE(2027,3,1),1))+COUNTIFS(Customer_Invoices_Upload!$E$4:$E$5003,$A28,Customer_Invoices_Upload!$G$4:$G$5003,"*Subscription*",Customer_Invoices_Upload!$B$4:$B$5003,"&gt;="&amp;DATE(2027,3,1),Customer_Invoices_Upload!$B$4:$B$5003,"&lt;"&amp;EDATE(DATE(2027,3,1),1))+COUNTIFS(Stripe_Invoices_Upload!$D$4:$D$5003,$A28,Stripe_Invoices_Upload!$E$4:$E$5003,"*Subscription*",Stripe_Invoices_Upload!$A$4:$A$5003,"&gt;="&amp;DATE(2027,3,1),Stripe_Invoices_Upload!$A$4:$A$5003,"&lt;"&amp;EDATE(DATE(2027,3,1),1)))&gt;0,"✓ Invoiced","⚠ Due"),""),""))</f>
        <v/>
      </c>
    </row>
    <row r="29" customFormat="false" ht="15" hidden="false" customHeight="false" outlineLevel="0" collapsed="false">
      <c r="A29" s="39"/>
      <c r="B29" s="39"/>
      <c r="C29" s="40"/>
      <c r="D29" s="39"/>
      <c r="E29" s="38"/>
      <c r="F29" s="129" t="str">
        <f aca="true">IF($A29="","",EDATE($E29,DATEDIF($E29,TODAY(),"m")+1))</f>
        <v/>
      </c>
      <c r="G29" s="130" t="str">
        <f aca="false">IF($A29="","",IF((DATE(YEAR($E29),MONTH($E29),1)&lt;=DATE(2026,4,1)),IF((MOD(DATEDIF(DATE(YEAR($E29),MONTH($E29),1),DATE(2026,4,1),"m"),IF($D29="Quarterly",3,IF($D29="Annual",12,1)))=0),IF((COUNTIFS(Xero_Raw!$D$4:$D$5003,$A29,Xero_Raw!$G$4:$G$5003,"*Subscription*",Xero_Raw!$A$4:$A$5003,"&gt;="&amp;DATE(2026,4,1),Xero_Raw!$A$4:$A$5003,"&lt;"&amp;EDATE(DATE(2026,4,1),1))+COUNTIFS(Customer_Invoices_Upload!$E$4:$E$5003,$A29,Customer_Invoices_Upload!$G$4:$G$5003,"*Subscription*",Customer_Invoices_Upload!$B$4:$B$5003,"&gt;="&amp;DATE(2026,4,1),Customer_Invoices_Upload!$B$4:$B$5003,"&lt;"&amp;EDATE(DATE(2026,4,1),1))+COUNTIFS(Stripe_Invoices_Upload!$D$4:$D$5003,$A29,Stripe_Invoices_Upload!$E$4:$E$5003,"*Subscription*",Stripe_Invoices_Upload!$A$4:$A$5003,"&gt;="&amp;DATE(2026,4,1),Stripe_Invoices_Upload!$A$4:$A$5003,"&lt;"&amp;EDATE(DATE(2026,4,1),1)))&gt;0,"✓ Invoiced","⚠ Due"),""),""))</f>
        <v/>
      </c>
      <c r="H29" s="130" t="str">
        <f aca="false">IF($A29="","",IF((DATE(YEAR($E29),MONTH($E29),1)&lt;=DATE(2026,5,1)),IF((MOD(DATEDIF(DATE(YEAR($E29),MONTH($E29),1),DATE(2026,5,1),"m"),IF($D29="Quarterly",3,IF($D29="Annual",12,1)))=0),IF((COUNTIFS(Xero_Raw!$D$4:$D$5003,$A29,Xero_Raw!$G$4:$G$5003,"*Subscription*",Xero_Raw!$A$4:$A$5003,"&gt;="&amp;DATE(2026,5,1),Xero_Raw!$A$4:$A$5003,"&lt;"&amp;EDATE(DATE(2026,5,1),1))+COUNTIFS(Customer_Invoices_Upload!$E$4:$E$5003,$A29,Customer_Invoices_Upload!$G$4:$G$5003,"*Subscription*",Customer_Invoices_Upload!$B$4:$B$5003,"&gt;="&amp;DATE(2026,5,1),Customer_Invoices_Upload!$B$4:$B$5003,"&lt;"&amp;EDATE(DATE(2026,5,1),1))+COUNTIFS(Stripe_Invoices_Upload!$D$4:$D$5003,$A29,Stripe_Invoices_Upload!$E$4:$E$5003,"*Subscription*",Stripe_Invoices_Upload!$A$4:$A$5003,"&gt;="&amp;DATE(2026,5,1),Stripe_Invoices_Upload!$A$4:$A$5003,"&lt;"&amp;EDATE(DATE(2026,5,1),1)))&gt;0,"✓ Invoiced","⚠ Due"),""),""))</f>
        <v/>
      </c>
      <c r="I29" s="130" t="str">
        <f aca="false">IF($A29="","",IF((DATE(YEAR($E29),MONTH($E29),1)&lt;=DATE(2026,6,1)),IF((MOD(DATEDIF(DATE(YEAR($E29),MONTH($E29),1),DATE(2026,6,1),"m"),IF($D29="Quarterly",3,IF($D29="Annual",12,1)))=0),IF((COUNTIFS(Xero_Raw!$D$4:$D$5003,$A29,Xero_Raw!$G$4:$G$5003,"*Subscription*",Xero_Raw!$A$4:$A$5003,"&gt;="&amp;DATE(2026,6,1),Xero_Raw!$A$4:$A$5003,"&lt;"&amp;EDATE(DATE(2026,6,1),1))+COUNTIFS(Customer_Invoices_Upload!$E$4:$E$5003,$A29,Customer_Invoices_Upload!$G$4:$G$5003,"*Subscription*",Customer_Invoices_Upload!$B$4:$B$5003,"&gt;="&amp;DATE(2026,6,1),Customer_Invoices_Upload!$B$4:$B$5003,"&lt;"&amp;EDATE(DATE(2026,6,1),1))+COUNTIFS(Stripe_Invoices_Upload!$D$4:$D$5003,$A29,Stripe_Invoices_Upload!$E$4:$E$5003,"*Subscription*",Stripe_Invoices_Upload!$A$4:$A$5003,"&gt;="&amp;DATE(2026,6,1),Stripe_Invoices_Upload!$A$4:$A$5003,"&lt;"&amp;EDATE(DATE(2026,6,1),1)))&gt;0,"✓ Invoiced","⚠ Due"),""),""))</f>
        <v/>
      </c>
      <c r="J29" s="130" t="str">
        <f aca="false">IF($A29="","",IF((DATE(YEAR($E29),MONTH($E29),1)&lt;=DATE(2026,7,1)),IF((MOD(DATEDIF(DATE(YEAR($E29),MONTH($E29),1),DATE(2026,7,1),"m"),IF($D29="Quarterly",3,IF($D29="Annual",12,1)))=0),IF((COUNTIFS(Xero_Raw!$D$4:$D$5003,$A29,Xero_Raw!$G$4:$G$5003,"*Subscription*",Xero_Raw!$A$4:$A$5003,"&gt;="&amp;DATE(2026,7,1),Xero_Raw!$A$4:$A$5003,"&lt;"&amp;EDATE(DATE(2026,7,1),1))+COUNTIFS(Customer_Invoices_Upload!$E$4:$E$5003,$A29,Customer_Invoices_Upload!$G$4:$G$5003,"*Subscription*",Customer_Invoices_Upload!$B$4:$B$5003,"&gt;="&amp;DATE(2026,7,1),Customer_Invoices_Upload!$B$4:$B$5003,"&lt;"&amp;EDATE(DATE(2026,7,1),1))+COUNTIFS(Stripe_Invoices_Upload!$D$4:$D$5003,$A29,Stripe_Invoices_Upload!$E$4:$E$5003,"*Subscription*",Stripe_Invoices_Upload!$A$4:$A$5003,"&gt;="&amp;DATE(2026,7,1),Stripe_Invoices_Upload!$A$4:$A$5003,"&lt;"&amp;EDATE(DATE(2026,7,1),1)))&gt;0,"✓ Invoiced","⚠ Due"),""),""))</f>
        <v/>
      </c>
      <c r="K29" s="130" t="str">
        <f aca="false">IF($A29="","",IF((DATE(YEAR($E29),MONTH($E29),1)&lt;=DATE(2026,8,1)),IF((MOD(DATEDIF(DATE(YEAR($E29),MONTH($E29),1),DATE(2026,8,1),"m"),IF($D29="Quarterly",3,IF($D29="Annual",12,1)))=0),IF((COUNTIFS(Xero_Raw!$D$4:$D$5003,$A29,Xero_Raw!$G$4:$G$5003,"*Subscription*",Xero_Raw!$A$4:$A$5003,"&gt;="&amp;DATE(2026,8,1),Xero_Raw!$A$4:$A$5003,"&lt;"&amp;EDATE(DATE(2026,8,1),1))+COUNTIFS(Customer_Invoices_Upload!$E$4:$E$5003,$A29,Customer_Invoices_Upload!$G$4:$G$5003,"*Subscription*",Customer_Invoices_Upload!$B$4:$B$5003,"&gt;="&amp;DATE(2026,8,1),Customer_Invoices_Upload!$B$4:$B$5003,"&lt;"&amp;EDATE(DATE(2026,8,1),1))+COUNTIFS(Stripe_Invoices_Upload!$D$4:$D$5003,$A29,Stripe_Invoices_Upload!$E$4:$E$5003,"*Subscription*",Stripe_Invoices_Upload!$A$4:$A$5003,"&gt;="&amp;DATE(2026,8,1),Stripe_Invoices_Upload!$A$4:$A$5003,"&lt;"&amp;EDATE(DATE(2026,8,1),1)))&gt;0,"✓ Invoiced","⚠ Due"),""),""))</f>
        <v/>
      </c>
      <c r="L29" s="130" t="str">
        <f aca="false">IF($A29="","",IF((DATE(YEAR($E29),MONTH($E29),1)&lt;=DATE(2026,9,1)),IF((MOD(DATEDIF(DATE(YEAR($E29),MONTH($E29),1),DATE(2026,9,1),"m"),IF($D29="Quarterly",3,IF($D29="Annual",12,1)))=0),IF((COUNTIFS(Xero_Raw!$D$4:$D$5003,$A29,Xero_Raw!$G$4:$G$5003,"*Subscription*",Xero_Raw!$A$4:$A$5003,"&gt;="&amp;DATE(2026,9,1),Xero_Raw!$A$4:$A$5003,"&lt;"&amp;EDATE(DATE(2026,9,1),1))+COUNTIFS(Customer_Invoices_Upload!$E$4:$E$5003,$A29,Customer_Invoices_Upload!$G$4:$G$5003,"*Subscription*",Customer_Invoices_Upload!$B$4:$B$5003,"&gt;="&amp;DATE(2026,9,1),Customer_Invoices_Upload!$B$4:$B$5003,"&lt;"&amp;EDATE(DATE(2026,9,1),1))+COUNTIFS(Stripe_Invoices_Upload!$D$4:$D$5003,$A29,Stripe_Invoices_Upload!$E$4:$E$5003,"*Subscription*",Stripe_Invoices_Upload!$A$4:$A$5003,"&gt;="&amp;DATE(2026,9,1),Stripe_Invoices_Upload!$A$4:$A$5003,"&lt;"&amp;EDATE(DATE(2026,9,1),1)))&gt;0,"✓ Invoiced","⚠ Due"),""),""))</f>
        <v/>
      </c>
      <c r="M29" s="130" t="str">
        <f aca="false">IF($A29="","",IF((DATE(YEAR($E29),MONTH($E29),1)&lt;=DATE(2026,10,1)),IF((MOD(DATEDIF(DATE(YEAR($E29),MONTH($E29),1),DATE(2026,10,1),"m"),IF($D29="Quarterly",3,IF($D29="Annual",12,1)))=0),IF((COUNTIFS(Xero_Raw!$D$4:$D$5003,$A29,Xero_Raw!$G$4:$G$5003,"*Subscription*",Xero_Raw!$A$4:$A$5003,"&gt;="&amp;DATE(2026,10,1),Xero_Raw!$A$4:$A$5003,"&lt;"&amp;EDATE(DATE(2026,10,1),1))+COUNTIFS(Customer_Invoices_Upload!$E$4:$E$5003,$A29,Customer_Invoices_Upload!$G$4:$G$5003,"*Subscription*",Customer_Invoices_Upload!$B$4:$B$5003,"&gt;="&amp;DATE(2026,10,1),Customer_Invoices_Upload!$B$4:$B$5003,"&lt;"&amp;EDATE(DATE(2026,10,1),1))+COUNTIFS(Stripe_Invoices_Upload!$D$4:$D$5003,$A29,Stripe_Invoices_Upload!$E$4:$E$5003,"*Subscription*",Stripe_Invoices_Upload!$A$4:$A$5003,"&gt;="&amp;DATE(2026,10,1),Stripe_Invoices_Upload!$A$4:$A$5003,"&lt;"&amp;EDATE(DATE(2026,10,1),1)))&gt;0,"✓ Invoiced","⚠ Due"),""),""))</f>
        <v/>
      </c>
      <c r="N29" s="130" t="str">
        <f aca="false">IF($A29="","",IF((DATE(YEAR($E29),MONTH($E29),1)&lt;=DATE(2026,11,1)),IF((MOD(DATEDIF(DATE(YEAR($E29),MONTH($E29),1),DATE(2026,11,1),"m"),IF($D29="Quarterly",3,IF($D29="Annual",12,1)))=0),IF((COUNTIFS(Xero_Raw!$D$4:$D$5003,$A29,Xero_Raw!$G$4:$G$5003,"*Subscription*",Xero_Raw!$A$4:$A$5003,"&gt;="&amp;DATE(2026,11,1),Xero_Raw!$A$4:$A$5003,"&lt;"&amp;EDATE(DATE(2026,11,1),1))+COUNTIFS(Customer_Invoices_Upload!$E$4:$E$5003,$A29,Customer_Invoices_Upload!$G$4:$G$5003,"*Subscription*",Customer_Invoices_Upload!$B$4:$B$5003,"&gt;="&amp;DATE(2026,11,1),Customer_Invoices_Upload!$B$4:$B$5003,"&lt;"&amp;EDATE(DATE(2026,11,1),1))+COUNTIFS(Stripe_Invoices_Upload!$D$4:$D$5003,$A29,Stripe_Invoices_Upload!$E$4:$E$5003,"*Subscription*",Stripe_Invoices_Upload!$A$4:$A$5003,"&gt;="&amp;DATE(2026,11,1),Stripe_Invoices_Upload!$A$4:$A$5003,"&lt;"&amp;EDATE(DATE(2026,11,1),1)))&gt;0,"✓ Invoiced","⚠ Due"),""),""))</f>
        <v/>
      </c>
      <c r="O29" s="130" t="str">
        <f aca="false">IF($A29="","",IF((DATE(YEAR($E29),MONTH($E29),1)&lt;=DATE(2026,12,1)),IF((MOD(DATEDIF(DATE(YEAR($E29),MONTH($E29),1),DATE(2026,12,1),"m"),IF($D29="Quarterly",3,IF($D29="Annual",12,1)))=0),IF((COUNTIFS(Xero_Raw!$D$4:$D$5003,$A29,Xero_Raw!$G$4:$G$5003,"*Subscription*",Xero_Raw!$A$4:$A$5003,"&gt;="&amp;DATE(2026,12,1),Xero_Raw!$A$4:$A$5003,"&lt;"&amp;EDATE(DATE(2026,12,1),1))+COUNTIFS(Customer_Invoices_Upload!$E$4:$E$5003,$A29,Customer_Invoices_Upload!$G$4:$G$5003,"*Subscription*",Customer_Invoices_Upload!$B$4:$B$5003,"&gt;="&amp;DATE(2026,12,1),Customer_Invoices_Upload!$B$4:$B$5003,"&lt;"&amp;EDATE(DATE(2026,12,1),1))+COUNTIFS(Stripe_Invoices_Upload!$D$4:$D$5003,$A29,Stripe_Invoices_Upload!$E$4:$E$5003,"*Subscription*",Stripe_Invoices_Upload!$A$4:$A$5003,"&gt;="&amp;DATE(2026,12,1),Stripe_Invoices_Upload!$A$4:$A$5003,"&lt;"&amp;EDATE(DATE(2026,12,1),1)))&gt;0,"✓ Invoiced","⚠ Due"),""),""))</f>
        <v/>
      </c>
      <c r="P29" s="130" t="str">
        <f aca="false">IF($A29="","",IF((DATE(YEAR($E29),MONTH($E29),1)&lt;=DATE(2027,1,1)),IF((MOD(DATEDIF(DATE(YEAR($E29),MONTH($E29),1),DATE(2027,1,1),"m"),IF($D29="Quarterly",3,IF($D29="Annual",12,1)))=0),IF((COUNTIFS(Xero_Raw!$D$4:$D$5003,$A29,Xero_Raw!$G$4:$G$5003,"*Subscription*",Xero_Raw!$A$4:$A$5003,"&gt;="&amp;DATE(2027,1,1),Xero_Raw!$A$4:$A$5003,"&lt;"&amp;EDATE(DATE(2027,1,1),1))+COUNTIFS(Customer_Invoices_Upload!$E$4:$E$5003,$A29,Customer_Invoices_Upload!$G$4:$G$5003,"*Subscription*",Customer_Invoices_Upload!$B$4:$B$5003,"&gt;="&amp;DATE(2027,1,1),Customer_Invoices_Upload!$B$4:$B$5003,"&lt;"&amp;EDATE(DATE(2027,1,1),1))+COUNTIFS(Stripe_Invoices_Upload!$D$4:$D$5003,$A29,Stripe_Invoices_Upload!$E$4:$E$5003,"*Subscription*",Stripe_Invoices_Upload!$A$4:$A$5003,"&gt;="&amp;DATE(2027,1,1),Stripe_Invoices_Upload!$A$4:$A$5003,"&lt;"&amp;EDATE(DATE(2027,1,1),1)))&gt;0,"✓ Invoiced","⚠ Due"),""),""))</f>
        <v/>
      </c>
      <c r="Q29" s="130" t="str">
        <f aca="false">IF($A29="","",IF((DATE(YEAR($E29),MONTH($E29),1)&lt;=DATE(2027,2,1)),IF((MOD(DATEDIF(DATE(YEAR($E29),MONTH($E29),1),DATE(2027,2,1),"m"),IF($D29="Quarterly",3,IF($D29="Annual",12,1)))=0),IF((COUNTIFS(Xero_Raw!$D$4:$D$5003,$A29,Xero_Raw!$G$4:$G$5003,"*Subscription*",Xero_Raw!$A$4:$A$5003,"&gt;="&amp;DATE(2027,2,1),Xero_Raw!$A$4:$A$5003,"&lt;"&amp;EDATE(DATE(2027,2,1),1))+COUNTIFS(Customer_Invoices_Upload!$E$4:$E$5003,$A29,Customer_Invoices_Upload!$G$4:$G$5003,"*Subscription*",Customer_Invoices_Upload!$B$4:$B$5003,"&gt;="&amp;DATE(2027,2,1),Customer_Invoices_Upload!$B$4:$B$5003,"&lt;"&amp;EDATE(DATE(2027,2,1),1))+COUNTIFS(Stripe_Invoices_Upload!$D$4:$D$5003,$A29,Stripe_Invoices_Upload!$E$4:$E$5003,"*Subscription*",Stripe_Invoices_Upload!$A$4:$A$5003,"&gt;="&amp;DATE(2027,2,1),Stripe_Invoices_Upload!$A$4:$A$5003,"&lt;"&amp;EDATE(DATE(2027,2,1),1)))&gt;0,"✓ Invoiced","⚠ Due"),""),""))</f>
        <v/>
      </c>
      <c r="R29" s="130" t="str">
        <f aca="false">IF($A29="","",IF((DATE(YEAR($E29),MONTH($E29),1)&lt;=DATE(2027,3,1)),IF((MOD(DATEDIF(DATE(YEAR($E29),MONTH($E29),1),DATE(2027,3,1),"m"),IF($D29="Quarterly",3,IF($D29="Annual",12,1)))=0),IF((COUNTIFS(Xero_Raw!$D$4:$D$5003,$A29,Xero_Raw!$G$4:$G$5003,"*Subscription*",Xero_Raw!$A$4:$A$5003,"&gt;="&amp;DATE(2027,3,1),Xero_Raw!$A$4:$A$5003,"&lt;"&amp;EDATE(DATE(2027,3,1),1))+COUNTIFS(Customer_Invoices_Upload!$E$4:$E$5003,$A29,Customer_Invoices_Upload!$G$4:$G$5003,"*Subscription*",Customer_Invoices_Upload!$B$4:$B$5003,"&gt;="&amp;DATE(2027,3,1),Customer_Invoices_Upload!$B$4:$B$5003,"&lt;"&amp;EDATE(DATE(2027,3,1),1))+COUNTIFS(Stripe_Invoices_Upload!$D$4:$D$5003,$A29,Stripe_Invoices_Upload!$E$4:$E$5003,"*Subscription*",Stripe_Invoices_Upload!$A$4:$A$5003,"&gt;="&amp;DATE(2027,3,1),Stripe_Invoices_Upload!$A$4:$A$5003,"&lt;"&amp;EDATE(DATE(2027,3,1),1)))&gt;0,"✓ Invoiced","⚠ Due"),""),""))</f>
        <v/>
      </c>
    </row>
    <row r="30" customFormat="false" ht="15" hidden="false" customHeight="false" outlineLevel="0" collapsed="false">
      <c r="A30" s="39"/>
      <c r="B30" s="39"/>
      <c r="C30" s="40"/>
      <c r="D30" s="39"/>
      <c r="E30" s="38"/>
      <c r="F30" s="129" t="str">
        <f aca="true">IF($A30="","",EDATE($E30,DATEDIF($E30,TODAY(),"m")+1))</f>
        <v/>
      </c>
      <c r="G30" s="130" t="str">
        <f aca="false">IF($A30="","",IF((DATE(YEAR($E30),MONTH($E30),1)&lt;=DATE(2026,4,1)),IF((MOD(DATEDIF(DATE(YEAR($E30),MONTH($E30),1),DATE(2026,4,1),"m"),IF($D30="Quarterly",3,IF($D30="Annual",12,1)))=0),IF((COUNTIFS(Xero_Raw!$D$4:$D$5003,$A30,Xero_Raw!$G$4:$G$5003,"*Subscription*",Xero_Raw!$A$4:$A$5003,"&gt;="&amp;DATE(2026,4,1),Xero_Raw!$A$4:$A$5003,"&lt;"&amp;EDATE(DATE(2026,4,1),1))+COUNTIFS(Customer_Invoices_Upload!$E$4:$E$5003,$A30,Customer_Invoices_Upload!$G$4:$G$5003,"*Subscription*",Customer_Invoices_Upload!$B$4:$B$5003,"&gt;="&amp;DATE(2026,4,1),Customer_Invoices_Upload!$B$4:$B$5003,"&lt;"&amp;EDATE(DATE(2026,4,1),1))+COUNTIFS(Stripe_Invoices_Upload!$D$4:$D$5003,$A30,Stripe_Invoices_Upload!$E$4:$E$5003,"*Subscription*",Stripe_Invoices_Upload!$A$4:$A$5003,"&gt;="&amp;DATE(2026,4,1),Stripe_Invoices_Upload!$A$4:$A$5003,"&lt;"&amp;EDATE(DATE(2026,4,1),1)))&gt;0,"✓ Invoiced","⚠ Due"),""),""))</f>
        <v/>
      </c>
      <c r="H30" s="130" t="str">
        <f aca="false">IF($A30="","",IF((DATE(YEAR($E30),MONTH($E30),1)&lt;=DATE(2026,5,1)),IF((MOD(DATEDIF(DATE(YEAR($E30),MONTH($E30),1),DATE(2026,5,1),"m"),IF($D30="Quarterly",3,IF($D30="Annual",12,1)))=0),IF((COUNTIFS(Xero_Raw!$D$4:$D$5003,$A30,Xero_Raw!$G$4:$G$5003,"*Subscription*",Xero_Raw!$A$4:$A$5003,"&gt;="&amp;DATE(2026,5,1),Xero_Raw!$A$4:$A$5003,"&lt;"&amp;EDATE(DATE(2026,5,1),1))+COUNTIFS(Customer_Invoices_Upload!$E$4:$E$5003,$A30,Customer_Invoices_Upload!$G$4:$G$5003,"*Subscription*",Customer_Invoices_Upload!$B$4:$B$5003,"&gt;="&amp;DATE(2026,5,1),Customer_Invoices_Upload!$B$4:$B$5003,"&lt;"&amp;EDATE(DATE(2026,5,1),1))+COUNTIFS(Stripe_Invoices_Upload!$D$4:$D$5003,$A30,Stripe_Invoices_Upload!$E$4:$E$5003,"*Subscription*",Stripe_Invoices_Upload!$A$4:$A$5003,"&gt;="&amp;DATE(2026,5,1),Stripe_Invoices_Upload!$A$4:$A$5003,"&lt;"&amp;EDATE(DATE(2026,5,1),1)))&gt;0,"✓ Invoiced","⚠ Due"),""),""))</f>
        <v/>
      </c>
      <c r="I30" s="130" t="str">
        <f aca="false">IF($A30="","",IF((DATE(YEAR($E30),MONTH($E30),1)&lt;=DATE(2026,6,1)),IF((MOD(DATEDIF(DATE(YEAR($E30),MONTH($E30),1),DATE(2026,6,1),"m"),IF($D30="Quarterly",3,IF($D30="Annual",12,1)))=0),IF((COUNTIFS(Xero_Raw!$D$4:$D$5003,$A30,Xero_Raw!$G$4:$G$5003,"*Subscription*",Xero_Raw!$A$4:$A$5003,"&gt;="&amp;DATE(2026,6,1),Xero_Raw!$A$4:$A$5003,"&lt;"&amp;EDATE(DATE(2026,6,1),1))+COUNTIFS(Customer_Invoices_Upload!$E$4:$E$5003,$A30,Customer_Invoices_Upload!$G$4:$G$5003,"*Subscription*",Customer_Invoices_Upload!$B$4:$B$5003,"&gt;="&amp;DATE(2026,6,1),Customer_Invoices_Upload!$B$4:$B$5003,"&lt;"&amp;EDATE(DATE(2026,6,1),1))+COUNTIFS(Stripe_Invoices_Upload!$D$4:$D$5003,$A30,Stripe_Invoices_Upload!$E$4:$E$5003,"*Subscription*",Stripe_Invoices_Upload!$A$4:$A$5003,"&gt;="&amp;DATE(2026,6,1),Stripe_Invoices_Upload!$A$4:$A$5003,"&lt;"&amp;EDATE(DATE(2026,6,1),1)))&gt;0,"✓ Invoiced","⚠ Due"),""),""))</f>
        <v/>
      </c>
      <c r="J30" s="130" t="str">
        <f aca="false">IF($A30="","",IF((DATE(YEAR($E30),MONTH($E30),1)&lt;=DATE(2026,7,1)),IF((MOD(DATEDIF(DATE(YEAR($E30),MONTH($E30),1),DATE(2026,7,1),"m"),IF($D30="Quarterly",3,IF($D30="Annual",12,1)))=0),IF((COUNTIFS(Xero_Raw!$D$4:$D$5003,$A30,Xero_Raw!$G$4:$G$5003,"*Subscription*",Xero_Raw!$A$4:$A$5003,"&gt;="&amp;DATE(2026,7,1),Xero_Raw!$A$4:$A$5003,"&lt;"&amp;EDATE(DATE(2026,7,1),1))+COUNTIFS(Customer_Invoices_Upload!$E$4:$E$5003,$A30,Customer_Invoices_Upload!$G$4:$G$5003,"*Subscription*",Customer_Invoices_Upload!$B$4:$B$5003,"&gt;="&amp;DATE(2026,7,1),Customer_Invoices_Upload!$B$4:$B$5003,"&lt;"&amp;EDATE(DATE(2026,7,1),1))+COUNTIFS(Stripe_Invoices_Upload!$D$4:$D$5003,$A30,Stripe_Invoices_Upload!$E$4:$E$5003,"*Subscription*",Stripe_Invoices_Upload!$A$4:$A$5003,"&gt;="&amp;DATE(2026,7,1),Stripe_Invoices_Upload!$A$4:$A$5003,"&lt;"&amp;EDATE(DATE(2026,7,1),1)))&gt;0,"✓ Invoiced","⚠ Due"),""),""))</f>
        <v/>
      </c>
      <c r="K30" s="130" t="str">
        <f aca="false">IF($A30="","",IF((DATE(YEAR($E30),MONTH($E30),1)&lt;=DATE(2026,8,1)),IF((MOD(DATEDIF(DATE(YEAR($E30),MONTH($E30),1),DATE(2026,8,1),"m"),IF($D30="Quarterly",3,IF($D30="Annual",12,1)))=0),IF((COUNTIFS(Xero_Raw!$D$4:$D$5003,$A30,Xero_Raw!$G$4:$G$5003,"*Subscription*",Xero_Raw!$A$4:$A$5003,"&gt;="&amp;DATE(2026,8,1),Xero_Raw!$A$4:$A$5003,"&lt;"&amp;EDATE(DATE(2026,8,1),1))+COUNTIFS(Customer_Invoices_Upload!$E$4:$E$5003,$A30,Customer_Invoices_Upload!$G$4:$G$5003,"*Subscription*",Customer_Invoices_Upload!$B$4:$B$5003,"&gt;="&amp;DATE(2026,8,1),Customer_Invoices_Upload!$B$4:$B$5003,"&lt;"&amp;EDATE(DATE(2026,8,1),1))+COUNTIFS(Stripe_Invoices_Upload!$D$4:$D$5003,$A30,Stripe_Invoices_Upload!$E$4:$E$5003,"*Subscription*",Stripe_Invoices_Upload!$A$4:$A$5003,"&gt;="&amp;DATE(2026,8,1),Stripe_Invoices_Upload!$A$4:$A$5003,"&lt;"&amp;EDATE(DATE(2026,8,1),1)))&gt;0,"✓ Invoiced","⚠ Due"),""),""))</f>
        <v/>
      </c>
      <c r="L30" s="130" t="str">
        <f aca="false">IF($A30="","",IF((DATE(YEAR($E30),MONTH($E30),1)&lt;=DATE(2026,9,1)),IF((MOD(DATEDIF(DATE(YEAR($E30),MONTH($E30),1),DATE(2026,9,1),"m"),IF($D30="Quarterly",3,IF($D30="Annual",12,1)))=0),IF((COUNTIFS(Xero_Raw!$D$4:$D$5003,$A30,Xero_Raw!$G$4:$G$5003,"*Subscription*",Xero_Raw!$A$4:$A$5003,"&gt;="&amp;DATE(2026,9,1),Xero_Raw!$A$4:$A$5003,"&lt;"&amp;EDATE(DATE(2026,9,1),1))+COUNTIFS(Customer_Invoices_Upload!$E$4:$E$5003,$A30,Customer_Invoices_Upload!$G$4:$G$5003,"*Subscription*",Customer_Invoices_Upload!$B$4:$B$5003,"&gt;="&amp;DATE(2026,9,1),Customer_Invoices_Upload!$B$4:$B$5003,"&lt;"&amp;EDATE(DATE(2026,9,1),1))+COUNTIFS(Stripe_Invoices_Upload!$D$4:$D$5003,$A30,Stripe_Invoices_Upload!$E$4:$E$5003,"*Subscription*",Stripe_Invoices_Upload!$A$4:$A$5003,"&gt;="&amp;DATE(2026,9,1),Stripe_Invoices_Upload!$A$4:$A$5003,"&lt;"&amp;EDATE(DATE(2026,9,1),1)))&gt;0,"✓ Invoiced","⚠ Due"),""),""))</f>
        <v/>
      </c>
      <c r="M30" s="130" t="str">
        <f aca="false">IF($A30="","",IF((DATE(YEAR($E30),MONTH($E30),1)&lt;=DATE(2026,10,1)),IF((MOD(DATEDIF(DATE(YEAR($E30),MONTH($E30),1),DATE(2026,10,1),"m"),IF($D30="Quarterly",3,IF($D30="Annual",12,1)))=0),IF((COUNTIFS(Xero_Raw!$D$4:$D$5003,$A30,Xero_Raw!$G$4:$G$5003,"*Subscription*",Xero_Raw!$A$4:$A$5003,"&gt;="&amp;DATE(2026,10,1),Xero_Raw!$A$4:$A$5003,"&lt;"&amp;EDATE(DATE(2026,10,1),1))+COUNTIFS(Customer_Invoices_Upload!$E$4:$E$5003,$A30,Customer_Invoices_Upload!$G$4:$G$5003,"*Subscription*",Customer_Invoices_Upload!$B$4:$B$5003,"&gt;="&amp;DATE(2026,10,1),Customer_Invoices_Upload!$B$4:$B$5003,"&lt;"&amp;EDATE(DATE(2026,10,1),1))+COUNTIFS(Stripe_Invoices_Upload!$D$4:$D$5003,$A30,Stripe_Invoices_Upload!$E$4:$E$5003,"*Subscription*",Stripe_Invoices_Upload!$A$4:$A$5003,"&gt;="&amp;DATE(2026,10,1),Stripe_Invoices_Upload!$A$4:$A$5003,"&lt;"&amp;EDATE(DATE(2026,10,1),1)))&gt;0,"✓ Invoiced","⚠ Due"),""),""))</f>
        <v/>
      </c>
      <c r="N30" s="130" t="str">
        <f aca="false">IF($A30="","",IF((DATE(YEAR($E30),MONTH($E30),1)&lt;=DATE(2026,11,1)),IF((MOD(DATEDIF(DATE(YEAR($E30),MONTH($E30),1),DATE(2026,11,1),"m"),IF($D30="Quarterly",3,IF($D30="Annual",12,1)))=0),IF((COUNTIFS(Xero_Raw!$D$4:$D$5003,$A30,Xero_Raw!$G$4:$G$5003,"*Subscription*",Xero_Raw!$A$4:$A$5003,"&gt;="&amp;DATE(2026,11,1),Xero_Raw!$A$4:$A$5003,"&lt;"&amp;EDATE(DATE(2026,11,1),1))+COUNTIFS(Customer_Invoices_Upload!$E$4:$E$5003,$A30,Customer_Invoices_Upload!$G$4:$G$5003,"*Subscription*",Customer_Invoices_Upload!$B$4:$B$5003,"&gt;="&amp;DATE(2026,11,1),Customer_Invoices_Upload!$B$4:$B$5003,"&lt;"&amp;EDATE(DATE(2026,11,1),1))+COUNTIFS(Stripe_Invoices_Upload!$D$4:$D$5003,$A30,Stripe_Invoices_Upload!$E$4:$E$5003,"*Subscription*",Stripe_Invoices_Upload!$A$4:$A$5003,"&gt;="&amp;DATE(2026,11,1),Stripe_Invoices_Upload!$A$4:$A$5003,"&lt;"&amp;EDATE(DATE(2026,11,1),1)))&gt;0,"✓ Invoiced","⚠ Due"),""),""))</f>
        <v/>
      </c>
      <c r="O30" s="130" t="str">
        <f aca="false">IF($A30="","",IF((DATE(YEAR($E30),MONTH($E30),1)&lt;=DATE(2026,12,1)),IF((MOD(DATEDIF(DATE(YEAR($E30),MONTH($E30),1),DATE(2026,12,1),"m"),IF($D30="Quarterly",3,IF($D30="Annual",12,1)))=0),IF((COUNTIFS(Xero_Raw!$D$4:$D$5003,$A30,Xero_Raw!$G$4:$G$5003,"*Subscription*",Xero_Raw!$A$4:$A$5003,"&gt;="&amp;DATE(2026,12,1),Xero_Raw!$A$4:$A$5003,"&lt;"&amp;EDATE(DATE(2026,12,1),1))+COUNTIFS(Customer_Invoices_Upload!$E$4:$E$5003,$A30,Customer_Invoices_Upload!$G$4:$G$5003,"*Subscription*",Customer_Invoices_Upload!$B$4:$B$5003,"&gt;="&amp;DATE(2026,12,1),Customer_Invoices_Upload!$B$4:$B$5003,"&lt;"&amp;EDATE(DATE(2026,12,1),1))+COUNTIFS(Stripe_Invoices_Upload!$D$4:$D$5003,$A30,Stripe_Invoices_Upload!$E$4:$E$5003,"*Subscription*",Stripe_Invoices_Upload!$A$4:$A$5003,"&gt;="&amp;DATE(2026,12,1),Stripe_Invoices_Upload!$A$4:$A$5003,"&lt;"&amp;EDATE(DATE(2026,12,1),1)))&gt;0,"✓ Invoiced","⚠ Due"),""),""))</f>
        <v/>
      </c>
      <c r="P30" s="130" t="str">
        <f aca="false">IF($A30="","",IF((DATE(YEAR($E30),MONTH($E30),1)&lt;=DATE(2027,1,1)),IF((MOD(DATEDIF(DATE(YEAR($E30),MONTH($E30),1),DATE(2027,1,1),"m"),IF($D30="Quarterly",3,IF($D30="Annual",12,1)))=0),IF((COUNTIFS(Xero_Raw!$D$4:$D$5003,$A30,Xero_Raw!$G$4:$G$5003,"*Subscription*",Xero_Raw!$A$4:$A$5003,"&gt;="&amp;DATE(2027,1,1),Xero_Raw!$A$4:$A$5003,"&lt;"&amp;EDATE(DATE(2027,1,1),1))+COUNTIFS(Customer_Invoices_Upload!$E$4:$E$5003,$A30,Customer_Invoices_Upload!$G$4:$G$5003,"*Subscription*",Customer_Invoices_Upload!$B$4:$B$5003,"&gt;="&amp;DATE(2027,1,1),Customer_Invoices_Upload!$B$4:$B$5003,"&lt;"&amp;EDATE(DATE(2027,1,1),1))+COUNTIFS(Stripe_Invoices_Upload!$D$4:$D$5003,$A30,Stripe_Invoices_Upload!$E$4:$E$5003,"*Subscription*",Stripe_Invoices_Upload!$A$4:$A$5003,"&gt;="&amp;DATE(2027,1,1),Stripe_Invoices_Upload!$A$4:$A$5003,"&lt;"&amp;EDATE(DATE(2027,1,1),1)))&gt;0,"✓ Invoiced","⚠ Due"),""),""))</f>
        <v/>
      </c>
      <c r="Q30" s="130" t="str">
        <f aca="false">IF($A30="","",IF((DATE(YEAR($E30),MONTH($E30),1)&lt;=DATE(2027,2,1)),IF((MOD(DATEDIF(DATE(YEAR($E30),MONTH($E30),1),DATE(2027,2,1),"m"),IF($D30="Quarterly",3,IF($D30="Annual",12,1)))=0),IF((COUNTIFS(Xero_Raw!$D$4:$D$5003,$A30,Xero_Raw!$G$4:$G$5003,"*Subscription*",Xero_Raw!$A$4:$A$5003,"&gt;="&amp;DATE(2027,2,1),Xero_Raw!$A$4:$A$5003,"&lt;"&amp;EDATE(DATE(2027,2,1),1))+COUNTIFS(Customer_Invoices_Upload!$E$4:$E$5003,$A30,Customer_Invoices_Upload!$G$4:$G$5003,"*Subscription*",Customer_Invoices_Upload!$B$4:$B$5003,"&gt;="&amp;DATE(2027,2,1),Customer_Invoices_Upload!$B$4:$B$5003,"&lt;"&amp;EDATE(DATE(2027,2,1),1))+COUNTIFS(Stripe_Invoices_Upload!$D$4:$D$5003,$A30,Stripe_Invoices_Upload!$E$4:$E$5003,"*Subscription*",Stripe_Invoices_Upload!$A$4:$A$5003,"&gt;="&amp;DATE(2027,2,1),Stripe_Invoices_Upload!$A$4:$A$5003,"&lt;"&amp;EDATE(DATE(2027,2,1),1)))&gt;0,"✓ Invoiced","⚠ Due"),""),""))</f>
        <v/>
      </c>
      <c r="R30" s="130" t="str">
        <f aca="false">IF($A30="","",IF((DATE(YEAR($E30),MONTH($E30),1)&lt;=DATE(2027,3,1)),IF((MOD(DATEDIF(DATE(YEAR($E30),MONTH($E30),1),DATE(2027,3,1),"m"),IF($D30="Quarterly",3,IF($D30="Annual",12,1)))=0),IF((COUNTIFS(Xero_Raw!$D$4:$D$5003,$A30,Xero_Raw!$G$4:$G$5003,"*Subscription*",Xero_Raw!$A$4:$A$5003,"&gt;="&amp;DATE(2027,3,1),Xero_Raw!$A$4:$A$5003,"&lt;"&amp;EDATE(DATE(2027,3,1),1))+COUNTIFS(Customer_Invoices_Upload!$E$4:$E$5003,$A30,Customer_Invoices_Upload!$G$4:$G$5003,"*Subscription*",Customer_Invoices_Upload!$B$4:$B$5003,"&gt;="&amp;DATE(2027,3,1),Customer_Invoices_Upload!$B$4:$B$5003,"&lt;"&amp;EDATE(DATE(2027,3,1),1))+COUNTIFS(Stripe_Invoices_Upload!$D$4:$D$5003,$A30,Stripe_Invoices_Upload!$E$4:$E$5003,"*Subscription*",Stripe_Invoices_Upload!$A$4:$A$5003,"&gt;="&amp;DATE(2027,3,1),Stripe_Invoices_Upload!$A$4:$A$5003,"&lt;"&amp;EDATE(DATE(2027,3,1),1)))&gt;0,"✓ Invoiced","⚠ Due"),""),""))</f>
        <v/>
      </c>
    </row>
    <row r="31" customFormat="false" ht="15" hidden="false" customHeight="false" outlineLevel="0" collapsed="false">
      <c r="A31" s="39"/>
      <c r="B31" s="39"/>
      <c r="C31" s="40"/>
      <c r="D31" s="39"/>
      <c r="E31" s="38"/>
      <c r="F31" s="129" t="str">
        <f aca="true">IF($A31="","",EDATE($E31,DATEDIF($E31,TODAY(),"m")+1))</f>
        <v/>
      </c>
      <c r="G31" s="130" t="str">
        <f aca="false">IF($A31="","",IF((DATE(YEAR($E31),MONTH($E31),1)&lt;=DATE(2026,4,1)),IF((MOD(DATEDIF(DATE(YEAR($E31),MONTH($E31),1),DATE(2026,4,1),"m"),IF($D31="Quarterly",3,IF($D31="Annual",12,1)))=0),IF((COUNTIFS(Xero_Raw!$D$4:$D$5003,$A31,Xero_Raw!$G$4:$G$5003,"*Subscription*",Xero_Raw!$A$4:$A$5003,"&gt;="&amp;DATE(2026,4,1),Xero_Raw!$A$4:$A$5003,"&lt;"&amp;EDATE(DATE(2026,4,1),1))+COUNTIFS(Customer_Invoices_Upload!$E$4:$E$5003,$A31,Customer_Invoices_Upload!$G$4:$G$5003,"*Subscription*",Customer_Invoices_Upload!$B$4:$B$5003,"&gt;="&amp;DATE(2026,4,1),Customer_Invoices_Upload!$B$4:$B$5003,"&lt;"&amp;EDATE(DATE(2026,4,1),1))+COUNTIFS(Stripe_Invoices_Upload!$D$4:$D$5003,$A31,Stripe_Invoices_Upload!$E$4:$E$5003,"*Subscription*",Stripe_Invoices_Upload!$A$4:$A$5003,"&gt;="&amp;DATE(2026,4,1),Stripe_Invoices_Upload!$A$4:$A$5003,"&lt;"&amp;EDATE(DATE(2026,4,1),1)))&gt;0,"✓ Invoiced","⚠ Due"),""),""))</f>
        <v/>
      </c>
      <c r="H31" s="130" t="str">
        <f aca="false">IF($A31="","",IF((DATE(YEAR($E31),MONTH($E31),1)&lt;=DATE(2026,5,1)),IF((MOD(DATEDIF(DATE(YEAR($E31),MONTH($E31),1),DATE(2026,5,1),"m"),IF($D31="Quarterly",3,IF($D31="Annual",12,1)))=0),IF((COUNTIFS(Xero_Raw!$D$4:$D$5003,$A31,Xero_Raw!$G$4:$G$5003,"*Subscription*",Xero_Raw!$A$4:$A$5003,"&gt;="&amp;DATE(2026,5,1),Xero_Raw!$A$4:$A$5003,"&lt;"&amp;EDATE(DATE(2026,5,1),1))+COUNTIFS(Customer_Invoices_Upload!$E$4:$E$5003,$A31,Customer_Invoices_Upload!$G$4:$G$5003,"*Subscription*",Customer_Invoices_Upload!$B$4:$B$5003,"&gt;="&amp;DATE(2026,5,1),Customer_Invoices_Upload!$B$4:$B$5003,"&lt;"&amp;EDATE(DATE(2026,5,1),1))+COUNTIFS(Stripe_Invoices_Upload!$D$4:$D$5003,$A31,Stripe_Invoices_Upload!$E$4:$E$5003,"*Subscription*",Stripe_Invoices_Upload!$A$4:$A$5003,"&gt;="&amp;DATE(2026,5,1),Stripe_Invoices_Upload!$A$4:$A$5003,"&lt;"&amp;EDATE(DATE(2026,5,1),1)))&gt;0,"✓ Invoiced","⚠ Due"),""),""))</f>
        <v/>
      </c>
      <c r="I31" s="130" t="str">
        <f aca="false">IF($A31="","",IF((DATE(YEAR($E31),MONTH($E31),1)&lt;=DATE(2026,6,1)),IF((MOD(DATEDIF(DATE(YEAR($E31),MONTH($E31),1),DATE(2026,6,1),"m"),IF($D31="Quarterly",3,IF($D31="Annual",12,1)))=0),IF((COUNTIFS(Xero_Raw!$D$4:$D$5003,$A31,Xero_Raw!$G$4:$G$5003,"*Subscription*",Xero_Raw!$A$4:$A$5003,"&gt;="&amp;DATE(2026,6,1),Xero_Raw!$A$4:$A$5003,"&lt;"&amp;EDATE(DATE(2026,6,1),1))+COUNTIFS(Customer_Invoices_Upload!$E$4:$E$5003,$A31,Customer_Invoices_Upload!$G$4:$G$5003,"*Subscription*",Customer_Invoices_Upload!$B$4:$B$5003,"&gt;="&amp;DATE(2026,6,1),Customer_Invoices_Upload!$B$4:$B$5003,"&lt;"&amp;EDATE(DATE(2026,6,1),1))+COUNTIFS(Stripe_Invoices_Upload!$D$4:$D$5003,$A31,Stripe_Invoices_Upload!$E$4:$E$5003,"*Subscription*",Stripe_Invoices_Upload!$A$4:$A$5003,"&gt;="&amp;DATE(2026,6,1),Stripe_Invoices_Upload!$A$4:$A$5003,"&lt;"&amp;EDATE(DATE(2026,6,1),1)))&gt;0,"✓ Invoiced","⚠ Due"),""),""))</f>
        <v/>
      </c>
      <c r="J31" s="130" t="str">
        <f aca="false">IF($A31="","",IF((DATE(YEAR($E31),MONTH($E31),1)&lt;=DATE(2026,7,1)),IF((MOD(DATEDIF(DATE(YEAR($E31),MONTH($E31),1),DATE(2026,7,1),"m"),IF($D31="Quarterly",3,IF($D31="Annual",12,1)))=0),IF((COUNTIFS(Xero_Raw!$D$4:$D$5003,$A31,Xero_Raw!$G$4:$G$5003,"*Subscription*",Xero_Raw!$A$4:$A$5003,"&gt;="&amp;DATE(2026,7,1),Xero_Raw!$A$4:$A$5003,"&lt;"&amp;EDATE(DATE(2026,7,1),1))+COUNTIFS(Customer_Invoices_Upload!$E$4:$E$5003,$A31,Customer_Invoices_Upload!$G$4:$G$5003,"*Subscription*",Customer_Invoices_Upload!$B$4:$B$5003,"&gt;="&amp;DATE(2026,7,1),Customer_Invoices_Upload!$B$4:$B$5003,"&lt;"&amp;EDATE(DATE(2026,7,1),1))+COUNTIFS(Stripe_Invoices_Upload!$D$4:$D$5003,$A31,Stripe_Invoices_Upload!$E$4:$E$5003,"*Subscription*",Stripe_Invoices_Upload!$A$4:$A$5003,"&gt;="&amp;DATE(2026,7,1),Stripe_Invoices_Upload!$A$4:$A$5003,"&lt;"&amp;EDATE(DATE(2026,7,1),1)))&gt;0,"✓ Invoiced","⚠ Due"),""),""))</f>
        <v/>
      </c>
      <c r="K31" s="130" t="str">
        <f aca="false">IF($A31="","",IF((DATE(YEAR($E31),MONTH($E31),1)&lt;=DATE(2026,8,1)),IF((MOD(DATEDIF(DATE(YEAR($E31),MONTH($E31),1),DATE(2026,8,1),"m"),IF($D31="Quarterly",3,IF($D31="Annual",12,1)))=0),IF((COUNTIFS(Xero_Raw!$D$4:$D$5003,$A31,Xero_Raw!$G$4:$G$5003,"*Subscription*",Xero_Raw!$A$4:$A$5003,"&gt;="&amp;DATE(2026,8,1),Xero_Raw!$A$4:$A$5003,"&lt;"&amp;EDATE(DATE(2026,8,1),1))+COUNTIFS(Customer_Invoices_Upload!$E$4:$E$5003,$A31,Customer_Invoices_Upload!$G$4:$G$5003,"*Subscription*",Customer_Invoices_Upload!$B$4:$B$5003,"&gt;="&amp;DATE(2026,8,1),Customer_Invoices_Upload!$B$4:$B$5003,"&lt;"&amp;EDATE(DATE(2026,8,1),1))+COUNTIFS(Stripe_Invoices_Upload!$D$4:$D$5003,$A31,Stripe_Invoices_Upload!$E$4:$E$5003,"*Subscription*",Stripe_Invoices_Upload!$A$4:$A$5003,"&gt;="&amp;DATE(2026,8,1),Stripe_Invoices_Upload!$A$4:$A$5003,"&lt;"&amp;EDATE(DATE(2026,8,1),1)))&gt;0,"✓ Invoiced","⚠ Due"),""),""))</f>
        <v/>
      </c>
      <c r="L31" s="130" t="str">
        <f aca="false">IF($A31="","",IF((DATE(YEAR($E31),MONTH($E31),1)&lt;=DATE(2026,9,1)),IF((MOD(DATEDIF(DATE(YEAR($E31),MONTH($E31),1),DATE(2026,9,1),"m"),IF($D31="Quarterly",3,IF($D31="Annual",12,1)))=0),IF((COUNTIFS(Xero_Raw!$D$4:$D$5003,$A31,Xero_Raw!$G$4:$G$5003,"*Subscription*",Xero_Raw!$A$4:$A$5003,"&gt;="&amp;DATE(2026,9,1),Xero_Raw!$A$4:$A$5003,"&lt;"&amp;EDATE(DATE(2026,9,1),1))+COUNTIFS(Customer_Invoices_Upload!$E$4:$E$5003,$A31,Customer_Invoices_Upload!$G$4:$G$5003,"*Subscription*",Customer_Invoices_Upload!$B$4:$B$5003,"&gt;="&amp;DATE(2026,9,1),Customer_Invoices_Upload!$B$4:$B$5003,"&lt;"&amp;EDATE(DATE(2026,9,1),1))+COUNTIFS(Stripe_Invoices_Upload!$D$4:$D$5003,$A31,Stripe_Invoices_Upload!$E$4:$E$5003,"*Subscription*",Stripe_Invoices_Upload!$A$4:$A$5003,"&gt;="&amp;DATE(2026,9,1),Stripe_Invoices_Upload!$A$4:$A$5003,"&lt;"&amp;EDATE(DATE(2026,9,1),1)))&gt;0,"✓ Invoiced","⚠ Due"),""),""))</f>
        <v/>
      </c>
      <c r="M31" s="130" t="str">
        <f aca="false">IF($A31="","",IF((DATE(YEAR($E31),MONTH($E31),1)&lt;=DATE(2026,10,1)),IF((MOD(DATEDIF(DATE(YEAR($E31),MONTH($E31),1),DATE(2026,10,1),"m"),IF($D31="Quarterly",3,IF($D31="Annual",12,1)))=0),IF((COUNTIFS(Xero_Raw!$D$4:$D$5003,$A31,Xero_Raw!$G$4:$G$5003,"*Subscription*",Xero_Raw!$A$4:$A$5003,"&gt;="&amp;DATE(2026,10,1),Xero_Raw!$A$4:$A$5003,"&lt;"&amp;EDATE(DATE(2026,10,1),1))+COUNTIFS(Customer_Invoices_Upload!$E$4:$E$5003,$A31,Customer_Invoices_Upload!$G$4:$G$5003,"*Subscription*",Customer_Invoices_Upload!$B$4:$B$5003,"&gt;="&amp;DATE(2026,10,1),Customer_Invoices_Upload!$B$4:$B$5003,"&lt;"&amp;EDATE(DATE(2026,10,1),1))+COUNTIFS(Stripe_Invoices_Upload!$D$4:$D$5003,$A31,Stripe_Invoices_Upload!$E$4:$E$5003,"*Subscription*",Stripe_Invoices_Upload!$A$4:$A$5003,"&gt;="&amp;DATE(2026,10,1),Stripe_Invoices_Upload!$A$4:$A$5003,"&lt;"&amp;EDATE(DATE(2026,10,1),1)))&gt;0,"✓ Invoiced","⚠ Due"),""),""))</f>
        <v/>
      </c>
      <c r="N31" s="130" t="str">
        <f aca="false">IF($A31="","",IF((DATE(YEAR($E31),MONTH($E31),1)&lt;=DATE(2026,11,1)),IF((MOD(DATEDIF(DATE(YEAR($E31),MONTH($E31),1),DATE(2026,11,1),"m"),IF($D31="Quarterly",3,IF($D31="Annual",12,1)))=0),IF((COUNTIFS(Xero_Raw!$D$4:$D$5003,$A31,Xero_Raw!$G$4:$G$5003,"*Subscription*",Xero_Raw!$A$4:$A$5003,"&gt;="&amp;DATE(2026,11,1),Xero_Raw!$A$4:$A$5003,"&lt;"&amp;EDATE(DATE(2026,11,1),1))+COUNTIFS(Customer_Invoices_Upload!$E$4:$E$5003,$A31,Customer_Invoices_Upload!$G$4:$G$5003,"*Subscription*",Customer_Invoices_Upload!$B$4:$B$5003,"&gt;="&amp;DATE(2026,11,1),Customer_Invoices_Upload!$B$4:$B$5003,"&lt;"&amp;EDATE(DATE(2026,11,1),1))+COUNTIFS(Stripe_Invoices_Upload!$D$4:$D$5003,$A31,Stripe_Invoices_Upload!$E$4:$E$5003,"*Subscription*",Stripe_Invoices_Upload!$A$4:$A$5003,"&gt;="&amp;DATE(2026,11,1),Stripe_Invoices_Upload!$A$4:$A$5003,"&lt;"&amp;EDATE(DATE(2026,11,1),1)))&gt;0,"✓ Invoiced","⚠ Due"),""),""))</f>
        <v/>
      </c>
      <c r="O31" s="130" t="str">
        <f aca="false">IF($A31="","",IF((DATE(YEAR($E31),MONTH($E31),1)&lt;=DATE(2026,12,1)),IF((MOD(DATEDIF(DATE(YEAR($E31),MONTH($E31),1),DATE(2026,12,1),"m"),IF($D31="Quarterly",3,IF($D31="Annual",12,1)))=0),IF((COUNTIFS(Xero_Raw!$D$4:$D$5003,$A31,Xero_Raw!$G$4:$G$5003,"*Subscription*",Xero_Raw!$A$4:$A$5003,"&gt;="&amp;DATE(2026,12,1),Xero_Raw!$A$4:$A$5003,"&lt;"&amp;EDATE(DATE(2026,12,1),1))+COUNTIFS(Customer_Invoices_Upload!$E$4:$E$5003,$A31,Customer_Invoices_Upload!$G$4:$G$5003,"*Subscription*",Customer_Invoices_Upload!$B$4:$B$5003,"&gt;="&amp;DATE(2026,12,1),Customer_Invoices_Upload!$B$4:$B$5003,"&lt;"&amp;EDATE(DATE(2026,12,1),1))+COUNTIFS(Stripe_Invoices_Upload!$D$4:$D$5003,$A31,Stripe_Invoices_Upload!$E$4:$E$5003,"*Subscription*",Stripe_Invoices_Upload!$A$4:$A$5003,"&gt;="&amp;DATE(2026,12,1),Stripe_Invoices_Upload!$A$4:$A$5003,"&lt;"&amp;EDATE(DATE(2026,12,1),1)))&gt;0,"✓ Invoiced","⚠ Due"),""),""))</f>
        <v/>
      </c>
      <c r="P31" s="130" t="str">
        <f aca="false">IF($A31="","",IF((DATE(YEAR($E31),MONTH($E31),1)&lt;=DATE(2027,1,1)),IF((MOD(DATEDIF(DATE(YEAR($E31),MONTH($E31),1),DATE(2027,1,1),"m"),IF($D31="Quarterly",3,IF($D31="Annual",12,1)))=0),IF((COUNTIFS(Xero_Raw!$D$4:$D$5003,$A31,Xero_Raw!$G$4:$G$5003,"*Subscription*",Xero_Raw!$A$4:$A$5003,"&gt;="&amp;DATE(2027,1,1),Xero_Raw!$A$4:$A$5003,"&lt;"&amp;EDATE(DATE(2027,1,1),1))+COUNTIFS(Customer_Invoices_Upload!$E$4:$E$5003,$A31,Customer_Invoices_Upload!$G$4:$G$5003,"*Subscription*",Customer_Invoices_Upload!$B$4:$B$5003,"&gt;="&amp;DATE(2027,1,1),Customer_Invoices_Upload!$B$4:$B$5003,"&lt;"&amp;EDATE(DATE(2027,1,1),1))+COUNTIFS(Stripe_Invoices_Upload!$D$4:$D$5003,$A31,Stripe_Invoices_Upload!$E$4:$E$5003,"*Subscription*",Stripe_Invoices_Upload!$A$4:$A$5003,"&gt;="&amp;DATE(2027,1,1),Stripe_Invoices_Upload!$A$4:$A$5003,"&lt;"&amp;EDATE(DATE(2027,1,1),1)))&gt;0,"✓ Invoiced","⚠ Due"),""),""))</f>
        <v/>
      </c>
      <c r="Q31" s="130" t="str">
        <f aca="false">IF($A31="","",IF((DATE(YEAR($E31),MONTH($E31),1)&lt;=DATE(2027,2,1)),IF((MOD(DATEDIF(DATE(YEAR($E31),MONTH($E31),1),DATE(2027,2,1),"m"),IF($D31="Quarterly",3,IF($D31="Annual",12,1)))=0),IF((COUNTIFS(Xero_Raw!$D$4:$D$5003,$A31,Xero_Raw!$G$4:$G$5003,"*Subscription*",Xero_Raw!$A$4:$A$5003,"&gt;="&amp;DATE(2027,2,1),Xero_Raw!$A$4:$A$5003,"&lt;"&amp;EDATE(DATE(2027,2,1),1))+COUNTIFS(Customer_Invoices_Upload!$E$4:$E$5003,$A31,Customer_Invoices_Upload!$G$4:$G$5003,"*Subscription*",Customer_Invoices_Upload!$B$4:$B$5003,"&gt;="&amp;DATE(2027,2,1),Customer_Invoices_Upload!$B$4:$B$5003,"&lt;"&amp;EDATE(DATE(2027,2,1),1))+COUNTIFS(Stripe_Invoices_Upload!$D$4:$D$5003,$A31,Stripe_Invoices_Upload!$E$4:$E$5003,"*Subscription*",Stripe_Invoices_Upload!$A$4:$A$5003,"&gt;="&amp;DATE(2027,2,1),Stripe_Invoices_Upload!$A$4:$A$5003,"&lt;"&amp;EDATE(DATE(2027,2,1),1)))&gt;0,"✓ Invoiced","⚠ Due"),""),""))</f>
        <v/>
      </c>
      <c r="R31" s="130" t="str">
        <f aca="false">IF($A31="","",IF((DATE(YEAR($E31),MONTH($E31),1)&lt;=DATE(2027,3,1)),IF((MOD(DATEDIF(DATE(YEAR($E31),MONTH($E31),1),DATE(2027,3,1),"m"),IF($D31="Quarterly",3,IF($D31="Annual",12,1)))=0),IF((COUNTIFS(Xero_Raw!$D$4:$D$5003,$A31,Xero_Raw!$G$4:$G$5003,"*Subscription*",Xero_Raw!$A$4:$A$5003,"&gt;="&amp;DATE(2027,3,1),Xero_Raw!$A$4:$A$5003,"&lt;"&amp;EDATE(DATE(2027,3,1),1))+COUNTIFS(Customer_Invoices_Upload!$E$4:$E$5003,$A31,Customer_Invoices_Upload!$G$4:$G$5003,"*Subscription*",Customer_Invoices_Upload!$B$4:$B$5003,"&gt;="&amp;DATE(2027,3,1),Customer_Invoices_Upload!$B$4:$B$5003,"&lt;"&amp;EDATE(DATE(2027,3,1),1))+COUNTIFS(Stripe_Invoices_Upload!$D$4:$D$5003,$A31,Stripe_Invoices_Upload!$E$4:$E$5003,"*Subscription*",Stripe_Invoices_Upload!$A$4:$A$5003,"&gt;="&amp;DATE(2027,3,1),Stripe_Invoices_Upload!$A$4:$A$5003,"&lt;"&amp;EDATE(DATE(2027,3,1),1)))&gt;0,"✓ Invoiced","⚠ Due"),""),""))</f>
        <v/>
      </c>
    </row>
    <row r="32" customFormat="false" ht="15" hidden="false" customHeight="false" outlineLevel="0" collapsed="false">
      <c r="A32" s="39"/>
      <c r="B32" s="39"/>
      <c r="C32" s="40"/>
      <c r="D32" s="39"/>
      <c r="E32" s="38"/>
      <c r="F32" s="129" t="str">
        <f aca="true">IF($A32="","",EDATE($E32,DATEDIF($E32,TODAY(),"m")+1))</f>
        <v/>
      </c>
      <c r="G32" s="130" t="str">
        <f aca="false">IF($A32="","",IF((DATE(YEAR($E32),MONTH($E32),1)&lt;=DATE(2026,4,1)),IF((MOD(DATEDIF(DATE(YEAR($E32),MONTH($E32),1),DATE(2026,4,1),"m"),IF($D32="Quarterly",3,IF($D32="Annual",12,1)))=0),IF((COUNTIFS(Xero_Raw!$D$4:$D$5003,$A32,Xero_Raw!$G$4:$G$5003,"*Subscription*",Xero_Raw!$A$4:$A$5003,"&gt;="&amp;DATE(2026,4,1),Xero_Raw!$A$4:$A$5003,"&lt;"&amp;EDATE(DATE(2026,4,1),1))+COUNTIFS(Customer_Invoices_Upload!$E$4:$E$5003,$A32,Customer_Invoices_Upload!$G$4:$G$5003,"*Subscription*",Customer_Invoices_Upload!$B$4:$B$5003,"&gt;="&amp;DATE(2026,4,1),Customer_Invoices_Upload!$B$4:$B$5003,"&lt;"&amp;EDATE(DATE(2026,4,1),1))+COUNTIFS(Stripe_Invoices_Upload!$D$4:$D$5003,$A32,Stripe_Invoices_Upload!$E$4:$E$5003,"*Subscription*",Stripe_Invoices_Upload!$A$4:$A$5003,"&gt;="&amp;DATE(2026,4,1),Stripe_Invoices_Upload!$A$4:$A$5003,"&lt;"&amp;EDATE(DATE(2026,4,1),1)))&gt;0,"✓ Invoiced","⚠ Due"),""),""))</f>
        <v/>
      </c>
      <c r="H32" s="130" t="str">
        <f aca="false">IF($A32="","",IF((DATE(YEAR($E32),MONTH($E32),1)&lt;=DATE(2026,5,1)),IF((MOD(DATEDIF(DATE(YEAR($E32),MONTH($E32),1),DATE(2026,5,1),"m"),IF($D32="Quarterly",3,IF($D32="Annual",12,1)))=0),IF((COUNTIFS(Xero_Raw!$D$4:$D$5003,$A32,Xero_Raw!$G$4:$G$5003,"*Subscription*",Xero_Raw!$A$4:$A$5003,"&gt;="&amp;DATE(2026,5,1),Xero_Raw!$A$4:$A$5003,"&lt;"&amp;EDATE(DATE(2026,5,1),1))+COUNTIFS(Customer_Invoices_Upload!$E$4:$E$5003,$A32,Customer_Invoices_Upload!$G$4:$G$5003,"*Subscription*",Customer_Invoices_Upload!$B$4:$B$5003,"&gt;="&amp;DATE(2026,5,1),Customer_Invoices_Upload!$B$4:$B$5003,"&lt;"&amp;EDATE(DATE(2026,5,1),1))+COUNTIFS(Stripe_Invoices_Upload!$D$4:$D$5003,$A32,Stripe_Invoices_Upload!$E$4:$E$5003,"*Subscription*",Stripe_Invoices_Upload!$A$4:$A$5003,"&gt;="&amp;DATE(2026,5,1),Stripe_Invoices_Upload!$A$4:$A$5003,"&lt;"&amp;EDATE(DATE(2026,5,1),1)))&gt;0,"✓ Invoiced","⚠ Due"),""),""))</f>
        <v/>
      </c>
      <c r="I32" s="130" t="str">
        <f aca="false">IF($A32="","",IF((DATE(YEAR($E32),MONTH($E32),1)&lt;=DATE(2026,6,1)),IF((MOD(DATEDIF(DATE(YEAR($E32),MONTH($E32),1),DATE(2026,6,1),"m"),IF($D32="Quarterly",3,IF($D32="Annual",12,1)))=0),IF((COUNTIFS(Xero_Raw!$D$4:$D$5003,$A32,Xero_Raw!$G$4:$G$5003,"*Subscription*",Xero_Raw!$A$4:$A$5003,"&gt;="&amp;DATE(2026,6,1),Xero_Raw!$A$4:$A$5003,"&lt;"&amp;EDATE(DATE(2026,6,1),1))+COUNTIFS(Customer_Invoices_Upload!$E$4:$E$5003,$A32,Customer_Invoices_Upload!$G$4:$G$5003,"*Subscription*",Customer_Invoices_Upload!$B$4:$B$5003,"&gt;="&amp;DATE(2026,6,1),Customer_Invoices_Upload!$B$4:$B$5003,"&lt;"&amp;EDATE(DATE(2026,6,1),1))+COUNTIFS(Stripe_Invoices_Upload!$D$4:$D$5003,$A32,Stripe_Invoices_Upload!$E$4:$E$5003,"*Subscription*",Stripe_Invoices_Upload!$A$4:$A$5003,"&gt;="&amp;DATE(2026,6,1),Stripe_Invoices_Upload!$A$4:$A$5003,"&lt;"&amp;EDATE(DATE(2026,6,1),1)))&gt;0,"✓ Invoiced","⚠ Due"),""),""))</f>
        <v/>
      </c>
      <c r="J32" s="130" t="str">
        <f aca="false">IF($A32="","",IF((DATE(YEAR($E32),MONTH($E32),1)&lt;=DATE(2026,7,1)),IF((MOD(DATEDIF(DATE(YEAR($E32),MONTH($E32),1),DATE(2026,7,1),"m"),IF($D32="Quarterly",3,IF($D32="Annual",12,1)))=0),IF((COUNTIFS(Xero_Raw!$D$4:$D$5003,$A32,Xero_Raw!$G$4:$G$5003,"*Subscription*",Xero_Raw!$A$4:$A$5003,"&gt;="&amp;DATE(2026,7,1),Xero_Raw!$A$4:$A$5003,"&lt;"&amp;EDATE(DATE(2026,7,1),1))+COUNTIFS(Customer_Invoices_Upload!$E$4:$E$5003,$A32,Customer_Invoices_Upload!$G$4:$G$5003,"*Subscription*",Customer_Invoices_Upload!$B$4:$B$5003,"&gt;="&amp;DATE(2026,7,1),Customer_Invoices_Upload!$B$4:$B$5003,"&lt;"&amp;EDATE(DATE(2026,7,1),1))+COUNTIFS(Stripe_Invoices_Upload!$D$4:$D$5003,$A32,Stripe_Invoices_Upload!$E$4:$E$5003,"*Subscription*",Stripe_Invoices_Upload!$A$4:$A$5003,"&gt;="&amp;DATE(2026,7,1),Stripe_Invoices_Upload!$A$4:$A$5003,"&lt;"&amp;EDATE(DATE(2026,7,1),1)))&gt;0,"✓ Invoiced","⚠ Due"),""),""))</f>
        <v/>
      </c>
      <c r="K32" s="130" t="str">
        <f aca="false">IF($A32="","",IF((DATE(YEAR($E32),MONTH($E32),1)&lt;=DATE(2026,8,1)),IF((MOD(DATEDIF(DATE(YEAR($E32),MONTH($E32),1),DATE(2026,8,1),"m"),IF($D32="Quarterly",3,IF($D32="Annual",12,1)))=0),IF((COUNTIFS(Xero_Raw!$D$4:$D$5003,$A32,Xero_Raw!$G$4:$G$5003,"*Subscription*",Xero_Raw!$A$4:$A$5003,"&gt;="&amp;DATE(2026,8,1),Xero_Raw!$A$4:$A$5003,"&lt;"&amp;EDATE(DATE(2026,8,1),1))+COUNTIFS(Customer_Invoices_Upload!$E$4:$E$5003,$A32,Customer_Invoices_Upload!$G$4:$G$5003,"*Subscription*",Customer_Invoices_Upload!$B$4:$B$5003,"&gt;="&amp;DATE(2026,8,1),Customer_Invoices_Upload!$B$4:$B$5003,"&lt;"&amp;EDATE(DATE(2026,8,1),1))+COUNTIFS(Stripe_Invoices_Upload!$D$4:$D$5003,$A32,Stripe_Invoices_Upload!$E$4:$E$5003,"*Subscription*",Stripe_Invoices_Upload!$A$4:$A$5003,"&gt;="&amp;DATE(2026,8,1),Stripe_Invoices_Upload!$A$4:$A$5003,"&lt;"&amp;EDATE(DATE(2026,8,1),1)))&gt;0,"✓ Invoiced","⚠ Due"),""),""))</f>
        <v/>
      </c>
      <c r="L32" s="130" t="str">
        <f aca="false">IF($A32="","",IF((DATE(YEAR($E32),MONTH($E32),1)&lt;=DATE(2026,9,1)),IF((MOD(DATEDIF(DATE(YEAR($E32),MONTH($E32),1),DATE(2026,9,1),"m"),IF($D32="Quarterly",3,IF($D32="Annual",12,1)))=0),IF((COUNTIFS(Xero_Raw!$D$4:$D$5003,$A32,Xero_Raw!$G$4:$G$5003,"*Subscription*",Xero_Raw!$A$4:$A$5003,"&gt;="&amp;DATE(2026,9,1),Xero_Raw!$A$4:$A$5003,"&lt;"&amp;EDATE(DATE(2026,9,1),1))+COUNTIFS(Customer_Invoices_Upload!$E$4:$E$5003,$A32,Customer_Invoices_Upload!$G$4:$G$5003,"*Subscription*",Customer_Invoices_Upload!$B$4:$B$5003,"&gt;="&amp;DATE(2026,9,1),Customer_Invoices_Upload!$B$4:$B$5003,"&lt;"&amp;EDATE(DATE(2026,9,1),1))+COUNTIFS(Stripe_Invoices_Upload!$D$4:$D$5003,$A32,Stripe_Invoices_Upload!$E$4:$E$5003,"*Subscription*",Stripe_Invoices_Upload!$A$4:$A$5003,"&gt;="&amp;DATE(2026,9,1),Stripe_Invoices_Upload!$A$4:$A$5003,"&lt;"&amp;EDATE(DATE(2026,9,1),1)))&gt;0,"✓ Invoiced","⚠ Due"),""),""))</f>
        <v/>
      </c>
      <c r="M32" s="130" t="str">
        <f aca="false">IF($A32="","",IF((DATE(YEAR($E32),MONTH($E32),1)&lt;=DATE(2026,10,1)),IF((MOD(DATEDIF(DATE(YEAR($E32),MONTH($E32),1),DATE(2026,10,1),"m"),IF($D32="Quarterly",3,IF($D32="Annual",12,1)))=0),IF((COUNTIFS(Xero_Raw!$D$4:$D$5003,$A32,Xero_Raw!$G$4:$G$5003,"*Subscription*",Xero_Raw!$A$4:$A$5003,"&gt;="&amp;DATE(2026,10,1),Xero_Raw!$A$4:$A$5003,"&lt;"&amp;EDATE(DATE(2026,10,1),1))+COUNTIFS(Customer_Invoices_Upload!$E$4:$E$5003,$A32,Customer_Invoices_Upload!$G$4:$G$5003,"*Subscription*",Customer_Invoices_Upload!$B$4:$B$5003,"&gt;="&amp;DATE(2026,10,1),Customer_Invoices_Upload!$B$4:$B$5003,"&lt;"&amp;EDATE(DATE(2026,10,1),1))+COUNTIFS(Stripe_Invoices_Upload!$D$4:$D$5003,$A32,Stripe_Invoices_Upload!$E$4:$E$5003,"*Subscription*",Stripe_Invoices_Upload!$A$4:$A$5003,"&gt;="&amp;DATE(2026,10,1),Stripe_Invoices_Upload!$A$4:$A$5003,"&lt;"&amp;EDATE(DATE(2026,10,1),1)))&gt;0,"✓ Invoiced","⚠ Due"),""),""))</f>
        <v/>
      </c>
      <c r="N32" s="130" t="str">
        <f aca="false">IF($A32="","",IF((DATE(YEAR($E32),MONTH($E32),1)&lt;=DATE(2026,11,1)),IF((MOD(DATEDIF(DATE(YEAR($E32),MONTH($E32),1),DATE(2026,11,1),"m"),IF($D32="Quarterly",3,IF($D32="Annual",12,1)))=0),IF((COUNTIFS(Xero_Raw!$D$4:$D$5003,$A32,Xero_Raw!$G$4:$G$5003,"*Subscription*",Xero_Raw!$A$4:$A$5003,"&gt;="&amp;DATE(2026,11,1),Xero_Raw!$A$4:$A$5003,"&lt;"&amp;EDATE(DATE(2026,11,1),1))+COUNTIFS(Customer_Invoices_Upload!$E$4:$E$5003,$A32,Customer_Invoices_Upload!$G$4:$G$5003,"*Subscription*",Customer_Invoices_Upload!$B$4:$B$5003,"&gt;="&amp;DATE(2026,11,1),Customer_Invoices_Upload!$B$4:$B$5003,"&lt;"&amp;EDATE(DATE(2026,11,1),1))+COUNTIFS(Stripe_Invoices_Upload!$D$4:$D$5003,$A32,Stripe_Invoices_Upload!$E$4:$E$5003,"*Subscription*",Stripe_Invoices_Upload!$A$4:$A$5003,"&gt;="&amp;DATE(2026,11,1),Stripe_Invoices_Upload!$A$4:$A$5003,"&lt;"&amp;EDATE(DATE(2026,11,1),1)))&gt;0,"✓ Invoiced","⚠ Due"),""),""))</f>
        <v/>
      </c>
      <c r="O32" s="130" t="str">
        <f aca="false">IF($A32="","",IF((DATE(YEAR($E32),MONTH($E32),1)&lt;=DATE(2026,12,1)),IF((MOD(DATEDIF(DATE(YEAR($E32),MONTH($E32),1),DATE(2026,12,1),"m"),IF($D32="Quarterly",3,IF($D32="Annual",12,1)))=0),IF((COUNTIFS(Xero_Raw!$D$4:$D$5003,$A32,Xero_Raw!$G$4:$G$5003,"*Subscription*",Xero_Raw!$A$4:$A$5003,"&gt;="&amp;DATE(2026,12,1),Xero_Raw!$A$4:$A$5003,"&lt;"&amp;EDATE(DATE(2026,12,1),1))+COUNTIFS(Customer_Invoices_Upload!$E$4:$E$5003,$A32,Customer_Invoices_Upload!$G$4:$G$5003,"*Subscription*",Customer_Invoices_Upload!$B$4:$B$5003,"&gt;="&amp;DATE(2026,12,1),Customer_Invoices_Upload!$B$4:$B$5003,"&lt;"&amp;EDATE(DATE(2026,12,1),1))+COUNTIFS(Stripe_Invoices_Upload!$D$4:$D$5003,$A32,Stripe_Invoices_Upload!$E$4:$E$5003,"*Subscription*",Stripe_Invoices_Upload!$A$4:$A$5003,"&gt;="&amp;DATE(2026,12,1),Stripe_Invoices_Upload!$A$4:$A$5003,"&lt;"&amp;EDATE(DATE(2026,12,1),1)))&gt;0,"✓ Invoiced","⚠ Due"),""),""))</f>
        <v/>
      </c>
      <c r="P32" s="130" t="str">
        <f aca="false">IF($A32="","",IF((DATE(YEAR($E32),MONTH($E32),1)&lt;=DATE(2027,1,1)),IF((MOD(DATEDIF(DATE(YEAR($E32),MONTH($E32),1),DATE(2027,1,1),"m"),IF($D32="Quarterly",3,IF($D32="Annual",12,1)))=0),IF((COUNTIFS(Xero_Raw!$D$4:$D$5003,$A32,Xero_Raw!$G$4:$G$5003,"*Subscription*",Xero_Raw!$A$4:$A$5003,"&gt;="&amp;DATE(2027,1,1),Xero_Raw!$A$4:$A$5003,"&lt;"&amp;EDATE(DATE(2027,1,1),1))+COUNTIFS(Customer_Invoices_Upload!$E$4:$E$5003,$A32,Customer_Invoices_Upload!$G$4:$G$5003,"*Subscription*",Customer_Invoices_Upload!$B$4:$B$5003,"&gt;="&amp;DATE(2027,1,1),Customer_Invoices_Upload!$B$4:$B$5003,"&lt;"&amp;EDATE(DATE(2027,1,1),1))+COUNTIFS(Stripe_Invoices_Upload!$D$4:$D$5003,$A32,Stripe_Invoices_Upload!$E$4:$E$5003,"*Subscription*",Stripe_Invoices_Upload!$A$4:$A$5003,"&gt;="&amp;DATE(2027,1,1),Stripe_Invoices_Upload!$A$4:$A$5003,"&lt;"&amp;EDATE(DATE(2027,1,1),1)))&gt;0,"✓ Invoiced","⚠ Due"),""),""))</f>
        <v/>
      </c>
      <c r="Q32" s="130" t="str">
        <f aca="false">IF($A32="","",IF((DATE(YEAR($E32),MONTH($E32),1)&lt;=DATE(2027,2,1)),IF((MOD(DATEDIF(DATE(YEAR($E32),MONTH($E32),1),DATE(2027,2,1),"m"),IF($D32="Quarterly",3,IF($D32="Annual",12,1)))=0),IF((COUNTIFS(Xero_Raw!$D$4:$D$5003,$A32,Xero_Raw!$G$4:$G$5003,"*Subscription*",Xero_Raw!$A$4:$A$5003,"&gt;="&amp;DATE(2027,2,1),Xero_Raw!$A$4:$A$5003,"&lt;"&amp;EDATE(DATE(2027,2,1),1))+COUNTIFS(Customer_Invoices_Upload!$E$4:$E$5003,$A32,Customer_Invoices_Upload!$G$4:$G$5003,"*Subscription*",Customer_Invoices_Upload!$B$4:$B$5003,"&gt;="&amp;DATE(2027,2,1),Customer_Invoices_Upload!$B$4:$B$5003,"&lt;"&amp;EDATE(DATE(2027,2,1),1))+COUNTIFS(Stripe_Invoices_Upload!$D$4:$D$5003,$A32,Stripe_Invoices_Upload!$E$4:$E$5003,"*Subscription*",Stripe_Invoices_Upload!$A$4:$A$5003,"&gt;="&amp;DATE(2027,2,1),Stripe_Invoices_Upload!$A$4:$A$5003,"&lt;"&amp;EDATE(DATE(2027,2,1),1)))&gt;0,"✓ Invoiced","⚠ Due"),""),""))</f>
        <v/>
      </c>
      <c r="R32" s="130" t="str">
        <f aca="false">IF($A32="","",IF((DATE(YEAR($E32),MONTH($E32),1)&lt;=DATE(2027,3,1)),IF((MOD(DATEDIF(DATE(YEAR($E32),MONTH($E32),1),DATE(2027,3,1),"m"),IF($D32="Quarterly",3,IF($D32="Annual",12,1)))=0),IF((COUNTIFS(Xero_Raw!$D$4:$D$5003,$A32,Xero_Raw!$G$4:$G$5003,"*Subscription*",Xero_Raw!$A$4:$A$5003,"&gt;="&amp;DATE(2027,3,1),Xero_Raw!$A$4:$A$5003,"&lt;"&amp;EDATE(DATE(2027,3,1),1))+COUNTIFS(Customer_Invoices_Upload!$E$4:$E$5003,$A32,Customer_Invoices_Upload!$G$4:$G$5003,"*Subscription*",Customer_Invoices_Upload!$B$4:$B$5003,"&gt;="&amp;DATE(2027,3,1),Customer_Invoices_Upload!$B$4:$B$5003,"&lt;"&amp;EDATE(DATE(2027,3,1),1))+COUNTIFS(Stripe_Invoices_Upload!$D$4:$D$5003,$A32,Stripe_Invoices_Upload!$E$4:$E$5003,"*Subscription*",Stripe_Invoices_Upload!$A$4:$A$5003,"&gt;="&amp;DATE(2027,3,1),Stripe_Invoices_Upload!$A$4:$A$5003,"&lt;"&amp;EDATE(DATE(2027,3,1),1)))&gt;0,"✓ Invoiced","⚠ Due"),""),""))</f>
        <v/>
      </c>
    </row>
    <row r="33" customFormat="false" ht="15" hidden="false" customHeight="false" outlineLevel="0" collapsed="false">
      <c r="A33" s="39"/>
      <c r="B33" s="39"/>
      <c r="C33" s="40"/>
      <c r="D33" s="39"/>
      <c r="E33" s="38"/>
      <c r="F33" s="129" t="str">
        <f aca="true">IF($A33="","",EDATE($E33,DATEDIF($E33,TODAY(),"m")+1))</f>
        <v/>
      </c>
      <c r="G33" s="130" t="str">
        <f aca="false">IF($A33="","",IF((DATE(YEAR($E33),MONTH($E33),1)&lt;=DATE(2026,4,1)),IF((MOD(DATEDIF(DATE(YEAR($E33),MONTH($E33),1),DATE(2026,4,1),"m"),IF($D33="Quarterly",3,IF($D33="Annual",12,1)))=0),IF((COUNTIFS(Xero_Raw!$D$4:$D$5003,$A33,Xero_Raw!$G$4:$G$5003,"*Subscription*",Xero_Raw!$A$4:$A$5003,"&gt;="&amp;DATE(2026,4,1),Xero_Raw!$A$4:$A$5003,"&lt;"&amp;EDATE(DATE(2026,4,1),1))+COUNTIFS(Customer_Invoices_Upload!$E$4:$E$5003,$A33,Customer_Invoices_Upload!$G$4:$G$5003,"*Subscription*",Customer_Invoices_Upload!$B$4:$B$5003,"&gt;="&amp;DATE(2026,4,1),Customer_Invoices_Upload!$B$4:$B$5003,"&lt;"&amp;EDATE(DATE(2026,4,1),1))+COUNTIFS(Stripe_Invoices_Upload!$D$4:$D$5003,$A33,Stripe_Invoices_Upload!$E$4:$E$5003,"*Subscription*",Stripe_Invoices_Upload!$A$4:$A$5003,"&gt;="&amp;DATE(2026,4,1),Stripe_Invoices_Upload!$A$4:$A$5003,"&lt;"&amp;EDATE(DATE(2026,4,1),1)))&gt;0,"✓ Invoiced","⚠ Due"),""),""))</f>
        <v/>
      </c>
      <c r="H33" s="130" t="str">
        <f aca="false">IF($A33="","",IF((DATE(YEAR($E33),MONTH($E33),1)&lt;=DATE(2026,5,1)),IF((MOD(DATEDIF(DATE(YEAR($E33),MONTH($E33),1),DATE(2026,5,1),"m"),IF($D33="Quarterly",3,IF($D33="Annual",12,1)))=0),IF((COUNTIFS(Xero_Raw!$D$4:$D$5003,$A33,Xero_Raw!$G$4:$G$5003,"*Subscription*",Xero_Raw!$A$4:$A$5003,"&gt;="&amp;DATE(2026,5,1),Xero_Raw!$A$4:$A$5003,"&lt;"&amp;EDATE(DATE(2026,5,1),1))+COUNTIFS(Customer_Invoices_Upload!$E$4:$E$5003,$A33,Customer_Invoices_Upload!$G$4:$G$5003,"*Subscription*",Customer_Invoices_Upload!$B$4:$B$5003,"&gt;="&amp;DATE(2026,5,1),Customer_Invoices_Upload!$B$4:$B$5003,"&lt;"&amp;EDATE(DATE(2026,5,1),1))+COUNTIFS(Stripe_Invoices_Upload!$D$4:$D$5003,$A33,Stripe_Invoices_Upload!$E$4:$E$5003,"*Subscription*",Stripe_Invoices_Upload!$A$4:$A$5003,"&gt;="&amp;DATE(2026,5,1),Stripe_Invoices_Upload!$A$4:$A$5003,"&lt;"&amp;EDATE(DATE(2026,5,1),1)))&gt;0,"✓ Invoiced","⚠ Due"),""),""))</f>
        <v/>
      </c>
      <c r="I33" s="130" t="str">
        <f aca="false">IF($A33="","",IF((DATE(YEAR($E33),MONTH($E33),1)&lt;=DATE(2026,6,1)),IF((MOD(DATEDIF(DATE(YEAR($E33),MONTH($E33),1),DATE(2026,6,1),"m"),IF($D33="Quarterly",3,IF($D33="Annual",12,1)))=0),IF((COUNTIFS(Xero_Raw!$D$4:$D$5003,$A33,Xero_Raw!$G$4:$G$5003,"*Subscription*",Xero_Raw!$A$4:$A$5003,"&gt;="&amp;DATE(2026,6,1),Xero_Raw!$A$4:$A$5003,"&lt;"&amp;EDATE(DATE(2026,6,1),1))+COUNTIFS(Customer_Invoices_Upload!$E$4:$E$5003,$A33,Customer_Invoices_Upload!$G$4:$G$5003,"*Subscription*",Customer_Invoices_Upload!$B$4:$B$5003,"&gt;="&amp;DATE(2026,6,1),Customer_Invoices_Upload!$B$4:$B$5003,"&lt;"&amp;EDATE(DATE(2026,6,1),1))+COUNTIFS(Stripe_Invoices_Upload!$D$4:$D$5003,$A33,Stripe_Invoices_Upload!$E$4:$E$5003,"*Subscription*",Stripe_Invoices_Upload!$A$4:$A$5003,"&gt;="&amp;DATE(2026,6,1),Stripe_Invoices_Upload!$A$4:$A$5003,"&lt;"&amp;EDATE(DATE(2026,6,1),1)))&gt;0,"✓ Invoiced","⚠ Due"),""),""))</f>
        <v/>
      </c>
      <c r="J33" s="130" t="str">
        <f aca="false">IF($A33="","",IF((DATE(YEAR($E33),MONTH($E33),1)&lt;=DATE(2026,7,1)),IF((MOD(DATEDIF(DATE(YEAR($E33),MONTH($E33),1),DATE(2026,7,1),"m"),IF($D33="Quarterly",3,IF($D33="Annual",12,1)))=0),IF((COUNTIFS(Xero_Raw!$D$4:$D$5003,$A33,Xero_Raw!$G$4:$G$5003,"*Subscription*",Xero_Raw!$A$4:$A$5003,"&gt;="&amp;DATE(2026,7,1),Xero_Raw!$A$4:$A$5003,"&lt;"&amp;EDATE(DATE(2026,7,1),1))+COUNTIFS(Customer_Invoices_Upload!$E$4:$E$5003,$A33,Customer_Invoices_Upload!$G$4:$G$5003,"*Subscription*",Customer_Invoices_Upload!$B$4:$B$5003,"&gt;="&amp;DATE(2026,7,1),Customer_Invoices_Upload!$B$4:$B$5003,"&lt;"&amp;EDATE(DATE(2026,7,1),1))+COUNTIFS(Stripe_Invoices_Upload!$D$4:$D$5003,$A33,Stripe_Invoices_Upload!$E$4:$E$5003,"*Subscription*",Stripe_Invoices_Upload!$A$4:$A$5003,"&gt;="&amp;DATE(2026,7,1),Stripe_Invoices_Upload!$A$4:$A$5003,"&lt;"&amp;EDATE(DATE(2026,7,1),1)))&gt;0,"✓ Invoiced","⚠ Due"),""),""))</f>
        <v/>
      </c>
      <c r="K33" s="130" t="str">
        <f aca="false">IF($A33="","",IF((DATE(YEAR($E33),MONTH($E33),1)&lt;=DATE(2026,8,1)),IF((MOD(DATEDIF(DATE(YEAR($E33),MONTH($E33),1),DATE(2026,8,1),"m"),IF($D33="Quarterly",3,IF($D33="Annual",12,1)))=0),IF((COUNTIFS(Xero_Raw!$D$4:$D$5003,$A33,Xero_Raw!$G$4:$G$5003,"*Subscription*",Xero_Raw!$A$4:$A$5003,"&gt;="&amp;DATE(2026,8,1),Xero_Raw!$A$4:$A$5003,"&lt;"&amp;EDATE(DATE(2026,8,1),1))+COUNTIFS(Customer_Invoices_Upload!$E$4:$E$5003,$A33,Customer_Invoices_Upload!$G$4:$G$5003,"*Subscription*",Customer_Invoices_Upload!$B$4:$B$5003,"&gt;="&amp;DATE(2026,8,1),Customer_Invoices_Upload!$B$4:$B$5003,"&lt;"&amp;EDATE(DATE(2026,8,1),1))+COUNTIFS(Stripe_Invoices_Upload!$D$4:$D$5003,$A33,Stripe_Invoices_Upload!$E$4:$E$5003,"*Subscription*",Stripe_Invoices_Upload!$A$4:$A$5003,"&gt;="&amp;DATE(2026,8,1),Stripe_Invoices_Upload!$A$4:$A$5003,"&lt;"&amp;EDATE(DATE(2026,8,1),1)))&gt;0,"✓ Invoiced","⚠ Due"),""),""))</f>
        <v/>
      </c>
      <c r="L33" s="130" t="str">
        <f aca="false">IF($A33="","",IF((DATE(YEAR($E33),MONTH($E33),1)&lt;=DATE(2026,9,1)),IF((MOD(DATEDIF(DATE(YEAR($E33),MONTH($E33),1),DATE(2026,9,1),"m"),IF($D33="Quarterly",3,IF($D33="Annual",12,1)))=0),IF((COUNTIFS(Xero_Raw!$D$4:$D$5003,$A33,Xero_Raw!$G$4:$G$5003,"*Subscription*",Xero_Raw!$A$4:$A$5003,"&gt;="&amp;DATE(2026,9,1),Xero_Raw!$A$4:$A$5003,"&lt;"&amp;EDATE(DATE(2026,9,1),1))+COUNTIFS(Customer_Invoices_Upload!$E$4:$E$5003,$A33,Customer_Invoices_Upload!$G$4:$G$5003,"*Subscription*",Customer_Invoices_Upload!$B$4:$B$5003,"&gt;="&amp;DATE(2026,9,1),Customer_Invoices_Upload!$B$4:$B$5003,"&lt;"&amp;EDATE(DATE(2026,9,1),1))+COUNTIFS(Stripe_Invoices_Upload!$D$4:$D$5003,$A33,Stripe_Invoices_Upload!$E$4:$E$5003,"*Subscription*",Stripe_Invoices_Upload!$A$4:$A$5003,"&gt;="&amp;DATE(2026,9,1),Stripe_Invoices_Upload!$A$4:$A$5003,"&lt;"&amp;EDATE(DATE(2026,9,1),1)))&gt;0,"✓ Invoiced","⚠ Due"),""),""))</f>
        <v/>
      </c>
      <c r="M33" s="130" t="str">
        <f aca="false">IF($A33="","",IF((DATE(YEAR($E33),MONTH($E33),1)&lt;=DATE(2026,10,1)),IF((MOD(DATEDIF(DATE(YEAR($E33),MONTH($E33),1),DATE(2026,10,1),"m"),IF($D33="Quarterly",3,IF($D33="Annual",12,1)))=0),IF((COUNTIFS(Xero_Raw!$D$4:$D$5003,$A33,Xero_Raw!$G$4:$G$5003,"*Subscription*",Xero_Raw!$A$4:$A$5003,"&gt;="&amp;DATE(2026,10,1),Xero_Raw!$A$4:$A$5003,"&lt;"&amp;EDATE(DATE(2026,10,1),1))+COUNTIFS(Customer_Invoices_Upload!$E$4:$E$5003,$A33,Customer_Invoices_Upload!$G$4:$G$5003,"*Subscription*",Customer_Invoices_Upload!$B$4:$B$5003,"&gt;="&amp;DATE(2026,10,1),Customer_Invoices_Upload!$B$4:$B$5003,"&lt;"&amp;EDATE(DATE(2026,10,1),1))+COUNTIFS(Stripe_Invoices_Upload!$D$4:$D$5003,$A33,Stripe_Invoices_Upload!$E$4:$E$5003,"*Subscription*",Stripe_Invoices_Upload!$A$4:$A$5003,"&gt;="&amp;DATE(2026,10,1),Stripe_Invoices_Upload!$A$4:$A$5003,"&lt;"&amp;EDATE(DATE(2026,10,1),1)))&gt;0,"✓ Invoiced","⚠ Due"),""),""))</f>
        <v/>
      </c>
      <c r="N33" s="130" t="str">
        <f aca="false">IF($A33="","",IF((DATE(YEAR($E33),MONTH($E33),1)&lt;=DATE(2026,11,1)),IF((MOD(DATEDIF(DATE(YEAR($E33),MONTH($E33),1),DATE(2026,11,1),"m"),IF($D33="Quarterly",3,IF($D33="Annual",12,1)))=0),IF((COUNTIFS(Xero_Raw!$D$4:$D$5003,$A33,Xero_Raw!$G$4:$G$5003,"*Subscription*",Xero_Raw!$A$4:$A$5003,"&gt;="&amp;DATE(2026,11,1),Xero_Raw!$A$4:$A$5003,"&lt;"&amp;EDATE(DATE(2026,11,1),1))+COUNTIFS(Customer_Invoices_Upload!$E$4:$E$5003,$A33,Customer_Invoices_Upload!$G$4:$G$5003,"*Subscription*",Customer_Invoices_Upload!$B$4:$B$5003,"&gt;="&amp;DATE(2026,11,1),Customer_Invoices_Upload!$B$4:$B$5003,"&lt;"&amp;EDATE(DATE(2026,11,1),1))+COUNTIFS(Stripe_Invoices_Upload!$D$4:$D$5003,$A33,Stripe_Invoices_Upload!$E$4:$E$5003,"*Subscription*",Stripe_Invoices_Upload!$A$4:$A$5003,"&gt;="&amp;DATE(2026,11,1),Stripe_Invoices_Upload!$A$4:$A$5003,"&lt;"&amp;EDATE(DATE(2026,11,1),1)))&gt;0,"✓ Invoiced","⚠ Due"),""),""))</f>
        <v/>
      </c>
      <c r="O33" s="130" t="str">
        <f aca="false">IF($A33="","",IF((DATE(YEAR($E33),MONTH($E33),1)&lt;=DATE(2026,12,1)),IF((MOD(DATEDIF(DATE(YEAR($E33),MONTH($E33),1),DATE(2026,12,1),"m"),IF($D33="Quarterly",3,IF($D33="Annual",12,1)))=0),IF((COUNTIFS(Xero_Raw!$D$4:$D$5003,$A33,Xero_Raw!$G$4:$G$5003,"*Subscription*",Xero_Raw!$A$4:$A$5003,"&gt;="&amp;DATE(2026,12,1),Xero_Raw!$A$4:$A$5003,"&lt;"&amp;EDATE(DATE(2026,12,1),1))+COUNTIFS(Customer_Invoices_Upload!$E$4:$E$5003,$A33,Customer_Invoices_Upload!$G$4:$G$5003,"*Subscription*",Customer_Invoices_Upload!$B$4:$B$5003,"&gt;="&amp;DATE(2026,12,1),Customer_Invoices_Upload!$B$4:$B$5003,"&lt;"&amp;EDATE(DATE(2026,12,1),1))+COUNTIFS(Stripe_Invoices_Upload!$D$4:$D$5003,$A33,Stripe_Invoices_Upload!$E$4:$E$5003,"*Subscription*",Stripe_Invoices_Upload!$A$4:$A$5003,"&gt;="&amp;DATE(2026,12,1),Stripe_Invoices_Upload!$A$4:$A$5003,"&lt;"&amp;EDATE(DATE(2026,12,1),1)))&gt;0,"✓ Invoiced","⚠ Due"),""),""))</f>
        <v/>
      </c>
      <c r="P33" s="130" t="str">
        <f aca="false">IF($A33="","",IF((DATE(YEAR($E33),MONTH($E33),1)&lt;=DATE(2027,1,1)),IF((MOD(DATEDIF(DATE(YEAR($E33),MONTH($E33),1),DATE(2027,1,1),"m"),IF($D33="Quarterly",3,IF($D33="Annual",12,1)))=0),IF((COUNTIFS(Xero_Raw!$D$4:$D$5003,$A33,Xero_Raw!$G$4:$G$5003,"*Subscription*",Xero_Raw!$A$4:$A$5003,"&gt;="&amp;DATE(2027,1,1),Xero_Raw!$A$4:$A$5003,"&lt;"&amp;EDATE(DATE(2027,1,1),1))+COUNTIFS(Customer_Invoices_Upload!$E$4:$E$5003,$A33,Customer_Invoices_Upload!$G$4:$G$5003,"*Subscription*",Customer_Invoices_Upload!$B$4:$B$5003,"&gt;="&amp;DATE(2027,1,1),Customer_Invoices_Upload!$B$4:$B$5003,"&lt;"&amp;EDATE(DATE(2027,1,1),1))+COUNTIFS(Stripe_Invoices_Upload!$D$4:$D$5003,$A33,Stripe_Invoices_Upload!$E$4:$E$5003,"*Subscription*",Stripe_Invoices_Upload!$A$4:$A$5003,"&gt;="&amp;DATE(2027,1,1),Stripe_Invoices_Upload!$A$4:$A$5003,"&lt;"&amp;EDATE(DATE(2027,1,1),1)))&gt;0,"✓ Invoiced","⚠ Due"),""),""))</f>
        <v/>
      </c>
      <c r="Q33" s="130" t="str">
        <f aca="false">IF($A33="","",IF((DATE(YEAR($E33),MONTH($E33),1)&lt;=DATE(2027,2,1)),IF((MOD(DATEDIF(DATE(YEAR($E33),MONTH($E33),1),DATE(2027,2,1),"m"),IF($D33="Quarterly",3,IF($D33="Annual",12,1)))=0),IF((COUNTIFS(Xero_Raw!$D$4:$D$5003,$A33,Xero_Raw!$G$4:$G$5003,"*Subscription*",Xero_Raw!$A$4:$A$5003,"&gt;="&amp;DATE(2027,2,1),Xero_Raw!$A$4:$A$5003,"&lt;"&amp;EDATE(DATE(2027,2,1),1))+COUNTIFS(Customer_Invoices_Upload!$E$4:$E$5003,$A33,Customer_Invoices_Upload!$G$4:$G$5003,"*Subscription*",Customer_Invoices_Upload!$B$4:$B$5003,"&gt;="&amp;DATE(2027,2,1),Customer_Invoices_Upload!$B$4:$B$5003,"&lt;"&amp;EDATE(DATE(2027,2,1),1))+COUNTIFS(Stripe_Invoices_Upload!$D$4:$D$5003,$A33,Stripe_Invoices_Upload!$E$4:$E$5003,"*Subscription*",Stripe_Invoices_Upload!$A$4:$A$5003,"&gt;="&amp;DATE(2027,2,1),Stripe_Invoices_Upload!$A$4:$A$5003,"&lt;"&amp;EDATE(DATE(2027,2,1),1)))&gt;0,"✓ Invoiced","⚠ Due"),""),""))</f>
        <v/>
      </c>
      <c r="R33" s="130" t="str">
        <f aca="false">IF($A33="","",IF((DATE(YEAR($E33),MONTH($E33),1)&lt;=DATE(2027,3,1)),IF((MOD(DATEDIF(DATE(YEAR($E33),MONTH($E33),1),DATE(2027,3,1),"m"),IF($D33="Quarterly",3,IF($D33="Annual",12,1)))=0),IF((COUNTIFS(Xero_Raw!$D$4:$D$5003,$A33,Xero_Raw!$G$4:$G$5003,"*Subscription*",Xero_Raw!$A$4:$A$5003,"&gt;="&amp;DATE(2027,3,1),Xero_Raw!$A$4:$A$5003,"&lt;"&amp;EDATE(DATE(2027,3,1),1))+COUNTIFS(Customer_Invoices_Upload!$E$4:$E$5003,$A33,Customer_Invoices_Upload!$G$4:$G$5003,"*Subscription*",Customer_Invoices_Upload!$B$4:$B$5003,"&gt;="&amp;DATE(2027,3,1),Customer_Invoices_Upload!$B$4:$B$5003,"&lt;"&amp;EDATE(DATE(2027,3,1),1))+COUNTIFS(Stripe_Invoices_Upload!$D$4:$D$5003,$A33,Stripe_Invoices_Upload!$E$4:$E$5003,"*Subscription*",Stripe_Invoices_Upload!$A$4:$A$5003,"&gt;="&amp;DATE(2027,3,1),Stripe_Invoices_Upload!$A$4:$A$5003,"&lt;"&amp;EDATE(DATE(2027,3,1),1)))&gt;0,"✓ Invoiced","⚠ Due"),""),""))</f>
        <v/>
      </c>
    </row>
    <row r="34" customFormat="false" ht="15" hidden="false" customHeight="false" outlineLevel="0" collapsed="false">
      <c r="A34" s="39"/>
      <c r="B34" s="39"/>
      <c r="C34" s="40"/>
      <c r="D34" s="39"/>
      <c r="E34" s="38"/>
      <c r="F34" s="129" t="str">
        <f aca="true">IF($A34="","",EDATE($E34,DATEDIF($E34,TODAY(),"m")+1))</f>
        <v/>
      </c>
      <c r="G34" s="130" t="str">
        <f aca="false">IF($A34="","",IF((DATE(YEAR($E34),MONTH($E34),1)&lt;=DATE(2026,4,1)),IF((MOD(DATEDIF(DATE(YEAR($E34),MONTH($E34),1),DATE(2026,4,1),"m"),IF($D34="Quarterly",3,IF($D34="Annual",12,1)))=0),IF((COUNTIFS(Xero_Raw!$D$4:$D$5003,$A34,Xero_Raw!$G$4:$G$5003,"*Subscription*",Xero_Raw!$A$4:$A$5003,"&gt;="&amp;DATE(2026,4,1),Xero_Raw!$A$4:$A$5003,"&lt;"&amp;EDATE(DATE(2026,4,1),1))+COUNTIFS(Customer_Invoices_Upload!$E$4:$E$5003,$A34,Customer_Invoices_Upload!$G$4:$G$5003,"*Subscription*",Customer_Invoices_Upload!$B$4:$B$5003,"&gt;="&amp;DATE(2026,4,1),Customer_Invoices_Upload!$B$4:$B$5003,"&lt;"&amp;EDATE(DATE(2026,4,1),1))+COUNTIFS(Stripe_Invoices_Upload!$D$4:$D$5003,$A34,Stripe_Invoices_Upload!$E$4:$E$5003,"*Subscription*",Stripe_Invoices_Upload!$A$4:$A$5003,"&gt;="&amp;DATE(2026,4,1),Stripe_Invoices_Upload!$A$4:$A$5003,"&lt;"&amp;EDATE(DATE(2026,4,1),1)))&gt;0,"✓ Invoiced","⚠ Due"),""),""))</f>
        <v/>
      </c>
      <c r="H34" s="130" t="str">
        <f aca="false">IF($A34="","",IF((DATE(YEAR($E34),MONTH($E34),1)&lt;=DATE(2026,5,1)),IF((MOD(DATEDIF(DATE(YEAR($E34),MONTH($E34),1),DATE(2026,5,1),"m"),IF($D34="Quarterly",3,IF($D34="Annual",12,1)))=0),IF((COUNTIFS(Xero_Raw!$D$4:$D$5003,$A34,Xero_Raw!$G$4:$G$5003,"*Subscription*",Xero_Raw!$A$4:$A$5003,"&gt;="&amp;DATE(2026,5,1),Xero_Raw!$A$4:$A$5003,"&lt;"&amp;EDATE(DATE(2026,5,1),1))+COUNTIFS(Customer_Invoices_Upload!$E$4:$E$5003,$A34,Customer_Invoices_Upload!$G$4:$G$5003,"*Subscription*",Customer_Invoices_Upload!$B$4:$B$5003,"&gt;="&amp;DATE(2026,5,1),Customer_Invoices_Upload!$B$4:$B$5003,"&lt;"&amp;EDATE(DATE(2026,5,1),1))+COUNTIFS(Stripe_Invoices_Upload!$D$4:$D$5003,$A34,Stripe_Invoices_Upload!$E$4:$E$5003,"*Subscription*",Stripe_Invoices_Upload!$A$4:$A$5003,"&gt;="&amp;DATE(2026,5,1),Stripe_Invoices_Upload!$A$4:$A$5003,"&lt;"&amp;EDATE(DATE(2026,5,1),1)))&gt;0,"✓ Invoiced","⚠ Due"),""),""))</f>
        <v/>
      </c>
      <c r="I34" s="130" t="str">
        <f aca="false">IF($A34="","",IF((DATE(YEAR($E34),MONTH($E34),1)&lt;=DATE(2026,6,1)),IF((MOD(DATEDIF(DATE(YEAR($E34),MONTH($E34),1),DATE(2026,6,1),"m"),IF($D34="Quarterly",3,IF($D34="Annual",12,1)))=0),IF((COUNTIFS(Xero_Raw!$D$4:$D$5003,$A34,Xero_Raw!$G$4:$G$5003,"*Subscription*",Xero_Raw!$A$4:$A$5003,"&gt;="&amp;DATE(2026,6,1),Xero_Raw!$A$4:$A$5003,"&lt;"&amp;EDATE(DATE(2026,6,1),1))+COUNTIFS(Customer_Invoices_Upload!$E$4:$E$5003,$A34,Customer_Invoices_Upload!$G$4:$G$5003,"*Subscription*",Customer_Invoices_Upload!$B$4:$B$5003,"&gt;="&amp;DATE(2026,6,1),Customer_Invoices_Upload!$B$4:$B$5003,"&lt;"&amp;EDATE(DATE(2026,6,1),1))+COUNTIFS(Stripe_Invoices_Upload!$D$4:$D$5003,$A34,Stripe_Invoices_Upload!$E$4:$E$5003,"*Subscription*",Stripe_Invoices_Upload!$A$4:$A$5003,"&gt;="&amp;DATE(2026,6,1),Stripe_Invoices_Upload!$A$4:$A$5003,"&lt;"&amp;EDATE(DATE(2026,6,1),1)))&gt;0,"✓ Invoiced","⚠ Due"),""),""))</f>
        <v/>
      </c>
      <c r="J34" s="130" t="str">
        <f aca="false">IF($A34="","",IF((DATE(YEAR($E34),MONTH($E34),1)&lt;=DATE(2026,7,1)),IF((MOD(DATEDIF(DATE(YEAR($E34),MONTH($E34),1),DATE(2026,7,1),"m"),IF($D34="Quarterly",3,IF($D34="Annual",12,1)))=0),IF((COUNTIFS(Xero_Raw!$D$4:$D$5003,$A34,Xero_Raw!$G$4:$G$5003,"*Subscription*",Xero_Raw!$A$4:$A$5003,"&gt;="&amp;DATE(2026,7,1),Xero_Raw!$A$4:$A$5003,"&lt;"&amp;EDATE(DATE(2026,7,1),1))+COUNTIFS(Customer_Invoices_Upload!$E$4:$E$5003,$A34,Customer_Invoices_Upload!$G$4:$G$5003,"*Subscription*",Customer_Invoices_Upload!$B$4:$B$5003,"&gt;="&amp;DATE(2026,7,1),Customer_Invoices_Upload!$B$4:$B$5003,"&lt;"&amp;EDATE(DATE(2026,7,1),1))+COUNTIFS(Stripe_Invoices_Upload!$D$4:$D$5003,$A34,Stripe_Invoices_Upload!$E$4:$E$5003,"*Subscription*",Stripe_Invoices_Upload!$A$4:$A$5003,"&gt;="&amp;DATE(2026,7,1),Stripe_Invoices_Upload!$A$4:$A$5003,"&lt;"&amp;EDATE(DATE(2026,7,1),1)))&gt;0,"✓ Invoiced","⚠ Due"),""),""))</f>
        <v/>
      </c>
      <c r="K34" s="130" t="str">
        <f aca="false">IF($A34="","",IF((DATE(YEAR($E34),MONTH($E34),1)&lt;=DATE(2026,8,1)),IF((MOD(DATEDIF(DATE(YEAR($E34),MONTH($E34),1),DATE(2026,8,1),"m"),IF($D34="Quarterly",3,IF($D34="Annual",12,1)))=0),IF((COUNTIFS(Xero_Raw!$D$4:$D$5003,$A34,Xero_Raw!$G$4:$G$5003,"*Subscription*",Xero_Raw!$A$4:$A$5003,"&gt;="&amp;DATE(2026,8,1),Xero_Raw!$A$4:$A$5003,"&lt;"&amp;EDATE(DATE(2026,8,1),1))+COUNTIFS(Customer_Invoices_Upload!$E$4:$E$5003,$A34,Customer_Invoices_Upload!$G$4:$G$5003,"*Subscription*",Customer_Invoices_Upload!$B$4:$B$5003,"&gt;="&amp;DATE(2026,8,1),Customer_Invoices_Upload!$B$4:$B$5003,"&lt;"&amp;EDATE(DATE(2026,8,1),1))+COUNTIFS(Stripe_Invoices_Upload!$D$4:$D$5003,$A34,Stripe_Invoices_Upload!$E$4:$E$5003,"*Subscription*",Stripe_Invoices_Upload!$A$4:$A$5003,"&gt;="&amp;DATE(2026,8,1),Stripe_Invoices_Upload!$A$4:$A$5003,"&lt;"&amp;EDATE(DATE(2026,8,1),1)))&gt;0,"✓ Invoiced","⚠ Due"),""),""))</f>
        <v/>
      </c>
      <c r="L34" s="130" t="str">
        <f aca="false">IF($A34="","",IF((DATE(YEAR($E34),MONTH($E34),1)&lt;=DATE(2026,9,1)),IF((MOD(DATEDIF(DATE(YEAR($E34),MONTH($E34),1),DATE(2026,9,1),"m"),IF($D34="Quarterly",3,IF($D34="Annual",12,1)))=0),IF((COUNTIFS(Xero_Raw!$D$4:$D$5003,$A34,Xero_Raw!$G$4:$G$5003,"*Subscription*",Xero_Raw!$A$4:$A$5003,"&gt;="&amp;DATE(2026,9,1),Xero_Raw!$A$4:$A$5003,"&lt;"&amp;EDATE(DATE(2026,9,1),1))+COUNTIFS(Customer_Invoices_Upload!$E$4:$E$5003,$A34,Customer_Invoices_Upload!$G$4:$G$5003,"*Subscription*",Customer_Invoices_Upload!$B$4:$B$5003,"&gt;="&amp;DATE(2026,9,1),Customer_Invoices_Upload!$B$4:$B$5003,"&lt;"&amp;EDATE(DATE(2026,9,1),1))+COUNTIFS(Stripe_Invoices_Upload!$D$4:$D$5003,$A34,Stripe_Invoices_Upload!$E$4:$E$5003,"*Subscription*",Stripe_Invoices_Upload!$A$4:$A$5003,"&gt;="&amp;DATE(2026,9,1),Stripe_Invoices_Upload!$A$4:$A$5003,"&lt;"&amp;EDATE(DATE(2026,9,1),1)))&gt;0,"✓ Invoiced","⚠ Due"),""),""))</f>
        <v/>
      </c>
      <c r="M34" s="130" t="str">
        <f aca="false">IF($A34="","",IF((DATE(YEAR($E34),MONTH($E34),1)&lt;=DATE(2026,10,1)),IF((MOD(DATEDIF(DATE(YEAR($E34),MONTH($E34),1),DATE(2026,10,1),"m"),IF($D34="Quarterly",3,IF($D34="Annual",12,1)))=0),IF((COUNTIFS(Xero_Raw!$D$4:$D$5003,$A34,Xero_Raw!$G$4:$G$5003,"*Subscription*",Xero_Raw!$A$4:$A$5003,"&gt;="&amp;DATE(2026,10,1),Xero_Raw!$A$4:$A$5003,"&lt;"&amp;EDATE(DATE(2026,10,1),1))+COUNTIFS(Customer_Invoices_Upload!$E$4:$E$5003,$A34,Customer_Invoices_Upload!$G$4:$G$5003,"*Subscription*",Customer_Invoices_Upload!$B$4:$B$5003,"&gt;="&amp;DATE(2026,10,1),Customer_Invoices_Upload!$B$4:$B$5003,"&lt;"&amp;EDATE(DATE(2026,10,1),1))+COUNTIFS(Stripe_Invoices_Upload!$D$4:$D$5003,$A34,Stripe_Invoices_Upload!$E$4:$E$5003,"*Subscription*",Stripe_Invoices_Upload!$A$4:$A$5003,"&gt;="&amp;DATE(2026,10,1),Stripe_Invoices_Upload!$A$4:$A$5003,"&lt;"&amp;EDATE(DATE(2026,10,1),1)))&gt;0,"✓ Invoiced","⚠ Due"),""),""))</f>
        <v/>
      </c>
      <c r="N34" s="130" t="str">
        <f aca="false">IF($A34="","",IF((DATE(YEAR($E34),MONTH($E34),1)&lt;=DATE(2026,11,1)),IF((MOD(DATEDIF(DATE(YEAR($E34),MONTH($E34),1),DATE(2026,11,1),"m"),IF($D34="Quarterly",3,IF($D34="Annual",12,1)))=0),IF((COUNTIFS(Xero_Raw!$D$4:$D$5003,$A34,Xero_Raw!$G$4:$G$5003,"*Subscription*",Xero_Raw!$A$4:$A$5003,"&gt;="&amp;DATE(2026,11,1),Xero_Raw!$A$4:$A$5003,"&lt;"&amp;EDATE(DATE(2026,11,1),1))+COUNTIFS(Customer_Invoices_Upload!$E$4:$E$5003,$A34,Customer_Invoices_Upload!$G$4:$G$5003,"*Subscription*",Customer_Invoices_Upload!$B$4:$B$5003,"&gt;="&amp;DATE(2026,11,1),Customer_Invoices_Upload!$B$4:$B$5003,"&lt;"&amp;EDATE(DATE(2026,11,1),1))+COUNTIFS(Stripe_Invoices_Upload!$D$4:$D$5003,$A34,Stripe_Invoices_Upload!$E$4:$E$5003,"*Subscription*",Stripe_Invoices_Upload!$A$4:$A$5003,"&gt;="&amp;DATE(2026,11,1),Stripe_Invoices_Upload!$A$4:$A$5003,"&lt;"&amp;EDATE(DATE(2026,11,1),1)))&gt;0,"✓ Invoiced","⚠ Due"),""),""))</f>
        <v/>
      </c>
      <c r="O34" s="130" t="str">
        <f aca="false">IF($A34="","",IF((DATE(YEAR($E34),MONTH($E34),1)&lt;=DATE(2026,12,1)),IF((MOD(DATEDIF(DATE(YEAR($E34),MONTH($E34),1),DATE(2026,12,1),"m"),IF($D34="Quarterly",3,IF($D34="Annual",12,1)))=0),IF((COUNTIFS(Xero_Raw!$D$4:$D$5003,$A34,Xero_Raw!$G$4:$G$5003,"*Subscription*",Xero_Raw!$A$4:$A$5003,"&gt;="&amp;DATE(2026,12,1),Xero_Raw!$A$4:$A$5003,"&lt;"&amp;EDATE(DATE(2026,12,1),1))+COUNTIFS(Customer_Invoices_Upload!$E$4:$E$5003,$A34,Customer_Invoices_Upload!$G$4:$G$5003,"*Subscription*",Customer_Invoices_Upload!$B$4:$B$5003,"&gt;="&amp;DATE(2026,12,1),Customer_Invoices_Upload!$B$4:$B$5003,"&lt;"&amp;EDATE(DATE(2026,12,1),1))+COUNTIFS(Stripe_Invoices_Upload!$D$4:$D$5003,$A34,Stripe_Invoices_Upload!$E$4:$E$5003,"*Subscription*",Stripe_Invoices_Upload!$A$4:$A$5003,"&gt;="&amp;DATE(2026,12,1),Stripe_Invoices_Upload!$A$4:$A$5003,"&lt;"&amp;EDATE(DATE(2026,12,1),1)))&gt;0,"✓ Invoiced","⚠ Due"),""),""))</f>
        <v/>
      </c>
      <c r="P34" s="130" t="str">
        <f aca="false">IF($A34="","",IF((DATE(YEAR($E34),MONTH($E34),1)&lt;=DATE(2027,1,1)),IF((MOD(DATEDIF(DATE(YEAR($E34),MONTH($E34),1),DATE(2027,1,1),"m"),IF($D34="Quarterly",3,IF($D34="Annual",12,1)))=0),IF((COUNTIFS(Xero_Raw!$D$4:$D$5003,$A34,Xero_Raw!$G$4:$G$5003,"*Subscription*",Xero_Raw!$A$4:$A$5003,"&gt;="&amp;DATE(2027,1,1),Xero_Raw!$A$4:$A$5003,"&lt;"&amp;EDATE(DATE(2027,1,1),1))+COUNTIFS(Customer_Invoices_Upload!$E$4:$E$5003,$A34,Customer_Invoices_Upload!$G$4:$G$5003,"*Subscription*",Customer_Invoices_Upload!$B$4:$B$5003,"&gt;="&amp;DATE(2027,1,1),Customer_Invoices_Upload!$B$4:$B$5003,"&lt;"&amp;EDATE(DATE(2027,1,1),1))+COUNTIFS(Stripe_Invoices_Upload!$D$4:$D$5003,$A34,Stripe_Invoices_Upload!$E$4:$E$5003,"*Subscription*",Stripe_Invoices_Upload!$A$4:$A$5003,"&gt;="&amp;DATE(2027,1,1),Stripe_Invoices_Upload!$A$4:$A$5003,"&lt;"&amp;EDATE(DATE(2027,1,1),1)))&gt;0,"✓ Invoiced","⚠ Due"),""),""))</f>
        <v/>
      </c>
      <c r="Q34" s="130" t="str">
        <f aca="false">IF($A34="","",IF((DATE(YEAR($E34),MONTH($E34),1)&lt;=DATE(2027,2,1)),IF((MOD(DATEDIF(DATE(YEAR($E34),MONTH($E34),1),DATE(2027,2,1),"m"),IF($D34="Quarterly",3,IF($D34="Annual",12,1)))=0),IF((COUNTIFS(Xero_Raw!$D$4:$D$5003,$A34,Xero_Raw!$G$4:$G$5003,"*Subscription*",Xero_Raw!$A$4:$A$5003,"&gt;="&amp;DATE(2027,2,1),Xero_Raw!$A$4:$A$5003,"&lt;"&amp;EDATE(DATE(2027,2,1),1))+COUNTIFS(Customer_Invoices_Upload!$E$4:$E$5003,$A34,Customer_Invoices_Upload!$G$4:$G$5003,"*Subscription*",Customer_Invoices_Upload!$B$4:$B$5003,"&gt;="&amp;DATE(2027,2,1),Customer_Invoices_Upload!$B$4:$B$5003,"&lt;"&amp;EDATE(DATE(2027,2,1),1))+COUNTIFS(Stripe_Invoices_Upload!$D$4:$D$5003,$A34,Stripe_Invoices_Upload!$E$4:$E$5003,"*Subscription*",Stripe_Invoices_Upload!$A$4:$A$5003,"&gt;="&amp;DATE(2027,2,1),Stripe_Invoices_Upload!$A$4:$A$5003,"&lt;"&amp;EDATE(DATE(2027,2,1),1)))&gt;0,"✓ Invoiced","⚠ Due"),""),""))</f>
        <v/>
      </c>
      <c r="R34" s="130" t="str">
        <f aca="false">IF($A34="","",IF((DATE(YEAR($E34),MONTH($E34),1)&lt;=DATE(2027,3,1)),IF((MOD(DATEDIF(DATE(YEAR($E34),MONTH($E34),1),DATE(2027,3,1),"m"),IF($D34="Quarterly",3,IF($D34="Annual",12,1)))=0),IF((COUNTIFS(Xero_Raw!$D$4:$D$5003,$A34,Xero_Raw!$G$4:$G$5003,"*Subscription*",Xero_Raw!$A$4:$A$5003,"&gt;="&amp;DATE(2027,3,1),Xero_Raw!$A$4:$A$5003,"&lt;"&amp;EDATE(DATE(2027,3,1),1))+COUNTIFS(Customer_Invoices_Upload!$E$4:$E$5003,$A34,Customer_Invoices_Upload!$G$4:$G$5003,"*Subscription*",Customer_Invoices_Upload!$B$4:$B$5003,"&gt;="&amp;DATE(2027,3,1),Customer_Invoices_Upload!$B$4:$B$5003,"&lt;"&amp;EDATE(DATE(2027,3,1),1))+COUNTIFS(Stripe_Invoices_Upload!$D$4:$D$5003,$A34,Stripe_Invoices_Upload!$E$4:$E$5003,"*Subscription*",Stripe_Invoices_Upload!$A$4:$A$5003,"&gt;="&amp;DATE(2027,3,1),Stripe_Invoices_Upload!$A$4:$A$5003,"&lt;"&amp;EDATE(DATE(2027,3,1),1)))&gt;0,"✓ Invoiced","⚠ Due"),""),""))</f>
        <v/>
      </c>
    </row>
    <row r="35" customFormat="false" ht="15" hidden="false" customHeight="false" outlineLevel="0" collapsed="false">
      <c r="A35" s="39"/>
      <c r="B35" s="39"/>
      <c r="C35" s="40"/>
      <c r="D35" s="39"/>
      <c r="E35" s="38"/>
      <c r="F35" s="129" t="str">
        <f aca="true">IF($A35="","",EDATE($E35,DATEDIF($E35,TODAY(),"m")+1))</f>
        <v/>
      </c>
      <c r="G35" s="130" t="str">
        <f aca="false">IF($A35="","",IF((DATE(YEAR($E35),MONTH($E35),1)&lt;=DATE(2026,4,1)),IF((MOD(DATEDIF(DATE(YEAR($E35),MONTH($E35),1),DATE(2026,4,1),"m"),IF($D35="Quarterly",3,IF($D35="Annual",12,1)))=0),IF((COUNTIFS(Xero_Raw!$D$4:$D$5003,$A35,Xero_Raw!$G$4:$G$5003,"*Subscription*",Xero_Raw!$A$4:$A$5003,"&gt;="&amp;DATE(2026,4,1),Xero_Raw!$A$4:$A$5003,"&lt;"&amp;EDATE(DATE(2026,4,1),1))+COUNTIFS(Customer_Invoices_Upload!$E$4:$E$5003,$A35,Customer_Invoices_Upload!$G$4:$G$5003,"*Subscription*",Customer_Invoices_Upload!$B$4:$B$5003,"&gt;="&amp;DATE(2026,4,1),Customer_Invoices_Upload!$B$4:$B$5003,"&lt;"&amp;EDATE(DATE(2026,4,1),1))+COUNTIFS(Stripe_Invoices_Upload!$D$4:$D$5003,$A35,Stripe_Invoices_Upload!$E$4:$E$5003,"*Subscription*",Stripe_Invoices_Upload!$A$4:$A$5003,"&gt;="&amp;DATE(2026,4,1),Stripe_Invoices_Upload!$A$4:$A$5003,"&lt;"&amp;EDATE(DATE(2026,4,1),1)))&gt;0,"✓ Invoiced","⚠ Due"),""),""))</f>
        <v/>
      </c>
      <c r="H35" s="130" t="str">
        <f aca="false">IF($A35="","",IF((DATE(YEAR($E35),MONTH($E35),1)&lt;=DATE(2026,5,1)),IF((MOD(DATEDIF(DATE(YEAR($E35),MONTH($E35),1),DATE(2026,5,1),"m"),IF($D35="Quarterly",3,IF($D35="Annual",12,1)))=0),IF((COUNTIFS(Xero_Raw!$D$4:$D$5003,$A35,Xero_Raw!$G$4:$G$5003,"*Subscription*",Xero_Raw!$A$4:$A$5003,"&gt;="&amp;DATE(2026,5,1),Xero_Raw!$A$4:$A$5003,"&lt;"&amp;EDATE(DATE(2026,5,1),1))+COUNTIFS(Customer_Invoices_Upload!$E$4:$E$5003,$A35,Customer_Invoices_Upload!$G$4:$G$5003,"*Subscription*",Customer_Invoices_Upload!$B$4:$B$5003,"&gt;="&amp;DATE(2026,5,1),Customer_Invoices_Upload!$B$4:$B$5003,"&lt;"&amp;EDATE(DATE(2026,5,1),1))+COUNTIFS(Stripe_Invoices_Upload!$D$4:$D$5003,$A35,Stripe_Invoices_Upload!$E$4:$E$5003,"*Subscription*",Stripe_Invoices_Upload!$A$4:$A$5003,"&gt;="&amp;DATE(2026,5,1),Stripe_Invoices_Upload!$A$4:$A$5003,"&lt;"&amp;EDATE(DATE(2026,5,1),1)))&gt;0,"✓ Invoiced","⚠ Due"),""),""))</f>
        <v/>
      </c>
      <c r="I35" s="130" t="str">
        <f aca="false">IF($A35="","",IF((DATE(YEAR($E35),MONTH($E35),1)&lt;=DATE(2026,6,1)),IF((MOD(DATEDIF(DATE(YEAR($E35),MONTH($E35),1),DATE(2026,6,1),"m"),IF($D35="Quarterly",3,IF($D35="Annual",12,1)))=0),IF((COUNTIFS(Xero_Raw!$D$4:$D$5003,$A35,Xero_Raw!$G$4:$G$5003,"*Subscription*",Xero_Raw!$A$4:$A$5003,"&gt;="&amp;DATE(2026,6,1),Xero_Raw!$A$4:$A$5003,"&lt;"&amp;EDATE(DATE(2026,6,1),1))+COUNTIFS(Customer_Invoices_Upload!$E$4:$E$5003,$A35,Customer_Invoices_Upload!$G$4:$G$5003,"*Subscription*",Customer_Invoices_Upload!$B$4:$B$5003,"&gt;="&amp;DATE(2026,6,1),Customer_Invoices_Upload!$B$4:$B$5003,"&lt;"&amp;EDATE(DATE(2026,6,1),1))+COUNTIFS(Stripe_Invoices_Upload!$D$4:$D$5003,$A35,Stripe_Invoices_Upload!$E$4:$E$5003,"*Subscription*",Stripe_Invoices_Upload!$A$4:$A$5003,"&gt;="&amp;DATE(2026,6,1),Stripe_Invoices_Upload!$A$4:$A$5003,"&lt;"&amp;EDATE(DATE(2026,6,1),1)))&gt;0,"✓ Invoiced","⚠ Due"),""),""))</f>
        <v/>
      </c>
      <c r="J35" s="130" t="str">
        <f aca="false">IF($A35="","",IF((DATE(YEAR($E35),MONTH($E35),1)&lt;=DATE(2026,7,1)),IF((MOD(DATEDIF(DATE(YEAR($E35),MONTH($E35),1),DATE(2026,7,1),"m"),IF($D35="Quarterly",3,IF($D35="Annual",12,1)))=0),IF((COUNTIFS(Xero_Raw!$D$4:$D$5003,$A35,Xero_Raw!$G$4:$G$5003,"*Subscription*",Xero_Raw!$A$4:$A$5003,"&gt;="&amp;DATE(2026,7,1),Xero_Raw!$A$4:$A$5003,"&lt;"&amp;EDATE(DATE(2026,7,1),1))+COUNTIFS(Customer_Invoices_Upload!$E$4:$E$5003,$A35,Customer_Invoices_Upload!$G$4:$G$5003,"*Subscription*",Customer_Invoices_Upload!$B$4:$B$5003,"&gt;="&amp;DATE(2026,7,1),Customer_Invoices_Upload!$B$4:$B$5003,"&lt;"&amp;EDATE(DATE(2026,7,1),1))+COUNTIFS(Stripe_Invoices_Upload!$D$4:$D$5003,$A35,Stripe_Invoices_Upload!$E$4:$E$5003,"*Subscription*",Stripe_Invoices_Upload!$A$4:$A$5003,"&gt;="&amp;DATE(2026,7,1),Stripe_Invoices_Upload!$A$4:$A$5003,"&lt;"&amp;EDATE(DATE(2026,7,1),1)))&gt;0,"✓ Invoiced","⚠ Due"),""),""))</f>
        <v/>
      </c>
      <c r="K35" s="130" t="str">
        <f aca="false">IF($A35="","",IF((DATE(YEAR($E35),MONTH($E35),1)&lt;=DATE(2026,8,1)),IF((MOD(DATEDIF(DATE(YEAR($E35),MONTH($E35),1),DATE(2026,8,1),"m"),IF($D35="Quarterly",3,IF($D35="Annual",12,1)))=0),IF((COUNTIFS(Xero_Raw!$D$4:$D$5003,$A35,Xero_Raw!$G$4:$G$5003,"*Subscription*",Xero_Raw!$A$4:$A$5003,"&gt;="&amp;DATE(2026,8,1),Xero_Raw!$A$4:$A$5003,"&lt;"&amp;EDATE(DATE(2026,8,1),1))+COUNTIFS(Customer_Invoices_Upload!$E$4:$E$5003,$A35,Customer_Invoices_Upload!$G$4:$G$5003,"*Subscription*",Customer_Invoices_Upload!$B$4:$B$5003,"&gt;="&amp;DATE(2026,8,1),Customer_Invoices_Upload!$B$4:$B$5003,"&lt;"&amp;EDATE(DATE(2026,8,1),1))+COUNTIFS(Stripe_Invoices_Upload!$D$4:$D$5003,$A35,Stripe_Invoices_Upload!$E$4:$E$5003,"*Subscription*",Stripe_Invoices_Upload!$A$4:$A$5003,"&gt;="&amp;DATE(2026,8,1),Stripe_Invoices_Upload!$A$4:$A$5003,"&lt;"&amp;EDATE(DATE(2026,8,1),1)))&gt;0,"✓ Invoiced","⚠ Due"),""),""))</f>
        <v/>
      </c>
      <c r="L35" s="130" t="str">
        <f aca="false">IF($A35="","",IF((DATE(YEAR($E35),MONTH($E35),1)&lt;=DATE(2026,9,1)),IF((MOD(DATEDIF(DATE(YEAR($E35),MONTH($E35),1),DATE(2026,9,1),"m"),IF($D35="Quarterly",3,IF($D35="Annual",12,1)))=0),IF((COUNTIFS(Xero_Raw!$D$4:$D$5003,$A35,Xero_Raw!$G$4:$G$5003,"*Subscription*",Xero_Raw!$A$4:$A$5003,"&gt;="&amp;DATE(2026,9,1),Xero_Raw!$A$4:$A$5003,"&lt;"&amp;EDATE(DATE(2026,9,1),1))+COUNTIFS(Customer_Invoices_Upload!$E$4:$E$5003,$A35,Customer_Invoices_Upload!$G$4:$G$5003,"*Subscription*",Customer_Invoices_Upload!$B$4:$B$5003,"&gt;="&amp;DATE(2026,9,1),Customer_Invoices_Upload!$B$4:$B$5003,"&lt;"&amp;EDATE(DATE(2026,9,1),1))+COUNTIFS(Stripe_Invoices_Upload!$D$4:$D$5003,$A35,Stripe_Invoices_Upload!$E$4:$E$5003,"*Subscription*",Stripe_Invoices_Upload!$A$4:$A$5003,"&gt;="&amp;DATE(2026,9,1),Stripe_Invoices_Upload!$A$4:$A$5003,"&lt;"&amp;EDATE(DATE(2026,9,1),1)))&gt;0,"✓ Invoiced","⚠ Due"),""),""))</f>
        <v/>
      </c>
      <c r="M35" s="130" t="str">
        <f aca="false">IF($A35="","",IF((DATE(YEAR($E35),MONTH($E35),1)&lt;=DATE(2026,10,1)),IF((MOD(DATEDIF(DATE(YEAR($E35),MONTH($E35),1),DATE(2026,10,1),"m"),IF($D35="Quarterly",3,IF($D35="Annual",12,1)))=0),IF((COUNTIFS(Xero_Raw!$D$4:$D$5003,$A35,Xero_Raw!$G$4:$G$5003,"*Subscription*",Xero_Raw!$A$4:$A$5003,"&gt;="&amp;DATE(2026,10,1),Xero_Raw!$A$4:$A$5003,"&lt;"&amp;EDATE(DATE(2026,10,1),1))+COUNTIFS(Customer_Invoices_Upload!$E$4:$E$5003,$A35,Customer_Invoices_Upload!$G$4:$G$5003,"*Subscription*",Customer_Invoices_Upload!$B$4:$B$5003,"&gt;="&amp;DATE(2026,10,1),Customer_Invoices_Upload!$B$4:$B$5003,"&lt;"&amp;EDATE(DATE(2026,10,1),1))+COUNTIFS(Stripe_Invoices_Upload!$D$4:$D$5003,$A35,Stripe_Invoices_Upload!$E$4:$E$5003,"*Subscription*",Stripe_Invoices_Upload!$A$4:$A$5003,"&gt;="&amp;DATE(2026,10,1),Stripe_Invoices_Upload!$A$4:$A$5003,"&lt;"&amp;EDATE(DATE(2026,10,1),1)))&gt;0,"✓ Invoiced","⚠ Due"),""),""))</f>
        <v/>
      </c>
      <c r="N35" s="130" t="str">
        <f aca="false">IF($A35="","",IF((DATE(YEAR($E35),MONTH($E35),1)&lt;=DATE(2026,11,1)),IF((MOD(DATEDIF(DATE(YEAR($E35),MONTH($E35),1),DATE(2026,11,1),"m"),IF($D35="Quarterly",3,IF($D35="Annual",12,1)))=0),IF((COUNTIFS(Xero_Raw!$D$4:$D$5003,$A35,Xero_Raw!$G$4:$G$5003,"*Subscription*",Xero_Raw!$A$4:$A$5003,"&gt;="&amp;DATE(2026,11,1),Xero_Raw!$A$4:$A$5003,"&lt;"&amp;EDATE(DATE(2026,11,1),1))+COUNTIFS(Customer_Invoices_Upload!$E$4:$E$5003,$A35,Customer_Invoices_Upload!$G$4:$G$5003,"*Subscription*",Customer_Invoices_Upload!$B$4:$B$5003,"&gt;="&amp;DATE(2026,11,1),Customer_Invoices_Upload!$B$4:$B$5003,"&lt;"&amp;EDATE(DATE(2026,11,1),1))+COUNTIFS(Stripe_Invoices_Upload!$D$4:$D$5003,$A35,Stripe_Invoices_Upload!$E$4:$E$5003,"*Subscription*",Stripe_Invoices_Upload!$A$4:$A$5003,"&gt;="&amp;DATE(2026,11,1),Stripe_Invoices_Upload!$A$4:$A$5003,"&lt;"&amp;EDATE(DATE(2026,11,1),1)))&gt;0,"✓ Invoiced","⚠ Due"),""),""))</f>
        <v/>
      </c>
      <c r="O35" s="130" t="str">
        <f aca="false">IF($A35="","",IF((DATE(YEAR($E35),MONTH($E35),1)&lt;=DATE(2026,12,1)),IF((MOD(DATEDIF(DATE(YEAR($E35),MONTH($E35),1),DATE(2026,12,1),"m"),IF($D35="Quarterly",3,IF($D35="Annual",12,1)))=0),IF((COUNTIFS(Xero_Raw!$D$4:$D$5003,$A35,Xero_Raw!$G$4:$G$5003,"*Subscription*",Xero_Raw!$A$4:$A$5003,"&gt;="&amp;DATE(2026,12,1),Xero_Raw!$A$4:$A$5003,"&lt;"&amp;EDATE(DATE(2026,12,1),1))+COUNTIFS(Customer_Invoices_Upload!$E$4:$E$5003,$A35,Customer_Invoices_Upload!$G$4:$G$5003,"*Subscription*",Customer_Invoices_Upload!$B$4:$B$5003,"&gt;="&amp;DATE(2026,12,1),Customer_Invoices_Upload!$B$4:$B$5003,"&lt;"&amp;EDATE(DATE(2026,12,1),1))+COUNTIFS(Stripe_Invoices_Upload!$D$4:$D$5003,$A35,Stripe_Invoices_Upload!$E$4:$E$5003,"*Subscription*",Stripe_Invoices_Upload!$A$4:$A$5003,"&gt;="&amp;DATE(2026,12,1),Stripe_Invoices_Upload!$A$4:$A$5003,"&lt;"&amp;EDATE(DATE(2026,12,1),1)))&gt;0,"✓ Invoiced","⚠ Due"),""),""))</f>
        <v/>
      </c>
      <c r="P35" s="130" t="str">
        <f aca="false">IF($A35="","",IF((DATE(YEAR($E35),MONTH($E35),1)&lt;=DATE(2027,1,1)),IF((MOD(DATEDIF(DATE(YEAR($E35),MONTH($E35),1),DATE(2027,1,1),"m"),IF($D35="Quarterly",3,IF($D35="Annual",12,1)))=0),IF((COUNTIFS(Xero_Raw!$D$4:$D$5003,$A35,Xero_Raw!$G$4:$G$5003,"*Subscription*",Xero_Raw!$A$4:$A$5003,"&gt;="&amp;DATE(2027,1,1),Xero_Raw!$A$4:$A$5003,"&lt;"&amp;EDATE(DATE(2027,1,1),1))+COUNTIFS(Customer_Invoices_Upload!$E$4:$E$5003,$A35,Customer_Invoices_Upload!$G$4:$G$5003,"*Subscription*",Customer_Invoices_Upload!$B$4:$B$5003,"&gt;="&amp;DATE(2027,1,1),Customer_Invoices_Upload!$B$4:$B$5003,"&lt;"&amp;EDATE(DATE(2027,1,1),1))+COUNTIFS(Stripe_Invoices_Upload!$D$4:$D$5003,$A35,Stripe_Invoices_Upload!$E$4:$E$5003,"*Subscription*",Stripe_Invoices_Upload!$A$4:$A$5003,"&gt;="&amp;DATE(2027,1,1),Stripe_Invoices_Upload!$A$4:$A$5003,"&lt;"&amp;EDATE(DATE(2027,1,1),1)))&gt;0,"✓ Invoiced","⚠ Due"),""),""))</f>
        <v/>
      </c>
      <c r="Q35" s="130" t="str">
        <f aca="false">IF($A35="","",IF((DATE(YEAR($E35),MONTH($E35),1)&lt;=DATE(2027,2,1)),IF((MOD(DATEDIF(DATE(YEAR($E35),MONTH($E35),1),DATE(2027,2,1),"m"),IF($D35="Quarterly",3,IF($D35="Annual",12,1)))=0),IF((COUNTIFS(Xero_Raw!$D$4:$D$5003,$A35,Xero_Raw!$G$4:$G$5003,"*Subscription*",Xero_Raw!$A$4:$A$5003,"&gt;="&amp;DATE(2027,2,1),Xero_Raw!$A$4:$A$5003,"&lt;"&amp;EDATE(DATE(2027,2,1),1))+COUNTIFS(Customer_Invoices_Upload!$E$4:$E$5003,$A35,Customer_Invoices_Upload!$G$4:$G$5003,"*Subscription*",Customer_Invoices_Upload!$B$4:$B$5003,"&gt;="&amp;DATE(2027,2,1),Customer_Invoices_Upload!$B$4:$B$5003,"&lt;"&amp;EDATE(DATE(2027,2,1),1))+COUNTIFS(Stripe_Invoices_Upload!$D$4:$D$5003,$A35,Stripe_Invoices_Upload!$E$4:$E$5003,"*Subscription*",Stripe_Invoices_Upload!$A$4:$A$5003,"&gt;="&amp;DATE(2027,2,1),Stripe_Invoices_Upload!$A$4:$A$5003,"&lt;"&amp;EDATE(DATE(2027,2,1),1)))&gt;0,"✓ Invoiced","⚠ Due"),""),""))</f>
        <v/>
      </c>
      <c r="R35" s="130" t="str">
        <f aca="false">IF($A35="","",IF((DATE(YEAR($E35),MONTH($E35),1)&lt;=DATE(2027,3,1)),IF((MOD(DATEDIF(DATE(YEAR($E35),MONTH($E35),1),DATE(2027,3,1),"m"),IF($D35="Quarterly",3,IF($D35="Annual",12,1)))=0),IF((COUNTIFS(Xero_Raw!$D$4:$D$5003,$A35,Xero_Raw!$G$4:$G$5003,"*Subscription*",Xero_Raw!$A$4:$A$5003,"&gt;="&amp;DATE(2027,3,1),Xero_Raw!$A$4:$A$5003,"&lt;"&amp;EDATE(DATE(2027,3,1),1))+COUNTIFS(Customer_Invoices_Upload!$E$4:$E$5003,$A35,Customer_Invoices_Upload!$G$4:$G$5003,"*Subscription*",Customer_Invoices_Upload!$B$4:$B$5003,"&gt;="&amp;DATE(2027,3,1),Customer_Invoices_Upload!$B$4:$B$5003,"&lt;"&amp;EDATE(DATE(2027,3,1),1))+COUNTIFS(Stripe_Invoices_Upload!$D$4:$D$5003,$A35,Stripe_Invoices_Upload!$E$4:$E$5003,"*Subscription*",Stripe_Invoices_Upload!$A$4:$A$5003,"&gt;="&amp;DATE(2027,3,1),Stripe_Invoices_Upload!$A$4:$A$5003,"&lt;"&amp;EDATE(DATE(2027,3,1),1)))&gt;0,"✓ Invoiced","⚠ Due"),""),""))</f>
        <v/>
      </c>
    </row>
    <row r="36" customFormat="false" ht="15" hidden="false" customHeight="false" outlineLevel="0" collapsed="false">
      <c r="A36" s="39"/>
      <c r="B36" s="39"/>
      <c r="C36" s="40"/>
      <c r="D36" s="39"/>
      <c r="E36" s="38"/>
      <c r="F36" s="129" t="str">
        <f aca="true">IF($A36="","",EDATE($E36,DATEDIF($E36,TODAY(),"m")+1))</f>
        <v/>
      </c>
      <c r="G36" s="130" t="str">
        <f aca="false">IF($A36="","",IF((DATE(YEAR($E36),MONTH($E36),1)&lt;=DATE(2026,4,1)),IF((MOD(DATEDIF(DATE(YEAR($E36),MONTH($E36),1),DATE(2026,4,1),"m"),IF($D36="Quarterly",3,IF($D36="Annual",12,1)))=0),IF((COUNTIFS(Xero_Raw!$D$4:$D$5003,$A36,Xero_Raw!$G$4:$G$5003,"*Subscription*",Xero_Raw!$A$4:$A$5003,"&gt;="&amp;DATE(2026,4,1),Xero_Raw!$A$4:$A$5003,"&lt;"&amp;EDATE(DATE(2026,4,1),1))+COUNTIFS(Customer_Invoices_Upload!$E$4:$E$5003,$A36,Customer_Invoices_Upload!$G$4:$G$5003,"*Subscription*",Customer_Invoices_Upload!$B$4:$B$5003,"&gt;="&amp;DATE(2026,4,1),Customer_Invoices_Upload!$B$4:$B$5003,"&lt;"&amp;EDATE(DATE(2026,4,1),1))+COUNTIFS(Stripe_Invoices_Upload!$D$4:$D$5003,$A36,Stripe_Invoices_Upload!$E$4:$E$5003,"*Subscription*",Stripe_Invoices_Upload!$A$4:$A$5003,"&gt;="&amp;DATE(2026,4,1),Stripe_Invoices_Upload!$A$4:$A$5003,"&lt;"&amp;EDATE(DATE(2026,4,1),1)))&gt;0,"✓ Invoiced","⚠ Due"),""),""))</f>
        <v/>
      </c>
      <c r="H36" s="130" t="str">
        <f aca="false">IF($A36="","",IF((DATE(YEAR($E36),MONTH($E36),1)&lt;=DATE(2026,5,1)),IF((MOD(DATEDIF(DATE(YEAR($E36),MONTH($E36),1),DATE(2026,5,1),"m"),IF($D36="Quarterly",3,IF($D36="Annual",12,1)))=0),IF((COUNTIFS(Xero_Raw!$D$4:$D$5003,$A36,Xero_Raw!$G$4:$G$5003,"*Subscription*",Xero_Raw!$A$4:$A$5003,"&gt;="&amp;DATE(2026,5,1),Xero_Raw!$A$4:$A$5003,"&lt;"&amp;EDATE(DATE(2026,5,1),1))+COUNTIFS(Customer_Invoices_Upload!$E$4:$E$5003,$A36,Customer_Invoices_Upload!$G$4:$G$5003,"*Subscription*",Customer_Invoices_Upload!$B$4:$B$5003,"&gt;="&amp;DATE(2026,5,1),Customer_Invoices_Upload!$B$4:$B$5003,"&lt;"&amp;EDATE(DATE(2026,5,1),1))+COUNTIFS(Stripe_Invoices_Upload!$D$4:$D$5003,$A36,Stripe_Invoices_Upload!$E$4:$E$5003,"*Subscription*",Stripe_Invoices_Upload!$A$4:$A$5003,"&gt;="&amp;DATE(2026,5,1),Stripe_Invoices_Upload!$A$4:$A$5003,"&lt;"&amp;EDATE(DATE(2026,5,1),1)))&gt;0,"✓ Invoiced","⚠ Due"),""),""))</f>
        <v/>
      </c>
      <c r="I36" s="130" t="str">
        <f aca="false">IF($A36="","",IF((DATE(YEAR($E36),MONTH($E36),1)&lt;=DATE(2026,6,1)),IF((MOD(DATEDIF(DATE(YEAR($E36),MONTH($E36),1),DATE(2026,6,1),"m"),IF($D36="Quarterly",3,IF($D36="Annual",12,1)))=0),IF((COUNTIFS(Xero_Raw!$D$4:$D$5003,$A36,Xero_Raw!$G$4:$G$5003,"*Subscription*",Xero_Raw!$A$4:$A$5003,"&gt;="&amp;DATE(2026,6,1),Xero_Raw!$A$4:$A$5003,"&lt;"&amp;EDATE(DATE(2026,6,1),1))+COUNTIFS(Customer_Invoices_Upload!$E$4:$E$5003,$A36,Customer_Invoices_Upload!$G$4:$G$5003,"*Subscription*",Customer_Invoices_Upload!$B$4:$B$5003,"&gt;="&amp;DATE(2026,6,1),Customer_Invoices_Upload!$B$4:$B$5003,"&lt;"&amp;EDATE(DATE(2026,6,1),1))+COUNTIFS(Stripe_Invoices_Upload!$D$4:$D$5003,$A36,Stripe_Invoices_Upload!$E$4:$E$5003,"*Subscription*",Stripe_Invoices_Upload!$A$4:$A$5003,"&gt;="&amp;DATE(2026,6,1),Stripe_Invoices_Upload!$A$4:$A$5003,"&lt;"&amp;EDATE(DATE(2026,6,1),1)))&gt;0,"✓ Invoiced","⚠ Due"),""),""))</f>
        <v/>
      </c>
      <c r="J36" s="130" t="str">
        <f aca="false">IF($A36="","",IF((DATE(YEAR($E36),MONTH($E36),1)&lt;=DATE(2026,7,1)),IF((MOD(DATEDIF(DATE(YEAR($E36),MONTH($E36),1),DATE(2026,7,1),"m"),IF($D36="Quarterly",3,IF($D36="Annual",12,1)))=0),IF((COUNTIFS(Xero_Raw!$D$4:$D$5003,$A36,Xero_Raw!$G$4:$G$5003,"*Subscription*",Xero_Raw!$A$4:$A$5003,"&gt;="&amp;DATE(2026,7,1),Xero_Raw!$A$4:$A$5003,"&lt;"&amp;EDATE(DATE(2026,7,1),1))+COUNTIFS(Customer_Invoices_Upload!$E$4:$E$5003,$A36,Customer_Invoices_Upload!$G$4:$G$5003,"*Subscription*",Customer_Invoices_Upload!$B$4:$B$5003,"&gt;="&amp;DATE(2026,7,1),Customer_Invoices_Upload!$B$4:$B$5003,"&lt;"&amp;EDATE(DATE(2026,7,1),1))+COUNTIFS(Stripe_Invoices_Upload!$D$4:$D$5003,$A36,Stripe_Invoices_Upload!$E$4:$E$5003,"*Subscription*",Stripe_Invoices_Upload!$A$4:$A$5003,"&gt;="&amp;DATE(2026,7,1),Stripe_Invoices_Upload!$A$4:$A$5003,"&lt;"&amp;EDATE(DATE(2026,7,1),1)))&gt;0,"✓ Invoiced","⚠ Due"),""),""))</f>
        <v/>
      </c>
      <c r="K36" s="130" t="str">
        <f aca="false">IF($A36="","",IF((DATE(YEAR($E36),MONTH($E36),1)&lt;=DATE(2026,8,1)),IF((MOD(DATEDIF(DATE(YEAR($E36),MONTH($E36),1),DATE(2026,8,1),"m"),IF($D36="Quarterly",3,IF($D36="Annual",12,1)))=0),IF((COUNTIFS(Xero_Raw!$D$4:$D$5003,$A36,Xero_Raw!$G$4:$G$5003,"*Subscription*",Xero_Raw!$A$4:$A$5003,"&gt;="&amp;DATE(2026,8,1),Xero_Raw!$A$4:$A$5003,"&lt;"&amp;EDATE(DATE(2026,8,1),1))+COUNTIFS(Customer_Invoices_Upload!$E$4:$E$5003,$A36,Customer_Invoices_Upload!$G$4:$G$5003,"*Subscription*",Customer_Invoices_Upload!$B$4:$B$5003,"&gt;="&amp;DATE(2026,8,1),Customer_Invoices_Upload!$B$4:$B$5003,"&lt;"&amp;EDATE(DATE(2026,8,1),1))+COUNTIFS(Stripe_Invoices_Upload!$D$4:$D$5003,$A36,Stripe_Invoices_Upload!$E$4:$E$5003,"*Subscription*",Stripe_Invoices_Upload!$A$4:$A$5003,"&gt;="&amp;DATE(2026,8,1),Stripe_Invoices_Upload!$A$4:$A$5003,"&lt;"&amp;EDATE(DATE(2026,8,1),1)))&gt;0,"✓ Invoiced","⚠ Due"),""),""))</f>
        <v/>
      </c>
      <c r="L36" s="130" t="str">
        <f aca="false">IF($A36="","",IF((DATE(YEAR($E36),MONTH($E36),1)&lt;=DATE(2026,9,1)),IF((MOD(DATEDIF(DATE(YEAR($E36),MONTH($E36),1),DATE(2026,9,1),"m"),IF($D36="Quarterly",3,IF($D36="Annual",12,1)))=0),IF((COUNTIFS(Xero_Raw!$D$4:$D$5003,$A36,Xero_Raw!$G$4:$G$5003,"*Subscription*",Xero_Raw!$A$4:$A$5003,"&gt;="&amp;DATE(2026,9,1),Xero_Raw!$A$4:$A$5003,"&lt;"&amp;EDATE(DATE(2026,9,1),1))+COUNTIFS(Customer_Invoices_Upload!$E$4:$E$5003,$A36,Customer_Invoices_Upload!$G$4:$G$5003,"*Subscription*",Customer_Invoices_Upload!$B$4:$B$5003,"&gt;="&amp;DATE(2026,9,1),Customer_Invoices_Upload!$B$4:$B$5003,"&lt;"&amp;EDATE(DATE(2026,9,1),1))+COUNTIFS(Stripe_Invoices_Upload!$D$4:$D$5003,$A36,Stripe_Invoices_Upload!$E$4:$E$5003,"*Subscription*",Stripe_Invoices_Upload!$A$4:$A$5003,"&gt;="&amp;DATE(2026,9,1),Stripe_Invoices_Upload!$A$4:$A$5003,"&lt;"&amp;EDATE(DATE(2026,9,1),1)))&gt;0,"✓ Invoiced","⚠ Due"),""),""))</f>
        <v/>
      </c>
      <c r="M36" s="130" t="str">
        <f aca="false">IF($A36="","",IF((DATE(YEAR($E36),MONTH($E36),1)&lt;=DATE(2026,10,1)),IF((MOD(DATEDIF(DATE(YEAR($E36),MONTH($E36),1),DATE(2026,10,1),"m"),IF($D36="Quarterly",3,IF($D36="Annual",12,1)))=0),IF((COUNTIFS(Xero_Raw!$D$4:$D$5003,$A36,Xero_Raw!$G$4:$G$5003,"*Subscription*",Xero_Raw!$A$4:$A$5003,"&gt;="&amp;DATE(2026,10,1),Xero_Raw!$A$4:$A$5003,"&lt;"&amp;EDATE(DATE(2026,10,1),1))+COUNTIFS(Customer_Invoices_Upload!$E$4:$E$5003,$A36,Customer_Invoices_Upload!$G$4:$G$5003,"*Subscription*",Customer_Invoices_Upload!$B$4:$B$5003,"&gt;="&amp;DATE(2026,10,1),Customer_Invoices_Upload!$B$4:$B$5003,"&lt;"&amp;EDATE(DATE(2026,10,1),1))+COUNTIFS(Stripe_Invoices_Upload!$D$4:$D$5003,$A36,Stripe_Invoices_Upload!$E$4:$E$5003,"*Subscription*",Stripe_Invoices_Upload!$A$4:$A$5003,"&gt;="&amp;DATE(2026,10,1),Stripe_Invoices_Upload!$A$4:$A$5003,"&lt;"&amp;EDATE(DATE(2026,10,1),1)))&gt;0,"✓ Invoiced","⚠ Due"),""),""))</f>
        <v/>
      </c>
      <c r="N36" s="130" t="str">
        <f aca="false">IF($A36="","",IF((DATE(YEAR($E36),MONTH($E36),1)&lt;=DATE(2026,11,1)),IF((MOD(DATEDIF(DATE(YEAR($E36),MONTH($E36),1),DATE(2026,11,1),"m"),IF($D36="Quarterly",3,IF($D36="Annual",12,1)))=0),IF((COUNTIFS(Xero_Raw!$D$4:$D$5003,$A36,Xero_Raw!$G$4:$G$5003,"*Subscription*",Xero_Raw!$A$4:$A$5003,"&gt;="&amp;DATE(2026,11,1),Xero_Raw!$A$4:$A$5003,"&lt;"&amp;EDATE(DATE(2026,11,1),1))+COUNTIFS(Customer_Invoices_Upload!$E$4:$E$5003,$A36,Customer_Invoices_Upload!$G$4:$G$5003,"*Subscription*",Customer_Invoices_Upload!$B$4:$B$5003,"&gt;="&amp;DATE(2026,11,1),Customer_Invoices_Upload!$B$4:$B$5003,"&lt;"&amp;EDATE(DATE(2026,11,1),1))+COUNTIFS(Stripe_Invoices_Upload!$D$4:$D$5003,$A36,Stripe_Invoices_Upload!$E$4:$E$5003,"*Subscription*",Stripe_Invoices_Upload!$A$4:$A$5003,"&gt;="&amp;DATE(2026,11,1),Stripe_Invoices_Upload!$A$4:$A$5003,"&lt;"&amp;EDATE(DATE(2026,11,1),1)))&gt;0,"✓ Invoiced","⚠ Due"),""),""))</f>
        <v/>
      </c>
      <c r="O36" s="130" t="str">
        <f aca="false">IF($A36="","",IF((DATE(YEAR($E36),MONTH($E36),1)&lt;=DATE(2026,12,1)),IF((MOD(DATEDIF(DATE(YEAR($E36),MONTH($E36),1),DATE(2026,12,1),"m"),IF($D36="Quarterly",3,IF($D36="Annual",12,1)))=0),IF((COUNTIFS(Xero_Raw!$D$4:$D$5003,$A36,Xero_Raw!$G$4:$G$5003,"*Subscription*",Xero_Raw!$A$4:$A$5003,"&gt;="&amp;DATE(2026,12,1),Xero_Raw!$A$4:$A$5003,"&lt;"&amp;EDATE(DATE(2026,12,1),1))+COUNTIFS(Customer_Invoices_Upload!$E$4:$E$5003,$A36,Customer_Invoices_Upload!$G$4:$G$5003,"*Subscription*",Customer_Invoices_Upload!$B$4:$B$5003,"&gt;="&amp;DATE(2026,12,1),Customer_Invoices_Upload!$B$4:$B$5003,"&lt;"&amp;EDATE(DATE(2026,12,1),1))+COUNTIFS(Stripe_Invoices_Upload!$D$4:$D$5003,$A36,Stripe_Invoices_Upload!$E$4:$E$5003,"*Subscription*",Stripe_Invoices_Upload!$A$4:$A$5003,"&gt;="&amp;DATE(2026,12,1),Stripe_Invoices_Upload!$A$4:$A$5003,"&lt;"&amp;EDATE(DATE(2026,12,1),1)))&gt;0,"✓ Invoiced","⚠ Due"),""),""))</f>
        <v/>
      </c>
      <c r="P36" s="130" t="str">
        <f aca="false">IF($A36="","",IF((DATE(YEAR($E36),MONTH($E36),1)&lt;=DATE(2027,1,1)),IF((MOD(DATEDIF(DATE(YEAR($E36),MONTH($E36),1),DATE(2027,1,1),"m"),IF($D36="Quarterly",3,IF($D36="Annual",12,1)))=0),IF((COUNTIFS(Xero_Raw!$D$4:$D$5003,$A36,Xero_Raw!$G$4:$G$5003,"*Subscription*",Xero_Raw!$A$4:$A$5003,"&gt;="&amp;DATE(2027,1,1),Xero_Raw!$A$4:$A$5003,"&lt;"&amp;EDATE(DATE(2027,1,1),1))+COUNTIFS(Customer_Invoices_Upload!$E$4:$E$5003,$A36,Customer_Invoices_Upload!$G$4:$G$5003,"*Subscription*",Customer_Invoices_Upload!$B$4:$B$5003,"&gt;="&amp;DATE(2027,1,1),Customer_Invoices_Upload!$B$4:$B$5003,"&lt;"&amp;EDATE(DATE(2027,1,1),1))+COUNTIFS(Stripe_Invoices_Upload!$D$4:$D$5003,$A36,Stripe_Invoices_Upload!$E$4:$E$5003,"*Subscription*",Stripe_Invoices_Upload!$A$4:$A$5003,"&gt;="&amp;DATE(2027,1,1),Stripe_Invoices_Upload!$A$4:$A$5003,"&lt;"&amp;EDATE(DATE(2027,1,1),1)))&gt;0,"✓ Invoiced","⚠ Due"),""),""))</f>
        <v/>
      </c>
      <c r="Q36" s="130" t="str">
        <f aca="false">IF($A36="","",IF((DATE(YEAR($E36),MONTH($E36),1)&lt;=DATE(2027,2,1)),IF((MOD(DATEDIF(DATE(YEAR($E36),MONTH($E36),1),DATE(2027,2,1),"m"),IF($D36="Quarterly",3,IF($D36="Annual",12,1)))=0),IF((COUNTIFS(Xero_Raw!$D$4:$D$5003,$A36,Xero_Raw!$G$4:$G$5003,"*Subscription*",Xero_Raw!$A$4:$A$5003,"&gt;="&amp;DATE(2027,2,1),Xero_Raw!$A$4:$A$5003,"&lt;"&amp;EDATE(DATE(2027,2,1),1))+COUNTIFS(Customer_Invoices_Upload!$E$4:$E$5003,$A36,Customer_Invoices_Upload!$G$4:$G$5003,"*Subscription*",Customer_Invoices_Upload!$B$4:$B$5003,"&gt;="&amp;DATE(2027,2,1),Customer_Invoices_Upload!$B$4:$B$5003,"&lt;"&amp;EDATE(DATE(2027,2,1),1))+COUNTIFS(Stripe_Invoices_Upload!$D$4:$D$5003,$A36,Stripe_Invoices_Upload!$E$4:$E$5003,"*Subscription*",Stripe_Invoices_Upload!$A$4:$A$5003,"&gt;="&amp;DATE(2027,2,1),Stripe_Invoices_Upload!$A$4:$A$5003,"&lt;"&amp;EDATE(DATE(2027,2,1),1)))&gt;0,"✓ Invoiced","⚠ Due"),""),""))</f>
        <v/>
      </c>
      <c r="R36" s="130" t="str">
        <f aca="false">IF($A36="","",IF((DATE(YEAR($E36),MONTH($E36),1)&lt;=DATE(2027,3,1)),IF((MOD(DATEDIF(DATE(YEAR($E36),MONTH($E36),1),DATE(2027,3,1),"m"),IF($D36="Quarterly",3,IF($D36="Annual",12,1)))=0),IF((COUNTIFS(Xero_Raw!$D$4:$D$5003,$A36,Xero_Raw!$G$4:$G$5003,"*Subscription*",Xero_Raw!$A$4:$A$5003,"&gt;="&amp;DATE(2027,3,1),Xero_Raw!$A$4:$A$5003,"&lt;"&amp;EDATE(DATE(2027,3,1),1))+COUNTIFS(Customer_Invoices_Upload!$E$4:$E$5003,$A36,Customer_Invoices_Upload!$G$4:$G$5003,"*Subscription*",Customer_Invoices_Upload!$B$4:$B$5003,"&gt;="&amp;DATE(2027,3,1),Customer_Invoices_Upload!$B$4:$B$5003,"&lt;"&amp;EDATE(DATE(2027,3,1),1))+COUNTIFS(Stripe_Invoices_Upload!$D$4:$D$5003,$A36,Stripe_Invoices_Upload!$E$4:$E$5003,"*Subscription*",Stripe_Invoices_Upload!$A$4:$A$5003,"&gt;="&amp;DATE(2027,3,1),Stripe_Invoices_Upload!$A$4:$A$5003,"&lt;"&amp;EDATE(DATE(2027,3,1),1)))&gt;0,"✓ Invoiced","⚠ Due"),""),""))</f>
        <v/>
      </c>
    </row>
    <row r="37" customFormat="false" ht="15" hidden="false" customHeight="false" outlineLevel="0" collapsed="false">
      <c r="A37" s="39"/>
      <c r="B37" s="39"/>
      <c r="C37" s="40"/>
      <c r="D37" s="39"/>
      <c r="E37" s="38"/>
      <c r="F37" s="129" t="str">
        <f aca="true">IF($A37="","",EDATE($E37,DATEDIF($E37,TODAY(),"m")+1))</f>
        <v/>
      </c>
      <c r="G37" s="130" t="str">
        <f aca="false">IF($A37="","",IF((DATE(YEAR($E37),MONTH($E37),1)&lt;=DATE(2026,4,1)),IF((MOD(DATEDIF(DATE(YEAR($E37),MONTH($E37),1),DATE(2026,4,1),"m"),IF($D37="Quarterly",3,IF($D37="Annual",12,1)))=0),IF((COUNTIFS(Xero_Raw!$D$4:$D$5003,$A37,Xero_Raw!$G$4:$G$5003,"*Subscription*",Xero_Raw!$A$4:$A$5003,"&gt;="&amp;DATE(2026,4,1),Xero_Raw!$A$4:$A$5003,"&lt;"&amp;EDATE(DATE(2026,4,1),1))+COUNTIFS(Customer_Invoices_Upload!$E$4:$E$5003,$A37,Customer_Invoices_Upload!$G$4:$G$5003,"*Subscription*",Customer_Invoices_Upload!$B$4:$B$5003,"&gt;="&amp;DATE(2026,4,1),Customer_Invoices_Upload!$B$4:$B$5003,"&lt;"&amp;EDATE(DATE(2026,4,1),1))+COUNTIFS(Stripe_Invoices_Upload!$D$4:$D$5003,$A37,Stripe_Invoices_Upload!$E$4:$E$5003,"*Subscription*",Stripe_Invoices_Upload!$A$4:$A$5003,"&gt;="&amp;DATE(2026,4,1),Stripe_Invoices_Upload!$A$4:$A$5003,"&lt;"&amp;EDATE(DATE(2026,4,1),1)))&gt;0,"✓ Invoiced","⚠ Due"),""),""))</f>
        <v/>
      </c>
      <c r="H37" s="130" t="str">
        <f aca="false">IF($A37="","",IF((DATE(YEAR($E37),MONTH($E37),1)&lt;=DATE(2026,5,1)),IF((MOD(DATEDIF(DATE(YEAR($E37),MONTH($E37),1),DATE(2026,5,1),"m"),IF($D37="Quarterly",3,IF($D37="Annual",12,1)))=0),IF((COUNTIFS(Xero_Raw!$D$4:$D$5003,$A37,Xero_Raw!$G$4:$G$5003,"*Subscription*",Xero_Raw!$A$4:$A$5003,"&gt;="&amp;DATE(2026,5,1),Xero_Raw!$A$4:$A$5003,"&lt;"&amp;EDATE(DATE(2026,5,1),1))+COUNTIFS(Customer_Invoices_Upload!$E$4:$E$5003,$A37,Customer_Invoices_Upload!$G$4:$G$5003,"*Subscription*",Customer_Invoices_Upload!$B$4:$B$5003,"&gt;="&amp;DATE(2026,5,1),Customer_Invoices_Upload!$B$4:$B$5003,"&lt;"&amp;EDATE(DATE(2026,5,1),1))+COUNTIFS(Stripe_Invoices_Upload!$D$4:$D$5003,$A37,Stripe_Invoices_Upload!$E$4:$E$5003,"*Subscription*",Stripe_Invoices_Upload!$A$4:$A$5003,"&gt;="&amp;DATE(2026,5,1),Stripe_Invoices_Upload!$A$4:$A$5003,"&lt;"&amp;EDATE(DATE(2026,5,1),1)))&gt;0,"✓ Invoiced","⚠ Due"),""),""))</f>
        <v/>
      </c>
      <c r="I37" s="130" t="str">
        <f aca="false">IF($A37="","",IF((DATE(YEAR($E37),MONTH($E37),1)&lt;=DATE(2026,6,1)),IF((MOD(DATEDIF(DATE(YEAR($E37),MONTH($E37),1),DATE(2026,6,1),"m"),IF($D37="Quarterly",3,IF($D37="Annual",12,1)))=0),IF((COUNTIFS(Xero_Raw!$D$4:$D$5003,$A37,Xero_Raw!$G$4:$G$5003,"*Subscription*",Xero_Raw!$A$4:$A$5003,"&gt;="&amp;DATE(2026,6,1),Xero_Raw!$A$4:$A$5003,"&lt;"&amp;EDATE(DATE(2026,6,1),1))+COUNTIFS(Customer_Invoices_Upload!$E$4:$E$5003,$A37,Customer_Invoices_Upload!$G$4:$G$5003,"*Subscription*",Customer_Invoices_Upload!$B$4:$B$5003,"&gt;="&amp;DATE(2026,6,1),Customer_Invoices_Upload!$B$4:$B$5003,"&lt;"&amp;EDATE(DATE(2026,6,1),1))+COUNTIFS(Stripe_Invoices_Upload!$D$4:$D$5003,$A37,Stripe_Invoices_Upload!$E$4:$E$5003,"*Subscription*",Stripe_Invoices_Upload!$A$4:$A$5003,"&gt;="&amp;DATE(2026,6,1),Stripe_Invoices_Upload!$A$4:$A$5003,"&lt;"&amp;EDATE(DATE(2026,6,1),1)))&gt;0,"✓ Invoiced","⚠ Due"),""),""))</f>
        <v/>
      </c>
      <c r="J37" s="130" t="str">
        <f aca="false">IF($A37="","",IF((DATE(YEAR($E37),MONTH($E37),1)&lt;=DATE(2026,7,1)),IF((MOD(DATEDIF(DATE(YEAR($E37),MONTH($E37),1),DATE(2026,7,1),"m"),IF($D37="Quarterly",3,IF($D37="Annual",12,1)))=0),IF((COUNTIFS(Xero_Raw!$D$4:$D$5003,$A37,Xero_Raw!$G$4:$G$5003,"*Subscription*",Xero_Raw!$A$4:$A$5003,"&gt;="&amp;DATE(2026,7,1),Xero_Raw!$A$4:$A$5003,"&lt;"&amp;EDATE(DATE(2026,7,1),1))+COUNTIFS(Customer_Invoices_Upload!$E$4:$E$5003,$A37,Customer_Invoices_Upload!$G$4:$G$5003,"*Subscription*",Customer_Invoices_Upload!$B$4:$B$5003,"&gt;="&amp;DATE(2026,7,1),Customer_Invoices_Upload!$B$4:$B$5003,"&lt;"&amp;EDATE(DATE(2026,7,1),1))+COUNTIFS(Stripe_Invoices_Upload!$D$4:$D$5003,$A37,Stripe_Invoices_Upload!$E$4:$E$5003,"*Subscription*",Stripe_Invoices_Upload!$A$4:$A$5003,"&gt;="&amp;DATE(2026,7,1),Stripe_Invoices_Upload!$A$4:$A$5003,"&lt;"&amp;EDATE(DATE(2026,7,1),1)))&gt;0,"✓ Invoiced","⚠ Due"),""),""))</f>
        <v/>
      </c>
      <c r="K37" s="130" t="str">
        <f aca="false">IF($A37="","",IF((DATE(YEAR($E37),MONTH($E37),1)&lt;=DATE(2026,8,1)),IF((MOD(DATEDIF(DATE(YEAR($E37),MONTH($E37),1),DATE(2026,8,1),"m"),IF($D37="Quarterly",3,IF($D37="Annual",12,1)))=0),IF((COUNTIFS(Xero_Raw!$D$4:$D$5003,$A37,Xero_Raw!$G$4:$G$5003,"*Subscription*",Xero_Raw!$A$4:$A$5003,"&gt;="&amp;DATE(2026,8,1),Xero_Raw!$A$4:$A$5003,"&lt;"&amp;EDATE(DATE(2026,8,1),1))+COUNTIFS(Customer_Invoices_Upload!$E$4:$E$5003,$A37,Customer_Invoices_Upload!$G$4:$G$5003,"*Subscription*",Customer_Invoices_Upload!$B$4:$B$5003,"&gt;="&amp;DATE(2026,8,1),Customer_Invoices_Upload!$B$4:$B$5003,"&lt;"&amp;EDATE(DATE(2026,8,1),1))+COUNTIFS(Stripe_Invoices_Upload!$D$4:$D$5003,$A37,Stripe_Invoices_Upload!$E$4:$E$5003,"*Subscription*",Stripe_Invoices_Upload!$A$4:$A$5003,"&gt;="&amp;DATE(2026,8,1),Stripe_Invoices_Upload!$A$4:$A$5003,"&lt;"&amp;EDATE(DATE(2026,8,1),1)))&gt;0,"✓ Invoiced","⚠ Due"),""),""))</f>
        <v/>
      </c>
      <c r="L37" s="130" t="str">
        <f aca="false">IF($A37="","",IF((DATE(YEAR($E37),MONTH($E37),1)&lt;=DATE(2026,9,1)),IF((MOD(DATEDIF(DATE(YEAR($E37),MONTH($E37),1),DATE(2026,9,1),"m"),IF($D37="Quarterly",3,IF($D37="Annual",12,1)))=0),IF((COUNTIFS(Xero_Raw!$D$4:$D$5003,$A37,Xero_Raw!$G$4:$G$5003,"*Subscription*",Xero_Raw!$A$4:$A$5003,"&gt;="&amp;DATE(2026,9,1),Xero_Raw!$A$4:$A$5003,"&lt;"&amp;EDATE(DATE(2026,9,1),1))+COUNTIFS(Customer_Invoices_Upload!$E$4:$E$5003,$A37,Customer_Invoices_Upload!$G$4:$G$5003,"*Subscription*",Customer_Invoices_Upload!$B$4:$B$5003,"&gt;="&amp;DATE(2026,9,1),Customer_Invoices_Upload!$B$4:$B$5003,"&lt;"&amp;EDATE(DATE(2026,9,1),1))+COUNTIFS(Stripe_Invoices_Upload!$D$4:$D$5003,$A37,Stripe_Invoices_Upload!$E$4:$E$5003,"*Subscription*",Stripe_Invoices_Upload!$A$4:$A$5003,"&gt;="&amp;DATE(2026,9,1),Stripe_Invoices_Upload!$A$4:$A$5003,"&lt;"&amp;EDATE(DATE(2026,9,1),1)))&gt;0,"✓ Invoiced","⚠ Due"),""),""))</f>
        <v/>
      </c>
      <c r="M37" s="130" t="str">
        <f aca="false">IF($A37="","",IF((DATE(YEAR($E37),MONTH($E37),1)&lt;=DATE(2026,10,1)),IF((MOD(DATEDIF(DATE(YEAR($E37),MONTH($E37),1),DATE(2026,10,1),"m"),IF($D37="Quarterly",3,IF($D37="Annual",12,1)))=0),IF((COUNTIFS(Xero_Raw!$D$4:$D$5003,$A37,Xero_Raw!$G$4:$G$5003,"*Subscription*",Xero_Raw!$A$4:$A$5003,"&gt;="&amp;DATE(2026,10,1),Xero_Raw!$A$4:$A$5003,"&lt;"&amp;EDATE(DATE(2026,10,1),1))+COUNTIFS(Customer_Invoices_Upload!$E$4:$E$5003,$A37,Customer_Invoices_Upload!$G$4:$G$5003,"*Subscription*",Customer_Invoices_Upload!$B$4:$B$5003,"&gt;="&amp;DATE(2026,10,1),Customer_Invoices_Upload!$B$4:$B$5003,"&lt;"&amp;EDATE(DATE(2026,10,1),1))+COUNTIFS(Stripe_Invoices_Upload!$D$4:$D$5003,$A37,Stripe_Invoices_Upload!$E$4:$E$5003,"*Subscription*",Stripe_Invoices_Upload!$A$4:$A$5003,"&gt;="&amp;DATE(2026,10,1),Stripe_Invoices_Upload!$A$4:$A$5003,"&lt;"&amp;EDATE(DATE(2026,10,1),1)))&gt;0,"✓ Invoiced","⚠ Due"),""),""))</f>
        <v/>
      </c>
      <c r="N37" s="130" t="str">
        <f aca="false">IF($A37="","",IF((DATE(YEAR($E37),MONTH($E37),1)&lt;=DATE(2026,11,1)),IF((MOD(DATEDIF(DATE(YEAR($E37),MONTH($E37),1),DATE(2026,11,1),"m"),IF($D37="Quarterly",3,IF($D37="Annual",12,1)))=0),IF((COUNTIFS(Xero_Raw!$D$4:$D$5003,$A37,Xero_Raw!$G$4:$G$5003,"*Subscription*",Xero_Raw!$A$4:$A$5003,"&gt;="&amp;DATE(2026,11,1),Xero_Raw!$A$4:$A$5003,"&lt;"&amp;EDATE(DATE(2026,11,1),1))+COUNTIFS(Customer_Invoices_Upload!$E$4:$E$5003,$A37,Customer_Invoices_Upload!$G$4:$G$5003,"*Subscription*",Customer_Invoices_Upload!$B$4:$B$5003,"&gt;="&amp;DATE(2026,11,1),Customer_Invoices_Upload!$B$4:$B$5003,"&lt;"&amp;EDATE(DATE(2026,11,1),1))+COUNTIFS(Stripe_Invoices_Upload!$D$4:$D$5003,$A37,Stripe_Invoices_Upload!$E$4:$E$5003,"*Subscription*",Stripe_Invoices_Upload!$A$4:$A$5003,"&gt;="&amp;DATE(2026,11,1),Stripe_Invoices_Upload!$A$4:$A$5003,"&lt;"&amp;EDATE(DATE(2026,11,1),1)))&gt;0,"✓ Invoiced","⚠ Due"),""),""))</f>
        <v/>
      </c>
      <c r="O37" s="130" t="str">
        <f aca="false">IF($A37="","",IF((DATE(YEAR($E37),MONTH($E37),1)&lt;=DATE(2026,12,1)),IF((MOD(DATEDIF(DATE(YEAR($E37),MONTH($E37),1),DATE(2026,12,1),"m"),IF($D37="Quarterly",3,IF($D37="Annual",12,1)))=0),IF((COUNTIFS(Xero_Raw!$D$4:$D$5003,$A37,Xero_Raw!$G$4:$G$5003,"*Subscription*",Xero_Raw!$A$4:$A$5003,"&gt;="&amp;DATE(2026,12,1),Xero_Raw!$A$4:$A$5003,"&lt;"&amp;EDATE(DATE(2026,12,1),1))+COUNTIFS(Customer_Invoices_Upload!$E$4:$E$5003,$A37,Customer_Invoices_Upload!$G$4:$G$5003,"*Subscription*",Customer_Invoices_Upload!$B$4:$B$5003,"&gt;="&amp;DATE(2026,12,1),Customer_Invoices_Upload!$B$4:$B$5003,"&lt;"&amp;EDATE(DATE(2026,12,1),1))+COUNTIFS(Stripe_Invoices_Upload!$D$4:$D$5003,$A37,Stripe_Invoices_Upload!$E$4:$E$5003,"*Subscription*",Stripe_Invoices_Upload!$A$4:$A$5003,"&gt;="&amp;DATE(2026,12,1),Stripe_Invoices_Upload!$A$4:$A$5003,"&lt;"&amp;EDATE(DATE(2026,12,1),1)))&gt;0,"✓ Invoiced","⚠ Due"),""),""))</f>
        <v/>
      </c>
      <c r="P37" s="130" t="str">
        <f aca="false">IF($A37="","",IF((DATE(YEAR($E37),MONTH($E37),1)&lt;=DATE(2027,1,1)),IF((MOD(DATEDIF(DATE(YEAR($E37),MONTH($E37),1),DATE(2027,1,1),"m"),IF($D37="Quarterly",3,IF($D37="Annual",12,1)))=0),IF((COUNTIFS(Xero_Raw!$D$4:$D$5003,$A37,Xero_Raw!$G$4:$G$5003,"*Subscription*",Xero_Raw!$A$4:$A$5003,"&gt;="&amp;DATE(2027,1,1),Xero_Raw!$A$4:$A$5003,"&lt;"&amp;EDATE(DATE(2027,1,1),1))+COUNTIFS(Customer_Invoices_Upload!$E$4:$E$5003,$A37,Customer_Invoices_Upload!$G$4:$G$5003,"*Subscription*",Customer_Invoices_Upload!$B$4:$B$5003,"&gt;="&amp;DATE(2027,1,1),Customer_Invoices_Upload!$B$4:$B$5003,"&lt;"&amp;EDATE(DATE(2027,1,1),1))+COUNTIFS(Stripe_Invoices_Upload!$D$4:$D$5003,$A37,Stripe_Invoices_Upload!$E$4:$E$5003,"*Subscription*",Stripe_Invoices_Upload!$A$4:$A$5003,"&gt;="&amp;DATE(2027,1,1),Stripe_Invoices_Upload!$A$4:$A$5003,"&lt;"&amp;EDATE(DATE(2027,1,1),1)))&gt;0,"✓ Invoiced","⚠ Due"),""),""))</f>
        <v/>
      </c>
      <c r="Q37" s="130" t="str">
        <f aca="false">IF($A37="","",IF((DATE(YEAR($E37),MONTH($E37),1)&lt;=DATE(2027,2,1)),IF((MOD(DATEDIF(DATE(YEAR($E37),MONTH($E37),1),DATE(2027,2,1),"m"),IF($D37="Quarterly",3,IF($D37="Annual",12,1)))=0),IF((COUNTIFS(Xero_Raw!$D$4:$D$5003,$A37,Xero_Raw!$G$4:$G$5003,"*Subscription*",Xero_Raw!$A$4:$A$5003,"&gt;="&amp;DATE(2027,2,1),Xero_Raw!$A$4:$A$5003,"&lt;"&amp;EDATE(DATE(2027,2,1),1))+COUNTIFS(Customer_Invoices_Upload!$E$4:$E$5003,$A37,Customer_Invoices_Upload!$G$4:$G$5003,"*Subscription*",Customer_Invoices_Upload!$B$4:$B$5003,"&gt;="&amp;DATE(2027,2,1),Customer_Invoices_Upload!$B$4:$B$5003,"&lt;"&amp;EDATE(DATE(2027,2,1),1))+COUNTIFS(Stripe_Invoices_Upload!$D$4:$D$5003,$A37,Stripe_Invoices_Upload!$E$4:$E$5003,"*Subscription*",Stripe_Invoices_Upload!$A$4:$A$5003,"&gt;="&amp;DATE(2027,2,1),Stripe_Invoices_Upload!$A$4:$A$5003,"&lt;"&amp;EDATE(DATE(2027,2,1),1)))&gt;0,"✓ Invoiced","⚠ Due"),""),""))</f>
        <v/>
      </c>
      <c r="R37" s="130" t="str">
        <f aca="false">IF($A37="","",IF((DATE(YEAR($E37),MONTH($E37),1)&lt;=DATE(2027,3,1)),IF((MOD(DATEDIF(DATE(YEAR($E37),MONTH($E37),1),DATE(2027,3,1),"m"),IF($D37="Quarterly",3,IF($D37="Annual",12,1)))=0),IF((COUNTIFS(Xero_Raw!$D$4:$D$5003,$A37,Xero_Raw!$G$4:$G$5003,"*Subscription*",Xero_Raw!$A$4:$A$5003,"&gt;="&amp;DATE(2027,3,1),Xero_Raw!$A$4:$A$5003,"&lt;"&amp;EDATE(DATE(2027,3,1),1))+COUNTIFS(Customer_Invoices_Upload!$E$4:$E$5003,$A37,Customer_Invoices_Upload!$G$4:$G$5003,"*Subscription*",Customer_Invoices_Upload!$B$4:$B$5003,"&gt;="&amp;DATE(2027,3,1),Customer_Invoices_Upload!$B$4:$B$5003,"&lt;"&amp;EDATE(DATE(2027,3,1),1))+COUNTIFS(Stripe_Invoices_Upload!$D$4:$D$5003,$A37,Stripe_Invoices_Upload!$E$4:$E$5003,"*Subscription*",Stripe_Invoices_Upload!$A$4:$A$5003,"&gt;="&amp;DATE(2027,3,1),Stripe_Invoices_Upload!$A$4:$A$5003,"&lt;"&amp;EDATE(DATE(2027,3,1),1)))&gt;0,"✓ Invoiced","⚠ Due"),""),""))</f>
        <v/>
      </c>
    </row>
    <row r="38" customFormat="false" ht="15" hidden="false" customHeight="false" outlineLevel="0" collapsed="false">
      <c r="A38" s="39"/>
      <c r="B38" s="39"/>
      <c r="C38" s="40"/>
      <c r="D38" s="39"/>
      <c r="E38" s="38"/>
      <c r="F38" s="129" t="str">
        <f aca="true">IF($A38="","",EDATE($E38,DATEDIF($E38,TODAY(),"m")+1))</f>
        <v/>
      </c>
      <c r="G38" s="130" t="str">
        <f aca="false">IF($A38="","",IF((DATE(YEAR($E38),MONTH($E38),1)&lt;=DATE(2026,4,1)),IF((MOD(DATEDIF(DATE(YEAR($E38),MONTH($E38),1),DATE(2026,4,1),"m"),IF($D38="Quarterly",3,IF($D38="Annual",12,1)))=0),IF((COUNTIFS(Xero_Raw!$D$4:$D$5003,$A38,Xero_Raw!$G$4:$G$5003,"*Subscription*",Xero_Raw!$A$4:$A$5003,"&gt;="&amp;DATE(2026,4,1),Xero_Raw!$A$4:$A$5003,"&lt;"&amp;EDATE(DATE(2026,4,1),1))+COUNTIFS(Customer_Invoices_Upload!$E$4:$E$5003,$A38,Customer_Invoices_Upload!$G$4:$G$5003,"*Subscription*",Customer_Invoices_Upload!$B$4:$B$5003,"&gt;="&amp;DATE(2026,4,1),Customer_Invoices_Upload!$B$4:$B$5003,"&lt;"&amp;EDATE(DATE(2026,4,1),1))+COUNTIFS(Stripe_Invoices_Upload!$D$4:$D$5003,$A38,Stripe_Invoices_Upload!$E$4:$E$5003,"*Subscription*",Stripe_Invoices_Upload!$A$4:$A$5003,"&gt;="&amp;DATE(2026,4,1),Stripe_Invoices_Upload!$A$4:$A$5003,"&lt;"&amp;EDATE(DATE(2026,4,1),1)))&gt;0,"✓ Invoiced","⚠ Due"),""),""))</f>
        <v/>
      </c>
      <c r="H38" s="130" t="str">
        <f aca="false">IF($A38="","",IF((DATE(YEAR($E38),MONTH($E38),1)&lt;=DATE(2026,5,1)),IF((MOD(DATEDIF(DATE(YEAR($E38),MONTH($E38),1),DATE(2026,5,1),"m"),IF($D38="Quarterly",3,IF($D38="Annual",12,1)))=0),IF((COUNTIFS(Xero_Raw!$D$4:$D$5003,$A38,Xero_Raw!$G$4:$G$5003,"*Subscription*",Xero_Raw!$A$4:$A$5003,"&gt;="&amp;DATE(2026,5,1),Xero_Raw!$A$4:$A$5003,"&lt;"&amp;EDATE(DATE(2026,5,1),1))+COUNTIFS(Customer_Invoices_Upload!$E$4:$E$5003,$A38,Customer_Invoices_Upload!$G$4:$G$5003,"*Subscription*",Customer_Invoices_Upload!$B$4:$B$5003,"&gt;="&amp;DATE(2026,5,1),Customer_Invoices_Upload!$B$4:$B$5003,"&lt;"&amp;EDATE(DATE(2026,5,1),1))+COUNTIFS(Stripe_Invoices_Upload!$D$4:$D$5003,$A38,Stripe_Invoices_Upload!$E$4:$E$5003,"*Subscription*",Stripe_Invoices_Upload!$A$4:$A$5003,"&gt;="&amp;DATE(2026,5,1),Stripe_Invoices_Upload!$A$4:$A$5003,"&lt;"&amp;EDATE(DATE(2026,5,1),1)))&gt;0,"✓ Invoiced","⚠ Due"),""),""))</f>
        <v/>
      </c>
      <c r="I38" s="130" t="str">
        <f aca="false">IF($A38="","",IF((DATE(YEAR($E38),MONTH($E38),1)&lt;=DATE(2026,6,1)),IF((MOD(DATEDIF(DATE(YEAR($E38),MONTH($E38),1),DATE(2026,6,1),"m"),IF($D38="Quarterly",3,IF($D38="Annual",12,1)))=0),IF((COUNTIFS(Xero_Raw!$D$4:$D$5003,$A38,Xero_Raw!$G$4:$G$5003,"*Subscription*",Xero_Raw!$A$4:$A$5003,"&gt;="&amp;DATE(2026,6,1),Xero_Raw!$A$4:$A$5003,"&lt;"&amp;EDATE(DATE(2026,6,1),1))+COUNTIFS(Customer_Invoices_Upload!$E$4:$E$5003,$A38,Customer_Invoices_Upload!$G$4:$G$5003,"*Subscription*",Customer_Invoices_Upload!$B$4:$B$5003,"&gt;="&amp;DATE(2026,6,1),Customer_Invoices_Upload!$B$4:$B$5003,"&lt;"&amp;EDATE(DATE(2026,6,1),1))+COUNTIFS(Stripe_Invoices_Upload!$D$4:$D$5003,$A38,Stripe_Invoices_Upload!$E$4:$E$5003,"*Subscription*",Stripe_Invoices_Upload!$A$4:$A$5003,"&gt;="&amp;DATE(2026,6,1),Stripe_Invoices_Upload!$A$4:$A$5003,"&lt;"&amp;EDATE(DATE(2026,6,1),1)))&gt;0,"✓ Invoiced","⚠ Due"),""),""))</f>
        <v/>
      </c>
      <c r="J38" s="130" t="str">
        <f aca="false">IF($A38="","",IF((DATE(YEAR($E38),MONTH($E38),1)&lt;=DATE(2026,7,1)),IF((MOD(DATEDIF(DATE(YEAR($E38),MONTH($E38),1),DATE(2026,7,1),"m"),IF($D38="Quarterly",3,IF($D38="Annual",12,1)))=0),IF((COUNTIFS(Xero_Raw!$D$4:$D$5003,$A38,Xero_Raw!$G$4:$G$5003,"*Subscription*",Xero_Raw!$A$4:$A$5003,"&gt;="&amp;DATE(2026,7,1),Xero_Raw!$A$4:$A$5003,"&lt;"&amp;EDATE(DATE(2026,7,1),1))+COUNTIFS(Customer_Invoices_Upload!$E$4:$E$5003,$A38,Customer_Invoices_Upload!$G$4:$G$5003,"*Subscription*",Customer_Invoices_Upload!$B$4:$B$5003,"&gt;="&amp;DATE(2026,7,1),Customer_Invoices_Upload!$B$4:$B$5003,"&lt;"&amp;EDATE(DATE(2026,7,1),1))+COUNTIFS(Stripe_Invoices_Upload!$D$4:$D$5003,$A38,Stripe_Invoices_Upload!$E$4:$E$5003,"*Subscription*",Stripe_Invoices_Upload!$A$4:$A$5003,"&gt;="&amp;DATE(2026,7,1),Stripe_Invoices_Upload!$A$4:$A$5003,"&lt;"&amp;EDATE(DATE(2026,7,1),1)))&gt;0,"✓ Invoiced","⚠ Due"),""),""))</f>
        <v/>
      </c>
      <c r="K38" s="130" t="str">
        <f aca="false">IF($A38="","",IF((DATE(YEAR($E38),MONTH($E38),1)&lt;=DATE(2026,8,1)),IF((MOD(DATEDIF(DATE(YEAR($E38),MONTH($E38),1),DATE(2026,8,1),"m"),IF($D38="Quarterly",3,IF($D38="Annual",12,1)))=0),IF((COUNTIFS(Xero_Raw!$D$4:$D$5003,$A38,Xero_Raw!$G$4:$G$5003,"*Subscription*",Xero_Raw!$A$4:$A$5003,"&gt;="&amp;DATE(2026,8,1),Xero_Raw!$A$4:$A$5003,"&lt;"&amp;EDATE(DATE(2026,8,1),1))+COUNTIFS(Customer_Invoices_Upload!$E$4:$E$5003,$A38,Customer_Invoices_Upload!$G$4:$G$5003,"*Subscription*",Customer_Invoices_Upload!$B$4:$B$5003,"&gt;="&amp;DATE(2026,8,1),Customer_Invoices_Upload!$B$4:$B$5003,"&lt;"&amp;EDATE(DATE(2026,8,1),1))+COUNTIFS(Stripe_Invoices_Upload!$D$4:$D$5003,$A38,Stripe_Invoices_Upload!$E$4:$E$5003,"*Subscription*",Stripe_Invoices_Upload!$A$4:$A$5003,"&gt;="&amp;DATE(2026,8,1),Stripe_Invoices_Upload!$A$4:$A$5003,"&lt;"&amp;EDATE(DATE(2026,8,1),1)))&gt;0,"✓ Invoiced","⚠ Due"),""),""))</f>
        <v/>
      </c>
      <c r="L38" s="130" t="str">
        <f aca="false">IF($A38="","",IF((DATE(YEAR($E38),MONTH($E38),1)&lt;=DATE(2026,9,1)),IF((MOD(DATEDIF(DATE(YEAR($E38),MONTH($E38),1),DATE(2026,9,1),"m"),IF($D38="Quarterly",3,IF($D38="Annual",12,1)))=0),IF((COUNTIFS(Xero_Raw!$D$4:$D$5003,$A38,Xero_Raw!$G$4:$G$5003,"*Subscription*",Xero_Raw!$A$4:$A$5003,"&gt;="&amp;DATE(2026,9,1),Xero_Raw!$A$4:$A$5003,"&lt;"&amp;EDATE(DATE(2026,9,1),1))+COUNTIFS(Customer_Invoices_Upload!$E$4:$E$5003,$A38,Customer_Invoices_Upload!$G$4:$G$5003,"*Subscription*",Customer_Invoices_Upload!$B$4:$B$5003,"&gt;="&amp;DATE(2026,9,1),Customer_Invoices_Upload!$B$4:$B$5003,"&lt;"&amp;EDATE(DATE(2026,9,1),1))+COUNTIFS(Stripe_Invoices_Upload!$D$4:$D$5003,$A38,Stripe_Invoices_Upload!$E$4:$E$5003,"*Subscription*",Stripe_Invoices_Upload!$A$4:$A$5003,"&gt;="&amp;DATE(2026,9,1),Stripe_Invoices_Upload!$A$4:$A$5003,"&lt;"&amp;EDATE(DATE(2026,9,1),1)))&gt;0,"✓ Invoiced","⚠ Due"),""),""))</f>
        <v/>
      </c>
      <c r="M38" s="130" t="str">
        <f aca="false">IF($A38="","",IF((DATE(YEAR($E38),MONTH($E38),1)&lt;=DATE(2026,10,1)),IF((MOD(DATEDIF(DATE(YEAR($E38),MONTH($E38),1),DATE(2026,10,1),"m"),IF($D38="Quarterly",3,IF($D38="Annual",12,1)))=0),IF((COUNTIFS(Xero_Raw!$D$4:$D$5003,$A38,Xero_Raw!$G$4:$G$5003,"*Subscription*",Xero_Raw!$A$4:$A$5003,"&gt;="&amp;DATE(2026,10,1),Xero_Raw!$A$4:$A$5003,"&lt;"&amp;EDATE(DATE(2026,10,1),1))+COUNTIFS(Customer_Invoices_Upload!$E$4:$E$5003,$A38,Customer_Invoices_Upload!$G$4:$G$5003,"*Subscription*",Customer_Invoices_Upload!$B$4:$B$5003,"&gt;="&amp;DATE(2026,10,1),Customer_Invoices_Upload!$B$4:$B$5003,"&lt;"&amp;EDATE(DATE(2026,10,1),1))+COUNTIFS(Stripe_Invoices_Upload!$D$4:$D$5003,$A38,Stripe_Invoices_Upload!$E$4:$E$5003,"*Subscription*",Stripe_Invoices_Upload!$A$4:$A$5003,"&gt;="&amp;DATE(2026,10,1),Stripe_Invoices_Upload!$A$4:$A$5003,"&lt;"&amp;EDATE(DATE(2026,10,1),1)))&gt;0,"✓ Invoiced","⚠ Due"),""),""))</f>
        <v/>
      </c>
      <c r="N38" s="130" t="str">
        <f aca="false">IF($A38="","",IF((DATE(YEAR($E38),MONTH($E38),1)&lt;=DATE(2026,11,1)),IF((MOD(DATEDIF(DATE(YEAR($E38),MONTH($E38),1),DATE(2026,11,1),"m"),IF($D38="Quarterly",3,IF($D38="Annual",12,1)))=0),IF((COUNTIFS(Xero_Raw!$D$4:$D$5003,$A38,Xero_Raw!$G$4:$G$5003,"*Subscription*",Xero_Raw!$A$4:$A$5003,"&gt;="&amp;DATE(2026,11,1),Xero_Raw!$A$4:$A$5003,"&lt;"&amp;EDATE(DATE(2026,11,1),1))+COUNTIFS(Customer_Invoices_Upload!$E$4:$E$5003,$A38,Customer_Invoices_Upload!$G$4:$G$5003,"*Subscription*",Customer_Invoices_Upload!$B$4:$B$5003,"&gt;="&amp;DATE(2026,11,1),Customer_Invoices_Upload!$B$4:$B$5003,"&lt;"&amp;EDATE(DATE(2026,11,1),1))+COUNTIFS(Stripe_Invoices_Upload!$D$4:$D$5003,$A38,Stripe_Invoices_Upload!$E$4:$E$5003,"*Subscription*",Stripe_Invoices_Upload!$A$4:$A$5003,"&gt;="&amp;DATE(2026,11,1),Stripe_Invoices_Upload!$A$4:$A$5003,"&lt;"&amp;EDATE(DATE(2026,11,1),1)))&gt;0,"✓ Invoiced","⚠ Due"),""),""))</f>
        <v/>
      </c>
      <c r="O38" s="130" t="str">
        <f aca="false">IF($A38="","",IF((DATE(YEAR($E38),MONTH($E38),1)&lt;=DATE(2026,12,1)),IF((MOD(DATEDIF(DATE(YEAR($E38),MONTH($E38),1),DATE(2026,12,1),"m"),IF($D38="Quarterly",3,IF($D38="Annual",12,1)))=0),IF((COUNTIFS(Xero_Raw!$D$4:$D$5003,$A38,Xero_Raw!$G$4:$G$5003,"*Subscription*",Xero_Raw!$A$4:$A$5003,"&gt;="&amp;DATE(2026,12,1),Xero_Raw!$A$4:$A$5003,"&lt;"&amp;EDATE(DATE(2026,12,1),1))+COUNTIFS(Customer_Invoices_Upload!$E$4:$E$5003,$A38,Customer_Invoices_Upload!$G$4:$G$5003,"*Subscription*",Customer_Invoices_Upload!$B$4:$B$5003,"&gt;="&amp;DATE(2026,12,1),Customer_Invoices_Upload!$B$4:$B$5003,"&lt;"&amp;EDATE(DATE(2026,12,1),1))+COUNTIFS(Stripe_Invoices_Upload!$D$4:$D$5003,$A38,Stripe_Invoices_Upload!$E$4:$E$5003,"*Subscription*",Stripe_Invoices_Upload!$A$4:$A$5003,"&gt;="&amp;DATE(2026,12,1),Stripe_Invoices_Upload!$A$4:$A$5003,"&lt;"&amp;EDATE(DATE(2026,12,1),1)))&gt;0,"✓ Invoiced","⚠ Due"),""),""))</f>
        <v/>
      </c>
      <c r="P38" s="130" t="str">
        <f aca="false">IF($A38="","",IF((DATE(YEAR($E38),MONTH($E38),1)&lt;=DATE(2027,1,1)),IF((MOD(DATEDIF(DATE(YEAR($E38),MONTH($E38),1),DATE(2027,1,1),"m"),IF($D38="Quarterly",3,IF($D38="Annual",12,1)))=0),IF((COUNTIFS(Xero_Raw!$D$4:$D$5003,$A38,Xero_Raw!$G$4:$G$5003,"*Subscription*",Xero_Raw!$A$4:$A$5003,"&gt;="&amp;DATE(2027,1,1),Xero_Raw!$A$4:$A$5003,"&lt;"&amp;EDATE(DATE(2027,1,1),1))+COUNTIFS(Customer_Invoices_Upload!$E$4:$E$5003,$A38,Customer_Invoices_Upload!$G$4:$G$5003,"*Subscription*",Customer_Invoices_Upload!$B$4:$B$5003,"&gt;="&amp;DATE(2027,1,1),Customer_Invoices_Upload!$B$4:$B$5003,"&lt;"&amp;EDATE(DATE(2027,1,1),1))+COUNTIFS(Stripe_Invoices_Upload!$D$4:$D$5003,$A38,Stripe_Invoices_Upload!$E$4:$E$5003,"*Subscription*",Stripe_Invoices_Upload!$A$4:$A$5003,"&gt;="&amp;DATE(2027,1,1),Stripe_Invoices_Upload!$A$4:$A$5003,"&lt;"&amp;EDATE(DATE(2027,1,1),1)))&gt;0,"✓ Invoiced","⚠ Due"),""),""))</f>
        <v/>
      </c>
      <c r="Q38" s="130" t="str">
        <f aca="false">IF($A38="","",IF((DATE(YEAR($E38),MONTH($E38),1)&lt;=DATE(2027,2,1)),IF((MOD(DATEDIF(DATE(YEAR($E38),MONTH($E38),1),DATE(2027,2,1),"m"),IF($D38="Quarterly",3,IF($D38="Annual",12,1)))=0),IF((COUNTIFS(Xero_Raw!$D$4:$D$5003,$A38,Xero_Raw!$G$4:$G$5003,"*Subscription*",Xero_Raw!$A$4:$A$5003,"&gt;="&amp;DATE(2027,2,1),Xero_Raw!$A$4:$A$5003,"&lt;"&amp;EDATE(DATE(2027,2,1),1))+COUNTIFS(Customer_Invoices_Upload!$E$4:$E$5003,$A38,Customer_Invoices_Upload!$G$4:$G$5003,"*Subscription*",Customer_Invoices_Upload!$B$4:$B$5003,"&gt;="&amp;DATE(2027,2,1),Customer_Invoices_Upload!$B$4:$B$5003,"&lt;"&amp;EDATE(DATE(2027,2,1),1))+COUNTIFS(Stripe_Invoices_Upload!$D$4:$D$5003,$A38,Stripe_Invoices_Upload!$E$4:$E$5003,"*Subscription*",Stripe_Invoices_Upload!$A$4:$A$5003,"&gt;="&amp;DATE(2027,2,1),Stripe_Invoices_Upload!$A$4:$A$5003,"&lt;"&amp;EDATE(DATE(2027,2,1),1)))&gt;0,"✓ Invoiced","⚠ Due"),""),""))</f>
        <v/>
      </c>
      <c r="R38" s="130" t="str">
        <f aca="false">IF($A38="","",IF((DATE(YEAR($E38),MONTH($E38),1)&lt;=DATE(2027,3,1)),IF((MOD(DATEDIF(DATE(YEAR($E38),MONTH($E38),1),DATE(2027,3,1),"m"),IF($D38="Quarterly",3,IF($D38="Annual",12,1)))=0),IF((COUNTIFS(Xero_Raw!$D$4:$D$5003,$A38,Xero_Raw!$G$4:$G$5003,"*Subscription*",Xero_Raw!$A$4:$A$5003,"&gt;="&amp;DATE(2027,3,1),Xero_Raw!$A$4:$A$5003,"&lt;"&amp;EDATE(DATE(2027,3,1),1))+COUNTIFS(Customer_Invoices_Upload!$E$4:$E$5003,$A38,Customer_Invoices_Upload!$G$4:$G$5003,"*Subscription*",Customer_Invoices_Upload!$B$4:$B$5003,"&gt;="&amp;DATE(2027,3,1),Customer_Invoices_Upload!$B$4:$B$5003,"&lt;"&amp;EDATE(DATE(2027,3,1),1))+COUNTIFS(Stripe_Invoices_Upload!$D$4:$D$5003,$A38,Stripe_Invoices_Upload!$E$4:$E$5003,"*Subscription*",Stripe_Invoices_Upload!$A$4:$A$5003,"&gt;="&amp;DATE(2027,3,1),Stripe_Invoices_Upload!$A$4:$A$5003,"&lt;"&amp;EDATE(DATE(2027,3,1),1)))&gt;0,"✓ Invoiced","⚠ Due"),""),""))</f>
        <v/>
      </c>
    </row>
    <row r="39" customFormat="false" ht="15" hidden="false" customHeight="false" outlineLevel="0" collapsed="false">
      <c r="A39" s="39"/>
      <c r="B39" s="39"/>
      <c r="C39" s="40"/>
      <c r="D39" s="39"/>
      <c r="E39" s="38"/>
      <c r="F39" s="129" t="str">
        <f aca="true">IF($A39="","",EDATE($E39,DATEDIF($E39,TODAY(),"m")+1))</f>
        <v/>
      </c>
      <c r="G39" s="130" t="str">
        <f aca="false">IF($A39="","",IF((DATE(YEAR($E39),MONTH($E39),1)&lt;=DATE(2026,4,1)),IF((MOD(DATEDIF(DATE(YEAR($E39),MONTH($E39),1),DATE(2026,4,1),"m"),IF($D39="Quarterly",3,IF($D39="Annual",12,1)))=0),IF((COUNTIFS(Xero_Raw!$D$4:$D$5003,$A39,Xero_Raw!$G$4:$G$5003,"*Subscription*",Xero_Raw!$A$4:$A$5003,"&gt;="&amp;DATE(2026,4,1),Xero_Raw!$A$4:$A$5003,"&lt;"&amp;EDATE(DATE(2026,4,1),1))+COUNTIFS(Customer_Invoices_Upload!$E$4:$E$5003,$A39,Customer_Invoices_Upload!$G$4:$G$5003,"*Subscription*",Customer_Invoices_Upload!$B$4:$B$5003,"&gt;="&amp;DATE(2026,4,1),Customer_Invoices_Upload!$B$4:$B$5003,"&lt;"&amp;EDATE(DATE(2026,4,1),1))+COUNTIFS(Stripe_Invoices_Upload!$D$4:$D$5003,$A39,Stripe_Invoices_Upload!$E$4:$E$5003,"*Subscription*",Stripe_Invoices_Upload!$A$4:$A$5003,"&gt;="&amp;DATE(2026,4,1),Stripe_Invoices_Upload!$A$4:$A$5003,"&lt;"&amp;EDATE(DATE(2026,4,1),1)))&gt;0,"✓ Invoiced","⚠ Due"),""),""))</f>
        <v/>
      </c>
      <c r="H39" s="130" t="str">
        <f aca="false">IF($A39="","",IF((DATE(YEAR($E39),MONTH($E39),1)&lt;=DATE(2026,5,1)),IF((MOD(DATEDIF(DATE(YEAR($E39),MONTH($E39),1),DATE(2026,5,1),"m"),IF($D39="Quarterly",3,IF($D39="Annual",12,1)))=0),IF((COUNTIFS(Xero_Raw!$D$4:$D$5003,$A39,Xero_Raw!$G$4:$G$5003,"*Subscription*",Xero_Raw!$A$4:$A$5003,"&gt;="&amp;DATE(2026,5,1),Xero_Raw!$A$4:$A$5003,"&lt;"&amp;EDATE(DATE(2026,5,1),1))+COUNTIFS(Customer_Invoices_Upload!$E$4:$E$5003,$A39,Customer_Invoices_Upload!$G$4:$G$5003,"*Subscription*",Customer_Invoices_Upload!$B$4:$B$5003,"&gt;="&amp;DATE(2026,5,1),Customer_Invoices_Upload!$B$4:$B$5003,"&lt;"&amp;EDATE(DATE(2026,5,1),1))+COUNTIFS(Stripe_Invoices_Upload!$D$4:$D$5003,$A39,Stripe_Invoices_Upload!$E$4:$E$5003,"*Subscription*",Stripe_Invoices_Upload!$A$4:$A$5003,"&gt;="&amp;DATE(2026,5,1),Stripe_Invoices_Upload!$A$4:$A$5003,"&lt;"&amp;EDATE(DATE(2026,5,1),1)))&gt;0,"✓ Invoiced","⚠ Due"),""),""))</f>
        <v/>
      </c>
      <c r="I39" s="130" t="str">
        <f aca="false">IF($A39="","",IF((DATE(YEAR($E39),MONTH($E39),1)&lt;=DATE(2026,6,1)),IF((MOD(DATEDIF(DATE(YEAR($E39),MONTH($E39),1),DATE(2026,6,1),"m"),IF($D39="Quarterly",3,IF($D39="Annual",12,1)))=0),IF((COUNTIFS(Xero_Raw!$D$4:$D$5003,$A39,Xero_Raw!$G$4:$G$5003,"*Subscription*",Xero_Raw!$A$4:$A$5003,"&gt;="&amp;DATE(2026,6,1),Xero_Raw!$A$4:$A$5003,"&lt;"&amp;EDATE(DATE(2026,6,1),1))+COUNTIFS(Customer_Invoices_Upload!$E$4:$E$5003,$A39,Customer_Invoices_Upload!$G$4:$G$5003,"*Subscription*",Customer_Invoices_Upload!$B$4:$B$5003,"&gt;="&amp;DATE(2026,6,1),Customer_Invoices_Upload!$B$4:$B$5003,"&lt;"&amp;EDATE(DATE(2026,6,1),1))+COUNTIFS(Stripe_Invoices_Upload!$D$4:$D$5003,$A39,Stripe_Invoices_Upload!$E$4:$E$5003,"*Subscription*",Stripe_Invoices_Upload!$A$4:$A$5003,"&gt;="&amp;DATE(2026,6,1),Stripe_Invoices_Upload!$A$4:$A$5003,"&lt;"&amp;EDATE(DATE(2026,6,1),1)))&gt;0,"✓ Invoiced","⚠ Due"),""),""))</f>
        <v/>
      </c>
      <c r="J39" s="130" t="str">
        <f aca="false">IF($A39="","",IF((DATE(YEAR($E39),MONTH($E39),1)&lt;=DATE(2026,7,1)),IF((MOD(DATEDIF(DATE(YEAR($E39),MONTH($E39),1),DATE(2026,7,1),"m"),IF($D39="Quarterly",3,IF($D39="Annual",12,1)))=0),IF((COUNTIFS(Xero_Raw!$D$4:$D$5003,$A39,Xero_Raw!$G$4:$G$5003,"*Subscription*",Xero_Raw!$A$4:$A$5003,"&gt;="&amp;DATE(2026,7,1),Xero_Raw!$A$4:$A$5003,"&lt;"&amp;EDATE(DATE(2026,7,1),1))+COUNTIFS(Customer_Invoices_Upload!$E$4:$E$5003,$A39,Customer_Invoices_Upload!$G$4:$G$5003,"*Subscription*",Customer_Invoices_Upload!$B$4:$B$5003,"&gt;="&amp;DATE(2026,7,1),Customer_Invoices_Upload!$B$4:$B$5003,"&lt;"&amp;EDATE(DATE(2026,7,1),1))+COUNTIFS(Stripe_Invoices_Upload!$D$4:$D$5003,$A39,Stripe_Invoices_Upload!$E$4:$E$5003,"*Subscription*",Stripe_Invoices_Upload!$A$4:$A$5003,"&gt;="&amp;DATE(2026,7,1),Stripe_Invoices_Upload!$A$4:$A$5003,"&lt;"&amp;EDATE(DATE(2026,7,1),1)))&gt;0,"✓ Invoiced","⚠ Due"),""),""))</f>
        <v/>
      </c>
      <c r="K39" s="130" t="str">
        <f aca="false">IF($A39="","",IF((DATE(YEAR($E39),MONTH($E39),1)&lt;=DATE(2026,8,1)),IF((MOD(DATEDIF(DATE(YEAR($E39),MONTH($E39),1),DATE(2026,8,1),"m"),IF($D39="Quarterly",3,IF($D39="Annual",12,1)))=0),IF((COUNTIFS(Xero_Raw!$D$4:$D$5003,$A39,Xero_Raw!$G$4:$G$5003,"*Subscription*",Xero_Raw!$A$4:$A$5003,"&gt;="&amp;DATE(2026,8,1),Xero_Raw!$A$4:$A$5003,"&lt;"&amp;EDATE(DATE(2026,8,1),1))+COUNTIFS(Customer_Invoices_Upload!$E$4:$E$5003,$A39,Customer_Invoices_Upload!$G$4:$G$5003,"*Subscription*",Customer_Invoices_Upload!$B$4:$B$5003,"&gt;="&amp;DATE(2026,8,1),Customer_Invoices_Upload!$B$4:$B$5003,"&lt;"&amp;EDATE(DATE(2026,8,1),1))+COUNTIFS(Stripe_Invoices_Upload!$D$4:$D$5003,$A39,Stripe_Invoices_Upload!$E$4:$E$5003,"*Subscription*",Stripe_Invoices_Upload!$A$4:$A$5003,"&gt;="&amp;DATE(2026,8,1),Stripe_Invoices_Upload!$A$4:$A$5003,"&lt;"&amp;EDATE(DATE(2026,8,1),1)))&gt;0,"✓ Invoiced","⚠ Due"),""),""))</f>
        <v/>
      </c>
      <c r="L39" s="130" t="str">
        <f aca="false">IF($A39="","",IF((DATE(YEAR($E39),MONTH($E39),1)&lt;=DATE(2026,9,1)),IF((MOD(DATEDIF(DATE(YEAR($E39),MONTH($E39),1),DATE(2026,9,1),"m"),IF($D39="Quarterly",3,IF($D39="Annual",12,1)))=0),IF((COUNTIFS(Xero_Raw!$D$4:$D$5003,$A39,Xero_Raw!$G$4:$G$5003,"*Subscription*",Xero_Raw!$A$4:$A$5003,"&gt;="&amp;DATE(2026,9,1),Xero_Raw!$A$4:$A$5003,"&lt;"&amp;EDATE(DATE(2026,9,1),1))+COUNTIFS(Customer_Invoices_Upload!$E$4:$E$5003,$A39,Customer_Invoices_Upload!$G$4:$G$5003,"*Subscription*",Customer_Invoices_Upload!$B$4:$B$5003,"&gt;="&amp;DATE(2026,9,1),Customer_Invoices_Upload!$B$4:$B$5003,"&lt;"&amp;EDATE(DATE(2026,9,1),1))+COUNTIFS(Stripe_Invoices_Upload!$D$4:$D$5003,$A39,Stripe_Invoices_Upload!$E$4:$E$5003,"*Subscription*",Stripe_Invoices_Upload!$A$4:$A$5003,"&gt;="&amp;DATE(2026,9,1),Stripe_Invoices_Upload!$A$4:$A$5003,"&lt;"&amp;EDATE(DATE(2026,9,1),1)))&gt;0,"✓ Invoiced","⚠ Due"),""),""))</f>
        <v/>
      </c>
      <c r="M39" s="130" t="str">
        <f aca="false">IF($A39="","",IF((DATE(YEAR($E39),MONTH($E39),1)&lt;=DATE(2026,10,1)),IF((MOD(DATEDIF(DATE(YEAR($E39),MONTH($E39),1),DATE(2026,10,1),"m"),IF($D39="Quarterly",3,IF($D39="Annual",12,1)))=0),IF((COUNTIFS(Xero_Raw!$D$4:$D$5003,$A39,Xero_Raw!$G$4:$G$5003,"*Subscription*",Xero_Raw!$A$4:$A$5003,"&gt;="&amp;DATE(2026,10,1),Xero_Raw!$A$4:$A$5003,"&lt;"&amp;EDATE(DATE(2026,10,1),1))+COUNTIFS(Customer_Invoices_Upload!$E$4:$E$5003,$A39,Customer_Invoices_Upload!$G$4:$G$5003,"*Subscription*",Customer_Invoices_Upload!$B$4:$B$5003,"&gt;="&amp;DATE(2026,10,1),Customer_Invoices_Upload!$B$4:$B$5003,"&lt;"&amp;EDATE(DATE(2026,10,1),1))+COUNTIFS(Stripe_Invoices_Upload!$D$4:$D$5003,$A39,Stripe_Invoices_Upload!$E$4:$E$5003,"*Subscription*",Stripe_Invoices_Upload!$A$4:$A$5003,"&gt;="&amp;DATE(2026,10,1),Stripe_Invoices_Upload!$A$4:$A$5003,"&lt;"&amp;EDATE(DATE(2026,10,1),1)))&gt;0,"✓ Invoiced","⚠ Due"),""),""))</f>
        <v/>
      </c>
      <c r="N39" s="130" t="str">
        <f aca="false">IF($A39="","",IF((DATE(YEAR($E39),MONTH($E39),1)&lt;=DATE(2026,11,1)),IF((MOD(DATEDIF(DATE(YEAR($E39),MONTH($E39),1),DATE(2026,11,1),"m"),IF($D39="Quarterly",3,IF($D39="Annual",12,1)))=0),IF((COUNTIFS(Xero_Raw!$D$4:$D$5003,$A39,Xero_Raw!$G$4:$G$5003,"*Subscription*",Xero_Raw!$A$4:$A$5003,"&gt;="&amp;DATE(2026,11,1),Xero_Raw!$A$4:$A$5003,"&lt;"&amp;EDATE(DATE(2026,11,1),1))+COUNTIFS(Customer_Invoices_Upload!$E$4:$E$5003,$A39,Customer_Invoices_Upload!$G$4:$G$5003,"*Subscription*",Customer_Invoices_Upload!$B$4:$B$5003,"&gt;="&amp;DATE(2026,11,1),Customer_Invoices_Upload!$B$4:$B$5003,"&lt;"&amp;EDATE(DATE(2026,11,1),1))+COUNTIFS(Stripe_Invoices_Upload!$D$4:$D$5003,$A39,Stripe_Invoices_Upload!$E$4:$E$5003,"*Subscription*",Stripe_Invoices_Upload!$A$4:$A$5003,"&gt;="&amp;DATE(2026,11,1),Stripe_Invoices_Upload!$A$4:$A$5003,"&lt;"&amp;EDATE(DATE(2026,11,1),1)))&gt;0,"✓ Invoiced","⚠ Due"),""),""))</f>
        <v/>
      </c>
      <c r="O39" s="130" t="str">
        <f aca="false">IF($A39="","",IF((DATE(YEAR($E39),MONTH($E39),1)&lt;=DATE(2026,12,1)),IF((MOD(DATEDIF(DATE(YEAR($E39),MONTH($E39),1),DATE(2026,12,1),"m"),IF($D39="Quarterly",3,IF($D39="Annual",12,1)))=0),IF((COUNTIFS(Xero_Raw!$D$4:$D$5003,$A39,Xero_Raw!$G$4:$G$5003,"*Subscription*",Xero_Raw!$A$4:$A$5003,"&gt;="&amp;DATE(2026,12,1),Xero_Raw!$A$4:$A$5003,"&lt;"&amp;EDATE(DATE(2026,12,1),1))+COUNTIFS(Customer_Invoices_Upload!$E$4:$E$5003,$A39,Customer_Invoices_Upload!$G$4:$G$5003,"*Subscription*",Customer_Invoices_Upload!$B$4:$B$5003,"&gt;="&amp;DATE(2026,12,1),Customer_Invoices_Upload!$B$4:$B$5003,"&lt;"&amp;EDATE(DATE(2026,12,1),1))+COUNTIFS(Stripe_Invoices_Upload!$D$4:$D$5003,$A39,Stripe_Invoices_Upload!$E$4:$E$5003,"*Subscription*",Stripe_Invoices_Upload!$A$4:$A$5003,"&gt;="&amp;DATE(2026,12,1),Stripe_Invoices_Upload!$A$4:$A$5003,"&lt;"&amp;EDATE(DATE(2026,12,1),1)))&gt;0,"✓ Invoiced","⚠ Due"),""),""))</f>
        <v/>
      </c>
      <c r="P39" s="130" t="str">
        <f aca="false">IF($A39="","",IF((DATE(YEAR($E39),MONTH($E39),1)&lt;=DATE(2027,1,1)),IF((MOD(DATEDIF(DATE(YEAR($E39),MONTH($E39),1),DATE(2027,1,1),"m"),IF($D39="Quarterly",3,IF($D39="Annual",12,1)))=0),IF((COUNTIFS(Xero_Raw!$D$4:$D$5003,$A39,Xero_Raw!$G$4:$G$5003,"*Subscription*",Xero_Raw!$A$4:$A$5003,"&gt;="&amp;DATE(2027,1,1),Xero_Raw!$A$4:$A$5003,"&lt;"&amp;EDATE(DATE(2027,1,1),1))+COUNTIFS(Customer_Invoices_Upload!$E$4:$E$5003,$A39,Customer_Invoices_Upload!$G$4:$G$5003,"*Subscription*",Customer_Invoices_Upload!$B$4:$B$5003,"&gt;="&amp;DATE(2027,1,1),Customer_Invoices_Upload!$B$4:$B$5003,"&lt;"&amp;EDATE(DATE(2027,1,1),1))+COUNTIFS(Stripe_Invoices_Upload!$D$4:$D$5003,$A39,Stripe_Invoices_Upload!$E$4:$E$5003,"*Subscription*",Stripe_Invoices_Upload!$A$4:$A$5003,"&gt;="&amp;DATE(2027,1,1),Stripe_Invoices_Upload!$A$4:$A$5003,"&lt;"&amp;EDATE(DATE(2027,1,1),1)))&gt;0,"✓ Invoiced","⚠ Due"),""),""))</f>
        <v/>
      </c>
      <c r="Q39" s="130" t="str">
        <f aca="false">IF($A39="","",IF((DATE(YEAR($E39),MONTH($E39),1)&lt;=DATE(2027,2,1)),IF((MOD(DATEDIF(DATE(YEAR($E39),MONTH($E39),1),DATE(2027,2,1),"m"),IF($D39="Quarterly",3,IF($D39="Annual",12,1)))=0),IF((COUNTIFS(Xero_Raw!$D$4:$D$5003,$A39,Xero_Raw!$G$4:$G$5003,"*Subscription*",Xero_Raw!$A$4:$A$5003,"&gt;="&amp;DATE(2027,2,1),Xero_Raw!$A$4:$A$5003,"&lt;"&amp;EDATE(DATE(2027,2,1),1))+COUNTIFS(Customer_Invoices_Upload!$E$4:$E$5003,$A39,Customer_Invoices_Upload!$G$4:$G$5003,"*Subscription*",Customer_Invoices_Upload!$B$4:$B$5003,"&gt;="&amp;DATE(2027,2,1),Customer_Invoices_Upload!$B$4:$B$5003,"&lt;"&amp;EDATE(DATE(2027,2,1),1))+COUNTIFS(Stripe_Invoices_Upload!$D$4:$D$5003,$A39,Stripe_Invoices_Upload!$E$4:$E$5003,"*Subscription*",Stripe_Invoices_Upload!$A$4:$A$5003,"&gt;="&amp;DATE(2027,2,1),Stripe_Invoices_Upload!$A$4:$A$5003,"&lt;"&amp;EDATE(DATE(2027,2,1),1)))&gt;0,"✓ Invoiced","⚠ Due"),""),""))</f>
        <v/>
      </c>
      <c r="R39" s="130" t="str">
        <f aca="false">IF($A39="","",IF((DATE(YEAR($E39),MONTH($E39),1)&lt;=DATE(2027,3,1)),IF((MOD(DATEDIF(DATE(YEAR($E39),MONTH($E39),1),DATE(2027,3,1),"m"),IF($D39="Quarterly",3,IF($D39="Annual",12,1)))=0),IF((COUNTIFS(Xero_Raw!$D$4:$D$5003,$A39,Xero_Raw!$G$4:$G$5003,"*Subscription*",Xero_Raw!$A$4:$A$5003,"&gt;="&amp;DATE(2027,3,1),Xero_Raw!$A$4:$A$5003,"&lt;"&amp;EDATE(DATE(2027,3,1),1))+COUNTIFS(Customer_Invoices_Upload!$E$4:$E$5003,$A39,Customer_Invoices_Upload!$G$4:$G$5003,"*Subscription*",Customer_Invoices_Upload!$B$4:$B$5003,"&gt;="&amp;DATE(2027,3,1),Customer_Invoices_Upload!$B$4:$B$5003,"&lt;"&amp;EDATE(DATE(2027,3,1),1))+COUNTIFS(Stripe_Invoices_Upload!$D$4:$D$5003,$A39,Stripe_Invoices_Upload!$E$4:$E$5003,"*Subscription*",Stripe_Invoices_Upload!$A$4:$A$5003,"&gt;="&amp;DATE(2027,3,1),Stripe_Invoices_Upload!$A$4:$A$5003,"&lt;"&amp;EDATE(DATE(2027,3,1),1)))&gt;0,"✓ Invoiced","⚠ Due"),""),""))</f>
        <v/>
      </c>
    </row>
    <row r="40" customFormat="false" ht="15" hidden="false" customHeight="false" outlineLevel="0" collapsed="false">
      <c r="A40" s="39"/>
      <c r="B40" s="39"/>
      <c r="C40" s="40"/>
      <c r="D40" s="39"/>
      <c r="E40" s="38"/>
      <c r="F40" s="129" t="str">
        <f aca="true">IF($A40="","",EDATE($E40,DATEDIF($E40,TODAY(),"m")+1))</f>
        <v/>
      </c>
      <c r="G40" s="130" t="str">
        <f aca="false">IF($A40="","",IF((DATE(YEAR($E40),MONTH($E40),1)&lt;=DATE(2026,4,1)),IF((MOD(DATEDIF(DATE(YEAR($E40),MONTH($E40),1),DATE(2026,4,1),"m"),IF($D40="Quarterly",3,IF($D40="Annual",12,1)))=0),IF((COUNTIFS(Xero_Raw!$D$4:$D$5003,$A40,Xero_Raw!$G$4:$G$5003,"*Subscription*",Xero_Raw!$A$4:$A$5003,"&gt;="&amp;DATE(2026,4,1),Xero_Raw!$A$4:$A$5003,"&lt;"&amp;EDATE(DATE(2026,4,1),1))+COUNTIFS(Customer_Invoices_Upload!$E$4:$E$5003,$A40,Customer_Invoices_Upload!$G$4:$G$5003,"*Subscription*",Customer_Invoices_Upload!$B$4:$B$5003,"&gt;="&amp;DATE(2026,4,1),Customer_Invoices_Upload!$B$4:$B$5003,"&lt;"&amp;EDATE(DATE(2026,4,1),1))+COUNTIFS(Stripe_Invoices_Upload!$D$4:$D$5003,$A40,Stripe_Invoices_Upload!$E$4:$E$5003,"*Subscription*",Stripe_Invoices_Upload!$A$4:$A$5003,"&gt;="&amp;DATE(2026,4,1),Stripe_Invoices_Upload!$A$4:$A$5003,"&lt;"&amp;EDATE(DATE(2026,4,1),1)))&gt;0,"✓ Invoiced","⚠ Due"),""),""))</f>
        <v/>
      </c>
      <c r="H40" s="130" t="str">
        <f aca="false">IF($A40="","",IF((DATE(YEAR($E40),MONTH($E40),1)&lt;=DATE(2026,5,1)),IF((MOD(DATEDIF(DATE(YEAR($E40),MONTH($E40),1),DATE(2026,5,1),"m"),IF($D40="Quarterly",3,IF($D40="Annual",12,1)))=0),IF((COUNTIFS(Xero_Raw!$D$4:$D$5003,$A40,Xero_Raw!$G$4:$G$5003,"*Subscription*",Xero_Raw!$A$4:$A$5003,"&gt;="&amp;DATE(2026,5,1),Xero_Raw!$A$4:$A$5003,"&lt;"&amp;EDATE(DATE(2026,5,1),1))+COUNTIFS(Customer_Invoices_Upload!$E$4:$E$5003,$A40,Customer_Invoices_Upload!$G$4:$G$5003,"*Subscription*",Customer_Invoices_Upload!$B$4:$B$5003,"&gt;="&amp;DATE(2026,5,1),Customer_Invoices_Upload!$B$4:$B$5003,"&lt;"&amp;EDATE(DATE(2026,5,1),1))+COUNTIFS(Stripe_Invoices_Upload!$D$4:$D$5003,$A40,Stripe_Invoices_Upload!$E$4:$E$5003,"*Subscription*",Stripe_Invoices_Upload!$A$4:$A$5003,"&gt;="&amp;DATE(2026,5,1),Stripe_Invoices_Upload!$A$4:$A$5003,"&lt;"&amp;EDATE(DATE(2026,5,1),1)))&gt;0,"✓ Invoiced","⚠ Due"),""),""))</f>
        <v/>
      </c>
      <c r="I40" s="130" t="str">
        <f aca="false">IF($A40="","",IF((DATE(YEAR($E40),MONTH($E40),1)&lt;=DATE(2026,6,1)),IF((MOD(DATEDIF(DATE(YEAR($E40),MONTH($E40),1),DATE(2026,6,1),"m"),IF($D40="Quarterly",3,IF($D40="Annual",12,1)))=0),IF((COUNTIFS(Xero_Raw!$D$4:$D$5003,$A40,Xero_Raw!$G$4:$G$5003,"*Subscription*",Xero_Raw!$A$4:$A$5003,"&gt;="&amp;DATE(2026,6,1),Xero_Raw!$A$4:$A$5003,"&lt;"&amp;EDATE(DATE(2026,6,1),1))+COUNTIFS(Customer_Invoices_Upload!$E$4:$E$5003,$A40,Customer_Invoices_Upload!$G$4:$G$5003,"*Subscription*",Customer_Invoices_Upload!$B$4:$B$5003,"&gt;="&amp;DATE(2026,6,1),Customer_Invoices_Upload!$B$4:$B$5003,"&lt;"&amp;EDATE(DATE(2026,6,1),1))+COUNTIFS(Stripe_Invoices_Upload!$D$4:$D$5003,$A40,Stripe_Invoices_Upload!$E$4:$E$5003,"*Subscription*",Stripe_Invoices_Upload!$A$4:$A$5003,"&gt;="&amp;DATE(2026,6,1),Stripe_Invoices_Upload!$A$4:$A$5003,"&lt;"&amp;EDATE(DATE(2026,6,1),1)))&gt;0,"✓ Invoiced","⚠ Due"),""),""))</f>
        <v/>
      </c>
      <c r="J40" s="130" t="str">
        <f aca="false">IF($A40="","",IF((DATE(YEAR($E40),MONTH($E40),1)&lt;=DATE(2026,7,1)),IF((MOD(DATEDIF(DATE(YEAR($E40),MONTH($E40),1),DATE(2026,7,1),"m"),IF($D40="Quarterly",3,IF($D40="Annual",12,1)))=0),IF((COUNTIFS(Xero_Raw!$D$4:$D$5003,$A40,Xero_Raw!$G$4:$G$5003,"*Subscription*",Xero_Raw!$A$4:$A$5003,"&gt;="&amp;DATE(2026,7,1),Xero_Raw!$A$4:$A$5003,"&lt;"&amp;EDATE(DATE(2026,7,1),1))+COUNTIFS(Customer_Invoices_Upload!$E$4:$E$5003,$A40,Customer_Invoices_Upload!$G$4:$G$5003,"*Subscription*",Customer_Invoices_Upload!$B$4:$B$5003,"&gt;="&amp;DATE(2026,7,1),Customer_Invoices_Upload!$B$4:$B$5003,"&lt;"&amp;EDATE(DATE(2026,7,1),1))+COUNTIFS(Stripe_Invoices_Upload!$D$4:$D$5003,$A40,Stripe_Invoices_Upload!$E$4:$E$5003,"*Subscription*",Stripe_Invoices_Upload!$A$4:$A$5003,"&gt;="&amp;DATE(2026,7,1),Stripe_Invoices_Upload!$A$4:$A$5003,"&lt;"&amp;EDATE(DATE(2026,7,1),1)))&gt;0,"✓ Invoiced","⚠ Due"),""),""))</f>
        <v/>
      </c>
      <c r="K40" s="130" t="str">
        <f aca="false">IF($A40="","",IF((DATE(YEAR($E40),MONTH($E40),1)&lt;=DATE(2026,8,1)),IF((MOD(DATEDIF(DATE(YEAR($E40),MONTH($E40),1),DATE(2026,8,1),"m"),IF($D40="Quarterly",3,IF($D40="Annual",12,1)))=0),IF((COUNTIFS(Xero_Raw!$D$4:$D$5003,$A40,Xero_Raw!$G$4:$G$5003,"*Subscription*",Xero_Raw!$A$4:$A$5003,"&gt;="&amp;DATE(2026,8,1),Xero_Raw!$A$4:$A$5003,"&lt;"&amp;EDATE(DATE(2026,8,1),1))+COUNTIFS(Customer_Invoices_Upload!$E$4:$E$5003,$A40,Customer_Invoices_Upload!$G$4:$G$5003,"*Subscription*",Customer_Invoices_Upload!$B$4:$B$5003,"&gt;="&amp;DATE(2026,8,1),Customer_Invoices_Upload!$B$4:$B$5003,"&lt;"&amp;EDATE(DATE(2026,8,1),1))+COUNTIFS(Stripe_Invoices_Upload!$D$4:$D$5003,$A40,Stripe_Invoices_Upload!$E$4:$E$5003,"*Subscription*",Stripe_Invoices_Upload!$A$4:$A$5003,"&gt;="&amp;DATE(2026,8,1),Stripe_Invoices_Upload!$A$4:$A$5003,"&lt;"&amp;EDATE(DATE(2026,8,1),1)))&gt;0,"✓ Invoiced","⚠ Due"),""),""))</f>
        <v/>
      </c>
      <c r="L40" s="130" t="str">
        <f aca="false">IF($A40="","",IF((DATE(YEAR($E40),MONTH($E40),1)&lt;=DATE(2026,9,1)),IF((MOD(DATEDIF(DATE(YEAR($E40),MONTH($E40),1),DATE(2026,9,1),"m"),IF($D40="Quarterly",3,IF($D40="Annual",12,1)))=0),IF((COUNTIFS(Xero_Raw!$D$4:$D$5003,$A40,Xero_Raw!$G$4:$G$5003,"*Subscription*",Xero_Raw!$A$4:$A$5003,"&gt;="&amp;DATE(2026,9,1),Xero_Raw!$A$4:$A$5003,"&lt;"&amp;EDATE(DATE(2026,9,1),1))+COUNTIFS(Customer_Invoices_Upload!$E$4:$E$5003,$A40,Customer_Invoices_Upload!$G$4:$G$5003,"*Subscription*",Customer_Invoices_Upload!$B$4:$B$5003,"&gt;="&amp;DATE(2026,9,1),Customer_Invoices_Upload!$B$4:$B$5003,"&lt;"&amp;EDATE(DATE(2026,9,1),1))+COUNTIFS(Stripe_Invoices_Upload!$D$4:$D$5003,$A40,Stripe_Invoices_Upload!$E$4:$E$5003,"*Subscription*",Stripe_Invoices_Upload!$A$4:$A$5003,"&gt;="&amp;DATE(2026,9,1),Stripe_Invoices_Upload!$A$4:$A$5003,"&lt;"&amp;EDATE(DATE(2026,9,1),1)))&gt;0,"✓ Invoiced","⚠ Due"),""),""))</f>
        <v/>
      </c>
      <c r="M40" s="130" t="str">
        <f aca="false">IF($A40="","",IF((DATE(YEAR($E40),MONTH($E40),1)&lt;=DATE(2026,10,1)),IF((MOD(DATEDIF(DATE(YEAR($E40),MONTH($E40),1),DATE(2026,10,1),"m"),IF($D40="Quarterly",3,IF($D40="Annual",12,1)))=0),IF((COUNTIFS(Xero_Raw!$D$4:$D$5003,$A40,Xero_Raw!$G$4:$G$5003,"*Subscription*",Xero_Raw!$A$4:$A$5003,"&gt;="&amp;DATE(2026,10,1),Xero_Raw!$A$4:$A$5003,"&lt;"&amp;EDATE(DATE(2026,10,1),1))+COUNTIFS(Customer_Invoices_Upload!$E$4:$E$5003,$A40,Customer_Invoices_Upload!$G$4:$G$5003,"*Subscription*",Customer_Invoices_Upload!$B$4:$B$5003,"&gt;="&amp;DATE(2026,10,1),Customer_Invoices_Upload!$B$4:$B$5003,"&lt;"&amp;EDATE(DATE(2026,10,1),1))+COUNTIFS(Stripe_Invoices_Upload!$D$4:$D$5003,$A40,Stripe_Invoices_Upload!$E$4:$E$5003,"*Subscription*",Stripe_Invoices_Upload!$A$4:$A$5003,"&gt;="&amp;DATE(2026,10,1),Stripe_Invoices_Upload!$A$4:$A$5003,"&lt;"&amp;EDATE(DATE(2026,10,1),1)))&gt;0,"✓ Invoiced","⚠ Due"),""),""))</f>
        <v/>
      </c>
      <c r="N40" s="130" t="str">
        <f aca="false">IF($A40="","",IF((DATE(YEAR($E40),MONTH($E40),1)&lt;=DATE(2026,11,1)),IF((MOD(DATEDIF(DATE(YEAR($E40),MONTH($E40),1),DATE(2026,11,1),"m"),IF($D40="Quarterly",3,IF($D40="Annual",12,1)))=0),IF((COUNTIFS(Xero_Raw!$D$4:$D$5003,$A40,Xero_Raw!$G$4:$G$5003,"*Subscription*",Xero_Raw!$A$4:$A$5003,"&gt;="&amp;DATE(2026,11,1),Xero_Raw!$A$4:$A$5003,"&lt;"&amp;EDATE(DATE(2026,11,1),1))+COUNTIFS(Customer_Invoices_Upload!$E$4:$E$5003,$A40,Customer_Invoices_Upload!$G$4:$G$5003,"*Subscription*",Customer_Invoices_Upload!$B$4:$B$5003,"&gt;="&amp;DATE(2026,11,1),Customer_Invoices_Upload!$B$4:$B$5003,"&lt;"&amp;EDATE(DATE(2026,11,1),1))+COUNTIFS(Stripe_Invoices_Upload!$D$4:$D$5003,$A40,Stripe_Invoices_Upload!$E$4:$E$5003,"*Subscription*",Stripe_Invoices_Upload!$A$4:$A$5003,"&gt;="&amp;DATE(2026,11,1),Stripe_Invoices_Upload!$A$4:$A$5003,"&lt;"&amp;EDATE(DATE(2026,11,1),1)))&gt;0,"✓ Invoiced","⚠ Due"),""),""))</f>
        <v/>
      </c>
      <c r="O40" s="130" t="str">
        <f aca="false">IF($A40="","",IF((DATE(YEAR($E40),MONTH($E40),1)&lt;=DATE(2026,12,1)),IF((MOD(DATEDIF(DATE(YEAR($E40),MONTH($E40),1),DATE(2026,12,1),"m"),IF($D40="Quarterly",3,IF($D40="Annual",12,1)))=0),IF((COUNTIFS(Xero_Raw!$D$4:$D$5003,$A40,Xero_Raw!$G$4:$G$5003,"*Subscription*",Xero_Raw!$A$4:$A$5003,"&gt;="&amp;DATE(2026,12,1),Xero_Raw!$A$4:$A$5003,"&lt;"&amp;EDATE(DATE(2026,12,1),1))+COUNTIFS(Customer_Invoices_Upload!$E$4:$E$5003,$A40,Customer_Invoices_Upload!$G$4:$G$5003,"*Subscription*",Customer_Invoices_Upload!$B$4:$B$5003,"&gt;="&amp;DATE(2026,12,1),Customer_Invoices_Upload!$B$4:$B$5003,"&lt;"&amp;EDATE(DATE(2026,12,1),1))+COUNTIFS(Stripe_Invoices_Upload!$D$4:$D$5003,$A40,Stripe_Invoices_Upload!$E$4:$E$5003,"*Subscription*",Stripe_Invoices_Upload!$A$4:$A$5003,"&gt;="&amp;DATE(2026,12,1),Stripe_Invoices_Upload!$A$4:$A$5003,"&lt;"&amp;EDATE(DATE(2026,12,1),1)))&gt;0,"✓ Invoiced","⚠ Due"),""),""))</f>
        <v/>
      </c>
      <c r="P40" s="130" t="str">
        <f aca="false">IF($A40="","",IF((DATE(YEAR($E40),MONTH($E40),1)&lt;=DATE(2027,1,1)),IF((MOD(DATEDIF(DATE(YEAR($E40),MONTH($E40),1),DATE(2027,1,1),"m"),IF($D40="Quarterly",3,IF($D40="Annual",12,1)))=0),IF((COUNTIFS(Xero_Raw!$D$4:$D$5003,$A40,Xero_Raw!$G$4:$G$5003,"*Subscription*",Xero_Raw!$A$4:$A$5003,"&gt;="&amp;DATE(2027,1,1),Xero_Raw!$A$4:$A$5003,"&lt;"&amp;EDATE(DATE(2027,1,1),1))+COUNTIFS(Customer_Invoices_Upload!$E$4:$E$5003,$A40,Customer_Invoices_Upload!$G$4:$G$5003,"*Subscription*",Customer_Invoices_Upload!$B$4:$B$5003,"&gt;="&amp;DATE(2027,1,1),Customer_Invoices_Upload!$B$4:$B$5003,"&lt;"&amp;EDATE(DATE(2027,1,1),1))+COUNTIFS(Stripe_Invoices_Upload!$D$4:$D$5003,$A40,Stripe_Invoices_Upload!$E$4:$E$5003,"*Subscription*",Stripe_Invoices_Upload!$A$4:$A$5003,"&gt;="&amp;DATE(2027,1,1),Stripe_Invoices_Upload!$A$4:$A$5003,"&lt;"&amp;EDATE(DATE(2027,1,1),1)))&gt;0,"✓ Invoiced","⚠ Due"),""),""))</f>
        <v/>
      </c>
      <c r="Q40" s="130" t="str">
        <f aca="false">IF($A40="","",IF((DATE(YEAR($E40),MONTH($E40),1)&lt;=DATE(2027,2,1)),IF((MOD(DATEDIF(DATE(YEAR($E40),MONTH($E40),1),DATE(2027,2,1),"m"),IF($D40="Quarterly",3,IF($D40="Annual",12,1)))=0),IF((COUNTIFS(Xero_Raw!$D$4:$D$5003,$A40,Xero_Raw!$G$4:$G$5003,"*Subscription*",Xero_Raw!$A$4:$A$5003,"&gt;="&amp;DATE(2027,2,1),Xero_Raw!$A$4:$A$5003,"&lt;"&amp;EDATE(DATE(2027,2,1),1))+COUNTIFS(Customer_Invoices_Upload!$E$4:$E$5003,$A40,Customer_Invoices_Upload!$G$4:$G$5003,"*Subscription*",Customer_Invoices_Upload!$B$4:$B$5003,"&gt;="&amp;DATE(2027,2,1),Customer_Invoices_Upload!$B$4:$B$5003,"&lt;"&amp;EDATE(DATE(2027,2,1),1))+COUNTIFS(Stripe_Invoices_Upload!$D$4:$D$5003,$A40,Stripe_Invoices_Upload!$E$4:$E$5003,"*Subscription*",Stripe_Invoices_Upload!$A$4:$A$5003,"&gt;="&amp;DATE(2027,2,1),Stripe_Invoices_Upload!$A$4:$A$5003,"&lt;"&amp;EDATE(DATE(2027,2,1),1)))&gt;0,"✓ Invoiced","⚠ Due"),""),""))</f>
        <v/>
      </c>
      <c r="R40" s="130" t="str">
        <f aca="false">IF($A40="","",IF((DATE(YEAR($E40),MONTH($E40),1)&lt;=DATE(2027,3,1)),IF((MOD(DATEDIF(DATE(YEAR($E40),MONTH($E40),1),DATE(2027,3,1),"m"),IF($D40="Quarterly",3,IF($D40="Annual",12,1)))=0),IF((COUNTIFS(Xero_Raw!$D$4:$D$5003,$A40,Xero_Raw!$G$4:$G$5003,"*Subscription*",Xero_Raw!$A$4:$A$5003,"&gt;="&amp;DATE(2027,3,1),Xero_Raw!$A$4:$A$5003,"&lt;"&amp;EDATE(DATE(2027,3,1),1))+COUNTIFS(Customer_Invoices_Upload!$E$4:$E$5003,$A40,Customer_Invoices_Upload!$G$4:$G$5003,"*Subscription*",Customer_Invoices_Upload!$B$4:$B$5003,"&gt;="&amp;DATE(2027,3,1),Customer_Invoices_Upload!$B$4:$B$5003,"&lt;"&amp;EDATE(DATE(2027,3,1),1))+COUNTIFS(Stripe_Invoices_Upload!$D$4:$D$5003,$A40,Stripe_Invoices_Upload!$E$4:$E$5003,"*Subscription*",Stripe_Invoices_Upload!$A$4:$A$5003,"&gt;="&amp;DATE(2027,3,1),Stripe_Invoices_Upload!$A$4:$A$5003,"&lt;"&amp;EDATE(DATE(2027,3,1),1)))&gt;0,"✓ Invoiced","⚠ Due"),""),""))</f>
        <v/>
      </c>
    </row>
    <row r="41" customFormat="false" ht="15" hidden="false" customHeight="false" outlineLevel="0" collapsed="false">
      <c r="A41" s="39"/>
      <c r="B41" s="39"/>
      <c r="C41" s="40"/>
      <c r="D41" s="39"/>
      <c r="E41" s="38"/>
      <c r="F41" s="129" t="str">
        <f aca="true">IF($A41="","",EDATE($E41,DATEDIF($E41,TODAY(),"m")+1))</f>
        <v/>
      </c>
      <c r="G41" s="130" t="str">
        <f aca="false">IF($A41="","",IF((DATE(YEAR($E41),MONTH($E41),1)&lt;=DATE(2026,4,1)),IF((MOD(DATEDIF(DATE(YEAR($E41),MONTH($E41),1),DATE(2026,4,1),"m"),IF($D41="Quarterly",3,IF($D41="Annual",12,1)))=0),IF((COUNTIFS(Xero_Raw!$D$4:$D$5003,$A41,Xero_Raw!$G$4:$G$5003,"*Subscription*",Xero_Raw!$A$4:$A$5003,"&gt;="&amp;DATE(2026,4,1),Xero_Raw!$A$4:$A$5003,"&lt;"&amp;EDATE(DATE(2026,4,1),1))+COUNTIFS(Customer_Invoices_Upload!$E$4:$E$5003,$A41,Customer_Invoices_Upload!$G$4:$G$5003,"*Subscription*",Customer_Invoices_Upload!$B$4:$B$5003,"&gt;="&amp;DATE(2026,4,1),Customer_Invoices_Upload!$B$4:$B$5003,"&lt;"&amp;EDATE(DATE(2026,4,1),1))+COUNTIFS(Stripe_Invoices_Upload!$D$4:$D$5003,$A41,Stripe_Invoices_Upload!$E$4:$E$5003,"*Subscription*",Stripe_Invoices_Upload!$A$4:$A$5003,"&gt;="&amp;DATE(2026,4,1),Stripe_Invoices_Upload!$A$4:$A$5003,"&lt;"&amp;EDATE(DATE(2026,4,1),1)))&gt;0,"✓ Invoiced","⚠ Due"),""),""))</f>
        <v/>
      </c>
      <c r="H41" s="130" t="str">
        <f aca="false">IF($A41="","",IF((DATE(YEAR($E41),MONTH($E41),1)&lt;=DATE(2026,5,1)),IF((MOD(DATEDIF(DATE(YEAR($E41),MONTH($E41),1),DATE(2026,5,1),"m"),IF($D41="Quarterly",3,IF($D41="Annual",12,1)))=0),IF((COUNTIFS(Xero_Raw!$D$4:$D$5003,$A41,Xero_Raw!$G$4:$G$5003,"*Subscription*",Xero_Raw!$A$4:$A$5003,"&gt;="&amp;DATE(2026,5,1),Xero_Raw!$A$4:$A$5003,"&lt;"&amp;EDATE(DATE(2026,5,1),1))+COUNTIFS(Customer_Invoices_Upload!$E$4:$E$5003,$A41,Customer_Invoices_Upload!$G$4:$G$5003,"*Subscription*",Customer_Invoices_Upload!$B$4:$B$5003,"&gt;="&amp;DATE(2026,5,1),Customer_Invoices_Upload!$B$4:$B$5003,"&lt;"&amp;EDATE(DATE(2026,5,1),1))+COUNTIFS(Stripe_Invoices_Upload!$D$4:$D$5003,$A41,Stripe_Invoices_Upload!$E$4:$E$5003,"*Subscription*",Stripe_Invoices_Upload!$A$4:$A$5003,"&gt;="&amp;DATE(2026,5,1),Stripe_Invoices_Upload!$A$4:$A$5003,"&lt;"&amp;EDATE(DATE(2026,5,1),1)))&gt;0,"✓ Invoiced","⚠ Due"),""),""))</f>
        <v/>
      </c>
      <c r="I41" s="130" t="str">
        <f aca="false">IF($A41="","",IF((DATE(YEAR($E41),MONTH($E41),1)&lt;=DATE(2026,6,1)),IF((MOD(DATEDIF(DATE(YEAR($E41),MONTH($E41),1),DATE(2026,6,1),"m"),IF($D41="Quarterly",3,IF($D41="Annual",12,1)))=0),IF((COUNTIFS(Xero_Raw!$D$4:$D$5003,$A41,Xero_Raw!$G$4:$G$5003,"*Subscription*",Xero_Raw!$A$4:$A$5003,"&gt;="&amp;DATE(2026,6,1),Xero_Raw!$A$4:$A$5003,"&lt;"&amp;EDATE(DATE(2026,6,1),1))+COUNTIFS(Customer_Invoices_Upload!$E$4:$E$5003,$A41,Customer_Invoices_Upload!$G$4:$G$5003,"*Subscription*",Customer_Invoices_Upload!$B$4:$B$5003,"&gt;="&amp;DATE(2026,6,1),Customer_Invoices_Upload!$B$4:$B$5003,"&lt;"&amp;EDATE(DATE(2026,6,1),1))+COUNTIFS(Stripe_Invoices_Upload!$D$4:$D$5003,$A41,Stripe_Invoices_Upload!$E$4:$E$5003,"*Subscription*",Stripe_Invoices_Upload!$A$4:$A$5003,"&gt;="&amp;DATE(2026,6,1),Stripe_Invoices_Upload!$A$4:$A$5003,"&lt;"&amp;EDATE(DATE(2026,6,1),1)))&gt;0,"✓ Invoiced","⚠ Due"),""),""))</f>
        <v/>
      </c>
      <c r="J41" s="130" t="str">
        <f aca="false">IF($A41="","",IF((DATE(YEAR($E41),MONTH($E41),1)&lt;=DATE(2026,7,1)),IF((MOD(DATEDIF(DATE(YEAR($E41),MONTH($E41),1),DATE(2026,7,1),"m"),IF($D41="Quarterly",3,IF($D41="Annual",12,1)))=0),IF((COUNTIFS(Xero_Raw!$D$4:$D$5003,$A41,Xero_Raw!$G$4:$G$5003,"*Subscription*",Xero_Raw!$A$4:$A$5003,"&gt;="&amp;DATE(2026,7,1),Xero_Raw!$A$4:$A$5003,"&lt;"&amp;EDATE(DATE(2026,7,1),1))+COUNTIFS(Customer_Invoices_Upload!$E$4:$E$5003,$A41,Customer_Invoices_Upload!$G$4:$G$5003,"*Subscription*",Customer_Invoices_Upload!$B$4:$B$5003,"&gt;="&amp;DATE(2026,7,1),Customer_Invoices_Upload!$B$4:$B$5003,"&lt;"&amp;EDATE(DATE(2026,7,1),1))+COUNTIFS(Stripe_Invoices_Upload!$D$4:$D$5003,$A41,Stripe_Invoices_Upload!$E$4:$E$5003,"*Subscription*",Stripe_Invoices_Upload!$A$4:$A$5003,"&gt;="&amp;DATE(2026,7,1),Stripe_Invoices_Upload!$A$4:$A$5003,"&lt;"&amp;EDATE(DATE(2026,7,1),1)))&gt;0,"✓ Invoiced","⚠ Due"),""),""))</f>
        <v/>
      </c>
      <c r="K41" s="130" t="str">
        <f aca="false">IF($A41="","",IF((DATE(YEAR($E41),MONTH($E41),1)&lt;=DATE(2026,8,1)),IF((MOD(DATEDIF(DATE(YEAR($E41),MONTH($E41),1),DATE(2026,8,1),"m"),IF($D41="Quarterly",3,IF($D41="Annual",12,1)))=0),IF((COUNTIFS(Xero_Raw!$D$4:$D$5003,$A41,Xero_Raw!$G$4:$G$5003,"*Subscription*",Xero_Raw!$A$4:$A$5003,"&gt;="&amp;DATE(2026,8,1),Xero_Raw!$A$4:$A$5003,"&lt;"&amp;EDATE(DATE(2026,8,1),1))+COUNTIFS(Customer_Invoices_Upload!$E$4:$E$5003,$A41,Customer_Invoices_Upload!$G$4:$G$5003,"*Subscription*",Customer_Invoices_Upload!$B$4:$B$5003,"&gt;="&amp;DATE(2026,8,1),Customer_Invoices_Upload!$B$4:$B$5003,"&lt;"&amp;EDATE(DATE(2026,8,1),1))+COUNTIFS(Stripe_Invoices_Upload!$D$4:$D$5003,$A41,Stripe_Invoices_Upload!$E$4:$E$5003,"*Subscription*",Stripe_Invoices_Upload!$A$4:$A$5003,"&gt;="&amp;DATE(2026,8,1),Stripe_Invoices_Upload!$A$4:$A$5003,"&lt;"&amp;EDATE(DATE(2026,8,1),1)))&gt;0,"✓ Invoiced","⚠ Due"),""),""))</f>
        <v/>
      </c>
      <c r="L41" s="130" t="str">
        <f aca="false">IF($A41="","",IF((DATE(YEAR($E41),MONTH($E41),1)&lt;=DATE(2026,9,1)),IF((MOD(DATEDIF(DATE(YEAR($E41),MONTH($E41),1),DATE(2026,9,1),"m"),IF($D41="Quarterly",3,IF($D41="Annual",12,1)))=0),IF((COUNTIFS(Xero_Raw!$D$4:$D$5003,$A41,Xero_Raw!$G$4:$G$5003,"*Subscription*",Xero_Raw!$A$4:$A$5003,"&gt;="&amp;DATE(2026,9,1),Xero_Raw!$A$4:$A$5003,"&lt;"&amp;EDATE(DATE(2026,9,1),1))+COUNTIFS(Customer_Invoices_Upload!$E$4:$E$5003,$A41,Customer_Invoices_Upload!$G$4:$G$5003,"*Subscription*",Customer_Invoices_Upload!$B$4:$B$5003,"&gt;="&amp;DATE(2026,9,1),Customer_Invoices_Upload!$B$4:$B$5003,"&lt;"&amp;EDATE(DATE(2026,9,1),1))+COUNTIFS(Stripe_Invoices_Upload!$D$4:$D$5003,$A41,Stripe_Invoices_Upload!$E$4:$E$5003,"*Subscription*",Stripe_Invoices_Upload!$A$4:$A$5003,"&gt;="&amp;DATE(2026,9,1),Stripe_Invoices_Upload!$A$4:$A$5003,"&lt;"&amp;EDATE(DATE(2026,9,1),1)))&gt;0,"✓ Invoiced","⚠ Due"),""),""))</f>
        <v/>
      </c>
      <c r="M41" s="130" t="str">
        <f aca="false">IF($A41="","",IF((DATE(YEAR($E41),MONTH($E41),1)&lt;=DATE(2026,10,1)),IF((MOD(DATEDIF(DATE(YEAR($E41),MONTH($E41),1),DATE(2026,10,1),"m"),IF($D41="Quarterly",3,IF($D41="Annual",12,1)))=0),IF((COUNTIFS(Xero_Raw!$D$4:$D$5003,$A41,Xero_Raw!$G$4:$G$5003,"*Subscription*",Xero_Raw!$A$4:$A$5003,"&gt;="&amp;DATE(2026,10,1),Xero_Raw!$A$4:$A$5003,"&lt;"&amp;EDATE(DATE(2026,10,1),1))+COUNTIFS(Customer_Invoices_Upload!$E$4:$E$5003,$A41,Customer_Invoices_Upload!$G$4:$G$5003,"*Subscription*",Customer_Invoices_Upload!$B$4:$B$5003,"&gt;="&amp;DATE(2026,10,1),Customer_Invoices_Upload!$B$4:$B$5003,"&lt;"&amp;EDATE(DATE(2026,10,1),1))+COUNTIFS(Stripe_Invoices_Upload!$D$4:$D$5003,$A41,Stripe_Invoices_Upload!$E$4:$E$5003,"*Subscription*",Stripe_Invoices_Upload!$A$4:$A$5003,"&gt;="&amp;DATE(2026,10,1),Stripe_Invoices_Upload!$A$4:$A$5003,"&lt;"&amp;EDATE(DATE(2026,10,1),1)))&gt;0,"✓ Invoiced","⚠ Due"),""),""))</f>
        <v/>
      </c>
      <c r="N41" s="130" t="str">
        <f aca="false">IF($A41="","",IF((DATE(YEAR($E41),MONTH($E41),1)&lt;=DATE(2026,11,1)),IF((MOD(DATEDIF(DATE(YEAR($E41),MONTH($E41),1),DATE(2026,11,1),"m"),IF($D41="Quarterly",3,IF($D41="Annual",12,1)))=0),IF((COUNTIFS(Xero_Raw!$D$4:$D$5003,$A41,Xero_Raw!$G$4:$G$5003,"*Subscription*",Xero_Raw!$A$4:$A$5003,"&gt;="&amp;DATE(2026,11,1),Xero_Raw!$A$4:$A$5003,"&lt;"&amp;EDATE(DATE(2026,11,1),1))+COUNTIFS(Customer_Invoices_Upload!$E$4:$E$5003,$A41,Customer_Invoices_Upload!$G$4:$G$5003,"*Subscription*",Customer_Invoices_Upload!$B$4:$B$5003,"&gt;="&amp;DATE(2026,11,1),Customer_Invoices_Upload!$B$4:$B$5003,"&lt;"&amp;EDATE(DATE(2026,11,1),1))+COUNTIFS(Stripe_Invoices_Upload!$D$4:$D$5003,$A41,Stripe_Invoices_Upload!$E$4:$E$5003,"*Subscription*",Stripe_Invoices_Upload!$A$4:$A$5003,"&gt;="&amp;DATE(2026,11,1),Stripe_Invoices_Upload!$A$4:$A$5003,"&lt;"&amp;EDATE(DATE(2026,11,1),1)))&gt;0,"✓ Invoiced","⚠ Due"),""),""))</f>
        <v/>
      </c>
      <c r="O41" s="130" t="str">
        <f aca="false">IF($A41="","",IF((DATE(YEAR($E41),MONTH($E41),1)&lt;=DATE(2026,12,1)),IF((MOD(DATEDIF(DATE(YEAR($E41),MONTH($E41),1),DATE(2026,12,1),"m"),IF($D41="Quarterly",3,IF($D41="Annual",12,1)))=0),IF((COUNTIFS(Xero_Raw!$D$4:$D$5003,$A41,Xero_Raw!$G$4:$G$5003,"*Subscription*",Xero_Raw!$A$4:$A$5003,"&gt;="&amp;DATE(2026,12,1),Xero_Raw!$A$4:$A$5003,"&lt;"&amp;EDATE(DATE(2026,12,1),1))+COUNTIFS(Customer_Invoices_Upload!$E$4:$E$5003,$A41,Customer_Invoices_Upload!$G$4:$G$5003,"*Subscription*",Customer_Invoices_Upload!$B$4:$B$5003,"&gt;="&amp;DATE(2026,12,1),Customer_Invoices_Upload!$B$4:$B$5003,"&lt;"&amp;EDATE(DATE(2026,12,1),1))+COUNTIFS(Stripe_Invoices_Upload!$D$4:$D$5003,$A41,Stripe_Invoices_Upload!$E$4:$E$5003,"*Subscription*",Stripe_Invoices_Upload!$A$4:$A$5003,"&gt;="&amp;DATE(2026,12,1),Stripe_Invoices_Upload!$A$4:$A$5003,"&lt;"&amp;EDATE(DATE(2026,12,1),1)))&gt;0,"✓ Invoiced","⚠ Due"),""),""))</f>
        <v/>
      </c>
      <c r="P41" s="130" t="str">
        <f aca="false">IF($A41="","",IF((DATE(YEAR($E41),MONTH($E41),1)&lt;=DATE(2027,1,1)),IF((MOD(DATEDIF(DATE(YEAR($E41),MONTH($E41),1),DATE(2027,1,1),"m"),IF($D41="Quarterly",3,IF($D41="Annual",12,1)))=0),IF((COUNTIFS(Xero_Raw!$D$4:$D$5003,$A41,Xero_Raw!$G$4:$G$5003,"*Subscription*",Xero_Raw!$A$4:$A$5003,"&gt;="&amp;DATE(2027,1,1),Xero_Raw!$A$4:$A$5003,"&lt;"&amp;EDATE(DATE(2027,1,1),1))+COUNTIFS(Customer_Invoices_Upload!$E$4:$E$5003,$A41,Customer_Invoices_Upload!$G$4:$G$5003,"*Subscription*",Customer_Invoices_Upload!$B$4:$B$5003,"&gt;="&amp;DATE(2027,1,1),Customer_Invoices_Upload!$B$4:$B$5003,"&lt;"&amp;EDATE(DATE(2027,1,1),1))+COUNTIFS(Stripe_Invoices_Upload!$D$4:$D$5003,$A41,Stripe_Invoices_Upload!$E$4:$E$5003,"*Subscription*",Stripe_Invoices_Upload!$A$4:$A$5003,"&gt;="&amp;DATE(2027,1,1),Stripe_Invoices_Upload!$A$4:$A$5003,"&lt;"&amp;EDATE(DATE(2027,1,1),1)))&gt;0,"✓ Invoiced","⚠ Due"),""),""))</f>
        <v/>
      </c>
      <c r="Q41" s="130" t="str">
        <f aca="false">IF($A41="","",IF((DATE(YEAR($E41),MONTH($E41),1)&lt;=DATE(2027,2,1)),IF((MOD(DATEDIF(DATE(YEAR($E41),MONTH($E41),1),DATE(2027,2,1),"m"),IF($D41="Quarterly",3,IF($D41="Annual",12,1)))=0),IF((COUNTIFS(Xero_Raw!$D$4:$D$5003,$A41,Xero_Raw!$G$4:$G$5003,"*Subscription*",Xero_Raw!$A$4:$A$5003,"&gt;="&amp;DATE(2027,2,1),Xero_Raw!$A$4:$A$5003,"&lt;"&amp;EDATE(DATE(2027,2,1),1))+COUNTIFS(Customer_Invoices_Upload!$E$4:$E$5003,$A41,Customer_Invoices_Upload!$G$4:$G$5003,"*Subscription*",Customer_Invoices_Upload!$B$4:$B$5003,"&gt;="&amp;DATE(2027,2,1),Customer_Invoices_Upload!$B$4:$B$5003,"&lt;"&amp;EDATE(DATE(2027,2,1),1))+COUNTIFS(Stripe_Invoices_Upload!$D$4:$D$5003,$A41,Stripe_Invoices_Upload!$E$4:$E$5003,"*Subscription*",Stripe_Invoices_Upload!$A$4:$A$5003,"&gt;="&amp;DATE(2027,2,1),Stripe_Invoices_Upload!$A$4:$A$5003,"&lt;"&amp;EDATE(DATE(2027,2,1),1)))&gt;0,"✓ Invoiced","⚠ Due"),""),""))</f>
        <v/>
      </c>
      <c r="R41" s="130" t="str">
        <f aca="false">IF($A41="","",IF((DATE(YEAR($E41),MONTH($E41),1)&lt;=DATE(2027,3,1)),IF((MOD(DATEDIF(DATE(YEAR($E41),MONTH($E41),1),DATE(2027,3,1),"m"),IF($D41="Quarterly",3,IF($D41="Annual",12,1)))=0),IF((COUNTIFS(Xero_Raw!$D$4:$D$5003,$A41,Xero_Raw!$G$4:$G$5003,"*Subscription*",Xero_Raw!$A$4:$A$5003,"&gt;="&amp;DATE(2027,3,1),Xero_Raw!$A$4:$A$5003,"&lt;"&amp;EDATE(DATE(2027,3,1),1))+COUNTIFS(Customer_Invoices_Upload!$E$4:$E$5003,$A41,Customer_Invoices_Upload!$G$4:$G$5003,"*Subscription*",Customer_Invoices_Upload!$B$4:$B$5003,"&gt;="&amp;DATE(2027,3,1),Customer_Invoices_Upload!$B$4:$B$5003,"&lt;"&amp;EDATE(DATE(2027,3,1),1))+COUNTIFS(Stripe_Invoices_Upload!$D$4:$D$5003,$A41,Stripe_Invoices_Upload!$E$4:$E$5003,"*Subscription*",Stripe_Invoices_Upload!$A$4:$A$5003,"&gt;="&amp;DATE(2027,3,1),Stripe_Invoices_Upload!$A$4:$A$5003,"&lt;"&amp;EDATE(DATE(2027,3,1),1)))&gt;0,"✓ Invoiced","⚠ Due"),""),""))</f>
        <v/>
      </c>
    </row>
    <row r="42" customFormat="false" ht="15" hidden="false" customHeight="false" outlineLevel="0" collapsed="false">
      <c r="A42" s="39"/>
      <c r="B42" s="39"/>
      <c r="C42" s="40"/>
      <c r="D42" s="39"/>
      <c r="E42" s="38"/>
      <c r="F42" s="129" t="str">
        <f aca="true">IF($A42="","",EDATE($E42,DATEDIF($E42,TODAY(),"m")+1))</f>
        <v/>
      </c>
      <c r="G42" s="130" t="str">
        <f aca="false">IF($A42="","",IF((DATE(YEAR($E42),MONTH($E42),1)&lt;=DATE(2026,4,1)),IF((MOD(DATEDIF(DATE(YEAR($E42),MONTH($E42),1),DATE(2026,4,1),"m"),IF($D42="Quarterly",3,IF($D42="Annual",12,1)))=0),IF((COUNTIFS(Xero_Raw!$D$4:$D$5003,$A42,Xero_Raw!$G$4:$G$5003,"*Subscription*",Xero_Raw!$A$4:$A$5003,"&gt;="&amp;DATE(2026,4,1),Xero_Raw!$A$4:$A$5003,"&lt;"&amp;EDATE(DATE(2026,4,1),1))+COUNTIFS(Customer_Invoices_Upload!$E$4:$E$5003,$A42,Customer_Invoices_Upload!$G$4:$G$5003,"*Subscription*",Customer_Invoices_Upload!$B$4:$B$5003,"&gt;="&amp;DATE(2026,4,1),Customer_Invoices_Upload!$B$4:$B$5003,"&lt;"&amp;EDATE(DATE(2026,4,1),1))+COUNTIFS(Stripe_Invoices_Upload!$D$4:$D$5003,$A42,Stripe_Invoices_Upload!$E$4:$E$5003,"*Subscription*",Stripe_Invoices_Upload!$A$4:$A$5003,"&gt;="&amp;DATE(2026,4,1),Stripe_Invoices_Upload!$A$4:$A$5003,"&lt;"&amp;EDATE(DATE(2026,4,1),1)))&gt;0,"✓ Invoiced","⚠ Due"),""),""))</f>
        <v/>
      </c>
      <c r="H42" s="130" t="str">
        <f aca="false">IF($A42="","",IF((DATE(YEAR($E42),MONTH($E42),1)&lt;=DATE(2026,5,1)),IF((MOD(DATEDIF(DATE(YEAR($E42),MONTH($E42),1),DATE(2026,5,1),"m"),IF($D42="Quarterly",3,IF($D42="Annual",12,1)))=0),IF((COUNTIFS(Xero_Raw!$D$4:$D$5003,$A42,Xero_Raw!$G$4:$G$5003,"*Subscription*",Xero_Raw!$A$4:$A$5003,"&gt;="&amp;DATE(2026,5,1),Xero_Raw!$A$4:$A$5003,"&lt;"&amp;EDATE(DATE(2026,5,1),1))+COUNTIFS(Customer_Invoices_Upload!$E$4:$E$5003,$A42,Customer_Invoices_Upload!$G$4:$G$5003,"*Subscription*",Customer_Invoices_Upload!$B$4:$B$5003,"&gt;="&amp;DATE(2026,5,1),Customer_Invoices_Upload!$B$4:$B$5003,"&lt;"&amp;EDATE(DATE(2026,5,1),1))+COUNTIFS(Stripe_Invoices_Upload!$D$4:$D$5003,$A42,Stripe_Invoices_Upload!$E$4:$E$5003,"*Subscription*",Stripe_Invoices_Upload!$A$4:$A$5003,"&gt;="&amp;DATE(2026,5,1),Stripe_Invoices_Upload!$A$4:$A$5003,"&lt;"&amp;EDATE(DATE(2026,5,1),1)))&gt;0,"✓ Invoiced","⚠ Due"),""),""))</f>
        <v/>
      </c>
      <c r="I42" s="130" t="str">
        <f aca="false">IF($A42="","",IF((DATE(YEAR($E42),MONTH($E42),1)&lt;=DATE(2026,6,1)),IF((MOD(DATEDIF(DATE(YEAR($E42),MONTH($E42),1),DATE(2026,6,1),"m"),IF($D42="Quarterly",3,IF($D42="Annual",12,1)))=0),IF((COUNTIFS(Xero_Raw!$D$4:$D$5003,$A42,Xero_Raw!$G$4:$G$5003,"*Subscription*",Xero_Raw!$A$4:$A$5003,"&gt;="&amp;DATE(2026,6,1),Xero_Raw!$A$4:$A$5003,"&lt;"&amp;EDATE(DATE(2026,6,1),1))+COUNTIFS(Customer_Invoices_Upload!$E$4:$E$5003,$A42,Customer_Invoices_Upload!$G$4:$G$5003,"*Subscription*",Customer_Invoices_Upload!$B$4:$B$5003,"&gt;="&amp;DATE(2026,6,1),Customer_Invoices_Upload!$B$4:$B$5003,"&lt;"&amp;EDATE(DATE(2026,6,1),1))+COUNTIFS(Stripe_Invoices_Upload!$D$4:$D$5003,$A42,Stripe_Invoices_Upload!$E$4:$E$5003,"*Subscription*",Stripe_Invoices_Upload!$A$4:$A$5003,"&gt;="&amp;DATE(2026,6,1),Stripe_Invoices_Upload!$A$4:$A$5003,"&lt;"&amp;EDATE(DATE(2026,6,1),1)))&gt;0,"✓ Invoiced","⚠ Due"),""),""))</f>
        <v/>
      </c>
      <c r="J42" s="130" t="str">
        <f aca="false">IF($A42="","",IF((DATE(YEAR($E42),MONTH($E42),1)&lt;=DATE(2026,7,1)),IF((MOD(DATEDIF(DATE(YEAR($E42),MONTH($E42),1),DATE(2026,7,1),"m"),IF($D42="Quarterly",3,IF($D42="Annual",12,1)))=0),IF((COUNTIFS(Xero_Raw!$D$4:$D$5003,$A42,Xero_Raw!$G$4:$G$5003,"*Subscription*",Xero_Raw!$A$4:$A$5003,"&gt;="&amp;DATE(2026,7,1),Xero_Raw!$A$4:$A$5003,"&lt;"&amp;EDATE(DATE(2026,7,1),1))+COUNTIFS(Customer_Invoices_Upload!$E$4:$E$5003,$A42,Customer_Invoices_Upload!$G$4:$G$5003,"*Subscription*",Customer_Invoices_Upload!$B$4:$B$5003,"&gt;="&amp;DATE(2026,7,1),Customer_Invoices_Upload!$B$4:$B$5003,"&lt;"&amp;EDATE(DATE(2026,7,1),1))+COUNTIFS(Stripe_Invoices_Upload!$D$4:$D$5003,$A42,Stripe_Invoices_Upload!$E$4:$E$5003,"*Subscription*",Stripe_Invoices_Upload!$A$4:$A$5003,"&gt;="&amp;DATE(2026,7,1),Stripe_Invoices_Upload!$A$4:$A$5003,"&lt;"&amp;EDATE(DATE(2026,7,1),1)))&gt;0,"✓ Invoiced","⚠ Due"),""),""))</f>
        <v/>
      </c>
      <c r="K42" s="130" t="str">
        <f aca="false">IF($A42="","",IF((DATE(YEAR($E42),MONTH($E42),1)&lt;=DATE(2026,8,1)),IF((MOD(DATEDIF(DATE(YEAR($E42),MONTH($E42),1),DATE(2026,8,1),"m"),IF($D42="Quarterly",3,IF($D42="Annual",12,1)))=0),IF((COUNTIFS(Xero_Raw!$D$4:$D$5003,$A42,Xero_Raw!$G$4:$G$5003,"*Subscription*",Xero_Raw!$A$4:$A$5003,"&gt;="&amp;DATE(2026,8,1),Xero_Raw!$A$4:$A$5003,"&lt;"&amp;EDATE(DATE(2026,8,1),1))+COUNTIFS(Customer_Invoices_Upload!$E$4:$E$5003,$A42,Customer_Invoices_Upload!$G$4:$G$5003,"*Subscription*",Customer_Invoices_Upload!$B$4:$B$5003,"&gt;="&amp;DATE(2026,8,1),Customer_Invoices_Upload!$B$4:$B$5003,"&lt;"&amp;EDATE(DATE(2026,8,1),1))+COUNTIFS(Stripe_Invoices_Upload!$D$4:$D$5003,$A42,Stripe_Invoices_Upload!$E$4:$E$5003,"*Subscription*",Stripe_Invoices_Upload!$A$4:$A$5003,"&gt;="&amp;DATE(2026,8,1),Stripe_Invoices_Upload!$A$4:$A$5003,"&lt;"&amp;EDATE(DATE(2026,8,1),1)))&gt;0,"✓ Invoiced","⚠ Due"),""),""))</f>
        <v/>
      </c>
      <c r="L42" s="130" t="str">
        <f aca="false">IF($A42="","",IF((DATE(YEAR($E42),MONTH($E42),1)&lt;=DATE(2026,9,1)),IF((MOD(DATEDIF(DATE(YEAR($E42),MONTH($E42),1),DATE(2026,9,1),"m"),IF($D42="Quarterly",3,IF($D42="Annual",12,1)))=0),IF((COUNTIFS(Xero_Raw!$D$4:$D$5003,$A42,Xero_Raw!$G$4:$G$5003,"*Subscription*",Xero_Raw!$A$4:$A$5003,"&gt;="&amp;DATE(2026,9,1),Xero_Raw!$A$4:$A$5003,"&lt;"&amp;EDATE(DATE(2026,9,1),1))+COUNTIFS(Customer_Invoices_Upload!$E$4:$E$5003,$A42,Customer_Invoices_Upload!$G$4:$G$5003,"*Subscription*",Customer_Invoices_Upload!$B$4:$B$5003,"&gt;="&amp;DATE(2026,9,1),Customer_Invoices_Upload!$B$4:$B$5003,"&lt;"&amp;EDATE(DATE(2026,9,1),1))+COUNTIFS(Stripe_Invoices_Upload!$D$4:$D$5003,$A42,Stripe_Invoices_Upload!$E$4:$E$5003,"*Subscription*",Stripe_Invoices_Upload!$A$4:$A$5003,"&gt;="&amp;DATE(2026,9,1),Stripe_Invoices_Upload!$A$4:$A$5003,"&lt;"&amp;EDATE(DATE(2026,9,1),1)))&gt;0,"✓ Invoiced","⚠ Due"),""),""))</f>
        <v/>
      </c>
      <c r="M42" s="130" t="str">
        <f aca="false">IF($A42="","",IF((DATE(YEAR($E42),MONTH($E42),1)&lt;=DATE(2026,10,1)),IF((MOD(DATEDIF(DATE(YEAR($E42),MONTH($E42),1),DATE(2026,10,1),"m"),IF($D42="Quarterly",3,IF($D42="Annual",12,1)))=0),IF((COUNTIFS(Xero_Raw!$D$4:$D$5003,$A42,Xero_Raw!$G$4:$G$5003,"*Subscription*",Xero_Raw!$A$4:$A$5003,"&gt;="&amp;DATE(2026,10,1),Xero_Raw!$A$4:$A$5003,"&lt;"&amp;EDATE(DATE(2026,10,1),1))+COUNTIFS(Customer_Invoices_Upload!$E$4:$E$5003,$A42,Customer_Invoices_Upload!$G$4:$G$5003,"*Subscription*",Customer_Invoices_Upload!$B$4:$B$5003,"&gt;="&amp;DATE(2026,10,1),Customer_Invoices_Upload!$B$4:$B$5003,"&lt;"&amp;EDATE(DATE(2026,10,1),1))+COUNTIFS(Stripe_Invoices_Upload!$D$4:$D$5003,$A42,Stripe_Invoices_Upload!$E$4:$E$5003,"*Subscription*",Stripe_Invoices_Upload!$A$4:$A$5003,"&gt;="&amp;DATE(2026,10,1),Stripe_Invoices_Upload!$A$4:$A$5003,"&lt;"&amp;EDATE(DATE(2026,10,1),1)))&gt;0,"✓ Invoiced","⚠ Due"),""),""))</f>
        <v/>
      </c>
      <c r="N42" s="130" t="str">
        <f aca="false">IF($A42="","",IF((DATE(YEAR($E42),MONTH($E42),1)&lt;=DATE(2026,11,1)),IF((MOD(DATEDIF(DATE(YEAR($E42),MONTH($E42),1),DATE(2026,11,1),"m"),IF($D42="Quarterly",3,IF($D42="Annual",12,1)))=0),IF((COUNTIFS(Xero_Raw!$D$4:$D$5003,$A42,Xero_Raw!$G$4:$G$5003,"*Subscription*",Xero_Raw!$A$4:$A$5003,"&gt;="&amp;DATE(2026,11,1),Xero_Raw!$A$4:$A$5003,"&lt;"&amp;EDATE(DATE(2026,11,1),1))+COUNTIFS(Customer_Invoices_Upload!$E$4:$E$5003,$A42,Customer_Invoices_Upload!$G$4:$G$5003,"*Subscription*",Customer_Invoices_Upload!$B$4:$B$5003,"&gt;="&amp;DATE(2026,11,1),Customer_Invoices_Upload!$B$4:$B$5003,"&lt;"&amp;EDATE(DATE(2026,11,1),1))+COUNTIFS(Stripe_Invoices_Upload!$D$4:$D$5003,$A42,Stripe_Invoices_Upload!$E$4:$E$5003,"*Subscription*",Stripe_Invoices_Upload!$A$4:$A$5003,"&gt;="&amp;DATE(2026,11,1),Stripe_Invoices_Upload!$A$4:$A$5003,"&lt;"&amp;EDATE(DATE(2026,11,1),1)))&gt;0,"✓ Invoiced","⚠ Due"),""),""))</f>
        <v/>
      </c>
      <c r="O42" s="130" t="str">
        <f aca="false">IF($A42="","",IF((DATE(YEAR($E42),MONTH($E42),1)&lt;=DATE(2026,12,1)),IF((MOD(DATEDIF(DATE(YEAR($E42),MONTH($E42),1),DATE(2026,12,1),"m"),IF($D42="Quarterly",3,IF($D42="Annual",12,1)))=0),IF((COUNTIFS(Xero_Raw!$D$4:$D$5003,$A42,Xero_Raw!$G$4:$G$5003,"*Subscription*",Xero_Raw!$A$4:$A$5003,"&gt;="&amp;DATE(2026,12,1),Xero_Raw!$A$4:$A$5003,"&lt;"&amp;EDATE(DATE(2026,12,1),1))+COUNTIFS(Customer_Invoices_Upload!$E$4:$E$5003,$A42,Customer_Invoices_Upload!$G$4:$G$5003,"*Subscription*",Customer_Invoices_Upload!$B$4:$B$5003,"&gt;="&amp;DATE(2026,12,1),Customer_Invoices_Upload!$B$4:$B$5003,"&lt;"&amp;EDATE(DATE(2026,12,1),1))+COUNTIFS(Stripe_Invoices_Upload!$D$4:$D$5003,$A42,Stripe_Invoices_Upload!$E$4:$E$5003,"*Subscription*",Stripe_Invoices_Upload!$A$4:$A$5003,"&gt;="&amp;DATE(2026,12,1),Stripe_Invoices_Upload!$A$4:$A$5003,"&lt;"&amp;EDATE(DATE(2026,12,1),1)))&gt;0,"✓ Invoiced","⚠ Due"),""),""))</f>
        <v/>
      </c>
      <c r="P42" s="130" t="str">
        <f aca="false">IF($A42="","",IF((DATE(YEAR($E42),MONTH($E42),1)&lt;=DATE(2027,1,1)),IF((MOD(DATEDIF(DATE(YEAR($E42),MONTH($E42),1),DATE(2027,1,1),"m"),IF($D42="Quarterly",3,IF($D42="Annual",12,1)))=0),IF((COUNTIFS(Xero_Raw!$D$4:$D$5003,$A42,Xero_Raw!$G$4:$G$5003,"*Subscription*",Xero_Raw!$A$4:$A$5003,"&gt;="&amp;DATE(2027,1,1),Xero_Raw!$A$4:$A$5003,"&lt;"&amp;EDATE(DATE(2027,1,1),1))+COUNTIFS(Customer_Invoices_Upload!$E$4:$E$5003,$A42,Customer_Invoices_Upload!$G$4:$G$5003,"*Subscription*",Customer_Invoices_Upload!$B$4:$B$5003,"&gt;="&amp;DATE(2027,1,1),Customer_Invoices_Upload!$B$4:$B$5003,"&lt;"&amp;EDATE(DATE(2027,1,1),1))+COUNTIFS(Stripe_Invoices_Upload!$D$4:$D$5003,$A42,Stripe_Invoices_Upload!$E$4:$E$5003,"*Subscription*",Stripe_Invoices_Upload!$A$4:$A$5003,"&gt;="&amp;DATE(2027,1,1),Stripe_Invoices_Upload!$A$4:$A$5003,"&lt;"&amp;EDATE(DATE(2027,1,1),1)))&gt;0,"✓ Invoiced","⚠ Due"),""),""))</f>
        <v/>
      </c>
      <c r="Q42" s="130" t="str">
        <f aca="false">IF($A42="","",IF((DATE(YEAR($E42),MONTH($E42),1)&lt;=DATE(2027,2,1)),IF((MOD(DATEDIF(DATE(YEAR($E42),MONTH($E42),1),DATE(2027,2,1),"m"),IF($D42="Quarterly",3,IF($D42="Annual",12,1)))=0),IF((COUNTIFS(Xero_Raw!$D$4:$D$5003,$A42,Xero_Raw!$G$4:$G$5003,"*Subscription*",Xero_Raw!$A$4:$A$5003,"&gt;="&amp;DATE(2027,2,1),Xero_Raw!$A$4:$A$5003,"&lt;"&amp;EDATE(DATE(2027,2,1),1))+COUNTIFS(Customer_Invoices_Upload!$E$4:$E$5003,$A42,Customer_Invoices_Upload!$G$4:$G$5003,"*Subscription*",Customer_Invoices_Upload!$B$4:$B$5003,"&gt;="&amp;DATE(2027,2,1),Customer_Invoices_Upload!$B$4:$B$5003,"&lt;"&amp;EDATE(DATE(2027,2,1),1))+COUNTIFS(Stripe_Invoices_Upload!$D$4:$D$5003,$A42,Stripe_Invoices_Upload!$E$4:$E$5003,"*Subscription*",Stripe_Invoices_Upload!$A$4:$A$5003,"&gt;="&amp;DATE(2027,2,1),Stripe_Invoices_Upload!$A$4:$A$5003,"&lt;"&amp;EDATE(DATE(2027,2,1),1)))&gt;0,"✓ Invoiced","⚠ Due"),""),""))</f>
        <v/>
      </c>
      <c r="R42" s="130" t="str">
        <f aca="false">IF($A42="","",IF((DATE(YEAR($E42),MONTH($E42),1)&lt;=DATE(2027,3,1)),IF((MOD(DATEDIF(DATE(YEAR($E42),MONTH($E42),1),DATE(2027,3,1),"m"),IF($D42="Quarterly",3,IF($D42="Annual",12,1)))=0),IF((COUNTIFS(Xero_Raw!$D$4:$D$5003,$A42,Xero_Raw!$G$4:$G$5003,"*Subscription*",Xero_Raw!$A$4:$A$5003,"&gt;="&amp;DATE(2027,3,1),Xero_Raw!$A$4:$A$5003,"&lt;"&amp;EDATE(DATE(2027,3,1),1))+COUNTIFS(Customer_Invoices_Upload!$E$4:$E$5003,$A42,Customer_Invoices_Upload!$G$4:$G$5003,"*Subscription*",Customer_Invoices_Upload!$B$4:$B$5003,"&gt;="&amp;DATE(2027,3,1),Customer_Invoices_Upload!$B$4:$B$5003,"&lt;"&amp;EDATE(DATE(2027,3,1),1))+COUNTIFS(Stripe_Invoices_Upload!$D$4:$D$5003,$A42,Stripe_Invoices_Upload!$E$4:$E$5003,"*Subscription*",Stripe_Invoices_Upload!$A$4:$A$5003,"&gt;="&amp;DATE(2027,3,1),Stripe_Invoices_Upload!$A$4:$A$5003,"&lt;"&amp;EDATE(DATE(2027,3,1),1)))&gt;0,"✓ Invoiced","⚠ Due"),""),""))</f>
        <v/>
      </c>
    </row>
    <row r="43" customFormat="false" ht="15" hidden="false" customHeight="false" outlineLevel="0" collapsed="false">
      <c r="A43" s="39"/>
      <c r="B43" s="39"/>
      <c r="C43" s="40"/>
      <c r="D43" s="39"/>
      <c r="E43" s="38"/>
      <c r="F43" s="129" t="str">
        <f aca="true">IF($A43="","",EDATE($E43,DATEDIF($E43,TODAY(),"m")+1))</f>
        <v/>
      </c>
      <c r="G43" s="130" t="str">
        <f aca="false">IF($A43="","",IF((DATE(YEAR($E43),MONTH($E43),1)&lt;=DATE(2026,4,1)),IF((MOD(DATEDIF(DATE(YEAR($E43),MONTH($E43),1),DATE(2026,4,1),"m"),IF($D43="Quarterly",3,IF($D43="Annual",12,1)))=0),IF((COUNTIFS(Xero_Raw!$D$4:$D$5003,$A43,Xero_Raw!$G$4:$G$5003,"*Subscription*",Xero_Raw!$A$4:$A$5003,"&gt;="&amp;DATE(2026,4,1),Xero_Raw!$A$4:$A$5003,"&lt;"&amp;EDATE(DATE(2026,4,1),1))+COUNTIFS(Customer_Invoices_Upload!$E$4:$E$5003,$A43,Customer_Invoices_Upload!$G$4:$G$5003,"*Subscription*",Customer_Invoices_Upload!$B$4:$B$5003,"&gt;="&amp;DATE(2026,4,1),Customer_Invoices_Upload!$B$4:$B$5003,"&lt;"&amp;EDATE(DATE(2026,4,1),1))+COUNTIFS(Stripe_Invoices_Upload!$D$4:$D$5003,$A43,Stripe_Invoices_Upload!$E$4:$E$5003,"*Subscription*",Stripe_Invoices_Upload!$A$4:$A$5003,"&gt;="&amp;DATE(2026,4,1),Stripe_Invoices_Upload!$A$4:$A$5003,"&lt;"&amp;EDATE(DATE(2026,4,1),1)))&gt;0,"✓ Invoiced","⚠ Due"),""),""))</f>
        <v/>
      </c>
      <c r="H43" s="130" t="str">
        <f aca="false">IF($A43="","",IF((DATE(YEAR($E43),MONTH($E43),1)&lt;=DATE(2026,5,1)),IF((MOD(DATEDIF(DATE(YEAR($E43),MONTH($E43),1),DATE(2026,5,1),"m"),IF($D43="Quarterly",3,IF($D43="Annual",12,1)))=0),IF((COUNTIFS(Xero_Raw!$D$4:$D$5003,$A43,Xero_Raw!$G$4:$G$5003,"*Subscription*",Xero_Raw!$A$4:$A$5003,"&gt;="&amp;DATE(2026,5,1),Xero_Raw!$A$4:$A$5003,"&lt;"&amp;EDATE(DATE(2026,5,1),1))+COUNTIFS(Customer_Invoices_Upload!$E$4:$E$5003,$A43,Customer_Invoices_Upload!$G$4:$G$5003,"*Subscription*",Customer_Invoices_Upload!$B$4:$B$5003,"&gt;="&amp;DATE(2026,5,1),Customer_Invoices_Upload!$B$4:$B$5003,"&lt;"&amp;EDATE(DATE(2026,5,1),1))+COUNTIFS(Stripe_Invoices_Upload!$D$4:$D$5003,$A43,Stripe_Invoices_Upload!$E$4:$E$5003,"*Subscription*",Stripe_Invoices_Upload!$A$4:$A$5003,"&gt;="&amp;DATE(2026,5,1),Stripe_Invoices_Upload!$A$4:$A$5003,"&lt;"&amp;EDATE(DATE(2026,5,1),1)))&gt;0,"✓ Invoiced","⚠ Due"),""),""))</f>
        <v/>
      </c>
      <c r="I43" s="130" t="str">
        <f aca="false">IF($A43="","",IF((DATE(YEAR($E43),MONTH($E43),1)&lt;=DATE(2026,6,1)),IF((MOD(DATEDIF(DATE(YEAR($E43),MONTH($E43),1),DATE(2026,6,1),"m"),IF($D43="Quarterly",3,IF($D43="Annual",12,1)))=0),IF((COUNTIFS(Xero_Raw!$D$4:$D$5003,$A43,Xero_Raw!$G$4:$G$5003,"*Subscription*",Xero_Raw!$A$4:$A$5003,"&gt;="&amp;DATE(2026,6,1),Xero_Raw!$A$4:$A$5003,"&lt;"&amp;EDATE(DATE(2026,6,1),1))+COUNTIFS(Customer_Invoices_Upload!$E$4:$E$5003,$A43,Customer_Invoices_Upload!$G$4:$G$5003,"*Subscription*",Customer_Invoices_Upload!$B$4:$B$5003,"&gt;="&amp;DATE(2026,6,1),Customer_Invoices_Upload!$B$4:$B$5003,"&lt;"&amp;EDATE(DATE(2026,6,1),1))+COUNTIFS(Stripe_Invoices_Upload!$D$4:$D$5003,$A43,Stripe_Invoices_Upload!$E$4:$E$5003,"*Subscription*",Stripe_Invoices_Upload!$A$4:$A$5003,"&gt;="&amp;DATE(2026,6,1),Stripe_Invoices_Upload!$A$4:$A$5003,"&lt;"&amp;EDATE(DATE(2026,6,1),1)))&gt;0,"✓ Invoiced","⚠ Due"),""),""))</f>
        <v/>
      </c>
      <c r="J43" s="130" t="str">
        <f aca="false">IF($A43="","",IF((DATE(YEAR($E43),MONTH($E43),1)&lt;=DATE(2026,7,1)),IF((MOD(DATEDIF(DATE(YEAR($E43),MONTH($E43),1),DATE(2026,7,1),"m"),IF($D43="Quarterly",3,IF($D43="Annual",12,1)))=0),IF((COUNTIFS(Xero_Raw!$D$4:$D$5003,$A43,Xero_Raw!$G$4:$G$5003,"*Subscription*",Xero_Raw!$A$4:$A$5003,"&gt;="&amp;DATE(2026,7,1),Xero_Raw!$A$4:$A$5003,"&lt;"&amp;EDATE(DATE(2026,7,1),1))+COUNTIFS(Customer_Invoices_Upload!$E$4:$E$5003,$A43,Customer_Invoices_Upload!$G$4:$G$5003,"*Subscription*",Customer_Invoices_Upload!$B$4:$B$5003,"&gt;="&amp;DATE(2026,7,1),Customer_Invoices_Upload!$B$4:$B$5003,"&lt;"&amp;EDATE(DATE(2026,7,1),1))+COUNTIFS(Stripe_Invoices_Upload!$D$4:$D$5003,$A43,Stripe_Invoices_Upload!$E$4:$E$5003,"*Subscription*",Stripe_Invoices_Upload!$A$4:$A$5003,"&gt;="&amp;DATE(2026,7,1),Stripe_Invoices_Upload!$A$4:$A$5003,"&lt;"&amp;EDATE(DATE(2026,7,1),1)))&gt;0,"✓ Invoiced","⚠ Due"),""),""))</f>
        <v/>
      </c>
      <c r="K43" s="130" t="str">
        <f aca="false">IF($A43="","",IF((DATE(YEAR($E43),MONTH($E43),1)&lt;=DATE(2026,8,1)),IF((MOD(DATEDIF(DATE(YEAR($E43),MONTH($E43),1),DATE(2026,8,1),"m"),IF($D43="Quarterly",3,IF($D43="Annual",12,1)))=0),IF((COUNTIFS(Xero_Raw!$D$4:$D$5003,$A43,Xero_Raw!$G$4:$G$5003,"*Subscription*",Xero_Raw!$A$4:$A$5003,"&gt;="&amp;DATE(2026,8,1),Xero_Raw!$A$4:$A$5003,"&lt;"&amp;EDATE(DATE(2026,8,1),1))+COUNTIFS(Customer_Invoices_Upload!$E$4:$E$5003,$A43,Customer_Invoices_Upload!$G$4:$G$5003,"*Subscription*",Customer_Invoices_Upload!$B$4:$B$5003,"&gt;="&amp;DATE(2026,8,1),Customer_Invoices_Upload!$B$4:$B$5003,"&lt;"&amp;EDATE(DATE(2026,8,1),1))+COUNTIFS(Stripe_Invoices_Upload!$D$4:$D$5003,$A43,Stripe_Invoices_Upload!$E$4:$E$5003,"*Subscription*",Stripe_Invoices_Upload!$A$4:$A$5003,"&gt;="&amp;DATE(2026,8,1),Stripe_Invoices_Upload!$A$4:$A$5003,"&lt;"&amp;EDATE(DATE(2026,8,1),1)))&gt;0,"✓ Invoiced","⚠ Due"),""),""))</f>
        <v/>
      </c>
      <c r="L43" s="130" t="str">
        <f aca="false">IF($A43="","",IF((DATE(YEAR($E43),MONTH($E43),1)&lt;=DATE(2026,9,1)),IF((MOD(DATEDIF(DATE(YEAR($E43),MONTH($E43),1),DATE(2026,9,1),"m"),IF($D43="Quarterly",3,IF($D43="Annual",12,1)))=0),IF((COUNTIFS(Xero_Raw!$D$4:$D$5003,$A43,Xero_Raw!$G$4:$G$5003,"*Subscription*",Xero_Raw!$A$4:$A$5003,"&gt;="&amp;DATE(2026,9,1),Xero_Raw!$A$4:$A$5003,"&lt;"&amp;EDATE(DATE(2026,9,1),1))+COUNTIFS(Customer_Invoices_Upload!$E$4:$E$5003,$A43,Customer_Invoices_Upload!$G$4:$G$5003,"*Subscription*",Customer_Invoices_Upload!$B$4:$B$5003,"&gt;="&amp;DATE(2026,9,1),Customer_Invoices_Upload!$B$4:$B$5003,"&lt;"&amp;EDATE(DATE(2026,9,1),1))+COUNTIFS(Stripe_Invoices_Upload!$D$4:$D$5003,$A43,Stripe_Invoices_Upload!$E$4:$E$5003,"*Subscription*",Stripe_Invoices_Upload!$A$4:$A$5003,"&gt;="&amp;DATE(2026,9,1),Stripe_Invoices_Upload!$A$4:$A$5003,"&lt;"&amp;EDATE(DATE(2026,9,1),1)))&gt;0,"✓ Invoiced","⚠ Due"),""),""))</f>
        <v/>
      </c>
      <c r="M43" s="130" t="str">
        <f aca="false">IF($A43="","",IF((DATE(YEAR($E43),MONTH($E43),1)&lt;=DATE(2026,10,1)),IF((MOD(DATEDIF(DATE(YEAR($E43),MONTH($E43),1),DATE(2026,10,1),"m"),IF($D43="Quarterly",3,IF($D43="Annual",12,1)))=0),IF((COUNTIFS(Xero_Raw!$D$4:$D$5003,$A43,Xero_Raw!$G$4:$G$5003,"*Subscription*",Xero_Raw!$A$4:$A$5003,"&gt;="&amp;DATE(2026,10,1),Xero_Raw!$A$4:$A$5003,"&lt;"&amp;EDATE(DATE(2026,10,1),1))+COUNTIFS(Customer_Invoices_Upload!$E$4:$E$5003,$A43,Customer_Invoices_Upload!$G$4:$G$5003,"*Subscription*",Customer_Invoices_Upload!$B$4:$B$5003,"&gt;="&amp;DATE(2026,10,1),Customer_Invoices_Upload!$B$4:$B$5003,"&lt;"&amp;EDATE(DATE(2026,10,1),1))+COUNTIFS(Stripe_Invoices_Upload!$D$4:$D$5003,$A43,Stripe_Invoices_Upload!$E$4:$E$5003,"*Subscription*",Stripe_Invoices_Upload!$A$4:$A$5003,"&gt;="&amp;DATE(2026,10,1),Stripe_Invoices_Upload!$A$4:$A$5003,"&lt;"&amp;EDATE(DATE(2026,10,1),1)))&gt;0,"✓ Invoiced","⚠ Due"),""),""))</f>
        <v/>
      </c>
      <c r="N43" s="130" t="str">
        <f aca="false">IF($A43="","",IF((DATE(YEAR($E43),MONTH($E43),1)&lt;=DATE(2026,11,1)),IF((MOD(DATEDIF(DATE(YEAR($E43),MONTH($E43),1),DATE(2026,11,1),"m"),IF($D43="Quarterly",3,IF($D43="Annual",12,1)))=0),IF((COUNTIFS(Xero_Raw!$D$4:$D$5003,$A43,Xero_Raw!$G$4:$G$5003,"*Subscription*",Xero_Raw!$A$4:$A$5003,"&gt;="&amp;DATE(2026,11,1),Xero_Raw!$A$4:$A$5003,"&lt;"&amp;EDATE(DATE(2026,11,1),1))+COUNTIFS(Customer_Invoices_Upload!$E$4:$E$5003,$A43,Customer_Invoices_Upload!$G$4:$G$5003,"*Subscription*",Customer_Invoices_Upload!$B$4:$B$5003,"&gt;="&amp;DATE(2026,11,1),Customer_Invoices_Upload!$B$4:$B$5003,"&lt;"&amp;EDATE(DATE(2026,11,1),1))+COUNTIFS(Stripe_Invoices_Upload!$D$4:$D$5003,$A43,Stripe_Invoices_Upload!$E$4:$E$5003,"*Subscription*",Stripe_Invoices_Upload!$A$4:$A$5003,"&gt;="&amp;DATE(2026,11,1),Stripe_Invoices_Upload!$A$4:$A$5003,"&lt;"&amp;EDATE(DATE(2026,11,1),1)))&gt;0,"✓ Invoiced","⚠ Due"),""),""))</f>
        <v/>
      </c>
      <c r="O43" s="130" t="str">
        <f aca="false">IF($A43="","",IF((DATE(YEAR($E43),MONTH($E43),1)&lt;=DATE(2026,12,1)),IF((MOD(DATEDIF(DATE(YEAR($E43),MONTH($E43),1),DATE(2026,12,1),"m"),IF($D43="Quarterly",3,IF($D43="Annual",12,1)))=0),IF((COUNTIFS(Xero_Raw!$D$4:$D$5003,$A43,Xero_Raw!$G$4:$G$5003,"*Subscription*",Xero_Raw!$A$4:$A$5003,"&gt;="&amp;DATE(2026,12,1),Xero_Raw!$A$4:$A$5003,"&lt;"&amp;EDATE(DATE(2026,12,1),1))+COUNTIFS(Customer_Invoices_Upload!$E$4:$E$5003,$A43,Customer_Invoices_Upload!$G$4:$G$5003,"*Subscription*",Customer_Invoices_Upload!$B$4:$B$5003,"&gt;="&amp;DATE(2026,12,1),Customer_Invoices_Upload!$B$4:$B$5003,"&lt;"&amp;EDATE(DATE(2026,12,1),1))+COUNTIFS(Stripe_Invoices_Upload!$D$4:$D$5003,$A43,Stripe_Invoices_Upload!$E$4:$E$5003,"*Subscription*",Stripe_Invoices_Upload!$A$4:$A$5003,"&gt;="&amp;DATE(2026,12,1),Stripe_Invoices_Upload!$A$4:$A$5003,"&lt;"&amp;EDATE(DATE(2026,12,1),1)))&gt;0,"✓ Invoiced","⚠ Due"),""),""))</f>
        <v/>
      </c>
      <c r="P43" s="130" t="str">
        <f aca="false">IF($A43="","",IF((DATE(YEAR($E43),MONTH($E43),1)&lt;=DATE(2027,1,1)),IF((MOD(DATEDIF(DATE(YEAR($E43),MONTH($E43),1),DATE(2027,1,1),"m"),IF($D43="Quarterly",3,IF($D43="Annual",12,1)))=0),IF((COUNTIFS(Xero_Raw!$D$4:$D$5003,$A43,Xero_Raw!$G$4:$G$5003,"*Subscription*",Xero_Raw!$A$4:$A$5003,"&gt;="&amp;DATE(2027,1,1),Xero_Raw!$A$4:$A$5003,"&lt;"&amp;EDATE(DATE(2027,1,1),1))+COUNTIFS(Customer_Invoices_Upload!$E$4:$E$5003,$A43,Customer_Invoices_Upload!$G$4:$G$5003,"*Subscription*",Customer_Invoices_Upload!$B$4:$B$5003,"&gt;="&amp;DATE(2027,1,1),Customer_Invoices_Upload!$B$4:$B$5003,"&lt;"&amp;EDATE(DATE(2027,1,1),1))+COUNTIFS(Stripe_Invoices_Upload!$D$4:$D$5003,$A43,Stripe_Invoices_Upload!$E$4:$E$5003,"*Subscription*",Stripe_Invoices_Upload!$A$4:$A$5003,"&gt;="&amp;DATE(2027,1,1),Stripe_Invoices_Upload!$A$4:$A$5003,"&lt;"&amp;EDATE(DATE(2027,1,1),1)))&gt;0,"✓ Invoiced","⚠ Due"),""),""))</f>
        <v/>
      </c>
      <c r="Q43" s="130" t="str">
        <f aca="false">IF($A43="","",IF((DATE(YEAR($E43),MONTH($E43),1)&lt;=DATE(2027,2,1)),IF((MOD(DATEDIF(DATE(YEAR($E43),MONTH($E43),1),DATE(2027,2,1),"m"),IF($D43="Quarterly",3,IF($D43="Annual",12,1)))=0),IF((COUNTIFS(Xero_Raw!$D$4:$D$5003,$A43,Xero_Raw!$G$4:$G$5003,"*Subscription*",Xero_Raw!$A$4:$A$5003,"&gt;="&amp;DATE(2027,2,1),Xero_Raw!$A$4:$A$5003,"&lt;"&amp;EDATE(DATE(2027,2,1),1))+COUNTIFS(Customer_Invoices_Upload!$E$4:$E$5003,$A43,Customer_Invoices_Upload!$G$4:$G$5003,"*Subscription*",Customer_Invoices_Upload!$B$4:$B$5003,"&gt;="&amp;DATE(2027,2,1),Customer_Invoices_Upload!$B$4:$B$5003,"&lt;"&amp;EDATE(DATE(2027,2,1),1))+COUNTIFS(Stripe_Invoices_Upload!$D$4:$D$5003,$A43,Stripe_Invoices_Upload!$E$4:$E$5003,"*Subscription*",Stripe_Invoices_Upload!$A$4:$A$5003,"&gt;="&amp;DATE(2027,2,1),Stripe_Invoices_Upload!$A$4:$A$5003,"&lt;"&amp;EDATE(DATE(2027,2,1),1)))&gt;0,"✓ Invoiced","⚠ Due"),""),""))</f>
        <v/>
      </c>
      <c r="R43" s="130" t="str">
        <f aca="false">IF($A43="","",IF((DATE(YEAR($E43),MONTH($E43),1)&lt;=DATE(2027,3,1)),IF((MOD(DATEDIF(DATE(YEAR($E43),MONTH($E43),1),DATE(2027,3,1),"m"),IF($D43="Quarterly",3,IF($D43="Annual",12,1)))=0),IF((COUNTIFS(Xero_Raw!$D$4:$D$5003,$A43,Xero_Raw!$G$4:$G$5003,"*Subscription*",Xero_Raw!$A$4:$A$5003,"&gt;="&amp;DATE(2027,3,1),Xero_Raw!$A$4:$A$5003,"&lt;"&amp;EDATE(DATE(2027,3,1),1))+COUNTIFS(Customer_Invoices_Upload!$E$4:$E$5003,$A43,Customer_Invoices_Upload!$G$4:$G$5003,"*Subscription*",Customer_Invoices_Upload!$B$4:$B$5003,"&gt;="&amp;DATE(2027,3,1),Customer_Invoices_Upload!$B$4:$B$5003,"&lt;"&amp;EDATE(DATE(2027,3,1),1))+COUNTIFS(Stripe_Invoices_Upload!$D$4:$D$5003,$A43,Stripe_Invoices_Upload!$E$4:$E$5003,"*Subscription*",Stripe_Invoices_Upload!$A$4:$A$5003,"&gt;="&amp;DATE(2027,3,1),Stripe_Invoices_Upload!$A$4:$A$5003,"&lt;"&amp;EDATE(DATE(2027,3,1),1)))&gt;0,"✓ Invoiced","⚠ Due"),""),""))</f>
        <v/>
      </c>
    </row>
    <row r="44" customFormat="false" ht="15" hidden="false" customHeight="false" outlineLevel="0" collapsed="false">
      <c r="A44" s="39"/>
      <c r="B44" s="39"/>
      <c r="C44" s="40"/>
      <c r="D44" s="39"/>
      <c r="E44" s="38"/>
      <c r="F44" s="129" t="str">
        <f aca="true">IF($A44="","",EDATE($E44,DATEDIF($E44,TODAY(),"m")+1))</f>
        <v/>
      </c>
      <c r="G44" s="130" t="str">
        <f aca="false">IF($A44="","",IF((DATE(YEAR($E44),MONTH($E44),1)&lt;=DATE(2026,4,1)),IF((MOD(DATEDIF(DATE(YEAR($E44),MONTH($E44),1),DATE(2026,4,1),"m"),IF($D44="Quarterly",3,IF($D44="Annual",12,1)))=0),IF((COUNTIFS(Xero_Raw!$D$4:$D$5003,$A44,Xero_Raw!$G$4:$G$5003,"*Subscription*",Xero_Raw!$A$4:$A$5003,"&gt;="&amp;DATE(2026,4,1),Xero_Raw!$A$4:$A$5003,"&lt;"&amp;EDATE(DATE(2026,4,1),1))+COUNTIFS(Customer_Invoices_Upload!$E$4:$E$5003,$A44,Customer_Invoices_Upload!$G$4:$G$5003,"*Subscription*",Customer_Invoices_Upload!$B$4:$B$5003,"&gt;="&amp;DATE(2026,4,1),Customer_Invoices_Upload!$B$4:$B$5003,"&lt;"&amp;EDATE(DATE(2026,4,1),1))+COUNTIFS(Stripe_Invoices_Upload!$D$4:$D$5003,$A44,Stripe_Invoices_Upload!$E$4:$E$5003,"*Subscription*",Stripe_Invoices_Upload!$A$4:$A$5003,"&gt;="&amp;DATE(2026,4,1),Stripe_Invoices_Upload!$A$4:$A$5003,"&lt;"&amp;EDATE(DATE(2026,4,1),1)))&gt;0,"✓ Invoiced","⚠ Due"),""),""))</f>
        <v/>
      </c>
      <c r="H44" s="130" t="str">
        <f aca="false">IF($A44="","",IF((DATE(YEAR($E44),MONTH($E44),1)&lt;=DATE(2026,5,1)),IF((MOD(DATEDIF(DATE(YEAR($E44),MONTH($E44),1),DATE(2026,5,1),"m"),IF($D44="Quarterly",3,IF($D44="Annual",12,1)))=0),IF((COUNTIFS(Xero_Raw!$D$4:$D$5003,$A44,Xero_Raw!$G$4:$G$5003,"*Subscription*",Xero_Raw!$A$4:$A$5003,"&gt;="&amp;DATE(2026,5,1),Xero_Raw!$A$4:$A$5003,"&lt;"&amp;EDATE(DATE(2026,5,1),1))+COUNTIFS(Customer_Invoices_Upload!$E$4:$E$5003,$A44,Customer_Invoices_Upload!$G$4:$G$5003,"*Subscription*",Customer_Invoices_Upload!$B$4:$B$5003,"&gt;="&amp;DATE(2026,5,1),Customer_Invoices_Upload!$B$4:$B$5003,"&lt;"&amp;EDATE(DATE(2026,5,1),1))+COUNTIFS(Stripe_Invoices_Upload!$D$4:$D$5003,$A44,Stripe_Invoices_Upload!$E$4:$E$5003,"*Subscription*",Stripe_Invoices_Upload!$A$4:$A$5003,"&gt;="&amp;DATE(2026,5,1),Stripe_Invoices_Upload!$A$4:$A$5003,"&lt;"&amp;EDATE(DATE(2026,5,1),1)))&gt;0,"✓ Invoiced","⚠ Due"),""),""))</f>
        <v/>
      </c>
      <c r="I44" s="130" t="str">
        <f aca="false">IF($A44="","",IF((DATE(YEAR($E44),MONTH($E44),1)&lt;=DATE(2026,6,1)),IF((MOD(DATEDIF(DATE(YEAR($E44),MONTH($E44),1),DATE(2026,6,1),"m"),IF($D44="Quarterly",3,IF($D44="Annual",12,1)))=0),IF((COUNTIFS(Xero_Raw!$D$4:$D$5003,$A44,Xero_Raw!$G$4:$G$5003,"*Subscription*",Xero_Raw!$A$4:$A$5003,"&gt;="&amp;DATE(2026,6,1),Xero_Raw!$A$4:$A$5003,"&lt;"&amp;EDATE(DATE(2026,6,1),1))+COUNTIFS(Customer_Invoices_Upload!$E$4:$E$5003,$A44,Customer_Invoices_Upload!$G$4:$G$5003,"*Subscription*",Customer_Invoices_Upload!$B$4:$B$5003,"&gt;="&amp;DATE(2026,6,1),Customer_Invoices_Upload!$B$4:$B$5003,"&lt;"&amp;EDATE(DATE(2026,6,1),1))+COUNTIFS(Stripe_Invoices_Upload!$D$4:$D$5003,$A44,Stripe_Invoices_Upload!$E$4:$E$5003,"*Subscription*",Stripe_Invoices_Upload!$A$4:$A$5003,"&gt;="&amp;DATE(2026,6,1),Stripe_Invoices_Upload!$A$4:$A$5003,"&lt;"&amp;EDATE(DATE(2026,6,1),1)))&gt;0,"✓ Invoiced","⚠ Due"),""),""))</f>
        <v/>
      </c>
      <c r="J44" s="130" t="str">
        <f aca="false">IF($A44="","",IF((DATE(YEAR($E44),MONTH($E44),1)&lt;=DATE(2026,7,1)),IF((MOD(DATEDIF(DATE(YEAR($E44),MONTH($E44),1),DATE(2026,7,1),"m"),IF($D44="Quarterly",3,IF($D44="Annual",12,1)))=0),IF((COUNTIFS(Xero_Raw!$D$4:$D$5003,$A44,Xero_Raw!$G$4:$G$5003,"*Subscription*",Xero_Raw!$A$4:$A$5003,"&gt;="&amp;DATE(2026,7,1),Xero_Raw!$A$4:$A$5003,"&lt;"&amp;EDATE(DATE(2026,7,1),1))+COUNTIFS(Customer_Invoices_Upload!$E$4:$E$5003,$A44,Customer_Invoices_Upload!$G$4:$G$5003,"*Subscription*",Customer_Invoices_Upload!$B$4:$B$5003,"&gt;="&amp;DATE(2026,7,1),Customer_Invoices_Upload!$B$4:$B$5003,"&lt;"&amp;EDATE(DATE(2026,7,1),1))+COUNTIFS(Stripe_Invoices_Upload!$D$4:$D$5003,$A44,Stripe_Invoices_Upload!$E$4:$E$5003,"*Subscription*",Stripe_Invoices_Upload!$A$4:$A$5003,"&gt;="&amp;DATE(2026,7,1),Stripe_Invoices_Upload!$A$4:$A$5003,"&lt;"&amp;EDATE(DATE(2026,7,1),1)))&gt;0,"✓ Invoiced","⚠ Due"),""),""))</f>
        <v/>
      </c>
      <c r="K44" s="130" t="str">
        <f aca="false">IF($A44="","",IF((DATE(YEAR($E44),MONTH($E44),1)&lt;=DATE(2026,8,1)),IF((MOD(DATEDIF(DATE(YEAR($E44),MONTH($E44),1),DATE(2026,8,1),"m"),IF($D44="Quarterly",3,IF($D44="Annual",12,1)))=0),IF((COUNTIFS(Xero_Raw!$D$4:$D$5003,$A44,Xero_Raw!$G$4:$G$5003,"*Subscription*",Xero_Raw!$A$4:$A$5003,"&gt;="&amp;DATE(2026,8,1),Xero_Raw!$A$4:$A$5003,"&lt;"&amp;EDATE(DATE(2026,8,1),1))+COUNTIFS(Customer_Invoices_Upload!$E$4:$E$5003,$A44,Customer_Invoices_Upload!$G$4:$G$5003,"*Subscription*",Customer_Invoices_Upload!$B$4:$B$5003,"&gt;="&amp;DATE(2026,8,1),Customer_Invoices_Upload!$B$4:$B$5003,"&lt;"&amp;EDATE(DATE(2026,8,1),1))+COUNTIFS(Stripe_Invoices_Upload!$D$4:$D$5003,$A44,Stripe_Invoices_Upload!$E$4:$E$5003,"*Subscription*",Stripe_Invoices_Upload!$A$4:$A$5003,"&gt;="&amp;DATE(2026,8,1),Stripe_Invoices_Upload!$A$4:$A$5003,"&lt;"&amp;EDATE(DATE(2026,8,1),1)))&gt;0,"✓ Invoiced","⚠ Due"),""),""))</f>
        <v/>
      </c>
      <c r="L44" s="130" t="str">
        <f aca="false">IF($A44="","",IF((DATE(YEAR($E44),MONTH($E44),1)&lt;=DATE(2026,9,1)),IF((MOD(DATEDIF(DATE(YEAR($E44),MONTH($E44),1),DATE(2026,9,1),"m"),IF($D44="Quarterly",3,IF($D44="Annual",12,1)))=0),IF((COUNTIFS(Xero_Raw!$D$4:$D$5003,$A44,Xero_Raw!$G$4:$G$5003,"*Subscription*",Xero_Raw!$A$4:$A$5003,"&gt;="&amp;DATE(2026,9,1),Xero_Raw!$A$4:$A$5003,"&lt;"&amp;EDATE(DATE(2026,9,1),1))+COUNTIFS(Customer_Invoices_Upload!$E$4:$E$5003,$A44,Customer_Invoices_Upload!$G$4:$G$5003,"*Subscription*",Customer_Invoices_Upload!$B$4:$B$5003,"&gt;="&amp;DATE(2026,9,1),Customer_Invoices_Upload!$B$4:$B$5003,"&lt;"&amp;EDATE(DATE(2026,9,1),1))+COUNTIFS(Stripe_Invoices_Upload!$D$4:$D$5003,$A44,Stripe_Invoices_Upload!$E$4:$E$5003,"*Subscription*",Stripe_Invoices_Upload!$A$4:$A$5003,"&gt;="&amp;DATE(2026,9,1),Stripe_Invoices_Upload!$A$4:$A$5003,"&lt;"&amp;EDATE(DATE(2026,9,1),1)))&gt;0,"✓ Invoiced","⚠ Due"),""),""))</f>
        <v/>
      </c>
      <c r="M44" s="130" t="str">
        <f aca="false">IF($A44="","",IF((DATE(YEAR($E44),MONTH($E44),1)&lt;=DATE(2026,10,1)),IF((MOD(DATEDIF(DATE(YEAR($E44),MONTH($E44),1),DATE(2026,10,1),"m"),IF($D44="Quarterly",3,IF($D44="Annual",12,1)))=0),IF((COUNTIFS(Xero_Raw!$D$4:$D$5003,$A44,Xero_Raw!$G$4:$G$5003,"*Subscription*",Xero_Raw!$A$4:$A$5003,"&gt;="&amp;DATE(2026,10,1),Xero_Raw!$A$4:$A$5003,"&lt;"&amp;EDATE(DATE(2026,10,1),1))+COUNTIFS(Customer_Invoices_Upload!$E$4:$E$5003,$A44,Customer_Invoices_Upload!$G$4:$G$5003,"*Subscription*",Customer_Invoices_Upload!$B$4:$B$5003,"&gt;="&amp;DATE(2026,10,1),Customer_Invoices_Upload!$B$4:$B$5003,"&lt;"&amp;EDATE(DATE(2026,10,1),1))+COUNTIFS(Stripe_Invoices_Upload!$D$4:$D$5003,$A44,Stripe_Invoices_Upload!$E$4:$E$5003,"*Subscription*",Stripe_Invoices_Upload!$A$4:$A$5003,"&gt;="&amp;DATE(2026,10,1),Stripe_Invoices_Upload!$A$4:$A$5003,"&lt;"&amp;EDATE(DATE(2026,10,1),1)))&gt;0,"✓ Invoiced","⚠ Due"),""),""))</f>
        <v/>
      </c>
      <c r="N44" s="130" t="str">
        <f aca="false">IF($A44="","",IF((DATE(YEAR($E44),MONTH($E44),1)&lt;=DATE(2026,11,1)),IF((MOD(DATEDIF(DATE(YEAR($E44),MONTH($E44),1),DATE(2026,11,1),"m"),IF($D44="Quarterly",3,IF($D44="Annual",12,1)))=0),IF((COUNTIFS(Xero_Raw!$D$4:$D$5003,$A44,Xero_Raw!$G$4:$G$5003,"*Subscription*",Xero_Raw!$A$4:$A$5003,"&gt;="&amp;DATE(2026,11,1),Xero_Raw!$A$4:$A$5003,"&lt;"&amp;EDATE(DATE(2026,11,1),1))+COUNTIFS(Customer_Invoices_Upload!$E$4:$E$5003,$A44,Customer_Invoices_Upload!$G$4:$G$5003,"*Subscription*",Customer_Invoices_Upload!$B$4:$B$5003,"&gt;="&amp;DATE(2026,11,1),Customer_Invoices_Upload!$B$4:$B$5003,"&lt;"&amp;EDATE(DATE(2026,11,1),1))+COUNTIFS(Stripe_Invoices_Upload!$D$4:$D$5003,$A44,Stripe_Invoices_Upload!$E$4:$E$5003,"*Subscription*",Stripe_Invoices_Upload!$A$4:$A$5003,"&gt;="&amp;DATE(2026,11,1),Stripe_Invoices_Upload!$A$4:$A$5003,"&lt;"&amp;EDATE(DATE(2026,11,1),1)))&gt;0,"✓ Invoiced","⚠ Due"),""),""))</f>
        <v/>
      </c>
      <c r="O44" s="130" t="str">
        <f aca="false">IF($A44="","",IF((DATE(YEAR($E44),MONTH($E44),1)&lt;=DATE(2026,12,1)),IF((MOD(DATEDIF(DATE(YEAR($E44),MONTH($E44),1),DATE(2026,12,1),"m"),IF($D44="Quarterly",3,IF($D44="Annual",12,1)))=0),IF((COUNTIFS(Xero_Raw!$D$4:$D$5003,$A44,Xero_Raw!$G$4:$G$5003,"*Subscription*",Xero_Raw!$A$4:$A$5003,"&gt;="&amp;DATE(2026,12,1),Xero_Raw!$A$4:$A$5003,"&lt;"&amp;EDATE(DATE(2026,12,1),1))+COUNTIFS(Customer_Invoices_Upload!$E$4:$E$5003,$A44,Customer_Invoices_Upload!$G$4:$G$5003,"*Subscription*",Customer_Invoices_Upload!$B$4:$B$5003,"&gt;="&amp;DATE(2026,12,1),Customer_Invoices_Upload!$B$4:$B$5003,"&lt;"&amp;EDATE(DATE(2026,12,1),1))+COUNTIFS(Stripe_Invoices_Upload!$D$4:$D$5003,$A44,Stripe_Invoices_Upload!$E$4:$E$5003,"*Subscription*",Stripe_Invoices_Upload!$A$4:$A$5003,"&gt;="&amp;DATE(2026,12,1),Stripe_Invoices_Upload!$A$4:$A$5003,"&lt;"&amp;EDATE(DATE(2026,12,1),1)))&gt;0,"✓ Invoiced","⚠ Due"),""),""))</f>
        <v/>
      </c>
      <c r="P44" s="130" t="str">
        <f aca="false">IF($A44="","",IF((DATE(YEAR($E44),MONTH($E44),1)&lt;=DATE(2027,1,1)),IF((MOD(DATEDIF(DATE(YEAR($E44),MONTH($E44),1),DATE(2027,1,1),"m"),IF($D44="Quarterly",3,IF($D44="Annual",12,1)))=0),IF((COUNTIFS(Xero_Raw!$D$4:$D$5003,$A44,Xero_Raw!$G$4:$G$5003,"*Subscription*",Xero_Raw!$A$4:$A$5003,"&gt;="&amp;DATE(2027,1,1),Xero_Raw!$A$4:$A$5003,"&lt;"&amp;EDATE(DATE(2027,1,1),1))+COUNTIFS(Customer_Invoices_Upload!$E$4:$E$5003,$A44,Customer_Invoices_Upload!$G$4:$G$5003,"*Subscription*",Customer_Invoices_Upload!$B$4:$B$5003,"&gt;="&amp;DATE(2027,1,1),Customer_Invoices_Upload!$B$4:$B$5003,"&lt;"&amp;EDATE(DATE(2027,1,1),1))+COUNTIFS(Stripe_Invoices_Upload!$D$4:$D$5003,$A44,Stripe_Invoices_Upload!$E$4:$E$5003,"*Subscription*",Stripe_Invoices_Upload!$A$4:$A$5003,"&gt;="&amp;DATE(2027,1,1),Stripe_Invoices_Upload!$A$4:$A$5003,"&lt;"&amp;EDATE(DATE(2027,1,1),1)))&gt;0,"✓ Invoiced","⚠ Due"),""),""))</f>
        <v/>
      </c>
      <c r="Q44" s="130" t="str">
        <f aca="false">IF($A44="","",IF((DATE(YEAR($E44),MONTH($E44),1)&lt;=DATE(2027,2,1)),IF((MOD(DATEDIF(DATE(YEAR($E44),MONTH($E44),1),DATE(2027,2,1),"m"),IF($D44="Quarterly",3,IF($D44="Annual",12,1)))=0),IF((COUNTIFS(Xero_Raw!$D$4:$D$5003,$A44,Xero_Raw!$G$4:$G$5003,"*Subscription*",Xero_Raw!$A$4:$A$5003,"&gt;="&amp;DATE(2027,2,1),Xero_Raw!$A$4:$A$5003,"&lt;"&amp;EDATE(DATE(2027,2,1),1))+COUNTIFS(Customer_Invoices_Upload!$E$4:$E$5003,$A44,Customer_Invoices_Upload!$G$4:$G$5003,"*Subscription*",Customer_Invoices_Upload!$B$4:$B$5003,"&gt;="&amp;DATE(2027,2,1),Customer_Invoices_Upload!$B$4:$B$5003,"&lt;"&amp;EDATE(DATE(2027,2,1),1))+COUNTIFS(Stripe_Invoices_Upload!$D$4:$D$5003,$A44,Stripe_Invoices_Upload!$E$4:$E$5003,"*Subscription*",Stripe_Invoices_Upload!$A$4:$A$5003,"&gt;="&amp;DATE(2027,2,1),Stripe_Invoices_Upload!$A$4:$A$5003,"&lt;"&amp;EDATE(DATE(2027,2,1),1)))&gt;0,"✓ Invoiced","⚠ Due"),""),""))</f>
        <v/>
      </c>
      <c r="R44" s="130" t="str">
        <f aca="false">IF($A44="","",IF((DATE(YEAR($E44),MONTH($E44),1)&lt;=DATE(2027,3,1)),IF((MOD(DATEDIF(DATE(YEAR($E44),MONTH($E44),1),DATE(2027,3,1),"m"),IF($D44="Quarterly",3,IF($D44="Annual",12,1)))=0),IF((COUNTIFS(Xero_Raw!$D$4:$D$5003,$A44,Xero_Raw!$G$4:$G$5003,"*Subscription*",Xero_Raw!$A$4:$A$5003,"&gt;="&amp;DATE(2027,3,1),Xero_Raw!$A$4:$A$5003,"&lt;"&amp;EDATE(DATE(2027,3,1),1))+COUNTIFS(Customer_Invoices_Upload!$E$4:$E$5003,$A44,Customer_Invoices_Upload!$G$4:$G$5003,"*Subscription*",Customer_Invoices_Upload!$B$4:$B$5003,"&gt;="&amp;DATE(2027,3,1),Customer_Invoices_Upload!$B$4:$B$5003,"&lt;"&amp;EDATE(DATE(2027,3,1),1))+COUNTIFS(Stripe_Invoices_Upload!$D$4:$D$5003,$A44,Stripe_Invoices_Upload!$E$4:$E$5003,"*Subscription*",Stripe_Invoices_Upload!$A$4:$A$5003,"&gt;="&amp;DATE(2027,3,1),Stripe_Invoices_Upload!$A$4:$A$5003,"&lt;"&amp;EDATE(DATE(2027,3,1),1)))&gt;0,"✓ Invoiced","⚠ Due"),""),""))</f>
        <v/>
      </c>
    </row>
    <row r="45" customFormat="false" ht="15" hidden="false" customHeight="false" outlineLevel="0" collapsed="false">
      <c r="A45" s="39"/>
      <c r="B45" s="39"/>
      <c r="C45" s="40"/>
      <c r="D45" s="39"/>
      <c r="E45" s="38"/>
      <c r="F45" s="129" t="str">
        <f aca="true">IF($A45="","",EDATE($E45,DATEDIF($E45,TODAY(),"m")+1))</f>
        <v/>
      </c>
      <c r="G45" s="130" t="str">
        <f aca="false">IF($A45="","",IF((DATE(YEAR($E45),MONTH($E45),1)&lt;=DATE(2026,4,1)),IF((MOD(DATEDIF(DATE(YEAR($E45),MONTH($E45),1),DATE(2026,4,1),"m"),IF($D45="Quarterly",3,IF($D45="Annual",12,1)))=0),IF((COUNTIFS(Xero_Raw!$D$4:$D$5003,$A45,Xero_Raw!$G$4:$G$5003,"*Subscription*",Xero_Raw!$A$4:$A$5003,"&gt;="&amp;DATE(2026,4,1),Xero_Raw!$A$4:$A$5003,"&lt;"&amp;EDATE(DATE(2026,4,1),1))+COUNTIFS(Customer_Invoices_Upload!$E$4:$E$5003,$A45,Customer_Invoices_Upload!$G$4:$G$5003,"*Subscription*",Customer_Invoices_Upload!$B$4:$B$5003,"&gt;="&amp;DATE(2026,4,1),Customer_Invoices_Upload!$B$4:$B$5003,"&lt;"&amp;EDATE(DATE(2026,4,1),1))+COUNTIFS(Stripe_Invoices_Upload!$D$4:$D$5003,$A45,Stripe_Invoices_Upload!$E$4:$E$5003,"*Subscription*",Stripe_Invoices_Upload!$A$4:$A$5003,"&gt;="&amp;DATE(2026,4,1),Stripe_Invoices_Upload!$A$4:$A$5003,"&lt;"&amp;EDATE(DATE(2026,4,1),1)))&gt;0,"✓ Invoiced","⚠ Due"),""),""))</f>
        <v/>
      </c>
      <c r="H45" s="130" t="str">
        <f aca="false">IF($A45="","",IF((DATE(YEAR($E45),MONTH($E45),1)&lt;=DATE(2026,5,1)),IF((MOD(DATEDIF(DATE(YEAR($E45),MONTH($E45),1),DATE(2026,5,1),"m"),IF($D45="Quarterly",3,IF($D45="Annual",12,1)))=0),IF((COUNTIFS(Xero_Raw!$D$4:$D$5003,$A45,Xero_Raw!$G$4:$G$5003,"*Subscription*",Xero_Raw!$A$4:$A$5003,"&gt;="&amp;DATE(2026,5,1),Xero_Raw!$A$4:$A$5003,"&lt;"&amp;EDATE(DATE(2026,5,1),1))+COUNTIFS(Customer_Invoices_Upload!$E$4:$E$5003,$A45,Customer_Invoices_Upload!$G$4:$G$5003,"*Subscription*",Customer_Invoices_Upload!$B$4:$B$5003,"&gt;="&amp;DATE(2026,5,1),Customer_Invoices_Upload!$B$4:$B$5003,"&lt;"&amp;EDATE(DATE(2026,5,1),1))+COUNTIFS(Stripe_Invoices_Upload!$D$4:$D$5003,$A45,Stripe_Invoices_Upload!$E$4:$E$5003,"*Subscription*",Stripe_Invoices_Upload!$A$4:$A$5003,"&gt;="&amp;DATE(2026,5,1),Stripe_Invoices_Upload!$A$4:$A$5003,"&lt;"&amp;EDATE(DATE(2026,5,1),1)))&gt;0,"✓ Invoiced","⚠ Due"),""),""))</f>
        <v/>
      </c>
      <c r="I45" s="130" t="str">
        <f aca="false">IF($A45="","",IF((DATE(YEAR($E45),MONTH($E45),1)&lt;=DATE(2026,6,1)),IF((MOD(DATEDIF(DATE(YEAR($E45),MONTH($E45),1),DATE(2026,6,1),"m"),IF($D45="Quarterly",3,IF($D45="Annual",12,1)))=0),IF((COUNTIFS(Xero_Raw!$D$4:$D$5003,$A45,Xero_Raw!$G$4:$G$5003,"*Subscription*",Xero_Raw!$A$4:$A$5003,"&gt;="&amp;DATE(2026,6,1),Xero_Raw!$A$4:$A$5003,"&lt;"&amp;EDATE(DATE(2026,6,1),1))+COUNTIFS(Customer_Invoices_Upload!$E$4:$E$5003,$A45,Customer_Invoices_Upload!$G$4:$G$5003,"*Subscription*",Customer_Invoices_Upload!$B$4:$B$5003,"&gt;="&amp;DATE(2026,6,1),Customer_Invoices_Upload!$B$4:$B$5003,"&lt;"&amp;EDATE(DATE(2026,6,1),1))+COUNTIFS(Stripe_Invoices_Upload!$D$4:$D$5003,$A45,Stripe_Invoices_Upload!$E$4:$E$5003,"*Subscription*",Stripe_Invoices_Upload!$A$4:$A$5003,"&gt;="&amp;DATE(2026,6,1),Stripe_Invoices_Upload!$A$4:$A$5003,"&lt;"&amp;EDATE(DATE(2026,6,1),1)))&gt;0,"✓ Invoiced","⚠ Due"),""),""))</f>
        <v/>
      </c>
      <c r="J45" s="130" t="str">
        <f aca="false">IF($A45="","",IF((DATE(YEAR($E45),MONTH($E45),1)&lt;=DATE(2026,7,1)),IF((MOD(DATEDIF(DATE(YEAR($E45),MONTH($E45),1),DATE(2026,7,1),"m"),IF($D45="Quarterly",3,IF($D45="Annual",12,1)))=0),IF((COUNTIFS(Xero_Raw!$D$4:$D$5003,$A45,Xero_Raw!$G$4:$G$5003,"*Subscription*",Xero_Raw!$A$4:$A$5003,"&gt;="&amp;DATE(2026,7,1),Xero_Raw!$A$4:$A$5003,"&lt;"&amp;EDATE(DATE(2026,7,1),1))+COUNTIFS(Customer_Invoices_Upload!$E$4:$E$5003,$A45,Customer_Invoices_Upload!$G$4:$G$5003,"*Subscription*",Customer_Invoices_Upload!$B$4:$B$5003,"&gt;="&amp;DATE(2026,7,1),Customer_Invoices_Upload!$B$4:$B$5003,"&lt;"&amp;EDATE(DATE(2026,7,1),1))+COUNTIFS(Stripe_Invoices_Upload!$D$4:$D$5003,$A45,Stripe_Invoices_Upload!$E$4:$E$5003,"*Subscription*",Stripe_Invoices_Upload!$A$4:$A$5003,"&gt;="&amp;DATE(2026,7,1),Stripe_Invoices_Upload!$A$4:$A$5003,"&lt;"&amp;EDATE(DATE(2026,7,1),1)))&gt;0,"✓ Invoiced","⚠ Due"),""),""))</f>
        <v/>
      </c>
      <c r="K45" s="130" t="str">
        <f aca="false">IF($A45="","",IF((DATE(YEAR($E45),MONTH($E45),1)&lt;=DATE(2026,8,1)),IF((MOD(DATEDIF(DATE(YEAR($E45),MONTH($E45),1),DATE(2026,8,1),"m"),IF($D45="Quarterly",3,IF($D45="Annual",12,1)))=0),IF((COUNTIFS(Xero_Raw!$D$4:$D$5003,$A45,Xero_Raw!$G$4:$G$5003,"*Subscription*",Xero_Raw!$A$4:$A$5003,"&gt;="&amp;DATE(2026,8,1),Xero_Raw!$A$4:$A$5003,"&lt;"&amp;EDATE(DATE(2026,8,1),1))+COUNTIFS(Customer_Invoices_Upload!$E$4:$E$5003,$A45,Customer_Invoices_Upload!$G$4:$G$5003,"*Subscription*",Customer_Invoices_Upload!$B$4:$B$5003,"&gt;="&amp;DATE(2026,8,1),Customer_Invoices_Upload!$B$4:$B$5003,"&lt;"&amp;EDATE(DATE(2026,8,1),1))+COUNTIFS(Stripe_Invoices_Upload!$D$4:$D$5003,$A45,Stripe_Invoices_Upload!$E$4:$E$5003,"*Subscription*",Stripe_Invoices_Upload!$A$4:$A$5003,"&gt;="&amp;DATE(2026,8,1),Stripe_Invoices_Upload!$A$4:$A$5003,"&lt;"&amp;EDATE(DATE(2026,8,1),1)))&gt;0,"✓ Invoiced","⚠ Due"),""),""))</f>
        <v/>
      </c>
      <c r="L45" s="130" t="str">
        <f aca="false">IF($A45="","",IF((DATE(YEAR($E45),MONTH($E45),1)&lt;=DATE(2026,9,1)),IF((MOD(DATEDIF(DATE(YEAR($E45),MONTH($E45),1),DATE(2026,9,1),"m"),IF($D45="Quarterly",3,IF($D45="Annual",12,1)))=0),IF((COUNTIFS(Xero_Raw!$D$4:$D$5003,$A45,Xero_Raw!$G$4:$G$5003,"*Subscription*",Xero_Raw!$A$4:$A$5003,"&gt;="&amp;DATE(2026,9,1),Xero_Raw!$A$4:$A$5003,"&lt;"&amp;EDATE(DATE(2026,9,1),1))+COUNTIFS(Customer_Invoices_Upload!$E$4:$E$5003,$A45,Customer_Invoices_Upload!$G$4:$G$5003,"*Subscription*",Customer_Invoices_Upload!$B$4:$B$5003,"&gt;="&amp;DATE(2026,9,1),Customer_Invoices_Upload!$B$4:$B$5003,"&lt;"&amp;EDATE(DATE(2026,9,1),1))+COUNTIFS(Stripe_Invoices_Upload!$D$4:$D$5003,$A45,Stripe_Invoices_Upload!$E$4:$E$5003,"*Subscription*",Stripe_Invoices_Upload!$A$4:$A$5003,"&gt;="&amp;DATE(2026,9,1),Stripe_Invoices_Upload!$A$4:$A$5003,"&lt;"&amp;EDATE(DATE(2026,9,1),1)))&gt;0,"✓ Invoiced","⚠ Due"),""),""))</f>
        <v/>
      </c>
      <c r="M45" s="130" t="str">
        <f aca="false">IF($A45="","",IF((DATE(YEAR($E45),MONTH($E45),1)&lt;=DATE(2026,10,1)),IF((MOD(DATEDIF(DATE(YEAR($E45),MONTH($E45),1),DATE(2026,10,1),"m"),IF($D45="Quarterly",3,IF($D45="Annual",12,1)))=0),IF((COUNTIFS(Xero_Raw!$D$4:$D$5003,$A45,Xero_Raw!$G$4:$G$5003,"*Subscription*",Xero_Raw!$A$4:$A$5003,"&gt;="&amp;DATE(2026,10,1),Xero_Raw!$A$4:$A$5003,"&lt;"&amp;EDATE(DATE(2026,10,1),1))+COUNTIFS(Customer_Invoices_Upload!$E$4:$E$5003,$A45,Customer_Invoices_Upload!$G$4:$G$5003,"*Subscription*",Customer_Invoices_Upload!$B$4:$B$5003,"&gt;="&amp;DATE(2026,10,1),Customer_Invoices_Upload!$B$4:$B$5003,"&lt;"&amp;EDATE(DATE(2026,10,1),1))+COUNTIFS(Stripe_Invoices_Upload!$D$4:$D$5003,$A45,Stripe_Invoices_Upload!$E$4:$E$5003,"*Subscription*",Stripe_Invoices_Upload!$A$4:$A$5003,"&gt;="&amp;DATE(2026,10,1),Stripe_Invoices_Upload!$A$4:$A$5003,"&lt;"&amp;EDATE(DATE(2026,10,1),1)))&gt;0,"✓ Invoiced","⚠ Due"),""),""))</f>
        <v/>
      </c>
      <c r="N45" s="130" t="str">
        <f aca="false">IF($A45="","",IF((DATE(YEAR($E45),MONTH($E45),1)&lt;=DATE(2026,11,1)),IF((MOD(DATEDIF(DATE(YEAR($E45),MONTH($E45),1),DATE(2026,11,1),"m"),IF($D45="Quarterly",3,IF($D45="Annual",12,1)))=0),IF((COUNTIFS(Xero_Raw!$D$4:$D$5003,$A45,Xero_Raw!$G$4:$G$5003,"*Subscription*",Xero_Raw!$A$4:$A$5003,"&gt;="&amp;DATE(2026,11,1),Xero_Raw!$A$4:$A$5003,"&lt;"&amp;EDATE(DATE(2026,11,1),1))+COUNTIFS(Customer_Invoices_Upload!$E$4:$E$5003,$A45,Customer_Invoices_Upload!$G$4:$G$5003,"*Subscription*",Customer_Invoices_Upload!$B$4:$B$5003,"&gt;="&amp;DATE(2026,11,1),Customer_Invoices_Upload!$B$4:$B$5003,"&lt;"&amp;EDATE(DATE(2026,11,1),1))+COUNTIFS(Stripe_Invoices_Upload!$D$4:$D$5003,$A45,Stripe_Invoices_Upload!$E$4:$E$5003,"*Subscription*",Stripe_Invoices_Upload!$A$4:$A$5003,"&gt;="&amp;DATE(2026,11,1),Stripe_Invoices_Upload!$A$4:$A$5003,"&lt;"&amp;EDATE(DATE(2026,11,1),1)))&gt;0,"✓ Invoiced","⚠ Due"),""),""))</f>
        <v/>
      </c>
      <c r="O45" s="130" t="str">
        <f aca="false">IF($A45="","",IF((DATE(YEAR($E45),MONTH($E45),1)&lt;=DATE(2026,12,1)),IF((MOD(DATEDIF(DATE(YEAR($E45),MONTH($E45),1),DATE(2026,12,1),"m"),IF($D45="Quarterly",3,IF($D45="Annual",12,1)))=0),IF((COUNTIFS(Xero_Raw!$D$4:$D$5003,$A45,Xero_Raw!$G$4:$G$5003,"*Subscription*",Xero_Raw!$A$4:$A$5003,"&gt;="&amp;DATE(2026,12,1),Xero_Raw!$A$4:$A$5003,"&lt;"&amp;EDATE(DATE(2026,12,1),1))+COUNTIFS(Customer_Invoices_Upload!$E$4:$E$5003,$A45,Customer_Invoices_Upload!$G$4:$G$5003,"*Subscription*",Customer_Invoices_Upload!$B$4:$B$5003,"&gt;="&amp;DATE(2026,12,1),Customer_Invoices_Upload!$B$4:$B$5003,"&lt;"&amp;EDATE(DATE(2026,12,1),1))+COUNTIFS(Stripe_Invoices_Upload!$D$4:$D$5003,$A45,Stripe_Invoices_Upload!$E$4:$E$5003,"*Subscription*",Stripe_Invoices_Upload!$A$4:$A$5003,"&gt;="&amp;DATE(2026,12,1),Stripe_Invoices_Upload!$A$4:$A$5003,"&lt;"&amp;EDATE(DATE(2026,12,1),1)))&gt;0,"✓ Invoiced","⚠ Due"),""),""))</f>
        <v/>
      </c>
      <c r="P45" s="130" t="str">
        <f aca="false">IF($A45="","",IF((DATE(YEAR($E45),MONTH($E45),1)&lt;=DATE(2027,1,1)),IF((MOD(DATEDIF(DATE(YEAR($E45),MONTH($E45),1),DATE(2027,1,1),"m"),IF($D45="Quarterly",3,IF($D45="Annual",12,1)))=0),IF((COUNTIFS(Xero_Raw!$D$4:$D$5003,$A45,Xero_Raw!$G$4:$G$5003,"*Subscription*",Xero_Raw!$A$4:$A$5003,"&gt;="&amp;DATE(2027,1,1),Xero_Raw!$A$4:$A$5003,"&lt;"&amp;EDATE(DATE(2027,1,1),1))+COUNTIFS(Customer_Invoices_Upload!$E$4:$E$5003,$A45,Customer_Invoices_Upload!$G$4:$G$5003,"*Subscription*",Customer_Invoices_Upload!$B$4:$B$5003,"&gt;="&amp;DATE(2027,1,1),Customer_Invoices_Upload!$B$4:$B$5003,"&lt;"&amp;EDATE(DATE(2027,1,1),1))+COUNTIFS(Stripe_Invoices_Upload!$D$4:$D$5003,$A45,Stripe_Invoices_Upload!$E$4:$E$5003,"*Subscription*",Stripe_Invoices_Upload!$A$4:$A$5003,"&gt;="&amp;DATE(2027,1,1),Stripe_Invoices_Upload!$A$4:$A$5003,"&lt;"&amp;EDATE(DATE(2027,1,1),1)))&gt;0,"✓ Invoiced","⚠ Due"),""),""))</f>
        <v/>
      </c>
      <c r="Q45" s="130" t="str">
        <f aca="false">IF($A45="","",IF((DATE(YEAR($E45),MONTH($E45),1)&lt;=DATE(2027,2,1)),IF((MOD(DATEDIF(DATE(YEAR($E45),MONTH($E45),1),DATE(2027,2,1),"m"),IF($D45="Quarterly",3,IF($D45="Annual",12,1)))=0),IF((COUNTIFS(Xero_Raw!$D$4:$D$5003,$A45,Xero_Raw!$G$4:$G$5003,"*Subscription*",Xero_Raw!$A$4:$A$5003,"&gt;="&amp;DATE(2027,2,1),Xero_Raw!$A$4:$A$5003,"&lt;"&amp;EDATE(DATE(2027,2,1),1))+COUNTIFS(Customer_Invoices_Upload!$E$4:$E$5003,$A45,Customer_Invoices_Upload!$G$4:$G$5003,"*Subscription*",Customer_Invoices_Upload!$B$4:$B$5003,"&gt;="&amp;DATE(2027,2,1),Customer_Invoices_Upload!$B$4:$B$5003,"&lt;"&amp;EDATE(DATE(2027,2,1),1))+COUNTIFS(Stripe_Invoices_Upload!$D$4:$D$5003,$A45,Stripe_Invoices_Upload!$E$4:$E$5003,"*Subscription*",Stripe_Invoices_Upload!$A$4:$A$5003,"&gt;="&amp;DATE(2027,2,1),Stripe_Invoices_Upload!$A$4:$A$5003,"&lt;"&amp;EDATE(DATE(2027,2,1),1)))&gt;0,"✓ Invoiced","⚠ Due"),""),""))</f>
        <v/>
      </c>
      <c r="R45" s="130" t="str">
        <f aca="false">IF($A45="","",IF((DATE(YEAR($E45),MONTH($E45),1)&lt;=DATE(2027,3,1)),IF((MOD(DATEDIF(DATE(YEAR($E45),MONTH($E45),1),DATE(2027,3,1),"m"),IF($D45="Quarterly",3,IF($D45="Annual",12,1)))=0),IF((COUNTIFS(Xero_Raw!$D$4:$D$5003,$A45,Xero_Raw!$G$4:$G$5003,"*Subscription*",Xero_Raw!$A$4:$A$5003,"&gt;="&amp;DATE(2027,3,1),Xero_Raw!$A$4:$A$5003,"&lt;"&amp;EDATE(DATE(2027,3,1),1))+COUNTIFS(Customer_Invoices_Upload!$E$4:$E$5003,$A45,Customer_Invoices_Upload!$G$4:$G$5003,"*Subscription*",Customer_Invoices_Upload!$B$4:$B$5003,"&gt;="&amp;DATE(2027,3,1),Customer_Invoices_Upload!$B$4:$B$5003,"&lt;"&amp;EDATE(DATE(2027,3,1),1))+COUNTIFS(Stripe_Invoices_Upload!$D$4:$D$5003,$A45,Stripe_Invoices_Upload!$E$4:$E$5003,"*Subscription*",Stripe_Invoices_Upload!$A$4:$A$5003,"&gt;="&amp;DATE(2027,3,1),Stripe_Invoices_Upload!$A$4:$A$5003,"&lt;"&amp;EDATE(DATE(2027,3,1),1)))&gt;0,"✓ Invoiced","⚠ Due"),""),""))</f>
        <v/>
      </c>
    </row>
    <row r="46" customFormat="false" ht="15" hidden="false" customHeight="false" outlineLevel="0" collapsed="false">
      <c r="A46" s="39"/>
      <c r="B46" s="39"/>
      <c r="C46" s="40"/>
      <c r="D46" s="39"/>
      <c r="E46" s="38"/>
      <c r="F46" s="129" t="str">
        <f aca="true">IF($A46="","",EDATE($E46,DATEDIF($E46,TODAY(),"m")+1))</f>
        <v/>
      </c>
      <c r="G46" s="130" t="str">
        <f aca="false">IF($A46="","",IF((DATE(YEAR($E46),MONTH($E46),1)&lt;=DATE(2026,4,1)),IF((MOD(DATEDIF(DATE(YEAR($E46),MONTH($E46),1),DATE(2026,4,1),"m"),IF($D46="Quarterly",3,IF($D46="Annual",12,1)))=0),IF((COUNTIFS(Xero_Raw!$D$4:$D$5003,$A46,Xero_Raw!$G$4:$G$5003,"*Subscription*",Xero_Raw!$A$4:$A$5003,"&gt;="&amp;DATE(2026,4,1),Xero_Raw!$A$4:$A$5003,"&lt;"&amp;EDATE(DATE(2026,4,1),1))+COUNTIFS(Customer_Invoices_Upload!$E$4:$E$5003,$A46,Customer_Invoices_Upload!$G$4:$G$5003,"*Subscription*",Customer_Invoices_Upload!$B$4:$B$5003,"&gt;="&amp;DATE(2026,4,1),Customer_Invoices_Upload!$B$4:$B$5003,"&lt;"&amp;EDATE(DATE(2026,4,1),1))+COUNTIFS(Stripe_Invoices_Upload!$D$4:$D$5003,$A46,Stripe_Invoices_Upload!$E$4:$E$5003,"*Subscription*",Stripe_Invoices_Upload!$A$4:$A$5003,"&gt;="&amp;DATE(2026,4,1),Stripe_Invoices_Upload!$A$4:$A$5003,"&lt;"&amp;EDATE(DATE(2026,4,1),1)))&gt;0,"✓ Invoiced","⚠ Due"),""),""))</f>
        <v/>
      </c>
      <c r="H46" s="130" t="str">
        <f aca="false">IF($A46="","",IF((DATE(YEAR($E46),MONTH($E46),1)&lt;=DATE(2026,5,1)),IF((MOD(DATEDIF(DATE(YEAR($E46),MONTH($E46),1),DATE(2026,5,1),"m"),IF($D46="Quarterly",3,IF($D46="Annual",12,1)))=0),IF((COUNTIFS(Xero_Raw!$D$4:$D$5003,$A46,Xero_Raw!$G$4:$G$5003,"*Subscription*",Xero_Raw!$A$4:$A$5003,"&gt;="&amp;DATE(2026,5,1),Xero_Raw!$A$4:$A$5003,"&lt;"&amp;EDATE(DATE(2026,5,1),1))+COUNTIFS(Customer_Invoices_Upload!$E$4:$E$5003,$A46,Customer_Invoices_Upload!$G$4:$G$5003,"*Subscription*",Customer_Invoices_Upload!$B$4:$B$5003,"&gt;="&amp;DATE(2026,5,1),Customer_Invoices_Upload!$B$4:$B$5003,"&lt;"&amp;EDATE(DATE(2026,5,1),1))+COUNTIFS(Stripe_Invoices_Upload!$D$4:$D$5003,$A46,Stripe_Invoices_Upload!$E$4:$E$5003,"*Subscription*",Stripe_Invoices_Upload!$A$4:$A$5003,"&gt;="&amp;DATE(2026,5,1),Stripe_Invoices_Upload!$A$4:$A$5003,"&lt;"&amp;EDATE(DATE(2026,5,1),1)))&gt;0,"✓ Invoiced","⚠ Due"),""),""))</f>
        <v/>
      </c>
      <c r="I46" s="130" t="str">
        <f aca="false">IF($A46="","",IF((DATE(YEAR($E46),MONTH($E46),1)&lt;=DATE(2026,6,1)),IF((MOD(DATEDIF(DATE(YEAR($E46),MONTH($E46),1),DATE(2026,6,1),"m"),IF($D46="Quarterly",3,IF($D46="Annual",12,1)))=0),IF((COUNTIFS(Xero_Raw!$D$4:$D$5003,$A46,Xero_Raw!$G$4:$G$5003,"*Subscription*",Xero_Raw!$A$4:$A$5003,"&gt;="&amp;DATE(2026,6,1),Xero_Raw!$A$4:$A$5003,"&lt;"&amp;EDATE(DATE(2026,6,1),1))+COUNTIFS(Customer_Invoices_Upload!$E$4:$E$5003,$A46,Customer_Invoices_Upload!$G$4:$G$5003,"*Subscription*",Customer_Invoices_Upload!$B$4:$B$5003,"&gt;="&amp;DATE(2026,6,1),Customer_Invoices_Upload!$B$4:$B$5003,"&lt;"&amp;EDATE(DATE(2026,6,1),1))+COUNTIFS(Stripe_Invoices_Upload!$D$4:$D$5003,$A46,Stripe_Invoices_Upload!$E$4:$E$5003,"*Subscription*",Stripe_Invoices_Upload!$A$4:$A$5003,"&gt;="&amp;DATE(2026,6,1),Stripe_Invoices_Upload!$A$4:$A$5003,"&lt;"&amp;EDATE(DATE(2026,6,1),1)))&gt;0,"✓ Invoiced","⚠ Due"),""),""))</f>
        <v/>
      </c>
      <c r="J46" s="130" t="str">
        <f aca="false">IF($A46="","",IF((DATE(YEAR($E46),MONTH($E46),1)&lt;=DATE(2026,7,1)),IF((MOD(DATEDIF(DATE(YEAR($E46),MONTH($E46),1),DATE(2026,7,1),"m"),IF($D46="Quarterly",3,IF($D46="Annual",12,1)))=0),IF((COUNTIFS(Xero_Raw!$D$4:$D$5003,$A46,Xero_Raw!$G$4:$G$5003,"*Subscription*",Xero_Raw!$A$4:$A$5003,"&gt;="&amp;DATE(2026,7,1),Xero_Raw!$A$4:$A$5003,"&lt;"&amp;EDATE(DATE(2026,7,1),1))+COUNTIFS(Customer_Invoices_Upload!$E$4:$E$5003,$A46,Customer_Invoices_Upload!$G$4:$G$5003,"*Subscription*",Customer_Invoices_Upload!$B$4:$B$5003,"&gt;="&amp;DATE(2026,7,1),Customer_Invoices_Upload!$B$4:$B$5003,"&lt;"&amp;EDATE(DATE(2026,7,1),1))+COUNTIFS(Stripe_Invoices_Upload!$D$4:$D$5003,$A46,Stripe_Invoices_Upload!$E$4:$E$5003,"*Subscription*",Stripe_Invoices_Upload!$A$4:$A$5003,"&gt;="&amp;DATE(2026,7,1),Stripe_Invoices_Upload!$A$4:$A$5003,"&lt;"&amp;EDATE(DATE(2026,7,1),1)))&gt;0,"✓ Invoiced","⚠ Due"),""),""))</f>
        <v/>
      </c>
      <c r="K46" s="130" t="str">
        <f aca="false">IF($A46="","",IF((DATE(YEAR($E46),MONTH($E46),1)&lt;=DATE(2026,8,1)),IF((MOD(DATEDIF(DATE(YEAR($E46),MONTH($E46),1),DATE(2026,8,1),"m"),IF($D46="Quarterly",3,IF($D46="Annual",12,1)))=0),IF((COUNTIFS(Xero_Raw!$D$4:$D$5003,$A46,Xero_Raw!$G$4:$G$5003,"*Subscription*",Xero_Raw!$A$4:$A$5003,"&gt;="&amp;DATE(2026,8,1),Xero_Raw!$A$4:$A$5003,"&lt;"&amp;EDATE(DATE(2026,8,1),1))+COUNTIFS(Customer_Invoices_Upload!$E$4:$E$5003,$A46,Customer_Invoices_Upload!$G$4:$G$5003,"*Subscription*",Customer_Invoices_Upload!$B$4:$B$5003,"&gt;="&amp;DATE(2026,8,1),Customer_Invoices_Upload!$B$4:$B$5003,"&lt;"&amp;EDATE(DATE(2026,8,1),1))+COUNTIFS(Stripe_Invoices_Upload!$D$4:$D$5003,$A46,Stripe_Invoices_Upload!$E$4:$E$5003,"*Subscription*",Stripe_Invoices_Upload!$A$4:$A$5003,"&gt;="&amp;DATE(2026,8,1),Stripe_Invoices_Upload!$A$4:$A$5003,"&lt;"&amp;EDATE(DATE(2026,8,1),1)))&gt;0,"✓ Invoiced","⚠ Due"),""),""))</f>
        <v/>
      </c>
      <c r="L46" s="130" t="str">
        <f aca="false">IF($A46="","",IF((DATE(YEAR($E46),MONTH($E46),1)&lt;=DATE(2026,9,1)),IF((MOD(DATEDIF(DATE(YEAR($E46),MONTH($E46),1),DATE(2026,9,1),"m"),IF($D46="Quarterly",3,IF($D46="Annual",12,1)))=0),IF((COUNTIFS(Xero_Raw!$D$4:$D$5003,$A46,Xero_Raw!$G$4:$G$5003,"*Subscription*",Xero_Raw!$A$4:$A$5003,"&gt;="&amp;DATE(2026,9,1),Xero_Raw!$A$4:$A$5003,"&lt;"&amp;EDATE(DATE(2026,9,1),1))+COUNTIFS(Customer_Invoices_Upload!$E$4:$E$5003,$A46,Customer_Invoices_Upload!$G$4:$G$5003,"*Subscription*",Customer_Invoices_Upload!$B$4:$B$5003,"&gt;="&amp;DATE(2026,9,1),Customer_Invoices_Upload!$B$4:$B$5003,"&lt;"&amp;EDATE(DATE(2026,9,1),1))+COUNTIFS(Stripe_Invoices_Upload!$D$4:$D$5003,$A46,Stripe_Invoices_Upload!$E$4:$E$5003,"*Subscription*",Stripe_Invoices_Upload!$A$4:$A$5003,"&gt;="&amp;DATE(2026,9,1),Stripe_Invoices_Upload!$A$4:$A$5003,"&lt;"&amp;EDATE(DATE(2026,9,1),1)))&gt;0,"✓ Invoiced","⚠ Due"),""),""))</f>
        <v/>
      </c>
      <c r="M46" s="130" t="str">
        <f aca="false">IF($A46="","",IF((DATE(YEAR($E46),MONTH($E46),1)&lt;=DATE(2026,10,1)),IF((MOD(DATEDIF(DATE(YEAR($E46),MONTH($E46),1),DATE(2026,10,1),"m"),IF($D46="Quarterly",3,IF($D46="Annual",12,1)))=0),IF((COUNTIFS(Xero_Raw!$D$4:$D$5003,$A46,Xero_Raw!$G$4:$G$5003,"*Subscription*",Xero_Raw!$A$4:$A$5003,"&gt;="&amp;DATE(2026,10,1),Xero_Raw!$A$4:$A$5003,"&lt;"&amp;EDATE(DATE(2026,10,1),1))+COUNTIFS(Customer_Invoices_Upload!$E$4:$E$5003,$A46,Customer_Invoices_Upload!$G$4:$G$5003,"*Subscription*",Customer_Invoices_Upload!$B$4:$B$5003,"&gt;="&amp;DATE(2026,10,1),Customer_Invoices_Upload!$B$4:$B$5003,"&lt;"&amp;EDATE(DATE(2026,10,1),1))+COUNTIFS(Stripe_Invoices_Upload!$D$4:$D$5003,$A46,Stripe_Invoices_Upload!$E$4:$E$5003,"*Subscription*",Stripe_Invoices_Upload!$A$4:$A$5003,"&gt;="&amp;DATE(2026,10,1),Stripe_Invoices_Upload!$A$4:$A$5003,"&lt;"&amp;EDATE(DATE(2026,10,1),1)))&gt;0,"✓ Invoiced","⚠ Due"),""),""))</f>
        <v/>
      </c>
      <c r="N46" s="130" t="str">
        <f aca="false">IF($A46="","",IF((DATE(YEAR($E46),MONTH($E46),1)&lt;=DATE(2026,11,1)),IF((MOD(DATEDIF(DATE(YEAR($E46),MONTH($E46),1),DATE(2026,11,1),"m"),IF($D46="Quarterly",3,IF($D46="Annual",12,1)))=0),IF((COUNTIFS(Xero_Raw!$D$4:$D$5003,$A46,Xero_Raw!$G$4:$G$5003,"*Subscription*",Xero_Raw!$A$4:$A$5003,"&gt;="&amp;DATE(2026,11,1),Xero_Raw!$A$4:$A$5003,"&lt;"&amp;EDATE(DATE(2026,11,1),1))+COUNTIFS(Customer_Invoices_Upload!$E$4:$E$5003,$A46,Customer_Invoices_Upload!$G$4:$G$5003,"*Subscription*",Customer_Invoices_Upload!$B$4:$B$5003,"&gt;="&amp;DATE(2026,11,1),Customer_Invoices_Upload!$B$4:$B$5003,"&lt;"&amp;EDATE(DATE(2026,11,1),1))+COUNTIFS(Stripe_Invoices_Upload!$D$4:$D$5003,$A46,Stripe_Invoices_Upload!$E$4:$E$5003,"*Subscription*",Stripe_Invoices_Upload!$A$4:$A$5003,"&gt;="&amp;DATE(2026,11,1),Stripe_Invoices_Upload!$A$4:$A$5003,"&lt;"&amp;EDATE(DATE(2026,11,1),1)))&gt;0,"✓ Invoiced","⚠ Due"),""),""))</f>
        <v/>
      </c>
      <c r="O46" s="130" t="str">
        <f aca="false">IF($A46="","",IF((DATE(YEAR($E46),MONTH($E46),1)&lt;=DATE(2026,12,1)),IF((MOD(DATEDIF(DATE(YEAR($E46),MONTH($E46),1),DATE(2026,12,1),"m"),IF($D46="Quarterly",3,IF($D46="Annual",12,1)))=0),IF((COUNTIFS(Xero_Raw!$D$4:$D$5003,$A46,Xero_Raw!$G$4:$G$5003,"*Subscription*",Xero_Raw!$A$4:$A$5003,"&gt;="&amp;DATE(2026,12,1),Xero_Raw!$A$4:$A$5003,"&lt;"&amp;EDATE(DATE(2026,12,1),1))+COUNTIFS(Customer_Invoices_Upload!$E$4:$E$5003,$A46,Customer_Invoices_Upload!$G$4:$G$5003,"*Subscription*",Customer_Invoices_Upload!$B$4:$B$5003,"&gt;="&amp;DATE(2026,12,1),Customer_Invoices_Upload!$B$4:$B$5003,"&lt;"&amp;EDATE(DATE(2026,12,1),1))+COUNTIFS(Stripe_Invoices_Upload!$D$4:$D$5003,$A46,Stripe_Invoices_Upload!$E$4:$E$5003,"*Subscription*",Stripe_Invoices_Upload!$A$4:$A$5003,"&gt;="&amp;DATE(2026,12,1),Stripe_Invoices_Upload!$A$4:$A$5003,"&lt;"&amp;EDATE(DATE(2026,12,1),1)))&gt;0,"✓ Invoiced","⚠ Due"),""),""))</f>
        <v/>
      </c>
      <c r="P46" s="130" t="str">
        <f aca="false">IF($A46="","",IF((DATE(YEAR($E46),MONTH($E46),1)&lt;=DATE(2027,1,1)),IF((MOD(DATEDIF(DATE(YEAR($E46),MONTH($E46),1),DATE(2027,1,1),"m"),IF($D46="Quarterly",3,IF($D46="Annual",12,1)))=0),IF((COUNTIFS(Xero_Raw!$D$4:$D$5003,$A46,Xero_Raw!$G$4:$G$5003,"*Subscription*",Xero_Raw!$A$4:$A$5003,"&gt;="&amp;DATE(2027,1,1),Xero_Raw!$A$4:$A$5003,"&lt;"&amp;EDATE(DATE(2027,1,1),1))+COUNTIFS(Customer_Invoices_Upload!$E$4:$E$5003,$A46,Customer_Invoices_Upload!$G$4:$G$5003,"*Subscription*",Customer_Invoices_Upload!$B$4:$B$5003,"&gt;="&amp;DATE(2027,1,1),Customer_Invoices_Upload!$B$4:$B$5003,"&lt;"&amp;EDATE(DATE(2027,1,1),1))+COUNTIFS(Stripe_Invoices_Upload!$D$4:$D$5003,$A46,Stripe_Invoices_Upload!$E$4:$E$5003,"*Subscription*",Stripe_Invoices_Upload!$A$4:$A$5003,"&gt;="&amp;DATE(2027,1,1),Stripe_Invoices_Upload!$A$4:$A$5003,"&lt;"&amp;EDATE(DATE(2027,1,1),1)))&gt;0,"✓ Invoiced","⚠ Due"),""),""))</f>
        <v/>
      </c>
      <c r="Q46" s="130" t="str">
        <f aca="false">IF($A46="","",IF((DATE(YEAR($E46),MONTH($E46),1)&lt;=DATE(2027,2,1)),IF((MOD(DATEDIF(DATE(YEAR($E46),MONTH($E46),1),DATE(2027,2,1),"m"),IF($D46="Quarterly",3,IF($D46="Annual",12,1)))=0),IF((COUNTIFS(Xero_Raw!$D$4:$D$5003,$A46,Xero_Raw!$G$4:$G$5003,"*Subscription*",Xero_Raw!$A$4:$A$5003,"&gt;="&amp;DATE(2027,2,1),Xero_Raw!$A$4:$A$5003,"&lt;"&amp;EDATE(DATE(2027,2,1),1))+COUNTIFS(Customer_Invoices_Upload!$E$4:$E$5003,$A46,Customer_Invoices_Upload!$G$4:$G$5003,"*Subscription*",Customer_Invoices_Upload!$B$4:$B$5003,"&gt;="&amp;DATE(2027,2,1),Customer_Invoices_Upload!$B$4:$B$5003,"&lt;"&amp;EDATE(DATE(2027,2,1),1))+COUNTIFS(Stripe_Invoices_Upload!$D$4:$D$5003,$A46,Stripe_Invoices_Upload!$E$4:$E$5003,"*Subscription*",Stripe_Invoices_Upload!$A$4:$A$5003,"&gt;="&amp;DATE(2027,2,1),Stripe_Invoices_Upload!$A$4:$A$5003,"&lt;"&amp;EDATE(DATE(2027,2,1),1)))&gt;0,"✓ Invoiced","⚠ Due"),""),""))</f>
        <v/>
      </c>
      <c r="R46" s="130" t="str">
        <f aca="false">IF($A46="","",IF((DATE(YEAR($E46),MONTH($E46),1)&lt;=DATE(2027,3,1)),IF((MOD(DATEDIF(DATE(YEAR($E46),MONTH($E46),1),DATE(2027,3,1),"m"),IF($D46="Quarterly",3,IF($D46="Annual",12,1)))=0),IF((COUNTIFS(Xero_Raw!$D$4:$D$5003,$A46,Xero_Raw!$G$4:$G$5003,"*Subscription*",Xero_Raw!$A$4:$A$5003,"&gt;="&amp;DATE(2027,3,1),Xero_Raw!$A$4:$A$5003,"&lt;"&amp;EDATE(DATE(2027,3,1),1))+COUNTIFS(Customer_Invoices_Upload!$E$4:$E$5003,$A46,Customer_Invoices_Upload!$G$4:$G$5003,"*Subscription*",Customer_Invoices_Upload!$B$4:$B$5003,"&gt;="&amp;DATE(2027,3,1),Customer_Invoices_Upload!$B$4:$B$5003,"&lt;"&amp;EDATE(DATE(2027,3,1),1))+COUNTIFS(Stripe_Invoices_Upload!$D$4:$D$5003,$A46,Stripe_Invoices_Upload!$E$4:$E$5003,"*Subscription*",Stripe_Invoices_Upload!$A$4:$A$5003,"&gt;="&amp;DATE(2027,3,1),Stripe_Invoices_Upload!$A$4:$A$5003,"&lt;"&amp;EDATE(DATE(2027,3,1),1)))&gt;0,"✓ Invoiced","⚠ Due"),""),""))</f>
        <v/>
      </c>
    </row>
    <row r="47" customFormat="false" ht="15" hidden="false" customHeight="false" outlineLevel="0" collapsed="false">
      <c r="A47" s="39"/>
      <c r="B47" s="39"/>
      <c r="C47" s="40"/>
      <c r="D47" s="39"/>
      <c r="E47" s="38"/>
      <c r="F47" s="129" t="str">
        <f aca="true">IF($A47="","",EDATE($E47,DATEDIF($E47,TODAY(),"m")+1))</f>
        <v/>
      </c>
      <c r="G47" s="130" t="str">
        <f aca="false">IF($A47="","",IF((DATE(YEAR($E47),MONTH($E47),1)&lt;=DATE(2026,4,1)),IF((MOD(DATEDIF(DATE(YEAR($E47),MONTH($E47),1),DATE(2026,4,1),"m"),IF($D47="Quarterly",3,IF($D47="Annual",12,1)))=0),IF((COUNTIFS(Xero_Raw!$D$4:$D$5003,$A47,Xero_Raw!$G$4:$G$5003,"*Subscription*",Xero_Raw!$A$4:$A$5003,"&gt;="&amp;DATE(2026,4,1),Xero_Raw!$A$4:$A$5003,"&lt;"&amp;EDATE(DATE(2026,4,1),1))+COUNTIFS(Customer_Invoices_Upload!$E$4:$E$5003,$A47,Customer_Invoices_Upload!$G$4:$G$5003,"*Subscription*",Customer_Invoices_Upload!$B$4:$B$5003,"&gt;="&amp;DATE(2026,4,1),Customer_Invoices_Upload!$B$4:$B$5003,"&lt;"&amp;EDATE(DATE(2026,4,1),1))+COUNTIFS(Stripe_Invoices_Upload!$D$4:$D$5003,$A47,Stripe_Invoices_Upload!$E$4:$E$5003,"*Subscription*",Stripe_Invoices_Upload!$A$4:$A$5003,"&gt;="&amp;DATE(2026,4,1),Stripe_Invoices_Upload!$A$4:$A$5003,"&lt;"&amp;EDATE(DATE(2026,4,1),1)))&gt;0,"✓ Invoiced","⚠ Due"),""),""))</f>
        <v/>
      </c>
      <c r="H47" s="130" t="str">
        <f aca="false">IF($A47="","",IF((DATE(YEAR($E47),MONTH($E47),1)&lt;=DATE(2026,5,1)),IF((MOD(DATEDIF(DATE(YEAR($E47),MONTH($E47),1),DATE(2026,5,1),"m"),IF($D47="Quarterly",3,IF($D47="Annual",12,1)))=0),IF((COUNTIFS(Xero_Raw!$D$4:$D$5003,$A47,Xero_Raw!$G$4:$G$5003,"*Subscription*",Xero_Raw!$A$4:$A$5003,"&gt;="&amp;DATE(2026,5,1),Xero_Raw!$A$4:$A$5003,"&lt;"&amp;EDATE(DATE(2026,5,1),1))+COUNTIFS(Customer_Invoices_Upload!$E$4:$E$5003,$A47,Customer_Invoices_Upload!$G$4:$G$5003,"*Subscription*",Customer_Invoices_Upload!$B$4:$B$5003,"&gt;="&amp;DATE(2026,5,1),Customer_Invoices_Upload!$B$4:$B$5003,"&lt;"&amp;EDATE(DATE(2026,5,1),1))+COUNTIFS(Stripe_Invoices_Upload!$D$4:$D$5003,$A47,Stripe_Invoices_Upload!$E$4:$E$5003,"*Subscription*",Stripe_Invoices_Upload!$A$4:$A$5003,"&gt;="&amp;DATE(2026,5,1),Stripe_Invoices_Upload!$A$4:$A$5003,"&lt;"&amp;EDATE(DATE(2026,5,1),1)))&gt;0,"✓ Invoiced","⚠ Due"),""),""))</f>
        <v/>
      </c>
      <c r="I47" s="130" t="str">
        <f aca="false">IF($A47="","",IF((DATE(YEAR($E47),MONTH($E47),1)&lt;=DATE(2026,6,1)),IF((MOD(DATEDIF(DATE(YEAR($E47),MONTH($E47),1),DATE(2026,6,1),"m"),IF($D47="Quarterly",3,IF($D47="Annual",12,1)))=0),IF((COUNTIFS(Xero_Raw!$D$4:$D$5003,$A47,Xero_Raw!$G$4:$G$5003,"*Subscription*",Xero_Raw!$A$4:$A$5003,"&gt;="&amp;DATE(2026,6,1),Xero_Raw!$A$4:$A$5003,"&lt;"&amp;EDATE(DATE(2026,6,1),1))+COUNTIFS(Customer_Invoices_Upload!$E$4:$E$5003,$A47,Customer_Invoices_Upload!$G$4:$G$5003,"*Subscription*",Customer_Invoices_Upload!$B$4:$B$5003,"&gt;="&amp;DATE(2026,6,1),Customer_Invoices_Upload!$B$4:$B$5003,"&lt;"&amp;EDATE(DATE(2026,6,1),1))+COUNTIFS(Stripe_Invoices_Upload!$D$4:$D$5003,$A47,Stripe_Invoices_Upload!$E$4:$E$5003,"*Subscription*",Stripe_Invoices_Upload!$A$4:$A$5003,"&gt;="&amp;DATE(2026,6,1),Stripe_Invoices_Upload!$A$4:$A$5003,"&lt;"&amp;EDATE(DATE(2026,6,1),1)))&gt;0,"✓ Invoiced","⚠ Due"),""),""))</f>
        <v/>
      </c>
      <c r="J47" s="130" t="str">
        <f aca="false">IF($A47="","",IF((DATE(YEAR($E47),MONTH($E47),1)&lt;=DATE(2026,7,1)),IF((MOD(DATEDIF(DATE(YEAR($E47),MONTH($E47),1),DATE(2026,7,1),"m"),IF($D47="Quarterly",3,IF($D47="Annual",12,1)))=0),IF((COUNTIFS(Xero_Raw!$D$4:$D$5003,$A47,Xero_Raw!$G$4:$G$5003,"*Subscription*",Xero_Raw!$A$4:$A$5003,"&gt;="&amp;DATE(2026,7,1),Xero_Raw!$A$4:$A$5003,"&lt;"&amp;EDATE(DATE(2026,7,1),1))+COUNTIFS(Customer_Invoices_Upload!$E$4:$E$5003,$A47,Customer_Invoices_Upload!$G$4:$G$5003,"*Subscription*",Customer_Invoices_Upload!$B$4:$B$5003,"&gt;="&amp;DATE(2026,7,1),Customer_Invoices_Upload!$B$4:$B$5003,"&lt;"&amp;EDATE(DATE(2026,7,1),1))+COUNTIFS(Stripe_Invoices_Upload!$D$4:$D$5003,$A47,Stripe_Invoices_Upload!$E$4:$E$5003,"*Subscription*",Stripe_Invoices_Upload!$A$4:$A$5003,"&gt;="&amp;DATE(2026,7,1),Stripe_Invoices_Upload!$A$4:$A$5003,"&lt;"&amp;EDATE(DATE(2026,7,1),1)))&gt;0,"✓ Invoiced","⚠ Due"),""),""))</f>
        <v/>
      </c>
      <c r="K47" s="130" t="str">
        <f aca="false">IF($A47="","",IF((DATE(YEAR($E47),MONTH($E47),1)&lt;=DATE(2026,8,1)),IF((MOD(DATEDIF(DATE(YEAR($E47),MONTH($E47),1),DATE(2026,8,1),"m"),IF($D47="Quarterly",3,IF($D47="Annual",12,1)))=0),IF((COUNTIFS(Xero_Raw!$D$4:$D$5003,$A47,Xero_Raw!$G$4:$G$5003,"*Subscription*",Xero_Raw!$A$4:$A$5003,"&gt;="&amp;DATE(2026,8,1),Xero_Raw!$A$4:$A$5003,"&lt;"&amp;EDATE(DATE(2026,8,1),1))+COUNTIFS(Customer_Invoices_Upload!$E$4:$E$5003,$A47,Customer_Invoices_Upload!$G$4:$G$5003,"*Subscription*",Customer_Invoices_Upload!$B$4:$B$5003,"&gt;="&amp;DATE(2026,8,1),Customer_Invoices_Upload!$B$4:$B$5003,"&lt;"&amp;EDATE(DATE(2026,8,1),1))+COUNTIFS(Stripe_Invoices_Upload!$D$4:$D$5003,$A47,Stripe_Invoices_Upload!$E$4:$E$5003,"*Subscription*",Stripe_Invoices_Upload!$A$4:$A$5003,"&gt;="&amp;DATE(2026,8,1),Stripe_Invoices_Upload!$A$4:$A$5003,"&lt;"&amp;EDATE(DATE(2026,8,1),1)))&gt;0,"✓ Invoiced","⚠ Due"),""),""))</f>
        <v/>
      </c>
      <c r="L47" s="130" t="str">
        <f aca="false">IF($A47="","",IF((DATE(YEAR($E47),MONTH($E47),1)&lt;=DATE(2026,9,1)),IF((MOD(DATEDIF(DATE(YEAR($E47),MONTH($E47),1),DATE(2026,9,1),"m"),IF($D47="Quarterly",3,IF($D47="Annual",12,1)))=0),IF((COUNTIFS(Xero_Raw!$D$4:$D$5003,$A47,Xero_Raw!$G$4:$G$5003,"*Subscription*",Xero_Raw!$A$4:$A$5003,"&gt;="&amp;DATE(2026,9,1),Xero_Raw!$A$4:$A$5003,"&lt;"&amp;EDATE(DATE(2026,9,1),1))+COUNTIFS(Customer_Invoices_Upload!$E$4:$E$5003,$A47,Customer_Invoices_Upload!$G$4:$G$5003,"*Subscription*",Customer_Invoices_Upload!$B$4:$B$5003,"&gt;="&amp;DATE(2026,9,1),Customer_Invoices_Upload!$B$4:$B$5003,"&lt;"&amp;EDATE(DATE(2026,9,1),1))+COUNTIFS(Stripe_Invoices_Upload!$D$4:$D$5003,$A47,Stripe_Invoices_Upload!$E$4:$E$5003,"*Subscription*",Stripe_Invoices_Upload!$A$4:$A$5003,"&gt;="&amp;DATE(2026,9,1),Stripe_Invoices_Upload!$A$4:$A$5003,"&lt;"&amp;EDATE(DATE(2026,9,1),1)))&gt;0,"✓ Invoiced","⚠ Due"),""),""))</f>
        <v/>
      </c>
      <c r="M47" s="130" t="str">
        <f aca="false">IF($A47="","",IF((DATE(YEAR($E47),MONTH($E47),1)&lt;=DATE(2026,10,1)),IF((MOD(DATEDIF(DATE(YEAR($E47),MONTH($E47),1),DATE(2026,10,1),"m"),IF($D47="Quarterly",3,IF($D47="Annual",12,1)))=0),IF((COUNTIFS(Xero_Raw!$D$4:$D$5003,$A47,Xero_Raw!$G$4:$G$5003,"*Subscription*",Xero_Raw!$A$4:$A$5003,"&gt;="&amp;DATE(2026,10,1),Xero_Raw!$A$4:$A$5003,"&lt;"&amp;EDATE(DATE(2026,10,1),1))+COUNTIFS(Customer_Invoices_Upload!$E$4:$E$5003,$A47,Customer_Invoices_Upload!$G$4:$G$5003,"*Subscription*",Customer_Invoices_Upload!$B$4:$B$5003,"&gt;="&amp;DATE(2026,10,1),Customer_Invoices_Upload!$B$4:$B$5003,"&lt;"&amp;EDATE(DATE(2026,10,1),1))+COUNTIFS(Stripe_Invoices_Upload!$D$4:$D$5003,$A47,Stripe_Invoices_Upload!$E$4:$E$5003,"*Subscription*",Stripe_Invoices_Upload!$A$4:$A$5003,"&gt;="&amp;DATE(2026,10,1),Stripe_Invoices_Upload!$A$4:$A$5003,"&lt;"&amp;EDATE(DATE(2026,10,1),1)))&gt;0,"✓ Invoiced","⚠ Due"),""),""))</f>
        <v/>
      </c>
      <c r="N47" s="130" t="str">
        <f aca="false">IF($A47="","",IF((DATE(YEAR($E47),MONTH($E47),1)&lt;=DATE(2026,11,1)),IF((MOD(DATEDIF(DATE(YEAR($E47),MONTH($E47),1),DATE(2026,11,1),"m"),IF($D47="Quarterly",3,IF($D47="Annual",12,1)))=0),IF((COUNTIFS(Xero_Raw!$D$4:$D$5003,$A47,Xero_Raw!$G$4:$G$5003,"*Subscription*",Xero_Raw!$A$4:$A$5003,"&gt;="&amp;DATE(2026,11,1),Xero_Raw!$A$4:$A$5003,"&lt;"&amp;EDATE(DATE(2026,11,1),1))+COUNTIFS(Customer_Invoices_Upload!$E$4:$E$5003,$A47,Customer_Invoices_Upload!$G$4:$G$5003,"*Subscription*",Customer_Invoices_Upload!$B$4:$B$5003,"&gt;="&amp;DATE(2026,11,1),Customer_Invoices_Upload!$B$4:$B$5003,"&lt;"&amp;EDATE(DATE(2026,11,1),1))+COUNTIFS(Stripe_Invoices_Upload!$D$4:$D$5003,$A47,Stripe_Invoices_Upload!$E$4:$E$5003,"*Subscription*",Stripe_Invoices_Upload!$A$4:$A$5003,"&gt;="&amp;DATE(2026,11,1),Stripe_Invoices_Upload!$A$4:$A$5003,"&lt;"&amp;EDATE(DATE(2026,11,1),1)))&gt;0,"✓ Invoiced","⚠ Due"),""),""))</f>
        <v/>
      </c>
      <c r="O47" s="130" t="str">
        <f aca="false">IF($A47="","",IF((DATE(YEAR($E47),MONTH($E47),1)&lt;=DATE(2026,12,1)),IF((MOD(DATEDIF(DATE(YEAR($E47),MONTH($E47),1),DATE(2026,12,1),"m"),IF($D47="Quarterly",3,IF($D47="Annual",12,1)))=0),IF((COUNTIFS(Xero_Raw!$D$4:$D$5003,$A47,Xero_Raw!$G$4:$G$5003,"*Subscription*",Xero_Raw!$A$4:$A$5003,"&gt;="&amp;DATE(2026,12,1),Xero_Raw!$A$4:$A$5003,"&lt;"&amp;EDATE(DATE(2026,12,1),1))+COUNTIFS(Customer_Invoices_Upload!$E$4:$E$5003,$A47,Customer_Invoices_Upload!$G$4:$G$5003,"*Subscription*",Customer_Invoices_Upload!$B$4:$B$5003,"&gt;="&amp;DATE(2026,12,1),Customer_Invoices_Upload!$B$4:$B$5003,"&lt;"&amp;EDATE(DATE(2026,12,1),1))+COUNTIFS(Stripe_Invoices_Upload!$D$4:$D$5003,$A47,Stripe_Invoices_Upload!$E$4:$E$5003,"*Subscription*",Stripe_Invoices_Upload!$A$4:$A$5003,"&gt;="&amp;DATE(2026,12,1),Stripe_Invoices_Upload!$A$4:$A$5003,"&lt;"&amp;EDATE(DATE(2026,12,1),1)))&gt;0,"✓ Invoiced","⚠ Due"),""),""))</f>
        <v/>
      </c>
      <c r="P47" s="130" t="str">
        <f aca="false">IF($A47="","",IF((DATE(YEAR($E47),MONTH($E47),1)&lt;=DATE(2027,1,1)),IF((MOD(DATEDIF(DATE(YEAR($E47),MONTH($E47),1),DATE(2027,1,1),"m"),IF($D47="Quarterly",3,IF($D47="Annual",12,1)))=0),IF((COUNTIFS(Xero_Raw!$D$4:$D$5003,$A47,Xero_Raw!$G$4:$G$5003,"*Subscription*",Xero_Raw!$A$4:$A$5003,"&gt;="&amp;DATE(2027,1,1),Xero_Raw!$A$4:$A$5003,"&lt;"&amp;EDATE(DATE(2027,1,1),1))+COUNTIFS(Customer_Invoices_Upload!$E$4:$E$5003,$A47,Customer_Invoices_Upload!$G$4:$G$5003,"*Subscription*",Customer_Invoices_Upload!$B$4:$B$5003,"&gt;="&amp;DATE(2027,1,1),Customer_Invoices_Upload!$B$4:$B$5003,"&lt;"&amp;EDATE(DATE(2027,1,1),1))+COUNTIFS(Stripe_Invoices_Upload!$D$4:$D$5003,$A47,Stripe_Invoices_Upload!$E$4:$E$5003,"*Subscription*",Stripe_Invoices_Upload!$A$4:$A$5003,"&gt;="&amp;DATE(2027,1,1),Stripe_Invoices_Upload!$A$4:$A$5003,"&lt;"&amp;EDATE(DATE(2027,1,1),1)))&gt;0,"✓ Invoiced","⚠ Due"),""),""))</f>
        <v/>
      </c>
      <c r="Q47" s="130" t="str">
        <f aca="false">IF($A47="","",IF((DATE(YEAR($E47),MONTH($E47),1)&lt;=DATE(2027,2,1)),IF((MOD(DATEDIF(DATE(YEAR($E47),MONTH($E47),1),DATE(2027,2,1),"m"),IF($D47="Quarterly",3,IF($D47="Annual",12,1)))=0),IF((COUNTIFS(Xero_Raw!$D$4:$D$5003,$A47,Xero_Raw!$G$4:$G$5003,"*Subscription*",Xero_Raw!$A$4:$A$5003,"&gt;="&amp;DATE(2027,2,1),Xero_Raw!$A$4:$A$5003,"&lt;"&amp;EDATE(DATE(2027,2,1),1))+COUNTIFS(Customer_Invoices_Upload!$E$4:$E$5003,$A47,Customer_Invoices_Upload!$G$4:$G$5003,"*Subscription*",Customer_Invoices_Upload!$B$4:$B$5003,"&gt;="&amp;DATE(2027,2,1),Customer_Invoices_Upload!$B$4:$B$5003,"&lt;"&amp;EDATE(DATE(2027,2,1),1))+COUNTIFS(Stripe_Invoices_Upload!$D$4:$D$5003,$A47,Stripe_Invoices_Upload!$E$4:$E$5003,"*Subscription*",Stripe_Invoices_Upload!$A$4:$A$5003,"&gt;="&amp;DATE(2027,2,1),Stripe_Invoices_Upload!$A$4:$A$5003,"&lt;"&amp;EDATE(DATE(2027,2,1),1)))&gt;0,"✓ Invoiced","⚠ Due"),""),""))</f>
        <v/>
      </c>
      <c r="R47" s="130" t="str">
        <f aca="false">IF($A47="","",IF((DATE(YEAR($E47),MONTH($E47),1)&lt;=DATE(2027,3,1)),IF((MOD(DATEDIF(DATE(YEAR($E47),MONTH($E47),1),DATE(2027,3,1),"m"),IF($D47="Quarterly",3,IF($D47="Annual",12,1)))=0),IF((COUNTIFS(Xero_Raw!$D$4:$D$5003,$A47,Xero_Raw!$G$4:$G$5003,"*Subscription*",Xero_Raw!$A$4:$A$5003,"&gt;="&amp;DATE(2027,3,1),Xero_Raw!$A$4:$A$5003,"&lt;"&amp;EDATE(DATE(2027,3,1),1))+COUNTIFS(Customer_Invoices_Upload!$E$4:$E$5003,$A47,Customer_Invoices_Upload!$G$4:$G$5003,"*Subscription*",Customer_Invoices_Upload!$B$4:$B$5003,"&gt;="&amp;DATE(2027,3,1),Customer_Invoices_Upload!$B$4:$B$5003,"&lt;"&amp;EDATE(DATE(2027,3,1),1))+COUNTIFS(Stripe_Invoices_Upload!$D$4:$D$5003,$A47,Stripe_Invoices_Upload!$E$4:$E$5003,"*Subscription*",Stripe_Invoices_Upload!$A$4:$A$5003,"&gt;="&amp;DATE(2027,3,1),Stripe_Invoices_Upload!$A$4:$A$5003,"&lt;"&amp;EDATE(DATE(2027,3,1),1)))&gt;0,"✓ Invoiced","⚠ Due"),""),""))</f>
        <v/>
      </c>
    </row>
    <row r="48" customFormat="false" ht="15" hidden="false" customHeight="false" outlineLevel="0" collapsed="false">
      <c r="A48" s="39"/>
      <c r="B48" s="39"/>
      <c r="C48" s="40"/>
      <c r="D48" s="39"/>
      <c r="E48" s="38"/>
      <c r="F48" s="129" t="str">
        <f aca="true">IF($A48="","",EDATE($E48,DATEDIF($E48,TODAY(),"m")+1))</f>
        <v/>
      </c>
      <c r="G48" s="130" t="str">
        <f aca="false">IF($A48="","",IF((DATE(YEAR($E48),MONTH($E48),1)&lt;=DATE(2026,4,1)),IF((MOD(DATEDIF(DATE(YEAR($E48),MONTH($E48),1),DATE(2026,4,1),"m"),IF($D48="Quarterly",3,IF($D48="Annual",12,1)))=0),IF((COUNTIFS(Xero_Raw!$D$4:$D$5003,$A48,Xero_Raw!$G$4:$G$5003,"*Subscription*",Xero_Raw!$A$4:$A$5003,"&gt;="&amp;DATE(2026,4,1),Xero_Raw!$A$4:$A$5003,"&lt;"&amp;EDATE(DATE(2026,4,1),1))+COUNTIFS(Customer_Invoices_Upload!$E$4:$E$5003,$A48,Customer_Invoices_Upload!$G$4:$G$5003,"*Subscription*",Customer_Invoices_Upload!$B$4:$B$5003,"&gt;="&amp;DATE(2026,4,1),Customer_Invoices_Upload!$B$4:$B$5003,"&lt;"&amp;EDATE(DATE(2026,4,1),1))+COUNTIFS(Stripe_Invoices_Upload!$D$4:$D$5003,$A48,Stripe_Invoices_Upload!$E$4:$E$5003,"*Subscription*",Stripe_Invoices_Upload!$A$4:$A$5003,"&gt;="&amp;DATE(2026,4,1),Stripe_Invoices_Upload!$A$4:$A$5003,"&lt;"&amp;EDATE(DATE(2026,4,1),1)))&gt;0,"✓ Invoiced","⚠ Due"),""),""))</f>
        <v/>
      </c>
      <c r="H48" s="130" t="str">
        <f aca="false">IF($A48="","",IF((DATE(YEAR($E48),MONTH($E48),1)&lt;=DATE(2026,5,1)),IF((MOD(DATEDIF(DATE(YEAR($E48),MONTH($E48),1),DATE(2026,5,1),"m"),IF($D48="Quarterly",3,IF($D48="Annual",12,1)))=0),IF((COUNTIFS(Xero_Raw!$D$4:$D$5003,$A48,Xero_Raw!$G$4:$G$5003,"*Subscription*",Xero_Raw!$A$4:$A$5003,"&gt;="&amp;DATE(2026,5,1),Xero_Raw!$A$4:$A$5003,"&lt;"&amp;EDATE(DATE(2026,5,1),1))+COUNTIFS(Customer_Invoices_Upload!$E$4:$E$5003,$A48,Customer_Invoices_Upload!$G$4:$G$5003,"*Subscription*",Customer_Invoices_Upload!$B$4:$B$5003,"&gt;="&amp;DATE(2026,5,1),Customer_Invoices_Upload!$B$4:$B$5003,"&lt;"&amp;EDATE(DATE(2026,5,1),1))+COUNTIFS(Stripe_Invoices_Upload!$D$4:$D$5003,$A48,Stripe_Invoices_Upload!$E$4:$E$5003,"*Subscription*",Stripe_Invoices_Upload!$A$4:$A$5003,"&gt;="&amp;DATE(2026,5,1),Stripe_Invoices_Upload!$A$4:$A$5003,"&lt;"&amp;EDATE(DATE(2026,5,1),1)))&gt;0,"✓ Invoiced","⚠ Due"),""),""))</f>
        <v/>
      </c>
      <c r="I48" s="130" t="str">
        <f aca="false">IF($A48="","",IF((DATE(YEAR($E48),MONTH($E48),1)&lt;=DATE(2026,6,1)),IF((MOD(DATEDIF(DATE(YEAR($E48),MONTH($E48),1),DATE(2026,6,1),"m"),IF($D48="Quarterly",3,IF($D48="Annual",12,1)))=0),IF((COUNTIFS(Xero_Raw!$D$4:$D$5003,$A48,Xero_Raw!$G$4:$G$5003,"*Subscription*",Xero_Raw!$A$4:$A$5003,"&gt;="&amp;DATE(2026,6,1),Xero_Raw!$A$4:$A$5003,"&lt;"&amp;EDATE(DATE(2026,6,1),1))+COUNTIFS(Customer_Invoices_Upload!$E$4:$E$5003,$A48,Customer_Invoices_Upload!$G$4:$G$5003,"*Subscription*",Customer_Invoices_Upload!$B$4:$B$5003,"&gt;="&amp;DATE(2026,6,1),Customer_Invoices_Upload!$B$4:$B$5003,"&lt;"&amp;EDATE(DATE(2026,6,1),1))+COUNTIFS(Stripe_Invoices_Upload!$D$4:$D$5003,$A48,Stripe_Invoices_Upload!$E$4:$E$5003,"*Subscription*",Stripe_Invoices_Upload!$A$4:$A$5003,"&gt;="&amp;DATE(2026,6,1),Stripe_Invoices_Upload!$A$4:$A$5003,"&lt;"&amp;EDATE(DATE(2026,6,1),1)))&gt;0,"✓ Invoiced","⚠ Due"),""),""))</f>
        <v/>
      </c>
      <c r="J48" s="130" t="str">
        <f aca="false">IF($A48="","",IF((DATE(YEAR($E48),MONTH($E48),1)&lt;=DATE(2026,7,1)),IF((MOD(DATEDIF(DATE(YEAR($E48),MONTH($E48),1),DATE(2026,7,1),"m"),IF($D48="Quarterly",3,IF($D48="Annual",12,1)))=0),IF((COUNTIFS(Xero_Raw!$D$4:$D$5003,$A48,Xero_Raw!$G$4:$G$5003,"*Subscription*",Xero_Raw!$A$4:$A$5003,"&gt;="&amp;DATE(2026,7,1),Xero_Raw!$A$4:$A$5003,"&lt;"&amp;EDATE(DATE(2026,7,1),1))+COUNTIFS(Customer_Invoices_Upload!$E$4:$E$5003,$A48,Customer_Invoices_Upload!$G$4:$G$5003,"*Subscription*",Customer_Invoices_Upload!$B$4:$B$5003,"&gt;="&amp;DATE(2026,7,1),Customer_Invoices_Upload!$B$4:$B$5003,"&lt;"&amp;EDATE(DATE(2026,7,1),1))+COUNTIFS(Stripe_Invoices_Upload!$D$4:$D$5003,$A48,Stripe_Invoices_Upload!$E$4:$E$5003,"*Subscription*",Stripe_Invoices_Upload!$A$4:$A$5003,"&gt;="&amp;DATE(2026,7,1),Stripe_Invoices_Upload!$A$4:$A$5003,"&lt;"&amp;EDATE(DATE(2026,7,1),1)))&gt;0,"✓ Invoiced","⚠ Due"),""),""))</f>
        <v/>
      </c>
      <c r="K48" s="130" t="str">
        <f aca="false">IF($A48="","",IF((DATE(YEAR($E48),MONTH($E48),1)&lt;=DATE(2026,8,1)),IF((MOD(DATEDIF(DATE(YEAR($E48),MONTH($E48),1),DATE(2026,8,1),"m"),IF($D48="Quarterly",3,IF($D48="Annual",12,1)))=0),IF((COUNTIFS(Xero_Raw!$D$4:$D$5003,$A48,Xero_Raw!$G$4:$G$5003,"*Subscription*",Xero_Raw!$A$4:$A$5003,"&gt;="&amp;DATE(2026,8,1),Xero_Raw!$A$4:$A$5003,"&lt;"&amp;EDATE(DATE(2026,8,1),1))+COUNTIFS(Customer_Invoices_Upload!$E$4:$E$5003,$A48,Customer_Invoices_Upload!$G$4:$G$5003,"*Subscription*",Customer_Invoices_Upload!$B$4:$B$5003,"&gt;="&amp;DATE(2026,8,1),Customer_Invoices_Upload!$B$4:$B$5003,"&lt;"&amp;EDATE(DATE(2026,8,1),1))+COUNTIFS(Stripe_Invoices_Upload!$D$4:$D$5003,$A48,Stripe_Invoices_Upload!$E$4:$E$5003,"*Subscription*",Stripe_Invoices_Upload!$A$4:$A$5003,"&gt;="&amp;DATE(2026,8,1),Stripe_Invoices_Upload!$A$4:$A$5003,"&lt;"&amp;EDATE(DATE(2026,8,1),1)))&gt;0,"✓ Invoiced","⚠ Due"),""),""))</f>
        <v/>
      </c>
      <c r="L48" s="130" t="str">
        <f aca="false">IF($A48="","",IF((DATE(YEAR($E48),MONTH($E48),1)&lt;=DATE(2026,9,1)),IF((MOD(DATEDIF(DATE(YEAR($E48),MONTH($E48),1),DATE(2026,9,1),"m"),IF($D48="Quarterly",3,IF($D48="Annual",12,1)))=0),IF((COUNTIFS(Xero_Raw!$D$4:$D$5003,$A48,Xero_Raw!$G$4:$G$5003,"*Subscription*",Xero_Raw!$A$4:$A$5003,"&gt;="&amp;DATE(2026,9,1),Xero_Raw!$A$4:$A$5003,"&lt;"&amp;EDATE(DATE(2026,9,1),1))+COUNTIFS(Customer_Invoices_Upload!$E$4:$E$5003,$A48,Customer_Invoices_Upload!$G$4:$G$5003,"*Subscription*",Customer_Invoices_Upload!$B$4:$B$5003,"&gt;="&amp;DATE(2026,9,1),Customer_Invoices_Upload!$B$4:$B$5003,"&lt;"&amp;EDATE(DATE(2026,9,1),1))+COUNTIFS(Stripe_Invoices_Upload!$D$4:$D$5003,$A48,Stripe_Invoices_Upload!$E$4:$E$5003,"*Subscription*",Stripe_Invoices_Upload!$A$4:$A$5003,"&gt;="&amp;DATE(2026,9,1),Stripe_Invoices_Upload!$A$4:$A$5003,"&lt;"&amp;EDATE(DATE(2026,9,1),1)))&gt;0,"✓ Invoiced","⚠ Due"),""),""))</f>
        <v/>
      </c>
      <c r="M48" s="130" t="str">
        <f aca="false">IF($A48="","",IF((DATE(YEAR($E48),MONTH($E48),1)&lt;=DATE(2026,10,1)),IF((MOD(DATEDIF(DATE(YEAR($E48),MONTH($E48),1),DATE(2026,10,1),"m"),IF($D48="Quarterly",3,IF($D48="Annual",12,1)))=0),IF((COUNTIFS(Xero_Raw!$D$4:$D$5003,$A48,Xero_Raw!$G$4:$G$5003,"*Subscription*",Xero_Raw!$A$4:$A$5003,"&gt;="&amp;DATE(2026,10,1),Xero_Raw!$A$4:$A$5003,"&lt;"&amp;EDATE(DATE(2026,10,1),1))+COUNTIFS(Customer_Invoices_Upload!$E$4:$E$5003,$A48,Customer_Invoices_Upload!$G$4:$G$5003,"*Subscription*",Customer_Invoices_Upload!$B$4:$B$5003,"&gt;="&amp;DATE(2026,10,1),Customer_Invoices_Upload!$B$4:$B$5003,"&lt;"&amp;EDATE(DATE(2026,10,1),1))+COUNTIFS(Stripe_Invoices_Upload!$D$4:$D$5003,$A48,Stripe_Invoices_Upload!$E$4:$E$5003,"*Subscription*",Stripe_Invoices_Upload!$A$4:$A$5003,"&gt;="&amp;DATE(2026,10,1),Stripe_Invoices_Upload!$A$4:$A$5003,"&lt;"&amp;EDATE(DATE(2026,10,1),1)))&gt;0,"✓ Invoiced","⚠ Due"),""),""))</f>
        <v/>
      </c>
      <c r="N48" s="130" t="str">
        <f aca="false">IF($A48="","",IF((DATE(YEAR($E48),MONTH($E48),1)&lt;=DATE(2026,11,1)),IF((MOD(DATEDIF(DATE(YEAR($E48),MONTH($E48),1),DATE(2026,11,1),"m"),IF($D48="Quarterly",3,IF($D48="Annual",12,1)))=0),IF((COUNTIFS(Xero_Raw!$D$4:$D$5003,$A48,Xero_Raw!$G$4:$G$5003,"*Subscription*",Xero_Raw!$A$4:$A$5003,"&gt;="&amp;DATE(2026,11,1),Xero_Raw!$A$4:$A$5003,"&lt;"&amp;EDATE(DATE(2026,11,1),1))+COUNTIFS(Customer_Invoices_Upload!$E$4:$E$5003,$A48,Customer_Invoices_Upload!$G$4:$G$5003,"*Subscription*",Customer_Invoices_Upload!$B$4:$B$5003,"&gt;="&amp;DATE(2026,11,1),Customer_Invoices_Upload!$B$4:$B$5003,"&lt;"&amp;EDATE(DATE(2026,11,1),1))+COUNTIFS(Stripe_Invoices_Upload!$D$4:$D$5003,$A48,Stripe_Invoices_Upload!$E$4:$E$5003,"*Subscription*",Stripe_Invoices_Upload!$A$4:$A$5003,"&gt;="&amp;DATE(2026,11,1),Stripe_Invoices_Upload!$A$4:$A$5003,"&lt;"&amp;EDATE(DATE(2026,11,1),1)))&gt;0,"✓ Invoiced","⚠ Due"),""),""))</f>
        <v/>
      </c>
      <c r="O48" s="130" t="str">
        <f aca="false">IF($A48="","",IF((DATE(YEAR($E48),MONTH($E48),1)&lt;=DATE(2026,12,1)),IF((MOD(DATEDIF(DATE(YEAR($E48),MONTH($E48),1),DATE(2026,12,1),"m"),IF($D48="Quarterly",3,IF($D48="Annual",12,1)))=0),IF((COUNTIFS(Xero_Raw!$D$4:$D$5003,$A48,Xero_Raw!$G$4:$G$5003,"*Subscription*",Xero_Raw!$A$4:$A$5003,"&gt;="&amp;DATE(2026,12,1),Xero_Raw!$A$4:$A$5003,"&lt;"&amp;EDATE(DATE(2026,12,1),1))+COUNTIFS(Customer_Invoices_Upload!$E$4:$E$5003,$A48,Customer_Invoices_Upload!$G$4:$G$5003,"*Subscription*",Customer_Invoices_Upload!$B$4:$B$5003,"&gt;="&amp;DATE(2026,12,1),Customer_Invoices_Upload!$B$4:$B$5003,"&lt;"&amp;EDATE(DATE(2026,12,1),1))+COUNTIFS(Stripe_Invoices_Upload!$D$4:$D$5003,$A48,Stripe_Invoices_Upload!$E$4:$E$5003,"*Subscription*",Stripe_Invoices_Upload!$A$4:$A$5003,"&gt;="&amp;DATE(2026,12,1),Stripe_Invoices_Upload!$A$4:$A$5003,"&lt;"&amp;EDATE(DATE(2026,12,1),1)))&gt;0,"✓ Invoiced","⚠ Due"),""),""))</f>
        <v/>
      </c>
      <c r="P48" s="130" t="str">
        <f aca="false">IF($A48="","",IF((DATE(YEAR($E48),MONTH($E48),1)&lt;=DATE(2027,1,1)),IF((MOD(DATEDIF(DATE(YEAR($E48),MONTH($E48),1),DATE(2027,1,1),"m"),IF($D48="Quarterly",3,IF($D48="Annual",12,1)))=0),IF((COUNTIFS(Xero_Raw!$D$4:$D$5003,$A48,Xero_Raw!$G$4:$G$5003,"*Subscription*",Xero_Raw!$A$4:$A$5003,"&gt;="&amp;DATE(2027,1,1),Xero_Raw!$A$4:$A$5003,"&lt;"&amp;EDATE(DATE(2027,1,1),1))+COUNTIFS(Customer_Invoices_Upload!$E$4:$E$5003,$A48,Customer_Invoices_Upload!$G$4:$G$5003,"*Subscription*",Customer_Invoices_Upload!$B$4:$B$5003,"&gt;="&amp;DATE(2027,1,1),Customer_Invoices_Upload!$B$4:$B$5003,"&lt;"&amp;EDATE(DATE(2027,1,1),1))+COUNTIFS(Stripe_Invoices_Upload!$D$4:$D$5003,$A48,Stripe_Invoices_Upload!$E$4:$E$5003,"*Subscription*",Stripe_Invoices_Upload!$A$4:$A$5003,"&gt;="&amp;DATE(2027,1,1),Stripe_Invoices_Upload!$A$4:$A$5003,"&lt;"&amp;EDATE(DATE(2027,1,1),1)))&gt;0,"✓ Invoiced","⚠ Due"),""),""))</f>
        <v/>
      </c>
      <c r="Q48" s="130" t="str">
        <f aca="false">IF($A48="","",IF((DATE(YEAR($E48),MONTH($E48),1)&lt;=DATE(2027,2,1)),IF((MOD(DATEDIF(DATE(YEAR($E48),MONTH($E48),1),DATE(2027,2,1),"m"),IF($D48="Quarterly",3,IF($D48="Annual",12,1)))=0),IF((COUNTIFS(Xero_Raw!$D$4:$D$5003,$A48,Xero_Raw!$G$4:$G$5003,"*Subscription*",Xero_Raw!$A$4:$A$5003,"&gt;="&amp;DATE(2027,2,1),Xero_Raw!$A$4:$A$5003,"&lt;"&amp;EDATE(DATE(2027,2,1),1))+COUNTIFS(Customer_Invoices_Upload!$E$4:$E$5003,$A48,Customer_Invoices_Upload!$G$4:$G$5003,"*Subscription*",Customer_Invoices_Upload!$B$4:$B$5003,"&gt;="&amp;DATE(2027,2,1),Customer_Invoices_Upload!$B$4:$B$5003,"&lt;"&amp;EDATE(DATE(2027,2,1),1))+COUNTIFS(Stripe_Invoices_Upload!$D$4:$D$5003,$A48,Stripe_Invoices_Upload!$E$4:$E$5003,"*Subscription*",Stripe_Invoices_Upload!$A$4:$A$5003,"&gt;="&amp;DATE(2027,2,1),Stripe_Invoices_Upload!$A$4:$A$5003,"&lt;"&amp;EDATE(DATE(2027,2,1),1)))&gt;0,"✓ Invoiced","⚠ Due"),""),""))</f>
        <v/>
      </c>
      <c r="R48" s="130" t="str">
        <f aca="false">IF($A48="","",IF((DATE(YEAR($E48),MONTH($E48),1)&lt;=DATE(2027,3,1)),IF((MOD(DATEDIF(DATE(YEAR($E48),MONTH($E48),1),DATE(2027,3,1),"m"),IF($D48="Quarterly",3,IF($D48="Annual",12,1)))=0),IF((COUNTIFS(Xero_Raw!$D$4:$D$5003,$A48,Xero_Raw!$G$4:$G$5003,"*Subscription*",Xero_Raw!$A$4:$A$5003,"&gt;="&amp;DATE(2027,3,1),Xero_Raw!$A$4:$A$5003,"&lt;"&amp;EDATE(DATE(2027,3,1),1))+COUNTIFS(Customer_Invoices_Upload!$E$4:$E$5003,$A48,Customer_Invoices_Upload!$G$4:$G$5003,"*Subscription*",Customer_Invoices_Upload!$B$4:$B$5003,"&gt;="&amp;DATE(2027,3,1),Customer_Invoices_Upload!$B$4:$B$5003,"&lt;"&amp;EDATE(DATE(2027,3,1),1))+COUNTIFS(Stripe_Invoices_Upload!$D$4:$D$5003,$A48,Stripe_Invoices_Upload!$E$4:$E$5003,"*Subscription*",Stripe_Invoices_Upload!$A$4:$A$5003,"&gt;="&amp;DATE(2027,3,1),Stripe_Invoices_Upload!$A$4:$A$5003,"&lt;"&amp;EDATE(DATE(2027,3,1),1)))&gt;0,"✓ Invoiced","⚠ Due"),""),""))</f>
        <v/>
      </c>
    </row>
    <row r="49" customFormat="false" ht="15" hidden="false" customHeight="false" outlineLevel="0" collapsed="false">
      <c r="A49" s="39"/>
      <c r="B49" s="39"/>
      <c r="C49" s="40"/>
      <c r="D49" s="39"/>
      <c r="E49" s="38"/>
      <c r="F49" s="129" t="str">
        <f aca="true">IF($A49="","",EDATE($E49,DATEDIF($E49,TODAY(),"m")+1))</f>
        <v/>
      </c>
      <c r="G49" s="130" t="str">
        <f aca="false">IF($A49="","",IF((DATE(YEAR($E49),MONTH($E49),1)&lt;=DATE(2026,4,1)),IF((MOD(DATEDIF(DATE(YEAR($E49),MONTH($E49),1),DATE(2026,4,1),"m"),IF($D49="Quarterly",3,IF($D49="Annual",12,1)))=0),IF((COUNTIFS(Xero_Raw!$D$4:$D$5003,$A49,Xero_Raw!$G$4:$G$5003,"*Subscription*",Xero_Raw!$A$4:$A$5003,"&gt;="&amp;DATE(2026,4,1),Xero_Raw!$A$4:$A$5003,"&lt;"&amp;EDATE(DATE(2026,4,1),1))+COUNTIFS(Customer_Invoices_Upload!$E$4:$E$5003,$A49,Customer_Invoices_Upload!$G$4:$G$5003,"*Subscription*",Customer_Invoices_Upload!$B$4:$B$5003,"&gt;="&amp;DATE(2026,4,1),Customer_Invoices_Upload!$B$4:$B$5003,"&lt;"&amp;EDATE(DATE(2026,4,1),1))+COUNTIFS(Stripe_Invoices_Upload!$D$4:$D$5003,$A49,Stripe_Invoices_Upload!$E$4:$E$5003,"*Subscription*",Stripe_Invoices_Upload!$A$4:$A$5003,"&gt;="&amp;DATE(2026,4,1),Stripe_Invoices_Upload!$A$4:$A$5003,"&lt;"&amp;EDATE(DATE(2026,4,1),1)))&gt;0,"✓ Invoiced","⚠ Due"),""),""))</f>
        <v/>
      </c>
      <c r="H49" s="130" t="str">
        <f aca="false">IF($A49="","",IF((DATE(YEAR($E49),MONTH($E49),1)&lt;=DATE(2026,5,1)),IF((MOD(DATEDIF(DATE(YEAR($E49),MONTH($E49),1),DATE(2026,5,1),"m"),IF($D49="Quarterly",3,IF($D49="Annual",12,1)))=0),IF((COUNTIFS(Xero_Raw!$D$4:$D$5003,$A49,Xero_Raw!$G$4:$G$5003,"*Subscription*",Xero_Raw!$A$4:$A$5003,"&gt;="&amp;DATE(2026,5,1),Xero_Raw!$A$4:$A$5003,"&lt;"&amp;EDATE(DATE(2026,5,1),1))+COUNTIFS(Customer_Invoices_Upload!$E$4:$E$5003,$A49,Customer_Invoices_Upload!$G$4:$G$5003,"*Subscription*",Customer_Invoices_Upload!$B$4:$B$5003,"&gt;="&amp;DATE(2026,5,1),Customer_Invoices_Upload!$B$4:$B$5003,"&lt;"&amp;EDATE(DATE(2026,5,1),1))+COUNTIFS(Stripe_Invoices_Upload!$D$4:$D$5003,$A49,Stripe_Invoices_Upload!$E$4:$E$5003,"*Subscription*",Stripe_Invoices_Upload!$A$4:$A$5003,"&gt;="&amp;DATE(2026,5,1),Stripe_Invoices_Upload!$A$4:$A$5003,"&lt;"&amp;EDATE(DATE(2026,5,1),1)))&gt;0,"✓ Invoiced","⚠ Due"),""),""))</f>
        <v/>
      </c>
      <c r="I49" s="130" t="str">
        <f aca="false">IF($A49="","",IF((DATE(YEAR($E49),MONTH($E49),1)&lt;=DATE(2026,6,1)),IF((MOD(DATEDIF(DATE(YEAR($E49),MONTH($E49),1),DATE(2026,6,1),"m"),IF($D49="Quarterly",3,IF($D49="Annual",12,1)))=0),IF((COUNTIFS(Xero_Raw!$D$4:$D$5003,$A49,Xero_Raw!$G$4:$G$5003,"*Subscription*",Xero_Raw!$A$4:$A$5003,"&gt;="&amp;DATE(2026,6,1),Xero_Raw!$A$4:$A$5003,"&lt;"&amp;EDATE(DATE(2026,6,1),1))+COUNTIFS(Customer_Invoices_Upload!$E$4:$E$5003,$A49,Customer_Invoices_Upload!$G$4:$G$5003,"*Subscription*",Customer_Invoices_Upload!$B$4:$B$5003,"&gt;="&amp;DATE(2026,6,1),Customer_Invoices_Upload!$B$4:$B$5003,"&lt;"&amp;EDATE(DATE(2026,6,1),1))+COUNTIFS(Stripe_Invoices_Upload!$D$4:$D$5003,$A49,Stripe_Invoices_Upload!$E$4:$E$5003,"*Subscription*",Stripe_Invoices_Upload!$A$4:$A$5003,"&gt;="&amp;DATE(2026,6,1),Stripe_Invoices_Upload!$A$4:$A$5003,"&lt;"&amp;EDATE(DATE(2026,6,1),1)))&gt;0,"✓ Invoiced","⚠ Due"),""),""))</f>
        <v/>
      </c>
      <c r="J49" s="130" t="str">
        <f aca="false">IF($A49="","",IF((DATE(YEAR($E49),MONTH($E49),1)&lt;=DATE(2026,7,1)),IF((MOD(DATEDIF(DATE(YEAR($E49),MONTH($E49),1),DATE(2026,7,1),"m"),IF($D49="Quarterly",3,IF($D49="Annual",12,1)))=0),IF((COUNTIFS(Xero_Raw!$D$4:$D$5003,$A49,Xero_Raw!$G$4:$G$5003,"*Subscription*",Xero_Raw!$A$4:$A$5003,"&gt;="&amp;DATE(2026,7,1),Xero_Raw!$A$4:$A$5003,"&lt;"&amp;EDATE(DATE(2026,7,1),1))+COUNTIFS(Customer_Invoices_Upload!$E$4:$E$5003,$A49,Customer_Invoices_Upload!$G$4:$G$5003,"*Subscription*",Customer_Invoices_Upload!$B$4:$B$5003,"&gt;="&amp;DATE(2026,7,1),Customer_Invoices_Upload!$B$4:$B$5003,"&lt;"&amp;EDATE(DATE(2026,7,1),1))+COUNTIFS(Stripe_Invoices_Upload!$D$4:$D$5003,$A49,Stripe_Invoices_Upload!$E$4:$E$5003,"*Subscription*",Stripe_Invoices_Upload!$A$4:$A$5003,"&gt;="&amp;DATE(2026,7,1),Stripe_Invoices_Upload!$A$4:$A$5003,"&lt;"&amp;EDATE(DATE(2026,7,1),1)))&gt;0,"✓ Invoiced","⚠ Due"),""),""))</f>
        <v/>
      </c>
      <c r="K49" s="130" t="str">
        <f aca="false">IF($A49="","",IF((DATE(YEAR($E49),MONTH($E49),1)&lt;=DATE(2026,8,1)),IF((MOD(DATEDIF(DATE(YEAR($E49),MONTH($E49),1),DATE(2026,8,1),"m"),IF($D49="Quarterly",3,IF($D49="Annual",12,1)))=0),IF((COUNTIFS(Xero_Raw!$D$4:$D$5003,$A49,Xero_Raw!$G$4:$G$5003,"*Subscription*",Xero_Raw!$A$4:$A$5003,"&gt;="&amp;DATE(2026,8,1),Xero_Raw!$A$4:$A$5003,"&lt;"&amp;EDATE(DATE(2026,8,1),1))+COUNTIFS(Customer_Invoices_Upload!$E$4:$E$5003,$A49,Customer_Invoices_Upload!$G$4:$G$5003,"*Subscription*",Customer_Invoices_Upload!$B$4:$B$5003,"&gt;="&amp;DATE(2026,8,1),Customer_Invoices_Upload!$B$4:$B$5003,"&lt;"&amp;EDATE(DATE(2026,8,1),1))+COUNTIFS(Stripe_Invoices_Upload!$D$4:$D$5003,$A49,Stripe_Invoices_Upload!$E$4:$E$5003,"*Subscription*",Stripe_Invoices_Upload!$A$4:$A$5003,"&gt;="&amp;DATE(2026,8,1),Stripe_Invoices_Upload!$A$4:$A$5003,"&lt;"&amp;EDATE(DATE(2026,8,1),1)))&gt;0,"✓ Invoiced","⚠ Due"),""),""))</f>
        <v/>
      </c>
      <c r="L49" s="130" t="str">
        <f aca="false">IF($A49="","",IF((DATE(YEAR($E49),MONTH($E49),1)&lt;=DATE(2026,9,1)),IF((MOD(DATEDIF(DATE(YEAR($E49),MONTH($E49),1),DATE(2026,9,1),"m"),IF($D49="Quarterly",3,IF($D49="Annual",12,1)))=0),IF((COUNTIFS(Xero_Raw!$D$4:$D$5003,$A49,Xero_Raw!$G$4:$G$5003,"*Subscription*",Xero_Raw!$A$4:$A$5003,"&gt;="&amp;DATE(2026,9,1),Xero_Raw!$A$4:$A$5003,"&lt;"&amp;EDATE(DATE(2026,9,1),1))+COUNTIFS(Customer_Invoices_Upload!$E$4:$E$5003,$A49,Customer_Invoices_Upload!$G$4:$G$5003,"*Subscription*",Customer_Invoices_Upload!$B$4:$B$5003,"&gt;="&amp;DATE(2026,9,1),Customer_Invoices_Upload!$B$4:$B$5003,"&lt;"&amp;EDATE(DATE(2026,9,1),1))+COUNTIFS(Stripe_Invoices_Upload!$D$4:$D$5003,$A49,Stripe_Invoices_Upload!$E$4:$E$5003,"*Subscription*",Stripe_Invoices_Upload!$A$4:$A$5003,"&gt;="&amp;DATE(2026,9,1),Stripe_Invoices_Upload!$A$4:$A$5003,"&lt;"&amp;EDATE(DATE(2026,9,1),1)))&gt;0,"✓ Invoiced","⚠ Due"),""),""))</f>
        <v/>
      </c>
      <c r="M49" s="130" t="str">
        <f aca="false">IF($A49="","",IF((DATE(YEAR($E49),MONTH($E49),1)&lt;=DATE(2026,10,1)),IF((MOD(DATEDIF(DATE(YEAR($E49),MONTH($E49),1),DATE(2026,10,1),"m"),IF($D49="Quarterly",3,IF($D49="Annual",12,1)))=0),IF((COUNTIFS(Xero_Raw!$D$4:$D$5003,$A49,Xero_Raw!$G$4:$G$5003,"*Subscription*",Xero_Raw!$A$4:$A$5003,"&gt;="&amp;DATE(2026,10,1),Xero_Raw!$A$4:$A$5003,"&lt;"&amp;EDATE(DATE(2026,10,1),1))+COUNTIFS(Customer_Invoices_Upload!$E$4:$E$5003,$A49,Customer_Invoices_Upload!$G$4:$G$5003,"*Subscription*",Customer_Invoices_Upload!$B$4:$B$5003,"&gt;="&amp;DATE(2026,10,1),Customer_Invoices_Upload!$B$4:$B$5003,"&lt;"&amp;EDATE(DATE(2026,10,1),1))+COUNTIFS(Stripe_Invoices_Upload!$D$4:$D$5003,$A49,Stripe_Invoices_Upload!$E$4:$E$5003,"*Subscription*",Stripe_Invoices_Upload!$A$4:$A$5003,"&gt;="&amp;DATE(2026,10,1),Stripe_Invoices_Upload!$A$4:$A$5003,"&lt;"&amp;EDATE(DATE(2026,10,1),1)))&gt;0,"✓ Invoiced","⚠ Due"),""),""))</f>
        <v/>
      </c>
      <c r="N49" s="130" t="str">
        <f aca="false">IF($A49="","",IF((DATE(YEAR($E49),MONTH($E49),1)&lt;=DATE(2026,11,1)),IF((MOD(DATEDIF(DATE(YEAR($E49),MONTH($E49),1),DATE(2026,11,1),"m"),IF($D49="Quarterly",3,IF($D49="Annual",12,1)))=0),IF((COUNTIFS(Xero_Raw!$D$4:$D$5003,$A49,Xero_Raw!$G$4:$G$5003,"*Subscription*",Xero_Raw!$A$4:$A$5003,"&gt;="&amp;DATE(2026,11,1),Xero_Raw!$A$4:$A$5003,"&lt;"&amp;EDATE(DATE(2026,11,1),1))+COUNTIFS(Customer_Invoices_Upload!$E$4:$E$5003,$A49,Customer_Invoices_Upload!$G$4:$G$5003,"*Subscription*",Customer_Invoices_Upload!$B$4:$B$5003,"&gt;="&amp;DATE(2026,11,1),Customer_Invoices_Upload!$B$4:$B$5003,"&lt;"&amp;EDATE(DATE(2026,11,1),1))+COUNTIFS(Stripe_Invoices_Upload!$D$4:$D$5003,$A49,Stripe_Invoices_Upload!$E$4:$E$5003,"*Subscription*",Stripe_Invoices_Upload!$A$4:$A$5003,"&gt;="&amp;DATE(2026,11,1),Stripe_Invoices_Upload!$A$4:$A$5003,"&lt;"&amp;EDATE(DATE(2026,11,1),1)))&gt;0,"✓ Invoiced","⚠ Due"),""),""))</f>
        <v/>
      </c>
      <c r="O49" s="130" t="str">
        <f aca="false">IF($A49="","",IF((DATE(YEAR($E49),MONTH($E49),1)&lt;=DATE(2026,12,1)),IF((MOD(DATEDIF(DATE(YEAR($E49),MONTH($E49),1),DATE(2026,12,1),"m"),IF($D49="Quarterly",3,IF($D49="Annual",12,1)))=0),IF((COUNTIFS(Xero_Raw!$D$4:$D$5003,$A49,Xero_Raw!$G$4:$G$5003,"*Subscription*",Xero_Raw!$A$4:$A$5003,"&gt;="&amp;DATE(2026,12,1),Xero_Raw!$A$4:$A$5003,"&lt;"&amp;EDATE(DATE(2026,12,1),1))+COUNTIFS(Customer_Invoices_Upload!$E$4:$E$5003,$A49,Customer_Invoices_Upload!$G$4:$G$5003,"*Subscription*",Customer_Invoices_Upload!$B$4:$B$5003,"&gt;="&amp;DATE(2026,12,1),Customer_Invoices_Upload!$B$4:$B$5003,"&lt;"&amp;EDATE(DATE(2026,12,1),1))+COUNTIFS(Stripe_Invoices_Upload!$D$4:$D$5003,$A49,Stripe_Invoices_Upload!$E$4:$E$5003,"*Subscription*",Stripe_Invoices_Upload!$A$4:$A$5003,"&gt;="&amp;DATE(2026,12,1),Stripe_Invoices_Upload!$A$4:$A$5003,"&lt;"&amp;EDATE(DATE(2026,12,1),1)))&gt;0,"✓ Invoiced","⚠ Due"),""),""))</f>
        <v/>
      </c>
      <c r="P49" s="130" t="str">
        <f aca="false">IF($A49="","",IF((DATE(YEAR($E49),MONTH($E49),1)&lt;=DATE(2027,1,1)),IF((MOD(DATEDIF(DATE(YEAR($E49),MONTH($E49),1),DATE(2027,1,1),"m"),IF($D49="Quarterly",3,IF($D49="Annual",12,1)))=0),IF((COUNTIFS(Xero_Raw!$D$4:$D$5003,$A49,Xero_Raw!$G$4:$G$5003,"*Subscription*",Xero_Raw!$A$4:$A$5003,"&gt;="&amp;DATE(2027,1,1),Xero_Raw!$A$4:$A$5003,"&lt;"&amp;EDATE(DATE(2027,1,1),1))+COUNTIFS(Customer_Invoices_Upload!$E$4:$E$5003,$A49,Customer_Invoices_Upload!$G$4:$G$5003,"*Subscription*",Customer_Invoices_Upload!$B$4:$B$5003,"&gt;="&amp;DATE(2027,1,1),Customer_Invoices_Upload!$B$4:$B$5003,"&lt;"&amp;EDATE(DATE(2027,1,1),1))+COUNTIFS(Stripe_Invoices_Upload!$D$4:$D$5003,$A49,Stripe_Invoices_Upload!$E$4:$E$5003,"*Subscription*",Stripe_Invoices_Upload!$A$4:$A$5003,"&gt;="&amp;DATE(2027,1,1),Stripe_Invoices_Upload!$A$4:$A$5003,"&lt;"&amp;EDATE(DATE(2027,1,1),1)))&gt;0,"✓ Invoiced","⚠ Due"),""),""))</f>
        <v/>
      </c>
      <c r="Q49" s="130" t="str">
        <f aca="false">IF($A49="","",IF((DATE(YEAR($E49),MONTH($E49),1)&lt;=DATE(2027,2,1)),IF((MOD(DATEDIF(DATE(YEAR($E49),MONTH($E49),1),DATE(2027,2,1),"m"),IF($D49="Quarterly",3,IF($D49="Annual",12,1)))=0),IF((COUNTIFS(Xero_Raw!$D$4:$D$5003,$A49,Xero_Raw!$G$4:$G$5003,"*Subscription*",Xero_Raw!$A$4:$A$5003,"&gt;="&amp;DATE(2027,2,1),Xero_Raw!$A$4:$A$5003,"&lt;"&amp;EDATE(DATE(2027,2,1),1))+COUNTIFS(Customer_Invoices_Upload!$E$4:$E$5003,$A49,Customer_Invoices_Upload!$G$4:$G$5003,"*Subscription*",Customer_Invoices_Upload!$B$4:$B$5003,"&gt;="&amp;DATE(2027,2,1),Customer_Invoices_Upload!$B$4:$B$5003,"&lt;"&amp;EDATE(DATE(2027,2,1),1))+COUNTIFS(Stripe_Invoices_Upload!$D$4:$D$5003,$A49,Stripe_Invoices_Upload!$E$4:$E$5003,"*Subscription*",Stripe_Invoices_Upload!$A$4:$A$5003,"&gt;="&amp;DATE(2027,2,1),Stripe_Invoices_Upload!$A$4:$A$5003,"&lt;"&amp;EDATE(DATE(2027,2,1),1)))&gt;0,"✓ Invoiced","⚠ Due"),""),""))</f>
        <v/>
      </c>
      <c r="R49" s="130" t="str">
        <f aca="false">IF($A49="","",IF((DATE(YEAR($E49),MONTH($E49),1)&lt;=DATE(2027,3,1)),IF((MOD(DATEDIF(DATE(YEAR($E49),MONTH($E49),1),DATE(2027,3,1),"m"),IF($D49="Quarterly",3,IF($D49="Annual",12,1)))=0),IF((COUNTIFS(Xero_Raw!$D$4:$D$5003,$A49,Xero_Raw!$G$4:$G$5003,"*Subscription*",Xero_Raw!$A$4:$A$5003,"&gt;="&amp;DATE(2027,3,1),Xero_Raw!$A$4:$A$5003,"&lt;"&amp;EDATE(DATE(2027,3,1),1))+COUNTIFS(Customer_Invoices_Upload!$E$4:$E$5003,$A49,Customer_Invoices_Upload!$G$4:$G$5003,"*Subscription*",Customer_Invoices_Upload!$B$4:$B$5003,"&gt;="&amp;DATE(2027,3,1),Customer_Invoices_Upload!$B$4:$B$5003,"&lt;"&amp;EDATE(DATE(2027,3,1),1))+COUNTIFS(Stripe_Invoices_Upload!$D$4:$D$5003,$A49,Stripe_Invoices_Upload!$E$4:$E$5003,"*Subscription*",Stripe_Invoices_Upload!$A$4:$A$5003,"&gt;="&amp;DATE(2027,3,1),Stripe_Invoices_Upload!$A$4:$A$5003,"&lt;"&amp;EDATE(DATE(2027,3,1),1)))&gt;0,"✓ Invoiced","⚠ Due"),""),""))</f>
        <v/>
      </c>
    </row>
    <row r="50" customFormat="false" ht="15" hidden="false" customHeight="false" outlineLevel="0" collapsed="false">
      <c r="A50" s="39"/>
      <c r="B50" s="39"/>
      <c r="C50" s="40"/>
      <c r="D50" s="39"/>
      <c r="E50" s="38"/>
      <c r="F50" s="129" t="str">
        <f aca="true">IF($A50="","",EDATE($E50,DATEDIF($E50,TODAY(),"m")+1))</f>
        <v/>
      </c>
      <c r="G50" s="130" t="str">
        <f aca="false">IF($A50="","",IF((DATE(YEAR($E50),MONTH($E50),1)&lt;=DATE(2026,4,1)),IF((MOD(DATEDIF(DATE(YEAR($E50),MONTH($E50),1),DATE(2026,4,1),"m"),IF($D50="Quarterly",3,IF($D50="Annual",12,1)))=0),IF((COUNTIFS(Xero_Raw!$D$4:$D$5003,$A50,Xero_Raw!$G$4:$G$5003,"*Subscription*",Xero_Raw!$A$4:$A$5003,"&gt;="&amp;DATE(2026,4,1),Xero_Raw!$A$4:$A$5003,"&lt;"&amp;EDATE(DATE(2026,4,1),1))+COUNTIFS(Customer_Invoices_Upload!$E$4:$E$5003,$A50,Customer_Invoices_Upload!$G$4:$G$5003,"*Subscription*",Customer_Invoices_Upload!$B$4:$B$5003,"&gt;="&amp;DATE(2026,4,1),Customer_Invoices_Upload!$B$4:$B$5003,"&lt;"&amp;EDATE(DATE(2026,4,1),1))+COUNTIFS(Stripe_Invoices_Upload!$D$4:$D$5003,$A50,Stripe_Invoices_Upload!$E$4:$E$5003,"*Subscription*",Stripe_Invoices_Upload!$A$4:$A$5003,"&gt;="&amp;DATE(2026,4,1),Stripe_Invoices_Upload!$A$4:$A$5003,"&lt;"&amp;EDATE(DATE(2026,4,1),1)))&gt;0,"✓ Invoiced","⚠ Due"),""),""))</f>
        <v/>
      </c>
      <c r="H50" s="130" t="str">
        <f aca="false">IF($A50="","",IF((DATE(YEAR($E50),MONTH($E50),1)&lt;=DATE(2026,5,1)),IF((MOD(DATEDIF(DATE(YEAR($E50),MONTH($E50),1),DATE(2026,5,1),"m"),IF($D50="Quarterly",3,IF($D50="Annual",12,1)))=0),IF((COUNTIFS(Xero_Raw!$D$4:$D$5003,$A50,Xero_Raw!$G$4:$G$5003,"*Subscription*",Xero_Raw!$A$4:$A$5003,"&gt;="&amp;DATE(2026,5,1),Xero_Raw!$A$4:$A$5003,"&lt;"&amp;EDATE(DATE(2026,5,1),1))+COUNTIFS(Customer_Invoices_Upload!$E$4:$E$5003,$A50,Customer_Invoices_Upload!$G$4:$G$5003,"*Subscription*",Customer_Invoices_Upload!$B$4:$B$5003,"&gt;="&amp;DATE(2026,5,1),Customer_Invoices_Upload!$B$4:$B$5003,"&lt;"&amp;EDATE(DATE(2026,5,1),1))+COUNTIFS(Stripe_Invoices_Upload!$D$4:$D$5003,$A50,Stripe_Invoices_Upload!$E$4:$E$5003,"*Subscription*",Stripe_Invoices_Upload!$A$4:$A$5003,"&gt;="&amp;DATE(2026,5,1),Stripe_Invoices_Upload!$A$4:$A$5003,"&lt;"&amp;EDATE(DATE(2026,5,1),1)))&gt;0,"✓ Invoiced","⚠ Due"),""),""))</f>
        <v/>
      </c>
      <c r="I50" s="130" t="str">
        <f aca="false">IF($A50="","",IF((DATE(YEAR($E50),MONTH($E50),1)&lt;=DATE(2026,6,1)),IF((MOD(DATEDIF(DATE(YEAR($E50),MONTH($E50),1),DATE(2026,6,1),"m"),IF($D50="Quarterly",3,IF($D50="Annual",12,1)))=0),IF((COUNTIFS(Xero_Raw!$D$4:$D$5003,$A50,Xero_Raw!$G$4:$G$5003,"*Subscription*",Xero_Raw!$A$4:$A$5003,"&gt;="&amp;DATE(2026,6,1),Xero_Raw!$A$4:$A$5003,"&lt;"&amp;EDATE(DATE(2026,6,1),1))+COUNTIFS(Customer_Invoices_Upload!$E$4:$E$5003,$A50,Customer_Invoices_Upload!$G$4:$G$5003,"*Subscription*",Customer_Invoices_Upload!$B$4:$B$5003,"&gt;="&amp;DATE(2026,6,1),Customer_Invoices_Upload!$B$4:$B$5003,"&lt;"&amp;EDATE(DATE(2026,6,1),1))+COUNTIFS(Stripe_Invoices_Upload!$D$4:$D$5003,$A50,Stripe_Invoices_Upload!$E$4:$E$5003,"*Subscription*",Stripe_Invoices_Upload!$A$4:$A$5003,"&gt;="&amp;DATE(2026,6,1),Stripe_Invoices_Upload!$A$4:$A$5003,"&lt;"&amp;EDATE(DATE(2026,6,1),1)))&gt;0,"✓ Invoiced","⚠ Due"),""),""))</f>
        <v/>
      </c>
      <c r="J50" s="130" t="str">
        <f aca="false">IF($A50="","",IF((DATE(YEAR($E50),MONTH($E50),1)&lt;=DATE(2026,7,1)),IF((MOD(DATEDIF(DATE(YEAR($E50),MONTH($E50),1),DATE(2026,7,1),"m"),IF($D50="Quarterly",3,IF($D50="Annual",12,1)))=0),IF((COUNTIFS(Xero_Raw!$D$4:$D$5003,$A50,Xero_Raw!$G$4:$G$5003,"*Subscription*",Xero_Raw!$A$4:$A$5003,"&gt;="&amp;DATE(2026,7,1),Xero_Raw!$A$4:$A$5003,"&lt;"&amp;EDATE(DATE(2026,7,1),1))+COUNTIFS(Customer_Invoices_Upload!$E$4:$E$5003,$A50,Customer_Invoices_Upload!$G$4:$G$5003,"*Subscription*",Customer_Invoices_Upload!$B$4:$B$5003,"&gt;="&amp;DATE(2026,7,1),Customer_Invoices_Upload!$B$4:$B$5003,"&lt;"&amp;EDATE(DATE(2026,7,1),1))+COUNTIFS(Stripe_Invoices_Upload!$D$4:$D$5003,$A50,Stripe_Invoices_Upload!$E$4:$E$5003,"*Subscription*",Stripe_Invoices_Upload!$A$4:$A$5003,"&gt;="&amp;DATE(2026,7,1),Stripe_Invoices_Upload!$A$4:$A$5003,"&lt;"&amp;EDATE(DATE(2026,7,1),1)))&gt;0,"✓ Invoiced","⚠ Due"),""),""))</f>
        <v/>
      </c>
      <c r="K50" s="130" t="str">
        <f aca="false">IF($A50="","",IF((DATE(YEAR($E50),MONTH($E50),1)&lt;=DATE(2026,8,1)),IF((MOD(DATEDIF(DATE(YEAR($E50),MONTH($E50),1),DATE(2026,8,1),"m"),IF($D50="Quarterly",3,IF($D50="Annual",12,1)))=0),IF((COUNTIFS(Xero_Raw!$D$4:$D$5003,$A50,Xero_Raw!$G$4:$G$5003,"*Subscription*",Xero_Raw!$A$4:$A$5003,"&gt;="&amp;DATE(2026,8,1),Xero_Raw!$A$4:$A$5003,"&lt;"&amp;EDATE(DATE(2026,8,1),1))+COUNTIFS(Customer_Invoices_Upload!$E$4:$E$5003,$A50,Customer_Invoices_Upload!$G$4:$G$5003,"*Subscription*",Customer_Invoices_Upload!$B$4:$B$5003,"&gt;="&amp;DATE(2026,8,1),Customer_Invoices_Upload!$B$4:$B$5003,"&lt;"&amp;EDATE(DATE(2026,8,1),1))+COUNTIFS(Stripe_Invoices_Upload!$D$4:$D$5003,$A50,Stripe_Invoices_Upload!$E$4:$E$5003,"*Subscription*",Stripe_Invoices_Upload!$A$4:$A$5003,"&gt;="&amp;DATE(2026,8,1),Stripe_Invoices_Upload!$A$4:$A$5003,"&lt;"&amp;EDATE(DATE(2026,8,1),1)))&gt;0,"✓ Invoiced","⚠ Due"),""),""))</f>
        <v/>
      </c>
      <c r="L50" s="130" t="str">
        <f aca="false">IF($A50="","",IF((DATE(YEAR($E50),MONTH($E50),1)&lt;=DATE(2026,9,1)),IF((MOD(DATEDIF(DATE(YEAR($E50),MONTH($E50),1),DATE(2026,9,1),"m"),IF($D50="Quarterly",3,IF($D50="Annual",12,1)))=0),IF((COUNTIFS(Xero_Raw!$D$4:$D$5003,$A50,Xero_Raw!$G$4:$G$5003,"*Subscription*",Xero_Raw!$A$4:$A$5003,"&gt;="&amp;DATE(2026,9,1),Xero_Raw!$A$4:$A$5003,"&lt;"&amp;EDATE(DATE(2026,9,1),1))+COUNTIFS(Customer_Invoices_Upload!$E$4:$E$5003,$A50,Customer_Invoices_Upload!$G$4:$G$5003,"*Subscription*",Customer_Invoices_Upload!$B$4:$B$5003,"&gt;="&amp;DATE(2026,9,1),Customer_Invoices_Upload!$B$4:$B$5003,"&lt;"&amp;EDATE(DATE(2026,9,1),1))+COUNTIFS(Stripe_Invoices_Upload!$D$4:$D$5003,$A50,Stripe_Invoices_Upload!$E$4:$E$5003,"*Subscription*",Stripe_Invoices_Upload!$A$4:$A$5003,"&gt;="&amp;DATE(2026,9,1),Stripe_Invoices_Upload!$A$4:$A$5003,"&lt;"&amp;EDATE(DATE(2026,9,1),1)))&gt;0,"✓ Invoiced","⚠ Due"),""),""))</f>
        <v/>
      </c>
      <c r="M50" s="130" t="str">
        <f aca="false">IF($A50="","",IF((DATE(YEAR($E50),MONTH($E50),1)&lt;=DATE(2026,10,1)),IF((MOD(DATEDIF(DATE(YEAR($E50),MONTH($E50),1),DATE(2026,10,1),"m"),IF($D50="Quarterly",3,IF($D50="Annual",12,1)))=0),IF((COUNTIFS(Xero_Raw!$D$4:$D$5003,$A50,Xero_Raw!$G$4:$G$5003,"*Subscription*",Xero_Raw!$A$4:$A$5003,"&gt;="&amp;DATE(2026,10,1),Xero_Raw!$A$4:$A$5003,"&lt;"&amp;EDATE(DATE(2026,10,1),1))+COUNTIFS(Customer_Invoices_Upload!$E$4:$E$5003,$A50,Customer_Invoices_Upload!$G$4:$G$5003,"*Subscription*",Customer_Invoices_Upload!$B$4:$B$5003,"&gt;="&amp;DATE(2026,10,1),Customer_Invoices_Upload!$B$4:$B$5003,"&lt;"&amp;EDATE(DATE(2026,10,1),1))+COUNTIFS(Stripe_Invoices_Upload!$D$4:$D$5003,$A50,Stripe_Invoices_Upload!$E$4:$E$5003,"*Subscription*",Stripe_Invoices_Upload!$A$4:$A$5003,"&gt;="&amp;DATE(2026,10,1),Stripe_Invoices_Upload!$A$4:$A$5003,"&lt;"&amp;EDATE(DATE(2026,10,1),1)))&gt;0,"✓ Invoiced","⚠ Due"),""),""))</f>
        <v/>
      </c>
      <c r="N50" s="130" t="str">
        <f aca="false">IF($A50="","",IF((DATE(YEAR($E50),MONTH($E50),1)&lt;=DATE(2026,11,1)),IF((MOD(DATEDIF(DATE(YEAR($E50),MONTH($E50),1),DATE(2026,11,1),"m"),IF($D50="Quarterly",3,IF($D50="Annual",12,1)))=0),IF((COUNTIFS(Xero_Raw!$D$4:$D$5003,$A50,Xero_Raw!$G$4:$G$5003,"*Subscription*",Xero_Raw!$A$4:$A$5003,"&gt;="&amp;DATE(2026,11,1),Xero_Raw!$A$4:$A$5003,"&lt;"&amp;EDATE(DATE(2026,11,1),1))+COUNTIFS(Customer_Invoices_Upload!$E$4:$E$5003,$A50,Customer_Invoices_Upload!$G$4:$G$5003,"*Subscription*",Customer_Invoices_Upload!$B$4:$B$5003,"&gt;="&amp;DATE(2026,11,1),Customer_Invoices_Upload!$B$4:$B$5003,"&lt;"&amp;EDATE(DATE(2026,11,1),1))+COUNTIFS(Stripe_Invoices_Upload!$D$4:$D$5003,$A50,Stripe_Invoices_Upload!$E$4:$E$5003,"*Subscription*",Stripe_Invoices_Upload!$A$4:$A$5003,"&gt;="&amp;DATE(2026,11,1),Stripe_Invoices_Upload!$A$4:$A$5003,"&lt;"&amp;EDATE(DATE(2026,11,1),1)))&gt;0,"✓ Invoiced","⚠ Due"),""),""))</f>
        <v/>
      </c>
      <c r="O50" s="130" t="str">
        <f aca="false">IF($A50="","",IF((DATE(YEAR($E50),MONTH($E50),1)&lt;=DATE(2026,12,1)),IF((MOD(DATEDIF(DATE(YEAR($E50),MONTH($E50),1),DATE(2026,12,1),"m"),IF($D50="Quarterly",3,IF($D50="Annual",12,1)))=0),IF((COUNTIFS(Xero_Raw!$D$4:$D$5003,$A50,Xero_Raw!$G$4:$G$5003,"*Subscription*",Xero_Raw!$A$4:$A$5003,"&gt;="&amp;DATE(2026,12,1),Xero_Raw!$A$4:$A$5003,"&lt;"&amp;EDATE(DATE(2026,12,1),1))+COUNTIFS(Customer_Invoices_Upload!$E$4:$E$5003,$A50,Customer_Invoices_Upload!$G$4:$G$5003,"*Subscription*",Customer_Invoices_Upload!$B$4:$B$5003,"&gt;="&amp;DATE(2026,12,1),Customer_Invoices_Upload!$B$4:$B$5003,"&lt;"&amp;EDATE(DATE(2026,12,1),1))+COUNTIFS(Stripe_Invoices_Upload!$D$4:$D$5003,$A50,Stripe_Invoices_Upload!$E$4:$E$5003,"*Subscription*",Stripe_Invoices_Upload!$A$4:$A$5003,"&gt;="&amp;DATE(2026,12,1),Stripe_Invoices_Upload!$A$4:$A$5003,"&lt;"&amp;EDATE(DATE(2026,12,1),1)))&gt;0,"✓ Invoiced","⚠ Due"),""),""))</f>
        <v/>
      </c>
      <c r="P50" s="130" t="str">
        <f aca="false">IF($A50="","",IF((DATE(YEAR($E50),MONTH($E50),1)&lt;=DATE(2027,1,1)),IF((MOD(DATEDIF(DATE(YEAR($E50),MONTH($E50),1),DATE(2027,1,1),"m"),IF($D50="Quarterly",3,IF($D50="Annual",12,1)))=0),IF((COUNTIFS(Xero_Raw!$D$4:$D$5003,$A50,Xero_Raw!$G$4:$G$5003,"*Subscription*",Xero_Raw!$A$4:$A$5003,"&gt;="&amp;DATE(2027,1,1),Xero_Raw!$A$4:$A$5003,"&lt;"&amp;EDATE(DATE(2027,1,1),1))+COUNTIFS(Customer_Invoices_Upload!$E$4:$E$5003,$A50,Customer_Invoices_Upload!$G$4:$G$5003,"*Subscription*",Customer_Invoices_Upload!$B$4:$B$5003,"&gt;="&amp;DATE(2027,1,1),Customer_Invoices_Upload!$B$4:$B$5003,"&lt;"&amp;EDATE(DATE(2027,1,1),1))+COUNTIFS(Stripe_Invoices_Upload!$D$4:$D$5003,$A50,Stripe_Invoices_Upload!$E$4:$E$5003,"*Subscription*",Stripe_Invoices_Upload!$A$4:$A$5003,"&gt;="&amp;DATE(2027,1,1),Stripe_Invoices_Upload!$A$4:$A$5003,"&lt;"&amp;EDATE(DATE(2027,1,1),1)))&gt;0,"✓ Invoiced","⚠ Due"),""),""))</f>
        <v/>
      </c>
      <c r="Q50" s="130" t="str">
        <f aca="false">IF($A50="","",IF((DATE(YEAR($E50),MONTH($E50),1)&lt;=DATE(2027,2,1)),IF((MOD(DATEDIF(DATE(YEAR($E50),MONTH($E50),1),DATE(2027,2,1),"m"),IF($D50="Quarterly",3,IF($D50="Annual",12,1)))=0),IF((COUNTIFS(Xero_Raw!$D$4:$D$5003,$A50,Xero_Raw!$G$4:$G$5003,"*Subscription*",Xero_Raw!$A$4:$A$5003,"&gt;="&amp;DATE(2027,2,1),Xero_Raw!$A$4:$A$5003,"&lt;"&amp;EDATE(DATE(2027,2,1),1))+COUNTIFS(Customer_Invoices_Upload!$E$4:$E$5003,$A50,Customer_Invoices_Upload!$G$4:$G$5003,"*Subscription*",Customer_Invoices_Upload!$B$4:$B$5003,"&gt;="&amp;DATE(2027,2,1),Customer_Invoices_Upload!$B$4:$B$5003,"&lt;"&amp;EDATE(DATE(2027,2,1),1))+COUNTIFS(Stripe_Invoices_Upload!$D$4:$D$5003,$A50,Stripe_Invoices_Upload!$E$4:$E$5003,"*Subscription*",Stripe_Invoices_Upload!$A$4:$A$5003,"&gt;="&amp;DATE(2027,2,1),Stripe_Invoices_Upload!$A$4:$A$5003,"&lt;"&amp;EDATE(DATE(2027,2,1),1)))&gt;0,"✓ Invoiced","⚠ Due"),""),""))</f>
        <v/>
      </c>
      <c r="R50" s="130" t="str">
        <f aca="false">IF($A50="","",IF((DATE(YEAR($E50),MONTH($E50),1)&lt;=DATE(2027,3,1)),IF((MOD(DATEDIF(DATE(YEAR($E50),MONTH($E50),1),DATE(2027,3,1),"m"),IF($D50="Quarterly",3,IF($D50="Annual",12,1)))=0),IF((COUNTIFS(Xero_Raw!$D$4:$D$5003,$A50,Xero_Raw!$G$4:$G$5003,"*Subscription*",Xero_Raw!$A$4:$A$5003,"&gt;="&amp;DATE(2027,3,1),Xero_Raw!$A$4:$A$5003,"&lt;"&amp;EDATE(DATE(2027,3,1),1))+COUNTIFS(Customer_Invoices_Upload!$E$4:$E$5003,$A50,Customer_Invoices_Upload!$G$4:$G$5003,"*Subscription*",Customer_Invoices_Upload!$B$4:$B$5003,"&gt;="&amp;DATE(2027,3,1),Customer_Invoices_Upload!$B$4:$B$5003,"&lt;"&amp;EDATE(DATE(2027,3,1),1))+COUNTIFS(Stripe_Invoices_Upload!$D$4:$D$5003,$A50,Stripe_Invoices_Upload!$E$4:$E$5003,"*Subscription*",Stripe_Invoices_Upload!$A$4:$A$5003,"&gt;="&amp;DATE(2027,3,1),Stripe_Invoices_Upload!$A$4:$A$5003,"&lt;"&amp;EDATE(DATE(2027,3,1),1)))&gt;0,"✓ Invoiced","⚠ Due"),""),""))</f>
        <v/>
      </c>
    </row>
    <row r="51" customFormat="false" ht="15" hidden="false" customHeight="false" outlineLevel="0" collapsed="false">
      <c r="A51" s="39"/>
      <c r="B51" s="39"/>
      <c r="C51" s="40"/>
      <c r="D51" s="39"/>
      <c r="E51" s="38"/>
      <c r="F51" s="129" t="str">
        <f aca="true">IF($A51="","",EDATE($E51,DATEDIF($E51,TODAY(),"m")+1))</f>
        <v/>
      </c>
      <c r="G51" s="130" t="str">
        <f aca="false">IF($A51="","",IF((DATE(YEAR($E51),MONTH($E51),1)&lt;=DATE(2026,4,1)),IF((MOD(DATEDIF(DATE(YEAR($E51),MONTH($E51),1),DATE(2026,4,1),"m"),IF($D51="Quarterly",3,IF($D51="Annual",12,1)))=0),IF((COUNTIFS(Xero_Raw!$D$4:$D$5003,$A51,Xero_Raw!$G$4:$G$5003,"*Subscription*",Xero_Raw!$A$4:$A$5003,"&gt;="&amp;DATE(2026,4,1),Xero_Raw!$A$4:$A$5003,"&lt;"&amp;EDATE(DATE(2026,4,1),1))+COUNTIFS(Customer_Invoices_Upload!$E$4:$E$5003,$A51,Customer_Invoices_Upload!$G$4:$G$5003,"*Subscription*",Customer_Invoices_Upload!$B$4:$B$5003,"&gt;="&amp;DATE(2026,4,1),Customer_Invoices_Upload!$B$4:$B$5003,"&lt;"&amp;EDATE(DATE(2026,4,1),1))+COUNTIFS(Stripe_Invoices_Upload!$D$4:$D$5003,$A51,Stripe_Invoices_Upload!$E$4:$E$5003,"*Subscription*",Stripe_Invoices_Upload!$A$4:$A$5003,"&gt;="&amp;DATE(2026,4,1),Stripe_Invoices_Upload!$A$4:$A$5003,"&lt;"&amp;EDATE(DATE(2026,4,1),1)))&gt;0,"✓ Invoiced","⚠ Due"),""),""))</f>
        <v/>
      </c>
      <c r="H51" s="130" t="str">
        <f aca="false">IF($A51="","",IF((DATE(YEAR($E51),MONTH($E51),1)&lt;=DATE(2026,5,1)),IF((MOD(DATEDIF(DATE(YEAR($E51),MONTH($E51),1),DATE(2026,5,1),"m"),IF($D51="Quarterly",3,IF($D51="Annual",12,1)))=0),IF((COUNTIFS(Xero_Raw!$D$4:$D$5003,$A51,Xero_Raw!$G$4:$G$5003,"*Subscription*",Xero_Raw!$A$4:$A$5003,"&gt;="&amp;DATE(2026,5,1),Xero_Raw!$A$4:$A$5003,"&lt;"&amp;EDATE(DATE(2026,5,1),1))+COUNTIFS(Customer_Invoices_Upload!$E$4:$E$5003,$A51,Customer_Invoices_Upload!$G$4:$G$5003,"*Subscription*",Customer_Invoices_Upload!$B$4:$B$5003,"&gt;="&amp;DATE(2026,5,1),Customer_Invoices_Upload!$B$4:$B$5003,"&lt;"&amp;EDATE(DATE(2026,5,1),1))+COUNTIFS(Stripe_Invoices_Upload!$D$4:$D$5003,$A51,Stripe_Invoices_Upload!$E$4:$E$5003,"*Subscription*",Stripe_Invoices_Upload!$A$4:$A$5003,"&gt;="&amp;DATE(2026,5,1),Stripe_Invoices_Upload!$A$4:$A$5003,"&lt;"&amp;EDATE(DATE(2026,5,1),1)))&gt;0,"✓ Invoiced","⚠ Due"),""),""))</f>
        <v/>
      </c>
      <c r="I51" s="130" t="str">
        <f aca="false">IF($A51="","",IF((DATE(YEAR($E51),MONTH($E51),1)&lt;=DATE(2026,6,1)),IF((MOD(DATEDIF(DATE(YEAR($E51),MONTH($E51),1),DATE(2026,6,1),"m"),IF($D51="Quarterly",3,IF($D51="Annual",12,1)))=0),IF((COUNTIFS(Xero_Raw!$D$4:$D$5003,$A51,Xero_Raw!$G$4:$G$5003,"*Subscription*",Xero_Raw!$A$4:$A$5003,"&gt;="&amp;DATE(2026,6,1),Xero_Raw!$A$4:$A$5003,"&lt;"&amp;EDATE(DATE(2026,6,1),1))+COUNTIFS(Customer_Invoices_Upload!$E$4:$E$5003,$A51,Customer_Invoices_Upload!$G$4:$G$5003,"*Subscription*",Customer_Invoices_Upload!$B$4:$B$5003,"&gt;="&amp;DATE(2026,6,1),Customer_Invoices_Upload!$B$4:$B$5003,"&lt;"&amp;EDATE(DATE(2026,6,1),1))+COUNTIFS(Stripe_Invoices_Upload!$D$4:$D$5003,$A51,Stripe_Invoices_Upload!$E$4:$E$5003,"*Subscription*",Stripe_Invoices_Upload!$A$4:$A$5003,"&gt;="&amp;DATE(2026,6,1),Stripe_Invoices_Upload!$A$4:$A$5003,"&lt;"&amp;EDATE(DATE(2026,6,1),1)))&gt;0,"✓ Invoiced","⚠ Due"),""),""))</f>
        <v/>
      </c>
      <c r="J51" s="130" t="str">
        <f aca="false">IF($A51="","",IF((DATE(YEAR($E51),MONTH($E51),1)&lt;=DATE(2026,7,1)),IF((MOD(DATEDIF(DATE(YEAR($E51),MONTH($E51),1),DATE(2026,7,1),"m"),IF($D51="Quarterly",3,IF($D51="Annual",12,1)))=0),IF((COUNTIFS(Xero_Raw!$D$4:$D$5003,$A51,Xero_Raw!$G$4:$G$5003,"*Subscription*",Xero_Raw!$A$4:$A$5003,"&gt;="&amp;DATE(2026,7,1),Xero_Raw!$A$4:$A$5003,"&lt;"&amp;EDATE(DATE(2026,7,1),1))+COUNTIFS(Customer_Invoices_Upload!$E$4:$E$5003,$A51,Customer_Invoices_Upload!$G$4:$G$5003,"*Subscription*",Customer_Invoices_Upload!$B$4:$B$5003,"&gt;="&amp;DATE(2026,7,1),Customer_Invoices_Upload!$B$4:$B$5003,"&lt;"&amp;EDATE(DATE(2026,7,1),1))+COUNTIFS(Stripe_Invoices_Upload!$D$4:$D$5003,$A51,Stripe_Invoices_Upload!$E$4:$E$5003,"*Subscription*",Stripe_Invoices_Upload!$A$4:$A$5003,"&gt;="&amp;DATE(2026,7,1),Stripe_Invoices_Upload!$A$4:$A$5003,"&lt;"&amp;EDATE(DATE(2026,7,1),1)))&gt;0,"✓ Invoiced","⚠ Due"),""),""))</f>
        <v/>
      </c>
      <c r="K51" s="130" t="str">
        <f aca="false">IF($A51="","",IF((DATE(YEAR($E51),MONTH($E51),1)&lt;=DATE(2026,8,1)),IF((MOD(DATEDIF(DATE(YEAR($E51),MONTH($E51),1),DATE(2026,8,1),"m"),IF($D51="Quarterly",3,IF($D51="Annual",12,1)))=0),IF((COUNTIFS(Xero_Raw!$D$4:$D$5003,$A51,Xero_Raw!$G$4:$G$5003,"*Subscription*",Xero_Raw!$A$4:$A$5003,"&gt;="&amp;DATE(2026,8,1),Xero_Raw!$A$4:$A$5003,"&lt;"&amp;EDATE(DATE(2026,8,1),1))+COUNTIFS(Customer_Invoices_Upload!$E$4:$E$5003,$A51,Customer_Invoices_Upload!$G$4:$G$5003,"*Subscription*",Customer_Invoices_Upload!$B$4:$B$5003,"&gt;="&amp;DATE(2026,8,1),Customer_Invoices_Upload!$B$4:$B$5003,"&lt;"&amp;EDATE(DATE(2026,8,1),1))+COUNTIFS(Stripe_Invoices_Upload!$D$4:$D$5003,$A51,Stripe_Invoices_Upload!$E$4:$E$5003,"*Subscription*",Stripe_Invoices_Upload!$A$4:$A$5003,"&gt;="&amp;DATE(2026,8,1),Stripe_Invoices_Upload!$A$4:$A$5003,"&lt;"&amp;EDATE(DATE(2026,8,1),1)))&gt;0,"✓ Invoiced","⚠ Due"),""),""))</f>
        <v/>
      </c>
      <c r="L51" s="130" t="str">
        <f aca="false">IF($A51="","",IF((DATE(YEAR($E51),MONTH($E51),1)&lt;=DATE(2026,9,1)),IF((MOD(DATEDIF(DATE(YEAR($E51),MONTH($E51),1),DATE(2026,9,1),"m"),IF($D51="Quarterly",3,IF($D51="Annual",12,1)))=0),IF((COUNTIFS(Xero_Raw!$D$4:$D$5003,$A51,Xero_Raw!$G$4:$G$5003,"*Subscription*",Xero_Raw!$A$4:$A$5003,"&gt;="&amp;DATE(2026,9,1),Xero_Raw!$A$4:$A$5003,"&lt;"&amp;EDATE(DATE(2026,9,1),1))+COUNTIFS(Customer_Invoices_Upload!$E$4:$E$5003,$A51,Customer_Invoices_Upload!$G$4:$G$5003,"*Subscription*",Customer_Invoices_Upload!$B$4:$B$5003,"&gt;="&amp;DATE(2026,9,1),Customer_Invoices_Upload!$B$4:$B$5003,"&lt;"&amp;EDATE(DATE(2026,9,1),1))+COUNTIFS(Stripe_Invoices_Upload!$D$4:$D$5003,$A51,Stripe_Invoices_Upload!$E$4:$E$5003,"*Subscription*",Stripe_Invoices_Upload!$A$4:$A$5003,"&gt;="&amp;DATE(2026,9,1),Stripe_Invoices_Upload!$A$4:$A$5003,"&lt;"&amp;EDATE(DATE(2026,9,1),1)))&gt;0,"✓ Invoiced","⚠ Due"),""),""))</f>
        <v/>
      </c>
      <c r="M51" s="130" t="str">
        <f aca="false">IF($A51="","",IF((DATE(YEAR($E51),MONTH($E51),1)&lt;=DATE(2026,10,1)),IF((MOD(DATEDIF(DATE(YEAR($E51),MONTH($E51),1),DATE(2026,10,1),"m"),IF($D51="Quarterly",3,IF($D51="Annual",12,1)))=0),IF((COUNTIFS(Xero_Raw!$D$4:$D$5003,$A51,Xero_Raw!$G$4:$G$5003,"*Subscription*",Xero_Raw!$A$4:$A$5003,"&gt;="&amp;DATE(2026,10,1),Xero_Raw!$A$4:$A$5003,"&lt;"&amp;EDATE(DATE(2026,10,1),1))+COUNTIFS(Customer_Invoices_Upload!$E$4:$E$5003,$A51,Customer_Invoices_Upload!$G$4:$G$5003,"*Subscription*",Customer_Invoices_Upload!$B$4:$B$5003,"&gt;="&amp;DATE(2026,10,1),Customer_Invoices_Upload!$B$4:$B$5003,"&lt;"&amp;EDATE(DATE(2026,10,1),1))+COUNTIFS(Stripe_Invoices_Upload!$D$4:$D$5003,$A51,Stripe_Invoices_Upload!$E$4:$E$5003,"*Subscription*",Stripe_Invoices_Upload!$A$4:$A$5003,"&gt;="&amp;DATE(2026,10,1),Stripe_Invoices_Upload!$A$4:$A$5003,"&lt;"&amp;EDATE(DATE(2026,10,1),1)))&gt;0,"✓ Invoiced","⚠ Due"),""),""))</f>
        <v/>
      </c>
      <c r="N51" s="130" t="str">
        <f aca="false">IF($A51="","",IF((DATE(YEAR($E51),MONTH($E51),1)&lt;=DATE(2026,11,1)),IF((MOD(DATEDIF(DATE(YEAR($E51),MONTH($E51),1),DATE(2026,11,1),"m"),IF($D51="Quarterly",3,IF($D51="Annual",12,1)))=0),IF((COUNTIFS(Xero_Raw!$D$4:$D$5003,$A51,Xero_Raw!$G$4:$G$5003,"*Subscription*",Xero_Raw!$A$4:$A$5003,"&gt;="&amp;DATE(2026,11,1),Xero_Raw!$A$4:$A$5003,"&lt;"&amp;EDATE(DATE(2026,11,1),1))+COUNTIFS(Customer_Invoices_Upload!$E$4:$E$5003,$A51,Customer_Invoices_Upload!$G$4:$G$5003,"*Subscription*",Customer_Invoices_Upload!$B$4:$B$5003,"&gt;="&amp;DATE(2026,11,1),Customer_Invoices_Upload!$B$4:$B$5003,"&lt;"&amp;EDATE(DATE(2026,11,1),1))+COUNTIFS(Stripe_Invoices_Upload!$D$4:$D$5003,$A51,Stripe_Invoices_Upload!$E$4:$E$5003,"*Subscription*",Stripe_Invoices_Upload!$A$4:$A$5003,"&gt;="&amp;DATE(2026,11,1),Stripe_Invoices_Upload!$A$4:$A$5003,"&lt;"&amp;EDATE(DATE(2026,11,1),1)))&gt;0,"✓ Invoiced","⚠ Due"),""),""))</f>
        <v/>
      </c>
      <c r="O51" s="130" t="str">
        <f aca="false">IF($A51="","",IF((DATE(YEAR($E51),MONTH($E51),1)&lt;=DATE(2026,12,1)),IF((MOD(DATEDIF(DATE(YEAR($E51),MONTH($E51),1),DATE(2026,12,1),"m"),IF($D51="Quarterly",3,IF($D51="Annual",12,1)))=0),IF((COUNTIFS(Xero_Raw!$D$4:$D$5003,$A51,Xero_Raw!$G$4:$G$5003,"*Subscription*",Xero_Raw!$A$4:$A$5003,"&gt;="&amp;DATE(2026,12,1),Xero_Raw!$A$4:$A$5003,"&lt;"&amp;EDATE(DATE(2026,12,1),1))+COUNTIFS(Customer_Invoices_Upload!$E$4:$E$5003,$A51,Customer_Invoices_Upload!$G$4:$G$5003,"*Subscription*",Customer_Invoices_Upload!$B$4:$B$5003,"&gt;="&amp;DATE(2026,12,1),Customer_Invoices_Upload!$B$4:$B$5003,"&lt;"&amp;EDATE(DATE(2026,12,1),1))+COUNTIFS(Stripe_Invoices_Upload!$D$4:$D$5003,$A51,Stripe_Invoices_Upload!$E$4:$E$5003,"*Subscription*",Stripe_Invoices_Upload!$A$4:$A$5003,"&gt;="&amp;DATE(2026,12,1),Stripe_Invoices_Upload!$A$4:$A$5003,"&lt;"&amp;EDATE(DATE(2026,12,1),1)))&gt;0,"✓ Invoiced","⚠ Due"),""),""))</f>
        <v/>
      </c>
      <c r="P51" s="130" t="str">
        <f aca="false">IF($A51="","",IF((DATE(YEAR($E51),MONTH($E51),1)&lt;=DATE(2027,1,1)),IF((MOD(DATEDIF(DATE(YEAR($E51),MONTH($E51),1),DATE(2027,1,1),"m"),IF($D51="Quarterly",3,IF($D51="Annual",12,1)))=0),IF((COUNTIFS(Xero_Raw!$D$4:$D$5003,$A51,Xero_Raw!$G$4:$G$5003,"*Subscription*",Xero_Raw!$A$4:$A$5003,"&gt;="&amp;DATE(2027,1,1),Xero_Raw!$A$4:$A$5003,"&lt;"&amp;EDATE(DATE(2027,1,1),1))+COUNTIFS(Customer_Invoices_Upload!$E$4:$E$5003,$A51,Customer_Invoices_Upload!$G$4:$G$5003,"*Subscription*",Customer_Invoices_Upload!$B$4:$B$5003,"&gt;="&amp;DATE(2027,1,1),Customer_Invoices_Upload!$B$4:$B$5003,"&lt;"&amp;EDATE(DATE(2027,1,1),1))+COUNTIFS(Stripe_Invoices_Upload!$D$4:$D$5003,$A51,Stripe_Invoices_Upload!$E$4:$E$5003,"*Subscription*",Stripe_Invoices_Upload!$A$4:$A$5003,"&gt;="&amp;DATE(2027,1,1),Stripe_Invoices_Upload!$A$4:$A$5003,"&lt;"&amp;EDATE(DATE(2027,1,1),1)))&gt;0,"✓ Invoiced","⚠ Due"),""),""))</f>
        <v/>
      </c>
      <c r="Q51" s="130" t="str">
        <f aca="false">IF($A51="","",IF((DATE(YEAR($E51),MONTH($E51),1)&lt;=DATE(2027,2,1)),IF((MOD(DATEDIF(DATE(YEAR($E51),MONTH($E51),1),DATE(2027,2,1),"m"),IF($D51="Quarterly",3,IF($D51="Annual",12,1)))=0),IF((COUNTIFS(Xero_Raw!$D$4:$D$5003,$A51,Xero_Raw!$G$4:$G$5003,"*Subscription*",Xero_Raw!$A$4:$A$5003,"&gt;="&amp;DATE(2027,2,1),Xero_Raw!$A$4:$A$5003,"&lt;"&amp;EDATE(DATE(2027,2,1),1))+COUNTIFS(Customer_Invoices_Upload!$E$4:$E$5003,$A51,Customer_Invoices_Upload!$G$4:$G$5003,"*Subscription*",Customer_Invoices_Upload!$B$4:$B$5003,"&gt;="&amp;DATE(2027,2,1),Customer_Invoices_Upload!$B$4:$B$5003,"&lt;"&amp;EDATE(DATE(2027,2,1),1))+COUNTIFS(Stripe_Invoices_Upload!$D$4:$D$5003,$A51,Stripe_Invoices_Upload!$E$4:$E$5003,"*Subscription*",Stripe_Invoices_Upload!$A$4:$A$5003,"&gt;="&amp;DATE(2027,2,1),Stripe_Invoices_Upload!$A$4:$A$5003,"&lt;"&amp;EDATE(DATE(2027,2,1),1)))&gt;0,"✓ Invoiced","⚠ Due"),""),""))</f>
        <v/>
      </c>
      <c r="R51" s="130" t="str">
        <f aca="false">IF($A51="","",IF((DATE(YEAR($E51),MONTH($E51),1)&lt;=DATE(2027,3,1)),IF((MOD(DATEDIF(DATE(YEAR($E51),MONTH($E51),1),DATE(2027,3,1),"m"),IF($D51="Quarterly",3,IF($D51="Annual",12,1)))=0),IF((COUNTIFS(Xero_Raw!$D$4:$D$5003,$A51,Xero_Raw!$G$4:$G$5003,"*Subscription*",Xero_Raw!$A$4:$A$5003,"&gt;="&amp;DATE(2027,3,1),Xero_Raw!$A$4:$A$5003,"&lt;"&amp;EDATE(DATE(2027,3,1),1))+COUNTIFS(Customer_Invoices_Upload!$E$4:$E$5003,$A51,Customer_Invoices_Upload!$G$4:$G$5003,"*Subscription*",Customer_Invoices_Upload!$B$4:$B$5003,"&gt;="&amp;DATE(2027,3,1),Customer_Invoices_Upload!$B$4:$B$5003,"&lt;"&amp;EDATE(DATE(2027,3,1),1))+COUNTIFS(Stripe_Invoices_Upload!$D$4:$D$5003,$A51,Stripe_Invoices_Upload!$E$4:$E$5003,"*Subscription*",Stripe_Invoices_Upload!$A$4:$A$5003,"&gt;="&amp;DATE(2027,3,1),Stripe_Invoices_Upload!$A$4:$A$5003,"&lt;"&amp;EDATE(DATE(2027,3,1),1)))&gt;0,"✓ Invoiced","⚠ Due"),""),""))</f>
        <v/>
      </c>
    </row>
    <row r="52" customFormat="false" ht="15" hidden="false" customHeight="false" outlineLevel="0" collapsed="false">
      <c r="A52" s="39"/>
      <c r="B52" s="39"/>
      <c r="C52" s="40"/>
      <c r="D52" s="39"/>
      <c r="E52" s="38"/>
      <c r="F52" s="129" t="str">
        <f aca="true">IF($A52="","",EDATE($E52,DATEDIF($E52,TODAY(),"m")+1))</f>
        <v/>
      </c>
      <c r="G52" s="130" t="str">
        <f aca="false">IF($A52="","",IF((DATE(YEAR($E52),MONTH($E52),1)&lt;=DATE(2026,4,1)),IF((MOD(DATEDIF(DATE(YEAR($E52),MONTH($E52),1),DATE(2026,4,1),"m"),IF($D52="Quarterly",3,IF($D52="Annual",12,1)))=0),IF((COUNTIFS(Xero_Raw!$D$4:$D$5003,$A52,Xero_Raw!$G$4:$G$5003,"*Subscription*",Xero_Raw!$A$4:$A$5003,"&gt;="&amp;DATE(2026,4,1),Xero_Raw!$A$4:$A$5003,"&lt;"&amp;EDATE(DATE(2026,4,1),1))+COUNTIFS(Customer_Invoices_Upload!$E$4:$E$5003,$A52,Customer_Invoices_Upload!$G$4:$G$5003,"*Subscription*",Customer_Invoices_Upload!$B$4:$B$5003,"&gt;="&amp;DATE(2026,4,1),Customer_Invoices_Upload!$B$4:$B$5003,"&lt;"&amp;EDATE(DATE(2026,4,1),1))+COUNTIFS(Stripe_Invoices_Upload!$D$4:$D$5003,$A52,Stripe_Invoices_Upload!$E$4:$E$5003,"*Subscription*",Stripe_Invoices_Upload!$A$4:$A$5003,"&gt;="&amp;DATE(2026,4,1),Stripe_Invoices_Upload!$A$4:$A$5003,"&lt;"&amp;EDATE(DATE(2026,4,1),1)))&gt;0,"✓ Invoiced","⚠ Due"),""),""))</f>
        <v/>
      </c>
      <c r="H52" s="130" t="str">
        <f aca="false">IF($A52="","",IF((DATE(YEAR($E52),MONTH($E52),1)&lt;=DATE(2026,5,1)),IF((MOD(DATEDIF(DATE(YEAR($E52),MONTH($E52),1),DATE(2026,5,1),"m"),IF($D52="Quarterly",3,IF($D52="Annual",12,1)))=0),IF((COUNTIFS(Xero_Raw!$D$4:$D$5003,$A52,Xero_Raw!$G$4:$G$5003,"*Subscription*",Xero_Raw!$A$4:$A$5003,"&gt;="&amp;DATE(2026,5,1),Xero_Raw!$A$4:$A$5003,"&lt;"&amp;EDATE(DATE(2026,5,1),1))+COUNTIFS(Customer_Invoices_Upload!$E$4:$E$5003,$A52,Customer_Invoices_Upload!$G$4:$G$5003,"*Subscription*",Customer_Invoices_Upload!$B$4:$B$5003,"&gt;="&amp;DATE(2026,5,1),Customer_Invoices_Upload!$B$4:$B$5003,"&lt;"&amp;EDATE(DATE(2026,5,1),1))+COUNTIFS(Stripe_Invoices_Upload!$D$4:$D$5003,$A52,Stripe_Invoices_Upload!$E$4:$E$5003,"*Subscription*",Stripe_Invoices_Upload!$A$4:$A$5003,"&gt;="&amp;DATE(2026,5,1),Stripe_Invoices_Upload!$A$4:$A$5003,"&lt;"&amp;EDATE(DATE(2026,5,1),1)))&gt;0,"✓ Invoiced","⚠ Due"),""),""))</f>
        <v/>
      </c>
      <c r="I52" s="130" t="str">
        <f aca="false">IF($A52="","",IF((DATE(YEAR($E52),MONTH($E52),1)&lt;=DATE(2026,6,1)),IF((MOD(DATEDIF(DATE(YEAR($E52),MONTH($E52),1),DATE(2026,6,1),"m"),IF($D52="Quarterly",3,IF($D52="Annual",12,1)))=0),IF((COUNTIFS(Xero_Raw!$D$4:$D$5003,$A52,Xero_Raw!$G$4:$G$5003,"*Subscription*",Xero_Raw!$A$4:$A$5003,"&gt;="&amp;DATE(2026,6,1),Xero_Raw!$A$4:$A$5003,"&lt;"&amp;EDATE(DATE(2026,6,1),1))+COUNTIFS(Customer_Invoices_Upload!$E$4:$E$5003,$A52,Customer_Invoices_Upload!$G$4:$G$5003,"*Subscription*",Customer_Invoices_Upload!$B$4:$B$5003,"&gt;="&amp;DATE(2026,6,1),Customer_Invoices_Upload!$B$4:$B$5003,"&lt;"&amp;EDATE(DATE(2026,6,1),1))+COUNTIFS(Stripe_Invoices_Upload!$D$4:$D$5003,$A52,Stripe_Invoices_Upload!$E$4:$E$5003,"*Subscription*",Stripe_Invoices_Upload!$A$4:$A$5003,"&gt;="&amp;DATE(2026,6,1),Stripe_Invoices_Upload!$A$4:$A$5003,"&lt;"&amp;EDATE(DATE(2026,6,1),1)))&gt;0,"✓ Invoiced","⚠ Due"),""),""))</f>
        <v/>
      </c>
      <c r="J52" s="130" t="str">
        <f aca="false">IF($A52="","",IF((DATE(YEAR($E52),MONTH($E52),1)&lt;=DATE(2026,7,1)),IF((MOD(DATEDIF(DATE(YEAR($E52),MONTH($E52),1),DATE(2026,7,1),"m"),IF($D52="Quarterly",3,IF($D52="Annual",12,1)))=0),IF((COUNTIFS(Xero_Raw!$D$4:$D$5003,$A52,Xero_Raw!$G$4:$G$5003,"*Subscription*",Xero_Raw!$A$4:$A$5003,"&gt;="&amp;DATE(2026,7,1),Xero_Raw!$A$4:$A$5003,"&lt;"&amp;EDATE(DATE(2026,7,1),1))+COUNTIFS(Customer_Invoices_Upload!$E$4:$E$5003,$A52,Customer_Invoices_Upload!$G$4:$G$5003,"*Subscription*",Customer_Invoices_Upload!$B$4:$B$5003,"&gt;="&amp;DATE(2026,7,1),Customer_Invoices_Upload!$B$4:$B$5003,"&lt;"&amp;EDATE(DATE(2026,7,1),1))+COUNTIFS(Stripe_Invoices_Upload!$D$4:$D$5003,$A52,Stripe_Invoices_Upload!$E$4:$E$5003,"*Subscription*",Stripe_Invoices_Upload!$A$4:$A$5003,"&gt;="&amp;DATE(2026,7,1),Stripe_Invoices_Upload!$A$4:$A$5003,"&lt;"&amp;EDATE(DATE(2026,7,1),1)))&gt;0,"✓ Invoiced","⚠ Due"),""),""))</f>
        <v/>
      </c>
      <c r="K52" s="130" t="str">
        <f aca="false">IF($A52="","",IF((DATE(YEAR($E52),MONTH($E52),1)&lt;=DATE(2026,8,1)),IF((MOD(DATEDIF(DATE(YEAR($E52),MONTH($E52),1),DATE(2026,8,1),"m"),IF($D52="Quarterly",3,IF($D52="Annual",12,1)))=0),IF((COUNTIFS(Xero_Raw!$D$4:$D$5003,$A52,Xero_Raw!$G$4:$G$5003,"*Subscription*",Xero_Raw!$A$4:$A$5003,"&gt;="&amp;DATE(2026,8,1),Xero_Raw!$A$4:$A$5003,"&lt;"&amp;EDATE(DATE(2026,8,1),1))+COUNTIFS(Customer_Invoices_Upload!$E$4:$E$5003,$A52,Customer_Invoices_Upload!$G$4:$G$5003,"*Subscription*",Customer_Invoices_Upload!$B$4:$B$5003,"&gt;="&amp;DATE(2026,8,1),Customer_Invoices_Upload!$B$4:$B$5003,"&lt;"&amp;EDATE(DATE(2026,8,1),1))+COUNTIFS(Stripe_Invoices_Upload!$D$4:$D$5003,$A52,Stripe_Invoices_Upload!$E$4:$E$5003,"*Subscription*",Stripe_Invoices_Upload!$A$4:$A$5003,"&gt;="&amp;DATE(2026,8,1),Stripe_Invoices_Upload!$A$4:$A$5003,"&lt;"&amp;EDATE(DATE(2026,8,1),1)))&gt;0,"✓ Invoiced","⚠ Due"),""),""))</f>
        <v/>
      </c>
      <c r="L52" s="130" t="str">
        <f aca="false">IF($A52="","",IF((DATE(YEAR($E52),MONTH($E52),1)&lt;=DATE(2026,9,1)),IF((MOD(DATEDIF(DATE(YEAR($E52),MONTH($E52),1),DATE(2026,9,1),"m"),IF($D52="Quarterly",3,IF($D52="Annual",12,1)))=0),IF((COUNTIFS(Xero_Raw!$D$4:$D$5003,$A52,Xero_Raw!$G$4:$G$5003,"*Subscription*",Xero_Raw!$A$4:$A$5003,"&gt;="&amp;DATE(2026,9,1),Xero_Raw!$A$4:$A$5003,"&lt;"&amp;EDATE(DATE(2026,9,1),1))+COUNTIFS(Customer_Invoices_Upload!$E$4:$E$5003,$A52,Customer_Invoices_Upload!$G$4:$G$5003,"*Subscription*",Customer_Invoices_Upload!$B$4:$B$5003,"&gt;="&amp;DATE(2026,9,1),Customer_Invoices_Upload!$B$4:$B$5003,"&lt;"&amp;EDATE(DATE(2026,9,1),1))+COUNTIFS(Stripe_Invoices_Upload!$D$4:$D$5003,$A52,Stripe_Invoices_Upload!$E$4:$E$5003,"*Subscription*",Stripe_Invoices_Upload!$A$4:$A$5003,"&gt;="&amp;DATE(2026,9,1),Stripe_Invoices_Upload!$A$4:$A$5003,"&lt;"&amp;EDATE(DATE(2026,9,1),1)))&gt;0,"✓ Invoiced","⚠ Due"),""),""))</f>
        <v/>
      </c>
      <c r="M52" s="130" t="str">
        <f aca="false">IF($A52="","",IF((DATE(YEAR($E52),MONTH($E52),1)&lt;=DATE(2026,10,1)),IF((MOD(DATEDIF(DATE(YEAR($E52),MONTH($E52),1),DATE(2026,10,1),"m"),IF($D52="Quarterly",3,IF($D52="Annual",12,1)))=0),IF((COUNTIFS(Xero_Raw!$D$4:$D$5003,$A52,Xero_Raw!$G$4:$G$5003,"*Subscription*",Xero_Raw!$A$4:$A$5003,"&gt;="&amp;DATE(2026,10,1),Xero_Raw!$A$4:$A$5003,"&lt;"&amp;EDATE(DATE(2026,10,1),1))+COUNTIFS(Customer_Invoices_Upload!$E$4:$E$5003,$A52,Customer_Invoices_Upload!$G$4:$G$5003,"*Subscription*",Customer_Invoices_Upload!$B$4:$B$5003,"&gt;="&amp;DATE(2026,10,1),Customer_Invoices_Upload!$B$4:$B$5003,"&lt;"&amp;EDATE(DATE(2026,10,1),1))+COUNTIFS(Stripe_Invoices_Upload!$D$4:$D$5003,$A52,Stripe_Invoices_Upload!$E$4:$E$5003,"*Subscription*",Stripe_Invoices_Upload!$A$4:$A$5003,"&gt;="&amp;DATE(2026,10,1),Stripe_Invoices_Upload!$A$4:$A$5003,"&lt;"&amp;EDATE(DATE(2026,10,1),1)))&gt;0,"✓ Invoiced","⚠ Due"),""),""))</f>
        <v/>
      </c>
      <c r="N52" s="130" t="str">
        <f aca="false">IF($A52="","",IF((DATE(YEAR($E52),MONTH($E52),1)&lt;=DATE(2026,11,1)),IF((MOD(DATEDIF(DATE(YEAR($E52),MONTH($E52),1),DATE(2026,11,1),"m"),IF($D52="Quarterly",3,IF($D52="Annual",12,1)))=0),IF((COUNTIFS(Xero_Raw!$D$4:$D$5003,$A52,Xero_Raw!$G$4:$G$5003,"*Subscription*",Xero_Raw!$A$4:$A$5003,"&gt;="&amp;DATE(2026,11,1),Xero_Raw!$A$4:$A$5003,"&lt;"&amp;EDATE(DATE(2026,11,1),1))+COUNTIFS(Customer_Invoices_Upload!$E$4:$E$5003,$A52,Customer_Invoices_Upload!$G$4:$G$5003,"*Subscription*",Customer_Invoices_Upload!$B$4:$B$5003,"&gt;="&amp;DATE(2026,11,1),Customer_Invoices_Upload!$B$4:$B$5003,"&lt;"&amp;EDATE(DATE(2026,11,1),1))+COUNTIFS(Stripe_Invoices_Upload!$D$4:$D$5003,$A52,Stripe_Invoices_Upload!$E$4:$E$5003,"*Subscription*",Stripe_Invoices_Upload!$A$4:$A$5003,"&gt;="&amp;DATE(2026,11,1),Stripe_Invoices_Upload!$A$4:$A$5003,"&lt;"&amp;EDATE(DATE(2026,11,1),1)))&gt;0,"✓ Invoiced","⚠ Due"),""),""))</f>
        <v/>
      </c>
      <c r="O52" s="130" t="str">
        <f aca="false">IF($A52="","",IF((DATE(YEAR($E52),MONTH($E52),1)&lt;=DATE(2026,12,1)),IF((MOD(DATEDIF(DATE(YEAR($E52),MONTH($E52),1),DATE(2026,12,1),"m"),IF($D52="Quarterly",3,IF($D52="Annual",12,1)))=0),IF((COUNTIFS(Xero_Raw!$D$4:$D$5003,$A52,Xero_Raw!$G$4:$G$5003,"*Subscription*",Xero_Raw!$A$4:$A$5003,"&gt;="&amp;DATE(2026,12,1),Xero_Raw!$A$4:$A$5003,"&lt;"&amp;EDATE(DATE(2026,12,1),1))+COUNTIFS(Customer_Invoices_Upload!$E$4:$E$5003,$A52,Customer_Invoices_Upload!$G$4:$G$5003,"*Subscription*",Customer_Invoices_Upload!$B$4:$B$5003,"&gt;="&amp;DATE(2026,12,1),Customer_Invoices_Upload!$B$4:$B$5003,"&lt;"&amp;EDATE(DATE(2026,12,1),1))+COUNTIFS(Stripe_Invoices_Upload!$D$4:$D$5003,$A52,Stripe_Invoices_Upload!$E$4:$E$5003,"*Subscription*",Stripe_Invoices_Upload!$A$4:$A$5003,"&gt;="&amp;DATE(2026,12,1),Stripe_Invoices_Upload!$A$4:$A$5003,"&lt;"&amp;EDATE(DATE(2026,12,1),1)))&gt;0,"✓ Invoiced","⚠ Due"),""),""))</f>
        <v/>
      </c>
      <c r="P52" s="130" t="str">
        <f aca="false">IF($A52="","",IF((DATE(YEAR($E52),MONTH($E52),1)&lt;=DATE(2027,1,1)),IF((MOD(DATEDIF(DATE(YEAR($E52),MONTH($E52),1),DATE(2027,1,1),"m"),IF($D52="Quarterly",3,IF($D52="Annual",12,1)))=0),IF((COUNTIFS(Xero_Raw!$D$4:$D$5003,$A52,Xero_Raw!$G$4:$G$5003,"*Subscription*",Xero_Raw!$A$4:$A$5003,"&gt;="&amp;DATE(2027,1,1),Xero_Raw!$A$4:$A$5003,"&lt;"&amp;EDATE(DATE(2027,1,1),1))+COUNTIFS(Customer_Invoices_Upload!$E$4:$E$5003,$A52,Customer_Invoices_Upload!$G$4:$G$5003,"*Subscription*",Customer_Invoices_Upload!$B$4:$B$5003,"&gt;="&amp;DATE(2027,1,1),Customer_Invoices_Upload!$B$4:$B$5003,"&lt;"&amp;EDATE(DATE(2027,1,1),1))+COUNTIFS(Stripe_Invoices_Upload!$D$4:$D$5003,$A52,Stripe_Invoices_Upload!$E$4:$E$5003,"*Subscription*",Stripe_Invoices_Upload!$A$4:$A$5003,"&gt;="&amp;DATE(2027,1,1),Stripe_Invoices_Upload!$A$4:$A$5003,"&lt;"&amp;EDATE(DATE(2027,1,1),1)))&gt;0,"✓ Invoiced","⚠ Due"),""),""))</f>
        <v/>
      </c>
      <c r="Q52" s="130" t="str">
        <f aca="false">IF($A52="","",IF((DATE(YEAR($E52),MONTH($E52),1)&lt;=DATE(2027,2,1)),IF((MOD(DATEDIF(DATE(YEAR($E52),MONTH($E52),1),DATE(2027,2,1),"m"),IF($D52="Quarterly",3,IF($D52="Annual",12,1)))=0),IF((COUNTIFS(Xero_Raw!$D$4:$D$5003,$A52,Xero_Raw!$G$4:$G$5003,"*Subscription*",Xero_Raw!$A$4:$A$5003,"&gt;="&amp;DATE(2027,2,1),Xero_Raw!$A$4:$A$5003,"&lt;"&amp;EDATE(DATE(2027,2,1),1))+COUNTIFS(Customer_Invoices_Upload!$E$4:$E$5003,$A52,Customer_Invoices_Upload!$G$4:$G$5003,"*Subscription*",Customer_Invoices_Upload!$B$4:$B$5003,"&gt;="&amp;DATE(2027,2,1),Customer_Invoices_Upload!$B$4:$B$5003,"&lt;"&amp;EDATE(DATE(2027,2,1),1))+COUNTIFS(Stripe_Invoices_Upload!$D$4:$D$5003,$A52,Stripe_Invoices_Upload!$E$4:$E$5003,"*Subscription*",Stripe_Invoices_Upload!$A$4:$A$5003,"&gt;="&amp;DATE(2027,2,1),Stripe_Invoices_Upload!$A$4:$A$5003,"&lt;"&amp;EDATE(DATE(2027,2,1),1)))&gt;0,"✓ Invoiced","⚠ Due"),""),""))</f>
        <v/>
      </c>
      <c r="R52" s="130" t="str">
        <f aca="false">IF($A52="","",IF((DATE(YEAR($E52),MONTH($E52),1)&lt;=DATE(2027,3,1)),IF((MOD(DATEDIF(DATE(YEAR($E52),MONTH($E52),1),DATE(2027,3,1),"m"),IF($D52="Quarterly",3,IF($D52="Annual",12,1)))=0),IF((COUNTIFS(Xero_Raw!$D$4:$D$5003,$A52,Xero_Raw!$G$4:$G$5003,"*Subscription*",Xero_Raw!$A$4:$A$5003,"&gt;="&amp;DATE(2027,3,1),Xero_Raw!$A$4:$A$5003,"&lt;"&amp;EDATE(DATE(2027,3,1),1))+COUNTIFS(Customer_Invoices_Upload!$E$4:$E$5003,$A52,Customer_Invoices_Upload!$G$4:$G$5003,"*Subscription*",Customer_Invoices_Upload!$B$4:$B$5003,"&gt;="&amp;DATE(2027,3,1),Customer_Invoices_Upload!$B$4:$B$5003,"&lt;"&amp;EDATE(DATE(2027,3,1),1))+COUNTIFS(Stripe_Invoices_Upload!$D$4:$D$5003,$A52,Stripe_Invoices_Upload!$E$4:$E$5003,"*Subscription*",Stripe_Invoices_Upload!$A$4:$A$5003,"&gt;="&amp;DATE(2027,3,1),Stripe_Invoices_Upload!$A$4:$A$5003,"&lt;"&amp;EDATE(DATE(2027,3,1),1)))&gt;0,"✓ Invoiced","⚠ Due"),""),""))</f>
        <v/>
      </c>
    </row>
    <row r="53" customFormat="false" ht="15" hidden="false" customHeight="false" outlineLevel="0" collapsed="false">
      <c r="A53" s="39"/>
      <c r="B53" s="39"/>
      <c r="C53" s="40"/>
      <c r="D53" s="39"/>
      <c r="E53" s="38"/>
      <c r="F53" s="129" t="str">
        <f aca="true">IF($A53="","",EDATE($E53,DATEDIF($E53,TODAY(),"m")+1))</f>
        <v/>
      </c>
      <c r="G53" s="130" t="str">
        <f aca="false">IF($A53="","",IF((DATE(YEAR($E53),MONTH($E53),1)&lt;=DATE(2026,4,1)),IF((MOD(DATEDIF(DATE(YEAR($E53),MONTH($E53),1),DATE(2026,4,1),"m"),IF($D53="Quarterly",3,IF($D53="Annual",12,1)))=0),IF((COUNTIFS(Xero_Raw!$D$4:$D$5003,$A53,Xero_Raw!$G$4:$G$5003,"*Subscription*",Xero_Raw!$A$4:$A$5003,"&gt;="&amp;DATE(2026,4,1),Xero_Raw!$A$4:$A$5003,"&lt;"&amp;EDATE(DATE(2026,4,1),1))+COUNTIFS(Customer_Invoices_Upload!$E$4:$E$5003,$A53,Customer_Invoices_Upload!$G$4:$G$5003,"*Subscription*",Customer_Invoices_Upload!$B$4:$B$5003,"&gt;="&amp;DATE(2026,4,1),Customer_Invoices_Upload!$B$4:$B$5003,"&lt;"&amp;EDATE(DATE(2026,4,1),1))+COUNTIFS(Stripe_Invoices_Upload!$D$4:$D$5003,$A53,Stripe_Invoices_Upload!$E$4:$E$5003,"*Subscription*",Stripe_Invoices_Upload!$A$4:$A$5003,"&gt;="&amp;DATE(2026,4,1),Stripe_Invoices_Upload!$A$4:$A$5003,"&lt;"&amp;EDATE(DATE(2026,4,1),1)))&gt;0,"✓ Invoiced","⚠ Due"),""),""))</f>
        <v/>
      </c>
      <c r="H53" s="130" t="str">
        <f aca="false">IF($A53="","",IF((DATE(YEAR($E53),MONTH($E53),1)&lt;=DATE(2026,5,1)),IF((MOD(DATEDIF(DATE(YEAR($E53),MONTH($E53),1),DATE(2026,5,1),"m"),IF($D53="Quarterly",3,IF($D53="Annual",12,1)))=0),IF((COUNTIFS(Xero_Raw!$D$4:$D$5003,$A53,Xero_Raw!$G$4:$G$5003,"*Subscription*",Xero_Raw!$A$4:$A$5003,"&gt;="&amp;DATE(2026,5,1),Xero_Raw!$A$4:$A$5003,"&lt;"&amp;EDATE(DATE(2026,5,1),1))+COUNTIFS(Customer_Invoices_Upload!$E$4:$E$5003,$A53,Customer_Invoices_Upload!$G$4:$G$5003,"*Subscription*",Customer_Invoices_Upload!$B$4:$B$5003,"&gt;="&amp;DATE(2026,5,1),Customer_Invoices_Upload!$B$4:$B$5003,"&lt;"&amp;EDATE(DATE(2026,5,1),1))+COUNTIFS(Stripe_Invoices_Upload!$D$4:$D$5003,$A53,Stripe_Invoices_Upload!$E$4:$E$5003,"*Subscription*",Stripe_Invoices_Upload!$A$4:$A$5003,"&gt;="&amp;DATE(2026,5,1),Stripe_Invoices_Upload!$A$4:$A$5003,"&lt;"&amp;EDATE(DATE(2026,5,1),1)))&gt;0,"✓ Invoiced","⚠ Due"),""),""))</f>
        <v/>
      </c>
      <c r="I53" s="130" t="str">
        <f aca="false">IF($A53="","",IF((DATE(YEAR($E53),MONTH($E53),1)&lt;=DATE(2026,6,1)),IF((MOD(DATEDIF(DATE(YEAR($E53),MONTH($E53),1),DATE(2026,6,1),"m"),IF($D53="Quarterly",3,IF($D53="Annual",12,1)))=0),IF((COUNTIFS(Xero_Raw!$D$4:$D$5003,$A53,Xero_Raw!$G$4:$G$5003,"*Subscription*",Xero_Raw!$A$4:$A$5003,"&gt;="&amp;DATE(2026,6,1),Xero_Raw!$A$4:$A$5003,"&lt;"&amp;EDATE(DATE(2026,6,1),1))+COUNTIFS(Customer_Invoices_Upload!$E$4:$E$5003,$A53,Customer_Invoices_Upload!$G$4:$G$5003,"*Subscription*",Customer_Invoices_Upload!$B$4:$B$5003,"&gt;="&amp;DATE(2026,6,1),Customer_Invoices_Upload!$B$4:$B$5003,"&lt;"&amp;EDATE(DATE(2026,6,1),1))+COUNTIFS(Stripe_Invoices_Upload!$D$4:$D$5003,$A53,Stripe_Invoices_Upload!$E$4:$E$5003,"*Subscription*",Stripe_Invoices_Upload!$A$4:$A$5003,"&gt;="&amp;DATE(2026,6,1),Stripe_Invoices_Upload!$A$4:$A$5003,"&lt;"&amp;EDATE(DATE(2026,6,1),1)))&gt;0,"✓ Invoiced","⚠ Due"),""),""))</f>
        <v/>
      </c>
      <c r="J53" s="130" t="str">
        <f aca="false">IF($A53="","",IF((DATE(YEAR($E53),MONTH($E53),1)&lt;=DATE(2026,7,1)),IF((MOD(DATEDIF(DATE(YEAR($E53),MONTH($E53),1),DATE(2026,7,1),"m"),IF($D53="Quarterly",3,IF($D53="Annual",12,1)))=0),IF((COUNTIFS(Xero_Raw!$D$4:$D$5003,$A53,Xero_Raw!$G$4:$G$5003,"*Subscription*",Xero_Raw!$A$4:$A$5003,"&gt;="&amp;DATE(2026,7,1),Xero_Raw!$A$4:$A$5003,"&lt;"&amp;EDATE(DATE(2026,7,1),1))+COUNTIFS(Customer_Invoices_Upload!$E$4:$E$5003,$A53,Customer_Invoices_Upload!$G$4:$G$5003,"*Subscription*",Customer_Invoices_Upload!$B$4:$B$5003,"&gt;="&amp;DATE(2026,7,1),Customer_Invoices_Upload!$B$4:$B$5003,"&lt;"&amp;EDATE(DATE(2026,7,1),1))+COUNTIFS(Stripe_Invoices_Upload!$D$4:$D$5003,$A53,Stripe_Invoices_Upload!$E$4:$E$5003,"*Subscription*",Stripe_Invoices_Upload!$A$4:$A$5003,"&gt;="&amp;DATE(2026,7,1),Stripe_Invoices_Upload!$A$4:$A$5003,"&lt;"&amp;EDATE(DATE(2026,7,1),1)))&gt;0,"✓ Invoiced","⚠ Due"),""),""))</f>
        <v/>
      </c>
      <c r="K53" s="130" t="str">
        <f aca="false">IF($A53="","",IF((DATE(YEAR($E53),MONTH($E53),1)&lt;=DATE(2026,8,1)),IF((MOD(DATEDIF(DATE(YEAR($E53),MONTH($E53),1),DATE(2026,8,1),"m"),IF($D53="Quarterly",3,IF($D53="Annual",12,1)))=0),IF((COUNTIFS(Xero_Raw!$D$4:$D$5003,$A53,Xero_Raw!$G$4:$G$5003,"*Subscription*",Xero_Raw!$A$4:$A$5003,"&gt;="&amp;DATE(2026,8,1),Xero_Raw!$A$4:$A$5003,"&lt;"&amp;EDATE(DATE(2026,8,1),1))+COUNTIFS(Customer_Invoices_Upload!$E$4:$E$5003,$A53,Customer_Invoices_Upload!$G$4:$G$5003,"*Subscription*",Customer_Invoices_Upload!$B$4:$B$5003,"&gt;="&amp;DATE(2026,8,1),Customer_Invoices_Upload!$B$4:$B$5003,"&lt;"&amp;EDATE(DATE(2026,8,1),1))+COUNTIFS(Stripe_Invoices_Upload!$D$4:$D$5003,$A53,Stripe_Invoices_Upload!$E$4:$E$5003,"*Subscription*",Stripe_Invoices_Upload!$A$4:$A$5003,"&gt;="&amp;DATE(2026,8,1),Stripe_Invoices_Upload!$A$4:$A$5003,"&lt;"&amp;EDATE(DATE(2026,8,1),1)))&gt;0,"✓ Invoiced","⚠ Due"),""),""))</f>
        <v/>
      </c>
      <c r="L53" s="130" t="str">
        <f aca="false">IF($A53="","",IF((DATE(YEAR($E53),MONTH($E53),1)&lt;=DATE(2026,9,1)),IF((MOD(DATEDIF(DATE(YEAR($E53),MONTH($E53),1),DATE(2026,9,1),"m"),IF($D53="Quarterly",3,IF($D53="Annual",12,1)))=0),IF((COUNTIFS(Xero_Raw!$D$4:$D$5003,$A53,Xero_Raw!$G$4:$G$5003,"*Subscription*",Xero_Raw!$A$4:$A$5003,"&gt;="&amp;DATE(2026,9,1),Xero_Raw!$A$4:$A$5003,"&lt;"&amp;EDATE(DATE(2026,9,1),1))+COUNTIFS(Customer_Invoices_Upload!$E$4:$E$5003,$A53,Customer_Invoices_Upload!$G$4:$G$5003,"*Subscription*",Customer_Invoices_Upload!$B$4:$B$5003,"&gt;="&amp;DATE(2026,9,1),Customer_Invoices_Upload!$B$4:$B$5003,"&lt;"&amp;EDATE(DATE(2026,9,1),1))+COUNTIFS(Stripe_Invoices_Upload!$D$4:$D$5003,$A53,Stripe_Invoices_Upload!$E$4:$E$5003,"*Subscription*",Stripe_Invoices_Upload!$A$4:$A$5003,"&gt;="&amp;DATE(2026,9,1),Stripe_Invoices_Upload!$A$4:$A$5003,"&lt;"&amp;EDATE(DATE(2026,9,1),1)))&gt;0,"✓ Invoiced","⚠ Due"),""),""))</f>
        <v/>
      </c>
      <c r="M53" s="130" t="str">
        <f aca="false">IF($A53="","",IF((DATE(YEAR($E53),MONTH($E53),1)&lt;=DATE(2026,10,1)),IF((MOD(DATEDIF(DATE(YEAR($E53),MONTH($E53),1),DATE(2026,10,1),"m"),IF($D53="Quarterly",3,IF($D53="Annual",12,1)))=0),IF((COUNTIFS(Xero_Raw!$D$4:$D$5003,$A53,Xero_Raw!$G$4:$G$5003,"*Subscription*",Xero_Raw!$A$4:$A$5003,"&gt;="&amp;DATE(2026,10,1),Xero_Raw!$A$4:$A$5003,"&lt;"&amp;EDATE(DATE(2026,10,1),1))+COUNTIFS(Customer_Invoices_Upload!$E$4:$E$5003,$A53,Customer_Invoices_Upload!$G$4:$G$5003,"*Subscription*",Customer_Invoices_Upload!$B$4:$B$5003,"&gt;="&amp;DATE(2026,10,1),Customer_Invoices_Upload!$B$4:$B$5003,"&lt;"&amp;EDATE(DATE(2026,10,1),1))+COUNTIFS(Stripe_Invoices_Upload!$D$4:$D$5003,$A53,Stripe_Invoices_Upload!$E$4:$E$5003,"*Subscription*",Stripe_Invoices_Upload!$A$4:$A$5003,"&gt;="&amp;DATE(2026,10,1),Stripe_Invoices_Upload!$A$4:$A$5003,"&lt;"&amp;EDATE(DATE(2026,10,1),1)))&gt;0,"✓ Invoiced","⚠ Due"),""),""))</f>
        <v/>
      </c>
      <c r="N53" s="130" t="str">
        <f aca="false">IF($A53="","",IF((DATE(YEAR($E53),MONTH($E53),1)&lt;=DATE(2026,11,1)),IF((MOD(DATEDIF(DATE(YEAR($E53),MONTH($E53),1),DATE(2026,11,1),"m"),IF($D53="Quarterly",3,IF($D53="Annual",12,1)))=0),IF((COUNTIFS(Xero_Raw!$D$4:$D$5003,$A53,Xero_Raw!$G$4:$G$5003,"*Subscription*",Xero_Raw!$A$4:$A$5003,"&gt;="&amp;DATE(2026,11,1),Xero_Raw!$A$4:$A$5003,"&lt;"&amp;EDATE(DATE(2026,11,1),1))+COUNTIFS(Customer_Invoices_Upload!$E$4:$E$5003,$A53,Customer_Invoices_Upload!$G$4:$G$5003,"*Subscription*",Customer_Invoices_Upload!$B$4:$B$5003,"&gt;="&amp;DATE(2026,11,1),Customer_Invoices_Upload!$B$4:$B$5003,"&lt;"&amp;EDATE(DATE(2026,11,1),1))+COUNTIFS(Stripe_Invoices_Upload!$D$4:$D$5003,$A53,Stripe_Invoices_Upload!$E$4:$E$5003,"*Subscription*",Stripe_Invoices_Upload!$A$4:$A$5003,"&gt;="&amp;DATE(2026,11,1),Stripe_Invoices_Upload!$A$4:$A$5003,"&lt;"&amp;EDATE(DATE(2026,11,1),1)))&gt;0,"✓ Invoiced","⚠ Due"),""),""))</f>
        <v/>
      </c>
      <c r="O53" s="130" t="str">
        <f aca="false">IF($A53="","",IF((DATE(YEAR($E53),MONTH($E53),1)&lt;=DATE(2026,12,1)),IF((MOD(DATEDIF(DATE(YEAR($E53),MONTH($E53),1),DATE(2026,12,1),"m"),IF($D53="Quarterly",3,IF($D53="Annual",12,1)))=0),IF((COUNTIFS(Xero_Raw!$D$4:$D$5003,$A53,Xero_Raw!$G$4:$G$5003,"*Subscription*",Xero_Raw!$A$4:$A$5003,"&gt;="&amp;DATE(2026,12,1),Xero_Raw!$A$4:$A$5003,"&lt;"&amp;EDATE(DATE(2026,12,1),1))+COUNTIFS(Customer_Invoices_Upload!$E$4:$E$5003,$A53,Customer_Invoices_Upload!$G$4:$G$5003,"*Subscription*",Customer_Invoices_Upload!$B$4:$B$5003,"&gt;="&amp;DATE(2026,12,1),Customer_Invoices_Upload!$B$4:$B$5003,"&lt;"&amp;EDATE(DATE(2026,12,1),1))+COUNTIFS(Stripe_Invoices_Upload!$D$4:$D$5003,$A53,Stripe_Invoices_Upload!$E$4:$E$5003,"*Subscription*",Stripe_Invoices_Upload!$A$4:$A$5003,"&gt;="&amp;DATE(2026,12,1),Stripe_Invoices_Upload!$A$4:$A$5003,"&lt;"&amp;EDATE(DATE(2026,12,1),1)))&gt;0,"✓ Invoiced","⚠ Due"),""),""))</f>
        <v/>
      </c>
      <c r="P53" s="130" t="str">
        <f aca="false">IF($A53="","",IF((DATE(YEAR($E53),MONTH($E53),1)&lt;=DATE(2027,1,1)),IF((MOD(DATEDIF(DATE(YEAR($E53),MONTH($E53),1),DATE(2027,1,1),"m"),IF($D53="Quarterly",3,IF($D53="Annual",12,1)))=0),IF((COUNTIFS(Xero_Raw!$D$4:$D$5003,$A53,Xero_Raw!$G$4:$G$5003,"*Subscription*",Xero_Raw!$A$4:$A$5003,"&gt;="&amp;DATE(2027,1,1),Xero_Raw!$A$4:$A$5003,"&lt;"&amp;EDATE(DATE(2027,1,1),1))+COUNTIFS(Customer_Invoices_Upload!$E$4:$E$5003,$A53,Customer_Invoices_Upload!$G$4:$G$5003,"*Subscription*",Customer_Invoices_Upload!$B$4:$B$5003,"&gt;="&amp;DATE(2027,1,1),Customer_Invoices_Upload!$B$4:$B$5003,"&lt;"&amp;EDATE(DATE(2027,1,1),1))+COUNTIFS(Stripe_Invoices_Upload!$D$4:$D$5003,$A53,Stripe_Invoices_Upload!$E$4:$E$5003,"*Subscription*",Stripe_Invoices_Upload!$A$4:$A$5003,"&gt;="&amp;DATE(2027,1,1),Stripe_Invoices_Upload!$A$4:$A$5003,"&lt;"&amp;EDATE(DATE(2027,1,1),1)))&gt;0,"✓ Invoiced","⚠ Due"),""),""))</f>
        <v/>
      </c>
      <c r="Q53" s="130" t="str">
        <f aca="false">IF($A53="","",IF((DATE(YEAR($E53),MONTH($E53),1)&lt;=DATE(2027,2,1)),IF((MOD(DATEDIF(DATE(YEAR($E53),MONTH($E53),1),DATE(2027,2,1),"m"),IF($D53="Quarterly",3,IF($D53="Annual",12,1)))=0),IF((COUNTIFS(Xero_Raw!$D$4:$D$5003,$A53,Xero_Raw!$G$4:$G$5003,"*Subscription*",Xero_Raw!$A$4:$A$5003,"&gt;="&amp;DATE(2027,2,1),Xero_Raw!$A$4:$A$5003,"&lt;"&amp;EDATE(DATE(2027,2,1),1))+COUNTIFS(Customer_Invoices_Upload!$E$4:$E$5003,$A53,Customer_Invoices_Upload!$G$4:$G$5003,"*Subscription*",Customer_Invoices_Upload!$B$4:$B$5003,"&gt;="&amp;DATE(2027,2,1),Customer_Invoices_Upload!$B$4:$B$5003,"&lt;"&amp;EDATE(DATE(2027,2,1),1))+COUNTIFS(Stripe_Invoices_Upload!$D$4:$D$5003,$A53,Stripe_Invoices_Upload!$E$4:$E$5003,"*Subscription*",Stripe_Invoices_Upload!$A$4:$A$5003,"&gt;="&amp;DATE(2027,2,1),Stripe_Invoices_Upload!$A$4:$A$5003,"&lt;"&amp;EDATE(DATE(2027,2,1),1)))&gt;0,"✓ Invoiced","⚠ Due"),""),""))</f>
        <v/>
      </c>
      <c r="R53" s="130" t="str">
        <f aca="false">IF($A53="","",IF((DATE(YEAR($E53),MONTH($E53),1)&lt;=DATE(2027,3,1)),IF((MOD(DATEDIF(DATE(YEAR($E53),MONTH($E53),1),DATE(2027,3,1),"m"),IF($D53="Quarterly",3,IF($D53="Annual",12,1)))=0),IF((COUNTIFS(Xero_Raw!$D$4:$D$5003,$A53,Xero_Raw!$G$4:$G$5003,"*Subscription*",Xero_Raw!$A$4:$A$5003,"&gt;="&amp;DATE(2027,3,1),Xero_Raw!$A$4:$A$5003,"&lt;"&amp;EDATE(DATE(2027,3,1),1))+COUNTIFS(Customer_Invoices_Upload!$E$4:$E$5003,$A53,Customer_Invoices_Upload!$G$4:$G$5003,"*Subscription*",Customer_Invoices_Upload!$B$4:$B$5003,"&gt;="&amp;DATE(2027,3,1),Customer_Invoices_Upload!$B$4:$B$5003,"&lt;"&amp;EDATE(DATE(2027,3,1),1))+COUNTIFS(Stripe_Invoices_Upload!$D$4:$D$5003,$A53,Stripe_Invoices_Upload!$E$4:$E$5003,"*Subscription*",Stripe_Invoices_Upload!$A$4:$A$5003,"&gt;="&amp;DATE(2027,3,1),Stripe_Invoices_Upload!$A$4:$A$5003,"&lt;"&amp;EDATE(DATE(2027,3,1),1)))&gt;0,"✓ Invoiced","⚠ Due"),""),""))</f>
        <v/>
      </c>
    </row>
    <row r="54" customFormat="false" ht="15" hidden="false" customHeight="false" outlineLevel="0" collapsed="false">
      <c r="A54" s="39"/>
      <c r="B54" s="39"/>
      <c r="C54" s="40"/>
      <c r="D54" s="39"/>
      <c r="E54" s="38"/>
      <c r="F54" s="129" t="str">
        <f aca="true">IF($A54="","",EDATE($E54,DATEDIF($E54,TODAY(),"m")+1))</f>
        <v/>
      </c>
      <c r="G54" s="130" t="str">
        <f aca="false">IF($A54="","",IF((DATE(YEAR($E54),MONTH($E54),1)&lt;=DATE(2026,4,1)),IF((MOD(DATEDIF(DATE(YEAR($E54),MONTH($E54),1),DATE(2026,4,1),"m"),IF($D54="Quarterly",3,IF($D54="Annual",12,1)))=0),IF((COUNTIFS(Xero_Raw!$D$4:$D$5003,$A54,Xero_Raw!$G$4:$G$5003,"*Subscription*",Xero_Raw!$A$4:$A$5003,"&gt;="&amp;DATE(2026,4,1),Xero_Raw!$A$4:$A$5003,"&lt;"&amp;EDATE(DATE(2026,4,1),1))+COUNTIFS(Customer_Invoices_Upload!$E$4:$E$5003,$A54,Customer_Invoices_Upload!$G$4:$G$5003,"*Subscription*",Customer_Invoices_Upload!$B$4:$B$5003,"&gt;="&amp;DATE(2026,4,1),Customer_Invoices_Upload!$B$4:$B$5003,"&lt;"&amp;EDATE(DATE(2026,4,1),1))+COUNTIFS(Stripe_Invoices_Upload!$D$4:$D$5003,$A54,Stripe_Invoices_Upload!$E$4:$E$5003,"*Subscription*",Stripe_Invoices_Upload!$A$4:$A$5003,"&gt;="&amp;DATE(2026,4,1),Stripe_Invoices_Upload!$A$4:$A$5003,"&lt;"&amp;EDATE(DATE(2026,4,1),1)))&gt;0,"✓ Invoiced","⚠ Due"),""),""))</f>
        <v/>
      </c>
      <c r="H54" s="130" t="str">
        <f aca="false">IF($A54="","",IF((DATE(YEAR($E54),MONTH($E54),1)&lt;=DATE(2026,5,1)),IF((MOD(DATEDIF(DATE(YEAR($E54),MONTH($E54),1),DATE(2026,5,1),"m"),IF($D54="Quarterly",3,IF($D54="Annual",12,1)))=0),IF((COUNTIFS(Xero_Raw!$D$4:$D$5003,$A54,Xero_Raw!$G$4:$G$5003,"*Subscription*",Xero_Raw!$A$4:$A$5003,"&gt;="&amp;DATE(2026,5,1),Xero_Raw!$A$4:$A$5003,"&lt;"&amp;EDATE(DATE(2026,5,1),1))+COUNTIFS(Customer_Invoices_Upload!$E$4:$E$5003,$A54,Customer_Invoices_Upload!$G$4:$G$5003,"*Subscription*",Customer_Invoices_Upload!$B$4:$B$5003,"&gt;="&amp;DATE(2026,5,1),Customer_Invoices_Upload!$B$4:$B$5003,"&lt;"&amp;EDATE(DATE(2026,5,1),1))+COUNTIFS(Stripe_Invoices_Upload!$D$4:$D$5003,$A54,Stripe_Invoices_Upload!$E$4:$E$5003,"*Subscription*",Stripe_Invoices_Upload!$A$4:$A$5003,"&gt;="&amp;DATE(2026,5,1),Stripe_Invoices_Upload!$A$4:$A$5003,"&lt;"&amp;EDATE(DATE(2026,5,1),1)))&gt;0,"✓ Invoiced","⚠ Due"),""),""))</f>
        <v/>
      </c>
      <c r="I54" s="130" t="str">
        <f aca="false">IF($A54="","",IF((DATE(YEAR($E54),MONTH($E54),1)&lt;=DATE(2026,6,1)),IF((MOD(DATEDIF(DATE(YEAR($E54),MONTH($E54),1),DATE(2026,6,1),"m"),IF($D54="Quarterly",3,IF($D54="Annual",12,1)))=0),IF((COUNTIFS(Xero_Raw!$D$4:$D$5003,$A54,Xero_Raw!$G$4:$G$5003,"*Subscription*",Xero_Raw!$A$4:$A$5003,"&gt;="&amp;DATE(2026,6,1),Xero_Raw!$A$4:$A$5003,"&lt;"&amp;EDATE(DATE(2026,6,1),1))+COUNTIFS(Customer_Invoices_Upload!$E$4:$E$5003,$A54,Customer_Invoices_Upload!$G$4:$G$5003,"*Subscription*",Customer_Invoices_Upload!$B$4:$B$5003,"&gt;="&amp;DATE(2026,6,1),Customer_Invoices_Upload!$B$4:$B$5003,"&lt;"&amp;EDATE(DATE(2026,6,1),1))+COUNTIFS(Stripe_Invoices_Upload!$D$4:$D$5003,$A54,Stripe_Invoices_Upload!$E$4:$E$5003,"*Subscription*",Stripe_Invoices_Upload!$A$4:$A$5003,"&gt;="&amp;DATE(2026,6,1),Stripe_Invoices_Upload!$A$4:$A$5003,"&lt;"&amp;EDATE(DATE(2026,6,1),1)))&gt;0,"✓ Invoiced","⚠ Due"),""),""))</f>
        <v/>
      </c>
      <c r="J54" s="130" t="str">
        <f aca="false">IF($A54="","",IF((DATE(YEAR($E54),MONTH($E54),1)&lt;=DATE(2026,7,1)),IF((MOD(DATEDIF(DATE(YEAR($E54),MONTH($E54),1),DATE(2026,7,1),"m"),IF($D54="Quarterly",3,IF($D54="Annual",12,1)))=0),IF((COUNTIFS(Xero_Raw!$D$4:$D$5003,$A54,Xero_Raw!$G$4:$G$5003,"*Subscription*",Xero_Raw!$A$4:$A$5003,"&gt;="&amp;DATE(2026,7,1),Xero_Raw!$A$4:$A$5003,"&lt;"&amp;EDATE(DATE(2026,7,1),1))+COUNTIFS(Customer_Invoices_Upload!$E$4:$E$5003,$A54,Customer_Invoices_Upload!$G$4:$G$5003,"*Subscription*",Customer_Invoices_Upload!$B$4:$B$5003,"&gt;="&amp;DATE(2026,7,1),Customer_Invoices_Upload!$B$4:$B$5003,"&lt;"&amp;EDATE(DATE(2026,7,1),1))+COUNTIFS(Stripe_Invoices_Upload!$D$4:$D$5003,$A54,Stripe_Invoices_Upload!$E$4:$E$5003,"*Subscription*",Stripe_Invoices_Upload!$A$4:$A$5003,"&gt;="&amp;DATE(2026,7,1),Stripe_Invoices_Upload!$A$4:$A$5003,"&lt;"&amp;EDATE(DATE(2026,7,1),1)))&gt;0,"✓ Invoiced","⚠ Due"),""),""))</f>
        <v/>
      </c>
      <c r="K54" s="130" t="str">
        <f aca="false">IF($A54="","",IF((DATE(YEAR($E54),MONTH($E54),1)&lt;=DATE(2026,8,1)),IF((MOD(DATEDIF(DATE(YEAR($E54),MONTH($E54),1),DATE(2026,8,1),"m"),IF($D54="Quarterly",3,IF($D54="Annual",12,1)))=0),IF((COUNTIFS(Xero_Raw!$D$4:$D$5003,$A54,Xero_Raw!$G$4:$G$5003,"*Subscription*",Xero_Raw!$A$4:$A$5003,"&gt;="&amp;DATE(2026,8,1),Xero_Raw!$A$4:$A$5003,"&lt;"&amp;EDATE(DATE(2026,8,1),1))+COUNTIFS(Customer_Invoices_Upload!$E$4:$E$5003,$A54,Customer_Invoices_Upload!$G$4:$G$5003,"*Subscription*",Customer_Invoices_Upload!$B$4:$B$5003,"&gt;="&amp;DATE(2026,8,1),Customer_Invoices_Upload!$B$4:$B$5003,"&lt;"&amp;EDATE(DATE(2026,8,1),1))+COUNTIFS(Stripe_Invoices_Upload!$D$4:$D$5003,$A54,Stripe_Invoices_Upload!$E$4:$E$5003,"*Subscription*",Stripe_Invoices_Upload!$A$4:$A$5003,"&gt;="&amp;DATE(2026,8,1),Stripe_Invoices_Upload!$A$4:$A$5003,"&lt;"&amp;EDATE(DATE(2026,8,1),1)))&gt;0,"✓ Invoiced","⚠ Due"),""),""))</f>
        <v/>
      </c>
      <c r="L54" s="130" t="str">
        <f aca="false">IF($A54="","",IF((DATE(YEAR($E54),MONTH($E54),1)&lt;=DATE(2026,9,1)),IF((MOD(DATEDIF(DATE(YEAR($E54),MONTH($E54),1),DATE(2026,9,1),"m"),IF($D54="Quarterly",3,IF($D54="Annual",12,1)))=0),IF((COUNTIFS(Xero_Raw!$D$4:$D$5003,$A54,Xero_Raw!$G$4:$G$5003,"*Subscription*",Xero_Raw!$A$4:$A$5003,"&gt;="&amp;DATE(2026,9,1),Xero_Raw!$A$4:$A$5003,"&lt;"&amp;EDATE(DATE(2026,9,1),1))+COUNTIFS(Customer_Invoices_Upload!$E$4:$E$5003,$A54,Customer_Invoices_Upload!$G$4:$G$5003,"*Subscription*",Customer_Invoices_Upload!$B$4:$B$5003,"&gt;="&amp;DATE(2026,9,1),Customer_Invoices_Upload!$B$4:$B$5003,"&lt;"&amp;EDATE(DATE(2026,9,1),1))+COUNTIFS(Stripe_Invoices_Upload!$D$4:$D$5003,$A54,Stripe_Invoices_Upload!$E$4:$E$5003,"*Subscription*",Stripe_Invoices_Upload!$A$4:$A$5003,"&gt;="&amp;DATE(2026,9,1),Stripe_Invoices_Upload!$A$4:$A$5003,"&lt;"&amp;EDATE(DATE(2026,9,1),1)))&gt;0,"✓ Invoiced","⚠ Due"),""),""))</f>
        <v/>
      </c>
      <c r="M54" s="130" t="str">
        <f aca="false">IF($A54="","",IF((DATE(YEAR($E54),MONTH($E54),1)&lt;=DATE(2026,10,1)),IF((MOD(DATEDIF(DATE(YEAR($E54),MONTH($E54),1),DATE(2026,10,1),"m"),IF($D54="Quarterly",3,IF($D54="Annual",12,1)))=0),IF((COUNTIFS(Xero_Raw!$D$4:$D$5003,$A54,Xero_Raw!$G$4:$G$5003,"*Subscription*",Xero_Raw!$A$4:$A$5003,"&gt;="&amp;DATE(2026,10,1),Xero_Raw!$A$4:$A$5003,"&lt;"&amp;EDATE(DATE(2026,10,1),1))+COUNTIFS(Customer_Invoices_Upload!$E$4:$E$5003,$A54,Customer_Invoices_Upload!$G$4:$G$5003,"*Subscription*",Customer_Invoices_Upload!$B$4:$B$5003,"&gt;="&amp;DATE(2026,10,1),Customer_Invoices_Upload!$B$4:$B$5003,"&lt;"&amp;EDATE(DATE(2026,10,1),1))+COUNTIFS(Stripe_Invoices_Upload!$D$4:$D$5003,$A54,Stripe_Invoices_Upload!$E$4:$E$5003,"*Subscription*",Stripe_Invoices_Upload!$A$4:$A$5003,"&gt;="&amp;DATE(2026,10,1),Stripe_Invoices_Upload!$A$4:$A$5003,"&lt;"&amp;EDATE(DATE(2026,10,1),1)))&gt;0,"✓ Invoiced","⚠ Due"),""),""))</f>
        <v/>
      </c>
      <c r="N54" s="130" t="str">
        <f aca="false">IF($A54="","",IF((DATE(YEAR($E54),MONTH($E54),1)&lt;=DATE(2026,11,1)),IF((MOD(DATEDIF(DATE(YEAR($E54),MONTH($E54),1),DATE(2026,11,1),"m"),IF($D54="Quarterly",3,IF($D54="Annual",12,1)))=0),IF((COUNTIFS(Xero_Raw!$D$4:$D$5003,$A54,Xero_Raw!$G$4:$G$5003,"*Subscription*",Xero_Raw!$A$4:$A$5003,"&gt;="&amp;DATE(2026,11,1),Xero_Raw!$A$4:$A$5003,"&lt;"&amp;EDATE(DATE(2026,11,1),1))+COUNTIFS(Customer_Invoices_Upload!$E$4:$E$5003,$A54,Customer_Invoices_Upload!$G$4:$G$5003,"*Subscription*",Customer_Invoices_Upload!$B$4:$B$5003,"&gt;="&amp;DATE(2026,11,1),Customer_Invoices_Upload!$B$4:$B$5003,"&lt;"&amp;EDATE(DATE(2026,11,1),1))+COUNTIFS(Stripe_Invoices_Upload!$D$4:$D$5003,$A54,Stripe_Invoices_Upload!$E$4:$E$5003,"*Subscription*",Stripe_Invoices_Upload!$A$4:$A$5003,"&gt;="&amp;DATE(2026,11,1),Stripe_Invoices_Upload!$A$4:$A$5003,"&lt;"&amp;EDATE(DATE(2026,11,1),1)))&gt;0,"✓ Invoiced","⚠ Due"),""),""))</f>
        <v/>
      </c>
      <c r="O54" s="130" t="str">
        <f aca="false">IF($A54="","",IF((DATE(YEAR($E54),MONTH($E54),1)&lt;=DATE(2026,12,1)),IF((MOD(DATEDIF(DATE(YEAR($E54),MONTH($E54),1),DATE(2026,12,1),"m"),IF($D54="Quarterly",3,IF($D54="Annual",12,1)))=0),IF((COUNTIFS(Xero_Raw!$D$4:$D$5003,$A54,Xero_Raw!$G$4:$G$5003,"*Subscription*",Xero_Raw!$A$4:$A$5003,"&gt;="&amp;DATE(2026,12,1),Xero_Raw!$A$4:$A$5003,"&lt;"&amp;EDATE(DATE(2026,12,1),1))+COUNTIFS(Customer_Invoices_Upload!$E$4:$E$5003,$A54,Customer_Invoices_Upload!$G$4:$G$5003,"*Subscription*",Customer_Invoices_Upload!$B$4:$B$5003,"&gt;="&amp;DATE(2026,12,1),Customer_Invoices_Upload!$B$4:$B$5003,"&lt;"&amp;EDATE(DATE(2026,12,1),1))+COUNTIFS(Stripe_Invoices_Upload!$D$4:$D$5003,$A54,Stripe_Invoices_Upload!$E$4:$E$5003,"*Subscription*",Stripe_Invoices_Upload!$A$4:$A$5003,"&gt;="&amp;DATE(2026,12,1),Stripe_Invoices_Upload!$A$4:$A$5003,"&lt;"&amp;EDATE(DATE(2026,12,1),1)))&gt;0,"✓ Invoiced","⚠ Due"),""),""))</f>
        <v/>
      </c>
      <c r="P54" s="130" t="str">
        <f aca="false">IF($A54="","",IF((DATE(YEAR($E54),MONTH($E54),1)&lt;=DATE(2027,1,1)),IF((MOD(DATEDIF(DATE(YEAR($E54),MONTH($E54),1),DATE(2027,1,1),"m"),IF($D54="Quarterly",3,IF($D54="Annual",12,1)))=0),IF((COUNTIFS(Xero_Raw!$D$4:$D$5003,$A54,Xero_Raw!$G$4:$G$5003,"*Subscription*",Xero_Raw!$A$4:$A$5003,"&gt;="&amp;DATE(2027,1,1),Xero_Raw!$A$4:$A$5003,"&lt;"&amp;EDATE(DATE(2027,1,1),1))+COUNTIFS(Customer_Invoices_Upload!$E$4:$E$5003,$A54,Customer_Invoices_Upload!$G$4:$G$5003,"*Subscription*",Customer_Invoices_Upload!$B$4:$B$5003,"&gt;="&amp;DATE(2027,1,1),Customer_Invoices_Upload!$B$4:$B$5003,"&lt;"&amp;EDATE(DATE(2027,1,1),1))+COUNTIFS(Stripe_Invoices_Upload!$D$4:$D$5003,$A54,Stripe_Invoices_Upload!$E$4:$E$5003,"*Subscription*",Stripe_Invoices_Upload!$A$4:$A$5003,"&gt;="&amp;DATE(2027,1,1),Stripe_Invoices_Upload!$A$4:$A$5003,"&lt;"&amp;EDATE(DATE(2027,1,1),1)))&gt;0,"✓ Invoiced","⚠ Due"),""),""))</f>
        <v/>
      </c>
      <c r="Q54" s="130" t="str">
        <f aca="false">IF($A54="","",IF((DATE(YEAR($E54),MONTH($E54),1)&lt;=DATE(2027,2,1)),IF((MOD(DATEDIF(DATE(YEAR($E54),MONTH($E54),1),DATE(2027,2,1),"m"),IF($D54="Quarterly",3,IF($D54="Annual",12,1)))=0),IF((COUNTIFS(Xero_Raw!$D$4:$D$5003,$A54,Xero_Raw!$G$4:$G$5003,"*Subscription*",Xero_Raw!$A$4:$A$5003,"&gt;="&amp;DATE(2027,2,1),Xero_Raw!$A$4:$A$5003,"&lt;"&amp;EDATE(DATE(2027,2,1),1))+COUNTIFS(Customer_Invoices_Upload!$E$4:$E$5003,$A54,Customer_Invoices_Upload!$G$4:$G$5003,"*Subscription*",Customer_Invoices_Upload!$B$4:$B$5003,"&gt;="&amp;DATE(2027,2,1),Customer_Invoices_Upload!$B$4:$B$5003,"&lt;"&amp;EDATE(DATE(2027,2,1),1))+COUNTIFS(Stripe_Invoices_Upload!$D$4:$D$5003,$A54,Stripe_Invoices_Upload!$E$4:$E$5003,"*Subscription*",Stripe_Invoices_Upload!$A$4:$A$5003,"&gt;="&amp;DATE(2027,2,1),Stripe_Invoices_Upload!$A$4:$A$5003,"&lt;"&amp;EDATE(DATE(2027,2,1),1)))&gt;0,"✓ Invoiced","⚠ Due"),""),""))</f>
        <v/>
      </c>
      <c r="R54" s="130" t="str">
        <f aca="false">IF($A54="","",IF((DATE(YEAR($E54),MONTH($E54),1)&lt;=DATE(2027,3,1)),IF((MOD(DATEDIF(DATE(YEAR($E54),MONTH($E54),1),DATE(2027,3,1),"m"),IF($D54="Quarterly",3,IF($D54="Annual",12,1)))=0),IF((COUNTIFS(Xero_Raw!$D$4:$D$5003,$A54,Xero_Raw!$G$4:$G$5003,"*Subscription*",Xero_Raw!$A$4:$A$5003,"&gt;="&amp;DATE(2027,3,1),Xero_Raw!$A$4:$A$5003,"&lt;"&amp;EDATE(DATE(2027,3,1),1))+COUNTIFS(Customer_Invoices_Upload!$E$4:$E$5003,$A54,Customer_Invoices_Upload!$G$4:$G$5003,"*Subscription*",Customer_Invoices_Upload!$B$4:$B$5003,"&gt;="&amp;DATE(2027,3,1),Customer_Invoices_Upload!$B$4:$B$5003,"&lt;"&amp;EDATE(DATE(2027,3,1),1))+COUNTIFS(Stripe_Invoices_Upload!$D$4:$D$5003,$A54,Stripe_Invoices_Upload!$E$4:$E$5003,"*Subscription*",Stripe_Invoices_Upload!$A$4:$A$5003,"&gt;="&amp;DATE(2027,3,1),Stripe_Invoices_Upload!$A$4:$A$5003,"&lt;"&amp;EDATE(DATE(2027,3,1),1)))&gt;0,"✓ Invoiced","⚠ Due"),""),""))</f>
        <v/>
      </c>
    </row>
    <row r="55" customFormat="false" ht="15" hidden="false" customHeight="false" outlineLevel="0" collapsed="false">
      <c r="A55" s="39"/>
      <c r="B55" s="39"/>
      <c r="C55" s="40"/>
      <c r="D55" s="39"/>
      <c r="E55" s="38"/>
      <c r="F55" s="129" t="str">
        <f aca="true">IF($A55="","",EDATE($E55,DATEDIF($E55,TODAY(),"m")+1))</f>
        <v/>
      </c>
      <c r="G55" s="130" t="str">
        <f aca="false">IF($A55="","",IF((DATE(YEAR($E55),MONTH($E55),1)&lt;=DATE(2026,4,1)),IF((MOD(DATEDIF(DATE(YEAR($E55),MONTH($E55),1),DATE(2026,4,1),"m"),IF($D55="Quarterly",3,IF($D55="Annual",12,1)))=0),IF((COUNTIFS(Xero_Raw!$D$4:$D$5003,$A55,Xero_Raw!$G$4:$G$5003,"*Subscription*",Xero_Raw!$A$4:$A$5003,"&gt;="&amp;DATE(2026,4,1),Xero_Raw!$A$4:$A$5003,"&lt;"&amp;EDATE(DATE(2026,4,1),1))+COUNTIFS(Customer_Invoices_Upload!$E$4:$E$5003,$A55,Customer_Invoices_Upload!$G$4:$G$5003,"*Subscription*",Customer_Invoices_Upload!$B$4:$B$5003,"&gt;="&amp;DATE(2026,4,1),Customer_Invoices_Upload!$B$4:$B$5003,"&lt;"&amp;EDATE(DATE(2026,4,1),1))+COUNTIFS(Stripe_Invoices_Upload!$D$4:$D$5003,$A55,Stripe_Invoices_Upload!$E$4:$E$5003,"*Subscription*",Stripe_Invoices_Upload!$A$4:$A$5003,"&gt;="&amp;DATE(2026,4,1),Stripe_Invoices_Upload!$A$4:$A$5003,"&lt;"&amp;EDATE(DATE(2026,4,1),1)))&gt;0,"✓ Invoiced","⚠ Due"),""),""))</f>
        <v/>
      </c>
      <c r="H55" s="130" t="str">
        <f aca="false">IF($A55="","",IF((DATE(YEAR($E55),MONTH($E55),1)&lt;=DATE(2026,5,1)),IF((MOD(DATEDIF(DATE(YEAR($E55),MONTH($E55),1),DATE(2026,5,1),"m"),IF($D55="Quarterly",3,IF($D55="Annual",12,1)))=0),IF((COUNTIFS(Xero_Raw!$D$4:$D$5003,$A55,Xero_Raw!$G$4:$G$5003,"*Subscription*",Xero_Raw!$A$4:$A$5003,"&gt;="&amp;DATE(2026,5,1),Xero_Raw!$A$4:$A$5003,"&lt;"&amp;EDATE(DATE(2026,5,1),1))+COUNTIFS(Customer_Invoices_Upload!$E$4:$E$5003,$A55,Customer_Invoices_Upload!$G$4:$G$5003,"*Subscription*",Customer_Invoices_Upload!$B$4:$B$5003,"&gt;="&amp;DATE(2026,5,1),Customer_Invoices_Upload!$B$4:$B$5003,"&lt;"&amp;EDATE(DATE(2026,5,1),1))+COUNTIFS(Stripe_Invoices_Upload!$D$4:$D$5003,$A55,Stripe_Invoices_Upload!$E$4:$E$5003,"*Subscription*",Stripe_Invoices_Upload!$A$4:$A$5003,"&gt;="&amp;DATE(2026,5,1),Stripe_Invoices_Upload!$A$4:$A$5003,"&lt;"&amp;EDATE(DATE(2026,5,1),1)))&gt;0,"✓ Invoiced","⚠ Due"),""),""))</f>
        <v/>
      </c>
      <c r="I55" s="130" t="str">
        <f aca="false">IF($A55="","",IF((DATE(YEAR($E55),MONTH($E55),1)&lt;=DATE(2026,6,1)),IF((MOD(DATEDIF(DATE(YEAR($E55),MONTH($E55),1),DATE(2026,6,1),"m"),IF($D55="Quarterly",3,IF($D55="Annual",12,1)))=0),IF((COUNTIFS(Xero_Raw!$D$4:$D$5003,$A55,Xero_Raw!$G$4:$G$5003,"*Subscription*",Xero_Raw!$A$4:$A$5003,"&gt;="&amp;DATE(2026,6,1),Xero_Raw!$A$4:$A$5003,"&lt;"&amp;EDATE(DATE(2026,6,1),1))+COUNTIFS(Customer_Invoices_Upload!$E$4:$E$5003,$A55,Customer_Invoices_Upload!$G$4:$G$5003,"*Subscription*",Customer_Invoices_Upload!$B$4:$B$5003,"&gt;="&amp;DATE(2026,6,1),Customer_Invoices_Upload!$B$4:$B$5003,"&lt;"&amp;EDATE(DATE(2026,6,1),1))+COUNTIFS(Stripe_Invoices_Upload!$D$4:$D$5003,$A55,Stripe_Invoices_Upload!$E$4:$E$5003,"*Subscription*",Stripe_Invoices_Upload!$A$4:$A$5003,"&gt;="&amp;DATE(2026,6,1),Stripe_Invoices_Upload!$A$4:$A$5003,"&lt;"&amp;EDATE(DATE(2026,6,1),1)))&gt;0,"✓ Invoiced","⚠ Due"),""),""))</f>
        <v/>
      </c>
      <c r="J55" s="130" t="str">
        <f aca="false">IF($A55="","",IF((DATE(YEAR($E55),MONTH($E55),1)&lt;=DATE(2026,7,1)),IF((MOD(DATEDIF(DATE(YEAR($E55),MONTH($E55),1),DATE(2026,7,1),"m"),IF($D55="Quarterly",3,IF($D55="Annual",12,1)))=0),IF((COUNTIFS(Xero_Raw!$D$4:$D$5003,$A55,Xero_Raw!$G$4:$G$5003,"*Subscription*",Xero_Raw!$A$4:$A$5003,"&gt;="&amp;DATE(2026,7,1),Xero_Raw!$A$4:$A$5003,"&lt;"&amp;EDATE(DATE(2026,7,1),1))+COUNTIFS(Customer_Invoices_Upload!$E$4:$E$5003,$A55,Customer_Invoices_Upload!$G$4:$G$5003,"*Subscription*",Customer_Invoices_Upload!$B$4:$B$5003,"&gt;="&amp;DATE(2026,7,1),Customer_Invoices_Upload!$B$4:$B$5003,"&lt;"&amp;EDATE(DATE(2026,7,1),1))+COUNTIFS(Stripe_Invoices_Upload!$D$4:$D$5003,$A55,Stripe_Invoices_Upload!$E$4:$E$5003,"*Subscription*",Stripe_Invoices_Upload!$A$4:$A$5003,"&gt;="&amp;DATE(2026,7,1),Stripe_Invoices_Upload!$A$4:$A$5003,"&lt;"&amp;EDATE(DATE(2026,7,1),1)))&gt;0,"✓ Invoiced","⚠ Due"),""),""))</f>
        <v/>
      </c>
      <c r="K55" s="130" t="str">
        <f aca="false">IF($A55="","",IF((DATE(YEAR($E55),MONTH($E55),1)&lt;=DATE(2026,8,1)),IF((MOD(DATEDIF(DATE(YEAR($E55),MONTH($E55),1),DATE(2026,8,1),"m"),IF($D55="Quarterly",3,IF($D55="Annual",12,1)))=0),IF((COUNTIFS(Xero_Raw!$D$4:$D$5003,$A55,Xero_Raw!$G$4:$G$5003,"*Subscription*",Xero_Raw!$A$4:$A$5003,"&gt;="&amp;DATE(2026,8,1),Xero_Raw!$A$4:$A$5003,"&lt;"&amp;EDATE(DATE(2026,8,1),1))+COUNTIFS(Customer_Invoices_Upload!$E$4:$E$5003,$A55,Customer_Invoices_Upload!$G$4:$G$5003,"*Subscription*",Customer_Invoices_Upload!$B$4:$B$5003,"&gt;="&amp;DATE(2026,8,1),Customer_Invoices_Upload!$B$4:$B$5003,"&lt;"&amp;EDATE(DATE(2026,8,1),1))+COUNTIFS(Stripe_Invoices_Upload!$D$4:$D$5003,$A55,Stripe_Invoices_Upload!$E$4:$E$5003,"*Subscription*",Stripe_Invoices_Upload!$A$4:$A$5003,"&gt;="&amp;DATE(2026,8,1),Stripe_Invoices_Upload!$A$4:$A$5003,"&lt;"&amp;EDATE(DATE(2026,8,1),1)))&gt;0,"✓ Invoiced","⚠ Due"),""),""))</f>
        <v/>
      </c>
      <c r="L55" s="130" t="str">
        <f aca="false">IF($A55="","",IF((DATE(YEAR($E55),MONTH($E55),1)&lt;=DATE(2026,9,1)),IF((MOD(DATEDIF(DATE(YEAR($E55),MONTH($E55),1),DATE(2026,9,1),"m"),IF($D55="Quarterly",3,IF($D55="Annual",12,1)))=0),IF((COUNTIFS(Xero_Raw!$D$4:$D$5003,$A55,Xero_Raw!$G$4:$G$5003,"*Subscription*",Xero_Raw!$A$4:$A$5003,"&gt;="&amp;DATE(2026,9,1),Xero_Raw!$A$4:$A$5003,"&lt;"&amp;EDATE(DATE(2026,9,1),1))+COUNTIFS(Customer_Invoices_Upload!$E$4:$E$5003,$A55,Customer_Invoices_Upload!$G$4:$G$5003,"*Subscription*",Customer_Invoices_Upload!$B$4:$B$5003,"&gt;="&amp;DATE(2026,9,1),Customer_Invoices_Upload!$B$4:$B$5003,"&lt;"&amp;EDATE(DATE(2026,9,1),1))+COUNTIFS(Stripe_Invoices_Upload!$D$4:$D$5003,$A55,Stripe_Invoices_Upload!$E$4:$E$5003,"*Subscription*",Stripe_Invoices_Upload!$A$4:$A$5003,"&gt;="&amp;DATE(2026,9,1),Stripe_Invoices_Upload!$A$4:$A$5003,"&lt;"&amp;EDATE(DATE(2026,9,1),1)))&gt;0,"✓ Invoiced","⚠ Due"),""),""))</f>
        <v/>
      </c>
      <c r="M55" s="130" t="str">
        <f aca="false">IF($A55="","",IF((DATE(YEAR($E55),MONTH($E55),1)&lt;=DATE(2026,10,1)),IF((MOD(DATEDIF(DATE(YEAR($E55),MONTH($E55),1),DATE(2026,10,1),"m"),IF($D55="Quarterly",3,IF($D55="Annual",12,1)))=0),IF((COUNTIFS(Xero_Raw!$D$4:$D$5003,$A55,Xero_Raw!$G$4:$G$5003,"*Subscription*",Xero_Raw!$A$4:$A$5003,"&gt;="&amp;DATE(2026,10,1),Xero_Raw!$A$4:$A$5003,"&lt;"&amp;EDATE(DATE(2026,10,1),1))+COUNTIFS(Customer_Invoices_Upload!$E$4:$E$5003,$A55,Customer_Invoices_Upload!$G$4:$G$5003,"*Subscription*",Customer_Invoices_Upload!$B$4:$B$5003,"&gt;="&amp;DATE(2026,10,1),Customer_Invoices_Upload!$B$4:$B$5003,"&lt;"&amp;EDATE(DATE(2026,10,1),1))+COUNTIFS(Stripe_Invoices_Upload!$D$4:$D$5003,$A55,Stripe_Invoices_Upload!$E$4:$E$5003,"*Subscription*",Stripe_Invoices_Upload!$A$4:$A$5003,"&gt;="&amp;DATE(2026,10,1),Stripe_Invoices_Upload!$A$4:$A$5003,"&lt;"&amp;EDATE(DATE(2026,10,1),1)))&gt;0,"✓ Invoiced","⚠ Due"),""),""))</f>
        <v/>
      </c>
      <c r="N55" s="130" t="str">
        <f aca="false">IF($A55="","",IF((DATE(YEAR($E55),MONTH($E55),1)&lt;=DATE(2026,11,1)),IF((MOD(DATEDIF(DATE(YEAR($E55),MONTH($E55),1),DATE(2026,11,1),"m"),IF($D55="Quarterly",3,IF($D55="Annual",12,1)))=0),IF((COUNTIFS(Xero_Raw!$D$4:$D$5003,$A55,Xero_Raw!$G$4:$G$5003,"*Subscription*",Xero_Raw!$A$4:$A$5003,"&gt;="&amp;DATE(2026,11,1),Xero_Raw!$A$4:$A$5003,"&lt;"&amp;EDATE(DATE(2026,11,1),1))+COUNTIFS(Customer_Invoices_Upload!$E$4:$E$5003,$A55,Customer_Invoices_Upload!$G$4:$G$5003,"*Subscription*",Customer_Invoices_Upload!$B$4:$B$5003,"&gt;="&amp;DATE(2026,11,1),Customer_Invoices_Upload!$B$4:$B$5003,"&lt;"&amp;EDATE(DATE(2026,11,1),1))+COUNTIFS(Stripe_Invoices_Upload!$D$4:$D$5003,$A55,Stripe_Invoices_Upload!$E$4:$E$5003,"*Subscription*",Stripe_Invoices_Upload!$A$4:$A$5003,"&gt;="&amp;DATE(2026,11,1),Stripe_Invoices_Upload!$A$4:$A$5003,"&lt;"&amp;EDATE(DATE(2026,11,1),1)))&gt;0,"✓ Invoiced","⚠ Due"),""),""))</f>
        <v/>
      </c>
      <c r="O55" s="130" t="str">
        <f aca="false">IF($A55="","",IF((DATE(YEAR($E55),MONTH($E55),1)&lt;=DATE(2026,12,1)),IF((MOD(DATEDIF(DATE(YEAR($E55),MONTH($E55),1),DATE(2026,12,1),"m"),IF($D55="Quarterly",3,IF($D55="Annual",12,1)))=0),IF((COUNTIFS(Xero_Raw!$D$4:$D$5003,$A55,Xero_Raw!$G$4:$G$5003,"*Subscription*",Xero_Raw!$A$4:$A$5003,"&gt;="&amp;DATE(2026,12,1),Xero_Raw!$A$4:$A$5003,"&lt;"&amp;EDATE(DATE(2026,12,1),1))+COUNTIFS(Customer_Invoices_Upload!$E$4:$E$5003,$A55,Customer_Invoices_Upload!$G$4:$G$5003,"*Subscription*",Customer_Invoices_Upload!$B$4:$B$5003,"&gt;="&amp;DATE(2026,12,1),Customer_Invoices_Upload!$B$4:$B$5003,"&lt;"&amp;EDATE(DATE(2026,12,1),1))+COUNTIFS(Stripe_Invoices_Upload!$D$4:$D$5003,$A55,Stripe_Invoices_Upload!$E$4:$E$5003,"*Subscription*",Stripe_Invoices_Upload!$A$4:$A$5003,"&gt;="&amp;DATE(2026,12,1),Stripe_Invoices_Upload!$A$4:$A$5003,"&lt;"&amp;EDATE(DATE(2026,12,1),1)))&gt;0,"✓ Invoiced","⚠ Due"),""),""))</f>
        <v/>
      </c>
      <c r="P55" s="130" t="str">
        <f aca="false">IF($A55="","",IF((DATE(YEAR($E55),MONTH($E55),1)&lt;=DATE(2027,1,1)),IF((MOD(DATEDIF(DATE(YEAR($E55),MONTH($E55),1),DATE(2027,1,1),"m"),IF($D55="Quarterly",3,IF($D55="Annual",12,1)))=0),IF((COUNTIFS(Xero_Raw!$D$4:$D$5003,$A55,Xero_Raw!$G$4:$G$5003,"*Subscription*",Xero_Raw!$A$4:$A$5003,"&gt;="&amp;DATE(2027,1,1),Xero_Raw!$A$4:$A$5003,"&lt;"&amp;EDATE(DATE(2027,1,1),1))+COUNTIFS(Customer_Invoices_Upload!$E$4:$E$5003,$A55,Customer_Invoices_Upload!$G$4:$G$5003,"*Subscription*",Customer_Invoices_Upload!$B$4:$B$5003,"&gt;="&amp;DATE(2027,1,1),Customer_Invoices_Upload!$B$4:$B$5003,"&lt;"&amp;EDATE(DATE(2027,1,1),1))+COUNTIFS(Stripe_Invoices_Upload!$D$4:$D$5003,$A55,Stripe_Invoices_Upload!$E$4:$E$5003,"*Subscription*",Stripe_Invoices_Upload!$A$4:$A$5003,"&gt;="&amp;DATE(2027,1,1),Stripe_Invoices_Upload!$A$4:$A$5003,"&lt;"&amp;EDATE(DATE(2027,1,1),1)))&gt;0,"✓ Invoiced","⚠ Due"),""),""))</f>
        <v/>
      </c>
      <c r="Q55" s="130" t="str">
        <f aca="false">IF($A55="","",IF((DATE(YEAR($E55),MONTH($E55),1)&lt;=DATE(2027,2,1)),IF((MOD(DATEDIF(DATE(YEAR($E55),MONTH($E55),1),DATE(2027,2,1),"m"),IF($D55="Quarterly",3,IF($D55="Annual",12,1)))=0),IF((COUNTIFS(Xero_Raw!$D$4:$D$5003,$A55,Xero_Raw!$G$4:$G$5003,"*Subscription*",Xero_Raw!$A$4:$A$5003,"&gt;="&amp;DATE(2027,2,1),Xero_Raw!$A$4:$A$5003,"&lt;"&amp;EDATE(DATE(2027,2,1),1))+COUNTIFS(Customer_Invoices_Upload!$E$4:$E$5003,$A55,Customer_Invoices_Upload!$G$4:$G$5003,"*Subscription*",Customer_Invoices_Upload!$B$4:$B$5003,"&gt;="&amp;DATE(2027,2,1),Customer_Invoices_Upload!$B$4:$B$5003,"&lt;"&amp;EDATE(DATE(2027,2,1),1))+COUNTIFS(Stripe_Invoices_Upload!$D$4:$D$5003,$A55,Stripe_Invoices_Upload!$E$4:$E$5003,"*Subscription*",Stripe_Invoices_Upload!$A$4:$A$5003,"&gt;="&amp;DATE(2027,2,1),Stripe_Invoices_Upload!$A$4:$A$5003,"&lt;"&amp;EDATE(DATE(2027,2,1),1)))&gt;0,"✓ Invoiced","⚠ Due"),""),""))</f>
        <v/>
      </c>
      <c r="R55" s="130" t="str">
        <f aca="false">IF($A55="","",IF((DATE(YEAR($E55),MONTH($E55),1)&lt;=DATE(2027,3,1)),IF((MOD(DATEDIF(DATE(YEAR($E55),MONTH($E55),1),DATE(2027,3,1),"m"),IF($D55="Quarterly",3,IF($D55="Annual",12,1)))=0),IF((COUNTIFS(Xero_Raw!$D$4:$D$5003,$A55,Xero_Raw!$G$4:$G$5003,"*Subscription*",Xero_Raw!$A$4:$A$5003,"&gt;="&amp;DATE(2027,3,1),Xero_Raw!$A$4:$A$5003,"&lt;"&amp;EDATE(DATE(2027,3,1),1))+COUNTIFS(Customer_Invoices_Upload!$E$4:$E$5003,$A55,Customer_Invoices_Upload!$G$4:$G$5003,"*Subscription*",Customer_Invoices_Upload!$B$4:$B$5003,"&gt;="&amp;DATE(2027,3,1),Customer_Invoices_Upload!$B$4:$B$5003,"&lt;"&amp;EDATE(DATE(2027,3,1),1))+COUNTIFS(Stripe_Invoices_Upload!$D$4:$D$5003,$A55,Stripe_Invoices_Upload!$E$4:$E$5003,"*Subscription*",Stripe_Invoices_Upload!$A$4:$A$5003,"&gt;="&amp;DATE(2027,3,1),Stripe_Invoices_Upload!$A$4:$A$5003,"&lt;"&amp;EDATE(DATE(2027,3,1),1)))&gt;0,"✓ Invoiced","⚠ Due"),""),""))</f>
        <v/>
      </c>
    </row>
    <row r="56" customFormat="false" ht="15" hidden="false" customHeight="false" outlineLevel="0" collapsed="false">
      <c r="A56" s="39"/>
      <c r="B56" s="39"/>
      <c r="C56" s="40"/>
      <c r="D56" s="39"/>
      <c r="E56" s="38"/>
      <c r="F56" s="129" t="str">
        <f aca="true">IF($A56="","",EDATE($E56,DATEDIF($E56,TODAY(),"m")+1))</f>
        <v/>
      </c>
      <c r="G56" s="130" t="str">
        <f aca="false">IF($A56="","",IF((DATE(YEAR($E56),MONTH($E56),1)&lt;=DATE(2026,4,1)),IF((MOD(DATEDIF(DATE(YEAR($E56),MONTH($E56),1),DATE(2026,4,1),"m"),IF($D56="Quarterly",3,IF($D56="Annual",12,1)))=0),IF((COUNTIFS(Xero_Raw!$D$4:$D$5003,$A56,Xero_Raw!$G$4:$G$5003,"*Subscription*",Xero_Raw!$A$4:$A$5003,"&gt;="&amp;DATE(2026,4,1),Xero_Raw!$A$4:$A$5003,"&lt;"&amp;EDATE(DATE(2026,4,1),1))+COUNTIFS(Customer_Invoices_Upload!$E$4:$E$5003,$A56,Customer_Invoices_Upload!$G$4:$G$5003,"*Subscription*",Customer_Invoices_Upload!$B$4:$B$5003,"&gt;="&amp;DATE(2026,4,1),Customer_Invoices_Upload!$B$4:$B$5003,"&lt;"&amp;EDATE(DATE(2026,4,1),1))+COUNTIFS(Stripe_Invoices_Upload!$D$4:$D$5003,$A56,Stripe_Invoices_Upload!$E$4:$E$5003,"*Subscription*",Stripe_Invoices_Upload!$A$4:$A$5003,"&gt;="&amp;DATE(2026,4,1),Stripe_Invoices_Upload!$A$4:$A$5003,"&lt;"&amp;EDATE(DATE(2026,4,1),1)))&gt;0,"✓ Invoiced","⚠ Due"),""),""))</f>
        <v/>
      </c>
      <c r="H56" s="130" t="str">
        <f aca="false">IF($A56="","",IF((DATE(YEAR($E56),MONTH($E56),1)&lt;=DATE(2026,5,1)),IF((MOD(DATEDIF(DATE(YEAR($E56),MONTH($E56),1),DATE(2026,5,1),"m"),IF($D56="Quarterly",3,IF($D56="Annual",12,1)))=0),IF((COUNTIFS(Xero_Raw!$D$4:$D$5003,$A56,Xero_Raw!$G$4:$G$5003,"*Subscription*",Xero_Raw!$A$4:$A$5003,"&gt;="&amp;DATE(2026,5,1),Xero_Raw!$A$4:$A$5003,"&lt;"&amp;EDATE(DATE(2026,5,1),1))+COUNTIFS(Customer_Invoices_Upload!$E$4:$E$5003,$A56,Customer_Invoices_Upload!$G$4:$G$5003,"*Subscription*",Customer_Invoices_Upload!$B$4:$B$5003,"&gt;="&amp;DATE(2026,5,1),Customer_Invoices_Upload!$B$4:$B$5003,"&lt;"&amp;EDATE(DATE(2026,5,1),1))+COUNTIFS(Stripe_Invoices_Upload!$D$4:$D$5003,$A56,Stripe_Invoices_Upload!$E$4:$E$5003,"*Subscription*",Stripe_Invoices_Upload!$A$4:$A$5003,"&gt;="&amp;DATE(2026,5,1),Stripe_Invoices_Upload!$A$4:$A$5003,"&lt;"&amp;EDATE(DATE(2026,5,1),1)))&gt;0,"✓ Invoiced","⚠ Due"),""),""))</f>
        <v/>
      </c>
      <c r="I56" s="130" t="str">
        <f aca="false">IF($A56="","",IF((DATE(YEAR($E56),MONTH($E56),1)&lt;=DATE(2026,6,1)),IF((MOD(DATEDIF(DATE(YEAR($E56),MONTH($E56),1),DATE(2026,6,1),"m"),IF($D56="Quarterly",3,IF($D56="Annual",12,1)))=0),IF((COUNTIFS(Xero_Raw!$D$4:$D$5003,$A56,Xero_Raw!$G$4:$G$5003,"*Subscription*",Xero_Raw!$A$4:$A$5003,"&gt;="&amp;DATE(2026,6,1),Xero_Raw!$A$4:$A$5003,"&lt;"&amp;EDATE(DATE(2026,6,1),1))+COUNTIFS(Customer_Invoices_Upload!$E$4:$E$5003,$A56,Customer_Invoices_Upload!$G$4:$G$5003,"*Subscription*",Customer_Invoices_Upload!$B$4:$B$5003,"&gt;="&amp;DATE(2026,6,1),Customer_Invoices_Upload!$B$4:$B$5003,"&lt;"&amp;EDATE(DATE(2026,6,1),1))+COUNTIFS(Stripe_Invoices_Upload!$D$4:$D$5003,$A56,Stripe_Invoices_Upload!$E$4:$E$5003,"*Subscription*",Stripe_Invoices_Upload!$A$4:$A$5003,"&gt;="&amp;DATE(2026,6,1),Stripe_Invoices_Upload!$A$4:$A$5003,"&lt;"&amp;EDATE(DATE(2026,6,1),1)))&gt;0,"✓ Invoiced","⚠ Due"),""),""))</f>
        <v/>
      </c>
      <c r="J56" s="130" t="str">
        <f aca="false">IF($A56="","",IF((DATE(YEAR($E56),MONTH($E56),1)&lt;=DATE(2026,7,1)),IF((MOD(DATEDIF(DATE(YEAR($E56),MONTH($E56),1),DATE(2026,7,1),"m"),IF($D56="Quarterly",3,IF($D56="Annual",12,1)))=0),IF((COUNTIFS(Xero_Raw!$D$4:$D$5003,$A56,Xero_Raw!$G$4:$G$5003,"*Subscription*",Xero_Raw!$A$4:$A$5003,"&gt;="&amp;DATE(2026,7,1),Xero_Raw!$A$4:$A$5003,"&lt;"&amp;EDATE(DATE(2026,7,1),1))+COUNTIFS(Customer_Invoices_Upload!$E$4:$E$5003,$A56,Customer_Invoices_Upload!$G$4:$G$5003,"*Subscription*",Customer_Invoices_Upload!$B$4:$B$5003,"&gt;="&amp;DATE(2026,7,1),Customer_Invoices_Upload!$B$4:$B$5003,"&lt;"&amp;EDATE(DATE(2026,7,1),1))+COUNTIFS(Stripe_Invoices_Upload!$D$4:$D$5003,$A56,Stripe_Invoices_Upload!$E$4:$E$5003,"*Subscription*",Stripe_Invoices_Upload!$A$4:$A$5003,"&gt;="&amp;DATE(2026,7,1),Stripe_Invoices_Upload!$A$4:$A$5003,"&lt;"&amp;EDATE(DATE(2026,7,1),1)))&gt;0,"✓ Invoiced","⚠ Due"),""),""))</f>
        <v/>
      </c>
      <c r="K56" s="130" t="str">
        <f aca="false">IF($A56="","",IF((DATE(YEAR($E56),MONTH($E56),1)&lt;=DATE(2026,8,1)),IF((MOD(DATEDIF(DATE(YEAR($E56),MONTH($E56),1),DATE(2026,8,1),"m"),IF($D56="Quarterly",3,IF($D56="Annual",12,1)))=0),IF((COUNTIFS(Xero_Raw!$D$4:$D$5003,$A56,Xero_Raw!$G$4:$G$5003,"*Subscription*",Xero_Raw!$A$4:$A$5003,"&gt;="&amp;DATE(2026,8,1),Xero_Raw!$A$4:$A$5003,"&lt;"&amp;EDATE(DATE(2026,8,1),1))+COUNTIFS(Customer_Invoices_Upload!$E$4:$E$5003,$A56,Customer_Invoices_Upload!$G$4:$G$5003,"*Subscription*",Customer_Invoices_Upload!$B$4:$B$5003,"&gt;="&amp;DATE(2026,8,1),Customer_Invoices_Upload!$B$4:$B$5003,"&lt;"&amp;EDATE(DATE(2026,8,1),1))+COUNTIFS(Stripe_Invoices_Upload!$D$4:$D$5003,$A56,Stripe_Invoices_Upload!$E$4:$E$5003,"*Subscription*",Stripe_Invoices_Upload!$A$4:$A$5003,"&gt;="&amp;DATE(2026,8,1),Stripe_Invoices_Upload!$A$4:$A$5003,"&lt;"&amp;EDATE(DATE(2026,8,1),1)))&gt;0,"✓ Invoiced","⚠ Due"),""),""))</f>
        <v/>
      </c>
      <c r="L56" s="130" t="str">
        <f aca="false">IF($A56="","",IF((DATE(YEAR($E56),MONTH($E56),1)&lt;=DATE(2026,9,1)),IF((MOD(DATEDIF(DATE(YEAR($E56),MONTH($E56),1),DATE(2026,9,1),"m"),IF($D56="Quarterly",3,IF($D56="Annual",12,1)))=0),IF((COUNTIFS(Xero_Raw!$D$4:$D$5003,$A56,Xero_Raw!$G$4:$G$5003,"*Subscription*",Xero_Raw!$A$4:$A$5003,"&gt;="&amp;DATE(2026,9,1),Xero_Raw!$A$4:$A$5003,"&lt;"&amp;EDATE(DATE(2026,9,1),1))+COUNTIFS(Customer_Invoices_Upload!$E$4:$E$5003,$A56,Customer_Invoices_Upload!$G$4:$G$5003,"*Subscription*",Customer_Invoices_Upload!$B$4:$B$5003,"&gt;="&amp;DATE(2026,9,1),Customer_Invoices_Upload!$B$4:$B$5003,"&lt;"&amp;EDATE(DATE(2026,9,1),1))+COUNTIFS(Stripe_Invoices_Upload!$D$4:$D$5003,$A56,Stripe_Invoices_Upload!$E$4:$E$5003,"*Subscription*",Stripe_Invoices_Upload!$A$4:$A$5003,"&gt;="&amp;DATE(2026,9,1),Stripe_Invoices_Upload!$A$4:$A$5003,"&lt;"&amp;EDATE(DATE(2026,9,1),1)))&gt;0,"✓ Invoiced","⚠ Due"),""),""))</f>
        <v/>
      </c>
      <c r="M56" s="130" t="str">
        <f aca="false">IF($A56="","",IF((DATE(YEAR($E56),MONTH($E56),1)&lt;=DATE(2026,10,1)),IF((MOD(DATEDIF(DATE(YEAR($E56),MONTH($E56),1),DATE(2026,10,1),"m"),IF($D56="Quarterly",3,IF($D56="Annual",12,1)))=0),IF((COUNTIFS(Xero_Raw!$D$4:$D$5003,$A56,Xero_Raw!$G$4:$G$5003,"*Subscription*",Xero_Raw!$A$4:$A$5003,"&gt;="&amp;DATE(2026,10,1),Xero_Raw!$A$4:$A$5003,"&lt;"&amp;EDATE(DATE(2026,10,1),1))+COUNTIFS(Customer_Invoices_Upload!$E$4:$E$5003,$A56,Customer_Invoices_Upload!$G$4:$G$5003,"*Subscription*",Customer_Invoices_Upload!$B$4:$B$5003,"&gt;="&amp;DATE(2026,10,1),Customer_Invoices_Upload!$B$4:$B$5003,"&lt;"&amp;EDATE(DATE(2026,10,1),1))+COUNTIFS(Stripe_Invoices_Upload!$D$4:$D$5003,$A56,Stripe_Invoices_Upload!$E$4:$E$5003,"*Subscription*",Stripe_Invoices_Upload!$A$4:$A$5003,"&gt;="&amp;DATE(2026,10,1),Stripe_Invoices_Upload!$A$4:$A$5003,"&lt;"&amp;EDATE(DATE(2026,10,1),1)))&gt;0,"✓ Invoiced","⚠ Due"),""),""))</f>
        <v/>
      </c>
      <c r="N56" s="130" t="str">
        <f aca="false">IF($A56="","",IF((DATE(YEAR($E56),MONTH($E56),1)&lt;=DATE(2026,11,1)),IF((MOD(DATEDIF(DATE(YEAR($E56),MONTH($E56),1),DATE(2026,11,1),"m"),IF($D56="Quarterly",3,IF($D56="Annual",12,1)))=0),IF((COUNTIFS(Xero_Raw!$D$4:$D$5003,$A56,Xero_Raw!$G$4:$G$5003,"*Subscription*",Xero_Raw!$A$4:$A$5003,"&gt;="&amp;DATE(2026,11,1),Xero_Raw!$A$4:$A$5003,"&lt;"&amp;EDATE(DATE(2026,11,1),1))+COUNTIFS(Customer_Invoices_Upload!$E$4:$E$5003,$A56,Customer_Invoices_Upload!$G$4:$G$5003,"*Subscription*",Customer_Invoices_Upload!$B$4:$B$5003,"&gt;="&amp;DATE(2026,11,1),Customer_Invoices_Upload!$B$4:$B$5003,"&lt;"&amp;EDATE(DATE(2026,11,1),1))+COUNTIFS(Stripe_Invoices_Upload!$D$4:$D$5003,$A56,Stripe_Invoices_Upload!$E$4:$E$5003,"*Subscription*",Stripe_Invoices_Upload!$A$4:$A$5003,"&gt;="&amp;DATE(2026,11,1),Stripe_Invoices_Upload!$A$4:$A$5003,"&lt;"&amp;EDATE(DATE(2026,11,1),1)))&gt;0,"✓ Invoiced","⚠ Due"),""),""))</f>
        <v/>
      </c>
      <c r="O56" s="130" t="str">
        <f aca="false">IF($A56="","",IF((DATE(YEAR($E56),MONTH($E56),1)&lt;=DATE(2026,12,1)),IF((MOD(DATEDIF(DATE(YEAR($E56),MONTH($E56),1),DATE(2026,12,1),"m"),IF($D56="Quarterly",3,IF($D56="Annual",12,1)))=0),IF((COUNTIFS(Xero_Raw!$D$4:$D$5003,$A56,Xero_Raw!$G$4:$G$5003,"*Subscription*",Xero_Raw!$A$4:$A$5003,"&gt;="&amp;DATE(2026,12,1),Xero_Raw!$A$4:$A$5003,"&lt;"&amp;EDATE(DATE(2026,12,1),1))+COUNTIFS(Customer_Invoices_Upload!$E$4:$E$5003,$A56,Customer_Invoices_Upload!$G$4:$G$5003,"*Subscription*",Customer_Invoices_Upload!$B$4:$B$5003,"&gt;="&amp;DATE(2026,12,1),Customer_Invoices_Upload!$B$4:$B$5003,"&lt;"&amp;EDATE(DATE(2026,12,1),1))+COUNTIFS(Stripe_Invoices_Upload!$D$4:$D$5003,$A56,Stripe_Invoices_Upload!$E$4:$E$5003,"*Subscription*",Stripe_Invoices_Upload!$A$4:$A$5003,"&gt;="&amp;DATE(2026,12,1),Stripe_Invoices_Upload!$A$4:$A$5003,"&lt;"&amp;EDATE(DATE(2026,12,1),1)))&gt;0,"✓ Invoiced","⚠ Due"),""),""))</f>
        <v/>
      </c>
      <c r="P56" s="130" t="str">
        <f aca="false">IF($A56="","",IF((DATE(YEAR($E56),MONTH($E56),1)&lt;=DATE(2027,1,1)),IF((MOD(DATEDIF(DATE(YEAR($E56),MONTH($E56),1),DATE(2027,1,1),"m"),IF($D56="Quarterly",3,IF($D56="Annual",12,1)))=0),IF((COUNTIFS(Xero_Raw!$D$4:$D$5003,$A56,Xero_Raw!$G$4:$G$5003,"*Subscription*",Xero_Raw!$A$4:$A$5003,"&gt;="&amp;DATE(2027,1,1),Xero_Raw!$A$4:$A$5003,"&lt;"&amp;EDATE(DATE(2027,1,1),1))+COUNTIFS(Customer_Invoices_Upload!$E$4:$E$5003,$A56,Customer_Invoices_Upload!$G$4:$G$5003,"*Subscription*",Customer_Invoices_Upload!$B$4:$B$5003,"&gt;="&amp;DATE(2027,1,1),Customer_Invoices_Upload!$B$4:$B$5003,"&lt;"&amp;EDATE(DATE(2027,1,1),1))+COUNTIFS(Stripe_Invoices_Upload!$D$4:$D$5003,$A56,Stripe_Invoices_Upload!$E$4:$E$5003,"*Subscription*",Stripe_Invoices_Upload!$A$4:$A$5003,"&gt;="&amp;DATE(2027,1,1),Stripe_Invoices_Upload!$A$4:$A$5003,"&lt;"&amp;EDATE(DATE(2027,1,1),1)))&gt;0,"✓ Invoiced","⚠ Due"),""),""))</f>
        <v/>
      </c>
      <c r="Q56" s="130" t="str">
        <f aca="false">IF($A56="","",IF((DATE(YEAR($E56),MONTH($E56),1)&lt;=DATE(2027,2,1)),IF((MOD(DATEDIF(DATE(YEAR($E56),MONTH($E56),1),DATE(2027,2,1),"m"),IF($D56="Quarterly",3,IF($D56="Annual",12,1)))=0),IF((COUNTIFS(Xero_Raw!$D$4:$D$5003,$A56,Xero_Raw!$G$4:$G$5003,"*Subscription*",Xero_Raw!$A$4:$A$5003,"&gt;="&amp;DATE(2027,2,1),Xero_Raw!$A$4:$A$5003,"&lt;"&amp;EDATE(DATE(2027,2,1),1))+COUNTIFS(Customer_Invoices_Upload!$E$4:$E$5003,$A56,Customer_Invoices_Upload!$G$4:$G$5003,"*Subscription*",Customer_Invoices_Upload!$B$4:$B$5003,"&gt;="&amp;DATE(2027,2,1),Customer_Invoices_Upload!$B$4:$B$5003,"&lt;"&amp;EDATE(DATE(2027,2,1),1))+COUNTIFS(Stripe_Invoices_Upload!$D$4:$D$5003,$A56,Stripe_Invoices_Upload!$E$4:$E$5003,"*Subscription*",Stripe_Invoices_Upload!$A$4:$A$5003,"&gt;="&amp;DATE(2027,2,1),Stripe_Invoices_Upload!$A$4:$A$5003,"&lt;"&amp;EDATE(DATE(2027,2,1),1)))&gt;0,"✓ Invoiced","⚠ Due"),""),""))</f>
        <v/>
      </c>
      <c r="R56" s="130" t="str">
        <f aca="false">IF($A56="","",IF((DATE(YEAR($E56),MONTH($E56),1)&lt;=DATE(2027,3,1)),IF((MOD(DATEDIF(DATE(YEAR($E56),MONTH($E56),1),DATE(2027,3,1),"m"),IF($D56="Quarterly",3,IF($D56="Annual",12,1)))=0),IF((COUNTIFS(Xero_Raw!$D$4:$D$5003,$A56,Xero_Raw!$G$4:$G$5003,"*Subscription*",Xero_Raw!$A$4:$A$5003,"&gt;="&amp;DATE(2027,3,1),Xero_Raw!$A$4:$A$5003,"&lt;"&amp;EDATE(DATE(2027,3,1),1))+COUNTIFS(Customer_Invoices_Upload!$E$4:$E$5003,$A56,Customer_Invoices_Upload!$G$4:$G$5003,"*Subscription*",Customer_Invoices_Upload!$B$4:$B$5003,"&gt;="&amp;DATE(2027,3,1),Customer_Invoices_Upload!$B$4:$B$5003,"&lt;"&amp;EDATE(DATE(2027,3,1),1))+COUNTIFS(Stripe_Invoices_Upload!$D$4:$D$5003,$A56,Stripe_Invoices_Upload!$E$4:$E$5003,"*Subscription*",Stripe_Invoices_Upload!$A$4:$A$5003,"&gt;="&amp;DATE(2027,3,1),Stripe_Invoices_Upload!$A$4:$A$5003,"&lt;"&amp;EDATE(DATE(2027,3,1),1)))&gt;0,"✓ Invoiced","⚠ Due"),""),""))</f>
        <v/>
      </c>
    </row>
    <row r="57" customFormat="false" ht="15" hidden="false" customHeight="false" outlineLevel="0" collapsed="false">
      <c r="A57" s="39"/>
      <c r="B57" s="39"/>
      <c r="C57" s="40"/>
      <c r="D57" s="39"/>
      <c r="E57" s="38"/>
      <c r="F57" s="129" t="str">
        <f aca="true">IF($A57="","",EDATE($E57,DATEDIF($E57,TODAY(),"m")+1))</f>
        <v/>
      </c>
      <c r="G57" s="130" t="str">
        <f aca="false">IF($A57="","",IF((DATE(YEAR($E57),MONTH($E57),1)&lt;=DATE(2026,4,1)),IF((MOD(DATEDIF(DATE(YEAR($E57),MONTH($E57),1),DATE(2026,4,1),"m"),IF($D57="Quarterly",3,IF($D57="Annual",12,1)))=0),IF((COUNTIFS(Xero_Raw!$D$4:$D$5003,$A57,Xero_Raw!$G$4:$G$5003,"*Subscription*",Xero_Raw!$A$4:$A$5003,"&gt;="&amp;DATE(2026,4,1),Xero_Raw!$A$4:$A$5003,"&lt;"&amp;EDATE(DATE(2026,4,1),1))+COUNTIFS(Customer_Invoices_Upload!$E$4:$E$5003,$A57,Customer_Invoices_Upload!$G$4:$G$5003,"*Subscription*",Customer_Invoices_Upload!$B$4:$B$5003,"&gt;="&amp;DATE(2026,4,1),Customer_Invoices_Upload!$B$4:$B$5003,"&lt;"&amp;EDATE(DATE(2026,4,1),1))+COUNTIFS(Stripe_Invoices_Upload!$D$4:$D$5003,$A57,Stripe_Invoices_Upload!$E$4:$E$5003,"*Subscription*",Stripe_Invoices_Upload!$A$4:$A$5003,"&gt;="&amp;DATE(2026,4,1),Stripe_Invoices_Upload!$A$4:$A$5003,"&lt;"&amp;EDATE(DATE(2026,4,1),1)))&gt;0,"✓ Invoiced","⚠ Due"),""),""))</f>
        <v/>
      </c>
      <c r="H57" s="130" t="str">
        <f aca="false">IF($A57="","",IF((DATE(YEAR($E57),MONTH($E57),1)&lt;=DATE(2026,5,1)),IF((MOD(DATEDIF(DATE(YEAR($E57),MONTH($E57),1),DATE(2026,5,1),"m"),IF($D57="Quarterly",3,IF($D57="Annual",12,1)))=0),IF((COUNTIFS(Xero_Raw!$D$4:$D$5003,$A57,Xero_Raw!$G$4:$G$5003,"*Subscription*",Xero_Raw!$A$4:$A$5003,"&gt;="&amp;DATE(2026,5,1),Xero_Raw!$A$4:$A$5003,"&lt;"&amp;EDATE(DATE(2026,5,1),1))+COUNTIFS(Customer_Invoices_Upload!$E$4:$E$5003,$A57,Customer_Invoices_Upload!$G$4:$G$5003,"*Subscription*",Customer_Invoices_Upload!$B$4:$B$5003,"&gt;="&amp;DATE(2026,5,1),Customer_Invoices_Upload!$B$4:$B$5003,"&lt;"&amp;EDATE(DATE(2026,5,1),1))+COUNTIFS(Stripe_Invoices_Upload!$D$4:$D$5003,$A57,Stripe_Invoices_Upload!$E$4:$E$5003,"*Subscription*",Stripe_Invoices_Upload!$A$4:$A$5003,"&gt;="&amp;DATE(2026,5,1),Stripe_Invoices_Upload!$A$4:$A$5003,"&lt;"&amp;EDATE(DATE(2026,5,1),1)))&gt;0,"✓ Invoiced","⚠ Due"),""),""))</f>
        <v/>
      </c>
      <c r="I57" s="130" t="str">
        <f aca="false">IF($A57="","",IF((DATE(YEAR($E57),MONTH($E57),1)&lt;=DATE(2026,6,1)),IF((MOD(DATEDIF(DATE(YEAR($E57),MONTH($E57),1),DATE(2026,6,1),"m"),IF($D57="Quarterly",3,IF($D57="Annual",12,1)))=0),IF((COUNTIFS(Xero_Raw!$D$4:$D$5003,$A57,Xero_Raw!$G$4:$G$5003,"*Subscription*",Xero_Raw!$A$4:$A$5003,"&gt;="&amp;DATE(2026,6,1),Xero_Raw!$A$4:$A$5003,"&lt;"&amp;EDATE(DATE(2026,6,1),1))+COUNTIFS(Customer_Invoices_Upload!$E$4:$E$5003,$A57,Customer_Invoices_Upload!$G$4:$G$5003,"*Subscription*",Customer_Invoices_Upload!$B$4:$B$5003,"&gt;="&amp;DATE(2026,6,1),Customer_Invoices_Upload!$B$4:$B$5003,"&lt;"&amp;EDATE(DATE(2026,6,1),1))+COUNTIFS(Stripe_Invoices_Upload!$D$4:$D$5003,$A57,Stripe_Invoices_Upload!$E$4:$E$5003,"*Subscription*",Stripe_Invoices_Upload!$A$4:$A$5003,"&gt;="&amp;DATE(2026,6,1),Stripe_Invoices_Upload!$A$4:$A$5003,"&lt;"&amp;EDATE(DATE(2026,6,1),1)))&gt;0,"✓ Invoiced","⚠ Due"),""),""))</f>
        <v/>
      </c>
      <c r="J57" s="130" t="str">
        <f aca="false">IF($A57="","",IF((DATE(YEAR($E57),MONTH($E57),1)&lt;=DATE(2026,7,1)),IF((MOD(DATEDIF(DATE(YEAR($E57),MONTH($E57),1),DATE(2026,7,1),"m"),IF($D57="Quarterly",3,IF($D57="Annual",12,1)))=0),IF((COUNTIFS(Xero_Raw!$D$4:$D$5003,$A57,Xero_Raw!$G$4:$G$5003,"*Subscription*",Xero_Raw!$A$4:$A$5003,"&gt;="&amp;DATE(2026,7,1),Xero_Raw!$A$4:$A$5003,"&lt;"&amp;EDATE(DATE(2026,7,1),1))+COUNTIFS(Customer_Invoices_Upload!$E$4:$E$5003,$A57,Customer_Invoices_Upload!$G$4:$G$5003,"*Subscription*",Customer_Invoices_Upload!$B$4:$B$5003,"&gt;="&amp;DATE(2026,7,1),Customer_Invoices_Upload!$B$4:$B$5003,"&lt;"&amp;EDATE(DATE(2026,7,1),1))+COUNTIFS(Stripe_Invoices_Upload!$D$4:$D$5003,$A57,Stripe_Invoices_Upload!$E$4:$E$5003,"*Subscription*",Stripe_Invoices_Upload!$A$4:$A$5003,"&gt;="&amp;DATE(2026,7,1),Stripe_Invoices_Upload!$A$4:$A$5003,"&lt;"&amp;EDATE(DATE(2026,7,1),1)))&gt;0,"✓ Invoiced","⚠ Due"),""),""))</f>
        <v/>
      </c>
      <c r="K57" s="130" t="str">
        <f aca="false">IF($A57="","",IF((DATE(YEAR($E57),MONTH($E57),1)&lt;=DATE(2026,8,1)),IF((MOD(DATEDIF(DATE(YEAR($E57),MONTH($E57),1),DATE(2026,8,1),"m"),IF($D57="Quarterly",3,IF($D57="Annual",12,1)))=0),IF((COUNTIFS(Xero_Raw!$D$4:$D$5003,$A57,Xero_Raw!$G$4:$G$5003,"*Subscription*",Xero_Raw!$A$4:$A$5003,"&gt;="&amp;DATE(2026,8,1),Xero_Raw!$A$4:$A$5003,"&lt;"&amp;EDATE(DATE(2026,8,1),1))+COUNTIFS(Customer_Invoices_Upload!$E$4:$E$5003,$A57,Customer_Invoices_Upload!$G$4:$G$5003,"*Subscription*",Customer_Invoices_Upload!$B$4:$B$5003,"&gt;="&amp;DATE(2026,8,1),Customer_Invoices_Upload!$B$4:$B$5003,"&lt;"&amp;EDATE(DATE(2026,8,1),1))+COUNTIFS(Stripe_Invoices_Upload!$D$4:$D$5003,$A57,Stripe_Invoices_Upload!$E$4:$E$5003,"*Subscription*",Stripe_Invoices_Upload!$A$4:$A$5003,"&gt;="&amp;DATE(2026,8,1),Stripe_Invoices_Upload!$A$4:$A$5003,"&lt;"&amp;EDATE(DATE(2026,8,1),1)))&gt;0,"✓ Invoiced","⚠ Due"),""),""))</f>
        <v/>
      </c>
      <c r="L57" s="130" t="str">
        <f aca="false">IF($A57="","",IF((DATE(YEAR($E57),MONTH($E57),1)&lt;=DATE(2026,9,1)),IF((MOD(DATEDIF(DATE(YEAR($E57),MONTH($E57),1),DATE(2026,9,1),"m"),IF($D57="Quarterly",3,IF($D57="Annual",12,1)))=0),IF((COUNTIFS(Xero_Raw!$D$4:$D$5003,$A57,Xero_Raw!$G$4:$G$5003,"*Subscription*",Xero_Raw!$A$4:$A$5003,"&gt;="&amp;DATE(2026,9,1),Xero_Raw!$A$4:$A$5003,"&lt;"&amp;EDATE(DATE(2026,9,1),1))+COUNTIFS(Customer_Invoices_Upload!$E$4:$E$5003,$A57,Customer_Invoices_Upload!$G$4:$G$5003,"*Subscription*",Customer_Invoices_Upload!$B$4:$B$5003,"&gt;="&amp;DATE(2026,9,1),Customer_Invoices_Upload!$B$4:$B$5003,"&lt;"&amp;EDATE(DATE(2026,9,1),1))+COUNTIFS(Stripe_Invoices_Upload!$D$4:$D$5003,$A57,Stripe_Invoices_Upload!$E$4:$E$5003,"*Subscription*",Stripe_Invoices_Upload!$A$4:$A$5003,"&gt;="&amp;DATE(2026,9,1),Stripe_Invoices_Upload!$A$4:$A$5003,"&lt;"&amp;EDATE(DATE(2026,9,1),1)))&gt;0,"✓ Invoiced","⚠ Due"),""),""))</f>
        <v/>
      </c>
      <c r="M57" s="130" t="str">
        <f aca="false">IF($A57="","",IF((DATE(YEAR($E57),MONTH($E57),1)&lt;=DATE(2026,10,1)),IF((MOD(DATEDIF(DATE(YEAR($E57),MONTH($E57),1),DATE(2026,10,1),"m"),IF($D57="Quarterly",3,IF($D57="Annual",12,1)))=0),IF((COUNTIFS(Xero_Raw!$D$4:$D$5003,$A57,Xero_Raw!$G$4:$G$5003,"*Subscription*",Xero_Raw!$A$4:$A$5003,"&gt;="&amp;DATE(2026,10,1),Xero_Raw!$A$4:$A$5003,"&lt;"&amp;EDATE(DATE(2026,10,1),1))+COUNTIFS(Customer_Invoices_Upload!$E$4:$E$5003,$A57,Customer_Invoices_Upload!$G$4:$G$5003,"*Subscription*",Customer_Invoices_Upload!$B$4:$B$5003,"&gt;="&amp;DATE(2026,10,1),Customer_Invoices_Upload!$B$4:$B$5003,"&lt;"&amp;EDATE(DATE(2026,10,1),1))+COUNTIFS(Stripe_Invoices_Upload!$D$4:$D$5003,$A57,Stripe_Invoices_Upload!$E$4:$E$5003,"*Subscription*",Stripe_Invoices_Upload!$A$4:$A$5003,"&gt;="&amp;DATE(2026,10,1),Stripe_Invoices_Upload!$A$4:$A$5003,"&lt;"&amp;EDATE(DATE(2026,10,1),1)))&gt;0,"✓ Invoiced","⚠ Due"),""),""))</f>
        <v/>
      </c>
      <c r="N57" s="130" t="str">
        <f aca="false">IF($A57="","",IF((DATE(YEAR($E57),MONTH($E57),1)&lt;=DATE(2026,11,1)),IF((MOD(DATEDIF(DATE(YEAR($E57),MONTH($E57),1),DATE(2026,11,1),"m"),IF($D57="Quarterly",3,IF($D57="Annual",12,1)))=0),IF((COUNTIFS(Xero_Raw!$D$4:$D$5003,$A57,Xero_Raw!$G$4:$G$5003,"*Subscription*",Xero_Raw!$A$4:$A$5003,"&gt;="&amp;DATE(2026,11,1),Xero_Raw!$A$4:$A$5003,"&lt;"&amp;EDATE(DATE(2026,11,1),1))+COUNTIFS(Customer_Invoices_Upload!$E$4:$E$5003,$A57,Customer_Invoices_Upload!$G$4:$G$5003,"*Subscription*",Customer_Invoices_Upload!$B$4:$B$5003,"&gt;="&amp;DATE(2026,11,1),Customer_Invoices_Upload!$B$4:$B$5003,"&lt;"&amp;EDATE(DATE(2026,11,1),1))+COUNTIFS(Stripe_Invoices_Upload!$D$4:$D$5003,$A57,Stripe_Invoices_Upload!$E$4:$E$5003,"*Subscription*",Stripe_Invoices_Upload!$A$4:$A$5003,"&gt;="&amp;DATE(2026,11,1),Stripe_Invoices_Upload!$A$4:$A$5003,"&lt;"&amp;EDATE(DATE(2026,11,1),1)))&gt;0,"✓ Invoiced","⚠ Due"),""),""))</f>
        <v/>
      </c>
      <c r="O57" s="130" t="str">
        <f aca="false">IF($A57="","",IF((DATE(YEAR($E57),MONTH($E57),1)&lt;=DATE(2026,12,1)),IF((MOD(DATEDIF(DATE(YEAR($E57),MONTH($E57),1),DATE(2026,12,1),"m"),IF($D57="Quarterly",3,IF($D57="Annual",12,1)))=0),IF((COUNTIFS(Xero_Raw!$D$4:$D$5003,$A57,Xero_Raw!$G$4:$G$5003,"*Subscription*",Xero_Raw!$A$4:$A$5003,"&gt;="&amp;DATE(2026,12,1),Xero_Raw!$A$4:$A$5003,"&lt;"&amp;EDATE(DATE(2026,12,1),1))+COUNTIFS(Customer_Invoices_Upload!$E$4:$E$5003,$A57,Customer_Invoices_Upload!$G$4:$G$5003,"*Subscription*",Customer_Invoices_Upload!$B$4:$B$5003,"&gt;="&amp;DATE(2026,12,1),Customer_Invoices_Upload!$B$4:$B$5003,"&lt;"&amp;EDATE(DATE(2026,12,1),1))+COUNTIFS(Stripe_Invoices_Upload!$D$4:$D$5003,$A57,Stripe_Invoices_Upload!$E$4:$E$5003,"*Subscription*",Stripe_Invoices_Upload!$A$4:$A$5003,"&gt;="&amp;DATE(2026,12,1),Stripe_Invoices_Upload!$A$4:$A$5003,"&lt;"&amp;EDATE(DATE(2026,12,1),1)))&gt;0,"✓ Invoiced","⚠ Due"),""),""))</f>
        <v/>
      </c>
      <c r="P57" s="130" t="str">
        <f aca="false">IF($A57="","",IF((DATE(YEAR($E57),MONTH($E57),1)&lt;=DATE(2027,1,1)),IF((MOD(DATEDIF(DATE(YEAR($E57),MONTH($E57),1),DATE(2027,1,1),"m"),IF($D57="Quarterly",3,IF($D57="Annual",12,1)))=0),IF((COUNTIFS(Xero_Raw!$D$4:$D$5003,$A57,Xero_Raw!$G$4:$G$5003,"*Subscription*",Xero_Raw!$A$4:$A$5003,"&gt;="&amp;DATE(2027,1,1),Xero_Raw!$A$4:$A$5003,"&lt;"&amp;EDATE(DATE(2027,1,1),1))+COUNTIFS(Customer_Invoices_Upload!$E$4:$E$5003,$A57,Customer_Invoices_Upload!$G$4:$G$5003,"*Subscription*",Customer_Invoices_Upload!$B$4:$B$5003,"&gt;="&amp;DATE(2027,1,1),Customer_Invoices_Upload!$B$4:$B$5003,"&lt;"&amp;EDATE(DATE(2027,1,1),1))+COUNTIFS(Stripe_Invoices_Upload!$D$4:$D$5003,$A57,Stripe_Invoices_Upload!$E$4:$E$5003,"*Subscription*",Stripe_Invoices_Upload!$A$4:$A$5003,"&gt;="&amp;DATE(2027,1,1),Stripe_Invoices_Upload!$A$4:$A$5003,"&lt;"&amp;EDATE(DATE(2027,1,1),1)))&gt;0,"✓ Invoiced","⚠ Due"),""),""))</f>
        <v/>
      </c>
      <c r="Q57" s="130" t="str">
        <f aca="false">IF($A57="","",IF((DATE(YEAR($E57),MONTH($E57),1)&lt;=DATE(2027,2,1)),IF((MOD(DATEDIF(DATE(YEAR($E57),MONTH($E57),1),DATE(2027,2,1),"m"),IF($D57="Quarterly",3,IF($D57="Annual",12,1)))=0),IF((COUNTIFS(Xero_Raw!$D$4:$D$5003,$A57,Xero_Raw!$G$4:$G$5003,"*Subscription*",Xero_Raw!$A$4:$A$5003,"&gt;="&amp;DATE(2027,2,1),Xero_Raw!$A$4:$A$5003,"&lt;"&amp;EDATE(DATE(2027,2,1),1))+COUNTIFS(Customer_Invoices_Upload!$E$4:$E$5003,$A57,Customer_Invoices_Upload!$G$4:$G$5003,"*Subscription*",Customer_Invoices_Upload!$B$4:$B$5003,"&gt;="&amp;DATE(2027,2,1),Customer_Invoices_Upload!$B$4:$B$5003,"&lt;"&amp;EDATE(DATE(2027,2,1),1))+COUNTIFS(Stripe_Invoices_Upload!$D$4:$D$5003,$A57,Stripe_Invoices_Upload!$E$4:$E$5003,"*Subscription*",Stripe_Invoices_Upload!$A$4:$A$5003,"&gt;="&amp;DATE(2027,2,1),Stripe_Invoices_Upload!$A$4:$A$5003,"&lt;"&amp;EDATE(DATE(2027,2,1),1)))&gt;0,"✓ Invoiced","⚠ Due"),""),""))</f>
        <v/>
      </c>
      <c r="R57" s="130" t="str">
        <f aca="false">IF($A57="","",IF((DATE(YEAR($E57),MONTH($E57),1)&lt;=DATE(2027,3,1)),IF((MOD(DATEDIF(DATE(YEAR($E57),MONTH($E57),1),DATE(2027,3,1),"m"),IF($D57="Quarterly",3,IF($D57="Annual",12,1)))=0),IF((COUNTIFS(Xero_Raw!$D$4:$D$5003,$A57,Xero_Raw!$G$4:$G$5003,"*Subscription*",Xero_Raw!$A$4:$A$5003,"&gt;="&amp;DATE(2027,3,1),Xero_Raw!$A$4:$A$5003,"&lt;"&amp;EDATE(DATE(2027,3,1),1))+COUNTIFS(Customer_Invoices_Upload!$E$4:$E$5003,$A57,Customer_Invoices_Upload!$G$4:$G$5003,"*Subscription*",Customer_Invoices_Upload!$B$4:$B$5003,"&gt;="&amp;DATE(2027,3,1),Customer_Invoices_Upload!$B$4:$B$5003,"&lt;"&amp;EDATE(DATE(2027,3,1),1))+COUNTIFS(Stripe_Invoices_Upload!$D$4:$D$5003,$A57,Stripe_Invoices_Upload!$E$4:$E$5003,"*Subscription*",Stripe_Invoices_Upload!$A$4:$A$5003,"&gt;="&amp;DATE(2027,3,1),Stripe_Invoices_Upload!$A$4:$A$5003,"&lt;"&amp;EDATE(DATE(2027,3,1),1)))&gt;0,"✓ Invoiced","⚠ Due"),""),""))</f>
        <v/>
      </c>
    </row>
    <row r="58" customFormat="false" ht="15" hidden="false" customHeight="false" outlineLevel="0" collapsed="false">
      <c r="A58" s="39"/>
      <c r="B58" s="39"/>
      <c r="C58" s="40"/>
      <c r="D58" s="39"/>
      <c r="E58" s="38"/>
      <c r="F58" s="129" t="str">
        <f aca="true">IF($A58="","",EDATE($E58,DATEDIF($E58,TODAY(),"m")+1))</f>
        <v/>
      </c>
      <c r="G58" s="130" t="str">
        <f aca="false">IF($A58="","",IF((DATE(YEAR($E58),MONTH($E58),1)&lt;=DATE(2026,4,1)),IF((MOD(DATEDIF(DATE(YEAR($E58),MONTH($E58),1),DATE(2026,4,1),"m"),IF($D58="Quarterly",3,IF($D58="Annual",12,1)))=0),IF((COUNTIFS(Xero_Raw!$D$4:$D$5003,$A58,Xero_Raw!$G$4:$G$5003,"*Subscription*",Xero_Raw!$A$4:$A$5003,"&gt;="&amp;DATE(2026,4,1),Xero_Raw!$A$4:$A$5003,"&lt;"&amp;EDATE(DATE(2026,4,1),1))+COUNTIFS(Customer_Invoices_Upload!$E$4:$E$5003,$A58,Customer_Invoices_Upload!$G$4:$G$5003,"*Subscription*",Customer_Invoices_Upload!$B$4:$B$5003,"&gt;="&amp;DATE(2026,4,1),Customer_Invoices_Upload!$B$4:$B$5003,"&lt;"&amp;EDATE(DATE(2026,4,1),1))+COUNTIFS(Stripe_Invoices_Upload!$D$4:$D$5003,$A58,Stripe_Invoices_Upload!$E$4:$E$5003,"*Subscription*",Stripe_Invoices_Upload!$A$4:$A$5003,"&gt;="&amp;DATE(2026,4,1),Stripe_Invoices_Upload!$A$4:$A$5003,"&lt;"&amp;EDATE(DATE(2026,4,1),1)))&gt;0,"✓ Invoiced","⚠ Due"),""),""))</f>
        <v/>
      </c>
      <c r="H58" s="130" t="str">
        <f aca="false">IF($A58="","",IF((DATE(YEAR($E58),MONTH($E58),1)&lt;=DATE(2026,5,1)),IF((MOD(DATEDIF(DATE(YEAR($E58),MONTH($E58),1),DATE(2026,5,1),"m"),IF($D58="Quarterly",3,IF($D58="Annual",12,1)))=0),IF((COUNTIFS(Xero_Raw!$D$4:$D$5003,$A58,Xero_Raw!$G$4:$G$5003,"*Subscription*",Xero_Raw!$A$4:$A$5003,"&gt;="&amp;DATE(2026,5,1),Xero_Raw!$A$4:$A$5003,"&lt;"&amp;EDATE(DATE(2026,5,1),1))+COUNTIFS(Customer_Invoices_Upload!$E$4:$E$5003,$A58,Customer_Invoices_Upload!$G$4:$G$5003,"*Subscription*",Customer_Invoices_Upload!$B$4:$B$5003,"&gt;="&amp;DATE(2026,5,1),Customer_Invoices_Upload!$B$4:$B$5003,"&lt;"&amp;EDATE(DATE(2026,5,1),1))+COUNTIFS(Stripe_Invoices_Upload!$D$4:$D$5003,$A58,Stripe_Invoices_Upload!$E$4:$E$5003,"*Subscription*",Stripe_Invoices_Upload!$A$4:$A$5003,"&gt;="&amp;DATE(2026,5,1),Stripe_Invoices_Upload!$A$4:$A$5003,"&lt;"&amp;EDATE(DATE(2026,5,1),1)))&gt;0,"✓ Invoiced","⚠ Due"),""),""))</f>
        <v/>
      </c>
      <c r="I58" s="130" t="str">
        <f aca="false">IF($A58="","",IF((DATE(YEAR($E58),MONTH($E58),1)&lt;=DATE(2026,6,1)),IF((MOD(DATEDIF(DATE(YEAR($E58),MONTH($E58),1),DATE(2026,6,1),"m"),IF($D58="Quarterly",3,IF($D58="Annual",12,1)))=0),IF((COUNTIFS(Xero_Raw!$D$4:$D$5003,$A58,Xero_Raw!$G$4:$G$5003,"*Subscription*",Xero_Raw!$A$4:$A$5003,"&gt;="&amp;DATE(2026,6,1),Xero_Raw!$A$4:$A$5003,"&lt;"&amp;EDATE(DATE(2026,6,1),1))+COUNTIFS(Customer_Invoices_Upload!$E$4:$E$5003,$A58,Customer_Invoices_Upload!$G$4:$G$5003,"*Subscription*",Customer_Invoices_Upload!$B$4:$B$5003,"&gt;="&amp;DATE(2026,6,1),Customer_Invoices_Upload!$B$4:$B$5003,"&lt;"&amp;EDATE(DATE(2026,6,1),1))+COUNTIFS(Stripe_Invoices_Upload!$D$4:$D$5003,$A58,Stripe_Invoices_Upload!$E$4:$E$5003,"*Subscription*",Stripe_Invoices_Upload!$A$4:$A$5003,"&gt;="&amp;DATE(2026,6,1),Stripe_Invoices_Upload!$A$4:$A$5003,"&lt;"&amp;EDATE(DATE(2026,6,1),1)))&gt;0,"✓ Invoiced","⚠ Due"),""),""))</f>
        <v/>
      </c>
      <c r="J58" s="130" t="str">
        <f aca="false">IF($A58="","",IF((DATE(YEAR($E58),MONTH($E58),1)&lt;=DATE(2026,7,1)),IF((MOD(DATEDIF(DATE(YEAR($E58),MONTH($E58),1),DATE(2026,7,1),"m"),IF($D58="Quarterly",3,IF($D58="Annual",12,1)))=0),IF((COUNTIFS(Xero_Raw!$D$4:$D$5003,$A58,Xero_Raw!$G$4:$G$5003,"*Subscription*",Xero_Raw!$A$4:$A$5003,"&gt;="&amp;DATE(2026,7,1),Xero_Raw!$A$4:$A$5003,"&lt;"&amp;EDATE(DATE(2026,7,1),1))+COUNTIFS(Customer_Invoices_Upload!$E$4:$E$5003,$A58,Customer_Invoices_Upload!$G$4:$G$5003,"*Subscription*",Customer_Invoices_Upload!$B$4:$B$5003,"&gt;="&amp;DATE(2026,7,1),Customer_Invoices_Upload!$B$4:$B$5003,"&lt;"&amp;EDATE(DATE(2026,7,1),1))+COUNTIFS(Stripe_Invoices_Upload!$D$4:$D$5003,$A58,Stripe_Invoices_Upload!$E$4:$E$5003,"*Subscription*",Stripe_Invoices_Upload!$A$4:$A$5003,"&gt;="&amp;DATE(2026,7,1),Stripe_Invoices_Upload!$A$4:$A$5003,"&lt;"&amp;EDATE(DATE(2026,7,1),1)))&gt;0,"✓ Invoiced","⚠ Due"),""),""))</f>
        <v/>
      </c>
      <c r="K58" s="130" t="str">
        <f aca="false">IF($A58="","",IF((DATE(YEAR($E58),MONTH($E58),1)&lt;=DATE(2026,8,1)),IF((MOD(DATEDIF(DATE(YEAR($E58),MONTH($E58),1),DATE(2026,8,1),"m"),IF($D58="Quarterly",3,IF($D58="Annual",12,1)))=0),IF((COUNTIFS(Xero_Raw!$D$4:$D$5003,$A58,Xero_Raw!$G$4:$G$5003,"*Subscription*",Xero_Raw!$A$4:$A$5003,"&gt;="&amp;DATE(2026,8,1),Xero_Raw!$A$4:$A$5003,"&lt;"&amp;EDATE(DATE(2026,8,1),1))+COUNTIFS(Customer_Invoices_Upload!$E$4:$E$5003,$A58,Customer_Invoices_Upload!$G$4:$G$5003,"*Subscription*",Customer_Invoices_Upload!$B$4:$B$5003,"&gt;="&amp;DATE(2026,8,1),Customer_Invoices_Upload!$B$4:$B$5003,"&lt;"&amp;EDATE(DATE(2026,8,1),1))+COUNTIFS(Stripe_Invoices_Upload!$D$4:$D$5003,$A58,Stripe_Invoices_Upload!$E$4:$E$5003,"*Subscription*",Stripe_Invoices_Upload!$A$4:$A$5003,"&gt;="&amp;DATE(2026,8,1),Stripe_Invoices_Upload!$A$4:$A$5003,"&lt;"&amp;EDATE(DATE(2026,8,1),1)))&gt;0,"✓ Invoiced","⚠ Due"),""),""))</f>
        <v/>
      </c>
      <c r="L58" s="130" t="str">
        <f aca="false">IF($A58="","",IF((DATE(YEAR($E58),MONTH($E58),1)&lt;=DATE(2026,9,1)),IF((MOD(DATEDIF(DATE(YEAR($E58),MONTH($E58),1),DATE(2026,9,1),"m"),IF($D58="Quarterly",3,IF($D58="Annual",12,1)))=0),IF((COUNTIFS(Xero_Raw!$D$4:$D$5003,$A58,Xero_Raw!$G$4:$G$5003,"*Subscription*",Xero_Raw!$A$4:$A$5003,"&gt;="&amp;DATE(2026,9,1),Xero_Raw!$A$4:$A$5003,"&lt;"&amp;EDATE(DATE(2026,9,1),1))+COUNTIFS(Customer_Invoices_Upload!$E$4:$E$5003,$A58,Customer_Invoices_Upload!$G$4:$G$5003,"*Subscription*",Customer_Invoices_Upload!$B$4:$B$5003,"&gt;="&amp;DATE(2026,9,1),Customer_Invoices_Upload!$B$4:$B$5003,"&lt;"&amp;EDATE(DATE(2026,9,1),1))+COUNTIFS(Stripe_Invoices_Upload!$D$4:$D$5003,$A58,Stripe_Invoices_Upload!$E$4:$E$5003,"*Subscription*",Stripe_Invoices_Upload!$A$4:$A$5003,"&gt;="&amp;DATE(2026,9,1),Stripe_Invoices_Upload!$A$4:$A$5003,"&lt;"&amp;EDATE(DATE(2026,9,1),1)))&gt;0,"✓ Invoiced","⚠ Due"),""),""))</f>
        <v/>
      </c>
      <c r="M58" s="130" t="str">
        <f aca="false">IF($A58="","",IF((DATE(YEAR($E58),MONTH($E58),1)&lt;=DATE(2026,10,1)),IF((MOD(DATEDIF(DATE(YEAR($E58),MONTH($E58),1),DATE(2026,10,1),"m"),IF($D58="Quarterly",3,IF($D58="Annual",12,1)))=0),IF((COUNTIFS(Xero_Raw!$D$4:$D$5003,$A58,Xero_Raw!$G$4:$G$5003,"*Subscription*",Xero_Raw!$A$4:$A$5003,"&gt;="&amp;DATE(2026,10,1),Xero_Raw!$A$4:$A$5003,"&lt;"&amp;EDATE(DATE(2026,10,1),1))+COUNTIFS(Customer_Invoices_Upload!$E$4:$E$5003,$A58,Customer_Invoices_Upload!$G$4:$G$5003,"*Subscription*",Customer_Invoices_Upload!$B$4:$B$5003,"&gt;="&amp;DATE(2026,10,1),Customer_Invoices_Upload!$B$4:$B$5003,"&lt;"&amp;EDATE(DATE(2026,10,1),1))+COUNTIFS(Stripe_Invoices_Upload!$D$4:$D$5003,$A58,Stripe_Invoices_Upload!$E$4:$E$5003,"*Subscription*",Stripe_Invoices_Upload!$A$4:$A$5003,"&gt;="&amp;DATE(2026,10,1),Stripe_Invoices_Upload!$A$4:$A$5003,"&lt;"&amp;EDATE(DATE(2026,10,1),1)))&gt;0,"✓ Invoiced","⚠ Due"),""),""))</f>
        <v/>
      </c>
      <c r="N58" s="130" t="str">
        <f aca="false">IF($A58="","",IF((DATE(YEAR($E58),MONTH($E58),1)&lt;=DATE(2026,11,1)),IF((MOD(DATEDIF(DATE(YEAR($E58),MONTH($E58),1),DATE(2026,11,1),"m"),IF($D58="Quarterly",3,IF($D58="Annual",12,1)))=0),IF((COUNTIFS(Xero_Raw!$D$4:$D$5003,$A58,Xero_Raw!$G$4:$G$5003,"*Subscription*",Xero_Raw!$A$4:$A$5003,"&gt;="&amp;DATE(2026,11,1),Xero_Raw!$A$4:$A$5003,"&lt;"&amp;EDATE(DATE(2026,11,1),1))+COUNTIFS(Customer_Invoices_Upload!$E$4:$E$5003,$A58,Customer_Invoices_Upload!$G$4:$G$5003,"*Subscription*",Customer_Invoices_Upload!$B$4:$B$5003,"&gt;="&amp;DATE(2026,11,1),Customer_Invoices_Upload!$B$4:$B$5003,"&lt;"&amp;EDATE(DATE(2026,11,1),1))+COUNTIFS(Stripe_Invoices_Upload!$D$4:$D$5003,$A58,Stripe_Invoices_Upload!$E$4:$E$5003,"*Subscription*",Stripe_Invoices_Upload!$A$4:$A$5003,"&gt;="&amp;DATE(2026,11,1),Stripe_Invoices_Upload!$A$4:$A$5003,"&lt;"&amp;EDATE(DATE(2026,11,1),1)))&gt;0,"✓ Invoiced","⚠ Due"),""),""))</f>
        <v/>
      </c>
      <c r="O58" s="130" t="str">
        <f aca="false">IF($A58="","",IF((DATE(YEAR($E58),MONTH($E58),1)&lt;=DATE(2026,12,1)),IF((MOD(DATEDIF(DATE(YEAR($E58),MONTH($E58),1),DATE(2026,12,1),"m"),IF($D58="Quarterly",3,IF($D58="Annual",12,1)))=0),IF((COUNTIFS(Xero_Raw!$D$4:$D$5003,$A58,Xero_Raw!$G$4:$G$5003,"*Subscription*",Xero_Raw!$A$4:$A$5003,"&gt;="&amp;DATE(2026,12,1),Xero_Raw!$A$4:$A$5003,"&lt;"&amp;EDATE(DATE(2026,12,1),1))+COUNTIFS(Customer_Invoices_Upload!$E$4:$E$5003,$A58,Customer_Invoices_Upload!$G$4:$G$5003,"*Subscription*",Customer_Invoices_Upload!$B$4:$B$5003,"&gt;="&amp;DATE(2026,12,1),Customer_Invoices_Upload!$B$4:$B$5003,"&lt;"&amp;EDATE(DATE(2026,12,1),1))+COUNTIFS(Stripe_Invoices_Upload!$D$4:$D$5003,$A58,Stripe_Invoices_Upload!$E$4:$E$5003,"*Subscription*",Stripe_Invoices_Upload!$A$4:$A$5003,"&gt;="&amp;DATE(2026,12,1),Stripe_Invoices_Upload!$A$4:$A$5003,"&lt;"&amp;EDATE(DATE(2026,12,1),1)))&gt;0,"✓ Invoiced","⚠ Due"),""),""))</f>
        <v/>
      </c>
      <c r="P58" s="130" t="str">
        <f aca="false">IF($A58="","",IF((DATE(YEAR($E58),MONTH($E58),1)&lt;=DATE(2027,1,1)),IF((MOD(DATEDIF(DATE(YEAR($E58),MONTH($E58),1),DATE(2027,1,1),"m"),IF($D58="Quarterly",3,IF($D58="Annual",12,1)))=0),IF((COUNTIFS(Xero_Raw!$D$4:$D$5003,$A58,Xero_Raw!$G$4:$G$5003,"*Subscription*",Xero_Raw!$A$4:$A$5003,"&gt;="&amp;DATE(2027,1,1),Xero_Raw!$A$4:$A$5003,"&lt;"&amp;EDATE(DATE(2027,1,1),1))+COUNTIFS(Customer_Invoices_Upload!$E$4:$E$5003,$A58,Customer_Invoices_Upload!$G$4:$G$5003,"*Subscription*",Customer_Invoices_Upload!$B$4:$B$5003,"&gt;="&amp;DATE(2027,1,1),Customer_Invoices_Upload!$B$4:$B$5003,"&lt;"&amp;EDATE(DATE(2027,1,1),1))+COUNTIFS(Stripe_Invoices_Upload!$D$4:$D$5003,$A58,Stripe_Invoices_Upload!$E$4:$E$5003,"*Subscription*",Stripe_Invoices_Upload!$A$4:$A$5003,"&gt;="&amp;DATE(2027,1,1),Stripe_Invoices_Upload!$A$4:$A$5003,"&lt;"&amp;EDATE(DATE(2027,1,1),1)))&gt;0,"✓ Invoiced","⚠ Due"),""),""))</f>
        <v/>
      </c>
      <c r="Q58" s="130" t="str">
        <f aca="false">IF($A58="","",IF((DATE(YEAR($E58),MONTH($E58),1)&lt;=DATE(2027,2,1)),IF((MOD(DATEDIF(DATE(YEAR($E58),MONTH($E58),1),DATE(2027,2,1),"m"),IF($D58="Quarterly",3,IF($D58="Annual",12,1)))=0),IF((COUNTIFS(Xero_Raw!$D$4:$D$5003,$A58,Xero_Raw!$G$4:$G$5003,"*Subscription*",Xero_Raw!$A$4:$A$5003,"&gt;="&amp;DATE(2027,2,1),Xero_Raw!$A$4:$A$5003,"&lt;"&amp;EDATE(DATE(2027,2,1),1))+COUNTIFS(Customer_Invoices_Upload!$E$4:$E$5003,$A58,Customer_Invoices_Upload!$G$4:$G$5003,"*Subscription*",Customer_Invoices_Upload!$B$4:$B$5003,"&gt;="&amp;DATE(2027,2,1),Customer_Invoices_Upload!$B$4:$B$5003,"&lt;"&amp;EDATE(DATE(2027,2,1),1))+COUNTIFS(Stripe_Invoices_Upload!$D$4:$D$5003,$A58,Stripe_Invoices_Upload!$E$4:$E$5003,"*Subscription*",Stripe_Invoices_Upload!$A$4:$A$5003,"&gt;="&amp;DATE(2027,2,1),Stripe_Invoices_Upload!$A$4:$A$5003,"&lt;"&amp;EDATE(DATE(2027,2,1),1)))&gt;0,"✓ Invoiced","⚠ Due"),""),""))</f>
        <v/>
      </c>
      <c r="R58" s="130" t="str">
        <f aca="false">IF($A58="","",IF((DATE(YEAR($E58),MONTH($E58),1)&lt;=DATE(2027,3,1)),IF((MOD(DATEDIF(DATE(YEAR($E58),MONTH($E58),1),DATE(2027,3,1),"m"),IF($D58="Quarterly",3,IF($D58="Annual",12,1)))=0),IF((COUNTIFS(Xero_Raw!$D$4:$D$5003,$A58,Xero_Raw!$G$4:$G$5003,"*Subscription*",Xero_Raw!$A$4:$A$5003,"&gt;="&amp;DATE(2027,3,1),Xero_Raw!$A$4:$A$5003,"&lt;"&amp;EDATE(DATE(2027,3,1),1))+COUNTIFS(Customer_Invoices_Upload!$E$4:$E$5003,$A58,Customer_Invoices_Upload!$G$4:$G$5003,"*Subscription*",Customer_Invoices_Upload!$B$4:$B$5003,"&gt;="&amp;DATE(2027,3,1),Customer_Invoices_Upload!$B$4:$B$5003,"&lt;"&amp;EDATE(DATE(2027,3,1),1))+COUNTIFS(Stripe_Invoices_Upload!$D$4:$D$5003,$A58,Stripe_Invoices_Upload!$E$4:$E$5003,"*Subscription*",Stripe_Invoices_Upload!$A$4:$A$5003,"&gt;="&amp;DATE(2027,3,1),Stripe_Invoices_Upload!$A$4:$A$5003,"&lt;"&amp;EDATE(DATE(2027,3,1),1)))&gt;0,"✓ Invoiced","⚠ Due"),""),""))</f>
        <v/>
      </c>
    </row>
    <row r="59" customFormat="false" ht="15" hidden="false" customHeight="false" outlineLevel="0" collapsed="false">
      <c r="A59" s="39"/>
      <c r="B59" s="39"/>
      <c r="C59" s="40"/>
      <c r="D59" s="39"/>
      <c r="E59" s="38"/>
      <c r="F59" s="129" t="str">
        <f aca="true">IF($A59="","",EDATE($E59,DATEDIF($E59,TODAY(),"m")+1))</f>
        <v/>
      </c>
      <c r="G59" s="130" t="str">
        <f aca="false">IF($A59="","",IF((DATE(YEAR($E59),MONTH($E59),1)&lt;=DATE(2026,4,1)),IF((MOD(DATEDIF(DATE(YEAR($E59),MONTH($E59),1),DATE(2026,4,1),"m"),IF($D59="Quarterly",3,IF($D59="Annual",12,1)))=0),IF((COUNTIFS(Xero_Raw!$D$4:$D$5003,$A59,Xero_Raw!$G$4:$G$5003,"*Subscription*",Xero_Raw!$A$4:$A$5003,"&gt;="&amp;DATE(2026,4,1),Xero_Raw!$A$4:$A$5003,"&lt;"&amp;EDATE(DATE(2026,4,1),1))+COUNTIFS(Customer_Invoices_Upload!$E$4:$E$5003,$A59,Customer_Invoices_Upload!$G$4:$G$5003,"*Subscription*",Customer_Invoices_Upload!$B$4:$B$5003,"&gt;="&amp;DATE(2026,4,1),Customer_Invoices_Upload!$B$4:$B$5003,"&lt;"&amp;EDATE(DATE(2026,4,1),1))+COUNTIFS(Stripe_Invoices_Upload!$D$4:$D$5003,$A59,Stripe_Invoices_Upload!$E$4:$E$5003,"*Subscription*",Stripe_Invoices_Upload!$A$4:$A$5003,"&gt;="&amp;DATE(2026,4,1),Stripe_Invoices_Upload!$A$4:$A$5003,"&lt;"&amp;EDATE(DATE(2026,4,1),1)))&gt;0,"✓ Invoiced","⚠ Due"),""),""))</f>
        <v/>
      </c>
      <c r="H59" s="130" t="str">
        <f aca="false">IF($A59="","",IF((DATE(YEAR($E59),MONTH($E59),1)&lt;=DATE(2026,5,1)),IF((MOD(DATEDIF(DATE(YEAR($E59),MONTH($E59),1),DATE(2026,5,1),"m"),IF($D59="Quarterly",3,IF($D59="Annual",12,1)))=0),IF((COUNTIFS(Xero_Raw!$D$4:$D$5003,$A59,Xero_Raw!$G$4:$G$5003,"*Subscription*",Xero_Raw!$A$4:$A$5003,"&gt;="&amp;DATE(2026,5,1),Xero_Raw!$A$4:$A$5003,"&lt;"&amp;EDATE(DATE(2026,5,1),1))+COUNTIFS(Customer_Invoices_Upload!$E$4:$E$5003,$A59,Customer_Invoices_Upload!$G$4:$G$5003,"*Subscription*",Customer_Invoices_Upload!$B$4:$B$5003,"&gt;="&amp;DATE(2026,5,1),Customer_Invoices_Upload!$B$4:$B$5003,"&lt;"&amp;EDATE(DATE(2026,5,1),1))+COUNTIFS(Stripe_Invoices_Upload!$D$4:$D$5003,$A59,Stripe_Invoices_Upload!$E$4:$E$5003,"*Subscription*",Stripe_Invoices_Upload!$A$4:$A$5003,"&gt;="&amp;DATE(2026,5,1),Stripe_Invoices_Upload!$A$4:$A$5003,"&lt;"&amp;EDATE(DATE(2026,5,1),1)))&gt;0,"✓ Invoiced","⚠ Due"),""),""))</f>
        <v/>
      </c>
      <c r="I59" s="130" t="str">
        <f aca="false">IF($A59="","",IF((DATE(YEAR($E59),MONTH($E59),1)&lt;=DATE(2026,6,1)),IF((MOD(DATEDIF(DATE(YEAR($E59),MONTH($E59),1),DATE(2026,6,1),"m"),IF($D59="Quarterly",3,IF($D59="Annual",12,1)))=0),IF((COUNTIFS(Xero_Raw!$D$4:$D$5003,$A59,Xero_Raw!$G$4:$G$5003,"*Subscription*",Xero_Raw!$A$4:$A$5003,"&gt;="&amp;DATE(2026,6,1),Xero_Raw!$A$4:$A$5003,"&lt;"&amp;EDATE(DATE(2026,6,1),1))+COUNTIFS(Customer_Invoices_Upload!$E$4:$E$5003,$A59,Customer_Invoices_Upload!$G$4:$G$5003,"*Subscription*",Customer_Invoices_Upload!$B$4:$B$5003,"&gt;="&amp;DATE(2026,6,1),Customer_Invoices_Upload!$B$4:$B$5003,"&lt;"&amp;EDATE(DATE(2026,6,1),1))+COUNTIFS(Stripe_Invoices_Upload!$D$4:$D$5003,$A59,Stripe_Invoices_Upload!$E$4:$E$5003,"*Subscription*",Stripe_Invoices_Upload!$A$4:$A$5003,"&gt;="&amp;DATE(2026,6,1),Stripe_Invoices_Upload!$A$4:$A$5003,"&lt;"&amp;EDATE(DATE(2026,6,1),1)))&gt;0,"✓ Invoiced","⚠ Due"),""),""))</f>
        <v/>
      </c>
      <c r="J59" s="130" t="str">
        <f aca="false">IF($A59="","",IF((DATE(YEAR($E59),MONTH($E59),1)&lt;=DATE(2026,7,1)),IF((MOD(DATEDIF(DATE(YEAR($E59),MONTH($E59),1),DATE(2026,7,1),"m"),IF($D59="Quarterly",3,IF($D59="Annual",12,1)))=0),IF((COUNTIFS(Xero_Raw!$D$4:$D$5003,$A59,Xero_Raw!$G$4:$G$5003,"*Subscription*",Xero_Raw!$A$4:$A$5003,"&gt;="&amp;DATE(2026,7,1),Xero_Raw!$A$4:$A$5003,"&lt;"&amp;EDATE(DATE(2026,7,1),1))+COUNTIFS(Customer_Invoices_Upload!$E$4:$E$5003,$A59,Customer_Invoices_Upload!$G$4:$G$5003,"*Subscription*",Customer_Invoices_Upload!$B$4:$B$5003,"&gt;="&amp;DATE(2026,7,1),Customer_Invoices_Upload!$B$4:$B$5003,"&lt;"&amp;EDATE(DATE(2026,7,1),1))+COUNTIFS(Stripe_Invoices_Upload!$D$4:$D$5003,$A59,Stripe_Invoices_Upload!$E$4:$E$5003,"*Subscription*",Stripe_Invoices_Upload!$A$4:$A$5003,"&gt;="&amp;DATE(2026,7,1),Stripe_Invoices_Upload!$A$4:$A$5003,"&lt;"&amp;EDATE(DATE(2026,7,1),1)))&gt;0,"✓ Invoiced","⚠ Due"),""),""))</f>
        <v/>
      </c>
      <c r="K59" s="130" t="str">
        <f aca="false">IF($A59="","",IF((DATE(YEAR($E59),MONTH($E59),1)&lt;=DATE(2026,8,1)),IF((MOD(DATEDIF(DATE(YEAR($E59),MONTH($E59),1),DATE(2026,8,1),"m"),IF($D59="Quarterly",3,IF($D59="Annual",12,1)))=0),IF((COUNTIFS(Xero_Raw!$D$4:$D$5003,$A59,Xero_Raw!$G$4:$G$5003,"*Subscription*",Xero_Raw!$A$4:$A$5003,"&gt;="&amp;DATE(2026,8,1),Xero_Raw!$A$4:$A$5003,"&lt;"&amp;EDATE(DATE(2026,8,1),1))+COUNTIFS(Customer_Invoices_Upload!$E$4:$E$5003,$A59,Customer_Invoices_Upload!$G$4:$G$5003,"*Subscription*",Customer_Invoices_Upload!$B$4:$B$5003,"&gt;="&amp;DATE(2026,8,1),Customer_Invoices_Upload!$B$4:$B$5003,"&lt;"&amp;EDATE(DATE(2026,8,1),1))+COUNTIFS(Stripe_Invoices_Upload!$D$4:$D$5003,$A59,Stripe_Invoices_Upload!$E$4:$E$5003,"*Subscription*",Stripe_Invoices_Upload!$A$4:$A$5003,"&gt;="&amp;DATE(2026,8,1),Stripe_Invoices_Upload!$A$4:$A$5003,"&lt;"&amp;EDATE(DATE(2026,8,1),1)))&gt;0,"✓ Invoiced","⚠ Due"),""),""))</f>
        <v/>
      </c>
      <c r="L59" s="130" t="str">
        <f aca="false">IF($A59="","",IF((DATE(YEAR($E59),MONTH($E59),1)&lt;=DATE(2026,9,1)),IF((MOD(DATEDIF(DATE(YEAR($E59),MONTH($E59),1),DATE(2026,9,1),"m"),IF($D59="Quarterly",3,IF($D59="Annual",12,1)))=0),IF((COUNTIFS(Xero_Raw!$D$4:$D$5003,$A59,Xero_Raw!$G$4:$G$5003,"*Subscription*",Xero_Raw!$A$4:$A$5003,"&gt;="&amp;DATE(2026,9,1),Xero_Raw!$A$4:$A$5003,"&lt;"&amp;EDATE(DATE(2026,9,1),1))+COUNTIFS(Customer_Invoices_Upload!$E$4:$E$5003,$A59,Customer_Invoices_Upload!$G$4:$G$5003,"*Subscription*",Customer_Invoices_Upload!$B$4:$B$5003,"&gt;="&amp;DATE(2026,9,1),Customer_Invoices_Upload!$B$4:$B$5003,"&lt;"&amp;EDATE(DATE(2026,9,1),1))+COUNTIFS(Stripe_Invoices_Upload!$D$4:$D$5003,$A59,Stripe_Invoices_Upload!$E$4:$E$5003,"*Subscription*",Stripe_Invoices_Upload!$A$4:$A$5003,"&gt;="&amp;DATE(2026,9,1),Stripe_Invoices_Upload!$A$4:$A$5003,"&lt;"&amp;EDATE(DATE(2026,9,1),1)))&gt;0,"✓ Invoiced","⚠ Due"),""),""))</f>
        <v/>
      </c>
      <c r="M59" s="130" t="str">
        <f aca="false">IF($A59="","",IF((DATE(YEAR($E59),MONTH($E59),1)&lt;=DATE(2026,10,1)),IF((MOD(DATEDIF(DATE(YEAR($E59),MONTH($E59),1),DATE(2026,10,1),"m"),IF($D59="Quarterly",3,IF($D59="Annual",12,1)))=0),IF((COUNTIFS(Xero_Raw!$D$4:$D$5003,$A59,Xero_Raw!$G$4:$G$5003,"*Subscription*",Xero_Raw!$A$4:$A$5003,"&gt;="&amp;DATE(2026,10,1),Xero_Raw!$A$4:$A$5003,"&lt;"&amp;EDATE(DATE(2026,10,1),1))+COUNTIFS(Customer_Invoices_Upload!$E$4:$E$5003,$A59,Customer_Invoices_Upload!$G$4:$G$5003,"*Subscription*",Customer_Invoices_Upload!$B$4:$B$5003,"&gt;="&amp;DATE(2026,10,1),Customer_Invoices_Upload!$B$4:$B$5003,"&lt;"&amp;EDATE(DATE(2026,10,1),1))+COUNTIFS(Stripe_Invoices_Upload!$D$4:$D$5003,$A59,Stripe_Invoices_Upload!$E$4:$E$5003,"*Subscription*",Stripe_Invoices_Upload!$A$4:$A$5003,"&gt;="&amp;DATE(2026,10,1),Stripe_Invoices_Upload!$A$4:$A$5003,"&lt;"&amp;EDATE(DATE(2026,10,1),1)))&gt;0,"✓ Invoiced","⚠ Due"),""),""))</f>
        <v/>
      </c>
      <c r="N59" s="130" t="str">
        <f aca="false">IF($A59="","",IF((DATE(YEAR($E59),MONTH($E59),1)&lt;=DATE(2026,11,1)),IF((MOD(DATEDIF(DATE(YEAR($E59),MONTH($E59),1),DATE(2026,11,1),"m"),IF($D59="Quarterly",3,IF($D59="Annual",12,1)))=0),IF((COUNTIFS(Xero_Raw!$D$4:$D$5003,$A59,Xero_Raw!$G$4:$G$5003,"*Subscription*",Xero_Raw!$A$4:$A$5003,"&gt;="&amp;DATE(2026,11,1),Xero_Raw!$A$4:$A$5003,"&lt;"&amp;EDATE(DATE(2026,11,1),1))+COUNTIFS(Customer_Invoices_Upload!$E$4:$E$5003,$A59,Customer_Invoices_Upload!$G$4:$G$5003,"*Subscription*",Customer_Invoices_Upload!$B$4:$B$5003,"&gt;="&amp;DATE(2026,11,1),Customer_Invoices_Upload!$B$4:$B$5003,"&lt;"&amp;EDATE(DATE(2026,11,1),1))+COUNTIFS(Stripe_Invoices_Upload!$D$4:$D$5003,$A59,Stripe_Invoices_Upload!$E$4:$E$5003,"*Subscription*",Stripe_Invoices_Upload!$A$4:$A$5003,"&gt;="&amp;DATE(2026,11,1),Stripe_Invoices_Upload!$A$4:$A$5003,"&lt;"&amp;EDATE(DATE(2026,11,1),1)))&gt;0,"✓ Invoiced","⚠ Due"),""),""))</f>
        <v/>
      </c>
      <c r="O59" s="130" t="str">
        <f aca="false">IF($A59="","",IF((DATE(YEAR($E59),MONTH($E59),1)&lt;=DATE(2026,12,1)),IF((MOD(DATEDIF(DATE(YEAR($E59),MONTH($E59),1),DATE(2026,12,1),"m"),IF($D59="Quarterly",3,IF($D59="Annual",12,1)))=0),IF((COUNTIFS(Xero_Raw!$D$4:$D$5003,$A59,Xero_Raw!$G$4:$G$5003,"*Subscription*",Xero_Raw!$A$4:$A$5003,"&gt;="&amp;DATE(2026,12,1),Xero_Raw!$A$4:$A$5003,"&lt;"&amp;EDATE(DATE(2026,12,1),1))+COUNTIFS(Customer_Invoices_Upload!$E$4:$E$5003,$A59,Customer_Invoices_Upload!$G$4:$G$5003,"*Subscription*",Customer_Invoices_Upload!$B$4:$B$5003,"&gt;="&amp;DATE(2026,12,1),Customer_Invoices_Upload!$B$4:$B$5003,"&lt;"&amp;EDATE(DATE(2026,12,1),1))+COUNTIFS(Stripe_Invoices_Upload!$D$4:$D$5003,$A59,Stripe_Invoices_Upload!$E$4:$E$5003,"*Subscription*",Stripe_Invoices_Upload!$A$4:$A$5003,"&gt;="&amp;DATE(2026,12,1),Stripe_Invoices_Upload!$A$4:$A$5003,"&lt;"&amp;EDATE(DATE(2026,12,1),1)))&gt;0,"✓ Invoiced","⚠ Due"),""),""))</f>
        <v/>
      </c>
      <c r="P59" s="130" t="str">
        <f aca="false">IF($A59="","",IF((DATE(YEAR($E59),MONTH($E59),1)&lt;=DATE(2027,1,1)),IF((MOD(DATEDIF(DATE(YEAR($E59),MONTH($E59),1),DATE(2027,1,1),"m"),IF($D59="Quarterly",3,IF($D59="Annual",12,1)))=0),IF((COUNTIFS(Xero_Raw!$D$4:$D$5003,$A59,Xero_Raw!$G$4:$G$5003,"*Subscription*",Xero_Raw!$A$4:$A$5003,"&gt;="&amp;DATE(2027,1,1),Xero_Raw!$A$4:$A$5003,"&lt;"&amp;EDATE(DATE(2027,1,1),1))+COUNTIFS(Customer_Invoices_Upload!$E$4:$E$5003,$A59,Customer_Invoices_Upload!$G$4:$G$5003,"*Subscription*",Customer_Invoices_Upload!$B$4:$B$5003,"&gt;="&amp;DATE(2027,1,1),Customer_Invoices_Upload!$B$4:$B$5003,"&lt;"&amp;EDATE(DATE(2027,1,1),1))+COUNTIFS(Stripe_Invoices_Upload!$D$4:$D$5003,$A59,Stripe_Invoices_Upload!$E$4:$E$5003,"*Subscription*",Stripe_Invoices_Upload!$A$4:$A$5003,"&gt;="&amp;DATE(2027,1,1),Stripe_Invoices_Upload!$A$4:$A$5003,"&lt;"&amp;EDATE(DATE(2027,1,1),1)))&gt;0,"✓ Invoiced","⚠ Due"),""),""))</f>
        <v/>
      </c>
      <c r="Q59" s="130" t="str">
        <f aca="false">IF($A59="","",IF((DATE(YEAR($E59),MONTH($E59),1)&lt;=DATE(2027,2,1)),IF((MOD(DATEDIF(DATE(YEAR($E59),MONTH($E59),1),DATE(2027,2,1),"m"),IF($D59="Quarterly",3,IF($D59="Annual",12,1)))=0),IF((COUNTIFS(Xero_Raw!$D$4:$D$5003,$A59,Xero_Raw!$G$4:$G$5003,"*Subscription*",Xero_Raw!$A$4:$A$5003,"&gt;="&amp;DATE(2027,2,1),Xero_Raw!$A$4:$A$5003,"&lt;"&amp;EDATE(DATE(2027,2,1),1))+COUNTIFS(Customer_Invoices_Upload!$E$4:$E$5003,$A59,Customer_Invoices_Upload!$G$4:$G$5003,"*Subscription*",Customer_Invoices_Upload!$B$4:$B$5003,"&gt;="&amp;DATE(2027,2,1),Customer_Invoices_Upload!$B$4:$B$5003,"&lt;"&amp;EDATE(DATE(2027,2,1),1))+COUNTIFS(Stripe_Invoices_Upload!$D$4:$D$5003,$A59,Stripe_Invoices_Upload!$E$4:$E$5003,"*Subscription*",Stripe_Invoices_Upload!$A$4:$A$5003,"&gt;="&amp;DATE(2027,2,1),Stripe_Invoices_Upload!$A$4:$A$5003,"&lt;"&amp;EDATE(DATE(2027,2,1),1)))&gt;0,"✓ Invoiced","⚠ Due"),""),""))</f>
        <v/>
      </c>
      <c r="R59" s="130" t="str">
        <f aca="false">IF($A59="","",IF((DATE(YEAR($E59),MONTH($E59),1)&lt;=DATE(2027,3,1)),IF((MOD(DATEDIF(DATE(YEAR($E59),MONTH($E59),1),DATE(2027,3,1),"m"),IF($D59="Quarterly",3,IF($D59="Annual",12,1)))=0),IF((COUNTIFS(Xero_Raw!$D$4:$D$5003,$A59,Xero_Raw!$G$4:$G$5003,"*Subscription*",Xero_Raw!$A$4:$A$5003,"&gt;="&amp;DATE(2027,3,1),Xero_Raw!$A$4:$A$5003,"&lt;"&amp;EDATE(DATE(2027,3,1),1))+COUNTIFS(Customer_Invoices_Upload!$E$4:$E$5003,$A59,Customer_Invoices_Upload!$G$4:$G$5003,"*Subscription*",Customer_Invoices_Upload!$B$4:$B$5003,"&gt;="&amp;DATE(2027,3,1),Customer_Invoices_Upload!$B$4:$B$5003,"&lt;"&amp;EDATE(DATE(2027,3,1),1))+COUNTIFS(Stripe_Invoices_Upload!$D$4:$D$5003,$A59,Stripe_Invoices_Upload!$E$4:$E$5003,"*Subscription*",Stripe_Invoices_Upload!$A$4:$A$5003,"&gt;="&amp;DATE(2027,3,1),Stripe_Invoices_Upload!$A$4:$A$5003,"&lt;"&amp;EDATE(DATE(2027,3,1),1)))&gt;0,"✓ Invoiced","⚠ Due"),""),""))</f>
        <v/>
      </c>
    </row>
    <row r="60" customFormat="false" ht="15" hidden="false" customHeight="false" outlineLevel="0" collapsed="false">
      <c r="A60" s="39"/>
      <c r="B60" s="39"/>
      <c r="C60" s="40"/>
      <c r="D60" s="39"/>
      <c r="E60" s="38"/>
      <c r="F60" s="129" t="str">
        <f aca="true">IF($A60="","",EDATE($E60,DATEDIF($E60,TODAY(),"m")+1))</f>
        <v/>
      </c>
      <c r="G60" s="130" t="str">
        <f aca="false">IF($A60="","",IF((DATE(YEAR($E60),MONTH($E60),1)&lt;=DATE(2026,4,1)),IF((MOD(DATEDIF(DATE(YEAR($E60),MONTH($E60),1),DATE(2026,4,1),"m"),IF($D60="Quarterly",3,IF($D60="Annual",12,1)))=0),IF((COUNTIFS(Xero_Raw!$D$4:$D$5003,$A60,Xero_Raw!$G$4:$G$5003,"*Subscription*",Xero_Raw!$A$4:$A$5003,"&gt;="&amp;DATE(2026,4,1),Xero_Raw!$A$4:$A$5003,"&lt;"&amp;EDATE(DATE(2026,4,1),1))+COUNTIFS(Customer_Invoices_Upload!$E$4:$E$5003,$A60,Customer_Invoices_Upload!$G$4:$G$5003,"*Subscription*",Customer_Invoices_Upload!$B$4:$B$5003,"&gt;="&amp;DATE(2026,4,1),Customer_Invoices_Upload!$B$4:$B$5003,"&lt;"&amp;EDATE(DATE(2026,4,1),1))+COUNTIFS(Stripe_Invoices_Upload!$D$4:$D$5003,$A60,Stripe_Invoices_Upload!$E$4:$E$5003,"*Subscription*",Stripe_Invoices_Upload!$A$4:$A$5003,"&gt;="&amp;DATE(2026,4,1),Stripe_Invoices_Upload!$A$4:$A$5003,"&lt;"&amp;EDATE(DATE(2026,4,1),1)))&gt;0,"✓ Invoiced","⚠ Due"),""),""))</f>
        <v/>
      </c>
      <c r="H60" s="130" t="str">
        <f aca="false">IF($A60="","",IF((DATE(YEAR($E60),MONTH($E60),1)&lt;=DATE(2026,5,1)),IF((MOD(DATEDIF(DATE(YEAR($E60),MONTH($E60),1),DATE(2026,5,1),"m"),IF($D60="Quarterly",3,IF($D60="Annual",12,1)))=0),IF((COUNTIFS(Xero_Raw!$D$4:$D$5003,$A60,Xero_Raw!$G$4:$G$5003,"*Subscription*",Xero_Raw!$A$4:$A$5003,"&gt;="&amp;DATE(2026,5,1),Xero_Raw!$A$4:$A$5003,"&lt;"&amp;EDATE(DATE(2026,5,1),1))+COUNTIFS(Customer_Invoices_Upload!$E$4:$E$5003,$A60,Customer_Invoices_Upload!$G$4:$G$5003,"*Subscription*",Customer_Invoices_Upload!$B$4:$B$5003,"&gt;="&amp;DATE(2026,5,1),Customer_Invoices_Upload!$B$4:$B$5003,"&lt;"&amp;EDATE(DATE(2026,5,1),1))+COUNTIFS(Stripe_Invoices_Upload!$D$4:$D$5003,$A60,Stripe_Invoices_Upload!$E$4:$E$5003,"*Subscription*",Stripe_Invoices_Upload!$A$4:$A$5003,"&gt;="&amp;DATE(2026,5,1),Stripe_Invoices_Upload!$A$4:$A$5003,"&lt;"&amp;EDATE(DATE(2026,5,1),1)))&gt;0,"✓ Invoiced","⚠ Due"),""),""))</f>
        <v/>
      </c>
      <c r="I60" s="130" t="str">
        <f aca="false">IF($A60="","",IF((DATE(YEAR($E60),MONTH($E60),1)&lt;=DATE(2026,6,1)),IF((MOD(DATEDIF(DATE(YEAR($E60),MONTH($E60),1),DATE(2026,6,1),"m"),IF($D60="Quarterly",3,IF($D60="Annual",12,1)))=0),IF((COUNTIFS(Xero_Raw!$D$4:$D$5003,$A60,Xero_Raw!$G$4:$G$5003,"*Subscription*",Xero_Raw!$A$4:$A$5003,"&gt;="&amp;DATE(2026,6,1),Xero_Raw!$A$4:$A$5003,"&lt;"&amp;EDATE(DATE(2026,6,1),1))+COUNTIFS(Customer_Invoices_Upload!$E$4:$E$5003,$A60,Customer_Invoices_Upload!$G$4:$G$5003,"*Subscription*",Customer_Invoices_Upload!$B$4:$B$5003,"&gt;="&amp;DATE(2026,6,1),Customer_Invoices_Upload!$B$4:$B$5003,"&lt;"&amp;EDATE(DATE(2026,6,1),1))+COUNTIFS(Stripe_Invoices_Upload!$D$4:$D$5003,$A60,Stripe_Invoices_Upload!$E$4:$E$5003,"*Subscription*",Stripe_Invoices_Upload!$A$4:$A$5003,"&gt;="&amp;DATE(2026,6,1),Stripe_Invoices_Upload!$A$4:$A$5003,"&lt;"&amp;EDATE(DATE(2026,6,1),1)))&gt;0,"✓ Invoiced","⚠ Due"),""),""))</f>
        <v/>
      </c>
      <c r="J60" s="130" t="str">
        <f aca="false">IF($A60="","",IF((DATE(YEAR($E60),MONTH($E60),1)&lt;=DATE(2026,7,1)),IF((MOD(DATEDIF(DATE(YEAR($E60),MONTH($E60),1),DATE(2026,7,1),"m"),IF($D60="Quarterly",3,IF($D60="Annual",12,1)))=0),IF((COUNTIFS(Xero_Raw!$D$4:$D$5003,$A60,Xero_Raw!$G$4:$G$5003,"*Subscription*",Xero_Raw!$A$4:$A$5003,"&gt;="&amp;DATE(2026,7,1),Xero_Raw!$A$4:$A$5003,"&lt;"&amp;EDATE(DATE(2026,7,1),1))+COUNTIFS(Customer_Invoices_Upload!$E$4:$E$5003,$A60,Customer_Invoices_Upload!$G$4:$G$5003,"*Subscription*",Customer_Invoices_Upload!$B$4:$B$5003,"&gt;="&amp;DATE(2026,7,1),Customer_Invoices_Upload!$B$4:$B$5003,"&lt;"&amp;EDATE(DATE(2026,7,1),1))+COUNTIFS(Stripe_Invoices_Upload!$D$4:$D$5003,$A60,Stripe_Invoices_Upload!$E$4:$E$5003,"*Subscription*",Stripe_Invoices_Upload!$A$4:$A$5003,"&gt;="&amp;DATE(2026,7,1),Stripe_Invoices_Upload!$A$4:$A$5003,"&lt;"&amp;EDATE(DATE(2026,7,1),1)))&gt;0,"✓ Invoiced","⚠ Due"),""),""))</f>
        <v/>
      </c>
      <c r="K60" s="130" t="str">
        <f aca="false">IF($A60="","",IF((DATE(YEAR($E60),MONTH($E60),1)&lt;=DATE(2026,8,1)),IF((MOD(DATEDIF(DATE(YEAR($E60),MONTH($E60),1),DATE(2026,8,1),"m"),IF($D60="Quarterly",3,IF($D60="Annual",12,1)))=0),IF((COUNTIFS(Xero_Raw!$D$4:$D$5003,$A60,Xero_Raw!$G$4:$G$5003,"*Subscription*",Xero_Raw!$A$4:$A$5003,"&gt;="&amp;DATE(2026,8,1),Xero_Raw!$A$4:$A$5003,"&lt;"&amp;EDATE(DATE(2026,8,1),1))+COUNTIFS(Customer_Invoices_Upload!$E$4:$E$5003,$A60,Customer_Invoices_Upload!$G$4:$G$5003,"*Subscription*",Customer_Invoices_Upload!$B$4:$B$5003,"&gt;="&amp;DATE(2026,8,1),Customer_Invoices_Upload!$B$4:$B$5003,"&lt;"&amp;EDATE(DATE(2026,8,1),1))+COUNTIFS(Stripe_Invoices_Upload!$D$4:$D$5003,$A60,Stripe_Invoices_Upload!$E$4:$E$5003,"*Subscription*",Stripe_Invoices_Upload!$A$4:$A$5003,"&gt;="&amp;DATE(2026,8,1),Stripe_Invoices_Upload!$A$4:$A$5003,"&lt;"&amp;EDATE(DATE(2026,8,1),1)))&gt;0,"✓ Invoiced","⚠ Due"),""),""))</f>
        <v/>
      </c>
      <c r="L60" s="130" t="str">
        <f aca="false">IF($A60="","",IF((DATE(YEAR($E60),MONTH($E60),1)&lt;=DATE(2026,9,1)),IF((MOD(DATEDIF(DATE(YEAR($E60),MONTH($E60),1),DATE(2026,9,1),"m"),IF($D60="Quarterly",3,IF($D60="Annual",12,1)))=0),IF((COUNTIFS(Xero_Raw!$D$4:$D$5003,$A60,Xero_Raw!$G$4:$G$5003,"*Subscription*",Xero_Raw!$A$4:$A$5003,"&gt;="&amp;DATE(2026,9,1),Xero_Raw!$A$4:$A$5003,"&lt;"&amp;EDATE(DATE(2026,9,1),1))+COUNTIFS(Customer_Invoices_Upload!$E$4:$E$5003,$A60,Customer_Invoices_Upload!$G$4:$G$5003,"*Subscription*",Customer_Invoices_Upload!$B$4:$B$5003,"&gt;="&amp;DATE(2026,9,1),Customer_Invoices_Upload!$B$4:$B$5003,"&lt;"&amp;EDATE(DATE(2026,9,1),1))+COUNTIFS(Stripe_Invoices_Upload!$D$4:$D$5003,$A60,Stripe_Invoices_Upload!$E$4:$E$5003,"*Subscription*",Stripe_Invoices_Upload!$A$4:$A$5003,"&gt;="&amp;DATE(2026,9,1),Stripe_Invoices_Upload!$A$4:$A$5003,"&lt;"&amp;EDATE(DATE(2026,9,1),1)))&gt;0,"✓ Invoiced","⚠ Due"),""),""))</f>
        <v/>
      </c>
      <c r="M60" s="130" t="str">
        <f aca="false">IF($A60="","",IF((DATE(YEAR($E60),MONTH($E60),1)&lt;=DATE(2026,10,1)),IF((MOD(DATEDIF(DATE(YEAR($E60),MONTH($E60),1),DATE(2026,10,1),"m"),IF($D60="Quarterly",3,IF($D60="Annual",12,1)))=0),IF((COUNTIFS(Xero_Raw!$D$4:$D$5003,$A60,Xero_Raw!$G$4:$G$5003,"*Subscription*",Xero_Raw!$A$4:$A$5003,"&gt;="&amp;DATE(2026,10,1),Xero_Raw!$A$4:$A$5003,"&lt;"&amp;EDATE(DATE(2026,10,1),1))+COUNTIFS(Customer_Invoices_Upload!$E$4:$E$5003,$A60,Customer_Invoices_Upload!$G$4:$G$5003,"*Subscription*",Customer_Invoices_Upload!$B$4:$B$5003,"&gt;="&amp;DATE(2026,10,1),Customer_Invoices_Upload!$B$4:$B$5003,"&lt;"&amp;EDATE(DATE(2026,10,1),1))+COUNTIFS(Stripe_Invoices_Upload!$D$4:$D$5003,$A60,Stripe_Invoices_Upload!$E$4:$E$5003,"*Subscription*",Stripe_Invoices_Upload!$A$4:$A$5003,"&gt;="&amp;DATE(2026,10,1),Stripe_Invoices_Upload!$A$4:$A$5003,"&lt;"&amp;EDATE(DATE(2026,10,1),1)))&gt;0,"✓ Invoiced","⚠ Due"),""),""))</f>
        <v/>
      </c>
      <c r="N60" s="130" t="str">
        <f aca="false">IF($A60="","",IF((DATE(YEAR($E60),MONTH($E60),1)&lt;=DATE(2026,11,1)),IF((MOD(DATEDIF(DATE(YEAR($E60),MONTH($E60),1),DATE(2026,11,1),"m"),IF($D60="Quarterly",3,IF($D60="Annual",12,1)))=0),IF((COUNTIFS(Xero_Raw!$D$4:$D$5003,$A60,Xero_Raw!$G$4:$G$5003,"*Subscription*",Xero_Raw!$A$4:$A$5003,"&gt;="&amp;DATE(2026,11,1),Xero_Raw!$A$4:$A$5003,"&lt;"&amp;EDATE(DATE(2026,11,1),1))+COUNTIFS(Customer_Invoices_Upload!$E$4:$E$5003,$A60,Customer_Invoices_Upload!$G$4:$G$5003,"*Subscription*",Customer_Invoices_Upload!$B$4:$B$5003,"&gt;="&amp;DATE(2026,11,1),Customer_Invoices_Upload!$B$4:$B$5003,"&lt;"&amp;EDATE(DATE(2026,11,1),1))+COUNTIFS(Stripe_Invoices_Upload!$D$4:$D$5003,$A60,Stripe_Invoices_Upload!$E$4:$E$5003,"*Subscription*",Stripe_Invoices_Upload!$A$4:$A$5003,"&gt;="&amp;DATE(2026,11,1),Stripe_Invoices_Upload!$A$4:$A$5003,"&lt;"&amp;EDATE(DATE(2026,11,1),1)))&gt;0,"✓ Invoiced","⚠ Due"),""),""))</f>
        <v/>
      </c>
      <c r="O60" s="130" t="str">
        <f aca="false">IF($A60="","",IF((DATE(YEAR($E60),MONTH($E60),1)&lt;=DATE(2026,12,1)),IF((MOD(DATEDIF(DATE(YEAR($E60),MONTH($E60),1),DATE(2026,12,1),"m"),IF($D60="Quarterly",3,IF($D60="Annual",12,1)))=0),IF((COUNTIFS(Xero_Raw!$D$4:$D$5003,$A60,Xero_Raw!$G$4:$G$5003,"*Subscription*",Xero_Raw!$A$4:$A$5003,"&gt;="&amp;DATE(2026,12,1),Xero_Raw!$A$4:$A$5003,"&lt;"&amp;EDATE(DATE(2026,12,1),1))+COUNTIFS(Customer_Invoices_Upload!$E$4:$E$5003,$A60,Customer_Invoices_Upload!$G$4:$G$5003,"*Subscription*",Customer_Invoices_Upload!$B$4:$B$5003,"&gt;="&amp;DATE(2026,12,1),Customer_Invoices_Upload!$B$4:$B$5003,"&lt;"&amp;EDATE(DATE(2026,12,1),1))+COUNTIFS(Stripe_Invoices_Upload!$D$4:$D$5003,$A60,Stripe_Invoices_Upload!$E$4:$E$5003,"*Subscription*",Stripe_Invoices_Upload!$A$4:$A$5003,"&gt;="&amp;DATE(2026,12,1),Stripe_Invoices_Upload!$A$4:$A$5003,"&lt;"&amp;EDATE(DATE(2026,12,1),1)))&gt;0,"✓ Invoiced","⚠ Due"),""),""))</f>
        <v/>
      </c>
      <c r="P60" s="130" t="str">
        <f aca="false">IF($A60="","",IF((DATE(YEAR($E60),MONTH($E60),1)&lt;=DATE(2027,1,1)),IF((MOD(DATEDIF(DATE(YEAR($E60),MONTH($E60),1),DATE(2027,1,1),"m"),IF($D60="Quarterly",3,IF($D60="Annual",12,1)))=0),IF((COUNTIFS(Xero_Raw!$D$4:$D$5003,$A60,Xero_Raw!$G$4:$G$5003,"*Subscription*",Xero_Raw!$A$4:$A$5003,"&gt;="&amp;DATE(2027,1,1),Xero_Raw!$A$4:$A$5003,"&lt;"&amp;EDATE(DATE(2027,1,1),1))+COUNTIFS(Customer_Invoices_Upload!$E$4:$E$5003,$A60,Customer_Invoices_Upload!$G$4:$G$5003,"*Subscription*",Customer_Invoices_Upload!$B$4:$B$5003,"&gt;="&amp;DATE(2027,1,1),Customer_Invoices_Upload!$B$4:$B$5003,"&lt;"&amp;EDATE(DATE(2027,1,1),1))+COUNTIFS(Stripe_Invoices_Upload!$D$4:$D$5003,$A60,Stripe_Invoices_Upload!$E$4:$E$5003,"*Subscription*",Stripe_Invoices_Upload!$A$4:$A$5003,"&gt;="&amp;DATE(2027,1,1),Stripe_Invoices_Upload!$A$4:$A$5003,"&lt;"&amp;EDATE(DATE(2027,1,1),1)))&gt;0,"✓ Invoiced","⚠ Due"),""),""))</f>
        <v/>
      </c>
      <c r="Q60" s="130" t="str">
        <f aca="false">IF($A60="","",IF((DATE(YEAR($E60),MONTH($E60),1)&lt;=DATE(2027,2,1)),IF((MOD(DATEDIF(DATE(YEAR($E60),MONTH($E60),1),DATE(2027,2,1),"m"),IF($D60="Quarterly",3,IF($D60="Annual",12,1)))=0),IF((COUNTIFS(Xero_Raw!$D$4:$D$5003,$A60,Xero_Raw!$G$4:$G$5003,"*Subscription*",Xero_Raw!$A$4:$A$5003,"&gt;="&amp;DATE(2027,2,1),Xero_Raw!$A$4:$A$5003,"&lt;"&amp;EDATE(DATE(2027,2,1),1))+COUNTIFS(Customer_Invoices_Upload!$E$4:$E$5003,$A60,Customer_Invoices_Upload!$G$4:$G$5003,"*Subscription*",Customer_Invoices_Upload!$B$4:$B$5003,"&gt;="&amp;DATE(2027,2,1),Customer_Invoices_Upload!$B$4:$B$5003,"&lt;"&amp;EDATE(DATE(2027,2,1),1))+COUNTIFS(Stripe_Invoices_Upload!$D$4:$D$5003,$A60,Stripe_Invoices_Upload!$E$4:$E$5003,"*Subscription*",Stripe_Invoices_Upload!$A$4:$A$5003,"&gt;="&amp;DATE(2027,2,1),Stripe_Invoices_Upload!$A$4:$A$5003,"&lt;"&amp;EDATE(DATE(2027,2,1),1)))&gt;0,"✓ Invoiced","⚠ Due"),""),""))</f>
        <v/>
      </c>
      <c r="R60" s="130" t="str">
        <f aca="false">IF($A60="","",IF((DATE(YEAR($E60),MONTH($E60),1)&lt;=DATE(2027,3,1)),IF((MOD(DATEDIF(DATE(YEAR($E60),MONTH($E60),1),DATE(2027,3,1),"m"),IF($D60="Quarterly",3,IF($D60="Annual",12,1)))=0),IF((COUNTIFS(Xero_Raw!$D$4:$D$5003,$A60,Xero_Raw!$G$4:$G$5003,"*Subscription*",Xero_Raw!$A$4:$A$5003,"&gt;="&amp;DATE(2027,3,1),Xero_Raw!$A$4:$A$5003,"&lt;"&amp;EDATE(DATE(2027,3,1),1))+COUNTIFS(Customer_Invoices_Upload!$E$4:$E$5003,$A60,Customer_Invoices_Upload!$G$4:$G$5003,"*Subscription*",Customer_Invoices_Upload!$B$4:$B$5003,"&gt;="&amp;DATE(2027,3,1),Customer_Invoices_Upload!$B$4:$B$5003,"&lt;"&amp;EDATE(DATE(2027,3,1),1))+COUNTIFS(Stripe_Invoices_Upload!$D$4:$D$5003,$A60,Stripe_Invoices_Upload!$E$4:$E$5003,"*Subscription*",Stripe_Invoices_Upload!$A$4:$A$5003,"&gt;="&amp;DATE(2027,3,1),Stripe_Invoices_Upload!$A$4:$A$5003,"&lt;"&amp;EDATE(DATE(2027,3,1),1)))&gt;0,"✓ Invoiced","⚠ Due"),""),""))</f>
        <v/>
      </c>
    </row>
    <row r="61" customFormat="false" ht="15" hidden="false" customHeight="false" outlineLevel="0" collapsed="false">
      <c r="A61" s="39"/>
      <c r="B61" s="39"/>
      <c r="C61" s="40"/>
      <c r="D61" s="39"/>
      <c r="E61" s="38"/>
      <c r="F61" s="129" t="str">
        <f aca="true">IF($A61="","",EDATE($E61,DATEDIF($E61,TODAY(),"m")+1))</f>
        <v/>
      </c>
      <c r="G61" s="130" t="str">
        <f aca="false">IF($A61="","",IF((DATE(YEAR($E61),MONTH($E61),1)&lt;=DATE(2026,4,1)),IF((MOD(DATEDIF(DATE(YEAR($E61),MONTH($E61),1),DATE(2026,4,1),"m"),IF($D61="Quarterly",3,IF($D61="Annual",12,1)))=0),IF((COUNTIFS(Xero_Raw!$D$4:$D$5003,$A61,Xero_Raw!$G$4:$G$5003,"*Subscription*",Xero_Raw!$A$4:$A$5003,"&gt;="&amp;DATE(2026,4,1),Xero_Raw!$A$4:$A$5003,"&lt;"&amp;EDATE(DATE(2026,4,1),1))+COUNTIFS(Customer_Invoices_Upload!$E$4:$E$5003,$A61,Customer_Invoices_Upload!$G$4:$G$5003,"*Subscription*",Customer_Invoices_Upload!$B$4:$B$5003,"&gt;="&amp;DATE(2026,4,1),Customer_Invoices_Upload!$B$4:$B$5003,"&lt;"&amp;EDATE(DATE(2026,4,1),1))+COUNTIFS(Stripe_Invoices_Upload!$D$4:$D$5003,$A61,Stripe_Invoices_Upload!$E$4:$E$5003,"*Subscription*",Stripe_Invoices_Upload!$A$4:$A$5003,"&gt;="&amp;DATE(2026,4,1),Stripe_Invoices_Upload!$A$4:$A$5003,"&lt;"&amp;EDATE(DATE(2026,4,1),1)))&gt;0,"✓ Invoiced","⚠ Due"),""),""))</f>
        <v/>
      </c>
      <c r="H61" s="130" t="str">
        <f aca="false">IF($A61="","",IF((DATE(YEAR($E61),MONTH($E61),1)&lt;=DATE(2026,5,1)),IF((MOD(DATEDIF(DATE(YEAR($E61),MONTH($E61),1),DATE(2026,5,1),"m"),IF($D61="Quarterly",3,IF($D61="Annual",12,1)))=0),IF((COUNTIFS(Xero_Raw!$D$4:$D$5003,$A61,Xero_Raw!$G$4:$G$5003,"*Subscription*",Xero_Raw!$A$4:$A$5003,"&gt;="&amp;DATE(2026,5,1),Xero_Raw!$A$4:$A$5003,"&lt;"&amp;EDATE(DATE(2026,5,1),1))+COUNTIFS(Customer_Invoices_Upload!$E$4:$E$5003,$A61,Customer_Invoices_Upload!$G$4:$G$5003,"*Subscription*",Customer_Invoices_Upload!$B$4:$B$5003,"&gt;="&amp;DATE(2026,5,1),Customer_Invoices_Upload!$B$4:$B$5003,"&lt;"&amp;EDATE(DATE(2026,5,1),1))+COUNTIFS(Stripe_Invoices_Upload!$D$4:$D$5003,$A61,Stripe_Invoices_Upload!$E$4:$E$5003,"*Subscription*",Stripe_Invoices_Upload!$A$4:$A$5003,"&gt;="&amp;DATE(2026,5,1),Stripe_Invoices_Upload!$A$4:$A$5003,"&lt;"&amp;EDATE(DATE(2026,5,1),1)))&gt;0,"✓ Invoiced","⚠ Due"),""),""))</f>
        <v/>
      </c>
      <c r="I61" s="130" t="str">
        <f aca="false">IF($A61="","",IF((DATE(YEAR($E61),MONTH($E61),1)&lt;=DATE(2026,6,1)),IF((MOD(DATEDIF(DATE(YEAR($E61),MONTH($E61),1),DATE(2026,6,1),"m"),IF($D61="Quarterly",3,IF($D61="Annual",12,1)))=0),IF((COUNTIFS(Xero_Raw!$D$4:$D$5003,$A61,Xero_Raw!$G$4:$G$5003,"*Subscription*",Xero_Raw!$A$4:$A$5003,"&gt;="&amp;DATE(2026,6,1),Xero_Raw!$A$4:$A$5003,"&lt;"&amp;EDATE(DATE(2026,6,1),1))+COUNTIFS(Customer_Invoices_Upload!$E$4:$E$5003,$A61,Customer_Invoices_Upload!$G$4:$G$5003,"*Subscription*",Customer_Invoices_Upload!$B$4:$B$5003,"&gt;="&amp;DATE(2026,6,1),Customer_Invoices_Upload!$B$4:$B$5003,"&lt;"&amp;EDATE(DATE(2026,6,1),1))+COUNTIFS(Stripe_Invoices_Upload!$D$4:$D$5003,$A61,Stripe_Invoices_Upload!$E$4:$E$5003,"*Subscription*",Stripe_Invoices_Upload!$A$4:$A$5003,"&gt;="&amp;DATE(2026,6,1),Stripe_Invoices_Upload!$A$4:$A$5003,"&lt;"&amp;EDATE(DATE(2026,6,1),1)))&gt;0,"✓ Invoiced","⚠ Due"),""),""))</f>
        <v/>
      </c>
      <c r="J61" s="130" t="str">
        <f aca="false">IF($A61="","",IF((DATE(YEAR($E61),MONTH($E61),1)&lt;=DATE(2026,7,1)),IF((MOD(DATEDIF(DATE(YEAR($E61),MONTH($E61),1),DATE(2026,7,1),"m"),IF($D61="Quarterly",3,IF($D61="Annual",12,1)))=0),IF((COUNTIFS(Xero_Raw!$D$4:$D$5003,$A61,Xero_Raw!$G$4:$G$5003,"*Subscription*",Xero_Raw!$A$4:$A$5003,"&gt;="&amp;DATE(2026,7,1),Xero_Raw!$A$4:$A$5003,"&lt;"&amp;EDATE(DATE(2026,7,1),1))+COUNTIFS(Customer_Invoices_Upload!$E$4:$E$5003,$A61,Customer_Invoices_Upload!$G$4:$G$5003,"*Subscription*",Customer_Invoices_Upload!$B$4:$B$5003,"&gt;="&amp;DATE(2026,7,1),Customer_Invoices_Upload!$B$4:$B$5003,"&lt;"&amp;EDATE(DATE(2026,7,1),1))+COUNTIFS(Stripe_Invoices_Upload!$D$4:$D$5003,$A61,Stripe_Invoices_Upload!$E$4:$E$5003,"*Subscription*",Stripe_Invoices_Upload!$A$4:$A$5003,"&gt;="&amp;DATE(2026,7,1),Stripe_Invoices_Upload!$A$4:$A$5003,"&lt;"&amp;EDATE(DATE(2026,7,1),1)))&gt;0,"✓ Invoiced","⚠ Due"),""),""))</f>
        <v/>
      </c>
      <c r="K61" s="130" t="str">
        <f aca="false">IF($A61="","",IF((DATE(YEAR($E61),MONTH($E61),1)&lt;=DATE(2026,8,1)),IF((MOD(DATEDIF(DATE(YEAR($E61),MONTH($E61),1),DATE(2026,8,1),"m"),IF($D61="Quarterly",3,IF($D61="Annual",12,1)))=0),IF((COUNTIFS(Xero_Raw!$D$4:$D$5003,$A61,Xero_Raw!$G$4:$G$5003,"*Subscription*",Xero_Raw!$A$4:$A$5003,"&gt;="&amp;DATE(2026,8,1),Xero_Raw!$A$4:$A$5003,"&lt;"&amp;EDATE(DATE(2026,8,1),1))+COUNTIFS(Customer_Invoices_Upload!$E$4:$E$5003,$A61,Customer_Invoices_Upload!$G$4:$G$5003,"*Subscription*",Customer_Invoices_Upload!$B$4:$B$5003,"&gt;="&amp;DATE(2026,8,1),Customer_Invoices_Upload!$B$4:$B$5003,"&lt;"&amp;EDATE(DATE(2026,8,1),1))+COUNTIFS(Stripe_Invoices_Upload!$D$4:$D$5003,$A61,Stripe_Invoices_Upload!$E$4:$E$5003,"*Subscription*",Stripe_Invoices_Upload!$A$4:$A$5003,"&gt;="&amp;DATE(2026,8,1),Stripe_Invoices_Upload!$A$4:$A$5003,"&lt;"&amp;EDATE(DATE(2026,8,1),1)))&gt;0,"✓ Invoiced","⚠ Due"),""),""))</f>
        <v/>
      </c>
      <c r="L61" s="130" t="str">
        <f aca="false">IF($A61="","",IF((DATE(YEAR($E61),MONTH($E61),1)&lt;=DATE(2026,9,1)),IF((MOD(DATEDIF(DATE(YEAR($E61),MONTH($E61),1),DATE(2026,9,1),"m"),IF($D61="Quarterly",3,IF($D61="Annual",12,1)))=0),IF((COUNTIFS(Xero_Raw!$D$4:$D$5003,$A61,Xero_Raw!$G$4:$G$5003,"*Subscription*",Xero_Raw!$A$4:$A$5003,"&gt;="&amp;DATE(2026,9,1),Xero_Raw!$A$4:$A$5003,"&lt;"&amp;EDATE(DATE(2026,9,1),1))+COUNTIFS(Customer_Invoices_Upload!$E$4:$E$5003,$A61,Customer_Invoices_Upload!$G$4:$G$5003,"*Subscription*",Customer_Invoices_Upload!$B$4:$B$5003,"&gt;="&amp;DATE(2026,9,1),Customer_Invoices_Upload!$B$4:$B$5003,"&lt;"&amp;EDATE(DATE(2026,9,1),1))+COUNTIFS(Stripe_Invoices_Upload!$D$4:$D$5003,$A61,Stripe_Invoices_Upload!$E$4:$E$5003,"*Subscription*",Stripe_Invoices_Upload!$A$4:$A$5003,"&gt;="&amp;DATE(2026,9,1),Stripe_Invoices_Upload!$A$4:$A$5003,"&lt;"&amp;EDATE(DATE(2026,9,1),1)))&gt;0,"✓ Invoiced","⚠ Due"),""),""))</f>
        <v/>
      </c>
      <c r="M61" s="130" t="str">
        <f aca="false">IF($A61="","",IF((DATE(YEAR($E61),MONTH($E61),1)&lt;=DATE(2026,10,1)),IF((MOD(DATEDIF(DATE(YEAR($E61),MONTH($E61),1),DATE(2026,10,1),"m"),IF($D61="Quarterly",3,IF($D61="Annual",12,1)))=0),IF((COUNTIFS(Xero_Raw!$D$4:$D$5003,$A61,Xero_Raw!$G$4:$G$5003,"*Subscription*",Xero_Raw!$A$4:$A$5003,"&gt;="&amp;DATE(2026,10,1),Xero_Raw!$A$4:$A$5003,"&lt;"&amp;EDATE(DATE(2026,10,1),1))+COUNTIFS(Customer_Invoices_Upload!$E$4:$E$5003,$A61,Customer_Invoices_Upload!$G$4:$G$5003,"*Subscription*",Customer_Invoices_Upload!$B$4:$B$5003,"&gt;="&amp;DATE(2026,10,1),Customer_Invoices_Upload!$B$4:$B$5003,"&lt;"&amp;EDATE(DATE(2026,10,1),1))+COUNTIFS(Stripe_Invoices_Upload!$D$4:$D$5003,$A61,Stripe_Invoices_Upload!$E$4:$E$5003,"*Subscription*",Stripe_Invoices_Upload!$A$4:$A$5003,"&gt;="&amp;DATE(2026,10,1),Stripe_Invoices_Upload!$A$4:$A$5003,"&lt;"&amp;EDATE(DATE(2026,10,1),1)))&gt;0,"✓ Invoiced","⚠ Due"),""),""))</f>
        <v/>
      </c>
      <c r="N61" s="130" t="str">
        <f aca="false">IF($A61="","",IF((DATE(YEAR($E61),MONTH($E61),1)&lt;=DATE(2026,11,1)),IF((MOD(DATEDIF(DATE(YEAR($E61),MONTH($E61),1),DATE(2026,11,1),"m"),IF($D61="Quarterly",3,IF($D61="Annual",12,1)))=0),IF((COUNTIFS(Xero_Raw!$D$4:$D$5003,$A61,Xero_Raw!$G$4:$G$5003,"*Subscription*",Xero_Raw!$A$4:$A$5003,"&gt;="&amp;DATE(2026,11,1),Xero_Raw!$A$4:$A$5003,"&lt;"&amp;EDATE(DATE(2026,11,1),1))+COUNTIFS(Customer_Invoices_Upload!$E$4:$E$5003,$A61,Customer_Invoices_Upload!$G$4:$G$5003,"*Subscription*",Customer_Invoices_Upload!$B$4:$B$5003,"&gt;="&amp;DATE(2026,11,1),Customer_Invoices_Upload!$B$4:$B$5003,"&lt;"&amp;EDATE(DATE(2026,11,1),1))+COUNTIFS(Stripe_Invoices_Upload!$D$4:$D$5003,$A61,Stripe_Invoices_Upload!$E$4:$E$5003,"*Subscription*",Stripe_Invoices_Upload!$A$4:$A$5003,"&gt;="&amp;DATE(2026,11,1),Stripe_Invoices_Upload!$A$4:$A$5003,"&lt;"&amp;EDATE(DATE(2026,11,1),1)))&gt;0,"✓ Invoiced","⚠ Due"),""),""))</f>
        <v/>
      </c>
      <c r="O61" s="130" t="str">
        <f aca="false">IF($A61="","",IF((DATE(YEAR($E61),MONTH($E61),1)&lt;=DATE(2026,12,1)),IF((MOD(DATEDIF(DATE(YEAR($E61),MONTH($E61),1),DATE(2026,12,1),"m"),IF($D61="Quarterly",3,IF($D61="Annual",12,1)))=0),IF((COUNTIFS(Xero_Raw!$D$4:$D$5003,$A61,Xero_Raw!$G$4:$G$5003,"*Subscription*",Xero_Raw!$A$4:$A$5003,"&gt;="&amp;DATE(2026,12,1),Xero_Raw!$A$4:$A$5003,"&lt;"&amp;EDATE(DATE(2026,12,1),1))+COUNTIFS(Customer_Invoices_Upload!$E$4:$E$5003,$A61,Customer_Invoices_Upload!$G$4:$G$5003,"*Subscription*",Customer_Invoices_Upload!$B$4:$B$5003,"&gt;="&amp;DATE(2026,12,1),Customer_Invoices_Upload!$B$4:$B$5003,"&lt;"&amp;EDATE(DATE(2026,12,1),1))+COUNTIFS(Stripe_Invoices_Upload!$D$4:$D$5003,$A61,Stripe_Invoices_Upload!$E$4:$E$5003,"*Subscription*",Stripe_Invoices_Upload!$A$4:$A$5003,"&gt;="&amp;DATE(2026,12,1),Stripe_Invoices_Upload!$A$4:$A$5003,"&lt;"&amp;EDATE(DATE(2026,12,1),1)))&gt;0,"✓ Invoiced","⚠ Due"),""),""))</f>
        <v/>
      </c>
      <c r="P61" s="130" t="str">
        <f aca="false">IF($A61="","",IF((DATE(YEAR($E61),MONTH($E61),1)&lt;=DATE(2027,1,1)),IF((MOD(DATEDIF(DATE(YEAR($E61),MONTH($E61),1),DATE(2027,1,1),"m"),IF($D61="Quarterly",3,IF($D61="Annual",12,1)))=0),IF((COUNTIFS(Xero_Raw!$D$4:$D$5003,$A61,Xero_Raw!$G$4:$G$5003,"*Subscription*",Xero_Raw!$A$4:$A$5003,"&gt;="&amp;DATE(2027,1,1),Xero_Raw!$A$4:$A$5003,"&lt;"&amp;EDATE(DATE(2027,1,1),1))+COUNTIFS(Customer_Invoices_Upload!$E$4:$E$5003,$A61,Customer_Invoices_Upload!$G$4:$G$5003,"*Subscription*",Customer_Invoices_Upload!$B$4:$B$5003,"&gt;="&amp;DATE(2027,1,1),Customer_Invoices_Upload!$B$4:$B$5003,"&lt;"&amp;EDATE(DATE(2027,1,1),1))+COUNTIFS(Stripe_Invoices_Upload!$D$4:$D$5003,$A61,Stripe_Invoices_Upload!$E$4:$E$5003,"*Subscription*",Stripe_Invoices_Upload!$A$4:$A$5003,"&gt;="&amp;DATE(2027,1,1),Stripe_Invoices_Upload!$A$4:$A$5003,"&lt;"&amp;EDATE(DATE(2027,1,1),1)))&gt;0,"✓ Invoiced","⚠ Due"),""),""))</f>
        <v/>
      </c>
      <c r="Q61" s="130" t="str">
        <f aca="false">IF($A61="","",IF((DATE(YEAR($E61),MONTH($E61),1)&lt;=DATE(2027,2,1)),IF((MOD(DATEDIF(DATE(YEAR($E61),MONTH($E61),1),DATE(2027,2,1),"m"),IF($D61="Quarterly",3,IF($D61="Annual",12,1)))=0),IF((COUNTIFS(Xero_Raw!$D$4:$D$5003,$A61,Xero_Raw!$G$4:$G$5003,"*Subscription*",Xero_Raw!$A$4:$A$5003,"&gt;="&amp;DATE(2027,2,1),Xero_Raw!$A$4:$A$5003,"&lt;"&amp;EDATE(DATE(2027,2,1),1))+COUNTIFS(Customer_Invoices_Upload!$E$4:$E$5003,$A61,Customer_Invoices_Upload!$G$4:$G$5003,"*Subscription*",Customer_Invoices_Upload!$B$4:$B$5003,"&gt;="&amp;DATE(2027,2,1),Customer_Invoices_Upload!$B$4:$B$5003,"&lt;"&amp;EDATE(DATE(2027,2,1),1))+COUNTIFS(Stripe_Invoices_Upload!$D$4:$D$5003,$A61,Stripe_Invoices_Upload!$E$4:$E$5003,"*Subscription*",Stripe_Invoices_Upload!$A$4:$A$5003,"&gt;="&amp;DATE(2027,2,1),Stripe_Invoices_Upload!$A$4:$A$5003,"&lt;"&amp;EDATE(DATE(2027,2,1),1)))&gt;0,"✓ Invoiced","⚠ Due"),""),""))</f>
        <v/>
      </c>
      <c r="R61" s="130" t="str">
        <f aca="false">IF($A61="","",IF((DATE(YEAR($E61),MONTH($E61),1)&lt;=DATE(2027,3,1)),IF((MOD(DATEDIF(DATE(YEAR($E61),MONTH($E61),1),DATE(2027,3,1),"m"),IF($D61="Quarterly",3,IF($D61="Annual",12,1)))=0),IF((COUNTIFS(Xero_Raw!$D$4:$D$5003,$A61,Xero_Raw!$G$4:$G$5003,"*Subscription*",Xero_Raw!$A$4:$A$5003,"&gt;="&amp;DATE(2027,3,1),Xero_Raw!$A$4:$A$5003,"&lt;"&amp;EDATE(DATE(2027,3,1),1))+COUNTIFS(Customer_Invoices_Upload!$E$4:$E$5003,$A61,Customer_Invoices_Upload!$G$4:$G$5003,"*Subscription*",Customer_Invoices_Upload!$B$4:$B$5003,"&gt;="&amp;DATE(2027,3,1),Customer_Invoices_Upload!$B$4:$B$5003,"&lt;"&amp;EDATE(DATE(2027,3,1),1))+COUNTIFS(Stripe_Invoices_Upload!$D$4:$D$5003,$A61,Stripe_Invoices_Upload!$E$4:$E$5003,"*Subscription*",Stripe_Invoices_Upload!$A$4:$A$5003,"&gt;="&amp;DATE(2027,3,1),Stripe_Invoices_Upload!$A$4:$A$5003,"&lt;"&amp;EDATE(DATE(2027,3,1),1)))&gt;0,"✓ Invoiced","⚠ Due"),""),""))</f>
        <v/>
      </c>
    </row>
    <row r="62" customFormat="false" ht="15" hidden="false" customHeight="false" outlineLevel="0" collapsed="false">
      <c r="A62" s="39"/>
      <c r="B62" s="39"/>
      <c r="C62" s="40"/>
      <c r="D62" s="39"/>
      <c r="E62" s="38"/>
      <c r="F62" s="129" t="str">
        <f aca="true">IF($A62="","",EDATE($E62,DATEDIF($E62,TODAY(),"m")+1))</f>
        <v/>
      </c>
      <c r="G62" s="130" t="str">
        <f aca="false">IF($A62="","",IF((DATE(YEAR($E62),MONTH($E62),1)&lt;=DATE(2026,4,1)),IF((MOD(DATEDIF(DATE(YEAR($E62),MONTH($E62),1),DATE(2026,4,1),"m"),IF($D62="Quarterly",3,IF($D62="Annual",12,1)))=0),IF((COUNTIFS(Xero_Raw!$D$4:$D$5003,$A62,Xero_Raw!$G$4:$G$5003,"*Subscription*",Xero_Raw!$A$4:$A$5003,"&gt;="&amp;DATE(2026,4,1),Xero_Raw!$A$4:$A$5003,"&lt;"&amp;EDATE(DATE(2026,4,1),1))+COUNTIFS(Customer_Invoices_Upload!$E$4:$E$5003,$A62,Customer_Invoices_Upload!$G$4:$G$5003,"*Subscription*",Customer_Invoices_Upload!$B$4:$B$5003,"&gt;="&amp;DATE(2026,4,1),Customer_Invoices_Upload!$B$4:$B$5003,"&lt;"&amp;EDATE(DATE(2026,4,1),1))+COUNTIFS(Stripe_Invoices_Upload!$D$4:$D$5003,$A62,Stripe_Invoices_Upload!$E$4:$E$5003,"*Subscription*",Stripe_Invoices_Upload!$A$4:$A$5003,"&gt;="&amp;DATE(2026,4,1),Stripe_Invoices_Upload!$A$4:$A$5003,"&lt;"&amp;EDATE(DATE(2026,4,1),1)))&gt;0,"✓ Invoiced","⚠ Due"),""),""))</f>
        <v/>
      </c>
      <c r="H62" s="130" t="str">
        <f aca="false">IF($A62="","",IF((DATE(YEAR($E62),MONTH($E62),1)&lt;=DATE(2026,5,1)),IF((MOD(DATEDIF(DATE(YEAR($E62),MONTH($E62),1),DATE(2026,5,1),"m"),IF($D62="Quarterly",3,IF($D62="Annual",12,1)))=0),IF((COUNTIFS(Xero_Raw!$D$4:$D$5003,$A62,Xero_Raw!$G$4:$G$5003,"*Subscription*",Xero_Raw!$A$4:$A$5003,"&gt;="&amp;DATE(2026,5,1),Xero_Raw!$A$4:$A$5003,"&lt;"&amp;EDATE(DATE(2026,5,1),1))+COUNTIFS(Customer_Invoices_Upload!$E$4:$E$5003,$A62,Customer_Invoices_Upload!$G$4:$G$5003,"*Subscription*",Customer_Invoices_Upload!$B$4:$B$5003,"&gt;="&amp;DATE(2026,5,1),Customer_Invoices_Upload!$B$4:$B$5003,"&lt;"&amp;EDATE(DATE(2026,5,1),1))+COUNTIFS(Stripe_Invoices_Upload!$D$4:$D$5003,$A62,Stripe_Invoices_Upload!$E$4:$E$5003,"*Subscription*",Stripe_Invoices_Upload!$A$4:$A$5003,"&gt;="&amp;DATE(2026,5,1),Stripe_Invoices_Upload!$A$4:$A$5003,"&lt;"&amp;EDATE(DATE(2026,5,1),1)))&gt;0,"✓ Invoiced","⚠ Due"),""),""))</f>
        <v/>
      </c>
      <c r="I62" s="130" t="str">
        <f aca="false">IF($A62="","",IF((DATE(YEAR($E62),MONTH($E62),1)&lt;=DATE(2026,6,1)),IF((MOD(DATEDIF(DATE(YEAR($E62),MONTH($E62),1),DATE(2026,6,1),"m"),IF($D62="Quarterly",3,IF($D62="Annual",12,1)))=0),IF((COUNTIFS(Xero_Raw!$D$4:$D$5003,$A62,Xero_Raw!$G$4:$G$5003,"*Subscription*",Xero_Raw!$A$4:$A$5003,"&gt;="&amp;DATE(2026,6,1),Xero_Raw!$A$4:$A$5003,"&lt;"&amp;EDATE(DATE(2026,6,1),1))+COUNTIFS(Customer_Invoices_Upload!$E$4:$E$5003,$A62,Customer_Invoices_Upload!$G$4:$G$5003,"*Subscription*",Customer_Invoices_Upload!$B$4:$B$5003,"&gt;="&amp;DATE(2026,6,1),Customer_Invoices_Upload!$B$4:$B$5003,"&lt;"&amp;EDATE(DATE(2026,6,1),1))+COUNTIFS(Stripe_Invoices_Upload!$D$4:$D$5003,$A62,Stripe_Invoices_Upload!$E$4:$E$5003,"*Subscription*",Stripe_Invoices_Upload!$A$4:$A$5003,"&gt;="&amp;DATE(2026,6,1),Stripe_Invoices_Upload!$A$4:$A$5003,"&lt;"&amp;EDATE(DATE(2026,6,1),1)))&gt;0,"✓ Invoiced","⚠ Due"),""),""))</f>
        <v/>
      </c>
      <c r="J62" s="130" t="str">
        <f aca="false">IF($A62="","",IF((DATE(YEAR($E62),MONTH($E62),1)&lt;=DATE(2026,7,1)),IF((MOD(DATEDIF(DATE(YEAR($E62),MONTH($E62),1),DATE(2026,7,1),"m"),IF($D62="Quarterly",3,IF($D62="Annual",12,1)))=0),IF((COUNTIFS(Xero_Raw!$D$4:$D$5003,$A62,Xero_Raw!$G$4:$G$5003,"*Subscription*",Xero_Raw!$A$4:$A$5003,"&gt;="&amp;DATE(2026,7,1),Xero_Raw!$A$4:$A$5003,"&lt;"&amp;EDATE(DATE(2026,7,1),1))+COUNTIFS(Customer_Invoices_Upload!$E$4:$E$5003,$A62,Customer_Invoices_Upload!$G$4:$G$5003,"*Subscription*",Customer_Invoices_Upload!$B$4:$B$5003,"&gt;="&amp;DATE(2026,7,1),Customer_Invoices_Upload!$B$4:$B$5003,"&lt;"&amp;EDATE(DATE(2026,7,1),1))+COUNTIFS(Stripe_Invoices_Upload!$D$4:$D$5003,$A62,Stripe_Invoices_Upload!$E$4:$E$5003,"*Subscription*",Stripe_Invoices_Upload!$A$4:$A$5003,"&gt;="&amp;DATE(2026,7,1),Stripe_Invoices_Upload!$A$4:$A$5003,"&lt;"&amp;EDATE(DATE(2026,7,1),1)))&gt;0,"✓ Invoiced","⚠ Due"),""),""))</f>
        <v/>
      </c>
      <c r="K62" s="130" t="str">
        <f aca="false">IF($A62="","",IF((DATE(YEAR($E62),MONTH($E62),1)&lt;=DATE(2026,8,1)),IF((MOD(DATEDIF(DATE(YEAR($E62),MONTH($E62),1),DATE(2026,8,1),"m"),IF($D62="Quarterly",3,IF($D62="Annual",12,1)))=0),IF((COUNTIFS(Xero_Raw!$D$4:$D$5003,$A62,Xero_Raw!$G$4:$G$5003,"*Subscription*",Xero_Raw!$A$4:$A$5003,"&gt;="&amp;DATE(2026,8,1),Xero_Raw!$A$4:$A$5003,"&lt;"&amp;EDATE(DATE(2026,8,1),1))+COUNTIFS(Customer_Invoices_Upload!$E$4:$E$5003,$A62,Customer_Invoices_Upload!$G$4:$G$5003,"*Subscription*",Customer_Invoices_Upload!$B$4:$B$5003,"&gt;="&amp;DATE(2026,8,1),Customer_Invoices_Upload!$B$4:$B$5003,"&lt;"&amp;EDATE(DATE(2026,8,1),1))+COUNTIFS(Stripe_Invoices_Upload!$D$4:$D$5003,$A62,Stripe_Invoices_Upload!$E$4:$E$5003,"*Subscription*",Stripe_Invoices_Upload!$A$4:$A$5003,"&gt;="&amp;DATE(2026,8,1),Stripe_Invoices_Upload!$A$4:$A$5003,"&lt;"&amp;EDATE(DATE(2026,8,1),1)))&gt;0,"✓ Invoiced","⚠ Due"),""),""))</f>
        <v/>
      </c>
      <c r="L62" s="130" t="str">
        <f aca="false">IF($A62="","",IF((DATE(YEAR($E62),MONTH($E62),1)&lt;=DATE(2026,9,1)),IF((MOD(DATEDIF(DATE(YEAR($E62),MONTH($E62),1),DATE(2026,9,1),"m"),IF($D62="Quarterly",3,IF($D62="Annual",12,1)))=0),IF((COUNTIFS(Xero_Raw!$D$4:$D$5003,$A62,Xero_Raw!$G$4:$G$5003,"*Subscription*",Xero_Raw!$A$4:$A$5003,"&gt;="&amp;DATE(2026,9,1),Xero_Raw!$A$4:$A$5003,"&lt;"&amp;EDATE(DATE(2026,9,1),1))+COUNTIFS(Customer_Invoices_Upload!$E$4:$E$5003,$A62,Customer_Invoices_Upload!$G$4:$G$5003,"*Subscription*",Customer_Invoices_Upload!$B$4:$B$5003,"&gt;="&amp;DATE(2026,9,1),Customer_Invoices_Upload!$B$4:$B$5003,"&lt;"&amp;EDATE(DATE(2026,9,1),1))+COUNTIFS(Stripe_Invoices_Upload!$D$4:$D$5003,$A62,Stripe_Invoices_Upload!$E$4:$E$5003,"*Subscription*",Stripe_Invoices_Upload!$A$4:$A$5003,"&gt;="&amp;DATE(2026,9,1),Stripe_Invoices_Upload!$A$4:$A$5003,"&lt;"&amp;EDATE(DATE(2026,9,1),1)))&gt;0,"✓ Invoiced","⚠ Due"),""),""))</f>
        <v/>
      </c>
      <c r="M62" s="130" t="str">
        <f aca="false">IF($A62="","",IF((DATE(YEAR($E62),MONTH($E62),1)&lt;=DATE(2026,10,1)),IF((MOD(DATEDIF(DATE(YEAR($E62),MONTH($E62),1),DATE(2026,10,1),"m"),IF($D62="Quarterly",3,IF($D62="Annual",12,1)))=0),IF((COUNTIFS(Xero_Raw!$D$4:$D$5003,$A62,Xero_Raw!$G$4:$G$5003,"*Subscription*",Xero_Raw!$A$4:$A$5003,"&gt;="&amp;DATE(2026,10,1),Xero_Raw!$A$4:$A$5003,"&lt;"&amp;EDATE(DATE(2026,10,1),1))+COUNTIFS(Customer_Invoices_Upload!$E$4:$E$5003,$A62,Customer_Invoices_Upload!$G$4:$G$5003,"*Subscription*",Customer_Invoices_Upload!$B$4:$B$5003,"&gt;="&amp;DATE(2026,10,1),Customer_Invoices_Upload!$B$4:$B$5003,"&lt;"&amp;EDATE(DATE(2026,10,1),1))+COUNTIFS(Stripe_Invoices_Upload!$D$4:$D$5003,$A62,Stripe_Invoices_Upload!$E$4:$E$5003,"*Subscription*",Stripe_Invoices_Upload!$A$4:$A$5003,"&gt;="&amp;DATE(2026,10,1),Stripe_Invoices_Upload!$A$4:$A$5003,"&lt;"&amp;EDATE(DATE(2026,10,1),1)))&gt;0,"✓ Invoiced","⚠ Due"),""),""))</f>
        <v/>
      </c>
      <c r="N62" s="130" t="str">
        <f aca="false">IF($A62="","",IF((DATE(YEAR($E62),MONTH($E62),1)&lt;=DATE(2026,11,1)),IF((MOD(DATEDIF(DATE(YEAR($E62),MONTH($E62),1),DATE(2026,11,1),"m"),IF($D62="Quarterly",3,IF($D62="Annual",12,1)))=0),IF((COUNTIFS(Xero_Raw!$D$4:$D$5003,$A62,Xero_Raw!$G$4:$G$5003,"*Subscription*",Xero_Raw!$A$4:$A$5003,"&gt;="&amp;DATE(2026,11,1),Xero_Raw!$A$4:$A$5003,"&lt;"&amp;EDATE(DATE(2026,11,1),1))+COUNTIFS(Customer_Invoices_Upload!$E$4:$E$5003,$A62,Customer_Invoices_Upload!$G$4:$G$5003,"*Subscription*",Customer_Invoices_Upload!$B$4:$B$5003,"&gt;="&amp;DATE(2026,11,1),Customer_Invoices_Upload!$B$4:$B$5003,"&lt;"&amp;EDATE(DATE(2026,11,1),1))+COUNTIFS(Stripe_Invoices_Upload!$D$4:$D$5003,$A62,Stripe_Invoices_Upload!$E$4:$E$5003,"*Subscription*",Stripe_Invoices_Upload!$A$4:$A$5003,"&gt;="&amp;DATE(2026,11,1),Stripe_Invoices_Upload!$A$4:$A$5003,"&lt;"&amp;EDATE(DATE(2026,11,1),1)))&gt;0,"✓ Invoiced","⚠ Due"),""),""))</f>
        <v/>
      </c>
      <c r="O62" s="130" t="str">
        <f aca="false">IF($A62="","",IF((DATE(YEAR($E62),MONTH($E62),1)&lt;=DATE(2026,12,1)),IF((MOD(DATEDIF(DATE(YEAR($E62),MONTH($E62),1),DATE(2026,12,1),"m"),IF($D62="Quarterly",3,IF($D62="Annual",12,1)))=0),IF((COUNTIFS(Xero_Raw!$D$4:$D$5003,$A62,Xero_Raw!$G$4:$G$5003,"*Subscription*",Xero_Raw!$A$4:$A$5003,"&gt;="&amp;DATE(2026,12,1),Xero_Raw!$A$4:$A$5003,"&lt;"&amp;EDATE(DATE(2026,12,1),1))+COUNTIFS(Customer_Invoices_Upload!$E$4:$E$5003,$A62,Customer_Invoices_Upload!$G$4:$G$5003,"*Subscription*",Customer_Invoices_Upload!$B$4:$B$5003,"&gt;="&amp;DATE(2026,12,1),Customer_Invoices_Upload!$B$4:$B$5003,"&lt;"&amp;EDATE(DATE(2026,12,1),1))+COUNTIFS(Stripe_Invoices_Upload!$D$4:$D$5003,$A62,Stripe_Invoices_Upload!$E$4:$E$5003,"*Subscription*",Stripe_Invoices_Upload!$A$4:$A$5003,"&gt;="&amp;DATE(2026,12,1),Stripe_Invoices_Upload!$A$4:$A$5003,"&lt;"&amp;EDATE(DATE(2026,12,1),1)))&gt;0,"✓ Invoiced","⚠ Due"),""),""))</f>
        <v/>
      </c>
      <c r="P62" s="130" t="str">
        <f aca="false">IF($A62="","",IF((DATE(YEAR($E62),MONTH($E62),1)&lt;=DATE(2027,1,1)),IF((MOD(DATEDIF(DATE(YEAR($E62),MONTH($E62),1),DATE(2027,1,1),"m"),IF($D62="Quarterly",3,IF($D62="Annual",12,1)))=0),IF((COUNTIFS(Xero_Raw!$D$4:$D$5003,$A62,Xero_Raw!$G$4:$G$5003,"*Subscription*",Xero_Raw!$A$4:$A$5003,"&gt;="&amp;DATE(2027,1,1),Xero_Raw!$A$4:$A$5003,"&lt;"&amp;EDATE(DATE(2027,1,1),1))+COUNTIFS(Customer_Invoices_Upload!$E$4:$E$5003,$A62,Customer_Invoices_Upload!$G$4:$G$5003,"*Subscription*",Customer_Invoices_Upload!$B$4:$B$5003,"&gt;="&amp;DATE(2027,1,1),Customer_Invoices_Upload!$B$4:$B$5003,"&lt;"&amp;EDATE(DATE(2027,1,1),1))+COUNTIFS(Stripe_Invoices_Upload!$D$4:$D$5003,$A62,Stripe_Invoices_Upload!$E$4:$E$5003,"*Subscription*",Stripe_Invoices_Upload!$A$4:$A$5003,"&gt;="&amp;DATE(2027,1,1),Stripe_Invoices_Upload!$A$4:$A$5003,"&lt;"&amp;EDATE(DATE(2027,1,1),1)))&gt;0,"✓ Invoiced","⚠ Due"),""),""))</f>
        <v/>
      </c>
      <c r="Q62" s="130" t="str">
        <f aca="false">IF($A62="","",IF((DATE(YEAR($E62),MONTH($E62),1)&lt;=DATE(2027,2,1)),IF((MOD(DATEDIF(DATE(YEAR($E62),MONTH($E62),1),DATE(2027,2,1),"m"),IF($D62="Quarterly",3,IF($D62="Annual",12,1)))=0),IF((COUNTIFS(Xero_Raw!$D$4:$D$5003,$A62,Xero_Raw!$G$4:$G$5003,"*Subscription*",Xero_Raw!$A$4:$A$5003,"&gt;="&amp;DATE(2027,2,1),Xero_Raw!$A$4:$A$5003,"&lt;"&amp;EDATE(DATE(2027,2,1),1))+COUNTIFS(Customer_Invoices_Upload!$E$4:$E$5003,$A62,Customer_Invoices_Upload!$G$4:$G$5003,"*Subscription*",Customer_Invoices_Upload!$B$4:$B$5003,"&gt;="&amp;DATE(2027,2,1),Customer_Invoices_Upload!$B$4:$B$5003,"&lt;"&amp;EDATE(DATE(2027,2,1),1))+COUNTIFS(Stripe_Invoices_Upload!$D$4:$D$5003,$A62,Stripe_Invoices_Upload!$E$4:$E$5003,"*Subscription*",Stripe_Invoices_Upload!$A$4:$A$5003,"&gt;="&amp;DATE(2027,2,1),Stripe_Invoices_Upload!$A$4:$A$5003,"&lt;"&amp;EDATE(DATE(2027,2,1),1)))&gt;0,"✓ Invoiced","⚠ Due"),""),""))</f>
        <v/>
      </c>
      <c r="R62" s="130" t="str">
        <f aca="false">IF($A62="","",IF((DATE(YEAR($E62),MONTH($E62),1)&lt;=DATE(2027,3,1)),IF((MOD(DATEDIF(DATE(YEAR($E62),MONTH($E62),1),DATE(2027,3,1),"m"),IF($D62="Quarterly",3,IF($D62="Annual",12,1)))=0),IF((COUNTIFS(Xero_Raw!$D$4:$D$5003,$A62,Xero_Raw!$G$4:$G$5003,"*Subscription*",Xero_Raw!$A$4:$A$5003,"&gt;="&amp;DATE(2027,3,1),Xero_Raw!$A$4:$A$5003,"&lt;"&amp;EDATE(DATE(2027,3,1),1))+COUNTIFS(Customer_Invoices_Upload!$E$4:$E$5003,$A62,Customer_Invoices_Upload!$G$4:$G$5003,"*Subscription*",Customer_Invoices_Upload!$B$4:$B$5003,"&gt;="&amp;DATE(2027,3,1),Customer_Invoices_Upload!$B$4:$B$5003,"&lt;"&amp;EDATE(DATE(2027,3,1),1))+COUNTIFS(Stripe_Invoices_Upload!$D$4:$D$5003,$A62,Stripe_Invoices_Upload!$E$4:$E$5003,"*Subscription*",Stripe_Invoices_Upload!$A$4:$A$5003,"&gt;="&amp;DATE(2027,3,1),Stripe_Invoices_Upload!$A$4:$A$5003,"&lt;"&amp;EDATE(DATE(2027,3,1),1)))&gt;0,"✓ Invoiced","⚠ Due"),""),""))</f>
        <v/>
      </c>
    </row>
    <row r="63" customFormat="false" ht="15" hidden="false" customHeight="false" outlineLevel="0" collapsed="false">
      <c r="A63" s="39"/>
      <c r="B63" s="39"/>
      <c r="C63" s="40"/>
      <c r="D63" s="39"/>
      <c r="E63" s="38"/>
      <c r="F63" s="129" t="str">
        <f aca="true">IF($A63="","",EDATE($E63,DATEDIF($E63,TODAY(),"m")+1))</f>
        <v/>
      </c>
      <c r="G63" s="130" t="str">
        <f aca="false">IF($A63="","",IF((DATE(YEAR($E63),MONTH($E63),1)&lt;=DATE(2026,4,1)),IF((MOD(DATEDIF(DATE(YEAR($E63),MONTH($E63),1),DATE(2026,4,1),"m"),IF($D63="Quarterly",3,IF($D63="Annual",12,1)))=0),IF((COUNTIFS(Xero_Raw!$D$4:$D$5003,$A63,Xero_Raw!$G$4:$G$5003,"*Subscription*",Xero_Raw!$A$4:$A$5003,"&gt;="&amp;DATE(2026,4,1),Xero_Raw!$A$4:$A$5003,"&lt;"&amp;EDATE(DATE(2026,4,1),1))+COUNTIFS(Customer_Invoices_Upload!$E$4:$E$5003,$A63,Customer_Invoices_Upload!$G$4:$G$5003,"*Subscription*",Customer_Invoices_Upload!$B$4:$B$5003,"&gt;="&amp;DATE(2026,4,1),Customer_Invoices_Upload!$B$4:$B$5003,"&lt;"&amp;EDATE(DATE(2026,4,1),1))+COUNTIFS(Stripe_Invoices_Upload!$D$4:$D$5003,$A63,Stripe_Invoices_Upload!$E$4:$E$5003,"*Subscription*",Stripe_Invoices_Upload!$A$4:$A$5003,"&gt;="&amp;DATE(2026,4,1),Stripe_Invoices_Upload!$A$4:$A$5003,"&lt;"&amp;EDATE(DATE(2026,4,1),1)))&gt;0,"✓ Invoiced","⚠ Due"),""),""))</f>
        <v/>
      </c>
      <c r="H63" s="130" t="str">
        <f aca="false">IF($A63="","",IF((DATE(YEAR($E63),MONTH($E63),1)&lt;=DATE(2026,5,1)),IF((MOD(DATEDIF(DATE(YEAR($E63),MONTH($E63),1),DATE(2026,5,1),"m"),IF($D63="Quarterly",3,IF($D63="Annual",12,1)))=0),IF((COUNTIFS(Xero_Raw!$D$4:$D$5003,$A63,Xero_Raw!$G$4:$G$5003,"*Subscription*",Xero_Raw!$A$4:$A$5003,"&gt;="&amp;DATE(2026,5,1),Xero_Raw!$A$4:$A$5003,"&lt;"&amp;EDATE(DATE(2026,5,1),1))+COUNTIFS(Customer_Invoices_Upload!$E$4:$E$5003,$A63,Customer_Invoices_Upload!$G$4:$G$5003,"*Subscription*",Customer_Invoices_Upload!$B$4:$B$5003,"&gt;="&amp;DATE(2026,5,1),Customer_Invoices_Upload!$B$4:$B$5003,"&lt;"&amp;EDATE(DATE(2026,5,1),1))+COUNTIFS(Stripe_Invoices_Upload!$D$4:$D$5003,$A63,Stripe_Invoices_Upload!$E$4:$E$5003,"*Subscription*",Stripe_Invoices_Upload!$A$4:$A$5003,"&gt;="&amp;DATE(2026,5,1),Stripe_Invoices_Upload!$A$4:$A$5003,"&lt;"&amp;EDATE(DATE(2026,5,1),1)))&gt;0,"✓ Invoiced","⚠ Due"),""),""))</f>
        <v/>
      </c>
      <c r="I63" s="130" t="str">
        <f aca="false">IF($A63="","",IF((DATE(YEAR($E63),MONTH($E63),1)&lt;=DATE(2026,6,1)),IF((MOD(DATEDIF(DATE(YEAR($E63),MONTH($E63),1),DATE(2026,6,1),"m"),IF($D63="Quarterly",3,IF($D63="Annual",12,1)))=0),IF((COUNTIFS(Xero_Raw!$D$4:$D$5003,$A63,Xero_Raw!$G$4:$G$5003,"*Subscription*",Xero_Raw!$A$4:$A$5003,"&gt;="&amp;DATE(2026,6,1),Xero_Raw!$A$4:$A$5003,"&lt;"&amp;EDATE(DATE(2026,6,1),1))+COUNTIFS(Customer_Invoices_Upload!$E$4:$E$5003,$A63,Customer_Invoices_Upload!$G$4:$G$5003,"*Subscription*",Customer_Invoices_Upload!$B$4:$B$5003,"&gt;="&amp;DATE(2026,6,1),Customer_Invoices_Upload!$B$4:$B$5003,"&lt;"&amp;EDATE(DATE(2026,6,1),1))+COUNTIFS(Stripe_Invoices_Upload!$D$4:$D$5003,$A63,Stripe_Invoices_Upload!$E$4:$E$5003,"*Subscription*",Stripe_Invoices_Upload!$A$4:$A$5003,"&gt;="&amp;DATE(2026,6,1),Stripe_Invoices_Upload!$A$4:$A$5003,"&lt;"&amp;EDATE(DATE(2026,6,1),1)))&gt;0,"✓ Invoiced","⚠ Due"),""),""))</f>
        <v/>
      </c>
      <c r="J63" s="130" t="str">
        <f aca="false">IF($A63="","",IF((DATE(YEAR($E63),MONTH($E63),1)&lt;=DATE(2026,7,1)),IF((MOD(DATEDIF(DATE(YEAR($E63),MONTH($E63),1),DATE(2026,7,1),"m"),IF($D63="Quarterly",3,IF($D63="Annual",12,1)))=0),IF((COUNTIFS(Xero_Raw!$D$4:$D$5003,$A63,Xero_Raw!$G$4:$G$5003,"*Subscription*",Xero_Raw!$A$4:$A$5003,"&gt;="&amp;DATE(2026,7,1),Xero_Raw!$A$4:$A$5003,"&lt;"&amp;EDATE(DATE(2026,7,1),1))+COUNTIFS(Customer_Invoices_Upload!$E$4:$E$5003,$A63,Customer_Invoices_Upload!$G$4:$G$5003,"*Subscription*",Customer_Invoices_Upload!$B$4:$B$5003,"&gt;="&amp;DATE(2026,7,1),Customer_Invoices_Upload!$B$4:$B$5003,"&lt;"&amp;EDATE(DATE(2026,7,1),1))+COUNTIFS(Stripe_Invoices_Upload!$D$4:$D$5003,$A63,Stripe_Invoices_Upload!$E$4:$E$5003,"*Subscription*",Stripe_Invoices_Upload!$A$4:$A$5003,"&gt;="&amp;DATE(2026,7,1),Stripe_Invoices_Upload!$A$4:$A$5003,"&lt;"&amp;EDATE(DATE(2026,7,1),1)))&gt;0,"✓ Invoiced","⚠ Due"),""),""))</f>
        <v/>
      </c>
      <c r="K63" s="130" t="str">
        <f aca="false">IF($A63="","",IF((DATE(YEAR($E63),MONTH($E63),1)&lt;=DATE(2026,8,1)),IF((MOD(DATEDIF(DATE(YEAR($E63),MONTH($E63),1),DATE(2026,8,1),"m"),IF($D63="Quarterly",3,IF($D63="Annual",12,1)))=0),IF((COUNTIFS(Xero_Raw!$D$4:$D$5003,$A63,Xero_Raw!$G$4:$G$5003,"*Subscription*",Xero_Raw!$A$4:$A$5003,"&gt;="&amp;DATE(2026,8,1),Xero_Raw!$A$4:$A$5003,"&lt;"&amp;EDATE(DATE(2026,8,1),1))+COUNTIFS(Customer_Invoices_Upload!$E$4:$E$5003,$A63,Customer_Invoices_Upload!$G$4:$G$5003,"*Subscription*",Customer_Invoices_Upload!$B$4:$B$5003,"&gt;="&amp;DATE(2026,8,1),Customer_Invoices_Upload!$B$4:$B$5003,"&lt;"&amp;EDATE(DATE(2026,8,1),1))+COUNTIFS(Stripe_Invoices_Upload!$D$4:$D$5003,$A63,Stripe_Invoices_Upload!$E$4:$E$5003,"*Subscription*",Stripe_Invoices_Upload!$A$4:$A$5003,"&gt;="&amp;DATE(2026,8,1),Stripe_Invoices_Upload!$A$4:$A$5003,"&lt;"&amp;EDATE(DATE(2026,8,1),1)))&gt;0,"✓ Invoiced","⚠ Due"),""),""))</f>
        <v/>
      </c>
      <c r="L63" s="130" t="str">
        <f aca="false">IF($A63="","",IF((DATE(YEAR($E63),MONTH($E63),1)&lt;=DATE(2026,9,1)),IF((MOD(DATEDIF(DATE(YEAR($E63),MONTH($E63),1),DATE(2026,9,1),"m"),IF($D63="Quarterly",3,IF($D63="Annual",12,1)))=0),IF((COUNTIFS(Xero_Raw!$D$4:$D$5003,$A63,Xero_Raw!$G$4:$G$5003,"*Subscription*",Xero_Raw!$A$4:$A$5003,"&gt;="&amp;DATE(2026,9,1),Xero_Raw!$A$4:$A$5003,"&lt;"&amp;EDATE(DATE(2026,9,1),1))+COUNTIFS(Customer_Invoices_Upload!$E$4:$E$5003,$A63,Customer_Invoices_Upload!$G$4:$G$5003,"*Subscription*",Customer_Invoices_Upload!$B$4:$B$5003,"&gt;="&amp;DATE(2026,9,1),Customer_Invoices_Upload!$B$4:$B$5003,"&lt;"&amp;EDATE(DATE(2026,9,1),1))+COUNTIFS(Stripe_Invoices_Upload!$D$4:$D$5003,$A63,Stripe_Invoices_Upload!$E$4:$E$5003,"*Subscription*",Stripe_Invoices_Upload!$A$4:$A$5003,"&gt;="&amp;DATE(2026,9,1),Stripe_Invoices_Upload!$A$4:$A$5003,"&lt;"&amp;EDATE(DATE(2026,9,1),1)))&gt;0,"✓ Invoiced","⚠ Due"),""),""))</f>
        <v/>
      </c>
      <c r="M63" s="130" t="str">
        <f aca="false">IF($A63="","",IF((DATE(YEAR($E63),MONTH($E63),1)&lt;=DATE(2026,10,1)),IF((MOD(DATEDIF(DATE(YEAR($E63),MONTH($E63),1),DATE(2026,10,1),"m"),IF($D63="Quarterly",3,IF($D63="Annual",12,1)))=0),IF((COUNTIFS(Xero_Raw!$D$4:$D$5003,$A63,Xero_Raw!$G$4:$G$5003,"*Subscription*",Xero_Raw!$A$4:$A$5003,"&gt;="&amp;DATE(2026,10,1),Xero_Raw!$A$4:$A$5003,"&lt;"&amp;EDATE(DATE(2026,10,1),1))+COUNTIFS(Customer_Invoices_Upload!$E$4:$E$5003,$A63,Customer_Invoices_Upload!$G$4:$G$5003,"*Subscription*",Customer_Invoices_Upload!$B$4:$B$5003,"&gt;="&amp;DATE(2026,10,1),Customer_Invoices_Upload!$B$4:$B$5003,"&lt;"&amp;EDATE(DATE(2026,10,1),1))+COUNTIFS(Stripe_Invoices_Upload!$D$4:$D$5003,$A63,Stripe_Invoices_Upload!$E$4:$E$5003,"*Subscription*",Stripe_Invoices_Upload!$A$4:$A$5003,"&gt;="&amp;DATE(2026,10,1),Stripe_Invoices_Upload!$A$4:$A$5003,"&lt;"&amp;EDATE(DATE(2026,10,1),1)))&gt;0,"✓ Invoiced","⚠ Due"),""),""))</f>
        <v/>
      </c>
      <c r="N63" s="130" t="str">
        <f aca="false">IF($A63="","",IF((DATE(YEAR($E63),MONTH($E63),1)&lt;=DATE(2026,11,1)),IF((MOD(DATEDIF(DATE(YEAR($E63),MONTH($E63),1),DATE(2026,11,1),"m"),IF($D63="Quarterly",3,IF($D63="Annual",12,1)))=0),IF((COUNTIFS(Xero_Raw!$D$4:$D$5003,$A63,Xero_Raw!$G$4:$G$5003,"*Subscription*",Xero_Raw!$A$4:$A$5003,"&gt;="&amp;DATE(2026,11,1),Xero_Raw!$A$4:$A$5003,"&lt;"&amp;EDATE(DATE(2026,11,1),1))+COUNTIFS(Customer_Invoices_Upload!$E$4:$E$5003,$A63,Customer_Invoices_Upload!$G$4:$G$5003,"*Subscription*",Customer_Invoices_Upload!$B$4:$B$5003,"&gt;="&amp;DATE(2026,11,1),Customer_Invoices_Upload!$B$4:$B$5003,"&lt;"&amp;EDATE(DATE(2026,11,1),1))+COUNTIFS(Stripe_Invoices_Upload!$D$4:$D$5003,$A63,Stripe_Invoices_Upload!$E$4:$E$5003,"*Subscription*",Stripe_Invoices_Upload!$A$4:$A$5003,"&gt;="&amp;DATE(2026,11,1),Stripe_Invoices_Upload!$A$4:$A$5003,"&lt;"&amp;EDATE(DATE(2026,11,1),1)))&gt;0,"✓ Invoiced","⚠ Due"),""),""))</f>
        <v/>
      </c>
      <c r="O63" s="130" t="str">
        <f aca="false">IF($A63="","",IF((DATE(YEAR($E63),MONTH($E63),1)&lt;=DATE(2026,12,1)),IF((MOD(DATEDIF(DATE(YEAR($E63),MONTH($E63),1),DATE(2026,12,1),"m"),IF($D63="Quarterly",3,IF($D63="Annual",12,1)))=0),IF((COUNTIFS(Xero_Raw!$D$4:$D$5003,$A63,Xero_Raw!$G$4:$G$5003,"*Subscription*",Xero_Raw!$A$4:$A$5003,"&gt;="&amp;DATE(2026,12,1),Xero_Raw!$A$4:$A$5003,"&lt;"&amp;EDATE(DATE(2026,12,1),1))+COUNTIFS(Customer_Invoices_Upload!$E$4:$E$5003,$A63,Customer_Invoices_Upload!$G$4:$G$5003,"*Subscription*",Customer_Invoices_Upload!$B$4:$B$5003,"&gt;="&amp;DATE(2026,12,1),Customer_Invoices_Upload!$B$4:$B$5003,"&lt;"&amp;EDATE(DATE(2026,12,1),1))+COUNTIFS(Stripe_Invoices_Upload!$D$4:$D$5003,$A63,Stripe_Invoices_Upload!$E$4:$E$5003,"*Subscription*",Stripe_Invoices_Upload!$A$4:$A$5003,"&gt;="&amp;DATE(2026,12,1),Stripe_Invoices_Upload!$A$4:$A$5003,"&lt;"&amp;EDATE(DATE(2026,12,1),1)))&gt;0,"✓ Invoiced","⚠ Due"),""),""))</f>
        <v/>
      </c>
      <c r="P63" s="130" t="str">
        <f aca="false">IF($A63="","",IF((DATE(YEAR($E63),MONTH($E63),1)&lt;=DATE(2027,1,1)),IF((MOD(DATEDIF(DATE(YEAR($E63),MONTH($E63),1),DATE(2027,1,1),"m"),IF($D63="Quarterly",3,IF($D63="Annual",12,1)))=0),IF((COUNTIFS(Xero_Raw!$D$4:$D$5003,$A63,Xero_Raw!$G$4:$G$5003,"*Subscription*",Xero_Raw!$A$4:$A$5003,"&gt;="&amp;DATE(2027,1,1),Xero_Raw!$A$4:$A$5003,"&lt;"&amp;EDATE(DATE(2027,1,1),1))+COUNTIFS(Customer_Invoices_Upload!$E$4:$E$5003,$A63,Customer_Invoices_Upload!$G$4:$G$5003,"*Subscription*",Customer_Invoices_Upload!$B$4:$B$5003,"&gt;="&amp;DATE(2027,1,1),Customer_Invoices_Upload!$B$4:$B$5003,"&lt;"&amp;EDATE(DATE(2027,1,1),1))+COUNTIFS(Stripe_Invoices_Upload!$D$4:$D$5003,$A63,Stripe_Invoices_Upload!$E$4:$E$5003,"*Subscription*",Stripe_Invoices_Upload!$A$4:$A$5003,"&gt;="&amp;DATE(2027,1,1),Stripe_Invoices_Upload!$A$4:$A$5003,"&lt;"&amp;EDATE(DATE(2027,1,1),1)))&gt;0,"✓ Invoiced","⚠ Due"),""),""))</f>
        <v/>
      </c>
      <c r="Q63" s="130" t="str">
        <f aca="false">IF($A63="","",IF((DATE(YEAR($E63),MONTH($E63),1)&lt;=DATE(2027,2,1)),IF((MOD(DATEDIF(DATE(YEAR($E63),MONTH($E63),1),DATE(2027,2,1),"m"),IF($D63="Quarterly",3,IF($D63="Annual",12,1)))=0),IF((COUNTIFS(Xero_Raw!$D$4:$D$5003,$A63,Xero_Raw!$G$4:$G$5003,"*Subscription*",Xero_Raw!$A$4:$A$5003,"&gt;="&amp;DATE(2027,2,1),Xero_Raw!$A$4:$A$5003,"&lt;"&amp;EDATE(DATE(2027,2,1),1))+COUNTIFS(Customer_Invoices_Upload!$E$4:$E$5003,$A63,Customer_Invoices_Upload!$G$4:$G$5003,"*Subscription*",Customer_Invoices_Upload!$B$4:$B$5003,"&gt;="&amp;DATE(2027,2,1),Customer_Invoices_Upload!$B$4:$B$5003,"&lt;"&amp;EDATE(DATE(2027,2,1),1))+COUNTIFS(Stripe_Invoices_Upload!$D$4:$D$5003,$A63,Stripe_Invoices_Upload!$E$4:$E$5003,"*Subscription*",Stripe_Invoices_Upload!$A$4:$A$5003,"&gt;="&amp;DATE(2027,2,1),Stripe_Invoices_Upload!$A$4:$A$5003,"&lt;"&amp;EDATE(DATE(2027,2,1),1)))&gt;0,"✓ Invoiced","⚠ Due"),""),""))</f>
        <v/>
      </c>
      <c r="R63" s="130" t="str">
        <f aca="false">IF($A63="","",IF((DATE(YEAR($E63),MONTH($E63),1)&lt;=DATE(2027,3,1)),IF((MOD(DATEDIF(DATE(YEAR($E63),MONTH($E63),1),DATE(2027,3,1),"m"),IF($D63="Quarterly",3,IF($D63="Annual",12,1)))=0),IF((COUNTIFS(Xero_Raw!$D$4:$D$5003,$A63,Xero_Raw!$G$4:$G$5003,"*Subscription*",Xero_Raw!$A$4:$A$5003,"&gt;="&amp;DATE(2027,3,1),Xero_Raw!$A$4:$A$5003,"&lt;"&amp;EDATE(DATE(2027,3,1),1))+COUNTIFS(Customer_Invoices_Upload!$E$4:$E$5003,$A63,Customer_Invoices_Upload!$G$4:$G$5003,"*Subscription*",Customer_Invoices_Upload!$B$4:$B$5003,"&gt;="&amp;DATE(2027,3,1),Customer_Invoices_Upload!$B$4:$B$5003,"&lt;"&amp;EDATE(DATE(2027,3,1),1))+COUNTIFS(Stripe_Invoices_Upload!$D$4:$D$5003,$A63,Stripe_Invoices_Upload!$E$4:$E$5003,"*Subscription*",Stripe_Invoices_Upload!$A$4:$A$5003,"&gt;="&amp;DATE(2027,3,1),Stripe_Invoices_Upload!$A$4:$A$5003,"&lt;"&amp;EDATE(DATE(2027,3,1),1)))&gt;0,"✓ Invoiced","⚠ Due"),""),""))</f>
        <v/>
      </c>
    </row>
    <row r="64" customFormat="false" ht="15" hidden="false" customHeight="false" outlineLevel="0" collapsed="false">
      <c r="A64" s="39"/>
      <c r="B64" s="39"/>
      <c r="C64" s="40"/>
      <c r="D64" s="39"/>
      <c r="E64" s="38"/>
      <c r="F64" s="129" t="str">
        <f aca="true">IF($A64="","",EDATE($E64,DATEDIF($E64,TODAY(),"m")+1))</f>
        <v/>
      </c>
      <c r="G64" s="130" t="str">
        <f aca="false">IF($A64="","",IF((DATE(YEAR($E64),MONTH($E64),1)&lt;=DATE(2026,4,1)),IF((MOD(DATEDIF(DATE(YEAR($E64),MONTH($E64),1),DATE(2026,4,1),"m"),IF($D64="Quarterly",3,IF($D64="Annual",12,1)))=0),IF((COUNTIFS(Xero_Raw!$D$4:$D$5003,$A64,Xero_Raw!$G$4:$G$5003,"*Subscription*",Xero_Raw!$A$4:$A$5003,"&gt;="&amp;DATE(2026,4,1),Xero_Raw!$A$4:$A$5003,"&lt;"&amp;EDATE(DATE(2026,4,1),1))+COUNTIFS(Customer_Invoices_Upload!$E$4:$E$5003,$A64,Customer_Invoices_Upload!$G$4:$G$5003,"*Subscription*",Customer_Invoices_Upload!$B$4:$B$5003,"&gt;="&amp;DATE(2026,4,1),Customer_Invoices_Upload!$B$4:$B$5003,"&lt;"&amp;EDATE(DATE(2026,4,1),1))+COUNTIFS(Stripe_Invoices_Upload!$D$4:$D$5003,$A64,Stripe_Invoices_Upload!$E$4:$E$5003,"*Subscription*",Stripe_Invoices_Upload!$A$4:$A$5003,"&gt;="&amp;DATE(2026,4,1),Stripe_Invoices_Upload!$A$4:$A$5003,"&lt;"&amp;EDATE(DATE(2026,4,1),1)))&gt;0,"✓ Invoiced","⚠ Due"),""),""))</f>
        <v/>
      </c>
      <c r="H64" s="130" t="str">
        <f aca="false">IF($A64="","",IF((DATE(YEAR($E64),MONTH($E64),1)&lt;=DATE(2026,5,1)),IF((MOD(DATEDIF(DATE(YEAR($E64),MONTH($E64),1),DATE(2026,5,1),"m"),IF($D64="Quarterly",3,IF($D64="Annual",12,1)))=0),IF((COUNTIFS(Xero_Raw!$D$4:$D$5003,$A64,Xero_Raw!$G$4:$G$5003,"*Subscription*",Xero_Raw!$A$4:$A$5003,"&gt;="&amp;DATE(2026,5,1),Xero_Raw!$A$4:$A$5003,"&lt;"&amp;EDATE(DATE(2026,5,1),1))+COUNTIFS(Customer_Invoices_Upload!$E$4:$E$5003,$A64,Customer_Invoices_Upload!$G$4:$G$5003,"*Subscription*",Customer_Invoices_Upload!$B$4:$B$5003,"&gt;="&amp;DATE(2026,5,1),Customer_Invoices_Upload!$B$4:$B$5003,"&lt;"&amp;EDATE(DATE(2026,5,1),1))+COUNTIFS(Stripe_Invoices_Upload!$D$4:$D$5003,$A64,Stripe_Invoices_Upload!$E$4:$E$5003,"*Subscription*",Stripe_Invoices_Upload!$A$4:$A$5003,"&gt;="&amp;DATE(2026,5,1),Stripe_Invoices_Upload!$A$4:$A$5003,"&lt;"&amp;EDATE(DATE(2026,5,1),1)))&gt;0,"✓ Invoiced","⚠ Due"),""),""))</f>
        <v/>
      </c>
      <c r="I64" s="130" t="str">
        <f aca="false">IF($A64="","",IF((DATE(YEAR($E64),MONTH($E64),1)&lt;=DATE(2026,6,1)),IF((MOD(DATEDIF(DATE(YEAR($E64),MONTH($E64),1),DATE(2026,6,1),"m"),IF($D64="Quarterly",3,IF($D64="Annual",12,1)))=0),IF((COUNTIFS(Xero_Raw!$D$4:$D$5003,$A64,Xero_Raw!$G$4:$G$5003,"*Subscription*",Xero_Raw!$A$4:$A$5003,"&gt;="&amp;DATE(2026,6,1),Xero_Raw!$A$4:$A$5003,"&lt;"&amp;EDATE(DATE(2026,6,1),1))+COUNTIFS(Customer_Invoices_Upload!$E$4:$E$5003,$A64,Customer_Invoices_Upload!$G$4:$G$5003,"*Subscription*",Customer_Invoices_Upload!$B$4:$B$5003,"&gt;="&amp;DATE(2026,6,1),Customer_Invoices_Upload!$B$4:$B$5003,"&lt;"&amp;EDATE(DATE(2026,6,1),1))+COUNTIFS(Stripe_Invoices_Upload!$D$4:$D$5003,$A64,Stripe_Invoices_Upload!$E$4:$E$5003,"*Subscription*",Stripe_Invoices_Upload!$A$4:$A$5003,"&gt;="&amp;DATE(2026,6,1),Stripe_Invoices_Upload!$A$4:$A$5003,"&lt;"&amp;EDATE(DATE(2026,6,1),1)))&gt;0,"✓ Invoiced","⚠ Due"),""),""))</f>
        <v/>
      </c>
      <c r="J64" s="130" t="str">
        <f aca="false">IF($A64="","",IF((DATE(YEAR($E64),MONTH($E64),1)&lt;=DATE(2026,7,1)),IF((MOD(DATEDIF(DATE(YEAR($E64),MONTH($E64),1),DATE(2026,7,1),"m"),IF($D64="Quarterly",3,IF($D64="Annual",12,1)))=0),IF((COUNTIFS(Xero_Raw!$D$4:$D$5003,$A64,Xero_Raw!$G$4:$G$5003,"*Subscription*",Xero_Raw!$A$4:$A$5003,"&gt;="&amp;DATE(2026,7,1),Xero_Raw!$A$4:$A$5003,"&lt;"&amp;EDATE(DATE(2026,7,1),1))+COUNTIFS(Customer_Invoices_Upload!$E$4:$E$5003,$A64,Customer_Invoices_Upload!$G$4:$G$5003,"*Subscription*",Customer_Invoices_Upload!$B$4:$B$5003,"&gt;="&amp;DATE(2026,7,1),Customer_Invoices_Upload!$B$4:$B$5003,"&lt;"&amp;EDATE(DATE(2026,7,1),1))+COUNTIFS(Stripe_Invoices_Upload!$D$4:$D$5003,$A64,Stripe_Invoices_Upload!$E$4:$E$5003,"*Subscription*",Stripe_Invoices_Upload!$A$4:$A$5003,"&gt;="&amp;DATE(2026,7,1),Stripe_Invoices_Upload!$A$4:$A$5003,"&lt;"&amp;EDATE(DATE(2026,7,1),1)))&gt;0,"✓ Invoiced","⚠ Due"),""),""))</f>
        <v/>
      </c>
      <c r="K64" s="130" t="str">
        <f aca="false">IF($A64="","",IF((DATE(YEAR($E64),MONTH($E64),1)&lt;=DATE(2026,8,1)),IF((MOD(DATEDIF(DATE(YEAR($E64),MONTH($E64),1),DATE(2026,8,1),"m"),IF($D64="Quarterly",3,IF($D64="Annual",12,1)))=0),IF((COUNTIFS(Xero_Raw!$D$4:$D$5003,$A64,Xero_Raw!$G$4:$G$5003,"*Subscription*",Xero_Raw!$A$4:$A$5003,"&gt;="&amp;DATE(2026,8,1),Xero_Raw!$A$4:$A$5003,"&lt;"&amp;EDATE(DATE(2026,8,1),1))+COUNTIFS(Customer_Invoices_Upload!$E$4:$E$5003,$A64,Customer_Invoices_Upload!$G$4:$G$5003,"*Subscription*",Customer_Invoices_Upload!$B$4:$B$5003,"&gt;="&amp;DATE(2026,8,1),Customer_Invoices_Upload!$B$4:$B$5003,"&lt;"&amp;EDATE(DATE(2026,8,1),1))+COUNTIFS(Stripe_Invoices_Upload!$D$4:$D$5003,$A64,Stripe_Invoices_Upload!$E$4:$E$5003,"*Subscription*",Stripe_Invoices_Upload!$A$4:$A$5003,"&gt;="&amp;DATE(2026,8,1),Stripe_Invoices_Upload!$A$4:$A$5003,"&lt;"&amp;EDATE(DATE(2026,8,1),1)))&gt;0,"✓ Invoiced","⚠ Due"),""),""))</f>
        <v/>
      </c>
      <c r="L64" s="130" t="str">
        <f aca="false">IF($A64="","",IF((DATE(YEAR($E64),MONTH($E64),1)&lt;=DATE(2026,9,1)),IF((MOD(DATEDIF(DATE(YEAR($E64),MONTH($E64),1),DATE(2026,9,1),"m"),IF($D64="Quarterly",3,IF($D64="Annual",12,1)))=0),IF((COUNTIFS(Xero_Raw!$D$4:$D$5003,$A64,Xero_Raw!$G$4:$G$5003,"*Subscription*",Xero_Raw!$A$4:$A$5003,"&gt;="&amp;DATE(2026,9,1),Xero_Raw!$A$4:$A$5003,"&lt;"&amp;EDATE(DATE(2026,9,1),1))+COUNTIFS(Customer_Invoices_Upload!$E$4:$E$5003,$A64,Customer_Invoices_Upload!$G$4:$G$5003,"*Subscription*",Customer_Invoices_Upload!$B$4:$B$5003,"&gt;="&amp;DATE(2026,9,1),Customer_Invoices_Upload!$B$4:$B$5003,"&lt;"&amp;EDATE(DATE(2026,9,1),1))+COUNTIFS(Stripe_Invoices_Upload!$D$4:$D$5003,$A64,Stripe_Invoices_Upload!$E$4:$E$5003,"*Subscription*",Stripe_Invoices_Upload!$A$4:$A$5003,"&gt;="&amp;DATE(2026,9,1),Stripe_Invoices_Upload!$A$4:$A$5003,"&lt;"&amp;EDATE(DATE(2026,9,1),1)))&gt;0,"✓ Invoiced","⚠ Due"),""),""))</f>
        <v/>
      </c>
      <c r="M64" s="130" t="str">
        <f aca="false">IF($A64="","",IF((DATE(YEAR($E64),MONTH($E64),1)&lt;=DATE(2026,10,1)),IF((MOD(DATEDIF(DATE(YEAR($E64),MONTH($E64),1),DATE(2026,10,1),"m"),IF($D64="Quarterly",3,IF($D64="Annual",12,1)))=0),IF((COUNTIFS(Xero_Raw!$D$4:$D$5003,$A64,Xero_Raw!$G$4:$G$5003,"*Subscription*",Xero_Raw!$A$4:$A$5003,"&gt;="&amp;DATE(2026,10,1),Xero_Raw!$A$4:$A$5003,"&lt;"&amp;EDATE(DATE(2026,10,1),1))+COUNTIFS(Customer_Invoices_Upload!$E$4:$E$5003,$A64,Customer_Invoices_Upload!$G$4:$G$5003,"*Subscription*",Customer_Invoices_Upload!$B$4:$B$5003,"&gt;="&amp;DATE(2026,10,1),Customer_Invoices_Upload!$B$4:$B$5003,"&lt;"&amp;EDATE(DATE(2026,10,1),1))+COUNTIFS(Stripe_Invoices_Upload!$D$4:$D$5003,$A64,Stripe_Invoices_Upload!$E$4:$E$5003,"*Subscription*",Stripe_Invoices_Upload!$A$4:$A$5003,"&gt;="&amp;DATE(2026,10,1),Stripe_Invoices_Upload!$A$4:$A$5003,"&lt;"&amp;EDATE(DATE(2026,10,1),1)))&gt;0,"✓ Invoiced","⚠ Due"),""),""))</f>
        <v/>
      </c>
      <c r="N64" s="130" t="str">
        <f aca="false">IF($A64="","",IF((DATE(YEAR($E64),MONTH($E64),1)&lt;=DATE(2026,11,1)),IF((MOD(DATEDIF(DATE(YEAR($E64),MONTH($E64),1),DATE(2026,11,1),"m"),IF($D64="Quarterly",3,IF($D64="Annual",12,1)))=0),IF((COUNTIFS(Xero_Raw!$D$4:$D$5003,$A64,Xero_Raw!$G$4:$G$5003,"*Subscription*",Xero_Raw!$A$4:$A$5003,"&gt;="&amp;DATE(2026,11,1),Xero_Raw!$A$4:$A$5003,"&lt;"&amp;EDATE(DATE(2026,11,1),1))+COUNTIFS(Customer_Invoices_Upload!$E$4:$E$5003,$A64,Customer_Invoices_Upload!$G$4:$G$5003,"*Subscription*",Customer_Invoices_Upload!$B$4:$B$5003,"&gt;="&amp;DATE(2026,11,1),Customer_Invoices_Upload!$B$4:$B$5003,"&lt;"&amp;EDATE(DATE(2026,11,1),1))+COUNTIFS(Stripe_Invoices_Upload!$D$4:$D$5003,$A64,Stripe_Invoices_Upload!$E$4:$E$5003,"*Subscription*",Stripe_Invoices_Upload!$A$4:$A$5003,"&gt;="&amp;DATE(2026,11,1),Stripe_Invoices_Upload!$A$4:$A$5003,"&lt;"&amp;EDATE(DATE(2026,11,1),1)))&gt;0,"✓ Invoiced","⚠ Due"),""),""))</f>
        <v/>
      </c>
      <c r="O64" s="130" t="str">
        <f aca="false">IF($A64="","",IF((DATE(YEAR($E64),MONTH($E64),1)&lt;=DATE(2026,12,1)),IF((MOD(DATEDIF(DATE(YEAR($E64),MONTH($E64),1),DATE(2026,12,1),"m"),IF($D64="Quarterly",3,IF($D64="Annual",12,1)))=0),IF((COUNTIFS(Xero_Raw!$D$4:$D$5003,$A64,Xero_Raw!$G$4:$G$5003,"*Subscription*",Xero_Raw!$A$4:$A$5003,"&gt;="&amp;DATE(2026,12,1),Xero_Raw!$A$4:$A$5003,"&lt;"&amp;EDATE(DATE(2026,12,1),1))+COUNTIFS(Customer_Invoices_Upload!$E$4:$E$5003,$A64,Customer_Invoices_Upload!$G$4:$G$5003,"*Subscription*",Customer_Invoices_Upload!$B$4:$B$5003,"&gt;="&amp;DATE(2026,12,1),Customer_Invoices_Upload!$B$4:$B$5003,"&lt;"&amp;EDATE(DATE(2026,12,1),1))+COUNTIFS(Stripe_Invoices_Upload!$D$4:$D$5003,$A64,Stripe_Invoices_Upload!$E$4:$E$5003,"*Subscription*",Stripe_Invoices_Upload!$A$4:$A$5003,"&gt;="&amp;DATE(2026,12,1),Stripe_Invoices_Upload!$A$4:$A$5003,"&lt;"&amp;EDATE(DATE(2026,12,1),1)))&gt;0,"✓ Invoiced","⚠ Due"),""),""))</f>
        <v/>
      </c>
      <c r="P64" s="130" t="str">
        <f aca="false">IF($A64="","",IF((DATE(YEAR($E64),MONTH($E64),1)&lt;=DATE(2027,1,1)),IF((MOD(DATEDIF(DATE(YEAR($E64),MONTH($E64),1),DATE(2027,1,1),"m"),IF($D64="Quarterly",3,IF($D64="Annual",12,1)))=0),IF((COUNTIFS(Xero_Raw!$D$4:$D$5003,$A64,Xero_Raw!$G$4:$G$5003,"*Subscription*",Xero_Raw!$A$4:$A$5003,"&gt;="&amp;DATE(2027,1,1),Xero_Raw!$A$4:$A$5003,"&lt;"&amp;EDATE(DATE(2027,1,1),1))+COUNTIFS(Customer_Invoices_Upload!$E$4:$E$5003,$A64,Customer_Invoices_Upload!$G$4:$G$5003,"*Subscription*",Customer_Invoices_Upload!$B$4:$B$5003,"&gt;="&amp;DATE(2027,1,1),Customer_Invoices_Upload!$B$4:$B$5003,"&lt;"&amp;EDATE(DATE(2027,1,1),1))+COUNTIFS(Stripe_Invoices_Upload!$D$4:$D$5003,$A64,Stripe_Invoices_Upload!$E$4:$E$5003,"*Subscription*",Stripe_Invoices_Upload!$A$4:$A$5003,"&gt;="&amp;DATE(2027,1,1),Stripe_Invoices_Upload!$A$4:$A$5003,"&lt;"&amp;EDATE(DATE(2027,1,1),1)))&gt;0,"✓ Invoiced","⚠ Due"),""),""))</f>
        <v/>
      </c>
      <c r="Q64" s="130" t="str">
        <f aca="false">IF($A64="","",IF((DATE(YEAR($E64),MONTH($E64),1)&lt;=DATE(2027,2,1)),IF((MOD(DATEDIF(DATE(YEAR($E64),MONTH($E64),1),DATE(2027,2,1),"m"),IF($D64="Quarterly",3,IF($D64="Annual",12,1)))=0),IF((COUNTIFS(Xero_Raw!$D$4:$D$5003,$A64,Xero_Raw!$G$4:$G$5003,"*Subscription*",Xero_Raw!$A$4:$A$5003,"&gt;="&amp;DATE(2027,2,1),Xero_Raw!$A$4:$A$5003,"&lt;"&amp;EDATE(DATE(2027,2,1),1))+COUNTIFS(Customer_Invoices_Upload!$E$4:$E$5003,$A64,Customer_Invoices_Upload!$G$4:$G$5003,"*Subscription*",Customer_Invoices_Upload!$B$4:$B$5003,"&gt;="&amp;DATE(2027,2,1),Customer_Invoices_Upload!$B$4:$B$5003,"&lt;"&amp;EDATE(DATE(2027,2,1),1))+COUNTIFS(Stripe_Invoices_Upload!$D$4:$D$5003,$A64,Stripe_Invoices_Upload!$E$4:$E$5003,"*Subscription*",Stripe_Invoices_Upload!$A$4:$A$5003,"&gt;="&amp;DATE(2027,2,1),Stripe_Invoices_Upload!$A$4:$A$5003,"&lt;"&amp;EDATE(DATE(2027,2,1),1)))&gt;0,"✓ Invoiced","⚠ Due"),""),""))</f>
        <v/>
      </c>
      <c r="R64" s="130" t="str">
        <f aca="false">IF($A64="","",IF((DATE(YEAR($E64),MONTH($E64),1)&lt;=DATE(2027,3,1)),IF((MOD(DATEDIF(DATE(YEAR($E64),MONTH($E64),1),DATE(2027,3,1),"m"),IF($D64="Quarterly",3,IF($D64="Annual",12,1)))=0),IF((COUNTIFS(Xero_Raw!$D$4:$D$5003,$A64,Xero_Raw!$G$4:$G$5003,"*Subscription*",Xero_Raw!$A$4:$A$5003,"&gt;="&amp;DATE(2027,3,1),Xero_Raw!$A$4:$A$5003,"&lt;"&amp;EDATE(DATE(2027,3,1),1))+COUNTIFS(Customer_Invoices_Upload!$E$4:$E$5003,$A64,Customer_Invoices_Upload!$G$4:$G$5003,"*Subscription*",Customer_Invoices_Upload!$B$4:$B$5003,"&gt;="&amp;DATE(2027,3,1),Customer_Invoices_Upload!$B$4:$B$5003,"&lt;"&amp;EDATE(DATE(2027,3,1),1))+COUNTIFS(Stripe_Invoices_Upload!$D$4:$D$5003,$A64,Stripe_Invoices_Upload!$E$4:$E$5003,"*Subscription*",Stripe_Invoices_Upload!$A$4:$A$5003,"&gt;="&amp;DATE(2027,3,1),Stripe_Invoices_Upload!$A$4:$A$5003,"&lt;"&amp;EDATE(DATE(2027,3,1),1)))&gt;0,"✓ Invoiced","⚠ Due"),""),""))</f>
        <v/>
      </c>
    </row>
    <row r="65" customFormat="false" ht="15" hidden="false" customHeight="false" outlineLevel="0" collapsed="false">
      <c r="A65" s="39"/>
      <c r="B65" s="39"/>
      <c r="C65" s="40"/>
      <c r="D65" s="39"/>
      <c r="E65" s="38"/>
      <c r="F65" s="129" t="str">
        <f aca="true">IF($A65="","",EDATE($E65,DATEDIF($E65,TODAY(),"m")+1))</f>
        <v/>
      </c>
      <c r="G65" s="130" t="str">
        <f aca="false">IF($A65="","",IF((DATE(YEAR($E65),MONTH($E65),1)&lt;=DATE(2026,4,1)),IF((MOD(DATEDIF(DATE(YEAR($E65),MONTH($E65),1),DATE(2026,4,1),"m"),IF($D65="Quarterly",3,IF($D65="Annual",12,1)))=0),IF((COUNTIFS(Xero_Raw!$D$4:$D$5003,$A65,Xero_Raw!$G$4:$G$5003,"*Subscription*",Xero_Raw!$A$4:$A$5003,"&gt;="&amp;DATE(2026,4,1),Xero_Raw!$A$4:$A$5003,"&lt;"&amp;EDATE(DATE(2026,4,1),1))+COUNTIFS(Customer_Invoices_Upload!$E$4:$E$5003,$A65,Customer_Invoices_Upload!$G$4:$G$5003,"*Subscription*",Customer_Invoices_Upload!$B$4:$B$5003,"&gt;="&amp;DATE(2026,4,1),Customer_Invoices_Upload!$B$4:$B$5003,"&lt;"&amp;EDATE(DATE(2026,4,1),1))+COUNTIFS(Stripe_Invoices_Upload!$D$4:$D$5003,$A65,Stripe_Invoices_Upload!$E$4:$E$5003,"*Subscription*",Stripe_Invoices_Upload!$A$4:$A$5003,"&gt;="&amp;DATE(2026,4,1),Stripe_Invoices_Upload!$A$4:$A$5003,"&lt;"&amp;EDATE(DATE(2026,4,1),1)))&gt;0,"✓ Invoiced","⚠ Due"),""),""))</f>
        <v/>
      </c>
      <c r="H65" s="130" t="str">
        <f aca="false">IF($A65="","",IF((DATE(YEAR($E65),MONTH($E65),1)&lt;=DATE(2026,5,1)),IF((MOD(DATEDIF(DATE(YEAR($E65),MONTH($E65),1),DATE(2026,5,1),"m"),IF($D65="Quarterly",3,IF($D65="Annual",12,1)))=0),IF((COUNTIFS(Xero_Raw!$D$4:$D$5003,$A65,Xero_Raw!$G$4:$G$5003,"*Subscription*",Xero_Raw!$A$4:$A$5003,"&gt;="&amp;DATE(2026,5,1),Xero_Raw!$A$4:$A$5003,"&lt;"&amp;EDATE(DATE(2026,5,1),1))+COUNTIFS(Customer_Invoices_Upload!$E$4:$E$5003,$A65,Customer_Invoices_Upload!$G$4:$G$5003,"*Subscription*",Customer_Invoices_Upload!$B$4:$B$5003,"&gt;="&amp;DATE(2026,5,1),Customer_Invoices_Upload!$B$4:$B$5003,"&lt;"&amp;EDATE(DATE(2026,5,1),1))+COUNTIFS(Stripe_Invoices_Upload!$D$4:$D$5003,$A65,Stripe_Invoices_Upload!$E$4:$E$5003,"*Subscription*",Stripe_Invoices_Upload!$A$4:$A$5003,"&gt;="&amp;DATE(2026,5,1),Stripe_Invoices_Upload!$A$4:$A$5003,"&lt;"&amp;EDATE(DATE(2026,5,1),1)))&gt;0,"✓ Invoiced","⚠ Due"),""),""))</f>
        <v/>
      </c>
      <c r="I65" s="130" t="str">
        <f aca="false">IF($A65="","",IF((DATE(YEAR($E65),MONTH($E65),1)&lt;=DATE(2026,6,1)),IF((MOD(DATEDIF(DATE(YEAR($E65),MONTH($E65),1),DATE(2026,6,1),"m"),IF($D65="Quarterly",3,IF($D65="Annual",12,1)))=0),IF((COUNTIFS(Xero_Raw!$D$4:$D$5003,$A65,Xero_Raw!$G$4:$G$5003,"*Subscription*",Xero_Raw!$A$4:$A$5003,"&gt;="&amp;DATE(2026,6,1),Xero_Raw!$A$4:$A$5003,"&lt;"&amp;EDATE(DATE(2026,6,1),1))+COUNTIFS(Customer_Invoices_Upload!$E$4:$E$5003,$A65,Customer_Invoices_Upload!$G$4:$G$5003,"*Subscription*",Customer_Invoices_Upload!$B$4:$B$5003,"&gt;="&amp;DATE(2026,6,1),Customer_Invoices_Upload!$B$4:$B$5003,"&lt;"&amp;EDATE(DATE(2026,6,1),1))+COUNTIFS(Stripe_Invoices_Upload!$D$4:$D$5003,$A65,Stripe_Invoices_Upload!$E$4:$E$5003,"*Subscription*",Stripe_Invoices_Upload!$A$4:$A$5003,"&gt;="&amp;DATE(2026,6,1),Stripe_Invoices_Upload!$A$4:$A$5003,"&lt;"&amp;EDATE(DATE(2026,6,1),1)))&gt;0,"✓ Invoiced","⚠ Due"),""),""))</f>
        <v/>
      </c>
      <c r="J65" s="130" t="str">
        <f aca="false">IF($A65="","",IF((DATE(YEAR($E65),MONTH($E65),1)&lt;=DATE(2026,7,1)),IF((MOD(DATEDIF(DATE(YEAR($E65),MONTH($E65),1),DATE(2026,7,1),"m"),IF($D65="Quarterly",3,IF($D65="Annual",12,1)))=0),IF((COUNTIFS(Xero_Raw!$D$4:$D$5003,$A65,Xero_Raw!$G$4:$G$5003,"*Subscription*",Xero_Raw!$A$4:$A$5003,"&gt;="&amp;DATE(2026,7,1),Xero_Raw!$A$4:$A$5003,"&lt;"&amp;EDATE(DATE(2026,7,1),1))+COUNTIFS(Customer_Invoices_Upload!$E$4:$E$5003,$A65,Customer_Invoices_Upload!$G$4:$G$5003,"*Subscription*",Customer_Invoices_Upload!$B$4:$B$5003,"&gt;="&amp;DATE(2026,7,1),Customer_Invoices_Upload!$B$4:$B$5003,"&lt;"&amp;EDATE(DATE(2026,7,1),1))+COUNTIFS(Stripe_Invoices_Upload!$D$4:$D$5003,$A65,Stripe_Invoices_Upload!$E$4:$E$5003,"*Subscription*",Stripe_Invoices_Upload!$A$4:$A$5003,"&gt;="&amp;DATE(2026,7,1),Stripe_Invoices_Upload!$A$4:$A$5003,"&lt;"&amp;EDATE(DATE(2026,7,1),1)))&gt;0,"✓ Invoiced","⚠ Due"),""),""))</f>
        <v/>
      </c>
      <c r="K65" s="130" t="str">
        <f aca="false">IF($A65="","",IF((DATE(YEAR($E65),MONTH($E65),1)&lt;=DATE(2026,8,1)),IF((MOD(DATEDIF(DATE(YEAR($E65),MONTH($E65),1),DATE(2026,8,1),"m"),IF($D65="Quarterly",3,IF($D65="Annual",12,1)))=0),IF((COUNTIFS(Xero_Raw!$D$4:$D$5003,$A65,Xero_Raw!$G$4:$G$5003,"*Subscription*",Xero_Raw!$A$4:$A$5003,"&gt;="&amp;DATE(2026,8,1),Xero_Raw!$A$4:$A$5003,"&lt;"&amp;EDATE(DATE(2026,8,1),1))+COUNTIFS(Customer_Invoices_Upload!$E$4:$E$5003,$A65,Customer_Invoices_Upload!$G$4:$G$5003,"*Subscription*",Customer_Invoices_Upload!$B$4:$B$5003,"&gt;="&amp;DATE(2026,8,1),Customer_Invoices_Upload!$B$4:$B$5003,"&lt;"&amp;EDATE(DATE(2026,8,1),1))+COUNTIFS(Stripe_Invoices_Upload!$D$4:$D$5003,$A65,Stripe_Invoices_Upload!$E$4:$E$5003,"*Subscription*",Stripe_Invoices_Upload!$A$4:$A$5003,"&gt;="&amp;DATE(2026,8,1),Stripe_Invoices_Upload!$A$4:$A$5003,"&lt;"&amp;EDATE(DATE(2026,8,1),1)))&gt;0,"✓ Invoiced","⚠ Due"),""),""))</f>
        <v/>
      </c>
      <c r="L65" s="130" t="str">
        <f aca="false">IF($A65="","",IF((DATE(YEAR($E65),MONTH($E65),1)&lt;=DATE(2026,9,1)),IF((MOD(DATEDIF(DATE(YEAR($E65),MONTH($E65),1),DATE(2026,9,1),"m"),IF($D65="Quarterly",3,IF($D65="Annual",12,1)))=0),IF((COUNTIFS(Xero_Raw!$D$4:$D$5003,$A65,Xero_Raw!$G$4:$G$5003,"*Subscription*",Xero_Raw!$A$4:$A$5003,"&gt;="&amp;DATE(2026,9,1),Xero_Raw!$A$4:$A$5003,"&lt;"&amp;EDATE(DATE(2026,9,1),1))+COUNTIFS(Customer_Invoices_Upload!$E$4:$E$5003,$A65,Customer_Invoices_Upload!$G$4:$G$5003,"*Subscription*",Customer_Invoices_Upload!$B$4:$B$5003,"&gt;="&amp;DATE(2026,9,1),Customer_Invoices_Upload!$B$4:$B$5003,"&lt;"&amp;EDATE(DATE(2026,9,1),1))+COUNTIFS(Stripe_Invoices_Upload!$D$4:$D$5003,$A65,Stripe_Invoices_Upload!$E$4:$E$5003,"*Subscription*",Stripe_Invoices_Upload!$A$4:$A$5003,"&gt;="&amp;DATE(2026,9,1),Stripe_Invoices_Upload!$A$4:$A$5003,"&lt;"&amp;EDATE(DATE(2026,9,1),1)))&gt;0,"✓ Invoiced","⚠ Due"),""),""))</f>
        <v/>
      </c>
      <c r="M65" s="130" t="str">
        <f aca="false">IF($A65="","",IF((DATE(YEAR($E65),MONTH($E65),1)&lt;=DATE(2026,10,1)),IF((MOD(DATEDIF(DATE(YEAR($E65),MONTH($E65),1),DATE(2026,10,1),"m"),IF($D65="Quarterly",3,IF($D65="Annual",12,1)))=0),IF((COUNTIFS(Xero_Raw!$D$4:$D$5003,$A65,Xero_Raw!$G$4:$G$5003,"*Subscription*",Xero_Raw!$A$4:$A$5003,"&gt;="&amp;DATE(2026,10,1),Xero_Raw!$A$4:$A$5003,"&lt;"&amp;EDATE(DATE(2026,10,1),1))+COUNTIFS(Customer_Invoices_Upload!$E$4:$E$5003,$A65,Customer_Invoices_Upload!$G$4:$G$5003,"*Subscription*",Customer_Invoices_Upload!$B$4:$B$5003,"&gt;="&amp;DATE(2026,10,1),Customer_Invoices_Upload!$B$4:$B$5003,"&lt;"&amp;EDATE(DATE(2026,10,1),1))+COUNTIFS(Stripe_Invoices_Upload!$D$4:$D$5003,$A65,Stripe_Invoices_Upload!$E$4:$E$5003,"*Subscription*",Stripe_Invoices_Upload!$A$4:$A$5003,"&gt;="&amp;DATE(2026,10,1),Stripe_Invoices_Upload!$A$4:$A$5003,"&lt;"&amp;EDATE(DATE(2026,10,1),1)))&gt;0,"✓ Invoiced","⚠ Due"),""),""))</f>
        <v/>
      </c>
      <c r="N65" s="130" t="str">
        <f aca="false">IF($A65="","",IF((DATE(YEAR($E65),MONTH($E65),1)&lt;=DATE(2026,11,1)),IF((MOD(DATEDIF(DATE(YEAR($E65),MONTH($E65),1),DATE(2026,11,1),"m"),IF($D65="Quarterly",3,IF($D65="Annual",12,1)))=0),IF((COUNTIFS(Xero_Raw!$D$4:$D$5003,$A65,Xero_Raw!$G$4:$G$5003,"*Subscription*",Xero_Raw!$A$4:$A$5003,"&gt;="&amp;DATE(2026,11,1),Xero_Raw!$A$4:$A$5003,"&lt;"&amp;EDATE(DATE(2026,11,1),1))+COUNTIFS(Customer_Invoices_Upload!$E$4:$E$5003,$A65,Customer_Invoices_Upload!$G$4:$G$5003,"*Subscription*",Customer_Invoices_Upload!$B$4:$B$5003,"&gt;="&amp;DATE(2026,11,1),Customer_Invoices_Upload!$B$4:$B$5003,"&lt;"&amp;EDATE(DATE(2026,11,1),1))+COUNTIFS(Stripe_Invoices_Upload!$D$4:$D$5003,$A65,Stripe_Invoices_Upload!$E$4:$E$5003,"*Subscription*",Stripe_Invoices_Upload!$A$4:$A$5003,"&gt;="&amp;DATE(2026,11,1),Stripe_Invoices_Upload!$A$4:$A$5003,"&lt;"&amp;EDATE(DATE(2026,11,1),1)))&gt;0,"✓ Invoiced","⚠ Due"),""),""))</f>
        <v/>
      </c>
      <c r="O65" s="130" t="str">
        <f aca="false">IF($A65="","",IF((DATE(YEAR($E65),MONTH($E65),1)&lt;=DATE(2026,12,1)),IF((MOD(DATEDIF(DATE(YEAR($E65),MONTH($E65),1),DATE(2026,12,1),"m"),IF($D65="Quarterly",3,IF($D65="Annual",12,1)))=0),IF((COUNTIFS(Xero_Raw!$D$4:$D$5003,$A65,Xero_Raw!$G$4:$G$5003,"*Subscription*",Xero_Raw!$A$4:$A$5003,"&gt;="&amp;DATE(2026,12,1),Xero_Raw!$A$4:$A$5003,"&lt;"&amp;EDATE(DATE(2026,12,1),1))+COUNTIFS(Customer_Invoices_Upload!$E$4:$E$5003,$A65,Customer_Invoices_Upload!$G$4:$G$5003,"*Subscription*",Customer_Invoices_Upload!$B$4:$B$5003,"&gt;="&amp;DATE(2026,12,1),Customer_Invoices_Upload!$B$4:$B$5003,"&lt;"&amp;EDATE(DATE(2026,12,1),1))+COUNTIFS(Stripe_Invoices_Upload!$D$4:$D$5003,$A65,Stripe_Invoices_Upload!$E$4:$E$5003,"*Subscription*",Stripe_Invoices_Upload!$A$4:$A$5003,"&gt;="&amp;DATE(2026,12,1),Stripe_Invoices_Upload!$A$4:$A$5003,"&lt;"&amp;EDATE(DATE(2026,12,1),1)))&gt;0,"✓ Invoiced","⚠ Due"),""),""))</f>
        <v/>
      </c>
      <c r="P65" s="130" t="str">
        <f aca="false">IF($A65="","",IF((DATE(YEAR($E65),MONTH($E65),1)&lt;=DATE(2027,1,1)),IF((MOD(DATEDIF(DATE(YEAR($E65),MONTH($E65),1),DATE(2027,1,1),"m"),IF($D65="Quarterly",3,IF($D65="Annual",12,1)))=0),IF((COUNTIFS(Xero_Raw!$D$4:$D$5003,$A65,Xero_Raw!$G$4:$G$5003,"*Subscription*",Xero_Raw!$A$4:$A$5003,"&gt;="&amp;DATE(2027,1,1),Xero_Raw!$A$4:$A$5003,"&lt;"&amp;EDATE(DATE(2027,1,1),1))+COUNTIFS(Customer_Invoices_Upload!$E$4:$E$5003,$A65,Customer_Invoices_Upload!$G$4:$G$5003,"*Subscription*",Customer_Invoices_Upload!$B$4:$B$5003,"&gt;="&amp;DATE(2027,1,1),Customer_Invoices_Upload!$B$4:$B$5003,"&lt;"&amp;EDATE(DATE(2027,1,1),1))+COUNTIFS(Stripe_Invoices_Upload!$D$4:$D$5003,$A65,Stripe_Invoices_Upload!$E$4:$E$5003,"*Subscription*",Stripe_Invoices_Upload!$A$4:$A$5003,"&gt;="&amp;DATE(2027,1,1),Stripe_Invoices_Upload!$A$4:$A$5003,"&lt;"&amp;EDATE(DATE(2027,1,1),1)))&gt;0,"✓ Invoiced","⚠ Due"),""),""))</f>
        <v/>
      </c>
      <c r="Q65" s="130" t="str">
        <f aca="false">IF($A65="","",IF((DATE(YEAR($E65),MONTH($E65),1)&lt;=DATE(2027,2,1)),IF((MOD(DATEDIF(DATE(YEAR($E65),MONTH($E65),1),DATE(2027,2,1),"m"),IF($D65="Quarterly",3,IF($D65="Annual",12,1)))=0),IF((COUNTIFS(Xero_Raw!$D$4:$D$5003,$A65,Xero_Raw!$G$4:$G$5003,"*Subscription*",Xero_Raw!$A$4:$A$5003,"&gt;="&amp;DATE(2027,2,1),Xero_Raw!$A$4:$A$5003,"&lt;"&amp;EDATE(DATE(2027,2,1),1))+COUNTIFS(Customer_Invoices_Upload!$E$4:$E$5003,$A65,Customer_Invoices_Upload!$G$4:$G$5003,"*Subscription*",Customer_Invoices_Upload!$B$4:$B$5003,"&gt;="&amp;DATE(2027,2,1),Customer_Invoices_Upload!$B$4:$B$5003,"&lt;"&amp;EDATE(DATE(2027,2,1),1))+COUNTIFS(Stripe_Invoices_Upload!$D$4:$D$5003,$A65,Stripe_Invoices_Upload!$E$4:$E$5003,"*Subscription*",Stripe_Invoices_Upload!$A$4:$A$5003,"&gt;="&amp;DATE(2027,2,1),Stripe_Invoices_Upload!$A$4:$A$5003,"&lt;"&amp;EDATE(DATE(2027,2,1),1)))&gt;0,"✓ Invoiced","⚠ Due"),""),""))</f>
        <v/>
      </c>
      <c r="R65" s="130" t="str">
        <f aca="false">IF($A65="","",IF((DATE(YEAR($E65),MONTH($E65),1)&lt;=DATE(2027,3,1)),IF((MOD(DATEDIF(DATE(YEAR($E65),MONTH($E65),1),DATE(2027,3,1),"m"),IF($D65="Quarterly",3,IF($D65="Annual",12,1)))=0),IF((COUNTIFS(Xero_Raw!$D$4:$D$5003,$A65,Xero_Raw!$G$4:$G$5003,"*Subscription*",Xero_Raw!$A$4:$A$5003,"&gt;="&amp;DATE(2027,3,1),Xero_Raw!$A$4:$A$5003,"&lt;"&amp;EDATE(DATE(2027,3,1),1))+COUNTIFS(Customer_Invoices_Upload!$E$4:$E$5003,$A65,Customer_Invoices_Upload!$G$4:$G$5003,"*Subscription*",Customer_Invoices_Upload!$B$4:$B$5003,"&gt;="&amp;DATE(2027,3,1),Customer_Invoices_Upload!$B$4:$B$5003,"&lt;"&amp;EDATE(DATE(2027,3,1),1))+COUNTIFS(Stripe_Invoices_Upload!$D$4:$D$5003,$A65,Stripe_Invoices_Upload!$E$4:$E$5003,"*Subscription*",Stripe_Invoices_Upload!$A$4:$A$5003,"&gt;="&amp;DATE(2027,3,1),Stripe_Invoices_Upload!$A$4:$A$5003,"&lt;"&amp;EDATE(DATE(2027,3,1),1)))&gt;0,"✓ Invoiced","⚠ Due"),""),""))</f>
        <v/>
      </c>
    </row>
    <row r="66" customFormat="false" ht="15" hidden="false" customHeight="false" outlineLevel="0" collapsed="false">
      <c r="A66" s="39"/>
      <c r="B66" s="39"/>
      <c r="C66" s="40"/>
      <c r="D66" s="39"/>
      <c r="E66" s="38"/>
      <c r="F66" s="129" t="str">
        <f aca="true">IF($A66="","",EDATE($E66,DATEDIF($E66,TODAY(),"m")+1))</f>
        <v/>
      </c>
      <c r="G66" s="130" t="str">
        <f aca="false">IF($A66="","",IF((DATE(YEAR($E66),MONTH($E66),1)&lt;=DATE(2026,4,1)),IF((MOD(DATEDIF(DATE(YEAR($E66),MONTH($E66),1),DATE(2026,4,1),"m"),IF($D66="Quarterly",3,IF($D66="Annual",12,1)))=0),IF((COUNTIFS(Xero_Raw!$D$4:$D$5003,$A66,Xero_Raw!$G$4:$G$5003,"*Subscription*",Xero_Raw!$A$4:$A$5003,"&gt;="&amp;DATE(2026,4,1),Xero_Raw!$A$4:$A$5003,"&lt;"&amp;EDATE(DATE(2026,4,1),1))+COUNTIFS(Customer_Invoices_Upload!$E$4:$E$5003,$A66,Customer_Invoices_Upload!$G$4:$G$5003,"*Subscription*",Customer_Invoices_Upload!$B$4:$B$5003,"&gt;="&amp;DATE(2026,4,1),Customer_Invoices_Upload!$B$4:$B$5003,"&lt;"&amp;EDATE(DATE(2026,4,1),1))+COUNTIFS(Stripe_Invoices_Upload!$D$4:$D$5003,$A66,Stripe_Invoices_Upload!$E$4:$E$5003,"*Subscription*",Stripe_Invoices_Upload!$A$4:$A$5003,"&gt;="&amp;DATE(2026,4,1),Stripe_Invoices_Upload!$A$4:$A$5003,"&lt;"&amp;EDATE(DATE(2026,4,1),1)))&gt;0,"✓ Invoiced","⚠ Due"),""),""))</f>
        <v/>
      </c>
      <c r="H66" s="130" t="str">
        <f aca="false">IF($A66="","",IF((DATE(YEAR($E66),MONTH($E66),1)&lt;=DATE(2026,5,1)),IF((MOD(DATEDIF(DATE(YEAR($E66),MONTH($E66),1),DATE(2026,5,1),"m"),IF($D66="Quarterly",3,IF($D66="Annual",12,1)))=0),IF((COUNTIFS(Xero_Raw!$D$4:$D$5003,$A66,Xero_Raw!$G$4:$G$5003,"*Subscription*",Xero_Raw!$A$4:$A$5003,"&gt;="&amp;DATE(2026,5,1),Xero_Raw!$A$4:$A$5003,"&lt;"&amp;EDATE(DATE(2026,5,1),1))+COUNTIFS(Customer_Invoices_Upload!$E$4:$E$5003,$A66,Customer_Invoices_Upload!$G$4:$G$5003,"*Subscription*",Customer_Invoices_Upload!$B$4:$B$5003,"&gt;="&amp;DATE(2026,5,1),Customer_Invoices_Upload!$B$4:$B$5003,"&lt;"&amp;EDATE(DATE(2026,5,1),1))+COUNTIFS(Stripe_Invoices_Upload!$D$4:$D$5003,$A66,Stripe_Invoices_Upload!$E$4:$E$5003,"*Subscription*",Stripe_Invoices_Upload!$A$4:$A$5003,"&gt;="&amp;DATE(2026,5,1),Stripe_Invoices_Upload!$A$4:$A$5003,"&lt;"&amp;EDATE(DATE(2026,5,1),1)))&gt;0,"✓ Invoiced","⚠ Due"),""),""))</f>
        <v/>
      </c>
      <c r="I66" s="130" t="str">
        <f aca="false">IF($A66="","",IF((DATE(YEAR($E66),MONTH($E66),1)&lt;=DATE(2026,6,1)),IF((MOD(DATEDIF(DATE(YEAR($E66),MONTH($E66),1),DATE(2026,6,1),"m"),IF($D66="Quarterly",3,IF($D66="Annual",12,1)))=0),IF((COUNTIFS(Xero_Raw!$D$4:$D$5003,$A66,Xero_Raw!$G$4:$G$5003,"*Subscription*",Xero_Raw!$A$4:$A$5003,"&gt;="&amp;DATE(2026,6,1),Xero_Raw!$A$4:$A$5003,"&lt;"&amp;EDATE(DATE(2026,6,1),1))+COUNTIFS(Customer_Invoices_Upload!$E$4:$E$5003,$A66,Customer_Invoices_Upload!$G$4:$G$5003,"*Subscription*",Customer_Invoices_Upload!$B$4:$B$5003,"&gt;="&amp;DATE(2026,6,1),Customer_Invoices_Upload!$B$4:$B$5003,"&lt;"&amp;EDATE(DATE(2026,6,1),1))+COUNTIFS(Stripe_Invoices_Upload!$D$4:$D$5003,$A66,Stripe_Invoices_Upload!$E$4:$E$5003,"*Subscription*",Stripe_Invoices_Upload!$A$4:$A$5003,"&gt;="&amp;DATE(2026,6,1),Stripe_Invoices_Upload!$A$4:$A$5003,"&lt;"&amp;EDATE(DATE(2026,6,1),1)))&gt;0,"✓ Invoiced","⚠ Due"),""),""))</f>
        <v/>
      </c>
      <c r="J66" s="130" t="str">
        <f aca="false">IF($A66="","",IF((DATE(YEAR($E66),MONTH($E66),1)&lt;=DATE(2026,7,1)),IF((MOD(DATEDIF(DATE(YEAR($E66),MONTH($E66),1),DATE(2026,7,1),"m"),IF($D66="Quarterly",3,IF($D66="Annual",12,1)))=0),IF((COUNTIFS(Xero_Raw!$D$4:$D$5003,$A66,Xero_Raw!$G$4:$G$5003,"*Subscription*",Xero_Raw!$A$4:$A$5003,"&gt;="&amp;DATE(2026,7,1),Xero_Raw!$A$4:$A$5003,"&lt;"&amp;EDATE(DATE(2026,7,1),1))+COUNTIFS(Customer_Invoices_Upload!$E$4:$E$5003,$A66,Customer_Invoices_Upload!$G$4:$G$5003,"*Subscription*",Customer_Invoices_Upload!$B$4:$B$5003,"&gt;="&amp;DATE(2026,7,1),Customer_Invoices_Upload!$B$4:$B$5003,"&lt;"&amp;EDATE(DATE(2026,7,1),1))+COUNTIFS(Stripe_Invoices_Upload!$D$4:$D$5003,$A66,Stripe_Invoices_Upload!$E$4:$E$5003,"*Subscription*",Stripe_Invoices_Upload!$A$4:$A$5003,"&gt;="&amp;DATE(2026,7,1),Stripe_Invoices_Upload!$A$4:$A$5003,"&lt;"&amp;EDATE(DATE(2026,7,1),1)))&gt;0,"✓ Invoiced","⚠ Due"),""),""))</f>
        <v/>
      </c>
      <c r="K66" s="130" t="str">
        <f aca="false">IF($A66="","",IF((DATE(YEAR($E66),MONTH($E66),1)&lt;=DATE(2026,8,1)),IF((MOD(DATEDIF(DATE(YEAR($E66),MONTH($E66),1),DATE(2026,8,1),"m"),IF($D66="Quarterly",3,IF($D66="Annual",12,1)))=0),IF((COUNTIFS(Xero_Raw!$D$4:$D$5003,$A66,Xero_Raw!$G$4:$G$5003,"*Subscription*",Xero_Raw!$A$4:$A$5003,"&gt;="&amp;DATE(2026,8,1),Xero_Raw!$A$4:$A$5003,"&lt;"&amp;EDATE(DATE(2026,8,1),1))+COUNTIFS(Customer_Invoices_Upload!$E$4:$E$5003,$A66,Customer_Invoices_Upload!$G$4:$G$5003,"*Subscription*",Customer_Invoices_Upload!$B$4:$B$5003,"&gt;="&amp;DATE(2026,8,1),Customer_Invoices_Upload!$B$4:$B$5003,"&lt;"&amp;EDATE(DATE(2026,8,1),1))+COUNTIFS(Stripe_Invoices_Upload!$D$4:$D$5003,$A66,Stripe_Invoices_Upload!$E$4:$E$5003,"*Subscription*",Stripe_Invoices_Upload!$A$4:$A$5003,"&gt;="&amp;DATE(2026,8,1),Stripe_Invoices_Upload!$A$4:$A$5003,"&lt;"&amp;EDATE(DATE(2026,8,1),1)))&gt;0,"✓ Invoiced","⚠ Due"),""),""))</f>
        <v/>
      </c>
      <c r="L66" s="130" t="str">
        <f aca="false">IF($A66="","",IF((DATE(YEAR($E66),MONTH($E66),1)&lt;=DATE(2026,9,1)),IF((MOD(DATEDIF(DATE(YEAR($E66),MONTH($E66),1),DATE(2026,9,1),"m"),IF($D66="Quarterly",3,IF($D66="Annual",12,1)))=0),IF((COUNTIFS(Xero_Raw!$D$4:$D$5003,$A66,Xero_Raw!$G$4:$G$5003,"*Subscription*",Xero_Raw!$A$4:$A$5003,"&gt;="&amp;DATE(2026,9,1),Xero_Raw!$A$4:$A$5003,"&lt;"&amp;EDATE(DATE(2026,9,1),1))+COUNTIFS(Customer_Invoices_Upload!$E$4:$E$5003,$A66,Customer_Invoices_Upload!$G$4:$G$5003,"*Subscription*",Customer_Invoices_Upload!$B$4:$B$5003,"&gt;="&amp;DATE(2026,9,1),Customer_Invoices_Upload!$B$4:$B$5003,"&lt;"&amp;EDATE(DATE(2026,9,1),1))+COUNTIFS(Stripe_Invoices_Upload!$D$4:$D$5003,$A66,Stripe_Invoices_Upload!$E$4:$E$5003,"*Subscription*",Stripe_Invoices_Upload!$A$4:$A$5003,"&gt;="&amp;DATE(2026,9,1),Stripe_Invoices_Upload!$A$4:$A$5003,"&lt;"&amp;EDATE(DATE(2026,9,1),1)))&gt;0,"✓ Invoiced","⚠ Due"),""),""))</f>
        <v/>
      </c>
      <c r="M66" s="130" t="str">
        <f aca="false">IF($A66="","",IF((DATE(YEAR($E66),MONTH($E66),1)&lt;=DATE(2026,10,1)),IF((MOD(DATEDIF(DATE(YEAR($E66),MONTH($E66),1),DATE(2026,10,1),"m"),IF($D66="Quarterly",3,IF($D66="Annual",12,1)))=0),IF((COUNTIFS(Xero_Raw!$D$4:$D$5003,$A66,Xero_Raw!$G$4:$G$5003,"*Subscription*",Xero_Raw!$A$4:$A$5003,"&gt;="&amp;DATE(2026,10,1),Xero_Raw!$A$4:$A$5003,"&lt;"&amp;EDATE(DATE(2026,10,1),1))+COUNTIFS(Customer_Invoices_Upload!$E$4:$E$5003,$A66,Customer_Invoices_Upload!$G$4:$G$5003,"*Subscription*",Customer_Invoices_Upload!$B$4:$B$5003,"&gt;="&amp;DATE(2026,10,1),Customer_Invoices_Upload!$B$4:$B$5003,"&lt;"&amp;EDATE(DATE(2026,10,1),1))+COUNTIFS(Stripe_Invoices_Upload!$D$4:$D$5003,$A66,Stripe_Invoices_Upload!$E$4:$E$5003,"*Subscription*",Stripe_Invoices_Upload!$A$4:$A$5003,"&gt;="&amp;DATE(2026,10,1),Stripe_Invoices_Upload!$A$4:$A$5003,"&lt;"&amp;EDATE(DATE(2026,10,1),1)))&gt;0,"✓ Invoiced","⚠ Due"),""),""))</f>
        <v/>
      </c>
      <c r="N66" s="130" t="str">
        <f aca="false">IF($A66="","",IF((DATE(YEAR($E66),MONTH($E66),1)&lt;=DATE(2026,11,1)),IF((MOD(DATEDIF(DATE(YEAR($E66),MONTH($E66),1),DATE(2026,11,1),"m"),IF($D66="Quarterly",3,IF($D66="Annual",12,1)))=0),IF((COUNTIFS(Xero_Raw!$D$4:$D$5003,$A66,Xero_Raw!$G$4:$G$5003,"*Subscription*",Xero_Raw!$A$4:$A$5003,"&gt;="&amp;DATE(2026,11,1),Xero_Raw!$A$4:$A$5003,"&lt;"&amp;EDATE(DATE(2026,11,1),1))+COUNTIFS(Customer_Invoices_Upload!$E$4:$E$5003,$A66,Customer_Invoices_Upload!$G$4:$G$5003,"*Subscription*",Customer_Invoices_Upload!$B$4:$B$5003,"&gt;="&amp;DATE(2026,11,1),Customer_Invoices_Upload!$B$4:$B$5003,"&lt;"&amp;EDATE(DATE(2026,11,1),1))+COUNTIFS(Stripe_Invoices_Upload!$D$4:$D$5003,$A66,Stripe_Invoices_Upload!$E$4:$E$5003,"*Subscription*",Stripe_Invoices_Upload!$A$4:$A$5003,"&gt;="&amp;DATE(2026,11,1),Stripe_Invoices_Upload!$A$4:$A$5003,"&lt;"&amp;EDATE(DATE(2026,11,1),1)))&gt;0,"✓ Invoiced","⚠ Due"),""),""))</f>
        <v/>
      </c>
      <c r="O66" s="130" t="str">
        <f aca="false">IF($A66="","",IF((DATE(YEAR($E66),MONTH($E66),1)&lt;=DATE(2026,12,1)),IF((MOD(DATEDIF(DATE(YEAR($E66),MONTH($E66),1),DATE(2026,12,1),"m"),IF($D66="Quarterly",3,IF($D66="Annual",12,1)))=0),IF((COUNTIFS(Xero_Raw!$D$4:$D$5003,$A66,Xero_Raw!$G$4:$G$5003,"*Subscription*",Xero_Raw!$A$4:$A$5003,"&gt;="&amp;DATE(2026,12,1),Xero_Raw!$A$4:$A$5003,"&lt;"&amp;EDATE(DATE(2026,12,1),1))+COUNTIFS(Customer_Invoices_Upload!$E$4:$E$5003,$A66,Customer_Invoices_Upload!$G$4:$G$5003,"*Subscription*",Customer_Invoices_Upload!$B$4:$B$5003,"&gt;="&amp;DATE(2026,12,1),Customer_Invoices_Upload!$B$4:$B$5003,"&lt;"&amp;EDATE(DATE(2026,12,1),1))+COUNTIFS(Stripe_Invoices_Upload!$D$4:$D$5003,$A66,Stripe_Invoices_Upload!$E$4:$E$5003,"*Subscription*",Stripe_Invoices_Upload!$A$4:$A$5003,"&gt;="&amp;DATE(2026,12,1),Stripe_Invoices_Upload!$A$4:$A$5003,"&lt;"&amp;EDATE(DATE(2026,12,1),1)))&gt;0,"✓ Invoiced","⚠ Due"),""),""))</f>
        <v/>
      </c>
      <c r="P66" s="130" t="str">
        <f aca="false">IF($A66="","",IF((DATE(YEAR($E66),MONTH($E66),1)&lt;=DATE(2027,1,1)),IF((MOD(DATEDIF(DATE(YEAR($E66),MONTH($E66),1),DATE(2027,1,1),"m"),IF($D66="Quarterly",3,IF($D66="Annual",12,1)))=0),IF((COUNTIFS(Xero_Raw!$D$4:$D$5003,$A66,Xero_Raw!$G$4:$G$5003,"*Subscription*",Xero_Raw!$A$4:$A$5003,"&gt;="&amp;DATE(2027,1,1),Xero_Raw!$A$4:$A$5003,"&lt;"&amp;EDATE(DATE(2027,1,1),1))+COUNTIFS(Customer_Invoices_Upload!$E$4:$E$5003,$A66,Customer_Invoices_Upload!$G$4:$G$5003,"*Subscription*",Customer_Invoices_Upload!$B$4:$B$5003,"&gt;="&amp;DATE(2027,1,1),Customer_Invoices_Upload!$B$4:$B$5003,"&lt;"&amp;EDATE(DATE(2027,1,1),1))+COUNTIFS(Stripe_Invoices_Upload!$D$4:$D$5003,$A66,Stripe_Invoices_Upload!$E$4:$E$5003,"*Subscription*",Stripe_Invoices_Upload!$A$4:$A$5003,"&gt;="&amp;DATE(2027,1,1),Stripe_Invoices_Upload!$A$4:$A$5003,"&lt;"&amp;EDATE(DATE(2027,1,1),1)))&gt;0,"✓ Invoiced","⚠ Due"),""),""))</f>
        <v/>
      </c>
      <c r="Q66" s="130" t="str">
        <f aca="false">IF($A66="","",IF((DATE(YEAR($E66),MONTH($E66),1)&lt;=DATE(2027,2,1)),IF((MOD(DATEDIF(DATE(YEAR($E66),MONTH($E66),1),DATE(2027,2,1),"m"),IF($D66="Quarterly",3,IF($D66="Annual",12,1)))=0),IF((COUNTIFS(Xero_Raw!$D$4:$D$5003,$A66,Xero_Raw!$G$4:$G$5003,"*Subscription*",Xero_Raw!$A$4:$A$5003,"&gt;="&amp;DATE(2027,2,1),Xero_Raw!$A$4:$A$5003,"&lt;"&amp;EDATE(DATE(2027,2,1),1))+COUNTIFS(Customer_Invoices_Upload!$E$4:$E$5003,$A66,Customer_Invoices_Upload!$G$4:$G$5003,"*Subscription*",Customer_Invoices_Upload!$B$4:$B$5003,"&gt;="&amp;DATE(2027,2,1),Customer_Invoices_Upload!$B$4:$B$5003,"&lt;"&amp;EDATE(DATE(2027,2,1),1))+COUNTIFS(Stripe_Invoices_Upload!$D$4:$D$5003,$A66,Stripe_Invoices_Upload!$E$4:$E$5003,"*Subscription*",Stripe_Invoices_Upload!$A$4:$A$5003,"&gt;="&amp;DATE(2027,2,1),Stripe_Invoices_Upload!$A$4:$A$5003,"&lt;"&amp;EDATE(DATE(2027,2,1),1)))&gt;0,"✓ Invoiced","⚠ Due"),""),""))</f>
        <v/>
      </c>
      <c r="R66" s="130" t="str">
        <f aca="false">IF($A66="","",IF((DATE(YEAR($E66),MONTH($E66),1)&lt;=DATE(2027,3,1)),IF((MOD(DATEDIF(DATE(YEAR($E66),MONTH($E66),1),DATE(2027,3,1),"m"),IF($D66="Quarterly",3,IF($D66="Annual",12,1)))=0),IF((COUNTIFS(Xero_Raw!$D$4:$D$5003,$A66,Xero_Raw!$G$4:$G$5003,"*Subscription*",Xero_Raw!$A$4:$A$5003,"&gt;="&amp;DATE(2027,3,1),Xero_Raw!$A$4:$A$5003,"&lt;"&amp;EDATE(DATE(2027,3,1),1))+COUNTIFS(Customer_Invoices_Upload!$E$4:$E$5003,$A66,Customer_Invoices_Upload!$G$4:$G$5003,"*Subscription*",Customer_Invoices_Upload!$B$4:$B$5003,"&gt;="&amp;DATE(2027,3,1),Customer_Invoices_Upload!$B$4:$B$5003,"&lt;"&amp;EDATE(DATE(2027,3,1),1))+COUNTIFS(Stripe_Invoices_Upload!$D$4:$D$5003,$A66,Stripe_Invoices_Upload!$E$4:$E$5003,"*Subscription*",Stripe_Invoices_Upload!$A$4:$A$5003,"&gt;="&amp;DATE(2027,3,1),Stripe_Invoices_Upload!$A$4:$A$5003,"&lt;"&amp;EDATE(DATE(2027,3,1),1)))&gt;0,"✓ Invoiced","⚠ Due"),""),""))</f>
        <v/>
      </c>
    </row>
    <row r="67" customFormat="false" ht="15" hidden="false" customHeight="false" outlineLevel="0" collapsed="false">
      <c r="A67" s="39"/>
      <c r="B67" s="39"/>
      <c r="C67" s="40"/>
      <c r="D67" s="39"/>
      <c r="E67" s="38"/>
      <c r="F67" s="129" t="str">
        <f aca="true">IF($A67="","",EDATE($E67,DATEDIF($E67,TODAY(),"m")+1))</f>
        <v/>
      </c>
      <c r="G67" s="130" t="str">
        <f aca="false">IF($A67="","",IF((DATE(YEAR($E67),MONTH($E67),1)&lt;=DATE(2026,4,1)),IF((MOD(DATEDIF(DATE(YEAR($E67),MONTH($E67),1),DATE(2026,4,1),"m"),IF($D67="Quarterly",3,IF($D67="Annual",12,1)))=0),IF((COUNTIFS(Xero_Raw!$D$4:$D$5003,$A67,Xero_Raw!$G$4:$G$5003,"*Subscription*",Xero_Raw!$A$4:$A$5003,"&gt;="&amp;DATE(2026,4,1),Xero_Raw!$A$4:$A$5003,"&lt;"&amp;EDATE(DATE(2026,4,1),1))+COUNTIFS(Customer_Invoices_Upload!$E$4:$E$5003,$A67,Customer_Invoices_Upload!$G$4:$G$5003,"*Subscription*",Customer_Invoices_Upload!$B$4:$B$5003,"&gt;="&amp;DATE(2026,4,1),Customer_Invoices_Upload!$B$4:$B$5003,"&lt;"&amp;EDATE(DATE(2026,4,1),1))+COUNTIFS(Stripe_Invoices_Upload!$D$4:$D$5003,$A67,Stripe_Invoices_Upload!$E$4:$E$5003,"*Subscription*",Stripe_Invoices_Upload!$A$4:$A$5003,"&gt;="&amp;DATE(2026,4,1),Stripe_Invoices_Upload!$A$4:$A$5003,"&lt;"&amp;EDATE(DATE(2026,4,1),1)))&gt;0,"✓ Invoiced","⚠ Due"),""),""))</f>
        <v/>
      </c>
      <c r="H67" s="130" t="str">
        <f aca="false">IF($A67="","",IF((DATE(YEAR($E67),MONTH($E67),1)&lt;=DATE(2026,5,1)),IF((MOD(DATEDIF(DATE(YEAR($E67),MONTH($E67),1),DATE(2026,5,1),"m"),IF($D67="Quarterly",3,IF($D67="Annual",12,1)))=0),IF((COUNTIFS(Xero_Raw!$D$4:$D$5003,$A67,Xero_Raw!$G$4:$G$5003,"*Subscription*",Xero_Raw!$A$4:$A$5003,"&gt;="&amp;DATE(2026,5,1),Xero_Raw!$A$4:$A$5003,"&lt;"&amp;EDATE(DATE(2026,5,1),1))+COUNTIFS(Customer_Invoices_Upload!$E$4:$E$5003,$A67,Customer_Invoices_Upload!$G$4:$G$5003,"*Subscription*",Customer_Invoices_Upload!$B$4:$B$5003,"&gt;="&amp;DATE(2026,5,1),Customer_Invoices_Upload!$B$4:$B$5003,"&lt;"&amp;EDATE(DATE(2026,5,1),1))+COUNTIFS(Stripe_Invoices_Upload!$D$4:$D$5003,$A67,Stripe_Invoices_Upload!$E$4:$E$5003,"*Subscription*",Stripe_Invoices_Upload!$A$4:$A$5003,"&gt;="&amp;DATE(2026,5,1),Stripe_Invoices_Upload!$A$4:$A$5003,"&lt;"&amp;EDATE(DATE(2026,5,1),1)))&gt;0,"✓ Invoiced","⚠ Due"),""),""))</f>
        <v/>
      </c>
      <c r="I67" s="130" t="str">
        <f aca="false">IF($A67="","",IF((DATE(YEAR($E67),MONTH($E67),1)&lt;=DATE(2026,6,1)),IF((MOD(DATEDIF(DATE(YEAR($E67),MONTH($E67),1),DATE(2026,6,1),"m"),IF($D67="Quarterly",3,IF($D67="Annual",12,1)))=0),IF((COUNTIFS(Xero_Raw!$D$4:$D$5003,$A67,Xero_Raw!$G$4:$G$5003,"*Subscription*",Xero_Raw!$A$4:$A$5003,"&gt;="&amp;DATE(2026,6,1),Xero_Raw!$A$4:$A$5003,"&lt;"&amp;EDATE(DATE(2026,6,1),1))+COUNTIFS(Customer_Invoices_Upload!$E$4:$E$5003,$A67,Customer_Invoices_Upload!$G$4:$G$5003,"*Subscription*",Customer_Invoices_Upload!$B$4:$B$5003,"&gt;="&amp;DATE(2026,6,1),Customer_Invoices_Upload!$B$4:$B$5003,"&lt;"&amp;EDATE(DATE(2026,6,1),1))+COUNTIFS(Stripe_Invoices_Upload!$D$4:$D$5003,$A67,Stripe_Invoices_Upload!$E$4:$E$5003,"*Subscription*",Stripe_Invoices_Upload!$A$4:$A$5003,"&gt;="&amp;DATE(2026,6,1),Stripe_Invoices_Upload!$A$4:$A$5003,"&lt;"&amp;EDATE(DATE(2026,6,1),1)))&gt;0,"✓ Invoiced","⚠ Due"),""),""))</f>
        <v/>
      </c>
      <c r="J67" s="130" t="str">
        <f aca="false">IF($A67="","",IF((DATE(YEAR($E67),MONTH($E67),1)&lt;=DATE(2026,7,1)),IF((MOD(DATEDIF(DATE(YEAR($E67),MONTH($E67),1),DATE(2026,7,1),"m"),IF($D67="Quarterly",3,IF($D67="Annual",12,1)))=0),IF((COUNTIFS(Xero_Raw!$D$4:$D$5003,$A67,Xero_Raw!$G$4:$G$5003,"*Subscription*",Xero_Raw!$A$4:$A$5003,"&gt;="&amp;DATE(2026,7,1),Xero_Raw!$A$4:$A$5003,"&lt;"&amp;EDATE(DATE(2026,7,1),1))+COUNTIFS(Customer_Invoices_Upload!$E$4:$E$5003,$A67,Customer_Invoices_Upload!$G$4:$G$5003,"*Subscription*",Customer_Invoices_Upload!$B$4:$B$5003,"&gt;="&amp;DATE(2026,7,1),Customer_Invoices_Upload!$B$4:$B$5003,"&lt;"&amp;EDATE(DATE(2026,7,1),1))+COUNTIFS(Stripe_Invoices_Upload!$D$4:$D$5003,$A67,Stripe_Invoices_Upload!$E$4:$E$5003,"*Subscription*",Stripe_Invoices_Upload!$A$4:$A$5003,"&gt;="&amp;DATE(2026,7,1),Stripe_Invoices_Upload!$A$4:$A$5003,"&lt;"&amp;EDATE(DATE(2026,7,1),1)))&gt;0,"✓ Invoiced","⚠ Due"),""),""))</f>
        <v/>
      </c>
      <c r="K67" s="130" t="str">
        <f aca="false">IF($A67="","",IF((DATE(YEAR($E67),MONTH($E67),1)&lt;=DATE(2026,8,1)),IF((MOD(DATEDIF(DATE(YEAR($E67),MONTH($E67),1),DATE(2026,8,1),"m"),IF($D67="Quarterly",3,IF($D67="Annual",12,1)))=0),IF((COUNTIFS(Xero_Raw!$D$4:$D$5003,$A67,Xero_Raw!$G$4:$G$5003,"*Subscription*",Xero_Raw!$A$4:$A$5003,"&gt;="&amp;DATE(2026,8,1),Xero_Raw!$A$4:$A$5003,"&lt;"&amp;EDATE(DATE(2026,8,1),1))+COUNTIFS(Customer_Invoices_Upload!$E$4:$E$5003,$A67,Customer_Invoices_Upload!$G$4:$G$5003,"*Subscription*",Customer_Invoices_Upload!$B$4:$B$5003,"&gt;="&amp;DATE(2026,8,1),Customer_Invoices_Upload!$B$4:$B$5003,"&lt;"&amp;EDATE(DATE(2026,8,1),1))+COUNTIFS(Stripe_Invoices_Upload!$D$4:$D$5003,$A67,Stripe_Invoices_Upload!$E$4:$E$5003,"*Subscription*",Stripe_Invoices_Upload!$A$4:$A$5003,"&gt;="&amp;DATE(2026,8,1),Stripe_Invoices_Upload!$A$4:$A$5003,"&lt;"&amp;EDATE(DATE(2026,8,1),1)))&gt;0,"✓ Invoiced","⚠ Due"),""),""))</f>
        <v/>
      </c>
      <c r="L67" s="130" t="str">
        <f aca="false">IF($A67="","",IF((DATE(YEAR($E67),MONTH($E67),1)&lt;=DATE(2026,9,1)),IF((MOD(DATEDIF(DATE(YEAR($E67),MONTH($E67),1),DATE(2026,9,1),"m"),IF($D67="Quarterly",3,IF($D67="Annual",12,1)))=0),IF((COUNTIFS(Xero_Raw!$D$4:$D$5003,$A67,Xero_Raw!$G$4:$G$5003,"*Subscription*",Xero_Raw!$A$4:$A$5003,"&gt;="&amp;DATE(2026,9,1),Xero_Raw!$A$4:$A$5003,"&lt;"&amp;EDATE(DATE(2026,9,1),1))+COUNTIFS(Customer_Invoices_Upload!$E$4:$E$5003,$A67,Customer_Invoices_Upload!$G$4:$G$5003,"*Subscription*",Customer_Invoices_Upload!$B$4:$B$5003,"&gt;="&amp;DATE(2026,9,1),Customer_Invoices_Upload!$B$4:$B$5003,"&lt;"&amp;EDATE(DATE(2026,9,1),1))+COUNTIFS(Stripe_Invoices_Upload!$D$4:$D$5003,$A67,Stripe_Invoices_Upload!$E$4:$E$5003,"*Subscription*",Stripe_Invoices_Upload!$A$4:$A$5003,"&gt;="&amp;DATE(2026,9,1),Stripe_Invoices_Upload!$A$4:$A$5003,"&lt;"&amp;EDATE(DATE(2026,9,1),1)))&gt;0,"✓ Invoiced","⚠ Due"),""),""))</f>
        <v/>
      </c>
      <c r="M67" s="130" t="str">
        <f aca="false">IF($A67="","",IF((DATE(YEAR($E67),MONTH($E67),1)&lt;=DATE(2026,10,1)),IF((MOD(DATEDIF(DATE(YEAR($E67),MONTH($E67),1),DATE(2026,10,1),"m"),IF($D67="Quarterly",3,IF($D67="Annual",12,1)))=0),IF((COUNTIFS(Xero_Raw!$D$4:$D$5003,$A67,Xero_Raw!$G$4:$G$5003,"*Subscription*",Xero_Raw!$A$4:$A$5003,"&gt;="&amp;DATE(2026,10,1),Xero_Raw!$A$4:$A$5003,"&lt;"&amp;EDATE(DATE(2026,10,1),1))+COUNTIFS(Customer_Invoices_Upload!$E$4:$E$5003,$A67,Customer_Invoices_Upload!$G$4:$G$5003,"*Subscription*",Customer_Invoices_Upload!$B$4:$B$5003,"&gt;="&amp;DATE(2026,10,1),Customer_Invoices_Upload!$B$4:$B$5003,"&lt;"&amp;EDATE(DATE(2026,10,1),1))+COUNTIFS(Stripe_Invoices_Upload!$D$4:$D$5003,$A67,Stripe_Invoices_Upload!$E$4:$E$5003,"*Subscription*",Stripe_Invoices_Upload!$A$4:$A$5003,"&gt;="&amp;DATE(2026,10,1),Stripe_Invoices_Upload!$A$4:$A$5003,"&lt;"&amp;EDATE(DATE(2026,10,1),1)))&gt;0,"✓ Invoiced","⚠ Due"),""),""))</f>
        <v/>
      </c>
      <c r="N67" s="130" t="str">
        <f aca="false">IF($A67="","",IF((DATE(YEAR($E67),MONTH($E67),1)&lt;=DATE(2026,11,1)),IF((MOD(DATEDIF(DATE(YEAR($E67),MONTH($E67),1),DATE(2026,11,1),"m"),IF($D67="Quarterly",3,IF($D67="Annual",12,1)))=0),IF((COUNTIFS(Xero_Raw!$D$4:$D$5003,$A67,Xero_Raw!$G$4:$G$5003,"*Subscription*",Xero_Raw!$A$4:$A$5003,"&gt;="&amp;DATE(2026,11,1),Xero_Raw!$A$4:$A$5003,"&lt;"&amp;EDATE(DATE(2026,11,1),1))+COUNTIFS(Customer_Invoices_Upload!$E$4:$E$5003,$A67,Customer_Invoices_Upload!$G$4:$G$5003,"*Subscription*",Customer_Invoices_Upload!$B$4:$B$5003,"&gt;="&amp;DATE(2026,11,1),Customer_Invoices_Upload!$B$4:$B$5003,"&lt;"&amp;EDATE(DATE(2026,11,1),1))+COUNTIFS(Stripe_Invoices_Upload!$D$4:$D$5003,$A67,Stripe_Invoices_Upload!$E$4:$E$5003,"*Subscription*",Stripe_Invoices_Upload!$A$4:$A$5003,"&gt;="&amp;DATE(2026,11,1),Stripe_Invoices_Upload!$A$4:$A$5003,"&lt;"&amp;EDATE(DATE(2026,11,1),1)))&gt;0,"✓ Invoiced","⚠ Due"),""),""))</f>
        <v/>
      </c>
      <c r="O67" s="130" t="str">
        <f aca="false">IF($A67="","",IF((DATE(YEAR($E67),MONTH($E67),1)&lt;=DATE(2026,12,1)),IF((MOD(DATEDIF(DATE(YEAR($E67),MONTH($E67),1),DATE(2026,12,1),"m"),IF($D67="Quarterly",3,IF($D67="Annual",12,1)))=0),IF((COUNTIFS(Xero_Raw!$D$4:$D$5003,$A67,Xero_Raw!$G$4:$G$5003,"*Subscription*",Xero_Raw!$A$4:$A$5003,"&gt;="&amp;DATE(2026,12,1),Xero_Raw!$A$4:$A$5003,"&lt;"&amp;EDATE(DATE(2026,12,1),1))+COUNTIFS(Customer_Invoices_Upload!$E$4:$E$5003,$A67,Customer_Invoices_Upload!$G$4:$G$5003,"*Subscription*",Customer_Invoices_Upload!$B$4:$B$5003,"&gt;="&amp;DATE(2026,12,1),Customer_Invoices_Upload!$B$4:$B$5003,"&lt;"&amp;EDATE(DATE(2026,12,1),1))+COUNTIFS(Stripe_Invoices_Upload!$D$4:$D$5003,$A67,Stripe_Invoices_Upload!$E$4:$E$5003,"*Subscription*",Stripe_Invoices_Upload!$A$4:$A$5003,"&gt;="&amp;DATE(2026,12,1),Stripe_Invoices_Upload!$A$4:$A$5003,"&lt;"&amp;EDATE(DATE(2026,12,1),1)))&gt;0,"✓ Invoiced","⚠ Due"),""),""))</f>
        <v/>
      </c>
      <c r="P67" s="130" t="str">
        <f aca="false">IF($A67="","",IF((DATE(YEAR($E67),MONTH($E67),1)&lt;=DATE(2027,1,1)),IF((MOD(DATEDIF(DATE(YEAR($E67),MONTH($E67),1),DATE(2027,1,1),"m"),IF($D67="Quarterly",3,IF($D67="Annual",12,1)))=0),IF((COUNTIFS(Xero_Raw!$D$4:$D$5003,$A67,Xero_Raw!$G$4:$G$5003,"*Subscription*",Xero_Raw!$A$4:$A$5003,"&gt;="&amp;DATE(2027,1,1),Xero_Raw!$A$4:$A$5003,"&lt;"&amp;EDATE(DATE(2027,1,1),1))+COUNTIFS(Customer_Invoices_Upload!$E$4:$E$5003,$A67,Customer_Invoices_Upload!$G$4:$G$5003,"*Subscription*",Customer_Invoices_Upload!$B$4:$B$5003,"&gt;="&amp;DATE(2027,1,1),Customer_Invoices_Upload!$B$4:$B$5003,"&lt;"&amp;EDATE(DATE(2027,1,1),1))+COUNTIFS(Stripe_Invoices_Upload!$D$4:$D$5003,$A67,Stripe_Invoices_Upload!$E$4:$E$5003,"*Subscription*",Stripe_Invoices_Upload!$A$4:$A$5003,"&gt;="&amp;DATE(2027,1,1),Stripe_Invoices_Upload!$A$4:$A$5003,"&lt;"&amp;EDATE(DATE(2027,1,1),1)))&gt;0,"✓ Invoiced","⚠ Due"),""),""))</f>
        <v/>
      </c>
      <c r="Q67" s="130" t="str">
        <f aca="false">IF($A67="","",IF((DATE(YEAR($E67),MONTH($E67),1)&lt;=DATE(2027,2,1)),IF((MOD(DATEDIF(DATE(YEAR($E67),MONTH($E67),1),DATE(2027,2,1),"m"),IF($D67="Quarterly",3,IF($D67="Annual",12,1)))=0),IF((COUNTIFS(Xero_Raw!$D$4:$D$5003,$A67,Xero_Raw!$G$4:$G$5003,"*Subscription*",Xero_Raw!$A$4:$A$5003,"&gt;="&amp;DATE(2027,2,1),Xero_Raw!$A$4:$A$5003,"&lt;"&amp;EDATE(DATE(2027,2,1),1))+COUNTIFS(Customer_Invoices_Upload!$E$4:$E$5003,$A67,Customer_Invoices_Upload!$G$4:$G$5003,"*Subscription*",Customer_Invoices_Upload!$B$4:$B$5003,"&gt;="&amp;DATE(2027,2,1),Customer_Invoices_Upload!$B$4:$B$5003,"&lt;"&amp;EDATE(DATE(2027,2,1),1))+COUNTIFS(Stripe_Invoices_Upload!$D$4:$D$5003,$A67,Stripe_Invoices_Upload!$E$4:$E$5003,"*Subscription*",Stripe_Invoices_Upload!$A$4:$A$5003,"&gt;="&amp;DATE(2027,2,1),Stripe_Invoices_Upload!$A$4:$A$5003,"&lt;"&amp;EDATE(DATE(2027,2,1),1)))&gt;0,"✓ Invoiced","⚠ Due"),""),""))</f>
        <v/>
      </c>
      <c r="R67" s="130" t="str">
        <f aca="false">IF($A67="","",IF((DATE(YEAR($E67),MONTH($E67),1)&lt;=DATE(2027,3,1)),IF((MOD(DATEDIF(DATE(YEAR($E67),MONTH($E67),1),DATE(2027,3,1),"m"),IF($D67="Quarterly",3,IF($D67="Annual",12,1)))=0),IF((COUNTIFS(Xero_Raw!$D$4:$D$5003,$A67,Xero_Raw!$G$4:$G$5003,"*Subscription*",Xero_Raw!$A$4:$A$5003,"&gt;="&amp;DATE(2027,3,1),Xero_Raw!$A$4:$A$5003,"&lt;"&amp;EDATE(DATE(2027,3,1),1))+COUNTIFS(Customer_Invoices_Upload!$E$4:$E$5003,$A67,Customer_Invoices_Upload!$G$4:$G$5003,"*Subscription*",Customer_Invoices_Upload!$B$4:$B$5003,"&gt;="&amp;DATE(2027,3,1),Customer_Invoices_Upload!$B$4:$B$5003,"&lt;"&amp;EDATE(DATE(2027,3,1),1))+COUNTIFS(Stripe_Invoices_Upload!$D$4:$D$5003,$A67,Stripe_Invoices_Upload!$E$4:$E$5003,"*Subscription*",Stripe_Invoices_Upload!$A$4:$A$5003,"&gt;="&amp;DATE(2027,3,1),Stripe_Invoices_Upload!$A$4:$A$5003,"&lt;"&amp;EDATE(DATE(2027,3,1),1)))&gt;0,"✓ Invoiced","⚠ Due"),""),""))</f>
        <v/>
      </c>
    </row>
    <row r="68" customFormat="false" ht="15" hidden="false" customHeight="false" outlineLevel="0" collapsed="false">
      <c r="A68" s="39"/>
      <c r="B68" s="39"/>
      <c r="C68" s="40"/>
      <c r="D68" s="39"/>
      <c r="E68" s="38"/>
      <c r="F68" s="129" t="str">
        <f aca="true">IF($A68="","",EDATE($E68,DATEDIF($E68,TODAY(),"m")+1))</f>
        <v/>
      </c>
      <c r="G68" s="130" t="str">
        <f aca="false">IF($A68="","",IF((DATE(YEAR($E68),MONTH($E68),1)&lt;=DATE(2026,4,1)),IF((MOD(DATEDIF(DATE(YEAR($E68),MONTH($E68),1),DATE(2026,4,1),"m"),IF($D68="Quarterly",3,IF($D68="Annual",12,1)))=0),IF((COUNTIFS(Xero_Raw!$D$4:$D$5003,$A68,Xero_Raw!$G$4:$G$5003,"*Subscription*",Xero_Raw!$A$4:$A$5003,"&gt;="&amp;DATE(2026,4,1),Xero_Raw!$A$4:$A$5003,"&lt;"&amp;EDATE(DATE(2026,4,1),1))+COUNTIFS(Customer_Invoices_Upload!$E$4:$E$5003,$A68,Customer_Invoices_Upload!$G$4:$G$5003,"*Subscription*",Customer_Invoices_Upload!$B$4:$B$5003,"&gt;="&amp;DATE(2026,4,1),Customer_Invoices_Upload!$B$4:$B$5003,"&lt;"&amp;EDATE(DATE(2026,4,1),1))+COUNTIFS(Stripe_Invoices_Upload!$D$4:$D$5003,$A68,Stripe_Invoices_Upload!$E$4:$E$5003,"*Subscription*",Stripe_Invoices_Upload!$A$4:$A$5003,"&gt;="&amp;DATE(2026,4,1),Stripe_Invoices_Upload!$A$4:$A$5003,"&lt;"&amp;EDATE(DATE(2026,4,1),1)))&gt;0,"✓ Invoiced","⚠ Due"),""),""))</f>
        <v/>
      </c>
      <c r="H68" s="130" t="str">
        <f aca="false">IF($A68="","",IF((DATE(YEAR($E68),MONTH($E68),1)&lt;=DATE(2026,5,1)),IF((MOD(DATEDIF(DATE(YEAR($E68),MONTH($E68),1),DATE(2026,5,1),"m"),IF($D68="Quarterly",3,IF($D68="Annual",12,1)))=0),IF((COUNTIFS(Xero_Raw!$D$4:$D$5003,$A68,Xero_Raw!$G$4:$G$5003,"*Subscription*",Xero_Raw!$A$4:$A$5003,"&gt;="&amp;DATE(2026,5,1),Xero_Raw!$A$4:$A$5003,"&lt;"&amp;EDATE(DATE(2026,5,1),1))+COUNTIFS(Customer_Invoices_Upload!$E$4:$E$5003,$A68,Customer_Invoices_Upload!$G$4:$G$5003,"*Subscription*",Customer_Invoices_Upload!$B$4:$B$5003,"&gt;="&amp;DATE(2026,5,1),Customer_Invoices_Upload!$B$4:$B$5003,"&lt;"&amp;EDATE(DATE(2026,5,1),1))+COUNTIFS(Stripe_Invoices_Upload!$D$4:$D$5003,$A68,Stripe_Invoices_Upload!$E$4:$E$5003,"*Subscription*",Stripe_Invoices_Upload!$A$4:$A$5003,"&gt;="&amp;DATE(2026,5,1),Stripe_Invoices_Upload!$A$4:$A$5003,"&lt;"&amp;EDATE(DATE(2026,5,1),1)))&gt;0,"✓ Invoiced","⚠ Due"),""),""))</f>
        <v/>
      </c>
      <c r="I68" s="130" t="str">
        <f aca="false">IF($A68="","",IF((DATE(YEAR($E68),MONTH($E68),1)&lt;=DATE(2026,6,1)),IF((MOD(DATEDIF(DATE(YEAR($E68),MONTH($E68),1),DATE(2026,6,1),"m"),IF($D68="Quarterly",3,IF($D68="Annual",12,1)))=0),IF((COUNTIFS(Xero_Raw!$D$4:$D$5003,$A68,Xero_Raw!$G$4:$G$5003,"*Subscription*",Xero_Raw!$A$4:$A$5003,"&gt;="&amp;DATE(2026,6,1),Xero_Raw!$A$4:$A$5003,"&lt;"&amp;EDATE(DATE(2026,6,1),1))+COUNTIFS(Customer_Invoices_Upload!$E$4:$E$5003,$A68,Customer_Invoices_Upload!$G$4:$G$5003,"*Subscription*",Customer_Invoices_Upload!$B$4:$B$5003,"&gt;="&amp;DATE(2026,6,1),Customer_Invoices_Upload!$B$4:$B$5003,"&lt;"&amp;EDATE(DATE(2026,6,1),1))+COUNTIFS(Stripe_Invoices_Upload!$D$4:$D$5003,$A68,Stripe_Invoices_Upload!$E$4:$E$5003,"*Subscription*",Stripe_Invoices_Upload!$A$4:$A$5003,"&gt;="&amp;DATE(2026,6,1),Stripe_Invoices_Upload!$A$4:$A$5003,"&lt;"&amp;EDATE(DATE(2026,6,1),1)))&gt;0,"✓ Invoiced","⚠ Due"),""),""))</f>
        <v/>
      </c>
      <c r="J68" s="130" t="str">
        <f aca="false">IF($A68="","",IF((DATE(YEAR($E68),MONTH($E68),1)&lt;=DATE(2026,7,1)),IF((MOD(DATEDIF(DATE(YEAR($E68),MONTH($E68),1),DATE(2026,7,1),"m"),IF($D68="Quarterly",3,IF($D68="Annual",12,1)))=0),IF((COUNTIFS(Xero_Raw!$D$4:$D$5003,$A68,Xero_Raw!$G$4:$G$5003,"*Subscription*",Xero_Raw!$A$4:$A$5003,"&gt;="&amp;DATE(2026,7,1),Xero_Raw!$A$4:$A$5003,"&lt;"&amp;EDATE(DATE(2026,7,1),1))+COUNTIFS(Customer_Invoices_Upload!$E$4:$E$5003,$A68,Customer_Invoices_Upload!$G$4:$G$5003,"*Subscription*",Customer_Invoices_Upload!$B$4:$B$5003,"&gt;="&amp;DATE(2026,7,1),Customer_Invoices_Upload!$B$4:$B$5003,"&lt;"&amp;EDATE(DATE(2026,7,1),1))+COUNTIFS(Stripe_Invoices_Upload!$D$4:$D$5003,$A68,Stripe_Invoices_Upload!$E$4:$E$5003,"*Subscription*",Stripe_Invoices_Upload!$A$4:$A$5003,"&gt;="&amp;DATE(2026,7,1),Stripe_Invoices_Upload!$A$4:$A$5003,"&lt;"&amp;EDATE(DATE(2026,7,1),1)))&gt;0,"✓ Invoiced","⚠ Due"),""),""))</f>
        <v/>
      </c>
      <c r="K68" s="130" t="str">
        <f aca="false">IF($A68="","",IF((DATE(YEAR($E68),MONTH($E68),1)&lt;=DATE(2026,8,1)),IF((MOD(DATEDIF(DATE(YEAR($E68),MONTH($E68),1),DATE(2026,8,1),"m"),IF($D68="Quarterly",3,IF($D68="Annual",12,1)))=0),IF((COUNTIFS(Xero_Raw!$D$4:$D$5003,$A68,Xero_Raw!$G$4:$G$5003,"*Subscription*",Xero_Raw!$A$4:$A$5003,"&gt;="&amp;DATE(2026,8,1),Xero_Raw!$A$4:$A$5003,"&lt;"&amp;EDATE(DATE(2026,8,1),1))+COUNTIFS(Customer_Invoices_Upload!$E$4:$E$5003,$A68,Customer_Invoices_Upload!$G$4:$G$5003,"*Subscription*",Customer_Invoices_Upload!$B$4:$B$5003,"&gt;="&amp;DATE(2026,8,1),Customer_Invoices_Upload!$B$4:$B$5003,"&lt;"&amp;EDATE(DATE(2026,8,1),1))+COUNTIFS(Stripe_Invoices_Upload!$D$4:$D$5003,$A68,Stripe_Invoices_Upload!$E$4:$E$5003,"*Subscription*",Stripe_Invoices_Upload!$A$4:$A$5003,"&gt;="&amp;DATE(2026,8,1),Stripe_Invoices_Upload!$A$4:$A$5003,"&lt;"&amp;EDATE(DATE(2026,8,1),1)))&gt;0,"✓ Invoiced","⚠ Due"),""),""))</f>
        <v/>
      </c>
      <c r="L68" s="130" t="str">
        <f aca="false">IF($A68="","",IF((DATE(YEAR($E68),MONTH($E68),1)&lt;=DATE(2026,9,1)),IF((MOD(DATEDIF(DATE(YEAR($E68),MONTH($E68),1),DATE(2026,9,1),"m"),IF($D68="Quarterly",3,IF($D68="Annual",12,1)))=0),IF((COUNTIFS(Xero_Raw!$D$4:$D$5003,$A68,Xero_Raw!$G$4:$G$5003,"*Subscription*",Xero_Raw!$A$4:$A$5003,"&gt;="&amp;DATE(2026,9,1),Xero_Raw!$A$4:$A$5003,"&lt;"&amp;EDATE(DATE(2026,9,1),1))+COUNTIFS(Customer_Invoices_Upload!$E$4:$E$5003,$A68,Customer_Invoices_Upload!$G$4:$G$5003,"*Subscription*",Customer_Invoices_Upload!$B$4:$B$5003,"&gt;="&amp;DATE(2026,9,1),Customer_Invoices_Upload!$B$4:$B$5003,"&lt;"&amp;EDATE(DATE(2026,9,1),1))+COUNTIFS(Stripe_Invoices_Upload!$D$4:$D$5003,$A68,Stripe_Invoices_Upload!$E$4:$E$5003,"*Subscription*",Stripe_Invoices_Upload!$A$4:$A$5003,"&gt;="&amp;DATE(2026,9,1),Stripe_Invoices_Upload!$A$4:$A$5003,"&lt;"&amp;EDATE(DATE(2026,9,1),1)))&gt;0,"✓ Invoiced","⚠ Due"),""),""))</f>
        <v/>
      </c>
      <c r="M68" s="130" t="str">
        <f aca="false">IF($A68="","",IF((DATE(YEAR($E68),MONTH($E68),1)&lt;=DATE(2026,10,1)),IF((MOD(DATEDIF(DATE(YEAR($E68),MONTH($E68),1),DATE(2026,10,1),"m"),IF($D68="Quarterly",3,IF($D68="Annual",12,1)))=0),IF((COUNTIFS(Xero_Raw!$D$4:$D$5003,$A68,Xero_Raw!$G$4:$G$5003,"*Subscription*",Xero_Raw!$A$4:$A$5003,"&gt;="&amp;DATE(2026,10,1),Xero_Raw!$A$4:$A$5003,"&lt;"&amp;EDATE(DATE(2026,10,1),1))+COUNTIFS(Customer_Invoices_Upload!$E$4:$E$5003,$A68,Customer_Invoices_Upload!$G$4:$G$5003,"*Subscription*",Customer_Invoices_Upload!$B$4:$B$5003,"&gt;="&amp;DATE(2026,10,1),Customer_Invoices_Upload!$B$4:$B$5003,"&lt;"&amp;EDATE(DATE(2026,10,1),1))+COUNTIFS(Stripe_Invoices_Upload!$D$4:$D$5003,$A68,Stripe_Invoices_Upload!$E$4:$E$5003,"*Subscription*",Stripe_Invoices_Upload!$A$4:$A$5003,"&gt;="&amp;DATE(2026,10,1),Stripe_Invoices_Upload!$A$4:$A$5003,"&lt;"&amp;EDATE(DATE(2026,10,1),1)))&gt;0,"✓ Invoiced","⚠ Due"),""),""))</f>
        <v/>
      </c>
      <c r="N68" s="130" t="str">
        <f aca="false">IF($A68="","",IF((DATE(YEAR($E68),MONTH($E68),1)&lt;=DATE(2026,11,1)),IF((MOD(DATEDIF(DATE(YEAR($E68),MONTH($E68),1),DATE(2026,11,1),"m"),IF($D68="Quarterly",3,IF($D68="Annual",12,1)))=0),IF((COUNTIFS(Xero_Raw!$D$4:$D$5003,$A68,Xero_Raw!$G$4:$G$5003,"*Subscription*",Xero_Raw!$A$4:$A$5003,"&gt;="&amp;DATE(2026,11,1),Xero_Raw!$A$4:$A$5003,"&lt;"&amp;EDATE(DATE(2026,11,1),1))+COUNTIFS(Customer_Invoices_Upload!$E$4:$E$5003,$A68,Customer_Invoices_Upload!$G$4:$G$5003,"*Subscription*",Customer_Invoices_Upload!$B$4:$B$5003,"&gt;="&amp;DATE(2026,11,1),Customer_Invoices_Upload!$B$4:$B$5003,"&lt;"&amp;EDATE(DATE(2026,11,1),1))+COUNTIFS(Stripe_Invoices_Upload!$D$4:$D$5003,$A68,Stripe_Invoices_Upload!$E$4:$E$5003,"*Subscription*",Stripe_Invoices_Upload!$A$4:$A$5003,"&gt;="&amp;DATE(2026,11,1),Stripe_Invoices_Upload!$A$4:$A$5003,"&lt;"&amp;EDATE(DATE(2026,11,1),1)))&gt;0,"✓ Invoiced","⚠ Due"),""),""))</f>
        <v/>
      </c>
      <c r="O68" s="130" t="str">
        <f aca="false">IF($A68="","",IF((DATE(YEAR($E68),MONTH($E68),1)&lt;=DATE(2026,12,1)),IF((MOD(DATEDIF(DATE(YEAR($E68),MONTH($E68),1),DATE(2026,12,1),"m"),IF($D68="Quarterly",3,IF($D68="Annual",12,1)))=0),IF((COUNTIFS(Xero_Raw!$D$4:$D$5003,$A68,Xero_Raw!$G$4:$G$5003,"*Subscription*",Xero_Raw!$A$4:$A$5003,"&gt;="&amp;DATE(2026,12,1),Xero_Raw!$A$4:$A$5003,"&lt;"&amp;EDATE(DATE(2026,12,1),1))+COUNTIFS(Customer_Invoices_Upload!$E$4:$E$5003,$A68,Customer_Invoices_Upload!$G$4:$G$5003,"*Subscription*",Customer_Invoices_Upload!$B$4:$B$5003,"&gt;="&amp;DATE(2026,12,1),Customer_Invoices_Upload!$B$4:$B$5003,"&lt;"&amp;EDATE(DATE(2026,12,1),1))+COUNTIFS(Stripe_Invoices_Upload!$D$4:$D$5003,$A68,Stripe_Invoices_Upload!$E$4:$E$5003,"*Subscription*",Stripe_Invoices_Upload!$A$4:$A$5003,"&gt;="&amp;DATE(2026,12,1),Stripe_Invoices_Upload!$A$4:$A$5003,"&lt;"&amp;EDATE(DATE(2026,12,1),1)))&gt;0,"✓ Invoiced","⚠ Due"),""),""))</f>
        <v/>
      </c>
      <c r="P68" s="130" t="str">
        <f aca="false">IF($A68="","",IF((DATE(YEAR($E68),MONTH($E68),1)&lt;=DATE(2027,1,1)),IF((MOD(DATEDIF(DATE(YEAR($E68),MONTH($E68),1),DATE(2027,1,1),"m"),IF($D68="Quarterly",3,IF($D68="Annual",12,1)))=0),IF((COUNTIFS(Xero_Raw!$D$4:$D$5003,$A68,Xero_Raw!$G$4:$G$5003,"*Subscription*",Xero_Raw!$A$4:$A$5003,"&gt;="&amp;DATE(2027,1,1),Xero_Raw!$A$4:$A$5003,"&lt;"&amp;EDATE(DATE(2027,1,1),1))+COUNTIFS(Customer_Invoices_Upload!$E$4:$E$5003,$A68,Customer_Invoices_Upload!$G$4:$G$5003,"*Subscription*",Customer_Invoices_Upload!$B$4:$B$5003,"&gt;="&amp;DATE(2027,1,1),Customer_Invoices_Upload!$B$4:$B$5003,"&lt;"&amp;EDATE(DATE(2027,1,1),1))+COUNTIFS(Stripe_Invoices_Upload!$D$4:$D$5003,$A68,Stripe_Invoices_Upload!$E$4:$E$5003,"*Subscription*",Stripe_Invoices_Upload!$A$4:$A$5003,"&gt;="&amp;DATE(2027,1,1),Stripe_Invoices_Upload!$A$4:$A$5003,"&lt;"&amp;EDATE(DATE(2027,1,1),1)))&gt;0,"✓ Invoiced","⚠ Due"),""),""))</f>
        <v/>
      </c>
      <c r="Q68" s="130" t="str">
        <f aca="false">IF($A68="","",IF((DATE(YEAR($E68),MONTH($E68),1)&lt;=DATE(2027,2,1)),IF((MOD(DATEDIF(DATE(YEAR($E68),MONTH($E68),1),DATE(2027,2,1),"m"),IF($D68="Quarterly",3,IF($D68="Annual",12,1)))=0),IF((COUNTIFS(Xero_Raw!$D$4:$D$5003,$A68,Xero_Raw!$G$4:$G$5003,"*Subscription*",Xero_Raw!$A$4:$A$5003,"&gt;="&amp;DATE(2027,2,1),Xero_Raw!$A$4:$A$5003,"&lt;"&amp;EDATE(DATE(2027,2,1),1))+COUNTIFS(Customer_Invoices_Upload!$E$4:$E$5003,$A68,Customer_Invoices_Upload!$G$4:$G$5003,"*Subscription*",Customer_Invoices_Upload!$B$4:$B$5003,"&gt;="&amp;DATE(2027,2,1),Customer_Invoices_Upload!$B$4:$B$5003,"&lt;"&amp;EDATE(DATE(2027,2,1),1))+COUNTIFS(Stripe_Invoices_Upload!$D$4:$D$5003,$A68,Stripe_Invoices_Upload!$E$4:$E$5003,"*Subscription*",Stripe_Invoices_Upload!$A$4:$A$5003,"&gt;="&amp;DATE(2027,2,1),Stripe_Invoices_Upload!$A$4:$A$5003,"&lt;"&amp;EDATE(DATE(2027,2,1),1)))&gt;0,"✓ Invoiced","⚠ Due"),""),""))</f>
        <v/>
      </c>
      <c r="R68" s="130" t="str">
        <f aca="false">IF($A68="","",IF((DATE(YEAR($E68),MONTH($E68),1)&lt;=DATE(2027,3,1)),IF((MOD(DATEDIF(DATE(YEAR($E68),MONTH($E68),1),DATE(2027,3,1),"m"),IF($D68="Quarterly",3,IF($D68="Annual",12,1)))=0),IF((COUNTIFS(Xero_Raw!$D$4:$D$5003,$A68,Xero_Raw!$G$4:$G$5003,"*Subscription*",Xero_Raw!$A$4:$A$5003,"&gt;="&amp;DATE(2027,3,1),Xero_Raw!$A$4:$A$5003,"&lt;"&amp;EDATE(DATE(2027,3,1),1))+COUNTIFS(Customer_Invoices_Upload!$E$4:$E$5003,$A68,Customer_Invoices_Upload!$G$4:$G$5003,"*Subscription*",Customer_Invoices_Upload!$B$4:$B$5003,"&gt;="&amp;DATE(2027,3,1),Customer_Invoices_Upload!$B$4:$B$5003,"&lt;"&amp;EDATE(DATE(2027,3,1),1))+COUNTIFS(Stripe_Invoices_Upload!$D$4:$D$5003,$A68,Stripe_Invoices_Upload!$E$4:$E$5003,"*Subscription*",Stripe_Invoices_Upload!$A$4:$A$5003,"&gt;="&amp;DATE(2027,3,1),Stripe_Invoices_Upload!$A$4:$A$5003,"&lt;"&amp;EDATE(DATE(2027,3,1),1)))&gt;0,"✓ Invoiced","⚠ Due"),""),""))</f>
        <v/>
      </c>
    </row>
    <row r="69" customFormat="false" ht="15" hidden="false" customHeight="false" outlineLevel="0" collapsed="false">
      <c r="A69" s="39"/>
      <c r="B69" s="39"/>
      <c r="C69" s="40"/>
      <c r="D69" s="39"/>
      <c r="E69" s="38"/>
      <c r="F69" s="129" t="str">
        <f aca="true">IF($A69="","",EDATE($E69,DATEDIF($E69,TODAY(),"m")+1))</f>
        <v/>
      </c>
      <c r="G69" s="130" t="str">
        <f aca="false">IF($A69="","",IF((DATE(YEAR($E69),MONTH($E69),1)&lt;=DATE(2026,4,1)),IF((MOD(DATEDIF(DATE(YEAR($E69),MONTH($E69),1),DATE(2026,4,1),"m"),IF($D69="Quarterly",3,IF($D69="Annual",12,1)))=0),IF((COUNTIFS(Xero_Raw!$D$4:$D$5003,$A69,Xero_Raw!$G$4:$G$5003,"*Subscription*",Xero_Raw!$A$4:$A$5003,"&gt;="&amp;DATE(2026,4,1),Xero_Raw!$A$4:$A$5003,"&lt;"&amp;EDATE(DATE(2026,4,1),1))+COUNTIFS(Customer_Invoices_Upload!$E$4:$E$5003,$A69,Customer_Invoices_Upload!$G$4:$G$5003,"*Subscription*",Customer_Invoices_Upload!$B$4:$B$5003,"&gt;="&amp;DATE(2026,4,1),Customer_Invoices_Upload!$B$4:$B$5003,"&lt;"&amp;EDATE(DATE(2026,4,1),1))+COUNTIFS(Stripe_Invoices_Upload!$D$4:$D$5003,$A69,Stripe_Invoices_Upload!$E$4:$E$5003,"*Subscription*",Stripe_Invoices_Upload!$A$4:$A$5003,"&gt;="&amp;DATE(2026,4,1),Stripe_Invoices_Upload!$A$4:$A$5003,"&lt;"&amp;EDATE(DATE(2026,4,1),1)))&gt;0,"✓ Invoiced","⚠ Due"),""),""))</f>
        <v/>
      </c>
      <c r="H69" s="130" t="str">
        <f aca="false">IF($A69="","",IF((DATE(YEAR($E69),MONTH($E69),1)&lt;=DATE(2026,5,1)),IF((MOD(DATEDIF(DATE(YEAR($E69),MONTH($E69),1),DATE(2026,5,1),"m"),IF($D69="Quarterly",3,IF($D69="Annual",12,1)))=0),IF((COUNTIFS(Xero_Raw!$D$4:$D$5003,$A69,Xero_Raw!$G$4:$G$5003,"*Subscription*",Xero_Raw!$A$4:$A$5003,"&gt;="&amp;DATE(2026,5,1),Xero_Raw!$A$4:$A$5003,"&lt;"&amp;EDATE(DATE(2026,5,1),1))+COUNTIFS(Customer_Invoices_Upload!$E$4:$E$5003,$A69,Customer_Invoices_Upload!$G$4:$G$5003,"*Subscription*",Customer_Invoices_Upload!$B$4:$B$5003,"&gt;="&amp;DATE(2026,5,1),Customer_Invoices_Upload!$B$4:$B$5003,"&lt;"&amp;EDATE(DATE(2026,5,1),1))+COUNTIFS(Stripe_Invoices_Upload!$D$4:$D$5003,$A69,Stripe_Invoices_Upload!$E$4:$E$5003,"*Subscription*",Stripe_Invoices_Upload!$A$4:$A$5003,"&gt;="&amp;DATE(2026,5,1),Stripe_Invoices_Upload!$A$4:$A$5003,"&lt;"&amp;EDATE(DATE(2026,5,1),1)))&gt;0,"✓ Invoiced","⚠ Due"),""),""))</f>
        <v/>
      </c>
      <c r="I69" s="130" t="str">
        <f aca="false">IF($A69="","",IF((DATE(YEAR($E69),MONTH($E69),1)&lt;=DATE(2026,6,1)),IF((MOD(DATEDIF(DATE(YEAR($E69),MONTH($E69),1),DATE(2026,6,1),"m"),IF($D69="Quarterly",3,IF($D69="Annual",12,1)))=0),IF((COUNTIFS(Xero_Raw!$D$4:$D$5003,$A69,Xero_Raw!$G$4:$G$5003,"*Subscription*",Xero_Raw!$A$4:$A$5003,"&gt;="&amp;DATE(2026,6,1),Xero_Raw!$A$4:$A$5003,"&lt;"&amp;EDATE(DATE(2026,6,1),1))+COUNTIFS(Customer_Invoices_Upload!$E$4:$E$5003,$A69,Customer_Invoices_Upload!$G$4:$G$5003,"*Subscription*",Customer_Invoices_Upload!$B$4:$B$5003,"&gt;="&amp;DATE(2026,6,1),Customer_Invoices_Upload!$B$4:$B$5003,"&lt;"&amp;EDATE(DATE(2026,6,1),1))+COUNTIFS(Stripe_Invoices_Upload!$D$4:$D$5003,$A69,Stripe_Invoices_Upload!$E$4:$E$5003,"*Subscription*",Stripe_Invoices_Upload!$A$4:$A$5003,"&gt;="&amp;DATE(2026,6,1),Stripe_Invoices_Upload!$A$4:$A$5003,"&lt;"&amp;EDATE(DATE(2026,6,1),1)))&gt;0,"✓ Invoiced","⚠ Due"),""),""))</f>
        <v/>
      </c>
      <c r="J69" s="130" t="str">
        <f aca="false">IF($A69="","",IF((DATE(YEAR($E69),MONTH($E69),1)&lt;=DATE(2026,7,1)),IF((MOD(DATEDIF(DATE(YEAR($E69),MONTH($E69),1),DATE(2026,7,1),"m"),IF($D69="Quarterly",3,IF($D69="Annual",12,1)))=0),IF((COUNTIFS(Xero_Raw!$D$4:$D$5003,$A69,Xero_Raw!$G$4:$G$5003,"*Subscription*",Xero_Raw!$A$4:$A$5003,"&gt;="&amp;DATE(2026,7,1),Xero_Raw!$A$4:$A$5003,"&lt;"&amp;EDATE(DATE(2026,7,1),1))+COUNTIFS(Customer_Invoices_Upload!$E$4:$E$5003,$A69,Customer_Invoices_Upload!$G$4:$G$5003,"*Subscription*",Customer_Invoices_Upload!$B$4:$B$5003,"&gt;="&amp;DATE(2026,7,1),Customer_Invoices_Upload!$B$4:$B$5003,"&lt;"&amp;EDATE(DATE(2026,7,1),1))+COUNTIFS(Stripe_Invoices_Upload!$D$4:$D$5003,$A69,Stripe_Invoices_Upload!$E$4:$E$5003,"*Subscription*",Stripe_Invoices_Upload!$A$4:$A$5003,"&gt;="&amp;DATE(2026,7,1),Stripe_Invoices_Upload!$A$4:$A$5003,"&lt;"&amp;EDATE(DATE(2026,7,1),1)))&gt;0,"✓ Invoiced","⚠ Due"),""),""))</f>
        <v/>
      </c>
      <c r="K69" s="130" t="str">
        <f aca="false">IF($A69="","",IF((DATE(YEAR($E69),MONTH($E69),1)&lt;=DATE(2026,8,1)),IF((MOD(DATEDIF(DATE(YEAR($E69),MONTH($E69),1),DATE(2026,8,1),"m"),IF($D69="Quarterly",3,IF($D69="Annual",12,1)))=0),IF((COUNTIFS(Xero_Raw!$D$4:$D$5003,$A69,Xero_Raw!$G$4:$G$5003,"*Subscription*",Xero_Raw!$A$4:$A$5003,"&gt;="&amp;DATE(2026,8,1),Xero_Raw!$A$4:$A$5003,"&lt;"&amp;EDATE(DATE(2026,8,1),1))+COUNTIFS(Customer_Invoices_Upload!$E$4:$E$5003,$A69,Customer_Invoices_Upload!$G$4:$G$5003,"*Subscription*",Customer_Invoices_Upload!$B$4:$B$5003,"&gt;="&amp;DATE(2026,8,1),Customer_Invoices_Upload!$B$4:$B$5003,"&lt;"&amp;EDATE(DATE(2026,8,1),1))+COUNTIFS(Stripe_Invoices_Upload!$D$4:$D$5003,$A69,Stripe_Invoices_Upload!$E$4:$E$5003,"*Subscription*",Stripe_Invoices_Upload!$A$4:$A$5003,"&gt;="&amp;DATE(2026,8,1),Stripe_Invoices_Upload!$A$4:$A$5003,"&lt;"&amp;EDATE(DATE(2026,8,1),1)))&gt;0,"✓ Invoiced","⚠ Due"),""),""))</f>
        <v/>
      </c>
      <c r="L69" s="130" t="str">
        <f aca="false">IF($A69="","",IF((DATE(YEAR($E69),MONTH($E69),1)&lt;=DATE(2026,9,1)),IF((MOD(DATEDIF(DATE(YEAR($E69),MONTH($E69),1),DATE(2026,9,1),"m"),IF($D69="Quarterly",3,IF($D69="Annual",12,1)))=0),IF((COUNTIFS(Xero_Raw!$D$4:$D$5003,$A69,Xero_Raw!$G$4:$G$5003,"*Subscription*",Xero_Raw!$A$4:$A$5003,"&gt;="&amp;DATE(2026,9,1),Xero_Raw!$A$4:$A$5003,"&lt;"&amp;EDATE(DATE(2026,9,1),1))+COUNTIFS(Customer_Invoices_Upload!$E$4:$E$5003,$A69,Customer_Invoices_Upload!$G$4:$G$5003,"*Subscription*",Customer_Invoices_Upload!$B$4:$B$5003,"&gt;="&amp;DATE(2026,9,1),Customer_Invoices_Upload!$B$4:$B$5003,"&lt;"&amp;EDATE(DATE(2026,9,1),1))+COUNTIFS(Stripe_Invoices_Upload!$D$4:$D$5003,$A69,Stripe_Invoices_Upload!$E$4:$E$5003,"*Subscription*",Stripe_Invoices_Upload!$A$4:$A$5003,"&gt;="&amp;DATE(2026,9,1),Stripe_Invoices_Upload!$A$4:$A$5003,"&lt;"&amp;EDATE(DATE(2026,9,1),1)))&gt;0,"✓ Invoiced","⚠ Due"),""),""))</f>
        <v/>
      </c>
      <c r="M69" s="130" t="str">
        <f aca="false">IF($A69="","",IF((DATE(YEAR($E69),MONTH($E69),1)&lt;=DATE(2026,10,1)),IF((MOD(DATEDIF(DATE(YEAR($E69),MONTH($E69),1),DATE(2026,10,1),"m"),IF($D69="Quarterly",3,IF($D69="Annual",12,1)))=0),IF((COUNTIFS(Xero_Raw!$D$4:$D$5003,$A69,Xero_Raw!$G$4:$G$5003,"*Subscription*",Xero_Raw!$A$4:$A$5003,"&gt;="&amp;DATE(2026,10,1),Xero_Raw!$A$4:$A$5003,"&lt;"&amp;EDATE(DATE(2026,10,1),1))+COUNTIFS(Customer_Invoices_Upload!$E$4:$E$5003,$A69,Customer_Invoices_Upload!$G$4:$G$5003,"*Subscription*",Customer_Invoices_Upload!$B$4:$B$5003,"&gt;="&amp;DATE(2026,10,1),Customer_Invoices_Upload!$B$4:$B$5003,"&lt;"&amp;EDATE(DATE(2026,10,1),1))+COUNTIFS(Stripe_Invoices_Upload!$D$4:$D$5003,$A69,Stripe_Invoices_Upload!$E$4:$E$5003,"*Subscription*",Stripe_Invoices_Upload!$A$4:$A$5003,"&gt;="&amp;DATE(2026,10,1),Stripe_Invoices_Upload!$A$4:$A$5003,"&lt;"&amp;EDATE(DATE(2026,10,1),1)))&gt;0,"✓ Invoiced","⚠ Due"),""),""))</f>
        <v/>
      </c>
      <c r="N69" s="130" t="str">
        <f aca="false">IF($A69="","",IF((DATE(YEAR($E69),MONTH($E69),1)&lt;=DATE(2026,11,1)),IF((MOD(DATEDIF(DATE(YEAR($E69),MONTH($E69),1),DATE(2026,11,1),"m"),IF($D69="Quarterly",3,IF($D69="Annual",12,1)))=0),IF((COUNTIFS(Xero_Raw!$D$4:$D$5003,$A69,Xero_Raw!$G$4:$G$5003,"*Subscription*",Xero_Raw!$A$4:$A$5003,"&gt;="&amp;DATE(2026,11,1),Xero_Raw!$A$4:$A$5003,"&lt;"&amp;EDATE(DATE(2026,11,1),1))+COUNTIFS(Customer_Invoices_Upload!$E$4:$E$5003,$A69,Customer_Invoices_Upload!$G$4:$G$5003,"*Subscription*",Customer_Invoices_Upload!$B$4:$B$5003,"&gt;="&amp;DATE(2026,11,1),Customer_Invoices_Upload!$B$4:$B$5003,"&lt;"&amp;EDATE(DATE(2026,11,1),1))+COUNTIFS(Stripe_Invoices_Upload!$D$4:$D$5003,$A69,Stripe_Invoices_Upload!$E$4:$E$5003,"*Subscription*",Stripe_Invoices_Upload!$A$4:$A$5003,"&gt;="&amp;DATE(2026,11,1),Stripe_Invoices_Upload!$A$4:$A$5003,"&lt;"&amp;EDATE(DATE(2026,11,1),1)))&gt;0,"✓ Invoiced","⚠ Due"),""),""))</f>
        <v/>
      </c>
      <c r="O69" s="130" t="str">
        <f aca="false">IF($A69="","",IF((DATE(YEAR($E69),MONTH($E69),1)&lt;=DATE(2026,12,1)),IF((MOD(DATEDIF(DATE(YEAR($E69),MONTH($E69),1),DATE(2026,12,1),"m"),IF($D69="Quarterly",3,IF($D69="Annual",12,1)))=0),IF((COUNTIFS(Xero_Raw!$D$4:$D$5003,$A69,Xero_Raw!$G$4:$G$5003,"*Subscription*",Xero_Raw!$A$4:$A$5003,"&gt;="&amp;DATE(2026,12,1),Xero_Raw!$A$4:$A$5003,"&lt;"&amp;EDATE(DATE(2026,12,1),1))+COUNTIFS(Customer_Invoices_Upload!$E$4:$E$5003,$A69,Customer_Invoices_Upload!$G$4:$G$5003,"*Subscription*",Customer_Invoices_Upload!$B$4:$B$5003,"&gt;="&amp;DATE(2026,12,1),Customer_Invoices_Upload!$B$4:$B$5003,"&lt;"&amp;EDATE(DATE(2026,12,1),1))+COUNTIFS(Stripe_Invoices_Upload!$D$4:$D$5003,$A69,Stripe_Invoices_Upload!$E$4:$E$5003,"*Subscription*",Stripe_Invoices_Upload!$A$4:$A$5003,"&gt;="&amp;DATE(2026,12,1),Stripe_Invoices_Upload!$A$4:$A$5003,"&lt;"&amp;EDATE(DATE(2026,12,1),1)))&gt;0,"✓ Invoiced","⚠ Due"),""),""))</f>
        <v/>
      </c>
      <c r="P69" s="130" t="str">
        <f aca="false">IF($A69="","",IF((DATE(YEAR($E69),MONTH($E69),1)&lt;=DATE(2027,1,1)),IF((MOD(DATEDIF(DATE(YEAR($E69),MONTH($E69),1),DATE(2027,1,1),"m"),IF($D69="Quarterly",3,IF($D69="Annual",12,1)))=0),IF((COUNTIFS(Xero_Raw!$D$4:$D$5003,$A69,Xero_Raw!$G$4:$G$5003,"*Subscription*",Xero_Raw!$A$4:$A$5003,"&gt;="&amp;DATE(2027,1,1),Xero_Raw!$A$4:$A$5003,"&lt;"&amp;EDATE(DATE(2027,1,1),1))+COUNTIFS(Customer_Invoices_Upload!$E$4:$E$5003,$A69,Customer_Invoices_Upload!$G$4:$G$5003,"*Subscription*",Customer_Invoices_Upload!$B$4:$B$5003,"&gt;="&amp;DATE(2027,1,1),Customer_Invoices_Upload!$B$4:$B$5003,"&lt;"&amp;EDATE(DATE(2027,1,1),1))+COUNTIFS(Stripe_Invoices_Upload!$D$4:$D$5003,$A69,Stripe_Invoices_Upload!$E$4:$E$5003,"*Subscription*",Stripe_Invoices_Upload!$A$4:$A$5003,"&gt;="&amp;DATE(2027,1,1),Stripe_Invoices_Upload!$A$4:$A$5003,"&lt;"&amp;EDATE(DATE(2027,1,1),1)))&gt;0,"✓ Invoiced","⚠ Due"),""),""))</f>
        <v/>
      </c>
      <c r="Q69" s="130" t="str">
        <f aca="false">IF($A69="","",IF((DATE(YEAR($E69),MONTH($E69),1)&lt;=DATE(2027,2,1)),IF((MOD(DATEDIF(DATE(YEAR($E69),MONTH($E69),1),DATE(2027,2,1),"m"),IF($D69="Quarterly",3,IF($D69="Annual",12,1)))=0),IF((COUNTIFS(Xero_Raw!$D$4:$D$5003,$A69,Xero_Raw!$G$4:$G$5003,"*Subscription*",Xero_Raw!$A$4:$A$5003,"&gt;="&amp;DATE(2027,2,1),Xero_Raw!$A$4:$A$5003,"&lt;"&amp;EDATE(DATE(2027,2,1),1))+COUNTIFS(Customer_Invoices_Upload!$E$4:$E$5003,$A69,Customer_Invoices_Upload!$G$4:$G$5003,"*Subscription*",Customer_Invoices_Upload!$B$4:$B$5003,"&gt;="&amp;DATE(2027,2,1),Customer_Invoices_Upload!$B$4:$B$5003,"&lt;"&amp;EDATE(DATE(2027,2,1),1))+COUNTIFS(Stripe_Invoices_Upload!$D$4:$D$5003,$A69,Stripe_Invoices_Upload!$E$4:$E$5003,"*Subscription*",Stripe_Invoices_Upload!$A$4:$A$5003,"&gt;="&amp;DATE(2027,2,1),Stripe_Invoices_Upload!$A$4:$A$5003,"&lt;"&amp;EDATE(DATE(2027,2,1),1)))&gt;0,"✓ Invoiced","⚠ Due"),""),""))</f>
        <v/>
      </c>
      <c r="R69" s="130" t="str">
        <f aca="false">IF($A69="","",IF((DATE(YEAR($E69),MONTH($E69),1)&lt;=DATE(2027,3,1)),IF((MOD(DATEDIF(DATE(YEAR($E69),MONTH($E69),1),DATE(2027,3,1),"m"),IF($D69="Quarterly",3,IF($D69="Annual",12,1)))=0),IF((COUNTIFS(Xero_Raw!$D$4:$D$5003,$A69,Xero_Raw!$G$4:$G$5003,"*Subscription*",Xero_Raw!$A$4:$A$5003,"&gt;="&amp;DATE(2027,3,1),Xero_Raw!$A$4:$A$5003,"&lt;"&amp;EDATE(DATE(2027,3,1),1))+COUNTIFS(Customer_Invoices_Upload!$E$4:$E$5003,$A69,Customer_Invoices_Upload!$G$4:$G$5003,"*Subscription*",Customer_Invoices_Upload!$B$4:$B$5003,"&gt;="&amp;DATE(2027,3,1),Customer_Invoices_Upload!$B$4:$B$5003,"&lt;"&amp;EDATE(DATE(2027,3,1),1))+COUNTIFS(Stripe_Invoices_Upload!$D$4:$D$5003,$A69,Stripe_Invoices_Upload!$E$4:$E$5003,"*Subscription*",Stripe_Invoices_Upload!$A$4:$A$5003,"&gt;="&amp;DATE(2027,3,1),Stripe_Invoices_Upload!$A$4:$A$5003,"&lt;"&amp;EDATE(DATE(2027,3,1),1)))&gt;0,"✓ Invoiced","⚠ Due"),""),""))</f>
        <v/>
      </c>
    </row>
    <row r="70" customFormat="false" ht="15" hidden="false" customHeight="false" outlineLevel="0" collapsed="false">
      <c r="A70" s="39"/>
      <c r="B70" s="39"/>
      <c r="C70" s="40"/>
      <c r="D70" s="39"/>
      <c r="E70" s="38"/>
      <c r="F70" s="129" t="str">
        <f aca="true">IF($A70="","",EDATE($E70,DATEDIF($E70,TODAY(),"m")+1))</f>
        <v/>
      </c>
      <c r="G70" s="130" t="str">
        <f aca="false">IF($A70="","",IF((DATE(YEAR($E70),MONTH($E70),1)&lt;=DATE(2026,4,1)),IF((MOD(DATEDIF(DATE(YEAR($E70),MONTH($E70),1),DATE(2026,4,1),"m"),IF($D70="Quarterly",3,IF($D70="Annual",12,1)))=0),IF((COUNTIFS(Xero_Raw!$D$4:$D$5003,$A70,Xero_Raw!$G$4:$G$5003,"*Subscription*",Xero_Raw!$A$4:$A$5003,"&gt;="&amp;DATE(2026,4,1),Xero_Raw!$A$4:$A$5003,"&lt;"&amp;EDATE(DATE(2026,4,1),1))+COUNTIFS(Customer_Invoices_Upload!$E$4:$E$5003,$A70,Customer_Invoices_Upload!$G$4:$G$5003,"*Subscription*",Customer_Invoices_Upload!$B$4:$B$5003,"&gt;="&amp;DATE(2026,4,1),Customer_Invoices_Upload!$B$4:$B$5003,"&lt;"&amp;EDATE(DATE(2026,4,1),1))+COUNTIFS(Stripe_Invoices_Upload!$D$4:$D$5003,$A70,Stripe_Invoices_Upload!$E$4:$E$5003,"*Subscription*",Stripe_Invoices_Upload!$A$4:$A$5003,"&gt;="&amp;DATE(2026,4,1),Stripe_Invoices_Upload!$A$4:$A$5003,"&lt;"&amp;EDATE(DATE(2026,4,1),1)))&gt;0,"✓ Invoiced","⚠ Due"),""),""))</f>
        <v/>
      </c>
      <c r="H70" s="130" t="str">
        <f aca="false">IF($A70="","",IF((DATE(YEAR($E70),MONTH($E70),1)&lt;=DATE(2026,5,1)),IF((MOD(DATEDIF(DATE(YEAR($E70),MONTH($E70),1),DATE(2026,5,1),"m"),IF($D70="Quarterly",3,IF($D70="Annual",12,1)))=0),IF((COUNTIFS(Xero_Raw!$D$4:$D$5003,$A70,Xero_Raw!$G$4:$G$5003,"*Subscription*",Xero_Raw!$A$4:$A$5003,"&gt;="&amp;DATE(2026,5,1),Xero_Raw!$A$4:$A$5003,"&lt;"&amp;EDATE(DATE(2026,5,1),1))+COUNTIFS(Customer_Invoices_Upload!$E$4:$E$5003,$A70,Customer_Invoices_Upload!$G$4:$G$5003,"*Subscription*",Customer_Invoices_Upload!$B$4:$B$5003,"&gt;="&amp;DATE(2026,5,1),Customer_Invoices_Upload!$B$4:$B$5003,"&lt;"&amp;EDATE(DATE(2026,5,1),1))+COUNTIFS(Stripe_Invoices_Upload!$D$4:$D$5003,$A70,Stripe_Invoices_Upload!$E$4:$E$5003,"*Subscription*",Stripe_Invoices_Upload!$A$4:$A$5003,"&gt;="&amp;DATE(2026,5,1),Stripe_Invoices_Upload!$A$4:$A$5003,"&lt;"&amp;EDATE(DATE(2026,5,1),1)))&gt;0,"✓ Invoiced","⚠ Due"),""),""))</f>
        <v/>
      </c>
      <c r="I70" s="130" t="str">
        <f aca="false">IF($A70="","",IF((DATE(YEAR($E70),MONTH($E70),1)&lt;=DATE(2026,6,1)),IF((MOD(DATEDIF(DATE(YEAR($E70),MONTH($E70),1),DATE(2026,6,1),"m"),IF($D70="Quarterly",3,IF($D70="Annual",12,1)))=0),IF((COUNTIFS(Xero_Raw!$D$4:$D$5003,$A70,Xero_Raw!$G$4:$G$5003,"*Subscription*",Xero_Raw!$A$4:$A$5003,"&gt;="&amp;DATE(2026,6,1),Xero_Raw!$A$4:$A$5003,"&lt;"&amp;EDATE(DATE(2026,6,1),1))+COUNTIFS(Customer_Invoices_Upload!$E$4:$E$5003,$A70,Customer_Invoices_Upload!$G$4:$G$5003,"*Subscription*",Customer_Invoices_Upload!$B$4:$B$5003,"&gt;="&amp;DATE(2026,6,1),Customer_Invoices_Upload!$B$4:$B$5003,"&lt;"&amp;EDATE(DATE(2026,6,1),1))+COUNTIFS(Stripe_Invoices_Upload!$D$4:$D$5003,$A70,Stripe_Invoices_Upload!$E$4:$E$5003,"*Subscription*",Stripe_Invoices_Upload!$A$4:$A$5003,"&gt;="&amp;DATE(2026,6,1),Stripe_Invoices_Upload!$A$4:$A$5003,"&lt;"&amp;EDATE(DATE(2026,6,1),1)))&gt;0,"✓ Invoiced","⚠ Due"),""),""))</f>
        <v/>
      </c>
      <c r="J70" s="130" t="str">
        <f aca="false">IF($A70="","",IF((DATE(YEAR($E70),MONTH($E70),1)&lt;=DATE(2026,7,1)),IF((MOD(DATEDIF(DATE(YEAR($E70),MONTH($E70),1),DATE(2026,7,1),"m"),IF($D70="Quarterly",3,IF($D70="Annual",12,1)))=0),IF((COUNTIFS(Xero_Raw!$D$4:$D$5003,$A70,Xero_Raw!$G$4:$G$5003,"*Subscription*",Xero_Raw!$A$4:$A$5003,"&gt;="&amp;DATE(2026,7,1),Xero_Raw!$A$4:$A$5003,"&lt;"&amp;EDATE(DATE(2026,7,1),1))+COUNTIFS(Customer_Invoices_Upload!$E$4:$E$5003,$A70,Customer_Invoices_Upload!$G$4:$G$5003,"*Subscription*",Customer_Invoices_Upload!$B$4:$B$5003,"&gt;="&amp;DATE(2026,7,1),Customer_Invoices_Upload!$B$4:$B$5003,"&lt;"&amp;EDATE(DATE(2026,7,1),1))+COUNTIFS(Stripe_Invoices_Upload!$D$4:$D$5003,$A70,Stripe_Invoices_Upload!$E$4:$E$5003,"*Subscription*",Stripe_Invoices_Upload!$A$4:$A$5003,"&gt;="&amp;DATE(2026,7,1),Stripe_Invoices_Upload!$A$4:$A$5003,"&lt;"&amp;EDATE(DATE(2026,7,1),1)))&gt;0,"✓ Invoiced","⚠ Due"),""),""))</f>
        <v/>
      </c>
      <c r="K70" s="130" t="str">
        <f aca="false">IF($A70="","",IF((DATE(YEAR($E70),MONTH($E70),1)&lt;=DATE(2026,8,1)),IF((MOD(DATEDIF(DATE(YEAR($E70),MONTH($E70),1),DATE(2026,8,1),"m"),IF($D70="Quarterly",3,IF($D70="Annual",12,1)))=0),IF((COUNTIFS(Xero_Raw!$D$4:$D$5003,$A70,Xero_Raw!$G$4:$G$5003,"*Subscription*",Xero_Raw!$A$4:$A$5003,"&gt;="&amp;DATE(2026,8,1),Xero_Raw!$A$4:$A$5003,"&lt;"&amp;EDATE(DATE(2026,8,1),1))+COUNTIFS(Customer_Invoices_Upload!$E$4:$E$5003,$A70,Customer_Invoices_Upload!$G$4:$G$5003,"*Subscription*",Customer_Invoices_Upload!$B$4:$B$5003,"&gt;="&amp;DATE(2026,8,1),Customer_Invoices_Upload!$B$4:$B$5003,"&lt;"&amp;EDATE(DATE(2026,8,1),1))+COUNTIFS(Stripe_Invoices_Upload!$D$4:$D$5003,$A70,Stripe_Invoices_Upload!$E$4:$E$5003,"*Subscription*",Stripe_Invoices_Upload!$A$4:$A$5003,"&gt;="&amp;DATE(2026,8,1),Stripe_Invoices_Upload!$A$4:$A$5003,"&lt;"&amp;EDATE(DATE(2026,8,1),1)))&gt;0,"✓ Invoiced","⚠ Due"),""),""))</f>
        <v/>
      </c>
      <c r="L70" s="130" t="str">
        <f aca="false">IF($A70="","",IF((DATE(YEAR($E70),MONTH($E70),1)&lt;=DATE(2026,9,1)),IF((MOD(DATEDIF(DATE(YEAR($E70),MONTH($E70),1),DATE(2026,9,1),"m"),IF($D70="Quarterly",3,IF($D70="Annual",12,1)))=0),IF((COUNTIFS(Xero_Raw!$D$4:$D$5003,$A70,Xero_Raw!$G$4:$G$5003,"*Subscription*",Xero_Raw!$A$4:$A$5003,"&gt;="&amp;DATE(2026,9,1),Xero_Raw!$A$4:$A$5003,"&lt;"&amp;EDATE(DATE(2026,9,1),1))+COUNTIFS(Customer_Invoices_Upload!$E$4:$E$5003,$A70,Customer_Invoices_Upload!$G$4:$G$5003,"*Subscription*",Customer_Invoices_Upload!$B$4:$B$5003,"&gt;="&amp;DATE(2026,9,1),Customer_Invoices_Upload!$B$4:$B$5003,"&lt;"&amp;EDATE(DATE(2026,9,1),1))+COUNTIFS(Stripe_Invoices_Upload!$D$4:$D$5003,$A70,Stripe_Invoices_Upload!$E$4:$E$5003,"*Subscription*",Stripe_Invoices_Upload!$A$4:$A$5003,"&gt;="&amp;DATE(2026,9,1),Stripe_Invoices_Upload!$A$4:$A$5003,"&lt;"&amp;EDATE(DATE(2026,9,1),1)))&gt;0,"✓ Invoiced","⚠ Due"),""),""))</f>
        <v/>
      </c>
      <c r="M70" s="130" t="str">
        <f aca="false">IF($A70="","",IF((DATE(YEAR($E70),MONTH($E70),1)&lt;=DATE(2026,10,1)),IF((MOD(DATEDIF(DATE(YEAR($E70),MONTH($E70),1),DATE(2026,10,1),"m"),IF($D70="Quarterly",3,IF($D70="Annual",12,1)))=0),IF((COUNTIFS(Xero_Raw!$D$4:$D$5003,$A70,Xero_Raw!$G$4:$G$5003,"*Subscription*",Xero_Raw!$A$4:$A$5003,"&gt;="&amp;DATE(2026,10,1),Xero_Raw!$A$4:$A$5003,"&lt;"&amp;EDATE(DATE(2026,10,1),1))+COUNTIFS(Customer_Invoices_Upload!$E$4:$E$5003,$A70,Customer_Invoices_Upload!$G$4:$G$5003,"*Subscription*",Customer_Invoices_Upload!$B$4:$B$5003,"&gt;="&amp;DATE(2026,10,1),Customer_Invoices_Upload!$B$4:$B$5003,"&lt;"&amp;EDATE(DATE(2026,10,1),1))+COUNTIFS(Stripe_Invoices_Upload!$D$4:$D$5003,$A70,Stripe_Invoices_Upload!$E$4:$E$5003,"*Subscription*",Stripe_Invoices_Upload!$A$4:$A$5003,"&gt;="&amp;DATE(2026,10,1),Stripe_Invoices_Upload!$A$4:$A$5003,"&lt;"&amp;EDATE(DATE(2026,10,1),1)))&gt;0,"✓ Invoiced","⚠ Due"),""),""))</f>
        <v/>
      </c>
      <c r="N70" s="130" t="str">
        <f aca="false">IF($A70="","",IF((DATE(YEAR($E70),MONTH($E70),1)&lt;=DATE(2026,11,1)),IF((MOD(DATEDIF(DATE(YEAR($E70),MONTH($E70),1),DATE(2026,11,1),"m"),IF($D70="Quarterly",3,IF($D70="Annual",12,1)))=0),IF((COUNTIFS(Xero_Raw!$D$4:$D$5003,$A70,Xero_Raw!$G$4:$G$5003,"*Subscription*",Xero_Raw!$A$4:$A$5003,"&gt;="&amp;DATE(2026,11,1),Xero_Raw!$A$4:$A$5003,"&lt;"&amp;EDATE(DATE(2026,11,1),1))+COUNTIFS(Customer_Invoices_Upload!$E$4:$E$5003,$A70,Customer_Invoices_Upload!$G$4:$G$5003,"*Subscription*",Customer_Invoices_Upload!$B$4:$B$5003,"&gt;="&amp;DATE(2026,11,1),Customer_Invoices_Upload!$B$4:$B$5003,"&lt;"&amp;EDATE(DATE(2026,11,1),1))+COUNTIFS(Stripe_Invoices_Upload!$D$4:$D$5003,$A70,Stripe_Invoices_Upload!$E$4:$E$5003,"*Subscription*",Stripe_Invoices_Upload!$A$4:$A$5003,"&gt;="&amp;DATE(2026,11,1),Stripe_Invoices_Upload!$A$4:$A$5003,"&lt;"&amp;EDATE(DATE(2026,11,1),1)))&gt;0,"✓ Invoiced","⚠ Due"),""),""))</f>
        <v/>
      </c>
      <c r="O70" s="130" t="str">
        <f aca="false">IF($A70="","",IF((DATE(YEAR($E70),MONTH($E70),1)&lt;=DATE(2026,12,1)),IF((MOD(DATEDIF(DATE(YEAR($E70),MONTH($E70),1),DATE(2026,12,1),"m"),IF($D70="Quarterly",3,IF($D70="Annual",12,1)))=0),IF((COUNTIFS(Xero_Raw!$D$4:$D$5003,$A70,Xero_Raw!$G$4:$G$5003,"*Subscription*",Xero_Raw!$A$4:$A$5003,"&gt;="&amp;DATE(2026,12,1),Xero_Raw!$A$4:$A$5003,"&lt;"&amp;EDATE(DATE(2026,12,1),1))+COUNTIFS(Customer_Invoices_Upload!$E$4:$E$5003,$A70,Customer_Invoices_Upload!$G$4:$G$5003,"*Subscription*",Customer_Invoices_Upload!$B$4:$B$5003,"&gt;="&amp;DATE(2026,12,1),Customer_Invoices_Upload!$B$4:$B$5003,"&lt;"&amp;EDATE(DATE(2026,12,1),1))+COUNTIFS(Stripe_Invoices_Upload!$D$4:$D$5003,$A70,Stripe_Invoices_Upload!$E$4:$E$5003,"*Subscription*",Stripe_Invoices_Upload!$A$4:$A$5003,"&gt;="&amp;DATE(2026,12,1),Stripe_Invoices_Upload!$A$4:$A$5003,"&lt;"&amp;EDATE(DATE(2026,12,1),1)))&gt;0,"✓ Invoiced","⚠ Due"),""),""))</f>
        <v/>
      </c>
      <c r="P70" s="130" t="str">
        <f aca="false">IF($A70="","",IF((DATE(YEAR($E70),MONTH($E70),1)&lt;=DATE(2027,1,1)),IF((MOD(DATEDIF(DATE(YEAR($E70),MONTH($E70),1),DATE(2027,1,1),"m"),IF($D70="Quarterly",3,IF($D70="Annual",12,1)))=0),IF((COUNTIFS(Xero_Raw!$D$4:$D$5003,$A70,Xero_Raw!$G$4:$G$5003,"*Subscription*",Xero_Raw!$A$4:$A$5003,"&gt;="&amp;DATE(2027,1,1),Xero_Raw!$A$4:$A$5003,"&lt;"&amp;EDATE(DATE(2027,1,1),1))+COUNTIFS(Customer_Invoices_Upload!$E$4:$E$5003,$A70,Customer_Invoices_Upload!$G$4:$G$5003,"*Subscription*",Customer_Invoices_Upload!$B$4:$B$5003,"&gt;="&amp;DATE(2027,1,1),Customer_Invoices_Upload!$B$4:$B$5003,"&lt;"&amp;EDATE(DATE(2027,1,1),1))+COUNTIFS(Stripe_Invoices_Upload!$D$4:$D$5003,$A70,Stripe_Invoices_Upload!$E$4:$E$5003,"*Subscription*",Stripe_Invoices_Upload!$A$4:$A$5003,"&gt;="&amp;DATE(2027,1,1),Stripe_Invoices_Upload!$A$4:$A$5003,"&lt;"&amp;EDATE(DATE(2027,1,1),1)))&gt;0,"✓ Invoiced","⚠ Due"),""),""))</f>
        <v/>
      </c>
      <c r="Q70" s="130" t="str">
        <f aca="false">IF($A70="","",IF((DATE(YEAR($E70),MONTH($E70),1)&lt;=DATE(2027,2,1)),IF((MOD(DATEDIF(DATE(YEAR($E70),MONTH($E70),1),DATE(2027,2,1),"m"),IF($D70="Quarterly",3,IF($D70="Annual",12,1)))=0),IF((COUNTIFS(Xero_Raw!$D$4:$D$5003,$A70,Xero_Raw!$G$4:$G$5003,"*Subscription*",Xero_Raw!$A$4:$A$5003,"&gt;="&amp;DATE(2027,2,1),Xero_Raw!$A$4:$A$5003,"&lt;"&amp;EDATE(DATE(2027,2,1),1))+COUNTIFS(Customer_Invoices_Upload!$E$4:$E$5003,$A70,Customer_Invoices_Upload!$G$4:$G$5003,"*Subscription*",Customer_Invoices_Upload!$B$4:$B$5003,"&gt;="&amp;DATE(2027,2,1),Customer_Invoices_Upload!$B$4:$B$5003,"&lt;"&amp;EDATE(DATE(2027,2,1),1))+COUNTIFS(Stripe_Invoices_Upload!$D$4:$D$5003,$A70,Stripe_Invoices_Upload!$E$4:$E$5003,"*Subscription*",Stripe_Invoices_Upload!$A$4:$A$5003,"&gt;="&amp;DATE(2027,2,1),Stripe_Invoices_Upload!$A$4:$A$5003,"&lt;"&amp;EDATE(DATE(2027,2,1),1)))&gt;0,"✓ Invoiced","⚠ Due"),""),""))</f>
        <v/>
      </c>
      <c r="R70" s="130" t="str">
        <f aca="false">IF($A70="","",IF((DATE(YEAR($E70),MONTH($E70),1)&lt;=DATE(2027,3,1)),IF((MOD(DATEDIF(DATE(YEAR($E70),MONTH($E70),1),DATE(2027,3,1),"m"),IF($D70="Quarterly",3,IF($D70="Annual",12,1)))=0),IF((COUNTIFS(Xero_Raw!$D$4:$D$5003,$A70,Xero_Raw!$G$4:$G$5003,"*Subscription*",Xero_Raw!$A$4:$A$5003,"&gt;="&amp;DATE(2027,3,1),Xero_Raw!$A$4:$A$5003,"&lt;"&amp;EDATE(DATE(2027,3,1),1))+COUNTIFS(Customer_Invoices_Upload!$E$4:$E$5003,$A70,Customer_Invoices_Upload!$G$4:$G$5003,"*Subscription*",Customer_Invoices_Upload!$B$4:$B$5003,"&gt;="&amp;DATE(2027,3,1),Customer_Invoices_Upload!$B$4:$B$5003,"&lt;"&amp;EDATE(DATE(2027,3,1),1))+COUNTIFS(Stripe_Invoices_Upload!$D$4:$D$5003,$A70,Stripe_Invoices_Upload!$E$4:$E$5003,"*Subscription*",Stripe_Invoices_Upload!$A$4:$A$5003,"&gt;="&amp;DATE(2027,3,1),Stripe_Invoices_Upload!$A$4:$A$5003,"&lt;"&amp;EDATE(DATE(2027,3,1),1)))&gt;0,"✓ Invoiced","⚠ Due"),""),""))</f>
        <v/>
      </c>
    </row>
    <row r="71" customFormat="false" ht="15" hidden="false" customHeight="false" outlineLevel="0" collapsed="false">
      <c r="A71" s="39"/>
      <c r="B71" s="39"/>
      <c r="C71" s="40"/>
      <c r="D71" s="39"/>
      <c r="E71" s="38"/>
      <c r="F71" s="129" t="str">
        <f aca="true">IF($A71="","",EDATE($E71,DATEDIF($E71,TODAY(),"m")+1))</f>
        <v/>
      </c>
      <c r="G71" s="130" t="str">
        <f aca="false">IF($A71="","",IF((DATE(YEAR($E71),MONTH($E71),1)&lt;=DATE(2026,4,1)),IF((MOD(DATEDIF(DATE(YEAR($E71),MONTH($E71),1),DATE(2026,4,1),"m"),IF($D71="Quarterly",3,IF($D71="Annual",12,1)))=0),IF((COUNTIFS(Xero_Raw!$D$4:$D$5003,$A71,Xero_Raw!$G$4:$G$5003,"*Subscription*",Xero_Raw!$A$4:$A$5003,"&gt;="&amp;DATE(2026,4,1),Xero_Raw!$A$4:$A$5003,"&lt;"&amp;EDATE(DATE(2026,4,1),1))+COUNTIFS(Customer_Invoices_Upload!$E$4:$E$5003,$A71,Customer_Invoices_Upload!$G$4:$G$5003,"*Subscription*",Customer_Invoices_Upload!$B$4:$B$5003,"&gt;="&amp;DATE(2026,4,1),Customer_Invoices_Upload!$B$4:$B$5003,"&lt;"&amp;EDATE(DATE(2026,4,1),1))+COUNTIFS(Stripe_Invoices_Upload!$D$4:$D$5003,$A71,Stripe_Invoices_Upload!$E$4:$E$5003,"*Subscription*",Stripe_Invoices_Upload!$A$4:$A$5003,"&gt;="&amp;DATE(2026,4,1),Stripe_Invoices_Upload!$A$4:$A$5003,"&lt;"&amp;EDATE(DATE(2026,4,1),1)))&gt;0,"✓ Invoiced","⚠ Due"),""),""))</f>
        <v/>
      </c>
      <c r="H71" s="130" t="str">
        <f aca="false">IF($A71="","",IF((DATE(YEAR($E71),MONTH($E71),1)&lt;=DATE(2026,5,1)),IF((MOD(DATEDIF(DATE(YEAR($E71),MONTH($E71),1),DATE(2026,5,1),"m"),IF($D71="Quarterly",3,IF($D71="Annual",12,1)))=0),IF((COUNTIFS(Xero_Raw!$D$4:$D$5003,$A71,Xero_Raw!$G$4:$G$5003,"*Subscription*",Xero_Raw!$A$4:$A$5003,"&gt;="&amp;DATE(2026,5,1),Xero_Raw!$A$4:$A$5003,"&lt;"&amp;EDATE(DATE(2026,5,1),1))+COUNTIFS(Customer_Invoices_Upload!$E$4:$E$5003,$A71,Customer_Invoices_Upload!$G$4:$G$5003,"*Subscription*",Customer_Invoices_Upload!$B$4:$B$5003,"&gt;="&amp;DATE(2026,5,1),Customer_Invoices_Upload!$B$4:$B$5003,"&lt;"&amp;EDATE(DATE(2026,5,1),1))+COUNTIFS(Stripe_Invoices_Upload!$D$4:$D$5003,$A71,Stripe_Invoices_Upload!$E$4:$E$5003,"*Subscription*",Stripe_Invoices_Upload!$A$4:$A$5003,"&gt;="&amp;DATE(2026,5,1),Stripe_Invoices_Upload!$A$4:$A$5003,"&lt;"&amp;EDATE(DATE(2026,5,1),1)))&gt;0,"✓ Invoiced","⚠ Due"),""),""))</f>
        <v/>
      </c>
      <c r="I71" s="130" t="str">
        <f aca="false">IF($A71="","",IF((DATE(YEAR($E71),MONTH($E71),1)&lt;=DATE(2026,6,1)),IF((MOD(DATEDIF(DATE(YEAR($E71),MONTH($E71),1),DATE(2026,6,1),"m"),IF($D71="Quarterly",3,IF($D71="Annual",12,1)))=0),IF((COUNTIFS(Xero_Raw!$D$4:$D$5003,$A71,Xero_Raw!$G$4:$G$5003,"*Subscription*",Xero_Raw!$A$4:$A$5003,"&gt;="&amp;DATE(2026,6,1),Xero_Raw!$A$4:$A$5003,"&lt;"&amp;EDATE(DATE(2026,6,1),1))+COUNTIFS(Customer_Invoices_Upload!$E$4:$E$5003,$A71,Customer_Invoices_Upload!$G$4:$G$5003,"*Subscription*",Customer_Invoices_Upload!$B$4:$B$5003,"&gt;="&amp;DATE(2026,6,1),Customer_Invoices_Upload!$B$4:$B$5003,"&lt;"&amp;EDATE(DATE(2026,6,1),1))+COUNTIFS(Stripe_Invoices_Upload!$D$4:$D$5003,$A71,Stripe_Invoices_Upload!$E$4:$E$5003,"*Subscription*",Stripe_Invoices_Upload!$A$4:$A$5003,"&gt;="&amp;DATE(2026,6,1),Stripe_Invoices_Upload!$A$4:$A$5003,"&lt;"&amp;EDATE(DATE(2026,6,1),1)))&gt;0,"✓ Invoiced","⚠ Due"),""),""))</f>
        <v/>
      </c>
      <c r="J71" s="130" t="str">
        <f aca="false">IF($A71="","",IF((DATE(YEAR($E71),MONTH($E71),1)&lt;=DATE(2026,7,1)),IF((MOD(DATEDIF(DATE(YEAR($E71),MONTH($E71),1),DATE(2026,7,1),"m"),IF($D71="Quarterly",3,IF($D71="Annual",12,1)))=0),IF((COUNTIFS(Xero_Raw!$D$4:$D$5003,$A71,Xero_Raw!$G$4:$G$5003,"*Subscription*",Xero_Raw!$A$4:$A$5003,"&gt;="&amp;DATE(2026,7,1),Xero_Raw!$A$4:$A$5003,"&lt;"&amp;EDATE(DATE(2026,7,1),1))+COUNTIFS(Customer_Invoices_Upload!$E$4:$E$5003,$A71,Customer_Invoices_Upload!$G$4:$G$5003,"*Subscription*",Customer_Invoices_Upload!$B$4:$B$5003,"&gt;="&amp;DATE(2026,7,1),Customer_Invoices_Upload!$B$4:$B$5003,"&lt;"&amp;EDATE(DATE(2026,7,1),1))+COUNTIFS(Stripe_Invoices_Upload!$D$4:$D$5003,$A71,Stripe_Invoices_Upload!$E$4:$E$5003,"*Subscription*",Stripe_Invoices_Upload!$A$4:$A$5003,"&gt;="&amp;DATE(2026,7,1),Stripe_Invoices_Upload!$A$4:$A$5003,"&lt;"&amp;EDATE(DATE(2026,7,1),1)))&gt;0,"✓ Invoiced","⚠ Due"),""),""))</f>
        <v/>
      </c>
      <c r="K71" s="130" t="str">
        <f aca="false">IF($A71="","",IF((DATE(YEAR($E71),MONTH($E71),1)&lt;=DATE(2026,8,1)),IF((MOD(DATEDIF(DATE(YEAR($E71),MONTH($E71),1),DATE(2026,8,1),"m"),IF($D71="Quarterly",3,IF($D71="Annual",12,1)))=0),IF((COUNTIFS(Xero_Raw!$D$4:$D$5003,$A71,Xero_Raw!$G$4:$G$5003,"*Subscription*",Xero_Raw!$A$4:$A$5003,"&gt;="&amp;DATE(2026,8,1),Xero_Raw!$A$4:$A$5003,"&lt;"&amp;EDATE(DATE(2026,8,1),1))+COUNTIFS(Customer_Invoices_Upload!$E$4:$E$5003,$A71,Customer_Invoices_Upload!$G$4:$G$5003,"*Subscription*",Customer_Invoices_Upload!$B$4:$B$5003,"&gt;="&amp;DATE(2026,8,1),Customer_Invoices_Upload!$B$4:$B$5003,"&lt;"&amp;EDATE(DATE(2026,8,1),1))+COUNTIFS(Stripe_Invoices_Upload!$D$4:$D$5003,$A71,Stripe_Invoices_Upload!$E$4:$E$5003,"*Subscription*",Stripe_Invoices_Upload!$A$4:$A$5003,"&gt;="&amp;DATE(2026,8,1),Stripe_Invoices_Upload!$A$4:$A$5003,"&lt;"&amp;EDATE(DATE(2026,8,1),1)))&gt;0,"✓ Invoiced","⚠ Due"),""),""))</f>
        <v/>
      </c>
      <c r="L71" s="130" t="str">
        <f aca="false">IF($A71="","",IF((DATE(YEAR($E71),MONTH($E71),1)&lt;=DATE(2026,9,1)),IF((MOD(DATEDIF(DATE(YEAR($E71),MONTH($E71),1),DATE(2026,9,1),"m"),IF($D71="Quarterly",3,IF($D71="Annual",12,1)))=0),IF((COUNTIFS(Xero_Raw!$D$4:$D$5003,$A71,Xero_Raw!$G$4:$G$5003,"*Subscription*",Xero_Raw!$A$4:$A$5003,"&gt;="&amp;DATE(2026,9,1),Xero_Raw!$A$4:$A$5003,"&lt;"&amp;EDATE(DATE(2026,9,1),1))+COUNTIFS(Customer_Invoices_Upload!$E$4:$E$5003,$A71,Customer_Invoices_Upload!$G$4:$G$5003,"*Subscription*",Customer_Invoices_Upload!$B$4:$B$5003,"&gt;="&amp;DATE(2026,9,1),Customer_Invoices_Upload!$B$4:$B$5003,"&lt;"&amp;EDATE(DATE(2026,9,1),1))+COUNTIFS(Stripe_Invoices_Upload!$D$4:$D$5003,$A71,Stripe_Invoices_Upload!$E$4:$E$5003,"*Subscription*",Stripe_Invoices_Upload!$A$4:$A$5003,"&gt;="&amp;DATE(2026,9,1),Stripe_Invoices_Upload!$A$4:$A$5003,"&lt;"&amp;EDATE(DATE(2026,9,1),1)))&gt;0,"✓ Invoiced","⚠ Due"),""),""))</f>
        <v/>
      </c>
      <c r="M71" s="130" t="str">
        <f aca="false">IF($A71="","",IF((DATE(YEAR($E71),MONTH($E71),1)&lt;=DATE(2026,10,1)),IF((MOD(DATEDIF(DATE(YEAR($E71),MONTH($E71),1),DATE(2026,10,1),"m"),IF($D71="Quarterly",3,IF($D71="Annual",12,1)))=0),IF((COUNTIFS(Xero_Raw!$D$4:$D$5003,$A71,Xero_Raw!$G$4:$G$5003,"*Subscription*",Xero_Raw!$A$4:$A$5003,"&gt;="&amp;DATE(2026,10,1),Xero_Raw!$A$4:$A$5003,"&lt;"&amp;EDATE(DATE(2026,10,1),1))+COUNTIFS(Customer_Invoices_Upload!$E$4:$E$5003,$A71,Customer_Invoices_Upload!$G$4:$G$5003,"*Subscription*",Customer_Invoices_Upload!$B$4:$B$5003,"&gt;="&amp;DATE(2026,10,1),Customer_Invoices_Upload!$B$4:$B$5003,"&lt;"&amp;EDATE(DATE(2026,10,1),1))+COUNTIFS(Stripe_Invoices_Upload!$D$4:$D$5003,$A71,Stripe_Invoices_Upload!$E$4:$E$5003,"*Subscription*",Stripe_Invoices_Upload!$A$4:$A$5003,"&gt;="&amp;DATE(2026,10,1),Stripe_Invoices_Upload!$A$4:$A$5003,"&lt;"&amp;EDATE(DATE(2026,10,1),1)))&gt;0,"✓ Invoiced","⚠ Due"),""),""))</f>
        <v/>
      </c>
      <c r="N71" s="130" t="str">
        <f aca="false">IF($A71="","",IF((DATE(YEAR($E71),MONTH($E71),1)&lt;=DATE(2026,11,1)),IF((MOD(DATEDIF(DATE(YEAR($E71),MONTH($E71),1),DATE(2026,11,1),"m"),IF($D71="Quarterly",3,IF($D71="Annual",12,1)))=0),IF((COUNTIFS(Xero_Raw!$D$4:$D$5003,$A71,Xero_Raw!$G$4:$G$5003,"*Subscription*",Xero_Raw!$A$4:$A$5003,"&gt;="&amp;DATE(2026,11,1),Xero_Raw!$A$4:$A$5003,"&lt;"&amp;EDATE(DATE(2026,11,1),1))+COUNTIFS(Customer_Invoices_Upload!$E$4:$E$5003,$A71,Customer_Invoices_Upload!$G$4:$G$5003,"*Subscription*",Customer_Invoices_Upload!$B$4:$B$5003,"&gt;="&amp;DATE(2026,11,1),Customer_Invoices_Upload!$B$4:$B$5003,"&lt;"&amp;EDATE(DATE(2026,11,1),1))+COUNTIFS(Stripe_Invoices_Upload!$D$4:$D$5003,$A71,Stripe_Invoices_Upload!$E$4:$E$5003,"*Subscription*",Stripe_Invoices_Upload!$A$4:$A$5003,"&gt;="&amp;DATE(2026,11,1),Stripe_Invoices_Upload!$A$4:$A$5003,"&lt;"&amp;EDATE(DATE(2026,11,1),1)))&gt;0,"✓ Invoiced","⚠ Due"),""),""))</f>
        <v/>
      </c>
      <c r="O71" s="130" t="str">
        <f aca="false">IF($A71="","",IF((DATE(YEAR($E71),MONTH($E71),1)&lt;=DATE(2026,12,1)),IF((MOD(DATEDIF(DATE(YEAR($E71),MONTH($E71),1),DATE(2026,12,1),"m"),IF($D71="Quarterly",3,IF($D71="Annual",12,1)))=0),IF((COUNTIFS(Xero_Raw!$D$4:$D$5003,$A71,Xero_Raw!$G$4:$G$5003,"*Subscription*",Xero_Raw!$A$4:$A$5003,"&gt;="&amp;DATE(2026,12,1),Xero_Raw!$A$4:$A$5003,"&lt;"&amp;EDATE(DATE(2026,12,1),1))+COUNTIFS(Customer_Invoices_Upload!$E$4:$E$5003,$A71,Customer_Invoices_Upload!$G$4:$G$5003,"*Subscription*",Customer_Invoices_Upload!$B$4:$B$5003,"&gt;="&amp;DATE(2026,12,1),Customer_Invoices_Upload!$B$4:$B$5003,"&lt;"&amp;EDATE(DATE(2026,12,1),1))+COUNTIFS(Stripe_Invoices_Upload!$D$4:$D$5003,$A71,Stripe_Invoices_Upload!$E$4:$E$5003,"*Subscription*",Stripe_Invoices_Upload!$A$4:$A$5003,"&gt;="&amp;DATE(2026,12,1),Stripe_Invoices_Upload!$A$4:$A$5003,"&lt;"&amp;EDATE(DATE(2026,12,1),1)))&gt;0,"✓ Invoiced","⚠ Due"),""),""))</f>
        <v/>
      </c>
      <c r="P71" s="130" t="str">
        <f aca="false">IF($A71="","",IF((DATE(YEAR($E71),MONTH($E71),1)&lt;=DATE(2027,1,1)),IF((MOD(DATEDIF(DATE(YEAR($E71),MONTH($E71),1),DATE(2027,1,1),"m"),IF($D71="Quarterly",3,IF($D71="Annual",12,1)))=0),IF((COUNTIFS(Xero_Raw!$D$4:$D$5003,$A71,Xero_Raw!$G$4:$G$5003,"*Subscription*",Xero_Raw!$A$4:$A$5003,"&gt;="&amp;DATE(2027,1,1),Xero_Raw!$A$4:$A$5003,"&lt;"&amp;EDATE(DATE(2027,1,1),1))+COUNTIFS(Customer_Invoices_Upload!$E$4:$E$5003,$A71,Customer_Invoices_Upload!$G$4:$G$5003,"*Subscription*",Customer_Invoices_Upload!$B$4:$B$5003,"&gt;="&amp;DATE(2027,1,1),Customer_Invoices_Upload!$B$4:$B$5003,"&lt;"&amp;EDATE(DATE(2027,1,1),1))+COUNTIFS(Stripe_Invoices_Upload!$D$4:$D$5003,$A71,Stripe_Invoices_Upload!$E$4:$E$5003,"*Subscription*",Stripe_Invoices_Upload!$A$4:$A$5003,"&gt;="&amp;DATE(2027,1,1),Stripe_Invoices_Upload!$A$4:$A$5003,"&lt;"&amp;EDATE(DATE(2027,1,1),1)))&gt;0,"✓ Invoiced","⚠ Due"),""),""))</f>
        <v/>
      </c>
      <c r="Q71" s="130" t="str">
        <f aca="false">IF($A71="","",IF((DATE(YEAR($E71),MONTH($E71),1)&lt;=DATE(2027,2,1)),IF((MOD(DATEDIF(DATE(YEAR($E71),MONTH($E71),1),DATE(2027,2,1),"m"),IF($D71="Quarterly",3,IF($D71="Annual",12,1)))=0),IF((COUNTIFS(Xero_Raw!$D$4:$D$5003,$A71,Xero_Raw!$G$4:$G$5003,"*Subscription*",Xero_Raw!$A$4:$A$5003,"&gt;="&amp;DATE(2027,2,1),Xero_Raw!$A$4:$A$5003,"&lt;"&amp;EDATE(DATE(2027,2,1),1))+COUNTIFS(Customer_Invoices_Upload!$E$4:$E$5003,$A71,Customer_Invoices_Upload!$G$4:$G$5003,"*Subscription*",Customer_Invoices_Upload!$B$4:$B$5003,"&gt;="&amp;DATE(2027,2,1),Customer_Invoices_Upload!$B$4:$B$5003,"&lt;"&amp;EDATE(DATE(2027,2,1),1))+COUNTIFS(Stripe_Invoices_Upload!$D$4:$D$5003,$A71,Stripe_Invoices_Upload!$E$4:$E$5003,"*Subscription*",Stripe_Invoices_Upload!$A$4:$A$5003,"&gt;="&amp;DATE(2027,2,1),Stripe_Invoices_Upload!$A$4:$A$5003,"&lt;"&amp;EDATE(DATE(2027,2,1),1)))&gt;0,"✓ Invoiced","⚠ Due"),""),""))</f>
        <v/>
      </c>
      <c r="R71" s="130" t="str">
        <f aca="false">IF($A71="","",IF((DATE(YEAR($E71),MONTH($E71),1)&lt;=DATE(2027,3,1)),IF((MOD(DATEDIF(DATE(YEAR($E71),MONTH($E71),1),DATE(2027,3,1),"m"),IF($D71="Quarterly",3,IF($D71="Annual",12,1)))=0),IF((COUNTIFS(Xero_Raw!$D$4:$D$5003,$A71,Xero_Raw!$G$4:$G$5003,"*Subscription*",Xero_Raw!$A$4:$A$5003,"&gt;="&amp;DATE(2027,3,1),Xero_Raw!$A$4:$A$5003,"&lt;"&amp;EDATE(DATE(2027,3,1),1))+COUNTIFS(Customer_Invoices_Upload!$E$4:$E$5003,$A71,Customer_Invoices_Upload!$G$4:$G$5003,"*Subscription*",Customer_Invoices_Upload!$B$4:$B$5003,"&gt;="&amp;DATE(2027,3,1),Customer_Invoices_Upload!$B$4:$B$5003,"&lt;"&amp;EDATE(DATE(2027,3,1),1))+COUNTIFS(Stripe_Invoices_Upload!$D$4:$D$5003,$A71,Stripe_Invoices_Upload!$E$4:$E$5003,"*Subscription*",Stripe_Invoices_Upload!$A$4:$A$5003,"&gt;="&amp;DATE(2027,3,1),Stripe_Invoices_Upload!$A$4:$A$5003,"&lt;"&amp;EDATE(DATE(2027,3,1),1)))&gt;0,"✓ Invoiced","⚠ Due"),""),""))</f>
        <v/>
      </c>
    </row>
    <row r="72" customFormat="false" ht="15" hidden="false" customHeight="false" outlineLevel="0" collapsed="false">
      <c r="A72" s="39"/>
      <c r="B72" s="39"/>
      <c r="C72" s="40"/>
      <c r="D72" s="39"/>
      <c r="E72" s="38"/>
      <c r="F72" s="129" t="str">
        <f aca="true">IF($A72="","",EDATE($E72,DATEDIF($E72,TODAY(),"m")+1))</f>
        <v/>
      </c>
      <c r="G72" s="130" t="str">
        <f aca="false">IF($A72="","",IF((DATE(YEAR($E72),MONTH($E72),1)&lt;=DATE(2026,4,1)),IF((MOD(DATEDIF(DATE(YEAR($E72),MONTH($E72),1),DATE(2026,4,1),"m"),IF($D72="Quarterly",3,IF($D72="Annual",12,1)))=0),IF((COUNTIFS(Xero_Raw!$D$4:$D$5003,$A72,Xero_Raw!$G$4:$G$5003,"*Subscription*",Xero_Raw!$A$4:$A$5003,"&gt;="&amp;DATE(2026,4,1),Xero_Raw!$A$4:$A$5003,"&lt;"&amp;EDATE(DATE(2026,4,1),1))+COUNTIFS(Customer_Invoices_Upload!$E$4:$E$5003,$A72,Customer_Invoices_Upload!$G$4:$G$5003,"*Subscription*",Customer_Invoices_Upload!$B$4:$B$5003,"&gt;="&amp;DATE(2026,4,1),Customer_Invoices_Upload!$B$4:$B$5003,"&lt;"&amp;EDATE(DATE(2026,4,1),1))+COUNTIFS(Stripe_Invoices_Upload!$D$4:$D$5003,$A72,Stripe_Invoices_Upload!$E$4:$E$5003,"*Subscription*",Stripe_Invoices_Upload!$A$4:$A$5003,"&gt;="&amp;DATE(2026,4,1),Stripe_Invoices_Upload!$A$4:$A$5003,"&lt;"&amp;EDATE(DATE(2026,4,1),1)))&gt;0,"✓ Invoiced","⚠ Due"),""),""))</f>
        <v/>
      </c>
      <c r="H72" s="130" t="str">
        <f aca="false">IF($A72="","",IF((DATE(YEAR($E72),MONTH($E72),1)&lt;=DATE(2026,5,1)),IF((MOD(DATEDIF(DATE(YEAR($E72),MONTH($E72),1),DATE(2026,5,1),"m"),IF($D72="Quarterly",3,IF($D72="Annual",12,1)))=0),IF((COUNTIFS(Xero_Raw!$D$4:$D$5003,$A72,Xero_Raw!$G$4:$G$5003,"*Subscription*",Xero_Raw!$A$4:$A$5003,"&gt;="&amp;DATE(2026,5,1),Xero_Raw!$A$4:$A$5003,"&lt;"&amp;EDATE(DATE(2026,5,1),1))+COUNTIFS(Customer_Invoices_Upload!$E$4:$E$5003,$A72,Customer_Invoices_Upload!$G$4:$G$5003,"*Subscription*",Customer_Invoices_Upload!$B$4:$B$5003,"&gt;="&amp;DATE(2026,5,1),Customer_Invoices_Upload!$B$4:$B$5003,"&lt;"&amp;EDATE(DATE(2026,5,1),1))+COUNTIFS(Stripe_Invoices_Upload!$D$4:$D$5003,$A72,Stripe_Invoices_Upload!$E$4:$E$5003,"*Subscription*",Stripe_Invoices_Upload!$A$4:$A$5003,"&gt;="&amp;DATE(2026,5,1),Stripe_Invoices_Upload!$A$4:$A$5003,"&lt;"&amp;EDATE(DATE(2026,5,1),1)))&gt;0,"✓ Invoiced","⚠ Due"),""),""))</f>
        <v/>
      </c>
      <c r="I72" s="130" t="str">
        <f aca="false">IF($A72="","",IF((DATE(YEAR($E72),MONTH($E72),1)&lt;=DATE(2026,6,1)),IF((MOD(DATEDIF(DATE(YEAR($E72),MONTH($E72),1),DATE(2026,6,1),"m"),IF($D72="Quarterly",3,IF($D72="Annual",12,1)))=0),IF((COUNTIFS(Xero_Raw!$D$4:$D$5003,$A72,Xero_Raw!$G$4:$G$5003,"*Subscription*",Xero_Raw!$A$4:$A$5003,"&gt;="&amp;DATE(2026,6,1),Xero_Raw!$A$4:$A$5003,"&lt;"&amp;EDATE(DATE(2026,6,1),1))+COUNTIFS(Customer_Invoices_Upload!$E$4:$E$5003,$A72,Customer_Invoices_Upload!$G$4:$G$5003,"*Subscription*",Customer_Invoices_Upload!$B$4:$B$5003,"&gt;="&amp;DATE(2026,6,1),Customer_Invoices_Upload!$B$4:$B$5003,"&lt;"&amp;EDATE(DATE(2026,6,1),1))+COUNTIFS(Stripe_Invoices_Upload!$D$4:$D$5003,$A72,Stripe_Invoices_Upload!$E$4:$E$5003,"*Subscription*",Stripe_Invoices_Upload!$A$4:$A$5003,"&gt;="&amp;DATE(2026,6,1),Stripe_Invoices_Upload!$A$4:$A$5003,"&lt;"&amp;EDATE(DATE(2026,6,1),1)))&gt;0,"✓ Invoiced","⚠ Due"),""),""))</f>
        <v/>
      </c>
      <c r="J72" s="130" t="str">
        <f aca="false">IF($A72="","",IF((DATE(YEAR($E72),MONTH($E72),1)&lt;=DATE(2026,7,1)),IF((MOD(DATEDIF(DATE(YEAR($E72),MONTH($E72),1),DATE(2026,7,1),"m"),IF($D72="Quarterly",3,IF($D72="Annual",12,1)))=0),IF((COUNTIFS(Xero_Raw!$D$4:$D$5003,$A72,Xero_Raw!$G$4:$G$5003,"*Subscription*",Xero_Raw!$A$4:$A$5003,"&gt;="&amp;DATE(2026,7,1),Xero_Raw!$A$4:$A$5003,"&lt;"&amp;EDATE(DATE(2026,7,1),1))+COUNTIFS(Customer_Invoices_Upload!$E$4:$E$5003,$A72,Customer_Invoices_Upload!$G$4:$G$5003,"*Subscription*",Customer_Invoices_Upload!$B$4:$B$5003,"&gt;="&amp;DATE(2026,7,1),Customer_Invoices_Upload!$B$4:$B$5003,"&lt;"&amp;EDATE(DATE(2026,7,1),1))+COUNTIFS(Stripe_Invoices_Upload!$D$4:$D$5003,$A72,Stripe_Invoices_Upload!$E$4:$E$5003,"*Subscription*",Stripe_Invoices_Upload!$A$4:$A$5003,"&gt;="&amp;DATE(2026,7,1),Stripe_Invoices_Upload!$A$4:$A$5003,"&lt;"&amp;EDATE(DATE(2026,7,1),1)))&gt;0,"✓ Invoiced","⚠ Due"),""),""))</f>
        <v/>
      </c>
      <c r="K72" s="130" t="str">
        <f aca="false">IF($A72="","",IF((DATE(YEAR($E72),MONTH($E72),1)&lt;=DATE(2026,8,1)),IF((MOD(DATEDIF(DATE(YEAR($E72),MONTH($E72),1),DATE(2026,8,1),"m"),IF($D72="Quarterly",3,IF($D72="Annual",12,1)))=0),IF((COUNTIFS(Xero_Raw!$D$4:$D$5003,$A72,Xero_Raw!$G$4:$G$5003,"*Subscription*",Xero_Raw!$A$4:$A$5003,"&gt;="&amp;DATE(2026,8,1),Xero_Raw!$A$4:$A$5003,"&lt;"&amp;EDATE(DATE(2026,8,1),1))+COUNTIFS(Customer_Invoices_Upload!$E$4:$E$5003,$A72,Customer_Invoices_Upload!$G$4:$G$5003,"*Subscription*",Customer_Invoices_Upload!$B$4:$B$5003,"&gt;="&amp;DATE(2026,8,1),Customer_Invoices_Upload!$B$4:$B$5003,"&lt;"&amp;EDATE(DATE(2026,8,1),1))+COUNTIFS(Stripe_Invoices_Upload!$D$4:$D$5003,$A72,Stripe_Invoices_Upload!$E$4:$E$5003,"*Subscription*",Stripe_Invoices_Upload!$A$4:$A$5003,"&gt;="&amp;DATE(2026,8,1),Stripe_Invoices_Upload!$A$4:$A$5003,"&lt;"&amp;EDATE(DATE(2026,8,1),1)))&gt;0,"✓ Invoiced","⚠ Due"),""),""))</f>
        <v/>
      </c>
      <c r="L72" s="130" t="str">
        <f aca="false">IF($A72="","",IF((DATE(YEAR($E72),MONTH($E72),1)&lt;=DATE(2026,9,1)),IF((MOD(DATEDIF(DATE(YEAR($E72),MONTH($E72),1),DATE(2026,9,1),"m"),IF($D72="Quarterly",3,IF($D72="Annual",12,1)))=0),IF((COUNTIFS(Xero_Raw!$D$4:$D$5003,$A72,Xero_Raw!$G$4:$G$5003,"*Subscription*",Xero_Raw!$A$4:$A$5003,"&gt;="&amp;DATE(2026,9,1),Xero_Raw!$A$4:$A$5003,"&lt;"&amp;EDATE(DATE(2026,9,1),1))+COUNTIFS(Customer_Invoices_Upload!$E$4:$E$5003,$A72,Customer_Invoices_Upload!$G$4:$G$5003,"*Subscription*",Customer_Invoices_Upload!$B$4:$B$5003,"&gt;="&amp;DATE(2026,9,1),Customer_Invoices_Upload!$B$4:$B$5003,"&lt;"&amp;EDATE(DATE(2026,9,1),1))+COUNTIFS(Stripe_Invoices_Upload!$D$4:$D$5003,$A72,Stripe_Invoices_Upload!$E$4:$E$5003,"*Subscription*",Stripe_Invoices_Upload!$A$4:$A$5003,"&gt;="&amp;DATE(2026,9,1),Stripe_Invoices_Upload!$A$4:$A$5003,"&lt;"&amp;EDATE(DATE(2026,9,1),1)))&gt;0,"✓ Invoiced","⚠ Due"),""),""))</f>
        <v/>
      </c>
      <c r="M72" s="130" t="str">
        <f aca="false">IF($A72="","",IF((DATE(YEAR($E72),MONTH($E72),1)&lt;=DATE(2026,10,1)),IF((MOD(DATEDIF(DATE(YEAR($E72),MONTH($E72),1),DATE(2026,10,1),"m"),IF($D72="Quarterly",3,IF($D72="Annual",12,1)))=0),IF((COUNTIFS(Xero_Raw!$D$4:$D$5003,$A72,Xero_Raw!$G$4:$G$5003,"*Subscription*",Xero_Raw!$A$4:$A$5003,"&gt;="&amp;DATE(2026,10,1),Xero_Raw!$A$4:$A$5003,"&lt;"&amp;EDATE(DATE(2026,10,1),1))+COUNTIFS(Customer_Invoices_Upload!$E$4:$E$5003,$A72,Customer_Invoices_Upload!$G$4:$G$5003,"*Subscription*",Customer_Invoices_Upload!$B$4:$B$5003,"&gt;="&amp;DATE(2026,10,1),Customer_Invoices_Upload!$B$4:$B$5003,"&lt;"&amp;EDATE(DATE(2026,10,1),1))+COUNTIFS(Stripe_Invoices_Upload!$D$4:$D$5003,$A72,Stripe_Invoices_Upload!$E$4:$E$5003,"*Subscription*",Stripe_Invoices_Upload!$A$4:$A$5003,"&gt;="&amp;DATE(2026,10,1),Stripe_Invoices_Upload!$A$4:$A$5003,"&lt;"&amp;EDATE(DATE(2026,10,1),1)))&gt;0,"✓ Invoiced","⚠ Due"),""),""))</f>
        <v/>
      </c>
      <c r="N72" s="130" t="str">
        <f aca="false">IF($A72="","",IF((DATE(YEAR($E72),MONTH($E72),1)&lt;=DATE(2026,11,1)),IF((MOD(DATEDIF(DATE(YEAR($E72),MONTH($E72),1),DATE(2026,11,1),"m"),IF($D72="Quarterly",3,IF($D72="Annual",12,1)))=0),IF((COUNTIFS(Xero_Raw!$D$4:$D$5003,$A72,Xero_Raw!$G$4:$G$5003,"*Subscription*",Xero_Raw!$A$4:$A$5003,"&gt;="&amp;DATE(2026,11,1),Xero_Raw!$A$4:$A$5003,"&lt;"&amp;EDATE(DATE(2026,11,1),1))+COUNTIFS(Customer_Invoices_Upload!$E$4:$E$5003,$A72,Customer_Invoices_Upload!$G$4:$G$5003,"*Subscription*",Customer_Invoices_Upload!$B$4:$B$5003,"&gt;="&amp;DATE(2026,11,1),Customer_Invoices_Upload!$B$4:$B$5003,"&lt;"&amp;EDATE(DATE(2026,11,1),1))+COUNTIFS(Stripe_Invoices_Upload!$D$4:$D$5003,$A72,Stripe_Invoices_Upload!$E$4:$E$5003,"*Subscription*",Stripe_Invoices_Upload!$A$4:$A$5003,"&gt;="&amp;DATE(2026,11,1),Stripe_Invoices_Upload!$A$4:$A$5003,"&lt;"&amp;EDATE(DATE(2026,11,1),1)))&gt;0,"✓ Invoiced","⚠ Due"),""),""))</f>
        <v/>
      </c>
      <c r="O72" s="130" t="str">
        <f aca="false">IF($A72="","",IF((DATE(YEAR($E72),MONTH($E72),1)&lt;=DATE(2026,12,1)),IF((MOD(DATEDIF(DATE(YEAR($E72),MONTH($E72),1),DATE(2026,12,1),"m"),IF($D72="Quarterly",3,IF($D72="Annual",12,1)))=0),IF((COUNTIFS(Xero_Raw!$D$4:$D$5003,$A72,Xero_Raw!$G$4:$G$5003,"*Subscription*",Xero_Raw!$A$4:$A$5003,"&gt;="&amp;DATE(2026,12,1),Xero_Raw!$A$4:$A$5003,"&lt;"&amp;EDATE(DATE(2026,12,1),1))+COUNTIFS(Customer_Invoices_Upload!$E$4:$E$5003,$A72,Customer_Invoices_Upload!$G$4:$G$5003,"*Subscription*",Customer_Invoices_Upload!$B$4:$B$5003,"&gt;="&amp;DATE(2026,12,1),Customer_Invoices_Upload!$B$4:$B$5003,"&lt;"&amp;EDATE(DATE(2026,12,1),1))+COUNTIFS(Stripe_Invoices_Upload!$D$4:$D$5003,$A72,Stripe_Invoices_Upload!$E$4:$E$5003,"*Subscription*",Stripe_Invoices_Upload!$A$4:$A$5003,"&gt;="&amp;DATE(2026,12,1),Stripe_Invoices_Upload!$A$4:$A$5003,"&lt;"&amp;EDATE(DATE(2026,12,1),1)))&gt;0,"✓ Invoiced","⚠ Due"),""),""))</f>
        <v/>
      </c>
      <c r="P72" s="130" t="str">
        <f aca="false">IF($A72="","",IF((DATE(YEAR($E72),MONTH($E72),1)&lt;=DATE(2027,1,1)),IF((MOD(DATEDIF(DATE(YEAR($E72),MONTH($E72),1),DATE(2027,1,1),"m"),IF($D72="Quarterly",3,IF($D72="Annual",12,1)))=0),IF((COUNTIFS(Xero_Raw!$D$4:$D$5003,$A72,Xero_Raw!$G$4:$G$5003,"*Subscription*",Xero_Raw!$A$4:$A$5003,"&gt;="&amp;DATE(2027,1,1),Xero_Raw!$A$4:$A$5003,"&lt;"&amp;EDATE(DATE(2027,1,1),1))+COUNTIFS(Customer_Invoices_Upload!$E$4:$E$5003,$A72,Customer_Invoices_Upload!$G$4:$G$5003,"*Subscription*",Customer_Invoices_Upload!$B$4:$B$5003,"&gt;="&amp;DATE(2027,1,1),Customer_Invoices_Upload!$B$4:$B$5003,"&lt;"&amp;EDATE(DATE(2027,1,1),1))+COUNTIFS(Stripe_Invoices_Upload!$D$4:$D$5003,$A72,Stripe_Invoices_Upload!$E$4:$E$5003,"*Subscription*",Stripe_Invoices_Upload!$A$4:$A$5003,"&gt;="&amp;DATE(2027,1,1),Stripe_Invoices_Upload!$A$4:$A$5003,"&lt;"&amp;EDATE(DATE(2027,1,1),1)))&gt;0,"✓ Invoiced","⚠ Due"),""),""))</f>
        <v/>
      </c>
      <c r="Q72" s="130" t="str">
        <f aca="false">IF($A72="","",IF((DATE(YEAR($E72),MONTH($E72),1)&lt;=DATE(2027,2,1)),IF((MOD(DATEDIF(DATE(YEAR($E72),MONTH($E72),1),DATE(2027,2,1),"m"),IF($D72="Quarterly",3,IF($D72="Annual",12,1)))=0),IF((COUNTIFS(Xero_Raw!$D$4:$D$5003,$A72,Xero_Raw!$G$4:$G$5003,"*Subscription*",Xero_Raw!$A$4:$A$5003,"&gt;="&amp;DATE(2027,2,1),Xero_Raw!$A$4:$A$5003,"&lt;"&amp;EDATE(DATE(2027,2,1),1))+COUNTIFS(Customer_Invoices_Upload!$E$4:$E$5003,$A72,Customer_Invoices_Upload!$G$4:$G$5003,"*Subscription*",Customer_Invoices_Upload!$B$4:$B$5003,"&gt;="&amp;DATE(2027,2,1),Customer_Invoices_Upload!$B$4:$B$5003,"&lt;"&amp;EDATE(DATE(2027,2,1),1))+COUNTIFS(Stripe_Invoices_Upload!$D$4:$D$5003,$A72,Stripe_Invoices_Upload!$E$4:$E$5003,"*Subscription*",Stripe_Invoices_Upload!$A$4:$A$5003,"&gt;="&amp;DATE(2027,2,1),Stripe_Invoices_Upload!$A$4:$A$5003,"&lt;"&amp;EDATE(DATE(2027,2,1),1)))&gt;0,"✓ Invoiced","⚠ Due"),""),""))</f>
        <v/>
      </c>
      <c r="R72" s="130" t="str">
        <f aca="false">IF($A72="","",IF((DATE(YEAR($E72),MONTH($E72),1)&lt;=DATE(2027,3,1)),IF((MOD(DATEDIF(DATE(YEAR($E72),MONTH($E72),1),DATE(2027,3,1),"m"),IF($D72="Quarterly",3,IF($D72="Annual",12,1)))=0),IF((COUNTIFS(Xero_Raw!$D$4:$D$5003,$A72,Xero_Raw!$G$4:$G$5003,"*Subscription*",Xero_Raw!$A$4:$A$5003,"&gt;="&amp;DATE(2027,3,1),Xero_Raw!$A$4:$A$5003,"&lt;"&amp;EDATE(DATE(2027,3,1),1))+COUNTIFS(Customer_Invoices_Upload!$E$4:$E$5003,$A72,Customer_Invoices_Upload!$G$4:$G$5003,"*Subscription*",Customer_Invoices_Upload!$B$4:$B$5003,"&gt;="&amp;DATE(2027,3,1),Customer_Invoices_Upload!$B$4:$B$5003,"&lt;"&amp;EDATE(DATE(2027,3,1),1))+COUNTIFS(Stripe_Invoices_Upload!$D$4:$D$5003,$A72,Stripe_Invoices_Upload!$E$4:$E$5003,"*Subscription*",Stripe_Invoices_Upload!$A$4:$A$5003,"&gt;="&amp;DATE(2027,3,1),Stripe_Invoices_Upload!$A$4:$A$5003,"&lt;"&amp;EDATE(DATE(2027,3,1),1)))&gt;0,"✓ Invoiced","⚠ Due"),""),""))</f>
        <v/>
      </c>
    </row>
    <row r="73" customFormat="false" ht="15" hidden="false" customHeight="false" outlineLevel="0" collapsed="false">
      <c r="A73" s="39"/>
      <c r="B73" s="39"/>
      <c r="C73" s="40"/>
      <c r="D73" s="39"/>
      <c r="E73" s="38"/>
      <c r="F73" s="129" t="str">
        <f aca="true">IF($A73="","",EDATE($E73,DATEDIF($E73,TODAY(),"m")+1))</f>
        <v/>
      </c>
      <c r="G73" s="130" t="str">
        <f aca="false">IF($A73="","",IF((DATE(YEAR($E73),MONTH($E73),1)&lt;=DATE(2026,4,1)),IF((MOD(DATEDIF(DATE(YEAR($E73),MONTH($E73),1),DATE(2026,4,1),"m"),IF($D73="Quarterly",3,IF($D73="Annual",12,1)))=0),IF((COUNTIFS(Xero_Raw!$D$4:$D$5003,$A73,Xero_Raw!$G$4:$G$5003,"*Subscription*",Xero_Raw!$A$4:$A$5003,"&gt;="&amp;DATE(2026,4,1),Xero_Raw!$A$4:$A$5003,"&lt;"&amp;EDATE(DATE(2026,4,1),1))+COUNTIFS(Customer_Invoices_Upload!$E$4:$E$5003,$A73,Customer_Invoices_Upload!$G$4:$G$5003,"*Subscription*",Customer_Invoices_Upload!$B$4:$B$5003,"&gt;="&amp;DATE(2026,4,1),Customer_Invoices_Upload!$B$4:$B$5003,"&lt;"&amp;EDATE(DATE(2026,4,1),1))+COUNTIFS(Stripe_Invoices_Upload!$D$4:$D$5003,$A73,Stripe_Invoices_Upload!$E$4:$E$5003,"*Subscription*",Stripe_Invoices_Upload!$A$4:$A$5003,"&gt;="&amp;DATE(2026,4,1),Stripe_Invoices_Upload!$A$4:$A$5003,"&lt;"&amp;EDATE(DATE(2026,4,1),1)))&gt;0,"✓ Invoiced","⚠ Due"),""),""))</f>
        <v/>
      </c>
      <c r="H73" s="130" t="str">
        <f aca="false">IF($A73="","",IF((DATE(YEAR($E73),MONTH($E73),1)&lt;=DATE(2026,5,1)),IF((MOD(DATEDIF(DATE(YEAR($E73),MONTH($E73),1),DATE(2026,5,1),"m"),IF($D73="Quarterly",3,IF($D73="Annual",12,1)))=0),IF((COUNTIFS(Xero_Raw!$D$4:$D$5003,$A73,Xero_Raw!$G$4:$G$5003,"*Subscription*",Xero_Raw!$A$4:$A$5003,"&gt;="&amp;DATE(2026,5,1),Xero_Raw!$A$4:$A$5003,"&lt;"&amp;EDATE(DATE(2026,5,1),1))+COUNTIFS(Customer_Invoices_Upload!$E$4:$E$5003,$A73,Customer_Invoices_Upload!$G$4:$G$5003,"*Subscription*",Customer_Invoices_Upload!$B$4:$B$5003,"&gt;="&amp;DATE(2026,5,1),Customer_Invoices_Upload!$B$4:$B$5003,"&lt;"&amp;EDATE(DATE(2026,5,1),1))+COUNTIFS(Stripe_Invoices_Upload!$D$4:$D$5003,$A73,Stripe_Invoices_Upload!$E$4:$E$5003,"*Subscription*",Stripe_Invoices_Upload!$A$4:$A$5003,"&gt;="&amp;DATE(2026,5,1),Stripe_Invoices_Upload!$A$4:$A$5003,"&lt;"&amp;EDATE(DATE(2026,5,1),1)))&gt;0,"✓ Invoiced","⚠ Due"),""),""))</f>
        <v/>
      </c>
      <c r="I73" s="130" t="str">
        <f aca="false">IF($A73="","",IF((DATE(YEAR($E73),MONTH($E73),1)&lt;=DATE(2026,6,1)),IF((MOD(DATEDIF(DATE(YEAR($E73),MONTH($E73),1),DATE(2026,6,1),"m"),IF($D73="Quarterly",3,IF($D73="Annual",12,1)))=0),IF((COUNTIFS(Xero_Raw!$D$4:$D$5003,$A73,Xero_Raw!$G$4:$G$5003,"*Subscription*",Xero_Raw!$A$4:$A$5003,"&gt;="&amp;DATE(2026,6,1),Xero_Raw!$A$4:$A$5003,"&lt;"&amp;EDATE(DATE(2026,6,1),1))+COUNTIFS(Customer_Invoices_Upload!$E$4:$E$5003,$A73,Customer_Invoices_Upload!$G$4:$G$5003,"*Subscription*",Customer_Invoices_Upload!$B$4:$B$5003,"&gt;="&amp;DATE(2026,6,1),Customer_Invoices_Upload!$B$4:$B$5003,"&lt;"&amp;EDATE(DATE(2026,6,1),1))+COUNTIFS(Stripe_Invoices_Upload!$D$4:$D$5003,$A73,Stripe_Invoices_Upload!$E$4:$E$5003,"*Subscription*",Stripe_Invoices_Upload!$A$4:$A$5003,"&gt;="&amp;DATE(2026,6,1),Stripe_Invoices_Upload!$A$4:$A$5003,"&lt;"&amp;EDATE(DATE(2026,6,1),1)))&gt;0,"✓ Invoiced","⚠ Due"),""),""))</f>
        <v/>
      </c>
      <c r="J73" s="130" t="str">
        <f aca="false">IF($A73="","",IF((DATE(YEAR($E73),MONTH($E73),1)&lt;=DATE(2026,7,1)),IF((MOD(DATEDIF(DATE(YEAR($E73),MONTH($E73),1),DATE(2026,7,1),"m"),IF($D73="Quarterly",3,IF($D73="Annual",12,1)))=0),IF((COUNTIFS(Xero_Raw!$D$4:$D$5003,$A73,Xero_Raw!$G$4:$G$5003,"*Subscription*",Xero_Raw!$A$4:$A$5003,"&gt;="&amp;DATE(2026,7,1),Xero_Raw!$A$4:$A$5003,"&lt;"&amp;EDATE(DATE(2026,7,1),1))+COUNTIFS(Customer_Invoices_Upload!$E$4:$E$5003,$A73,Customer_Invoices_Upload!$G$4:$G$5003,"*Subscription*",Customer_Invoices_Upload!$B$4:$B$5003,"&gt;="&amp;DATE(2026,7,1),Customer_Invoices_Upload!$B$4:$B$5003,"&lt;"&amp;EDATE(DATE(2026,7,1),1))+COUNTIFS(Stripe_Invoices_Upload!$D$4:$D$5003,$A73,Stripe_Invoices_Upload!$E$4:$E$5003,"*Subscription*",Stripe_Invoices_Upload!$A$4:$A$5003,"&gt;="&amp;DATE(2026,7,1),Stripe_Invoices_Upload!$A$4:$A$5003,"&lt;"&amp;EDATE(DATE(2026,7,1),1)))&gt;0,"✓ Invoiced","⚠ Due"),""),""))</f>
        <v/>
      </c>
      <c r="K73" s="130" t="str">
        <f aca="false">IF($A73="","",IF((DATE(YEAR($E73),MONTH($E73),1)&lt;=DATE(2026,8,1)),IF((MOD(DATEDIF(DATE(YEAR($E73),MONTH($E73),1),DATE(2026,8,1),"m"),IF($D73="Quarterly",3,IF($D73="Annual",12,1)))=0),IF((COUNTIFS(Xero_Raw!$D$4:$D$5003,$A73,Xero_Raw!$G$4:$G$5003,"*Subscription*",Xero_Raw!$A$4:$A$5003,"&gt;="&amp;DATE(2026,8,1),Xero_Raw!$A$4:$A$5003,"&lt;"&amp;EDATE(DATE(2026,8,1),1))+COUNTIFS(Customer_Invoices_Upload!$E$4:$E$5003,$A73,Customer_Invoices_Upload!$G$4:$G$5003,"*Subscription*",Customer_Invoices_Upload!$B$4:$B$5003,"&gt;="&amp;DATE(2026,8,1),Customer_Invoices_Upload!$B$4:$B$5003,"&lt;"&amp;EDATE(DATE(2026,8,1),1))+COUNTIFS(Stripe_Invoices_Upload!$D$4:$D$5003,$A73,Stripe_Invoices_Upload!$E$4:$E$5003,"*Subscription*",Stripe_Invoices_Upload!$A$4:$A$5003,"&gt;="&amp;DATE(2026,8,1),Stripe_Invoices_Upload!$A$4:$A$5003,"&lt;"&amp;EDATE(DATE(2026,8,1),1)))&gt;0,"✓ Invoiced","⚠ Due"),""),""))</f>
        <v/>
      </c>
      <c r="L73" s="130" t="str">
        <f aca="false">IF($A73="","",IF((DATE(YEAR($E73),MONTH($E73),1)&lt;=DATE(2026,9,1)),IF((MOD(DATEDIF(DATE(YEAR($E73),MONTH($E73),1),DATE(2026,9,1),"m"),IF($D73="Quarterly",3,IF($D73="Annual",12,1)))=0),IF((COUNTIFS(Xero_Raw!$D$4:$D$5003,$A73,Xero_Raw!$G$4:$G$5003,"*Subscription*",Xero_Raw!$A$4:$A$5003,"&gt;="&amp;DATE(2026,9,1),Xero_Raw!$A$4:$A$5003,"&lt;"&amp;EDATE(DATE(2026,9,1),1))+COUNTIFS(Customer_Invoices_Upload!$E$4:$E$5003,$A73,Customer_Invoices_Upload!$G$4:$G$5003,"*Subscription*",Customer_Invoices_Upload!$B$4:$B$5003,"&gt;="&amp;DATE(2026,9,1),Customer_Invoices_Upload!$B$4:$B$5003,"&lt;"&amp;EDATE(DATE(2026,9,1),1))+COUNTIFS(Stripe_Invoices_Upload!$D$4:$D$5003,$A73,Stripe_Invoices_Upload!$E$4:$E$5003,"*Subscription*",Stripe_Invoices_Upload!$A$4:$A$5003,"&gt;="&amp;DATE(2026,9,1),Stripe_Invoices_Upload!$A$4:$A$5003,"&lt;"&amp;EDATE(DATE(2026,9,1),1)))&gt;0,"✓ Invoiced","⚠ Due"),""),""))</f>
        <v/>
      </c>
      <c r="M73" s="130" t="str">
        <f aca="false">IF($A73="","",IF((DATE(YEAR($E73),MONTH($E73),1)&lt;=DATE(2026,10,1)),IF((MOD(DATEDIF(DATE(YEAR($E73),MONTH($E73),1),DATE(2026,10,1),"m"),IF($D73="Quarterly",3,IF($D73="Annual",12,1)))=0),IF((COUNTIFS(Xero_Raw!$D$4:$D$5003,$A73,Xero_Raw!$G$4:$G$5003,"*Subscription*",Xero_Raw!$A$4:$A$5003,"&gt;="&amp;DATE(2026,10,1),Xero_Raw!$A$4:$A$5003,"&lt;"&amp;EDATE(DATE(2026,10,1),1))+COUNTIFS(Customer_Invoices_Upload!$E$4:$E$5003,$A73,Customer_Invoices_Upload!$G$4:$G$5003,"*Subscription*",Customer_Invoices_Upload!$B$4:$B$5003,"&gt;="&amp;DATE(2026,10,1),Customer_Invoices_Upload!$B$4:$B$5003,"&lt;"&amp;EDATE(DATE(2026,10,1),1))+COUNTIFS(Stripe_Invoices_Upload!$D$4:$D$5003,$A73,Stripe_Invoices_Upload!$E$4:$E$5003,"*Subscription*",Stripe_Invoices_Upload!$A$4:$A$5003,"&gt;="&amp;DATE(2026,10,1),Stripe_Invoices_Upload!$A$4:$A$5003,"&lt;"&amp;EDATE(DATE(2026,10,1),1)))&gt;0,"✓ Invoiced","⚠ Due"),""),""))</f>
        <v/>
      </c>
      <c r="N73" s="130" t="str">
        <f aca="false">IF($A73="","",IF((DATE(YEAR($E73),MONTH($E73),1)&lt;=DATE(2026,11,1)),IF((MOD(DATEDIF(DATE(YEAR($E73),MONTH($E73),1),DATE(2026,11,1),"m"),IF($D73="Quarterly",3,IF($D73="Annual",12,1)))=0),IF((COUNTIFS(Xero_Raw!$D$4:$D$5003,$A73,Xero_Raw!$G$4:$G$5003,"*Subscription*",Xero_Raw!$A$4:$A$5003,"&gt;="&amp;DATE(2026,11,1),Xero_Raw!$A$4:$A$5003,"&lt;"&amp;EDATE(DATE(2026,11,1),1))+COUNTIFS(Customer_Invoices_Upload!$E$4:$E$5003,$A73,Customer_Invoices_Upload!$G$4:$G$5003,"*Subscription*",Customer_Invoices_Upload!$B$4:$B$5003,"&gt;="&amp;DATE(2026,11,1),Customer_Invoices_Upload!$B$4:$B$5003,"&lt;"&amp;EDATE(DATE(2026,11,1),1))+COUNTIFS(Stripe_Invoices_Upload!$D$4:$D$5003,$A73,Stripe_Invoices_Upload!$E$4:$E$5003,"*Subscription*",Stripe_Invoices_Upload!$A$4:$A$5003,"&gt;="&amp;DATE(2026,11,1),Stripe_Invoices_Upload!$A$4:$A$5003,"&lt;"&amp;EDATE(DATE(2026,11,1),1)))&gt;0,"✓ Invoiced","⚠ Due"),""),""))</f>
        <v/>
      </c>
      <c r="O73" s="130" t="str">
        <f aca="false">IF($A73="","",IF((DATE(YEAR($E73),MONTH($E73),1)&lt;=DATE(2026,12,1)),IF((MOD(DATEDIF(DATE(YEAR($E73),MONTH($E73),1),DATE(2026,12,1),"m"),IF($D73="Quarterly",3,IF($D73="Annual",12,1)))=0),IF((COUNTIFS(Xero_Raw!$D$4:$D$5003,$A73,Xero_Raw!$G$4:$G$5003,"*Subscription*",Xero_Raw!$A$4:$A$5003,"&gt;="&amp;DATE(2026,12,1),Xero_Raw!$A$4:$A$5003,"&lt;"&amp;EDATE(DATE(2026,12,1),1))+COUNTIFS(Customer_Invoices_Upload!$E$4:$E$5003,$A73,Customer_Invoices_Upload!$G$4:$G$5003,"*Subscription*",Customer_Invoices_Upload!$B$4:$B$5003,"&gt;="&amp;DATE(2026,12,1),Customer_Invoices_Upload!$B$4:$B$5003,"&lt;"&amp;EDATE(DATE(2026,12,1),1))+COUNTIFS(Stripe_Invoices_Upload!$D$4:$D$5003,$A73,Stripe_Invoices_Upload!$E$4:$E$5003,"*Subscription*",Stripe_Invoices_Upload!$A$4:$A$5003,"&gt;="&amp;DATE(2026,12,1),Stripe_Invoices_Upload!$A$4:$A$5003,"&lt;"&amp;EDATE(DATE(2026,12,1),1)))&gt;0,"✓ Invoiced","⚠ Due"),""),""))</f>
        <v/>
      </c>
      <c r="P73" s="130" t="str">
        <f aca="false">IF($A73="","",IF((DATE(YEAR($E73),MONTH($E73),1)&lt;=DATE(2027,1,1)),IF((MOD(DATEDIF(DATE(YEAR($E73),MONTH($E73),1),DATE(2027,1,1),"m"),IF($D73="Quarterly",3,IF($D73="Annual",12,1)))=0),IF((COUNTIFS(Xero_Raw!$D$4:$D$5003,$A73,Xero_Raw!$G$4:$G$5003,"*Subscription*",Xero_Raw!$A$4:$A$5003,"&gt;="&amp;DATE(2027,1,1),Xero_Raw!$A$4:$A$5003,"&lt;"&amp;EDATE(DATE(2027,1,1),1))+COUNTIFS(Customer_Invoices_Upload!$E$4:$E$5003,$A73,Customer_Invoices_Upload!$G$4:$G$5003,"*Subscription*",Customer_Invoices_Upload!$B$4:$B$5003,"&gt;="&amp;DATE(2027,1,1),Customer_Invoices_Upload!$B$4:$B$5003,"&lt;"&amp;EDATE(DATE(2027,1,1),1))+COUNTIFS(Stripe_Invoices_Upload!$D$4:$D$5003,$A73,Stripe_Invoices_Upload!$E$4:$E$5003,"*Subscription*",Stripe_Invoices_Upload!$A$4:$A$5003,"&gt;="&amp;DATE(2027,1,1),Stripe_Invoices_Upload!$A$4:$A$5003,"&lt;"&amp;EDATE(DATE(2027,1,1),1)))&gt;0,"✓ Invoiced","⚠ Due"),""),""))</f>
        <v/>
      </c>
      <c r="Q73" s="130" t="str">
        <f aca="false">IF($A73="","",IF((DATE(YEAR($E73),MONTH($E73),1)&lt;=DATE(2027,2,1)),IF((MOD(DATEDIF(DATE(YEAR($E73),MONTH($E73),1),DATE(2027,2,1),"m"),IF($D73="Quarterly",3,IF($D73="Annual",12,1)))=0),IF((COUNTIFS(Xero_Raw!$D$4:$D$5003,$A73,Xero_Raw!$G$4:$G$5003,"*Subscription*",Xero_Raw!$A$4:$A$5003,"&gt;="&amp;DATE(2027,2,1),Xero_Raw!$A$4:$A$5003,"&lt;"&amp;EDATE(DATE(2027,2,1),1))+COUNTIFS(Customer_Invoices_Upload!$E$4:$E$5003,$A73,Customer_Invoices_Upload!$G$4:$G$5003,"*Subscription*",Customer_Invoices_Upload!$B$4:$B$5003,"&gt;="&amp;DATE(2027,2,1),Customer_Invoices_Upload!$B$4:$B$5003,"&lt;"&amp;EDATE(DATE(2027,2,1),1))+COUNTIFS(Stripe_Invoices_Upload!$D$4:$D$5003,$A73,Stripe_Invoices_Upload!$E$4:$E$5003,"*Subscription*",Stripe_Invoices_Upload!$A$4:$A$5003,"&gt;="&amp;DATE(2027,2,1),Stripe_Invoices_Upload!$A$4:$A$5003,"&lt;"&amp;EDATE(DATE(2027,2,1),1)))&gt;0,"✓ Invoiced","⚠ Due"),""),""))</f>
        <v/>
      </c>
      <c r="R73" s="130" t="str">
        <f aca="false">IF($A73="","",IF((DATE(YEAR($E73),MONTH($E73),1)&lt;=DATE(2027,3,1)),IF((MOD(DATEDIF(DATE(YEAR($E73),MONTH($E73),1),DATE(2027,3,1),"m"),IF($D73="Quarterly",3,IF($D73="Annual",12,1)))=0),IF((COUNTIFS(Xero_Raw!$D$4:$D$5003,$A73,Xero_Raw!$G$4:$G$5003,"*Subscription*",Xero_Raw!$A$4:$A$5003,"&gt;="&amp;DATE(2027,3,1),Xero_Raw!$A$4:$A$5003,"&lt;"&amp;EDATE(DATE(2027,3,1),1))+COUNTIFS(Customer_Invoices_Upload!$E$4:$E$5003,$A73,Customer_Invoices_Upload!$G$4:$G$5003,"*Subscription*",Customer_Invoices_Upload!$B$4:$B$5003,"&gt;="&amp;DATE(2027,3,1),Customer_Invoices_Upload!$B$4:$B$5003,"&lt;"&amp;EDATE(DATE(2027,3,1),1))+COUNTIFS(Stripe_Invoices_Upload!$D$4:$D$5003,$A73,Stripe_Invoices_Upload!$E$4:$E$5003,"*Subscription*",Stripe_Invoices_Upload!$A$4:$A$5003,"&gt;="&amp;DATE(2027,3,1),Stripe_Invoices_Upload!$A$4:$A$5003,"&lt;"&amp;EDATE(DATE(2027,3,1),1)))&gt;0,"✓ Invoiced","⚠ Due"),""),""))</f>
        <v/>
      </c>
    </row>
    <row r="74" customFormat="false" ht="15" hidden="false" customHeight="false" outlineLevel="0" collapsed="false">
      <c r="A74" s="39"/>
      <c r="B74" s="39"/>
      <c r="C74" s="40"/>
      <c r="D74" s="39"/>
      <c r="E74" s="38"/>
      <c r="F74" s="129" t="str">
        <f aca="true">IF($A74="","",EDATE($E74,DATEDIF($E74,TODAY(),"m")+1))</f>
        <v/>
      </c>
      <c r="G74" s="130" t="str">
        <f aca="false">IF($A74="","",IF((DATE(YEAR($E74),MONTH($E74),1)&lt;=DATE(2026,4,1)),IF((MOD(DATEDIF(DATE(YEAR($E74),MONTH($E74),1),DATE(2026,4,1),"m"),IF($D74="Quarterly",3,IF($D74="Annual",12,1)))=0),IF((COUNTIFS(Xero_Raw!$D$4:$D$5003,$A74,Xero_Raw!$G$4:$G$5003,"*Subscription*",Xero_Raw!$A$4:$A$5003,"&gt;="&amp;DATE(2026,4,1),Xero_Raw!$A$4:$A$5003,"&lt;"&amp;EDATE(DATE(2026,4,1),1))+COUNTIFS(Customer_Invoices_Upload!$E$4:$E$5003,$A74,Customer_Invoices_Upload!$G$4:$G$5003,"*Subscription*",Customer_Invoices_Upload!$B$4:$B$5003,"&gt;="&amp;DATE(2026,4,1),Customer_Invoices_Upload!$B$4:$B$5003,"&lt;"&amp;EDATE(DATE(2026,4,1),1))+COUNTIFS(Stripe_Invoices_Upload!$D$4:$D$5003,$A74,Stripe_Invoices_Upload!$E$4:$E$5003,"*Subscription*",Stripe_Invoices_Upload!$A$4:$A$5003,"&gt;="&amp;DATE(2026,4,1),Stripe_Invoices_Upload!$A$4:$A$5003,"&lt;"&amp;EDATE(DATE(2026,4,1),1)))&gt;0,"✓ Invoiced","⚠ Due"),""),""))</f>
        <v/>
      </c>
      <c r="H74" s="130" t="str">
        <f aca="false">IF($A74="","",IF((DATE(YEAR($E74),MONTH($E74),1)&lt;=DATE(2026,5,1)),IF((MOD(DATEDIF(DATE(YEAR($E74),MONTH($E74),1),DATE(2026,5,1),"m"),IF($D74="Quarterly",3,IF($D74="Annual",12,1)))=0),IF((COUNTIFS(Xero_Raw!$D$4:$D$5003,$A74,Xero_Raw!$G$4:$G$5003,"*Subscription*",Xero_Raw!$A$4:$A$5003,"&gt;="&amp;DATE(2026,5,1),Xero_Raw!$A$4:$A$5003,"&lt;"&amp;EDATE(DATE(2026,5,1),1))+COUNTIFS(Customer_Invoices_Upload!$E$4:$E$5003,$A74,Customer_Invoices_Upload!$G$4:$G$5003,"*Subscription*",Customer_Invoices_Upload!$B$4:$B$5003,"&gt;="&amp;DATE(2026,5,1),Customer_Invoices_Upload!$B$4:$B$5003,"&lt;"&amp;EDATE(DATE(2026,5,1),1))+COUNTIFS(Stripe_Invoices_Upload!$D$4:$D$5003,$A74,Stripe_Invoices_Upload!$E$4:$E$5003,"*Subscription*",Stripe_Invoices_Upload!$A$4:$A$5003,"&gt;="&amp;DATE(2026,5,1),Stripe_Invoices_Upload!$A$4:$A$5003,"&lt;"&amp;EDATE(DATE(2026,5,1),1)))&gt;0,"✓ Invoiced","⚠ Due"),""),""))</f>
        <v/>
      </c>
      <c r="I74" s="130" t="str">
        <f aca="false">IF($A74="","",IF((DATE(YEAR($E74),MONTH($E74),1)&lt;=DATE(2026,6,1)),IF((MOD(DATEDIF(DATE(YEAR($E74),MONTH($E74),1),DATE(2026,6,1),"m"),IF($D74="Quarterly",3,IF($D74="Annual",12,1)))=0),IF((COUNTIFS(Xero_Raw!$D$4:$D$5003,$A74,Xero_Raw!$G$4:$G$5003,"*Subscription*",Xero_Raw!$A$4:$A$5003,"&gt;="&amp;DATE(2026,6,1),Xero_Raw!$A$4:$A$5003,"&lt;"&amp;EDATE(DATE(2026,6,1),1))+COUNTIFS(Customer_Invoices_Upload!$E$4:$E$5003,$A74,Customer_Invoices_Upload!$G$4:$G$5003,"*Subscription*",Customer_Invoices_Upload!$B$4:$B$5003,"&gt;="&amp;DATE(2026,6,1),Customer_Invoices_Upload!$B$4:$B$5003,"&lt;"&amp;EDATE(DATE(2026,6,1),1))+COUNTIFS(Stripe_Invoices_Upload!$D$4:$D$5003,$A74,Stripe_Invoices_Upload!$E$4:$E$5003,"*Subscription*",Stripe_Invoices_Upload!$A$4:$A$5003,"&gt;="&amp;DATE(2026,6,1),Stripe_Invoices_Upload!$A$4:$A$5003,"&lt;"&amp;EDATE(DATE(2026,6,1),1)))&gt;0,"✓ Invoiced","⚠ Due"),""),""))</f>
        <v/>
      </c>
      <c r="J74" s="130" t="str">
        <f aca="false">IF($A74="","",IF((DATE(YEAR($E74),MONTH($E74),1)&lt;=DATE(2026,7,1)),IF((MOD(DATEDIF(DATE(YEAR($E74),MONTH($E74),1),DATE(2026,7,1),"m"),IF($D74="Quarterly",3,IF($D74="Annual",12,1)))=0),IF((COUNTIFS(Xero_Raw!$D$4:$D$5003,$A74,Xero_Raw!$G$4:$G$5003,"*Subscription*",Xero_Raw!$A$4:$A$5003,"&gt;="&amp;DATE(2026,7,1),Xero_Raw!$A$4:$A$5003,"&lt;"&amp;EDATE(DATE(2026,7,1),1))+COUNTIFS(Customer_Invoices_Upload!$E$4:$E$5003,$A74,Customer_Invoices_Upload!$G$4:$G$5003,"*Subscription*",Customer_Invoices_Upload!$B$4:$B$5003,"&gt;="&amp;DATE(2026,7,1),Customer_Invoices_Upload!$B$4:$B$5003,"&lt;"&amp;EDATE(DATE(2026,7,1),1))+COUNTIFS(Stripe_Invoices_Upload!$D$4:$D$5003,$A74,Stripe_Invoices_Upload!$E$4:$E$5003,"*Subscription*",Stripe_Invoices_Upload!$A$4:$A$5003,"&gt;="&amp;DATE(2026,7,1),Stripe_Invoices_Upload!$A$4:$A$5003,"&lt;"&amp;EDATE(DATE(2026,7,1),1)))&gt;0,"✓ Invoiced","⚠ Due"),""),""))</f>
        <v/>
      </c>
      <c r="K74" s="130" t="str">
        <f aca="false">IF($A74="","",IF((DATE(YEAR($E74),MONTH($E74),1)&lt;=DATE(2026,8,1)),IF((MOD(DATEDIF(DATE(YEAR($E74),MONTH($E74),1),DATE(2026,8,1),"m"),IF($D74="Quarterly",3,IF($D74="Annual",12,1)))=0),IF((COUNTIFS(Xero_Raw!$D$4:$D$5003,$A74,Xero_Raw!$G$4:$G$5003,"*Subscription*",Xero_Raw!$A$4:$A$5003,"&gt;="&amp;DATE(2026,8,1),Xero_Raw!$A$4:$A$5003,"&lt;"&amp;EDATE(DATE(2026,8,1),1))+COUNTIFS(Customer_Invoices_Upload!$E$4:$E$5003,$A74,Customer_Invoices_Upload!$G$4:$G$5003,"*Subscription*",Customer_Invoices_Upload!$B$4:$B$5003,"&gt;="&amp;DATE(2026,8,1),Customer_Invoices_Upload!$B$4:$B$5003,"&lt;"&amp;EDATE(DATE(2026,8,1),1))+COUNTIFS(Stripe_Invoices_Upload!$D$4:$D$5003,$A74,Stripe_Invoices_Upload!$E$4:$E$5003,"*Subscription*",Stripe_Invoices_Upload!$A$4:$A$5003,"&gt;="&amp;DATE(2026,8,1),Stripe_Invoices_Upload!$A$4:$A$5003,"&lt;"&amp;EDATE(DATE(2026,8,1),1)))&gt;0,"✓ Invoiced","⚠ Due"),""),""))</f>
        <v/>
      </c>
      <c r="L74" s="130" t="str">
        <f aca="false">IF($A74="","",IF((DATE(YEAR($E74),MONTH($E74),1)&lt;=DATE(2026,9,1)),IF((MOD(DATEDIF(DATE(YEAR($E74),MONTH($E74),1),DATE(2026,9,1),"m"),IF($D74="Quarterly",3,IF($D74="Annual",12,1)))=0),IF((COUNTIFS(Xero_Raw!$D$4:$D$5003,$A74,Xero_Raw!$G$4:$G$5003,"*Subscription*",Xero_Raw!$A$4:$A$5003,"&gt;="&amp;DATE(2026,9,1),Xero_Raw!$A$4:$A$5003,"&lt;"&amp;EDATE(DATE(2026,9,1),1))+COUNTIFS(Customer_Invoices_Upload!$E$4:$E$5003,$A74,Customer_Invoices_Upload!$G$4:$G$5003,"*Subscription*",Customer_Invoices_Upload!$B$4:$B$5003,"&gt;="&amp;DATE(2026,9,1),Customer_Invoices_Upload!$B$4:$B$5003,"&lt;"&amp;EDATE(DATE(2026,9,1),1))+COUNTIFS(Stripe_Invoices_Upload!$D$4:$D$5003,$A74,Stripe_Invoices_Upload!$E$4:$E$5003,"*Subscription*",Stripe_Invoices_Upload!$A$4:$A$5003,"&gt;="&amp;DATE(2026,9,1),Stripe_Invoices_Upload!$A$4:$A$5003,"&lt;"&amp;EDATE(DATE(2026,9,1),1)))&gt;0,"✓ Invoiced","⚠ Due"),""),""))</f>
        <v/>
      </c>
      <c r="M74" s="130" t="str">
        <f aca="false">IF($A74="","",IF((DATE(YEAR($E74),MONTH($E74),1)&lt;=DATE(2026,10,1)),IF((MOD(DATEDIF(DATE(YEAR($E74),MONTH($E74),1),DATE(2026,10,1),"m"),IF($D74="Quarterly",3,IF($D74="Annual",12,1)))=0),IF((COUNTIFS(Xero_Raw!$D$4:$D$5003,$A74,Xero_Raw!$G$4:$G$5003,"*Subscription*",Xero_Raw!$A$4:$A$5003,"&gt;="&amp;DATE(2026,10,1),Xero_Raw!$A$4:$A$5003,"&lt;"&amp;EDATE(DATE(2026,10,1),1))+COUNTIFS(Customer_Invoices_Upload!$E$4:$E$5003,$A74,Customer_Invoices_Upload!$G$4:$G$5003,"*Subscription*",Customer_Invoices_Upload!$B$4:$B$5003,"&gt;="&amp;DATE(2026,10,1),Customer_Invoices_Upload!$B$4:$B$5003,"&lt;"&amp;EDATE(DATE(2026,10,1),1))+COUNTIFS(Stripe_Invoices_Upload!$D$4:$D$5003,$A74,Stripe_Invoices_Upload!$E$4:$E$5003,"*Subscription*",Stripe_Invoices_Upload!$A$4:$A$5003,"&gt;="&amp;DATE(2026,10,1),Stripe_Invoices_Upload!$A$4:$A$5003,"&lt;"&amp;EDATE(DATE(2026,10,1),1)))&gt;0,"✓ Invoiced","⚠ Due"),""),""))</f>
        <v/>
      </c>
      <c r="N74" s="130" t="str">
        <f aca="false">IF($A74="","",IF((DATE(YEAR($E74),MONTH($E74),1)&lt;=DATE(2026,11,1)),IF((MOD(DATEDIF(DATE(YEAR($E74),MONTH($E74),1),DATE(2026,11,1),"m"),IF($D74="Quarterly",3,IF($D74="Annual",12,1)))=0),IF((COUNTIFS(Xero_Raw!$D$4:$D$5003,$A74,Xero_Raw!$G$4:$G$5003,"*Subscription*",Xero_Raw!$A$4:$A$5003,"&gt;="&amp;DATE(2026,11,1),Xero_Raw!$A$4:$A$5003,"&lt;"&amp;EDATE(DATE(2026,11,1),1))+COUNTIFS(Customer_Invoices_Upload!$E$4:$E$5003,$A74,Customer_Invoices_Upload!$G$4:$G$5003,"*Subscription*",Customer_Invoices_Upload!$B$4:$B$5003,"&gt;="&amp;DATE(2026,11,1),Customer_Invoices_Upload!$B$4:$B$5003,"&lt;"&amp;EDATE(DATE(2026,11,1),1))+COUNTIFS(Stripe_Invoices_Upload!$D$4:$D$5003,$A74,Stripe_Invoices_Upload!$E$4:$E$5003,"*Subscription*",Stripe_Invoices_Upload!$A$4:$A$5003,"&gt;="&amp;DATE(2026,11,1),Stripe_Invoices_Upload!$A$4:$A$5003,"&lt;"&amp;EDATE(DATE(2026,11,1),1)))&gt;0,"✓ Invoiced","⚠ Due"),""),""))</f>
        <v/>
      </c>
      <c r="O74" s="130" t="str">
        <f aca="false">IF($A74="","",IF((DATE(YEAR($E74),MONTH($E74),1)&lt;=DATE(2026,12,1)),IF((MOD(DATEDIF(DATE(YEAR($E74),MONTH($E74),1),DATE(2026,12,1),"m"),IF($D74="Quarterly",3,IF($D74="Annual",12,1)))=0),IF((COUNTIFS(Xero_Raw!$D$4:$D$5003,$A74,Xero_Raw!$G$4:$G$5003,"*Subscription*",Xero_Raw!$A$4:$A$5003,"&gt;="&amp;DATE(2026,12,1),Xero_Raw!$A$4:$A$5003,"&lt;"&amp;EDATE(DATE(2026,12,1),1))+COUNTIFS(Customer_Invoices_Upload!$E$4:$E$5003,$A74,Customer_Invoices_Upload!$G$4:$G$5003,"*Subscription*",Customer_Invoices_Upload!$B$4:$B$5003,"&gt;="&amp;DATE(2026,12,1),Customer_Invoices_Upload!$B$4:$B$5003,"&lt;"&amp;EDATE(DATE(2026,12,1),1))+COUNTIFS(Stripe_Invoices_Upload!$D$4:$D$5003,$A74,Stripe_Invoices_Upload!$E$4:$E$5003,"*Subscription*",Stripe_Invoices_Upload!$A$4:$A$5003,"&gt;="&amp;DATE(2026,12,1),Stripe_Invoices_Upload!$A$4:$A$5003,"&lt;"&amp;EDATE(DATE(2026,12,1),1)))&gt;0,"✓ Invoiced","⚠ Due"),""),""))</f>
        <v/>
      </c>
      <c r="P74" s="130" t="str">
        <f aca="false">IF($A74="","",IF((DATE(YEAR($E74),MONTH($E74),1)&lt;=DATE(2027,1,1)),IF((MOD(DATEDIF(DATE(YEAR($E74),MONTH($E74),1),DATE(2027,1,1),"m"),IF($D74="Quarterly",3,IF($D74="Annual",12,1)))=0),IF((COUNTIFS(Xero_Raw!$D$4:$D$5003,$A74,Xero_Raw!$G$4:$G$5003,"*Subscription*",Xero_Raw!$A$4:$A$5003,"&gt;="&amp;DATE(2027,1,1),Xero_Raw!$A$4:$A$5003,"&lt;"&amp;EDATE(DATE(2027,1,1),1))+COUNTIFS(Customer_Invoices_Upload!$E$4:$E$5003,$A74,Customer_Invoices_Upload!$G$4:$G$5003,"*Subscription*",Customer_Invoices_Upload!$B$4:$B$5003,"&gt;="&amp;DATE(2027,1,1),Customer_Invoices_Upload!$B$4:$B$5003,"&lt;"&amp;EDATE(DATE(2027,1,1),1))+COUNTIFS(Stripe_Invoices_Upload!$D$4:$D$5003,$A74,Stripe_Invoices_Upload!$E$4:$E$5003,"*Subscription*",Stripe_Invoices_Upload!$A$4:$A$5003,"&gt;="&amp;DATE(2027,1,1),Stripe_Invoices_Upload!$A$4:$A$5003,"&lt;"&amp;EDATE(DATE(2027,1,1),1)))&gt;0,"✓ Invoiced","⚠ Due"),""),""))</f>
        <v/>
      </c>
      <c r="Q74" s="130" t="str">
        <f aca="false">IF($A74="","",IF((DATE(YEAR($E74),MONTH($E74),1)&lt;=DATE(2027,2,1)),IF((MOD(DATEDIF(DATE(YEAR($E74),MONTH($E74),1),DATE(2027,2,1),"m"),IF($D74="Quarterly",3,IF($D74="Annual",12,1)))=0),IF((COUNTIFS(Xero_Raw!$D$4:$D$5003,$A74,Xero_Raw!$G$4:$G$5003,"*Subscription*",Xero_Raw!$A$4:$A$5003,"&gt;="&amp;DATE(2027,2,1),Xero_Raw!$A$4:$A$5003,"&lt;"&amp;EDATE(DATE(2027,2,1),1))+COUNTIFS(Customer_Invoices_Upload!$E$4:$E$5003,$A74,Customer_Invoices_Upload!$G$4:$G$5003,"*Subscription*",Customer_Invoices_Upload!$B$4:$B$5003,"&gt;="&amp;DATE(2027,2,1),Customer_Invoices_Upload!$B$4:$B$5003,"&lt;"&amp;EDATE(DATE(2027,2,1),1))+COUNTIFS(Stripe_Invoices_Upload!$D$4:$D$5003,$A74,Stripe_Invoices_Upload!$E$4:$E$5003,"*Subscription*",Stripe_Invoices_Upload!$A$4:$A$5003,"&gt;="&amp;DATE(2027,2,1),Stripe_Invoices_Upload!$A$4:$A$5003,"&lt;"&amp;EDATE(DATE(2027,2,1),1)))&gt;0,"✓ Invoiced","⚠ Due"),""),""))</f>
        <v/>
      </c>
      <c r="R74" s="130" t="str">
        <f aca="false">IF($A74="","",IF((DATE(YEAR($E74),MONTH($E74),1)&lt;=DATE(2027,3,1)),IF((MOD(DATEDIF(DATE(YEAR($E74),MONTH($E74),1),DATE(2027,3,1),"m"),IF($D74="Quarterly",3,IF($D74="Annual",12,1)))=0),IF((COUNTIFS(Xero_Raw!$D$4:$D$5003,$A74,Xero_Raw!$G$4:$G$5003,"*Subscription*",Xero_Raw!$A$4:$A$5003,"&gt;="&amp;DATE(2027,3,1),Xero_Raw!$A$4:$A$5003,"&lt;"&amp;EDATE(DATE(2027,3,1),1))+COUNTIFS(Customer_Invoices_Upload!$E$4:$E$5003,$A74,Customer_Invoices_Upload!$G$4:$G$5003,"*Subscription*",Customer_Invoices_Upload!$B$4:$B$5003,"&gt;="&amp;DATE(2027,3,1),Customer_Invoices_Upload!$B$4:$B$5003,"&lt;"&amp;EDATE(DATE(2027,3,1),1))+COUNTIFS(Stripe_Invoices_Upload!$D$4:$D$5003,$A74,Stripe_Invoices_Upload!$E$4:$E$5003,"*Subscription*",Stripe_Invoices_Upload!$A$4:$A$5003,"&gt;="&amp;DATE(2027,3,1),Stripe_Invoices_Upload!$A$4:$A$5003,"&lt;"&amp;EDATE(DATE(2027,3,1),1)))&gt;0,"✓ Invoiced","⚠ Due"),""),""))</f>
        <v/>
      </c>
    </row>
    <row r="75" customFormat="false" ht="15" hidden="false" customHeight="false" outlineLevel="0" collapsed="false">
      <c r="A75" s="39"/>
      <c r="B75" s="39"/>
      <c r="C75" s="40"/>
      <c r="D75" s="39"/>
      <c r="E75" s="38"/>
      <c r="F75" s="129" t="str">
        <f aca="true">IF($A75="","",EDATE($E75,DATEDIF($E75,TODAY(),"m")+1))</f>
        <v/>
      </c>
      <c r="G75" s="130" t="str">
        <f aca="false">IF($A75="","",IF((DATE(YEAR($E75),MONTH($E75),1)&lt;=DATE(2026,4,1)),IF((MOD(DATEDIF(DATE(YEAR($E75),MONTH($E75),1),DATE(2026,4,1),"m"),IF($D75="Quarterly",3,IF($D75="Annual",12,1)))=0),IF((COUNTIFS(Xero_Raw!$D$4:$D$5003,$A75,Xero_Raw!$G$4:$G$5003,"*Subscription*",Xero_Raw!$A$4:$A$5003,"&gt;="&amp;DATE(2026,4,1),Xero_Raw!$A$4:$A$5003,"&lt;"&amp;EDATE(DATE(2026,4,1),1))+COUNTIFS(Customer_Invoices_Upload!$E$4:$E$5003,$A75,Customer_Invoices_Upload!$G$4:$G$5003,"*Subscription*",Customer_Invoices_Upload!$B$4:$B$5003,"&gt;="&amp;DATE(2026,4,1),Customer_Invoices_Upload!$B$4:$B$5003,"&lt;"&amp;EDATE(DATE(2026,4,1),1))+COUNTIFS(Stripe_Invoices_Upload!$D$4:$D$5003,$A75,Stripe_Invoices_Upload!$E$4:$E$5003,"*Subscription*",Stripe_Invoices_Upload!$A$4:$A$5003,"&gt;="&amp;DATE(2026,4,1),Stripe_Invoices_Upload!$A$4:$A$5003,"&lt;"&amp;EDATE(DATE(2026,4,1),1)))&gt;0,"✓ Invoiced","⚠ Due"),""),""))</f>
        <v/>
      </c>
      <c r="H75" s="130" t="str">
        <f aca="false">IF($A75="","",IF((DATE(YEAR($E75),MONTH($E75),1)&lt;=DATE(2026,5,1)),IF((MOD(DATEDIF(DATE(YEAR($E75),MONTH($E75),1),DATE(2026,5,1),"m"),IF($D75="Quarterly",3,IF($D75="Annual",12,1)))=0),IF((COUNTIFS(Xero_Raw!$D$4:$D$5003,$A75,Xero_Raw!$G$4:$G$5003,"*Subscription*",Xero_Raw!$A$4:$A$5003,"&gt;="&amp;DATE(2026,5,1),Xero_Raw!$A$4:$A$5003,"&lt;"&amp;EDATE(DATE(2026,5,1),1))+COUNTIFS(Customer_Invoices_Upload!$E$4:$E$5003,$A75,Customer_Invoices_Upload!$G$4:$G$5003,"*Subscription*",Customer_Invoices_Upload!$B$4:$B$5003,"&gt;="&amp;DATE(2026,5,1),Customer_Invoices_Upload!$B$4:$B$5003,"&lt;"&amp;EDATE(DATE(2026,5,1),1))+COUNTIFS(Stripe_Invoices_Upload!$D$4:$D$5003,$A75,Stripe_Invoices_Upload!$E$4:$E$5003,"*Subscription*",Stripe_Invoices_Upload!$A$4:$A$5003,"&gt;="&amp;DATE(2026,5,1),Stripe_Invoices_Upload!$A$4:$A$5003,"&lt;"&amp;EDATE(DATE(2026,5,1),1)))&gt;0,"✓ Invoiced","⚠ Due"),""),""))</f>
        <v/>
      </c>
      <c r="I75" s="130" t="str">
        <f aca="false">IF($A75="","",IF((DATE(YEAR($E75),MONTH($E75),1)&lt;=DATE(2026,6,1)),IF((MOD(DATEDIF(DATE(YEAR($E75),MONTH($E75),1),DATE(2026,6,1),"m"),IF($D75="Quarterly",3,IF($D75="Annual",12,1)))=0),IF((COUNTIFS(Xero_Raw!$D$4:$D$5003,$A75,Xero_Raw!$G$4:$G$5003,"*Subscription*",Xero_Raw!$A$4:$A$5003,"&gt;="&amp;DATE(2026,6,1),Xero_Raw!$A$4:$A$5003,"&lt;"&amp;EDATE(DATE(2026,6,1),1))+COUNTIFS(Customer_Invoices_Upload!$E$4:$E$5003,$A75,Customer_Invoices_Upload!$G$4:$G$5003,"*Subscription*",Customer_Invoices_Upload!$B$4:$B$5003,"&gt;="&amp;DATE(2026,6,1),Customer_Invoices_Upload!$B$4:$B$5003,"&lt;"&amp;EDATE(DATE(2026,6,1),1))+COUNTIFS(Stripe_Invoices_Upload!$D$4:$D$5003,$A75,Stripe_Invoices_Upload!$E$4:$E$5003,"*Subscription*",Stripe_Invoices_Upload!$A$4:$A$5003,"&gt;="&amp;DATE(2026,6,1),Stripe_Invoices_Upload!$A$4:$A$5003,"&lt;"&amp;EDATE(DATE(2026,6,1),1)))&gt;0,"✓ Invoiced","⚠ Due"),""),""))</f>
        <v/>
      </c>
      <c r="J75" s="130" t="str">
        <f aca="false">IF($A75="","",IF((DATE(YEAR($E75),MONTH($E75),1)&lt;=DATE(2026,7,1)),IF((MOD(DATEDIF(DATE(YEAR($E75),MONTH($E75),1),DATE(2026,7,1),"m"),IF($D75="Quarterly",3,IF($D75="Annual",12,1)))=0),IF((COUNTIFS(Xero_Raw!$D$4:$D$5003,$A75,Xero_Raw!$G$4:$G$5003,"*Subscription*",Xero_Raw!$A$4:$A$5003,"&gt;="&amp;DATE(2026,7,1),Xero_Raw!$A$4:$A$5003,"&lt;"&amp;EDATE(DATE(2026,7,1),1))+COUNTIFS(Customer_Invoices_Upload!$E$4:$E$5003,$A75,Customer_Invoices_Upload!$G$4:$G$5003,"*Subscription*",Customer_Invoices_Upload!$B$4:$B$5003,"&gt;="&amp;DATE(2026,7,1),Customer_Invoices_Upload!$B$4:$B$5003,"&lt;"&amp;EDATE(DATE(2026,7,1),1))+COUNTIFS(Stripe_Invoices_Upload!$D$4:$D$5003,$A75,Stripe_Invoices_Upload!$E$4:$E$5003,"*Subscription*",Stripe_Invoices_Upload!$A$4:$A$5003,"&gt;="&amp;DATE(2026,7,1),Stripe_Invoices_Upload!$A$4:$A$5003,"&lt;"&amp;EDATE(DATE(2026,7,1),1)))&gt;0,"✓ Invoiced","⚠ Due"),""),""))</f>
        <v/>
      </c>
      <c r="K75" s="130" t="str">
        <f aca="false">IF($A75="","",IF((DATE(YEAR($E75),MONTH($E75),1)&lt;=DATE(2026,8,1)),IF((MOD(DATEDIF(DATE(YEAR($E75),MONTH($E75),1),DATE(2026,8,1),"m"),IF($D75="Quarterly",3,IF($D75="Annual",12,1)))=0),IF((COUNTIFS(Xero_Raw!$D$4:$D$5003,$A75,Xero_Raw!$G$4:$G$5003,"*Subscription*",Xero_Raw!$A$4:$A$5003,"&gt;="&amp;DATE(2026,8,1),Xero_Raw!$A$4:$A$5003,"&lt;"&amp;EDATE(DATE(2026,8,1),1))+COUNTIFS(Customer_Invoices_Upload!$E$4:$E$5003,$A75,Customer_Invoices_Upload!$G$4:$G$5003,"*Subscription*",Customer_Invoices_Upload!$B$4:$B$5003,"&gt;="&amp;DATE(2026,8,1),Customer_Invoices_Upload!$B$4:$B$5003,"&lt;"&amp;EDATE(DATE(2026,8,1),1))+COUNTIFS(Stripe_Invoices_Upload!$D$4:$D$5003,$A75,Stripe_Invoices_Upload!$E$4:$E$5003,"*Subscription*",Stripe_Invoices_Upload!$A$4:$A$5003,"&gt;="&amp;DATE(2026,8,1),Stripe_Invoices_Upload!$A$4:$A$5003,"&lt;"&amp;EDATE(DATE(2026,8,1),1)))&gt;0,"✓ Invoiced","⚠ Due"),""),""))</f>
        <v/>
      </c>
      <c r="L75" s="130" t="str">
        <f aca="false">IF($A75="","",IF((DATE(YEAR($E75),MONTH($E75),1)&lt;=DATE(2026,9,1)),IF((MOD(DATEDIF(DATE(YEAR($E75),MONTH($E75),1),DATE(2026,9,1),"m"),IF($D75="Quarterly",3,IF($D75="Annual",12,1)))=0),IF((COUNTIFS(Xero_Raw!$D$4:$D$5003,$A75,Xero_Raw!$G$4:$G$5003,"*Subscription*",Xero_Raw!$A$4:$A$5003,"&gt;="&amp;DATE(2026,9,1),Xero_Raw!$A$4:$A$5003,"&lt;"&amp;EDATE(DATE(2026,9,1),1))+COUNTIFS(Customer_Invoices_Upload!$E$4:$E$5003,$A75,Customer_Invoices_Upload!$G$4:$G$5003,"*Subscription*",Customer_Invoices_Upload!$B$4:$B$5003,"&gt;="&amp;DATE(2026,9,1),Customer_Invoices_Upload!$B$4:$B$5003,"&lt;"&amp;EDATE(DATE(2026,9,1),1))+COUNTIFS(Stripe_Invoices_Upload!$D$4:$D$5003,$A75,Stripe_Invoices_Upload!$E$4:$E$5003,"*Subscription*",Stripe_Invoices_Upload!$A$4:$A$5003,"&gt;="&amp;DATE(2026,9,1),Stripe_Invoices_Upload!$A$4:$A$5003,"&lt;"&amp;EDATE(DATE(2026,9,1),1)))&gt;0,"✓ Invoiced","⚠ Due"),""),""))</f>
        <v/>
      </c>
      <c r="M75" s="130" t="str">
        <f aca="false">IF($A75="","",IF((DATE(YEAR($E75),MONTH($E75),1)&lt;=DATE(2026,10,1)),IF((MOD(DATEDIF(DATE(YEAR($E75),MONTH($E75),1),DATE(2026,10,1),"m"),IF($D75="Quarterly",3,IF($D75="Annual",12,1)))=0),IF((COUNTIFS(Xero_Raw!$D$4:$D$5003,$A75,Xero_Raw!$G$4:$G$5003,"*Subscription*",Xero_Raw!$A$4:$A$5003,"&gt;="&amp;DATE(2026,10,1),Xero_Raw!$A$4:$A$5003,"&lt;"&amp;EDATE(DATE(2026,10,1),1))+COUNTIFS(Customer_Invoices_Upload!$E$4:$E$5003,$A75,Customer_Invoices_Upload!$G$4:$G$5003,"*Subscription*",Customer_Invoices_Upload!$B$4:$B$5003,"&gt;="&amp;DATE(2026,10,1),Customer_Invoices_Upload!$B$4:$B$5003,"&lt;"&amp;EDATE(DATE(2026,10,1),1))+COUNTIFS(Stripe_Invoices_Upload!$D$4:$D$5003,$A75,Stripe_Invoices_Upload!$E$4:$E$5003,"*Subscription*",Stripe_Invoices_Upload!$A$4:$A$5003,"&gt;="&amp;DATE(2026,10,1),Stripe_Invoices_Upload!$A$4:$A$5003,"&lt;"&amp;EDATE(DATE(2026,10,1),1)))&gt;0,"✓ Invoiced","⚠ Due"),""),""))</f>
        <v/>
      </c>
      <c r="N75" s="130" t="str">
        <f aca="false">IF($A75="","",IF((DATE(YEAR($E75),MONTH($E75),1)&lt;=DATE(2026,11,1)),IF((MOD(DATEDIF(DATE(YEAR($E75),MONTH($E75),1),DATE(2026,11,1),"m"),IF($D75="Quarterly",3,IF($D75="Annual",12,1)))=0),IF((COUNTIFS(Xero_Raw!$D$4:$D$5003,$A75,Xero_Raw!$G$4:$G$5003,"*Subscription*",Xero_Raw!$A$4:$A$5003,"&gt;="&amp;DATE(2026,11,1),Xero_Raw!$A$4:$A$5003,"&lt;"&amp;EDATE(DATE(2026,11,1),1))+COUNTIFS(Customer_Invoices_Upload!$E$4:$E$5003,$A75,Customer_Invoices_Upload!$G$4:$G$5003,"*Subscription*",Customer_Invoices_Upload!$B$4:$B$5003,"&gt;="&amp;DATE(2026,11,1),Customer_Invoices_Upload!$B$4:$B$5003,"&lt;"&amp;EDATE(DATE(2026,11,1),1))+COUNTIFS(Stripe_Invoices_Upload!$D$4:$D$5003,$A75,Stripe_Invoices_Upload!$E$4:$E$5003,"*Subscription*",Stripe_Invoices_Upload!$A$4:$A$5003,"&gt;="&amp;DATE(2026,11,1),Stripe_Invoices_Upload!$A$4:$A$5003,"&lt;"&amp;EDATE(DATE(2026,11,1),1)))&gt;0,"✓ Invoiced","⚠ Due"),""),""))</f>
        <v/>
      </c>
      <c r="O75" s="130" t="str">
        <f aca="false">IF($A75="","",IF((DATE(YEAR($E75),MONTH($E75),1)&lt;=DATE(2026,12,1)),IF((MOD(DATEDIF(DATE(YEAR($E75),MONTH($E75),1),DATE(2026,12,1),"m"),IF($D75="Quarterly",3,IF($D75="Annual",12,1)))=0),IF((COUNTIFS(Xero_Raw!$D$4:$D$5003,$A75,Xero_Raw!$G$4:$G$5003,"*Subscription*",Xero_Raw!$A$4:$A$5003,"&gt;="&amp;DATE(2026,12,1),Xero_Raw!$A$4:$A$5003,"&lt;"&amp;EDATE(DATE(2026,12,1),1))+COUNTIFS(Customer_Invoices_Upload!$E$4:$E$5003,$A75,Customer_Invoices_Upload!$G$4:$G$5003,"*Subscription*",Customer_Invoices_Upload!$B$4:$B$5003,"&gt;="&amp;DATE(2026,12,1),Customer_Invoices_Upload!$B$4:$B$5003,"&lt;"&amp;EDATE(DATE(2026,12,1),1))+COUNTIFS(Stripe_Invoices_Upload!$D$4:$D$5003,$A75,Stripe_Invoices_Upload!$E$4:$E$5003,"*Subscription*",Stripe_Invoices_Upload!$A$4:$A$5003,"&gt;="&amp;DATE(2026,12,1),Stripe_Invoices_Upload!$A$4:$A$5003,"&lt;"&amp;EDATE(DATE(2026,12,1),1)))&gt;0,"✓ Invoiced","⚠ Due"),""),""))</f>
        <v/>
      </c>
      <c r="P75" s="130" t="str">
        <f aca="false">IF($A75="","",IF((DATE(YEAR($E75),MONTH($E75),1)&lt;=DATE(2027,1,1)),IF((MOD(DATEDIF(DATE(YEAR($E75),MONTH($E75),1),DATE(2027,1,1),"m"),IF($D75="Quarterly",3,IF($D75="Annual",12,1)))=0),IF((COUNTIFS(Xero_Raw!$D$4:$D$5003,$A75,Xero_Raw!$G$4:$G$5003,"*Subscription*",Xero_Raw!$A$4:$A$5003,"&gt;="&amp;DATE(2027,1,1),Xero_Raw!$A$4:$A$5003,"&lt;"&amp;EDATE(DATE(2027,1,1),1))+COUNTIFS(Customer_Invoices_Upload!$E$4:$E$5003,$A75,Customer_Invoices_Upload!$G$4:$G$5003,"*Subscription*",Customer_Invoices_Upload!$B$4:$B$5003,"&gt;="&amp;DATE(2027,1,1),Customer_Invoices_Upload!$B$4:$B$5003,"&lt;"&amp;EDATE(DATE(2027,1,1),1))+COUNTIFS(Stripe_Invoices_Upload!$D$4:$D$5003,$A75,Stripe_Invoices_Upload!$E$4:$E$5003,"*Subscription*",Stripe_Invoices_Upload!$A$4:$A$5003,"&gt;="&amp;DATE(2027,1,1),Stripe_Invoices_Upload!$A$4:$A$5003,"&lt;"&amp;EDATE(DATE(2027,1,1),1)))&gt;0,"✓ Invoiced","⚠ Due"),""),""))</f>
        <v/>
      </c>
      <c r="Q75" s="130" t="str">
        <f aca="false">IF($A75="","",IF((DATE(YEAR($E75),MONTH($E75),1)&lt;=DATE(2027,2,1)),IF((MOD(DATEDIF(DATE(YEAR($E75),MONTH($E75),1),DATE(2027,2,1),"m"),IF($D75="Quarterly",3,IF($D75="Annual",12,1)))=0),IF((COUNTIFS(Xero_Raw!$D$4:$D$5003,$A75,Xero_Raw!$G$4:$G$5003,"*Subscription*",Xero_Raw!$A$4:$A$5003,"&gt;="&amp;DATE(2027,2,1),Xero_Raw!$A$4:$A$5003,"&lt;"&amp;EDATE(DATE(2027,2,1),1))+COUNTIFS(Customer_Invoices_Upload!$E$4:$E$5003,$A75,Customer_Invoices_Upload!$G$4:$G$5003,"*Subscription*",Customer_Invoices_Upload!$B$4:$B$5003,"&gt;="&amp;DATE(2027,2,1),Customer_Invoices_Upload!$B$4:$B$5003,"&lt;"&amp;EDATE(DATE(2027,2,1),1))+COUNTIFS(Stripe_Invoices_Upload!$D$4:$D$5003,$A75,Stripe_Invoices_Upload!$E$4:$E$5003,"*Subscription*",Stripe_Invoices_Upload!$A$4:$A$5003,"&gt;="&amp;DATE(2027,2,1),Stripe_Invoices_Upload!$A$4:$A$5003,"&lt;"&amp;EDATE(DATE(2027,2,1),1)))&gt;0,"✓ Invoiced","⚠ Due"),""),""))</f>
        <v/>
      </c>
      <c r="R75" s="130" t="str">
        <f aca="false">IF($A75="","",IF((DATE(YEAR($E75),MONTH($E75),1)&lt;=DATE(2027,3,1)),IF((MOD(DATEDIF(DATE(YEAR($E75),MONTH($E75),1),DATE(2027,3,1),"m"),IF($D75="Quarterly",3,IF($D75="Annual",12,1)))=0),IF((COUNTIFS(Xero_Raw!$D$4:$D$5003,$A75,Xero_Raw!$G$4:$G$5003,"*Subscription*",Xero_Raw!$A$4:$A$5003,"&gt;="&amp;DATE(2027,3,1),Xero_Raw!$A$4:$A$5003,"&lt;"&amp;EDATE(DATE(2027,3,1),1))+COUNTIFS(Customer_Invoices_Upload!$E$4:$E$5003,$A75,Customer_Invoices_Upload!$G$4:$G$5003,"*Subscription*",Customer_Invoices_Upload!$B$4:$B$5003,"&gt;="&amp;DATE(2027,3,1),Customer_Invoices_Upload!$B$4:$B$5003,"&lt;"&amp;EDATE(DATE(2027,3,1),1))+COUNTIFS(Stripe_Invoices_Upload!$D$4:$D$5003,$A75,Stripe_Invoices_Upload!$E$4:$E$5003,"*Subscription*",Stripe_Invoices_Upload!$A$4:$A$5003,"&gt;="&amp;DATE(2027,3,1),Stripe_Invoices_Upload!$A$4:$A$5003,"&lt;"&amp;EDATE(DATE(2027,3,1),1)))&gt;0,"✓ Invoiced","⚠ Due"),""),""))</f>
        <v/>
      </c>
    </row>
    <row r="76" customFormat="false" ht="15" hidden="false" customHeight="false" outlineLevel="0" collapsed="false">
      <c r="A76" s="39"/>
      <c r="B76" s="39"/>
      <c r="C76" s="40"/>
      <c r="D76" s="39"/>
      <c r="E76" s="38"/>
      <c r="F76" s="129" t="str">
        <f aca="true">IF($A76="","",EDATE($E76,DATEDIF($E76,TODAY(),"m")+1))</f>
        <v/>
      </c>
      <c r="G76" s="130" t="str">
        <f aca="false">IF($A76="","",IF((DATE(YEAR($E76),MONTH($E76),1)&lt;=DATE(2026,4,1)),IF((MOD(DATEDIF(DATE(YEAR($E76),MONTH($E76),1),DATE(2026,4,1),"m"),IF($D76="Quarterly",3,IF($D76="Annual",12,1)))=0),IF((COUNTIFS(Xero_Raw!$D$4:$D$5003,$A76,Xero_Raw!$G$4:$G$5003,"*Subscription*",Xero_Raw!$A$4:$A$5003,"&gt;="&amp;DATE(2026,4,1),Xero_Raw!$A$4:$A$5003,"&lt;"&amp;EDATE(DATE(2026,4,1),1))+COUNTIFS(Customer_Invoices_Upload!$E$4:$E$5003,$A76,Customer_Invoices_Upload!$G$4:$G$5003,"*Subscription*",Customer_Invoices_Upload!$B$4:$B$5003,"&gt;="&amp;DATE(2026,4,1),Customer_Invoices_Upload!$B$4:$B$5003,"&lt;"&amp;EDATE(DATE(2026,4,1),1))+COUNTIFS(Stripe_Invoices_Upload!$D$4:$D$5003,$A76,Stripe_Invoices_Upload!$E$4:$E$5003,"*Subscription*",Stripe_Invoices_Upload!$A$4:$A$5003,"&gt;="&amp;DATE(2026,4,1),Stripe_Invoices_Upload!$A$4:$A$5003,"&lt;"&amp;EDATE(DATE(2026,4,1),1)))&gt;0,"✓ Invoiced","⚠ Due"),""),""))</f>
        <v/>
      </c>
      <c r="H76" s="130" t="str">
        <f aca="false">IF($A76="","",IF((DATE(YEAR($E76),MONTH($E76),1)&lt;=DATE(2026,5,1)),IF((MOD(DATEDIF(DATE(YEAR($E76),MONTH($E76),1),DATE(2026,5,1),"m"),IF($D76="Quarterly",3,IF($D76="Annual",12,1)))=0),IF((COUNTIFS(Xero_Raw!$D$4:$D$5003,$A76,Xero_Raw!$G$4:$G$5003,"*Subscription*",Xero_Raw!$A$4:$A$5003,"&gt;="&amp;DATE(2026,5,1),Xero_Raw!$A$4:$A$5003,"&lt;"&amp;EDATE(DATE(2026,5,1),1))+COUNTIFS(Customer_Invoices_Upload!$E$4:$E$5003,$A76,Customer_Invoices_Upload!$G$4:$G$5003,"*Subscription*",Customer_Invoices_Upload!$B$4:$B$5003,"&gt;="&amp;DATE(2026,5,1),Customer_Invoices_Upload!$B$4:$B$5003,"&lt;"&amp;EDATE(DATE(2026,5,1),1))+COUNTIFS(Stripe_Invoices_Upload!$D$4:$D$5003,$A76,Stripe_Invoices_Upload!$E$4:$E$5003,"*Subscription*",Stripe_Invoices_Upload!$A$4:$A$5003,"&gt;="&amp;DATE(2026,5,1),Stripe_Invoices_Upload!$A$4:$A$5003,"&lt;"&amp;EDATE(DATE(2026,5,1),1)))&gt;0,"✓ Invoiced","⚠ Due"),""),""))</f>
        <v/>
      </c>
      <c r="I76" s="130" t="str">
        <f aca="false">IF($A76="","",IF((DATE(YEAR($E76),MONTH($E76),1)&lt;=DATE(2026,6,1)),IF((MOD(DATEDIF(DATE(YEAR($E76),MONTH($E76),1),DATE(2026,6,1),"m"),IF($D76="Quarterly",3,IF($D76="Annual",12,1)))=0),IF((COUNTIFS(Xero_Raw!$D$4:$D$5003,$A76,Xero_Raw!$G$4:$G$5003,"*Subscription*",Xero_Raw!$A$4:$A$5003,"&gt;="&amp;DATE(2026,6,1),Xero_Raw!$A$4:$A$5003,"&lt;"&amp;EDATE(DATE(2026,6,1),1))+COUNTIFS(Customer_Invoices_Upload!$E$4:$E$5003,$A76,Customer_Invoices_Upload!$G$4:$G$5003,"*Subscription*",Customer_Invoices_Upload!$B$4:$B$5003,"&gt;="&amp;DATE(2026,6,1),Customer_Invoices_Upload!$B$4:$B$5003,"&lt;"&amp;EDATE(DATE(2026,6,1),1))+COUNTIFS(Stripe_Invoices_Upload!$D$4:$D$5003,$A76,Stripe_Invoices_Upload!$E$4:$E$5003,"*Subscription*",Stripe_Invoices_Upload!$A$4:$A$5003,"&gt;="&amp;DATE(2026,6,1),Stripe_Invoices_Upload!$A$4:$A$5003,"&lt;"&amp;EDATE(DATE(2026,6,1),1)))&gt;0,"✓ Invoiced","⚠ Due"),""),""))</f>
        <v/>
      </c>
      <c r="J76" s="130" t="str">
        <f aca="false">IF($A76="","",IF((DATE(YEAR($E76),MONTH($E76),1)&lt;=DATE(2026,7,1)),IF((MOD(DATEDIF(DATE(YEAR($E76),MONTH($E76),1),DATE(2026,7,1),"m"),IF($D76="Quarterly",3,IF($D76="Annual",12,1)))=0),IF((COUNTIFS(Xero_Raw!$D$4:$D$5003,$A76,Xero_Raw!$G$4:$G$5003,"*Subscription*",Xero_Raw!$A$4:$A$5003,"&gt;="&amp;DATE(2026,7,1),Xero_Raw!$A$4:$A$5003,"&lt;"&amp;EDATE(DATE(2026,7,1),1))+COUNTIFS(Customer_Invoices_Upload!$E$4:$E$5003,$A76,Customer_Invoices_Upload!$G$4:$G$5003,"*Subscription*",Customer_Invoices_Upload!$B$4:$B$5003,"&gt;="&amp;DATE(2026,7,1),Customer_Invoices_Upload!$B$4:$B$5003,"&lt;"&amp;EDATE(DATE(2026,7,1),1))+COUNTIFS(Stripe_Invoices_Upload!$D$4:$D$5003,$A76,Stripe_Invoices_Upload!$E$4:$E$5003,"*Subscription*",Stripe_Invoices_Upload!$A$4:$A$5003,"&gt;="&amp;DATE(2026,7,1),Stripe_Invoices_Upload!$A$4:$A$5003,"&lt;"&amp;EDATE(DATE(2026,7,1),1)))&gt;0,"✓ Invoiced","⚠ Due"),""),""))</f>
        <v/>
      </c>
      <c r="K76" s="130" t="str">
        <f aca="false">IF($A76="","",IF((DATE(YEAR($E76),MONTH($E76),1)&lt;=DATE(2026,8,1)),IF((MOD(DATEDIF(DATE(YEAR($E76),MONTH($E76),1),DATE(2026,8,1),"m"),IF($D76="Quarterly",3,IF($D76="Annual",12,1)))=0),IF((COUNTIFS(Xero_Raw!$D$4:$D$5003,$A76,Xero_Raw!$G$4:$G$5003,"*Subscription*",Xero_Raw!$A$4:$A$5003,"&gt;="&amp;DATE(2026,8,1),Xero_Raw!$A$4:$A$5003,"&lt;"&amp;EDATE(DATE(2026,8,1),1))+COUNTIFS(Customer_Invoices_Upload!$E$4:$E$5003,$A76,Customer_Invoices_Upload!$G$4:$G$5003,"*Subscription*",Customer_Invoices_Upload!$B$4:$B$5003,"&gt;="&amp;DATE(2026,8,1),Customer_Invoices_Upload!$B$4:$B$5003,"&lt;"&amp;EDATE(DATE(2026,8,1),1))+COUNTIFS(Stripe_Invoices_Upload!$D$4:$D$5003,$A76,Stripe_Invoices_Upload!$E$4:$E$5003,"*Subscription*",Stripe_Invoices_Upload!$A$4:$A$5003,"&gt;="&amp;DATE(2026,8,1),Stripe_Invoices_Upload!$A$4:$A$5003,"&lt;"&amp;EDATE(DATE(2026,8,1),1)))&gt;0,"✓ Invoiced","⚠ Due"),""),""))</f>
        <v/>
      </c>
      <c r="L76" s="130" t="str">
        <f aca="false">IF($A76="","",IF((DATE(YEAR($E76),MONTH($E76),1)&lt;=DATE(2026,9,1)),IF((MOD(DATEDIF(DATE(YEAR($E76),MONTH($E76),1),DATE(2026,9,1),"m"),IF($D76="Quarterly",3,IF($D76="Annual",12,1)))=0),IF((COUNTIFS(Xero_Raw!$D$4:$D$5003,$A76,Xero_Raw!$G$4:$G$5003,"*Subscription*",Xero_Raw!$A$4:$A$5003,"&gt;="&amp;DATE(2026,9,1),Xero_Raw!$A$4:$A$5003,"&lt;"&amp;EDATE(DATE(2026,9,1),1))+COUNTIFS(Customer_Invoices_Upload!$E$4:$E$5003,$A76,Customer_Invoices_Upload!$G$4:$G$5003,"*Subscription*",Customer_Invoices_Upload!$B$4:$B$5003,"&gt;="&amp;DATE(2026,9,1),Customer_Invoices_Upload!$B$4:$B$5003,"&lt;"&amp;EDATE(DATE(2026,9,1),1))+COUNTIFS(Stripe_Invoices_Upload!$D$4:$D$5003,$A76,Stripe_Invoices_Upload!$E$4:$E$5003,"*Subscription*",Stripe_Invoices_Upload!$A$4:$A$5003,"&gt;="&amp;DATE(2026,9,1),Stripe_Invoices_Upload!$A$4:$A$5003,"&lt;"&amp;EDATE(DATE(2026,9,1),1)))&gt;0,"✓ Invoiced","⚠ Due"),""),""))</f>
        <v/>
      </c>
      <c r="M76" s="130" t="str">
        <f aca="false">IF($A76="","",IF((DATE(YEAR($E76),MONTH($E76),1)&lt;=DATE(2026,10,1)),IF((MOD(DATEDIF(DATE(YEAR($E76),MONTH($E76),1),DATE(2026,10,1),"m"),IF($D76="Quarterly",3,IF($D76="Annual",12,1)))=0),IF((COUNTIFS(Xero_Raw!$D$4:$D$5003,$A76,Xero_Raw!$G$4:$G$5003,"*Subscription*",Xero_Raw!$A$4:$A$5003,"&gt;="&amp;DATE(2026,10,1),Xero_Raw!$A$4:$A$5003,"&lt;"&amp;EDATE(DATE(2026,10,1),1))+COUNTIFS(Customer_Invoices_Upload!$E$4:$E$5003,$A76,Customer_Invoices_Upload!$G$4:$G$5003,"*Subscription*",Customer_Invoices_Upload!$B$4:$B$5003,"&gt;="&amp;DATE(2026,10,1),Customer_Invoices_Upload!$B$4:$B$5003,"&lt;"&amp;EDATE(DATE(2026,10,1),1))+COUNTIFS(Stripe_Invoices_Upload!$D$4:$D$5003,$A76,Stripe_Invoices_Upload!$E$4:$E$5003,"*Subscription*",Stripe_Invoices_Upload!$A$4:$A$5003,"&gt;="&amp;DATE(2026,10,1),Stripe_Invoices_Upload!$A$4:$A$5003,"&lt;"&amp;EDATE(DATE(2026,10,1),1)))&gt;0,"✓ Invoiced","⚠ Due"),""),""))</f>
        <v/>
      </c>
      <c r="N76" s="130" t="str">
        <f aca="false">IF($A76="","",IF((DATE(YEAR($E76),MONTH($E76),1)&lt;=DATE(2026,11,1)),IF((MOD(DATEDIF(DATE(YEAR($E76),MONTH($E76),1),DATE(2026,11,1),"m"),IF($D76="Quarterly",3,IF($D76="Annual",12,1)))=0),IF((COUNTIFS(Xero_Raw!$D$4:$D$5003,$A76,Xero_Raw!$G$4:$G$5003,"*Subscription*",Xero_Raw!$A$4:$A$5003,"&gt;="&amp;DATE(2026,11,1),Xero_Raw!$A$4:$A$5003,"&lt;"&amp;EDATE(DATE(2026,11,1),1))+COUNTIFS(Customer_Invoices_Upload!$E$4:$E$5003,$A76,Customer_Invoices_Upload!$G$4:$G$5003,"*Subscription*",Customer_Invoices_Upload!$B$4:$B$5003,"&gt;="&amp;DATE(2026,11,1),Customer_Invoices_Upload!$B$4:$B$5003,"&lt;"&amp;EDATE(DATE(2026,11,1),1))+COUNTIFS(Stripe_Invoices_Upload!$D$4:$D$5003,$A76,Stripe_Invoices_Upload!$E$4:$E$5003,"*Subscription*",Stripe_Invoices_Upload!$A$4:$A$5003,"&gt;="&amp;DATE(2026,11,1),Stripe_Invoices_Upload!$A$4:$A$5003,"&lt;"&amp;EDATE(DATE(2026,11,1),1)))&gt;0,"✓ Invoiced","⚠ Due"),""),""))</f>
        <v/>
      </c>
      <c r="O76" s="130" t="str">
        <f aca="false">IF($A76="","",IF((DATE(YEAR($E76),MONTH($E76),1)&lt;=DATE(2026,12,1)),IF((MOD(DATEDIF(DATE(YEAR($E76),MONTH($E76),1),DATE(2026,12,1),"m"),IF($D76="Quarterly",3,IF($D76="Annual",12,1)))=0),IF((COUNTIFS(Xero_Raw!$D$4:$D$5003,$A76,Xero_Raw!$G$4:$G$5003,"*Subscription*",Xero_Raw!$A$4:$A$5003,"&gt;="&amp;DATE(2026,12,1),Xero_Raw!$A$4:$A$5003,"&lt;"&amp;EDATE(DATE(2026,12,1),1))+COUNTIFS(Customer_Invoices_Upload!$E$4:$E$5003,$A76,Customer_Invoices_Upload!$G$4:$G$5003,"*Subscription*",Customer_Invoices_Upload!$B$4:$B$5003,"&gt;="&amp;DATE(2026,12,1),Customer_Invoices_Upload!$B$4:$B$5003,"&lt;"&amp;EDATE(DATE(2026,12,1),1))+COUNTIFS(Stripe_Invoices_Upload!$D$4:$D$5003,$A76,Stripe_Invoices_Upload!$E$4:$E$5003,"*Subscription*",Stripe_Invoices_Upload!$A$4:$A$5003,"&gt;="&amp;DATE(2026,12,1),Stripe_Invoices_Upload!$A$4:$A$5003,"&lt;"&amp;EDATE(DATE(2026,12,1),1)))&gt;0,"✓ Invoiced","⚠ Due"),""),""))</f>
        <v/>
      </c>
      <c r="P76" s="130" t="str">
        <f aca="false">IF($A76="","",IF((DATE(YEAR($E76),MONTH($E76),1)&lt;=DATE(2027,1,1)),IF((MOD(DATEDIF(DATE(YEAR($E76),MONTH($E76),1),DATE(2027,1,1),"m"),IF($D76="Quarterly",3,IF($D76="Annual",12,1)))=0),IF((COUNTIFS(Xero_Raw!$D$4:$D$5003,$A76,Xero_Raw!$G$4:$G$5003,"*Subscription*",Xero_Raw!$A$4:$A$5003,"&gt;="&amp;DATE(2027,1,1),Xero_Raw!$A$4:$A$5003,"&lt;"&amp;EDATE(DATE(2027,1,1),1))+COUNTIFS(Customer_Invoices_Upload!$E$4:$E$5003,$A76,Customer_Invoices_Upload!$G$4:$G$5003,"*Subscription*",Customer_Invoices_Upload!$B$4:$B$5003,"&gt;="&amp;DATE(2027,1,1),Customer_Invoices_Upload!$B$4:$B$5003,"&lt;"&amp;EDATE(DATE(2027,1,1),1))+COUNTIFS(Stripe_Invoices_Upload!$D$4:$D$5003,$A76,Stripe_Invoices_Upload!$E$4:$E$5003,"*Subscription*",Stripe_Invoices_Upload!$A$4:$A$5003,"&gt;="&amp;DATE(2027,1,1),Stripe_Invoices_Upload!$A$4:$A$5003,"&lt;"&amp;EDATE(DATE(2027,1,1),1)))&gt;0,"✓ Invoiced","⚠ Due"),""),""))</f>
        <v/>
      </c>
      <c r="Q76" s="130" t="str">
        <f aca="false">IF($A76="","",IF((DATE(YEAR($E76),MONTH($E76),1)&lt;=DATE(2027,2,1)),IF((MOD(DATEDIF(DATE(YEAR($E76),MONTH($E76),1),DATE(2027,2,1),"m"),IF($D76="Quarterly",3,IF($D76="Annual",12,1)))=0),IF((COUNTIFS(Xero_Raw!$D$4:$D$5003,$A76,Xero_Raw!$G$4:$G$5003,"*Subscription*",Xero_Raw!$A$4:$A$5003,"&gt;="&amp;DATE(2027,2,1),Xero_Raw!$A$4:$A$5003,"&lt;"&amp;EDATE(DATE(2027,2,1),1))+COUNTIFS(Customer_Invoices_Upload!$E$4:$E$5003,$A76,Customer_Invoices_Upload!$G$4:$G$5003,"*Subscription*",Customer_Invoices_Upload!$B$4:$B$5003,"&gt;="&amp;DATE(2027,2,1),Customer_Invoices_Upload!$B$4:$B$5003,"&lt;"&amp;EDATE(DATE(2027,2,1),1))+COUNTIFS(Stripe_Invoices_Upload!$D$4:$D$5003,$A76,Stripe_Invoices_Upload!$E$4:$E$5003,"*Subscription*",Stripe_Invoices_Upload!$A$4:$A$5003,"&gt;="&amp;DATE(2027,2,1),Stripe_Invoices_Upload!$A$4:$A$5003,"&lt;"&amp;EDATE(DATE(2027,2,1),1)))&gt;0,"✓ Invoiced","⚠ Due"),""),""))</f>
        <v/>
      </c>
      <c r="R76" s="130" t="str">
        <f aca="false">IF($A76="","",IF((DATE(YEAR($E76),MONTH($E76),1)&lt;=DATE(2027,3,1)),IF((MOD(DATEDIF(DATE(YEAR($E76),MONTH($E76),1),DATE(2027,3,1),"m"),IF($D76="Quarterly",3,IF($D76="Annual",12,1)))=0),IF((COUNTIFS(Xero_Raw!$D$4:$D$5003,$A76,Xero_Raw!$G$4:$G$5003,"*Subscription*",Xero_Raw!$A$4:$A$5003,"&gt;="&amp;DATE(2027,3,1),Xero_Raw!$A$4:$A$5003,"&lt;"&amp;EDATE(DATE(2027,3,1),1))+COUNTIFS(Customer_Invoices_Upload!$E$4:$E$5003,$A76,Customer_Invoices_Upload!$G$4:$G$5003,"*Subscription*",Customer_Invoices_Upload!$B$4:$B$5003,"&gt;="&amp;DATE(2027,3,1),Customer_Invoices_Upload!$B$4:$B$5003,"&lt;"&amp;EDATE(DATE(2027,3,1),1))+COUNTIFS(Stripe_Invoices_Upload!$D$4:$D$5003,$A76,Stripe_Invoices_Upload!$E$4:$E$5003,"*Subscription*",Stripe_Invoices_Upload!$A$4:$A$5003,"&gt;="&amp;DATE(2027,3,1),Stripe_Invoices_Upload!$A$4:$A$5003,"&lt;"&amp;EDATE(DATE(2027,3,1),1)))&gt;0,"✓ Invoiced","⚠ Due"),""),""))</f>
        <v/>
      </c>
    </row>
    <row r="77" customFormat="false" ht="15" hidden="false" customHeight="false" outlineLevel="0" collapsed="false">
      <c r="A77" s="39"/>
      <c r="B77" s="39"/>
      <c r="C77" s="40"/>
      <c r="D77" s="39"/>
      <c r="E77" s="38"/>
      <c r="F77" s="129" t="str">
        <f aca="true">IF($A77="","",EDATE($E77,DATEDIF($E77,TODAY(),"m")+1))</f>
        <v/>
      </c>
      <c r="G77" s="130" t="str">
        <f aca="false">IF($A77="","",IF((DATE(YEAR($E77),MONTH($E77),1)&lt;=DATE(2026,4,1)),IF((MOD(DATEDIF(DATE(YEAR($E77),MONTH($E77),1),DATE(2026,4,1),"m"),IF($D77="Quarterly",3,IF($D77="Annual",12,1)))=0),IF((COUNTIFS(Xero_Raw!$D$4:$D$5003,$A77,Xero_Raw!$G$4:$G$5003,"*Subscription*",Xero_Raw!$A$4:$A$5003,"&gt;="&amp;DATE(2026,4,1),Xero_Raw!$A$4:$A$5003,"&lt;"&amp;EDATE(DATE(2026,4,1),1))+COUNTIFS(Customer_Invoices_Upload!$E$4:$E$5003,$A77,Customer_Invoices_Upload!$G$4:$G$5003,"*Subscription*",Customer_Invoices_Upload!$B$4:$B$5003,"&gt;="&amp;DATE(2026,4,1),Customer_Invoices_Upload!$B$4:$B$5003,"&lt;"&amp;EDATE(DATE(2026,4,1),1))+COUNTIFS(Stripe_Invoices_Upload!$D$4:$D$5003,$A77,Stripe_Invoices_Upload!$E$4:$E$5003,"*Subscription*",Stripe_Invoices_Upload!$A$4:$A$5003,"&gt;="&amp;DATE(2026,4,1),Stripe_Invoices_Upload!$A$4:$A$5003,"&lt;"&amp;EDATE(DATE(2026,4,1),1)))&gt;0,"✓ Invoiced","⚠ Due"),""),""))</f>
        <v/>
      </c>
      <c r="H77" s="130" t="str">
        <f aca="false">IF($A77="","",IF((DATE(YEAR($E77),MONTH($E77),1)&lt;=DATE(2026,5,1)),IF((MOD(DATEDIF(DATE(YEAR($E77),MONTH($E77),1),DATE(2026,5,1),"m"),IF($D77="Quarterly",3,IF($D77="Annual",12,1)))=0),IF((COUNTIFS(Xero_Raw!$D$4:$D$5003,$A77,Xero_Raw!$G$4:$G$5003,"*Subscription*",Xero_Raw!$A$4:$A$5003,"&gt;="&amp;DATE(2026,5,1),Xero_Raw!$A$4:$A$5003,"&lt;"&amp;EDATE(DATE(2026,5,1),1))+COUNTIFS(Customer_Invoices_Upload!$E$4:$E$5003,$A77,Customer_Invoices_Upload!$G$4:$G$5003,"*Subscription*",Customer_Invoices_Upload!$B$4:$B$5003,"&gt;="&amp;DATE(2026,5,1),Customer_Invoices_Upload!$B$4:$B$5003,"&lt;"&amp;EDATE(DATE(2026,5,1),1))+COUNTIFS(Stripe_Invoices_Upload!$D$4:$D$5003,$A77,Stripe_Invoices_Upload!$E$4:$E$5003,"*Subscription*",Stripe_Invoices_Upload!$A$4:$A$5003,"&gt;="&amp;DATE(2026,5,1),Stripe_Invoices_Upload!$A$4:$A$5003,"&lt;"&amp;EDATE(DATE(2026,5,1),1)))&gt;0,"✓ Invoiced","⚠ Due"),""),""))</f>
        <v/>
      </c>
      <c r="I77" s="130" t="str">
        <f aca="false">IF($A77="","",IF((DATE(YEAR($E77),MONTH($E77),1)&lt;=DATE(2026,6,1)),IF((MOD(DATEDIF(DATE(YEAR($E77),MONTH($E77),1),DATE(2026,6,1),"m"),IF($D77="Quarterly",3,IF($D77="Annual",12,1)))=0),IF((COUNTIFS(Xero_Raw!$D$4:$D$5003,$A77,Xero_Raw!$G$4:$G$5003,"*Subscription*",Xero_Raw!$A$4:$A$5003,"&gt;="&amp;DATE(2026,6,1),Xero_Raw!$A$4:$A$5003,"&lt;"&amp;EDATE(DATE(2026,6,1),1))+COUNTIFS(Customer_Invoices_Upload!$E$4:$E$5003,$A77,Customer_Invoices_Upload!$G$4:$G$5003,"*Subscription*",Customer_Invoices_Upload!$B$4:$B$5003,"&gt;="&amp;DATE(2026,6,1),Customer_Invoices_Upload!$B$4:$B$5003,"&lt;"&amp;EDATE(DATE(2026,6,1),1))+COUNTIFS(Stripe_Invoices_Upload!$D$4:$D$5003,$A77,Stripe_Invoices_Upload!$E$4:$E$5003,"*Subscription*",Stripe_Invoices_Upload!$A$4:$A$5003,"&gt;="&amp;DATE(2026,6,1),Stripe_Invoices_Upload!$A$4:$A$5003,"&lt;"&amp;EDATE(DATE(2026,6,1),1)))&gt;0,"✓ Invoiced","⚠ Due"),""),""))</f>
        <v/>
      </c>
      <c r="J77" s="130" t="str">
        <f aca="false">IF($A77="","",IF((DATE(YEAR($E77),MONTH($E77),1)&lt;=DATE(2026,7,1)),IF((MOD(DATEDIF(DATE(YEAR($E77),MONTH($E77),1),DATE(2026,7,1),"m"),IF($D77="Quarterly",3,IF($D77="Annual",12,1)))=0),IF((COUNTIFS(Xero_Raw!$D$4:$D$5003,$A77,Xero_Raw!$G$4:$G$5003,"*Subscription*",Xero_Raw!$A$4:$A$5003,"&gt;="&amp;DATE(2026,7,1),Xero_Raw!$A$4:$A$5003,"&lt;"&amp;EDATE(DATE(2026,7,1),1))+COUNTIFS(Customer_Invoices_Upload!$E$4:$E$5003,$A77,Customer_Invoices_Upload!$G$4:$G$5003,"*Subscription*",Customer_Invoices_Upload!$B$4:$B$5003,"&gt;="&amp;DATE(2026,7,1),Customer_Invoices_Upload!$B$4:$B$5003,"&lt;"&amp;EDATE(DATE(2026,7,1),1))+COUNTIFS(Stripe_Invoices_Upload!$D$4:$D$5003,$A77,Stripe_Invoices_Upload!$E$4:$E$5003,"*Subscription*",Stripe_Invoices_Upload!$A$4:$A$5003,"&gt;="&amp;DATE(2026,7,1),Stripe_Invoices_Upload!$A$4:$A$5003,"&lt;"&amp;EDATE(DATE(2026,7,1),1)))&gt;0,"✓ Invoiced","⚠ Due"),""),""))</f>
        <v/>
      </c>
      <c r="K77" s="130" t="str">
        <f aca="false">IF($A77="","",IF((DATE(YEAR($E77),MONTH($E77),1)&lt;=DATE(2026,8,1)),IF((MOD(DATEDIF(DATE(YEAR($E77),MONTH($E77),1),DATE(2026,8,1),"m"),IF($D77="Quarterly",3,IF($D77="Annual",12,1)))=0),IF((COUNTIFS(Xero_Raw!$D$4:$D$5003,$A77,Xero_Raw!$G$4:$G$5003,"*Subscription*",Xero_Raw!$A$4:$A$5003,"&gt;="&amp;DATE(2026,8,1),Xero_Raw!$A$4:$A$5003,"&lt;"&amp;EDATE(DATE(2026,8,1),1))+COUNTIFS(Customer_Invoices_Upload!$E$4:$E$5003,$A77,Customer_Invoices_Upload!$G$4:$G$5003,"*Subscription*",Customer_Invoices_Upload!$B$4:$B$5003,"&gt;="&amp;DATE(2026,8,1),Customer_Invoices_Upload!$B$4:$B$5003,"&lt;"&amp;EDATE(DATE(2026,8,1),1))+COUNTIFS(Stripe_Invoices_Upload!$D$4:$D$5003,$A77,Stripe_Invoices_Upload!$E$4:$E$5003,"*Subscription*",Stripe_Invoices_Upload!$A$4:$A$5003,"&gt;="&amp;DATE(2026,8,1),Stripe_Invoices_Upload!$A$4:$A$5003,"&lt;"&amp;EDATE(DATE(2026,8,1),1)))&gt;0,"✓ Invoiced","⚠ Due"),""),""))</f>
        <v/>
      </c>
      <c r="L77" s="130" t="str">
        <f aca="false">IF($A77="","",IF((DATE(YEAR($E77),MONTH($E77),1)&lt;=DATE(2026,9,1)),IF((MOD(DATEDIF(DATE(YEAR($E77),MONTH($E77),1),DATE(2026,9,1),"m"),IF($D77="Quarterly",3,IF($D77="Annual",12,1)))=0),IF((COUNTIFS(Xero_Raw!$D$4:$D$5003,$A77,Xero_Raw!$G$4:$G$5003,"*Subscription*",Xero_Raw!$A$4:$A$5003,"&gt;="&amp;DATE(2026,9,1),Xero_Raw!$A$4:$A$5003,"&lt;"&amp;EDATE(DATE(2026,9,1),1))+COUNTIFS(Customer_Invoices_Upload!$E$4:$E$5003,$A77,Customer_Invoices_Upload!$G$4:$G$5003,"*Subscription*",Customer_Invoices_Upload!$B$4:$B$5003,"&gt;="&amp;DATE(2026,9,1),Customer_Invoices_Upload!$B$4:$B$5003,"&lt;"&amp;EDATE(DATE(2026,9,1),1))+COUNTIFS(Stripe_Invoices_Upload!$D$4:$D$5003,$A77,Stripe_Invoices_Upload!$E$4:$E$5003,"*Subscription*",Stripe_Invoices_Upload!$A$4:$A$5003,"&gt;="&amp;DATE(2026,9,1),Stripe_Invoices_Upload!$A$4:$A$5003,"&lt;"&amp;EDATE(DATE(2026,9,1),1)))&gt;0,"✓ Invoiced","⚠ Due"),""),""))</f>
        <v/>
      </c>
      <c r="M77" s="130" t="str">
        <f aca="false">IF($A77="","",IF((DATE(YEAR($E77),MONTH($E77),1)&lt;=DATE(2026,10,1)),IF((MOD(DATEDIF(DATE(YEAR($E77),MONTH($E77),1),DATE(2026,10,1),"m"),IF($D77="Quarterly",3,IF($D77="Annual",12,1)))=0),IF((COUNTIFS(Xero_Raw!$D$4:$D$5003,$A77,Xero_Raw!$G$4:$G$5003,"*Subscription*",Xero_Raw!$A$4:$A$5003,"&gt;="&amp;DATE(2026,10,1),Xero_Raw!$A$4:$A$5003,"&lt;"&amp;EDATE(DATE(2026,10,1),1))+COUNTIFS(Customer_Invoices_Upload!$E$4:$E$5003,$A77,Customer_Invoices_Upload!$G$4:$G$5003,"*Subscription*",Customer_Invoices_Upload!$B$4:$B$5003,"&gt;="&amp;DATE(2026,10,1),Customer_Invoices_Upload!$B$4:$B$5003,"&lt;"&amp;EDATE(DATE(2026,10,1),1))+COUNTIFS(Stripe_Invoices_Upload!$D$4:$D$5003,$A77,Stripe_Invoices_Upload!$E$4:$E$5003,"*Subscription*",Stripe_Invoices_Upload!$A$4:$A$5003,"&gt;="&amp;DATE(2026,10,1),Stripe_Invoices_Upload!$A$4:$A$5003,"&lt;"&amp;EDATE(DATE(2026,10,1),1)))&gt;0,"✓ Invoiced","⚠ Due"),""),""))</f>
        <v/>
      </c>
      <c r="N77" s="130" t="str">
        <f aca="false">IF($A77="","",IF((DATE(YEAR($E77),MONTH($E77),1)&lt;=DATE(2026,11,1)),IF((MOD(DATEDIF(DATE(YEAR($E77),MONTH($E77),1),DATE(2026,11,1),"m"),IF($D77="Quarterly",3,IF($D77="Annual",12,1)))=0),IF((COUNTIFS(Xero_Raw!$D$4:$D$5003,$A77,Xero_Raw!$G$4:$G$5003,"*Subscription*",Xero_Raw!$A$4:$A$5003,"&gt;="&amp;DATE(2026,11,1),Xero_Raw!$A$4:$A$5003,"&lt;"&amp;EDATE(DATE(2026,11,1),1))+COUNTIFS(Customer_Invoices_Upload!$E$4:$E$5003,$A77,Customer_Invoices_Upload!$G$4:$G$5003,"*Subscription*",Customer_Invoices_Upload!$B$4:$B$5003,"&gt;="&amp;DATE(2026,11,1),Customer_Invoices_Upload!$B$4:$B$5003,"&lt;"&amp;EDATE(DATE(2026,11,1),1))+COUNTIFS(Stripe_Invoices_Upload!$D$4:$D$5003,$A77,Stripe_Invoices_Upload!$E$4:$E$5003,"*Subscription*",Stripe_Invoices_Upload!$A$4:$A$5003,"&gt;="&amp;DATE(2026,11,1),Stripe_Invoices_Upload!$A$4:$A$5003,"&lt;"&amp;EDATE(DATE(2026,11,1),1)))&gt;0,"✓ Invoiced","⚠ Due"),""),""))</f>
        <v/>
      </c>
      <c r="O77" s="130" t="str">
        <f aca="false">IF($A77="","",IF((DATE(YEAR($E77),MONTH($E77),1)&lt;=DATE(2026,12,1)),IF((MOD(DATEDIF(DATE(YEAR($E77),MONTH($E77),1),DATE(2026,12,1),"m"),IF($D77="Quarterly",3,IF($D77="Annual",12,1)))=0),IF((COUNTIFS(Xero_Raw!$D$4:$D$5003,$A77,Xero_Raw!$G$4:$G$5003,"*Subscription*",Xero_Raw!$A$4:$A$5003,"&gt;="&amp;DATE(2026,12,1),Xero_Raw!$A$4:$A$5003,"&lt;"&amp;EDATE(DATE(2026,12,1),1))+COUNTIFS(Customer_Invoices_Upload!$E$4:$E$5003,$A77,Customer_Invoices_Upload!$G$4:$G$5003,"*Subscription*",Customer_Invoices_Upload!$B$4:$B$5003,"&gt;="&amp;DATE(2026,12,1),Customer_Invoices_Upload!$B$4:$B$5003,"&lt;"&amp;EDATE(DATE(2026,12,1),1))+COUNTIFS(Stripe_Invoices_Upload!$D$4:$D$5003,$A77,Stripe_Invoices_Upload!$E$4:$E$5003,"*Subscription*",Stripe_Invoices_Upload!$A$4:$A$5003,"&gt;="&amp;DATE(2026,12,1),Stripe_Invoices_Upload!$A$4:$A$5003,"&lt;"&amp;EDATE(DATE(2026,12,1),1)))&gt;0,"✓ Invoiced","⚠ Due"),""),""))</f>
        <v/>
      </c>
      <c r="P77" s="130" t="str">
        <f aca="false">IF($A77="","",IF((DATE(YEAR($E77),MONTH($E77),1)&lt;=DATE(2027,1,1)),IF((MOD(DATEDIF(DATE(YEAR($E77),MONTH($E77),1),DATE(2027,1,1),"m"),IF($D77="Quarterly",3,IF($D77="Annual",12,1)))=0),IF((COUNTIFS(Xero_Raw!$D$4:$D$5003,$A77,Xero_Raw!$G$4:$G$5003,"*Subscription*",Xero_Raw!$A$4:$A$5003,"&gt;="&amp;DATE(2027,1,1),Xero_Raw!$A$4:$A$5003,"&lt;"&amp;EDATE(DATE(2027,1,1),1))+COUNTIFS(Customer_Invoices_Upload!$E$4:$E$5003,$A77,Customer_Invoices_Upload!$G$4:$G$5003,"*Subscription*",Customer_Invoices_Upload!$B$4:$B$5003,"&gt;="&amp;DATE(2027,1,1),Customer_Invoices_Upload!$B$4:$B$5003,"&lt;"&amp;EDATE(DATE(2027,1,1),1))+COUNTIFS(Stripe_Invoices_Upload!$D$4:$D$5003,$A77,Stripe_Invoices_Upload!$E$4:$E$5003,"*Subscription*",Stripe_Invoices_Upload!$A$4:$A$5003,"&gt;="&amp;DATE(2027,1,1),Stripe_Invoices_Upload!$A$4:$A$5003,"&lt;"&amp;EDATE(DATE(2027,1,1),1)))&gt;0,"✓ Invoiced","⚠ Due"),""),""))</f>
        <v/>
      </c>
      <c r="Q77" s="130" t="str">
        <f aca="false">IF($A77="","",IF((DATE(YEAR($E77),MONTH($E77),1)&lt;=DATE(2027,2,1)),IF((MOD(DATEDIF(DATE(YEAR($E77),MONTH($E77),1),DATE(2027,2,1),"m"),IF($D77="Quarterly",3,IF($D77="Annual",12,1)))=0),IF((COUNTIFS(Xero_Raw!$D$4:$D$5003,$A77,Xero_Raw!$G$4:$G$5003,"*Subscription*",Xero_Raw!$A$4:$A$5003,"&gt;="&amp;DATE(2027,2,1),Xero_Raw!$A$4:$A$5003,"&lt;"&amp;EDATE(DATE(2027,2,1),1))+COUNTIFS(Customer_Invoices_Upload!$E$4:$E$5003,$A77,Customer_Invoices_Upload!$G$4:$G$5003,"*Subscription*",Customer_Invoices_Upload!$B$4:$B$5003,"&gt;="&amp;DATE(2027,2,1),Customer_Invoices_Upload!$B$4:$B$5003,"&lt;"&amp;EDATE(DATE(2027,2,1),1))+COUNTIFS(Stripe_Invoices_Upload!$D$4:$D$5003,$A77,Stripe_Invoices_Upload!$E$4:$E$5003,"*Subscription*",Stripe_Invoices_Upload!$A$4:$A$5003,"&gt;="&amp;DATE(2027,2,1),Stripe_Invoices_Upload!$A$4:$A$5003,"&lt;"&amp;EDATE(DATE(2027,2,1),1)))&gt;0,"✓ Invoiced","⚠ Due"),""),""))</f>
        <v/>
      </c>
      <c r="R77" s="130" t="str">
        <f aca="false">IF($A77="","",IF((DATE(YEAR($E77),MONTH($E77),1)&lt;=DATE(2027,3,1)),IF((MOD(DATEDIF(DATE(YEAR($E77),MONTH($E77),1),DATE(2027,3,1),"m"),IF($D77="Quarterly",3,IF($D77="Annual",12,1)))=0),IF((COUNTIFS(Xero_Raw!$D$4:$D$5003,$A77,Xero_Raw!$G$4:$G$5003,"*Subscription*",Xero_Raw!$A$4:$A$5003,"&gt;="&amp;DATE(2027,3,1),Xero_Raw!$A$4:$A$5003,"&lt;"&amp;EDATE(DATE(2027,3,1),1))+COUNTIFS(Customer_Invoices_Upload!$E$4:$E$5003,$A77,Customer_Invoices_Upload!$G$4:$G$5003,"*Subscription*",Customer_Invoices_Upload!$B$4:$B$5003,"&gt;="&amp;DATE(2027,3,1),Customer_Invoices_Upload!$B$4:$B$5003,"&lt;"&amp;EDATE(DATE(2027,3,1),1))+COUNTIFS(Stripe_Invoices_Upload!$D$4:$D$5003,$A77,Stripe_Invoices_Upload!$E$4:$E$5003,"*Subscription*",Stripe_Invoices_Upload!$A$4:$A$5003,"&gt;="&amp;DATE(2027,3,1),Stripe_Invoices_Upload!$A$4:$A$5003,"&lt;"&amp;EDATE(DATE(2027,3,1),1)))&gt;0,"✓ Invoiced","⚠ Due"),""),""))</f>
        <v/>
      </c>
    </row>
    <row r="78" customFormat="false" ht="15" hidden="false" customHeight="false" outlineLevel="0" collapsed="false">
      <c r="A78" s="39"/>
      <c r="B78" s="39"/>
      <c r="C78" s="40"/>
      <c r="D78" s="39"/>
      <c r="E78" s="38"/>
      <c r="F78" s="129" t="str">
        <f aca="true">IF($A78="","",EDATE($E78,DATEDIF($E78,TODAY(),"m")+1))</f>
        <v/>
      </c>
      <c r="G78" s="130" t="str">
        <f aca="false">IF($A78="","",IF((DATE(YEAR($E78),MONTH($E78),1)&lt;=DATE(2026,4,1)),IF((MOD(DATEDIF(DATE(YEAR($E78),MONTH($E78),1),DATE(2026,4,1),"m"),IF($D78="Quarterly",3,IF($D78="Annual",12,1)))=0),IF((COUNTIFS(Xero_Raw!$D$4:$D$5003,$A78,Xero_Raw!$G$4:$G$5003,"*Subscription*",Xero_Raw!$A$4:$A$5003,"&gt;="&amp;DATE(2026,4,1),Xero_Raw!$A$4:$A$5003,"&lt;"&amp;EDATE(DATE(2026,4,1),1))+COUNTIFS(Customer_Invoices_Upload!$E$4:$E$5003,$A78,Customer_Invoices_Upload!$G$4:$G$5003,"*Subscription*",Customer_Invoices_Upload!$B$4:$B$5003,"&gt;="&amp;DATE(2026,4,1),Customer_Invoices_Upload!$B$4:$B$5003,"&lt;"&amp;EDATE(DATE(2026,4,1),1))+COUNTIFS(Stripe_Invoices_Upload!$D$4:$D$5003,$A78,Stripe_Invoices_Upload!$E$4:$E$5003,"*Subscription*",Stripe_Invoices_Upload!$A$4:$A$5003,"&gt;="&amp;DATE(2026,4,1),Stripe_Invoices_Upload!$A$4:$A$5003,"&lt;"&amp;EDATE(DATE(2026,4,1),1)))&gt;0,"✓ Invoiced","⚠ Due"),""),""))</f>
        <v/>
      </c>
      <c r="H78" s="130" t="str">
        <f aca="false">IF($A78="","",IF((DATE(YEAR($E78),MONTH($E78),1)&lt;=DATE(2026,5,1)),IF((MOD(DATEDIF(DATE(YEAR($E78),MONTH($E78),1),DATE(2026,5,1),"m"),IF($D78="Quarterly",3,IF($D78="Annual",12,1)))=0),IF((COUNTIFS(Xero_Raw!$D$4:$D$5003,$A78,Xero_Raw!$G$4:$G$5003,"*Subscription*",Xero_Raw!$A$4:$A$5003,"&gt;="&amp;DATE(2026,5,1),Xero_Raw!$A$4:$A$5003,"&lt;"&amp;EDATE(DATE(2026,5,1),1))+COUNTIFS(Customer_Invoices_Upload!$E$4:$E$5003,$A78,Customer_Invoices_Upload!$G$4:$G$5003,"*Subscription*",Customer_Invoices_Upload!$B$4:$B$5003,"&gt;="&amp;DATE(2026,5,1),Customer_Invoices_Upload!$B$4:$B$5003,"&lt;"&amp;EDATE(DATE(2026,5,1),1))+COUNTIFS(Stripe_Invoices_Upload!$D$4:$D$5003,$A78,Stripe_Invoices_Upload!$E$4:$E$5003,"*Subscription*",Stripe_Invoices_Upload!$A$4:$A$5003,"&gt;="&amp;DATE(2026,5,1),Stripe_Invoices_Upload!$A$4:$A$5003,"&lt;"&amp;EDATE(DATE(2026,5,1),1)))&gt;0,"✓ Invoiced","⚠ Due"),""),""))</f>
        <v/>
      </c>
      <c r="I78" s="130" t="str">
        <f aca="false">IF($A78="","",IF((DATE(YEAR($E78),MONTH($E78),1)&lt;=DATE(2026,6,1)),IF((MOD(DATEDIF(DATE(YEAR($E78),MONTH($E78),1),DATE(2026,6,1),"m"),IF($D78="Quarterly",3,IF($D78="Annual",12,1)))=0),IF((COUNTIFS(Xero_Raw!$D$4:$D$5003,$A78,Xero_Raw!$G$4:$G$5003,"*Subscription*",Xero_Raw!$A$4:$A$5003,"&gt;="&amp;DATE(2026,6,1),Xero_Raw!$A$4:$A$5003,"&lt;"&amp;EDATE(DATE(2026,6,1),1))+COUNTIFS(Customer_Invoices_Upload!$E$4:$E$5003,$A78,Customer_Invoices_Upload!$G$4:$G$5003,"*Subscription*",Customer_Invoices_Upload!$B$4:$B$5003,"&gt;="&amp;DATE(2026,6,1),Customer_Invoices_Upload!$B$4:$B$5003,"&lt;"&amp;EDATE(DATE(2026,6,1),1))+COUNTIFS(Stripe_Invoices_Upload!$D$4:$D$5003,$A78,Stripe_Invoices_Upload!$E$4:$E$5003,"*Subscription*",Stripe_Invoices_Upload!$A$4:$A$5003,"&gt;="&amp;DATE(2026,6,1),Stripe_Invoices_Upload!$A$4:$A$5003,"&lt;"&amp;EDATE(DATE(2026,6,1),1)))&gt;0,"✓ Invoiced","⚠ Due"),""),""))</f>
        <v/>
      </c>
      <c r="J78" s="130" t="str">
        <f aca="false">IF($A78="","",IF((DATE(YEAR($E78),MONTH($E78),1)&lt;=DATE(2026,7,1)),IF((MOD(DATEDIF(DATE(YEAR($E78),MONTH($E78),1),DATE(2026,7,1),"m"),IF($D78="Quarterly",3,IF($D78="Annual",12,1)))=0),IF((COUNTIFS(Xero_Raw!$D$4:$D$5003,$A78,Xero_Raw!$G$4:$G$5003,"*Subscription*",Xero_Raw!$A$4:$A$5003,"&gt;="&amp;DATE(2026,7,1),Xero_Raw!$A$4:$A$5003,"&lt;"&amp;EDATE(DATE(2026,7,1),1))+COUNTIFS(Customer_Invoices_Upload!$E$4:$E$5003,$A78,Customer_Invoices_Upload!$G$4:$G$5003,"*Subscription*",Customer_Invoices_Upload!$B$4:$B$5003,"&gt;="&amp;DATE(2026,7,1),Customer_Invoices_Upload!$B$4:$B$5003,"&lt;"&amp;EDATE(DATE(2026,7,1),1))+COUNTIFS(Stripe_Invoices_Upload!$D$4:$D$5003,$A78,Stripe_Invoices_Upload!$E$4:$E$5003,"*Subscription*",Stripe_Invoices_Upload!$A$4:$A$5003,"&gt;="&amp;DATE(2026,7,1),Stripe_Invoices_Upload!$A$4:$A$5003,"&lt;"&amp;EDATE(DATE(2026,7,1),1)))&gt;0,"✓ Invoiced","⚠ Due"),""),""))</f>
        <v/>
      </c>
      <c r="K78" s="130" t="str">
        <f aca="false">IF($A78="","",IF((DATE(YEAR($E78),MONTH($E78),1)&lt;=DATE(2026,8,1)),IF((MOD(DATEDIF(DATE(YEAR($E78),MONTH($E78),1),DATE(2026,8,1),"m"),IF($D78="Quarterly",3,IF($D78="Annual",12,1)))=0),IF((COUNTIFS(Xero_Raw!$D$4:$D$5003,$A78,Xero_Raw!$G$4:$G$5003,"*Subscription*",Xero_Raw!$A$4:$A$5003,"&gt;="&amp;DATE(2026,8,1),Xero_Raw!$A$4:$A$5003,"&lt;"&amp;EDATE(DATE(2026,8,1),1))+COUNTIFS(Customer_Invoices_Upload!$E$4:$E$5003,$A78,Customer_Invoices_Upload!$G$4:$G$5003,"*Subscription*",Customer_Invoices_Upload!$B$4:$B$5003,"&gt;="&amp;DATE(2026,8,1),Customer_Invoices_Upload!$B$4:$B$5003,"&lt;"&amp;EDATE(DATE(2026,8,1),1))+COUNTIFS(Stripe_Invoices_Upload!$D$4:$D$5003,$A78,Stripe_Invoices_Upload!$E$4:$E$5003,"*Subscription*",Stripe_Invoices_Upload!$A$4:$A$5003,"&gt;="&amp;DATE(2026,8,1),Stripe_Invoices_Upload!$A$4:$A$5003,"&lt;"&amp;EDATE(DATE(2026,8,1),1)))&gt;0,"✓ Invoiced","⚠ Due"),""),""))</f>
        <v/>
      </c>
      <c r="L78" s="130" t="str">
        <f aca="false">IF($A78="","",IF((DATE(YEAR($E78),MONTH($E78),1)&lt;=DATE(2026,9,1)),IF((MOD(DATEDIF(DATE(YEAR($E78),MONTH($E78),1),DATE(2026,9,1),"m"),IF($D78="Quarterly",3,IF($D78="Annual",12,1)))=0),IF((COUNTIFS(Xero_Raw!$D$4:$D$5003,$A78,Xero_Raw!$G$4:$G$5003,"*Subscription*",Xero_Raw!$A$4:$A$5003,"&gt;="&amp;DATE(2026,9,1),Xero_Raw!$A$4:$A$5003,"&lt;"&amp;EDATE(DATE(2026,9,1),1))+COUNTIFS(Customer_Invoices_Upload!$E$4:$E$5003,$A78,Customer_Invoices_Upload!$G$4:$G$5003,"*Subscription*",Customer_Invoices_Upload!$B$4:$B$5003,"&gt;="&amp;DATE(2026,9,1),Customer_Invoices_Upload!$B$4:$B$5003,"&lt;"&amp;EDATE(DATE(2026,9,1),1))+COUNTIFS(Stripe_Invoices_Upload!$D$4:$D$5003,$A78,Stripe_Invoices_Upload!$E$4:$E$5003,"*Subscription*",Stripe_Invoices_Upload!$A$4:$A$5003,"&gt;="&amp;DATE(2026,9,1),Stripe_Invoices_Upload!$A$4:$A$5003,"&lt;"&amp;EDATE(DATE(2026,9,1),1)))&gt;0,"✓ Invoiced","⚠ Due"),""),""))</f>
        <v/>
      </c>
      <c r="M78" s="130" t="str">
        <f aca="false">IF($A78="","",IF((DATE(YEAR($E78),MONTH($E78),1)&lt;=DATE(2026,10,1)),IF((MOD(DATEDIF(DATE(YEAR($E78),MONTH($E78),1),DATE(2026,10,1),"m"),IF($D78="Quarterly",3,IF($D78="Annual",12,1)))=0),IF((COUNTIFS(Xero_Raw!$D$4:$D$5003,$A78,Xero_Raw!$G$4:$G$5003,"*Subscription*",Xero_Raw!$A$4:$A$5003,"&gt;="&amp;DATE(2026,10,1),Xero_Raw!$A$4:$A$5003,"&lt;"&amp;EDATE(DATE(2026,10,1),1))+COUNTIFS(Customer_Invoices_Upload!$E$4:$E$5003,$A78,Customer_Invoices_Upload!$G$4:$G$5003,"*Subscription*",Customer_Invoices_Upload!$B$4:$B$5003,"&gt;="&amp;DATE(2026,10,1),Customer_Invoices_Upload!$B$4:$B$5003,"&lt;"&amp;EDATE(DATE(2026,10,1),1))+COUNTIFS(Stripe_Invoices_Upload!$D$4:$D$5003,$A78,Stripe_Invoices_Upload!$E$4:$E$5003,"*Subscription*",Stripe_Invoices_Upload!$A$4:$A$5003,"&gt;="&amp;DATE(2026,10,1),Stripe_Invoices_Upload!$A$4:$A$5003,"&lt;"&amp;EDATE(DATE(2026,10,1),1)))&gt;0,"✓ Invoiced","⚠ Due"),""),""))</f>
        <v/>
      </c>
      <c r="N78" s="130" t="str">
        <f aca="false">IF($A78="","",IF((DATE(YEAR($E78),MONTH($E78),1)&lt;=DATE(2026,11,1)),IF((MOD(DATEDIF(DATE(YEAR($E78),MONTH($E78),1),DATE(2026,11,1),"m"),IF($D78="Quarterly",3,IF($D78="Annual",12,1)))=0),IF((COUNTIFS(Xero_Raw!$D$4:$D$5003,$A78,Xero_Raw!$G$4:$G$5003,"*Subscription*",Xero_Raw!$A$4:$A$5003,"&gt;="&amp;DATE(2026,11,1),Xero_Raw!$A$4:$A$5003,"&lt;"&amp;EDATE(DATE(2026,11,1),1))+COUNTIFS(Customer_Invoices_Upload!$E$4:$E$5003,$A78,Customer_Invoices_Upload!$G$4:$G$5003,"*Subscription*",Customer_Invoices_Upload!$B$4:$B$5003,"&gt;="&amp;DATE(2026,11,1),Customer_Invoices_Upload!$B$4:$B$5003,"&lt;"&amp;EDATE(DATE(2026,11,1),1))+COUNTIFS(Stripe_Invoices_Upload!$D$4:$D$5003,$A78,Stripe_Invoices_Upload!$E$4:$E$5003,"*Subscription*",Stripe_Invoices_Upload!$A$4:$A$5003,"&gt;="&amp;DATE(2026,11,1),Stripe_Invoices_Upload!$A$4:$A$5003,"&lt;"&amp;EDATE(DATE(2026,11,1),1)))&gt;0,"✓ Invoiced","⚠ Due"),""),""))</f>
        <v/>
      </c>
      <c r="O78" s="130" t="str">
        <f aca="false">IF($A78="","",IF((DATE(YEAR($E78),MONTH($E78),1)&lt;=DATE(2026,12,1)),IF((MOD(DATEDIF(DATE(YEAR($E78),MONTH($E78),1),DATE(2026,12,1),"m"),IF($D78="Quarterly",3,IF($D78="Annual",12,1)))=0),IF((COUNTIFS(Xero_Raw!$D$4:$D$5003,$A78,Xero_Raw!$G$4:$G$5003,"*Subscription*",Xero_Raw!$A$4:$A$5003,"&gt;="&amp;DATE(2026,12,1),Xero_Raw!$A$4:$A$5003,"&lt;"&amp;EDATE(DATE(2026,12,1),1))+COUNTIFS(Customer_Invoices_Upload!$E$4:$E$5003,$A78,Customer_Invoices_Upload!$G$4:$G$5003,"*Subscription*",Customer_Invoices_Upload!$B$4:$B$5003,"&gt;="&amp;DATE(2026,12,1),Customer_Invoices_Upload!$B$4:$B$5003,"&lt;"&amp;EDATE(DATE(2026,12,1),1))+COUNTIFS(Stripe_Invoices_Upload!$D$4:$D$5003,$A78,Stripe_Invoices_Upload!$E$4:$E$5003,"*Subscription*",Stripe_Invoices_Upload!$A$4:$A$5003,"&gt;="&amp;DATE(2026,12,1),Stripe_Invoices_Upload!$A$4:$A$5003,"&lt;"&amp;EDATE(DATE(2026,12,1),1)))&gt;0,"✓ Invoiced","⚠ Due"),""),""))</f>
        <v/>
      </c>
      <c r="P78" s="130" t="str">
        <f aca="false">IF($A78="","",IF((DATE(YEAR($E78),MONTH($E78),1)&lt;=DATE(2027,1,1)),IF((MOD(DATEDIF(DATE(YEAR($E78),MONTH($E78),1),DATE(2027,1,1),"m"),IF($D78="Quarterly",3,IF($D78="Annual",12,1)))=0),IF((COUNTIFS(Xero_Raw!$D$4:$D$5003,$A78,Xero_Raw!$G$4:$G$5003,"*Subscription*",Xero_Raw!$A$4:$A$5003,"&gt;="&amp;DATE(2027,1,1),Xero_Raw!$A$4:$A$5003,"&lt;"&amp;EDATE(DATE(2027,1,1),1))+COUNTIFS(Customer_Invoices_Upload!$E$4:$E$5003,$A78,Customer_Invoices_Upload!$G$4:$G$5003,"*Subscription*",Customer_Invoices_Upload!$B$4:$B$5003,"&gt;="&amp;DATE(2027,1,1),Customer_Invoices_Upload!$B$4:$B$5003,"&lt;"&amp;EDATE(DATE(2027,1,1),1))+COUNTIFS(Stripe_Invoices_Upload!$D$4:$D$5003,$A78,Stripe_Invoices_Upload!$E$4:$E$5003,"*Subscription*",Stripe_Invoices_Upload!$A$4:$A$5003,"&gt;="&amp;DATE(2027,1,1),Stripe_Invoices_Upload!$A$4:$A$5003,"&lt;"&amp;EDATE(DATE(2027,1,1),1)))&gt;0,"✓ Invoiced","⚠ Due"),""),""))</f>
        <v/>
      </c>
      <c r="Q78" s="130" t="str">
        <f aca="false">IF($A78="","",IF((DATE(YEAR($E78),MONTH($E78),1)&lt;=DATE(2027,2,1)),IF((MOD(DATEDIF(DATE(YEAR($E78),MONTH($E78),1),DATE(2027,2,1),"m"),IF($D78="Quarterly",3,IF($D78="Annual",12,1)))=0),IF((COUNTIFS(Xero_Raw!$D$4:$D$5003,$A78,Xero_Raw!$G$4:$G$5003,"*Subscription*",Xero_Raw!$A$4:$A$5003,"&gt;="&amp;DATE(2027,2,1),Xero_Raw!$A$4:$A$5003,"&lt;"&amp;EDATE(DATE(2027,2,1),1))+COUNTIFS(Customer_Invoices_Upload!$E$4:$E$5003,$A78,Customer_Invoices_Upload!$G$4:$G$5003,"*Subscription*",Customer_Invoices_Upload!$B$4:$B$5003,"&gt;="&amp;DATE(2027,2,1),Customer_Invoices_Upload!$B$4:$B$5003,"&lt;"&amp;EDATE(DATE(2027,2,1),1))+COUNTIFS(Stripe_Invoices_Upload!$D$4:$D$5003,$A78,Stripe_Invoices_Upload!$E$4:$E$5003,"*Subscription*",Stripe_Invoices_Upload!$A$4:$A$5003,"&gt;="&amp;DATE(2027,2,1),Stripe_Invoices_Upload!$A$4:$A$5003,"&lt;"&amp;EDATE(DATE(2027,2,1),1)))&gt;0,"✓ Invoiced","⚠ Due"),""),""))</f>
        <v/>
      </c>
      <c r="R78" s="130" t="str">
        <f aca="false">IF($A78="","",IF((DATE(YEAR($E78),MONTH($E78),1)&lt;=DATE(2027,3,1)),IF((MOD(DATEDIF(DATE(YEAR($E78),MONTH($E78),1),DATE(2027,3,1),"m"),IF($D78="Quarterly",3,IF($D78="Annual",12,1)))=0),IF((COUNTIFS(Xero_Raw!$D$4:$D$5003,$A78,Xero_Raw!$G$4:$G$5003,"*Subscription*",Xero_Raw!$A$4:$A$5003,"&gt;="&amp;DATE(2027,3,1),Xero_Raw!$A$4:$A$5003,"&lt;"&amp;EDATE(DATE(2027,3,1),1))+COUNTIFS(Customer_Invoices_Upload!$E$4:$E$5003,$A78,Customer_Invoices_Upload!$G$4:$G$5003,"*Subscription*",Customer_Invoices_Upload!$B$4:$B$5003,"&gt;="&amp;DATE(2027,3,1),Customer_Invoices_Upload!$B$4:$B$5003,"&lt;"&amp;EDATE(DATE(2027,3,1),1))+COUNTIFS(Stripe_Invoices_Upload!$D$4:$D$5003,$A78,Stripe_Invoices_Upload!$E$4:$E$5003,"*Subscription*",Stripe_Invoices_Upload!$A$4:$A$5003,"&gt;="&amp;DATE(2027,3,1),Stripe_Invoices_Upload!$A$4:$A$5003,"&lt;"&amp;EDATE(DATE(2027,3,1),1)))&gt;0,"✓ Invoiced","⚠ Due"),""),""))</f>
        <v/>
      </c>
    </row>
    <row r="79" customFormat="false" ht="15" hidden="false" customHeight="false" outlineLevel="0" collapsed="false">
      <c r="A79" s="39"/>
      <c r="B79" s="39"/>
      <c r="C79" s="40"/>
      <c r="D79" s="39"/>
      <c r="E79" s="38"/>
      <c r="F79" s="129" t="str">
        <f aca="true">IF($A79="","",EDATE($E79,DATEDIF($E79,TODAY(),"m")+1))</f>
        <v/>
      </c>
      <c r="G79" s="130" t="str">
        <f aca="false">IF($A79="","",IF((DATE(YEAR($E79),MONTH($E79),1)&lt;=DATE(2026,4,1)),IF((MOD(DATEDIF(DATE(YEAR($E79),MONTH($E79),1),DATE(2026,4,1),"m"),IF($D79="Quarterly",3,IF($D79="Annual",12,1)))=0),IF((COUNTIFS(Xero_Raw!$D$4:$D$5003,$A79,Xero_Raw!$G$4:$G$5003,"*Subscription*",Xero_Raw!$A$4:$A$5003,"&gt;="&amp;DATE(2026,4,1),Xero_Raw!$A$4:$A$5003,"&lt;"&amp;EDATE(DATE(2026,4,1),1))+COUNTIFS(Customer_Invoices_Upload!$E$4:$E$5003,$A79,Customer_Invoices_Upload!$G$4:$G$5003,"*Subscription*",Customer_Invoices_Upload!$B$4:$B$5003,"&gt;="&amp;DATE(2026,4,1),Customer_Invoices_Upload!$B$4:$B$5003,"&lt;"&amp;EDATE(DATE(2026,4,1),1))+COUNTIFS(Stripe_Invoices_Upload!$D$4:$D$5003,$A79,Stripe_Invoices_Upload!$E$4:$E$5003,"*Subscription*",Stripe_Invoices_Upload!$A$4:$A$5003,"&gt;="&amp;DATE(2026,4,1),Stripe_Invoices_Upload!$A$4:$A$5003,"&lt;"&amp;EDATE(DATE(2026,4,1),1)))&gt;0,"✓ Invoiced","⚠ Due"),""),""))</f>
        <v/>
      </c>
      <c r="H79" s="130" t="str">
        <f aca="false">IF($A79="","",IF((DATE(YEAR($E79),MONTH($E79),1)&lt;=DATE(2026,5,1)),IF((MOD(DATEDIF(DATE(YEAR($E79),MONTH($E79),1),DATE(2026,5,1),"m"),IF($D79="Quarterly",3,IF($D79="Annual",12,1)))=0),IF((COUNTIFS(Xero_Raw!$D$4:$D$5003,$A79,Xero_Raw!$G$4:$G$5003,"*Subscription*",Xero_Raw!$A$4:$A$5003,"&gt;="&amp;DATE(2026,5,1),Xero_Raw!$A$4:$A$5003,"&lt;"&amp;EDATE(DATE(2026,5,1),1))+COUNTIFS(Customer_Invoices_Upload!$E$4:$E$5003,$A79,Customer_Invoices_Upload!$G$4:$G$5003,"*Subscription*",Customer_Invoices_Upload!$B$4:$B$5003,"&gt;="&amp;DATE(2026,5,1),Customer_Invoices_Upload!$B$4:$B$5003,"&lt;"&amp;EDATE(DATE(2026,5,1),1))+COUNTIFS(Stripe_Invoices_Upload!$D$4:$D$5003,$A79,Stripe_Invoices_Upload!$E$4:$E$5003,"*Subscription*",Stripe_Invoices_Upload!$A$4:$A$5003,"&gt;="&amp;DATE(2026,5,1),Stripe_Invoices_Upload!$A$4:$A$5003,"&lt;"&amp;EDATE(DATE(2026,5,1),1)))&gt;0,"✓ Invoiced","⚠ Due"),""),""))</f>
        <v/>
      </c>
      <c r="I79" s="130" t="str">
        <f aca="false">IF($A79="","",IF((DATE(YEAR($E79),MONTH($E79),1)&lt;=DATE(2026,6,1)),IF((MOD(DATEDIF(DATE(YEAR($E79),MONTH($E79),1),DATE(2026,6,1),"m"),IF($D79="Quarterly",3,IF($D79="Annual",12,1)))=0),IF((COUNTIFS(Xero_Raw!$D$4:$D$5003,$A79,Xero_Raw!$G$4:$G$5003,"*Subscription*",Xero_Raw!$A$4:$A$5003,"&gt;="&amp;DATE(2026,6,1),Xero_Raw!$A$4:$A$5003,"&lt;"&amp;EDATE(DATE(2026,6,1),1))+COUNTIFS(Customer_Invoices_Upload!$E$4:$E$5003,$A79,Customer_Invoices_Upload!$G$4:$G$5003,"*Subscription*",Customer_Invoices_Upload!$B$4:$B$5003,"&gt;="&amp;DATE(2026,6,1),Customer_Invoices_Upload!$B$4:$B$5003,"&lt;"&amp;EDATE(DATE(2026,6,1),1))+COUNTIFS(Stripe_Invoices_Upload!$D$4:$D$5003,$A79,Stripe_Invoices_Upload!$E$4:$E$5003,"*Subscription*",Stripe_Invoices_Upload!$A$4:$A$5003,"&gt;="&amp;DATE(2026,6,1),Stripe_Invoices_Upload!$A$4:$A$5003,"&lt;"&amp;EDATE(DATE(2026,6,1),1)))&gt;0,"✓ Invoiced","⚠ Due"),""),""))</f>
        <v/>
      </c>
      <c r="J79" s="130" t="str">
        <f aca="false">IF($A79="","",IF((DATE(YEAR($E79),MONTH($E79),1)&lt;=DATE(2026,7,1)),IF((MOD(DATEDIF(DATE(YEAR($E79),MONTH($E79),1),DATE(2026,7,1),"m"),IF($D79="Quarterly",3,IF($D79="Annual",12,1)))=0),IF((COUNTIFS(Xero_Raw!$D$4:$D$5003,$A79,Xero_Raw!$G$4:$G$5003,"*Subscription*",Xero_Raw!$A$4:$A$5003,"&gt;="&amp;DATE(2026,7,1),Xero_Raw!$A$4:$A$5003,"&lt;"&amp;EDATE(DATE(2026,7,1),1))+COUNTIFS(Customer_Invoices_Upload!$E$4:$E$5003,$A79,Customer_Invoices_Upload!$G$4:$G$5003,"*Subscription*",Customer_Invoices_Upload!$B$4:$B$5003,"&gt;="&amp;DATE(2026,7,1),Customer_Invoices_Upload!$B$4:$B$5003,"&lt;"&amp;EDATE(DATE(2026,7,1),1))+COUNTIFS(Stripe_Invoices_Upload!$D$4:$D$5003,$A79,Stripe_Invoices_Upload!$E$4:$E$5003,"*Subscription*",Stripe_Invoices_Upload!$A$4:$A$5003,"&gt;="&amp;DATE(2026,7,1),Stripe_Invoices_Upload!$A$4:$A$5003,"&lt;"&amp;EDATE(DATE(2026,7,1),1)))&gt;0,"✓ Invoiced","⚠ Due"),""),""))</f>
        <v/>
      </c>
      <c r="K79" s="130" t="str">
        <f aca="false">IF($A79="","",IF((DATE(YEAR($E79),MONTH($E79),1)&lt;=DATE(2026,8,1)),IF((MOD(DATEDIF(DATE(YEAR($E79),MONTH($E79),1),DATE(2026,8,1),"m"),IF($D79="Quarterly",3,IF($D79="Annual",12,1)))=0),IF((COUNTIFS(Xero_Raw!$D$4:$D$5003,$A79,Xero_Raw!$G$4:$G$5003,"*Subscription*",Xero_Raw!$A$4:$A$5003,"&gt;="&amp;DATE(2026,8,1),Xero_Raw!$A$4:$A$5003,"&lt;"&amp;EDATE(DATE(2026,8,1),1))+COUNTIFS(Customer_Invoices_Upload!$E$4:$E$5003,$A79,Customer_Invoices_Upload!$G$4:$G$5003,"*Subscription*",Customer_Invoices_Upload!$B$4:$B$5003,"&gt;="&amp;DATE(2026,8,1),Customer_Invoices_Upload!$B$4:$B$5003,"&lt;"&amp;EDATE(DATE(2026,8,1),1))+COUNTIFS(Stripe_Invoices_Upload!$D$4:$D$5003,$A79,Stripe_Invoices_Upload!$E$4:$E$5003,"*Subscription*",Stripe_Invoices_Upload!$A$4:$A$5003,"&gt;="&amp;DATE(2026,8,1),Stripe_Invoices_Upload!$A$4:$A$5003,"&lt;"&amp;EDATE(DATE(2026,8,1),1)))&gt;0,"✓ Invoiced","⚠ Due"),""),""))</f>
        <v/>
      </c>
      <c r="L79" s="130" t="str">
        <f aca="false">IF($A79="","",IF((DATE(YEAR($E79),MONTH($E79),1)&lt;=DATE(2026,9,1)),IF((MOD(DATEDIF(DATE(YEAR($E79),MONTH($E79),1),DATE(2026,9,1),"m"),IF($D79="Quarterly",3,IF($D79="Annual",12,1)))=0),IF((COUNTIFS(Xero_Raw!$D$4:$D$5003,$A79,Xero_Raw!$G$4:$G$5003,"*Subscription*",Xero_Raw!$A$4:$A$5003,"&gt;="&amp;DATE(2026,9,1),Xero_Raw!$A$4:$A$5003,"&lt;"&amp;EDATE(DATE(2026,9,1),1))+COUNTIFS(Customer_Invoices_Upload!$E$4:$E$5003,$A79,Customer_Invoices_Upload!$G$4:$G$5003,"*Subscription*",Customer_Invoices_Upload!$B$4:$B$5003,"&gt;="&amp;DATE(2026,9,1),Customer_Invoices_Upload!$B$4:$B$5003,"&lt;"&amp;EDATE(DATE(2026,9,1),1))+COUNTIFS(Stripe_Invoices_Upload!$D$4:$D$5003,$A79,Stripe_Invoices_Upload!$E$4:$E$5003,"*Subscription*",Stripe_Invoices_Upload!$A$4:$A$5003,"&gt;="&amp;DATE(2026,9,1),Stripe_Invoices_Upload!$A$4:$A$5003,"&lt;"&amp;EDATE(DATE(2026,9,1),1)))&gt;0,"✓ Invoiced","⚠ Due"),""),""))</f>
        <v/>
      </c>
      <c r="M79" s="130" t="str">
        <f aca="false">IF($A79="","",IF((DATE(YEAR($E79),MONTH($E79),1)&lt;=DATE(2026,10,1)),IF((MOD(DATEDIF(DATE(YEAR($E79),MONTH($E79),1),DATE(2026,10,1),"m"),IF($D79="Quarterly",3,IF($D79="Annual",12,1)))=0),IF((COUNTIFS(Xero_Raw!$D$4:$D$5003,$A79,Xero_Raw!$G$4:$G$5003,"*Subscription*",Xero_Raw!$A$4:$A$5003,"&gt;="&amp;DATE(2026,10,1),Xero_Raw!$A$4:$A$5003,"&lt;"&amp;EDATE(DATE(2026,10,1),1))+COUNTIFS(Customer_Invoices_Upload!$E$4:$E$5003,$A79,Customer_Invoices_Upload!$G$4:$G$5003,"*Subscription*",Customer_Invoices_Upload!$B$4:$B$5003,"&gt;="&amp;DATE(2026,10,1),Customer_Invoices_Upload!$B$4:$B$5003,"&lt;"&amp;EDATE(DATE(2026,10,1),1))+COUNTIFS(Stripe_Invoices_Upload!$D$4:$D$5003,$A79,Stripe_Invoices_Upload!$E$4:$E$5003,"*Subscription*",Stripe_Invoices_Upload!$A$4:$A$5003,"&gt;="&amp;DATE(2026,10,1),Stripe_Invoices_Upload!$A$4:$A$5003,"&lt;"&amp;EDATE(DATE(2026,10,1),1)))&gt;0,"✓ Invoiced","⚠ Due"),""),""))</f>
        <v/>
      </c>
      <c r="N79" s="130" t="str">
        <f aca="false">IF($A79="","",IF((DATE(YEAR($E79),MONTH($E79),1)&lt;=DATE(2026,11,1)),IF((MOD(DATEDIF(DATE(YEAR($E79),MONTH($E79),1),DATE(2026,11,1),"m"),IF($D79="Quarterly",3,IF($D79="Annual",12,1)))=0),IF((COUNTIFS(Xero_Raw!$D$4:$D$5003,$A79,Xero_Raw!$G$4:$G$5003,"*Subscription*",Xero_Raw!$A$4:$A$5003,"&gt;="&amp;DATE(2026,11,1),Xero_Raw!$A$4:$A$5003,"&lt;"&amp;EDATE(DATE(2026,11,1),1))+COUNTIFS(Customer_Invoices_Upload!$E$4:$E$5003,$A79,Customer_Invoices_Upload!$G$4:$G$5003,"*Subscription*",Customer_Invoices_Upload!$B$4:$B$5003,"&gt;="&amp;DATE(2026,11,1),Customer_Invoices_Upload!$B$4:$B$5003,"&lt;"&amp;EDATE(DATE(2026,11,1),1))+COUNTIFS(Stripe_Invoices_Upload!$D$4:$D$5003,$A79,Stripe_Invoices_Upload!$E$4:$E$5003,"*Subscription*",Stripe_Invoices_Upload!$A$4:$A$5003,"&gt;="&amp;DATE(2026,11,1),Stripe_Invoices_Upload!$A$4:$A$5003,"&lt;"&amp;EDATE(DATE(2026,11,1),1)))&gt;0,"✓ Invoiced","⚠ Due"),""),""))</f>
        <v/>
      </c>
      <c r="O79" s="130" t="str">
        <f aca="false">IF($A79="","",IF((DATE(YEAR($E79),MONTH($E79),1)&lt;=DATE(2026,12,1)),IF((MOD(DATEDIF(DATE(YEAR($E79),MONTH($E79),1),DATE(2026,12,1),"m"),IF($D79="Quarterly",3,IF($D79="Annual",12,1)))=0),IF((COUNTIFS(Xero_Raw!$D$4:$D$5003,$A79,Xero_Raw!$G$4:$G$5003,"*Subscription*",Xero_Raw!$A$4:$A$5003,"&gt;="&amp;DATE(2026,12,1),Xero_Raw!$A$4:$A$5003,"&lt;"&amp;EDATE(DATE(2026,12,1),1))+COUNTIFS(Customer_Invoices_Upload!$E$4:$E$5003,$A79,Customer_Invoices_Upload!$G$4:$G$5003,"*Subscription*",Customer_Invoices_Upload!$B$4:$B$5003,"&gt;="&amp;DATE(2026,12,1),Customer_Invoices_Upload!$B$4:$B$5003,"&lt;"&amp;EDATE(DATE(2026,12,1),1))+COUNTIFS(Stripe_Invoices_Upload!$D$4:$D$5003,$A79,Stripe_Invoices_Upload!$E$4:$E$5003,"*Subscription*",Stripe_Invoices_Upload!$A$4:$A$5003,"&gt;="&amp;DATE(2026,12,1),Stripe_Invoices_Upload!$A$4:$A$5003,"&lt;"&amp;EDATE(DATE(2026,12,1),1)))&gt;0,"✓ Invoiced","⚠ Due"),""),""))</f>
        <v/>
      </c>
      <c r="P79" s="130" t="str">
        <f aca="false">IF($A79="","",IF((DATE(YEAR($E79),MONTH($E79),1)&lt;=DATE(2027,1,1)),IF((MOD(DATEDIF(DATE(YEAR($E79),MONTH($E79),1),DATE(2027,1,1),"m"),IF($D79="Quarterly",3,IF($D79="Annual",12,1)))=0),IF((COUNTIFS(Xero_Raw!$D$4:$D$5003,$A79,Xero_Raw!$G$4:$G$5003,"*Subscription*",Xero_Raw!$A$4:$A$5003,"&gt;="&amp;DATE(2027,1,1),Xero_Raw!$A$4:$A$5003,"&lt;"&amp;EDATE(DATE(2027,1,1),1))+COUNTIFS(Customer_Invoices_Upload!$E$4:$E$5003,$A79,Customer_Invoices_Upload!$G$4:$G$5003,"*Subscription*",Customer_Invoices_Upload!$B$4:$B$5003,"&gt;="&amp;DATE(2027,1,1),Customer_Invoices_Upload!$B$4:$B$5003,"&lt;"&amp;EDATE(DATE(2027,1,1),1))+COUNTIFS(Stripe_Invoices_Upload!$D$4:$D$5003,$A79,Stripe_Invoices_Upload!$E$4:$E$5003,"*Subscription*",Stripe_Invoices_Upload!$A$4:$A$5003,"&gt;="&amp;DATE(2027,1,1),Stripe_Invoices_Upload!$A$4:$A$5003,"&lt;"&amp;EDATE(DATE(2027,1,1),1)))&gt;0,"✓ Invoiced","⚠ Due"),""),""))</f>
        <v/>
      </c>
      <c r="Q79" s="130" t="str">
        <f aca="false">IF($A79="","",IF((DATE(YEAR($E79),MONTH($E79),1)&lt;=DATE(2027,2,1)),IF((MOD(DATEDIF(DATE(YEAR($E79),MONTH($E79),1),DATE(2027,2,1),"m"),IF($D79="Quarterly",3,IF($D79="Annual",12,1)))=0),IF((COUNTIFS(Xero_Raw!$D$4:$D$5003,$A79,Xero_Raw!$G$4:$G$5003,"*Subscription*",Xero_Raw!$A$4:$A$5003,"&gt;="&amp;DATE(2027,2,1),Xero_Raw!$A$4:$A$5003,"&lt;"&amp;EDATE(DATE(2027,2,1),1))+COUNTIFS(Customer_Invoices_Upload!$E$4:$E$5003,$A79,Customer_Invoices_Upload!$G$4:$G$5003,"*Subscription*",Customer_Invoices_Upload!$B$4:$B$5003,"&gt;="&amp;DATE(2027,2,1),Customer_Invoices_Upload!$B$4:$B$5003,"&lt;"&amp;EDATE(DATE(2027,2,1),1))+COUNTIFS(Stripe_Invoices_Upload!$D$4:$D$5003,$A79,Stripe_Invoices_Upload!$E$4:$E$5003,"*Subscription*",Stripe_Invoices_Upload!$A$4:$A$5003,"&gt;="&amp;DATE(2027,2,1),Stripe_Invoices_Upload!$A$4:$A$5003,"&lt;"&amp;EDATE(DATE(2027,2,1),1)))&gt;0,"✓ Invoiced","⚠ Due"),""),""))</f>
        <v/>
      </c>
      <c r="R79" s="130" t="str">
        <f aca="false">IF($A79="","",IF((DATE(YEAR($E79),MONTH($E79),1)&lt;=DATE(2027,3,1)),IF((MOD(DATEDIF(DATE(YEAR($E79),MONTH($E79),1),DATE(2027,3,1),"m"),IF($D79="Quarterly",3,IF($D79="Annual",12,1)))=0),IF((COUNTIFS(Xero_Raw!$D$4:$D$5003,$A79,Xero_Raw!$G$4:$G$5003,"*Subscription*",Xero_Raw!$A$4:$A$5003,"&gt;="&amp;DATE(2027,3,1),Xero_Raw!$A$4:$A$5003,"&lt;"&amp;EDATE(DATE(2027,3,1),1))+COUNTIFS(Customer_Invoices_Upload!$E$4:$E$5003,$A79,Customer_Invoices_Upload!$G$4:$G$5003,"*Subscription*",Customer_Invoices_Upload!$B$4:$B$5003,"&gt;="&amp;DATE(2027,3,1),Customer_Invoices_Upload!$B$4:$B$5003,"&lt;"&amp;EDATE(DATE(2027,3,1),1))+COUNTIFS(Stripe_Invoices_Upload!$D$4:$D$5003,$A79,Stripe_Invoices_Upload!$E$4:$E$5003,"*Subscription*",Stripe_Invoices_Upload!$A$4:$A$5003,"&gt;="&amp;DATE(2027,3,1),Stripe_Invoices_Upload!$A$4:$A$5003,"&lt;"&amp;EDATE(DATE(2027,3,1),1)))&gt;0,"✓ Invoiced","⚠ Due"),""),""))</f>
        <v/>
      </c>
    </row>
    <row r="80" customFormat="false" ht="15" hidden="false" customHeight="false" outlineLevel="0" collapsed="false">
      <c r="A80" s="39"/>
      <c r="B80" s="39"/>
      <c r="C80" s="40"/>
      <c r="D80" s="39"/>
      <c r="E80" s="38"/>
      <c r="F80" s="129" t="str">
        <f aca="true">IF($A80="","",EDATE($E80,DATEDIF($E80,TODAY(),"m")+1))</f>
        <v/>
      </c>
      <c r="G80" s="130" t="str">
        <f aca="false">IF($A80="","",IF((DATE(YEAR($E80),MONTH($E80),1)&lt;=DATE(2026,4,1)),IF((MOD(DATEDIF(DATE(YEAR($E80),MONTH($E80),1),DATE(2026,4,1),"m"),IF($D80="Quarterly",3,IF($D80="Annual",12,1)))=0),IF((COUNTIFS(Xero_Raw!$D$4:$D$5003,$A80,Xero_Raw!$G$4:$G$5003,"*Subscription*",Xero_Raw!$A$4:$A$5003,"&gt;="&amp;DATE(2026,4,1),Xero_Raw!$A$4:$A$5003,"&lt;"&amp;EDATE(DATE(2026,4,1),1))+COUNTIFS(Customer_Invoices_Upload!$E$4:$E$5003,$A80,Customer_Invoices_Upload!$G$4:$G$5003,"*Subscription*",Customer_Invoices_Upload!$B$4:$B$5003,"&gt;="&amp;DATE(2026,4,1),Customer_Invoices_Upload!$B$4:$B$5003,"&lt;"&amp;EDATE(DATE(2026,4,1),1))+COUNTIFS(Stripe_Invoices_Upload!$D$4:$D$5003,$A80,Stripe_Invoices_Upload!$E$4:$E$5003,"*Subscription*",Stripe_Invoices_Upload!$A$4:$A$5003,"&gt;="&amp;DATE(2026,4,1),Stripe_Invoices_Upload!$A$4:$A$5003,"&lt;"&amp;EDATE(DATE(2026,4,1),1)))&gt;0,"✓ Invoiced","⚠ Due"),""),""))</f>
        <v/>
      </c>
      <c r="H80" s="130" t="str">
        <f aca="false">IF($A80="","",IF((DATE(YEAR($E80),MONTH($E80),1)&lt;=DATE(2026,5,1)),IF((MOD(DATEDIF(DATE(YEAR($E80),MONTH($E80),1),DATE(2026,5,1),"m"),IF($D80="Quarterly",3,IF($D80="Annual",12,1)))=0),IF((COUNTIFS(Xero_Raw!$D$4:$D$5003,$A80,Xero_Raw!$G$4:$G$5003,"*Subscription*",Xero_Raw!$A$4:$A$5003,"&gt;="&amp;DATE(2026,5,1),Xero_Raw!$A$4:$A$5003,"&lt;"&amp;EDATE(DATE(2026,5,1),1))+COUNTIFS(Customer_Invoices_Upload!$E$4:$E$5003,$A80,Customer_Invoices_Upload!$G$4:$G$5003,"*Subscription*",Customer_Invoices_Upload!$B$4:$B$5003,"&gt;="&amp;DATE(2026,5,1),Customer_Invoices_Upload!$B$4:$B$5003,"&lt;"&amp;EDATE(DATE(2026,5,1),1))+COUNTIFS(Stripe_Invoices_Upload!$D$4:$D$5003,$A80,Stripe_Invoices_Upload!$E$4:$E$5003,"*Subscription*",Stripe_Invoices_Upload!$A$4:$A$5003,"&gt;="&amp;DATE(2026,5,1),Stripe_Invoices_Upload!$A$4:$A$5003,"&lt;"&amp;EDATE(DATE(2026,5,1),1)))&gt;0,"✓ Invoiced","⚠ Due"),""),""))</f>
        <v/>
      </c>
      <c r="I80" s="130" t="str">
        <f aca="false">IF($A80="","",IF((DATE(YEAR($E80),MONTH($E80),1)&lt;=DATE(2026,6,1)),IF((MOD(DATEDIF(DATE(YEAR($E80),MONTH($E80),1),DATE(2026,6,1),"m"),IF($D80="Quarterly",3,IF($D80="Annual",12,1)))=0),IF((COUNTIFS(Xero_Raw!$D$4:$D$5003,$A80,Xero_Raw!$G$4:$G$5003,"*Subscription*",Xero_Raw!$A$4:$A$5003,"&gt;="&amp;DATE(2026,6,1),Xero_Raw!$A$4:$A$5003,"&lt;"&amp;EDATE(DATE(2026,6,1),1))+COUNTIFS(Customer_Invoices_Upload!$E$4:$E$5003,$A80,Customer_Invoices_Upload!$G$4:$G$5003,"*Subscription*",Customer_Invoices_Upload!$B$4:$B$5003,"&gt;="&amp;DATE(2026,6,1),Customer_Invoices_Upload!$B$4:$B$5003,"&lt;"&amp;EDATE(DATE(2026,6,1),1))+COUNTIFS(Stripe_Invoices_Upload!$D$4:$D$5003,$A80,Stripe_Invoices_Upload!$E$4:$E$5003,"*Subscription*",Stripe_Invoices_Upload!$A$4:$A$5003,"&gt;="&amp;DATE(2026,6,1),Stripe_Invoices_Upload!$A$4:$A$5003,"&lt;"&amp;EDATE(DATE(2026,6,1),1)))&gt;0,"✓ Invoiced","⚠ Due"),""),""))</f>
        <v/>
      </c>
      <c r="J80" s="130" t="str">
        <f aca="false">IF($A80="","",IF((DATE(YEAR($E80),MONTH($E80),1)&lt;=DATE(2026,7,1)),IF((MOD(DATEDIF(DATE(YEAR($E80),MONTH($E80),1),DATE(2026,7,1),"m"),IF($D80="Quarterly",3,IF($D80="Annual",12,1)))=0),IF((COUNTIFS(Xero_Raw!$D$4:$D$5003,$A80,Xero_Raw!$G$4:$G$5003,"*Subscription*",Xero_Raw!$A$4:$A$5003,"&gt;="&amp;DATE(2026,7,1),Xero_Raw!$A$4:$A$5003,"&lt;"&amp;EDATE(DATE(2026,7,1),1))+COUNTIFS(Customer_Invoices_Upload!$E$4:$E$5003,$A80,Customer_Invoices_Upload!$G$4:$G$5003,"*Subscription*",Customer_Invoices_Upload!$B$4:$B$5003,"&gt;="&amp;DATE(2026,7,1),Customer_Invoices_Upload!$B$4:$B$5003,"&lt;"&amp;EDATE(DATE(2026,7,1),1))+COUNTIFS(Stripe_Invoices_Upload!$D$4:$D$5003,$A80,Stripe_Invoices_Upload!$E$4:$E$5003,"*Subscription*",Stripe_Invoices_Upload!$A$4:$A$5003,"&gt;="&amp;DATE(2026,7,1),Stripe_Invoices_Upload!$A$4:$A$5003,"&lt;"&amp;EDATE(DATE(2026,7,1),1)))&gt;0,"✓ Invoiced","⚠ Due"),""),""))</f>
        <v/>
      </c>
      <c r="K80" s="130" t="str">
        <f aca="false">IF($A80="","",IF((DATE(YEAR($E80),MONTH($E80),1)&lt;=DATE(2026,8,1)),IF((MOD(DATEDIF(DATE(YEAR($E80),MONTH($E80),1),DATE(2026,8,1),"m"),IF($D80="Quarterly",3,IF($D80="Annual",12,1)))=0),IF((COUNTIFS(Xero_Raw!$D$4:$D$5003,$A80,Xero_Raw!$G$4:$G$5003,"*Subscription*",Xero_Raw!$A$4:$A$5003,"&gt;="&amp;DATE(2026,8,1),Xero_Raw!$A$4:$A$5003,"&lt;"&amp;EDATE(DATE(2026,8,1),1))+COUNTIFS(Customer_Invoices_Upload!$E$4:$E$5003,$A80,Customer_Invoices_Upload!$G$4:$G$5003,"*Subscription*",Customer_Invoices_Upload!$B$4:$B$5003,"&gt;="&amp;DATE(2026,8,1),Customer_Invoices_Upload!$B$4:$B$5003,"&lt;"&amp;EDATE(DATE(2026,8,1),1))+COUNTIFS(Stripe_Invoices_Upload!$D$4:$D$5003,$A80,Stripe_Invoices_Upload!$E$4:$E$5003,"*Subscription*",Stripe_Invoices_Upload!$A$4:$A$5003,"&gt;="&amp;DATE(2026,8,1),Stripe_Invoices_Upload!$A$4:$A$5003,"&lt;"&amp;EDATE(DATE(2026,8,1),1)))&gt;0,"✓ Invoiced","⚠ Due"),""),""))</f>
        <v/>
      </c>
      <c r="L80" s="130" t="str">
        <f aca="false">IF($A80="","",IF((DATE(YEAR($E80),MONTH($E80),1)&lt;=DATE(2026,9,1)),IF((MOD(DATEDIF(DATE(YEAR($E80),MONTH($E80),1),DATE(2026,9,1),"m"),IF($D80="Quarterly",3,IF($D80="Annual",12,1)))=0),IF((COUNTIFS(Xero_Raw!$D$4:$D$5003,$A80,Xero_Raw!$G$4:$G$5003,"*Subscription*",Xero_Raw!$A$4:$A$5003,"&gt;="&amp;DATE(2026,9,1),Xero_Raw!$A$4:$A$5003,"&lt;"&amp;EDATE(DATE(2026,9,1),1))+COUNTIFS(Customer_Invoices_Upload!$E$4:$E$5003,$A80,Customer_Invoices_Upload!$G$4:$G$5003,"*Subscription*",Customer_Invoices_Upload!$B$4:$B$5003,"&gt;="&amp;DATE(2026,9,1),Customer_Invoices_Upload!$B$4:$B$5003,"&lt;"&amp;EDATE(DATE(2026,9,1),1))+COUNTIFS(Stripe_Invoices_Upload!$D$4:$D$5003,$A80,Stripe_Invoices_Upload!$E$4:$E$5003,"*Subscription*",Stripe_Invoices_Upload!$A$4:$A$5003,"&gt;="&amp;DATE(2026,9,1),Stripe_Invoices_Upload!$A$4:$A$5003,"&lt;"&amp;EDATE(DATE(2026,9,1),1)))&gt;0,"✓ Invoiced","⚠ Due"),""),""))</f>
        <v/>
      </c>
      <c r="M80" s="130" t="str">
        <f aca="false">IF($A80="","",IF((DATE(YEAR($E80),MONTH($E80),1)&lt;=DATE(2026,10,1)),IF((MOD(DATEDIF(DATE(YEAR($E80),MONTH($E80),1),DATE(2026,10,1),"m"),IF($D80="Quarterly",3,IF($D80="Annual",12,1)))=0),IF((COUNTIFS(Xero_Raw!$D$4:$D$5003,$A80,Xero_Raw!$G$4:$G$5003,"*Subscription*",Xero_Raw!$A$4:$A$5003,"&gt;="&amp;DATE(2026,10,1),Xero_Raw!$A$4:$A$5003,"&lt;"&amp;EDATE(DATE(2026,10,1),1))+COUNTIFS(Customer_Invoices_Upload!$E$4:$E$5003,$A80,Customer_Invoices_Upload!$G$4:$G$5003,"*Subscription*",Customer_Invoices_Upload!$B$4:$B$5003,"&gt;="&amp;DATE(2026,10,1),Customer_Invoices_Upload!$B$4:$B$5003,"&lt;"&amp;EDATE(DATE(2026,10,1),1))+COUNTIFS(Stripe_Invoices_Upload!$D$4:$D$5003,$A80,Stripe_Invoices_Upload!$E$4:$E$5003,"*Subscription*",Stripe_Invoices_Upload!$A$4:$A$5003,"&gt;="&amp;DATE(2026,10,1),Stripe_Invoices_Upload!$A$4:$A$5003,"&lt;"&amp;EDATE(DATE(2026,10,1),1)))&gt;0,"✓ Invoiced","⚠ Due"),""),""))</f>
        <v/>
      </c>
      <c r="N80" s="130" t="str">
        <f aca="false">IF($A80="","",IF((DATE(YEAR($E80),MONTH($E80),1)&lt;=DATE(2026,11,1)),IF((MOD(DATEDIF(DATE(YEAR($E80),MONTH($E80),1),DATE(2026,11,1),"m"),IF($D80="Quarterly",3,IF($D80="Annual",12,1)))=0),IF((COUNTIFS(Xero_Raw!$D$4:$D$5003,$A80,Xero_Raw!$G$4:$G$5003,"*Subscription*",Xero_Raw!$A$4:$A$5003,"&gt;="&amp;DATE(2026,11,1),Xero_Raw!$A$4:$A$5003,"&lt;"&amp;EDATE(DATE(2026,11,1),1))+COUNTIFS(Customer_Invoices_Upload!$E$4:$E$5003,$A80,Customer_Invoices_Upload!$G$4:$G$5003,"*Subscription*",Customer_Invoices_Upload!$B$4:$B$5003,"&gt;="&amp;DATE(2026,11,1),Customer_Invoices_Upload!$B$4:$B$5003,"&lt;"&amp;EDATE(DATE(2026,11,1),1))+COUNTIFS(Stripe_Invoices_Upload!$D$4:$D$5003,$A80,Stripe_Invoices_Upload!$E$4:$E$5003,"*Subscription*",Stripe_Invoices_Upload!$A$4:$A$5003,"&gt;="&amp;DATE(2026,11,1),Stripe_Invoices_Upload!$A$4:$A$5003,"&lt;"&amp;EDATE(DATE(2026,11,1),1)))&gt;0,"✓ Invoiced","⚠ Due"),""),""))</f>
        <v/>
      </c>
      <c r="O80" s="130" t="str">
        <f aca="false">IF($A80="","",IF((DATE(YEAR($E80),MONTH($E80),1)&lt;=DATE(2026,12,1)),IF((MOD(DATEDIF(DATE(YEAR($E80),MONTH($E80),1),DATE(2026,12,1),"m"),IF($D80="Quarterly",3,IF($D80="Annual",12,1)))=0),IF((COUNTIFS(Xero_Raw!$D$4:$D$5003,$A80,Xero_Raw!$G$4:$G$5003,"*Subscription*",Xero_Raw!$A$4:$A$5003,"&gt;="&amp;DATE(2026,12,1),Xero_Raw!$A$4:$A$5003,"&lt;"&amp;EDATE(DATE(2026,12,1),1))+COUNTIFS(Customer_Invoices_Upload!$E$4:$E$5003,$A80,Customer_Invoices_Upload!$G$4:$G$5003,"*Subscription*",Customer_Invoices_Upload!$B$4:$B$5003,"&gt;="&amp;DATE(2026,12,1),Customer_Invoices_Upload!$B$4:$B$5003,"&lt;"&amp;EDATE(DATE(2026,12,1),1))+COUNTIFS(Stripe_Invoices_Upload!$D$4:$D$5003,$A80,Stripe_Invoices_Upload!$E$4:$E$5003,"*Subscription*",Stripe_Invoices_Upload!$A$4:$A$5003,"&gt;="&amp;DATE(2026,12,1),Stripe_Invoices_Upload!$A$4:$A$5003,"&lt;"&amp;EDATE(DATE(2026,12,1),1)))&gt;0,"✓ Invoiced","⚠ Due"),""),""))</f>
        <v/>
      </c>
      <c r="P80" s="130" t="str">
        <f aca="false">IF($A80="","",IF((DATE(YEAR($E80),MONTH($E80),1)&lt;=DATE(2027,1,1)),IF((MOD(DATEDIF(DATE(YEAR($E80),MONTH($E80),1),DATE(2027,1,1),"m"),IF($D80="Quarterly",3,IF($D80="Annual",12,1)))=0),IF((COUNTIFS(Xero_Raw!$D$4:$D$5003,$A80,Xero_Raw!$G$4:$G$5003,"*Subscription*",Xero_Raw!$A$4:$A$5003,"&gt;="&amp;DATE(2027,1,1),Xero_Raw!$A$4:$A$5003,"&lt;"&amp;EDATE(DATE(2027,1,1),1))+COUNTIFS(Customer_Invoices_Upload!$E$4:$E$5003,$A80,Customer_Invoices_Upload!$G$4:$G$5003,"*Subscription*",Customer_Invoices_Upload!$B$4:$B$5003,"&gt;="&amp;DATE(2027,1,1),Customer_Invoices_Upload!$B$4:$B$5003,"&lt;"&amp;EDATE(DATE(2027,1,1),1))+COUNTIFS(Stripe_Invoices_Upload!$D$4:$D$5003,$A80,Stripe_Invoices_Upload!$E$4:$E$5003,"*Subscription*",Stripe_Invoices_Upload!$A$4:$A$5003,"&gt;="&amp;DATE(2027,1,1),Stripe_Invoices_Upload!$A$4:$A$5003,"&lt;"&amp;EDATE(DATE(2027,1,1),1)))&gt;0,"✓ Invoiced","⚠ Due"),""),""))</f>
        <v/>
      </c>
      <c r="Q80" s="130" t="str">
        <f aca="false">IF($A80="","",IF((DATE(YEAR($E80),MONTH($E80),1)&lt;=DATE(2027,2,1)),IF((MOD(DATEDIF(DATE(YEAR($E80),MONTH($E80),1),DATE(2027,2,1),"m"),IF($D80="Quarterly",3,IF($D80="Annual",12,1)))=0),IF((COUNTIFS(Xero_Raw!$D$4:$D$5003,$A80,Xero_Raw!$G$4:$G$5003,"*Subscription*",Xero_Raw!$A$4:$A$5003,"&gt;="&amp;DATE(2027,2,1),Xero_Raw!$A$4:$A$5003,"&lt;"&amp;EDATE(DATE(2027,2,1),1))+COUNTIFS(Customer_Invoices_Upload!$E$4:$E$5003,$A80,Customer_Invoices_Upload!$G$4:$G$5003,"*Subscription*",Customer_Invoices_Upload!$B$4:$B$5003,"&gt;="&amp;DATE(2027,2,1),Customer_Invoices_Upload!$B$4:$B$5003,"&lt;"&amp;EDATE(DATE(2027,2,1),1))+COUNTIFS(Stripe_Invoices_Upload!$D$4:$D$5003,$A80,Stripe_Invoices_Upload!$E$4:$E$5003,"*Subscription*",Stripe_Invoices_Upload!$A$4:$A$5003,"&gt;="&amp;DATE(2027,2,1),Stripe_Invoices_Upload!$A$4:$A$5003,"&lt;"&amp;EDATE(DATE(2027,2,1),1)))&gt;0,"✓ Invoiced","⚠ Due"),""),""))</f>
        <v/>
      </c>
      <c r="R80" s="130" t="str">
        <f aca="false">IF($A80="","",IF((DATE(YEAR($E80),MONTH($E80),1)&lt;=DATE(2027,3,1)),IF((MOD(DATEDIF(DATE(YEAR($E80),MONTH($E80),1),DATE(2027,3,1),"m"),IF($D80="Quarterly",3,IF($D80="Annual",12,1)))=0),IF((COUNTIFS(Xero_Raw!$D$4:$D$5003,$A80,Xero_Raw!$G$4:$G$5003,"*Subscription*",Xero_Raw!$A$4:$A$5003,"&gt;="&amp;DATE(2027,3,1),Xero_Raw!$A$4:$A$5003,"&lt;"&amp;EDATE(DATE(2027,3,1),1))+COUNTIFS(Customer_Invoices_Upload!$E$4:$E$5003,$A80,Customer_Invoices_Upload!$G$4:$G$5003,"*Subscription*",Customer_Invoices_Upload!$B$4:$B$5003,"&gt;="&amp;DATE(2027,3,1),Customer_Invoices_Upload!$B$4:$B$5003,"&lt;"&amp;EDATE(DATE(2027,3,1),1))+COUNTIFS(Stripe_Invoices_Upload!$D$4:$D$5003,$A80,Stripe_Invoices_Upload!$E$4:$E$5003,"*Subscription*",Stripe_Invoices_Upload!$A$4:$A$5003,"&gt;="&amp;DATE(2027,3,1),Stripe_Invoices_Upload!$A$4:$A$5003,"&lt;"&amp;EDATE(DATE(2027,3,1),1)))&gt;0,"✓ Invoiced","⚠ Due"),""),""))</f>
        <v/>
      </c>
    </row>
    <row r="81" customFormat="false" ht="15" hidden="false" customHeight="false" outlineLevel="0" collapsed="false">
      <c r="A81" s="39"/>
      <c r="B81" s="39"/>
      <c r="C81" s="40"/>
      <c r="D81" s="39"/>
      <c r="E81" s="38"/>
      <c r="F81" s="129" t="str">
        <f aca="true">IF($A81="","",EDATE($E81,DATEDIF($E81,TODAY(),"m")+1))</f>
        <v/>
      </c>
      <c r="G81" s="130" t="str">
        <f aca="false">IF($A81="","",IF((DATE(YEAR($E81),MONTH($E81),1)&lt;=DATE(2026,4,1)),IF((MOD(DATEDIF(DATE(YEAR($E81),MONTH($E81),1),DATE(2026,4,1),"m"),IF($D81="Quarterly",3,IF($D81="Annual",12,1)))=0),IF((COUNTIFS(Xero_Raw!$D$4:$D$5003,$A81,Xero_Raw!$G$4:$G$5003,"*Subscription*",Xero_Raw!$A$4:$A$5003,"&gt;="&amp;DATE(2026,4,1),Xero_Raw!$A$4:$A$5003,"&lt;"&amp;EDATE(DATE(2026,4,1),1))+COUNTIFS(Customer_Invoices_Upload!$E$4:$E$5003,$A81,Customer_Invoices_Upload!$G$4:$G$5003,"*Subscription*",Customer_Invoices_Upload!$B$4:$B$5003,"&gt;="&amp;DATE(2026,4,1),Customer_Invoices_Upload!$B$4:$B$5003,"&lt;"&amp;EDATE(DATE(2026,4,1),1))+COUNTIFS(Stripe_Invoices_Upload!$D$4:$D$5003,$A81,Stripe_Invoices_Upload!$E$4:$E$5003,"*Subscription*",Stripe_Invoices_Upload!$A$4:$A$5003,"&gt;="&amp;DATE(2026,4,1),Stripe_Invoices_Upload!$A$4:$A$5003,"&lt;"&amp;EDATE(DATE(2026,4,1),1)))&gt;0,"✓ Invoiced","⚠ Due"),""),""))</f>
        <v/>
      </c>
      <c r="H81" s="130" t="str">
        <f aca="false">IF($A81="","",IF((DATE(YEAR($E81),MONTH($E81),1)&lt;=DATE(2026,5,1)),IF((MOD(DATEDIF(DATE(YEAR($E81),MONTH($E81),1),DATE(2026,5,1),"m"),IF($D81="Quarterly",3,IF($D81="Annual",12,1)))=0),IF((COUNTIFS(Xero_Raw!$D$4:$D$5003,$A81,Xero_Raw!$G$4:$G$5003,"*Subscription*",Xero_Raw!$A$4:$A$5003,"&gt;="&amp;DATE(2026,5,1),Xero_Raw!$A$4:$A$5003,"&lt;"&amp;EDATE(DATE(2026,5,1),1))+COUNTIFS(Customer_Invoices_Upload!$E$4:$E$5003,$A81,Customer_Invoices_Upload!$G$4:$G$5003,"*Subscription*",Customer_Invoices_Upload!$B$4:$B$5003,"&gt;="&amp;DATE(2026,5,1),Customer_Invoices_Upload!$B$4:$B$5003,"&lt;"&amp;EDATE(DATE(2026,5,1),1))+COUNTIFS(Stripe_Invoices_Upload!$D$4:$D$5003,$A81,Stripe_Invoices_Upload!$E$4:$E$5003,"*Subscription*",Stripe_Invoices_Upload!$A$4:$A$5003,"&gt;="&amp;DATE(2026,5,1),Stripe_Invoices_Upload!$A$4:$A$5003,"&lt;"&amp;EDATE(DATE(2026,5,1),1)))&gt;0,"✓ Invoiced","⚠ Due"),""),""))</f>
        <v/>
      </c>
      <c r="I81" s="130" t="str">
        <f aca="false">IF($A81="","",IF((DATE(YEAR($E81),MONTH($E81),1)&lt;=DATE(2026,6,1)),IF((MOD(DATEDIF(DATE(YEAR($E81),MONTH($E81),1),DATE(2026,6,1),"m"),IF($D81="Quarterly",3,IF($D81="Annual",12,1)))=0),IF((COUNTIFS(Xero_Raw!$D$4:$D$5003,$A81,Xero_Raw!$G$4:$G$5003,"*Subscription*",Xero_Raw!$A$4:$A$5003,"&gt;="&amp;DATE(2026,6,1),Xero_Raw!$A$4:$A$5003,"&lt;"&amp;EDATE(DATE(2026,6,1),1))+COUNTIFS(Customer_Invoices_Upload!$E$4:$E$5003,$A81,Customer_Invoices_Upload!$G$4:$G$5003,"*Subscription*",Customer_Invoices_Upload!$B$4:$B$5003,"&gt;="&amp;DATE(2026,6,1),Customer_Invoices_Upload!$B$4:$B$5003,"&lt;"&amp;EDATE(DATE(2026,6,1),1))+COUNTIFS(Stripe_Invoices_Upload!$D$4:$D$5003,$A81,Stripe_Invoices_Upload!$E$4:$E$5003,"*Subscription*",Stripe_Invoices_Upload!$A$4:$A$5003,"&gt;="&amp;DATE(2026,6,1),Stripe_Invoices_Upload!$A$4:$A$5003,"&lt;"&amp;EDATE(DATE(2026,6,1),1)))&gt;0,"✓ Invoiced","⚠ Due"),""),""))</f>
        <v/>
      </c>
      <c r="J81" s="130" t="str">
        <f aca="false">IF($A81="","",IF((DATE(YEAR($E81),MONTH($E81),1)&lt;=DATE(2026,7,1)),IF((MOD(DATEDIF(DATE(YEAR($E81),MONTH($E81),1),DATE(2026,7,1),"m"),IF($D81="Quarterly",3,IF($D81="Annual",12,1)))=0),IF((COUNTIFS(Xero_Raw!$D$4:$D$5003,$A81,Xero_Raw!$G$4:$G$5003,"*Subscription*",Xero_Raw!$A$4:$A$5003,"&gt;="&amp;DATE(2026,7,1),Xero_Raw!$A$4:$A$5003,"&lt;"&amp;EDATE(DATE(2026,7,1),1))+COUNTIFS(Customer_Invoices_Upload!$E$4:$E$5003,$A81,Customer_Invoices_Upload!$G$4:$G$5003,"*Subscription*",Customer_Invoices_Upload!$B$4:$B$5003,"&gt;="&amp;DATE(2026,7,1),Customer_Invoices_Upload!$B$4:$B$5003,"&lt;"&amp;EDATE(DATE(2026,7,1),1))+COUNTIFS(Stripe_Invoices_Upload!$D$4:$D$5003,$A81,Stripe_Invoices_Upload!$E$4:$E$5003,"*Subscription*",Stripe_Invoices_Upload!$A$4:$A$5003,"&gt;="&amp;DATE(2026,7,1),Stripe_Invoices_Upload!$A$4:$A$5003,"&lt;"&amp;EDATE(DATE(2026,7,1),1)))&gt;0,"✓ Invoiced","⚠ Due"),""),""))</f>
        <v/>
      </c>
      <c r="K81" s="130" t="str">
        <f aca="false">IF($A81="","",IF((DATE(YEAR($E81),MONTH($E81),1)&lt;=DATE(2026,8,1)),IF((MOD(DATEDIF(DATE(YEAR($E81),MONTH($E81),1),DATE(2026,8,1),"m"),IF($D81="Quarterly",3,IF($D81="Annual",12,1)))=0),IF((COUNTIFS(Xero_Raw!$D$4:$D$5003,$A81,Xero_Raw!$G$4:$G$5003,"*Subscription*",Xero_Raw!$A$4:$A$5003,"&gt;="&amp;DATE(2026,8,1),Xero_Raw!$A$4:$A$5003,"&lt;"&amp;EDATE(DATE(2026,8,1),1))+COUNTIFS(Customer_Invoices_Upload!$E$4:$E$5003,$A81,Customer_Invoices_Upload!$G$4:$G$5003,"*Subscription*",Customer_Invoices_Upload!$B$4:$B$5003,"&gt;="&amp;DATE(2026,8,1),Customer_Invoices_Upload!$B$4:$B$5003,"&lt;"&amp;EDATE(DATE(2026,8,1),1))+COUNTIFS(Stripe_Invoices_Upload!$D$4:$D$5003,$A81,Stripe_Invoices_Upload!$E$4:$E$5003,"*Subscription*",Stripe_Invoices_Upload!$A$4:$A$5003,"&gt;="&amp;DATE(2026,8,1),Stripe_Invoices_Upload!$A$4:$A$5003,"&lt;"&amp;EDATE(DATE(2026,8,1),1)))&gt;0,"✓ Invoiced","⚠ Due"),""),""))</f>
        <v/>
      </c>
      <c r="L81" s="130" t="str">
        <f aca="false">IF($A81="","",IF((DATE(YEAR($E81),MONTH($E81),1)&lt;=DATE(2026,9,1)),IF((MOD(DATEDIF(DATE(YEAR($E81),MONTH($E81),1),DATE(2026,9,1),"m"),IF($D81="Quarterly",3,IF($D81="Annual",12,1)))=0),IF((COUNTIFS(Xero_Raw!$D$4:$D$5003,$A81,Xero_Raw!$G$4:$G$5003,"*Subscription*",Xero_Raw!$A$4:$A$5003,"&gt;="&amp;DATE(2026,9,1),Xero_Raw!$A$4:$A$5003,"&lt;"&amp;EDATE(DATE(2026,9,1),1))+COUNTIFS(Customer_Invoices_Upload!$E$4:$E$5003,$A81,Customer_Invoices_Upload!$G$4:$G$5003,"*Subscription*",Customer_Invoices_Upload!$B$4:$B$5003,"&gt;="&amp;DATE(2026,9,1),Customer_Invoices_Upload!$B$4:$B$5003,"&lt;"&amp;EDATE(DATE(2026,9,1),1))+COUNTIFS(Stripe_Invoices_Upload!$D$4:$D$5003,$A81,Stripe_Invoices_Upload!$E$4:$E$5003,"*Subscription*",Stripe_Invoices_Upload!$A$4:$A$5003,"&gt;="&amp;DATE(2026,9,1),Stripe_Invoices_Upload!$A$4:$A$5003,"&lt;"&amp;EDATE(DATE(2026,9,1),1)))&gt;0,"✓ Invoiced","⚠ Due"),""),""))</f>
        <v/>
      </c>
      <c r="M81" s="130" t="str">
        <f aca="false">IF($A81="","",IF((DATE(YEAR($E81),MONTH($E81),1)&lt;=DATE(2026,10,1)),IF((MOD(DATEDIF(DATE(YEAR($E81),MONTH($E81),1),DATE(2026,10,1),"m"),IF($D81="Quarterly",3,IF($D81="Annual",12,1)))=0),IF((COUNTIFS(Xero_Raw!$D$4:$D$5003,$A81,Xero_Raw!$G$4:$G$5003,"*Subscription*",Xero_Raw!$A$4:$A$5003,"&gt;="&amp;DATE(2026,10,1),Xero_Raw!$A$4:$A$5003,"&lt;"&amp;EDATE(DATE(2026,10,1),1))+COUNTIFS(Customer_Invoices_Upload!$E$4:$E$5003,$A81,Customer_Invoices_Upload!$G$4:$G$5003,"*Subscription*",Customer_Invoices_Upload!$B$4:$B$5003,"&gt;="&amp;DATE(2026,10,1),Customer_Invoices_Upload!$B$4:$B$5003,"&lt;"&amp;EDATE(DATE(2026,10,1),1))+COUNTIFS(Stripe_Invoices_Upload!$D$4:$D$5003,$A81,Stripe_Invoices_Upload!$E$4:$E$5003,"*Subscription*",Stripe_Invoices_Upload!$A$4:$A$5003,"&gt;="&amp;DATE(2026,10,1),Stripe_Invoices_Upload!$A$4:$A$5003,"&lt;"&amp;EDATE(DATE(2026,10,1),1)))&gt;0,"✓ Invoiced","⚠ Due"),""),""))</f>
        <v/>
      </c>
      <c r="N81" s="130" t="str">
        <f aca="false">IF($A81="","",IF((DATE(YEAR($E81),MONTH($E81),1)&lt;=DATE(2026,11,1)),IF((MOD(DATEDIF(DATE(YEAR($E81),MONTH($E81),1),DATE(2026,11,1),"m"),IF($D81="Quarterly",3,IF($D81="Annual",12,1)))=0),IF((COUNTIFS(Xero_Raw!$D$4:$D$5003,$A81,Xero_Raw!$G$4:$G$5003,"*Subscription*",Xero_Raw!$A$4:$A$5003,"&gt;="&amp;DATE(2026,11,1),Xero_Raw!$A$4:$A$5003,"&lt;"&amp;EDATE(DATE(2026,11,1),1))+COUNTIFS(Customer_Invoices_Upload!$E$4:$E$5003,$A81,Customer_Invoices_Upload!$G$4:$G$5003,"*Subscription*",Customer_Invoices_Upload!$B$4:$B$5003,"&gt;="&amp;DATE(2026,11,1),Customer_Invoices_Upload!$B$4:$B$5003,"&lt;"&amp;EDATE(DATE(2026,11,1),1))+COUNTIFS(Stripe_Invoices_Upload!$D$4:$D$5003,$A81,Stripe_Invoices_Upload!$E$4:$E$5003,"*Subscription*",Stripe_Invoices_Upload!$A$4:$A$5003,"&gt;="&amp;DATE(2026,11,1),Stripe_Invoices_Upload!$A$4:$A$5003,"&lt;"&amp;EDATE(DATE(2026,11,1),1)))&gt;0,"✓ Invoiced","⚠ Due"),""),""))</f>
        <v/>
      </c>
      <c r="O81" s="130" t="str">
        <f aca="false">IF($A81="","",IF((DATE(YEAR($E81),MONTH($E81),1)&lt;=DATE(2026,12,1)),IF((MOD(DATEDIF(DATE(YEAR($E81),MONTH($E81),1),DATE(2026,12,1),"m"),IF($D81="Quarterly",3,IF($D81="Annual",12,1)))=0),IF((COUNTIFS(Xero_Raw!$D$4:$D$5003,$A81,Xero_Raw!$G$4:$G$5003,"*Subscription*",Xero_Raw!$A$4:$A$5003,"&gt;="&amp;DATE(2026,12,1),Xero_Raw!$A$4:$A$5003,"&lt;"&amp;EDATE(DATE(2026,12,1),1))+COUNTIFS(Customer_Invoices_Upload!$E$4:$E$5003,$A81,Customer_Invoices_Upload!$G$4:$G$5003,"*Subscription*",Customer_Invoices_Upload!$B$4:$B$5003,"&gt;="&amp;DATE(2026,12,1),Customer_Invoices_Upload!$B$4:$B$5003,"&lt;"&amp;EDATE(DATE(2026,12,1),1))+COUNTIFS(Stripe_Invoices_Upload!$D$4:$D$5003,$A81,Stripe_Invoices_Upload!$E$4:$E$5003,"*Subscription*",Stripe_Invoices_Upload!$A$4:$A$5003,"&gt;="&amp;DATE(2026,12,1),Stripe_Invoices_Upload!$A$4:$A$5003,"&lt;"&amp;EDATE(DATE(2026,12,1),1)))&gt;0,"✓ Invoiced","⚠ Due"),""),""))</f>
        <v/>
      </c>
      <c r="P81" s="130" t="str">
        <f aca="false">IF($A81="","",IF((DATE(YEAR($E81),MONTH($E81),1)&lt;=DATE(2027,1,1)),IF((MOD(DATEDIF(DATE(YEAR($E81),MONTH($E81),1),DATE(2027,1,1),"m"),IF($D81="Quarterly",3,IF($D81="Annual",12,1)))=0),IF((COUNTIFS(Xero_Raw!$D$4:$D$5003,$A81,Xero_Raw!$G$4:$G$5003,"*Subscription*",Xero_Raw!$A$4:$A$5003,"&gt;="&amp;DATE(2027,1,1),Xero_Raw!$A$4:$A$5003,"&lt;"&amp;EDATE(DATE(2027,1,1),1))+COUNTIFS(Customer_Invoices_Upload!$E$4:$E$5003,$A81,Customer_Invoices_Upload!$G$4:$G$5003,"*Subscription*",Customer_Invoices_Upload!$B$4:$B$5003,"&gt;="&amp;DATE(2027,1,1),Customer_Invoices_Upload!$B$4:$B$5003,"&lt;"&amp;EDATE(DATE(2027,1,1),1))+COUNTIFS(Stripe_Invoices_Upload!$D$4:$D$5003,$A81,Stripe_Invoices_Upload!$E$4:$E$5003,"*Subscription*",Stripe_Invoices_Upload!$A$4:$A$5003,"&gt;="&amp;DATE(2027,1,1),Stripe_Invoices_Upload!$A$4:$A$5003,"&lt;"&amp;EDATE(DATE(2027,1,1),1)))&gt;0,"✓ Invoiced","⚠ Due"),""),""))</f>
        <v/>
      </c>
      <c r="Q81" s="130" t="str">
        <f aca="false">IF($A81="","",IF((DATE(YEAR($E81),MONTH($E81),1)&lt;=DATE(2027,2,1)),IF((MOD(DATEDIF(DATE(YEAR($E81),MONTH($E81),1),DATE(2027,2,1),"m"),IF($D81="Quarterly",3,IF($D81="Annual",12,1)))=0),IF((COUNTIFS(Xero_Raw!$D$4:$D$5003,$A81,Xero_Raw!$G$4:$G$5003,"*Subscription*",Xero_Raw!$A$4:$A$5003,"&gt;="&amp;DATE(2027,2,1),Xero_Raw!$A$4:$A$5003,"&lt;"&amp;EDATE(DATE(2027,2,1),1))+COUNTIFS(Customer_Invoices_Upload!$E$4:$E$5003,$A81,Customer_Invoices_Upload!$G$4:$G$5003,"*Subscription*",Customer_Invoices_Upload!$B$4:$B$5003,"&gt;="&amp;DATE(2027,2,1),Customer_Invoices_Upload!$B$4:$B$5003,"&lt;"&amp;EDATE(DATE(2027,2,1),1))+COUNTIFS(Stripe_Invoices_Upload!$D$4:$D$5003,$A81,Stripe_Invoices_Upload!$E$4:$E$5003,"*Subscription*",Stripe_Invoices_Upload!$A$4:$A$5003,"&gt;="&amp;DATE(2027,2,1),Stripe_Invoices_Upload!$A$4:$A$5003,"&lt;"&amp;EDATE(DATE(2027,2,1),1)))&gt;0,"✓ Invoiced","⚠ Due"),""),""))</f>
        <v/>
      </c>
      <c r="R81" s="130" t="str">
        <f aca="false">IF($A81="","",IF((DATE(YEAR($E81),MONTH($E81),1)&lt;=DATE(2027,3,1)),IF((MOD(DATEDIF(DATE(YEAR($E81),MONTH($E81),1),DATE(2027,3,1),"m"),IF($D81="Quarterly",3,IF($D81="Annual",12,1)))=0),IF((COUNTIFS(Xero_Raw!$D$4:$D$5003,$A81,Xero_Raw!$G$4:$G$5003,"*Subscription*",Xero_Raw!$A$4:$A$5003,"&gt;="&amp;DATE(2027,3,1),Xero_Raw!$A$4:$A$5003,"&lt;"&amp;EDATE(DATE(2027,3,1),1))+COUNTIFS(Customer_Invoices_Upload!$E$4:$E$5003,$A81,Customer_Invoices_Upload!$G$4:$G$5003,"*Subscription*",Customer_Invoices_Upload!$B$4:$B$5003,"&gt;="&amp;DATE(2027,3,1),Customer_Invoices_Upload!$B$4:$B$5003,"&lt;"&amp;EDATE(DATE(2027,3,1),1))+COUNTIFS(Stripe_Invoices_Upload!$D$4:$D$5003,$A81,Stripe_Invoices_Upload!$E$4:$E$5003,"*Subscription*",Stripe_Invoices_Upload!$A$4:$A$5003,"&gt;="&amp;DATE(2027,3,1),Stripe_Invoices_Upload!$A$4:$A$5003,"&lt;"&amp;EDATE(DATE(2027,3,1),1)))&gt;0,"✓ Invoiced","⚠ Due"),""),""))</f>
        <v/>
      </c>
    </row>
    <row r="82" customFormat="false" ht="15" hidden="false" customHeight="false" outlineLevel="0" collapsed="false">
      <c r="A82" s="39"/>
      <c r="B82" s="39"/>
      <c r="C82" s="40"/>
      <c r="D82" s="39"/>
      <c r="E82" s="38"/>
      <c r="F82" s="129" t="str">
        <f aca="true">IF($A82="","",EDATE($E82,DATEDIF($E82,TODAY(),"m")+1))</f>
        <v/>
      </c>
      <c r="G82" s="130" t="str">
        <f aca="false">IF($A82="","",IF((DATE(YEAR($E82),MONTH($E82),1)&lt;=DATE(2026,4,1)),IF((MOD(DATEDIF(DATE(YEAR($E82),MONTH($E82),1),DATE(2026,4,1),"m"),IF($D82="Quarterly",3,IF($D82="Annual",12,1)))=0),IF((COUNTIFS(Xero_Raw!$D$4:$D$5003,$A82,Xero_Raw!$G$4:$G$5003,"*Subscription*",Xero_Raw!$A$4:$A$5003,"&gt;="&amp;DATE(2026,4,1),Xero_Raw!$A$4:$A$5003,"&lt;"&amp;EDATE(DATE(2026,4,1),1))+COUNTIFS(Customer_Invoices_Upload!$E$4:$E$5003,$A82,Customer_Invoices_Upload!$G$4:$G$5003,"*Subscription*",Customer_Invoices_Upload!$B$4:$B$5003,"&gt;="&amp;DATE(2026,4,1),Customer_Invoices_Upload!$B$4:$B$5003,"&lt;"&amp;EDATE(DATE(2026,4,1),1))+COUNTIFS(Stripe_Invoices_Upload!$D$4:$D$5003,$A82,Stripe_Invoices_Upload!$E$4:$E$5003,"*Subscription*",Stripe_Invoices_Upload!$A$4:$A$5003,"&gt;="&amp;DATE(2026,4,1),Stripe_Invoices_Upload!$A$4:$A$5003,"&lt;"&amp;EDATE(DATE(2026,4,1),1)))&gt;0,"✓ Invoiced","⚠ Due"),""),""))</f>
        <v/>
      </c>
      <c r="H82" s="130" t="str">
        <f aca="false">IF($A82="","",IF((DATE(YEAR($E82),MONTH($E82),1)&lt;=DATE(2026,5,1)),IF((MOD(DATEDIF(DATE(YEAR($E82),MONTH($E82),1),DATE(2026,5,1),"m"),IF($D82="Quarterly",3,IF($D82="Annual",12,1)))=0),IF((COUNTIFS(Xero_Raw!$D$4:$D$5003,$A82,Xero_Raw!$G$4:$G$5003,"*Subscription*",Xero_Raw!$A$4:$A$5003,"&gt;="&amp;DATE(2026,5,1),Xero_Raw!$A$4:$A$5003,"&lt;"&amp;EDATE(DATE(2026,5,1),1))+COUNTIFS(Customer_Invoices_Upload!$E$4:$E$5003,$A82,Customer_Invoices_Upload!$G$4:$G$5003,"*Subscription*",Customer_Invoices_Upload!$B$4:$B$5003,"&gt;="&amp;DATE(2026,5,1),Customer_Invoices_Upload!$B$4:$B$5003,"&lt;"&amp;EDATE(DATE(2026,5,1),1))+COUNTIFS(Stripe_Invoices_Upload!$D$4:$D$5003,$A82,Stripe_Invoices_Upload!$E$4:$E$5003,"*Subscription*",Stripe_Invoices_Upload!$A$4:$A$5003,"&gt;="&amp;DATE(2026,5,1),Stripe_Invoices_Upload!$A$4:$A$5003,"&lt;"&amp;EDATE(DATE(2026,5,1),1)))&gt;0,"✓ Invoiced","⚠ Due"),""),""))</f>
        <v/>
      </c>
      <c r="I82" s="130" t="str">
        <f aca="false">IF($A82="","",IF((DATE(YEAR($E82),MONTH($E82),1)&lt;=DATE(2026,6,1)),IF((MOD(DATEDIF(DATE(YEAR($E82),MONTH($E82),1),DATE(2026,6,1),"m"),IF($D82="Quarterly",3,IF($D82="Annual",12,1)))=0),IF((COUNTIFS(Xero_Raw!$D$4:$D$5003,$A82,Xero_Raw!$G$4:$G$5003,"*Subscription*",Xero_Raw!$A$4:$A$5003,"&gt;="&amp;DATE(2026,6,1),Xero_Raw!$A$4:$A$5003,"&lt;"&amp;EDATE(DATE(2026,6,1),1))+COUNTIFS(Customer_Invoices_Upload!$E$4:$E$5003,$A82,Customer_Invoices_Upload!$G$4:$G$5003,"*Subscription*",Customer_Invoices_Upload!$B$4:$B$5003,"&gt;="&amp;DATE(2026,6,1),Customer_Invoices_Upload!$B$4:$B$5003,"&lt;"&amp;EDATE(DATE(2026,6,1),1))+COUNTIFS(Stripe_Invoices_Upload!$D$4:$D$5003,$A82,Stripe_Invoices_Upload!$E$4:$E$5003,"*Subscription*",Stripe_Invoices_Upload!$A$4:$A$5003,"&gt;="&amp;DATE(2026,6,1),Stripe_Invoices_Upload!$A$4:$A$5003,"&lt;"&amp;EDATE(DATE(2026,6,1),1)))&gt;0,"✓ Invoiced","⚠ Due"),""),""))</f>
        <v/>
      </c>
      <c r="J82" s="130" t="str">
        <f aca="false">IF($A82="","",IF((DATE(YEAR($E82),MONTH($E82),1)&lt;=DATE(2026,7,1)),IF((MOD(DATEDIF(DATE(YEAR($E82),MONTH($E82),1),DATE(2026,7,1),"m"),IF($D82="Quarterly",3,IF($D82="Annual",12,1)))=0),IF((COUNTIFS(Xero_Raw!$D$4:$D$5003,$A82,Xero_Raw!$G$4:$G$5003,"*Subscription*",Xero_Raw!$A$4:$A$5003,"&gt;="&amp;DATE(2026,7,1),Xero_Raw!$A$4:$A$5003,"&lt;"&amp;EDATE(DATE(2026,7,1),1))+COUNTIFS(Customer_Invoices_Upload!$E$4:$E$5003,$A82,Customer_Invoices_Upload!$G$4:$G$5003,"*Subscription*",Customer_Invoices_Upload!$B$4:$B$5003,"&gt;="&amp;DATE(2026,7,1),Customer_Invoices_Upload!$B$4:$B$5003,"&lt;"&amp;EDATE(DATE(2026,7,1),1))+COUNTIFS(Stripe_Invoices_Upload!$D$4:$D$5003,$A82,Stripe_Invoices_Upload!$E$4:$E$5003,"*Subscription*",Stripe_Invoices_Upload!$A$4:$A$5003,"&gt;="&amp;DATE(2026,7,1),Stripe_Invoices_Upload!$A$4:$A$5003,"&lt;"&amp;EDATE(DATE(2026,7,1),1)))&gt;0,"✓ Invoiced","⚠ Due"),""),""))</f>
        <v/>
      </c>
      <c r="K82" s="130" t="str">
        <f aca="false">IF($A82="","",IF((DATE(YEAR($E82),MONTH($E82),1)&lt;=DATE(2026,8,1)),IF((MOD(DATEDIF(DATE(YEAR($E82),MONTH($E82),1),DATE(2026,8,1),"m"),IF($D82="Quarterly",3,IF($D82="Annual",12,1)))=0),IF((COUNTIFS(Xero_Raw!$D$4:$D$5003,$A82,Xero_Raw!$G$4:$G$5003,"*Subscription*",Xero_Raw!$A$4:$A$5003,"&gt;="&amp;DATE(2026,8,1),Xero_Raw!$A$4:$A$5003,"&lt;"&amp;EDATE(DATE(2026,8,1),1))+COUNTIFS(Customer_Invoices_Upload!$E$4:$E$5003,$A82,Customer_Invoices_Upload!$G$4:$G$5003,"*Subscription*",Customer_Invoices_Upload!$B$4:$B$5003,"&gt;="&amp;DATE(2026,8,1),Customer_Invoices_Upload!$B$4:$B$5003,"&lt;"&amp;EDATE(DATE(2026,8,1),1))+COUNTIFS(Stripe_Invoices_Upload!$D$4:$D$5003,$A82,Stripe_Invoices_Upload!$E$4:$E$5003,"*Subscription*",Stripe_Invoices_Upload!$A$4:$A$5003,"&gt;="&amp;DATE(2026,8,1),Stripe_Invoices_Upload!$A$4:$A$5003,"&lt;"&amp;EDATE(DATE(2026,8,1),1)))&gt;0,"✓ Invoiced","⚠ Due"),""),""))</f>
        <v/>
      </c>
      <c r="L82" s="130" t="str">
        <f aca="false">IF($A82="","",IF((DATE(YEAR($E82),MONTH($E82),1)&lt;=DATE(2026,9,1)),IF((MOD(DATEDIF(DATE(YEAR($E82),MONTH($E82),1),DATE(2026,9,1),"m"),IF($D82="Quarterly",3,IF($D82="Annual",12,1)))=0),IF((COUNTIFS(Xero_Raw!$D$4:$D$5003,$A82,Xero_Raw!$G$4:$G$5003,"*Subscription*",Xero_Raw!$A$4:$A$5003,"&gt;="&amp;DATE(2026,9,1),Xero_Raw!$A$4:$A$5003,"&lt;"&amp;EDATE(DATE(2026,9,1),1))+COUNTIFS(Customer_Invoices_Upload!$E$4:$E$5003,$A82,Customer_Invoices_Upload!$G$4:$G$5003,"*Subscription*",Customer_Invoices_Upload!$B$4:$B$5003,"&gt;="&amp;DATE(2026,9,1),Customer_Invoices_Upload!$B$4:$B$5003,"&lt;"&amp;EDATE(DATE(2026,9,1),1))+COUNTIFS(Stripe_Invoices_Upload!$D$4:$D$5003,$A82,Stripe_Invoices_Upload!$E$4:$E$5003,"*Subscription*",Stripe_Invoices_Upload!$A$4:$A$5003,"&gt;="&amp;DATE(2026,9,1),Stripe_Invoices_Upload!$A$4:$A$5003,"&lt;"&amp;EDATE(DATE(2026,9,1),1)))&gt;0,"✓ Invoiced","⚠ Due"),""),""))</f>
        <v/>
      </c>
      <c r="M82" s="130" t="str">
        <f aca="false">IF($A82="","",IF((DATE(YEAR($E82),MONTH($E82),1)&lt;=DATE(2026,10,1)),IF((MOD(DATEDIF(DATE(YEAR($E82),MONTH($E82),1),DATE(2026,10,1),"m"),IF($D82="Quarterly",3,IF($D82="Annual",12,1)))=0),IF((COUNTIFS(Xero_Raw!$D$4:$D$5003,$A82,Xero_Raw!$G$4:$G$5003,"*Subscription*",Xero_Raw!$A$4:$A$5003,"&gt;="&amp;DATE(2026,10,1),Xero_Raw!$A$4:$A$5003,"&lt;"&amp;EDATE(DATE(2026,10,1),1))+COUNTIFS(Customer_Invoices_Upload!$E$4:$E$5003,$A82,Customer_Invoices_Upload!$G$4:$G$5003,"*Subscription*",Customer_Invoices_Upload!$B$4:$B$5003,"&gt;="&amp;DATE(2026,10,1),Customer_Invoices_Upload!$B$4:$B$5003,"&lt;"&amp;EDATE(DATE(2026,10,1),1))+COUNTIFS(Stripe_Invoices_Upload!$D$4:$D$5003,$A82,Stripe_Invoices_Upload!$E$4:$E$5003,"*Subscription*",Stripe_Invoices_Upload!$A$4:$A$5003,"&gt;="&amp;DATE(2026,10,1),Stripe_Invoices_Upload!$A$4:$A$5003,"&lt;"&amp;EDATE(DATE(2026,10,1),1)))&gt;0,"✓ Invoiced","⚠ Due"),""),""))</f>
        <v/>
      </c>
      <c r="N82" s="130" t="str">
        <f aca="false">IF($A82="","",IF((DATE(YEAR($E82),MONTH($E82),1)&lt;=DATE(2026,11,1)),IF((MOD(DATEDIF(DATE(YEAR($E82),MONTH($E82),1),DATE(2026,11,1),"m"),IF($D82="Quarterly",3,IF($D82="Annual",12,1)))=0),IF((COUNTIFS(Xero_Raw!$D$4:$D$5003,$A82,Xero_Raw!$G$4:$G$5003,"*Subscription*",Xero_Raw!$A$4:$A$5003,"&gt;="&amp;DATE(2026,11,1),Xero_Raw!$A$4:$A$5003,"&lt;"&amp;EDATE(DATE(2026,11,1),1))+COUNTIFS(Customer_Invoices_Upload!$E$4:$E$5003,$A82,Customer_Invoices_Upload!$G$4:$G$5003,"*Subscription*",Customer_Invoices_Upload!$B$4:$B$5003,"&gt;="&amp;DATE(2026,11,1),Customer_Invoices_Upload!$B$4:$B$5003,"&lt;"&amp;EDATE(DATE(2026,11,1),1))+COUNTIFS(Stripe_Invoices_Upload!$D$4:$D$5003,$A82,Stripe_Invoices_Upload!$E$4:$E$5003,"*Subscription*",Stripe_Invoices_Upload!$A$4:$A$5003,"&gt;="&amp;DATE(2026,11,1),Stripe_Invoices_Upload!$A$4:$A$5003,"&lt;"&amp;EDATE(DATE(2026,11,1),1)))&gt;0,"✓ Invoiced","⚠ Due"),""),""))</f>
        <v/>
      </c>
      <c r="O82" s="130" t="str">
        <f aca="false">IF($A82="","",IF((DATE(YEAR($E82),MONTH($E82),1)&lt;=DATE(2026,12,1)),IF((MOD(DATEDIF(DATE(YEAR($E82),MONTH($E82),1),DATE(2026,12,1),"m"),IF($D82="Quarterly",3,IF($D82="Annual",12,1)))=0),IF((COUNTIFS(Xero_Raw!$D$4:$D$5003,$A82,Xero_Raw!$G$4:$G$5003,"*Subscription*",Xero_Raw!$A$4:$A$5003,"&gt;="&amp;DATE(2026,12,1),Xero_Raw!$A$4:$A$5003,"&lt;"&amp;EDATE(DATE(2026,12,1),1))+COUNTIFS(Customer_Invoices_Upload!$E$4:$E$5003,$A82,Customer_Invoices_Upload!$G$4:$G$5003,"*Subscription*",Customer_Invoices_Upload!$B$4:$B$5003,"&gt;="&amp;DATE(2026,12,1),Customer_Invoices_Upload!$B$4:$B$5003,"&lt;"&amp;EDATE(DATE(2026,12,1),1))+COUNTIFS(Stripe_Invoices_Upload!$D$4:$D$5003,$A82,Stripe_Invoices_Upload!$E$4:$E$5003,"*Subscription*",Stripe_Invoices_Upload!$A$4:$A$5003,"&gt;="&amp;DATE(2026,12,1),Stripe_Invoices_Upload!$A$4:$A$5003,"&lt;"&amp;EDATE(DATE(2026,12,1),1)))&gt;0,"✓ Invoiced","⚠ Due"),""),""))</f>
        <v/>
      </c>
      <c r="P82" s="130" t="str">
        <f aca="false">IF($A82="","",IF((DATE(YEAR($E82),MONTH($E82),1)&lt;=DATE(2027,1,1)),IF((MOD(DATEDIF(DATE(YEAR($E82),MONTH($E82),1),DATE(2027,1,1),"m"),IF($D82="Quarterly",3,IF($D82="Annual",12,1)))=0),IF((COUNTIFS(Xero_Raw!$D$4:$D$5003,$A82,Xero_Raw!$G$4:$G$5003,"*Subscription*",Xero_Raw!$A$4:$A$5003,"&gt;="&amp;DATE(2027,1,1),Xero_Raw!$A$4:$A$5003,"&lt;"&amp;EDATE(DATE(2027,1,1),1))+COUNTIFS(Customer_Invoices_Upload!$E$4:$E$5003,$A82,Customer_Invoices_Upload!$G$4:$G$5003,"*Subscription*",Customer_Invoices_Upload!$B$4:$B$5003,"&gt;="&amp;DATE(2027,1,1),Customer_Invoices_Upload!$B$4:$B$5003,"&lt;"&amp;EDATE(DATE(2027,1,1),1))+COUNTIFS(Stripe_Invoices_Upload!$D$4:$D$5003,$A82,Stripe_Invoices_Upload!$E$4:$E$5003,"*Subscription*",Stripe_Invoices_Upload!$A$4:$A$5003,"&gt;="&amp;DATE(2027,1,1),Stripe_Invoices_Upload!$A$4:$A$5003,"&lt;"&amp;EDATE(DATE(2027,1,1),1)))&gt;0,"✓ Invoiced","⚠ Due"),""),""))</f>
        <v/>
      </c>
      <c r="Q82" s="130" t="str">
        <f aca="false">IF($A82="","",IF((DATE(YEAR($E82),MONTH($E82),1)&lt;=DATE(2027,2,1)),IF((MOD(DATEDIF(DATE(YEAR($E82),MONTH($E82),1),DATE(2027,2,1),"m"),IF($D82="Quarterly",3,IF($D82="Annual",12,1)))=0),IF((COUNTIFS(Xero_Raw!$D$4:$D$5003,$A82,Xero_Raw!$G$4:$G$5003,"*Subscription*",Xero_Raw!$A$4:$A$5003,"&gt;="&amp;DATE(2027,2,1),Xero_Raw!$A$4:$A$5003,"&lt;"&amp;EDATE(DATE(2027,2,1),1))+COUNTIFS(Customer_Invoices_Upload!$E$4:$E$5003,$A82,Customer_Invoices_Upload!$G$4:$G$5003,"*Subscription*",Customer_Invoices_Upload!$B$4:$B$5003,"&gt;="&amp;DATE(2027,2,1),Customer_Invoices_Upload!$B$4:$B$5003,"&lt;"&amp;EDATE(DATE(2027,2,1),1))+COUNTIFS(Stripe_Invoices_Upload!$D$4:$D$5003,$A82,Stripe_Invoices_Upload!$E$4:$E$5003,"*Subscription*",Stripe_Invoices_Upload!$A$4:$A$5003,"&gt;="&amp;DATE(2027,2,1),Stripe_Invoices_Upload!$A$4:$A$5003,"&lt;"&amp;EDATE(DATE(2027,2,1),1)))&gt;0,"✓ Invoiced","⚠ Due"),""),""))</f>
        <v/>
      </c>
      <c r="R82" s="130" t="str">
        <f aca="false">IF($A82="","",IF((DATE(YEAR($E82),MONTH($E82),1)&lt;=DATE(2027,3,1)),IF((MOD(DATEDIF(DATE(YEAR($E82),MONTH($E82),1),DATE(2027,3,1),"m"),IF($D82="Quarterly",3,IF($D82="Annual",12,1)))=0),IF((COUNTIFS(Xero_Raw!$D$4:$D$5003,$A82,Xero_Raw!$G$4:$G$5003,"*Subscription*",Xero_Raw!$A$4:$A$5003,"&gt;="&amp;DATE(2027,3,1),Xero_Raw!$A$4:$A$5003,"&lt;"&amp;EDATE(DATE(2027,3,1),1))+COUNTIFS(Customer_Invoices_Upload!$E$4:$E$5003,$A82,Customer_Invoices_Upload!$G$4:$G$5003,"*Subscription*",Customer_Invoices_Upload!$B$4:$B$5003,"&gt;="&amp;DATE(2027,3,1),Customer_Invoices_Upload!$B$4:$B$5003,"&lt;"&amp;EDATE(DATE(2027,3,1),1))+COUNTIFS(Stripe_Invoices_Upload!$D$4:$D$5003,$A82,Stripe_Invoices_Upload!$E$4:$E$5003,"*Subscription*",Stripe_Invoices_Upload!$A$4:$A$5003,"&gt;="&amp;DATE(2027,3,1),Stripe_Invoices_Upload!$A$4:$A$5003,"&lt;"&amp;EDATE(DATE(2027,3,1),1)))&gt;0,"✓ Invoiced","⚠ Due"),""),""))</f>
        <v/>
      </c>
    </row>
    <row r="83" customFormat="false" ht="15" hidden="false" customHeight="false" outlineLevel="0" collapsed="false">
      <c r="A83" s="39"/>
      <c r="B83" s="39"/>
      <c r="C83" s="40"/>
      <c r="D83" s="39"/>
      <c r="E83" s="38"/>
      <c r="F83" s="129" t="str">
        <f aca="true">IF($A83="","",EDATE($E83,DATEDIF($E83,TODAY(),"m")+1))</f>
        <v/>
      </c>
      <c r="G83" s="130" t="str">
        <f aca="false">IF($A83="","",IF((DATE(YEAR($E83),MONTH($E83),1)&lt;=DATE(2026,4,1)),IF((MOD(DATEDIF(DATE(YEAR($E83),MONTH($E83),1),DATE(2026,4,1),"m"),IF($D83="Quarterly",3,IF($D83="Annual",12,1)))=0),IF((COUNTIFS(Xero_Raw!$D$4:$D$5003,$A83,Xero_Raw!$G$4:$G$5003,"*Subscription*",Xero_Raw!$A$4:$A$5003,"&gt;="&amp;DATE(2026,4,1),Xero_Raw!$A$4:$A$5003,"&lt;"&amp;EDATE(DATE(2026,4,1),1))+COUNTIFS(Customer_Invoices_Upload!$E$4:$E$5003,$A83,Customer_Invoices_Upload!$G$4:$G$5003,"*Subscription*",Customer_Invoices_Upload!$B$4:$B$5003,"&gt;="&amp;DATE(2026,4,1),Customer_Invoices_Upload!$B$4:$B$5003,"&lt;"&amp;EDATE(DATE(2026,4,1),1))+COUNTIFS(Stripe_Invoices_Upload!$D$4:$D$5003,$A83,Stripe_Invoices_Upload!$E$4:$E$5003,"*Subscription*",Stripe_Invoices_Upload!$A$4:$A$5003,"&gt;="&amp;DATE(2026,4,1),Stripe_Invoices_Upload!$A$4:$A$5003,"&lt;"&amp;EDATE(DATE(2026,4,1),1)))&gt;0,"✓ Invoiced","⚠ Due"),""),""))</f>
        <v/>
      </c>
      <c r="H83" s="130" t="str">
        <f aca="false">IF($A83="","",IF((DATE(YEAR($E83),MONTH($E83),1)&lt;=DATE(2026,5,1)),IF((MOD(DATEDIF(DATE(YEAR($E83),MONTH($E83),1),DATE(2026,5,1),"m"),IF($D83="Quarterly",3,IF($D83="Annual",12,1)))=0),IF((COUNTIFS(Xero_Raw!$D$4:$D$5003,$A83,Xero_Raw!$G$4:$G$5003,"*Subscription*",Xero_Raw!$A$4:$A$5003,"&gt;="&amp;DATE(2026,5,1),Xero_Raw!$A$4:$A$5003,"&lt;"&amp;EDATE(DATE(2026,5,1),1))+COUNTIFS(Customer_Invoices_Upload!$E$4:$E$5003,$A83,Customer_Invoices_Upload!$G$4:$G$5003,"*Subscription*",Customer_Invoices_Upload!$B$4:$B$5003,"&gt;="&amp;DATE(2026,5,1),Customer_Invoices_Upload!$B$4:$B$5003,"&lt;"&amp;EDATE(DATE(2026,5,1),1))+COUNTIFS(Stripe_Invoices_Upload!$D$4:$D$5003,$A83,Stripe_Invoices_Upload!$E$4:$E$5003,"*Subscription*",Stripe_Invoices_Upload!$A$4:$A$5003,"&gt;="&amp;DATE(2026,5,1),Stripe_Invoices_Upload!$A$4:$A$5003,"&lt;"&amp;EDATE(DATE(2026,5,1),1)))&gt;0,"✓ Invoiced","⚠ Due"),""),""))</f>
        <v/>
      </c>
      <c r="I83" s="130" t="str">
        <f aca="false">IF($A83="","",IF((DATE(YEAR($E83),MONTH($E83),1)&lt;=DATE(2026,6,1)),IF((MOD(DATEDIF(DATE(YEAR($E83),MONTH($E83),1),DATE(2026,6,1),"m"),IF($D83="Quarterly",3,IF($D83="Annual",12,1)))=0),IF((COUNTIFS(Xero_Raw!$D$4:$D$5003,$A83,Xero_Raw!$G$4:$G$5003,"*Subscription*",Xero_Raw!$A$4:$A$5003,"&gt;="&amp;DATE(2026,6,1),Xero_Raw!$A$4:$A$5003,"&lt;"&amp;EDATE(DATE(2026,6,1),1))+COUNTIFS(Customer_Invoices_Upload!$E$4:$E$5003,$A83,Customer_Invoices_Upload!$G$4:$G$5003,"*Subscription*",Customer_Invoices_Upload!$B$4:$B$5003,"&gt;="&amp;DATE(2026,6,1),Customer_Invoices_Upload!$B$4:$B$5003,"&lt;"&amp;EDATE(DATE(2026,6,1),1))+COUNTIFS(Stripe_Invoices_Upload!$D$4:$D$5003,$A83,Stripe_Invoices_Upload!$E$4:$E$5003,"*Subscription*",Stripe_Invoices_Upload!$A$4:$A$5003,"&gt;="&amp;DATE(2026,6,1),Stripe_Invoices_Upload!$A$4:$A$5003,"&lt;"&amp;EDATE(DATE(2026,6,1),1)))&gt;0,"✓ Invoiced","⚠ Due"),""),""))</f>
        <v/>
      </c>
      <c r="J83" s="130" t="str">
        <f aca="false">IF($A83="","",IF((DATE(YEAR($E83),MONTH($E83),1)&lt;=DATE(2026,7,1)),IF((MOD(DATEDIF(DATE(YEAR($E83),MONTH($E83),1),DATE(2026,7,1),"m"),IF($D83="Quarterly",3,IF($D83="Annual",12,1)))=0),IF((COUNTIFS(Xero_Raw!$D$4:$D$5003,$A83,Xero_Raw!$G$4:$G$5003,"*Subscription*",Xero_Raw!$A$4:$A$5003,"&gt;="&amp;DATE(2026,7,1),Xero_Raw!$A$4:$A$5003,"&lt;"&amp;EDATE(DATE(2026,7,1),1))+COUNTIFS(Customer_Invoices_Upload!$E$4:$E$5003,$A83,Customer_Invoices_Upload!$G$4:$G$5003,"*Subscription*",Customer_Invoices_Upload!$B$4:$B$5003,"&gt;="&amp;DATE(2026,7,1),Customer_Invoices_Upload!$B$4:$B$5003,"&lt;"&amp;EDATE(DATE(2026,7,1),1))+COUNTIFS(Stripe_Invoices_Upload!$D$4:$D$5003,$A83,Stripe_Invoices_Upload!$E$4:$E$5003,"*Subscription*",Stripe_Invoices_Upload!$A$4:$A$5003,"&gt;="&amp;DATE(2026,7,1),Stripe_Invoices_Upload!$A$4:$A$5003,"&lt;"&amp;EDATE(DATE(2026,7,1),1)))&gt;0,"✓ Invoiced","⚠ Due"),""),""))</f>
        <v/>
      </c>
      <c r="K83" s="130" t="str">
        <f aca="false">IF($A83="","",IF((DATE(YEAR($E83),MONTH($E83),1)&lt;=DATE(2026,8,1)),IF((MOD(DATEDIF(DATE(YEAR($E83),MONTH($E83),1),DATE(2026,8,1),"m"),IF($D83="Quarterly",3,IF($D83="Annual",12,1)))=0),IF((COUNTIFS(Xero_Raw!$D$4:$D$5003,$A83,Xero_Raw!$G$4:$G$5003,"*Subscription*",Xero_Raw!$A$4:$A$5003,"&gt;="&amp;DATE(2026,8,1),Xero_Raw!$A$4:$A$5003,"&lt;"&amp;EDATE(DATE(2026,8,1),1))+COUNTIFS(Customer_Invoices_Upload!$E$4:$E$5003,$A83,Customer_Invoices_Upload!$G$4:$G$5003,"*Subscription*",Customer_Invoices_Upload!$B$4:$B$5003,"&gt;="&amp;DATE(2026,8,1),Customer_Invoices_Upload!$B$4:$B$5003,"&lt;"&amp;EDATE(DATE(2026,8,1),1))+COUNTIFS(Stripe_Invoices_Upload!$D$4:$D$5003,$A83,Stripe_Invoices_Upload!$E$4:$E$5003,"*Subscription*",Stripe_Invoices_Upload!$A$4:$A$5003,"&gt;="&amp;DATE(2026,8,1),Stripe_Invoices_Upload!$A$4:$A$5003,"&lt;"&amp;EDATE(DATE(2026,8,1),1)))&gt;0,"✓ Invoiced","⚠ Due"),""),""))</f>
        <v/>
      </c>
      <c r="L83" s="130" t="str">
        <f aca="false">IF($A83="","",IF((DATE(YEAR($E83),MONTH($E83),1)&lt;=DATE(2026,9,1)),IF((MOD(DATEDIF(DATE(YEAR($E83),MONTH($E83),1),DATE(2026,9,1),"m"),IF($D83="Quarterly",3,IF($D83="Annual",12,1)))=0),IF((COUNTIFS(Xero_Raw!$D$4:$D$5003,$A83,Xero_Raw!$G$4:$G$5003,"*Subscription*",Xero_Raw!$A$4:$A$5003,"&gt;="&amp;DATE(2026,9,1),Xero_Raw!$A$4:$A$5003,"&lt;"&amp;EDATE(DATE(2026,9,1),1))+COUNTIFS(Customer_Invoices_Upload!$E$4:$E$5003,$A83,Customer_Invoices_Upload!$G$4:$G$5003,"*Subscription*",Customer_Invoices_Upload!$B$4:$B$5003,"&gt;="&amp;DATE(2026,9,1),Customer_Invoices_Upload!$B$4:$B$5003,"&lt;"&amp;EDATE(DATE(2026,9,1),1))+COUNTIFS(Stripe_Invoices_Upload!$D$4:$D$5003,$A83,Stripe_Invoices_Upload!$E$4:$E$5003,"*Subscription*",Stripe_Invoices_Upload!$A$4:$A$5003,"&gt;="&amp;DATE(2026,9,1),Stripe_Invoices_Upload!$A$4:$A$5003,"&lt;"&amp;EDATE(DATE(2026,9,1),1)))&gt;0,"✓ Invoiced","⚠ Due"),""),""))</f>
        <v/>
      </c>
      <c r="M83" s="130" t="str">
        <f aca="false">IF($A83="","",IF((DATE(YEAR($E83),MONTH($E83),1)&lt;=DATE(2026,10,1)),IF((MOD(DATEDIF(DATE(YEAR($E83),MONTH($E83),1),DATE(2026,10,1),"m"),IF($D83="Quarterly",3,IF($D83="Annual",12,1)))=0),IF((COUNTIFS(Xero_Raw!$D$4:$D$5003,$A83,Xero_Raw!$G$4:$G$5003,"*Subscription*",Xero_Raw!$A$4:$A$5003,"&gt;="&amp;DATE(2026,10,1),Xero_Raw!$A$4:$A$5003,"&lt;"&amp;EDATE(DATE(2026,10,1),1))+COUNTIFS(Customer_Invoices_Upload!$E$4:$E$5003,$A83,Customer_Invoices_Upload!$G$4:$G$5003,"*Subscription*",Customer_Invoices_Upload!$B$4:$B$5003,"&gt;="&amp;DATE(2026,10,1),Customer_Invoices_Upload!$B$4:$B$5003,"&lt;"&amp;EDATE(DATE(2026,10,1),1))+COUNTIFS(Stripe_Invoices_Upload!$D$4:$D$5003,$A83,Stripe_Invoices_Upload!$E$4:$E$5003,"*Subscription*",Stripe_Invoices_Upload!$A$4:$A$5003,"&gt;="&amp;DATE(2026,10,1),Stripe_Invoices_Upload!$A$4:$A$5003,"&lt;"&amp;EDATE(DATE(2026,10,1),1)))&gt;0,"✓ Invoiced","⚠ Due"),""),""))</f>
        <v/>
      </c>
      <c r="N83" s="130" t="str">
        <f aca="false">IF($A83="","",IF((DATE(YEAR($E83),MONTH($E83),1)&lt;=DATE(2026,11,1)),IF((MOD(DATEDIF(DATE(YEAR($E83),MONTH($E83),1),DATE(2026,11,1),"m"),IF($D83="Quarterly",3,IF($D83="Annual",12,1)))=0),IF((COUNTIFS(Xero_Raw!$D$4:$D$5003,$A83,Xero_Raw!$G$4:$G$5003,"*Subscription*",Xero_Raw!$A$4:$A$5003,"&gt;="&amp;DATE(2026,11,1),Xero_Raw!$A$4:$A$5003,"&lt;"&amp;EDATE(DATE(2026,11,1),1))+COUNTIFS(Customer_Invoices_Upload!$E$4:$E$5003,$A83,Customer_Invoices_Upload!$G$4:$G$5003,"*Subscription*",Customer_Invoices_Upload!$B$4:$B$5003,"&gt;="&amp;DATE(2026,11,1),Customer_Invoices_Upload!$B$4:$B$5003,"&lt;"&amp;EDATE(DATE(2026,11,1),1))+COUNTIFS(Stripe_Invoices_Upload!$D$4:$D$5003,$A83,Stripe_Invoices_Upload!$E$4:$E$5003,"*Subscription*",Stripe_Invoices_Upload!$A$4:$A$5003,"&gt;="&amp;DATE(2026,11,1),Stripe_Invoices_Upload!$A$4:$A$5003,"&lt;"&amp;EDATE(DATE(2026,11,1),1)))&gt;0,"✓ Invoiced","⚠ Due"),""),""))</f>
        <v/>
      </c>
      <c r="O83" s="130" t="str">
        <f aca="false">IF($A83="","",IF((DATE(YEAR($E83),MONTH($E83),1)&lt;=DATE(2026,12,1)),IF((MOD(DATEDIF(DATE(YEAR($E83),MONTH($E83),1),DATE(2026,12,1),"m"),IF($D83="Quarterly",3,IF($D83="Annual",12,1)))=0),IF((COUNTIFS(Xero_Raw!$D$4:$D$5003,$A83,Xero_Raw!$G$4:$G$5003,"*Subscription*",Xero_Raw!$A$4:$A$5003,"&gt;="&amp;DATE(2026,12,1),Xero_Raw!$A$4:$A$5003,"&lt;"&amp;EDATE(DATE(2026,12,1),1))+COUNTIFS(Customer_Invoices_Upload!$E$4:$E$5003,$A83,Customer_Invoices_Upload!$G$4:$G$5003,"*Subscription*",Customer_Invoices_Upload!$B$4:$B$5003,"&gt;="&amp;DATE(2026,12,1),Customer_Invoices_Upload!$B$4:$B$5003,"&lt;"&amp;EDATE(DATE(2026,12,1),1))+COUNTIFS(Stripe_Invoices_Upload!$D$4:$D$5003,$A83,Stripe_Invoices_Upload!$E$4:$E$5003,"*Subscription*",Stripe_Invoices_Upload!$A$4:$A$5003,"&gt;="&amp;DATE(2026,12,1),Stripe_Invoices_Upload!$A$4:$A$5003,"&lt;"&amp;EDATE(DATE(2026,12,1),1)))&gt;0,"✓ Invoiced","⚠ Due"),""),""))</f>
        <v/>
      </c>
      <c r="P83" s="130" t="str">
        <f aca="false">IF($A83="","",IF((DATE(YEAR($E83),MONTH($E83),1)&lt;=DATE(2027,1,1)),IF((MOD(DATEDIF(DATE(YEAR($E83),MONTH($E83),1),DATE(2027,1,1),"m"),IF($D83="Quarterly",3,IF($D83="Annual",12,1)))=0),IF((COUNTIFS(Xero_Raw!$D$4:$D$5003,$A83,Xero_Raw!$G$4:$G$5003,"*Subscription*",Xero_Raw!$A$4:$A$5003,"&gt;="&amp;DATE(2027,1,1),Xero_Raw!$A$4:$A$5003,"&lt;"&amp;EDATE(DATE(2027,1,1),1))+COUNTIFS(Customer_Invoices_Upload!$E$4:$E$5003,$A83,Customer_Invoices_Upload!$G$4:$G$5003,"*Subscription*",Customer_Invoices_Upload!$B$4:$B$5003,"&gt;="&amp;DATE(2027,1,1),Customer_Invoices_Upload!$B$4:$B$5003,"&lt;"&amp;EDATE(DATE(2027,1,1),1))+COUNTIFS(Stripe_Invoices_Upload!$D$4:$D$5003,$A83,Stripe_Invoices_Upload!$E$4:$E$5003,"*Subscription*",Stripe_Invoices_Upload!$A$4:$A$5003,"&gt;="&amp;DATE(2027,1,1),Stripe_Invoices_Upload!$A$4:$A$5003,"&lt;"&amp;EDATE(DATE(2027,1,1),1)))&gt;0,"✓ Invoiced","⚠ Due"),""),""))</f>
        <v/>
      </c>
      <c r="Q83" s="130" t="str">
        <f aca="false">IF($A83="","",IF((DATE(YEAR($E83),MONTH($E83),1)&lt;=DATE(2027,2,1)),IF((MOD(DATEDIF(DATE(YEAR($E83),MONTH($E83),1),DATE(2027,2,1),"m"),IF($D83="Quarterly",3,IF($D83="Annual",12,1)))=0),IF((COUNTIFS(Xero_Raw!$D$4:$D$5003,$A83,Xero_Raw!$G$4:$G$5003,"*Subscription*",Xero_Raw!$A$4:$A$5003,"&gt;="&amp;DATE(2027,2,1),Xero_Raw!$A$4:$A$5003,"&lt;"&amp;EDATE(DATE(2027,2,1),1))+COUNTIFS(Customer_Invoices_Upload!$E$4:$E$5003,$A83,Customer_Invoices_Upload!$G$4:$G$5003,"*Subscription*",Customer_Invoices_Upload!$B$4:$B$5003,"&gt;="&amp;DATE(2027,2,1),Customer_Invoices_Upload!$B$4:$B$5003,"&lt;"&amp;EDATE(DATE(2027,2,1),1))+COUNTIFS(Stripe_Invoices_Upload!$D$4:$D$5003,$A83,Stripe_Invoices_Upload!$E$4:$E$5003,"*Subscription*",Stripe_Invoices_Upload!$A$4:$A$5003,"&gt;="&amp;DATE(2027,2,1),Stripe_Invoices_Upload!$A$4:$A$5003,"&lt;"&amp;EDATE(DATE(2027,2,1),1)))&gt;0,"✓ Invoiced","⚠ Due"),""),""))</f>
        <v/>
      </c>
      <c r="R83" s="130" t="str">
        <f aca="false">IF($A83="","",IF((DATE(YEAR($E83),MONTH($E83),1)&lt;=DATE(2027,3,1)),IF((MOD(DATEDIF(DATE(YEAR($E83),MONTH($E83),1),DATE(2027,3,1),"m"),IF($D83="Quarterly",3,IF($D83="Annual",12,1)))=0),IF((COUNTIFS(Xero_Raw!$D$4:$D$5003,$A83,Xero_Raw!$G$4:$G$5003,"*Subscription*",Xero_Raw!$A$4:$A$5003,"&gt;="&amp;DATE(2027,3,1),Xero_Raw!$A$4:$A$5003,"&lt;"&amp;EDATE(DATE(2027,3,1),1))+COUNTIFS(Customer_Invoices_Upload!$E$4:$E$5003,$A83,Customer_Invoices_Upload!$G$4:$G$5003,"*Subscription*",Customer_Invoices_Upload!$B$4:$B$5003,"&gt;="&amp;DATE(2027,3,1),Customer_Invoices_Upload!$B$4:$B$5003,"&lt;"&amp;EDATE(DATE(2027,3,1),1))+COUNTIFS(Stripe_Invoices_Upload!$D$4:$D$5003,$A83,Stripe_Invoices_Upload!$E$4:$E$5003,"*Subscription*",Stripe_Invoices_Upload!$A$4:$A$5003,"&gt;="&amp;DATE(2027,3,1),Stripe_Invoices_Upload!$A$4:$A$5003,"&lt;"&amp;EDATE(DATE(2027,3,1),1)))&gt;0,"✓ Invoiced","⚠ Due"),""),""))</f>
        <v/>
      </c>
    </row>
    <row r="84" customFormat="false" ht="15" hidden="false" customHeight="false" outlineLevel="0" collapsed="false">
      <c r="A84" s="39"/>
      <c r="B84" s="39"/>
      <c r="C84" s="40"/>
      <c r="D84" s="39"/>
      <c r="E84" s="38"/>
      <c r="F84" s="129" t="str">
        <f aca="true">IF($A84="","",EDATE($E84,DATEDIF($E84,TODAY(),"m")+1))</f>
        <v/>
      </c>
      <c r="G84" s="130" t="str">
        <f aca="false">IF($A84="","",IF((DATE(YEAR($E84),MONTH($E84),1)&lt;=DATE(2026,4,1)),IF((MOD(DATEDIF(DATE(YEAR($E84),MONTH($E84),1),DATE(2026,4,1),"m"),IF($D84="Quarterly",3,IF($D84="Annual",12,1)))=0),IF((COUNTIFS(Xero_Raw!$D$4:$D$5003,$A84,Xero_Raw!$G$4:$G$5003,"*Subscription*",Xero_Raw!$A$4:$A$5003,"&gt;="&amp;DATE(2026,4,1),Xero_Raw!$A$4:$A$5003,"&lt;"&amp;EDATE(DATE(2026,4,1),1))+COUNTIFS(Customer_Invoices_Upload!$E$4:$E$5003,$A84,Customer_Invoices_Upload!$G$4:$G$5003,"*Subscription*",Customer_Invoices_Upload!$B$4:$B$5003,"&gt;="&amp;DATE(2026,4,1),Customer_Invoices_Upload!$B$4:$B$5003,"&lt;"&amp;EDATE(DATE(2026,4,1),1))+COUNTIFS(Stripe_Invoices_Upload!$D$4:$D$5003,$A84,Stripe_Invoices_Upload!$E$4:$E$5003,"*Subscription*",Stripe_Invoices_Upload!$A$4:$A$5003,"&gt;="&amp;DATE(2026,4,1),Stripe_Invoices_Upload!$A$4:$A$5003,"&lt;"&amp;EDATE(DATE(2026,4,1),1)))&gt;0,"✓ Invoiced","⚠ Due"),""),""))</f>
        <v/>
      </c>
      <c r="H84" s="130" t="str">
        <f aca="false">IF($A84="","",IF((DATE(YEAR($E84),MONTH($E84),1)&lt;=DATE(2026,5,1)),IF((MOD(DATEDIF(DATE(YEAR($E84),MONTH($E84),1),DATE(2026,5,1),"m"),IF($D84="Quarterly",3,IF($D84="Annual",12,1)))=0),IF((COUNTIFS(Xero_Raw!$D$4:$D$5003,$A84,Xero_Raw!$G$4:$G$5003,"*Subscription*",Xero_Raw!$A$4:$A$5003,"&gt;="&amp;DATE(2026,5,1),Xero_Raw!$A$4:$A$5003,"&lt;"&amp;EDATE(DATE(2026,5,1),1))+COUNTIFS(Customer_Invoices_Upload!$E$4:$E$5003,$A84,Customer_Invoices_Upload!$G$4:$G$5003,"*Subscription*",Customer_Invoices_Upload!$B$4:$B$5003,"&gt;="&amp;DATE(2026,5,1),Customer_Invoices_Upload!$B$4:$B$5003,"&lt;"&amp;EDATE(DATE(2026,5,1),1))+COUNTIFS(Stripe_Invoices_Upload!$D$4:$D$5003,$A84,Stripe_Invoices_Upload!$E$4:$E$5003,"*Subscription*",Stripe_Invoices_Upload!$A$4:$A$5003,"&gt;="&amp;DATE(2026,5,1),Stripe_Invoices_Upload!$A$4:$A$5003,"&lt;"&amp;EDATE(DATE(2026,5,1),1)))&gt;0,"✓ Invoiced","⚠ Due"),""),""))</f>
        <v/>
      </c>
      <c r="I84" s="130" t="str">
        <f aca="false">IF($A84="","",IF((DATE(YEAR($E84),MONTH($E84),1)&lt;=DATE(2026,6,1)),IF((MOD(DATEDIF(DATE(YEAR($E84),MONTH($E84),1),DATE(2026,6,1),"m"),IF($D84="Quarterly",3,IF($D84="Annual",12,1)))=0),IF((COUNTIFS(Xero_Raw!$D$4:$D$5003,$A84,Xero_Raw!$G$4:$G$5003,"*Subscription*",Xero_Raw!$A$4:$A$5003,"&gt;="&amp;DATE(2026,6,1),Xero_Raw!$A$4:$A$5003,"&lt;"&amp;EDATE(DATE(2026,6,1),1))+COUNTIFS(Customer_Invoices_Upload!$E$4:$E$5003,$A84,Customer_Invoices_Upload!$G$4:$G$5003,"*Subscription*",Customer_Invoices_Upload!$B$4:$B$5003,"&gt;="&amp;DATE(2026,6,1),Customer_Invoices_Upload!$B$4:$B$5003,"&lt;"&amp;EDATE(DATE(2026,6,1),1))+COUNTIFS(Stripe_Invoices_Upload!$D$4:$D$5003,$A84,Stripe_Invoices_Upload!$E$4:$E$5003,"*Subscription*",Stripe_Invoices_Upload!$A$4:$A$5003,"&gt;="&amp;DATE(2026,6,1),Stripe_Invoices_Upload!$A$4:$A$5003,"&lt;"&amp;EDATE(DATE(2026,6,1),1)))&gt;0,"✓ Invoiced","⚠ Due"),""),""))</f>
        <v/>
      </c>
      <c r="J84" s="130" t="str">
        <f aca="false">IF($A84="","",IF((DATE(YEAR($E84),MONTH($E84),1)&lt;=DATE(2026,7,1)),IF((MOD(DATEDIF(DATE(YEAR($E84),MONTH($E84),1),DATE(2026,7,1),"m"),IF($D84="Quarterly",3,IF($D84="Annual",12,1)))=0),IF((COUNTIFS(Xero_Raw!$D$4:$D$5003,$A84,Xero_Raw!$G$4:$G$5003,"*Subscription*",Xero_Raw!$A$4:$A$5003,"&gt;="&amp;DATE(2026,7,1),Xero_Raw!$A$4:$A$5003,"&lt;"&amp;EDATE(DATE(2026,7,1),1))+COUNTIFS(Customer_Invoices_Upload!$E$4:$E$5003,$A84,Customer_Invoices_Upload!$G$4:$G$5003,"*Subscription*",Customer_Invoices_Upload!$B$4:$B$5003,"&gt;="&amp;DATE(2026,7,1),Customer_Invoices_Upload!$B$4:$B$5003,"&lt;"&amp;EDATE(DATE(2026,7,1),1))+COUNTIFS(Stripe_Invoices_Upload!$D$4:$D$5003,$A84,Stripe_Invoices_Upload!$E$4:$E$5003,"*Subscription*",Stripe_Invoices_Upload!$A$4:$A$5003,"&gt;="&amp;DATE(2026,7,1),Stripe_Invoices_Upload!$A$4:$A$5003,"&lt;"&amp;EDATE(DATE(2026,7,1),1)))&gt;0,"✓ Invoiced","⚠ Due"),""),""))</f>
        <v/>
      </c>
      <c r="K84" s="130" t="str">
        <f aca="false">IF($A84="","",IF((DATE(YEAR($E84),MONTH($E84),1)&lt;=DATE(2026,8,1)),IF((MOD(DATEDIF(DATE(YEAR($E84),MONTH($E84),1),DATE(2026,8,1),"m"),IF($D84="Quarterly",3,IF($D84="Annual",12,1)))=0),IF((COUNTIFS(Xero_Raw!$D$4:$D$5003,$A84,Xero_Raw!$G$4:$G$5003,"*Subscription*",Xero_Raw!$A$4:$A$5003,"&gt;="&amp;DATE(2026,8,1),Xero_Raw!$A$4:$A$5003,"&lt;"&amp;EDATE(DATE(2026,8,1),1))+COUNTIFS(Customer_Invoices_Upload!$E$4:$E$5003,$A84,Customer_Invoices_Upload!$G$4:$G$5003,"*Subscription*",Customer_Invoices_Upload!$B$4:$B$5003,"&gt;="&amp;DATE(2026,8,1),Customer_Invoices_Upload!$B$4:$B$5003,"&lt;"&amp;EDATE(DATE(2026,8,1),1))+COUNTIFS(Stripe_Invoices_Upload!$D$4:$D$5003,$A84,Stripe_Invoices_Upload!$E$4:$E$5003,"*Subscription*",Stripe_Invoices_Upload!$A$4:$A$5003,"&gt;="&amp;DATE(2026,8,1),Stripe_Invoices_Upload!$A$4:$A$5003,"&lt;"&amp;EDATE(DATE(2026,8,1),1)))&gt;0,"✓ Invoiced","⚠ Due"),""),""))</f>
        <v/>
      </c>
      <c r="L84" s="130" t="str">
        <f aca="false">IF($A84="","",IF((DATE(YEAR($E84),MONTH($E84),1)&lt;=DATE(2026,9,1)),IF((MOD(DATEDIF(DATE(YEAR($E84),MONTH($E84),1),DATE(2026,9,1),"m"),IF($D84="Quarterly",3,IF($D84="Annual",12,1)))=0),IF((COUNTIFS(Xero_Raw!$D$4:$D$5003,$A84,Xero_Raw!$G$4:$G$5003,"*Subscription*",Xero_Raw!$A$4:$A$5003,"&gt;="&amp;DATE(2026,9,1),Xero_Raw!$A$4:$A$5003,"&lt;"&amp;EDATE(DATE(2026,9,1),1))+COUNTIFS(Customer_Invoices_Upload!$E$4:$E$5003,$A84,Customer_Invoices_Upload!$G$4:$G$5003,"*Subscription*",Customer_Invoices_Upload!$B$4:$B$5003,"&gt;="&amp;DATE(2026,9,1),Customer_Invoices_Upload!$B$4:$B$5003,"&lt;"&amp;EDATE(DATE(2026,9,1),1))+COUNTIFS(Stripe_Invoices_Upload!$D$4:$D$5003,$A84,Stripe_Invoices_Upload!$E$4:$E$5003,"*Subscription*",Stripe_Invoices_Upload!$A$4:$A$5003,"&gt;="&amp;DATE(2026,9,1),Stripe_Invoices_Upload!$A$4:$A$5003,"&lt;"&amp;EDATE(DATE(2026,9,1),1)))&gt;0,"✓ Invoiced","⚠ Due"),""),""))</f>
        <v/>
      </c>
      <c r="M84" s="130" t="str">
        <f aca="false">IF($A84="","",IF((DATE(YEAR($E84),MONTH($E84),1)&lt;=DATE(2026,10,1)),IF((MOD(DATEDIF(DATE(YEAR($E84),MONTH($E84),1),DATE(2026,10,1),"m"),IF($D84="Quarterly",3,IF($D84="Annual",12,1)))=0),IF((COUNTIFS(Xero_Raw!$D$4:$D$5003,$A84,Xero_Raw!$G$4:$G$5003,"*Subscription*",Xero_Raw!$A$4:$A$5003,"&gt;="&amp;DATE(2026,10,1),Xero_Raw!$A$4:$A$5003,"&lt;"&amp;EDATE(DATE(2026,10,1),1))+COUNTIFS(Customer_Invoices_Upload!$E$4:$E$5003,$A84,Customer_Invoices_Upload!$G$4:$G$5003,"*Subscription*",Customer_Invoices_Upload!$B$4:$B$5003,"&gt;="&amp;DATE(2026,10,1),Customer_Invoices_Upload!$B$4:$B$5003,"&lt;"&amp;EDATE(DATE(2026,10,1),1))+COUNTIFS(Stripe_Invoices_Upload!$D$4:$D$5003,$A84,Stripe_Invoices_Upload!$E$4:$E$5003,"*Subscription*",Stripe_Invoices_Upload!$A$4:$A$5003,"&gt;="&amp;DATE(2026,10,1),Stripe_Invoices_Upload!$A$4:$A$5003,"&lt;"&amp;EDATE(DATE(2026,10,1),1)))&gt;0,"✓ Invoiced","⚠ Due"),""),""))</f>
        <v/>
      </c>
      <c r="N84" s="130" t="str">
        <f aca="false">IF($A84="","",IF((DATE(YEAR($E84),MONTH($E84),1)&lt;=DATE(2026,11,1)),IF((MOD(DATEDIF(DATE(YEAR($E84),MONTH($E84),1),DATE(2026,11,1),"m"),IF($D84="Quarterly",3,IF($D84="Annual",12,1)))=0),IF((COUNTIFS(Xero_Raw!$D$4:$D$5003,$A84,Xero_Raw!$G$4:$G$5003,"*Subscription*",Xero_Raw!$A$4:$A$5003,"&gt;="&amp;DATE(2026,11,1),Xero_Raw!$A$4:$A$5003,"&lt;"&amp;EDATE(DATE(2026,11,1),1))+COUNTIFS(Customer_Invoices_Upload!$E$4:$E$5003,$A84,Customer_Invoices_Upload!$G$4:$G$5003,"*Subscription*",Customer_Invoices_Upload!$B$4:$B$5003,"&gt;="&amp;DATE(2026,11,1),Customer_Invoices_Upload!$B$4:$B$5003,"&lt;"&amp;EDATE(DATE(2026,11,1),1))+COUNTIFS(Stripe_Invoices_Upload!$D$4:$D$5003,$A84,Stripe_Invoices_Upload!$E$4:$E$5003,"*Subscription*",Stripe_Invoices_Upload!$A$4:$A$5003,"&gt;="&amp;DATE(2026,11,1),Stripe_Invoices_Upload!$A$4:$A$5003,"&lt;"&amp;EDATE(DATE(2026,11,1),1)))&gt;0,"✓ Invoiced","⚠ Due"),""),""))</f>
        <v/>
      </c>
      <c r="O84" s="130" t="str">
        <f aca="false">IF($A84="","",IF((DATE(YEAR($E84),MONTH($E84),1)&lt;=DATE(2026,12,1)),IF((MOD(DATEDIF(DATE(YEAR($E84),MONTH($E84),1),DATE(2026,12,1),"m"),IF($D84="Quarterly",3,IF($D84="Annual",12,1)))=0),IF((COUNTIFS(Xero_Raw!$D$4:$D$5003,$A84,Xero_Raw!$G$4:$G$5003,"*Subscription*",Xero_Raw!$A$4:$A$5003,"&gt;="&amp;DATE(2026,12,1),Xero_Raw!$A$4:$A$5003,"&lt;"&amp;EDATE(DATE(2026,12,1),1))+COUNTIFS(Customer_Invoices_Upload!$E$4:$E$5003,$A84,Customer_Invoices_Upload!$G$4:$G$5003,"*Subscription*",Customer_Invoices_Upload!$B$4:$B$5003,"&gt;="&amp;DATE(2026,12,1),Customer_Invoices_Upload!$B$4:$B$5003,"&lt;"&amp;EDATE(DATE(2026,12,1),1))+COUNTIFS(Stripe_Invoices_Upload!$D$4:$D$5003,$A84,Stripe_Invoices_Upload!$E$4:$E$5003,"*Subscription*",Stripe_Invoices_Upload!$A$4:$A$5003,"&gt;="&amp;DATE(2026,12,1),Stripe_Invoices_Upload!$A$4:$A$5003,"&lt;"&amp;EDATE(DATE(2026,12,1),1)))&gt;0,"✓ Invoiced","⚠ Due"),""),""))</f>
        <v/>
      </c>
      <c r="P84" s="130" t="str">
        <f aca="false">IF($A84="","",IF((DATE(YEAR($E84),MONTH($E84),1)&lt;=DATE(2027,1,1)),IF((MOD(DATEDIF(DATE(YEAR($E84),MONTH($E84),1),DATE(2027,1,1),"m"),IF($D84="Quarterly",3,IF($D84="Annual",12,1)))=0),IF((COUNTIFS(Xero_Raw!$D$4:$D$5003,$A84,Xero_Raw!$G$4:$G$5003,"*Subscription*",Xero_Raw!$A$4:$A$5003,"&gt;="&amp;DATE(2027,1,1),Xero_Raw!$A$4:$A$5003,"&lt;"&amp;EDATE(DATE(2027,1,1),1))+COUNTIFS(Customer_Invoices_Upload!$E$4:$E$5003,$A84,Customer_Invoices_Upload!$G$4:$G$5003,"*Subscription*",Customer_Invoices_Upload!$B$4:$B$5003,"&gt;="&amp;DATE(2027,1,1),Customer_Invoices_Upload!$B$4:$B$5003,"&lt;"&amp;EDATE(DATE(2027,1,1),1))+COUNTIFS(Stripe_Invoices_Upload!$D$4:$D$5003,$A84,Stripe_Invoices_Upload!$E$4:$E$5003,"*Subscription*",Stripe_Invoices_Upload!$A$4:$A$5003,"&gt;="&amp;DATE(2027,1,1),Stripe_Invoices_Upload!$A$4:$A$5003,"&lt;"&amp;EDATE(DATE(2027,1,1),1)))&gt;0,"✓ Invoiced","⚠ Due"),""),""))</f>
        <v/>
      </c>
      <c r="Q84" s="130" t="str">
        <f aca="false">IF($A84="","",IF((DATE(YEAR($E84),MONTH($E84),1)&lt;=DATE(2027,2,1)),IF((MOD(DATEDIF(DATE(YEAR($E84),MONTH($E84),1),DATE(2027,2,1),"m"),IF($D84="Quarterly",3,IF($D84="Annual",12,1)))=0),IF((COUNTIFS(Xero_Raw!$D$4:$D$5003,$A84,Xero_Raw!$G$4:$G$5003,"*Subscription*",Xero_Raw!$A$4:$A$5003,"&gt;="&amp;DATE(2027,2,1),Xero_Raw!$A$4:$A$5003,"&lt;"&amp;EDATE(DATE(2027,2,1),1))+COUNTIFS(Customer_Invoices_Upload!$E$4:$E$5003,$A84,Customer_Invoices_Upload!$G$4:$G$5003,"*Subscription*",Customer_Invoices_Upload!$B$4:$B$5003,"&gt;="&amp;DATE(2027,2,1),Customer_Invoices_Upload!$B$4:$B$5003,"&lt;"&amp;EDATE(DATE(2027,2,1),1))+COUNTIFS(Stripe_Invoices_Upload!$D$4:$D$5003,$A84,Stripe_Invoices_Upload!$E$4:$E$5003,"*Subscription*",Stripe_Invoices_Upload!$A$4:$A$5003,"&gt;="&amp;DATE(2027,2,1),Stripe_Invoices_Upload!$A$4:$A$5003,"&lt;"&amp;EDATE(DATE(2027,2,1),1)))&gt;0,"✓ Invoiced","⚠ Due"),""),""))</f>
        <v/>
      </c>
      <c r="R84" s="130" t="str">
        <f aca="false">IF($A84="","",IF((DATE(YEAR($E84),MONTH($E84),1)&lt;=DATE(2027,3,1)),IF((MOD(DATEDIF(DATE(YEAR($E84),MONTH($E84),1),DATE(2027,3,1),"m"),IF($D84="Quarterly",3,IF($D84="Annual",12,1)))=0),IF((COUNTIFS(Xero_Raw!$D$4:$D$5003,$A84,Xero_Raw!$G$4:$G$5003,"*Subscription*",Xero_Raw!$A$4:$A$5003,"&gt;="&amp;DATE(2027,3,1),Xero_Raw!$A$4:$A$5003,"&lt;"&amp;EDATE(DATE(2027,3,1),1))+COUNTIFS(Customer_Invoices_Upload!$E$4:$E$5003,$A84,Customer_Invoices_Upload!$G$4:$G$5003,"*Subscription*",Customer_Invoices_Upload!$B$4:$B$5003,"&gt;="&amp;DATE(2027,3,1),Customer_Invoices_Upload!$B$4:$B$5003,"&lt;"&amp;EDATE(DATE(2027,3,1),1))+COUNTIFS(Stripe_Invoices_Upload!$D$4:$D$5003,$A84,Stripe_Invoices_Upload!$E$4:$E$5003,"*Subscription*",Stripe_Invoices_Upload!$A$4:$A$5003,"&gt;="&amp;DATE(2027,3,1),Stripe_Invoices_Upload!$A$4:$A$5003,"&lt;"&amp;EDATE(DATE(2027,3,1),1)))&gt;0,"✓ Invoiced","⚠ Due"),""),""))</f>
        <v/>
      </c>
    </row>
    <row r="85" customFormat="false" ht="15" hidden="false" customHeight="false" outlineLevel="0" collapsed="false">
      <c r="A85" s="39"/>
      <c r="B85" s="39"/>
      <c r="C85" s="40"/>
      <c r="D85" s="39"/>
      <c r="E85" s="38"/>
      <c r="F85" s="129" t="str">
        <f aca="true">IF($A85="","",EDATE($E85,DATEDIF($E85,TODAY(),"m")+1))</f>
        <v/>
      </c>
      <c r="G85" s="130" t="str">
        <f aca="false">IF($A85="","",IF((DATE(YEAR($E85),MONTH($E85),1)&lt;=DATE(2026,4,1)),IF((MOD(DATEDIF(DATE(YEAR($E85),MONTH($E85),1),DATE(2026,4,1),"m"),IF($D85="Quarterly",3,IF($D85="Annual",12,1)))=0),IF((COUNTIFS(Xero_Raw!$D$4:$D$5003,$A85,Xero_Raw!$G$4:$G$5003,"*Subscription*",Xero_Raw!$A$4:$A$5003,"&gt;="&amp;DATE(2026,4,1),Xero_Raw!$A$4:$A$5003,"&lt;"&amp;EDATE(DATE(2026,4,1),1))+COUNTIFS(Customer_Invoices_Upload!$E$4:$E$5003,$A85,Customer_Invoices_Upload!$G$4:$G$5003,"*Subscription*",Customer_Invoices_Upload!$B$4:$B$5003,"&gt;="&amp;DATE(2026,4,1),Customer_Invoices_Upload!$B$4:$B$5003,"&lt;"&amp;EDATE(DATE(2026,4,1),1))+COUNTIFS(Stripe_Invoices_Upload!$D$4:$D$5003,$A85,Stripe_Invoices_Upload!$E$4:$E$5003,"*Subscription*",Stripe_Invoices_Upload!$A$4:$A$5003,"&gt;="&amp;DATE(2026,4,1),Stripe_Invoices_Upload!$A$4:$A$5003,"&lt;"&amp;EDATE(DATE(2026,4,1),1)))&gt;0,"✓ Invoiced","⚠ Due"),""),""))</f>
        <v/>
      </c>
      <c r="H85" s="130" t="str">
        <f aca="false">IF($A85="","",IF((DATE(YEAR($E85),MONTH($E85),1)&lt;=DATE(2026,5,1)),IF((MOD(DATEDIF(DATE(YEAR($E85),MONTH($E85),1),DATE(2026,5,1),"m"),IF($D85="Quarterly",3,IF($D85="Annual",12,1)))=0),IF((COUNTIFS(Xero_Raw!$D$4:$D$5003,$A85,Xero_Raw!$G$4:$G$5003,"*Subscription*",Xero_Raw!$A$4:$A$5003,"&gt;="&amp;DATE(2026,5,1),Xero_Raw!$A$4:$A$5003,"&lt;"&amp;EDATE(DATE(2026,5,1),1))+COUNTIFS(Customer_Invoices_Upload!$E$4:$E$5003,$A85,Customer_Invoices_Upload!$G$4:$G$5003,"*Subscription*",Customer_Invoices_Upload!$B$4:$B$5003,"&gt;="&amp;DATE(2026,5,1),Customer_Invoices_Upload!$B$4:$B$5003,"&lt;"&amp;EDATE(DATE(2026,5,1),1))+COUNTIFS(Stripe_Invoices_Upload!$D$4:$D$5003,$A85,Stripe_Invoices_Upload!$E$4:$E$5003,"*Subscription*",Stripe_Invoices_Upload!$A$4:$A$5003,"&gt;="&amp;DATE(2026,5,1),Stripe_Invoices_Upload!$A$4:$A$5003,"&lt;"&amp;EDATE(DATE(2026,5,1),1)))&gt;0,"✓ Invoiced","⚠ Due"),""),""))</f>
        <v/>
      </c>
      <c r="I85" s="130" t="str">
        <f aca="false">IF($A85="","",IF((DATE(YEAR($E85),MONTH($E85),1)&lt;=DATE(2026,6,1)),IF((MOD(DATEDIF(DATE(YEAR($E85),MONTH($E85),1),DATE(2026,6,1),"m"),IF($D85="Quarterly",3,IF($D85="Annual",12,1)))=0),IF((COUNTIFS(Xero_Raw!$D$4:$D$5003,$A85,Xero_Raw!$G$4:$G$5003,"*Subscription*",Xero_Raw!$A$4:$A$5003,"&gt;="&amp;DATE(2026,6,1),Xero_Raw!$A$4:$A$5003,"&lt;"&amp;EDATE(DATE(2026,6,1),1))+COUNTIFS(Customer_Invoices_Upload!$E$4:$E$5003,$A85,Customer_Invoices_Upload!$G$4:$G$5003,"*Subscription*",Customer_Invoices_Upload!$B$4:$B$5003,"&gt;="&amp;DATE(2026,6,1),Customer_Invoices_Upload!$B$4:$B$5003,"&lt;"&amp;EDATE(DATE(2026,6,1),1))+COUNTIFS(Stripe_Invoices_Upload!$D$4:$D$5003,$A85,Stripe_Invoices_Upload!$E$4:$E$5003,"*Subscription*",Stripe_Invoices_Upload!$A$4:$A$5003,"&gt;="&amp;DATE(2026,6,1),Stripe_Invoices_Upload!$A$4:$A$5003,"&lt;"&amp;EDATE(DATE(2026,6,1),1)))&gt;0,"✓ Invoiced","⚠ Due"),""),""))</f>
        <v/>
      </c>
      <c r="J85" s="130" t="str">
        <f aca="false">IF($A85="","",IF((DATE(YEAR($E85),MONTH($E85),1)&lt;=DATE(2026,7,1)),IF((MOD(DATEDIF(DATE(YEAR($E85),MONTH($E85),1),DATE(2026,7,1),"m"),IF($D85="Quarterly",3,IF($D85="Annual",12,1)))=0),IF((COUNTIFS(Xero_Raw!$D$4:$D$5003,$A85,Xero_Raw!$G$4:$G$5003,"*Subscription*",Xero_Raw!$A$4:$A$5003,"&gt;="&amp;DATE(2026,7,1),Xero_Raw!$A$4:$A$5003,"&lt;"&amp;EDATE(DATE(2026,7,1),1))+COUNTIFS(Customer_Invoices_Upload!$E$4:$E$5003,$A85,Customer_Invoices_Upload!$G$4:$G$5003,"*Subscription*",Customer_Invoices_Upload!$B$4:$B$5003,"&gt;="&amp;DATE(2026,7,1),Customer_Invoices_Upload!$B$4:$B$5003,"&lt;"&amp;EDATE(DATE(2026,7,1),1))+COUNTIFS(Stripe_Invoices_Upload!$D$4:$D$5003,$A85,Stripe_Invoices_Upload!$E$4:$E$5003,"*Subscription*",Stripe_Invoices_Upload!$A$4:$A$5003,"&gt;="&amp;DATE(2026,7,1),Stripe_Invoices_Upload!$A$4:$A$5003,"&lt;"&amp;EDATE(DATE(2026,7,1),1)))&gt;0,"✓ Invoiced","⚠ Due"),""),""))</f>
        <v/>
      </c>
      <c r="K85" s="130" t="str">
        <f aca="false">IF($A85="","",IF((DATE(YEAR($E85),MONTH($E85),1)&lt;=DATE(2026,8,1)),IF((MOD(DATEDIF(DATE(YEAR($E85),MONTH($E85),1),DATE(2026,8,1),"m"),IF($D85="Quarterly",3,IF($D85="Annual",12,1)))=0),IF((COUNTIFS(Xero_Raw!$D$4:$D$5003,$A85,Xero_Raw!$G$4:$G$5003,"*Subscription*",Xero_Raw!$A$4:$A$5003,"&gt;="&amp;DATE(2026,8,1),Xero_Raw!$A$4:$A$5003,"&lt;"&amp;EDATE(DATE(2026,8,1),1))+COUNTIFS(Customer_Invoices_Upload!$E$4:$E$5003,$A85,Customer_Invoices_Upload!$G$4:$G$5003,"*Subscription*",Customer_Invoices_Upload!$B$4:$B$5003,"&gt;="&amp;DATE(2026,8,1),Customer_Invoices_Upload!$B$4:$B$5003,"&lt;"&amp;EDATE(DATE(2026,8,1),1))+COUNTIFS(Stripe_Invoices_Upload!$D$4:$D$5003,$A85,Stripe_Invoices_Upload!$E$4:$E$5003,"*Subscription*",Stripe_Invoices_Upload!$A$4:$A$5003,"&gt;="&amp;DATE(2026,8,1),Stripe_Invoices_Upload!$A$4:$A$5003,"&lt;"&amp;EDATE(DATE(2026,8,1),1)))&gt;0,"✓ Invoiced","⚠ Due"),""),""))</f>
        <v/>
      </c>
      <c r="L85" s="130" t="str">
        <f aca="false">IF($A85="","",IF((DATE(YEAR($E85),MONTH($E85),1)&lt;=DATE(2026,9,1)),IF((MOD(DATEDIF(DATE(YEAR($E85),MONTH($E85),1),DATE(2026,9,1),"m"),IF($D85="Quarterly",3,IF($D85="Annual",12,1)))=0),IF((COUNTIFS(Xero_Raw!$D$4:$D$5003,$A85,Xero_Raw!$G$4:$G$5003,"*Subscription*",Xero_Raw!$A$4:$A$5003,"&gt;="&amp;DATE(2026,9,1),Xero_Raw!$A$4:$A$5003,"&lt;"&amp;EDATE(DATE(2026,9,1),1))+COUNTIFS(Customer_Invoices_Upload!$E$4:$E$5003,$A85,Customer_Invoices_Upload!$G$4:$G$5003,"*Subscription*",Customer_Invoices_Upload!$B$4:$B$5003,"&gt;="&amp;DATE(2026,9,1),Customer_Invoices_Upload!$B$4:$B$5003,"&lt;"&amp;EDATE(DATE(2026,9,1),1))+COUNTIFS(Stripe_Invoices_Upload!$D$4:$D$5003,$A85,Stripe_Invoices_Upload!$E$4:$E$5003,"*Subscription*",Stripe_Invoices_Upload!$A$4:$A$5003,"&gt;="&amp;DATE(2026,9,1),Stripe_Invoices_Upload!$A$4:$A$5003,"&lt;"&amp;EDATE(DATE(2026,9,1),1)))&gt;0,"✓ Invoiced","⚠ Due"),""),""))</f>
        <v/>
      </c>
      <c r="M85" s="130" t="str">
        <f aca="false">IF($A85="","",IF((DATE(YEAR($E85),MONTH($E85),1)&lt;=DATE(2026,10,1)),IF((MOD(DATEDIF(DATE(YEAR($E85),MONTH($E85),1),DATE(2026,10,1),"m"),IF($D85="Quarterly",3,IF($D85="Annual",12,1)))=0),IF((COUNTIFS(Xero_Raw!$D$4:$D$5003,$A85,Xero_Raw!$G$4:$G$5003,"*Subscription*",Xero_Raw!$A$4:$A$5003,"&gt;="&amp;DATE(2026,10,1),Xero_Raw!$A$4:$A$5003,"&lt;"&amp;EDATE(DATE(2026,10,1),1))+COUNTIFS(Customer_Invoices_Upload!$E$4:$E$5003,$A85,Customer_Invoices_Upload!$G$4:$G$5003,"*Subscription*",Customer_Invoices_Upload!$B$4:$B$5003,"&gt;="&amp;DATE(2026,10,1),Customer_Invoices_Upload!$B$4:$B$5003,"&lt;"&amp;EDATE(DATE(2026,10,1),1))+COUNTIFS(Stripe_Invoices_Upload!$D$4:$D$5003,$A85,Stripe_Invoices_Upload!$E$4:$E$5003,"*Subscription*",Stripe_Invoices_Upload!$A$4:$A$5003,"&gt;="&amp;DATE(2026,10,1),Stripe_Invoices_Upload!$A$4:$A$5003,"&lt;"&amp;EDATE(DATE(2026,10,1),1)))&gt;0,"✓ Invoiced","⚠ Due"),""),""))</f>
        <v/>
      </c>
      <c r="N85" s="130" t="str">
        <f aca="false">IF($A85="","",IF((DATE(YEAR($E85),MONTH($E85),1)&lt;=DATE(2026,11,1)),IF((MOD(DATEDIF(DATE(YEAR($E85),MONTH($E85),1),DATE(2026,11,1),"m"),IF($D85="Quarterly",3,IF($D85="Annual",12,1)))=0),IF((COUNTIFS(Xero_Raw!$D$4:$D$5003,$A85,Xero_Raw!$G$4:$G$5003,"*Subscription*",Xero_Raw!$A$4:$A$5003,"&gt;="&amp;DATE(2026,11,1),Xero_Raw!$A$4:$A$5003,"&lt;"&amp;EDATE(DATE(2026,11,1),1))+COUNTIFS(Customer_Invoices_Upload!$E$4:$E$5003,$A85,Customer_Invoices_Upload!$G$4:$G$5003,"*Subscription*",Customer_Invoices_Upload!$B$4:$B$5003,"&gt;="&amp;DATE(2026,11,1),Customer_Invoices_Upload!$B$4:$B$5003,"&lt;"&amp;EDATE(DATE(2026,11,1),1))+COUNTIFS(Stripe_Invoices_Upload!$D$4:$D$5003,$A85,Stripe_Invoices_Upload!$E$4:$E$5003,"*Subscription*",Stripe_Invoices_Upload!$A$4:$A$5003,"&gt;="&amp;DATE(2026,11,1),Stripe_Invoices_Upload!$A$4:$A$5003,"&lt;"&amp;EDATE(DATE(2026,11,1),1)))&gt;0,"✓ Invoiced","⚠ Due"),""),""))</f>
        <v/>
      </c>
      <c r="O85" s="130" t="str">
        <f aca="false">IF($A85="","",IF((DATE(YEAR($E85),MONTH($E85),1)&lt;=DATE(2026,12,1)),IF((MOD(DATEDIF(DATE(YEAR($E85),MONTH($E85),1),DATE(2026,12,1),"m"),IF($D85="Quarterly",3,IF($D85="Annual",12,1)))=0),IF((COUNTIFS(Xero_Raw!$D$4:$D$5003,$A85,Xero_Raw!$G$4:$G$5003,"*Subscription*",Xero_Raw!$A$4:$A$5003,"&gt;="&amp;DATE(2026,12,1),Xero_Raw!$A$4:$A$5003,"&lt;"&amp;EDATE(DATE(2026,12,1),1))+COUNTIFS(Customer_Invoices_Upload!$E$4:$E$5003,$A85,Customer_Invoices_Upload!$G$4:$G$5003,"*Subscription*",Customer_Invoices_Upload!$B$4:$B$5003,"&gt;="&amp;DATE(2026,12,1),Customer_Invoices_Upload!$B$4:$B$5003,"&lt;"&amp;EDATE(DATE(2026,12,1),1))+COUNTIFS(Stripe_Invoices_Upload!$D$4:$D$5003,$A85,Stripe_Invoices_Upload!$E$4:$E$5003,"*Subscription*",Stripe_Invoices_Upload!$A$4:$A$5003,"&gt;="&amp;DATE(2026,12,1),Stripe_Invoices_Upload!$A$4:$A$5003,"&lt;"&amp;EDATE(DATE(2026,12,1),1)))&gt;0,"✓ Invoiced","⚠ Due"),""),""))</f>
        <v/>
      </c>
      <c r="P85" s="130" t="str">
        <f aca="false">IF($A85="","",IF((DATE(YEAR($E85),MONTH($E85),1)&lt;=DATE(2027,1,1)),IF((MOD(DATEDIF(DATE(YEAR($E85),MONTH($E85),1),DATE(2027,1,1),"m"),IF($D85="Quarterly",3,IF($D85="Annual",12,1)))=0),IF((COUNTIFS(Xero_Raw!$D$4:$D$5003,$A85,Xero_Raw!$G$4:$G$5003,"*Subscription*",Xero_Raw!$A$4:$A$5003,"&gt;="&amp;DATE(2027,1,1),Xero_Raw!$A$4:$A$5003,"&lt;"&amp;EDATE(DATE(2027,1,1),1))+COUNTIFS(Customer_Invoices_Upload!$E$4:$E$5003,$A85,Customer_Invoices_Upload!$G$4:$G$5003,"*Subscription*",Customer_Invoices_Upload!$B$4:$B$5003,"&gt;="&amp;DATE(2027,1,1),Customer_Invoices_Upload!$B$4:$B$5003,"&lt;"&amp;EDATE(DATE(2027,1,1),1))+COUNTIFS(Stripe_Invoices_Upload!$D$4:$D$5003,$A85,Stripe_Invoices_Upload!$E$4:$E$5003,"*Subscription*",Stripe_Invoices_Upload!$A$4:$A$5003,"&gt;="&amp;DATE(2027,1,1),Stripe_Invoices_Upload!$A$4:$A$5003,"&lt;"&amp;EDATE(DATE(2027,1,1),1)))&gt;0,"✓ Invoiced","⚠ Due"),""),""))</f>
        <v/>
      </c>
      <c r="Q85" s="130" t="str">
        <f aca="false">IF($A85="","",IF((DATE(YEAR($E85),MONTH($E85),1)&lt;=DATE(2027,2,1)),IF((MOD(DATEDIF(DATE(YEAR($E85),MONTH($E85),1),DATE(2027,2,1),"m"),IF($D85="Quarterly",3,IF($D85="Annual",12,1)))=0),IF((COUNTIFS(Xero_Raw!$D$4:$D$5003,$A85,Xero_Raw!$G$4:$G$5003,"*Subscription*",Xero_Raw!$A$4:$A$5003,"&gt;="&amp;DATE(2027,2,1),Xero_Raw!$A$4:$A$5003,"&lt;"&amp;EDATE(DATE(2027,2,1),1))+COUNTIFS(Customer_Invoices_Upload!$E$4:$E$5003,$A85,Customer_Invoices_Upload!$G$4:$G$5003,"*Subscription*",Customer_Invoices_Upload!$B$4:$B$5003,"&gt;="&amp;DATE(2027,2,1),Customer_Invoices_Upload!$B$4:$B$5003,"&lt;"&amp;EDATE(DATE(2027,2,1),1))+COUNTIFS(Stripe_Invoices_Upload!$D$4:$D$5003,$A85,Stripe_Invoices_Upload!$E$4:$E$5003,"*Subscription*",Stripe_Invoices_Upload!$A$4:$A$5003,"&gt;="&amp;DATE(2027,2,1),Stripe_Invoices_Upload!$A$4:$A$5003,"&lt;"&amp;EDATE(DATE(2027,2,1),1)))&gt;0,"✓ Invoiced","⚠ Due"),""),""))</f>
        <v/>
      </c>
      <c r="R85" s="130" t="str">
        <f aca="false">IF($A85="","",IF((DATE(YEAR($E85),MONTH($E85),1)&lt;=DATE(2027,3,1)),IF((MOD(DATEDIF(DATE(YEAR($E85),MONTH($E85),1),DATE(2027,3,1),"m"),IF($D85="Quarterly",3,IF($D85="Annual",12,1)))=0),IF((COUNTIFS(Xero_Raw!$D$4:$D$5003,$A85,Xero_Raw!$G$4:$G$5003,"*Subscription*",Xero_Raw!$A$4:$A$5003,"&gt;="&amp;DATE(2027,3,1),Xero_Raw!$A$4:$A$5003,"&lt;"&amp;EDATE(DATE(2027,3,1),1))+COUNTIFS(Customer_Invoices_Upload!$E$4:$E$5003,$A85,Customer_Invoices_Upload!$G$4:$G$5003,"*Subscription*",Customer_Invoices_Upload!$B$4:$B$5003,"&gt;="&amp;DATE(2027,3,1),Customer_Invoices_Upload!$B$4:$B$5003,"&lt;"&amp;EDATE(DATE(2027,3,1),1))+COUNTIFS(Stripe_Invoices_Upload!$D$4:$D$5003,$A85,Stripe_Invoices_Upload!$E$4:$E$5003,"*Subscription*",Stripe_Invoices_Upload!$A$4:$A$5003,"&gt;="&amp;DATE(2027,3,1),Stripe_Invoices_Upload!$A$4:$A$5003,"&lt;"&amp;EDATE(DATE(2027,3,1),1)))&gt;0,"✓ Invoiced","⚠ Due"),""),""))</f>
        <v/>
      </c>
    </row>
    <row r="86" customFormat="false" ht="15" hidden="false" customHeight="false" outlineLevel="0" collapsed="false">
      <c r="A86" s="39"/>
      <c r="B86" s="39"/>
      <c r="C86" s="40"/>
      <c r="D86" s="39"/>
      <c r="E86" s="38"/>
      <c r="F86" s="129" t="str">
        <f aca="true">IF($A86="","",EDATE($E86,DATEDIF($E86,TODAY(),"m")+1))</f>
        <v/>
      </c>
      <c r="G86" s="130" t="str">
        <f aca="false">IF($A86="","",IF((DATE(YEAR($E86),MONTH($E86),1)&lt;=DATE(2026,4,1)),IF((MOD(DATEDIF(DATE(YEAR($E86),MONTH($E86),1),DATE(2026,4,1),"m"),IF($D86="Quarterly",3,IF($D86="Annual",12,1)))=0),IF((COUNTIFS(Xero_Raw!$D$4:$D$5003,$A86,Xero_Raw!$G$4:$G$5003,"*Subscription*",Xero_Raw!$A$4:$A$5003,"&gt;="&amp;DATE(2026,4,1),Xero_Raw!$A$4:$A$5003,"&lt;"&amp;EDATE(DATE(2026,4,1),1))+COUNTIFS(Customer_Invoices_Upload!$E$4:$E$5003,$A86,Customer_Invoices_Upload!$G$4:$G$5003,"*Subscription*",Customer_Invoices_Upload!$B$4:$B$5003,"&gt;="&amp;DATE(2026,4,1),Customer_Invoices_Upload!$B$4:$B$5003,"&lt;"&amp;EDATE(DATE(2026,4,1),1))+COUNTIFS(Stripe_Invoices_Upload!$D$4:$D$5003,$A86,Stripe_Invoices_Upload!$E$4:$E$5003,"*Subscription*",Stripe_Invoices_Upload!$A$4:$A$5003,"&gt;="&amp;DATE(2026,4,1),Stripe_Invoices_Upload!$A$4:$A$5003,"&lt;"&amp;EDATE(DATE(2026,4,1),1)))&gt;0,"✓ Invoiced","⚠ Due"),""),""))</f>
        <v/>
      </c>
      <c r="H86" s="130" t="str">
        <f aca="false">IF($A86="","",IF((DATE(YEAR($E86),MONTH($E86),1)&lt;=DATE(2026,5,1)),IF((MOD(DATEDIF(DATE(YEAR($E86),MONTH($E86),1),DATE(2026,5,1),"m"),IF($D86="Quarterly",3,IF($D86="Annual",12,1)))=0),IF((COUNTIFS(Xero_Raw!$D$4:$D$5003,$A86,Xero_Raw!$G$4:$G$5003,"*Subscription*",Xero_Raw!$A$4:$A$5003,"&gt;="&amp;DATE(2026,5,1),Xero_Raw!$A$4:$A$5003,"&lt;"&amp;EDATE(DATE(2026,5,1),1))+COUNTIFS(Customer_Invoices_Upload!$E$4:$E$5003,$A86,Customer_Invoices_Upload!$G$4:$G$5003,"*Subscription*",Customer_Invoices_Upload!$B$4:$B$5003,"&gt;="&amp;DATE(2026,5,1),Customer_Invoices_Upload!$B$4:$B$5003,"&lt;"&amp;EDATE(DATE(2026,5,1),1))+COUNTIFS(Stripe_Invoices_Upload!$D$4:$D$5003,$A86,Stripe_Invoices_Upload!$E$4:$E$5003,"*Subscription*",Stripe_Invoices_Upload!$A$4:$A$5003,"&gt;="&amp;DATE(2026,5,1),Stripe_Invoices_Upload!$A$4:$A$5003,"&lt;"&amp;EDATE(DATE(2026,5,1),1)))&gt;0,"✓ Invoiced","⚠ Due"),""),""))</f>
        <v/>
      </c>
      <c r="I86" s="130" t="str">
        <f aca="false">IF($A86="","",IF((DATE(YEAR($E86),MONTH($E86),1)&lt;=DATE(2026,6,1)),IF((MOD(DATEDIF(DATE(YEAR($E86),MONTH($E86),1),DATE(2026,6,1),"m"),IF($D86="Quarterly",3,IF($D86="Annual",12,1)))=0),IF((COUNTIFS(Xero_Raw!$D$4:$D$5003,$A86,Xero_Raw!$G$4:$G$5003,"*Subscription*",Xero_Raw!$A$4:$A$5003,"&gt;="&amp;DATE(2026,6,1),Xero_Raw!$A$4:$A$5003,"&lt;"&amp;EDATE(DATE(2026,6,1),1))+COUNTIFS(Customer_Invoices_Upload!$E$4:$E$5003,$A86,Customer_Invoices_Upload!$G$4:$G$5003,"*Subscription*",Customer_Invoices_Upload!$B$4:$B$5003,"&gt;="&amp;DATE(2026,6,1),Customer_Invoices_Upload!$B$4:$B$5003,"&lt;"&amp;EDATE(DATE(2026,6,1),1))+COUNTIFS(Stripe_Invoices_Upload!$D$4:$D$5003,$A86,Stripe_Invoices_Upload!$E$4:$E$5003,"*Subscription*",Stripe_Invoices_Upload!$A$4:$A$5003,"&gt;="&amp;DATE(2026,6,1),Stripe_Invoices_Upload!$A$4:$A$5003,"&lt;"&amp;EDATE(DATE(2026,6,1),1)))&gt;0,"✓ Invoiced","⚠ Due"),""),""))</f>
        <v/>
      </c>
      <c r="J86" s="130" t="str">
        <f aca="false">IF($A86="","",IF((DATE(YEAR($E86),MONTH($E86),1)&lt;=DATE(2026,7,1)),IF((MOD(DATEDIF(DATE(YEAR($E86),MONTH($E86),1),DATE(2026,7,1),"m"),IF($D86="Quarterly",3,IF($D86="Annual",12,1)))=0),IF((COUNTIFS(Xero_Raw!$D$4:$D$5003,$A86,Xero_Raw!$G$4:$G$5003,"*Subscription*",Xero_Raw!$A$4:$A$5003,"&gt;="&amp;DATE(2026,7,1),Xero_Raw!$A$4:$A$5003,"&lt;"&amp;EDATE(DATE(2026,7,1),1))+COUNTIFS(Customer_Invoices_Upload!$E$4:$E$5003,$A86,Customer_Invoices_Upload!$G$4:$G$5003,"*Subscription*",Customer_Invoices_Upload!$B$4:$B$5003,"&gt;="&amp;DATE(2026,7,1),Customer_Invoices_Upload!$B$4:$B$5003,"&lt;"&amp;EDATE(DATE(2026,7,1),1))+COUNTIFS(Stripe_Invoices_Upload!$D$4:$D$5003,$A86,Stripe_Invoices_Upload!$E$4:$E$5003,"*Subscription*",Stripe_Invoices_Upload!$A$4:$A$5003,"&gt;="&amp;DATE(2026,7,1),Stripe_Invoices_Upload!$A$4:$A$5003,"&lt;"&amp;EDATE(DATE(2026,7,1),1)))&gt;0,"✓ Invoiced","⚠ Due"),""),""))</f>
        <v/>
      </c>
      <c r="K86" s="130" t="str">
        <f aca="false">IF($A86="","",IF((DATE(YEAR($E86),MONTH($E86),1)&lt;=DATE(2026,8,1)),IF((MOD(DATEDIF(DATE(YEAR($E86),MONTH($E86),1),DATE(2026,8,1),"m"),IF($D86="Quarterly",3,IF($D86="Annual",12,1)))=0),IF((COUNTIFS(Xero_Raw!$D$4:$D$5003,$A86,Xero_Raw!$G$4:$G$5003,"*Subscription*",Xero_Raw!$A$4:$A$5003,"&gt;="&amp;DATE(2026,8,1),Xero_Raw!$A$4:$A$5003,"&lt;"&amp;EDATE(DATE(2026,8,1),1))+COUNTIFS(Customer_Invoices_Upload!$E$4:$E$5003,$A86,Customer_Invoices_Upload!$G$4:$G$5003,"*Subscription*",Customer_Invoices_Upload!$B$4:$B$5003,"&gt;="&amp;DATE(2026,8,1),Customer_Invoices_Upload!$B$4:$B$5003,"&lt;"&amp;EDATE(DATE(2026,8,1),1))+COUNTIFS(Stripe_Invoices_Upload!$D$4:$D$5003,$A86,Stripe_Invoices_Upload!$E$4:$E$5003,"*Subscription*",Stripe_Invoices_Upload!$A$4:$A$5003,"&gt;="&amp;DATE(2026,8,1),Stripe_Invoices_Upload!$A$4:$A$5003,"&lt;"&amp;EDATE(DATE(2026,8,1),1)))&gt;0,"✓ Invoiced","⚠ Due"),""),""))</f>
        <v/>
      </c>
      <c r="L86" s="130" t="str">
        <f aca="false">IF($A86="","",IF((DATE(YEAR($E86),MONTH($E86),1)&lt;=DATE(2026,9,1)),IF((MOD(DATEDIF(DATE(YEAR($E86),MONTH($E86),1),DATE(2026,9,1),"m"),IF($D86="Quarterly",3,IF($D86="Annual",12,1)))=0),IF((COUNTIFS(Xero_Raw!$D$4:$D$5003,$A86,Xero_Raw!$G$4:$G$5003,"*Subscription*",Xero_Raw!$A$4:$A$5003,"&gt;="&amp;DATE(2026,9,1),Xero_Raw!$A$4:$A$5003,"&lt;"&amp;EDATE(DATE(2026,9,1),1))+COUNTIFS(Customer_Invoices_Upload!$E$4:$E$5003,$A86,Customer_Invoices_Upload!$G$4:$G$5003,"*Subscription*",Customer_Invoices_Upload!$B$4:$B$5003,"&gt;="&amp;DATE(2026,9,1),Customer_Invoices_Upload!$B$4:$B$5003,"&lt;"&amp;EDATE(DATE(2026,9,1),1))+COUNTIFS(Stripe_Invoices_Upload!$D$4:$D$5003,$A86,Stripe_Invoices_Upload!$E$4:$E$5003,"*Subscription*",Stripe_Invoices_Upload!$A$4:$A$5003,"&gt;="&amp;DATE(2026,9,1),Stripe_Invoices_Upload!$A$4:$A$5003,"&lt;"&amp;EDATE(DATE(2026,9,1),1)))&gt;0,"✓ Invoiced","⚠ Due"),""),""))</f>
        <v/>
      </c>
      <c r="M86" s="130" t="str">
        <f aca="false">IF($A86="","",IF((DATE(YEAR($E86),MONTH($E86),1)&lt;=DATE(2026,10,1)),IF((MOD(DATEDIF(DATE(YEAR($E86),MONTH($E86),1),DATE(2026,10,1),"m"),IF($D86="Quarterly",3,IF($D86="Annual",12,1)))=0),IF((COUNTIFS(Xero_Raw!$D$4:$D$5003,$A86,Xero_Raw!$G$4:$G$5003,"*Subscription*",Xero_Raw!$A$4:$A$5003,"&gt;="&amp;DATE(2026,10,1),Xero_Raw!$A$4:$A$5003,"&lt;"&amp;EDATE(DATE(2026,10,1),1))+COUNTIFS(Customer_Invoices_Upload!$E$4:$E$5003,$A86,Customer_Invoices_Upload!$G$4:$G$5003,"*Subscription*",Customer_Invoices_Upload!$B$4:$B$5003,"&gt;="&amp;DATE(2026,10,1),Customer_Invoices_Upload!$B$4:$B$5003,"&lt;"&amp;EDATE(DATE(2026,10,1),1))+COUNTIFS(Stripe_Invoices_Upload!$D$4:$D$5003,$A86,Stripe_Invoices_Upload!$E$4:$E$5003,"*Subscription*",Stripe_Invoices_Upload!$A$4:$A$5003,"&gt;="&amp;DATE(2026,10,1),Stripe_Invoices_Upload!$A$4:$A$5003,"&lt;"&amp;EDATE(DATE(2026,10,1),1)))&gt;0,"✓ Invoiced","⚠ Due"),""),""))</f>
        <v/>
      </c>
      <c r="N86" s="130" t="str">
        <f aca="false">IF($A86="","",IF((DATE(YEAR($E86),MONTH($E86),1)&lt;=DATE(2026,11,1)),IF((MOD(DATEDIF(DATE(YEAR($E86),MONTH($E86),1),DATE(2026,11,1),"m"),IF($D86="Quarterly",3,IF($D86="Annual",12,1)))=0),IF((COUNTIFS(Xero_Raw!$D$4:$D$5003,$A86,Xero_Raw!$G$4:$G$5003,"*Subscription*",Xero_Raw!$A$4:$A$5003,"&gt;="&amp;DATE(2026,11,1),Xero_Raw!$A$4:$A$5003,"&lt;"&amp;EDATE(DATE(2026,11,1),1))+COUNTIFS(Customer_Invoices_Upload!$E$4:$E$5003,$A86,Customer_Invoices_Upload!$G$4:$G$5003,"*Subscription*",Customer_Invoices_Upload!$B$4:$B$5003,"&gt;="&amp;DATE(2026,11,1),Customer_Invoices_Upload!$B$4:$B$5003,"&lt;"&amp;EDATE(DATE(2026,11,1),1))+COUNTIFS(Stripe_Invoices_Upload!$D$4:$D$5003,$A86,Stripe_Invoices_Upload!$E$4:$E$5003,"*Subscription*",Stripe_Invoices_Upload!$A$4:$A$5003,"&gt;="&amp;DATE(2026,11,1),Stripe_Invoices_Upload!$A$4:$A$5003,"&lt;"&amp;EDATE(DATE(2026,11,1),1)))&gt;0,"✓ Invoiced","⚠ Due"),""),""))</f>
        <v/>
      </c>
      <c r="O86" s="130" t="str">
        <f aca="false">IF($A86="","",IF((DATE(YEAR($E86),MONTH($E86),1)&lt;=DATE(2026,12,1)),IF((MOD(DATEDIF(DATE(YEAR($E86),MONTH($E86),1),DATE(2026,12,1),"m"),IF($D86="Quarterly",3,IF($D86="Annual",12,1)))=0),IF((COUNTIFS(Xero_Raw!$D$4:$D$5003,$A86,Xero_Raw!$G$4:$G$5003,"*Subscription*",Xero_Raw!$A$4:$A$5003,"&gt;="&amp;DATE(2026,12,1),Xero_Raw!$A$4:$A$5003,"&lt;"&amp;EDATE(DATE(2026,12,1),1))+COUNTIFS(Customer_Invoices_Upload!$E$4:$E$5003,$A86,Customer_Invoices_Upload!$G$4:$G$5003,"*Subscription*",Customer_Invoices_Upload!$B$4:$B$5003,"&gt;="&amp;DATE(2026,12,1),Customer_Invoices_Upload!$B$4:$B$5003,"&lt;"&amp;EDATE(DATE(2026,12,1),1))+COUNTIFS(Stripe_Invoices_Upload!$D$4:$D$5003,$A86,Stripe_Invoices_Upload!$E$4:$E$5003,"*Subscription*",Stripe_Invoices_Upload!$A$4:$A$5003,"&gt;="&amp;DATE(2026,12,1),Stripe_Invoices_Upload!$A$4:$A$5003,"&lt;"&amp;EDATE(DATE(2026,12,1),1)))&gt;0,"✓ Invoiced","⚠ Due"),""),""))</f>
        <v/>
      </c>
      <c r="P86" s="130" t="str">
        <f aca="false">IF($A86="","",IF((DATE(YEAR($E86),MONTH($E86),1)&lt;=DATE(2027,1,1)),IF((MOD(DATEDIF(DATE(YEAR($E86),MONTH($E86),1),DATE(2027,1,1),"m"),IF($D86="Quarterly",3,IF($D86="Annual",12,1)))=0),IF((COUNTIFS(Xero_Raw!$D$4:$D$5003,$A86,Xero_Raw!$G$4:$G$5003,"*Subscription*",Xero_Raw!$A$4:$A$5003,"&gt;="&amp;DATE(2027,1,1),Xero_Raw!$A$4:$A$5003,"&lt;"&amp;EDATE(DATE(2027,1,1),1))+COUNTIFS(Customer_Invoices_Upload!$E$4:$E$5003,$A86,Customer_Invoices_Upload!$G$4:$G$5003,"*Subscription*",Customer_Invoices_Upload!$B$4:$B$5003,"&gt;="&amp;DATE(2027,1,1),Customer_Invoices_Upload!$B$4:$B$5003,"&lt;"&amp;EDATE(DATE(2027,1,1),1))+COUNTIFS(Stripe_Invoices_Upload!$D$4:$D$5003,$A86,Stripe_Invoices_Upload!$E$4:$E$5003,"*Subscription*",Stripe_Invoices_Upload!$A$4:$A$5003,"&gt;="&amp;DATE(2027,1,1),Stripe_Invoices_Upload!$A$4:$A$5003,"&lt;"&amp;EDATE(DATE(2027,1,1),1)))&gt;0,"✓ Invoiced","⚠ Due"),""),""))</f>
        <v/>
      </c>
      <c r="Q86" s="130" t="str">
        <f aca="false">IF($A86="","",IF((DATE(YEAR($E86),MONTH($E86),1)&lt;=DATE(2027,2,1)),IF((MOD(DATEDIF(DATE(YEAR($E86),MONTH($E86),1),DATE(2027,2,1),"m"),IF($D86="Quarterly",3,IF($D86="Annual",12,1)))=0),IF((COUNTIFS(Xero_Raw!$D$4:$D$5003,$A86,Xero_Raw!$G$4:$G$5003,"*Subscription*",Xero_Raw!$A$4:$A$5003,"&gt;="&amp;DATE(2027,2,1),Xero_Raw!$A$4:$A$5003,"&lt;"&amp;EDATE(DATE(2027,2,1),1))+COUNTIFS(Customer_Invoices_Upload!$E$4:$E$5003,$A86,Customer_Invoices_Upload!$G$4:$G$5003,"*Subscription*",Customer_Invoices_Upload!$B$4:$B$5003,"&gt;="&amp;DATE(2027,2,1),Customer_Invoices_Upload!$B$4:$B$5003,"&lt;"&amp;EDATE(DATE(2027,2,1),1))+COUNTIFS(Stripe_Invoices_Upload!$D$4:$D$5003,$A86,Stripe_Invoices_Upload!$E$4:$E$5003,"*Subscription*",Stripe_Invoices_Upload!$A$4:$A$5003,"&gt;="&amp;DATE(2027,2,1),Stripe_Invoices_Upload!$A$4:$A$5003,"&lt;"&amp;EDATE(DATE(2027,2,1),1)))&gt;0,"✓ Invoiced","⚠ Due"),""),""))</f>
        <v/>
      </c>
      <c r="R86" s="130" t="str">
        <f aca="false">IF($A86="","",IF((DATE(YEAR($E86),MONTH($E86),1)&lt;=DATE(2027,3,1)),IF((MOD(DATEDIF(DATE(YEAR($E86),MONTH($E86),1),DATE(2027,3,1),"m"),IF($D86="Quarterly",3,IF($D86="Annual",12,1)))=0),IF((COUNTIFS(Xero_Raw!$D$4:$D$5003,$A86,Xero_Raw!$G$4:$G$5003,"*Subscription*",Xero_Raw!$A$4:$A$5003,"&gt;="&amp;DATE(2027,3,1),Xero_Raw!$A$4:$A$5003,"&lt;"&amp;EDATE(DATE(2027,3,1),1))+COUNTIFS(Customer_Invoices_Upload!$E$4:$E$5003,$A86,Customer_Invoices_Upload!$G$4:$G$5003,"*Subscription*",Customer_Invoices_Upload!$B$4:$B$5003,"&gt;="&amp;DATE(2027,3,1),Customer_Invoices_Upload!$B$4:$B$5003,"&lt;"&amp;EDATE(DATE(2027,3,1),1))+COUNTIFS(Stripe_Invoices_Upload!$D$4:$D$5003,$A86,Stripe_Invoices_Upload!$E$4:$E$5003,"*Subscription*",Stripe_Invoices_Upload!$A$4:$A$5003,"&gt;="&amp;DATE(2027,3,1),Stripe_Invoices_Upload!$A$4:$A$5003,"&lt;"&amp;EDATE(DATE(2027,3,1),1)))&gt;0,"✓ Invoiced","⚠ Due"),""),""))</f>
        <v/>
      </c>
    </row>
    <row r="87" customFormat="false" ht="15" hidden="false" customHeight="false" outlineLevel="0" collapsed="false">
      <c r="A87" s="39"/>
      <c r="B87" s="39"/>
      <c r="C87" s="40"/>
      <c r="D87" s="39"/>
      <c r="E87" s="38"/>
      <c r="F87" s="129" t="str">
        <f aca="true">IF($A87="","",EDATE($E87,DATEDIF($E87,TODAY(),"m")+1))</f>
        <v/>
      </c>
      <c r="G87" s="130" t="str">
        <f aca="false">IF($A87="","",IF((DATE(YEAR($E87),MONTH($E87),1)&lt;=DATE(2026,4,1)),IF((MOD(DATEDIF(DATE(YEAR($E87),MONTH($E87),1),DATE(2026,4,1),"m"),IF($D87="Quarterly",3,IF($D87="Annual",12,1)))=0),IF((COUNTIFS(Xero_Raw!$D$4:$D$5003,$A87,Xero_Raw!$G$4:$G$5003,"*Subscription*",Xero_Raw!$A$4:$A$5003,"&gt;="&amp;DATE(2026,4,1),Xero_Raw!$A$4:$A$5003,"&lt;"&amp;EDATE(DATE(2026,4,1),1))+COUNTIFS(Customer_Invoices_Upload!$E$4:$E$5003,$A87,Customer_Invoices_Upload!$G$4:$G$5003,"*Subscription*",Customer_Invoices_Upload!$B$4:$B$5003,"&gt;="&amp;DATE(2026,4,1),Customer_Invoices_Upload!$B$4:$B$5003,"&lt;"&amp;EDATE(DATE(2026,4,1),1))+COUNTIFS(Stripe_Invoices_Upload!$D$4:$D$5003,$A87,Stripe_Invoices_Upload!$E$4:$E$5003,"*Subscription*",Stripe_Invoices_Upload!$A$4:$A$5003,"&gt;="&amp;DATE(2026,4,1),Stripe_Invoices_Upload!$A$4:$A$5003,"&lt;"&amp;EDATE(DATE(2026,4,1),1)))&gt;0,"✓ Invoiced","⚠ Due"),""),""))</f>
        <v/>
      </c>
      <c r="H87" s="130" t="str">
        <f aca="false">IF($A87="","",IF((DATE(YEAR($E87),MONTH($E87),1)&lt;=DATE(2026,5,1)),IF((MOD(DATEDIF(DATE(YEAR($E87),MONTH($E87),1),DATE(2026,5,1),"m"),IF($D87="Quarterly",3,IF($D87="Annual",12,1)))=0),IF((COUNTIFS(Xero_Raw!$D$4:$D$5003,$A87,Xero_Raw!$G$4:$G$5003,"*Subscription*",Xero_Raw!$A$4:$A$5003,"&gt;="&amp;DATE(2026,5,1),Xero_Raw!$A$4:$A$5003,"&lt;"&amp;EDATE(DATE(2026,5,1),1))+COUNTIFS(Customer_Invoices_Upload!$E$4:$E$5003,$A87,Customer_Invoices_Upload!$G$4:$G$5003,"*Subscription*",Customer_Invoices_Upload!$B$4:$B$5003,"&gt;="&amp;DATE(2026,5,1),Customer_Invoices_Upload!$B$4:$B$5003,"&lt;"&amp;EDATE(DATE(2026,5,1),1))+COUNTIFS(Stripe_Invoices_Upload!$D$4:$D$5003,$A87,Stripe_Invoices_Upload!$E$4:$E$5003,"*Subscription*",Stripe_Invoices_Upload!$A$4:$A$5003,"&gt;="&amp;DATE(2026,5,1),Stripe_Invoices_Upload!$A$4:$A$5003,"&lt;"&amp;EDATE(DATE(2026,5,1),1)))&gt;0,"✓ Invoiced","⚠ Due"),""),""))</f>
        <v/>
      </c>
      <c r="I87" s="130" t="str">
        <f aca="false">IF($A87="","",IF((DATE(YEAR($E87),MONTH($E87),1)&lt;=DATE(2026,6,1)),IF((MOD(DATEDIF(DATE(YEAR($E87),MONTH($E87),1),DATE(2026,6,1),"m"),IF($D87="Quarterly",3,IF($D87="Annual",12,1)))=0),IF((COUNTIFS(Xero_Raw!$D$4:$D$5003,$A87,Xero_Raw!$G$4:$G$5003,"*Subscription*",Xero_Raw!$A$4:$A$5003,"&gt;="&amp;DATE(2026,6,1),Xero_Raw!$A$4:$A$5003,"&lt;"&amp;EDATE(DATE(2026,6,1),1))+COUNTIFS(Customer_Invoices_Upload!$E$4:$E$5003,$A87,Customer_Invoices_Upload!$G$4:$G$5003,"*Subscription*",Customer_Invoices_Upload!$B$4:$B$5003,"&gt;="&amp;DATE(2026,6,1),Customer_Invoices_Upload!$B$4:$B$5003,"&lt;"&amp;EDATE(DATE(2026,6,1),1))+COUNTIFS(Stripe_Invoices_Upload!$D$4:$D$5003,$A87,Stripe_Invoices_Upload!$E$4:$E$5003,"*Subscription*",Stripe_Invoices_Upload!$A$4:$A$5003,"&gt;="&amp;DATE(2026,6,1),Stripe_Invoices_Upload!$A$4:$A$5003,"&lt;"&amp;EDATE(DATE(2026,6,1),1)))&gt;0,"✓ Invoiced","⚠ Due"),""),""))</f>
        <v/>
      </c>
      <c r="J87" s="130" t="str">
        <f aca="false">IF($A87="","",IF((DATE(YEAR($E87),MONTH($E87),1)&lt;=DATE(2026,7,1)),IF((MOD(DATEDIF(DATE(YEAR($E87),MONTH($E87),1),DATE(2026,7,1),"m"),IF($D87="Quarterly",3,IF($D87="Annual",12,1)))=0),IF((COUNTIFS(Xero_Raw!$D$4:$D$5003,$A87,Xero_Raw!$G$4:$G$5003,"*Subscription*",Xero_Raw!$A$4:$A$5003,"&gt;="&amp;DATE(2026,7,1),Xero_Raw!$A$4:$A$5003,"&lt;"&amp;EDATE(DATE(2026,7,1),1))+COUNTIFS(Customer_Invoices_Upload!$E$4:$E$5003,$A87,Customer_Invoices_Upload!$G$4:$G$5003,"*Subscription*",Customer_Invoices_Upload!$B$4:$B$5003,"&gt;="&amp;DATE(2026,7,1),Customer_Invoices_Upload!$B$4:$B$5003,"&lt;"&amp;EDATE(DATE(2026,7,1),1))+COUNTIFS(Stripe_Invoices_Upload!$D$4:$D$5003,$A87,Stripe_Invoices_Upload!$E$4:$E$5003,"*Subscription*",Stripe_Invoices_Upload!$A$4:$A$5003,"&gt;="&amp;DATE(2026,7,1),Stripe_Invoices_Upload!$A$4:$A$5003,"&lt;"&amp;EDATE(DATE(2026,7,1),1)))&gt;0,"✓ Invoiced","⚠ Due"),""),""))</f>
        <v/>
      </c>
      <c r="K87" s="130" t="str">
        <f aca="false">IF($A87="","",IF((DATE(YEAR($E87),MONTH($E87),1)&lt;=DATE(2026,8,1)),IF((MOD(DATEDIF(DATE(YEAR($E87),MONTH($E87),1),DATE(2026,8,1),"m"),IF($D87="Quarterly",3,IF($D87="Annual",12,1)))=0),IF((COUNTIFS(Xero_Raw!$D$4:$D$5003,$A87,Xero_Raw!$G$4:$G$5003,"*Subscription*",Xero_Raw!$A$4:$A$5003,"&gt;="&amp;DATE(2026,8,1),Xero_Raw!$A$4:$A$5003,"&lt;"&amp;EDATE(DATE(2026,8,1),1))+COUNTIFS(Customer_Invoices_Upload!$E$4:$E$5003,$A87,Customer_Invoices_Upload!$G$4:$G$5003,"*Subscription*",Customer_Invoices_Upload!$B$4:$B$5003,"&gt;="&amp;DATE(2026,8,1),Customer_Invoices_Upload!$B$4:$B$5003,"&lt;"&amp;EDATE(DATE(2026,8,1),1))+COUNTIFS(Stripe_Invoices_Upload!$D$4:$D$5003,$A87,Stripe_Invoices_Upload!$E$4:$E$5003,"*Subscription*",Stripe_Invoices_Upload!$A$4:$A$5003,"&gt;="&amp;DATE(2026,8,1),Stripe_Invoices_Upload!$A$4:$A$5003,"&lt;"&amp;EDATE(DATE(2026,8,1),1)))&gt;0,"✓ Invoiced","⚠ Due"),""),""))</f>
        <v/>
      </c>
      <c r="L87" s="130" t="str">
        <f aca="false">IF($A87="","",IF((DATE(YEAR($E87),MONTH($E87),1)&lt;=DATE(2026,9,1)),IF((MOD(DATEDIF(DATE(YEAR($E87),MONTH($E87),1),DATE(2026,9,1),"m"),IF($D87="Quarterly",3,IF($D87="Annual",12,1)))=0),IF((COUNTIFS(Xero_Raw!$D$4:$D$5003,$A87,Xero_Raw!$G$4:$G$5003,"*Subscription*",Xero_Raw!$A$4:$A$5003,"&gt;="&amp;DATE(2026,9,1),Xero_Raw!$A$4:$A$5003,"&lt;"&amp;EDATE(DATE(2026,9,1),1))+COUNTIFS(Customer_Invoices_Upload!$E$4:$E$5003,$A87,Customer_Invoices_Upload!$G$4:$G$5003,"*Subscription*",Customer_Invoices_Upload!$B$4:$B$5003,"&gt;="&amp;DATE(2026,9,1),Customer_Invoices_Upload!$B$4:$B$5003,"&lt;"&amp;EDATE(DATE(2026,9,1),1))+COUNTIFS(Stripe_Invoices_Upload!$D$4:$D$5003,$A87,Stripe_Invoices_Upload!$E$4:$E$5003,"*Subscription*",Stripe_Invoices_Upload!$A$4:$A$5003,"&gt;="&amp;DATE(2026,9,1),Stripe_Invoices_Upload!$A$4:$A$5003,"&lt;"&amp;EDATE(DATE(2026,9,1),1)))&gt;0,"✓ Invoiced","⚠ Due"),""),""))</f>
        <v/>
      </c>
      <c r="M87" s="130" t="str">
        <f aca="false">IF($A87="","",IF((DATE(YEAR($E87),MONTH($E87),1)&lt;=DATE(2026,10,1)),IF((MOD(DATEDIF(DATE(YEAR($E87),MONTH($E87),1),DATE(2026,10,1),"m"),IF($D87="Quarterly",3,IF($D87="Annual",12,1)))=0),IF((COUNTIFS(Xero_Raw!$D$4:$D$5003,$A87,Xero_Raw!$G$4:$G$5003,"*Subscription*",Xero_Raw!$A$4:$A$5003,"&gt;="&amp;DATE(2026,10,1),Xero_Raw!$A$4:$A$5003,"&lt;"&amp;EDATE(DATE(2026,10,1),1))+COUNTIFS(Customer_Invoices_Upload!$E$4:$E$5003,$A87,Customer_Invoices_Upload!$G$4:$G$5003,"*Subscription*",Customer_Invoices_Upload!$B$4:$B$5003,"&gt;="&amp;DATE(2026,10,1),Customer_Invoices_Upload!$B$4:$B$5003,"&lt;"&amp;EDATE(DATE(2026,10,1),1))+COUNTIFS(Stripe_Invoices_Upload!$D$4:$D$5003,$A87,Stripe_Invoices_Upload!$E$4:$E$5003,"*Subscription*",Stripe_Invoices_Upload!$A$4:$A$5003,"&gt;="&amp;DATE(2026,10,1),Stripe_Invoices_Upload!$A$4:$A$5003,"&lt;"&amp;EDATE(DATE(2026,10,1),1)))&gt;0,"✓ Invoiced","⚠ Due"),""),""))</f>
        <v/>
      </c>
      <c r="N87" s="130" t="str">
        <f aca="false">IF($A87="","",IF((DATE(YEAR($E87),MONTH($E87),1)&lt;=DATE(2026,11,1)),IF((MOD(DATEDIF(DATE(YEAR($E87),MONTH($E87),1),DATE(2026,11,1),"m"),IF($D87="Quarterly",3,IF($D87="Annual",12,1)))=0),IF((COUNTIFS(Xero_Raw!$D$4:$D$5003,$A87,Xero_Raw!$G$4:$G$5003,"*Subscription*",Xero_Raw!$A$4:$A$5003,"&gt;="&amp;DATE(2026,11,1),Xero_Raw!$A$4:$A$5003,"&lt;"&amp;EDATE(DATE(2026,11,1),1))+COUNTIFS(Customer_Invoices_Upload!$E$4:$E$5003,$A87,Customer_Invoices_Upload!$G$4:$G$5003,"*Subscription*",Customer_Invoices_Upload!$B$4:$B$5003,"&gt;="&amp;DATE(2026,11,1),Customer_Invoices_Upload!$B$4:$B$5003,"&lt;"&amp;EDATE(DATE(2026,11,1),1))+COUNTIFS(Stripe_Invoices_Upload!$D$4:$D$5003,$A87,Stripe_Invoices_Upload!$E$4:$E$5003,"*Subscription*",Stripe_Invoices_Upload!$A$4:$A$5003,"&gt;="&amp;DATE(2026,11,1),Stripe_Invoices_Upload!$A$4:$A$5003,"&lt;"&amp;EDATE(DATE(2026,11,1),1)))&gt;0,"✓ Invoiced","⚠ Due"),""),""))</f>
        <v/>
      </c>
      <c r="O87" s="130" t="str">
        <f aca="false">IF($A87="","",IF((DATE(YEAR($E87),MONTH($E87),1)&lt;=DATE(2026,12,1)),IF((MOD(DATEDIF(DATE(YEAR($E87),MONTH($E87),1),DATE(2026,12,1),"m"),IF($D87="Quarterly",3,IF($D87="Annual",12,1)))=0),IF((COUNTIFS(Xero_Raw!$D$4:$D$5003,$A87,Xero_Raw!$G$4:$G$5003,"*Subscription*",Xero_Raw!$A$4:$A$5003,"&gt;="&amp;DATE(2026,12,1),Xero_Raw!$A$4:$A$5003,"&lt;"&amp;EDATE(DATE(2026,12,1),1))+COUNTIFS(Customer_Invoices_Upload!$E$4:$E$5003,$A87,Customer_Invoices_Upload!$G$4:$G$5003,"*Subscription*",Customer_Invoices_Upload!$B$4:$B$5003,"&gt;="&amp;DATE(2026,12,1),Customer_Invoices_Upload!$B$4:$B$5003,"&lt;"&amp;EDATE(DATE(2026,12,1),1))+COUNTIFS(Stripe_Invoices_Upload!$D$4:$D$5003,$A87,Stripe_Invoices_Upload!$E$4:$E$5003,"*Subscription*",Stripe_Invoices_Upload!$A$4:$A$5003,"&gt;="&amp;DATE(2026,12,1),Stripe_Invoices_Upload!$A$4:$A$5003,"&lt;"&amp;EDATE(DATE(2026,12,1),1)))&gt;0,"✓ Invoiced","⚠ Due"),""),""))</f>
        <v/>
      </c>
      <c r="P87" s="130" t="str">
        <f aca="false">IF($A87="","",IF((DATE(YEAR($E87),MONTH($E87),1)&lt;=DATE(2027,1,1)),IF((MOD(DATEDIF(DATE(YEAR($E87),MONTH($E87),1),DATE(2027,1,1),"m"),IF($D87="Quarterly",3,IF($D87="Annual",12,1)))=0),IF((COUNTIFS(Xero_Raw!$D$4:$D$5003,$A87,Xero_Raw!$G$4:$G$5003,"*Subscription*",Xero_Raw!$A$4:$A$5003,"&gt;="&amp;DATE(2027,1,1),Xero_Raw!$A$4:$A$5003,"&lt;"&amp;EDATE(DATE(2027,1,1),1))+COUNTIFS(Customer_Invoices_Upload!$E$4:$E$5003,$A87,Customer_Invoices_Upload!$G$4:$G$5003,"*Subscription*",Customer_Invoices_Upload!$B$4:$B$5003,"&gt;="&amp;DATE(2027,1,1),Customer_Invoices_Upload!$B$4:$B$5003,"&lt;"&amp;EDATE(DATE(2027,1,1),1))+COUNTIFS(Stripe_Invoices_Upload!$D$4:$D$5003,$A87,Stripe_Invoices_Upload!$E$4:$E$5003,"*Subscription*",Stripe_Invoices_Upload!$A$4:$A$5003,"&gt;="&amp;DATE(2027,1,1),Stripe_Invoices_Upload!$A$4:$A$5003,"&lt;"&amp;EDATE(DATE(2027,1,1),1)))&gt;0,"✓ Invoiced","⚠ Due"),""),""))</f>
        <v/>
      </c>
      <c r="Q87" s="130" t="str">
        <f aca="false">IF($A87="","",IF((DATE(YEAR($E87),MONTH($E87),1)&lt;=DATE(2027,2,1)),IF((MOD(DATEDIF(DATE(YEAR($E87),MONTH($E87),1),DATE(2027,2,1),"m"),IF($D87="Quarterly",3,IF($D87="Annual",12,1)))=0),IF((COUNTIFS(Xero_Raw!$D$4:$D$5003,$A87,Xero_Raw!$G$4:$G$5003,"*Subscription*",Xero_Raw!$A$4:$A$5003,"&gt;="&amp;DATE(2027,2,1),Xero_Raw!$A$4:$A$5003,"&lt;"&amp;EDATE(DATE(2027,2,1),1))+COUNTIFS(Customer_Invoices_Upload!$E$4:$E$5003,$A87,Customer_Invoices_Upload!$G$4:$G$5003,"*Subscription*",Customer_Invoices_Upload!$B$4:$B$5003,"&gt;="&amp;DATE(2027,2,1),Customer_Invoices_Upload!$B$4:$B$5003,"&lt;"&amp;EDATE(DATE(2027,2,1),1))+COUNTIFS(Stripe_Invoices_Upload!$D$4:$D$5003,$A87,Stripe_Invoices_Upload!$E$4:$E$5003,"*Subscription*",Stripe_Invoices_Upload!$A$4:$A$5003,"&gt;="&amp;DATE(2027,2,1),Stripe_Invoices_Upload!$A$4:$A$5003,"&lt;"&amp;EDATE(DATE(2027,2,1),1)))&gt;0,"✓ Invoiced","⚠ Due"),""),""))</f>
        <v/>
      </c>
      <c r="R87" s="130" t="str">
        <f aca="false">IF($A87="","",IF((DATE(YEAR($E87),MONTH($E87),1)&lt;=DATE(2027,3,1)),IF((MOD(DATEDIF(DATE(YEAR($E87),MONTH($E87),1),DATE(2027,3,1),"m"),IF($D87="Quarterly",3,IF($D87="Annual",12,1)))=0),IF((COUNTIFS(Xero_Raw!$D$4:$D$5003,$A87,Xero_Raw!$G$4:$G$5003,"*Subscription*",Xero_Raw!$A$4:$A$5003,"&gt;="&amp;DATE(2027,3,1),Xero_Raw!$A$4:$A$5003,"&lt;"&amp;EDATE(DATE(2027,3,1),1))+COUNTIFS(Customer_Invoices_Upload!$E$4:$E$5003,$A87,Customer_Invoices_Upload!$G$4:$G$5003,"*Subscription*",Customer_Invoices_Upload!$B$4:$B$5003,"&gt;="&amp;DATE(2027,3,1),Customer_Invoices_Upload!$B$4:$B$5003,"&lt;"&amp;EDATE(DATE(2027,3,1),1))+COUNTIFS(Stripe_Invoices_Upload!$D$4:$D$5003,$A87,Stripe_Invoices_Upload!$E$4:$E$5003,"*Subscription*",Stripe_Invoices_Upload!$A$4:$A$5003,"&gt;="&amp;DATE(2027,3,1),Stripe_Invoices_Upload!$A$4:$A$5003,"&lt;"&amp;EDATE(DATE(2027,3,1),1)))&gt;0,"✓ Invoiced","⚠ Due"),""),""))</f>
        <v/>
      </c>
    </row>
    <row r="88" customFormat="false" ht="15" hidden="false" customHeight="false" outlineLevel="0" collapsed="false">
      <c r="A88" s="39"/>
      <c r="B88" s="39"/>
      <c r="C88" s="40"/>
      <c r="D88" s="39"/>
      <c r="E88" s="38"/>
      <c r="F88" s="129" t="str">
        <f aca="true">IF($A88="","",EDATE($E88,DATEDIF($E88,TODAY(),"m")+1))</f>
        <v/>
      </c>
      <c r="G88" s="130" t="str">
        <f aca="false">IF($A88="","",IF((DATE(YEAR($E88),MONTH($E88),1)&lt;=DATE(2026,4,1)),IF((MOD(DATEDIF(DATE(YEAR($E88),MONTH($E88),1),DATE(2026,4,1),"m"),IF($D88="Quarterly",3,IF($D88="Annual",12,1)))=0),IF((COUNTIFS(Xero_Raw!$D$4:$D$5003,$A88,Xero_Raw!$G$4:$G$5003,"*Subscription*",Xero_Raw!$A$4:$A$5003,"&gt;="&amp;DATE(2026,4,1),Xero_Raw!$A$4:$A$5003,"&lt;"&amp;EDATE(DATE(2026,4,1),1))+COUNTIFS(Customer_Invoices_Upload!$E$4:$E$5003,$A88,Customer_Invoices_Upload!$G$4:$G$5003,"*Subscription*",Customer_Invoices_Upload!$B$4:$B$5003,"&gt;="&amp;DATE(2026,4,1),Customer_Invoices_Upload!$B$4:$B$5003,"&lt;"&amp;EDATE(DATE(2026,4,1),1))+COUNTIFS(Stripe_Invoices_Upload!$D$4:$D$5003,$A88,Stripe_Invoices_Upload!$E$4:$E$5003,"*Subscription*",Stripe_Invoices_Upload!$A$4:$A$5003,"&gt;="&amp;DATE(2026,4,1),Stripe_Invoices_Upload!$A$4:$A$5003,"&lt;"&amp;EDATE(DATE(2026,4,1),1)))&gt;0,"✓ Invoiced","⚠ Due"),""),""))</f>
        <v/>
      </c>
      <c r="H88" s="130" t="str">
        <f aca="false">IF($A88="","",IF((DATE(YEAR($E88),MONTH($E88),1)&lt;=DATE(2026,5,1)),IF((MOD(DATEDIF(DATE(YEAR($E88),MONTH($E88),1),DATE(2026,5,1),"m"),IF($D88="Quarterly",3,IF($D88="Annual",12,1)))=0),IF((COUNTIFS(Xero_Raw!$D$4:$D$5003,$A88,Xero_Raw!$G$4:$G$5003,"*Subscription*",Xero_Raw!$A$4:$A$5003,"&gt;="&amp;DATE(2026,5,1),Xero_Raw!$A$4:$A$5003,"&lt;"&amp;EDATE(DATE(2026,5,1),1))+COUNTIFS(Customer_Invoices_Upload!$E$4:$E$5003,$A88,Customer_Invoices_Upload!$G$4:$G$5003,"*Subscription*",Customer_Invoices_Upload!$B$4:$B$5003,"&gt;="&amp;DATE(2026,5,1),Customer_Invoices_Upload!$B$4:$B$5003,"&lt;"&amp;EDATE(DATE(2026,5,1),1))+COUNTIFS(Stripe_Invoices_Upload!$D$4:$D$5003,$A88,Stripe_Invoices_Upload!$E$4:$E$5003,"*Subscription*",Stripe_Invoices_Upload!$A$4:$A$5003,"&gt;="&amp;DATE(2026,5,1),Stripe_Invoices_Upload!$A$4:$A$5003,"&lt;"&amp;EDATE(DATE(2026,5,1),1)))&gt;0,"✓ Invoiced","⚠ Due"),""),""))</f>
        <v/>
      </c>
      <c r="I88" s="130" t="str">
        <f aca="false">IF($A88="","",IF((DATE(YEAR($E88),MONTH($E88),1)&lt;=DATE(2026,6,1)),IF((MOD(DATEDIF(DATE(YEAR($E88),MONTH($E88),1),DATE(2026,6,1),"m"),IF($D88="Quarterly",3,IF($D88="Annual",12,1)))=0),IF((COUNTIFS(Xero_Raw!$D$4:$D$5003,$A88,Xero_Raw!$G$4:$G$5003,"*Subscription*",Xero_Raw!$A$4:$A$5003,"&gt;="&amp;DATE(2026,6,1),Xero_Raw!$A$4:$A$5003,"&lt;"&amp;EDATE(DATE(2026,6,1),1))+COUNTIFS(Customer_Invoices_Upload!$E$4:$E$5003,$A88,Customer_Invoices_Upload!$G$4:$G$5003,"*Subscription*",Customer_Invoices_Upload!$B$4:$B$5003,"&gt;="&amp;DATE(2026,6,1),Customer_Invoices_Upload!$B$4:$B$5003,"&lt;"&amp;EDATE(DATE(2026,6,1),1))+COUNTIFS(Stripe_Invoices_Upload!$D$4:$D$5003,$A88,Stripe_Invoices_Upload!$E$4:$E$5003,"*Subscription*",Stripe_Invoices_Upload!$A$4:$A$5003,"&gt;="&amp;DATE(2026,6,1),Stripe_Invoices_Upload!$A$4:$A$5003,"&lt;"&amp;EDATE(DATE(2026,6,1),1)))&gt;0,"✓ Invoiced","⚠ Due"),""),""))</f>
        <v/>
      </c>
      <c r="J88" s="130" t="str">
        <f aca="false">IF($A88="","",IF((DATE(YEAR($E88),MONTH($E88),1)&lt;=DATE(2026,7,1)),IF((MOD(DATEDIF(DATE(YEAR($E88),MONTH($E88),1),DATE(2026,7,1),"m"),IF($D88="Quarterly",3,IF($D88="Annual",12,1)))=0),IF((COUNTIFS(Xero_Raw!$D$4:$D$5003,$A88,Xero_Raw!$G$4:$G$5003,"*Subscription*",Xero_Raw!$A$4:$A$5003,"&gt;="&amp;DATE(2026,7,1),Xero_Raw!$A$4:$A$5003,"&lt;"&amp;EDATE(DATE(2026,7,1),1))+COUNTIFS(Customer_Invoices_Upload!$E$4:$E$5003,$A88,Customer_Invoices_Upload!$G$4:$G$5003,"*Subscription*",Customer_Invoices_Upload!$B$4:$B$5003,"&gt;="&amp;DATE(2026,7,1),Customer_Invoices_Upload!$B$4:$B$5003,"&lt;"&amp;EDATE(DATE(2026,7,1),1))+COUNTIFS(Stripe_Invoices_Upload!$D$4:$D$5003,$A88,Stripe_Invoices_Upload!$E$4:$E$5003,"*Subscription*",Stripe_Invoices_Upload!$A$4:$A$5003,"&gt;="&amp;DATE(2026,7,1),Stripe_Invoices_Upload!$A$4:$A$5003,"&lt;"&amp;EDATE(DATE(2026,7,1),1)))&gt;0,"✓ Invoiced","⚠ Due"),""),""))</f>
        <v/>
      </c>
      <c r="K88" s="130" t="str">
        <f aca="false">IF($A88="","",IF((DATE(YEAR($E88),MONTH($E88),1)&lt;=DATE(2026,8,1)),IF((MOD(DATEDIF(DATE(YEAR($E88),MONTH($E88),1),DATE(2026,8,1),"m"),IF($D88="Quarterly",3,IF($D88="Annual",12,1)))=0),IF((COUNTIFS(Xero_Raw!$D$4:$D$5003,$A88,Xero_Raw!$G$4:$G$5003,"*Subscription*",Xero_Raw!$A$4:$A$5003,"&gt;="&amp;DATE(2026,8,1),Xero_Raw!$A$4:$A$5003,"&lt;"&amp;EDATE(DATE(2026,8,1),1))+COUNTIFS(Customer_Invoices_Upload!$E$4:$E$5003,$A88,Customer_Invoices_Upload!$G$4:$G$5003,"*Subscription*",Customer_Invoices_Upload!$B$4:$B$5003,"&gt;="&amp;DATE(2026,8,1),Customer_Invoices_Upload!$B$4:$B$5003,"&lt;"&amp;EDATE(DATE(2026,8,1),1))+COUNTIFS(Stripe_Invoices_Upload!$D$4:$D$5003,$A88,Stripe_Invoices_Upload!$E$4:$E$5003,"*Subscription*",Stripe_Invoices_Upload!$A$4:$A$5003,"&gt;="&amp;DATE(2026,8,1),Stripe_Invoices_Upload!$A$4:$A$5003,"&lt;"&amp;EDATE(DATE(2026,8,1),1)))&gt;0,"✓ Invoiced","⚠ Due"),""),""))</f>
        <v/>
      </c>
      <c r="L88" s="130" t="str">
        <f aca="false">IF($A88="","",IF((DATE(YEAR($E88),MONTH($E88),1)&lt;=DATE(2026,9,1)),IF((MOD(DATEDIF(DATE(YEAR($E88),MONTH($E88),1),DATE(2026,9,1),"m"),IF($D88="Quarterly",3,IF($D88="Annual",12,1)))=0),IF((COUNTIFS(Xero_Raw!$D$4:$D$5003,$A88,Xero_Raw!$G$4:$G$5003,"*Subscription*",Xero_Raw!$A$4:$A$5003,"&gt;="&amp;DATE(2026,9,1),Xero_Raw!$A$4:$A$5003,"&lt;"&amp;EDATE(DATE(2026,9,1),1))+COUNTIFS(Customer_Invoices_Upload!$E$4:$E$5003,$A88,Customer_Invoices_Upload!$G$4:$G$5003,"*Subscription*",Customer_Invoices_Upload!$B$4:$B$5003,"&gt;="&amp;DATE(2026,9,1),Customer_Invoices_Upload!$B$4:$B$5003,"&lt;"&amp;EDATE(DATE(2026,9,1),1))+COUNTIFS(Stripe_Invoices_Upload!$D$4:$D$5003,$A88,Stripe_Invoices_Upload!$E$4:$E$5003,"*Subscription*",Stripe_Invoices_Upload!$A$4:$A$5003,"&gt;="&amp;DATE(2026,9,1),Stripe_Invoices_Upload!$A$4:$A$5003,"&lt;"&amp;EDATE(DATE(2026,9,1),1)))&gt;0,"✓ Invoiced","⚠ Due"),""),""))</f>
        <v/>
      </c>
      <c r="M88" s="130" t="str">
        <f aca="false">IF($A88="","",IF((DATE(YEAR($E88),MONTH($E88),1)&lt;=DATE(2026,10,1)),IF((MOD(DATEDIF(DATE(YEAR($E88),MONTH($E88),1),DATE(2026,10,1),"m"),IF($D88="Quarterly",3,IF($D88="Annual",12,1)))=0),IF((COUNTIFS(Xero_Raw!$D$4:$D$5003,$A88,Xero_Raw!$G$4:$G$5003,"*Subscription*",Xero_Raw!$A$4:$A$5003,"&gt;="&amp;DATE(2026,10,1),Xero_Raw!$A$4:$A$5003,"&lt;"&amp;EDATE(DATE(2026,10,1),1))+COUNTIFS(Customer_Invoices_Upload!$E$4:$E$5003,$A88,Customer_Invoices_Upload!$G$4:$G$5003,"*Subscription*",Customer_Invoices_Upload!$B$4:$B$5003,"&gt;="&amp;DATE(2026,10,1),Customer_Invoices_Upload!$B$4:$B$5003,"&lt;"&amp;EDATE(DATE(2026,10,1),1))+COUNTIFS(Stripe_Invoices_Upload!$D$4:$D$5003,$A88,Stripe_Invoices_Upload!$E$4:$E$5003,"*Subscription*",Stripe_Invoices_Upload!$A$4:$A$5003,"&gt;="&amp;DATE(2026,10,1),Stripe_Invoices_Upload!$A$4:$A$5003,"&lt;"&amp;EDATE(DATE(2026,10,1),1)))&gt;0,"✓ Invoiced","⚠ Due"),""),""))</f>
        <v/>
      </c>
      <c r="N88" s="130" t="str">
        <f aca="false">IF($A88="","",IF((DATE(YEAR($E88),MONTH($E88),1)&lt;=DATE(2026,11,1)),IF((MOD(DATEDIF(DATE(YEAR($E88),MONTH($E88),1),DATE(2026,11,1),"m"),IF($D88="Quarterly",3,IF($D88="Annual",12,1)))=0),IF((COUNTIFS(Xero_Raw!$D$4:$D$5003,$A88,Xero_Raw!$G$4:$G$5003,"*Subscription*",Xero_Raw!$A$4:$A$5003,"&gt;="&amp;DATE(2026,11,1),Xero_Raw!$A$4:$A$5003,"&lt;"&amp;EDATE(DATE(2026,11,1),1))+COUNTIFS(Customer_Invoices_Upload!$E$4:$E$5003,$A88,Customer_Invoices_Upload!$G$4:$G$5003,"*Subscription*",Customer_Invoices_Upload!$B$4:$B$5003,"&gt;="&amp;DATE(2026,11,1),Customer_Invoices_Upload!$B$4:$B$5003,"&lt;"&amp;EDATE(DATE(2026,11,1),1))+COUNTIFS(Stripe_Invoices_Upload!$D$4:$D$5003,$A88,Stripe_Invoices_Upload!$E$4:$E$5003,"*Subscription*",Stripe_Invoices_Upload!$A$4:$A$5003,"&gt;="&amp;DATE(2026,11,1),Stripe_Invoices_Upload!$A$4:$A$5003,"&lt;"&amp;EDATE(DATE(2026,11,1),1)))&gt;0,"✓ Invoiced","⚠ Due"),""),""))</f>
        <v/>
      </c>
      <c r="O88" s="130" t="str">
        <f aca="false">IF($A88="","",IF((DATE(YEAR($E88),MONTH($E88),1)&lt;=DATE(2026,12,1)),IF((MOD(DATEDIF(DATE(YEAR($E88),MONTH($E88),1),DATE(2026,12,1),"m"),IF($D88="Quarterly",3,IF($D88="Annual",12,1)))=0),IF((COUNTIFS(Xero_Raw!$D$4:$D$5003,$A88,Xero_Raw!$G$4:$G$5003,"*Subscription*",Xero_Raw!$A$4:$A$5003,"&gt;="&amp;DATE(2026,12,1),Xero_Raw!$A$4:$A$5003,"&lt;"&amp;EDATE(DATE(2026,12,1),1))+COUNTIFS(Customer_Invoices_Upload!$E$4:$E$5003,$A88,Customer_Invoices_Upload!$G$4:$G$5003,"*Subscription*",Customer_Invoices_Upload!$B$4:$B$5003,"&gt;="&amp;DATE(2026,12,1),Customer_Invoices_Upload!$B$4:$B$5003,"&lt;"&amp;EDATE(DATE(2026,12,1),1))+COUNTIFS(Stripe_Invoices_Upload!$D$4:$D$5003,$A88,Stripe_Invoices_Upload!$E$4:$E$5003,"*Subscription*",Stripe_Invoices_Upload!$A$4:$A$5003,"&gt;="&amp;DATE(2026,12,1),Stripe_Invoices_Upload!$A$4:$A$5003,"&lt;"&amp;EDATE(DATE(2026,12,1),1)))&gt;0,"✓ Invoiced","⚠ Due"),""),""))</f>
        <v/>
      </c>
      <c r="P88" s="130" t="str">
        <f aca="false">IF($A88="","",IF((DATE(YEAR($E88),MONTH($E88),1)&lt;=DATE(2027,1,1)),IF((MOD(DATEDIF(DATE(YEAR($E88),MONTH($E88),1),DATE(2027,1,1),"m"),IF($D88="Quarterly",3,IF($D88="Annual",12,1)))=0),IF((COUNTIFS(Xero_Raw!$D$4:$D$5003,$A88,Xero_Raw!$G$4:$G$5003,"*Subscription*",Xero_Raw!$A$4:$A$5003,"&gt;="&amp;DATE(2027,1,1),Xero_Raw!$A$4:$A$5003,"&lt;"&amp;EDATE(DATE(2027,1,1),1))+COUNTIFS(Customer_Invoices_Upload!$E$4:$E$5003,$A88,Customer_Invoices_Upload!$G$4:$G$5003,"*Subscription*",Customer_Invoices_Upload!$B$4:$B$5003,"&gt;="&amp;DATE(2027,1,1),Customer_Invoices_Upload!$B$4:$B$5003,"&lt;"&amp;EDATE(DATE(2027,1,1),1))+COUNTIFS(Stripe_Invoices_Upload!$D$4:$D$5003,$A88,Stripe_Invoices_Upload!$E$4:$E$5003,"*Subscription*",Stripe_Invoices_Upload!$A$4:$A$5003,"&gt;="&amp;DATE(2027,1,1),Stripe_Invoices_Upload!$A$4:$A$5003,"&lt;"&amp;EDATE(DATE(2027,1,1),1)))&gt;0,"✓ Invoiced","⚠ Due"),""),""))</f>
        <v/>
      </c>
      <c r="Q88" s="130" t="str">
        <f aca="false">IF($A88="","",IF((DATE(YEAR($E88),MONTH($E88),1)&lt;=DATE(2027,2,1)),IF((MOD(DATEDIF(DATE(YEAR($E88),MONTH($E88),1),DATE(2027,2,1),"m"),IF($D88="Quarterly",3,IF($D88="Annual",12,1)))=0),IF((COUNTIFS(Xero_Raw!$D$4:$D$5003,$A88,Xero_Raw!$G$4:$G$5003,"*Subscription*",Xero_Raw!$A$4:$A$5003,"&gt;="&amp;DATE(2027,2,1),Xero_Raw!$A$4:$A$5003,"&lt;"&amp;EDATE(DATE(2027,2,1),1))+COUNTIFS(Customer_Invoices_Upload!$E$4:$E$5003,$A88,Customer_Invoices_Upload!$G$4:$G$5003,"*Subscription*",Customer_Invoices_Upload!$B$4:$B$5003,"&gt;="&amp;DATE(2027,2,1),Customer_Invoices_Upload!$B$4:$B$5003,"&lt;"&amp;EDATE(DATE(2027,2,1),1))+COUNTIFS(Stripe_Invoices_Upload!$D$4:$D$5003,$A88,Stripe_Invoices_Upload!$E$4:$E$5003,"*Subscription*",Stripe_Invoices_Upload!$A$4:$A$5003,"&gt;="&amp;DATE(2027,2,1),Stripe_Invoices_Upload!$A$4:$A$5003,"&lt;"&amp;EDATE(DATE(2027,2,1),1)))&gt;0,"✓ Invoiced","⚠ Due"),""),""))</f>
        <v/>
      </c>
      <c r="R88" s="130" t="str">
        <f aca="false">IF($A88="","",IF((DATE(YEAR($E88),MONTH($E88),1)&lt;=DATE(2027,3,1)),IF((MOD(DATEDIF(DATE(YEAR($E88),MONTH($E88),1),DATE(2027,3,1),"m"),IF($D88="Quarterly",3,IF($D88="Annual",12,1)))=0),IF((COUNTIFS(Xero_Raw!$D$4:$D$5003,$A88,Xero_Raw!$G$4:$G$5003,"*Subscription*",Xero_Raw!$A$4:$A$5003,"&gt;="&amp;DATE(2027,3,1),Xero_Raw!$A$4:$A$5003,"&lt;"&amp;EDATE(DATE(2027,3,1),1))+COUNTIFS(Customer_Invoices_Upload!$E$4:$E$5003,$A88,Customer_Invoices_Upload!$G$4:$G$5003,"*Subscription*",Customer_Invoices_Upload!$B$4:$B$5003,"&gt;="&amp;DATE(2027,3,1),Customer_Invoices_Upload!$B$4:$B$5003,"&lt;"&amp;EDATE(DATE(2027,3,1),1))+COUNTIFS(Stripe_Invoices_Upload!$D$4:$D$5003,$A88,Stripe_Invoices_Upload!$E$4:$E$5003,"*Subscription*",Stripe_Invoices_Upload!$A$4:$A$5003,"&gt;="&amp;DATE(2027,3,1),Stripe_Invoices_Upload!$A$4:$A$5003,"&lt;"&amp;EDATE(DATE(2027,3,1),1)))&gt;0,"✓ Invoiced","⚠ Due"),""),""))</f>
        <v/>
      </c>
    </row>
    <row r="89" customFormat="false" ht="15" hidden="false" customHeight="false" outlineLevel="0" collapsed="false">
      <c r="A89" s="39"/>
      <c r="B89" s="39"/>
      <c r="C89" s="40"/>
      <c r="D89" s="39"/>
      <c r="E89" s="38"/>
      <c r="F89" s="129" t="str">
        <f aca="true">IF($A89="","",EDATE($E89,DATEDIF($E89,TODAY(),"m")+1))</f>
        <v/>
      </c>
      <c r="G89" s="130" t="str">
        <f aca="false">IF($A89="","",IF((DATE(YEAR($E89),MONTH($E89),1)&lt;=DATE(2026,4,1)),IF((MOD(DATEDIF(DATE(YEAR($E89),MONTH($E89),1),DATE(2026,4,1),"m"),IF($D89="Quarterly",3,IF($D89="Annual",12,1)))=0),IF((COUNTIFS(Xero_Raw!$D$4:$D$5003,$A89,Xero_Raw!$G$4:$G$5003,"*Subscription*",Xero_Raw!$A$4:$A$5003,"&gt;="&amp;DATE(2026,4,1),Xero_Raw!$A$4:$A$5003,"&lt;"&amp;EDATE(DATE(2026,4,1),1))+COUNTIFS(Customer_Invoices_Upload!$E$4:$E$5003,$A89,Customer_Invoices_Upload!$G$4:$G$5003,"*Subscription*",Customer_Invoices_Upload!$B$4:$B$5003,"&gt;="&amp;DATE(2026,4,1),Customer_Invoices_Upload!$B$4:$B$5003,"&lt;"&amp;EDATE(DATE(2026,4,1),1))+COUNTIFS(Stripe_Invoices_Upload!$D$4:$D$5003,$A89,Stripe_Invoices_Upload!$E$4:$E$5003,"*Subscription*",Stripe_Invoices_Upload!$A$4:$A$5003,"&gt;="&amp;DATE(2026,4,1),Stripe_Invoices_Upload!$A$4:$A$5003,"&lt;"&amp;EDATE(DATE(2026,4,1),1)))&gt;0,"✓ Invoiced","⚠ Due"),""),""))</f>
        <v/>
      </c>
      <c r="H89" s="130" t="str">
        <f aca="false">IF($A89="","",IF((DATE(YEAR($E89),MONTH($E89),1)&lt;=DATE(2026,5,1)),IF((MOD(DATEDIF(DATE(YEAR($E89),MONTH($E89),1),DATE(2026,5,1),"m"),IF($D89="Quarterly",3,IF($D89="Annual",12,1)))=0),IF((COUNTIFS(Xero_Raw!$D$4:$D$5003,$A89,Xero_Raw!$G$4:$G$5003,"*Subscription*",Xero_Raw!$A$4:$A$5003,"&gt;="&amp;DATE(2026,5,1),Xero_Raw!$A$4:$A$5003,"&lt;"&amp;EDATE(DATE(2026,5,1),1))+COUNTIFS(Customer_Invoices_Upload!$E$4:$E$5003,$A89,Customer_Invoices_Upload!$G$4:$G$5003,"*Subscription*",Customer_Invoices_Upload!$B$4:$B$5003,"&gt;="&amp;DATE(2026,5,1),Customer_Invoices_Upload!$B$4:$B$5003,"&lt;"&amp;EDATE(DATE(2026,5,1),1))+COUNTIFS(Stripe_Invoices_Upload!$D$4:$D$5003,$A89,Stripe_Invoices_Upload!$E$4:$E$5003,"*Subscription*",Stripe_Invoices_Upload!$A$4:$A$5003,"&gt;="&amp;DATE(2026,5,1),Stripe_Invoices_Upload!$A$4:$A$5003,"&lt;"&amp;EDATE(DATE(2026,5,1),1)))&gt;0,"✓ Invoiced","⚠ Due"),""),""))</f>
        <v/>
      </c>
      <c r="I89" s="130" t="str">
        <f aca="false">IF($A89="","",IF((DATE(YEAR($E89),MONTH($E89),1)&lt;=DATE(2026,6,1)),IF((MOD(DATEDIF(DATE(YEAR($E89),MONTH($E89),1),DATE(2026,6,1),"m"),IF($D89="Quarterly",3,IF($D89="Annual",12,1)))=0),IF((COUNTIFS(Xero_Raw!$D$4:$D$5003,$A89,Xero_Raw!$G$4:$G$5003,"*Subscription*",Xero_Raw!$A$4:$A$5003,"&gt;="&amp;DATE(2026,6,1),Xero_Raw!$A$4:$A$5003,"&lt;"&amp;EDATE(DATE(2026,6,1),1))+COUNTIFS(Customer_Invoices_Upload!$E$4:$E$5003,$A89,Customer_Invoices_Upload!$G$4:$G$5003,"*Subscription*",Customer_Invoices_Upload!$B$4:$B$5003,"&gt;="&amp;DATE(2026,6,1),Customer_Invoices_Upload!$B$4:$B$5003,"&lt;"&amp;EDATE(DATE(2026,6,1),1))+COUNTIFS(Stripe_Invoices_Upload!$D$4:$D$5003,$A89,Stripe_Invoices_Upload!$E$4:$E$5003,"*Subscription*",Stripe_Invoices_Upload!$A$4:$A$5003,"&gt;="&amp;DATE(2026,6,1),Stripe_Invoices_Upload!$A$4:$A$5003,"&lt;"&amp;EDATE(DATE(2026,6,1),1)))&gt;0,"✓ Invoiced","⚠ Due"),""),""))</f>
        <v/>
      </c>
      <c r="J89" s="130" t="str">
        <f aca="false">IF($A89="","",IF((DATE(YEAR($E89),MONTH($E89),1)&lt;=DATE(2026,7,1)),IF((MOD(DATEDIF(DATE(YEAR($E89),MONTH($E89),1),DATE(2026,7,1),"m"),IF($D89="Quarterly",3,IF($D89="Annual",12,1)))=0),IF((COUNTIFS(Xero_Raw!$D$4:$D$5003,$A89,Xero_Raw!$G$4:$G$5003,"*Subscription*",Xero_Raw!$A$4:$A$5003,"&gt;="&amp;DATE(2026,7,1),Xero_Raw!$A$4:$A$5003,"&lt;"&amp;EDATE(DATE(2026,7,1),1))+COUNTIFS(Customer_Invoices_Upload!$E$4:$E$5003,$A89,Customer_Invoices_Upload!$G$4:$G$5003,"*Subscription*",Customer_Invoices_Upload!$B$4:$B$5003,"&gt;="&amp;DATE(2026,7,1),Customer_Invoices_Upload!$B$4:$B$5003,"&lt;"&amp;EDATE(DATE(2026,7,1),1))+COUNTIFS(Stripe_Invoices_Upload!$D$4:$D$5003,$A89,Stripe_Invoices_Upload!$E$4:$E$5003,"*Subscription*",Stripe_Invoices_Upload!$A$4:$A$5003,"&gt;="&amp;DATE(2026,7,1),Stripe_Invoices_Upload!$A$4:$A$5003,"&lt;"&amp;EDATE(DATE(2026,7,1),1)))&gt;0,"✓ Invoiced","⚠ Due"),""),""))</f>
        <v/>
      </c>
      <c r="K89" s="130" t="str">
        <f aca="false">IF($A89="","",IF((DATE(YEAR($E89),MONTH($E89),1)&lt;=DATE(2026,8,1)),IF((MOD(DATEDIF(DATE(YEAR($E89),MONTH($E89),1),DATE(2026,8,1),"m"),IF($D89="Quarterly",3,IF($D89="Annual",12,1)))=0),IF((COUNTIFS(Xero_Raw!$D$4:$D$5003,$A89,Xero_Raw!$G$4:$G$5003,"*Subscription*",Xero_Raw!$A$4:$A$5003,"&gt;="&amp;DATE(2026,8,1),Xero_Raw!$A$4:$A$5003,"&lt;"&amp;EDATE(DATE(2026,8,1),1))+COUNTIFS(Customer_Invoices_Upload!$E$4:$E$5003,$A89,Customer_Invoices_Upload!$G$4:$G$5003,"*Subscription*",Customer_Invoices_Upload!$B$4:$B$5003,"&gt;="&amp;DATE(2026,8,1),Customer_Invoices_Upload!$B$4:$B$5003,"&lt;"&amp;EDATE(DATE(2026,8,1),1))+COUNTIFS(Stripe_Invoices_Upload!$D$4:$D$5003,$A89,Stripe_Invoices_Upload!$E$4:$E$5003,"*Subscription*",Stripe_Invoices_Upload!$A$4:$A$5003,"&gt;="&amp;DATE(2026,8,1),Stripe_Invoices_Upload!$A$4:$A$5003,"&lt;"&amp;EDATE(DATE(2026,8,1),1)))&gt;0,"✓ Invoiced","⚠ Due"),""),""))</f>
        <v/>
      </c>
      <c r="L89" s="130" t="str">
        <f aca="false">IF($A89="","",IF((DATE(YEAR($E89),MONTH($E89),1)&lt;=DATE(2026,9,1)),IF((MOD(DATEDIF(DATE(YEAR($E89),MONTH($E89),1),DATE(2026,9,1),"m"),IF($D89="Quarterly",3,IF($D89="Annual",12,1)))=0),IF((COUNTIFS(Xero_Raw!$D$4:$D$5003,$A89,Xero_Raw!$G$4:$G$5003,"*Subscription*",Xero_Raw!$A$4:$A$5003,"&gt;="&amp;DATE(2026,9,1),Xero_Raw!$A$4:$A$5003,"&lt;"&amp;EDATE(DATE(2026,9,1),1))+COUNTIFS(Customer_Invoices_Upload!$E$4:$E$5003,$A89,Customer_Invoices_Upload!$G$4:$G$5003,"*Subscription*",Customer_Invoices_Upload!$B$4:$B$5003,"&gt;="&amp;DATE(2026,9,1),Customer_Invoices_Upload!$B$4:$B$5003,"&lt;"&amp;EDATE(DATE(2026,9,1),1))+COUNTIFS(Stripe_Invoices_Upload!$D$4:$D$5003,$A89,Stripe_Invoices_Upload!$E$4:$E$5003,"*Subscription*",Stripe_Invoices_Upload!$A$4:$A$5003,"&gt;="&amp;DATE(2026,9,1),Stripe_Invoices_Upload!$A$4:$A$5003,"&lt;"&amp;EDATE(DATE(2026,9,1),1)))&gt;0,"✓ Invoiced","⚠ Due"),""),""))</f>
        <v/>
      </c>
      <c r="M89" s="130" t="str">
        <f aca="false">IF($A89="","",IF((DATE(YEAR($E89),MONTH($E89),1)&lt;=DATE(2026,10,1)),IF((MOD(DATEDIF(DATE(YEAR($E89),MONTH($E89),1),DATE(2026,10,1),"m"),IF($D89="Quarterly",3,IF($D89="Annual",12,1)))=0),IF((COUNTIFS(Xero_Raw!$D$4:$D$5003,$A89,Xero_Raw!$G$4:$G$5003,"*Subscription*",Xero_Raw!$A$4:$A$5003,"&gt;="&amp;DATE(2026,10,1),Xero_Raw!$A$4:$A$5003,"&lt;"&amp;EDATE(DATE(2026,10,1),1))+COUNTIFS(Customer_Invoices_Upload!$E$4:$E$5003,$A89,Customer_Invoices_Upload!$G$4:$G$5003,"*Subscription*",Customer_Invoices_Upload!$B$4:$B$5003,"&gt;="&amp;DATE(2026,10,1),Customer_Invoices_Upload!$B$4:$B$5003,"&lt;"&amp;EDATE(DATE(2026,10,1),1))+COUNTIFS(Stripe_Invoices_Upload!$D$4:$D$5003,$A89,Stripe_Invoices_Upload!$E$4:$E$5003,"*Subscription*",Stripe_Invoices_Upload!$A$4:$A$5003,"&gt;="&amp;DATE(2026,10,1),Stripe_Invoices_Upload!$A$4:$A$5003,"&lt;"&amp;EDATE(DATE(2026,10,1),1)))&gt;0,"✓ Invoiced","⚠ Due"),""),""))</f>
        <v/>
      </c>
      <c r="N89" s="130" t="str">
        <f aca="false">IF($A89="","",IF((DATE(YEAR($E89),MONTH($E89),1)&lt;=DATE(2026,11,1)),IF((MOD(DATEDIF(DATE(YEAR($E89),MONTH($E89),1),DATE(2026,11,1),"m"),IF($D89="Quarterly",3,IF($D89="Annual",12,1)))=0),IF((COUNTIFS(Xero_Raw!$D$4:$D$5003,$A89,Xero_Raw!$G$4:$G$5003,"*Subscription*",Xero_Raw!$A$4:$A$5003,"&gt;="&amp;DATE(2026,11,1),Xero_Raw!$A$4:$A$5003,"&lt;"&amp;EDATE(DATE(2026,11,1),1))+COUNTIFS(Customer_Invoices_Upload!$E$4:$E$5003,$A89,Customer_Invoices_Upload!$G$4:$G$5003,"*Subscription*",Customer_Invoices_Upload!$B$4:$B$5003,"&gt;="&amp;DATE(2026,11,1),Customer_Invoices_Upload!$B$4:$B$5003,"&lt;"&amp;EDATE(DATE(2026,11,1),1))+COUNTIFS(Stripe_Invoices_Upload!$D$4:$D$5003,$A89,Stripe_Invoices_Upload!$E$4:$E$5003,"*Subscription*",Stripe_Invoices_Upload!$A$4:$A$5003,"&gt;="&amp;DATE(2026,11,1),Stripe_Invoices_Upload!$A$4:$A$5003,"&lt;"&amp;EDATE(DATE(2026,11,1),1)))&gt;0,"✓ Invoiced","⚠ Due"),""),""))</f>
        <v/>
      </c>
      <c r="O89" s="130" t="str">
        <f aca="false">IF($A89="","",IF((DATE(YEAR($E89),MONTH($E89),1)&lt;=DATE(2026,12,1)),IF((MOD(DATEDIF(DATE(YEAR($E89),MONTH($E89),1),DATE(2026,12,1),"m"),IF($D89="Quarterly",3,IF($D89="Annual",12,1)))=0),IF((COUNTIFS(Xero_Raw!$D$4:$D$5003,$A89,Xero_Raw!$G$4:$G$5003,"*Subscription*",Xero_Raw!$A$4:$A$5003,"&gt;="&amp;DATE(2026,12,1),Xero_Raw!$A$4:$A$5003,"&lt;"&amp;EDATE(DATE(2026,12,1),1))+COUNTIFS(Customer_Invoices_Upload!$E$4:$E$5003,$A89,Customer_Invoices_Upload!$G$4:$G$5003,"*Subscription*",Customer_Invoices_Upload!$B$4:$B$5003,"&gt;="&amp;DATE(2026,12,1),Customer_Invoices_Upload!$B$4:$B$5003,"&lt;"&amp;EDATE(DATE(2026,12,1),1))+COUNTIFS(Stripe_Invoices_Upload!$D$4:$D$5003,$A89,Stripe_Invoices_Upload!$E$4:$E$5003,"*Subscription*",Stripe_Invoices_Upload!$A$4:$A$5003,"&gt;="&amp;DATE(2026,12,1),Stripe_Invoices_Upload!$A$4:$A$5003,"&lt;"&amp;EDATE(DATE(2026,12,1),1)))&gt;0,"✓ Invoiced","⚠ Due"),""),""))</f>
        <v/>
      </c>
      <c r="P89" s="130" t="str">
        <f aca="false">IF($A89="","",IF((DATE(YEAR($E89),MONTH($E89),1)&lt;=DATE(2027,1,1)),IF((MOD(DATEDIF(DATE(YEAR($E89),MONTH($E89),1),DATE(2027,1,1),"m"),IF($D89="Quarterly",3,IF($D89="Annual",12,1)))=0),IF((COUNTIFS(Xero_Raw!$D$4:$D$5003,$A89,Xero_Raw!$G$4:$G$5003,"*Subscription*",Xero_Raw!$A$4:$A$5003,"&gt;="&amp;DATE(2027,1,1),Xero_Raw!$A$4:$A$5003,"&lt;"&amp;EDATE(DATE(2027,1,1),1))+COUNTIFS(Customer_Invoices_Upload!$E$4:$E$5003,$A89,Customer_Invoices_Upload!$G$4:$G$5003,"*Subscription*",Customer_Invoices_Upload!$B$4:$B$5003,"&gt;="&amp;DATE(2027,1,1),Customer_Invoices_Upload!$B$4:$B$5003,"&lt;"&amp;EDATE(DATE(2027,1,1),1))+COUNTIFS(Stripe_Invoices_Upload!$D$4:$D$5003,$A89,Stripe_Invoices_Upload!$E$4:$E$5003,"*Subscription*",Stripe_Invoices_Upload!$A$4:$A$5003,"&gt;="&amp;DATE(2027,1,1),Stripe_Invoices_Upload!$A$4:$A$5003,"&lt;"&amp;EDATE(DATE(2027,1,1),1)))&gt;0,"✓ Invoiced","⚠ Due"),""),""))</f>
        <v/>
      </c>
      <c r="Q89" s="130" t="str">
        <f aca="false">IF($A89="","",IF((DATE(YEAR($E89),MONTH($E89),1)&lt;=DATE(2027,2,1)),IF((MOD(DATEDIF(DATE(YEAR($E89),MONTH($E89),1),DATE(2027,2,1),"m"),IF($D89="Quarterly",3,IF($D89="Annual",12,1)))=0),IF((COUNTIFS(Xero_Raw!$D$4:$D$5003,$A89,Xero_Raw!$G$4:$G$5003,"*Subscription*",Xero_Raw!$A$4:$A$5003,"&gt;="&amp;DATE(2027,2,1),Xero_Raw!$A$4:$A$5003,"&lt;"&amp;EDATE(DATE(2027,2,1),1))+COUNTIFS(Customer_Invoices_Upload!$E$4:$E$5003,$A89,Customer_Invoices_Upload!$G$4:$G$5003,"*Subscription*",Customer_Invoices_Upload!$B$4:$B$5003,"&gt;="&amp;DATE(2027,2,1),Customer_Invoices_Upload!$B$4:$B$5003,"&lt;"&amp;EDATE(DATE(2027,2,1),1))+COUNTIFS(Stripe_Invoices_Upload!$D$4:$D$5003,$A89,Stripe_Invoices_Upload!$E$4:$E$5003,"*Subscription*",Stripe_Invoices_Upload!$A$4:$A$5003,"&gt;="&amp;DATE(2027,2,1),Stripe_Invoices_Upload!$A$4:$A$5003,"&lt;"&amp;EDATE(DATE(2027,2,1),1)))&gt;0,"✓ Invoiced","⚠ Due"),""),""))</f>
        <v/>
      </c>
      <c r="R89" s="130" t="str">
        <f aca="false">IF($A89="","",IF((DATE(YEAR($E89),MONTH($E89),1)&lt;=DATE(2027,3,1)),IF((MOD(DATEDIF(DATE(YEAR($E89),MONTH($E89),1),DATE(2027,3,1),"m"),IF($D89="Quarterly",3,IF($D89="Annual",12,1)))=0),IF((COUNTIFS(Xero_Raw!$D$4:$D$5003,$A89,Xero_Raw!$G$4:$G$5003,"*Subscription*",Xero_Raw!$A$4:$A$5003,"&gt;="&amp;DATE(2027,3,1),Xero_Raw!$A$4:$A$5003,"&lt;"&amp;EDATE(DATE(2027,3,1),1))+COUNTIFS(Customer_Invoices_Upload!$E$4:$E$5003,$A89,Customer_Invoices_Upload!$G$4:$G$5003,"*Subscription*",Customer_Invoices_Upload!$B$4:$B$5003,"&gt;="&amp;DATE(2027,3,1),Customer_Invoices_Upload!$B$4:$B$5003,"&lt;"&amp;EDATE(DATE(2027,3,1),1))+COUNTIFS(Stripe_Invoices_Upload!$D$4:$D$5003,$A89,Stripe_Invoices_Upload!$E$4:$E$5003,"*Subscription*",Stripe_Invoices_Upload!$A$4:$A$5003,"&gt;="&amp;DATE(2027,3,1),Stripe_Invoices_Upload!$A$4:$A$5003,"&lt;"&amp;EDATE(DATE(2027,3,1),1)))&gt;0,"✓ Invoiced","⚠ Due"),""),""))</f>
        <v/>
      </c>
    </row>
    <row r="90" customFormat="false" ht="15" hidden="false" customHeight="false" outlineLevel="0" collapsed="false">
      <c r="A90" s="39"/>
      <c r="B90" s="39"/>
      <c r="C90" s="40"/>
      <c r="D90" s="39"/>
      <c r="E90" s="38"/>
      <c r="F90" s="129" t="str">
        <f aca="true">IF($A90="","",EDATE($E90,DATEDIF($E90,TODAY(),"m")+1))</f>
        <v/>
      </c>
      <c r="G90" s="130" t="str">
        <f aca="false">IF($A90="","",IF((DATE(YEAR($E90),MONTH($E90),1)&lt;=DATE(2026,4,1)),IF((MOD(DATEDIF(DATE(YEAR($E90),MONTH($E90),1),DATE(2026,4,1),"m"),IF($D90="Quarterly",3,IF($D90="Annual",12,1)))=0),IF((COUNTIFS(Xero_Raw!$D$4:$D$5003,$A90,Xero_Raw!$G$4:$G$5003,"*Subscription*",Xero_Raw!$A$4:$A$5003,"&gt;="&amp;DATE(2026,4,1),Xero_Raw!$A$4:$A$5003,"&lt;"&amp;EDATE(DATE(2026,4,1),1))+COUNTIFS(Customer_Invoices_Upload!$E$4:$E$5003,$A90,Customer_Invoices_Upload!$G$4:$G$5003,"*Subscription*",Customer_Invoices_Upload!$B$4:$B$5003,"&gt;="&amp;DATE(2026,4,1),Customer_Invoices_Upload!$B$4:$B$5003,"&lt;"&amp;EDATE(DATE(2026,4,1),1))+COUNTIFS(Stripe_Invoices_Upload!$D$4:$D$5003,$A90,Stripe_Invoices_Upload!$E$4:$E$5003,"*Subscription*",Stripe_Invoices_Upload!$A$4:$A$5003,"&gt;="&amp;DATE(2026,4,1),Stripe_Invoices_Upload!$A$4:$A$5003,"&lt;"&amp;EDATE(DATE(2026,4,1),1)))&gt;0,"✓ Invoiced","⚠ Due"),""),""))</f>
        <v/>
      </c>
      <c r="H90" s="130" t="str">
        <f aca="false">IF($A90="","",IF((DATE(YEAR($E90),MONTH($E90),1)&lt;=DATE(2026,5,1)),IF((MOD(DATEDIF(DATE(YEAR($E90),MONTH($E90),1),DATE(2026,5,1),"m"),IF($D90="Quarterly",3,IF($D90="Annual",12,1)))=0),IF((COUNTIFS(Xero_Raw!$D$4:$D$5003,$A90,Xero_Raw!$G$4:$G$5003,"*Subscription*",Xero_Raw!$A$4:$A$5003,"&gt;="&amp;DATE(2026,5,1),Xero_Raw!$A$4:$A$5003,"&lt;"&amp;EDATE(DATE(2026,5,1),1))+COUNTIFS(Customer_Invoices_Upload!$E$4:$E$5003,$A90,Customer_Invoices_Upload!$G$4:$G$5003,"*Subscription*",Customer_Invoices_Upload!$B$4:$B$5003,"&gt;="&amp;DATE(2026,5,1),Customer_Invoices_Upload!$B$4:$B$5003,"&lt;"&amp;EDATE(DATE(2026,5,1),1))+COUNTIFS(Stripe_Invoices_Upload!$D$4:$D$5003,$A90,Stripe_Invoices_Upload!$E$4:$E$5003,"*Subscription*",Stripe_Invoices_Upload!$A$4:$A$5003,"&gt;="&amp;DATE(2026,5,1),Stripe_Invoices_Upload!$A$4:$A$5003,"&lt;"&amp;EDATE(DATE(2026,5,1),1)))&gt;0,"✓ Invoiced","⚠ Due"),""),""))</f>
        <v/>
      </c>
      <c r="I90" s="130" t="str">
        <f aca="false">IF($A90="","",IF((DATE(YEAR($E90),MONTH($E90),1)&lt;=DATE(2026,6,1)),IF((MOD(DATEDIF(DATE(YEAR($E90),MONTH($E90),1),DATE(2026,6,1),"m"),IF($D90="Quarterly",3,IF($D90="Annual",12,1)))=0),IF((COUNTIFS(Xero_Raw!$D$4:$D$5003,$A90,Xero_Raw!$G$4:$G$5003,"*Subscription*",Xero_Raw!$A$4:$A$5003,"&gt;="&amp;DATE(2026,6,1),Xero_Raw!$A$4:$A$5003,"&lt;"&amp;EDATE(DATE(2026,6,1),1))+COUNTIFS(Customer_Invoices_Upload!$E$4:$E$5003,$A90,Customer_Invoices_Upload!$G$4:$G$5003,"*Subscription*",Customer_Invoices_Upload!$B$4:$B$5003,"&gt;="&amp;DATE(2026,6,1),Customer_Invoices_Upload!$B$4:$B$5003,"&lt;"&amp;EDATE(DATE(2026,6,1),1))+COUNTIFS(Stripe_Invoices_Upload!$D$4:$D$5003,$A90,Stripe_Invoices_Upload!$E$4:$E$5003,"*Subscription*",Stripe_Invoices_Upload!$A$4:$A$5003,"&gt;="&amp;DATE(2026,6,1),Stripe_Invoices_Upload!$A$4:$A$5003,"&lt;"&amp;EDATE(DATE(2026,6,1),1)))&gt;0,"✓ Invoiced","⚠ Due"),""),""))</f>
        <v/>
      </c>
      <c r="J90" s="130" t="str">
        <f aca="false">IF($A90="","",IF((DATE(YEAR($E90),MONTH($E90),1)&lt;=DATE(2026,7,1)),IF((MOD(DATEDIF(DATE(YEAR($E90),MONTH($E90),1),DATE(2026,7,1),"m"),IF($D90="Quarterly",3,IF($D90="Annual",12,1)))=0),IF((COUNTIFS(Xero_Raw!$D$4:$D$5003,$A90,Xero_Raw!$G$4:$G$5003,"*Subscription*",Xero_Raw!$A$4:$A$5003,"&gt;="&amp;DATE(2026,7,1),Xero_Raw!$A$4:$A$5003,"&lt;"&amp;EDATE(DATE(2026,7,1),1))+COUNTIFS(Customer_Invoices_Upload!$E$4:$E$5003,$A90,Customer_Invoices_Upload!$G$4:$G$5003,"*Subscription*",Customer_Invoices_Upload!$B$4:$B$5003,"&gt;="&amp;DATE(2026,7,1),Customer_Invoices_Upload!$B$4:$B$5003,"&lt;"&amp;EDATE(DATE(2026,7,1),1))+COUNTIFS(Stripe_Invoices_Upload!$D$4:$D$5003,$A90,Stripe_Invoices_Upload!$E$4:$E$5003,"*Subscription*",Stripe_Invoices_Upload!$A$4:$A$5003,"&gt;="&amp;DATE(2026,7,1),Stripe_Invoices_Upload!$A$4:$A$5003,"&lt;"&amp;EDATE(DATE(2026,7,1),1)))&gt;0,"✓ Invoiced","⚠ Due"),""),""))</f>
        <v/>
      </c>
      <c r="K90" s="130" t="str">
        <f aca="false">IF($A90="","",IF((DATE(YEAR($E90),MONTH($E90),1)&lt;=DATE(2026,8,1)),IF((MOD(DATEDIF(DATE(YEAR($E90),MONTH($E90),1),DATE(2026,8,1),"m"),IF($D90="Quarterly",3,IF($D90="Annual",12,1)))=0),IF((COUNTIFS(Xero_Raw!$D$4:$D$5003,$A90,Xero_Raw!$G$4:$G$5003,"*Subscription*",Xero_Raw!$A$4:$A$5003,"&gt;="&amp;DATE(2026,8,1),Xero_Raw!$A$4:$A$5003,"&lt;"&amp;EDATE(DATE(2026,8,1),1))+COUNTIFS(Customer_Invoices_Upload!$E$4:$E$5003,$A90,Customer_Invoices_Upload!$G$4:$G$5003,"*Subscription*",Customer_Invoices_Upload!$B$4:$B$5003,"&gt;="&amp;DATE(2026,8,1),Customer_Invoices_Upload!$B$4:$B$5003,"&lt;"&amp;EDATE(DATE(2026,8,1),1))+COUNTIFS(Stripe_Invoices_Upload!$D$4:$D$5003,$A90,Stripe_Invoices_Upload!$E$4:$E$5003,"*Subscription*",Stripe_Invoices_Upload!$A$4:$A$5003,"&gt;="&amp;DATE(2026,8,1),Stripe_Invoices_Upload!$A$4:$A$5003,"&lt;"&amp;EDATE(DATE(2026,8,1),1)))&gt;0,"✓ Invoiced","⚠ Due"),""),""))</f>
        <v/>
      </c>
      <c r="L90" s="130" t="str">
        <f aca="false">IF($A90="","",IF((DATE(YEAR($E90),MONTH($E90),1)&lt;=DATE(2026,9,1)),IF((MOD(DATEDIF(DATE(YEAR($E90),MONTH($E90),1),DATE(2026,9,1),"m"),IF($D90="Quarterly",3,IF($D90="Annual",12,1)))=0),IF((COUNTIFS(Xero_Raw!$D$4:$D$5003,$A90,Xero_Raw!$G$4:$G$5003,"*Subscription*",Xero_Raw!$A$4:$A$5003,"&gt;="&amp;DATE(2026,9,1),Xero_Raw!$A$4:$A$5003,"&lt;"&amp;EDATE(DATE(2026,9,1),1))+COUNTIFS(Customer_Invoices_Upload!$E$4:$E$5003,$A90,Customer_Invoices_Upload!$G$4:$G$5003,"*Subscription*",Customer_Invoices_Upload!$B$4:$B$5003,"&gt;="&amp;DATE(2026,9,1),Customer_Invoices_Upload!$B$4:$B$5003,"&lt;"&amp;EDATE(DATE(2026,9,1),1))+COUNTIFS(Stripe_Invoices_Upload!$D$4:$D$5003,$A90,Stripe_Invoices_Upload!$E$4:$E$5003,"*Subscription*",Stripe_Invoices_Upload!$A$4:$A$5003,"&gt;="&amp;DATE(2026,9,1),Stripe_Invoices_Upload!$A$4:$A$5003,"&lt;"&amp;EDATE(DATE(2026,9,1),1)))&gt;0,"✓ Invoiced","⚠ Due"),""),""))</f>
        <v/>
      </c>
      <c r="M90" s="130" t="str">
        <f aca="false">IF($A90="","",IF((DATE(YEAR($E90),MONTH($E90),1)&lt;=DATE(2026,10,1)),IF((MOD(DATEDIF(DATE(YEAR($E90),MONTH($E90),1),DATE(2026,10,1),"m"),IF($D90="Quarterly",3,IF($D90="Annual",12,1)))=0),IF((COUNTIFS(Xero_Raw!$D$4:$D$5003,$A90,Xero_Raw!$G$4:$G$5003,"*Subscription*",Xero_Raw!$A$4:$A$5003,"&gt;="&amp;DATE(2026,10,1),Xero_Raw!$A$4:$A$5003,"&lt;"&amp;EDATE(DATE(2026,10,1),1))+COUNTIFS(Customer_Invoices_Upload!$E$4:$E$5003,$A90,Customer_Invoices_Upload!$G$4:$G$5003,"*Subscription*",Customer_Invoices_Upload!$B$4:$B$5003,"&gt;="&amp;DATE(2026,10,1),Customer_Invoices_Upload!$B$4:$B$5003,"&lt;"&amp;EDATE(DATE(2026,10,1),1))+COUNTIFS(Stripe_Invoices_Upload!$D$4:$D$5003,$A90,Stripe_Invoices_Upload!$E$4:$E$5003,"*Subscription*",Stripe_Invoices_Upload!$A$4:$A$5003,"&gt;="&amp;DATE(2026,10,1),Stripe_Invoices_Upload!$A$4:$A$5003,"&lt;"&amp;EDATE(DATE(2026,10,1),1)))&gt;0,"✓ Invoiced","⚠ Due"),""),""))</f>
        <v/>
      </c>
      <c r="N90" s="130" t="str">
        <f aca="false">IF($A90="","",IF((DATE(YEAR($E90),MONTH($E90),1)&lt;=DATE(2026,11,1)),IF((MOD(DATEDIF(DATE(YEAR($E90),MONTH($E90),1),DATE(2026,11,1),"m"),IF($D90="Quarterly",3,IF($D90="Annual",12,1)))=0),IF((COUNTIFS(Xero_Raw!$D$4:$D$5003,$A90,Xero_Raw!$G$4:$G$5003,"*Subscription*",Xero_Raw!$A$4:$A$5003,"&gt;="&amp;DATE(2026,11,1),Xero_Raw!$A$4:$A$5003,"&lt;"&amp;EDATE(DATE(2026,11,1),1))+COUNTIFS(Customer_Invoices_Upload!$E$4:$E$5003,$A90,Customer_Invoices_Upload!$G$4:$G$5003,"*Subscription*",Customer_Invoices_Upload!$B$4:$B$5003,"&gt;="&amp;DATE(2026,11,1),Customer_Invoices_Upload!$B$4:$B$5003,"&lt;"&amp;EDATE(DATE(2026,11,1),1))+COUNTIFS(Stripe_Invoices_Upload!$D$4:$D$5003,$A90,Stripe_Invoices_Upload!$E$4:$E$5003,"*Subscription*",Stripe_Invoices_Upload!$A$4:$A$5003,"&gt;="&amp;DATE(2026,11,1),Stripe_Invoices_Upload!$A$4:$A$5003,"&lt;"&amp;EDATE(DATE(2026,11,1),1)))&gt;0,"✓ Invoiced","⚠ Due"),""),""))</f>
        <v/>
      </c>
      <c r="O90" s="130" t="str">
        <f aca="false">IF($A90="","",IF((DATE(YEAR($E90),MONTH($E90),1)&lt;=DATE(2026,12,1)),IF((MOD(DATEDIF(DATE(YEAR($E90),MONTH($E90),1),DATE(2026,12,1),"m"),IF($D90="Quarterly",3,IF($D90="Annual",12,1)))=0),IF((COUNTIFS(Xero_Raw!$D$4:$D$5003,$A90,Xero_Raw!$G$4:$G$5003,"*Subscription*",Xero_Raw!$A$4:$A$5003,"&gt;="&amp;DATE(2026,12,1),Xero_Raw!$A$4:$A$5003,"&lt;"&amp;EDATE(DATE(2026,12,1),1))+COUNTIFS(Customer_Invoices_Upload!$E$4:$E$5003,$A90,Customer_Invoices_Upload!$G$4:$G$5003,"*Subscription*",Customer_Invoices_Upload!$B$4:$B$5003,"&gt;="&amp;DATE(2026,12,1),Customer_Invoices_Upload!$B$4:$B$5003,"&lt;"&amp;EDATE(DATE(2026,12,1),1))+COUNTIFS(Stripe_Invoices_Upload!$D$4:$D$5003,$A90,Stripe_Invoices_Upload!$E$4:$E$5003,"*Subscription*",Stripe_Invoices_Upload!$A$4:$A$5003,"&gt;="&amp;DATE(2026,12,1),Stripe_Invoices_Upload!$A$4:$A$5003,"&lt;"&amp;EDATE(DATE(2026,12,1),1)))&gt;0,"✓ Invoiced","⚠ Due"),""),""))</f>
        <v/>
      </c>
      <c r="P90" s="130" t="str">
        <f aca="false">IF($A90="","",IF((DATE(YEAR($E90),MONTH($E90),1)&lt;=DATE(2027,1,1)),IF((MOD(DATEDIF(DATE(YEAR($E90),MONTH($E90),1),DATE(2027,1,1),"m"),IF($D90="Quarterly",3,IF($D90="Annual",12,1)))=0),IF((COUNTIFS(Xero_Raw!$D$4:$D$5003,$A90,Xero_Raw!$G$4:$G$5003,"*Subscription*",Xero_Raw!$A$4:$A$5003,"&gt;="&amp;DATE(2027,1,1),Xero_Raw!$A$4:$A$5003,"&lt;"&amp;EDATE(DATE(2027,1,1),1))+COUNTIFS(Customer_Invoices_Upload!$E$4:$E$5003,$A90,Customer_Invoices_Upload!$G$4:$G$5003,"*Subscription*",Customer_Invoices_Upload!$B$4:$B$5003,"&gt;="&amp;DATE(2027,1,1),Customer_Invoices_Upload!$B$4:$B$5003,"&lt;"&amp;EDATE(DATE(2027,1,1),1))+COUNTIFS(Stripe_Invoices_Upload!$D$4:$D$5003,$A90,Stripe_Invoices_Upload!$E$4:$E$5003,"*Subscription*",Stripe_Invoices_Upload!$A$4:$A$5003,"&gt;="&amp;DATE(2027,1,1),Stripe_Invoices_Upload!$A$4:$A$5003,"&lt;"&amp;EDATE(DATE(2027,1,1),1)))&gt;0,"✓ Invoiced","⚠ Due"),""),""))</f>
        <v/>
      </c>
      <c r="Q90" s="130" t="str">
        <f aca="false">IF($A90="","",IF((DATE(YEAR($E90),MONTH($E90),1)&lt;=DATE(2027,2,1)),IF((MOD(DATEDIF(DATE(YEAR($E90),MONTH($E90),1),DATE(2027,2,1),"m"),IF($D90="Quarterly",3,IF($D90="Annual",12,1)))=0),IF((COUNTIFS(Xero_Raw!$D$4:$D$5003,$A90,Xero_Raw!$G$4:$G$5003,"*Subscription*",Xero_Raw!$A$4:$A$5003,"&gt;="&amp;DATE(2027,2,1),Xero_Raw!$A$4:$A$5003,"&lt;"&amp;EDATE(DATE(2027,2,1),1))+COUNTIFS(Customer_Invoices_Upload!$E$4:$E$5003,$A90,Customer_Invoices_Upload!$G$4:$G$5003,"*Subscription*",Customer_Invoices_Upload!$B$4:$B$5003,"&gt;="&amp;DATE(2027,2,1),Customer_Invoices_Upload!$B$4:$B$5003,"&lt;"&amp;EDATE(DATE(2027,2,1),1))+COUNTIFS(Stripe_Invoices_Upload!$D$4:$D$5003,$A90,Stripe_Invoices_Upload!$E$4:$E$5003,"*Subscription*",Stripe_Invoices_Upload!$A$4:$A$5003,"&gt;="&amp;DATE(2027,2,1),Stripe_Invoices_Upload!$A$4:$A$5003,"&lt;"&amp;EDATE(DATE(2027,2,1),1)))&gt;0,"✓ Invoiced","⚠ Due"),""),""))</f>
        <v/>
      </c>
      <c r="R90" s="130" t="str">
        <f aca="false">IF($A90="","",IF((DATE(YEAR($E90),MONTH($E90),1)&lt;=DATE(2027,3,1)),IF((MOD(DATEDIF(DATE(YEAR($E90),MONTH($E90),1),DATE(2027,3,1),"m"),IF($D90="Quarterly",3,IF($D90="Annual",12,1)))=0),IF((COUNTIFS(Xero_Raw!$D$4:$D$5003,$A90,Xero_Raw!$G$4:$G$5003,"*Subscription*",Xero_Raw!$A$4:$A$5003,"&gt;="&amp;DATE(2027,3,1),Xero_Raw!$A$4:$A$5003,"&lt;"&amp;EDATE(DATE(2027,3,1),1))+COUNTIFS(Customer_Invoices_Upload!$E$4:$E$5003,$A90,Customer_Invoices_Upload!$G$4:$G$5003,"*Subscription*",Customer_Invoices_Upload!$B$4:$B$5003,"&gt;="&amp;DATE(2027,3,1),Customer_Invoices_Upload!$B$4:$B$5003,"&lt;"&amp;EDATE(DATE(2027,3,1),1))+COUNTIFS(Stripe_Invoices_Upload!$D$4:$D$5003,$A90,Stripe_Invoices_Upload!$E$4:$E$5003,"*Subscription*",Stripe_Invoices_Upload!$A$4:$A$5003,"&gt;="&amp;DATE(2027,3,1),Stripe_Invoices_Upload!$A$4:$A$5003,"&lt;"&amp;EDATE(DATE(2027,3,1),1)))&gt;0,"✓ Invoiced","⚠ Due"),""),""))</f>
        <v/>
      </c>
    </row>
    <row r="91" customFormat="false" ht="15" hidden="false" customHeight="false" outlineLevel="0" collapsed="false">
      <c r="A91" s="39"/>
      <c r="B91" s="39"/>
      <c r="C91" s="40"/>
      <c r="D91" s="39"/>
      <c r="E91" s="38"/>
      <c r="F91" s="129" t="str">
        <f aca="true">IF($A91="","",EDATE($E91,DATEDIF($E91,TODAY(),"m")+1))</f>
        <v/>
      </c>
      <c r="G91" s="130" t="str">
        <f aca="false">IF($A91="","",IF((DATE(YEAR($E91),MONTH($E91),1)&lt;=DATE(2026,4,1)),IF((MOD(DATEDIF(DATE(YEAR($E91),MONTH($E91),1),DATE(2026,4,1),"m"),IF($D91="Quarterly",3,IF($D91="Annual",12,1)))=0),IF((COUNTIFS(Xero_Raw!$D$4:$D$5003,$A91,Xero_Raw!$G$4:$G$5003,"*Subscription*",Xero_Raw!$A$4:$A$5003,"&gt;="&amp;DATE(2026,4,1),Xero_Raw!$A$4:$A$5003,"&lt;"&amp;EDATE(DATE(2026,4,1),1))+COUNTIFS(Customer_Invoices_Upload!$E$4:$E$5003,$A91,Customer_Invoices_Upload!$G$4:$G$5003,"*Subscription*",Customer_Invoices_Upload!$B$4:$B$5003,"&gt;="&amp;DATE(2026,4,1),Customer_Invoices_Upload!$B$4:$B$5003,"&lt;"&amp;EDATE(DATE(2026,4,1),1))+COUNTIFS(Stripe_Invoices_Upload!$D$4:$D$5003,$A91,Stripe_Invoices_Upload!$E$4:$E$5003,"*Subscription*",Stripe_Invoices_Upload!$A$4:$A$5003,"&gt;="&amp;DATE(2026,4,1),Stripe_Invoices_Upload!$A$4:$A$5003,"&lt;"&amp;EDATE(DATE(2026,4,1),1)))&gt;0,"✓ Invoiced","⚠ Due"),""),""))</f>
        <v/>
      </c>
      <c r="H91" s="130" t="str">
        <f aca="false">IF($A91="","",IF((DATE(YEAR($E91),MONTH($E91),1)&lt;=DATE(2026,5,1)),IF((MOD(DATEDIF(DATE(YEAR($E91),MONTH($E91),1),DATE(2026,5,1),"m"),IF($D91="Quarterly",3,IF($D91="Annual",12,1)))=0),IF((COUNTIFS(Xero_Raw!$D$4:$D$5003,$A91,Xero_Raw!$G$4:$G$5003,"*Subscription*",Xero_Raw!$A$4:$A$5003,"&gt;="&amp;DATE(2026,5,1),Xero_Raw!$A$4:$A$5003,"&lt;"&amp;EDATE(DATE(2026,5,1),1))+COUNTIFS(Customer_Invoices_Upload!$E$4:$E$5003,$A91,Customer_Invoices_Upload!$G$4:$G$5003,"*Subscription*",Customer_Invoices_Upload!$B$4:$B$5003,"&gt;="&amp;DATE(2026,5,1),Customer_Invoices_Upload!$B$4:$B$5003,"&lt;"&amp;EDATE(DATE(2026,5,1),1))+COUNTIFS(Stripe_Invoices_Upload!$D$4:$D$5003,$A91,Stripe_Invoices_Upload!$E$4:$E$5003,"*Subscription*",Stripe_Invoices_Upload!$A$4:$A$5003,"&gt;="&amp;DATE(2026,5,1),Stripe_Invoices_Upload!$A$4:$A$5003,"&lt;"&amp;EDATE(DATE(2026,5,1),1)))&gt;0,"✓ Invoiced","⚠ Due"),""),""))</f>
        <v/>
      </c>
      <c r="I91" s="130" t="str">
        <f aca="false">IF($A91="","",IF((DATE(YEAR($E91),MONTH($E91),1)&lt;=DATE(2026,6,1)),IF((MOD(DATEDIF(DATE(YEAR($E91),MONTH($E91),1),DATE(2026,6,1),"m"),IF($D91="Quarterly",3,IF($D91="Annual",12,1)))=0),IF((COUNTIFS(Xero_Raw!$D$4:$D$5003,$A91,Xero_Raw!$G$4:$G$5003,"*Subscription*",Xero_Raw!$A$4:$A$5003,"&gt;="&amp;DATE(2026,6,1),Xero_Raw!$A$4:$A$5003,"&lt;"&amp;EDATE(DATE(2026,6,1),1))+COUNTIFS(Customer_Invoices_Upload!$E$4:$E$5003,$A91,Customer_Invoices_Upload!$G$4:$G$5003,"*Subscription*",Customer_Invoices_Upload!$B$4:$B$5003,"&gt;="&amp;DATE(2026,6,1),Customer_Invoices_Upload!$B$4:$B$5003,"&lt;"&amp;EDATE(DATE(2026,6,1),1))+COUNTIFS(Stripe_Invoices_Upload!$D$4:$D$5003,$A91,Stripe_Invoices_Upload!$E$4:$E$5003,"*Subscription*",Stripe_Invoices_Upload!$A$4:$A$5003,"&gt;="&amp;DATE(2026,6,1),Stripe_Invoices_Upload!$A$4:$A$5003,"&lt;"&amp;EDATE(DATE(2026,6,1),1)))&gt;0,"✓ Invoiced","⚠ Due"),""),""))</f>
        <v/>
      </c>
      <c r="J91" s="130" t="str">
        <f aca="false">IF($A91="","",IF((DATE(YEAR($E91),MONTH($E91),1)&lt;=DATE(2026,7,1)),IF((MOD(DATEDIF(DATE(YEAR($E91),MONTH($E91),1),DATE(2026,7,1),"m"),IF($D91="Quarterly",3,IF($D91="Annual",12,1)))=0),IF((COUNTIFS(Xero_Raw!$D$4:$D$5003,$A91,Xero_Raw!$G$4:$G$5003,"*Subscription*",Xero_Raw!$A$4:$A$5003,"&gt;="&amp;DATE(2026,7,1),Xero_Raw!$A$4:$A$5003,"&lt;"&amp;EDATE(DATE(2026,7,1),1))+COUNTIFS(Customer_Invoices_Upload!$E$4:$E$5003,$A91,Customer_Invoices_Upload!$G$4:$G$5003,"*Subscription*",Customer_Invoices_Upload!$B$4:$B$5003,"&gt;="&amp;DATE(2026,7,1),Customer_Invoices_Upload!$B$4:$B$5003,"&lt;"&amp;EDATE(DATE(2026,7,1),1))+COUNTIFS(Stripe_Invoices_Upload!$D$4:$D$5003,$A91,Stripe_Invoices_Upload!$E$4:$E$5003,"*Subscription*",Stripe_Invoices_Upload!$A$4:$A$5003,"&gt;="&amp;DATE(2026,7,1),Stripe_Invoices_Upload!$A$4:$A$5003,"&lt;"&amp;EDATE(DATE(2026,7,1),1)))&gt;0,"✓ Invoiced","⚠ Due"),""),""))</f>
        <v/>
      </c>
      <c r="K91" s="130" t="str">
        <f aca="false">IF($A91="","",IF((DATE(YEAR($E91),MONTH($E91),1)&lt;=DATE(2026,8,1)),IF((MOD(DATEDIF(DATE(YEAR($E91),MONTH($E91),1),DATE(2026,8,1),"m"),IF($D91="Quarterly",3,IF($D91="Annual",12,1)))=0),IF((COUNTIFS(Xero_Raw!$D$4:$D$5003,$A91,Xero_Raw!$G$4:$G$5003,"*Subscription*",Xero_Raw!$A$4:$A$5003,"&gt;="&amp;DATE(2026,8,1),Xero_Raw!$A$4:$A$5003,"&lt;"&amp;EDATE(DATE(2026,8,1),1))+COUNTIFS(Customer_Invoices_Upload!$E$4:$E$5003,$A91,Customer_Invoices_Upload!$G$4:$G$5003,"*Subscription*",Customer_Invoices_Upload!$B$4:$B$5003,"&gt;="&amp;DATE(2026,8,1),Customer_Invoices_Upload!$B$4:$B$5003,"&lt;"&amp;EDATE(DATE(2026,8,1),1))+COUNTIFS(Stripe_Invoices_Upload!$D$4:$D$5003,$A91,Stripe_Invoices_Upload!$E$4:$E$5003,"*Subscription*",Stripe_Invoices_Upload!$A$4:$A$5003,"&gt;="&amp;DATE(2026,8,1),Stripe_Invoices_Upload!$A$4:$A$5003,"&lt;"&amp;EDATE(DATE(2026,8,1),1)))&gt;0,"✓ Invoiced","⚠ Due"),""),""))</f>
        <v/>
      </c>
      <c r="L91" s="130" t="str">
        <f aca="false">IF($A91="","",IF((DATE(YEAR($E91),MONTH($E91),1)&lt;=DATE(2026,9,1)),IF((MOD(DATEDIF(DATE(YEAR($E91),MONTH($E91),1),DATE(2026,9,1),"m"),IF($D91="Quarterly",3,IF($D91="Annual",12,1)))=0),IF((COUNTIFS(Xero_Raw!$D$4:$D$5003,$A91,Xero_Raw!$G$4:$G$5003,"*Subscription*",Xero_Raw!$A$4:$A$5003,"&gt;="&amp;DATE(2026,9,1),Xero_Raw!$A$4:$A$5003,"&lt;"&amp;EDATE(DATE(2026,9,1),1))+COUNTIFS(Customer_Invoices_Upload!$E$4:$E$5003,$A91,Customer_Invoices_Upload!$G$4:$G$5003,"*Subscription*",Customer_Invoices_Upload!$B$4:$B$5003,"&gt;="&amp;DATE(2026,9,1),Customer_Invoices_Upload!$B$4:$B$5003,"&lt;"&amp;EDATE(DATE(2026,9,1),1))+COUNTIFS(Stripe_Invoices_Upload!$D$4:$D$5003,$A91,Stripe_Invoices_Upload!$E$4:$E$5003,"*Subscription*",Stripe_Invoices_Upload!$A$4:$A$5003,"&gt;="&amp;DATE(2026,9,1),Stripe_Invoices_Upload!$A$4:$A$5003,"&lt;"&amp;EDATE(DATE(2026,9,1),1)))&gt;0,"✓ Invoiced","⚠ Due"),""),""))</f>
        <v/>
      </c>
      <c r="M91" s="130" t="str">
        <f aca="false">IF($A91="","",IF((DATE(YEAR($E91),MONTH($E91),1)&lt;=DATE(2026,10,1)),IF((MOD(DATEDIF(DATE(YEAR($E91),MONTH($E91),1),DATE(2026,10,1),"m"),IF($D91="Quarterly",3,IF($D91="Annual",12,1)))=0),IF((COUNTIFS(Xero_Raw!$D$4:$D$5003,$A91,Xero_Raw!$G$4:$G$5003,"*Subscription*",Xero_Raw!$A$4:$A$5003,"&gt;="&amp;DATE(2026,10,1),Xero_Raw!$A$4:$A$5003,"&lt;"&amp;EDATE(DATE(2026,10,1),1))+COUNTIFS(Customer_Invoices_Upload!$E$4:$E$5003,$A91,Customer_Invoices_Upload!$G$4:$G$5003,"*Subscription*",Customer_Invoices_Upload!$B$4:$B$5003,"&gt;="&amp;DATE(2026,10,1),Customer_Invoices_Upload!$B$4:$B$5003,"&lt;"&amp;EDATE(DATE(2026,10,1),1))+COUNTIFS(Stripe_Invoices_Upload!$D$4:$D$5003,$A91,Stripe_Invoices_Upload!$E$4:$E$5003,"*Subscription*",Stripe_Invoices_Upload!$A$4:$A$5003,"&gt;="&amp;DATE(2026,10,1),Stripe_Invoices_Upload!$A$4:$A$5003,"&lt;"&amp;EDATE(DATE(2026,10,1),1)))&gt;0,"✓ Invoiced","⚠ Due"),""),""))</f>
        <v/>
      </c>
      <c r="N91" s="130" t="str">
        <f aca="false">IF($A91="","",IF((DATE(YEAR($E91),MONTH($E91),1)&lt;=DATE(2026,11,1)),IF((MOD(DATEDIF(DATE(YEAR($E91),MONTH($E91),1),DATE(2026,11,1),"m"),IF($D91="Quarterly",3,IF($D91="Annual",12,1)))=0),IF((COUNTIFS(Xero_Raw!$D$4:$D$5003,$A91,Xero_Raw!$G$4:$G$5003,"*Subscription*",Xero_Raw!$A$4:$A$5003,"&gt;="&amp;DATE(2026,11,1),Xero_Raw!$A$4:$A$5003,"&lt;"&amp;EDATE(DATE(2026,11,1),1))+COUNTIFS(Customer_Invoices_Upload!$E$4:$E$5003,$A91,Customer_Invoices_Upload!$G$4:$G$5003,"*Subscription*",Customer_Invoices_Upload!$B$4:$B$5003,"&gt;="&amp;DATE(2026,11,1),Customer_Invoices_Upload!$B$4:$B$5003,"&lt;"&amp;EDATE(DATE(2026,11,1),1))+COUNTIFS(Stripe_Invoices_Upload!$D$4:$D$5003,$A91,Stripe_Invoices_Upload!$E$4:$E$5003,"*Subscription*",Stripe_Invoices_Upload!$A$4:$A$5003,"&gt;="&amp;DATE(2026,11,1),Stripe_Invoices_Upload!$A$4:$A$5003,"&lt;"&amp;EDATE(DATE(2026,11,1),1)))&gt;0,"✓ Invoiced","⚠ Due"),""),""))</f>
        <v/>
      </c>
      <c r="O91" s="130" t="str">
        <f aca="false">IF($A91="","",IF((DATE(YEAR($E91),MONTH($E91),1)&lt;=DATE(2026,12,1)),IF((MOD(DATEDIF(DATE(YEAR($E91),MONTH($E91),1),DATE(2026,12,1),"m"),IF($D91="Quarterly",3,IF($D91="Annual",12,1)))=0),IF((COUNTIFS(Xero_Raw!$D$4:$D$5003,$A91,Xero_Raw!$G$4:$G$5003,"*Subscription*",Xero_Raw!$A$4:$A$5003,"&gt;="&amp;DATE(2026,12,1),Xero_Raw!$A$4:$A$5003,"&lt;"&amp;EDATE(DATE(2026,12,1),1))+COUNTIFS(Customer_Invoices_Upload!$E$4:$E$5003,$A91,Customer_Invoices_Upload!$G$4:$G$5003,"*Subscription*",Customer_Invoices_Upload!$B$4:$B$5003,"&gt;="&amp;DATE(2026,12,1),Customer_Invoices_Upload!$B$4:$B$5003,"&lt;"&amp;EDATE(DATE(2026,12,1),1))+COUNTIFS(Stripe_Invoices_Upload!$D$4:$D$5003,$A91,Stripe_Invoices_Upload!$E$4:$E$5003,"*Subscription*",Stripe_Invoices_Upload!$A$4:$A$5003,"&gt;="&amp;DATE(2026,12,1),Stripe_Invoices_Upload!$A$4:$A$5003,"&lt;"&amp;EDATE(DATE(2026,12,1),1)))&gt;0,"✓ Invoiced","⚠ Due"),""),""))</f>
        <v/>
      </c>
      <c r="P91" s="130" t="str">
        <f aca="false">IF($A91="","",IF((DATE(YEAR($E91),MONTH($E91),1)&lt;=DATE(2027,1,1)),IF((MOD(DATEDIF(DATE(YEAR($E91),MONTH($E91),1),DATE(2027,1,1),"m"),IF($D91="Quarterly",3,IF($D91="Annual",12,1)))=0),IF((COUNTIFS(Xero_Raw!$D$4:$D$5003,$A91,Xero_Raw!$G$4:$G$5003,"*Subscription*",Xero_Raw!$A$4:$A$5003,"&gt;="&amp;DATE(2027,1,1),Xero_Raw!$A$4:$A$5003,"&lt;"&amp;EDATE(DATE(2027,1,1),1))+COUNTIFS(Customer_Invoices_Upload!$E$4:$E$5003,$A91,Customer_Invoices_Upload!$G$4:$G$5003,"*Subscription*",Customer_Invoices_Upload!$B$4:$B$5003,"&gt;="&amp;DATE(2027,1,1),Customer_Invoices_Upload!$B$4:$B$5003,"&lt;"&amp;EDATE(DATE(2027,1,1),1))+COUNTIFS(Stripe_Invoices_Upload!$D$4:$D$5003,$A91,Stripe_Invoices_Upload!$E$4:$E$5003,"*Subscription*",Stripe_Invoices_Upload!$A$4:$A$5003,"&gt;="&amp;DATE(2027,1,1),Stripe_Invoices_Upload!$A$4:$A$5003,"&lt;"&amp;EDATE(DATE(2027,1,1),1)))&gt;0,"✓ Invoiced","⚠ Due"),""),""))</f>
        <v/>
      </c>
      <c r="Q91" s="130" t="str">
        <f aca="false">IF($A91="","",IF((DATE(YEAR($E91),MONTH($E91),1)&lt;=DATE(2027,2,1)),IF((MOD(DATEDIF(DATE(YEAR($E91),MONTH($E91),1),DATE(2027,2,1),"m"),IF($D91="Quarterly",3,IF($D91="Annual",12,1)))=0),IF((COUNTIFS(Xero_Raw!$D$4:$D$5003,$A91,Xero_Raw!$G$4:$G$5003,"*Subscription*",Xero_Raw!$A$4:$A$5003,"&gt;="&amp;DATE(2027,2,1),Xero_Raw!$A$4:$A$5003,"&lt;"&amp;EDATE(DATE(2027,2,1),1))+COUNTIFS(Customer_Invoices_Upload!$E$4:$E$5003,$A91,Customer_Invoices_Upload!$G$4:$G$5003,"*Subscription*",Customer_Invoices_Upload!$B$4:$B$5003,"&gt;="&amp;DATE(2027,2,1),Customer_Invoices_Upload!$B$4:$B$5003,"&lt;"&amp;EDATE(DATE(2027,2,1),1))+COUNTIFS(Stripe_Invoices_Upload!$D$4:$D$5003,$A91,Stripe_Invoices_Upload!$E$4:$E$5003,"*Subscription*",Stripe_Invoices_Upload!$A$4:$A$5003,"&gt;="&amp;DATE(2027,2,1),Stripe_Invoices_Upload!$A$4:$A$5003,"&lt;"&amp;EDATE(DATE(2027,2,1),1)))&gt;0,"✓ Invoiced","⚠ Due"),""),""))</f>
        <v/>
      </c>
      <c r="R91" s="130" t="str">
        <f aca="false">IF($A91="","",IF((DATE(YEAR($E91),MONTH($E91),1)&lt;=DATE(2027,3,1)),IF((MOD(DATEDIF(DATE(YEAR($E91),MONTH($E91),1),DATE(2027,3,1),"m"),IF($D91="Quarterly",3,IF($D91="Annual",12,1)))=0),IF((COUNTIFS(Xero_Raw!$D$4:$D$5003,$A91,Xero_Raw!$G$4:$G$5003,"*Subscription*",Xero_Raw!$A$4:$A$5003,"&gt;="&amp;DATE(2027,3,1),Xero_Raw!$A$4:$A$5003,"&lt;"&amp;EDATE(DATE(2027,3,1),1))+COUNTIFS(Customer_Invoices_Upload!$E$4:$E$5003,$A91,Customer_Invoices_Upload!$G$4:$G$5003,"*Subscription*",Customer_Invoices_Upload!$B$4:$B$5003,"&gt;="&amp;DATE(2027,3,1),Customer_Invoices_Upload!$B$4:$B$5003,"&lt;"&amp;EDATE(DATE(2027,3,1),1))+COUNTIFS(Stripe_Invoices_Upload!$D$4:$D$5003,$A91,Stripe_Invoices_Upload!$E$4:$E$5003,"*Subscription*",Stripe_Invoices_Upload!$A$4:$A$5003,"&gt;="&amp;DATE(2027,3,1),Stripe_Invoices_Upload!$A$4:$A$5003,"&lt;"&amp;EDATE(DATE(2027,3,1),1)))&gt;0,"✓ Invoiced","⚠ Due"),""),""))</f>
        <v/>
      </c>
    </row>
    <row r="92" customFormat="false" ht="15" hidden="false" customHeight="false" outlineLevel="0" collapsed="false">
      <c r="A92" s="39"/>
      <c r="B92" s="39"/>
      <c r="C92" s="40"/>
      <c r="D92" s="39"/>
      <c r="E92" s="38"/>
      <c r="F92" s="129" t="str">
        <f aca="true">IF($A92="","",EDATE($E92,DATEDIF($E92,TODAY(),"m")+1))</f>
        <v/>
      </c>
      <c r="G92" s="130" t="str">
        <f aca="false">IF($A92="","",IF((DATE(YEAR($E92),MONTH($E92),1)&lt;=DATE(2026,4,1)),IF((MOD(DATEDIF(DATE(YEAR($E92),MONTH($E92),1),DATE(2026,4,1),"m"),IF($D92="Quarterly",3,IF($D92="Annual",12,1)))=0),IF((COUNTIFS(Xero_Raw!$D$4:$D$5003,$A92,Xero_Raw!$G$4:$G$5003,"*Subscription*",Xero_Raw!$A$4:$A$5003,"&gt;="&amp;DATE(2026,4,1),Xero_Raw!$A$4:$A$5003,"&lt;"&amp;EDATE(DATE(2026,4,1),1))+COUNTIFS(Customer_Invoices_Upload!$E$4:$E$5003,$A92,Customer_Invoices_Upload!$G$4:$G$5003,"*Subscription*",Customer_Invoices_Upload!$B$4:$B$5003,"&gt;="&amp;DATE(2026,4,1),Customer_Invoices_Upload!$B$4:$B$5003,"&lt;"&amp;EDATE(DATE(2026,4,1),1))+COUNTIFS(Stripe_Invoices_Upload!$D$4:$D$5003,$A92,Stripe_Invoices_Upload!$E$4:$E$5003,"*Subscription*",Stripe_Invoices_Upload!$A$4:$A$5003,"&gt;="&amp;DATE(2026,4,1),Stripe_Invoices_Upload!$A$4:$A$5003,"&lt;"&amp;EDATE(DATE(2026,4,1),1)))&gt;0,"✓ Invoiced","⚠ Due"),""),""))</f>
        <v/>
      </c>
      <c r="H92" s="130" t="str">
        <f aca="false">IF($A92="","",IF((DATE(YEAR($E92),MONTH($E92),1)&lt;=DATE(2026,5,1)),IF((MOD(DATEDIF(DATE(YEAR($E92),MONTH($E92),1),DATE(2026,5,1),"m"),IF($D92="Quarterly",3,IF($D92="Annual",12,1)))=0),IF((COUNTIFS(Xero_Raw!$D$4:$D$5003,$A92,Xero_Raw!$G$4:$G$5003,"*Subscription*",Xero_Raw!$A$4:$A$5003,"&gt;="&amp;DATE(2026,5,1),Xero_Raw!$A$4:$A$5003,"&lt;"&amp;EDATE(DATE(2026,5,1),1))+COUNTIFS(Customer_Invoices_Upload!$E$4:$E$5003,$A92,Customer_Invoices_Upload!$G$4:$G$5003,"*Subscription*",Customer_Invoices_Upload!$B$4:$B$5003,"&gt;="&amp;DATE(2026,5,1),Customer_Invoices_Upload!$B$4:$B$5003,"&lt;"&amp;EDATE(DATE(2026,5,1),1))+COUNTIFS(Stripe_Invoices_Upload!$D$4:$D$5003,$A92,Stripe_Invoices_Upload!$E$4:$E$5003,"*Subscription*",Stripe_Invoices_Upload!$A$4:$A$5003,"&gt;="&amp;DATE(2026,5,1),Stripe_Invoices_Upload!$A$4:$A$5003,"&lt;"&amp;EDATE(DATE(2026,5,1),1)))&gt;0,"✓ Invoiced","⚠ Due"),""),""))</f>
        <v/>
      </c>
      <c r="I92" s="130" t="str">
        <f aca="false">IF($A92="","",IF((DATE(YEAR($E92),MONTH($E92),1)&lt;=DATE(2026,6,1)),IF((MOD(DATEDIF(DATE(YEAR($E92),MONTH($E92),1),DATE(2026,6,1),"m"),IF($D92="Quarterly",3,IF($D92="Annual",12,1)))=0),IF((COUNTIFS(Xero_Raw!$D$4:$D$5003,$A92,Xero_Raw!$G$4:$G$5003,"*Subscription*",Xero_Raw!$A$4:$A$5003,"&gt;="&amp;DATE(2026,6,1),Xero_Raw!$A$4:$A$5003,"&lt;"&amp;EDATE(DATE(2026,6,1),1))+COUNTIFS(Customer_Invoices_Upload!$E$4:$E$5003,$A92,Customer_Invoices_Upload!$G$4:$G$5003,"*Subscription*",Customer_Invoices_Upload!$B$4:$B$5003,"&gt;="&amp;DATE(2026,6,1),Customer_Invoices_Upload!$B$4:$B$5003,"&lt;"&amp;EDATE(DATE(2026,6,1),1))+COUNTIFS(Stripe_Invoices_Upload!$D$4:$D$5003,$A92,Stripe_Invoices_Upload!$E$4:$E$5003,"*Subscription*",Stripe_Invoices_Upload!$A$4:$A$5003,"&gt;="&amp;DATE(2026,6,1),Stripe_Invoices_Upload!$A$4:$A$5003,"&lt;"&amp;EDATE(DATE(2026,6,1),1)))&gt;0,"✓ Invoiced","⚠ Due"),""),""))</f>
        <v/>
      </c>
      <c r="J92" s="130" t="str">
        <f aca="false">IF($A92="","",IF((DATE(YEAR($E92),MONTH($E92),1)&lt;=DATE(2026,7,1)),IF((MOD(DATEDIF(DATE(YEAR($E92),MONTH($E92),1),DATE(2026,7,1),"m"),IF($D92="Quarterly",3,IF($D92="Annual",12,1)))=0),IF((COUNTIFS(Xero_Raw!$D$4:$D$5003,$A92,Xero_Raw!$G$4:$G$5003,"*Subscription*",Xero_Raw!$A$4:$A$5003,"&gt;="&amp;DATE(2026,7,1),Xero_Raw!$A$4:$A$5003,"&lt;"&amp;EDATE(DATE(2026,7,1),1))+COUNTIFS(Customer_Invoices_Upload!$E$4:$E$5003,$A92,Customer_Invoices_Upload!$G$4:$G$5003,"*Subscription*",Customer_Invoices_Upload!$B$4:$B$5003,"&gt;="&amp;DATE(2026,7,1),Customer_Invoices_Upload!$B$4:$B$5003,"&lt;"&amp;EDATE(DATE(2026,7,1),1))+COUNTIFS(Stripe_Invoices_Upload!$D$4:$D$5003,$A92,Stripe_Invoices_Upload!$E$4:$E$5003,"*Subscription*",Stripe_Invoices_Upload!$A$4:$A$5003,"&gt;="&amp;DATE(2026,7,1),Stripe_Invoices_Upload!$A$4:$A$5003,"&lt;"&amp;EDATE(DATE(2026,7,1),1)))&gt;0,"✓ Invoiced","⚠ Due"),""),""))</f>
        <v/>
      </c>
      <c r="K92" s="130" t="str">
        <f aca="false">IF($A92="","",IF((DATE(YEAR($E92),MONTH($E92),1)&lt;=DATE(2026,8,1)),IF((MOD(DATEDIF(DATE(YEAR($E92),MONTH($E92),1),DATE(2026,8,1),"m"),IF($D92="Quarterly",3,IF($D92="Annual",12,1)))=0),IF((COUNTIFS(Xero_Raw!$D$4:$D$5003,$A92,Xero_Raw!$G$4:$G$5003,"*Subscription*",Xero_Raw!$A$4:$A$5003,"&gt;="&amp;DATE(2026,8,1),Xero_Raw!$A$4:$A$5003,"&lt;"&amp;EDATE(DATE(2026,8,1),1))+COUNTIFS(Customer_Invoices_Upload!$E$4:$E$5003,$A92,Customer_Invoices_Upload!$G$4:$G$5003,"*Subscription*",Customer_Invoices_Upload!$B$4:$B$5003,"&gt;="&amp;DATE(2026,8,1),Customer_Invoices_Upload!$B$4:$B$5003,"&lt;"&amp;EDATE(DATE(2026,8,1),1))+COUNTIFS(Stripe_Invoices_Upload!$D$4:$D$5003,$A92,Stripe_Invoices_Upload!$E$4:$E$5003,"*Subscription*",Stripe_Invoices_Upload!$A$4:$A$5003,"&gt;="&amp;DATE(2026,8,1),Stripe_Invoices_Upload!$A$4:$A$5003,"&lt;"&amp;EDATE(DATE(2026,8,1),1)))&gt;0,"✓ Invoiced","⚠ Due"),""),""))</f>
        <v/>
      </c>
      <c r="L92" s="130" t="str">
        <f aca="false">IF($A92="","",IF((DATE(YEAR($E92),MONTH($E92),1)&lt;=DATE(2026,9,1)),IF((MOD(DATEDIF(DATE(YEAR($E92),MONTH($E92),1),DATE(2026,9,1),"m"),IF($D92="Quarterly",3,IF($D92="Annual",12,1)))=0),IF((COUNTIFS(Xero_Raw!$D$4:$D$5003,$A92,Xero_Raw!$G$4:$G$5003,"*Subscription*",Xero_Raw!$A$4:$A$5003,"&gt;="&amp;DATE(2026,9,1),Xero_Raw!$A$4:$A$5003,"&lt;"&amp;EDATE(DATE(2026,9,1),1))+COUNTIFS(Customer_Invoices_Upload!$E$4:$E$5003,$A92,Customer_Invoices_Upload!$G$4:$G$5003,"*Subscription*",Customer_Invoices_Upload!$B$4:$B$5003,"&gt;="&amp;DATE(2026,9,1),Customer_Invoices_Upload!$B$4:$B$5003,"&lt;"&amp;EDATE(DATE(2026,9,1),1))+COUNTIFS(Stripe_Invoices_Upload!$D$4:$D$5003,$A92,Stripe_Invoices_Upload!$E$4:$E$5003,"*Subscription*",Stripe_Invoices_Upload!$A$4:$A$5003,"&gt;="&amp;DATE(2026,9,1),Stripe_Invoices_Upload!$A$4:$A$5003,"&lt;"&amp;EDATE(DATE(2026,9,1),1)))&gt;0,"✓ Invoiced","⚠ Due"),""),""))</f>
        <v/>
      </c>
      <c r="M92" s="130" t="str">
        <f aca="false">IF($A92="","",IF((DATE(YEAR($E92),MONTH($E92),1)&lt;=DATE(2026,10,1)),IF((MOD(DATEDIF(DATE(YEAR($E92),MONTH($E92),1),DATE(2026,10,1),"m"),IF($D92="Quarterly",3,IF($D92="Annual",12,1)))=0),IF((COUNTIFS(Xero_Raw!$D$4:$D$5003,$A92,Xero_Raw!$G$4:$G$5003,"*Subscription*",Xero_Raw!$A$4:$A$5003,"&gt;="&amp;DATE(2026,10,1),Xero_Raw!$A$4:$A$5003,"&lt;"&amp;EDATE(DATE(2026,10,1),1))+COUNTIFS(Customer_Invoices_Upload!$E$4:$E$5003,$A92,Customer_Invoices_Upload!$G$4:$G$5003,"*Subscription*",Customer_Invoices_Upload!$B$4:$B$5003,"&gt;="&amp;DATE(2026,10,1),Customer_Invoices_Upload!$B$4:$B$5003,"&lt;"&amp;EDATE(DATE(2026,10,1),1))+COUNTIFS(Stripe_Invoices_Upload!$D$4:$D$5003,$A92,Stripe_Invoices_Upload!$E$4:$E$5003,"*Subscription*",Stripe_Invoices_Upload!$A$4:$A$5003,"&gt;="&amp;DATE(2026,10,1),Stripe_Invoices_Upload!$A$4:$A$5003,"&lt;"&amp;EDATE(DATE(2026,10,1),1)))&gt;0,"✓ Invoiced","⚠ Due"),""),""))</f>
        <v/>
      </c>
      <c r="N92" s="130" t="str">
        <f aca="false">IF($A92="","",IF((DATE(YEAR($E92),MONTH($E92),1)&lt;=DATE(2026,11,1)),IF((MOD(DATEDIF(DATE(YEAR($E92),MONTH($E92),1),DATE(2026,11,1),"m"),IF($D92="Quarterly",3,IF($D92="Annual",12,1)))=0),IF((COUNTIFS(Xero_Raw!$D$4:$D$5003,$A92,Xero_Raw!$G$4:$G$5003,"*Subscription*",Xero_Raw!$A$4:$A$5003,"&gt;="&amp;DATE(2026,11,1),Xero_Raw!$A$4:$A$5003,"&lt;"&amp;EDATE(DATE(2026,11,1),1))+COUNTIFS(Customer_Invoices_Upload!$E$4:$E$5003,$A92,Customer_Invoices_Upload!$G$4:$G$5003,"*Subscription*",Customer_Invoices_Upload!$B$4:$B$5003,"&gt;="&amp;DATE(2026,11,1),Customer_Invoices_Upload!$B$4:$B$5003,"&lt;"&amp;EDATE(DATE(2026,11,1),1))+COUNTIFS(Stripe_Invoices_Upload!$D$4:$D$5003,$A92,Stripe_Invoices_Upload!$E$4:$E$5003,"*Subscription*",Stripe_Invoices_Upload!$A$4:$A$5003,"&gt;="&amp;DATE(2026,11,1),Stripe_Invoices_Upload!$A$4:$A$5003,"&lt;"&amp;EDATE(DATE(2026,11,1),1)))&gt;0,"✓ Invoiced","⚠ Due"),""),""))</f>
        <v/>
      </c>
      <c r="O92" s="130" t="str">
        <f aca="false">IF($A92="","",IF((DATE(YEAR($E92),MONTH($E92),1)&lt;=DATE(2026,12,1)),IF((MOD(DATEDIF(DATE(YEAR($E92),MONTH($E92),1),DATE(2026,12,1),"m"),IF($D92="Quarterly",3,IF($D92="Annual",12,1)))=0),IF((COUNTIFS(Xero_Raw!$D$4:$D$5003,$A92,Xero_Raw!$G$4:$G$5003,"*Subscription*",Xero_Raw!$A$4:$A$5003,"&gt;="&amp;DATE(2026,12,1),Xero_Raw!$A$4:$A$5003,"&lt;"&amp;EDATE(DATE(2026,12,1),1))+COUNTIFS(Customer_Invoices_Upload!$E$4:$E$5003,$A92,Customer_Invoices_Upload!$G$4:$G$5003,"*Subscription*",Customer_Invoices_Upload!$B$4:$B$5003,"&gt;="&amp;DATE(2026,12,1),Customer_Invoices_Upload!$B$4:$B$5003,"&lt;"&amp;EDATE(DATE(2026,12,1),1))+COUNTIFS(Stripe_Invoices_Upload!$D$4:$D$5003,$A92,Stripe_Invoices_Upload!$E$4:$E$5003,"*Subscription*",Stripe_Invoices_Upload!$A$4:$A$5003,"&gt;="&amp;DATE(2026,12,1),Stripe_Invoices_Upload!$A$4:$A$5003,"&lt;"&amp;EDATE(DATE(2026,12,1),1)))&gt;0,"✓ Invoiced","⚠ Due"),""),""))</f>
        <v/>
      </c>
      <c r="P92" s="130" t="str">
        <f aca="false">IF($A92="","",IF((DATE(YEAR($E92),MONTH($E92),1)&lt;=DATE(2027,1,1)),IF((MOD(DATEDIF(DATE(YEAR($E92),MONTH($E92),1),DATE(2027,1,1),"m"),IF($D92="Quarterly",3,IF($D92="Annual",12,1)))=0),IF((COUNTIFS(Xero_Raw!$D$4:$D$5003,$A92,Xero_Raw!$G$4:$G$5003,"*Subscription*",Xero_Raw!$A$4:$A$5003,"&gt;="&amp;DATE(2027,1,1),Xero_Raw!$A$4:$A$5003,"&lt;"&amp;EDATE(DATE(2027,1,1),1))+COUNTIFS(Customer_Invoices_Upload!$E$4:$E$5003,$A92,Customer_Invoices_Upload!$G$4:$G$5003,"*Subscription*",Customer_Invoices_Upload!$B$4:$B$5003,"&gt;="&amp;DATE(2027,1,1),Customer_Invoices_Upload!$B$4:$B$5003,"&lt;"&amp;EDATE(DATE(2027,1,1),1))+COUNTIFS(Stripe_Invoices_Upload!$D$4:$D$5003,$A92,Stripe_Invoices_Upload!$E$4:$E$5003,"*Subscription*",Stripe_Invoices_Upload!$A$4:$A$5003,"&gt;="&amp;DATE(2027,1,1),Stripe_Invoices_Upload!$A$4:$A$5003,"&lt;"&amp;EDATE(DATE(2027,1,1),1)))&gt;0,"✓ Invoiced","⚠ Due"),""),""))</f>
        <v/>
      </c>
      <c r="Q92" s="130" t="str">
        <f aca="false">IF($A92="","",IF((DATE(YEAR($E92),MONTH($E92),1)&lt;=DATE(2027,2,1)),IF((MOD(DATEDIF(DATE(YEAR($E92),MONTH($E92),1),DATE(2027,2,1),"m"),IF($D92="Quarterly",3,IF($D92="Annual",12,1)))=0),IF((COUNTIFS(Xero_Raw!$D$4:$D$5003,$A92,Xero_Raw!$G$4:$G$5003,"*Subscription*",Xero_Raw!$A$4:$A$5003,"&gt;="&amp;DATE(2027,2,1),Xero_Raw!$A$4:$A$5003,"&lt;"&amp;EDATE(DATE(2027,2,1),1))+COUNTIFS(Customer_Invoices_Upload!$E$4:$E$5003,$A92,Customer_Invoices_Upload!$G$4:$G$5003,"*Subscription*",Customer_Invoices_Upload!$B$4:$B$5003,"&gt;="&amp;DATE(2027,2,1),Customer_Invoices_Upload!$B$4:$B$5003,"&lt;"&amp;EDATE(DATE(2027,2,1),1))+COUNTIFS(Stripe_Invoices_Upload!$D$4:$D$5003,$A92,Stripe_Invoices_Upload!$E$4:$E$5003,"*Subscription*",Stripe_Invoices_Upload!$A$4:$A$5003,"&gt;="&amp;DATE(2027,2,1),Stripe_Invoices_Upload!$A$4:$A$5003,"&lt;"&amp;EDATE(DATE(2027,2,1),1)))&gt;0,"✓ Invoiced","⚠ Due"),""),""))</f>
        <v/>
      </c>
      <c r="R92" s="130" t="str">
        <f aca="false">IF($A92="","",IF((DATE(YEAR($E92),MONTH($E92),1)&lt;=DATE(2027,3,1)),IF((MOD(DATEDIF(DATE(YEAR($E92),MONTH($E92),1),DATE(2027,3,1),"m"),IF($D92="Quarterly",3,IF($D92="Annual",12,1)))=0),IF((COUNTIFS(Xero_Raw!$D$4:$D$5003,$A92,Xero_Raw!$G$4:$G$5003,"*Subscription*",Xero_Raw!$A$4:$A$5003,"&gt;="&amp;DATE(2027,3,1),Xero_Raw!$A$4:$A$5003,"&lt;"&amp;EDATE(DATE(2027,3,1),1))+COUNTIFS(Customer_Invoices_Upload!$E$4:$E$5003,$A92,Customer_Invoices_Upload!$G$4:$G$5003,"*Subscription*",Customer_Invoices_Upload!$B$4:$B$5003,"&gt;="&amp;DATE(2027,3,1),Customer_Invoices_Upload!$B$4:$B$5003,"&lt;"&amp;EDATE(DATE(2027,3,1),1))+COUNTIFS(Stripe_Invoices_Upload!$D$4:$D$5003,$A92,Stripe_Invoices_Upload!$E$4:$E$5003,"*Subscription*",Stripe_Invoices_Upload!$A$4:$A$5003,"&gt;="&amp;DATE(2027,3,1),Stripe_Invoices_Upload!$A$4:$A$5003,"&lt;"&amp;EDATE(DATE(2027,3,1),1)))&gt;0,"✓ Invoiced","⚠ Due"),""),""))</f>
        <v/>
      </c>
    </row>
    <row r="93" customFormat="false" ht="15" hidden="false" customHeight="false" outlineLevel="0" collapsed="false">
      <c r="A93" s="39"/>
      <c r="B93" s="39"/>
      <c r="C93" s="40"/>
      <c r="D93" s="39"/>
      <c r="E93" s="38"/>
      <c r="F93" s="129" t="str">
        <f aca="true">IF($A93="","",EDATE($E93,DATEDIF($E93,TODAY(),"m")+1))</f>
        <v/>
      </c>
      <c r="G93" s="130" t="str">
        <f aca="false">IF($A93="","",IF((DATE(YEAR($E93),MONTH($E93),1)&lt;=DATE(2026,4,1)),IF((MOD(DATEDIF(DATE(YEAR($E93),MONTH($E93),1),DATE(2026,4,1),"m"),IF($D93="Quarterly",3,IF($D93="Annual",12,1)))=0),IF((COUNTIFS(Xero_Raw!$D$4:$D$5003,$A93,Xero_Raw!$G$4:$G$5003,"*Subscription*",Xero_Raw!$A$4:$A$5003,"&gt;="&amp;DATE(2026,4,1),Xero_Raw!$A$4:$A$5003,"&lt;"&amp;EDATE(DATE(2026,4,1),1))+COUNTIFS(Customer_Invoices_Upload!$E$4:$E$5003,$A93,Customer_Invoices_Upload!$G$4:$G$5003,"*Subscription*",Customer_Invoices_Upload!$B$4:$B$5003,"&gt;="&amp;DATE(2026,4,1),Customer_Invoices_Upload!$B$4:$B$5003,"&lt;"&amp;EDATE(DATE(2026,4,1),1))+COUNTIFS(Stripe_Invoices_Upload!$D$4:$D$5003,$A93,Stripe_Invoices_Upload!$E$4:$E$5003,"*Subscription*",Stripe_Invoices_Upload!$A$4:$A$5003,"&gt;="&amp;DATE(2026,4,1),Stripe_Invoices_Upload!$A$4:$A$5003,"&lt;"&amp;EDATE(DATE(2026,4,1),1)))&gt;0,"✓ Invoiced","⚠ Due"),""),""))</f>
        <v/>
      </c>
      <c r="H93" s="130" t="str">
        <f aca="false">IF($A93="","",IF((DATE(YEAR($E93),MONTH($E93),1)&lt;=DATE(2026,5,1)),IF((MOD(DATEDIF(DATE(YEAR($E93),MONTH($E93),1),DATE(2026,5,1),"m"),IF($D93="Quarterly",3,IF($D93="Annual",12,1)))=0),IF((COUNTIFS(Xero_Raw!$D$4:$D$5003,$A93,Xero_Raw!$G$4:$G$5003,"*Subscription*",Xero_Raw!$A$4:$A$5003,"&gt;="&amp;DATE(2026,5,1),Xero_Raw!$A$4:$A$5003,"&lt;"&amp;EDATE(DATE(2026,5,1),1))+COUNTIFS(Customer_Invoices_Upload!$E$4:$E$5003,$A93,Customer_Invoices_Upload!$G$4:$G$5003,"*Subscription*",Customer_Invoices_Upload!$B$4:$B$5003,"&gt;="&amp;DATE(2026,5,1),Customer_Invoices_Upload!$B$4:$B$5003,"&lt;"&amp;EDATE(DATE(2026,5,1),1))+COUNTIFS(Stripe_Invoices_Upload!$D$4:$D$5003,$A93,Stripe_Invoices_Upload!$E$4:$E$5003,"*Subscription*",Stripe_Invoices_Upload!$A$4:$A$5003,"&gt;="&amp;DATE(2026,5,1),Stripe_Invoices_Upload!$A$4:$A$5003,"&lt;"&amp;EDATE(DATE(2026,5,1),1)))&gt;0,"✓ Invoiced","⚠ Due"),""),""))</f>
        <v/>
      </c>
      <c r="I93" s="130" t="str">
        <f aca="false">IF($A93="","",IF((DATE(YEAR($E93),MONTH($E93),1)&lt;=DATE(2026,6,1)),IF((MOD(DATEDIF(DATE(YEAR($E93),MONTH($E93),1),DATE(2026,6,1),"m"),IF($D93="Quarterly",3,IF($D93="Annual",12,1)))=0),IF((COUNTIFS(Xero_Raw!$D$4:$D$5003,$A93,Xero_Raw!$G$4:$G$5003,"*Subscription*",Xero_Raw!$A$4:$A$5003,"&gt;="&amp;DATE(2026,6,1),Xero_Raw!$A$4:$A$5003,"&lt;"&amp;EDATE(DATE(2026,6,1),1))+COUNTIFS(Customer_Invoices_Upload!$E$4:$E$5003,$A93,Customer_Invoices_Upload!$G$4:$G$5003,"*Subscription*",Customer_Invoices_Upload!$B$4:$B$5003,"&gt;="&amp;DATE(2026,6,1),Customer_Invoices_Upload!$B$4:$B$5003,"&lt;"&amp;EDATE(DATE(2026,6,1),1))+COUNTIFS(Stripe_Invoices_Upload!$D$4:$D$5003,$A93,Stripe_Invoices_Upload!$E$4:$E$5003,"*Subscription*",Stripe_Invoices_Upload!$A$4:$A$5003,"&gt;="&amp;DATE(2026,6,1),Stripe_Invoices_Upload!$A$4:$A$5003,"&lt;"&amp;EDATE(DATE(2026,6,1),1)))&gt;0,"✓ Invoiced","⚠ Due"),""),""))</f>
        <v/>
      </c>
      <c r="J93" s="130" t="str">
        <f aca="false">IF($A93="","",IF((DATE(YEAR($E93),MONTH($E93),1)&lt;=DATE(2026,7,1)),IF((MOD(DATEDIF(DATE(YEAR($E93),MONTH($E93),1),DATE(2026,7,1),"m"),IF($D93="Quarterly",3,IF($D93="Annual",12,1)))=0),IF((COUNTIFS(Xero_Raw!$D$4:$D$5003,$A93,Xero_Raw!$G$4:$G$5003,"*Subscription*",Xero_Raw!$A$4:$A$5003,"&gt;="&amp;DATE(2026,7,1),Xero_Raw!$A$4:$A$5003,"&lt;"&amp;EDATE(DATE(2026,7,1),1))+COUNTIFS(Customer_Invoices_Upload!$E$4:$E$5003,$A93,Customer_Invoices_Upload!$G$4:$G$5003,"*Subscription*",Customer_Invoices_Upload!$B$4:$B$5003,"&gt;="&amp;DATE(2026,7,1),Customer_Invoices_Upload!$B$4:$B$5003,"&lt;"&amp;EDATE(DATE(2026,7,1),1))+COUNTIFS(Stripe_Invoices_Upload!$D$4:$D$5003,$A93,Stripe_Invoices_Upload!$E$4:$E$5003,"*Subscription*",Stripe_Invoices_Upload!$A$4:$A$5003,"&gt;="&amp;DATE(2026,7,1),Stripe_Invoices_Upload!$A$4:$A$5003,"&lt;"&amp;EDATE(DATE(2026,7,1),1)))&gt;0,"✓ Invoiced","⚠ Due"),""),""))</f>
        <v/>
      </c>
      <c r="K93" s="130" t="str">
        <f aca="false">IF($A93="","",IF((DATE(YEAR($E93),MONTH($E93),1)&lt;=DATE(2026,8,1)),IF((MOD(DATEDIF(DATE(YEAR($E93),MONTH($E93),1),DATE(2026,8,1),"m"),IF($D93="Quarterly",3,IF($D93="Annual",12,1)))=0),IF((COUNTIFS(Xero_Raw!$D$4:$D$5003,$A93,Xero_Raw!$G$4:$G$5003,"*Subscription*",Xero_Raw!$A$4:$A$5003,"&gt;="&amp;DATE(2026,8,1),Xero_Raw!$A$4:$A$5003,"&lt;"&amp;EDATE(DATE(2026,8,1),1))+COUNTIFS(Customer_Invoices_Upload!$E$4:$E$5003,$A93,Customer_Invoices_Upload!$G$4:$G$5003,"*Subscription*",Customer_Invoices_Upload!$B$4:$B$5003,"&gt;="&amp;DATE(2026,8,1),Customer_Invoices_Upload!$B$4:$B$5003,"&lt;"&amp;EDATE(DATE(2026,8,1),1))+COUNTIFS(Stripe_Invoices_Upload!$D$4:$D$5003,$A93,Stripe_Invoices_Upload!$E$4:$E$5003,"*Subscription*",Stripe_Invoices_Upload!$A$4:$A$5003,"&gt;="&amp;DATE(2026,8,1),Stripe_Invoices_Upload!$A$4:$A$5003,"&lt;"&amp;EDATE(DATE(2026,8,1),1)))&gt;0,"✓ Invoiced","⚠ Due"),""),""))</f>
        <v/>
      </c>
      <c r="L93" s="130" t="str">
        <f aca="false">IF($A93="","",IF((DATE(YEAR($E93),MONTH($E93),1)&lt;=DATE(2026,9,1)),IF((MOD(DATEDIF(DATE(YEAR($E93),MONTH($E93),1),DATE(2026,9,1),"m"),IF($D93="Quarterly",3,IF($D93="Annual",12,1)))=0),IF((COUNTIFS(Xero_Raw!$D$4:$D$5003,$A93,Xero_Raw!$G$4:$G$5003,"*Subscription*",Xero_Raw!$A$4:$A$5003,"&gt;="&amp;DATE(2026,9,1),Xero_Raw!$A$4:$A$5003,"&lt;"&amp;EDATE(DATE(2026,9,1),1))+COUNTIFS(Customer_Invoices_Upload!$E$4:$E$5003,$A93,Customer_Invoices_Upload!$G$4:$G$5003,"*Subscription*",Customer_Invoices_Upload!$B$4:$B$5003,"&gt;="&amp;DATE(2026,9,1),Customer_Invoices_Upload!$B$4:$B$5003,"&lt;"&amp;EDATE(DATE(2026,9,1),1))+COUNTIFS(Stripe_Invoices_Upload!$D$4:$D$5003,$A93,Stripe_Invoices_Upload!$E$4:$E$5003,"*Subscription*",Stripe_Invoices_Upload!$A$4:$A$5003,"&gt;="&amp;DATE(2026,9,1),Stripe_Invoices_Upload!$A$4:$A$5003,"&lt;"&amp;EDATE(DATE(2026,9,1),1)))&gt;0,"✓ Invoiced","⚠ Due"),""),""))</f>
        <v/>
      </c>
      <c r="M93" s="130" t="str">
        <f aca="false">IF($A93="","",IF((DATE(YEAR($E93),MONTH($E93),1)&lt;=DATE(2026,10,1)),IF((MOD(DATEDIF(DATE(YEAR($E93),MONTH($E93),1),DATE(2026,10,1),"m"),IF($D93="Quarterly",3,IF($D93="Annual",12,1)))=0),IF((COUNTIFS(Xero_Raw!$D$4:$D$5003,$A93,Xero_Raw!$G$4:$G$5003,"*Subscription*",Xero_Raw!$A$4:$A$5003,"&gt;="&amp;DATE(2026,10,1),Xero_Raw!$A$4:$A$5003,"&lt;"&amp;EDATE(DATE(2026,10,1),1))+COUNTIFS(Customer_Invoices_Upload!$E$4:$E$5003,$A93,Customer_Invoices_Upload!$G$4:$G$5003,"*Subscription*",Customer_Invoices_Upload!$B$4:$B$5003,"&gt;="&amp;DATE(2026,10,1),Customer_Invoices_Upload!$B$4:$B$5003,"&lt;"&amp;EDATE(DATE(2026,10,1),1))+COUNTIFS(Stripe_Invoices_Upload!$D$4:$D$5003,$A93,Stripe_Invoices_Upload!$E$4:$E$5003,"*Subscription*",Stripe_Invoices_Upload!$A$4:$A$5003,"&gt;="&amp;DATE(2026,10,1),Stripe_Invoices_Upload!$A$4:$A$5003,"&lt;"&amp;EDATE(DATE(2026,10,1),1)))&gt;0,"✓ Invoiced","⚠ Due"),""),""))</f>
        <v/>
      </c>
      <c r="N93" s="130" t="str">
        <f aca="false">IF($A93="","",IF((DATE(YEAR($E93),MONTH($E93),1)&lt;=DATE(2026,11,1)),IF((MOD(DATEDIF(DATE(YEAR($E93),MONTH($E93),1),DATE(2026,11,1),"m"),IF($D93="Quarterly",3,IF($D93="Annual",12,1)))=0),IF((COUNTIFS(Xero_Raw!$D$4:$D$5003,$A93,Xero_Raw!$G$4:$G$5003,"*Subscription*",Xero_Raw!$A$4:$A$5003,"&gt;="&amp;DATE(2026,11,1),Xero_Raw!$A$4:$A$5003,"&lt;"&amp;EDATE(DATE(2026,11,1),1))+COUNTIFS(Customer_Invoices_Upload!$E$4:$E$5003,$A93,Customer_Invoices_Upload!$G$4:$G$5003,"*Subscription*",Customer_Invoices_Upload!$B$4:$B$5003,"&gt;="&amp;DATE(2026,11,1),Customer_Invoices_Upload!$B$4:$B$5003,"&lt;"&amp;EDATE(DATE(2026,11,1),1))+COUNTIFS(Stripe_Invoices_Upload!$D$4:$D$5003,$A93,Stripe_Invoices_Upload!$E$4:$E$5003,"*Subscription*",Stripe_Invoices_Upload!$A$4:$A$5003,"&gt;="&amp;DATE(2026,11,1),Stripe_Invoices_Upload!$A$4:$A$5003,"&lt;"&amp;EDATE(DATE(2026,11,1),1)))&gt;0,"✓ Invoiced","⚠ Due"),""),""))</f>
        <v/>
      </c>
      <c r="O93" s="130" t="str">
        <f aca="false">IF($A93="","",IF((DATE(YEAR($E93),MONTH($E93),1)&lt;=DATE(2026,12,1)),IF((MOD(DATEDIF(DATE(YEAR($E93),MONTH($E93),1),DATE(2026,12,1),"m"),IF($D93="Quarterly",3,IF($D93="Annual",12,1)))=0),IF((COUNTIFS(Xero_Raw!$D$4:$D$5003,$A93,Xero_Raw!$G$4:$G$5003,"*Subscription*",Xero_Raw!$A$4:$A$5003,"&gt;="&amp;DATE(2026,12,1),Xero_Raw!$A$4:$A$5003,"&lt;"&amp;EDATE(DATE(2026,12,1),1))+COUNTIFS(Customer_Invoices_Upload!$E$4:$E$5003,$A93,Customer_Invoices_Upload!$G$4:$G$5003,"*Subscription*",Customer_Invoices_Upload!$B$4:$B$5003,"&gt;="&amp;DATE(2026,12,1),Customer_Invoices_Upload!$B$4:$B$5003,"&lt;"&amp;EDATE(DATE(2026,12,1),1))+COUNTIFS(Stripe_Invoices_Upload!$D$4:$D$5003,$A93,Stripe_Invoices_Upload!$E$4:$E$5003,"*Subscription*",Stripe_Invoices_Upload!$A$4:$A$5003,"&gt;="&amp;DATE(2026,12,1),Stripe_Invoices_Upload!$A$4:$A$5003,"&lt;"&amp;EDATE(DATE(2026,12,1),1)))&gt;0,"✓ Invoiced","⚠ Due"),""),""))</f>
        <v/>
      </c>
      <c r="P93" s="130" t="str">
        <f aca="false">IF($A93="","",IF((DATE(YEAR($E93),MONTH($E93),1)&lt;=DATE(2027,1,1)),IF((MOD(DATEDIF(DATE(YEAR($E93),MONTH($E93),1),DATE(2027,1,1),"m"),IF($D93="Quarterly",3,IF($D93="Annual",12,1)))=0),IF((COUNTIFS(Xero_Raw!$D$4:$D$5003,$A93,Xero_Raw!$G$4:$G$5003,"*Subscription*",Xero_Raw!$A$4:$A$5003,"&gt;="&amp;DATE(2027,1,1),Xero_Raw!$A$4:$A$5003,"&lt;"&amp;EDATE(DATE(2027,1,1),1))+COUNTIFS(Customer_Invoices_Upload!$E$4:$E$5003,$A93,Customer_Invoices_Upload!$G$4:$G$5003,"*Subscription*",Customer_Invoices_Upload!$B$4:$B$5003,"&gt;="&amp;DATE(2027,1,1),Customer_Invoices_Upload!$B$4:$B$5003,"&lt;"&amp;EDATE(DATE(2027,1,1),1))+COUNTIFS(Stripe_Invoices_Upload!$D$4:$D$5003,$A93,Stripe_Invoices_Upload!$E$4:$E$5003,"*Subscription*",Stripe_Invoices_Upload!$A$4:$A$5003,"&gt;="&amp;DATE(2027,1,1),Stripe_Invoices_Upload!$A$4:$A$5003,"&lt;"&amp;EDATE(DATE(2027,1,1),1)))&gt;0,"✓ Invoiced","⚠ Due"),""),""))</f>
        <v/>
      </c>
      <c r="Q93" s="130" t="str">
        <f aca="false">IF($A93="","",IF((DATE(YEAR($E93),MONTH($E93),1)&lt;=DATE(2027,2,1)),IF((MOD(DATEDIF(DATE(YEAR($E93),MONTH($E93),1),DATE(2027,2,1),"m"),IF($D93="Quarterly",3,IF($D93="Annual",12,1)))=0),IF((COUNTIFS(Xero_Raw!$D$4:$D$5003,$A93,Xero_Raw!$G$4:$G$5003,"*Subscription*",Xero_Raw!$A$4:$A$5003,"&gt;="&amp;DATE(2027,2,1),Xero_Raw!$A$4:$A$5003,"&lt;"&amp;EDATE(DATE(2027,2,1),1))+COUNTIFS(Customer_Invoices_Upload!$E$4:$E$5003,$A93,Customer_Invoices_Upload!$G$4:$G$5003,"*Subscription*",Customer_Invoices_Upload!$B$4:$B$5003,"&gt;="&amp;DATE(2027,2,1),Customer_Invoices_Upload!$B$4:$B$5003,"&lt;"&amp;EDATE(DATE(2027,2,1),1))+COUNTIFS(Stripe_Invoices_Upload!$D$4:$D$5003,$A93,Stripe_Invoices_Upload!$E$4:$E$5003,"*Subscription*",Stripe_Invoices_Upload!$A$4:$A$5003,"&gt;="&amp;DATE(2027,2,1),Stripe_Invoices_Upload!$A$4:$A$5003,"&lt;"&amp;EDATE(DATE(2027,2,1),1)))&gt;0,"✓ Invoiced","⚠ Due"),""),""))</f>
        <v/>
      </c>
      <c r="R93" s="130" t="str">
        <f aca="false">IF($A93="","",IF((DATE(YEAR($E93),MONTH($E93),1)&lt;=DATE(2027,3,1)),IF((MOD(DATEDIF(DATE(YEAR($E93),MONTH($E93),1),DATE(2027,3,1),"m"),IF($D93="Quarterly",3,IF($D93="Annual",12,1)))=0),IF((COUNTIFS(Xero_Raw!$D$4:$D$5003,$A93,Xero_Raw!$G$4:$G$5003,"*Subscription*",Xero_Raw!$A$4:$A$5003,"&gt;="&amp;DATE(2027,3,1),Xero_Raw!$A$4:$A$5003,"&lt;"&amp;EDATE(DATE(2027,3,1),1))+COUNTIFS(Customer_Invoices_Upload!$E$4:$E$5003,$A93,Customer_Invoices_Upload!$G$4:$G$5003,"*Subscription*",Customer_Invoices_Upload!$B$4:$B$5003,"&gt;="&amp;DATE(2027,3,1),Customer_Invoices_Upload!$B$4:$B$5003,"&lt;"&amp;EDATE(DATE(2027,3,1),1))+COUNTIFS(Stripe_Invoices_Upload!$D$4:$D$5003,$A93,Stripe_Invoices_Upload!$E$4:$E$5003,"*Subscription*",Stripe_Invoices_Upload!$A$4:$A$5003,"&gt;="&amp;DATE(2027,3,1),Stripe_Invoices_Upload!$A$4:$A$5003,"&lt;"&amp;EDATE(DATE(2027,3,1),1)))&gt;0,"✓ Invoiced","⚠ Due"),""),""))</f>
        <v/>
      </c>
    </row>
    <row r="94" customFormat="false" ht="15" hidden="false" customHeight="false" outlineLevel="0" collapsed="false">
      <c r="A94" s="39"/>
      <c r="B94" s="39"/>
      <c r="C94" s="40"/>
      <c r="D94" s="39"/>
      <c r="E94" s="38"/>
      <c r="F94" s="129" t="str">
        <f aca="true">IF($A94="","",EDATE($E94,DATEDIF($E94,TODAY(),"m")+1))</f>
        <v/>
      </c>
      <c r="G94" s="130" t="str">
        <f aca="false">IF($A94="","",IF((DATE(YEAR($E94),MONTH($E94),1)&lt;=DATE(2026,4,1)),IF((MOD(DATEDIF(DATE(YEAR($E94),MONTH($E94),1),DATE(2026,4,1),"m"),IF($D94="Quarterly",3,IF($D94="Annual",12,1)))=0),IF((COUNTIFS(Xero_Raw!$D$4:$D$5003,$A94,Xero_Raw!$G$4:$G$5003,"*Subscription*",Xero_Raw!$A$4:$A$5003,"&gt;="&amp;DATE(2026,4,1),Xero_Raw!$A$4:$A$5003,"&lt;"&amp;EDATE(DATE(2026,4,1),1))+COUNTIFS(Customer_Invoices_Upload!$E$4:$E$5003,$A94,Customer_Invoices_Upload!$G$4:$G$5003,"*Subscription*",Customer_Invoices_Upload!$B$4:$B$5003,"&gt;="&amp;DATE(2026,4,1),Customer_Invoices_Upload!$B$4:$B$5003,"&lt;"&amp;EDATE(DATE(2026,4,1),1))+COUNTIFS(Stripe_Invoices_Upload!$D$4:$D$5003,$A94,Stripe_Invoices_Upload!$E$4:$E$5003,"*Subscription*",Stripe_Invoices_Upload!$A$4:$A$5003,"&gt;="&amp;DATE(2026,4,1),Stripe_Invoices_Upload!$A$4:$A$5003,"&lt;"&amp;EDATE(DATE(2026,4,1),1)))&gt;0,"✓ Invoiced","⚠ Due"),""),""))</f>
        <v/>
      </c>
      <c r="H94" s="130" t="str">
        <f aca="false">IF($A94="","",IF((DATE(YEAR($E94),MONTH($E94),1)&lt;=DATE(2026,5,1)),IF((MOD(DATEDIF(DATE(YEAR($E94),MONTH($E94),1),DATE(2026,5,1),"m"),IF($D94="Quarterly",3,IF($D94="Annual",12,1)))=0),IF((COUNTIFS(Xero_Raw!$D$4:$D$5003,$A94,Xero_Raw!$G$4:$G$5003,"*Subscription*",Xero_Raw!$A$4:$A$5003,"&gt;="&amp;DATE(2026,5,1),Xero_Raw!$A$4:$A$5003,"&lt;"&amp;EDATE(DATE(2026,5,1),1))+COUNTIFS(Customer_Invoices_Upload!$E$4:$E$5003,$A94,Customer_Invoices_Upload!$G$4:$G$5003,"*Subscription*",Customer_Invoices_Upload!$B$4:$B$5003,"&gt;="&amp;DATE(2026,5,1),Customer_Invoices_Upload!$B$4:$B$5003,"&lt;"&amp;EDATE(DATE(2026,5,1),1))+COUNTIFS(Stripe_Invoices_Upload!$D$4:$D$5003,$A94,Stripe_Invoices_Upload!$E$4:$E$5003,"*Subscription*",Stripe_Invoices_Upload!$A$4:$A$5003,"&gt;="&amp;DATE(2026,5,1),Stripe_Invoices_Upload!$A$4:$A$5003,"&lt;"&amp;EDATE(DATE(2026,5,1),1)))&gt;0,"✓ Invoiced","⚠ Due"),""),""))</f>
        <v/>
      </c>
      <c r="I94" s="130" t="str">
        <f aca="false">IF($A94="","",IF((DATE(YEAR($E94),MONTH($E94),1)&lt;=DATE(2026,6,1)),IF((MOD(DATEDIF(DATE(YEAR($E94),MONTH($E94),1),DATE(2026,6,1),"m"),IF($D94="Quarterly",3,IF($D94="Annual",12,1)))=0),IF((COUNTIFS(Xero_Raw!$D$4:$D$5003,$A94,Xero_Raw!$G$4:$G$5003,"*Subscription*",Xero_Raw!$A$4:$A$5003,"&gt;="&amp;DATE(2026,6,1),Xero_Raw!$A$4:$A$5003,"&lt;"&amp;EDATE(DATE(2026,6,1),1))+COUNTIFS(Customer_Invoices_Upload!$E$4:$E$5003,$A94,Customer_Invoices_Upload!$G$4:$G$5003,"*Subscription*",Customer_Invoices_Upload!$B$4:$B$5003,"&gt;="&amp;DATE(2026,6,1),Customer_Invoices_Upload!$B$4:$B$5003,"&lt;"&amp;EDATE(DATE(2026,6,1),1))+COUNTIFS(Stripe_Invoices_Upload!$D$4:$D$5003,$A94,Stripe_Invoices_Upload!$E$4:$E$5003,"*Subscription*",Stripe_Invoices_Upload!$A$4:$A$5003,"&gt;="&amp;DATE(2026,6,1),Stripe_Invoices_Upload!$A$4:$A$5003,"&lt;"&amp;EDATE(DATE(2026,6,1),1)))&gt;0,"✓ Invoiced","⚠ Due"),""),""))</f>
        <v/>
      </c>
      <c r="J94" s="130" t="str">
        <f aca="false">IF($A94="","",IF((DATE(YEAR($E94),MONTH($E94),1)&lt;=DATE(2026,7,1)),IF((MOD(DATEDIF(DATE(YEAR($E94),MONTH($E94),1),DATE(2026,7,1),"m"),IF($D94="Quarterly",3,IF($D94="Annual",12,1)))=0),IF((COUNTIFS(Xero_Raw!$D$4:$D$5003,$A94,Xero_Raw!$G$4:$G$5003,"*Subscription*",Xero_Raw!$A$4:$A$5003,"&gt;="&amp;DATE(2026,7,1),Xero_Raw!$A$4:$A$5003,"&lt;"&amp;EDATE(DATE(2026,7,1),1))+COUNTIFS(Customer_Invoices_Upload!$E$4:$E$5003,$A94,Customer_Invoices_Upload!$G$4:$G$5003,"*Subscription*",Customer_Invoices_Upload!$B$4:$B$5003,"&gt;="&amp;DATE(2026,7,1),Customer_Invoices_Upload!$B$4:$B$5003,"&lt;"&amp;EDATE(DATE(2026,7,1),1))+COUNTIFS(Stripe_Invoices_Upload!$D$4:$D$5003,$A94,Stripe_Invoices_Upload!$E$4:$E$5003,"*Subscription*",Stripe_Invoices_Upload!$A$4:$A$5003,"&gt;="&amp;DATE(2026,7,1),Stripe_Invoices_Upload!$A$4:$A$5003,"&lt;"&amp;EDATE(DATE(2026,7,1),1)))&gt;0,"✓ Invoiced","⚠ Due"),""),""))</f>
        <v/>
      </c>
      <c r="K94" s="130" t="str">
        <f aca="false">IF($A94="","",IF((DATE(YEAR($E94),MONTH($E94),1)&lt;=DATE(2026,8,1)),IF((MOD(DATEDIF(DATE(YEAR($E94),MONTH($E94),1),DATE(2026,8,1),"m"),IF($D94="Quarterly",3,IF($D94="Annual",12,1)))=0),IF((COUNTIFS(Xero_Raw!$D$4:$D$5003,$A94,Xero_Raw!$G$4:$G$5003,"*Subscription*",Xero_Raw!$A$4:$A$5003,"&gt;="&amp;DATE(2026,8,1),Xero_Raw!$A$4:$A$5003,"&lt;"&amp;EDATE(DATE(2026,8,1),1))+COUNTIFS(Customer_Invoices_Upload!$E$4:$E$5003,$A94,Customer_Invoices_Upload!$G$4:$G$5003,"*Subscription*",Customer_Invoices_Upload!$B$4:$B$5003,"&gt;="&amp;DATE(2026,8,1),Customer_Invoices_Upload!$B$4:$B$5003,"&lt;"&amp;EDATE(DATE(2026,8,1),1))+COUNTIFS(Stripe_Invoices_Upload!$D$4:$D$5003,$A94,Stripe_Invoices_Upload!$E$4:$E$5003,"*Subscription*",Stripe_Invoices_Upload!$A$4:$A$5003,"&gt;="&amp;DATE(2026,8,1),Stripe_Invoices_Upload!$A$4:$A$5003,"&lt;"&amp;EDATE(DATE(2026,8,1),1)))&gt;0,"✓ Invoiced","⚠ Due"),""),""))</f>
        <v/>
      </c>
      <c r="L94" s="130" t="str">
        <f aca="false">IF($A94="","",IF((DATE(YEAR($E94),MONTH($E94),1)&lt;=DATE(2026,9,1)),IF((MOD(DATEDIF(DATE(YEAR($E94),MONTH($E94),1),DATE(2026,9,1),"m"),IF($D94="Quarterly",3,IF($D94="Annual",12,1)))=0),IF((COUNTIFS(Xero_Raw!$D$4:$D$5003,$A94,Xero_Raw!$G$4:$G$5003,"*Subscription*",Xero_Raw!$A$4:$A$5003,"&gt;="&amp;DATE(2026,9,1),Xero_Raw!$A$4:$A$5003,"&lt;"&amp;EDATE(DATE(2026,9,1),1))+COUNTIFS(Customer_Invoices_Upload!$E$4:$E$5003,$A94,Customer_Invoices_Upload!$G$4:$G$5003,"*Subscription*",Customer_Invoices_Upload!$B$4:$B$5003,"&gt;="&amp;DATE(2026,9,1),Customer_Invoices_Upload!$B$4:$B$5003,"&lt;"&amp;EDATE(DATE(2026,9,1),1))+COUNTIFS(Stripe_Invoices_Upload!$D$4:$D$5003,$A94,Stripe_Invoices_Upload!$E$4:$E$5003,"*Subscription*",Stripe_Invoices_Upload!$A$4:$A$5003,"&gt;="&amp;DATE(2026,9,1),Stripe_Invoices_Upload!$A$4:$A$5003,"&lt;"&amp;EDATE(DATE(2026,9,1),1)))&gt;0,"✓ Invoiced","⚠ Due"),""),""))</f>
        <v/>
      </c>
      <c r="M94" s="130" t="str">
        <f aca="false">IF($A94="","",IF((DATE(YEAR($E94),MONTH($E94),1)&lt;=DATE(2026,10,1)),IF((MOD(DATEDIF(DATE(YEAR($E94),MONTH($E94),1),DATE(2026,10,1),"m"),IF($D94="Quarterly",3,IF($D94="Annual",12,1)))=0),IF((COUNTIFS(Xero_Raw!$D$4:$D$5003,$A94,Xero_Raw!$G$4:$G$5003,"*Subscription*",Xero_Raw!$A$4:$A$5003,"&gt;="&amp;DATE(2026,10,1),Xero_Raw!$A$4:$A$5003,"&lt;"&amp;EDATE(DATE(2026,10,1),1))+COUNTIFS(Customer_Invoices_Upload!$E$4:$E$5003,$A94,Customer_Invoices_Upload!$G$4:$G$5003,"*Subscription*",Customer_Invoices_Upload!$B$4:$B$5003,"&gt;="&amp;DATE(2026,10,1),Customer_Invoices_Upload!$B$4:$B$5003,"&lt;"&amp;EDATE(DATE(2026,10,1),1))+COUNTIFS(Stripe_Invoices_Upload!$D$4:$D$5003,$A94,Stripe_Invoices_Upload!$E$4:$E$5003,"*Subscription*",Stripe_Invoices_Upload!$A$4:$A$5003,"&gt;="&amp;DATE(2026,10,1),Stripe_Invoices_Upload!$A$4:$A$5003,"&lt;"&amp;EDATE(DATE(2026,10,1),1)))&gt;0,"✓ Invoiced","⚠ Due"),""),""))</f>
        <v/>
      </c>
      <c r="N94" s="130" t="str">
        <f aca="false">IF($A94="","",IF((DATE(YEAR($E94),MONTH($E94),1)&lt;=DATE(2026,11,1)),IF((MOD(DATEDIF(DATE(YEAR($E94),MONTH($E94),1),DATE(2026,11,1),"m"),IF($D94="Quarterly",3,IF($D94="Annual",12,1)))=0),IF((COUNTIFS(Xero_Raw!$D$4:$D$5003,$A94,Xero_Raw!$G$4:$G$5003,"*Subscription*",Xero_Raw!$A$4:$A$5003,"&gt;="&amp;DATE(2026,11,1),Xero_Raw!$A$4:$A$5003,"&lt;"&amp;EDATE(DATE(2026,11,1),1))+COUNTIFS(Customer_Invoices_Upload!$E$4:$E$5003,$A94,Customer_Invoices_Upload!$G$4:$G$5003,"*Subscription*",Customer_Invoices_Upload!$B$4:$B$5003,"&gt;="&amp;DATE(2026,11,1),Customer_Invoices_Upload!$B$4:$B$5003,"&lt;"&amp;EDATE(DATE(2026,11,1),1))+COUNTIFS(Stripe_Invoices_Upload!$D$4:$D$5003,$A94,Stripe_Invoices_Upload!$E$4:$E$5003,"*Subscription*",Stripe_Invoices_Upload!$A$4:$A$5003,"&gt;="&amp;DATE(2026,11,1),Stripe_Invoices_Upload!$A$4:$A$5003,"&lt;"&amp;EDATE(DATE(2026,11,1),1)))&gt;0,"✓ Invoiced","⚠ Due"),""),""))</f>
        <v/>
      </c>
      <c r="O94" s="130" t="str">
        <f aca="false">IF($A94="","",IF((DATE(YEAR($E94),MONTH($E94),1)&lt;=DATE(2026,12,1)),IF((MOD(DATEDIF(DATE(YEAR($E94),MONTH($E94),1),DATE(2026,12,1),"m"),IF($D94="Quarterly",3,IF($D94="Annual",12,1)))=0),IF((COUNTIFS(Xero_Raw!$D$4:$D$5003,$A94,Xero_Raw!$G$4:$G$5003,"*Subscription*",Xero_Raw!$A$4:$A$5003,"&gt;="&amp;DATE(2026,12,1),Xero_Raw!$A$4:$A$5003,"&lt;"&amp;EDATE(DATE(2026,12,1),1))+COUNTIFS(Customer_Invoices_Upload!$E$4:$E$5003,$A94,Customer_Invoices_Upload!$G$4:$G$5003,"*Subscription*",Customer_Invoices_Upload!$B$4:$B$5003,"&gt;="&amp;DATE(2026,12,1),Customer_Invoices_Upload!$B$4:$B$5003,"&lt;"&amp;EDATE(DATE(2026,12,1),1))+COUNTIFS(Stripe_Invoices_Upload!$D$4:$D$5003,$A94,Stripe_Invoices_Upload!$E$4:$E$5003,"*Subscription*",Stripe_Invoices_Upload!$A$4:$A$5003,"&gt;="&amp;DATE(2026,12,1),Stripe_Invoices_Upload!$A$4:$A$5003,"&lt;"&amp;EDATE(DATE(2026,12,1),1)))&gt;0,"✓ Invoiced","⚠ Due"),""),""))</f>
        <v/>
      </c>
      <c r="P94" s="130" t="str">
        <f aca="false">IF($A94="","",IF((DATE(YEAR($E94),MONTH($E94),1)&lt;=DATE(2027,1,1)),IF((MOD(DATEDIF(DATE(YEAR($E94),MONTH($E94),1),DATE(2027,1,1),"m"),IF($D94="Quarterly",3,IF($D94="Annual",12,1)))=0),IF((COUNTIFS(Xero_Raw!$D$4:$D$5003,$A94,Xero_Raw!$G$4:$G$5003,"*Subscription*",Xero_Raw!$A$4:$A$5003,"&gt;="&amp;DATE(2027,1,1),Xero_Raw!$A$4:$A$5003,"&lt;"&amp;EDATE(DATE(2027,1,1),1))+COUNTIFS(Customer_Invoices_Upload!$E$4:$E$5003,$A94,Customer_Invoices_Upload!$G$4:$G$5003,"*Subscription*",Customer_Invoices_Upload!$B$4:$B$5003,"&gt;="&amp;DATE(2027,1,1),Customer_Invoices_Upload!$B$4:$B$5003,"&lt;"&amp;EDATE(DATE(2027,1,1),1))+COUNTIFS(Stripe_Invoices_Upload!$D$4:$D$5003,$A94,Stripe_Invoices_Upload!$E$4:$E$5003,"*Subscription*",Stripe_Invoices_Upload!$A$4:$A$5003,"&gt;="&amp;DATE(2027,1,1),Stripe_Invoices_Upload!$A$4:$A$5003,"&lt;"&amp;EDATE(DATE(2027,1,1),1)))&gt;0,"✓ Invoiced","⚠ Due"),""),""))</f>
        <v/>
      </c>
      <c r="Q94" s="130" t="str">
        <f aca="false">IF($A94="","",IF((DATE(YEAR($E94),MONTH($E94),1)&lt;=DATE(2027,2,1)),IF((MOD(DATEDIF(DATE(YEAR($E94),MONTH($E94),1),DATE(2027,2,1),"m"),IF($D94="Quarterly",3,IF($D94="Annual",12,1)))=0),IF((COUNTIFS(Xero_Raw!$D$4:$D$5003,$A94,Xero_Raw!$G$4:$G$5003,"*Subscription*",Xero_Raw!$A$4:$A$5003,"&gt;="&amp;DATE(2027,2,1),Xero_Raw!$A$4:$A$5003,"&lt;"&amp;EDATE(DATE(2027,2,1),1))+COUNTIFS(Customer_Invoices_Upload!$E$4:$E$5003,$A94,Customer_Invoices_Upload!$G$4:$G$5003,"*Subscription*",Customer_Invoices_Upload!$B$4:$B$5003,"&gt;="&amp;DATE(2027,2,1),Customer_Invoices_Upload!$B$4:$B$5003,"&lt;"&amp;EDATE(DATE(2027,2,1),1))+COUNTIFS(Stripe_Invoices_Upload!$D$4:$D$5003,$A94,Stripe_Invoices_Upload!$E$4:$E$5003,"*Subscription*",Stripe_Invoices_Upload!$A$4:$A$5003,"&gt;="&amp;DATE(2027,2,1),Stripe_Invoices_Upload!$A$4:$A$5003,"&lt;"&amp;EDATE(DATE(2027,2,1),1)))&gt;0,"✓ Invoiced","⚠ Due"),""),""))</f>
        <v/>
      </c>
      <c r="R94" s="130" t="str">
        <f aca="false">IF($A94="","",IF((DATE(YEAR($E94),MONTH($E94),1)&lt;=DATE(2027,3,1)),IF((MOD(DATEDIF(DATE(YEAR($E94),MONTH($E94),1),DATE(2027,3,1),"m"),IF($D94="Quarterly",3,IF($D94="Annual",12,1)))=0),IF((COUNTIFS(Xero_Raw!$D$4:$D$5003,$A94,Xero_Raw!$G$4:$G$5003,"*Subscription*",Xero_Raw!$A$4:$A$5003,"&gt;="&amp;DATE(2027,3,1),Xero_Raw!$A$4:$A$5003,"&lt;"&amp;EDATE(DATE(2027,3,1),1))+COUNTIFS(Customer_Invoices_Upload!$E$4:$E$5003,$A94,Customer_Invoices_Upload!$G$4:$G$5003,"*Subscription*",Customer_Invoices_Upload!$B$4:$B$5003,"&gt;="&amp;DATE(2027,3,1),Customer_Invoices_Upload!$B$4:$B$5003,"&lt;"&amp;EDATE(DATE(2027,3,1),1))+COUNTIFS(Stripe_Invoices_Upload!$D$4:$D$5003,$A94,Stripe_Invoices_Upload!$E$4:$E$5003,"*Subscription*",Stripe_Invoices_Upload!$A$4:$A$5003,"&gt;="&amp;DATE(2027,3,1),Stripe_Invoices_Upload!$A$4:$A$5003,"&lt;"&amp;EDATE(DATE(2027,3,1),1)))&gt;0,"✓ Invoiced","⚠ Due"),""),""))</f>
        <v/>
      </c>
    </row>
    <row r="95" customFormat="false" ht="15" hidden="false" customHeight="false" outlineLevel="0" collapsed="false">
      <c r="A95" s="39"/>
      <c r="B95" s="39"/>
      <c r="C95" s="40"/>
      <c r="D95" s="39"/>
      <c r="E95" s="38"/>
      <c r="F95" s="129" t="str">
        <f aca="true">IF($A95="","",EDATE($E95,DATEDIF($E95,TODAY(),"m")+1))</f>
        <v/>
      </c>
      <c r="G95" s="130" t="str">
        <f aca="false">IF($A95="","",IF((DATE(YEAR($E95),MONTH($E95),1)&lt;=DATE(2026,4,1)),IF((MOD(DATEDIF(DATE(YEAR($E95),MONTH($E95),1),DATE(2026,4,1),"m"),IF($D95="Quarterly",3,IF($D95="Annual",12,1)))=0),IF((COUNTIFS(Xero_Raw!$D$4:$D$5003,$A95,Xero_Raw!$G$4:$G$5003,"*Subscription*",Xero_Raw!$A$4:$A$5003,"&gt;="&amp;DATE(2026,4,1),Xero_Raw!$A$4:$A$5003,"&lt;"&amp;EDATE(DATE(2026,4,1),1))+COUNTIFS(Customer_Invoices_Upload!$E$4:$E$5003,$A95,Customer_Invoices_Upload!$G$4:$G$5003,"*Subscription*",Customer_Invoices_Upload!$B$4:$B$5003,"&gt;="&amp;DATE(2026,4,1),Customer_Invoices_Upload!$B$4:$B$5003,"&lt;"&amp;EDATE(DATE(2026,4,1),1))+COUNTIFS(Stripe_Invoices_Upload!$D$4:$D$5003,$A95,Stripe_Invoices_Upload!$E$4:$E$5003,"*Subscription*",Stripe_Invoices_Upload!$A$4:$A$5003,"&gt;="&amp;DATE(2026,4,1),Stripe_Invoices_Upload!$A$4:$A$5003,"&lt;"&amp;EDATE(DATE(2026,4,1),1)))&gt;0,"✓ Invoiced","⚠ Due"),""),""))</f>
        <v/>
      </c>
      <c r="H95" s="130" t="str">
        <f aca="false">IF($A95="","",IF((DATE(YEAR($E95),MONTH($E95),1)&lt;=DATE(2026,5,1)),IF((MOD(DATEDIF(DATE(YEAR($E95),MONTH($E95),1),DATE(2026,5,1),"m"),IF($D95="Quarterly",3,IF($D95="Annual",12,1)))=0),IF((COUNTIFS(Xero_Raw!$D$4:$D$5003,$A95,Xero_Raw!$G$4:$G$5003,"*Subscription*",Xero_Raw!$A$4:$A$5003,"&gt;="&amp;DATE(2026,5,1),Xero_Raw!$A$4:$A$5003,"&lt;"&amp;EDATE(DATE(2026,5,1),1))+COUNTIFS(Customer_Invoices_Upload!$E$4:$E$5003,$A95,Customer_Invoices_Upload!$G$4:$G$5003,"*Subscription*",Customer_Invoices_Upload!$B$4:$B$5003,"&gt;="&amp;DATE(2026,5,1),Customer_Invoices_Upload!$B$4:$B$5003,"&lt;"&amp;EDATE(DATE(2026,5,1),1))+COUNTIFS(Stripe_Invoices_Upload!$D$4:$D$5003,$A95,Stripe_Invoices_Upload!$E$4:$E$5003,"*Subscription*",Stripe_Invoices_Upload!$A$4:$A$5003,"&gt;="&amp;DATE(2026,5,1),Stripe_Invoices_Upload!$A$4:$A$5003,"&lt;"&amp;EDATE(DATE(2026,5,1),1)))&gt;0,"✓ Invoiced","⚠ Due"),""),""))</f>
        <v/>
      </c>
      <c r="I95" s="130" t="str">
        <f aca="false">IF($A95="","",IF((DATE(YEAR($E95),MONTH($E95),1)&lt;=DATE(2026,6,1)),IF((MOD(DATEDIF(DATE(YEAR($E95),MONTH($E95),1),DATE(2026,6,1),"m"),IF($D95="Quarterly",3,IF($D95="Annual",12,1)))=0),IF((COUNTIFS(Xero_Raw!$D$4:$D$5003,$A95,Xero_Raw!$G$4:$G$5003,"*Subscription*",Xero_Raw!$A$4:$A$5003,"&gt;="&amp;DATE(2026,6,1),Xero_Raw!$A$4:$A$5003,"&lt;"&amp;EDATE(DATE(2026,6,1),1))+COUNTIFS(Customer_Invoices_Upload!$E$4:$E$5003,$A95,Customer_Invoices_Upload!$G$4:$G$5003,"*Subscription*",Customer_Invoices_Upload!$B$4:$B$5003,"&gt;="&amp;DATE(2026,6,1),Customer_Invoices_Upload!$B$4:$B$5003,"&lt;"&amp;EDATE(DATE(2026,6,1),1))+COUNTIFS(Stripe_Invoices_Upload!$D$4:$D$5003,$A95,Stripe_Invoices_Upload!$E$4:$E$5003,"*Subscription*",Stripe_Invoices_Upload!$A$4:$A$5003,"&gt;="&amp;DATE(2026,6,1),Stripe_Invoices_Upload!$A$4:$A$5003,"&lt;"&amp;EDATE(DATE(2026,6,1),1)))&gt;0,"✓ Invoiced","⚠ Due"),""),""))</f>
        <v/>
      </c>
      <c r="J95" s="130" t="str">
        <f aca="false">IF($A95="","",IF((DATE(YEAR($E95),MONTH($E95),1)&lt;=DATE(2026,7,1)),IF((MOD(DATEDIF(DATE(YEAR($E95),MONTH($E95),1),DATE(2026,7,1),"m"),IF($D95="Quarterly",3,IF($D95="Annual",12,1)))=0),IF((COUNTIFS(Xero_Raw!$D$4:$D$5003,$A95,Xero_Raw!$G$4:$G$5003,"*Subscription*",Xero_Raw!$A$4:$A$5003,"&gt;="&amp;DATE(2026,7,1),Xero_Raw!$A$4:$A$5003,"&lt;"&amp;EDATE(DATE(2026,7,1),1))+COUNTIFS(Customer_Invoices_Upload!$E$4:$E$5003,$A95,Customer_Invoices_Upload!$G$4:$G$5003,"*Subscription*",Customer_Invoices_Upload!$B$4:$B$5003,"&gt;="&amp;DATE(2026,7,1),Customer_Invoices_Upload!$B$4:$B$5003,"&lt;"&amp;EDATE(DATE(2026,7,1),1))+COUNTIFS(Stripe_Invoices_Upload!$D$4:$D$5003,$A95,Stripe_Invoices_Upload!$E$4:$E$5003,"*Subscription*",Stripe_Invoices_Upload!$A$4:$A$5003,"&gt;="&amp;DATE(2026,7,1),Stripe_Invoices_Upload!$A$4:$A$5003,"&lt;"&amp;EDATE(DATE(2026,7,1),1)))&gt;0,"✓ Invoiced","⚠ Due"),""),""))</f>
        <v/>
      </c>
      <c r="K95" s="130" t="str">
        <f aca="false">IF($A95="","",IF((DATE(YEAR($E95),MONTH($E95),1)&lt;=DATE(2026,8,1)),IF((MOD(DATEDIF(DATE(YEAR($E95),MONTH($E95),1),DATE(2026,8,1),"m"),IF($D95="Quarterly",3,IF($D95="Annual",12,1)))=0),IF((COUNTIFS(Xero_Raw!$D$4:$D$5003,$A95,Xero_Raw!$G$4:$G$5003,"*Subscription*",Xero_Raw!$A$4:$A$5003,"&gt;="&amp;DATE(2026,8,1),Xero_Raw!$A$4:$A$5003,"&lt;"&amp;EDATE(DATE(2026,8,1),1))+COUNTIFS(Customer_Invoices_Upload!$E$4:$E$5003,$A95,Customer_Invoices_Upload!$G$4:$G$5003,"*Subscription*",Customer_Invoices_Upload!$B$4:$B$5003,"&gt;="&amp;DATE(2026,8,1),Customer_Invoices_Upload!$B$4:$B$5003,"&lt;"&amp;EDATE(DATE(2026,8,1),1))+COUNTIFS(Stripe_Invoices_Upload!$D$4:$D$5003,$A95,Stripe_Invoices_Upload!$E$4:$E$5003,"*Subscription*",Stripe_Invoices_Upload!$A$4:$A$5003,"&gt;="&amp;DATE(2026,8,1),Stripe_Invoices_Upload!$A$4:$A$5003,"&lt;"&amp;EDATE(DATE(2026,8,1),1)))&gt;0,"✓ Invoiced","⚠ Due"),""),""))</f>
        <v/>
      </c>
      <c r="L95" s="130" t="str">
        <f aca="false">IF($A95="","",IF((DATE(YEAR($E95),MONTH($E95),1)&lt;=DATE(2026,9,1)),IF((MOD(DATEDIF(DATE(YEAR($E95),MONTH($E95),1),DATE(2026,9,1),"m"),IF($D95="Quarterly",3,IF($D95="Annual",12,1)))=0),IF((COUNTIFS(Xero_Raw!$D$4:$D$5003,$A95,Xero_Raw!$G$4:$G$5003,"*Subscription*",Xero_Raw!$A$4:$A$5003,"&gt;="&amp;DATE(2026,9,1),Xero_Raw!$A$4:$A$5003,"&lt;"&amp;EDATE(DATE(2026,9,1),1))+COUNTIFS(Customer_Invoices_Upload!$E$4:$E$5003,$A95,Customer_Invoices_Upload!$G$4:$G$5003,"*Subscription*",Customer_Invoices_Upload!$B$4:$B$5003,"&gt;="&amp;DATE(2026,9,1),Customer_Invoices_Upload!$B$4:$B$5003,"&lt;"&amp;EDATE(DATE(2026,9,1),1))+COUNTIFS(Stripe_Invoices_Upload!$D$4:$D$5003,$A95,Stripe_Invoices_Upload!$E$4:$E$5003,"*Subscription*",Stripe_Invoices_Upload!$A$4:$A$5003,"&gt;="&amp;DATE(2026,9,1),Stripe_Invoices_Upload!$A$4:$A$5003,"&lt;"&amp;EDATE(DATE(2026,9,1),1)))&gt;0,"✓ Invoiced","⚠ Due"),""),""))</f>
        <v/>
      </c>
      <c r="M95" s="130" t="str">
        <f aca="false">IF($A95="","",IF((DATE(YEAR($E95),MONTH($E95),1)&lt;=DATE(2026,10,1)),IF((MOD(DATEDIF(DATE(YEAR($E95),MONTH($E95),1),DATE(2026,10,1),"m"),IF($D95="Quarterly",3,IF($D95="Annual",12,1)))=0),IF((COUNTIFS(Xero_Raw!$D$4:$D$5003,$A95,Xero_Raw!$G$4:$G$5003,"*Subscription*",Xero_Raw!$A$4:$A$5003,"&gt;="&amp;DATE(2026,10,1),Xero_Raw!$A$4:$A$5003,"&lt;"&amp;EDATE(DATE(2026,10,1),1))+COUNTIFS(Customer_Invoices_Upload!$E$4:$E$5003,$A95,Customer_Invoices_Upload!$G$4:$G$5003,"*Subscription*",Customer_Invoices_Upload!$B$4:$B$5003,"&gt;="&amp;DATE(2026,10,1),Customer_Invoices_Upload!$B$4:$B$5003,"&lt;"&amp;EDATE(DATE(2026,10,1),1))+COUNTIFS(Stripe_Invoices_Upload!$D$4:$D$5003,$A95,Stripe_Invoices_Upload!$E$4:$E$5003,"*Subscription*",Stripe_Invoices_Upload!$A$4:$A$5003,"&gt;="&amp;DATE(2026,10,1),Stripe_Invoices_Upload!$A$4:$A$5003,"&lt;"&amp;EDATE(DATE(2026,10,1),1)))&gt;0,"✓ Invoiced","⚠ Due"),""),""))</f>
        <v/>
      </c>
      <c r="N95" s="130" t="str">
        <f aca="false">IF($A95="","",IF((DATE(YEAR($E95),MONTH($E95),1)&lt;=DATE(2026,11,1)),IF((MOD(DATEDIF(DATE(YEAR($E95),MONTH($E95),1),DATE(2026,11,1),"m"),IF($D95="Quarterly",3,IF($D95="Annual",12,1)))=0),IF((COUNTIFS(Xero_Raw!$D$4:$D$5003,$A95,Xero_Raw!$G$4:$G$5003,"*Subscription*",Xero_Raw!$A$4:$A$5003,"&gt;="&amp;DATE(2026,11,1),Xero_Raw!$A$4:$A$5003,"&lt;"&amp;EDATE(DATE(2026,11,1),1))+COUNTIFS(Customer_Invoices_Upload!$E$4:$E$5003,$A95,Customer_Invoices_Upload!$G$4:$G$5003,"*Subscription*",Customer_Invoices_Upload!$B$4:$B$5003,"&gt;="&amp;DATE(2026,11,1),Customer_Invoices_Upload!$B$4:$B$5003,"&lt;"&amp;EDATE(DATE(2026,11,1),1))+COUNTIFS(Stripe_Invoices_Upload!$D$4:$D$5003,$A95,Stripe_Invoices_Upload!$E$4:$E$5003,"*Subscription*",Stripe_Invoices_Upload!$A$4:$A$5003,"&gt;="&amp;DATE(2026,11,1),Stripe_Invoices_Upload!$A$4:$A$5003,"&lt;"&amp;EDATE(DATE(2026,11,1),1)))&gt;0,"✓ Invoiced","⚠ Due"),""),""))</f>
        <v/>
      </c>
      <c r="O95" s="130" t="str">
        <f aca="false">IF($A95="","",IF((DATE(YEAR($E95),MONTH($E95),1)&lt;=DATE(2026,12,1)),IF((MOD(DATEDIF(DATE(YEAR($E95),MONTH($E95),1),DATE(2026,12,1),"m"),IF($D95="Quarterly",3,IF($D95="Annual",12,1)))=0),IF((COUNTIFS(Xero_Raw!$D$4:$D$5003,$A95,Xero_Raw!$G$4:$G$5003,"*Subscription*",Xero_Raw!$A$4:$A$5003,"&gt;="&amp;DATE(2026,12,1),Xero_Raw!$A$4:$A$5003,"&lt;"&amp;EDATE(DATE(2026,12,1),1))+COUNTIFS(Customer_Invoices_Upload!$E$4:$E$5003,$A95,Customer_Invoices_Upload!$G$4:$G$5003,"*Subscription*",Customer_Invoices_Upload!$B$4:$B$5003,"&gt;="&amp;DATE(2026,12,1),Customer_Invoices_Upload!$B$4:$B$5003,"&lt;"&amp;EDATE(DATE(2026,12,1),1))+COUNTIFS(Stripe_Invoices_Upload!$D$4:$D$5003,$A95,Stripe_Invoices_Upload!$E$4:$E$5003,"*Subscription*",Stripe_Invoices_Upload!$A$4:$A$5003,"&gt;="&amp;DATE(2026,12,1),Stripe_Invoices_Upload!$A$4:$A$5003,"&lt;"&amp;EDATE(DATE(2026,12,1),1)))&gt;0,"✓ Invoiced","⚠ Due"),""),""))</f>
        <v/>
      </c>
      <c r="P95" s="130" t="str">
        <f aca="false">IF($A95="","",IF((DATE(YEAR($E95),MONTH($E95),1)&lt;=DATE(2027,1,1)),IF((MOD(DATEDIF(DATE(YEAR($E95),MONTH($E95),1),DATE(2027,1,1),"m"),IF($D95="Quarterly",3,IF($D95="Annual",12,1)))=0),IF((COUNTIFS(Xero_Raw!$D$4:$D$5003,$A95,Xero_Raw!$G$4:$G$5003,"*Subscription*",Xero_Raw!$A$4:$A$5003,"&gt;="&amp;DATE(2027,1,1),Xero_Raw!$A$4:$A$5003,"&lt;"&amp;EDATE(DATE(2027,1,1),1))+COUNTIFS(Customer_Invoices_Upload!$E$4:$E$5003,$A95,Customer_Invoices_Upload!$G$4:$G$5003,"*Subscription*",Customer_Invoices_Upload!$B$4:$B$5003,"&gt;="&amp;DATE(2027,1,1),Customer_Invoices_Upload!$B$4:$B$5003,"&lt;"&amp;EDATE(DATE(2027,1,1),1))+COUNTIFS(Stripe_Invoices_Upload!$D$4:$D$5003,$A95,Stripe_Invoices_Upload!$E$4:$E$5003,"*Subscription*",Stripe_Invoices_Upload!$A$4:$A$5003,"&gt;="&amp;DATE(2027,1,1),Stripe_Invoices_Upload!$A$4:$A$5003,"&lt;"&amp;EDATE(DATE(2027,1,1),1)))&gt;0,"✓ Invoiced","⚠ Due"),""),""))</f>
        <v/>
      </c>
      <c r="Q95" s="130" t="str">
        <f aca="false">IF($A95="","",IF((DATE(YEAR($E95),MONTH($E95),1)&lt;=DATE(2027,2,1)),IF((MOD(DATEDIF(DATE(YEAR($E95),MONTH($E95),1),DATE(2027,2,1),"m"),IF($D95="Quarterly",3,IF($D95="Annual",12,1)))=0),IF((COUNTIFS(Xero_Raw!$D$4:$D$5003,$A95,Xero_Raw!$G$4:$G$5003,"*Subscription*",Xero_Raw!$A$4:$A$5003,"&gt;="&amp;DATE(2027,2,1),Xero_Raw!$A$4:$A$5003,"&lt;"&amp;EDATE(DATE(2027,2,1),1))+COUNTIFS(Customer_Invoices_Upload!$E$4:$E$5003,$A95,Customer_Invoices_Upload!$G$4:$G$5003,"*Subscription*",Customer_Invoices_Upload!$B$4:$B$5003,"&gt;="&amp;DATE(2027,2,1),Customer_Invoices_Upload!$B$4:$B$5003,"&lt;"&amp;EDATE(DATE(2027,2,1),1))+COUNTIFS(Stripe_Invoices_Upload!$D$4:$D$5003,$A95,Stripe_Invoices_Upload!$E$4:$E$5003,"*Subscription*",Stripe_Invoices_Upload!$A$4:$A$5003,"&gt;="&amp;DATE(2027,2,1),Stripe_Invoices_Upload!$A$4:$A$5003,"&lt;"&amp;EDATE(DATE(2027,2,1),1)))&gt;0,"✓ Invoiced","⚠ Due"),""),""))</f>
        <v/>
      </c>
      <c r="R95" s="130" t="str">
        <f aca="false">IF($A95="","",IF((DATE(YEAR($E95),MONTH($E95),1)&lt;=DATE(2027,3,1)),IF((MOD(DATEDIF(DATE(YEAR($E95),MONTH($E95),1),DATE(2027,3,1),"m"),IF($D95="Quarterly",3,IF($D95="Annual",12,1)))=0),IF((COUNTIFS(Xero_Raw!$D$4:$D$5003,$A95,Xero_Raw!$G$4:$G$5003,"*Subscription*",Xero_Raw!$A$4:$A$5003,"&gt;="&amp;DATE(2027,3,1),Xero_Raw!$A$4:$A$5003,"&lt;"&amp;EDATE(DATE(2027,3,1),1))+COUNTIFS(Customer_Invoices_Upload!$E$4:$E$5003,$A95,Customer_Invoices_Upload!$G$4:$G$5003,"*Subscription*",Customer_Invoices_Upload!$B$4:$B$5003,"&gt;="&amp;DATE(2027,3,1),Customer_Invoices_Upload!$B$4:$B$5003,"&lt;"&amp;EDATE(DATE(2027,3,1),1))+COUNTIFS(Stripe_Invoices_Upload!$D$4:$D$5003,$A95,Stripe_Invoices_Upload!$E$4:$E$5003,"*Subscription*",Stripe_Invoices_Upload!$A$4:$A$5003,"&gt;="&amp;DATE(2027,3,1),Stripe_Invoices_Upload!$A$4:$A$5003,"&lt;"&amp;EDATE(DATE(2027,3,1),1)))&gt;0,"✓ Invoiced","⚠ Due"),""),""))</f>
        <v/>
      </c>
    </row>
    <row r="96" customFormat="false" ht="15" hidden="false" customHeight="false" outlineLevel="0" collapsed="false">
      <c r="A96" s="39"/>
      <c r="B96" s="39"/>
      <c r="C96" s="40"/>
      <c r="D96" s="39"/>
      <c r="E96" s="38"/>
      <c r="F96" s="129" t="str">
        <f aca="true">IF($A96="","",EDATE($E96,DATEDIF($E96,TODAY(),"m")+1))</f>
        <v/>
      </c>
      <c r="G96" s="130" t="str">
        <f aca="false">IF($A96="","",IF((DATE(YEAR($E96),MONTH($E96),1)&lt;=DATE(2026,4,1)),IF((MOD(DATEDIF(DATE(YEAR($E96),MONTH($E96),1),DATE(2026,4,1),"m"),IF($D96="Quarterly",3,IF($D96="Annual",12,1)))=0),IF((COUNTIFS(Xero_Raw!$D$4:$D$5003,$A96,Xero_Raw!$G$4:$G$5003,"*Subscription*",Xero_Raw!$A$4:$A$5003,"&gt;="&amp;DATE(2026,4,1),Xero_Raw!$A$4:$A$5003,"&lt;"&amp;EDATE(DATE(2026,4,1),1))+COUNTIFS(Customer_Invoices_Upload!$E$4:$E$5003,$A96,Customer_Invoices_Upload!$G$4:$G$5003,"*Subscription*",Customer_Invoices_Upload!$B$4:$B$5003,"&gt;="&amp;DATE(2026,4,1),Customer_Invoices_Upload!$B$4:$B$5003,"&lt;"&amp;EDATE(DATE(2026,4,1),1))+COUNTIFS(Stripe_Invoices_Upload!$D$4:$D$5003,$A96,Stripe_Invoices_Upload!$E$4:$E$5003,"*Subscription*",Stripe_Invoices_Upload!$A$4:$A$5003,"&gt;="&amp;DATE(2026,4,1),Stripe_Invoices_Upload!$A$4:$A$5003,"&lt;"&amp;EDATE(DATE(2026,4,1),1)))&gt;0,"✓ Invoiced","⚠ Due"),""),""))</f>
        <v/>
      </c>
      <c r="H96" s="130" t="str">
        <f aca="false">IF($A96="","",IF((DATE(YEAR($E96),MONTH($E96),1)&lt;=DATE(2026,5,1)),IF((MOD(DATEDIF(DATE(YEAR($E96),MONTH($E96),1),DATE(2026,5,1),"m"),IF($D96="Quarterly",3,IF($D96="Annual",12,1)))=0),IF((COUNTIFS(Xero_Raw!$D$4:$D$5003,$A96,Xero_Raw!$G$4:$G$5003,"*Subscription*",Xero_Raw!$A$4:$A$5003,"&gt;="&amp;DATE(2026,5,1),Xero_Raw!$A$4:$A$5003,"&lt;"&amp;EDATE(DATE(2026,5,1),1))+COUNTIFS(Customer_Invoices_Upload!$E$4:$E$5003,$A96,Customer_Invoices_Upload!$G$4:$G$5003,"*Subscription*",Customer_Invoices_Upload!$B$4:$B$5003,"&gt;="&amp;DATE(2026,5,1),Customer_Invoices_Upload!$B$4:$B$5003,"&lt;"&amp;EDATE(DATE(2026,5,1),1))+COUNTIFS(Stripe_Invoices_Upload!$D$4:$D$5003,$A96,Stripe_Invoices_Upload!$E$4:$E$5003,"*Subscription*",Stripe_Invoices_Upload!$A$4:$A$5003,"&gt;="&amp;DATE(2026,5,1),Stripe_Invoices_Upload!$A$4:$A$5003,"&lt;"&amp;EDATE(DATE(2026,5,1),1)))&gt;0,"✓ Invoiced","⚠ Due"),""),""))</f>
        <v/>
      </c>
      <c r="I96" s="130" t="str">
        <f aca="false">IF($A96="","",IF((DATE(YEAR($E96),MONTH($E96),1)&lt;=DATE(2026,6,1)),IF((MOD(DATEDIF(DATE(YEAR($E96),MONTH($E96),1),DATE(2026,6,1),"m"),IF($D96="Quarterly",3,IF($D96="Annual",12,1)))=0),IF((COUNTIFS(Xero_Raw!$D$4:$D$5003,$A96,Xero_Raw!$G$4:$G$5003,"*Subscription*",Xero_Raw!$A$4:$A$5003,"&gt;="&amp;DATE(2026,6,1),Xero_Raw!$A$4:$A$5003,"&lt;"&amp;EDATE(DATE(2026,6,1),1))+COUNTIFS(Customer_Invoices_Upload!$E$4:$E$5003,$A96,Customer_Invoices_Upload!$G$4:$G$5003,"*Subscription*",Customer_Invoices_Upload!$B$4:$B$5003,"&gt;="&amp;DATE(2026,6,1),Customer_Invoices_Upload!$B$4:$B$5003,"&lt;"&amp;EDATE(DATE(2026,6,1),1))+COUNTIFS(Stripe_Invoices_Upload!$D$4:$D$5003,$A96,Stripe_Invoices_Upload!$E$4:$E$5003,"*Subscription*",Stripe_Invoices_Upload!$A$4:$A$5003,"&gt;="&amp;DATE(2026,6,1),Stripe_Invoices_Upload!$A$4:$A$5003,"&lt;"&amp;EDATE(DATE(2026,6,1),1)))&gt;0,"✓ Invoiced","⚠ Due"),""),""))</f>
        <v/>
      </c>
      <c r="J96" s="130" t="str">
        <f aca="false">IF($A96="","",IF((DATE(YEAR($E96),MONTH($E96),1)&lt;=DATE(2026,7,1)),IF((MOD(DATEDIF(DATE(YEAR($E96),MONTH($E96),1),DATE(2026,7,1),"m"),IF($D96="Quarterly",3,IF($D96="Annual",12,1)))=0),IF((COUNTIFS(Xero_Raw!$D$4:$D$5003,$A96,Xero_Raw!$G$4:$G$5003,"*Subscription*",Xero_Raw!$A$4:$A$5003,"&gt;="&amp;DATE(2026,7,1),Xero_Raw!$A$4:$A$5003,"&lt;"&amp;EDATE(DATE(2026,7,1),1))+COUNTIFS(Customer_Invoices_Upload!$E$4:$E$5003,$A96,Customer_Invoices_Upload!$G$4:$G$5003,"*Subscription*",Customer_Invoices_Upload!$B$4:$B$5003,"&gt;="&amp;DATE(2026,7,1),Customer_Invoices_Upload!$B$4:$B$5003,"&lt;"&amp;EDATE(DATE(2026,7,1),1))+COUNTIFS(Stripe_Invoices_Upload!$D$4:$D$5003,$A96,Stripe_Invoices_Upload!$E$4:$E$5003,"*Subscription*",Stripe_Invoices_Upload!$A$4:$A$5003,"&gt;="&amp;DATE(2026,7,1),Stripe_Invoices_Upload!$A$4:$A$5003,"&lt;"&amp;EDATE(DATE(2026,7,1),1)))&gt;0,"✓ Invoiced","⚠ Due"),""),""))</f>
        <v/>
      </c>
      <c r="K96" s="130" t="str">
        <f aca="false">IF($A96="","",IF((DATE(YEAR($E96),MONTH($E96),1)&lt;=DATE(2026,8,1)),IF((MOD(DATEDIF(DATE(YEAR($E96),MONTH($E96),1),DATE(2026,8,1),"m"),IF($D96="Quarterly",3,IF($D96="Annual",12,1)))=0),IF((COUNTIFS(Xero_Raw!$D$4:$D$5003,$A96,Xero_Raw!$G$4:$G$5003,"*Subscription*",Xero_Raw!$A$4:$A$5003,"&gt;="&amp;DATE(2026,8,1),Xero_Raw!$A$4:$A$5003,"&lt;"&amp;EDATE(DATE(2026,8,1),1))+COUNTIFS(Customer_Invoices_Upload!$E$4:$E$5003,$A96,Customer_Invoices_Upload!$G$4:$G$5003,"*Subscription*",Customer_Invoices_Upload!$B$4:$B$5003,"&gt;="&amp;DATE(2026,8,1),Customer_Invoices_Upload!$B$4:$B$5003,"&lt;"&amp;EDATE(DATE(2026,8,1),1))+COUNTIFS(Stripe_Invoices_Upload!$D$4:$D$5003,$A96,Stripe_Invoices_Upload!$E$4:$E$5003,"*Subscription*",Stripe_Invoices_Upload!$A$4:$A$5003,"&gt;="&amp;DATE(2026,8,1),Stripe_Invoices_Upload!$A$4:$A$5003,"&lt;"&amp;EDATE(DATE(2026,8,1),1)))&gt;0,"✓ Invoiced","⚠ Due"),""),""))</f>
        <v/>
      </c>
      <c r="L96" s="130" t="str">
        <f aca="false">IF($A96="","",IF((DATE(YEAR($E96),MONTH($E96),1)&lt;=DATE(2026,9,1)),IF((MOD(DATEDIF(DATE(YEAR($E96),MONTH($E96),1),DATE(2026,9,1),"m"),IF($D96="Quarterly",3,IF($D96="Annual",12,1)))=0),IF((COUNTIFS(Xero_Raw!$D$4:$D$5003,$A96,Xero_Raw!$G$4:$G$5003,"*Subscription*",Xero_Raw!$A$4:$A$5003,"&gt;="&amp;DATE(2026,9,1),Xero_Raw!$A$4:$A$5003,"&lt;"&amp;EDATE(DATE(2026,9,1),1))+COUNTIFS(Customer_Invoices_Upload!$E$4:$E$5003,$A96,Customer_Invoices_Upload!$G$4:$G$5003,"*Subscription*",Customer_Invoices_Upload!$B$4:$B$5003,"&gt;="&amp;DATE(2026,9,1),Customer_Invoices_Upload!$B$4:$B$5003,"&lt;"&amp;EDATE(DATE(2026,9,1),1))+COUNTIFS(Stripe_Invoices_Upload!$D$4:$D$5003,$A96,Stripe_Invoices_Upload!$E$4:$E$5003,"*Subscription*",Stripe_Invoices_Upload!$A$4:$A$5003,"&gt;="&amp;DATE(2026,9,1),Stripe_Invoices_Upload!$A$4:$A$5003,"&lt;"&amp;EDATE(DATE(2026,9,1),1)))&gt;0,"✓ Invoiced","⚠ Due"),""),""))</f>
        <v/>
      </c>
      <c r="M96" s="130" t="str">
        <f aca="false">IF($A96="","",IF((DATE(YEAR($E96),MONTH($E96),1)&lt;=DATE(2026,10,1)),IF((MOD(DATEDIF(DATE(YEAR($E96),MONTH($E96),1),DATE(2026,10,1),"m"),IF($D96="Quarterly",3,IF($D96="Annual",12,1)))=0),IF((COUNTIFS(Xero_Raw!$D$4:$D$5003,$A96,Xero_Raw!$G$4:$G$5003,"*Subscription*",Xero_Raw!$A$4:$A$5003,"&gt;="&amp;DATE(2026,10,1),Xero_Raw!$A$4:$A$5003,"&lt;"&amp;EDATE(DATE(2026,10,1),1))+COUNTIFS(Customer_Invoices_Upload!$E$4:$E$5003,$A96,Customer_Invoices_Upload!$G$4:$G$5003,"*Subscription*",Customer_Invoices_Upload!$B$4:$B$5003,"&gt;="&amp;DATE(2026,10,1),Customer_Invoices_Upload!$B$4:$B$5003,"&lt;"&amp;EDATE(DATE(2026,10,1),1))+COUNTIFS(Stripe_Invoices_Upload!$D$4:$D$5003,$A96,Stripe_Invoices_Upload!$E$4:$E$5003,"*Subscription*",Stripe_Invoices_Upload!$A$4:$A$5003,"&gt;="&amp;DATE(2026,10,1),Stripe_Invoices_Upload!$A$4:$A$5003,"&lt;"&amp;EDATE(DATE(2026,10,1),1)))&gt;0,"✓ Invoiced","⚠ Due"),""),""))</f>
        <v/>
      </c>
      <c r="N96" s="130" t="str">
        <f aca="false">IF($A96="","",IF((DATE(YEAR($E96),MONTH($E96),1)&lt;=DATE(2026,11,1)),IF((MOD(DATEDIF(DATE(YEAR($E96),MONTH($E96),1),DATE(2026,11,1),"m"),IF($D96="Quarterly",3,IF($D96="Annual",12,1)))=0),IF((COUNTIFS(Xero_Raw!$D$4:$D$5003,$A96,Xero_Raw!$G$4:$G$5003,"*Subscription*",Xero_Raw!$A$4:$A$5003,"&gt;="&amp;DATE(2026,11,1),Xero_Raw!$A$4:$A$5003,"&lt;"&amp;EDATE(DATE(2026,11,1),1))+COUNTIFS(Customer_Invoices_Upload!$E$4:$E$5003,$A96,Customer_Invoices_Upload!$G$4:$G$5003,"*Subscription*",Customer_Invoices_Upload!$B$4:$B$5003,"&gt;="&amp;DATE(2026,11,1),Customer_Invoices_Upload!$B$4:$B$5003,"&lt;"&amp;EDATE(DATE(2026,11,1),1))+COUNTIFS(Stripe_Invoices_Upload!$D$4:$D$5003,$A96,Stripe_Invoices_Upload!$E$4:$E$5003,"*Subscription*",Stripe_Invoices_Upload!$A$4:$A$5003,"&gt;="&amp;DATE(2026,11,1),Stripe_Invoices_Upload!$A$4:$A$5003,"&lt;"&amp;EDATE(DATE(2026,11,1),1)))&gt;0,"✓ Invoiced","⚠ Due"),""),""))</f>
        <v/>
      </c>
      <c r="O96" s="130" t="str">
        <f aca="false">IF($A96="","",IF((DATE(YEAR($E96),MONTH($E96),1)&lt;=DATE(2026,12,1)),IF((MOD(DATEDIF(DATE(YEAR($E96),MONTH($E96),1),DATE(2026,12,1),"m"),IF($D96="Quarterly",3,IF($D96="Annual",12,1)))=0),IF((COUNTIFS(Xero_Raw!$D$4:$D$5003,$A96,Xero_Raw!$G$4:$G$5003,"*Subscription*",Xero_Raw!$A$4:$A$5003,"&gt;="&amp;DATE(2026,12,1),Xero_Raw!$A$4:$A$5003,"&lt;"&amp;EDATE(DATE(2026,12,1),1))+COUNTIFS(Customer_Invoices_Upload!$E$4:$E$5003,$A96,Customer_Invoices_Upload!$G$4:$G$5003,"*Subscription*",Customer_Invoices_Upload!$B$4:$B$5003,"&gt;="&amp;DATE(2026,12,1),Customer_Invoices_Upload!$B$4:$B$5003,"&lt;"&amp;EDATE(DATE(2026,12,1),1))+COUNTIFS(Stripe_Invoices_Upload!$D$4:$D$5003,$A96,Stripe_Invoices_Upload!$E$4:$E$5003,"*Subscription*",Stripe_Invoices_Upload!$A$4:$A$5003,"&gt;="&amp;DATE(2026,12,1),Stripe_Invoices_Upload!$A$4:$A$5003,"&lt;"&amp;EDATE(DATE(2026,12,1),1)))&gt;0,"✓ Invoiced","⚠ Due"),""),""))</f>
        <v/>
      </c>
      <c r="P96" s="130" t="str">
        <f aca="false">IF($A96="","",IF((DATE(YEAR($E96),MONTH($E96),1)&lt;=DATE(2027,1,1)),IF((MOD(DATEDIF(DATE(YEAR($E96),MONTH($E96),1),DATE(2027,1,1),"m"),IF($D96="Quarterly",3,IF($D96="Annual",12,1)))=0),IF((COUNTIFS(Xero_Raw!$D$4:$D$5003,$A96,Xero_Raw!$G$4:$G$5003,"*Subscription*",Xero_Raw!$A$4:$A$5003,"&gt;="&amp;DATE(2027,1,1),Xero_Raw!$A$4:$A$5003,"&lt;"&amp;EDATE(DATE(2027,1,1),1))+COUNTIFS(Customer_Invoices_Upload!$E$4:$E$5003,$A96,Customer_Invoices_Upload!$G$4:$G$5003,"*Subscription*",Customer_Invoices_Upload!$B$4:$B$5003,"&gt;="&amp;DATE(2027,1,1),Customer_Invoices_Upload!$B$4:$B$5003,"&lt;"&amp;EDATE(DATE(2027,1,1),1))+COUNTIFS(Stripe_Invoices_Upload!$D$4:$D$5003,$A96,Stripe_Invoices_Upload!$E$4:$E$5003,"*Subscription*",Stripe_Invoices_Upload!$A$4:$A$5003,"&gt;="&amp;DATE(2027,1,1),Stripe_Invoices_Upload!$A$4:$A$5003,"&lt;"&amp;EDATE(DATE(2027,1,1),1)))&gt;0,"✓ Invoiced","⚠ Due"),""),""))</f>
        <v/>
      </c>
      <c r="Q96" s="130" t="str">
        <f aca="false">IF($A96="","",IF((DATE(YEAR($E96),MONTH($E96),1)&lt;=DATE(2027,2,1)),IF((MOD(DATEDIF(DATE(YEAR($E96),MONTH($E96),1),DATE(2027,2,1),"m"),IF($D96="Quarterly",3,IF($D96="Annual",12,1)))=0),IF((COUNTIFS(Xero_Raw!$D$4:$D$5003,$A96,Xero_Raw!$G$4:$G$5003,"*Subscription*",Xero_Raw!$A$4:$A$5003,"&gt;="&amp;DATE(2027,2,1),Xero_Raw!$A$4:$A$5003,"&lt;"&amp;EDATE(DATE(2027,2,1),1))+COUNTIFS(Customer_Invoices_Upload!$E$4:$E$5003,$A96,Customer_Invoices_Upload!$G$4:$G$5003,"*Subscription*",Customer_Invoices_Upload!$B$4:$B$5003,"&gt;="&amp;DATE(2027,2,1),Customer_Invoices_Upload!$B$4:$B$5003,"&lt;"&amp;EDATE(DATE(2027,2,1),1))+COUNTIFS(Stripe_Invoices_Upload!$D$4:$D$5003,$A96,Stripe_Invoices_Upload!$E$4:$E$5003,"*Subscription*",Stripe_Invoices_Upload!$A$4:$A$5003,"&gt;="&amp;DATE(2027,2,1),Stripe_Invoices_Upload!$A$4:$A$5003,"&lt;"&amp;EDATE(DATE(2027,2,1),1)))&gt;0,"✓ Invoiced","⚠ Due"),""),""))</f>
        <v/>
      </c>
      <c r="R96" s="130" t="str">
        <f aca="false">IF($A96="","",IF((DATE(YEAR($E96),MONTH($E96),1)&lt;=DATE(2027,3,1)),IF((MOD(DATEDIF(DATE(YEAR($E96),MONTH($E96),1),DATE(2027,3,1),"m"),IF($D96="Quarterly",3,IF($D96="Annual",12,1)))=0),IF((COUNTIFS(Xero_Raw!$D$4:$D$5003,$A96,Xero_Raw!$G$4:$G$5003,"*Subscription*",Xero_Raw!$A$4:$A$5003,"&gt;="&amp;DATE(2027,3,1),Xero_Raw!$A$4:$A$5003,"&lt;"&amp;EDATE(DATE(2027,3,1),1))+COUNTIFS(Customer_Invoices_Upload!$E$4:$E$5003,$A96,Customer_Invoices_Upload!$G$4:$G$5003,"*Subscription*",Customer_Invoices_Upload!$B$4:$B$5003,"&gt;="&amp;DATE(2027,3,1),Customer_Invoices_Upload!$B$4:$B$5003,"&lt;"&amp;EDATE(DATE(2027,3,1),1))+COUNTIFS(Stripe_Invoices_Upload!$D$4:$D$5003,$A96,Stripe_Invoices_Upload!$E$4:$E$5003,"*Subscription*",Stripe_Invoices_Upload!$A$4:$A$5003,"&gt;="&amp;DATE(2027,3,1),Stripe_Invoices_Upload!$A$4:$A$5003,"&lt;"&amp;EDATE(DATE(2027,3,1),1)))&gt;0,"✓ Invoiced","⚠ Due"),""),""))</f>
        <v/>
      </c>
    </row>
    <row r="97" customFormat="false" ht="15" hidden="false" customHeight="false" outlineLevel="0" collapsed="false">
      <c r="A97" s="39"/>
      <c r="B97" s="39"/>
      <c r="C97" s="40"/>
      <c r="D97" s="39"/>
      <c r="E97" s="38"/>
      <c r="F97" s="129" t="str">
        <f aca="true">IF($A97="","",EDATE($E97,DATEDIF($E97,TODAY(),"m")+1))</f>
        <v/>
      </c>
      <c r="G97" s="130" t="str">
        <f aca="false">IF($A97="","",IF((DATE(YEAR($E97),MONTH($E97),1)&lt;=DATE(2026,4,1)),IF((MOD(DATEDIF(DATE(YEAR($E97),MONTH($E97),1),DATE(2026,4,1),"m"),IF($D97="Quarterly",3,IF($D97="Annual",12,1)))=0),IF((COUNTIFS(Xero_Raw!$D$4:$D$5003,$A97,Xero_Raw!$G$4:$G$5003,"*Subscription*",Xero_Raw!$A$4:$A$5003,"&gt;="&amp;DATE(2026,4,1),Xero_Raw!$A$4:$A$5003,"&lt;"&amp;EDATE(DATE(2026,4,1),1))+COUNTIFS(Customer_Invoices_Upload!$E$4:$E$5003,$A97,Customer_Invoices_Upload!$G$4:$G$5003,"*Subscription*",Customer_Invoices_Upload!$B$4:$B$5003,"&gt;="&amp;DATE(2026,4,1),Customer_Invoices_Upload!$B$4:$B$5003,"&lt;"&amp;EDATE(DATE(2026,4,1),1))+COUNTIFS(Stripe_Invoices_Upload!$D$4:$D$5003,$A97,Stripe_Invoices_Upload!$E$4:$E$5003,"*Subscription*",Stripe_Invoices_Upload!$A$4:$A$5003,"&gt;="&amp;DATE(2026,4,1),Stripe_Invoices_Upload!$A$4:$A$5003,"&lt;"&amp;EDATE(DATE(2026,4,1),1)))&gt;0,"✓ Invoiced","⚠ Due"),""),""))</f>
        <v/>
      </c>
      <c r="H97" s="130" t="str">
        <f aca="false">IF($A97="","",IF((DATE(YEAR($E97),MONTH($E97),1)&lt;=DATE(2026,5,1)),IF((MOD(DATEDIF(DATE(YEAR($E97),MONTH($E97),1),DATE(2026,5,1),"m"),IF($D97="Quarterly",3,IF($D97="Annual",12,1)))=0),IF((COUNTIFS(Xero_Raw!$D$4:$D$5003,$A97,Xero_Raw!$G$4:$G$5003,"*Subscription*",Xero_Raw!$A$4:$A$5003,"&gt;="&amp;DATE(2026,5,1),Xero_Raw!$A$4:$A$5003,"&lt;"&amp;EDATE(DATE(2026,5,1),1))+COUNTIFS(Customer_Invoices_Upload!$E$4:$E$5003,$A97,Customer_Invoices_Upload!$G$4:$G$5003,"*Subscription*",Customer_Invoices_Upload!$B$4:$B$5003,"&gt;="&amp;DATE(2026,5,1),Customer_Invoices_Upload!$B$4:$B$5003,"&lt;"&amp;EDATE(DATE(2026,5,1),1))+COUNTIFS(Stripe_Invoices_Upload!$D$4:$D$5003,$A97,Stripe_Invoices_Upload!$E$4:$E$5003,"*Subscription*",Stripe_Invoices_Upload!$A$4:$A$5003,"&gt;="&amp;DATE(2026,5,1),Stripe_Invoices_Upload!$A$4:$A$5003,"&lt;"&amp;EDATE(DATE(2026,5,1),1)))&gt;0,"✓ Invoiced","⚠ Due"),""),""))</f>
        <v/>
      </c>
      <c r="I97" s="130" t="str">
        <f aca="false">IF($A97="","",IF((DATE(YEAR($E97),MONTH($E97),1)&lt;=DATE(2026,6,1)),IF((MOD(DATEDIF(DATE(YEAR($E97),MONTH($E97),1),DATE(2026,6,1),"m"),IF($D97="Quarterly",3,IF($D97="Annual",12,1)))=0),IF((COUNTIFS(Xero_Raw!$D$4:$D$5003,$A97,Xero_Raw!$G$4:$G$5003,"*Subscription*",Xero_Raw!$A$4:$A$5003,"&gt;="&amp;DATE(2026,6,1),Xero_Raw!$A$4:$A$5003,"&lt;"&amp;EDATE(DATE(2026,6,1),1))+COUNTIFS(Customer_Invoices_Upload!$E$4:$E$5003,$A97,Customer_Invoices_Upload!$G$4:$G$5003,"*Subscription*",Customer_Invoices_Upload!$B$4:$B$5003,"&gt;="&amp;DATE(2026,6,1),Customer_Invoices_Upload!$B$4:$B$5003,"&lt;"&amp;EDATE(DATE(2026,6,1),1))+COUNTIFS(Stripe_Invoices_Upload!$D$4:$D$5003,$A97,Stripe_Invoices_Upload!$E$4:$E$5003,"*Subscription*",Stripe_Invoices_Upload!$A$4:$A$5003,"&gt;="&amp;DATE(2026,6,1),Stripe_Invoices_Upload!$A$4:$A$5003,"&lt;"&amp;EDATE(DATE(2026,6,1),1)))&gt;0,"✓ Invoiced","⚠ Due"),""),""))</f>
        <v/>
      </c>
      <c r="J97" s="130" t="str">
        <f aca="false">IF($A97="","",IF((DATE(YEAR($E97),MONTH($E97),1)&lt;=DATE(2026,7,1)),IF((MOD(DATEDIF(DATE(YEAR($E97),MONTH($E97),1),DATE(2026,7,1),"m"),IF($D97="Quarterly",3,IF($D97="Annual",12,1)))=0),IF((COUNTIFS(Xero_Raw!$D$4:$D$5003,$A97,Xero_Raw!$G$4:$G$5003,"*Subscription*",Xero_Raw!$A$4:$A$5003,"&gt;="&amp;DATE(2026,7,1),Xero_Raw!$A$4:$A$5003,"&lt;"&amp;EDATE(DATE(2026,7,1),1))+COUNTIFS(Customer_Invoices_Upload!$E$4:$E$5003,$A97,Customer_Invoices_Upload!$G$4:$G$5003,"*Subscription*",Customer_Invoices_Upload!$B$4:$B$5003,"&gt;="&amp;DATE(2026,7,1),Customer_Invoices_Upload!$B$4:$B$5003,"&lt;"&amp;EDATE(DATE(2026,7,1),1))+COUNTIFS(Stripe_Invoices_Upload!$D$4:$D$5003,$A97,Stripe_Invoices_Upload!$E$4:$E$5003,"*Subscription*",Stripe_Invoices_Upload!$A$4:$A$5003,"&gt;="&amp;DATE(2026,7,1),Stripe_Invoices_Upload!$A$4:$A$5003,"&lt;"&amp;EDATE(DATE(2026,7,1),1)))&gt;0,"✓ Invoiced","⚠ Due"),""),""))</f>
        <v/>
      </c>
      <c r="K97" s="130" t="str">
        <f aca="false">IF($A97="","",IF((DATE(YEAR($E97),MONTH($E97),1)&lt;=DATE(2026,8,1)),IF((MOD(DATEDIF(DATE(YEAR($E97),MONTH($E97),1),DATE(2026,8,1),"m"),IF($D97="Quarterly",3,IF($D97="Annual",12,1)))=0),IF((COUNTIFS(Xero_Raw!$D$4:$D$5003,$A97,Xero_Raw!$G$4:$G$5003,"*Subscription*",Xero_Raw!$A$4:$A$5003,"&gt;="&amp;DATE(2026,8,1),Xero_Raw!$A$4:$A$5003,"&lt;"&amp;EDATE(DATE(2026,8,1),1))+COUNTIFS(Customer_Invoices_Upload!$E$4:$E$5003,$A97,Customer_Invoices_Upload!$G$4:$G$5003,"*Subscription*",Customer_Invoices_Upload!$B$4:$B$5003,"&gt;="&amp;DATE(2026,8,1),Customer_Invoices_Upload!$B$4:$B$5003,"&lt;"&amp;EDATE(DATE(2026,8,1),1))+COUNTIFS(Stripe_Invoices_Upload!$D$4:$D$5003,$A97,Stripe_Invoices_Upload!$E$4:$E$5003,"*Subscription*",Stripe_Invoices_Upload!$A$4:$A$5003,"&gt;="&amp;DATE(2026,8,1),Stripe_Invoices_Upload!$A$4:$A$5003,"&lt;"&amp;EDATE(DATE(2026,8,1),1)))&gt;0,"✓ Invoiced","⚠ Due"),""),""))</f>
        <v/>
      </c>
      <c r="L97" s="130" t="str">
        <f aca="false">IF($A97="","",IF((DATE(YEAR($E97),MONTH($E97),1)&lt;=DATE(2026,9,1)),IF((MOD(DATEDIF(DATE(YEAR($E97),MONTH($E97),1),DATE(2026,9,1),"m"),IF($D97="Quarterly",3,IF($D97="Annual",12,1)))=0),IF((COUNTIFS(Xero_Raw!$D$4:$D$5003,$A97,Xero_Raw!$G$4:$G$5003,"*Subscription*",Xero_Raw!$A$4:$A$5003,"&gt;="&amp;DATE(2026,9,1),Xero_Raw!$A$4:$A$5003,"&lt;"&amp;EDATE(DATE(2026,9,1),1))+COUNTIFS(Customer_Invoices_Upload!$E$4:$E$5003,$A97,Customer_Invoices_Upload!$G$4:$G$5003,"*Subscription*",Customer_Invoices_Upload!$B$4:$B$5003,"&gt;="&amp;DATE(2026,9,1),Customer_Invoices_Upload!$B$4:$B$5003,"&lt;"&amp;EDATE(DATE(2026,9,1),1))+COUNTIFS(Stripe_Invoices_Upload!$D$4:$D$5003,$A97,Stripe_Invoices_Upload!$E$4:$E$5003,"*Subscription*",Stripe_Invoices_Upload!$A$4:$A$5003,"&gt;="&amp;DATE(2026,9,1),Stripe_Invoices_Upload!$A$4:$A$5003,"&lt;"&amp;EDATE(DATE(2026,9,1),1)))&gt;0,"✓ Invoiced","⚠ Due"),""),""))</f>
        <v/>
      </c>
      <c r="M97" s="130" t="str">
        <f aca="false">IF($A97="","",IF((DATE(YEAR($E97),MONTH($E97),1)&lt;=DATE(2026,10,1)),IF((MOD(DATEDIF(DATE(YEAR($E97),MONTH($E97),1),DATE(2026,10,1),"m"),IF($D97="Quarterly",3,IF($D97="Annual",12,1)))=0),IF((COUNTIFS(Xero_Raw!$D$4:$D$5003,$A97,Xero_Raw!$G$4:$G$5003,"*Subscription*",Xero_Raw!$A$4:$A$5003,"&gt;="&amp;DATE(2026,10,1),Xero_Raw!$A$4:$A$5003,"&lt;"&amp;EDATE(DATE(2026,10,1),1))+COUNTIFS(Customer_Invoices_Upload!$E$4:$E$5003,$A97,Customer_Invoices_Upload!$G$4:$G$5003,"*Subscription*",Customer_Invoices_Upload!$B$4:$B$5003,"&gt;="&amp;DATE(2026,10,1),Customer_Invoices_Upload!$B$4:$B$5003,"&lt;"&amp;EDATE(DATE(2026,10,1),1))+COUNTIFS(Stripe_Invoices_Upload!$D$4:$D$5003,$A97,Stripe_Invoices_Upload!$E$4:$E$5003,"*Subscription*",Stripe_Invoices_Upload!$A$4:$A$5003,"&gt;="&amp;DATE(2026,10,1),Stripe_Invoices_Upload!$A$4:$A$5003,"&lt;"&amp;EDATE(DATE(2026,10,1),1)))&gt;0,"✓ Invoiced","⚠ Due"),""),""))</f>
        <v/>
      </c>
      <c r="N97" s="130" t="str">
        <f aca="false">IF($A97="","",IF((DATE(YEAR($E97),MONTH($E97),1)&lt;=DATE(2026,11,1)),IF((MOD(DATEDIF(DATE(YEAR($E97),MONTH($E97),1),DATE(2026,11,1),"m"),IF($D97="Quarterly",3,IF($D97="Annual",12,1)))=0),IF((COUNTIFS(Xero_Raw!$D$4:$D$5003,$A97,Xero_Raw!$G$4:$G$5003,"*Subscription*",Xero_Raw!$A$4:$A$5003,"&gt;="&amp;DATE(2026,11,1),Xero_Raw!$A$4:$A$5003,"&lt;"&amp;EDATE(DATE(2026,11,1),1))+COUNTIFS(Customer_Invoices_Upload!$E$4:$E$5003,$A97,Customer_Invoices_Upload!$G$4:$G$5003,"*Subscription*",Customer_Invoices_Upload!$B$4:$B$5003,"&gt;="&amp;DATE(2026,11,1),Customer_Invoices_Upload!$B$4:$B$5003,"&lt;"&amp;EDATE(DATE(2026,11,1),1))+COUNTIFS(Stripe_Invoices_Upload!$D$4:$D$5003,$A97,Stripe_Invoices_Upload!$E$4:$E$5003,"*Subscription*",Stripe_Invoices_Upload!$A$4:$A$5003,"&gt;="&amp;DATE(2026,11,1),Stripe_Invoices_Upload!$A$4:$A$5003,"&lt;"&amp;EDATE(DATE(2026,11,1),1)))&gt;0,"✓ Invoiced","⚠ Due"),""),""))</f>
        <v/>
      </c>
      <c r="O97" s="130" t="str">
        <f aca="false">IF($A97="","",IF((DATE(YEAR($E97),MONTH($E97),1)&lt;=DATE(2026,12,1)),IF((MOD(DATEDIF(DATE(YEAR($E97),MONTH($E97),1),DATE(2026,12,1),"m"),IF($D97="Quarterly",3,IF($D97="Annual",12,1)))=0),IF((COUNTIFS(Xero_Raw!$D$4:$D$5003,$A97,Xero_Raw!$G$4:$G$5003,"*Subscription*",Xero_Raw!$A$4:$A$5003,"&gt;="&amp;DATE(2026,12,1),Xero_Raw!$A$4:$A$5003,"&lt;"&amp;EDATE(DATE(2026,12,1),1))+COUNTIFS(Customer_Invoices_Upload!$E$4:$E$5003,$A97,Customer_Invoices_Upload!$G$4:$G$5003,"*Subscription*",Customer_Invoices_Upload!$B$4:$B$5003,"&gt;="&amp;DATE(2026,12,1),Customer_Invoices_Upload!$B$4:$B$5003,"&lt;"&amp;EDATE(DATE(2026,12,1),1))+COUNTIFS(Stripe_Invoices_Upload!$D$4:$D$5003,$A97,Stripe_Invoices_Upload!$E$4:$E$5003,"*Subscription*",Stripe_Invoices_Upload!$A$4:$A$5003,"&gt;="&amp;DATE(2026,12,1),Stripe_Invoices_Upload!$A$4:$A$5003,"&lt;"&amp;EDATE(DATE(2026,12,1),1)))&gt;0,"✓ Invoiced","⚠ Due"),""),""))</f>
        <v/>
      </c>
      <c r="P97" s="130" t="str">
        <f aca="false">IF($A97="","",IF((DATE(YEAR($E97),MONTH($E97),1)&lt;=DATE(2027,1,1)),IF((MOD(DATEDIF(DATE(YEAR($E97),MONTH($E97),1),DATE(2027,1,1),"m"),IF($D97="Quarterly",3,IF($D97="Annual",12,1)))=0),IF((COUNTIFS(Xero_Raw!$D$4:$D$5003,$A97,Xero_Raw!$G$4:$G$5003,"*Subscription*",Xero_Raw!$A$4:$A$5003,"&gt;="&amp;DATE(2027,1,1),Xero_Raw!$A$4:$A$5003,"&lt;"&amp;EDATE(DATE(2027,1,1),1))+COUNTIFS(Customer_Invoices_Upload!$E$4:$E$5003,$A97,Customer_Invoices_Upload!$G$4:$G$5003,"*Subscription*",Customer_Invoices_Upload!$B$4:$B$5003,"&gt;="&amp;DATE(2027,1,1),Customer_Invoices_Upload!$B$4:$B$5003,"&lt;"&amp;EDATE(DATE(2027,1,1),1))+COUNTIFS(Stripe_Invoices_Upload!$D$4:$D$5003,$A97,Stripe_Invoices_Upload!$E$4:$E$5003,"*Subscription*",Stripe_Invoices_Upload!$A$4:$A$5003,"&gt;="&amp;DATE(2027,1,1),Stripe_Invoices_Upload!$A$4:$A$5003,"&lt;"&amp;EDATE(DATE(2027,1,1),1)))&gt;0,"✓ Invoiced","⚠ Due"),""),""))</f>
        <v/>
      </c>
      <c r="Q97" s="130" t="str">
        <f aca="false">IF($A97="","",IF((DATE(YEAR($E97),MONTH($E97),1)&lt;=DATE(2027,2,1)),IF((MOD(DATEDIF(DATE(YEAR($E97),MONTH($E97),1),DATE(2027,2,1),"m"),IF($D97="Quarterly",3,IF($D97="Annual",12,1)))=0),IF((COUNTIFS(Xero_Raw!$D$4:$D$5003,$A97,Xero_Raw!$G$4:$G$5003,"*Subscription*",Xero_Raw!$A$4:$A$5003,"&gt;="&amp;DATE(2027,2,1),Xero_Raw!$A$4:$A$5003,"&lt;"&amp;EDATE(DATE(2027,2,1),1))+COUNTIFS(Customer_Invoices_Upload!$E$4:$E$5003,$A97,Customer_Invoices_Upload!$G$4:$G$5003,"*Subscription*",Customer_Invoices_Upload!$B$4:$B$5003,"&gt;="&amp;DATE(2027,2,1),Customer_Invoices_Upload!$B$4:$B$5003,"&lt;"&amp;EDATE(DATE(2027,2,1),1))+COUNTIFS(Stripe_Invoices_Upload!$D$4:$D$5003,$A97,Stripe_Invoices_Upload!$E$4:$E$5003,"*Subscription*",Stripe_Invoices_Upload!$A$4:$A$5003,"&gt;="&amp;DATE(2027,2,1),Stripe_Invoices_Upload!$A$4:$A$5003,"&lt;"&amp;EDATE(DATE(2027,2,1),1)))&gt;0,"✓ Invoiced","⚠ Due"),""),""))</f>
        <v/>
      </c>
      <c r="R97" s="130" t="str">
        <f aca="false">IF($A97="","",IF((DATE(YEAR($E97),MONTH($E97),1)&lt;=DATE(2027,3,1)),IF((MOD(DATEDIF(DATE(YEAR($E97),MONTH($E97),1),DATE(2027,3,1),"m"),IF($D97="Quarterly",3,IF($D97="Annual",12,1)))=0),IF((COUNTIFS(Xero_Raw!$D$4:$D$5003,$A97,Xero_Raw!$G$4:$G$5003,"*Subscription*",Xero_Raw!$A$4:$A$5003,"&gt;="&amp;DATE(2027,3,1),Xero_Raw!$A$4:$A$5003,"&lt;"&amp;EDATE(DATE(2027,3,1),1))+COUNTIFS(Customer_Invoices_Upload!$E$4:$E$5003,$A97,Customer_Invoices_Upload!$G$4:$G$5003,"*Subscription*",Customer_Invoices_Upload!$B$4:$B$5003,"&gt;="&amp;DATE(2027,3,1),Customer_Invoices_Upload!$B$4:$B$5003,"&lt;"&amp;EDATE(DATE(2027,3,1),1))+COUNTIFS(Stripe_Invoices_Upload!$D$4:$D$5003,$A97,Stripe_Invoices_Upload!$E$4:$E$5003,"*Subscription*",Stripe_Invoices_Upload!$A$4:$A$5003,"&gt;="&amp;DATE(2027,3,1),Stripe_Invoices_Upload!$A$4:$A$5003,"&lt;"&amp;EDATE(DATE(2027,3,1),1)))&gt;0,"✓ Invoiced","⚠ Due"),""),""))</f>
        <v/>
      </c>
    </row>
    <row r="98" customFormat="false" ht="15" hidden="false" customHeight="false" outlineLevel="0" collapsed="false">
      <c r="A98" s="39"/>
      <c r="B98" s="39"/>
      <c r="C98" s="40"/>
      <c r="D98" s="39"/>
      <c r="E98" s="38"/>
      <c r="F98" s="129" t="str">
        <f aca="true">IF($A98="","",EDATE($E98,DATEDIF($E98,TODAY(),"m")+1))</f>
        <v/>
      </c>
      <c r="G98" s="130" t="str">
        <f aca="false">IF($A98="","",IF((DATE(YEAR($E98),MONTH($E98),1)&lt;=DATE(2026,4,1)),IF((MOD(DATEDIF(DATE(YEAR($E98),MONTH($E98),1),DATE(2026,4,1),"m"),IF($D98="Quarterly",3,IF($D98="Annual",12,1)))=0),IF((COUNTIFS(Xero_Raw!$D$4:$D$5003,$A98,Xero_Raw!$G$4:$G$5003,"*Subscription*",Xero_Raw!$A$4:$A$5003,"&gt;="&amp;DATE(2026,4,1),Xero_Raw!$A$4:$A$5003,"&lt;"&amp;EDATE(DATE(2026,4,1),1))+COUNTIFS(Customer_Invoices_Upload!$E$4:$E$5003,$A98,Customer_Invoices_Upload!$G$4:$G$5003,"*Subscription*",Customer_Invoices_Upload!$B$4:$B$5003,"&gt;="&amp;DATE(2026,4,1),Customer_Invoices_Upload!$B$4:$B$5003,"&lt;"&amp;EDATE(DATE(2026,4,1),1))+COUNTIFS(Stripe_Invoices_Upload!$D$4:$D$5003,$A98,Stripe_Invoices_Upload!$E$4:$E$5003,"*Subscription*",Stripe_Invoices_Upload!$A$4:$A$5003,"&gt;="&amp;DATE(2026,4,1),Stripe_Invoices_Upload!$A$4:$A$5003,"&lt;"&amp;EDATE(DATE(2026,4,1),1)))&gt;0,"✓ Invoiced","⚠ Due"),""),""))</f>
        <v/>
      </c>
      <c r="H98" s="130" t="str">
        <f aca="false">IF($A98="","",IF((DATE(YEAR($E98),MONTH($E98),1)&lt;=DATE(2026,5,1)),IF((MOD(DATEDIF(DATE(YEAR($E98),MONTH($E98),1),DATE(2026,5,1),"m"),IF($D98="Quarterly",3,IF($D98="Annual",12,1)))=0),IF((COUNTIFS(Xero_Raw!$D$4:$D$5003,$A98,Xero_Raw!$G$4:$G$5003,"*Subscription*",Xero_Raw!$A$4:$A$5003,"&gt;="&amp;DATE(2026,5,1),Xero_Raw!$A$4:$A$5003,"&lt;"&amp;EDATE(DATE(2026,5,1),1))+COUNTIFS(Customer_Invoices_Upload!$E$4:$E$5003,$A98,Customer_Invoices_Upload!$G$4:$G$5003,"*Subscription*",Customer_Invoices_Upload!$B$4:$B$5003,"&gt;="&amp;DATE(2026,5,1),Customer_Invoices_Upload!$B$4:$B$5003,"&lt;"&amp;EDATE(DATE(2026,5,1),1))+COUNTIFS(Stripe_Invoices_Upload!$D$4:$D$5003,$A98,Stripe_Invoices_Upload!$E$4:$E$5003,"*Subscription*",Stripe_Invoices_Upload!$A$4:$A$5003,"&gt;="&amp;DATE(2026,5,1),Stripe_Invoices_Upload!$A$4:$A$5003,"&lt;"&amp;EDATE(DATE(2026,5,1),1)))&gt;0,"✓ Invoiced","⚠ Due"),""),""))</f>
        <v/>
      </c>
      <c r="I98" s="130" t="str">
        <f aca="false">IF($A98="","",IF((DATE(YEAR($E98),MONTH($E98),1)&lt;=DATE(2026,6,1)),IF((MOD(DATEDIF(DATE(YEAR($E98),MONTH($E98),1),DATE(2026,6,1),"m"),IF($D98="Quarterly",3,IF($D98="Annual",12,1)))=0),IF((COUNTIFS(Xero_Raw!$D$4:$D$5003,$A98,Xero_Raw!$G$4:$G$5003,"*Subscription*",Xero_Raw!$A$4:$A$5003,"&gt;="&amp;DATE(2026,6,1),Xero_Raw!$A$4:$A$5003,"&lt;"&amp;EDATE(DATE(2026,6,1),1))+COUNTIFS(Customer_Invoices_Upload!$E$4:$E$5003,$A98,Customer_Invoices_Upload!$G$4:$G$5003,"*Subscription*",Customer_Invoices_Upload!$B$4:$B$5003,"&gt;="&amp;DATE(2026,6,1),Customer_Invoices_Upload!$B$4:$B$5003,"&lt;"&amp;EDATE(DATE(2026,6,1),1))+COUNTIFS(Stripe_Invoices_Upload!$D$4:$D$5003,$A98,Stripe_Invoices_Upload!$E$4:$E$5003,"*Subscription*",Stripe_Invoices_Upload!$A$4:$A$5003,"&gt;="&amp;DATE(2026,6,1),Stripe_Invoices_Upload!$A$4:$A$5003,"&lt;"&amp;EDATE(DATE(2026,6,1),1)))&gt;0,"✓ Invoiced","⚠ Due"),""),""))</f>
        <v/>
      </c>
      <c r="J98" s="130" t="str">
        <f aca="false">IF($A98="","",IF((DATE(YEAR($E98),MONTH($E98),1)&lt;=DATE(2026,7,1)),IF((MOD(DATEDIF(DATE(YEAR($E98),MONTH($E98),1),DATE(2026,7,1),"m"),IF($D98="Quarterly",3,IF($D98="Annual",12,1)))=0),IF((COUNTIFS(Xero_Raw!$D$4:$D$5003,$A98,Xero_Raw!$G$4:$G$5003,"*Subscription*",Xero_Raw!$A$4:$A$5003,"&gt;="&amp;DATE(2026,7,1),Xero_Raw!$A$4:$A$5003,"&lt;"&amp;EDATE(DATE(2026,7,1),1))+COUNTIFS(Customer_Invoices_Upload!$E$4:$E$5003,$A98,Customer_Invoices_Upload!$G$4:$G$5003,"*Subscription*",Customer_Invoices_Upload!$B$4:$B$5003,"&gt;="&amp;DATE(2026,7,1),Customer_Invoices_Upload!$B$4:$B$5003,"&lt;"&amp;EDATE(DATE(2026,7,1),1))+COUNTIFS(Stripe_Invoices_Upload!$D$4:$D$5003,$A98,Stripe_Invoices_Upload!$E$4:$E$5003,"*Subscription*",Stripe_Invoices_Upload!$A$4:$A$5003,"&gt;="&amp;DATE(2026,7,1),Stripe_Invoices_Upload!$A$4:$A$5003,"&lt;"&amp;EDATE(DATE(2026,7,1),1)))&gt;0,"✓ Invoiced","⚠ Due"),""),""))</f>
        <v/>
      </c>
      <c r="K98" s="130" t="str">
        <f aca="false">IF($A98="","",IF((DATE(YEAR($E98),MONTH($E98),1)&lt;=DATE(2026,8,1)),IF((MOD(DATEDIF(DATE(YEAR($E98),MONTH($E98),1),DATE(2026,8,1),"m"),IF($D98="Quarterly",3,IF($D98="Annual",12,1)))=0),IF((COUNTIFS(Xero_Raw!$D$4:$D$5003,$A98,Xero_Raw!$G$4:$G$5003,"*Subscription*",Xero_Raw!$A$4:$A$5003,"&gt;="&amp;DATE(2026,8,1),Xero_Raw!$A$4:$A$5003,"&lt;"&amp;EDATE(DATE(2026,8,1),1))+COUNTIFS(Customer_Invoices_Upload!$E$4:$E$5003,$A98,Customer_Invoices_Upload!$G$4:$G$5003,"*Subscription*",Customer_Invoices_Upload!$B$4:$B$5003,"&gt;="&amp;DATE(2026,8,1),Customer_Invoices_Upload!$B$4:$B$5003,"&lt;"&amp;EDATE(DATE(2026,8,1),1))+COUNTIFS(Stripe_Invoices_Upload!$D$4:$D$5003,$A98,Stripe_Invoices_Upload!$E$4:$E$5003,"*Subscription*",Stripe_Invoices_Upload!$A$4:$A$5003,"&gt;="&amp;DATE(2026,8,1),Stripe_Invoices_Upload!$A$4:$A$5003,"&lt;"&amp;EDATE(DATE(2026,8,1),1)))&gt;0,"✓ Invoiced","⚠ Due"),""),""))</f>
        <v/>
      </c>
      <c r="L98" s="130" t="str">
        <f aca="false">IF($A98="","",IF((DATE(YEAR($E98),MONTH($E98),1)&lt;=DATE(2026,9,1)),IF((MOD(DATEDIF(DATE(YEAR($E98),MONTH($E98),1),DATE(2026,9,1),"m"),IF($D98="Quarterly",3,IF($D98="Annual",12,1)))=0),IF((COUNTIFS(Xero_Raw!$D$4:$D$5003,$A98,Xero_Raw!$G$4:$G$5003,"*Subscription*",Xero_Raw!$A$4:$A$5003,"&gt;="&amp;DATE(2026,9,1),Xero_Raw!$A$4:$A$5003,"&lt;"&amp;EDATE(DATE(2026,9,1),1))+COUNTIFS(Customer_Invoices_Upload!$E$4:$E$5003,$A98,Customer_Invoices_Upload!$G$4:$G$5003,"*Subscription*",Customer_Invoices_Upload!$B$4:$B$5003,"&gt;="&amp;DATE(2026,9,1),Customer_Invoices_Upload!$B$4:$B$5003,"&lt;"&amp;EDATE(DATE(2026,9,1),1))+COUNTIFS(Stripe_Invoices_Upload!$D$4:$D$5003,$A98,Stripe_Invoices_Upload!$E$4:$E$5003,"*Subscription*",Stripe_Invoices_Upload!$A$4:$A$5003,"&gt;="&amp;DATE(2026,9,1),Stripe_Invoices_Upload!$A$4:$A$5003,"&lt;"&amp;EDATE(DATE(2026,9,1),1)))&gt;0,"✓ Invoiced","⚠ Due"),""),""))</f>
        <v/>
      </c>
      <c r="M98" s="130" t="str">
        <f aca="false">IF($A98="","",IF((DATE(YEAR($E98),MONTH($E98),1)&lt;=DATE(2026,10,1)),IF((MOD(DATEDIF(DATE(YEAR($E98),MONTH($E98),1),DATE(2026,10,1),"m"),IF($D98="Quarterly",3,IF($D98="Annual",12,1)))=0),IF((COUNTIFS(Xero_Raw!$D$4:$D$5003,$A98,Xero_Raw!$G$4:$G$5003,"*Subscription*",Xero_Raw!$A$4:$A$5003,"&gt;="&amp;DATE(2026,10,1),Xero_Raw!$A$4:$A$5003,"&lt;"&amp;EDATE(DATE(2026,10,1),1))+COUNTIFS(Customer_Invoices_Upload!$E$4:$E$5003,$A98,Customer_Invoices_Upload!$G$4:$G$5003,"*Subscription*",Customer_Invoices_Upload!$B$4:$B$5003,"&gt;="&amp;DATE(2026,10,1),Customer_Invoices_Upload!$B$4:$B$5003,"&lt;"&amp;EDATE(DATE(2026,10,1),1))+COUNTIFS(Stripe_Invoices_Upload!$D$4:$D$5003,$A98,Stripe_Invoices_Upload!$E$4:$E$5003,"*Subscription*",Stripe_Invoices_Upload!$A$4:$A$5003,"&gt;="&amp;DATE(2026,10,1),Stripe_Invoices_Upload!$A$4:$A$5003,"&lt;"&amp;EDATE(DATE(2026,10,1),1)))&gt;0,"✓ Invoiced","⚠ Due"),""),""))</f>
        <v/>
      </c>
      <c r="N98" s="130" t="str">
        <f aca="false">IF($A98="","",IF((DATE(YEAR($E98),MONTH($E98),1)&lt;=DATE(2026,11,1)),IF((MOD(DATEDIF(DATE(YEAR($E98),MONTH($E98),1),DATE(2026,11,1),"m"),IF($D98="Quarterly",3,IF($D98="Annual",12,1)))=0),IF((COUNTIFS(Xero_Raw!$D$4:$D$5003,$A98,Xero_Raw!$G$4:$G$5003,"*Subscription*",Xero_Raw!$A$4:$A$5003,"&gt;="&amp;DATE(2026,11,1),Xero_Raw!$A$4:$A$5003,"&lt;"&amp;EDATE(DATE(2026,11,1),1))+COUNTIFS(Customer_Invoices_Upload!$E$4:$E$5003,$A98,Customer_Invoices_Upload!$G$4:$G$5003,"*Subscription*",Customer_Invoices_Upload!$B$4:$B$5003,"&gt;="&amp;DATE(2026,11,1),Customer_Invoices_Upload!$B$4:$B$5003,"&lt;"&amp;EDATE(DATE(2026,11,1),1))+COUNTIFS(Stripe_Invoices_Upload!$D$4:$D$5003,$A98,Stripe_Invoices_Upload!$E$4:$E$5003,"*Subscription*",Stripe_Invoices_Upload!$A$4:$A$5003,"&gt;="&amp;DATE(2026,11,1),Stripe_Invoices_Upload!$A$4:$A$5003,"&lt;"&amp;EDATE(DATE(2026,11,1),1)))&gt;0,"✓ Invoiced","⚠ Due"),""),""))</f>
        <v/>
      </c>
      <c r="O98" s="130" t="str">
        <f aca="false">IF($A98="","",IF((DATE(YEAR($E98),MONTH($E98),1)&lt;=DATE(2026,12,1)),IF((MOD(DATEDIF(DATE(YEAR($E98),MONTH($E98),1),DATE(2026,12,1),"m"),IF($D98="Quarterly",3,IF($D98="Annual",12,1)))=0),IF((COUNTIFS(Xero_Raw!$D$4:$D$5003,$A98,Xero_Raw!$G$4:$G$5003,"*Subscription*",Xero_Raw!$A$4:$A$5003,"&gt;="&amp;DATE(2026,12,1),Xero_Raw!$A$4:$A$5003,"&lt;"&amp;EDATE(DATE(2026,12,1),1))+COUNTIFS(Customer_Invoices_Upload!$E$4:$E$5003,$A98,Customer_Invoices_Upload!$G$4:$G$5003,"*Subscription*",Customer_Invoices_Upload!$B$4:$B$5003,"&gt;="&amp;DATE(2026,12,1),Customer_Invoices_Upload!$B$4:$B$5003,"&lt;"&amp;EDATE(DATE(2026,12,1),1))+COUNTIFS(Stripe_Invoices_Upload!$D$4:$D$5003,$A98,Stripe_Invoices_Upload!$E$4:$E$5003,"*Subscription*",Stripe_Invoices_Upload!$A$4:$A$5003,"&gt;="&amp;DATE(2026,12,1),Stripe_Invoices_Upload!$A$4:$A$5003,"&lt;"&amp;EDATE(DATE(2026,12,1),1)))&gt;0,"✓ Invoiced","⚠ Due"),""),""))</f>
        <v/>
      </c>
      <c r="P98" s="130" t="str">
        <f aca="false">IF($A98="","",IF((DATE(YEAR($E98),MONTH($E98),1)&lt;=DATE(2027,1,1)),IF((MOD(DATEDIF(DATE(YEAR($E98),MONTH($E98),1),DATE(2027,1,1),"m"),IF($D98="Quarterly",3,IF($D98="Annual",12,1)))=0),IF((COUNTIFS(Xero_Raw!$D$4:$D$5003,$A98,Xero_Raw!$G$4:$G$5003,"*Subscription*",Xero_Raw!$A$4:$A$5003,"&gt;="&amp;DATE(2027,1,1),Xero_Raw!$A$4:$A$5003,"&lt;"&amp;EDATE(DATE(2027,1,1),1))+COUNTIFS(Customer_Invoices_Upload!$E$4:$E$5003,$A98,Customer_Invoices_Upload!$G$4:$G$5003,"*Subscription*",Customer_Invoices_Upload!$B$4:$B$5003,"&gt;="&amp;DATE(2027,1,1),Customer_Invoices_Upload!$B$4:$B$5003,"&lt;"&amp;EDATE(DATE(2027,1,1),1))+COUNTIFS(Stripe_Invoices_Upload!$D$4:$D$5003,$A98,Stripe_Invoices_Upload!$E$4:$E$5003,"*Subscription*",Stripe_Invoices_Upload!$A$4:$A$5003,"&gt;="&amp;DATE(2027,1,1),Stripe_Invoices_Upload!$A$4:$A$5003,"&lt;"&amp;EDATE(DATE(2027,1,1),1)))&gt;0,"✓ Invoiced","⚠ Due"),""),""))</f>
        <v/>
      </c>
      <c r="Q98" s="130" t="str">
        <f aca="false">IF($A98="","",IF((DATE(YEAR($E98),MONTH($E98),1)&lt;=DATE(2027,2,1)),IF((MOD(DATEDIF(DATE(YEAR($E98),MONTH($E98),1),DATE(2027,2,1),"m"),IF($D98="Quarterly",3,IF($D98="Annual",12,1)))=0),IF((COUNTIFS(Xero_Raw!$D$4:$D$5003,$A98,Xero_Raw!$G$4:$G$5003,"*Subscription*",Xero_Raw!$A$4:$A$5003,"&gt;="&amp;DATE(2027,2,1),Xero_Raw!$A$4:$A$5003,"&lt;"&amp;EDATE(DATE(2027,2,1),1))+COUNTIFS(Customer_Invoices_Upload!$E$4:$E$5003,$A98,Customer_Invoices_Upload!$G$4:$G$5003,"*Subscription*",Customer_Invoices_Upload!$B$4:$B$5003,"&gt;="&amp;DATE(2027,2,1),Customer_Invoices_Upload!$B$4:$B$5003,"&lt;"&amp;EDATE(DATE(2027,2,1),1))+COUNTIFS(Stripe_Invoices_Upload!$D$4:$D$5003,$A98,Stripe_Invoices_Upload!$E$4:$E$5003,"*Subscription*",Stripe_Invoices_Upload!$A$4:$A$5003,"&gt;="&amp;DATE(2027,2,1),Stripe_Invoices_Upload!$A$4:$A$5003,"&lt;"&amp;EDATE(DATE(2027,2,1),1)))&gt;0,"✓ Invoiced","⚠ Due"),""),""))</f>
        <v/>
      </c>
      <c r="R98" s="130" t="str">
        <f aca="false">IF($A98="","",IF((DATE(YEAR($E98),MONTH($E98),1)&lt;=DATE(2027,3,1)),IF((MOD(DATEDIF(DATE(YEAR($E98),MONTH($E98),1),DATE(2027,3,1),"m"),IF($D98="Quarterly",3,IF($D98="Annual",12,1)))=0),IF((COUNTIFS(Xero_Raw!$D$4:$D$5003,$A98,Xero_Raw!$G$4:$G$5003,"*Subscription*",Xero_Raw!$A$4:$A$5003,"&gt;="&amp;DATE(2027,3,1),Xero_Raw!$A$4:$A$5003,"&lt;"&amp;EDATE(DATE(2027,3,1),1))+COUNTIFS(Customer_Invoices_Upload!$E$4:$E$5003,$A98,Customer_Invoices_Upload!$G$4:$G$5003,"*Subscription*",Customer_Invoices_Upload!$B$4:$B$5003,"&gt;="&amp;DATE(2027,3,1),Customer_Invoices_Upload!$B$4:$B$5003,"&lt;"&amp;EDATE(DATE(2027,3,1),1))+COUNTIFS(Stripe_Invoices_Upload!$D$4:$D$5003,$A98,Stripe_Invoices_Upload!$E$4:$E$5003,"*Subscription*",Stripe_Invoices_Upload!$A$4:$A$5003,"&gt;="&amp;DATE(2027,3,1),Stripe_Invoices_Upload!$A$4:$A$5003,"&lt;"&amp;EDATE(DATE(2027,3,1),1)))&gt;0,"✓ Invoiced","⚠ Due"),""),""))</f>
        <v/>
      </c>
    </row>
    <row r="99" customFormat="false" ht="15" hidden="false" customHeight="false" outlineLevel="0" collapsed="false">
      <c r="A99" s="39"/>
      <c r="B99" s="39"/>
      <c r="C99" s="40"/>
      <c r="D99" s="39"/>
      <c r="E99" s="38"/>
      <c r="F99" s="129" t="str">
        <f aca="true">IF($A99="","",EDATE($E99,DATEDIF($E99,TODAY(),"m")+1))</f>
        <v/>
      </c>
      <c r="G99" s="130" t="str">
        <f aca="false">IF($A99="","",IF((DATE(YEAR($E99),MONTH($E99),1)&lt;=DATE(2026,4,1)),IF((MOD(DATEDIF(DATE(YEAR($E99),MONTH($E99),1),DATE(2026,4,1),"m"),IF($D99="Quarterly",3,IF($D99="Annual",12,1)))=0),IF((COUNTIFS(Xero_Raw!$D$4:$D$5003,$A99,Xero_Raw!$G$4:$G$5003,"*Subscription*",Xero_Raw!$A$4:$A$5003,"&gt;="&amp;DATE(2026,4,1),Xero_Raw!$A$4:$A$5003,"&lt;"&amp;EDATE(DATE(2026,4,1),1))+COUNTIFS(Customer_Invoices_Upload!$E$4:$E$5003,$A99,Customer_Invoices_Upload!$G$4:$G$5003,"*Subscription*",Customer_Invoices_Upload!$B$4:$B$5003,"&gt;="&amp;DATE(2026,4,1),Customer_Invoices_Upload!$B$4:$B$5003,"&lt;"&amp;EDATE(DATE(2026,4,1),1))+COUNTIFS(Stripe_Invoices_Upload!$D$4:$D$5003,$A99,Stripe_Invoices_Upload!$E$4:$E$5003,"*Subscription*",Stripe_Invoices_Upload!$A$4:$A$5003,"&gt;="&amp;DATE(2026,4,1),Stripe_Invoices_Upload!$A$4:$A$5003,"&lt;"&amp;EDATE(DATE(2026,4,1),1)))&gt;0,"✓ Invoiced","⚠ Due"),""),""))</f>
        <v/>
      </c>
      <c r="H99" s="130" t="str">
        <f aca="false">IF($A99="","",IF((DATE(YEAR($E99),MONTH($E99),1)&lt;=DATE(2026,5,1)),IF((MOD(DATEDIF(DATE(YEAR($E99),MONTH($E99),1),DATE(2026,5,1),"m"),IF($D99="Quarterly",3,IF($D99="Annual",12,1)))=0),IF((COUNTIFS(Xero_Raw!$D$4:$D$5003,$A99,Xero_Raw!$G$4:$G$5003,"*Subscription*",Xero_Raw!$A$4:$A$5003,"&gt;="&amp;DATE(2026,5,1),Xero_Raw!$A$4:$A$5003,"&lt;"&amp;EDATE(DATE(2026,5,1),1))+COUNTIFS(Customer_Invoices_Upload!$E$4:$E$5003,$A99,Customer_Invoices_Upload!$G$4:$G$5003,"*Subscription*",Customer_Invoices_Upload!$B$4:$B$5003,"&gt;="&amp;DATE(2026,5,1),Customer_Invoices_Upload!$B$4:$B$5003,"&lt;"&amp;EDATE(DATE(2026,5,1),1))+COUNTIFS(Stripe_Invoices_Upload!$D$4:$D$5003,$A99,Stripe_Invoices_Upload!$E$4:$E$5003,"*Subscription*",Stripe_Invoices_Upload!$A$4:$A$5003,"&gt;="&amp;DATE(2026,5,1),Stripe_Invoices_Upload!$A$4:$A$5003,"&lt;"&amp;EDATE(DATE(2026,5,1),1)))&gt;0,"✓ Invoiced","⚠ Due"),""),""))</f>
        <v/>
      </c>
      <c r="I99" s="130" t="str">
        <f aca="false">IF($A99="","",IF((DATE(YEAR($E99),MONTH($E99),1)&lt;=DATE(2026,6,1)),IF((MOD(DATEDIF(DATE(YEAR($E99),MONTH($E99),1),DATE(2026,6,1),"m"),IF($D99="Quarterly",3,IF($D99="Annual",12,1)))=0),IF((COUNTIFS(Xero_Raw!$D$4:$D$5003,$A99,Xero_Raw!$G$4:$G$5003,"*Subscription*",Xero_Raw!$A$4:$A$5003,"&gt;="&amp;DATE(2026,6,1),Xero_Raw!$A$4:$A$5003,"&lt;"&amp;EDATE(DATE(2026,6,1),1))+COUNTIFS(Customer_Invoices_Upload!$E$4:$E$5003,$A99,Customer_Invoices_Upload!$G$4:$G$5003,"*Subscription*",Customer_Invoices_Upload!$B$4:$B$5003,"&gt;="&amp;DATE(2026,6,1),Customer_Invoices_Upload!$B$4:$B$5003,"&lt;"&amp;EDATE(DATE(2026,6,1),1))+COUNTIFS(Stripe_Invoices_Upload!$D$4:$D$5003,$A99,Stripe_Invoices_Upload!$E$4:$E$5003,"*Subscription*",Stripe_Invoices_Upload!$A$4:$A$5003,"&gt;="&amp;DATE(2026,6,1),Stripe_Invoices_Upload!$A$4:$A$5003,"&lt;"&amp;EDATE(DATE(2026,6,1),1)))&gt;0,"✓ Invoiced","⚠ Due"),""),""))</f>
        <v/>
      </c>
      <c r="J99" s="130" t="str">
        <f aca="false">IF($A99="","",IF((DATE(YEAR($E99),MONTH($E99),1)&lt;=DATE(2026,7,1)),IF((MOD(DATEDIF(DATE(YEAR($E99),MONTH($E99),1),DATE(2026,7,1),"m"),IF($D99="Quarterly",3,IF($D99="Annual",12,1)))=0),IF((COUNTIFS(Xero_Raw!$D$4:$D$5003,$A99,Xero_Raw!$G$4:$G$5003,"*Subscription*",Xero_Raw!$A$4:$A$5003,"&gt;="&amp;DATE(2026,7,1),Xero_Raw!$A$4:$A$5003,"&lt;"&amp;EDATE(DATE(2026,7,1),1))+COUNTIFS(Customer_Invoices_Upload!$E$4:$E$5003,$A99,Customer_Invoices_Upload!$G$4:$G$5003,"*Subscription*",Customer_Invoices_Upload!$B$4:$B$5003,"&gt;="&amp;DATE(2026,7,1),Customer_Invoices_Upload!$B$4:$B$5003,"&lt;"&amp;EDATE(DATE(2026,7,1),1))+COUNTIFS(Stripe_Invoices_Upload!$D$4:$D$5003,$A99,Stripe_Invoices_Upload!$E$4:$E$5003,"*Subscription*",Stripe_Invoices_Upload!$A$4:$A$5003,"&gt;="&amp;DATE(2026,7,1),Stripe_Invoices_Upload!$A$4:$A$5003,"&lt;"&amp;EDATE(DATE(2026,7,1),1)))&gt;0,"✓ Invoiced","⚠ Due"),""),""))</f>
        <v/>
      </c>
      <c r="K99" s="130" t="str">
        <f aca="false">IF($A99="","",IF((DATE(YEAR($E99),MONTH($E99),1)&lt;=DATE(2026,8,1)),IF((MOD(DATEDIF(DATE(YEAR($E99),MONTH($E99),1),DATE(2026,8,1),"m"),IF($D99="Quarterly",3,IF($D99="Annual",12,1)))=0),IF((COUNTIFS(Xero_Raw!$D$4:$D$5003,$A99,Xero_Raw!$G$4:$G$5003,"*Subscription*",Xero_Raw!$A$4:$A$5003,"&gt;="&amp;DATE(2026,8,1),Xero_Raw!$A$4:$A$5003,"&lt;"&amp;EDATE(DATE(2026,8,1),1))+COUNTIFS(Customer_Invoices_Upload!$E$4:$E$5003,$A99,Customer_Invoices_Upload!$G$4:$G$5003,"*Subscription*",Customer_Invoices_Upload!$B$4:$B$5003,"&gt;="&amp;DATE(2026,8,1),Customer_Invoices_Upload!$B$4:$B$5003,"&lt;"&amp;EDATE(DATE(2026,8,1),1))+COUNTIFS(Stripe_Invoices_Upload!$D$4:$D$5003,$A99,Stripe_Invoices_Upload!$E$4:$E$5003,"*Subscription*",Stripe_Invoices_Upload!$A$4:$A$5003,"&gt;="&amp;DATE(2026,8,1),Stripe_Invoices_Upload!$A$4:$A$5003,"&lt;"&amp;EDATE(DATE(2026,8,1),1)))&gt;0,"✓ Invoiced","⚠ Due"),""),""))</f>
        <v/>
      </c>
      <c r="L99" s="130" t="str">
        <f aca="false">IF($A99="","",IF((DATE(YEAR($E99),MONTH($E99),1)&lt;=DATE(2026,9,1)),IF((MOD(DATEDIF(DATE(YEAR($E99),MONTH($E99),1),DATE(2026,9,1),"m"),IF($D99="Quarterly",3,IF($D99="Annual",12,1)))=0),IF((COUNTIFS(Xero_Raw!$D$4:$D$5003,$A99,Xero_Raw!$G$4:$G$5003,"*Subscription*",Xero_Raw!$A$4:$A$5003,"&gt;="&amp;DATE(2026,9,1),Xero_Raw!$A$4:$A$5003,"&lt;"&amp;EDATE(DATE(2026,9,1),1))+COUNTIFS(Customer_Invoices_Upload!$E$4:$E$5003,$A99,Customer_Invoices_Upload!$G$4:$G$5003,"*Subscription*",Customer_Invoices_Upload!$B$4:$B$5003,"&gt;="&amp;DATE(2026,9,1),Customer_Invoices_Upload!$B$4:$B$5003,"&lt;"&amp;EDATE(DATE(2026,9,1),1))+COUNTIFS(Stripe_Invoices_Upload!$D$4:$D$5003,$A99,Stripe_Invoices_Upload!$E$4:$E$5003,"*Subscription*",Stripe_Invoices_Upload!$A$4:$A$5003,"&gt;="&amp;DATE(2026,9,1),Stripe_Invoices_Upload!$A$4:$A$5003,"&lt;"&amp;EDATE(DATE(2026,9,1),1)))&gt;0,"✓ Invoiced","⚠ Due"),""),""))</f>
        <v/>
      </c>
      <c r="M99" s="130" t="str">
        <f aca="false">IF($A99="","",IF((DATE(YEAR($E99),MONTH($E99),1)&lt;=DATE(2026,10,1)),IF((MOD(DATEDIF(DATE(YEAR($E99),MONTH($E99),1),DATE(2026,10,1),"m"),IF($D99="Quarterly",3,IF($D99="Annual",12,1)))=0),IF((COUNTIFS(Xero_Raw!$D$4:$D$5003,$A99,Xero_Raw!$G$4:$G$5003,"*Subscription*",Xero_Raw!$A$4:$A$5003,"&gt;="&amp;DATE(2026,10,1),Xero_Raw!$A$4:$A$5003,"&lt;"&amp;EDATE(DATE(2026,10,1),1))+COUNTIFS(Customer_Invoices_Upload!$E$4:$E$5003,$A99,Customer_Invoices_Upload!$G$4:$G$5003,"*Subscription*",Customer_Invoices_Upload!$B$4:$B$5003,"&gt;="&amp;DATE(2026,10,1),Customer_Invoices_Upload!$B$4:$B$5003,"&lt;"&amp;EDATE(DATE(2026,10,1),1))+COUNTIFS(Stripe_Invoices_Upload!$D$4:$D$5003,$A99,Stripe_Invoices_Upload!$E$4:$E$5003,"*Subscription*",Stripe_Invoices_Upload!$A$4:$A$5003,"&gt;="&amp;DATE(2026,10,1),Stripe_Invoices_Upload!$A$4:$A$5003,"&lt;"&amp;EDATE(DATE(2026,10,1),1)))&gt;0,"✓ Invoiced","⚠ Due"),""),""))</f>
        <v/>
      </c>
      <c r="N99" s="130" t="str">
        <f aca="false">IF($A99="","",IF((DATE(YEAR($E99),MONTH($E99),1)&lt;=DATE(2026,11,1)),IF((MOD(DATEDIF(DATE(YEAR($E99),MONTH($E99),1),DATE(2026,11,1),"m"),IF($D99="Quarterly",3,IF($D99="Annual",12,1)))=0),IF((COUNTIFS(Xero_Raw!$D$4:$D$5003,$A99,Xero_Raw!$G$4:$G$5003,"*Subscription*",Xero_Raw!$A$4:$A$5003,"&gt;="&amp;DATE(2026,11,1),Xero_Raw!$A$4:$A$5003,"&lt;"&amp;EDATE(DATE(2026,11,1),1))+COUNTIFS(Customer_Invoices_Upload!$E$4:$E$5003,$A99,Customer_Invoices_Upload!$G$4:$G$5003,"*Subscription*",Customer_Invoices_Upload!$B$4:$B$5003,"&gt;="&amp;DATE(2026,11,1),Customer_Invoices_Upload!$B$4:$B$5003,"&lt;"&amp;EDATE(DATE(2026,11,1),1))+COUNTIFS(Stripe_Invoices_Upload!$D$4:$D$5003,$A99,Stripe_Invoices_Upload!$E$4:$E$5003,"*Subscription*",Stripe_Invoices_Upload!$A$4:$A$5003,"&gt;="&amp;DATE(2026,11,1),Stripe_Invoices_Upload!$A$4:$A$5003,"&lt;"&amp;EDATE(DATE(2026,11,1),1)))&gt;0,"✓ Invoiced","⚠ Due"),""),""))</f>
        <v/>
      </c>
      <c r="O99" s="130" t="str">
        <f aca="false">IF($A99="","",IF((DATE(YEAR($E99),MONTH($E99),1)&lt;=DATE(2026,12,1)),IF((MOD(DATEDIF(DATE(YEAR($E99),MONTH($E99),1),DATE(2026,12,1),"m"),IF($D99="Quarterly",3,IF($D99="Annual",12,1)))=0),IF((COUNTIFS(Xero_Raw!$D$4:$D$5003,$A99,Xero_Raw!$G$4:$G$5003,"*Subscription*",Xero_Raw!$A$4:$A$5003,"&gt;="&amp;DATE(2026,12,1),Xero_Raw!$A$4:$A$5003,"&lt;"&amp;EDATE(DATE(2026,12,1),1))+COUNTIFS(Customer_Invoices_Upload!$E$4:$E$5003,$A99,Customer_Invoices_Upload!$G$4:$G$5003,"*Subscription*",Customer_Invoices_Upload!$B$4:$B$5003,"&gt;="&amp;DATE(2026,12,1),Customer_Invoices_Upload!$B$4:$B$5003,"&lt;"&amp;EDATE(DATE(2026,12,1),1))+COUNTIFS(Stripe_Invoices_Upload!$D$4:$D$5003,$A99,Stripe_Invoices_Upload!$E$4:$E$5003,"*Subscription*",Stripe_Invoices_Upload!$A$4:$A$5003,"&gt;="&amp;DATE(2026,12,1),Stripe_Invoices_Upload!$A$4:$A$5003,"&lt;"&amp;EDATE(DATE(2026,12,1),1)))&gt;0,"✓ Invoiced","⚠ Due"),""),""))</f>
        <v/>
      </c>
      <c r="P99" s="130" t="str">
        <f aca="false">IF($A99="","",IF((DATE(YEAR($E99),MONTH($E99),1)&lt;=DATE(2027,1,1)),IF((MOD(DATEDIF(DATE(YEAR($E99),MONTH($E99),1),DATE(2027,1,1),"m"),IF($D99="Quarterly",3,IF($D99="Annual",12,1)))=0),IF((COUNTIFS(Xero_Raw!$D$4:$D$5003,$A99,Xero_Raw!$G$4:$G$5003,"*Subscription*",Xero_Raw!$A$4:$A$5003,"&gt;="&amp;DATE(2027,1,1),Xero_Raw!$A$4:$A$5003,"&lt;"&amp;EDATE(DATE(2027,1,1),1))+COUNTIFS(Customer_Invoices_Upload!$E$4:$E$5003,$A99,Customer_Invoices_Upload!$G$4:$G$5003,"*Subscription*",Customer_Invoices_Upload!$B$4:$B$5003,"&gt;="&amp;DATE(2027,1,1),Customer_Invoices_Upload!$B$4:$B$5003,"&lt;"&amp;EDATE(DATE(2027,1,1),1))+COUNTIFS(Stripe_Invoices_Upload!$D$4:$D$5003,$A99,Stripe_Invoices_Upload!$E$4:$E$5003,"*Subscription*",Stripe_Invoices_Upload!$A$4:$A$5003,"&gt;="&amp;DATE(2027,1,1),Stripe_Invoices_Upload!$A$4:$A$5003,"&lt;"&amp;EDATE(DATE(2027,1,1),1)))&gt;0,"✓ Invoiced","⚠ Due"),""),""))</f>
        <v/>
      </c>
      <c r="Q99" s="130" t="str">
        <f aca="false">IF($A99="","",IF((DATE(YEAR($E99),MONTH($E99),1)&lt;=DATE(2027,2,1)),IF((MOD(DATEDIF(DATE(YEAR($E99),MONTH($E99),1),DATE(2027,2,1),"m"),IF($D99="Quarterly",3,IF($D99="Annual",12,1)))=0),IF((COUNTIFS(Xero_Raw!$D$4:$D$5003,$A99,Xero_Raw!$G$4:$G$5003,"*Subscription*",Xero_Raw!$A$4:$A$5003,"&gt;="&amp;DATE(2027,2,1),Xero_Raw!$A$4:$A$5003,"&lt;"&amp;EDATE(DATE(2027,2,1),1))+COUNTIFS(Customer_Invoices_Upload!$E$4:$E$5003,$A99,Customer_Invoices_Upload!$G$4:$G$5003,"*Subscription*",Customer_Invoices_Upload!$B$4:$B$5003,"&gt;="&amp;DATE(2027,2,1),Customer_Invoices_Upload!$B$4:$B$5003,"&lt;"&amp;EDATE(DATE(2027,2,1),1))+COUNTIFS(Stripe_Invoices_Upload!$D$4:$D$5003,$A99,Stripe_Invoices_Upload!$E$4:$E$5003,"*Subscription*",Stripe_Invoices_Upload!$A$4:$A$5003,"&gt;="&amp;DATE(2027,2,1),Stripe_Invoices_Upload!$A$4:$A$5003,"&lt;"&amp;EDATE(DATE(2027,2,1),1)))&gt;0,"✓ Invoiced","⚠ Due"),""),""))</f>
        <v/>
      </c>
      <c r="R99" s="130" t="str">
        <f aca="false">IF($A99="","",IF((DATE(YEAR($E99),MONTH($E99),1)&lt;=DATE(2027,3,1)),IF((MOD(DATEDIF(DATE(YEAR($E99),MONTH($E99),1),DATE(2027,3,1),"m"),IF($D99="Quarterly",3,IF($D99="Annual",12,1)))=0),IF((COUNTIFS(Xero_Raw!$D$4:$D$5003,$A99,Xero_Raw!$G$4:$G$5003,"*Subscription*",Xero_Raw!$A$4:$A$5003,"&gt;="&amp;DATE(2027,3,1),Xero_Raw!$A$4:$A$5003,"&lt;"&amp;EDATE(DATE(2027,3,1),1))+COUNTIFS(Customer_Invoices_Upload!$E$4:$E$5003,$A99,Customer_Invoices_Upload!$G$4:$G$5003,"*Subscription*",Customer_Invoices_Upload!$B$4:$B$5003,"&gt;="&amp;DATE(2027,3,1),Customer_Invoices_Upload!$B$4:$B$5003,"&lt;"&amp;EDATE(DATE(2027,3,1),1))+COUNTIFS(Stripe_Invoices_Upload!$D$4:$D$5003,$A99,Stripe_Invoices_Upload!$E$4:$E$5003,"*Subscription*",Stripe_Invoices_Upload!$A$4:$A$5003,"&gt;="&amp;DATE(2027,3,1),Stripe_Invoices_Upload!$A$4:$A$5003,"&lt;"&amp;EDATE(DATE(2027,3,1),1)))&gt;0,"✓ Invoiced","⚠ Due"),""),""))</f>
        <v/>
      </c>
    </row>
    <row r="100" customFormat="false" ht="15" hidden="false" customHeight="false" outlineLevel="0" collapsed="false">
      <c r="A100" s="39"/>
      <c r="B100" s="39"/>
      <c r="C100" s="40"/>
      <c r="D100" s="39"/>
      <c r="E100" s="38"/>
      <c r="F100" s="129" t="str">
        <f aca="true">IF($A100="","",EDATE($E100,DATEDIF($E100,TODAY(),"m")+1))</f>
        <v/>
      </c>
      <c r="G100" s="130" t="str">
        <f aca="false">IF($A100="","",IF((DATE(YEAR($E100),MONTH($E100),1)&lt;=DATE(2026,4,1)),IF((MOD(DATEDIF(DATE(YEAR($E100),MONTH($E100),1),DATE(2026,4,1),"m"),IF($D100="Quarterly",3,IF($D100="Annual",12,1)))=0),IF((COUNTIFS(Xero_Raw!$D$4:$D$5003,$A100,Xero_Raw!$G$4:$G$5003,"*Subscription*",Xero_Raw!$A$4:$A$5003,"&gt;="&amp;DATE(2026,4,1),Xero_Raw!$A$4:$A$5003,"&lt;"&amp;EDATE(DATE(2026,4,1),1))+COUNTIFS(Customer_Invoices_Upload!$E$4:$E$5003,$A100,Customer_Invoices_Upload!$G$4:$G$5003,"*Subscription*",Customer_Invoices_Upload!$B$4:$B$5003,"&gt;="&amp;DATE(2026,4,1),Customer_Invoices_Upload!$B$4:$B$5003,"&lt;"&amp;EDATE(DATE(2026,4,1),1))+COUNTIFS(Stripe_Invoices_Upload!$D$4:$D$5003,$A100,Stripe_Invoices_Upload!$E$4:$E$5003,"*Subscription*",Stripe_Invoices_Upload!$A$4:$A$5003,"&gt;="&amp;DATE(2026,4,1),Stripe_Invoices_Upload!$A$4:$A$5003,"&lt;"&amp;EDATE(DATE(2026,4,1),1)))&gt;0,"✓ Invoiced","⚠ Due"),""),""))</f>
        <v/>
      </c>
      <c r="H100" s="130" t="str">
        <f aca="false">IF($A100="","",IF((DATE(YEAR($E100),MONTH($E100),1)&lt;=DATE(2026,5,1)),IF((MOD(DATEDIF(DATE(YEAR($E100),MONTH($E100),1),DATE(2026,5,1),"m"),IF($D100="Quarterly",3,IF($D100="Annual",12,1)))=0),IF((COUNTIFS(Xero_Raw!$D$4:$D$5003,$A100,Xero_Raw!$G$4:$G$5003,"*Subscription*",Xero_Raw!$A$4:$A$5003,"&gt;="&amp;DATE(2026,5,1),Xero_Raw!$A$4:$A$5003,"&lt;"&amp;EDATE(DATE(2026,5,1),1))+COUNTIFS(Customer_Invoices_Upload!$E$4:$E$5003,$A100,Customer_Invoices_Upload!$G$4:$G$5003,"*Subscription*",Customer_Invoices_Upload!$B$4:$B$5003,"&gt;="&amp;DATE(2026,5,1),Customer_Invoices_Upload!$B$4:$B$5003,"&lt;"&amp;EDATE(DATE(2026,5,1),1))+COUNTIFS(Stripe_Invoices_Upload!$D$4:$D$5003,$A100,Stripe_Invoices_Upload!$E$4:$E$5003,"*Subscription*",Stripe_Invoices_Upload!$A$4:$A$5003,"&gt;="&amp;DATE(2026,5,1),Stripe_Invoices_Upload!$A$4:$A$5003,"&lt;"&amp;EDATE(DATE(2026,5,1),1)))&gt;0,"✓ Invoiced","⚠ Due"),""),""))</f>
        <v/>
      </c>
      <c r="I100" s="130" t="str">
        <f aca="false">IF($A100="","",IF((DATE(YEAR($E100),MONTH($E100),1)&lt;=DATE(2026,6,1)),IF((MOD(DATEDIF(DATE(YEAR($E100),MONTH($E100),1),DATE(2026,6,1),"m"),IF($D100="Quarterly",3,IF($D100="Annual",12,1)))=0),IF((COUNTIFS(Xero_Raw!$D$4:$D$5003,$A100,Xero_Raw!$G$4:$G$5003,"*Subscription*",Xero_Raw!$A$4:$A$5003,"&gt;="&amp;DATE(2026,6,1),Xero_Raw!$A$4:$A$5003,"&lt;"&amp;EDATE(DATE(2026,6,1),1))+COUNTIFS(Customer_Invoices_Upload!$E$4:$E$5003,$A100,Customer_Invoices_Upload!$G$4:$G$5003,"*Subscription*",Customer_Invoices_Upload!$B$4:$B$5003,"&gt;="&amp;DATE(2026,6,1),Customer_Invoices_Upload!$B$4:$B$5003,"&lt;"&amp;EDATE(DATE(2026,6,1),1))+COUNTIFS(Stripe_Invoices_Upload!$D$4:$D$5003,$A100,Stripe_Invoices_Upload!$E$4:$E$5003,"*Subscription*",Stripe_Invoices_Upload!$A$4:$A$5003,"&gt;="&amp;DATE(2026,6,1),Stripe_Invoices_Upload!$A$4:$A$5003,"&lt;"&amp;EDATE(DATE(2026,6,1),1)))&gt;0,"✓ Invoiced","⚠ Due"),""),""))</f>
        <v/>
      </c>
      <c r="J100" s="130" t="str">
        <f aca="false">IF($A100="","",IF((DATE(YEAR($E100),MONTH($E100),1)&lt;=DATE(2026,7,1)),IF((MOD(DATEDIF(DATE(YEAR($E100),MONTH($E100),1),DATE(2026,7,1),"m"),IF($D100="Quarterly",3,IF($D100="Annual",12,1)))=0),IF((COUNTIFS(Xero_Raw!$D$4:$D$5003,$A100,Xero_Raw!$G$4:$G$5003,"*Subscription*",Xero_Raw!$A$4:$A$5003,"&gt;="&amp;DATE(2026,7,1),Xero_Raw!$A$4:$A$5003,"&lt;"&amp;EDATE(DATE(2026,7,1),1))+COUNTIFS(Customer_Invoices_Upload!$E$4:$E$5003,$A100,Customer_Invoices_Upload!$G$4:$G$5003,"*Subscription*",Customer_Invoices_Upload!$B$4:$B$5003,"&gt;="&amp;DATE(2026,7,1),Customer_Invoices_Upload!$B$4:$B$5003,"&lt;"&amp;EDATE(DATE(2026,7,1),1))+COUNTIFS(Stripe_Invoices_Upload!$D$4:$D$5003,$A100,Stripe_Invoices_Upload!$E$4:$E$5003,"*Subscription*",Stripe_Invoices_Upload!$A$4:$A$5003,"&gt;="&amp;DATE(2026,7,1),Stripe_Invoices_Upload!$A$4:$A$5003,"&lt;"&amp;EDATE(DATE(2026,7,1),1)))&gt;0,"✓ Invoiced","⚠ Due"),""),""))</f>
        <v/>
      </c>
      <c r="K100" s="130" t="str">
        <f aca="false">IF($A100="","",IF((DATE(YEAR($E100),MONTH($E100),1)&lt;=DATE(2026,8,1)),IF((MOD(DATEDIF(DATE(YEAR($E100),MONTH($E100),1),DATE(2026,8,1),"m"),IF($D100="Quarterly",3,IF($D100="Annual",12,1)))=0),IF((COUNTIFS(Xero_Raw!$D$4:$D$5003,$A100,Xero_Raw!$G$4:$G$5003,"*Subscription*",Xero_Raw!$A$4:$A$5003,"&gt;="&amp;DATE(2026,8,1),Xero_Raw!$A$4:$A$5003,"&lt;"&amp;EDATE(DATE(2026,8,1),1))+COUNTIFS(Customer_Invoices_Upload!$E$4:$E$5003,$A100,Customer_Invoices_Upload!$G$4:$G$5003,"*Subscription*",Customer_Invoices_Upload!$B$4:$B$5003,"&gt;="&amp;DATE(2026,8,1),Customer_Invoices_Upload!$B$4:$B$5003,"&lt;"&amp;EDATE(DATE(2026,8,1),1))+COUNTIFS(Stripe_Invoices_Upload!$D$4:$D$5003,$A100,Stripe_Invoices_Upload!$E$4:$E$5003,"*Subscription*",Stripe_Invoices_Upload!$A$4:$A$5003,"&gt;="&amp;DATE(2026,8,1),Stripe_Invoices_Upload!$A$4:$A$5003,"&lt;"&amp;EDATE(DATE(2026,8,1),1)))&gt;0,"✓ Invoiced","⚠ Due"),""),""))</f>
        <v/>
      </c>
      <c r="L100" s="130" t="str">
        <f aca="false">IF($A100="","",IF((DATE(YEAR($E100),MONTH($E100),1)&lt;=DATE(2026,9,1)),IF((MOD(DATEDIF(DATE(YEAR($E100),MONTH($E100),1),DATE(2026,9,1),"m"),IF($D100="Quarterly",3,IF($D100="Annual",12,1)))=0),IF((COUNTIFS(Xero_Raw!$D$4:$D$5003,$A100,Xero_Raw!$G$4:$G$5003,"*Subscription*",Xero_Raw!$A$4:$A$5003,"&gt;="&amp;DATE(2026,9,1),Xero_Raw!$A$4:$A$5003,"&lt;"&amp;EDATE(DATE(2026,9,1),1))+COUNTIFS(Customer_Invoices_Upload!$E$4:$E$5003,$A100,Customer_Invoices_Upload!$G$4:$G$5003,"*Subscription*",Customer_Invoices_Upload!$B$4:$B$5003,"&gt;="&amp;DATE(2026,9,1),Customer_Invoices_Upload!$B$4:$B$5003,"&lt;"&amp;EDATE(DATE(2026,9,1),1))+COUNTIFS(Stripe_Invoices_Upload!$D$4:$D$5003,$A100,Stripe_Invoices_Upload!$E$4:$E$5003,"*Subscription*",Stripe_Invoices_Upload!$A$4:$A$5003,"&gt;="&amp;DATE(2026,9,1),Stripe_Invoices_Upload!$A$4:$A$5003,"&lt;"&amp;EDATE(DATE(2026,9,1),1)))&gt;0,"✓ Invoiced","⚠ Due"),""),""))</f>
        <v/>
      </c>
      <c r="M100" s="130" t="str">
        <f aca="false">IF($A100="","",IF((DATE(YEAR($E100),MONTH($E100),1)&lt;=DATE(2026,10,1)),IF((MOD(DATEDIF(DATE(YEAR($E100),MONTH($E100),1),DATE(2026,10,1),"m"),IF($D100="Quarterly",3,IF($D100="Annual",12,1)))=0),IF((COUNTIFS(Xero_Raw!$D$4:$D$5003,$A100,Xero_Raw!$G$4:$G$5003,"*Subscription*",Xero_Raw!$A$4:$A$5003,"&gt;="&amp;DATE(2026,10,1),Xero_Raw!$A$4:$A$5003,"&lt;"&amp;EDATE(DATE(2026,10,1),1))+COUNTIFS(Customer_Invoices_Upload!$E$4:$E$5003,$A100,Customer_Invoices_Upload!$G$4:$G$5003,"*Subscription*",Customer_Invoices_Upload!$B$4:$B$5003,"&gt;="&amp;DATE(2026,10,1),Customer_Invoices_Upload!$B$4:$B$5003,"&lt;"&amp;EDATE(DATE(2026,10,1),1))+COUNTIFS(Stripe_Invoices_Upload!$D$4:$D$5003,$A100,Stripe_Invoices_Upload!$E$4:$E$5003,"*Subscription*",Stripe_Invoices_Upload!$A$4:$A$5003,"&gt;="&amp;DATE(2026,10,1),Stripe_Invoices_Upload!$A$4:$A$5003,"&lt;"&amp;EDATE(DATE(2026,10,1),1)))&gt;0,"✓ Invoiced","⚠ Due"),""),""))</f>
        <v/>
      </c>
      <c r="N100" s="130" t="str">
        <f aca="false">IF($A100="","",IF((DATE(YEAR($E100),MONTH($E100),1)&lt;=DATE(2026,11,1)),IF((MOD(DATEDIF(DATE(YEAR($E100),MONTH($E100),1),DATE(2026,11,1),"m"),IF($D100="Quarterly",3,IF($D100="Annual",12,1)))=0),IF((COUNTIFS(Xero_Raw!$D$4:$D$5003,$A100,Xero_Raw!$G$4:$G$5003,"*Subscription*",Xero_Raw!$A$4:$A$5003,"&gt;="&amp;DATE(2026,11,1),Xero_Raw!$A$4:$A$5003,"&lt;"&amp;EDATE(DATE(2026,11,1),1))+COUNTIFS(Customer_Invoices_Upload!$E$4:$E$5003,$A100,Customer_Invoices_Upload!$G$4:$G$5003,"*Subscription*",Customer_Invoices_Upload!$B$4:$B$5003,"&gt;="&amp;DATE(2026,11,1),Customer_Invoices_Upload!$B$4:$B$5003,"&lt;"&amp;EDATE(DATE(2026,11,1),1))+COUNTIFS(Stripe_Invoices_Upload!$D$4:$D$5003,$A100,Stripe_Invoices_Upload!$E$4:$E$5003,"*Subscription*",Stripe_Invoices_Upload!$A$4:$A$5003,"&gt;="&amp;DATE(2026,11,1),Stripe_Invoices_Upload!$A$4:$A$5003,"&lt;"&amp;EDATE(DATE(2026,11,1),1)))&gt;0,"✓ Invoiced","⚠ Due"),""),""))</f>
        <v/>
      </c>
      <c r="O100" s="130" t="str">
        <f aca="false">IF($A100="","",IF((DATE(YEAR($E100),MONTH($E100),1)&lt;=DATE(2026,12,1)),IF((MOD(DATEDIF(DATE(YEAR($E100),MONTH($E100),1),DATE(2026,12,1),"m"),IF($D100="Quarterly",3,IF($D100="Annual",12,1)))=0),IF((COUNTIFS(Xero_Raw!$D$4:$D$5003,$A100,Xero_Raw!$G$4:$G$5003,"*Subscription*",Xero_Raw!$A$4:$A$5003,"&gt;="&amp;DATE(2026,12,1),Xero_Raw!$A$4:$A$5003,"&lt;"&amp;EDATE(DATE(2026,12,1),1))+COUNTIFS(Customer_Invoices_Upload!$E$4:$E$5003,$A100,Customer_Invoices_Upload!$G$4:$G$5003,"*Subscription*",Customer_Invoices_Upload!$B$4:$B$5003,"&gt;="&amp;DATE(2026,12,1),Customer_Invoices_Upload!$B$4:$B$5003,"&lt;"&amp;EDATE(DATE(2026,12,1),1))+COUNTIFS(Stripe_Invoices_Upload!$D$4:$D$5003,$A100,Stripe_Invoices_Upload!$E$4:$E$5003,"*Subscription*",Stripe_Invoices_Upload!$A$4:$A$5003,"&gt;="&amp;DATE(2026,12,1),Stripe_Invoices_Upload!$A$4:$A$5003,"&lt;"&amp;EDATE(DATE(2026,12,1),1)))&gt;0,"✓ Invoiced","⚠ Due"),""),""))</f>
        <v/>
      </c>
      <c r="P100" s="130" t="str">
        <f aca="false">IF($A100="","",IF((DATE(YEAR($E100),MONTH($E100),1)&lt;=DATE(2027,1,1)),IF((MOD(DATEDIF(DATE(YEAR($E100),MONTH($E100),1),DATE(2027,1,1),"m"),IF($D100="Quarterly",3,IF($D100="Annual",12,1)))=0),IF((COUNTIFS(Xero_Raw!$D$4:$D$5003,$A100,Xero_Raw!$G$4:$G$5003,"*Subscription*",Xero_Raw!$A$4:$A$5003,"&gt;="&amp;DATE(2027,1,1),Xero_Raw!$A$4:$A$5003,"&lt;"&amp;EDATE(DATE(2027,1,1),1))+COUNTIFS(Customer_Invoices_Upload!$E$4:$E$5003,$A100,Customer_Invoices_Upload!$G$4:$G$5003,"*Subscription*",Customer_Invoices_Upload!$B$4:$B$5003,"&gt;="&amp;DATE(2027,1,1),Customer_Invoices_Upload!$B$4:$B$5003,"&lt;"&amp;EDATE(DATE(2027,1,1),1))+COUNTIFS(Stripe_Invoices_Upload!$D$4:$D$5003,$A100,Stripe_Invoices_Upload!$E$4:$E$5003,"*Subscription*",Stripe_Invoices_Upload!$A$4:$A$5003,"&gt;="&amp;DATE(2027,1,1),Stripe_Invoices_Upload!$A$4:$A$5003,"&lt;"&amp;EDATE(DATE(2027,1,1),1)))&gt;0,"✓ Invoiced","⚠ Due"),""),""))</f>
        <v/>
      </c>
      <c r="Q100" s="130" t="str">
        <f aca="false">IF($A100="","",IF((DATE(YEAR($E100),MONTH($E100),1)&lt;=DATE(2027,2,1)),IF((MOD(DATEDIF(DATE(YEAR($E100),MONTH($E100),1),DATE(2027,2,1),"m"),IF($D100="Quarterly",3,IF($D100="Annual",12,1)))=0),IF((COUNTIFS(Xero_Raw!$D$4:$D$5003,$A100,Xero_Raw!$G$4:$G$5003,"*Subscription*",Xero_Raw!$A$4:$A$5003,"&gt;="&amp;DATE(2027,2,1),Xero_Raw!$A$4:$A$5003,"&lt;"&amp;EDATE(DATE(2027,2,1),1))+COUNTIFS(Customer_Invoices_Upload!$E$4:$E$5003,$A100,Customer_Invoices_Upload!$G$4:$G$5003,"*Subscription*",Customer_Invoices_Upload!$B$4:$B$5003,"&gt;="&amp;DATE(2027,2,1),Customer_Invoices_Upload!$B$4:$B$5003,"&lt;"&amp;EDATE(DATE(2027,2,1),1))+COUNTIFS(Stripe_Invoices_Upload!$D$4:$D$5003,$A100,Stripe_Invoices_Upload!$E$4:$E$5003,"*Subscription*",Stripe_Invoices_Upload!$A$4:$A$5003,"&gt;="&amp;DATE(2027,2,1),Stripe_Invoices_Upload!$A$4:$A$5003,"&lt;"&amp;EDATE(DATE(2027,2,1),1)))&gt;0,"✓ Invoiced","⚠ Due"),""),""))</f>
        <v/>
      </c>
      <c r="R100" s="130" t="str">
        <f aca="false">IF($A100="","",IF((DATE(YEAR($E100),MONTH($E100),1)&lt;=DATE(2027,3,1)),IF((MOD(DATEDIF(DATE(YEAR($E100),MONTH($E100),1),DATE(2027,3,1),"m"),IF($D100="Quarterly",3,IF($D100="Annual",12,1)))=0),IF((COUNTIFS(Xero_Raw!$D$4:$D$5003,$A100,Xero_Raw!$G$4:$G$5003,"*Subscription*",Xero_Raw!$A$4:$A$5003,"&gt;="&amp;DATE(2027,3,1),Xero_Raw!$A$4:$A$5003,"&lt;"&amp;EDATE(DATE(2027,3,1),1))+COUNTIFS(Customer_Invoices_Upload!$E$4:$E$5003,$A100,Customer_Invoices_Upload!$G$4:$G$5003,"*Subscription*",Customer_Invoices_Upload!$B$4:$B$5003,"&gt;="&amp;DATE(2027,3,1),Customer_Invoices_Upload!$B$4:$B$5003,"&lt;"&amp;EDATE(DATE(2027,3,1),1))+COUNTIFS(Stripe_Invoices_Upload!$D$4:$D$5003,$A100,Stripe_Invoices_Upload!$E$4:$E$5003,"*Subscription*",Stripe_Invoices_Upload!$A$4:$A$5003,"&gt;="&amp;DATE(2027,3,1),Stripe_Invoices_Upload!$A$4:$A$5003,"&lt;"&amp;EDATE(DATE(2027,3,1),1)))&gt;0,"✓ Invoiced","⚠ Due"),""),""))</f>
        <v/>
      </c>
    </row>
    <row r="101" customFormat="false" ht="15" hidden="false" customHeight="false" outlineLevel="0" collapsed="false">
      <c r="A101" s="39"/>
      <c r="B101" s="39"/>
      <c r="C101" s="40"/>
      <c r="D101" s="39"/>
      <c r="E101" s="38"/>
      <c r="F101" s="129" t="str">
        <f aca="true">IF($A101="","",EDATE($E101,DATEDIF($E101,TODAY(),"m")+1))</f>
        <v/>
      </c>
      <c r="G101" s="130" t="str">
        <f aca="false">IF($A101="","",IF((DATE(YEAR($E101),MONTH($E101),1)&lt;=DATE(2026,4,1)),IF((MOD(DATEDIF(DATE(YEAR($E101),MONTH($E101),1),DATE(2026,4,1),"m"),IF($D101="Quarterly",3,IF($D101="Annual",12,1)))=0),IF((COUNTIFS(Xero_Raw!$D$4:$D$5003,$A101,Xero_Raw!$G$4:$G$5003,"*Subscription*",Xero_Raw!$A$4:$A$5003,"&gt;="&amp;DATE(2026,4,1),Xero_Raw!$A$4:$A$5003,"&lt;"&amp;EDATE(DATE(2026,4,1),1))+COUNTIFS(Customer_Invoices_Upload!$E$4:$E$5003,$A101,Customer_Invoices_Upload!$G$4:$G$5003,"*Subscription*",Customer_Invoices_Upload!$B$4:$B$5003,"&gt;="&amp;DATE(2026,4,1),Customer_Invoices_Upload!$B$4:$B$5003,"&lt;"&amp;EDATE(DATE(2026,4,1),1))+COUNTIFS(Stripe_Invoices_Upload!$D$4:$D$5003,$A101,Stripe_Invoices_Upload!$E$4:$E$5003,"*Subscription*",Stripe_Invoices_Upload!$A$4:$A$5003,"&gt;="&amp;DATE(2026,4,1),Stripe_Invoices_Upload!$A$4:$A$5003,"&lt;"&amp;EDATE(DATE(2026,4,1),1)))&gt;0,"✓ Invoiced","⚠ Due"),""),""))</f>
        <v/>
      </c>
      <c r="H101" s="130" t="str">
        <f aca="false">IF($A101="","",IF((DATE(YEAR($E101),MONTH($E101),1)&lt;=DATE(2026,5,1)),IF((MOD(DATEDIF(DATE(YEAR($E101),MONTH($E101),1),DATE(2026,5,1),"m"),IF($D101="Quarterly",3,IF($D101="Annual",12,1)))=0),IF((COUNTIFS(Xero_Raw!$D$4:$D$5003,$A101,Xero_Raw!$G$4:$G$5003,"*Subscription*",Xero_Raw!$A$4:$A$5003,"&gt;="&amp;DATE(2026,5,1),Xero_Raw!$A$4:$A$5003,"&lt;"&amp;EDATE(DATE(2026,5,1),1))+COUNTIFS(Customer_Invoices_Upload!$E$4:$E$5003,$A101,Customer_Invoices_Upload!$G$4:$G$5003,"*Subscription*",Customer_Invoices_Upload!$B$4:$B$5003,"&gt;="&amp;DATE(2026,5,1),Customer_Invoices_Upload!$B$4:$B$5003,"&lt;"&amp;EDATE(DATE(2026,5,1),1))+COUNTIFS(Stripe_Invoices_Upload!$D$4:$D$5003,$A101,Stripe_Invoices_Upload!$E$4:$E$5003,"*Subscription*",Stripe_Invoices_Upload!$A$4:$A$5003,"&gt;="&amp;DATE(2026,5,1),Stripe_Invoices_Upload!$A$4:$A$5003,"&lt;"&amp;EDATE(DATE(2026,5,1),1)))&gt;0,"✓ Invoiced","⚠ Due"),""),""))</f>
        <v/>
      </c>
      <c r="I101" s="130" t="str">
        <f aca="false">IF($A101="","",IF((DATE(YEAR($E101),MONTH($E101),1)&lt;=DATE(2026,6,1)),IF((MOD(DATEDIF(DATE(YEAR($E101),MONTH($E101),1),DATE(2026,6,1),"m"),IF($D101="Quarterly",3,IF($D101="Annual",12,1)))=0),IF((COUNTIFS(Xero_Raw!$D$4:$D$5003,$A101,Xero_Raw!$G$4:$G$5003,"*Subscription*",Xero_Raw!$A$4:$A$5003,"&gt;="&amp;DATE(2026,6,1),Xero_Raw!$A$4:$A$5003,"&lt;"&amp;EDATE(DATE(2026,6,1),1))+COUNTIFS(Customer_Invoices_Upload!$E$4:$E$5003,$A101,Customer_Invoices_Upload!$G$4:$G$5003,"*Subscription*",Customer_Invoices_Upload!$B$4:$B$5003,"&gt;="&amp;DATE(2026,6,1),Customer_Invoices_Upload!$B$4:$B$5003,"&lt;"&amp;EDATE(DATE(2026,6,1),1))+COUNTIFS(Stripe_Invoices_Upload!$D$4:$D$5003,$A101,Stripe_Invoices_Upload!$E$4:$E$5003,"*Subscription*",Stripe_Invoices_Upload!$A$4:$A$5003,"&gt;="&amp;DATE(2026,6,1),Stripe_Invoices_Upload!$A$4:$A$5003,"&lt;"&amp;EDATE(DATE(2026,6,1),1)))&gt;0,"✓ Invoiced","⚠ Due"),""),""))</f>
        <v/>
      </c>
      <c r="J101" s="130" t="str">
        <f aca="false">IF($A101="","",IF((DATE(YEAR($E101),MONTH($E101),1)&lt;=DATE(2026,7,1)),IF((MOD(DATEDIF(DATE(YEAR($E101),MONTH($E101),1),DATE(2026,7,1),"m"),IF($D101="Quarterly",3,IF($D101="Annual",12,1)))=0),IF((COUNTIFS(Xero_Raw!$D$4:$D$5003,$A101,Xero_Raw!$G$4:$G$5003,"*Subscription*",Xero_Raw!$A$4:$A$5003,"&gt;="&amp;DATE(2026,7,1),Xero_Raw!$A$4:$A$5003,"&lt;"&amp;EDATE(DATE(2026,7,1),1))+COUNTIFS(Customer_Invoices_Upload!$E$4:$E$5003,$A101,Customer_Invoices_Upload!$G$4:$G$5003,"*Subscription*",Customer_Invoices_Upload!$B$4:$B$5003,"&gt;="&amp;DATE(2026,7,1),Customer_Invoices_Upload!$B$4:$B$5003,"&lt;"&amp;EDATE(DATE(2026,7,1),1))+COUNTIFS(Stripe_Invoices_Upload!$D$4:$D$5003,$A101,Stripe_Invoices_Upload!$E$4:$E$5003,"*Subscription*",Stripe_Invoices_Upload!$A$4:$A$5003,"&gt;="&amp;DATE(2026,7,1),Stripe_Invoices_Upload!$A$4:$A$5003,"&lt;"&amp;EDATE(DATE(2026,7,1),1)))&gt;0,"✓ Invoiced","⚠ Due"),""),""))</f>
        <v/>
      </c>
      <c r="K101" s="130" t="str">
        <f aca="false">IF($A101="","",IF((DATE(YEAR($E101),MONTH($E101),1)&lt;=DATE(2026,8,1)),IF((MOD(DATEDIF(DATE(YEAR($E101),MONTH($E101),1),DATE(2026,8,1),"m"),IF($D101="Quarterly",3,IF($D101="Annual",12,1)))=0),IF((COUNTIFS(Xero_Raw!$D$4:$D$5003,$A101,Xero_Raw!$G$4:$G$5003,"*Subscription*",Xero_Raw!$A$4:$A$5003,"&gt;="&amp;DATE(2026,8,1),Xero_Raw!$A$4:$A$5003,"&lt;"&amp;EDATE(DATE(2026,8,1),1))+COUNTIFS(Customer_Invoices_Upload!$E$4:$E$5003,$A101,Customer_Invoices_Upload!$G$4:$G$5003,"*Subscription*",Customer_Invoices_Upload!$B$4:$B$5003,"&gt;="&amp;DATE(2026,8,1),Customer_Invoices_Upload!$B$4:$B$5003,"&lt;"&amp;EDATE(DATE(2026,8,1),1))+COUNTIFS(Stripe_Invoices_Upload!$D$4:$D$5003,$A101,Stripe_Invoices_Upload!$E$4:$E$5003,"*Subscription*",Stripe_Invoices_Upload!$A$4:$A$5003,"&gt;="&amp;DATE(2026,8,1),Stripe_Invoices_Upload!$A$4:$A$5003,"&lt;"&amp;EDATE(DATE(2026,8,1),1)))&gt;0,"✓ Invoiced","⚠ Due"),""),""))</f>
        <v/>
      </c>
      <c r="L101" s="130" t="str">
        <f aca="false">IF($A101="","",IF((DATE(YEAR($E101),MONTH($E101),1)&lt;=DATE(2026,9,1)),IF((MOD(DATEDIF(DATE(YEAR($E101),MONTH($E101),1),DATE(2026,9,1),"m"),IF($D101="Quarterly",3,IF($D101="Annual",12,1)))=0),IF((COUNTIFS(Xero_Raw!$D$4:$D$5003,$A101,Xero_Raw!$G$4:$G$5003,"*Subscription*",Xero_Raw!$A$4:$A$5003,"&gt;="&amp;DATE(2026,9,1),Xero_Raw!$A$4:$A$5003,"&lt;"&amp;EDATE(DATE(2026,9,1),1))+COUNTIFS(Customer_Invoices_Upload!$E$4:$E$5003,$A101,Customer_Invoices_Upload!$G$4:$G$5003,"*Subscription*",Customer_Invoices_Upload!$B$4:$B$5003,"&gt;="&amp;DATE(2026,9,1),Customer_Invoices_Upload!$B$4:$B$5003,"&lt;"&amp;EDATE(DATE(2026,9,1),1))+COUNTIFS(Stripe_Invoices_Upload!$D$4:$D$5003,$A101,Stripe_Invoices_Upload!$E$4:$E$5003,"*Subscription*",Stripe_Invoices_Upload!$A$4:$A$5003,"&gt;="&amp;DATE(2026,9,1),Stripe_Invoices_Upload!$A$4:$A$5003,"&lt;"&amp;EDATE(DATE(2026,9,1),1)))&gt;0,"✓ Invoiced","⚠ Due"),""),""))</f>
        <v/>
      </c>
      <c r="M101" s="130" t="str">
        <f aca="false">IF($A101="","",IF((DATE(YEAR($E101),MONTH($E101),1)&lt;=DATE(2026,10,1)),IF((MOD(DATEDIF(DATE(YEAR($E101),MONTH($E101),1),DATE(2026,10,1),"m"),IF($D101="Quarterly",3,IF($D101="Annual",12,1)))=0),IF((COUNTIFS(Xero_Raw!$D$4:$D$5003,$A101,Xero_Raw!$G$4:$G$5003,"*Subscription*",Xero_Raw!$A$4:$A$5003,"&gt;="&amp;DATE(2026,10,1),Xero_Raw!$A$4:$A$5003,"&lt;"&amp;EDATE(DATE(2026,10,1),1))+COUNTIFS(Customer_Invoices_Upload!$E$4:$E$5003,$A101,Customer_Invoices_Upload!$G$4:$G$5003,"*Subscription*",Customer_Invoices_Upload!$B$4:$B$5003,"&gt;="&amp;DATE(2026,10,1),Customer_Invoices_Upload!$B$4:$B$5003,"&lt;"&amp;EDATE(DATE(2026,10,1),1))+COUNTIFS(Stripe_Invoices_Upload!$D$4:$D$5003,$A101,Stripe_Invoices_Upload!$E$4:$E$5003,"*Subscription*",Stripe_Invoices_Upload!$A$4:$A$5003,"&gt;="&amp;DATE(2026,10,1),Stripe_Invoices_Upload!$A$4:$A$5003,"&lt;"&amp;EDATE(DATE(2026,10,1),1)))&gt;0,"✓ Invoiced","⚠ Due"),""),""))</f>
        <v/>
      </c>
      <c r="N101" s="130" t="str">
        <f aca="false">IF($A101="","",IF((DATE(YEAR($E101),MONTH($E101),1)&lt;=DATE(2026,11,1)),IF((MOD(DATEDIF(DATE(YEAR($E101),MONTH($E101),1),DATE(2026,11,1),"m"),IF($D101="Quarterly",3,IF($D101="Annual",12,1)))=0),IF((COUNTIFS(Xero_Raw!$D$4:$D$5003,$A101,Xero_Raw!$G$4:$G$5003,"*Subscription*",Xero_Raw!$A$4:$A$5003,"&gt;="&amp;DATE(2026,11,1),Xero_Raw!$A$4:$A$5003,"&lt;"&amp;EDATE(DATE(2026,11,1),1))+COUNTIFS(Customer_Invoices_Upload!$E$4:$E$5003,$A101,Customer_Invoices_Upload!$G$4:$G$5003,"*Subscription*",Customer_Invoices_Upload!$B$4:$B$5003,"&gt;="&amp;DATE(2026,11,1),Customer_Invoices_Upload!$B$4:$B$5003,"&lt;"&amp;EDATE(DATE(2026,11,1),1))+COUNTIFS(Stripe_Invoices_Upload!$D$4:$D$5003,$A101,Stripe_Invoices_Upload!$E$4:$E$5003,"*Subscription*",Stripe_Invoices_Upload!$A$4:$A$5003,"&gt;="&amp;DATE(2026,11,1),Stripe_Invoices_Upload!$A$4:$A$5003,"&lt;"&amp;EDATE(DATE(2026,11,1),1)))&gt;0,"✓ Invoiced","⚠ Due"),""),""))</f>
        <v/>
      </c>
      <c r="O101" s="130" t="str">
        <f aca="false">IF($A101="","",IF((DATE(YEAR($E101),MONTH($E101),1)&lt;=DATE(2026,12,1)),IF((MOD(DATEDIF(DATE(YEAR($E101),MONTH($E101),1),DATE(2026,12,1),"m"),IF($D101="Quarterly",3,IF($D101="Annual",12,1)))=0),IF((COUNTIFS(Xero_Raw!$D$4:$D$5003,$A101,Xero_Raw!$G$4:$G$5003,"*Subscription*",Xero_Raw!$A$4:$A$5003,"&gt;="&amp;DATE(2026,12,1),Xero_Raw!$A$4:$A$5003,"&lt;"&amp;EDATE(DATE(2026,12,1),1))+COUNTIFS(Customer_Invoices_Upload!$E$4:$E$5003,$A101,Customer_Invoices_Upload!$G$4:$G$5003,"*Subscription*",Customer_Invoices_Upload!$B$4:$B$5003,"&gt;="&amp;DATE(2026,12,1),Customer_Invoices_Upload!$B$4:$B$5003,"&lt;"&amp;EDATE(DATE(2026,12,1),1))+COUNTIFS(Stripe_Invoices_Upload!$D$4:$D$5003,$A101,Stripe_Invoices_Upload!$E$4:$E$5003,"*Subscription*",Stripe_Invoices_Upload!$A$4:$A$5003,"&gt;="&amp;DATE(2026,12,1),Stripe_Invoices_Upload!$A$4:$A$5003,"&lt;"&amp;EDATE(DATE(2026,12,1),1)))&gt;0,"✓ Invoiced","⚠ Due"),""),""))</f>
        <v/>
      </c>
      <c r="P101" s="130" t="str">
        <f aca="false">IF($A101="","",IF((DATE(YEAR($E101),MONTH($E101),1)&lt;=DATE(2027,1,1)),IF((MOD(DATEDIF(DATE(YEAR($E101),MONTH($E101),1),DATE(2027,1,1),"m"),IF($D101="Quarterly",3,IF($D101="Annual",12,1)))=0),IF((COUNTIFS(Xero_Raw!$D$4:$D$5003,$A101,Xero_Raw!$G$4:$G$5003,"*Subscription*",Xero_Raw!$A$4:$A$5003,"&gt;="&amp;DATE(2027,1,1),Xero_Raw!$A$4:$A$5003,"&lt;"&amp;EDATE(DATE(2027,1,1),1))+COUNTIFS(Customer_Invoices_Upload!$E$4:$E$5003,$A101,Customer_Invoices_Upload!$G$4:$G$5003,"*Subscription*",Customer_Invoices_Upload!$B$4:$B$5003,"&gt;="&amp;DATE(2027,1,1),Customer_Invoices_Upload!$B$4:$B$5003,"&lt;"&amp;EDATE(DATE(2027,1,1),1))+COUNTIFS(Stripe_Invoices_Upload!$D$4:$D$5003,$A101,Stripe_Invoices_Upload!$E$4:$E$5003,"*Subscription*",Stripe_Invoices_Upload!$A$4:$A$5003,"&gt;="&amp;DATE(2027,1,1),Stripe_Invoices_Upload!$A$4:$A$5003,"&lt;"&amp;EDATE(DATE(2027,1,1),1)))&gt;0,"✓ Invoiced","⚠ Due"),""),""))</f>
        <v/>
      </c>
      <c r="Q101" s="130" t="str">
        <f aca="false">IF($A101="","",IF((DATE(YEAR($E101),MONTH($E101),1)&lt;=DATE(2027,2,1)),IF((MOD(DATEDIF(DATE(YEAR($E101),MONTH($E101),1),DATE(2027,2,1),"m"),IF($D101="Quarterly",3,IF($D101="Annual",12,1)))=0),IF((COUNTIFS(Xero_Raw!$D$4:$D$5003,$A101,Xero_Raw!$G$4:$G$5003,"*Subscription*",Xero_Raw!$A$4:$A$5003,"&gt;="&amp;DATE(2027,2,1),Xero_Raw!$A$4:$A$5003,"&lt;"&amp;EDATE(DATE(2027,2,1),1))+COUNTIFS(Customer_Invoices_Upload!$E$4:$E$5003,$A101,Customer_Invoices_Upload!$G$4:$G$5003,"*Subscription*",Customer_Invoices_Upload!$B$4:$B$5003,"&gt;="&amp;DATE(2027,2,1),Customer_Invoices_Upload!$B$4:$B$5003,"&lt;"&amp;EDATE(DATE(2027,2,1),1))+COUNTIFS(Stripe_Invoices_Upload!$D$4:$D$5003,$A101,Stripe_Invoices_Upload!$E$4:$E$5003,"*Subscription*",Stripe_Invoices_Upload!$A$4:$A$5003,"&gt;="&amp;DATE(2027,2,1),Stripe_Invoices_Upload!$A$4:$A$5003,"&lt;"&amp;EDATE(DATE(2027,2,1),1)))&gt;0,"✓ Invoiced","⚠ Due"),""),""))</f>
        <v/>
      </c>
      <c r="R101" s="130" t="str">
        <f aca="false">IF($A101="","",IF((DATE(YEAR($E101),MONTH($E101),1)&lt;=DATE(2027,3,1)),IF((MOD(DATEDIF(DATE(YEAR($E101),MONTH($E101),1),DATE(2027,3,1),"m"),IF($D101="Quarterly",3,IF($D101="Annual",12,1)))=0),IF((COUNTIFS(Xero_Raw!$D$4:$D$5003,$A101,Xero_Raw!$G$4:$G$5003,"*Subscription*",Xero_Raw!$A$4:$A$5003,"&gt;="&amp;DATE(2027,3,1),Xero_Raw!$A$4:$A$5003,"&lt;"&amp;EDATE(DATE(2027,3,1),1))+COUNTIFS(Customer_Invoices_Upload!$E$4:$E$5003,$A101,Customer_Invoices_Upload!$G$4:$G$5003,"*Subscription*",Customer_Invoices_Upload!$B$4:$B$5003,"&gt;="&amp;DATE(2027,3,1),Customer_Invoices_Upload!$B$4:$B$5003,"&lt;"&amp;EDATE(DATE(2027,3,1),1))+COUNTIFS(Stripe_Invoices_Upload!$D$4:$D$5003,$A101,Stripe_Invoices_Upload!$E$4:$E$5003,"*Subscription*",Stripe_Invoices_Upload!$A$4:$A$5003,"&gt;="&amp;DATE(2027,3,1),Stripe_Invoices_Upload!$A$4:$A$5003,"&lt;"&amp;EDATE(DATE(2027,3,1),1)))&gt;0,"✓ Invoiced","⚠ Due"),""),""))</f>
        <v/>
      </c>
    </row>
    <row r="102" customFormat="false" ht="15" hidden="false" customHeight="false" outlineLevel="0" collapsed="false">
      <c r="A102" s="39"/>
      <c r="B102" s="39"/>
      <c r="C102" s="40"/>
      <c r="D102" s="39"/>
      <c r="E102" s="38"/>
      <c r="F102" s="129" t="str">
        <f aca="true">IF($A102="","",EDATE($E102,DATEDIF($E102,TODAY(),"m")+1))</f>
        <v/>
      </c>
      <c r="G102" s="130" t="str">
        <f aca="false">IF($A102="","",IF((DATE(YEAR($E102),MONTH($E102),1)&lt;=DATE(2026,4,1)),IF((MOD(DATEDIF(DATE(YEAR($E102),MONTH($E102),1),DATE(2026,4,1),"m"),IF($D102="Quarterly",3,IF($D102="Annual",12,1)))=0),IF((COUNTIFS(Xero_Raw!$D$4:$D$5003,$A102,Xero_Raw!$G$4:$G$5003,"*Subscription*",Xero_Raw!$A$4:$A$5003,"&gt;="&amp;DATE(2026,4,1),Xero_Raw!$A$4:$A$5003,"&lt;"&amp;EDATE(DATE(2026,4,1),1))+COUNTIFS(Customer_Invoices_Upload!$E$4:$E$5003,$A102,Customer_Invoices_Upload!$G$4:$G$5003,"*Subscription*",Customer_Invoices_Upload!$B$4:$B$5003,"&gt;="&amp;DATE(2026,4,1),Customer_Invoices_Upload!$B$4:$B$5003,"&lt;"&amp;EDATE(DATE(2026,4,1),1))+COUNTIFS(Stripe_Invoices_Upload!$D$4:$D$5003,$A102,Stripe_Invoices_Upload!$E$4:$E$5003,"*Subscription*",Stripe_Invoices_Upload!$A$4:$A$5003,"&gt;="&amp;DATE(2026,4,1),Stripe_Invoices_Upload!$A$4:$A$5003,"&lt;"&amp;EDATE(DATE(2026,4,1),1)))&gt;0,"✓ Invoiced","⚠ Due"),""),""))</f>
        <v/>
      </c>
      <c r="H102" s="130" t="str">
        <f aca="false">IF($A102="","",IF((DATE(YEAR($E102),MONTH($E102),1)&lt;=DATE(2026,5,1)),IF((MOD(DATEDIF(DATE(YEAR($E102),MONTH($E102),1),DATE(2026,5,1),"m"),IF($D102="Quarterly",3,IF($D102="Annual",12,1)))=0),IF((COUNTIFS(Xero_Raw!$D$4:$D$5003,$A102,Xero_Raw!$G$4:$G$5003,"*Subscription*",Xero_Raw!$A$4:$A$5003,"&gt;="&amp;DATE(2026,5,1),Xero_Raw!$A$4:$A$5003,"&lt;"&amp;EDATE(DATE(2026,5,1),1))+COUNTIFS(Customer_Invoices_Upload!$E$4:$E$5003,$A102,Customer_Invoices_Upload!$G$4:$G$5003,"*Subscription*",Customer_Invoices_Upload!$B$4:$B$5003,"&gt;="&amp;DATE(2026,5,1),Customer_Invoices_Upload!$B$4:$B$5003,"&lt;"&amp;EDATE(DATE(2026,5,1),1))+COUNTIFS(Stripe_Invoices_Upload!$D$4:$D$5003,$A102,Stripe_Invoices_Upload!$E$4:$E$5003,"*Subscription*",Stripe_Invoices_Upload!$A$4:$A$5003,"&gt;="&amp;DATE(2026,5,1),Stripe_Invoices_Upload!$A$4:$A$5003,"&lt;"&amp;EDATE(DATE(2026,5,1),1)))&gt;0,"✓ Invoiced","⚠ Due"),""),""))</f>
        <v/>
      </c>
      <c r="I102" s="130" t="str">
        <f aca="false">IF($A102="","",IF((DATE(YEAR($E102),MONTH($E102),1)&lt;=DATE(2026,6,1)),IF((MOD(DATEDIF(DATE(YEAR($E102),MONTH($E102),1),DATE(2026,6,1),"m"),IF($D102="Quarterly",3,IF($D102="Annual",12,1)))=0),IF((COUNTIFS(Xero_Raw!$D$4:$D$5003,$A102,Xero_Raw!$G$4:$G$5003,"*Subscription*",Xero_Raw!$A$4:$A$5003,"&gt;="&amp;DATE(2026,6,1),Xero_Raw!$A$4:$A$5003,"&lt;"&amp;EDATE(DATE(2026,6,1),1))+COUNTIFS(Customer_Invoices_Upload!$E$4:$E$5003,$A102,Customer_Invoices_Upload!$G$4:$G$5003,"*Subscription*",Customer_Invoices_Upload!$B$4:$B$5003,"&gt;="&amp;DATE(2026,6,1),Customer_Invoices_Upload!$B$4:$B$5003,"&lt;"&amp;EDATE(DATE(2026,6,1),1))+COUNTIFS(Stripe_Invoices_Upload!$D$4:$D$5003,$A102,Stripe_Invoices_Upload!$E$4:$E$5003,"*Subscription*",Stripe_Invoices_Upload!$A$4:$A$5003,"&gt;="&amp;DATE(2026,6,1),Stripe_Invoices_Upload!$A$4:$A$5003,"&lt;"&amp;EDATE(DATE(2026,6,1),1)))&gt;0,"✓ Invoiced","⚠ Due"),""),""))</f>
        <v/>
      </c>
      <c r="J102" s="130" t="str">
        <f aca="false">IF($A102="","",IF((DATE(YEAR($E102),MONTH($E102),1)&lt;=DATE(2026,7,1)),IF((MOD(DATEDIF(DATE(YEAR($E102),MONTH($E102),1),DATE(2026,7,1),"m"),IF($D102="Quarterly",3,IF($D102="Annual",12,1)))=0),IF((COUNTIFS(Xero_Raw!$D$4:$D$5003,$A102,Xero_Raw!$G$4:$G$5003,"*Subscription*",Xero_Raw!$A$4:$A$5003,"&gt;="&amp;DATE(2026,7,1),Xero_Raw!$A$4:$A$5003,"&lt;"&amp;EDATE(DATE(2026,7,1),1))+COUNTIFS(Customer_Invoices_Upload!$E$4:$E$5003,$A102,Customer_Invoices_Upload!$G$4:$G$5003,"*Subscription*",Customer_Invoices_Upload!$B$4:$B$5003,"&gt;="&amp;DATE(2026,7,1),Customer_Invoices_Upload!$B$4:$B$5003,"&lt;"&amp;EDATE(DATE(2026,7,1),1))+COUNTIFS(Stripe_Invoices_Upload!$D$4:$D$5003,$A102,Stripe_Invoices_Upload!$E$4:$E$5003,"*Subscription*",Stripe_Invoices_Upload!$A$4:$A$5003,"&gt;="&amp;DATE(2026,7,1),Stripe_Invoices_Upload!$A$4:$A$5003,"&lt;"&amp;EDATE(DATE(2026,7,1),1)))&gt;0,"✓ Invoiced","⚠ Due"),""),""))</f>
        <v/>
      </c>
      <c r="K102" s="130" t="str">
        <f aca="false">IF($A102="","",IF((DATE(YEAR($E102),MONTH($E102),1)&lt;=DATE(2026,8,1)),IF((MOD(DATEDIF(DATE(YEAR($E102),MONTH($E102),1),DATE(2026,8,1),"m"),IF($D102="Quarterly",3,IF($D102="Annual",12,1)))=0),IF((COUNTIFS(Xero_Raw!$D$4:$D$5003,$A102,Xero_Raw!$G$4:$G$5003,"*Subscription*",Xero_Raw!$A$4:$A$5003,"&gt;="&amp;DATE(2026,8,1),Xero_Raw!$A$4:$A$5003,"&lt;"&amp;EDATE(DATE(2026,8,1),1))+COUNTIFS(Customer_Invoices_Upload!$E$4:$E$5003,$A102,Customer_Invoices_Upload!$G$4:$G$5003,"*Subscription*",Customer_Invoices_Upload!$B$4:$B$5003,"&gt;="&amp;DATE(2026,8,1),Customer_Invoices_Upload!$B$4:$B$5003,"&lt;"&amp;EDATE(DATE(2026,8,1),1))+COUNTIFS(Stripe_Invoices_Upload!$D$4:$D$5003,$A102,Stripe_Invoices_Upload!$E$4:$E$5003,"*Subscription*",Stripe_Invoices_Upload!$A$4:$A$5003,"&gt;="&amp;DATE(2026,8,1),Stripe_Invoices_Upload!$A$4:$A$5003,"&lt;"&amp;EDATE(DATE(2026,8,1),1)))&gt;0,"✓ Invoiced","⚠ Due"),""),""))</f>
        <v/>
      </c>
      <c r="L102" s="130" t="str">
        <f aca="false">IF($A102="","",IF((DATE(YEAR($E102),MONTH($E102),1)&lt;=DATE(2026,9,1)),IF((MOD(DATEDIF(DATE(YEAR($E102),MONTH($E102),1),DATE(2026,9,1),"m"),IF($D102="Quarterly",3,IF($D102="Annual",12,1)))=0),IF((COUNTIFS(Xero_Raw!$D$4:$D$5003,$A102,Xero_Raw!$G$4:$G$5003,"*Subscription*",Xero_Raw!$A$4:$A$5003,"&gt;="&amp;DATE(2026,9,1),Xero_Raw!$A$4:$A$5003,"&lt;"&amp;EDATE(DATE(2026,9,1),1))+COUNTIFS(Customer_Invoices_Upload!$E$4:$E$5003,$A102,Customer_Invoices_Upload!$G$4:$G$5003,"*Subscription*",Customer_Invoices_Upload!$B$4:$B$5003,"&gt;="&amp;DATE(2026,9,1),Customer_Invoices_Upload!$B$4:$B$5003,"&lt;"&amp;EDATE(DATE(2026,9,1),1))+COUNTIFS(Stripe_Invoices_Upload!$D$4:$D$5003,$A102,Stripe_Invoices_Upload!$E$4:$E$5003,"*Subscription*",Stripe_Invoices_Upload!$A$4:$A$5003,"&gt;="&amp;DATE(2026,9,1),Stripe_Invoices_Upload!$A$4:$A$5003,"&lt;"&amp;EDATE(DATE(2026,9,1),1)))&gt;0,"✓ Invoiced","⚠ Due"),""),""))</f>
        <v/>
      </c>
      <c r="M102" s="130" t="str">
        <f aca="false">IF($A102="","",IF((DATE(YEAR($E102),MONTH($E102),1)&lt;=DATE(2026,10,1)),IF((MOD(DATEDIF(DATE(YEAR($E102),MONTH($E102),1),DATE(2026,10,1),"m"),IF($D102="Quarterly",3,IF($D102="Annual",12,1)))=0),IF((COUNTIFS(Xero_Raw!$D$4:$D$5003,$A102,Xero_Raw!$G$4:$G$5003,"*Subscription*",Xero_Raw!$A$4:$A$5003,"&gt;="&amp;DATE(2026,10,1),Xero_Raw!$A$4:$A$5003,"&lt;"&amp;EDATE(DATE(2026,10,1),1))+COUNTIFS(Customer_Invoices_Upload!$E$4:$E$5003,$A102,Customer_Invoices_Upload!$G$4:$G$5003,"*Subscription*",Customer_Invoices_Upload!$B$4:$B$5003,"&gt;="&amp;DATE(2026,10,1),Customer_Invoices_Upload!$B$4:$B$5003,"&lt;"&amp;EDATE(DATE(2026,10,1),1))+COUNTIFS(Stripe_Invoices_Upload!$D$4:$D$5003,$A102,Stripe_Invoices_Upload!$E$4:$E$5003,"*Subscription*",Stripe_Invoices_Upload!$A$4:$A$5003,"&gt;="&amp;DATE(2026,10,1),Stripe_Invoices_Upload!$A$4:$A$5003,"&lt;"&amp;EDATE(DATE(2026,10,1),1)))&gt;0,"✓ Invoiced","⚠ Due"),""),""))</f>
        <v/>
      </c>
      <c r="N102" s="130" t="str">
        <f aca="false">IF($A102="","",IF((DATE(YEAR($E102),MONTH($E102),1)&lt;=DATE(2026,11,1)),IF((MOD(DATEDIF(DATE(YEAR($E102),MONTH($E102),1),DATE(2026,11,1),"m"),IF($D102="Quarterly",3,IF($D102="Annual",12,1)))=0),IF((COUNTIFS(Xero_Raw!$D$4:$D$5003,$A102,Xero_Raw!$G$4:$G$5003,"*Subscription*",Xero_Raw!$A$4:$A$5003,"&gt;="&amp;DATE(2026,11,1),Xero_Raw!$A$4:$A$5003,"&lt;"&amp;EDATE(DATE(2026,11,1),1))+COUNTIFS(Customer_Invoices_Upload!$E$4:$E$5003,$A102,Customer_Invoices_Upload!$G$4:$G$5003,"*Subscription*",Customer_Invoices_Upload!$B$4:$B$5003,"&gt;="&amp;DATE(2026,11,1),Customer_Invoices_Upload!$B$4:$B$5003,"&lt;"&amp;EDATE(DATE(2026,11,1),1))+COUNTIFS(Stripe_Invoices_Upload!$D$4:$D$5003,$A102,Stripe_Invoices_Upload!$E$4:$E$5003,"*Subscription*",Stripe_Invoices_Upload!$A$4:$A$5003,"&gt;="&amp;DATE(2026,11,1),Stripe_Invoices_Upload!$A$4:$A$5003,"&lt;"&amp;EDATE(DATE(2026,11,1),1)))&gt;0,"✓ Invoiced","⚠ Due"),""),""))</f>
        <v/>
      </c>
      <c r="O102" s="130" t="str">
        <f aca="false">IF($A102="","",IF((DATE(YEAR($E102),MONTH($E102),1)&lt;=DATE(2026,12,1)),IF((MOD(DATEDIF(DATE(YEAR($E102),MONTH($E102),1),DATE(2026,12,1),"m"),IF($D102="Quarterly",3,IF($D102="Annual",12,1)))=0),IF((COUNTIFS(Xero_Raw!$D$4:$D$5003,$A102,Xero_Raw!$G$4:$G$5003,"*Subscription*",Xero_Raw!$A$4:$A$5003,"&gt;="&amp;DATE(2026,12,1),Xero_Raw!$A$4:$A$5003,"&lt;"&amp;EDATE(DATE(2026,12,1),1))+COUNTIFS(Customer_Invoices_Upload!$E$4:$E$5003,$A102,Customer_Invoices_Upload!$G$4:$G$5003,"*Subscription*",Customer_Invoices_Upload!$B$4:$B$5003,"&gt;="&amp;DATE(2026,12,1),Customer_Invoices_Upload!$B$4:$B$5003,"&lt;"&amp;EDATE(DATE(2026,12,1),1))+COUNTIFS(Stripe_Invoices_Upload!$D$4:$D$5003,$A102,Stripe_Invoices_Upload!$E$4:$E$5003,"*Subscription*",Stripe_Invoices_Upload!$A$4:$A$5003,"&gt;="&amp;DATE(2026,12,1),Stripe_Invoices_Upload!$A$4:$A$5003,"&lt;"&amp;EDATE(DATE(2026,12,1),1)))&gt;0,"✓ Invoiced","⚠ Due"),""),""))</f>
        <v/>
      </c>
      <c r="P102" s="130" t="str">
        <f aca="false">IF($A102="","",IF((DATE(YEAR($E102),MONTH($E102),1)&lt;=DATE(2027,1,1)),IF((MOD(DATEDIF(DATE(YEAR($E102),MONTH($E102),1),DATE(2027,1,1),"m"),IF($D102="Quarterly",3,IF($D102="Annual",12,1)))=0),IF((COUNTIFS(Xero_Raw!$D$4:$D$5003,$A102,Xero_Raw!$G$4:$G$5003,"*Subscription*",Xero_Raw!$A$4:$A$5003,"&gt;="&amp;DATE(2027,1,1),Xero_Raw!$A$4:$A$5003,"&lt;"&amp;EDATE(DATE(2027,1,1),1))+COUNTIFS(Customer_Invoices_Upload!$E$4:$E$5003,$A102,Customer_Invoices_Upload!$G$4:$G$5003,"*Subscription*",Customer_Invoices_Upload!$B$4:$B$5003,"&gt;="&amp;DATE(2027,1,1),Customer_Invoices_Upload!$B$4:$B$5003,"&lt;"&amp;EDATE(DATE(2027,1,1),1))+COUNTIFS(Stripe_Invoices_Upload!$D$4:$D$5003,$A102,Stripe_Invoices_Upload!$E$4:$E$5003,"*Subscription*",Stripe_Invoices_Upload!$A$4:$A$5003,"&gt;="&amp;DATE(2027,1,1),Stripe_Invoices_Upload!$A$4:$A$5003,"&lt;"&amp;EDATE(DATE(2027,1,1),1)))&gt;0,"✓ Invoiced","⚠ Due"),""),""))</f>
        <v/>
      </c>
      <c r="Q102" s="130" t="str">
        <f aca="false">IF($A102="","",IF((DATE(YEAR($E102),MONTH($E102),1)&lt;=DATE(2027,2,1)),IF((MOD(DATEDIF(DATE(YEAR($E102),MONTH($E102),1),DATE(2027,2,1),"m"),IF($D102="Quarterly",3,IF($D102="Annual",12,1)))=0),IF((COUNTIFS(Xero_Raw!$D$4:$D$5003,$A102,Xero_Raw!$G$4:$G$5003,"*Subscription*",Xero_Raw!$A$4:$A$5003,"&gt;="&amp;DATE(2027,2,1),Xero_Raw!$A$4:$A$5003,"&lt;"&amp;EDATE(DATE(2027,2,1),1))+COUNTIFS(Customer_Invoices_Upload!$E$4:$E$5003,$A102,Customer_Invoices_Upload!$G$4:$G$5003,"*Subscription*",Customer_Invoices_Upload!$B$4:$B$5003,"&gt;="&amp;DATE(2027,2,1),Customer_Invoices_Upload!$B$4:$B$5003,"&lt;"&amp;EDATE(DATE(2027,2,1),1))+COUNTIFS(Stripe_Invoices_Upload!$D$4:$D$5003,$A102,Stripe_Invoices_Upload!$E$4:$E$5003,"*Subscription*",Stripe_Invoices_Upload!$A$4:$A$5003,"&gt;="&amp;DATE(2027,2,1),Stripe_Invoices_Upload!$A$4:$A$5003,"&lt;"&amp;EDATE(DATE(2027,2,1),1)))&gt;0,"✓ Invoiced","⚠ Due"),""),""))</f>
        <v/>
      </c>
      <c r="R102" s="130" t="str">
        <f aca="false">IF($A102="","",IF((DATE(YEAR($E102),MONTH($E102),1)&lt;=DATE(2027,3,1)),IF((MOD(DATEDIF(DATE(YEAR($E102),MONTH($E102),1),DATE(2027,3,1),"m"),IF($D102="Quarterly",3,IF($D102="Annual",12,1)))=0),IF((COUNTIFS(Xero_Raw!$D$4:$D$5003,$A102,Xero_Raw!$G$4:$G$5003,"*Subscription*",Xero_Raw!$A$4:$A$5003,"&gt;="&amp;DATE(2027,3,1),Xero_Raw!$A$4:$A$5003,"&lt;"&amp;EDATE(DATE(2027,3,1),1))+COUNTIFS(Customer_Invoices_Upload!$E$4:$E$5003,$A102,Customer_Invoices_Upload!$G$4:$G$5003,"*Subscription*",Customer_Invoices_Upload!$B$4:$B$5003,"&gt;="&amp;DATE(2027,3,1),Customer_Invoices_Upload!$B$4:$B$5003,"&lt;"&amp;EDATE(DATE(2027,3,1),1))+COUNTIFS(Stripe_Invoices_Upload!$D$4:$D$5003,$A102,Stripe_Invoices_Upload!$E$4:$E$5003,"*Subscription*",Stripe_Invoices_Upload!$A$4:$A$5003,"&gt;="&amp;DATE(2027,3,1),Stripe_Invoices_Upload!$A$4:$A$5003,"&lt;"&amp;EDATE(DATE(2027,3,1),1)))&gt;0,"✓ Invoiced","⚠ Due"),""),""))</f>
        <v/>
      </c>
    </row>
    <row r="103" customFormat="false" ht="15" hidden="false" customHeight="false" outlineLevel="0" collapsed="false">
      <c r="A103" s="39"/>
      <c r="B103" s="39"/>
      <c r="C103" s="40"/>
      <c r="D103" s="39"/>
      <c r="E103" s="38"/>
      <c r="F103" s="129" t="str">
        <f aca="true">IF($A103="","",EDATE($E103,DATEDIF($E103,TODAY(),"m")+1))</f>
        <v/>
      </c>
      <c r="G103" s="130" t="str">
        <f aca="false">IF($A103="","",IF((DATE(YEAR($E103),MONTH($E103),1)&lt;=DATE(2026,4,1)),IF((MOD(DATEDIF(DATE(YEAR($E103),MONTH($E103),1),DATE(2026,4,1),"m"),IF($D103="Quarterly",3,IF($D103="Annual",12,1)))=0),IF((COUNTIFS(Xero_Raw!$D$4:$D$5003,$A103,Xero_Raw!$G$4:$G$5003,"*Subscription*",Xero_Raw!$A$4:$A$5003,"&gt;="&amp;DATE(2026,4,1),Xero_Raw!$A$4:$A$5003,"&lt;"&amp;EDATE(DATE(2026,4,1),1))+COUNTIFS(Customer_Invoices_Upload!$E$4:$E$5003,$A103,Customer_Invoices_Upload!$G$4:$G$5003,"*Subscription*",Customer_Invoices_Upload!$B$4:$B$5003,"&gt;="&amp;DATE(2026,4,1),Customer_Invoices_Upload!$B$4:$B$5003,"&lt;"&amp;EDATE(DATE(2026,4,1),1))+COUNTIFS(Stripe_Invoices_Upload!$D$4:$D$5003,$A103,Stripe_Invoices_Upload!$E$4:$E$5003,"*Subscription*",Stripe_Invoices_Upload!$A$4:$A$5003,"&gt;="&amp;DATE(2026,4,1),Stripe_Invoices_Upload!$A$4:$A$5003,"&lt;"&amp;EDATE(DATE(2026,4,1),1)))&gt;0,"✓ Invoiced","⚠ Due"),""),""))</f>
        <v/>
      </c>
      <c r="H103" s="130" t="str">
        <f aca="false">IF($A103="","",IF((DATE(YEAR($E103),MONTH($E103),1)&lt;=DATE(2026,5,1)),IF((MOD(DATEDIF(DATE(YEAR($E103),MONTH($E103),1),DATE(2026,5,1),"m"),IF($D103="Quarterly",3,IF($D103="Annual",12,1)))=0),IF((COUNTIFS(Xero_Raw!$D$4:$D$5003,$A103,Xero_Raw!$G$4:$G$5003,"*Subscription*",Xero_Raw!$A$4:$A$5003,"&gt;="&amp;DATE(2026,5,1),Xero_Raw!$A$4:$A$5003,"&lt;"&amp;EDATE(DATE(2026,5,1),1))+COUNTIFS(Customer_Invoices_Upload!$E$4:$E$5003,$A103,Customer_Invoices_Upload!$G$4:$G$5003,"*Subscription*",Customer_Invoices_Upload!$B$4:$B$5003,"&gt;="&amp;DATE(2026,5,1),Customer_Invoices_Upload!$B$4:$B$5003,"&lt;"&amp;EDATE(DATE(2026,5,1),1))+COUNTIFS(Stripe_Invoices_Upload!$D$4:$D$5003,$A103,Stripe_Invoices_Upload!$E$4:$E$5003,"*Subscription*",Stripe_Invoices_Upload!$A$4:$A$5003,"&gt;="&amp;DATE(2026,5,1),Stripe_Invoices_Upload!$A$4:$A$5003,"&lt;"&amp;EDATE(DATE(2026,5,1),1)))&gt;0,"✓ Invoiced","⚠ Due"),""),""))</f>
        <v/>
      </c>
      <c r="I103" s="130" t="str">
        <f aca="false">IF($A103="","",IF((DATE(YEAR($E103),MONTH($E103),1)&lt;=DATE(2026,6,1)),IF((MOD(DATEDIF(DATE(YEAR($E103),MONTH($E103),1),DATE(2026,6,1),"m"),IF($D103="Quarterly",3,IF($D103="Annual",12,1)))=0),IF((COUNTIFS(Xero_Raw!$D$4:$D$5003,$A103,Xero_Raw!$G$4:$G$5003,"*Subscription*",Xero_Raw!$A$4:$A$5003,"&gt;="&amp;DATE(2026,6,1),Xero_Raw!$A$4:$A$5003,"&lt;"&amp;EDATE(DATE(2026,6,1),1))+COUNTIFS(Customer_Invoices_Upload!$E$4:$E$5003,$A103,Customer_Invoices_Upload!$G$4:$G$5003,"*Subscription*",Customer_Invoices_Upload!$B$4:$B$5003,"&gt;="&amp;DATE(2026,6,1),Customer_Invoices_Upload!$B$4:$B$5003,"&lt;"&amp;EDATE(DATE(2026,6,1),1))+COUNTIFS(Stripe_Invoices_Upload!$D$4:$D$5003,$A103,Stripe_Invoices_Upload!$E$4:$E$5003,"*Subscription*",Stripe_Invoices_Upload!$A$4:$A$5003,"&gt;="&amp;DATE(2026,6,1),Stripe_Invoices_Upload!$A$4:$A$5003,"&lt;"&amp;EDATE(DATE(2026,6,1),1)))&gt;0,"✓ Invoiced","⚠ Due"),""),""))</f>
        <v/>
      </c>
      <c r="J103" s="130" t="str">
        <f aca="false">IF($A103="","",IF((DATE(YEAR($E103),MONTH($E103),1)&lt;=DATE(2026,7,1)),IF((MOD(DATEDIF(DATE(YEAR($E103),MONTH($E103),1),DATE(2026,7,1),"m"),IF($D103="Quarterly",3,IF($D103="Annual",12,1)))=0),IF((COUNTIFS(Xero_Raw!$D$4:$D$5003,$A103,Xero_Raw!$G$4:$G$5003,"*Subscription*",Xero_Raw!$A$4:$A$5003,"&gt;="&amp;DATE(2026,7,1),Xero_Raw!$A$4:$A$5003,"&lt;"&amp;EDATE(DATE(2026,7,1),1))+COUNTIFS(Customer_Invoices_Upload!$E$4:$E$5003,$A103,Customer_Invoices_Upload!$G$4:$G$5003,"*Subscription*",Customer_Invoices_Upload!$B$4:$B$5003,"&gt;="&amp;DATE(2026,7,1),Customer_Invoices_Upload!$B$4:$B$5003,"&lt;"&amp;EDATE(DATE(2026,7,1),1))+COUNTIFS(Stripe_Invoices_Upload!$D$4:$D$5003,$A103,Stripe_Invoices_Upload!$E$4:$E$5003,"*Subscription*",Stripe_Invoices_Upload!$A$4:$A$5003,"&gt;="&amp;DATE(2026,7,1),Stripe_Invoices_Upload!$A$4:$A$5003,"&lt;"&amp;EDATE(DATE(2026,7,1),1)))&gt;0,"✓ Invoiced","⚠ Due"),""),""))</f>
        <v/>
      </c>
      <c r="K103" s="130" t="str">
        <f aca="false">IF($A103="","",IF((DATE(YEAR($E103),MONTH($E103),1)&lt;=DATE(2026,8,1)),IF((MOD(DATEDIF(DATE(YEAR($E103),MONTH($E103),1),DATE(2026,8,1),"m"),IF($D103="Quarterly",3,IF($D103="Annual",12,1)))=0),IF((COUNTIFS(Xero_Raw!$D$4:$D$5003,$A103,Xero_Raw!$G$4:$G$5003,"*Subscription*",Xero_Raw!$A$4:$A$5003,"&gt;="&amp;DATE(2026,8,1),Xero_Raw!$A$4:$A$5003,"&lt;"&amp;EDATE(DATE(2026,8,1),1))+COUNTIFS(Customer_Invoices_Upload!$E$4:$E$5003,$A103,Customer_Invoices_Upload!$G$4:$G$5003,"*Subscription*",Customer_Invoices_Upload!$B$4:$B$5003,"&gt;="&amp;DATE(2026,8,1),Customer_Invoices_Upload!$B$4:$B$5003,"&lt;"&amp;EDATE(DATE(2026,8,1),1))+COUNTIFS(Stripe_Invoices_Upload!$D$4:$D$5003,$A103,Stripe_Invoices_Upload!$E$4:$E$5003,"*Subscription*",Stripe_Invoices_Upload!$A$4:$A$5003,"&gt;="&amp;DATE(2026,8,1),Stripe_Invoices_Upload!$A$4:$A$5003,"&lt;"&amp;EDATE(DATE(2026,8,1),1)))&gt;0,"✓ Invoiced","⚠ Due"),""),""))</f>
        <v/>
      </c>
      <c r="L103" s="130" t="str">
        <f aca="false">IF($A103="","",IF((DATE(YEAR($E103),MONTH($E103),1)&lt;=DATE(2026,9,1)),IF((MOD(DATEDIF(DATE(YEAR($E103),MONTH($E103),1),DATE(2026,9,1),"m"),IF($D103="Quarterly",3,IF($D103="Annual",12,1)))=0),IF((COUNTIFS(Xero_Raw!$D$4:$D$5003,$A103,Xero_Raw!$G$4:$G$5003,"*Subscription*",Xero_Raw!$A$4:$A$5003,"&gt;="&amp;DATE(2026,9,1),Xero_Raw!$A$4:$A$5003,"&lt;"&amp;EDATE(DATE(2026,9,1),1))+COUNTIFS(Customer_Invoices_Upload!$E$4:$E$5003,$A103,Customer_Invoices_Upload!$G$4:$G$5003,"*Subscription*",Customer_Invoices_Upload!$B$4:$B$5003,"&gt;="&amp;DATE(2026,9,1),Customer_Invoices_Upload!$B$4:$B$5003,"&lt;"&amp;EDATE(DATE(2026,9,1),1))+COUNTIFS(Stripe_Invoices_Upload!$D$4:$D$5003,$A103,Stripe_Invoices_Upload!$E$4:$E$5003,"*Subscription*",Stripe_Invoices_Upload!$A$4:$A$5003,"&gt;="&amp;DATE(2026,9,1),Stripe_Invoices_Upload!$A$4:$A$5003,"&lt;"&amp;EDATE(DATE(2026,9,1),1)))&gt;0,"✓ Invoiced","⚠ Due"),""),""))</f>
        <v/>
      </c>
      <c r="M103" s="130" t="str">
        <f aca="false">IF($A103="","",IF((DATE(YEAR($E103),MONTH($E103),1)&lt;=DATE(2026,10,1)),IF((MOD(DATEDIF(DATE(YEAR($E103),MONTH($E103),1),DATE(2026,10,1),"m"),IF($D103="Quarterly",3,IF($D103="Annual",12,1)))=0),IF((COUNTIFS(Xero_Raw!$D$4:$D$5003,$A103,Xero_Raw!$G$4:$G$5003,"*Subscription*",Xero_Raw!$A$4:$A$5003,"&gt;="&amp;DATE(2026,10,1),Xero_Raw!$A$4:$A$5003,"&lt;"&amp;EDATE(DATE(2026,10,1),1))+COUNTIFS(Customer_Invoices_Upload!$E$4:$E$5003,$A103,Customer_Invoices_Upload!$G$4:$G$5003,"*Subscription*",Customer_Invoices_Upload!$B$4:$B$5003,"&gt;="&amp;DATE(2026,10,1),Customer_Invoices_Upload!$B$4:$B$5003,"&lt;"&amp;EDATE(DATE(2026,10,1),1))+COUNTIFS(Stripe_Invoices_Upload!$D$4:$D$5003,$A103,Stripe_Invoices_Upload!$E$4:$E$5003,"*Subscription*",Stripe_Invoices_Upload!$A$4:$A$5003,"&gt;="&amp;DATE(2026,10,1),Stripe_Invoices_Upload!$A$4:$A$5003,"&lt;"&amp;EDATE(DATE(2026,10,1),1)))&gt;0,"✓ Invoiced","⚠ Due"),""),""))</f>
        <v/>
      </c>
      <c r="N103" s="130" t="str">
        <f aca="false">IF($A103="","",IF((DATE(YEAR($E103),MONTH($E103),1)&lt;=DATE(2026,11,1)),IF((MOD(DATEDIF(DATE(YEAR($E103),MONTH($E103),1),DATE(2026,11,1),"m"),IF($D103="Quarterly",3,IF($D103="Annual",12,1)))=0),IF((COUNTIFS(Xero_Raw!$D$4:$D$5003,$A103,Xero_Raw!$G$4:$G$5003,"*Subscription*",Xero_Raw!$A$4:$A$5003,"&gt;="&amp;DATE(2026,11,1),Xero_Raw!$A$4:$A$5003,"&lt;"&amp;EDATE(DATE(2026,11,1),1))+COUNTIFS(Customer_Invoices_Upload!$E$4:$E$5003,$A103,Customer_Invoices_Upload!$G$4:$G$5003,"*Subscription*",Customer_Invoices_Upload!$B$4:$B$5003,"&gt;="&amp;DATE(2026,11,1),Customer_Invoices_Upload!$B$4:$B$5003,"&lt;"&amp;EDATE(DATE(2026,11,1),1))+COUNTIFS(Stripe_Invoices_Upload!$D$4:$D$5003,$A103,Stripe_Invoices_Upload!$E$4:$E$5003,"*Subscription*",Stripe_Invoices_Upload!$A$4:$A$5003,"&gt;="&amp;DATE(2026,11,1),Stripe_Invoices_Upload!$A$4:$A$5003,"&lt;"&amp;EDATE(DATE(2026,11,1),1)))&gt;0,"✓ Invoiced","⚠ Due"),""),""))</f>
        <v/>
      </c>
      <c r="O103" s="130" t="str">
        <f aca="false">IF($A103="","",IF((DATE(YEAR($E103),MONTH($E103),1)&lt;=DATE(2026,12,1)),IF((MOD(DATEDIF(DATE(YEAR($E103),MONTH($E103),1),DATE(2026,12,1),"m"),IF($D103="Quarterly",3,IF($D103="Annual",12,1)))=0),IF((COUNTIFS(Xero_Raw!$D$4:$D$5003,$A103,Xero_Raw!$G$4:$G$5003,"*Subscription*",Xero_Raw!$A$4:$A$5003,"&gt;="&amp;DATE(2026,12,1),Xero_Raw!$A$4:$A$5003,"&lt;"&amp;EDATE(DATE(2026,12,1),1))+COUNTIFS(Customer_Invoices_Upload!$E$4:$E$5003,$A103,Customer_Invoices_Upload!$G$4:$G$5003,"*Subscription*",Customer_Invoices_Upload!$B$4:$B$5003,"&gt;="&amp;DATE(2026,12,1),Customer_Invoices_Upload!$B$4:$B$5003,"&lt;"&amp;EDATE(DATE(2026,12,1),1))+COUNTIFS(Stripe_Invoices_Upload!$D$4:$D$5003,$A103,Stripe_Invoices_Upload!$E$4:$E$5003,"*Subscription*",Stripe_Invoices_Upload!$A$4:$A$5003,"&gt;="&amp;DATE(2026,12,1),Stripe_Invoices_Upload!$A$4:$A$5003,"&lt;"&amp;EDATE(DATE(2026,12,1),1)))&gt;0,"✓ Invoiced","⚠ Due"),""),""))</f>
        <v/>
      </c>
      <c r="P103" s="130" t="str">
        <f aca="false">IF($A103="","",IF((DATE(YEAR($E103),MONTH($E103),1)&lt;=DATE(2027,1,1)),IF((MOD(DATEDIF(DATE(YEAR($E103),MONTH($E103),1),DATE(2027,1,1),"m"),IF($D103="Quarterly",3,IF($D103="Annual",12,1)))=0),IF((COUNTIFS(Xero_Raw!$D$4:$D$5003,$A103,Xero_Raw!$G$4:$G$5003,"*Subscription*",Xero_Raw!$A$4:$A$5003,"&gt;="&amp;DATE(2027,1,1),Xero_Raw!$A$4:$A$5003,"&lt;"&amp;EDATE(DATE(2027,1,1),1))+COUNTIFS(Customer_Invoices_Upload!$E$4:$E$5003,$A103,Customer_Invoices_Upload!$G$4:$G$5003,"*Subscription*",Customer_Invoices_Upload!$B$4:$B$5003,"&gt;="&amp;DATE(2027,1,1),Customer_Invoices_Upload!$B$4:$B$5003,"&lt;"&amp;EDATE(DATE(2027,1,1),1))+COUNTIFS(Stripe_Invoices_Upload!$D$4:$D$5003,$A103,Stripe_Invoices_Upload!$E$4:$E$5003,"*Subscription*",Stripe_Invoices_Upload!$A$4:$A$5003,"&gt;="&amp;DATE(2027,1,1),Stripe_Invoices_Upload!$A$4:$A$5003,"&lt;"&amp;EDATE(DATE(2027,1,1),1)))&gt;0,"✓ Invoiced","⚠ Due"),""),""))</f>
        <v/>
      </c>
      <c r="Q103" s="130" t="str">
        <f aca="false">IF($A103="","",IF((DATE(YEAR($E103),MONTH($E103),1)&lt;=DATE(2027,2,1)),IF((MOD(DATEDIF(DATE(YEAR($E103),MONTH($E103),1),DATE(2027,2,1),"m"),IF($D103="Quarterly",3,IF($D103="Annual",12,1)))=0),IF((COUNTIFS(Xero_Raw!$D$4:$D$5003,$A103,Xero_Raw!$G$4:$G$5003,"*Subscription*",Xero_Raw!$A$4:$A$5003,"&gt;="&amp;DATE(2027,2,1),Xero_Raw!$A$4:$A$5003,"&lt;"&amp;EDATE(DATE(2027,2,1),1))+COUNTIFS(Customer_Invoices_Upload!$E$4:$E$5003,$A103,Customer_Invoices_Upload!$G$4:$G$5003,"*Subscription*",Customer_Invoices_Upload!$B$4:$B$5003,"&gt;="&amp;DATE(2027,2,1),Customer_Invoices_Upload!$B$4:$B$5003,"&lt;"&amp;EDATE(DATE(2027,2,1),1))+COUNTIFS(Stripe_Invoices_Upload!$D$4:$D$5003,$A103,Stripe_Invoices_Upload!$E$4:$E$5003,"*Subscription*",Stripe_Invoices_Upload!$A$4:$A$5003,"&gt;="&amp;DATE(2027,2,1),Stripe_Invoices_Upload!$A$4:$A$5003,"&lt;"&amp;EDATE(DATE(2027,2,1),1)))&gt;0,"✓ Invoiced","⚠ Due"),""),""))</f>
        <v/>
      </c>
      <c r="R103" s="130" t="str">
        <f aca="false">IF($A103="","",IF((DATE(YEAR($E103),MONTH($E103),1)&lt;=DATE(2027,3,1)),IF((MOD(DATEDIF(DATE(YEAR($E103),MONTH($E103),1),DATE(2027,3,1),"m"),IF($D103="Quarterly",3,IF($D103="Annual",12,1)))=0),IF((COUNTIFS(Xero_Raw!$D$4:$D$5003,$A103,Xero_Raw!$G$4:$G$5003,"*Subscription*",Xero_Raw!$A$4:$A$5003,"&gt;="&amp;DATE(2027,3,1),Xero_Raw!$A$4:$A$5003,"&lt;"&amp;EDATE(DATE(2027,3,1),1))+COUNTIFS(Customer_Invoices_Upload!$E$4:$E$5003,$A103,Customer_Invoices_Upload!$G$4:$G$5003,"*Subscription*",Customer_Invoices_Upload!$B$4:$B$5003,"&gt;="&amp;DATE(2027,3,1),Customer_Invoices_Upload!$B$4:$B$5003,"&lt;"&amp;EDATE(DATE(2027,3,1),1))+COUNTIFS(Stripe_Invoices_Upload!$D$4:$D$5003,$A103,Stripe_Invoices_Upload!$E$4:$E$5003,"*Subscription*",Stripe_Invoices_Upload!$A$4:$A$5003,"&gt;="&amp;DATE(2027,3,1),Stripe_Invoices_Upload!$A$4:$A$5003,"&lt;"&amp;EDATE(DATE(2027,3,1),1)))&gt;0,"✓ Invoiced","⚠ Due"),""),""))</f>
        <v/>
      </c>
    </row>
    <row r="104" customFormat="false" ht="15" hidden="false" customHeight="false" outlineLevel="0" collapsed="false">
      <c r="A104" s="39"/>
      <c r="B104" s="39"/>
      <c r="C104" s="40"/>
      <c r="D104" s="39"/>
      <c r="E104" s="38"/>
      <c r="F104" s="129" t="str">
        <f aca="true">IF($A104="","",EDATE($E104,DATEDIF($E104,TODAY(),"m")+1))</f>
        <v/>
      </c>
      <c r="G104" s="130" t="str">
        <f aca="false">IF($A104="","",IF((DATE(YEAR($E104),MONTH($E104),1)&lt;=DATE(2026,4,1)),IF((MOD(DATEDIF(DATE(YEAR($E104),MONTH($E104),1),DATE(2026,4,1),"m"),IF($D104="Quarterly",3,IF($D104="Annual",12,1)))=0),IF((COUNTIFS(Xero_Raw!$D$4:$D$5003,$A104,Xero_Raw!$G$4:$G$5003,"*Subscription*",Xero_Raw!$A$4:$A$5003,"&gt;="&amp;DATE(2026,4,1),Xero_Raw!$A$4:$A$5003,"&lt;"&amp;EDATE(DATE(2026,4,1),1))+COUNTIFS(Customer_Invoices_Upload!$E$4:$E$5003,$A104,Customer_Invoices_Upload!$G$4:$G$5003,"*Subscription*",Customer_Invoices_Upload!$B$4:$B$5003,"&gt;="&amp;DATE(2026,4,1),Customer_Invoices_Upload!$B$4:$B$5003,"&lt;"&amp;EDATE(DATE(2026,4,1),1))+COUNTIFS(Stripe_Invoices_Upload!$D$4:$D$5003,$A104,Stripe_Invoices_Upload!$E$4:$E$5003,"*Subscription*",Stripe_Invoices_Upload!$A$4:$A$5003,"&gt;="&amp;DATE(2026,4,1),Stripe_Invoices_Upload!$A$4:$A$5003,"&lt;"&amp;EDATE(DATE(2026,4,1),1)))&gt;0,"✓ Invoiced","⚠ Due"),""),""))</f>
        <v/>
      </c>
      <c r="H104" s="130" t="str">
        <f aca="false">IF($A104="","",IF((DATE(YEAR($E104),MONTH($E104),1)&lt;=DATE(2026,5,1)),IF((MOD(DATEDIF(DATE(YEAR($E104),MONTH($E104),1),DATE(2026,5,1),"m"),IF($D104="Quarterly",3,IF($D104="Annual",12,1)))=0),IF((COUNTIFS(Xero_Raw!$D$4:$D$5003,$A104,Xero_Raw!$G$4:$G$5003,"*Subscription*",Xero_Raw!$A$4:$A$5003,"&gt;="&amp;DATE(2026,5,1),Xero_Raw!$A$4:$A$5003,"&lt;"&amp;EDATE(DATE(2026,5,1),1))+COUNTIFS(Customer_Invoices_Upload!$E$4:$E$5003,$A104,Customer_Invoices_Upload!$G$4:$G$5003,"*Subscription*",Customer_Invoices_Upload!$B$4:$B$5003,"&gt;="&amp;DATE(2026,5,1),Customer_Invoices_Upload!$B$4:$B$5003,"&lt;"&amp;EDATE(DATE(2026,5,1),1))+COUNTIFS(Stripe_Invoices_Upload!$D$4:$D$5003,$A104,Stripe_Invoices_Upload!$E$4:$E$5003,"*Subscription*",Stripe_Invoices_Upload!$A$4:$A$5003,"&gt;="&amp;DATE(2026,5,1),Stripe_Invoices_Upload!$A$4:$A$5003,"&lt;"&amp;EDATE(DATE(2026,5,1),1)))&gt;0,"✓ Invoiced","⚠ Due"),""),""))</f>
        <v/>
      </c>
      <c r="I104" s="130" t="str">
        <f aca="false">IF($A104="","",IF((DATE(YEAR($E104),MONTH($E104),1)&lt;=DATE(2026,6,1)),IF((MOD(DATEDIF(DATE(YEAR($E104),MONTH($E104),1),DATE(2026,6,1),"m"),IF($D104="Quarterly",3,IF($D104="Annual",12,1)))=0),IF((COUNTIFS(Xero_Raw!$D$4:$D$5003,$A104,Xero_Raw!$G$4:$G$5003,"*Subscription*",Xero_Raw!$A$4:$A$5003,"&gt;="&amp;DATE(2026,6,1),Xero_Raw!$A$4:$A$5003,"&lt;"&amp;EDATE(DATE(2026,6,1),1))+COUNTIFS(Customer_Invoices_Upload!$E$4:$E$5003,$A104,Customer_Invoices_Upload!$G$4:$G$5003,"*Subscription*",Customer_Invoices_Upload!$B$4:$B$5003,"&gt;="&amp;DATE(2026,6,1),Customer_Invoices_Upload!$B$4:$B$5003,"&lt;"&amp;EDATE(DATE(2026,6,1),1))+COUNTIFS(Stripe_Invoices_Upload!$D$4:$D$5003,$A104,Stripe_Invoices_Upload!$E$4:$E$5003,"*Subscription*",Stripe_Invoices_Upload!$A$4:$A$5003,"&gt;="&amp;DATE(2026,6,1),Stripe_Invoices_Upload!$A$4:$A$5003,"&lt;"&amp;EDATE(DATE(2026,6,1),1)))&gt;0,"✓ Invoiced","⚠ Due"),""),""))</f>
        <v/>
      </c>
      <c r="J104" s="130" t="str">
        <f aca="false">IF($A104="","",IF((DATE(YEAR($E104),MONTH($E104),1)&lt;=DATE(2026,7,1)),IF((MOD(DATEDIF(DATE(YEAR($E104),MONTH($E104),1),DATE(2026,7,1),"m"),IF($D104="Quarterly",3,IF($D104="Annual",12,1)))=0),IF((COUNTIFS(Xero_Raw!$D$4:$D$5003,$A104,Xero_Raw!$G$4:$G$5003,"*Subscription*",Xero_Raw!$A$4:$A$5003,"&gt;="&amp;DATE(2026,7,1),Xero_Raw!$A$4:$A$5003,"&lt;"&amp;EDATE(DATE(2026,7,1),1))+COUNTIFS(Customer_Invoices_Upload!$E$4:$E$5003,$A104,Customer_Invoices_Upload!$G$4:$G$5003,"*Subscription*",Customer_Invoices_Upload!$B$4:$B$5003,"&gt;="&amp;DATE(2026,7,1),Customer_Invoices_Upload!$B$4:$B$5003,"&lt;"&amp;EDATE(DATE(2026,7,1),1))+COUNTIFS(Stripe_Invoices_Upload!$D$4:$D$5003,$A104,Stripe_Invoices_Upload!$E$4:$E$5003,"*Subscription*",Stripe_Invoices_Upload!$A$4:$A$5003,"&gt;="&amp;DATE(2026,7,1),Stripe_Invoices_Upload!$A$4:$A$5003,"&lt;"&amp;EDATE(DATE(2026,7,1),1)))&gt;0,"✓ Invoiced","⚠ Due"),""),""))</f>
        <v/>
      </c>
      <c r="K104" s="130" t="str">
        <f aca="false">IF($A104="","",IF((DATE(YEAR($E104),MONTH($E104),1)&lt;=DATE(2026,8,1)),IF((MOD(DATEDIF(DATE(YEAR($E104),MONTH($E104),1),DATE(2026,8,1),"m"),IF($D104="Quarterly",3,IF($D104="Annual",12,1)))=0),IF((COUNTIFS(Xero_Raw!$D$4:$D$5003,$A104,Xero_Raw!$G$4:$G$5003,"*Subscription*",Xero_Raw!$A$4:$A$5003,"&gt;="&amp;DATE(2026,8,1),Xero_Raw!$A$4:$A$5003,"&lt;"&amp;EDATE(DATE(2026,8,1),1))+COUNTIFS(Customer_Invoices_Upload!$E$4:$E$5003,$A104,Customer_Invoices_Upload!$G$4:$G$5003,"*Subscription*",Customer_Invoices_Upload!$B$4:$B$5003,"&gt;="&amp;DATE(2026,8,1),Customer_Invoices_Upload!$B$4:$B$5003,"&lt;"&amp;EDATE(DATE(2026,8,1),1))+COUNTIFS(Stripe_Invoices_Upload!$D$4:$D$5003,$A104,Stripe_Invoices_Upload!$E$4:$E$5003,"*Subscription*",Stripe_Invoices_Upload!$A$4:$A$5003,"&gt;="&amp;DATE(2026,8,1),Stripe_Invoices_Upload!$A$4:$A$5003,"&lt;"&amp;EDATE(DATE(2026,8,1),1)))&gt;0,"✓ Invoiced","⚠ Due"),""),""))</f>
        <v/>
      </c>
      <c r="L104" s="130" t="str">
        <f aca="false">IF($A104="","",IF((DATE(YEAR($E104),MONTH($E104),1)&lt;=DATE(2026,9,1)),IF((MOD(DATEDIF(DATE(YEAR($E104),MONTH($E104),1),DATE(2026,9,1),"m"),IF($D104="Quarterly",3,IF($D104="Annual",12,1)))=0),IF((COUNTIFS(Xero_Raw!$D$4:$D$5003,$A104,Xero_Raw!$G$4:$G$5003,"*Subscription*",Xero_Raw!$A$4:$A$5003,"&gt;="&amp;DATE(2026,9,1),Xero_Raw!$A$4:$A$5003,"&lt;"&amp;EDATE(DATE(2026,9,1),1))+COUNTIFS(Customer_Invoices_Upload!$E$4:$E$5003,$A104,Customer_Invoices_Upload!$G$4:$G$5003,"*Subscription*",Customer_Invoices_Upload!$B$4:$B$5003,"&gt;="&amp;DATE(2026,9,1),Customer_Invoices_Upload!$B$4:$B$5003,"&lt;"&amp;EDATE(DATE(2026,9,1),1))+COUNTIFS(Stripe_Invoices_Upload!$D$4:$D$5003,$A104,Stripe_Invoices_Upload!$E$4:$E$5003,"*Subscription*",Stripe_Invoices_Upload!$A$4:$A$5003,"&gt;="&amp;DATE(2026,9,1),Stripe_Invoices_Upload!$A$4:$A$5003,"&lt;"&amp;EDATE(DATE(2026,9,1),1)))&gt;0,"✓ Invoiced","⚠ Due"),""),""))</f>
        <v/>
      </c>
      <c r="M104" s="130" t="str">
        <f aca="false">IF($A104="","",IF((DATE(YEAR($E104),MONTH($E104),1)&lt;=DATE(2026,10,1)),IF((MOD(DATEDIF(DATE(YEAR($E104),MONTH($E104),1),DATE(2026,10,1),"m"),IF($D104="Quarterly",3,IF($D104="Annual",12,1)))=0),IF((COUNTIFS(Xero_Raw!$D$4:$D$5003,$A104,Xero_Raw!$G$4:$G$5003,"*Subscription*",Xero_Raw!$A$4:$A$5003,"&gt;="&amp;DATE(2026,10,1),Xero_Raw!$A$4:$A$5003,"&lt;"&amp;EDATE(DATE(2026,10,1),1))+COUNTIFS(Customer_Invoices_Upload!$E$4:$E$5003,$A104,Customer_Invoices_Upload!$G$4:$G$5003,"*Subscription*",Customer_Invoices_Upload!$B$4:$B$5003,"&gt;="&amp;DATE(2026,10,1),Customer_Invoices_Upload!$B$4:$B$5003,"&lt;"&amp;EDATE(DATE(2026,10,1),1))+COUNTIFS(Stripe_Invoices_Upload!$D$4:$D$5003,$A104,Stripe_Invoices_Upload!$E$4:$E$5003,"*Subscription*",Stripe_Invoices_Upload!$A$4:$A$5003,"&gt;="&amp;DATE(2026,10,1),Stripe_Invoices_Upload!$A$4:$A$5003,"&lt;"&amp;EDATE(DATE(2026,10,1),1)))&gt;0,"✓ Invoiced","⚠ Due"),""),""))</f>
        <v/>
      </c>
      <c r="N104" s="130" t="str">
        <f aca="false">IF($A104="","",IF((DATE(YEAR($E104),MONTH($E104),1)&lt;=DATE(2026,11,1)),IF((MOD(DATEDIF(DATE(YEAR($E104),MONTH($E104),1),DATE(2026,11,1),"m"),IF($D104="Quarterly",3,IF($D104="Annual",12,1)))=0),IF((COUNTIFS(Xero_Raw!$D$4:$D$5003,$A104,Xero_Raw!$G$4:$G$5003,"*Subscription*",Xero_Raw!$A$4:$A$5003,"&gt;="&amp;DATE(2026,11,1),Xero_Raw!$A$4:$A$5003,"&lt;"&amp;EDATE(DATE(2026,11,1),1))+COUNTIFS(Customer_Invoices_Upload!$E$4:$E$5003,$A104,Customer_Invoices_Upload!$G$4:$G$5003,"*Subscription*",Customer_Invoices_Upload!$B$4:$B$5003,"&gt;="&amp;DATE(2026,11,1),Customer_Invoices_Upload!$B$4:$B$5003,"&lt;"&amp;EDATE(DATE(2026,11,1),1))+COUNTIFS(Stripe_Invoices_Upload!$D$4:$D$5003,$A104,Stripe_Invoices_Upload!$E$4:$E$5003,"*Subscription*",Stripe_Invoices_Upload!$A$4:$A$5003,"&gt;="&amp;DATE(2026,11,1),Stripe_Invoices_Upload!$A$4:$A$5003,"&lt;"&amp;EDATE(DATE(2026,11,1),1)))&gt;0,"✓ Invoiced","⚠ Due"),""),""))</f>
        <v/>
      </c>
      <c r="O104" s="130" t="str">
        <f aca="false">IF($A104="","",IF((DATE(YEAR($E104),MONTH($E104),1)&lt;=DATE(2026,12,1)),IF((MOD(DATEDIF(DATE(YEAR($E104),MONTH($E104),1),DATE(2026,12,1),"m"),IF($D104="Quarterly",3,IF($D104="Annual",12,1)))=0),IF((COUNTIFS(Xero_Raw!$D$4:$D$5003,$A104,Xero_Raw!$G$4:$G$5003,"*Subscription*",Xero_Raw!$A$4:$A$5003,"&gt;="&amp;DATE(2026,12,1),Xero_Raw!$A$4:$A$5003,"&lt;"&amp;EDATE(DATE(2026,12,1),1))+COUNTIFS(Customer_Invoices_Upload!$E$4:$E$5003,$A104,Customer_Invoices_Upload!$G$4:$G$5003,"*Subscription*",Customer_Invoices_Upload!$B$4:$B$5003,"&gt;="&amp;DATE(2026,12,1),Customer_Invoices_Upload!$B$4:$B$5003,"&lt;"&amp;EDATE(DATE(2026,12,1),1))+COUNTIFS(Stripe_Invoices_Upload!$D$4:$D$5003,$A104,Stripe_Invoices_Upload!$E$4:$E$5003,"*Subscription*",Stripe_Invoices_Upload!$A$4:$A$5003,"&gt;="&amp;DATE(2026,12,1),Stripe_Invoices_Upload!$A$4:$A$5003,"&lt;"&amp;EDATE(DATE(2026,12,1),1)))&gt;0,"✓ Invoiced","⚠ Due"),""),""))</f>
        <v/>
      </c>
      <c r="P104" s="130" t="str">
        <f aca="false">IF($A104="","",IF((DATE(YEAR($E104),MONTH($E104),1)&lt;=DATE(2027,1,1)),IF((MOD(DATEDIF(DATE(YEAR($E104),MONTH($E104),1),DATE(2027,1,1),"m"),IF($D104="Quarterly",3,IF($D104="Annual",12,1)))=0),IF((COUNTIFS(Xero_Raw!$D$4:$D$5003,$A104,Xero_Raw!$G$4:$G$5003,"*Subscription*",Xero_Raw!$A$4:$A$5003,"&gt;="&amp;DATE(2027,1,1),Xero_Raw!$A$4:$A$5003,"&lt;"&amp;EDATE(DATE(2027,1,1),1))+COUNTIFS(Customer_Invoices_Upload!$E$4:$E$5003,$A104,Customer_Invoices_Upload!$G$4:$G$5003,"*Subscription*",Customer_Invoices_Upload!$B$4:$B$5003,"&gt;="&amp;DATE(2027,1,1),Customer_Invoices_Upload!$B$4:$B$5003,"&lt;"&amp;EDATE(DATE(2027,1,1),1))+COUNTIFS(Stripe_Invoices_Upload!$D$4:$D$5003,$A104,Stripe_Invoices_Upload!$E$4:$E$5003,"*Subscription*",Stripe_Invoices_Upload!$A$4:$A$5003,"&gt;="&amp;DATE(2027,1,1),Stripe_Invoices_Upload!$A$4:$A$5003,"&lt;"&amp;EDATE(DATE(2027,1,1),1)))&gt;0,"✓ Invoiced","⚠ Due"),""),""))</f>
        <v/>
      </c>
      <c r="Q104" s="130" t="str">
        <f aca="false">IF($A104="","",IF((DATE(YEAR($E104),MONTH($E104),1)&lt;=DATE(2027,2,1)),IF((MOD(DATEDIF(DATE(YEAR($E104),MONTH($E104),1),DATE(2027,2,1),"m"),IF($D104="Quarterly",3,IF($D104="Annual",12,1)))=0),IF((COUNTIFS(Xero_Raw!$D$4:$D$5003,$A104,Xero_Raw!$G$4:$G$5003,"*Subscription*",Xero_Raw!$A$4:$A$5003,"&gt;="&amp;DATE(2027,2,1),Xero_Raw!$A$4:$A$5003,"&lt;"&amp;EDATE(DATE(2027,2,1),1))+COUNTIFS(Customer_Invoices_Upload!$E$4:$E$5003,$A104,Customer_Invoices_Upload!$G$4:$G$5003,"*Subscription*",Customer_Invoices_Upload!$B$4:$B$5003,"&gt;="&amp;DATE(2027,2,1),Customer_Invoices_Upload!$B$4:$B$5003,"&lt;"&amp;EDATE(DATE(2027,2,1),1))+COUNTIFS(Stripe_Invoices_Upload!$D$4:$D$5003,$A104,Stripe_Invoices_Upload!$E$4:$E$5003,"*Subscription*",Stripe_Invoices_Upload!$A$4:$A$5003,"&gt;="&amp;DATE(2027,2,1),Stripe_Invoices_Upload!$A$4:$A$5003,"&lt;"&amp;EDATE(DATE(2027,2,1),1)))&gt;0,"✓ Invoiced","⚠ Due"),""),""))</f>
        <v/>
      </c>
      <c r="R104" s="130" t="str">
        <f aca="false">IF($A104="","",IF((DATE(YEAR($E104),MONTH($E104),1)&lt;=DATE(2027,3,1)),IF((MOD(DATEDIF(DATE(YEAR($E104),MONTH($E104),1),DATE(2027,3,1),"m"),IF($D104="Quarterly",3,IF($D104="Annual",12,1)))=0),IF((COUNTIFS(Xero_Raw!$D$4:$D$5003,$A104,Xero_Raw!$G$4:$G$5003,"*Subscription*",Xero_Raw!$A$4:$A$5003,"&gt;="&amp;DATE(2027,3,1),Xero_Raw!$A$4:$A$5003,"&lt;"&amp;EDATE(DATE(2027,3,1),1))+COUNTIFS(Customer_Invoices_Upload!$E$4:$E$5003,$A104,Customer_Invoices_Upload!$G$4:$G$5003,"*Subscription*",Customer_Invoices_Upload!$B$4:$B$5003,"&gt;="&amp;DATE(2027,3,1),Customer_Invoices_Upload!$B$4:$B$5003,"&lt;"&amp;EDATE(DATE(2027,3,1),1))+COUNTIFS(Stripe_Invoices_Upload!$D$4:$D$5003,$A104,Stripe_Invoices_Upload!$E$4:$E$5003,"*Subscription*",Stripe_Invoices_Upload!$A$4:$A$5003,"&gt;="&amp;DATE(2027,3,1),Stripe_Invoices_Upload!$A$4:$A$5003,"&lt;"&amp;EDATE(DATE(2027,3,1),1)))&gt;0,"✓ Invoiced","⚠ Due"),""),""))</f>
        <v/>
      </c>
    </row>
    <row r="105" customFormat="false" ht="15" hidden="false" customHeight="false" outlineLevel="0" collapsed="false">
      <c r="A105" s="39"/>
      <c r="B105" s="39"/>
      <c r="C105" s="40"/>
      <c r="D105" s="39"/>
      <c r="E105" s="38"/>
      <c r="F105" s="129" t="str">
        <f aca="true">IF($A105="","",EDATE($E105,DATEDIF($E105,TODAY(),"m")+1))</f>
        <v/>
      </c>
      <c r="G105" s="130" t="str">
        <f aca="false">IF($A105="","",IF((DATE(YEAR($E105),MONTH($E105),1)&lt;=DATE(2026,4,1)),IF((MOD(DATEDIF(DATE(YEAR($E105),MONTH($E105),1),DATE(2026,4,1),"m"),IF($D105="Quarterly",3,IF($D105="Annual",12,1)))=0),IF((COUNTIFS(Xero_Raw!$D$4:$D$5003,$A105,Xero_Raw!$G$4:$G$5003,"*Subscription*",Xero_Raw!$A$4:$A$5003,"&gt;="&amp;DATE(2026,4,1),Xero_Raw!$A$4:$A$5003,"&lt;"&amp;EDATE(DATE(2026,4,1),1))+COUNTIFS(Customer_Invoices_Upload!$E$4:$E$5003,$A105,Customer_Invoices_Upload!$G$4:$G$5003,"*Subscription*",Customer_Invoices_Upload!$B$4:$B$5003,"&gt;="&amp;DATE(2026,4,1),Customer_Invoices_Upload!$B$4:$B$5003,"&lt;"&amp;EDATE(DATE(2026,4,1),1))+COUNTIFS(Stripe_Invoices_Upload!$D$4:$D$5003,$A105,Stripe_Invoices_Upload!$E$4:$E$5003,"*Subscription*",Stripe_Invoices_Upload!$A$4:$A$5003,"&gt;="&amp;DATE(2026,4,1),Stripe_Invoices_Upload!$A$4:$A$5003,"&lt;"&amp;EDATE(DATE(2026,4,1),1)))&gt;0,"✓ Invoiced","⚠ Due"),""),""))</f>
        <v/>
      </c>
      <c r="H105" s="130" t="str">
        <f aca="false">IF($A105="","",IF((DATE(YEAR($E105),MONTH($E105),1)&lt;=DATE(2026,5,1)),IF((MOD(DATEDIF(DATE(YEAR($E105),MONTH($E105),1),DATE(2026,5,1),"m"),IF($D105="Quarterly",3,IF($D105="Annual",12,1)))=0),IF((COUNTIFS(Xero_Raw!$D$4:$D$5003,$A105,Xero_Raw!$G$4:$G$5003,"*Subscription*",Xero_Raw!$A$4:$A$5003,"&gt;="&amp;DATE(2026,5,1),Xero_Raw!$A$4:$A$5003,"&lt;"&amp;EDATE(DATE(2026,5,1),1))+COUNTIFS(Customer_Invoices_Upload!$E$4:$E$5003,$A105,Customer_Invoices_Upload!$G$4:$G$5003,"*Subscription*",Customer_Invoices_Upload!$B$4:$B$5003,"&gt;="&amp;DATE(2026,5,1),Customer_Invoices_Upload!$B$4:$B$5003,"&lt;"&amp;EDATE(DATE(2026,5,1),1))+COUNTIFS(Stripe_Invoices_Upload!$D$4:$D$5003,$A105,Stripe_Invoices_Upload!$E$4:$E$5003,"*Subscription*",Stripe_Invoices_Upload!$A$4:$A$5003,"&gt;="&amp;DATE(2026,5,1),Stripe_Invoices_Upload!$A$4:$A$5003,"&lt;"&amp;EDATE(DATE(2026,5,1),1)))&gt;0,"✓ Invoiced","⚠ Due"),""),""))</f>
        <v/>
      </c>
      <c r="I105" s="130" t="str">
        <f aca="false">IF($A105="","",IF((DATE(YEAR($E105),MONTH($E105),1)&lt;=DATE(2026,6,1)),IF((MOD(DATEDIF(DATE(YEAR($E105),MONTH($E105),1),DATE(2026,6,1),"m"),IF($D105="Quarterly",3,IF($D105="Annual",12,1)))=0),IF((COUNTIFS(Xero_Raw!$D$4:$D$5003,$A105,Xero_Raw!$G$4:$G$5003,"*Subscription*",Xero_Raw!$A$4:$A$5003,"&gt;="&amp;DATE(2026,6,1),Xero_Raw!$A$4:$A$5003,"&lt;"&amp;EDATE(DATE(2026,6,1),1))+COUNTIFS(Customer_Invoices_Upload!$E$4:$E$5003,$A105,Customer_Invoices_Upload!$G$4:$G$5003,"*Subscription*",Customer_Invoices_Upload!$B$4:$B$5003,"&gt;="&amp;DATE(2026,6,1),Customer_Invoices_Upload!$B$4:$B$5003,"&lt;"&amp;EDATE(DATE(2026,6,1),1))+COUNTIFS(Stripe_Invoices_Upload!$D$4:$D$5003,$A105,Stripe_Invoices_Upload!$E$4:$E$5003,"*Subscription*",Stripe_Invoices_Upload!$A$4:$A$5003,"&gt;="&amp;DATE(2026,6,1),Stripe_Invoices_Upload!$A$4:$A$5003,"&lt;"&amp;EDATE(DATE(2026,6,1),1)))&gt;0,"✓ Invoiced","⚠ Due"),""),""))</f>
        <v/>
      </c>
      <c r="J105" s="130" t="str">
        <f aca="false">IF($A105="","",IF((DATE(YEAR($E105),MONTH($E105),1)&lt;=DATE(2026,7,1)),IF((MOD(DATEDIF(DATE(YEAR($E105),MONTH($E105),1),DATE(2026,7,1),"m"),IF($D105="Quarterly",3,IF($D105="Annual",12,1)))=0),IF((COUNTIFS(Xero_Raw!$D$4:$D$5003,$A105,Xero_Raw!$G$4:$G$5003,"*Subscription*",Xero_Raw!$A$4:$A$5003,"&gt;="&amp;DATE(2026,7,1),Xero_Raw!$A$4:$A$5003,"&lt;"&amp;EDATE(DATE(2026,7,1),1))+COUNTIFS(Customer_Invoices_Upload!$E$4:$E$5003,$A105,Customer_Invoices_Upload!$G$4:$G$5003,"*Subscription*",Customer_Invoices_Upload!$B$4:$B$5003,"&gt;="&amp;DATE(2026,7,1),Customer_Invoices_Upload!$B$4:$B$5003,"&lt;"&amp;EDATE(DATE(2026,7,1),1))+COUNTIFS(Stripe_Invoices_Upload!$D$4:$D$5003,$A105,Stripe_Invoices_Upload!$E$4:$E$5003,"*Subscription*",Stripe_Invoices_Upload!$A$4:$A$5003,"&gt;="&amp;DATE(2026,7,1),Stripe_Invoices_Upload!$A$4:$A$5003,"&lt;"&amp;EDATE(DATE(2026,7,1),1)))&gt;0,"✓ Invoiced","⚠ Due"),""),""))</f>
        <v/>
      </c>
      <c r="K105" s="130" t="str">
        <f aca="false">IF($A105="","",IF((DATE(YEAR($E105),MONTH($E105),1)&lt;=DATE(2026,8,1)),IF((MOD(DATEDIF(DATE(YEAR($E105),MONTH($E105),1),DATE(2026,8,1),"m"),IF($D105="Quarterly",3,IF($D105="Annual",12,1)))=0),IF((COUNTIFS(Xero_Raw!$D$4:$D$5003,$A105,Xero_Raw!$G$4:$G$5003,"*Subscription*",Xero_Raw!$A$4:$A$5003,"&gt;="&amp;DATE(2026,8,1),Xero_Raw!$A$4:$A$5003,"&lt;"&amp;EDATE(DATE(2026,8,1),1))+COUNTIFS(Customer_Invoices_Upload!$E$4:$E$5003,$A105,Customer_Invoices_Upload!$G$4:$G$5003,"*Subscription*",Customer_Invoices_Upload!$B$4:$B$5003,"&gt;="&amp;DATE(2026,8,1),Customer_Invoices_Upload!$B$4:$B$5003,"&lt;"&amp;EDATE(DATE(2026,8,1),1))+COUNTIFS(Stripe_Invoices_Upload!$D$4:$D$5003,$A105,Stripe_Invoices_Upload!$E$4:$E$5003,"*Subscription*",Stripe_Invoices_Upload!$A$4:$A$5003,"&gt;="&amp;DATE(2026,8,1),Stripe_Invoices_Upload!$A$4:$A$5003,"&lt;"&amp;EDATE(DATE(2026,8,1),1)))&gt;0,"✓ Invoiced","⚠ Due"),""),""))</f>
        <v/>
      </c>
      <c r="L105" s="130" t="str">
        <f aca="false">IF($A105="","",IF((DATE(YEAR($E105),MONTH($E105),1)&lt;=DATE(2026,9,1)),IF((MOD(DATEDIF(DATE(YEAR($E105),MONTH($E105),1),DATE(2026,9,1),"m"),IF($D105="Quarterly",3,IF($D105="Annual",12,1)))=0),IF((COUNTIFS(Xero_Raw!$D$4:$D$5003,$A105,Xero_Raw!$G$4:$G$5003,"*Subscription*",Xero_Raw!$A$4:$A$5003,"&gt;="&amp;DATE(2026,9,1),Xero_Raw!$A$4:$A$5003,"&lt;"&amp;EDATE(DATE(2026,9,1),1))+COUNTIFS(Customer_Invoices_Upload!$E$4:$E$5003,$A105,Customer_Invoices_Upload!$G$4:$G$5003,"*Subscription*",Customer_Invoices_Upload!$B$4:$B$5003,"&gt;="&amp;DATE(2026,9,1),Customer_Invoices_Upload!$B$4:$B$5003,"&lt;"&amp;EDATE(DATE(2026,9,1),1))+COUNTIFS(Stripe_Invoices_Upload!$D$4:$D$5003,$A105,Stripe_Invoices_Upload!$E$4:$E$5003,"*Subscription*",Stripe_Invoices_Upload!$A$4:$A$5003,"&gt;="&amp;DATE(2026,9,1),Stripe_Invoices_Upload!$A$4:$A$5003,"&lt;"&amp;EDATE(DATE(2026,9,1),1)))&gt;0,"✓ Invoiced","⚠ Due"),""),""))</f>
        <v/>
      </c>
      <c r="M105" s="130" t="str">
        <f aca="false">IF($A105="","",IF((DATE(YEAR($E105),MONTH($E105),1)&lt;=DATE(2026,10,1)),IF((MOD(DATEDIF(DATE(YEAR($E105),MONTH($E105),1),DATE(2026,10,1),"m"),IF($D105="Quarterly",3,IF($D105="Annual",12,1)))=0),IF((COUNTIFS(Xero_Raw!$D$4:$D$5003,$A105,Xero_Raw!$G$4:$G$5003,"*Subscription*",Xero_Raw!$A$4:$A$5003,"&gt;="&amp;DATE(2026,10,1),Xero_Raw!$A$4:$A$5003,"&lt;"&amp;EDATE(DATE(2026,10,1),1))+COUNTIFS(Customer_Invoices_Upload!$E$4:$E$5003,$A105,Customer_Invoices_Upload!$G$4:$G$5003,"*Subscription*",Customer_Invoices_Upload!$B$4:$B$5003,"&gt;="&amp;DATE(2026,10,1),Customer_Invoices_Upload!$B$4:$B$5003,"&lt;"&amp;EDATE(DATE(2026,10,1),1))+COUNTIFS(Stripe_Invoices_Upload!$D$4:$D$5003,$A105,Stripe_Invoices_Upload!$E$4:$E$5003,"*Subscription*",Stripe_Invoices_Upload!$A$4:$A$5003,"&gt;="&amp;DATE(2026,10,1),Stripe_Invoices_Upload!$A$4:$A$5003,"&lt;"&amp;EDATE(DATE(2026,10,1),1)))&gt;0,"✓ Invoiced","⚠ Due"),""),""))</f>
        <v/>
      </c>
      <c r="N105" s="130" t="str">
        <f aca="false">IF($A105="","",IF((DATE(YEAR($E105),MONTH($E105),1)&lt;=DATE(2026,11,1)),IF((MOD(DATEDIF(DATE(YEAR($E105),MONTH($E105),1),DATE(2026,11,1),"m"),IF($D105="Quarterly",3,IF($D105="Annual",12,1)))=0),IF((COUNTIFS(Xero_Raw!$D$4:$D$5003,$A105,Xero_Raw!$G$4:$G$5003,"*Subscription*",Xero_Raw!$A$4:$A$5003,"&gt;="&amp;DATE(2026,11,1),Xero_Raw!$A$4:$A$5003,"&lt;"&amp;EDATE(DATE(2026,11,1),1))+COUNTIFS(Customer_Invoices_Upload!$E$4:$E$5003,$A105,Customer_Invoices_Upload!$G$4:$G$5003,"*Subscription*",Customer_Invoices_Upload!$B$4:$B$5003,"&gt;="&amp;DATE(2026,11,1),Customer_Invoices_Upload!$B$4:$B$5003,"&lt;"&amp;EDATE(DATE(2026,11,1),1))+COUNTIFS(Stripe_Invoices_Upload!$D$4:$D$5003,$A105,Stripe_Invoices_Upload!$E$4:$E$5003,"*Subscription*",Stripe_Invoices_Upload!$A$4:$A$5003,"&gt;="&amp;DATE(2026,11,1),Stripe_Invoices_Upload!$A$4:$A$5003,"&lt;"&amp;EDATE(DATE(2026,11,1),1)))&gt;0,"✓ Invoiced","⚠ Due"),""),""))</f>
        <v/>
      </c>
      <c r="O105" s="130" t="str">
        <f aca="false">IF($A105="","",IF((DATE(YEAR($E105),MONTH($E105),1)&lt;=DATE(2026,12,1)),IF((MOD(DATEDIF(DATE(YEAR($E105),MONTH($E105),1),DATE(2026,12,1),"m"),IF($D105="Quarterly",3,IF($D105="Annual",12,1)))=0),IF((COUNTIFS(Xero_Raw!$D$4:$D$5003,$A105,Xero_Raw!$G$4:$G$5003,"*Subscription*",Xero_Raw!$A$4:$A$5003,"&gt;="&amp;DATE(2026,12,1),Xero_Raw!$A$4:$A$5003,"&lt;"&amp;EDATE(DATE(2026,12,1),1))+COUNTIFS(Customer_Invoices_Upload!$E$4:$E$5003,$A105,Customer_Invoices_Upload!$G$4:$G$5003,"*Subscription*",Customer_Invoices_Upload!$B$4:$B$5003,"&gt;="&amp;DATE(2026,12,1),Customer_Invoices_Upload!$B$4:$B$5003,"&lt;"&amp;EDATE(DATE(2026,12,1),1))+COUNTIFS(Stripe_Invoices_Upload!$D$4:$D$5003,$A105,Stripe_Invoices_Upload!$E$4:$E$5003,"*Subscription*",Stripe_Invoices_Upload!$A$4:$A$5003,"&gt;="&amp;DATE(2026,12,1),Stripe_Invoices_Upload!$A$4:$A$5003,"&lt;"&amp;EDATE(DATE(2026,12,1),1)))&gt;0,"✓ Invoiced","⚠ Due"),""),""))</f>
        <v/>
      </c>
      <c r="P105" s="130" t="str">
        <f aca="false">IF($A105="","",IF((DATE(YEAR($E105),MONTH($E105),1)&lt;=DATE(2027,1,1)),IF((MOD(DATEDIF(DATE(YEAR($E105),MONTH($E105),1),DATE(2027,1,1),"m"),IF($D105="Quarterly",3,IF($D105="Annual",12,1)))=0),IF((COUNTIFS(Xero_Raw!$D$4:$D$5003,$A105,Xero_Raw!$G$4:$G$5003,"*Subscription*",Xero_Raw!$A$4:$A$5003,"&gt;="&amp;DATE(2027,1,1),Xero_Raw!$A$4:$A$5003,"&lt;"&amp;EDATE(DATE(2027,1,1),1))+COUNTIFS(Customer_Invoices_Upload!$E$4:$E$5003,$A105,Customer_Invoices_Upload!$G$4:$G$5003,"*Subscription*",Customer_Invoices_Upload!$B$4:$B$5003,"&gt;="&amp;DATE(2027,1,1),Customer_Invoices_Upload!$B$4:$B$5003,"&lt;"&amp;EDATE(DATE(2027,1,1),1))+COUNTIFS(Stripe_Invoices_Upload!$D$4:$D$5003,$A105,Stripe_Invoices_Upload!$E$4:$E$5003,"*Subscription*",Stripe_Invoices_Upload!$A$4:$A$5003,"&gt;="&amp;DATE(2027,1,1),Stripe_Invoices_Upload!$A$4:$A$5003,"&lt;"&amp;EDATE(DATE(2027,1,1),1)))&gt;0,"✓ Invoiced","⚠ Due"),""),""))</f>
        <v/>
      </c>
      <c r="Q105" s="130" t="str">
        <f aca="false">IF($A105="","",IF((DATE(YEAR($E105),MONTH($E105),1)&lt;=DATE(2027,2,1)),IF((MOD(DATEDIF(DATE(YEAR($E105),MONTH($E105),1),DATE(2027,2,1),"m"),IF($D105="Quarterly",3,IF($D105="Annual",12,1)))=0),IF((COUNTIFS(Xero_Raw!$D$4:$D$5003,$A105,Xero_Raw!$G$4:$G$5003,"*Subscription*",Xero_Raw!$A$4:$A$5003,"&gt;="&amp;DATE(2027,2,1),Xero_Raw!$A$4:$A$5003,"&lt;"&amp;EDATE(DATE(2027,2,1),1))+COUNTIFS(Customer_Invoices_Upload!$E$4:$E$5003,$A105,Customer_Invoices_Upload!$G$4:$G$5003,"*Subscription*",Customer_Invoices_Upload!$B$4:$B$5003,"&gt;="&amp;DATE(2027,2,1),Customer_Invoices_Upload!$B$4:$B$5003,"&lt;"&amp;EDATE(DATE(2027,2,1),1))+COUNTIFS(Stripe_Invoices_Upload!$D$4:$D$5003,$A105,Stripe_Invoices_Upload!$E$4:$E$5003,"*Subscription*",Stripe_Invoices_Upload!$A$4:$A$5003,"&gt;="&amp;DATE(2027,2,1),Stripe_Invoices_Upload!$A$4:$A$5003,"&lt;"&amp;EDATE(DATE(2027,2,1),1)))&gt;0,"✓ Invoiced","⚠ Due"),""),""))</f>
        <v/>
      </c>
      <c r="R105" s="130" t="str">
        <f aca="false">IF($A105="","",IF((DATE(YEAR($E105),MONTH($E105),1)&lt;=DATE(2027,3,1)),IF((MOD(DATEDIF(DATE(YEAR($E105),MONTH($E105),1),DATE(2027,3,1),"m"),IF($D105="Quarterly",3,IF($D105="Annual",12,1)))=0),IF((COUNTIFS(Xero_Raw!$D$4:$D$5003,$A105,Xero_Raw!$G$4:$G$5003,"*Subscription*",Xero_Raw!$A$4:$A$5003,"&gt;="&amp;DATE(2027,3,1),Xero_Raw!$A$4:$A$5003,"&lt;"&amp;EDATE(DATE(2027,3,1),1))+COUNTIFS(Customer_Invoices_Upload!$E$4:$E$5003,$A105,Customer_Invoices_Upload!$G$4:$G$5003,"*Subscription*",Customer_Invoices_Upload!$B$4:$B$5003,"&gt;="&amp;DATE(2027,3,1),Customer_Invoices_Upload!$B$4:$B$5003,"&lt;"&amp;EDATE(DATE(2027,3,1),1))+COUNTIFS(Stripe_Invoices_Upload!$D$4:$D$5003,$A105,Stripe_Invoices_Upload!$E$4:$E$5003,"*Subscription*",Stripe_Invoices_Upload!$A$4:$A$5003,"&gt;="&amp;DATE(2027,3,1),Stripe_Invoices_Upload!$A$4:$A$5003,"&lt;"&amp;EDATE(DATE(2027,3,1),1)))&gt;0,"✓ Invoiced","⚠ Due"),""),""))</f>
        <v/>
      </c>
    </row>
    <row r="106" customFormat="false" ht="15" hidden="false" customHeight="false" outlineLevel="0" collapsed="false">
      <c r="A106" s="39"/>
      <c r="B106" s="39"/>
      <c r="C106" s="40"/>
      <c r="D106" s="39"/>
      <c r="E106" s="38"/>
      <c r="F106" s="129" t="str">
        <f aca="true">IF($A106="","",EDATE($E106,DATEDIF($E106,TODAY(),"m")+1))</f>
        <v/>
      </c>
      <c r="G106" s="130" t="str">
        <f aca="false">IF($A106="","",IF((DATE(YEAR($E106),MONTH($E106),1)&lt;=DATE(2026,4,1)),IF((MOD(DATEDIF(DATE(YEAR($E106),MONTH($E106),1),DATE(2026,4,1),"m"),IF($D106="Quarterly",3,IF($D106="Annual",12,1)))=0),IF((COUNTIFS(Xero_Raw!$D$4:$D$5003,$A106,Xero_Raw!$G$4:$G$5003,"*Subscription*",Xero_Raw!$A$4:$A$5003,"&gt;="&amp;DATE(2026,4,1),Xero_Raw!$A$4:$A$5003,"&lt;"&amp;EDATE(DATE(2026,4,1),1))+COUNTIFS(Customer_Invoices_Upload!$E$4:$E$5003,$A106,Customer_Invoices_Upload!$G$4:$G$5003,"*Subscription*",Customer_Invoices_Upload!$B$4:$B$5003,"&gt;="&amp;DATE(2026,4,1),Customer_Invoices_Upload!$B$4:$B$5003,"&lt;"&amp;EDATE(DATE(2026,4,1),1))+COUNTIFS(Stripe_Invoices_Upload!$D$4:$D$5003,$A106,Stripe_Invoices_Upload!$E$4:$E$5003,"*Subscription*",Stripe_Invoices_Upload!$A$4:$A$5003,"&gt;="&amp;DATE(2026,4,1),Stripe_Invoices_Upload!$A$4:$A$5003,"&lt;"&amp;EDATE(DATE(2026,4,1),1)))&gt;0,"✓ Invoiced","⚠ Due"),""),""))</f>
        <v/>
      </c>
      <c r="H106" s="130" t="str">
        <f aca="false">IF($A106="","",IF((DATE(YEAR($E106),MONTH($E106),1)&lt;=DATE(2026,5,1)),IF((MOD(DATEDIF(DATE(YEAR($E106),MONTH($E106),1),DATE(2026,5,1),"m"),IF($D106="Quarterly",3,IF($D106="Annual",12,1)))=0),IF((COUNTIFS(Xero_Raw!$D$4:$D$5003,$A106,Xero_Raw!$G$4:$G$5003,"*Subscription*",Xero_Raw!$A$4:$A$5003,"&gt;="&amp;DATE(2026,5,1),Xero_Raw!$A$4:$A$5003,"&lt;"&amp;EDATE(DATE(2026,5,1),1))+COUNTIFS(Customer_Invoices_Upload!$E$4:$E$5003,$A106,Customer_Invoices_Upload!$G$4:$G$5003,"*Subscription*",Customer_Invoices_Upload!$B$4:$B$5003,"&gt;="&amp;DATE(2026,5,1),Customer_Invoices_Upload!$B$4:$B$5003,"&lt;"&amp;EDATE(DATE(2026,5,1),1))+COUNTIFS(Stripe_Invoices_Upload!$D$4:$D$5003,$A106,Stripe_Invoices_Upload!$E$4:$E$5003,"*Subscription*",Stripe_Invoices_Upload!$A$4:$A$5003,"&gt;="&amp;DATE(2026,5,1),Stripe_Invoices_Upload!$A$4:$A$5003,"&lt;"&amp;EDATE(DATE(2026,5,1),1)))&gt;0,"✓ Invoiced","⚠ Due"),""),""))</f>
        <v/>
      </c>
      <c r="I106" s="130" t="str">
        <f aca="false">IF($A106="","",IF((DATE(YEAR($E106),MONTH($E106),1)&lt;=DATE(2026,6,1)),IF((MOD(DATEDIF(DATE(YEAR($E106),MONTH($E106),1),DATE(2026,6,1),"m"),IF($D106="Quarterly",3,IF($D106="Annual",12,1)))=0),IF((COUNTIFS(Xero_Raw!$D$4:$D$5003,$A106,Xero_Raw!$G$4:$G$5003,"*Subscription*",Xero_Raw!$A$4:$A$5003,"&gt;="&amp;DATE(2026,6,1),Xero_Raw!$A$4:$A$5003,"&lt;"&amp;EDATE(DATE(2026,6,1),1))+COUNTIFS(Customer_Invoices_Upload!$E$4:$E$5003,$A106,Customer_Invoices_Upload!$G$4:$G$5003,"*Subscription*",Customer_Invoices_Upload!$B$4:$B$5003,"&gt;="&amp;DATE(2026,6,1),Customer_Invoices_Upload!$B$4:$B$5003,"&lt;"&amp;EDATE(DATE(2026,6,1),1))+COUNTIFS(Stripe_Invoices_Upload!$D$4:$D$5003,$A106,Stripe_Invoices_Upload!$E$4:$E$5003,"*Subscription*",Stripe_Invoices_Upload!$A$4:$A$5003,"&gt;="&amp;DATE(2026,6,1),Stripe_Invoices_Upload!$A$4:$A$5003,"&lt;"&amp;EDATE(DATE(2026,6,1),1)))&gt;0,"✓ Invoiced","⚠ Due"),""),""))</f>
        <v/>
      </c>
      <c r="J106" s="130" t="str">
        <f aca="false">IF($A106="","",IF((DATE(YEAR($E106),MONTH($E106),1)&lt;=DATE(2026,7,1)),IF((MOD(DATEDIF(DATE(YEAR($E106),MONTH($E106),1),DATE(2026,7,1),"m"),IF($D106="Quarterly",3,IF($D106="Annual",12,1)))=0),IF((COUNTIFS(Xero_Raw!$D$4:$D$5003,$A106,Xero_Raw!$G$4:$G$5003,"*Subscription*",Xero_Raw!$A$4:$A$5003,"&gt;="&amp;DATE(2026,7,1),Xero_Raw!$A$4:$A$5003,"&lt;"&amp;EDATE(DATE(2026,7,1),1))+COUNTIFS(Customer_Invoices_Upload!$E$4:$E$5003,$A106,Customer_Invoices_Upload!$G$4:$G$5003,"*Subscription*",Customer_Invoices_Upload!$B$4:$B$5003,"&gt;="&amp;DATE(2026,7,1),Customer_Invoices_Upload!$B$4:$B$5003,"&lt;"&amp;EDATE(DATE(2026,7,1),1))+COUNTIFS(Stripe_Invoices_Upload!$D$4:$D$5003,$A106,Stripe_Invoices_Upload!$E$4:$E$5003,"*Subscription*",Stripe_Invoices_Upload!$A$4:$A$5003,"&gt;="&amp;DATE(2026,7,1),Stripe_Invoices_Upload!$A$4:$A$5003,"&lt;"&amp;EDATE(DATE(2026,7,1),1)))&gt;0,"✓ Invoiced","⚠ Due"),""),""))</f>
        <v/>
      </c>
      <c r="K106" s="130" t="str">
        <f aca="false">IF($A106="","",IF((DATE(YEAR($E106),MONTH($E106),1)&lt;=DATE(2026,8,1)),IF((MOD(DATEDIF(DATE(YEAR($E106),MONTH($E106),1),DATE(2026,8,1),"m"),IF($D106="Quarterly",3,IF($D106="Annual",12,1)))=0),IF((COUNTIFS(Xero_Raw!$D$4:$D$5003,$A106,Xero_Raw!$G$4:$G$5003,"*Subscription*",Xero_Raw!$A$4:$A$5003,"&gt;="&amp;DATE(2026,8,1),Xero_Raw!$A$4:$A$5003,"&lt;"&amp;EDATE(DATE(2026,8,1),1))+COUNTIFS(Customer_Invoices_Upload!$E$4:$E$5003,$A106,Customer_Invoices_Upload!$G$4:$G$5003,"*Subscription*",Customer_Invoices_Upload!$B$4:$B$5003,"&gt;="&amp;DATE(2026,8,1),Customer_Invoices_Upload!$B$4:$B$5003,"&lt;"&amp;EDATE(DATE(2026,8,1),1))+COUNTIFS(Stripe_Invoices_Upload!$D$4:$D$5003,$A106,Stripe_Invoices_Upload!$E$4:$E$5003,"*Subscription*",Stripe_Invoices_Upload!$A$4:$A$5003,"&gt;="&amp;DATE(2026,8,1),Stripe_Invoices_Upload!$A$4:$A$5003,"&lt;"&amp;EDATE(DATE(2026,8,1),1)))&gt;0,"✓ Invoiced","⚠ Due"),""),""))</f>
        <v/>
      </c>
      <c r="L106" s="130" t="str">
        <f aca="false">IF($A106="","",IF((DATE(YEAR($E106),MONTH($E106),1)&lt;=DATE(2026,9,1)),IF((MOD(DATEDIF(DATE(YEAR($E106),MONTH($E106),1),DATE(2026,9,1),"m"),IF($D106="Quarterly",3,IF($D106="Annual",12,1)))=0),IF((COUNTIFS(Xero_Raw!$D$4:$D$5003,$A106,Xero_Raw!$G$4:$G$5003,"*Subscription*",Xero_Raw!$A$4:$A$5003,"&gt;="&amp;DATE(2026,9,1),Xero_Raw!$A$4:$A$5003,"&lt;"&amp;EDATE(DATE(2026,9,1),1))+COUNTIFS(Customer_Invoices_Upload!$E$4:$E$5003,$A106,Customer_Invoices_Upload!$G$4:$G$5003,"*Subscription*",Customer_Invoices_Upload!$B$4:$B$5003,"&gt;="&amp;DATE(2026,9,1),Customer_Invoices_Upload!$B$4:$B$5003,"&lt;"&amp;EDATE(DATE(2026,9,1),1))+COUNTIFS(Stripe_Invoices_Upload!$D$4:$D$5003,$A106,Stripe_Invoices_Upload!$E$4:$E$5003,"*Subscription*",Stripe_Invoices_Upload!$A$4:$A$5003,"&gt;="&amp;DATE(2026,9,1),Stripe_Invoices_Upload!$A$4:$A$5003,"&lt;"&amp;EDATE(DATE(2026,9,1),1)))&gt;0,"✓ Invoiced","⚠ Due"),""),""))</f>
        <v/>
      </c>
      <c r="M106" s="130" t="str">
        <f aca="false">IF($A106="","",IF((DATE(YEAR($E106),MONTH($E106),1)&lt;=DATE(2026,10,1)),IF((MOD(DATEDIF(DATE(YEAR($E106),MONTH($E106),1),DATE(2026,10,1),"m"),IF($D106="Quarterly",3,IF($D106="Annual",12,1)))=0),IF((COUNTIFS(Xero_Raw!$D$4:$D$5003,$A106,Xero_Raw!$G$4:$G$5003,"*Subscription*",Xero_Raw!$A$4:$A$5003,"&gt;="&amp;DATE(2026,10,1),Xero_Raw!$A$4:$A$5003,"&lt;"&amp;EDATE(DATE(2026,10,1),1))+COUNTIFS(Customer_Invoices_Upload!$E$4:$E$5003,$A106,Customer_Invoices_Upload!$G$4:$G$5003,"*Subscription*",Customer_Invoices_Upload!$B$4:$B$5003,"&gt;="&amp;DATE(2026,10,1),Customer_Invoices_Upload!$B$4:$B$5003,"&lt;"&amp;EDATE(DATE(2026,10,1),1))+COUNTIFS(Stripe_Invoices_Upload!$D$4:$D$5003,$A106,Stripe_Invoices_Upload!$E$4:$E$5003,"*Subscription*",Stripe_Invoices_Upload!$A$4:$A$5003,"&gt;="&amp;DATE(2026,10,1),Stripe_Invoices_Upload!$A$4:$A$5003,"&lt;"&amp;EDATE(DATE(2026,10,1),1)))&gt;0,"✓ Invoiced","⚠ Due"),""),""))</f>
        <v/>
      </c>
      <c r="N106" s="130" t="str">
        <f aca="false">IF($A106="","",IF((DATE(YEAR($E106),MONTH($E106),1)&lt;=DATE(2026,11,1)),IF((MOD(DATEDIF(DATE(YEAR($E106),MONTH($E106),1),DATE(2026,11,1),"m"),IF($D106="Quarterly",3,IF($D106="Annual",12,1)))=0),IF((COUNTIFS(Xero_Raw!$D$4:$D$5003,$A106,Xero_Raw!$G$4:$G$5003,"*Subscription*",Xero_Raw!$A$4:$A$5003,"&gt;="&amp;DATE(2026,11,1),Xero_Raw!$A$4:$A$5003,"&lt;"&amp;EDATE(DATE(2026,11,1),1))+COUNTIFS(Customer_Invoices_Upload!$E$4:$E$5003,$A106,Customer_Invoices_Upload!$G$4:$G$5003,"*Subscription*",Customer_Invoices_Upload!$B$4:$B$5003,"&gt;="&amp;DATE(2026,11,1),Customer_Invoices_Upload!$B$4:$B$5003,"&lt;"&amp;EDATE(DATE(2026,11,1),1))+COUNTIFS(Stripe_Invoices_Upload!$D$4:$D$5003,$A106,Stripe_Invoices_Upload!$E$4:$E$5003,"*Subscription*",Stripe_Invoices_Upload!$A$4:$A$5003,"&gt;="&amp;DATE(2026,11,1),Stripe_Invoices_Upload!$A$4:$A$5003,"&lt;"&amp;EDATE(DATE(2026,11,1),1)))&gt;0,"✓ Invoiced","⚠ Due"),""),""))</f>
        <v/>
      </c>
      <c r="O106" s="130" t="str">
        <f aca="false">IF($A106="","",IF((DATE(YEAR($E106),MONTH($E106),1)&lt;=DATE(2026,12,1)),IF((MOD(DATEDIF(DATE(YEAR($E106),MONTH($E106),1),DATE(2026,12,1),"m"),IF($D106="Quarterly",3,IF($D106="Annual",12,1)))=0),IF((COUNTIFS(Xero_Raw!$D$4:$D$5003,$A106,Xero_Raw!$G$4:$G$5003,"*Subscription*",Xero_Raw!$A$4:$A$5003,"&gt;="&amp;DATE(2026,12,1),Xero_Raw!$A$4:$A$5003,"&lt;"&amp;EDATE(DATE(2026,12,1),1))+COUNTIFS(Customer_Invoices_Upload!$E$4:$E$5003,$A106,Customer_Invoices_Upload!$G$4:$G$5003,"*Subscription*",Customer_Invoices_Upload!$B$4:$B$5003,"&gt;="&amp;DATE(2026,12,1),Customer_Invoices_Upload!$B$4:$B$5003,"&lt;"&amp;EDATE(DATE(2026,12,1),1))+COUNTIFS(Stripe_Invoices_Upload!$D$4:$D$5003,$A106,Stripe_Invoices_Upload!$E$4:$E$5003,"*Subscription*",Stripe_Invoices_Upload!$A$4:$A$5003,"&gt;="&amp;DATE(2026,12,1),Stripe_Invoices_Upload!$A$4:$A$5003,"&lt;"&amp;EDATE(DATE(2026,12,1),1)))&gt;0,"✓ Invoiced","⚠ Due"),""),""))</f>
        <v/>
      </c>
      <c r="P106" s="130" t="str">
        <f aca="false">IF($A106="","",IF((DATE(YEAR($E106),MONTH($E106),1)&lt;=DATE(2027,1,1)),IF((MOD(DATEDIF(DATE(YEAR($E106),MONTH($E106),1),DATE(2027,1,1),"m"),IF($D106="Quarterly",3,IF($D106="Annual",12,1)))=0),IF((COUNTIFS(Xero_Raw!$D$4:$D$5003,$A106,Xero_Raw!$G$4:$G$5003,"*Subscription*",Xero_Raw!$A$4:$A$5003,"&gt;="&amp;DATE(2027,1,1),Xero_Raw!$A$4:$A$5003,"&lt;"&amp;EDATE(DATE(2027,1,1),1))+COUNTIFS(Customer_Invoices_Upload!$E$4:$E$5003,$A106,Customer_Invoices_Upload!$G$4:$G$5003,"*Subscription*",Customer_Invoices_Upload!$B$4:$B$5003,"&gt;="&amp;DATE(2027,1,1),Customer_Invoices_Upload!$B$4:$B$5003,"&lt;"&amp;EDATE(DATE(2027,1,1),1))+COUNTIFS(Stripe_Invoices_Upload!$D$4:$D$5003,$A106,Stripe_Invoices_Upload!$E$4:$E$5003,"*Subscription*",Stripe_Invoices_Upload!$A$4:$A$5003,"&gt;="&amp;DATE(2027,1,1),Stripe_Invoices_Upload!$A$4:$A$5003,"&lt;"&amp;EDATE(DATE(2027,1,1),1)))&gt;0,"✓ Invoiced","⚠ Due"),""),""))</f>
        <v/>
      </c>
      <c r="Q106" s="130" t="str">
        <f aca="false">IF($A106="","",IF((DATE(YEAR($E106),MONTH($E106),1)&lt;=DATE(2027,2,1)),IF((MOD(DATEDIF(DATE(YEAR($E106),MONTH($E106),1),DATE(2027,2,1),"m"),IF($D106="Quarterly",3,IF($D106="Annual",12,1)))=0),IF((COUNTIFS(Xero_Raw!$D$4:$D$5003,$A106,Xero_Raw!$G$4:$G$5003,"*Subscription*",Xero_Raw!$A$4:$A$5003,"&gt;="&amp;DATE(2027,2,1),Xero_Raw!$A$4:$A$5003,"&lt;"&amp;EDATE(DATE(2027,2,1),1))+COUNTIFS(Customer_Invoices_Upload!$E$4:$E$5003,$A106,Customer_Invoices_Upload!$G$4:$G$5003,"*Subscription*",Customer_Invoices_Upload!$B$4:$B$5003,"&gt;="&amp;DATE(2027,2,1),Customer_Invoices_Upload!$B$4:$B$5003,"&lt;"&amp;EDATE(DATE(2027,2,1),1))+COUNTIFS(Stripe_Invoices_Upload!$D$4:$D$5003,$A106,Stripe_Invoices_Upload!$E$4:$E$5003,"*Subscription*",Stripe_Invoices_Upload!$A$4:$A$5003,"&gt;="&amp;DATE(2027,2,1),Stripe_Invoices_Upload!$A$4:$A$5003,"&lt;"&amp;EDATE(DATE(2027,2,1),1)))&gt;0,"✓ Invoiced","⚠ Due"),""),""))</f>
        <v/>
      </c>
      <c r="R106" s="130" t="str">
        <f aca="false">IF($A106="","",IF((DATE(YEAR($E106),MONTH($E106),1)&lt;=DATE(2027,3,1)),IF((MOD(DATEDIF(DATE(YEAR($E106),MONTH($E106),1),DATE(2027,3,1),"m"),IF($D106="Quarterly",3,IF($D106="Annual",12,1)))=0),IF((COUNTIFS(Xero_Raw!$D$4:$D$5003,$A106,Xero_Raw!$G$4:$G$5003,"*Subscription*",Xero_Raw!$A$4:$A$5003,"&gt;="&amp;DATE(2027,3,1),Xero_Raw!$A$4:$A$5003,"&lt;"&amp;EDATE(DATE(2027,3,1),1))+COUNTIFS(Customer_Invoices_Upload!$E$4:$E$5003,$A106,Customer_Invoices_Upload!$G$4:$G$5003,"*Subscription*",Customer_Invoices_Upload!$B$4:$B$5003,"&gt;="&amp;DATE(2027,3,1),Customer_Invoices_Upload!$B$4:$B$5003,"&lt;"&amp;EDATE(DATE(2027,3,1),1))+COUNTIFS(Stripe_Invoices_Upload!$D$4:$D$5003,$A106,Stripe_Invoices_Upload!$E$4:$E$5003,"*Subscription*",Stripe_Invoices_Upload!$A$4:$A$5003,"&gt;="&amp;DATE(2027,3,1),Stripe_Invoices_Upload!$A$4:$A$5003,"&lt;"&amp;EDATE(DATE(2027,3,1),1)))&gt;0,"✓ Invoiced","⚠ Due"),""),""))</f>
        <v/>
      </c>
    </row>
    <row r="107" customFormat="false" ht="15" hidden="false" customHeight="false" outlineLevel="0" collapsed="false">
      <c r="A107" s="39"/>
      <c r="B107" s="39"/>
      <c r="C107" s="40"/>
      <c r="D107" s="39"/>
      <c r="E107" s="38"/>
      <c r="F107" s="129" t="str">
        <f aca="true">IF($A107="","",EDATE($E107,DATEDIF($E107,TODAY(),"m")+1))</f>
        <v/>
      </c>
      <c r="G107" s="130" t="str">
        <f aca="false">IF($A107="","",IF((DATE(YEAR($E107),MONTH($E107),1)&lt;=DATE(2026,4,1)),IF((MOD(DATEDIF(DATE(YEAR($E107),MONTH($E107),1),DATE(2026,4,1),"m"),IF($D107="Quarterly",3,IF($D107="Annual",12,1)))=0),IF((COUNTIFS(Xero_Raw!$D$4:$D$5003,$A107,Xero_Raw!$G$4:$G$5003,"*Subscription*",Xero_Raw!$A$4:$A$5003,"&gt;="&amp;DATE(2026,4,1),Xero_Raw!$A$4:$A$5003,"&lt;"&amp;EDATE(DATE(2026,4,1),1))+COUNTIFS(Customer_Invoices_Upload!$E$4:$E$5003,$A107,Customer_Invoices_Upload!$G$4:$G$5003,"*Subscription*",Customer_Invoices_Upload!$B$4:$B$5003,"&gt;="&amp;DATE(2026,4,1),Customer_Invoices_Upload!$B$4:$B$5003,"&lt;"&amp;EDATE(DATE(2026,4,1),1))+COUNTIFS(Stripe_Invoices_Upload!$D$4:$D$5003,$A107,Stripe_Invoices_Upload!$E$4:$E$5003,"*Subscription*",Stripe_Invoices_Upload!$A$4:$A$5003,"&gt;="&amp;DATE(2026,4,1),Stripe_Invoices_Upload!$A$4:$A$5003,"&lt;"&amp;EDATE(DATE(2026,4,1),1)))&gt;0,"✓ Invoiced","⚠ Due"),""),""))</f>
        <v/>
      </c>
      <c r="H107" s="130" t="str">
        <f aca="false">IF($A107="","",IF((DATE(YEAR($E107),MONTH($E107),1)&lt;=DATE(2026,5,1)),IF((MOD(DATEDIF(DATE(YEAR($E107),MONTH($E107),1),DATE(2026,5,1),"m"),IF($D107="Quarterly",3,IF($D107="Annual",12,1)))=0),IF((COUNTIFS(Xero_Raw!$D$4:$D$5003,$A107,Xero_Raw!$G$4:$G$5003,"*Subscription*",Xero_Raw!$A$4:$A$5003,"&gt;="&amp;DATE(2026,5,1),Xero_Raw!$A$4:$A$5003,"&lt;"&amp;EDATE(DATE(2026,5,1),1))+COUNTIFS(Customer_Invoices_Upload!$E$4:$E$5003,$A107,Customer_Invoices_Upload!$G$4:$G$5003,"*Subscription*",Customer_Invoices_Upload!$B$4:$B$5003,"&gt;="&amp;DATE(2026,5,1),Customer_Invoices_Upload!$B$4:$B$5003,"&lt;"&amp;EDATE(DATE(2026,5,1),1))+COUNTIFS(Stripe_Invoices_Upload!$D$4:$D$5003,$A107,Stripe_Invoices_Upload!$E$4:$E$5003,"*Subscription*",Stripe_Invoices_Upload!$A$4:$A$5003,"&gt;="&amp;DATE(2026,5,1),Stripe_Invoices_Upload!$A$4:$A$5003,"&lt;"&amp;EDATE(DATE(2026,5,1),1)))&gt;0,"✓ Invoiced","⚠ Due"),""),""))</f>
        <v/>
      </c>
      <c r="I107" s="130" t="str">
        <f aca="false">IF($A107="","",IF((DATE(YEAR($E107),MONTH($E107),1)&lt;=DATE(2026,6,1)),IF((MOD(DATEDIF(DATE(YEAR($E107),MONTH($E107),1),DATE(2026,6,1),"m"),IF($D107="Quarterly",3,IF($D107="Annual",12,1)))=0),IF((COUNTIFS(Xero_Raw!$D$4:$D$5003,$A107,Xero_Raw!$G$4:$G$5003,"*Subscription*",Xero_Raw!$A$4:$A$5003,"&gt;="&amp;DATE(2026,6,1),Xero_Raw!$A$4:$A$5003,"&lt;"&amp;EDATE(DATE(2026,6,1),1))+COUNTIFS(Customer_Invoices_Upload!$E$4:$E$5003,$A107,Customer_Invoices_Upload!$G$4:$G$5003,"*Subscription*",Customer_Invoices_Upload!$B$4:$B$5003,"&gt;="&amp;DATE(2026,6,1),Customer_Invoices_Upload!$B$4:$B$5003,"&lt;"&amp;EDATE(DATE(2026,6,1),1))+COUNTIFS(Stripe_Invoices_Upload!$D$4:$D$5003,$A107,Stripe_Invoices_Upload!$E$4:$E$5003,"*Subscription*",Stripe_Invoices_Upload!$A$4:$A$5003,"&gt;="&amp;DATE(2026,6,1),Stripe_Invoices_Upload!$A$4:$A$5003,"&lt;"&amp;EDATE(DATE(2026,6,1),1)))&gt;0,"✓ Invoiced","⚠ Due"),""),""))</f>
        <v/>
      </c>
      <c r="J107" s="130" t="str">
        <f aca="false">IF($A107="","",IF((DATE(YEAR($E107),MONTH($E107),1)&lt;=DATE(2026,7,1)),IF((MOD(DATEDIF(DATE(YEAR($E107),MONTH($E107),1),DATE(2026,7,1),"m"),IF($D107="Quarterly",3,IF($D107="Annual",12,1)))=0),IF((COUNTIFS(Xero_Raw!$D$4:$D$5003,$A107,Xero_Raw!$G$4:$G$5003,"*Subscription*",Xero_Raw!$A$4:$A$5003,"&gt;="&amp;DATE(2026,7,1),Xero_Raw!$A$4:$A$5003,"&lt;"&amp;EDATE(DATE(2026,7,1),1))+COUNTIFS(Customer_Invoices_Upload!$E$4:$E$5003,$A107,Customer_Invoices_Upload!$G$4:$G$5003,"*Subscription*",Customer_Invoices_Upload!$B$4:$B$5003,"&gt;="&amp;DATE(2026,7,1),Customer_Invoices_Upload!$B$4:$B$5003,"&lt;"&amp;EDATE(DATE(2026,7,1),1))+COUNTIFS(Stripe_Invoices_Upload!$D$4:$D$5003,$A107,Stripe_Invoices_Upload!$E$4:$E$5003,"*Subscription*",Stripe_Invoices_Upload!$A$4:$A$5003,"&gt;="&amp;DATE(2026,7,1),Stripe_Invoices_Upload!$A$4:$A$5003,"&lt;"&amp;EDATE(DATE(2026,7,1),1)))&gt;0,"✓ Invoiced","⚠ Due"),""),""))</f>
        <v/>
      </c>
      <c r="K107" s="130" t="str">
        <f aca="false">IF($A107="","",IF((DATE(YEAR($E107),MONTH($E107),1)&lt;=DATE(2026,8,1)),IF((MOD(DATEDIF(DATE(YEAR($E107),MONTH($E107),1),DATE(2026,8,1),"m"),IF($D107="Quarterly",3,IF($D107="Annual",12,1)))=0),IF((COUNTIFS(Xero_Raw!$D$4:$D$5003,$A107,Xero_Raw!$G$4:$G$5003,"*Subscription*",Xero_Raw!$A$4:$A$5003,"&gt;="&amp;DATE(2026,8,1),Xero_Raw!$A$4:$A$5003,"&lt;"&amp;EDATE(DATE(2026,8,1),1))+COUNTIFS(Customer_Invoices_Upload!$E$4:$E$5003,$A107,Customer_Invoices_Upload!$G$4:$G$5003,"*Subscription*",Customer_Invoices_Upload!$B$4:$B$5003,"&gt;="&amp;DATE(2026,8,1),Customer_Invoices_Upload!$B$4:$B$5003,"&lt;"&amp;EDATE(DATE(2026,8,1),1))+COUNTIFS(Stripe_Invoices_Upload!$D$4:$D$5003,$A107,Stripe_Invoices_Upload!$E$4:$E$5003,"*Subscription*",Stripe_Invoices_Upload!$A$4:$A$5003,"&gt;="&amp;DATE(2026,8,1),Stripe_Invoices_Upload!$A$4:$A$5003,"&lt;"&amp;EDATE(DATE(2026,8,1),1)))&gt;0,"✓ Invoiced","⚠ Due"),""),""))</f>
        <v/>
      </c>
      <c r="L107" s="130" t="str">
        <f aca="false">IF($A107="","",IF((DATE(YEAR($E107),MONTH($E107),1)&lt;=DATE(2026,9,1)),IF((MOD(DATEDIF(DATE(YEAR($E107),MONTH($E107),1),DATE(2026,9,1),"m"),IF($D107="Quarterly",3,IF($D107="Annual",12,1)))=0),IF((COUNTIFS(Xero_Raw!$D$4:$D$5003,$A107,Xero_Raw!$G$4:$G$5003,"*Subscription*",Xero_Raw!$A$4:$A$5003,"&gt;="&amp;DATE(2026,9,1),Xero_Raw!$A$4:$A$5003,"&lt;"&amp;EDATE(DATE(2026,9,1),1))+COUNTIFS(Customer_Invoices_Upload!$E$4:$E$5003,$A107,Customer_Invoices_Upload!$G$4:$G$5003,"*Subscription*",Customer_Invoices_Upload!$B$4:$B$5003,"&gt;="&amp;DATE(2026,9,1),Customer_Invoices_Upload!$B$4:$B$5003,"&lt;"&amp;EDATE(DATE(2026,9,1),1))+COUNTIFS(Stripe_Invoices_Upload!$D$4:$D$5003,$A107,Stripe_Invoices_Upload!$E$4:$E$5003,"*Subscription*",Stripe_Invoices_Upload!$A$4:$A$5003,"&gt;="&amp;DATE(2026,9,1),Stripe_Invoices_Upload!$A$4:$A$5003,"&lt;"&amp;EDATE(DATE(2026,9,1),1)))&gt;0,"✓ Invoiced","⚠ Due"),""),""))</f>
        <v/>
      </c>
      <c r="M107" s="130" t="str">
        <f aca="false">IF($A107="","",IF((DATE(YEAR($E107),MONTH($E107),1)&lt;=DATE(2026,10,1)),IF((MOD(DATEDIF(DATE(YEAR($E107),MONTH($E107),1),DATE(2026,10,1),"m"),IF($D107="Quarterly",3,IF($D107="Annual",12,1)))=0),IF((COUNTIFS(Xero_Raw!$D$4:$D$5003,$A107,Xero_Raw!$G$4:$G$5003,"*Subscription*",Xero_Raw!$A$4:$A$5003,"&gt;="&amp;DATE(2026,10,1),Xero_Raw!$A$4:$A$5003,"&lt;"&amp;EDATE(DATE(2026,10,1),1))+COUNTIFS(Customer_Invoices_Upload!$E$4:$E$5003,$A107,Customer_Invoices_Upload!$G$4:$G$5003,"*Subscription*",Customer_Invoices_Upload!$B$4:$B$5003,"&gt;="&amp;DATE(2026,10,1),Customer_Invoices_Upload!$B$4:$B$5003,"&lt;"&amp;EDATE(DATE(2026,10,1),1))+COUNTIFS(Stripe_Invoices_Upload!$D$4:$D$5003,$A107,Stripe_Invoices_Upload!$E$4:$E$5003,"*Subscription*",Stripe_Invoices_Upload!$A$4:$A$5003,"&gt;="&amp;DATE(2026,10,1),Stripe_Invoices_Upload!$A$4:$A$5003,"&lt;"&amp;EDATE(DATE(2026,10,1),1)))&gt;0,"✓ Invoiced","⚠ Due"),""),""))</f>
        <v/>
      </c>
      <c r="N107" s="130" t="str">
        <f aca="false">IF($A107="","",IF((DATE(YEAR($E107),MONTH($E107),1)&lt;=DATE(2026,11,1)),IF((MOD(DATEDIF(DATE(YEAR($E107),MONTH($E107),1),DATE(2026,11,1),"m"),IF($D107="Quarterly",3,IF($D107="Annual",12,1)))=0),IF((COUNTIFS(Xero_Raw!$D$4:$D$5003,$A107,Xero_Raw!$G$4:$G$5003,"*Subscription*",Xero_Raw!$A$4:$A$5003,"&gt;="&amp;DATE(2026,11,1),Xero_Raw!$A$4:$A$5003,"&lt;"&amp;EDATE(DATE(2026,11,1),1))+COUNTIFS(Customer_Invoices_Upload!$E$4:$E$5003,$A107,Customer_Invoices_Upload!$G$4:$G$5003,"*Subscription*",Customer_Invoices_Upload!$B$4:$B$5003,"&gt;="&amp;DATE(2026,11,1),Customer_Invoices_Upload!$B$4:$B$5003,"&lt;"&amp;EDATE(DATE(2026,11,1),1))+COUNTIFS(Stripe_Invoices_Upload!$D$4:$D$5003,$A107,Stripe_Invoices_Upload!$E$4:$E$5003,"*Subscription*",Stripe_Invoices_Upload!$A$4:$A$5003,"&gt;="&amp;DATE(2026,11,1),Stripe_Invoices_Upload!$A$4:$A$5003,"&lt;"&amp;EDATE(DATE(2026,11,1),1)))&gt;0,"✓ Invoiced","⚠ Due"),""),""))</f>
        <v/>
      </c>
      <c r="O107" s="130" t="str">
        <f aca="false">IF($A107="","",IF((DATE(YEAR($E107),MONTH($E107),1)&lt;=DATE(2026,12,1)),IF((MOD(DATEDIF(DATE(YEAR($E107),MONTH($E107),1),DATE(2026,12,1),"m"),IF($D107="Quarterly",3,IF($D107="Annual",12,1)))=0),IF((COUNTIFS(Xero_Raw!$D$4:$D$5003,$A107,Xero_Raw!$G$4:$G$5003,"*Subscription*",Xero_Raw!$A$4:$A$5003,"&gt;="&amp;DATE(2026,12,1),Xero_Raw!$A$4:$A$5003,"&lt;"&amp;EDATE(DATE(2026,12,1),1))+COUNTIFS(Customer_Invoices_Upload!$E$4:$E$5003,$A107,Customer_Invoices_Upload!$G$4:$G$5003,"*Subscription*",Customer_Invoices_Upload!$B$4:$B$5003,"&gt;="&amp;DATE(2026,12,1),Customer_Invoices_Upload!$B$4:$B$5003,"&lt;"&amp;EDATE(DATE(2026,12,1),1))+COUNTIFS(Stripe_Invoices_Upload!$D$4:$D$5003,$A107,Stripe_Invoices_Upload!$E$4:$E$5003,"*Subscription*",Stripe_Invoices_Upload!$A$4:$A$5003,"&gt;="&amp;DATE(2026,12,1),Stripe_Invoices_Upload!$A$4:$A$5003,"&lt;"&amp;EDATE(DATE(2026,12,1),1)))&gt;0,"✓ Invoiced","⚠ Due"),""),""))</f>
        <v/>
      </c>
      <c r="P107" s="130" t="str">
        <f aca="false">IF($A107="","",IF((DATE(YEAR($E107),MONTH($E107),1)&lt;=DATE(2027,1,1)),IF((MOD(DATEDIF(DATE(YEAR($E107),MONTH($E107),1),DATE(2027,1,1),"m"),IF($D107="Quarterly",3,IF($D107="Annual",12,1)))=0),IF((COUNTIFS(Xero_Raw!$D$4:$D$5003,$A107,Xero_Raw!$G$4:$G$5003,"*Subscription*",Xero_Raw!$A$4:$A$5003,"&gt;="&amp;DATE(2027,1,1),Xero_Raw!$A$4:$A$5003,"&lt;"&amp;EDATE(DATE(2027,1,1),1))+COUNTIFS(Customer_Invoices_Upload!$E$4:$E$5003,$A107,Customer_Invoices_Upload!$G$4:$G$5003,"*Subscription*",Customer_Invoices_Upload!$B$4:$B$5003,"&gt;="&amp;DATE(2027,1,1),Customer_Invoices_Upload!$B$4:$B$5003,"&lt;"&amp;EDATE(DATE(2027,1,1),1))+COUNTIFS(Stripe_Invoices_Upload!$D$4:$D$5003,$A107,Stripe_Invoices_Upload!$E$4:$E$5003,"*Subscription*",Stripe_Invoices_Upload!$A$4:$A$5003,"&gt;="&amp;DATE(2027,1,1),Stripe_Invoices_Upload!$A$4:$A$5003,"&lt;"&amp;EDATE(DATE(2027,1,1),1)))&gt;0,"✓ Invoiced","⚠ Due"),""),""))</f>
        <v/>
      </c>
      <c r="Q107" s="130" t="str">
        <f aca="false">IF($A107="","",IF((DATE(YEAR($E107),MONTH($E107),1)&lt;=DATE(2027,2,1)),IF((MOD(DATEDIF(DATE(YEAR($E107),MONTH($E107),1),DATE(2027,2,1),"m"),IF($D107="Quarterly",3,IF($D107="Annual",12,1)))=0),IF((COUNTIFS(Xero_Raw!$D$4:$D$5003,$A107,Xero_Raw!$G$4:$G$5003,"*Subscription*",Xero_Raw!$A$4:$A$5003,"&gt;="&amp;DATE(2027,2,1),Xero_Raw!$A$4:$A$5003,"&lt;"&amp;EDATE(DATE(2027,2,1),1))+COUNTIFS(Customer_Invoices_Upload!$E$4:$E$5003,$A107,Customer_Invoices_Upload!$G$4:$G$5003,"*Subscription*",Customer_Invoices_Upload!$B$4:$B$5003,"&gt;="&amp;DATE(2027,2,1),Customer_Invoices_Upload!$B$4:$B$5003,"&lt;"&amp;EDATE(DATE(2027,2,1),1))+COUNTIFS(Stripe_Invoices_Upload!$D$4:$D$5003,$A107,Stripe_Invoices_Upload!$E$4:$E$5003,"*Subscription*",Stripe_Invoices_Upload!$A$4:$A$5003,"&gt;="&amp;DATE(2027,2,1),Stripe_Invoices_Upload!$A$4:$A$5003,"&lt;"&amp;EDATE(DATE(2027,2,1),1)))&gt;0,"✓ Invoiced","⚠ Due"),""),""))</f>
        <v/>
      </c>
      <c r="R107" s="130" t="str">
        <f aca="false">IF($A107="","",IF((DATE(YEAR($E107),MONTH($E107),1)&lt;=DATE(2027,3,1)),IF((MOD(DATEDIF(DATE(YEAR($E107),MONTH($E107),1),DATE(2027,3,1),"m"),IF($D107="Quarterly",3,IF($D107="Annual",12,1)))=0),IF((COUNTIFS(Xero_Raw!$D$4:$D$5003,$A107,Xero_Raw!$G$4:$G$5003,"*Subscription*",Xero_Raw!$A$4:$A$5003,"&gt;="&amp;DATE(2027,3,1),Xero_Raw!$A$4:$A$5003,"&lt;"&amp;EDATE(DATE(2027,3,1),1))+COUNTIFS(Customer_Invoices_Upload!$E$4:$E$5003,$A107,Customer_Invoices_Upload!$G$4:$G$5003,"*Subscription*",Customer_Invoices_Upload!$B$4:$B$5003,"&gt;="&amp;DATE(2027,3,1),Customer_Invoices_Upload!$B$4:$B$5003,"&lt;"&amp;EDATE(DATE(2027,3,1),1))+COUNTIFS(Stripe_Invoices_Upload!$D$4:$D$5003,$A107,Stripe_Invoices_Upload!$E$4:$E$5003,"*Subscription*",Stripe_Invoices_Upload!$A$4:$A$5003,"&gt;="&amp;DATE(2027,3,1),Stripe_Invoices_Upload!$A$4:$A$5003,"&lt;"&amp;EDATE(DATE(2027,3,1),1)))&gt;0,"✓ Invoiced","⚠ Due"),""),""))</f>
        <v/>
      </c>
    </row>
    <row r="108" customFormat="false" ht="15" hidden="false" customHeight="false" outlineLevel="0" collapsed="false">
      <c r="A108" s="39"/>
      <c r="B108" s="39"/>
      <c r="C108" s="40"/>
      <c r="D108" s="39"/>
      <c r="E108" s="38"/>
      <c r="F108" s="129" t="str">
        <f aca="true">IF($A108="","",EDATE($E108,DATEDIF($E108,TODAY(),"m")+1))</f>
        <v/>
      </c>
      <c r="G108" s="130" t="str">
        <f aca="false">IF($A108="","",IF((DATE(YEAR($E108),MONTH($E108),1)&lt;=DATE(2026,4,1)),IF((MOD(DATEDIF(DATE(YEAR($E108),MONTH($E108),1),DATE(2026,4,1),"m"),IF($D108="Quarterly",3,IF($D108="Annual",12,1)))=0),IF((COUNTIFS(Xero_Raw!$D$4:$D$5003,$A108,Xero_Raw!$G$4:$G$5003,"*Subscription*",Xero_Raw!$A$4:$A$5003,"&gt;="&amp;DATE(2026,4,1),Xero_Raw!$A$4:$A$5003,"&lt;"&amp;EDATE(DATE(2026,4,1),1))+COUNTIFS(Customer_Invoices_Upload!$E$4:$E$5003,$A108,Customer_Invoices_Upload!$G$4:$G$5003,"*Subscription*",Customer_Invoices_Upload!$B$4:$B$5003,"&gt;="&amp;DATE(2026,4,1),Customer_Invoices_Upload!$B$4:$B$5003,"&lt;"&amp;EDATE(DATE(2026,4,1),1))+COUNTIFS(Stripe_Invoices_Upload!$D$4:$D$5003,$A108,Stripe_Invoices_Upload!$E$4:$E$5003,"*Subscription*",Stripe_Invoices_Upload!$A$4:$A$5003,"&gt;="&amp;DATE(2026,4,1),Stripe_Invoices_Upload!$A$4:$A$5003,"&lt;"&amp;EDATE(DATE(2026,4,1),1)))&gt;0,"✓ Invoiced","⚠ Due"),""),""))</f>
        <v/>
      </c>
      <c r="H108" s="130" t="str">
        <f aca="false">IF($A108="","",IF((DATE(YEAR($E108),MONTH($E108),1)&lt;=DATE(2026,5,1)),IF((MOD(DATEDIF(DATE(YEAR($E108),MONTH($E108),1),DATE(2026,5,1),"m"),IF($D108="Quarterly",3,IF($D108="Annual",12,1)))=0),IF((COUNTIFS(Xero_Raw!$D$4:$D$5003,$A108,Xero_Raw!$G$4:$G$5003,"*Subscription*",Xero_Raw!$A$4:$A$5003,"&gt;="&amp;DATE(2026,5,1),Xero_Raw!$A$4:$A$5003,"&lt;"&amp;EDATE(DATE(2026,5,1),1))+COUNTIFS(Customer_Invoices_Upload!$E$4:$E$5003,$A108,Customer_Invoices_Upload!$G$4:$G$5003,"*Subscription*",Customer_Invoices_Upload!$B$4:$B$5003,"&gt;="&amp;DATE(2026,5,1),Customer_Invoices_Upload!$B$4:$B$5003,"&lt;"&amp;EDATE(DATE(2026,5,1),1))+COUNTIFS(Stripe_Invoices_Upload!$D$4:$D$5003,$A108,Stripe_Invoices_Upload!$E$4:$E$5003,"*Subscription*",Stripe_Invoices_Upload!$A$4:$A$5003,"&gt;="&amp;DATE(2026,5,1),Stripe_Invoices_Upload!$A$4:$A$5003,"&lt;"&amp;EDATE(DATE(2026,5,1),1)))&gt;0,"✓ Invoiced","⚠ Due"),""),""))</f>
        <v/>
      </c>
      <c r="I108" s="130" t="str">
        <f aca="false">IF($A108="","",IF((DATE(YEAR($E108),MONTH($E108),1)&lt;=DATE(2026,6,1)),IF((MOD(DATEDIF(DATE(YEAR($E108),MONTH($E108),1),DATE(2026,6,1),"m"),IF($D108="Quarterly",3,IF($D108="Annual",12,1)))=0),IF((COUNTIFS(Xero_Raw!$D$4:$D$5003,$A108,Xero_Raw!$G$4:$G$5003,"*Subscription*",Xero_Raw!$A$4:$A$5003,"&gt;="&amp;DATE(2026,6,1),Xero_Raw!$A$4:$A$5003,"&lt;"&amp;EDATE(DATE(2026,6,1),1))+COUNTIFS(Customer_Invoices_Upload!$E$4:$E$5003,$A108,Customer_Invoices_Upload!$G$4:$G$5003,"*Subscription*",Customer_Invoices_Upload!$B$4:$B$5003,"&gt;="&amp;DATE(2026,6,1),Customer_Invoices_Upload!$B$4:$B$5003,"&lt;"&amp;EDATE(DATE(2026,6,1),1))+COUNTIFS(Stripe_Invoices_Upload!$D$4:$D$5003,$A108,Stripe_Invoices_Upload!$E$4:$E$5003,"*Subscription*",Stripe_Invoices_Upload!$A$4:$A$5003,"&gt;="&amp;DATE(2026,6,1),Stripe_Invoices_Upload!$A$4:$A$5003,"&lt;"&amp;EDATE(DATE(2026,6,1),1)))&gt;0,"✓ Invoiced","⚠ Due"),""),""))</f>
        <v/>
      </c>
      <c r="J108" s="130" t="str">
        <f aca="false">IF($A108="","",IF((DATE(YEAR($E108),MONTH($E108),1)&lt;=DATE(2026,7,1)),IF((MOD(DATEDIF(DATE(YEAR($E108),MONTH($E108),1),DATE(2026,7,1),"m"),IF($D108="Quarterly",3,IF($D108="Annual",12,1)))=0),IF((COUNTIFS(Xero_Raw!$D$4:$D$5003,$A108,Xero_Raw!$G$4:$G$5003,"*Subscription*",Xero_Raw!$A$4:$A$5003,"&gt;="&amp;DATE(2026,7,1),Xero_Raw!$A$4:$A$5003,"&lt;"&amp;EDATE(DATE(2026,7,1),1))+COUNTIFS(Customer_Invoices_Upload!$E$4:$E$5003,$A108,Customer_Invoices_Upload!$G$4:$G$5003,"*Subscription*",Customer_Invoices_Upload!$B$4:$B$5003,"&gt;="&amp;DATE(2026,7,1),Customer_Invoices_Upload!$B$4:$B$5003,"&lt;"&amp;EDATE(DATE(2026,7,1),1))+COUNTIFS(Stripe_Invoices_Upload!$D$4:$D$5003,$A108,Stripe_Invoices_Upload!$E$4:$E$5003,"*Subscription*",Stripe_Invoices_Upload!$A$4:$A$5003,"&gt;="&amp;DATE(2026,7,1),Stripe_Invoices_Upload!$A$4:$A$5003,"&lt;"&amp;EDATE(DATE(2026,7,1),1)))&gt;0,"✓ Invoiced","⚠ Due"),""),""))</f>
        <v/>
      </c>
      <c r="K108" s="130" t="str">
        <f aca="false">IF($A108="","",IF((DATE(YEAR($E108),MONTH($E108),1)&lt;=DATE(2026,8,1)),IF((MOD(DATEDIF(DATE(YEAR($E108),MONTH($E108),1),DATE(2026,8,1),"m"),IF($D108="Quarterly",3,IF($D108="Annual",12,1)))=0),IF((COUNTIFS(Xero_Raw!$D$4:$D$5003,$A108,Xero_Raw!$G$4:$G$5003,"*Subscription*",Xero_Raw!$A$4:$A$5003,"&gt;="&amp;DATE(2026,8,1),Xero_Raw!$A$4:$A$5003,"&lt;"&amp;EDATE(DATE(2026,8,1),1))+COUNTIFS(Customer_Invoices_Upload!$E$4:$E$5003,$A108,Customer_Invoices_Upload!$G$4:$G$5003,"*Subscription*",Customer_Invoices_Upload!$B$4:$B$5003,"&gt;="&amp;DATE(2026,8,1),Customer_Invoices_Upload!$B$4:$B$5003,"&lt;"&amp;EDATE(DATE(2026,8,1),1))+COUNTIFS(Stripe_Invoices_Upload!$D$4:$D$5003,$A108,Stripe_Invoices_Upload!$E$4:$E$5003,"*Subscription*",Stripe_Invoices_Upload!$A$4:$A$5003,"&gt;="&amp;DATE(2026,8,1),Stripe_Invoices_Upload!$A$4:$A$5003,"&lt;"&amp;EDATE(DATE(2026,8,1),1)))&gt;0,"✓ Invoiced","⚠ Due"),""),""))</f>
        <v/>
      </c>
      <c r="L108" s="130" t="str">
        <f aca="false">IF($A108="","",IF((DATE(YEAR($E108),MONTH($E108),1)&lt;=DATE(2026,9,1)),IF((MOD(DATEDIF(DATE(YEAR($E108),MONTH($E108),1),DATE(2026,9,1),"m"),IF($D108="Quarterly",3,IF($D108="Annual",12,1)))=0),IF((COUNTIFS(Xero_Raw!$D$4:$D$5003,$A108,Xero_Raw!$G$4:$G$5003,"*Subscription*",Xero_Raw!$A$4:$A$5003,"&gt;="&amp;DATE(2026,9,1),Xero_Raw!$A$4:$A$5003,"&lt;"&amp;EDATE(DATE(2026,9,1),1))+COUNTIFS(Customer_Invoices_Upload!$E$4:$E$5003,$A108,Customer_Invoices_Upload!$G$4:$G$5003,"*Subscription*",Customer_Invoices_Upload!$B$4:$B$5003,"&gt;="&amp;DATE(2026,9,1),Customer_Invoices_Upload!$B$4:$B$5003,"&lt;"&amp;EDATE(DATE(2026,9,1),1))+COUNTIFS(Stripe_Invoices_Upload!$D$4:$D$5003,$A108,Stripe_Invoices_Upload!$E$4:$E$5003,"*Subscription*",Stripe_Invoices_Upload!$A$4:$A$5003,"&gt;="&amp;DATE(2026,9,1),Stripe_Invoices_Upload!$A$4:$A$5003,"&lt;"&amp;EDATE(DATE(2026,9,1),1)))&gt;0,"✓ Invoiced","⚠ Due"),""),""))</f>
        <v/>
      </c>
      <c r="M108" s="130" t="str">
        <f aca="false">IF($A108="","",IF((DATE(YEAR($E108),MONTH($E108),1)&lt;=DATE(2026,10,1)),IF((MOD(DATEDIF(DATE(YEAR($E108),MONTH($E108),1),DATE(2026,10,1),"m"),IF($D108="Quarterly",3,IF($D108="Annual",12,1)))=0),IF((COUNTIFS(Xero_Raw!$D$4:$D$5003,$A108,Xero_Raw!$G$4:$G$5003,"*Subscription*",Xero_Raw!$A$4:$A$5003,"&gt;="&amp;DATE(2026,10,1),Xero_Raw!$A$4:$A$5003,"&lt;"&amp;EDATE(DATE(2026,10,1),1))+COUNTIFS(Customer_Invoices_Upload!$E$4:$E$5003,$A108,Customer_Invoices_Upload!$G$4:$G$5003,"*Subscription*",Customer_Invoices_Upload!$B$4:$B$5003,"&gt;="&amp;DATE(2026,10,1),Customer_Invoices_Upload!$B$4:$B$5003,"&lt;"&amp;EDATE(DATE(2026,10,1),1))+COUNTIFS(Stripe_Invoices_Upload!$D$4:$D$5003,$A108,Stripe_Invoices_Upload!$E$4:$E$5003,"*Subscription*",Stripe_Invoices_Upload!$A$4:$A$5003,"&gt;="&amp;DATE(2026,10,1),Stripe_Invoices_Upload!$A$4:$A$5003,"&lt;"&amp;EDATE(DATE(2026,10,1),1)))&gt;0,"✓ Invoiced","⚠ Due"),""),""))</f>
        <v/>
      </c>
      <c r="N108" s="130" t="str">
        <f aca="false">IF($A108="","",IF((DATE(YEAR($E108),MONTH($E108),1)&lt;=DATE(2026,11,1)),IF((MOD(DATEDIF(DATE(YEAR($E108),MONTH($E108),1),DATE(2026,11,1),"m"),IF($D108="Quarterly",3,IF($D108="Annual",12,1)))=0),IF((COUNTIFS(Xero_Raw!$D$4:$D$5003,$A108,Xero_Raw!$G$4:$G$5003,"*Subscription*",Xero_Raw!$A$4:$A$5003,"&gt;="&amp;DATE(2026,11,1),Xero_Raw!$A$4:$A$5003,"&lt;"&amp;EDATE(DATE(2026,11,1),1))+COUNTIFS(Customer_Invoices_Upload!$E$4:$E$5003,$A108,Customer_Invoices_Upload!$G$4:$G$5003,"*Subscription*",Customer_Invoices_Upload!$B$4:$B$5003,"&gt;="&amp;DATE(2026,11,1),Customer_Invoices_Upload!$B$4:$B$5003,"&lt;"&amp;EDATE(DATE(2026,11,1),1))+COUNTIFS(Stripe_Invoices_Upload!$D$4:$D$5003,$A108,Stripe_Invoices_Upload!$E$4:$E$5003,"*Subscription*",Stripe_Invoices_Upload!$A$4:$A$5003,"&gt;="&amp;DATE(2026,11,1),Stripe_Invoices_Upload!$A$4:$A$5003,"&lt;"&amp;EDATE(DATE(2026,11,1),1)))&gt;0,"✓ Invoiced","⚠ Due"),""),""))</f>
        <v/>
      </c>
      <c r="O108" s="130" t="str">
        <f aca="false">IF($A108="","",IF((DATE(YEAR($E108),MONTH($E108),1)&lt;=DATE(2026,12,1)),IF((MOD(DATEDIF(DATE(YEAR($E108),MONTH($E108),1),DATE(2026,12,1),"m"),IF($D108="Quarterly",3,IF($D108="Annual",12,1)))=0),IF((COUNTIFS(Xero_Raw!$D$4:$D$5003,$A108,Xero_Raw!$G$4:$G$5003,"*Subscription*",Xero_Raw!$A$4:$A$5003,"&gt;="&amp;DATE(2026,12,1),Xero_Raw!$A$4:$A$5003,"&lt;"&amp;EDATE(DATE(2026,12,1),1))+COUNTIFS(Customer_Invoices_Upload!$E$4:$E$5003,$A108,Customer_Invoices_Upload!$G$4:$G$5003,"*Subscription*",Customer_Invoices_Upload!$B$4:$B$5003,"&gt;="&amp;DATE(2026,12,1),Customer_Invoices_Upload!$B$4:$B$5003,"&lt;"&amp;EDATE(DATE(2026,12,1),1))+COUNTIFS(Stripe_Invoices_Upload!$D$4:$D$5003,$A108,Stripe_Invoices_Upload!$E$4:$E$5003,"*Subscription*",Stripe_Invoices_Upload!$A$4:$A$5003,"&gt;="&amp;DATE(2026,12,1),Stripe_Invoices_Upload!$A$4:$A$5003,"&lt;"&amp;EDATE(DATE(2026,12,1),1)))&gt;0,"✓ Invoiced","⚠ Due"),""),""))</f>
        <v/>
      </c>
      <c r="P108" s="130" t="str">
        <f aca="false">IF($A108="","",IF((DATE(YEAR($E108),MONTH($E108),1)&lt;=DATE(2027,1,1)),IF((MOD(DATEDIF(DATE(YEAR($E108),MONTH($E108),1),DATE(2027,1,1),"m"),IF($D108="Quarterly",3,IF($D108="Annual",12,1)))=0),IF((COUNTIFS(Xero_Raw!$D$4:$D$5003,$A108,Xero_Raw!$G$4:$G$5003,"*Subscription*",Xero_Raw!$A$4:$A$5003,"&gt;="&amp;DATE(2027,1,1),Xero_Raw!$A$4:$A$5003,"&lt;"&amp;EDATE(DATE(2027,1,1),1))+COUNTIFS(Customer_Invoices_Upload!$E$4:$E$5003,$A108,Customer_Invoices_Upload!$G$4:$G$5003,"*Subscription*",Customer_Invoices_Upload!$B$4:$B$5003,"&gt;="&amp;DATE(2027,1,1),Customer_Invoices_Upload!$B$4:$B$5003,"&lt;"&amp;EDATE(DATE(2027,1,1),1))+COUNTIFS(Stripe_Invoices_Upload!$D$4:$D$5003,$A108,Stripe_Invoices_Upload!$E$4:$E$5003,"*Subscription*",Stripe_Invoices_Upload!$A$4:$A$5003,"&gt;="&amp;DATE(2027,1,1),Stripe_Invoices_Upload!$A$4:$A$5003,"&lt;"&amp;EDATE(DATE(2027,1,1),1)))&gt;0,"✓ Invoiced","⚠ Due"),""),""))</f>
        <v/>
      </c>
      <c r="Q108" s="130" t="str">
        <f aca="false">IF($A108="","",IF((DATE(YEAR($E108),MONTH($E108),1)&lt;=DATE(2027,2,1)),IF((MOD(DATEDIF(DATE(YEAR($E108),MONTH($E108),1),DATE(2027,2,1),"m"),IF($D108="Quarterly",3,IF($D108="Annual",12,1)))=0),IF((COUNTIFS(Xero_Raw!$D$4:$D$5003,$A108,Xero_Raw!$G$4:$G$5003,"*Subscription*",Xero_Raw!$A$4:$A$5003,"&gt;="&amp;DATE(2027,2,1),Xero_Raw!$A$4:$A$5003,"&lt;"&amp;EDATE(DATE(2027,2,1),1))+COUNTIFS(Customer_Invoices_Upload!$E$4:$E$5003,$A108,Customer_Invoices_Upload!$G$4:$G$5003,"*Subscription*",Customer_Invoices_Upload!$B$4:$B$5003,"&gt;="&amp;DATE(2027,2,1),Customer_Invoices_Upload!$B$4:$B$5003,"&lt;"&amp;EDATE(DATE(2027,2,1),1))+COUNTIFS(Stripe_Invoices_Upload!$D$4:$D$5003,$A108,Stripe_Invoices_Upload!$E$4:$E$5003,"*Subscription*",Stripe_Invoices_Upload!$A$4:$A$5003,"&gt;="&amp;DATE(2027,2,1),Stripe_Invoices_Upload!$A$4:$A$5003,"&lt;"&amp;EDATE(DATE(2027,2,1),1)))&gt;0,"✓ Invoiced","⚠ Due"),""),""))</f>
        <v/>
      </c>
      <c r="R108" s="130" t="str">
        <f aca="false">IF($A108="","",IF((DATE(YEAR($E108),MONTH($E108),1)&lt;=DATE(2027,3,1)),IF((MOD(DATEDIF(DATE(YEAR($E108),MONTH($E108),1),DATE(2027,3,1),"m"),IF($D108="Quarterly",3,IF($D108="Annual",12,1)))=0),IF((COUNTIFS(Xero_Raw!$D$4:$D$5003,$A108,Xero_Raw!$G$4:$G$5003,"*Subscription*",Xero_Raw!$A$4:$A$5003,"&gt;="&amp;DATE(2027,3,1),Xero_Raw!$A$4:$A$5003,"&lt;"&amp;EDATE(DATE(2027,3,1),1))+COUNTIFS(Customer_Invoices_Upload!$E$4:$E$5003,$A108,Customer_Invoices_Upload!$G$4:$G$5003,"*Subscription*",Customer_Invoices_Upload!$B$4:$B$5003,"&gt;="&amp;DATE(2027,3,1),Customer_Invoices_Upload!$B$4:$B$5003,"&lt;"&amp;EDATE(DATE(2027,3,1),1))+COUNTIFS(Stripe_Invoices_Upload!$D$4:$D$5003,$A108,Stripe_Invoices_Upload!$E$4:$E$5003,"*Subscription*",Stripe_Invoices_Upload!$A$4:$A$5003,"&gt;="&amp;DATE(2027,3,1),Stripe_Invoices_Upload!$A$4:$A$5003,"&lt;"&amp;EDATE(DATE(2027,3,1),1)))&gt;0,"✓ Invoiced","⚠ Due"),""),""))</f>
        <v/>
      </c>
    </row>
    <row r="109" customFormat="false" ht="15" hidden="false" customHeight="false" outlineLevel="0" collapsed="false">
      <c r="A109" s="39"/>
      <c r="B109" s="39"/>
      <c r="C109" s="40"/>
      <c r="D109" s="39"/>
      <c r="E109" s="38"/>
      <c r="F109" s="129" t="str">
        <f aca="true">IF($A109="","",EDATE($E109,DATEDIF($E109,TODAY(),"m")+1))</f>
        <v/>
      </c>
      <c r="G109" s="130" t="str">
        <f aca="false">IF($A109="","",IF((DATE(YEAR($E109),MONTH($E109),1)&lt;=DATE(2026,4,1)),IF((MOD(DATEDIF(DATE(YEAR($E109),MONTH($E109),1),DATE(2026,4,1),"m"),IF($D109="Quarterly",3,IF($D109="Annual",12,1)))=0),IF((COUNTIFS(Xero_Raw!$D$4:$D$5003,$A109,Xero_Raw!$G$4:$G$5003,"*Subscription*",Xero_Raw!$A$4:$A$5003,"&gt;="&amp;DATE(2026,4,1),Xero_Raw!$A$4:$A$5003,"&lt;"&amp;EDATE(DATE(2026,4,1),1))+COUNTIFS(Customer_Invoices_Upload!$E$4:$E$5003,$A109,Customer_Invoices_Upload!$G$4:$G$5003,"*Subscription*",Customer_Invoices_Upload!$B$4:$B$5003,"&gt;="&amp;DATE(2026,4,1),Customer_Invoices_Upload!$B$4:$B$5003,"&lt;"&amp;EDATE(DATE(2026,4,1),1))+COUNTIFS(Stripe_Invoices_Upload!$D$4:$D$5003,$A109,Stripe_Invoices_Upload!$E$4:$E$5003,"*Subscription*",Stripe_Invoices_Upload!$A$4:$A$5003,"&gt;="&amp;DATE(2026,4,1),Stripe_Invoices_Upload!$A$4:$A$5003,"&lt;"&amp;EDATE(DATE(2026,4,1),1)))&gt;0,"✓ Invoiced","⚠ Due"),""),""))</f>
        <v/>
      </c>
      <c r="H109" s="130" t="str">
        <f aca="false">IF($A109="","",IF((DATE(YEAR($E109),MONTH($E109),1)&lt;=DATE(2026,5,1)),IF((MOD(DATEDIF(DATE(YEAR($E109),MONTH($E109),1),DATE(2026,5,1),"m"),IF($D109="Quarterly",3,IF($D109="Annual",12,1)))=0),IF((COUNTIFS(Xero_Raw!$D$4:$D$5003,$A109,Xero_Raw!$G$4:$G$5003,"*Subscription*",Xero_Raw!$A$4:$A$5003,"&gt;="&amp;DATE(2026,5,1),Xero_Raw!$A$4:$A$5003,"&lt;"&amp;EDATE(DATE(2026,5,1),1))+COUNTIFS(Customer_Invoices_Upload!$E$4:$E$5003,$A109,Customer_Invoices_Upload!$G$4:$G$5003,"*Subscription*",Customer_Invoices_Upload!$B$4:$B$5003,"&gt;="&amp;DATE(2026,5,1),Customer_Invoices_Upload!$B$4:$B$5003,"&lt;"&amp;EDATE(DATE(2026,5,1),1))+COUNTIFS(Stripe_Invoices_Upload!$D$4:$D$5003,$A109,Stripe_Invoices_Upload!$E$4:$E$5003,"*Subscription*",Stripe_Invoices_Upload!$A$4:$A$5003,"&gt;="&amp;DATE(2026,5,1),Stripe_Invoices_Upload!$A$4:$A$5003,"&lt;"&amp;EDATE(DATE(2026,5,1),1)))&gt;0,"✓ Invoiced","⚠ Due"),""),""))</f>
        <v/>
      </c>
      <c r="I109" s="130" t="str">
        <f aca="false">IF($A109="","",IF((DATE(YEAR($E109),MONTH($E109),1)&lt;=DATE(2026,6,1)),IF((MOD(DATEDIF(DATE(YEAR($E109),MONTH($E109),1),DATE(2026,6,1),"m"),IF($D109="Quarterly",3,IF($D109="Annual",12,1)))=0),IF((COUNTIFS(Xero_Raw!$D$4:$D$5003,$A109,Xero_Raw!$G$4:$G$5003,"*Subscription*",Xero_Raw!$A$4:$A$5003,"&gt;="&amp;DATE(2026,6,1),Xero_Raw!$A$4:$A$5003,"&lt;"&amp;EDATE(DATE(2026,6,1),1))+COUNTIFS(Customer_Invoices_Upload!$E$4:$E$5003,$A109,Customer_Invoices_Upload!$G$4:$G$5003,"*Subscription*",Customer_Invoices_Upload!$B$4:$B$5003,"&gt;="&amp;DATE(2026,6,1),Customer_Invoices_Upload!$B$4:$B$5003,"&lt;"&amp;EDATE(DATE(2026,6,1),1))+COUNTIFS(Stripe_Invoices_Upload!$D$4:$D$5003,$A109,Stripe_Invoices_Upload!$E$4:$E$5003,"*Subscription*",Stripe_Invoices_Upload!$A$4:$A$5003,"&gt;="&amp;DATE(2026,6,1),Stripe_Invoices_Upload!$A$4:$A$5003,"&lt;"&amp;EDATE(DATE(2026,6,1),1)))&gt;0,"✓ Invoiced","⚠ Due"),""),""))</f>
        <v/>
      </c>
      <c r="J109" s="130" t="str">
        <f aca="false">IF($A109="","",IF((DATE(YEAR($E109),MONTH($E109),1)&lt;=DATE(2026,7,1)),IF((MOD(DATEDIF(DATE(YEAR($E109),MONTH($E109),1),DATE(2026,7,1),"m"),IF($D109="Quarterly",3,IF($D109="Annual",12,1)))=0),IF((COUNTIFS(Xero_Raw!$D$4:$D$5003,$A109,Xero_Raw!$G$4:$G$5003,"*Subscription*",Xero_Raw!$A$4:$A$5003,"&gt;="&amp;DATE(2026,7,1),Xero_Raw!$A$4:$A$5003,"&lt;"&amp;EDATE(DATE(2026,7,1),1))+COUNTIFS(Customer_Invoices_Upload!$E$4:$E$5003,$A109,Customer_Invoices_Upload!$G$4:$G$5003,"*Subscription*",Customer_Invoices_Upload!$B$4:$B$5003,"&gt;="&amp;DATE(2026,7,1),Customer_Invoices_Upload!$B$4:$B$5003,"&lt;"&amp;EDATE(DATE(2026,7,1),1))+COUNTIFS(Stripe_Invoices_Upload!$D$4:$D$5003,$A109,Stripe_Invoices_Upload!$E$4:$E$5003,"*Subscription*",Stripe_Invoices_Upload!$A$4:$A$5003,"&gt;="&amp;DATE(2026,7,1),Stripe_Invoices_Upload!$A$4:$A$5003,"&lt;"&amp;EDATE(DATE(2026,7,1),1)))&gt;0,"✓ Invoiced","⚠ Due"),""),""))</f>
        <v/>
      </c>
      <c r="K109" s="130" t="str">
        <f aca="false">IF($A109="","",IF((DATE(YEAR($E109),MONTH($E109),1)&lt;=DATE(2026,8,1)),IF((MOD(DATEDIF(DATE(YEAR($E109),MONTH($E109),1),DATE(2026,8,1),"m"),IF($D109="Quarterly",3,IF($D109="Annual",12,1)))=0),IF((COUNTIFS(Xero_Raw!$D$4:$D$5003,$A109,Xero_Raw!$G$4:$G$5003,"*Subscription*",Xero_Raw!$A$4:$A$5003,"&gt;="&amp;DATE(2026,8,1),Xero_Raw!$A$4:$A$5003,"&lt;"&amp;EDATE(DATE(2026,8,1),1))+COUNTIFS(Customer_Invoices_Upload!$E$4:$E$5003,$A109,Customer_Invoices_Upload!$G$4:$G$5003,"*Subscription*",Customer_Invoices_Upload!$B$4:$B$5003,"&gt;="&amp;DATE(2026,8,1),Customer_Invoices_Upload!$B$4:$B$5003,"&lt;"&amp;EDATE(DATE(2026,8,1),1))+COUNTIFS(Stripe_Invoices_Upload!$D$4:$D$5003,$A109,Stripe_Invoices_Upload!$E$4:$E$5003,"*Subscription*",Stripe_Invoices_Upload!$A$4:$A$5003,"&gt;="&amp;DATE(2026,8,1),Stripe_Invoices_Upload!$A$4:$A$5003,"&lt;"&amp;EDATE(DATE(2026,8,1),1)))&gt;0,"✓ Invoiced","⚠ Due"),""),""))</f>
        <v/>
      </c>
      <c r="L109" s="130" t="str">
        <f aca="false">IF($A109="","",IF((DATE(YEAR($E109),MONTH($E109),1)&lt;=DATE(2026,9,1)),IF((MOD(DATEDIF(DATE(YEAR($E109),MONTH($E109),1),DATE(2026,9,1),"m"),IF($D109="Quarterly",3,IF($D109="Annual",12,1)))=0),IF((COUNTIFS(Xero_Raw!$D$4:$D$5003,$A109,Xero_Raw!$G$4:$G$5003,"*Subscription*",Xero_Raw!$A$4:$A$5003,"&gt;="&amp;DATE(2026,9,1),Xero_Raw!$A$4:$A$5003,"&lt;"&amp;EDATE(DATE(2026,9,1),1))+COUNTIFS(Customer_Invoices_Upload!$E$4:$E$5003,$A109,Customer_Invoices_Upload!$G$4:$G$5003,"*Subscription*",Customer_Invoices_Upload!$B$4:$B$5003,"&gt;="&amp;DATE(2026,9,1),Customer_Invoices_Upload!$B$4:$B$5003,"&lt;"&amp;EDATE(DATE(2026,9,1),1))+COUNTIFS(Stripe_Invoices_Upload!$D$4:$D$5003,$A109,Stripe_Invoices_Upload!$E$4:$E$5003,"*Subscription*",Stripe_Invoices_Upload!$A$4:$A$5003,"&gt;="&amp;DATE(2026,9,1),Stripe_Invoices_Upload!$A$4:$A$5003,"&lt;"&amp;EDATE(DATE(2026,9,1),1)))&gt;0,"✓ Invoiced","⚠ Due"),""),""))</f>
        <v/>
      </c>
      <c r="M109" s="130" t="str">
        <f aca="false">IF($A109="","",IF((DATE(YEAR($E109),MONTH($E109),1)&lt;=DATE(2026,10,1)),IF((MOD(DATEDIF(DATE(YEAR($E109),MONTH($E109),1),DATE(2026,10,1),"m"),IF($D109="Quarterly",3,IF($D109="Annual",12,1)))=0),IF((COUNTIFS(Xero_Raw!$D$4:$D$5003,$A109,Xero_Raw!$G$4:$G$5003,"*Subscription*",Xero_Raw!$A$4:$A$5003,"&gt;="&amp;DATE(2026,10,1),Xero_Raw!$A$4:$A$5003,"&lt;"&amp;EDATE(DATE(2026,10,1),1))+COUNTIFS(Customer_Invoices_Upload!$E$4:$E$5003,$A109,Customer_Invoices_Upload!$G$4:$G$5003,"*Subscription*",Customer_Invoices_Upload!$B$4:$B$5003,"&gt;="&amp;DATE(2026,10,1),Customer_Invoices_Upload!$B$4:$B$5003,"&lt;"&amp;EDATE(DATE(2026,10,1),1))+COUNTIFS(Stripe_Invoices_Upload!$D$4:$D$5003,$A109,Stripe_Invoices_Upload!$E$4:$E$5003,"*Subscription*",Stripe_Invoices_Upload!$A$4:$A$5003,"&gt;="&amp;DATE(2026,10,1),Stripe_Invoices_Upload!$A$4:$A$5003,"&lt;"&amp;EDATE(DATE(2026,10,1),1)))&gt;0,"✓ Invoiced","⚠ Due"),""),""))</f>
        <v/>
      </c>
      <c r="N109" s="130" t="str">
        <f aca="false">IF($A109="","",IF((DATE(YEAR($E109),MONTH($E109),1)&lt;=DATE(2026,11,1)),IF((MOD(DATEDIF(DATE(YEAR($E109),MONTH($E109),1),DATE(2026,11,1),"m"),IF($D109="Quarterly",3,IF($D109="Annual",12,1)))=0),IF((COUNTIFS(Xero_Raw!$D$4:$D$5003,$A109,Xero_Raw!$G$4:$G$5003,"*Subscription*",Xero_Raw!$A$4:$A$5003,"&gt;="&amp;DATE(2026,11,1),Xero_Raw!$A$4:$A$5003,"&lt;"&amp;EDATE(DATE(2026,11,1),1))+COUNTIFS(Customer_Invoices_Upload!$E$4:$E$5003,$A109,Customer_Invoices_Upload!$G$4:$G$5003,"*Subscription*",Customer_Invoices_Upload!$B$4:$B$5003,"&gt;="&amp;DATE(2026,11,1),Customer_Invoices_Upload!$B$4:$B$5003,"&lt;"&amp;EDATE(DATE(2026,11,1),1))+COUNTIFS(Stripe_Invoices_Upload!$D$4:$D$5003,$A109,Stripe_Invoices_Upload!$E$4:$E$5003,"*Subscription*",Stripe_Invoices_Upload!$A$4:$A$5003,"&gt;="&amp;DATE(2026,11,1),Stripe_Invoices_Upload!$A$4:$A$5003,"&lt;"&amp;EDATE(DATE(2026,11,1),1)))&gt;0,"✓ Invoiced","⚠ Due"),""),""))</f>
        <v/>
      </c>
      <c r="O109" s="130" t="str">
        <f aca="false">IF($A109="","",IF((DATE(YEAR($E109),MONTH($E109),1)&lt;=DATE(2026,12,1)),IF((MOD(DATEDIF(DATE(YEAR($E109),MONTH($E109),1),DATE(2026,12,1),"m"),IF($D109="Quarterly",3,IF($D109="Annual",12,1)))=0),IF((COUNTIFS(Xero_Raw!$D$4:$D$5003,$A109,Xero_Raw!$G$4:$G$5003,"*Subscription*",Xero_Raw!$A$4:$A$5003,"&gt;="&amp;DATE(2026,12,1),Xero_Raw!$A$4:$A$5003,"&lt;"&amp;EDATE(DATE(2026,12,1),1))+COUNTIFS(Customer_Invoices_Upload!$E$4:$E$5003,$A109,Customer_Invoices_Upload!$G$4:$G$5003,"*Subscription*",Customer_Invoices_Upload!$B$4:$B$5003,"&gt;="&amp;DATE(2026,12,1),Customer_Invoices_Upload!$B$4:$B$5003,"&lt;"&amp;EDATE(DATE(2026,12,1),1))+COUNTIFS(Stripe_Invoices_Upload!$D$4:$D$5003,$A109,Stripe_Invoices_Upload!$E$4:$E$5003,"*Subscription*",Stripe_Invoices_Upload!$A$4:$A$5003,"&gt;="&amp;DATE(2026,12,1),Stripe_Invoices_Upload!$A$4:$A$5003,"&lt;"&amp;EDATE(DATE(2026,12,1),1)))&gt;0,"✓ Invoiced","⚠ Due"),""),""))</f>
        <v/>
      </c>
      <c r="P109" s="130" t="str">
        <f aca="false">IF($A109="","",IF((DATE(YEAR($E109),MONTH($E109),1)&lt;=DATE(2027,1,1)),IF((MOD(DATEDIF(DATE(YEAR($E109),MONTH($E109),1),DATE(2027,1,1),"m"),IF($D109="Quarterly",3,IF($D109="Annual",12,1)))=0),IF((COUNTIFS(Xero_Raw!$D$4:$D$5003,$A109,Xero_Raw!$G$4:$G$5003,"*Subscription*",Xero_Raw!$A$4:$A$5003,"&gt;="&amp;DATE(2027,1,1),Xero_Raw!$A$4:$A$5003,"&lt;"&amp;EDATE(DATE(2027,1,1),1))+COUNTIFS(Customer_Invoices_Upload!$E$4:$E$5003,$A109,Customer_Invoices_Upload!$G$4:$G$5003,"*Subscription*",Customer_Invoices_Upload!$B$4:$B$5003,"&gt;="&amp;DATE(2027,1,1),Customer_Invoices_Upload!$B$4:$B$5003,"&lt;"&amp;EDATE(DATE(2027,1,1),1))+COUNTIFS(Stripe_Invoices_Upload!$D$4:$D$5003,$A109,Stripe_Invoices_Upload!$E$4:$E$5003,"*Subscription*",Stripe_Invoices_Upload!$A$4:$A$5003,"&gt;="&amp;DATE(2027,1,1),Stripe_Invoices_Upload!$A$4:$A$5003,"&lt;"&amp;EDATE(DATE(2027,1,1),1)))&gt;0,"✓ Invoiced","⚠ Due"),""),""))</f>
        <v/>
      </c>
      <c r="Q109" s="130" t="str">
        <f aca="false">IF($A109="","",IF((DATE(YEAR($E109),MONTH($E109),1)&lt;=DATE(2027,2,1)),IF((MOD(DATEDIF(DATE(YEAR($E109),MONTH($E109),1),DATE(2027,2,1),"m"),IF($D109="Quarterly",3,IF($D109="Annual",12,1)))=0),IF((COUNTIFS(Xero_Raw!$D$4:$D$5003,$A109,Xero_Raw!$G$4:$G$5003,"*Subscription*",Xero_Raw!$A$4:$A$5003,"&gt;="&amp;DATE(2027,2,1),Xero_Raw!$A$4:$A$5003,"&lt;"&amp;EDATE(DATE(2027,2,1),1))+COUNTIFS(Customer_Invoices_Upload!$E$4:$E$5003,$A109,Customer_Invoices_Upload!$G$4:$G$5003,"*Subscription*",Customer_Invoices_Upload!$B$4:$B$5003,"&gt;="&amp;DATE(2027,2,1),Customer_Invoices_Upload!$B$4:$B$5003,"&lt;"&amp;EDATE(DATE(2027,2,1),1))+COUNTIFS(Stripe_Invoices_Upload!$D$4:$D$5003,$A109,Stripe_Invoices_Upload!$E$4:$E$5003,"*Subscription*",Stripe_Invoices_Upload!$A$4:$A$5003,"&gt;="&amp;DATE(2027,2,1),Stripe_Invoices_Upload!$A$4:$A$5003,"&lt;"&amp;EDATE(DATE(2027,2,1),1)))&gt;0,"✓ Invoiced","⚠ Due"),""),""))</f>
        <v/>
      </c>
      <c r="R109" s="130" t="str">
        <f aca="false">IF($A109="","",IF((DATE(YEAR($E109),MONTH($E109),1)&lt;=DATE(2027,3,1)),IF((MOD(DATEDIF(DATE(YEAR($E109),MONTH($E109),1),DATE(2027,3,1),"m"),IF($D109="Quarterly",3,IF($D109="Annual",12,1)))=0),IF((COUNTIFS(Xero_Raw!$D$4:$D$5003,$A109,Xero_Raw!$G$4:$G$5003,"*Subscription*",Xero_Raw!$A$4:$A$5003,"&gt;="&amp;DATE(2027,3,1),Xero_Raw!$A$4:$A$5003,"&lt;"&amp;EDATE(DATE(2027,3,1),1))+COUNTIFS(Customer_Invoices_Upload!$E$4:$E$5003,$A109,Customer_Invoices_Upload!$G$4:$G$5003,"*Subscription*",Customer_Invoices_Upload!$B$4:$B$5003,"&gt;="&amp;DATE(2027,3,1),Customer_Invoices_Upload!$B$4:$B$5003,"&lt;"&amp;EDATE(DATE(2027,3,1),1))+COUNTIFS(Stripe_Invoices_Upload!$D$4:$D$5003,$A109,Stripe_Invoices_Upload!$E$4:$E$5003,"*Subscription*",Stripe_Invoices_Upload!$A$4:$A$5003,"&gt;="&amp;DATE(2027,3,1),Stripe_Invoices_Upload!$A$4:$A$5003,"&lt;"&amp;EDATE(DATE(2027,3,1),1)))&gt;0,"✓ Invoiced","⚠ Due"),""),""))</f>
        <v/>
      </c>
    </row>
    <row r="110" customFormat="false" ht="15" hidden="false" customHeight="false" outlineLevel="0" collapsed="false">
      <c r="A110" s="39"/>
      <c r="B110" s="39"/>
      <c r="C110" s="40"/>
      <c r="D110" s="39"/>
      <c r="E110" s="38"/>
      <c r="F110" s="129" t="str">
        <f aca="true">IF($A110="","",EDATE($E110,DATEDIF($E110,TODAY(),"m")+1))</f>
        <v/>
      </c>
      <c r="G110" s="130" t="str">
        <f aca="false">IF($A110="","",IF((DATE(YEAR($E110),MONTH($E110),1)&lt;=DATE(2026,4,1)),IF((MOD(DATEDIF(DATE(YEAR($E110),MONTH($E110),1),DATE(2026,4,1),"m"),IF($D110="Quarterly",3,IF($D110="Annual",12,1)))=0),IF((COUNTIFS(Xero_Raw!$D$4:$D$5003,$A110,Xero_Raw!$G$4:$G$5003,"*Subscription*",Xero_Raw!$A$4:$A$5003,"&gt;="&amp;DATE(2026,4,1),Xero_Raw!$A$4:$A$5003,"&lt;"&amp;EDATE(DATE(2026,4,1),1))+COUNTIFS(Customer_Invoices_Upload!$E$4:$E$5003,$A110,Customer_Invoices_Upload!$G$4:$G$5003,"*Subscription*",Customer_Invoices_Upload!$B$4:$B$5003,"&gt;="&amp;DATE(2026,4,1),Customer_Invoices_Upload!$B$4:$B$5003,"&lt;"&amp;EDATE(DATE(2026,4,1),1))+COUNTIFS(Stripe_Invoices_Upload!$D$4:$D$5003,$A110,Stripe_Invoices_Upload!$E$4:$E$5003,"*Subscription*",Stripe_Invoices_Upload!$A$4:$A$5003,"&gt;="&amp;DATE(2026,4,1),Stripe_Invoices_Upload!$A$4:$A$5003,"&lt;"&amp;EDATE(DATE(2026,4,1),1)))&gt;0,"✓ Invoiced","⚠ Due"),""),""))</f>
        <v/>
      </c>
      <c r="H110" s="130" t="str">
        <f aca="false">IF($A110="","",IF((DATE(YEAR($E110),MONTH($E110),1)&lt;=DATE(2026,5,1)),IF((MOD(DATEDIF(DATE(YEAR($E110),MONTH($E110),1),DATE(2026,5,1),"m"),IF($D110="Quarterly",3,IF($D110="Annual",12,1)))=0),IF((COUNTIFS(Xero_Raw!$D$4:$D$5003,$A110,Xero_Raw!$G$4:$G$5003,"*Subscription*",Xero_Raw!$A$4:$A$5003,"&gt;="&amp;DATE(2026,5,1),Xero_Raw!$A$4:$A$5003,"&lt;"&amp;EDATE(DATE(2026,5,1),1))+COUNTIFS(Customer_Invoices_Upload!$E$4:$E$5003,$A110,Customer_Invoices_Upload!$G$4:$G$5003,"*Subscription*",Customer_Invoices_Upload!$B$4:$B$5003,"&gt;="&amp;DATE(2026,5,1),Customer_Invoices_Upload!$B$4:$B$5003,"&lt;"&amp;EDATE(DATE(2026,5,1),1))+COUNTIFS(Stripe_Invoices_Upload!$D$4:$D$5003,$A110,Stripe_Invoices_Upload!$E$4:$E$5003,"*Subscription*",Stripe_Invoices_Upload!$A$4:$A$5003,"&gt;="&amp;DATE(2026,5,1),Stripe_Invoices_Upload!$A$4:$A$5003,"&lt;"&amp;EDATE(DATE(2026,5,1),1)))&gt;0,"✓ Invoiced","⚠ Due"),""),""))</f>
        <v/>
      </c>
      <c r="I110" s="130" t="str">
        <f aca="false">IF($A110="","",IF((DATE(YEAR($E110),MONTH($E110),1)&lt;=DATE(2026,6,1)),IF((MOD(DATEDIF(DATE(YEAR($E110),MONTH($E110),1),DATE(2026,6,1),"m"),IF($D110="Quarterly",3,IF($D110="Annual",12,1)))=0),IF((COUNTIFS(Xero_Raw!$D$4:$D$5003,$A110,Xero_Raw!$G$4:$G$5003,"*Subscription*",Xero_Raw!$A$4:$A$5003,"&gt;="&amp;DATE(2026,6,1),Xero_Raw!$A$4:$A$5003,"&lt;"&amp;EDATE(DATE(2026,6,1),1))+COUNTIFS(Customer_Invoices_Upload!$E$4:$E$5003,$A110,Customer_Invoices_Upload!$G$4:$G$5003,"*Subscription*",Customer_Invoices_Upload!$B$4:$B$5003,"&gt;="&amp;DATE(2026,6,1),Customer_Invoices_Upload!$B$4:$B$5003,"&lt;"&amp;EDATE(DATE(2026,6,1),1))+COUNTIFS(Stripe_Invoices_Upload!$D$4:$D$5003,$A110,Stripe_Invoices_Upload!$E$4:$E$5003,"*Subscription*",Stripe_Invoices_Upload!$A$4:$A$5003,"&gt;="&amp;DATE(2026,6,1),Stripe_Invoices_Upload!$A$4:$A$5003,"&lt;"&amp;EDATE(DATE(2026,6,1),1)))&gt;0,"✓ Invoiced","⚠ Due"),""),""))</f>
        <v/>
      </c>
      <c r="J110" s="130" t="str">
        <f aca="false">IF($A110="","",IF((DATE(YEAR($E110),MONTH($E110),1)&lt;=DATE(2026,7,1)),IF((MOD(DATEDIF(DATE(YEAR($E110),MONTH($E110),1),DATE(2026,7,1),"m"),IF($D110="Quarterly",3,IF($D110="Annual",12,1)))=0),IF((COUNTIFS(Xero_Raw!$D$4:$D$5003,$A110,Xero_Raw!$G$4:$G$5003,"*Subscription*",Xero_Raw!$A$4:$A$5003,"&gt;="&amp;DATE(2026,7,1),Xero_Raw!$A$4:$A$5003,"&lt;"&amp;EDATE(DATE(2026,7,1),1))+COUNTIFS(Customer_Invoices_Upload!$E$4:$E$5003,$A110,Customer_Invoices_Upload!$G$4:$G$5003,"*Subscription*",Customer_Invoices_Upload!$B$4:$B$5003,"&gt;="&amp;DATE(2026,7,1),Customer_Invoices_Upload!$B$4:$B$5003,"&lt;"&amp;EDATE(DATE(2026,7,1),1))+COUNTIFS(Stripe_Invoices_Upload!$D$4:$D$5003,$A110,Stripe_Invoices_Upload!$E$4:$E$5003,"*Subscription*",Stripe_Invoices_Upload!$A$4:$A$5003,"&gt;="&amp;DATE(2026,7,1),Stripe_Invoices_Upload!$A$4:$A$5003,"&lt;"&amp;EDATE(DATE(2026,7,1),1)))&gt;0,"✓ Invoiced","⚠ Due"),""),""))</f>
        <v/>
      </c>
      <c r="K110" s="130" t="str">
        <f aca="false">IF($A110="","",IF((DATE(YEAR($E110),MONTH($E110),1)&lt;=DATE(2026,8,1)),IF((MOD(DATEDIF(DATE(YEAR($E110),MONTH($E110),1),DATE(2026,8,1),"m"),IF($D110="Quarterly",3,IF($D110="Annual",12,1)))=0),IF((COUNTIFS(Xero_Raw!$D$4:$D$5003,$A110,Xero_Raw!$G$4:$G$5003,"*Subscription*",Xero_Raw!$A$4:$A$5003,"&gt;="&amp;DATE(2026,8,1),Xero_Raw!$A$4:$A$5003,"&lt;"&amp;EDATE(DATE(2026,8,1),1))+COUNTIFS(Customer_Invoices_Upload!$E$4:$E$5003,$A110,Customer_Invoices_Upload!$G$4:$G$5003,"*Subscription*",Customer_Invoices_Upload!$B$4:$B$5003,"&gt;="&amp;DATE(2026,8,1),Customer_Invoices_Upload!$B$4:$B$5003,"&lt;"&amp;EDATE(DATE(2026,8,1),1))+COUNTIFS(Stripe_Invoices_Upload!$D$4:$D$5003,$A110,Stripe_Invoices_Upload!$E$4:$E$5003,"*Subscription*",Stripe_Invoices_Upload!$A$4:$A$5003,"&gt;="&amp;DATE(2026,8,1),Stripe_Invoices_Upload!$A$4:$A$5003,"&lt;"&amp;EDATE(DATE(2026,8,1),1)))&gt;0,"✓ Invoiced","⚠ Due"),""),""))</f>
        <v/>
      </c>
      <c r="L110" s="130" t="str">
        <f aca="false">IF($A110="","",IF((DATE(YEAR($E110),MONTH($E110),1)&lt;=DATE(2026,9,1)),IF((MOD(DATEDIF(DATE(YEAR($E110),MONTH($E110),1),DATE(2026,9,1),"m"),IF($D110="Quarterly",3,IF($D110="Annual",12,1)))=0),IF((COUNTIFS(Xero_Raw!$D$4:$D$5003,$A110,Xero_Raw!$G$4:$G$5003,"*Subscription*",Xero_Raw!$A$4:$A$5003,"&gt;="&amp;DATE(2026,9,1),Xero_Raw!$A$4:$A$5003,"&lt;"&amp;EDATE(DATE(2026,9,1),1))+COUNTIFS(Customer_Invoices_Upload!$E$4:$E$5003,$A110,Customer_Invoices_Upload!$G$4:$G$5003,"*Subscription*",Customer_Invoices_Upload!$B$4:$B$5003,"&gt;="&amp;DATE(2026,9,1),Customer_Invoices_Upload!$B$4:$B$5003,"&lt;"&amp;EDATE(DATE(2026,9,1),1))+COUNTIFS(Stripe_Invoices_Upload!$D$4:$D$5003,$A110,Stripe_Invoices_Upload!$E$4:$E$5003,"*Subscription*",Stripe_Invoices_Upload!$A$4:$A$5003,"&gt;="&amp;DATE(2026,9,1),Stripe_Invoices_Upload!$A$4:$A$5003,"&lt;"&amp;EDATE(DATE(2026,9,1),1)))&gt;0,"✓ Invoiced","⚠ Due"),""),""))</f>
        <v/>
      </c>
      <c r="M110" s="130" t="str">
        <f aca="false">IF($A110="","",IF((DATE(YEAR($E110),MONTH($E110),1)&lt;=DATE(2026,10,1)),IF((MOD(DATEDIF(DATE(YEAR($E110),MONTH($E110),1),DATE(2026,10,1),"m"),IF($D110="Quarterly",3,IF($D110="Annual",12,1)))=0),IF((COUNTIFS(Xero_Raw!$D$4:$D$5003,$A110,Xero_Raw!$G$4:$G$5003,"*Subscription*",Xero_Raw!$A$4:$A$5003,"&gt;="&amp;DATE(2026,10,1),Xero_Raw!$A$4:$A$5003,"&lt;"&amp;EDATE(DATE(2026,10,1),1))+COUNTIFS(Customer_Invoices_Upload!$E$4:$E$5003,$A110,Customer_Invoices_Upload!$G$4:$G$5003,"*Subscription*",Customer_Invoices_Upload!$B$4:$B$5003,"&gt;="&amp;DATE(2026,10,1),Customer_Invoices_Upload!$B$4:$B$5003,"&lt;"&amp;EDATE(DATE(2026,10,1),1))+COUNTIFS(Stripe_Invoices_Upload!$D$4:$D$5003,$A110,Stripe_Invoices_Upload!$E$4:$E$5003,"*Subscription*",Stripe_Invoices_Upload!$A$4:$A$5003,"&gt;="&amp;DATE(2026,10,1),Stripe_Invoices_Upload!$A$4:$A$5003,"&lt;"&amp;EDATE(DATE(2026,10,1),1)))&gt;0,"✓ Invoiced","⚠ Due"),""),""))</f>
        <v/>
      </c>
      <c r="N110" s="130" t="str">
        <f aca="false">IF($A110="","",IF((DATE(YEAR($E110),MONTH($E110),1)&lt;=DATE(2026,11,1)),IF((MOD(DATEDIF(DATE(YEAR($E110),MONTH($E110),1),DATE(2026,11,1),"m"),IF($D110="Quarterly",3,IF($D110="Annual",12,1)))=0),IF((COUNTIFS(Xero_Raw!$D$4:$D$5003,$A110,Xero_Raw!$G$4:$G$5003,"*Subscription*",Xero_Raw!$A$4:$A$5003,"&gt;="&amp;DATE(2026,11,1),Xero_Raw!$A$4:$A$5003,"&lt;"&amp;EDATE(DATE(2026,11,1),1))+COUNTIFS(Customer_Invoices_Upload!$E$4:$E$5003,$A110,Customer_Invoices_Upload!$G$4:$G$5003,"*Subscription*",Customer_Invoices_Upload!$B$4:$B$5003,"&gt;="&amp;DATE(2026,11,1),Customer_Invoices_Upload!$B$4:$B$5003,"&lt;"&amp;EDATE(DATE(2026,11,1),1))+COUNTIFS(Stripe_Invoices_Upload!$D$4:$D$5003,$A110,Stripe_Invoices_Upload!$E$4:$E$5003,"*Subscription*",Stripe_Invoices_Upload!$A$4:$A$5003,"&gt;="&amp;DATE(2026,11,1),Stripe_Invoices_Upload!$A$4:$A$5003,"&lt;"&amp;EDATE(DATE(2026,11,1),1)))&gt;0,"✓ Invoiced","⚠ Due"),""),""))</f>
        <v/>
      </c>
      <c r="O110" s="130" t="str">
        <f aca="false">IF($A110="","",IF((DATE(YEAR($E110),MONTH($E110),1)&lt;=DATE(2026,12,1)),IF((MOD(DATEDIF(DATE(YEAR($E110),MONTH($E110),1),DATE(2026,12,1),"m"),IF($D110="Quarterly",3,IF($D110="Annual",12,1)))=0),IF((COUNTIFS(Xero_Raw!$D$4:$D$5003,$A110,Xero_Raw!$G$4:$G$5003,"*Subscription*",Xero_Raw!$A$4:$A$5003,"&gt;="&amp;DATE(2026,12,1),Xero_Raw!$A$4:$A$5003,"&lt;"&amp;EDATE(DATE(2026,12,1),1))+COUNTIFS(Customer_Invoices_Upload!$E$4:$E$5003,$A110,Customer_Invoices_Upload!$G$4:$G$5003,"*Subscription*",Customer_Invoices_Upload!$B$4:$B$5003,"&gt;="&amp;DATE(2026,12,1),Customer_Invoices_Upload!$B$4:$B$5003,"&lt;"&amp;EDATE(DATE(2026,12,1),1))+COUNTIFS(Stripe_Invoices_Upload!$D$4:$D$5003,$A110,Stripe_Invoices_Upload!$E$4:$E$5003,"*Subscription*",Stripe_Invoices_Upload!$A$4:$A$5003,"&gt;="&amp;DATE(2026,12,1),Stripe_Invoices_Upload!$A$4:$A$5003,"&lt;"&amp;EDATE(DATE(2026,12,1),1)))&gt;0,"✓ Invoiced","⚠ Due"),""),""))</f>
        <v/>
      </c>
      <c r="P110" s="130" t="str">
        <f aca="false">IF($A110="","",IF((DATE(YEAR($E110),MONTH($E110),1)&lt;=DATE(2027,1,1)),IF((MOD(DATEDIF(DATE(YEAR($E110),MONTH($E110),1),DATE(2027,1,1),"m"),IF($D110="Quarterly",3,IF($D110="Annual",12,1)))=0),IF((COUNTIFS(Xero_Raw!$D$4:$D$5003,$A110,Xero_Raw!$G$4:$G$5003,"*Subscription*",Xero_Raw!$A$4:$A$5003,"&gt;="&amp;DATE(2027,1,1),Xero_Raw!$A$4:$A$5003,"&lt;"&amp;EDATE(DATE(2027,1,1),1))+COUNTIFS(Customer_Invoices_Upload!$E$4:$E$5003,$A110,Customer_Invoices_Upload!$G$4:$G$5003,"*Subscription*",Customer_Invoices_Upload!$B$4:$B$5003,"&gt;="&amp;DATE(2027,1,1),Customer_Invoices_Upload!$B$4:$B$5003,"&lt;"&amp;EDATE(DATE(2027,1,1),1))+COUNTIFS(Stripe_Invoices_Upload!$D$4:$D$5003,$A110,Stripe_Invoices_Upload!$E$4:$E$5003,"*Subscription*",Stripe_Invoices_Upload!$A$4:$A$5003,"&gt;="&amp;DATE(2027,1,1),Stripe_Invoices_Upload!$A$4:$A$5003,"&lt;"&amp;EDATE(DATE(2027,1,1),1)))&gt;0,"✓ Invoiced","⚠ Due"),""),""))</f>
        <v/>
      </c>
      <c r="Q110" s="130" t="str">
        <f aca="false">IF($A110="","",IF((DATE(YEAR($E110),MONTH($E110),1)&lt;=DATE(2027,2,1)),IF((MOD(DATEDIF(DATE(YEAR($E110),MONTH($E110),1),DATE(2027,2,1),"m"),IF($D110="Quarterly",3,IF($D110="Annual",12,1)))=0),IF((COUNTIFS(Xero_Raw!$D$4:$D$5003,$A110,Xero_Raw!$G$4:$G$5003,"*Subscription*",Xero_Raw!$A$4:$A$5003,"&gt;="&amp;DATE(2027,2,1),Xero_Raw!$A$4:$A$5003,"&lt;"&amp;EDATE(DATE(2027,2,1),1))+COUNTIFS(Customer_Invoices_Upload!$E$4:$E$5003,$A110,Customer_Invoices_Upload!$G$4:$G$5003,"*Subscription*",Customer_Invoices_Upload!$B$4:$B$5003,"&gt;="&amp;DATE(2027,2,1),Customer_Invoices_Upload!$B$4:$B$5003,"&lt;"&amp;EDATE(DATE(2027,2,1),1))+COUNTIFS(Stripe_Invoices_Upload!$D$4:$D$5003,$A110,Stripe_Invoices_Upload!$E$4:$E$5003,"*Subscription*",Stripe_Invoices_Upload!$A$4:$A$5003,"&gt;="&amp;DATE(2027,2,1),Stripe_Invoices_Upload!$A$4:$A$5003,"&lt;"&amp;EDATE(DATE(2027,2,1),1)))&gt;0,"✓ Invoiced","⚠ Due"),""),""))</f>
        <v/>
      </c>
      <c r="R110" s="130" t="str">
        <f aca="false">IF($A110="","",IF((DATE(YEAR($E110),MONTH($E110),1)&lt;=DATE(2027,3,1)),IF((MOD(DATEDIF(DATE(YEAR($E110),MONTH($E110),1),DATE(2027,3,1),"m"),IF($D110="Quarterly",3,IF($D110="Annual",12,1)))=0),IF((COUNTIFS(Xero_Raw!$D$4:$D$5003,$A110,Xero_Raw!$G$4:$G$5003,"*Subscription*",Xero_Raw!$A$4:$A$5003,"&gt;="&amp;DATE(2027,3,1),Xero_Raw!$A$4:$A$5003,"&lt;"&amp;EDATE(DATE(2027,3,1),1))+COUNTIFS(Customer_Invoices_Upload!$E$4:$E$5003,$A110,Customer_Invoices_Upload!$G$4:$G$5003,"*Subscription*",Customer_Invoices_Upload!$B$4:$B$5003,"&gt;="&amp;DATE(2027,3,1),Customer_Invoices_Upload!$B$4:$B$5003,"&lt;"&amp;EDATE(DATE(2027,3,1),1))+COUNTIFS(Stripe_Invoices_Upload!$D$4:$D$5003,$A110,Stripe_Invoices_Upload!$E$4:$E$5003,"*Subscription*",Stripe_Invoices_Upload!$A$4:$A$5003,"&gt;="&amp;DATE(2027,3,1),Stripe_Invoices_Upload!$A$4:$A$5003,"&lt;"&amp;EDATE(DATE(2027,3,1),1)))&gt;0,"✓ Invoiced","⚠ Due"),""),""))</f>
        <v/>
      </c>
    </row>
    <row r="111" customFormat="false" ht="15" hidden="false" customHeight="false" outlineLevel="0" collapsed="false">
      <c r="A111" s="39"/>
      <c r="B111" s="39"/>
      <c r="C111" s="40"/>
      <c r="D111" s="39"/>
      <c r="E111" s="38"/>
      <c r="F111" s="129" t="str">
        <f aca="true">IF($A111="","",EDATE($E111,DATEDIF($E111,TODAY(),"m")+1))</f>
        <v/>
      </c>
      <c r="G111" s="130" t="str">
        <f aca="false">IF($A111="","",IF((DATE(YEAR($E111),MONTH($E111),1)&lt;=DATE(2026,4,1)),IF((MOD(DATEDIF(DATE(YEAR($E111),MONTH($E111),1),DATE(2026,4,1),"m"),IF($D111="Quarterly",3,IF($D111="Annual",12,1)))=0),IF((COUNTIFS(Xero_Raw!$D$4:$D$5003,$A111,Xero_Raw!$G$4:$G$5003,"*Subscription*",Xero_Raw!$A$4:$A$5003,"&gt;="&amp;DATE(2026,4,1),Xero_Raw!$A$4:$A$5003,"&lt;"&amp;EDATE(DATE(2026,4,1),1))+COUNTIFS(Customer_Invoices_Upload!$E$4:$E$5003,$A111,Customer_Invoices_Upload!$G$4:$G$5003,"*Subscription*",Customer_Invoices_Upload!$B$4:$B$5003,"&gt;="&amp;DATE(2026,4,1),Customer_Invoices_Upload!$B$4:$B$5003,"&lt;"&amp;EDATE(DATE(2026,4,1),1))+COUNTIFS(Stripe_Invoices_Upload!$D$4:$D$5003,$A111,Stripe_Invoices_Upload!$E$4:$E$5003,"*Subscription*",Stripe_Invoices_Upload!$A$4:$A$5003,"&gt;="&amp;DATE(2026,4,1),Stripe_Invoices_Upload!$A$4:$A$5003,"&lt;"&amp;EDATE(DATE(2026,4,1),1)))&gt;0,"✓ Invoiced","⚠ Due"),""),""))</f>
        <v/>
      </c>
      <c r="H111" s="130" t="str">
        <f aca="false">IF($A111="","",IF((DATE(YEAR($E111),MONTH($E111),1)&lt;=DATE(2026,5,1)),IF((MOD(DATEDIF(DATE(YEAR($E111),MONTH($E111),1),DATE(2026,5,1),"m"),IF($D111="Quarterly",3,IF($D111="Annual",12,1)))=0),IF((COUNTIFS(Xero_Raw!$D$4:$D$5003,$A111,Xero_Raw!$G$4:$G$5003,"*Subscription*",Xero_Raw!$A$4:$A$5003,"&gt;="&amp;DATE(2026,5,1),Xero_Raw!$A$4:$A$5003,"&lt;"&amp;EDATE(DATE(2026,5,1),1))+COUNTIFS(Customer_Invoices_Upload!$E$4:$E$5003,$A111,Customer_Invoices_Upload!$G$4:$G$5003,"*Subscription*",Customer_Invoices_Upload!$B$4:$B$5003,"&gt;="&amp;DATE(2026,5,1),Customer_Invoices_Upload!$B$4:$B$5003,"&lt;"&amp;EDATE(DATE(2026,5,1),1))+COUNTIFS(Stripe_Invoices_Upload!$D$4:$D$5003,$A111,Stripe_Invoices_Upload!$E$4:$E$5003,"*Subscription*",Stripe_Invoices_Upload!$A$4:$A$5003,"&gt;="&amp;DATE(2026,5,1),Stripe_Invoices_Upload!$A$4:$A$5003,"&lt;"&amp;EDATE(DATE(2026,5,1),1)))&gt;0,"✓ Invoiced","⚠ Due"),""),""))</f>
        <v/>
      </c>
      <c r="I111" s="130" t="str">
        <f aca="false">IF($A111="","",IF((DATE(YEAR($E111),MONTH($E111),1)&lt;=DATE(2026,6,1)),IF((MOD(DATEDIF(DATE(YEAR($E111),MONTH($E111),1),DATE(2026,6,1),"m"),IF($D111="Quarterly",3,IF($D111="Annual",12,1)))=0),IF((COUNTIFS(Xero_Raw!$D$4:$D$5003,$A111,Xero_Raw!$G$4:$G$5003,"*Subscription*",Xero_Raw!$A$4:$A$5003,"&gt;="&amp;DATE(2026,6,1),Xero_Raw!$A$4:$A$5003,"&lt;"&amp;EDATE(DATE(2026,6,1),1))+COUNTIFS(Customer_Invoices_Upload!$E$4:$E$5003,$A111,Customer_Invoices_Upload!$G$4:$G$5003,"*Subscription*",Customer_Invoices_Upload!$B$4:$B$5003,"&gt;="&amp;DATE(2026,6,1),Customer_Invoices_Upload!$B$4:$B$5003,"&lt;"&amp;EDATE(DATE(2026,6,1),1))+COUNTIFS(Stripe_Invoices_Upload!$D$4:$D$5003,$A111,Stripe_Invoices_Upload!$E$4:$E$5003,"*Subscription*",Stripe_Invoices_Upload!$A$4:$A$5003,"&gt;="&amp;DATE(2026,6,1),Stripe_Invoices_Upload!$A$4:$A$5003,"&lt;"&amp;EDATE(DATE(2026,6,1),1)))&gt;0,"✓ Invoiced","⚠ Due"),""),""))</f>
        <v/>
      </c>
      <c r="J111" s="130" t="str">
        <f aca="false">IF($A111="","",IF((DATE(YEAR($E111),MONTH($E111),1)&lt;=DATE(2026,7,1)),IF((MOD(DATEDIF(DATE(YEAR($E111),MONTH($E111),1),DATE(2026,7,1),"m"),IF($D111="Quarterly",3,IF($D111="Annual",12,1)))=0),IF((COUNTIFS(Xero_Raw!$D$4:$D$5003,$A111,Xero_Raw!$G$4:$G$5003,"*Subscription*",Xero_Raw!$A$4:$A$5003,"&gt;="&amp;DATE(2026,7,1),Xero_Raw!$A$4:$A$5003,"&lt;"&amp;EDATE(DATE(2026,7,1),1))+COUNTIFS(Customer_Invoices_Upload!$E$4:$E$5003,$A111,Customer_Invoices_Upload!$G$4:$G$5003,"*Subscription*",Customer_Invoices_Upload!$B$4:$B$5003,"&gt;="&amp;DATE(2026,7,1),Customer_Invoices_Upload!$B$4:$B$5003,"&lt;"&amp;EDATE(DATE(2026,7,1),1))+COUNTIFS(Stripe_Invoices_Upload!$D$4:$D$5003,$A111,Stripe_Invoices_Upload!$E$4:$E$5003,"*Subscription*",Stripe_Invoices_Upload!$A$4:$A$5003,"&gt;="&amp;DATE(2026,7,1),Stripe_Invoices_Upload!$A$4:$A$5003,"&lt;"&amp;EDATE(DATE(2026,7,1),1)))&gt;0,"✓ Invoiced","⚠ Due"),""),""))</f>
        <v/>
      </c>
      <c r="K111" s="130" t="str">
        <f aca="false">IF($A111="","",IF((DATE(YEAR($E111),MONTH($E111),1)&lt;=DATE(2026,8,1)),IF((MOD(DATEDIF(DATE(YEAR($E111),MONTH($E111),1),DATE(2026,8,1),"m"),IF($D111="Quarterly",3,IF($D111="Annual",12,1)))=0),IF((COUNTIFS(Xero_Raw!$D$4:$D$5003,$A111,Xero_Raw!$G$4:$G$5003,"*Subscription*",Xero_Raw!$A$4:$A$5003,"&gt;="&amp;DATE(2026,8,1),Xero_Raw!$A$4:$A$5003,"&lt;"&amp;EDATE(DATE(2026,8,1),1))+COUNTIFS(Customer_Invoices_Upload!$E$4:$E$5003,$A111,Customer_Invoices_Upload!$G$4:$G$5003,"*Subscription*",Customer_Invoices_Upload!$B$4:$B$5003,"&gt;="&amp;DATE(2026,8,1),Customer_Invoices_Upload!$B$4:$B$5003,"&lt;"&amp;EDATE(DATE(2026,8,1),1))+COUNTIFS(Stripe_Invoices_Upload!$D$4:$D$5003,$A111,Stripe_Invoices_Upload!$E$4:$E$5003,"*Subscription*",Stripe_Invoices_Upload!$A$4:$A$5003,"&gt;="&amp;DATE(2026,8,1),Stripe_Invoices_Upload!$A$4:$A$5003,"&lt;"&amp;EDATE(DATE(2026,8,1),1)))&gt;0,"✓ Invoiced","⚠ Due"),""),""))</f>
        <v/>
      </c>
      <c r="L111" s="130" t="str">
        <f aca="false">IF($A111="","",IF((DATE(YEAR($E111),MONTH($E111),1)&lt;=DATE(2026,9,1)),IF((MOD(DATEDIF(DATE(YEAR($E111),MONTH($E111),1),DATE(2026,9,1),"m"),IF($D111="Quarterly",3,IF($D111="Annual",12,1)))=0),IF((COUNTIFS(Xero_Raw!$D$4:$D$5003,$A111,Xero_Raw!$G$4:$G$5003,"*Subscription*",Xero_Raw!$A$4:$A$5003,"&gt;="&amp;DATE(2026,9,1),Xero_Raw!$A$4:$A$5003,"&lt;"&amp;EDATE(DATE(2026,9,1),1))+COUNTIFS(Customer_Invoices_Upload!$E$4:$E$5003,$A111,Customer_Invoices_Upload!$G$4:$G$5003,"*Subscription*",Customer_Invoices_Upload!$B$4:$B$5003,"&gt;="&amp;DATE(2026,9,1),Customer_Invoices_Upload!$B$4:$B$5003,"&lt;"&amp;EDATE(DATE(2026,9,1),1))+COUNTIFS(Stripe_Invoices_Upload!$D$4:$D$5003,$A111,Stripe_Invoices_Upload!$E$4:$E$5003,"*Subscription*",Stripe_Invoices_Upload!$A$4:$A$5003,"&gt;="&amp;DATE(2026,9,1),Stripe_Invoices_Upload!$A$4:$A$5003,"&lt;"&amp;EDATE(DATE(2026,9,1),1)))&gt;0,"✓ Invoiced","⚠ Due"),""),""))</f>
        <v/>
      </c>
      <c r="M111" s="130" t="str">
        <f aca="false">IF($A111="","",IF((DATE(YEAR($E111),MONTH($E111),1)&lt;=DATE(2026,10,1)),IF((MOD(DATEDIF(DATE(YEAR($E111),MONTH($E111),1),DATE(2026,10,1),"m"),IF($D111="Quarterly",3,IF($D111="Annual",12,1)))=0),IF((COUNTIFS(Xero_Raw!$D$4:$D$5003,$A111,Xero_Raw!$G$4:$G$5003,"*Subscription*",Xero_Raw!$A$4:$A$5003,"&gt;="&amp;DATE(2026,10,1),Xero_Raw!$A$4:$A$5003,"&lt;"&amp;EDATE(DATE(2026,10,1),1))+COUNTIFS(Customer_Invoices_Upload!$E$4:$E$5003,$A111,Customer_Invoices_Upload!$G$4:$G$5003,"*Subscription*",Customer_Invoices_Upload!$B$4:$B$5003,"&gt;="&amp;DATE(2026,10,1),Customer_Invoices_Upload!$B$4:$B$5003,"&lt;"&amp;EDATE(DATE(2026,10,1),1))+COUNTIFS(Stripe_Invoices_Upload!$D$4:$D$5003,$A111,Stripe_Invoices_Upload!$E$4:$E$5003,"*Subscription*",Stripe_Invoices_Upload!$A$4:$A$5003,"&gt;="&amp;DATE(2026,10,1),Stripe_Invoices_Upload!$A$4:$A$5003,"&lt;"&amp;EDATE(DATE(2026,10,1),1)))&gt;0,"✓ Invoiced","⚠ Due"),""),""))</f>
        <v/>
      </c>
      <c r="N111" s="130" t="str">
        <f aca="false">IF($A111="","",IF((DATE(YEAR($E111),MONTH($E111),1)&lt;=DATE(2026,11,1)),IF((MOD(DATEDIF(DATE(YEAR($E111),MONTH($E111),1),DATE(2026,11,1),"m"),IF($D111="Quarterly",3,IF($D111="Annual",12,1)))=0),IF((COUNTIFS(Xero_Raw!$D$4:$D$5003,$A111,Xero_Raw!$G$4:$G$5003,"*Subscription*",Xero_Raw!$A$4:$A$5003,"&gt;="&amp;DATE(2026,11,1),Xero_Raw!$A$4:$A$5003,"&lt;"&amp;EDATE(DATE(2026,11,1),1))+COUNTIFS(Customer_Invoices_Upload!$E$4:$E$5003,$A111,Customer_Invoices_Upload!$G$4:$G$5003,"*Subscription*",Customer_Invoices_Upload!$B$4:$B$5003,"&gt;="&amp;DATE(2026,11,1),Customer_Invoices_Upload!$B$4:$B$5003,"&lt;"&amp;EDATE(DATE(2026,11,1),1))+COUNTIFS(Stripe_Invoices_Upload!$D$4:$D$5003,$A111,Stripe_Invoices_Upload!$E$4:$E$5003,"*Subscription*",Stripe_Invoices_Upload!$A$4:$A$5003,"&gt;="&amp;DATE(2026,11,1),Stripe_Invoices_Upload!$A$4:$A$5003,"&lt;"&amp;EDATE(DATE(2026,11,1),1)))&gt;0,"✓ Invoiced","⚠ Due"),""),""))</f>
        <v/>
      </c>
      <c r="O111" s="130" t="str">
        <f aca="false">IF($A111="","",IF((DATE(YEAR($E111),MONTH($E111),1)&lt;=DATE(2026,12,1)),IF((MOD(DATEDIF(DATE(YEAR($E111),MONTH($E111),1),DATE(2026,12,1),"m"),IF($D111="Quarterly",3,IF($D111="Annual",12,1)))=0),IF((COUNTIFS(Xero_Raw!$D$4:$D$5003,$A111,Xero_Raw!$G$4:$G$5003,"*Subscription*",Xero_Raw!$A$4:$A$5003,"&gt;="&amp;DATE(2026,12,1),Xero_Raw!$A$4:$A$5003,"&lt;"&amp;EDATE(DATE(2026,12,1),1))+COUNTIFS(Customer_Invoices_Upload!$E$4:$E$5003,$A111,Customer_Invoices_Upload!$G$4:$G$5003,"*Subscription*",Customer_Invoices_Upload!$B$4:$B$5003,"&gt;="&amp;DATE(2026,12,1),Customer_Invoices_Upload!$B$4:$B$5003,"&lt;"&amp;EDATE(DATE(2026,12,1),1))+COUNTIFS(Stripe_Invoices_Upload!$D$4:$D$5003,$A111,Stripe_Invoices_Upload!$E$4:$E$5003,"*Subscription*",Stripe_Invoices_Upload!$A$4:$A$5003,"&gt;="&amp;DATE(2026,12,1),Stripe_Invoices_Upload!$A$4:$A$5003,"&lt;"&amp;EDATE(DATE(2026,12,1),1)))&gt;0,"✓ Invoiced","⚠ Due"),""),""))</f>
        <v/>
      </c>
      <c r="P111" s="130" t="str">
        <f aca="false">IF($A111="","",IF((DATE(YEAR($E111),MONTH($E111),1)&lt;=DATE(2027,1,1)),IF((MOD(DATEDIF(DATE(YEAR($E111),MONTH($E111),1),DATE(2027,1,1),"m"),IF($D111="Quarterly",3,IF($D111="Annual",12,1)))=0),IF((COUNTIFS(Xero_Raw!$D$4:$D$5003,$A111,Xero_Raw!$G$4:$G$5003,"*Subscription*",Xero_Raw!$A$4:$A$5003,"&gt;="&amp;DATE(2027,1,1),Xero_Raw!$A$4:$A$5003,"&lt;"&amp;EDATE(DATE(2027,1,1),1))+COUNTIFS(Customer_Invoices_Upload!$E$4:$E$5003,$A111,Customer_Invoices_Upload!$G$4:$G$5003,"*Subscription*",Customer_Invoices_Upload!$B$4:$B$5003,"&gt;="&amp;DATE(2027,1,1),Customer_Invoices_Upload!$B$4:$B$5003,"&lt;"&amp;EDATE(DATE(2027,1,1),1))+COUNTIFS(Stripe_Invoices_Upload!$D$4:$D$5003,$A111,Stripe_Invoices_Upload!$E$4:$E$5003,"*Subscription*",Stripe_Invoices_Upload!$A$4:$A$5003,"&gt;="&amp;DATE(2027,1,1),Stripe_Invoices_Upload!$A$4:$A$5003,"&lt;"&amp;EDATE(DATE(2027,1,1),1)))&gt;0,"✓ Invoiced","⚠ Due"),""),""))</f>
        <v/>
      </c>
      <c r="Q111" s="130" t="str">
        <f aca="false">IF($A111="","",IF((DATE(YEAR($E111),MONTH($E111),1)&lt;=DATE(2027,2,1)),IF((MOD(DATEDIF(DATE(YEAR($E111),MONTH($E111),1),DATE(2027,2,1),"m"),IF($D111="Quarterly",3,IF($D111="Annual",12,1)))=0),IF((COUNTIFS(Xero_Raw!$D$4:$D$5003,$A111,Xero_Raw!$G$4:$G$5003,"*Subscription*",Xero_Raw!$A$4:$A$5003,"&gt;="&amp;DATE(2027,2,1),Xero_Raw!$A$4:$A$5003,"&lt;"&amp;EDATE(DATE(2027,2,1),1))+COUNTIFS(Customer_Invoices_Upload!$E$4:$E$5003,$A111,Customer_Invoices_Upload!$G$4:$G$5003,"*Subscription*",Customer_Invoices_Upload!$B$4:$B$5003,"&gt;="&amp;DATE(2027,2,1),Customer_Invoices_Upload!$B$4:$B$5003,"&lt;"&amp;EDATE(DATE(2027,2,1),1))+COUNTIFS(Stripe_Invoices_Upload!$D$4:$D$5003,$A111,Stripe_Invoices_Upload!$E$4:$E$5003,"*Subscription*",Stripe_Invoices_Upload!$A$4:$A$5003,"&gt;="&amp;DATE(2027,2,1),Stripe_Invoices_Upload!$A$4:$A$5003,"&lt;"&amp;EDATE(DATE(2027,2,1),1)))&gt;0,"✓ Invoiced","⚠ Due"),""),""))</f>
        <v/>
      </c>
      <c r="R111" s="130" t="str">
        <f aca="false">IF($A111="","",IF((DATE(YEAR($E111),MONTH($E111),1)&lt;=DATE(2027,3,1)),IF((MOD(DATEDIF(DATE(YEAR($E111),MONTH($E111),1),DATE(2027,3,1),"m"),IF($D111="Quarterly",3,IF($D111="Annual",12,1)))=0),IF((COUNTIFS(Xero_Raw!$D$4:$D$5003,$A111,Xero_Raw!$G$4:$G$5003,"*Subscription*",Xero_Raw!$A$4:$A$5003,"&gt;="&amp;DATE(2027,3,1),Xero_Raw!$A$4:$A$5003,"&lt;"&amp;EDATE(DATE(2027,3,1),1))+COUNTIFS(Customer_Invoices_Upload!$E$4:$E$5003,$A111,Customer_Invoices_Upload!$G$4:$G$5003,"*Subscription*",Customer_Invoices_Upload!$B$4:$B$5003,"&gt;="&amp;DATE(2027,3,1),Customer_Invoices_Upload!$B$4:$B$5003,"&lt;"&amp;EDATE(DATE(2027,3,1),1))+COUNTIFS(Stripe_Invoices_Upload!$D$4:$D$5003,$A111,Stripe_Invoices_Upload!$E$4:$E$5003,"*Subscription*",Stripe_Invoices_Upload!$A$4:$A$5003,"&gt;="&amp;DATE(2027,3,1),Stripe_Invoices_Upload!$A$4:$A$5003,"&lt;"&amp;EDATE(DATE(2027,3,1),1)))&gt;0,"✓ Invoiced","⚠ Due"),""),""))</f>
        <v/>
      </c>
    </row>
    <row r="112" customFormat="false" ht="15" hidden="false" customHeight="false" outlineLevel="0" collapsed="false">
      <c r="A112" s="39"/>
      <c r="B112" s="39"/>
      <c r="C112" s="40"/>
      <c r="D112" s="39"/>
      <c r="E112" s="38"/>
      <c r="F112" s="129" t="str">
        <f aca="true">IF($A112="","",EDATE($E112,DATEDIF($E112,TODAY(),"m")+1))</f>
        <v/>
      </c>
      <c r="G112" s="130" t="str">
        <f aca="false">IF($A112="","",IF((DATE(YEAR($E112),MONTH($E112),1)&lt;=DATE(2026,4,1)),IF((MOD(DATEDIF(DATE(YEAR($E112),MONTH($E112),1),DATE(2026,4,1),"m"),IF($D112="Quarterly",3,IF($D112="Annual",12,1)))=0),IF((COUNTIFS(Xero_Raw!$D$4:$D$5003,$A112,Xero_Raw!$G$4:$G$5003,"*Subscription*",Xero_Raw!$A$4:$A$5003,"&gt;="&amp;DATE(2026,4,1),Xero_Raw!$A$4:$A$5003,"&lt;"&amp;EDATE(DATE(2026,4,1),1))+COUNTIFS(Customer_Invoices_Upload!$E$4:$E$5003,$A112,Customer_Invoices_Upload!$G$4:$G$5003,"*Subscription*",Customer_Invoices_Upload!$B$4:$B$5003,"&gt;="&amp;DATE(2026,4,1),Customer_Invoices_Upload!$B$4:$B$5003,"&lt;"&amp;EDATE(DATE(2026,4,1),1))+COUNTIFS(Stripe_Invoices_Upload!$D$4:$D$5003,$A112,Stripe_Invoices_Upload!$E$4:$E$5003,"*Subscription*",Stripe_Invoices_Upload!$A$4:$A$5003,"&gt;="&amp;DATE(2026,4,1),Stripe_Invoices_Upload!$A$4:$A$5003,"&lt;"&amp;EDATE(DATE(2026,4,1),1)))&gt;0,"✓ Invoiced","⚠ Due"),""),""))</f>
        <v/>
      </c>
      <c r="H112" s="130" t="str">
        <f aca="false">IF($A112="","",IF((DATE(YEAR($E112),MONTH($E112),1)&lt;=DATE(2026,5,1)),IF((MOD(DATEDIF(DATE(YEAR($E112),MONTH($E112),1),DATE(2026,5,1),"m"),IF($D112="Quarterly",3,IF($D112="Annual",12,1)))=0),IF((COUNTIFS(Xero_Raw!$D$4:$D$5003,$A112,Xero_Raw!$G$4:$G$5003,"*Subscription*",Xero_Raw!$A$4:$A$5003,"&gt;="&amp;DATE(2026,5,1),Xero_Raw!$A$4:$A$5003,"&lt;"&amp;EDATE(DATE(2026,5,1),1))+COUNTIFS(Customer_Invoices_Upload!$E$4:$E$5003,$A112,Customer_Invoices_Upload!$G$4:$G$5003,"*Subscription*",Customer_Invoices_Upload!$B$4:$B$5003,"&gt;="&amp;DATE(2026,5,1),Customer_Invoices_Upload!$B$4:$B$5003,"&lt;"&amp;EDATE(DATE(2026,5,1),1))+COUNTIFS(Stripe_Invoices_Upload!$D$4:$D$5003,$A112,Stripe_Invoices_Upload!$E$4:$E$5003,"*Subscription*",Stripe_Invoices_Upload!$A$4:$A$5003,"&gt;="&amp;DATE(2026,5,1),Stripe_Invoices_Upload!$A$4:$A$5003,"&lt;"&amp;EDATE(DATE(2026,5,1),1)))&gt;0,"✓ Invoiced","⚠ Due"),""),""))</f>
        <v/>
      </c>
      <c r="I112" s="130" t="str">
        <f aca="false">IF($A112="","",IF((DATE(YEAR($E112),MONTH($E112),1)&lt;=DATE(2026,6,1)),IF((MOD(DATEDIF(DATE(YEAR($E112),MONTH($E112),1),DATE(2026,6,1),"m"),IF($D112="Quarterly",3,IF($D112="Annual",12,1)))=0),IF((COUNTIFS(Xero_Raw!$D$4:$D$5003,$A112,Xero_Raw!$G$4:$G$5003,"*Subscription*",Xero_Raw!$A$4:$A$5003,"&gt;="&amp;DATE(2026,6,1),Xero_Raw!$A$4:$A$5003,"&lt;"&amp;EDATE(DATE(2026,6,1),1))+COUNTIFS(Customer_Invoices_Upload!$E$4:$E$5003,$A112,Customer_Invoices_Upload!$G$4:$G$5003,"*Subscription*",Customer_Invoices_Upload!$B$4:$B$5003,"&gt;="&amp;DATE(2026,6,1),Customer_Invoices_Upload!$B$4:$B$5003,"&lt;"&amp;EDATE(DATE(2026,6,1),1))+COUNTIFS(Stripe_Invoices_Upload!$D$4:$D$5003,$A112,Stripe_Invoices_Upload!$E$4:$E$5003,"*Subscription*",Stripe_Invoices_Upload!$A$4:$A$5003,"&gt;="&amp;DATE(2026,6,1),Stripe_Invoices_Upload!$A$4:$A$5003,"&lt;"&amp;EDATE(DATE(2026,6,1),1)))&gt;0,"✓ Invoiced","⚠ Due"),""),""))</f>
        <v/>
      </c>
      <c r="J112" s="130" t="str">
        <f aca="false">IF($A112="","",IF((DATE(YEAR($E112),MONTH($E112),1)&lt;=DATE(2026,7,1)),IF((MOD(DATEDIF(DATE(YEAR($E112),MONTH($E112),1),DATE(2026,7,1),"m"),IF($D112="Quarterly",3,IF($D112="Annual",12,1)))=0),IF((COUNTIFS(Xero_Raw!$D$4:$D$5003,$A112,Xero_Raw!$G$4:$G$5003,"*Subscription*",Xero_Raw!$A$4:$A$5003,"&gt;="&amp;DATE(2026,7,1),Xero_Raw!$A$4:$A$5003,"&lt;"&amp;EDATE(DATE(2026,7,1),1))+COUNTIFS(Customer_Invoices_Upload!$E$4:$E$5003,$A112,Customer_Invoices_Upload!$G$4:$G$5003,"*Subscription*",Customer_Invoices_Upload!$B$4:$B$5003,"&gt;="&amp;DATE(2026,7,1),Customer_Invoices_Upload!$B$4:$B$5003,"&lt;"&amp;EDATE(DATE(2026,7,1),1))+COUNTIFS(Stripe_Invoices_Upload!$D$4:$D$5003,$A112,Stripe_Invoices_Upload!$E$4:$E$5003,"*Subscription*",Stripe_Invoices_Upload!$A$4:$A$5003,"&gt;="&amp;DATE(2026,7,1),Stripe_Invoices_Upload!$A$4:$A$5003,"&lt;"&amp;EDATE(DATE(2026,7,1),1)))&gt;0,"✓ Invoiced","⚠ Due"),""),""))</f>
        <v/>
      </c>
      <c r="K112" s="130" t="str">
        <f aca="false">IF($A112="","",IF((DATE(YEAR($E112),MONTH($E112),1)&lt;=DATE(2026,8,1)),IF((MOD(DATEDIF(DATE(YEAR($E112),MONTH($E112),1),DATE(2026,8,1),"m"),IF($D112="Quarterly",3,IF($D112="Annual",12,1)))=0),IF((COUNTIFS(Xero_Raw!$D$4:$D$5003,$A112,Xero_Raw!$G$4:$G$5003,"*Subscription*",Xero_Raw!$A$4:$A$5003,"&gt;="&amp;DATE(2026,8,1),Xero_Raw!$A$4:$A$5003,"&lt;"&amp;EDATE(DATE(2026,8,1),1))+COUNTIFS(Customer_Invoices_Upload!$E$4:$E$5003,$A112,Customer_Invoices_Upload!$G$4:$G$5003,"*Subscription*",Customer_Invoices_Upload!$B$4:$B$5003,"&gt;="&amp;DATE(2026,8,1),Customer_Invoices_Upload!$B$4:$B$5003,"&lt;"&amp;EDATE(DATE(2026,8,1),1))+COUNTIFS(Stripe_Invoices_Upload!$D$4:$D$5003,$A112,Stripe_Invoices_Upload!$E$4:$E$5003,"*Subscription*",Stripe_Invoices_Upload!$A$4:$A$5003,"&gt;="&amp;DATE(2026,8,1),Stripe_Invoices_Upload!$A$4:$A$5003,"&lt;"&amp;EDATE(DATE(2026,8,1),1)))&gt;0,"✓ Invoiced","⚠ Due"),""),""))</f>
        <v/>
      </c>
      <c r="L112" s="130" t="str">
        <f aca="false">IF($A112="","",IF((DATE(YEAR($E112),MONTH($E112),1)&lt;=DATE(2026,9,1)),IF((MOD(DATEDIF(DATE(YEAR($E112),MONTH($E112),1),DATE(2026,9,1),"m"),IF($D112="Quarterly",3,IF($D112="Annual",12,1)))=0),IF((COUNTIFS(Xero_Raw!$D$4:$D$5003,$A112,Xero_Raw!$G$4:$G$5003,"*Subscription*",Xero_Raw!$A$4:$A$5003,"&gt;="&amp;DATE(2026,9,1),Xero_Raw!$A$4:$A$5003,"&lt;"&amp;EDATE(DATE(2026,9,1),1))+COUNTIFS(Customer_Invoices_Upload!$E$4:$E$5003,$A112,Customer_Invoices_Upload!$G$4:$G$5003,"*Subscription*",Customer_Invoices_Upload!$B$4:$B$5003,"&gt;="&amp;DATE(2026,9,1),Customer_Invoices_Upload!$B$4:$B$5003,"&lt;"&amp;EDATE(DATE(2026,9,1),1))+COUNTIFS(Stripe_Invoices_Upload!$D$4:$D$5003,$A112,Stripe_Invoices_Upload!$E$4:$E$5003,"*Subscription*",Stripe_Invoices_Upload!$A$4:$A$5003,"&gt;="&amp;DATE(2026,9,1),Stripe_Invoices_Upload!$A$4:$A$5003,"&lt;"&amp;EDATE(DATE(2026,9,1),1)))&gt;0,"✓ Invoiced","⚠ Due"),""),""))</f>
        <v/>
      </c>
      <c r="M112" s="130" t="str">
        <f aca="false">IF($A112="","",IF((DATE(YEAR($E112),MONTH($E112),1)&lt;=DATE(2026,10,1)),IF((MOD(DATEDIF(DATE(YEAR($E112),MONTH($E112),1),DATE(2026,10,1),"m"),IF($D112="Quarterly",3,IF($D112="Annual",12,1)))=0),IF((COUNTIFS(Xero_Raw!$D$4:$D$5003,$A112,Xero_Raw!$G$4:$G$5003,"*Subscription*",Xero_Raw!$A$4:$A$5003,"&gt;="&amp;DATE(2026,10,1),Xero_Raw!$A$4:$A$5003,"&lt;"&amp;EDATE(DATE(2026,10,1),1))+COUNTIFS(Customer_Invoices_Upload!$E$4:$E$5003,$A112,Customer_Invoices_Upload!$G$4:$G$5003,"*Subscription*",Customer_Invoices_Upload!$B$4:$B$5003,"&gt;="&amp;DATE(2026,10,1),Customer_Invoices_Upload!$B$4:$B$5003,"&lt;"&amp;EDATE(DATE(2026,10,1),1))+COUNTIFS(Stripe_Invoices_Upload!$D$4:$D$5003,$A112,Stripe_Invoices_Upload!$E$4:$E$5003,"*Subscription*",Stripe_Invoices_Upload!$A$4:$A$5003,"&gt;="&amp;DATE(2026,10,1),Stripe_Invoices_Upload!$A$4:$A$5003,"&lt;"&amp;EDATE(DATE(2026,10,1),1)))&gt;0,"✓ Invoiced","⚠ Due"),""),""))</f>
        <v/>
      </c>
      <c r="N112" s="130" t="str">
        <f aca="false">IF($A112="","",IF((DATE(YEAR($E112),MONTH($E112),1)&lt;=DATE(2026,11,1)),IF((MOD(DATEDIF(DATE(YEAR($E112),MONTH($E112),1),DATE(2026,11,1),"m"),IF($D112="Quarterly",3,IF($D112="Annual",12,1)))=0),IF((COUNTIFS(Xero_Raw!$D$4:$D$5003,$A112,Xero_Raw!$G$4:$G$5003,"*Subscription*",Xero_Raw!$A$4:$A$5003,"&gt;="&amp;DATE(2026,11,1),Xero_Raw!$A$4:$A$5003,"&lt;"&amp;EDATE(DATE(2026,11,1),1))+COUNTIFS(Customer_Invoices_Upload!$E$4:$E$5003,$A112,Customer_Invoices_Upload!$G$4:$G$5003,"*Subscription*",Customer_Invoices_Upload!$B$4:$B$5003,"&gt;="&amp;DATE(2026,11,1),Customer_Invoices_Upload!$B$4:$B$5003,"&lt;"&amp;EDATE(DATE(2026,11,1),1))+COUNTIFS(Stripe_Invoices_Upload!$D$4:$D$5003,$A112,Stripe_Invoices_Upload!$E$4:$E$5003,"*Subscription*",Stripe_Invoices_Upload!$A$4:$A$5003,"&gt;="&amp;DATE(2026,11,1),Stripe_Invoices_Upload!$A$4:$A$5003,"&lt;"&amp;EDATE(DATE(2026,11,1),1)))&gt;0,"✓ Invoiced","⚠ Due"),""),""))</f>
        <v/>
      </c>
      <c r="O112" s="130" t="str">
        <f aca="false">IF($A112="","",IF((DATE(YEAR($E112),MONTH($E112),1)&lt;=DATE(2026,12,1)),IF((MOD(DATEDIF(DATE(YEAR($E112),MONTH($E112),1),DATE(2026,12,1),"m"),IF($D112="Quarterly",3,IF($D112="Annual",12,1)))=0),IF((COUNTIFS(Xero_Raw!$D$4:$D$5003,$A112,Xero_Raw!$G$4:$G$5003,"*Subscription*",Xero_Raw!$A$4:$A$5003,"&gt;="&amp;DATE(2026,12,1),Xero_Raw!$A$4:$A$5003,"&lt;"&amp;EDATE(DATE(2026,12,1),1))+COUNTIFS(Customer_Invoices_Upload!$E$4:$E$5003,$A112,Customer_Invoices_Upload!$G$4:$G$5003,"*Subscription*",Customer_Invoices_Upload!$B$4:$B$5003,"&gt;="&amp;DATE(2026,12,1),Customer_Invoices_Upload!$B$4:$B$5003,"&lt;"&amp;EDATE(DATE(2026,12,1),1))+COUNTIFS(Stripe_Invoices_Upload!$D$4:$D$5003,$A112,Stripe_Invoices_Upload!$E$4:$E$5003,"*Subscription*",Stripe_Invoices_Upload!$A$4:$A$5003,"&gt;="&amp;DATE(2026,12,1),Stripe_Invoices_Upload!$A$4:$A$5003,"&lt;"&amp;EDATE(DATE(2026,12,1),1)))&gt;0,"✓ Invoiced","⚠ Due"),""),""))</f>
        <v/>
      </c>
      <c r="P112" s="130" t="str">
        <f aca="false">IF($A112="","",IF((DATE(YEAR($E112),MONTH($E112),1)&lt;=DATE(2027,1,1)),IF((MOD(DATEDIF(DATE(YEAR($E112),MONTH($E112),1),DATE(2027,1,1),"m"),IF($D112="Quarterly",3,IF($D112="Annual",12,1)))=0),IF((COUNTIFS(Xero_Raw!$D$4:$D$5003,$A112,Xero_Raw!$G$4:$G$5003,"*Subscription*",Xero_Raw!$A$4:$A$5003,"&gt;="&amp;DATE(2027,1,1),Xero_Raw!$A$4:$A$5003,"&lt;"&amp;EDATE(DATE(2027,1,1),1))+COUNTIFS(Customer_Invoices_Upload!$E$4:$E$5003,$A112,Customer_Invoices_Upload!$G$4:$G$5003,"*Subscription*",Customer_Invoices_Upload!$B$4:$B$5003,"&gt;="&amp;DATE(2027,1,1),Customer_Invoices_Upload!$B$4:$B$5003,"&lt;"&amp;EDATE(DATE(2027,1,1),1))+COUNTIFS(Stripe_Invoices_Upload!$D$4:$D$5003,$A112,Stripe_Invoices_Upload!$E$4:$E$5003,"*Subscription*",Stripe_Invoices_Upload!$A$4:$A$5003,"&gt;="&amp;DATE(2027,1,1),Stripe_Invoices_Upload!$A$4:$A$5003,"&lt;"&amp;EDATE(DATE(2027,1,1),1)))&gt;0,"✓ Invoiced","⚠ Due"),""),""))</f>
        <v/>
      </c>
      <c r="Q112" s="130" t="str">
        <f aca="false">IF($A112="","",IF((DATE(YEAR($E112),MONTH($E112),1)&lt;=DATE(2027,2,1)),IF((MOD(DATEDIF(DATE(YEAR($E112),MONTH($E112),1),DATE(2027,2,1),"m"),IF($D112="Quarterly",3,IF($D112="Annual",12,1)))=0),IF((COUNTIFS(Xero_Raw!$D$4:$D$5003,$A112,Xero_Raw!$G$4:$G$5003,"*Subscription*",Xero_Raw!$A$4:$A$5003,"&gt;="&amp;DATE(2027,2,1),Xero_Raw!$A$4:$A$5003,"&lt;"&amp;EDATE(DATE(2027,2,1),1))+COUNTIFS(Customer_Invoices_Upload!$E$4:$E$5003,$A112,Customer_Invoices_Upload!$G$4:$G$5003,"*Subscription*",Customer_Invoices_Upload!$B$4:$B$5003,"&gt;="&amp;DATE(2027,2,1),Customer_Invoices_Upload!$B$4:$B$5003,"&lt;"&amp;EDATE(DATE(2027,2,1),1))+COUNTIFS(Stripe_Invoices_Upload!$D$4:$D$5003,$A112,Stripe_Invoices_Upload!$E$4:$E$5003,"*Subscription*",Stripe_Invoices_Upload!$A$4:$A$5003,"&gt;="&amp;DATE(2027,2,1),Stripe_Invoices_Upload!$A$4:$A$5003,"&lt;"&amp;EDATE(DATE(2027,2,1),1)))&gt;0,"✓ Invoiced","⚠ Due"),""),""))</f>
        <v/>
      </c>
      <c r="R112" s="130" t="str">
        <f aca="false">IF($A112="","",IF((DATE(YEAR($E112),MONTH($E112),1)&lt;=DATE(2027,3,1)),IF((MOD(DATEDIF(DATE(YEAR($E112),MONTH($E112),1),DATE(2027,3,1),"m"),IF($D112="Quarterly",3,IF($D112="Annual",12,1)))=0),IF((COUNTIFS(Xero_Raw!$D$4:$D$5003,$A112,Xero_Raw!$G$4:$G$5003,"*Subscription*",Xero_Raw!$A$4:$A$5003,"&gt;="&amp;DATE(2027,3,1),Xero_Raw!$A$4:$A$5003,"&lt;"&amp;EDATE(DATE(2027,3,1),1))+COUNTIFS(Customer_Invoices_Upload!$E$4:$E$5003,$A112,Customer_Invoices_Upload!$G$4:$G$5003,"*Subscription*",Customer_Invoices_Upload!$B$4:$B$5003,"&gt;="&amp;DATE(2027,3,1),Customer_Invoices_Upload!$B$4:$B$5003,"&lt;"&amp;EDATE(DATE(2027,3,1),1))+COUNTIFS(Stripe_Invoices_Upload!$D$4:$D$5003,$A112,Stripe_Invoices_Upload!$E$4:$E$5003,"*Subscription*",Stripe_Invoices_Upload!$A$4:$A$5003,"&gt;="&amp;DATE(2027,3,1),Stripe_Invoices_Upload!$A$4:$A$5003,"&lt;"&amp;EDATE(DATE(2027,3,1),1)))&gt;0,"✓ Invoiced","⚠ Due"),""),""))</f>
        <v/>
      </c>
    </row>
    <row r="113" customFormat="false" ht="15" hidden="false" customHeight="false" outlineLevel="0" collapsed="false">
      <c r="A113" s="39"/>
      <c r="B113" s="39"/>
      <c r="C113" s="40"/>
      <c r="D113" s="39"/>
      <c r="E113" s="38"/>
      <c r="F113" s="129" t="str">
        <f aca="true">IF($A113="","",EDATE($E113,DATEDIF($E113,TODAY(),"m")+1))</f>
        <v/>
      </c>
      <c r="G113" s="130" t="str">
        <f aca="false">IF($A113="","",IF((DATE(YEAR($E113),MONTH($E113),1)&lt;=DATE(2026,4,1)),IF((MOD(DATEDIF(DATE(YEAR($E113),MONTH($E113),1),DATE(2026,4,1),"m"),IF($D113="Quarterly",3,IF($D113="Annual",12,1)))=0),IF((COUNTIFS(Xero_Raw!$D$4:$D$5003,$A113,Xero_Raw!$G$4:$G$5003,"*Subscription*",Xero_Raw!$A$4:$A$5003,"&gt;="&amp;DATE(2026,4,1),Xero_Raw!$A$4:$A$5003,"&lt;"&amp;EDATE(DATE(2026,4,1),1))+COUNTIFS(Customer_Invoices_Upload!$E$4:$E$5003,$A113,Customer_Invoices_Upload!$G$4:$G$5003,"*Subscription*",Customer_Invoices_Upload!$B$4:$B$5003,"&gt;="&amp;DATE(2026,4,1),Customer_Invoices_Upload!$B$4:$B$5003,"&lt;"&amp;EDATE(DATE(2026,4,1),1))+COUNTIFS(Stripe_Invoices_Upload!$D$4:$D$5003,$A113,Stripe_Invoices_Upload!$E$4:$E$5003,"*Subscription*",Stripe_Invoices_Upload!$A$4:$A$5003,"&gt;="&amp;DATE(2026,4,1),Stripe_Invoices_Upload!$A$4:$A$5003,"&lt;"&amp;EDATE(DATE(2026,4,1),1)))&gt;0,"✓ Invoiced","⚠ Due"),""),""))</f>
        <v/>
      </c>
      <c r="H113" s="130" t="str">
        <f aca="false">IF($A113="","",IF((DATE(YEAR($E113),MONTH($E113),1)&lt;=DATE(2026,5,1)),IF((MOD(DATEDIF(DATE(YEAR($E113),MONTH($E113),1),DATE(2026,5,1),"m"),IF($D113="Quarterly",3,IF($D113="Annual",12,1)))=0),IF((COUNTIFS(Xero_Raw!$D$4:$D$5003,$A113,Xero_Raw!$G$4:$G$5003,"*Subscription*",Xero_Raw!$A$4:$A$5003,"&gt;="&amp;DATE(2026,5,1),Xero_Raw!$A$4:$A$5003,"&lt;"&amp;EDATE(DATE(2026,5,1),1))+COUNTIFS(Customer_Invoices_Upload!$E$4:$E$5003,$A113,Customer_Invoices_Upload!$G$4:$G$5003,"*Subscription*",Customer_Invoices_Upload!$B$4:$B$5003,"&gt;="&amp;DATE(2026,5,1),Customer_Invoices_Upload!$B$4:$B$5003,"&lt;"&amp;EDATE(DATE(2026,5,1),1))+COUNTIFS(Stripe_Invoices_Upload!$D$4:$D$5003,$A113,Stripe_Invoices_Upload!$E$4:$E$5003,"*Subscription*",Stripe_Invoices_Upload!$A$4:$A$5003,"&gt;="&amp;DATE(2026,5,1),Stripe_Invoices_Upload!$A$4:$A$5003,"&lt;"&amp;EDATE(DATE(2026,5,1),1)))&gt;0,"✓ Invoiced","⚠ Due"),""),""))</f>
        <v/>
      </c>
      <c r="I113" s="130" t="str">
        <f aca="false">IF($A113="","",IF((DATE(YEAR($E113),MONTH($E113),1)&lt;=DATE(2026,6,1)),IF((MOD(DATEDIF(DATE(YEAR($E113),MONTH($E113),1),DATE(2026,6,1),"m"),IF($D113="Quarterly",3,IF($D113="Annual",12,1)))=0),IF((COUNTIFS(Xero_Raw!$D$4:$D$5003,$A113,Xero_Raw!$G$4:$G$5003,"*Subscription*",Xero_Raw!$A$4:$A$5003,"&gt;="&amp;DATE(2026,6,1),Xero_Raw!$A$4:$A$5003,"&lt;"&amp;EDATE(DATE(2026,6,1),1))+COUNTIFS(Customer_Invoices_Upload!$E$4:$E$5003,$A113,Customer_Invoices_Upload!$G$4:$G$5003,"*Subscription*",Customer_Invoices_Upload!$B$4:$B$5003,"&gt;="&amp;DATE(2026,6,1),Customer_Invoices_Upload!$B$4:$B$5003,"&lt;"&amp;EDATE(DATE(2026,6,1),1))+COUNTIFS(Stripe_Invoices_Upload!$D$4:$D$5003,$A113,Stripe_Invoices_Upload!$E$4:$E$5003,"*Subscription*",Stripe_Invoices_Upload!$A$4:$A$5003,"&gt;="&amp;DATE(2026,6,1),Stripe_Invoices_Upload!$A$4:$A$5003,"&lt;"&amp;EDATE(DATE(2026,6,1),1)))&gt;0,"✓ Invoiced","⚠ Due"),""),""))</f>
        <v/>
      </c>
      <c r="J113" s="130" t="str">
        <f aca="false">IF($A113="","",IF((DATE(YEAR($E113),MONTH($E113),1)&lt;=DATE(2026,7,1)),IF((MOD(DATEDIF(DATE(YEAR($E113),MONTH($E113),1),DATE(2026,7,1),"m"),IF($D113="Quarterly",3,IF($D113="Annual",12,1)))=0),IF((COUNTIFS(Xero_Raw!$D$4:$D$5003,$A113,Xero_Raw!$G$4:$G$5003,"*Subscription*",Xero_Raw!$A$4:$A$5003,"&gt;="&amp;DATE(2026,7,1),Xero_Raw!$A$4:$A$5003,"&lt;"&amp;EDATE(DATE(2026,7,1),1))+COUNTIFS(Customer_Invoices_Upload!$E$4:$E$5003,$A113,Customer_Invoices_Upload!$G$4:$G$5003,"*Subscription*",Customer_Invoices_Upload!$B$4:$B$5003,"&gt;="&amp;DATE(2026,7,1),Customer_Invoices_Upload!$B$4:$B$5003,"&lt;"&amp;EDATE(DATE(2026,7,1),1))+COUNTIFS(Stripe_Invoices_Upload!$D$4:$D$5003,$A113,Stripe_Invoices_Upload!$E$4:$E$5003,"*Subscription*",Stripe_Invoices_Upload!$A$4:$A$5003,"&gt;="&amp;DATE(2026,7,1),Stripe_Invoices_Upload!$A$4:$A$5003,"&lt;"&amp;EDATE(DATE(2026,7,1),1)))&gt;0,"✓ Invoiced","⚠ Due"),""),""))</f>
        <v/>
      </c>
      <c r="K113" s="130" t="str">
        <f aca="false">IF($A113="","",IF((DATE(YEAR($E113),MONTH($E113),1)&lt;=DATE(2026,8,1)),IF((MOD(DATEDIF(DATE(YEAR($E113),MONTH($E113),1),DATE(2026,8,1),"m"),IF($D113="Quarterly",3,IF($D113="Annual",12,1)))=0),IF((COUNTIFS(Xero_Raw!$D$4:$D$5003,$A113,Xero_Raw!$G$4:$G$5003,"*Subscription*",Xero_Raw!$A$4:$A$5003,"&gt;="&amp;DATE(2026,8,1),Xero_Raw!$A$4:$A$5003,"&lt;"&amp;EDATE(DATE(2026,8,1),1))+COUNTIFS(Customer_Invoices_Upload!$E$4:$E$5003,$A113,Customer_Invoices_Upload!$G$4:$G$5003,"*Subscription*",Customer_Invoices_Upload!$B$4:$B$5003,"&gt;="&amp;DATE(2026,8,1),Customer_Invoices_Upload!$B$4:$B$5003,"&lt;"&amp;EDATE(DATE(2026,8,1),1))+COUNTIFS(Stripe_Invoices_Upload!$D$4:$D$5003,$A113,Stripe_Invoices_Upload!$E$4:$E$5003,"*Subscription*",Stripe_Invoices_Upload!$A$4:$A$5003,"&gt;="&amp;DATE(2026,8,1),Stripe_Invoices_Upload!$A$4:$A$5003,"&lt;"&amp;EDATE(DATE(2026,8,1),1)))&gt;0,"✓ Invoiced","⚠ Due"),""),""))</f>
        <v/>
      </c>
      <c r="L113" s="130" t="str">
        <f aca="false">IF($A113="","",IF((DATE(YEAR($E113),MONTH($E113),1)&lt;=DATE(2026,9,1)),IF((MOD(DATEDIF(DATE(YEAR($E113),MONTH($E113),1),DATE(2026,9,1),"m"),IF($D113="Quarterly",3,IF($D113="Annual",12,1)))=0),IF((COUNTIFS(Xero_Raw!$D$4:$D$5003,$A113,Xero_Raw!$G$4:$G$5003,"*Subscription*",Xero_Raw!$A$4:$A$5003,"&gt;="&amp;DATE(2026,9,1),Xero_Raw!$A$4:$A$5003,"&lt;"&amp;EDATE(DATE(2026,9,1),1))+COUNTIFS(Customer_Invoices_Upload!$E$4:$E$5003,$A113,Customer_Invoices_Upload!$G$4:$G$5003,"*Subscription*",Customer_Invoices_Upload!$B$4:$B$5003,"&gt;="&amp;DATE(2026,9,1),Customer_Invoices_Upload!$B$4:$B$5003,"&lt;"&amp;EDATE(DATE(2026,9,1),1))+COUNTIFS(Stripe_Invoices_Upload!$D$4:$D$5003,$A113,Stripe_Invoices_Upload!$E$4:$E$5003,"*Subscription*",Stripe_Invoices_Upload!$A$4:$A$5003,"&gt;="&amp;DATE(2026,9,1),Stripe_Invoices_Upload!$A$4:$A$5003,"&lt;"&amp;EDATE(DATE(2026,9,1),1)))&gt;0,"✓ Invoiced","⚠ Due"),""),""))</f>
        <v/>
      </c>
      <c r="M113" s="130" t="str">
        <f aca="false">IF($A113="","",IF((DATE(YEAR($E113),MONTH($E113),1)&lt;=DATE(2026,10,1)),IF((MOD(DATEDIF(DATE(YEAR($E113),MONTH($E113),1),DATE(2026,10,1),"m"),IF($D113="Quarterly",3,IF($D113="Annual",12,1)))=0),IF((COUNTIFS(Xero_Raw!$D$4:$D$5003,$A113,Xero_Raw!$G$4:$G$5003,"*Subscription*",Xero_Raw!$A$4:$A$5003,"&gt;="&amp;DATE(2026,10,1),Xero_Raw!$A$4:$A$5003,"&lt;"&amp;EDATE(DATE(2026,10,1),1))+COUNTIFS(Customer_Invoices_Upload!$E$4:$E$5003,$A113,Customer_Invoices_Upload!$G$4:$G$5003,"*Subscription*",Customer_Invoices_Upload!$B$4:$B$5003,"&gt;="&amp;DATE(2026,10,1),Customer_Invoices_Upload!$B$4:$B$5003,"&lt;"&amp;EDATE(DATE(2026,10,1),1))+COUNTIFS(Stripe_Invoices_Upload!$D$4:$D$5003,$A113,Stripe_Invoices_Upload!$E$4:$E$5003,"*Subscription*",Stripe_Invoices_Upload!$A$4:$A$5003,"&gt;="&amp;DATE(2026,10,1),Stripe_Invoices_Upload!$A$4:$A$5003,"&lt;"&amp;EDATE(DATE(2026,10,1),1)))&gt;0,"✓ Invoiced","⚠ Due"),""),""))</f>
        <v/>
      </c>
      <c r="N113" s="130" t="str">
        <f aca="false">IF($A113="","",IF((DATE(YEAR($E113),MONTH($E113),1)&lt;=DATE(2026,11,1)),IF((MOD(DATEDIF(DATE(YEAR($E113),MONTH($E113),1),DATE(2026,11,1),"m"),IF($D113="Quarterly",3,IF($D113="Annual",12,1)))=0),IF((COUNTIFS(Xero_Raw!$D$4:$D$5003,$A113,Xero_Raw!$G$4:$G$5003,"*Subscription*",Xero_Raw!$A$4:$A$5003,"&gt;="&amp;DATE(2026,11,1),Xero_Raw!$A$4:$A$5003,"&lt;"&amp;EDATE(DATE(2026,11,1),1))+COUNTIFS(Customer_Invoices_Upload!$E$4:$E$5003,$A113,Customer_Invoices_Upload!$G$4:$G$5003,"*Subscription*",Customer_Invoices_Upload!$B$4:$B$5003,"&gt;="&amp;DATE(2026,11,1),Customer_Invoices_Upload!$B$4:$B$5003,"&lt;"&amp;EDATE(DATE(2026,11,1),1))+COUNTIFS(Stripe_Invoices_Upload!$D$4:$D$5003,$A113,Stripe_Invoices_Upload!$E$4:$E$5003,"*Subscription*",Stripe_Invoices_Upload!$A$4:$A$5003,"&gt;="&amp;DATE(2026,11,1),Stripe_Invoices_Upload!$A$4:$A$5003,"&lt;"&amp;EDATE(DATE(2026,11,1),1)))&gt;0,"✓ Invoiced","⚠ Due"),""),""))</f>
        <v/>
      </c>
      <c r="O113" s="130" t="str">
        <f aca="false">IF($A113="","",IF((DATE(YEAR($E113),MONTH($E113),1)&lt;=DATE(2026,12,1)),IF((MOD(DATEDIF(DATE(YEAR($E113),MONTH($E113),1),DATE(2026,12,1),"m"),IF($D113="Quarterly",3,IF($D113="Annual",12,1)))=0),IF((COUNTIFS(Xero_Raw!$D$4:$D$5003,$A113,Xero_Raw!$G$4:$G$5003,"*Subscription*",Xero_Raw!$A$4:$A$5003,"&gt;="&amp;DATE(2026,12,1),Xero_Raw!$A$4:$A$5003,"&lt;"&amp;EDATE(DATE(2026,12,1),1))+COUNTIFS(Customer_Invoices_Upload!$E$4:$E$5003,$A113,Customer_Invoices_Upload!$G$4:$G$5003,"*Subscription*",Customer_Invoices_Upload!$B$4:$B$5003,"&gt;="&amp;DATE(2026,12,1),Customer_Invoices_Upload!$B$4:$B$5003,"&lt;"&amp;EDATE(DATE(2026,12,1),1))+COUNTIFS(Stripe_Invoices_Upload!$D$4:$D$5003,$A113,Stripe_Invoices_Upload!$E$4:$E$5003,"*Subscription*",Stripe_Invoices_Upload!$A$4:$A$5003,"&gt;="&amp;DATE(2026,12,1),Stripe_Invoices_Upload!$A$4:$A$5003,"&lt;"&amp;EDATE(DATE(2026,12,1),1)))&gt;0,"✓ Invoiced","⚠ Due"),""),""))</f>
        <v/>
      </c>
      <c r="P113" s="130" t="str">
        <f aca="false">IF($A113="","",IF((DATE(YEAR($E113),MONTH($E113),1)&lt;=DATE(2027,1,1)),IF((MOD(DATEDIF(DATE(YEAR($E113),MONTH($E113),1),DATE(2027,1,1),"m"),IF($D113="Quarterly",3,IF($D113="Annual",12,1)))=0),IF((COUNTIFS(Xero_Raw!$D$4:$D$5003,$A113,Xero_Raw!$G$4:$G$5003,"*Subscription*",Xero_Raw!$A$4:$A$5003,"&gt;="&amp;DATE(2027,1,1),Xero_Raw!$A$4:$A$5003,"&lt;"&amp;EDATE(DATE(2027,1,1),1))+COUNTIFS(Customer_Invoices_Upload!$E$4:$E$5003,$A113,Customer_Invoices_Upload!$G$4:$G$5003,"*Subscription*",Customer_Invoices_Upload!$B$4:$B$5003,"&gt;="&amp;DATE(2027,1,1),Customer_Invoices_Upload!$B$4:$B$5003,"&lt;"&amp;EDATE(DATE(2027,1,1),1))+COUNTIFS(Stripe_Invoices_Upload!$D$4:$D$5003,$A113,Stripe_Invoices_Upload!$E$4:$E$5003,"*Subscription*",Stripe_Invoices_Upload!$A$4:$A$5003,"&gt;="&amp;DATE(2027,1,1),Stripe_Invoices_Upload!$A$4:$A$5003,"&lt;"&amp;EDATE(DATE(2027,1,1),1)))&gt;0,"✓ Invoiced","⚠ Due"),""),""))</f>
        <v/>
      </c>
      <c r="Q113" s="130" t="str">
        <f aca="false">IF($A113="","",IF((DATE(YEAR($E113),MONTH($E113),1)&lt;=DATE(2027,2,1)),IF((MOD(DATEDIF(DATE(YEAR($E113),MONTH($E113),1),DATE(2027,2,1),"m"),IF($D113="Quarterly",3,IF($D113="Annual",12,1)))=0),IF((COUNTIFS(Xero_Raw!$D$4:$D$5003,$A113,Xero_Raw!$G$4:$G$5003,"*Subscription*",Xero_Raw!$A$4:$A$5003,"&gt;="&amp;DATE(2027,2,1),Xero_Raw!$A$4:$A$5003,"&lt;"&amp;EDATE(DATE(2027,2,1),1))+COUNTIFS(Customer_Invoices_Upload!$E$4:$E$5003,$A113,Customer_Invoices_Upload!$G$4:$G$5003,"*Subscription*",Customer_Invoices_Upload!$B$4:$B$5003,"&gt;="&amp;DATE(2027,2,1),Customer_Invoices_Upload!$B$4:$B$5003,"&lt;"&amp;EDATE(DATE(2027,2,1),1))+COUNTIFS(Stripe_Invoices_Upload!$D$4:$D$5003,$A113,Stripe_Invoices_Upload!$E$4:$E$5003,"*Subscription*",Stripe_Invoices_Upload!$A$4:$A$5003,"&gt;="&amp;DATE(2027,2,1),Stripe_Invoices_Upload!$A$4:$A$5003,"&lt;"&amp;EDATE(DATE(2027,2,1),1)))&gt;0,"✓ Invoiced","⚠ Due"),""),""))</f>
        <v/>
      </c>
      <c r="R113" s="130" t="str">
        <f aca="false">IF($A113="","",IF((DATE(YEAR($E113),MONTH($E113),1)&lt;=DATE(2027,3,1)),IF((MOD(DATEDIF(DATE(YEAR($E113),MONTH($E113),1),DATE(2027,3,1),"m"),IF($D113="Quarterly",3,IF($D113="Annual",12,1)))=0),IF((COUNTIFS(Xero_Raw!$D$4:$D$5003,$A113,Xero_Raw!$G$4:$G$5003,"*Subscription*",Xero_Raw!$A$4:$A$5003,"&gt;="&amp;DATE(2027,3,1),Xero_Raw!$A$4:$A$5003,"&lt;"&amp;EDATE(DATE(2027,3,1),1))+COUNTIFS(Customer_Invoices_Upload!$E$4:$E$5003,$A113,Customer_Invoices_Upload!$G$4:$G$5003,"*Subscription*",Customer_Invoices_Upload!$B$4:$B$5003,"&gt;="&amp;DATE(2027,3,1),Customer_Invoices_Upload!$B$4:$B$5003,"&lt;"&amp;EDATE(DATE(2027,3,1),1))+COUNTIFS(Stripe_Invoices_Upload!$D$4:$D$5003,$A113,Stripe_Invoices_Upload!$E$4:$E$5003,"*Subscription*",Stripe_Invoices_Upload!$A$4:$A$5003,"&gt;="&amp;DATE(2027,3,1),Stripe_Invoices_Upload!$A$4:$A$5003,"&lt;"&amp;EDATE(DATE(2027,3,1),1)))&gt;0,"✓ Invoiced","⚠ Due"),""),""))</f>
        <v/>
      </c>
    </row>
    <row r="114" customFormat="false" ht="15" hidden="false" customHeight="false" outlineLevel="0" collapsed="false">
      <c r="A114" s="39"/>
      <c r="B114" s="39"/>
      <c r="C114" s="40"/>
      <c r="D114" s="39"/>
      <c r="E114" s="38"/>
      <c r="F114" s="129" t="str">
        <f aca="true">IF($A114="","",EDATE($E114,DATEDIF($E114,TODAY(),"m")+1))</f>
        <v/>
      </c>
      <c r="G114" s="130" t="str">
        <f aca="false">IF($A114="","",IF((DATE(YEAR($E114),MONTH($E114),1)&lt;=DATE(2026,4,1)),IF((MOD(DATEDIF(DATE(YEAR($E114),MONTH($E114),1),DATE(2026,4,1),"m"),IF($D114="Quarterly",3,IF($D114="Annual",12,1)))=0),IF((COUNTIFS(Xero_Raw!$D$4:$D$5003,$A114,Xero_Raw!$G$4:$G$5003,"*Subscription*",Xero_Raw!$A$4:$A$5003,"&gt;="&amp;DATE(2026,4,1),Xero_Raw!$A$4:$A$5003,"&lt;"&amp;EDATE(DATE(2026,4,1),1))+COUNTIFS(Customer_Invoices_Upload!$E$4:$E$5003,$A114,Customer_Invoices_Upload!$G$4:$G$5003,"*Subscription*",Customer_Invoices_Upload!$B$4:$B$5003,"&gt;="&amp;DATE(2026,4,1),Customer_Invoices_Upload!$B$4:$B$5003,"&lt;"&amp;EDATE(DATE(2026,4,1),1))+COUNTIFS(Stripe_Invoices_Upload!$D$4:$D$5003,$A114,Stripe_Invoices_Upload!$E$4:$E$5003,"*Subscription*",Stripe_Invoices_Upload!$A$4:$A$5003,"&gt;="&amp;DATE(2026,4,1),Stripe_Invoices_Upload!$A$4:$A$5003,"&lt;"&amp;EDATE(DATE(2026,4,1),1)))&gt;0,"✓ Invoiced","⚠ Due"),""),""))</f>
        <v/>
      </c>
      <c r="H114" s="130" t="str">
        <f aca="false">IF($A114="","",IF((DATE(YEAR($E114),MONTH($E114),1)&lt;=DATE(2026,5,1)),IF((MOD(DATEDIF(DATE(YEAR($E114),MONTH($E114),1),DATE(2026,5,1),"m"),IF($D114="Quarterly",3,IF($D114="Annual",12,1)))=0),IF((COUNTIFS(Xero_Raw!$D$4:$D$5003,$A114,Xero_Raw!$G$4:$G$5003,"*Subscription*",Xero_Raw!$A$4:$A$5003,"&gt;="&amp;DATE(2026,5,1),Xero_Raw!$A$4:$A$5003,"&lt;"&amp;EDATE(DATE(2026,5,1),1))+COUNTIFS(Customer_Invoices_Upload!$E$4:$E$5003,$A114,Customer_Invoices_Upload!$G$4:$G$5003,"*Subscription*",Customer_Invoices_Upload!$B$4:$B$5003,"&gt;="&amp;DATE(2026,5,1),Customer_Invoices_Upload!$B$4:$B$5003,"&lt;"&amp;EDATE(DATE(2026,5,1),1))+COUNTIFS(Stripe_Invoices_Upload!$D$4:$D$5003,$A114,Stripe_Invoices_Upload!$E$4:$E$5003,"*Subscription*",Stripe_Invoices_Upload!$A$4:$A$5003,"&gt;="&amp;DATE(2026,5,1),Stripe_Invoices_Upload!$A$4:$A$5003,"&lt;"&amp;EDATE(DATE(2026,5,1),1)))&gt;0,"✓ Invoiced","⚠ Due"),""),""))</f>
        <v/>
      </c>
      <c r="I114" s="130" t="str">
        <f aca="false">IF($A114="","",IF((DATE(YEAR($E114),MONTH($E114),1)&lt;=DATE(2026,6,1)),IF((MOD(DATEDIF(DATE(YEAR($E114),MONTH($E114),1),DATE(2026,6,1),"m"),IF($D114="Quarterly",3,IF($D114="Annual",12,1)))=0),IF((COUNTIFS(Xero_Raw!$D$4:$D$5003,$A114,Xero_Raw!$G$4:$G$5003,"*Subscription*",Xero_Raw!$A$4:$A$5003,"&gt;="&amp;DATE(2026,6,1),Xero_Raw!$A$4:$A$5003,"&lt;"&amp;EDATE(DATE(2026,6,1),1))+COUNTIFS(Customer_Invoices_Upload!$E$4:$E$5003,$A114,Customer_Invoices_Upload!$G$4:$G$5003,"*Subscription*",Customer_Invoices_Upload!$B$4:$B$5003,"&gt;="&amp;DATE(2026,6,1),Customer_Invoices_Upload!$B$4:$B$5003,"&lt;"&amp;EDATE(DATE(2026,6,1),1))+COUNTIFS(Stripe_Invoices_Upload!$D$4:$D$5003,$A114,Stripe_Invoices_Upload!$E$4:$E$5003,"*Subscription*",Stripe_Invoices_Upload!$A$4:$A$5003,"&gt;="&amp;DATE(2026,6,1),Stripe_Invoices_Upload!$A$4:$A$5003,"&lt;"&amp;EDATE(DATE(2026,6,1),1)))&gt;0,"✓ Invoiced","⚠ Due"),""),""))</f>
        <v/>
      </c>
      <c r="J114" s="130" t="str">
        <f aca="false">IF($A114="","",IF((DATE(YEAR($E114),MONTH($E114),1)&lt;=DATE(2026,7,1)),IF((MOD(DATEDIF(DATE(YEAR($E114),MONTH($E114),1),DATE(2026,7,1),"m"),IF($D114="Quarterly",3,IF($D114="Annual",12,1)))=0),IF((COUNTIFS(Xero_Raw!$D$4:$D$5003,$A114,Xero_Raw!$G$4:$G$5003,"*Subscription*",Xero_Raw!$A$4:$A$5003,"&gt;="&amp;DATE(2026,7,1),Xero_Raw!$A$4:$A$5003,"&lt;"&amp;EDATE(DATE(2026,7,1),1))+COUNTIFS(Customer_Invoices_Upload!$E$4:$E$5003,$A114,Customer_Invoices_Upload!$G$4:$G$5003,"*Subscription*",Customer_Invoices_Upload!$B$4:$B$5003,"&gt;="&amp;DATE(2026,7,1),Customer_Invoices_Upload!$B$4:$B$5003,"&lt;"&amp;EDATE(DATE(2026,7,1),1))+COUNTIFS(Stripe_Invoices_Upload!$D$4:$D$5003,$A114,Stripe_Invoices_Upload!$E$4:$E$5003,"*Subscription*",Stripe_Invoices_Upload!$A$4:$A$5003,"&gt;="&amp;DATE(2026,7,1),Stripe_Invoices_Upload!$A$4:$A$5003,"&lt;"&amp;EDATE(DATE(2026,7,1),1)))&gt;0,"✓ Invoiced","⚠ Due"),""),""))</f>
        <v/>
      </c>
      <c r="K114" s="130" t="str">
        <f aca="false">IF($A114="","",IF((DATE(YEAR($E114),MONTH($E114),1)&lt;=DATE(2026,8,1)),IF((MOD(DATEDIF(DATE(YEAR($E114),MONTH($E114),1),DATE(2026,8,1),"m"),IF($D114="Quarterly",3,IF($D114="Annual",12,1)))=0),IF((COUNTIFS(Xero_Raw!$D$4:$D$5003,$A114,Xero_Raw!$G$4:$G$5003,"*Subscription*",Xero_Raw!$A$4:$A$5003,"&gt;="&amp;DATE(2026,8,1),Xero_Raw!$A$4:$A$5003,"&lt;"&amp;EDATE(DATE(2026,8,1),1))+COUNTIFS(Customer_Invoices_Upload!$E$4:$E$5003,$A114,Customer_Invoices_Upload!$G$4:$G$5003,"*Subscription*",Customer_Invoices_Upload!$B$4:$B$5003,"&gt;="&amp;DATE(2026,8,1),Customer_Invoices_Upload!$B$4:$B$5003,"&lt;"&amp;EDATE(DATE(2026,8,1),1))+COUNTIFS(Stripe_Invoices_Upload!$D$4:$D$5003,$A114,Stripe_Invoices_Upload!$E$4:$E$5003,"*Subscription*",Stripe_Invoices_Upload!$A$4:$A$5003,"&gt;="&amp;DATE(2026,8,1),Stripe_Invoices_Upload!$A$4:$A$5003,"&lt;"&amp;EDATE(DATE(2026,8,1),1)))&gt;0,"✓ Invoiced","⚠ Due"),""),""))</f>
        <v/>
      </c>
      <c r="L114" s="130" t="str">
        <f aca="false">IF($A114="","",IF((DATE(YEAR($E114),MONTH($E114),1)&lt;=DATE(2026,9,1)),IF((MOD(DATEDIF(DATE(YEAR($E114),MONTH($E114),1),DATE(2026,9,1),"m"),IF($D114="Quarterly",3,IF($D114="Annual",12,1)))=0),IF((COUNTIFS(Xero_Raw!$D$4:$D$5003,$A114,Xero_Raw!$G$4:$G$5003,"*Subscription*",Xero_Raw!$A$4:$A$5003,"&gt;="&amp;DATE(2026,9,1),Xero_Raw!$A$4:$A$5003,"&lt;"&amp;EDATE(DATE(2026,9,1),1))+COUNTIFS(Customer_Invoices_Upload!$E$4:$E$5003,$A114,Customer_Invoices_Upload!$G$4:$G$5003,"*Subscription*",Customer_Invoices_Upload!$B$4:$B$5003,"&gt;="&amp;DATE(2026,9,1),Customer_Invoices_Upload!$B$4:$B$5003,"&lt;"&amp;EDATE(DATE(2026,9,1),1))+COUNTIFS(Stripe_Invoices_Upload!$D$4:$D$5003,$A114,Stripe_Invoices_Upload!$E$4:$E$5003,"*Subscription*",Stripe_Invoices_Upload!$A$4:$A$5003,"&gt;="&amp;DATE(2026,9,1),Stripe_Invoices_Upload!$A$4:$A$5003,"&lt;"&amp;EDATE(DATE(2026,9,1),1)))&gt;0,"✓ Invoiced","⚠ Due"),""),""))</f>
        <v/>
      </c>
      <c r="M114" s="130" t="str">
        <f aca="false">IF($A114="","",IF((DATE(YEAR($E114),MONTH($E114),1)&lt;=DATE(2026,10,1)),IF((MOD(DATEDIF(DATE(YEAR($E114),MONTH($E114),1),DATE(2026,10,1),"m"),IF($D114="Quarterly",3,IF($D114="Annual",12,1)))=0),IF((COUNTIFS(Xero_Raw!$D$4:$D$5003,$A114,Xero_Raw!$G$4:$G$5003,"*Subscription*",Xero_Raw!$A$4:$A$5003,"&gt;="&amp;DATE(2026,10,1),Xero_Raw!$A$4:$A$5003,"&lt;"&amp;EDATE(DATE(2026,10,1),1))+COUNTIFS(Customer_Invoices_Upload!$E$4:$E$5003,$A114,Customer_Invoices_Upload!$G$4:$G$5003,"*Subscription*",Customer_Invoices_Upload!$B$4:$B$5003,"&gt;="&amp;DATE(2026,10,1),Customer_Invoices_Upload!$B$4:$B$5003,"&lt;"&amp;EDATE(DATE(2026,10,1),1))+COUNTIFS(Stripe_Invoices_Upload!$D$4:$D$5003,$A114,Stripe_Invoices_Upload!$E$4:$E$5003,"*Subscription*",Stripe_Invoices_Upload!$A$4:$A$5003,"&gt;="&amp;DATE(2026,10,1),Stripe_Invoices_Upload!$A$4:$A$5003,"&lt;"&amp;EDATE(DATE(2026,10,1),1)))&gt;0,"✓ Invoiced","⚠ Due"),""),""))</f>
        <v/>
      </c>
      <c r="N114" s="130" t="str">
        <f aca="false">IF($A114="","",IF((DATE(YEAR($E114),MONTH($E114),1)&lt;=DATE(2026,11,1)),IF((MOD(DATEDIF(DATE(YEAR($E114),MONTH($E114),1),DATE(2026,11,1),"m"),IF($D114="Quarterly",3,IF($D114="Annual",12,1)))=0),IF((COUNTIFS(Xero_Raw!$D$4:$D$5003,$A114,Xero_Raw!$G$4:$G$5003,"*Subscription*",Xero_Raw!$A$4:$A$5003,"&gt;="&amp;DATE(2026,11,1),Xero_Raw!$A$4:$A$5003,"&lt;"&amp;EDATE(DATE(2026,11,1),1))+COUNTIFS(Customer_Invoices_Upload!$E$4:$E$5003,$A114,Customer_Invoices_Upload!$G$4:$G$5003,"*Subscription*",Customer_Invoices_Upload!$B$4:$B$5003,"&gt;="&amp;DATE(2026,11,1),Customer_Invoices_Upload!$B$4:$B$5003,"&lt;"&amp;EDATE(DATE(2026,11,1),1))+COUNTIFS(Stripe_Invoices_Upload!$D$4:$D$5003,$A114,Stripe_Invoices_Upload!$E$4:$E$5003,"*Subscription*",Stripe_Invoices_Upload!$A$4:$A$5003,"&gt;="&amp;DATE(2026,11,1),Stripe_Invoices_Upload!$A$4:$A$5003,"&lt;"&amp;EDATE(DATE(2026,11,1),1)))&gt;0,"✓ Invoiced","⚠ Due"),""),""))</f>
        <v/>
      </c>
      <c r="O114" s="130" t="str">
        <f aca="false">IF($A114="","",IF((DATE(YEAR($E114),MONTH($E114),1)&lt;=DATE(2026,12,1)),IF((MOD(DATEDIF(DATE(YEAR($E114),MONTH($E114),1),DATE(2026,12,1),"m"),IF($D114="Quarterly",3,IF($D114="Annual",12,1)))=0),IF((COUNTIFS(Xero_Raw!$D$4:$D$5003,$A114,Xero_Raw!$G$4:$G$5003,"*Subscription*",Xero_Raw!$A$4:$A$5003,"&gt;="&amp;DATE(2026,12,1),Xero_Raw!$A$4:$A$5003,"&lt;"&amp;EDATE(DATE(2026,12,1),1))+COUNTIFS(Customer_Invoices_Upload!$E$4:$E$5003,$A114,Customer_Invoices_Upload!$G$4:$G$5003,"*Subscription*",Customer_Invoices_Upload!$B$4:$B$5003,"&gt;="&amp;DATE(2026,12,1),Customer_Invoices_Upload!$B$4:$B$5003,"&lt;"&amp;EDATE(DATE(2026,12,1),1))+COUNTIFS(Stripe_Invoices_Upload!$D$4:$D$5003,$A114,Stripe_Invoices_Upload!$E$4:$E$5003,"*Subscription*",Stripe_Invoices_Upload!$A$4:$A$5003,"&gt;="&amp;DATE(2026,12,1),Stripe_Invoices_Upload!$A$4:$A$5003,"&lt;"&amp;EDATE(DATE(2026,12,1),1)))&gt;0,"✓ Invoiced","⚠ Due"),""),""))</f>
        <v/>
      </c>
      <c r="P114" s="130" t="str">
        <f aca="false">IF($A114="","",IF((DATE(YEAR($E114),MONTH($E114),1)&lt;=DATE(2027,1,1)),IF((MOD(DATEDIF(DATE(YEAR($E114),MONTH($E114),1),DATE(2027,1,1),"m"),IF($D114="Quarterly",3,IF($D114="Annual",12,1)))=0),IF((COUNTIFS(Xero_Raw!$D$4:$D$5003,$A114,Xero_Raw!$G$4:$G$5003,"*Subscription*",Xero_Raw!$A$4:$A$5003,"&gt;="&amp;DATE(2027,1,1),Xero_Raw!$A$4:$A$5003,"&lt;"&amp;EDATE(DATE(2027,1,1),1))+COUNTIFS(Customer_Invoices_Upload!$E$4:$E$5003,$A114,Customer_Invoices_Upload!$G$4:$G$5003,"*Subscription*",Customer_Invoices_Upload!$B$4:$B$5003,"&gt;="&amp;DATE(2027,1,1),Customer_Invoices_Upload!$B$4:$B$5003,"&lt;"&amp;EDATE(DATE(2027,1,1),1))+COUNTIFS(Stripe_Invoices_Upload!$D$4:$D$5003,$A114,Stripe_Invoices_Upload!$E$4:$E$5003,"*Subscription*",Stripe_Invoices_Upload!$A$4:$A$5003,"&gt;="&amp;DATE(2027,1,1),Stripe_Invoices_Upload!$A$4:$A$5003,"&lt;"&amp;EDATE(DATE(2027,1,1),1)))&gt;0,"✓ Invoiced","⚠ Due"),""),""))</f>
        <v/>
      </c>
      <c r="Q114" s="130" t="str">
        <f aca="false">IF($A114="","",IF((DATE(YEAR($E114),MONTH($E114),1)&lt;=DATE(2027,2,1)),IF((MOD(DATEDIF(DATE(YEAR($E114),MONTH($E114),1),DATE(2027,2,1),"m"),IF($D114="Quarterly",3,IF($D114="Annual",12,1)))=0),IF((COUNTIFS(Xero_Raw!$D$4:$D$5003,$A114,Xero_Raw!$G$4:$G$5003,"*Subscription*",Xero_Raw!$A$4:$A$5003,"&gt;="&amp;DATE(2027,2,1),Xero_Raw!$A$4:$A$5003,"&lt;"&amp;EDATE(DATE(2027,2,1),1))+COUNTIFS(Customer_Invoices_Upload!$E$4:$E$5003,$A114,Customer_Invoices_Upload!$G$4:$G$5003,"*Subscription*",Customer_Invoices_Upload!$B$4:$B$5003,"&gt;="&amp;DATE(2027,2,1),Customer_Invoices_Upload!$B$4:$B$5003,"&lt;"&amp;EDATE(DATE(2027,2,1),1))+COUNTIFS(Stripe_Invoices_Upload!$D$4:$D$5003,$A114,Stripe_Invoices_Upload!$E$4:$E$5003,"*Subscription*",Stripe_Invoices_Upload!$A$4:$A$5003,"&gt;="&amp;DATE(2027,2,1),Stripe_Invoices_Upload!$A$4:$A$5003,"&lt;"&amp;EDATE(DATE(2027,2,1),1)))&gt;0,"✓ Invoiced","⚠ Due"),""),""))</f>
        <v/>
      </c>
      <c r="R114" s="130" t="str">
        <f aca="false">IF($A114="","",IF((DATE(YEAR($E114),MONTH($E114),1)&lt;=DATE(2027,3,1)),IF((MOD(DATEDIF(DATE(YEAR($E114),MONTH($E114),1),DATE(2027,3,1),"m"),IF($D114="Quarterly",3,IF($D114="Annual",12,1)))=0),IF((COUNTIFS(Xero_Raw!$D$4:$D$5003,$A114,Xero_Raw!$G$4:$G$5003,"*Subscription*",Xero_Raw!$A$4:$A$5003,"&gt;="&amp;DATE(2027,3,1),Xero_Raw!$A$4:$A$5003,"&lt;"&amp;EDATE(DATE(2027,3,1),1))+COUNTIFS(Customer_Invoices_Upload!$E$4:$E$5003,$A114,Customer_Invoices_Upload!$G$4:$G$5003,"*Subscription*",Customer_Invoices_Upload!$B$4:$B$5003,"&gt;="&amp;DATE(2027,3,1),Customer_Invoices_Upload!$B$4:$B$5003,"&lt;"&amp;EDATE(DATE(2027,3,1),1))+COUNTIFS(Stripe_Invoices_Upload!$D$4:$D$5003,$A114,Stripe_Invoices_Upload!$E$4:$E$5003,"*Subscription*",Stripe_Invoices_Upload!$A$4:$A$5003,"&gt;="&amp;DATE(2027,3,1),Stripe_Invoices_Upload!$A$4:$A$5003,"&lt;"&amp;EDATE(DATE(2027,3,1),1)))&gt;0,"✓ Invoiced","⚠ Due"),""),""))</f>
        <v/>
      </c>
    </row>
    <row r="115" customFormat="false" ht="15" hidden="false" customHeight="false" outlineLevel="0" collapsed="false">
      <c r="A115" s="39"/>
      <c r="B115" s="39"/>
      <c r="C115" s="40"/>
      <c r="D115" s="39"/>
      <c r="E115" s="38"/>
      <c r="F115" s="129" t="str">
        <f aca="true">IF($A115="","",EDATE($E115,DATEDIF($E115,TODAY(),"m")+1))</f>
        <v/>
      </c>
      <c r="G115" s="130" t="str">
        <f aca="false">IF($A115="","",IF((DATE(YEAR($E115),MONTH($E115),1)&lt;=DATE(2026,4,1)),IF((MOD(DATEDIF(DATE(YEAR($E115),MONTH($E115),1),DATE(2026,4,1),"m"),IF($D115="Quarterly",3,IF($D115="Annual",12,1)))=0),IF((COUNTIFS(Xero_Raw!$D$4:$D$5003,$A115,Xero_Raw!$G$4:$G$5003,"*Subscription*",Xero_Raw!$A$4:$A$5003,"&gt;="&amp;DATE(2026,4,1),Xero_Raw!$A$4:$A$5003,"&lt;"&amp;EDATE(DATE(2026,4,1),1))+COUNTIFS(Customer_Invoices_Upload!$E$4:$E$5003,$A115,Customer_Invoices_Upload!$G$4:$G$5003,"*Subscription*",Customer_Invoices_Upload!$B$4:$B$5003,"&gt;="&amp;DATE(2026,4,1),Customer_Invoices_Upload!$B$4:$B$5003,"&lt;"&amp;EDATE(DATE(2026,4,1),1))+COUNTIFS(Stripe_Invoices_Upload!$D$4:$D$5003,$A115,Stripe_Invoices_Upload!$E$4:$E$5003,"*Subscription*",Stripe_Invoices_Upload!$A$4:$A$5003,"&gt;="&amp;DATE(2026,4,1),Stripe_Invoices_Upload!$A$4:$A$5003,"&lt;"&amp;EDATE(DATE(2026,4,1),1)))&gt;0,"✓ Invoiced","⚠ Due"),""),""))</f>
        <v/>
      </c>
      <c r="H115" s="130" t="str">
        <f aca="false">IF($A115="","",IF((DATE(YEAR($E115),MONTH($E115),1)&lt;=DATE(2026,5,1)),IF((MOD(DATEDIF(DATE(YEAR($E115),MONTH($E115),1),DATE(2026,5,1),"m"),IF($D115="Quarterly",3,IF($D115="Annual",12,1)))=0),IF((COUNTIFS(Xero_Raw!$D$4:$D$5003,$A115,Xero_Raw!$G$4:$G$5003,"*Subscription*",Xero_Raw!$A$4:$A$5003,"&gt;="&amp;DATE(2026,5,1),Xero_Raw!$A$4:$A$5003,"&lt;"&amp;EDATE(DATE(2026,5,1),1))+COUNTIFS(Customer_Invoices_Upload!$E$4:$E$5003,$A115,Customer_Invoices_Upload!$G$4:$G$5003,"*Subscription*",Customer_Invoices_Upload!$B$4:$B$5003,"&gt;="&amp;DATE(2026,5,1),Customer_Invoices_Upload!$B$4:$B$5003,"&lt;"&amp;EDATE(DATE(2026,5,1),1))+COUNTIFS(Stripe_Invoices_Upload!$D$4:$D$5003,$A115,Stripe_Invoices_Upload!$E$4:$E$5003,"*Subscription*",Stripe_Invoices_Upload!$A$4:$A$5003,"&gt;="&amp;DATE(2026,5,1),Stripe_Invoices_Upload!$A$4:$A$5003,"&lt;"&amp;EDATE(DATE(2026,5,1),1)))&gt;0,"✓ Invoiced","⚠ Due"),""),""))</f>
        <v/>
      </c>
      <c r="I115" s="130" t="str">
        <f aca="false">IF($A115="","",IF((DATE(YEAR($E115),MONTH($E115),1)&lt;=DATE(2026,6,1)),IF((MOD(DATEDIF(DATE(YEAR($E115),MONTH($E115),1),DATE(2026,6,1),"m"),IF($D115="Quarterly",3,IF($D115="Annual",12,1)))=0),IF((COUNTIFS(Xero_Raw!$D$4:$D$5003,$A115,Xero_Raw!$G$4:$G$5003,"*Subscription*",Xero_Raw!$A$4:$A$5003,"&gt;="&amp;DATE(2026,6,1),Xero_Raw!$A$4:$A$5003,"&lt;"&amp;EDATE(DATE(2026,6,1),1))+COUNTIFS(Customer_Invoices_Upload!$E$4:$E$5003,$A115,Customer_Invoices_Upload!$G$4:$G$5003,"*Subscription*",Customer_Invoices_Upload!$B$4:$B$5003,"&gt;="&amp;DATE(2026,6,1),Customer_Invoices_Upload!$B$4:$B$5003,"&lt;"&amp;EDATE(DATE(2026,6,1),1))+COUNTIFS(Stripe_Invoices_Upload!$D$4:$D$5003,$A115,Stripe_Invoices_Upload!$E$4:$E$5003,"*Subscription*",Stripe_Invoices_Upload!$A$4:$A$5003,"&gt;="&amp;DATE(2026,6,1),Stripe_Invoices_Upload!$A$4:$A$5003,"&lt;"&amp;EDATE(DATE(2026,6,1),1)))&gt;0,"✓ Invoiced","⚠ Due"),""),""))</f>
        <v/>
      </c>
      <c r="J115" s="130" t="str">
        <f aca="false">IF($A115="","",IF((DATE(YEAR($E115),MONTH($E115),1)&lt;=DATE(2026,7,1)),IF((MOD(DATEDIF(DATE(YEAR($E115),MONTH($E115),1),DATE(2026,7,1),"m"),IF($D115="Quarterly",3,IF($D115="Annual",12,1)))=0),IF((COUNTIFS(Xero_Raw!$D$4:$D$5003,$A115,Xero_Raw!$G$4:$G$5003,"*Subscription*",Xero_Raw!$A$4:$A$5003,"&gt;="&amp;DATE(2026,7,1),Xero_Raw!$A$4:$A$5003,"&lt;"&amp;EDATE(DATE(2026,7,1),1))+COUNTIFS(Customer_Invoices_Upload!$E$4:$E$5003,$A115,Customer_Invoices_Upload!$G$4:$G$5003,"*Subscription*",Customer_Invoices_Upload!$B$4:$B$5003,"&gt;="&amp;DATE(2026,7,1),Customer_Invoices_Upload!$B$4:$B$5003,"&lt;"&amp;EDATE(DATE(2026,7,1),1))+COUNTIFS(Stripe_Invoices_Upload!$D$4:$D$5003,$A115,Stripe_Invoices_Upload!$E$4:$E$5003,"*Subscription*",Stripe_Invoices_Upload!$A$4:$A$5003,"&gt;="&amp;DATE(2026,7,1),Stripe_Invoices_Upload!$A$4:$A$5003,"&lt;"&amp;EDATE(DATE(2026,7,1),1)))&gt;0,"✓ Invoiced","⚠ Due"),""),""))</f>
        <v/>
      </c>
      <c r="K115" s="130" t="str">
        <f aca="false">IF($A115="","",IF((DATE(YEAR($E115),MONTH($E115),1)&lt;=DATE(2026,8,1)),IF((MOD(DATEDIF(DATE(YEAR($E115),MONTH($E115),1),DATE(2026,8,1),"m"),IF($D115="Quarterly",3,IF($D115="Annual",12,1)))=0),IF((COUNTIFS(Xero_Raw!$D$4:$D$5003,$A115,Xero_Raw!$G$4:$G$5003,"*Subscription*",Xero_Raw!$A$4:$A$5003,"&gt;="&amp;DATE(2026,8,1),Xero_Raw!$A$4:$A$5003,"&lt;"&amp;EDATE(DATE(2026,8,1),1))+COUNTIFS(Customer_Invoices_Upload!$E$4:$E$5003,$A115,Customer_Invoices_Upload!$G$4:$G$5003,"*Subscription*",Customer_Invoices_Upload!$B$4:$B$5003,"&gt;="&amp;DATE(2026,8,1),Customer_Invoices_Upload!$B$4:$B$5003,"&lt;"&amp;EDATE(DATE(2026,8,1),1))+COUNTIFS(Stripe_Invoices_Upload!$D$4:$D$5003,$A115,Stripe_Invoices_Upload!$E$4:$E$5003,"*Subscription*",Stripe_Invoices_Upload!$A$4:$A$5003,"&gt;="&amp;DATE(2026,8,1),Stripe_Invoices_Upload!$A$4:$A$5003,"&lt;"&amp;EDATE(DATE(2026,8,1),1)))&gt;0,"✓ Invoiced","⚠ Due"),""),""))</f>
        <v/>
      </c>
      <c r="L115" s="130" t="str">
        <f aca="false">IF($A115="","",IF((DATE(YEAR($E115),MONTH($E115),1)&lt;=DATE(2026,9,1)),IF((MOD(DATEDIF(DATE(YEAR($E115),MONTH($E115),1),DATE(2026,9,1),"m"),IF($D115="Quarterly",3,IF($D115="Annual",12,1)))=0),IF((COUNTIFS(Xero_Raw!$D$4:$D$5003,$A115,Xero_Raw!$G$4:$G$5003,"*Subscription*",Xero_Raw!$A$4:$A$5003,"&gt;="&amp;DATE(2026,9,1),Xero_Raw!$A$4:$A$5003,"&lt;"&amp;EDATE(DATE(2026,9,1),1))+COUNTIFS(Customer_Invoices_Upload!$E$4:$E$5003,$A115,Customer_Invoices_Upload!$G$4:$G$5003,"*Subscription*",Customer_Invoices_Upload!$B$4:$B$5003,"&gt;="&amp;DATE(2026,9,1),Customer_Invoices_Upload!$B$4:$B$5003,"&lt;"&amp;EDATE(DATE(2026,9,1),1))+COUNTIFS(Stripe_Invoices_Upload!$D$4:$D$5003,$A115,Stripe_Invoices_Upload!$E$4:$E$5003,"*Subscription*",Stripe_Invoices_Upload!$A$4:$A$5003,"&gt;="&amp;DATE(2026,9,1),Stripe_Invoices_Upload!$A$4:$A$5003,"&lt;"&amp;EDATE(DATE(2026,9,1),1)))&gt;0,"✓ Invoiced","⚠ Due"),""),""))</f>
        <v/>
      </c>
      <c r="M115" s="130" t="str">
        <f aca="false">IF($A115="","",IF((DATE(YEAR($E115),MONTH($E115),1)&lt;=DATE(2026,10,1)),IF((MOD(DATEDIF(DATE(YEAR($E115),MONTH($E115),1),DATE(2026,10,1),"m"),IF($D115="Quarterly",3,IF($D115="Annual",12,1)))=0),IF((COUNTIFS(Xero_Raw!$D$4:$D$5003,$A115,Xero_Raw!$G$4:$G$5003,"*Subscription*",Xero_Raw!$A$4:$A$5003,"&gt;="&amp;DATE(2026,10,1),Xero_Raw!$A$4:$A$5003,"&lt;"&amp;EDATE(DATE(2026,10,1),1))+COUNTIFS(Customer_Invoices_Upload!$E$4:$E$5003,$A115,Customer_Invoices_Upload!$G$4:$G$5003,"*Subscription*",Customer_Invoices_Upload!$B$4:$B$5003,"&gt;="&amp;DATE(2026,10,1),Customer_Invoices_Upload!$B$4:$B$5003,"&lt;"&amp;EDATE(DATE(2026,10,1),1))+COUNTIFS(Stripe_Invoices_Upload!$D$4:$D$5003,$A115,Stripe_Invoices_Upload!$E$4:$E$5003,"*Subscription*",Stripe_Invoices_Upload!$A$4:$A$5003,"&gt;="&amp;DATE(2026,10,1),Stripe_Invoices_Upload!$A$4:$A$5003,"&lt;"&amp;EDATE(DATE(2026,10,1),1)))&gt;0,"✓ Invoiced","⚠ Due"),""),""))</f>
        <v/>
      </c>
      <c r="N115" s="130" t="str">
        <f aca="false">IF($A115="","",IF((DATE(YEAR($E115),MONTH($E115),1)&lt;=DATE(2026,11,1)),IF((MOD(DATEDIF(DATE(YEAR($E115),MONTH($E115),1),DATE(2026,11,1),"m"),IF($D115="Quarterly",3,IF($D115="Annual",12,1)))=0),IF((COUNTIFS(Xero_Raw!$D$4:$D$5003,$A115,Xero_Raw!$G$4:$G$5003,"*Subscription*",Xero_Raw!$A$4:$A$5003,"&gt;="&amp;DATE(2026,11,1),Xero_Raw!$A$4:$A$5003,"&lt;"&amp;EDATE(DATE(2026,11,1),1))+COUNTIFS(Customer_Invoices_Upload!$E$4:$E$5003,$A115,Customer_Invoices_Upload!$G$4:$G$5003,"*Subscription*",Customer_Invoices_Upload!$B$4:$B$5003,"&gt;="&amp;DATE(2026,11,1),Customer_Invoices_Upload!$B$4:$B$5003,"&lt;"&amp;EDATE(DATE(2026,11,1),1))+COUNTIFS(Stripe_Invoices_Upload!$D$4:$D$5003,$A115,Stripe_Invoices_Upload!$E$4:$E$5003,"*Subscription*",Stripe_Invoices_Upload!$A$4:$A$5003,"&gt;="&amp;DATE(2026,11,1),Stripe_Invoices_Upload!$A$4:$A$5003,"&lt;"&amp;EDATE(DATE(2026,11,1),1)))&gt;0,"✓ Invoiced","⚠ Due"),""),""))</f>
        <v/>
      </c>
      <c r="O115" s="130" t="str">
        <f aca="false">IF($A115="","",IF((DATE(YEAR($E115),MONTH($E115),1)&lt;=DATE(2026,12,1)),IF((MOD(DATEDIF(DATE(YEAR($E115),MONTH($E115),1),DATE(2026,12,1),"m"),IF($D115="Quarterly",3,IF($D115="Annual",12,1)))=0),IF((COUNTIFS(Xero_Raw!$D$4:$D$5003,$A115,Xero_Raw!$G$4:$G$5003,"*Subscription*",Xero_Raw!$A$4:$A$5003,"&gt;="&amp;DATE(2026,12,1),Xero_Raw!$A$4:$A$5003,"&lt;"&amp;EDATE(DATE(2026,12,1),1))+COUNTIFS(Customer_Invoices_Upload!$E$4:$E$5003,$A115,Customer_Invoices_Upload!$G$4:$G$5003,"*Subscription*",Customer_Invoices_Upload!$B$4:$B$5003,"&gt;="&amp;DATE(2026,12,1),Customer_Invoices_Upload!$B$4:$B$5003,"&lt;"&amp;EDATE(DATE(2026,12,1),1))+COUNTIFS(Stripe_Invoices_Upload!$D$4:$D$5003,$A115,Stripe_Invoices_Upload!$E$4:$E$5003,"*Subscription*",Stripe_Invoices_Upload!$A$4:$A$5003,"&gt;="&amp;DATE(2026,12,1),Stripe_Invoices_Upload!$A$4:$A$5003,"&lt;"&amp;EDATE(DATE(2026,12,1),1)))&gt;0,"✓ Invoiced","⚠ Due"),""),""))</f>
        <v/>
      </c>
      <c r="P115" s="130" t="str">
        <f aca="false">IF($A115="","",IF((DATE(YEAR($E115),MONTH($E115),1)&lt;=DATE(2027,1,1)),IF((MOD(DATEDIF(DATE(YEAR($E115),MONTH($E115),1),DATE(2027,1,1),"m"),IF($D115="Quarterly",3,IF($D115="Annual",12,1)))=0),IF((COUNTIFS(Xero_Raw!$D$4:$D$5003,$A115,Xero_Raw!$G$4:$G$5003,"*Subscription*",Xero_Raw!$A$4:$A$5003,"&gt;="&amp;DATE(2027,1,1),Xero_Raw!$A$4:$A$5003,"&lt;"&amp;EDATE(DATE(2027,1,1),1))+COUNTIFS(Customer_Invoices_Upload!$E$4:$E$5003,$A115,Customer_Invoices_Upload!$G$4:$G$5003,"*Subscription*",Customer_Invoices_Upload!$B$4:$B$5003,"&gt;="&amp;DATE(2027,1,1),Customer_Invoices_Upload!$B$4:$B$5003,"&lt;"&amp;EDATE(DATE(2027,1,1),1))+COUNTIFS(Stripe_Invoices_Upload!$D$4:$D$5003,$A115,Stripe_Invoices_Upload!$E$4:$E$5003,"*Subscription*",Stripe_Invoices_Upload!$A$4:$A$5003,"&gt;="&amp;DATE(2027,1,1),Stripe_Invoices_Upload!$A$4:$A$5003,"&lt;"&amp;EDATE(DATE(2027,1,1),1)))&gt;0,"✓ Invoiced","⚠ Due"),""),""))</f>
        <v/>
      </c>
      <c r="Q115" s="130" t="str">
        <f aca="false">IF($A115="","",IF((DATE(YEAR($E115),MONTH($E115),1)&lt;=DATE(2027,2,1)),IF((MOD(DATEDIF(DATE(YEAR($E115),MONTH($E115),1),DATE(2027,2,1),"m"),IF($D115="Quarterly",3,IF($D115="Annual",12,1)))=0),IF((COUNTIFS(Xero_Raw!$D$4:$D$5003,$A115,Xero_Raw!$G$4:$G$5003,"*Subscription*",Xero_Raw!$A$4:$A$5003,"&gt;="&amp;DATE(2027,2,1),Xero_Raw!$A$4:$A$5003,"&lt;"&amp;EDATE(DATE(2027,2,1),1))+COUNTIFS(Customer_Invoices_Upload!$E$4:$E$5003,$A115,Customer_Invoices_Upload!$G$4:$G$5003,"*Subscription*",Customer_Invoices_Upload!$B$4:$B$5003,"&gt;="&amp;DATE(2027,2,1),Customer_Invoices_Upload!$B$4:$B$5003,"&lt;"&amp;EDATE(DATE(2027,2,1),1))+COUNTIFS(Stripe_Invoices_Upload!$D$4:$D$5003,$A115,Stripe_Invoices_Upload!$E$4:$E$5003,"*Subscription*",Stripe_Invoices_Upload!$A$4:$A$5003,"&gt;="&amp;DATE(2027,2,1),Stripe_Invoices_Upload!$A$4:$A$5003,"&lt;"&amp;EDATE(DATE(2027,2,1),1)))&gt;0,"✓ Invoiced","⚠ Due"),""),""))</f>
        <v/>
      </c>
      <c r="R115" s="130" t="str">
        <f aca="false">IF($A115="","",IF((DATE(YEAR($E115),MONTH($E115),1)&lt;=DATE(2027,3,1)),IF((MOD(DATEDIF(DATE(YEAR($E115),MONTH($E115),1),DATE(2027,3,1),"m"),IF($D115="Quarterly",3,IF($D115="Annual",12,1)))=0),IF((COUNTIFS(Xero_Raw!$D$4:$D$5003,$A115,Xero_Raw!$G$4:$G$5003,"*Subscription*",Xero_Raw!$A$4:$A$5003,"&gt;="&amp;DATE(2027,3,1),Xero_Raw!$A$4:$A$5003,"&lt;"&amp;EDATE(DATE(2027,3,1),1))+COUNTIFS(Customer_Invoices_Upload!$E$4:$E$5003,$A115,Customer_Invoices_Upload!$G$4:$G$5003,"*Subscription*",Customer_Invoices_Upload!$B$4:$B$5003,"&gt;="&amp;DATE(2027,3,1),Customer_Invoices_Upload!$B$4:$B$5003,"&lt;"&amp;EDATE(DATE(2027,3,1),1))+COUNTIFS(Stripe_Invoices_Upload!$D$4:$D$5003,$A115,Stripe_Invoices_Upload!$E$4:$E$5003,"*Subscription*",Stripe_Invoices_Upload!$A$4:$A$5003,"&gt;="&amp;DATE(2027,3,1),Stripe_Invoices_Upload!$A$4:$A$5003,"&lt;"&amp;EDATE(DATE(2027,3,1),1)))&gt;0,"✓ Invoiced","⚠ Due"),""),""))</f>
        <v/>
      </c>
    </row>
    <row r="116" customFormat="false" ht="15" hidden="false" customHeight="false" outlineLevel="0" collapsed="false">
      <c r="A116" s="39"/>
      <c r="B116" s="39"/>
      <c r="C116" s="40"/>
      <c r="D116" s="39"/>
      <c r="E116" s="38"/>
      <c r="F116" s="129" t="str">
        <f aca="true">IF($A116="","",EDATE($E116,DATEDIF($E116,TODAY(),"m")+1))</f>
        <v/>
      </c>
      <c r="G116" s="130" t="str">
        <f aca="false">IF($A116="","",IF((DATE(YEAR($E116),MONTH($E116),1)&lt;=DATE(2026,4,1)),IF((MOD(DATEDIF(DATE(YEAR($E116),MONTH($E116),1),DATE(2026,4,1),"m"),IF($D116="Quarterly",3,IF($D116="Annual",12,1)))=0),IF((COUNTIFS(Xero_Raw!$D$4:$D$5003,$A116,Xero_Raw!$G$4:$G$5003,"*Subscription*",Xero_Raw!$A$4:$A$5003,"&gt;="&amp;DATE(2026,4,1),Xero_Raw!$A$4:$A$5003,"&lt;"&amp;EDATE(DATE(2026,4,1),1))+COUNTIFS(Customer_Invoices_Upload!$E$4:$E$5003,$A116,Customer_Invoices_Upload!$G$4:$G$5003,"*Subscription*",Customer_Invoices_Upload!$B$4:$B$5003,"&gt;="&amp;DATE(2026,4,1),Customer_Invoices_Upload!$B$4:$B$5003,"&lt;"&amp;EDATE(DATE(2026,4,1),1))+COUNTIFS(Stripe_Invoices_Upload!$D$4:$D$5003,$A116,Stripe_Invoices_Upload!$E$4:$E$5003,"*Subscription*",Stripe_Invoices_Upload!$A$4:$A$5003,"&gt;="&amp;DATE(2026,4,1),Stripe_Invoices_Upload!$A$4:$A$5003,"&lt;"&amp;EDATE(DATE(2026,4,1),1)))&gt;0,"✓ Invoiced","⚠ Due"),""),""))</f>
        <v/>
      </c>
      <c r="H116" s="130" t="str">
        <f aca="false">IF($A116="","",IF((DATE(YEAR($E116),MONTH($E116),1)&lt;=DATE(2026,5,1)),IF((MOD(DATEDIF(DATE(YEAR($E116),MONTH($E116),1),DATE(2026,5,1),"m"),IF($D116="Quarterly",3,IF($D116="Annual",12,1)))=0),IF((COUNTIFS(Xero_Raw!$D$4:$D$5003,$A116,Xero_Raw!$G$4:$G$5003,"*Subscription*",Xero_Raw!$A$4:$A$5003,"&gt;="&amp;DATE(2026,5,1),Xero_Raw!$A$4:$A$5003,"&lt;"&amp;EDATE(DATE(2026,5,1),1))+COUNTIFS(Customer_Invoices_Upload!$E$4:$E$5003,$A116,Customer_Invoices_Upload!$G$4:$G$5003,"*Subscription*",Customer_Invoices_Upload!$B$4:$B$5003,"&gt;="&amp;DATE(2026,5,1),Customer_Invoices_Upload!$B$4:$B$5003,"&lt;"&amp;EDATE(DATE(2026,5,1),1))+COUNTIFS(Stripe_Invoices_Upload!$D$4:$D$5003,$A116,Stripe_Invoices_Upload!$E$4:$E$5003,"*Subscription*",Stripe_Invoices_Upload!$A$4:$A$5003,"&gt;="&amp;DATE(2026,5,1),Stripe_Invoices_Upload!$A$4:$A$5003,"&lt;"&amp;EDATE(DATE(2026,5,1),1)))&gt;0,"✓ Invoiced","⚠ Due"),""),""))</f>
        <v/>
      </c>
      <c r="I116" s="130" t="str">
        <f aca="false">IF($A116="","",IF((DATE(YEAR($E116),MONTH($E116),1)&lt;=DATE(2026,6,1)),IF((MOD(DATEDIF(DATE(YEAR($E116),MONTH($E116),1),DATE(2026,6,1),"m"),IF($D116="Quarterly",3,IF($D116="Annual",12,1)))=0),IF((COUNTIFS(Xero_Raw!$D$4:$D$5003,$A116,Xero_Raw!$G$4:$G$5003,"*Subscription*",Xero_Raw!$A$4:$A$5003,"&gt;="&amp;DATE(2026,6,1),Xero_Raw!$A$4:$A$5003,"&lt;"&amp;EDATE(DATE(2026,6,1),1))+COUNTIFS(Customer_Invoices_Upload!$E$4:$E$5003,$A116,Customer_Invoices_Upload!$G$4:$G$5003,"*Subscription*",Customer_Invoices_Upload!$B$4:$B$5003,"&gt;="&amp;DATE(2026,6,1),Customer_Invoices_Upload!$B$4:$B$5003,"&lt;"&amp;EDATE(DATE(2026,6,1),1))+COUNTIFS(Stripe_Invoices_Upload!$D$4:$D$5003,$A116,Stripe_Invoices_Upload!$E$4:$E$5003,"*Subscription*",Stripe_Invoices_Upload!$A$4:$A$5003,"&gt;="&amp;DATE(2026,6,1),Stripe_Invoices_Upload!$A$4:$A$5003,"&lt;"&amp;EDATE(DATE(2026,6,1),1)))&gt;0,"✓ Invoiced","⚠ Due"),""),""))</f>
        <v/>
      </c>
      <c r="J116" s="130" t="str">
        <f aca="false">IF($A116="","",IF((DATE(YEAR($E116),MONTH($E116),1)&lt;=DATE(2026,7,1)),IF((MOD(DATEDIF(DATE(YEAR($E116),MONTH($E116),1),DATE(2026,7,1),"m"),IF($D116="Quarterly",3,IF($D116="Annual",12,1)))=0),IF((COUNTIFS(Xero_Raw!$D$4:$D$5003,$A116,Xero_Raw!$G$4:$G$5003,"*Subscription*",Xero_Raw!$A$4:$A$5003,"&gt;="&amp;DATE(2026,7,1),Xero_Raw!$A$4:$A$5003,"&lt;"&amp;EDATE(DATE(2026,7,1),1))+COUNTIFS(Customer_Invoices_Upload!$E$4:$E$5003,$A116,Customer_Invoices_Upload!$G$4:$G$5003,"*Subscription*",Customer_Invoices_Upload!$B$4:$B$5003,"&gt;="&amp;DATE(2026,7,1),Customer_Invoices_Upload!$B$4:$B$5003,"&lt;"&amp;EDATE(DATE(2026,7,1),1))+COUNTIFS(Stripe_Invoices_Upload!$D$4:$D$5003,$A116,Stripe_Invoices_Upload!$E$4:$E$5003,"*Subscription*",Stripe_Invoices_Upload!$A$4:$A$5003,"&gt;="&amp;DATE(2026,7,1),Stripe_Invoices_Upload!$A$4:$A$5003,"&lt;"&amp;EDATE(DATE(2026,7,1),1)))&gt;0,"✓ Invoiced","⚠ Due"),""),""))</f>
        <v/>
      </c>
      <c r="K116" s="130" t="str">
        <f aca="false">IF($A116="","",IF((DATE(YEAR($E116),MONTH($E116),1)&lt;=DATE(2026,8,1)),IF((MOD(DATEDIF(DATE(YEAR($E116),MONTH($E116),1),DATE(2026,8,1),"m"),IF($D116="Quarterly",3,IF($D116="Annual",12,1)))=0),IF((COUNTIFS(Xero_Raw!$D$4:$D$5003,$A116,Xero_Raw!$G$4:$G$5003,"*Subscription*",Xero_Raw!$A$4:$A$5003,"&gt;="&amp;DATE(2026,8,1),Xero_Raw!$A$4:$A$5003,"&lt;"&amp;EDATE(DATE(2026,8,1),1))+COUNTIFS(Customer_Invoices_Upload!$E$4:$E$5003,$A116,Customer_Invoices_Upload!$G$4:$G$5003,"*Subscription*",Customer_Invoices_Upload!$B$4:$B$5003,"&gt;="&amp;DATE(2026,8,1),Customer_Invoices_Upload!$B$4:$B$5003,"&lt;"&amp;EDATE(DATE(2026,8,1),1))+COUNTIFS(Stripe_Invoices_Upload!$D$4:$D$5003,$A116,Stripe_Invoices_Upload!$E$4:$E$5003,"*Subscription*",Stripe_Invoices_Upload!$A$4:$A$5003,"&gt;="&amp;DATE(2026,8,1),Stripe_Invoices_Upload!$A$4:$A$5003,"&lt;"&amp;EDATE(DATE(2026,8,1),1)))&gt;0,"✓ Invoiced","⚠ Due"),""),""))</f>
        <v/>
      </c>
      <c r="L116" s="130" t="str">
        <f aca="false">IF($A116="","",IF((DATE(YEAR($E116),MONTH($E116),1)&lt;=DATE(2026,9,1)),IF((MOD(DATEDIF(DATE(YEAR($E116),MONTH($E116),1),DATE(2026,9,1),"m"),IF($D116="Quarterly",3,IF($D116="Annual",12,1)))=0),IF((COUNTIFS(Xero_Raw!$D$4:$D$5003,$A116,Xero_Raw!$G$4:$G$5003,"*Subscription*",Xero_Raw!$A$4:$A$5003,"&gt;="&amp;DATE(2026,9,1),Xero_Raw!$A$4:$A$5003,"&lt;"&amp;EDATE(DATE(2026,9,1),1))+COUNTIFS(Customer_Invoices_Upload!$E$4:$E$5003,$A116,Customer_Invoices_Upload!$G$4:$G$5003,"*Subscription*",Customer_Invoices_Upload!$B$4:$B$5003,"&gt;="&amp;DATE(2026,9,1),Customer_Invoices_Upload!$B$4:$B$5003,"&lt;"&amp;EDATE(DATE(2026,9,1),1))+COUNTIFS(Stripe_Invoices_Upload!$D$4:$D$5003,$A116,Stripe_Invoices_Upload!$E$4:$E$5003,"*Subscription*",Stripe_Invoices_Upload!$A$4:$A$5003,"&gt;="&amp;DATE(2026,9,1),Stripe_Invoices_Upload!$A$4:$A$5003,"&lt;"&amp;EDATE(DATE(2026,9,1),1)))&gt;0,"✓ Invoiced","⚠ Due"),""),""))</f>
        <v/>
      </c>
      <c r="M116" s="130" t="str">
        <f aca="false">IF($A116="","",IF((DATE(YEAR($E116),MONTH($E116),1)&lt;=DATE(2026,10,1)),IF((MOD(DATEDIF(DATE(YEAR($E116),MONTH($E116),1),DATE(2026,10,1),"m"),IF($D116="Quarterly",3,IF($D116="Annual",12,1)))=0),IF((COUNTIFS(Xero_Raw!$D$4:$D$5003,$A116,Xero_Raw!$G$4:$G$5003,"*Subscription*",Xero_Raw!$A$4:$A$5003,"&gt;="&amp;DATE(2026,10,1),Xero_Raw!$A$4:$A$5003,"&lt;"&amp;EDATE(DATE(2026,10,1),1))+COUNTIFS(Customer_Invoices_Upload!$E$4:$E$5003,$A116,Customer_Invoices_Upload!$G$4:$G$5003,"*Subscription*",Customer_Invoices_Upload!$B$4:$B$5003,"&gt;="&amp;DATE(2026,10,1),Customer_Invoices_Upload!$B$4:$B$5003,"&lt;"&amp;EDATE(DATE(2026,10,1),1))+COUNTIFS(Stripe_Invoices_Upload!$D$4:$D$5003,$A116,Stripe_Invoices_Upload!$E$4:$E$5003,"*Subscription*",Stripe_Invoices_Upload!$A$4:$A$5003,"&gt;="&amp;DATE(2026,10,1),Stripe_Invoices_Upload!$A$4:$A$5003,"&lt;"&amp;EDATE(DATE(2026,10,1),1)))&gt;0,"✓ Invoiced","⚠ Due"),""),""))</f>
        <v/>
      </c>
      <c r="N116" s="130" t="str">
        <f aca="false">IF($A116="","",IF((DATE(YEAR($E116),MONTH($E116),1)&lt;=DATE(2026,11,1)),IF((MOD(DATEDIF(DATE(YEAR($E116),MONTH($E116),1),DATE(2026,11,1),"m"),IF($D116="Quarterly",3,IF($D116="Annual",12,1)))=0),IF((COUNTIFS(Xero_Raw!$D$4:$D$5003,$A116,Xero_Raw!$G$4:$G$5003,"*Subscription*",Xero_Raw!$A$4:$A$5003,"&gt;="&amp;DATE(2026,11,1),Xero_Raw!$A$4:$A$5003,"&lt;"&amp;EDATE(DATE(2026,11,1),1))+COUNTIFS(Customer_Invoices_Upload!$E$4:$E$5003,$A116,Customer_Invoices_Upload!$G$4:$G$5003,"*Subscription*",Customer_Invoices_Upload!$B$4:$B$5003,"&gt;="&amp;DATE(2026,11,1),Customer_Invoices_Upload!$B$4:$B$5003,"&lt;"&amp;EDATE(DATE(2026,11,1),1))+COUNTIFS(Stripe_Invoices_Upload!$D$4:$D$5003,$A116,Stripe_Invoices_Upload!$E$4:$E$5003,"*Subscription*",Stripe_Invoices_Upload!$A$4:$A$5003,"&gt;="&amp;DATE(2026,11,1),Stripe_Invoices_Upload!$A$4:$A$5003,"&lt;"&amp;EDATE(DATE(2026,11,1),1)))&gt;0,"✓ Invoiced","⚠ Due"),""),""))</f>
        <v/>
      </c>
      <c r="O116" s="130" t="str">
        <f aca="false">IF($A116="","",IF((DATE(YEAR($E116),MONTH($E116),1)&lt;=DATE(2026,12,1)),IF((MOD(DATEDIF(DATE(YEAR($E116),MONTH($E116),1),DATE(2026,12,1),"m"),IF($D116="Quarterly",3,IF($D116="Annual",12,1)))=0),IF((COUNTIFS(Xero_Raw!$D$4:$D$5003,$A116,Xero_Raw!$G$4:$G$5003,"*Subscription*",Xero_Raw!$A$4:$A$5003,"&gt;="&amp;DATE(2026,12,1),Xero_Raw!$A$4:$A$5003,"&lt;"&amp;EDATE(DATE(2026,12,1),1))+COUNTIFS(Customer_Invoices_Upload!$E$4:$E$5003,$A116,Customer_Invoices_Upload!$G$4:$G$5003,"*Subscription*",Customer_Invoices_Upload!$B$4:$B$5003,"&gt;="&amp;DATE(2026,12,1),Customer_Invoices_Upload!$B$4:$B$5003,"&lt;"&amp;EDATE(DATE(2026,12,1),1))+COUNTIFS(Stripe_Invoices_Upload!$D$4:$D$5003,$A116,Stripe_Invoices_Upload!$E$4:$E$5003,"*Subscription*",Stripe_Invoices_Upload!$A$4:$A$5003,"&gt;="&amp;DATE(2026,12,1),Stripe_Invoices_Upload!$A$4:$A$5003,"&lt;"&amp;EDATE(DATE(2026,12,1),1)))&gt;0,"✓ Invoiced","⚠ Due"),""),""))</f>
        <v/>
      </c>
      <c r="P116" s="130" t="str">
        <f aca="false">IF($A116="","",IF((DATE(YEAR($E116),MONTH($E116),1)&lt;=DATE(2027,1,1)),IF((MOD(DATEDIF(DATE(YEAR($E116),MONTH($E116),1),DATE(2027,1,1),"m"),IF($D116="Quarterly",3,IF($D116="Annual",12,1)))=0),IF((COUNTIFS(Xero_Raw!$D$4:$D$5003,$A116,Xero_Raw!$G$4:$G$5003,"*Subscription*",Xero_Raw!$A$4:$A$5003,"&gt;="&amp;DATE(2027,1,1),Xero_Raw!$A$4:$A$5003,"&lt;"&amp;EDATE(DATE(2027,1,1),1))+COUNTIFS(Customer_Invoices_Upload!$E$4:$E$5003,$A116,Customer_Invoices_Upload!$G$4:$G$5003,"*Subscription*",Customer_Invoices_Upload!$B$4:$B$5003,"&gt;="&amp;DATE(2027,1,1),Customer_Invoices_Upload!$B$4:$B$5003,"&lt;"&amp;EDATE(DATE(2027,1,1),1))+COUNTIFS(Stripe_Invoices_Upload!$D$4:$D$5003,$A116,Stripe_Invoices_Upload!$E$4:$E$5003,"*Subscription*",Stripe_Invoices_Upload!$A$4:$A$5003,"&gt;="&amp;DATE(2027,1,1),Stripe_Invoices_Upload!$A$4:$A$5003,"&lt;"&amp;EDATE(DATE(2027,1,1),1)))&gt;0,"✓ Invoiced","⚠ Due"),""),""))</f>
        <v/>
      </c>
      <c r="Q116" s="130" t="str">
        <f aca="false">IF($A116="","",IF((DATE(YEAR($E116),MONTH($E116),1)&lt;=DATE(2027,2,1)),IF((MOD(DATEDIF(DATE(YEAR($E116),MONTH($E116),1),DATE(2027,2,1),"m"),IF($D116="Quarterly",3,IF($D116="Annual",12,1)))=0),IF((COUNTIFS(Xero_Raw!$D$4:$D$5003,$A116,Xero_Raw!$G$4:$G$5003,"*Subscription*",Xero_Raw!$A$4:$A$5003,"&gt;="&amp;DATE(2027,2,1),Xero_Raw!$A$4:$A$5003,"&lt;"&amp;EDATE(DATE(2027,2,1),1))+COUNTIFS(Customer_Invoices_Upload!$E$4:$E$5003,$A116,Customer_Invoices_Upload!$G$4:$G$5003,"*Subscription*",Customer_Invoices_Upload!$B$4:$B$5003,"&gt;="&amp;DATE(2027,2,1),Customer_Invoices_Upload!$B$4:$B$5003,"&lt;"&amp;EDATE(DATE(2027,2,1),1))+COUNTIFS(Stripe_Invoices_Upload!$D$4:$D$5003,$A116,Stripe_Invoices_Upload!$E$4:$E$5003,"*Subscription*",Stripe_Invoices_Upload!$A$4:$A$5003,"&gt;="&amp;DATE(2027,2,1),Stripe_Invoices_Upload!$A$4:$A$5003,"&lt;"&amp;EDATE(DATE(2027,2,1),1)))&gt;0,"✓ Invoiced","⚠ Due"),""),""))</f>
        <v/>
      </c>
      <c r="R116" s="130" t="str">
        <f aca="false">IF($A116="","",IF((DATE(YEAR($E116),MONTH($E116),1)&lt;=DATE(2027,3,1)),IF((MOD(DATEDIF(DATE(YEAR($E116),MONTH($E116),1),DATE(2027,3,1),"m"),IF($D116="Quarterly",3,IF($D116="Annual",12,1)))=0),IF((COUNTIFS(Xero_Raw!$D$4:$D$5003,$A116,Xero_Raw!$G$4:$G$5003,"*Subscription*",Xero_Raw!$A$4:$A$5003,"&gt;="&amp;DATE(2027,3,1),Xero_Raw!$A$4:$A$5003,"&lt;"&amp;EDATE(DATE(2027,3,1),1))+COUNTIFS(Customer_Invoices_Upload!$E$4:$E$5003,$A116,Customer_Invoices_Upload!$G$4:$G$5003,"*Subscription*",Customer_Invoices_Upload!$B$4:$B$5003,"&gt;="&amp;DATE(2027,3,1),Customer_Invoices_Upload!$B$4:$B$5003,"&lt;"&amp;EDATE(DATE(2027,3,1),1))+COUNTIFS(Stripe_Invoices_Upload!$D$4:$D$5003,$A116,Stripe_Invoices_Upload!$E$4:$E$5003,"*Subscription*",Stripe_Invoices_Upload!$A$4:$A$5003,"&gt;="&amp;DATE(2027,3,1),Stripe_Invoices_Upload!$A$4:$A$5003,"&lt;"&amp;EDATE(DATE(2027,3,1),1)))&gt;0,"✓ Invoiced","⚠ Due"),""),""))</f>
        <v/>
      </c>
    </row>
    <row r="117" customFormat="false" ht="15" hidden="false" customHeight="false" outlineLevel="0" collapsed="false">
      <c r="A117" s="39"/>
      <c r="B117" s="39"/>
      <c r="C117" s="40"/>
      <c r="D117" s="39"/>
      <c r="E117" s="38"/>
      <c r="F117" s="129" t="str">
        <f aca="true">IF($A117="","",EDATE($E117,DATEDIF($E117,TODAY(),"m")+1))</f>
        <v/>
      </c>
      <c r="G117" s="130" t="str">
        <f aca="false">IF($A117="","",IF((DATE(YEAR($E117),MONTH($E117),1)&lt;=DATE(2026,4,1)),IF((MOD(DATEDIF(DATE(YEAR($E117),MONTH($E117),1),DATE(2026,4,1),"m"),IF($D117="Quarterly",3,IF($D117="Annual",12,1)))=0),IF((COUNTIFS(Xero_Raw!$D$4:$D$5003,$A117,Xero_Raw!$G$4:$G$5003,"*Subscription*",Xero_Raw!$A$4:$A$5003,"&gt;="&amp;DATE(2026,4,1),Xero_Raw!$A$4:$A$5003,"&lt;"&amp;EDATE(DATE(2026,4,1),1))+COUNTIFS(Customer_Invoices_Upload!$E$4:$E$5003,$A117,Customer_Invoices_Upload!$G$4:$G$5003,"*Subscription*",Customer_Invoices_Upload!$B$4:$B$5003,"&gt;="&amp;DATE(2026,4,1),Customer_Invoices_Upload!$B$4:$B$5003,"&lt;"&amp;EDATE(DATE(2026,4,1),1))+COUNTIFS(Stripe_Invoices_Upload!$D$4:$D$5003,$A117,Stripe_Invoices_Upload!$E$4:$E$5003,"*Subscription*",Stripe_Invoices_Upload!$A$4:$A$5003,"&gt;="&amp;DATE(2026,4,1),Stripe_Invoices_Upload!$A$4:$A$5003,"&lt;"&amp;EDATE(DATE(2026,4,1),1)))&gt;0,"✓ Invoiced","⚠ Due"),""),""))</f>
        <v/>
      </c>
      <c r="H117" s="130" t="str">
        <f aca="false">IF($A117="","",IF((DATE(YEAR($E117),MONTH($E117),1)&lt;=DATE(2026,5,1)),IF((MOD(DATEDIF(DATE(YEAR($E117),MONTH($E117),1),DATE(2026,5,1),"m"),IF($D117="Quarterly",3,IF($D117="Annual",12,1)))=0),IF((COUNTIFS(Xero_Raw!$D$4:$D$5003,$A117,Xero_Raw!$G$4:$G$5003,"*Subscription*",Xero_Raw!$A$4:$A$5003,"&gt;="&amp;DATE(2026,5,1),Xero_Raw!$A$4:$A$5003,"&lt;"&amp;EDATE(DATE(2026,5,1),1))+COUNTIFS(Customer_Invoices_Upload!$E$4:$E$5003,$A117,Customer_Invoices_Upload!$G$4:$G$5003,"*Subscription*",Customer_Invoices_Upload!$B$4:$B$5003,"&gt;="&amp;DATE(2026,5,1),Customer_Invoices_Upload!$B$4:$B$5003,"&lt;"&amp;EDATE(DATE(2026,5,1),1))+COUNTIFS(Stripe_Invoices_Upload!$D$4:$D$5003,$A117,Stripe_Invoices_Upload!$E$4:$E$5003,"*Subscription*",Stripe_Invoices_Upload!$A$4:$A$5003,"&gt;="&amp;DATE(2026,5,1),Stripe_Invoices_Upload!$A$4:$A$5003,"&lt;"&amp;EDATE(DATE(2026,5,1),1)))&gt;0,"✓ Invoiced","⚠ Due"),""),""))</f>
        <v/>
      </c>
      <c r="I117" s="130" t="str">
        <f aca="false">IF($A117="","",IF((DATE(YEAR($E117),MONTH($E117),1)&lt;=DATE(2026,6,1)),IF((MOD(DATEDIF(DATE(YEAR($E117),MONTH($E117),1),DATE(2026,6,1),"m"),IF($D117="Quarterly",3,IF($D117="Annual",12,1)))=0),IF((COUNTIFS(Xero_Raw!$D$4:$D$5003,$A117,Xero_Raw!$G$4:$G$5003,"*Subscription*",Xero_Raw!$A$4:$A$5003,"&gt;="&amp;DATE(2026,6,1),Xero_Raw!$A$4:$A$5003,"&lt;"&amp;EDATE(DATE(2026,6,1),1))+COUNTIFS(Customer_Invoices_Upload!$E$4:$E$5003,$A117,Customer_Invoices_Upload!$G$4:$G$5003,"*Subscription*",Customer_Invoices_Upload!$B$4:$B$5003,"&gt;="&amp;DATE(2026,6,1),Customer_Invoices_Upload!$B$4:$B$5003,"&lt;"&amp;EDATE(DATE(2026,6,1),1))+COUNTIFS(Stripe_Invoices_Upload!$D$4:$D$5003,$A117,Stripe_Invoices_Upload!$E$4:$E$5003,"*Subscription*",Stripe_Invoices_Upload!$A$4:$A$5003,"&gt;="&amp;DATE(2026,6,1),Stripe_Invoices_Upload!$A$4:$A$5003,"&lt;"&amp;EDATE(DATE(2026,6,1),1)))&gt;0,"✓ Invoiced","⚠ Due"),""),""))</f>
        <v/>
      </c>
      <c r="J117" s="130" t="str">
        <f aca="false">IF($A117="","",IF((DATE(YEAR($E117),MONTH($E117),1)&lt;=DATE(2026,7,1)),IF((MOD(DATEDIF(DATE(YEAR($E117),MONTH($E117),1),DATE(2026,7,1),"m"),IF($D117="Quarterly",3,IF($D117="Annual",12,1)))=0),IF((COUNTIFS(Xero_Raw!$D$4:$D$5003,$A117,Xero_Raw!$G$4:$G$5003,"*Subscription*",Xero_Raw!$A$4:$A$5003,"&gt;="&amp;DATE(2026,7,1),Xero_Raw!$A$4:$A$5003,"&lt;"&amp;EDATE(DATE(2026,7,1),1))+COUNTIFS(Customer_Invoices_Upload!$E$4:$E$5003,$A117,Customer_Invoices_Upload!$G$4:$G$5003,"*Subscription*",Customer_Invoices_Upload!$B$4:$B$5003,"&gt;="&amp;DATE(2026,7,1),Customer_Invoices_Upload!$B$4:$B$5003,"&lt;"&amp;EDATE(DATE(2026,7,1),1))+COUNTIFS(Stripe_Invoices_Upload!$D$4:$D$5003,$A117,Stripe_Invoices_Upload!$E$4:$E$5003,"*Subscription*",Stripe_Invoices_Upload!$A$4:$A$5003,"&gt;="&amp;DATE(2026,7,1),Stripe_Invoices_Upload!$A$4:$A$5003,"&lt;"&amp;EDATE(DATE(2026,7,1),1)))&gt;0,"✓ Invoiced","⚠ Due"),""),""))</f>
        <v/>
      </c>
      <c r="K117" s="130" t="str">
        <f aca="false">IF($A117="","",IF((DATE(YEAR($E117),MONTH($E117),1)&lt;=DATE(2026,8,1)),IF((MOD(DATEDIF(DATE(YEAR($E117),MONTH($E117),1),DATE(2026,8,1),"m"),IF($D117="Quarterly",3,IF($D117="Annual",12,1)))=0),IF((COUNTIFS(Xero_Raw!$D$4:$D$5003,$A117,Xero_Raw!$G$4:$G$5003,"*Subscription*",Xero_Raw!$A$4:$A$5003,"&gt;="&amp;DATE(2026,8,1),Xero_Raw!$A$4:$A$5003,"&lt;"&amp;EDATE(DATE(2026,8,1),1))+COUNTIFS(Customer_Invoices_Upload!$E$4:$E$5003,$A117,Customer_Invoices_Upload!$G$4:$G$5003,"*Subscription*",Customer_Invoices_Upload!$B$4:$B$5003,"&gt;="&amp;DATE(2026,8,1),Customer_Invoices_Upload!$B$4:$B$5003,"&lt;"&amp;EDATE(DATE(2026,8,1),1))+COUNTIFS(Stripe_Invoices_Upload!$D$4:$D$5003,$A117,Stripe_Invoices_Upload!$E$4:$E$5003,"*Subscription*",Stripe_Invoices_Upload!$A$4:$A$5003,"&gt;="&amp;DATE(2026,8,1),Stripe_Invoices_Upload!$A$4:$A$5003,"&lt;"&amp;EDATE(DATE(2026,8,1),1)))&gt;0,"✓ Invoiced","⚠ Due"),""),""))</f>
        <v/>
      </c>
      <c r="L117" s="130" t="str">
        <f aca="false">IF($A117="","",IF((DATE(YEAR($E117),MONTH($E117),1)&lt;=DATE(2026,9,1)),IF((MOD(DATEDIF(DATE(YEAR($E117),MONTH($E117),1),DATE(2026,9,1),"m"),IF($D117="Quarterly",3,IF($D117="Annual",12,1)))=0),IF((COUNTIFS(Xero_Raw!$D$4:$D$5003,$A117,Xero_Raw!$G$4:$G$5003,"*Subscription*",Xero_Raw!$A$4:$A$5003,"&gt;="&amp;DATE(2026,9,1),Xero_Raw!$A$4:$A$5003,"&lt;"&amp;EDATE(DATE(2026,9,1),1))+COUNTIFS(Customer_Invoices_Upload!$E$4:$E$5003,$A117,Customer_Invoices_Upload!$G$4:$G$5003,"*Subscription*",Customer_Invoices_Upload!$B$4:$B$5003,"&gt;="&amp;DATE(2026,9,1),Customer_Invoices_Upload!$B$4:$B$5003,"&lt;"&amp;EDATE(DATE(2026,9,1),1))+COUNTIFS(Stripe_Invoices_Upload!$D$4:$D$5003,$A117,Stripe_Invoices_Upload!$E$4:$E$5003,"*Subscription*",Stripe_Invoices_Upload!$A$4:$A$5003,"&gt;="&amp;DATE(2026,9,1),Stripe_Invoices_Upload!$A$4:$A$5003,"&lt;"&amp;EDATE(DATE(2026,9,1),1)))&gt;0,"✓ Invoiced","⚠ Due"),""),""))</f>
        <v/>
      </c>
      <c r="M117" s="130" t="str">
        <f aca="false">IF($A117="","",IF((DATE(YEAR($E117),MONTH($E117),1)&lt;=DATE(2026,10,1)),IF((MOD(DATEDIF(DATE(YEAR($E117),MONTH($E117),1),DATE(2026,10,1),"m"),IF($D117="Quarterly",3,IF($D117="Annual",12,1)))=0),IF((COUNTIFS(Xero_Raw!$D$4:$D$5003,$A117,Xero_Raw!$G$4:$G$5003,"*Subscription*",Xero_Raw!$A$4:$A$5003,"&gt;="&amp;DATE(2026,10,1),Xero_Raw!$A$4:$A$5003,"&lt;"&amp;EDATE(DATE(2026,10,1),1))+COUNTIFS(Customer_Invoices_Upload!$E$4:$E$5003,$A117,Customer_Invoices_Upload!$G$4:$G$5003,"*Subscription*",Customer_Invoices_Upload!$B$4:$B$5003,"&gt;="&amp;DATE(2026,10,1),Customer_Invoices_Upload!$B$4:$B$5003,"&lt;"&amp;EDATE(DATE(2026,10,1),1))+COUNTIFS(Stripe_Invoices_Upload!$D$4:$D$5003,$A117,Stripe_Invoices_Upload!$E$4:$E$5003,"*Subscription*",Stripe_Invoices_Upload!$A$4:$A$5003,"&gt;="&amp;DATE(2026,10,1),Stripe_Invoices_Upload!$A$4:$A$5003,"&lt;"&amp;EDATE(DATE(2026,10,1),1)))&gt;0,"✓ Invoiced","⚠ Due"),""),""))</f>
        <v/>
      </c>
      <c r="N117" s="130" t="str">
        <f aca="false">IF($A117="","",IF((DATE(YEAR($E117),MONTH($E117),1)&lt;=DATE(2026,11,1)),IF((MOD(DATEDIF(DATE(YEAR($E117),MONTH($E117),1),DATE(2026,11,1),"m"),IF($D117="Quarterly",3,IF($D117="Annual",12,1)))=0),IF((COUNTIFS(Xero_Raw!$D$4:$D$5003,$A117,Xero_Raw!$G$4:$G$5003,"*Subscription*",Xero_Raw!$A$4:$A$5003,"&gt;="&amp;DATE(2026,11,1),Xero_Raw!$A$4:$A$5003,"&lt;"&amp;EDATE(DATE(2026,11,1),1))+COUNTIFS(Customer_Invoices_Upload!$E$4:$E$5003,$A117,Customer_Invoices_Upload!$G$4:$G$5003,"*Subscription*",Customer_Invoices_Upload!$B$4:$B$5003,"&gt;="&amp;DATE(2026,11,1),Customer_Invoices_Upload!$B$4:$B$5003,"&lt;"&amp;EDATE(DATE(2026,11,1),1))+COUNTIFS(Stripe_Invoices_Upload!$D$4:$D$5003,$A117,Stripe_Invoices_Upload!$E$4:$E$5003,"*Subscription*",Stripe_Invoices_Upload!$A$4:$A$5003,"&gt;="&amp;DATE(2026,11,1),Stripe_Invoices_Upload!$A$4:$A$5003,"&lt;"&amp;EDATE(DATE(2026,11,1),1)))&gt;0,"✓ Invoiced","⚠ Due"),""),""))</f>
        <v/>
      </c>
      <c r="O117" s="130" t="str">
        <f aca="false">IF($A117="","",IF((DATE(YEAR($E117),MONTH($E117),1)&lt;=DATE(2026,12,1)),IF((MOD(DATEDIF(DATE(YEAR($E117),MONTH($E117),1),DATE(2026,12,1),"m"),IF($D117="Quarterly",3,IF($D117="Annual",12,1)))=0),IF((COUNTIFS(Xero_Raw!$D$4:$D$5003,$A117,Xero_Raw!$G$4:$G$5003,"*Subscription*",Xero_Raw!$A$4:$A$5003,"&gt;="&amp;DATE(2026,12,1),Xero_Raw!$A$4:$A$5003,"&lt;"&amp;EDATE(DATE(2026,12,1),1))+COUNTIFS(Customer_Invoices_Upload!$E$4:$E$5003,$A117,Customer_Invoices_Upload!$G$4:$G$5003,"*Subscription*",Customer_Invoices_Upload!$B$4:$B$5003,"&gt;="&amp;DATE(2026,12,1),Customer_Invoices_Upload!$B$4:$B$5003,"&lt;"&amp;EDATE(DATE(2026,12,1),1))+COUNTIFS(Stripe_Invoices_Upload!$D$4:$D$5003,$A117,Stripe_Invoices_Upload!$E$4:$E$5003,"*Subscription*",Stripe_Invoices_Upload!$A$4:$A$5003,"&gt;="&amp;DATE(2026,12,1),Stripe_Invoices_Upload!$A$4:$A$5003,"&lt;"&amp;EDATE(DATE(2026,12,1),1)))&gt;0,"✓ Invoiced","⚠ Due"),""),""))</f>
        <v/>
      </c>
      <c r="P117" s="130" t="str">
        <f aca="false">IF($A117="","",IF((DATE(YEAR($E117),MONTH($E117),1)&lt;=DATE(2027,1,1)),IF((MOD(DATEDIF(DATE(YEAR($E117),MONTH($E117),1),DATE(2027,1,1),"m"),IF($D117="Quarterly",3,IF($D117="Annual",12,1)))=0),IF((COUNTIFS(Xero_Raw!$D$4:$D$5003,$A117,Xero_Raw!$G$4:$G$5003,"*Subscription*",Xero_Raw!$A$4:$A$5003,"&gt;="&amp;DATE(2027,1,1),Xero_Raw!$A$4:$A$5003,"&lt;"&amp;EDATE(DATE(2027,1,1),1))+COUNTIFS(Customer_Invoices_Upload!$E$4:$E$5003,$A117,Customer_Invoices_Upload!$G$4:$G$5003,"*Subscription*",Customer_Invoices_Upload!$B$4:$B$5003,"&gt;="&amp;DATE(2027,1,1),Customer_Invoices_Upload!$B$4:$B$5003,"&lt;"&amp;EDATE(DATE(2027,1,1),1))+COUNTIFS(Stripe_Invoices_Upload!$D$4:$D$5003,$A117,Stripe_Invoices_Upload!$E$4:$E$5003,"*Subscription*",Stripe_Invoices_Upload!$A$4:$A$5003,"&gt;="&amp;DATE(2027,1,1),Stripe_Invoices_Upload!$A$4:$A$5003,"&lt;"&amp;EDATE(DATE(2027,1,1),1)))&gt;0,"✓ Invoiced","⚠ Due"),""),""))</f>
        <v/>
      </c>
      <c r="Q117" s="130" t="str">
        <f aca="false">IF($A117="","",IF((DATE(YEAR($E117),MONTH($E117),1)&lt;=DATE(2027,2,1)),IF((MOD(DATEDIF(DATE(YEAR($E117),MONTH($E117),1),DATE(2027,2,1),"m"),IF($D117="Quarterly",3,IF($D117="Annual",12,1)))=0),IF((COUNTIFS(Xero_Raw!$D$4:$D$5003,$A117,Xero_Raw!$G$4:$G$5003,"*Subscription*",Xero_Raw!$A$4:$A$5003,"&gt;="&amp;DATE(2027,2,1),Xero_Raw!$A$4:$A$5003,"&lt;"&amp;EDATE(DATE(2027,2,1),1))+COUNTIFS(Customer_Invoices_Upload!$E$4:$E$5003,$A117,Customer_Invoices_Upload!$G$4:$G$5003,"*Subscription*",Customer_Invoices_Upload!$B$4:$B$5003,"&gt;="&amp;DATE(2027,2,1),Customer_Invoices_Upload!$B$4:$B$5003,"&lt;"&amp;EDATE(DATE(2027,2,1),1))+COUNTIFS(Stripe_Invoices_Upload!$D$4:$D$5003,$A117,Stripe_Invoices_Upload!$E$4:$E$5003,"*Subscription*",Stripe_Invoices_Upload!$A$4:$A$5003,"&gt;="&amp;DATE(2027,2,1),Stripe_Invoices_Upload!$A$4:$A$5003,"&lt;"&amp;EDATE(DATE(2027,2,1),1)))&gt;0,"✓ Invoiced","⚠ Due"),""),""))</f>
        <v/>
      </c>
      <c r="R117" s="130" t="str">
        <f aca="false">IF($A117="","",IF((DATE(YEAR($E117),MONTH($E117),1)&lt;=DATE(2027,3,1)),IF((MOD(DATEDIF(DATE(YEAR($E117),MONTH($E117),1),DATE(2027,3,1),"m"),IF($D117="Quarterly",3,IF($D117="Annual",12,1)))=0),IF((COUNTIFS(Xero_Raw!$D$4:$D$5003,$A117,Xero_Raw!$G$4:$G$5003,"*Subscription*",Xero_Raw!$A$4:$A$5003,"&gt;="&amp;DATE(2027,3,1),Xero_Raw!$A$4:$A$5003,"&lt;"&amp;EDATE(DATE(2027,3,1),1))+COUNTIFS(Customer_Invoices_Upload!$E$4:$E$5003,$A117,Customer_Invoices_Upload!$G$4:$G$5003,"*Subscription*",Customer_Invoices_Upload!$B$4:$B$5003,"&gt;="&amp;DATE(2027,3,1),Customer_Invoices_Upload!$B$4:$B$5003,"&lt;"&amp;EDATE(DATE(2027,3,1),1))+COUNTIFS(Stripe_Invoices_Upload!$D$4:$D$5003,$A117,Stripe_Invoices_Upload!$E$4:$E$5003,"*Subscription*",Stripe_Invoices_Upload!$A$4:$A$5003,"&gt;="&amp;DATE(2027,3,1),Stripe_Invoices_Upload!$A$4:$A$5003,"&lt;"&amp;EDATE(DATE(2027,3,1),1)))&gt;0,"✓ Invoiced","⚠ Due"),""),""))</f>
        <v/>
      </c>
    </row>
    <row r="118" customFormat="false" ht="15" hidden="false" customHeight="false" outlineLevel="0" collapsed="false">
      <c r="A118" s="39"/>
      <c r="B118" s="39"/>
      <c r="C118" s="40"/>
      <c r="D118" s="39"/>
      <c r="E118" s="38"/>
      <c r="F118" s="129" t="str">
        <f aca="true">IF($A118="","",EDATE($E118,DATEDIF($E118,TODAY(),"m")+1))</f>
        <v/>
      </c>
      <c r="G118" s="130" t="str">
        <f aca="false">IF($A118="","",IF((DATE(YEAR($E118),MONTH($E118),1)&lt;=DATE(2026,4,1)),IF((MOD(DATEDIF(DATE(YEAR($E118),MONTH($E118),1),DATE(2026,4,1),"m"),IF($D118="Quarterly",3,IF($D118="Annual",12,1)))=0),IF((COUNTIFS(Xero_Raw!$D$4:$D$5003,$A118,Xero_Raw!$G$4:$G$5003,"*Subscription*",Xero_Raw!$A$4:$A$5003,"&gt;="&amp;DATE(2026,4,1),Xero_Raw!$A$4:$A$5003,"&lt;"&amp;EDATE(DATE(2026,4,1),1))+COUNTIFS(Customer_Invoices_Upload!$E$4:$E$5003,$A118,Customer_Invoices_Upload!$G$4:$G$5003,"*Subscription*",Customer_Invoices_Upload!$B$4:$B$5003,"&gt;="&amp;DATE(2026,4,1),Customer_Invoices_Upload!$B$4:$B$5003,"&lt;"&amp;EDATE(DATE(2026,4,1),1))+COUNTIFS(Stripe_Invoices_Upload!$D$4:$D$5003,$A118,Stripe_Invoices_Upload!$E$4:$E$5003,"*Subscription*",Stripe_Invoices_Upload!$A$4:$A$5003,"&gt;="&amp;DATE(2026,4,1),Stripe_Invoices_Upload!$A$4:$A$5003,"&lt;"&amp;EDATE(DATE(2026,4,1),1)))&gt;0,"✓ Invoiced","⚠ Due"),""),""))</f>
        <v/>
      </c>
      <c r="H118" s="130" t="str">
        <f aca="false">IF($A118="","",IF((DATE(YEAR($E118),MONTH($E118),1)&lt;=DATE(2026,5,1)),IF((MOD(DATEDIF(DATE(YEAR($E118),MONTH($E118),1),DATE(2026,5,1),"m"),IF($D118="Quarterly",3,IF($D118="Annual",12,1)))=0),IF((COUNTIFS(Xero_Raw!$D$4:$D$5003,$A118,Xero_Raw!$G$4:$G$5003,"*Subscription*",Xero_Raw!$A$4:$A$5003,"&gt;="&amp;DATE(2026,5,1),Xero_Raw!$A$4:$A$5003,"&lt;"&amp;EDATE(DATE(2026,5,1),1))+COUNTIFS(Customer_Invoices_Upload!$E$4:$E$5003,$A118,Customer_Invoices_Upload!$G$4:$G$5003,"*Subscription*",Customer_Invoices_Upload!$B$4:$B$5003,"&gt;="&amp;DATE(2026,5,1),Customer_Invoices_Upload!$B$4:$B$5003,"&lt;"&amp;EDATE(DATE(2026,5,1),1))+COUNTIFS(Stripe_Invoices_Upload!$D$4:$D$5003,$A118,Stripe_Invoices_Upload!$E$4:$E$5003,"*Subscription*",Stripe_Invoices_Upload!$A$4:$A$5003,"&gt;="&amp;DATE(2026,5,1),Stripe_Invoices_Upload!$A$4:$A$5003,"&lt;"&amp;EDATE(DATE(2026,5,1),1)))&gt;0,"✓ Invoiced","⚠ Due"),""),""))</f>
        <v/>
      </c>
      <c r="I118" s="130" t="str">
        <f aca="false">IF($A118="","",IF((DATE(YEAR($E118),MONTH($E118),1)&lt;=DATE(2026,6,1)),IF((MOD(DATEDIF(DATE(YEAR($E118),MONTH($E118),1),DATE(2026,6,1),"m"),IF($D118="Quarterly",3,IF($D118="Annual",12,1)))=0),IF((COUNTIFS(Xero_Raw!$D$4:$D$5003,$A118,Xero_Raw!$G$4:$G$5003,"*Subscription*",Xero_Raw!$A$4:$A$5003,"&gt;="&amp;DATE(2026,6,1),Xero_Raw!$A$4:$A$5003,"&lt;"&amp;EDATE(DATE(2026,6,1),1))+COUNTIFS(Customer_Invoices_Upload!$E$4:$E$5003,$A118,Customer_Invoices_Upload!$G$4:$G$5003,"*Subscription*",Customer_Invoices_Upload!$B$4:$B$5003,"&gt;="&amp;DATE(2026,6,1),Customer_Invoices_Upload!$B$4:$B$5003,"&lt;"&amp;EDATE(DATE(2026,6,1),1))+COUNTIFS(Stripe_Invoices_Upload!$D$4:$D$5003,$A118,Stripe_Invoices_Upload!$E$4:$E$5003,"*Subscription*",Stripe_Invoices_Upload!$A$4:$A$5003,"&gt;="&amp;DATE(2026,6,1),Stripe_Invoices_Upload!$A$4:$A$5003,"&lt;"&amp;EDATE(DATE(2026,6,1),1)))&gt;0,"✓ Invoiced","⚠ Due"),""),""))</f>
        <v/>
      </c>
      <c r="J118" s="130" t="str">
        <f aca="false">IF($A118="","",IF((DATE(YEAR($E118),MONTH($E118),1)&lt;=DATE(2026,7,1)),IF((MOD(DATEDIF(DATE(YEAR($E118),MONTH($E118),1),DATE(2026,7,1),"m"),IF($D118="Quarterly",3,IF($D118="Annual",12,1)))=0),IF((COUNTIFS(Xero_Raw!$D$4:$D$5003,$A118,Xero_Raw!$G$4:$G$5003,"*Subscription*",Xero_Raw!$A$4:$A$5003,"&gt;="&amp;DATE(2026,7,1),Xero_Raw!$A$4:$A$5003,"&lt;"&amp;EDATE(DATE(2026,7,1),1))+COUNTIFS(Customer_Invoices_Upload!$E$4:$E$5003,$A118,Customer_Invoices_Upload!$G$4:$G$5003,"*Subscription*",Customer_Invoices_Upload!$B$4:$B$5003,"&gt;="&amp;DATE(2026,7,1),Customer_Invoices_Upload!$B$4:$B$5003,"&lt;"&amp;EDATE(DATE(2026,7,1),1))+COUNTIFS(Stripe_Invoices_Upload!$D$4:$D$5003,$A118,Stripe_Invoices_Upload!$E$4:$E$5003,"*Subscription*",Stripe_Invoices_Upload!$A$4:$A$5003,"&gt;="&amp;DATE(2026,7,1),Stripe_Invoices_Upload!$A$4:$A$5003,"&lt;"&amp;EDATE(DATE(2026,7,1),1)))&gt;0,"✓ Invoiced","⚠ Due"),""),""))</f>
        <v/>
      </c>
      <c r="K118" s="130" t="str">
        <f aca="false">IF($A118="","",IF((DATE(YEAR($E118),MONTH($E118),1)&lt;=DATE(2026,8,1)),IF((MOD(DATEDIF(DATE(YEAR($E118),MONTH($E118),1),DATE(2026,8,1),"m"),IF($D118="Quarterly",3,IF($D118="Annual",12,1)))=0),IF((COUNTIFS(Xero_Raw!$D$4:$D$5003,$A118,Xero_Raw!$G$4:$G$5003,"*Subscription*",Xero_Raw!$A$4:$A$5003,"&gt;="&amp;DATE(2026,8,1),Xero_Raw!$A$4:$A$5003,"&lt;"&amp;EDATE(DATE(2026,8,1),1))+COUNTIFS(Customer_Invoices_Upload!$E$4:$E$5003,$A118,Customer_Invoices_Upload!$G$4:$G$5003,"*Subscription*",Customer_Invoices_Upload!$B$4:$B$5003,"&gt;="&amp;DATE(2026,8,1),Customer_Invoices_Upload!$B$4:$B$5003,"&lt;"&amp;EDATE(DATE(2026,8,1),1))+COUNTIFS(Stripe_Invoices_Upload!$D$4:$D$5003,$A118,Stripe_Invoices_Upload!$E$4:$E$5003,"*Subscription*",Stripe_Invoices_Upload!$A$4:$A$5003,"&gt;="&amp;DATE(2026,8,1),Stripe_Invoices_Upload!$A$4:$A$5003,"&lt;"&amp;EDATE(DATE(2026,8,1),1)))&gt;0,"✓ Invoiced","⚠ Due"),""),""))</f>
        <v/>
      </c>
      <c r="L118" s="130" t="str">
        <f aca="false">IF($A118="","",IF((DATE(YEAR($E118),MONTH($E118),1)&lt;=DATE(2026,9,1)),IF((MOD(DATEDIF(DATE(YEAR($E118),MONTH($E118),1),DATE(2026,9,1),"m"),IF($D118="Quarterly",3,IF($D118="Annual",12,1)))=0),IF((COUNTIFS(Xero_Raw!$D$4:$D$5003,$A118,Xero_Raw!$G$4:$G$5003,"*Subscription*",Xero_Raw!$A$4:$A$5003,"&gt;="&amp;DATE(2026,9,1),Xero_Raw!$A$4:$A$5003,"&lt;"&amp;EDATE(DATE(2026,9,1),1))+COUNTIFS(Customer_Invoices_Upload!$E$4:$E$5003,$A118,Customer_Invoices_Upload!$G$4:$G$5003,"*Subscription*",Customer_Invoices_Upload!$B$4:$B$5003,"&gt;="&amp;DATE(2026,9,1),Customer_Invoices_Upload!$B$4:$B$5003,"&lt;"&amp;EDATE(DATE(2026,9,1),1))+COUNTIFS(Stripe_Invoices_Upload!$D$4:$D$5003,$A118,Stripe_Invoices_Upload!$E$4:$E$5003,"*Subscription*",Stripe_Invoices_Upload!$A$4:$A$5003,"&gt;="&amp;DATE(2026,9,1),Stripe_Invoices_Upload!$A$4:$A$5003,"&lt;"&amp;EDATE(DATE(2026,9,1),1)))&gt;0,"✓ Invoiced","⚠ Due"),""),""))</f>
        <v/>
      </c>
      <c r="M118" s="130" t="str">
        <f aca="false">IF($A118="","",IF((DATE(YEAR($E118),MONTH($E118),1)&lt;=DATE(2026,10,1)),IF((MOD(DATEDIF(DATE(YEAR($E118),MONTH($E118),1),DATE(2026,10,1),"m"),IF($D118="Quarterly",3,IF($D118="Annual",12,1)))=0),IF((COUNTIFS(Xero_Raw!$D$4:$D$5003,$A118,Xero_Raw!$G$4:$G$5003,"*Subscription*",Xero_Raw!$A$4:$A$5003,"&gt;="&amp;DATE(2026,10,1),Xero_Raw!$A$4:$A$5003,"&lt;"&amp;EDATE(DATE(2026,10,1),1))+COUNTIFS(Customer_Invoices_Upload!$E$4:$E$5003,$A118,Customer_Invoices_Upload!$G$4:$G$5003,"*Subscription*",Customer_Invoices_Upload!$B$4:$B$5003,"&gt;="&amp;DATE(2026,10,1),Customer_Invoices_Upload!$B$4:$B$5003,"&lt;"&amp;EDATE(DATE(2026,10,1),1))+COUNTIFS(Stripe_Invoices_Upload!$D$4:$D$5003,$A118,Stripe_Invoices_Upload!$E$4:$E$5003,"*Subscription*",Stripe_Invoices_Upload!$A$4:$A$5003,"&gt;="&amp;DATE(2026,10,1),Stripe_Invoices_Upload!$A$4:$A$5003,"&lt;"&amp;EDATE(DATE(2026,10,1),1)))&gt;0,"✓ Invoiced","⚠ Due"),""),""))</f>
        <v/>
      </c>
      <c r="N118" s="130" t="str">
        <f aca="false">IF($A118="","",IF((DATE(YEAR($E118),MONTH($E118),1)&lt;=DATE(2026,11,1)),IF((MOD(DATEDIF(DATE(YEAR($E118),MONTH($E118),1),DATE(2026,11,1),"m"),IF($D118="Quarterly",3,IF($D118="Annual",12,1)))=0),IF((COUNTIFS(Xero_Raw!$D$4:$D$5003,$A118,Xero_Raw!$G$4:$G$5003,"*Subscription*",Xero_Raw!$A$4:$A$5003,"&gt;="&amp;DATE(2026,11,1),Xero_Raw!$A$4:$A$5003,"&lt;"&amp;EDATE(DATE(2026,11,1),1))+COUNTIFS(Customer_Invoices_Upload!$E$4:$E$5003,$A118,Customer_Invoices_Upload!$G$4:$G$5003,"*Subscription*",Customer_Invoices_Upload!$B$4:$B$5003,"&gt;="&amp;DATE(2026,11,1),Customer_Invoices_Upload!$B$4:$B$5003,"&lt;"&amp;EDATE(DATE(2026,11,1),1))+COUNTIFS(Stripe_Invoices_Upload!$D$4:$D$5003,$A118,Stripe_Invoices_Upload!$E$4:$E$5003,"*Subscription*",Stripe_Invoices_Upload!$A$4:$A$5003,"&gt;="&amp;DATE(2026,11,1),Stripe_Invoices_Upload!$A$4:$A$5003,"&lt;"&amp;EDATE(DATE(2026,11,1),1)))&gt;0,"✓ Invoiced","⚠ Due"),""),""))</f>
        <v/>
      </c>
      <c r="O118" s="130" t="str">
        <f aca="false">IF($A118="","",IF((DATE(YEAR($E118),MONTH($E118),1)&lt;=DATE(2026,12,1)),IF((MOD(DATEDIF(DATE(YEAR($E118),MONTH($E118),1),DATE(2026,12,1),"m"),IF($D118="Quarterly",3,IF($D118="Annual",12,1)))=0),IF((COUNTIFS(Xero_Raw!$D$4:$D$5003,$A118,Xero_Raw!$G$4:$G$5003,"*Subscription*",Xero_Raw!$A$4:$A$5003,"&gt;="&amp;DATE(2026,12,1),Xero_Raw!$A$4:$A$5003,"&lt;"&amp;EDATE(DATE(2026,12,1),1))+COUNTIFS(Customer_Invoices_Upload!$E$4:$E$5003,$A118,Customer_Invoices_Upload!$G$4:$G$5003,"*Subscription*",Customer_Invoices_Upload!$B$4:$B$5003,"&gt;="&amp;DATE(2026,12,1),Customer_Invoices_Upload!$B$4:$B$5003,"&lt;"&amp;EDATE(DATE(2026,12,1),1))+COUNTIFS(Stripe_Invoices_Upload!$D$4:$D$5003,$A118,Stripe_Invoices_Upload!$E$4:$E$5003,"*Subscription*",Stripe_Invoices_Upload!$A$4:$A$5003,"&gt;="&amp;DATE(2026,12,1),Stripe_Invoices_Upload!$A$4:$A$5003,"&lt;"&amp;EDATE(DATE(2026,12,1),1)))&gt;0,"✓ Invoiced","⚠ Due"),""),""))</f>
        <v/>
      </c>
      <c r="P118" s="130" t="str">
        <f aca="false">IF($A118="","",IF((DATE(YEAR($E118),MONTH($E118),1)&lt;=DATE(2027,1,1)),IF((MOD(DATEDIF(DATE(YEAR($E118),MONTH($E118),1),DATE(2027,1,1),"m"),IF($D118="Quarterly",3,IF($D118="Annual",12,1)))=0),IF((COUNTIFS(Xero_Raw!$D$4:$D$5003,$A118,Xero_Raw!$G$4:$G$5003,"*Subscription*",Xero_Raw!$A$4:$A$5003,"&gt;="&amp;DATE(2027,1,1),Xero_Raw!$A$4:$A$5003,"&lt;"&amp;EDATE(DATE(2027,1,1),1))+COUNTIFS(Customer_Invoices_Upload!$E$4:$E$5003,$A118,Customer_Invoices_Upload!$G$4:$G$5003,"*Subscription*",Customer_Invoices_Upload!$B$4:$B$5003,"&gt;="&amp;DATE(2027,1,1),Customer_Invoices_Upload!$B$4:$B$5003,"&lt;"&amp;EDATE(DATE(2027,1,1),1))+COUNTIFS(Stripe_Invoices_Upload!$D$4:$D$5003,$A118,Stripe_Invoices_Upload!$E$4:$E$5003,"*Subscription*",Stripe_Invoices_Upload!$A$4:$A$5003,"&gt;="&amp;DATE(2027,1,1),Stripe_Invoices_Upload!$A$4:$A$5003,"&lt;"&amp;EDATE(DATE(2027,1,1),1)))&gt;0,"✓ Invoiced","⚠ Due"),""),""))</f>
        <v/>
      </c>
      <c r="Q118" s="130" t="str">
        <f aca="false">IF($A118="","",IF((DATE(YEAR($E118),MONTH($E118),1)&lt;=DATE(2027,2,1)),IF((MOD(DATEDIF(DATE(YEAR($E118),MONTH($E118),1),DATE(2027,2,1),"m"),IF($D118="Quarterly",3,IF($D118="Annual",12,1)))=0),IF((COUNTIFS(Xero_Raw!$D$4:$D$5003,$A118,Xero_Raw!$G$4:$G$5003,"*Subscription*",Xero_Raw!$A$4:$A$5003,"&gt;="&amp;DATE(2027,2,1),Xero_Raw!$A$4:$A$5003,"&lt;"&amp;EDATE(DATE(2027,2,1),1))+COUNTIFS(Customer_Invoices_Upload!$E$4:$E$5003,$A118,Customer_Invoices_Upload!$G$4:$G$5003,"*Subscription*",Customer_Invoices_Upload!$B$4:$B$5003,"&gt;="&amp;DATE(2027,2,1),Customer_Invoices_Upload!$B$4:$B$5003,"&lt;"&amp;EDATE(DATE(2027,2,1),1))+COUNTIFS(Stripe_Invoices_Upload!$D$4:$D$5003,$A118,Stripe_Invoices_Upload!$E$4:$E$5003,"*Subscription*",Stripe_Invoices_Upload!$A$4:$A$5003,"&gt;="&amp;DATE(2027,2,1),Stripe_Invoices_Upload!$A$4:$A$5003,"&lt;"&amp;EDATE(DATE(2027,2,1),1)))&gt;0,"✓ Invoiced","⚠ Due"),""),""))</f>
        <v/>
      </c>
      <c r="R118" s="130" t="str">
        <f aca="false">IF($A118="","",IF((DATE(YEAR($E118),MONTH($E118),1)&lt;=DATE(2027,3,1)),IF((MOD(DATEDIF(DATE(YEAR($E118),MONTH($E118),1),DATE(2027,3,1),"m"),IF($D118="Quarterly",3,IF($D118="Annual",12,1)))=0),IF((COUNTIFS(Xero_Raw!$D$4:$D$5003,$A118,Xero_Raw!$G$4:$G$5003,"*Subscription*",Xero_Raw!$A$4:$A$5003,"&gt;="&amp;DATE(2027,3,1),Xero_Raw!$A$4:$A$5003,"&lt;"&amp;EDATE(DATE(2027,3,1),1))+COUNTIFS(Customer_Invoices_Upload!$E$4:$E$5003,$A118,Customer_Invoices_Upload!$G$4:$G$5003,"*Subscription*",Customer_Invoices_Upload!$B$4:$B$5003,"&gt;="&amp;DATE(2027,3,1),Customer_Invoices_Upload!$B$4:$B$5003,"&lt;"&amp;EDATE(DATE(2027,3,1),1))+COUNTIFS(Stripe_Invoices_Upload!$D$4:$D$5003,$A118,Stripe_Invoices_Upload!$E$4:$E$5003,"*Subscription*",Stripe_Invoices_Upload!$A$4:$A$5003,"&gt;="&amp;DATE(2027,3,1),Stripe_Invoices_Upload!$A$4:$A$5003,"&lt;"&amp;EDATE(DATE(2027,3,1),1)))&gt;0,"✓ Invoiced","⚠ Due"),""),""))</f>
        <v/>
      </c>
    </row>
    <row r="119" customFormat="false" ht="15" hidden="false" customHeight="false" outlineLevel="0" collapsed="false">
      <c r="A119" s="39"/>
      <c r="B119" s="39"/>
      <c r="C119" s="40"/>
      <c r="D119" s="39"/>
      <c r="E119" s="38"/>
      <c r="F119" s="129" t="str">
        <f aca="true">IF($A119="","",EDATE($E119,DATEDIF($E119,TODAY(),"m")+1))</f>
        <v/>
      </c>
      <c r="G119" s="130" t="str">
        <f aca="false">IF($A119="","",IF((DATE(YEAR($E119),MONTH($E119),1)&lt;=DATE(2026,4,1)),IF((MOD(DATEDIF(DATE(YEAR($E119),MONTH($E119),1),DATE(2026,4,1),"m"),IF($D119="Quarterly",3,IF($D119="Annual",12,1)))=0),IF((COUNTIFS(Xero_Raw!$D$4:$D$5003,$A119,Xero_Raw!$G$4:$G$5003,"*Subscription*",Xero_Raw!$A$4:$A$5003,"&gt;="&amp;DATE(2026,4,1),Xero_Raw!$A$4:$A$5003,"&lt;"&amp;EDATE(DATE(2026,4,1),1))+COUNTIFS(Customer_Invoices_Upload!$E$4:$E$5003,$A119,Customer_Invoices_Upload!$G$4:$G$5003,"*Subscription*",Customer_Invoices_Upload!$B$4:$B$5003,"&gt;="&amp;DATE(2026,4,1),Customer_Invoices_Upload!$B$4:$B$5003,"&lt;"&amp;EDATE(DATE(2026,4,1),1))+COUNTIFS(Stripe_Invoices_Upload!$D$4:$D$5003,$A119,Stripe_Invoices_Upload!$E$4:$E$5003,"*Subscription*",Stripe_Invoices_Upload!$A$4:$A$5003,"&gt;="&amp;DATE(2026,4,1),Stripe_Invoices_Upload!$A$4:$A$5003,"&lt;"&amp;EDATE(DATE(2026,4,1),1)))&gt;0,"✓ Invoiced","⚠ Due"),""),""))</f>
        <v/>
      </c>
      <c r="H119" s="130" t="str">
        <f aca="false">IF($A119="","",IF((DATE(YEAR($E119),MONTH($E119),1)&lt;=DATE(2026,5,1)),IF((MOD(DATEDIF(DATE(YEAR($E119),MONTH($E119),1),DATE(2026,5,1),"m"),IF($D119="Quarterly",3,IF($D119="Annual",12,1)))=0),IF((COUNTIFS(Xero_Raw!$D$4:$D$5003,$A119,Xero_Raw!$G$4:$G$5003,"*Subscription*",Xero_Raw!$A$4:$A$5003,"&gt;="&amp;DATE(2026,5,1),Xero_Raw!$A$4:$A$5003,"&lt;"&amp;EDATE(DATE(2026,5,1),1))+COUNTIFS(Customer_Invoices_Upload!$E$4:$E$5003,$A119,Customer_Invoices_Upload!$G$4:$G$5003,"*Subscription*",Customer_Invoices_Upload!$B$4:$B$5003,"&gt;="&amp;DATE(2026,5,1),Customer_Invoices_Upload!$B$4:$B$5003,"&lt;"&amp;EDATE(DATE(2026,5,1),1))+COUNTIFS(Stripe_Invoices_Upload!$D$4:$D$5003,$A119,Stripe_Invoices_Upload!$E$4:$E$5003,"*Subscription*",Stripe_Invoices_Upload!$A$4:$A$5003,"&gt;="&amp;DATE(2026,5,1),Stripe_Invoices_Upload!$A$4:$A$5003,"&lt;"&amp;EDATE(DATE(2026,5,1),1)))&gt;0,"✓ Invoiced","⚠ Due"),""),""))</f>
        <v/>
      </c>
      <c r="I119" s="130" t="str">
        <f aca="false">IF($A119="","",IF((DATE(YEAR($E119),MONTH($E119),1)&lt;=DATE(2026,6,1)),IF((MOD(DATEDIF(DATE(YEAR($E119),MONTH($E119),1),DATE(2026,6,1),"m"),IF($D119="Quarterly",3,IF($D119="Annual",12,1)))=0),IF((COUNTIFS(Xero_Raw!$D$4:$D$5003,$A119,Xero_Raw!$G$4:$G$5003,"*Subscription*",Xero_Raw!$A$4:$A$5003,"&gt;="&amp;DATE(2026,6,1),Xero_Raw!$A$4:$A$5003,"&lt;"&amp;EDATE(DATE(2026,6,1),1))+COUNTIFS(Customer_Invoices_Upload!$E$4:$E$5003,$A119,Customer_Invoices_Upload!$G$4:$G$5003,"*Subscription*",Customer_Invoices_Upload!$B$4:$B$5003,"&gt;="&amp;DATE(2026,6,1),Customer_Invoices_Upload!$B$4:$B$5003,"&lt;"&amp;EDATE(DATE(2026,6,1),1))+COUNTIFS(Stripe_Invoices_Upload!$D$4:$D$5003,$A119,Stripe_Invoices_Upload!$E$4:$E$5003,"*Subscription*",Stripe_Invoices_Upload!$A$4:$A$5003,"&gt;="&amp;DATE(2026,6,1),Stripe_Invoices_Upload!$A$4:$A$5003,"&lt;"&amp;EDATE(DATE(2026,6,1),1)))&gt;0,"✓ Invoiced","⚠ Due"),""),""))</f>
        <v/>
      </c>
      <c r="J119" s="130" t="str">
        <f aca="false">IF($A119="","",IF((DATE(YEAR($E119),MONTH($E119),1)&lt;=DATE(2026,7,1)),IF((MOD(DATEDIF(DATE(YEAR($E119),MONTH($E119),1),DATE(2026,7,1),"m"),IF($D119="Quarterly",3,IF($D119="Annual",12,1)))=0),IF((COUNTIFS(Xero_Raw!$D$4:$D$5003,$A119,Xero_Raw!$G$4:$G$5003,"*Subscription*",Xero_Raw!$A$4:$A$5003,"&gt;="&amp;DATE(2026,7,1),Xero_Raw!$A$4:$A$5003,"&lt;"&amp;EDATE(DATE(2026,7,1),1))+COUNTIFS(Customer_Invoices_Upload!$E$4:$E$5003,$A119,Customer_Invoices_Upload!$G$4:$G$5003,"*Subscription*",Customer_Invoices_Upload!$B$4:$B$5003,"&gt;="&amp;DATE(2026,7,1),Customer_Invoices_Upload!$B$4:$B$5003,"&lt;"&amp;EDATE(DATE(2026,7,1),1))+COUNTIFS(Stripe_Invoices_Upload!$D$4:$D$5003,$A119,Stripe_Invoices_Upload!$E$4:$E$5003,"*Subscription*",Stripe_Invoices_Upload!$A$4:$A$5003,"&gt;="&amp;DATE(2026,7,1),Stripe_Invoices_Upload!$A$4:$A$5003,"&lt;"&amp;EDATE(DATE(2026,7,1),1)))&gt;0,"✓ Invoiced","⚠ Due"),""),""))</f>
        <v/>
      </c>
      <c r="K119" s="130" t="str">
        <f aca="false">IF($A119="","",IF((DATE(YEAR($E119),MONTH($E119),1)&lt;=DATE(2026,8,1)),IF((MOD(DATEDIF(DATE(YEAR($E119),MONTH($E119),1),DATE(2026,8,1),"m"),IF($D119="Quarterly",3,IF($D119="Annual",12,1)))=0),IF((COUNTIFS(Xero_Raw!$D$4:$D$5003,$A119,Xero_Raw!$G$4:$G$5003,"*Subscription*",Xero_Raw!$A$4:$A$5003,"&gt;="&amp;DATE(2026,8,1),Xero_Raw!$A$4:$A$5003,"&lt;"&amp;EDATE(DATE(2026,8,1),1))+COUNTIFS(Customer_Invoices_Upload!$E$4:$E$5003,$A119,Customer_Invoices_Upload!$G$4:$G$5003,"*Subscription*",Customer_Invoices_Upload!$B$4:$B$5003,"&gt;="&amp;DATE(2026,8,1),Customer_Invoices_Upload!$B$4:$B$5003,"&lt;"&amp;EDATE(DATE(2026,8,1),1))+COUNTIFS(Stripe_Invoices_Upload!$D$4:$D$5003,$A119,Stripe_Invoices_Upload!$E$4:$E$5003,"*Subscription*",Stripe_Invoices_Upload!$A$4:$A$5003,"&gt;="&amp;DATE(2026,8,1),Stripe_Invoices_Upload!$A$4:$A$5003,"&lt;"&amp;EDATE(DATE(2026,8,1),1)))&gt;0,"✓ Invoiced","⚠ Due"),""),""))</f>
        <v/>
      </c>
      <c r="L119" s="130" t="str">
        <f aca="false">IF($A119="","",IF((DATE(YEAR($E119),MONTH($E119),1)&lt;=DATE(2026,9,1)),IF((MOD(DATEDIF(DATE(YEAR($E119),MONTH($E119),1),DATE(2026,9,1),"m"),IF($D119="Quarterly",3,IF($D119="Annual",12,1)))=0),IF((COUNTIFS(Xero_Raw!$D$4:$D$5003,$A119,Xero_Raw!$G$4:$G$5003,"*Subscription*",Xero_Raw!$A$4:$A$5003,"&gt;="&amp;DATE(2026,9,1),Xero_Raw!$A$4:$A$5003,"&lt;"&amp;EDATE(DATE(2026,9,1),1))+COUNTIFS(Customer_Invoices_Upload!$E$4:$E$5003,$A119,Customer_Invoices_Upload!$G$4:$G$5003,"*Subscription*",Customer_Invoices_Upload!$B$4:$B$5003,"&gt;="&amp;DATE(2026,9,1),Customer_Invoices_Upload!$B$4:$B$5003,"&lt;"&amp;EDATE(DATE(2026,9,1),1))+COUNTIFS(Stripe_Invoices_Upload!$D$4:$D$5003,$A119,Stripe_Invoices_Upload!$E$4:$E$5003,"*Subscription*",Stripe_Invoices_Upload!$A$4:$A$5003,"&gt;="&amp;DATE(2026,9,1),Stripe_Invoices_Upload!$A$4:$A$5003,"&lt;"&amp;EDATE(DATE(2026,9,1),1)))&gt;0,"✓ Invoiced","⚠ Due"),""),""))</f>
        <v/>
      </c>
      <c r="M119" s="130" t="str">
        <f aca="false">IF($A119="","",IF((DATE(YEAR($E119),MONTH($E119),1)&lt;=DATE(2026,10,1)),IF((MOD(DATEDIF(DATE(YEAR($E119),MONTH($E119),1),DATE(2026,10,1),"m"),IF($D119="Quarterly",3,IF($D119="Annual",12,1)))=0),IF((COUNTIFS(Xero_Raw!$D$4:$D$5003,$A119,Xero_Raw!$G$4:$G$5003,"*Subscription*",Xero_Raw!$A$4:$A$5003,"&gt;="&amp;DATE(2026,10,1),Xero_Raw!$A$4:$A$5003,"&lt;"&amp;EDATE(DATE(2026,10,1),1))+COUNTIFS(Customer_Invoices_Upload!$E$4:$E$5003,$A119,Customer_Invoices_Upload!$G$4:$G$5003,"*Subscription*",Customer_Invoices_Upload!$B$4:$B$5003,"&gt;="&amp;DATE(2026,10,1),Customer_Invoices_Upload!$B$4:$B$5003,"&lt;"&amp;EDATE(DATE(2026,10,1),1))+COUNTIFS(Stripe_Invoices_Upload!$D$4:$D$5003,$A119,Stripe_Invoices_Upload!$E$4:$E$5003,"*Subscription*",Stripe_Invoices_Upload!$A$4:$A$5003,"&gt;="&amp;DATE(2026,10,1),Stripe_Invoices_Upload!$A$4:$A$5003,"&lt;"&amp;EDATE(DATE(2026,10,1),1)))&gt;0,"✓ Invoiced","⚠ Due"),""),""))</f>
        <v/>
      </c>
      <c r="N119" s="130" t="str">
        <f aca="false">IF($A119="","",IF((DATE(YEAR($E119),MONTH($E119),1)&lt;=DATE(2026,11,1)),IF((MOD(DATEDIF(DATE(YEAR($E119),MONTH($E119),1),DATE(2026,11,1),"m"),IF($D119="Quarterly",3,IF($D119="Annual",12,1)))=0),IF((COUNTIFS(Xero_Raw!$D$4:$D$5003,$A119,Xero_Raw!$G$4:$G$5003,"*Subscription*",Xero_Raw!$A$4:$A$5003,"&gt;="&amp;DATE(2026,11,1),Xero_Raw!$A$4:$A$5003,"&lt;"&amp;EDATE(DATE(2026,11,1),1))+COUNTIFS(Customer_Invoices_Upload!$E$4:$E$5003,$A119,Customer_Invoices_Upload!$G$4:$G$5003,"*Subscription*",Customer_Invoices_Upload!$B$4:$B$5003,"&gt;="&amp;DATE(2026,11,1),Customer_Invoices_Upload!$B$4:$B$5003,"&lt;"&amp;EDATE(DATE(2026,11,1),1))+COUNTIFS(Stripe_Invoices_Upload!$D$4:$D$5003,$A119,Stripe_Invoices_Upload!$E$4:$E$5003,"*Subscription*",Stripe_Invoices_Upload!$A$4:$A$5003,"&gt;="&amp;DATE(2026,11,1),Stripe_Invoices_Upload!$A$4:$A$5003,"&lt;"&amp;EDATE(DATE(2026,11,1),1)))&gt;0,"✓ Invoiced","⚠ Due"),""),""))</f>
        <v/>
      </c>
      <c r="O119" s="130" t="str">
        <f aca="false">IF($A119="","",IF((DATE(YEAR($E119),MONTH($E119),1)&lt;=DATE(2026,12,1)),IF((MOD(DATEDIF(DATE(YEAR($E119),MONTH($E119),1),DATE(2026,12,1),"m"),IF($D119="Quarterly",3,IF($D119="Annual",12,1)))=0),IF((COUNTIFS(Xero_Raw!$D$4:$D$5003,$A119,Xero_Raw!$G$4:$G$5003,"*Subscription*",Xero_Raw!$A$4:$A$5003,"&gt;="&amp;DATE(2026,12,1),Xero_Raw!$A$4:$A$5003,"&lt;"&amp;EDATE(DATE(2026,12,1),1))+COUNTIFS(Customer_Invoices_Upload!$E$4:$E$5003,$A119,Customer_Invoices_Upload!$G$4:$G$5003,"*Subscription*",Customer_Invoices_Upload!$B$4:$B$5003,"&gt;="&amp;DATE(2026,12,1),Customer_Invoices_Upload!$B$4:$B$5003,"&lt;"&amp;EDATE(DATE(2026,12,1),1))+COUNTIFS(Stripe_Invoices_Upload!$D$4:$D$5003,$A119,Stripe_Invoices_Upload!$E$4:$E$5003,"*Subscription*",Stripe_Invoices_Upload!$A$4:$A$5003,"&gt;="&amp;DATE(2026,12,1),Stripe_Invoices_Upload!$A$4:$A$5003,"&lt;"&amp;EDATE(DATE(2026,12,1),1)))&gt;0,"✓ Invoiced","⚠ Due"),""),""))</f>
        <v/>
      </c>
      <c r="P119" s="130" t="str">
        <f aca="false">IF($A119="","",IF((DATE(YEAR($E119),MONTH($E119),1)&lt;=DATE(2027,1,1)),IF((MOD(DATEDIF(DATE(YEAR($E119),MONTH($E119),1),DATE(2027,1,1),"m"),IF($D119="Quarterly",3,IF($D119="Annual",12,1)))=0),IF((COUNTIFS(Xero_Raw!$D$4:$D$5003,$A119,Xero_Raw!$G$4:$G$5003,"*Subscription*",Xero_Raw!$A$4:$A$5003,"&gt;="&amp;DATE(2027,1,1),Xero_Raw!$A$4:$A$5003,"&lt;"&amp;EDATE(DATE(2027,1,1),1))+COUNTIFS(Customer_Invoices_Upload!$E$4:$E$5003,$A119,Customer_Invoices_Upload!$G$4:$G$5003,"*Subscription*",Customer_Invoices_Upload!$B$4:$B$5003,"&gt;="&amp;DATE(2027,1,1),Customer_Invoices_Upload!$B$4:$B$5003,"&lt;"&amp;EDATE(DATE(2027,1,1),1))+COUNTIFS(Stripe_Invoices_Upload!$D$4:$D$5003,$A119,Stripe_Invoices_Upload!$E$4:$E$5003,"*Subscription*",Stripe_Invoices_Upload!$A$4:$A$5003,"&gt;="&amp;DATE(2027,1,1),Stripe_Invoices_Upload!$A$4:$A$5003,"&lt;"&amp;EDATE(DATE(2027,1,1),1)))&gt;0,"✓ Invoiced","⚠ Due"),""),""))</f>
        <v/>
      </c>
      <c r="Q119" s="130" t="str">
        <f aca="false">IF($A119="","",IF((DATE(YEAR($E119),MONTH($E119),1)&lt;=DATE(2027,2,1)),IF((MOD(DATEDIF(DATE(YEAR($E119),MONTH($E119),1),DATE(2027,2,1),"m"),IF($D119="Quarterly",3,IF($D119="Annual",12,1)))=0),IF((COUNTIFS(Xero_Raw!$D$4:$D$5003,$A119,Xero_Raw!$G$4:$G$5003,"*Subscription*",Xero_Raw!$A$4:$A$5003,"&gt;="&amp;DATE(2027,2,1),Xero_Raw!$A$4:$A$5003,"&lt;"&amp;EDATE(DATE(2027,2,1),1))+COUNTIFS(Customer_Invoices_Upload!$E$4:$E$5003,$A119,Customer_Invoices_Upload!$G$4:$G$5003,"*Subscription*",Customer_Invoices_Upload!$B$4:$B$5003,"&gt;="&amp;DATE(2027,2,1),Customer_Invoices_Upload!$B$4:$B$5003,"&lt;"&amp;EDATE(DATE(2027,2,1),1))+COUNTIFS(Stripe_Invoices_Upload!$D$4:$D$5003,$A119,Stripe_Invoices_Upload!$E$4:$E$5003,"*Subscription*",Stripe_Invoices_Upload!$A$4:$A$5003,"&gt;="&amp;DATE(2027,2,1),Stripe_Invoices_Upload!$A$4:$A$5003,"&lt;"&amp;EDATE(DATE(2027,2,1),1)))&gt;0,"✓ Invoiced","⚠ Due"),""),""))</f>
        <v/>
      </c>
      <c r="R119" s="130" t="str">
        <f aca="false">IF($A119="","",IF((DATE(YEAR($E119),MONTH($E119),1)&lt;=DATE(2027,3,1)),IF((MOD(DATEDIF(DATE(YEAR($E119),MONTH($E119),1),DATE(2027,3,1),"m"),IF($D119="Quarterly",3,IF($D119="Annual",12,1)))=0),IF((COUNTIFS(Xero_Raw!$D$4:$D$5003,$A119,Xero_Raw!$G$4:$G$5003,"*Subscription*",Xero_Raw!$A$4:$A$5003,"&gt;="&amp;DATE(2027,3,1),Xero_Raw!$A$4:$A$5003,"&lt;"&amp;EDATE(DATE(2027,3,1),1))+COUNTIFS(Customer_Invoices_Upload!$E$4:$E$5003,$A119,Customer_Invoices_Upload!$G$4:$G$5003,"*Subscription*",Customer_Invoices_Upload!$B$4:$B$5003,"&gt;="&amp;DATE(2027,3,1),Customer_Invoices_Upload!$B$4:$B$5003,"&lt;"&amp;EDATE(DATE(2027,3,1),1))+COUNTIFS(Stripe_Invoices_Upload!$D$4:$D$5003,$A119,Stripe_Invoices_Upload!$E$4:$E$5003,"*Subscription*",Stripe_Invoices_Upload!$A$4:$A$5003,"&gt;="&amp;DATE(2027,3,1),Stripe_Invoices_Upload!$A$4:$A$5003,"&lt;"&amp;EDATE(DATE(2027,3,1),1)))&gt;0,"✓ Invoiced","⚠ Due"),""),""))</f>
        <v/>
      </c>
    </row>
    <row r="120" customFormat="false" ht="15" hidden="false" customHeight="false" outlineLevel="0" collapsed="false">
      <c r="A120" s="39"/>
      <c r="B120" s="39"/>
      <c r="C120" s="40"/>
      <c r="D120" s="39"/>
      <c r="E120" s="38"/>
      <c r="F120" s="129" t="str">
        <f aca="true">IF($A120="","",EDATE($E120,DATEDIF($E120,TODAY(),"m")+1))</f>
        <v/>
      </c>
      <c r="G120" s="130" t="str">
        <f aca="false">IF($A120="","",IF((DATE(YEAR($E120),MONTH($E120),1)&lt;=DATE(2026,4,1)),IF((MOD(DATEDIF(DATE(YEAR($E120),MONTH($E120),1),DATE(2026,4,1),"m"),IF($D120="Quarterly",3,IF($D120="Annual",12,1)))=0),IF((COUNTIFS(Xero_Raw!$D$4:$D$5003,$A120,Xero_Raw!$G$4:$G$5003,"*Subscription*",Xero_Raw!$A$4:$A$5003,"&gt;="&amp;DATE(2026,4,1),Xero_Raw!$A$4:$A$5003,"&lt;"&amp;EDATE(DATE(2026,4,1),1))+COUNTIFS(Customer_Invoices_Upload!$E$4:$E$5003,$A120,Customer_Invoices_Upload!$G$4:$G$5003,"*Subscription*",Customer_Invoices_Upload!$B$4:$B$5003,"&gt;="&amp;DATE(2026,4,1),Customer_Invoices_Upload!$B$4:$B$5003,"&lt;"&amp;EDATE(DATE(2026,4,1),1))+COUNTIFS(Stripe_Invoices_Upload!$D$4:$D$5003,$A120,Stripe_Invoices_Upload!$E$4:$E$5003,"*Subscription*",Stripe_Invoices_Upload!$A$4:$A$5003,"&gt;="&amp;DATE(2026,4,1),Stripe_Invoices_Upload!$A$4:$A$5003,"&lt;"&amp;EDATE(DATE(2026,4,1),1)))&gt;0,"✓ Invoiced","⚠ Due"),""),""))</f>
        <v/>
      </c>
      <c r="H120" s="130" t="str">
        <f aca="false">IF($A120="","",IF((DATE(YEAR($E120),MONTH($E120),1)&lt;=DATE(2026,5,1)),IF((MOD(DATEDIF(DATE(YEAR($E120),MONTH($E120),1),DATE(2026,5,1),"m"),IF($D120="Quarterly",3,IF($D120="Annual",12,1)))=0),IF((COUNTIFS(Xero_Raw!$D$4:$D$5003,$A120,Xero_Raw!$G$4:$G$5003,"*Subscription*",Xero_Raw!$A$4:$A$5003,"&gt;="&amp;DATE(2026,5,1),Xero_Raw!$A$4:$A$5003,"&lt;"&amp;EDATE(DATE(2026,5,1),1))+COUNTIFS(Customer_Invoices_Upload!$E$4:$E$5003,$A120,Customer_Invoices_Upload!$G$4:$G$5003,"*Subscription*",Customer_Invoices_Upload!$B$4:$B$5003,"&gt;="&amp;DATE(2026,5,1),Customer_Invoices_Upload!$B$4:$B$5003,"&lt;"&amp;EDATE(DATE(2026,5,1),1))+COUNTIFS(Stripe_Invoices_Upload!$D$4:$D$5003,$A120,Stripe_Invoices_Upload!$E$4:$E$5003,"*Subscription*",Stripe_Invoices_Upload!$A$4:$A$5003,"&gt;="&amp;DATE(2026,5,1),Stripe_Invoices_Upload!$A$4:$A$5003,"&lt;"&amp;EDATE(DATE(2026,5,1),1)))&gt;0,"✓ Invoiced","⚠ Due"),""),""))</f>
        <v/>
      </c>
      <c r="I120" s="130" t="str">
        <f aca="false">IF($A120="","",IF((DATE(YEAR($E120),MONTH($E120),1)&lt;=DATE(2026,6,1)),IF((MOD(DATEDIF(DATE(YEAR($E120),MONTH($E120),1),DATE(2026,6,1),"m"),IF($D120="Quarterly",3,IF($D120="Annual",12,1)))=0),IF((COUNTIFS(Xero_Raw!$D$4:$D$5003,$A120,Xero_Raw!$G$4:$G$5003,"*Subscription*",Xero_Raw!$A$4:$A$5003,"&gt;="&amp;DATE(2026,6,1),Xero_Raw!$A$4:$A$5003,"&lt;"&amp;EDATE(DATE(2026,6,1),1))+COUNTIFS(Customer_Invoices_Upload!$E$4:$E$5003,$A120,Customer_Invoices_Upload!$G$4:$G$5003,"*Subscription*",Customer_Invoices_Upload!$B$4:$B$5003,"&gt;="&amp;DATE(2026,6,1),Customer_Invoices_Upload!$B$4:$B$5003,"&lt;"&amp;EDATE(DATE(2026,6,1),1))+COUNTIFS(Stripe_Invoices_Upload!$D$4:$D$5003,$A120,Stripe_Invoices_Upload!$E$4:$E$5003,"*Subscription*",Stripe_Invoices_Upload!$A$4:$A$5003,"&gt;="&amp;DATE(2026,6,1),Stripe_Invoices_Upload!$A$4:$A$5003,"&lt;"&amp;EDATE(DATE(2026,6,1),1)))&gt;0,"✓ Invoiced","⚠ Due"),""),""))</f>
        <v/>
      </c>
      <c r="J120" s="130" t="str">
        <f aca="false">IF($A120="","",IF((DATE(YEAR($E120),MONTH($E120),1)&lt;=DATE(2026,7,1)),IF((MOD(DATEDIF(DATE(YEAR($E120),MONTH($E120),1),DATE(2026,7,1),"m"),IF($D120="Quarterly",3,IF($D120="Annual",12,1)))=0),IF((COUNTIFS(Xero_Raw!$D$4:$D$5003,$A120,Xero_Raw!$G$4:$G$5003,"*Subscription*",Xero_Raw!$A$4:$A$5003,"&gt;="&amp;DATE(2026,7,1),Xero_Raw!$A$4:$A$5003,"&lt;"&amp;EDATE(DATE(2026,7,1),1))+COUNTIFS(Customer_Invoices_Upload!$E$4:$E$5003,$A120,Customer_Invoices_Upload!$G$4:$G$5003,"*Subscription*",Customer_Invoices_Upload!$B$4:$B$5003,"&gt;="&amp;DATE(2026,7,1),Customer_Invoices_Upload!$B$4:$B$5003,"&lt;"&amp;EDATE(DATE(2026,7,1),1))+COUNTIFS(Stripe_Invoices_Upload!$D$4:$D$5003,$A120,Stripe_Invoices_Upload!$E$4:$E$5003,"*Subscription*",Stripe_Invoices_Upload!$A$4:$A$5003,"&gt;="&amp;DATE(2026,7,1),Stripe_Invoices_Upload!$A$4:$A$5003,"&lt;"&amp;EDATE(DATE(2026,7,1),1)))&gt;0,"✓ Invoiced","⚠ Due"),""),""))</f>
        <v/>
      </c>
      <c r="K120" s="130" t="str">
        <f aca="false">IF($A120="","",IF((DATE(YEAR($E120),MONTH($E120),1)&lt;=DATE(2026,8,1)),IF((MOD(DATEDIF(DATE(YEAR($E120),MONTH($E120),1),DATE(2026,8,1),"m"),IF($D120="Quarterly",3,IF($D120="Annual",12,1)))=0),IF((COUNTIFS(Xero_Raw!$D$4:$D$5003,$A120,Xero_Raw!$G$4:$G$5003,"*Subscription*",Xero_Raw!$A$4:$A$5003,"&gt;="&amp;DATE(2026,8,1),Xero_Raw!$A$4:$A$5003,"&lt;"&amp;EDATE(DATE(2026,8,1),1))+COUNTIFS(Customer_Invoices_Upload!$E$4:$E$5003,$A120,Customer_Invoices_Upload!$G$4:$G$5003,"*Subscription*",Customer_Invoices_Upload!$B$4:$B$5003,"&gt;="&amp;DATE(2026,8,1),Customer_Invoices_Upload!$B$4:$B$5003,"&lt;"&amp;EDATE(DATE(2026,8,1),1))+COUNTIFS(Stripe_Invoices_Upload!$D$4:$D$5003,$A120,Stripe_Invoices_Upload!$E$4:$E$5003,"*Subscription*",Stripe_Invoices_Upload!$A$4:$A$5003,"&gt;="&amp;DATE(2026,8,1),Stripe_Invoices_Upload!$A$4:$A$5003,"&lt;"&amp;EDATE(DATE(2026,8,1),1)))&gt;0,"✓ Invoiced","⚠ Due"),""),""))</f>
        <v/>
      </c>
      <c r="L120" s="130" t="str">
        <f aca="false">IF($A120="","",IF((DATE(YEAR($E120),MONTH($E120),1)&lt;=DATE(2026,9,1)),IF((MOD(DATEDIF(DATE(YEAR($E120),MONTH($E120),1),DATE(2026,9,1),"m"),IF($D120="Quarterly",3,IF($D120="Annual",12,1)))=0),IF((COUNTIFS(Xero_Raw!$D$4:$D$5003,$A120,Xero_Raw!$G$4:$G$5003,"*Subscription*",Xero_Raw!$A$4:$A$5003,"&gt;="&amp;DATE(2026,9,1),Xero_Raw!$A$4:$A$5003,"&lt;"&amp;EDATE(DATE(2026,9,1),1))+COUNTIFS(Customer_Invoices_Upload!$E$4:$E$5003,$A120,Customer_Invoices_Upload!$G$4:$G$5003,"*Subscription*",Customer_Invoices_Upload!$B$4:$B$5003,"&gt;="&amp;DATE(2026,9,1),Customer_Invoices_Upload!$B$4:$B$5003,"&lt;"&amp;EDATE(DATE(2026,9,1),1))+COUNTIFS(Stripe_Invoices_Upload!$D$4:$D$5003,$A120,Stripe_Invoices_Upload!$E$4:$E$5003,"*Subscription*",Stripe_Invoices_Upload!$A$4:$A$5003,"&gt;="&amp;DATE(2026,9,1),Stripe_Invoices_Upload!$A$4:$A$5003,"&lt;"&amp;EDATE(DATE(2026,9,1),1)))&gt;0,"✓ Invoiced","⚠ Due"),""),""))</f>
        <v/>
      </c>
      <c r="M120" s="130" t="str">
        <f aca="false">IF($A120="","",IF((DATE(YEAR($E120),MONTH($E120),1)&lt;=DATE(2026,10,1)),IF((MOD(DATEDIF(DATE(YEAR($E120),MONTH($E120),1),DATE(2026,10,1),"m"),IF($D120="Quarterly",3,IF($D120="Annual",12,1)))=0),IF((COUNTIFS(Xero_Raw!$D$4:$D$5003,$A120,Xero_Raw!$G$4:$G$5003,"*Subscription*",Xero_Raw!$A$4:$A$5003,"&gt;="&amp;DATE(2026,10,1),Xero_Raw!$A$4:$A$5003,"&lt;"&amp;EDATE(DATE(2026,10,1),1))+COUNTIFS(Customer_Invoices_Upload!$E$4:$E$5003,$A120,Customer_Invoices_Upload!$G$4:$G$5003,"*Subscription*",Customer_Invoices_Upload!$B$4:$B$5003,"&gt;="&amp;DATE(2026,10,1),Customer_Invoices_Upload!$B$4:$B$5003,"&lt;"&amp;EDATE(DATE(2026,10,1),1))+COUNTIFS(Stripe_Invoices_Upload!$D$4:$D$5003,$A120,Stripe_Invoices_Upload!$E$4:$E$5003,"*Subscription*",Stripe_Invoices_Upload!$A$4:$A$5003,"&gt;="&amp;DATE(2026,10,1),Stripe_Invoices_Upload!$A$4:$A$5003,"&lt;"&amp;EDATE(DATE(2026,10,1),1)))&gt;0,"✓ Invoiced","⚠ Due"),""),""))</f>
        <v/>
      </c>
      <c r="N120" s="130" t="str">
        <f aca="false">IF($A120="","",IF((DATE(YEAR($E120),MONTH($E120),1)&lt;=DATE(2026,11,1)),IF((MOD(DATEDIF(DATE(YEAR($E120),MONTH($E120),1),DATE(2026,11,1),"m"),IF($D120="Quarterly",3,IF($D120="Annual",12,1)))=0),IF((COUNTIFS(Xero_Raw!$D$4:$D$5003,$A120,Xero_Raw!$G$4:$G$5003,"*Subscription*",Xero_Raw!$A$4:$A$5003,"&gt;="&amp;DATE(2026,11,1),Xero_Raw!$A$4:$A$5003,"&lt;"&amp;EDATE(DATE(2026,11,1),1))+COUNTIFS(Customer_Invoices_Upload!$E$4:$E$5003,$A120,Customer_Invoices_Upload!$G$4:$G$5003,"*Subscription*",Customer_Invoices_Upload!$B$4:$B$5003,"&gt;="&amp;DATE(2026,11,1),Customer_Invoices_Upload!$B$4:$B$5003,"&lt;"&amp;EDATE(DATE(2026,11,1),1))+COUNTIFS(Stripe_Invoices_Upload!$D$4:$D$5003,$A120,Stripe_Invoices_Upload!$E$4:$E$5003,"*Subscription*",Stripe_Invoices_Upload!$A$4:$A$5003,"&gt;="&amp;DATE(2026,11,1),Stripe_Invoices_Upload!$A$4:$A$5003,"&lt;"&amp;EDATE(DATE(2026,11,1),1)))&gt;0,"✓ Invoiced","⚠ Due"),""),""))</f>
        <v/>
      </c>
      <c r="O120" s="130" t="str">
        <f aca="false">IF($A120="","",IF((DATE(YEAR($E120),MONTH($E120),1)&lt;=DATE(2026,12,1)),IF((MOD(DATEDIF(DATE(YEAR($E120),MONTH($E120),1),DATE(2026,12,1),"m"),IF($D120="Quarterly",3,IF($D120="Annual",12,1)))=0),IF((COUNTIFS(Xero_Raw!$D$4:$D$5003,$A120,Xero_Raw!$G$4:$G$5003,"*Subscription*",Xero_Raw!$A$4:$A$5003,"&gt;="&amp;DATE(2026,12,1),Xero_Raw!$A$4:$A$5003,"&lt;"&amp;EDATE(DATE(2026,12,1),1))+COUNTIFS(Customer_Invoices_Upload!$E$4:$E$5003,$A120,Customer_Invoices_Upload!$G$4:$G$5003,"*Subscription*",Customer_Invoices_Upload!$B$4:$B$5003,"&gt;="&amp;DATE(2026,12,1),Customer_Invoices_Upload!$B$4:$B$5003,"&lt;"&amp;EDATE(DATE(2026,12,1),1))+COUNTIFS(Stripe_Invoices_Upload!$D$4:$D$5003,$A120,Stripe_Invoices_Upload!$E$4:$E$5003,"*Subscription*",Stripe_Invoices_Upload!$A$4:$A$5003,"&gt;="&amp;DATE(2026,12,1),Stripe_Invoices_Upload!$A$4:$A$5003,"&lt;"&amp;EDATE(DATE(2026,12,1),1)))&gt;0,"✓ Invoiced","⚠ Due"),""),""))</f>
        <v/>
      </c>
      <c r="P120" s="130" t="str">
        <f aca="false">IF($A120="","",IF((DATE(YEAR($E120),MONTH($E120),1)&lt;=DATE(2027,1,1)),IF((MOD(DATEDIF(DATE(YEAR($E120),MONTH($E120),1),DATE(2027,1,1),"m"),IF($D120="Quarterly",3,IF($D120="Annual",12,1)))=0),IF((COUNTIFS(Xero_Raw!$D$4:$D$5003,$A120,Xero_Raw!$G$4:$G$5003,"*Subscription*",Xero_Raw!$A$4:$A$5003,"&gt;="&amp;DATE(2027,1,1),Xero_Raw!$A$4:$A$5003,"&lt;"&amp;EDATE(DATE(2027,1,1),1))+COUNTIFS(Customer_Invoices_Upload!$E$4:$E$5003,$A120,Customer_Invoices_Upload!$G$4:$G$5003,"*Subscription*",Customer_Invoices_Upload!$B$4:$B$5003,"&gt;="&amp;DATE(2027,1,1),Customer_Invoices_Upload!$B$4:$B$5003,"&lt;"&amp;EDATE(DATE(2027,1,1),1))+COUNTIFS(Stripe_Invoices_Upload!$D$4:$D$5003,$A120,Stripe_Invoices_Upload!$E$4:$E$5003,"*Subscription*",Stripe_Invoices_Upload!$A$4:$A$5003,"&gt;="&amp;DATE(2027,1,1),Stripe_Invoices_Upload!$A$4:$A$5003,"&lt;"&amp;EDATE(DATE(2027,1,1),1)))&gt;0,"✓ Invoiced","⚠ Due"),""),""))</f>
        <v/>
      </c>
      <c r="Q120" s="130" t="str">
        <f aca="false">IF($A120="","",IF((DATE(YEAR($E120),MONTH($E120),1)&lt;=DATE(2027,2,1)),IF((MOD(DATEDIF(DATE(YEAR($E120),MONTH($E120),1),DATE(2027,2,1),"m"),IF($D120="Quarterly",3,IF($D120="Annual",12,1)))=0),IF((COUNTIFS(Xero_Raw!$D$4:$D$5003,$A120,Xero_Raw!$G$4:$G$5003,"*Subscription*",Xero_Raw!$A$4:$A$5003,"&gt;="&amp;DATE(2027,2,1),Xero_Raw!$A$4:$A$5003,"&lt;"&amp;EDATE(DATE(2027,2,1),1))+COUNTIFS(Customer_Invoices_Upload!$E$4:$E$5003,$A120,Customer_Invoices_Upload!$G$4:$G$5003,"*Subscription*",Customer_Invoices_Upload!$B$4:$B$5003,"&gt;="&amp;DATE(2027,2,1),Customer_Invoices_Upload!$B$4:$B$5003,"&lt;"&amp;EDATE(DATE(2027,2,1),1))+COUNTIFS(Stripe_Invoices_Upload!$D$4:$D$5003,$A120,Stripe_Invoices_Upload!$E$4:$E$5003,"*Subscription*",Stripe_Invoices_Upload!$A$4:$A$5003,"&gt;="&amp;DATE(2027,2,1),Stripe_Invoices_Upload!$A$4:$A$5003,"&lt;"&amp;EDATE(DATE(2027,2,1),1)))&gt;0,"✓ Invoiced","⚠ Due"),""),""))</f>
        <v/>
      </c>
      <c r="R120" s="130" t="str">
        <f aca="false">IF($A120="","",IF((DATE(YEAR($E120),MONTH($E120),1)&lt;=DATE(2027,3,1)),IF((MOD(DATEDIF(DATE(YEAR($E120),MONTH($E120),1),DATE(2027,3,1),"m"),IF($D120="Quarterly",3,IF($D120="Annual",12,1)))=0),IF((COUNTIFS(Xero_Raw!$D$4:$D$5003,$A120,Xero_Raw!$G$4:$G$5003,"*Subscription*",Xero_Raw!$A$4:$A$5003,"&gt;="&amp;DATE(2027,3,1),Xero_Raw!$A$4:$A$5003,"&lt;"&amp;EDATE(DATE(2027,3,1),1))+COUNTIFS(Customer_Invoices_Upload!$E$4:$E$5003,$A120,Customer_Invoices_Upload!$G$4:$G$5003,"*Subscription*",Customer_Invoices_Upload!$B$4:$B$5003,"&gt;="&amp;DATE(2027,3,1),Customer_Invoices_Upload!$B$4:$B$5003,"&lt;"&amp;EDATE(DATE(2027,3,1),1))+COUNTIFS(Stripe_Invoices_Upload!$D$4:$D$5003,$A120,Stripe_Invoices_Upload!$E$4:$E$5003,"*Subscription*",Stripe_Invoices_Upload!$A$4:$A$5003,"&gt;="&amp;DATE(2027,3,1),Stripe_Invoices_Upload!$A$4:$A$5003,"&lt;"&amp;EDATE(DATE(2027,3,1),1)))&gt;0,"✓ Invoiced","⚠ Due"),""),""))</f>
        <v/>
      </c>
    </row>
    <row r="121" customFormat="false" ht="15" hidden="false" customHeight="false" outlineLevel="0" collapsed="false">
      <c r="A121" s="39"/>
      <c r="B121" s="39"/>
      <c r="C121" s="40"/>
      <c r="D121" s="39"/>
      <c r="E121" s="38"/>
      <c r="F121" s="129" t="str">
        <f aca="true">IF($A121="","",EDATE($E121,DATEDIF($E121,TODAY(),"m")+1))</f>
        <v/>
      </c>
      <c r="G121" s="130" t="str">
        <f aca="false">IF($A121="","",IF((DATE(YEAR($E121),MONTH($E121),1)&lt;=DATE(2026,4,1)),IF((MOD(DATEDIF(DATE(YEAR($E121),MONTH($E121),1),DATE(2026,4,1),"m"),IF($D121="Quarterly",3,IF($D121="Annual",12,1)))=0),IF((COUNTIFS(Xero_Raw!$D$4:$D$5003,$A121,Xero_Raw!$G$4:$G$5003,"*Subscription*",Xero_Raw!$A$4:$A$5003,"&gt;="&amp;DATE(2026,4,1),Xero_Raw!$A$4:$A$5003,"&lt;"&amp;EDATE(DATE(2026,4,1),1))+COUNTIFS(Customer_Invoices_Upload!$E$4:$E$5003,$A121,Customer_Invoices_Upload!$G$4:$G$5003,"*Subscription*",Customer_Invoices_Upload!$B$4:$B$5003,"&gt;="&amp;DATE(2026,4,1),Customer_Invoices_Upload!$B$4:$B$5003,"&lt;"&amp;EDATE(DATE(2026,4,1),1))+COUNTIFS(Stripe_Invoices_Upload!$D$4:$D$5003,$A121,Stripe_Invoices_Upload!$E$4:$E$5003,"*Subscription*",Stripe_Invoices_Upload!$A$4:$A$5003,"&gt;="&amp;DATE(2026,4,1),Stripe_Invoices_Upload!$A$4:$A$5003,"&lt;"&amp;EDATE(DATE(2026,4,1),1)))&gt;0,"✓ Invoiced","⚠ Due"),""),""))</f>
        <v/>
      </c>
      <c r="H121" s="130" t="str">
        <f aca="false">IF($A121="","",IF((DATE(YEAR($E121),MONTH($E121),1)&lt;=DATE(2026,5,1)),IF((MOD(DATEDIF(DATE(YEAR($E121),MONTH($E121),1),DATE(2026,5,1),"m"),IF($D121="Quarterly",3,IF($D121="Annual",12,1)))=0),IF((COUNTIFS(Xero_Raw!$D$4:$D$5003,$A121,Xero_Raw!$G$4:$G$5003,"*Subscription*",Xero_Raw!$A$4:$A$5003,"&gt;="&amp;DATE(2026,5,1),Xero_Raw!$A$4:$A$5003,"&lt;"&amp;EDATE(DATE(2026,5,1),1))+COUNTIFS(Customer_Invoices_Upload!$E$4:$E$5003,$A121,Customer_Invoices_Upload!$G$4:$G$5003,"*Subscription*",Customer_Invoices_Upload!$B$4:$B$5003,"&gt;="&amp;DATE(2026,5,1),Customer_Invoices_Upload!$B$4:$B$5003,"&lt;"&amp;EDATE(DATE(2026,5,1),1))+COUNTIFS(Stripe_Invoices_Upload!$D$4:$D$5003,$A121,Stripe_Invoices_Upload!$E$4:$E$5003,"*Subscription*",Stripe_Invoices_Upload!$A$4:$A$5003,"&gt;="&amp;DATE(2026,5,1),Stripe_Invoices_Upload!$A$4:$A$5003,"&lt;"&amp;EDATE(DATE(2026,5,1),1)))&gt;0,"✓ Invoiced","⚠ Due"),""),""))</f>
        <v/>
      </c>
      <c r="I121" s="130" t="str">
        <f aca="false">IF($A121="","",IF((DATE(YEAR($E121),MONTH($E121),1)&lt;=DATE(2026,6,1)),IF((MOD(DATEDIF(DATE(YEAR($E121),MONTH($E121),1),DATE(2026,6,1),"m"),IF($D121="Quarterly",3,IF($D121="Annual",12,1)))=0),IF((COUNTIFS(Xero_Raw!$D$4:$D$5003,$A121,Xero_Raw!$G$4:$G$5003,"*Subscription*",Xero_Raw!$A$4:$A$5003,"&gt;="&amp;DATE(2026,6,1),Xero_Raw!$A$4:$A$5003,"&lt;"&amp;EDATE(DATE(2026,6,1),1))+COUNTIFS(Customer_Invoices_Upload!$E$4:$E$5003,$A121,Customer_Invoices_Upload!$G$4:$G$5003,"*Subscription*",Customer_Invoices_Upload!$B$4:$B$5003,"&gt;="&amp;DATE(2026,6,1),Customer_Invoices_Upload!$B$4:$B$5003,"&lt;"&amp;EDATE(DATE(2026,6,1),1))+COUNTIFS(Stripe_Invoices_Upload!$D$4:$D$5003,$A121,Stripe_Invoices_Upload!$E$4:$E$5003,"*Subscription*",Stripe_Invoices_Upload!$A$4:$A$5003,"&gt;="&amp;DATE(2026,6,1),Stripe_Invoices_Upload!$A$4:$A$5003,"&lt;"&amp;EDATE(DATE(2026,6,1),1)))&gt;0,"✓ Invoiced","⚠ Due"),""),""))</f>
        <v/>
      </c>
      <c r="J121" s="130" t="str">
        <f aca="false">IF($A121="","",IF((DATE(YEAR($E121),MONTH($E121),1)&lt;=DATE(2026,7,1)),IF((MOD(DATEDIF(DATE(YEAR($E121),MONTH($E121),1),DATE(2026,7,1),"m"),IF($D121="Quarterly",3,IF($D121="Annual",12,1)))=0),IF((COUNTIFS(Xero_Raw!$D$4:$D$5003,$A121,Xero_Raw!$G$4:$G$5003,"*Subscription*",Xero_Raw!$A$4:$A$5003,"&gt;="&amp;DATE(2026,7,1),Xero_Raw!$A$4:$A$5003,"&lt;"&amp;EDATE(DATE(2026,7,1),1))+COUNTIFS(Customer_Invoices_Upload!$E$4:$E$5003,$A121,Customer_Invoices_Upload!$G$4:$G$5003,"*Subscription*",Customer_Invoices_Upload!$B$4:$B$5003,"&gt;="&amp;DATE(2026,7,1),Customer_Invoices_Upload!$B$4:$B$5003,"&lt;"&amp;EDATE(DATE(2026,7,1),1))+COUNTIFS(Stripe_Invoices_Upload!$D$4:$D$5003,$A121,Stripe_Invoices_Upload!$E$4:$E$5003,"*Subscription*",Stripe_Invoices_Upload!$A$4:$A$5003,"&gt;="&amp;DATE(2026,7,1),Stripe_Invoices_Upload!$A$4:$A$5003,"&lt;"&amp;EDATE(DATE(2026,7,1),1)))&gt;0,"✓ Invoiced","⚠ Due"),""),""))</f>
        <v/>
      </c>
      <c r="K121" s="130" t="str">
        <f aca="false">IF($A121="","",IF((DATE(YEAR($E121),MONTH($E121),1)&lt;=DATE(2026,8,1)),IF((MOD(DATEDIF(DATE(YEAR($E121),MONTH($E121),1),DATE(2026,8,1),"m"),IF($D121="Quarterly",3,IF($D121="Annual",12,1)))=0),IF((COUNTIFS(Xero_Raw!$D$4:$D$5003,$A121,Xero_Raw!$G$4:$G$5003,"*Subscription*",Xero_Raw!$A$4:$A$5003,"&gt;="&amp;DATE(2026,8,1),Xero_Raw!$A$4:$A$5003,"&lt;"&amp;EDATE(DATE(2026,8,1),1))+COUNTIFS(Customer_Invoices_Upload!$E$4:$E$5003,$A121,Customer_Invoices_Upload!$G$4:$G$5003,"*Subscription*",Customer_Invoices_Upload!$B$4:$B$5003,"&gt;="&amp;DATE(2026,8,1),Customer_Invoices_Upload!$B$4:$B$5003,"&lt;"&amp;EDATE(DATE(2026,8,1),1))+COUNTIFS(Stripe_Invoices_Upload!$D$4:$D$5003,$A121,Stripe_Invoices_Upload!$E$4:$E$5003,"*Subscription*",Stripe_Invoices_Upload!$A$4:$A$5003,"&gt;="&amp;DATE(2026,8,1),Stripe_Invoices_Upload!$A$4:$A$5003,"&lt;"&amp;EDATE(DATE(2026,8,1),1)))&gt;0,"✓ Invoiced","⚠ Due"),""),""))</f>
        <v/>
      </c>
      <c r="L121" s="130" t="str">
        <f aca="false">IF($A121="","",IF((DATE(YEAR($E121),MONTH($E121),1)&lt;=DATE(2026,9,1)),IF((MOD(DATEDIF(DATE(YEAR($E121),MONTH($E121),1),DATE(2026,9,1),"m"),IF($D121="Quarterly",3,IF($D121="Annual",12,1)))=0),IF((COUNTIFS(Xero_Raw!$D$4:$D$5003,$A121,Xero_Raw!$G$4:$G$5003,"*Subscription*",Xero_Raw!$A$4:$A$5003,"&gt;="&amp;DATE(2026,9,1),Xero_Raw!$A$4:$A$5003,"&lt;"&amp;EDATE(DATE(2026,9,1),1))+COUNTIFS(Customer_Invoices_Upload!$E$4:$E$5003,$A121,Customer_Invoices_Upload!$G$4:$G$5003,"*Subscription*",Customer_Invoices_Upload!$B$4:$B$5003,"&gt;="&amp;DATE(2026,9,1),Customer_Invoices_Upload!$B$4:$B$5003,"&lt;"&amp;EDATE(DATE(2026,9,1),1))+COUNTIFS(Stripe_Invoices_Upload!$D$4:$D$5003,$A121,Stripe_Invoices_Upload!$E$4:$E$5003,"*Subscription*",Stripe_Invoices_Upload!$A$4:$A$5003,"&gt;="&amp;DATE(2026,9,1),Stripe_Invoices_Upload!$A$4:$A$5003,"&lt;"&amp;EDATE(DATE(2026,9,1),1)))&gt;0,"✓ Invoiced","⚠ Due"),""),""))</f>
        <v/>
      </c>
      <c r="M121" s="130" t="str">
        <f aca="false">IF($A121="","",IF((DATE(YEAR($E121),MONTH($E121),1)&lt;=DATE(2026,10,1)),IF((MOD(DATEDIF(DATE(YEAR($E121),MONTH($E121),1),DATE(2026,10,1),"m"),IF($D121="Quarterly",3,IF($D121="Annual",12,1)))=0),IF((COUNTIFS(Xero_Raw!$D$4:$D$5003,$A121,Xero_Raw!$G$4:$G$5003,"*Subscription*",Xero_Raw!$A$4:$A$5003,"&gt;="&amp;DATE(2026,10,1),Xero_Raw!$A$4:$A$5003,"&lt;"&amp;EDATE(DATE(2026,10,1),1))+COUNTIFS(Customer_Invoices_Upload!$E$4:$E$5003,$A121,Customer_Invoices_Upload!$G$4:$G$5003,"*Subscription*",Customer_Invoices_Upload!$B$4:$B$5003,"&gt;="&amp;DATE(2026,10,1),Customer_Invoices_Upload!$B$4:$B$5003,"&lt;"&amp;EDATE(DATE(2026,10,1),1))+COUNTIFS(Stripe_Invoices_Upload!$D$4:$D$5003,$A121,Stripe_Invoices_Upload!$E$4:$E$5003,"*Subscription*",Stripe_Invoices_Upload!$A$4:$A$5003,"&gt;="&amp;DATE(2026,10,1),Stripe_Invoices_Upload!$A$4:$A$5003,"&lt;"&amp;EDATE(DATE(2026,10,1),1)))&gt;0,"✓ Invoiced","⚠ Due"),""),""))</f>
        <v/>
      </c>
      <c r="N121" s="130" t="str">
        <f aca="false">IF($A121="","",IF((DATE(YEAR($E121),MONTH($E121),1)&lt;=DATE(2026,11,1)),IF((MOD(DATEDIF(DATE(YEAR($E121),MONTH($E121),1),DATE(2026,11,1),"m"),IF($D121="Quarterly",3,IF($D121="Annual",12,1)))=0),IF((COUNTIFS(Xero_Raw!$D$4:$D$5003,$A121,Xero_Raw!$G$4:$G$5003,"*Subscription*",Xero_Raw!$A$4:$A$5003,"&gt;="&amp;DATE(2026,11,1),Xero_Raw!$A$4:$A$5003,"&lt;"&amp;EDATE(DATE(2026,11,1),1))+COUNTIFS(Customer_Invoices_Upload!$E$4:$E$5003,$A121,Customer_Invoices_Upload!$G$4:$G$5003,"*Subscription*",Customer_Invoices_Upload!$B$4:$B$5003,"&gt;="&amp;DATE(2026,11,1),Customer_Invoices_Upload!$B$4:$B$5003,"&lt;"&amp;EDATE(DATE(2026,11,1),1))+COUNTIFS(Stripe_Invoices_Upload!$D$4:$D$5003,$A121,Stripe_Invoices_Upload!$E$4:$E$5003,"*Subscription*",Stripe_Invoices_Upload!$A$4:$A$5003,"&gt;="&amp;DATE(2026,11,1),Stripe_Invoices_Upload!$A$4:$A$5003,"&lt;"&amp;EDATE(DATE(2026,11,1),1)))&gt;0,"✓ Invoiced","⚠ Due"),""),""))</f>
        <v/>
      </c>
      <c r="O121" s="130" t="str">
        <f aca="false">IF($A121="","",IF((DATE(YEAR($E121),MONTH($E121),1)&lt;=DATE(2026,12,1)),IF((MOD(DATEDIF(DATE(YEAR($E121),MONTH($E121),1),DATE(2026,12,1),"m"),IF($D121="Quarterly",3,IF($D121="Annual",12,1)))=0),IF((COUNTIFS(Xero_Raw!$D$4:$D$5003,$A121,Xero_Raw!$G$4:$G$5003,"*Subscription*",Xero_Raw!$A$4:$A$5003,"&gt;="&amp;DATE(2026,12,1),Xero_Raw!$A$4:$A$5003,"&lt;"&amp;EDATE(DATE(2026,12,1),1))+COUNTIFS(Customer_Invoices_Upload!$E$4:$E$5003,$A121,Customer_Invoices_Upload!$G$4:$G$5003,"*Subscription*",Customer_Invoices_Upload!$B$4:$B$5003,"&gt;="&amp;DATE(2026,12,1),Customer_Invoices_Upload!$B$4:$B$5003,"&lt;"&amp;EDATE(DATE(2026,12,1),1))+COUNTIFS(Stripe_Invoices_Upload!$D$4:$D$5003,$A121,Stripe_Invoices_Upload!$E$4:$E$5003,"*Subscription*",Stripe_Invoices_Upload!$A$4:$A$5003,"&gt;="&amp;DATE(2026,12,1),Stripe_Invoices_Upload!$A$4:$A$5003,"&lt;"&amp;EDATE(DATE(2026,12,1),1)))&gt;0,"✓ Invoiced","⚠ Due"),""),""))</f>
        <v/>
      </c>
      <c r="P121" s="130" t="str">
        <f aca="false">IF($A121="","",IF((DATE(YEAR($E121),MONTH($E121),1)&lt;=DATE(2027,1,1)),IF((MOD(DATEDIF(DATE(YEAR($E121),MONTH($E121),1),DATE(2027,1,1),"m"),IF($D121="Quarterly",3,IF($D121="Annual",12,1)))=0),IF((COUNTIFS(Xero_Raw!$D$4:$D$5003,$A121,Xero_Raw!$G$4:$G$5003,"*Subscription*",Xero_Raw!$A$4:$A$5003,"&gt;="&amp;DATE(2027,1,1),Xero_Raw!$A$4:$A$5003,"&lt;"&amp;EDATE(DATE(2027,1,1),1))+COUNTIFS(Customer_Invoices_Upload!$E$4:$E$5003,$A121,Customer_Invoices_Upload!$G$4:$G$5003,"*Subscription*",Customer_Invoices_Upload!$B$4:$B$5003,"&gt;="&amp;DATE(2027,1,1),Customer_Invoices_Upload!$B$4:$B$5003,"&lt;"&amp;EDATE(DATE(2027,1,1),1))+COUNTIFS(Stripe_Invoices_Upload!$D$4:$D$5003,$A121,Stripe_Invoices_Upload!$E$4:$E$5003,"*Subscription*",Stripe_Invoices_Upload!$A$4:$A$5003,"&gt;="&amp;DATE(2027,1,1),Stripe_Invoices_Upload!$A$4:$A$5003,"&lt;"&amp;EDATE(DATE(2027,1,1),1)))&gt;0,"✓ Invoiced","⚠ Due"),""),""))</f>
        <v/>
      </c>
      <c r="Q121" s="130" t="str">
        <f aca="false">IF($A121="","",IF((DATE(YEAR($E121),MONTH($E121),1)&lt;=DATE(2027,2,1)),IF((MOD(DATEDIF(DATE(YEAR($E121),MONTH($E121),1),DATE(2027,2,1),"m"),IF($D121="Quarterly",3,IF($D121="Annual",12,1)))=0),IF((COUNTIFS(Xero_Raw!$D$4:$D$5003,$A121,Xero_Raw!$G$4:$G$5003,"*Subscription*",Xero_Raw!$A$4:$A$5003,"&gt;="&amp;DATE(2027,2,1),Xero_Raw!$A$4:$A$5003,"&lt;"&amp;EDATE(DATE(2027,2,1),1))+COUNTIFS(Customer_Invoices_Upload!$E$4:$E$5003,$A121,Customer_Invoices_Upload!$G$4:$G$5003,"*Subscription*",Customer_Invoices_Upload!$B$4:$B$5003,"&gt;="&amp;DATE(2027,2,1),Customer_Invoices_Upload!$B$4:$B$5003,"&lt;"&amp;EDATE(DATE(2027,2,1),1))+COUNTIFS(Stripe_Invoices_Upload!$D$4:$D$5003,$A121,Stripe_Invoices_Upload!$E$4:$E$5003,"*Subscription*",Stripe_Invoices_Upload!$A$4:$A$5003,"&gt;="&amp;DATE(2027,2,1),Stripe_Invoices_Upload!$A$4:$A$5003,"&lt;"&amp;EDATE(DATE(2027,2,1),1)))&gt;0,"✓ Invoiced","⚠ Due"),""),""))</f>
        <v/>
      </c>
      <c r="R121" s="130" t="str">
        <f aca="false">IF($A121="","",IF((DATE(YEAR($E121),MONTH($E121),1)&lt;=DATE(2027,3,1)),IF((MOD(DATEDIF(DATE(YEAR($E121),MONTH($E121),1),DATE(2027,3,1),"m"),IF($D121="Quarterly",3,IF($D121="Annual",12,1)))=0),IF((COUNTIFS(Xero_Raw!$D$4:$D$5003,$A121,Xero_Raw!$G$4:$G$5003,"*Subscription*",Xero_Raw!$A$4:$A$5003,"&gt;="&amp;DATE(2027,3,1),Xero_Raw!$A$4:$A$5003,"&lt;"&amp;EDATE(DATE(2027,3,1),1))+COUNTIFS(Customer_Invoices_Upload!$E$4:$E$5003,$A121,Customer_Invoices_Upload!$G$4:$G$5003,"*Subscription*",Customer_Invoices_Upload!$B$4:$B$5003,"&gt;="&amp;DATE(2027,3,1),Customer_Invoices_Upload!$B$4:$B$5003,"&lt;"&amp;EDATE(DATE(2027,3,1),1))+COUNTIFS(Stripe_Invoices_Upload!$D$4:$D$5003,$A121,Stripe_Invoices_Upload!$E$4:$E$5003,"*Subscription*",Stripe_Invoices_Upload!$A$4:$A$5003,"&gt;="&amp;DATE(2027,3,1),Stripe_Invoices_Upload!$A$4:$A$5003,"&lt;"&amp;EDATE(DATE(2027,3,1),1)))&gt;0,"✓ Invoiced","⚠ Due"),""),""))</f>
        <v/>
      </c>
    </row>
    <row r="122" customFormat="false" ht="15" hidden="false" customHeight="false" outlineLevel="0" collapsed="false">
      <c r="A122" s="39"/>
      <c r="B122" s="39"/>
      <c r="C122" s="40"/>
      <c r="D122" s="39"/>
      <c r="E122" s="38"/>
      <c r="F122" s="129" t="str">
        <f aca="true">IF($A122="","",EDATE($E122,DATEDIF($E122,TODAY(),"m")+1))</f>
        <v/>
      </c>
      <c r="G122" s="130" t="str">
        <f aca="false">IF($A122="","",IF((DATE(YEAR($E122),MONTH($E122),1)&lt;=DATE(2026,4,1)),IF((MOD(DATEDIF(DATE(YEAR($E122),MONTH($E122),1),DATE(2026,4,1),"m"),IF($D122="Quarterly",3,IF($D122="Annual",12,1)))=0),IF((COUNTIFS(Xero_Raw!$D$4:$D$5003,$A122,Xero_Raw!$G$4:$G$5003,"*Subscription*",Xero_Raw!$A$4:$A$5003,"&gt;="&amp;DATE(2026,4,1),Xero_Raw!$A$4:$A$5003,"&lt;"&amp;EDATE(DATE(2026,4,1),1))+COUNTIFS(Customer_Invoices_Upload!$E$4:$E$5003,$A122,Customer_Invoices_Upload!$G$4:$G$5003,"*Subscription*",Customer_Invoices_Upload!$B$4:$B$5003,"&gt;="&amp;DATE(2026,4,1),Customer_Invoices_Upload!$B$4:$B$5003,"&lt;"&amp;EDATE(DATE(2026,4,1),1))+COUNTIFS(Stripe_Invoices_Upload!$D$4:$D$5003,$A122,Stripe_Invoices_Upload!$E$4:$E$5003,"*Subscription*",Stripe_Invoices_Upload!$A$4:$A$5003,"&gt;="&amp;DATE(2026,4,1),Stripe_Invoices_Upload!$A$4:$A$5003,"&lt;"&amp;EDATE(DATE(2026,4,1),1)))&gt;0,"✓ Invoiced","⚠ Due"),""),""))</f>
        <v/>
      </c>
      <c r="H122" s="130" t="str">
        <f aca="false">IF($A122="","",IF((DATE(YEAR($E122),MONTH($E122),1)&lt;=DATE(2026,5,1)),IF((MOD(DATEDIF(DATE(YEAR($E122),MONTH($E122),1),DATE(2026,5,1),"m"),IF($D122="Quarterly",3,IF($D122="Annual",12,1)))=0),IF((COUNTIFS(Xero_Raw!$D$4:$D$5003,$A122,Xero_Raw!$G$4:$G$5003,"*Subscription*",Xero_Raw!$A$4:$A$5003,"&gt;="&amp;DATE(2026,5,1),Xero_Raw!$A$4:$A$5003,"&lt;"&amp;EDATE(DATE(2026,5,1),1))+COUNTIFS(Customer_Invoices_Upload!$E$4:$E$5003,$A122,Customer_Invoices_Upload!$G$4:$G$5003,"*Subscription*",Customer_Invoices_Upload!$B$4:$B$5003,"&gt;="&amp;DATE(2026,5,1),Customer_Invoices_Upload!$B$4:$B$5003,"&lt;"&amp;EDATE(DATE(2026,5,1),1))+COUNTIFS(Stripe_Invoices_Upload!$D$4:$D$5003,$A122,Stripe_Invoices_Upload!$E$4:$E$5003,"*Subscription*",Stripe_Invoices_Upload!$A$4:$A$5003,"&gt;="&amp;DATE(2026,5,1),Stripe_Invoices_Upload!$A$4:$A$5003,"&lt;"&amp;EDATE(DATE(2026,5,1),1)))&gt;0,"✓ Invoiced","⚠ Due"),""),""))</f>
        <v/>
      </c>
      <c r="I122" s="130" t="str">
        <f aca="false">IF($A122="","",IF((DATE(YEAR($E122),MONTH($E122),1)&lt;=DATE(2026,6,1)),IF((MOD(DATEDIF(DATE(YEAR($E122),MONTH($E122),1),DATE(2026,6,1),"m"),IF($D122="Quarterly",3,IF($D122="Annual",12,1)))=0),IF((COUNTIFS(Xero_Raw!$D$4:$D$5003,$A122,Xero_Raw!$G$4:$G$5003,"*Subscription*",Xero_Raw!$A$4:$A$5003,"&gt;="&amp;DATE(2026,6,1),Xero_Raw!$A$4:$A$5003,"&lt;"&amp;EDATE(DATE(2026,6,1),1))+COUNTIFS(Customer_Invoices_Upload!$E$4:$E$5003,$A122,Customer_Invoices_Upload!$G$4:$G$5003,"*Subscription*",Customer_Invoices_Upload!$B$4:$B$5003,"&gt;="&amp;DATE(2026,6,1),Customer_Invoices_Upload!$B$4:$B$5003,"&lt;"&amp;EDATE(DATE(2026,6,1),1))+COUNTIFS(Stripe_Invoices_Upload!$D$4:$D$5003,$A122,Stripe_Invoices_Upload!$E$4:$E$5003,"*Subscription*",Stripe_Invoices_Upload!$A$4:$A$5003,"&gt;="&amp;DATE(2026,6,1),Stripe_Invoices_Upload!$A$4:$A$5003,"&lt;"&amp;EDATE(DATE(2026,6,1),1)))&gt;0,"✓ Invoiced","⚠ Due"),""),""))</f>
        <v/>
      </c>
      <c r="J122" s="130" t="str">
        <f aca="false">IF($A122="","",IF((DATE(YEAR($E122),MONTH($E122),1)&lt;=DATE(2026,7,1)),IF((MOD(DATEDIF(DATE(YEAR($E122),MONTH($E122),1),DATE(2026,7,1),"m"),IF($D122="Quarterly",3,IF($D122="Annual",12,1)))=0),IF((COUNTIFS(Xero_Raw!$D$4:$D$5003,$A122,Xero_Raw!$G$4:$G$5003,"*Subscription*",Xero_Raw!$A$4:$A$5003,"&gt;="&amp;DATE(2026,7,1),Xero_Raw!$A$4:$A$5003,"&lt;"&amp;EDATE(DATE(2026,7,1),1))+COUNTIFS(Customer_Invoices_Upload!$E$4:$E$5003,$A122,Customer_Invoices_Upload!$G$4:$G$5003,"*Subscription*",Customer_Invoices_Upload!$B$4:$B$5003,"&gt;="&amp;DATE(2026,7,1),Customer_Invoices_Upload!$B$4:$B$5003,"&lt;"&amp;EDATE(DATE(2026,7,1),1))+COUNTIFS(Stripe_Invoices_Upload!$D$4:$D$5003,$A122,Stripe_Invoices_Upload!$E$4:$E$5003,"*Subscription*",Stripe_Invoices_Upload!$A$4:$A$5003,"&gt;="&amp;DATE(2026,7,1),Stripe_Invoices_Upload!$A$4:$A$5003,"&lt;"&amp;EDATE(DATE(2026,7,1),1)))&gt;0,"✓ Invoiced","⚠ Due"),""),""))</f>
        <v/>
      </c>
      <c r="K122" s="130" t="str">
        <f aca="false">IF($A122="","",IF((DATE(YEAR($E122),MONTH($E122),1)&lt;=DATE(2026,8,1)),IF((MOD(DATEDIF(DATE(YEAR($E122),MONTH($E122),1),DATE(2026,8,1),"m"),IF($D122="Quarterly",3,IF($D122="Annual",12,1)))=0),IF((COUNTIFS(Xero_Raw!$D$4:$D$5003,$A122,Xero_Raw!$G$4:$G$5003,"*Subscription*",Xero_Raw!$A$4:$A$5003,"&gt;="&amp;DATE(2026,8,1),Xero_Raw!$A$4:$A$5003,"&lt;"&amp;EDATE(DATE(2026,8,1),1))+COUNTIFS(Customer_Invoices_Upload!$E$4:$E$5003,$A122,Customer_Invoices_Upload!$G$4:$G$5003,"*Subscription*",Customer_Invoices_Upload!$B$4:$B$5003,"&gt;="&amp;DATE(2026,8,1),Customer_Invoices_Upload!$B$4:$B$5003,"&lt;"&amp;EDATE(DATE(2026,8,1),1))+COUNTIFS(Stripe_Invoices_Upload!$D$4:$D$5003,$A122,Stripe_Invoices_Upload!$E$4:$E$5003,"*Subscription*",Stripe_Invoices_Upload!$A$4:$A$5003,"&gt;="&amp;DATE(2026,8,1),Stripe_Invoices_Upload!$A$4:$A$5003,"&lt;"&amp;EDATE(DATE(2026,8,1),1)))&gt;0,"✓ Invoiced","⚠ Due"),""),""))</f>
        <v/>
      </c>
      <c r="L122" s="130" t="str">
        <f aca="false">IF($A122="","",IF((DATE(YEAR($E122),MONTH($E122),1)&lt;=DATE(2026,9,1)),IF((MOD(DATEDIF(DATE(YEAR($E122),MONTH($E122),1),DATE(2026,9,1),"m"),IF($D122="Quarterly",3,IF($D122="Annual",12,1)))=0),IF((COUNTIFS(Xero_Raw!$D$4:$D$5003,$A122,Xero_Raw!$G$4:$G$5003,"*Subscription*",Xero_Raw!$A$4:$A$5003,"&gt;="&amp;DATE(2026,9,1),Xero_Raw!$A$4:$A$5003,"&lt;"&amp;EDATE(DATE(2026,9,1),1))+COUNTIFS(Customer_Invoices_Upload!$E$4:$E$5003,$A122,Customer_Invoices_Upload!$G$4:$G$5003,"*Subscription*",Customer_Invoices_Upload!$B$4:$B$5003,"&gt;="&amp;DATE(2026,9,1),Customer_Invoices_Upload!$B$4:$B$5003,"&lt;"&amp;EDATE(DATE(2026,9,1),1))+COUNTIFS(Stripe_Invoices_Upload!$D$4:$D$5003,$A122,Stripe_Invoices_Upload!$E$4:$E$5003,"*Subscription*",Stripe_Invoices_Upload!$A$4:$A$5003,"&gt;="&amp;DATE(2026,9,1),Stripe_Invoices_Upload!$A$4:$A$5003,"&lt;"&amp;EDATE(DATE(2026,9,1),1)))&gt;0,"✓ Invoiced","⚠ Due"),""),""))</f>
        <v/>
      </c>
      <c r="M122" s="130" t="str">
        <f aca="false">IF($A122="","",IF((DATE(YEAR($E122),MONTH($E122),1)&lt;=DATE(2026,10,1)),IF((MOD(DATEDIF(DATE(YEAR($E122),MONTH($E122),1),DATE(2026,10,1),"m"),IF($D122="Quarterly",3,IF($D122="Annual",12,1)))=0),IF((COUNTIFS(Xero_Raw!$D$4:$D$5003,$A122,Xero_Raw!$G$4:$G$5003,"*Subscription*",Xero_Raw!$A$4:$A$5003,"&gt;="&amp;DATE(2026,10,1),Xero_Raw!$A$4:$A$5003,"&lt;"&amp;EDATE(DATE(2026,10,1),1))+COUNTIFS(Customer_Invoices_Upload!$E$4:$E$5003,$A122,Customer_Invoices_Upload!$G$4:$G$5003,"*Subscription*",Customer_Invoices_Upload!$B$4:$B$5003,"&gt;="&amp;DATE(2026,10,1),Customer_Invoices_Upload!$B$4:$B$5003,"&lt;"&amp;EDATE(DATE(2026,10,1),1))+COUNTIFS(Stripe_Invoices_Upload!$D$4:$D$5003,$A122,Stripe_Invoices_Upload!$E$4:$E$5003,"*Subscription*",Stripe_Invoices_Upload!$A$4:$A$5003,"&gt;="&amp;DATE(2026,10,1),Stripe_Invoices_Upload!$A$4:$A$5003,"&lt;"&amp;EDATE(DATE(2026,10,1),1)))&gt;0,"✓ Invoiced","⚠ Due"),""),""))</f>
        <v/>
      </c>
      <c r="N122" s="130" t="str">
        <f aca="false">IF($A122="","",IF((DATE(YEAR($E122),MONTH($E122),1)&lt;=DATE(2026,11,1)),IF((MOD(DATEDIF(DATE(YEAR($E122),MONTH($E122),1),DATE(2026,11,1),"m"),IF($D122="Quarterly",3,IF($D122="Annual",12,1)))=0),IF((COUNTIFS(Xero_Raw!$D$4:$D$5003,$A122,Xero_Raw!$G$4:$G$5003,"*Subscription*",Xero_Raw!$A$4:$A$5003,"&gt;="&amp;DATE(2026,11,1),Xero_Raw!$A$4:$A$5003,"&lt;"&amp;EDATE(DATE(2026,11,1),1))+COUNTIFS(Customer_Invoices_Upload!$E$4:$E$5003,$A122,Customer_Invoices_Upload!$G$4:$G$5003,"*Subscription*",Customer_Invoices_Upload!$B$4:$B$5003,"&gt;="&amp;DATE(2026,11,1),Customer_Invoices_Upload!$B$4:$B$5003,"&lt;"&amp;EDATE(DATE(2026,11,1),1))+COUNTIFS(Stripe_Invoices_Upload!$D$4:$D$5003,$A122,Stripe_Invoices_Upload!$E$4:$E$5003,"*Subscription*",Stripe_Invoices_Upload!$A$4:$A$5003,"&gt;="&amp;DATE(2026,11,1),Stripe_Invoices_Upload!$A$4:$A$5003,"&lt;"&amp;EDATE(DATE(2026,11,1),1)))&gt;0,"✓ Invoiced","⚠ Due"),""),""))</f>
        <v/>
      </c>
      <c r="O122" s="130" t="str">
        <f aca="false">IF($A122="","",IF((DATE(YEAR($E122),MONTH($E122),1)&lt;=DATE(2026,12,1)),IF((MOD(DATEDIF(DATE(YEAR($E122),MONTH($E122),1),DATE(2026,12,1),"m"),IF($D122="Quarterly",3,IF($D122="Annual",12,1)))=0),IF((COUNTIFS(Xero_Raw!$D$4:$D$5003,$A122,Xero_Raw!$G$4:$G$5003,"*Subscription*",Xero_Raw!$A$4:$A$5003,"&gt;="&amp;DATE(2026,12,1),Xero_Raw!$A$4:$A$5003,"&lt;"&amp;EDATE(DATE(2026,12,1),1))+COUNTIFS(Customer_Invoices_Upload!$E$4:$E$5003,$A122,Customer_Invoices_Upload!$G$4:$G$5003,"*Subscription*",Customer_Invoices_Upload!$B$4:$B$5003,"&gt;="&amp;DATE(2026,12,1),Customer_Invoices_Upload!$B$4:$B$5003,"&lt;"&amp;EDATE(DATE(2026,12,1),1))+COUNTIFS(Stripe_Invoices_Upload!$D$4:$D$5003,$A122,Stripe_Invoices_Upload!$E$4:$E$5003,"*Subscription*",Stripe_Invoices_Upload!$A$4:$A$5003,"&gt;="&amp;DATE(2026,12,1),Stripe_Invoices_Upload!$A$4:$A$5003,"&lt;"&amp;EDATE(DATE(2026,12,1),1)))&gt;0,"✓ Invoiced","⚠ Due"),""),""))</f>
        <v/>
      </c>
      <c r="P122" s="130" t="str">
        <f aca="false">IF($A122="","",IF((DATE(YEAR($E122),MONTH($E122),1)&lt;=DATE(2027,1,1)),IF((MOD(DATEDIF(DATE(YEAR($E122),MONTH($E122),1),DATE(2027,1,1),"m"),IF($D122="Quarterly",3,IF($D122="Annual",12,1)))=0),IF((COUNTIFS(Xero_Raw!$D$4:$D$5003,$A122,Xero_Raw!$G$4:$G$5003,"*Subscription*",Xero_Raw!$A$4:$A$5003,"&gt;="&amp;DATE(2027,1,1),Xero_Raw!$A$4:$A$5003,"&lt;"&amp;EDATE(DATE(2027,1,1),1))+COUNTIFS(Customer_Invoices_Upload!$E$4:$E$5003,$A122,Customer_Invoices_Upload!$G$4:$G$5003,"*Subscription*",Customer_Invoices_Upload!$B$4:$B$5003,"&gt;="&amp;DATE(2027,1,1),Customer_Invoices_Upload!$B$4:$B$5003,"&lt;"&amp;EDATE(DATE(2027,1,1),1))+COUNTIFS(Stripe_Invoices_Upload!$D$4:$D$5003,$A122,Stripe_Invoices_Upload!$E$4:$E$5003,"*Subscription*",Stripe_Invoices_Upload!$A$4:$A$5003,"&gt;="&amp;DATE(2027,1,1),Stripe_Invoices_Upload!$A$4:$A$5003,"&lt;"&amp;EDATE(DATE(2027,1,1),1)))&gt;0,"✓ Invoiced","⚠ Due"),""),""))</f>
        <v/>
      </c>
      <c r="Q122" s="130" t="str">
        <f aca="false">IF($A122="","",IF((DATE(YEAR($E122),MONTH($E122),1)&lt;=DATE(2027,2,1)),IF((MOD(DATEDIF(DATE(YEAR($E122),MONTH($E122),1),DATE(2027,2,1),"m"),IF($D122="Quarterly",3,IF($D122="Annual",12,1)))=0),IF((COUNTIFS(Xero_Raw!$D$4:$D$5003,$A122,Xero_Raw!$G$4:$G$5003,"*Subscription*",Xero_Raw!$A$4:$A$5003,"&gt;="&amp;DATE(2027,2,1),Xero_Raw!$A$4:$A$5003,"&lt;"&amp;EDATE(DATE(2027,2,1),1))+COUNTIFS(Customer_Invoices_Upload!$E$4:$E$5003,$A122,Customer_Invoices_Upload!$G$4:$G$5003,"*Subscription*",Customer_Invoices_Upload!$B$4:$B$5003,"&gt;="&amp;DATE(2027,2,1),Customer_Invoices_Upload!$B$4:$B$5003,"&lt;"&amp;EDATE(DATE(2027,2,1),1))+COUNTIFS(Stripe_Invoices_Upload!$D$4:$D$5003,$A122,Stripe_Invoices_Upload!$E$4:$E$5003,"*Subscription*",Stripe_Invoices_Upload!$A$4:$A$5003,"&gt;="&amp;DATE(2027,2,1),Stripe_Invoices_Upload!$A$4:$A$5003,"&lt;"&amp;EDATE(DATE(2027,2,1),1)))&gt;0,"✓ Invoiced","⚠ Due"),""),""))</f>
        <v/>
      </c>
      <c r="R122" s="130" t="str">
        <f aca="false">IF($A122="","",IF((DATE(YEAR($E122),MONTH($E122),1)&lt;=DATE(2027,3,1)),IF((MOD(DATEDIF(DATE(YEAR($E122),MONTH($E122),1),DATE(2027,3,1),"m"),IF($D122="Quarterly",3,IF($D122="Annual",12,1)))=0),IF((COUNTIFS(Xero_Raw!$D$4:$D$5003,$A122,Xero_Raw!$G$4:$G$5003,"*Subscription*",Xero_Raw!$A$4:$A$5003,"&gt;="&amp;DATE(2027,3,1),Xero_Raw!$A$4:$A$5003,"&lt;"&amp;EDATE(DATE(2027,3,1),1))+COUNTIFS(Customer_Invoices_Upload!$E$4:$E$5003,$A122,Customer_Invoices_Upload!$G$4:$G$5003,"*Subscription*",Customer_Invoices_Upload!$B$4:$B$5003,"&gt;="&amp;DATE(2027,3,1),Customer_Invoices_Upload!$B$4:$B$5003,"&lt;"&amp;EDATE(DATE(2027,3,1),1))+COUNTIFS(Stripe_Invoices_Upload!$D$4:$D$5003,$A122,Stripe_Invoices_Upload!$E$4:$E$5003,"*Subscription*",Stripe_Invoices_Upload!$A$4:$A$5003,"&gt;="&amp;DATE(2027,3,1),Stripe_Invoices_Upload!$A$4:$A$5003,"&lt;"&amp;EDATE(DATE(2027,3,1),1)))&gt;0,"✓ Invoiced","⚠ Due"),""),""))</f>
        <v/>
      </c>
    </row>
    <row r="123" customFormat="false" ht="15" hidden="false" customHeight="false" outlineLevel="0" collapsed="false">
      <c r="A123" s="39"/>
      <c r="B123" s="39"/>
      <c r="C123" s="40"/>
      <c r="D123" s="39"/>
      <c r="E123" s="38"/>
      <c r="F123" s="129" t="str">
        <f aca="true">IF($A123="","",EDATE($E123,DATEDIF($E123,TODAY(),"m")+1))</f>
        <v/>
      </c>
      <c r="G123" s="130" t="str">
        <f aca="false">IF($A123="","",IF((DATE(YEAR($E123),MONTH($E123),1)&lt;=DATE(2026,4,1)),IF((MOD(DATEDIF(DATE(YEAR($E123),MONTH($E123),1),DATE(2026,4,1),"m"),IF($D123="Quarterly",3,IF($D123="Annual",12,1)))=0),IF((COUNTIFS(Xero_Raw!$D$4:$D$5003,$A123,Xero_Raw!$G$4:$G$5003,"*Subscription*",Xero_Raw!$A$4:$A$5003,"&gt;="&amp;DATE(2026,4,1),Xero_Raw!$A$4:$A$5003,"&lt;"&amp;EDATE(DATE(2026,4,1),1))+COUNTIFS(Customer_Invoices_Upload!$E$4:$E$5003,$A123,Customer_Invoices_Upload!$G$4:$G$5003,"*Subscription*",Customer_Invoices_Upload!$B$4:$B$5003,"&gt;="&amp;DATE(2026,4,1),Customer_Invoices_Upload!$B$4:$B$5003,"&lt;"&amp;EDATE(DATE(2026,4,1),1))+COUNTIFS(Stripe_Invoices_Upload!$D$4:$D$5003,$A123,Stripe_Invoices_Upload!$E$4:$E$5003,"*Subscription*",Stripe_Invoices_Upload!$A$4:$A$5003,"&gt;="&amp;DATE(2026,4,1),Stripe_Invoices_Upload!$A$4:$A$5003,"&lt;"&amp;EDATE(DATE(2026,4,1),1)))&gt;0,"✓ Invoiced","⚠ Due"),""),""))</f>
        <v/>
      </c>
      <c r="H123" s="130" t="str">
        <f aca="false">IF($A123="","",IF((DATE(YEAR($E123),MONTH($E123),1)&lt;=DATE(2026,5,1)),IF((MOD(DATEDIF(DATE(YEAR($E123),MONTH($E123),1),DATE(2026,5,1),"m"),IF($D123="Quarterly",3,IF($D123="Annual",12,1)))=0),IF((COUNTIFS(Xero_Raw!$D$4:$D$5003,$A123,Xero_Raw!$G$4:$G$5003,"*Subscription*",Xero_Raw!$A$4:$A$5003,"&gt;="&amp;DATE(2026,5,1),Xero_Raw!$A$4:$A$5003,"&lt;"&amp;EDATE(DATE(2026,5,1),1))+COUNTIFS(Customer_Invoices_Upload!$E$4:$E$5003,$A123,Customer_Invoices_Upload!$G$4:$G$5003,"*Subscription*",Customer_Invoices_Upload!$B$4:$B$5003,"&gt;="&amp;DATE(2026,5,1),Customer_Invoices_Upload!$B$4:$B$5003,"&lt;"&amp;EDATE(DATE(2026,5,1),1))+COUNTIFS(Stripe_Invoices_Upload!$D$4:$D$5003,$A123,Stripe_Invoices_Upload!$E$4:$E$5003,"*Subscription*",Stripe_Invoices_Upload!$A$4:$A$5003,"&gt;="&amp;DATE(2026,5,1),Stripe_Invoices_Upload!$A$4:$A$5003,"&lt;"&amp;EDATE(DATE(2026,5,1),1)))&gt;0,"✓ Invoiced","⚠ Due"),""),""))</f>
        <v/>
      </c>
      <c r="I123" s="130" t="str">
        <f aca="false">IF($A123="","",IF((DATE(YEAR($E123),MONTH($E123),1)&lt;=DATE(2026,6,1)),IF((MOD(DATEDIF(DATE(YEAR($E123),MONTH($E123),1),DATE(2026,6,1),"m"),IF($D123="Quarterly",3,IF($D123="Annual",12,1)))=0),IF((COUNTIFS(Xero_Raw!$D$4:$D$5003,$A123,Xero_Raw!$G$4:$G$5003,"*Subscription*",Xero_Raw!$A$4:$A$5003,"&gt;="&amp;DATE(2026,6,1),Xero_Raw!$A$4:$A$5003,"&lt;"&amp;EDATE(DATE(2026,6,1),1))+COUNTIFS(Customer_Invoices_Upload!$E$4:$E$5003,$A123,Customer_Invoices_Upload!$G$4:$G$5003,"*Subscription*",Customer_Invoices_Upload!$B$4:$B$5003,"&gt;="&amp;DATE(2026,6,1),Customer_Invoices_Upload!$B$4:$B$5003,"&lt;"&amp;EDATE(DATE(2026,6,1),1))+COUNTIFS(Stripe_Invoices_Upload!$D$4:$D$5003,$A123,Stripe_Invoices_Upload!$E$4:$E$5003,"*Subscription*",Stripe_Invoices_Upload!$A$4:$A$5003,"&gt;="&amp;DATE(2026,6,1),Stripe_Invoices_Upload!$A$4:$A$5003,"&lt;"&amp;EDATE(DATE(2026,6,1),1)))&gt;0,"✓ Invoiced","⚠ Due"),""),""))</f>
        <v/>
      </c>
      <c r="J123" s="130" t="str">
        <f aca="false">IF($A123="","",IF((DATE(YEAR($E123),MONTH($E123),1)&lt;=DATE(2026,7,1)),IF((MOD(DATEDIF(DATE(YEAR($E123),MONTH($E123),1),DATE(2026,7,1),"m"),IF($D123="Quarterly",3,IF($D123="Annual",12,1)))=0),IF((COUNTIFS(Xero_Raw!$D$4:$D$5003,$A123,Xero_Raw!$G$4:$G$5003,"*Subscription*",Xero_Raw!$A$4:$A$5003,"&gt;="&amp;DATE(2026,7,1),Xero_Raw!$A$4:$A$5003,"&lt;"&amp;EDATE(DATE(2026,7,1),1))+COUNTIFS(Customer_Invoices_Upload!$E$4:$E$5003,$A123,Customer_Invoices_Upload!$G$4:$G$5003,"*Subscription*",Customer_Invoices_Upload!$B$4:$B$5003,"&gt;="&amp;DATE(2026,7,1),Customer_Invoices_Upload!$B$4:$B$5003,"&lt;"&amp;EDATE(DATE(2026,7,1),1))+COUNTIFS(Stripe_Invoices_Upload!$D$4:$D$5003,$A123,Stripe_Invoices_Upload!$E$4:$E$5003,"*Subscription*",Stripe_Invoices_Upload!$A$4:$A$5003,"&gt;="&amp;DATE(2026,7,1),Stripe_Invoices_Upload!$A$4:$A$5003,"&lt;"&amp;EDATE(DATE(2026,7,1),1)))&gt;0,"✓ Invoiced","⚠ Due"),""),""))</f>
        <v/>
      </c>
      <c r="K123" s="130" t="str">
        <f aca="false">IF($A123="","",IF((DATE(YEAR($E123),MONTH($E123),1)&lt;=DATE(2026,8,1)),IF((MOD(DATEDIF(DATE(YEAR($E123),MONTH($E123),1),DATE(2026,8,1),"m"),IF($D123="Quarterly",3,IF($D123="Annual",12,1)))=0),IF((COUNTIFS(Xero_Raw!$D$4:$D$5003,$A123,Xero_Raw!$G$4:$G$5003,"*Subscription*",Xero_Raw!$A$4:$A$5003,"&gt;="&amp;DATE(2026,8,1),Xero_Raw!$A$4:$A$5003,"&lt;"&amp;EDATE(DATE(2026,8,1),1))+COUNTIFS(Customer_Invoices_Upload!$E$4:$E$5003,$A123,Customer_Invoices_Upload!$G$4:$G$5003,"*Subscription*",Customer_Invoices_Upload!$B$4:$B$5003,"&gt;="&amp;DATE(2026,8,1),Customer_Invoices_Upload!$B$4:$B$5003,"&lt;"&amp;EDATE(DATE(2026,8,1),1))+COUNTIFS(Stripe_Invoices_Upload!$D$4:$D$5003,$A123,Stripe_Invoices_Upload!$E$4:$E$5003,"*Subscription*",Stripe_Invoices_Upload!$A$4:$A$5003,"&gt;="&amp;DATE(2026,8,1),Stripe_Invoices_Upload!$A$4:$A$5003,"&lt;"&amp;EDATE(DATE(2026,8,1),1)))&gt;0,"✓ Invoiced","⚠ Due"),""),""))</f>
        <v/>
      </c>
      <c r="L123" s="130" t="str">
        <f aca="false">IF($A123="","",IF((DATE(YEAR($E123),MONTH($E123),1)&lt;=DATE(2026,9,1)),IF((MOD(DATEDIF(DATE(YEAR($E123),MONTH($E123),1),DATE(2026,9,1),"m"),IF($D123="Quarterly",3,IF($D123="Annual",12,1)))=0),IF((COUNTIFS(Xero_Raw!$D$4:$D$5003,$A123,Xero_Raw!$G$4:$G$5003,"*Subscription*",Xero_Raw!$A$4:$A$5003,"&gt;="&amp;DATE(2026,9,1),Xero_Raw!$A$4:$A$5003,"&lt;"&amp;EDATE(DATE(2026,9,1),1))+COUNTIFS(Customer_Invoices_Upload!$E$4:$E$5003,$A123,Customer_Invoices_Upload!$G$4:$G$5003,"*Subscription*",Customer_Invoices_Upload!$B$4:$B$5003,"&gt;="&amp;DATE(2026,9,1),Customer_Invoices_Upload!$B$4:$B$5003,"&lt;"&amp;EDATE(DATE(2026,9,1),1))+COUNTIFS(Stripe_Invoices_Upload!$D$4:$D$5003,$A123,Stripe_Invoices_Upload!$E$4:$E$5003,"*Subscription*",Stripe_Invoices_Upload!$A$4:$A$5003,"&gt;="&amp;DATE(2026,9,1),Stripe_Invoices_Upload!$A$4:$A$5003,"&lt;"&amp;EDATE(DATE(2026,9,1),1)))&gt;0,"✓ Invoiced","⚠ Due"),""),""))</f>
        <v/>
      </c>
      <c r="M123" s="130" t="str">
        <f aca="false">IF($A123="","",IF((DATE(YEAR($E123),MONTH($E123),1)&lt;=DATE(2026,10,1)),IF((MOD(DATEDIF(DATE(YEAR($E123),MONTH($E123),1),DATE(2026,10,1),"m"),IF($D123="Quarterly",3,IF($D123="Annual",12,1)))=0),IF((COUNTIFS(Xero_Raw!$D$4:$D$5003,$A123,Xero_Raw!$G$4:$G$5003,"*Subscription*",Xero_Raw!$A$4:$A$5003,"&gt;="&amp;DATE(2026,10,1),Xero_Raw!$A$4:$A$5003,"&lt;"&amp;EDATE(DATE(2026,10,1),1))+COUNTIFS(Customer_Invoices_Upload!$E$4:$E$5003,$A123,Customer_Invoices_Upload!$G$4:$G$5003,"*Subscription*",Customer_Invoices_Upload!$B$4:$B$5003,"&gt;="&amp;DATE(2026,10,1),Customer_Invoices_Upload!$B$4:$B$5003,"&lt;"&amp;EDATE(DATE(2026,10,1),1))+COUNTIFS(Stripe_Invoices_Upload!$D$4:$D$5003,$A123,Stripe_Invoices_Upload!$E$4:$E$5003,"*Subscription*",Stripe_Invoices_Upload!$A$4:$A$5003,"&gt;="&amp;DATE(2026,10,1),Stripe_Invoices_Upload!$A$4:$A$5003,"&lt;"&amp;EDATE(DATE(2026,10,1),1)))&gt;0,"✓ Invoiced","⚠ Due"),""),""))</f>
        <v/>
      </c>
      <c r="N123" s="130" t="str">
        <f aca="false">IF($A123="","",IF((DATE(YEAR($E123),MONTH($E123),1)&lt;=DATE(2026,11,1)),IF((MOD(DATEDIF(DATE(YEAR($E123),MONTH($E123),1),DATE(2026,11,1),"m"),IF($D123="Quarterly",3,IF($D123="Annual",12,1)))=0),IF((COUNTIFS(Xero_Raw!$D$4:$D$5003,$A123,Xero_Raw!$G$4:$G$5003,"*Subscription*",Xero_Raw!$A$4:$A$5003,"&gt;="&amp;DATE(2026,11,1),Xero_Raw!$A$4:$A$5003,"&lt;"&amp;EDATE(DATE(2026,11,1),1))+COUNTIFS(Customer_Invoices_Upload!$E$4:$E$5003,$A123,Customer_Invoices_Upload!$G$4:$G$5003,"*Subscription*",Customer_Invoices_Upload!$B$4:$B$5003,"&gt;="&amp;DATE(2026,11,1),Customer_Invoices_Upload!$B$4:$B$5003,"&lt;"&amp;EDATE(DATE(2026,11,1),1))+COUNTIFS(Stripe_Invoices_Upload!$D$4:$D$5003,$A123,Stripe_Invoices_Upload!$E$4:$E$5003,"*Subscription*",Stripe_Invoices_Upload!$A$4:$A$5003,"&gt;="&amp;DATE(2026,11,1),Stripe_Invoices_Upload!$A$4:$A$5003,"&lt;"&amp;EDATE(DATE(2026,11,1),1)))&gt;0,"✓ Invoiced","⚠ Due"),""),""))</f>
        <v/>
      </c>
      <c r="O123" s="130" t="str">
        <f aca="false">IF($A123="","",IF((DATE(YEAR($E123),MONTH($E123),1)&lt;=DATE(2026,12,1)),IF((MOD(DATEDIF(DATE(YEAR($E123),MONTH($E123),1),DATE(2026,12,1),"m"),IF($D123="Quarterly",3,IF($D123="Annual",12,1)))=0),IF((COUNTIFS(Xero_Raw!$D$4:$D$5003,$A123,Xero_Raw!$G$4:$G$5003,"*Subscription*",Xero_Raw!$A$4:$A$5003,"&gt;="&amp;DATE(2026,12,1),Xero_Raw!$A$4:$A$5003,"&lt;"&amp;EDATE(DATE(2026,12,1),1))+COUNTIFS(Customer_Invoices_Upload!$E$4:$E$5003,$A123,Customer_Invoices_Upload!$G$4:$G$5003,"*Subscription*",Customer_Invoices_Upload!$B$4:$B$5003,"&gt;="&amp;DATE(2026,12,1),Customer_Invoices_Upload!$B$4:$B$5003,"&lt;"&amp;EDATE(DATE(2026,12,1),1))+COUNTIFS(Stripe_Invoices_Upload!$D$4:$D$5003,$A123,Stripe_Invoices_Upload!$E$4:$E$5003,"*Subscription*",Stripe_Invoices_Upload!$A$4:$A$5003,"&gt;="&amp;DATE(2026,12,1),Stripe_Invoices_Upload!$A$4:$A$5003,"&lt;"&amp;EDATE(DATE(2026,12,1),1)))&gt;0,"✓ Invoiced","⚠ Due"),""),""))</f>
        <v/>
      </c>
      <c r="P123" s="130" t="str">
        <f aca="false">IF($A123="","",IF((DATE(YEAR($E123),MONTH($E123),1)&lt;=DATE(2027,1,1)),IF((MOD(DATEDIF(DATE(YEAR($E123),MONTH($E123),1),DATE(2027,1,1),"m"),IF($D123="Quarterly",3,IF($D123="Annual",12,1)))=0),IF((COUNTIFS(Xero_Raw!$D$4:$D$5003,$A123,Xero_Raw!$G$4:$G$5003,"*Subscription*",Xero_Raw!$A$4:$A$5003,"&gt;="&amp;DATE(2027,1,1),Xero_Raw!$A$4:$A$5003,"&lt;"&amp;EDATE(DATE(2027,1,1),1))+COUNTIFS(Customer_Invoices_Upload!$E$4:$E$5003,$A123,Customer_Invoices_Upload!$G$4:$G$5003,"*Subscription*",Customer_Invoices_Upload!$B$4:$B$5003,"&gt;="&amp;DATE(2027,1,1),Customer_Invoices_Upload!$B$4:$B$5003,"&lt;"&amp;EDATE(DATE(2027,1,1),1))+COUNTIFS(Stripe_Invoices_Upload!$D$4:$D$5003,$A123,Stripe_Invoices_Upload!$E$4:$E$5003,"*Subscription*",Stripe_Invoices_Upload!$A$4:$A$5003,"&gt;="&amp;DATE(2027,1,1),Stripe_Invoices_Upload!$A$4:$A$5003,"&lt;"&amp;EDATE(DATE(2027,1,1),1)))&gt;0,"✓ Invoiced","⚠ Due"),""),""))</f>
        <v/>
      </c>
      <c r="Q123" s="130" t="str">
        <f aca="false">IF($A123="","",IF((DATE(YEAR($E123),MONTH($E123),1)&lt;=DATE(2027,2,1)),IF((MOD(DATEDIF(DATE(YEAR($E123),MONTH($E123),1),DATE(2027,2,1),"m"),IF($D123="Quarterly",3,IF($D123="Annual",12,1)))=0),IF((COUNTIFS(Xero_Raw!$D$4:$D$5003,$A123,Xero_Raw!$G$4:$G$5003,"*Subscription*",Xero_Raw!$A$4:$A$5003,"&gt;="&amp;DATE(2027,2,1),Xero_Raw!$A$4:$A$5003,"&lt;"&amp;EDATE(DATE(2027,2,1),1))+COUNTIFS(Customer_Invoices_Upload!$E$4:$E$5003,$A123,Customer_Invoices_Upload!$G$4:$G$5003,"*Subscription*",Customer_Invoices_Upload!$B$4:$B$5003,"&gt;="&amp;DATE(2027,2,1),Customer_Invoices_Upload!$B$4:$B$5003,"&lt;"&amp;EDATE(DATE(2027,2,1),1))+COUNTIFS(Stripe_Invoices_Upload!$D$4:$D$5003,$A123,Stripe_Invoices_Upload!$E$4:$E$5003,"*Subscription*",Stripe_Invoices_Upload!$A$4:$A$5003,"&gt;="&amp;DATE(2027,2,1),Stripe_Invoices_Upload!$A$4:$A$5003,"&lt;"&amp;EDATE(DATE(2027,2,1),1)))&gt;0,"✓ Invoiced","⚠ Due"),""),""))</f>
        <v/>
      </c>
      <c r="R123" s="130" t="str">
        <f aca="false">IF($A123="","",IF((DATE(YEAR($E123),MONTH($E123),1)&lt;=DATE(2027,3,1)),IF((MOD(DATEDIF(DATE(YEAR($E123),MONTH($E123),1),DATE(2027,3,1),"m"),IF($D123="Quarterly",3,IF($D123="Annual",12,1)))=0),IF((COUNTIFS(Xero_Raw!$D$4:$D$5003,$A123,Xero_Raw!$G$4:$G$5003,"*Subscription*",Xero_Raw!$A$4:$A$5003,"&gt;="&amp;DATE(2027,3,1),Xero_Raw!$A$4:$A$5003,"&lt;"&amp;EDATE(DATE(2027,3,1),1))+COUNTIFS(Customer_Invoices_Upload!$E$4:$E$5003,$A123,Customer_Invoices_Upload!$G$4:$G$5003,"*Subscription*",Customer_Invoices_Upload!$B$4:$B$5003,"&gt;="&amp;DATE(2027,3,1),Customer_Invoices_Upload!$B$4:$B$5003,"&lt;"&amp;EDATE(DATE(2027,3,1),1))+COUNTIFS(Stripe_Invoices_Upload!$D$4:$D$5003,$A123,Stripe_Invoices_Upload!$E$4:$E$5003,"*Subscription*",Stripe_Invoices_Upload!$A$4:$A$5003,"&gt;="&amp;DATE(2027,3,1),Stripe_Invoices_Upload!$A$4:$A$5003,"&lt;"&amp;EDATE(DATE(2027,3,1),1)))&gt;0,"✓ Invoiced","⚠ Due"),""),""))</f>
        <v/>
      </c>
    </row>
    <row r="124" customFormat="false" ht="15" hidden="false" customHeight="false" outlineLevel="0" collapsed="false">
      <c r="A124" s="39"/>
      <c r="B124" s="39"/>
      <c r="C124" s="40"/>
      <c r="D124" s="39"/>
      <c r="E124" s="38"/>
      <c r="F124" s="129" t="str">
        <f aca="true">IF($A124="","",EDATE($E124,DATEDIF($E124,TODAY(),"m")+1))</f>
        <v/>
      </c>
      <c r="G124" s="130" t="str">
        <f aca="false">IF($A124="","",IF((DATE(YEAR($E124),MONTH($E124),1)&lt;=DATE(2026,4,1)),IF((MOD(DATEDIF(DATE(YEAR($E124),MONTH($E124),1),DATE(2026,4,1),"m"),IF($D124="Quarterly",3,IF($D124="Annual",12,1)))=0),IF((COUNTIFS(Xero_Raw!$D$4:$D$5003,$A124,Xero_Raw!$G$4:$G$5003,"*Subscription*",Xero_Raw!$A$4:$A$5003,"&gt;="&amp;DATE(2026,4,1),Xero_Raw!$A$4:$A$5003,"&lt;"&amp;EDATE(DATE(2026,4,1),1))+COUNTIFS(Customer_Invoices_Upload!$E$4:$E$5003,$A124,Customer_Invoices_Upload!$G$4:$G$5003,"*Subscription*",Customer_Invoices_Upload!$B$4:$B$5003,"&gt;="&amp;DATE(2026,4,1),Customer_Invoices_Upload!$B$4:$B$5003,"&lt;"&amp;EDATE(DATE(2026,4,1),1))+COUNTIFS(Stripe_Invoices_Upload!$D$4:$D$5003,$A124,Stripe_Invoices_Upload!$E$4:$E$5003,"*Subscription*",Stripe_Invoices_Upload!$A$4:$A$5003,"&gt;="&amp;DATE(2026,4,1),Stripe_Invoices_Upload!$A$4:$A$5003,"&lt;"&amp;EDATE(DATE(2026,4,1),1)))&gt;0,"✓ Invoiced","⚠ Due"),""),""))</f>
        <v/>
      </c>
      <c r="H124" s="130" t="str">
        <f aca="false">IF($A124="","",IF((DATE(YEAR($E124),MONTH($E124),1)&lt;=DATE(2026,5,1)),IF((MOD(DATEDIF(DATE(YEAR($E124),MONTH($E124),1),DATE(2026,5,1),"m"),IF($D124="Quarterly",3,IF($D124="Annual",12,1)))=0),IF((COUNTIFS(Xero_Raw!$D$4:$D$5003,$A124,Xero_Raw!$G$4:$G$5003,"*Subscription*",Xero_Raw!$A$4:$A$5003,"&gt;="&amp;DATE(2026,5,1),Xero_Raw!$A$4:$A$5003,"&lt;"&amp;EDATE(DATE(2026,5,1),1))+COUNTIFS(Customer_Invoices_Upload!$E$4:$E$5003,$A124,Customer_Invoices_Upload!$G$4:$G$5003,"*Subscription*",Customer_Invoices_Upload!$B$4:$B$5003,"&gt;="&amp;DATE(2026,5,1),Customer_Invoices_Upload!$B$4:$B$5003,"&lt;"&amp;EDATE(DATE(2026,5,1),1))+COUNTIFS(Stripe_Invoices_Upload!$D$4:$D$5003,$A124,Stripe_Invoices_Upload!$E$4:$E$5003,"*Subscription*",Stripe_Invoices_Upload!$A$4:$A$5003,"&gt;="&amp;DATE(2026,5,1),Stripe_Invoices_Upload!$A$4:$A$5003,"&lt;"&amp;EDATE(DATE(2026,5,1),1)))&gt;0,"✓ Invoiced","⚠ Due"),""),""))</f>
        <v/>
      </c>
      <c r="I124" s="130" t="str">
        <f aca="false">IF($A124="","",IF((DATE(YEAR($E124),MONTH($E124),1)&lt;=DATE(2026,6,1)),IF((MOD(DATEDIF(DATE(YEAR($E124),MONTH($E124),1),DATE(2026,6,1),"m"),IF($D124="Quarterly",3,IF($D124="Annual",12,1)))=0),IF((COUNTIFS(Xero_Raw!$D$4:$D$5003,$A124,Xero_Raw!$G$4:$G$5003,"*Subscription*",Xero_Raw!$A$4:$A$5003,"&gt;="&amp;DATE(2026,6,1),Xero_Raw!$A$4:$A$5003,"&lt;"&amp;EDATE(DATE(2026,6,1),1))+COUNTIFS(Customer_Invoices_Upload!$E$4:$E$5003,$A124,Customer_Invoices_Upload!$G$4:$G$5003,"*Subscription*",Customer_Invoices_Upload!$B$4:$B$5003,"&gt;="&amp;DATE(2026,6,1),Customer_Invoices_Upload!$B$4:$B$5003,"&lt;"&amp;EDATE(DATE(2026,6,1),1))+COUNTIFS(Stripe_Invoices_Upload!$D$4:$D$5003,$A124,Stripe_Invoices_Upload!$E$4:$E$5003,"*Subscription*",Stripe_Invoices_Upload!$A$4:$A$5003,"&gt;="&amp;DATE(2026,6,1),Stripe_Invoices_Upload!$A$4:$A$5003,"&lt;"&amp;EDATE(DATE(2026,6,1),1)))&gt;0,"✓ Invoiced","⚠ Due"),""),""))</f>
        <v/>
      </c>
      <c r="J124" s="130" t="str">
        <f aca="false">IF($A124="","",IF((DATE(YEAR($E124),MONTH($E124),1)&lt;=DATE(2026,7,1)),IF((MOD(DATEDIF(DATE(YEAR($E124),MONTH($E124),1),DATE(2026,7,1),"m"),IF($D124="Quarterly",3,IF($D124="Annual",12,1)))=0),IF((COUNTIFS(Xero_Raw!$D$4:$D$5003,$A124,Xero_Raw!$G$4:$G$5003,"*Subscription*",Xero_Raw!$A$4:$A$5003,"&gt;="&amp;DATE(2026,7,1),Xero_Raw!$A$4:$A$5003,"&lt;"&amp;EDATE(DATE(2026,7,1),1))+COUNTIFS(Customer_Invoices_Upload!$E$4:$E$5003,$A124,Customer_Invoices_Upload!$G$4:$G$5003,"*Subscription*",Customer_Invoices_Upload!$B$4:$B$5003,"&gt;="&amp;DATE(2026,7,1),Customer_Invoices_Upload!$B$4:$B$5003,"&lt;"&amp;EDATE(DATE(2026,7,1),1))+COUNTIFS(Stripe_Invoices_Upload!$D$4:$D$5003,$A124,Stripe_Invoices_Upload!$E$4:$E$5003,"*Subscription*",Stripe_Invoices_Upload!$A$4:$A$5003,"&gt;="&amp;DATE(2026,7,1),Stripe_Invoices_Upload!$A$4:$A$5003,"&lt;"&amp;EDATE(DATE(2026,7,1),1)))&gt;0,"✓ Invoiced","⚠ Due"),""),""))</f>
        <v/>
      </c>
      <c r="K124" s="130" t="str">
        <f aca="false">IF($A124="","",IF((DATE(YEAR($E124),MONTH($E124),1)&lt;=DATE(2026,8,1)),IF((MOD(DATEDIF(DATE(YEAR($E124),MONTH($E124),1),DATE(2026,8,1),"m"),IF($D124="Quarterly",3,IF($D124="Annual",12,1)))=0),IF((COUNTIFS(Xero_Raw!$D$4:$D$5003,$A124,Xero_Raw!$G$4:$G$5003,"*Subscription*",Xero_Raw!$A$4:$A$5003,"&gt;="&amp;DATE(2026,8,1),Xero_Raw!$A$4:$A$5003,"&lt;"&amp;EDATE(DATE(2026,8,1),1))+COUNTIFS(Customer_Invoices_Upload!$E$4:$E$5003,$A124,Customer_Invoices_Upload!$G$4:$G$5003,"*Subscription*",Customer_Invoices_Upload!$B$4:$B$5003,"&gt;="&amp;DATE(2026,8,1),Customer_Invoices_Upload!$B$4:$B$5003,"&lt;"&amp;EDATE(DATE(2026,8,1),1))+COUNTIFS(Stripe_Invoices_Upload!$D$4:$D$5003,$A124,Stripe_Invoices_Upload!$E$4:$E$5003,"*Subscription*",Stripe_Invoices_Upload!$A$4:$A$5003,"&gt;="&amp;DATE(2026,8,1),Stripe_Invoices_Upload!$A$4:$A$5003,"&lt;"&amp;EDATE(DATE(2026,8,1),1)))&gt;0,"✓ Invoiced","⚠ Due"),""),""))</f>
        <v/>
      </c>
      <c r="L124" s="130" t="str">
        <f aca="false">IF($A124="","",IF((DATE(YEAR($E124),MONTH($E124),1)&lt;=DATE(2026,9,1)),IF((MOD(DATEDIF(DATE(YEAR($E124),MONTH($E124),1),DATE(2026,9,1),"m"),IF($D124="Quarterly",3,IF($D124="Annual",12,1)))=0),IF((COUNTIFS(Xero_Raw!$D$4:$D$5003,$A124,Xero_Raw!$G$4:$G$5003,"*Subscription*",Xero_Raw!$A$4:$A$5003,"&gt;="&amp;DATE(2026,9,1),Xero_Raw!$A$4:$A$5003,"&lt;"&amp;EDATE(DATE(2026,9,1),1))+COUNTIFS(Customer_Invoices_Upload!$E$4:$E$5003,$A124,Customer_Invoices_Upload!$G$4:$G$5003,"*Subscription*",Customer_Invoices_Upload!$B$4:$B$5003,"&gt;="&amp;DATE(2026,9,1),Customer_Invoices_Upload!$B$4:$B$5003,"&lt;"&amp;EDATE(DATE(2026,9,1),1))+COUNTIFS(Stripe_Invoices_Upload!$D$4:$D$5003,$A124,Stripe_Invoices_Upload!$E$4:$E$5003,"*Subscription*",Stripe_Invoices_Upload!$A$4:$A$5003,"&gt;="&amp;DATE(2026,9,1),Stripe_Invoices_Upload!$A$4:$A$5003,"&lt;"&amp;EDATE(DATE(2026,9,1),1)))&gt;0,"✓ Invoiced","⚠ Due"),""),""))</f>
        <v/>
      </c>
      <c r="M124" s="130" t="str">
        <f aca="false">IF($A124="","",IF((DATE(YEAR($E124),MONTH($E124),1)&lt;=DATE(2026,10,1)),IF((MOD(DATEDIF(DATE(YEAR($E124),MONTH($E124),1),DATE(2026,10,1),"m"),IF($D124="Quarterly",3,IF($D124="Annual",12,1)))=0),IF((COUNTIFS(Xero_Raw!$D$4:$D$5003,$A124,Xero_Raw!$G$4:$G$5003,"*Subscription*",Xero_Raw!$A$4:$A$5003,"&gt;="&amp;DATE(2026,10,1),Xero_Raw!$A$4:$A$5003,"&lt;"&amp;EDATE(DATE(2026,10,1),1))+COUNTIFS(Customer_Invoices_Upload!$E$4:$E$5003,$A124,Customer_Invoices_Upload!$G$4:$G$5003,"*Subscription*",Customer_Invoices_Upload!$B$4:$B$5003,"&gt;="&amp;DATE(2026,10,1),Customer_Invoices_Upload!$B$4:$B$5003,"&lt;"&amp;EDATE(DATE(2026,10,1),1))+COUNTIFS(Stripe_Invoices_Upload!$D$4:$D$5003,$A124,Stripe_Invoices_Upload!$E$4:$E$5003,"*Subscription*",Stripe_Invoices_Upload!$A$4:$A$5003,"&gt;="&amp;DATE(2026,10,1),Stripe_Invoices_Upload!$A$4:$A$5003,"&lt;"&amp;EDATE(DATE(2026,10,1),1)))&gt;0,"✓ Invoiced","⚠ Due"),""),""))</f>
        <v/>
      </c>
      <c r="N124" s="130" t="str">
        <f aca="false">IF($A124="","",IF((DATE(YEAR($E124),MONTH($E124),1)&lt;=DATE(2026,11,1)),IF((MOD(DATEDIF(DATE(YEAR($E124),MONTH($E124),1),DATE(2026,11,1),"m"),IF($D124="Quarterly",3,IF($D124="Annual",12,1)))=0),IF((COUNTIFS(Xero_Raw!$D$4:$D$5003,$A124,Xero_Raw!$G$4:$G$5003,"*Subscription*",Xero_Raw!$A$4:$A$5003,"&gt;="&amp;DATE(2026,11,1),Xero_Raw!$A$4:$A$5003,"&lt;"&amp;EDATE(DATE(2026,11,1),1))+COUNTIFS(Customer_Invoices_Upload!$E$4:$E$5003,$A124,Customer_Invoices_Upload!$G$4:$G$5003,"*Subscription*",Customer_Invoices_Upload!$B$4:$B$5003,"&gt;="&amp;DATE(2026,11,1),Customer_Invoices_Upload!$B$4:$B$5003,"&lt;"&amp;EDATE(DATE(2026,11,1),1))+COUNTIFS(Stripe_Invoices_Upload!$D$4:$D$5003,$A124,Stripe_Invoices_Upload!$E$4:$E$5003,"*Subscription*",Stripe_Invoices_Upload!$A$4:$A$5003,"&gt;="&amp;DATE(2026,11,1),Stripe_Invoices_Upload!$A$4:$A$5003,"&lt;"&amp;EDATE(DATE(2026,11,1),1)))&gt;0,"✓ Invoiced","⚠ Due"),""),""))</f>
        <v/>
      </c>
      <c r="O124" s="130" t="str">
        <f aca="false">IF($A124="","",IF((DATE(YEAR($E124),MONTH($E124),1)&lt;=DATE(2026,12,1)),IF((MOD(DATEDIF(DATE(YEAR($E124),MONTH($E124),1),DATE(2026,12,1),"m"),IF($D124="Quarterly",3,IF($D124="Annual",12,1)))=0),IF((COUNTIFS(Xero_Raw!$D$4:$D$5003,$A124,Xero_Raw!$G$4:$G$5003,"*Subscription*",Xero_Raw!$A$4:$A$5003,"&gt;="&amp;DATE(2026,12,1),Xero_Raw!$A$4:$A$5003,"&lt;"&amp;EDATE(DATE(2026,12,1),1))+COUNTIFS(Customer_Invoices_Upload!$E$4:$E$5003,$A124,Customer_Invoices_Upload!$G$4:$G$5003,"*Subscription*",Customer_Invoices_Upload!$B$4:$B$5003,"&gt;="&amp;DATE(2026,12,1),Customer_Invoices_Upload!$B$4:$B$5003,"&lt;"&amp;EDATE(DATE(2026,12,1),1))+COUNTIFS(Stripe_Invoices_Upload!$D$4:$D$5003,$A124,Stripe_Invoices_Upload!$E$4:$E$5003,"*Subscription*",Stripe_Invoices_Upload!$A$4:$A$5003,"&gt;="&amp;DATE(2026,12,1),Stripe_Invoices_Upload!$A$4:$A$5003,"&lt;"&amp;EDATE(DATE(2026,12,1),1)))&gt;0,"✓ Invoiced","⚠ Due"),""),""))</f>
        <v/>
      </c>
      <c r="P124" s="130" t="str">
        <f aca="false">IF($A124="","",IF((DATE(YEAR($E124),MONTH($E124),1)&lt;=DATE(2027,1,1)),IF((MOD(DATEDIF(DATE(YEAR($E124),MONTH($E124),1),DATE(2027,1,1),"m"),IF($D124="Quarterly",3,IF($D124="Annual",12,1)))=0),IF((COUNTIFS(Xero_Raw!$D$4:$D$5003,$A124,Xero_Raw!$G$4:$G$5003,"*Subscription*",Xero_Raw!$A$4:$A$5003,"&gt;="&amp;DATE(2027,1,1),Xero_Raw!$A$4:$A$5003,"&lt;"&amp;EDATE(DATE(2027,1,1),1))+COUNTIFS(Customer_Invoices_Upload!$E$4:$E$5003,$A124,Customer_Invoices_Upload!$G$4:$G$5003,"*Subscription*",Customer_Invoices_Upload!$B$4:$B$5003,"&gt;="&amp;DATE(2027,1,1),Customer_Invoices_Upload!$B$4:$B$5003,"&lt;"&amp;EDATE(DATE(2027,1,1),1))+COUNTIFS(Stripe_Invoices_Upload!$D$4:$D$5003,$A124,Stripe_Invoices_Upload!$E$4:$E$5003,"*Subscription*",Stripe_Invoices_Upload!$A$4:$A$5003,"&gt;="&amp;DATE(2027,1,1),Stripe_Invoices_Upload!$A$4:$A$5003,"&lt;"&amp;EDATE(DATE(2027,1,1),1)))&gt;0,"✓ Invoiced","⚠ Due"),""),""))</f>
        <v/>
      </c>
      <c r="Q124" s="130" t="str">
        <f aca="false">IF($A124="","",IF((DATE(YEAR($E124),MONTH($E124),1)&lt;=DATE(2027,2,1)),IF((MOD(DATEDIF(DATE(YEAR($E124),MONTH($E124),1),DATE(2027,2,1),"m"),IF($D124="Quarterly",3,IF($D124="Annual",12,1)))=0),IF((COUNTIFS(Xero_Raw!$D$4:$D$5003,$A124,Xero_Raw!$G$4:$G$5003,"*Subscription*",Xero_Raw!$A$4:$A$5003,"&gt;="&amp;DATE(2027,2,1),Xero_Raw!$A$4:$A$5003,"&lt;"&amp;EDATE(DATE(2027,2,1),1))+COUNTIFS(Customer_Invoices_Upload!$E$4:$E$5003,$A124,Customer_Invoices_Upload!$G$4:$G$5003,"*Subscription*",Customer_Invoices_Upload!$B$4:$B$5003,"&gt;="&amp;DATE(2027,2,1),Customer_Invoices_Upload!$B$4:$B$5003,"&lt;"&amp;EDATE(DATE(2027,2,1),1))+COUNTIFS(Stripe_Invoices_Upload!$D$4:$D$5003,$A124,Stripe_Invoices_Upload!$E$4:$E$5003,"*Subscription*",Stripe_Invoices_Upload!$A$4:$A$5003,"&gt;="&amp;DATE(2027,2,1),Stripe_Invoices_Upload!$A$4:$A$5003,"&lt;"&amp;EDATE(DATE(2027,2,1),1)))&gt;0,"✓ Invoiced","⚠ Due"),""),""))</f>
        <v/>
      </c>
      <c r="R124" s="130" t="str">
        <f aca="false">IF($A124="","",IF((DATE(YEAR($E124),MONTH($E124),1)&lt;=DATE(2027,3,1)),IF((MOD(DATEDIF(DATE(YEAR($E124),MONTH($E124),1),DATE(2027,3,1),"m"),IF($D124="Quarterly",3,IF($D124="Annual",12,1)))=0),IF((COUNTIFS(Xero_Raw!$D$4:$D$5003,$A124,Xero_Raw!$G$4:$G$5003,"*Subscription*",Xero_Raw!$A$4:$A$5003,"&gt;="&amp;DATE(2027,3,1),Xero_Raw!$A$4:$A$5003,"&lt;"&amp;EDATE(DATE(2027,3,1),1))+COUNTIFS(Customer_Invoices_Upload!$E$4:$E$5003,$A124,Customer_Invoices_Upload!$G$4:$G$5003,"*Subscription*",Customer_Invoices_Upload!$B$4:$B$5003,"&gt;="&amp;DATE(2027,3,1),Customer_Invoices_Upload!$B$4:$B$5003,"&lt;"&amp;EDATE(DATE(2027,3,1),1))+COUNTIFS(Stripe_Invoices_Upload!$D$4:$D$5003,$A124,Stripe_Invoices_Upload!$E$4:$E$5003,"*Subscription*",Stripe_Invoices_Upload!$A$4:$A$5003,"&gt;="&amp;DATE(2027,3,1),Stripe_Invoices_Upload!$A$4:$A$5003,"&lt;"&amp;EDATE(DATE(2027,3,1),1)))&gt;0,"✓ Invoiced","⚠ Due"),""),""))</f>
        <v/>
      </c>
    </row>
    <row r="125" customFormat="false" ht="15" hidden="false" customHeight="false" outlineLevel="0" collapsed="false">
      <c r="A125" s="39"/>
      <c r="B125" s="39"/>
      <c r="C125" s="40"/>
      <c r="D125" s="39"/>
      <c r="E125" s="38"/>
      <c r="F125" s="129" t="str">
        <f aca="true">IF($A125="","",EDATE($E125,DATEDIF($E125,TODAY(),"m")+1))</f>
        <v/>
      </c>
      <c r="G125" s="130" t="str">
        <f aca="false">IF($A125="","",IF((DATE(YEAR($E125),MONTH($E125),1)&lt;=DATE(2026,4,1)),IF((MOD(DATEDIF(DATE(YEAR($E125),MONTH($E125),1),DATE(2026,4,1),"m"),IF($D125="Quarterly",3,IF($D125="Annual",12,1)))=0),IF((COUNTIFS(Xero_Raw!$D$4:$D$5003,$A125,Xero_Raw!$G$4:$G$5003,"*Subscription*",Xero_Raw!$A$4:$A$5003,"&gt;="&amp;DATE(2026,4,1),Xero_Raw!$A$4:$A$5003,"&lt;"&amp;EDATE(DATE(2026,4,1),1))+COUNTIFS(Customer_Invoices_Upload!$E$4:$E$5003,$A125,Customer_Invoices_Upload!$G$4:$G$5003,"*Subscription*",Customer_Invoices_Upload!$B$4:$B$5003,"&gt;="&amp;DATE(2026,4,1),Customer_Invoices_Upload!$B$4:$B$5003,"&lt;"&amp;EDATE(DATE(2026,4,1),1))+COUNTIFS(Stripe_Invoices_Upload!$D$4:$D$5003,$A125,Stripe_Invoices_Upload!$E$4:$E$5003,"*Subscription*",Stripe_Invoices_Upload!$A$4:$A$5003,"&gt;="&amp;DATE(2026,4,1),Stripe_Invoices_Upload!$A$4:$A$5003,"&lt;"&amp;EDATE(DATE(2026,4,1),1)))&gt;0,"✓ Invoiced","⚠ Due"),""),""))</f>
        <v/>
      </c>
      <c r="H125" s="130" t="str">
        <f aca="false">IF($A125="","",IF((DATE(YEAR($E125),MONTH($E125),1)&lt;=DATE(2026,5,1)),IF((MOD(DATEDIF(DATE(YEAR($E125),MONTH($E125),1),DATE(2026,5,1),"m"),IF($D125="Quarterly",3,IF($D125="Annual",12,1)))=0),IF((COUNTIFS(Xero_Raw!$D$4:$D$5003,$A125,Xero_Raw!$G$4:$G$5003,"*Subscription*",Xero_Raw!$A$4:$A$5003,"&gt;="&amp;DATE(2026,5,1),Xero_Raw!$A$4:$A$5003,"&lt;"&amp;EDATE(DATE(2026,5,1),1))+COUNTIFS(Customer_Invoices_Upload!$E$4:$E$5003,$A125,Customer_Invoices_Upload!$G$4:$G$5003,"*Subscription*",Customer_Invoices_Upload!$B$4:$B$5003,"&gt;="&amp;DATE(2026,5,1),Customer_Invoices_Upload!$B$4:$B$5003,"&lt;"&amp;EDATE(DATE(2026,5,1),1))+COUNTIFS(Stripe_Invoices_Upload!$D$4:$D$5003,$A125,Stripe_Invoices_Upload!$E$4:$E$5003,"*Subscription*",Stripe_Invoices_Upload!$A$4:$A$5003,"&gt;="&amp;DATE(2026,5,1),Stripe_Invoices_Upload!$A$4:$A$5003,"&lt;"&amp;EDATE(DATE(2026,5,1),1)))&gt;0,"✓ Invoiced","⚠ Due"),""),""))</f>
        <v/>
      </c>
      <c r="I125" s="130" t="str">
        <f aca="false">IF($A125="","",IF((DATE(YEAR($E125),MONTH($E125),1)&lt;=DATE(2026,6,1)),IF((MOD(DATEDIF(DATE(YEAR($E125),MONTH($E125),1),DATE(2026,6,1),"m"),IF($D125="Quarterly",3,IF($D125="Annual",12,1)))=0),IF((COUNTIFS(Xero_Raw!$D$4:$D$5003,$A125,Xero_Raw!$G$4:$G$5003,"*Subscription*",Xero_Raw!$A$4:$A$5003,"&gt;="&amp;DATE(2026,6,1),Xero_Raw!$A$4:$A$5003,"&lt;"&amp;EDATE(DATE(2026,6,1),1))+COUNTIFS(Customer_Invoices_Upload!$E$4:$E$5003,$A125,Customer_Invoices_Upload!$G$4:$G$5003,"*Subscription*",Customer_Invoices_Upload!$B$4:$B$5003,"&gt;="&amp;DATE(2026,6,1),Customer_Invoices_Upload!$B$4:$B$5003,"&lt;"&amp;EDATE(DATE(2026,6,1),1))+COUNTIFS(Stripe_Invoices_Upload!$D$4:$D$5003,$A125,Stripe_Invoices_Upload!$E$4:$E$5003,"*Subscription*",Stripe_Invoices_Upload!$A$4:$A$5003,"&gt;="&amp;DATE(2026,6,1),Stripe_Invoices_Upload!$A$4:$A$5003,"&lt;"&amp;EDATE(DATE(2026,6,1),1)))&gt;0,"✓ Invoiced","⚠ Due"),""),""))</f>
        <v/>
      </c>
      <c r="J125" s="130" t="str">
        <f aca="false">IF($A125="","",IF((DATE(YEAR($E125),MONTH($E125),1)&lt;=DATE(2026,7,1)),IF((MOD(DATEDIF(DATE(YEAR($E125),MONTH($E125),1),DATE(2026,7,1),"m"),IF($D125="Quarterly",3,IF($D125="Annual",12,1)))=0),IF((COUNTIFS(Xero_Raw!$D$4:$D$5003,$A125,Xero_Raw!$G$4:$G$5003,"*Subscription*",Xero_Raw!$A$4:$A$5003,"&gt;="&amp;DATE(2026,7,1),Xero_Raw!$A$4:$A$5003,"&lt;"&amp;EDATE(DATE(2026,7,1),1))+COUNTIFS(Customer_Invoices_Upload!$E$4:$E$5003,$A125,Customer_Invoices_Upload!$G$4:$G$5003,"*Subscription*",Customer_Invoices_Upload!$B$4:$B$5003,"&gt;="&amp;DATE(2026,7,1),Customer_Invoices_Upload!$B$4:$B$5003,"&lt;"&amp;EDATE(DATE(2026,7,1),1))+COUNTIFS(Stripe_Invoices_Upload!$D$4:$D$5003,$A125,Stripe_Invoices_Upload!$E$4:$E$5003,"*Subscription*",Stripe_Invoices_Upload!$A$4:$A$5003,"&gt;="&amp;DATE(2026,7,1),Stripe_Invoices_Upload!$A$4:$A$5003,"&lt;"&amp;EDATE(DATE(2026,7,1),1)))&gt;0,"✓ Invoiced","⚠ Due"),""),""))</f>
        <v/>
      </c>
      <c r="K125" s="130" t="str">
        <f aca="false">IF($A125="","",IF((DATE(YEAR($E125),MONTH($E125),1)&lt;=DATE(2026,8,1)),IF((MOD(DATEDIF(DATE(YEAR($E125),MONTH($E125),1),DATE(2026,8,1),"m"),IF($D125="Quarterly",3,IF($D125="Annual",12,1)))=0),IF((COUNTIFS(Xero_Raw!$D$4:$D$5003,$A125,Xero_Raw!$G$4:$G$5003,"*Subscription*",Xero_Raw!$A$4:$A$5003,"&gt;="&amp;DATE(2026,8,1),Xero_Raw!$A$4:$A$5003,"&lt;"&amp;EDATE(DATE(2026,8,1),1))+COUNTIFS(Customer_Invoices_Upload!$E$4:$E$5003,$A125,Customer_Invoices_Upload!$G$4:$G$5003,"*Subscription*",Customer_Invoices_Upload!$B$4:$B$5003,"&gt;="&amp;DATE(2026,8,1),Customer_Invoices_Upload!$B$4:$B$5003,"&lt;"&amp;EDATE(DATE(2026,8,1),1))+COUNTIFS(Stripe_Invoices_Upload!$D$4:$D$5003,$A125,Stripe_Invoices_Upload!$E$4:$E$5003,"*Subscription*",Stripe_Invoices_Upload!$A$4:$A$5003,"&gt;="&amp;DATE(2026,8,1),Stripe_Invoices_Upload!$A$4:$A$5003,"&lt;"&amp;EDATE(DATE(2026,8,1),1)))&gt;0,"✓ Invoiced","⚠ Due"),""),""))</f>
        <v/>
      </c>
      <c r="L125" s="130" t="str">
        <f aca="false">IF($A125="","",IF((DATE(YEAR($E125),MONTH($E125),1)&lt;=DATE(2026,9,1)),IF((MOD(DATEDIF(DATE(YEAR($E125),MONTH($E125),1),DATE(2026,9,1),"m"),IF($D125="Quarterly",3,IF($D125="Annual",12,1)))=0),IF((COUNTIFS(Xero_Raw!$D$4:$D$5003,$A125,Xero_Raw!$G$4:$G$5003,"*Subscription*",Xero_Raw!$A$4:$A$5003,"&gt;="&amp;DATE(2026,9,1),Xero_Raw!$A$4:$A$5003,"&lt;"&amp;EDATE(DATE(2026,9,1),1))+COUNTIFS(Customer_Invoices_Upload!$E$4:$E$5003,$A125,Customer_Invoices_Upload!$G$4:$G$5003,"*Subscription*",Customer_Invoices_Upload!$B$4:$B$5003,"&gt;="&amp;DATE(2026,9,1),Customer_Invoices_Upload!$B$4:$B$5003,"&lt;"&amp;EDATE(DATE(2026,9,1),1))+COUNTIFS(Stripe_Invoices_Upload!$D$4:$D$5003,$A125,Stripe_Invoices_Upload!$E$4:$E$5003,"*Subscription*",Stripe_Invoices_Upload!$A$4:$A$5003,"&gt;="&amp;DATE(2026,9,1),Stripe_Invoices_Upload!$A$4:$A$5003,"&lt;"&amp;EDATE(DATE(2026,9,1),1)))&gt;0,"✓ Invoiced","⚠ Due"),""),""))</f>
        <v/>
      </c>
      <c r="M125" s="130" t="str">
        <f aca="false">IF($A125="","",IF((DATE(YEAR($E125),MONTH($E125),1)&lt;=DATE(2026,10,1)),IF((MOD(DATEDIF(DATE(YEAR($E125),MONTH($E125),1),DATE(2026,10,1),"m"),IF($D125="Quarterly",3,IF($D125="Annual",12,1)))=0),IF((COUNTIFS(Xero_Raw!$D$4:$D$5003,$A125,Xero_Raw!$G$4:$G$5003,"*Subscription*",Xero_Raw!$A$4:$A$5003,"&gt;="&amp;DATE(2026,10,1),Xero_Raw!$A$4:$A$5003,"&lt;"&amp;EDATE(DATE(2026,10,1),1))+COUNTIFS(Customer_Invoices_Upload!$E$4:$E$5003,$A125,Customer_Invoices_Upload!$G$4:$G$5003,"*Subscription*",Customer_Invoices_Upload!$B$4:$B$5003,"&gt;="&amp;DATE(2026,10,1),Customer_Invoices_Upload!$B$4:$B$5003,"&lt;"&amp;EDATE(DATE(2026,10,1),1))+COUNTIFS(Stripe_Invoices_Upload!$D$4:$D$5003,$A125,Stripe_Invoices_Upload!$E$4:$E$5003,"*Subscription*",Stripe_Invoices_Upload!$A$4:$A$5003,"&gt;="&amp;DATE(2026,10,1),Stripe_Invoices_Upload!$A$4:$A$5003,"&lt;"&amp;EDATE(DATE(2026,10,1),1)))&gt;0,"✓ Invoiced","⚠ Due"),""),""))</f>
        <v/>
      </c>
      <c r="N125" s="130" t="str">
        <f aca="false">IF($A125="","",IF((DATE(YEAR($E125),MONTH($E125),1)&lt;=DATE(2026,11,1)),IF((MOD(DATEDIF(DATE(YEAR($E125),MONTH($E125),1),DATE(2026,11,1),"m"),IF($D125="Quarterly",3,IF($D125="Annual",12,1)))=0),IF((COUNTIFS(Xero_Raw!$D$4:$D$5003,$A125,Xero_Raw!$G$4:$G$5003,"*Subscription*",Xero_Raw!$A$4:$A$5003,"&gt;="&amp;DATE(2026,11,1),Xero_Raw!$A$4:$A$5003,"&lt;"&amp;EDATE(DATE(2026,11,1),1))+COUNTIFS(Customer_Invoices_Upload!$E$4:$E$5003,$A125,Customer_Invoices_Upload!$G$4:$G$5003,"*Subscription*",Customer_Invoices_Upload!$B$4:$B$5003,"&gt;="&amp;DATE(2026,11,1),Customer_Invoices_Upload!$B$4:$B$5003,"&lt;"&amp;EDATE(DATE(2026,11,1),1))+COUNTIFS(Stripe_Invoices_Upload!$D$4:$D$5003,$A125,Stripe_Invoices_Upload!$E$4:$E$5003,"*Subscription*",Stripe_Invoices_Upload!$A$4:$A$5003,"&gt;="&amp;DATE(2026,11,1),Stripe_Invoices_Upload!$A$4:$A$5003,"&lt;"&amp;EDATE(DATE(2026,11,1),1)))&gt;0,"✓ Invoiced","⚠ Due"),""),""))</f>
        <v/>
      </c>
      <c r="O125" s="130" t="str">
        <f aca="false">IF($A125="","",IF((DATE(YEAR($E125),MONTH($E125),1)&lt;=DATE(2026,12,1)),IF((MOD(DATEDIF(DATE(YEAR($E125),MONTH($E125),1),DATE(2026,12,1),"m"),IF($D125="Quarterly",3,IF($D125="Annual",12,1)))=0),IF((COUNTIFS(Xero_Raw!$D$4:$D$5003,$A125,Xero_Raw!$G$4:$G$5003,"*Subscription*",Xero_Raw!$A$4:$A$5003,"&gt;="&amp;DATE(2026,12,1),Xero_Raw!$A$4:$A$5003,"&lt;"&amp;EDATE(DATE(2026,12,1),1))+COUNTIFS(Customer_Invoices_Upload!$E$4:$E$5003,$A125,Customer_Invoices_Upload!$G$4:$G$5003,"*Subscription*",Customer_Invoices_Upload!$B$4:$B$5003,"&gt;="&amp;DATE(2026,12,1),Customer_Invoices_Upload!$B$4:$B$5003,"&lt;"&amp;EDATE(DATE(2026,12,1),1))+COUNTIFS(Stripe_Invoices_Upload!$D$4:$D$5003,$A125,Stripe_Invoices_Upload!$E$4:$E$5003,"*Subscription*",Stripe_Invoices_Upload!$A$4:$A$5003,"&gt;="&amp;DATE(2026,12,1),Stripe_Invoices_Upload!$A$4:$A$5003,"&lt;"&amp;EDATE(DATE(2026,12,1),1)))&gt;0,"✓ Invoiced","⚠ Due"),""),""))</f>
        <v/>
      </c>
      <c r="P125" s="130" t="str">
        <f aca="false">IF($A125="","",IF((DATE(YEAR($E125),MONTH($E125),1)&lt;=DATE(2027,1,1)),IF((MOD(DATEDIF(DATE(YEAR($E125),MONTH($E125),1),DATE(2027,1,1),"m"),IF($D125="Quarterly",3,IF($D125="Annual",12,1)))=0),IF((COUNTIFS(Xero_Raw!$D$4:$D$5003,$A125,Xero_Raw!$G$4:$G$5003,"*Subscription*",Xero_Raw!$A$4:$A$5003,"&gt;="&amp;DATE(2027,1,1),Xero_Raw!$A$4:$A$5003,"&lt;"&amp;EDATE(DATE(2027,1,1),1))+COUNTIFS(Customer_Invoices_Upload!$E$4:$E$5003,$A125,Customer_Invoices_Upload!$G$4:$G$5003,"*Subscription*",Customer_Invoices_Upload!$B$4:$B$5003,"&gt;="&amp;DATE(2027,1,1),Customer_Invoices_Upload!$B$4:$B$5003,"&lt;"&amp;EDATE(DATE(2027,1,1),1))+COUNTIFS(Stripe_Invoices_Upload!$D$4:$D$5003,$A125,Stripe_Invoices_Upload!$E$4:$E$5003,"*Subscription*",Stripe_Invoices_Upload!$A$4:$A$5003,"&gt;="&amp;DATE(2027,1,1),Stripe_Invoices_Upload!$A$4:$A$5003,"&lt;"&amp;EDATE(DATE(2027,1,1),1)))&gt;0,"✓ Invoiced","⚠ Due"),""),""))</f>
        <v/>
      </c>
      <c r="Q125" s="130" t="str">
        <f aca="false">IF($A125="","",IF((DATE(YEAR($E125),MONTH($E125),1)&lt;=DATE(2027,2,1)),IF((MOD(DATEDIF(DATE(YEAR($E125),MONTH($E125),1),DATE(2027,2,1),"m"),IF($D125="Quarterly",3,IF($D125="Annual",12,1)))=0),IF((COUNTIFS(Xero_Raw!$D$4:$D$5003,$A125,Xero_Raw!$G$4:$G$5003,"*Subscription*",Xero_Raw!$A$4:$A$5003,"&gt;="&amp;DATE(2027,2,1),Xero_Raw!$A$4:$A$5003,"&lt;"&amp;EDATE(DATE(2027,2,1),1))+COUNTIFS(Customer_Invoices_Upload!$E$4:$E$5003,$A125,Customer_Invoices_Upload!$G$4:$G$5003,"*Subscription*",Customer_Invoices_Upload!$B$4:$B$5003,"&gt;="&amp;DATE(2027,2,1),Customer_Invoices_Upload!$B$4:$B$5003,"&lt;"&amp;EDATE(DATE(2027,2,1),1))+COUNTIFS(Stripe_Invoices_Upload!$D$4:$D$5003,$A125,Stripe_Invoices_Upload!$E$4:$E$5003,"*Subscription*",Stripe_Invoices_Upload!$A$4:$A$5003,"&gt;="&amp;DATE(2027,2,1),Stripe_Invoices_Upload!$A$4:$A$5003,"&lt;"&amp;EDATE(DATE(2027,2,1),1)))&gt;0,"✓ Invoiced","⚠ Due"),""),""))</f>
        <v/>
      </c>
      <c r="R125" s="130" t="str">
        <f aca="false">IF($A125="","",IF((DATE(YEAR($E125),MONTH($E125),1)&lt;=DATE(2027,3,1)),IF((MOD(DATEDIF(DATE(YEAR($E125),MONTH($E125),1),DATE(2027,3,1),"m"),IF($D125="Quarterly",3,IF($D125="Annual",12,1)))=0),IF((COUNTIFS(Xero_Raw!$D$4:$D$5003,$A125,Xero_Raw!$G$4:$G$5003,"*Subscription*",Xero_Raw!$A$4:$A$5003,"&gt;="&amp;DATE(2027,3,1),Xero_Raw!$A$4:$A$5003,"&lt;"&amp;EDATE(DATE(2027,3,1),1))+COUNTIFS(Customer_Invoices_Upload!$E$4:$E$5003,$A125,Customer_Invoices_Upload!$G$4:$G$5003,"*Subscription*",Customer_Invoices_Upload!$B$4:$B$5003,"&gt;="&amp;DATE(2027,3,1),Customer_Invoices_Upload!$B$4:$B$5003,"&lt;"&amp;EDATE(DATE(2027,3,1),1))+COUNTIFS(Stripe_Invoices_Upload!$D$4:$D$5003,$A125,Stripe_Invoices_Upload!$E$4:$E$5003,"*Subscription*",Stripe_Invoices_Upload!$A$4:$A$5003,"&gt;="&amp;DATE(2027,3,1),Stripe_Invoices_Upload!$A$4:$A$5003,"&lt;"&amp;EDATE(DATE(2027,3,1),1)))&gt;0,"✓ Invoiced","⚠ Due"),""),""))</f>
        <v/>
      </c>
    </row>
    <row r="126" customFormat="false" ht="15" hidden="false" customHeight="false" outlineLevel="0" collapsed="false">
      <c r="A126" s="39"/>
      <c r="B126" s="39"/>
      <c r="C126" s="40"/>
      <c r="D126" s="39"/>
      <c r="E126" s="38"/>
      <c r="F126" s="129" t="str">
        <f aca="true">IF($A126="","",EDATE($E126,DATEDIF($E126,TODAY(),"m")+1))</f>
        <v/>
      </c>
      <c r="G126" s="130" t="str">
        <f aca="false">IF($A126="","",IF((DATE(YEAR($E126),MONTH($E126),1)&lt;=DATE(2026,4,1)),IF((MOD(DATEDIF(DATE(YEAR($E126),MONTH($E126),1),DATE(2026,4,1),"m"),IF($D126="Quarterly",3,IF($D126="Annual",12,1)))=0),IF((COUNTIFS(Xero_Raw!$D$4:$D$5003,$A126,Xero_Raw!$G$4:$G$5003,"*Subscription*",Xero_Raw!$A$4:$A$5003,"&gt;="&amp;DATE(2026,4,1),Xero_Raw!$A$4:$A$5003,"&lt;"&amp;EDATE(DATE(2026,4,1),1))+COUNTIFS(Customer_Invoices_Upload!$E$4:$E$5003,$A126,Customer_Invoices_Upload!$G$4:$G$5003,"*Subscription*",Customer_Invoices_Upload!$B$4:$B$5003,"&gt;="&amp;DATE(2026,4,1),Customer_Invoices_Upload!$B$4:$B$5003,"&lt;"&amp;EDATE(DATE(2026,4,1),1))+COUNTIFS(Stripe_Invoices_Upload!$D$4:$D$5003,$A126,Stripe_Invoices_Upload!$E$4:$E$5003,"*Subscription*",Stripe_Invoices_Upload!$A$4:$A$5003,"&gt;="&amp;DATE(2026,4,1),Stripe_Invoices_Upload!$A$4:$A$5003,"&lt;"&amp;EDATE(DATE(2026,4,1),1)))&gt;0,"✓ Invoiced","⚠ Due"),""),""))</f>
        <v/>
      </c>
      <c r="H126" s="130" t="str">
        <f aca="false">IF($A126="","",IF((DATE(YEAR($E126),MONTH($E126),1)&lt;=DATE(2026,5,1)),IF((MOD(DATEDIF(DATE(YEAR($E126),MONTH($E126),1),DATE(2026,5,1),"m"),IF($D126="Quarterly",3,IF($D126="Annual",12,1)))=0),IF((COUNTIFS(Xero_Raw!$D$4:$D$5003,$A126,Xero_Raw!$G$4:$G$5003,"*Subscription*",Xero_Raw!$A$4:$A$5003,"&gt;="&amp;DATE(2026,5,1),Xero_Raw!$A$4:$A$5003,"&lt;"&amp;EDATE(DATE(2026,5,1),1))+COUNTIFS(Customer_Invoices_Upload!$E$4:$E$5003,$A126,Customer_Invoices_Upload!$G$4:$G$5003,"*Subscription*",Customer_Invoices_Upload!$B$4:$B$5003,"&gt;="&amp;DATE(2026,5,1),Customer_Invoices_Upload!$B$4:$B$5003,"&lt;"&amp;EDATE(DATE(2026,5,1),1))+COUNTIFS(Stripe_Invoices_Upload!$D$4:$D$5003,$A126,Stripe_Invoices_Upload!$E$4:$E$5003,"*Subscription*",Stripe_Invoices_Upload!$A$4:$A$5003,"&gt;="&amp;DATE(2026,5,1),Stripe_Invoices_Upload!$A$4:$A$5003,"&lt;"&amp;EDATE(DATE(2026,5,1),1)))&gt;0,"✓ Invoiced","⚠ Due"),""),""))</f>
        <v/>
      </c>
      <c r="I126" s="130" t="str">
        <f aca="false">IF($A126="","",IF((DATE(YEAR($E126),MONTH($E126),1)&lt;=DATE(2026,6,1)),IF((MOD(DATEDIF(DATE(YEAR($E126),MONTH($E126),1),DATE(2026,6,1),"m"),IF($D126="Quarterly",3,IF($D126="Annual",12,1)))=0),IF((COUNTIFS(Xero_Raw!$D$4:$D$5003,$A126,Xero_Raw!$G$4:$G$5003,"*Subscription*",Xero_Raw!$A$4:$A$5003,"&gt;="&amp;DATE(2026,6,1),Xero_Raw!$A$4:$A$5003,"&lt;"&amp;EDATE(DATE(2026,6,1),1))+COUNTIFS(Customer_Invoices_Upload!$E$4:$E$5003,$A126,Customer_Invoices_Upload!$G$4:$G$5003,"*Subscription*",Customer_Invoices_Upload!$B$4:$B$5003,"&gt;="&amp;DATE(2026,6,1),Customer_Invoices_Upload!$B$4:$B$5003,"&lt;"&amp;EDATE(DATE(2026,6,1),1))+COUNTIFS(Stripe_Invoices_Upload!$D$4:$D$5003,$A126,Stripe_Invoices_Upload!$E$4:$E$5003,"*Subscription*",Stripe_Invoices_Upload!$A$4:$A$5003,"&gt;="&amp;DATE(2026,6,1),Stripe_Invoices_Upload!$A$4:$A$5003,"&lt;"&amp;EDATE(DATE(2026,6,1),1)))&gt;0,"✓ Invoiced","⚠ Due"),""),""))</f>
        <v/>
      </c>
      <c r="J126" s="130" t="str">
        <f aca="false">IF($A126="","",IF((DATE(YEAR($E126),MONTH($E126),1)&lt;=DATE(2026,7,1)),IF((MOD(DATEDIF(DATE(YEAR($E126),MONTH($E126),1),DATE(2026,7,1),"m"),IF($D126="Quarterly",3,IF($D126="Annual",12,1)))=0),IF((COUNTIFS(Xero_Raw!$D$4:$D$5003,$A126,Xero_Raw!$G$4:$G$5003,"*Subscription*",Xero_Raw!$A$4:$A$5003,"&gt;="&amp;DATE(2026,7,1),Xero_Raw!$A$4:$A$5003,"&lt;"&amp;EDATE(DATE(2026,7,1),1))+COUNTIFS(Customer_Invoices_Upload!$E$4:$E$5003,$A126,Customer_Invoices_Upload!$G$4:$G$5003,"*Subscription*",Customer_Invoices_Upload!$B$4:$B$5003,"&gt;="&amp;DATE(2026,7,1),Customer_Invoices_Upload!$B$4:$B$5003,"&lt;"&amp;EDATE(DATE(2026,7,1),1))+COUNTIFS(Stripe_Invoices_Upload!$D$4:$D$5003,$A126,Stripe_Invoices_Upload!$E$4:$E$5003,"*Subscription*",Stripe_Invoices_Upload!$A$4:$A$5003,"&gt;="&amp;DATE(2026,7,1),Stripe_Invoices_Upload!$A$4:$A$5003,"&lt;"&amp;EDATE(DATE(2026,7,1),1)))&gt;0,"✓ Invoiced","⚠ Due"),""),""))</f>
        <v/>
      </c>
      <c r="K126" s="130" t="str">
        <f aca="false">IF($A126="","",IF((DATE(YEAR($E126),MONTH($E126),1)&lt;=DATE(2026,8,1)),IF((MOD(DATEDIF(DATE(YEAR($E126),MONTH($E126),1),DATE(2026,8,1),"m"),IF($D126="Quarterly",3,IF($D126="Annual",12,1)))=0),IF((COUNTIFS(Xero_Raw!$D$4:$D$5003,$A126,Xero_Raw!$G$4:$G$5003,"*Subscription*",Xero_Raw!$A$4:$A$5003,"&gt;="&amp;DATE(2026,8,1),Xero_Raw!$A$4:$A$5003,"&lt;"&amp;EDATE(DATE(2026,8,1),1))+COUNTIFS(Customer_Invoices_Upload!$E$4:$E$5003,$A126,Customer_Invoices_Upload!$G$4:$G$5003,"*Subscription*",Customer_Invoices_Upload!$B$4:$B$5003,"&gt;="&amp;DATE(2026,8,1),Customer_Invoices_Upload!$B$4:$B$5003,"&lt;"&amp;EDATE(DATE(2026,8,1),1))+COUNTIFS(Stripe_Invoices_Upload!$D$4:$D$5003,$A126,Stripe_Invoices_Upload!$E$4:$E$5003,"*Subscription*",Stripe_Invoices_Upload!$A$4:$A$5003,"&gt;="&amp;DATE(2026,8,1),Stripe_Invoices_Upload!$A$4:$A$5003,"&lt;"&amp;EDATE(DATE(2026,8,1),1)))&gt;0,"✓ Invoiced","⚠ Due"),""),""))</f>
        <v/>
      </c>
      <c r="L126" s="130" t="str">
        <f aca="false">IF($A126="","",IF((DATE(YEAR($E126),MONTH($E126),1)&lt;=DATE(2026,9,1)),IF((MOD(DATEDIF(DATE(YEAR($E126),MONTH($E126),1),DATE(2026,9,1),"m"),IF($D126="Quarterly",3,IF($D126="Annual",12,1)))=0),IF((COUNTIFS(Xero_Raw!$D$4:$D$5003,$A126,Xero_Raw!$G$4:$G$5003,"*Subscription*",Xero_Raw!$A$4:$A$5003,"&gt;="&amp;DATE(2026,9,1),Xero_Raw!$A$4:$A$5003,"&lt;"&amp;EDATE(DATE(2026,9,1),1))+COUNTIFS(Customer_Invoices_Upload!$E$4:$E$5003,$A126,Customer_Invoices_Upload!$G$4:$G$5003,"*Subscription*",Customer_Invoices_Upload!$B$4:$B$5003,"&gt;="&amp;DATE(2026,9,1),Customer_Invoices_Upload!$B$4:$B$5003,"&lt;"&amp;EDATE(DATE(2026,9,1),1))+COUNTIFS(Stripe_Invoices_Upload!$D$4:$D$5003,$A126,Stripe_Invoices_Upload!$E$4:$E$5003,"*Subscription*",Stripe_Invoices_Upload!$A$4:$A$5003,"&gt;="&amp;DATE(2026,9,1),Stripe_Invoices_Upload!$A$4:$A$5003,"&lt;"&amp;EDATE(DATE(2026,9,1),1)))&gt;0,"✓ Invoiced","⚠ Due"),""),""))</f>
        <v/>
      </c>
      <c r="M126" s="130" t="str">
        <f aca="false">IF($A126="","",IF((DATE(YEAR($E126),MONTH($E126),1)&lt;=DATE(2026,10,1)),IF((MOD(DATEDIF(DATE(YEAR($E126),MONTH($E126),1),DATE(2026,10,1),"m"),IF($D126="Quarterly",3,IF($D126="Annual",12,1)))=0),IF((COUNTIFS(Xero_Raw!$D$4:$D$5003,$A126,Xero_Raw!$G$4:$G$5003,"*Subscription*",Xero_Raw!$A$4:$A$5003,"&gt;="&amp;DATE(2026,10,1),Xero_Raw!$A$4:$A$5003,"&lt;"&amp;EDATE(DATE(2026,10,1),1))+COUNTIFS(Customer_Invoices_Upload!$E$4:$E$5003,$A126,Customer_Invoices_Upload!$G$4:$G$5003,"*Subscription*",Customer_Invoices_Upload!$B$4:$B$5003,"&gt;="&amp;DATE(2026,10,1),Customer_Invoices_Upload!$B$4:$B$5003,"&lt;"&amp;EDATE(DATE(2026,10,1),1))+COUNTIFS(Stripe_Invoices_Upload!$D$4:$D$5003,$A126,Stripe_Invoices_Upload!$E$4:$E$5003,"*Subscription*",Stripe_Invoices_Upload!$A$4:$A$5003,"&gt;="&amp;DATE(2026,10,1),Stripe_Invoices_Upload!$A$4:$A$5003,"&lt;"&amp;EDATE(DATE(2026,10,1),1)))&gt;0,"✓ Invoiced","⚠ Due"),""),""))</f>
        <v/>
      </c>
      <c r="N126" s="130" t="str">
        <f aca="false">IF($A126="","",IF((DATE(YEAR($E126),MONTH($E126),1)&lt;=DATE(2026,11,1)),IF((MOD(DATEDIF(DATE(YEAR($E126),MONTH($E126),1),DATE(2026,11,1),"m"),IF($D126="Quarterly",3,IF($D126="Annual",12,1)))=0),IF((COUNTIFS(Xero_Raw!$D$4:$D$5003,$A126,Xero_Raw!$G$4:$G$5003,"*Subscription*",Xero_Raw!$A$4:$A$5003,"&gt;="&amp;DATE(2026,11,1),Xero_Raw!$A$4:$A$5003,"&lt;"&amp;EDATE(DATE(2026,11,1),1))+COUNTIFS(Customer_Invoices_Upload!$E$4:$E$5003,$A126,Customer_Invoices_Upload!$G$4:$G$5003,"*Subscription*",Customer_Invoices_Upload!$B$4:$B$5003,"&gt;="&amp;DATE(2026,11,1),Customer_Invoices_Upload!$B$4:$B$5003,"&lt;"&amp;EDATE(DATE(2026,11,1),1))+COUNTIFS(Stripe_Invoices_Upload!$D$4:$D$5003,$A126,Stripe_Invoices_Upload!$E$4:$E$5003,"*Subscription*",Stripe_Invoices_Upload!$A$4:$A$5003,"&gt;="&amp;DATE(2026,11,1),Stripe_Invoices_Upload!$A$4:$A$5003,"&lt;"&amp;EDATE(DATE(2026,11,1),1)))&gt;0,"✓ Invoiced","⚠ Due"),""),""))</f>
        <v/>
      </c>
      <c r="O126" s="130" t="str">
        <f aca="false">IF($A126="","",IF((DATE(YEAR($E126),MONTH($E126),1)&lt;=DATE(2026,12,1)),IF((MOD(DATEDIF(DATE(YEAR($E126),MONTH($E126),1),DATE(2026,12,1),"m"),IF($D126="Quarterly",3,IF($D126="Annual",12,1)))=0),IF((COUNTIFS(Xero_Raw!$D$4:$D$5003,$A126,Xero_Raw!$G$4:$G$5003,"*Subscription*",Xero_Raw!$A$4:$A$5003,"&gt;="&amp;DATE(2026,12,1),Xero_Raw!$A$4:$A$5003,"&lt;"&amp;EDATE(DATE(2026,12,1),1))+COUNTIFS(Customer_Invoices_Upload!$E$4:$E$5003,$A126,Customer_Invoices_Upload!$G$4:$G$5003,"*Subscription*",Customer_Invoices_Upload!$B$4:$B$5003,"&gt;="&amp;DATE(2026,12,1),Customer_Invoices_Upload!$B$4:$B$5003,"&lt;"&amp;EDATE(DATE(2026,12,1),1))+COUNTIFS(Stripe_Invoices_Upload!$D$4:$D$5003,$A126,Stripe_Invoices_Upload!$E$4:$E$5003,"*Subscription*",Stripe_Invoices_Upload!$A$4:$A$5003,"&gt;="&amp;DATE(2026,12,1),Stripe_Invoices_Upload!$A$4:$A$5003,"&lt;"&amp;EDATE(DATE(2026,12,1),1)))&gt;0,"✓ Invoiced","⚠ Due"),""),""))</f>
        <v/>
      </c>
      <c r="P126" s="130" t="str">
        <f aca="false">IF($A126="","",IF((DATE(YEAR($E126),MONTH($E126),1)&lt;=DATE(2027,1,1)),IF((MOD(DATEDIF(DATE(YEAR($E126),MONTH($E126),1),DATE(2027,1,1),"m"),IF($D126="Quarterly",3,IF($D126="Annual",12,1)))=0),IF((COUNTIFS(Xero_Raw!$D$4:$D$5003,$A126,Xero_Raw!$G$4:$G$5003,"*Subscription*",Xero_Raw!$A$4:$A$5003,"&gt;="&amp;DATE(2027,1,1),Xero_Raw!$A$4:$A$5003,"&lt;"&amp;EDATE(DATE(2027,1,1),1))+COUNTIFS(Customer_Invoices_Upload!$E$4:$E$5003,$A126,Customer_Invoices_Upload!$G$4:$G$5003,"*Subscription*",Customer_Invoices_Upload!$B$4:$B$5003,"&gt;="&amp;DATE(2027,1,1),Customer_Invoices_Upload!$B$4:$B$5003,"&lt;"&amp;EDATE(DATE(2027,1,1),1))+COUNTIFS(Stripe_Invoices_Upload!$D$4:$D$5003,$A126,Stripe_Invoices_Upload!$E$4:$E$5003,"*Subscription*",Stripe_Invoices_Upload!$A$4:$A$5003,"&gt;="&amp;DATE(2027,1,1),Stripe_Invoices_Upload!$A$4:$A$5003,"&lt;"&amp;EDATE(DATE(2027,1,1),1)))&gt;0,"✓ Invoiced","⚠ Due"),""),""))</f>
        <v/>
      </c>
      <c r="Q126" s="130" t="str">
        <f aca="false">IF($A126="","",IF((DATE(YEAR($E126),MONTH($E126),1)&lt;=DATE(2027,2,1)),IF((MOD(DATEDIF(DATE(YEAR($E126),MONTH($E126),1),DATE(2027,2,1),"m"),IF($D126="Quarterly",3,IF($D126="Annual",12,1)))=0),IF((COUNTIFS(Xero_Raw!$D$4:$D$5003,$A126,Xero_Raw!$G$4:$G$5003,"*Subscription*",Xero_Raw!$A$4:$A$5003,"&gt;="&amp;DATE(2027,2,1),Xero_Raw!$A$4:$A$5003,"&lt;"&amp;EDATE(DATE(2027,2,1),1))+COUNTIFS(Customer_Invoices_Upload!$E$4:$E$5003,$A126,Customer_Invoices_Upload!$G$4:$G$5003,"*Subscription*",Customer_Invoices_Upload!$B$4:$B$5003,"&gt;="&amp;DATE(2027,2,1),Customer_Invoices_Upload!$B$4:$B$5003,"&lt;"&amp;EDATE(DATE(2027,2,1),1))+COUNTIFS(Stripe_Invoices_Upload!$D$4:$D$5003,$A126,Stripe_Invoices_Upload!$E$4:$E$5003,"*Subscription*",Stripe_Invoices_Upload!$A$4:$A$5003,"&gt;="&amp;DATE(2027,2,1),Stripe_Invoices_Upload!$A$4:$A$5003,"&lt;"&amp;EDATE(DATE(2027,2,1),1)))&gt;0,"✓ Invoiced","⚠ Due"),""),""))</f>
        <v/>
      </c>
      <c r="R126" s="130" t="str">
        <f aca="false">IF($A126="","",IF((DATE(YEAR($E126),MONTH($E126),1)&lt;=DATE(2027,3,1)),IF((MOD(DATEDIF(DATE(YEAR($E126),MONTH($E126),1),DATE(2027,3,1),"m"),IF($D126="Quarterly",3,IF($D126="Annual",12,1)))=0),IF((COUNTIFS(Xero_Raw!$D$4:$D$5003,$A126,Xero_Raw!$G$4:$G$5003,"*Subscription*",Xero_Raw!$A$4:$A$5003,"&gt;="&amp;DATE(2027,3,1),Xero_Raw!$A$4:$A$5003,"&lt;"&amp;EDATE(DATE(2027,3,1),1))+COUNTIFS(Customer_Invoices_Upload!$E$4:$E$5003,$A126,Customer_Invoices_Upload!$G$4:$G$5003,"*Subscription*",Customer_Invoices_Upload!$B$4:$B$5003,"&gt;="&amp;DATE(2027,3,1),Customer_Invoices_Upload!$B$4:$B$5003,"&lt;"&amp;EDATE(DATE(2027,3,1),1))+COUNTIFS(Stripe_Invoices_Upload!$D$4:$D$5003,$A126,Stripe_Invoices_Upload!$E$4:$E$5003,"*Subscription*",Stripe_Invoices_Upload!$A$4:$A$5003,"&gt;="&amp;DATE(2027,3,1),Stripe_Invoices_Upload!$A$4:$A$5003,"&lt;"&amp;EDATE(DATE(2027,3,1),1)))&gt;0,"✓ Invoiced","⚠ Due"),""),""))</f>
        <v/>
      </c>
    </row>
    <row r="127" customFormat="false" ht="15" hidden="false" customHeight="false" outlineLevel="0" collapsed="false">
      <c r="A127" s="39"/>
      <c r="B127" s="39"/>
      <c r="C127" s="40"/>
      <c r="D127" s="39"/>
      <c r="E127" s="38"/>
      <c r="F127" s="129" t="str">
        <f aca="true">IF($A127="","",EDATE($E127,DATEDIF($E127,TODAY(),"m")+1))</f>
        <v/>
      </c>
      <c r="G127" s="130" t="str">
        <f aca="false">IF($A127="","",IF((DATE(YEAR($E127),MONTH($E127),1)&lt;=DATE(2026,4,1)),IF((MOD(DATEDIF(DATE(YEAR($E127),MONTH($E127),1),DATE(2026,4,1),"m"),IF($D127="Quarterly",3,IF($D127="Annual",12,1)))=0),IF((COUNTIFS(Xero_Raw!$D$4:$D$5003,$A127,Xero_Raw!$G$4:$G$5003,"*Subscription*",Xero_Raw!$A$4:$A$5003,"&gt;="&amp;DATE(2026,4,1),Xero_Raw!$A$4:$A$5003,"&lt;"&amp;EDATE(DATE(2026,4,1),1))+COUNTIFS(Customer_Invoices_Upload!$E$4:$E$5003,$A127,Customer_Invoices_Upload!$G$4:$G$5003,"*Subscription*",Customer_Invoices_Upload!$B$4:$B$5003,"&gt;="&amp;DATE(2026,4,1),Customer_Invoices_Upload!$B$4:$B$5003,"&lt;"&amp;EDATE(DATE(2026,4,1),1))+COUNTIFS(Stripe_Invoices_Upload!$D$4:$D$5003,$A127,Stripe_Invoices_Upload!$E$4:$E$5003,"*Subscription*",Stripe_Invoices_Upload!$A$4:$A$5003,"&gt;="&amp;DATE(2026,4,1),Stripe_Invoices_Upload!$A$4:$A$5003,"&lt;"&amp;EDATE(DATE(2026,4,1),1)))&gt;0,"✓ Invoiced","⚠ Due"),""),""))</f>
        <v/>
      </c>
      <c r="H127" s="130" t="str">
        <f aca="false">IF($A127="","",IF((DATE(YEAR($E127),MONTH($E127),1)&lt;=DATE(2026,5,1)),IF((MOD(DATEDIF(DATE(YEAR($E127),MONTH($E127),1),DATE(2026,5,1),"m"),IF($D127="Quarterly",3,IF($D127="Annual",12,1)))=0),IF((COUNTIFS(Xero_Raw!$D$4:$D$5003,$A127,Xero_Raw!$G$4:$G$5003,"*Subscription*",Xero_Raw!$A$4:$A$5003,"&gt;="&amp;DATE(2026,5,1),Xero_Raw!$A$4:$A$5003,"&lt;"&amp;EDATE(DATE(2026,5,1),1))+COUNTIFS(Customer_Invoices_Upload!$E$4:$E$5003,$A127,Customer_Invoices_Upload!$G$4:$G$5003,"*Subscription*",Customer_Invoices_Upload!$B$4:$B$5003,"&gt;="&amp;DATE(2026,5,1),Customer_Invoices_Upload!$B$4:$B$5003,"&lt;"&amp;EDATE(DATE(2026,5,1),1))+COUNTIFS(Stripe_Invoices_Upload!$D$4:$D$5003,$A127,Stripe_Invoices_Upload!$E$4:$E$5003,"*Subscription*",Stripe_Invoices_Upload!$A$4:$A$5003,"&gt;="&amp;DATE(2026,5,1),Stripe_Invoices_Upload!$A$4:$A$5003,"&lt;"&amp;EDATE(DATE(2026,5,1),1)))&gt;0,"✓ Invoiced","⚠ Due"),""),""))</f>
        <v/>
      </c>
      <c r="I127" s="130" t="str">
        <f aca="false">IF($A127="","",IF((DATE(YEAR($E127),MONTH($E127),1)&lt;=DATE(2026,6,1)),IF((MOD(DATEDIF(DATE(YEAR($E127),MONTH($E127),1),DATE(2026,6,1),"m"),IF($D127="Quarterly",3,IF($D127="Annual",12,1)))=0),IF((COUNTIFS(Xero_Raw!$D$4:$D$5003,$A127,Xero_Raw!$G$4:$G$5003,"*Subscription*",Xero_Raw!$A$4:$A$5003,"&gt;="&amp;DATE(2026,6,1),Xero_Raw!$A$4:$A$5003,"&lt;"&amp;EDATE(DATE(2026,6,1),1))+COUNTIFS(Customer_Invoices_Upload!$E$4:$E$5003,$A127,Customer_Invoices_Upload!$G$4:$G$5003,"*Subscription*",Customer_Invoices_Upload!$B$4:$B$5003,"&gt;="&amp;DATE(2026,6,1),Customer_Invoices_Upload!$B$4:$B$5003,"&lt;"&amp;EDATE(DATE(2026,6,1),1))+COUNTIFS(Stripe_Invoices_Upload!$D$4:$D$5003,$A127,Stripe_Invoices_Upload!$E$4:$E$5003,"*Subscription*",Stripe_Invoices_Upload!$A$4:$A$5003,"&gt;="&amp;DATE(2026,6,1),Stripe_Invoices_Upload!$A$4:$A$5003,"&lt;"&amp;EDATE(DATE(2026,6,1),1)))&gt;0,"✓ Invoiced","⚠ Due"),""),""))</f>
        <v/>
      </c>
      <c r="J127" s="130" t="str">
        <f aca="false">IF($A127="","",IF((DATE(YEAR($E127),MONTH($E127),1)&lt;=DATE(2026,7,1)),IF((MOD(DATEDIF(DATE(YEAR($E127),MONTH($E127),1),DATE(2026,7,1),"m"),IF($D127="Quarterly",3,IF($D127="Annual",12,1)))=0),IF((COUNTIFS(Xero_Raw!$D$4:$D$5003,$A127,Xero_Raw!$G$4:$G$5003,"*Subscription*",Xero_Raw!$A$4:$A$5003,"&gt;="&amp;DATE(2026,7,1),Xero_Raw!$A$4:$A$5003,"&lt;"&amp;EDATE(DATE(2026,7,1),1))+COUNTIFS(Customer_Invoices_Upload!$E$4:$E$5003,$A127,Customer_Invoices_Upload!$G$4:$G$5003,"*Subscription*",Customer_Invoices_Upload!$B$4:$B$5003,"&gt;="&amp;DATE(2026,7,1),Customer_Invoices_Upload!$B$4:$B$5003,"&lt;"&amp;EDATE(DATE(2026,7,1),1))+COUNTIFS(Stripe_Invoices_Upload!$D$4:$D$5003,$A127,Stripe_Invoices_Upload!$E$4:$E$5003,"*Subscription*",Stripe_Invoices_Upload!$A$4:$A$5003,"&gt;="&amp;DATE(2026,7,1),Stripe_Invoices_Upload!$A$4:$A$5003,"&lt;"&amp;EDATE(DATE(2026,7,1),1)))&gt;0,"✓ Invoiced","⚠ Due"),""),""))</f>
        <v/>
      </c>
      <c r="K127" s="130" t="str">
        <f aca="false">IF($A127="","",IF((DATE(YEAR($E127),MONTH($E127),1)&lt;=DATE(2026,8,1)),IF((MOD(DATEDIF(DATE(YEAR($E127),MONTH($E127),1),DATE(2026,8,1),"m"),IF($D127="Quarterly",3,IF($D127="Annual",12,1)))=0),IF((COUNTIFS(Xero_Raw!$D$4:$D$5003,$A127,Xero_Raw!$G$4:$G$5003,"*Subscription*",Xero_Raw!$A$4:$A$5003,"&gt;="&amp;DATE(2026,8,1),Xero_Raw!$A$4:$A$5003,"&lt;"&amp;EDATE(DATE(2026,8,1),1))+COUNTIFS(Customer_Invoices_Upload!$E$4:$E$5003,$A127,Customer_Invoices_Upload!$G$4:$G$5003,"*Subscription*",Customer_Invoices_Upload!$B$4:$B$5003,"&gt;="&amp;DATE(2026,8,1),Customer_Invoices_Upload!$B$4:$B$5003,"&lt;"&amp;EDATE(DATE(2026,8,1),1))+COUNTIFS(Stripe_Invoices_Upload!$D$4:$D$5003,$A127,Stripe_Invoices_Upload!$E$4:$E$5003,"*Subscription*",Stripe_Invoices_Upload!$A$4:$A$5003,"&gt;="&amp;DATE(2026,8,1),Stripe_Invoices_Upload!$A$4:$A$5003,"&lt;"&amp;EDATE(DATE(2026,8,1),1)))&gt;0,"✓ Invoiced","⚠ Due"),""),""))</f>
        <v/>
      </c>
      <c r="L127" s="130" t="str">
        <f aca="false">IF($A127="","",IF((DATE(YEAR($E127),MONTH($E127),1)&lt;=DATE(2026,9,1)),IF((MOD(DATEDIF(DATE(YEAR($E127),MONTH($E127),1),DATE(2026,9,1),"m"),IF($D127="Quarterly",3,IF($D127="Annual",12,1)))=0),IF((COUNTIFS(Xero_Raw!$D$4:$D$5003,$A127,Xero_Raw!$G$4:$G$5003,"*Subscription*",Xero_Raw!$A$4:$A$5003,"&gt;="&amp;DATE(2026,9,1),Xero_Raw!$A$4:$A$5003,"&lt;"&amp;EDATE(DATE(2026,9,1),1))+COUNTIFS(Customer_Invoices_Upload!$E$4:$E$5003,$A127,Customer_Invoices_Upload!$G$4:$G$5003,"*Subscription*",Customer_Invoices_Upload!$B$4:$B$5003,"&gt;="&amp;DATE(2026,9,1),Customer_Invoices_Upload!$B$4:$B$5003,"&lt;"&amp;EDATE(DATE(2026,9,1),1))+COUNTIFS(Stripe_Invoices_Upload!$D$4:$D$5003,$A127,Stripe_Invoices_Upload!$E$4:$E$5003,"*Subscription*",Stripe_Invoices_Upload!$A$4:$A$5003,"&gt;="&amp;DATE(2026,9,1),Stripe_Invoices_Upload!$A$4:$A$5003,"&lt;"&amp;EDATE(DATE(2026,9,1),1)))&gt;0,"✓ Invoiced","⚠ Due"),""),""))</f>
        <v/>
      </c>
      <c r="M127" s="130" t="str">
        <f aca="false">IF($A127="","",IF((DATE(YEAR($E127),MONTH($E127),1)&lt;=DATE(2026,10,1)),IF((MOD(DATEDIF(DATE(YEAR($E127),MONTH($E127),1),DATE(2026,10,1),"m"),IF($D127="Quarterly",3,IF($D127="Annual",12,1)))=0),IF((COUNTIFS(Xero_Raw!$D$4:$D$5003,$A127,Xero_Raw!$G$4:$G$5003,"*Subscription*",Xero_Raw!$A$4:$A$5003,"&gt;="&amp;DATE(2026,10,1),Xero_Raw!$A$4:$A$5003,"&lt;"&amp;EDATE(DATE(2026,10,1),1))+COUNTIFS(Customer_Invoices_Upload!$E$4:$E$5003,$A127,Customer_Invoices_Upload!$G$4:$G$5003,"*Subscription*",Customer_Invoices_Upload!$B$4:$B$5003,"&gt;="&amp;DATE(2026,10,1),Customer_Invoices_Upload!$B$4:$B$5003,"&lt;"&amp;EDATE(DATE(2026,10,1),1))+COUNTIFS(Stripe_Invoices_Upload!$D$4:$D$5003,$A127,Stripe_Invoices_Upload!$E$4:$E$5003,"*Subscription*",Stripe_Invoices_Upload!$A$4:$A$5003,"&gt;="&amp;DATE(2026,10,1),Stripe_Invoices_Upload!$A$4:$A$5003,"&lt;"&amp;EDATE(DATE(2026,10,1),1)))&gt;0,"✓ Invoiced","⚠ Due"),""),""))</f>
        <v/>
      </c>
      <c r="N127" s="130" t="str">
        <f aca="false">IF($A127="","",IF((DATE(YEAR($E127),MONTH($E127),1)&lt;=DATE(2026,11,1)),IF((MOD(DATEDIF(DATE(YEAR($E127),MONTH($E127),1),DATE(2026,11,1),"m"),IF($D127="Quarterly",3,IF($D127="Annual",12,1)))=0),IF((COUNTIFS(Xero_Raw!$D$4:$D$5003,$A127,Xero_Raw!$G$4:$G$5003,"*Subscription*",Xero_Raw!$A$4:$A$5003,"&gt;="&amp;DATE(2026,11,1),Xero_Raw!$A$4:$A$5003,"&lt;"&amp;EDATE(DATE(2026,11,1),1))+COUNTIFS(Customer_Invoices_Upload!$E$4:$E$5003,$A127,Customer_Invoices_Upload!$G$4:$G$5003,"*Subscription*",Customer_Invoices_Upload!$B$4:$B$5003,"&gt;="&amp;DATE(2026,11,1),Customer_Invoices_Upload!$B$4:$B$5003,"&lt;"&amp;EDATE(DATE(2026,11,1),1))+COUNTIFS(Stripe_Invoices_Upload!$D$4:$D$5003,$A127,Stripe_Invoices_Upload!$E$4:$E$5003,"*Subscription*",Stripe_Invoices_Upload!$A$4:$A$5003,"&gt;="&amp;DATE(2026,11,1),Stripe_Invoices_Upload!$A$4:$A$5003,"&lt;"&amp;EDATE(DATE(2026,11,1),1)))&gt;0,"✓ Invoiced","⚠ Due"),""),""))</f>
        <v/>
      </c>
      <c r="O127" s="130" t="str">
        <f aca="false">IF($A127="","",IF((DATE(YEAR($E127),MONTH($E127),1)&lt;=DATE(2026,12,1)),IF((MOD(DATEDIF(DATE(YEAR($E127),MONTH($E127),1),DATE(2026,12,1),"m"),IF($D127="Quarterly",3,IF($D127="Annual",12,1)))=0),IF((COUNTIFS(Xero_Raw!$D$4:$D$5003,$A127,Xero_Raw!$G$4:$G$5003,"*Subscription*",Xero_Raw!$A$4:$A$5003,"&gt;="&amp;DATE(2026,12,1),Xero_Raw!$A$4:$A$5003,"&lt;"&amp;EDATE(DATE(2026,12,1),1))+COUNTIFS(Customer_Invoices_Upload!$E$4:$E$5003,$A127,Customer_Invoices_Upload!$G$4:$G$5003,"*Subscription*",Customer_Invoices_Upload!$B$4:$B$5003,"&gt;="&amp;DATE(2026,12,1),Customer_Invoices_Upload!$B$4:$B$5003,"&lt;"&amp;EDATE(DATE(2026,12,1),1))+COUNTIFS(Stripe_Invoices_Upload!$D$4:$D$5003,$A127,Stripe_Invoices_Upload!$E$4:$E$5003,"*Subscription*",Stripe_Invoices_Upload!$A$4:$A$5003,"&gt;="&amp;DATE(2026,12,1),Stripe_Invoices_Upload!$A$4:$A$5003,"&lt;"&amp;EDATE(DATE(2026,12,1),1)))&gt;0,"✓ Invoiced","⚠ Due"),""),""))</f>
        <v/>
      </c>
      <c r="P127" s="130" t="str">
        <f aca="false">IF($A127="","",IF((DATE(YEAR($E127),MONTH($E127),1)&lt;=DATE(2027,1,1)),IF((MOD(DATEDIF(DATE(YEAR($E127),MONTH($E127),1),DATE(2027,1,1),"m"),IF($D127="Quarterly",3,IF($D127="Annual",12,1)))=0),IF((COUNTIFS(Xero_Raw!$D$4:$D$5003,$A127,Xero_Raw!$G$4:$G$5003,"*Subscription*",Xero_Raw!$A$4:$A$5003,"&gt;="&amp;DATE(2027,1,1),Xero_Raw!$A$4:$A$5003,"&lt;"&amp;EDATE(DATE(2027,1,1),1))+COUNTIFS(Customer_Invoices_Upload!$E$4:$E$5003,$A127,Customer_Invoices_Upload!$G$4:$G$5003,"*Subscription*",Customer_Invoices_Upload!$B$4:$B$5003,"&gt;="&amp;DATE(2027,1,1),Customer_Invoices_Upload!$B$4:$B$5003,"&lt;"&amp;EDATE(DATE(2027,1,1),1))+COUNTIFS(Stripe_Invoices_Upload!$D$4:$D$5003,$A127,Stripe_Invoices_Upload!$E$4:$E$5003,"*Subscription*",Stripe_Invoices_Upload!$A$4:$A$5003,"&gt;="&amp;DATE(2027,1,1),Stripe_Invoices_Upload!$A$4:$A$5003,"&lt;"&amp;EDATE(DATE(2027,1,1),1)))&gt;0,"✓ Invoiced","⚠ Due"),""),""))</f>
        <v/>
      </c>
      <c r="Q127" s="130" t="str">
        <f aca="false">IF($A127="","",IF((DATE(YEAR($E127),MONTH($E127),1)&lt;=DATE(2027,2,1)),IF((MOD(DATEDIF(DATE(YEAR($E127),MONTH($E127),1),DATE(2027,2,1),"m"),IF($D127="Quarterly",3,IF($D127="Annual",12,1)))=0),IF((COUNTIFS(Xero_Raw!$D$4:$D$5003,$A127,Xero_Raw!$G$4:$G$5003,"*Subscription*",Xero_Raw!$A$4:$A$5003,"&gt;="&amp;DATE(2027,2,1),Xero_Raw!$A$4:$A$5003,"&lt;"&amp;EDATE(DATE(2027,2,1),1))+COUNTIFS(Customer_Invoices_Upload!$E$4:$E$5003,$A127,Customer_Invoices_Upload!$G$4:$G$5003,"*Subscription*",Customer_Invoices_Upload!$B$4:$B$5003,"&gt;="&amp;DATE(2027,2,1),Customer_Invoices_Upload!$B$4:$B$5003,"&lt;"&amp;EDATE(DATE(2027,2,1),1))+COUNTIFS(Stripe_Invoices_Upload!$D$4:$D$5003,$A127,Stripe_Invoices_Upload!$E$4:$E$5003,"*Subscription*",Stripe_Invoices_Upload!$A$4:$A$5003,"&gt;="&amp;DATE(2027,2,1),Stripe_Invoices_Upload!$A$4:$A$5003,"&lt;"&amp;EDATE(DATE(2027,2,1),1)))&gt;0,"✓ Invoiced","⚠ Due"),""),""))</f>
        <v/>
      </c>
      <c r="R127" s="130" t="str">
        <f aca="false">IF($A127="","",IF((DATE(YEAR($E127),MONTH($E127),1)&lt;=DATE(2027,3,1)),IF((MOD(DATEDIF(DATE(YEAR($E127),MONTH($E127),1),DATE(2027,3,1),"m"),IF($D127="Quarterly",3,IF($D127="Annual",12,1)))=0),IF((COUNTIFS(Xero_Raw!$D$4:$D$5003,$A127,Xero_Raw!$G$4:$G$5003,"*Subscription*",Xero_Raw!$A$4:$A$5003,"&gt;="&amp;DATE(2027,3,1),Xero_Raw!$A$4:$A$5003,"&lt;"&amp;EDATE(DATE(2027,3,1),1))+COUNTIFS(Customer_Invoices_Upload!$E$4:$E$5003,$A127,Customer_Invoices_Upload!$G$4:$G$5003,"*Subscription*",Customer_Invoices_Upload!$B$4:$B$5003,"&gt;="&amp;DATE(2027,3,1),Customer_Invoices_Upload!$B$4:$B$5003,"&lt;"&amp;EDATE(DATE(2027,3,1),1))+COUNTIFS(Stripe_Invoices_Upload!$D$4:$D$5003,$A127,Stripe_Invoices_Upload!$E$4:$E$5003,"*Subscription*",Stripe_Invoices_Upload!$A$4:$A$5003,"&gt;="&amp;DATE(2027,3,1),Stripe_Invoices_Upload!$A$4:$A$5003,"&lt;"&amp;EDATE(DATE(2027,3,1),1)))&gt;0,"✓ Invoiced","⚠ Due"),""),""))</f>
        <v/>
      </c>
    </row>
    <row r="128" customFormat="false" ht="15" hidden="false" customHeight="false" outlineLevel="0" collapsed="false">
      <c r="A128" s="39"/>
      <c r="B128" s="39"/>
      <c r="C128" s="40"/>
      <c r="D128" s="39"/>
      <c r="E128" s="38"/>
      <c r="F128" s="129" t="str">
        <f aca="true">IF($A128="","",EDATE($E128,DATEDIF($E128,TODAY(),"m")+1))</f>
        <v/>
      </c>
      <c r="G128" s="130" t="str">
        <f aca="false">IF($A128="","",IF((DATE(YEAR($E128),MONTH($E128),1)&lt;=DATE(2026,4,1)),IF((MOD(DATEDIF(DATE(YEAR($E128),MONTH($E128),1),DATE(2026,4,1),"m"),IF($D128="Quarterly",3,IF($D128="Annual",12,1)))=0),IF((COUNTIFS(Xero_Raw!$D$4:$D$5003,$A128,Xero_Raw!$G$4:$G$5003,"*Subscription*",Xero_Raw!$A$4:$A$5003,"&gt;="&amp;DATE(2026,4,1),Xero_Raw!$A$4:$A$5003,"&lt;"&amp;EDATE(DATE(2026,4,1),1))+COUNTIFS(Customer_Invoices_Upload!$E$4:$E$5003,$A128,Customer_Invoices_Upload!$G$4:$G$5003,"*Subscription*",Customer_Invoices_Upload!$B$4:$B$5003,"&gt;="&amp;DATE(2026,4,1),Customer_Invoices_Upload!$B$4:$B$5003,"&lt;"&amp;EDATE(DATE(2026,4,1),1))+COUNTIFS(Stripe_Invoices_Upload!$D$4:$D$5003,$A128,Stripe_Invoices_Upload!$E$4:$E$5003,"*Subscription*",Stripe_Invoices_Upload!$A$4:$A$5003,"&gt;="&amp;DATE(2026,4,1),Stripe_Invoices_Upload!$A$4:$A$5003,"&lt;"&amp;EDATE(DATE(2026,4,1),1)))&gt;0,"✓ Invoiced","⚠ Due"),""),""))</f>
        <v/>
      </c>
      <c r="H128" s="130" t="str">
        <f aca="false">IF($A128="","",IF((DATE(YEAR($E128),MONTH($E128),1)&lt;=DATE(2026,5,1)),IF((MOD(DATEDIF(DATE(YEAR($E128),MONTH($E128),1),DATE(2026,5,1),"m"),IF($D128="Quarterly",3,IF($D128="Annual",12,1)))=0),IF((COUNTIFS(Xero_Raw!$D$4:$D$5003,$A128,Xero_Raw!$G$4:$G$5003,"*Subscription*",Xero_Raw!$A$4:$A$5003,"&gt;="&amp;DATE(2026,5,1),Xero_Raw!$A$4:$A$5003,"&lt;"&amp;EDATE(DATE(2026,5,1),1))+COUNTIFS(Customer_Invoices_Upload!$E$4:$E$5003,$A128,Customer_Invoices_Upload!$G$4:$G$5003,"*Subscription*",Customer_Invoices_Upload!$B$4:$B$5003,"&gt;="&amp;DATE(2026,5,1),Customer_Invoices_Upload!$B$4:$B$5003,"&lt;"&amp;EDATE(DATE(2026,5,1),1))+COUNTIFS(Stripe_Invoices_Upload!$D$4:$D$5003,$A128,Stripe_Invoices_Upload!$E$4:$E$5003,"*Subscription*",Stripe_Invoices_Upload!$A$4:$A$5003,"&gt;="&amp;DATE(2026,5,1),Stripe_Invoices_Upload!$A$4:$A$5003,"&lt;"&amp;EDATE(DATE(2026,5,1),1)))&gt;0,"✓ Invoiced","⚠ Due"),""),""))</f>
        <v/>
      </c>
      <c r="I128" s="130" t="str">
        <f aca="false">IF($A128="","",IF((DATE(YEAR($E128),MONTH($E128),1)&lt;=DATE(2026,6,1)),IF((MOD(DATEDIF(DATE(YEAR($E128),MONTH($E128),1),DATE(2026,6,1),"m"),IF($D128="Quarterly",3,IF($D128="Annual",12,1)))=0),IF((COUNTIFS(Xero_Raw!$D$4:$D$5003,$A128,Xero_Raw!$G$4:$G$5003,"*Subscription*",Xero_Raw!$A$4:$A$5003,"&gt;="&amp;DATE(2026,6,1),Xero_Raw!$A$4:$A$5003,"&lt;"&amp;EDATE(DATE(2026,6,1),1))+COUNTIFS(Customer_Invoices_Upload!$E$4:$E$5003,$A128,Customer_Invoices_Upload!$G$4:$G$5003,"*Subscription*",Customer_Invoices_Upload!$B$4:$B$5003,"&gt;="&amp;DATE(2026,6,1),Customer_Invoices_Upload!$B$4:$B$5003,"&lt;"&amp;EDATE(DATE(2026,6,1),1))+COUNTIFS(Stripe_Invoices_Upload!$D$4:$D$5003,$A128,Stripe_Invoices_Upload!$E$4:$E$5003,"*Subscription*",Stripe_Invoices_Upload!$A$4:$A$5003,"&gt;="&amp;DATE(2026,6,1),Stripe_Invoices_Upload!$A$4:$A$5003,"&lt;"&amp;EDATE(DATE(2026,6,1),1)))&gt;0,"✓ Invoiced","⚠ Due"),""),""))</f>
        <v/>
      </c>
      <c r="J128" s="130" t="str">
        <f aca="false">IF($A128="","",IF((DATE(YEAR($E128),MONTH($E128),1)&lt;=DATE(2026,7,1)),IF((MOD(DATEDIF(DATE(YEAR($E128),MONTH($E128),1),DATE(2026,7,1),"m"),IF($D128="Quarterly",3,IF($D128="Annual",12,1)))=0),IF((COUNTIFS(Xero_Raw!$D$4:$D$5003,$A128,Xero_Raw!$G$4:$G$5003,"*Subscription*",Xero_Raw!$A$4:$A$5003,"&gt;="&amp;DATE(2026,7,1),Xero_Raw!$A$4:$A$5003,"&lt;"&amp;EDATE(DATE(2026,7,1),1))+COUNTIFS(Customer_Invoices_Upload!$E$4:$E$5003,$A128,Customer_Invoices_Upload!$G$4:$G$5003,"*Subscription*",Customer_Invoices_Upload!$B$4:$B$5003,"&gt;="&amp;DATE(2026,7,1),Customer_Invoices_Upload!$B$4:$B$5003,"&lt;"&amp;EDATE(DATE(2026,7,1),1))+COUNTIFS(Stripe_Invoices_Upload!$D$4:$D$5003,$A128,Stripe_Invoices_Upload!$E$4:$E$5003,"*Subscription*",Stripe_Invoices_Upload!$A$4:$A$5003,"&gt;="&amp;DATE(2026,7,1),Stripe_Invoices_Upload!$A$4:$A$5003,"&lt;"&amp;EDATE(DATE(2026,7,1),1)))&gt;0,"✓ Invoiced","⚠ Due"),""),""))</f>
        <v/>
      </c>
      <c r="K128" s="130" t="str">
        <f aca="false">IF($A128="","",IF((DATE(YEAR($E128),MONTH($E128),1)&lt;=DATE(2026,8,1)),IF((MOD(DATEDIF(DATE(YEAR($E128),MONTH($E128),1),DATE(2026,8,1),"m"),IF($D128="Quarterly",3,IF($D128="Annual",12,1)))=0),IF((COUNTIFS(Xero_Raw!$D$4:$D$5003,$A128,Xero_Raw!$G$4:$G$5003,"*Subscription*",Xero_Raw!$A$4:$A$5003,"&gt;="&amp;DATE(2026,8,1),Xero_Raw!$A$4:$A$5003,"&lt;"&amp;EDATE(DATE(2026,8,1),1))+COUNTIFS(Customer_Invoices_Upload!$E$4:$E$5003,$A128,Customer_Invoices_Upload!$G$4:$G$5003,"*Subscription*",Customer_Invoices_Upload!$B$4:$B$5003,"&gt;="&amp;DATE(2026,8,1),Customer_Invoices_Upload!$B$4:$B$5003,"&lt;"&amp;EDATE(DATE(2026,8,1),1))+COUNTIFS(Stripe_Invoices_Upload!$D$4:$D$5003,$A128,Stripe_Invoices_Upload!$E$4:$E$5003,"*Subscription*",Stripe_Invoices_Upload!$A$4:$A$5003,"&gt;="&amp;DATE(2026,8,1),Stripe_Invoices_Upload!$A$4:$A$5003,"&lt;"&amp;EDATE(DATE(2026,8,1),1)))&gt;0,"✓ Invoiced","⚠ Due"),""),""))</f>
        <v/>
      </c>
      <c r="L128" s="130" t="str">
        <f aca="false">IF($A128="","",IF((DATE(YEAR($E128),MONTH($E128),1)&lt;=DATE(2026,9,1)),IF((MOD(DATEDIF(DATE(YEAR($E128),MONTH($E128),1),DATE(2026,9,1),"m"),IF($D128="Quarterly",3,IF($D128="Annual",12,1)))=0),IF((COUNTIFS(Xero_Raw!$D$4:$D$5003,$A128,Xero_Raw!$G$4:$G$5003,"*Subscription*",Xero_Raw!$A$4:$A$5003,"&gt;="&amp;DATE(2026,9,1),Xero_Raw!$A$4:$A$5003,"&lt;"&amp;EDATE(DATE(2026,9,1),1))+COUNTIFS(Customer_Invoices_Upload!$E$4:$E$5003,$A128,Customer_Invoices_Upload!$G$4:$G$5003,"*Subscription*",Customer_Invoices_Upload!$B$4:$B$5003,"&gt;="&amp;DATE(2026,9,1),Customer_Invoices_Upload!$B$4:$B$5003,"&lt;"&amp;EDATE(DATE(2026,9,1),1))+COUNTIFS(Stripe_Invoices_Upload!$D$4:$D$5003,$A128,Stripe_Invoices_Upload!$E$4:$E$5003,"*Subscription*",Stripe_Invoices_Upload!$A$4:$A$5003,"&gt;="&amp;DATE(2026,9,1),Stripe_Invoices_Upload!$A$4:$A$5003,"&lt;"&amp;EDATE(DATE(2026,9,1),1)))&gt;0,"✓ Invoiced","⚠ Due"),""),""))</f>
        <v/>
      </c>
      <c r="M128" s="130" t="str">
        <f aca="false">IF($A128="","",IF((DATE(YEAR($E128),MONTH($E128),1)&lt;=DATE(2026,10,1)),IF((MOD(DATEDIF(DATE(YEAR($E128),MONTH($E128),1),DATE(2026,10,1),"m"),IF($D128="Quarterly",3,IF($D128="Annual",12,1)))=0),IF((COUNTIFS(Xero_Raw!$D$4:$D$5003,$A128,Xero_Raw!$G$4:$G$5003,"*Subscription*",Xero_Raw!$A$4:$A$5003,"&gt;="&amp;DATE(2026,10,1),Xero_Raw!$A$4:$A$5003,"&lt;"&amp;EDATE(DATE(2026,10,1),1))+COUNTIFS(Customer_Invoices_Upload!$E$4:$E$5003,$A128,Customer_Invoices_Upload!$G$4:$G$5003,"*Subscription*",Customer_Invoices_Upload!$B$4:$B$5003,"&gt;="&amp;DATE(2026,10,1),Customer_Invoices_Upload!$B$4:$B$5003,"&lt;"&amp;EDATE(DATE(2026,10,1),1))+COUNTIFS(Stripe_Invoices_Upload!$D$4:$D$5003,$A128,Stripe_Invoices_Upload!$E$4:$E$5003,"*Subscription*",Stripe_Invoices_Upload!$A$4:$A$5003,"&gt;="&amp;DATE(2026,10,1),Stripe_Invoices_Upload!$A$4:$A$5003,"&lt;"&amp;EDATE(DATE(2026,10,1),1)))&gt;0,"✓ Invoiced","⚠ Due"),""),""))</f>
        <v/>
      </c>
      <c r="N128" s="130" t="str">
        <f aca="false">IF($A128="","",IF((DATE(YEAR($E128),MONTH($E128),1)&lt;=DATE(2026,11,1)),IF((MOD(DATEDIF(DATE(YEAR($E128),MONTH($E128),1),DATE(2026,11,1),"m"),IF($D128="Quarterly",3,IF($D128="Annual",12,1)))=0),IF((COUNTIFS(Xero_Raw!$D$4:$D$5003,$A128,Xero_Raw!$G$4:$G$5003,"*Subscription*",Xero_Raw!$A$4:$A$5003,"&gt;="&amp;DATE(2026,11,1),Xero_Raw!$A$4:$A$5003,"&lt;"&amp;EDATE(DATE(2026,11,1),1))+COUNTIFS(Customer_Invoices_Upload!$E$4:$E$5003,$A128,Customer_Invoices_Upload!$G$4:$G$5003,"*Subscription*",Customer_Invoices_Upload!$B$4:$B$5003,"&gt;="&amp;DATE(2026,11,1),Customer_Invoices_Upload!$B$4:$B$5003,"&lt;"&amp;EDATE(DATE(2026,11,1),1))+COUNTIFS(Stripe_Invoices_Upload!$D$4:$D$5003,$A128,Stripe_Invoices_Upload!$E$4:$E$5003,"*Subscription*",Stripe_Invoices_Upload!$A$4:$A$5003,"&gt;="&amp;DATE(2026,11,1),Stripe_Invoices_Upload!$A$4:$A$5003,"&lt;"&amp;EDATE(DATE(2026,11,1),1)))&gt;0,"✓ Invoiced","⚠ Due"),""),""))</f>
        <v/>
      </c>
      <c r="O128" s="130" t="str">
        <f aca="false">IF($A128="","",IF((DATE(YEAR($E128),MONTH($E128),1)&lt;=DATE(2026,12,1)),IF((MOD(DATEDIF(DATE(YEAR($E128),MONTH($E128),1),DATE(2026,12,1),"m"),IF($D128="Quarterly",3,IF($D128="Annual",12,1)))=0),IF((COUNTIFS(Xero_Raw!$D$4:$D$5003,$A128,Xero_Raw!$G$4:$G$5003,"*Subscription*",Xero_Raw!$A$4:$A$5003,"&gt;="&amp;DATE(2026,12,1),Xero_Raw!$A$4:$A$5003,"&lt;"&amp;EDATE(DATE(2026,12,1),1))+COUNTIFS(Customer_Invoices_Upload!$E$4:$E$5003,$A128,Customer_Invoices_Upload!$G$4:$G$5003,"*Subscription*",Customer_Invoices_Upload!$B$4:$B$5003,"&gt;="&amp;DATE(2026,12,1),Customer_Invoices_Upload!$B$4:$B$5003,"&lt;"&amp;EDATE(DATE(2026,12,1),1))+COUNTIFS(Stripe_Invoices_Upload!$D$4:$D$5003,$A128,Stripe_Invoices_Upload!$E$4:$E$5003,"*Subscription*",Stripe_Invoices_Upload!$A$4:$A$5003,"&gt;="&amp;DATE(2026,12,1),Stripe_Invoices_Upload!$A$4:$A$5003,"&lt;"&amp;EDATE(DATE(2026,12,1),1)))&gt;0,"✓ Invoiced","⚠ Due"),""),""))</f>
        <v/>
      </c>
      <c r="P128" s="130" t="str">
        <f aca="false">IF($A128="","",IF((DATE(YEAR($E128),MONTH($E128),1)&lt;=DATE(2027,1,1)),IF((MOD(DATEDIF(DATE(YEAR($E128),MONTH($E128),1),DATE(2027,1,1),"m"),IF($D128="Quarterly",3,IF($D128="Annual",12,1)))=0),IF((COUNTIFS(Xero_Raw!$D$4:$D$5003,$A128,Xero_Raw!$G$4:$G$5003,"*Subscription*",Xero_Raw!$A$4:$A$5003,"&gt;="&amp;DATE(2027,1,1),Xero_Raw!$A$4:$A$5003,"&lt;"&amp;EDATE(DATE(2027,1,1),1))+COUNTIFS(Customer_Invoices_Upload!$E$4:$E$5003,$A128,Customer_Invoices_Upload!$G$4:$G$5003,"*Subscription*",Customer_Invoices_Upload!$B$4:$B$5003,"&gt;="&amp;DATE(2027,1,1),Customer_Invoices_Upload!$B$4:$B$5003,"&lt;"&amp;EDATE(DATE(2027,1,1),1))+COUNTIFS(Stripe_Invoices_Upload!$D$4:$D$5003,$A128,Stripe_Invoices_Upload!$E$4:$E$5003,"*Subscription*",Stripe_Invoices_Upload!$A$4:$A$5003,"&gt;="&amp;DATE(2027,1,1),Stripe_Invoices_Upload!$A$4:$A$5003,"&lt;"&amp;EDATE(DATE(2027,1,1),1)))&gt;0,"✓ Invoiced","⚠ Due"),""),""))</f>
        <v/>
      </c>
      <c r="Q128" s="130" t="str">
        <f aca="false">IF($A128="","",IF((DATE(YEAR($E128),MONTH($E128),1)&lt;=DATE(2027,2,1)),IF((MOD(DATEDIF(DATE(YEAR($E128),MONTH($E128),1),DATE(2027,2,1),"m"),IF($D128="Quarterly",3,IF($D128="Annual",12,1)))=0),IF((COUNTIFS(Xero_Raw!$D$4:$D$5003,$A128,Xero_Raw!$G$4:$G$5003,"*Subscription*",Xero_Raw!$A$4:$A$5003,"&gt;="&amp;DATE(2027,2,1),Xero_Raw!$A$4:$A$5003,"&lt;"&amp;EDATE(DATE(2027,2,1),1))+COUNTIFS(Customer_Invoices_Upload!$E$4:$E$5003,$A128,Customer_Invoices_Upload!$G$4:$G$5003,"*Subscription*",Customer_Invoices_Upload!$B$4:$B$5003,"&gt;="&amp;DATE(2027,2,1),Customer_Invoices_Upload!$B$4:$B$5003,"&lt;"&amp;EDATE(DATE(2027,2,1),1))+COUNTIFS(Stripe_Invoices_Upload!$D$4:$D$5003,$A128,Stripe_Invoices_Upload!$E$4:$E$5003,"*Subscription*",Stripe_Invoices_Upload!$A$4:$A$5003,"&gt;="&amp;DATE(2027,2,1),Stripe_Invoices_Upload!$A$4:$A$5003,"&lt;"&amp;EDATE(DATE(2027,2,1),1)))&gt;0,"✓ Invoiced","⚠ Due"),""),""))</f>
        <v/>
      </c>
      <c r="R128" s="130" t="str">
        <f aca="false">IF($A128="","",IF((DATE(YEAR($E128),MONTH($E128),1)&lt;=DATE(2027,3,1)),IF((MOD(DATEDIF(DATE(YEAR($E128),MONTH($E128),1),DATE(2027,3,1),"m"),IF($D128="Quarterly",3,IF($D128="Annual",12,1)))=0),IF((COUNTIFS(Xero_Raw!$D$4:$D$5003,$A128,Xero_Raw!$G$4:$G$5003,"*Subscription*",Xero_Raw!$A$4:$A$5003,"&gt;="&amp;DATE(2027,3,1),Xero_Raw!$A$4:$A$5003,"&lt;"&amp;EDATE(DATE(2027,3,1),1))+COUNTIFS(Customer_Invoices_Upload!$E$4:$E$5003,$A128,Customer_Invoices_Upload!$G$4:$G$5003,"*Subscription*",Customer_Invoices_Upload!$B$4:$B$5003,"&gt;="&amp;DATE(2027,3,1),Customer_Invoices_Upload!$B$4:$B$5003,"&lt;"&amp;EDATE(DATE(2027,3,1),1))+COUNTIFS(Stripe_Invoices_Upload!$D$4:$D$5003,$A128,Stripe_Invoices_Upload!$E$4:$E$5003,"*Subscription*",Stripe_Invoices_Upload!$A$4:$A$5003,"&gt;="&amp;DATE(2027,3,1),Stripe_Invoices_Upload!$A$4:$A$5003,"&lt;"&amp;EDATE(DATE(2027,3,1),1)))&gt;0,"✓ Invoiced","⚠ Due"),""),""))</f>
        <v/>
      </c>
    </row>
    <row r="129" customFormat="false" ht="15" hidden="false" customHeight="false" outlineLevel="0" collapsed="false">
      <c r="A129" s="39"/>
      <c r="B129" s="39"/>
      <c r="C129" s="40"/>
      <c r="D129" s="39"/>
      <c r="E129" s="38"/>
      <c r="F129" s="129" t="str">
        <f aca="true">IF($A129="","",EDATE($E129,DATEDIF($E129,TODAY(),"m")+1))</f>
        <v/>
      </c>
      <c r="G129" s="130" t="str">
        <f aca="false">IF($A129="","",IF((DATE(YEAR($E129),MONTH($E129),1)&lt;=DATE(2026,4,1)),IF((MOD(DATEDIF(DATE(YEAR($E129),MONTH($E129),1),DATE(2026,4,1),"m"),IF($D129="Quarterly",3,IF($D129="Annual",12,1)))=0),IF((COUNTIFS(Xero_Raw!$D$4:$D$5003,$A129,Xero_Raw!$G$4:$G$5003,"*Subscription*",Xero_Raw!$A$4:$A$5003,"&gt;="&amp;DATE(2026,4,1),Xero_Raw!$A$4:$A$5003,"&lt;"&amp;EDATE(DATE(2026,4,1),1))+COUNTIFS(Customer_Invoices_Upload!$E$4:$E$5003,$A129,Customer_Invoices_Upload!$G$4:$G$5003,"*Subscription*",Customer_Invoices_Upload!$B$4:$B$5003,"&gt;="&amp;DATE(2026,4,1),Customer_Invoices_Upload!$B$4:$B$5003,"&lt;"&amp;EDATE(DATE(2026,4,1),1))+COUNTIFS(Stripe_Invoices_Upload!$D$4:$D$5003,$A129,Stripe_Invoices_Upload!$E$4:$E$5003,"*Subscription*",Stripe_Invoices_Upload!$A$4:$A$5003,"&gt;="&amp;DATE(2026,4,1),Stripe_Invoices_Upload!$A$4:$A$5003,"&lt;"&amp;EDATE(DATE(2026,4,1),1)))&gt;0,"✓ Invoiced","⚠ Due"),""),""))</f>
        <v/>
      </c>
      <c r="H129" s="130" t="str">
        <f aca="false">IF($A129="","",IF((DATE(YEAR($E129),MONTH($E129),1)&lt;=DATE(2026,5,1)),IF((MOD(DATEDIF(DATE(YEAR($E129),MONTH($E129),1),DATE(2026,5,1),"m"),IF($D129="Quarterly",3,IF($D129="Annual",12,1)))=0),IF((COUNTIFS(Xero_Raw!$D$4:$D$5003,$A129,Xero_Raw!$G$4:$G$5003,"*Subscription*",Xero_Raw!$A$4:$A$5003,"&gt;="&amp;DATE(2026,5,1),Xero_Raw!$A$4:$A$5003,"&lt;"&amp;EDATE(DATE(2026,5,1),1))+COUNTIFS(Customer_Invoices_Upload!$E$4:$E$5003,$A129,Customer_Invoices_Upload!$G$4:$G$5003,"*Subscription*",Customer_Invoices_Upload!$B$4:$B$5003,"&gt;="&amp;DATE(2026,5,1),Customer_Invoices_Upload!$B$4:$B$5003,"&lt;"&amp;EDATE(DATE(2026,5,1),1))+COUNTIFS(Stripe_Invoices_Upload!$D$4:$D$5003,$A129,Stripe_Invoices_Upload!$E$4:$E$5003,"*Subscription*",Stripe_Invoices_Upload!$A$4:$A$5003,"&gt;="&amp;DATE(2026,5,1),Stripe_Invoices_Upload!$A$4:$A$5003,"&lt;"&amp;EDATE(DATE(2026,5,1),1)))&gt;0,"✓ Invoiced","⚠ Due"),""),""))</f>
        <v/>
      </c>
      <c r="I129" s="130" t="str">
        <f aca="false">IF($A129="","",IF((DATE(YEAR($E129),MONTH($E129),1)&lt;=DATE(2026,6,1)),IF((MOD(DATEDIF(DATE(YEAR($E129),MONTH($E129),1),DATE(2026,6,1),"m"),IF($D129="Quarterly",3,IF($D129="Annual",12,1)))=0),IF((COUNTIFS(Xero_Raw!$D$4:$D$5003,$A129,Xero_Raw!$G$4:$G$5003,"*Subscription*",Xero_Raw!$A$4:$A$5003,"&gt;="&amp;DATE(2026,6,1),Xero_Raw!$A$4:$A$5003,"&lt;"&amp;EDATE(DATE(2026,6,1),1))+COUNTIFS(Customer_Invoices_Upload!$E$4:$E$5003,$A129,Customer_Invoices_Upload!$G$4:$G$5003,"*Subscription*",Customer_Invoices_Upload!$B$4:$B$5003,"&gt;="&amp;DATE(2026,6,1),Customer_Invoices_Upload!$B$4:$B$5003,"&lt;"&amp;EDATE(DATE(2026,6,1),1))+COUNTIFS(Stripe_Invoices_Upload!$D$4:$D$5003,$A129,Stripe_Invoices_Upload!$E$4:$E$5003,"*Subscription*",Stripe_Invoices_Upload!$A$4:$A$5003,"&gt;="&amp;DATE(2026,6,1),Stripe_Invoices_Upload!$A$4:$A$5003,"&lt;"&amp;EDATE(DATE(2026,6,1),1)))&gt;0,"✓ Invoiced","⚠ Due"),""),""))</f>
        <v/>
      </c>
      <c r="J129" s="130" t="str">
        <f aca="false">IF($A129="","",IF((DATE(YEAR($E129),MONTH($E129),1)&lt;=DATE(2026,7,1)),IF((MOD(DATEDIF(DATE(YEAR($E129),MONTH($E129),1),DATE(2026,7,1),"m"),IF($D129="Quarterly",3,IF($D129="Annual",12,1)))=0),IF((COUNTIFS(Xero_Raw!$D$4:$D$5003,$A129,Xero_Raw!$G$4:$G$5003,"*Subscription*",Xero_Raw!$A$4:$A$5003,"&gt;="&amp;DATE(2026,7,1),Xero_Raw!$A$4:$A$5003,"&lt;"&amp;EDATE(DATE(2026,7,1),1))+COUNTIFS(Customer_Invoices_Upload!$E$4:$E$5003,$A129,Customer_Invoices_Upload!$G$4:$G$5003,"*Subscription*",Customer_Invoices_Upload!$B$4:$B$5003,"&gt;="&amp;DATE(2026,7,1),Customer_Invoices_Upload!$B$4:$B$5003,"&lt;"&amp;EDATE(DATE(2026,7,1),1))+COUNTIFS(Stripe_Invoices_Upload!$D$4:$D$5003,$A129,Stripe_Invoices_Upload!$E$4:$E$5003,"*Subscription*",Stripe_Invoices_Upload!$A$4:$A$5003,"&gt;="&amp;DATE(2026,7,1),Stripe_Invoices_Upload!$A$4:$A$5003,"&lt;"&amp;EDATE(DATE(2026,7,1),1)))&gt;0,"✓ Invoiced","⚠ Due"),""),""))</f>
        <v/>
      </c>
      <c r="K129" s="130" t="str">
        <f aca="false">IF($A129="","",IF((DATE(YEAR($E129),MONTH($E129),1)&lt;=DATE(2026,8,1)),IF((MOD(DATEDIF(DATE(YEAR($E129),MONTH($E129),1),DATE(2026,8,1),"m"),IF($D129="Quarterly",3,IF($D129="Annual",12,1)))=0),IF((COUNTIFS(Xero_Raw!$D$4:$D$5003,$A129,Xero_Raw!$G$4:$G$5003,"*Subscription*",Xero_Raw!$A$4:$A$5003,"&gt;="&amp;DATE(2026,8,1),Xero_Raw!$A$4:$A$5003,"&lt;"&amp;EDATE(DATE(2026,8,1),1))+COUNTIFS(Customer_Invoices_Upload!$E$4:$E$5003,$A129,Customer_Invoices_Upload!$G$4:$G$5003,"*Subscription*",Customer_Invoices_Upload!$B$4:$B$5003,"&gt;="&amp;DATE(2026,8,1),Customer_Invoices_Upload!$B$4:$B$5003,"&lt;"&amp;EDATE(DATE(2026,8,1),1))+COUNTIFS(Stripe_Invoices_Upload!$D$4:$D$5003,$A129,Stripe_Invoices_Upload!$E$4:$E$5003,"*Subscription*",Stripe_Invoices_Upload!$A$4:$A$5003,"&gt;="&amp;DATE(2026,8,1),Stripe_Invoices_Upload!$A$4:$A$5003,"&lt;"&amp;EDATE(DATE(2026,8,1),1)))&gt;0,"✓ Invoiced","⚠ Due"),""),""))</f>
        <v/>
      </c>
      <c r="L129" s="130" t="str">
        <f aca="false">IF($A129="","",IF((DATE(YEAR($E129),MONTH($E129),1)&lt;=DATE(2026,9,1)),IF((MOD(DATEDIF(DATE(YEAR($E129),MONTH($E129),1),DATE(2026,9,1),"m"),IF($D129="Quarterly",3,IF($D129="Annual",12,1)))=0),IF((COUNTIFS(Xero_Raw!$D$4:$D$5003,$A129,Xero_Raw!$G$4:$G$5003,"*Subscription*",Xero_Raw!$A$4:$A$5003,"&gt;="&amp;DATE(2026,9,1),Xero_Raw!$A$4:$A$5003,"&lt;"&amp;EDATE(DATE(2026,9,1),1))+COUNTIFS(Customer_Invoices_Upload!$E$4:$E$5003,$A129,Customer_Invoices_Upload!$G$4:$G$5003,"*Subscription*",Customer_Invoices_Upload!$B$4:$B$5003,"&gt;="&amp;DATE(2026,9,1),Customer_Invoices_Upload!$B$4:$B$5003,"&lt;"&amp;EDATE(DATE(2026,9,1),1))+COUNTIFS(Stripe_Invoices_Upload!$D$4:$D$5003,$A129,Stripe_Invoices_Upload!$E$4:$E$5003,"*Subscription*",Stripe_Invoices_Upload!$A$4:$A$5003,"&gt;="&amp;DATE(2026,9,1),Stripe_Invoices_Upload!$A$4:$A$5003,"&lt;"&amp;EDATE(DATE(2026,9,1),1)))&gt;0,"✓ Invoiced","⚠ Due"),""),""))</f>
        <v/>
      </c>
      <c r="M129" s="130" t="str">
        <f aca="false">IF($A129="","",IF((DATE(YEAR($E129),MONTH($E129),1)&lt;=DATE(2026,10,1)),IF((MOD(DATEDIF(DATE(YEAR($E129),MONTH($E129),1),DATE(2026,10,1),"m"),IF($D129="Quarterly",3,IF($D129="Annual",12,1)))=0),IF((COUNTIFS(Xero_Raw!$D$4:$D$5003,$A129,Xero_Raw!$G$4:$G$5003,"*Subscription*",Xero_Raw!$A$4:$A$5003,"&gt;="&amp;DATE(2026,10,1),Xero_Raw!$A$4:$A$5003,"&lt;"&amp;EDATE(DATE(2026,10,1),1))+COUNTIFS(Customer_Invoices_Upload!$E$4:$E$5003,$A129,Customer_Invoices_Upload!$G$4:$G$5003,"*Subscription*",Customer_Invoices_Upload!$B$4:$B$5003,"&gt;="&amp;DATE(2026,10,1),Customer_Invoices_Upload!$B$4:$B$5003,"&lt;"&amp;EDATE(DATE(2026,10,1),1))+COUNTIFS(Stripe_Invoices_Upload!$D$4:$D$5003,$A129,Stripe_Invoices_Upload!$E$4:$E$5003,"*Subscription*",Stripe_Invoices_Upload!$A$4:$A$5003,"&gt;="&amp;DATE(2026,10,1),Stripe_Invoices_Upload!$A$4:$A$5003,"&lt;"&amp;EDATE(DATE(2026,10,1),1)))&gt;0,"✓ Invoiced","⚠ Due"),""),""))</f>
        <v/>
      </c>
      <c r="N129" s="130" t="str">
        <f aca="false">IF($A129="","",IF((DATE(YEAR($E129),MONTH($E129),1)&lt;=DATE(2026,11,1)),IF((MOD(DATEDIF(DATE(YEAR($E129),MONTH($E129),1),DATE(2026,11,1),"m"),IF($D129="Quarterly",3,IF($D129="Annual",12,1)))=0),IF((COUNTIFS(Xero_Raw!$D$4:$D$5003,$A129,Xero_Raw!$G$4:$G$5003,"*Subscription*",Xero_Raw!$A$4:$A$5003,"&gt;="&amp;DATE(2026,11,1),Xero_Raw!$A$4:$A$5003,"&lt;"&amp;EDATE(DATE(2026,11,1),1))+COUNTIFS(Customer_Invoices_Upload!$E$4:$E$5003,$A129,Customer_Invoices_Upload!$G$4:$G$5003,"*Subscription*",Customer_Invoices_Upload!$B$4:$B$5003,"&gt;="&amp;DATE(2026,11,1),Customer_Invoices_Upload!$B$4:$B$5003,"&lt;"&amp;EDATE(DATE(2026,11,1),1))+COUNTIFS(Stripe_Invoices_Upload!$D$4:$D$5003,$A129,Stripe_Invoices_Upload!$E$4:$E$5003,"*Subscription*",Stripe_Invoices_Upload!$A$4:$A$5003,"&gt;="&amp;DATE(2026,11,1),Stripe_Invoices_Upload!$A$4:$A$5003,"&lt;"&amp;EDATE(DATE(2026,11,1),1)))&gt;0,"✓ Invoiced","⚠ Due"),""),""))</f>
        <v/>
      </c>
      <c r="O129" s="130" t="str">
        <f aca="false">IF($A129="","",IF((DATE(YEAR($E129),MONTH($E129),1)&lt;=DATE(2026,12,1)),IF((MOD(DATEDIF(DATE(YEAR($E129),MONTH($E129),1),DATE(2026,12,1),"m"),IF($D129="Quarterly",3,IF($D129="Annual",12,1)))=0),IF((COUNTIFS(Xero_Raw!$D$4:$D$5003,$A129,Xero_Raw!$G$4:$G$5003,"*Subscription*",Xero_Raw!$A$4:$A$5003,"&gt;="&amp;DATE(2026,12,1),Xero_Raw!$A$4:$A$5003,"&lt;"&amp;EDATE(DATE(2026,12,1),1))+COUNTIFS(Customer_Invoices_Upload!$E$4:$E$5003,$A129,Customer_Invoices_Upload!$G$4:$G$5003,"*Subscription*",Customer_Invoices_Upload!$B$4:$B$5003,"&gt;="&amp;DATE(2026,12,1),Customer_Invoices_Upload!$B$4:$B$5003,"&lt;"&amp;EDATE(DATE(2026,12,1),1))+COUNTIFS(Stripe_Invoices_Upload!$D$4:$D$5003,$A129,Stripe_Invoices_Upload!$E$4:$E$5003,"*Subscription*",Stripe_Invoices_Upload!$A$4:$A$5003,"&gt;="&amp;DATE(2026,12,1),Stripe_Invoices_Upload!$A$4:$A$5003,"&lt;"&amp;EDATE(DATE(2026,12,1),1)))&gt;0,"✓ Invoiced","⚠ Due"),""),""))</f>
        <v/>
      </c>
      <c r="P129" s="130" t="str">
        <f aca="false">IF($A129="","",IF((DATE(YEAR($E129),MONTH($E129),1)&lt;=DATE(2027,1,1)),IF((MOD(DATEDIF(DATE(YEAR($E129),MONTH($E129),1),DATE(2027,1,1),"m"),IF($D129="Quarterly",3,IF($D129="Annual",12,1)))=0),IF((COUNTIFS(Xero_Raw!$D$4:$D$5003,$A129,Xero_Raw!$G$4:$G$5003,"*Subscription*",Xero_Raw!$A$4:$A$5003,"&gt;="&amp;DATE(2027,1,1),Xero_Raw!$A$4:$A$5003,"&lt;"&amp;EDATE(DATE(2027,1,1),1))+COUNTIFS(Customer_Invoices_Upload!$E$4:$E$5003,$A129,Customer_Invoices_Upload!$G$4:$G$5003,"*Subscription*",Customer_Invoices_Upload!$B$4:$B$5003,"&gt;="&amp;DATE(2027,1,1),Customer_Invoices_Upload!$B$4:$B$5003,"&lt;"&amp;EDATE(DATE(2027,1,1),1))+COUNTIFS(Stripe_Invoices_Upload!$D$4:$D$5003,$A129,Stripe_Invoices_Upload!$E$4:$E$5003,"*Subscription*",Stripe_Invoices_Upload!$A$4:$A$5003,"&gt;="&amp;DATE(2027,1,1),Stripe_Invoices_Upload!$A$4:$A$5003,"&lt;"&amp;EDATE(DATE(2027,1,1),1)))&gt;0,"✓ Invoiced","⚠ Due"),""),""))</f>
        <v/>
      </c>
      <c r="Q129" s="130" t="str">
        <f aca="false">IF($A129="","",IF((DATE(YEAR($E129),MONTH($E129),1)&lt;=DATE(2027,2,1)),IF((MOD(DATEDIF(DATE(YEAR($E129),MONTH($E129),1),DATE(2027,2,1),"m"),IF($D129="Quarterly",3,IF($D129="Annual",12,1)))=0),IF((COUNTIFS(Xero_Raw!$D$4:$D$5003,$A129,Xero_Raw!$G$4:$G$5003,"*Subscription*",Xero_Raw!$A$4:$A$5003,"&gt;="&amp;DATE(2027,2,1),Xero_Raw!$A$4:$A$5003,"&lt;"&amp;EDATE(DATE(2027,2,1),1))+COUNTIFS(Customer_Invoices_Upload!$E$4:$E$5003,$A129,Customer_Invoices_Upload!$G$4:$G$5003,"*Subscription*",Customer_Invoices_Upload!$B$4:$B$5003,"&gt;="&amp;DATE(2027,2,1),Customer_Invoices_Upload!$B$4:$B$5003,"&lt;"&amp;EDATE(DATE(2027,2,1),1))+COUNTIFS(Stripe_Invoices_Upload!$D$4:$D$5003,$A129,Stripe_Invoices_Upload!$E$4:$E$5003,"*Subscription*",Stripe_Invoices_Upload!$A$4:$A$5003,"&gt;="&amp;DATE(2027,2,1),Stripe_Invoices_Upload!$A$4:$A$5003,"&lt;"&amp;EDATE(DATE(2027,2,1),1)))&gt;0,"✓ Invoiced","⚠ Due"),""),""))</f>
        <v/>
      </c>
      <c r="R129" s="130" t="str">
        <f aca="false">IF($A129="","",IF((DATE(YEAR($E129),MONTH($E129),1)&lt;=DATE(2027,3,1)),IF((MOD(DATEDIF(DATE(YEAR($E129),MONTH($E129),1),DATE(2027,3,1),"m"),IF($D129="Quarterly",3,IF($D129="Annual",12,1)))=0),IF((COUNTIFS(Xero_Raw!$D$4:$D$5003,$A129,Xero_Raw!$G$4:$G$5003,"*Subscription*",Xero_Raw!$A$4:$A$5003,"&gt;="&amp;DATE(2027,3,1),Xero_Raw!$A$4:$A$5003,"&lt;"&amp;EDATE(DATE(2027,3,1),1))+COUNTIFS(Customer_Invoices_Upload!$E$4:$E$5003,$A129,Customer_Invoices_Upload!$G$4:$G$5003,"*Subscription*",Customer_Invoices_Upload!$B$4:$B$5003,"&gt;="&amp;DATE(2027,3,1),Customer_Invoices_Upload!$B$4:$B$5003,"&lt;"&amp;EDATE(DATE(2027,3,1),1))+COUNTIFS(Stripe_Invoices_Upload!$D$4:$D$5003,$A129,Stripe_Invoices_Upload!$E$4:$E$5003,"*Subscription*",Stripe_Invoices_Upload!$A$4:$A$5003,"&gt;="&amp;DATE(2027,3,1),Stripe_Invoices_Upload!$A$4:$A$5003,"&lt;"&amp;EDATE(DATE(2027,3,1),1)))&gt;0,"✓ Invoiced","⚠ Due"),""),""))</f>
        <v/>
      </c>
    </row>
    <row r="130" customFormat="false" ht="15" hidden="false" customHeight="false" outlineLevel="0" collapsed="false">
      <c r="A130" s="39"/>
      <c r="B130" s="39"/>
      <c r="C130" s="40"/>
      <c r="D130" s="39"/>
      <c r="E130" s="38"/>
      <c r="F130" s="129" t="str">
        <f aca="true">IF($A130="","",EDATE($E130,DATEDIF($E130,TODAY(),"m")+1))</f>
        <v/>
      </c>
      <c r="G130" s="130" t="str">
        <f aca="false">IF($A130="","",IF((DATE(YEAR($E130),MONTH($E130),1)&lt;=DATE(2026,4,1)),IF((MOD(DATEDIF(DATE(YEAR($E130),MONTH($E130),1),DATE(2026,4,1),"m"),IF($D130="Quarterly",3,IF($D130="Annual",12,1)))=0),IF((COUNTIFS(Xero_Raw!$D$4:$D$5003,$A130,Xero_Raw!$G$4:$G$5003,"*Subscription*",Xero_Raw!$A$4:$A$5003,"&gt;="&amp;DATE(2026,4,1),Xero_Raw!$A$4:$A$5003,"&lt;"&amp;EDATE(DATE(2026,4,1),1))+COUNTIFS(Customer_Invoices_Upload!$E$4:$E$5003,$A130,Customer_Invoices_Upload!$G$4:$G$5003,"*Subscription*",Customer_Invoices_Upload!$B$4:$B$5003,"&gt;="&amp;DATE(2026,4,1),Customer_Invoices_Upload!$B$4:$B$5003,"&lt;"&amp;EDATE(DATE(2026,4,1),1))+COUNTIFS(Stripe_Invoices_Upload!$D$4:$D$5003,$A130,Stripe_Invoices_Upload!$E$4:$E$5003,"*Subscription*",Stripe_Invoices_Upload!$A$4:$A$5003,"&gt;="&amp;DATE(2026,4,1),Stripe_Invoices_Upload!$A$4:$A$5003,"&lt;"&amp;EDATE(DATE(2026,4,1),1)))&gt;0,"✓ Invoiced","⚠ Due"),""),""))</f>
        <v/>
      </c>
      <c r="H130" s="130" t="str">
        <f aca="false">IF($A130="","",IF((DATE(YEAR($E130),MONTH($E130),1)&lt;=DATE(2026,5,1)),IF((MOD(DATEDIF(DATE(YEAR($E130),MONTH($E130),1),DATE(2026,5,1),"m"),IF($D130="Quarterly",3,IF($D130="Annual",12,1)))=0),IF((COUNTIFS(Xero_Raw!$D$4:$D$5003,$A130,Xero_Raw!$G$4:$G$5003,"*Subscription*",Xero_Raw!$A$4:$A$5003,"&gt;="&amp;DATE(2026,5,1),Xero_Raw!$A$4:$A$5003,"&lt;"&amp;EDATE(DATE(2026,5,1),1))+COUNTIFS(Customer_Invoices_Upload!$E$4:$E$5003,$A130,Customer_Invoices_Upload!$G$4:$G$5003,"*Subscription*",Customer_Invoices_Upload!$B$4:$B$5003,"&gt;="&amp;DATE(2026,5,1),Customer_Invoices_Upload!$B$4:$B$5003,"&lt;"&amp;EDATE(DATE(2026,5,1),1))+COUNTIFS(Stripe_Invoices_Upload!$D$4:$D$5003,$A130,Stripe_Invoices_Upload!$E$4:$E$5003,"*Subscription*",Stripe_Invoices_Upload!$A$4:$A$5003,"&gt;="&amp;DATE(2026,5,1),Stripe_Invoices_Upload!$A$4:$A$5003,"&lt;"&amp;EDATE(DATE(2026,5,1),1)))&gt;0,"✓ Invoiced","⚠ Due"),""),""))</f>
        <v/>
      </c>
      <c r="I130" s="130" t="str">
        <f aca="false">IF($A130="","",IF((DATE(YEAR($E130),MONTH($E130),1)&lt;=DATE(2026,6,1)),IF((MOD(DATEDIF(DATE(YEAR($E130),MONTH($E130),1),DATE(2026,6,1),"m"),IF($D130="Quarterly",3,IF($D130="Annual",12,1)))=0),IF((COUNTIFS(Xero_Raw!$D$4:$D$5003,$A130,Xero_Raw!$G$4:$G$5003,"*Subscription*",Xero_Raw!$A$4:$A$5003,"&gt;="&amp;DATE(2026,6,1),Xero_Raw!$A$4:$A$5003,"&lt;"&amp;EDATE(DATE(2026,6,1),1))+COUNTIFS(Customer_Invoices_Upload!$E$4:$E$5003,$A130,Customer_Invoices_Upload!$G$4:$G$5003,"*Subscription*",Customer_Invoices_Upload!$B$4:$B$5003,"&gt;="&amp;DATE(2026,6,1),Customer_Invoices_Upload!$B$4:$B$5003,"&lt;"&amp;EDATE(DATE(2026,6,1),1))+COUNTIFS(Stripe_Invoices_Upload!$D$4:$D$5003,$A130,Stripe_Invoices_Upload!$E$4:$E$5003,"*Subscription*",Stripe_Invoices_Upload!$A$4:$A$5003,"&gt;="&amp;DATE(2026,6,1),Stripe_Invoices_Upload!$A$4:$A$5003,"&lt;"&amp;EDATE(DATE(2026,6,1),1)))&gt;0,"✓ Invoiced","⚠ Due"),""),""))</f>
        <v/>
      </c>
      <c r="J130" s="130" t="str">
        <f aca="false">IF($A130="","",IF((DATE(YEAR($E130),MONTH($E130),1)&lt;=DATE(2026,7,1)),IF((MOD(DATEDIF(DATE(YEAR($E130),MONTH($E130),1),DATE(2026,7,1),"m"),IF($D130="Quarterly",3,IF($D130="Annual",12,1)))=0),IF((COUNTIFS(Xero_Raw!$D$4:$D$5003,$A130,Xero_Raw!$G$4:$G$5003,"*Subscription*",Xero_Raw!$A$4:$A$5003,"&gt;="&amp;DATE(2026,7,1),Xero_Raw!$A$4:$A$5003,"&lt;"&amp;EDATE(DATE(2026,7,1),1))+COUNTIFS(Customer_Invoices_Upload!$E$4:$E$5003,$A130,Customer_Invoices_Upload!$G$4:$G$5003,"*Subscription*",Customer_Invoices_Upload!$B$4:$B$5003,"&gt;="&amp;DATE(2026,7,1),Customer_Invoices_Upload!$B$4:$B$5003,"&lt;"&amp;EDATE(DATE(2026,7,1),1))+COUNTIFS(Stripe_Invoices_Upload!$D$4:$D$5003,$A130,Stripe_Invoices_Upload!$E$4:$E$5003,"*Subscription*",Stripe_Invoices_Upload!$A$4:$A$5003,"&gt;="&amp;DATE(2026,7,1),Stripe_Invoices_Upload!$A$4:$A$5003,"&lt;"&amp;EDATE(DATE(2026,7,1),1)))&gt;0,"✓ Invoiced","⚠ Due"),""),""))</f>
        <v/>
      </c>
      <c r="K130" s="130" t="str">
        <f aca="false">IF($A130="","",IF((DATE(YEAR($E130),MONTH($E130),1)&lt;=DATE(2026,8,1)),IF((MOD(DATEDIF(DATE(YEAR($E130),MONTH($E130),1),DATE(2026,8,1),"m"),IF($D130="Quarterly",3,IF($D130="Annual",12,1)))=0),IF((COUNTIFS(Xero_Raw!$D$4:$D$5003,$A130,Xero_Raw!$G$4:$G$5003,"*Subscription*",Xero_Raw!$A$4:$A$5003,"&gt;="&amp;DATE(2026,8,1),Xero_Raw!$A$4:$A$5003,"&lt;"&amp;EDATE(DATE(2026,8,1),1))+COUNTIFS(Customer_Invoices_Upload!$E$4:$E$5003,$A130,Customer_Invoices_Upload!$G$4:$G$5003,"*Subscription*",Customer_Invoices_Upload!$B$4:$B$5003,"&gt;="&amp;DATE(2026,8,1),Customer_Invoices_Upload!$B$4:$B$5003,"&lt;"&amp;EDATE(DATE(2026,8,1),1))+COUNTIFS(Stripe_Invoices_Upload!$D$4:$D$5003,$A130,Stripe_Invoices_Upload!$E$4:$E$5003,"*Subscription*",Stripe_Invoices_Upload!$A$4:$A$5003,"&gt;="&amp;DATE(2026,8,1),Stripe_Invoices_Upload!$A$4:$A$5003,"&lt;"&amp;EDATE(DATE(2026,8,1),1)))&gt;0,"✓ Invoiced","⚠ Due"),""),""))</f>
        <v/>
      </c>
      <c r="L130" s="130" t="str">
        <f aca="false">IF($A130="","",IF((DATE(YEAR($E130),MONTH($E130),1)&lt;=DATE(2026,9,1)),IF((MOD(DATEDIF(DATE(YEAR($E130),MONTH($E130),1),DATE(2026,9,1),"m"),IF($D130="Quarterly",3,IF($D130="Annual",12,1)))=0),IF((COUNTIFS(Xero_Raw!$D$4:$D$5003,$A130,Xero_Raw!$G$4:$G$5003,"*Subscription*",Xero_Raw!$A$4:$A$5003,"&gt;="&amp;DATE(2026,9,1),Xero_Raw!$A$4:$A$5003,"&lt;"&amp;EDATE(DATE(2026,9,1),1))+COUNTIFS(Customer_Invoices_Upload!$E$4:$E$5003,$A130,Customer_Invoices_Upload!$G$4:$G$5003,"*Subscription*",Customer_Invoices_Upload!$B$4:$B$5003,"&gt;="&amp;DATE(2026,9,1),Customer_Invoices_Upload!$B$4:$B$5003,"&lt;"&amp;EDATE(DATE(2026,9,1),1))+COUNTIFS(Stripe_Invoices_Upload!$D$4:$D$5003,$A130,Stripe_Invoices_Upload!$E$4:$E$5003,"*Subscription*",Stripe_Invoices_Upload!$A$4:$A$5003,"&gt;="&amp;DATE(2026,9,1),Stripe_Invoices_Upload!$A$4:$A$5003,"&lt;"&amp;EDATE(DATE(2026,9,1),1)))&gt;0,"✓ Invoiced","⚠ Due"),""),""))</f>
        <v/>
      </c>
      <c r="M130" s="130" t="str">
        <f aca="false">IF($A130="","",IF((DATE(YEAR($E130),MONTH($E130),1)&lt;=DATE(2026,10,1)),IF((MOD(DATEDIF(DATE(YEAR($E130),MONTH($E130),1),DATE(2026,10,1),"m"),IF($D130="Quarterly",3,IF($D130="Annual",12,1)))=0),IF((COUNTIFS(Xero_Raw!$D$4:$D$5003,$A130,Xero_Raw!$G$4:$G$5003,"*Subscription*",Xero_Raw!$A$4:$A$5003,"&gt;="&amp;DATE(2026,10,1),Xero_Raw!$A$4:$A$5003,"&lt;"&amp;EDATE(DATE(2026,10,1),1))+COUNTIFS(Customer_Invoices_Upload!$E$4:$E$5003,$A130,Customer_Invoices_Upload!$G$4:$G$5003,"*Subscription*",Customer_Invoices_Upload!$B$4:$B$5003,"&gt;="&amp;DATE(2026,10,1),Customer_Invoices_Upload!$B$4:$B$5003,"&lt;"&amp;EDATE(DATE(2026,10,1),1))+COUNTIFS(Stripe_Invoices_Upload!$D$4:$D$5003,$A130,Stripe_Invoices_Upload!$E$4:$E$5003,"*Subscription*",Stripe_Invoices_Upload!$A$4:$A$5003,"&gt;="&amp;DATE(2026,10,1),Stripe_Invoices_Upload!$A$4:$A$5003,"&lt;"&amp;EDATE(DATE(2026,10,1),1)))&gt;0,"✓ Invoiced","⚠ Due"),""),""))</f>
        <v/>
      </c>
      <c r="N130" s="130" t="str">
        <f aca="false">IF($A130="","",IF((DATE(YEAR($E130),MONTH($E130),1)&lt;=DATE(2026,11,1)),IF((MOD(DATEDIF(DATE(YEAR($E130),MONTH($E130),1),DATE(2026,11,1),"m"),IF($D130="Quarterly",3,IF($D130="Annual",12,1)))=0),IF((COUNTIFS(Xero_Raw!$D$4:$D$5003,$A130,Xero_Raw!$G$4:$G$5003,"*Subscription*",Xero_Raw!$A$4:$A$5003,"&gt;="&amp;DATE(2026,11,1),Xero_Raw!$A$4:$A$5003,"&lt;"&amp;EDATE(DATE(2026,11,1),1))+COUNTIFS(Customer_Invoices_Upload!$E$4:$E$5003,$A130,Customer_Invoices_Upload!$G$4:$G$5003,"*Subscription*",Customer_Invoices_Upload!$B$4:$B$5003,"&gt;="&amp;DATE(2026,11,1),Customer_Invoices_Upload!$B$4:$B$5003,"&lt;"&amp;EDATE(DATE(2026,11,1),1))+COUNTIFS(Stripe_Invoices_Upload!$D$4:$D$5003,$A130,Stripe_Invoices_Upload!$E$4:$E$5003,"*Subscription*",Stripe_Invoices_Upload!$A$4:$A$5003,"&gt;="&amp;DATE(2026,11,1),Stripe_Invoices_Upload!$A$4:$A$5003,"&lt;"&amp;EDATE(DATE(2026,11,1),1)))&gt;0,"✓ Invoiced","⚠ Due"),""),""))</f>
        <v/>
      </c>
      <c r="O130" s="130" t="str">
        <f aca="false">IF($A130="","",IF((DATE(YEAR($E130),MONTH($E130),1)&lt;=DATE(2026,12,1)),IF((MOD(DATEDIF(DATE(YEAR($E130),MONTH($E130),1),DATE(2026,12,1),"m"),IF($D130="Quarterly",3,IF($D130="Annual",12,1)))=0),IF((COUNTIFS(Xero_Raw!$D$4:$D$5003,$A130,Xero_Raw!$G$4:$G$5003,"*Subscription*",Xero_Raw!$A$4:$A$5003,"&gt;="&amp;DATE(2026,12,1),Xero_Raw!$A$4:$A$5003,"&lt;"&amp;EDATE(DATE(2026,12,1),1))+COUNTIFS(Customer_Invoices_Upload!$E$4:$E$5003,$A130,Customer_Invoices_Upload!$G$4:$G$5003,"*Subscription*",Customer_Invoices_Upload!$B$4:$B$5003,"&gt;="&amp;DATE(2026,12,1),Customer_Invoices_Upload!$B$4:$B$5003,"&lt;"&amp;EDATE(DATE(2026,12,1),1))+COUNTIFS(Stripe_Invoices_Upload!$D$4:$D$5003,$A130,Stripe_Invoices_Upload!$E$4:$E$5003,"*Subscription*",Stripe_Invoices_Upload!$A$4:$A$5003,"&gt;="&amp;DATE(2026,12,1),Stripe_Invoices_Upload!$A$4:$A$5003,"&lt;"&amp;EDATE(DATE(2026,12,1),1)))&gt;0,"✓ Invoiced","⚠ Due"),""),""))</f>
        <v/>
      </c>
      <c r="P130" s="130" t="str">
        <f aca="false">IF($A130="","",IF((DATE(YEAR($E130),MONTH($E130),1)&lt;=DATE(2027,1,1)),IF((MOD(DATEDIF(DATE(YEAR($E130),MONTH($E130),1),DATE(2027,1,1),"m"),IF($D130="Quarterly",3,IF($D130="Annual",12,1)))=0),IF((COUNTIFS(Xero_Raw!$D$4:$D$5003,$A130,Xero_Raw!$G$4:$G$5003,"*Subscription*",Xero_Raw!$A$4:$A$5003,"&gt;="&amp;DATE(2027,1,1),Xero_Raw!$A$4:$A$5003,"&lt;"&amp;EDATE(DATE(2027,1,1),1))+COUNTIFS(Customer_Invoices_Upload!$E$4:$E$5003,$A130,Customer_Invoices_Upload!$G$4:$G$5003,"*Subscription*",Customer_Invoices_Upload!$B$4:$B$5003,"&gt;="&amp;DATE(2027,1,1),Customer_Invoices_Upload!$B$4:$B$5003,"&lt;"&amp;EDATE(DATE(2027,1,1),1))+COUNTIFS(Stripe_Invoices_Upload!$D$4:$D$5003,$A130,Stripe_Invoices_Upload!$E$4:$E$5003,"*Subscription*",Stripe_Invoices_Upload!$A$4:$A$5003,"&gt;="&amp;DATE(2027,1,1),Stripe_Invoices_Upload!$A$4:$A$5003,"&lt;"&amp;EDATE(DATE(2027,1,1),1)))&gt;0,"✓ Invoiced","⚠ Due"),""),""))</f>
        <v/>
      </c>
      <c r="Q130" s="130" t="str">
        <f aca="false">IF($A130="","",IF((DATE(YEAR($E130),MONTH($E130),1)&lt;=DATE(2027,2,1)),IF((MOD(DATEDIF(DATE(YEAR($E130),MONTH($E130),1),DATE(2027,2,1),"m"),IF($D130="Quarterly",3,IF($D130="Annual",12,1)))=0),IF((COUNTIFS(Xero_Raw!$D$4:$D$5003,$A130,Xero_Raw!$G$4:$G$5003,"*Subscription*",Xero_Raw!$A$4:$A$5003,"&gt;="&amp;DATE(2027,2,1),Xero_Raw!$A$4:$A$5003,"&lt;"&amp;EDATE(DATE(2027,2,1),1))+COUNTIFS(Customer_Invoices_Upload!$E$4:$E$5003,$A130,Customer_Invoices_Upload!$G$4:$G$5003,"*Subscription*",Customer_Invoices_Upload!$B$4:$B$5003,"&gt;="&amp;DATE(2027,2,1),Customer_Invoices_Upload!$B$4:$B$5003,"&lt;"&amp;EDATE(DATE(2027,2,1),1))+COUNTIFS(Stripe_Invoices_Upload!$D$4:$D$5003,$A130,Stripe_Invoices_Upload!$E$4:$E$5003,"*Subscription*",Stripe_Invoices_Upload!$A$4:$A$5003,"&gt;="&amp;DATE(2027,2,1),Stripe_Invoices_Upload!$A$4:$A$5003,"&lt;"&amp;EDATE(DATE(2027,2,1),1)))&gt;0,"✓ Invoiced","⚠ Due"),""),""))</f>
        <v/>
      </c>
      <c r="R130" s="130" t="str">
        <f aca="false">IF($A130="","",IF((DATE(YEAR($E130),MONTH($E130),1)&lt;=DATE(2027,3,1)),IF((MOD(DATEDIF(DATE(YEAR($E130),MONTH($E130),1),DATE(2027,3,1),"m"),IF($D130="Quarterly",3,IF($D130="Annual",12,1)))=0),IF((COUNTIFS(Xero_Raw!$D$4:$D$5003,$A130,Xero_Raw!$G$4:$G$5003,"*Subscription*",Xero_Raw!$A$4:$A$5003,"&gt;="&amp;DATE(2027,3,1),Xero_Raw!$A$4:$A$5003,"&lt;"&amp;EDATE(DATE(2027,3,1),1))+COUNTIFS(Customer_Invoices_Upload!$E$4:$E$5003,$A130,Customer_Invoices_Upload!$G$4:$G$5003,"*Subscription*",Customer_Invoices_Upload!$B$4:$B$5003,"&gt;="&amp;DATE(2027,3,1),Customer_Invoices_Upload!$B$4:$B$5003,"&lt;"&amp;EDATE(DATE(2027,3,1),1))+COUNTIFS(Stripe_Invoices_Upload!$D$4:$D$5003,$A130,Stripe_Invoices_Upload!$E$4:$E$5003,"*Subscription*",Stripe_Invoices_Upload!$A$4:$A$5003,"&gt;="&amp;DATE(2027,3,1),Stripe_Invoices_Upload!$A$4:$A$5003,"&lt;"&amp;EDATE(DATE(2027,3,1),1)))&gt;0,"✓ Invoiced","⚠ Due"),""),""))</f>
        <v/>
      </c>
    </row>
    <row r="131" customFormat="false" ht="15" hidden="false" customHeight="false" outlineLevel="0" collapsed="false">
      <c r="A131" s="39"/>
      <c r="B131" s="39"/>
      <c r="C131" s="40"/>
      <c r="D131" s="39"/>
      <c r="E131" s="38"/>
      <c r="F131" s="129" t="str">
        <f aca="true">IF($A131="","",EDATE($E131,DATEDIF($E131,TODAY(),"m")+1))</f>
        <v/>
      </c>
      <c r="G131" s="130" t="str">
        <f aca="false">IF($A131="","",IF((DATE(YEAR($E131),MONTH($E131),1)&lt;=DATE(2026,4,1)),IF((MOD(DATEDIF(DATE(YEAR($E131),MONTH($E131),1),DATE(2026,4,1),"m"),IF($D131="Quarterly",3,IF($D131="Annual",12,1)))=0),IF((COUNTIFS(Xero_Raw!$D$4:$D$5003,$A131,Xero_Raw!$G$4:$G$5003,"*Subscription*",Xero_Raw!$A$4:$A$5003,"&gt;="&amp;DATE(2026,4,1),Xero_Raw!$A$4:$A$5003,"&lt;"&amp;EDATE(DATE(2026,4,1),1))+COUNTIFS(Customer_Invoices_Upload!$E$4:$E$5003,$A131,Customer_Invoices_Upload!$G$4:$G$5003,"*Subscription*",Customer_Invoices_Upload!$B$4:$B$5003,"&gt;="&amp;DATE(2026,4,1),Customer_Invoices_Upload!$B$4:$B$5003,"&lt;"&amp;EDATE(DATE(2026,4,1),1))+COUNTIFS(Stripe_Invoices_Upload!$D$4:$D$5003,$A131,Stripe_Invoices_Upload!$E$4:$E$5003,"*Subscription*",Stripe_Invoices_Upload!$A$4:$A$5003,"&gt;="&amp;DATE(2026,4,1),Stripe_Invoices_Upload!$A$4:$A$5003,"&lt;"&amp;EDATE(DATE(2026,4,1),1)))&gt;0,"✓ Invoiced","⚠ Due"),""),""))</f>
        <v/>
      </c>
      <c r="H131" s="130" t="str">
        <f aca="false">IF($A131="","",IF((DATE(YEAR($E131),MONTH($E131),1)&lt;=DATE(2026,5,1)),IF((MOD(DATEDIF(DATE(YEAR($E131),MONTH($E131),1),DATE(2026,5,1),"m"),IF($D131="Quarterly",3,IF($D131="Annual",12,1)))=0),IF((COUNTIFS(Xero_Raw!$D$4:$D$5003,$A131,Xero_Raw!$G$4:$G$5003,"*Subscription*",Xero_Raw!$A$4:$A$5003,"&gt;="&amp;DATE(2026,5,1),Xero_Raw!$A$4:$A$5003,"&lt;"&amp;EDATE(DATE(2026,5,1),1))+COUNTIFS(Customer_Invoices_Upload!$E$4:$E$5003,$A131,Customer_Invoices_Upload!$G$4:$G$5003,"*Subscription*",Customer_Invoices_Upload!$B$4:$B$5003,"&gt;="&amp;DATE(2026,5,1),Customer_Invoices_Upload!$B$4:$B$5003,"&lt;"&amp;EDATE(DATE(2026,5,1),1))+COUNTIFS(Stripe_Invoices_Upload!$D$4:$D$5003,$A131,Stripe_Invoices_Upload!$E$4:$E$5003,"*Subscription*",Stripe_Invoices_Upload!$A$4:$A$5003,"&gt;="&amp;DATE(2026,5,1),Stripe_Invoices_Upload!$A$4:$A$5003,"&lt;"&amp;EDATE(DATE(2026,5,1),1)))&gt;0,"✓ Invoiced","⚠ Due"),""),""))</f>
        <v/>
      </c>
      <c r="I131" s="130" t="str">
        <f aca="false">IF($A131="","",IF((DATE(YEAR($E131),MONTH($E131),1)&lt;=DATE(2026,6,1)),IF((MOD(DATEDIF(DATE(YEAR($E131),MONTH($E131),1),DATE(2026,6,1),"m"),IF($D131="Quarterly",3,IF($D131="Annual",12,1)))=0),IF((COUNTIFS(Xero_Raw!$D$4:$D$5003,$A131,Xero_Raw!$G$4:$G$5003,"*Subscription*",Xero_Raw!$A$4:$A$5003,"&gt;="&amp;DATE(2026,6,1),Xero_Raw!$A$4:$A$5003,"&lt;"&amp;EDATE(DATE(2026,6,1),1))+COUNTIFS(Customer_Invoices_Upload!$E$4:$E$5003,$A131,Customer_Invoices_Upload!$G$4:$G$5003,"*Subscription*",Customer_Invoices_Upload!$B$4:$B$5003,"&gt;="&amp;DATE(2026,6,1),Customer_Invoices_Upload!$B$4:$B$5003,"&lt;"&amp;EDATE(DATE(2026,6,1),1))+COUNTIFS(Stripe_Invoices_Upload!$D$4:$D$5003,$A131,Stripe_Invoices_Upload!$E$4:$E$5003,"*Subscription*",Stripe_Invoices_Upload!$A$4:$A$5003,"&gt;="&amp;DATE(2026,6,1),Stripe_Invoices_Upload!$A$4:$A$5003,"&lt;"&amp;EDATE(DATE(2026,6,1),1)))&gt;0,"✓ Invoiced","⚠ Due"),""),""))</f>
        <v/>
      </c>
      <c r="J131" s="130" t="str">
        <f aca="false">IF($A131="","",IF((DATE(YEAR($E131),MONTH($E131),1)&lt;=DATE(2026,7,1)),IF((MOD(DATEDIF(DATE(YEAR($E131),MONTH($E131),1),DATE(2026,7,1),"m"),IF($D131="Quarterly",3,IF($D131="Annual",12,1)))=0),IF((COUNTIFS(Xero_Raw!$D$4:$D$5003,$A131,Xero_Raw!$G$4:$G$5003,"*Subscription*",Xero_Raw!$A$4:$A$5003,"&gt;="&amp;DATE(2026,7,1),Xero_Raw!$A$4:$A$5003,"&lt;"&amp;EDATE(DATE(2026,7,1),1))+COUNTIFS(Customer_Invoices_Upload!$E$4:$E$5003,$A131,Customer_Invoices_Upload!$G$4:$G$5003,"*Subscription*",Customer_Invoices_Upload!$B$4:$B$5003,"&gt;="&amp;DATE(2026,7,1),Customer_Invoices_Upload!$B$4:$B$5003,"&lt;"&amp;EDATE(DATE(2026,7,1),1))+COUNTIFS(Stripe_Invoices_Upload!$D$4:$D$5003,$A131,Stripe_Invoices_Upload!$E$4:$E$5003,"*Subscription*",Stripe_Invoices_Upload!$A$4:$A$5003,"&gt;="&amp;DATE(2026,7,1),Stripe_Invoices_Upload!$A$4:$A$5003,"&lt;"&amp;EDATE(DATE(2026,7,1),1)))&gt;0,"✓ Invoiced","⚠ Due"),""),""))</f>
        <v/>
      </c>
      <c r="K131" s="130" t="str">
        <f aca="false">IF($A131="","",IF((DATE(YEAR($E131),MONTH($E131),1)&lt;=DATE(2026,8,1)),IF((MOD(DATEDIF(DATE(YEAR($E131),MONTH($E131),1),DATE(2026,8,1),"m"),IF($D131="Quarterly",3,IF($D131="Annual",12,1)))=0),IF((COUNTIFS(Xero_Raw!$D$4:$D$5003,$A131,Xero_Raw!$G$4:$G$5003,"*Subscription*",Xero_Raw!$A$4:$A$5003,"&gt;="&amp;DATE(2026,8,1),Xero_Raw!$A$4:$A$5003,"&lt;"&amp;EDATE(DATE(2026,8,1),1))+COUNTIFS(Customer_Invoices_Upload!$E$4:$E$5003,$A131,Customer_Invoices_Upload!$G$4:$G$5003,"*Subscription*",Customer_Invoices_Upload!$B$4:$B$5003,"&gt;="&amp;DATE(2026,8,1),Customer_Invoices_Upload!$B$4:$B$5003,"&lt;"&amp;EDATE(DATE(2026,8,1),1))+COUNTIFS(Stripe_Invoices_Upload!$D$4:$D$5003,$A131,Stripe_Invoices_Upload!$E$4:$E$5003,"*Subscription*",Stripe_Invoices_Upload!$A$4:$A$5003,"&gt;="&amp;DATE(2026,8,1),Stripe_Invoices_Upload!$A$4:$A$5003,"&lt;"&amp;EDATE(DATE(2026,8,1),1)))&gt;0,"✓ Invoiced","⚠ Due"),""),""))</f>
        <v/>
      </c>
      <c r="L131" s="130" t="str">
        <f aca="false">IF($A131="","",IF((DATE(YEAR($E131),MONTH($E131),1)&lt;=DATE(2026,9,1)),IF((MOD(DATEDIF(DATE(YEAR($E131),MONTH($E131),1),DATE(2026,9,1),"m"),IF($D131="Quarterly",3,IF($D131="Annual",12,1)))=0),IF((COUNTIFS(Xero_Raw!$D$4:$D$5003,$A131,Xero_Raw!$G$4:$G$5003,"*Subscription*",Xero_Raw!$A$4:$A$5003,"&gt;="&amp;DATE(2026,9,1),Xero_Raw!$A$4:$A$5003,"&lt;"&amp;EDATE(DATE(2026,9,1),1))+COUNTIFS(Customer_Invoices_Upload!$E$4:$E$5003,$A131,Customer_Invoices_Upload!$G$4:$G$5003,"*Subscription*",Customer_Invoices_Upload!$B$4:$B$5003,"&gt;="&amp;DATE(2026,9,1),Customer_Invoices_Upload!$B$4:$B$5003,"&lt;"&amp;EDATE(DATE(2026,9,1),1))+COUNTIFS(Stripe_Invoices_Upload!$D$4:$D$5003,$A131,Stripe_Invoices_Upload!$E$4:$E$5003,"*Subscription*",Stripe_Invoices_Upload!$A$4:$A$5003,"&gt;="&amp;DATE(2026,9,1),Stripe_Invoices_Upload!$A$4:$A$5003,"&lt;"&amp;EDATE(DATE(2026,9,1),1)))&gt;0,"✓ Invoiced","⚠ Due"),""),""))</f>
        <v/>
      </c>
      <c r="M131" s="130" t="str">
        <f aca="false">IF($A131="","",IF((DATE(YEAR($E131),MONTH($E131),1)&lt;=DATE(2026,10,1)),IF((MOD(DATEDIF(DATE(YEAR($E131),MONTH($E131),1),DATE(2026,10,1),"m"),IF($D131="Quarterly",3,IF($D131="Annual",12,1)))=0),IF((COUNTIFS(Xero_Raw!$D$4:$D$5003,$A131,Xero_Raw!$G$4:$G$5003,"*Subscription*",Xero_Raw!$A$4:$A$5003,"&gt;="&amp;DATE(2026,10,1),Xero_Raw!$A$4:$A$5003,"&lt;"&amp;EDATE(DATE(2026,10,1),1))+COUNTIFS(Customer_Invoices_Upload!$E$4:$E$5003,$A131,Customer_Invoices_Upload!$G$4:$G$5003,"*Subscription*",Customer_Invoices_Upload!$B$4:$B$5003,"&gt;="&amp;DATE(2026,10,1),Customer_Invoices_Upload!$B$4:$B$5003,"&lt;"&amp;EDATE(DATE(2026,10,1),1))+COUNTIFS(Stripe_Invoices_Upload!$D$4:$D$5003,$A131,Stripe_Invoices_Upload!$E$4:$E$5003,"*Subscription*",Stripe_Invoices_Upload!$A$4:$A$5003,"&gt;="&amp;DATE(2026,10,1),Stripe_Invoices_Upload!$A$4:$A$5003,"&lt;"&amp;EDATE(DATE(2026,10,1),1)))&gt;0,"✓ Invoiced","⚠ Due"),""),""))</f>
        <v/>
      </c>
      <c r="N131" s="130" t="str">
        <f aca="false">IF($A131="","",IF((DATE(YEAR($E131),MONTH($E131),1)&lt;=DATE(2026,11,1)),IF((MOD(DATEDIF(DATE(YEAR($E131),MONTH($E131),1),DATE(2026,11,1),"m"),IF($D131="Quarterly",3,IF($D131="Annual",12,1)))=0),IF((COUNTIFS(Xero_Raw!$D$4:$D$5003,$A131,Xero_Raw!$G$4:$G$5003,"*Subscription*",Xero_Raw!$A$4:$A$5003,"&gt;="&amp;DATE(2026,11,1),Xero_Raw!$A$4:$A$5003,"&lt;"&amp;EDATE(DATE(2026,11,1),1))+COUNTIFS(Customer_Invoices_Upload!$E$4:$E$5003,$A131,Customer_Invoices_Upload!$G$4:$G$5003,"*Subscription*",Customer_Invoices_Upload!$B$4:$B$5003,"&gt;="&amp;DATE(2026,11,1),Customer_Invoices_Upload!$B$4:$B$5003,"&lt;"&amp;EDATE(DATE(2026,11,1),1))+COUNTIFS(Stripe_Invoices_Upload!$D$4:$D$5003,$A131,Stripe_Invoices_Upload!$E$4:$E$5003,"*Subscription*",Stripe_Invoices_Upload!$A$4:$A$5003,"&gt;="&amp;DATE(2026,11,1),Stripe_Invoices_Upload!$A$4:$A$5003,"&lt;"&amp;EDATE(DATE(2026,11,1),1)))&gt;0,"✓ Invoiced","⚠ Due"),""),""))</f>
        <v/>
      </c>
      <c r="O131" s="130" t="str">
        <f aca="false">IF($A131="","",IF((DATE(YEAR($E131),MONTH($E131),1)&lt;=DATE(2026,12,1)),IF((MOD(DATEDIF(DATE(YEAR($E131),MONTH($E131),1),DATE(2026,12,1),"m"),IF($D131="Quarterly",3,IF($D131="Annual",12,1)))=0),IF((COUNTIFS(Xero_Raw!$D$4:$D$5003,$A131,Xero_Raw!$G$4:$G$5003,"*Subscription*",Xero_Raw!$A$4:$A$5003,"&gt;="&amp;DATE(2026,12,1),Xero_Raw!$A$4:$A$5003,"&lt;"&amp;EDATE(DATE(2026,12,1),1))+COUNTIFS(Customer_Invoices_Upload!$E$4:$E$5003,$A131,Customer_Invoices_Upload!$G$4:$G$5003,"*Subscription*",Customer_Invoices_Upload!$B$4:$B$5003,"&gt;="&amp;DATE(2026,12,1),Customer_Invoices_Upload!$B$4:$B$5003,"&lt;"&amp;EDATE(DATE(2026,12,1),1))+COUNTIFS(Stripe_Invoices_Upload!$D$4:$D$5003,$A131,Stripe_Invoices_Upload!$E$4:$E$5003,"*Subscription*",Stripe_Invoices_Upload!$A$4:$A$5003,"&gt;="&amp;DATE(2026,12,1),Stripe_Invoices_Upload!$A$4:$A$5003,"&lt;"&amp;EDATE(DATE(2026,12,1),1)))&gt;0,"✓ Invoiced","⚠ Due"),""),""))</f>
        <v/>
      </c>
      <c r="P131" s="130" t="str">
        <f aca="false">IF($A131="","",IF((DATE(YEAR($E131),MONTH($E131),1)&lt;=DATE(2027,1,1)),IF((MOD(DATEDIF(DATE(YEAR($E131),MONTH($E131),1),DATE(2027,1,1),"m"),IF($D131="Quarterly",3,IF($D131="Annual",12,1)))=0),IF((COUNTIFS(Xero_Raw!$D$4:$D$5003,$A131,Xero_Raw!$G$4:$G$5003,"*Subscription*",Xero_Raw!$A$4:$A$5003,"&gt;="&amp;DATE(2027,1,1),Xero_Raw!$A$4:$A$5003,"&lt;"&amp;EDATE(DATE(2027,1,1),1))+COUNTIFS(Customer_Invoices_Upload!$E$4:$E$5003,$A131,Customer_Invoices_Upload!$G$4:$G$5003,"*Subscription*",Customer_Invoices_Upload!$B$4:$B$5003,"&gt;="&amp;DATE(2027,1,1),Customer_Invoices_Upload!$B$4:$B$5003,"&lt;"&amp;EDATE(DATE(2027,1,1),1))+COUNTIFS(Stripe_Invoices_Upload!$D$4:$D$5003,$A131,Stripe_Invoices_Upload!$E$4:$E$5003,"*Subscription*",Stripe_Invoices_Upload!$A$4:$A$5003,"&gt;="&amp;DATE(2027,1,1),Stripe_Invoices_Upload!$A$4:$A$5003,"&lt;"&amp;EDATE(DATE(2027,1,1),1)))&gt;0,"✓ Invoiced","⚠ Due"),""),""))</f>
        <v/>
      </c>
      <c r="Q131" s="130" t="str">
        <f aca="false">IF($A131="","",IF((DATE(YEAR($E131),MONTH($E131),1)&lt;=DATE(2027,2,1)),IF((MOD(DATEDIF(DATE(YEAR($E131),MONTH($E131),1),DATE(2027,2,1),"m"),IF($D131="Quarterly",3,IF($D131="Annual",12,1)))=0),IF((COUNTIFS(Xero_Raw!$D$4:$D$5003,$A131,Xero_Raw!$G$4:$G$5003,"*Subscription*",Xero_Raw!$A$4:$A$5003,"&gt;="&amp;DATE(2027,2,1),Xero_Raw!$A$4:$A$5003,"&lt;"&amp;EDATE(DATE(2027,2,1),1))+COUNTIFS(Customer_Invoices_Upload!$E$4:$E$5003,$A131,Customer_Invoices_Upload!$G$4:$G$5003,"*Subscription*",Customer_Invoices_Upload!$B$4:$B$5003,"&gt;="&amp;DATE(2027,2,1),Customer_Invoices_Upload!$B$4:$B$5003,"&lt;"&amp;EDATE(DATE(2027,2,1),1))+COUNTIFS(Stripe_Invoices_Upload!$D$4:$D$5003,$A131,Stripe_Invoices_Upload!$E$4:$E$5003,"*Subscription*",Stripe_Invoices_Upload!$A$4:$A$5003,"&gt;="&amp;DATE(2027,2,1),Stripe_Invoices_Upload!$A$4:$A$5003,"&lt;"&amp;EDATE(DATE(2027,2,1),1)))&gt;0,"✓ Invoiced","⚠ Due"),""),""))</f>
        <v/>
      </c>
      <c r="R131" s="130" t="str">
        <f aca="false">IF($A131="","",IF((DATE(YEAR($E131),MONTH($E131),1)&lt;=DATE(2027,3,1)),IF((MOD(DATEDIF(DATE(YEAR($E131),MONTH($E131),1),DATE(2027,3,1),"m"),IF($D131="Quarterly",3,IF($D131="Annual",12,1)))=0),IF((COUNTIFS(Xero_Raw!$D$4:$D$5003,$A131,Xero_Raw!$G$4:$G$5003,"*Subscription*",Xero_Raw!$A$4:$A$5003,"&gt;="&amp;DATE(2027,3,1),Xero_Raw!$A$4:$A$5003,"&lt;"&amp;EDATE(DATE(2027,3,1),1))+COUNTIFS(Customer_Invoices_Upload!$E$4:$E$5003,$A131,Customer_Invoices_Upload!$G$4:$G$5003,"*Subscription*",Customer_Invoices_Upload!$B$4:$B$5003,"&gt;="&amp;DATE(2027,3,1),Customer_Invoices_Upload!$B$4:$B$5003,"&lt;"&amp;EDATE(DATE(2027,3,1),1))+COUNTIFS(Stripe_Invoices_Upload!$D$4:$D$5003,$A131,Stripe_Invoices_Upload!$E$4:$E$5003,"*Subscription*",Stripe_Invoices_Upload!$A$4:$A$5003,"&gt;="&amp;DATE(2027,3,1),Stripe_Invoices_Upload!$A$4:$A$5003,"&lt;"&amp;EDATE(DATE(2027,3,1),1)))&gt;0,"✓ Invoiced","⚠ Due"),""),""))</f>
        <v/>
      </c>
    </row>
    <row r="132" customFormat="false" ht="15" hidden="false" customHeight="false" outlineLevel="0" collapsed="false">
      <c r="A132" s="39"/>
      <c r="B132" s="39"/>
      <c r="C132" s="40"/>
      <c r="D132" s="39"/>
      <c r="E132" s="38"/>
      <c r="F132" s="129" t="str">
        <f aca="true">IF($A132="","",EDATE($E132,DATEDIF($E132,TODAY(),"m")+1))</f>
        <v/>
      </c>
      <c r="G132" s="130" t="str">
        <f aca="false">IF($A132="","",IF((DATE(YEAR($E132),MONTH($E132),1)&lt;=DATE(2026,4,1)),IF((MOD(DATEDIF(DATE(YEAR($E132),MONTH($E132),1),DATE(2026,4,1),"m"),IF($D132="Quarterly",3,IF($D132="Annual",12,1)))=0),IF((COUNTIFS(Xero_Raw!$D$4:$D$5003,$A132,Xero_Raw!$G$4:$G$5003,"*Subscription*",Xero_Raw!$A$4:$A$5003,"&gt;="&amp;DATE(2026,4,1),Xero_Raw!$A$4:$A$5003,"&lt;"&amp;EDATE(DATE(2026,4,1),1))+COUNTIFS(Customer_Invoices_Upload!$E$4:$E$5003,$A132,Customer_Invoices_Upload!$G$4:$G$5003,"*Subscription*",Customer_Invoices_Upload!$B$4:$B$5003,"&gt;="&amp;DATE(2026,4,1),Customer_Invoices_Upload!$B$4:$B$5003,"&lt;"&amp;EDATE(DATE(2026,4,1),1))+COUNTIFS(Stripe_Invoices_Upload!$D$4:$D$5003,$A132,Stripe_Invoices_Upload!$E$4:$E$5003,"*Subscription*",Stripe_Invoices_Upload!$A$4:$A$5003,"&gt;="&amp;DATE(2026,4,1),Stripe_Invoices_Upload!$A$4:$A$5003,"&lt;"&amp;EDATE(DATE(2026,4,1),1)))&gt;0,"✓ Invoiced","⚠ Due"),""),""))</f>
        <v/>
      </c>
      <c r="H132" s="130" t="str">
        <f aca="false">IF($A132="","",IF((DATE(YEAR($E132),MONTH($E132),1)&lt;=DATE(2026,5,1)),IF((MOD(DATEDIF(DATE(YEAR($E132),MONTH($E132),1),DATE(2026,5,1),"m"),IF($D132="Quarterly",3,IF($D132="Annual",12,1)))=0),IF((COUNTIFS(Xero_Raw!$D$4:$D$5003,$A132,Xero_Raw!$G$4:$G$5003,"*Subscription*",Xero_Raw!$A$4:$A$5003,"&gt;="&amp;DATE(2026,5,1),Xero_Raw!$A$4:$A$5003,"&lt;"&amp;EDATE(DATE(2026,5,1),1))+COUNTIFS(Customer_Invoices_Upload!$E$4:$E$5003,$A132,Customer_Invoices_Upload!$G$4:$G$5003,"*Subscription*",Customer_Invoices_Upload!$B$4:$B$5003,"&gt;="&amp;DATE(2026,5,1),Customer_Invoices_Upload!$B$4:$B$5003,"&lt;"&amp;EDATE(DATE(2026,5,1),1))+COUNTIFS(Stripe_Invoices_Upload!$D$4:$D$5003,$A132,Stripe_Invoices_Upload!$E$4:$E$5003,"*Subscription*",Stripe_Invoices_Upload!$A$4:$A$5003,"&gt;="&amp;DATE(2026,5,1),Stripe_Invoices_Upload!$A$4:$A$5003,"&lt;"&amp;EDATE(DATE(2026,5,1),1)))&gt;0,"✓ Invoiced","⚠ Due"),""),""))</f>
        <v/>
      </c>
      <c r="I132" s="130" t="str">
        <f aca="false">IF($A132="","",IF((DATE(YEAR($E132),MONTH($E132),1)&lt;=DATE(2026,6,1)),IF((MOD(DATEDIF(DATE(YEAR($E132),MONTH($E132),1),DATE(2026,6,1),"m"),IF($D132="Quarterly",3,IF($D132="Annual",12,1)))=0),IF((COUNTIFS(Xero_Raw!$D$4:$D$5003,$A132,Xero_Raw!$G$4:$G$5003,"*Subscription*",Xero_Raw!$A$4:$A$5003,"&gt;="&amp;DATE(2026,6,1),Xero_Raw!$A$4:$A$5003,"&lt;"&amp;EDATE(DATE(2026,6,1),1))+COUNTIFS(Customer_Invoices_Upload!$E$4:$E$5003,$A132,Customer_Invoices_Upload!$G$4:$G$5003,"*Subscription*",Customer_Invoices_Upload!$B$4:$B$5003,"&gt;="&amp;DATE(2026,6,1),Customer_Invoices_Upload!$B$4:$B$5003,"&lt;"&amp;EDATE(DATE(2026,6,1),1))+COUNTIFS(Stripe_Invoices_Upload!$D$4:$D$5003,$A132,Stripe_Invoices_Upload!$E$4:$E$5003,"*Subscription*",Stripe_Invoices_Upload!$A$4:$A$5003,"&gt;="&amp;DATE(2026,6,1),Stripe_Invoices_Upload!$A$4:$A$5003,"&lt;"&amp;EDATE(DATE(2026,6,1),1)))&gt;0,"✓ Invoiced","⚠ Due"),""),""))</f>
        <v/>
      </c>
      <c r="J132" s="130" t="str">
        <f aca="false">IF($A132="","",IF((DATE(YEAR($E132),MONTH($E132),1)&lt;=DATE(2026,7,1)),IF((MOD(DATEDIF(DATE(YEAR($E132),MONTH($E132),1),DATE(2026,7,1),"m"),IF($D132="Quarterly",3,IF($D132="Annual",12,1)))=0),IF((COUNTIFS(Xero_Raw!$D$4:$D$5003,$A132,Xero_Raw!$G$4:$G$5003,"*Subscription*",Xero_Raw!$A$4:$A$5003,"&gt;="&amp;DATE(2026,7,1),Xero_Raw!$A$4:$A$5003,"&lt;"&amp;EDATE(DATE(2026,7,1),1))+COUNTIFS(Customer_Invoices_Upload!$E$4:$E$5003,$A132,Customer_Invoices_Upload!$G$4:$G$5003,"*Subscription*",Customer_Invoices_Upload!$B$4:$B$5003,"&gt;="&amp;DATE(2026,7,1),Customer_Invoices_Upload!$B$4:$B$5003,"&lt;"&amp;EDATE(DATE(2026,7,1),1))+COUNTIFS(Stripe_Invoices_Upload!$D$4:$D$5003,$A132,Stripe_Invoices_Upload!$E$4:$E$5003,"*Subscription*",Stripe_Invoices_Upload!$A$4:$A$5003,"&gt;="&amp;DATE(2026,7,1),Stripe_Invoices_Upload!$A$4:$A$5003,"&lt;"&amp;EDATE(DATE(2026,7,1),1)))&gt;0,"✓ Invoiced","⚠ Due"),""),""))</f>
        <v/>
      </c>
      <c r="K132" s="130" t="str">
        <f aca="false">IF($A132="","",IF((DATE(YEAR($E132),MONTH($E132),1)&lt;=DATE(2026,8,1)),IF((MOD(DATEDIF(DATE(YEAR($E132),MONTH($E132),1),DATE(2026,8,1),"m"),IF($D132="Quarterly",3,IF($D132="Annual",12,1)))=0),IF((COUNTIFS(Xero_Raw!$D$4:$D$5003,$A132,Xero_Raw!$G$4:$G$5003,"*Subscription*",Xero_Raw!$A$4:$A$5003,"&gt;="&amp;DATE(2026,8,1),Xero_Raw!$A$4:$A$5003,"&lt;"&amp;EDATE(DATE(2026,8,1),1))+COUNTIFS(Customer_Invoices_Upload!$E$4:$E$5003,$A132,Customer_Invoices_Upload!$G$4:$G$5003,"*Subscription*",Customer_Invoices_Upload!$B$4:$B$5003,"&gt;="&amp;DATE(2026,8,1),Customer_Invoices_Upload!$B$4:$B$5003,"&lt;"&amp;EDATE(DATE(2026,8,1),1))+COUNTIFS(Stripe_Invoices_Upload!$D$4:$D$5003,$A132,Stripe_Invoices_Upload!$E$4:$E$5003,"*Subscription*",Stripe_Invoices_Upload!$A$4:$A$5003,"&gt;="&amp;DATE(2026,8,1),Stripe_Invoices_Upload!$A$4:$A$5003,"&lt;"&amp;EDATE(DATE(2026,8,1),1)))&gt;0,"✓ Invoiced","⚠ Due"),""),""))</f>
        <v/>
      </c>
      <c r="L132" s="130" t="str">
        <f aca="false">IF($A132="","",IF((DATE(YEAR($E132),MONTH($E132),1)&lt;=DATE(2026,9,1)),IF((MOD(DATEDIF(DATE(YEAR($E132),MONTH($E132),1),DATE(2026,9,1),"m"),IF($D132="Quarterly",3,IF($D132="Annual",12,1)))=0),IF((COUNTIFS(Xero_Raw!$D$4:$D$5003,$A132,Xero_Raw!$G$4:$G$5003,"*Subscription*",Xero_Raw!$A$4:$A$5003,"&gt;="&amp;DATE(2026,9,1),Xero_Raw!$A$4:$A$5003,"&lt;"&amp;EDATE(DATE(2026,9,1),1))+COUNTIFS(Customer_Invoices_Upload!$E$4:$E$5003,$A132,Customer_Invoices_Upload!$G$4:$G$5003,"*Subscription*",Customer_Invoices_Upload!$B$4:$B$5003,"&gt;="&amp;DATE(2026,9,1),Customer_Invoices_Upload!$B$4:$B$5003,"&lt;"&amp;EDATE(DATE(2026,9,1),1))+COUNTIFS(Stripe_Invoices_Upload!$D$4:$D$5003,$A132,Stripe_Invoices_Upload!$E$4:$E$5003,"*Subscription*",Stripe_Invoices_Upload!$A$4:$A$5003,"&gt;="&amp;DATE(2026,9,1),Stripe_Invoices_Upload!$A$4:$A$5003,"&lt;"&amp;EDATE(DATE(2026,9,1),1)))&gt;0,"✓ Invoiced","⚠ Due"),""),""))</f>
        <v/>
      </c>
      <c r="M132" s="130" t="str">
        <f aca="false">IF($A132="","",IF((DATE(YEAR($E132),MONTH($E132),1)&lt;=DATE(2026,10,1)),IF((MOD(DATEDIF(DATE(YEAR($E132),MONTH($E132),1),DATE(2026,10,1),"m"),IF($D132="Quarterly",3,IF($D132="Annual",12,1)))=0),IF((COUNTIFS(Xero_Raw!$D$4:$D$5003,$A132,Xero_Raw!$G$4:$G$5003,"*Subscription*",Xero_Raw!$A$4:$A$5003,"&gt;="&amp;DATE(2026,10,1),Xero_Raw!$A$4:$A$5003,"&lt;"&amp;EDATE(DATE(2026,10,1),1))+COUNTIFS(Customer_Invoices_Upload!$E$4:$E$5003,$A132,Customer_Invoices_Upload!$G$4:$G$5003,"*Subscription*",Customer_Invoices_Upload!$B$4:$B$5003,"&gt;="&amp;DATE(2026,10,1),Customer_Invoices_Upload!$B$4:$B$5003,"&lt;"&amp;EDATE(DATE(2026,10,1),1))+COUNTIFS(Stripe_Invoices_Upload!$D$4:$D$5003,$A132,Stripe_Invoices_Upload!$E$4:$E$5003,"*Subscription*",Stripe_Invoices_Upload!$A$4:$A$5003,"&gt;="&amp;DATE(2026,10,1),Stripe_Invoices_Upload!$A$4:$A$5003,"&lt;"&amp;EDATE(DATE(2026,10,1),1)))&gt;0,"✓ Invoiced","⚠ Due"),""),""))</f>
        <v/>
      </c>
      <c r="N132" s="130" t="str">
        <f aca="false">IF($A132="","",IF((DATE(YEAR($E132),MONTH($E132),1)&lt;=DATE(2026,11,1)),IF((MOD(DATEDIF(DATE(YEAR($E132),MONTH($E132),1),DATE(2026,11,1),"m"),IF($D132="Quarterly",3,IF($D132="Annual",12,1)))=0),IF((COUNTIFS(Xero_Raw!$D$4:$D$5003,$A132,Xero_Raw!$G$4:$G$5003,"*Subscription*",Xero_Raw!$A$4:$A$5003,"&gt;="&amp;DATE(2026,11,1),Xero_Raw!$A$4:$A$5003,"&lt;"&amp;EDATE(DATE(2026,11,1),1))+COUNTIFS(Customer_Invoices_Upload!$E$4:$E$5003,$A132,Customer_Invoices_Upload!$G$4:$G$5003,"*Subscription*",Customer_Invoices_Upload!$B$4:$B$5003,"&gt;="&amp;DATE(2026,11,1),Customer_Invoices_Upload!$B$4:$B$5003,"&lt;"&amp;EDATE(DATE(2026,11,1),1))+COUNTIFS(Stripe_Invoices_Upload!$D$4:$D$5003,$A132,Stripe_Invoices_Upload!$E$4:$E$5003,"*Subscription*",Stripe_Invoices_Upload!$A$4:$A$5003,"&gt;="&amp;DATE(2026,11,1),Stripe_Invoices_Upload!$A$4:$A$5003,"&lt;"&amp;EDATE(DATE(2026,11,1),1)))&gt;0,"✓ Invoiced","⚠ Due"),""),""))</f>
        <v/>
      </c>
      <c r="O132" s="130" t="str">
        <f aca="false">IF($A132="","",IF((DATE(YEAR($E132),MONTH($E132),1)&lt;=DATE(2026,12,1)),IF((MOD(DATEDIF(DATE(YEAR($E132),MONTH($E132),1),DATE(2026,12,1),"m"),IF($D132="Quarterly",3,IF($D132="Annual",12,1)))=0),IF((COUNTIFS(Xero_Raw!$D$4:$D$5003,$A132,Xero_Raw!$G$4:$G$5003,"*Subscription*",Xero_Raw!$A$4:$A$5003,"&gt;="&amp;DATE(2026,12,1),Xero_Raw!$A$4:$A$5003,"&lt;"&amp;EDATE(DATE(2026,12,1),1))+COUNTIFS(Customer_Invoices_Upload!$E$4:$E$5003,$A132,Customer_Invoices_Upload!$G$4:$G$5003,"*Subscription*",Customer_Invoices_Upload!$B$4:$B$5003,"&gt;="&amp;DATE(2026,12,1),Customer_Invoices_Upload!$B$4:$B$5003,"&lt;"&amp;EDATE(DATE(2026,12,1),1))+COUNTIFS(Stripe_Invoices_Upload!$D$4:$D$5003,$A132,Stripe_Invoices_Upload!$E$4:$E$5003,"*Subscription*",Stripe_Invoices_Upload!$A$4:$A$5003,"&gt;="&amp;DATE(2026,12,1),Stripe_Invoices_Upload!$A$4:$A$5003,"&lt;"&amp;EDATE(DATE(2026,12,1),1)))&gt;0,"✓ Invoiced","⚠ Due"),""),""))</f>
        <v/>
      </c>
      <c r="P132" s="130" t="str">
        <f aca="false">IF($A132="","",IF((DATE(YEAR($E132),MONTH($E132),1)&lt;=DATE(2027,1,1)),IF((MOD(DATEDIF(DATE(YEAR($E132),MONTH($E132),1),DATE(2027,1,1),"m"),IF($D132="Quarterly",3,IF($D132="Annual",12,1)))=0),IF((COUNTIFS(Xero_Raw!$D$4:$D$5003,$A132,Xero_Raw!$G$4:$G$5003,"*Subscription*",Xero_Raw!$A$4:$A$5003,"&gt;="&amp;DATE(2027,1,1),Xero_Raw!$A$4:$A$5003,"&lt;"&amp;EDATE(DATE(2027,1,1),1))+COUNTIFS(Customer_Invoices_Upload!$E$4:$E$5003,$A132,Customer_Invoices_Upload!$G$4:$G$5003,"*Subscription*",Customer_Invoices_Upload!$B$4:$B$5003,"&gt;="&amp;DATE(2027,1,1),Customer_Invoices_Upload!$B$4:$B$5003,"&lt;"&amp;EDATE(DATE(2027,1,1),1))+COUNTIFS(Stripe_Invoices_Upload!$D$4:$D$5003,$A132,Stripe_Invoices_Upload!$E$4:$E$5003,"*Subscription*",Stripe_Invoices_Upload!$A$4:$A$5003,"&gt;="&amp;DATE(2027,1,1),Stripe_Invoices_Upload!$A$4:$A$5003,"&lt;"&amp;EDATE(DATE(2027,1,1),1)))&gt;0,"✓ Invoiced","⚠ Due"),""),""))</f>
        <v/>
      </c>
      <c r="Q132" s="130" t="str">
        <f aca="false">IF($A132="","",IF((DATE(YEAR($E132),MONTH($E132),1)&lt;=DATE(2027,2,1)),IF((MOD(DATEDIF(DATE(YEAR($E132),MONTH($E132),1),DATE(2027,2,1),"m"),IF($D132="Quarterly",3,IF($D132="Annual",12,1)))=0),IF((COUNTIFS(Xero_Raw!$D$4:$D$5003,$A132,Xero_Raw!$G$4:$G$5003,"*Subscription*",Xero_Raw!$A$4:$A$5003,"&gt;="&amp;DATE(2027,2,1),Xero_Raw!$A$4:$A$5003,"&lt;"&amp;EDATE(DATE(2027,2,1),1))+COUNTIFS(Customer_Invoices_Upload!$E$4:$E$5003,$A132,Customer_Invoices_Upload!$G$4:$G$5003,"*Subscription*",Customer_Invoices_Upload!$B$4:$B$5003,"&gt;="&amp;DATE(2027,2,1),Customer_Invoices_Upload!$B$4:$B$5003,"&lt;"&amp;EDATE(DATE(2027,2,1),1))+COUNTIFS(Stripe_Invoices_Upload!$D$4:$D$5003,$A132,Stripe_Invoices_Upload!$E$4:$E$5003,"*Subscription*",Stripe_Invoices_Upload!$A$4:$A$5003,"&gt;="&amp;DATE(2027,2,1),Stripe_Invoices_Upload!$A$4:$A$5003,"&lt;"&amp;EDATE(DATE(2027,2,1),1)))&gt;0,"✓ Invoiced","⚠ Due"),""),""))</f>
        <v/>
      </c>
      <c r="R132" s="130" t="str">
        <f aca="false">IF($A132="","",IF((DATE(YEAR($E132),MONTH($E132),1)&lt;=DATE(2027,3,1)),IF((MOD(DATEDIF(DATE(YEAR($E132),MONTH($E132),1),DATE(2027,3,1),"m"),IF($D132="Quarterly",3,IF($D132="Annual",12,1)))=0),IF((COUNTIFS(Xero_Raw!$D$4:$D$5003,$A132,Xero_Raw!$G$4:$G$5003,"*Subscription*",Xero_Raw!$A$4:$A$5003,"&gt;="&amp;DATE(2027,3,1),Xero_Raw!$A$4:$A$5003,"&lt;"&amp;EDATE(DATE(2027,3,1),1))+COUNTIFS(Customer_Invoices_Upload!$E$4:$E$5003,$A132,Customer_Invoices_Upload!$G$4:$G$5003,"*Subscription*",Customer_Invoices_Upload!$B$4:$B$5003,"&gt;="&amp;DATE(2027,3,1),Customer_Invoices_Upload!$B$4:$B$5003,"&lt;"&amp;EDATE(DATE(2027,3,1),1))+COUNTIFS(Stripe_Invoices_Upload!$D$4:$D$5003,$A132,Stripe_Invoices_Upload!$E$4:$E$5003,"*Subscription*",Stripe_Invoices_Upload!$A$4:$A$5003,"&gt;="&amp;DATE(2027,3,1),Stripe_Invoices_Upload!$A$4:$A$5003,"&lt;"&amp;EDATE(DATE(2027,3,1),1)))&gt;0,"✓ Invoiced","⚠ Due"),""),""))</f>
        <v/>
      </c>
    </row>
    <row r="133" customFormat="false" ht="15" hidden="false" customHeight="false" outlineLevel="0" collapsed="false">
      <c r="A133" s="39"/>
      <c r="B133" s="39"/>
      <c r="C133" s="40"/>
      <c r="D133" s="39"/>
      <c r="E133" s="38"/>
      <c r="F133" s="129" t="str">
        <f aca="true">IF($A133="","",EDATE($E133,DATEDIF($E133,TODAY(),"m")+1))</f>
        <v/>
      </c>
      <c r="G133" s="130" t="str">
        <f aca="false">IF($A133="","",IF((DATE(YEAR($E133),MONTH($E133),1)&lt;=DATE(2026,4,1)),IF((MOD(DATEDIF(DATE(YEAR($E133),MONTH($E133),1),DATE(2026,4,1),"m"),IF($D133="Quarterly",3,IF($D133="Annual",12,1)))=0),IF((COUNTIFS(Xero_Raw!$D$4:$D$5003,$A133,Xero_Raw!$G$4:$G$5003,"*Subscription*",Xero_Raw!$A$4:$A$5003,"&gt;="&amp;DATE(2026,4,1),Xero_Raw!$A$4:$A$5003,"&lt;"&amp;EDATE(DATE(2026,4,1),1))+COUNTIFS(Customer_Invoices_Upload!$E$4:$E$5003,$A133,Customer_Invoices_Upload!$G$4:$G$5003,"*Subscription*",Customer_Invoices_Upload!$B$4:$B$5003,"&gt;="&amp;DATE(2026,4,1),Customer_Invoices_Upload!$B$4:$B$5003,"&lt;"&amp;EDATE(DATE(2026,4,1),1))+COUNTIFS(Stripe_Invoices_Upload!$D$4:$D$5003,$A133,Stripe_Invoices_Upload!$E$4:$E$5003,"*Subscription*",Stripe_Invoices_Upload!$A$4:$A$5003,"&gt;="&amp;DATE(2026,4,1),Stripe_Invoices_Upload!$A$4:$A$5003,"&lt;"&amp;EDATE(DATE(2026,4,1),1)))&gt;0,"✓ Invoiced","⚠ Due"),""),""))</f>
        <v/>
      </c>
      <c r="H133" s="130" t="str">
        <f aca="false">IF($A133="","",IF((DATE(YEAR($E133),MONTH($E133),1)&lt;=DATE(2026,5,1)),IF((MOD(DATEDIF(DATE(YEAR($E133),MONTH($E133),1),DATE(2026,5,1),"m"),IF($D133="Quarterly",3,IF($D133="Annual",12,1)))=0),IF((COUNTIFS(Xero_Raw!$D$4:$D$5003,$A133,Xero_Raw!$G$4:$G$5003,"*Subscription*",Xero_Raw!$A$4:$A$5003,"&gt;="&amp;DATE(2026,5,1),Xero_Raw!$A$4:$A$5003,"&lt;"&amp;EDATE(DATE(2026,5,1),1))+COUNTIFS(Customer_Invoices_Upload!$E$4:$E$5003,$A133,Customer_Invoices_Upload!$G$4:$G$5003,"*Subscription*",Customer_Invoices_Upload!$B$4:$B$5003,"&gt;="&amp;DATE(2026,5,1),Customer_Invoices_Upload!$B$4:$B$5003,"&lt;"&amp;EDATE(DATE(2026,5,1),1))+COUNTIFS(Stripe_Invoices_Upload!$D$4:$D$5003,$A133,Stripe_Invoices_Upload!$E$4:$E$5003,"*Subscription*",Stripe_Invoices_Upload!$A$4:$A$5003,"&gt;="&amp;DATE(2026,5,1),Stripe_Invoices_Upload!$A$4:$A$5003,"&lt;"&amp;EDATE(DATE(2026,5,1),1)))&gt;0,"✓ Invoiced","⚠ Due"),""),""))</f>
        <v/>
      </c>
      <c r="I133" s="130" t="str">
        <f aca="false">IF($A133="","",IF((DATE(YEAR($E133),MONTH($E133),1)&lt;=DATE(2026,6,1)),IF((MOD(DATEDIF(DATE(YEAR($E133),MONTH($E133),1),DATE(2026,6,1),"m"),IF($D133="Quarterly",3,IF($D133="Annual",12,1)))=0),IF((COUNTIFS(Xero_Raw!$D$4:$D$5003,$A133,Xero_Raw!$G$4:$G$5003,"*Subscription*",Xero_Raw!$A$4:$A$5003,"&gt;="&amp;DATE(2026,6,1),Xero_Raw!$A$4:$A$5003,"&lt;"&amp;EDATE(DATE(2026,6,1),1))+COUNTIFS(Customer_Invoices_Upload!$E$4:$E$5003,$A133,Customer_Invoices_Upload!$G$4:$G$5003,"*Subscription*",Customer_Invoices_Upload!$B$4:$B$5003,"&gt;="&amp;DATE(2026,6,1),Customer_Invoices_Upload!$B$4:$B$5003,"&lt;"&amp;EDATE(DATE(2026,6,1),1))+COUNTIFS(Stripe_Invoices_Upload!$D$4:$D$5003,$A133,Stripe_Invoices_Upload!$E$4:$E$5003,"*Subscription*",Stripe_Invoices_Upload!$A$4:$A$5003,"&gt;="&amp;DATE(2026,6,1),Stripe_Invoices_Upload!$A$4:$A$5003,"&lt;"&amp;EDATE(DATE(2026,6,1),1)))&gt;0,"✓ Invoiced","⚠ Due"),""),""))</f>
        <v/>
      </c>
      <c r="J133" s="130" t="str">
        <f aca="false">IF($A133="","",IF((DATE(YEAR($E133),MONTH($E133),1)&lt;=DATE(2026,7,1)),IF((MOD(DATEDIF(DATE(YEAR($E133),MONTH($E133),1),DATE(2026,7,1),"m"),IF($D133="Quarterly",3,IF($D133="Annual",12,1)))=0),IF((COUNTIFS(Xero_Raw!$D$4:$D$5003,$A133,Xero_Raw!$G$4:$G$5003,"*Subscription*",Xero_Raw!$A$4:$A$5003,"&gt;="&amp;DATE(2026,7,1),Xero_Raw!$A$4:$A$5003,"&lt;"&amp;EDATE(DATE(2026,7,1),1))+COUNTIFS(Customer_Invoices_Upload!$E$4:$E$5003,$A133,Customer_Invoices_Upload!$G$4:$G$5003,"*Subscription*",Customer_Invoices_Upload!$B$4:$B$5003,"&gt;="&amp;DATE(2026,7,1),Customer_Invoices_Upload!$B$4:$B$5003,"&lt;"&amp;EDATE(DATE(2026,7,1),1))+COUNTIFS(Stripe_Invoices_Upload!$D$4:$D$5003,$A133,Stripe_Invoices_Upload!$E$4:$E$5003,"*Subscription*",Stripe_Invoices_Upload!$A$4:$A$5003,"&gt;="&amp;DATE(2026,7,1),Stripe_Invoices_Upload!$A$4:$A$5003,"&lt;"&amp;EDATE(DATE(2026,7,1),1)))&gt;0,"✓ Invoiced","⚠ Due"),""),""))</f>
        <v/>
      </c>
      <c r="K133" s="130" t="str">
        <f aca="false">IF($A133="","",IF((DATE(YEAR($E133),MONTH($E133),1)&lt;=DATE(2026,8,1)),IF((MOD(DATEDIF(DATE(YEAR($E133),MONTH($E133),1),DATE(2026,8,1),"m"),IF($D133="Quarterly",3,IF($D133="Annual",12,1)))=0),IF((COUNTIFS(Xero_Raw!$D$4:$D$5003,$A133,Xero_Raw!$G$4:$G$5003,"*Subscription*",Xero_Raw!$A$4:$A$5003,"&gt;="&amp;DATE(2026,8,1),Xero_Raw!$A$4:$A$5003,"&lt;"&amp;EDATE(DATE(2026,8,1),1))+COUNTIFS(Customer_Invoices_Upload!$E$4:$E$5003,$A133,Customer_Invoices_Upload!$G$4:$G$5003,"*Subscription*",Customer_Invoices_Upload!$B$4:$B$5003,"&gt;="&amp;DATE(2026,8,1),Customer_Invoices_Upload!$B$4:$B$5003,"&lt;"&amp;EDATE(DATE(2026,8,1),1))+COUNTIFS(Stripe_Invoices_Upload!$D$4:$D$5003,$A133,Stripe_Invoices_Upload!$E$4:$E$5003,"*Subscription*",Stripe_Invoices_Upload!$A$4:$A$5003,"&gt;="&amp;DATE(2026,8,1),Stripe_Invoices_Upload!$A$4:$A$5003,"&lt;"&amp;EDATE(DATE(2026,8,1),1)))&gt;0,"✓ Invoiced","⚠ Due"),""),""))</f>
        <v/>
      </c>
      <c r="L133" s="130" t="str">
        <f aca="false">IF($A133="","",IF((DATE(YEAR($E133),MONTH($E133),1)&lt;=DATE(2026,9,1)),IF((MOD(DATEDIF(DATE(YEAR($E133),MONTH($E133),1),DATE(2026,9,1),"m"),IF($D133="Quarterly",3,IF($D133="Annual",12,1)))=0),IF((COUNTIFS(Xero_Raw!$D$4:$D$5003,$A133,Xero_Raw!$G$4:$G$5003,"*Subscription*",Xero_Raw!$A$4:$A$5003,"&gt;="&amp;DATE(2026,9,1),Xero_Raw!$A$4:$A$5003,"&lt;"&amp;EDATE(DATE(2026,9,1),1))+COUNTIFS(Customer_Invoices_Upload!$E$4:$E$5003,$A133,Customer_Invoices_Upload!$G$4:$G$5003,"*Subscription*",Customer_Invoices_Upload!$B$4:$B$5003,"&gt;="&amp;DATE(2026,9,1),Customer_Invoices_Upload!$B$4:$B$5003,"&lt;"&amp;EDATE(DATE(2026,9,1),1))+COUNTIFS(Stripe_Invoices_Upload!$D$4:$D$5003,$A133,Stripe_Invoices_Upload!$E$4:$E$5003,"*Subscription*",Stripe_Invoices_Upload!$A$4:$A$5003,"&gt;="&amp;DATE(2026,9,1),Stripe_Invoices_Upload!$A$4:$A$5003,"&lt;"&amp;EDATE(DATE(2026,9,1),1)))&gt;0,"✓ Invoiced","⚠ Due"),""),""))</f>
        <v/>
      </c>
      <c r="M133" s="130" t="str">
        <f aca="false">IF($A133="","",IF((DATE(YEAR($E133),MONTH($E133),1)&lt;=DATE(2026,10,1)),IF((MOD(DATEDIF(DATE(YEAR($E133),MONTH($E133),1),DATE(2026,10,1),"m"),IF($D133="Quarterly",3,IF($D133="Annual",12,1)))=0),IF((COUNTIFS(Xero_Raw!$D$4:$D$5003,$A133,Xero_Raw!$G$4:$G$5003,"*Subscription*",Xero_Raw!$A$4:$A$5003,"&gt;="&amp;DATE(2026,10,1),Xero_Raw!$A$4:$A$5003,"&lt;"&amp;EDATE(DATE(2026,10,1),1))+COUNTIFS(Customer_Invoices_Upload!$E$4:$E$5003,$A133,Customer_Invoices_Upload!$G$4:$G$5003,"*Subscription*",Customer_Invoices_Upload!$B$4:$B$5003,"&gt;="&amp;DATE(2026,10,1),Customer_Invoices_Upload!$B$4:$B$5003,"&lt;"&amp;EDATE(DATE(2026,10,1),1))+COUNTIFS(Stripe_Invoices_Upload!$D$4:$D$5003,$A133,Stripe_Invoices_Upload!$E$4:$E$5003,"*Subscription*",Stripe_Invoices_Upload!$A$4:$A$5003,"&gt;="&amp;DATE(2026,10,1),Stripe_Invoices_Upload!$A$4:$A$5003,"&lt;"&amp;EDATE(DATE(2026,10,1),1)))&gt;0,"✓ Invoiced","⚠ Due"),""),""))</f>
        <v/>
      </c>
      <c r="N133" s="130" t="str">
        <f aca="false">IF($A133="","",IF((DATE(YEAR($E133),MONTH($E133),1)&lt;=DATE(2026,11,1)),IF((MOD(DATEDIF(DATE(YEAR($E133),MONTH($E133),1),DATE(2026,11,1),"m"),IF($D133="Quarterly",3,IF($D133="Annual",12,1)))=0),IF((COUNTIFS(Xero_Raw!$D$4:$D$5003,$A133,Xero_Raw!$G$4:$G$5003,"*Subscription*",Xero_Raw!$A$4:$A$5003,"&gt;="&amp;DATE(2026,11,1),Xero_Raw!$A$4:$A$5003,"&lt;"&amp;EDATE(DATE(2026,11,1),1))+COUNTIFS(Customer_Invoices_Upload!$E$4:$E$5003,$A133,Customer_Invoices_Upload!$G$4:$G$5003,"*Subscription*",Customer_Invoices_Upload!$B$4:$B$5003,"&gt;="&amp;DATE(2026,11,1),Customer_Invoices_Upload!$B$4:$B$5003,"&lt;"&amp;EDATE(DATE(2026,11,1),1))+COUNTIFS(Stripe_Invoices_Upload!$D$4:$D$5003,$A133,Stripe_Invoices_Upload!$E$4:$E$5003,"*Subscription*",Stripe_Invoices_Upload!$A$4:$A$5003,"&gt;="&amp;DATE(2026,11,1),Stripe_Invoices_Upload!$A$4:$A$5003,"&lt;"&amp;EDATE(DATE(2026,11,1),1)))&gt;0,"✓ Invoiced","⚠ Due"),""),""))</f>
        <v/>
      </c>
      <c r="O133" s="130" t="str">
        <f aca="false">IF($A133="","",IF((DATE(YEAR($E133),MONTH($E133),1)&lt;=DATE(2026,12,1)),IF((MOD(DATEDIF(DATE(YEAR($E133),MONTH($E133),1),DATE(2026,12,1),"m"),IF($D133="Quarterly",3,IF($D133="Annual",12,1)))=0),IF((COUNTIFS(Xero_Raw!$D$4:$D$5003,$A133,Xero_Raw!$G$4:$G$5003,"*Subscription*",Xero_Raw!$A$4:$A$5003,"&gt;="&amp;DATE(2026,12,1),Xero_Raw!$A$4:$A$5003,"&lt;"&amp;EDATE(DATE(2026,12,1),1))+COUNTIFS(Customer_Invoices_Upload!$E$4:$E$5003,$A133,Customer_Invoices_Upload!$G$4:$G$5003,"*Subscription*",Customer_Invoices_Upload!$B$4:$B$5003,"&gt;="&amp;DATE(2026,12,1),Customer_Invoices_Upload!$B$4:$B$5003,"&lt;"&amp;EDATE(DATE(2026,12,1),1))+COUNTIFS(Stripe_Invoices_Upload!$D$4:$D$5003,$A133,Stripe_Invoices_Upload!$E$4:$E$5003,"*Subscription*",Stripe_Invoices_Upload!$A$4:$A$5003,"&gt;="&amp;DATE(2026,12,1),Stripe_Invoices_Upload!$A$4:$A$5003,"&lt;"&amp;EDATE(DATE(2026,12,1),1)))&gt;0,"✓ Invoiced","⚠ Due"),""),""))</f>
        <v/>
      </c>
      <c r="P133" s="130" t="str">
        <f aca="false">IF($A133="","",IF((DATE(YEAR($E133),MONTH($E133),1)&lt;=DATE(2027,1,1)),IF((MOD(DATEDIF(DATE(YEAR($E133),MONTH($E133),1),DATE(2027,1,1),"m"),IF($D133="Quarterly",3,IF($D133="Annual",12,1)))=0),IF((COUNTIFS(Xero_Raw!$D$4:$D$5003,$A133,Xero_Raw!$G$4:$G$5003,"*Subscription*",Xero_Raw!$A$4:$A$5003,"&gt;="&amp;DATE(2027,1,1),Xero_Raw!$A$4:$A$5003,"&lt;"&amp;EDATE(DATE(2027,1,1),1))+COUNTIFS(Customer_Invoices_Upload!$E$4:$E$5003,$A133,Customer_Invoices_Upload!$G$4:$G$5003,"*Subscription*",Customer_Invoices_Upload!$B$4:$B$5003,"&gt;="&amp;DATE(2027,1,1),Customer_Invoices_Upload!$B$4:$B$5003,"&lt;"&amp;EDATE(DATE(2027,1,1),1))+COUNTIFS(Stripe_Invoices_Upload!$D$4:$D$5003,$A133,Stripe_Invoices_Upload!$E$4:$E$5003,"*Subscription*",Stripe_Invoices_Upload!$A$4:$A$5003,"&gt;="&amp;DATE(2027,1,1),Stripe_Invoices_Upload!$A$4:$A$5003,"&lt;"&amp;EDATE(DATE(2027,1,1),1)))&gt;0,"✓ Invoiced","⚠ Due"),""),""))</f>
        <v/>
      </c>
      <c r="Q133" s="130" t="str">
        <f aca="false">IF($A133="","",IF((DATE(YEAR($E133),MONTH($E133),1)&lt;=DATE(2027,2,1)),IF((MOD(DATEDIF(DATE(YEAR($E133),MONTH($E133),1),DATE(2027,2,1),"m"),IF($D133="Quarterly",3,IF($D133="Annual",12,1)))=0),IF((COUNTIFS(Xero_Raw!$D$4:$D$5003,$A133,Xero_Raw!$G$4:$G$5003,"*Subscription*",Xero_Raw!$A$4:$A$5003,"&gt;="&amp;DATE(2027,2,1),Xero_Raw!$A$4:$A$5003,"&lt;"&amp;EDATE(DATE(2027,2,1),1))+COUNTIFS(Customer_Invoices_Upload!$E$4:$E$5003,$A133,Customer_Invoices_Upload!$G$4:$G$5003,"*Subscription*",Customer_Invoices_Upload!$B$4:$B$5003,"&gt;="&amp;DATE(2027,2,1),Customer_Invoices_Upload!$B$4:$B$5003,"&lt;"&amp;EDATE(DATE(2027,2,1),1))+COUNTIFS(Stripe_Invoices_Upload!$D$4:$D$5003,$A133,Stripe_Invoices_Upload!$E$4:$E$5003,"*Subscription*",Stripe_Invoices_Upload!$A$4:$A$5003,"&gt;="&amp;DATE(2027,2,1),Stripe_Invoices_Upload!$A$4:$A$5003,"&lt;"&amp;EDATE(DATE(2027,2,1),1)))&gt;0,"✓ Invoiced","⚠ Due"),""),""))</f>
        <v/>
      </c>
      <c r="R133" s="130" t="str">
        <f aca="false">IF($A133="","",IF((DATE(YEAR($E133),MONTH($E133),1)&lt;=DATE(2027,3,1)),IF((MOD(DATEDIF(DATE(YEAR($E133),MONTH($E133),1),DATE(2027,3,1),"m"),IF($D133="Quarterly",3,IF($D133="Annual",12,1)))=0),IF((COUNTIFS(Xero_Raw!$D$4:$D$5003,$A133,Xero_Raw!$G$4:$G$5003,"*Subscription*",Xero_Raw!$A$4:$A$5003,"&gt;="&amp;DATE(2027,3,1),Xero_Raw!$A$4:$A$5003,"&lt;"&amp;EDATE(DATE(2027,3,1),1))+COUNTIFS(Customer_Invoices_Upload!$E$4:$E$5003,$A133,Customer_Invoices_Upload!$G$4:$G$5003,"*Subscription*",Customer_Invoices_Upload!$B$4:$B$5003,"&gt;="&amp;DATE(2027,3,1),Customer_Invoices_Upload!$B$4:$B$5003,"&lt;"&amp;EDATE(DATE(2027,3,1),1))+COUNTIFS(Stripe_Invoices_Upload!$D$4:$D$5003,$A133,Stripe_Invoices_Upload!$E$4:$E$5003,"*Subscription*",Stripe_Invoices_Upload!$A$4:$A$5003,"&gt;="&amp;DATE(2027,3,1),Stripe_Invoices_Upload!$A$4:$A$5003,"&lt;"&amp;EDATE(DATE(2027,3,1),1)))&gt;0,"✓ Invoiced","⚠ Due"),""),""))</f>
        <v/>
      </c>
    </row>
    <row r="134" customFormat="false" ht="15" hidden="false" customHeight="false" outlineLevel="0" collapsed="false">
      <c r="A134" s="39"/>
      <c r="B134" s="39"/>
      <c r="C134" s="40"/>
      <c r="D134" s="39"/>
      <c r="E134" s="38"/>
      <c r="F134" s="129" t="str">
        <f aca="true">IF($A134="","",EDATE($E134,DATEDIF($E134,TODAY(),"m")+1))</f>
        <v/>
      </c>
      <c r="G134" s="130" t="str">
        <f aca="false">IF($A134="","",IF((DATE(YEAR($E134),MONTH($E134),1)&lt;=DATE(2026,4,1)),IF((MOD(DATEDIF(DATE(YEAR($E134),MONTH($E134),1),DATE(2026,4,1),"m"),IF($D134="Quarterly",3,IF($D134="Annual",12,1)))=0),IF((COUNTIFS(Xero_Raw!$D$4:$D$5003,$A134,Xero_Raw!$G$4:$G$5003,"*Subscription*",Xero_Raw!$A$4:$A$5003,"&gt;="&amp;DATE(2026,4,1),Xero_Raw!$A$4:$A$5003,"&lt;"&amp;EDATE(DATE(2026,4,1),1))+COUNTIFS(Customer_Invoices_Upload!$E$4:$E$5003,$A134,Customer_Invoices_Upload!$G$4:$G$5003,"*Subscription*",Customer_Invoices_Upload!$B$4:$B$5003,"&gt;="&amp;DATE(2026,4,1),Customer_Invoices_Upload!$B$4:$B$5003,"&lt;"&amp;EDATE(DATE(2026,4,1),1))+COUNTIFS(Stripe_Invoices_Upload!$D$4:$D$5003,$A134,Stripe_Invoices_Upload!$E$4:$E$5003,"*Subscription*",Stripe_Invoices_Upload!$A$4:$A$5003,"&gt;="&amp;DATE(2026,4,1),Stripe_Invoices_Upload!$A$4:$A$5003,"&lt;"&amp;EDATE(DATE(2026,4,1),1)))&gt;0,"✓ Invoiced","⚠ Due"),""),""))</f>
        <v/>
      </c>
      <c r="H134" s="130" t="str">
        <f aca="false">IF($A134="","",IF((DATE(YEAR($E134),MONTH($E134),1)&lt;=DATE(2026,5,1)),IF((MOD(DATEDIF(DATE(YEAR($E134),MONTH($E134),1),DATE(2026,5,1),"m"),IF($D134="Quarterly",3,IF($D134="Annual",12,1)))=0),IF((COUNTIFS(Xero_Raw!$D$4:$D$5003,$A134,Xero_Raw!$G$4:$G$5003,"*Subscription*",Xero_Raw!$A$4:$A$5003,"&gt;="&amp;DATE(2026,5,1),Xero_Raw!$A$4:$A$5003,"&lt;"&amp;EDATE(DATE(2026,5,1),1))+COUNTIFS(Customer_Invoices_Upload!$E$4:$E$5003,$A134,Customer_Invoices_Upload!$G$4:$G$5003,"*Subscription*",Customer_Invoices_Upload!$B$4:$B$5003,"&gt;="&amp;DATE(2026,5,1),Customer_Invoices_Upload!$B$4:$B$5003,"&lt;"&amp;EDATE(DATE(2026,5,1),1))+COUNTIFS(Stripe_Invoices_Upload!$D$4:$D$5003,$A134,Stripe_Invoices_Upload!$E$4:$E$5003,"*Subscription*",Stripe_Invoices_Upload!$A$4:$A$5003,"&gt;="&amp;DATE(2026,5,1),Stripe_Invoices_Upload!$A$4:$A$5003,"&lt;"&amp;EDATE(DATE(2026,5,1),1)))&gt;0,"✓ Invoiced","⚠ Due"),""),""))</f>
        <v/>
      </c>
      <c r="I134" s="130" t="str">
        <f aca="false">IF($A134="","",IF((DATE(YEAR($E134),MONTH($E134),1)&lt;=DATE(2026,6,1)),IF((MOD(DATEDIF(DATE(YEAR($E134),MONTH($E134),1),DATE(2026,6,1),"m"),IF($D134="Quarterly",3,IF($D134="Annual",12,1)))=0),IF((COUNTIFS(Xero_Raw!$D$4:$D$5003,$A134,Xero_Raw!$G$4:$G$5003,"*Subscription*",Xero_Raw!$A$4:$A$5003,"&gt;="&amp;DATE(2026,6,1),Xero_Raw!$A$4:$A$5003,"&lt;"&amp;EDATE(DATE(2026,6,1),1))+COUNTIFS(Customer_Invoices_Upload!$E$4:$E$5003,$A134,Customer_Invoices_Upload!$G$4:$G$5003,"*Subscription*",Customer_Invoices_Upload!$B$4:$B$5003,"&gt;="&amp;DATE(2026,6,1),Customer_Invoices_Upload!$B$4:$B$5003,"&lt;"&amp;EDATE(DATE(2026,6,1),1))+COUNTIFS(Stripe_Invoices_Upload!$D$4:$D$5003,$A134,Stripe_Invoices_Upload!$E$4:$E$5003,"*Subscription*",Stripe_Invoices_Upload!$A$4:$A$5003,"&gt;="&amp;DATE(2026,6,1),Stripe_Invoices_Upload!$A$4:$A$5003,"&lt;"&amp;EDATE(DATE(2026,6,1),1)))&gt;0,"✓ Invoiced","⚠ Due"),""),""))</f>
        <v/>
      </c>
      <c r="J134" s="130" t="str">
        <f aca="false">IF($A134="","",IF((DATE(YEAR($E134),MONTH($E134),1)&lt;=DATE(2026,7,1)),IF((MOD(DATEDIF(DATE(YEAR($E134),MONTH($E134),1),DATE(2026,7,1),"m"),IF($D134="Quarterly",3,IF($D134="Annual",12,1)))=0),IF((COUNTIFS(Xero_Raw!$D$4:$D$5003,$A134,Xero_Raw!$G$4:$G$5003,"*Subscription*",Xero_Raw!$A$4:$A$5003,"&gt;="&amp;DATE(2026,7,1),Xero_Raw!$A$4:$A$5003,"&lt;"&amp;EDATE(DATE(2026,7,1),1))+COUNTIFS(Customer_Invoices_Upload!$E$4:$E$5003,$A134,Customer_Invoices_Upload!$G$4:$G$5003,"*Subscription*",Customer_Invoices_Upload!$B$4:$B$5003,"&gt;="&amp;DATE(2026,7,1),Customer_Invoices_Upload!$B$4:$B$5003,"&lt;"&amp;EDATE(DATE(2026,7,1),1))+COUNTIFS(Stripe_Invoices_Upload!$D$4:$D$5003,$A134,Stripe_Invoices_Upload!$E$4:$E$5003,"*Subscription*",Stripe_Invoices_Upload!$A$4:$A$5003,"&gt;="&amp;DATE(2026,7,1),Stripe_Invoices_Upload!$A$4:$A$5003,"&lt;"&amp;EDATE(DATE(2026,7,1),1)))&gt;0,"✓ Invoiced","⚠ Due"),""),""))</f>
        <v/>
      </c>
      <c r="K134" s="130" t="str">
        <f aca="false">IF($A134="","",IF((DATE(YEAR($E134),MONTH($E134),1)&lt;=DATE(2026,8,1)),IF((MOD(DATEDIF(DATE(YEAR($E134),MONTH($E134),1),DATE(2026,8,1),"m"),IF($D134="Quarterly",3,IF($D134="Annual",12,1)))=0),IF((COUNTIFS(Xero_Raw!$D$4:$D$5003,$A134,Xero_Raw!$G$4:$G$5003,"*Subscription*",Xero_Raw!$A$4:$A$5003,"&gt;="&amp;DATE(2026,8,1),Xero_Raw!$A$4:$A$5003,"&lt;"&amp;EDATE(DATE(2026,8,1),1))+COUNTIFS(Customer_Invoices_Upload!$E$4:$E$5003,$A134,Customer_Invoices_Upload!$G$4:$G$5003,"*Subscription*",Customer_Invoices_Upload!$B$4:$B$5003,"&gt;="&amp;DATE(2026,8,1),Customer_Invoices_Upload!$B$4:$B$5003,"&lt;"&amp;EDATE(DATE(2026,8,1),1))+COUNTIFS(Stripe_Invoices_Upload!$D$4:$D$5003,$A134,Stripe_Invoices_Upload!$E$4:$E$5003,"*Subscription*",Stripe_Invoices_Upload!$A$4:$A$5003,"&gt;="&amp;DATE(2026,8,1),Stripe_Invoices_Upload!$A$4:$A$5003,"&lt;"&amp;EDATE(DATE(2026,8,1),1)))&gt;0,"✓ Invoiced","⚠ Due"),""),""))</f>
        <v/>
      </c>
      <c r="L134" s="130" t="str">
        <f aca="false">IF($A134="","",IF((DATE(YEAR($E134),MONTH($E134),1)&lt;=DATE(2026,9,1)),IF((MOD(DATEDIF(DATE(YEAR($E134),MONTH($E134),1),DATE(2026,9,1),"m"),IF($D134="Quarterly",3,IF($D134="Annual",12,1)))=0),IF((COUNTIFS(Xero_Raw!$D$4:$D$5003,$A134,Xero_Raw!$G$4:$G$5003,"*Subscription*",Xero_Raw!$A$4:$A$5003,"&gt;="&amp;DATE(2026,9,1),Xero_Raw!$A$4:$A$5003,"&lt;"&amp;EDATE(DATE(2026,9,1),1))+COUNTIFS(Customer_Invoices_Upload!$E$4:$E$5003,$A134,Customer_Invoices_Upload!$G$4:$G$5003,"*Subscription*",Customer_Invoices_Upload!$B$4:$B$5003,"&gt;="&amp;DATE(2026,9,1),Customer_Invoices_Upload!$B$4:$B$5003,"&lt;"&amp;EDATE(DATE(2026,9,1),1))+COUNTIFS(Stripe_Invoices_Upload!$D$4:$D$5003,$A134,Stripe_Invoices_Upload!$E$4:$E$5003,"*Subscription*",Stripe_Invoices_Upload!$A$4:$A$5003,"&gt;="&amp;DATE(2026,9,1),Stripe_Invoices_Upload!$A$4:$A$5003,"&lt;"&amp;EDATE(DATE(2026,9,1),1)))&gt;0,"✓ Invoiced","⚠ Due"),""),""))</f>
        <v/>
      </c>
      <c r="M134" s="130" t="str">
        <f aca="false">IF($A134="","",IF((DATE(YEAR($E134),MONTH($E134),1)&lt;=DATE(2026,10,1)),IF((MOD(DATEDIF(DATE(YEAR($E134),MONTH($E134),1),DATE(2026,10,1),"m"),IF($D134="Quarterly",3,IF($D134="Annual",12,1)))=0),IF((COUNTIFS(Xero_Raw!$D$4:$D$5003,$A134,Xero_Raw!$G$4:$G$5003,"*Subscription*",Xero_Raw!$A$4:$A$5003,"&gt;="&amp;DATE(2026,10,1),Xero_Raw!$A$4:$A$5003,"&lt;"&amp;EDATE(DATE(2026,10,1),1))+COUNTIFS(Customer_Invoices_Upload!$E$4:$E$5003,$A134,Customer_Invoices_Upload!$G$4:$G$5003,"*Subscription*",Customer_Invoices_Upload!$B$4:$B$5003,"&gt;="&amp;DATE(2026,10,1),Customer_Invoices_Upload!$B$4:$B$5003,"&lt;"&amp;EDATE(DATE(2026,10,1),1))+COUNTIFS(Stripe_Invoices_Upload!$D$4:$D$5003,$A134,Stripe_Invoices_Upload!$E$4:$E$5003,"*Subscription*",Stripe_Invoices_Upload!$A$4:$A$5003,"&gt;="&amp;DATE(2026,10,1),Stripe_Invoices_Upload!$A$4:$A$5003,"&lt;"&amp;EDATE(DATE(2026,10,1),1)))&gt;0,"✓ Invoiced","⚠ Due"),""),""))</f>
        <v/>
      </c>
      <c r="N134" s="130" t="str">
        <f aca="false">IF($A134="","",IF((DATE(YEAR($E134),MONTH($E134),1)&lt;=DATE(2026,11,1)),IF((MOD(DATEDIF(DATE(YEAR($E134),MONTH($E134),1),DATE(2026,11,1),"m"),IF($D134="Quarterly",3,IF($D134="Annual",12,1)))=0),IF((COUNTIFS(Xero_Raw!$D$4:$D$5003,$A134,Xero_Raw!$G$4:$G$5003,"*Subscription*",Xero_Raw!$A$4:$A$5003,"&gt;="&amp;DATE(2026,11,1),Xero_Raw!$A$4:$A$5003,"&lt;"&amp;EDATE(DATE(2026,11,1),1))+COUNTIFS(Customer_Invoices_Upload!$E$4:$E$5003,$A134,Customer_Invoices_Upload!$G$4:$G$5003,"*Subscription*",Customer_Invoices_Upload!$B$4:$B$5003,"&gt;="&amp;DATE(2026,11,1),Customer_Invoices_Upload!$B$4:$B$5003,"&lt;"&amp;EDATE(DATE(2026,11,1),1))+COUNTIFS(Stripe_Invoices_Upload!$D$4:$D$5003,$A134,Stripe_Invoices_Upload!$E$4:$E$5003,"*Subscription*",Stripe_Invoices_Upload!$A$4:$A$5003,"&gt;="&amp;DATE(2026,11,1),Stripe_Invoices_Upload!$A$4:$A$5003,"&lt;"&amp;EDATE(DATE(2026,11,1),1)))&gt;0,"✓ Invoiced","⚠ Due"),""),""))</f>
        <v/>
      </c>
      <c r="O134" s="130" t="str">
        <f aca="false">IF($A134="","",IF((DATE(YEAR($E134),MONTH($E134),1)&lt;=DATE(2026,12,1)),IF((MOD(DATEDIF(DATE(YEAR($E134),MONTH($E134),1),DATE(2026,12,1),"m"),IF($D134="Quarterly",3,IF($D134="Annual",12,1)))=0),IF((COUNTIFS(Xero_Raw!$D$4:$D$5003,$A134,Xero_Raw!$G$4:$G$5003,"*Subscription*",Xero_Raw!$A$4:$A$5003,"&gt;="&amp;DATE(2026,12,1),Xero_Raw!$A$4:$A$5003,"&lt;"&amp;EDATE(DATE(2026,12,1),1))+COUNTIFS(Customer_Invoices_Upload!$E$4:$E$5003,$A134,Customer_Invoices_Upload!$G$4:$G$5003,"*Subscription*",Customer_Invoices_Upload!$B$4:$B$5003,"&gt;="&amp;DATE(2026,12,1),Customer_Invoices_Upload!$B$4:$B$5003,"&lt;"&amp;EDATE(DATE(2026,12,1),1))+COUNTIFS(Stripe_Invoices_Upload!$D$4:$D$5003,$A134,Stripe_Invoices_Upload!$E$4:$E$5003,"*Subscription*",Stripe_Invoices_Upload!$A$4:$A$5003,"&gt;="&amp;DATE(2026,12,1),Stripe_Invoices_Upload!$A$4:$A$5003,"&lt;"&amp;EDATE(DATE(2026,12,1),1)))&gt;0,"✓ Invoiced","⚠ Due"),""),""))</f>
        <v/>
      </c>
      <c r="P134" s="130" t="str">
        <f aca="false">IF($A134="","",IF((DATE(YEAR($E134),MONTH($E134),1)&lt;=DATE(2027,1,1)),IF((MOD(DATEDIF(DATE(YEAR($E134),MONTH($E134),1),DATE(2027,1,1),"m"),IF($D134="Quarterly",3,IF($D134="Annual",12,1)))=0),IF((COUNTIFS(Xero_Raw!$D$4:$D$5003,$A134,Xero_Raw!$G$4:$G$5003,"*Subscription*",Xero_Raw!$A$4:$A$5003,"&gt;="&amp;DATE(2027,1,1),Xero_Raw!$A$4:$A$5003,"&lt;"&amp;EDATE(DATE(2027,1,1),1))+COUNTIFS(Customer_Invoices_Upload!$E$4:$E$5003,$A134,Customer_Invoices_Upload!$G$4:$G$5003,"*Subscription*",Customer_Invoices_Upload!$B$4:$B$5003,"&gt;="&amp;DATE(2027,1,1),Customer_Invoices_Upload!$B$4:$B$5003,"&lt;"&amp;EDATE(DATE(2027,1,1),1))+COUNTIFS(Stripe_Invoices_Upload!$D$4:$D$5003,$A134,Stripe_Invoices_Upload!$E$4:$E$5003,"*Subscription*",Stripe_Invoices_Upload!$A$4:$A$5003,"&gt;="&amp;DATE(2027,1,1),Stripe_Invoices_Upload!$A$4:$A$5003,"&lt;"&amp;EDATE(DATE(2027,1,1),1)))&gt;0,"✓ Invoiced","⚠ Due"),""),""))</f>
        <v/>
      </c>
      <c r="Q134" s="130" t="str">
        <f aca="false">IF($A134="","",IF((DATE(YEAR($E134),MONTH($E134),1)&lt;=DATE(2027,2,1)),IF((MOD(DATEDIF(DATE(YEAR($E134),MONTH($E134),1),DATE(2027,2,1),"m"),IF($D134="Quarterly",3,IF($D134="Annual",12,1)))=0),IF((COUNTIFS(Xero_Raw!$D$4:$D$5003,$A134,Xero_Raw!$G$4:$G$5003,"*Subscription*",Xero_Raw!$A$4:$A$5003,"&gt;="&amp;DATE(2027,2,1),Xero_Raw!$A$4:$A$5003,"&lt;"&amp;EDATE(DATE(2027,2,1),1))+COUNTIFS(Customer_Invoices_Upload!$E$4:$E$5003,$A134,Customer_Invoices_Upload!$G$4:$G$5003,"*Subscription*",Customer_Invoices_Upload!$B$4:$B$5003,"&gt;="&amp;DATE(2027,2,1),Customer_Invoices_Upload!$B$4:$B$5003,"&lt;"&amp;EDATE(DATE(2027,2,1),1))+COUNTIFS(Stripe_Invoices_Upload!$D$4:$D$5003,$A134,Stripe_Invoices_Upload!$E$4:$E$5003,"*Subscription*",Stripe_Invoices_Upload!$A$4:$A$5003,"&gt;="&amp;DATE(2027,2,1),Stripe_Invoices_Upload!$A$4:$A$5003,"&lt;"&amp;EDATE(DATE(2027,2,1),1)))&gt;0,"✓ Invoiced","⚠ Due"),""),""))</f>
        <v/>
      </c>
      <c r="R134" s="130" t="str">
        <f aca="false">IF($A134="","",IF((DATE(YEAR($E134),MONTH($E134),1)&lt;=DATE(2027,3,1)),IF((MOD(DATEDIF(DATE(YEAR($E134),MONTH($E134),1),DATE(2027,3,1),"m"),IF($D134="Quarterly",3,IF($D134="Annual",12,1)))=0),IF((COUNTIFS(Xero_Raw!$D$4:$D$5003,$A134,Xero_Raw!$G$4:$G$5003,"*Subscription*",Xero_Raw!$A$4:$A$5003,"&gt;="&amp;DATE(2027,3,1),Xero_Raw!$A$4:$A$5003,"&lt;"&amp;EDATE(DATE(2027,3,1),1))+COUNTIFS(Customer_Invoices_Upload!$E$4:$E$5003,$A134,Customer_Invoices_Upload!$G$4:$G$5003,"*Subscription*",Customer_Invoices_Upload!$B$4:$B$5003,"&gt;="&amp;DATE(2027,3,1),Customer_Invoices_Upload!$B$4:$B$5003,"&lt;"&amp;EDATE(DATE(2027,3,1),1))+COUNTIFS(Stripe_Invoices_Upload!$D$4:$D$5003,$A134,Stripe_Invoices_Upload!$E$4:$E$5003,"*Subscription*",Stripe_Invoices_Upload!$A$4:$A$5003,"&gt;="&amp;DATE(2027,3,1),Stripe_Invoices_Upload!$A$4:$A$5003,"&lt;"&amp;EDATE(DATE(2027,3,1),1)))&gt;0,"✓ Invoiced","⚠ Due"),""),""))</f>
        <v/>
      </c>
    </row>
    <row r="135" customFormat="false" ht="15" hidden="false" customHeight="false" outlineLevel="0" collapsed="false">
      <c r="A135" s="39"/>
      <c r="B135" s="39"/>
      <c r="C135" s="40"/>
      <c r="D135" s="39"/>
      <c r="E135" s="38"/>
      <c r="F135" s="129" t="str">
        <f aca="true">IF($A135="","",EDATE($E135,DATEDIF($E135,TODAY(),"m")+1))</f>
        <v/>
      </c>
      <c r="G135" s="130" t="str">
        <f aca="false">IF($A135="","",IF((DATE(YEAR($E135),MONTH($E135),1)&lt;=DATE(2026,4,1)),IF((MOD(DATEDIF(DATE(YEAR($E135),MONTH($E135),1),DATE(2026,4,1),"m"),IF($D135="Quarterly",3,IF($D135="Annual",12,1)))=0),IF((COUNTIFS(Xero_Raw!$D$4:$D$5003,$A135,Xero_Raw!$G$4:$G$5003,"*Subscription*",Xero_Raw!$A$4:$A$5003,"&gt;="&amp;DATE(2026,4,1),Xero_Raw!$A$4:$A$5003,"&lt;"&amp;EDATE(DATE(2026,4,1),1))+COUNTIFS(Customer_Invoices_Upload!$E$4:$E$5003,$A135,Customer_Invoices_Upload!$G$4:$G$5003,"*Subscription*",Customer_Invoices_Upload!$B$4:$B$5003,"&gt;="&amp;DATE(2026,4,1),Customer_Invoices_Upload!$B$4:$B$5003,"&lt;"&amp;EDATE(DATE(2026,4,1),1))+COUNTIFS(Stripe_Invoices_Upload!$D$4:$D$5003,$A135,Stripe_Invoices_Upload!$E$4:$E$5003,"*Subscription*",Stripe_Invoices_Upload!$A$4:$A$5003,"&gt;="&amp;DATE(2026,4,1),Stripe_Invoices_Upload!$A$4:$A$5003,"&lt;"&amp;EDATE(DATE(2026,4,1),1)))&gt;0,"✓ Invoiced","⚠ Due"),""),""))</f>
        <v/>
      </c>
      <c r="H135" s="130" t="str">
        <f aca="false">IF($A135="","",IF((DATE(YEAR($E135),MONTH($E135),1)&lt;=DATE(2026,5,1)),IF((MOD(DATEDIF(DATE(YEAR($E135),MONTH($E135),1),DATE(2026,5,1),"m"),IF($D135="Quarterly",3,IF($D135="Annual",12,1)))=0),IF((COUNTIFS(Xero_Raw!$D$4:$D$5003,$A135,Xero_Raw!$G$4:$G$5003,"*Subscription*",Xero_Raw!$A$4:$A$5003,"&gt;="&amp;DATE(2026,5,1),Xero_Raw!$A$4:$A$5003,"&lt;"&amp;EDATE(DATE(2026,5,1),1))+COUNTIFS(Customer_Invoices_Upload!$E$4:$E$5003,$A135,Customer_Invoices_Upload!$G$4:$G$5003,"*Subscription*",Customer_Invoices_Upload!$B$4:$B$5003,"&gt;="&amp;DATE(2026,5,1),Customer_Invoices_Upload!$B$4:$B$5003,"&lt;"&amp;EDATE(DATE(2026,5,1),1))+COUNTIFS(Stripe_Invoices_Upload!$D$4:$D$5003,$A135,Stripe_Invoices_Upload!$E$4:$E$5003,"*Subscription*",Stripe_Invoices_Upload!$A$4:$A$5003,"&gt;="&amp;DATE(2026,5,1),Stripe_Invoices_Upload!$A$4:$A$5003,"&lt;"&amp;EDATE(DATE(2026,5,1),1)))&gt;0,"✓ Invoiced","⚠ Due"),""),""))</f>
        <v/>
      </c>
      <c r="I135" s="130" t="str">
        <f aca="false">IF($A135="","",IF((DATE(YEAR($E135),MONTH($E135),1)&lt;=DATE(2026,6,1)),IF((MOD(DATEDIF(DATE(YEAR($E135),MONTH($E135),1),DATE(2026,6,1),"m"),IF($D135="Quarterly",3,IF($D135="Annual",12,1)))=0),IF((COUNTIFS(Xero_Raw!$D$4:$D$5003,$A135,Xero_Raw!$G$4:$G$5003,"*Subscription*",Xero_Raw!$A$4:$A$5003,"&gt;="&amp;DATE(2026,6,1),Xero_Raw!$A$4:$A$5003,"&lt;"&amp;EDATE(DATE(2026,6,1),1))+COUNTIFS(Customer_Invoices_Upload!$E$4:$E$5003,$A135,Customer_Invoices_Upload!$G$4:$G$5003,"*Subscription*",Customer_Invoices_Upload!$B$4:$B$5003,"&gt;="&amp;DATE(2026,6,1),Customer_Invoices_Upload!$B$4:$B$5003,"&lt;"&amp;EDATE(DATE(2026,6,1),1))+COUNTIFS(Stripe_Invoices_Upload!$D$4:$D$5003,$A135,Stripe_Invoices_Upload!$E$4:$E$5003,"*Subscription*",Stripe_Invoices_Upload!$A$4:$A$5003,"&gt;="&amp;DATE(2026,6,1),Stripe_Invoices_Upload!$A$4:$A$5003,"&lt;"&amp;EDATE(DATE(2026,6,1),1)))&gt;0,"✓ Invoiced","⚠ Due"),""),""))</f>
        <v/>
      </c>
      <c r="J135" s="130" t="str">
        <f aca="false">IF($A135="","",IF((DATE(YEAR($E135),MONTH($E135),1)&lt;=DATE(2026,7,1)),IF((MOD(DATEDIF(DATE(YEAR($E135),MONTH($E135),1),DATE(2026,7,1),"m"),IF($D135="Quarterly",3,IF($D135="Annual",12,1)))=0),IF((COUNTIFS(Xero_Raw!$D$4:$D$5003,$A135,Xero_Raw!$G$4:$G$5003,"*Subscription*",Xero_Raw!$A$4:$A$5003,"&gt;="&amp;DATE(2026,7,1),Xero_Raw!$A$4:$A$5003,"&lt;"&amp;EDATE(DATE(2026,7,1),1))+COUNTIFS(Customer_Invoices_Upload!$E$4:$E$5003,$A135,Customer_Invoices_Upload!$G$4:$G$5003,"*Subscription*",Customer_Invoices_Upload!$B$4:$B$5003,"&gt;="&amp;DATE(2026,7,1),Customer_Invoices_Upload!$B$4:$B$5003,"&lt;"&amp;EDATE(DATE(2026,7,1),1))+COUNTIFS(Stripe_Invoices_Upload!$D$4:$D$5003,$A135,Stripe_Invoices_Upload!$E$4:$E$5003,"*Subscription*",Stripe_Invoices_Upload!$A$4:$A$5003,"&gt;="&amp;DATE(2026,7,1),Stripe_Invoices_Upload!$A$4:$A$5003,"&lt;"&amp;EDATE(DATE(2026,7,1),1)))&gt;0,"✓ Invoiced","⚠ Due"),""),""))</f>
        <v/>
      </c>
      <c r="K135" s="130" t="str">
        <f aca="false">IF($A135="","",IF((DATE(YEAR($E135),MONTH($E135),1)&lt;=DATE(2026,8,1)),IF((MOD(DATEDIF(DATE(YEAR($E135),MONTH($E135),1),DATE(2026,8,1),"m"),IF($D135="Quarterly",3,IF($D135="Annual",12,1)))=0),IF((COUNTIFS(Xero_Raw!$D$4:$D$5003,$A135,Xero_Raw!$G$4:$G$5003,"*Subscription*",Xero_Raw!$A$4:$A$5003,"&gt;="&amp;DATE(2026,8,1),Xero_Raw!$A$4:$A$5003,"&lt;"&amp;EDATE(DATE(2026,8,1),1))+COUNTIFS(Customer_Invoices_Upload!$E$4:$E$5003,$A135,Customer_Invoices_Upload!$G$4:$G$5003,"*Subscription*",Customer_Invoices_Upload!$B$4:$B$5003,"&gt;="&amp;DATE(2026,8,1),Customer_Invoices_Upload!$B$4:$B$5003,"&lt;"&amp;EDATE(DATE(2026,8,1),1))+COUNTIFS(Stripe_Invoices_Upload!$D$4:$D$5003,$A135,Stripe_Invoices_Upload!$E$4:$E$5003,"*Subscription*",Stripe_Invoices_Upload!$A$4:$A$5003,"&gt;="&amp;DATE(2026,8,1),Stripe_Invoices_Upload!$A$4:$A$5003,"&lt;"&amp;EDATE(DATE(2026,8,1),1)))&gt;0,"✓ Invoiced","⚠ Due"),""),""))</f>
        <v/>
      </c>
      <c r="L135" s="130" t="str">
        <f aca="false">IF($A135="","",IF((DATE(YEAR($E135),MONTH($E135),1)&lt;=DATE(2026,9,1)),IF((MOD(DATEDIF(DATE(YEAR($E135),MONTH($E135),1),DATE(2026,9,1),"m"),IF($D135="Quarterly",3,IF($D135="Annual",12,1)))=0),IF((COUNTIFS(Xero_Raw!$D$4:$D$5003,$A135,Xero_Raw!$G$4:$G$5003,"*Subscription*",Xero_Raw!$A$4:$A$5003,"&gt;="&amp;DATE(2026,9,1),Xero_Raw!$A$4:$A$5003,"&lt;"&amp;EDATE(DATE(2026,9,1),1))+COUNTIFS(Customer_Invoices_Upload!$E$4:$E$5003,$A135,Customer_Invoices_Upload!$G$4:$G$5003,"*Subscription*",Customer_Invoices_Upload!$B$4:$B$5003,"&gt;="&amp;DATE(2026,9,1),Customer_Invoices_Upload!$B$4:$B$5003,"&lt;"&amp;EDATE(DATE(2026,9,1),1))+COUNTIFS(Stripe_Invoices_Upload!$D$4:$D$5003,$A135,Stripe_Invoices_Upload!$E$4:$E$5003,"*Subscription*",Stripe_Invoices_Upload!$A$4:$A$5003,"&gt;="&amp;DATE(2026,9,1),Stripe_Invoices_Upload!$A$4:$A$5003,"&lt;"&amp;EDATE(DATE(2026,9,1),1)))&gt;0,"✓ Invoiced","⚠ Due"),""),""))</f>
        <v/>
      </c>
      <c r="M135" s="130" t="str">
        <f aca="false">IF($A135="","",IF((DATE(YEAR($E135),MONTH($E135),1)&lt;=DATE(2026,10,1)),IF((MOD(DATEDIF(DATE(YEAR($E135),MONTH($E135),1),DATE(2026,10,1),"m"),IF($D135="Quarterly",3,IF($D135="Annual",12,1)))=0),IF((COUNTIFS(Xero_Raw!$D$4:$D$5003,$A135,Xero_Raw!$G$4:$G$5003,"*Subscription*",Xero_Raw!$A$4:$A$5003,"&gt;="&amp;DATE(2026,10,1),Xero_Raw!$A$4:$A$5003,"&lt;"&amp;EDATE(DATE(2026,10,1),1))+COUNTIFS(Customer_Invoices_Upload!$E$4:$E$5003,$A135,Customer_Invoices_Upload!$G$4:$G$5003,"*Subscription*",Customer_Invoices_Upload!$B$4:$B$5003,"&gt;="&amp;DATE(2026,10,1),Customer_Invoices_Upload!$B$4:$B$5003,"&lt;"&amp;EDATE(DATE(2026,10,1),1))+COUNTIFS(Stripe_Invoices_Upload!$D$4:$D$5003,$A135,Stripe_Invoices_Upload!$E$4:$E$5003,"*Subscription*",Stripe_Invoices_Upload!$A$4:$A$5003,"&gt;="&amp;DATE(2026,10,1),Stripe_Invoices_Upload!$A$4:$A$5003,"&lt;"&amp;EDATE(DATE(2026,10,1),1)))&gt;0,"✓ Invoiced","⚠ Due"),""),""))</f>
        <v/>
      </c>
      <c r="N135" s="130" t="str">
        <f aca="false">IF($A135="","",IF((DATE(YEAR($E135),MONTH($E135),1)&lt;=DATE(2026,11,1)),IF((MOD(DATEDIF(DATE(YEAR($E135),MONTH($E135),1),DATE(2026,11,1),"m"),IF($D135="Quarterly",3,IF($D135="Annual",12,1)))=0),IF((COUNTIFS(Xero_Raw!$D$4:$D$5003,$A135,Xero_Raw!$G$4:$G$5003,"*Subscription*",Xero_Raw!$A$4:$A$5003,"&gt;="&amp;DATE(2026,11,1),Xero_Raw!$A$4:$A$5003,"&lt;"&amp;EDATE(DATE(2026,11,1),1))+COUNTIFS(Customer_Invoices_Upload!$E$4:$E$5003,$A135,Customer_Invoices_Upload!$G$4:$G$5003,"*Subscription*",Customer_Invoices_Upload!$B$4:$B$5003,"&gt;="&amp;DATE(2026,11,1),Customer_Invoices_Upload!$B$4:$B$5003,"&lt;"&amp;EDATE(DATE(2026,11,1),1))+COUNTIFS(Stripe_Invoices_Upload!$D$4:$D$5003,$A135,Stripe_Invoices_Upload!$E$4:$E$5003,"*Subscription*",Stripe_Invoices_Upload!$A$4:$A$5003,"&gt;="&amp;DATE(2026,11,1),Stripe_Invoices_Upload!$A$4:$A$5003,"&lt;"&amp;EDATE(DATE(2026,11,1),1)))&gt;0,"✓ Invoiced","⚠ Due"),""),""))</f>
        <v/>
      </c>
      <c r="O135" s="130" t="str">
        <f aca="false">IF($A135="","",IF((DATE(YEAR($E135),MONTH($E135),1)&lt;=DATE(2026,12,1)),IF((MOD(DATEDIF(DATE(YEAR($E135),MONTH($E135),1),DATE(2026,12,1),"m"),IF($D135="Quarterly",3,IF($D135="Annual",12,1)))=0),IF((COUNTIFS(Xero_Raw!$D$4:$D$5003,$A135,Xero_Raw!$G$4:$G$5003,"*Subscription*",Xero_Raw!$A$4:$A$5003,"&gt;="&amp;DATE(2026,12,1),Xero_Raw!$A$4:$A$5003,"&lt;"&amp;EDATE(DATE(2026,12,1),1))+COUNTIFS(Customer_Invoices_Upload!$E$4:$E$5003,$A135,Customer_Invoices_Upload!$G$4:$G$5003,"*Subscription*",Customer_Invoices_Upload!$B$4:$B$5003,"&gt;="&amp;DATE(2026,12,1),Customer_Invoices_Upload!$B$4:$B$5003,"&lt;"&amp;EDATE(DATE(2026,12,1),1))+COUNTIFS(Stripe_Invoices_Upload!$D$4:$D$5003,$A135,Stripe_Invoices_Upload!$E$4:$E$5003,"*Subscription*",Stripe_Invoices_Upload!$A$4:$A$5003,"&gt;="&amp;DATE(2026,12,1),Stripe_Invoices_Upload!$A$4:$A$5003,"&lt;"&amp;EDATE(DATE(2026,12,1),1)))&gt;0,"✓ Invoiced","⚠ Due"),""),""))</f>
        <v/>
      </c>
      <c r="P135" s="130" t="str">
        <f aca="false">IF($A135="","",IF((DATE(YEAR($E135),MONTH($E135),1)&lt;=DATE(2027,1,1)),IF((MOD(DATEDIF(DATE(YEAR($E135),MONTH($E135),1),DATE(2027,1,1),"m"),IF($D135="Quarterly",3,IF($D135="Annual",12,1)))=0),IF((COUNTIFS(Xero_Raw!$D$4:$D$5003,$A135,Xero_Raw!$G$4:$G$5003,"*Subscription*",Xero_Raw!$A$4:$A$5003,"&gt;="&amp;DATE(2027,1,1),Xero_Raw!$A$4:$A$5003,"&lt;"&amp;EDATE(DATE(2027,1,1),1))+COUNTIFS(Customer_Invoices_Upload!$E$4:$E$5003,$A135,Customer_Invoices_Upload!$G$4:$G$5003,"*Subscription*",Customer_Invoices_Upload!$B$4:$B$5003,"&gt;="&amp;DATE(2027,1,1),Customer_Invoices_Upload!$B$4:$B$5003,"&lt;"&amp;EDATE(DATE(2027,1,1),1))+COUNTIFS(Stripe_Invoices_Upload!$D$4:$D$5003,$A135,Stripe_Invoices_Upload!$E$4:$E$5003,"*Subscription*",Stripe_Invoices_Upload!$A$4:$A$5003,"&gt;="&amp;DATE(2027,1,1),Stripe_Invoices_Upload!$A$4:$A$5003,"&lt;"&amp;EDATE(DATE(2027,1,1),1)))&gt;0,"✓ Invoiced","⚠ Due"),""),""))</f>
        <v/>
      </c>
      <c r="Q135" s="130" t="str">
        <f aca="false">IF($A135="","",IF((DATE(YEAR($E135),MONTH($E135),1)&lt;=DATE(2027,2,1)),IF((MOD(DATEDIF(DATE(YEAR($E135),MONTH($E135),1),DATE(2027,2,1),"m"),IF($D135="Quarterly",3,IF($D135="Annual",12,1)))=0),IF((COUNTIFS(Xero_Raw!$D$4:$D$5003,$A135,Xero_Raw!$G$4:$G$5003,"*Subscription*",Xero_Raw!$A$4:$A$5003,"&gt;="&amp;DATE(2027,2,1),Xero_Raw!$A$4:$A$5003,"&lt;"&amp;EDATE(DATE(2027,2,1),1))+COUNTIFS(Customer_Invoices_Upload!$E$4:$E$5003,$A135,Customer_Invoices_Upload!$G$4:$G$5003,"*Subscription*",Customer_Invoices_Upload!$B$4:$B$5003,"&gt;="&amp;DATE(2027,2,1),Customer_Invoices_Upload!$B$4:$B$5003,"&lt;"&amp;EDATE(DATE(2027,2,1),1))+COUNTIFS(Stripe_Invoices_Upload!$D$4:$D$5003,$A135,Stripe_Invoices_Upload!$E$4:$E$5003,"*Subscription*",Stripe_Invoices_Upload!$A$4:$A$5003,"&gt;="&amp;DATE(2027,2,1),Stripe_Invoices_Upload!$A$4:$A$5003,"&lt;"&amp;EDATE(DATE(2027,2,1),1)))&gt;0,"✓ Invoiced","⚠ Due"),""),""))</f>
        <v/>
      </c>
      <c r="R135" s="130" t="str">
        <f aca="false">IF($A135="","",IF((DATE(YEAR($E135),MONTH($E135),1)&lt;=DATE(2027,3,1)),IF((MOD(DATEDIF(DATE(YEAR($E135),MONTH($E135),1),DATE(2027,3,1),"m"),IF($D135="Quarterly",3,IF($D135="Annual",12,1)))=0),IF((COUNTIFS(Xero_Raw!$D$4:$D$5003,$A135,Xero_Raw!$G$4:$G$5003,"*Subscription*",Xero_Raw!$A$4:$A$5003,"&gt;="&amp;DATE(2027,3,1),Xero_Raw!$A$4:$A$5003,"&lt;"&amp;EDATE(DATE(2027,3,1),1))+COUNTIFS(Customer_Invoices_Upload!$E$4:$E$5003,$A135,Customer_Invoices_Upload!$G$4:$G$5003,"*Subscription*",Customer_Invoices_Upload!$B$4:$B$5003,"&gt;="&amp;DATE(2027,3,1),Customer_Invoices_Upload!$B$4:$B$5003,"&lt;"&amp;EDATE(DATE(2027,3,1),1))+COUNTIFS(Stripe_Invoices_Upload!$D$4:$D$5003,$A135,Stripe_Invoices_Upload!$E$4:$E$5003,"*Subscription*",Stripe_Invoices_Upload!$A$4:$A$5003,"&gt;="&amp;DATE(2027,3,1),Stripe_Invoices_Upload!$A$4:$A$5003,"&lt;"&amp;EDATE(DATE(2027,3,1),1)))&gt;0,"✓ Invoiced","⚠ Due"),""),""))</f>
        <v/>
      </c>
    </row>
    <row r="136" customFormat="false" ht="15" hidden="false" customHeight="false" outlineLevel="0" collapsed="false">
      <c r="A136" s="39"/>
      <c r="B136" s="39"/>
      <c r="C136" s="40"/>
      <c r="D136" s="39"/>
      <c r="E136" s="38"/>
      <c r="F136" s="129" t="str">
        <f aca="true">IF($A136="","",EDATE($E136,DATEDIF($E136,TODAY(),"m")+1))</f>
        <v/>
      </c>
      <c r="G136" s="130" t="str">
        <f aca="false">IF($A136="","",IF((DATE(YEAR($E136),MONTH($E136),1)&lt;=DATE(2026,4,1)),IF((MOD(DATEDIF(DATE(YEAR($E136),MONTH($E136),1),DATE(2026,4,1),"m"),IF($D136="Quarterly",3,IF($D136="Annual",12,1)))=0),IF((COUNTIFS(Xero_Raw!$D$4:$D$5003,$A136,Xero_Raw!$G$4:$G$5003,"*Subscription*",Xero_Raw!$A$4:$A$5003,"&gt;="&amp;DATE(2026,4,1),Xero_Raw!$A$4:$A$5003,"&lt;"&amp;EDATE(DATE(2026,4,1),1))+COUNTIFS(Customer_Invoices_Upload!$E$4:$E$5003,$A136,Customer_Invoices_Upload!$G$4:$G$5003,"*Subscription*",Customer_Invoices_Upload!$B$4:$B$5003,"&gt;="&amp;DATE(2026,4,1),Customer_Invoices_Upload!$B$4:$B$5003,"&lt;"&amp;EDATE(DATE(2026,4,1),1))+COUNTIFS(Stripe_Invoices_Upload!$D$4:$D$5003,$A136,Stripe_Invoices_Upload!$E$4:$E$5003,"*Subscription*",Stripe_Invoices_Upload!$A$4:$A$5003,"&gt;="&amp;DATE(2026,4,1),Stripe_Invoices_Upload!$A$4:$A$5003,"&lt;"&amp;EDATE(DATE(2026,4,1),1)))&gt;0,"✓ Invoiced","⚠ Due"),""),""))</f>
        <v/>
      </c>
      <c r="H136" s="130" t="str">
        <f aca="false">IF($A136="","",IF((DATE(YEAR($E136),MONTH($E136),1)&lt;=DATE(2026,5,1)),IF((MOD(DATEDIF(DATE(YEAR($E136),MONTH($E136),1),DATE(2026,5,1),"m"),IF($D136="Quarterly",3,IF($D136="Annual",12,1)))=0),IF((COUNTIFS(Xero_Raw!$D$4:$D$5003,$A136,Xero_Raw!$G$4:$G$5003,"*Subscription*",Xero_Raw!$A$4:$A$5003,"&gt;="&amp;DATE(2026,5,1),Xero_Raw!$A$4:$A$5003,"&lt;"&amp;EDATE(DATE(2026,5,1),1))+COUNTIFS(Customer_Invoices_Upload!$E$4:$E$5003,$A136,Customer_Invoices_Upload!$G$4:$G$5003,"*Subscription*",Customer_Invoices_Upload!$B$4:$B$5003,"&gt;="&amp;DATE(2026,5,1),Customer_Invoices_Upload!$B$4:$B$5003,"&lt;"&amp;EDATE(DATE(2026,5,1),1))+COUNTIFS(Stripe_Invoices_Upload!$D$4:$D$5003,$A136,Stripe_Invoices_Upload!$E$4:$E$5003,"*Subscription*",Stripe_Invoices_Upload!$A$4:$A$5003,"&gt;="&amp;DATE(2026,5,1),Stripe_Invoices_Upload!$A$4:$A$5003,"&lt;"&amp;EDATE(DATE(2026,5,1),1)))&gt;0,"✓ Invoiced","⚠ Due"),""),""))</f>
        <v/>
      </c>
      <c r="I136" s="130" t="str">
        <f aca="false">IF($A136="","",IF((DATE(YEAR($E136),MONTH($E136),1)&lt;=DATE(2026,6,1)),IF((MOD(DATEDIF(DATE(YEAR($E136),MONTH($E136),1),DATE(2026,6,1),"m"),IF($D136="Quarterly",3,IF($D136="Annual",12,1)))=0),IF((COUNTIFS(Xero_Raw!$D$4:$D$5003,$A136,Xero_Raw!$G$4:$G$5003,"*Subscription*",Xero_Raw!$A$4:$A$5003,"&gt;="&amp;DATE(2026,6,1),Xero_Raw!$A$4:$A$5003,"&lt;"&amp;EDATE(DATE(2026,6,1),1))+COUNTIFS(Customer_Invoices_Upload!$E$4:$E$5003,$A136,Customer_Invoices_Upload!$G$4:$G$5003,"*Subscription*",Customer_Invoices_Upload!$B$4:$B$5003,"&gt;="&amp;DATE(2026,6,1),Customer_Invoices_Upload!$B$4:$B$5003,"&lt;"&amp;EDATE(DATE(2026,6,1),1))+COUNTIFS(Stripe_Invoices_Upload!$D$4:$D$5003,$A136,Stripe_Invoices_Upload!$E$4:$E$5003,"*Subscription*",Stripe_Invoices_Upload!$A$4:$A$5003,"&gt;="&amp;DATE(2026,6,1),Stripe_Invoices_Upload!$A$4:$A$5003,"&lt;"&amp;EDATE(DATE(2026,6,1),1)))&gt;0,"✓ Invoiced","⚠ Due"),""),""))</f>
        <v/>
      </c>
      <c r="J136" s="130" t="str">
        <f aca="false">IF($A136="","",IF((DATE(YEAR($E136),MONTH($E136),1)&lt;=DATE(2026,7,1)),IF((MOD(DATEDIF(DATE(YEAR($E136),MONTH($E136),1),DATE(2026,7,1),"m"),IF($D136="Quarterly",3,IF($D136="Annual",12,1)))=0),IF((COUNTIFS(Xero_Raw!$D$4:$D$5003,$A136,Xero_Raw!$G$4:$G$5003,"*Subscription*",Xero_Raw!$A$4:$A$5003,"&gt;="&amp;DATE(2026,7,1),Xero_Raw!$A$4:$A$5003,"&lt;"&amp;EDATE(DATE(2026,7,1),1))+COUNTIFS(Customer_Invoices_Upload!$E$4:$E$5003,$A136,Customer_Invoices_Upload!$G$4:$G$5003,"*Subscription*",Customer_Invoices_Upload!$B$4:$B$5003,"&gt;="&amp;DATE(2026,7,1),Customer_Invoices_Upload!$B$4:$B$5003,"&lt;"&amp;EDATE(DATE(2026,7,1),1))+COUNTIFS(Stripe_Invoices_Upload!$D$4:$D$5003,$A136,Stripe_Invoices_Upload!$E$4:$E$5003,"*Subscription*",Stripe_Invoices_Upload!$A$4:$A$5003,"&gt;="&amp;DATE(2026,7,1),Stripe_Invoices_Upload!$A$4:$A$5003,"&lt;"&amp;EDATE(DATE(2026,7,1),1)))&gt;0,"✓ Invoiced","⚠ Due"),""),""))</f>
        <v/>
      </c>
      <c r="K136" s="130" t="str">
        <f aca="false">IF($A136="","",IF((DATE(YEAR($E136),MONTH($E136),1)&lt;=DATE(2026,8,1)),IF((MOD(DATEDIF(DATE(YEAR($E136),MONTH($E136),1),DATE(2026,8,1),"m"),IF($D136="Quarterly",3,IF($D136="Annual",12,1)))=0),IF((COUNTIFS(Xero_Raw!$D$4:$D$5003,$A136,Xero_Raw!$G$4:$G$5003,"*Subscription*",Xero_Raw!$A$4:$A$5003,"&gt;="&amp;DATE(2026,8,1),Xero_Raw!$A$4:$A$5003,"&lt;"&amp;EDATE(DATE(2026,8,1),1))+COUNTIFS(Customer_Invoices_Upload!$E$4:$E$5003,$A136,Customer_Invoices_Upload!$G$4:$G$5003,"*Subscription*",Customer_Invoices_Upload!$B$4:$B$5003,"&gt;="&amp;DATE(2026,8,1),Customer_Invoices_Upload!$B$4:$B$5003,"&lt;"&amp;EDATE(DATE(2026,8,1),1))+COUNTIFS(Stripe_Invoices_Upload!$D$4:$D$5003,$A136,Stripe_Invoices_Upload!$E$4:$E$5003,"*Subscription*",Stripe_Invoices_Upload!$A$4:$A$5003,"&gt;="&amp;DATE(2026,8,1),Stripe_Invoices_Upload!$A$4:$A$5003,"&lt;"&amp;EDATE(DATE(2026,8,1),1)))&gt;0,"✓ Invoiced","⚠ Due"),""),""))</f>
        <v/>
      </c>
      <c r="L136" s="130" t="str">
        <f aca="false">IF($A136="","",IF((DATE(YEAR($E136),MONTH($E136),1)&lt;=DATE(2026,9,1)),IF((MOD(DATEDIF(DATE(YEAR($E136),MONTH($E136),1),DATE(2026,9,1),"m"),IF($D136="Quarterly",3,IF($D136="Annual",12,1)))=0),IF((COUNTIFS(Xero_Raw!$D$4:$D$5003,$A136,Xero_Raw!$G$4:$G$5003,"*Subscription*",Xero_Raw!$A$4:$A$5003,"&gt;="&amp;DATE(2026,9,1),Xero_Raw!$A$4:$A$5003,"&lt;"&amp;EDATE(DATE(2026,9,1),1))+COUNTIFS(Customer_Invoices_Upload!$E$4:$E$5003,$A136,Customer_Invoices_Upload!$G$4:$G$5003,"*Subscription*",Customer_Invoices_Upload!$B$4:$B$5003,"&gt;="&amp;DATE(2026,9,1),Customer_Invoices_Upload!$B$4:$B$5003,"&lt;"&amp;EDATE(DATE(2026,9,1),1))+COUNTIFS(Stripe_Invoices_Upload!$D$4:$D$5003,$A136,Stripe_Invoices_Upload!$E$4:$E$5003,"*Subscription*",Stripe_Invoices_Upload!$A$4:$A$5003,"&gt;="&amp;DATE(2026,9,1),Stripe_Invoices_Upload!$A$4:$A$5003,"&lt;"&amp;EDATE(DATE(2026,9,1),1)))&gt;0,"✓ Invoiced","⚠ Due"),""),""))</f>
        <v/>
      </c>
      <c r="M136" s="130" t="str">
        <f aca="false">IF($A136="","",IF((DATE(YEAR($E136),MONTH($E136),1)&lt;=DATE(2026,10,1)),IF((MOD(DATEDIF(DATE(YEAR($E136),MONTH($E136),1),DATE(2026,10,1),"m"),IF($D136="Quarterly",3,IF($D136="Annual",12,1)))=0),IF((COUNTIFS(Xero_Raw!$D$4:$D$5003,$A136,Xero_Raw!$G$4:$G$5003,"*Subscription*",Xero_Raw!$A$4:$A$5003,"&gt;="&amp;DATE(2026,10,1),Xero_Raw!$A$4:$A$5003,"&lt;"&amp;EDATE(DATE(2026,10,1),1))+COUNTIFS(Customer_Invoices_Upload!$E$4:$E$5003,$A136,Customer_Invoices_Upload!$G$4:$G$5003,"*Subscription*",Customer_Invoices_Upload!$B$4:$B$5003,"&gt;="&amp;DATE(2026,10,1),Customer_Invoices_Upload!$B$4:$B$5003,"&lt;"&amp;EDATE(DATE(2026,10,1),1))+COUNTIFS(Stripe_Invoices_Upload!$D$4:$D$5003,$A136,Stripe_Invoices_Upload!$E$4:$E$5003,"*Subscription*",Stripe_Invoices_Upload!$A$4:$A$5003,"&gt;="&amp;DATE(2026,10,1),Stripe_Invoices_Upload!$A$4:$A$5003,"&lt;"&amp;EDATE(DATE(2026,10,1),1)))&gt;0,"✓ Invoiced","⚠ Due"),""),""))</f>
        <v/>
      </c>
      <c r="N136" s="130" t="str">
        <f aca="false">IF($A136="","",IF((DATE(YEAR($E136),MONTH($E136),1)&lt;=DATE(2026,11,1)),IF((MOD(DATEDIF(DATE(YEAR($E136),MONTH($E136),1),DATE(2026,11,1),"m"),IF($D136="Quarterly",3,IF($D136="Annual",12,1)))=0),IF((COUNTIFS(Xero_Raw!$D$4:$D$5003,$A136,Xero_Raw!$G$4:$G$5003,"*Subscription*",Xero_Raw!$A$4:$A$5003,"&gt;="&amp;DATE(2026,11,1),Xero_Raw!$A$4:$A$5003,"&lt;"&amp;EDATE(DATE(2026,11,1),1))+COUNTIFS(Customer_Invoices_Upload!$E$4:$E$5003,$A136,Customer_Invoices_Upload!$G$4:$G$5003,"*Subscription*",Customer_Invoices_Upload!$B$4:$B$5003,"&gt;="&amp;DATE(2026,11,1),Customer_Invoices_Upload!$B$4:$B$5003,"&lt;"&amp;EDATE(DATE(2026,11,1),1))+COUNTIFS(Stripe_Invoices_Upload!$D$4:$D$5003,$A136,Stripe_Invoices_Upload!$E$4:$E$5003,"*Subscription*",Stripe_Invoices_Upload!$A$4:$A$5003,"&gt;="&amp;DATE(2026,11,1),Stripe_Invoices_Upload!$A$4:$A$5003,"&lt;"&amp;EDATE(DATE(2026,11,1),1)))&gt;0,"✓ Invoiced","⚠ Due"),""),""))</f>
        <v/>
      </c>
      <c r="O136" s="130" t="str">
        <f aca="false">IF($A136="","",IF((DATE(YEAR($E136),MONTH($E136),1)&lt;=DATE(2026,12,1)),IF((MOD(DATEDIF(DATE(YEAR($E136),MONTH($E136),1),DATE(2026,12,1),"m"),IF($D136="Quarterly",3,IF($D136="Annual",12,1)))=0),IF((COUNTIFS(Xero_Raw!$D$4:$D$5003,$A136,Xero_Raw!$G$4:$G$5003,"*Subscription*",Xero_Raw!$A$4:$A$5003,"&gt;="&amp;DATE(2026,12,1),Xero_Raw!$A$4:$A$5003,"&lt;"&amp;EDATE(DATE(2026,12,1),1))+COUNTIFS(Customer_Invoices_Upload!$E$4:$E$5003,$A136,Customer_Invoices_Upload!$G$4:$G$5003,"*Subscription*",Customer_Invoices_Upload!$B$4:$B$5003,"&gt;="&amp;DATE(2026,12,1),Customer_Invoices_Upload!$B$4:$B$5003,"&lt;"&amp;EDATE(DATE(2026,12,1),1))+COUNTIFS(Stripe_Invoices_Upload!$D$4:$D$5003,$A136,Stripe_Invoices_Upload!$E$4:$E$5003,"*Subscription*",Stripe_Invoices_Upload!$A$4:$A$5003,"&gt;="&amp;DATE(2026,12,1),Stripe_Invoices_Upload!$A$4:$A$5003,"&lt;"&amp;EDATE(DATE(2026,12,1),1)))&gt;0,"✓ Invoiced","⚠ Due"),""),""))</f>
        <v/>
      </c>
      <c r="P136" s="130" t="str">
        <f aca="false">IF($A136="","",IF((DATE(YEAR($E136),MONTH($E136),1)&lt;=DATE(2027,1,1)),IF((MOD(DATEDIF(DATE(YEAR($E136),MONTH($E136),1),DATE(2027,1,1),"m"),IF($D136="Quarterly",3,IF($D136="Annual",12,1)))=0),IF((COUNTIFS(Xero_Raw!$D$4:$D$5003,$A136,Xero_Raw!$G$4:$G$5003,"*Subscription*",Xero_Raw!$A$4:$A$5003,"&gt;="&amp;DATE(2027,1,1),Xero_Raw!$A$4:$A$5003,"&lt;"&amp;EDATE(DATE(2027,1,1),1))+COUNTIFS(Customer_Invoices_Upload!$E$4:$E$5003,$A136,Customer_Invoices_Upload!$G$4:$G$5003,"*Subscription*",Customer_Invoices_Upload!$B$4:$B$5003,"&gt;="&amp;DATE(2027,1,1),Customer_Invoices_Upload!$B$4:$B$5003,"&lt;"&amp;EDATE(DATE(2027,1,1),1))+COUNTIFS(Stripe_Invoices_Upload!$D$4:$D$5003,$A136,Stripe_Invoices_Upload!$E$4:$E$5003,"*Subscription*",Stripe_Invoices_Upload!$A$4:$A$5003,"&gt;="&amp;DATE(2027,1,1),Stripe_Invoices_Upload!$A$4:$A$5003,"&lt;"&amp;EDATE(DATE(2027,1,1),1)))&gt;0,"✓ Invoiced","⚠ Due"),""),""))</f>
        <v/>
      </c>
      <c r="Q136" s="130" t="str">
        <f aca="false">IF($A136="","",IF((DATE(YEAR($E136),MONTH($E136),1)&lt;=DATE(2027,2,1)),IF((MOD(DATEDIF(DATE(YEAR($E136),MONTH($E136),1),DATE(2027,2,1),"m"),IF($D136="Quarterly",3,IF($D136="Annual",12,1)))=0),IF((COUNTIFS(Xero_Raw!$D$4:$D$5003,$A136,Xero_Raw!$G$4:$G$5003,"*Subscription*",Xero_Raw!$A$4:$A$5003,"&gt;="&amp;DATE(2027,2,1),Xero_Raw!$A$4:$A$5003,"&lt;"&amp;EDATE(DATE(2027,2,1),1))+COUNTIFS(Customer_Invoices_Upload!$E$4:$E$5003,$A136,Customer_Invoices_Upload!$G$4:$G$5003,"*Subscription*",Customer_Invoices_Upload!$B$4:$B$5003,"&gt;="&amp;DATE(2027,2,1),Customer_Invoices_Upload!$B$4:$B$5003,"&lt;"&amp;EDATE(DATE(2027,2,1),1))+COUNTIFS(Stripe_Invoices_Upload!$D$4:$D$5003,$A136,Stripe_Invoices_Upload!$E$4:$E$5003,"*Subscription*",Stripe_Invoices_Upload!$A$4:$A$5003,"&gt;="&amp;DATE(2027,2,1),Stripe_Invoices_Upload!$A$4:$A$5003,"&lt;"&amp;EDATE(DATE(2027,2,1),1)))&gt;0,"✓ Invoiced","⚠ Due"),""),""))</f>
        <v/>
      </c>
      <c r="R136" s="130" t="str">
        <f aca="false">IF($A136="","",IF((DATE(YEAR($E136),MONTH($E136),1)&lt;=DATE(2027,3,1)),IF((MOD(DATEDIF(DATE(YEAR($E136),MONTH($E136),1),DATE(2027,3,1),"m"),IF($D136="Quarterly",3,IF($D136="Annual",12,1)))=0),IF((COUNTIFS(Xero_Raw!$D$4:$D$5003,$A136,Xero_Raw!$G$4:$G$5003,"*Subscription*",Xero_Raw!$A$4:$A$5003,"&gt;="&amp;DATE(2027,3,1),Xero_Raw!$A$4:$A$5003,"&lt;"&amp;EDATE(DATE(2027,3,1),1))+COUNTIFS(Customer_Invoices_Upload!$E$4:$E$5003,$A136,Customer_Invoices_Upload!$G$4:$G$5003,"*Subscription*",Customer_Invoices_Upload!$B$4:$B$5003,"&gt;="&amp;DATE(2027,3,1),Customer_Invoices_Upload!$B$4:$B$5003,"&lt;"&amp;EDATE(DATE(2027,3,1),1))+COUNTIFS(Stripe_Invoices_Upload!$D$4:$D$5003,$A136,Stripe_Invoices_Upload!$E$4:$E$5003,"*Subscription*",Stripe_Invoices_Upload!$A$4:$A$5003,"&gt;="&amp;DATE(2027,3,1),Stripe_Invoices_Upload!$A$4:$A$5003,"&lt;"&amp;EDATE(DATE(2027,3,1),1)))&gt;0,"✓ Invoiced","⚠ Due"),""),""))</f>
        <v/>
      </c>
    </row>
    <row r="137" customFormat="false" ht="15" hidden="false" customHeight="false" outlineLevel="0" collapsed="false">
      <c r="A137" s="39"/>
      <c r="B137" s="39"/>
      <c r="C137" s="40"/>
      <c r="D137" s="39"/>
      <c r="E137" s="38"/>
      <c r="F137" s="129" t="str">
        <f aca="true">IF($A137="","",EDATE($E137,DATEDIF($E137,TODAY(),"m")+1))</f>
        <v/>
      </c>
      <c r="G137" s="130" t="str">
        <f aca="false">IF($A137="","",IF((DATE(YEAR($E137),MONTH($E137),1)&lt;=DATE(2026,4,1)),IF((MOD(DATEDIF(DATE(YEAR($E137),MONTH($E137),1),DATE(2026,4,1),"m"),IF($D137="Quarterly",3,IF($D137="Annual",12,1)))=0),IF((COUNTIFS(Xero_Raw!$D$4:$D$5003,$A137,Xero_Raw!$G$4:$G$5003,"*Subscription*",Xero_Raw!$A$4:$A$5003,"&gt;="&amp;DATE(2026,4,1),Xero_Raw!$A$4:$A$5003,"&lt;"&amp;EDATE(DATE(2026,4,1),1))+COUNTIFS(Customer_Invoices_Upload!$E$4:$E$5003,$A137,Customer_Invoices_Upload!$G$4:$G$5003,"*Subscription*",Customer_Invoices_Upload!$B$4:$B$5003,"&gt;="&amp;DATE(2026,4,1),Customer_Invoices_Upload!$B$4:$B$5003,"&lt;"&amp;EDATE(DATE(2026,4,1),1))+COUNTIFS(Stripe_Invoices_Upload!$D$4:$D$5003,$A137,Stripe_Invoices_Upload!$E$4:$E$5003,"*Subscription*",Stripe_Invoices_Upload!$A$4:$A$5003,"&gt;="&amp;DATE(2026,4,1),Stripe_Invoices_Upload!$A$4:$A$5003,"&lt;"&amp;EDATE(DATE(2026,4,1),1)))&gt;0,"✓ Invoiced","⚠ Due"),""),""))</f>
        <v/>
      </c>
      <c r="H137" s="130" t="str">
        <f aca="false">IF($A137="","",IF((DATE(YEAR($E137),MONTH($E137),1)&lt;=DATE(2026,5,1)),IF((MOD(DATEDIF(DATE(YEAR($E137),MONTH($E137),1),DATE(2026,5,1),"m"),IF($D137="Quarterly",3,IF($D137="Annual",12,1)))=0),IF((COUNTIFS(Xero_Raw!$D$4:$D$5003,$A137,Xero_Raw!$G$4:$G$5003,"*Subscription*",Xero_Raw!$A$4:$A$5003,"&gt;="&amp;DATE(2026,5,1),Xero_Raw!$A$4:$A$5003,"&lt;"&amp;EDATE(DATE(2026,5,1),1))+COUNTIFS(Customer_Invoices_Upload!$E$4:$E$5003,$A137,Customer_Invoices_Upload!$G$4:$G$5003,"*Subscription*",Customer_Invoices_Upload!$B$4:$B$5003,"&gt;="&amp;DATE(2026,5,1),Customer_Invoices_Upload!$B$4:$B$5003,"&lt;"&amp;EDATE(DATE(2026,5,1),1))+COUNTIFS(Stripe_Invoices_Upload!$D$4:$D$5003,$A137,Stripe_Invoices_Upload!$E$4:$E$5003,"*Subscription*",Stripe_Invoices_Upload!$A$4:$A$5003,"&gt;="&amp;DATE(2026,5,1),Stripe_Invoices_Upload!$A$4:$A$5003,"&lt;"&amp;EDATE(DATE(2026,5,1),1)))&gt;0,"✓ Invoiced","⚠ Due"),""),""))</f>
        <v/>
      </c>
      <c r="I137" s="130" t="str">
        <f aca="false">IF($A137="","",IF((DATE(YEAR($E137),MONTH($E137),1)&lt;=DATE(2026,6,1)),IF((MOD(DATEDIF(DATE(YEAR($E137),MONTH($E137),1),DATE(2026,6,1),"m"),IF($D137="Quarterly",3,IF($D137="Annual",12,1)))=0),IF((COUNTIFS(Xero_Raw!$D$4:$D$5003,$A137,Xero_Raw!$G$4:$G$5003,"*Subscription*",Xero_Raw!$A$4:$A$5003,"&gt;="&amp;DATE(2026,6,1),Xero_Raw!$A$4:$A$5003,"&lt;"&amp;EDATE(DATE(2026,6,1),1))+COUNTIFS(Customer_Invoices_Upload!$E$4:$E$5003,$A137,Customer_Invoices_Upload!$G$4:$G$5003,"*Subscription*",Customer_Invoices_Upload!$B$4:$B$5003,"&gt;="&amp;DATE(2026,6,1),Customer_Invoices_Upload!$B$4:$B$5003,"&lt;"&amp;EDATE(DATE(2026,6,1),1))+COUNTIFS(Stripe_Invoices_Upload!$D$4:$D$5003,$A137,Stripe_Invoices_Upload!$E$4:$E$5003,"*Subscription*",Stripe_Invoices_Upload!$A$4:$A$5003,"&gt;="&amp;DATE(2026,6,1),Stripe_Invoices_Upload!$A$4:$A$5003,"&lt;"&amp;EDATE(DATE(2026,6,1),1)))&gt;0,"✓ Invoiced","⚠ Due"),""),""))</f>
        <v/>
      </c>
      <c r="J137" s="130" t="str">
        <f aca="false">IF($A137="","",IF((DATE(YEAR($E137),MONTH($E137),1)&lt;=DATE(2026,7,1)),IF((MOD(DATEDIF(DATE(YEAR($E137),MONTH($E137),1),DATE(2026,7,1),"m"),IF($D137="Quarterly",3,IF($D137="Annual",12,1)))=0),IF((COUNTIFS(Xero_Raw!$D$4:$D$5003,$A137,Xero_Raw!$G$4:$G$5003,"*Subscription*",Xero_Raw!$A$4:$A$5003,"&gt;="&amp;DATE(2026,7,1),Xero_Raw!$A$4:$A$5003,"&lt;"&amp;EDATE(DATE(2026,7,1),1))+COUNTIFS(Customer_Invoices_Upload!$E$4:$E$5003,$A137,Customer_Invoices_Upload!$G$4:$G$5003,"*Subscription*",Customer_Invoices_Upload!$B$4:$B$5003,"&gt;="&amp;DATE(2026,7,1),Customer_Invoices_Upload!$B$4:$B$5003,"&lt;"&amp;EDATE(DATE(2026,7,1),1))+COUNTIFS(Stripe_Invoices_Upload!$D$4:$D$5003,$A137,Stripe_Invoices_Upload!$E$4:$E$5003,"*Subscription*",Stripe_Invoices_Upload!$A$4:$A$5003,"&gt;="&amp;DATE(2026,7,1),Stripe_Invoices_Upload!$A$4:$A$5003,"&lt;"&amp;EDATE(DATE(2026,7,1),1)))&gt;0,"✓ Invoiced","⚠ Due"),""),""))</f>
        <v/>
      </c>
      <c r="K137" s="130" t="str">
        <f aca="false">IF($A137="","",IF((DATE(YEAR($E137),MONTH($E137),1)&lt;=DATE(2026,8,1)),IF((MOD(DATEDIF(DATE(YEAR($E137),MONTH($E137),1),DATE(2026,8,1),"m"),IF($D137="Quarterly",3,IF($D137="Annual",12,1)))=0),IF((COUNTIFS(Xero_Raw!$D$4:$D$5003,$A137,Xero_Raw!$G$4:$G$5003,"*Subscription*",Xero_Raw!$A$4:$A$5003,"&gt;="&amp;DATE(2026,8,1),Xero_Raw!$A$4:$A$5003,"&lt;"&amp;EDATE(DATE(2026,8,1),1))+COUNTIFS(Customer_Invoices_Upload!$E$4:$E$5003,$A137,Customer_Invoices_Upload!$G$4:$G$5003,"*Subscription*",Customer_Invoices_Upload!$B$4:$B$5003,"&gt;="&amp;DATE(2026,8,1),Customer_Invoices_Upload!$B$4:$B$5003,"&lt;"&amp;EDATE(DATE(2026,8,1),1))+COUNTIFS(Stripe_Invoices_Upload!$D$4:$D$5003,$A137,Stripe_Invoices_Upload!$E$4:$E$5003,"*Subscription*",Stripe_Invoices_Upload!$A$4:$A$5003,"&gt;="&amp;DATE(2026,8,1),Stripe_Invoices_Upload!$A$4:$A$5003,"&lt;"&amp;EDATE(DATE(2026,8,1),1)))&gt;0,"✓ Invoiced","⚠ Due"),""),""))</f>
        <v/>
      </c>
      <c r="L137" s="130" t="str">
        <f aca="false">IF($A137="","",IF((DATE(YEAR($E137),MONTH($E137),1)&lt;=DATE(2026,9,1)),IF((MOD(DATEDIF(DATE(YEAR($E137),MONTH($E137),1),DATE(2026,9,1),"m"),IF($D137="Quarterly",3,IF($D137="Annual",12,1)))=0),IF((COUNTIFS(Xero_Raw!$D$4:$D$5003,$A137,Xero_Raw!$G$4:$G$5003,"*Subscription*",Xero_Raw!$A$4:$A$5003,"&gt;="&amp;DATE(2026,9,1),Xero_Raw!$A$4:$A$5003,"&lt;"&amp;EDATE(DATE(2026,9,1),1))+COUNTIFS(Customer_Invoices_Upload!$E$4:$E$5003,$A137,Customer_Invoices_Upload!$G$4:$G$5003,"*Subscription*",Customer_Invoices_Upload!$B$4:$B$5003,"&gt;="&amp;DATE(2026,9,1),Customer_Invoices_Upload!$B$4:$B$5003,"&lt;"&amp;EDATE(DATE(2026,9,1),1))+COUNTIFS(Stripe_Invoices_Upload!$D$4:$D$5003,$A137,Stripe_Invoices_Upload!$E$4:$E$5003,"*Subscription*",Stripe_Invoices_Upload!$A$4:$A$5003,"&gt;="&amp;DATE(2026,9,1),Stripe_Invoices_Upload!$A$4:$A$5003,"&lt;"&amp;EDATE(DATE(2026,9,1),1)))&gt;0,"✓ Invoiced","⚠ Due"),""),""))</f>
        <v/>
      </c>
      <c r="M137" s="130" t="str">
        <f aca="false">IF($A137="","",IF((DATE(YEAR($E137),MONTH($E137),1)&lt;=DATE(2026,10,1)),IF((MOD(DATEDIF(DATE(YEAR($E137),MONTH($E137),1),DATE(2026,10,1),"m"),IF($D137="Quarterly",3,IF($D137="Annual",12,1)))=0),IF((COUNTIFS(Xero_Raw!$D$4:$D$5003,$A137,Xero_Raw!$G$4:$G$5003,"*Subscription*",Xero_Raw!$A$4:$A$5003,"&gt;="&amp;DATE(2026,10,1),Xero_Raw!$A$4:$A$5003,"&lt;"&amp;EDATE(DATE(2026,10,1),1))+COUNTIFS(Customer_Invoices_Upload!$E$4:$E$5003,$A137,Customer_Invoices_Upload!$G$4:$G$5003,"*Subscription*",Customer_Invoices_Upload!$B$4:$B$5003,"&gt;="&amp;DATE(2026,10,1),Customer_Invoices_Upload!$B$4:$B$5003,"&lt;"&amp;EDATE(DATE(2026,10,1),1))+COUNTIFS(Stripe_Invoices_Upload!$D$4:$D$5003,$A137,Stripe_Invoices_Upload!$E$4:$E$5003,"*Subscription*",Stripe_Invoices_Upload!$A$4:$A$5003,"&gt;="&amp;DATE(2026,10,1),Stripe_Invoices_Upload!$A$4:$A$5003,"&lt;"&amp;EDATE(DATE(2026,10,1),1)))&gt;0,"✓ Invoiced","⚠ Due"),""),""))</f>
        <v/>
      </c>
      <c r="N137" s="130" t="str">
        <f aca="false">IF($A137="","",IF((DATE(YEAR($E137),MONTH($E137),1)&lt;=DATE(2026,11,1)),IF((MOD(DATEDIF(DATE(YEAR($E137),MONTH($E137),1),DATE(2026,11,1),"m"),IF($D137="Quarterly",3,IF($D137="Annual",12,1)))=0),IF((COUNTIFS(Xero_Raw!$D$4:$D$5003,$A137,Xero_Raw!$G$4:$G$5003,"*Subscription*",Xero_Raw!$A$4:$A$5003,"&gt;="&amp;DATE(2026,11,1),Xero_Raw!$A$4:$A$5003,"&lt;"&amp;EDATE(DATE(2026,11,1),1))+COUNTIFS(Customer_Invoices_Upload!$E$4:$E$5003,$A137,Customer_Invoices_Upload!$G$4:$G$5003,"*Subscription*",Customer_Invoices_Upload!$B$4:$B$5003,"&gt;="&amp;DATE(2026,11,1),Customer_Invoices_Upload!$B$4:$B$5003,"&lt;"&amp;EDATE(DATE(2026,11,1),1))+COUNTIFS(Stripe_Invoices_Upload!$D$4:$D$5003,$A137,Stripe_Invoices_Upload!$E$4:$E$5003,"*Subscription*",Stripe_Invoices_Upload!$A$4:$A$5003,"&gt;="&amp;DATE(2026,11,1),Stripe_Invoices_Upload!$A$4:$A$5003,"&lt;"&amp;EDATE(DATE(2026,11,1),1)))&gt;0,"✓ Invoiced","⚠ Due"),""),""))</f>
        <v/>
      </c>
      <c r="O137" s="130" t="str">
        <f aca="false">IF($A137="","",IF((DATE(YEAR($E137),MONTH($E137),1)&lt;=DATE(2026,12,1)),IF((MOD(DATEDIF(DATE(YEAR($E137),MONTH($E137),1),DATE(2026,12,1),"m"),IF($D137="Quarterly",3,IF($D137="Annual",12,1)))=0),IF((COUNTIFS(Xero_Raw!$D$4:$D$5003,$A137,Xero_Raw!$G$4:$G$5003,"*Subscription*",Xero_Raw!$A$4:$A$5003,"&gt;="&amp;DATE(2026,12,1),Xero_Raw!$A$4:$A$5003,"&lt;"&amp;EDATE(DATE(2026,12,1),1))+COUNTIFS(Customer_Invoices_Upload!$E$4:$E$5003,$A137,Customer_Invoices_Upload!$G$4:$G$5003,"*Subscription*",Customer_Invoices_Upload!$B$4:$B$5003,"&gt;="&amp;DATE(2026,12,1),Customer_Invoices_Upload!$B$4:$B$5003,"&lt;"&amp;EDATE(DATE(2026,12,1),1))+COUNTIFS(Stripe_Invoices_Upload!$D$4:$D$5003,$A137,Stripe_Invoices_Upload!$E$4:$E$5003,"*Subscription*",Stripe_Invoices_Upload!$A$4:$A$5003,"&gt;="&amp;DATE(2026,12,1),Stripe_Invoices_Upload!$A$4:$A$5003,"&lt;"&amp;EDATE(DATE(2026,12,1),1)))&gt;0,"✓ Invoiced","⚠ Due"),""),""))</f>
        <v/>
      </c>
      <c r="P137" s="130" t="str">
        <f aca="false">IF($A137="","",IF((DATE(YEAR($E137),MONTH($E137),1)&lt;=DATE(2027,1,1)),IF((MOD(DATEDIF(DATE(YEAR($E137),MONTH($E137),1),DATE(2027,1,1),"m"),IF($D137="Quarterly",3,IF($D137="Annual",12,1)))=0),IF((COUNTIFS(Xero_Raw!$D$4:$D$5003,$A137,Xero_Raw!$G$4:$G$5003,"*Subscription*",Xero_Raw!$A$4:$A$5003,"&gt;="&amp;DATE(2027,1,1),Xero_Raw!$A$4:$A$5003,"&lt;"&amp;EDATE(DATE(2027,1,1),1))+COUNTIFS(Customer_Invoices_Upload!$E$4:$E$5003,$A137,Customer_Invoices_Upload!$G$4:$G$5003,"*Subscription*",Customer_Invoices_Upload!$B$4:$B$5003,"&gt;="&amp;DATE(2027,1,1),Customer_Invoices_Upload!$B$4:$B$5003,"&lt;"&amp;EDATE(DATE(2027,1,1),1))+COUNTIFS(Stripe_Invoices_Upload!$D$4:$D$5003,$A137,Stripe_Invoices_Upload!$E$4:$E$5003,"*Subscription*",Stripe_Invoices_Upload!$A$4:$A$5003,"&gt;="&amp;DATE(2027,1,1),Stripe_Invoices_Upload!$A$4:$A$5003,"&lt;"&amp;EDATE(DATE(2027,1,1),1)))&gt;0,"✓ Invoiced","⚠ Due"),""),""))</f>
        <v/>
      </c>
      <c r="Q137" s="130" t="str">
        <f aca="false">IF($A137="","",IF((DATE(YEAR($E137),MONTH($E137),1)&lt;=DATE(2027,2,1)),IF((MOD(DATEDIF(DATE(YEAR($E137),MONTH($E137),1),DATE(2027,2,1),"m"),IF($D137="Quarterly",3,IF($D137="Annual",12,1)))=0),IF((COUNTIFS(Xero_Raw!$D$4:$D$5003,$A137,Xero_Raw!$G$4:$G$5003,"*Subscription*",Xero_Raw!$A$4:$A$5003,"&gt;="&amp;DATE(2027,2,1),Xero_Raw!$A$4:$A$5003,"&lt;"&amp;EDATE(DATE(2027,2,1),1))+COUNTIFS(Customer_Invoices_Upload!$E$4:$E$5003,$A137,Customer_Invoices_Upload!$G$4:$G$5003,"*Subscription*",Customer_Invoices_Upload!$B$4:$B$5003,"&gt;="&amp;DATE(2027,2,1),Customer_Invoices_Upload!$B$4:$B$5003,"&lt;"&amp;EDATE(DATE(2027,2,1),1))+COUNTIFS(Stripe_Invoices_Upload!$D$4:$D$5003,$A137,Stripe_Invoices_Upload!$E$4:$E$5003,"*Subscription*",Stripe_Invoices_Upload!$A$4:$A$5003,"&gt;="&amp;DATE(2027,2,1),Stripe_Invoices_Upload!$A$4:$A$5003,"&lt;"&amp;EDATE(DATE(2027,2,1),1)))&gt;0,"✓ Invoiced","⚠ Due"),""),""))</f>
        <v/>
      </c>
      <c r="R137" s="130" t="str">
        <f aca="false">IF($A137="","",IF((DATE(YEAR($E137),MONTH($E137),1)&lt;=DATE(2027,3,1)),IF((MOD(DATEDIF(DATE(YEAR($E137),MONTH($E137),1),DATE(2027,3,1),"m"),IF($D137="Quarterly",3,IF($D137="Annual",12,1)))=0),IF((COUNTIFS(Xero_Raw!$D$4:$D$5003,$A137,Xero_Raw!$G$4:$G$5003,"*Subscription*",Xero_Raw!$A$4:$A$5003,"&gt;="&amp;DATE(2027,3,1),Xero_Raw!$A$4:$A$5003,"&lt;"&amp;EDATE(DATE(2027,3,1),1))+COUNTIFS(Customer_Invoices_Upload!$E$4:$E$5003,$A137,Customer_Invoices_Upload!$G$4:$G$5003,"*Subscription*",Customer_Invoices_Upload!$B$4:$B$5003,"&gt;="&amp;DATE(2027,3,1),Customer_Invoices_Upload!$B$4:$B$5003,"&lt;"&amp;EDATE(DATE(2027,3,1),1))+COUNTIFS(Stripe_Invoices_Upload!$D$4:$D$5003,$A137,Stripe_Invoices_Upload!$E$4:$E$5003,"*Subscription*",Stripe_Invoices_Upload!$A$4:$A$5003,"&gt;="&amp;DATE(2027,3,1),Stripe_Invoices_Upload!$A$4:$A$5003,"&lt;"&amp;EDATE(DATE(2027,3,1),1)))&gt;0,"✓ Invoiced","⚠ Due"),""),""))</f>
        <v/>
      </c>
    </row>
    <row r="138" customFormat="false" ht="15" hidden="false" customHeight="false" outlineLevel="0" collapsed="false">
      <c r="A138" s="39"/>
      <c r="B138" s="39"/>
      <c r="C138" s="40"/>
      <c r="D138" s="39"/>
      <c r="E138" s="38"/>
      <c r="F138" s="129" t="str">
        <f aca="true">IF($A138="","",EDATE($E138,DATEDIF($E138,TODAY(),"m")+1))</f>
        <v/>
      </c>
      <c r="G138" s="130" t="str">
        <f aca="false">IF($A138="","",IF((DATE(YEAR($E138),MONTH($E138),1)&lt;=DATE(2026,4,1)),IF((MOD(DATEDIF(DATE(YEAR($E138),MONTH($E138),1),DATE(2026,4,1),"m"),IF($D138="Quarterly",3,IF($D138="Annual",12,1)))=0),IF((COUNTIFS(Xero_Raw!$D$4:$D$5003,$A138,Xero_Raw!$G$4:$G$5003,"*Subscription*",Xero_Raw!$A$4:$A$5003,"&gt;="&amp;DATE(2026,4,1),Xero_Raw!$A$4:$A$5003,"&lt;"&amp;EDATE(DATE(2026,4,1),1))+COUNTIFS(Customer_Invoices_Upload!$E$4:$E$5003,$A138,Customer_Invoices_Upload!$G$4:$G$5003,"*Subscription*",Customer_Invoices_Upload!$B$4:$B$5003,"&gt;="&amp;DATE(2026,4,1),Customer_Invoices_Upload!$B$4:$B$5003,"&lt;"&amp;EDATE(DATE(2026,4,1),1))+COUNTIFS(Stripe_Invoices_Upload!$D$4:$D$5003,$A138,Stripe_Invoices_Upload!$E$4:$E$5003,"*Subscription*",Stripe_Invoices_Upload!$A$4:$A$5003,"&gt;="&amp;DATE(2026,4,1),Stripe_Invoices_Upload!$A$4:$A$5003,"&lt;"&amp;EDATE(DATE(2026,4,1),1)))&gt;0,"✓ Invoiced","⚠ Due"),""),""))</f>
        <v/>
      </c>
      <c r="H138" s="130" t="str">
        <f aca="false">IF($A138="","",IF((DATE(YEAR($E138),MONTH($E138),1)&lt;=DATE(2026,5,1)),IF((MOD(DATEDIF(DATE(YEAR($E138),MONTH($E138),1),DATE(2026,5,1),"m"),IF($D138="Quarterly",3,IF($D138="Annual",12,1)))=0),IF((COUNTIFS(Xero_Raw!$D$4:$D$5003,$A138,Xero_Raw!$G$4:$G$5003,"*Subscription*",Xero_Raw!$A$4:$A$5003,"&gt;="&amp;DATE(2026,5,1),Xero_Raw!$A$4:$A$5003,"&lt;"&amp;EDATE(DATE(2026,5,1),1))+COUNTIFS(Customer_Invoices_Upload!$E$4:$E$5003,$A138,Customer_Invoices_Upload!$G$4:$G$5003,"*Subscription*",Customer_Invoices_Upload!$B$4:$B$5003,"&gt;="&amp;DATE(2026,5,1),Customer_Invoices_Upload!$B$4:$B$5003,"&lt;"&amp;EDATE(DATE(2026,5,1),1))+COUNTIFS(Stripe_Invoices_Upload!$D$4:$D$5003,$A138,Stripe_Invoices_Upload!$E$4:$E$5003,"*Subscription*",Stripe_Invoices_Upload!$A$4:$A$5003,"&gt;="&amp;DATE(2026,5,1),Stripe_Invoices_Upload!$A$4:$A$5003,"&lt;"&amp;EDATE(DATE(2026,5,1),1)))&gt;0,"✓ Invoiced","⚠ Due"),""),""))</f>
        <v/>
      </c>
      <c r="I138" s="130" t="str">
        <f aca="false">IF($A138="","",IF((DATE(YEAR($E138),MONTH($E138),1)&lt;=DATE(2026,6,1)),IF((MOD(DATEDIF(DATE(YEAR($E138),MONTH($E138),1),DATE(2026,6,1),"m"),IF($D138="Quarterly",3,IF($D138="Annual",12,1)))=0),IF((COUNTIFS(Xero_Raw!$D$4:$D$5003,$A138,Xero_Raw!$G$4:$G$5003,"*Subscription*",Xero_Raw!$A$4:$A$5003,"&gt;="&amp;DATE(2026,6,1),Xero_Raw!$A$4:$A$5003,"&lt;"&amp;EDATE(DATE(2026,6,1),1))+COUNTIFS(Customer_Invoices_Upload!$E$4:$E$5003,$A138,Customer_Invoices_Upload!$G$4:$G$5003,"*Subscription*",Customer_Invoices_Upload!$B$4:$B$5003,"&gt;="&amp;DATE(2026,6,1),Customer_Invoices_Upload!$B$4:$B$5003,"&lt;"&amp;EDATE(DATE(2026,6,1),1))+COUNTIFS(Stripe_Invoices_Upload!$D$4:$D$5003,$A138,Stripe_Invoices_Upload!$E$4:$E$5003,"*Subscription*",Stripe_Invoices_Upload!$A$4:$A$5003,"&gt;="&amp;DATE(2026,6,1),Stripe_Invoices_Upload!$A$4:$A$5003,"&lt;"&amp;EDATE(DATE(2026,6,1),1)))&gt;0,"✓ Invoiced","⚠ Due"),""),""))</f>
        <v/>
      </c>
      <c r="J138" s="130" t="str">
        <f aca="false">IF($A138="","",IF((DATE(YEAR($E138),MONTH($E138),1)&lt;=DATE(2026,7,1)),IF((MOD(DATEDIF(DATE(YEAR($E138),MONTH($E138),1),DATE(2026,7,1),"m"),IF($D138="Quarterly",3,IF($D138="Annual",12,1)))=0),IF((COUNTIFS(Xero_Raw!$D$4:$D$5003,$A138,Xero_Raw!$G$4:$G$5003,"*Subscription*",Xero_Raw!$A$4:$A$5003,"&gt;="&amp;DATE(2026,7,1),Xero_Raw!$A$4:$A$5003,"&lt;"&amp;EDATE(DATE(2026,7,1),1))+COUNTIFS(Customer_Invoices_Upload!$E$4:$E$5003,$A138,Customer_Invoices_Upload!$G$4:$G$5003,"*Subscription*",Customer_Invoices_Upload!$B$4:$B$5003,"&gt;="&amp;DATE(2026,7,1),Customer_Invoices_Upload!$B$4:$B$5003,"&lt;"&amp;EDATE(DATE(2026,7,1),1))+COUNTIFS(Stripe_Invoices_Upload!$D$4:$D$5003,$A138,Stripe_Invoices_Upload!$E$4:$E$5003,"*Subscription*",Stripe_Invoices_Upload!$A$4:$A$5003,"&gt;="&amp;DATE(2026,7,1),Stripe_Invoices_Upload!$A$4:$A$5003,"&lt;"&amp;EDATE(DATE(2026,7,1),1)))&gt;0,"✓ Invoiced","⚠ Due"),""),""))</f>
        <v/>
      </c>
      <c r="K138" s="130" t="str">
        <f aca="false">IF($A138="","",IF((DATE(YEAR($E138),MONTH($E138),1)&lt;=DATE(2026,8,1)),IF((MOD(DATEDIF(DATE(YEAR($E138),MONTH($E138),1),DATE(2026,8,1),"m"),IF($D138="Quarterly",3,IF($D138="Annual",12,1)))=0),IF((COUNTIFS(Xero_Raw!$D$4:$D$5003,$A138,Xero_Raw!$G$4:$G$5003,"*Subscription*",Xero_Raw!$A$4:$A$5003,"&gt;="&amp;DATE(2026,8,1),Xero_Raw!$A$4:$A$5003,"&lt;"&amp;EDATE(DATE(2026,8,1),1))+COUNTIFS(Customer_Invoices_Upload!$E$4:$E$5003,$A138,Customer_Invoices_Upload!$G$4:$G$5003,"*Subscription*",Customer_Invoices_Upload!$B$4:$B$5003,"&gt;="&amp;DATE(2026,8,1),Customer_Invoices_Upload!$B$4:$B$5003,"&lt;"&amp;EDATE(DATE(2026,8,1),1))+COUNTIFS(Stripe_Invoices_Upload!$D$4:$D$5003,$A138,Stripe_Invoices_Upload!$E$4:$E$5003,"*Subscription*",Stripe_Invoices_Upload!$A$4:$A$5003,"&gt;="&amp;DATE(2026,8,1),Stripe_Invoices_Upload!$A$4:$A$5003,"&lt;"&amp;EDATE(DATE(2026,8,1),1)))&gt;0,"✓ Invoiced","⚠ Due"),""),""))</f>
        <v/>
      </c>
      <c r="L138" s="130" t="str">
        <f aca="false">IF($A138="","",IF((DATE(YEAR($E138),MONTH($E138),1)&lt;=DATE(2026,9,1)),IF((MOD(DATEDIF(DATE(YEAR($E138),MONTH($E138),1),DATE(2026,9,1),"m"),IF($D138="Quarterly",3,IF($D138="Annual",12,1)))=0),IF((COUNTIFS(Xero_Raw!$D$4:$D$5003,$A138,Xero_Raw!$G$4:$G$5003,"*Subscription*",Xero_Raw!$A$4:$A$5003,"&gt;="&amp;DATE(2026,9,1),Xero_Raw!$A$4:$A$5003,"&lt;"&amp;EDATE(DATE(2026,9,1),1))+COUNTIFS(Customer_Invoices_Upload!$E$4:$E$5003,$A138,Customer_Invoices_Upload!$G$4:$G$5003,"*Subscription*",Customer_Invoices_Upload!$B$4:$B$5003,"&gt;="&amp;DATE(2026,9,1),Customer_Invoices_Upload!$B$4:$B$5003,"&lt;"&amp;EDATE(DATE(2026,9,1),1))+COUNTIFS(Stripe_Invoices_Upload!$D$4:$D$5003,$A138,Stripe_Invoices_Upload!$E$4:$E$5003,"*Subscription*",Stripe_Invoices_Upload!$A$4:$A$5003,"&gt;="&amp;DATE(2026,9,1),Stripe_Invoices_Upload!$A$4:$A$5003,"&lt;"&amp;EDATE(DATE(2026,9,1),1)))&gt;0,"✓ Invoiced","⚠ Due"),""),""))</f>
        <v/>
      </c>
      <c r="M138" s="130" t="str">
        <f aca="false">IF($A138="","",IF((DATE(YEAR($E138),MONTH($E138),1)&lt;=DATE(2026,10,1)),IF((MOD(DATEDIF(DATE(YEAR($E138),MONTH($E138),1),DATE(2026,10,1),"m"),IF($D138="Quarterly",3,IF($D138="Annual",12,1)))=0),IF((COUNTIFS(Xero_Raw!$D$4:$D$5003,$A138,Xero_Raw!$G$4:$G$5003,"*Subscription*",Xero_Raw!$A$4:$A$5003,"&gt;="&amp;DATE(2026,10,1),Xero_Raw!$A$4:$A$5003,"&lt;"&amp;EDATE(DATE(2026,10,1),1))+COUNTIFS(Customer_Invoices_Upload!$E$4:$E$5003,$A138,Customer_Invoices_Upload!$G$4:$G$5003,"*Subscription*",Customer_Invoices_Upload!$B$4:$B$5003,"&gt;="&amp;DATE(2026,10,1),Customer_Invoices_Upload!$B$4:$B$5003,"&lt;"&amp;EDATE(DATE(2026,10,1),1))+COUNTIFS(Stripe_Invoices_Upload!$D$4:$D$5003,$A138,Stripe_Invoices_Upload!$E$4:$E$5003,"*Subscription*",Stripe_Invoices_Upload!$A$4:$A$5003,"&gt;="&amp;DATE(2026,10,1),Stripe_Invoices_Upload!$A$4:$A$5003,"&lt;"&amp;EDATE(DATE(2026,10,1),1)))&gt;0,"✓ Invoiced","⚠ Due"),""),""))</f>
        <v/>
      </c>
      <c r="N138" s="130" t="str">
        <f aca="false">IF($A138="","",IF((DATE(YEAR($E138),MONTH($E138),1)&lt;=DATE(2026,11,1)),IF((MOD(DATEDIF(DATE(YEAR($E138),MONTH($E138),1),DATE(2026,11,1),"m"),IF($D138="Quarterly",3,IF($D138="Annual",12,1)))=0),IF((COUNTIFS(Xero_Raw!$D$4:$D$5003,$A138,Xero_Raw!$G$4:$G$5003,"*Subscription*",Xero_Raw!$A$4:$A$5003,"&gt;="&amp;DATE(2026,11,1),Xero_Raw!$A$4:$A$5003,"&lt;"&amp;EDATE(DATE(2026,11,1),1))+COUNTIFS(Customer_Invoices_Upload!$E$4:$E$5003,$A138,Customer_Invoices_Upload!$G$4:$G$5003,"*Subscription*",Customer_Invoices_Upload!$B$4:$B$5003,"&gt;="&amp;DATE(2026,11,1),Customer_Invoices_Upload!$B$4:$B$5003,"&lt;"&amp;EDATE(DATE(2026,11,1),1))+COUNTIFS(Stripe_Invoices_Upload!$D$4:$D$5003,$A138,Stripe_Invoices_Upload!$E$4:$E$5003,"*Subscription*",Stripe_Invoices_Upload!$A$4:$A$5003,"&gt;="&amp;DATE(2026,11,1),Stripe_Invoices_Upload!$A$4:$A$5003,"&lt;"&amp;EDATE(DATE(2026,11,1),1)))&gt;0,"✓ Invoiced","⚠ Due"),""),""))</f>
        <v/>
      </c>
      <c r="O138" s="130" t="str">
        <f aca="false">IF($A138="","",IF((DATE(YEAR($E138),MONTH($E138),1)&lt;=DATE(2026,12,1)),IF((MOD(DATEDIF(DATE(YEAR($E138),MONTH($E138),1),DATE(2026,12,1),"m"),IF($D138="Quarterly",3,IF($D138="Annual",12,1)))=0),IF((COUNTIFS(Xero_Raw!$D$4:$D$5003,$A138,Xero_Raw!$G$4:$G$5003,"*Subscription*",Xero_Raw!$A$4:$A$5003,"&gt;="&amp;DATE(2026,12,1),Xero_Raw!$A$4:$A$5003,"&lt;"&amp;EDATE(DATE(2026,12,1),1))+COUNTIFS(Customer_Invoices_Upload!$E$4:$E$5003,$A138,Customer_Invoices_Upload!$G$4:$G$5003,"*Subscription*",Customer_Invoices_Upload!$B$4:$B$5003,"&gt;="&amp;DATE(2026,12,1),Customer_Invoices_Upload!$B$4:$B$5003,"&lt;"&amp;EDATE(DATE(2026,12,1),1))+COUNTIFS(Stripe_Invoices_Upload!$D$4:$D$5003,$A138,Stripe_Invoices_Upload!$E$4:$E$5003,"*Subscription*",Stripe_Invoices_Upload!$A$4:$A$5003,"&gt;="&amp;DATE(2026,12,1),Stripe_Invoices_Upload!$A$4:$A$5003,"&lt;"&amp;EDATE(DATE(2026,12,1),1)))&gt;0,"✓ Invoiced","⚠ Due"),""),""))</f>
        <v/>
      </c>
      <c r="P138" s="130" t="str">
        <f aca="false">IF($A138="","",IF((DATE(YEAR($E138),MONTH($E138),1)&lt;=DATE(2027,1,1)),IF((MOD(DATEDIF(DATE(YEAR($E138),MONTH($E138),1),DATE(2027,1,1),"m"),IF($D138="Quarterly",3,IF($D138="Annual",12,1)))=0),IF((COUNTIFS(Xero_Raw!$D$4:$D$5003,$A138,Xero_Raw!$G$4:$G$5003,"*Subscription*",Xero_Raw!$A$4:$A$5003,"&gt;="&amp;DATE(2027,1,1),Xero_Raw!$A$4:$A$5003,"&lt;"&amp;EDATE(DATE(2027,1,1),1))+COUNTIFS(Customer_Invoices_Upload!$E$4:$E$5003,$A138,Customer_Invoices_Upload!$G$4:$G$5003,"*Subscription*",Customer_Invoices_Upload!$B$4:$B$5003,"&gt;="&amp;DATE(2027,1,1),Customer_Invoices_Upload!$B$4:$B$5003,"&lt;"&amp;EDATE(DATE(2027,1,1),1))+COUNTIFS(Stripe_Invoices_Upload!$D$4:$D$5003,$A138,Stripe_Invoices_Upload!$E$4:$E$5003,"*Subscription*",Stripe_Invoices_Upload!$A$4:$A$5003,"&gt;="&amp;DATE(2027,1,1),Stripe_Invoices_Upload!$A$4:$A$5003,"&lt;"&amp;EDATE(DATE(2027,1,1),1)))&gt;0,"✓ Invoiced","⚠ Due"),""),""))</f>
        <v/>
      </c>
      <c r="Q138" s="130" t="str">
        <f aca="false">IF($A138="","",IF((DATE(YEAR($E138),MONTH($E138),1)&lt;=DATE(2027,2,1)),IF((MOD(DATEDIF(DATE(YEAR($E138),MONTH($E138),1),DATE(2027,2,1),"m"),IF($D138="Quarterly",3,IF($D138="Annual",12,1)))=0),IF((COUNTIFS(Xero_Raw!$D$4:$D$5003,$A138,Xero_Raw!$G$4:$G$5003,"*Subscription*",Xero_Raw!$A$4:$A$5003,"&gt;="&amp;DATE(2027,2,1),Xero_Raw!$A$4:$A$5003,"&lt;"&amp;EDATE(DATE(2027,2,1),1))+COUNTIFS(Customer_Invoices_Upload!$E$4:$E$5003,$A138,Customer_Invoices_Upload!$G$4:$G$5003,"*Subscription*",Customer_Invoices_Upload!$B$4:$B$5003,"&gt;="&amp;DATE(2027,2,1),Customer_Invoices_Upload!$B$4:$B$5003,"&lt;"&amp;EDATE(DATE(2027,2,1),1))+COUNTIFS(Stripe_Invoices_Upload!$D$4:$D$5003,$A138,Stripe_Invoices_Upload!$E$4:$E$5003,"*Subscription*",Stripe_Invoices_Upload!$A$4:$A$5003,"&gt;="&amp;DATE(2027,2,1),Stripe_Invoices_Upload!$A$4:$A$5003,"&lt;"&amp;EDATE(DATE(2027,2,1),1)))&gt;0,"✓ Invoiced","⚠ Due"),""),""))</f>
        <v/>
      </c>
      <c r="R138" s="130" t="str">
        <f aca="false">IF($A138="","",IF((DATE(YEAR($E138),MONTH($E138),1)&lt;=DATE(2027,3,1)),IF((MOD(DATEDIF(DATE(YEAR($E138),MONTH($E138),1),DATE(2027,3,1),"m"),IF($D138="Quarterly",3,IF($D138="Annual",12,1)))=0),IF((COUNTIFS(Xero_Raw!$D$4:$D$5003,$A138,Xero_Raw!$G$4:$G$5003,"*Subscription*",Xero_Raw!$A$4:$A$5003,"&gt;="&amp;DATE(2027,3,1),Xero_Raw!$A$4:$A$5003,"&lt;"&amp;EDATE(DATE(2027,3,1),1))+COUNTIFS(Customer_Invoices_Upload!$E$4:$E$5003,$A138,Customer_Invoices_Upload!$G$4:$G$5003,"*Subscription*",Customer_Invoices_Upload!$B$4:$B$5003,"&gt;="&amp;DATE(2027,3,1),Customer_Invoices_Upload!$B$4:$B$5003,"&lt;"&amp;EDATE(DATE(2027,3,1),1))+COUNTIFS(Stripe_Invoices_Upload!$D$4:$D$5003,$A138,Stripe_Invoices_Upload!$E$4:$E$5003,"*Subscription*",Stripe_Invoices_Upload!$A$4:$A$5003,"&gt;="&amp;DATE(2027,3,1),Stripe_Invoices_Upload!$A$4:$A$5003,"&lt;"&amp;EDATE(DATE(2027,3,1),1)))&gt;0,"✓ Invoiced","⚠ Due"),""),""))</f>
        <v/>
      </c>
    </row>
    <row r="139" customFormat="false" ht="15" hidden="false" customHeight="false" outlineLevel="0" collapsed="false">
      <c r="A139" s="39"/>
      <c r="B139" s="39"/>
      <c r="C139" s="40"/>
      <c r="D139" s="39"/>
      <c r="E139" s="38"/>
      <c r="F139" s="129" t="str">
        <f aca="true">IF($A139="","",EDATE($E139,DATEDIF($E139,TODAY(),"m")+1))</f>
        <v/>
      </c>
      <c r="G139" s="130" t="str">
        <f aca="false">IF($A139="","",IF((DATE(YEAR($E139),MONTH($E139),1)&lt;=DATE(2026,4,1)),IF((MOD(DATEDIF(DATE(YEAR($E139),MONTH($E139),1),DATE(2026,4,1),"m"),IF($D139="Quarterly",3,IF($D139="Annual",12,1)))=0),IF((COUNTIFS(Xero_Raw!$D$4:$D$5003,$A139,Xero_Raw!$G$4:$G$5003,"*Subscription*",Xero_Raw!$A$4:$A$5003,"&gt;="&amp;DATE(2026,4,1),Xero_Raw!$A$4:$A$5003,"&lt;"&amp;EDATE(DATE(2026,4,1),1))+COUNTIFS(Customer_Invoices_Upload!$E$4:$E$5003,$A139,Customer_Invoices_Upload!$G$4:$G$5003,"*Subscription*",Customer_Invoices_Upload!$B$4:$B$5003,"&gt;="&amp;DATE(2026,4,1),Customer_Invoices_Upload!$B$4:$B$5003,"&lt;"&amp;EDATE(DATE(2026,4,1),1))+COUNTIFS(Stripe_Invoices_Upload!$D$4:$D$5003,$A139,Stripe_Invoices_Upload!$E$4:$E$5003,"*Subscription*",Stripe_Invoices_Upload!$A$4:$A$5003,"&gt;="&amp;DATE(2026,4,1),Stripe_Invoices_Upload!$A$4:$A$5003,"&lt;"&amp;EDATE(DATE(2026,4,1),1)))&gt;0,"✓ Invoiced","⚠ Due"),""),""))</f>
        <v/>
      </c>
      <c r="H139" s="130" t="str">
        <f aca="false">IF($A139="","",IF((DATE(YEAR($E139),MONTH($E139),1)&lt;=DATE(2026,5,1)),IF((MOD(DATEDIF(DATE(YEAR($E139),MONTH($E139),1),DATE(2026,5,1),"m"),IF($D139="Quarterly",3,IF($D139="Annual",12,1)))=0),IF((COUNTIFS(Xero_Raw!$D$4:$D$5003,$A139,Xero_Raw!$G$4:$G$5003,"*Subscription*",Xero_Raw!$A$4:$A$5003,"&gt;="&amp;DATE(2026,5,1),Xero_Raw!$A$4:$A$5003,"&lt;"&amp;EDATE(DATE(2026,5,1),1))+COUNTIFS(Customer_Invoices_Upload!$E$4:$E$5003,$A139,Customer_Invoices_Upload!$G$4:$G$5003,"*Subscription*",Customer_Invoices_Upload!$B$4:$B$5003,"&gt;="&amp;DATE(2026,5,1),Customer_Invoices_Upload!$B$4:$B$5003,"&lt;"&amp;EDATE(DATE(2026,5,1),1))+COUNTIFS(Stripe_Invoices_Upload!$D$4:$D$5003,$A139,Stripe_Invoices_Upload!$E$4:$E$5003,"*Subscription*",Stripe_Invoices_Upload!$A$4:$A$5003,"&gt;="&amp;DATE(2026,5,1),Stripe_Invoices_Upload!$A$4:$A$5003,"&lt;"&amp;EDATE(DATE(2026,5,1),1)))&gt;0,"✓ Invoiced","⚠ Due"),""),""))</f>
        <v/>
      </c>
      <c r="I139" s="130" t="str">
        <f aca="false">IF($A139="","",IF((DATE(YEAR($E139),MONTH($E139),1)&lt;=DATE(2026,6,1)),IF((MOD(DATEDIF(DATE(YEAR($E139),MONTH($E139),1),DATE(2026,6,1),"m"),IF($D139="Quarterly",3,IF($D139="Annual",12,1)))=0),IF((COUNTIFS(Xero_Raw!$D$4:$D$5003,$A139,Xero_Raw!$G$4:$G$5003,"*Subscription*",Xero_Raw!$A$4:$A$5003,"&gt;="&amp;DATE(2026,6,1),Xero_Raw!$A$4:$A$5003,"&lt;"&amp;EDATE(DATE(2026,6,1),1))+COUNTIFS(Customer_Invoices_Upload!$E$4:$E$5003,$A139,Customer_Invoices_Upload!$G$4:$G$5003,"*Subscription*",Customer_Invoices_Upload!$B$4:$B$5003,"&gt;="&amp;DATE(2026,6,1),Customer_Invoices_Upload!$B$4:$B$5003,"&lt;"&amp;EDATE(DATE(2026,6,1),1))+COUNTIFS(Stripe_Invoices_Upload!$D$4:$D$5003,$A139,Stripe_Invoices_Upload!$E$4:$E$5003,"*Subscription*",Stripe_Invoices_Upload!$A$4:$A$5003,"&gt;="&amp;DATE(2026,6,1),Stripe_Invoices_Upload!$A$4:$A$5003,"&lt;"&amp;EDATE(DATE(2026,6,1),1)))&gt;0,"✓ Invoiced","⚠ Due"),""),""))</f>
        <v/>
      </c>
      <c r="J139" s="130" t="str">
        <f aca="false">IF($A139="","",IF((DATE(YEAR($E139),MONTH($E139),1)&lt;=DATE(2026,7,1)),IF((MOD(DATEDIF(DATE(YEAR($E139),MONTH($E139),1),DATE(2026,7,1),"m"),IF($D139="Quarterly",3,IF($D139="Annual",12,1)))=0),IF((COUNTIFS(Xero_Raw!$D$4:$D$5003,$A139,Xero_Raw!$G$4:$G$5003,"*Subscription*",Xero_Raw!$A$4:$A$5003,"&gt;="&amp;DATE(2026,7,1),Xero_Raw!$A$4:$A$5003,"&lt;"&amp;EDATE(DATE(2026,7,1),1))+COUNTIFS(Customer_Invoices_Upload!$E$4:$E$5003,$A139,Customer_Invoices_Upload!$G$4:$G$5003,"*Subscription*",Customer_Invoices_Upload!$B$4:$B$5003,"&gt;="&amp;DATE(2026,7,1),Customer_Invoices_Upload!$B$4:$B$5003,"&lt;"&amp;EDATE(DATE(2026,7,1),1))+COUNTIFS(Stripe_Invoices_Upload!$D$4:$D$5003,$A139,Stripe_Invoices_Upload!$E$4:$E$5003,"*Subscription*",Stripe_Invoices_Upload!$A$4:$A$5003,"&gt;="&amp;DATE(2026,7,1),Stripe_Invoices_Upload!$A$4:$A$5003,"&lt;"&amp;EDATE(DATE(2026,7,1),1)))&gt;0,"✓ Invoiced","⚠ Due"),""),""))</f>
        <v/>
      </c>
      <c r="K139" s="130" t="str">
        <f aca="false">IF($A139="","",IF((DATE(YEAR($E139),MONTH($E139),1)&lt;=DATE(2026,8,1)),IF((MOD(DATEDIF(DATE(YEAR($E139),MONTH($E139),1),DATE(2026,8,1),"m"),IF($D139="Quarterly",3,IF($D139="Annual",12,1)))=0),IF((COUNTIFS(Xero_Raw!$D$4:$D$5003,$A139,Xero_Raw!$G$4:$G$5003,"*Subscription*",Xero_Raw!$A$4:$A$5003,"&gt;="&amp;DATE(2026,8,1),Xero_Raw!$A$4:$A$5003,"&lt;"&amp;EDATE(DATE(2026,8,1),1))+COUNTIFS(Customer_Invoices_Upload!$E$4:$E$5003,$A139,Customer_Invoices_Upload!$G$4:$G$5003,"*Subscription*",Customer_Invoices_Upload!$B$4:$B$5003,"&gt;="&amp;DATE(2026,8,1),Customer_Invoices_Upload!$B$4:$B$5003,"&lt;"&amp;EDATE(DATE(2026,8,1),1))+COUNTIFS(Stripe_Invoices_Upload!$D$4:$D$5003,$A139,Stripe_Invoices_Upload!$E$4:$E$5003,"*Subscription*",Stripe_Invoices_Upload!$A$4:$A$5003,"&gt;="&amp;DATE(2026,8,1),Stripe_Invoices_Upload!$A$4:$A$5003,"&lt;"&amp;EDATE(DATE(2026,8,1),1)))&gt;0,"✓ Invoiced","⚠ Due"),""),""))</f>
        <v/>
      </c>
      <c r="L139" s="130" t="str">
        <f aca="false">IF($A139="","",IF((DATE(YEAR($E139),MONTH($E139),1)&lt;=DATE(2026,9,1)),IF((MOD(DATEDIF(DATE(YEAR($E139),MONTH($E139),1),DATE(2026,9,1),"m"),IF($D139="Quarterly",3,IF($D139="Annual",12,1)))=0),IF((COUNTIFS(Xero_Raw!$D$4:$D$5003,$A139,Xero_Raw!$G$4:$G$5003,"*Subscription*",Xero_Raw!$A$4:$A$5003,"&gt;="&amp;DATE(2026,9,1),Xero_Raw!$A$4:$A$5003,"&lt;"&amp;EDATE(DATE(2026,9,1),1))+COUNTIFS(Customer_Invoices_Upload!$E$4:$E$5003,$A139,Customer_Invoices_Upload!$G$4:$G$5003,"*Subscription*",Customer_Invoices_Upload!$B$4:$B$5003,"&gt;="&amp;DATE(2026,9,1),Customer_Invoices_Upload!$B$4:$B$5003,"&lt;"&amp;EDATE(DATE(2026,9,1),1))+COUNTIFS(Stripe_Invoices_Upload!$D$4:$D$5003,$A139,Stripe_Invoices_Upload!$E$4:$E$5003,"*Subscription*",Stripe_Invoices_Upload!$A$4:$A$5003,"&gt;="&amp;DATE(2026,9,1),Stripe_Invoices_Upload!$A$4:$A$5003,"&lt;"&amp;EDATE(DATE(2026,9,1),1)))&gt;0,"✓ Invoiced","⚠ Due"),""),""))</f>
        <v/>
      </c>
      <c r="M139" s="130" t="str">
        <f aca="false">IF($A139="","",IF((DATE(YEAR($E139),MONTH($E139),1)&lt;=DATE(2026,10,1)),IF((MOD(DATEDIF(DATE(YEAR($E139),MONTH($E139),1),DATE(2026,10,1),"m"),IF($D139="Quarterly",3,IF($D139="Annual",12,1)))=0),IF((COUNTIFS(Xero_Raw!$D$4:$D$5003,$A139,Xero_Raw!$G$4:$G$5003,"*Subscription*",Xero_Raw!$A$4:$A$5003,"&gt;="&amp;DATE(2026,10,1),Xero_Raw!$A$4:$A$5003,"&lt;"&amp;EDATE(DATE(2026,10,1),1))+COUNTIFS(Customer_Invoices_Upload!$E$4:$E$5003,$A139,Customer_Invoices_Upload!$G$4:$G$5003,"*Subscription*",Customer_Invoices_Upload!$B$4:$B$5003,"&gt;="&amp;DATE(2026,10,1),Customer_Invoices_Upload!$B$4:$B$5003,"&lt;"&amp;EDATE(DATE(2026,10,1),1))+COUNTIFS(Stripe_Invoices_Upload!$D$4:$D$5003,$A139,Stripe_Invoices_Upload!$E$4:$E$5003,"*Subscription*",Stripe_Invoices_Upload!$A$4:$A$5003,"&gt;="&amp;DATE(2026,10,1),Stripe_Invoices_Upload!$A$4:$A$5003,"&lt;"&amp;EDATE(DATE(2026,10,1),1)))&gt;0,"✓ Invoiced","⚠ Due"),""),""))</f>
        <v/>
      </c>
      <c r="N139" s="130" t="str">
        <f aca="false">IF($A139="","",IF((DATE(YEAR($E139),MONTH($E139),1)&lt;=DATE(2026,11,1)),IF((MOD(DATEDIF(DATE(YEAR($E139),MONTH($E139),1),DATE(2026,11,1),"m"),IF($D139="Quarterly",3,IF($D139="Annual",12,1)))=0),IF((COUNTIFS(Xero_Raw!$D$4:$D$5003,$A139,Xero_Raw!$G$4:$G$5003,"*Subscription*",Xero_Raw!$A$4:$A$5003,"&gt;="&amp;DATE(2026,11,1),Xero_Raw!$A$4:$A$5003,"&lt;"&amp;EDATE(DATE(2026,11,1),1))+COUNTIFS(Customer_Invoices_Upload!$E$4:$E$5003,$A139,Customer_Invoices_Upload!$G$4:$G$5003,"*Subscription*",Customer_Invoices_Upload!$B$4:$B$5003,"&gt;="&amp;DATE(2026,11,1),Customer_Invoices_Upload!$B$4:$B$5003,"&lt;"&amp;EDATE(DATE(2026,11,1),1))+COUNTIFS(Stripe_Invoices_Upload!$D$4:$D$5003,$A139,Stripe_Invoices_Upload!$E$4:$E$5003,"*Subscription*",Stripe_Invoices_Upload!$A$4:$A$5003,"&gt;="&amp;DATE(2026,11,1),Stripe_Invoices_Upload!$A$4:$A$5003,"&lt;"&amp;EDATE(DATE(2026,11,1),1)))&gt;0,"✓ Invoiced","⚠ Due"),""),""))</f>
        <v/>
      </c>
      <c r="O139" s="130" t="str">
        <f aca="false">IF($A139="","",IF((DATE(YEAR($E139),MONTH($E139),1)&lt;=DATE(2026,12,1)),IF((MOD(DATEDIF(DATE(YEAR($E139),MONTH($E139),1),DATE(2026,12,1),"m"),IF($D139="Quarterly",3,IF($D139="Annual",12,1)))=0),IF((COUNTIFS(Xero_Raw!$D$4:$D$5003,$A139,Xero_Raw!$G$4:$G$5003,"*Subscription*",Xero_Raw!$A$4:$A$5003,"&gt;="&amp;DATE(2026,12,1),Xero_Raw!$A$4:$A$5003,"&lt;"&amp;EDATE(DATE(2026,12,1),1))+COUNTIFS(Customer_Invoices_Upload!$E$4:$E$5003,$A139,Customer_Invoices_Upload!$G$4:$G$5003,"*Subscription*",Customer_Invoices_Upload!$B$4:$B$5003,"&gt;="&amp;DATE(2026,12,1),Customer_Invoices_Upload!$B$4:$B$5003,"&lt;"&amp;EDATE(DATE(2026,12,1),1))+COUNTIFS(Stripe_Invoices_Upload!$D$4:$D$5003,$A139,Stripe_Invoices_Upload!$E$4:$E$5003,"*Subscription*",Stripe_Invoices_Upload!$A$4:$A$5003,"&gt;="&amp;DATE(2026,12,1),Stripe_Invoices_Upload!$A$4:$A$5003,"&lt;"&amp;EDATE(DATE(2026,12,1),1)))&gt;0,"✓ Invoiced","⚠ Due"),""),""))</f>
        <v/>
      </c>
      <c r="P139" s="130" t="str">
        <f aca="false">IF($A139="","",IF((DATE(YEAR($E139),MONTH($E139),1)&lt;=DATE(2027,1,1)),IF((MOD(DATEDIF(DATE(YEAR($E139),MONTH($E139),1),DATE(2027,1,1),"m"),IF($D139="Quarterly",3,IF($D139="Annual",12,1)))=0),IF((COUNTIFS(Xero_Raw!$D$4:$D$5003,$A139,Xero_Raw!$G$4:$G$5003,"*Subscription*",Xero_Raw!$A$4:$A$5003,"&gt;="&amp;DATE(2027,1,1),Xero_Raw!$A$4:$A$5003,"&lt;"&amp;EDATE(DATE(2027,1,1),1))+COUNTIFS(Customer_Invoices_Upload!$E$4:$E$5003,$A139,Customer_Invoices_Upload!$G$4:$G$5003,"*Subscription*",Customer_Invoices_Upload!$B$4:$B$5003,"&gt;="&amp;DATE(2027,1,1),Customer_Invoices_Upload!$B$4:$B$5003,"&lt;"&amp;EDATE(DATE(2027,1,1),1))+COUNTIFS(Stripe_Invoices_Upload!$D$4:$D$5003,$A139,Stripe_Invoices_Upload!$E$4:$E$5003,"*Subscription*",Stripe_Invoices_Upload!$A$4:$A$5003,"&gt;="&amp;DATE(2027,1,1),Stripe_Invoices_Upload!$A$4:$A$5003,"&lt;"&amp;EDATE(DATE(2027,1,1),1)))&gt;0,"✓ Invoiced","⚠ Due"),""),""))</f>
        <v/>
      </c>
      <c r="Q139" s="130" t="str">
        <f aca="false">IF($A139="","",IF((DATE(YEAR($E139),MONTH($E139),1)&lt;=DATE(2027,2,1)),IF((MOD(DATEDIF(DATE(YEAR($E139),MONTH($E139),1),DATE(2027,2,1),"m"),IF($D139="Quarterly",3,IF($D139="Annual",12,1)))=0),IF((COUNTIFS(Xero_Raw!$D$4:$D$5003,$A139,Xero_Raw!$G$4:$G$5003,"*Subscription*",Xero_Raw!$A$4:$A$5003,"&gt;="&amp;DATE(2027,2,1),Xero_Raw!$A$4:$A$5003,"&lt;"&amp;EDATE(DATE(2027,2,1),1))+COUNTIFS(Customer_Invoices_Upload!$E$4:$E$5003,$A139,Customer_Invoices_Upload!$G$4:$G$5003,"*Subscription*",Customer_Invoices_Upload!$B$4:$B$5003,"&gt;="&amp;DATE(2027,2,1),Customer_Invoices_Upload!$B$4:$B$5003,"&lt;"&amp;EDATE(DATE(2027,2,1),1))+COUNTIFS(Stripe_Invoices_Upload!$D$4:$D$5003,$A139,Stripe_Invoices_Upload!$E$4:$E$5003,"*Subscription*",Stripe_Invoices_Upload!$A$4:$A$5003,"&gt;="&amp;DATE(2027,2,1),Stripe_Invoices_Upload!$A$4:$A$5003,"&lt;"&amp;EDATE(DATE(2027,2,1),1)))&gt;0,"✓ Invoiced","⚠ Due"),""),""))</f>
        <v/>
      </c>
      <c r="R139" s="130" t="str">
        <f aca="false">IF($A139="","",IF((DATE(YEAR($E139),MONTH($E139),1)&lt;=DATE(2027,3,1)),IF((MOD(DATEDIF(DATE(YEAR($E139),MONTH($E139),1),DATE(2027,3,1),"m"),IF($D139="Quarterly",3,IF($D139="Annual",12,1)))=0),IF((COUNTIFS(Xero_Raw!$D$4:$D$5003,$A139,Xero_Raw!$G$4:$G$5003,"*Subscription*",Xero_Raw!$A$4:$A$5003,"&gt;="&amp;DATE(2027,3,1),Xero_Raw!$A$4:$A$5003,"&lt;"&amp;EDATE(DATE(2027,3,1),1))+COUNTIFS(Customer_Invoices_Upload!$E$4:$E$5003,$A139,Customer_Invoices_Upload!$G$4:$G$5003,"*Subscription*",Customer_Invoices_Upload!$B$4:$B$5003,"&gt;="&amp;DATE(2027,3,1),Customer_Invoices_Upload!$B$4:$B$5003,"&lt;"&amp;EDATE(DATE(2027,3,1),1))+COUNTIFS(Stripe_Invoices_Upload!$D$4:$D$5003,$A139,Stripe_Invoices_Upload!$E$4:$E$5003,"*Subscription*",Stripe_Invoices_Upload!$A$4:$A$5003,"&gt;="&amp;DATE(2027,3,1),Stripe_Invoices_Upload!$A$4:$A$5003,"&lt;"&amp;EDATE(DATE(2027,3,1),1)))&gt;0,"✓ Invoiced","⚠ Due"),""),""))</f>
        <v/>
      </c>
    </row>
    <row r="140" customFormat="false" ht="15" hidden="false" customHeight="false" outlineLevel="0" collapsed="false">
      <c r="A140" s="39"/>
      <c r="B140" s="39"/>
      <c r="C140" s="40"/>
      <c r="D140" s="39"/>
      <c r="E140" s="38"/>
      <c r="F140" s="129" t="str">
        <f aca="true">IF($A140="","",EDATE($E140,DATEDIF($E140,TODAY(),"m")+1))</f>
        <v/>
      </c>
      <c r="G140" s="130" t="str">
        <f aca="false">IF($A140="","",IF((DATE(YEAR($E140),MONTH($E140),1)&lt;=DATE(2026,4,1)),IF((MOD(DATEDIF(DATE(YEAR($E140),MONTH($E140),1),DATE(2026,4,1),"m"),IF($D140="Quarterly",3,IF($D140="Annual",12,1)))=0),IF((COUNTIFS(Xero_Raw!$D$4:$D$5003,$A140,Xero_Raw!$G$4:$G$5003,"*Subscription*",Xero_Raw!$A$4:$A$5003,"&gt;="&amp;DATE(2026,4,1),Xero_Raw!$A$4:$A$5003,"&lt;"&amp;EDATE(DATE(2026,4,1),1))+COUNTIFS(Customer_Invoices_Upload!$E$4:$E$5003,$A140,Customer_Invoices_Upload!$G$4:$G$5003,"*Subscription*",Customer_Invoices_Upload!$B$4:$B$5003,"&gt;="&amp;DATE(2026,4,1),Customer_Invoices_Upload!$B$4:$B$5003,"&lt;"&amp;EDATE(DATE(2026,4,1),1))+COUNTIFS(Stripe_Invoices_Upload!$D$4:$D$5003,$A140,Stripe_Invoices_Upload!$E$4:$E$5003,"*Subscription*",Stripe_Invoices_Upload!$A$4:$A$5003,"&gt;="&amp;DATE(2026,4,1),Stripe_Invoices_Upload!$A$4:$A$5003,"&lt;"&amp;EDATE(DATE(2026,4,1),1)))&gt;0,"✓ Invoiced","⚠ Due"),""),""))</f>
        <v/>
      </c>
      <c r="H140" s="130" t="str">
        <f aca="false">IF($A140="","",IF((DATE(YEAR($E140),MONTH($E140),1)&lt;=DATE(2026,5,1)),IF((MOD(DATEDIF(DATE(YEAR($E140),MONTH($E140),1),DATE(2026,5,1),"m"),IF($D140="Quarterly",3,IF($D140="Annual",12,1)))=0),IF((COUNTIFS(Xero_Raw!$D$4:$D$5003,$A140,Xero_Raw!$G$4:$G$5003,"*Subscription*",Xero_Raw!$A$4:$A$5003,"&gt;="&amp;DATE(2026,5,1),Xero_Raw!$A$4:$A$5003,"&lt;"&amp;EDATE(DATE(2026,5,1),1))+COUNTIFS(Customer_Invoices_Upload!$E$4:$E$5003,$A140,Customer_Invoices_Upload!$G$4:$G$5003,"*Subscription*",Customer_Invoices_Upload!$B$4:$B$5003,"&gt;="&amp;DATE(2026,5,1),Customer_Invoices_Upload!$B$4:$B$5003,"&lt;"&amp;EDATE(DATE(2026,5,1),1))+COUNTIFS(Stripe_Invoices_Upload!$D$4:$D$5003,$A140,Stripe_Invoices_Upload!$E$4:$E$5003,"*Subscription*",Stripe_Invoices_Upload!$A$4:$A$5003,"&gt;="&amp;DATE(2026,5,1),Stripe_Invoices_Upload!$A$4:$A$5003,"&lt;"&amp;EDATE(DATE(2026,5,1),1)))&gt;0,"✓ Invoiced","⚠ Due"),""),""))</f>
        <v/>
      </c>
      <c r="I140" s="130" t="str">
        <f aca="false">IF($A140="","",IF((DATE(YEAR($E140),MONTH($E140),1)&lt;=DATE(2026,6,1)),IF((MOD(DATEDIF(DATE(YEAR($E140),MONTH($E140),1),DATE(2026,6,1),"m"),IF($D140="Quarterly",3,IF($D140="Annual",12,1)))=0),IF((COUNTIFS(Xero_Raw!$D$4:$D$5003,$A140,Xero_Raw!$G$4:$G$5003,"*Subscription*",Xero_Raw!$A$4:$A$5003,"&gt;="&amp;DATE(2026,6,1),Xero_Raw!$A$4:$A$5003,"&lt;"&amp;EDATE(DATE(2026,6,1),1))+COUNTIFS(Customer_Invoices_Upload!$E$4:$E$5003,$A140,Customer_Invoices_Upload!$G$4:$G$5003,"*Subscription*",Customer_Invoices_Upload!$B$4:$B$5003,"&gt;="&amp;DATE(2026,6,1),Customer_Invoices_Upload!$B$4:$B$5003,"&lt;"&amp;EDATE(DATE(2026,6,1),1))+COUNTIFS(Stripe_Invoices_Upload!$D$4:$D$5003,$A140,Stripe_Invoices_Upload!$E$4:$E$5003,"*Subscription*",Stripe_Invoices_Upload!$A$4:$A$5003,"&gt;="&amp;DATE(2026,6,1),Stripe_Invoices_Upload!$A$4:$A$5003,"&lt;"&amp;EDATE(DATE(2026,6,1),1)))&gt;0,"✓ Invoiced","⚠ Due"),""),""))</f>
        <v/>
      </c>
      <c r="J140" s="130" t="str">
        <f aca="false">IF($A140="","",IF((DATE(YEAR($E140),MONTH($E140),1)&lt;=DATE(2026,7,1)),IF((MOD(DATEDIF(DATE(YEAR($E140),MONTH($E140),1),DATE(2026,7,1),"m"),IF($D140="Quarterly",3,IF($D140="Annual",12,1)))=0),IF((COUNTIFS(Xero_Raw!$D$4:$D$5003,$A140,Xero_Raw!$G$4:$G$5003,"*Subscription*",Xero_Raw!$A$4:$A$5003,"&gt;="&amp;DATE(2026,7,1),Xero_Raw!$A$4:$A$5003,"&lt;"&amp;EDATE(DATE(2026,7,1),1))+COUNTIFS(Customer_Invoices_Upload!$E$4:$E$5003,$A140,Customer_Invoices_Upload!$G$4:$G$5003,"*Subscription*",Customer_Invoices_Upload!$B$4:$B$5003,"&gt;="&amp;DATE(2026,7,1),Customer_Invoices_Upload!$B$4:$B$5003,"&lt;"&amp;EDATE(DATE(2026,7,1),1))+COUNTIFS(Stripe_Invoices_Upload!$D$4:$D$5003,$A140,Stripe_Invoices_Upload!$E$4:$E$5003,"*Subscription*",Stripe_Invoices_Upload!$A$4:$A$5003,"&gt;="&amp;DATE(2026,7,1),Stripe_Invoices_Upload!$A$4:$A$5003,"&lt;"&amp;EDATE(DATE(2026,7,1),1)))&gt;0,"✓ Invoiced","⚠ Due"),""),""))</f>
        <v/>
      </c>
      <c r="K140" s="130" t="str">
        <f aca="false">IF($A140="","",IF((DATE(YEAR($E140),MONTH($E140),1)&lt;=DATE(2026,8,1)),IF((MOD(DATEDIF(DATE(YEAR($E140),MONTH($E140),1),DATE(2026,8,1),"m"),IF($D140="Quarterly",3,IF($D140="Annual",12,1)))=0),IF((COUNTIFS(Xero_Raw!$D$4:$D$5003,$A140,Xero_Raw!$G$4:$G$5003,"*Subscription*",Xero_Raw!$A$4:$A$5003,"&gt;="&amp;DATE(2026,8,1),Xero_Raw!$A$4:$A$5003,"&lt;"&amp;EDATE(DATE(2026,8,1),1))+COUNTIFS(Customer_Invoices_Upload!$E$4:$E$5003,$A140,Customer_Invoices_Upload!$G$4:$G$5003,"*Subscription*",Customer_Invoices_Upload!$B$4:$B$5003,"&gt;="&amp;DATE(2026,8,1),Customer_Invoices_Upload!$B$4:$B$5003,"&lt;"&amp;EDATE(DATE(2026,8,1),1))+COUNTIFS(Stripe_Invoices_Upload!$D$4:$D$5003,$A140,Stripe_Invoices_Upload!$E$4:$E$5003,"*Subscription*",Stripe_Invoices_Upload!$A$4:$A$5003,"&gt;="&amp;DATE(2026,8,1),Stripe_Invoices_Upload!$A$4:$A$5003,"&lt;"&amp;EDATE(DATE(2026,8,1),1)))&gt;0,"✓ Invoiced","⚠ Due"),""),""))</f>
        <v/>
      </c>
      <c r="L140" s="130" t="str">
        <f aca="false">IF($A140="","",IF((DATE(YEAR($E140),MONTH($E140),1)&lt;=DATE(2026,9,1)),IF((MOD(DATEDIF(DATE(YEAR($E140),MONTH($E140),1),DATE(2026,9,1),"m"),IF($D140="Quarterly",3,IF($D140="Annual",12,1)))=0),IF((COUNTIFS(Xero_Raw!$D$4:$D$5003,$A140,Xero_Raw!$G$4:$G$5003,"*Subscription*",Xero_Raw!$A$4:$A$5003,"&gt;="&amp;DATE(2026,9,1),Xero_Raw!$A$4:$A$5003,"&lt;"&amp;EDATE(DATE(2026,9,1),1))+COUNTIFS(Customer_Invoices_Upload!$E$4:$E$5003,$A140,Customer_Invoices_Upload!$G$4:$G$5003,"*Subscription*",Customer_Invoices_Upload!$B$4:$B$5003,"&gt;="&amp;DATE(2026,9,1),Customer_Invoices_Upload!$B$4:$B$5003,"&lt;"&amp;EDATE(DATE(2026,9,1),1))+COUNTIFS(Stripe_Invoices_Upload!$D$4:$D$5003,$A140,Stripe_Invoices_Upload!$E$4:$E$5003,"*Subscription*",Stripe_Invoices_Upload!$A$4:$A$5003,"&gt;="&amp;DATE(2026,9,1),Stripe_Invoices_Upload!$A$4:$A$5003,"&lt;"&amp;EDATE(DATE(2026,9,1),1)))&gt;0,"✓ Invoiced","⚠ Due"),""),""))</f>
        <v/>
      </c>
      <c r="M140" s="130" t="str">
        <f aca="false">IF($A140="","",IF((DATE(YEAR($E140),MONTH($E140),1)&lt;=DATE(2026,10,1)),IF((MOD(DATEDIF(DATE(YEAR($E140),MONTH($E140),1),DATE(2026,10,1),"m"),IF($D140="Quarterly",3,IF($D140="Annual",12,1)))=0),IF((COUNTIFS(Xero_Raw!$D$4:$D$5003,$A140,Xero_Raw!$G$4:$G$5003,"*Subscription*",Xero_Raw!$A$4:$A$5003,"&gt;="&amp;DATE(2026,10,1),Xero_Raw!$A$4:$A$5003,"&lt;"&amp;EDATE(DATE(2026,10,1),1))+COUNTIFS(Customer_Invoices_Upload!$E$4:$E$5003,$A140,Customer_Invoices_Upload!$G$4:$G$5003,"*Subscription*",Customer_Invoices_Upload!$B$4:$B$5003,"&gt;="&amp;DATE(2026,10,1),Customer_Invoices_Upload!$B$4:$B$5003,"&lt;"&amp;EDATE(DATE(2026,10,1),1))+COUNTIFS(Stripe_Invoices_Upload!$D$4:$D$5003,$A140,Stripe_Invoices_Upload!$E$4:$E$5003,"*Subscription*",Stripe_Invoices_Upload!$A$4:$A$5003,"&gt;="&amp;DATE(2026,10,1),Stripe_Invoices_Upload!$A$4:$A$5003,"&lt;"&amp;EDATE(DATE(2026,10,1),1)))&gt;0,"✓ Invoiced","⚠ Due"),""),""))</f>
        <v/>
      </c>
      <c r="N140" s="130" t="str">
        <f aca="false">IF($A140="","",IF((DATE(YEAR($E140),MONTH($E140),1)&lt;=DATE(2026,11,1)),IF((MOD(DATEDIF(DATE(YEAR($E140),MONTH($E140),1),DATE(2026,11,1),"m"),IF($D140="Quarterly",3,IF($D140="Annual",12,1)))=0),IF((COUNTIFS(Xero_Raw!$D$4:$D$5003,$A140,Xero_Raw!$G$4:$G$5003,"*Subscription*",Xero_Raw!$A$4:$A$5003,"&gt;="&amp;DATE(2026,11,1),Xero_Raw!$A$4:$A$5003,"&lt;"&amp;EDATE(DATE(2026,11,1),1))+COUNTIFS(Customer_Invoices_Upload!$E$4:$E$5003,$A140,Customer_Invoices_Upload!$G$4:$G$5003,"*Subscription*",Customer_Invoices_Upload!$B$4:$B$5003,"&gt;="&amp;DATE(2026,11,1),Customer_Invoices_Upload!$B$4:$B$5003,"&lt;"&amp;EDATE(DATE(2026,11,1),1))+COUNTIFS(Stripe_Invoices_Upload!$D$4:$D$5003,$A140,Stripe_Invoices_Upload!$E$4:$E$5003,"*Subscription*",Stripe_Invoices_Upload!$A$4:$A$5003,"&gt;="&amp;DATE(2026,11,1),Stripe_Invoices_Upload!$A$4:$A$5003,"&lt;"&amp;EDATE(DATE(2026,11,1),1)))&gt;0,"✓ Invoiced","⚠ Due"),""),""))</f>
        <v/>
      </c>
      <c r="O140" s="130" t="str">
        <f aca="false">IF($A140="","",IF((DATE(YEAR($E140),MONTH($E140),1)&lt;=DATE(2026,12,1)),IF((MOD(DATEDIF(DATE(YEAR($E140),MONTH($E140),1),DATE(2026,12,1),"m"),IF($D140="Quarterly",3,IF($D140="Annual",12,1)))=0),IF((COUNTIFS(Xero_Raw!$D$4:$D$5003,$A140,Xero_Raw!$G$4:$G$5003,"*Subscription*",Xero_Raw!$A$4:$A$5003,"&gt;="&amp;DATE(2026,12,1),Xero_Raw!$A$4:$A$5003,"&lt;"&amp;EDATE(DATE(2026,12,1),1))+COUNTIFS(Customer_Invoices_Upload!$E$4:$E$5003,$A140,Customer_Invoices_Upload!$G$4:$G$5003,"*Subscription*",Customer_Invoices_Upload!$B$4:$B$5003,"&gt;="&amp;DATE(2026,12,1),Customer_Invoices_Upload!$B$4:$B$5003,"&lt;"&amp;EDATE(DATE(2026,12,1),1))+COUNTIFS(Stripe_Invoices_Upload!$D$4:$D$5003,$A140,Stripe_Invoices_Upload!$E$4:$E$5003,"*Subscription*",Stripe_Invoices_Upload!$A$4:$A$5003,"&gt;="&amp;DATE(2026,12,1),Stripe_Invoices_Upload!$A$4:$A$5003,"&lt;"&amp;EDATE(DATE(2026,12,1),1)))&gt;0,"✓ Invoiced","⚠ Due"),""),""))</f>
        <v/>
      </c>
      <c r="P140" s="130" t="str">
        <f aca="false">IF($A140="","",IF((DATE(YEAR($E140),MONTH($E140),1)&lt;=DATE(2027,1,1)),IF((MOD(DATEDIF(DATE(YEAR($E140),MONTH($E140),1),DATE(2027,1,1),"m"),IF($D140="Quarterly",3,IF($D140="Annual",12,1)))=0),IF((COUNTIFS(Xero_Raw!$D$4:$D$5003,$A140,Xero_Raw!$G$4:$G$5003,"*Subscription*",Xero_Raw!$A$4:$A$5003,"&gt;="&amp;DATE(2027,1,1),Xero_Raw!$A$4:$A$5003,"&lt;"&amp;EDATE(DATE(2027,1,1),1))+COUNTIFS(Customer_Invoices_Upload!$E$4:$E$5003,$A140,Customer_Invoices_Upload!$G$4:$G$5003,"*Subscription*",Customer_Invoices_Upload!$B$4:$B$5003,"&gt;="&amp;DATE(2027,1,1),Customer_Invoices_Upload!$B$4:$B$5003,"&lt;"&amp;EDATE(DATE(2027,1,1),1))+COUNTIFS(Stripe_Invoices_Upload!$D$4:$D$5003,$A140,Stripe_Invoices_Upload!$E$4:$E$5003,"*Subscription*",Stripe_Invoices_Upload!$A$4:$A$5003,"&gt;="&amp;DATE(2027,1,1),Stripe_Invoices_Upload!$A$4:$A$5003,"&lt;"&amp;EDATE(DATE(2027,1,1),1)))&gt;0,"✓ Invoiced","⚠ Due"),""),""))</f>
        <v/>
      </c>
      <c r="Q140" s="130" t="str">
        <f aca="false">IF($A140="","",IF((DATE(YEAR($E140),MONTH($E140),1)&lt;=DATE(2027,2,1)),IF((MOD(DATEDIF(DATE(YEAR($E140),MONTH($E140),1),DATE(2027,2,1),"m"),IF($D140="Quarterly",3,IF($D140="Annual",12,1)))=0),IF((COUNTIFS(Xero_Raw!$D$4:$D$5003,$A140,Xero_Raw!$G$4:$G$5003,"*Subscription*",Xero_Raw!$A$4:$A$5003,"&gt;="&amp;DATE(2027,2,1),Xero_Raw!$A$4:$A$5003,"&lt;"&amp;EDATE(DATE(2027,2,1),1))+COUNTIFS(Customer_Invoices_Upload!$E$4:$E$5003,$A140,Customer_Invoices_Upload!$G$4:$G$5003,"*Subscription*",Customer_Invoices_Upload!$B$4:$B$5003,"&gt;="&amp;DATE(2027,2,1),Customer_Invoices_Upload!$B$4:$B$5003,"&lt;"&amp;EDATE(DATE(2027,2,1),1))+COUNTIFS(Stripe_Invoices_Upload!$D$4:$D$5003,$A140,Stripe_Invoices_Upload!$E$4:$E$5003,"*Subscription*",Stripe_Invoices_Upload!$A$4:$A$5003,"&gt;="&amp;DATE(2027,2,1),Stripe_Invoices_Upload!$A$4:$A$5003,"&lt;"&amp;EDATE(DATE(2027,2,1),1)))&gt;0,"✓ Invoiced","⚠ Due"),""),""))</f>
        <v/>
      </c>
      <c r="R140" s="130" t="str">
        <f aca="false">IF($A140="","",IF((DATE(YEAR($E140),MONTH($E140),1)&lt;=DATE(2027,3,1)),IF((MOD(DATEDIF(DATE(YEAR($E140),MONTH($E140),1),DATE(2027,3,1),"m"),IF($D140="Quarterly",3,IF($D140="Annual",12,1)))=0),IF((COUNTIFS(Xero_Raw!$D$4:$D$5003,$A140,Xero_Raw!$G$4:$G$5003,"*Subscription*",Xero_Raw!$A$4:$A$5003,"&gt;="&amp;DATE(2027,3,1),Xero_Raw!$A$4:$A$5003,"&lt;"&amp;EDATE(DATE(2027,3,1),1))+COUNTIFS(Customer_Invoices_Upload!$E$4:$E$5003,$A140,Customer_Invoices_Upload!$G$4:$G$5003,"*Subscription*",Customer_Invoices_Upload!$B$4:$B$5003,"&gt;="&amp;DATE(2027,3,1),Customer_Invoices_Upload!$B$4:$B$5003,"&lt;"&amp;EDATE(DATE(2027,3,1),1))+COUNTIFS(Stripe_Invoices_Upload!$D$4:$D$5003,$A140,Stripe_Invoices_Upload!$E$4:$E$5003,"*Subscription*",Stripe_Invoices_Upload!$A$4:$A$5003,"&gt;="&amp;DATE(2027,3,1),Stripe_Invoices_Upload!$A$4:$A$5003,"&lt;"&amp;EDATE(DATE(2027,3,1),1)))&gt;0,"✓ Invoiced","⚠ Due"),""),""))</f>
        <v/>
      </c>
    </row>
    <row r="141" customFormat="false" ht="15" hidden="false" customHeight="false" outlineLevel="0" collapsed="false">
      <c r="A141" s="39"/>
      <c r="B141" s="39"/>
      <c r="C141" s="40"/>
      <c r="D141" s="39"/>
      <c r="E141" s="38"/>
      <c r="F141" s="129" t="str">
        <f aca="true">IF($A141="","",EDATE($E141,DATEDIF($E141,TODAY(),"m")+1))</f>
        <v/>
      </c>
      <c r="G141" s="130" t="str">
        <f aca="false">IF($A141="","",IF((DATE(YEAR($E141),MONTH($E141),1)&lt;=DATE(2026,4,1)),IF((MOD(DATEDIF(DATE(YEAR($E141),MONTH($E141),1),DATE(2026,4,1),"m"),IF($D141="Quarterly",3,IF($D141="Annual",12,1)))=0),IF((COUNTIFS(Xero_Raw!$D$4:$D$5003,$A141,Xero_Raw!$G$4:$G$5003,"*Subscription*",Xero_Raw!$A$4:$A$5003,"&gt;="&amp;DATE(2026,4,1),Xero_Raw!$A$4:$A$5003,"&lt;"&amp;EDATE(DATE(2026,4,1),1))+COUNTIFS(Customer_Invoices_Upload!$E$4:$E$5003,$A141,Customer_Invoices_Upload!$G$4:$G$5003,"*Subscription*",Customer_Invoices_Upload!$B$4:$B$5003,"&gt;="&amp;DATE(2026,4,1),Customer_Invoices_Upload!$B$4:$B$5003,"&lt;"&amp;EDATE(DATE(2026,4,1),1))+COUNTIFS(Stripe_Invoices_Upload!$D$4:$D$5003,$A141,Stripe_Invoices_Upload!$E$4:$E$5003,"*Subscription*",Stripe_Invoices_Upload!$A$4:$A$5003,"&gt;="&amp;DATE(2026,4,1),Stripe_Invoices_Upload!$A$4:$A$5003,"&lt;"&amp;EDATE(DATE(2026,4,1),1)))&gt;0,"✓ Invoiced","⚠ Due"),""),""))</f>
        <v/>
      </c>
      <c r="H141" s="130" t="str">
        <f aca="false">IF($A141="","",IF((DATE(YEAR($E141),MONTH($E141),1)&lt;=DATE(2026,5,1)),IF((MOD(DATEDIF(DATE(YEAR($E141),MONTH($E141),1),DATE(2026,5,1),"m"),IF($D141="Quarterly",3,IF($D141="Annual",12,1)))=0),IF((COUNTIFS(Xero_Raw!$D$4:$D$5003,$A141,Xero_Raw!$G$4:$G$5003,"*Subscription*",Xero_Raw!$A$4:$A$5003,"&gt;="&amp;DATE(2026,5,1),Xero_Raw!$A$4:$A$5003,"&lt;"&amp;EDATE(DATE(2026,5,1),1))+COUNTIFS(Customer_Invoices_Upload!$E$4:$E$5003,$A141,Customer_Invoices_Upload!$G$4:$G$5003,"*Subscription*",Customer_Invoices_Upload!$B$4:$B$5003,"&gt;="&amp;DATE(2026,5,1),Customer_Invoices_Upload!$B$4:$B$5003,"&lt;"&amp;EDATE(DATE(2026,5,1),1))+COUNTIFS(Stripe_Invoices_Upload!$D$4:$D$5003,$A141,Stripe_Invoices_Upload!$E$4:$E$5003,"*Subscription*",Stripe_Invoices_Upload!$A$4:$A$5003,"&gt;="&amp;DATE(2026,5,1),Stripe_Invoices_Upload!$A$4:$A$5003,"&lt;"&amp;EDATE(DATE(2026,5,1),1)))&gt;0,"✓ Invoiced","⚠ Due"),""),""))</f>
        <v/>
      </c>
      <c r="I141" s="130" t="str">
        <f aca="false">IF($A141="","",IF((DATE(YEAR($E141),MONTH($E141),1)&lt;=DATE(2026,6,1)),IF((MOD(DATEDIF(DATE(YEAR($E141),MONTH($E141),1),DATE(2026,6,1),"m"),IF($D141="Quarterly",3,IF($D141="Annual",12,1)))=0),IF((COUNTIFS(Xero_Raw!$D$4:$D$5003,$A141,Xero_Raw!$G$4:$G$5003,"*Subscription*",Xero_Raw!$A$4:$A$5003,"&gt;="&amp;DATE(2026,6,1),Xero_Raw!$A$4:$A$5003,"&lt;"&amp;EDATE(DATE(2026,6,1),1))+COUNTIFS(Customer_Invoices_Upload!$E$4:$E$5003,$A141,Customer_Invoices_Upload!$G$4:$G$5003,"*Subscription*",Customer_Invoices_Upload!$B$4:$B$5003,"&gt;="&amp;DATE(2026,6,1),Customer_Invoices_Upload!$B$4:$B$5003,"&lt;"&amp;EDATE(DATE(2026,6,1),1))+COUNTIFS(Stripe_Invoices_Upload!$D$4:$D$5003,$A141,Stripe_Invoices_Upload!$E$4:$E$5003,"*Subscription*",Stripe_Invoices_Upload!$A$4:$A$5003,"&gt;="&amp;DATE(2026,6,1),Stripe_Invoices_Upload!$A$4:$A$5003,"&lt;"&amp;EDATE(DATE(2026,6,1),1)))&gt;0,"✓ Invoiced","⚠ Due"),""),""))</f>
        <v/>
      </c>
      <c r="J141" s="130" t="str">
        <f aca="false">IF($A141="","",IF((DATE(YEAR($E141),MONTH($E141),1)&lt;=DATE(2026,7,1)),IF((MOD(DATEDIF(DATE(YEAR($E141),MONTH($E141),1),DATE(2026,7,1),"m"),IF($D141="Quarterly",3,IF($D141="Annual",12,1)))=0),IF((COUNTIFS(Xero_Raw!$D$4:$D$5003,$A141,Xero_Raw!$G$4:$G$5003,"*Subscription*",Xero_Raw!$A$4:$A$5003,"&gt;="&amp;DATE(2026,7,1),Xero_Raw!$A$4:$A$5003,"&lt;"&amp;EDATE(DATE(2026,7,1),1))+COUNTIFS(Customer_Invoices_Upload!$E$4:$E$5003,$A141,Customer_Invoices_Upload!$G$4:$G$5003,"*Subscription*",Customer_Invoices_Upload!$B$4:$B$5003,"&gt;="&amp;DATE(2026,7,1),Customer_Invoices_Upload!$B$4:$B$5003,"&lt;"&amp;EDATE(DATE(2026,7,1),1))+COUNTIFS(Stripe_Invoices_Upload!$D$4:$D$5003,$A141,Stripe_Invoices_Upload!$E$4:$E$5003,"*Subscription*",Stripe_Invoices_Upload!$A$4:$A$5003,"&gt;="&amp;DATE(2026,7,1),Stripe_Invoices_Upload!$A$4:$A$5003,"&lt;"&amp;EDATE(DATE(2026,7,1),1)))&gt;0,"✓ Invoiced","⚠ Due"),""),""))</f>
        <v/>
      </c>
      <c r="K141" s="130" t="str">
        <f aca="false">IF($A141="","",IF((DATE(YEAR($E141),MONTH($E141),1)&lt;=DATE(2026,8,1)),IF((MOD(DATEDIF(DATE(YEAR($E141),MONTH($E141),1),DATE(2026,8,1),"m"),IF($D141="Quarterly",3,IF($D141="Annual",12,1)))=0),IF((COUNTIFS(Xero_Raw!$D$4:$D$5003,$A141,Xero_Raw!$G$4:$G$5003,"*Subscription*",Xero_Raw!$A$4:$A$5003,"&gt;="&amp;DATE(2026,8,1),Xero_Raw!$A$4:$A$5003,"&lt;"&amp;EDATE(DATE(2026,8,1),1))+COUNTIFS(Customer_Invoices_Upload!$E$4:$E$5003,$A141,Customer_Invoices_Upload!$G$4:$G$5003,"*Subscription*",Customer_Invoices_Upload!$B$4:$B$5003,"&gt;="&amp;DATE(2026,8,1),Customer_Invoices_Upload!$B$4:$B$5003,"&lt;"&amp;EDATE(DATE(2026,8,1),1))+COUNTIFS(Stripe_Invoices_Upload!$D$4:$D$5003,$A141,Stripe_Invoices_Upload!$E$4:$E$5003,"*Subscription*",Stripe_Invoices_Upload!$A$4:$A$5003,"&gt;="&amp;DATE(2026,8,1),Stripe_Invoices_Upload!$A$4:$A$5003,"&lt;"&amp;EDATE(DATE(2026,8,1),1)))&gt;0,"✓ Invoiced","⚠ Due"),""),""))</f>
        <v/>
      </c>
      <c r="L141" s="130" t="str">
        <f aca="false">IF($A141="","",IF((DATE(YEAR($E141),MONTH($E141),1)&lt;=DATE(2026,9,1)),IF((MOD(DATEDIF(DATE(YEAR($E141),MONTH($E141),1),DATE(2026,9,1),"m"),IF($D141="Quarterly",3,IF($D141="Annual",12,1)))=0),IF((COUNTIFS(Xero_Raw!$D$4:$D$5003,$A141,Xero_Raw!$G$4:$G$5003,"*Subscription*",Xero_Raw!$A$4:$A$5003,"&gt;="&amp;DATE(2026,9,1),Xero_Raw!$A$4:$A$5003,"&lt;"&amp;EDATE(DATE(2026,9,1),1))+COUNTIFS(Customer_Invoices_Upload!$E$4:$E$5003,$A141,Customer_Invoices_Upload!$G$4:$G$5003,"*Subscription*",Customer_Invoices_Upload!$B$4:$B$5003,"&gt;="&amp;DATE(2026,9,1),Customer_Invoices_Upload!$B$4:$B$5003,"&lt;"&amp;EDATE(DATE(2026,9,1),1))+COUNTIFS(Stripe_Invoices_Upload!$D$4:$D$5003,$A141,Stripe_Invoices_Upload!$E$4:$E$5003,"*Subscription*",Stripe_Invoices_Upload!$A$4:$A$5003,"&gt;="&amp;DATE(2026,9,1),Stripe_Invoices_Upload!$A$4:$A$5003,"&lt;"&amp;EDATE(DATE(2026,9,1),1)))&gt;0,"✓ Invoiced","⚠ Due"),""),""))</f>
        <v/>
      </c>
      <c r="M141" s="130" t="str">
        <f aca="false">IF($A141="","",IF((DATE(YEAR($E141),MONTH($E141),1)&lt;=DATE(2026,10,1)),IF((MOD(DATEDIF(DATE(YEAR($E141),MONTH($E141),1),DATE(2026,10,1),"m"),IF($D141="Quarterly",3,IF($D141="Annual",12,1)))=0),IF((COUNTIFS(Xero_Raw!$D$4:$D$5003,$A141,Xero_Raw!$G$4:$G$5003,"*Subscription*",Xero_Raw!$A$4:$A$5003,"&gt;="&amp;DATE(2026,10,1),Xero_Raw!$A$4:$A$5003,"&lt;"&amp;EDATE(DATE(2026,10,1),1))+COUNTIFS(Customer_Invoices_Upload!$E$4:$E$5003,$A141,Customer_Invoices_Upload!$G$4:$G$5003,"*Subscription*",Customer_Invoices_Upload!$B$4:$B$5003,"&gt;="&amp;DATE(2026,10,1),Customer_Invoices_Upload!$B$4:$B$5003,"&lt;"&amp;EDATE(DATE(2026,10,1),1))+COUNTIFS(Stripe_Invoices_Upload!$D$4:$D$5003,$A141,Stripe_Invoices_Upload!$E$4:$E$5003,"*Subscription*",Stripe_Invoices_Upload!$A$4:$A$5003,"&gt;="&amp;DATE(2026,10,1),Stripe_Invoices_Upload!$A$4:$A$5003,"&lt;"&amp;EDATE(DATE(2026,10,1),1)))&gt;0,"✓ Invoiced","⚠ Due"),""),""))</f>
        <v/>
      </c>
      <c r="N141" s="130" t="str">
        <f aca="false">IF($A141="","",IF((DATE(YEAR($E141),MONTH($E141),1)&lt;=DATE(2026,11,1)),IF((MOD(DATEDIF(DATE(YEAR($E141),MONTH($E141),1),DATE(2026,11,1),"m"),IF($D141="Quarterly",3,IF($D141="Annual",12,1)))=0),IF((COUNTIFS(Xero_Raw!$D$4:$D$5003,$A141,Xero_Raw!$G$4:$G$5003,"*Subscription*",Xero_Raw!$A$4:$A$5003,"&gt;="&amp;DATE(2026,11,1),Xero_Raw!$A$4:$A$5003,"&lt;"&amp;EDATE(DATE(2026,11,1),1))+COUNTIFS(Customer_Invoices_Upload!$E$4:$E$5003,$A141,Customer_Invoices_Upload!$G$4:$G$5003,"*Subscription*",Customer_Invoices_Upload!$B$4:$B$5003,"&gt;="&amp;DATE(2026,11,1),Customer_Invoices_Upload!$B$4:$B$5003,"&lt;"&amp;EDATE(DATE(2026,11,1),1))+COUNTIFS(Stripe_Invoices_Upload!$D$4:$D$5003,$A141,Stripe_Invoices_Upload!$E$4:$E$5003,"*Subscription*",Stripe_Invoices_Upload!$A$4:$A$5003,"&gt;="&amp;DATE(2026,11,1),Stripe_Invoices_Upload!$A$4:$A$5003,"&lt;"&amp;EDATE(DATE(2026,11,1),1)))&gt;0,"✓ Invoiced","⚠ Due"),""),""))</f>
        <v/>
      </c>
      <c r="O141" s="130" t="str">
        <f aca="false">IF($A141="","",IF((DATE(YEAR($E141),MONTH($E141),1)&lt;=DATE(2026,12,1)),IF((MOD(DATEDIF(DATE(YEAR($E141),MONTH($E141),1),DATE(2026,12,1),"m"),IF($D141="Quarterly",3,IF($D141="Annual",12,1)))=0),IF((COUNTIFS(Xero_Raw!$D$4:$D$5003,$A141,Xero_Raw!$G$4:$G$5003,"*Subscription*",Xero_Raw!$A$4:$A$5003,"&gt;="&amp;DATE(2026,12,1),Xero_Raw!$A$4:$A$5003,"&lt;"&amp;EDATE(DATE(2026,12,1),1))+COUNTIFS(Customer_Invoices_Upload!$E$4:$E$5003,$A141,Customer_Invoices_Upload!$G$4:$G$5003,"*Subscription*",Customer_Invoices_Upload!$B$4:$B$5003,"&gt;="&amp;DATE(2026,12,1),Customer_Invoices_Upload!$B$4:$B$5003,"&lt;"&amp;EDATE(DATE(2026,12,1),1))+COUNTIFS(Stripe_Invoices_Upload!$D$4:$D$5003,$A141,Stripe_Invoices_Upload!$E$4:$E$5003,"*Subscription*",Stripe_Invoices_Upload!$A$4:$A$5003,"&gt;="&amp;DATE(2026,12,1),Stripe_Invoices_Upload!$A$4:$A$5003,"&lt;"&amp;EDATE(DATE(2026,12,1),1)))&gt;0,"✓ Invoiced","⚠ Due"),""),""))</f>
        <v/>
      </c>
      <c r="P141" s="130" t="str">
        <f aca="false">IF($A141="","",IF((DATE(YEAR($E141),MONTH($E141),1)&lt;=DATE(2027,1,1)),IF((MOD(DATEDIF(DATE(YEAR($E141),MONTH($E141),1),DATE(2027,1,1),"m"),IF($D141="Quarterly",3,IF($D141="Annual",12,1)))=0),IF((COUNTIFS(Xero_Raw!$D$4:$D$5003,$A141,Xero_Raw!$G$4:$G$5003,"*Subscription*",Xero_Raw!$A$4:$A$5003,"&gt;="&amp;DATE(2027,1,1),Xero_Raw!$A$4:$A$5003,"&lt;"&amp;EDATE(DATE(2027,1,1),1))+COUNTIFS(Customer_Invoices_Upload!$E$4:$E$5003,$A141,Customer_Invoices_Upload!$G$4:$G$5003,"*Subscription*",Customer_Invoices_Upload!$B$4:$B$5003,"&gt;="&amp;DATE(2027,1,1),Customer_Invoices_Upload!$B$4:$B$5003,"&lt;"&amp;EDATE(DATE(2027,1,1),1))+COUNTIFS(Stripe_Invoices_Upload!$D$4:$D$5003,$A141,Stripe_Invoices_Upload!$E$4:$E$5003,"*Subscription*",Stripe_Invoices_Upload!$A$4:$A$5003,"&gt;="&amp;DATE(2027,1,1),Stripe_Invoices_Upload!$A$4:$A$5003,"&lt;"&amp;EDATE(DATE(2027,1,1),1)))&gt;0,"✓ Invoiced","⚠ Due"),""),""))</f>
        <v/>
      </c>
      <c r="Q141" s="130" t="str">
        <f aca="false">IF($A141="","",IF((DATE(YEAR($E141),MONTH($E141),1)&lt;=DATE(2027,2,1)),IF((MOD(DATEDIF(DATE(YEAR($E141),MONTH($E141),1),DATE(2027,2,1),"m"),IF($D141="Quarterly",3,IF($D141="Annual",12,1)))=0),IF((COUNTIFS(Xero_Raw!$D$4:$D$5003,$A141,Xero_Raw!$G$4:$G$5003,"*Subscription*",Xero_Raw!$A$4:$A$5003,"&gt;="&amp;DATE(2027,2,1),Xero_Raw!$A$4:$A$5003,"&lt;"&amp;EDATE(DATE(2027,2,1),1))+COUNTIFS(Customer_Invoices_Upload!$E$4:$E$5003,$A141,Customer_Invoices_Upload!$G$4:$G$5003,"*Subscription*",Customer_Invoices_Upload!$B$4:$B$5003,"&gt;="&amp;DATE(2027,2,1),Customer_Invoices_Upload!$B$4:$B$5003,"&lt;"&amp;EDATE(DATE(2027,2,1),1))+COUNTIFS(Stripe_Invoices_Upload!$D$4:$D$5003,$A141,Stripe_Invoices_Upload!$E$4:$E$5003,"*Subscription*",Stripe_Invoices_Upload!$A$4:$A$5003,"&gt;="&amp;DATE(2027,2,1),Stripe_Invoices_Upload!$A$4:$A$5003,"&lt;"&amp;EDATE(DATE(2027,2,1),1)))&gt;0,"✓ Invoiced","⚠ Due"),""),""))</f>
        <v/>
      </c>
      <c r="R141" s="130" t="str">
        <f aca="false">IF($A141="","",IF((DATE(YEAR($E141),MONTH($E141),1)&lt;=DATE(2027,3,1)),IF((MOD(DATEDIF(DATE(YEAR($E141),MONTH($E141),1),DATE(2027,3,1),"m"),IF($D141="Quarterly",3,IF($D141="Annual",12,1)))=0),IF((COUNTIFS(Xero_Raw!$D$4:$D$5003,$A141,Xero_Raw!$G$4:$G$5003,"*Subscription*",Xero_Raw!$A$4:$A$5003,"&gt;="&amp;DATE(2027,3,1),Xero_Raw!$A$4:$A$5003,"&lt;"&amp;EDATE(DATE(2027,3,1),1))+COUNTIFS(Customer_Invoices_Upload!$E$4:$E$5003,$A141,Customer_Invoices_Upload!$G$4:$G$5003,"*Subscription*",Customer_Invoices_Upload!$B$4:$B$5003,"&gt;="&amp;DATE(2027,3,1),Customer_Invoices_Upload!$B$4:$B$5003,"&lt;"&amp;EDATE(DATE(2027,3,1),1))+COUNTIFS(Stripe_Invoices_Upload!$D$4:$D$5003,$A141,Stripe_Invoices_Upload!$E$4:$E$5003,"*Subscription*",Stripe_Invoices_Upload!$A$4:$A$5003,"&gt;="&amp;DATE(2027,3,1),Stripe_Invoices_Upload!$A$4:$A$5003,"&lt;"&amp;EDATE(DATE(2027,3,1),1)))&gt;0,"✓ Invoiced","⚠ Due"),""),""))</f>
        <v/>
      </c>
    </row>
    <row r="142" customFormat="false" ht="15" hidden="false" customHeight="false" outlineLevel="0" collapsed="false">
      <c r="A142" s="39"/>
      <c r="B142" s="39"/>
      <c r="C142" s="40"/>
      <c r="D142" s="39"/>
      <c r="E142" s="38"/>
      <c r="F142" s="129" t="str">
        <f aca="true">IF($A142="","",EDATE($E142,DATEDIF($E142,TODAY(),"m")+1))</f>
        <v/>
      </c>
      <c r="G142" s="130" t="str">
        <f aca="false">IF($A142="","",IF((DATE(YEAR($E142),MONTH($E142),1)&lt;=DATE(2026,4,1)),IF((MOD(DATEDIF(DATE(YEAR($E142),MONTH($E142),1),DATE(2026,4,1),"m"),IF($D142="Quarterly",3,IF($D142="Annual",12,1)))=0),IF((COUNTIFS(Xero_Raw!$D$4:$D$5003,$A142,Xero_Raw!$G$4:$G$5003,"*Subscription*",Xero_Raw!$A$4:$A$5003,"&gt;="&amp;DATE(2026,4,1),Xero_Raw!$A$4:$A$5003,"&lt;"&amp;EDATE(DATE(2026,4,1),1))+COUNTIFS(Customer_Invoices_Upload!$E$4:$E$5003,$A142,Customer_Invoices_Upload!$G$4:$G$5003,"*Subscription*",Customer_Invoices_Upload!$B$4:$B$5003,"&gt;="&amp;DATE(2026,4,1),Customer_Invoices_Upload!$B$4:$B$5003,"&lt;"&amp;EDATE(DATE(2026,4,1),1))+COUNTIFS(Stripe_Invoices_Upload!$D$4:$D$5003,$A142,Stripe_Invoices_Upload!$E$4:$E$5003,"*Subscription*",Stripe_Invoices_Upload!$A$4:$A$5003,"&gt;="&amp;DATE(2026,4,1),Stripe_Invoices_Upload!$A$4:$A$5003,"&lt;"&amp;EDATE(DATE(2026,4,1),1)))&gt;0,"✓ Invoiced","⚠ Due"),""),""))</f>
        <v/>
      </c>
      <c r="H142" s="130" t="str">
        <f aca="false">IF($A142="","",IF((DATE(YEAR($E142),MONTH($E142),1)&lt;=DATE(2026,5,1)),IF((MOD(DATEDIF(DATE(YEAR($E142),MONTH($E142),1),DATE(2026,5,1),"m"),IF($D142="Quarterly",3,IF($D142="Annual",12,1)))=0),IF((COUNTIFS(Xero_Raw!$D$4:$D$5003,$A142,Xero_Raw!$G$4:$G$5003,"*Subscription*",Xero_Raw!$A$4:$A$5003,"&gt;="&amp;DATE(2026,5,1),Xero_Raw!$A$4:$A$5003,"&lt;"&amp;EDATE(DATE(2026,5,1),1))+COUNTIFS(Customer_Invoices_Upload!$E$4:$E$5003,$A142,Customer_Invoices_Upload!$G$4:$G$5003,"*Subscription*",Customer_Invoices_Upload!$B$4:$B$5003,"&gt;="&amp;DATE(2026,5,1),Customer_Invoices_Upload!$B$4:$B$5003,"&lt;"&amp;EDATE(DATE(2026,5,1),1))+COUNTIFS(Stripe_Invoices_Upload!$D$4:$D$5003,$A142,Stripe_Invoices_Upload!$E$4:$E$5003,"*Subscription*",Stripe_Invoices_Upload!$A$4:$A$5003,"&gt;="&amp;DATE(2026,5,1),Stripe_Invoices_Upload!$A$4:$A$5003,"&lt;"&amp;EDATE(DATE(2026,5,1),1)))&gt;0,"✓ Invoiced","⚠ Due"),""),""))</f>
        <v/>
      </c>
      <c r="I142" s="130" t="str">
        <f aca="false">IF($A142="","",IF((DATE(YEAR($E142),MONTH($E142),1)&lt;=DATE(2026,6,1)),IF((MOD(DATEDIF(DATE(YEAR($E142),MONTH($E142),1),DATE(2026,6,1),"m"),IF($D142="Quarterly",3,IF($D142="Annual",12,1)))=0),IF((COUNTIFS(Xero_Raw!$D$4:$D$5003,$A142,Xero_Raw!$G$4:$G$5003,"*Subscription*",Xero_Raw!$A$4:$A$5003,"&gt;="&amp;DATE(2026,6,1),Xero_Raw!$A$4:$A$5003,"&lt;"&amp;EDATE(DATE(2026,6,1),1))+COUNTIFS(Customer_Invoices_Upload!$E$4:$E$5003,$A142,Customer_Invoices_Upload!$G$4:$G$5003,"*Subscription*",Customer_Invoices_Upload!$B$4:$B$5003,"&gt;="&amp;DATE(2026,6,1),Customer_Invoices_Upload!$B$4:$B$5003,"&lt;"&amp;EDATE(DATE(2026,6,1),1))+COUNTIFS(Stripe_Invoices_Upload!$D$4:$D$5003,$A142,Stripe_Invoices_Upload!$E$4:$E$5003,"*Subscription*",Stripe_Invoices_Upload!$A$4:$A$5003,"&gt;="&amp;DATE(2026,6,1),Stripe_Invoices_Upload!$A$4:$A$5003,"&lt;"&amp;EDATE(DATE(2026,6,1),1)))&gt;0,"✓ Invoiced","⚠ Due"),""),""))</f>
        <v/>
      </c>
      <c r="J142" s="130" t="str">
        <f aca="false">IF($A142="","",IF((DATE(YEAR($E142),MONTH($E142),1)&lt;=DATE(2026,7,1)),IF((MOD(DATEDIF(DATE(YEAR($E142),MONTH($E142),1),DATE(2026,7,1),"m"),IF($D142="Quarterly",3,IF($D142="Annual",12,1)))=0),IF((COUNTIFS(Xero_Raw!$D$4:$D$5003,$A142,Xero_Raw!$G$4:$G$5003,"*Subscription*",Xero_Raw!$A$4:$A$5003,"&gt;="&amp;DATE(2026,7,1),Xero_Raw!$A$4:$A$5003,"&lt;"&amp;EDATE(DATE(2026,7,1),1))+COUNTIFS(Customer_Invoices_Upload!$E$4:$E$5003,$A142,Customer_Invoices_Upload!$G$4:$G$5003,"*Subscription*",Customer_Invoices_Upload!$B$4:$B$5003,"&gt;="&amp;DATE(2026,7,1),Customer_Invoices_Upload!$B$4:$B$5003,"&lt;"&amp;EDATE(DATE(2026,7,1),1))+COUNTIFS(Stripe_Invoices_Upload!$D$4:$D$5003,$A142,Stripe_Invoices_Upload!$E$4:$E$5003,"*Subscription*",Stripe_Invoices_Upload!$A$4:$A$5003,"&gt;="&amp;DATE(2026,7,1),Stripe_Invoices_Upload!$A$4:$A$5003,"&lt;"&amp;EDATE(DATE(2026,7,1),1)))&gt;0,"✓ Invoiced","⚠ Due"),""),""))</f>
        <v/>
      </c>
      <c r="K142" s="130" t="str">
        <f aca="false">IF($A142="","",IF((DATE(YEAR($E142),MONTH($E142),1)&lt;=DATE(2026,8,1)),IF((MOD(DATEDIF(DATE(YEAR($E142),MONTH($E142),1),DATE(2026,8,1),"m"),IF($D142="Quarterly",3,IF($D142="Annual",12,1)))=0),IF((COUNTIFS(Xero_Raw!$D$4:$D$5003,$A142,Xero_Raw!$G$4:$G$5003,"*Subscription*",Xero_Raw!$A$4:$A$5003,"&gt;="&amp;DATE(2026,8,1),Xero_Raw!$A$4:$A$5003,"&lt;"&amp;EDATE(DATE(2026,8,1),1))+COUNTIFS(Customer_Invoices_Upload!$E$4:$E$5003,$A142,Customer_Invoices_Upload!$G$4:$G$5003,"*Subscription*",Customer_Invoices_Upload!$B$4:$B$5003,"&gt;="&amp;DATE(2026,8,1),Customer_Invoices_Upload!$B$4:$B$5003,"&lt;"&amp;EDATE(DATE(2026,8,1),1))+COUNTIFS(Stripe_Invoices_Upload!$D$4:$D$5003,$A142,Stripe_Invoices_Upload!$E$4:$E$5003,"*Subscription*",Stripe_Invoices_Upload!$A$4:$A$5003,"&gt;="&amp;DATE(2026,8,1),Stripe_Invoices_Upload!$A$4:$A$5003,"&lt;"&amp;EDATE(DATE(2026,8,1),1)))&gt;0,"✓ Invoiced","⚠ Due"),""),""))</f>
        <v/>
      </c>
      <c r="L142" s="130" t="str">
        <f aca="false">IF($A142="","",IF((DATE(YEAR($E142),MONTH($E142),1)&lt;=DATE(2026,9,1)),IF((MOD(DATEDIF(DATE(YEAR($E142),MONTH($E142),1),DATE(2026,9,1),"m"),IF($D142="Quarterly",3,IF($D142="Annual",12,1)))=0),IF((COUNTIFS(Xero_Raw!$D$4:$D$5003,$A142,Xero_Raw!$G$4:$G$5003,"*Subscription*",Xero_Raw!$A$4:$A$5003,"&gt;="&amp;DATE(2026,9,1),Xero_Raw!$A$4:$A$5003,"&lt;"&amp;EDATE(DATE(2026,9,1),1))+COUNTIFS(Customer_Invoices_Upload!$E$4:$E$5003,$A142,Customer_Invoices_Upload!$G$4:$G$5003,"*Subscription*",Customer_Invoices_Upload!$B$4:$B$5003,"&gt;="&amp;DATE(2026,9,1),Customer_Invoices_Upload!$B$4:$B$5003,"&lt;"&amp;EDATE(DATE(2026,9,1),1))+COUNTIFS(Stripe_Invoices_Upload!$D$4:$D$5003,$A142,Stripe_Invoices_Upload!$E$4:$E$5003,"*Subscription*",Stripe_Invoices_Upload!$A$4:$A$5003,"&gt;="&amp;DATE(2026,9,1),Stripe_Invoices_Upload!$A$4:$A$5003,"&lt;"&amp;EDATE(DATE(2026,9,1),1)))&gt;0,"✓ Invoiced","⚠ Due"),""),""))</f>
        <v/>
      </c>
      <c r="M142" s="130" t="str">
        <f aca="false">IF($A142="","",IF((DATE(YEAR($E142),MONTH($E142),1)&lt;=DATE(2026,10,1)),IF((MOD(DATEDIF(DATE(YEAR($E142),MONTH($E142),1),DATE(2026,10,1),"m"),IF($D142="Quarterly",3,IF($D142="Annual",12,1)))=0),IF((COUNTIFS(Xero_Raw!$D$4:$D$5003,$A142,Xero_Raw!$G$4:$G$5003,"*Subscription*",Xero_Raw!$A$4:$A$5003,"&gt;="&amp;DATE(2026,10,1),Xero_Raw!$A$4:$A$5003,"&lt;"&amp;EDATE(DATE(2026,10,1),1))+COUNTIFS(Customer_Invoices_Upload!$E$4:$E$5003,$A142,Customer_Invoices_Upload!$G$4:$G$5003,"*Subscription*",Customer_Invoices_Upload!$B$4:$B$5003,"&gt;="&amp;DATE(2026,10,1),Customer_Invoices_Upload!$B$4:$B$5003,"&lt;"&amp;EDATE(DATE(2026,10,1),1))+COUNTIFS(Stripe_Invoices_Upload!$D$4:$D$5003,$A142,Stripe_Invoices_Upload!$E$4:$E$5003,"*Subscription*",Stripe_Invoices_Upload!$A$4:$A$5003,"&gt;="&amp;DATE(2026,10,1),Stripe_Invoices_Upload!$A$4:$A$5003,"&lt;"&amp;EDATE(DATE(2026,10,1),1)))&gt;0,"✓ Invoiced","⚠ Due"),""),""))</f>
        <v/>
      </c>
      <c r="N142" s="130" t="str">
        <f aca="false">IF($A142="","",IF((DATE(YEAR($E142),MONTH($E142),1)&lt;=DATE(2026,11,1)),IF((MOD(DATEDIF(DATE(YEAR($E142),MONTH($E142),1),DATE(2026,11,1),"m"),IF($D142="Quarterly",3,IF($D142="Annual",12,1)))=0),IF((COUNTIFS(Xero_Raw!$D$4:$D$5003,$A142,Xero_Raw!$G$4:$G$5003,"*Subscription*",Xero_Raw!$A$4:$A$5003,"&gt;="&amp;DATE(2026,11,1),Xero_Raw!$A$4:$A$5003,"&lt;"&amp;EDATE(DATE(2026,11,1),1))+COUNTIFS(Customer_Invoices_Upload!$E$4:$E$5003,$A142,Customer_Invoices_Upload!$G$4:$G$5003,"*Subscription*",Customer_Invoices_Upload!$B$4:$B$5003,"&gt;="&amp;DATE(2026,11,1),Customer_Invoices_Upload!$B$4:$B$5003,"&lt;"&amp;EDATE(DATE(2026,11,1),1))+COUNTIFS(Stripe_Invoices_Upload!$D$4:$D$5003,$A142,Stripe_Invoices_Upload!$E$4:$E$5003,"*Subscription*",Stripe_Invoices_Upload!$A$4:$A$5003,"&gt;="&amp;DATE(2026,11,1),Stripe_Invoices_Upload!$A$4:$A$5003,"&lt;"&amp;EDATE(DATE(2026,11,1),1)))&gt;0,"✓ Invoiced","⚠ Due"),""),""))</f>
        <v/>
      </c>
      <c r="O142" s="130" t="str">
        <f aca="false">IF($A142="","",IF((DATE(YEAR($E142),MONTH($E142),1)&lt;=DATE(2026,12,1)),IF((MOD(DATEDIF(DATE(YEAR($E142),MONTH($E142),1),DATE(2026,12,1),"m"),IF($D142="Quarterly",3,IF($D142="Annual",12,1)))=0),IF((COUNTIFS(Xero_Raw!$D$4:$D$5003,$A142,Xero_Raw!$G$4:$G$5003,"*Subscription*",Xero_Raw!$A$4:$A$5003,"&gt;="&amp;DATE(2026,12,1),Xero_Raw!$A$4:$A$5003,"&lt;"&amp;EDATE(DATE(2026,12,1),1))+COUNTIFS(Customer_Invoices_Upload!$E$4:$E$5003,$A142,Customer_Invoices_Upload!$G$4:$G$5003,"*Subscription*",Customer_Invoices_Upload!$B$4:$B$5003,"&gt;="&amp;DATE(2026,12,1),Customer_Invoices_Upload!$B$4:$B$5003,"&lt;"&amp;EDATE(DATE(2026,12,1),1))+COUNTIFS(Stripe_Invoices_Upload!$D$4:$D$5003,$A142,Stripe_Invoices_Upload!$E$4:$E$5003,"*Subscription*",Stripe_Invoices_Upload!$A$4:$A$5003,"&gt;="&amp;DATE(2026,12,1),Stripe_Invoices_Upload!$A$4:$A$5003,"&lt;"&amp;EDATE(DATE(2026,12,1),1)))&gt;0,"✓ Invoiced","⚠ Due"),""),""))</f>
        <v/>
      </c>
      <c r="P142" s="130" t="str">
        <f aca="false">IF($A142="","",IF((DATE(YEAR($E142),MONTH($E142),1)&lt;=DATE(2027,1,1)),IF((MOD(DATEDIF(DATE(YEAR($E142),MONTH($E142),1),DATE(2027,1,1),"m"),IF($D142="Quarterly",3,IF($D142="Annual",12,1)))=0),IF((COUNTIFS(Xero_Raw!$D$4:$D$5003,$A142,Xero_Raw!$G$4:$G$5003,"*Subscription*",Xero_Raw!$A$4:$A$5003,"&gt;="&amp;DATE(2027,1,1),Xero_Raw!$A$4:$A$5003,"&lt;"&amp;EDATE(DATE(2027,1,1),1))+COUNTIFS(Customer_Invoices_Upload!$E$4:$E$5003,$A142,Customer_Invoices_Upload!$G$4:$G$5003,"*Subscription*",Customer_Invoices_Upload!$B$4:$B$5003,"&gt;="&amp;DATE(2027,1,1),Customer_Invoices_Upload!$B$4:$B$5003,"&lt;"&amp;EDATE(DATE(2027,1,1),1))+COUNTIFS(Stripe_Invoices_Upload!$D$4:$D$5003,$A142,Stripe_Invoices_Upload!$E$4:$E$5003,"*Subscription*",Stripe_Invoices_Upload!$A$4:$A$5003,"&gt;="&amp;DATE(2027,1,1),Stripe_Invoices_Upload!$A$4:$A$5003,"&lt;"&amp;EDATE(DATE(2027,1,1),1)))&gt;0,"✓ Invoiced","⚠ Due"),""),""))</f>
        <v/>
      </c>
      <c r="Q142" s="130" t="str">
        <f aca="false">IF($A142="","",IF((DATE(YEAR($E142),MONTH($E142),1)&lt;=DATE(2027,2,1)),IF((MOD(DATEDIF(DATE(YEAR($E142),MONTH($E142),1),DATE(2027,2,1),"m"),IF($D142="Quarterly",3,IF($D142="Annual",12,1)))=0),IF((COUNTIFS(Xero_Raw!$D$4:$D$5003,$A142,Xero_Raw!$G$4:$G$5003,"*Subscription*",Xero_Raw!$A$4:$A$5003,"&gt;="&amp;DATE(2027,2,1),Xero_Raw!$A$4:$A$5003,"&lt;"&amp;EDATE(DATE(2027,2,1),1))+COUNTIFS(Customer_Invoices_Upload!$E$4:$E$5003,$A142,Customer_Invoices_Upload!$G$4:$G$5003,"*Subscription*",Customer_Invoices_Upload!$B$4:$B$5003,"&gt;="&amp;DATE(2027,2,1),Customer_Invoices_Upload!$B$4:$B$5003,"&lt;"&amp;EDATE(DATE(2027,2,1),1))+COUNTIFS(Stripe_Invoices_Upload!$D$4:$D$5003,$A142,Stripe_Invoices_Upload!$E$4:$E$5003,"*Subscription*",Stripe_Invoices_Upload!$A$4:$A$5003,"&gt;="&amp;DATE(2027,2,1),Stripe_Invoices_Upload!$A$4:$A$5003,"&lt;"&amp;EDATE(DATE(2027,2,1),1)))&gt;0,"✓ Invoiced","⚠ Due"),""),""))</f>
        <v/>
      </c>
      <c r="R142" s="130" t="str">
        <f aca="false">IF($A142="","",IF((DATE(YEAR($E142),MONTH($E142),1)&lt;=DATE(2027,3,1)),IF((MOD(DATEDIF(DATE(YEAR($E142),MONTH($E142),1),DATE(2027,3,1),"m"),IF($D142="Quarterly",3,IF($D142="Annual",12,1)))=0),IF((COUNTIFS(Xero_Raw!$D$4:$D$5003,$A142,Xero_Raw!$G$4:$G$5003,"*Subscription*",Xero_Raw!$A$4:$A$5003,"&gt;="&amp;DATE(2027,3,1),Xero_Raw!$A$4:$A$5003,"&lt;"&amp;EDATE(DATE(2027,3,1),1))+COUNTIFS(Customer_Invoices_Upload!$E$4:$E$5003,$A142,Customer_Invoices_Upload!$G$4:$G$5003,"*Subscription*",Customer_Invoices_Upload!$B$4:$B$5003,"&gt;="&amp;DATE(2027,3,1),Customer_Invoices_Upload!$B$4:$B$5003,"&lt;"&amp;EDATE(DATE(2027,3,1),1))+COUNTIFS(Stripe_Invoices_Upload!$D$4:$D$5003,$A142,Stripe_Invoices_Upload!$E$4:$E$5003,"*Subscription*",Stripe_Invoices_Upload!$A$4:$A$5003,"&gt;="&amp;DATE(2027,3,1),Stripe_Invoices_Upload!$A$4:$A$5003,"&lt;"&amp;EDATE(DATE(2027,3,1),1)))&gt;0,"✓ Invoiced","⚠ Due"),""),""))</f>
        <v/>
      </c>
    </row>
    <row r="143" customFormat="false" ht="15" hidden="false" customHeight="false" outlineLevel="0" collapsed="false">
      <c r="A143" s="39"/>
      <c r="B143" s="39"/>
      <c r="C143" s="40"/>
      <c r="D143" s="39"/>
      <c r="E143" s="38"/>
      <c r="F143" s="129" t="str">
        <f aca="true">IF($A143="","",EDATE($E143,DATEDIF($E143,TODAY(),"m")+1))</f>
        <v/>
      </c>
      <c r="G143" s="130" t="str">
        <f aca="false">IF($A143="","",IF((DATE(YEAR($E143),MONTH($E143),1)&lt;=DATE(2026,4,1)),IF((MOD(DATEDIF(DATE(YEAR($E143),MONTH($E143),1),DATE(2026,4,1),"m"),IF($D143="Quarterly",3,IF($D143="Annual",12,1)))=0),IF((COUNTIFS(Xero_Raw!$D$4:$D$5003,$A143,Xero_Raw!$G$4:$G$5003,"*Subscription*",Xero_Raw!$A$4:$A$5003,"&gt;="&amp;DATE(2026,4,1),Xero_Raw!$A$4:$A$5003,"&lt;"&amp;EDATE(DATE(2026,4,1),1))+COUNTIFS(Customer_Invoices_Upload!$E$4:$E$5003,$A143,Customer_Invoices_Upload!$G$4:$G$5003,"*Subscription*",Customer_Invoices_Upload!$B$4:$B$5003,"&gt;="&amp;DATE(2026,4,1),Customer_Invoices_Upload!$B$4:$B$5003,"&lt;"&amp;EDATE(DATE(2026,4,1),1))+COUNTIFS(Stripe_Invoices_Upload!$D$4:$D$5003,$A143,Stripe_Invoices_Upload!$E$4:$E$5003,"*Subscription*",Stripe_Invoices_Upload!$A$4:$A$5003,"&gt;="&amp;DATE(2026,4,1),Stripe_Invoices_Upload!$A$4:$A$5003,"&lt;"&amp;EDATE(DATE(2026,4,1),1)))&gt;0,"✓ Invoiced","⚠ Due"),""),""))</f>
        <v/>
      </c>
      <c r="H143" s="130" t="str">
        <f aca="false">IF($A143="","",IF((DATE(YEAR($E143),MONTH($E143),1)&lt;=DATE(2026,5,1)),IF((MOD(DATEDIF(DATE(YEAR($E143),MONTH($E143),1),DATE(2026,5,1),"m"),IF($D143="Quarterly",3,IF($D143="Annual",12,1)))=0),IF((COUNTIFS(Xero_Raw!$D$4:$D$5003,$A143,Xero_Raw!$G$4:$G$5003,"*Subscription*",Xero_Raw!$A$4:$A$5003,"&gt;="&amp;DATE(2026,5,1),Xero_Raw!$A$4:$A$5003,"&lt;"&amp;EDATE(DATE(2026,5,1),1))+COUNTIFS(Customer_Invoices_Upload!$E$4:$E$5003,$A143,Customer_Invoices_Upload!$G$4:$G$5003,"*Subscription*",Customer_Invoices_Upload!$B$4:$B$5003,"&gt;="&amp;DATE(2026,5,1),Customer_Invoices_Upload!$B$4:$B$5003,"&lt;"&amp;EDATE(DATE(2026,5,1),1))+COUNTIFS(Stripe_Invoices_Upload!$D$4:$D$5003,$A143,Stripe_Invoices_Upload!$E$4:$E$5003,"*Subscription*",Stripe_Invoices_Upload!$A$4:$A$5003,"&gt;="&amp;DATE(2026,5,1),Stripe_Invoices_Upload!$A$4:$A$5003,"&lt;"&amp;EDATE(DATE(2026,5,1),1)))&gt;0,"✓ Invoiced","⚠ Due"),""),""))</f>
        <v/>
      </c>
      <c r="I143" s="130" t="str">
        <f aca="false">IF($A143="","",IF((DATE(YEAR($E143),MONTH($E143),1)&lt;=DATE(2026,6,1)),IF((MOD(DATEDIF(DATE(YEAR($E143),MONTH($E143),1),DATE(2026,6,1),"m"),IF($D143="Quarterly",3,IF($D143="Annual",12,1)))=0),IF((COUNTIFS(Xero_Raw!$D$4:$D$5003,$A143,Xero_Raw!$G$4:$G$5003,"*Subscription*",Xero_Raw!$A$4:$A$5003,"&gt;="&amp;DATE(2026,6,1),Xero_Raw!$A$4:$A$5003,"&lt;"&amp;EDATE(DATE(2026,6,1),1))+COUNTIFS(Customer_Invoices_Upload!$E$4:$E$5003,$A143,Customer_Invoices_Upload!$G$4:$G$5003,"*Subscription*",Customer_Invoices_Upload!$B$4:$B$5003,"&gt;="&amp;DATE(2026,6,1),Customer_Invoices_Upload!$B$4:$B$5003,"&lt;"&amp;EDATE(DATE(2026,6,1),1))+COUNTIFS(Stripe_Invoices_Upload!$D$4:$D$5003,$A143,Stripe_Invoices_Upload!$E$4:$E$5003,"*Subscription*",Stripe_Invoices_Upload!$A$4:$A$5003,"&gt;="&amp;DATE(2026,6,1),Stripe_Invoices_Upload!$A$4:$A$5003,"&lt;"&amp;EDATE(DATE(2026,6,1),1)))&gt;0,"✓ Invoiced","⚠ Due"),""),""))</f>
        <v/>
      </c>
      <c r="J143" s="130" t="str">
        <f aca="false">IF($A143="","",IF((DATE(YEAR($E143),MONTH($E143),1)&lt;=DATE(2026,7,1)),IF((MOD(DATEDIF(DATE(YEAR($E143),MONTH($E143),1),DATE(2026,7,1),"m"),IF($D143="Quarterly",3,IF($D143="Annual",12,1)))=0),IF((COUNTIFS(Xero_Raw!$D$4:$D$5003,$A143,Xero_Raw!$G$4:$G$5003,"*Subscription*",Xero_Raw!$A$4:$A$5003,"&gt;="&amp;DATE(2026,7,1),Xero_Raw!$A$4:$A$5003,"&lt;"&amp;EDATE(DATE(2026,7,1),1))+COUNTIFS(Customer_Invoices_Upload!$E$4:$E$5003,$A143,Customer_Invoices_Upload!$G$4:$G$5003,"*Subscription*",Customer_Invoices_Upload!$B$4:$B$5003,"&gt;="&amp;DATE(2026,7,1),Customer_Invoices_Upload!$B$4:$B$5003,"&lt;"&amp;EDATE(DATE(2026,7,1),1))+COUNTIFS(Stripe_Invoices_Upload!$D$4:$D$5003,$A143,Stripe_Invoices_Upload!$E$4:$E$5003,"*Subscription*",Stripe_Invoices_Upload!$A$4:$A$5003,"&gt;="&amp;DATE(2026,7,1),Stripe_Invoices_Upload!$A$4:$A$5003,"&lt;"&amp;EDATE(DATE(2026,7,1),1)))&gt;0,"✓ Invoiced","⚠ Due"),""),""))</f>
        <v/>
      </c>
      <c r="K143" s="130" t="str">
        <f aca="false">IF($A143="","",IF((DATE(YEAR($E143),MONTH($E143),1)&lt;=DATE(2026,8,1)),IF((MOD(DATEDIF(DATE(YEAR($E143),MONTH($E143),1),DATE(2026,8,1),"m"),IF($D143="Quarterly",3,IF($D143="Annual",12,1)))=0),IF((COUNTIFS(Xero_Raw!$D$4:$D$5003,$A143,Xero_Raw!$G$4:$G$5003,"*Subscription*",Xero_Raw!$A$4:$A$5003,"&gt;="&amp;DATE(2026,8,1),Xero_Raw!$A$4:$A$5003,"&lt;"&amp;EDATE(DATE(2026,8,1),1))+COUNTIFS(Customer_Invoices_Upload!$E$4:$E$5003,$A143,Customer_Invoices_Upload!$G$4:$G$5003,"*Subscription*",Customer_Invoices_Upload!$B$4:$B$5003,"&gt;="&amp;DATE(2026,8,1),Customer_Invoices_Upload!$B$4:$B$5003,"&lt;"&amp;EDATE(DATE(2026,8,1),1))+COUNTIFS(Stripe_Invoices_Upload!$D$4:$D$5003,$A143,Stripe_Invoices_Upload!$E$4:$E$5003,"*Subscription*",Stripe_Invoices_Upload!$A$4:$A$5003,"&gt;="&amp;DATE(2026,8,1),Stripe_Invoices_Upload!$A$4:$A$5003,"&lt;"&amp;EDATE(DATE(2026,8,1),1)))&gt;0,"✓ Invoiced","⚠ Due"),""),""))</f>
        <v/>
      </c>
      <c r="L143" s="130" t="str">
        <f aca="false">IF($A143="","",IF((DATE(YEAR($E143),MONTH($E143),1)&lt;=DATE(2026,9,1)),IF((MOD(DATEDIF(DATE(YEAR($E143),MONTH($E143),1),DATE(2026,9,1),"m"),IF($D143="Quarterly",3,IF($D143="Annual",12,1)))=0),IF((COUNTIFS(Xero_Raw!$D$4:$D$5003,$A143,Xero_Raw!$G$4:$G$5003,"*Subscription*",Xero_Raw!$A$4:$A$5003,"&gt;="&amp;DATE(2026,9,1),Xero_Raw!$A$4:$A$5003,"&lt;"&amp;EDATE(DATE(2026,9,1),1))+COUNTIFS(Customer_Invoices_Upload!$E$4:$E$5003,$A143,Customer_Invoices_Upload!$G$4:$G$5003,"*Subscription*",Customer_Invoices_Upload!$B$4:$B$5003,"&gt;="&amp;DATE(2026,9,1),Customer_Invoices_Upload!$B$4:$B$5003,"&lt;"&amp;EDATE(DATE(2026,9,1),1))+COUNTIFS(Stripe_Invoices_Upload!$D$4:$D$5003,$A143,Stripe_Invoices_Upload!$E$4:$E$5003,"*Subscription*",Stripe_Invoices_Upload!$A$4:$A$5003,"&gt;="&amp;DATE(2026,9,1),Stripe_Invoices_Upload!$A$4:$A$5003,"&lt;"&amp;EDATE(DATE(2026,9,1),1)))&gt;0,"✓ Invoiced","⚠ Due"),""),""))</f>
        <v/>
      </c>
      <c r="M143" s="130" t="str">
        <f aca="false">IF($A143="","",IF((DATE(YEAR($E143),MONTH($E143),1)&lt;=DATE(2026,10,1)),IF((MOD(DATEDIF(DATE(YEAR($E143),MONTH($E143),1),DATE(2026,10,1),"m"),IF($D143="Quarterly",3,IF($D143="Annual",12,1)))=0),IF((COUNTIFS(Xero_Raw!$D$4:$D$5003,$A143,Xero_Raw!$G$4:$G$5003,"*Subscription*",Xero_Raw!$A$4:$A$5003,"&gt;="&amp;DATE(2026,10,1),Xero_Raw!$A$4:$A$5003,"&lt;"&amp;EDATE(DATE(2026,10,1),1))+COUNTIFS(Customer_Invoices_Upload!$E$4:$E$5003,$A143,Customer_Invoices_Upload!$G$4:$G$5003,"*Subscription*",Customer_Invoices_Upload!$B$4:$B$5003,"&gt;="&amp;DATE(2026,10,1),Customer_Invoices_Upload!$B$4:$B$5003,"&lt;"&amp;EDATE(DATE(2026,10,1),1))+COUNTIFS(Stripe_Invoices_Upload!$D$4:$D$5003,$A143,Stripe_Invoices_Upload!$E$4:$E$5003,"*Subscription*",Stripe_Invoices_Upload!$A$4:$A$5003,"&gt;="&amp;DATE(2026,10,1),Stripe_Invoices_Upload!$A$4:$A$5003,"&lt;"&amp;EDATE(DATE(2026,10,1),1)))&gt;0,"✓ Invoiced","⚠ Due"),""),""))</f>
        <v/>
      </c>
      <c r="N143" s="130" t="str">
        <f aca="false">IF($A143="","",IF((DATE(YEAR($E143),MONTH($E143),1)&lt;=DATE(2026,11,1)),IF((MOD(DATEDIF(DATE(YEAR($E143),MONTH($E143),1),DATE(2026,11,1),"m"),IF($D143="Quarterly",3,IF($D143="Annual",12,1)))=0),IF((COUNTIFS(Xero_Raw!$D$4:$D$5003,$A143,Xero_Raw!$G$4:$G$5003,"*Subscription*",Xero_Raw!$A$4:$A$5003,"&gt;="&amp;DATE(2026,11,1),Xero_Raw!$A$4:$A$5003,"&lt;"&amp;EDATE(DATE(2026,11,1),1))+COUNTIFS(Customer_Invoices_Upload!$E$4:$E$5003,$A143,Customer_Invoices_Upload!$G$4:$G$5003,"*Subscription*",Customer_Invoices_Upload!$B$4:$B$5003,"&gt;="&amp;DATE(2026,11,1),Customer_Invoices_Upload!$B$4:$B$5003,"&lt;"&amp;EDATE(DATE(2026,11,1),1))+COUNTIFS(Stripe_Invoices_Upload!$D$4:$D$5003,$A143,Stripe_Invoices_Upload!$E$4:$E$5003,"*Subscription*",Stripe_Invoices_Upload!$A$4:$A$5003,"&gt;="&amp;DATE(2026,11,1),Stripe_Invoices_Upload!$A$4:$A$5003,"&lt;"&amp;EDATE(DATE(2026,11,1),1)))&gt;0,"✓ Invoiced","⚠ Due"),""),""))</f>
        <v/>
      </c>
      <c r="O143" s="130" t="str">
        <f aca="false">IF($A143="","",IF((DATE(YEAR($E143),MONTH($E143),1)&lt;=DATE(2026,12,1)),IF((MOD(DATEDIF(DATE(YEAR($E143),MONTH($E143),1),DATE(2026,12,1),"m"),IF($D143="Quarterly",3,IF($D143="Annual",12,1)))=0),IF((COUNTIFS(Xero_Raw!$D$4:$D$5003,$A143,Xero_Raw!$G$4:$G$5003,"*Subscription*",Xero_Raw!$A$4:$A$5003,"&gt;="&amp;DATE(2026,12,1),Xero_Raw!$A$4:$A$5003,"&lt;"&amp;EDATE(DATE(2026,12,1),1))+COUNTIFS(Customer_Invoices_Upload!$E$4:$E$5003,$A143,Customer_Invoices_Upload!$G$4:$G$5003,"*Subscription*",Customer_Invoices_Upload!$B$4:$B$5003,"&gt;="&amp;DATE(2026,12,1),Customer_Invoices_Upload!$B$4:$B$5003,"&lt;"&amp;EDATE(DATE(2026,12,1),1))+COUNTIFS(Stripe_Invoices_Upload!$D$4:$D$5003,$A143,Stripe_Invoices_Upload!$E$4:$E$5003,"*Subscription*",Stripe_Invoices_Upload!$A$4:$A$5003,"&gt;="&amp;DATE(2026,12,1),Stripe_Invoices_Upload!$A$4:$A$5003,"&lt;"&amp;EDATE(DATE(2026,12,1),1)))&gt;0,"✓ Invoiced","⚠ Due"),""),""))</f>
        <v/>
      </c>
      <c r="P143" s="130" t="str">
        <f aca="false">IF($A143="","",IF((DATE(YEAR($E143),MONTH($E143),1)&lt;=DATE(2027,1,1)),IF((MOD(DATEDIF(DATE(YEAR($E143),MONTH($E143),1),DATE(2027,1,1),"m"),IF($D143="Quarterly",3,IF($D143="Annual",12,1)))=0),IF((COUNTIFS(Xero_Raw!$D$4:$D$5003,$A143,Xero_Raw!$G$4:$G$5003,"*Subscription*",Xero_Raw!$A$4:$A$5003,"&gt;="&amp;DATE(2027,1,1),Xero_Raw!$A$4:$A$5003,"&lt;"&amp;EDATE(DATE(2027,1,1),1))+COUNTIFS(Customer_Invoices_Upload!$E$4:$E$5003,$A143,Customer_Invoices_Upload!$G$4:$G$5003,"*Subscription*",Customer_Invoices_Upload!$B$4:$B$5003,"&gt;="&amp;DATE(2027,1,1),Customer_Invoices_Upload!$B$4:$B$5003,"&lt;"&amp;EDATE(DATE(2027,1,1),1))+COUNTIFS(Stripe_Invoices_Upload!$D$4:$D$5003,$A143,Stripe_Invoices_Upload!$E$4:$E$5003,"*Subscription*",Stripe_Invoices_Upload!$A$4:$A$5003,"&gt;="&amp;DATE(2027,1,1),Stripe_Invoices_Upload!$A$4:$A$5003,"&lt;"&amp;EDATE(DATE(2027,1,1),1)))&gt;0,"✓ Invoiced","⚠ Due"),""),""))</f>
        <v/>
      </c>
      <c r="Q143" s="130" t="str">
        <f aca="false">IF($A143="","",IF((DATE(YEAR($E143),MONTH($E143),1)&lt;=DATE(2027,2,1)),IF((MOD(DATEDIF(DATE(YEAR($E143),MONTH($E143),1),DATE(2027,2,1),"m"),IF($D143="Quarterly",3,IF($D143="Annual",12,1)))=0),IF((COUNTIFS(Xero_Raw!$D$4:$D$5003,$A143,Xero_Raw!$G$4:$G$5003,"*Subscription*",Xero_Raw!$A$4:$A$5003,"&gt;="&amp;DATE(2027,2,1),Xero_Raw!$A$4:$A$5003,"&lt;"&amp;EDATE(DATE(2027,2,1),1))+COUNTIFS(Customer_Invoices_Upload!$E$4:$E$5003,$A143,Customer_Invoices_Upload!$G$4:$G$5003,"*Subscription*",Customer_Invoices_Upload!$B$4:$B$5003,"&gt;="&amp;DATE(2027,2,1),Customer_Invoices_Upload!$B$4:$B$5003,"&lt;"&amp;EDATE(DATE(2027,2,1),1))+COUNTIFS(Stripe_Invoices_Upload!$D$4:$D$5003,$A143,Stripe_Invoices_Upload!$E$4:$E$5003,"*Subscription*",Stripe_Invoices_Upload!$A$4:$A$5003,"&gt;="&amp;DATE(2027,2,1),Stripe_Invoices_Upload!$A$4:$A$5003,"&lt;"&amp;EDATE(DATE(2027,2,1),1)))&gt;0,"✓ Invoiced","⚠ Due"),""),""))</f>
        <v/>
      </c>
      <c r="R143" s="130" t="str">
        <f aca="false">IF($A143="","",IF((DATE(YEAR($E143),MONTH($E143),1)&lt;=DATE(2027,3,1)),IF((MOD(DATEDIF(DATE(YEAR($E143),MONTH($E143),1),DATE(2027,3,1),"m"),IF($D143="Quarterly",3,IF($D143="Annual",12,1)))=0),IF((COUNTIFS(Xero_Raw!$D$4:$D$5003,$A143,Xero_Raw!$G$4:$G$5003,"*Subscription*",Xero_Raw!$A$4:$A$5003,"&gt;="&amp;DATE(2027,3,1),Xero_Raw!$A$4:$A$5003,"&lt;"&amp;EDATE(DATE(2027,3,1),1))+COUNTIFS(Customer_Invoices_Upload!$E$4:$E$5003,$A143,Customer_Invoices_Upload!$G$4:$G$5003,"*Subscription*",Customer_Invoices_Upload!$B$4:$B$5003,"&gt;="&amp;DATE(2027,3,1),Customer_Invoices_Upload!$B$4:$B$5003,"&lt;"&amp;EDATE(DATE(2027,3,1),1))+COUNTIFS(Stripe_Invoices_Upload!$D$4:$D$5003,$A143,Stripe_Invoices_Upload!$E$4:$E$5003,"*Subscription*",Stripe_Invoices_Upload!$A$4:$A$5003,"&gt;="&amp;DATE(2027,3,1),Stripe_Invoices_Upload!$A$4:$A$5003,"&lt;"&amp;EDATE(DATE(2027,3,1),1)))&gt;0,"✓ Invoiced","⚠ Due"),""),""))</f>
        <v/>
      </c>
    </row>
    <row r="144" customFormat="false" ht="15" hidden="false" customHeight="false" outlineLevel="0" collapsed="false">
      <c r="A144" s="39"/>
      <c r="B144" s="39"/>
      <c r="C144" s="40"/>
      <c r="D144" s="39"/>
      <c r="E144" s="38"/>
      <c r="F144" s="129" t="str">
        <f aca="true">IF($A144="","",EDATE($E144,DATEDIF($E144,TODAY(),"m")+1))</f>
        <v/>
      </c>
      <c r="G144" s="130" t="str">
        <f aca="false">IF($A144="","",IF((DATE(YEAR($E144),MONTH($E144),1)&lt;=DATE(2026,4,1)),IF((MOD(DATEDIF(DATE(YEAR($E144),MONTH($E144),1),DATE(2026,4,1),"m"),IF($D144="Quarterly",3,IF($D144="Annual",12,1)))=0),IF((COUNTIFS(Xero_Raw!$D$4:$D$5003,$A144,Xero_Raw!$G$4:$G$5003,"*Subscription*",Xero_Raw!$A$4:$A$5003,"&gt;="&amp;DATE(2026,4,1),Xero_Raw!$A$4:$A$5003,"&lt;"&amp;EDATE(DATE(2026,4,1),1))+COUNTIFS(Customer_Invoices_Upload!$E$4:$E$5003,$A144,Customer_Invoices_Upload!$G$4:$G$5003,"*Subscription*",Customer_Invoices_Upload!$B$4:$B$5003,"&gt;="&amp;DATE(2026,4,1),Customer_Invoices_Upload!$B$4:$B$5003,"&lt;"&amp;EDATE(DATE(2026,4,1),1))+COUNTIFS(Stripe_Invoices_Upload!$D$4:$D$5003,$A144,Stripe_Invoices_Upload!$E$4:$E$5003,"*Subscription*",Stripe_Invoices_Upload!$A$4:$A$5003,"&gt;="&amp;DATE(2026,4,1),Stripe_Invoices_Upload!$A$4:$A$5003,"&lt;"&amp;EDATE(DATE(2026,4,1),1)))&gt;0,"✓ Invoiced","⚠ Due"),""),""))</f>
        <v/>
      </c>
      <c r="H144" s="130" t="str">
        <f aca="false">IF($A144="","",IF((DATE(YEAR($E144),MONTH($E144),1)&lt;=DATE(2026,5,1)),IF((MOD(DATEDIF(DATE(YEAR($E144),MONTH($E144),1),DATE(2026,5,1),"m"),IF($D144="Quarterly",3,IF($D144="Annual",12,1)))=0),IF((COUNTIFS(Xero_Raw!$D$4:$D$5003,$A144,Xero_Raw!$G$4:$G$5003,"*Subscription*",Xero_Raw!$A$4:$A$5003,"&gt;="&amp;DATE(2026,5,1),Xero_Raw!$A$4:$A$5003,"&lt;"&amp;EDATE(DATE(2026,5,1),1))+COUNTIFS(Customer_Invoices_Upload!$E$4:$E$5003,$A144,Customer_Invoices_Upload!$G$4:$G$5003,"*Subscription*",Customer_Invoices_Upload!$B$4:$B$5003,"&gt;="&amp;DATE(2026,5,1),Customer_Invoices_Upload!$B$4:$B$5003,"&lt;"&amp;EDATE(DATE(2026,5,1),1))+COUNTIFS(Stripe_Invoices_Upload!$D$4:$D$5003,$A144,Stripe_Invoices_Upload!$E$4:$E$5003,"*Subscription*",Stripe_Invoices_Upload!$A$4:$A$5003,"&gt;="&amp;DATE(2026,5,1),Stripe_Invoices_Upload!$A$4:$A$5003,"&lt;"&amp;EDATE(DATE(2026,5,1),1)))&gt;0,"✓ Invoiced","⚠ Due"),""),""))</f>
        <v/>
      </c>
      <c r="I144" s="130" t="str">
        <f aca="false">IF($A144="","",IF((DATE(YEAR($E144),MONTH($E144),1)&lt;=DATE(2026,6,1)),IF((MOD(DATEDIF(DATE(YEAR($E144),MONTH($E144),1),DATE(2026,6,1),"m"),IF($D144="Quarterly",3,IF($D144="Annual",12,1)))=0),IF((COUNTIFS(Xero_Raw!$D$4:$D$5003,$A144,Xero_Raw!$G$4:$G$5003,"*Subscription*",Xero_Raw!$A$4:$A$5003,"&gt;="&amp;DATE(2026,6,1),Xero_Raw!$A$4:$A$5003,"&lt;"&amp;EDATE(DATE(2026,6,1),1))+COUNTIFS(Customer_Invoices_Upload!$E$4:$E$5003,$A144,Customer_Invoices_Upload!$G$4:$G$5003,"*Subscription*",Customer_Invoices_Upload!$B$4:$B$5003,"&gt;="&amp;DATE(2026,6,1),Customer_Invoices_Upload!$B$4:$B$5003,"&lt;"&amp;EDATE(DATE(2026,6,1),1))+COUNTIFS(Stripe_Invoices_Upload!$D$4:$D$5003,$A144,Stripe_Invoices_Upload!$E$4:$E$5003,"*Subscription*",Stripe_Invoices_Upload!$A$4:$A$5003,"&gt;="&amp;DATE(2026,6,1),Stripe_Invoices_Upload!$A$4:$A$5003,"&lt;"&amp;EDATE(DATE(2026,6,1),1)))&gt;0,"✓ Invoiced","⚠ Due"),""),""))</f>
        <v/>
      </c>
      <c r="J144" s="130" t="str">
        <f aca="false">IF($A144="","",IF((DATE(YEAR($E144),MONTH($E144),1)&lt;=DATE(2026,7,1)),IF((MOD(DATEDIF(DATE(YEAR($E144),MONTH($E144),1),DATE(2026,7,1),"m"),IF($D144="Quarterly",3,IF($D144="Annual",12,1)))=0),IF((COUNTIFS(Xero_Raw!$D$4:$D$5003,$A144,Xero_Raw!$G$4:$G$5003,"*Subscription*",Xero_Raw!$A$4:$A$5003,"&gt;="&amp;DATE(2026,7,1),Xero_Raw!$A$4:$A$5003,"&lt;"&amp;EDATE(DATE(2026,7,1),1))+COUNTIFS(Customer_Invoices_Upload!$E$4:$E$5003,$A144,Customer_Invoices_Upload!$G$4:$G$5003,"*Subscription*",Customer_Invoices_Upload!$B$4:$B$5003,"&gt;="&amp;DATE(2026,7,1),Customer_Invoices_Upload!$B$4:$B$5003,"&lt;"&amp;EDATE(DATE(2026,7,1),1))+COUNTIFS(Stripe_Invoices_Upload!$D$4:$D$5003,$A144,Stripe_Invoices_Upload!$E$4:$E$5003,"*Subscription*",Stripe_Invoices_Upload!$A$4:$A$5003,"&gt;="&amp;DATE(2026,7,1),Stripe_Invoices_Upload!$A$4:$A$5003,"&lt;"&amp;EDATE(DATE(2026,7,1),1)))&gt;0,"✓ Invoiced","⚠ Due"),""),""))</f>
        <v/>
      </c>
      <c r="K144" s="130" t="str">
        <f aca="false">IF($A144="","",IF((DATE(YEAR($E144),MONTH($E144),1)&lt;=DATE(2026,8,1)),IF((MOD(DATEDIF(DATE(YEAR($E144),MONTH($E144),1),DATE(2026,8,1),"m"),IF($D144="Quarterly",3,IF($D144="Annual",12,1)))=0),IF((COUNTIFS(Xero_Raw!$D$4:$D$5003,$A144,Xero_Raw!$G$4:$G$5003,"*Subscription*",Xero_Raw!$A$4:$A$5003,"&gt;="&amp;DATE(2026,8,1),Xero_Raw!$A$4:$A$5003,"&lt;"&amp;EDATE(DATE(2026,8,1),1))+COUNTIFS(Customer_Invoices_Upload!$E$4:$E$5003,$A144,Customer_Invoices_Upload!$G$4:$G$5003,"*Subscription*",Customer_Invoices_Upload!$B$4:$B$5003,"&gt;="&amp;DATE(2026,8,1),Customer_Invoices_Upload!$B$4:$B$5003,"&lt;"&amp;EDATE(DATE(2026,8,1),1))+COUNTIFS(Stripe_Invoices_Upload!$D$4:$D$5003,$A144,Stripe_Invoices_Upload!$E$4:$E$5003,"*Subscription*",Stripe_Invoices_Upload!$A$4:$A$5003,"&gt;="&amp;DATE(2026,8,1),Stripe_Invoices_Upload!$A$4:$A$5003,"&lt;"&amp;EDATE(DATE(2026,8,1),1)))&gt;0,"✓ Invoiced","⚠ Due"),""),""))</f>
        <v/>
      </c>
      <c r="L144" s="130" t="str">
        <f aca="false">IF($A144="","",IF((DATE(YEAR($E144),MONTH($E144),1)&lt;=DATE(2026,9,1)),IF((MOD(DATEDIF(DATE(YEAR($E144),MONTH($E144),1),DATE(2026,9,1),"m"),IF($D144="Quarterly",3,IF($D144="Annual",12,1)))=0),IF((COUNTIFS(Xero_Raw!$D$4:$D$5003,$A144,Xero_Raw!$G$4:$G$5003,"*Subscription*",Xero_Raw!$A$4:$A$5003,"&gt;="&amp;DATE(2026,9,1),Xero_Raw!$A$4:$A$5003,"&lt;"&amp;EDATE(DATE(2026,9,1),1))+COUNTIFS(Customer_Invoices_Upload!$E$4:$E$5003,$A144,Customer_Invoices_Upload!$G$4:$G$5003,"*Subscription*",Customer_Invoices_Upload!$B$4:$B$5003,"&gt;="&amp;DATE(2026,9,1),Customer_Invoices_Upload!$B$4:$B$5003,"&lt;"&amp;EDATE(DATE(2026,9,1),1))+COUNTIFS(Stripe_Invoices_Upload!$D$4:$D$5003,$A144,Stripe_Invoices_Upload!$E$4:$E$5003,"*Subscription*",Stripe_Invoices_Upload!$A$4:$A$5003,"&gt;="&amp;DATE(2026,9,1),Stripe_Invoices_Upload!$A$4:$A$5003,"&lt;"&amp;EDATE(DATE(2026,9,1),1)))&gt;0,"✓ Invoiced","⚠ Due"),""),""))</f>
        <v/>
      </c>
      <c r="M144" s="130" t="str">
        <f aca="false">IF($A144="","",IF((DATE(YEAR($E144),MONTH($E144),1)&lt;=DATE(2026,10,1)),IF((MOD(DATEDIF(DATE(YEAR($E144),MONTH($E144),1),DATE(2026,10,1),"m"),IF($D144="Quarterly",3,IF($D144="Annual",12,1)))=0),IF((COUNTIFS(Xero_Raw!$D$4:$D$5003,$A144,Xero_Raw!$G$4:$G$5003,"*Subscription*",Xero_Raw!$A$4:$A$5003,"&gt;="&amp;DATE(2026,10,1),Xero_Raw!$A$4:$A$5003,"&lt;"&amp;EDATE(DATE(2026,10,1),1))+COUNTIFS(Customer_Invoices_Upload!$E$4:$E$5003,$A144,Customer_Invoices_Upload!$G$4:$G$5003,"*Subscription*",Customer_Invoices_Upload!$B$4:$B$5003,"&gt;="&amp;DATE(2026,10,1),Customer_Invoices_Upload!$B$4:$B$5003,"&lt;"&amp;EDATE(DATE(2026,10,1),1))+COUNTIFS(Stripe_Invoices_Upload!$D$4:$D$5003,$A144,Stripe_Invoices_Upload!$E$4:$E$5003,"*Subscription*",Stripe_Invoices_Upload!$A$4:$A$5003,"&gt;="&amp;DATE(2026,10,1),Stripe_Invoices_Upload!$A$4:$A$5003,"&lt;"&amp;EDATE(DATE(2026,10,1),1)))&gt;0,"✓ Invoiced","⚠ Due"),""),""))</f>
        <v/>
      </c>
      <c r="N144" s="130" t="str">
        <f aca="false">IF($A144="","",IF((DATE(YEAR($E144),MONTH($E144),1)&lt;=DATE(2026,11,1)),IF((MOD(DATEDIF(DATE(YEAR($E144),MONTH($E144),1),DATE(2026,11,1),"m"),IF($D144="Quarterly",3,IF($D144="Annual",12,1)))=0),IF((COUNTIFS(Xero_Raw!$D$4:$D$5003,$A144,Xero_Raw!$G$4:$G$5003,"*Subscription*",Xero_Raw!$A$4:$A$5003,"&gt;="&amp;DATE(2026,11,1),Xero_Raw!$A$4:$A$5003,"&lt;"&amp;EDATE(DATE(2026,11,1),1))+COUNTIFS(Customer_Invoices_Upload!$E$4:$E$5003,$A144,Customer_Invoices_Upload!$G$4:$G$5003,"*Subscription*",Customer_Invoices_Upload!$B$4:$B$5003,"&gt;="&amp;DATE(2026,11,1),Customer_Invoices_Upload!$B$4:$B$5003,"&lt;"&amp;EDATE(DATE(2026,11,1),1))+COUNTIFS(Stripe_Invoices_Upload!$D$4:$D$5003,$A144,Stripe_Invoices_Upload!$E$4:$E$5003,"*Subscription*",Stripe_Invoices_Upload!$A$4:$A$5003,"&gt;="&amp;DATE(2026,11,1),Stripe_Invoices_Upload!$A$4:$A$5003,"&lt;"&amp;EDATE(DATE(2026,11,1),1)))&gt;0,"✓ Invoiced","⚠ Due"),""),""))</f>
        <v/>
      </c>
      <c r="O144" s="130" t="str">
        <f aca="false">IF($A144="","",IF((DATE(YEAR($E144),MONTH($E144),1)&lt;=DATE(2026,12,1)),IF((MOD(DATEDIF(DATE(YEAR($E144),MONTH($E144),1),DATE(2026,12,1),"m"),IF($D144="Quarterly",3,IF($D144="Annual",12,1)))=0),IF((COUNTIFS(Xero_Raw!$D$4:$D$5003,$A144,Xero_Raw!$G$4:$G$5003,"*Subscription*",Xero_Raw!$A$4:$A$5003,"&gt;="&amp;DATE(2026,12,1),Xero_Raw!$A$4:$A$5003,"&lt;"&amp;EDATE(DATE(2026,12,1),1))+COUNTIFS(Customer_Invoices_Upload!$E$4:$E$5003,$A144,Customer_Invoices_Upload!$G$4:$G$5003,"*Subscription*",Customer_Invoices_Upload!$B$4:$B$5003,"&gt;="&amp;DATE(2026,12,1),Customer_Invoices_Upload!$B$4:$B$5003,"&lt;"&amp;EDATE(DATE(2026,12,1),1))+COUNTIFS(Stripe_Invoices_Upload!$D$4:$D$5003,$A144,Stripe_Invoices_Upload!$E$4:$E$5003,"*Subscription*",Stripe_Invoices_Upload!$A$4:$A$5003,"&gt;="&amp;DATE(2026,12,1),Stripe_Invoices_Upload!$A$4:$A$5003,"&lt;"&amp;EDATE(DATE(2026,12,1),1)))&gt;0,"✓ Invoiced","⚠ Due"),""),""))</f>
        <v/>
      </c>
      <c r="P144" s="130" t="str">
        <f aca="false">IF($A144="","",IF((DATE(YEAR($E144),MONTH($E144),1)&lt;=DATE(2027,1,1)),IF((MOD(DATEDIF(DATE(YEAR($E144),MONTH($E144),1),DATE(2027,1,1),"m"),IF($D144="Quarterly",3,IF($D144="Annual",12,1)))=0),IF((COUNTIFS(Xero_Raw!$D$4:$D$5003,$A144,Xero_Raw!$G$4:$G$5003,"*Subscription*",Xero_Raw!$A$4:$A$5003,"&gt;="&amp;DATE(2027,1,1),Xero_Raw!$A$4:$A$5003,"&lt;"&amp;EDATE(DATE(2027,1,1),1))+COUNTIFS(Customer_Invoices_Upload!$E$4:$E$5003,$A144,Customer_Invoices_Upload!$G$4:$G$5003,"*Subscription*",Customer_Invoices_Upload!$B$4:$B$5003,"&gt;="&amp;DATE(2027,1,1),Customer_Invoices_Upload!$B$4:$B$5003,"&lt;"&amp;EDATE(DATE(2027,1,1),1))+COUNTIFS(Stripe_Invoices_Upload!$D$4:$D$5003,$A144,Stripe_Invoices_Upload!$E$4:$E$5003,"*Subscription*",Stripe_Invoices_Upload!$A$4:$A$5003,"&gt;="&amp;DATE(2027,1,1),Stripe_Invoices_Upload!$A$4:$A$5003,"&lt;"&amp;EDATE(DATE(2027,1,1),1)))&gt;0,"✓ Invoiced","⚠ Due"),""),""))</f>
        <v/>
      </c>
      <c r="Q144" s="130" t="str">
        <f aca="false">IF($A144="","",IF((DATE(YEAR($E144),MONTH($E144),1)&lt;=DATE(2027,2,1)),IF((MOD(DATEDIF(DATE(YEAR($E144),MONTH($E144),1),DATE(2027,2,1),"m"),IF($D144="Quarterly",3,IF($D144="Annual",12,1)))=0),IF((COUNTIFS(Xero_Raw!$D$4:$D$5003,$A144,Xero_Raw!$G$4:$G$5003,"*Subscription*",Xero_Raw!$A$4:$A$5003,"&gt;="&amp;DATE(2027,2,1),Xero_Raw!$A$4:$A$5003,"&lt;"&amp;EDATE(DATE(2027,2,1),1))+COUNTIFS(Customer_Invoices_Upload!$E$4:$E$5003,$A144,Customer_Invoices_Upload!$G$4:$G$5003,"*Subscription*",Customer_Invoices_Upload!$B$4:$B$5003,"&gt;="&amp;DATE(2027,2,1),Customer_Invoices_Upload!$B$4:$B$5003,"&lt;"&amp;EDATE(DATE(2027,2,1),1))+COUNTIFS(Stripe_Invoices_Upload!$D$4:$D$5003,$A144,Stripe_Invoices_Upload!$E$4:$E$5003,"*Subscription*",Stripe_Invoices_Upload!$A$4:$A$5003,"&gt;="&amp;DATE(2027,2,1),Stripe_Invoices_Upload!$A$4:$A$5003,"&lt;"&amp;EDATE(DATE(2027,2,1),1)))&gt;0,"✓ Invoiced","⚠ Due"),""),""))</f>
        <v/>
      </c>
      <c r="R144" s="130" t="str">
        <f aca="false">IF($A144="","",IF((DATE(YEAR($E144),MONTH($E144),1)&lt;=DATE(2027,3,1)),IF((MOD(DATEDIF(DATE(YEAR($E144),MONTH($E144),1),DATE(2027,3,1),"m"),IF($D144="Quarterly",3,IF($D144="Annual",12,1)))=0),IF((COUNTIFS(Xero_Raw!$D$4:$D$5003,$A144,Xero_Raw!$G$4:$G$5003,"*Subscription*",Xero_Raw!$A$4:$A$5003,"&gt;="&amp;DATE(2027,3,1),Xero_Raw!$A$4:$A$5003,"&lt;"&amp;EDATE(DATE(2027,3,1),1))+COUNTIFS(Customer_Invoices_Upload!$E$4:$E$5003,$A144,Customer_Invoices_Upload!$G$4:$G$5003,"*Subscription*",Customer_Invoices_Upload!$B$4:$B$5003,"&gt;="&amp;DATE(2027,3,1),Customer_Invoices_Upload!$B$4:$B$5003,"&lt;"&amp;EDATE(DATE(2027,3,1),1))+COUNTIFS(Stripe_Invoices_Upload!$D$4:$D$5003,$A144,Stripe_Invoices_Upload!$E$4:$E$5003,"*Subscription*",Stripe_Invoices_Upload!$A$4:$A$5003,"&gt;="&amp;DATE(2027,3,1),Stripe_Invoices_Upload!$A$4:$A$5003,"&lt;"&amp;EDATE(DATE(2027,3,1),1)))&gt;0,"✓ Invoiced","⚠ Due"),""),""))</f>
        <v/>
      </c>
    </row>
    <row r="145" customFormat="false" ht="15" hidden="false" customHeight="false" outlineLevel="0" collapsed="false">
      <c r="A145" s="39"/>
      <c r="B145" s="39"/>
      <c r="C145" s="40"/>
      <c r="D145" s="39"/>
      <c r="E145" s="38"/>
      <c r="F145" s="129" t="str">
        <f aca="true">IF($A145="","",EDATE($E145,DATEDIF($E145,TODAY(),"m")+1))</f>
        <v/>
      </c>
      <c r="G145" s="130" t="str">
        <f aca="false">IF($A145="","",IF((DATE(YEAR($E145),MONTH($E145),1)&lt;=DATE(2026,4,1)),IF((MOD(DATEDIF(DATE(YEAR($E145),MONTH($E145),1),DATE(2026,4,1),"m"),IF($D145="Quarterly",3,IF($D145="Annual",12,1)))=0),IF((COUNTIFS(Xero_Raw!$D$4:$D$5003,$A145,Xero_Raw!$G$4:$G$5003,"*Subscription*",Xero_Raw!$A$4:$A$5003,"&gt;="&amp;DATE(2026,4,1),Xero_Raw!$A$4:$A$5003,"&lt;"&amp;EDATE(DATE(2026,4,1),1))+COUNTIFS(Customer_Invoices_Upload!$E$4:$E$5003,$A145,Customer_Invoices_Upload!$G$4:$G$5003,"*Subscription*",Customer_Invoices_Upload!$B$4:$B$5003,"&gt;="&amp;DATE(2026,4,1),Customer_Invoices_Upload!$B$4:$B$5003,"&lt;"&amp;EDATE(DATE(2026,4,1),1))+COUNTIFS(Stripe_Invoices_Upload!$D$4:$D$5003,$A145,Stripe_Invoices_Upload!$E$4:$E$5003,"*Subscription*",Stripe_Invoices_Upload!$A$4:$A$5003,"&gt;="&amp;DATE(2026,4,1),Stripe_Invoices_Upload!$A$4:$A$5003,"&lt;"&amp;EDATE(DATE(2026,4,1),1)))&gt;0,"✓ Invoiced","⚠ Due"),""),""))</f>
        <v/>
      </c>
      <c r="H145" s="130" t="str">
        <f aca="false">IF($A145="","",IF((DATE(YEAR($E145),MONTH($E145),1)&lt;=DATE(2026,5,1)),IF((MOD(DATEDIF(DATE(YEAR($E145),MONTH($E145),1),DATE(2026,5,1),"m"),IF($D145="Quarterly",3,IF($D145="Annual",12,1)))=0),IF((COUNTIFS(Xero_Raw!$D$4:$D$5003,$A145,Xero_Raw!$G$4:$G$5003,"*Subscription*",Xero_Raw!$A$4:$A$5003,"&gt;="&amp;DATE(2026,5,1),Xero_Raw!$A$4:$A$5003,"&lt;"&amp;EDATE(DATE(2026,5,1),1))+COUNTIFS(Customer_Invoices_Upload!$E$4:$E$5003,$A145,Customer_Invoices_Upload!$G$4:$G$5003,"*Subscription*",Customer_Invoices_Upload!$B$4:$B$5003,"&gt;="&amp;DATE(2026,5,1),Customer_Invoices_Upload!$B$4:$B$5003,"&lt;"&amp;EDATE(DATE(2026,5,1),1))+COUNTIFS(Stripe_Invoices_Upload!$D$4:$D$5003,$A145,Stripe_Invoices_Upload!$E$4:$E$5003,"*Subscription*",Stripe_Invoices_Upload!$A$4:$A$5003,"&gt;="&amp;DATE(2026,5,1),Stripe_Invoices_Upload!$A$4:$A$5003,"&lt;"&amp;EDATE(DATE(2026,5,1),1)))&gt;0,"✓ Invoiced","⚠ Due"),""),""))</f>
        <v/>
      </c>
      <c r="I145" s="130" t="str">
        <f aca="false">IF($A145="","",IF((DATE(YEAR($E145),MONTH($E145),1)&lt;=DATE(2026,6,1)),IF((MOD(DATEDIF(DATE(YEAR($E145),MONTH($E145),1),DATE(2026,6,1),"m"),IF($D145="Quarterly",3,IF($D145="Annual",12,1)))=0),IF((COUNTIFS(Xero_Raw!$D$4:$D$5003,$A145,Xero_Raw!$G$4:$G$5003,"*Subscription*",Xero_Raw!$A$4:$A$5003,"&gt;="&amp;DATE(2026,6,1),Xero_Raw!$A$4:$A$5003,"&lt;"&amp;EDATE(DATE(2026,6,1),1))+COUNTIFS(Customer_Invoices_Upload!$E$4:$E$5003,$A145,Customer_Invoices_Upload!$G$4:$G$5003,"*Subscription*",Customer_Invoices_Upload!$B$4:$B$5003,"&gt;="&amp;DATE(2026,6,1),Customer_Invoices_Upload!$B$4:$B$5003,"&lt;"&amp;EDATE(DATE(2026,6,1),1))+COUNTIFS(Stripe_Invoices_Upload!$D$4:$D$5003,$A145,Stripe_Invoices_Upload!$E$4:$E$5003,"*Subscription*",Stripe_Invoices_Upload!$A$4:$A$5003,"&gt;="&amp;DATE(2026,6,1),Stripe_Invoices_Upload!$A$4:$A$5003,"&lt;"&amp;EDATE(DATE(2026,6,1),1)))&gt;0,"✓ Invoiced","⚠ Due"),""),""))</f>
        <v/>
      </c>
      <c r="J145" s="130" t="str">
        <f aca="false">IF($A145="","",IF((DATE(YEAR($E145),MONTH($E145),1)&lt;=DATE(2026,7,1)),IF((MOD(DATEDIF(DATE(YEAR($E145),MONTH($E145),1),DATE(2026,7,1),"m"),IF($D145="Quarterly",3,IF($D145="Annual",12,1)))=0),IF((COUNTIFS(Xero_Raw!$D$4:$D$5003,$A145,Xero_Raw!$G$4:$G$5003,"*Subscription*",Xero_Raw!$A$4:$A$5003,"&gt;="&amp;DATE(2026,7,1),Xero_Raw!$A$4:$A$5003,"&lt;"&amp;EDATE(DATE(2026,7,1),1))+COUNTIFS(Customer_Invoices_Upload!$E$4:$E$5003,$A145,Customer_Invoices_Upload!$G$4:$G$5003,"*Subscription*",Customer_Invoices_Upload!$B$4:$B$5003,"&gt;="&amp;DATE(2026,7,1),Customer_Invoices_Upload!$B$4:$B$5003,"&lt;"&amp;EDATE(DATE(2026,7,1),1))+COUNTIFS(Stripe_Invoices_Upload!$D$4:$D$5003,$A145,Stripe_Invoices_Upload!$E$4:$E$5003,"*Subscription*",Stripe_Invoices_Upload!$A$4:$A$5003,"&gt;="&amp;DATE(2026,7,1),Stripe_Invoices_Upload!$A$4:$A$5003,"&lt;"&amp;EDATE(DATE(2026,7,1),1)))&gt;0,"✓ Invoiced","⚠ Due"),""),""))</f>
        <v/>
      </c>
      <c r="K145" s="130" t="str">
        <f aca="false">IF($A145="","",IF((DATE(YEAR($E145),MONTH($E145),1)&lt;=DATE(2026,8,1)),IF((MOD(DATEDIF(DATE(YEAR($E145),MONTH($E145),1),DATE(2026,8,1),"m"),IF($D145="Quarterly",3,IF($D145="Annual",12,1)))=0),IF((COUNTIFS(Xero_Raw!$D$4:$D$5003,$A145,Xero_Raw!$G$4:$G$5003,"*Subscription*",Xero_Raw!$A$4:$A$5003,"&gt;="&amp;DATE(2026,8,1),Xero_Raw!$A$4:$A$5003,"&lt;"&amp;EDATE(DATE(2026,8,1),1))+COUNTIFS(Customer_Invoices_Upload!$E$4:$E$5003,$A145,Customer_Invoices_Upload!$G$4:$G$5003,"*Subscription*",Customer_Invoices_Upload!$B$4:$B$5003,"&gt;="&amp;DATE(2026,8,1),Customer_Invoices_Upload!$B$4:$B$5003,"&lt;"&amp;EDATE(DATE(2026,8,1),1))+COUNTIFS(Stripe_Invoices_Upload!$D$4:$D$5003,$A145,Stripe_Invoices_Upload!$E$4:$E$5003,"*Subscription*",Stripe_Invoices_Upload!$A$4:$A$5003,"&gt;="&amp;DATE(2026,8,1),Stripe_Invoices_Upload!$A$4:$A$5003,"&lt;"&amp;EDATE(DATE(2026,8,1),1)))&gt;0,"✓ Invoiced","⚠ Due"),""),""))</f>
        <v/>
      </c>
      <c r="L145" s="130" t="str">
        <f aca="false">IF($A145="","",IF((DATE(YEAR($E145),MONTH($E145),1)&lt;=DATE(2026,9,1)),IF((MOD(DATEDIF(DATE(YEAR($E145),MONTH($E145),1),DATE(2026,9,1),"m"),IF($D145="Quarterly",3,IF($D145="Annual",12,1)))=0),IF((COUNTIFS(Xero_Raw!$D$4:$D$5003,$A145,Xero_Raw!$G$4:$G$5003,"*Subscription*",Xero_Raw!$A$4:$A$5003,"&gt;="&amp;DATE(2026,9,1),Xero_Raw!$A$4:$A$5003,"&lt;"&amp;EDATE(DATE(2026,9,1),1))+COUNTIFS(Customer_Invoices_Upload!$E$4:$E$5003,$A145,Customer_Invoices_Upload!$G$4:$G$5003,"*Subscription*",Customer_Invoices_Upload!$B$4:$B$5003,"&gt;="&amp;DATE(2026,9,1),Customer_Invoices_Upload!$B$4:$B$5003,"&lt;"&amp;EDATE(DATE(2026,9,1),1))+COUNTIFS(Stripe_Invoices_Upload!$D$4:$D$5003,$A145,Stripe_Invoices_Upload!$E$4:$E$5003,"*Subscription*",Stripe_Invoices_Upload!$A$4:$A$5003,"&gt;="&amp;DATE(2026,9,1),Stripe_Invoices_Upload!$A$4:$A$5003,"&lt;"&amp;EDATE(DATE(2026,9,1),1)))&gt;0,"✓ Invoiced","⚠ Due"),""),""))</f>
        <v/>
      </c>
      <c r="M145" s="130" t="str">
        <f aca="false">IF($A145="","",IF((DATE(YEAR($E145),MONTH($E145),1)&lt;=DATE(2026,10,1)),IF((MOD(DATEDIF(DATE(YEAR($E145),MONTH($E145),1),DATE(2026,10,1),"m"),IF($D145="Quarterly",3,IF($D145="Annual",12,1)))=0),IF((COUNTIFS(Xero_Raw!$D$4:$D$5003,$A145,Xero_Raw!$G$4:$G$5003,"*Subscription*",Xero_Raw!$A$4:$A$5003,"&gt;="&amp;DATE(2026,10,1),Xero_Raw!$A$4:$A$5003,"&lt;"&amp;EDATE(DATE(2026,10,1),1))+COUNTIFS(Customer_Invoices_Upload!$E$4:$E$5003,$A145,Customer_Invoices_Upload!$G$4:$G$5003,"*Subscription*",Customer_Invoices_Upload!$B$4:$B$5003,"&gt;="&amp;DATE(2026,10,1),Customer_Invoices_Upload!$B$4:$B$5003,"&lt;"&amp;EDATE(DATE(2026,10,1),1))+COUNTIFS(Stripe_Invoices_Upload!$D$4:$D$5003,$A145,Stripe_Invoices_Upload!$E$4:$E$5003,"*Subscription*",Stripe_Invoices_Upload!$A$4:$A$5003,"&gt;="&amp;DATE(2026,10,1),Stripe_Invoices_Upload!$A$4:$A$5003,"&lt;"&amp;EDATE(DATE(2026,10,1),1)))&gt;0,"✓ Invoiced","⚠ Due"),""),""))</f>
        <v/>
      </c>
      <c r="N145" s="130" t="str">
        <f aca="false">IF($A145="","",IF((DATE(YEAR($E145),MONTH($E145),1)&lt;=DATE(2026,11,1)),IF((MOD(DATEDIF(DATE(YEAR($E145),MONTH($E145),1),DATE(2026,11,1),"m"),IF($D145="Quarterly",3,IF($D145="Annual",12,1)))=0),IF((COUNTIFS(Xero_Raw!$D$4:$D$5003,$A145,Xero_Raw!$G$4:$G$5003,"*Subscription*",Xero_Raw!$A$4:$A$5003,"&gt;="&amp;DATE(2026,11,1),Xero_Raw!$A$4:$A$5003,"&lt;"&amp;EDATE(DATE(2026,11,1),1))+COUNTIFS(Customer_Invoices_Upload!$E$4:$E$5003,$A145,Customer_Invoices_Upload!$G$4:$G$5003,"*Subscription*",Customer_Invoices_Upload!$B$4:$B$5003,"&gt;="&amp;DATE(2026,11,1),Customer_Invoices_Upload!$B$4:$B$5003,"&lt;"&amp;EDATE(DATE(2026,11,1),1))+COUNTIFS(Stripe_Invoices_Upload!$D$4:$D$5003,$A145,Stripe_Invoices_Upload!$E$4:$E$5003,"*Subscription*",Stripe_Invoices_Upload!$A$4:$A$5003,"&gt;="&amp;DATE(2026,11,1),Stripe_Invoices_Upload!$A$4:$A$5003,"&lt;"&amp;EDATE(DATE(2026,11,1),1)))&gt;0,"✓ Invoiced","⚠ Due"),""),""))</f>
        <v/>
      </c>
      <c r="O145" s="130" t="str">
        <f aca="false">IF($A145="","",IF((DATE(YEAR($E145),MONTH($E145),1)&lt;=DATE(2026,12,1)),IF((MOD(DATEDIF(DATE(YEAR($E145),MONTH($E145),1),DATE(2026,12,1),"m"),IF($D145="Quarterly",3,IF($D145="Annual",12,1)))=0),IF((COUNTIFS(Xero_Raw!$D$4:$D$5003,$A145,Xero_Raw!$G$4:$G$5003,"*Subscription*",Xero_Raw!$A$4:$A$5003,"&gt;="&amp;DATE(2026,12,1),Xero_Raw!$A$4:$A$5003,"&lt;"&amp;EDATE(DATE(2026,12,1),1))+COUNTIFS(Customer_Invoices_Upload!$E$4:$E$5003,$A145,Customer_Invoices_Upload!$G$4:$G$5003,"*Subscription*",Customer_Invoices_Upload!$B$4:$B$5003,"&gt;="&amp;DATE(2026,12,1),Customer_Invoices_Upload!$B$4:$B$5003,"&lt;"&amp;EDATE(DATE(2026,12,1),1))+COUNTIFS(Stripe_Invoices_Upload!$D$4:$D$5003,$A145,Stripe_Invoices_Upload!$E$4:$E$5003,"*Subscription*",Stripe_Invoices_Upload!$A$4:$A$5003,"&gt;="&amp;DATE(2026,12,1),Stripe_Invoices_Upload!$A$4:$A$5003,"&lt;"&amp;EDATE(DATE(2026,12,1),1)))&gt;0,"✓ Invoiced","⚠ Due"),""),""))</f>
        <v/>
      </c>
      <c r="P145" s="130" t="str">
        <f aca="false">IF($A145="","",IF((DATE(YEAR($E145),MONTH($E145),1)&lt;=DATE(2027,1,1)),IF((MOD(DATEDIF(DATE(YEAR($E145),MONTH($E145),1),DATE(2027,1,1),"m"),IF($D145="Quarterly",3,IF($D145="Annual",12,1)))=0),IF((COUNTIFS(Xero_Raw!$D$4:$D$5003,$A145,Xero_Raw!$G$4:$G$5003,"*Subscription*",Xero_Raw!$A$4:$A$5003,"&gt;="&amp;DATE(2027,1,1),Xero_Raw!$A$4:$A$5003,"&lt;"&amp;EDATE(DATE(2027,1,1),1))+COUNTIFS(Customer_Invoices_Upload!$E$4:$E$5003,$A145,Customer_Invoices_Upload!$G$4:$G$5003,"*Subscription*",Customer_Invoices_Upload!$B$4:$B$5003,"&gt;="&amp;DATE(2027,1,1),Customer_Invoices_Upload!$B$4:$B$5003,"&lt;"&amp;EDATE(DATE(2027,1,1),1))+COUNTIFS(Stripe_Invoices_Upload!$D$4:$D$5003,$A145,Stripe_Invoices_Upload!$E$4:$E$5003,"*Subscription*",Stripe_Invoices_Upload!$A$4:$A$5003,"&gt;="&amp;DATE(2027,1,1),Stripe_Invoices_Upload!$A$4:$A$5003,"&lt;"&amp;EDATE(DATE(2027,1,1),1)))&gt;0,"✓ Invoiced","⚠ Due"),""),""))</f>
        <v/>
      </c>
      <c r="Q145" s="130" t="str">
        <f aca="false">IF($A145="","",IF((DATE(YEAR($E145),MONTH($E145),1)&lt;=DATE(2027,2,1)),IF((MOD(DATEDIF(DATE(YEAR($E145),MONTH($E145),1),DATE(2027,2,1),"m"),IF($D145="Quarterly",3,IF($D145="Annual",12,1)))=0),IF((COUNTIFS(Xero_Raw!$D$4:$D$5003,$A145,Xero_Raw!$G$4:$G$5003,"*Subscription*",Xero_Raw!$A$4:$A$5003,"&gt;="&amp;DATE(2027,2,1),Xero_Raw!$A$4:$A$5003,"&lt;"&amp;EDATE(DATE(2027,2,1),1))+COUNTIFS(Customer_Invoices_Upload!$E$4:$E$5003,$A145,Customer_Invoices_Upload!$G$4:$G$5003,"*Subscription*",Customer_Invoices_Upload!$B$4:$B$5003,"&gt;="&amp;DATE(2027,2,1),Customer_Invoices_Upload!$B$4:$B$5003,"&lt;"&amp;EDATE(DATE(2027,2,1),1))+COUNTIFS(Stripe_Invoices_Upload!$D$4:$D$5003,$A145,Stripe_Invoices_Upload!$E$4:$E$5003,"*Subscription*",Stripe_Invoices_Upload!$A$4:$A$5003,"&gt;="&amp;DATE(2027,2,1),Stripe_Invoices_Upload!$A$4:$A$5003,"&lt;"&amp;EDATE(DATE(2027,2,1),1)))&gt;0,"✓ Invoiced","⚠ Due"),""),""))</f>
        <v/>
      </c>
      <c r="R145" s="130" t="str">
        <f aca="false">IF($A145="","",IF((DATE(YEAR($E145),MONTH($E145),1)&lt;=DATE(2027,3,1)),IF((MOD(DATEDIF(DATE(YEAR($E145),MONTH($E145),1),DATE(2027,3,1),"m"),IF($D145="Quarterly",3,IF($D145="Annual",12,1)))=0),IF((COUNTIFS(Xero_Raw!$D$4:$D$5003,$A145,Xero_Raw!$G$4:$G$5003,"*Subscription*",Xero_Raw!$A$4:$A$5003,"&gt;="&amp;DATE(2027,3,1),Xero_Raw!$A$4:$A$5003,"&lt;"&amp;EDATE(DATE(2027,3,1),1))+COUNTIFS(Customer_Invoices_Upload!$E$4:$E$5003,$A145,Customer_Invoices_Upload!$G$4:$G$5003,"*Subscription*",Customer_Invoices_Upload!$B$4:$B$5003,"&gt;="&amp;DATE(2027,3,1),Customer_Invoices_Upload!$B$4:$B$5003,"&lt;"&amp;EDATE(DATE(2027,3,1),1))+COUNTIFS(Stripe_Invoices_Upload!$D$4:$D$5003,$A145,Stripe_Invoices_Upload!$E$4:$E$5003,"*Subscription*",Stripe_Invoices_Upload!$A$4:$A$5003,"&gt;="&amp;DATE(2027,3,1),Stripe_Invoices_Upload!$A$4:$A$5003,"&lt;"&amp;EDATE(DATE(2027,3,1),1)))&gt;0,"✓ Invoiced","⚠ Due"),""),""))</f>
        <v/>
      </c>
    </row>
    <row r="146" customFormat="false" ht="15" hidden="false" customHeight="false" outlineLevel="0" collapsed="false">
      <c r="A146" s="39"/>
      <c r="B146" s="39"/>
      <c r="C146" s="40"/>
      <c r="D146" s="39"/>
      <c r="E146" s="38"/>
      <c r="F146" s="129" t="str">
        <f aca="true">IF($A146="","",EDATE($E146,DATEDIF($E146,TODAY(),"m")+1))</f>
        <v/>
      </c>
      <c r="G146" s="130" t="str">
        <f aca="false">IF($A146="","",IF((DATE(YEAR($E146),MONTH($E146),1)&lt;=DATE(2026,4,1)),IF((MOD(DATEDIF(DATE(YEAR($E146),MONTH($E146),1),DATE(2026,4,1),"m"),IF($D146="Quarterly",3,IF($D146="Annual",12,1)))=0),IF((COUNTIFS(Xero_Raw!$D$4:$D$5003,$A146,Xero_Raw!$G$4:$G$5003,"*Subscription*",Xero_Raw!$A$4:$A$5003,"&gt;="&amp;DATE(2026,4,1),Xero_Raw!$A$4:$A$5003,"&lt;"&amp;EDATE(DATE(2026,4,1),1))+COUNTIFS(Customer_Invoices_Upload!$E$4:$E$5003,$A146,Customer_Invoices_Upload!$G$4:$G$5003,"*Subscription*",Customer_Invoices_Upload!$B$4:$B$5003,"&gt;="&amp;DATE(2026,4,1),Customer_Invoices_Upload!$B$4:$B$5003,"&lt;"&amp;EDATE(DATE(2026,4,1),1))+COUNTIFS(Stripe_Invoices_Upload!$D$4:$D$5003,$A146,Stripe_Invoices_Upload!$E$4:$E$5003,"*Subscription*",Stripe_Invoices_Upload!$A$4:$A$5003,"&gt;="&amp;DATE(2026,4,1),Stripe_Invoices_Upload!$A$4:$A$5003,"&lt;"&amp;EDATE(DATE(2026,4,1),1)))&gt;0,"✓ Invoiced","⚠ Due"),""),""))</f>
        <v/>
      </c>
      <c r="H146" s="130" t="str">
        <f aca="false">IF($A146="","",IF((DATE(YEAR($E146),MONTH($E146),1)&lt;=DATE(2026,5,1)),IF((MOD(DATEDIF(DATE(YEAR($E146),MONTH($E146),1),DATE(2026,5,1),"m"),IF($D146="Quarterly",3,IF($D146="Annual",12,1)))=0),IF((COUNTIFS(Xero_Raw!$D$4:$D$5003,$A146,Xero_Raw!$G$4:$G$5003,"*Subscription*",Xero_Raw!$A$4:$A$5003,"&gt;="&amp;DATE(2026,5,1),Xero_Raw!$A$4:$A$5003,"&lt;"&amp;EDATE(DATE(2026,5,1),1))+COUNTIFS(Customer_Invoices_Upload!$E$4:$E$5003,$A146,Customer_Invoices_Upload!$G$4:$G$5003,"*Subscription*",Customer_Invoices_Upload!$B$4:$B$5003,"&gt;="&amp;DATE(2026,5,1),Customer_Invoices_Upload!$B$4:$B$5003,"&lt;"&amp;EDATE(DATE(2026,5,1),1))+COUNTIFS(Stripe_Invoices_Upload!$D$4:$D$5003,$A146,Stripe_Invoices_Upload!$E$4:$E$5003,"*Subscription*",Stripe_Invoices_Upload!$A$4:$A$5003,"&gt;="&amp;DATE(2026,5,1),Stripe_Invoices_Upload!$A$4:$A$5003,"&lt;"&amp;EDATE(DATE(2026,5,1),1)))&gt;0,"✓ Invoiced","⚠ Due"),""),""))</f>
        <v/>
      </c>
      <c r="I146" s="130" t="str">
        <f aca="false">IF($A146="","",IF((DATE(YEAR($E146),MONTH($E146),1)&lt;=DATE(2026,6,1)),IF((MOD(DATEDIF(DATE(YEAR($E146),MONTH($E146),1),DATE(2026,6,1),"m"),IF($D146="Quarterly",3,IF($D146="Annual",12,1)))=0),IF((COUNTIFS(Xero_Raw!$D$4:$D$5003,$A146,Xero_Raw!$G$4:$G$5003,"*Subscription*",Xero_Raw!$A$4:$A$5003,"&gt;="&amp;DATE(2026,6,1),Xero_Raw!$A$4:$A$5003,"&lt;"&amp;EDATE(DATE(2026,6,1),1))+COUNTIFS(Customer_Invoices_Upload!$E$4:$E$5003,$A146,Customer_Invoices_Upload!$G$4:$G$5003,"*Subscription*",Customer_Invoices_Upload!$B$4:$B$5003,"&gt;="&amp;DATE(2026,6,1),Customer_Invoices_Upload!$B$4:$B$5003,"&lt;"&amp;EDATE(DATE(2026,6,1),1))+COUNTIFS(Stripe_Invoices_Upload!$D$4:$D$5003,$A146,Stripe_Invoices_Upload!$E$4:$E$5003,"*Subscription*",Stripe_Invoices_Upload!$A$4:$A$5003,"&gt;="&amp;DATE(2026,6,1),Stripe_Invoices_Upload!$A$4:$A$5003,"&lt;"&amp;EDATE(DATE(2026,6,1),1)))&gt;0,"✓ Invoiced","⚠ Due"),""),""))</f>
        <v/>
      </c>
      <c r="J146" s="130" t="str">
        <f aca="false">IF($A146="","",IF((DATE(YEAR($E146),MONTH($E146),1)&lt;=DATE(2026,7,1)),IF((MOD(DATEDIF(DATE(YEAR($E146),MONTH($E146),1),DATE(2026,7,1),"m"),IF($D146="Quarterly",3,IF($D146="Annual",12,1)))=0),IF((COUNTIFS(Xero_Raw!$D$4:$D$5003,$A146,Xero_Raw!$G$4:$G$5003,"*Subscription*",Xero_Raw!$A$4:$A$5003,"&gt;="&amp;DATE(2026,7,1),Xero_Raw!$A$4:$A$5003,"&lt;"&amp;EDATE(DATE(2026,7,1),1))+COUNTIFS(Customer_Invoices_Upload!$E$4:$E$5003,$A146,Customer_Invoices_Upload!$G$4:$G$5003,"*Subscription*",Customer_Invoices_Upload!$B$4:$B$5003,"&gt;="&amp;DATE(2026,7,1),Customer_Invoices_Upload!$B$4:$B$5003,"&lt;"&amp;EDATE(DATE(2026,7,1),1))+COUNTIFS(Stripe_Invoices_Upload!$D$4:$D$5003,$A146,Stripe_Invoices_Upload!$E$4:$E$5003,"*Subscription*",Stripe_Invoices_Upload!$A$4:$A$5003,"&gt;="&amp;DATE(2026,7,1),Stripe_Invoices_Upload!$A$4:$A$5003,"&lt;"&amp;EDATE(DATE(2026,7,1),1)))&gt;0,"✓ Invoiced","⚠ Due"),""),""))</f>
        <v/>
      </c>
      <c r="K146" s="130" t="str">
        <f aca="false">IF($A146="","",IF((DATE(YEAR($E146),MONTH($E146),1)&lt;=DATE(2026,8,1)),IF((MOD(DATEDIF(DATE(YEAR($E146),MONTH($E146),1),DATE(2026,8,1),"m"),IF($D146="Quarterly",3,IF($D146="Annual",12,1)))=0),IF((COUNTIFS(Xero_Raw!$D$4:$D$5003,$A146,Xero_Raw!$G$4:$G$5003,"*Subscription*",Xero_Raw!$A$4:$A$5003,"&gt;="&amp;DATE(2026,8,1),Xero_Raw!$A$4:$A$5003,"&lt;"&amp;EDATE(DATE(2026,8,1),1))+COUNTIFS(Customer_Invoices_Upload!$E$4:$E$5003,$A146,Customer_Invoices_Upload!$G$4:$G$5003,"*Subscription*",Customer_Invoices_Upload!$B$4:$B$5003,"&gt;="&amp;DATE(2026,8,1),Customer_Invoices_Upload!$B$4:$B$5003,"&lt;"&amp;EDATE(DATE(2026,8,1),1))+COUNTIFS(Stripe_Invoices_Upload!$D$4:$D$5003,$A146,Stripe_Invoices_Upload!$E$4:$E$5003,"*Subscription*",Stripe_Invoices_Upload!$A$4:$A$5003,"&gt;="&amp;DATE(2026,8,1),Stripe_Invoices_Upload!$A$4:$A$5003,"&lt;"&amp;EDATE(DATE(2026,8,1),1)))&gt;0,"✓ Invoiced","⚠ Due"),""),""))</f>
        <v/>
      </c>
      <c r="L146" s="130" t="str">
        <f aca="false">IF($A146="","",IF((DATE(YEAR($E146),MONTH($E146),1)&lt;=DATE(2026,9,1)),IF((MOD(DATEDIF(DATE(YEAR($E146),MONTH($E146),1),DATE(2026,9,1),"m"),IF($D146="Quarterly",3,IF($D146="Annual",12,1)))=0),IF((COUNTIFS(Xero_Raw!$D$4:$D$5003,$A146,Xero_Raw!$G$4:$G$5003,"*Subscription*",Xero_Raw!$A$4:$A$5003,"&gt;="&amp;DATE(2026,9,1),Xero_Raw!$A$4:$A$5003,"&lt;"&amp;EDATE(DATE(2026,9,1),1))+COUNTIFS(Customer_Invoices_Upload!$E$4:$E$5003,$A146,Customer_Invoices_Upload!$G$4:$G$5003,"*Subscription*",Customer_Invoices_Upload!$B$4:$B$5003,"&gt;="&amp;DATE(2026,9,1),Customer_Invoices_Upload!$B$4:$B$5003,"&lt;"&amp;EDATE(DATE(2026,9,1),1))+COUNTIFS(Stripe_Invoices_Upload!$D$4:$D$5003,$A146,Stripe_Invoices_Upload!$E$4:$E$5003,"*Subscription*",Stripe_Invoices_Upload!$A$4:$A$5003,"&gt;="&amp;DATE(2026,9,1),Stripe_Invoices_Upload!$A$4:$A$5003,"&lt;"&amp;EDATE(DATE(2026,9,1),1)))&gt;0,"✓ Invoiced","⚠ Due"),""),""))</f>
        <v/>
      </c>
      <c r="M146" s="130" t="str">
        <f aca="false">IF($A146="","",IF((DATE(YEAR($E146),MONTH($E146),1)&lt;=DATE(2026,10,1)),IF((MOD(DATEDIF(DATE(YEAR($E146),MONTH($E146),1),DATE(2026,10,1),"m"),IF($D146="Quarterly",3,IF($D146="Annual",12,1)))=0),IF((COUNTIFS(Xero_Raw!$D$4:$D$5003,$A146,Xero_Raw!$G$4:$G$5003,"*Subscription*",Xero_Raw!$A$4:$A$5003,"&gt;="&amp;DATE(2026,10,1),Xero_Raw!$A$4:$A$5003,"&lt;"&amp;EDATE(DATE(2026,10,1),1))+COUNTIFS(Customer_Invoices_Upload!$E$4:$E$5003,$A146,Customer_Invoices_Upload!$G$4:$G$5003,"*Subscription*",Customer_Invoices_Upload!$B$4:$B$5003,"&gt;="&amp;DATE(2026,10,1),Customer_Invoices_Upload!$B$4:$B$5003,"&lt;"&amp;EDATE(DATE(2026,10,1),1))+COUNTIFS(Stripe_Invoices_Upload!$D$4:$D$5003,$A146,Stripe_Invoices_Upload!$E$4:$E$5003,"*Subscription*",Stripe_Invoices_Upload!$A$4:$A$5003,"&gt;="&amp;DATE(2026,10,1),Stripe_Invoices_Upload!$A$4:$A$5003,"&lt;"&amp;EDATE(DATE(2026,10,1),1)))&gt;0,"✓ Invoiced","⚠ Due"),""),""))</f>
        <v/>
      </c>
      <c r="N146" s="130" t="str">
        <f aca="false">IF($A146="","",IF((DATE(YEAR($E146),MONTH($E146),1)&lt;=DATE(2026,11,1)),IF((MOD(DATEDIF(DATE(YEAR($E146),MONTH($E146),1),DATE(2026,11,1),"m"),IF($D146="Quarterly",3,IF($D146="Annual",12,1)))=0),IF((COUNTIFS(Xero_Raw!$D$4:$D$5003,$A146,Xero_Raw!$G$4:$G$5003,"*Subscription*",Xero_Raw!$A$4:$A$5003,"&gt;="&amp;DATE(2026,11,1),Xero_Raw!$A$4:$A$5003,"&lt;"&amp;EDATE(DATE(2026,11,1),1))+COUNTIFS(Customer_Invoices_Upload!$E$4:$E$5003,$A146,Customer_Invoices_Upload!$G$4:$G$5003,"*Subscription*",Customer_Invoices_Upload!$B$4:$B$5003,"&gt;="&amp;DATE(2026,11,1),Customer_Invoices_Upload!$B$4:$B$5003,"&lt;"&amp;EDATE(DATE(2026,11,1),1))+COUNTIFS(Stripe_Invoices_Upload!$D$4:$D$5003,$A146,Stripe_Invoices_Upload!$E$4:$E$5003,"*Subscription*",Stripe_Invoices_Upload!$A$4:$A$5003,"&gt;="&amp;DATE(2026,11,1),Stripe_Invoices_Upload!$A$4:$A$5003,"&lt;"&amp;EDATE(DATE(2026,11,1),1)))&gt;0,"✓ Invoiced","⚠ Due"),""),""))</f>
        <v/>
      </c>
      <c r="O146" s="130" t="str">
        <f aca="false">IF($A146="","",IF((DATE(YEAR($E146),MONTH($E146),1)&lt;=DATE(2026,12,1)),IF((MOD(DATEDIF(DATE(YEAR($E146),MONTH($E146),1),DATE(2026,12,1),"m"),IF($D146="Quarterly",3,IF($D146="Annual",12,1)))=0),IF((COUNTIFS(Xero_Raw!$D$4:$D$5003,$A146,Xero_Raw!$G$4:$G$5003,"*Subscription*",Xero_Raw!$A$4:$A$5003,"&gt;="&amp;DATE(2026,12,1),Xero_Raw!$A$4:$A$5003,"&lt;"&amp;EDATE(DATE(2026,12,1),1))+COUNTIFS(Customer_Invoices_Upload!$E$4:$E$5003,$A146,Customer_Invoices_Upload!$G$4:$G$5003,"*Subscription*",Customer_Invoices_Upload!$B$4:$B$5003,"&gt;="&amp;DATE(2026,12,1),Customer_Invoices_Upload!$B$4:$B$5003,"&lt;"&amp;EDATE(DATE(2026,12,1),1))+COUNTIFS(Stripe_Invoices_Upload!$D$4:$D$5003,$A146,Stripe_Invoices_Upload!$E$4:$E$5003,"*Subscription*",Stripe_Invoices_Upload!$A$4:$A$5003,"&gt;="&amp;DATE(2026,12,1),Stripe_Invoices_Upload!$A$4:$A$5003,"&lt;"&amp;EDATE(DATE(2026,12,1),1)))&gt;0,"✓ Invoiced","⚠ Due"),""),""))</f>
        <v/>
      </c>
      <c r="P146" s="130" t="str">
        <f aca="false">IF($A146="","",IF((DATE(YEAR($E146),MONTH($E146),1)&lt;=DATE(2027,1,1)),IF((MOD(DATEDIF(DATE(YEAR($E146),MONTH($E146),1),DATE(2027,1,1),"m"),IF($D146="Quarterly",3,IF($D146="Annual",12,1)))=0),IF((COUNTIFS(Xero_Raw!$D$4:$D$5003,$A146,Xero_Raw!$G$4:$G$5003,"*Subscription*",Xero_Raw!$A$4:$A$5003,"&gt;="&amp;DATE(2027,1,1),Xero_Raw!$A$4:$A$5003,"&lt;"&amp;EDATE(DATE(2027,1,1),1))+COUNTIFS(Customer_Invoices_Upload!$E$4:$E$5003,$A146,Customer_Invoices_Upload!$G$4:$G$5003,"*Subscription*",Customer_Invoices_Upload!$B$4:$B$5003,"&gt;="&amp;DATE(2027,1,1),Customer_Invoices_Upload!$B$4:$B$5003,"&lt;"&amp;EDATE(DATE(2027,1,1),1))+COUNTIFS(Stripe_Invoices_Upload!$D$4:$D$5003,$A146,Stripe_Invoices_Upload!$E$4:$E$5003,"*Subscription*",Stripe_Invoices_Upload!$A$4:$A$5003,"&gt;="&amp;DATE(2027,1,1),Stripe_Invoices_Upload!$A$4:$A$5003,"&lt;"&amp;EDATE(DATE(2027,1,1),1)))&gt;0,"✓ Invoiced","⚠ Due"),""),""))</f>
        <v/>
      </c>
      <c r="Q146" s="130" t="str">
        <f aca="false">IF($A146="","",IF((DATE(YEAR($E146),MONTH($E146),1)&lt;=DATE(2027,2,1)),IF((MOD(DATEDIF(DATE(YEAR($E146),MONTH($E146),1),DATE(2027,2,1),"m"),IF($D146="Quarterly",3,IF($D146="Annual",12,1)))=0),IF((COUNTIFS(Xero_Raw!$D$4:$D$5003,$A146,Xero_Raw!$G$4:$G$5003,"*Subscription*",Xero_Raw!$A$4:$A$5003,"&gt;="&amp;DATE(2027,2,1),Xero_Raw!$A$4:$A$5003,"&lt;"&amp;EDATE(DATE(2027,2,1),1))+COUNTIFS(Customer_Invoices_Upload!$E$4:$E$5003,$A146,Customer_Invoices_Upload!$G$4:$G$5003,"*Subscription*",Customer_Invoices_Upload!$B$4:$B$5003,"&gt;="&amp;DATE(2027,2,1),Customer_Invoices_Upload!$B$4:$B$5003,"&lt;"&amp;EDATE(DATE(2027,2,1),1))+COUNTIFS(Stripe_Invoices_Upload!$D$4:$D$5003,$A146,Stripe_Invoices_Upload!$E$4:$E$5003,"*Subscription*",Stripe_Invoices_Upload!$A$4:$A$5003,"&gt;="&amp;DATE(2027,2,1),Stripe_Invoices_Upload!$A$4:$A$5003,"&lt;"&amp;EDATE(DATE(2027,2,1),1)))&gt;0,"✓ Invoiced","⚠ Due"),""),""))</f>
        <v/>
      </c>
      <c r="R146" s="130" t="str">
        <f aca="false">IF($A146="","",IF((DATE(YEAR($E146),MONTH($E146),1)&lt;=DATE(2027,3,1)),IF((MOD(DATEDIF(DATE(YEAR($E146),MONTH($E146),1),DATE(2027,3,1),"m"),IF($D146="Quarterly",3,IF($D146="Annual",12,1)))=0),IF((COUNTIFS(Xero_Raw!$D$4:$D$5003,$A146,Xero_Raw!$G$4:$G$5003,"*Subscription*",Xero_Raw!$A$4:$A$5003,"&gt;="&amp;DATE(2027,3,1),Xero_Raw!$A$4:$A$5003,"&lt;"&amp;EDATE(DATE(2027,3,1),1))+COUNTIFS(Customer_Invoices_Upload!$E$4:$E$5003,$A146,Customer_Invoices_Upload!$G$4:$G$5003,"*Subscription*",Customer_Invoices_Upload!$B$4:$B$5003,"&gt;="&amp;DATE(2027,3,1),Customer_Invoices_Upload!$B$4:$B$5003,"&lt;"&amp;EDATE(DATE(2027,3,1),1))+COUNTIFS(Stripe_Invoices_Upload!$D$4:$D$5003,$A146,Stripe_Invoices_Upload!$E$4:$E$5003,"*Subscription*",Stripe_Invoices_Upload!$A$4:$A$5003,"&gt;="&amp;DATE(2027,3,1),Stripe_Invoices_Upload!$A$4:$A$5003,"&lt;"&amp;EDATE(DATE(2027,3,1),1)))&gt;0,"✓ Invoiced","⚠ Due"),""),""))</f>
        <v/>
      </c>
    </row>
    <row r="147" customFormat="false" ht="15" hidden="false" customHeight="false" outlineLevel="0" collapsed="false">
      <c r="A147" s="39"/>
      <c r="B147" s="39"/>
      <c r="C147" s="40"/>
      <c r="D147" s="39"/>
      <c r="E147" s="38"/>
      <c r="F147" s="129" t="str">
        <f aca="true">IF($A147="","",EDATE($E147,DATEDIF($E147,TODAY(),"m")+1))</f>
        <v/>
      </c>
      <c r="G147" s="130" t="str">
        <f aca="false">IF($A147="","",IF((DATE(YEAR($E147),MONTH($E147),1)&lt;=DATE(2026,4,1)),IF((MOD(DATEDIF(DATE(YEAR($E147),MONTH($E147),1),DATE(2026,4,1),"m"),IF($D147="Quarterly",3,IF($D147="Annual",12,1)))=0),IF((COUNTIFS(Xero_Raw!$D$4:$D$5003,$A147,Xero_Raw!$G$4:$G$5003,"*Subscription*",Xero_Raw!$A$4:$A$5003,"&gt;="&amp;DATE(2026,4,1),Xero_Raw!$A$4:$A$5003,"&lt;"&amp;EDATE(DATE(2026,4,1),1))+COUNTIFS(Customer_Invoices_Upload!$E$4:$E$5003,$A147,Customer_Invoices_Upload!$G$4:$G$5003,"*Subscription*",Customer_Invoices_Upload!$B$4:$B$5003,"&gt;="&amp;DATE(2026,4,1),Customer_Invoices_Upload!$B$4:$B$5003,"&lt;"&amp;EDATE(DATE(2026,4,1),1))+COUNTIFS(Stripe_Invoices_Upload!$D$4:$D$5003,$A147,Stripe_Invoices_Upload!$E$4:$E$5003,"*Subscription*",Stripe_Invoices_Upload!$A$4:$A$5003,"&gt;="&amp;DATE(2026,4,1),Stripe_Invoices_Upload!$A$4:$A$5003,"&lt;"&amp;EDATE(DATE(2026,4,1),1)))&gt;0,"✓ Invoiced","⚠ Due"),""),""))</f>
        <v/>
      </c>
      <c r="H147" s="130" t="str">
        <f aca="false">IF($A147="","",IF((DATE(YEAR($E147),MONTH($E147),1)&lt;=DATE(2026,5,1)),IF((MOD(DATEDIF(DATE(YEAR($E147),MONTH($E147),1),DATE(2026,5,1),"m"),IF($D147="Quarterly",3,IF($D147="Annual",12,1)))=0),IF((COUNTIFS(Xero_Raw!$D$4:$D$5003,$A147,Xero_Raw!$G$4:$G$5003,"*Subscription*",Xero_Raw!$A$4:$A$5003,"&gt;="&amp;DATE(2026,5,1),Xero_Raw!$A$4:$A$5003,"&lt;"&amp;EDATE(DATE(2026,5,1),1))+COUNTIFS(Customer_Invoices_Upload!$E$4:$E$5003,$A147,Customer_Invoices_Upload!$G$4:$G$5003,"*Subscription*",Customer_Invoices_Upload!$B$4:$B$5003,"&gt;="&amp;DATE(2026,5,1),Customer_Invoices_Upload!$B$4:$B$5003,"&lt;"&amp;EDATE(DATE(2026,5,1),1))+COUNTIFS(Stripe_Invoices_Upload!$D$4:$D$5003,$A147,Stripe_Invoices_Upload!$E$4:$E$5003,"*Subscription*",Stripe_Invoices_Upload!$A$4:$A$5003,"&gt;="&amp;DATE(2026,5,1),Stripe_Invoices_Upload!$A$4:$A$5003,"&lt;"&amp;EDATE(DATE(2026,5,1),1)))&gt;0,"✓ Invoiced","⚠ Due"),""),""))</f>
        <v/>
      </c>
      <c r="I147" s="130" t="str">
        <f aca="false">IF($A147="","",IF((DATE(YEAR($E147),MONTH($E147),1)&lt;=DATE(2026,6,1)),IF((MOD(DATEDIF(DATE(YEAR($E147),MONTH($E147),1),DATE(2026,6,1),"m"),IF($D147="Quarterly",3,IF($D147="Annual",12,1)))=0),IF((COUNTIFS(Xero_Raw!$D$4:$D$5003,$A147,Xero_Raw!$G$4:$G$5003,"*Subscription*",Xero_Raw!$A$4:$A$5003,"&gt;="&amp;DATE(2026,6,1),Xero_Raw!$A$4:$A$5003,"&lt;"&amp;EDATE(DATE(2026,6,1),1))+COUNTIFS(Customer_Invoices_Upload!$E$4:$E$5003,$A147,Customer_Invoices_Upload!$G$4:$G$5003,"*Subscription*",Customer_Invoices_Upload!$B$4:$B$5003,"&gt;="&amp;DATE(2026,6,1),Customer_Invoices_Upload!$B$4:$B$5003,"&lt;"&amp;EDATE(DATE(2026,6,1),1))+COUNTIFS(Stripe_Invoices_Upload!$D$4:$D$5003,$A147,Stripe_Invoices_Upload!$E$4:$E$5003,"*Subscription*",Stripe_Invoices_Upload!$A$4:$A$5003,"&gt;="&amp;DATE(2026,6,1),Stripe_Invoices_Upload!$A$4:$A$5003,"&lt;"&amp;EDATE(DATE(2026,6,1),1)))&gt;0,"✓ Invoiced","⚠ Due"),""),""))</f>
        <v/>
      </c>
      <c r="J147" s="130" t="str">
        <f aca="false">IF($A147="","",IF((DATE(YEAR($E147),MONTH($E147),1)&lt;=DATE(2026,7,1)),IF((MOD(DATEDIF(DATE(YEAR($E147),MONTH($E147),1),DATE(2026,7,1),"m"),IF($D147="Quarterly",3,IF($D147="Annual",12,1)))=0),IF((COUNTIFS(Xero_Raw!$D$4:$D$5003,$A147,Xero_Raw!$G$4:$G$5003,"*Subscription*",Xero_Raw!$A$4:$A$5003,"&gt;="&amp;DATE(2026,7,1),Xero_Raw!$A$4:$A$5003,"&lt;"&amp;EDATE(DATE(2026,7,1),1))+COUNTIFS(Customer_Invoices_Upload!$E$4:$E$5003,$A147,Customer_Invoices_Upload!$G$4:$G$5003,"*Subscription*",Customer_Invoices_Upload!$B$4:$B$5003,"&gt;="&amp;DATE(2026,7,1),Customer_Invoices_Upload!$B$4:$B$5003,"&lt;"&amp;EDATE(DATE(2026,7,1),1))+COUNTIFS(Stripe_Invoices_Upload!$D$4:$D$5003,$A147,Stripe_Invoices_Upload!$E$4:$E$5003,"*Subscription*",Stripe_Invoices_Upload!$A$4:$A$5003,"&gt;="&amp;DATE(2026,7,1),Stripe_Invoices_Upload!$A$4:$A$5003,"&lt;"&amp;EDATE(DATE(2026,7,1),1)))&gt;0,"✓ Invoiced","⚠ Due"),""),""))</f>
        <v/>
      </c>
      <c r="K147" s="130" t="str">
        <f aca="false">IF($A147="","",IF((DATE(YEAR($E147),MONTH($E147),1)&lt;=DATE(2026,8,1)),IF((MOD(DATEDIF(DATE(YEAR($E147),MONTH($E147),1),DATE(2026,8,1),"m"),IF($D147="Quarterly",3,IF($D147="Annual",12,1)))=0),IF((COUNTIFS(Xero_Raw!$D$4:$D$5003,$A147,Xero_Raw!$G$4:$G$5003,"*Subscription*",Xero_Raw!$A$4:$A$5003,"&gt;="&amp;DATE(2026,8,1),Xero_Raw!$A$4:$A$5003,"&lt;"&amp;EDATE(DATE(2026,8,1),1))+COUNTIFS(Customer_Invoices_Upload!$E$4:$E$5003,$A147,Customer_Invoices_Upload!$G$4:$G$5003,"*Subscription*",Customer_Invoices_Upload!$B$4:$B$5003,"&gt;="&amp;DATE(2026,8,1),Customer_Invoices_Upload!$B$4:$B$5003,"&lt;"&amp;EDATE(DATE(2026,8,1),1))+COUNTIFS(Stripe_Invoices_Upload!$D$4:$D$5003,$A147,Stripe_Invoices_Upload!$E$4:$E$5003,"*Subscription*",Stripe_Invoices_Upload!$A$4:$A$5003,"&gt;="&amp;DATE(2026,8,1),Stripe_Invoices_Upload!$A$4:$A$5003,"&lt;"&amp;EDATE(DATE(2026,8,1),1)))&gt;0,"✓ Invoiced","⚠ Due"),""),""))</f>
        <v/>
      </c>
      <c r="L147" s="130" t="str">
        <f aca="false">IF($A147="","",IF((DATE(YEAR($E147),MONTH($E147),1)&lt;=DATE(2026,9,1)),IF((MOD(DATEDIF(DATE(YEAR($E147),MONTH($E147),1),DATE(2026,9,1),"m"),IF($D147="Quarterly",3,IF($D147="Annual",12,1)))=0),IF((COUNTIFS(Xero_Raw!$D$4:$D$5003,$A147,Xero_Raw!$G$4:$G$5003,"*Subscription*",Xero_Raw!$A$4:$A$5003,"&gt;="&amp;DATE(2026,9,1),Xero_Raw!$A$4:$A$5003,"&lt;"&amp;EDATE(DATE(2026,9,1),1))+COUNTIFS(Customer_Invoices_Upload!$E$4:$E$5003,$A147,Customer_Invoices_Upload!$G$4:$G$5003,"*Subscription*",Customer_Invoices_Upload!$B$4:$B$5003,"&gt;="&amp;DATE(2026,9,1),Customer_Invoices_Upload!$B$4:$B$5003,"&lt;"&amp;EDATE(DATE(2026,9,1),1))+COUNTIFS(Stripe_Invoices_Upload!$D$4:$D$5003,$A147,Stripe_Invoices_Upload!$E$4:$E$5003,"*Subscription*",Stripe_Invoices_Upload!$A$4:$A$5003,"&gt;="&amp;DATE(2026,9,1),Stripe_Invoices_Upload!$A$4:$A$5003,"&lt;"&amp;EDATE(DATE(2026,9,1),1)))&gt;0,"✓ Invoiced","⚠ Due"),""),""))</f>
        <v/>
      </c>
      <c r="M147" s="130" t="str">
        <f aca="false">IF($A147="","",IF((DATE(YEAR($E147),MONTH($E147),1)&lt;=DATE(2026,10,1)),IF((MOD(DATEDIF(DATE(YEAR($E147),MONTH($E147),1),DATE(2026,10,1),"m"),IF($D147="Quarterly",3,IF($D147="Annual",12,1)))=0),IF((COUNTIFS(Xero_Raw!$D$4:$D$5003,$A147,Xero_Raw!$G$4:$G$5003,"*Subscription*",Xero_Raw!$A$4:$A$5003,"&gt;="&amp;DATE(2026,10,1),Xero_Raw!$A$4:$A$5003,"&lt;"&amp;EDATE(DATE(2026,10,1),1))+COUNTIFS(Customer_Invoices_Upload!$E$4:$E$5003,$A147,Customer_Invoices_Upload!$G$4:$G$5003,"*Subscription*",Customer_Invoices_Upload!$B$4:$B$5003,"&gt;="&amp;DATE(2026,10,1),Customer_Invoices_Upload!$B$4:$B$5003,"&lt;"&amp;EDATE(DATE(2026,10,1),1))+COUNTIFS(Stripe_Invoices_Upload!$D$4:$D$5003,$A147,Stripe_Invoices_Upload!$E$4:$E$5003,"*Subscription*",Stripe_Invoices_Upload!$A$4:$A$5003,"&gt;="&amp;DATE(2026,10,1),Stripe_Invoices_Upload!$A$4:$A$5003,"&lt;"&amp;EDATE(DATE(2026,10,1),1)))&gt;0,"✓ Invoiced","⚠ Due"),""),""))</f>
        <v/>
      </c>
      <c r="N147" s="130" t="str">
        <f aca="false">IF($A147="","",IF((DATE(YEAR($E147),MONTH($E147),1)&lt;=DATE(2026,11,1)),IF((MOD(DATEDIF(DATE(YEAR($E147),MONTH($E147),1),DATE(2026,11,1),"m"),IF($D147="Quarterly",3,IF($D147="Annual",12,1)))=0),IF((COUNTIFS(Xero_Raw!$D$4:$D$5003,$A147,Xero_Raw!$G$4:$G$5003,"*Subscription*",Xero_Raw!$A$4:$A$5003,"&gt;="&amp;DATE(2026,11,1),Xero_Raw!$A$4:$A$5003,"&lt;"&amp;EDATE(DATE(2026,11,1),1))+COUNTIFS(Customer_Invoices_Upload!$E$4:$E$5003,$A147,Customer_Invoices_Upload!$G$4:$G$5003,"*Subscription*",Customer_Invoices_Upload!$B$4:$B$5003,"&gt;="&amp;DATE(2026,11,1),Customer_Invoices_Upload!$B$4:$B$5003,"&lt;"&amp;EDATE(DATE(2026,11,1),1))+COUNTIFS(Stripe_Invoices_Upload!$D$4:$D$5003,$A147,Stripe_Invoices_Upload!$E$4:$E$5003,"*Subscription*",Stripe_Invoices_Upload!$A$4:$A$5003,"&gt;="&amp;DATE(2026,11,1),Stripe_Invoices_Upload!$A$4:$A$5003,"&lt;"&amp;EDATE(DATE(2026,11,1),1)))&gt;0,"✓ Invoiced","⚠ Due"),""),""))</f>
        <v/>
      </c>
      <c r="O147" s="130" t="str">
        <f aca="false">IF($A147="","",IF((DATE(YEAR($E147),MONTH($E147),1)&lt;=DATE(2026,12,1)),IF((MOD(DATEDIF(DATE(YEAR($E147),MONTH($E147),1),DATE(2026,12,1),"m"),IF($D147="Quarterly",3,IF($D147="Annual",12,1)))=0),IF((COUNTIFS(Xero_Raw!$D$4:$D$5003,$A147,Xero_Raw!$G$4:$G$5003,"*Subscription*",Xero_Raw!$A$4:$A$5003,"&gt;="&amp;DATE(2026,12,1),Xero_Raw!$A$4:$A$5003,"&lt;"&amp;EDATE(DATE(2026,12,1),1))+COUNTIFS(Customer_Invoices_Upload!$E$4:$E$5003,$A147,Customer_Invoices_Upload!$G$4:$G$5003,"*Subscription*",Customer_Invoices_Upload!$B$4:$B$5003,"&gt;="&amp;DATE(2026,12,1),Customer_Invoices_Upload!$B$4:$B$5003,"&lt;"&amp;EDATE(DATE(2026,12,1),1))+COUNTIFS(Stripe_Invoices_Upload!$D$4:$D$5003,$A147,Stripe_Invoices_Upload!$E$4:$E$5003,"*Subscription*",Stripe_Invoices_Upload!$A$4:$A$5003,"&gt;="&amp;DATE(2026,12,1),Stripe_Invoices_Upload!$A$4:$A$5003,"&lt;"&amp;EDATE(DATE(2026,12,1),1)))&gt;0,"✓ Invoiced","⚠ Due"),""),""))</f>
        <v/>
      </c>
      <c r="P147" s="130" t="str">
        <f aca="false">IF($A147="","",IF((DATE(YEAR($E147),MONTH($E147),1)&lt;=DATE(2027,1,1)),IF((MOD(DATEDIF(DATE(YEAR($E147),MONTH($E147),1),DATE(2027,1,1),"m"),IF($D147="Quarterly",3,IF($D147="Annual",12,1)))=0),IF((COUNTIFS(Xero_Raw!$D$4:$D$5003,$A147,Xero_Raw!$G$4:$G$5003,"*Subscription*",Xero_Raw!$A$4:$A$5003,"&gt;="&amp;DATE(2027,1,1),Xero_Raw!$A$4:$A$5003,"&lt;"&amp;EDATE(DATE(2027,1,1),1))+COUNTIFS(Customer_Invoices_Upload!$E$4:$E$5003,$A147,Customer_Invoices_Upload!$G$4:$G$5003,"*Subscription*",Customer_Invoices_Upload!$B$4:$B$5003,"&gt;="&amp;DATE(2027,1,1),Customer_Invoices_Upload!$B$4:$B$5003,"&lt;"&amp;EDATE(DATE(2027,1,1),1))+COUNTIFS(Stripe_Invoices_Upload!$D$4:$D$5003,$A147,Stripe_Invoices_Upload!$E$4:$E$5003,"*Subscription*",Stripe_Invoices_Upload!$A$4:$A$5003,"&gt;="&amp;DATE(2027,1,1),Stripe_Invoices_Upload!$A$4:$A$5003,"&lt;"&amp;EDATE(DATE(2027,1,1),1)))&gt;0,"✓ Invoiced","⚠ Due"),""),""))</f>
        <v/>
      </c>
      <c r="Q147" s="130" t="str">
        <f aca="false">IF($A147="","",IF((DATE(YEAR($E147),MONTH($E147),1)&lt;=DATE(2027,2,1)),IF((MOD(DATEDIF(DATE(YEAR($E147),MONTH($E147),1),DATE(2027,2,1),"m"),IF($D147="Quarterly",3,IF($D147="Annual",12,1)))=0),IF((COUNTIFS(Xero_Raw!$D$4:$D$5003,$A147,Xero_Raw!$G$4:$G$5003,"*Subscription*",Xero_Raw!$A$4:$A$5003,"&gt;="&amp;DATE(2027,2,1),Xero_Raw!$A$4:$A$5003,"&lt;"&amp;EDATE(DATE(2027,2,1),1))+COUNTIFS(Customer_Invoices_Upload!$E$4:$E$5003,$A147,Customer_Invoices_Upload!$G$4:$G$5003,"*Subscription*",Customer_Invoices_Upload!$B$4:$B$5003,"&gt;="&amp;DATE(2027,2,1),Customer_Invoices_Upload!$B$4:$B$5003,"&lt;"&amp;EDATE(DATE(2027,2,1),1))+COUNTIFS(Stripe_Invoices_Upload!$D$4:$D$5003,$A147,Stripe_Invoices_Upload!$E$4:$E$5003,"*Subscription*",Stripe_Invoices_Upload!$A$4:$A$5003,"&gt;="&amp;DATE(2027,2,1),Stripe_Invoices_Upload!$A$4:$A$5003,"&lt;"&amp;EDATE(DATE(2027,2,1),1)))&gt;0,"✓ Invoiced","⚠ Due"),""),""))</f>
        <v/>
      </c>
      <c r="R147" s="130" t="str">
        <f aca="false">IF($A147="","",IF((DATE(YEAR($E147),MONTH($E147),1)&lt;=DATE(2027,3,1)),IF((MOD(DATEDIF(DATE(YEAR($E147),MONTH($E147),1),DATE(2027,3,1),"m"),IF($D147="Quarterly",3,IF($D147="Annual",12,1)))=0),IF((COUNTIFS(Xero_Raw!$D$4:$D$5003,$A147,Xero_Raw!$G$4:$G$5003,"*Subscription*",Xero_Raw!$A$4:$A$5003,"&gt;="&amp;DATE(2027,3,1),Xero_Raw!$A$4:$A$5003,"&lt;"&amp;EDATE(DATE(2027,3,1),1))+COUNTIFS(Customer_Invoices_Upload!$E$4:$E$5003,$A147,Customer_Invoices_Upload!$G$4:$G$5003,"*Subscription*",Customer_Invoices_Upload!$B$4:$B$5003,"&gt;="&amp;DATE(2027,3,1),Customer_Invoices_Upload!$B$4:$B$5003,"&lt;"&amp;EDATE(DATE(2027,3,1),1))+COUNTIFS(Stripe_Invoices_Upload!$D$4:$D$5003,$A147,Stripe_Invoices_Upload!$E$4:$E$5003,"*Subscription*",Stripe_Invoices_Upload!$A$4:$A$5003,"&gt;="&amp;DATE(2027,3,1),Stripe_Invoices_Upload!$A$4:$A$5003,"&lt;"&amp;EDATE(DATE(2027,3,1),1)))&gt;0,"✓ Invoiced","⚠ Due"),""),""))</f>
        <v/>
      </c>
    </row>
    <row r="148" customFormat="false" ht="15" hidden="false" customHeight="false" outlineLevel="0" collapsed="false">
      <c r="A148" s="39"/>
      <c r="B148" s="39"/>
      <c r="C148" s="40"/>
      <c r="D148" s="39"/>
      <c r="E148" s="38"/>
      <c r="F148" s="129" t="str">
        <f aca="true">IF($A148="","",EDATE($E148,DATEDIF($E148,TODAY(),"m")+1))</f>
        <v/>
      </c>
      <c r="G148" s="130" t="str">
        <f aca="false">IF($A148="","",IF((DATE(YEAR($E148),MONTH($E148),1)&lt;=DATE(2026,4,1)),IF((MOD(DATEDIF(DATE(YEAR($E148),MONTH($E148),1),DATE(2026,4,1),"m"),IF($D148="Quarterly",3,IF($D148="Annual",12,1)))=0),IF((COUNTIFS(Xero_Raw!$D$4:$D$5003,$A148,Xero_Raw!$G$4:$G$5003,"*Subscription*",Xero_Raw!$A$4:$A$5003,"&gt;="&amp;DATE(2026,4,1),Xero_Raw!$A$4:$A$5003,"&lt;"&amp;EDATE(DATE(2026,4,1),1))+COUNTIFS(Customer_Invoices_Upload!$E$4:$E$5003,$A148,Customer_Invoices_Upload!$G$4:$G$5003,"*Subscription*",Customer_Invoices_Upload!$B$4:$B$5003,"&gt;="&amp;DATE(2026,4,1),Customer_Invoices_Upload!$B$4:$B$5003,"&lt;"&amp;EDATE(DATE(2026,4,1),1))+COUNTIFS(Stripe_Invoices_Upload!$D$4:$D$5003,$A148,Stripe_Invoices_Upload!$E$4:$E$5003,"*Subscription*",Stripe_Invoices_Upload!$A$4:$A$5003,"&gt;="&amp;DATE(2026,4,1),Stripe_Invoices_Upload!$A$4:$A$5003,"&lt;"&amp;EDATE(DATE(2026,4,1),1)))&gt;0,"✓ Invoiced","⚠ Due"),""),""))</f>
        <v/>
      </c>
      <c r="H148" s="130" t="str">
        <f aca="false">IF($A148="","",IF((DATE(YEAR($E148),MONTH($E148),1)&lt;=DATE(2026,5,1)),IF((MOD(DATEDIF(DATE(YEAR($E148),MONTH($E148),1),DATE(2026,5,1),"m"),IF($D148="Quarterly",3,IF($D148="Annual",12,1)))=0),IF((COUNTIFS(Xero_Raw!$D$4:$D$5003,$A148,Xero_Raw!$G$4:$G$5003,"*Subscription*",Xero_Raw!$A$4:$A$5003,"&gt;="&amp;DATE(2026,5,1),Xero_Raw!$A$4:$A$5003,"&lt;"&amp;EDATE(DATE(2026,5,1),1))+COUNTIFS(Customer_Invoices_Upload!$E$4:$E$5003,$A148,Customer_Invoices_Upload!$G$4:$G$5003,"*Subscription*",Customer_Invoices_Upload!$B$4:$B$5003,"&gt;="&amp;DATE(2026,5,1),Customer_Invoices_Upload!$B$4:$B$5003,"&lt;"&amp;EDATE(DATE(2026,5,1),1))+COUNTIFS(Stripe_Invoices_Upload!$D$4:$D$5003,$A148,Stripe_Invoices_Upload!$E$4:$E$5003,"*Subscription*",Stripe_Invoices_Upload!$A$4:$A$5003,"&gt;="&amp;DATE(2026,5,1),Stripe_Invoices_Upload!$A$4:$A$5003,"&lt;"&amp;EDATE(DATE(2026,5,1),1)))&gt;0,"✓ Invoiced","⚠ Due"),""),""))</f>
        <v/>
      </c>
      <c r="I148" s="130" t="str">
        <f aca="false">IF($A148="","",IF((DATE(YEAR($E148),MONTH($E148),1)&lt;=DATE(2026,6,1)),IF((MOD(DATEDIF(DATE(YEAR($E148),MONTH($E148),1),DATE(2026,6,1),"m"),IF($D148="Quarterly",3,IF($D148="Annual",12,1)))=0),IF((COUNTIFS(Xero_Raw!$D$4:$D$5003,$A148,Xero_Raw!$G$4:$G$5003,"*Subscription*",Xero_Raw!$A$4:$A$5003,"&gt;="&amp;DATE(2026,6,1),Xero_Raw!$A$4:$A$5003,"&lt;"&amp;EDATE(DATE(2026,6,1),1))+COUNTIFS(Customer_Invoices_Upload!$E$4:$E$5003,$A148,Customer_Invoices_Upload!$G$4:$G$5003,"*Subscription*",Customer_Invoices_Upload!$B$4:$B$5003,"&gt;="&amp;DATE(2026,6,1),Customer_Invoices_Upload!$B$4:$B$5003,"&lt;"&amp;EDATE(DATE(2026,6,1),1))+COUNTIFS(Stripe_Invoices_Upload!$D$4:$D$5003,$A148,Stripe_Invoices_Upload!$E$4:$E$5003,"*Subscription*",Stripe_Invoices_Upload!$A$4:$A$5003,"&gt;="&amp;DATE(2026,6,1),Stripe_Invoices_Upload!$A$4:$A$5003,"&lt;"&amp;EDATE(DATE(2026,6,1),1)))&gt;0,"✓ Invoiced","⚠ Due"),""),""))</f>
        <v/>
      </c>
      <c r="J148" s="130" t="str">
        <f aca="false">IF($A148="","",IF((DATE(YEAR($E148),MONTH($E148),1)&lt;=DATE(2026,7,1)),IF((MOD(DATEDIF(DATE(YEAR($E148),MONTH($E148),1),DATE(2026,7,1),"m"),IF($D148="Quarterly",3,IF($D148="Annual",12,1)))=0),IF((COUNTIFS(Xero_Raw!$D$4:$D$5003,$A148,Xero_Raw!$G$4:$G$5003,"*Subscription*",Xero_Raw!$A$4:$A$5003,"&gt;="&amp;DATE(2026,7,1),Xero_Raw!$A$4:$A$5003,"&lt;"&amp;EDATE(DATE(2026,7,1),1))+COUNTIFS(Customer_Invoices_Upload!$E$4:$E$5003,$A148,Customer_Invoices_Upload!$G$4:$G$5003,"*Subscription*",Customer_Invoices_Upload!$B$4:$B$5003,"&gt;="&amp;DATE(2026,7,1),Customer_Invoices_Upload!$B$4:$B$5003,"&lt;"&amp;EDATE(DATE(2026,7,1),1))+COUNTIFS(Stripe_Invoices_Upload!$D$4:$D$5003,$A148,Stripe_Invoices_Upload!$E$4:$E$5003,"*Subscription*",Stripe_Invoices_Upload!$A$4:$A$5003,"&gt;="&amp;DATE(2026,7,1),Stripe_Invoices_Upload!$A$4:$A$5003,"&lt;"&amp;EDATE(DATE(2026,7,1),1)))&gt;0,"✓ Invoiced","⚠ Due"),""),""))</f>
        <v/>
      </c>
      <c r="K148" s="130" t="str">
        <f aca="false">IF($A148="","",IF((DATE(YEAR($E148),MONTH($E148),1)&lt;=DATE(2026,8,1)),IF((MOD(DATEDIF(DATE(YEAR($E148),MONTH($E148),1),DATE(2026,8,1),"m"),IF($D148="Quarterly",3,IF($D148="Annual",12,1)))=0),IF((COUNTIFS(Xero_Raw!$D$4:$D$5003,$A148,Xero_Raw!$G$4:$G$5003,"*Subscription*",Xero_Raw!$A$4:$A$5003,"&gt;="&amp;DATE(2026,8,1),Xero_Raw!$A$4:$A$5003,"&lt;"&amp;EDATE(DATE(2026,8,1),1))+COUNTIFS(Customer_Invoices_Upload!$E$4:$E$5003,$A148,Customer_Invoices_Upload!$G$4:$G$5003,"*Subscription*",Customer_Invoices_Upload!$B$4:$B$5003,"&gt;="&amp;DATE(2026,8,1),Customer_Invoices_Upload!$B$4:$B$5003,"&lt;"&amp;EDATE(DATE(2026,8,1),1))+COUNTIFS(Stripe_Invoices_Upload!$D$4:$D$5003,$A148,Stripe_Invoices_Upload!$E$4:$E$5003,"*Subscription*",Stripe_Invoices_Upload!$A$4:$A$5003,"&gt;="&amp;DATE(2026,8,1),Stripe_Invoices_Upload!$A$4:$A$5003,"&lt;"&amp;EDATE(DATE(2026,8,1),1)))&gt;0,"✓ Invoiced","⚠ Due"),""),""))</f>
        <v/>
      </c>
      <c r="L148" s="130" t="str">
        <f aca="false">IF($A148="","",IF((DATE(YEAR($E148),MONTH($E148),1)&lt;=DATE(2026,9,1)),IF((MOD(DATEDIF(DATE(YEAR($E148),MONTH($E148),1),DATE(2026,9,1),"m"),IF($D148="Quarterly",3,IF($D148="Annual",12,1)))=0),IF((COUNTIFS(Xero_Raw!$D$4:$D$5003,$A148,Xero_Raw!$G$4:$G$5003,"*Subscription*",Xero_Raw!$A$4:$A$5003,"&gt;="&amp;DATE(2026,9,1),Xero_Raw!$A$4:$A$5003,"&lt;"&amp;EDATE(DATE(2026,9,1),1))+COUNTIFS(Customer_Invoices_Upload!$E$4:$E$5003,$A148,Customer_Invoices_Upload!$G$4:$G$5003,"*Subscription*",Customer_Invoices_Upload!$B$4:$B$5003,"&gt;="&amp;DATE(2026,9,1),Customer_Invoices_Upload!$B$4:$B$5003,"&lt;"&amp;EDATE(DATE(2026,9,1),1))+COUNTIFS(Stripe_Invoices_Upload!$D$4:$D$5003,$A148,Stripe_Invoices_Upload!$E$4:$E$5003,"*Subscription*",Stripe_Invoices_Upload!$A$4:$A$5003,"&gt;="&amp;DATE(2026,9,1),Stripe_Invoices_Upload!$A$4:$A$5003,"&lt;"&amp;EDATE(DATE(2026,9,1),1)))&gt;0,"✓ Invoiced","⚠ Due"),""),""))</f>
        <v/>
      </c>
      <c r="M148" s="130" t="str">
        <f aca="false">IF($A148="","",IF((DATE(YEAR($E148),MONTH($E148),1)&lt;=DATE(2026,10,1)),IF((MOD(DATEDIF(DATE(YEAR($E148),MONTH($E148),1),DATE(2026,10,1),"m"),IF($D148="Quarterly",3,IF($D148="Annual",12,1)))=0),IF((COUNTIFS(Xero_Raw!$D$4:$D$5003,$A148,Xero_Raw!$G$4:$G$5003,"*Subscription*",Xero_Raw!$A$4:$A$5003,"&gt;="&amp;DATE(2026,10,1),Xero_Raw!$A$4:$A$5003,"&lt;"&amp;EDATE(DATE(2026,10,1),1))+COUNTIFS(Customer_Invoices_Upload!$E$4:$E$5003,$A148,Customer_Invoices_Upload!$G$4:$G$5003,"*Subscription*",Customer_Invoices_Upload!$B$4:$B$5003,"&gt;="&amp;DATE(2026,10,1),Customer_Invoices_Upload!$B$4:$B$5003,"&lt;"&amp;EDATE(DATE(2026,10,1),1))+COUNTIFS(Stripe_Invoices_Upload!$D$4:$D$5003,$A148,Stripe_Invoices_Upload!$E$4:$E$5003,"*Subscription*",Stripe_Invoices_Upload!$A$4:$A$5003,"&gt;="&amp;DATE(2026,10,1),Stripe_Invoices_Upload!$A$4:$A$5003,"&lt;"&amp;EDATE(DATE(2026,10,1),1)))&gt;0,"✓ Invoiced","⚠ Due"),""),""))</f>
        <v/>
      </c>
      <c r="N148" s="130" t="str">
        <f aca="false">IF($A148="","",IF((DATE(YEAR($E148),MONTH($E148),1)&lt;=DATE(2026,11,1)),IF((MOD(DATEDIF(DATE(YEAR($E148),MONTH($E148),1),DATE(2026,11,1),"m"),IF($D148="Quarterly",3,IF($D148="Annual",12,1)))=0),IF((COUNTIFS(Xero_Raw!$D$4:$D$5003,$A148,Xero_Raw!$G$4:$G$5003,"*Subscription*",Xero_Raw!$A$4:$A$5003,"&gt;="&amp;DATE(2026,11,1),Xero_Raw!$A$4:$A$5003,"&lt;"&amp;EDATE(DATE(2026,11,1),1))+COUNTIFS(Customer_Invoices_Upload!$E$4:$E$5003,$A148,Customer_Invoices_Upload!$G$4:$G$5003,"*Subscription*",Customer_Invoices_Upload!$B$4:$B$5003,"&gt;="&amp;DATE(2026,11,1),Customer_Invoices_Upload!$B$4:$B$5003,"&lt;"&amp;EDATE(DATE(2026,11,1),1))+COUNTIFS(Stripe_Invoices_Upload!$D$4:$D$5003,$A148,Stripe_Invoices_Upload!$E$4:$E$5003,"*Subscription*",Stripe_Invoices_Upload!$A$4:$A$5003,"&gt;="&amp;DATE(2026,11,1),Stripe_Invoices_Upload!$A$4:$A$5003,"&lt;"&amp;EDATE(DATE(2026,11,1),1)))&gt;0,"✓ Invoiced","⚠ Due"),""),""))</f>
        <v/>
      </c>
      <c r="O148" s="130" t="str">
        <f aca="false">IF($A148="","",IF((DATE(YEAR($E148),MONTH($E148),1)&lt;=DATE(2026,12,1)),IF((MOD(DATEDIF(DATE(YEAR($E148),MONTH($E148),1),DATE(2026,12,1),"m"),IF($D148="Quarterly",3,IF($D148="Annual",12,1)))=0),IF((COUNTIFS(Xero_Raw!$D$4:$D$5003,$A148,Xero_Raw!$G$4:$G$5003,"*Subscription*",Xero_Raw!$A$4:$A$5003,"&gt;="&amp;DATE(2026,12,1),Xero_Raw!$A$4:$A$5003,"&lt;"&amp;EDATE(DATE(2026,12,1),1))+COUNTIFS(Customer_Invoices_Upload!$E$4:$E$5003,$A148,Customer_Invoices_Upload!$G$4:$G$5003,"*Subscription*",Customer_Invoices_Upload!$B$4:$B$5003,"&gt;="&amp;DATE(2026,12,1),Customer_Invoices_Upload!$B$4:$B$5003,"&lt;"&amp;EDATE(DATE(2026,12,1),1))+COUNTIFS(Stripe_Invoices_Upload!$D$4:$D$5003,$A148,Stripe_Invoices_Upload!$E$4:$E$5003,"*Subscription*",Stripe_Invoices_Upload!$A$4:$A$5003,"&gt;="&amp;DATE(2026,12,1),Stripe_Invoices_Upload!$A$4:$A$5003,"&lt;"&amp;EDATE(DATE(2026,12,1),1)))&gt;0,"✓ Invoiced","⚠ Due"),""),""))</f>
        <v/>
      </c>
      <c r="P148" s="130" t="str">
        <f aca="false">IF($A148="","",IF((DATE(YEAR($E148),MONTH($E148),1)&lt;=DATE(2027,1,1)),IF((MOD(DATEDIF(DATE(YEAR($E148),MONTH($E148),1),DATE(2027,1,1),"m"),IF($D148="Quarterly",3,IF($D148="Annual",12,1)))=0),IF((COUNTIFS(Xero_Raw!$D$4:$D$5003,$A148,Xero_Raw!$G$4:$G$5003,"*Subscription*",Xero_Raw!$A$4:$A$5003,"&gt;="&amp;DATE(2027,1,1),Xero_Raw!$A$4:$A$5003,"&lt;"&amp;EDATE(DATE(2027,1,1),1))+COUNTIFS(Customer_Invoices_Upload!$E$4:$E$5003,$A148,Customer_Invoices_Upload!$G$4:$G$5003,"*Subscription*",Customer_Invoices_Upload!$B$4:$B$5003,"&gt;="&amp;DATE(2027,1,1),Customer_Invoices_Upload!$B$4:$B$5003,"&lt;"&amp;EDATE(DATE(2027,1,1),1))+COUNTIFS(Stripe_Invoices_Upload!$D$4:$D$5003,$A148,Stripe_Invoices_Upload!$E$4:$E$5003,"*Subscription*",Stripe_Invoices_Upload!$A$4:$A$5003,"&gt;="&amp;DATE(2027,1,1),Stripe_Invoices_Upload!$A$4:$A$5003,"&lt;"&amp;EDATE(DATE(2027,1,1),1)))&gt;0,"✓ Invoiced","⚠ Due"),""),""))</f>
        <v/>
      </c>
      <c r="Q148" s="130" t="str">
        <f aca="false">IF($A148="","",IF((DATE(YEAR($E148),MONTH($E148),1)&lt;=DATE(2027,2,1)),IF((MOD(DATEDIF(DATE(YEAR($E148),MONTH($E148),1),DATE(2027,2,1),"m"),IF($D148="Quarterly",3,IF($D148="Annual",12,1)))=0),IF((COUNTIFS(Xero_Raw!$D$4:$D$5003,$A148,Xero_Raw!$G$4:$G$5003,"*Subscription*",Xero_Raw!$A$4:$A$5003,"&gt;="&amp;DATE(2027,2,1),Xero_Raw!$A$4:$A$5003,"&lt;"&amp;EDATE(DATE(2027,2,1),1))+COUNTIFS(Customer_Invoices_Upload!$E$4:$E$5003,$A148,Customer_Invoices_Upload!$G$4:$G$5003,"*Subscription*",Customer_Invoices_Upload!$B$4:$B$5003,"&gt;="&amp;DATE(2027,2,1),Customer_Invoices_Upload!$B$4:$B$5003,"&lt;"&amp;EDATE(DATE(2027,2,1),1))+COUNTIFS(Stripe_Invoices_Upload!$D$4:$D$5003,$A148,Stripe_Invoices_Upload!$E$4:$E$5003,"*Subscription*",Stripe_Invoices_Upload!$A$4:$A$5003,"&gt;="&amp;DATE(2027,2,1),Stripe_Invoices_Upload!$A$4:$A$5003,"&lt;"&amp;EDATE(DATE(2027,2,1),1)))&gt;0,"✓ Invoiced","⚠ Due"),""),""))</f>
        <v/>
      </c>
      <c r="R148" s="130" t="str">
        <f aca="false">IF($A148="","",IF((DATE(YEAR($E148),MONTH($E148),1)&lt;=DATE(2027,3,1)),IF((MOD(DATEDIF(DATE(YEAR($E148),MONTH($E148),1),DATE(2027,3,1),"m"),IF($D148="Quarterly",3,IF($D148="Annual",12,1)))=0),IF((COUNTIFS(Xero_Raw!$D$4:$D$5003,$A148,Xero_Raw!$G$4:$G$5003,"*Subscription*",Xero_Raw!$A$4:$A$5003,"&gt;="&amp;DATE(2027,3,1),Xero_Raw!$A$4:$A$5003,"&lt;"&amp;EDATE(DATE(2027,3,1),1))+COUNTIFS(Customer_Invoices_Upload!$E$4:$E$5003,$A148,Customer_Invoices_Upload!$G$4:$G$5003,"*Subscription*",Customer_Invoices_Upload!$B$4:$B$5003,"&gt;="&amp;DATE(2027,3,1),Customer_Invoices_Upload!$B$4:$B$5003,"&lt;"&amp;EDATE(DATE(2027,3,1),1))+COUNTIFS(Stripe_Invoices_Upload!$D$4:$D$5003,$A148,Stripe_Invoices_Upload!$E$4:$E$5003,"*Subscription*",Stripe_Invoices_Upload!$A$4:$A$5003,"&gt;="&amp;DATE(2027,3,1),Stripe_Invoices_Upload!$A$4:$A$5003,"&lt;"&amp;EDATE(DATE(2027,3,1),1)))&gt;0,"✓ Invoiced","⚠ Due"),""),""))</f>
        <v/>
      </c>
    </row>
    <row r="149" customFormat="false" ht="15" hidden="false" customHeight="false" outlineLevel="0" collapsed="false">
      <c r="A149" s="39"/>
      <c r="B149" s="39"/>
      <c r="C149" s="40"/>
      <c r="D149" s="39"/>
      <c r="E149" s="38"/>
      <c r="F149" s="129" t="str">
        <f aca="true">IF($A149="","",EDATE($E149,DATEDIF($E149,TODAY(),"m")+1))</f>
        <v/>
      </c>
      <c r="G149" s="130" t="str">
        <f aca="false">IF($A149="","",IF((DATE(YEAR($E149),MONTH($E149),1)&lt;=DATE(2026,4,1)),IF((MOD(DATEDIF(DATE(YEAR($E149),MONTH($E149),1),DATE(2026,4,1),"m"),IF($D149="Quarterly",3,IF($D149="Annual",12,1)))=0),IF((COUNTIFS(Xero_Raw!$D$4:$D$5003,$A149,Xero_Raw!$G$4:$G$5003,"*Subscription*",Xero_Raw!$A$4:$A$5003,"&gt;="&amp;DATE(2026,4,1),Xero_Raw!$A$4:$A$5003,"&lt;"&amp;EDATE(DATE(2026,4,1),1))+COUNTIFS(Customer_Invoices_Upload!$E$4:$E$5003,$A149,Customer_Invoices_Upload!$G$4:$G$5003,"*Subscription*",Customer_Invoices_Upload!$B$4:$B$5003,"&gt;="&amp;DATE(2026,4,1),Customer_Invoices_Upload!$B$4:$B$5003,"&lt;"&amp;EDATE(DATE(2026,4,1),1))+COUNTIFS(Stripe_Invoices_Upload!$D$4:$D$5003,$A149,Stripe_Invoices_Upload!$E$4:$E$5003,"*Subscription*",Stripe_Invoices_Upload!$A$4:$A$5003,"&gt;="&amp;DATE(2026,4,1),Stripe_Invoices_Upload!$A$4:$A$5003,"&lt;"&amp;EDATE(DATE(2026,4,1),1)))&gt;0,"✓ Invoiced","⚠ Due"),""),""))</f>
        <v/>
      </c>
      <c r="H149" s="130" t="str">
        <f aca="false">IF($A149="","",IF((DATE(YEAR($E149),MONTH($E149),1)&lt;=DATE(2026,5,1)),IF((MOD(DATEDIF(DATE(YEAR($E149),MONTH($E149),1),DATE(2026,5,1),"m"),IF($D149="Quarterly",3,IF($D149="Annual",12,1)))=0),IF((COUNTIFS(Xero_Raw!$D$4:$D$5003,$A149,Xero_Raw!$G$4:$G$5003,"*Subscription*",Xero_Raw!$A$4:$A$5003,"&gt;="&amp;DATE(2026,5,1),Xero_Raw!$A$4:$A$5003,"&lt;"&amp;EDATE(DATE(2026,5,1),1))+COUNTIFS(Customer_Invoices_Upload!$E$4:$E$5003,$A149,Customer_Invoices_Upload!$G$4:$G$5003,"*Subscription*",Customer_Invoices_Upload!$B$4:$B$5003,"&gt;="&amp;DATE(2026,5,1),Customer_Invoices_Upload!$B$4:$B$5003,"&lt;"&amp;EDATE(DATE(2026,5,1),1))+COUNTIFS(Stripe_Invoices_Upload!$D$4:$D$5003,$A149,Stripe_Invoices_Upload!$E$4:$E$5003,"*Subscription*",Stripe_Invoices_Upload!$A$4:$A$5003,"&gt;="&amp;DATE(2026,5,1),Stripe_Invoices_Upload!$A$4:$A$5003,"&lt;"&amp;EDATE(DATE(2026,5,1),1)))&gt;0,"✓ Invoiced","⚠ Due"),""),""))</f>
        <v/>
      </c>
      <c r="I149" s="130" t="str">
        <f aca="false">IF($A149="","",IF((DATE(YEAR($E149),MONTH($E149),1)&lt;=DATE(2026,6,1)),IF((MOD(DATEDIF(DATE(YEAR($E149),MONTH($E149),1),DATE(2026,6,1),"m"),IF($D149="Quarterly",3,IF($D149="Annual",12,1)))=0),IF((COUNTIFS(Xero_Raw!$D$4:$D$5003,$A149,Xero_Raw!$G$4:$G$5003,"*Subscription*",Xero_Raw!$A$4:$A$5003,"&gt;="&amp;DATE(2026,6,1),Xero_Raw!$A$4:$A$5003,"&lt;"&amp;EDATE(DATE(2026,6,1),1))+COUNTIFS(Customer_Invoices_Upload!$E$4:$E$5003,$A149,Customer_Invoices_Upload!$G$4:$G$5003,"*Subscription*",Customer_Invoices_Upload!$B$4:$B$5003,"&gt;="&amp;DATE(2026,6,1),Customer_Invoices_Upload!$B$4:$B$5003,"&lt;"&amp;EDATE(DATE(2026,6,1),1))+COUNTIFS(Stripe_Invoices_Upload!$D$4:$D$5003,$A149,Stripe_Invoices_Upload!$E$4:$E$5003,"*Subscription*",Stripe_Invoices_Upload!$A$4:$A$5003,"&gt;="&amp;DATE(2026,6,1),Stripe_Invoices_Upload!$A$4:$A$5003,"&lt;"&amp;EDATE(DATE(2026,6,1),1)))&gt;0,"✓ Invoiced","⚠ Due"),""),""))</f>
        <v/>
      </c>
      <c r="J149" s="130" t="str">
        <f aca="false">IF($A149="","",IF((DATE(YEAR($E149),MONTH($E149),1)&lt;=DATE(2026,7,1)),IF((MOD(DATEDIF(DATE(YEAR($E149),MONTH($E149),1),DATE(2026,7,1),"m"),IF($D149="Quarterly",3,IF($D149="Annual",12,1)))=0),IF((COUNTIFS(Xero_Raw!$D$4:$D$5003,$A149,Xero_Raw!$G$4:$G$5003,"*Subscription*",Xero_Raw!$A$4:$A$5003,"&gt;="&amp;DATE(2026,7,1),Xero_Raw!$A$4:$A$5003,"&lt;"&amp;EDATE(DATE(2026,7,1),1))+COUNTIFS(Customer_Invoices_Upload!$E$4:$E$5003,$A149,Customer_Invoices_Upload!$G$4:$G$5003,"*Subscription*",Customer_Invoices_Upload!$B$4:$B$5003,"&gt;="&amp;DATE(2026,7,1),Customer_Invoices_Upload!$B$4:$B$5003,"&lt;"&amp;EDATE(DATE(2026,7,1),1))+COUNTIFS(Stripe_Invoices_Upload!$D$4:$D$5003,$A149,Stripe_Invoices_Upload!$E$4:$E$5003,"*Subscription*",Stripe_Invoices_Upload!$A$4:$A$5003,"&gt;="&amp;DATE(2026,7,1),Stripe_Invoices_Upload!$A$4:$A$5003,"&lt;"&amp;EDATE(DATE(2026,7,1),1)))&gt;0,"✓ Invoiced","⚠ Due"),""),""))</f>
        <v/>
      </c>
      <c r="K149" s="130" t="str">
        <f aca="false">IF($A149="","",IF((DATE(YEAR($E149),MONTH($E149),1)&lt;=DATE(2026,8,1)),IF((MOD(DATEDIF(DATE(YEAR($E149),MONTH($E149),1),DATE(2026,8,1),"m"),IF($D149="Quarterly",3,IF($D149="Annual",12,1)))=0),IF((COUNTIFS(Xero_Raw!$D$4:$D$5003,$A149,Xero_Raw!$G$4:$G$5003,"*Subscription*",Xero_Raw!$A$4:$A$5003,"&gt;="&amp;DATE(2026,8,1),Xero_Raw!$A$4:$A$5003,"&lt;"&amp;EDATE(DATE(2026,8,1),1))+COUNTIFS(Customer_Invoices_Upload!$E$4:$E$5003,$A149,Customer_Invoices_Upload!$G$4:$G$5003,"*Subscription*",Customer_Invoices_Upload!$B$4:$B$5003,"&gt;="&amp;DATE(2026,8,1),Customer_Invoices_Upload!$B$4:$B$5003,"&lt;"&amp;EDATE(DATE(2026,8,1),1))+COUNTIFS(Stripe_Invoices_Upload!$D$4:$D$5003,$A149,Stripe_Invoices_Upload!$E$4:$E$5003,"*Subscription*",Stripe_Invoices_Upload!$A$4:$A$5003,"&gt;="&amp;DATE(2026,8,1),Stripe_Invoices_Upload!$A$4:$A$5003,"&lt;"&amp;EDATE(DATE(2026,8,1),1)))&gt;0,"✓ Invoiced","⚠ Due"),""),""))</f>
        <v/>
      </c>
      <c r="L149" s="130" t="str">
        <f aca="false">IF($A149="","",IF((DATE(YEAR($E149),MONTH($E149),1)&lt;=DATE(2026,9,1)),IF((MOD(DATEDIF(DATE(YEAR($E149),MONTH($E149),1),DATE(2026,9,1),"m"),IF($D149="Quarterly",3,IF($D149="Annual",12,1)))=0),IF((COUNTIFS(Xero_Raw!$D$4:$D$5003,$A149,Xero_Raw!$G$4:$G$5003,"*Subscription*",Xero_Raw!$A$4:$A$5003,"&gt;="&amp;DATE(2026,9,1),Xero_Raw!$A$4:$A$5003,"&lt;"&amp;EDATE(DATE(2026,9,1),1))+COUNTIFS(Customer_Invoices_Upload!$E$4:$E$5003,$A149,Customer_Invoices_Upload!$G$4:$G$5003,"*Subscription*",Customer_Invoices_Upload!$B$4:$B$5003,"&gt;="&amp;DATE(2026,9,1),Customer_Invoices_Upload!$B$4:$B$5003,"&lt;"&amp;EDATE(DATE(2026,9,1),1))+COUNTIFS(Stripe_Invoices_Upload!$D$4:$D$5003,$A149,Stripe_Invoices_Upload!$E$4:$E$5003,"*Subscription*",Stripe_Invoices_Upload!$A$4:$A$5003,"&gt;="&amp;DATE(2026,9,1),Stripe_Invoices_Upload!$A$4:$A$5003,"&lt;"&amp;EDATE(DATE(2026,9,1),1)))&gt;0,"✓ Invoiced","⚠ Due"),""),""))</f>
        <v/>
      </c>
      <c r="M149" s="130" t="str">
        <f aca="false">IF($A149="","",IF((DATE(YEAR($E149),MONTH($E149),1)&lt;=DATE(2026,10,1)),IF((MOD(DATEDIF(DATE(YEAR($E149),MONTH($E149),1),DATE(2026,10,1),"m"),IF($D149="Quarterly",3,IF($D149="Annual",12,1)))=0),IF((COUNTIFS(Xero_Raw!$D$4:$D$5003,$A149,Xero_Raw!$G$4:$G$5003,"*Subscription*",Xero_Raw!$A$4:$A$5003,"&gt;="&amp;DATE(2026,10,1),Xero_Raw!$A$4:$A$5003,"&lt;"&amp;EDATE(DATE(2026,10,1),1))+COUNTIFS(Customer_Invoices_Upload!$E$4:$E$5003,$A149,Customer_Invoices_Upload!$G$4:$G$5003,"*Subscription*",Customer_Invoices_Upload!$B$4:$B$5003,"&gt;="&amp;DATE(2026,10,1),Customer_Invoices_Upload!$B$4:$B$5003,"&lt;"&amp;EDATE(DATE(2026,10,1),1))+COUNTIFS(Stripe_Invoices_Upload!$D$4:$D$5003,$A149,Stripe_Invoices_Upload!$E$4:$E$5003,"*Subscription*",Stripe_Invoices_Upload!$A$4:$A$5003,"&gt;="&amp;DATE(2026,10,1),Stripe_Invoices_Upload!$A$4:$A$5003,"&lt;"&amp;EDATE(DATE(2026,10,1),1)))&gt;0,"✓ Invoiced","⚠ Due"),""),""))</f>
        <v/>
      </c>
      <c r="N149" s="130" t="str">
        <f aca="false">IF($A149="","",IF((DATE(YEAR($E149),MONTH($E149),1)&lt;=DATE(2026,11,1)),IF((MOD(DATEDIF(DATE(YEAR($E149),MONTH($E149),1),DATE(2026,11,1),"m"),IF($D149="Quarterly",3,IF($D149="Annual",12,1)))=0),IF((COUNTIFS(Xero_Raw!$D$4:$D$5003,$A149,Xero_Raw!$G$4:$G$5003,"*Subscription*",Xero_Raw!$A$4:$A$5003,"&gt;="&amp;DATE(2026,11,1),Xero_Raw!$A$4:$A$5003,"&lt;"&amp;EDATE(DATE(2026,11,1),1))+COUNTIFS(Customer_Invoices_Upload!$E$4:$E$5003,$A149,Customer_Invoices_Upload!$G$4:$G$5003,"*Subscription*",Customer_Invoices_Upload!$B$4:$B$5003,"&gt;="&amp;DATE(2026,11,1),Customer_Invoices_Upload!$B$4:$B$5003,"&lt;"&amp;EDATE(DATE(2026,11,1),1))+COUNTIFS(Stripe_Invoices_Upload!$D$4:$D$5003,$A149,Stripe_Invoices_Upload!$E$4:$E$5003,"*Subscription*",Stripe_Invoices_Upload!$A$4:$A$5003,"&gt;="&amp;DATE(2026,11,1),Stripe_Invoices_Upload!$A$4:$A$5003,"&lt;"&amp;EDATE(DATE(2026,11,1),1)))&gt;0,"✓ Invoiced","⚠ Due"),""),""))</f>
        <v/>
      </c>
      <c r="O149" s="130" t="str">
        <f aca="false">IF($A149="","",IF((DATE(YEAR($E149),MONTH($E149),1)&lt;=DATE(2026,12,1)),IF((MOD(DATEDIF(DATE(YEAR($E149),MONTH($E149),1),DATE(2026,12,1),"m"),IF($D149="Quarterly",3,IF($D149="Annual",12,1)))=0),IF((COUNTIFS(Xero_Raw!$D$4:$D$5003,$A149,Xero_Raw!$G$4:$G$5003,"*Subscription*",Xero_Raw!$A$4:$A$5003,"&gt;="&amp;DATE(2026,12,1),Xero_Raw!$A$4:$A$5003,"&lt;"&amp;EDATE(DATE(2026,12,1),1))+COUNTIFS(Customer_Invoices_Upload!$E$4:$E$5003,$A149,Customer_Invoices_Upload!$G$4:$G$5003,"*Subscription*",Customer_Invoices_Upload!$B$4:$B$5003,"&gt;="&amp;DATE(2026,12,1),Customer_Invoices_Upload!$B$4:$B$5003,"&lt;"&amp;EDATE(DATE(2026,12,1),1))+COUNTIFS(Stripe_Invoices_Upload!$D$4:$D$5003,$A149,Stripe_Invoices_Upload!$E$4:$E$5003,"*Subscription*",Stripe_Invoices_Upload!$A$4:$A$5003,"&gt;="&amp;DATE(2026,12,1),Stripe_Invoices_Upload!$A$4:$A$5003,"&lt;"&amp;EDATE(DATE(2026,12,1),1)))&gt;0,"✓ Invoiced","⚠ Due"),""),""))</f>
        <v/>
      </c>
      <c r="P149" s="130" t="str">
        <f aca="false">IF($A149="","",IF((DATE(YEAR($E149),MONTH($E149),1)&lt;=DATE(2027,1,1)),IF((MOD(DATEDIF(DATE(YEAR($E149),MONTH($E149),1),DATE(2027,1,1),"m"),IF($D149="Quarterly",3,IF($D149="Annual",12,1)))=0),IF((COUNTIFS(Xero_Raw!$D$4:$D$5003,$A149,Xero_Raw!$G$4:$G$5003,"*Subscription*",Xero_Raw!$A$4:$A$5003,"&gt;="&amp;DATE(2027,1,1),Xero_Raw!$A$4:$A$5003,"&lt;"&amp;EDATE(DATE(2027,1,1),1))+COUNTIFS(Customer_Invoices_Upload!$E$4:$E$5003,$A149,Customer_Invoices_Upload!$G$4:$G$5003,"*Subscription*",Customer_Invoices_Upload!$B$4:$B$5003,"&gt;="&amp;DATE(2027,1,1),Customer_Invoices_Upload!$B$4:$B$5003,"&lt;"&amp;EDATE(DATE(2027,1,1),1))+COUNTIFS(Stripe_Invoices_Upload!$D$4:$D$5003,$A149,Stripe_Invoices_Upload!$E$4:$E$5003,"*Subscription*",Stripe_Invoices_Upload!$A$4:$A$5003,"&gt;="&amp;DATE(2027,1,1),Stripe_Invoices_Upload!$A$4:$A$5003,"&lt;"&amp;EDATE(DATE(2027,1,1),1)))&gt;0,"✓ Invoiced","⚠ Due"),""),""))</f>
        <v/>
      </c>
      <c r="Q149" s="130" t="str">
        <f aca="false">IF($A149="","",IF((DATE(YEAR($E149),MONTH($E149),1)&lt;=DATE(2027,2,1)),IF((MOD(DATEDIF(DATE(YEAR($E149),MONTH($E149),1),DATE(2027,2,1),"m"),IF($D149="Quarterly",3,IF($D149="Annual",12,1)))=0),IF((COUNTIFS(Xero_Raw!$D$4:$D$5003,$A149,Xero_Raw!$G$4:$G$5003,"*Subscription*",Xero_Raw!$A$4:$A$5003,"&gt;="&amp;DATE(2027,2,1),Xero_Raw!$A$4:$A$5003,"&lt;"&amp;EDATE(DATE(2027,2,1),1))+COUNTIFS(Customer_Invoices_Upload!$E$4:$E$5003,$A149,Customer_Invoices_Upload!$G$4:$G$5003,"*Subscription*",Customer_Invoices_Upload!$B$4:$B$5003,"&gt;="&amp;DATE(2027,2,1),Customer_Invoices_Upload!$B$4:$B$5003,"&lt;"&amp;EDATE(DATE(2027,2,1),1))+COUNTIFS(Stripe_Invoices_Upload!$D$4:$D$5003,$A149,Stripe_Invoices_Upload!$E$4:$E$5003,"*Subscription*",Stripe_Invoices_Upload!$A$4:$A$5003,"&gt;="&amp;DATE(2027,2,1),Stripe_Invoices_Upload!$A$4:$A$5003,"&lt;"&amp;EDATE(DATE(2027,2,1),1)))&gt;0,"✓ Invoiced","⚠ Due"),""),""))</f>
        <v/>
      </c>
      <c r="R149" s="130" t="str">
        <f aca="false">IF($A149="","",IF((DATE(YEAR($E149),MONTH($E149),1)&lt;=DATE(2027,3,1)),IF((MOD(DATEDIF(DATE(YEAR($E149),MONTH($E149),1),DATE(2027,3,1),"m"),IF($D149="Quarterly",3,IF($D149="Annual",12,1)))=0),IF((COUNTIFS(Xero_Raw!$D$4:$D$5003,$A149,Xero_Raw!$G$4:$G$5003,"*Subscription*",Xero_Raw!$A$4:$A$5003,"&gt;="&amp;DATE(2027,3,1),Xero_Raw!$A$4:$A$5003,"&lt;"&amp;EDATE(DATE(2027,3,1),1))+COUNTIFS(Customer_Invoices_Upload!$E$4:$E$5003,$A149,Customer_Invoices_Upload!$G$4:$G$5003,"*Subscription*",Customer_Invoices_Upload!$B$4:$B$5003,"&gt;="&amp;DATE(2027,3,1),Customer_Invoices_Upload!$B$4:$B$5003,"&lt;"&amp;EDATE(DATE(2027,3,1),1))+COUNTIFS(Stripe_Invoices_Upload!$D$4:$D$5003,$A149,Stripe_Invoices_Upload!$E$4:$E$5003,"*Subscription*",Stripe_Invoices_Upload!$A$4:$A$5003,"&gt;="&amp;DATE(2027,3,1),Stripe_Invoices_Upload!$A$4:$A$5003,"&lt;"&amp;EDATE(DATE(2027,3,1),1)))&gt;0,"✓ Invoiced","⚠ Due"),""),""))</f>
        <v/>
      </c>
    </row>
    <row r="150" customFormat="false" ht="15" hidden="false" customHeight="false" outlineLevel="0" collapsed="false">
      <c r="A150" s="39"/>
      <c r="B150" s="39"/>
      <c r="C150" s="40"/>
      <c r="D150" s="39"/>
      <c r="E150" s="38"/>
      <c r="F150" s="129" t="str">
        <f aca="true">IF($A150="","",EDATE($E150,DATEDIF($E150,TODAY(),"m")+1))</f>
        <v/>
      </c>
      <c r="G150" s="130" t="str">
        <f aca="false">IF($A150="","",IF((DATE(YEAR($E150),MONTH($E150),1)&lt;=DATE(2026,4,1)),IF((MOD(DATEDIF(DATE(YEAR($E150),MONTH($E150),1),DATE(2026,4,1),"m"),IF($D150="Quarterly",3,IF($D150="Annual",12,1)))=0),IF((COUNTIFS(Xero_Raw!$D$4:$D$5003,$A150,Xero_Raw!$G$4:$G$5003,"*Subscription*",Xero_Raw!$A$4:$A$5003,"&gt;="&amp;DATE(2026,4,1),Xero_Raw!$A$4:$A$5003,"&lt;"&amp;EDATE(DATE(2026,4,1),1))+COUNTIFS(Customer_Invoices_Upload!$E$4:$E$5003,$A150,Customer_Invoices_Upload!$G$4:$G$5003,"*Subscription*",Customer_Invoices_Upload!$B$4:$B$5003,"&gt;="&amp;DATE(2026,4,1),Customer_Invoices_Upload!$B$4:$B$5003,"&lt;"&amp;EDATE(DATE(2026,4,1),1))+COUNTIFS(Stripe_Invoices_Upload!$D$4:$D$5003,$A150,Stripe_Invoices_Upload!$E$4:$E$5003,"*Subscription*",Stripe_Invoices_Upload!$A$4:$A$5003,"&gt;="&amp;DATE(2026,4,1),Stripe_Invoices_Upload!$A$4:$A$5003,"&lt;"&amp;EDATE(DATE(2026,4,1),1)))&gt;0,"✓ Invoiced","⚠ Due"),""),""))</f>
        <v/>
      </c>
      <c r="H150" s="130" t="str">
        <f aca="false">IF($A150="","",IF((DATE(YEAR($E150),MONTH($E150),1)&lt;=DATE(2026,5,1)),IF((MOD(DATEDIF(DATE(YEAR($E150),MONTH($E150),1),DATE(2026,5,1),"m"),IF($D150="Quarterly",3,IF($D150="Annual",12,1)))=0),IF((COUNTIFS(Xero_Raw!$D$4:$D$5003,$A150,Xero_Raw!$G$4:$G$5003,"*Subscription*",Xero_Raw!$A$4:$A$5003,"&gt;="&amp;DATE(2026,5,1),Xero_Raw!$A$4:$A$5003,"&lt;"&amp;EDATE(DATE(2026,5,1),1))+COUNTIFS(Customer_Invoices_Upload!$E$4:$E$5003,$A150,Customer_Invoices_Upload!$G$4:$G$5003,"*Subscription*",Customer_Invoices_Upload!$B$4:$B$5003,"&gt;="&amp;DATE(2026,5,1),Customer_Invoices_Upload!$B$4:$B$5003,"&lt;"&amp;EDATE(DATE(2026,5,1),1))+COUNTIFS(Stripe_Invoices_Upload!$D$4:$D$5003,$A150,Stripe_Invoices_Upload!$E$4:$E$5003,"*Subscription*",Stripe_Invoices_Upload!$A$4:$A$5003,"&gt;="&amp;DATE(2026,5,1),Stripe_Invoices_Upload!$A$4:$A$5003,"&lt;"&amp;EDATE(DATE(2026,5,1),1)))&gt;0,"✓ Invoiced","⚠ Due"),""),""))</f>
        <v/>
      </c>
      <c r="I150" s="130" t="str">
        <f aca="false">IF($A150="","",IF((DATE(YEAR($E150),MONTH($E150),1)&lt;=DATE(2026,6,1)),IF((MOD(DATEDIF(DATE(YEAR($E150),MONTH($E150),1),DATE(2026,6,1),"m"),IF($D150="Quarterly",3,IF($D150="Annual",12,1)))=0),IF((COUNTIFS(Xero_Raw!$D$4:$D$5003,$A150,Xero_Raw!$G$4:$G$5003,"*Subscription*",Xero_Raw!$A$4:$A$5003,"&gt;="&amp;DATE(2026,6,1),Xero_Raw!$A$4:$A$5003,"&lt;"&amp;EDATE(DATE(2026,6,1),1))+COUNTIFS(Customer_Invoices_Upload!$E$4:$E$5003,$A150,Customer_Invoices_Upload!$G$4:$G$5003,"*Subscription*",Customer_Invoices_Upload!$B$4:$B$5003,"&gt;="&amp;DATE(2026,6,1),Customer_Invoices_Upload!$B$4:$B$5003,"&lt;"&amp;EDATE(DATE(2026,6,1),1))+COUNTIFS(Stripe_Invoices_Upload!$D$4:$D$5003,$A150,Stripe_Invoices_Upload!$E$4:$E$5003,"*Subscription*",Stripe_Invoices_Upload!$A$4:$A$5003,"&gt;="&amp;DATE(2026,6,1),Stripe_Invoices_Upload!$A$4:$A$5003,"&lt;"&amp;EDATE(DATE(2026,6,1),1)))&gt;0,"✓ Invoiced","⚠ Due"),""),""))</f>
        <v/>
      </c>
      <c r="J150" s="130" t="str">
        <f aca="false">IF($A150="","",IF((DATE(YEAR($E150),MONTH($E150),1)&lt;=DATE(2026,7,1)),IF((MOD(DATEDIF(DATE(YEAR($E150),MONTH($E150),1),DATE(2026,7,1),"m"),IF($D150="Quarterly",3,IF($D150="Annual",12,1)))=0),IF((COUNTIFS(Xero_Raw!$D$4:$D$5003,$A150,Xero_Raw!$G$4:$G$5003,"*Subscription*",Xero_Raw!$A$4:$A$5003,"&gt;="&amp;DATE(2026,7,1),Xero_Raw!$A$4:$A$5003,"&lt;"&amp;EDATE(DATE(2026,7,1),1))+COUNTIFS(Customer_Invoices_Upload!$E$4:$E$5003,$A150,Customer_Invoices_Upload!$G$4:$G$5003,"*Subscription*",Customer_Invoices_Upload!$B$4:$B$5003,"&gt;="&amp;DATE(2026,7,1),Customer_Invoices_Upload!$B$4:$B$5003,"&lt;"&amp;EDATE(DATE(2026,7,1),1))+COUNTIFS(Stripe_Invoices_Upload!$D$4:$D$5003,$A150,Stripe_Invoices_Upload!$E$4:$E$5003,"*Subscription*",Stripe_Invoices_Upload!$A$4:$A$5003,"&gt;="&amp;DATE(2026,7,1),Stripe_Invoices_Upload!$A$4:$A$5003,"&lt;"&amp;EDATE(DATE(2026,7,1),1)))&gt;0,"✓ Invoiced","⚠ Due"),""),""))</f>
        <v/>
      </c>
      <c r="K150" s="130" t="str">
        <f aca="false">IF($A150="","",IF((DATE(YEAR($E150),MONTH($E150),1)&lt;=DATE(2026,8,1)),IF((MOD(DATEDIF(DATE(YEAR($E150),MONTH($E150),1),DATE(2026,8,1),"m"),IF($D150="Quarterly",3,IF($D150="Annual",12,1)))=0),IF((COUNTIFS(Xero_Raw!$D$4:$D$5003,$A150,Xero_Raw!$G$4:$G$5003,"*Subscription*",Xero_Raw!$A$4:$A$5003,"&gt;="&amp;DATE(2026,8,1),Xero_Raw!$A$4:$A$5003,"&lt;"&amp;EDATE(DATE(2026,8,1),1))+COUNTIFS(Customer_Invoices_Upload!$E$4:$E$5003,$A150,Customer_Invoices_Upload!$G$4:$G$5003,"*Subscription*",Customer_Invoices_Upload!$B$4:$B$5003,"&gt;="&amp;DATE(2026,8,1),Customer_Invoices_Upload!$B$4:$B$5003,"&lt;"&amp;EDATE(DATE(2026,8,1),1))+COUNTIFS(Stripe_Invoices_Upload!$D$4:$D$5003,$A150,Stripe_Invoices_Upload!$E$4:$E$5003,"*Subscription*",Stripe_Invoices_Upload!$A$4:$A$5003,"&gt;="&amp;DATE(2026,8,1),Stripe_Invoices_Upload!$A$4:$A$5003,"&lt;"&amp;EDATE(DATE(2026,8,1),1)))&gt;0,"✓ Invoiced","⚠ Due"),""),""))</f>
        <v/>
      </c>
      <c r="L150" s="130" t="str">
        <f aca="false">IF($A150="","",IF((DATE(YEAR($E150),MONTH($E150),1)&lt;=DATE(2026,9,1)),IF((MOD(DATEDIF(DATE(YEAR($E150),MONTH($E150),1),DATE(2026,9,1),"m"),IF($D150="Quarterly",3,IF($D150="Annual",12,1)))=0),IF((COUNTIFS(Xero_Raw!$D$4:$D$5003,$A150,Xero_Raw!$G$4:$G$5003,"*Subscription*",Xero_Raw!$A$4:$A$5003,"&gt;="&amp;DATE(2026,9,1),Xero_Raw!$A$4:$A$5003,"&lt;"&amp;EDATE(DATE(2026,9,1),1))+COUNTIFS(Customer_Invoices_Upload!$E$4:$E$5003,$A150,Customer_Invoices_Upload!$G$4:$G$5003,"*Subscription*",Customer_Invoices_Upload!$B$4:$B$5003,"&gt;="&amp;DATE(2026,9,1),Customer_Invoices_Upload!$B$4:$B$5003,"&lt;"&amp;EDATE(DATE(2026,9,1),1))+COUNTIFS(Stripe_Invoices_Upload!$D$4:$D$5003,$A150,Stripe_Invoices_Upload!$E$4:$E$5003,"*Subscription*",Stripe_Invoices_Upload!$A$4:$A$5003,"&gt;="&amp;DATE(2026,9,1),Stripe_Invoices_Upload!$A$4:$A$5003,"&lt;"&amp;EDATE(DATE(2026,9,1),1)))&gt;0,"✓ Invoiced","⚠ Due"),""),""))</f>
        <v/>
      </c>
      <c r="M150" s="130" t="str">
        <f aca="false">IF($A150="","",IF((DATE(YEAR($E150),MONTH($E150),1)&lt;=DATE(2026,10,1)),IF((MOD(DATEDIF(DATE(YEAR($E150),MONTH($E150),1),DATE(2026,10,1),"m"),IF($D150="Quarterly",3,IF($D150="Annual",12,1)))=0),IF((COUNTIFS(Xero_Raw!$D$4:$D$5003,$A150,Xero_Raw!$G$4:$G$5003,"*Subscription*",Xero_Raw!$A$4:$A$5003,"&gt;="&amp;DATE(2026,10,1),Xero_Raw!$A$4:$A$5003,"&lt;"&amp;EDATE(DATE(2026,10,1),1))+COUNTIFS(Customer_Invoices_Upload!$E$4:$E$5003,$A150,Customer_Invoices_Upload!$G$4:$G$5003,"*Subscription*",Customer_Invoices_Upload!$B$4:$B$5003,"&gt;="&amp;DATE(2026,10,1),Customer_Invoices_Upload!$B$4:$B$5003,"&lt;"&amp;EDATE(DATE(2026,10,1),1))+COUNTIFS(Stripe_Invoices_Upload!$D$4:$D$5003,$A150,Stripe_Invoices_Upload!$E$4:$E$5003,"*Subscription*",Stripe_Invoices_Upload!$A$4:$A$5003,"&gt;="&amp;DATE(2026,10,1),Stripe_Invoices_Upload!$A$4:$A$5003,"&lt;"&amp;EDATE(DATE(2026,10,1),1)))&gt;0,"✓ Invoiced","⚠ Due"),""),""))</f>
        <v/>
      </c>
      <c r="N150" s="130" t="str">
        <f aca="false">IF($A150="","",IF((DATE(YEAR($E150),MONTH($E150),1)&lt;=DATE(2026,11,1)),IF((MOD(DATEDIF(DATE(YEAR($E150),MONTH($E150),1),DATE(2026,11,1),"m"),IF($D150="Quarterly",3,IF($D150="Annual",12,1)))=0),IF((COUNTIFS(Xero_Raw!$D$4:$D$5003,$A150,Xero_Raw!$G$4:$G$5003,"*Subscription*",Xero_Raw!$A$4:$A$5003,"&gt;="&amp;DATE(2026,11,1),Xero_Raw!$A$4:$A$5003,"&lt;"&amp;EDATE(DATE(2026,11,1),1))+COUNTIFS(Customer_Invoices_Upload!$E$4:$E$5003,$A150,Customer_Invoices_Upload!$G$4:$G$5003,"*Subscription*",Customer_Invoices_Upload!$B$4:$B$5003,"&gt;="&amp;DATE(2026,11,1),Customer_Invoices_Upload!$B$4:$B$5003,"&lt;"&amp;EDATE(DATE(2026,11,1),1))+COUNTIFS(Stripe_Invoices_Upload!$D$4:$D$5003,$A150,Stripe_Invoices_Upload!$E$4:$E$5003,"*Subscription*",Stripe_Invoices_Upload!$A$4:$A$5003,"&gt;="&amp;DATE(2026,11,1),Stripe_Invoices_Upload!$A$4:$A$5003,"&lt;"&amp;EDATE(DATE(2026,11,1),1)))&gt;0,"✓ Invoiced","⚠ Due"),""),""))</f>
        <v/>
      </c>
      <c r="O150" s="130" t="str">
        <f aca="false">IF($A150="","",IF((DATE(YEAR($E150),MONTH($E150),1)&lt;=DATE(2026,12,1)),IF((MOD(DATEDIF(DATE(YEAR($E150),MONTH($E150),1),DATE(2026,12,1),"m"),IF($D150="Quarterly",3,IF($D150="Annual",12,1)))=0),IF((COUNTIFS(Xero_Raw!$D$4:$D$5003,$A150,Xero_Raw!$G$4:$G$5003,"*Subscription*",Xero_Raw!$A$4:$A$5003,"&gt;="&amp;DATE(2026,12,1),Xero_Raw!$A$4:$A$5003,"&lt;"&amp;EDATE(DATE(2026,12,1),1))+COUNTIFS(Customer_Invoices_Upload!$E$4:$E$5003,$A150,Customer_Invoices_Upload!$G$4:$G$5003,"*Subscription*",Customer_Invoices_Upload!$B$4:$B$5003,"&gt;="&amp;DATE(2026,12,1),Customer_Invoices_Upload!$B$4:$B$5003,"&lt;"&amp;EDATE(DATE(2026,12,1),1))+COUNTIFS(Stripe_Invoices_Upload!$D$4:$D$5003,$A150,Stripe_Invoices_Upload!$E$4:$E$5003,"*Subscription*",Stripe_Invoices_Upload!$A$4:$A$5003,"&gt;="&amp;DATE(2026,12,1),Stripe_Invoices_Upload!$A$4:$A$5003,"&lt;"&amp;EDATE(DATE(2026,12,1),1)))&gt;0,"✓ Invoiced","⚠ Due"),""),""))</f>
        <v/>
      </c>
      <c r="P150" s="130" t="str">
        <f aca="false">IF($A150="","",IF((DATE(YEAR($E150),MONTH($E150),1)&lt;=DATE(2027,1,1)),IF((MOD(DATEDIF(DATE(YEAR($E150),MONTH($E150),1),DATE(2027,1,1),"m"),IF($D150="Quarterly",3,IF($D150="Annual",12,1)))=0),IF((COUNTIFS(Xero_Raw!$D$4:$D$5003,$A150,Xero_Raw!$G$4:$G$5003,"*Subscription*",Xero_Raw!$A$4:$A$5003,"&gt;="&amp;DATE(2027,1,1),Xero_Raw!$A$4:$A$5003,"&lt;"&amp;EDATE(DATE(2027,1,1),1))+COUNTIFS(Customer_Invoices_Upload!$E$4:$E$5003,$A150,Customer_Invoices_Upload!$G$4:$G$5003,"*Subscription*",Customer_Invoices_Upload!$B$4:$B$5003,"&gt;="&amp;DATE(2027,1,1),Customer_Invoices_Upload!$B$4:$B$5003,"&lt;"&amp;EDATE(DATE(2027,1,1),1))+COUNTIFS(Stripe_Invoices_Upload!$D$4:$D$5003,$A150,Stripe_Invoices_Upload!$E$4:$E$5003,"*Subscription*",Stripe_Invoices_Upload!$A$4:$A$5003,"&gt;="&amp;DATE(2027,1,1),Stripe_Invoices_Upload!$A$4:$A$5003,"&lt;"&amp;EDATE(DATE(2027,1,1),1)))&gt;0,"✓ Invoiced","⚠ Due"),""),""))</f>
        <v/>
      </c>
      <c r="Q150" s="130" t="str">
        <f aca="false">IF($A150="","",IF((DATE(YEAR($E150),MONTH($E150),1)&lt;=DATE(2027,2,1)),IF((MOD(DATEDIF(DATE(YEAR($E150),MONTH($E150),1),DATE(2027,2,1),"m"),IF($D150="Quarterly",3,IF($D150="Annual",12,1)))=0),IF((COUNTIFS(Xero_Raw!$D$4:$D$5003,$A150,Xero_Raw!$G$4:$G$5003,"*Subscription*",Xero_Raw!$A$4:$A$5003,"&gt;="&amp;DATE(2027,2,1),Xero_Raw!$A$4:$A$5003,"&lt;"&amp;EDATE(DATE(2027,2,1),1))+COUNTIFS(Customer_Invoices_Upload!$E$4:$E$5003,$A150,Customer_Invoices_Upload!$G$4:$G$5003,"*Subscription*",Customer_Invoices_Upload!$B$4:$B$5003,"&gt;="&amp;DATE(2027,2,1),Customer_Invoices_Upload!$B$4:$B$5003,"&lt;"&amp;EDATE(DATE(2027,2,1),1))+COUNTIFS(Stripe_Invoices_Upload!$D$4:$D$5003,$A150,Stripe_Invoices_Upload!$E$4:$E$5003,"*Subscription*",Stripe_Invoices_Upload!$A$4:$A$5003,"&gt;="&amp;DATE(2027,2,1),Stripe_Invoices_Upload!$A$4:$A$5003,"&lt;"&amp;EDATE(DATE(2027,2,1),1)))&gt;0,"✓ Invoiced","⚠ Due"),""),""))</f>
        <v/>
      </c>
      <c r="R150" s="130" t="str">
        <f aca="false">IF($A150="","",IF((DATE(YEAR($E150),MONTH($E150),1)&lt;=DATE(2027,3,1)),IF((MOD(DATEDIF(DATE(YEAR($E150),MONTH($E150),1),DATE(2027,3,1),"m"),IF($D150="Quarterly",3,IF($D150="Annual",12,1)))=0),IF((COUNTIFS(Xero_Raw!$D$4:$D$5003,$A150,Xero_Raw!$G$4:$G$5003,"*Subscription*",Xero_Raw!$A$4:$A$5003,"&gt;="&amp;DATE(2027,3,1),Xero_Raw!$A$4:$A$5003,"&lt;"&amp;EDATE(DATE(2027,3,1),1))+COUNTIFS(Customer_Invoices_Upload!$E$4:$E$5003,$A150,Customer_Invoices_Upload!$G$4:$G$5003,"*Subscription*",Customer_Invoices_Upload!$B$4:$B$5003,"&gt;="&amp;DATE(2027,3,1),Customer_Invoices_Upload!$B$4:$B$5003,"&lt;"&amp;EDATE(DATE(2027,3,1),1))+COUNTIFS(Stripe_Invoices_Upload!$D$4:$D$5003,$A150,Stripe_Invoices_Upload!$E$4:$E$5003,"*Subscription*",Stripe_Invoices_Upload!$A$4:$A$5003,"&gt;="&amp;DATE(2027,3,1),Stripe_Invoices_Upload!$A$4:$A$5003,"&lt;"&amp;EDATE(DATE(2027,3,1),1)))&gt;0,"✓ Invoiced","⚠ Due"),""),""))</f>
        <v/>
      </c>
    </row>
    <row r="151" customFormat="false" ht="15" hidden="false" customHeight="false" outlineLevel="0" collapsed="false">
      <c r="A151" s="39"/>
      <c r="B151" s="39"/>
      <c r="C151" s="40"/>
      <c r="D151" s="39"/>
      <c r="E151" s="38"/>
      <c r="F151" s="129" t="str">
        <f aca="true">IF($A151="","",EDATE($E151,DATEDIF($E151,TODAY(),"m")+1))</f>
        <v/>
      </c>
      <c r="G151" s="130" t="str">
        <f aca="false">IF($A151="","",IF((DATE(YEAR($E151),MONTH($E151),1)&lt;=DATE(2026,4,1)),IF((MOD(DATEDIF(DATE(YEAR($E151),MONTH($E151),1),DATE(2026,4,1),"m"),IF($D151="Quarterly",3,IF($D151="Annual",12,1)))=0),IF((COUNTIFS(Xero_Raw!$D$4:$D$5003,$A151,Xero_Raw!$G$4:$G$5003,"*Subscription*",Xero_Raw!$A$4:$A$5003,"&gt;="&amp;DATE(2026,4,1),Xero_Raw!$A$4:$A$5003,"&lt;"&amp;EDATE(DATE(2026,4,1),1))+COUNTIFS(Customer_Invoices_Upload!$E$4:$E$5003,$A151,Customer_Invoices_Upload!$G$4:$G$5003,"*Subscription*",Customer_Invoices_Upload!$B$4:$B$5003,"&gt;="&amp;DATE(2026,4,1),Customer_Invoices_Upload!$B$4:$B$5003,"&lt;"&amp;EDATE(DATE(2026,4,1),1))+COUNTIFS(Stripe_Invoices_Upload!$D$4:$D$5003,$A151,Stripe_Invoices_Upload!$E$4:$E$5003,"*Subscription*",Stripe_Invoices_Upload!$A$4:$A$5003,"&gt;="&amp;DATE(2026,4,1),Stripe_Invoices_Upload!$A$4:$A$5003,"&lt;"&amp;EDATE(DATE(2026,4,1),1)))&gt;0,"✓ Invoiced","⚠ Due"),""),""))</f>
        <v/>
      </c>
      <c r="H151" s="130" t="str">
        <f aca="false">IF($A151="","",IF((DATE(YEAR($E151),MONTH($E151),1)&lt;=DATE(2026,5,1)),IF((MOD(DATEDIF(DATE(YEAR($E151),MONTH($E151),1),DATE(2026,5,1),"m"),IF($D151="Quarterly",3,IF($D151="Annual",12,1)))=0),IF((COUNTIFS(Xero_Raw!$D$4:$D$5003,$A151,Xero_Raw!$G$4:$G$5003,"*Subscription*",Xero_Raw!$A$4:$A$5003,"&gt;="&amp;DATE(2026,5,1),Xero_Raw!$A$4:$A$5003,"&lt;"&amp;EDATE(DATE(2026,5,1),1))+COUNTIFS(Customer_Invoices_Upload!$E$4:$E$5003,$A151,Customer_Invoices_Upload!$G$4:$G$5003,"*Subscription*",Customer_Invoices_Upload!$B$4:$B$5003,"&gt;="&amp;DATE(2026,5,1),Customer_Invoices_Upload!$B$4:$B$5003,"&lt;"&amp;EDATE(DATE(2026,5,1),1))+COUNTIFS(Stripe_Invoices_Upload!$D$4:$D$5003,$A151,Stripe_Invoices_Upload!$E$4:$E$5003,"*Subscription*",Stripe_Invoices_Upload!$A$4:$A$5003,"&gt;="&amp;DATE(2026,5,1),Stripe_Invoices_Upload!$A$4:$A$5003,"&lt;"&amp;EDATE(DATE(2026,5,1),1)))&gt;0,"✓ Invoiced","⚠ Due"),""),""))</f>
        <v/>
      </c>
      <c r="I151" s="130" t="str">
        <f aca="false">IF($A151="","",IF((DATE(YEAR($E151),MONTH($E151),1)&lt;=DATE(2026,6,1)),IF((MOD(DATEDIF(DATE(YEAR($E151),MONTH($E151),1),DATE(2026,6,1),"m"),IF($D151="Quarterly",3,IF($D151="Annual",12,1)))=0),IF((COUNTIFS(Xero_Raw!$D$4:$D$5003,$A151,Xero_Raw!$G$4:$G$5003,"*Subscription*",Xero_Raw!$A$4:$A$5003,"&gt;="&amp;DATE(2026,6,1),Xero_Raw!$A$4:$A$5003,"&lt;"&amp;EDATE(DATE(2026,6,1),1))+COUNTIFS(Customer_Invoices_Upload!$E$4:$E$5003,$A151,Customer_Invoices_Upload!$G$4:$G$5003,"*Subscription*",Customer_Invoices_Upload!$B$4:$B$5003,"&gt;="&amp;DATE(2026,6,1),Customer_Invoices_Upload!$B$4:$B$5003,"&lt;"&amp;EDATE(DATE(2026,6,1),1))+COUNTIFS(Stripe_Invoices_Upload!$D$4:$D$5003,$A151,Stripe_Invoices_Upload!$E$4:$E$5003,"*Subscription*",Stripe_Invoices_Upload!$A$4:$A$5003,"&gt;="&amp;DATE(2026,6,1),Stripe_Invoices_Upload!$A$4:$A$5003,"&lt;"&amp;EDATE(DATE(2026,6,1),1)))&gt;0,"✓ Invoiced","⚠ Due"),""),""))</f>
        <v/>
      </c>
      <c r="J151" s="130" t="str">
        <f aca="false">IF($A151="","",IF((DATE(YEAR($E151),MONTH($E151),1)&lt;=DATE(2026,7,1)),IF((MOD(DATEDIF(DATE(YEAR($E151),MONTH($E151),1),DATE(2026,7,1),"m"),IF($D151="Quarterly",3,IF($D151="Annual",12,1)))=0),IF((COUNTIFS(Xero_Raw!$D$4:$D$5003,$A151,Xero_Raw!$G$4:$G$5003,"*Subscription*",Xero_Raw!$A$4:$A$5003,"&gt;="&amp;DATE(2026,7,1),Xero_Raw!$A$4:$A$5003,"&lt;"&amp;EDATE(DATE(2026,7,1),1))+COUNTIFS(Customer_Invoices_Upload!$E$4:$E$5003,$A151,Customer_Invoices_Upload!$G$4:$G$5003,"*Subscription*",Customer_Invoices_Upload!$B$4:$B$5003,"&gt;="&amp;DATE(2026,7,1),Customer_Invoices_Upload!$B$4:$B$5003,"&lt;"&amp;EDATE(DATE(2026,7,1),1))+COUNTIFS(Stripe_Invoices_Upload!$D$4:$D$5003,$A151,Stripe_Invoices_Upload!$E$4:$E$5003,"*Subscription*",Stripe_Invoices_Upload!$A$4:$A$5003,"&gt;="&amp;DATE(2026,7,1),Stripe_Invoices_Upload!$A$4:$A$5003,"&lt;"&amp;EDATE(DATE(2026,7,1),1)))&gt;0,"✓ Invoiced","⚠ Due"),""),""))</f>
        <v/>
      </c>
      <c r="K151" s="130" t="str">
        <f aca="false">IF($A151="","",IF((DATE(YEAR($E151),MONTH($E151),1)&lt;=DATE(2026,8,1)),IF((MOD(DATEDIF(DATE(YEAR($E151),MONTH($E151),1),DATE(2026,8,1),"m"),IF($D151="Quarterly",3,IF($D151="Annual",12,1)))=0),IF((COUNTIFS(Xero_Raw!$D$4:$D$5003,$A151,Xero_Raw!$G$4:$G$5003,"*Subscription*",Xero_Raw!$A$4:$A$5003,"&gt;="&amp;DATE(2026,8,1),Xero_Raw!$A$4:$A$5003,"&lt;"&amp;EDATE(DATE(2026,8,1),1))+COUNTIFS(Customer_Invoices_Upload!$E$4:$E$5003,$A151,Customer_Invoices_Upload!$G$4:$G$5003,"*Subscription*",Customer_Invoices_Upload!$B$4:$B$5003,"&gt;="&amp;DATE(2026,8,1),Customer_Invoices_Upload!$B$4:$B$5003,"&lt;"&amp;EDATE(DATE(2026,8,1),1))+COUNTIFS(Stripe_Invoices_Upload!$D$4:$D$5003,$A151,Stripe_Invoices_Upload!$E$4:$E$5003,"*Subscription*",Stripe_Invoices_Upload!$A$4:$A$5003,"&gt;="&amp;DATE(2026,8,1),Stripe_Invoices_Upload!$A$4:$A$5003,"&lt;"&amp;EDATE(DATE(2026,8,1),1)))&gt;0,"✓ Invoiced","⚠ Due"),""),""))</f>
        <v/>
      </c>
      <c r="L151" s="130" t="str">
        <f aca="false">IF($A151="","",IF((DATE(YEAR($E151),MONTH($E151),1)&lt;=DATE(2026,9,1)),IF((MOD(DATEDIF(DATE(YEAR($E151),MONTH($E151),1),DATE(2026,9,1),"m"),IF($D151="Quarterly",3,IF($D151="Annual",12,1)))=0),IF((COUNTIFS(Xero_Raw!$D$4:$D$5003,$A151,Xero_Raw!$G$4:$G$5003,"*Subscription*",Xero_Raw!$A$4:$A$5003,"&gt;="&amp;DATE(2026,9,1),Xero_Raw!$A$4:$A$5003,"&lt;"&amp;EDATE(DATE(2026,9,1),1))+COUNTIFS(Customer_Invoices_Upload!$E$4:$E$5003,$A151,Customer_Invoices_Upload!$G$4:$G$5003,"*Subscription*",Customer_Invoices_Upload!$B$4:$B$5003,"&gt;="&amp;DATE(2026,9,1),Customer_Invoices_Upload!$B$4:$B$5003,"&lt;"&amp;EDATE(DATE(2026,9,1),1))+COUNTIFS(Stripe_Invoices_Upload!$D$4:$D$5003,$A151,Stripe_Invoices_Upload!$E$4:$E$5003,"*Subscription*",Stripe_Invoices_Upload!$A$4:$A$5003,"&gt;="&amp;DATE(2026,9,1),Stripe_Invoices_Upload!$A$4:$A$5003,"&lt;"&amp;EDATE(DATE(2026,9,1),1)))&gt;0,"✓ Invoiced","⚠ Due"),""),""))</f>
        <v/>
      </c>
      <c r="M151" s="130" t="str">
        <f aca="false">IF($A151="","",IF((DATE(YEAR($E151),MONTH($E151),1)&lt;=DATE(2026,10,1)),IF((MOD(DATEDIF(DATE(YEAR($E151),MONTH($E151),1),DATE(2026,10,1),"m"),IF($D151="Quarterly",3,IF($D151="Annual",12,1)))=0),IF((COUNTIFS(Xero_Raw!$D$4:$D$5003,$A151,Xero_Raw!$G$4:$G$5003,"*Subscription*",Xero_Raw!$A$4:$A$5003,"&gt;="&amp;DATE(2026,10,1),Xero_Raw!$A$4:$A$5003,"&lt;"&amp;EDATE(DATE(2026,10,1),1))+COUNTIFS(Customer_Invoices_Upload!$E$4:$E$5003,$A151,Customer_Invoices_Upload!$G$4:$G$5003,"*Subscription*",Customer_Invoices_Upload!$B$4:$B$5003,"&gt;="&amp;DATE(2026,10,1),Customer_Invoices_Upload!$B$4:$B$5003,"&lt;"&amp;EDATE(DATE(2026,10,1),1))+COUNTIFS(Stripe_Invoices_Upload!$D$4:$D$5003,$A151,Stripe_Invoices_Upload!$E$4:$E$5003,"*Subscription*",Stripe_Invoices_Upload!$A$4:$A$5003,"&gt;="&amp;DATE(2026,10,1),Stripe_Invoices_Upload!$A$4:$A$5003,"&lt;"&amp;EDATE(DATE(2026,10,1),1)))&gt;0,"✓ Invoiced","⚠ Due"),""),""))</f>
        <v/>
      </c>
      <c r="N151" s="130" t="str">
        <f aca="false">IF($A151="","",IF((DATE(YEAR($E151),MONTH($E151),1)&lt;=DATE(2026,11,1)),IF((MOD(DATEDIF(DATE(YEAR($E151),MONTH($E151),1),DATE(2026,11,1),"m"),IF($D151="Quarterly",3,IF($D151="Annual",12,1)))=0),IF((COUNTIFS(Xero_Raw!$D$4:$D$5003,$A151,Xero_Raw!$G$4:$G$5003,"*Subscription*",Xero_Raw!$A$4:$A$5003,"&gt;="&amp;DATE(2026,11,1),Xero_Raw!$A$4:$A$5003,"&lt;"&amp;EDATE(DATE(2026,11,1),1))+COUNTIFS(Customer_Invoices_Upload!$E$4:$E$5003,$A151,Customer_Invoices_Upload!$G$4:$G$5003,"*Subscription*",Customer_Invoices_Upload!$B$4:$B$5003,"&gt;="&amp;DATE(2026,11,1),Customer_Invoices_Upload!$B$4:$B$5003,"&lt;"&amp;EDATE(DATE(2026,11,1),1))+COUNTIFS(Stripe_Invoices_Upload!$D$4:$D$5003,$A151,Stripe_Invoices_Upload!$E$4:$E$5003,"*Subscription*",Stripe_Invoices_Upload!$A$4:$A$5003,"&gt;="&amp;DATE(2026,11,1),Stripe_Invoices_Upload!$A$4:$A$5003,"&lt;"&amp;EDATE(DATE(2026,11,1),1)))&gt;0,"✓ Invoiced","⚠ Due"),""),""))</f>
        <v/>
      </c>
      <c r="O151" s="130" t="str">
        <f aca="false">IF($A151="","",IF((DATE(YEAR($E151),MONTH($E151),1)&lt;=DATE(2026,12,1)),IF((MOD(DATEDIF(DATE(YEAR($E151),MONTH($E151),1),DATE(2026,12,1),"m"),IF($D151="Quarterly",3,IF($D151="Annual",12,1)))=0),IF((COUNTIFS(Xero_Raw!$D$4:$D$5003,$A151,Xero_Raw!$G$4:$G$5003,"*Subscription*",Xero_Raw!$A$4:$A$5003,"&gt;="&amp;DATE(2026,12,1),Xero_Raw!$A$4:$A$5003,"&lt;"&amp;EDATE(DATE(2026,12,1),1))+COUNTIFS(Customer_Invoices_Upload!$E$4:$E$5003,$A151,Customer_Invoices_Upload!$G$4:$G$5003,"*Subscription*",Customer_Invoices_Upload!$B$4:$B$5003,"&gt;="&amp;DATE(2026,12,1),Customer_Invoices_Upload!$B$4:$B$5003,"&lt;"&amp;EDATE(DATE(2026,12,1),1))+COUNTIFS(Stripe_Invoices_Upload!$D$4:$D$5003,$A151,Stripe_Invoices_Upload!$E$4:$E$5003,"*Subscription*",Stripe_Invoices_Upload!$A$4:$A$5003,"&gt;="&amp;DATE(2026,12,1),Stripe_Invoices_Upload!$A$4:$A$5003,"&lt;"&amp;EDATE(DATE(2026,12,1),1)))&gt;0,"✓ Invoiced","⚠ Due"),""),""))</f>
        <v/>
      </c>
      <c r="P151" s="130" t="str">
        <f aca="false">IF($A151="","",IF((DATE(YEAR($E151),MONTH($E151),1)&lt;=DATE(2027,1,1)),IF((MOD(DATEDIF(DATE(YEAR($E151),MONTH($E151),1),DATE(2027,1,1),"m"),IF($D151="Quarterly",3,IF($D151="Annual",12,1)))=0),IF((COUNTIFS(Xero_Raw!$D$4:$D$5003,$A151,Xero_Raw!$G$4:$G$5003,"*Subscription*",Xero_Raw!$A$4:$A$5003,"&gt;="&amp;DATE(2027,1,1),Xero_Raw!$A$4:$A$5003,"&lt;"&amp;EDATE(DATE(2027,1,1),1))+COUNTIFS(Customer_Invoices_Upload!$E$4:$E$5003,$A151,Customer_Invoices_Upload!$G$4:$G$5003,"*Subscription*",Customer_Invoices_Upload!$B$4:$B$5003,"&gt;="&amp;DATE(2027,1,1),Customer_Invoices_Upload!$B$4:$B$5003,"&lt;"&amp;EDATE(DATE(2027,1,1),1))+COUNTIFS(Stripe_Invoices_Upload!$D$4:$D$5003,$A151,Stripe_Invoices_Upload!$E$4:$E$5003,"*Subscription*",Stripe_Invoices_Upload!$A$4:$A$5003,"&gt;="&amp;DATE(2027,1,1),Stripe_Invoices_Upload!$A$4:$A$5003,"&lt;"&amp;EDATE(DATE(2027,1,1),1)))&gt;0,"✓ Invoiced","⚠ Due"),""),""))</f>
        <v/>
      </c>
      <c r="Q151" s="130" t="str">
        <f aca="false">IF($A151="","",IF((DATE(YEAR($E151),MONTH($E151),1)&lt;=DATE(2027,2,1)),IF((MOD(DATEDIF(DATE(YEAR($E151),MONTH($E151),1),DATE(2027,2,1),"m"),IF($D151="Quarterly",3,IF($D151="Annual",12,1)))=0),IF((COUNTIFS(Xero_Raw!$D$4:$D$5003,$A151,Xero_Raw!$G$4:$G$5003,"*Subscription*",Xero_Raw!$A$4:$A$5003,"&gt;="&amp;DATE(2027,2,1),Xero_Raw!$A$4:$A$5003,"&lt;"&amp;EDATE(DATE(2027,2,1),1))+COUNTIFS(Customer_Invoices_Upload!$E$4:$E$5003,$A151,Customer_Invoices_Upload!$G$4:$G$5003,"*Subscription*",Customer_Invoices_Upload!$B$4:$B$5003,"&gt;="&amp;DATE(2027,2,1),Customer_Invoices_Upload!$B$4:$B$5003,"&lt;"&amp;EDATE(DATE(2027,2,1),1))+COUNTIFS(Stripe_Invoices_Upload!$D$4:$D$5003,$A151,Stripe_Invoices_Upload!$E$4:$E$5003,"*Subscription*",Stripe_Invoices_Upload!$A$4:$A$5003,"&gt;="&amp;DATE(2027,2,1),Stripe_Invoices_Upload!$A$4:$A$5003,"&lt;"&amp;EDATE(DATE(2027,2,1),1)))&gt;0,"✓ Invoiced","⚠ Due"),""),""))</f>
        <v/>
      </c>
      <c r="R151" s="130" t="str">
        <f aca="false">IF($A151="","",IF((DATE(YEAR($E151),MONTH($E151),1)&lt;=DATE(2027,3,1)),IF((MOD(DATEDIF(DATE(YEAR($E151),MONTH($E151),1),DATE(2027,3,1),"m"),IF($D151="Quarterly",3,IF($D151="Annual",12,1)))=0),IF((COUNTIFS(Xero_Raw!$D$4:$D$5003,$A151,Xero_Raw!$G$4:$G$5003,"*Subscription*",Xero_Raw!$A$4:$A$5003,"&gt;="&amp;DATE(2027,3,1),Xero_Raw!$A$4:$A$5003,"&lt;"&amp;EDATE(DATE(2027,3,1),1))+COUNTIFS(Customer_Invoices_Upload!$E$4:$E$5003,$A151,Customer_Invoices_Upload!$G$4:$G$5003,"*Subscription*",Customer_Invoices_Upload!$B$4:$B$5003,"&gt;="&amp;DATE(2027,3,1),Customer_Invoices_Upload!$B$4:$B$5003,"&lt;"&amp;EDATE(DATE(2027,3,1),1))+COUNTIFS(Stripe_Invoices_Upload!$D$4:$D$5003,$A151,Stripe_Invoices_Upload!$E$4:$E$5003,"*Subscription*",Stripe_Invoices_Upload!$A$4:$A$5003,"&gt;="&amp;DATE(2027,3,1),Stripe_Invoices_Upload!$A$4:$A$5003,"&lt;"&amp;EDATE(DATE(2027,3,1),1)))&gt;0,"✓ Invoiced","⚠ Due"),""),""))</f>
        <v/>
      </c>
    </row>
    <row r="152" customFormat="false" ht="15" hidden="false" customHeight="false" outlineLevel="0" collapsed="false">
      <c r="A152" s="39"/>
      <c r="B152" s="39"/>
      <c r="C152" s="40"/>
      <c r="D152" s="39"/>
      <c r="E152" s="38"/>
      <c r="F152" s="129" t="str">
        <f aca="true">IF($A152="","",EDATE($E152,DATEDIF($E152,TODAY(),"m")+1))</f>
        <v/>
      </c>
      <c r="G152" s="130" t="str">
        <f aca="false">IF($A152="","",IF((DATE(YEAR($E152),MONTH($E152),1)&lt;=DATE(2026,4,1)),IF((MOD(DATEDIF(DATE(YEAR($E152),MONTH($E152),1),DATE(2026,4,1),"m"),IF($D152="Quarterly",3,IF($D152="Annual",12,1)))=0),IF((COUNTIFS(Xero_Raw!$D$4:$D$5003,$A152,Xero_Raw!$G$4:$G$5003,"*Subscription*",Xero_Raw!$A$4:$A$5003,"&gt;="&amp;DATE(2026,4,1),Xero_Raw!$A$4:$A$5003,"&lt;"&amp;EDATE(DATE(2026,4,1),1))+COUNTIFS(Customer_Invoices_Upload!$E$4:$E$5003,$A152,Customer_Invoices_Upload!$G$4:$G$5003,"*Subscription*",Customer_Invoices_Upload!$B$4:$B$5003,"&gt;="&amp;DATE(2026,4,1),Customer_Invoices_Upload!$B$4:$B$5003,"&lt;"&amp;EDATE(DATE(2026,4,1),1))+COUNTIFS(Stripe_Invoices_Upload!$D$4:$D$5003,$A152,Stripe_Invoices_Upload!$E$4:$E$5003,"*Subscription*",Stripe_Invoices_Upload!$A$4:$A$5003,"&gt;="&amp;DATE(2026,4,1),Stripe_Invoices_Upload!$A$4:$A$5003,"&lt;"&amp;EDATE(DATE(2026,4,1),1)))&gt;0,"✓ Invoiced","⚠ Due"),""),""))</f>
        <v/>
      </c>
      <c r="H152" s="130" t="str">
        <f aca="false">IF($A152="","",IF((DATE(YEAR($E152),MONTH($E152),1)&lt;=DATE(2026,5,1)),IF((MOD(DATEDIF(DATE(YEAR($E152),MONTH($E152),1),DATE(2026,5,1),"m"),IF($D152="Quarterly",3,IF($D152="Annual",12,1)))=0),IF((COUNTIFS(Xero_Raw!$D$4:$D$5003,$A152,Xero_Raw!$G$4:$G$5003,"*Subscription*",Xero_Raw!$A$4:$A$5003,"&gt;="&amp;DATE(2026,5,1),Xero_Raw!$A$4:$A$5003,"&lt;"&amp;EDATE(DATE(2026,5,1),1))+COUNTIFS(Customer_Invoices_Upload!$E$4:$E$5003,$A152,Customer_Invoices_Upload!$G$4:$G$5003,"*Subscription*",Customer_Invoices_Upload!$B$4:$B$5003,"&gt;="&amp;DATE(2026,5,1),Customer_Invoices_Upload!$B$4:$B$5003,"&lt;"&amp;EDATE(DATE(2026,5,1),1))+COUNTIFS(Stripe_Invoices_Upload!$D$4:$D$5003,$A152,Stripe_Invoices_Upload!$E$4:$E$5003,"*Subscription*",Stripe_Invoices_Upload!$A$4:$A$5003,"&gt;="&amp;DATE(2026,5,1),Stripe_Invoices_Upload!$A$4:$A$5003,"&lt;"&amp;EDATE(DATE(2026,5,1),1)))&gt;0,"✓ Invoiced","⚠ Due"),""),""))</f>
        <v/>
      </c>
      <c r="I152" s="130" t="str">
        <f aca="false">IF($A152="","",IF((DATE(YEAR($E152),MONTH($E152),1)&lt;=DATE(2026,6,1)),IF((MOD(DATEDIF(DATE(YEAR($E152),MONTH($E152),1),DATE(2026,6,1),"m"),IF($D152="Quarterly",3,IF($D152="Annual",12,1)))=0),IF((COUNTIFS(Xero_Raw!$D$4:$D$5003,$A152,Xero_Raw!$G$4:$G$5003,"*Subscription*",Xero_Raw!$A$4:$A$5003,"&gt;="&amp;DATE(2026,6,1),Xero_Raw!$A$4:$A$5003,"&lt;"&amp;EDATE(DATE(2026,6,1),1))+COUNTIFS(Customer_Invoices_Upload!$E$4:$E$5003,$A152,Customer_Invoices_Upload!$G$4:$G$5003,"*Subscription*",Customer_Invoices_Upload!$B$4:$B$5003,"&gt;="&amp;DATE(2026,6,1),Customer_Invoices_Upload!$B$4:$B$5003,"&lt;"&amp;EDATE(DATE(2026,6,1),1))+COUNTIFS(Stripe_Invoices_Upload!$D$4:$D$5003,$A152,Stripe_Invoices_Upload!$E$4:$E$5003,"*Subscription*",Stripe_Invoices_Upload!$A$4:$A$5003,"&gt;="&amp;DATE(2026,6,1),Stripe_Invoices_Upload!$A$4:$A$5003,"&lt;"&amp;EDATE(DATE(2026,6,1),1)))&gt;0,"✓ Invoiced","⚠ Due"),""),""))</f>
        <v/>
      </c>
      <c r="J152" s="130" t="str">
        <f aca="false">IF($A152="","",IF((DATE(YEAR($E152),MONTH($E152),1)&lt;=DATE(2026,7,1)),IF((MOD(DATEDIF(DATE(YEAR($E152),MONTH($E152),1),DATE(2026,7,1),"m"),IF($D152="Quarterly",3,IF($D152="Annual",12,1)))=0),IF((COUNTIFS(Xero_Raw!$D$4:$D$5003,$A152,Xero_Raw!$G$4:$G$5003,"*Subscription*",Xero_Raw!$A$4:$A$5003,"&gt;="&amp;DATE(2026,7,1),Xero_Raw!$A$4:$A$5003,"&lt;"&amp;EDATE(DATE(2026,7,1),1))+COUNTIFS(Customer_Invoices_Upload!$E$4:$E$5003,$A152,Customer_Invoices_Upload!$G$4:$G$5003,"*Subscription*",Customer_Invoices_Upload!$B$4:$B$5003,"&gt;="&amp;DATE(2026,7,1),Customer_Invoices_Upload!$B$4:$B$5003,"&lt;"&amp;EDATE(DATE(2026,7,1),1))+COUNTIFS(Stripe_Invoices_Upload!$D$4:$D$5003,$A152,Stripe_Invoices_Upload!$E$4:$E$5003,"*Subscription*",Stripe_Invoices_Upload!$A$4:$A$5003,"&gt;="&amp;DATE(2026,7,1),Stripe_Invoices_Upload!$A$4:$A$5003,"&lt;"&amp;EDATE(DATE(2026,7,1),1)))&gt;0,"✓ Invoiced","⚠ Due"),""),""))</f>
        <v/>
      </c>
      <c r="K152" s="130" t="str">
        <f aca="false">IF($A152="","",IF((DATE(YEAR($E152),MONTH($E152),1)&lt;=DATE(2026,8,1)),IF((MOD(DATEDIF(DATE(YEAR($E152),MONTH($E152),1),DATE(2026,8,1),"m"),IF($D152="Quarterly",3,IF($D152="Annual",12,1)))=0),IF((COUNTIFS(Xero_Raw!$D$4:$D$5003,$A152,Xero_Raw!$G$4:$G$5003,"*Subscription*",Xero_Raw!$A$4:$A$5003,"&gt;="&amp;DATE(2026,8,1),Xero_Raw!$A$4:$A$5003,"&lt;"&amp;EDATE(DATE(2026,8,1),1))+COUNTIFS(Customer_Invoices_Upload!$E$4:$E$5003,$A152,Customer_Invoices_Upload!$G$4:$G$5003,"*Subscription*",Customer_Invoices_Upload!$B$4:$B$5003,"&gt;="&amp;DATE(2026,8,1),Customer_Invoices_Upload!$B$4:$B$5003,"&lt;"&amp;EDATE(DATE(2026,8,1),1))+COUNTIFS(Stripe_Invoices_Upload!$D$4:$D$5003,$A152,Stripe_Invoices_Upload!$E$4:$E$5003,"*Subscription*",Stripe_Invoices_Upload!$A$4:$A$5003,"&gt;="&amp;DATE(2026,8,1),Stripe_Invoices_Upload!$A$4:$A$5003,"&lt;"&amp;EDATE(DATE(2026,8,1),1)))&gt;0,"✓ Invoiced","⚠ Due"),""),""))</f>
        <v/>
      </c>
      <c r="L152" s="130" t="str">
        <f aca="false">IF($A152="","",IF((DATE(YEAR($E152),MONTH($E152),1)&lt;=DATE(2026,9,1)),IF((MOD(DATEDIF(DATE(YEAR($E152),MONTH($E152),1),DATE(2026,9,1),"m"),IF($D152="Quarterly",3,IF($D152="Annual",12,1)))=0),IF((COUNTIFS(Xero_Raw!$D$4:$D$5003,$A152,Xero_Raw!$G$4:$G$5003,"*Subscription*",Xero_Raw!$A$4:$A$5003,"&gt;="&amp;DATE(2026,9,1),Xero_Raw!$A$4:$A$5003,"&lt;"&amp;EDATE(DATE(2026,9,1),1))+COUNTIFS(Customer_Invoices_Upload!$E$4:$E$5003,$A152,Customer_Invoices_Upload!$G$4:$G$5003,"*Subscription*",Customer_Invoices_Upload!$B$4:$B$5003,"&gt;="&amp;DATE(2026,9,1),Customer_Invoices_Upload!$B$4:$B$5003,"&lt;"&amp;EDATE(DATE(2026,9,1),1))+COUNTIFS(Stripe_Invoices_Upload!$D$4:$D$5003,$A152,Stripe_Invoices_Upload!$E$4:$E$5003,"*Subscription*",Stripe_Invoices_Upload!$A$4:$A$5003,"&gt;="&amp;DATE(2026,9,1),Stripe_Invoices_Upload!$A$4:$A$5003,"&lt;"&amp;EDATE(DATE(2026,9,1),1)))&gt;0,"✓ Invoiced","⚠ Due"),""),""))</f>
        <v/>
      </c>
      <c r="M152" s="130" t="str">
        <f aca="false">IF($A152="","",IF((DATE(YEAR($E152),MONTH($E152),1)&lt;=DATE(2026,10,1)),IF((MOD(DATEDIF(DATE(YEAR($E152),MONTH($E152),1),DATE(2026,10,1),"m"),IF($D152="Quarterly",3,IF($D152="Annual",12,1)))=0),IF((COUNTIFS(Xero_Raw!$D$4:$D$5003,$A152,Xero_Raw!$G$4:$G$5003,"*Subscription*",Xero_Raw!$A$4:$A$5003,"&gt;="&amp;DATE(2026,10,1),Xero_Raw!$A$4:$A$5003,"&lt;"&amp;EDATE(DATE(2026,10,1),1))+COUNTIFS(Customer_Invoices_Upload!$E$4:$E$5003,$A152,Customer_Invoices_Upload!$G$4:$G$5003,"*Subscription*",Customer_Invoices_Upload!$B$4:$B$5003,"&gt;="&amp;DATE(2026,10,1),Customer_Invoices_Upload!$B$4:$B$5003,"&lt;"&amp;EDATE(DATE(2026,10,1),1))+COUNTIFS(Stripe_Invoices_Upload!$D$4:$D$5003,$A152,Stripe_Invoices_Upload!$E$4:$E$5003,"*Subscription*",Stripe_Invoices_Upload!$A$4:$A$5003,"&gt;="&amp;DATE(2026,10,1),Stripe_Invoices_Upload!$A$4:$A$5003,"&lt;"&amp;EDATE(DATE(2026,10,1),1)))&gt;0,"✓ Invoiced","⚠ Due"),""),""))</f>
        <v/>
      </c>
      <c r="N152" s="130" t="str">
        <f aca="false">IF($A152="","",IF((DATE(YEAR($E152),MONTH($E152),1)&lt;=DATE(2026,11,1)),IF((MOD(DATEDIF(DATE(YEAR($E152),MONTH($E152),1),DATE(2026,11,1),"m"),IF($D152="Quarterly",3,IF($D152="Annual",12,1)))=0),IF((COUNTIFS(Xero_Raw!$D$4:$D$5003,$A152,Xero_Raw!$G$4:$G$5003,"*Subscription*",Xero_Raw!$A$4:$A$5003,"&gt;="&amp;DATE(2026,11,1),Xero_Raw!$A$4:$A$5003,"&lt;"&amp;EDATE(DATE(2026,11,1),1))+COUNTIFS(Customer_Invoices_Upload!$E$4:$E$5003,$A152,Customer_Invoices_Upload!$G$4:$G$5003,"*Subscription*",Customer_Invoices_Upload!$B$4:$B$5003,"&gt;="&amp;DATE(2026,11,1),Customer_Invoices_Upload!$B$4:$B$5003,"&lt;"&amp;EDATE(DATE(2026,11,1),1))+COUNTIFS(Stripe_Invoices_Upload!$D$4:$D$5003,$A152,Stripe_Invoices_Upload!$E$4:$E$5003,"*Subscription*",Stripe_Invoices_Upload!$A$4:$A$5003,"&gt;="&amp;DATE(2026,11,1),Stripe_Invoices_Upload!$A$4:$A$5003,"&lt;"&amp;EDATE(DATE(2026,11,1),1)))&gt;0,"✓ Invoiced","⚠ Due"),""),""))</f>
        <v/>
      </c>
      <c r="O152" s="130" t="str">
        <f aca="false">IF($A152="","",IF((DATE(YEAR($E152),MONTH($E152),1)&lt;=DATE(2026,12,1)),IF((MOD(DATEDIF(DATE(YEAR($E152),MONTH($E152),1),DATE(2026,12,1),"m"),IF($D152="Quarterly",3,IF($D152="Annual",12,1)))=0),IF((COUNTIFS(Xero_Raw!$D$4:$D$5003,$A152,Xero_Raw!$G$4:$G$5003,"*Subscription*",Xero_Raw!$A$4:$A$5003,"&gt;="&amp;DATE(2026,12,1),Xero_Raw!$A$4:$A$5003,"&lt;"&amp;EDATE(DATE(2026,12,1),1))+COUNTIFS(Customer_Invoices_Upload!$E$4:$E$5003,$A152,Customer_Invoices_Upload!$G$4:$G$5003,"*Subscription*",Customer_Invoices_Upload!$B$4:$B$5003,"&gt;="&amp;DATE(2026,12,1),Customer_Invoices_Upload!$B$4:$B$5003,"&lt;"&amp;EDATE(DATE(2026,12,1),1))+COUNTIFS(Stripe_Invoices_Upload!$D$4:$D$5003,$A152,Stripe_Invoices_Upload!$E$4:$E$5003,"*Subscription*",Stripe_Invoices_Upload!$A$4:$A$5003,"&gt;="&amp;DATE(2026,12,1),Stripe_Invoices_Upload!$A$4:$A$5003,"&lt;"&amp;EDATE(DATE(2026,12,1),1)))&gt;0,"✓ Invoiced","⚠ Due"),""),""))</f>
        <v/>
      </c>
      <c r="P152" s="130" t="str">
        <f aca="false">IF($A152="","",IF((DATE(YEAR($E152),MONTH($E152),1)&lt;=DATE(2027,1,1)),IF((MOD(DATEDIF(DATE(YEAR($E152),MONTH($E152),1),DATE(2027,1,1),"m"),IF($D152="Quarterly",3,IF($D152="Annual",12,1)))=0),IF((COUNTIFS(Xero_Raw!$D$4:$D$5003,$A152,Xero_Raw!$G$4:$G$5003,"*Subscription*",Xero_Raw!$A$4:$A$5003,"&gt;="&amp;DATE(2027,1,1),Xero_Raw!$A$4:$A$5003,"&lt;"&amp;EDATE(DATE(2027,1,1),1))+COUNTIFS(Customer_Invoices_Upload!$E$4:$E$5003,$A152,Customer_Invoices_Upload!$G$4:$G$5003,"*Subscription*",Customer_Invoices_Upload!$B$4:$B$5003,"&gt;="&amp;DATE(2027,1,1),Customer_Invoices_Upload!$B$4:$B$5003,"&lt;"&amp;EDATE(DATE(2027,1,1),1))+COUNTIFS(Stripe_Invoices_Upload!$D$4:$D$5003,$A152,Stripe_Invoices_Upload!$E$4:$E$5003,"*Subscription*",Stripe_Invoices_Upload!$A$4:$A$5003,"&gt;="&amp;DATE(2027,1,1),Stripe_Invoices_Upload!$A$4:$A$5003,"&lt;"&amp;EDATE(DATE(2027,1,1),1)))&gt;0,"✓ Invoiced","⚠ Due"),""),""))</f>
        <v/>
      </c>
      <c r="Q152" s="130" t="str">
        <f aca="false">IF($A152="","",IF((DATE(YEAR($E152),MONTH($E152),1)&lt;=DATE(2027,2,1)),IF((MOD(DATEDIF(DATE(YEAR($E152),MONTH($E152),1),DATE(2027,2,1),"m"),IF($D152="Quarterly",3,IF($D152="Annual",12,1)))=0),IF((COUNTIFS(Xero_Raw!$D$4:$D$5003,$A152,Xero_Raw!$G$4:$G$5003,"*Subscription*",Xero_Raw!$A$4:$A$5003,"&gt;="&amp;DATE(2027,2,1),Xero_Raw!$A$4:$A$5003,"&lt;"&amp;EDATE(DATE(2027,2,1),1))+COUNTIFS(Customer_Invoices_Upload!$E$4:$E$5003,$A152,Customer_Invoices_Upload!$G$4:$G$5003,"*Subscription*",Customer_Invoices_Upload!$B$4:$B$5003,"&gt;="&amp;DATE(2027,2,1),Customer_Invoices_Upload!$B$4:$B$5003,"&lt;"&amp;EDATE(DATE(2027,2,1),1))+COUNTIFS(Stripe_Invoices_Upload!$D$4:$D$5003,$A152,Stripe_Invoices_Upload!$E$4:$E$5003,"*Subscription*",Stripe_Invoices_Upload!$A$4:$A$5003,"&gt;="&amp;DATE(2027,2,1),Stripe_Invoices_Upload!$A$4:$A$5003,"&lt;"&amp;EDATE(DATE(2027,2,1),1)))&gt;0,"✓ Invoiced","⚠ Due"),""),""))</f>
        <v/>
      </c>
      <c r="R152" s="130" t="str">
        <f aca="false">IF($A152="","",IF((DATE(YEAR($E152),MONTH($E152),1)&lt;=DATE(2027,3,1)),IF((MOD(DATEDIF(DATE(YEAR($E152),MONTH($E152),1),DATE(2027,3,1),"m"),IF($D152="Quarterly",3,IF($D152="Annual",12,1)))=0),IF((COUNTIFS(Xero_Raw!$D$4:$D$5003,$A152,Xero_Raw!$G$4:$G$5003,"*Subscription*",Xero_Raw!$A$4:$A$5003,"&gt;="&amp;DATE(2027,3,1),Xero_Raw!$A$4:$A$5003,"&lt;"&amp;EDATE(DATE(2027,3,1),1))+COUNTIFS(Customer_Invoices_Upload!$E$4:$E$5003,$A152,Customer_Invoices_Upload!$G$4:$G$5003,"*Subscription*",Customer_Invoices_Upload!$B$4:$B$5003,"&gt;="&amp;DATE(2027,3,1),Customer_Invoices_Upload!$B$4:$B$5003,"&lt;"&amp;EDATE(DATE(2027,3,1),1))+COUNTIFS(Stripe_Invoices_Upload!$D$4:$D$5003,$A152,Stripe_Invoices_Upload!$E$4:$E$5003,"*Subscription*",Stripe_Invoices_Upload!$A$4:$A$5003,"&gt;="&amp;DATE(2027,3,1),Stripe_Invoices_Upload!$A$4:$A$5003,"&lt;"&amp;EDATE(DATE(2027,3,1),1)))&gt;0,"✓ Invoiced","⚠ Due"),""),""))</f>
        <v/>
      </c>
    </row>
    <row r="153" customFormat="false" ht="15" hidden="false" customHeight="false" outlineLevel="0" collapsed="false">
      <c r="A153" s="39"/>
      <c r="B153" s="39"/>
      <c r="C153" s="40"/>
      <c r="D153" s="39"/>
      <c r="E153" s="38"/>
      <c r="F153" s="129" t="str">
        <f aca="true">IF($A153="","",EDATE($E153,DATEDIF($E153,TODAY(),"m")+1))</f>
        <v/>
      </c>
      <c r="G153" s="130" t="str">
        <f aca="false">IF($A153="","",IF((DATE(YEAR($E153),MONTH($E153),1)&lt;=DATE(2026,4,1)),IF((MOD(DATEDIF(DATE(YEAR($E153),MONTH($E153),1),DATE(2026,4,1),"m"),IF($D153="Quarterly",3,IF($D153="Annual",12,1)))=0),IF((COUNTIFS(Xero_Raw!$D$4:$D$5003,$A153,Xero_Raw!$G$4:$G$5003,"*Subscription*",Xero_Raw!$A$4:$A$5003,"&gt;="&amp;DATE(2026,4,1),Xero_Raw!$A$4:$A$5003,"&lt;"&amp;EDATE(DATE(2026,4,1),1))+COUNTIFS(Customer_Invoices_Upload!$E$4:$E$5003,$A153,Customer_Invoices_Upload!$G$4:$G$5003,"*Subscription*",Customer_Invoices_Upload!$B$4:$B$5003,"&gt;="&amp;DATE(2026,4,1),Customer_Invoices_Upload!$B$4:$B$5003,"&lt;"&amp;EDATE(DATE(2026,4,1),1))+COUNTIFS(Stripe_Invoices_Upload!$D$4:$D$5003,$A153,Stripe_Invoices_Upload!$E$4:$E$5003,"*Subscription*",Stripe_Invoices_Upload!$A$4:$A$5003,"&gt;="&amp;DATE(2026,4,1),Stripe_Invoices_Upload!$A$4:$A$5003,"&lt;"&amp;EDATE(DATE(2026,4,1),1)))&gt;0,"✓ Invoiced","⚠ Due"),""),""))</f>
        <v/>
      </c>
      <c r="H153" s="130" t="str">
        <f aca="false">IF($A153="","",IF((DATE(YEAR($E153),MONTH($E153),1)&lt;=DATE(2026,5,1)),IF((MOD(DATEDIF(DATE(YEAR($E153),MONTH($E153),1),DATE(2026,5,1),"m"),IF($D153="Quarterly",3,IF($D153="Annual",12,1)))=0),IF((COUNTIFS(Xero_Raw!$D$4:$D$5003,$A153,Xero_Raw!$G$4:$G$5003,"*Subscription*",Xero_Raw!$A$4:$A$5003,"&gt;="&amp;DATE(2026,5,1),Xero_Raw!$A$4:$A$5003,"&lt;"&amp;EDATE(DATE(2026,5,1),1))+COUNTIFS(Customer_Invoices_Upload!$E$4:$E$5003,$A153,Customer_Invoices_Upload!$G$4:$G$5003,"*Subscription*",Customer_Invoices_Upload!$B$4:$B$5003,"&gt;="&amp;DATE(2026,5,1),Customer_Invoices_Upload!$B$4:$B$5003,"&lt;"&amp;EDATE(DATE(2026,5,1),1))+COUNTIFS(Stripe_Invoices_Upload!$D$4:$D$5003,$A153,Stripe_Invoices_Upload!$E$4:$E$5003,"*Subscription*",Stripe_Invoices_Upload!$A$4:$A$5003,"&gt;="&amp;DATE(2026,5,1),Stripe_Invoices_Upload!$A$4:$A$5003,"&lt;"&amp;EDATE(DATE(2026,5,1),1)))&gt;0,"✓ Invoiced","⚠ Due"),""),""))</f>
        <v/>
      </c>
      <c r="I153" s="130" t="str">
        <f aca="false">IF($A153="","",IF((DATE(YEAR($E153),MONTH($E153),1)&lt;=DATE(2026,6,1)),IF((MOD(DATEDIF(DATE(YEAR($E153),MONTH($E153),1),DATE(2026,6,1),"m"),IF($D153="Quarterly",3,IF($D153="Annual",12,1)))=0),IF((COUNTIFS(Xero_Raw!$D$4:$D$5003,$A153,Xero_Raw!$G$4:$G$5003,"*Subscription*",Xero_Raw!$A$4:$A$5003,"&gt;="&amp;DATE(2026,6,1),Xero_Raw!$A$4:$A$5003,"&lt;"&amp;EDATE(DATE(2026,6,1),1))+COUNTIFS(Customer_Invoices_Upload!$E$4:$E$5003,$A153,Customer_Invoices_Upload!$G$4:$G$5003,"*Subscription*",Customer_Invoices_Upload!$B$4:$B$5003,"&gt;="&amp;DATE(2026,6,1),Customer_Invoices_Upload!$B$4:$B$5003,"&lt;"&amp;EDATE(DATE(2026,6,1),1))+COUNTIFS(Stripe_Invoices_Upload!$D$4:$D$5003,$A153,Stripe_Invoices_Upload!$E$4:$E$5003,"*Subscription*",Stripe_Invoices_Upload!$A$4:$A$5003,"&gt;="&amp;DATE(2026,6,1),Stripe_Invoices_Upload!$A$4:$A$5003,"&lt;"&amp;EDATE(DATE(2026,6,1),1)))&gt;0,"✓ Invoiced","⚠ Due"),""),""))</f>
        <v/>
      </c>
      <c r="J153" s="130" t="str">
        <f aca="false">IF($A153="","",IF((DATE(YEAR($E153),MONTH($E153),1)&lt;=DATE(2026,7,1)),IF((MOD(DATEDIF(DATE(YEAR($E153),MONTH($E153),1),DATE(2026,7,1),"m"),IF($D153="Quarterly",3,IF($D153="Annual",12,1)))=0),IF((COUNTIFS(Xero_Raw!$D$4:$D$5003,$A153,Xero_Raw!$G$4:$G$5003,"*Subscription*",Xero_Raw!$A$4:$A$5003,"&gt;="&amp;DATE(2026,7,1),Xero_Raw!$A$4:$A$5003,"&lt;"&amp;EDATE(DATE(2026,7,1),1))+COUNTIFS(Customer_Invoices_Upload!$E$4:$E$5003,$A153,Customer_Invoices_Upload!$G$4:$G$5003,"*Subscription*",Customer_Invoices_Upload!$B$4:$B$5003,"&gt;="&amp;DATE(2026,7,1),Customer_Invoices_Upload!$B$4:$B$5003,"&lt;"&amp;EDATE(DATE(2026,7,1),1))+COUNTIFS(Stripe_Invoices_Upload!$D$4:$D$5003,$A153,Stripe_Invoices_Upload!$E$4:$E$5003,"*Subscription*",Stripe_Invoices_Upload!$A$4:$A$5003,"&gt;="&amp;DATE(2026,7,1),Stripe_Invoices_Upload!$A$4:$A$5003,"&lt;"&amp;EDATE(DATE(2026,7,1),1)))&gt;0,"✓ Invoiced","⚠ Due"),""),""))</f>
        <v/>
      </c>
      <c r="K153" s="130" t="str">
        <f aca="false">IF($A153="","",IF((DATE(YEAR($E153),MONTH($E153),1)&lt;=DATE(2026,8,1)),IF((MOD(DATEDIF(DATE(YEAR($E153),MONTH($E153),1),DATE(2026,8,1),"m"),IF($D153="Quarterly",3,IF($D153="Annual",12,1)))=0),IF((COUNTIFS(Xero_Raw!$D$4:$D$5003,$A153,Xero_Raw!$G$4:$G$5003,"*Subscription*",Xero_Raw!$A$4:$A$5003,"&gt;="&amp;DATE(2026,8,1),Xero_Raw!$A$4:$A$5003,"&lt;"&amp;EDATE(DATE(2026,8,1),1))+COUNTIFS(Customer_Invoices_Upload!$E$4:$E$5003,$A153,Customer_Invoices_Upload!$G$4:$G$5003,"*Subscription*",Customer_Invoices_Upload!$B$4:$B$5003,"&gt;="&amp;DATE(2026,8,1),Customer_Invoices_Upload!$B$4:$B$5003,"&lt;"&amp;EDATE(DATE(2026,8,1),1))+COUNTIFS(Stripe_Invoices_Upload!$D$4:$D$5003,$A153,Stripe_Invoices_Upload!$E$4:$E$5003,"*Subscription*",Stripe_Invoices_Upload!$A$4:$A$5003,"&gt;="&amp;DATE(2026,8,1),Stripe_Invoices_Upload!$A$4:$A$5003,"&lt;"&amp;EDATE(DATE(2026,8,1),1)))&gt;0,"✓ Invoiced","⚠ Due"),""),""))</f>
        <v/>
      </c>
      <c r="L153" s="130" t="str">
        <f aca="false">IF($A153="","",IF((DATE(YEAR($E153),MONTH($E153),1)&lt;=DATE(2026,9,1)),IF((MOD(DATEDIF(DATE(YEAR($E153),MONTH($E153),1),DATE(2026,9,1),"m"),IF($D153="Quarterly",3,IF($D153="Annual",12,1)))=0),IF((COUNTIFS(Xero_Raw!$D$4:$D$5003,$A153,Xero_Raw!$G$4:$G$5003,"*Subscription*",Xero_Raw!$A$4:$A$5003,"&gt;="&amp;DATE(2026,9,1),Xero_Raw!$A$4:$A$5003,"&lt;"&amp;EDATE(DATE(2026,9,1),1))+COUNTIFS(Customer_Invoices_Upload!$E$4:$E$5003,$A153,Customer_Invoices_Upload!$G$4:$G$5003,"*Subscription*",Customer_Invoices_Upload!$B$4:$B$5003,"&gt;="&amp;DATE(2026,9,1),Customer_Invoices_Upload!$B$4:$B$5003,"&lt;"&amp;EDATE(DATE(2026,9,1),1))+COUNTIFS(Stripe_Invoices_Upload!$D$4:$D$5003,$A153,Stripe_Invoices_Upload!$E$4:$E$5003,"*Subscription*",Stripe_Invoices_Upload!$A$4:$A$5003,"&gt;="&amp;DATE(2026,9,1),Stripe_Invoices_Upload!$A$4:$A$5003,"&lt;"&amp;EDATE(DATE(2026,9,1),1)))&gt;0,"✓ Invoiced","⚠ Due"),""),""))</f>
        <v/>
      </c>
      <c r="M153" s="130" t="str">
        <f aca="false">IF($A153="","",IF((DATE(YEAR($E153),MONTH($E153),1)&lt;=DATE(2026,10,1)),IF((MOD(DATEDIF(DATE(YEAR($E153),MONTH($E153),1),DATE(2026,10,1),"m"),IF($D153="Quarterly",3,IF($D153="Annual",12,1)))=0),IF((COUNTIFS(Xero_Raw!$D$4:$D$5003,$A153,Xero_Raw!$G$4:$G$5003,"*Subscription*",Xero_Raw!$A$4:$A$5003,"&gt;="&amp;DATE(2026,10,1),Xero_Raw!$A$4:$A$5003,"&lt;"&amp;EDATE(DATE(2026,10,1),1))+COUNTIFS(Customer_Invoices_Upload!$E$4:$E$5003,$A153,Customer_Invoices_Upload!$G$4:$G$5003,"*Subscription*",Customer_Invoices_Upload!$B$4:$B$5003,"&gt;="&amp;DATE(2026,10,1),Customer_Invoices_Upload!$B$4:$B$5003,"&lt;"&amp;EDATE(DATE(2026,10,1),1))+COUNTIFS(Stripe_Invoices_Upload!$D$4:$D$5003,$A153,Stripe_Invoices_Upload!$E$4:$E$5003,"*Subscription*",Stripe_Invoices_Upload!$A$4:$A$5003,"&gt;="&amp;DATE(2026,10,1),Stripe_Invoices_Upload!$A$4:$A$5003,"&lt;"&amp;EDATE(DATE(2026,10,1),1)))&gt;0,"✓ Invoiced","⚠ Due"),""),""))</f>
        <v/>
      </c>
      <c r="N153" s="130" t="str">
        <f aca="false">IF($A153="","",IF((DATE(YEAR($E153),MONTH($E153),1)&lt;=DATE(2026,11,1)),IF((MOD(DATEDIF(DATE(YEAR($E153),MONTH($E153),1),DATE(2026,11,1),"m"),IF($D153="Quarterly",3,IF($D153="Annual",12,1)))=0),IF((COUNTIFS(Xero_Raw!$D$4:$D$5003,$A153,Xero_Raw!$G$4:$G$5003,"*Subscription*",Xero_Raw!$A$4:$A$5003,"&gt;="&amp;DATE(2026,11,1),Xero_Raw!$A$4:$A$5003,"&lt;"&amp;EDATE(DATE(2026,11,1),1))+COUNTIFS(Customer_Invoices_Upload!$E$4:$E$5003,$A153,Customer_Invoices_Upload!$G$4:$G$5003,"*Subscription*",Customer_Invoices_Upload!$B$4:$B$5003,"&gt;="&amp;DATE(2026,11,1),Customer_Invoices_Upload!$B$4:$B$5003,"&lt;"&amp;EDATE(DATE(2026,11,1),1))+COUNTIFS(Stripe_Invoices_Upload!$D$4:$D$5003,$A153,Stripe_Invoices_Upload!$E$4:$E$5003,"*Subscription*",Stripe_Invoices_Upload!$A$4:$A$5003,"&gt;="&amp;DATE(2026,11,1),Stripe_Invoices_Upload!$A$4:$A$5003,"&lt;"&amp;EDATE(DATE(2026,11,1),1)))&gt;0,"✓ Invoiced","⚠ Due"),""),""))</f>
        <v/>
      </c>
      <c r="O153" s="130" t="str">
        <f aca="false">IF($A153="","",IF((DATE(YEAR($E153),MONTH($E153),1)&lt;=DATE(2026,12,1)),IF((MOD(DATEDIF(DATE(YEAR($E153),MONTH($E153),1),DATE(2026,12,1),"m"),IF($D153="Quarterly",3,IF($D153="Annual",12,1)))=0),IF((COUNTIFS(Xero_Raw!$D$4:$D$5003,$A153,Xero_Raw!$G$4:$G$5003,"*Subscription*",Xero_Raw!$A$4:$A$5003,"&gt;="&amp;DATE(2026,12,1),Xero_Raw!$A$4:$A$5003,"&lt;"&amp;EDATE(DATE(2026,12,1),1))+COUNTIFS(Customer_Invoices_Upload!$E$4:$E$5003,$A153,Customer_Invoices_Upload!$G$4:$G$5003,"*Subscription*",Customer_Invoices_Upload!$B$4:$B$5003,"&gt;="&amp;DATE(2026,12,1),Customer_Invoices_Upload!$B$4:$B$5003,"&lt;"&amp;EDATE(DATE(2026,12,1),1))+COUNTIFS(Stripe_Invoices_Upload!$D$4:$D$5003,$A153,Stripe_Invoices_Upload!$E$4:$E$5003,"*Subscription*",Stripe_Invoices_Upload!$A$4:$A$5003,"&gt;="&amp;DATE(2026,12,1),Stripe_Invoices_Upload!$A$4:$A$5003,"&lt;"&amp;EDATE(DATE(2026,12,1),1)))&gt;0,"✓ Invoiced","⚠ Due"),""),""))</f>
        <v/>
      </c>
      <c r="P153" s="130" t="str">
        <f aca="false">IF($A153="","",IF((DATE(YEAR($E153),MONTH($E153),1)&lt;=DATE(2027,1,1)),IF((MOD(DATEDIF(DATE(YEAR($E153),MONTH($E153),1),DATE(2027,1,1),"m"),IF($D153="Quarterly",3,IF($D153="Annual",12,1)))=0),IF((COUNTIFS(Xero_Raw!$D$4:$D$5003,$A153,Xero_Raw!$G$4:$G$5003,"*Subscription*",Xero_Raw!$A$4:$A$5003,"&gt;="&amp;DATE(2027,1,1),Xero_Raw!$A$4:$A$5003,"&lt;"&amp;EDATE(DATE(2027,1,1),1))+COUNTIFS(Customer_Invoices_Upload!$E$4:$E$5003,$A153,Customer_Invoices_Upload!$G$4:$G$5003,"*Subscription*",Customer_Invoices_Upload!$B$4:$B$5003,"&gt;="&amp;DATE(2027,1,1),Customer_Invoices_Upload!$B$4:$B$5003,"&lt;"&amp;EDATE(DATE(2027,1,1),1))+COUNTIFS(Stripe_Invoices_Upload!$D$4:$D$5003,$A153,Stripe_Invoices_Upload!$E$4:$E$5003,"*Subscription*",Stripe_Invoices_Upload!$A$4:$A$5003,"&gt;="&amp;DATE(2027,1,1),Stripe_Invoices_Upload!$A$4:$A$5003,"&lt;"&amp;EDATE(DATE(2027,1,1),1)))&gt;0,"✓ Invoiced","⚠ Due"),""),""))</f>
        <v/>
      </c>
      <c r="Q153" s="130" t="str">
        <f aca="false">IF($A153="","",IF((DATE(YEAR($E153),MONTH($E153),1)&lt;=DATE(2027,2,1)),IF((MOD(DATEDIF(DATE(YEAR($E153),MONTH($E153),1),DATE(2027,2,1),"m"),IF($D153="Quarterly",3,IF($D153="Annual",12,1)))=0),IF((COUNTIFS(Xero_Raw!$D$4:$D$5003,$A153,Xero_Raw!$G$4:$G$5003,"*Subscription*",Xero_Raw!$A$4:$A$5003,"&gt;="&amp;DATE(2027,2,1),Xero_Raw!$A$4:$A$5003,"&lt;"&amp;EDATE(DATE(2027,2,1),1))+COUNTIFS(Customer_Invoices_Upload!$E$4:$E$5003,$A153,Customer_Invoices_Upload!$G$4:$G$5003,"*Subscription*",Customer_Invoices_Upload!$B$4:$B$5003,"&gt;="&amp;DATE(2027,2,1),Customer_Invoices_Upload!$B$4:$B$5003,"&lt;"&amp;EDATE(DATE(2027,2,1),1))+COUNTIFS(Stripe_Invoices_Upload!$D$4:$D$5003,$A153,Stripe_Invoices_Upload!$E$4:$E$5003,"*Subscription*",Stripe_Invoices_Upload!$A$4:$A$5003,"&gt;="&amp;DATE(2027,2,1),Stripe_Invoices_Upload!$A$4:$A$5003,"&lt;"&amp;EDATE(DATE(2027,2,1),1)))&gt;0,"✓ Invoiced","⚠ Due"),""),""))</f>
        <v/>
      </c>
      <c r="R153" s="130" t="str">
        <f aca="false">IF($A153="","",IF((DATE(YEAR($E153),MONTH($E153),1)&lt;=DATE(2027,3,1)),IF((MOD(DATEDIF(DATE(YEAR($E153),MONTH($E153),1),DATE(2027,3,1),"m"),IF($D153="Quarterly",3,IF($D153="Annual",12,1)))=0),IF((COUNTIFS(Xero_Raw!$D$4:$D$5003,$A153,Xero_Raw!$G$4:$G$5003,"*Subscription*",Xero_Raw!$A$4:$A$5003,"&gt;="&amp;DATE(2027,3,1),Xero_Raw!$A$4:$A$5003,"&lt;"&amp;EDATE(DATE(2027,3,1),1))+COUNTIFS(Customer_Invoices_Upload!$E$4:$E$5003,$A153,Customer_Invoices_Upload!$G$4:$G$5003,"*Subscription*",Customer_Invoices_Upload!$B$4:$B$5003,"&gt;="&amp;DATE(2027,3,1),Customer_Invoices_Upload!$B$4:$B$5003,"&lt;"&amp;EDATE(DATE(2027,3,1),1))+COUNTIFS(Stripe_Invoices_Upload!$D$4:$D$5003,$A153,Stripe_Invoices_Upload!$E$4:$E$5003,"*Subscription*",Stripe_Invoices_Upload!$A$4:$A$5003,"&gt;="&amp;DATE(2027,3,1),Stripe_Invoices_Upload!$A$4:$A$5003,"&lt;"&amp;EDATE(DATE(2027,3,1),1)))&gt;0,"✓ Invoiced","⚠ Due"),""),""))</f>
        <v/>
      </c>
    </row>
    <row r="154" customFormat="false" ht="15" hidden="false" customHeight="false" outlineLevel="0" collapsed="false">
      <c r="A154" s="39"/>
      <c r="B154" s="39"/>
      <c r="C154" s="40"/>
      <c r="D154" s="39"/>
      <c r="E154" s="38"/>
      <c r="F154" s="129" t="str">
        <f aca="true">IF($A154="","",EDATE($E154,DATEDIF($E154,TODAY(),"m")+1))</f>
        <v/>
      </c>
      <c r="G154" s="130" t="str">
        <f aca="false">IF($A154="","",IF((DATE(YEAR($E154),MONTH($E154),1)&lt;=DATE(2026,4,1)),IF((MOD(DATEDIF(DATE(YEAR($E154),MONTH($E154),1),DATE(2026,4,1),"m"),IF($D154="Quarterly",3,IF($D154="Annual",12,1)))=0),IF((COUNTIFS(Xero_Raw!$D$4:$D$5003,$A154,Xero_Raw!$G$4:$G$5003,"*Subscription*",Xero_Raw!$A$4:$A$5003,"&gt;="&amp;DATE(2026,4,1),Xero_Raw!$A$4:$A$5003,"&lt;"&amp;EDATE(DATE(2026,4,1),1))+COUNTIFS(Customer_Invoices_Upload!$E$4:$E$5003,$A154,Customer_Invoices_Upload!$G$4:$G$5003,"*Subscription*",Customer_Invoices_Upload!$B$4:$B$5003,"&gt;="&amp;DATE(2026,4,1),Customer_Invoices_Upload!$B$4:$B$5003,"&lt;"&amp;EDATE(DATE(2026,4,1),1))+COUNTIFS(Stripe_Invoices_Upload!$D$4:$D$5003,$A154,Stripe_Invoices_Upload!$E$4:$E$5003,"*Subscription*",Stripe_Invoices_Upload!$A$4:$A$5003,"&gt;="&amp;DATE(2026,4,1),Stripe_Invoices_Upload!$A$4:$A$5003,"&lt;"&amp;EDATE(DATE(2026,4,1),1)))&gt;0,"✓ Invoiced","⚠ Due"),""),""))</f>
        <v/>
      </c>
      <c r="H154" s="130" t="str">
        <f aca="false">IF($A154="","",IF((DATE(YEAR($E154),MONTH($E154),1)&lt;=DATE(2026,5,1)),IF((MOD(DATEDIF(DATE(YEAR($E154),MONTH($E154),1),DATE(2026,5,1),"m"),IF($D154="Quarterly",3,IF($D154="Annual",12,1)))=0),IF((COUNTIFS(Xero_Raw!$D$4:$D$5003,$A154,Xero_Raw!$G$4:$G$5003,"*Subscription*",Xero_Raw!$A$4:$A$5003,"&gt;="&amp;DATE(2026,5,1),Xero_Raw!$A$4:$A$5003,"&lt;"&amp;EDATE(DATE(2026,5,1),1))+COUNTIFS(Customer_Invoices_Upload!$E$4:$E$5003,$A154,Customer_Invoices_Upload!$G$4:$G$5003,"*Subscription*",Customer_Invoices_Upload!$B$4:$B$5003,"&gt;="&amp;DATE(2026,5,1),Customer_Invoices_Upload!$B$4:$B$5003,"&lt;"&amp;EDATE(DATE(2026,5,1),1))+COUNTIFS(Stripe_Invoices_Upload!$D$4:$D$5003,$A154,Stripe_Invoices_Upload!$E$4:$E$5003,"*Subscription*",Stripe_Invoices_Upload!$A$4:$A$5003,"&gt;="&amp;DATE(2026,5,1),Stripe_Invoices_Upload!$A$4:$A$5003,"&lt;"&amp;EDATE(DATE(2026,5,1),1)))&gt;0,"✓ Invoiced","⚠ Due"),""),""))</f>
        <v/>
      </c>
      <c r="I154" s="130" t="str">
        <f aca="false">IF($A154="","",IF((DATE(YEAR($E154),MONTH($E154),1)&lt;=DATE(2026,6,1)),IF((MOD(DATEDIF(DATE(YEAR($E154),MONTH($E154),1),DATE(2026,6,1),"m"),IF($D154="Quarterly",3,IF($D154="Annual",12,1)))=0),IF((COUNTIFS(Xero_Raw!$D$4:$D$5003,$A154,Xero_Raw!$G$4:$G$5003,"*Subscription*",Xero_Raw!$A$4:$A$5003,"&gt;="&amp;DATE(2026,6,1),Xero_Raw!$A$4:$A$5003,"&lt;"&amp;EDATE(DATE(2026,6,1),1))+COUNTIFS(Customer_Invoices_Upload!$E$4:$E$5003,$A154,Customer_Invoices_Upload!$G$4:$G$5003,"*Subscription*",Customer_Invoices_Upload!$B$4:$B$5003,"&gt;="&amp;DATE(2026,6,1),Customer_Invoices_Upload!$B$4:$B$5003,"&lt;"&amp;EDATE(DATE(2026,6,1),1))+COUNTIFS(Stripe_Invoices_Upload!$D$4:$D$5003,$A154,Stripe_Invoices_Upload!$E$4:$E$5003,"*Subscription*",Stripe_Invoices_Upload!$A$4:$A$5003,"&gt;="&amp;DATE(2026,6,1),Stripe_Invoices_Upload!$A$4:$A$5003,"&lt;"&amp;EDATE(DATE(2026,6,1),1)))&gt;0,"✓ Invoiced","⚠ Due"),""),""))</f>
        <v/>
      </c>
      <c r="J154" s="130" t="str">
        <f aca="false">IF($A154="","",IF((DATE(YEAR($E154),MONTH($E154),1)&lt;=DATE(2026,7,1)),IF((MOD(DATEDIF(DATE(YEAR($E154),MONTH($E154),1),DATE(2026,7,1),"m"),IF($D154="Quarterly",3,IF($D154="Annual",12,1)))=0),IF((COUNTIFS(Xero_Raw!$D$4:$D$5003,$A154,Xero_Raw!$G$4:$G$5003,"*Subscription*",Xero_Raw!$A$4:$A$5003,"&gt;="&amp;DATE(2026,7,1),Xero_Raw!$A$4:$A$5003,"&lt;"&amp;EDATE(DATE(2026,7,1),1))+COUNTIFS(Customer_Invoices_Upload!$E$4:$E$5003,$A154,Customer_Invoices_Upload!$G$4:$G$5003,"*Subscription*",Customer_Invoices_Upload!$B$4:$B$5003,"&gt;="&amp;DATE(2026,7,1),Customer_Invoices_Upload!$B$4:$B$5003,"&lt;"&amp;EDATE(DATE(2026,7,1),1))+COUNTIFS(Stripe_Invoices_Upload!$D$4:$D$5003,$A154,Stripe_Invoices_Upload!$E$4:$E$5003,"*Subscription*",Stripe_Invoices_Upload!$A$4:$A$5003,"&gt;="&amp;DATE(2026,7,1),Stripe_Invoices_Upload!$A$4:$A$5003,"&lt;"&amp;EDATE(DATE(2026,7,1),1)))&gt;0,"✓ Invoiced","⚠ Due"),""),""))</f>
        <v/>
      </c>
      <c r="K154" s="130" t="str">
        <f aca="false">IF($A154="","",IF((DATE(YEAR($E154),MONTH($E154),1)&lt;=DATE(2026,8,1)),IF((MOD(DATEDIF(DATE(YEAR($E154),MONTH($E154),1),DATE(2026,8,1),"m"),IF($D154="Quarterly",3,IF($D154="Annual",12,1)))=0),IF((COUNTIFS(Xero_Raw!$D$4:$D$5003,$A154,Xero_Raw!$G$4:$G$5003,"*Subscription*",Xero_Raw!$A$4:$A$5003,"&gt;="&amp;DATE(2026,8,1),Xero_Raw!$A$4:$A$5003,"&lt;"&amp;EDATE(DATE(2026,8,1),1))+COUNTIFS(Customer_Invoices_Upload!$E$4:$E$5003,$A154,Customer_Invoices_Upload!$G$4:$G$5003,"*Subscription*",Customer_Invoices_Upload!$B$4:$B$5003,"&gt;="&amp;DATE(2026,8,1),Customer_Invoices_Upload!$B$4:$B$5003,"&lt;"&amp;EDATE(DATE(2026,8,1),1))+COUNTIFS(Stripe_Invoices_Upload!$D$4:$D$5003,$A154,Stripe_Invoices_Upload!$E$4:$E$5003,"*Subscription*",Stripe_Invoices_Upload!$A$4:$A$5003,"&gt;="&amp;DATE(2026,8,1),Stripe_Invoices_Upload!$A$4:$A$5003,"&lt;"&amp;EDATE(DATE(2026,8,1),1)))&gt;0,"✓ Invoiced","⚠ Due"),""),""))</f>
        <v/>
      </c>
      <c r="L154" s="130" t="str">
        <f aca="false">IF($A154="","",IF((DATE(YEAR($E154),MONTH($E154),1)&lt;=DATE(2026,9,1)),IF((MOD(DATEDIF(DATE(YEAR($E154),MONTH($E154),1),DATE(2026,9,1),"m"),IF($D154="Quarterly",3,IF($D154="Annual",12,1)))=0),IF((COUNTIFS(Xero_Raw!$D$4:$D$5003,$A154,Xero_Raw!$G$4:$G$5003,"*Subscription*",Xero_Raw!$A$4:$A$5003,"&gt;="&amp;DATE(2026,9,1),Xero_Raw!$A$4:$A$5003,"&lt;"&amp;EDATE(DATE(2026,9,1),1))+COUNTIFS(Customer_Invoices_Upload!$E$4:$E$5003,$A154,Customer_Invoices_Upload!$G$4:$G$5003,"*Subscription*",Customer_Invoices_Upload!$B$4:$B$5003,"&gt;="&amp;DATE(2026,9,1),Customer_Invoices_Upload!$B$4:$B$5003,"&lt;"&amp;EDATE(DATE(2026,9,1),1))+COUNTIFS(Stripe_Invoices_Upload!$D$4:$D$5003,$A154,Stripe_Invoices_Upload!$E$4:$E$5003,"*Subscription*",Stripe_Invoices_Upload!$A$4:$A$5003,"&gt;="&amp;DATE(2026,9,1),Stripe_Invoices_Upload!$A$4:$A$5003,"&lt;"&amp;EDATE(DATE(2026,9,1),1)))&gt;0,"✓ Invoiced","⚠ Due"),""),""))</f>
        <v/>
      </c>
      <c r="M154" s="130" t="str">
        <f aca="false">IF($A154="","",IF((DATE(YEAR($E154),MONTH($E154),1)&lt;=DATE(2026,10,1)),IF((MOD(DATEDIF(DATE(YEAR($E154),MONTH($E154),1),DATE(2026,10,1),"m"),IF($D154="Quarterly",3,IF($D154="Annual",12,1)))=0),IF((COUNTIFS(Xero_Raw!$D$4:$D$5003,$A154,Xero_Raw!$G$4:$G$5003,"*Subscription*",Xero_Raw!$A$4:$A$5003,"&gt;="&amp;DATE(2026,10,1),Xero_Raw!$A$4:$A$5003,"&lt;"&amp;EDATE(DATE(2026,10,1),1))+COUNTIFS(Customer_Invoices_Upload!$E$4:$E$5003,$A154,Customer_Invoices_Upload!$G$4:$G$5003,"*Subscription*",Customer_Invoices_Upload!$B$4:$B$5003,"&gt;="&amp;DATE(2026,10,1),Customer_Invoices_Upload!$B$4:$B$5003,"&lt;"&amp;EDATE(DATE(2026,10,1),1))+COUNTIFS(Stripe_Invoices_Upload!$D$4:$D$5003,$A154,Stripe_Invoices_Upload!$E$4:$E$5003,"*Subscription*",Stripe_Invoices_Upload!$A$4:$A$5003,"&gt;="&amp;DATE(2026,10,1),Stripe_Invoices_Upload!$A$4:$A$5003,"&lt;"&amp;EDATE(DATE(2026,10,1),1)))&gt;0,"✓ Invoiced","⚠ Due"),""),""))</f>
        <v/>
      </c>
      <c r="N154" s="130" t="str">
        <f aca="false">IF($A154="","",IF((DATE(YEAR($E154),MONTH($E154),1)&lt;=DATE(2026,11,1)),IF((MOD(DATEDIF(DATE(YEAR($E154),MONTH($E154),1),DATE(2026,11,1),"m"),IF($D154="Quarterly",3,IF($D154="Annual",12,1)))=0),IF((COUNTIFS(Xero_Raw!$D$4:$D$5003,$A154,Xero_Raw!$G$4:$G$5003,"*Subscription*",Xero_Raw!$A$4:$A$5003,"&gt;="&amp;DATE(2026,11,1),Xero_Raw!$A$4:$A$5003,"&lt;"&amp;EDATE(DATE(2026,11,1),1))+COUNTIFS(Customer_Invoices_Upload!$E$4:$E$5003,$A154,Customer_Invoices_Upload!$G$4:$G$5003,"*Subscription*",Customer_Invoices_Upload!$B$4:$B$5003,"&gt;="&amp;DATE(2026,11,1),Customer_Invoices_Upload!$B$4:$B$5003,"&lt;"&amp;EDATE(DATE(2026,11,1),1))+COUNTIFS(Stripe_Invoices_Upload!$D$4:$D$5003,$A154,Stripe_Invoices_Upload!$E$4:$E$5003,"*Subscription*",Stripe_Invoices_Upload!$A$4:$A$5003,"&gt;="&amp;DATE(2026,11,1),Stripe_Invoices_Upload!$A$4:$A$5003,"&lt;"&amp;EDATE(DATE(2026,11,1),1)))&gt;0,"✓ Invoiced","⚠ Due"),""),""))</f>
        <v/>
      </c>
      <c r="O154" s="130" t="str">
        <f aca="false">IF($A154="","",IF((DATE(YEAR($E154),MONTH($E154),1)&lt;=DATE(2026,12,1)),IF((MOD(DATEDIF(DATE(YEAR($E154),MONTH($E154),1),DATE(2026,12,1),"m"),IF($D154="Quarterly",3,IF($D154="Annual",12,1)))=0),IF((COUNTIFS(Xero_Raw!$D$4:$D$5003,$A154,Xero_Raw!$G$4:$G$5003,"*Subscription*",Xero_Raw!$A$4:$A$5003,"&gt;="&amp;DATE(2026,12,1),Xero_Raw!$A$4:$A$5003,"&lt;"&amp;EDATE(DATE(2026,12,1),1))+COUNTIFS(Customer_Invoices_Upload!$E$4:$E$5003,$A154,Customer_Invoices_Upload!$G$4:$G$5003,"*Subscription*",Customer_Invoices_Upload!$B$4:$B$5003,"&gt;="&amp;DATE(2026,12,1),Customer_Invoices_Upload!$B$4:$B$5003,"&lt;"&amp;EDATE(DATE(2026,12,1),1))+COUNTIFS(Stripe_Invoices_Upload!$D$4:$D$5003,$A154,Stripe_Invoices_Upload!$E$4:$E$5003,"*Subscription*",Stripe_Invoices_Upload!$A$4:$A$5003,"&gt;="&amp;DATE(2026,12,1),Stripe_Invoices_Upload!$A$4:$A$5003,"&lt;"&amp;EDATE(DATE(2026,12,1),1)))&gt;0,"✓ Invoiced","⚠ Due"),""),""))</f>
        <v/>
      </c>
      <c r="P154" s="130" t="str">
        <f aca="false">IF($A154="","",IF((DATE(YEAR($E154),MONTH($E154),1)&lt;=DATE(2027,1,1)),IF((MOD(DATEDIF(DATE(YEAR($E154),MONTH($E154),1),DATE(2027,1,1),"m"),IF($D154="Quarterly",3,IF($D154="Annual",12,1)))=0),IF((COUNTIFS(Xero_Raw!$D$4:$D$5003,$A154,Xero_Raw!$G$4:$G$5003,"*Subscription*",Xero_Raw!$A$4:$A$5003,"&gt;="&amp;DATE(2027,1,1),Xero_Raw!$A$4:$A$5003,"&lt;"&amp;EDATE(DATE(2027,1,1),1))+COUNTIFS(Customer_Invoices_Upload!$E$4:$E$5003,$A154,Customer_Invoices_Upload!$G$4:$G$5003,"*Subscription*",Customer_Invoices_Upload!$B$4:$B$5003,"&gt;="&amp;DATE(2027,1,1),Customer_Invoices_Upload!$B$4:$B$5003,"&lt;"&amp;EDATE(DATE(2027,1,1),1))+COUNTIFS(Stripe_Invoices_Upload!$D$4:$D$5003,$A154,Stripe_Invoices_Upload!$E$4:$E$5003,"*Subscription*",Stripe_Invoices_Upload!$A$4:$A$5003,"&gt;="&amp;DATE(2027,1,1),Stripe_Invoices_Upload!$A$4:$A$5003,"&lt;"&amp;EDATE(DATE(2027,1,1),1)))&gt;0,"✓ Invoiced","⚠ Due"),""),""))</f>
        <v/>
      </c>
      <c r="Q154" s="130" t="str">
        <f aca="false">IF($A154="","",IF((DATE(YEAR($E154),MONTH($E154),1)&lt;=DATE(2027,2,1)),IF((MOD(DATEDIF(DATE(YEAR($E154),MONTH($E154),1),DATE(2027,2,1),"m"),IF($D154="Quarterly",3,IF($D154="Annual",12,1)))=0),IF((COUNTIFS(Xero_Raw!$D$4:$D$5003,$A154,Xero_Raw!$G$4:$G$5003,"*Subscription*",Xero_Raw!$A$4:$A$5003,"&gt;="&amp;DATE(2027,2,1),Xero_Raw!$A$4:$A$5003,"&lt;"&amp;EDATE(DATE(2027,2,1),1))+COUNTIFS(Customer_Invoices_Upload!$E$4:$E$5003,$A154,Customer_Invoices_Upload!$G$4:$G$5003,"*Subscription*",Customer_Invoices_Upload!$B$4:$B$5003,"&gt;="&amp;DATE(2027,2,1),Customer_Invoices_Upload!$B$4:$B$5003,"&lt;"&amp;EDATE(DATE(2027,2,1),1))+COUNTIFS(Stripe_Invoices_Upload!$D$4:$D$5003,$A154,Stripe_Invoices_Upload!$E$4:$E$5003,"*Subscription*",Stripe_Invoices_Upload!$A$4:$A$5003,"&gt;="&amp;DATE(2027,2,1),Stripe_Invoices_Upload!$A$4:$A$5003,"&lt;"&amp;EDATE(DATE(2027,2,1),1)))&gt;0,"✓ Invoiced","⚠ Due"),""),""))</f>
        <v/>
      </c>
      <c r="R154" s="130" t="str">
        <f aca="false">IF($A154="","",IF((DATE(YEAR($E154),MONTH($E154),1)&lt;=DATE(2027,3,1)),IF((MOD(DATEDIF(DATE(YEAR($E154),MONTH($E154),1),DATE(2027,3,1),"m"),IF($D154="Quarterly",3,IF($D154="Annual",12,1)))=0),IF((COUNTIFS(Xero_Raw!$D$4:$D$5003,$A154,Xero_Raw!$G$4:$G$5003,"*Subscription*",Xero_Raw!$A$4:$A$5003,"&gt;="&amp;DATE(2027,3,1),Xero_Raw!$A$4:$A$5003,"&lt;"&amp;EDATE(DATE(2027,3,1),1))+COUNTIFS(Customer_Invoices_Upload!$E$4:$E$5003,$A154,Customer_Invoices_Upload!$G$4:$G$5003,"*Subscription*",Customer_Invoices_Upload!$B$4:$B$5003,"&gt;="&amp;DATE(2027,3,1),Customer_Invoices_Upload!$B$4:$B$5003,"&lt;"&amp;EDATE(DATE(2027,3,1),1))+COUNTIFS(Stripe_Invoices_Upload!$D$4:$D$5003,$A154,Stripe_Invoices_Upload!$E$4:$E$5003,"*Subscription*",Stripe_Invoices_Upload!$A$4:$A$5003,"&gt;="&amp;DATE(2027,3,1),Stripe_Invoices_Upload!$A$4:$A$5003,"&lt;"&amp;EDATE(DATE(2027,3,1),1)))&gt;0,"✓ Invoiced","⚠ Due"),""),""))</f>
        <v/>
      </c>
    </row>
    <row r="155" customFormat="false" ht="15" hidden="false" customHeight="false" outlineLevel="0" collapsed="false">
      <c r="A155" s="39"/>
      <c r="B155" s="39"/>
      <c r="C155" s="40"/>
      <c r="D155" s="39"/>
      <c r="E155" s="38"/>
      <c r="F155" s="129" t="str">
        <f aca="true">IF($A155="","",EDATE($E155,DATEDIF($E155,TODAY(),"m")+1))</f>
        <v/>
      </c>
      <c r="G155" s="130" t="str">
        <f aca="false">IF($A155="","",IF((DATE(YEAR($E155),MONTH($E155),1)&lt;=DATE(2026,4,1)),IF((MOD(DATEDIF(DATE(YEAR($E155),MONTH($E155),1),DATE(2026,4,1),"m"),IF($D155="Quarterly",3,IF($D155="Annual",12,1)))=0),IF((COUNTIFS(Xero_Raw!$D$4:$D$5003,$A155,Xero_Raw!$G$4:$G$5003,"*Subscription*",Xero_Raw!$A$4:$A$5003,"&gt;="&amp;DATE(2026,4,1),Xero_Raw!$A$4:$A$5003,"&lt;"&amp;EDATE(DATE(2026,4,1),1))+COUNTIFS(Customer_Invoices_Upload!$E$4:$E$5003,$A155,Customer_Invoices_Upload!$G$4:$G$5003,"*Subscription*",Customer_Invoices_Upload!$B$4:$B$5003,"&gt;="&amp;DATE(2026,4,1),Customer_Invoices_Upload!$B$4:$B$5003,"&lt;"&amp;EDATE(DATE(2026,4,1),1))+COUNTIFS(Stripe_Invoices_Upload!$D$4:$D$5003,$A155,Stripe_Invoices_Upload!$E$4:$E$5003,"*Subscription*",Stripe_Invoices_Upload!$A$4:$A$5003,"&gt;="&amp;DATE(2026,4,1),Stripe_Invoices_Upload!$A$4:$A$5003,"&lt;"&amp;EDATE(DATE(2026,4,1),1)))&gt;0,"✓ Invoiced","⚠ Due"),""),""))</f>
        <v/>
      </c>
      <c r="H155" s="130" t="str">
        <f aca="false">IF($A155="","",IF((DATE(YEAR($E155),MONTH($E155),1)&lt;=DATE(2026,5,1)),IF((MOD(DATEDIF(DATE(YEAR($E155),MONTH($E155),1),DATE(2026,5,1),"m"),IF($D155="Quarterly",3,IF($D155="Annual",12,1)))=0),IF((COUNTIFS(Xero_Raw!$D$4:$D$5003,$A155,Xero_Raw!$G$4:$G$5003,"*Subscription*",Xero_Raw!$A$4:$A$5003,"&gt;="&amp;DATE(2026,5,1),Xero_Raw!$A$4:$A$5003,"&lt;"&amp;EDATE(DATE(2026,5,1),1))+COUNTIFS(Customer_Invoices_Upload!$E$4:$E$5003,$A155,Customer_Invoices_Upload!$G$4:$G$5003,"*Subscription*",Customer_Invoices_Upload!$B$4:$B$5003,"&gt;="&amp;DATE(2026,5,1),Customer_Invoices_Upload!$B$4:$B$5003,"&lt;"&amp;EDATE(DATE(2026,5,1),1))+COUNTIFS(Stripe_Invoices_Upload!$D$4:$D$5003,$A155,Stripe_Invoices_Upload!$E$4:$E$5003,"*Subscription*",Stripe_Invoices_Upload!$A$4:$A$5003,"&gt;="&amp;DATE(2026,5,1),Stripe_Invoices_Upload!$A$4:$A$5003,"&lt;"&amp;EDATE(DATE(2026,5,1),1)))&gt;0,"✓ Invoiced","⚠ Due"),""),""))</f>
        <v/>
      </c>
      <c r="I155" s="130" t="str">
        <f aca="false">IF($A155="","",IF((DATE(YEAR($E155),MONTH($E155),1)&lt;=DATE(2026,6,1)),IF((MOD(DATEDIF(DATE(YEAR($E155),MONTH($E155),1),DATE(2026,6,1),"m"),IF($D155="Quarterly",3,IF($D155="Annual",12,1)))=0),IF((COUNTIFS(Xero_Raw!$D$4:$D$5003,$A155,Xero_Raw!$G$4:$G$5003,"*Subscription*",Xero_Raw!$A$4:$A$5003,"&gt;="&amp;DATE(2026,6,1),Xero_Raw!$A$4:$A$5003,"&lt;"&amp;EDATE(DATE(2026,6,1),1))+COUNTIFS(Customer_Invoices_Upload!$E$4:$E$5003,$A155,Customer_Invoices_Upload!$G$4:$G$5003,"*Subscription*",Customer_Invoices_Upload!$B$4:$B$5003,"&gt;="&amp;DATE(2026,6,1),Customer_Invoices_Upload!$B$4:$B$5003,"&lt;"&amp;EDATE(DATE(2026,6,1),1))+COUNTIFS(Stripe_Invoices_Upload!$D$4:$D$5003,$A155,Stripe_Invoices_Upload!$E$4:$E$5003,"*Subscription*",Stripe_Invoices_Upload!$A$4:$A$5003,"&gt;="&amp;DATE(2026,6,1),Stripe_Invoices_Upload!$A$4:$A$5003,"&lt;"&amp;EDATE(DATE(2026,6,1),1)))&gt;0,"✓ Invoiced","⚠ Due"),""),""))</f>
        <v/>
      </c>
      <c r="J155" s="130" t="str">
        <f aca="false">IF($A155="","",IF((DATE(YEAR($E155),MONTH($E155),1)&lt;=DATE(2026,7,1)),IF((MOD(DATEDIF(DATE(YEAR($E155),MONTH($E155),1),DATE(2026,7,1),"m"),IF($D155="Quarterly",3,IF($D155="Annual",12,1)))=0),IF((COUNTIFS(Xero_Raw!$D$4:$D$5003,$A155,Xero_Raw!$G$4:$G$5003,"*Subscription*",Xero_Raw!$A$4:$A$5003,"&gt;="&amp;DATE(2026,7,1),Xero_Raw!$A$4:$A$5003,"&lt;"&amp;EDATE(DATE(2026,7,1),1))+COUNTIFS(Customer_Invoices_Upload!$E$4:$E$5003,$A155,Customer_Invoices_Upload!$G$4:$G$5003,"*Subscription*",Customer_Invoices_Upload!$B$4:$B$5003,"&gt;="&amp;DATE(2026,7,1),Customer_Invoices_Upload!$B$4:$B$5003,"&lt;"&amp;EDATE(DATE(2026,7,1),1))+COUNTIFS(Stripe_Invoices_Upload!$D$4:$D$5003,$A155,Stripe_Invoices_Upload!$E$4:$E$5003,"*Subscription*",Stripe_Invoices_Upload!$A$4:$A$5003,"&gt;="&amp;DATE(2026,7,1),Stripe_Invoices_Upload!$A$4:$A$5003,"&lt;"&amp;EDATE(DATE(2026,7,1),1)))&gt;0,"✓ Invoiced","⚠ Due"),""),""))</f>
        <v/>
      </c>
      <c r="K155" s="130" t="str">
        <f aca="false">IF($A155="","",IF((DATE(YEAR($E155),MONTH($E155),1)&lt;=DATE(2026,8,1)),IF((MOD(DATEDIF(DATE(YEAR($E155),MONTH($E155),1),DATE(2026,8,1),"m"),IF($D155="Quarterly",3,IF($D155="Annual",12,1)))=0),IF((COUNTIFS(Xero_Raw!$D$4:$D$5003,$A155,Xero_Raw!$G$4:$G$5003,"*Subscription*",Xero_Raw!$A$4:$A$5003,"&gt;="&amp;DATE(2026,8,1),Xero_Raw!$A$4:$A$5003,"&lt;"&amp;EDATE(DATE(2026,8,1),1))+COUNTIFS(Customer_Invoices_Upload!$E$4:$E$5003,$A155,Customer_Invoices_Upload!$G$4:$G$5003,"*Subscription*",Customer_Invoices_Upload!$B$4:$B$5003,"&gt;="&amp;DATE(2026,8,1),Customer_Invoices_Upload!$B$4:$B$5003,"&lt;"&amp;EDATE(DATE(2026,8,1),1))+COUNTIFS(Stripe_Invoices_Upload!$D$4:$D$5003,$A155,Stripe_Invoices_Upload!$E$4:$E$5003,"*Subscription*",Stripe_Invoices_Upload!$A$4:$A$5003,"&gt;="&amp;DATE(2026,8,1),Stripe_Invoices_Upload!$A$4:$A$5003,"&lt;"&amp;EDATE(DATE(2026,8,1),1)))&gt;0,"✓ Invoiced","⚠ Due"),""),""))</f>
        <v/>
      </c>
      <c r="L155" s="130" t="str">
        <f aca="false">IF($A155="","",IF((DATE(YEAR($E155),MONTH($E155),1)&lt;=DATE(2026,9,1)),IF((MOD(DATEDIF(DATE(YEAR($E155),MONTH($E155),1),DATE(2026,9,1),"m"),IF($D155="Quarterly",3,IF($D155="Annual",12,1)))=0),IF((COUNTIFS(Xero_Raw!$D$4:$D$5003,$A155,Xero_Raw!$G$4:$G$5003,"*Subscription*",Xero_Raw!$A$4:$A$5003,"&gt;="&amp;DATE(2026,9,1),Xero_Raw!$A$4:$A$5003,"&lt;"&amp;EDATE(DATE(2026,9,1),1))+COUNTIFS(Customer_Invoices_Upload!$E$4:$E$5003,$A155,Customer_Invoices_Upload!$G$4:$G$5003,"*Subscription*",Customer_Invoices_Upload!$B$4:$B$5003,"&gt;="&amp;DATE(2026,9,1),Customer_Invoices_Upload!$B$4:$B$5003,"&lt;"&amp;EDATE(DATE(2026,9,1),1))+COUNTIFS(Stripe_Invoices_Upload!$D$4:$D$5003,$A155,Stripe_Invoices_Upload!$E$4:$E$5003,"*Subscription*",Stripe_Invoices_Upload!$A$4:$A$5003,"&gt;="&amp;DATE(2026,9,1),Stripe_Invoices_Upload!$A$4:$A$5003,"&lt;"&amp;EDATE(DATE(2026,9,1),1)))&gt;0,"✓ Invoiced","⚠ Due"),""),""))</f>
        <v/>
      </c>
      <c r="M155" s="130" t="str">
        <f aca="false">IF($A155="","",IF((DATE(YEAR($E155),MONTH($E155),1)&lt;=DATE(2026,10,1)),IF((MOD(DATEDIF(DATE(YEAR($E155),MONTH($E155),1),DATE(2026,10,1),"m"),IF($D155="Quarterly",3,IF($D155="Annual",12,1)))=0),IF((COUNTIFS(Xero_Raw!$D$4:$D$5003,$A155,Xero_Raw!$G$4:$G$5003,"*Subscription*",Xero_Raw!$A$4:$A$5003,"&gt;="&amp;DATE(2026,10,1),Xero_Raw!$A$4:$A$5003,"&lt;"&amp;EDATE(DATE(2026,10,1),1))+COUNTIFS(Customer_Invoices_Upload!$E$4:$E$5003,$A155,Customer_Invoices_Upload!$G$4:$G$5003,"*Subscription*",Customer_Invoices_Upload!$B$4:$B$5003,"&gt;="&amp;DATE(2026,10,1),Customer_Invoices_Upload!$B$4:$B$5003,"&lt;"&amp;EDATE(DATE(2026,10,1),1))+COUNTIFS(Stripe_Invoices_Upload!$D$4:$D$5003,$A155,Stripe_Invoices_Upload!$E$4:$E$5003,"*Subscription*",Stripe_Invoices_Upload!$A$4:$A$5003,"&gt;="&amp;DATE(2026,10,1),Stripe_Invoices_Upload!$A$4:$A$5003,"&lt;"&amp;EDATE(DATE(2026,10,1),1)))&gt;0,"✓ Invoiced","⚠ Due"),""),""))</f>
        <v/>
      </c>
      <c r="N155" s="130" t="str">
        <f aca="false">IF($A155="","",IF((DATE(YEAR($E155),MONTH($E155),1)&lt;=DATE(2026,11,1)),IF((MOD(DATEDIF(DATE(YEAR($E155),MONTH($E155),1),DATE(2026,11,1),"m"),IF($D155="Quarterly",3,IF($D155="Annual",12,1)))=0),IF((COUNTIFS(Xero_Raw!$D$4:$D$5003,$A155,Xero_Raw!$G$4:$G$5003,"*Subscription*",Xero_Raw!$A$4:$A$5003,"&gt;="&amp;DATE(2026,11,1),Xero_Raw!$A$4:$A$5003,"&lt;"&amp;EDATE(DATE(2026,11,1),1))+COUNTIFS(Customer_Invoices_Upload!$E$4:$E$5003,$A155,Customer_Invoices_Upload!$G$4:$G$5003,"*Subscription*",Customer_Invoices_Upload!$B$4:$B$5003,"&gt;="&amp;DATE(2026,11,1),Customer_Invoices_Upload!$B$4:$B$5003,"&lt;"&amp;EDATE(DATE(2026,11,1),1))+COUNTIFS(Stripe_Invoices_Upload!$D$4:$D$5003,$A155,Stripe_Invoices_Upload!$E$4:$E$5003,"*Subscription*",Stripe_Invoices_Upload!$A$4:$A$5003,"&gt;="&amp;DATE(2026,11,1),Stripe_Invoices_Upload!$A$4:$A$5003,"&lt;"&amp;EDATE(DATE(2026,11,1),1)))&gt;0,"✓ Invoiced","⚠ Due"),""),""))</f>
        <v/>
      </c>
      <c r="O155" s="130" t="str">
        <f aca="false">IF($A155="","",IF((DATE(YEAR($E155),MONTH($E155),1)&lt;=DATE(2026,12,1)),IF((MOD(DATEDIF(DATE(YEAR($E155),MONTH($E155),1),DATE(2026,12,1),"m"),IF($D155="Quarterly",3,IF($D155="Annual",12,1)))=0),IF((COUNTIFS(Xero_Raw!$D$4:$D$5003,$A155,Xero_Raw!$G$4:$G$5003,"*Subscription*",Xero_Raw!$A$4:$A$5003,"&gt;="&amp;DATE(2026,12,1),Xero_Raw!$A$4:$A$5003,"&lt;"&amp;EDATE(DATE(2026,12,1),1))+COUNTIFS(Customer_Invoices_Upload!$E$4:$E$5003,$A155,Customer_Invoices_Upload!$G$4:$G$5003,"*Subscription*",Customer_Invoices_Upload!$B$4:$B$5003,"&gt;="&amp;DATE(2026,12,1),Customer_Invoices_Upload!$B$4:$B$5003,"&lt;"&amp;EDATE(DATE(2026,12,1),1))+COUNTIFS(Stripe_Invoices_Upload!$D$4:$D$5003,$A155,Stripe_Invoices_Upload!$E$4:$E$5003,"*Subscription*",Stripe_Invoices_Upload!$A$4:$A$5003,"&gt;="&amp;DATE(2026,12,1),Stripe_Invoices_Upload!$A$4:$A$5003,"&lt;"&amp;EDATE(DATE(2026,12,1),1)))&gt;0,"✓ Invoiced","⚠ Due"),""),""))</f>
        <v/>
      </c>
      <c r="P155" s="130" t="str">
        <f aca="false">IF($A155="","",IF((DATE(YEAR($E155),MONTH($E155),1)&lt;=DATE(2027,1,1)),IF((MOD(DATEDIF(DATE(YEAR($E155),MONTH($E155),1),DATE(2027,1,1),"m"),IF($D155="Quarterly",3,IF($D155="Annual",12,1)))=0),IF((COUNTIFS(Xero_Raw!$D$4:$D$5003,$A155,Xero_Raw!$G$4:$G$5003,"*Subscription*",Xero_Raw!$A$4:$A$5003,"&gt;="&amp;DATE(2027,1,1),Xero_Raw!$A$4:$A$5003,"&lt;"&amp;EDATE(DATE(2027,1,1),1))+COUNTIFS(Customer_Invoices_Upload!$E$4:$E$5003,$A155,Customer_Invoices_Upload!$G$4:$G$5003,"*Subscription*",Customer_Invoices_Upload!$B$4:$B$5003,"&gt;="&amp;DATE(2027,1,1),Customer_Invoices_Upload!$B$4:$B$5003,"&lt;"&amp;EDATE(DATE(2027,1,1),1))+COUNTIFS(Stripe_Invoices_Upload!$D$4:$D$5003,$A155,Stripe_Invoices_Upload!$E$4:$E$5003,"*Subscription*",Stripe_Invoices_Upload!$A$4:$A$5003,"&gt;="&amp;DATE(2027,1,1),Stripe_Invoices_Upload!$A$4:$A$5003,"&lt;"&amp;EDATE(DATE(2027,1,1),1)))&gt;0,"✓ Invoiced","⚠ Due"),""),""))</f>
        <v/>
      </c>
      <c r="Q155" s="130" t="str">
        <f aca="false">IF($A155="","",IF((DATE(YEAR($E155),MONTH($E155),1)&lt;=DATE(2027,2,1)),IF((MOD(DATEDIF(DATE(YEAR($E155),MONTH($E155),1),DATE(2027,2,1),"m"),IF($D155="Quarterly",3,IF($D155="Annual",12,1)))=0),IF((COUNTIFS(Xero_Raw!$D$4:$D$5003,$A155,Xero_Raw!$G$4:$G$5003,"*Subscription*",Xero_Raw!$A$4:$A$5003,"&gt;="&amp;DATE(2027,2,1),Xero_Raw!$A$4:$A$5003,"&lt;"&amp;EDATE(DATE(2027,2,1),1))+COUNTIFS(Customer_Invoices_Upload!$E$4:$E$5003,$A155,Customer_Invoices_Upload!$G$4:$G$5003,"*Subscription*",Customer_Invoices_Upload!$B$4:$B$5003,"&gt;="&amp;DATE(2027,2,1),Customer_Invoices_Upload!$B$4:$B$5003,"&lt;"&amp;EDATE(DATE(2027,2,1),1))+COUNTIFS(Stripe_Invoices_Upload!$D$4:$D$5003,$A155,Stripe_Invoices_Upload!$E$4:$E$5003,"*Subscription*",Stripe_Invoices_Upload!$A$4:$A$5003,"&gt;="&amp;DATE(2027,2,1),Stripe_Invoices_Upload!$A$4:$A$5003,"&lt;"&amp;EDATE(DATE(2027,2,1),1)))&gt;0,"✓ Invoiced","⚠ Due"),""),""))</f>
        <v/>
      </c>
      <c r="R155" s="130" t="str">
        <f aca="false">IF($A155="","",IF((DATE(YEAR($E155),MONTH($E155),1)&lt;=DATE(2027,3,1)),IF((MOD(DATEDIF(DATE(YEAR($E155),MONTH($E155),1),DATE(2027,3,1),"m"),IF($D155="Quarterly",3,IF($D155="Annual",12,1)))=0),IF((COUNTIFS(Xero_Raw!$D$4:$D$5003,$A155,Xero_Raw!$G$4:$G$5003,"*Subscription*",Xero_Raw!$A$4:$A$5003,"&gt;="&amp;DATE(2027,3,1),Xero_Raw!$A$4:$A$5003,"&lt;"&amp;EDATE(DATE(2027,3,1),1))+COUNTIFS(Customer_Invoices_Upload!$E$4:$E$5003,$A155,Customer_Invoices_Upload!$G$4:$G$5003,"*Subscription*",Customer_Invoices_Upload!$B$4:$B$5003,"&gt;="&amp;DATE(2027,3,1),Customer_Invoices_Upload!$B$4:$B$5003,"&lt;"&amp;EDATE(DATE(2027,3,1),1))+COUNTIFS(Stripe_Invoices_Upload!$D$4:$D$5003,$A155,Stripe_Invoices_Upload!$E$4:$E$5003,"*Subscription*",Stripe_Invoices_Upload!$A$4:$A$5003,"&gt;="&amp;DATE(2027,3,1),Stripe_Invoices_Upload!$A$4:$A$5003,"&lt;"&amp;EDATE(DATE(2027,3,1),1)))&gt;0,"✓ Invoiced","⚠ Due"),""),""))</f>
        <v/>
      </c>
    </row>
    <row r="156" customFormat="false" ht="15" hidden="false" customHeight="false" outlineLevel="0" collapsed="false">
      <c r="A156" s="39"/>
      <c r="B156" s="39"/>
      <c r="C156" s="40"/>
      <c r="D156" s="39"/>
      <c r="E156" s="38"/>
      <c r="F156" s="129" t="str">
        <f aca="true">IF($A156="","",EDATE($E156,DATEDIF($E156,TODAY(),"m")+1))</f>
        <v/>
      </c>
      <c r="G156" s="130" t="str">
        <f aca="false">IF($A156="","",IF((DATE(YEAR($E156),MONTH($E156),1)&lt;=DATE(2026,4,1)),IF((MOD(DATEDIF(DATE(YEAR($E156),MONTH($E156),1),DATE(2026,4,1),"m"),IF($D156="Quarterly",3,IF($D156="Annual",12,1)))=0),IF((COUNTIFS(Xero_Raw!$D$4:$D$5003,$A156,Xero_Raw!$G$4:$G$5003,"*Subscription*",Xero_Raw!$A$4:$A$5003,"&gt;="&amp;DATE(2026,4,1),Xero_Raw!$A$4:$A$5003,"&lt;"&amp;EDATE(DATE(2026,4,1),1))+COUNTIFS(Customer_Invoices_Upload!$E$4:$E$5003,$A156,Customer_Invoices_Upload!$G$4:$G$5003,"*Subscription*",Customer_Invoices_Upload!$B$4:$B$5003,"&gt;="&amp;DATE(2026,4,1),Customer_Invoices_Upload!$B$4:$B$5003,"&lt;"&amp;EDATE(DATE(2026,4,1),1))+COUNTIFS(Stripe_Invoices_Upload!$D$4:$D$5003,$A156,Stripe_Invoices_Upload!$E$4:$E$5003,"*Subscription*",Stripe_Invoices_Upload!$A$4:$A$5003,"&gt;="&amp;DATE(2026,4,1),Stripe_Invoices_Upload!$A$4:$A$5003,"&lt;"&amp;EDATE(DATE(2026,4,1),1)))&gt;0,"✓ Invoiced","⚠ Due"),""),""))</f>
        <v/>
      </c>
      <c r="H156" s="130" t="str">
        <f aca="false">IF($A156="","",IF((DATE(YEAR($E156),MONTH($E156),1)&lt;=DATE(2026,5,1)),IF((MOD(DATEDIF(DATE(YEAR($E156),MONTH($E156),1),DATE(2026,5,1),"m"),IF($D156="Quarterly",3,IF($D156="Annual",12,1)))=0),IF((COUNTIFS(Xero_Raw!$D$4:$D$5003,$A156,Xero_Raw!$G$4:$G$5003,"*Subscription*",Xero_Raw!$A$4:$A$5003,"&gt;="&amp;DATE(2026,5,1),Xero_Raw!$A$4:$A$5003,"&lt;"&amp;EDATE(DATE(2026,5,1),1))+COUNTIFS(Customer_Invoices_Upload!$E$4:$E$5003,$A156,Customer_Invoices_Upload!$G$4:$G$5003,"*Subscription*",Customer_Invoices_Upload!$B$4:$B$5003,"&gt;="&amp;DATE(2026,5,1),Customer_Invoices_Upload!$B$4:$B$5003,"&lt;"&amp;EDATE(DATE(2026,5,1),1))+COUNTIFS(Stripe_Invoices_Upload!$D$4:$D$5003,$A156,Stripe_Invoices_Upload!$E$4:$E$5003,"*Subscription*",Stripe_Invoices_Upload!$A$4:$A$5003,"&gt;="&amp;DATE(2026,5,1),Stripe_Invoices_Upload!$A$4:$A$5003,"&lt;"&amp;EDATE(DATE(2026,5,1),1)))&gt;0,"✓ Invoiced","⚠ Due"),""),""))</f>
        <v/>
      </c>
      <c r="I156" s="130" t="str">
        <f aca="false">IF($A156="","",IF((DATE(YEAR($E156),MONTH($E156),1)&lt;=DATE(2026,6,1)),IF((MOD(DATEDIF(DATE(YEAR($E156),MONTH($E156),1),DATE(2026,6,1),"m"),IF($D156="Quarterly",3,IF($D156="Annual",12,1)))=0),IF((COUNTIFS(Xero_Raw!$D$4:$D$5003,$A156,Xero_Raw!$G$4:$G$5003,"*Subscription*",Xero_Raw!$A$4:$A$5003,"&gt;="&amp;DATE(2026,6,1),Xero_Raw!$A$4:$A$5003,"&lt;"&amp;EDATE(DATE(2026,6,1),1))+COUNTIFS(Customer_Invoices_Upload!$E$4:$E$5003,$A156,Customer_Invoices_Upload!$G$4:$G$5003,"*Subscription*",Customer_Invoices_Upload!$B$4:$B$5003,"&gt;="&amp;DATE(2026,6,1),Customer_Invoices_Upload!$B$4:$B$5003,"&lt;"&amp;EDATE(DATE(2026,6,1),1))+COUNTIFS(Stripe_Invoices_Upload!$D$4:$D$5003,$A156,Stripe_Invoices_Upload!$E$4:$E$5003,"*Subscription*",Stripe_Invoices_Upload!$A$4:$A$5003,"&gt;="&amp;DATE(2026,6,1),Stripe_Invoices_Upload!$A$4:$A$5003,"&lt;"&amp;EDATE(DATE(2026,6,1),1)))&gt;0,"✓ Invoiced","⚠ Due"),""),""))</f>
        <v/>
      </c>
      <c r="J156" s="130" t="str">
        <f aca="false">IF($A156="","",IF((DATE(YEAR($E156),MONTH($E156),1)&lt;=DATE(2026,7,1)),IF((MOD(DATEDIF(DATE(YEAR($E156),MONTH($E156),1),DATE(2026,7,1),"m"),IF($D156="Quarterly",3,IF($D156="Annual",12,1)))=0),IF((COUNTIFS(Xero_Raw!$D$4:$D$5003,$A156,Xero_Raw!$G$4:$G$5003,"*Subscription*",Xero_Raw!$A$4:$A$5003,"&gt;="&amp;DATE(2026,7,1),Xero_Raw!$A$4:$A$5003,"&lt;"&amp;EDATE(DATE(2026,7,1),1))+COUNTIFS(Customer_Invoices_Upload!$E$4:$E$5003,$A156,Customer_Invoices_Upload!$G$4:$G$5003,"*Subscription*",Customer_Invoices_Upload!$B$4:$B$5003,"&gt;="&amp;DATE(2026,7,1),Customer_Invoices_Upload!$B$4:$B$5003,"&lt;"&amp;EDATE(DATE(2026,7,1),1))+COUNTIFS(Stripe_Invoices_Upload!$D$4:$D$5003,$A156,Stripe_Invoices_Upload!$E$4:$E$5003,"*Subscription*",Stripe_Invoices_Upload!$A$4:$A$5003,"&gt;="&amp;DATE(2026,7,1),Stripe_Invoices_Upload!$A$4:$A$5003,"&lt;"&amp;EDATE(DATE(2026,7,1),1)))&gt;0,"✓ Invoiced","⚠ Due"),""),""))</f>
        <v/>
      </c>
      <c r="K156" s="130" t="str">
        <f aca="false">IF($A156="","",IF((DATE(YEAR($E156),MONTH($E156),1)&lt;=DATE(2026,8,1)),IF((MOD(DATEDIF(DATE(YEAR($E156),MONTH($E156),1),DATE(2026,8,1),"m"),IF($D156="Quarterly",3,IF($D156="Annual",12,1)))=0),IF((COUNTIFS(Xero_Raw!$D$4:$D$5003,$A156,Xero_Raw!$G$4:$G$5003,"*Subscription*",Xero_Raw!$A$4:$A$5003,"&gt;="&amp;DATE(2026,8,1),Xero_Raw!$A$4:$A$5003,"&lt;"&amp;EDATE(DATE(2026,8,1),1))+COUNTIFS(Customer_Invoices_Upload!$E$4:$E$5003,$A156,Customer_Invoices_Upload!$G$4:$G$5003,"*Subscription*",Customer_Invoices_Upload!$B$4:$B$5003,"&gt;="&amp;DATE(2026,8,1),Customer_Invoices_Upload!$B$4:$B$5003,"&lt;"&amp;EDATE(DATE(2026,8,1),1))+COUNTIFS(Stripe_Invoices_Upload!$D$4:$D$5003,$A156,Stripe_Invoices_Upload!$E$4:$E$5003,"*Subscription*",Stripe_Invoices_Upload!$A$4:$A$5003,"&gt;="&amp;DATE(2026,8,1),Stripe_Invoices_Upload!$A$4:$A$5003,"&lt;"&amp;EDATE(DATE(2026,8,1),1)))&gt;0,"✓ Invoiced","⚠ Due"),""),""))</f>
        <v/>
      </c>
      <c r="L156" s="130" t="str">
        <f aca="false">IF($A156="","",IF((DATE(YEAR($E156),MONTH($E156),1)&lt;=DATE(2026,9,1)),IF((MOD(DATEDIF(DATE(YEAR($E156),MONTH($E156),1),DATE(2026,9,1),"m"),IF($D156="Quarterly",3,IF($D156="Annual",12,1)))=0),IF((COUNTIFS(Xero_Raw!$D$4:$D$5003,$A156,Xero_Raw!$G$4:$G$5003,"*Subscription*",Xero_Raw!$A$4:$A$5003,"&gt;="&amp;DATE(2026,9,1),Xero_Raw!$A$4:$A$5003,"&lt;"&amp;EDATE(DATE(2026,9,1),1))+COUNTIFS(Customer_Invoices_Upload!$E$4:$E$5003,$A156,Customer_Invoices_Upload!$G$4:$G$5003,"*Subscription*",Customer_Invoices_Upload!$B$4:$B$5003,"&gt;="&amp;DATE(2026,9,1),Customer_Invoices_Upload!$B$4:$B$5003,"&lt;"&amp;EDATE(DATE(2026,9,1),1))+COUNTIFS(Stripe_Invoices_Upload!$D$4:$D$5003,$A156,Stripe_Invoices_Upload!$E$4:$E$5003,"*Subscription*",Stripe_Invoices_Upload!$A$4:$A$5003,"&gt;="&amp;DATE(2026,9,1),Stripe_Invoices_Upload!$A$4:$A$5003,"&lt;"&amp;EDATE(DATE(2026,9,1),1)))&gt;0,"✓ Invoiced","⚠ Due"),""),""))</f>
        <v/>
      </c>
      <c r="M156" s="130" t="str">
        <f aca="false">IF($A156="","",IF((DATE(YEAR($E156),MONTH($E156),1)&lt;=DATE(2026,10,1)),IF((MOD(DATEDIF(DATE(YEAR($E156),MONTH($E156),1),DATE(2026,10,1),"m"),IF($D156="Quarterly",3,IF($D156="Annual",12,1)))=0),IF((COUNTIFS(Xero_Raw!$D$4:$D$5003,$A156,Xero_Raw!$G$4:$G$5003,"*Subscription*",Xero_Raw!$A$4:$A$5003,"&gt;="&amp;DATE(2026,10,1),Xero_Raw!$A$4:$A$5003,"&lt;"&amp;EDATE(DATE(2026,10,1),1))+COUNTIFS(Customer_Invoices_Upload!$E$4:$E$5003,$A156,Customer_Invoices_Upload!$G$4:$G$5003,"*Subscription*",Customer_Invoices_Upload!$B$4:$B$5003,"&gt;="&amp;DATE(2026,10,1),Customer_Invoices_Upload!$B$4:$B$5003,"&lt;"&amp;EDATE(DATE(2026,10,1),1))+COUNTIFS(Stripe_Invoices_Upload!$D$4:$D$5003,$A156,Stripe_Invoices_Upload!$E$4:$E$5003,"*Subscription*",Stripe_Invoices_Upload!$A$4:$A$5003,"&gt;="&amp;DATE(2026,10,1),Stripe_Invoices_Upload!$A$4:$A$5003,"&lt;"&amp;EDATE(DATE(2026,10,1),1)))&gt;0,"✓ Invoiced","⚠ Due"),""),""))</f>
        <v/>
      </c>
      <c r="N156" s="130" t="str">
        <f aca="false">IF($A156="","",IF((DATE(YEAR($E156),MONTH($E156),1)&lt;=DATE(2026,11,1)),IF((MOD(DATEDIF(DATE(YEAR($E156),MONTH($E156),1),DATE(2026,11,1),"m"),IF($D156="Quarterly",3,IF($D156="Annual",12,1)))=0),IF((COUNTIFS(Xero_Raw!$D$4:$D$5003,$A156,Xero_Raw!$G$4:$G$5003,"*Subscription*",Xero_Raw!$A$4:$A$5003,"&gt;="&amp;DATE(2026,11,1),Xero_Raw!$A$4:$A$5003,"&lt;"&amp;EDATE(DATE(2026,11,1),1))+COUNTIFS(Customer_Invoices_Upload!$E$4:$E$5003,$A156,Customer_Invoices_Upload!$G$4:$G$5003,"*Subscription*",Customer_Invoices_Upload!$B$4:$B$5003,"&gt;="&amp;DATE(2026,11,1),Customer_Invoices_Upload!$B$4:$B$5003,"&lt;"&amp;EDATE(DATE(2026,11,1),1))+COUNTIFS(Stripe_Invoices_Upload!$D$4:$D$5003,$A156,Stripe_Invoices_Upload!$E$4:$E$5003,"*Subscription*",Stripe_Invoices_Upload!$A$4:$A$5003,"&gt;="&amp;DATE(2026,11,1),Stripe_Invoices_Upload!$A$4:$A$5003,"&lt;"&amp;EDATE(DATE(2026,11,1),1)))&gt;0,"✓ Invoiced","⚠ Due"),""),""))</f>
        <v/>
      </c>
      <c r="O156" s="130" t="str">
        <f aca="false">IF($A156="","",IF((DATE(YEAR($E156),MONTH($E156),1)&lt;=DATE(2026,12,1)),IF((MOD(DATEDIF(DATE(YEAR($E156),MONTH($E156),1),DATE(2026,12,1),"m"),IF($D156="Quarterly",3,IF($D156="Annual",12,1)))=0),IF((COUNTIFS(Xero_Raw!$D$4:$D$5003,$A156,Xero_Raw!$G$4:$G$5003,"*Subscription*",Xero_Raw!$A$4:$A$5003,"&gt;="&amp;DATE(2026,12,1),Xero_Raw!$A$4:$A$5003,"&lt;"&amp;EDATE(DATE(2026,12,1),1))+COUNTIFS(Customer_Invoices_Upload!$E$4:$E$5003,$A156,Customer_Invoices_Upload!$G$4:$G$5003,"*Subscription*",Customer_Invoices_Upload!$B$4:$B$5003,"&gt;="&amp;DATE(2026,12,1),Customer_Invoices_Upload!$B$4:$B$5003,"&lt;"&amp;EDATE(DATE(2026,12,1),1))+COUNTIFS(Stripe_Invoices_Upload!$D$4:$D$5003,$A156,Stripe_Invoices_Upload!$E$4:$E$5003,"*Subscription*",Stripe_Invoices_Upload!$A$4:$A$5003,"&gt;="&amp;DATE(2026,12,1),Stripe_Invoices_Upload!$A$4:$A$5003,"&lt;"&amp;EDATE(DATE(2026,12,1),1)))&gt;0,"✓ Invoiced","⚠ Due"),""),""))</f>
        <v/>
      </c>
      <c r="P156" s="130" t="str">
        <f aca="false">IF($A156="","",IF((DATE(YEAR($E156),MONTH($E156),1)&lt;=DATE(2027,1,1)),IF((MOD(DATEDIF(DATE(YEAR($E156),MONTH($E156),1),DATE(2027,1,1),"m"),IF($D156="Quarterly",3,IF($D156="Annual",12,1)))=0),IF((COUNTIFS(Xero_Raw!$D$4:$D$5003,$A156,Xero_Raw!$G$4:$G$5003,"*Subscription*",Xero_Raw!$A$4:$A$5003,"&gt;="&amp;DATE(2027,1,1),Xero_Raw!$A$4:$A$5003,"&lt;"&amp;EDATE(DATE(2027,1,1),1))+COUNTIFS(Customer_Invoices_Upload!$E$4:$E$5003,$A156,Customer_Invoices_Upload!$G$4:$G$5003,"*Subscription*",Customer_Invoices_Upload!$B$4:$B$5003,"&gt;="&amp;DATE(2027,1,1),Customer_Invoices_Upload!$B$4:$B$5003,"&lt;"&amp;EDATE(DATE(2027,1,1),1))+COUNTIFS(Stripe_Invoices_Upload!$D$4:$D$5003,$A156,Stripe_Invoices_Upload!$E$4:$E$5003,"*Subscription*",Stripe_Invoices_Upload!$A$4:$A$5003,"&gt;="&amp;DATE(2027,1,1),Stripe_Invoices_Upload!$A$4:$A$5003,"&lt;"&amp;EDATE(DATE(2027,1,1),1)))&gt;0,"✓ Invoiced","⚠ Due"),""),""))</f>
        <v/>
      </c>
      <c r="Q156" s="130" t="str">
        <f aca="false">IF($A156="","",IF((DATE(YEAR($E156),MONTH($E156),1)&lt;=DATE(2027,2,1)),IF((MOD(DATEDIF(DATE(YEAR($E156),MONTH($E156),1),DATE(2027,2,1),"m"),IF($D156="Quarterly",3,IF($D156="Annual",12,1)))=0),IF((COUNTIFS(Xero_Raw!$D$4:$D$5003,$A156,Xero_Raw!$G$4:$G$5003,"*Subscription*",Xero_Raw!$A$4:$A$5003,"&gt;="&amp;DATE(2027,2,1),Xero_Raw!$A$4:$A$5003,"&lt;"&amp;EDATE(DATE(2027,2,1),1))+COUNTIFS(Customer_Invoices_Upload!$E$4:$E$5003,$A156,Customer_Invoices_Upload!$G$4:$G$5003,"*Subscription*",Customer_Invoices_Upload!$B$4:$B$5003,"&gt;="&amp;DATE(2027,2,1),Customer_Invoices_Upload!$B$4:$B$5003,"&lt;"&amp;EDATE(DATE(2027,2,1),1))+COUNTIFS(Stripe_Invoices_Upload!$D$4:$D$5003,$A156,Stripe_Invoices_Upload!$E$4:$E$5003,"*Subscription*",Stripe_Invoices_Upload!$A$4:$A$5003,"&gt;="&amp;DATE(2027,2,1),Stripe_Invoices_Upload!$A$4:$A$5003,"&lt;"&amp;EDATE(DATE(2027,2,1),1)))&gt;0,"✓ Invoiced","⚠ Due"),""),""))</f>
        <v/>
      </c>
      <c r="R156" s="130" t="str">
        <f aca="false">IF($A156="","",IF((DATE(YEAR($E156),MONTH($E156),1)&lt;=DATE(2027,3,1)),IF((MOD(DATEDIF(DATE(YEAR($E156),MONTH($E156),1),DATE(2027,3,1),"m"),IF($D156="Quarterly",3,IF($D156="Annual",12,1)))=0),IF((COUNTIFS(Xero_Raw!$D$4:$D$5003,$A156,Xero_Raw!$G$4:$G$5003,"*Subscription*",Xero_Raw!$A$4:$A$5003,"&gt;="&amp;DATE(2027,3,1),Xero_Raw!$A$4:$A$5003,"&lt;"&amp;EDATE(DATE(2027,3,1),1))+COUNTIFS(Customer_Invoices_Upload!$E$4:$E$5003,$A156,Customer_Invoices_Upload!$G$4:$G$5003,"*Subscription*",Customer_Invoices_Upload!$B$4:$B$5003,"&gt;="&amp;DATE(2027,3,1),Customer_Invoices_Upload!$B$4:$B$5003,"&lt;"&amp;EDATE(DATE(2027,3,1),1))+COUNTIFS(Stripe_Invoices_Upload!$D$4:$D$5003,$A156,Stripe_Invoices_Upload!$E$4:$E$5003,"*Subscription*",Stripe_Invoices_Upload!$A$4:$A$5003,"&gt;="&amp;DATE(2027,3,1),Stripe_Invoices_Upload!$A$4:$A$5003,"&lt;"&amp;EDATE(DATE(2027,3,1),1)))&gt;0,"✓ Invoiced","⚠ Due"),""),""))</f>
        <v/>
      </c>
    </row>
    <row r="157" customFormat="false" ht="15" hidden="false" customHeight="false" outlineLevel="0" collapsed="false">
      <c r="A157" s="39"/>
      <c r="B157" s="39"/>
      <c r="C157" s="40"/>
      <c r="D157" s="39"/>
      <c r="E157" s="38"/>
      <c r="F157" s="129" t="str">
        <f aca="true">IF($A157="","",EDATE($E157,DATEDIF($E157,TODAY(),"m")+1))</f>
        <v/>
      </c>
      <c r="G157" s="130" t="str">
        <f aca="false">IF($A157="","",IF((DATE(YEAR($E157),MONTH($E157),1)&lt;=DATE(2026,4,1)),IF((MOD(DATEDIF(DATE(YEAR($E157),MONTH($E157),1),DATE(2026,4,1),"m"),IF($D157="Quarterly",3,IF($D157="Annual",12,1)))=0),IF((COUNTIFS(Xero_Raw!$D$4:$D$5003,$A157,Xero_Raw!$G$4:$G$5003,"*Subscription*",Xero_Raw!$A$4:$A$5003,"&gt;="&amp;DATE(2026,4,1),Xero_Raw!$A$4:$A$5003,"&lt;"&amp;EDATE(DATE(2026,4,1),1))+COUNTIFS(Customer_Invoices_Upload!$E$4:$E$5003,$A157,Customer_Invoices_Upload!$G$4:$G$5003,"*Subscription*",Customer_Invoices_Upload!$B$4:$B$5003,"&gt;="&amp;DATE(2026,4,1),Customer_Invoices_Upload!$B$4:$B$5003,"&lt;"&amp;EDATE(DATE(2026,4,1),1))+COUNTIFS(Stripe_Invoices_Upload!$D$4:$D$5003,$A157,Stripe_Invoices_Upload!$E$4:$E$5003,"*Subscription*",Stripe_Invoices_Upload!$A$4:$A$5003,"&gt;="&amp;DATE(2026,4,1),Stripe_Invoices_Upload!$A$4:$A$5003,"&lt;"&amp;EDATE(DATE(2026,4,1),1)))&gt;0,"✓ Invoiced","⚠ Due"),""),""))</f>
        <v/>
      </c>
      <c r="H157" s="130" t="str">
        <f aca="false">IF($A157="","",IF((DATE(YEAR($E157),MONTH($E157),1)&lt;=DATE(2026,5,1)),IF((MOD(DATEDIF(DATE(YEAR($E157),MONTH($E157),1),DATE(2026,5,1),"m"),IF($D157="Quarterly",3,IF($D157="Annual",12,1)))=0),IF((COUNTIFS(Xero_Raw!$D$4:$D$5003,$A157,Xero_Raw!$G$4:$G$5003,"*Subscription*",Xero_Raw!$A$4:$A$5003,"&gt;="&amp;DATE(2026,5,1),Xero_Raw!$A$4:$A$5003,"&lt;"&amp;EDATE(DATE(2026,5,1),1))+COUNTIFS(Customer_Invoices_Upload!$E$4:$E$5003,$A157,Customer_Invoices_Upload!$G$4:$G$5003,"*Subscription*",Customer_Invoices_Upload!$B$4:$B$5003,"&gt;="&amp;DATE(2026,5,1),Customer_Invoices_Upload!$B$4:$B$5003,"&lt;"&amp;EDATE(DATE(2026,5,1),1))+COUNTIFS(Stripe_Invoices_Upload!$D$4:$D$5003,$A157,Stripe_Invoices_Upload!$E$4:$E$5003,"*Subscription*",Stripe_Invoices_Upload!$A$4:$A$5003,"&gt;="&amp;DATE(2026,5,1),Stripe_Invoices_Upload!$A$4:$A$5003,"&lt;"&amp;EDATE(DATE(2026,5,1),1)))&gt;0,"✓ Invoiced","⚠ Due"),""),""))</f>
        <v/>
      </c>
      <c r="I157" s="130" t="str">
        <f aca="false">IF($A157="","",IF((DATE(YEAR($E157),MONTH($E157),1)&lt;=DATE(2026,6,1)),IF((MOD(DATEDIF(DATE(YEAR($E157),MONTH($E157),1),DATE(2026,6,1),"m"),IF($D157="Quarterly",3,IF($D157="Annual",12,1)))=0),IF((COUNTIFS(Xero_Raw!$D$4:$D$5003,$A157,Xero_Raw!$G$4:$G$5003,"*Subscription*",Xero_Raw!$A$4:$A$5003,"&gt;="&amp;DATE(2026,6,1),Xero_Raw!$A$4:$A$5003,"&lt;"&amp;EDATE(DATE(2026,6,1),1))+COUNTIFS(Customer_Invoices_Upload!$E$4:$E$5003,$A157,Customer_Invoices_Upload!$G$4:$G$5003,"*Subscription*",Customer_Invoices_Upload!$B$4:$B$5003,"&gt;="&amp;DATE(2026,6,1),Customer_Invoices_Upload!$B$4:$B$5003,"&lt;"&amp;EDATE(DATE(2026,6,1),1))+COUNTIFS(Stripe_Invoices_Upload!$D$4:$D$5003,$A157,Stripe_Invoices_Upload!$E$4:$E$5003,"*Subscription*",Stripe_Invoices_Upload!$A$4:$A$5003,"&gt;="&amp;DATE(2026,6,1),Stripe_Invoices_Upload!$A$4:$A$5003,"&lt;"&amp;EDATE(DATE(2026,6,1),1)))&gt;0,"✓ Invoiced","⚠ Due"),""),""))</f>
        <v/>
      </c>
      <c r="J157" s="130" t="str">
        <f aca="false">IF($A157="","",IF((DATE(YEAR($E157),MONTH($E157),1)&lt;=DATE(2026,7,1)),IF((MOD(DATEDIF(DATE(YEAR($E157),MONTH($E157),1),DATE(2026,7,1),"m"),IF($D157="Quarterly",3,IF($D157="Annual",12,1)))=0),IF((COUNTIFS(Xero_Raw!$D$4:$D$5003,$A157,Xero_Raw!$G$4:$G$5003,"*Subscription*",Xero_Raw!$A$4:$A$5003,"&gt;="&amp;DATE(2026,7,1),Xero_Raw!$A$4:$A$5003,"&lt;"&amp;EDATE(DATE(2026,7,1),1))+COUNTIFS(Customer_Invoices_Upload!$E$4:$E$5003,$A157,Customer_Invoices_Upload!$G$4:$G$5003,"*Subscription*",Customer_Invoices_Upload!$B$4:$B$5003,"&gt;="&amp;DATE(2026,7,1),Customer_Invoices_Upload!$B$4:$B$5003,"&lt;"&amp;EDATE(DATE(2026,7,1),1))+COUNTIFS(Stripe_Invoices_Upload!$D$4:$D$5003,$A157,Stripe_Invoices_Upload!$E$4:$E$5003,"*Subscription*",Stripe_Invoices_Upload!$A$4:$A$5003,"&gt;="&amp;DATE(2026,7,1),Stripe_Invoices_Upload!$A$4:$A$5003,"&lt;"&amp;EDATE(DATE(2026,7,1),1)))&gt;0,"✓ Invoiced","⚠ Due"),""),""))</f>
        <v/>
      </c>
      <c r="K157" s="130" t="str">
        <f aca="false">IF($A157="","",IF((DATE(YEAR($E157),MONTH($E157),1)&lt;=DATE(2026,8,1)),IF((MOD(DATEDIF(DATE(YEAR($E157),MONTH($E157),1),DATE(2026,8,1),"m"),IF($D157="Quarterly",3,IF($D157="Annual",12,1)))=0),IF((COUNTIFS(Xero_Raw!$D$4:$D$5003,$A157,Xero_Raw!$G$4:$G$5003,"*Subscription*",Xero_Raw!$A$4:$A$5003,"&gt;="&amp;DATE(2026,8,1),Xero_Raw!$A$4:$A$5003,"&lt;"&amp;EDATE(DATE(2026,8,1),1))+COUNTIFS(Customer_Invoices_Upload!$E$4:$E$5003,$A157,Customer_Invoices_Upload!$G$4:$G$5003,"*Subscription*",Customer_Invoices_Upload!$B$4:$B$5003,"&gt;="&amp;DATE(2026,8,1),Customer_Invoices_Upload!$B$4:$B$5003,"&lt;"&amp;EDATE(DATE(2026,8,1),1))+COUNTIFS(Stripe_Invoices_Upload!$D$4:$D$5003,$A157,Stripe_Invoices_Upload!$E$4:$E$5003,"*Subscription*",Stripe_Invoices_Upload!$A$4:$A$5003,"&gt;="&amp;DATE(2026,8,1),Stripe_Invoices_Upload!$A$4:$A$5003,"&lt;"&amp;EDATE(DATE(2026,8,1),1)))&gt;0,"✓ Invoiced","⚠ Due"),""),""))</f>
        <v/>
      </c>
      <c r="L157" s="130" t="str">
        <f aca="false">IF($A157="","",IF((DATE(YEAR($E157),MONTH($E157),1)&lt;=DATE(2026,9,1)),IF((MOD(DATEDIF(DATE(YEAR($E157),MONTH($E157),1),DATE(2026,9,1),"m"),IF($D157="Quarterly",3,IF($D157="Annual",12,1)))=0),IF((COUNTIFS(Xero_Raw!$D$4:$D$5003,$A157,Xero_Raw!$G$4:$G$5003,"*Subscription*",Xero_Raw!$A$4:$A$5003,"&gt;="&amp;DATE(2026,9,1),Xero_Raw!$A$4:$A$5003,"&lt;"&amp;EDATE(DATE(2026,9,1),1))+COUNTIFS(Customer_Invoices_Upload!$E$4:$E$5003,$A157,Customer_Invoices_Upload!$G$4:$G$5003,"*Subscription*",Customer_Invoices_Upload!$B$4:$B$5003,"&gt;="&amp;DATE(2026,9,1),Customer_Invoices_Upload!$B$4:$B$5003,"&lt;"&amp;EDATE(DATE(2026,9,1),1))+COUNTIFS(Stripe_Invoices_Upload!$D$4:$D$5003,$A157,Stripe_Invoices_Upload!$E$4:$E$5003,"*Subscription*",Stripe_Invoices_Upload!$A$4:$A$5003,"&gt;="&amp;DATE(2026,9,1),Stripe_Invoices_Upload!$A$4:$A$5003,"&lt;"&amp;EDATE(DATE(2026,9,1),1)))&gt;0,"✓ Invoiced","⚠ Due"),""),""))</f>
        <v/>
      </c>
      <c r="M157" s="130" t="str">
        <f aca="false">IF($A157="","",IF((DATE(YEAR($E157),MONTH($E157),1)&lt;=DATE(2026,10,1)),IF((MOD(DATEDIF(DATE(YEAR($E157),MONTH($E157),1),DATE(2026,10,1),"m"),IF($D157="Quarterly",3,IF($D157="Annual",12,1)))=0),IF((COUNTIFS(Xero_Raw!$D$4:$D$5003,$A157,Xero_Raw!$G$4:$G$5003,"*Subscription*",Xero_Raw!$A$4:$A$5003,"&gt;="&amp;DATE(2026,10,1),Xero_Raw!$A$4:$A$5003,"&lt;"&amp;EDATE(DATE(2026,10,1),1))+COUNTIFS(Customer_Invoices_Upload!$E$4:$E$5003,$A157,Customer_Invoices_Upload!$G$4:$G$5003,"*Subscription*",Customer_Invoices_Upload!$B$4:$B$5003,"&gt;="&amp;DATE(2026,10,1),Customer_Invoices_Upload!$B$4:$B$5003,"&lt;"&amp;EDATE(DATE(2026,10,1),1))+COUNTIFS(Stripe_Invoices_Upload!$D$4:$D$5003,$A157,Stripe_Invoices_Upload!$E$4:$E$5003,"*Subscription*",Stripe_Invoices_Upload!$A$4:$A$5003,"&gt;="&amp;DATE(2026,10,1),Stripe_Invoices_Upload!$A$4:$A$5003,"&lt;"&amp;EDATE(DATE(2026,10,1),1)))&gt;0,"✓ Invoiced","⚠ Due"),""),""))</f>
        <v/>
      </c>
      <c r="N157" s="130" t="str">
        <f aca="false">IF($A157="","",IF((DATE(YEAR($E157),MONTH($E157),1)&lt;=DATE(2026,11,1)),IF((MOD(DATEDIF(DATE(YEAR($E157),MONTH($E157),1),DATE(2026,11,1),"m"),IF($D157="Quarterly",3,IF($D157="Annual",12,1)))=0),IF((COUNTIFS(Xero_Raw!$D$4:$D$5003,$A157,Xero_Raw!$G$4:$G$5003,"*Subscription*",Xero_Raw!$A$4:$A$5003,"&gt;="&amp;DATE(2026,11,1),Xero_Raw!$A$4:$A$5003,"&lt;"&amp;EDATE(DATE(2026,11,1),1))+COUNTIFS(Customer_Invoices_Upload!$E$4:$E$5003,$A157,Customer_Invoices_Upload!$G$4:$G$5003,"*Subscription*",Customer_Invoices_Upload!$B$4:$B$5003,"&gt;="&amp;DATE(2026,11,1),Customer_Invoices_Upload!$B$4:$B$5003,"&lt;"&amp;EDATE(DATE(2026,11,1),1))+COUNTIFS(Stripe_Invoices_Upload!$D$4:$D$5003,$A157,Stripe_Invoices_Upload!$E$4:$E$5003,"*Subscription*",Stripe_Invoices_Upload!$A$4:$A$5003,"&gt;="&amp;DATE(2026,11,1),Stripe_Invoices_Upload!$A$4:$A$5003,"&lt;"&amp;EDATE(DATE(2026,11,1),1)))&gt;0,"✓ Invoiced","⚠ Due"),""),""))</f>
        <v/>
      </c>
      <c r="O157" s="130" t="str">
        <f aca="false">IF($A157="","",IF((DATE(YEAR($E157),MONTH($E157),1)&lt;=DATE(2026,12,1)),IF((MOD(DATEDIF(DATE(YEAR($E157),MONTH($E157),1),DATE(2026,12,1),"m"),IF($D157="Quarterly",3,IF($D157="Annual",12,1)))=0),IF((COUNTIFS(Xero_Raw!$D$4:$D$5003,$A157,Xero_Raw!$G$4:$G$5003,"*Subscription*",Xero_Raw!$A$4:$A$5003,"&gt;="&amp;DATE(2026,12,1),Xero_Raw!$A$4:$A$5003,"&lt;"&amp;EDATE(DATE(2026,12,1),1))+COUNTIFS(Customer_Invoices_Upload!$E$4:$E$5003,$A157,Customer_Invoices_Upload!$G$4:$G$5003,"*Subscription*",Customer_Invoices_Upload!$B$4:$B$5003,"&gt;="&amp;DATE(2026,12,1),Customer_Invoices_Upload!$B$4:$B$5003,"&lt;"&amp;EDATE(DATE(2026,12,1),1))+COUNTIFS(Stripe_Invoices_Upload!$D$4:$D$5003,$A157,Stripe_Invoices_Upload!$E$4:$E$5003,"*Subscription*",Stripe_Invoices_Upload!$A$4:$A$5003,"&gt;="&amp;DATE(2026,12,1),Stripe_Invoices_Upload!$A$4:$A$5003,"&lt;"&amp;EDATE(DATE(2026,12,1),1)))&gt;0,"✓ Invoiced","⚠ Due"),""),""))</f>
        <v/>
      </c>
      <c r="P157" s="130" t="str">
        <f aca="false">IF($A157="","",IF((DATE(YEAR($E157),MONTH($E157),1)&lt;=DATE(2027,1,1)),IF((MOD(DATEDIF(DATE(YEAR($E157),MONTH($E157),1),DATE(2027,1,1),"m"),IF($D157="Quarterly",3,IF($D157="Annual",12,1)))=0),IF((COUNTIFS(Xero_Raw!$D$4:$D$5003,$A157,Xero_Raw!$G$4:$G$5003,"*Subscription*",Xero_Raw!$A$4:$A$5003,"&gt;="&amp;DATE(2027,1,1),Xero_Raw!$A$4:$A$5003,"&lt;"&amp;EDATE(DATE(2027,1,1),1))+COUNTIFS(Customer_Invoices_Upload!$E$4:$E$5003,$A157,Customer_Invoices_Upload!$G$4:$G$5003,"*Subscription*",Customer_Invoices_Upload!$B$4:$B$5003,"&gt;="&amp;DATE(2027,1,1),Customer_Invoices_Upload!$B$4:$B$5003,"&lt;"&amp;EDATE(DATE(2027,1,1),1))+COUNTIFS(Stripe_Invoices_Upload!$D$4:$D$5003,$A157,Stripe_Invoices_Upload!$E$4:$E$5003,"*Subscription*",Stripe_Invoices_Upload!$A$4:$A$5003,"&gt;="&amp;DATE(2027,1,1),Stripe_Invoices_Upload!$A$4:$A$5003,"&lt;"&amp;EDATE(DATE(2027,1,1),1)))&gt;0,"✓ Invoiced","⚠ Due"),""),""))</f>
        <v/>
      </c>
      <c r="Q157" s="130" t="str">
        <f aca="false">IF($A157="","",IF((DATE(YEAR($E157),MONTH($E157),1)&lt;=DATE(2027,2,1)),IF((MOD(DATEDIF(DATE(YEAR($E157),MONTH($E157),1),DATE(2027,2,1),"m"),IF($D157="Quarterly",3,IF($D157="Annual",12,1)))=0),IF((COUNTIFS(Xero_Raw!$D$4:$D$5003,$A157,Xero_Raw!$G$4:$G$5003,"*Subscription*",Xero_Raw!$A$4:$A$5003,"&gt;="&amp;DATE(2027,2,1),Xero_Raw!$A$4:$A$5003,"&lt;"&amp;EDATE(DATE(2027,2,1),1))+COUNTIFS(Customer_Invoices_Upload!$E$4:$E$5003,$A157,Customer_Invoices_Upload!$G$4:$G$5003,"*Subscription*",Customer_Invoices_Upload!$B$4:$B$5003,"&gt;="&amp;DATE(2027,2,1),Customer_Invoices_Upload!$B$4:$B$5003,"&lt;"&amp;EDATE(DATE(2027,2,1),1))+COUNTIFS(Stripe_Invoices_Upload!$D$4:$D$5003,$A157,Stripe_Invoices_Upload!$E$4:$E$5003,"*Subscription*",Stripe_Invoices_Upload!$A$4:$A$5003,"&gt;="&amp;DATE(2027,2,1),Stripe_Invoices_Upload!$A$4:$A$5003,"&lt;"&amp;EDATE(DATE(2027,2,1),1)))&gt;0,"✓ Invoiced","⚠ Due"),""),""))</f>
        <v/>
      </c>
      <c r="R157" s="130" t="str">
        <f aca="false">IF($A157="","",IF((DATE(YEAR($E157),MONTH($E157),1)&lt;=DATE(2027,3,1)),IF((MOD(DATEDIF(DATE(YEAR($E157),MONTH($E157),1),DATE(2027,3,1),"m"),IF($D157="Quarterly",3,IF($D157="Annual",12,1)))=0),IF((COUNTIFS(Xero_Raw!$D$4:$D$5003,$A157,Xero_Raw!$G$4:$G$5003,"*Subscription*",Xero_Raw!$A$4:$A$5003,"&gt;="&amp;DATE(2027,3,1),Xero_Raw!$A$4:$A$5003,"&lt;"&amp;EDATE(DATE(2027,3,1),1))+COUNTIFS(Customer_Invoices_Upload!$E$4:$E$5003,$A157,Customer_Invoices_Upload!$G$4:$G$5003,"*Subscription*",Customer_Invoices_Upload!$B$4:$B$5003,"&gt;="&amp;DATE(2027,3,1),Customer_Invoices_Upload!$B$4:$B$5003,"&lt;"&amp;EDATE(DATE(2027,3,1),1))+COUNTIFS(Stripe_Invoices_Upload!$D$4:$D$5003,$A157,Stripe_Invoices_Upload!$E$4:$E$5003,"*Subscription*",Stripe_Invoices_Upload!$A$4:$A$5003,"&gt;="&amp;DATE(2027,3,1),Stripe_Invoices_Upload!$A$4:$A$5003,"&lt;"&amp;EDATE(DATE(2027,3,1),1)))&gt;0,"✓ Invoiced","⚠ Due"),""),""))</f>
        <v/>
      </c>
    </row>
    <row r="158" customFormat="false" ht="15" hidden="false" customHeight="false" outlineLevel="0" collapsed="false">
      <c r="A158" s="39"/>
      <c r="B158" s="39"/>
      <c r="C158" s="40"/>
      <c r="D158" s="39"/>
      <c r="E158" s="38"/>
      <c r="F158" s="129" t="str">
        <f aca="true">IF($A158="","",EDATE($E158,DATEDIF($E158,TODAY(),"m")+1))</f>
        <v/>
      </c>
      <c r="G158" s="130" t="str">
        <f aca="false">IF($A158="","",IF((DATE(YEAR($E158),MONTH($E158),1)&lt;=DATE(2026,4,1)),IF((MOD(DATEDIF(DATE(YEAR($E158),MONTH($E158),1),DATE(2026,4,1),"m"),IF($D158="Quarterly",3,IF($D158="Annual",12,1)))=0),IF((COUNTIFS(Xero_Raw!$D$4:$D$5003,$A158,Xero_Raw!$G$4:$G$5003,"*Subscription*",Xero_Raw!$A$4:$A$5003,"&gt;="&amp;DATE(2026,4,1),Xero_Raw!$A$4:$A$5003,"&lt;"&amp;EDATE(DATE(2026,4,1),1))+COUNTIFS(Customer_Invoices_Upload!$E$4:$E$5003,$A158,Customer_Invoices_Upload!$G$4:$G$5003,"*Subscription*",Customer_Invoices_Upload!$B$4:$B$5003,"&gt;="&amp;DATE(2026,4,1),Customer_Invoices_Upload!$B$4:$B$5003,"&lt;"&amp;EDATE(DATE(2026,4,1),1))+COUNTIFS(Stripe_Invoices_Upload!$D$4:$D$5003,$A158,Stripe_Invoices_Upload!$E$4:$E$5003,"*Subscription*",Stripe_Invoices_Upload!$A$4:$A$5003,"&gt;="&amp;DATE(2026,4,1),Stripe_Invoices_Upload!$A$4:$A$5003,"&lt;"&amp;EDATE(DATE(2026,4,1),1)))&gt;0,"✓ Invoiced","⚠ Due"),""),""))</f>
        <v/>
      </c>
      <c r="H158" s="130" t="str">
        <f aca="false">IF($A158="","",IF((DATE(YEAR($E158),MONTH($E158),1)&lt;=DATE(2026,5,1)),IF((MOD(DATEDIF(DATE(YEAR($E158),MONTH($E158),1),DATE(2026,5,1),"m"),IF($D158="Quarterly",3,IF($D158="Annual",12,1)))=0),IF((COUNTIFS(Xero_Raw!$D$4:$D$5003,$A158,Xero_Raw!$G$4:$G$5003,"*Subscription*",Xero_Raw!$A$4:$A$5003,"&gt;="&amp;DATE(2026,5,1),Xero_Raw!$A$4:$A$5003,"&lt;"&amp;EDATE(DATE(2026,5,1),1))+COUNTIFS(Customer_Invoices_Upload!$E$4:$E$5003,$A158,Customer_Invoices_Upload!$G$4:$G$5003,"*Subscription*",Customer_Invoices_Upload!$B$4:$B$5003,"&gt;="&amp;DATE(2026,5,1),Customer_Invoices_Upload!$B$4:$B$5003,"&lt;"&amp;EDATE(DATE(2026,5,1),1))+COUNTIFS(Stripe_Invoices_Upload!$D$4:$D$5003,$A158,Stripe_Invoices_Upload!$E$4:$E$5003,"*Subscription*",Stripe_Invoices_Upload!$A$4:$A$5003,"&gt;="&amp;DATE(2026,5,1),Stripe_Invoices_Upload!$A$4:$A$5003,"&lt;"&amp;EDATE(DATE(2026,5,1),1)))&gt;0,"✓ Invoiced","⚠ Due"),""),""))</f>
        <v/>
      </c>
      <c r="I158" s="130" t="str">
        <f aca="false">IF($A158="","",IF((DATE(YEAR($E158),MONTH($E158),1)&lt;=DATE(2026,6,1)),IF((MOD(DATEDIF(DATE(YEAR($E158),MONTH($E158),1),DATE(2026,6,1),"m"),IF($D158="Quarterly",3,IF($D158="Annual",12,1)))=0),IF((COUNTIFS(Xero_Raw!$D$4:$D$5003,$A158,Xero_Raw!$G$4:$G$5003,"*Subscription*",Xero_Raw!$A$4:$A$5003,"&gt;="&amp;DATE(2026,6,1),Xero_Raw!$A$4:$A$5003,"&lt;"&amp;EDATE(DATE(2026,6,1),1))+COUNTIFS(Customer_Invoices_Upload!$E$4:$E$5003,$A158,Customer_Invoices_Upload!$G$4:$G$5003,"*Subscription*",Customer_Invoices_Upload!$B$4:$B$5003,"&gt;="&amp;DATE(2026,6,1),Customer_Invoices_Upload!$B$4:$B$5003,"&lt;"&amp;EDATE(DATE(2026,6,1),1))+COUNTIFS(Stripe_Invoices_Upload!$D$4:$D$5003,$A158,Stripe_Invoices_Upload!$E$4:$E$5003,"*Subscription*",Stripe_Invoices_Upload!$A$4:$A$5003,"&gt;="&amp;DATE(2026,6,1),Stripe_Invoices_Upload!$A$4:$A$5003,"&lt;"&amp;EDATE(DATE(2026,6,1),1)))&gt;0,"✓ Invoiced","⚠ Due"),""),""))</f>
        <v/>
      </c>
      <c r="J158" s="130" t="str">
        <f aca="false">IF($A158="","",IF((DATE(YEAR($E158),MONTH($E158),1)&lt;=DATE(2026,7,1)),IF((MOD(DATEDIF(DATE(YEAR($E158),MONTH($E158),1),DATE(2026,7,1),"m"),IF($D158="Quarterly",3,IF($D158="Annual",12,1)))=0),IF((COUNTIFS(Xero_Raw!$D$4:$D$5003,$A158,Xero_Raw!$G$4:$G$5003,"*Subscription*",Xero_Raw!$A$4:$A$5003,"&gt;="&amp;DATE(2026,7,1),Xero_Raw!$A$4:$A$5003,"&lt;"&amp;EDATE(DATE(2026,7,1),1))+COUNTIFS(Customer_Invoices_Upload!$E$4:$E$5003,$A158,Customer_Invoices_Upload!$G$4:$G$5003,"*Subscription*",Customer_Invoices_Upload!$B$4:$B$5003,"&gt;="&amp;DATE(2026,7,1),Customer_Invoices_Upload!$B$4:$B$5003,"&lt;"&amp;EDATE(DATE(2026,7,1),1))+COUNTIFS(Stripe_Invoices_Upload!$D$4:$D$5003,$A158,Stripe_Invoices_Upload!$E$4:$E$5003,"*Subscription*",Stripe_Invoices_Upload!$A$4:$A$5003,"&gt;="&amp;DATE(2026,7,1),Stripe_Invoices_Upload!$A$4:$A$5003,"&lt;"&amp;EDATE(DATE(2026,7,1),1)))&gt;0,"✓ Invoiced","⚠ Due"),""),""))</f>
        <v/>
      </c>
      <c r="K158" s="130" t="str">
        <f aca="false">IF($A158="","",IF((DATE(YEAR($E158),MONTH($E158),1)&lt;=DATE(2026,8,1)),IF((MOD(DATEDIF(DATE(YEAR($E158),MONTH($E158),1),DATE(2026,8,1),"m"),IF($D158="Quarterly",3,IF($D158="Annual",12,1)))=0),IF((COUNTIFS(Xero_Raw!$D$4:$D$5003,$A158,Xero_Raw!$G$4:$G$5003,"*Subscription*",Xero_Raw!$A$4:$A$5003,"&gt;="&amp;DATE(2026,8,1),Xero_Raw!$A$4:$A$5003,"&lt;"&amp;EDATE(DATE(2026,8,1),1))+COUNTIFS(Customer_Invoices_Upload!$E$4:$E$5003,$A158,Customer_Invoices_Upload!$G$4:$G$5003,"*Subscription*",Customer_Invoices_Upload!$B$4:$B$5003,"&gt;="&amp;DATE(2026,8,1),Customer_Invoices_Upload!$B$4:$B$5003,"&lt;"&amp;EDATE(DATE(2026,8,1),1))+COUNTIFS(Stripe_Invoices_Upload!$D$4:$D$5003,$A158,Stripe_Invoices_Upload!$E$4:$E$5003,"*Subscription*",Stripe_Invoices_Upload!$A$4:$A$5003,"&gt;="&amp;DATE(2026,8,1),Stripe_Invoices_Upload!$A$4:$A$5003,"&lt;"&amp;EDATE(DATE(2026,8,1),1)))&gt;0,"✓ Invoiced","⚠ Due"),""),""))</f>
        <v/>
      </c>
      <c r="L158" s="130" t="str">
        <f aca="false">IF($A158="","",IF((DATE(YEAR($E158),MONTH($E158),1)&lt;=DATE(2026,9,1)),IF((MOD(DATEDIF(DATE(YEAR($E158),MONTH($E158),1),DATE(2026,9,1),"m"),IF($D158="Quarterly",3,IF($D158="Annual",12,1)))=0),IF((COUNTIFS(Xero_Raw!$D$4:$D$5003,$A158,Xero_Raw!$G$4:$G$5003,"*Subscription*",Xero_Raw!$A$4:$A$5003,"&gt;="&amp;DATE(2026,9,1),Xero_Raw!$A$4:$A$5003,"&lt;"&amp;EDATE(DATE(2026,9,1),1))+COUNTIFS(Customer_Invoices_Upload!$E$4:$E$5003,$A158,Customer_Invoices_Upload!$G$4:$G$5003,"*Subscription*",Customer_Invoices_Upload!$B$4:$B$5003,"&gt;="&amp;DATE(2026,9,1),Customer_Invoices_Upload!$B$4:$B$5003,"&lt;"&amp;EDATE(DATE(2026,9,1),1))+COUNTIFS(Stripe_Invoices_Upload!$D$4:$D$5003,$A158,Stripe_Invoices_Upload!$E$4:$E$5003,"*Subscription*",Stripe_Invoices_Upload!$A$4:$A$5003,"&gt;="&amp;DATE(2026,9,1),Stripe_Invoices_Upload!$A$4:$A$5003,"&lt;"&amp;EDATE(DATE(2026,9,1),1)))&gt;0,"✓ Invoiced","⚠ Due"),""),""))</f>
        <v/>
      </c>
      <c r="M158" s="130" t="str">
        <f aca="false">IF($A158="","",IF((DATE(YEAR($E158),MONTH($E158),1)&lt;=DATE(2026,10,1)),IF((MOD(DATEDIF(DATE(YEAR($E158),MONTH($E158),1),DATE(2026,10,1),"m"),IF($D158="Quarterly",3,IF($D158="Annual",12,1)))=0),IF((COUNTIFS(Xero_Raw!$D$4:$D$5003,$A158,Xero_Raw!$G$4:$G$5003,"*Subscription*",Xero_Raw!$A$4:$A$5003,"&gt;="&amp;DATE(2026,10,1),Xero_Raw!$A$4:$A$5003,"&lt;"&amp;EDATE(DATE(2026,10,1),1))+COUNTIFS(Customer_Invoices_Upload!$E$4:$E$5003,$A158,Customer_Invoices_Upload!$G$4:$G$5003,"*Subscription*",Customer_Invoices_Upload!$B$4:$B$5003,"&gt;="&amp;DATE(2026,10,1),Customer_Invoices_Upload!$B$4:$B$5003,"&lt;"&amp;EDATE(DATE(2026,10,1),1))+COUNTIFS(Stripe_Invoices_Upload!$D$4:$D$5003,$A158,Stripe_Invoices_Upload!$E$4:$E$5003,"*Subscription*",Stripe_Invoices_Upload!$A$4:$A$5003,"&gt;="&amp;DATE(2026,10,1),Stripe_Invoices_Upload!$A$4:$A$5003,"&lt;"&amp;EDATE(DATE(2026,10,1),1)))&gt;0,"✓ Invoiced","⚠ Due"),""),""))</f>
        <v/>
      </c>
      <c r="N158" s="130" t="str">
        <f aca="false">IF($A158="","",IF((DATE(YEAR($E158),MONTH($E158),1)&lt;=DATE(2026,11,1)),IF((MOD(DATEDIF(DATE(YEAR($E158),MONTH($E158),1),DATE(2026,11,1),"m"),IF($D158="Quarterly",3,IF($D158="Annual",12,1)))=0),IF((COUNTIFS(Xero_Raw!$D$4:$D$5003,$A158,Xero_Raw!$G$4:$G$5003,"*Subscription*",Xero_Raw!$A$4:$A$5003,"&gt;="&amp;DATE(2026,11,1),Xero_Raw!$A$4:$A$5003,"&lt;"&amp;EDATE(DATE(2026,11,1),1))+COUNTIFS(Customer_Invoices_Upload!$E$4:$E$5003,$A158,Customer_Invoices_Upload!$G$4:$G$5003,"*Subscription*",Customer_Invoices_Upload!$B$4:$B$5003,"&gt;="&amp;DATE(2026,11,1),Customer_Invoices_Upload!$B$4:$B$5003,"&lt;"&amp;EDATE(DATE(2026,11,1),1))+COUNTIFS(Stripe_Invoices_Upload!$D$4:$D$5003,$A158,Stripe_Invoices_Upload!$E$4:$E$5003,"*Subscription*",Stripe_Invoices_Upload!$A$4:$A$5003,"&gt;="&amp;DATE(2026,11,1),Stripe_Invoices_Upload!$A$4:$A$5003,"&lt;"&amp;EDATE(DATE(2026,11,1),1)))&gt;0,"✓ Invoiced","⚠ Due"),""),""))</f>
        <v/>
      </c>
      <c r="O158" s="130" t="str">
        <f aca="false">IF($A158="","",IF((DATE(YEAR($E158),MONTH($E158),1)&lt;=DATE(2026,12,1)),IF((MOD(DATEDIF(DATE(YEAR($E158),MONTH($E158),1),DATE(2026,12,1),"m"),IF($D158="Quarterly",3,IF($D158="Annual",12,1)))=0),IF((COUNTIFS(Xero_Raw!$D$4:$D$5003,$A158,Xero_Raw!$G$4:$G$5003,"*Subscription*",Xero_Raw!$A$4:$A$5003,"&gt;="&amp;DATE(2026,12,1),Xero_Raw!$A$4:$A$5003,"&lt;"&amp;EDATE(DATE(2026,12,1),1))+COUNTIFS(Customer_Invoices_Upload!$E$4:$E$5003,$A158,Customer_Invoices_Upload!$G$4:$G$5003,"*Subscription*",Customer_Invoices_Upload!$B$4:$B$5003,"&gt;="&amp;DATE(2026,12,1),Customer_Invoices_Upload!$B$4:$B$5003,"&lt;"&amp;EDATE(DATE(2026,12,1),1))+COUNTIFS(Stripe_Invoices_Upload!$D$4:$D$5003,$A158,Stripe_Invoices_Upload!$E$4:$E$5003,"*Subscription*",Stripe_Invoices_Upload!$A$4:$A$5003,"&gt;="&amp;DATE(2026,12,1),Stripe_Invoices_Upload!$A$4:$A$5003,"&lt;"&amp;EDATE(DATE(2026,12,1),1)))&gt;0,"✓ Invoiced","⚠ Due"),""),""))</f>
        <v/>
      </c>
      <c r="P158" s="130" t="str">
        <f aca="false">IF($A158="","",IF((DATE(YEAR($E158),MONTH($E158),1)&lt;=DATE(2027,1,1)),IF((MOD(DATEDIF(DATE(YEAR($E158),MONTH($E158),1),DATE(2027,1,1),"m"),IF($D158="Quarterly",3,IF($D158="Annual",12,1)))=0),IF((COUNTIFS(Xero_Raw!$D$4:$D$5003,$A158,Xero_Raw!$G$4:$G$5003,"*Subscription*",Xero_Raw!$A$4:$A$5003,"&gt;="&amp;DATE(2027,1,1),Xero_Raw!$A$4:$A$5003,"&lt;"&amp;EDATE(DATE(2027,1,1),1))+COUNTIFS(Customer_Invoices_Upload!$E$4:$E$5003,$A158,Customer_Invoices_Upload!$G$4:$G$5003,"*Subscription*",Customer_Invoices_Upload!$B$4:$B$5003,"&gt;="&amp;DATE(2027,1,1),Customer_Invoices_Upload!$B$4:$B$5003,"&lt;"&amp;EDATE(DATE(2027,1,1),1))+COUNTIFS(Stripe_Invoices_Upload!$D$4:$D$5003,$A158,Stripe_Invoices_Upload!$E$4:$E$5003,"*Subscription*",Stripe_Invoices_Upload!$A$4:$A$5003,"&gt;="&amp;DATE(2027,1,1),Stripe_Invoices_Upload!$A$4:$A$5003,"&lt;"&amp;EDATE(DATE(2027,1,1),1)))&gt;0,"✓ Invoiced","⚠ Due"),""),""))</f>
        <v/>
      </c>
      <c r="Q158" s="130" t="str">
        <f aca="false">IF($A158="","",IF((DATE(YEAR($E158),MONTH($E158),1)&lt;=DATE(2027,2,1)),IF((MOD(DATEDIF(DATE(YEAR($E158),MONTH($E158),1),DATE(2027,2,1),"m"),IF($D158="Quarterly",3,IF($D158="Annual",12,1)))=0),IF((COUNTIFS(Xero_Raw!$D$4:$D$5003,$A158,Xero_Raw!$G$4:$G$5003,"*Subscription*",Xero_Raw!$A$4:$A$5003,"&gt;="&amp;DATE(2027,2,1),Xero_Raw!$A$4:$A$5003,"&lt;"&amp;EDATE(DATE(2027,2,1),1))+COUNTIFS(Customer_Invoices_Upload!$E$4:$E$5003,$A158,Customer_Invoices_Upload!$G$4:$G$5003,"*Subscription*",Customer_Invoices_Upload!$B$4:$B$5003,"&gt;="&amp;DATE(2027,2,1),Customer_Invoices_Upload!$B$4:$B$5003,"&lt;"&amp;EDATE(DATE(2027,2,1),1))+COUNTIFS(Stripe_Invoices_Upload!$D$4:$D$5003,$A158,Stripe_Invoices_Upload!$E$4:$E$5003,"*Subscription*",Stripe_Invoices_Upload!$A$4:$A$5003,"&gt;="&amp;DATE(2027,2,1),Stripe_Invoices_Upload!$A$4:$A$5003,"&lt;"&amp;EDATE(DATE(2027,2,1),1)))&gt;0,"✓ Invoiced","⚠ Due"),""),""))</f>
        <v/>
      </c>
      <c r="R158" s="130" t="str">
        <f aca="false">IF($A158="","",IF((DATE(YEAR($E158),MONTH($E158),1)&lt;=DATE(2027,3,1)),IF((MOD(DATEDIF(DATE(YEAR($E158),MONTH($E158),1),DATE(2027,3,1),"m"),IF($D158="Quarterly",3,IF($D158="Annual",12,1)))=0),IF((COUNTIFS(Xero_Raw!$D$4:$D$5003,$A158,Xero_Raw!$G$4:$G$5003,"*Subscription*",Xero_Raw!$A$4:$A$5003,"&gt;="&amp;DATE(2027,3,1),Xero_Raw!$A$4:$A$5003,"&lt;"&amp;EDATE(DATE(2027,3,1),1))+COUNTIFS(Customer_Invoices_Upload!$E$4:$E$5003,$A158,Customer_Invoices_Upload!$G$4:$G$5003,"*Subscription*",Customer_Invoices_Upload!$B$4:$B$5003,"&gt;="&amp;DATE(2027,3,1),Customer_Invoices_Upload!$B$4:$B$5003,"&lt;"&amp;EDATE(DATE(2027,3,1),1))+COUNTIFS(Stripe_Invoices_Upload!$D$4:$D$5003,$A158,Stripe_Invoices_Upload!$E$4:$E$5003,"*Subscription*",Stripe_Invoices_Upload!$A$4:$A$5003,"&gt;="&amp;DATE(2027,3,1),Stripe_Invoices_Upload!$A$4:$A$5003,"&lt;"&amp;EDATE(DATE(2027,3,1),1)))&gt;0,"✓ Invoiced","⚠ Due"),""),""))</f>
        <v/>
      </c>
    </row>
    <row r="159" customFormat="false" ht="15" hidden="false" customHeight="false" outlineLevel="0" collapsed="false">
      <c r="A159" s="39"/>
      <c r="B159" s="39"/>
      <c r="C159" s="40"/>
      <c r="D159" s="39"/>
      <c r="E159" s="38"/>
      <c r="F159" s="129" t="str">
        <f aca="true">IF($A159="","",EDATE($E159,DATEDIF($E159,TODAY(),"m")+1))</f>
        <v/>
      </c>
      <c r="G159" s="130" t="str">
        <f aca="false">IF($A159="","",IF((DATE(YEAR($E159),MONTH($E159),1)&lt;=DATE(2026,4,1)),IF((MOD(DATEDIF(DATE(YEAR($E159),MONTH($E159),1),DATE(2026,4,1),"m"),IF($D159="Quarterly",3,IF($D159="Annual",12,1)))=0),IF((COUNTIFS(Xero_Raw!$D$4:$D$5003,$A159,Xero_Raw!$G$4:$G$5003,"*Subscription*",Xero_Raw!$A$4:$A$5003,"&gt;="&amp;DATE(2026,4,1),Xero_Raw!$A$4:$A$5003,"&lt;"&amp;EDATE(DATE(2026,4,1),1))+COUNTIFS(Customer_Invoices_Upload!$E$4:$E$5003,$A159,Customer_Invoices_Upload!$G$4:$G$5003,"*Subscription*",Customer_Invoices_Upload!$B$4:$B$5003,"&gt;="&amp;DATE(2026,4,1),Customer_Invoices_Upload!$B$4:$B$5003,"&lt;"&amp;EDATE(DATE(2026,4,1),1))+COUNTIFS(Stripe_Invoices_Upload!$D$4:$D$5003,$A159,Stripe_Invoices_Upload!$E$4:$E$5003,"*Subscription*",Stripe_Invoices_Upload!$A$4:$A$5003,"&gt;="&amp;DATE(2026,4,1),Stripe_Invoices_Upload!$A$4:$A$5003,"&lt;"&amp;EDATE(DATE(2026,4,1),1)))&gt;0,"✓ Invoiced","⚠ Due"),""),""))</f>
        <v/>
      </c>
      <c r="H159" s="130" t="str">
        <f aca="false">IF($A159="","",IF((DATE(YEAR($E159),MONTH($E159),1)&lt;=DATE(2026,5,1)),IF((MOD(DATEDIF(DATE(YEAR($E159),MONTH($E159),1),DATE(2026,5,1),"m"),IF($D159="Quarterly",3,IF($D159="Annual",12,1)))=0),IF((COUNTIFS(Xero_Raw!$D$4:$D$5003,$A159,Xero_Raw!$G$4:$G$5003,"*Subscription*",Xero_Raw!$A$4:$A$5003,"&gt;="&amp;DATE(2026,5,1),Xero_Raw!$A$4:$A$5003,"&lt;"&amp;EDATE(DATE(2026,5,1),1))+COUNTIFS(Customer_Invoices_Upload!$E$4:$E$5003,$A159,Customer_Invoices_Upload!$G$4:$G$5003,"*Subscription*",Customer_Invoices_Upload!$B$4:$B$5003,"&gt;="&amp;DATE(2026,5,1),Customer_Invoices_Upload!$B$4:$B$5003,"&lt;"&amp;EDATE(DATE(2026,5,1),1))+COUNTIFS(Stripe_Invoices_Upload!$D$4:$D$5003,$A159,Stripe_Invoices_Upload!$E$4:$E$5003,"*Subscription*",Stripe_Invoices_Upload!$A$4:$A$5003,"&gt;="&amp;DATE(2026,5,1),Stripe_Invoices_Upload!$A$4:$A$5003,"&lt;"&amp;EDATE(DATE(2026,5,1),1)))&gt;0,"✓ Invoiced","⚠ Due"),""),""))</f>
        <v/>
      </c>
      <c r="I159" s="130" t="str">
        <f aca="false">IF($A159="","",IF((DATE(YEAR($E159),MONTH($E159),1)&lt;=DATE(2026,6,1)),IF((MOD(DATEDIF(DATE(YEAR($E159),MONTH($E159),1),DATE(2026,6,1),"m"),IF($D159="Quarterly",3,IF($D159="Annual",12,1)))=0),IF((COUNTIFS(Xero_Raw!$D$4:$D$5003,$A159,Xero_Raw!$G$4:$G$5003,"*Subscription*",Xero_Raw!$A$4:$A$5003,"&gt;="&amp;DATE(2026,6,1),Xero_Raw!$A$4:$A$5003,"&lt;"&amp;EDATE(DATE(2026,6,1),1))+COUNTIFS(Customer_Invoices_Upload!$E$4:$E$5003,$A159,Customer_Invoices_Upload!$G$4:$G$5003,"*Subscription*",Customer_Invoices_Upload!$B$4:$B$5003,"&gt;="&amp;DATE(2026,6,1),Customer_Invoices_Upload!$B$4:$B$5003,"&lt;"&amp;EDATE(DATE(2026,6,1),1))+COUNTIFS(Stripe_Invoices_Upload!$D$4:$D$5003,$A159,Stripe_Invoices_Upload!$E$4:$E$5003,"*Subscription*",Stripe_Invoices_Upload!$A$4:$A$5003,"&gt;="&amp;DATE(2026,6,1),Stripe_Invoices_Upload!$A$4:$A$5003,"&lt;"&amp;EDATE(DATE(2026,6,1),1)))&gt;0,"✓ Invoiced","⚠ Due"),""),""))</f>
        <v/>
      </c>
      <c r="J159" s="130" t="str">
        <f aca="false">IF($A159="","",IF((DATE(YEAR($E159),MONTH($E159),1)&lt;=DATE(2026,7,1)),IF((MOD(DATEDIF(DATE(YEAR($E159),MONTH($E159),1),DATE(2026,7,1),"m"),IF($D159="Quarterly",3,IF($D159="Annual",12,1)))=0),IF((COUNTIFS(Xero_Raw!$D$4:$D$5003,$A159,Xero_Raw!$G$4:$G$5003,"*Subscription*",Xero_Raw!$A$4:$A$5003,"&gt;="&amp;DATE(2026,7,1),Xero_Raw!$A$4:$A$5003,"&lt;"&amp;EDATE(DATE(2026,7,1),1))+COUNTIFS(Customer_Invoices_Upload!$E$4:$E$5003,$A159,Customer_Invoices_Upload!$G$4:$G$5003,"*Subscription*",Customer_Invoices_Upload!$B$4:$B$5003,"&gt;="&amp;DATE(2026,7,1),Customer_Invoices_Upload!$B$4:$B$5003,"&lt;"&amp;EDATE(DATE(2026,7,1),1))+COUNTIFS(Stripe_Invoices_Upload!$D$4:$D$5003,$A159,Stripe_Invoices_Upload!$E$4:$E$5003,"*Subscription*",Stripe_Invoices_Upload!$A$4:$A$5003,"&gt;="&amp;DATE(2026,7,1),Stripe_Invoices_Upload!$A$4:$A$5003,"&lt;"&amp;EDATE(DATE(2026,7,1),1)))&gt;0,"✓ Invoiced","⚠ Due"),""),""))</f>
        <v/>
      </c>
      <c r="K159" s="130" t="str">
        <f aca="false">IF($A159="","",IF((DATE(YEAR($E159),MONTH($E159),1)&lt;=DATE(2026,8,1)),IF((MOD(DATEDIF(DATE(YEAR($E159),MONTH($E159),1),DATE(2026,8,1),"m"),IF($D159="Quarterly",3,IF($D159="Annual",12,1)))=0),IF((COUNTIFS(Xero_Raw!$D$4:$D$5003,$A159,Xero_Raw!$G$4:$G$5003,"*Subscription*",Xero_Raw!$A$4:$A$5003,"&gt;="&amp;DATE(2026,8,1),Xero_Raw!$A$4:$A$5003,"&lt;"&amp;EDATE(DATE(2026,8,1),1))+COUNTIFS(Customer_Invoices_Upload!$E$4:$E$5003,$A159,Customer_Invoices_Upload!$G$4:$G$5003,"*Subscription*",Customer_Invoices_Upload!$B$4:$B$5003,"&gt;="&amp;DATE(2026,8,1),Customer_Invoices_Upload!$B$4:$B$5003,"&lt;"&amp;EDATE(DATE(2026,8,1),1))+COUNTIFS(Stripe_Invoices_Upload!$D$4:$D$5003,$A159,Stripe_Invoices_Upload!$E$4:$E$5003,"*Subscription*",Stripe_Invoices_Upload!$A$4:$A$5003,"&gt;="&amp;DATE(2026,8,1),Stripe_Invoices_Upload!$A$4:$A$5003,"&lt;"&amp;EDATE(DATE(2026,8,1),1)))&gt;0,"✓ Invoiced","⚠ Due"),""),""))</f>
        <v/>
      </c>
      <c r="L159" s="130" t="str">
        <f aca="false">IF($A159="","",IF((DATE(YEAR($E159),MONTH($E159),1)&lt;=DATE(2026,9,1)),IF((MOD(DATEDIF(DATE(YEAR($E159),MONTH($E159),1),DATE(2026,9,1),"m"),IF($D159="Quarterly",3,IF($D159="Annual",12,1)))=0),IF((COUNTIFS(Xero_Raw!$D$4:$D$5003,$A159,Xero_Raw!$G$4:$G$5003,"*Subscription*",Xero_Raw!$A$4:$A$5003,"&gt;="&amp;DATE(2026,9,1),Xero_Raw!$A$4:$A$5003,"&lt;"&amp;EDATE(DATE(2026,9,1),1))+COUNTIFS(Customer_Invoices_Upload!$E$4:$E$5003,$A159,Customer_Invoices_Upload!$G$4:$G$5003,"*Subscription*",Customer_Invoices_Upload!$B$4:$B$5003,"&gt;="&amp;DATE(2026,9,1),Customer_Invoices_Upload!$B$4:$B$5003,"&lt;"&amp;EDATE(DATE(2026,9,1),1))+COUNTIFS(Stripe_Invoices_Upload!$D$4:$D$5003,$A159,Stripe_Invoices_Upload!$E$4:$E$5003,"*Subscription*",Stripe_Invoices_Upload!$A$4:$A$5003,"&gt;="&amp;DATE(2026,9,1),Stripe_Invoices_Upload!$A$4:$A$5003,"&lt;"&amp;EDATE(DATE(2026,9,1),1)))&gt;0,"✓ Invoiced","⚠ Due"),""),""))</f>
        <v/>
      </c>
      <c r="M159" s="130" t="str">
        <f aca="false">IF($A159="","",IF((DATE(YEAR($E159),MONTH($E159),1)&lt;=DATE(2026,10,1)),IF((MOD(DATEDIF(DATE(YEAR($E159),MONTH($E159),1),DATE(2026,10,1),"m"),IF($D159="Quarterly",3,IF($D159="Annual",12,1)))=0),IF((COUNTIFS(Xero_Raw!$D$4:$D$5003,$A159,Xero_Raw!$G$4:$G$5003,"*Subscription*",Xero_Raw!$A$4:$A$5003,"&gt;="&amp;DATE(2026,10,1),Xero_Raw!$A$4:$A$5003,"&lt;"&amp;EDATE(DATE(2026,10,1),1))+COUNTIFS(Customer_Invoices_Upload!$E$4:$E$5003,$A159,Customer_Invoices_Upload!$G$4:$G$5003,"*Subscription*",Customer_Invoices_Upload!$B$4:$B$5003,"&gt;="&amp;DATE(2026,10,1),Customer_Invoices_Upload!$B$4:$B$5003,"&lt;"&amp;EDATE(DATE(2026,10,1),1))+COUNTIFS(Stripe_Invoices_Upload!$D$4:$D$5003,$A159,Stripe_Invoices_Upload!$E$4:$E$5003,"*Subscription*",Stripe_Invoices_Upload!$A$4:$A$5003,"&gt;="&amp;DATE(2026,10,1),Stripe_Invoices_Upload!$A$4:$A$5003,"&lt;"&amp;EDATE(DATE(2026,10,1),1)))&gt;0,"✓ Invoiced","⚠ Due"),""),""))</f>
        <v/>
      </c>
      <c r="N159" s="130" t="str">
        <f aca="false">IF($A159="","",IF((DATE(YEAR($E159),MONTH($E159),1)&lt;=DATE(2026,11,1)),IF((MOD(DATEDIF(DATE(YEAR($E159),MONTH($E159),1),DATE(2026,11,1),"m"),IF($D159="Quarterly",3,IF($D159="Annual",12,1)))=0),IF((COUNTIFS(Xero_Raw!$D$4:$D$5003,$A159,Xero_Raw!$G$4:$G$5003,"*Subscription*",Xero_Raw!$A$4:$A$5003,"&gt;="&amp;DATE(2026,11,1),Xero_Raw!$A$4:$A$5003,"&lt;"&amp;EDATE(DATE(2026,11,1),1))+COUNTIFS(Customer_Invoices_Upload!$E$4:$E$5003,$A159,Customer_Invoices_Upload!$G$4:$G$5003,"*Subscription*",Customer_Invoices_Upload!$B$4:$B$5003,"&gt;="&amp;DATE(2026,11,1),Customer_Invoices_Upload!$B$4:$B$5003,"&lt;"&amp;EDATE(DATE(2026,11,1),1))+COUNTIFS(Stripe_Invoices_Upload!$D$4:$D$5003,$A159,Stripe_Invoices_Upload!$E$4:$E$5003,"*Subscription*",Stripe_Invoices_Upload!$A$4:$A$5003,"&gt;="&amp;DATE(2026,11,1),Stripe_Invoices_Upload!$A$4:$A$5003,"&lt;"&amp;EDATE(DATE(2026,11,1),1)))&gt;0,"✓ Invoiced","⚠ Due"),""),""))</f>
        <v/>
      </c>
      <c r="O159" s="130" t="str">
        <f aca="false">IF($A159="","",IF((DATE(YEAR($E159),MONTH($E159),1)&lt;=DATE(2026,12,1)),IF((MOD(DATEDIF(DATE(YEAR($E159),MONTH($E159),1),DATE(2026,12,1),"m"),IF($D159="Quarterly",3,IF($D159="Annual",12,1)))=0),IF((COUNTIFS(Xero_Raw!$D$4:$D$5003,$A159,Xero_Raw!$G$4:$G$5003,"*Subscription*",Xero_Raw!$A$4:$A$5003,"&gt;="&amp;DATE(2026,12,1),Xero_Raw!$A$4:$A$5003,"&lt;"&amp;EDATE(DATE(2026,12,1),1))+COUNTIFS(Customer_Invoices_Upload!$E$4:$E$5003,$A159,Customer_Invoices_Upload!$G$4:$G$5003,"*Subscription*",Customer_Invoices_Upload!$B$4:$B$5003,"&gt;="&amp;DATE(2026,12,1),Customer_Invoices_Upload!$B$4:$B$5003,"&lt;"&amp;EDATE(DATE(2026,12,1),1))+COUNTIFS(Stripe_Invoices_Upload!$D$4:$D$5003,$A159,Stripe_Invoices_Upload!$E$4:$E$5003,"*Subscription*",Stripe_Invoices_Upload!$A$4:$A$5003,"&gt;="&amp;DATE(2026,12,1),Stripe_Invoices_Upload!$A$4:$A$5003,"&lt;"&amp;EDATE(DATE(2026,12,1),1)))&gt;0,"✓ Invoiced","⚠ Due"),""),""))</f>
        <v/>
      </c>
      <c r="P159" s="130" t="str">
        <f aca="false">IF($A159="","",IF((DATE(YEAR($E159),MONTH($E159),1)&lt;=DATE(2027,1,1)),IF((MOD(DATEDIF(DATE(YEAR($E159),MONTH($E159),1),DATE(2027,1,1),"m"),IF($D159="Quarterly",3,IF($D159="Annual",12,1)))=0),IF((COUNTIFS(Xero_Raw!$D$4:$D$5003,$A159,Xero_Raw!$G$4:$G$5003,"*Subscription*",Xero_Raw!$A$4:$A$5003,"&gt;="&amp;DATE(2027,1,1),Xero_Raw!$A$4:$A$5003,"&lt;"&amp;EDATE(DATE(2027,1,1),1))+COUNTIFS(Customer_Invoices_Upload!$E$4:$E$5003,$A159,Customer_Invoices_Upload!$G$4:$G$5003,"*Subscription*",Customer_Invoices_Upload!$B$4:$B$5003,"&gt;="&amp;DATE(2027,1,1),Customer_Invoices_Upload!$B$4:$B$5003,"&lt;"&amp;EDATE(DATE(2027,1,1),1))+COUNTIFS(Stripe_Invoices_Upload!$D$4:$D$5003,$A159,Stripe_Invoices_Upload!$E$4:$E$5003,"*Subscription*",Stripe_Invoices_Upload!$A$4:$A$5003,"&gt;="&amp;DATE(2027,1,1),Stripe_Invoices_Upload!$A$4:$A$5003,"&lt;"&amp;EDATE(DATE(2027,1,1),1)))&gt;0,"✓ Invoiced","⚠ Due"),""),""))</f>
        <v/>
      </c>
      <c r="Q159" s="130" t="str">
        <f aca="false">IF($A159="","",IF((DATE(YEAR($E159),MONTH($E159),1)&lt;=DATE(2027,2,1)),IF((MOD(DATEDIF(DATE(YEAR($E159),MONTH($E159),1),DATE(2027,2,1),"m"),IF($D159="Quarterly",3,IF($D159="Annual",12,1)))=0),IF((COUNTIFS(Xero_Raw!$D$4:$D$5003,$A159,Xero_Raw!$G$4:$G$5003,"*Subscription*",Xero_Raw!$A$4:$A$5003,"&gt;="&amp;DATE(2027,2,1),Xero_Raw!$A$4:$A$5003,"&lt;"&amp;EDATE(DATE(2027,2,1),1))+COUNTIFS(Customer_Invoices_Upload!$E$4:$E$5003,$A159,Customer_Invoices_Upload!$G$4:$G$5003,"*Subscription*",Customer_Invoices_Upload!$B$4:$B$5003,"&gt;="&amp;DATE(2027,2,1),Customer_Invoices_Upload!$B$4:$B$5003,"&lt;"&amp;EDATE(DATE(2027,2,1),1))+COUNTIFS(Stripe_Invoices_Upload!$D$4:$D$5003,$A159,Stripe_Invoices_Upload!$E$4:$E$5003,"*Subscription*",Stripe_Invoices_Upload!$A$4:$A$5003,"&gt;="&amp;DATE(2027,2,1),Stripe_Invoices_Upload!$A$4:$A$5003,"&lt;"&amp;EDATE(DATE(2027,2,1),1)))&gt;0,"✓ Invoiced","⚠ Due"),""),""))</f>
        <v/>
      </c>
      <c r="R159" s="130" t="str">
        <f aca="false">IF($A159="","",IF((DATE(YEAR($E159),MONTH($E159),1)&lt;=DATE(2027,3,1)),IF((MOD(DATEDIF(DATE(YEAR($E159),MONTH($E159),1),DATE(2027,3,1),"m"),IF($D159="Quarterly",3,IF($D159="Annual",12,1)))=0),IF((COUNTIFS(Xero_Raw!$D$4:$D$5003,$A159,Xero_Raw!$G$4:$G$5003,"*Subscription*",Xero_Raw!$A$4:$A$5003,"&gt;="&amp;DATE(2027,3,1),Xero_Raw!$A$4:$A$5003,"&lt;"&amp;EDATE(DATE(2027,3,1),1))+COUNTIFS(Customer_Invoices_Upload!$E$4:$E$5003,$A159,Customer_Invoices_Upload!$G$4:$G$5003,"*Subscription*",Customer_Invoices_Upload!$B$4:$B$5003,"&gt;="&amp;DATE(2027,3,1),Customer_Invoices_Upload!$B$4:$B$5003,"&lt;"&amp;EDATE(DATE(2027,3,1),1))+COUNTIFS(Stripe_Invoices_Upload!$D$4:$D$5003,$A159,Stripe_Invoices_Upload!$E$4:$E$5003,"*Subscription*",Stripe_Invoices_Upload!$A$4:$A$5003,"&gt;="&amp;DATE(2027,3,1),Stripe_Invoices_Upload!$A$4:$A$5003,"&lt;"&amp;EDATE(DATE(2027,3,1),1)))&gt;0,"✓ Invoiced","⚠ Due"),""),""))</f>
        <v/>
      </c>
    </row>
    <row r="160" customFormat="false" ht="15" hidden="false" customHeight="false" outlineLevel="0" collapsed="false">
      <c r="A160" s="39"/>
      <c r="B160" s="39"/>
      <c r="C160" s="40"/>
      <c r="D160" s="39"/>
      <c r="E160" s="38"/>
      <c r="F160" s="129" t="str">
        <f aca="true">IF($A160="","",EDATE($E160,DATEDIF($E160,TODAY(),"m")+1))</f>
        <v/>
      </c>
      <c r="G160" s="130" t="str">
        <f aca="false">IF($A160="","",IF((DATE(YEAR($E160),MONTH($E160),1)&lt;=DATE(2026,4,1)),IF((MOD(DATEDIF(DATE(YEAR($E160),MONTH($E160),1),DATE(2026,4,1),"m"),IF($D160="Quarterly",3,IF($D160="Annual",12,1)))=0),IF((COUNTIFS(Xero_Raw!$D$4:$D$5003,$A160,Xero_Raw!$G$4:$G$5003,"*Subscription*",Xero_Raw!$A$4:$A$5003,"&gt;="&amp;DATE(2026,4,1),Xero_Raw!$A$4:$A$5003,"&lt;"&amp;EDATE(DATE(2026,4,1),1))+COUNTIFS(Customer_Invoices_Upload!$E$4:$E$5003,$A160,Customer_Invoices_Upload!$G$4:$G$5003,"*Subscription*",Customer_Invoices_Upload!$B$4:$B$5003,"&gt;="&amp;DATE(2026,4,1),Customer_Invoices_Upload!$B$4:$B$5003,"&lt;"&amp;EDATE(DATE(2026,4,1),1))+COUNTIFS(Stripe_Invoices_Upload!$D$4:$D$5003,$A160,Stripe_Invoices_Upload!$E$4:$E$5003,"*Subscription*",Stripe_Invoices_Upload!$A$4:$A$5003,"&gt;="&amp;DATE(2026,4,1),Stripe_Invoices_Upload!$A$4:$A$5003,"&lt;"&amp;EDATE(DATE(2026,4,1),1)))&gt;0,"✓ Invoiced","⚠ Due"),""),""))</f>
        <v/>
      </c>
      <c r="H160" s="130" t="str">
        <f aca="false">IF($A160="","",IF((DATE(YEAR($E160),MONTH($E160),1)&lt;=DATE(2026,5,1)),IF((MOD(DATEDIF(DATE(YEAR($E160),MONTH($E160),1),DATE(2026,5,1),"m"),IF($D160="Quarterly",3,IF($D160="Annual",12,1)))=0),IF((COUNTIFS(Xero_Raw!$D$4:$D$5003,$A160,Xero_Raw!$G$4:$G$5003,"*Subscription*",Xero_Raw!$A$4:$A$5003,"&gt;="&amp;DATE(2026,5,1),Xero_Raw!$A$4:$A$5003,"&lt;"&amp;EDATE(DATE(2026,5,1),1))+COUNTIFS(Customer_Invoices_Upload!$E$4:$E$5003,$A160,Customer_Invoices_Upload!$G$4:$G$5003,"*Subscription*",Customer_Invoices_Upload!$B$4:$B$5003,"&gt;="&amp;DATE(2026,5,1),Customer_Invoices_Upload!$B$4:$B$5003,"&lt;"&amp;EDATE(DATE(2026,5,1),1))+COUNTIFS(Stripe_Invoices_Upload!$D$4:$D$5003,$A160,Stripe_Invoices_Upload!$E$4:$E$5003,"*Subscription*",Stripe_Invoices_Upload!$A$4:$A$5003,"&gt;="&amp;DATE(2026,5,1),Stripe_Invoices_Upload!$A$4:$A$5003,"&lt;"&amp;EDATE(DATE(2026,5,1),1)))&gt;0,"✓ Invoiced","⚠ Due"),""),""))</f>
        <v/>
      </c>
      <c r="I160" s="130" t="str">
        <f aca="false">IF($A160="","",IF((DATE(YEAR($E160),MONTH($E160),1)&lt;=DATE(2026,6,1)),IF((MOD(DATEDIF(DATE(YEAR($E160),MONTH($E160),1),DATE(2026,6,1),"m"),IF($D160="Quarterly",3,IF($D160="Annual",12,1)))=0),IF((COUNTIFS(Xero_Raw!$D$4:$D$5003,$A160,Xero_Raw!$G$4:$G$5003,"*Subscription*",Xero_Raw!$A$4:$A$5003,"&gt;="&amp;DATE(2026,6,1),Xero_Raw!$A$4:$A$5003,"&lt;"&amp;EDATE(DATE(2026,6,1),1))+COUNTIFS(Customer_Invoices_Upload!$E$4:$E$5003,$A160,Customer_Invoices_Upload!$G$4:$G$5003,"*Subscription*",Customer_Invoices_Upload!$B$4:$B$5003,"&gt;="&amp;DATE(2026,6,1),Customer_Invoices_Upload!$B$4:$B$5003,"&lt;"&amp;EDATE(DATE(2026,6,1),1))+COUNTIFS(Stripe_Invoices_Upload!$D$4:$D$5003,$A160,Stripe_Invoices_Upload!$E$4:$E$5003,"*Subscription*",Stripe_Invoices_Upload!$A$4:$A$5003,"&gt;="&amp;DATE(2026,6,1),Stripe_Invoices_Upload!$A$4:$A$5003,"&lt;"&amp;EDATE(DATE(2026,6,1),1)))&gt;0,"✓ Invoiced","⚠ Due"),""),""))</f>
        <v/>
      </c>
      <c r="J160" s="130" t="str">
        <f aca="false">IF($A160="","",IF((DATE(YEAR($E160),MONTH($E160),1)&lt;=DATE(2026,7,1)),IF((MOD(DATEDIF(DATE(YEAR($E160),MONTH($E160),1),DATE(2026,7,1),"m"),IF($D160="Quarterly",3,IF($D160="Annual",12,1)))=0),IF((COUNTIFS(Xero_Raw!$D$4:$D$5003,$A160,Xero_Raw!$G$4:$G$5003,"*Subscription*",Xero_Raw!$A$4:$A$5003,"&gt;="&amp;DATE(2026,7,1),Xero_Raw!$A$4:$A$5003,"&lt;"&amp;EDATE(DATE(2026,7,1),1))+COUNTIFS(Customer_Invoices_Upload!$E$4:$E$5003,$A160,Customer_Invoices_Upload!$G$4:$G$5003,"*Subscription*",Customer_Invoices_Upload!$B$4:$B$5003,"&gt;="&amp;DATE(2026,7,1),Customer_Invoices_Upload!$B$4:$B$5003,"&lt;"&amp;EDATE(DATE(2026,7,1),1))+COUNTIFS(Stripe_Invoices_Upload!$D$4:$D$5003,$A160,Stripe_Invoices_Upload!$E$4:$E$5003,"*Subscription*",Stripe_Invoices_Upload!$A$4:$A$5003,"&gt;="&amp;DATE(2026,7,1),Stripe_Invoices_Upload!$A$4:$A$5003,"&lt;"&amp;EDATE(DATE(2026,7,1),1)))&gt;0,"✓ Invoiced","⚠ Due"),""),""))</f>
        <v/>
      </c>
      <c r="K160" s="130" t="str">
        <f aca="false">IF($A160="","",IF((DATE(YEAR($E160),MONTH($E160),1)&lt;=DATE(2026,8,1)),IF((MOD(DATEDIF(DATE(YEAR($E160),MONTH($E160),1),DATE(2026,8,1),"m"),IF($D160="Quarterly",3,IF($D160="Annual",12,1)))=0),IF((COUNTIFS(Xero_Raw!$D$4:$D$5003,$A160,Xero_Raw!$G$4:$G$5003,"*Subscription*",Xero_Raw!$A$4:$A$5003,"&gt;="&amp;DATE(2026,8,1),Xero_Raw!$A$4:$A$5003,"&lt;"&amp;EDATE(DATE(2026,8,1),1))+COUNTIFS(Customer_Invoices_Upload!$E$4:$E$5003,$A160,Customer_Invoices_Upload!$G$4:$G$5003,"*Subscription*",Customer_Invoices_Upload!$B$4:$B$5003,"&gt;="&amp;DATE(2026,8,1),Customer_Invoices_Upload!$B$4:$B$5003,"&lt;"&amp;EDATE(DATE(2026,8,1),1))+COUNTIFS(Stripe_Invoices_Upload!$D$4:$D$5003,$A160,Stripe_Invoices_Upload!$E$4:$E$5003,"*Subscription*",Stripe_Invoices_Upload!$A$4:$A$5003,"&gt;="&amp;DATE(2026,8,1),Stripe_Invoices_Upload!$A$4:$A$5003,"&lt;"&amp;EDATE(DATE(2026,8,1),1)))&gt;0,"✓ Invoiced","⚠ Due"),""),""))</f>
        <v/>
      </c>
      <c r="L160" s="130" t="str">
        <f aca="false">IF($A160="","",IF((DATE(YEAR($E160),MONTH($E160),1)&lt;=DATE(2026,9,1)),IF((MOD(DATEDIF(DATE(YEAR($E160),MONTH($E160),1),DATE(2026,9,1),"m"),IF($D160="Quarterly",3,IF($D160="Annual",12,1)))=0),IF((COUNTIFS(Xero_Raw!$D$4:$D$5003,$A160,Xero_Raw!$G$4:$G$5003,"*Subscription*",Xero_Raw!$A$4:$A$5003,"&gt;="&amp;DATE(2026,9,1),Xero_Raw!$A$4:$A$5003,"&lt;"&amp;EDATE(DATE(2026,9,1),1))+COUNTIFS(Customer_Invoices_Upload!$E$4:$E$5003,$A160,Customer_Invoices_Upload!$G$4:$G$5003,"*Subscription*",Customer_Invoices_Upload!$B$4:$B$5003,"&gt;="&amp;DATE(2026,9,1),Customer_Invoices_Upload!$B$4:$B$5003,"&lt;"&amp;EDATE(DATE(2026,9,1),1))+COUNTIFS(Stripe_Invoices_Upload!$D$4:$D$5003,$A160,Stripe_Invoices_Upload!$E$4:$E$5003,"*Subscription*",Stripe_Invoices_Upload!$A$4:$A$5003,"&gt;="&amp;DATE(2026,9,1),Stripe_Invoices_Upload!$A$4:$A$5003,"&lt;"&amp;EDATE(DATE(2026,9,1),1)))&gt;0,"✓ Invoiced","⚠ Due"),""),""))</f>
        <v/>
      </c>
      <c r="M160" s="130" t="str">
        <f aca="false">IF($A160="","",IF((DATE(YEAR($E160),MONTH($E160),1)&lt;=DATE(2026,10,1)),IF((MOD(DATEDIF(DATE(YEAR($E160),MONTH($E160),1),DATE(2026,10,1),"m"),IF($D160="Quarterly",3,IF($D160="Annual",12,1)))=0),IF((COUNTIFS(Xero_Raw!$D$4:$D$5003,$A160,Xero_Raw!$G$4:$G$5003,"*Subscription*",Xero_Raw!$A$4:$A$5003,"&gt;="&amp;DATE(2026,10,1),Xero_Raw!$A$4:$A$5003,"&lt;"&amp;EDATE(DATE(2026,10,1),1))+COUNTIFS(Customer_Invoices_Upload!$E$4:$E$5003,$A160,Customer_Invoices_Upload!$G$4:$G$5003,"*Subscription*",Customer_Invoices_Upload!$B$4:$B$5003,"&gt;="&amp;DATE(2026,10,1),Customer_Invoices_Upload!$B$4:$B$5003,"&lt;"&amp;EDATE(DATE(2026,10,1),1))+COUNTIFS(Stripe_Invoices_Upload!$D$4:$D$5003,$A160,Stripe_Invoices_Upload!$E$4:$E$5003,"*Subscription*",Stripe_Invoices_Upload!$A$4:$A$5003,"&gt;="&amp;DATE(2026,10,1),Stripe_Invoices_Upload!$A$4:$A$5003,"&lt;"&amp;EDATE(DATE(2026,10,1),1)))&gt;0,"✓ Invoiced","⚠ Due"),""),""))</f>
        <v/>
      </c>
      <c r="N160" s="130" t="str">
        <f aca="false">IF($A160="","",IF((DATE(YEAR($E160),MONTH($E160),1)&lt;=DATE(2026,11,1)),IF((MOD(DATEDIF(DATE(YEAR($E160),MONTH($E160),1),DATE(2026,11,1),"m"),IF($D160="Quarterly",3,IF($D160="Annual",12,1)))=0),IF((COUNTIFS(Xero_Raw!$D$4:$D$5003,$A160,Xero_Raw!$G$4:$G$5003,"*Subscription*",Xero_Raw!$A$4:$A$5003,"&gt;="&amp;DATE(2026,11,1),Xero_Raw!$A$4:$A$5003,"&lt;"&amp;EDATE(DATE(2026,11,1),1))+COUNTIFS(Customer_Invoices_Upload!$E$4:$E$5003,$A160,Customer_Invoices_Upload!$G$4:$G$5003,"*Subscription*",Customer_Invoices_Upload!$B$4:$B$5003,"&gt;="&amp;DATE(2026,11,1),Customer_Invoices_Upload!$B$4:$B$5003,"&lt;"&amp;EDATE(DATE(2026,11,1),1))+COUNTIFS(Stripe_Invoices_Upload!$D$4:$D$5003,$A160,Stripe_Invoices_Upload!$E$4:$E$5003,"*Subscription*",Stripe_Invoices_Upload!$A$4:$A$5003,"&gt;="&amp;DATE(2026,11,1),Stripe_Invoices_Upload!$A$4:$A$5003,"&lt;"&amp;EDATE(DATE(2026,11,1),1)))&gt;0,"✓ Invoiced","⚠ Due"),""),""))</f>
        <v/>
      </c>
      <c r="O160" s="130" t="str">
        <f aca="false">IF($A160="","",IF((DATE(YEAR($E160),MONTH($E160),1)&lt;=DATE(2026,12,1)),IF((MOD(DATEDIF(DATE(YEAR($E160),MONTH($E160),1),DATE(2026,12,1),"m"),IF($D160="Quarterly",3,IF($D160="Annual",12,1)))=0),IF((COUNTIFS(Xero_Raw!$D$4:$D$5003,$A160,Xero_Raw!$G$4:$G$5003,"*Subscription*",Xero_Raw!$A$4:$A$5003,"&gt;="&amp;DATE(2026,12,1),Xero_Raw!$A$4:$A$5003,"&lt;"&amp;EDATE(DATE(2026,12,1),1))+COUNTIFS(Customer_Invoices_Upload!$E$4:$E$5003,$A160,Customer_Invoices_Upload!$G$4:$G$5003,"*Subscription*",Customer_Invoices_Upload!$B$4:$B$5003,"&gt;="&amp;DATE(2026,12,1),Customer_Invoices_Upload!$B$4:$B$5003,"&lt;"&amp;EDATE(DATE(2026,12,1),1))+COUNTIFS(Stripe_Invoices_Upload!$D$4:$D$5003,$A160,Stripe_Invoices_Upload!$E$4:$E$5003,"*Subscription*",Stripe_Invoices_Upload!$A$4:$A$5003,"&gt;="&amp;DATE(2026,12,1),Stripe_Invoices_Upload!$A$4:$A$5003,"&lt;"&amp;EDATE(DATE(2026,12,1),1)))&gt;0,"✓ Invoiced","⚠ Due"),""),""))</f>
        <v/>
      </c>
      <c r="P160" s="130" t="str">
        <f aca="false">IF($A160="","",IF((DATE(YEAR($E160),MONTH($E160),1)&lt;=DATE(2027,1,1)),IF((MOD(DATEDIF(DATE(YEAR($E160),MONTH($E160),1),DATE(2027,1,1),"m"),IF($D160="Quarterly",3,IF($D160="Annual",12,1)))=0),IF((COUNTIFS(Xero_Raw!$D$4:$D$5003,$A160,Xero_Raw!$G$4:$G$5003,"*Subscription*",Xero_Raw!$A$4:$A$5003,"&gt;="&amp;DATE(2027,1,1),Xero_Raw!$A$4:$A$5003,"&lt;"&amp;EDATE(DATE(2027,1,1),1))+COUNTIFS(Customer_Invoices_Upload!$E$4:$E$5003,$A160,Customer_Invoices_Upload!$G$4:$G$5003,"*Subscription*",Customer_Invoices_Upload!$B$4:$B$5003,"&gt;="&amp;DATE(2027,1,1),Customer_Invoices_Upload!$B$4:$B$5003,"&lt;"&amp;EDATE(DATE(2027,1,1),1))+COUNTIFS(Stripe_Invoices_Upload!$D$4:$D$5003,$A160,Stripe_Invoices_Upload!$E$4:$E$5003,"*Subscription*",Stripe_Invoices_Upload!$A$4:$A$5003,"&gt;="&amp;DATE(2027,1,1),Stripe_Invoices_Upload!$A$4:$A$5003,"&lt;"&amp;EDATE(DATE(2027,1,1),1)))&gt;0,"✓ Invoiced","⚠ Due"),""),""))</f>
        <v/>
      </c>
      <c r="Q160" s="130" t="str">
        <f aca="false">IF($A160="","",IF((DATE(YEAR($E160),MONTH($E160),1)&lt;=DATE(2027,2,1)),IF((MOD(DATEDIF(DATE(YEAR($E160),MONTH($E160),1),DATE(2027,2,1),"m"),IF($D160="Quarterly",3,IF($D160="Annual",12,1)))=0),IF((COUNTIFS(Xero_Raw!$D$4:$D$5003,$A160,Xero_Raw!$G$4:$G$5003,"*Subscription*",Xero_Raw!$A$4:$A$5003,"&gt;="&amp;DATE(2027,2,1),Xero_Raw!$A$4:$A$5003,"&lt;"&amp;EDATE(DATE(2027,2,1),1))+COUNTIFS(Customer_Invoices_Upload!$E$4:$E$5003,$A160,Customer_Invoices_Upload!$G$4:$G$5003,"*Subscription*",Customer_Invoices_Upload!$B$4:$B$5003,"&gt;="&amp;DATE(2027,2,1),Customer_Invoices_Upload!$B$4:$B$5003,"&lt;"&amp;EDATE(DATE(2027,2,1),1))+COUNTIFS(Stripe_Invoices_Upload!$D$4:$D$5003,$A160,Stripe_Invoices_Upload!$E$4:$E$5003,"*Subscription*",Stripe_Invoices_Upload!$A$4:$A$5003,"&gt;="&amp;DATE(2027,2,1),Stripe_Invoices_Upload!$A$4:$A$5003,"&lt;"&amp;EDATE(DATE(2027,2,1),1)))&gt;0,"✓ Invoiced","⚠ Due"),""),""))</f>
        <v/>
      </c>
      <c r="R160" s="130" t="str">
        <f aca="false">IF($A160="","",IF((DATE(YEAR($E160),MONTH($E160),1)&lt;=DATE(2027,3,1)),IF((MOD(DATEDIF(DATE(YEAR($E160),MONTH($E160),1),DATE(2027,3,1),"m"),IF($D160="Quarterly",3,IF($D160="Annual",12,1)))=0),IF((COUNTIFS(Xero_Raw!$D$4:$D$5003,$A160,Xero_Raw!$G$4:$G$5003,"*Subscription*",Xero_Raw!$A$4:$A$5003,"&gt;="&amp;DATE(2027,3,1),Xero_Raw!$A$4:$A$5003,"&lt;"&amp;EDATE(DATE(2027,3,1),1))+COUNTIFS(Customer_Invoices_Upload!$E$4:$E$5003,$A160,Customer_Invoices_Upload!$G$4:$G$5003,"*Subscription*",Customer_Invoices_Upload!$B$4:$B$5003,"&gt;="&amp;DATE(2027,3,1),Customer_Invoices_Upload!$B$4:$B$5003,"&lt;"&amp;EDATE(DATE(2027,3,1),1))+COUNTIFS(Stripe_Invoices_Upload!$D$4:$D$5003,$A160,Stripe_Invoices_Upload!$E$4:$E$5003,"*Subscription*",Stripe_Invoices_Upload!$A$4:$A$5003,"&gt;="&amp;DATE(2027,3,1),Stripe_Invoices_Upload!$A$4:$A$5003,"&lt;"&amp;EDATE(DATE(2027,3,1),1)))&gt;0,"✓ Invoiced","⚠ Due"),""),""))</f>
        <v/>
      </c>
    </row>
    <row r="161" customFormat="false" ht="15" hidden="false" customHeight="false" outlineLevel="0" collapsed="false">
      <c r="A161" s="39"/>
      <c r="B161" s="39"/>
      <c r="C161" s="40"/>
      <c r="D161" s="39"/>
      <c r="E161" s="38"/>
      <c r="F161" s="129" t="str">
        <f aca="true">IF($A161="","",EDATE($E161,DATEDIF($E161,TODAY(),"m")+1))</f>
        <v/>
      </c>
      <c r="G161" s="130" t="str">
        <f aca="false">IF($A161="","",IF((DATE(YEAR($E161),MONTH($E161),1)&lt;=DATE(2026,4,1)),IF((MOD(DATEDIF(DATE(YEAR($E161),MONTH($E161),1),DATE(2026,4,1),"m"),IF($D161="Quarterly",3,IF($D161="Annual",12,1)))=0),IF((COUNTIFS(Xero_Raw!$D$4:$D$5003,$A161,Xero_Raw!$G$4:$G$5003,"*Subscription*",Xero_Raw!$A$4:$A$5003,"&gt;="&amp;DATE(2026,4,1),Xero_Raw!$A$4:$A$5003,"&lt;"&amp;EDATE(DATE(2026,4,1),1))+COUNTIFS(Customer_Invoices_Upload!$E$4:$E$5003,$A161,Customer_Invoices_Upload!$G$4:$G$5003,"*Subscription*",Customer_Invoices_Upload!$B$4:$B$5003,"&gt;="&amp;DATE(2026,4,1),Customer_Invoices_Upload!$B$4:$B$5003,"&lt;"&amp;EDATE(DATE(2026,4,1),1))+COUNTIFS(Stripe_Invoices_Upload!$D$4:$D$5003,$A161,Stripe_Invoices_Upload!$E$4:$E$5003,"*Subscription*",Stripe_Invoices_Upload!$A$4:$A$5003,"&gt;="&amp;DATE(2026,4,1),Stripe_Invoices_Upload!$A$4:$A$5003,"&lt;"&amp;EDATE(DATE(2026,4,1),1)))&gt;0,"✓ Invoiced","⚠ Due"),""),""))</f>
        <v/>
      </c>
      <c r="H161" s="130" t="str">
        <f aca="false">IF($A161="","",IF((DATE(YEAR($E161),MONTH($E161),1)&lt;=DATE(2026,5,1)),IF((MOD(DATEDIF(DATE(YEAR($E161),MONTH($E161),1),DATE(2026,5,1),"m"),IF($D161="Quarterly",3,IF($D161="Annual",12,1)))=0),IF((COUNTIFS(Xero_Raw!$D$4:$D$5003,$A161,Xero_Raw!$G$4:$G$5003,"*Subscription*",Xero_Raw!$A$4:$A$5003,"&gt;="&amp;DATE(2026,5,1),Xero_Raw!$A$4:$A$5003,"&lt;"&amp;EDATE(DATE(2026,5,1),1))+COUNTIFS(Customer_Invoices_Upload!$E$4:$E$5003,$A161,Customer_Invoices_Upload!$G$4:$G$5003,"*Subscription*",Customer_Invoices_Upload!$B$4:$B$5003,"&gt;="&amp;DATE(2026,5,1),Customer_Invoices_Upload!$B$4:$B$5003,"&lt;"&amp;EDATE(DATE(2026,5,1),1))+COUNTIFS(Stripe_Invoices_Upload!$D$4:$D$5003,$A161,Stripe_Invoices_Upload!$E$4:$E$5003,"*Subscription*",Stripe_Invoices_Upload!$A$4:$A$5003,"&gt;="&amp;DATE(2026,5,1),Stripe_Invoices_Upload!$A$4:$A$5003,"&lt;"&amp;EDATE(DATE(2026,5,1),1)))&gt;0,"✓ Invoiced","⚠ Due"),""),""))</f>
        <v/>
      </c>
      <c r="I161" s="130" t="str">
        <f aca="false">IF($A161="","",IF((DATE(YEAR($E161),MONTH($E161),1)&lt;=DATE(2026,6,1)),IF((MOD(DATEDIF(DATE(YEAR($E161),MONTH($E161),1),DATE(2026,6,1),"m"),IF($D161="Quarterly",3,IF($D161="Annual",12,1)))=0),IF((COUNTIFS(Xero_Raw!$D$4:$D$5003,$A161,Xero_Raw!$G$4:$G$5003,"*Subscription*",Xero_Raw!$A$4:$A$5003,"&gt;="&amp;DATE(2026,6,1),Xero_Raw!$A$4:$A$5003,"&lt;"&amp;EDATE(DATE(2026,6,1),1))+COUNTIFS(Customer_Invoices_Upload!$E$4:$E$5003,$A161,Customer_Invoices_Upload!$G$4:$G$5003,"*Subscription*",Customer_Invoices_Upload!$B$4:$B$5003,"&gt;="&amp;DATE(2026,6,1),Customer_Invoices_Upload!$B$4:$B$5003,"&lt;"&amp;EDATE(DATE(2026,6,1),1))+COUNTIFS(Stripe_Invoices_Upload!$D$4:$D$5003,$A161,Stripe_Invoices_Upload!$E$4:$E$5003,"*Subscription*",Stripe_Invoices_Upload!$A$4:$A$5003,"&gt;="&amp;DATE(2026,6,1),Stripe_Invoices_Upload!$A$4:$A$5003,"&lt;"&amp;EDATE(DATE(2026,6,1),1)))&gt;0,"✓ Invoiced","⚠ Due"),""),""))</f>
        <v/>
      </c>
      <c r="J161" s="130" t="str">
        <f aca="false">IF($A161="","",IF((DATE(YEAR($E161),MONTH($E161),1)&lt;=DATE(2026,7,1)),IF((MOD(DATEDIF(DATE(YEAR($E161),MONTH($E161),1),DATE(2026,7,1),"m"),IF($D161="Quarterly",3,IF($D161="Annual",12,1)))=0),IF((COUNTIFS(Xero_Raw!$D$4:$D$5003,$A161,Xero_Raw!$G$4:$G$5003,"*Subscription*",Xero_Raw!$A$4:$A$5003,"&gt;="&amp;DATE(2026,7,1),Xero_Raw!$A$4:$A$5003,"&lt;"&amp;EDATE(DATE(2026,7,1),1))+COUNTIFS(Customer_Invoices_Upload!$E$4:$E$5003,$A161,Customer_Invoices_Upload!$G$4:$G$5003,"*Subscription*",Customer_Invoices_Upload!$B$4:$B$5003,"&gt;="&amp;DATE(2026,7,1),Customer_Invoices_Upload!$B$4:$B$5003,"&lt;"&amp;EDATE(DATE(2026,7,1),1))+COUNTIFS(Stripe_Invoices_Upload!$D$4:$D$5003,$A161,Stripe_Invoices_Upload!$E$4:$E$5003,"*Subscription*",Stripe_Invoices_Upload!$A$4:$A$5003,"&gt;="&amp;DATE(2026,7,1),Stripe_Invoices_Upload!$A$4:$A$5003,"&lt;"&amp;EDATE(DATE(2026,7,1),1)))&gt;0,"✓ Invoiced","⚠ Due"),""),""))</f>
        <v/>
      </c>
      <c r="K161" s="130" t="str">
        <f aca="false">IF($A161="","",IF((DATE(YEAR($E161),MONTH($E161),1)&lt;=DATE(2026,8,1)),IF((MOD(DATEDIF(DATE(YEAR($E161),MONTH($E161),1),DATE(2026,8,1),"m"),IF($D161="Quarterly",3,IF($D161="Annual",12,1)))=0),IF((COUNTIFS(Xero_Raw!$D$4:$D$5003,$A161,Xero_Raw!$G$4:$G$5003,"*Subscription*",Xero_Raw!$A$4:$A$5003,"&gt;="&amp;DATE(2026,8,1),Xero_Raw!$A$4:$A$5003,"&lt;"&amp;EDATE(DATE(2026,8,1),1))+COUNTIFS(Customer_Invoices_Upload!$E$4:$E$5003,$A161,Customer_Invoices_Upload!$G$4:$G$5003,"*Subscription*",Customer_Invoices_Upload!$B$4:$B$5003,"&gt;="&amp;DATE(2026,8,1),Customer_Invoices_Upload!$B$4:$B$5003,"&lt;"&amp;EDATE(DATE(2026,8,1),1))+COUNTIFS(Stripe_Invoices_Upload!$D$4:$D$5003,$A161,Stripe_Invoices_Upload!$E$4:$E$5003,"*Subscription*",Stripe_Invoices_Upload!$A$4:$A$5003,"&gt;="&amp;DATE(2026,8,1),Stripe_Invoices_Upload!$A$4:$A$5003,"&lt;"&amp;EDATE(DATE(2026,8,1),1)))&gt;0,"✓ Invoiced","⚠ Due"),""),""))</f>
        <v/>
      </c>
      <c r="L161" s="130" t="str">
        <f aca="false">IF($A161="","",IF((DATE(YEAR($E161),MONTH($E161),1)&lt;=DATE(2026,9,1)),IF((MOD(DATEDIF(DATE(YEAR($E161),MONTH($E161),1),DATE(2026,9,1),"m"),IF($D161="Quarterly",3,IF($D161="Annual",12,1)))=0),IF((COUNTIFS(Xero_Raw!$D$4:$D$5003,$A161,Xero_Raw!$G$4:$G$5003,"*Subscription*",Xero_Raw!$A$4:$A$5003,"&gt;="&amp;DATE(2026,9,1),Xero_Raw!$A$4:$A$5003,"&lt;"&amp;EDATE(DATE(2026,9,1),1))+COUNTIFS(Customer_Invoices_Upload!$E$4:$E$5003,$A161,Customer_Invoices_Upload!$G$4:$G$5003,"*Subscription*",Customer_Invoices_Upload!$B$4:$B$5003,"&gt;="&amp;DATE(2026,9,1),Customer_Invoices_Upload!$B$4:$B$5003,"&lt;"&amp;EDATE(DATE(2026,9,1),1))+COUNTIFS(Stripe_Invoices_Upload!$D$4:$D$5003,$A161,Stripe_Invoices_Upload!$E$4:$E$5003,"*Subscription*",Stripe_Invoices_Upload!$A$4:$A$5003,"&gt;="&amp;DATE(2026,9,1),Stripe_Invoices_Upload!$A$4:$A$5003,"&lt;"&amp;EDATE(DATE(2026,9,1),1)))&gt;0,"✓ Invoiced","⚠ Due"),""),""))</f>
        <v/>
      </c>
      <c r="M161" s="130" t="str">
        <f aca="false">IF($A161="","",IF((DATE(YEAR($E161),MONTH($E161),1)&lt;=DATE(2026,10,1)),IF((MOD(DATEDIF(DATE(YEAR($E161),MONTH($E161),1),DATE(2026,10,1),"m"),IF($D161="Quarterly",3,IF($D161="Annual",12,1)))=0),IF((COUNTIFS(Xero_Raw!$D$4:$D$5003,$A161,Xero_Raw!$G$4:$G$5003,"*Subscription*",Xero_Raw!$A$4:$A$5003,"&gt;="&amp;DATE(2026,10,1),Xero_Raw!$A$4:$A$5003,"&lt;"&amp;EDATE(DATE(2026,10,1),1))+COUNTIFS(Customer_Invoices_Upload!$E$4:$E$5003,$A161,Customer_Invoices_Upload!$G$4:$G$5003,"*Subscription*",Customer_Invoices_Upload!$B$4:$B$5003,"&gt;="&amp;DATE(2026,10,1),Customer_Invoices_Upload!$B$4:$B$5003,"&lt;"&amp;EDATE(DATE(2026,10,1),1))+COUNTIFS(Stripe_Invoices_Upload!$D$4:$D$5003,$A161,Stripe_Invoices_Upload!$E$4:$E$5003,"*Subscription*",Stripe_Invoices_Upload!$A$4:$A$5003,"&gt;="&amp;DATE(2026,10,1),Stripe_Invoices_Upload!$A$4:$A$5003,"&lt;"&amp;EDATE(DATE(2026,10,1),1)))&gt;0,"✓ Invoiced","⚠ Due"),""),""))</f>
        <v/>
      </c>
      <c r="N161" s="130" t="str">
        <f aca="false">IF($A161="","",IF((DATE(YEAR($E161),MONTH($E161),1)&lt;=DATE(2026,11,1)),IF((MOD(DATEDIF(DATE(YEAR($E161),MONTH($E161),1),DATE(2026,11,1),"m"),IF($D161="Quarterly",3,IF($D161="Annual",12,1)))=0),IF((COUNTIFS(Xero_Raw!$D$4:$D$5003,$A161,Xero_Raw!$G$4:$G$5003,"*Subscription*",Xero_Raw!$A$4:$A$5003,"&gt;="&amp;DATE(2026,11,1),Xero_Raw!$A$4:$A$5003,"&lt;"&amp;EDATE(DATE(2026,11,1),1))+COUNTIFS(Customer_Invoices_Upload!$E$4:$E$5003,$A161,Customer_Invoices_Upload!$G$4:$G$5003,"*Subscription*",Customer_Invoices_Upload!$B$4:$B$5003,"&gt;="&amp;DATE(2026,11,1),Customer_Invoices_Upload!$B$4:$B$5003,"&lt;"&amp;EDATE(DATE(2026,11,1),1))+COUNTIFS(Stripe_Invoices_Upload!$D$4:$D$5003,$A161,Stripe_Invoices_Upload!$E$4:$E$5003,"*Subscription*",Stripe_Invoices_Upload!$A$4:$A$5003,"&gt;="&amp;DATE(2026,11,1),Stripe_Invoices_Upload!$A$4:$A$5003,"&lt;"&amp;EDATE(DATE(2026,11,1),1)))&gt;0,"✓ Invoiced","⚠ Due"),""),""))</f>
        <v/>
      </c>
      <c r="O161" s="130" t="str">
        <f aca="false">IF($A161="","",IF((DATE(YEAR($E161),MONTH($E161),1)&lt;=DATE(2026,12,1)),IF((MOD(DATEDIF(DATE(YEAR($E161),MONTH($E161),1),DATE(2026,12,1),"m"),IF($D161="Quarterly",3,IF($D161="Annual",12,1)))=0),IF((COUNTIFS(Xero_Raw!$D$4:$D$5003,$A161,Xero_Raw!$G$4:$G$5003,"*Subscription*",Xero_Raw!$A$4:$A$5003,"&gt;="&amp;DATE(2026,12,1),Xero_Raw!$A$4:$A$5003,"&lt;"&amp;EDATE(DATE(2026,12,1),1))+COUNTIFS(Customer_Invoices_Upload!$E$4:$E$5003,$A161,Customer_Invoices_Upload!$G$4:$G$5003,"*Subscription*",Customer_Invoices_Upload!$B$4:$B$5003,"&gt;="&amp;DATE(2026,12,1),Customer_Invoices_Upload!$B$4:$B$5003,"&lt;"&amp;EDATE(DATE(2026,12,1),1))+COUNTIFS(Stripe_Invoices_Upload!$D$4:$D$5003,$A161,Stripe_Invoices_Upload!$E$4:$E$5003,"*Subscription*",Stripe_Invoices_Upload!$A$4:$A$5003,"&gt;="&amp;DATE(2026,12,1),Stripe_Invoices_Upload!$A$4:$A$5003,"&lt;"&amp;EDATE(DATE(2026,12,1),1)))&gt;0,"✓ Invoiced","⚠ Due"),""),""))</f>
        <v/>
      </c>
      <c r="P161" s="130" t="str">
        <f aca="false">IF($A161="","",IF((DATE(YEAR($E161),MONTH($E161),1)&lt;=DATE(2027,1,1)),IF((MOD(DATEDIF(DATE(YEAR($E161),MONTH($E161),1),DATE(2027,1,1),"m"),IF($D161="Quarterly",3,IF($D161="Annual",12,1)))=0),IF((COUNTIFS(Xero_Raw!$D$4:$D$5003,$A161,Xero_Raw!$G$4:$G$5003,"*Subscription*",Xero_Raw!$A$4:$A$5003,"&gt;="&amp;DATE(2027,1,1),Xero_Raw!$A$4:$A$5003,"&lt;"&amp;EDATE(DATE(2027,1,1),1))+COUNTIFS(Customer_Invoices_Upload!$E$4:$E$5003,$A161,Customer_Invoices_Upload!$G$4:$G$5003,"*Subscription*",Customer_Invoices_Upload!$B$4:$B$5003,"&gt;="&amp;DATE(2027,1,1),Customer_Invoices_Upload!$B$4:$B$5003,"&lt;"&amp;EDATE(DATE(2027,1,1),1))+COUNTIFS(Stripe_Invoices_Upload!$D$4:$D$5003,$A161,Stripe_Invoices_Upload!$E$4:$E$5003,"*Subscription*",Stripe_Invoices_Upload!$A$4:$A$5003,"&gt;="&amp;DATE(2027,1,1),Stripe_Invoices_Upload!$A$4:$A$5003,"&lt;"&amp;EDATE(DATE(2027,1,1),1)))&gt;0,"✓ Invoiced","⚠ Due"),""),""))</f>
        <v/>
      </c>
      <c r="Q161" s="130" t="str">
        <f aca="false">IF($A161="","",IF((DATE(YEAR($E161),MONTH($E161),1)&lt;=DATE(2027,2,1)),IF((MOD(DATEDIF(DATE(YEAR($E161),MONTH($E161),1),DATE(2027,2,1),"m"),IF($D161="Quarterly",3,IF($D161="Annual",12,1)))=0),IF((COUNTIFS(Xero_Raw!$D$4:$D$5003,$A161,Xero_Raw!$G$4:$G$5003,"*Subscription*",Xero_Raw!$A$4:$A$5003,"&gt;="&amp;DATE(2027,2,1),Xero_Raw!$A$4:$A$5003,"&lt;"&amp;EDATE(DATE(2027,2,1),1))+COUNTIFS(Customer_Invoices_Upload!$E$4:$E$5003,$A161,Customer_Invoices_Upload!$G$4:$G$5003,"*Subscription*",Customer_Invoices_Upload!$B$4:$B$5003,"&gt;="&amp;DATE(2027,2,1),Customer_Invoices_Upload!$B$4:$B$5003,"&lt;"&amp;EDATE(DATE(2027,2,1),1))+COUNTIFS(Stripe_Invoices_Upload!$D$4:$D$5003,$A161,Stripe_Invoices_Upload!$E$4:$E$5003,"*Subscription*",Stripe_Invoices_Upload!$A$4:$A$5003,"&gt;="&amp;DATE(2027,2,1),Stripe_Invoices_Upload!$A$4:$A$5003,"&lt;"&amp;EDATE(DATE(2027,2,1),1)))&gt;0,"✓ Invoiced","⚠ Due"),""),""))</f>
        <v/>
      </c>
      <c r="R161" s="130" t="str">
        <f aca="false">IF($A161="","",IF((DATE(YEAR($E161),MONTH($E161),1)&lt;=DATE(2027,3,1)),IF((MOD(DATEDIF(DATE(YEAR($E161),MONTH($E161),1),DATE(2027,3,1),"m"),IF($D161="Quarterly",3,IF($D161="Annual",12,1)))=0),IF((COUNTIFS(Xero_Raw!$D$4:$D$5003,$A161,Xero_Raw!$G$4:$G$5003,"*Subscription*",Xero_Raw!$A$4:$A$5003,"&gt;="&amp;DATE(2027,3,1),Xero_Raw!$A$4:$A$5003,"&lt;"&amp;EDATE(DATE(2027,3,1),1))+COUNTIFS(Customer_Invoices_Upload!$E$4:$E$5003,$A161,Customer_Invoices_Upload!$G$4:$G$5003,"*Subscription*",Customer_Invoices_Upload!$B$4:$B$5003,"&gt;="&amp;DATE(2027,3,1),Customer_Invoices_Upload!$B$4:$B$5003,"&lt;"&amp;EDATE(DATE(2027,3,1),1))+COUNTIFS(Stripe_Invoices_Upload!$D$4:$D$5003,$A161,Stripe_Invoices_Upload!$E$4:$E$5003,"*Subscription*",Stripe_Invoices_Upload!$A$4:$A$5003,"&gt;="&amp;DATE(2027,3,1),Stripe_Invoices_Upload!$A$4:$A$5003,"&lt;"&amp;EDATE(DATE(2027,3,1),1)))&gt;0,"✓ Invoiced","⚠ Due"),""),""))</f>
        <v/>
      </c>
    </row>
    <row r="162" customFormat="false" ht="15" hidden="false" customHeight="false" outlineLevel="0" collapsed="false">
      <c r="A162" s="39"/>
      <c r="B162" s="39"/>
      <c r="C162" s="40"/>
      <c r="D162" s="39"/>
      <c r="E162" s="38"/>
      <c r="F162" s="129" t="str">
        <f aca="true">IF($A162="","",EDATE($E162,DATEDIF($E162,TODAY(),"m")+1))</f>
        <v/>
      </c>
      <c r="G162" s="130" t="str">
        <f aca="false">IF($A162="","",IF((DATE(YEAR($E162),MONTH($E162),1)&lt;=DATE(2026,4,1)),IF((MOD(DATEDIF(DATE(YEAR($E162),MONTH($E162),1),DATE(2026,4,1),"m"),IF($D162="Quarterly",3,IF($D162="Annual",12,1)))=0),IF((COUNTIFS(Xero_Raw!$D$4:$D$5003,$A162,Xero_Raw!$G$4:$G$5003,"*Subscription*",Xero_Raw!$A$4:$A$5003,"&gt;="&amp;DATE(2026,4,1),Xero_Raw!$A$4:$A$5003,"&lt;"&amp;EDATE(DATE(2026,4,1),1))+COUNTIFS(Customer_Invoices_Upload!$E$4:$E$5003,$A162,Customer_Invoices_Upload!$G$4:$G$5003,"*Subscription*",Customer_Invoices_Upload!$B$4:$B$5003,"&gt;="&amp;DATE(2026,4,1),Customer_Invoices_Upload!$B$4:$B$5003,"&lt;"&amp;EDATE(DATE(2026,4,1),1))+COUNTIFS(Stripe_Invoices_Upload!$D$4:$D$5003,$A162,Stripe_Invoices_Upload!$E$4:$E$5003,"*Subscription*",Stripe_Invoices_Upload!$A$4:$A$5003,"&gt;="&amp;DATE(2026,4,1),Stripe_Invoices_Upload!$A$4:$A$5003,"&lt;"&amp;EDATE(DATE(2026,4,1),1)))&gt;0,"✓ Invoiced","⚠ Due"),""),""))</f>
        <v/>
      </c>
      <c r="H162" s="130" t="str">
        <f aca="false">IF($A162="","",IF((DATE(YEAR($E162),MONTH($E162),1)&lt;=DATE(2026,5,1)),IF((MOD(DATEDIF(DATE(YEAR($E162),MONTH($E162),1),DATE(2026,5,1),"m"),IF($D162="Quarterly",3,IF($D162="Annual",12,1)))=0),IF((COUNTIFS(Xero_Raw!$D$4:$D$5003,$A162,Xero_Raw!$G$4:$G$5003,"*Subscription*",Xero_Raw!$A$4:$A$5003,"&gt;="&amp;DATE(2026,5,1),Xero_Raw!$A$4:$A$5003,"&lt;"&amp;EDATE(DATE(2026,5,1),1))+COUNTIFS(Customer_Invoices_Upload!$E$4:$E$5003,$A162,Customer_Invoices_Upload!$G$4:$G$5003,"*Subscription*",Customer_Invoices_Upload!$B$4:$B$5003,"&gt;="&amp;DATE(2026,5,1),Customer_Invoices_Upload!$B$4:$B$5003,"&lt;"&amp;EDATE(DATE(2026,5,1),1))+COUNTIFS(Stripe_Invoices_Upload!$D$4:$D$5003,$A162,Stripe_Invoices_Upload!$E$4:$E$5003,"*Subscription*",Stripe_Invoices_Upload!$A$4:$A$5003,"&gt;="&amp;DATE(2026,5,1),Stripe_Invoices_Upload!$A$4:$A$5003,"&lt;"&amp;EDATE(DATE(2026,5,1),1)))&gt;0,"✓ Invoiced","⚠ Due"),""),""))</f>
        <v/>
      </c>
      <c r="I162" s="130" t="str">
        <f aca="false">IF($A162="","",IF((DATE(YEAR($E162),MONTH($E162),1)&lt;=DATE(2026,6,1)),IF((MOD(DATEDIF(DATE(YEAR($E162),MONTH($E162),1),DATE(2026,6,1),"m"),IF($D162="Quarterly",3,IF($D162="Annual",12,1)))=0),IF((COUNTIFS(Xero_Raw!$D$4:$D$5003,$A162,Xero_Raw!$G$4:$G$5003,"*Subscription*",Xero_Raw!$A$4:$A$5003,"&gt;="&amp;DATE(2026,6,1),Xero_Raw!$A$4:$A$5003,"&lt;"&amp;EDATE(DATE(2026,6,1),1))+COUNTIFS(Customer_Invoices_Upload!$E$4:$E$5003,$A162,Customer_Invoices_Upload!$G$4:$G$5003,"*Subscription*",Customer_Invoices_Upload!$B$4:$B$5003,"&gt;="&amp;DATE(2026,6,1),Customer_Invoices_Upload!$B$4:$B$5003,"&lt;"&amp;EDATE(DATE(2026,6,1),1))+COUNTIFS(Stripe_Invoices_Upload!$D$4:$D$5003,$A162,Stripe_Invoices_Upload!$E$4:$E$5003,"*Subscription*",Stripe_Invoices_Upload!$A$4:$A$5003,"&gt;="&amp;DATE(2026,6,1),Stripe_Invoices_Upload!$A$4:$A$5003,"&lt;"&amp;EDATE(DATE(2026,6,1),1)))&gt;0,"✓ Invoiced","⚠ Due"),""),""))</f>
        <v/>
      </c>
      <c r="J162" s="130" t="str">
        <f aca="false">IF($A162="","",IF((DATE(YEAR($E162),MONTH($E162),1)&lt;=DATE(2026,7,1)),IF((MOD(DATEDIF(DATE(YEAR($E162),MONTH($E162),1),DATE(2026,7,1),"m"),IF($D162="Quarterly",3,IF($D162="Annual",12,1)))=0),IF((COUNTIFS(Xero_Raw!$D$4:$D$5003,$A162,Xero_Raw!$G$4:$G$5003,"*Subscription*",Xero_Raw!$A$4:$A$5003,"&gt;="&amp;DATE(2026,7,1),Xero_Raw!$A$4:$A$5003,"&lt;"&amp;EDATE(DATE(2026,7,1),1))+COUNTIFS(Customer_Invoices_Upload!$E$4:$E$5003,$A162,Customer_Invoices_Upload!$G$4:$G$5003,"*Subscription*",Customer_Invoices_Upload!$B$4:$B$5003,"&gt;="&amp;DATE(2026,7,1),Customer_Invoices_Upload!$B$4:$B$5003,"&lt;"&amp;EDATE(DATE(2026,7,1),1))+COUNTIFS(Stripe_Invoices_Upload!$D$4:$D$5003,$A162,Stripe_Invoices_Upload!$E$4:$E$5003,"*Subscription*",Stripe_Invoices_Upload!$A$4:$A$5003,"&gt;="&amp;DATE(2026,7,1),Stripe_Invoices_Upload!$A$4:$A$5003,"&lt;"&amp;EDATE(DATE(2026,7,1),1)))&gt;0,"✓ Invoiced","⚠ Due"),""),""))</f>
        <v/>
      </c>
      <c r="K162" s="130" t="str">
        <f aca="false">IF($A162="","",IF((DATE(YEAR($E162),MONTH($E162),1)&lt;=DATE(2026,8,1)),IF((MOD(DATEDIF(DATE(YEAR($E162),MONTH($E162),1),DATE(2026,8,1),"m"),IF($D162="Quarterly",3,IF($D162="Annual",12,1)))=0),IF((COUNTIFS(Xero_Raw!$D$4:$D$5003,$A162,Xero_Raw!$G$4:$G$5003,"*Subscription*",Xero_Raw!$A$4:$A$5003,"&gt;="&amp;DATE(2026,8,1),Xero_Raw!$A$4:$A$5003,"&lt;"&amp;EDATE(DATE(2026,8,1),1))+COUNTIFS(Customer_Invoices_Upload!$E$4:$E$5003,$A162,Customer_Invoices_Upload!$G$4:$G$5003,"*Subscription*",Customer_Invoices_Upload!$B$4:$B$5003,"&gt;="&amp;DATE(2026,8,1),Customer_Invoices_Upload!$B$4:$B$5003,"&lt;"&amp;EDATE(DATE(2026,8,1),1))+COUNTIFS(Stripe_Invoices_Upload!$D$4:$D$5003,$A162,Stripe_Invoices_Upload!$E$4:$E$5003,"*Subscription*",Stripe_Invoices_Upload!$A$4:$A$5003,"&gt;="&amp;DATE(2026,8,1),Stripe_Invoices_Upload!$A$4:$A$5003,"&lt;"&amp;EDATE(DATE(2026,8,1),1)))&gt;0,"✓ Invoiced","⚠ Due"),""),""))</f>
        <v/>
      </c>
      <c r="L162" s="130" t="str">
        <f aca="false">IF($A162="","",IF((DATE(YEAR($E162),MONTH($E162),1)&lt;=DATE(2026,9,1)),IF((MOD(DATEDIF(DATE(YEAR($E162),MONTH($E162),1),DATE(2026,9,1),"m"),IF($D162="Quarterly",3,IF($D162="Annual",12,1)))=0),IF((COUNTIFS(Xero_Raw!$D$4:$D$5003,$A162,Xero_Raw!$G$4:$G$5003,"*Subscription*",Xero_Raw!$A$4:$A$5003,"&gt;="&amp;DATE(2026,9,1),Xero_Raw!$A$4:$A$5003,"&lt;"&amp;EDATE(DATE(2026,9,1),1))+COUNTIFS(Customer_Invoices_Upload!$E$4:$E$5003,$A162,Customer_Invoices_Upload!$G$4:$G$5003,"*Subscription*",Customer_Invoices_Upload!$B$4:$B$5003,"&gt;="&amp;DATE(2026,9,1),Customer_Invoices_Upload!$B$4:$B$5003,"&lt;"&amp;EDATE(DATE(2026,9,1),1))+COUNTIFS(Stripe_Invoices_Upload!$D$4:$D$5003,$A162,Stripe_Invoices_Upload!$E$4:$E$5003,"*Subscription*",Stripe_Invoices_Upload!$A$4:$A$5003,"&gt;="&amp;DATE(2026,9,1),Stripe_Invoices_Upload!$A$4:$A$5003,"&lt;"&amp;EDATE(DATE(2026,9,1),1)))&gt;0,"✓ Invoiced","⚠ Due"),""),""))</f>
        <v/>
      </c>
      <c r="M162" s="130" t="str">
        <f aca="false">IF($A162="","",IF((DATE(YEAR($E162),MONTH($E162),1)&lt;=DATE(2026,10,1)),IF((MOD(DATEDIF(DATE(YEAR($E162),MONTH($E162),1),DATE(2026,10,1),"m"),IF($D162="Quarterly",3,IF($D162="Annual",12,1)))=0),IF((COUNTIFS(Xero_Raw!$D$4:$D$5003,$A162,Xero_Raw!$G$4:$G$5003,"*Subscription*",Xero_Raw!$A$4:$A$5003,"&gt;="&amp;DATE(2026,10,1),Xero_Raw!$A$4:$A$5003,"&lt;"&amp;EDATE(DATE(2026,10,1),1))+COUNTIFS(Customer_Invoices_Upload!$E$4:$E$5003,$A162,Customer_Invoices_Upload!$G$4:$G$5003,"*Subscription*",Customer_Invoices_Upload!$B$4:$B$5003,"&gt;="&amp;DATE(2026,10,1),Customer_Invoices_Upload!$B$4:$B$5003,"&lt;"&amp;EDATE(DATE(2026,10,1),1))+COUNTIFS(Stripe_Invoices_Upload!$D$4:$D$5003,$A162,Stripe_Invoices_Upload!$E$4:$E$5003,"*Subscription*",Stripe_Invoices_Upload!$A$4:$A$5003,"&gt;="&amp;DATE(2026,10,1),Stripe_Invoices_Upload!$A$4:$A$5003,"&lt;"&amp;EDATE(DATE(2026,10,1),1)))&gt;0,"✓ Invoiced","⚠ Due"),""),""))</f>
        <v/>
      </c>
      <c r="N162" s="130" t="str">
        <f aca="false">IF($A162="","",IF((DATE(YEAR($E162),MONTH($E162),1)&lt;=DATE(2026,11,1)),IF((MOD(DATEDIF(DATE(YEAR($E162),MONTH($E162),1),DATE(2026,11,1),"m"),IF($D162="Quarterly",3,IF($D162="Annual",12,1)))=0),IF((COUNTIFS(Xero_Raw!$D$4:$D$5003,$A162,Xero_Raw!$G$4:$G$5003,"*Subscription*",Xero_Raw!$A$4:$A$5003,"&gt;="&amp;DATE(2026,11,1),Xero_Raw!$A$4:$A$5003,"&lt;"&amp;EDATE(DATE(2026,11,1),1))+COUNTIFS(Customer_Invoices_Upload!$E$4:$E$5003,$A162,Customer_Invoices_Upload!$G$4:$G$5003,"*Subscription*",Customer_Invoices_Upload!$B$4:$B$5003,"&gt;="&amp;DATE(2026,11,1),Customer_Invoices_Upload!$B$4:$B$5003,"&lt;"&amp;EDATE(DATE(2026,11,1),1))+COUNTIFS(Stripe_Invoices_Upload!$D$4:$D$5003,$A162,Stripe_Invoices_Upload!$E$4:$E$5003,"*Subscription*",Stripe_Invoices_Upload!$A$4:$A$5003,"&gt;="&amp;DATE(2026,11,1),Stripe_Invoices_Upload!$A$4:$A$5003,"&lt;"&amp;EDATE(DATE(2026,11,1),1)))&gt;0,"✓ Invoiced","⚠ Due"),""),""))</f>
        <v/>
      </c>
      <c r="O162" s="130" t="str">
        <f aca="false">IF($A162="","",IF((DATE(YEAR($E162),MONTH($E162),1)&lt;=DATE(2026,12,1)),IF((MOD(DATEDIF(DATE(YEAR($E162),MONTH($E162),1),DATE(2026,12,1),"m"),IF($D162="Quarterly",3,IF($D162="Annual",12,1)))=0),IF((COUNTIFS(Xero_Raw!$D$4:$D$5003,$A162,Xero_Raw!$G$4:$G$5003,"*Subscription*",Xero_Raw!$A$4:$A$5003,"&gt;="&amp;DATE(2026,12,1),Xero_Raw!$A$4:$A$5003,"&lt;"&amp;EDATE(DATE(2026,12,1),1))+COUNTIFS(Customer_Invoices_Upload!$E$4:$E$5003,$A162,Customer_Invoices_Upload!$G$4:$G$5003,"*Subscription*",Customer_Invoices_Upload!$B$4:$B$5003,"&gt;="&amp;DATE(2026,12,1),Customer_Invoices_Upload!$B$4:$B$5003,"&lt;"&amp;EDATE(DATE(2026,12,1),1))+COUNTIFS(Stripe_Invoices_Upload!$D$4:$D$5003,$A162,Stripe_Invoices_Upload!$E$4:$E$5003,"*Subscription*",Stripe_Invoices_Upload!$A$4:$A$5003,"&gt;="&amp;DATE(2026,12,1),Stripe_Invoices_Upload!$A$4:$A$5003,"&lt;"&amp;EDATE(DATE(2026,12,1),1)))&gt;0,"✓ Invoiced","⚠ Due"),""),""))</f>
        <v/>
      </c>
      <c r="P162" s="130" t="str">
        <f aca="false">IF($A162="","",IF((DATE(YEAR($E162),MONTH($E162),1)&lt;=DATE(2027,1,1)),IF((MOD(DATEDIF(DATE(YEAR($E162),MONTH($E162),1),DATE(2027,1,1),"m"),IF($D162="Quarterly",3,IF($D162="Annual",12,1)))=0),IF((COUNTIFS(Xero_Raw!$D$4:$D$5003,$A162,Xero_Raw!$G$4:$G$5003,"*Subscription*",Xero_Raw!$A$4:$A$5003,"&gt;="&amp;DATE(2027,1,1),Xero_Raw!$A$4:$A$5003,"&lt;"&amp;EDATE(DATE(2027,1,1),1))+COUNTIFS(Customer_Invoices_Upload!$E$4:$E$5003,$A162,Customer_Invoices_Upload!$G$4:$G$5003,"*Subscription*",Customer_Invoices_Upload!$B$4:$B$5003,"&gt;="&amp;DATE(2027,1,1),Customer_Invoices_Upload!$B$4:$B$5003,"&lt;"&amp;EDATE(DATE(2027,1,1),1))+COUNTIFS(Stripe_Invoices_Upload!$D$4:$D$5003,$A162,Stripe_Invoices_Upload!$E$4:$E$5003,"*Subscription*",Stripe_Invoices_Upload!$A$4:$A$5003,"&gt;="&amp;DATE(2027,1,1),Stripe_Invoices_Upload!$A$4:$A$5003,"&lt;"&amp;EDATE(DATE(2027,1,1),1)))&gt;0,"✓ Invoiced","⚠ Due"),""),""))</f>
        <v/>
      </c>
      <c r="Q162" s="130" t="str">
        <f aca="false">IF($A162="","",IF((DATE(YEAR($E162),MONTH($E162),1)&lt;=DATE(2027,2,1)),IF((MOD(DATEDIF(DATE(YEAR($E162),MONTH($E162),1),DATE(2027,2,1),"m"),IF($D162="Quarterly",3,IF($D162="Annual",12,1)))=0),IF((COUNTIFS(Xero_Raw!$D$4:$D$5003,$A162,Xero_Raw!$G$4:$G$5003,"*Subscription*",Xero_Raw!$A$4:$A$5003,"&gt;="&amp;DATE(2027,2,1),Xero_Raw!$A$4:$A$5003,"&lt;"&amp;EDATE(DATE(2027,2,1),1))+COUNTIFS(Customer_Invoices_Upload!$E$4:$E$5003,$A162,Customer_Invoices_Upload!$G$4:$G$5003,"*Subscription*",Customer_Invoices_Upload!$B$4:$B$5003,"&gt;="&amp;DATE(2027,2,1),Customer_Invoices_Upload!$B$4:$B$5003,"&lt;"&amp;EDATE(DATE(2027,2,1),1))+COUNTIFS(Stripe_Invoices_Upload!$D$4:$D$5003,$A162,Stripe_Invoices_Upload!$E$4:$E$5003,"*Subscription*",Stripe_Invoices_Upload!$A$4:$A$5003,"&gt;="&amp;DATE(2027,2,1),Stripe_Invoices_Upload!$A$4:$A$5003,"&lt;"&amp;EDATE(DATE(2027,2,1),1)))&gt;0,"✓ Invoiced","⚠ Due"),""),""))</f>
        <v/>
      </c>
      <c r="R162" s="130" t="str">
        <f aca="false">IF($A162="","",IF((DATE(YEAR($E162),MONTH($E162),1)&lt;=DATE(2027,3,1)),IF((MOD(DATEDIF(DATE(YEAR($E162),MONTH($E162),1),DATE(2027,3,1),"m"),IF($D162="Quarterly",3,IF($D162="Annual",12,1)))=0),IF((COUNTIFS(Xero_Raw!$D$4:$D$5003,$A162,Xero_Raw!$G$4:$G$5003,"*Subscription*",Xero_Raw!$A$4:$A$5003,"&gt;="&amp;DATE(2027,3,1),Xero_Raw!$A$4:$A$5003,"&lt;"&amp;EDATE(DATE(2027,3,1),1))+COUNTIFS(Customer_Invoices_Upload!$E$4:$E$5003,$A162,Customer_Invoices_Upload!$G$4:$G$5003,"*Subscription*",Customer_Invoices_Upload!$B$4:$B$5003,"&gt;="&amp;DATE(2027,3,1),Customer_Invoices_Upload!$B$4:$B$5003,"&lt;"&amp;EDATE(DATE(2027,3,1),1))+COUNTIFS(Stripe_Invoices_Upload!$D$4:$D$5003,$A162,Stripe_Invoices_Upload!$E$4:$E$5003,"*Subscription*",Stripe_Invoices_Upload!$A$4:$A$5003,"&gt;="&amp;DATE(2027,3,1),Stripe_Invoices_Upload!$A$4:$A$5003,"&lt;"&amp;EDATE(DATE(2027,3,1),1)))&gt;0,"✓ Invoiced","⚠ Due"),""),""))</f>
        <v/>
      </c>
    </row>
    <row r="163" customFormat="false" ht="15" hidden="false" customHeight="false" outlineLevel="0" collapsed="false">
      <c r="A163" s="39"/>
      <c r="B163" s="39"/>
      <c r="C163" s="40"/>
      <c r="D163" s="39"/>
      <c r="E163" s="38"/>
      <c r="F163" s="129" t="str">
        <f aca="true">IF($A163="","",EDATE($E163,DATEDIF($E163,TODAY(),"m")+1))</f>
        <v/>
      </c>
      <c r="G163" s="130" t="str">
        <f aca="false">IF($A163="","",IF((DATE(YEAR($E163),MONTH($E163),1)&lt;=DATE(2026,4,1)),IF((MOD(DATEDIF(DATE(YEAR($E163),MONTH($E163),1),DATE(2026,4,1),"m"),IF($D163="Quarterly",3,IF($D163="Annual",12,1)))=0),IF((COUNTIFS(Xero_Raw!$D$4:$D$5003,$A163,Xero_Raw!$G$4:$G$5003,"*Subscription*",Xero_Raw!$A$4:$A$5003,"&gt;="&amp;DATE(2026,4,1),Xero_Raw!$A$4:$A$5003,"&lt;"&amp;EDATE(DATE(2026,4,1),1))+COUNTIFS(Customer_Invoices_Upload!$E$4:$E$5003,$A163,Customer_Invoices_Upload!$G$4:$G$5003,"*Subscription*",Customer_Invoices_Upload!$B$4:$B$5003,"&gt;="&amp;DATE(2026,4,1),Customer_Invoices_Upload!$B$4:$B$5003,"&lt;"&amp;EDATE(DATE(2026,4,1),1))+COUNTIFS(Stripe_Invoices_Upload!$D$4:$D$5003,$A163,Stripe_Invoices_Upload!$E$4:$E$5003,"*Subscription*",Stripe_Invoices_Upload!$A$4:$A$5003,"&gt;="&amp;DATE(2026,4,1),Stripe_Invoices_Upload!$A$4:$A$5003,"&lt;"&amp;EDATE(DATE(2026,4,1),1)))&gt;0,"✓ Invoiced","⚠ Due"),""),""))</f>
        <v/>
      </c>
      <c r="H163" s="130" t="str">
        <f aca="false">IF($A163="","",IF((DATE(YEAR($E163),MONTH($E163),1)&lt;=DATE(2026,5,1)),IF((MOD(DATEDIF(DATE(YEAR($E163),MONTH($E163),1),DATE(2026,5,1),"m"),IF($D163="Quarterly",3,IF($D163="Annual",12,1)))=0),IF((COUNTIFS(Xero_Raw!$D$4:$D$5003,$A163,Xero_Raw!$G$4:$G$5003,"*Subscription*",Xero_Raw!$A$4:$A$5003,"&gt;="&amp;DATE(2026,5,1),Xero_Raw!$A$4:$A$5003,"&lt;"&amp;EDATE(DATE(2026,5,1),1))+COUNTIFS(Customer_Invoices_Upload!$E$4:$E$5003,$A163,Customer_Invoices_Upload!$G$4:$G$5003,"*Subscription*",Customer_Invoices_Upload!$B$4:$B$5003,"&gt;="&amp;DATE(2026,5,1),Customer_Invoices_Upload!$B$4:$B$5003,"&lt;"&amp;EDATE(DATE(2026,5,1),1))+COUNTIFS(Stripe_Invoices_Upload!$D$4:$D$5003,$A163,Stripe_Invoices_Upload!$E$4:$E$5003,"*Subscription*",Stripe_Invoices_Upload!$A$4:$A$5003,"&gt;="&amp;DATE(2026,5,1),Stripe_Invoices_Upload!$A$4:$A$5003,"&lt;"&amp;EDATE(DATE(2026,5,1),1)))&gt;0,"✓ Invoiced","⚠ Due"),""),""))</f>
        <v/>
      </c>
      <c r="I163" s="130" t="str">
        <f aca="false">IF($A163="","",IF((DATE(YEAR($E163),MONTH($E163),1)&lt;=DATE(2026,6,1)),IF((MOD(DATEDIF(DATE(YEAR($E163),MONTH($E163),1),DATE(2026,6,1),"m"),IF($D163="Quarterly",3,IF($D163="Annual",12,1)))=0),IF((COUNTIFS(Xero_Raw!$D$4:$D$5003,$A163,Xero_Raw!$G$4:$G$5003,"*Subscription*",Xero_Raw!$A$4:$A$5003,"&gt;="&amp;DATE(2026,6,1),Xero_Raw!$A$4:$A$5003,"&lt;"&amp;EDATE(DATE(2026,6,1),1))+COUNTIFS(Customer_Invoices_Upload!$E$4:$E$5003,$A163,Customer_Invoices_Upload!$G$4:$G$5003,"*Subscription*",Customer_Invoices_Upload!$B$4:$B$5003,"&gt;="&amp;DATE(2026,6,1),Customer_Invoices_Upload!$B$4:$B$5003,"&lt;"&amp;EDATE(DATE(2026,6,1),1))+COUNTIFS(Stripe_Invoices_Upload!$D$4:$D$5003,$A163,Stripe_Invoices_Upload!$E$4:$E$5003,"*Subscription*",Stripe_Invoices_Upload!$A$4:$A$5003,"&gt;="&amp;DATE(2026,6,1),Stripe_Invoices_Upload!$A$4:$A$5003,"&lt;"&amp;EDATE(DATE(2026,6,1),1)))&gt;0,"✓ Invoiced","⚠ Due"),""),""))</f>
        <v/>
      </c>
      <c r="J163" s="130" t="str">
        <f aca="false">IF($A163="","",IF((DATE(YEAR($E163),MONTH($E163),1)&lt;=DATE(2026,7,1)),IF((MOD(DATEDIF(DATE(YEAR($E163),MONTH($E163),1),DATE(2026,7,1),"m"),IF($D163="Quarterly",3,IF($D163="Annual",12,1)))=0),IF((COUNTIFS(Xero_Raw!$D$4:$D$5003,$A163,Xero_Raw!$G$4:$G$5003,"*Subscription*",Xero_Raw!$A$4:$A$5003,"&gt;="&amp;DATE(2026,7,1),Xero_Raw!$A$4:$A$5003,"&lt;"&amp;EDATE(DATE(2026,7,1),1))+COUNTIFS(Customer_Invoices_Upload!$E$4:$E$5003,$A163,Customer_Invoices_Upload!$G$4:$G$5003,"*Subscription*",Customer_Invoices_Upload!$B$4:$B$5003,"&gt;="&amp;DATE(2026,7,1),Customer_Invoices_Upload!$B$4:$B$5003,"&lt;"&amp;EDATE(DATE(2026,7,1),1))+COUNTIFS(Stripe_Invoices_Upload!$D$4:$D$5003,$A163,Stripe_Invoices_Upload!$E$4:$E$5003,"*Subscription*",Stripe_Invoices_Upload!$A$4:$A$5003,"&gt;="&amp;DATE(2026,7,1),Stripe_Invoices_Upload!$A$4:$A$5003,"&lt;"&amp;EDATE(DATE(2026,7,1),1)))&gt;0,"✓ Invoiced","⚠ Due"),""),""))</f>
        <v/>
      </c>
      <c r="K163" s="130" t="str">
        <f aca="false">IF($A163="","",IF((DATE(YEAR($E163),MONTH($E163),1)&lt;=DATE(2026,8,1)),IF((MOD(DATEDIF(DATE(YEAR($E163),MONTH($E163),1),DATE(2026,8,1),"m"),IF($D163="Quarterly",3,IF($D163="Annual",12,1)))=0),IF((COUNTIFS(Xero_Raw!$D$4:$D$5003,$A163,Xero_Raw!$G$4:$G$5003,"*Subscription*",Xero_Raw!$A$4:$A$5003,"&gt;="&amp;DATE(2026,8,1),Xero_Raw!$A$4:$A$5003,"&lt;"&amp;EDATE(DATE(2026,8,1),1))+COUNTIFS(Customer_Invoices_Upload!$E$4:$E$5003,$A163,Customer_Invoices_Upload!$G$4:$G$5003,"*Subscription*",Customer_Invoices_Upload!$B$4:$B$5003,"&gt;="&amp;DATE(2026,8,1),Customer_Invoices_Upload!$B$4:$B$5003,"&lt;"&amp;EDATE(DATE(2026,8,1),1))+COUNTIFS(Stripe_Invoices_Upload!$D$4:$D$5003,$A163,Stripe_Invoices_Upload!$E$4:$E$5003,"*Subscription*",Stripe_Invoices_Upload!$A$4:$A$5003,"&gt;="&amp;DATE(2026,8,1),Stripe_Invoices_Upload!$A$4:$A$5003,"&lt;"&amp;EDATE(DATE(2026,8,1),1)))&gt;0,"✓ Invoiced","⚠ Due"),""),""))</f>
        <v/>
      </c>
      <c r="L163" s="130" t="str">
        <f aca="false">IF($A163="","",IF((DATE(YEAR($E163),MONTH($E163),1)&lt;=DATE(2026,9,1)),IF((MOD(DATEDIF(DATE(YEAR($E163),MONTH($E163),1),DATE(2026,9,1),"m"),IF($D163="Quarterly",3,IF($D163="Annual",12,1)))=0),IF((COUNTIFS(Xero_Raw!$D$4:$D$5003,$A163,Xero_Raw!$G$4:$G$5003,"*Subscription*",Xero_Raw!$A$4:$A$5003,"&gt;="&amp;DATE(2026,9,1),Xero_Raw!$A$4:$A$5003,"&lt;"&amp;EDATE(DATE(2026,9,1),1))+COUNTIFS(Customer_Invoices_Upload!$E$4:$E$5003,$A163,Customer_Invoices_Upload!$G$4:$G$5003,"*Subscription*",Customer_Invoices_Upload!$B$4:$B$5003,"&gt;="&amp;DATE(2026,9,1),Customer_Invoices_Upload!$B$4:$B$5003,"&lt;"&amp;EDATE(DATE(2026,9,1),1))+COUNTIFS(Stripe_Invoices_Upload!$D$4:$D$5003,$A163,Stripe_Invoices_Upload!$E$4:$E$5003,"*Subscription*",Stripe_Invoices_Upload!$A$4:$A$5003,"&gt;="&amp;DATE(2026,9,1),Stripe_Invoices_Upload!$A$4:$A$5003,"&lt;"&amp;EDATE(DATE(2026,9,1),1)))&gt;0,"✓ Invoiced","⚠ Due"),""),""))</f>
        <v/>
      </c>
      <c r="M163" s="130" t="str">
        <f aca="false">IF($A163="","",IF((DATE(YEAR($E163),MONTH($E163),1)&lt;=DATE(2026,10,1)),IF((MOD(DATEDIF(DATE(YEAR($E163),MONTH($E163),1),DATE(2026,10,1),"m"),IF($D163="Quarterly",3,IF($D163="Annual",12,1)))=0),IF((COUNTIFS(Xero_Raw!$D$4:$D$5003,$A163,Xero_Raw!$G$4:$G$5003,"*Subscription*",Xero_Raw!$A$4:$A$5003,"&gt;="&amp;DATE(2026,10,1),Xero_Raw!$A$4:$A$5003,"&lt;"&amp;EDATE(DATE(2026,10,1),1))+COUNTIFS(Customer_Invoices_Upload!$E$4:$E$5003,$A163,Customer_Invoices_Upload!$G$4:$G$5003,"*Subscription*",Customer_Invoices_Upload!$B$4:$B$5003,"&gt;="&amp;DATE(2026,10,1),Customer_Invoices_Upload!$B$4:$B$5003,"&lt;"&amp;EDATE(DATE(2026,10,1),1))+COUNTIFS(Stripe_Invoices_Upload!$D$4:$D$5003,$A163,Stripe_Invoices_Upload!$E$4:$E$5003,"*Subscription*",Stripe_Invoices_Upload!$A$4:$A$5003,"&gt;="&amp;DATE(2026,10,1),Stripe_Invoices_Upload!$A$4:$A$5003,"&lt;"&amp;EDATE(DATE(2026,10,1),1)))&gt;0,"✓ Invoiced","⚠ Due"),""),""))</f>
        <v/>
      </c>
      <c r="N163" s="130" t="str">
        <f aca="false">IF($A163="","",IF((DATE(YEAR($E163),MONTH($E163),1)&lt;=DATE(2026,11,1)),IF((MOD(DATEDIF(DATE(YEAR($E163),MONTH($E163),1),DATE(2026,11,1),"m"),IF($D163="Quarterly",3,IF($D163="Annual",12,1)))=0),IF((COUNTIFS(Xero_Raw!$D$4:$D$5003,$A163,Xero_Raw!$G$4:$G$5003,"*Subscription*",Xero_Raw!$A$4:$A$5003,"&gt;="&amp;DATE(2026,11,1),Xero_Raw!$A$4:$A$5003,"&lt;"&amp;EDATE(DATE(2026,11,1),1))+COUNTIFS(Customer_Invoices_Upload!$E$4:$E$5003,$A163,Customer_Invoices_Upload!$G$4:$G$5003,"*Subscription*",Customer_Invoices_Upload!$B$4:$B$5003,"&gt;="&amp;DATE(2026,11,1),Customer_Invoices_Upload!$B$4:$B$5003,"&lt;"&amp;EDATE(DATE(2026,11,1),1))+COUNTIFS(Stripe_Invoices_Upload!$D$4:$D$5003,$A163,Stripe_Invoices_Upload!$E$4:$E$5003,"*Subscription*",Stripe_Invoices_Upload!$A$4:$A$5003,"&gt;="&amp;DATE(2026,11,1),Stripe_Invoices_Upload!$A$4:$A$5003,"&lt;"&amp;EDATE(DATE(2026,11,1),1)))&gt;0,"✓ Invoiced","⚠ Due"),""),""))</f>
        <v/>
      </c>
      <c r="O163" s="130" t="str">
        <f aca="false">IF($A163="","",IF((DATE(YEAR($E163),MONTH($E163),1)&lt;=DATE(2026,12,1)),IF((MOD(DATEDIF(DATE(YEAR($E163),MONTH($E163),1),DATE(2026,12,1),"m"),IF($D163="Quarterly",3,IF($D163="Annual",12,1)))=0),IF((COUNTIFS(Xero_Raw!$D$4:$D$5003,$A163,Xero_Raw!$G$4:$G$5003,"*Subscription*",Xero_Raw!$A$4:$A$5003,"&gt;="&amp;DATE(2026,12,1),Xero_Raw!$A$4:$A$5003,"&lt;"&amp;EDATE(DATE(2026,12,1),1))+COUNTIFS(Customer_Invoices_Upload!$E$4:$E$5003,$A163,Customer_Invoices_Upload!$G$4:$G$5003,"*Subscription*",Customer_Invoices_Upload!$B$4:$B$5003,"&gt;="&amp;DATE(2026,12,1),Customer_Invoices_Upload!$B$4:$B$5003,"&lt;"&amp;EDATE(DATE(2026,12,1),1))+COUNTIFS(Stripe_Invoices_Upload!$D$4:$D$5003,$A163,Stripe_Invoices_Upload!$E$4:$E$5003,"*Subscription*",Stripe_Invoices_Upload!$A$4:$A$5003,"&gt;="&amp;DATE(2026,12,1),Stripe_Invoices_Upload!$A$4:$A$5003,"&lt;"&amp;EDATE(DATE(2026,12,1),1)))&gt;0,"✓ Invoiced","⚠ Due"),""),""))</f>
        <v/>
      </c>
      <c r="P163" s="130" t="str">
        <f aca="false">IF($A163="","",IF((DATE(YEAR($E163),MONTH($E163),1)&lt;=DATE(2027,1,1)),IF((MOD(DATEDIF(DATE(YEAR($E163),MONTH($E163),1),DATE(2027,1,1),"m"),IF($D163="Quarterly",3,IF($D163="Annual",12,1)))=0),IF((COUNTIFS(Xero_Raw!$D$4:$D$5003,$A163,Xero_Raw!$G$4:$G$5003,"*Subscription*",Xero_Raw!$A$4:$A$5003,"&gt;="&amp;DATE(2027,1,1),Xero_Raw!$A$4:$A$5003,"&lt;"&amp;EDATE(DATE(2027,1,1),1))+COUNTIFS(Customer_Invoices_Upload!$E$4:$E$5003,$A163,Customer_Invoices_Upload!$G$4:$G$5003,"*Subscription*",Customer_Invoices_Upload!$B$4:$B$5003,"&gt;="&amp;DATE(2027,1,1),Customer_Invoices_Upload!$B$4:$B$5003,"&lt;"&amp;EDATE(DATE(2027,1,1),1))+COUNTIFS(Stripe_Invoices_Upload!$D$4:$D$5003,$A163,Stripe_Invoices_Upload!$E$4:$E$5003,"*Subscription*",Stripe_Invoices_Upload!$A$4:$A$5003,"&gt;="&amp;DATE(2027,1,1),Stripe_Invoices_Upload!$A$4:$A$5003,"&lt;"&amp;EDATE(DATE(2027,1,1),1)))&gt;0,"✓ Invoiced","⚠ Due"),""),""))</f>
        <v/>
      </c>
      <c r="Q163" s="130" t="str">
        <f aca="false">IF($A163="","",IF((DATE(YEAR($E163),MONTH($E163),1)&lt;=DATE(2027,2,1)),IF((MOD(DATEDIF(DATE(YEAR($E163),MONTH($E163),1),DATE(2027,2,1),"m"),IF($D163="Quarterly",3,IF($D163="Annual",12,1)))=0),IF((COUNTIFS(Xero_Raw!$D$4:$D$5003,$A163,Xero_Raw!$G$4:$G$5003,"*Subscription*",Xero_Raw!$A$4:$A$5003,"&gt;="&amp;DATE(2027,2,1),Xero_Raw!$A$4:$A$5003,"&lt;"&amp;EDATE(DATE(2027,2,1),1))+COUNTIFS(Customer_Invoices_Upload!$E$4:$E$5003,$A163,Customer_Invoices_Upload!$G$4:$G$5003,"*Subscription*",Customer_Invoices_Upload!$B$4:$B$5003,"&gt;="&amp;DATE(2027,2,1),Customer_Invoices_Upload!$B$4:$B$5003,"&lt;"&amp;EDATE(DATE(2027,2,1),1))+COUNTIFS(Stripe_Invoices_Upload!$D$4:$D$5003,$A163,Stripe_Invoices_Upload!$E$4:$E$5003,"*Subscription*",Stripe_Invoices_Upload!$A$4:$A$5003,"&gt;="&amp;DATE(2027,2,1),Stripe_Invoices_Upload!$A$4:$A$5003,"&lt;"&amp;EDATE(DATE(2027,2,1),1)))&gt;0,"✓ Invoiced","⚠ Due"),""),""))</f>
        <v/>
      </c>
      <c r="R163" s="130" t="str">
        <f aca="false">IF($A163="","",IF((DATE(YEAR($E163),MONTH($E163),1)&lt;=DATE(2027,3,1)),IF((MOD(DATEDIF(DATE(YEAR($E163),MONTH($E163),1),DATE(2027,3,1),"m"),IF($D163="Quarterly",3,IF($D163="Annual",12,1)))=0),IF((COUNTIFS(Xero_Raw!$D$4:$D$5003,$A163,Xero_Raw!$G$4:$G$5003,"*Subscription*",Xero_Raw!$A$4:$A$5003,"&gt;="&amp;DATE(2027,3,1),Xero_Raw!$A$4:$A$5003,"&lt;"&amp;EDATE(DATE(2027,3,1),1))+COUNTIFS(Customer_Invoices_Upload!$E$4:$E$5003,$A163,Customer_Invoices_Upload!$G$4:$G$5003,"*Subscription*",Customer_Invoices_Upload!$B$4:$B$5003,"&gt;="&amp;DATE(2027,3,1),Customer_Invoices_Upload!$B$4:$B$5003,"&lt;"&amp;EDATE(DATE(2027,3,1),1))+COUNTIFS(Stripe_Invoices_Upload!$D$4:$D$5003,$A163,Stripe_Invoices_Upload!$E$4:$E$5003,"*Subscription*",Stripe_Invoices_Upload!$A$4:$A$5003,"&gt;="&amp;DATE(2027,3,1),Stripe_Invoices_Upload!$A$4:$A$5003,"&lt;"&amp;EDATE(DATE(2027,3,1),1)))&gt;0,"✓ Invoiced","⚠ Due"),""),""))</f>
        <v/>
      </c>
    </row>
    <row r="164" customFormat="false" ht="15" hidden="false" customHeight="false" outlineLevel="0" collapsed="false">
      <c r="A164" s="39"/>
      <c r="B164" s="39"/>
      <c r="C164" s="40"/>
      <c r="D164" s="39"/>
      <c r="E164" s="38"/>
      <c r="F164" s="129" t="str">
        <f aca="true">IF($A164="","",EDATE($E164,DATEDIF($E164,TODAY(),"m")+1))</f>
        <v/>
      </c>
      <c r="G164" s="130" t="str">
        <f aca="false">IF($A164="","",IF((DATE(YEAR($E164),MONTH($E164),1)&lt;=DATE(2026,4,1)),IF((MOD(DATEDIF(DATE(YEAR($E164),MONTH($E164),1),DATE(2026,4,1),"m"),IF($D164="Quarterly",3,IF($D164="Annual",12,1)))=0),IF((COUNTIFS(Xero_Raw!$D$4:$D$5003,$A164,Xero_Raw!$G$4:$G$5003,"*Subscription*",Xero_Raw!$A$4:$A$5003,"&gt;="&amp;DATE(2026,4,1),Xero_Raw!$A$4:$A$5003,"&lt;"&amp;EDATE(DATE(2026,4,1),1))+COUNTIFS(Customer_Invoices_Upload!$E$4:$E$5003,$A164,Customer_Invoices_Upload!$G$4:$G$5003,"*Subscription*",Customer_Invoices_Upload!$B$4:$B$5003,"&gt;="&amp;DATE(2026,4,1),Customer_Invoices_Upload!$B$4:$B$5003,"&lt;"&amp;EDATE(DATE(2026,4,1),1))+COUNTIFS(Stripe_Invoices_Upload!$D$4:$D$5003,$A164,Stripe_Invoices_Upload!$E$4:$E$5003,"*Subscription*",Stripe_Invoices_Upload!$A$4:$A$5003,"&gt;="&amp;DATE(2026,4,1),Stripe_Invoices_Upload!$A$4:$A$5003,"&lt;"&amp;EDATE(DATE(2026,4,1),1)))&gt;0,"✓ Invoiced","⚠ Due"),""),""))</f>
        <v/>
      </c>
      <c r="H164" s="130" t="str">
        <f aca="false">IF($A164="","",IF((DATE(YEAR($E164),MONTH($E164),1)&lt;=DATE(2026,5,1)),IF((MOD(DATEDIF(DATE(YEAR($E164),MONTH($E164),1),DATE(2026,5,1),"m"),IF($D164="Quarterly",3,IF($D164="Annual",12,1)))=0),IF((COUNTIFS(Xero_Raw!$D$4:$D$5003,$A164,Xero_Raw!$G$4:$G$5003,"*Subscription*",Xero_Raw!$A$4:$A$5003,"&gt;="&amp;DATE(2026,5,1),Xero_Raw!$A$4:$A$5003,"&lt;"&amp;EDATE(DATE(2026,5,1),1))+COUNTIFS(Customer_Invoices_Upload!$E$4:$E$5003,$A164,Customer_Invoices_Upload!$G$4:$G$5003,"*Subscription*",Customer_Invoices_Upload!$B$4:$B$5003,"&gt;="&amp;DATE(2026,5,1),Customer_Invoices_Upload!$B$4:$B$5003,"&lt;"&amp;EDATE(DATE(2026,5,1),1))+COUNTIFS(Stripe_Invoices_Upload!$D$4:$D$5003,$A164,Stripe_Invoices_Upload!$E$4:$E$5003,"*Subscription*",Stripe_Invoices_Upload!$A$4:$A$5003,"&gt;="&amp;DATE(2026,5,1),Stripe_Invoices_Upload!$A$4:$A$5003,"&lt;"&amp;EDATE(DATE(2026,5,1),1)))&gt;0,"✓ Invoiced","⚠ Due"),""),""))</f>
        <v/>
      </c>
      <c r="I164" s="130" t="str">
        <f aca="false">IF($A164="","",IF((DATE(YEAR($E164),MONTH($E164),1)&lt;=DATE(2026,6,1)),IF((MOD(DATEDIF(DATE(YEAR($E164),MONTH($E164),1),DATE(2026,6,1),"m"),IF($D164="Quarterly",3,IF($D164="Annual",12,1)))=0),IF((COUNTIFS(Xero_Raw!$D$4:$D$5003,$A164,Xero_Raw!$G$4:$G$5003,"*Subscription*",Xero_Raw!$A$4:$A$5003,"&gt;="&amp;DATE(2026,6,1),Xero_Raw!$A$4:$A$5003,"&lt;"&amp;EDATE(DATE(2026,6,1),1))+COUNTIFS(Customer_Invoices_Upload!$E$4:$E$5003,$A164,Customer_Invoices_Upload!$G$4:$G$5003,"*Subscription*",Customer_Invoices_Upload!$B$4:$B$5003,"&gt;="&amp;DATE(2026,6,1),Customer_Invoices_Upload!$B$4:$B$5003,"&lt;"&amp;EDATE(DATE(2026,6,1),1))+COUNTIFS(Stripe_Invoices_Upload!$D$4:$D$5003,$A164,Stripe_Invoices_Upload!$E$4:$E$5003,"*Subscription*",Stripe_Invoices_Upload!$A$4:$A$5003,"&gt;="&amp;DATE(2026,6,1),Stripe_Invoices_Upload!$A$4:$A$5003,"&lt;"&amp;EDATE(DATE(2026,6,1),1)))&gt;0,"✓ Invoiced","⚠ Due"),""),""))</f>
        <v/>
      </c>
      <c r="J164" s="130" t="str">
        <f aca="false">IF($A164="","",IF((DATE(YEAR($E164),MONTH($E164),1)&lt;=DATE(2026,7,1)),IF((MOD(DATEDIF(DATE(YEAR($E164),MONTH($E164),1),DATE(2026,7,1),"m"),IF($D164="Quarterly",3,IF($D164="Annual",12,1)))=0),IF((COUNTIFS(Xero_Raw!$D$4:$D$5003,$A164,Xero_Raw!$G$4:$G$5003,"*Subscription*",Xero_Raw!$A$4:$A$5003,"&gt;="&amp;DATE(2026,7,1),Xero_Raw!$A$4:$A$5003,"&lt;"&amp;EDATE(DATE(2026,7,1),1))+COUNTIFS(Customer_Invoices_Upload!$E$4:$E$5003,$A164,Customer_Invoices_Upload!$G$4:$G$5003,"*Subscription*",Customer_Invoices_Upload!$B$4:$B$5003,"&gt;="&amp;DATE(2026,7,1),Customer_Invoices_Upload!$B$4:$B$5003,"&lt;"&amp;EDATE(DATE(2026,7,1),1))+COUNTIFS(Stripe_Invoices_Upload!$D$4:$D$5003,$A164,Stripe_Invoices_Upload!$E$4:$E$5003,"*Subscription*",Stripe_Invoices_Upload!$A$4:$A$5003,"&gt;="&amp;DATE(2026,7,1),Stripe_Invoices_Upload!$A$4:$A$5003,"&lt;"&amp;EDATE(DATE(2026,7,1),1)))&gt;0,"✓ Invoiced","⚠ Due"),""),""))</f>
        <v/>
      </c>
      <c r="K164" s="130" t="str">
        <f aca="false">IF($A164="","",IF((DATE(YEAR($E164),MONTH($E164),1)&lt;=DATE(2026,8,1)),IF((MOD(DATEDIF(DATE(YEAR($E164),MONTH($E164),1),DATE(2026,8,1),"m"),IF($D164="Quarterly",3,IF($D164="Annual",12,1)))=0),IF((COUNTIFS(Xero_Raw!$D$4:$D$5003,$A164,Xero_Raw!$G$4:$G$5003,"*Subscription*",Xero_Raw!$A$4:$A$5003,"&gt;="&amp;DATE(2026,8,1),Xero_Raw!$A$4:$A$5003,"&lt;"&amp;EDATE(DATE(2026,8,1),1))+COUNTIFS(Customer_Invoices_Upload!$E$4:$E$5003,$A164,Customer_Invoices_Upload!$G$4:$G$5003,"*Subscription*",Customer_Invoices_Upload!$B$4:$B$5003,"&gt;="&amp;DATE(2026,8,1),Customer_Invoices_Upload!$B$4:$B$5003,"&lt;"&amp;EDATE(DATE(2026,8,1),1))+COUNTIFS(Stripe_Invoices_Upload!$D$4:$D$5003,$A164,Stripe_Invoices_Upload!$E$4:$E$5003,"*Subscription*",Stripe_Invoices_Upload!$A$4:$A$5003,"&gt;="&amp;DATE(2026,8,1),Stripe_Invoices_Upload!$A$4:$A$5003,"&lt;"&amp;EDATE(DATE(2026,8,1),1)))&gt;0,"✓ Invoiced","⚠ Due"),""),""))</f>
        <v/>
      </c>
      <c r="L164" s="130" t="str">
        <f aca="false">IF($A164="","",IF((DATE(YEAR($E164),MONTH($E164),1)&lt;=DATE(2026,9,1)),IF((MOD(DATEDIF(DATE(YEAR($E164),MONTH($E164),1),DATE(2026,9,1),"m"),IF($D164="Quarterly",3,IF($D164="Annual",12,1)))=0),IF((COUNTIFS(Xero_Raw!$D$4:$D$5003,$A164,Xero_Raw!$G$4:$G$5003,"*Subscription*",Xero_Raw!$A$4:$A$5003,"&gt;="&amp;DATE(2026,9,1),Xero_Raw!$A$4:$A$5003,"&lt;"&amp;EDATE(DATE(2026,9,1),1))+COUNTIFS(Customer_Invoices_Upload!$E$4:$E$5003,$A164,Customer_Invoices_Upload!$G$4:$G$5003,"*Subscription*",Customer_Invoices_Upload!$B$4:$B$5003,"&gt;="&amp;DATE(2026,9,1),Customer_Invoices_Upload!$B$4:$B$5003,"&lt;"&amp;EDATE(DATE(2026,9,1),1))+COUNTIFS(Stripe_Invoices_Upload!$D$4:$D$5003,$A164,Stripe_Invoices_Upload!$E$4:$E$5003,"*Subscription*",Stripe_Invoices_Upload!$A$4:$A$5003,"&gt;="&amp;DATE(2026,9,1),Stripe_Invoices_Upload!$A$4:$A$5003,"&lt;"&amp;EDATE(DATE(2026,9,1),1)))&gt;0,"✓ Invoiced","⚠ Due"),""),""))</f>
        <v/>
      </c>
      <c r="M164" s="130" t="str">
        <f aca="false">IF($A164="","",IF((DATE(YEAR($E164),MONTH($E164),1)&lt;=DATE(2026,10,1)),IF((MOD(DATEDIF(DATE(YEAR($E164),MONTH($E164),1),DATE(2026,10,1),"m"),IF($D164="Quarterly",3,IF($D164="Annual",12,1)))=0),IF((COUNTIFS(Xero_Raw!$D$4:$D$5003,$A164,Xero_Raw!$G$4:$G$5003,"*Subscription*",Xero_Raw!$A$4:$A$5003,"&gt;="&amp;DATE(2026,10,1),Xero_Raw!$A$4:$A$5003,"&lt;"&amp;EDATE(DATE(2026,10,1),1))+COUNTIFS(Customer_Invoices_Upload!$E$4:$E$5003,$A164,Customer_Invoices_Upload!$G$4:$G$5003,"*Subscription*",Customer_Invoices_Upload!$B$4:$B$5003,"&gt;="&amp;DATE(2026,10,1),Customer_Invoices_Upload!$B$4:$B$5003,"&lt;"&amp;EDATE(DATE(2026,10,1),1))+COUNTIFS(Stripe_Invoices_Upload!$D$4:$D$5003,$A164,Stripe_Invoices_Upload!$E$4:$E$5003,"*Subscription*",Stripe_Invoices_Upload!$A$4:$A$5003,"&gt;="&amp;DATE(2026,10,1),Stripe_Invoices_Upload!$A$4:$A$5003,"&lt;"&amp;EDATE(DATE(2026,10,1),1)))&gt;0,"✓ Invoiced","⚠ Due"),""),""))</f>
        <v/>
      </c>
      <c r="N164" s="130" t="str">
        <f aca="false">IF($A164="","",IF((DATE(YEAR($E164),MONTH($E164),1)&lt;=DATE(2026,11,1)),IF((MOD(DATEDIF(DATE(YEAR($E164),MONTH($E164),1),DATE(2026,11,1),"m"),IF($D164="Quarterly",3,IF($D164="Annual",12,1)))=0),IF((COUNTIFS(Xero_Raw!$D$4:$D$5003,$A164,Xero_Raw!$G$4:$G$5003,"*Subscription*",Xero_Raw!$A$4:$A$5003,"&gt;="&amp;DATE(2026,11,1),Xero_Raw!$A$4:$A$5003,"&lt;"&amp;EDATE(DATE(2026,11,1),1))+COUNTIFS(Customer_Invoices_Upload!$E$4:$E$5003,$A164,Customer_Invoices_Upload!$G$4:$G$5003,"*Subscription*",Customer_Invoices_Upload!$B$4:$B$5003,"&gt;="&amp;DATE(2026,11,1),Customer_Invoices_Upload!$B$4:$B$5003,"&lt;"&amp;EDATE(DATE(2026,11,1),1))+COUNTIFS(Stripe_Invoices_Upload!$D$4:$D$5003,$A164,Stripe_Invoices_Upload!$E$4:$E$5003,"*Subscription*",Stripe_Invoices_Upload!$A$4:$A$5003,"&gt;="&amp;DATE(2026,11,1),Stripe_Invoices_Upload!$A$4:$A$5003,"&lt;"&amp;EDATE(DATE(2026,11,1),1)))&gt;0,"✓ Invoiced","⚠ Due"),""),""))</f>
        <v/>
      </c>
      <c r="O164" s="130" t="str">
        <f aca="false">IF($A164="","",IF((DATE(YEAR($E164),MONTH($E164),1)&lt;=DATE(2026,12,1)),IF((MOD(DATEDIF(DATE(YEAR($E164),MONTH($E164),1),DATE(2026,12,1),"m"),IF($D164="Quarterly",3,IF($D164="Annual",12,1)))=0),IF((COUNTIFS(Xero_Raw!$D$4:$D$5003,$A164,Xero_Raw!$G$4:$G$5003,"*Subscription*",Xero_Raw!$A$4:$A$5003,"&gt;="&amp;DATE(2026,12,1),Xero_Raw!$A$4:$A$5003,"&lt;"&amp;EDATE(DATE(2026,12,1),1))+COUNTIFS(Customer_Invoices_Upload!$E$4:$E$5003,$A164,Customer_Invoices_Upload!$G$4:$G$5003,"*Subscription*",Customer_Invoices_Upload!$B$4:$B$5003,"&gt;="&amp;DATE(2026,12,1),Customer_Invoices_Upload!$B$4:$B$5003,"&lt;"&amp;EDATE(DATE(2026,12,1),1))+COUNTIFS(Stripe_Invoices_Upload!$D$4:$D$5003,$A164,Stripe_Invoices_Upload!$E$4:$E$5003,"*Subscription*",Stripe_Invoices_Upload!$A$4:$A$5003,"&gt;="&amp;DATE(2026,12,1),Stripe_Invoices_Upload!$A$4:$A$5003,"&lt;"&amp;EDATE(DATE(2026,12,1),1)))&gt;0,"✓ Invoiced","⚠ Due"),""),""))</f>
        <v/>
      </c>
      <c r="P164" s="130" t="str">
        <f aca="false">IF($A164="","",IF((DATE(YEAR($E164),MONTH($E164),1)&lt;=DATE(2027,1,1)),IF((MOD(DATEDIF(DATE(YEAR($E164),MONTH($E164),1),DATE(2027,1,1),"m"),IF($D164="Quarterly",3,IF($D164="Annual",12,1)))=0),IF((COUNTIFS(Xero_Raw!$D$4:$D$5003,$A164,Xero_Raw!$G$4:$G$5003,"*Subscription*",Xero_Raw!$A$4:$A$5003,"&gt;="&amp;DATE(2027,1,1),Xero_Raw!$A$4:$A$5003,"&lt;"&amp;EDATE(DATE(2027,1,1),1))+COUNTIFS(Customer_Invoices_Upload!$E$4:$E$5003,$A164,Customer_Invoices_Upload!$G$4:$G$5003,"*Subscription*",Customer_Invoices_Upload!$B$4:$B$5003,"&gt;="&amp;DATE(2027,1,1),Customer_Invoices_Upload!$B$4:$B$5003,"&lt;"&amp;EDATE(DATE(2027,1,1),1))+COUNTIFS(Stripe_Invoices_Upload!$D$4:$D$5003,$A164,Stripe_Invoices_Upload!$E$4:$E$5003,"*Subscription*",Stripe_Invoices_Upload!$A$4:$A$5003,"&gt;="&amp;DATE(2027,1,1),Stripe_Invoices_Upload!$A$4:$A$5003,"&lt;"&amp;EDATE(DATE(2027,1,1),1)))&gt;0,"✓ Invoiced","⚠ Due"),""),""))</f>
        <v/>
      </c>
      <c r="Q164" s="130" t="str">
        <f aca="false">IF($A164="","",IF((DATE(YEAR($E164),MONTH($E164),1)&lt;=DATE(2027,2,1)),IF((MOD(DATEDIF(DATE(YEAR($E164),MONTH($E164),1),DATE(2027,2,1),"m"),IF($D164="Quarterly",3,IF($D164="Annual",12,1)))=0),IF((COUNTIFS(Xero_Raw!$D$4:$D$5003,$A164,Xero_Raw!$G$4:$G$5003,"*Subscription*",Xero_Raw!$A$4:$A$5003,"&gt;="&amp;DATE(2027,2,1),Xero_Raw!$A$4:$A$5003,"&lt;"&amp;EDATE(DATE(2027,2,1),1))+COUNTIFS(Customer_Invoices_Upload!$E$4:$E$5003,$A164,Customer_Invoices_Upload!$G$4:$G$5003,"*Subscription*",Customer_Invoices_Upload!$B$4:$B$5003,"&gt;="&amp;DATE(2027,2,1),Customer_Invoices_Upload!$B$4:$B$5003,"&lt;"&amp;EDATE(DATE(2027,2,1),1))+COUNTIFS(Stripe_Invoices_Upload!$D$4:$D$5003,$A164,Stripe_Invoices_Upload!$E$4:$E$5003,"*Subscription*",Stripe_Invoices_Upload!$A$4:$A$5003,"&gt;="&amp;DATE(2027,2,1),Stripe_Invoices_Upload!$A$4:$A$5003,"&lt;"&amp;EDATE(DATE(2027,2,1),1)))&gt;0,"✓ Invoiced","⚠ Due"),""),""))</f>
        <v/>
      </c>
      <c r="R164" s="130" t="str">
        <f aca="false">IF($A164="","",IF((DATE(YEAR($E164),MONTH($E164),1)&lt;=DATE(2027,3,1)),IF((MOD(DATEDIF(DATE(YEAR($E164),MONTH($E164),1),DATE(2027,3,1),"m"),IF($D164="Quarterly",3,IF($D164="Annual",12,1)))=0),IF((COUNTIFS(Xero_Raw!$D$4:$D$5003,$A164,Xero_Raw!$G$4:$G$5003,"*Subscription*",Xero_Raw!$A$4:$A$5003,"&gt;="&amp;DATE(2027,3,1),Xero_Raw!$A$4:$A$5003,"&lt;"&amp;EDATE(DATE(2027,3,1),1))+COUNTIFS(Customer_Invoices_Upload!$E$4:$E$5003,$A164,Customer_Invoices_Upload!$G$4:$G$5003,"*Subscription*",Customer_Invoices_Upload!$B$4:$B$5003,"&gt;="&amp;DATE(2027,3,1),Customer_Invoices_Upload!$B$4:$B$5003,"&lt;"&amp;EDATE(DATE(2027,3,1),1))+COUNTIFS(Stripe_Invoices_Upload!$D$4:$D$5003,$A164,Stripe_Invoices_Upload!$E$4:$E$5003,"*Subscription*",Stripe_Invoices_Upload!$A$4:$A$5003,"&gt;="&amp;DATE(2027,3,1),Stripe_Invoices_Upload!$A$4:$A$5003,"&lt;"&amp;EDATE(DATE(2027,3,1),1)))&gt;0,"✓ Invoiced","⚠ Due"),""),""))</f>
        <v/>
      </c>
    </row>
    <row r="165" customFormat="false" ht="15" hidden="false" customHeight="false" outlineLevel="0" collapsed="false">
      <c r="A165" s="39"/>
      <c r="B165" s="39"/>
      <c r="C165" s="40"/>
      <c r="D165" s="39"/>
      <c r="E165" s="38"/>
      <c r="F165" s="129" t="str">
        <f aca="true">IF($A165="","",EDATE($E165,DATEDIF($E165,TODAY(),"m")+1))</f>
        <v/>
      </c>
      <c r="G165" s="130" t="str">
        <f aca="false">IF($A165="","",IF((DATE(YEAR($E165),MONTH($E165),1)&lt;=DATE(2026,4,1)),IF((MOD(DATEDIF(DATE(YEAR($E165),MONTH($E165),1),DATE(2026,4,1),"m"),IF($D165="Quarterly",3,IF($D165="Annual",12,1)))=0),IF((COUNTIFS(Xero_Raw!$D$4:$D$5003,$A165,Xero_Raw!$G$4:$G$5003,"*Subscription*",Xero_Raw!$A$4:$A$5003,"&gt;="&amp;DATE(2026,4,1),Xero_Raw!$A$4:$A$5003,"&lt;"&amp;EDATE(DATE(2026,4,1),1))+COUNTIFS(Customer_Invoices_Upload!$E$4:$E$5003,$A165,Customer_Invoices_Upload!$G$4:$G$5003,"*Subscription*",Customer_Invoices_Upload!$B$4:$B$5003,"&gt;="&amp;DATE(2026,4,1),Customer_Invoices_Upload!$B$4:$B$5003,"&lt;"&amp;EDATE(DATE(2026,4,1),1))+COUNTIFS(Stripe_Invoices_Upload!$D$4:$D$5003,$A165,Stripe_Invoices_Upload!$E$4:$E$5003,"*Subscription*",Stripe_Invoices_Upload!$A$4:$A$5003,"&gt;="&amp;DATE(2026,4,1),Stripe_Invoices_Upload!$A$4:$A$5003,"&lt;"&amp;EDATE(DATE(2026,4,1),1)))&gt;0,"✓ Invoiced","⚠ Due"),""),""))</f>
        <v/>
      </c>
      <c r="H165" s="130" t="str">
        <f aca="false">IF($A165="","",IF((DATE(YEAR($E165),MONTH($E165),1)&lt;=DATE(2026,5,1)),IF((MOD(DATEDIF(DATE(YEAR($E165),MONTH($E165),1),DATE(2026,5,1),"m"),IF($D165="Quarterly",3,IF($D165="Annual",12,1)))=0),IF((COUNTIFS(Xero_Raw!$D$4:$D$5003,$A165,Xero_Raw!$G$4:$G$5003,"*Subscription*",Xero_Raw!$A$4:$A$5003,"&gt;="&amp;DATE(2026,5,1),Xero_Raw!$A$4:$A$5003,"&lt;"&amp;EDATE(DATE(2026,5,1),1))+COUNTIFS(Customer_Invoices_Upload!$E$4:$E$5003,$A165,Customer_Invoices_Upload!$G$4:$G$5003,"*Subscription*",Customer_Invoices_Upload!$B$4:$B$5003,"&gt;="&amp;DATE(2026,5,1),Customer_Invoices_Upload!$B$4:$B$5003,"&lt;"&amp;EDATE(DATE(2026,5,1),1))+COUNTIFS(Stripe_Invoices_Upload!$D$4:$D$5003,$A165,Stripe_Invoices_Upload!$E$4:$E$5003,"*Subscription*",Stripe_Invoices_Upload!$A$4:$A$5003,"&gt;="&amp;DATE(2026,5,1),Stripe_Invoices_Upload!$A$4:$A$5003,"&lt;"&amp;EDATE(DATE(2026,5,1),1)))&gt;0,"✓ Invoiced","⚠ Due"),""),""))</f>
        <v/>
      </c>
      <c r="I165" s="130" t="str">
        <f aca="false">IF($A165="","",IF((DATE(YEAR($E165),MONTH($E165),1)&lt;=DATE(2026,6,1)),IF((MOD(DATEDIF(DATE(YEAR($E165),MONTH($E165),1),DATE(2026,6,1),"m"),IF($D165="Quarterly",3,IF($D165="Annual",12,1)))=0),IF((COUNTIFS(Xero_Raw!$D$4:$D$5003,$A165,Xero_Raw!$G$4:$G$5003,"*Subscription*",Xero_Raw!$A$4:$A$5003,"&gt;="&amp;DATE(2026,6,1),Xero_Raw!$A$4:$A$5003,"&lt;"&amp;EDATE(DATE(2026,6,1),1))+COUNTIFS(Customer_Invoices_Upload!$E$4:$E$5003,$A165,Customer_Invoices_Upload!$G$4:$G$5003,"*Subscription*",Customer_Invoices_Upload!$B$4:$B$5003,"&gt;="&amp;DATE(2026,6,1),Customer_Invoices_Upload!$B$4:$B$5003,"&lt;"&amp;EDATE(DATE(2026,6,1),1))+COUNTIFS(Stripe_Invoices_Upload!$D$4:$D$5003,$A165,Stripe_Invoices_Upload!$E$4:$E$5003,"*Subscription*",Stripe_Invoices_Upload!$A$4:$A$5003,"&gt;="&amp;DATE(2026,6,1),Stripe_Invoices_Upload!$A$4:$A$5003,"&lt;"&amp;EDATE(DATE(2026,6,1),1)))&gt;0,"✓ Invoiced","⚠ Due"),""),""))</f>
        <v/>
      </c>
      <c r="J165" s="130" t="str">
        <f aca="false">IF($A165="","",IF((DATE(YEAR($E165),MONTH($E165),1)&lt;=DATE(2026,7,1)),IF((MOD(DATEDIF(DATE(YEAR($E165),MONTH($E165),1),DATE(2026,7,1),"m"),IF($D165="Quarterly",3,IF($D165="Annual",12,1)))=0),IF((COUNTIFS(Xero_Raw!$D$4:$D$5003,$A165,Xero_Raw!$G$4:$G$5003,"*Subscription*",Xero_Raw!$A$4:$A$5003,"&gt;="&amp;DATE(2026,7,1),Xero_Raw!$A$4:$A$5003,"&lt;"&amp;EDATE(DATE(2026,7,1),1))+COUNTIFS(Customer_Invoices_Upload!$E$4:$E$5003,$A165,Customer_Invoices_Upload!$G$4:$G$5003,"*Subscription*",Customer_Invoices_Upload!$B$4:$B$5003,"&gt;="&amp;DATE(2026,7,1),Customer_Invoices_Upload!$B$4:$B$5003,"&lt;"&amp;EDATE(DATE(2026,7,1),1))+COUNTIFS(Stripe_Invoices_Upload!$D$4:$D$5003,$A165,Stripe_Invoices_Upload!$E$4:$E$5003,"*Subscription*",Stripe_Invoices_Upload!$A$4:$A$5003,"&gt;="&amp;DATE(2026,7,1),Stripe_Invoices_Upload!$A$4:$A$5003,"&lt;"&amp;EDATE(DATE(2026,7,1),1)))&gt;0,"✓ Invoiced","⚠ Due"),""),""))</f>
        <v/>
      </c>
      <c r="K165" s="130" t="str">
        <f aca="false">IF($A165="","",IF((DATE(YEAR($E165),MONTH($E165),1)&lt;=DATE(2026,8,1)),IF((MOD(DATEDIF(DATE(YEAR($E165),MONTH($E165),1),DATE(2026,8,1),"m"),IF($D165="Quarterly",3,IF($D165="Annual",12,1)))=0),IF((COUNTIFS(Xero_Raw!$D$4:$D$5003,$A165,Xero_Raw!$G$4:$G$5003,"*Subscription*",Xero_Raw!$A$4:$A$5003,"&gt;="&amp;DATE(2026,8,1),Xero_Raw!$A$4:$A$5003,"&lt;"&amp;EDATE(DATE(2026,8,1),1))+COUNTIFS(Customer_Invoices_Upload!$E$4:$E$5003,$A165,Customer_Invoices_Upload!$G$4:$G$5003,"*Subscription*",Customer_Invoices_Upload!$B$4:$B$5003,"&gt;="&amp;DATE(2026,8,1),Customer_Invoices_Upload!$B$4:$B$5003,"&lt;"&amp;EDATE(DATE(2026,8,1),1))+COUNTIFS(Stripe_Invoices_Upload!$D$4:$D$5003,$A165,Stripe_Invoices_Upload!$E$4:$E$5003,"*Subscription*",Stripe_Invoices_Upload!$A$4:$A$5003,"&gt;="&amp;DATE(2026,8,1),Stripe_Invoices_Upload!$A$4:$A$5003,"&lt;"&amp;EDATE(DATE(2026,8,1),1)))&gt;0,"✓ Invoiced","⚠ Due"),""),""))</f>
        <v/>
      </c>
      <c r="L165" s="130" t="str">
        <f aca="false">IF($A165="","",IF((DATE(YEAR($E165),MONTH($E165),1)&lt;=DATE(2026,9,1)),IF((MOD(DATEDIF(DATE(YEAR($E165),MONTH($E165),1),DATE(2026,9,1),"m"),IF($D165="Quarterly",3,IF($D165="Annual",12,1)))=0),IF((COUNTIFS(Xero_Raw!$D$4:$D$5003,$A165,Xero_Raw!$G$4:$G$5003,"*Subscription*",Xero_Raw!$A$4:$A$5003,"&gt;="&amp;DATE(2026,9,1),Xero_Raw!$A$4:$A$5003,"&lt;"&amp;EDATE(DATE(2026,9,1),1))+COUNTIFS(Customer_Invoices_Upload!$E$4:$E$5003,$A165,Customer_Invoices_Upload!$G$4:$G$5003,"*Subscription*",Customer_Invoices_Upload!$B$4:$B$5003,"&gt;="&amp;DATE(2026,9,1),Customer_Invoices_Upload!$B$4:$B$5003,"&lt;"&amp;EDATE(DATE(2026,9,1),1))+COUNTIFS(Stripe_Invoices_Upload!$D$4:$D$5003,$A165,Stripe_Invoices_Upload!$E$4:$E$5003,"*Subscription*",Stripe_Invoices_Upload!$A$4:$A$5003,"&gt;="&amp;DATE(2026,9,1),Stripe_Invoices_Upload!$A$4:$A$5003,"&lt;"&amp;EDATE(DATE(2026,9,1),1)))&gt;0,"✓ Invoiced","⚠ Due"),""),""))</f>
        <v/>
      </c>
      <c r="M165" s="130" t="str">
        <f aca="false">IF($A165="","",IF((DATE(YEAR($E165),MONTH($E165),1)&lt;=DATE(2026,10,1)),IF((MOD(DATEDIF(DATE(YEAR($E165),MONTH($E165),1),DATE(2026,10,1),"m"),IF($D165="Quarterly",3,IF($D165="Annual",12,1)))=0),IF((COUNTIFS(Xero_Raw!$D$4:$D$5003,$A165,Xero_Raw!$G$4:$G$5003,"*Subscription*",Xero_Raw!$A$4:$A$5003,"&gt;="&amp;DATE(2026,10,1),Xero_Raw!$A$4:$A$5003,"&lt;"&amp;EDATE(DATE(2026,10,1),1))+COUNTIFS(Customer_Invoices_Upload!$E$4:$E$5003,$A165,Customer_Invoices_Upload!$G$4:$G$5003,"*Subscription*",Customer_Invoices_Upload!$B$4:$B$5003,"&gt;="&amp;DATE(2026,10,1),Customer_Invoices_Upload!$B$4:$B$5003,"&lt;"&amp;EDATE(DATE(2026,10,1),1))+COUNTIFS(Stripe_Invoices_Upload!$D$4:$D$5003,$A165,Stripe_Invoices_Upload!$E$4:$E$5003,"*Subscription*",Stripe_Invoices_Upload!$A$4:$A$5003,"&gt;="&amp;DATE(2026,10,1),Stripe_Invoices_Upload!$A$4:$A$5003,"&lt;"&amp;EDATE(DATE(2026,10,1),1)))&gt;0,"✓ Invoiced","⚠ Due"),""),""))</f>
        <v/>
      </c>
      <c r="N165" s="130" t="str">
        <f aca="false">IF($A165="","",IF((DATE(YEAR($E165),MONTH($E165),1)&lt;=DATE(2026,11,1)),IF((MOD(DATEDIF(DATE(YEAR($E165),MONTH($E165),1),DATE(2026,11,1),"m"),IF($D165="Quarterly",3,IF($D165="Annual",12,1)))=0),IF((COUNTIFS(Xero_Raw!$D$4:$D$5003,$A165,Xero_Raw!$G$4:$G$5003,"*Subscription*",Xero_Raw!$A$4:$A$5003,"&gt;="&amp;DATE(2026,11,1),Xero_Raw!$A$4:$A$5003,"&lt;"&amp;EDATE(DATE(2026,11,1),1))+COUNTIFS(Customer_Invoices_Upload!$E$4:$E$5003,$A165,Customer_Invoices_Upload!$G$4:$G$5003,"*Subscription*",Customer_Invoices_Upload!$B$4:$B$5003,"&gt;="&amp;DATE(2026,11,1),Customer_Invoices_Upload!$B$4:$B$5003,"&lt;"&amp;EDATE(DATE(2026,11,1),1))+COUNTIFS(Stripe_Invoices_Upload!$D$4:$D$5003,$A165,Stripe_Invoices_Upload!$E$4:$E$5003,"*Subscription*",Stripe_Invoices_Upload!$A$4:$A$5003,"&gt;="&amp;DATE(2026,11,1),Stripe_Invoices_Upload!$A$4:$A$5003,"&lt;"&amp;EDATE(DATE(2026,11,1),1)))&gt;0,"✓ Invoiced","⚠ Due"),""),""))</f>
        <v/>
      </c>
      <c r="O165" s="130" t="str">
        <f aca="false">IF($A165="","",IF((DATE(YEAR($E165),MONTH($E165),1)&lt;=DATE(2026,12,1)),IF((MOD(DATEDIF(DATE(YEAR($E165),MONTH($E165),1),DATE(2026,12,1),"m"),IF($D165="Quarterly",3,IF($D165="Annual",12,1)))=0),IF((COUNTIFS(Xero_Raw!$D$4:$D$5003,$A165,Xero_Raw!$G$4:$G$5003,"*Subscription*",Xero_Raw!$A$4:$A$5003,"&gt;="&amp;DATE(2026,12,1),Xero_Raw!$A$4:$A$5003,"&lt;"&amp;EDATE(DATE(2026,12,1),1))+COUNTIFS(Customer_Invoices_Upload!$E$4:$E$5003,$A165,Customer_Invoices_Upload!$G$4:$G$5003,"*Subscription*",Customer_Invoices_Upload!$B$4:$B$5003,"&gt;="&amp;DATE(2026,12,1),Customer_Invoices_Upload!$B$4:$B$5003,"&lt;"&amp;EDATE(DATE(2026,12,1),1))+COUNTIFS(Stripe_Invoices_Upload!$D$4:$D$5003,$A165,Stripe_Invoices_Upload!$E$4:$E$5003,"*Subscription*",Stripe_Invoices_Upload!$A$4:$A$5003,"&gt;="&amp;DATE(2026,12,1),Stripe_Invoices_Upload!$A$4:$A$5003,"&lt;"&amp;EDATE(DATE(2026,12,1),1)))&gt;0,"✓ Invoiced","⚠ Due"),""),""))</f>
        <v/>
      </c>
      <c r="P165" s="130" t="str">
        <f aca="false">IF($A165="","",IF((DATE(YEAR($E165),MONTH($E165),1)&lt;=DATE(2027,1,1)),IF((MOD(DATEDIF(DATE(YEAR($E165),MONTH($E165),1),DATE(2027,1,1),"m"),IF($D165="Quarterly",3,IF($D165="Annual",12,1)))=0),IF((COUNTIFS(Xero_Raw!$D$4:$D$5003,$A165,Xero_Raw!$G$4:$G$5003,"*Subscription*",Xero_Raw!$A$4:$A$5003,"&gt;="&amp;DATE(2027,1,1),Xero_Raw!$A$4:$A$5003,"&lt;"&amp;EDATE(DATE(2027,1,1),1))+COUNTIFS(Customer_Invoices_Upload!$E$4:$E$5003,$A165,Customer_Invoices_Upload!$G$4:$G$5003,"*Subscription*",Customer_Invoices_Upload!$B$4:$B$5003,"&gt;="&amp;DATE(2027,1,1),Customer_Invoices_Upload!$B$4:$B$5003,"&lt;"&amp;EDATE(DATE(2027,1,1),1))+COUNTIFS(Stripe_Invoices_Upload!$D$4:$D$5003,$A165,Stripe_Invoices_Upload!$E$4:$E$5003,"*Subscription*",Stripe_Invoices_Upload!$A$4:$A$5003,"&gt;="&amp;DATE(2027,1,1),Stripe_Invoices_Upload!$A$4:$A$5003,"&lt;"&amp;EDATE(DATE(2027,1,1),1)))&gt;0,"✓ Invoiced","⚠ Due"),""),""))</f>
        <v/>
      </c>
      <c r="Q165" s="130" t="str">
        <f aca="false">IF($A165="","",IF((DATE(YEAR($E165),MONTH($E165),1)&lt;=DATE(2027,2,1)),IF((MOD(DATEDIF(DATE(YEAR($E165),MONTH($E165),1),DATE(2027,2,1),"m"),IF($D165="Quarterly",3,IF($D165="Annual",12,1)))=0),IF((COUNTIFS(Xero_Raw!$D$4:$D$5003,$A165,Xero_Raw!$G$4:$G$5003,"*Subscription*",Xero_Raw!$A$4:$A$5003,"&gt;="&amp;DATE(2027,2,1),Xero_Raw!$A$4:$A$5003,"&lt;"&amp;EDATE(DATE(2027,2,1),1))+COUNTIFS(Customer_Invoices_Upload!$E$4:$E$5003,$A165,Customer_Invoices_Upload!$G$4:$G$5003,"*Subscription*",Customer_Invoices_Upload!$B$4:$B$5003,"&gt;="&amp;DATE(2027,2,1),Customer_Invoices_Upload!$B$4:$B$5003,"&lt;"&amp;EDATE(DATE(2027,2,1),1))+COUNTIFS(Stripe_Invoices_Upload!$D$4:$D$5003,$A165,Stripe_Invoices_Upload!$E$4:$E$5003,"*Subscription*",Stripe_Invoices_Upload!$A$4:$A$5003,"&gt;="&amp;DATE(2027,2,1),Stripe_Invoices_Upload!$A$4:$A$5003,"&lt;"&amp;EDATE(DATE(2027,2,1),1)))&gt;0,"✓ Invoiced","⚠ Due"),""),""))</f>
        <v/>
      </c>
      <c r="R165" s="130" t="str">
        <f aca="false">IF($A165="","",IF((DATE(YEAR($E165),MONTH($E165),1)&lt;=DATE(2027,3,1)),IF((MOD(DATEDIF(DATE(YEAR($E165),MONTH($E165),1),DATE(2027,3,1),"m"),IF($D165="Quarterly",3,IF($D165="Annual",12,1)))=0),IF((COUNTIFS(Xero_Raw!$D$4:$D$5003,$A165,Xero_Raw!$G$4:$G$5003,"*Subscription*",Xero_Raw!$A$4:$A$5003,"&gt;="&amp;DATE(2027,3,1),Xero_Raw!$A$4:$A$5003,"&lt;"&amp;EDATE(DATE(2027,3,1),1))+COUNTIFS(Customer_Invoices_Upload!$E$4:$E$5003,$A165,Customer_Invoices_Upload!$G$4:$G$5003,"*Subscription*",Customer_Invoices_Upload!$B$4:$B$5003,"&gt;="&amp;DATE(2027,3,1),Customer_Invoices_Upload!$B$4:$B$5003,"&lt;"&amp;EDATE(DATE(2027,3,1),1))+COUNTIFS(Stripe_Invoices_Upload!$D$4:$D$5003,$A165,Stripe_Invoices_Upload!$E$4:$E$5003,"*Subscription*",Stripe_Invoices_Upload!$A$4:$A$5003,"&gt;="&amp;DATE(2027,3,1),Stripe_Invoices_Upload!$A$4:$A$5003,"&lt;"&amp;EDATE(DATE(2027,3,1),1)))&gt;0,"✓ Invoiced","⚠ Due"),""),""))</f>
        <v/>
      </c>
    </row>
    <row r="166" customFormat="false" ht="15" hidden="false" customHeight="false" outlineLevel="0" collapsed="false">
      <c r="A166" s="39"/>
      <c r="B166" s="39"/>
      <c r="C166" s="40"/>
      <c r="D166" s="39"/>
      <c r="E166" s="38"/>
      <c r="F166" s="129" t="str">
        <f aca="true">IF($A166="","",EDATE($E166,DATEDIF($E166,TODAY(),"m")+1))</f>
        <v/>
      </c>
      <c r="G166" s="130" t="str">
        <f aca="false">IF($A166="","",IF((DATE(YEAR($E166),MONTH($E166),1)&lt;=DATE(2026,4,1)),IF((MOD(DATEDIF(DATE(YEAR($E166),MONTH($E166),1),DATE(2026,4,1),"m"),IF($D166="Quarterly",3,IF($D166="Annual",12,1)))=0),IF((COUNTIFS(Xero_Raw!$D$4:$D$5003,$A166,Xero_Raw!$G$4:$G$5003,"*Subscription*",Xero_Raw!$A$4:$A$5003,"&gt;="&amp;DATE(2026,4,1),Xero_Raw!$A$4:$A$5003,"&lt;"&amp;EDATE(DATE(2026,4,1),1))+COUNTIFS(Customer_Invoices_Upload!$E$4:$E$5003,$A166,Customer_Invoices_Upload!$G$4:$G$5003,"*Subscription*",Customer_Invoices_Upload!$B$4:$B$5003,"&gt;="&amp;DATE(2026,4,1),Customer_Invoices_Upload!$B$4:$B$5003,"&lt;"&amp;EDATE(DATE(2026,4,1),1))+COUNTIFS(Stripe_Invoices_Upload!$D$4:$D$5003,$A166,Stripe_Invoices_Upload!$E$4:$E$5003,"*Subscription*",Stripe_Invoices_Upload!$A$4:$A$5003,"&gt;="&amp;DATE(2026,4,1),Stripe_Invoices_Upload!$A$4:$A$5003,"&lt;"&amp;EDATE(DATE(2026,4,1),1)))&gt;0,"✓ Invoiced","⚠ Due"),""),""))</f>
        <v/>
      </c>
      <c r="H166" s="130" t="str">
        <f aca="false">IF($A166="","",IF((DATE(YEAR($E166),MONTH($E166),1)&lt;=DATE(2026,5,1)),IF((MOD(DATEDIF(DATE(YEAR($E166),MONTH($E166),1),DATE(2026,5,1),"m"),IF($D166="Quarterly",3,IF($D166="Annual",12,1)))=0),IF((COUNTIFS(Xero_Raw!$D$4:$D$5003,$A166,Xero_Raw!$G$4:$G$5003,"*Subscription*",Xero_Raw!$A$4:$A$5003,"&gt;="&amp;DATE(2026,5,1),Xero_Raw!$A$4:$A$5003,"&lt;"&amp;EDATE(DATE(2026,5,1),1))+COUNTIFS(Customer_Invoices_Upload!$E$4:$E$5003,$A166,Customer_Invoices_Upload!$G$4:$G$5003,"*Subscription*",Customer_Invoices_Upload!$B$4:$B$5003,"&gt;="&amp;DATE(2026,5,1),Customer_Invoices_Upload!$B$4:$B$5003,"&lt;"&amp;EDATE(DATE(2026,5,1),1))+COUNTIFS(Stripe_Invoices_Upload!$D$4:$D$5003,$A166,Stripe_Invoices_Upload!$E$4:$E$5003,"*Subscription*",Stripe_Invoices_Upload!$A$4:$A$5003,"&gt;="&amp;DATE(2026,5,1),Stripe_Invoices_Upload!$A$4:$A$5003,"&lt;"&amp;EDATE(DATE(2026,5,1),1)))&gt;0,"✓ Invoiced","⚠ Due"),""),""))</f>
        <v/>
      </c>
      <c r="I166" s="130" t="str">
        <f aca="false">IF($A166="","",IF((DATE(YEAR($E166),MONTH($E166),1)&lt;=DATE(2026,6,1)),IF((MOD(DATEDIF(DATE(YEAR($E166),MONTH($E166),1),DATE(2026,6,1),"m"),IF($D166="Quarterly",3,IF($D166="Annual",12,1)))=0),IF((COUNTIFS(Xero_Raw!$D$4:$D$5003,$A166,Xero_Raw!$G$4:$G$5003,"*Subscription*",Xero_Raw!$A$4:$A$5003,"&gt;="&amp;DATE(2026,6,1),Xero_Raw!$A$4:$A$5003,"&lt;"&amp;EDATE(DATE(2026,6,1),1))+COUNTIFS(Customer_Invoices_Upload!$E$4:$E$5003,$A166,Customer_Invoices_Upload!$G$4:$G$5003,"*Subscription*",Customer_Invoices_Upload!$B$4:$B$5003,"&gt;="&amp;DATE(2026,6,1),Customer_Invoices_Upload!$B$4:$B$5003,"&lt;"&amp;EDATE(DATE(2026,6,1),1))+COUNTIFS(Stripe_Invoices_Upload!$D$4:$D$5003,$A166,Stripe_Invoices_Upload!$E$4:$E$5003,"*Subscription*",Stripe_Invoices_Upload!$A$4:$A$5003,"&gt;="&amp;DATE(2026,6,1),Stripe_Invoices_Upload!$A$4:$A$5003,"&lt;"&amp;EDATE(DATE(2026,6,1),1)))&gt;0,"✓ Invoiced","⚠ Due"),""),""))</f>
        <v/>
      </c>
      <c r="J166" s="130" t="str">
        <f aca="false">IF($A166="","",IF((DATE(YEAR($E166),MONTH($E166),1)&lt;=DATE(2026,7,1)),IF((MOD(DATEDIF(DATE(YEAR($E166),MONTH($E166),1),DATE(2026,7,1),"m"),IF($D166="Quarterly",3,IF($D166="Annual",12,1)))=0),IF((COUNTIFS(Xero_Raw!$D$4:$D$5003,$A166,Xero_Raw!$G$4:$G$5003,"*Subscription*",Xero_Raw!$A$4:$A$5003,"&gt;="&amp;DATE(2026,7,1),Xero_Raw!$A$4:$A$5003,"&lt;"&amp;EDATE(DATE(2026,7,1),1))+COUNTIFS(Customer_Invoices_Upload!$E$4:$E$5003,$A166,Customer_Invoices_Upload!$G$4:$G$5003,"*Subscription*",Customer_Invoices_Upload!$B$4:$B$5003,"&gt;="&amp;DATE(2026,7,1),Customer_Invoices_Upload!$B$4:$B$5003,"&lt;"&amp;EDATE(DATE(2026,7,1),1))+COUNTIFS(Stripe_Invoices_Upload!$D$4:$D$5003,$A166,Stripe_Invoices_Upload!$E$4:$E$5003,"*Subscription*",Stripe_Invoices_Upload!$A$4:$A$5003,"&gt;="&amp;DATE(2026,7,1),Stripe_Invoices_Upload!$A$4:$A$5003,"&lt;"&amp;EDATE(DATE(2026,7,1),1)))&gt;0,"✓ Invoiced","⚠ Due"),""),""))</f>
        <v/>
      </c>
      <c r="K166" s="130" t="str">
        <f aca="false">IF($A166="","",IF((DATE(YEAR($E166),MONTH($E166),1)&lt;=DATE(2026,8,1)),IF((MOD(DATEDIF(DATE(YEAR($E166),MONTH($E166),1),DATE(2026,8,1),"m"),IF($D166="Quarterly",3,IF($D166="Annual",12,1)))=0),IF((COUNTIFS(Xero_Raw!$D$4:$D$5003,$A166,Xero_Raw!$G$4:$G$5003,"*Subscription*",Xero_Raw!$A$4:$A$5003,"&gt;="&amp;DATE(2026,8,1),Xero_Raw!$A$4:$A$5003,"&lt;"&amp;EDATE(DATE(2026,8,1),1))+COUNTIFS(Customer_Invoices_Upload!$E$4:$E$5003,$A166,Customer_Invoices_Upload!$G$4:$G$5003,"*Subscription*",Customer_Invoices_Upload!$B$4:$B$5003,"&gt;="&amp;DATE(2026,8,1),Customer_Invoices_Upload!$B$4:$B$5003,"&lt;"&amp;EDATE(DATE(2026,8,1),1))+COUNTIFS(Stripe_Invoices_Upload!$D$4:$D$5003,$A166,Stripe_Invoices_Upload!$E$4:$E$5003,"*Subscription*",Stripe_Invoices_Upload!$A$4:$A$5003,"&gt;="&amp;DATE(2026,8,1),Stripe_Invoices_Upload!$A$4:$A$5003,"&lt;"&amp;EDATE(DATE(2026,8,1),1)))&gt;0,"✓ Invoiced","⚠ Due"),""),""))</f>
        <v/>
      </c>
      <c r="L166" s="130" t="str">
        <f aca="false">IF($A166="","",IF((DATE(YEAR($E166),MONTH($E166),1)&lt;=DATE(2026,9,1)),IF((MOD(DATEDIF(DATE(YEAR($E166),MONTH($E166),1),DATE(2026,9,1),"m"),IF($D166="Quarterly",3,IF($D166="Annual",12,1)))=0),IF((COUNTIFS(Xero_Raw!$D$4:$D$5003,$A166,Xero_Raw!$G$4:$G$5003,"*Subscription*",Xero_Raw!$A$4:$A$5003,"&gt;="&amp;DATE(2026,9,1),Xero_Raw!$A$4:$A$5003,"&lt;"&amp;EDATE(DATE(2026,9,1),1))+COUNTIFS(Customer_Invoices_Upload!$E$4:$E$5003,$A166,Customer_Invoices_Upload!$G$4:$G$5003,"*Subscription*",Customer_Invoices_Upload!$B$4:$B$5003,"&gt;="&amp;DATE(2026,9,1),Customer_Invoices_Upload!$B$4:$B$5003,"&lt;"&amp;EDATE(DATE(2026,9,1),1))+COUNTIFS(Stripe_Invoices_Upload!$D$4:$D$5003,$A166,Stripe_Invoices_Upload!$E$4:$E$5003,"*Subscription*",Stripe_Invoices_Upload!$A$4:$A$5003,"&gt;="&amp;DATE(2026,9,1),Stripe_Invoices_Upload!$A$4:$A$5003,"&lt;"&amp;EDATE(DATE(2026,9,1),1)))&gt;0,"✓ Invoiced","⚠ Due"),""),""))</f>
        <v/>
      </c>
      <c r="M166" s="130" t="str">
        <f aca="false">IF($A166="","",IF((DATE(YEAR($E166),MONTH($E166),1)&lt;=DATE(2026,10,1)),IF((MOD(DATEDIF(DATE(YEAR($E166),MONTH($E166),1),DATE(2026,10,1),"m"),IF($D166="Quarterly",3,IF($D166="Annual",12,1)))=0),IF((COUNTIFS(Xero_Raw!$D$4:$D$5003,$A166,Xero_Raw!$G$4:$G$5003,"*Subscription*",Xero_Raw!$A$4:$A$5003,"&gt;="&amp;DATE(2026,10,1),Xero_Raw!$A$4:$A$5003,"&lt;"&amp;EDATE(DATE(2026,10,1),1))+COUNTIFS(Customer_Invoices_Upload!$E$4:$E$5003,$A166,Customer_Invoices_Upload!$G$4:$G$5003,"*Subscription*",Customer_Invoices_Upload!$B$4:$B$5003,"&gt;="&amp;DATE(2026,10,1),Customer_Invoices_Upload!$B$4:$B$5003,"&lt;"&amp;EDATE(DATE(2026,10,1),1))+COUNTIFS(Stripe_Invoices_Upload!$D$4:$D$5003,$A166,Stripe_Invoices_Upload!$E$4:$E$5003,"*Subscription*",Stripe_Invoices_Upload!$A$4:$A$5003,"&gt;="&amp;DATE(2026,10,1),Stripe_Invoices_Upload!$A$4:$A$5003,"&lt;"&amp;EDATE(DATE(2026,10,1),1)))&gt;0,"✓ Invoiced","⚠ Due"),""),""))</f>
        <v/>
      </c>
      <c r="N166" s="130" t="str">
        <f aca="false">IF($A166="","",IF((DATE(YEAR($E166),MONTH($E166),1)&lt;=DATE(2026,11,1)),IF((MOD(DATEDIF(DATE(YEAR($E166),MONTH($E166),1),DATE(2026,11,1),"m"),IF($D166="Quarterly",3,IF($D166="Annual",12,1)))=0),IF((COUNTIFS(Xero_Raw!$D$4:$D$5003,$A166,Xero_Raw!$G$4:$G$5003,"*Subscription*",Xero_Raw!$A$4:$A$5003,"&gt;="&amp;DATE(2026,11,1),Xero_Raw!$A$4:$A$5003,"&lt;"&amp;EDATE(DATE(2026,11,1),1))+COUNTIFS(Customer_Invoices_Upload!$E$4:$E$5003,$A166,Customer_Invoices_Upload!$G$4:$G$5003,"*Subscription*",Customer_Invoices_Upload!$B$4:$B$5003,"&gt;="&amp;DATE(2026,11,1),Customer_Invoices_Upload!$B$4:$B$5003,"&lt;"&amp;EDATE(DATE(2026,11,1),1))+COUNTIFS(Stripe_Invoices_Upload!$D$4:$D$5003,$A166,Stripe_Invoices_Upload!$E$4:$E$5003,"*Subscription*",Stripe_Invoices_Upload!$A$4:$A$5003,"&gt;="&amp;DATE(2026,11,1),Stripe_Invoices_Upload!$A$4:$A$5003,"&lt;"&amp;EDATE(DATE(2026,11,1),1)))&gt;0,"✓ Invoiced","⚠ Due"),""),""))</f>
        <v/>
      </c>
      <c r="O166" s="130" t="str">
        <f aca="false">IF($A166="","",IF((DATE(YEAR($E166),MONTH($E166),1)&lt;=DATE(2026,12,1)),IF((MOD(DATEDIF(DATE(YEAR($E166),MONTH($E166),1),DATE(2026,12,1),"m"),IF($D166="Quarterly",3,IF($D166="Annual",12,1)))=0),IF((COUNTIFS(Xero_Raw!$D$4:$D$5003,$A166,Xero_Raw!$G$4:$G$5003,"*Subscription*",Xero_Raw!$A$4:$A$5003,"&gt;="&amp;DATE(2026,12,1),Xero_Raw!$A$4:$A$5003,"&lt;"&amp;EDATE(DATE(2026,12,1),1))+COUNTIFS(Customer_Invoices_Upload!$E$4:$E$5003,$A166,Customer_Invoices_Upload!$G$4:$G$5003,"*Subscription*",Customer_Invoices_Upload!$B$4:$B$5003,"&gt;="&amp;DATE(2026,12,1),Customer_Invoices_Upload!$B$4:$B$5003,"&lt;"&amp;EDATE(DATE(2026,12,1),1))+COUNTIFS(Stripe_Invoices_Upload!$D$4:$D$5003,$A166,Stripe_Invoices_Upload!$E$4:$E$5003,"*Subscription*",Stripe_Invoices_Upload!$A$4:$A$5003,"&gt;="&amp;DATE(2026,12,1),Stripe_Invoices_Upload!$A$4:$A$5003,"&lt;"&amp;EDATE(DATE(2026,12,1),1)))&gt;0,"✓ Invoiced","⚠ Due"),""),""))</f>
        <v/>
      </c>
      <c r="P166" s="130" t="str">
        <f aca="false">IF($A166="","",IF((DATE(YEAR($E166),MONTH($E166),1)&lt;=DATE(2027,1,1)),IF((MOD(DATEDIF(DATE(YEAR($E166),MONTH($E166),1),DATE(2027,1,1),"m"),IF($D166="Quarterly",3,IF($D166="Annual",12,1)))=0),IF((COUNTIFS(Xero_Raw!$D$4:$D$5003,$A166,Xero_Raw!$G$4:$G$5003,"*Subscription*",Xero_Raw!$A$4:$A$5003,"&gt;="&amp;DATE(2027,1,1),Xero_Raw!$A$4:$A$5003,"&lt;"&amp;EDATE(DATE(2027,1,1),1))+COUNTIFS(Customer_Invoices_Upload!$E$4:$E$5003,$A166,Customer_Invoices_Upload!$G$4:$G$5003,"*Subscription*",Customer_Invoices_Upload!$B$4:$B$5003,"&gt;="&amp;DATE(2027,1,1),Customer_Invoices_Upload!$B$4:$B$5003,"&lt;"&amp;EDATE(DATE(2027,1,1),1))+COUNTIFS(Stripe_Invoices_Upload!$D$4:$D$5003,$A166,Stripe_Invoices_Upload!$E$4:$E$5003,"*Subscription*",Stripe_Invoices_Upload!$A$4:$A$5003,"&gt;="&amp;DATE(2027,1,1),Stripe_Invoices_Upload!$A$4:$A$5003,"&lt;"&amp;EDATE(DATE(2027,1,1),1)))&gt;0,"✓ Invoiced","⚠ Due"),""),""))</f>
        <v/>
      </c>
      <c r="Q166" s="130" t="str">
        <f aca="false">IF($A166="","",IF((DATE(YEAR($E166),MONTH($E166),1)&lt;=DATE(2027,2,1)),IF((MOD(DATEDIF(DATE(YEAR($E166),MONTH($E166),1),DATE(2027,2,1),"m"),IF($D166="Quarterly",3,IF($D166="Annual",12,1)))=0),IF((COUNTIFS(Xero_Raw!$D$4:$D$5003,$A166,Xero_Raw!$G$4:$G$5003,"*Subscription*",Xero_Raw!$A$4:$A$5003,"&gt;="&amp;DATE(2027,2,1),Xero_Raw!$A$4:$A$5003,"&lt;"&amp;EDATE(DATE(2027,2,1),1))+COUNTIFS(Customer_Invoices_Upload!$E$4:$E$5003,$A166,Customer_Invoices_Upload!$G$4:$G$5003,"*Subscription*",Customer_Invoices_Upload!$B$4:$B$5003,"&gt;="&amp;DATE(2027,2,1),Customer_Invoices_Upload!$B$4:$B$5003,"&lt;"&amp;EDATE(DATE(2027,2,1),1))+COUNTIFS(Stripe_Invoices_Upload!$D$4:$D$5003,$A166,Stripe_Invoices_Upload!$E$4:$E$5003,"*Subscription*",Stripe_Invoices_Upload!$A$4:$A$5003,"&gt;="&amp;DATE(2027,2,1),Stripe_Invoices_Upload!$A$4:$A$5003,"&lt;"&amp;EDATE(DATE(2027,2,1),1)))&gt;0,"✓ Invoiced","⚠ Due"),""),""))</f>
        <v/>
      </c>
      <c r="R166" s="130" t="str">
        <f aca="false">IF($A166="","",IF((DATE(YEAR($E166),MONTH($E166),1)&lt;=DATE(2027,3,1)),IF((MOD(DATEDIF(DATE(YEAR($E166),MONTH($E166),1),DATE(2027,3,1),"m"),IF($D166="Quarterly",3,IF($D166="Annual",12,1)))=0),IF((COUNTIFS(Xero_Raw!$D$4:$D$5003,$A166,Xero_Raw!$G$4:$G$5003,"*Subscription*",Xero_Raw!$A$4:$A$5003,"&gt;="&amp;DATE(2027,3,1),Xero_Raw!$A$4:$A$5003,"&lt;"&amp;EDATE(DATE(2027,3,1),1))+COUNTIFS(Customer_Invoices_Upload!$E$4:$E$5003,$A166,Customer_Invoices_Upload!$G$4:$G$5003,"*Subscription*",Customer_Invoices_Upload!$B$4:$B$5003,"&gt;="&amp;DATE(2027,3,1),Customer_Invoices_Upload!$B$4:$B$5003,"&lt;"&amp;EDATE(DATE(2027,3,1),1))+COUNTIFS(Stripe_Invoices_Upload!$D$4:$D$5003,$A166,Stripe_Invoices_Upload!$E$4:$E$5003,"*Subscription*",Stripe_Invoices_Upload!$A$4:$A$5003,"&gt;="&amp;DATE(2027,3,1),Stripe_Invoices_Upload!$A$4:$A$5003,"&lt;"&amp;EDATE(DATE(2027,3,1),1)))&gt;0,"✓ Invoiced","⚠ Due"),""),""))</f>
        <v/>
      </c>
    </row>
    <row r="167" customFormat="false" ht="15" hidden="false" customHeight="false" outlineLevel="0" collapsed="false">
      <c r="A167" s="39"/>
      <c r="B167" s="39"/>
      <c r="C167" s="40"/>
      <c r="D167" s="39"/>
      <c r="E167" s="38"/>
      <c r="F167" s="129" t="str">
        <f aca="true">IF($A167="","",EDATE($E167,DATEDIF($E167,TODAY(),"m")+1))</f>
        <v/>
      </c>
      <c r="G167" s="130" t="str">
        <f aca="false">IF($A167="","",IF((DATE(YEAR($E167),MONTH($E167),1)&lt;=DATE(2026,4,1)),IF((MOD(DATEDIF(DATE(YEAR($E167),MONTH($E167),1),DATE(2026,4,1),"m"),IF($D167="Quarterly",3,IF($D167="Annual",12,1)))=0),IF((COUNTIFS(Xero_Raw!$D$4:$D$5003,$A167,Xero_Raw!$G$4:$G$5003,"*Subscription*",Xero_Raw!$A$4:$A$5003,"&gt;="&amp;DATE(2026,4,1),Xero_Raw!$A$4:$A$5003,"&lt;"&amp;EDATE(DATE(2026,4,1),1))+COUNTIFS(Customer_Invoices_Upload!$E$4:$E$5003,$A167,Customer_Invoices_Upload!$G$4:$G$5003,"*Subscription*",Customer_Invoices_Upload!$B$4:$B$5003,"&gt;="&amp;DATE(2026,4,1),Customer_Invoices_Upload!$B$4:$B$5003,"&lt;"&amp;EDATE(DATE(2026,4,1),1))+COUNTIFS(Stripe_Invoices_Upload!$D$4:$D$5003,$A167,Stripe_Invoices_Upload!$E$4:$E$5003,"*Subscription*",Stripe_Invoices_Upload!$A$4:$A$5003,"&gt;="&amp;DATE(2026,4,1),Stripe_Invoices_Upload!$A$4:$A$5003,"&lt;"&amp;EDATE(DATE(2026,4,1),1)))&gt;0,"✓ Invoiced","⚠ Due"),""),""))</f>
        <v/>
      </c>
      <c r="H167" s="130" t="str">
        <f aca="false">IF($A167="","",IF((DATE(YEAR($E167),MONTH($E167),1)&lt;=DATE(2026,5,1)),IF((MOD(DATEDIF(DATE(YEAR($E167),MONTH($E167),1),DATE(2026,5,1),"m"),IF($D167="Quarterly",3,IF($D167="Annual",12,1)))=0),IF((COUNTIFS(Xero_Raw!$D$4:$D$5003,$A167,Xero_Raw!$G$4:$G$5003,"*Subscription*",Xero_Raw!$A$4:$A$5003,"&gt;="&amp;DATE(2026,5,1),Xero_Raw!$A$4:$A$5003,"&lt;"&amp;EDATE(DATE(2026,5,1),1))+COUNTIFS(Customer_Invoices_Upload!$E$4:$E$5003,$A167,Customer_Invoices_Upload!$G$4:$G$5003,"*Subscription*",Customer_Invoices_Upload!$B$4:$B$5003,"&gt;="&amp;DATE(2026,5,1),Customer_Invoices_Upload!$B$4:$B$5003,"&lt;"&amp;EDATE(DATE(2026,5,1),1))+COUNTIFS(Stripe_Invoices_Upload!$D$4:$D$5003,$A167,Stripe_Invoices_Upload!$E$4:$E$5003,"*Subscription*",Stripe_Invoices_Upload!$A$4:$A$5003,"&gt;="&amp;DATE(2026,5,1),Stripe_Invoices_Upload!$A$4:$A$5003,"&lt;"&amp;EDATE(DATE(2026,5,1),1)))&gt;0,"✓ Invoiced","⚠ Due"),""),""))</f>
        <v/>
      </c>
      <c r="I167" s="130" t="str">
        <f aca="false">IF($A167="","",IF((DATE(YEAR($E167),MONTH($E167),1)&lt;=DATE(2026,6,1)),IF((MOD(DATEDIF(DATE(YEAR($E167),MONTH($E167),1),DATE(2026,6,1),"m"),IF($D167="Quarterly",3,IF($D167="Annual",12,1)))=0),IF((COUNTIFS(Xero_Raw!$D$4:$D$5003,$A167,Xero_Raw!$G$4:$G$5003,"*Subscription*",Xero_Raw!$A$4:$A$5003,"&gt;="&amp;DATE(2026,6,1),Xero_Raw!$A$4:$A$5003,"&lt;"&amp;EDATE(DATE(2026,6,1),1))+COUNTIFS(Customer_Invoices_Upload!$E$4:$E$5003,$A167,Customer_Invoices_Upload!$G$4:$G$5003,"*Subscription*",Customer_Invoices_Upload!$B$4:$B$5003,"&gt;="&amp;DATE(2026,6,1),Customer_Invoices_Upload!$B$4:$B$5003,"&lt;"&amp;EDATE(DATE(2026,6,1),1))+COUNTIFS(Stripe_Invoices_Upload!$D$4:$D$5003,$A167,Stripe_Invoices_Upload!$E$4:$E$5003,"*Subscription*",Stripe_Invoices_Upload!$A$4:$A$5003,"&gt;="&amp;DATE(2026,6,1),Stripe_Invoices_Upload!$A$4:$A$5003,"&lt;"&amp;EDATE(DATE(2026,6,1),1)))&gt;0,"✓ Invoiced","⚠ Due"),""),""))</f>
        <v/>
      </c>
      <c r="J167" s="130" t="str">
        <f aca="false">IF($A167="","",IF((DATE(YEAR($E167),MONTH($E167),1)&lt;=DATE(2026,7,1)),IF((MOD(DATEDIF(DATE(YEAR($E167),MONTH($E167),1),DATE(2026,7,1),"m"),IF($D167="Quarterly",3,IF($D167="Annual",12,1)))=0),IF((COUNTIFS(Xero_Raw!$D$4:$D$5003,$A167,Xero_Raw!$G$4:$G$5003,"*Subscription*",Xero_Raw!$A$4:$A$5003,"&gt;="&amp;DATE(2026,7,1),Xero_Raw!$A$4:$A$5003,"&lt;"&amp;EDATE(DATE(2026,7,1),1))+COUNTIFS(Customer_Invoices_Upload!$E$4:$E$5003,$A167,Customer_Invoices_Upload!$G$4:$G$5003,"*Subscription*",Customer_Invoices_Upload!$B$4:$B$5003,"&gt;="&amp;DATE(2026,7,1),Customer_Invoices_Upload!$B$4:$B$5003,"&lt;"&amp;EDATE(DATE(2026,7,1),1))+COUNTIFS(Stripe_Invoices_Upload!$D$4:$D$5003,$A167,Stripe_Invoices_Upload!$E$4:$E$5003,"*Subscription*",Stripe_Invoices_Upload!$A$4:$A$5003,"&gt;="&amp;DATE(2026,7,1),Stripe_Invoices_Upload!$A$4:$A$5003,"&lt;"&amp;EDATE(DATE(2026,7,1),1)))&gt;0,"✓ Invoiced","⚠ Due"),""),""))</f>
        <v/>
      </c>
      <c r="K167" s="130" t="str">
        <f aca="false">IF($A167="","",IF((DATE(YEAR($E167),MONTH($E167),1)&lt;=DATE(2026,8,1)),IF((MOD(DATEDIF(DATE(YEAR($E167),MONTH($E167),1),DATE(2026,8,1),"m"),IF($D167="Quarterly",3,IF($D167="Annual",12,1)))=0),IF((COUNTIFS(Xero_Raw!$D$4:$D$5003,$A167,Xero_Raw!$G$4:$G$5003,"*Subscription*",Xero_Raw!$A$4:$A$5003,"&gt;="&amp;DATE(2026,8,1),Xero_Raw!$A$4:$A$5003,"&lt;"&amp;EDATE(DATE(2026,8,1),1))+COUNTIFS(Customer_Invoices_Upload!$E$4:$E$5003,$A167,Customer_Invoices_Upload!$G$4:$G$5003,"*Subscription*",Customer_Invoices_Upload!$B$4:$B$5003,"&gt;="&amp;DATE(2026,8,1),Customer_Invoices_Upload!$B$4:$B$5003,"&lt;"&amp;EDATE(DATE(2026,8,1),1))+COUNTIFS(Stripe_Invoices_Upload!$D$4:$D$5003,$A167,Stripe_Invoices_Upload!$E$4:$E$5003,"*Subscription*",Stripe_Invoices_Upload!$A$4:$A$5003,"&gt;="&amp;DATE(2026,8,1),Stripe_Invoices_Upload!$A$4:$A$5003,"&lt;"&amp;EDATE(DATE(2026,8,1),1)))&gt;0,"✓ Invoiced","⚠ Due"),""),""))</f>
        <v/>
      </c>
      <c r="L167" s="130" t="str">
        <f aca="false">IF($A167="","",IF((DATE(YEAR($E167),MONTH($E167),1)&lt;=DATE(2026,9,1)),IF((MOD(DATEDIF(DATE(YEAR($E167),MONTH($E167),1),DATE(2026,9,1),"m"),IF($D167="Quarterly",3,IF($D167="Annual",12,1)))=0),IF((COUNTIFS(Xero_Raw!$D$4:$D$5003,$A167,Xero_Raw!$G$4:$G$5003,"*Subscription*",Xero_Raw!$A$4:$A$5003,"&gt;="&amp;DATE(2026,9,1),Xero_Raw!$A$4:$A$5003,"&lt;"&amp;EDATE(DATE(2026,9,1),1))+COUNTIFS(Customer_Invoices_Upload!$E$4:$E$5003,$A167,Customer_Invoices_Upload!$G$4:$G$5003,"*Subscription*",Customer_Invoices_Upload!$B$4:$B$5003,"&gt;="&amp;DATE(2026,9,1),Customer_Invoices_Upload!$B$4:$B$5003,"&lt;"&amp;EDATE(DATE(2026,9,1),1))+COUNTIFS(Stripe_Invoices_Upload!$D$4:$D$5003,$A167,Stripe_Invoices_Upload!$E$4:$E$5003,"*Subscription*",Stripe_Invoices_Upload!$A$4:$A$5003,"&gt;="&amp;DATE(2026,9,1),Stripe_Invoices_Upload!$A$4:$A$5003,"&lt;"&amp;EDATE(DATE(2026,9,1),1)))&gt;0,"✓ Invoiced","⚠ Due"),""),""))</f>
        <v/>
      </c>
      <c r="M167" s="130" t="str">
        <f aca="false">IF($A167="","",IF((DATE(YEAR($E167),MONTH($E167),1)&lt;=DATE(2026,10,1)),IF((MOD(DATEDIF(DATE(YEAR($E167),MONTH($E167),1),DATE(2026,10,1),"m"),IF($D167="Quarterly",3,IF($D167="Annual",12,1)))=0),IF((COUNTIFS(Xero_Raw!$D$4:$D$5003,$A167,Xero_Raw!$G$4:$G$5003,"*Subscription*",Xero_Raw!$A$4:$A$5003,"&gt;="&amp;DATE(2026,10,1),Xero_Raw!$A$4:$A$5003,"&lt;"&amp;EDATE(DATE(2026,10,1),1))+COUNTIFS(Customer_Invoices_Upload!$E$4:$E$5003,$A167,Customer_Invoices_Upload!$G$4:$G$5003,"*Subscription*",Customer_Invoices_Upload!$B$4:$B$5003,"&gt;="&amp;DATE(2026,10,1),Customer_Invoices_Upload!$B$4:$B$5003,"&lt;"&amp;EDATE(DATE(2026,10,1),1))+COUNTIFS(Stripe_Invoices_Upload!$D$4:$D$5003,$A167,Stripe_Invoices_Upload!$E$4:$E$5003,"*Subscription*",Stripe_Invoices_Upload!$A$4:$A$5003,"&gt;="&amp;DATE(2026,10,1),Stripe_Invoices_Upload!$A$4:$A$5003,"&lt;"&amp;EDATE(DATE(2026,10,1),1)))&gt;0,"✓ Invoiced","⚠ Due"),""),""))</f>
        <v/>
      </c>
      <c r="N167" s="130" t="str">
        <f aca="false">IF($A167="","",IF((DATE(YEAR($E167),MONTH($E167),1)&lt;=DATE(2026,11,1)),IF((MOD(DATEDIF(DATE(YEAR($E167),MONTH($E167),1),DATE(2026,11,1),"m"),IF($D167="Quarterly",3,IF($D167="Annual",12,1)))=0),IF((COUNTIFS(Xero_Raw!$D$4:$D$5003,$A167,Xero_Raw!$G$4:$G$5003,"*Subscription*",Xero_Raw!$A$4:$A$5003,"&gt;="&amp;DATE(2026,11,1),Xero_Raw!$A$4:$A$5003,"&lt;"&amp;EDATE(DATE(2026,11,1),1))+COUNTIFS(Customer_Invoices_Upload!$E$4:$E$5003,$A167,Customer_Invoices_Upload!$G$4:$G$5003,"*Subscription*",Customer_Invoices_Upload!$B$4:$B$5003,"&gt;="&amp;DATE(2026,11,1),Customer_Invoices_Upload!$B$4:$B$5003,"&lt;"&amp;EDATE(DATE(2026,11,1),1))+COUNTIFS(Stripe_Invoices_Upload!$D$4:$D$5003,$A167,Stripe_Invoices_Upload!$E$4:$E$5003,"*Subscription*",Stripe_Invoices_Upload!$A$4:$A$5003,"&gt;="&amp;DATE(2026,11,1),Stripe_Invoices_Upload!$A$4:$A$5003,"&lt;"&amp;EDATE(DATE(2026,11,1),1)))&gt;0,"✓ Invoiced","⚠ Due"),""),""))</f>
        <v/>
      </c>
      <c r="O167" s="130" t="str">
        <f aca="false">IF($A167="","",IF((DATE(YEAR($E167),MONTH($E167),1)&lt;=DATE(2026,12,1)),IF((MOD(DATEDIF(DATE(YEAR($E167),MONTH($E167),1),DATE(2026,12,1),"m"),IF($D167="Quarterly",3,IF($D167="Annual",12,1)))=0),IF((COUNTIFS(Xero_Raw!$D$4:$D$5003,$A167,Xero_Raw!$G$4:$G$5003,"*Subscription*",Xero_Raw!$A$4:$A$5003,"&gt;="&amp;DATE(2026,12,1),Xero_Raw!$A$4:$A$5003,"&lt;"&amp;EDATE(DATE(2026,12,1),1))+COUNTIFS(Customer_Invoices_Upload!$E$4:$E$5003,$A167,Customer_Invoices_Upload!$G$4:$G$5003,"*Subscription*",Customer_Invoices_Upload!$B$4:$B$5003,"&gt;="&amp;DATE(2026,12,1),Customer_Invoices_Upload!$B$4:$B$5003,"&lt;"&amp;EDATE(DATE(2026,12,1),1))+COUNTIFS(Stripe_Invoices_Upload!$D$4:$D$5003,$A167,Stripe_Invoices_Upload!$E$4:$E$5003,"*Subscription*",Stripe_Invoices_Upload!$A$4:$A$5003,"&gt;="&amp;DATE(2026,12,1),Stripe_Invoices_Upload!$A$4:$A$5003,"&lt;"&amp;EDATE(DATE(2026,12,1),1)))&gt;0,"✓ Invoiced","⚠ Due"),""),""))</f>
        <v/>
      </c>
      <c r="P167" s="130" t="str">
        <f aca="false">IF($A167="","",IF((DATE(YEAR($E167),MONTH($E167),1)&lt;=DATE(2027,1,1)),IF((MOD(DATEDIF(DATE(YEAR($E167),MONTH($E167),1),DATE(2027,1,1),"m"),IF($D167="Quarterly",3,IF($D167="Annual",12,1)))=0),IF((COUNTIFS(Xero_Raw!$D$4:$D$5003,$A167,Xero_Raw!$G$4:$G$5003,"*Subscription*",Xero_Raw!$A$4:$A$5003,"&gt;="&amp;DATE(2027,1,1),Xero_Raw!$A$4:$A$5003,"&lt;"&amp;EDATE(DATE(2027,1,1),1))+COUNTIFS(Customer_Invoices_Upload!$E$4:$E$5003,$A167,Customer_Invoices_Upload!$G$4:$G$5003,"*Subscription*",Customer_Invoices_Upload!$B$4:$B$5003,"&gt;="&amp;DATE(2027,1,1),Customer_Invoices_Upload!$B$4:$B$5003,"&lt;"&amp;EDATE(DATE(2027,1,1),1))+COUNTIFS(Stripe_Invoices_Upload!$D$4:$D$5003,$A167,Stripe_Invoices_Upload!$E$4:$E$5003,"*Subscription*",Stripe_Invoices_Upload!$A$4:$A$5003,"&gt;="&amp;DATE(2027,1,1),Stripe_Invoices_Upload!$A$4:$A$5003,"&lt;"&amp;EDATE(DATE(2027,1,1),1)))&gt;0,"✓ Invoiced","⚠ Due"),""),""))</f>
        <v/>
      </c>
      <c r="Q167" s="130" t="str">
        <f aca="false">IF($A167="","",IF((DATE(YEAR($E167),MONTH($E167),1)&lt;=DATE(2027,2,1)),IF((MOD(DATEDIF(DATE(YEAR($E167),MONTH($E167),1),DATE(2027,2,1),"m"),IF($D167="Quarterly",3,IF($D167="Annual",12,1)))=0),IF((COUNTIFS(Xero_Raw!$D$4:$D$5003,$A167,Xero_Raw!$G$4:$G$5003,"*Subscription*",Xero_Raw!$A$4:$A$5003,"&gt;="&amp;DATE(2027,2,1),Xero_Raw!$A$4:$A$5003,"&lt;"&amp;EDATE(DATE(2027,2,1),1))+COUNTIFS(Customer_Invoices_Upload!$E$4:$E$5003,$A167,Customer_Invoices_Upload!$G$4:$G$5003,"*Subscription*",Customer_Invoices_Upload!$B$4:$B$5003,"&gt;="&amp;DATE(2027,2,1),Customer_Invoices_Upload!$B$4:$B$5003,"&lt;"&amp;EDATE(DATE(2027,2,1),1))+COUNTIFS(Stripe_Invoices_Upload!$D$4:$D$5003,$A167,Stripe_Invoices_Upload!$E$4:$E$5003,"*Subscription*",Stripe_Invoices_Upload!$A$4:$A$5003,"&gt;="&amp;DATE(2027,2,1),Stripe_Invoices_Upload!$A$4:$A$5003,"&lt;"&amp;EDATE(DATE(2027,2,1),1)))&gt;0,"✓ Invoiced","⚠ Due"),""),""))</f>
        <v/>
      </c>
      <c r="R167" s="130" t="str">
        <f aca="false">IF($A167="","",IF((DATE(YEAR($E167),MONTH($E167),1)&lt;=DATE(2027,3,1)),IF((MOD(DATEDIF(DATE(YEAR($E167),MONTH($E167),1),DATE(2027,3,1),"m"),IF($D167="Quarterly",3,IF($D167="Annual",12,1)))=0),IF((COUNTIFS(Xero_Raw!$D$4:$D$5003,$A167,Xero_Raw!$G$4:$G$5003,"*Subscription*",Xero_Raw!$A$4:$A$5003,"&gt;="&amp;DATE(2027,3,1),Xero_Raw!$A$4:$A$5003,"&lt;"&amp;EDATE(DATE(2027,3,1),1))+COUNTIFS(Customer_Invoices_Upload!$E$4:$E$5003,$A167,Customer_Invoices_Upload!$G$4:$G$5003,"*Subscription*",Customer_Invoices_Upload!$B$4:$B$5003,"&gt;="&amp;DATE(2027,3,1),Customer_Invoices_Upload!$B$4:$B$5003,"&lt;"&amp;EDATE(DATE(2027,3,1),1))+COUNTIFS(Stripe_Invoices_Upload!$D$4:$D$5003,$A167,Stripe_Invoices_Upload!$E$4:$E$5003,"*Subscription*",Stripe_Invoices_Upload!$A$4:$A$5003,"&gt;="&amp;DATE(2027,3,1),Stripe_Invoices_Upload!$A$4:$A$5003,"&lt;"&amp;EDATE(DATE(2027,3,1),1)))&gt;0,"✓ Invoiced","⚠ Due"),""),""))</f>
        <v/>
      </c>
    </row>
    <row r="168" customFormat="false" ht="15" hidden="false" customHeight="false" outlineLevel="0" collapsed="false">
      <c r="A168" s="39"/>
      <c r="B168" s="39"/>
      <c r="C168" s="40"/>
      <c r="D168" s="39"/>
      <c r="E168" s="38"/>
      <c r="F168" s="129" t="str">
        <f aca="true">IF($A168="","",EDATE($E168,DATEDIF($E168,TODAY(),"m")+1))</f>
        <v/>
      </c>
      <c r="G168" s="130" t="str">
        <f aca="false">IF($A168="","",IF((DATE(YEAR($E168),MONTH($E168),1)&lt;=DATE(2026,4,1)),IF((MOD(DATEDIF(DATE(YEAR($E168),MONTH($E168),1),DATE(2026,4,1),"m"),IF($D168="Quarterly",3,IF($D168="Annual",12,1)))=0),IF((COUNTIFS(Xero_Raw!$D$4:$D$5003,$A168,Xero_Raw!$G$4:$G$5003,"*Subscription*",Xero_Raw!$A$4:$A$5003,"&gt;="&amp;DATE(2026,4,1),Xero_Raw!$A$4:$A$5003,"&lt;"&amp;EDATE(DATE(2026,4,1),1))+COUNTIFS(Customer_Invoices_Upload!$E$4:$E$5003,$A168,Customer_Invoices_Upload!$G$4:$G$5003,"*Subscription*",Customer_Invoices_Upload!$B$4:$B$5003,"&gt;="&amp;DATE(2026,4,1),Customer_Invoices_Upload!$B$4:$B$5003,"&lt;"&amp;EDATE(DATE(2026,4,1),1))+COUNTIFS(Stripe_Invoices_Upload!$D$4:$D$5003,$A168,Stripe_Invoices_Upload!$E$4:$E$5003,"*Subscription*",Stripe_Invoices_Upload!$A$4:$A$5003,"&gt;="&amp;DATE(2026,4,1),Stripe_Invoices_Upload!$A$4:$A$5003,"&lt;"&amp;EDATE(DATE(2026,4,1),1)))&gt;0,"✓ Invoiced","⚠ Due"),""),""))</f>
        <v/>
      </c>
      <c r="H168" s="130" t="str">
        <f aca="false">IF($A168="","",IF((DATE(YEAR($E168),MONTH($E168),1)&lt;=DATE(2026,5,1)),IF((MOD(DATEDIF(DATE(YEAR($E168),MONTH($E168),1),DATE(2026,5,1),"m"),IF($D168="Quarterly",3,IF($D168="Annual",12,1)))=0),IF((COUNTIFS(Xero_Raw!$D$4:$D$5003,$A168,Xero_Raw!$G$4:$G$5003,"*Subscription*",Xero_Raw!$A$4:$A$5003,"&gt;="&amp;DATE(2026,5,1),Xero_Raw!$A$4:$A$5003,"&lt;"&amp;EDATE(DATE(2026,5,1),1))+COUNTIFS(Customer_Invoices_Upload!$E$4:$E$5003,$A168,Customer_Invoices_Upload!$G$4:$G$5003,"*Subscription*",Customer_Invoices_Upload!$B$4:$B$5003,"&gt;="&amp;DATE(2026,5,1),Customer_Invoices_Upload!$B$4:$B$5003,"&lt;"&amp;EDATE(DATE(2026,5,1),1))+COUNTIFS(Stripe_Invoices_Upload!$D$4:$D$5003,$A168,Stripe_Invoices_Upload!$E$4:$E$5003,"*Subscription*",Stripe_Invoices_Upload!$A$4:$A$5003,"&gt;="&amp;DATE(2026,5,1),Stripe_Invoices_Upload!$A$4:$A$5003,"&lt;"&amp;EDATE(DATE(2026,5,1),1)))&gt;0,"✓ Invoiced","⚠ Due"),""),""))</f>
        <v/>
      </c>
      <c r="I168" s="130" t="str">
        <f aca="false">IF($A168="","",IF((DATE(YEAR($E168),MONTH($E168),1)&lt;=DATE(2026,6,1)),IF((MOD(DATEDIF(DATE(YEAR($E168),MONTH($E168),1),DATE(2026,6,1),"m"),IF($D168="Quarterly",3,IF($D168="Annual",12,1)))=0),IF((COUNTIFS(Xero_Raw!$D$4:$D$5003,$A168,Xero_Raw!$G$4:$G$5003,"*Subscription*",Xero_Raw!$A$4:$A$5003,"&gt;="&amp;DATE(2026,6,1),Xero_Raw!$A$4:$A$5003,"&lt;"&amp;EDATE(DATE(2026,6,1),1))+COUNTIFS(Customer_Invoices_Upload!$E$4:$E$5003,$A168,Customer_Invoices_Upload!$G$4:$G$5003,"*Subscription*",Customer_Invoices_Upload!$B$4:$B$5003,"&gt;="&amp;DATE(2026,6,1),Customer_Invoices_Upload!$B$4:$B$5003,"&lt;"&amp;EDATE(DATE(2026,6,1),1))+COUNTIFS(Stripe_Invoices_Upload!$D$4:$D$5003,$A168,Stripe_Invoices_Upload!$E$4:$E$5003,"*Subscription*",Stripe_Invoices_Upload!$A$4:$A$5003,"&gt;="&amp;DATE(2026,6,1),Stripe_Invoices_Upload!$A$4:$A$5003,"&lt;"&amp;EDATE(DATE(2026,6,1),1)))&gt;0,"✓ Invoiced","⚠ Due"),""),""))</f>
        <v/>
      </c>
      <c r="J168" s="130" t="str">
        <f aca="false">IF($A168="","",IF((DATE(YEAR($E168),MONTH($E168),1)&lt;=DATE(2026,7,1)),IF((MOD(DATEDIF(DATE(YEAR($E168),MONTH($E168),1),DATE(2026,7,1),"m"),IF($D168="Quarterly",3,IF($D168="Annual",12,1)))=0),IF((COUNTIFS(Xero_Raw!$D$4:$D$5003,$A168,Xero_Raw!$G$4:$G$5003,"*Subscription*",Xero_Raw!$A$4:$A$5003,"&gt;="&amp;DATE(2026,7,1),Xero_Raw!$A$4:$A$5003,"&lt;"&amp;EDATE(DATE(2026,7,1),1))+COUNTIFS(Customer_Invoices_Upload!$E$4:$E$5003,$A168,Customer_Invoices_Upload!$G$4:$G$5003,"*Subscription*",Customer_Invoices_Upload!$B$4:$B$5003,"&gt;="&amp;DATE(2026,7,1),Customer_Invoices_Upload!$B$4:$B$5003,"&lt;"&amp;EDATE(DATE(2026,7,1),1))+COUNTIFS(Stripe_Invoices_Upload!$D$4:$D$5003,$A168,Stripe_Invoices_Upload!$E$4:$E$5003,"*Subscription*",Stripe_Invoices_Upload!$A$4:$A$5003,"&gt;="&amp;DATE(2026,7,1),Stripe_Invoices_Upload!$A$4:$A$5003,"&lt;"&amp;EDATE(DATE(2026,7,1),1)))&gt;0,"✓ Invoiced","⚠ Due"),""),""))</f>
        <v/>
      </c>
      <c r="K168" s="130" t="str">
        <f aca="false">IF($A168="","",IF((DATE(YEAR($E168),MONTH($E168),1)&lt;=DATE(2026,8,1)),IF((MOD(DATEDIF(DATE(YEAR($E168),MONTH($E168),1),DATE(2026,8,1),"m"),IF($D168="Quarterly",3,IF($D168="Annual",12,1)))=0),IF((COUNTIFS(Xero_Raw!$D$4:$D$5003,$A168,Xero_Raw!$G$4:$G$5003,"*Subscription*",Xero_Raw!$A$4:$A$5003,"&gt;="&amp;DATE(2026,8,1),Xero_Raw!$A$4:$A$5003,"&lt;"&amp;EDATE(DATE(2026,8,1),1))+COUNTIFS(Customer_Invoices_Upload!$E$4:$E$5003,$A168,Customer_Invoices_Upload!$G$4:$G$5003,"*Subscription*",Customer_Invoices_Upload!$B$4:$B$5003,"&gt;="&amp;DATE(2026,8,1),Customer_Invoices_Upload!$B$4:$B$5003,"&lt;"&amp;EDATE(DATE(2026,8,1),1))+COUNTIFS(Stripe_Invoices_Upload!$D$4:$D$5003,$A168,Stripe_Invoices_Upload!$E$4:$E$5003,"*Subscription*",Stripe_Invoices_Upload!$A$4:$A$5003,"&gt;="&amp;DATE(2026,8,1),Stripe_Invoices_Upload!$A$4:$A$5003,"&lt;"&amp;EDATE(DATE(2026,8,1),1)))&gt;0,"✓ Invoiced","⚠ Due"),""),""))</f>
        <v/>
      </c>
      <c r="L168" s="130" t="str">
        <f aca="false">IF($A168="","",IF((DATE(YEAR($E168),MONTH($E168),1)&lt;=DATE(2026,9,1)),IF((MOD(DATEDIF(DATE(YEAR($E168),MONTH($E168),1),DATE(2026,9,1),"m"),IF($D168="Quarterly",3,IF($D168="Annual",12,1)))=0),IF((COUNTIFS(Xero_Raw!$D$4:$D$5003,$A168,Xero_Raw!$G$4:$G$5003,"*Subscription*",Xero_Raw!$A$4:$A$5003,"&gt;="&amp;DATE(2026,9,1),Xero_Raw!$A$4:$A$5003,"&lt;"&amp;EDATE(DATE(2026,9,1),1))+COUNTIFS(Customer_Invoices_Upload!$E$4:$E$5003,$A168,Customer_Invoices_Upload!$G$4:$G$5003,"*Subscription*",Customer_Invoices_Upload!$B$4:$B$5003,"&gt;="&amp;DATE(2026,9,1),Customer_Invoices_Upload!$B$4:$B$5003,"&lt;"&amp;EDATE(DATE(2026,9,1),1))+COUNTIFS(Stripe_Invoices_Upload!$D$4:$D$5003,$A168,Stripe_Invoices_Upload!$E$4:$E$5003,"*Subscription*",Stripe_Invoices_Upload!$A$4:$A$5003,"&gt;="&amp;DATE(2026,9,1),Stripe_Invoices_Upload!$A$4:$A$5003,"&lt;"&amp;EDATE(DATE(2026,9,1),1)))&gt;0,"✓ Invoiced","⚠ Due"),""),""))</f>
        <v/>
      </c>
      <c r="M168" s="130" t="str">
        <f aca="false">IF($A168="","",IF((DATE(YEAR($E168),MONTH($E168),1)&lt;=DATE(2026,10,1)),IF((MOD(DATEDIF(DATE(YEAR($E168),MONTH($E168),1),DATE(2026,10,1),"m"),IF($D168="Quarterly",3,IF($D168="Annual",12,1)))=0),IF((COUNTIFS(Xero_Raw!$D$4:$D$5003,$A168,Xero_Raw!$G$4:$G$5003,"*Subscription*",Xero_Raw!$A$4:$A$5003,"&gt;="&amp;DATE(2026,10,1),Xero_Raw!$A$4:$A$5003,"&lt;"&amp;EDATE(DATE(2026,10,1),1))+COUNTIFS(Customer_Invoices_Upload!$E$4:$E$5003,$A168,Customer_Invoices_Upload!$G$4:$G$5003,"*Subscription*",Customer_Invoices_Upload!$B$4:$B$5003,"&gt;="&amp;DATE(2026,10,1),Customer_Invoices_Upload!$B$4:$B$5003,"&lt;"&amp;EDATE(DATE(2026,10,1),1))+COUNTIFS(Stripe_Invoices_Upload!$D$4:$D$5003,$A168,Stripe_Invoices_Upload!$E$4:$E$5003,"*Subscription*",Stripe_Invoices_Upload!$A$4:$A$5003,"&gt;="&amp;DATE(2026,10,1),Stripe_Invoices_Upload!$A$4:$A$5003,"&lt;"&amp;EDATE(DATE(2026,10,1),1)))&gt;0,"✓ Invoiced","⚠ Due"),""),""))</f>
        <v/>
      </c>
      <c r="N168" s="130" t="str">
        <f aca="false">IF($A168="","",IF((DATE(YEAR($E168),MONTH($E168),1)&lt;=DATE(2026,11,1)),IF((MOD(DATEDIF(DATE(YEAR($E168),MONTH($E168),1),DATE(2026,11,1),"m"),IF($D168="Quarterly",3,IF($D168="Annual",12,1)))=0),IF((COUNTIFS(Xero_Raw!$D$4:$D$5003,$A168,Xero_Raw!$G$4:$G$5003,"*Subscription*",Xero_Raw!$A$4:$A$5003,"&gt;="&amp;DATE(2026,11,1),Xero_Raw!$A$4:$A$5003,"&lt;"&amp;EDATE(DATE(2026,11,1),1))+COUNTIFS(Customer_Invoices_Upload!$E$4:$E$5003,$A168,Customer_Invoices_Upload!$G$4:$G$5003,"*Subscription*",Customer_Invoices_Upload!$B$4:$B$5003,"&gt;="&amp;DATE(2026,11,1),Customer_Invoices_Upload!$B$4:$B$5003,"&lt;"&amp;EDATE(DATE(2026,11,1),1))+COUNTIFS(Stripe_Invoices_Upload!$D$4:$D$5003,$A168,Stripe_Invoices_Upload!$E$4:$E$5003,"*Subscription*",Stripe_Invoices_Upload!$A$4:$A$5003,"&gt;="&amp;DATE(2026,11,1),Stripe_Invoices_Upload!$A$4:$A$5003,"&lt;"&amp;EDATE(DATE(2026,11,1),1)))&gt;0,"✓ Invoiced","⚠ Due"),""),""))</f>
        <v/>
      </c>
      <c r="O168" s="130" t="str">
        <f aca="false">IF($A168="","",IF((DATE(YEAR($E168),MONTH($E168),1)&lt;=DATE(2026,12,1)),IF((MOD(DATEDIF(DATE(YEAR($E168),MONTH($E168),1),DATE(2026,12,1),"m"),IF($D168="Quarterly",3,IF($D168="Annual",12,1)))=0),IF((COUNTIFS(Xero_Raw!$D$4:$D$5003,$A168,Xero_Raw!$G$4:$G$5003,"*Subscription*",Xero_Raw!$A$4:$A$5003,"&gt;="&amp;DATE(2026,12,1),Xero_Raw!$A$4:$A$5003,"&lt;"&amp;EDATE(DATE(2026,12,1),1))+COUNTIFS(Customer_Invoices_Upload!$E$4:$E$5003,$A168,Customer_Invoices_Upload!$G$4:$G$5003,"*Subscription*",Customer_Invoices_Upload!$B$4:$B$5003,"&gt;="&amp;DATE(2026,12,1),Customer_Invoices_Upload!$B$4:$B$5003,"&lt;"&amp;EDATE(DATE(2026,12,1),1))+COUNTIFS(Stripe_Invoices_Upload!$D$4:$D$5003,$A168,Stripe_Invoices_Upload!$E$4:$E$5003,"*Subscription*",Stripe_Invoices_Upload!$A$4:$A$5003,"&gt;="&amp;DATE(2026,12,1),Stripe_Invoices_Upload!$A$4:$A$5003,"&lt;"&amp;EDATE(DATE(2026,12,1),1)))&gt;0,"✓ Invoiced","⚠ Due"),""),""))</f>
        <v/>
      </c>
      <c r="P168" s="130" t="str">
        <f aca="false">IF($A168="","",IF((DATE(YEAR($E168),MONTH($E168),1)&lt;=DATE(2027,1,1)),IF((MOD(DATEDIF(DATE(YEAR($E168),MONTH($E168),1),DATE(2027,1,1),"m"),IF($D168="Quarterly",3,IF($D168="Annual",12,1)))=0),IF((COUNTIFS(Xero_Raw!$D$4:$D$5003,$A168,Xero_Raw!$G$4:$G$5003,"*Subscription*",Xero_Raw!$A$4:$A$5003,"&gt;="&amp;DATE(2027,1,1),Xero_Raw!$A$4:$A$5003,"&lt;"&amp;EDATE(DATE(2027,1,1),1))+COUNTIFS(Customer_Invoices_Upload!$E$4:$E$5003,$A168,Customer_Invoices_Upload!$G$4:$G$5003,"*Subscription*",Customer_Invoices_Upload!$B$4:$B$5003,"&gt;="&amp;DATE(2027,1,1),Customer_Invoices_Upload!$B$4:$B$5003,"&lt;"&amp;EDATE(DATE(2027,1,1),1))+COUNTIFS(Stripe_Invoices_Upload!$D$4:$D$5003,$A168,Stripe_Invoices_Upload!$E$4:$E$5003,"*Subscription*",Stripe_Invoices_Upload!$A$4:$A$5003,"&gt;="&amp;DATE(2027,1,1),Stripe_Invoices_Upload!$A$4:$A$5003,"&lt;"&amp;EDATE(DATE(2027,1,1),1)))&gt;0,"✓ Invoiced","⚠ Due"),""),""))</f>
        <v/>
      </c>
      <c r="Q168" s="130" t="str">
        <f aca="false">IF($A168="","",IF((DATE(YEAR($E168),MONTH($E168),1)&lt;=DATE(2027,2,1)),IF((MOD(DATEDIF(DATE(YEAR($E168),MONTH($E168),1),DATE(2027,2,1),"m"),IF($D168="Quarterly",3,IF($D168="Annual",12,1)))=0),IF((COUNTIFS(Xero_Raw!$D$4:$D$5003,$A168,Xero_Raw!$G$4:$G$5003,"*Subscription*",Xero_Raw!$A$4:$A$5003,"&gt;="&amp;DATE(2027,2,1),Xero_Raw!$A$4:$A$5003,"&lt;"&amp;EDATE(DATE(2027,2,1),1))+COUNTIFS(Customer_Invoices_Upload!$E$4:$E$5003,$A168,Customer_Invoices_Upload!$G$4:$G$5003,"*Subscription*",Customer_Invoices_Upload!$B$4:$B$5003,"&gt;="&amp;DATE(2027,2,1),Customer_Invoices_Upload!$B$4:$B$5003,"&lt;"&amp;EDATE(DATE(2027,2,1),1))+COUNTIFS(Stripe_Invoices_Upload!$D$4:$D$5003,$A168,Stripe_Invoices_Upload!$E$4:$E$5003,"*Subscription*",Stripe_Invoices_Upload!$A$4:$A$5003,"&gt;="&amp;DATE(2027,2,1),Stripe_Invoices_Upload!$A$4:$A$5003,"&lt;"&amp;EDATE(DATE(2027,2,1),1)))&gt;0,"✓ Invoiced","⚠ Due"),""),""))</f>
        <v/>
      </c>
      <c r="R168" s="130" t="str">
        <f aca="false">IF($A168="","",IF((DATE(YEAR($E168),MONTH($E168),1)&lt;=DATE(2027,3,1)),IF((MOD(DATEDIF(DATE(YEAR($E168),MONTH($E168),1),DATE(2027,3,1),"m"),IF($D168="Quarterly",3,IF($D168="Annual",12,1)))=0),IF((COUNTIFS(Xero_Raw!$D$4:$D$5003,$A168,Xero_Raw!$G$4:$G$5003,"*Subscription*",Xero_Raw!$A$4:$A$5003,"&gt;="&amp;DATE(2027,3,1),Xero_Raw!$A$4:$A$5003,"&lt;"&amp;EDATE(DATE(2027,3,1),1))+COUNTIFS(Customer_Invoices_Upload!$E$4:$E$5003,$A168,Customer_Invoices_Upload!$G$4:$G$5003,"*Subscription*",Customer_Invoices_Upload!$B$4:$B$5003,"&gt;="&amp;DATE(2027,3,1),Customer_Invoices_Upload!$B$4:$B$5003,"&lt;"&amp;EDATE(DATE(2027,3,1),1))+COUNTIFS(Stripe_Invoices_Upload!$D$4:$D$5003,$A168,Stripe_Invoices_Upload!$E$4:$E$5003,"*Subscription*",Stripe_Invoices_Upload!$A$4:$A$5003,"&gt;="&amp;DATE(2027,3,1),Stripe_Invoices_Upload!$A$4:$A$5003,"&lt;"&amp;EDATE(DATE(2027,3,1),1)))&gt;0,"✓ Invoiced","⚠ Due"),""),""))</f>
        <v/>
      </c>
    </row>
    <row r="169" customFormat="false" ht="15" hidden="false" customHeight="false" outlineLevel="0" collapsed="false">
      <c r="A169" s="39"/>
      <c r="B169" s="39"/>
      <c r="C169" s="40"/>
      <c r="D169" s="39"/>
      <c r="E169" s="38"/>
      <c r="F169" s="129" t="str">
        <f aca="true">IF($A169="","",EDATE($E169,DATEDIF($E169,TODAY(),"m")+1))</f>
        <v/>
      </c>
      <c r="G169" s="130" t="str">
        <f aca="false">IF($A169="","",IF((DATE(YEAR($E169),MONTH($E169),1)&lt;=DATE(2026,4,1)),IF((MOD(DATEDIF(DATE(YEAR($E169),MONTH($E169),1),DATE(2026,4,1),"m"),IF($D169="Quarterly",3,IF($D169="Annual",12,1)))=0),IF((COUNTIFS(Xero_Raw!$D$4:$D$5003,$A169,Xero_Raw!$G$4:$G$5003,"*Subscription*",Xero_Raw!$A$4:$A$5003,"&gt;="&amp;DATE(2026,4,1),Xero_Raw!$A$4:$A$5003,"&lt;"&amp;EDATE(DATE(2026,4,1),1))+COUNTIFS(Customer_Invoices_Upload!$E$4:$E$5003,$A169,Customer_Invoices_Upload!$G$4:$G$5003,"*Subscription*",Customer_Invoices_Upload!$B$4:$B$5003,"&gt;="&amp;DATE(2026,4,1),Customer_Invoices_Upload!$B$4:$B$5003,"&lt;"&amp;EDATE(DATE(2026,4,1),1))+COUNTIFS(Stripe_Invoices_Upload!$D$4:$D$5003,$A169,Stripe_Invoices_Upload!$E$4:$E$5003,"*Subscription*",Stripe_Invoices_Upload!$A$4:$A$5003,"&gt;="&amp;DATE(2026,4,1),Stripe_Invoices_Upload!$A$4:$A$5003,"&lt;"&amp;EDATE(DATE(2026,4,1),1)))&gt;0,"✓ Invoiced","⚠ Due"),""),""))</f>
        <v/>
      </c>
      <c r="H169" s="130" t="str">
        <f aca="false">IF($A169="","",IF((DATE(YEAR($E169),MONTH($E169),1)&lt;=DATE(2026,5,1)),IF((MOD(DATEDIF(DATE(YEAR($E169),MONTH($E169),1),DATE(2026,5,1),"m"),IF($D169="Quarterly",3,IF($D169="Annual",12,1)))=0),IF((COUNTIFS(Xero_Raw!$D$4:$D$5003,$A169,Xero_Raw!$G$4:$G$5003,"*Subscription*",Xero_Raw!$A$4:$A$5003,"&gt;="&amp;DATE(2026,5,1),Xero_Raw!$A$4:$A$5003,"&lt;"&amp;EDATE(DATE(2026,5,1),1))+COUNTIFS(Customer_Invoices_Upload!$E$4:$E$5003,$A169,Customer_Invoices_Upload!$G$4:$G$5003,"*Subscription*",Customer_Invoices_Upload!$B$4:$B$5003,"&gt;="&amp;DATE(2026,5,1),Customer_Invoices_Upload!$B$4:$B$5003,"&lt;"&amp;EDATE(DATE(2026,5,1),1))+COUNTIFS(Stripe_Invoices_Upload!$D$4:$D$5003,$A169,Stripe_Invoices_Upload!$E$4:$E$5003,"*Subscription*",Stripe_Invoices_Upload!$A$4:$A$5003,"&gt;="&amp;DATE(2026,5,1),Stripe_Invoices_Upload!$A$4:$A$5003,"&lt;"&amp;EDATE(DATE(2026,5,1),1)))&gt;0,"✓ Invoiced","⚠ Due"),""),""))</f>
        <v/>
      </c>
      <c r="I169" s="130" t="str">
        <f aca="false">IF($A169="","",IF((DATE(YEAR($E169),MONTH($E169),1)&lt;=DATE(2026,6,1)),IF((MOD(DATEDIF(DATE(YEAR($E169),MONTH($E169),1),DATE(2026,6,1),"m"),IF($D169="Quarterly",3,IF($D169="Annual",12,1)))=0),IF((COUNTIFS(Xero_Raw!$D$4:$D$5003,$A169,Xero_Raw!$G$4:$G$5003,"*Subscription*",Xero_Raw!$A$4:$A$5003,"&gt;="&amp;DATE(2026,6,1),Xero_Raw!$A$4:$A$5003,"&lt;"&amp;EDATE(DATE(2026,6,1),1))+COUNTIFS(Customer_Invoices_Upload!$E$4:$E$5003,$A169,Customer_Invoices_Upload!$G$4:$G$5003,"*Subscription*",Customer_Invoices_Upload!$B$4:$B$5003,"&gt;="&amp;DATE(2026,6,1),Customer_Invoices_Upload!$B$4:$B$5003,"&lt;"&amp;EDATE(DATE(2026,6,1),1))+COUNTIFS(Stripe_Invoices_Upload!$D$4:$D$5003,$A169,Stripe_Invoices_Upload!$E$4:$E$5003,"*Subscription*",Stripe_Invoices_Upload!$A$4:$A$5003,"&gt;="&amp;DATE(2026,6,1),Stripe_Invoices_Upload!$A$4:$A$5003,"&lt;"&amp;EDATE(DATE(2026,6,1),1)))&gt;0,"✓ Invoiced","⚠ Due"),""),""))</f>
        <v/>
      </c>
      <c r="J169" s="130" t="str">
        <f aca="false">IF($A169="","",IF((DATE(YEAR($E169),MONTH($E169),1)&lt;=DATE(2026,7,1)),IF((MOD(DATEDIF(DATE(YEAR($E169),MONTH($E169),1),DATE(2026,7,1),"m"),IF($D169="Quarterly",3,IF($D169="Annual",12,1)))=0),IF((COUNTIFS(Xero_Raw!$D$4:$D$5003,$A169,Xero_Raw!$G$4:$G$5003,"*Subscription*",Xero_Raw!$A$4:$A$5003,"&gt;="&amp;DATE(2026,7,1),Xero_Raw!$A$4:$A$5003,"&lt;"&amp;EDATE(DATE(2026,7,1),1))+COUNTIFS(Customer_Invoices_Upload!$E$4:$E$5003,$A169,Customer_Invoices_Upload!$G$4:$G$5003,"*Subscription*",Customer_Invoices_Upload!$B$4:$B$5003,"&gt;="&amp;DATE(2026,7,1),Customer_Invoices_Upload!$B$4:$B$5003,"&lt;"&amp;EDATE(DATE(2026,7,1),1))+COUNTIFS(Stripe_Invoices_Upload!$D$4:$D$5003,$A169,Stripe_Invoices_Upload!$E$4:$E$5003,"*Subscription*",Stripe_Invoices_Upload!$A$4:$A$5003,"&gt;="&amp;DATE(2026,7,1),Stripe_Invoices_Upload!$A$4:$A$5003,"&lt;"&amp;EDATE(DATE(2026,7,1),1)))&gt;0,"✓ Invoiced","⚠ Due"),""),""))</f>
        <v/>
      </c>
      <c r="K169" s="130" t="str">
        <f aca="false">IF($A169="","",IF((DATE(YEAR($E169),MONTH($E169),1)&lt;=DATE(2026,8,1)),IF((MOD(DATEDIF(DATE(YEAR($E169),MONTH($E169),1),DATE(2026,8,1),"m"),IF($D169="Quarterly",3,IF($D169="Annual",12,1)))=0),IF((COUNTIFS(Xero_Raw!$D$4:$D$5003,$A169,Xero_Raw!$G$4:$G$5003,"*Subscription*",Xero_Raw!$A$4:$A$5003,"&gt;="&amp;DATE(2026,8,1),Xero_Raw!$A$4:$A$5003,"&lt;"&amp;EDATE(DATE(2026,8,1),1))+COUNTIFS(Customer_Invoices_Upload!$E$4:$E$5003,$A169,Customer_Invoices_Upload!$G$4:$G$5003,"*Subscription*",Customer_Invoices_Upload!$B$4:$B$5003,"&gt;="&amp;DATE(2026,8,1),Customer_Invoices_Upload!$B$4:$B$5003,"&lt;"&amp;EDATE(DATE(2026,8,1),1))+COUNTIFS(Stripe_Invoices_Upload!$D$4:$D$5003,$A169,Stripe_Invoices_Upload!$E$4:$E$5003,"*Subscription*",Stripe_Invoices_Upload!$A$4:$A$5003,"&gt;="&amp;DATE(2026,8,1),Stripe_Invoices_Upload!$A$4:$A$5003,"&lt;"&amp;EDATE(DATE(2026,8,1),1)))&gt;0,"✓ Invoiced","⚠ Due"),""),""))</f>
        <v/>
      </c>
      <c r="L169" s="130" t="str">
        <f aca="false">IF($A169="","",IF((DATE(YEAR($E169),MONTH($E169),1)&lt;=DATE(2026,9,1)),IF((MOD(DATEDIF(DATE(YEAR($E169),MONTH($E169),1),DATE(2026,9,1),"m"),IF($D169="Quarterly",3,IF($D169="Annual",12,1)))=0),IF((COUNTIFS(Xero_Raw!$D$4:$D$5003,$A169,Xero_Raw!$G$4:$G$5003,"*Subscription*",Xero_Raw!$A$4:$A$5003,"&gt;="&amp;DATE(2026,9,1),Xero_Raw!$A$4:$A$5003,"&lt;"&amp;EDATE(DATE(2026,9,1),1))+COUNTIFS(Customer_Invoices_Upload!$E$4:$E$5003,$A169,Customer_Invoices_Upload!$G$4:$G$5003,"*Subscription*",Customer_Invoices_Upload!$B$4:$B$5003,"&gt;="&amp;DATE(2026,9,1),Customer_Invoices_Upload!$B$4:$B$5003,"&lt;"&amp;EDATE(DATE(2026,9,1),1))+COUNTIFS(Stripe_Invoices_Upload!$D$4:$D$5003,$A169,Stripe_Invoices_Upload!$E$4:$E$5003,"*Subscription*",Stripe_Invoices_Upload!$A$4:$A$5003,"&gt;="&amp;DATE(2026,9,1),Stripe_Invoices_Upload!$A$4:$A$5003,"&lt;"&amp;EDATE(DATE(2026,9,1),1)))&gt;0,"✓ Invoiced","⚠ Due"),""),""))</f>
        <v/>
      </c>
      <c r="M169" s="130" t="str">
        <f aca="false">IF($A169="","",IF((DATE(YEAR($E169),MONTH($E169),1)&lt;=DATE(2026,10,1)),IF((MOD(DATEDIF(DATE(YEAR($E169),MONTH($E169),1),DATE(2026,10,1),"m"),IF($D169="Quarterly",3,IF($D169="Annual",12,1)))=0),IF((COUNTIFS(Xero_Raw!$D$4:$D$5003,$A169,Xero_Raw!$G$4:$G$5003,"*Subscription*",Xero_Raw!$A$4:$A$5003,"&gt;="&amp;DATE(2026,10,1),Xero_Raw!$A$4:$A$5003,"&lt;"&amp;EDATE(DATE(2026,10,1),1))+COUNTIFS(Customer_Invoices_Upload!$E$4:$E$5003,$A169,Customer_Invoices_Upload!$G$4:$G$5003,"*Subscription*",Customer_Invoices_Upload!$B$4:$B$5003,"&gt;="&amp;DATE(2026,10,1),Customer_Invoices_Upload!$B$4:$B$5003,"&lt;"&amp;EDATE(DATE(2026,10,1),1))+COUNTIFS(Stripe_Invoices_Upload!$D$4:$D$5003,$A169,Stripe_Invoices_Upload!$E$4:$E$5003,"*Subscription*",Stripe_Invoices_Upload!$A$4:$A$5003,"&gt;="&amp;DATE(2026,10,1),Stripe_Invoices_Upload!$A$4:$A$5003,"&lt;"&amp;EDATE(DATE(2026,10,1),1)))&gt;0,"✓ Invoiced","⚠ Due"),""),""))</f>
        <v/>
      </c>
      <c r="N169" s="130" t="str">
        <f aca="false">IF($A169="","",IF((DATE(YEAR($E169),MONTH($E169),1)&lt;=DATE(2026,11,1)),IF((MOD(DATEDIF(DATE(YEAR($E169),MONTH($E169),1),DATE(2026,11,1),"m"),IF($D169="Quarterly",3,IF($D169="Annual",12,1)))=0),IF((COUNTIFS(Xero_Raw!$D$4:$D$5003,$A169,Xero_Raw!$G$4:$G$5003,"*Subscription*",Xero_Raw!$A$4:$A$5003,"&gt;="&amp;DATE(2026,11,1),Xero_Raw!$A$4:$A$5003,"&lt;"&amp;EDATE(DATE(2026,11,1),1))+COUNTIFS(Customer_Invoices_Upload!$E$4:$E$5003,$A169,Customer_Invoices_Upload!$G$4:$G$5003,"*Subscription*",Customer_Invoices_Upload!$B$4:$B$5003,"&gt;="&amp;DATE(2026,11,1),Customer_Invoices_Upload!$B$4:$B$5003,"&lt;"&amp;EDATE(DATE(2026,11,1),1))+COUNTIFS(Stripe_Invoices_Upload!$D$4:$D$5003,$A169,Stripe_Invoices_Upload!$E$4:$E$5003,"*Subscription*",Stripe_Invoices_Upload!$A$4:$A$5003,"&gt;="&amp;DATE(2026,11,1),Stripe_Invoices_Upload!$A$4:$A$5003,"&lt;"&amp;EDATE(DATE(2026,11,1),1)))&gt;0,"✓ Invoiced","⚠ Due"),""),""))</f>
        <v/>
      </c>
      <c r="O169" s="130" t="str">
        <f aca="false">IF($A169="","",IF((DATE(YEAR($E169),MONTH($E169),1)&lt;=DATE(2026,12,1)),IF((MOD(DATEDIF(DATE(YEAR($E169),MONTH($E169),1),DATE(2026,12,1),"m"),IF($D169="Quarterly",3,IF($D169="Annual",12,1)))=0),IF((COUNTIFS(Xero_Raw!$D$4:$D$5003,$A169,Xero_Raw!$G$4:$G$5003,"*Subscription*",Xero_Raw!$A$4:$A$5003,"&gt;="&amp;DATE(2026,12,1),Xero_Raw!$A$4:$A$5003,"&lt;"&amp;EDATE(DATE(2026,12,1),1))+COUNTIFS(Customer_Invoices_Upload!$E$4:$E$5003,$A169,Customer_Invoices_Upload!$G$4:$G$5003,"*Subscription*",Customer_Invoices_Upload!$B$4:$B$5003,"&gt;="&amp;DATE(2026,12,1),Customer_Invoices_Upload!$B$4:$B$5003,"&lt;"&amp;EDATE(DATE(2026,12,1),1))+COUNTIFS(Stripe_Invoices_Upload!$D$4:$D$5003,$A169,Stripe_Invoices_Upload!$E$4:$E$5003,"*Subscription*",Stripe_Invoices_Upload!$A$4:$A$5003,"&gt;="&amp;DATE(2026,12,1),Stripe_Invoices_Upload!$A$4:$A$5003,"&lt;"&amp;EDATE(DATE(2026,12,1),1)))&gt;0,"✓ Invoiced","⚠ Due"),""),""))</f>
        <v/>
      </c>
      <c r="P169" s="130" t="str">
        <f aca="false">IF($A169="","",IF((DATE(YEAR($E169),MONTH($E169),1)&lt;=DATE(2027,1,1)),IF((MOD(DATEDIF(DATE(YEAR($E169),MONTH($E169),1),DATE(2027,1,1),"m"),IF($D169="Quarterly",3,IF($D169="Annual",12,1)))=0),IF((COUNTIFS(Xero_Raw!$D$4:$D$5003,$A169,Xero_Raw!$G$4:$G$5003,"*Subscription*",Xero_Raw!$A$4:$A$5003,"&gt;="&amp;DATE(2027,1,1),Xero_Raw!$A$4:$A$5003,"&lt;"&amp;EDATE(DATE(2027,1,1),1))+COUNTIFS(Customer_Invoices_Upload!$E$4:$E$5003,$A169,Customer_Invoices_Upload!$G$4:$G$5003,"*Subscription*",Customer_Invoices_Upload!$B$4:$B$5003,"&gt;="&amp;DATE(2027,1,1),Customer_Invoices_Upload!$B$4:$B$5003,"&lt;"&amp;EDATE(DATE(2027,1,1),1))+COUNTIFS(Stripe_Invoices_Upload!$D$4:$D$5003,$A169,Stripe_Invoices_Upload!$E$4:$E$5003,"*Subscription*",Stripe_Invoices_Upload!$A$4:$A$5003,"&gt;="&amp;DATE(2027,1,1),Stripe_Invoices_Upload!$A$4:$A$5003,"&lt;"&amp;EDATE(DATE(2027,1,1),1)))&gt;0,"✓ Invoiced","⚠ Due"),""),""))</f>
        <v/>
      </c>
      <c r="Q169" s="130" t="str">
        <f aca="false">IF($A169="","",IF((DATE(YEAR($E169),MONTH($E169),1)&lt;=DATE(2027,2,1)),IF((MOD(DATEDIF(DATE(YEAR($E169),MONTH($E169),1),DATE(2027,2,1),"m"),IF($D169="Quarterly",3,IF($D169="Annual",12,1)))=0),IF((COUNTIFS(Xero_Raw!$D$4:$D$5003,$A169,Xero_Raw!$G$4:$G$5003,"*Subscription*",Xero_Raw!$A$4:$A$5003,"&gt;="&amp;DATE(2027,2,1),Xero_Raw!$A$4:$A$5003,"&lt;"&amp;EDATE(DATE(2027,2,1),1))+COUNTIFS(Customer_Invoices_Upload!$E$4:$E$5003,$A169,Customer_Invoices_Upload!$G$4:$G$5003,"*Subscription*",Customer_Invoices_Upload!$B$4:$B$5003,"&gt;="&amp;DATE(2027,2,1),Customer_Invoices_Upload!$B$4:$B$5003,"&lt;"&amp;EDATE(DATE(2027,2,1),1))+COUNTIFS(Stripe_Invoices_Upload!$D$4:$D$5003,$A169,Stripe_Invoices_Upload!$E$4:$E$5003,"*Subscription*",Stripe_Invoices_Upload!$A$4:$A$5003,"&gt;="&amp;DATE(2027,2,1),Stripe_Invoices_Upload!$A$4:$A$5003,"&lt;"&amp;EDATE(DATE(2027,2,1),1)))&gt;0,"✓ Invoiced","⚠ Due"),""),""))</f>
        <v/>
      </c>
      <c r="R169" s="130" t="str">
        <f aca="false">IF($A169="","",IF((DATE(YEAR($E169),MONTH($E169),1)&lt;=DATE(2027,3,1)),IF((MOD(DATEDIF(DATE(YEAR($E169),MONTH($E169),1),DATE(2027,3,1),"m"),IF($D169="Quarterly",3,IF($D169="Annual",12,1)))=0),IF((COUNTIFS(Xero_Raw!$D$4:$D$5003,$A169,Xero_Raw!$G$4:$G$5003,"*Subscription*",Xero_Raw!$A$4:$A$5003,"&gt;="&amp;DATE(2027,3,1),Xero_Raw!$A$4:$A$5003,"&lt;"&amp;EDATE(DATE(2027,3,1),1))+COUNTIFS(Customer_Invoices_Upload!$E$4:$E$5003,$A169,Customer_Invoices_Upload!$G$4:$G$5003,"*Subscription*",Customer_Invoices_Upload!$B$4:$B$5003,"&gt;="&amp;DATE(2027,3,1),Customer_Invoices_Upload!$B$4:$B$5003,"&lt;"&amp;EDATE(DATE(2027,3,1),1))+COUNTIFS(Stripe_Invoices_Upload!$D$4:$D$5003,$A169,Stripe_Invoices_Upload!$E$4:$E$5003,"*Subscription*",Stripe_Invoices_Upload!$A$4:$A$5003,"&gt;="&amp;DATE(2027,3,1),Stripe_Invoices_Upload!$A$4:$A$5003,"&lt;"&amp;EDATE(DATE(2027,3,1),1)))&gt;0,"✓ Invoiced","⚠ Due"),""),""))</f>
        <v/>
      </c>
    </row>
    <row r="170" customFormat="false" ht="15" hidden="false" customHeight="false" outlineLevel="0" collapsed="false">
      <c r="A170" s="39"/>
      <c r="B170" s="39"/>
      <c r="C170" s="40"/>
      <c r="D170" s="39"/>
      <c r="E170" s="38"/>
      <c r="F170" s="129" t="str">
        <f aca="true">IF($A170="","",EDATE($E170,DATEDIF($E170,TODAY(),"m")+1))</f>
        <v/>
      </c>
      <c r="G170" s="130" t="str">
        <f aca="false">IF($A170="","",IF((DATE(YEAR($E170),MONTH($E170),1)&lt;=DATE(2026,4,1)),IF((MOD(DATEDIF(DATE(YEAR($E170),MONTH($E170),1),DATE(2026,4,1),"m"),IF($D170="Quarterly",3,IF($D170="Annual",12,1)))=0),IF((COUNTIFS(Xero_Raw!$D$4:$D$5003,$A170,Xero_Raw!$G$4:$G$5003,"*Subscription*",Xero_Raw!$A$4:$A$5003,"&gt;="&amp;DATE(2026,4,1),Xero_Raw!$A$4:$A$5003,"&lt;"&amp;EDATE(DATE(2026,4,1),1))+COUNTIFS(Customer_Invoices_Upload!$E$4:$E$5003,$A170,Customer_Invoices_Upload!$G$4:$G$5003,"*Subscription*",Customer_Invoices_Upload!$B$4:$B$5003,"&gt;="&amp;DATE(2026,4,1),Customer_Invoices_Upload!$B$4:$B$5003,"&lt;"&amp;EDATE(DATE(2026,4,1),1))+COUNTIFS(Stripe_Invoices_Upload!$D$4:$D$5003,$A170,Stripe_Invoices_Upload!$E$4:$E$5003,"*Subscription*",Stripe_Invoices_Upload!$A$4:$A$5003,"&gt;="&amp;DATE(2026,4,1),Stripe_Invoices_Upload!$A$4:$A$5003,"&lt;"&amp;EDATE(DATE(2026,4,1),1)))&gt;0,"✓ Invoiced","⚠ Due"),""),""))</f>
        <v/>
      </c>
      <c r="H170" s="130" t="str">
        <f aca="false">IF($A170="","",IF((DATE(YEAR($E170),MONTH($E170),1)&lt;=DATE(2026,5,1)),IF((MOD(DATEDIF(DATE(YEAR($E170),MONTH($E170),1),DATE(2026,5,1),"m"),IF($D170="Quarterly",3,IF($D170="Annual",12,1)))=0),IF((COUNTIFS(Xero_Raw!$D$4:$D$5003,$A170,Xero_Raw!$G$4:$G$5003,"*Subscription*",Xero_Raw!$A$4:$A$5003,"&gt;="&amp;DATE(2026,5,1),Xero_Raw!$A$4:$A$5003,"&lt;"&amp;EDATE(DATE(2026,5,1),1))+COUNTIFS(Customer_Invoices_Upload!$E$4:$E$5003,$A170,Customer_Invoices_Upload!$G$4:$G$5003,"*Subscription*",Customer_Invoices_Upload!$B$4:$B$5003,"&gt;="&amp;DATE(2026,5,1),Customer_Invoices_Upload!$B$4:$B$5003,"&lt;"&amp;EDATE(DATE(2026,5,1),1))+COUNTIFS(Stripe_Invoices_Upload!$D$4:$D$5003,$A170,Stripe_Invoices_Upload!$E$4:$E$5003,"*Subscription*",Stripe_Invoices_Upload!$A$4:$A$5003,"&gt;="&amp;DATE(2026,5,1),Stripe_Invoices_Upload!$A$4:$A$5003,"&lt;"&amp;EDATE(DATE(2026,5,1),1)))&gt;0,"✓ Invoiced","⚠ Due"),""),""))</f>
        <v/>
      </c>
      <c r="I170" s="130" t="str">
        <f aca="false">IF($A170="","",IF((DATE(YEAR($E170),MONTH($E170),1)&lt;=DATE(2026,6,1)),IF((MOD(DATEDIF(DATE(YEAR($E170),MONTH($E170),1),DATE(2026,6,1),"m"),IF($D170="Quarterly",3,IF($D170="Annual",12,1)))=0),IF((COUNTIFS(Xero_Raw!$D$4:$D$5003,$A170,Xero_Raw!$G$4:$G$5003,"*Subscription*",Xero_Raw!$A$4:$A$5003,"&gt;="&amp;DATE(2026,6,1),Xero_Raw!$A$4:$A$5003,"&lt;"&amp;EDATE(DATE(2026,6,1),1))+COUNTIFS(Customer_Invoices_Upload!$E$4:$E$5003,$A170,Customer_Invoices_Upload!$G$4:$G$5003,"*Subscription*",Customer_Invoices_Upload!$B$4:$B$5003,"&gt;="&amp;DATE(2026,6,1),Customer_Invoices_Upload!$B$4:$B$5003,"&lt;"&amp;EDATE(DATE(2026,6,1),1))+COUNTIFS(Stripe_Invoices_Upload!$D$4:$D$5003,$A170,Stripe_Invoices_Upload!$E$4:$E$5003,"*Subscription*",Stripe_Invoices_Upload!$A$4:$A$5003,"&gt;="&amp;DATE(2026,6,1),Stripe_Invoices_Upload!$A$4:$A$5003,"&lt;"&amp;EDATE(DATE(2026,6,1),1)))&gt;0,"✓ Invoiced","⚠ Due"),""),""))</f>
        <v/>
      </c>
      <c r="J170" s="130" t="str">
        <f aca="false">IF($A170="","",IF((DATE(YEAR($E170),MONTH($E170),1)&lt;=DATE(2026,7,1)),IF((MOD(DATEDIF(DATE(YEAR($E170),MONTH($E170),1),DATE(2026,7,1),"m"),IF($D170="Quarterly",3,IF($D170="Annual",12,1)))=0),IF((COUNTIFS(Xero_Raw!$D$4:$D$5003,$A170,Xero_Raw!$G$4:$G$5003,"*Subscription*",Xero_Raw!$A$4:$A$5003,"&gt;="&amp;DATE(2026,7,1),Xero_Raw!$A$4:$A$5003,"&lt;"&amp;EDATE(DATE(2026,7,1),1))+COUNTIFS(Customer_Invoices_Upload!$E$4:$E$5003,$A170,Customer_Invoices_Upload!$G$4:$G$5003,"*Subscription*",Customer_Invoices_Upload!$B$4:$B$5003,"&gt;="&amp;DATE(2026,7,1),Customer_Invoices_Upload!$B$4:$B$5003,"&lt;"&amp;EDATE(DATE(2026,7,1),1))+COUNTIFS(Stripe_Invoices_Upload!$D$4:$D$5003,$A170,Stripe_Invoices_Upload!$E$4:$E$5003,"*Subscription*",Stripe_Invoices_Upload!$A$4:$A$5003,"&gt;="&amp;DATE(2026,7,1),Stripe_Invoices_Upload!$A$4:$A$5003,"&lt;"&amp;EDATE(DATE(2026,7,1),1)))&gt;0,"✓ Invoiced","⚠ Due"),""),""))</f>
        <v/>
      </c>
      <c r="K170" s="130" t="str">
        <f aca="false">IF($A170="","",IF((DATE(YEAR($E170),MONTH($E170),1)&lt;=DATE(2026,8,1)),IF((MOD(DATEDIF(DATE(YEAR($E170),MONTH($E170),1),DATE(2026,8,1),"m"),IF($D170="Quarterly",3,IF($D170="Annual",12,1)))=0),IF((COUNTIFS(Xero_Raw!$D$4:$D$5003,$A170,Xero_Raw!$G$4:$G$5003,"*Subscription*",Xero_Raw!$A$4:$A$5003,"&gt;="&amp;DATE(2026,8,1),Xero_Raw!$A$4:$A$5003,"&lt;"&amp;EDATE(DATE(2026,8,1),1))+COUNTIFS(Customer_Invoices_Upload!$E$4:$E$5003,$A170,Customer_Invoices_Upload!$G$4:$G$5003,"*Subscription*",Customer_Invoices_Upload!$B$4:$B$5003,"&gt;="&amp;DATE(2026,8,1),Customer_Invoices_Upload!$B$4:$B$5003,"&lt;"&amp;EDATE(DATE(2026,8,1),1))+COUNTIFS(Stripe_Invoices_Upload!$D$4:$D$5003,$A170,Stripe_Invoices_Upload!$E$4:$E$5003,"*Subscription*",Stripe_Invoices_Upload!$A$4:$A$5003,"&gt;="&amp;DATE(2026,8,1),Stripe_Invoices_Upload!$A$4:$A$5003,"&lt;"&amp;EDATE(DATE(2026,8,1),1)))&gt;0,"✓ Invoiced","⚠ Due"),""),""))</f>
        <v/>
      </c>
      <c r="L170" s="130" t="str">
        <f aca="false">IF($A170="","",IF((DATE(YEAR($E170),MONTH($E170),1)&lt;=DATE(2026,9,1)),IF((MOD(DATEDIF(DATE(YEAR($E170),MONTH($E170),1),DATE(2026,9,1),"m"),IF($D170="Quarterly",3,IF($D170="Annual",12,1)))=0),IF((COUNTIFS(Xero_Raw!$D$4:$D$5003,$A170,Xero_Raw!$G$4:$G$5003,"*Subscription*",Xero_Raw!$A$4:$A$5003,"&gt;="&amp;DATE(2026,9,1),Xero_Raw!$A$4:$A$5003,"&lt;"&amp;EDATE(DATE(2026,9,1),1))+COUNTIFS(Customer_Invoices_Upload!$E$4:$E$5003,$A170,Customer_Invoices_Upload!$G$4:$G$5003,"*Subscription*",Customer_Invoices_Upload!$B$4:$B$5003,"&gt;="&amp;DATE(2026,9,1),Customer_Invoices_Upload!$B$4:$B$5003,"&lt;"&amp;EDATE(DATE(2026,9,1),1))+COUNTIFS(Stripe_Invoices_Upload!$D$4:$D$5003,$A170,Stripe_Invoices_Upload!$E$4:$E$5003,"*Subscription*",Stripe_Invoices_Upload!$A$4:$A$5003,"&gt;="&amp;DATE(2026,9,1),Stripe_Invoices_Upload!$A$4:$A$5003,"&lt;"&amp;EDATE(DATE(2026,9,1),1)))&gt;0,"✓ Invoiced","⚠ Due"),""),""))</f>
        <v/>
      </c>
      <c r="M170" s="130" t="str">
        <f aca="false">IF($A170="","",IF((DATE(YEAR($E170),MONTH($E170),1)&lt;=DATE(2026,10,1)),IF((MOD(DATEDIF(DATE(YEAR($E170),MONTH($E170),1),DATE(2026,10,1),"m"),IF($D170="Quarterly",3,IF($D170="Annual",12,1)))=0),IF((COUNTIFS(Xero_Raw!$D$4:$D$5003,$A170,Xero_Raw!$G$4:$G$5003,"*Subscription*",Xero_Raw!$A$4:$A$5003,"&gt;="&amp;DATE(2026,10,1),Xero_Raw!$A$4:$A$5003,"&lt;"&amp;EDATE(DATE(2026,10,1),1))+COUNTIFS(Customer_Invoices_Upload!$E$4:$E$5003,$A170,Customer_Invoices_Upload!$G$4:$G$5003,"*Subscription*",Customer_Invoices_Upload!$B$4:$B$5003,"&gt;="&amp;DATE(2026,10,1),Customer_Invoices_Upload!$B$4:$B$5003,"&lt;"&amp;EDATE(DATE(2026,10,1),1))+COUNTIFS(Stripe_Invoices_Upload!$D$4:$D$5003,$A170,Stripe_Invoices_Upload!$E$4:$E$5003,"*Subscription*",Stripe_Invoices_Upload!$A$4:$A$5003,"&gt;="&amp;DATE(2026,10,1),Stripe_Invoices_Upload!$A$4:$A$5003,"&lt;"&amp;EDATE(DATE(2026,10,1),1)))&gt;0,"✓ Invoiced","⚠ Due"),""),""))</f>
        <v/>
      </c>
      <c r="N170" s="130" t="str">
        <f aca="false">IF($A170="","",IF((DATE(YEAR($E170),MONTH($E170),1)&lt;=DATE(2026,11,1)),IF((MOD(DATEDIF(DATE(YEAR($E170),MONTH($E170),1),DATE(2026,11,1),"m"),IF($D170="Quarterly",3,IF($D170="Annual",12,1)))=0),IF((COUNTIFS(Xero_Raw!$D$4:$D$5003,$A170,Xero_Raw!$G$4:$G$5003,"*Subscription*",Xero_Raw!$A$4:$A$5003,"&gt;="&amp;DATE(2026,11,1),Xero_Raw!$A$4:$A$5003,"&lt;"&amp;EDATE(DATE(2026,11,1),1))+COUNTIFS(Customer_Invoices_Upload!$E$4:$E$5003,$A170,Customer_Invoices_Upload!$G$4:$G$5003,"*Subscription*",Customer_Invoices_Upload!$B$4:$B$5003,"&gt;="&amp;DATE(2026,11,1),Customer_Invoices_Upload!$B$4:$B$5003,"&lt;"&amp;EDATE(DATE(2026,11,1),1))+COUNTIFS(Stripe_Invoices_Upload!$D$4:$D$5003,$A170,Stripe_Invoices_Upload!$E$4:$E$5003,"*Subscription*",Stripe_Invoices_Upload!$A$4:$A$5003,"&gt;="&amp;DATE(2026,11,1),Stripe_Invoices_Upload!$A$4:$A$5003,"&lt;"&amp;EDATE(DATE(2026,11,1),1)))&gt;0,"✓ Invoiced","⚠ Due"),""),""))</f>
        <v/>
      </c>
      <c r="O170" s="130" t="str">
        <f aca="false">IF($A170="","",IF((DATE(YEAR($E170),MONTH($E170),1)&lt;=DATE(2026,12,1)),IF((MOD(DATEDIF(DATE(YEAR($E170),MONTH($E170),1),DATE(2026,12,1),"m"),IF($D170="Quarterly",3,IF($D170="Annual",12,1)))=0),IF((COUNTIFS(Xero_Raw!$D$4:$D$5003,$A170,Xero_Raw!$G$4:$G$5003,"*Subscription*",Xero_Raw!$A$4:$A$5003,"&gt;="&amp;DATE(2026,12,1),Xero_Raw!$A$4:$A$5003,"&lt;"&amp;EDATE(DATE(2026,12,1),1))+COUNTIFS(Customer_Invoices_Upload!$E$4:$E$5003,$A170,Customer_Invoices_Upload!$G$4:$G$5003,"*Subscription*",Customer_Invoices_Upload!$B$4:$B$5003,"&gt;="&amp;DATE(2026,12,1),Customer_Invoices_Upload!$B$4:$B$5003,"&lt;"&amp;EDATE(DATE(2026,12,1),1))+COUNTIFS(Stripe_Invoices_Upload!$D$4:$D$5003,$A170,Stripe_Invoices_Upload!$E$4:$E$5003,"*Subscription*",Stripe_Invoices_Upload!$A$4:$A$5003,"&gt;="&amp;DATE(2026,12,1),Stripe_Invoices_Upload!$A$4:$A$5003,"&lt;"&amp;EDATE(DATE(2026,12,1),1)))&gt;0,"✓ Invoiced","⚠ Due"),""),""))</f>
        <v/>
      </c>
      <c r="P170" s="130" t="str">
        <f aca="false">IF($A170="","",IF((DATE(YEAR($E170),MONTH($E170),1)&lt;=DATE(2027,1,1)),IF((MOD(DATEDIF(DATE(YEAR($E170),MONTH($E170),1),DATE(2027,1,1),"m"),IF($D170="Quarterly",3,IF($D170="Annual",12,1)))=0),IF((COUNTIFS(Xero_Raw!$D$4:$D$5003,$A170,Xero_Raw!$G$4:$G$5003,"*Subscription*",Xero_Raw!$A$4:$A$5003,"&gt;="&amp;DATE(2027,1,1),Xero_Raw!$A$4:$A$5003,"&lt;"&amp;EDATE(DATE(2027,1,1),1))+COUNTIFS(Customer_Invoices_Upload!$E$4:$E$5003,$A170,Customer_Invoices_Upload!$G$4:$G$5003,"*Subscription*",Customer_Invoices_Upload!$B$4:$B$5003,"&gt;="&amp;DATE(2027,1,1),Customer_Invoices_Upload!$B$4:$B$5003,"&lt;"&amp;EDATE(DATE(2027,1,1),1))+COUNTIFS(Stripe_Invoices_Upload!$D$4:$D$5003,$A170,Stripe_Invoices_Upload!$E$4:$E$5003,"*Subscription*",Stripe_Invoices_Upload!$A$4:$A$5003,"&gt;="&amp;DATE(2027,1,1),Stripe_Invoices_Upload!$A$4:$A$5003,"&lt;"&amp;EDATE(DATE(2027,1,1),1)))&gt;0,"✓ Invoiced","⚠ Due"),""),""))</f>
        <v/>
      </c>
      <c r="Q170" s="130" t="str">
        <f aca="false">IF($A170="","",IF((DATE(YEAR($E170),MONTH($E170),1)&lt;=DATE(2027,2,1)),IF((MOD(DATEDIF(DATE(YEAR($E170),MONTH($E170),1),DATE(2027,2,1),"m"),IF($D170="Quarterly",3,IF($D170="Annual",12,1)))=0),IF((COUNTIFS(Xero_Raw!$D$4:$D$5003,$A170,Xero_Raw!$G$4:$G$5003,"*Subscription*",Xero_Raw!$A$4:$A$5003,"&gt;="&amp;DATE(2027,2,1),Xero_Raw!$A$4:$A$5003,"&lt;"&amp;EDATE(DATE(2027,2,1),1))+COUNTIFS(Customer_Invoices_Upload!$E$4:$E$5003,$A170,Customer_Invoices_Upload!$G$4:$G$5003,"*Subscription*",Customer_Invoices_Upload!$B$4:$B$5003,"&gt;="&amp;DATE(2027,2,1),Customer_Invoices_Upload!$B$4:$B$5003,"&lt;"&amp;EDATE(DATE(2027,2,1),1))+COUNTIFS(Stripe_Invoices_Upload!$D$4:$D$5003,$A170,Stripe_Invoices_Upload!$E$4:$E$5003,"*Subscription*",Stripe_Invoices_Upload!$A$4:$A$5003,"&gt;="&amp;DATE(2027,2,1),Stripe_Invoices_Upload!$A$4:$A$5003,"&lt;"&amp;EDATE(DATE(2027,2,1),1)))&gt;0,"✓ Invoiced","⚠ Due"),""),""))</f>
        <v/>
      </c>
      <c r="R170" s="130" t="str">
        <f aca="false">IF($A170="","",IF((DATE(YEAR($E170),MONTH($E170),1)&lt;=DATE(2027,3,1)),IF((MOD(DATEDIF(DATE(YEAR($E170),MONTH($E170),1),DATE(2027,3,1),"m"),IF($D170="Quarterly",3,IF($D170="Annual",12,1)))=0),IF((COUNTIFS(Xero_Raw!$D$4:$D$5003,$A170,Xero_Raw!$G$4:$G$5003,"*Subscription*",Xero_Raw!$A$4:$A$5003,"&gt;="&amp;DATE(2027,3,1),Xero_Raw!$A$4:$A$5003,"&lt;"&amp;EDATE(DATE(2027,3,1),1))+COUNTIFS(Customer_Invoices_Upload!$E$4:$E$5003,$A170,Customer_Invoices_Upload!$G$4:$G$5003,"*Subscription*",Customer_Invoices_Upload!$B$4:$B$5003,"&gt;="&amp;DATE(2027,3,1),Customer_Invoices_Upload!$B$4:$B$5003,"&lt;"&amp;EDATE(DATE(2027,3,1),1))+COUNTIFS(Stripe_Invoices_Upload!$D$4:$D$5003,$A170,Stripe_Invoices_Upload!$E$4:$E$5003,"*Subscription*",Stripe_Invoices_Upload!$A$4:$A$5003,"&gt;="&amp;DATE(2027,3,1),Stripe_Invoices_Upload!$A$4:$A$5003,"&lt;"&amp;EDATE(DATE(2027,3,1),1)))&gt;0,"✓ Invoiced","⚠ Due"),""),""))</f>
        <v/>
      </c>
    </row>
    <row r="171" customFormat="false" ht="15" hidden="false" customHeight="false" outlineLevel="0" collapsed="false">
      <c r="A171" s="39"/>
      <c r="B171" s="39"/>
      <c r="C171" s="40"/>
      <c r="D171" s="39"/>
      <c r="E171" s="38"/>
      <c r="F171" s="129" t="str">
        <f aca="true">IF($A171="","",EDATE($E171,DATEDIF($E171,TODAY(),"m")+1))</f>
        <v/>
      </c>
      <c r="G171" s="130" t="str">
        <f aca="false">IF($A171="","",IF((DATE(YEAR($E171),MONTH($E171),1)&lt;=DATE(2026,4,1)),IF((MOD(DATEDIF(DATE(YEAR($E171),MONTH($E171),1),DATE(2026,4,1),"m"),IF($D171="Quarterly",3,IF($D171="Annual",12,1)))=0),IF((COUNTIFS(Xero_Raw!$D$4:$D$5003,$A171,Xero_Raw!$G$4:$G$5003,"*Subscription*",Xero_Raw!$A$4:$A$5003,"&gt;="&amp;DATE(2026,4,1),Xero_Raw!$A$4:$A$5003,"&lt;"&amp;EDATE(DATE(2026,4,1),1))+COUNTIFS(Customer_Invoices_Upload!$E$4:$E$5003,$A171,Customer_Invoices_Upload!$G$4:$G$5003,"*Subscription*",Customer_Invoices_Upload!$B$4:$B$5003,"&gt;="&amp;DATE(2026,4,1),Customer_Invoices_Upload!$B$4:$B$5003,"&lt;"&amp;EDATE(DATE(2026,4,1),1))+COUNTIFS(Stripe_Invoices_Upload!$D$4:$D$5003,$A171,Stripe_Invoices_Upload!$E$4:$E$5003,"*Subscription*",Stripe_Invoices_Upload!$A$4:$A$5003,"&gt;="&amp;DATE(2026,4,1),Stripe_Invoices_Upload!$A$4:$A$5003,"&lt;"&amp;EDATE(DATE(2026,4,1),1)))&gt;0,"✓ Invoiced","⚠ Due"),""),""))</f>
        <v/>
      </c>
      <c r="H171" s="130" t="str">
        <f aca="false">IF($A171="","",IF((DATE(YEAR($E171),MONTH($E171),1)&lt;=DATE(2026,5,1)),IF((MOD(DATEDIF(DATE(YEAR($E171),MONTH($E171),1),DATE(2026,5,1),"m"),IF($D171="Quarterly",3,IF($D171="Annual",12,1)))=0),IF((COUNTIFS(Xero_Raw!$D$4:$D$5003,$A171,Xero_Raw!$G$4:$G$5003,"*Subscription*",Xero_Raw!$A$4:$A$5003,"&gt;="&amp;DATE(2026,5,1),Xero_Raw!$A$4:$A$5003,"&lt;"&amp;EDATE(DATE(2026,5,1),1))+COUNTIFS(Customer_Invoices_Upload!$E$4:$E$5003,$A171,Customer_Invoices_Upload!$G$4:$G$5003,"*Subscription*",Customer_Invoices_Upload!$B$4:$B$5003,"&gt;="&amp;DATE(2026,5,1),Customer_Invoices_Upload!$B$4:$B$5003,"&lt;"&amp;EDATE(DATE(2026,5,1),1))+COUNTIFS(Stripe_Invoices_Upload!$D$4:$D$5003,$A171,Stripe_Invoices_Upload!$E$4:$E$5003,"*Subscription*",Stripe_Invoices_Upload!$A$4:$A$5003,"&gt;="&amp;DATE(2026,5,1),Stripe_Invoices_Upload!$A$4:$A$5003,"&lt;"&amp;EDATE(DATE(2026,5,1),1)))&gt;0,"✓ Invoiced","⚠ Due"),""),""))</f>
        <v/>
      </c>
      <c r="I171" s="130" t="str">
        <f aca="false">IF($A171="","",IF((DATE(YEAR($E171),MONTH($E171),1)&lt;=DATE(2026,6,1)),IF((MOD(DATEDIF(DATE(YEAR($E171),MONTH($E171),1),DATE(2026,6,1),"m"),IF($D171="Quarterly",3,IF($D171="Annual",12,1)))=0),IF((COUNTIFS(Xero_Raw!$D$4:$D$5003,$A171,Xero_Raw!$G$4:$G$5003,"*Subscription*",Xero_Raw!$A$4:$A$5003,"&gt;="&amp;DATE(2026,6,1),Xero_Raw!$A$4:$A$5003,"&lt;"&amp;EDATE(DATE(2026,6,1),1))+COUNTIFS(Customer_Invoices_Upload!$E$4:$E$5003,$A171,Customer_Invoices_Upload!$G$4:$G$5003,"*Subscription*",Customer_Invoices_Upload!$B$4:$B$5003,"&gt;="&amp;DATE(2026,6,1),Customer_Invoices_Upload!$B$4:$B$5003,"&lt;"&amp;EDATE(DATE(2026,6,1),1))+COUNTIFS(Stripe_Invoices_Upload!$D$4:$D$5003,$A171,Stripe_Invoices_Upload!$E$4:$E$5003,"*Subscription*",Stripe_Invoices_Upload!$A$4:$A$5003,"&gt;="&amp;DATE(2026,6,1),Stripe_Invoices_Upload!$A$4:$A$5003,"&lt;"&amp;EDATE(DATE(2026,6,1),1)))&gt;0,"✓ Invoiced","⚠ Due"),""),""))</f>
        <v/>
      </c>
      <c r="J171" s="130" t="str">
        <f aca="false">IF($A171="","",IF((DATE(YEAR($E171),MONTH($E171),1)&lt;=DATE(2026,7,1)),IF((MOD(DATEDIF(DATE(YEAR($E171),MONTH($E171),1),DATE(2026,7,1),"m"),IF($D171="Quarterly",3,IF($D171="Annual",12,1)))=0),IF((COUNTIFS(Xero_Raw!$D$4:$D$5003,$A171,Xero_Raw!$G$4:$G$5003,"*Subscription*",Xero_Raw!$A$4:$A$5003,"&gt;="&amp;DATE(2026,7,1),Xero_Raw!$A$4:$A$5003,"&lt;"&amp;EDATE(DATE(2026,7,1),1))+COUNTIFS(Customer_Invoices_Upload!$E$4:$E$5003,$A171,Customer_Invoices_Upload!$G$4:$G$5003,"*Subscription*",Customer_Invoices_Upload!$B$4:$B$5003,"&gt;="&amp;DATE(2026,7,1),Customer_Invoices_Upload!$B$4:$B$5003,"&lt;"&amp;EDATE(DATE(2026,7,1),1))+COUNTIFS(Stripe_Invoices_Upload!$D$4:$D$5003,$A171,Stripe_Invoices_Upload!$E$4:$E$5003,"*Subscription*",Stripe_Invoices_Upload!$A$4:$A$5003,"&gt;="&amp;DATE(2026,7,1),Stripe_Invoices_Upload!$A$4:$A$5003,"&lt;"&amp;EDATE(DATE(2026,7,1),1)))&gt;0,"✓ Invoiced","⚠ Due"),""),""))</f>
        <v/>
      </c>
      <c r="K171" s="130" t="str">
        <f aca="false">IF($A171="","",IF((DATE(YEAR($E171),MONTH($E171),1)&lt;=DATE(2026,8,1)),IF((MOD(DATEDIF(DATE(YEAR($E171),MONTH($E171),1),DATE(2026,8,1),"m"),IF($D171="Quarterly",3,IF($D171="Annual",12,1)))=0),IF((COUNTIFS(Xero_Raw!$D$4:$D$5003,$A171,Xero_Raw!$G$4:$G$5003,"*Subscription*",Xero_Raw!$A$4:$A$5003,"&gt;="&amp;DATE(2026,8,1),Xero_Raw!$A$4:$A$5003,"&lt;"&amp;EDATE(DATE(2026,8,1),1))+COUNTIFS(Customer_Invoices_Upload!$E$4:$E$5003,$A171,Customer_Invoices_Upload!$G$4:$G$5003,"*Subscription*",Customer_Invoices_Upload!$B$4:$B$5003,"&gt;="&amp;DATE(2026,8,1),Customer_Invoices_Upload!$B$4:$B$5003,"&lt;"&amp;EDATE(DATE(2026,8,1),1))+COUNTIFS(Stripe_Invoices_Upload!$D$4:$D$5003,$A171,Stripe_Invoices_Upload!$E$4:$E$5003,"*Subscription*",Stripe_Invoices_Upload!$A$4:$A$5003,"&gt;="&amp;DATE(2026,8,1),Stripe_Invoices_Upload!$A$4:$A$5003,"&lt;"&amp;EDATE(DATE(2026,8,1),1)))&gt;0,"✓ Invoiced","⚠ Due"),""),""))</f>
        <v/>
      </c>
      <c r="L171" s="130" t="str">
        <f aca="false">IF($A171="","",IF((DATE(YEAR($E171),MONTH($E171),1)&lt;=DATE(2026,9,1)),IF((MOD(DATEDIF(DATE(YEAR($E171),MONTH($E171),1),DATE(2026,9,1),"m"),IF($D171="Quarterly",3,IF($D171="Annual",12,1)))=0),IF((COUNTIFS(Xero_Raw!$D$4:$D$5003,$A171,Xero_Raw!$G$4:$G$5003,"*Subscription*",Xero_Raw!$A$4:$A$5003,"&gt;="&amp;DATE(2026,9,1),Xero_Raw!$A$4:$A$5003,"&lt;"&amp;EDATE(DATE(2026,9,1),1))+COUNTIFS(Customer_Invoices_Upload!$E$4:$E$5003,$A171,Customer_Invoices_Upload!$G$4:$G$5003,"*Subscription*",Customer_Invoices_Upload!$B$4:$B$5003,"&gt;="&amp;DATE(2026,9,1),Customer_Invoices_Upload!$B$4:$B$5003,"&lt;"&amp;EDATE(DATE(2026,9,1),1))+COUNTIFS(Stripe_Invoices_Upload!$D$4:$D$5003,$A171,Stripe_Invoices_Upload!$E$4:$E$5003,"*Subscription*",Stripe_Invoices_Upload!$A$4:$A$5003,"&gt;="&amp;DATE(2026,9,1),Stripe_Invoices_Upload!$A$4:$A$5003,"&lt;"&amp;EDATE(DATE(2026,9,1),1)))&gt;0,"✓ Invoiced","⚠ Due"),""),""))</f>
        <v/>
      </c>
      <c r="M171" s="130" t="str">
        <f aca="false">IF($A171="","",IF((DATE(YEAR($E171),MONTH($E171),1)&lt;=DATE(2026,10,1)),IF((MOD(DATEDIF(DATE(YEAR($E171),MONTH($E171),1),DATE(2026,10,1),"m"),IF($D171="Quarterly",3,IF($D171="Annual",12,1)))=0),IF((COUNTIFS(Xero_Raw!$D$4:$D$5003,$A171,Xero_Raw!$G$4:$G$5003,"*Subscription*",Xero_Raw!$A$4:$A$5003,"&gt;="&amp;DATE(2026,10,1),Xero_Raw!$A$4:$A$5003,"&lt;"&amp;EDATE(DATE(2026,10,1),1))+COUNTIFS(Customer_Invoices_Upload!$E$4:$E$5003,$A171,Customer_Invoices_Upload!$G$4:$G$5003,"*Subscription*",Customer_Invoices_Upload!$B$4:$B$5003,"&gt;="&amp;DATE(2026,10,1),Customer_Invoices_Upload!$B$4:$B$5003,"&lt;"&amp;EDATE(DATE(2026,10,1),1))+COUNTIFS(Stripe_Invoices_Upload!$D$4:$D$5003,$A171,Stripe_Invoices_Upload!$E$4:$E$5003,"*Subscription*",Stripe_Invoices_Upload!$A$4:$A$5003,"&gt;="&amp;DATE(2026,10,1),Stripe_Invoices_Upload!$A$4:$A$5003,"&lt;"&amp;EDATE(DATE(2026,10,1),1)))&gt;0,"✓ Invoiced","⚠ Due"),""),""))</f>
        <v/>
      </c>
      <c r="N171" s="130" t="str">
        <f aca="false">IF($A171="","",IF((DATE(YEAR($E171),MONTH($E171),1)&lt;=DATE(2026,11,1)),IF((MOD(DATEDIF(DATE(YEAR($E171),MONTH($E171),1),DATE(2026,11,1),"m"),IF($D171="Quarterly",3,IF($D171="Annual",12,1)))=0),IF((COUNTIFS(Xero_Raw!$D$4:$D$5003,$A171,Xero_Raw!$G$4:$G$5003,"*Subscription*",Xero_Raw!$A$4:$A$5003,"&gt;="&amp;DATE(2026,11,1),Xero_Raw!$A$4:$A$5003,"&lt;"&amp;EDATE(DATE(2026,11,1),1))+COUNTIFS(Customer_Invoices_Upload!$E$4:$E$5003,$A171,Customer_Invoices_Upload!$G$4:$G$5003,"*Subscription*",Customer_Invoices_Upload!$B$4:$B$5003,"&gt;="&amp;DATE(2026,11,1),Customer_Invoices_Upload!$B$4:$B$5003,"&lt;"&amp;EDATE(DATE(2026,11,1),1))+COUNTIFS(Stripe_Invoices_Upload!$D$4:$D$5003,$A171,Stripe_Invoices_Upload!$E$4:$E$5003,"*Subscription*",Stripe_Invoices_Upload!$A$4:$A$5003,"&gt;="&amp;DATE(2026,11,1),Stripe_Invoices_Upload!$A$4:$A$5003,"&lt;"&amp;EDATE(DATE(2026,11,1),1)))&gt;0,"✓ Invoiced","⚠ Due"),""),""))</f>
        <v/>
      </c>
      <c r="O171" s="130" t="str">
        <f aca="false">IF($A171="","",IF((DATE(YEAR($E171),MONTH($E171),1)&lt;=DATE(2026,12,1)),IF((MOD(DATEDIF(DATE(YEAR($E171),MONTH($E171),1),DATE(2026,12,1),"m"),IF($D171="Quarterly",3,IF($D171="Annual",12,1)))=0),IF((COUNTIFS(Xero_Raw!$D$4:$D$5003,$A171,Xero_Raw!$G$4:$G$5003,"*Subscription*",Xero_Raw!$A$4:$A$5003,"&gt;="&amp;DATE(2026,12,1),Xero_Raw!$A$4:$A$5003,"&lt;"&amp;EDATE(DATE(2026,12,1),1))+COUNTIFS(Customer_Invoices_Upload!$E$4:$E$5003,$A171,Customer_Invoices_Upload!$G$4:$G$5003,"*Subscription*",Customer_Invoices_Upload!$B$4:$B$5003,"&gt;="&amp;DATE(2026,12,1),Customer_Invoices_Upload!$B$4:$B$5003,"&lt;"&amp;EDATE(DATE(2026,12,1),1))+COUNTIFS(Stripe_Invoices_Upload!$D$4:$D$5003,$A171,Stripe_Invoices_Upload!$E$4:$E$5003,"*Subscription*",Stripe_Invoices_Upload!$A$4:$A$5003,"&gt;="&amp;DATE(2026,12,1),Stripe_Invoices_Upload!$A$4:$A$5003,"&lt;"&amp;EDATE(DATE(2026,12,1),1)))&gt;0,"✓ Invoiced","⚠ Due"),""),""))</f>
        <v/>
      </c>
      <c r="P171" s="130" t="str">
        <f aca="false">IF($A171="","",IF((DATE(YEAR($E171),MONTH($E171),1)&lt;=DATE(2027,1,1)),IF((MOD(DATEDIF(DATE(YEAR($E171),MONTH($E171),1),DATE(2027,1,1),"m"),IF($D171="Quarterly",3,IF($D171="Annual",12,1)))=0),IF((COUNTIFS(Xero_Raw!$D$4:$D$5003,$A171,Xero_Raw!$G$4:$G$5003,"*Subscription*",Xero_Raw!$A$4:$A$5003,"&gt;="&amp;DATE(2027,1,1),Xero_Raw!$A$4:$A$5003,"&lt;"&amp;EDATE(DATE(2027,1,1),1))+COUNTIFS(Customer_Invoices_Upload!$E$4:$E$5003,$A171,Customer_Invoices_Upload!$G$4:$G$5003,"*Subscription*",Customer_Invoices_Upload!$B$4:$B$5003,"&gt;="&amp;DATE(2027,1,1),Customer_Invoices_Upload!$B$4:$B$5003,"&lt;"&amp;EDATE(DATE(2027,1,1),1))+COUNTIFS(Stripe_Invoices_Upload!$D$4:$D$5003,$A171,Stripe_Invoices_Upload!$E$4:$E$5003,"*Subscription*",Stripe_Invoices_Upload!$A$4:$A$5003,"&gt;="&amp;DATE(2027,1,1),Stripe_Invoices_Upload!$A$4:$A$5003,"&lt;"&amp;EDATE(DATE(2027,1,1),1)))&gt;0,"✓ Invoiced","⚠ Due"),""),""))</f>
        <v/>
      </c>
      <c r="Q171" s="130" t="str">
        <f aca="false">IF($A171="","",IF((DATE(YEAR($E171),MONTH($E171),1)&lt;=DATE(2027,2,1)),IF((MOD(DATEDIF(DATE(YEAR($E171),MONTH($E171),1),DATE(2027,2,1),"m"),IF($D171="Quarterly",3,IF($D171="Annual",12,1)))=0),IF((COUNTIFS(Xero_Raw!$D$4:$D$5003,$A171,Xero_Raw!$G$4:$G$5003,"*Subscription*",Xero_Raw!$A$4:$A$5003,"&gt;="&amp;DATE(2027,2,1),Xero_Raw!$A$4:$A$5003,"&lt;"&amp;EDATE(DATE(2027,2,1),1))+COUNTIFS(Customer_Invoices_Upload!$E$4:$E$5003,$A171,Customer_Invoices_Upload!$G$4:$G$5003,"*Subscription*",Customer_Invoices_Upload!$B$4:$B$5003,"&gt;="&amp;DATE(2027,2,1),Customer_Invoices_Upload!$B$4:$B$5003,"&lt;"&amp;EDATE(DATE(2027,2,1),1))+COUNTIFS(Stripe_Invoices_Upload!$D$4:$D$5003,$A171,Stripe_Invoices_Upload!$E$4:$E$5003,"*Subscription*",Stripe_Invoices_Upload!$A$4:$A$5003,"&gt;="&amp;DATE(2027,2,1),Stripe_Invoices_Upload!$A$4:$A$5003,"&lt;"&amp;EDATE(DATE(2027,2,1),1)))&gt;0,"✓ Invoiced","⚠ Due"),""),""))</f>
        <v/>
      </c>
      <c r="R171" s="130" t="str">
        <f aca="false">IF($A171="","",IF((DATE(YEAR($E171),MONTH($E171),1)&lt;=DATE(2027,3,1)),IF((MOD(DATEDIF(DATE(YEAR($E171),MONTH($E171),1),DATE(2027,3,1),"m"),IF($D171="Quarterly",3,IF($D171="Annual",12,1)))=0),IF((COUNTIFS(Xero_Raw!$D$4:$D$5003,$A171,Xero_Raw!$G$4:$G$5003,"*Subscription*",Xero_Raw!$A$4:$A$5003,"&gt;="&amp;DATE(2027,3,1),Xero_Raw!$A$4:$A$5003,"&lt;"&amp;EDATE(DATE(2027,3,1),1))+COUNTIFS(Customer_Invoices_Upload!$E$4:$E$5003,$A171,Customer_Invoices_Upload!$G$4:$G$5003,"*Subscription*",Customer_Invoices_Upload!$B$4:$B$5003,"&gt;="&amp;DATE(2027,3,1),Customer_Invoices_Upload!$B$4:$B$5003,"&lt;"&amp;EDATE(DATE(2027,3,1),1))+COUNTIFS(Stripe_Invoices_Upload!$D$4:$D$5003,$A171,Stripe_Invoices_Upload!$E$4:$E$5003,"*Subscription*",Stripe_Invoices_Upload!$A$4:$A$5003,"&gt;="&amp;DATE(2027,3,1),Stripe_Invoices_Upload!$A$4:$A$5003,"&lt;"&amp;EDATE(DATE(2027,3,1),1)))&gt;0,"✓ Invoiced","⚠ Due"),""),""))</f>
        <v/>
      </c>
    </row>
    <row r="172" customFormat="false" ht="15" hidden="false" customHeight="false" outlineLevel="0" collapsed="false">
      <c r="A172" s="39"/>
      <c r="B172" s="39"/>
      <c r="C172" s="40"/>
      <c r="D172" s="39"/>
      <c r="E172" s="38"/>
      <c r="F172" s="129" t="str">
        <f aca="true">IF($A172="","",EDATE($E172,DATEDIF($E172,TODAY(),"m")+1))</f>
        <v/>
      </c>
      <c r="G172" s="130" t="str">
        <f aca="false">IF($A172="","",IF((DATE(YEAR($E172),MONTH($E172),1)&lt;=DATE(2026,4,1)),IF((MOD(DATEDIF(DATE(YEAR($E172),MONTH($E172),1),DATE(2026,4,1),"m"),IF($D172="Quarterly",3,IF($D172="Annual",12,1)))=0),IF((COUNTIFS(Xero_Raw!$D$4:$D$5003,$A172,Xero_Raw!$G$4:$G$5003,"*Subscription*",Xero_Raw!$A$4:$A$5003,"&gt;="&amp;DATE(2026,4,1),Xero_Raw!$A$4:$A$5003,"&lt;"&amp;EDATE(DATE(2026,4,1),1))+COUNTIFS(Customer_Invoices_Upload!$E$4:$E$5003,$A172,Customer_Invoices_Upload!$G$4:$G$5003,"*Subscription*",Customer_Invoices_Upload!$B$4:$B$5003,"&gt;="&amp;DATE(2026,4,1),Customer_Invoices_Upload!$B$4:$B$5003,"&lt;"&amp;EDATE(DATE(2026,4,1),1))+COUNTIFS(Stripe_Invoices_Upload!$D$4:$D$5003,$A172,Stripe_Invoices_Upload!$E$4:$E$5003,"*Subscription*",Stripe_Invoices_Upload!$A$4:$A$5003,"&gt;="&amp;DATE(2026,4,1),Stripe_Invoices_Upload!$A$4:$A$5003,"&lt;"&amp;EDATE(DATE(2026,4,1),1)))&gt;0,"✓ Invoiced","⚠ Due"),""),""))</f>
        <v/>
      </c>
      <c r="H172" s="130" t="str">
        <f aca="false">IF($A172="","",IF((DATE(YEAR($E172),MONTH($E172),1)&lt;=DATE(2026,5,1)),IF((MOD(DATEDIF(DATE(YEAR($E172),MONTH($E172),1),DATE(2026,5,1),"m"),IF($D172="Quarterly",3,IF($D172="Annual",12,1)))=0),IF((COUNTIFS(Xero_Raw!$D$4:$D$5003,$A172,Xero_Raw!$G$4:$G$5003,"*Subscription*",Xero_Raw!$A$4:$A$5003,"&gt;="&amp;DATE(2026,5,1),Xero_Raw!$A$4:$A$5003,"&lt;"&amp;EDATE(DATE(2026,5,1),1))+COUNTIFS(Customer_Invoices_Upload!$E$4:$E$5003,$A172,Customer_Invoices_Upload!$G$4:$G$5003,"*Subscription*",Customer_Invoices_Upload!$B$4:$B$5003,"&gt;="&amp;DATE(2026,5,1),Customer_Invoices_Upload!$B$4:$B$5003,"&lt;"&amp;EDATE(DATE(2026,5,1),1))+COUNTIFS(Stripe_Invoices_Upload!$D$4:$D$5003,$A172,Stripe_Invoices_Upload!$E$4:$E$5003,"*Subscription*",Stripe_Invoices_Upload!$A$4:$A$5003,"&gt;="&amp;DATE(2026,5,1),Stripe_Invoices_Upload!$A$4:$A$5003,"&lt;"&amp;EDATE(DATE(2026,5,1),1)))&gt;0,"✓ Invoiced","⚠ Due"),""),""))</f>
        <v/>
      </c>
      <c r="I172" s="130" t="str">
        <f aca="false">IF($A172="","",IF((DATE(YEAR($E172),MONTH($E172),1)&lt;=DATE(2026,6,1)),IF((MOD(DATEDIF(DATE(YEAR($E172),MONTH($E172),1),DATE(2026,6,1),"m"),IF($D172="Quarterly",3,IF($D172="Annual",12,1)))=0),IF((COUNTIFS(Xero_Raw!$D$4:$D$5003,$A172,Xero_Raw!$G$4:$G$5003,"*Subscription*",Xero_Raw!$A$4:$A$5003,"&gt;="&amp;DATE(2026,6,1),Xero_Raw!$A$4:$A$5003,"&lt;"&amp;EDATE(DATE(2026,6,1),1))+COUNTIFS(Customer_Invoices_Upload!$E$4:$E$5003,$A172,Customer_Invoices_Upload!$G$4:$G$5003,"*Subscription*",Customer_Invoices_Upload!$B$4:$B$5003,"&gt;="&amp;DATE(2026,6,1),Customer_Invoices_Upload!$B$4:$B$5003,"&lt;"&amp;EDATE(DATE(2026,6,1),1))+COUNTIFS(Stripe_Invoices_Upload!$D$4:$D$5003,$A172,Stripe_Invoices_Upload!$E$4:$E$5003,"*Subscription*",Stripe_Invoices_Upload!$A$4:$A$5003,"&gt;="&amp;DATE(2026,6,1),Stripe_Invoices_Upload!$A$4:$A$5003,"&lt;"&amp;EDATE(DATE(2026,6,1),1)))&gt;0,"✓ Invoiced","⚠ Due"),""),""))</f>
        <v/>
      </c>
      <c r="J172" s="130" t="str">
        <f aca="false">IF($A172="","",IF((DATE(YEAR($E172),MONTH($E172),1)&lt;=DATE(2026,7,1)),IF((MOD(DATEDIF(DATE(YEAR($E172),MONTH($E172),1),DATE(2026,7,1),"m"),IF($D172="Quarterly",3,IF($D172="Annual",12,1)))=0),IF((COUNTIFS(Xero_Raw!$D$4:$D$5003,$A172,Xero_Raw!$G$4:$G$5003,"*Subscription*",Xero_Raw!$A$4:$A$5003,"&gt;="&amp;DATE(2026,7,1),Xero_Raw!$A$4:$A$5003,"&lt;"&amp;EDATE(DATE(2026,7,1),1))+COUNTIFS(Customer_Invoices_Upload!$E$4:$E$5003,$A172,Customer_Invoices_Upload!$G$4:$G$5003,"*Subscription*",Customer_Invoices_Upload!$B$4:$B$5003,"&gt;="&amp;DATE(2026,7,1),Customer_Invoices_Upload!$B$4:$B$5003,"&lt;"&amp;EDATE(DATE(2026,7,1),1))+COUNTIFS(Stripe_Invoices_Upload!$D$4:$D$5003,$A172,Stripe_Invoices_Upload!$E$4:$E$5003,"*Subscription*",Stripe_Invoices_Upload!$A$4:$A$5003,"&gt;="&amp;DATE(2026,7,1),Stripe_Invoices_Upload!$A$4:$A$5003,"&lt;"&amp;EDATE(DATE(2026,7,1),1)))&gt;0,"✓ Invoiced","⚠ Due"),""),""))</f>
        <v/>
      </c>
      <c r="K172" s="130" t="str">
        <f aca="false">IF($A172="","",IF((DATE(YEAR($E172),MONTH($E172),1)&lt;=DATE(2026,8,1)),IF((MOD(DATEDIF(DATE(YEAR($E172),MONTH($E172),1),DATE(2026,8,1),"m"),IF($D172="Quarterly",3,IF($D172="Annual",12,1)))=0),IF((COUNTIFS(Xero_Raw!$D$4:$D$5003,$A172,Xero_Raw!$G$4:$G$5003,"*Subscription*",Xero_Raw!$A$4:$A$5003,"&gt;="&amp;DATE(2026,8,1),Xero_Raw!$A$4:$A$5003,"&lt;"&amp;EDATE(DATE(2026,8,1),1))+COUNTIFS(Customer_Invoices_Upload!$E$4:$E$5003,$A172,Customer_Invoices_Upload!$G$4:$G$5003,"*Subscription*",Customer_Invoices_Upload!$B$4:$B$5003,"&gt;="&amp;DATE(2026,8,1),Customer_Invoices_Upload!$B$4:$B$5003,"&lt;"&amp;EDATE(DATE(2026,8,1),1))+COUNTIFS(Stripe_Invoices_Upload!$D$4:$D$5003,$A172,Stripe_Invoices_Upload!$E$4:$E$5003,"*Subscription*",Stripe_Invoices_Upload!$A$4:$A$5003,"&gt;="&amp;DATE(2026,8,1),Stripe_Invoices_Upload!$A$4:$A$5003,"&lt;"&amp;EDATE(DATE(2026,8,1),1)))&gt;0,"✓ Invoiced","⚠ Due"),""),""))</f>
        <v/>
      </c>
      <c r="L172" s="130" t="str">
        <f aca="false">IF($A172="","",IF((DATE(YEAR($E172),MONTH($E172),1)&lt;=DATE(2026,9,1)),IF((MOD(DATEDIF(DATE(YEAR($E172),MONTH($E172),1),DATE(2026,9,1),"m"),IF($D172="Quarterly",3,IF($D172="Annual",12,1)))=0),IF((COUNTIFS(Xero_Raw!$D$4:$D$5003,$A172,Xero_Raw!$G$4:$G$5003,"*Subscription*",Xero_Raw!$A$4:$A$5003,"&gt;="&amp;DATE(2026,9,1),Xero_Raw!$A$4:$A$5003,"&lt;"&amp;EDATE(DATE(2026,9,1),1))+COUNTIFS(Customer_Invoices_Upload!$E$4:$E$5003,$A172,Customer_Invoices_Upload!$G$4:$G$5003,"*Subscription*",Customer_Invoices_Upload!$B$4:$B$5003,"&gt;="&amp;DATE(2026,9,1),Customer_Invoices_Upload!$B$4:$B$5003,"&lt;"&amp;EDATE(DATE(2026,9,1),1))+COUNTIFS(Stripe_Invoices_Upload!$D$4:$D$5003,$A172,Stripe_Invoices_Upload!$E$4:$E$5003,"*Subscription*",Stripe_Invoices_Upload!$A$4:$A$5003,"&gt;="&amp;DATE(2026,9,1),Stripe_Invoices_Upload!$A$4:$A$5003,"&lt;"&amp;EDATE(DATE(2026,9,1),1)))&gt;0,"✓ Invoiced","⚠ Due"),""),""))</f>
        <v/>
      </c>
      <c r="M172" s="130" t="str">
        <f aca="false">IF($A172="","",IF((DATE(YEAR($E172),MONTH($E172),1)&lt;=DATE(2026,10,1)),IF((MOD(DATEDIF(DATE(YEAR($E172),MONTH($E172),1),DATE(2026,10,1),"m"),IF($D172="Quarterly",3,IF($D172="Annual",12,1)))=0),IF((COUNTIFS(Xero_Raw!$D$4:$D$5003,$A172,Xero_Raw!$G$4:$G$5003,"*Subscription*",Xero_Raw!$A$4:$A$5003,"&gt;="&amp;DATE(2026,10,1),Xero_Raw!$A$4:$A$5003,"&lt;"&amp;EDATE(DATE(2026,10,1),1))+COUNTIFS(Customer_Invoices_Upload!$E$4:$E$5003,$A172,Customer_Invoices_Upload!$G$4:$G$5003,"*Subscription*",Customer_Invoices_Upload!$B$4:$B$5003,"&gt;="&amp;DATE(2026,10,1),Customer_Invoices_Upload!$B$4:$B$5003,"&lt;"&amp;EDATE(DATE(2026,10,1),1))+COUNTIFS(Stripe_Invoices_Upload!$D$4:$D$5003,$A172,Stripe_Invoices_Upload!$E$4:$E$5003,"*Subscription*",Stripe_Invoices_Upload!$A$4:$A$5003,"&gt;="&amp;DATE(2026,10,1),Stripe_Invoices_Upload!$A$4:$A$5003,"&lt;"&amp;EDATE(DATE(2026,10,1),1)))&gt;0,"✓ Invoiced","⚠ Due"),""),""))</f>
        <v/>
      </c>
      <c r="N172" s="130" t="str">
        <f aca="false">IF($A172="","",IF((DATE(YEAR($E172),MONTH($E172),1)&lt;=DATE(2026,11,1)),IF((MOD(DATEDIF(DATE(YEAR($E172),MONTH($E172),1),DATE(2026,11,1),"m"),IF($D172="Quarterly",3,IF($D172="Annual",12,1)))=0),IF((COUNTIFS(Xero_Raw!$D$4:$D$5003,$A172,Xero_Raw!$G$4:$G$5003,"*Subscription*",Xero_Raw!$A$4:$A$5003,"&gt;="&amp;DATE(2026,11,1),Xero_Raw!$A$4:$A$5003,"&lt;"&amp;EDATE(DATE(2026,11,1),1))+COUNTIFS(Customer_Invoices_Upload!$E$4:$E$5003,$A172,Customer_Invoices_Upload!$G$4:$G$5003,"*Subscription*",Customer_Invoices_Upload!$B$4:$B$5003,"&gt;="&amp;DATE(2026,11,1),Customer_Invoices_Upload!$B$4:$B$5003,"&lt;"&amp;EDATE(DATE(2026,11,1),1))+COUNTIFS(Stripe_Invoices_Upload!$D$4:$D$5003,$A172,Stripe_Invoices_Upload!$E$4:$E$5003,"*Subscription*",Stripe_Invoices_Upload!$A$4:$A$5003,"&gt;="&amp;DATE(2026,11,1),Stripe_Invoices_Upload!$A$4:$A$5003,"&lt;"&amp;EDATE(DATE(2026,11,1),1)))&gt;0,"✓ Invoiced","⚠ Due"),""),""))</f>
        <v/>
      </c>
      <c r="O172" s="130" t="str">
        <f aca="false">IF($A172="","",IF((DATE(YEAR($E172),MONTH($E172),1)&lt;=DATE(2026,12,1)),IF((MOD(DATEDIF(DATE(YEAR($E172),MONTH($E172),1),DATE(2026,12,1),"m"),IF($D172="Quarterly",3,IF($D172="Annual",12,1)))=0),IF((COUNTIFS(Xero_Raw!$D$4:$D$5003,$A172,Xero_Raw!$G$4:$G$5003,"*Subscription*",Xero_Raw!$A$4:$A$5003,"&gt;="&amp;DATE(2026,12,1),Xero_Raw!$A$4:$A$5003,"&lt;"&amp;EDATE(DATE(2026,12,1),1))+COUNTIFS(Customer_Invoices_Upload!$E$4:$E$5003,$A172,Customer_Invoices_Upload!$G$4:$G$5003,"*Subscription*",Customer_Invoices_Upload!$B$4:$B$5003,"&gt;="&amp;DATE(2026,12,1),Customer_Invoices_Upload!$B$4:$B$5003,"&lt;"&amp;EDATE(DATE(2026,12,1),1))+COUNTIFS(Stripe_Invoices_Upload!$D$4:$D$5003,$A172,Stripe_Invoices_Upload!$E$4:$E$5003,"*Subscription*",Stripe_Invoices_Upload!$A$4:$A$5003,"&gt;="&amp;DATE(2026,12,1),Stripe_Invoices_Upload!$A$4:$A$5003,"&lt;"&amp;EDATE(DATE(2026,12,1),1)))&gt;0,"✓ Invoiced","⚠ Due"),""),""))</f>
        <v/>
      </c>
      <c r="P172" s="130" t="str">
        <f aca="false">IF($A172="","",IF((DATE(YEAR($E172),MONTH($E172),1)&lt;=DATE(2027,1,1)),IF((MOD(DATEDIF(DATE(YEAR($E172),MONTH($E172),1),DATE(2027,1,1),"m"),IF($D172="Quarterly",3,IF($D172="Annual",12,1)))=0),IF((COUNTIFS(Xero_Raw!$D$4:$D$5003,$A172,Xero_Raw!$G$4:$G$5003,"*Subscription*",Xero_Raw!$A$4:$A$5003,"&gt;="&amp;DATE(2027,1,1),Xero_Raw!$A$4:$A$5003,"&lt;"&amp;EDATE(DATE(2027,1,1),1))+COUNTIFS(Customer_Invoices_Upload!$E$4:$E$5003,$A172,Customer_Invoices_Upload!$G$4:$G$5003,"*Subscription*",Customer_Invoices_Upload!$B$4:$B$5003,"&gt;="&amp;DATE(2027,1,1),Customer_Invoices_Upload!$B$4:$B$5003,"&lt;"&amp;EDATE(DATE(2027,1,1),1))+COUNTIFS(Stripe_Invoices_Upload!$D$4:$D$5003,$A172,Stripe_Invoices_Upload!$E$4:$E$5003,"*Subscription*",Stripe_Invoices_Upload!$A$4:$A$5003,"&gt;="&amp;DATE(2027,1,1),Stripe_Invoices_Upload!$A$4:$A$5003,"&lt;"&amp;EDATE(DATE(2027,1,1),1)))&gt;0,"✓ Invoiced","⚠ Due"),""),""))</f>
        <v/>
      </c>
      <c r="Q172" s="130" t="str">
        <f aca="false">IF($A172="","",IF((DATE(YEAR($E172),MONTH($E172),1)&lt;=DATE(2027,2,1)),IF((MOD(DATEDIF(DATE(YEAR($E172),MONTH($E172),1),DATE(2027,2,1),"m"),IF($D172="Quarterly",3,IF($D172="Annual",12,1)))=0),IF((COUNTIFS(Xero_Raw!$D$4:$D$5003,$A172,Xero_Raw!$G$4:$G$5003,"*Subscription*",Xero_Raw!$A$4:$A$5003,"&gt;="&amp;DATE(2027,2,1),Xero_Raw!$A$4:$A$5003,"&lt;"&amp;EDATE(DATE(2027,2,1),1))+COUNTIFS(Customer_Invoices_Upload!$E$4:$E$5003,$A172,Customer_Invoices_Upload!$G$4:$G$5003,"*Subscription*",Customer_Invoices_Upload!$B$4:$B$5003,"&gt;="&amp;DATE(2027,2,1),Customer_Invoices_Upload!$B$4:$B$5003,"&lt;"&amp;EDATE(DATE(2027,2,1),1))+COUNTIFS(Stripe_Invoices_Upload!$D$4:$D$5003,$A172,Stripe_Invoices_Upload!$E$4:$E$5003,"*Subscription*",Stripe_Invoices_Upload!$A$4:$A$5003,"&gt;="&amp;DATE(2027,2,1),Stripe_Invoices_Upload!$A$4:$A$5003,"&lt;"&amp;EDATE(DATE(2027,2,1),1)))&gt;0,"✓ Invoiced","⚠ Due"),""),""))</f>
        <v/>
      </c>
      <c r="R172" s="130" t="str">
        <f aca="false">IF($A172="","",IF((DATE(YEAR($E172),MONTH($E172),1)&lt;=DATE(2027,3,1)),IF((MOD(DATEDIF(DATE(YEAR($E172),MONTH($E172),1),DATE(2027,3,1),"m"),IF($D172="Quarterly",3,IF($D172="Annual",12,1)))=0),IF((COUNTIFS(Xero_Raw!$D$4:$D$5003,$A172,Xero_Raw!$G$4:$G$5003,"*Subscription*",Xero_Raw!$A$4:$A$5003,"&gt;="&amp;DATE(2027,3,1),Xero_Raw!$A$4:$A$5003,"&lt;"&amp;EDATE(DATE(2027,3,1),1))+COUNTIFS(Customer_Invoices_Upload!$E$4:$E$5003,$A172,Customer_Invoices_Upload!$G$4:$G$5003,"*Subscription*",Customer_Invoices_Upload!$B$4:$B$5003,"&gt;="&amp;DATE(2027,3,1),Customer_Invoices_Upload!$B$4:$B$5003,"&lt;"&amp;EDATE(DATE(2027,3,1),1))+COUNTIFS(Stripe_Invoices_Upload!$D$4:$D$5003,$A172,Stripe_Invoices_Upload!$E$4:$E$5003,"*Subscription*",Stripe_Invoices_Upload!$A$4:$A$5003,"&gt;="&amp;DATE(2027,3,1),Stripe_Invoices_Upload!$A$4:$A$5003,"&lt;"&amp;EDATE(DATE(2027,3,1),1)))&gt;0,"✓ Invoiced","⚠ Due"),""),""))</f>
        <v/>
      </c>
    </row>
    <row r="173" customFormat="false" ht="15" hidden="false" customHeight="false" outlineLevel="0" collapsed="false">
      <c r="A173" s="39"/>
      <c r="B173" s="39"/>
      <c r="C173" s="40"/>
      <c r="D173" s="39"/>
      <c r="E173" s="38"/>
      <c r="F173" s="129" t="str">
        <f aca="true">IF($A173="","",EDATE($E173,DATEDIF($E173,TODAY(),"m")+1))</f>
        <v/>
      </c>
      <c r="G173" s="130" t="str">
        <f aca="false">IF($A173="","",IF((DATE(YEAR($E173),MONTH($E173),1)&lt;=DATE(2026,4,1)),IF((MOD(DATEDIF(DATE(YEAR($E173),MONTH($E173),1),DATE(2026,4,1),"m"),IF($D173="Quarterly",3,IF($D173="Annual",12,1)))=0),IF((COUNTIFS(Xero_Raw!$D$4:$D$5003,$A173,Xero_Raw!$G$4:$G$5003,"*Subscription*",Xero_Raw!$A$4:$A$5003,"&gt;="&amp;DATE(2026,4,1),Xero_Raw!$A$4:$A$5003,"&lt;"&amp;EDATE(DATE(2026,4,1),1))+COUNTIFS(Customer_Invoices_Upload!$E$4:$E$5003,$A173,Customer_Invoices_Upload!$G$4:$G$5003,"*Subscription*",Customer_Invoices_Upload!$B$4:$B$5003,"&gt;="&amp;DATE(2026,4,1),Customer_Invoices_Upload!$B$4:$B$5003,"&lt;"&amp;EDATE(DATE(2026,4,1),1))+COUNTIFS(Stripe_Invoices_Upload!$D$4:$D$5003,$A173,Stripe_Invoices_Upload!$E$4:$E$5003,"*Subscription*",Stripe_Invoices_Upload!$A$4:$A$5003,"&gt;="&amp;DATE(2026,4,1),Stripe_Invoices_Upload!$A$4:$A$5003,"&lt;"&amp;EDATE(DATE(2026,4,1),1)))&gt;0,"✓ Invoiced","⚠ Due"),""),""))</f>
        <v/>
      </c>
      <c r="H173" s="130" t="str">
        <f aca="false">IF($A173="","",IF((DATE(YEAR($E173),MONTH($E173),1)&lt;=DATE(2026,5,1)),IF((MOD(DATEDIF(DATE(YEAR($E173),MONTH($E173),1),DATE(2026,5,1),"m"),IF($D173="Quarterly",3,IF($D173="Annual",12,1)))=0),IF((COUNTIFS(Xero_Raw!$D$4:$D$5003,$A173,Xero_Raw!$G$4:$G$5003,"*Subscription*",Xero_Raw!$A$4:$A$5003,"&gt;="&amp;DATE(2026,5,1),Xero_Raw!$A$4:$A$5003,"&lt;"&amp;EDATE(DATE(2026,5,1),1))+COUNTIFS(Customer_Invoices_Upload!$E$4:$E$5003,$A173,Customer_Invoices_Upload!$G$4:$G$5003,"*Subscription*",Customer_Invoices_Upload!$B$4:$B$5003,"&gt;="&amp;DATE(2026,5,1),Customer_Invoices_Upload!$B$4:$B$5003,"&lt;"&amp;EDATE(DATE(2026,5,1),1))+COUNTIFS(Stripe_Invoices_Upload!$D$4:$D$5003,$A173,Stripe_Invoices_Upload!$E$4:$E$5003,"*Subscription*",Stripe_Invoices_Upload!$A$4:$A$5003,"&gt;="&amp;DATE(2026,5,1),Stripe_Invoices_Upload!$A$4:$A$5003,"&lt;"&amp;EDATE(DATE(2026,5,1),1)))&gt;0,"✓ Invoiced","⚠ Due"),""),""))</f>
        <v/>
      </c>
      <c r="I173" s="130" t="str">
        <f aca="false">IF($A173="","",IF((DATE(YEAR($E173),MONTH($E173),1)&lt;=DATE(2026,6,1)),IF((MOD(DATEDIF(DATE(YEAR($E173),MONTH($E173),1),DATE(2026,6,1),"m"),IF($D173="Quarterly",3,IF($D173="Annual",12,1)))=0),IF((COUNTIFS(Xero_Raw!$D$4:$D$5003,$A173,Xero_Raw!$G$4:$G$5003,"*Subscription*",Xero_Raw!$A$4:$A$5003,"&gt;="&amp;DATE(2026,6,1),Xero_Raw!$A$4:$A$5003,"&lt;"&amp;EDATE(DATE(2026,6,1),1))+COUNTIFS(Customer_Invoices_Upload!$E$4:$E$5003,$A173,Customer_Invoices_Upload!$G$4:$G$5003,"*Subscription*",Customer_Invoices_Upload!$B$4:$B$5003,"&gt;="&amp;DATE(2026,6,1),Customer_Invoices_Upload!$B$4:$B$5003,"&lt;"&amp;EDATE(DATE(2026,6,1),1))+COUNTIFS(Stripe_Invoices_Upload!$D$4:$D$5003,$A173,Stripe_Invoices_Upload!$E$4:$E$5003,"*Subscription*",Stripe_Invoices_Upload!$A$4:$A$5003,"&gt;="&amp;DATE(2026,6,1),Stripe_Invoices_Upload!$A$4:$A$5003,"&lt;"&amp;EDATE(DATE(2026,6,1),1)))&gt;0,"✓ Invoiced","⚠ Due"),""),""))</f>
        <v/>
      </c>
      <c r="J173" s="130" t="str">
        <f aca="false">IF($A173="","",IF((DATE(YEAR($E173),MONTH($E173),1)&lt;=DATE(2026,7,1)),IF((MOD(DATEDIF(DATE(YEAR($E173),MONTH($E173),1),DATE(2026,7,1),"m"),IF($D173="Quarterly",3,IF($D173="Annual",12,1)))=0),IF((COUNTIFS(Xero_Raw!$D$4:$D$5003,$A173,Xero_Raw!$G$4:$G$5003,"*Subscription*",Xero_Raw!$A$4:$A$5003,"&gt;="&amp;DATE(2026,7,1),Xero_Raw!$A$4:$A$5003,"&lt;"&amp;EDATE(DATE(2026,7,1),1))+COUNTIFS(Customer_Invoices_Upload!$E$4:$E$5003,$A173,Customer_Invoices_Upload!$G$4:$G$5003,"*Subscription*",Customer_Invoices_Upload!$B$4:$B$5003,"&gt;="&amp;DATE(2026,7,1),Customer_Invoices_Upload!$B$4:$B$5003,"&lt;"&amp;EDATE(DATE(2026,7,1),1))+COUNTIFS(Stripe_Invoices_Upload!$D$4:$D$5003,$A173,Stripe_Invoices_Upload!$E$4:$E$5003,"*Subscription*",Stripe_Invoices_Upload!$A$4:$A$5003,"&gt;="&amp;DATE(2026,7,1),Stripe_Invoices_Upload!$A$4:$A$5003,"&lt;"&amp;EDATE(DATE(2026,7,1),1)))&gt;0,"✓ Invoiced","⚠ Due"),""),""))</f>
        <v/>
      </c>
      <c r="K173" s="130" t="str">
        <f aca="false">IF($A173="","",IF((DATE(YEAR($E173),MONTH($E173),1)&lt;=DATE(2026,8,1)),IF((MOD(DATEDIF(DATE(YEAR($E173),MONTH($E173),1),DATE(2026,8,1),"m"),IF($D173="Quarterly",3,IF($D173="Annual",12,1)))=0),IF((COUNTIFS(Xero_Raw!$D$4:$D$5003,$A173,Xero_Raw!$G$4:$G$5003,"*Subscription*",Xero_Raw!$A$4:$A$5003,"&gt;="&amp;DATE(2026,8,1),Xero_Raw!$A$4:$A$5003,"&lt;"&amp;EDATE(DATE(2026,8,1),1))+COUNTIFS(Customer_Invoices_Upload!$E$4:$E$5003,$A173,Customer_Invoices_Upload!$G$4:$G$5003,"*Subscription*",Customer_Invoices_Upload!$B$4:$B$5003,"&gt;="&amp;DATE(2026,8,1),Customer_Invoices_Upload!$B$4:$B$5003,"&lt;"&amp;EDATE(DATE(2026,8,1),1))+COUNTIFS(Stripe_Invoices_Upload!$D$4:$D$5003,$A173,Stripe_Invoices_Upload!$E$4:$E$5003,"*Subscription*",Stripe_Invoices_Upload!$A$4:$A$5003,"&gt;="&amp;DATE(2026,8,1),Stripe_Invoices_Upload!$A$4:$A$5003,"&lt;"&amp;EDATE(DATE(2026,8,1),1)))&gt;0,"✓ Invoiced","⚠ Due"),""),""))</f>
        <v/>
      </c>
      <c r="L173" s="130" t="str">
        <f aca="false">IF($A173="","",IF((DATE(YEAR($E173),MONTH($E173),1)&lt;=DATE(2026,9,1)),IF((MOD(DATEDIF(DATE(YEAR($E173),MONTH($E173),1),DATE(2026,9,1),"m"),IF($D173="Quarterly",3,IF($D173="Annual",12,1)))=0),IF((COUNTIFS(Xero_Raw!$D$4:$D$5003,$A173,Xero_Raw!$G$4:$G$5003,"*Subscription*",Xero_Raw!$A$4:$A$5003,"&gt;="&amp;DATE(2026,9,1),Xero_Raw!$A$4:$A$5003,"&lt;"&amp;EDATE(DATE(2026,9,1),1))+COUNTIFS(Customer_Invoices_Upload!$E$4:$E$5003,$A173,Customer_Invoices_Upload!$G$4:$G$5003,"*Subscription*",Customer_Invoices_Upload!$B$4:$B$5003,"&gt;="&amp;DATE(2026,9,1),Customer_Invoices_Upload!$B$4:$B$5003,"&lt;"&amp;EDATE(DATE(2026,9,1),1))+COUNTIFS(Stripe_Invoices_Upload!$D$4:$D$5003,$A173,Stripe_Invoices_Upload!$E$4:$E$5003,"*Subscription*",Stripe_Invoices_Upload!$A$4:$A$5003,"&gt;="&amp;DATE(2026,9,1),Stripe_Invoices_Upload!$A$4:$A$5003,"&lt;"&amp;EDATE(DATE(2026,9,1),1)))&gt;0,"✓ Invoiced","⚠ Due"),""),""))</f>
        <v/>
      </c>
      <c r="M173" s="130" t="str">
        <f aca="false">IF($A173="","",IF((DATE(YEAR($E173),MONTH($E173),1)&lt;=DATE(2026,10,1)),IF((MOD(DATEDIF(DATE(YEAR($E173),MONTH($E173),1),DATE(2026,10,1),"m"),IF($D173="Quarterly",3,IF($D173="Annual",12,1)))=0),IF((COUNTIFS(Xero_Raw!$D$4:$D$5003,$A173,Xero_Raw!$G$4:$G$5003,"*Subscription*",Xero_Raw!$A$4:$A$5003,"&gt;="&amp;DATE(2026,10,1),Xero_Raw!$A$4:$A$5003,"&lt;"&amp;EDATE(DATE(2026,10,1),1))+COUNTIFS(Customer_Invoices_Upload!$E$4:$E$5003,$A173,Customer_Invoices_Upload!$G$4:$G$5003,"*Subscription*",Customer_Invoices_Upload!$B$4:$B$5003,"&gt;="&amp;DATE(2026,10,1),Customer_Invoices_Upload!$B$4:$B$5003,"&lt;"&amp;EDATE(DATE(2026,10,1),1))+COUNTIFS(Stripe_Invoices_Upload!$D$4:$D$5003,$A173,Stripe_Invoices_Upload!$E$4:$E$5003,"*Subscription*",Stripe_Invoices_Upload!$A$4:$A$5003,"&gt;="&amp;DATE(2026,10,1),Stripe_Invoices_Upload!$A$4:$A$5003,"&lt;"&amp;EDATE(DATE(2026,10,1),1)))&gt;0,"✓ Invoiced","⚠ Due"),""),""))</f>
        <v/>
      </c>
      <c r="N173" s="130" t="str">
        <f aca="false">IF($A173="","",IF((DATE(YEAR($E173),MONTH($E173),1)&lt;=DATE(2026,11,1)),IF((MOD(DATEDIF(DATE(YEAR($E173),MONTH($E173),1),DATE(2026,11,1),"m"),IF($D173="Quarterly",3,IF($D173="Annual",12,1)))=0),IF((COUNTIFS(Xero_Raw!$D$4:$D$5003,$A173,Xero_Raw!$G$4:$G$5003,"*Subscription*",Xero_Raw!$A$4:$A$5003,"&gt;="&amp;DATE(2026,11,1),Xero_Raw!$A$4:$A$5003,"&lt;"&amp;EDATE(DATE(2026,11,1),1))+COUNTIFS(Customer_Invoices_Upload!$E$4:$E$5003,$A173,Customer_Invoices_Upload!$G$4:$G$5003,"*Subscription*",Customer_Invoices_Upload!$B$4:$B$5003,"&gt;="&amp;DATE(2026,11,1),Customer_Invoices_Upload!$B$4:$B$5003,"&lt;"&amp;EDATE(DATE(2026,11,1),1))+COUNTIFS(Stripe_Invoices_Upload!$D$4:$D$5003,$A173,Stripe_Invoices_Upload!$E$4:$E$5003,"*Subscription*",Stripe_Invoices_Upload!$A$4:$A$5003,"&gt;="&amp;DATE(2026,11,1),Stripe_Invoices_Upload!$A$4:$A$5003,"&lt;"&amp;EDATE(DATE(2026,11,1),1)))&gt;0,"✓ Invoiced","⚠ Due"),""),""))</f>
        <v/>
      </c>
      <c r="O173" s="130" t="str">
        <f aca="false">IF($A173="","",IF((DATE(YEAR($E173),MONTH($E173),1)&lt;=DATE(2026,12,1)),IF((MOD(DATEDIF(DATE(YEAR($E173),MONTH($E173),1),DATE(2026,12,1),"m"),IF($D173="Quarterly",3,IF($D173="Annual",12,1)))=0),IF((COUNTIFS(Xero_Raw!$D$4:$D$5003,$A173,Xero_Raw!$G$4:$G$5003,"*Subscription*",Xero_Raw!$A$4:$A$5003,"&gt;="&amp;DATE(2026,12,1),Xero_Raw!$A$4:$A$5003,"&lt;"&amp;EDATE(DATE(2026,12,1),1))+COUNTIFS(Customer_Invoices_Upload!$E$4:$E$5003,$A173,Customer_Invoices_Upload!$G$4:$G$5003,"*Subscription*",Customer_Invoices_Upload!$B$4:$B$5003,"&gt;="&amp;DATE(2026,12,1),Customer_Invoices_Upload!$B$4:$B$5003,"&lt;"&amp;EDATE(DATE(2026,12,1),1))+COUNTIFS(Stripe_Invoices_Upload!$D$4:$D$5003,$A173,Stripe_Invoices_Upload!$E$4:$E$5003,"*Subscription*",Stripe_Invoices_Upload!$A$4:$A$5003,"&gt;="&amp;DATE(2026,12,1),Stripe_Invoices_Upload!$A$4:$A$5003,"&lt;"&amp;EDATE(DATE(2026,12,1),1)))&gt;0,"✓ Invoiced","⚠ Due"),""),""))</f>
        <v/>
      </c>
      <c r="P173" s="130" t="str">
        <f aca="false">IF($A173="","",IF((DATE(YEAR($E173),MONTH($E173),1)&lt;=DATE(2027,1,1)),IF((MOD(DATEDIF(DATE(YEAR($E173),MONTH($E173),1),DATE(2027,1,1),"m"),IF($D173="Quarterly",3,IF($D173="Annual",12,1)))=0),IF((COUNTIFS(Xero_Raw!$D$4:$D$5003,$A173,Xero_Raw!$G$4:$G$5003,"*Subscription*",Xero_Raw!$A$4:$A$5003,"&gt;="&amp;DATE(2027,1,1),Xero_Raw!$A$4:$A$5003,"&lt;"&amp;EDATE(DATE(2027,1,1),1))+COUNTIFS(Customer_Invoices_Upload!$E$4:$E$5003,$A173,Customer_Invoices_Upload!$G$4:$G$5003,"*Subscription*",Customer_Invoices_Upload!$B$4:$B$5003,"&gt;="&amp;DATE(2027,1,1),Customer_Invoices_Upload!$B$4:$B$5003,"&lt;"&amp;EDATE(DATE(2027,1,1),1))+COUNTIFS(Stripe_Invoices_Upload!$D$4:$D$5003,$A173,Stripe_Invoices_Upload!$E$4:$E$5003,"*Subscription*",Stripe_Invoices_Upload!$A$4:$A$5003,"&gt;="&amp;DATE(2027,1,1),Stripe_Invoices_Upload!$A$4:$A$5003,"&lt;"&amp;EDATE(DATE(2027,1,1),1)))&gt;0,"✓ Invoiced","⚠ Due"),""),""))</f>
        <v/>
      </c>
      <c r="Q173" s="130" t="str">
        <f aca="false">IF($A173="","",IF((DATE(YEAR($E173),MONTH($E173),1)&lt;=DATE(2027,2,1)),IF((MOD(DATEDIF(DATE(YEAR($E173),MONTH($E173),1),DATE(2027,2,1),"m"),IF($D173="Quarterly",3,IF($D173="Annual",12,1)))=0),IF((COUNTIFS(Xero_Raw!$D$4:$D$5003,$A173,Xero_Raw!$G$4:$G$5003,"*Subscription*",Xero_Raw!$A$4:$A$5003,"&gt;="&amp;DATE(2027,2,1),Xero_Raw!$A$4:$A$5003,"&lt;"&amp;EDATE(DATE(2027,2,1),1))+COUNTIFS(Customer_Invoices_Upload!$E$4:$E$5003,$A173,Customer_Invoices_Upload!$G$4:$G$5003,"*Subscription*",Customer_Invoices_Upload!$B$4:$B$5003,"&gt;="&amp;DATE(2027,2,1),Customer_Invoices_Upload!$B$4:$B$5003,"&lt;"&amp;EDATE(DATE(2027,2,1),1))+COUNTIFS(Stripe_Invoices_Upload!$D$4:$D$5003,$A173,Stripe_Invoices_Upload!$E$4:$E$5003,"*Subscription*",Stripe_Invoices_Upload!$A$4:$A$5003,"&gt;="&amp;DATE(2027,2,1),Stripe_Invoices_Upload!$A$4:$A$5003,"&lt;"&amp;EDATE(DATE(2027,2,1),1)))&gt;0,"✓ Invoiced","⚠ Due"),""),""))</f>
        <v/>
      </c>
      <c r="R173" s="130" t="str">
        <f aca="false">IF($A173="","",IF((DATE(YEAR($E173),MONTH($E173),1)&lt;=DATE(2027,3,1)),IF((MOD(DATEDIF(DATE(YEAR($E173),MONTH($E173),1),DATE(2027,3,1),"m"),IF($D173="Quarterly",3,IF($D173="Annual",12,1)))=0),IF((COUNTIFS(Xero_Raw!$D$4:$D$5003,$A173,Xero_Raw!$G$4:$G$5003,"*Subscription*",Xero_Raw!$A$4:$A$5003,"&gt;="&amp;DATE(2027,3,1),Xero_Raw!$A$4:$A$5003,"&lt;"&amp;EDATE(DATE(2027,3,1),1))+COUNTIFS(Customer_Invoices_Upload!$E$4:$E$5003,$A173,Customer_Invoices_Upload!$G$4:$G$5003,"*Subscription*",Customer_Invoices_Upload!$B$4:$B$5003,"&gt;="&amp;DATE(2027,3,1),Customer_Invoices_Upload!$B$4:$B$5003,"&lt;"&amp;EDATE(DATE(2027,3,1),1))+COUNTIFS(Stripe_Invoices_Upload!$D$4:$D$5003,$A173,Stripe_Invoices_Upload!$E$4:$E$5003,"*Subscription*",Stripe_Invoices_Upload!$A$4:$A$5003,"&gt;="&amp;DATE(2027,3,1),Stripe_Invoices_Upload!$A$4:$A$5003,"&lt;"&amp;EDATE(DATE(2027,3,1),1)))&gt;0,"✓ Invoiced","⚠ Due"),""),""))</f>
        <v/>
      </c>
    </row>
    <row r="174" customFormat="false" ht="15" hidden="false" customHeight="false" outlineLevel="0" collapsed="false">
      <c r="A174" s="39"/>
      <c r="B174" s="39"/>
      <c r="C174" s="40"/>
      <c r="D174" s="39"/>
      <c r="E174" s="38"/>
      <c r="F174" s="129" t="str">
        <f aca="true">IF($A174="","",EDATE($E174,DATEDIF($E174,TODAY(),"m")+1))</f>
        <v/>
      </c>
      <c r="G174" s="130" t="str">
        <f aca="false">IF($A174="","",IF((DATE(YEAR($E174),MONTH($E174),1)&lt;=DATE(2026,4,1)),IF((MOD(DATEDIF(DATE(YEAR($E174),MONTH($E174),1),DATE(2026,4,1),"m"),IF($D174="Quarterly",3,IF($D174="Annual",12,1)))=0),IF((COUNTIFS(Xero_Raw!$D$4:$D$5003,$A174,Xero_Raw!$G$4:$G$5003,"*Subscription*",Xero_Raw!$A$4:$A$5003,"&gt;="&amp;DATE(2026,4,1),Xero_Raw!$A$4:$A$5003,"&lt;"&amp;EDATE(DATE(2026,4,1),1))+COUNTIFS(Customer_Invoices_Upload!$E$4:$E$5003,$A174,Customer_Invoices_Upload!$G$4:$G$5003,"*Subscription*",Customer_Invoices_Upload!$B$4:$B$5003,"&gt;="&amp;DATE(2026,4,1),Customer_Invoices_Upload!$B$4:$B$5003,"&lt;"&amp;EDATE(DATE(2026,4,1),1))+COUNTIFS(Stripe_Invoices_Upload!$D$4:$D$5003,$A174,Stripe_Invoices_Upload!$E$4:$E$5003,"*Subscription*",Stripe_Invoices_Upload!$A$4:$A$5003,"&gt;="&amp;DATE(2026,4,1),Stripe_Invoices_Upload!$A$4:$A$5003,"&lt;"&amp;EDATE(DATE(2026,4,1),1)))&gt;0,"✓ Invoiced","⚠ Due"),""),""))</f>
        <v/>
      </c>
      <c r="H174" s="130" t="str">
        <f aca="false">IF($A174="","",IF((DATE(YEAR($E174),MONTH($E174),1)&lt;=DATE(2026,5,1)),IF((MOD(DATEDIF(DATE(YEAR($E174),MONTH($E174),1),DATE(2026,5,1),"m"),IF($D174="Quarterly",3,IF($D174="Annual",12,1)))=0),IF((COUNTIFS(Xero_Raw!$D$4:$D$5003,$A174,Xero_Raw!$G$4:$G$5003,"*Subscription*",Xero_Raw!$A$4:$A$5003,"&gt;="&amp;DATE(2026,5,1),Xero_Raw!$A$4:$A$5003,"&lt;"&amp;EDATE(DATE(2026,5,1),1))+COUNTIFS(Customer_Invoices_Upload!$E$4:$E$5003,$A174,Customer_Invoices_Upload!$G$4:$G$5003,"*Subscription*",Customer_Invoices_Upload!$B$4:$B$5003,"&gt;="&amp;DATE(2026,5,1),Customer_Invoices_Upload!$B$4:$B$5003,"&lt;"&amp;EDATE(DATE(2026,5,1),1))+COUNTIFS(Stripe_Invoices_Upload!$D$4:$D$5003,$A174,Stripe_Invoices_Upload!$E$4:$E$5003,"*Subscription*",Stripe_Invoices_Upload!$A$4:$A$5003,"&gt;="&amp;DATE(2026,5,1),Stripe_Invoices_Upload!$A$4:$A$5003,"&lt;"&amp;EDATE(DATE(2026,5,1),1)))&gt;0,"✓ Invoiced","⚠ Due"),""),""))</f>
        <v/>
      </c>
      <c r="I174" s="130" t="str">
        <f aca="false">IF($A174="","",IF((DATE(YEAR($E174),MONTH($E174),1)&lt;=DATE(2026,6,1)),IF((MOD(DATEDIF(DATE(YEAR($E174),MONTH($E174),1),DATE(2026,6,1),"m"),IF($D174="Quarterly",3,IF($D174="Annual",12,1)))=0),IF((COUNTIFS(Xero_Raw!$D$4:$D$5003,$A174,Xero_Raw!$G$4:$G$5003,"*Subscription*",Xero_Raw!$A$4:$A$5003,"&gt;="&amp;DATE(2026,6,1),Xero_Raw!$A$4:$A$5003,"&lt;"&amp;EDATE(DATE(2026,6,1),1))+COUNTIFS(Customer_Invoices_Upload!$E$4:$E$5003,$A174,Customer_Invoices_Upload!$G$4:$G$5003,"*Subscription*",Customer_Invoices_Upload!$B$4:$B$5003,"&gt;="&amp;DATE(2026,6,1),Customer_Invoices_Upload!$B$4:$B$5003,"&lt;"&amp;EDATE(DATE(2026,6,1),1))+COUNTIFS(Stripe_Invoices_Upload!$D$4:$D$5003,$A174,Stripe_Invoices_Upload!$E$4:$E$5003,"*Subscription*",Stripe_Invoices_Upload!$A$4:$A$5003,"&gt;="&amp;DATE(2026,6,1),Stripe_Invoices_Upload!$A$4:$A$5003,"&lt;"&amp;EDATE(DATE(2026,6,1),1)))&gt;0,"✓ Invoiced","⚠ Due"),""),""))</f>
        <v/>
      </c>
      <c r="J174" s="130" t="str">
        <f aca="false">IF($A174="","",IF((DATE(YEAR($E174),MONTH($E174),1)&lt;=DATE(2026,7,1)),IF((MOD(DATEDIF(DATE(YEAR($E174),MONTH($E174),1),DATE(2026,7,1),"m"),IF($D174="Quarterly",3,IF($D174="Annual",12,1)))=0),IF((COUNTIFS(Xero_Raw!$D$4:$D$5003,$A174,Xero_Raw!$G$4:$G$5003,"*Subscription*",Xero_Raw!$A$4:$A$5003,"&gt;="&amp;DATE(2026,7,1),Xero_Raw!$A$4:$A$5003,"&lt;"&amp;EDATE(DATE(2026,7,1),1))+COUNTIFS(Customer_Invoices_Upload!$E$4:$E$5003,$A174,Customer_Invoices_Upload!$G$4:$G$5003,"*Subscription*",Customer_Invoices_Upload!$B$4:$B$5003,"&gt;="&amp;DATE(2026,7,1),Customer_Invoices_Upload!$B$4:$B$5003,"&lt;"&amp;EDATE(DATE(2026,7,1),1))+COUNTIFS(Stripe_Invoices_Upload!$D$4:$D$5003,$A174,Stripe_Invoices_Upload!$E$4:$E$5003,"*Subscription*",Stripe_Invoices_Upload!$A$4:$A$5003,"&gt;="&amp;DATE(2026,7,1),Stripe_Invoices_Upload!$A$4:$A$5003,"&lt;"&amp;EDATE(DATE(2026,7,1),1)))&gt;0,"✓ Invoiced","⚠ Due"),""),""))</f>
        <v/>
      </c>
      <c r="K174" s="130" t="str">
        <f aca="false">IF($A174="","",IF((DATE(YEAR($E174),MONTH($E174),1)&lt;=DATE(2026,8,1)),IF((MOD(DATEDIF(DATE(YEAR($E174),MONTH($E174),1),DATE(2026,8,1),"m"),IF($D174="Quarterly",3,IF($D174="Annual",12,1)))=0),IF((COUNTIFS(Xero_Raw!$D$4:$D$5003,$A174,Xero_Raw!$G$4:$G$5003,"*Subscription*",Xero_Raw!$A$4:$A$5003,"&gt;="&amp;DATE(2026,8,1),Xero_Raw!$A$4:$A$5003,"&lt;"&amp;EDATE(DATE(2026,8,1),1))+COUNTIFS(Customer_Invoices_Upload!$E$4:$E$5003,$A174,Customer_Invoices_Upload!$G$4:$G$5003,"*Subscription*",Customer_Invoices_Upload!$B$4:$B$5003,"&gt;="&amp;DATE(2026,8,1),Customer_Invoices_Upload!$B$4:$B$5003,"&lt;"&amp;EDATE(DATE(2026,8,1),1))+COUNTIFS(Stripe_Invoices_Upload!$D$4:$D$5003,$A174,Stripe_Invoices_Upload!$E$4:$E$5003,"*Subscription*",Stripe_Invoices_Upload!$A$4:$A$5003,"&gt;="&amp;DATE(2026,8,1),Stripe_Invoices_Upload!$A$4:$A$5003,"&lt;"&amp;EDATE(DATE(2026,8,1),1)))&gt;0,"✓ Invoiced","⚠ Due"),""),""))</f>
        <v/>
      </c>
      <c r="L174" s="130" t="str">
        <f aca="false">IF($A174="","",IF((DATE(YEAR($E174),MONTH($E174),1)&lt;=DATE(2026,9,1)),IF((MOD(DATEDIF(DATE(YEAR($E174),MONTH($E174),1),DATE(2026,9,1),"m"),IF($D174="Quarterly",3,IF($D174="Annual",12,1)))=0),IF((COUNTIFS(Xero_Raw!$D$4:$D$5003,$A174,Xero_Raw!$G$4:$G$5003,"*Subscription*",Xero_Raw!$A$4:$A$5003,"&gt;="&amp;DATE(2026,9,1),Xero_Raw!$A$4:$A$5003,"&lt;"&amp;EDATE(DATE(2026,9,1),1))+COUNTIFS(Customer_Invoices_Upload!$E$4:$E$5003,$A174,Customer_Invoices_Upload!$G$4:$G$5003,"*Subscription*",Customer_Invoices_Upload!$B$4:$B$5003,"&gt;="&amp;DATE(2026,9,1),Customer_Invoices_Upload!$B$4:$B$5003,"&lt;"&amp;EDATE(DATE(2026,9,1),1))+COUNTIFS(Stripe_Invoices_Upload!$D$4:$D$5003,$A174,Stripe_Invoices_Upload!$E$4:$E$5003,"*Subscription*",Stripe_Invoices_Upload!$A$4:$A$5003,"&gt;="&amp;DATE(2026,9,1),Stripe_Invoices_Upload!$A$4:$A$5003,"&lt;"&amp;EDATE(DATE(2026,9,1),1)))&gt;0,"✓ Invoiced","⚠ Due"),""),""))</f>
        <v/>
      </c>
      <c r="M174" s="130" t="str">
        <f aca="false">IF($A174="","",IF((DATE(YEAR($E174),MONTH($E174),1)&lt;=DATE(2026,10,1)),IF((MOD(DATEDIF(DATE(YEAR($E174),MONTH($E174),1),DATE(2026,10,1),"m"),IF($D174="Quarterly",3,IF($D174="Annual",12,1)))=0),IF((COUNTIFS(Xero_Raw!$D$4:$D$5003,$A174,Xero_Raw!$G$4:$G$5003,"*Subscription*",Xero_Raw!$A$4:$A$5003,"&gt;="&amp;DATE(2026,10,1),Xero_Raw!$A$4:$A$5003,"&lt;"&amp;EDATE(DATE(2026,10,1),1))+COUNTIFS(Customer_Invoices_Upload!$E$4:$E$5003,$A174,Customer_Invoices_Upload!$G$4:$G$5003,"*Subscription*",Customer_Invoices_Upload!$B$4:$B$5003,"&gt;="&amp;DATE(2026,10,1),Customer_Invoices_Upload!$B$4:$B$5003,"&lt;"&amp;EDATE(DATE(2026,10,1),1))+COUNTIFS(Stripe_Invoices_Upload!$D$4:$D$5003,$A174,Stripe_Invoices_Upload!$E$4:$E$5003,"*Subscription*",Stripe_Invoices_Upload!$A$4:$A$5003,"&gt;="&amp;DATE(2026,10,1),Stripe_Invoices_Upload!$A$4:$A$5003,"&lt;"&amp;EDATE(DATE(2026,10,1),1)))&gt;0,"✓ Invoiced","⚠ Due"),""),""))</f>
        <v/>
      </c>
      <c r="N174" s="130" t="str">
        <f aca="false">IF($A174="","",IF((DATE(YEAR($E174),MONTH($E174),1)&lt;=DATE(2026,11,1)),IF((MOD(DATEDIF(DATE(YEAR($E174),MONTH($E174),1),DATE(2026,11,1),"m"),IF($D174="Quarterly",3,IF($D174="Annual",12,1)))=0),IF((COUNTIFS(Xero_Raw!$D$4:$D$5003,$A174,Xero_Raw!$G$4:$G$5003,"*Subscription*",Xero_Raw!$A$4:$A$5003,"&gt;="&amp;DATE(2026,11,1),Xero_Raw!$A$4:$A$5003,"&lt;"&amp;EDATE(DATE(2026,11,1),1))+COUNTIFS(Customer_Invoices_Upload!$E$4:$E$5003,$A174,Customer_Invoices_Upload!$G$4:$G$5003,"*Subscription*",Customer_Invoices_Upload!$B$4:$B$5003,"&gt;="&amp;DATE(2026,11,1),Customer_Invoices_Upload!$B$4:$B$5003,"&lt;"&amp;EDATE(DATE(2026,11,1),1))+COUNTIFS(Stripe_Invoices_Upload!$D$4:$D$5003,$A174,Stripe_Invoices_Upload!$E$4:$E$5003,"*Subscription*",Stripe_Invoices_Upload!$A$4:$A$5003,"&gt;="&amp;DATE(2026,11,1),Stripe_Invoices_Upload!$A$4:$A$5003,"&lt;"&amp;EDATE(DATE(2026,11,1),1)))&gt;0,"✓ Invoiced","⚠ Due"),""),""))</f>
        <v/>
      </c>
      <c r="O174" s="130" t="str">
        <f aca="false">IF($A174="","",IF((DATE(YEAR($E174),MONTH($E174),1)&lt;=DATE(2026,12,1)),IF((MOD(DATEDIF(DATE(YEAR($E174),MONTH($E174),1),DATE(2026,12,1),"m"),IF($D174="Quarterly",3,IF($D174="Annual",12,1)))=0),IF((COUNTIFS(Xero_Raw!$D$4:$D$5003,$A174,Xero_Raw!$G$4:$G$5003,"*Subscription*",Xero_Raw!$A$4:$A$5003,"&gt;="&amp;DATE(2026,12,1),Xero_Raw!$A$4:$A$5003,"&lt;"&amp;EDATE(DATE(2026,12,1),1))+COUNTIFS(Customer_Invoices_Upload!$E$4:$E$5003,$A174,Customer_Invoices_Upload!$G$4:$G$5003,"*Subscription*",Customer_Invoices_Upload!$B$4:$B$5003,"&gt;="&amp;DATE(2026,12,1),Customer_Invoices_Upload!$B$4:$B$5003,"&lt;"&amp;EDATE(DATE(2026,12,1),1))+COUNTIFS(Stripe_Invoices_Upload!$D$4:$D$5003,$A174,Stripe_Invoices_Upload!$E$4:$E$5003,"*Subscription*",Stripe_Invoices_Upload!$A$4:$A$5003,"&gt;="&amp;DATE(2026,12,1),Stripe_Invoices_Upload!$A$4:$A$5003,"&lt;"&amp;EDATE(DATE(2026,12,1),1)))&gt;0,"✓ Invoiced","⚠ Due"),""),""))</f>
        <v/>
      </c>
      <c r="P174" s="130" t="str">
        <f aca="false">IF($A174="","",IF((DATE(YEAR($E174),MONTH($E174),1)&lt;=DATE(2027,1,1)),IF((MOD(DATEDIF(DATE(YEAR($E174),MONTH($E174),1),DATE(2027,1,1),"m"),IF($D174="Quarterly",3,IF($D174="Annual",12,1)))=0),IF((COUNTIFS(Xero_Raw!$D$4:$D$5003,$A174,Xero_Raw!$G$4:$G$5003,"*Subscription*",Xero_Raw!$A$4:$A$5003,"&gt;="&amp;DATE(2027,1,1),Xero_Raw!$A$4:$A$5003,"&lt;"&amp;EDATE(DATE(2027,1,1),1))+COUNTIFS(Customer_Invoices_Upload!$E$4:$E$5003,$A174,Customer_Invoices_Upload!$G$4:$G$5003,"*Subscription*",Customer_Invoices_Upload!$B$4:$B$5003,"&gt;="&amp;DATE(2027,1,1),Customer_Invoices_Upload!$B$4:$B$5003,"&lt;"&amp;EDATE(DATE(2027,1,1),1))+COUNTIFS(Stripe_Invoices_Upload!$D$4:$D$5003,$A174,Stripe_Invoices_Upload!$E$4:$E$5003,"*Subscription*",Stripe_Invoices_Upload!$A$4:$A$5003,"&gt;="&amp;DATE(2027,1,1),Stripe_Invoices_Upload!$A$4:$A$5003,"&lt;"&amp;EDATE(DATE(2027,1,1),1)))&gt;0,"✓ Invoiced","⚠ Due"),""),""))</f>
        <v/>
      </c>
      <c r="Q174" s="130" t="str">
        <f aca="false">IF($A174="","",IF((DATE(YEAR($E174),MONTH($E174),1)&lt;=DATE(2027,2,1)),IF((MOD(DATEDIF(DATE(YEAR($E174),MONTH($E174),1),DATE(2027,2,1),"m"),IF($D174="Quarterly",3,IF($D174="Annual",12,1)))=0),IF((COUNTIFS(Xero_Raw!$D$4:$D$5003,$A174,Xero_Raw!$G$4:$G$5003,"*Subscription*",Xero_Raw!$A$4:$A$5003,"&gt;="&amp;DATE(2027,2,1),Xero_Raw!$A$4:$A$5003,"&lt;"&amp;EDATE(DATE(2027,2,1),1))+COUNTIFS(Customer_Invoices_Upload!$E$4:$E$5003,$A174,Customer_Invoices_Upload!$G$4:$G$5003,"*Subscription*",Customer_Invoices_Upload!$B$4:$B$5003,"&gt;="&amp;DATE(2027,2,1),Customer_Invoices_Upload!$B$4:$B$5003,"&lt;"&amp;EDATE(DATE(2027,2,1),1))+COUNTIFS(Stripe_Invoices_Upload!$D$4:$D$5003,$A174,Stripe_Invoices_Upload!$E$4:$E$5003,"*Subscription*",Stripe_Invoices_Upload!$A$4:$A$5003,"&gt;="&amp;DATE(2027,2,1),Stripe_Invoices_Upload!$A$4:$A$5003,"&lt;"&amp;EDATE(DATE(2027,2,1),1)))&gt;0,"✓ Invoiced","⚠ Due"),""),""))</f>
        <v/>
      </c>
      <c r="R174" s="130" t="str">
        <f aca="false">IF($A174="","",IF((DATE(YEAR($E174),MONTH($E174),1)&lt;=DATE(2027,3,1)),IF((MOD(DATEDIF(DATE(YEAR($E174),MONTH($E174),1),DATE(2027,3,1),"m"),IF($D174="Quarterly",3,IF($D174="Annual",12,1)))=0),IF((COUNTIFS(Xero_Raw!$D$4:$D$5003,$A174,Xero_Raw!$G$4:$G$5003,"*Subscription*",Xero_Raw!$A$4:$A$5003,"&gt;="&amp;DATE(2027,3,1),Xero_Raw!$A$4:$A$5003,"&lt;"&amp;EDATE(DATE(2027,3,1),1))+COUNTIFS(Customer_Invoices_Upload!$E$4:$E$5003,$A174,Customer_Invoices_Upload!$G$4:$G$5003,"*Subscription*",Customer_Invoices_Upload!$B$4:$B$5003,"&gt;="&amp;DATE(2027,3,1),Customer_Invoices_Upload!$B$4:$B$5003,"&lt;"&amp;EDATE(DATE(2027,3,1),1))+COUNTIFS(Stripe_Invoices_Upload!$D$4:$D$5003,$A174,Stripe_Invoices_Upload!$E$4:$E$5003,"*Subscription*",Stripe_Invoices_Upload!$A$4:$A$5003,"&gt;="&amp;DATE(2027,3,1),Stripe_Invoices_Upload!$A$4:$A$5003,"&lt;"&amp;EDATE(DATE(2027,3,1),1)))&gt;0,"✓ Invoiced","⚠ Due"),""),""))</f>
        <v/>
      </c>
    </row>
    <row r="175" customFormat="false" ht="15" hidden="false" customHeight="false" outlineLevel="0" collapsed="false">
      <c r="A175" s="39"/>
      <c r="B175" s="39"/>
      <c r="C175" s="40"/>
      <c r="D175" s="39"/>
      <c r="E175" s="38"/>
      <c r="F175" s="129" t="str">
        <f aca="true">IF($A175="","",EDATE($E175,DATEDIF($E175,TODAY(),"m")+1))</f>
        <v/>
      </c>
      <c r="G175" s="130" t="str">
        <f aca="false">IF($A175="","",IF((DATE(YEAR($E175),MONTH($E175),1)&lt;=DATE(2026,4,1)),IF((MOD(DATEDIF(DATE(YEAR($E175),MONTH($E175),1),DATE(2026,4,1),"m"),IF($D175="Quarterly",3,IF($D175="Annual",12,1)))=0),IF((COUNTIFS(Xero_Raw!$D$4:$D$5003,$A175,Xero_Raw!$G$4:$G$5003,"*Subscription*",Xero_Raw!$A$4:$A$5003,"&gt;="&amp;DATE(2026,4,1),Xero_Raw!$A$4:$A$5003,"&lt;"&amp;EDATE(DATE(2026,4,1),1))+COUNTIFS(Customer_Invoices_Upload!$E$4:$E$5003,$A175,Customer_Invoices_Upload!$G$4:$G$5003,"*Subscription*",Customer_Invoices_Upload!$B$4:$B$5003,"&gt;="&amp;DATE(2026,4,1),Customer_Invoices_Upload!$B$4:$B$5003,"&lt;"&amp;EDATE(DATE(2026,4,1),1))+COUNTIFS(Stripe_Invoices_Upload!$D$4:$D$5003,$A175,Stripe_Invoices_Upload!$E$4:$E$5003,"*Subscription*",Stripe_Invoices_Upload!$A$4:$A$5003,"&gt;="&amp;DATE(2026,4,1),Stripe_Invoices_Upload!$A$4:$A$5003,"&lt;"&amp;EDATE(DATE(2026,4,1),1)))&gt;0,"✓ Invoiced","⚠ Due"),""),""))</f>
        <v/>
      </c>
      <c r="H175" s="130" t="str">
        <f aca="false">IF($A175="","",IF((DATE(YEAR($E175),MONTH($E175),1)&lt;=DATE(2026,5,1)),IF((MOD(DATEDIF(DATE(YEAR($E175),MONTH($E175),1),DATE(2026,5,1),"m"),IF($D175="Quarterly",3,IF($D175="Annual",12,1)))=0),IF((COUNTIFS(Xero_Raw!$D$4:$D$5003,$A175,Xero_Raw!$G$4:$G$5003,"*Subscription*",Xero_Raw!$A$4:$A$5003,"&gt;="&amp;DATE(2026,5,1),Xero_Raw!$A$4:$A$5003,"&lt;"&amp;EDATE(DATE(2026,5,1),1))+COUNTIFS(Customer_Invoices_Upload!$E$4:$E$5003,$A175,Customer_Invoices_Upload!$G$4:$G$5003,"*Subscription*",Customer_Invoices_Upload!$B$4:$B$5003,"&gt;="&amp;DATE(2026,5,1),Customer_Invoices_Upload!$B$4:$B$5003,"&lt;"&amp;EDATE(DATE(2026,5,1),1))+COUNTIFS(Stripe_Invoices_Upload!$D$4:$D$5003,$A175,Stripe_Invoices_Upload!$E$4:$E$5003,"*Subscription*",Stripe_Invoices_Upload!$A$4:$A$5003,"&gt;="&amp;DATE(2026,5,1),Stripe_Invoices_Upload!$A$4:$A$5003,"&lt;"&amp;EDATE(DATE(2026,5,1),1)))&gt;0,"✓ Invoiced","⚠ Due"),""),""))</f>
        <v/>
      </c>
      <c r="I175" s="130" t="str">
        <f aca="false">IF($A175="","",IF((DATE(YEAR($E175),MONTH($E175),1)&lt;=DATE(2026,6,1)),IF((MOD(DATEDIF(DATE(YEAR($E175),MONTH($E175),1),DATE(2026,6,1),"m"),IF($D175="Quarterly",3,IF($D175="Annual",12,1)))=0),IF((COUNTIFS(Xero_Raw!$D$4:$D$5003,$A175,Xero_Raw!$G$4:$G$5003,"*Subscription*",Xero_Raw!$A$4:$A$5003,"&gt;="&amp;DATE(2026,6,1),Xero_Raw!$A$4:$A$5003,"&lt;"&amp;EDATE(DATE(2026,6,1),1))+COUNTIFS(Customer_Invoices_Upload!$E$4:$E$5003,$A175,Customer_Invoices_Upload!$G$4:$G$5003,"*Subscription*",Customer_Invoices_Upload!$B$4:$B$5003,"&gt;="&amp;DATE(2026,6,1),Customer_Invoices_Upload!$B$4:$B$5003,"&lt;"&amp;EDATE(DATE(2026,6,1),1))+COUNTIFS(Stripe_Invoices_Upload!$D$4:$D$5003,$A175,Stripe_Invoices_Upload!$E$4:$E$5003,"*Subscription*",Stripe_Invoices_Upload!$A$4:$A$5003,"&gt;="&amp;DATE(2026,6,1),Stripe_Invoices_Upload!$A$4:$A$5003,"&lt;"&amp;EDATE(DATE(2026,6,1),1)))&gt;0,"✓ Invoiced","⚠ Due"),""),""))</f>
        <v/>
      </c>
      <c r="J175" s="130" t="str">
        <f aca="false">IF($A175="","",IF((DATE(YEAR($E175),MONTH($E175),1)&lt;=DATE(2026,7,1)),IF((MOD(DATEDIF(DATE(YEAR($E175),MONTH($E175),1),DATE(2026,7,1),"m"),IF($D175="Quarterly",3,IF($D175="Annual",12,1)))=0),IF((COUNTIFS(Xero_Raw!$D$4:$D$5003,$A175,Xero_Raw!$G$4:$G$5003,"*Subscription*",Xero_Raw!$A$4:$A$5003,"&gt;="&amp;DATE(2026,7,1),Xero_Raw!$A$4:$A$5003,"&lt;"&amp;EDATE(DATE(2026,7,1),1))+COUNTIFS(Customer_Invoices_Upload!$E$4:$E$5003,$A175,Customer_Invoices_Upload!$G$4:$G$5003,"*Subscription*",Customer_Invoices_Upload!$B$4:$B$5003,"&gt;="&amp;DATE(2026,7,1),Customer_Invoices_Upload!$B$4:$B$5003,"&lt;"&amp;EDATE(DATE(2026,7,1),1))+COUNTIFS(Stripe_Invoices_Upload!$D$4:$D$5003,$A175,Stripe_Invoices_Upload!$E$4:$E$5003,"*Subscription*",Stripe_Invoices_Upload!$A$4:$A$5003,"&gt;="&amp;DATE(2026,7,1),Stripe_Invoices_Upload!$A$4:$A$5003,"&lt;"&amp;EDATE(DATE(2026,7,1),1)))&gt;0,"✓ Invoiced","⚠ Due"),""),""))</f>
        <v/>
      </c>
      <c r="K175" s="130" t="str">
        <f aca="false">IF($A175="","",IF((DATE(YEAR($E175),MONTH($E175),1)&lt;=DATE(2026,8,1)),IF((MOD(DATEDIF(DATE(YEAR($E175),MONTH($E175),1),DATE(2026,8,1),"m"),IF($D175="Quarterly",3,IF($D175="Annual",12,1)))=0),IF((COUNTIFS(Xero_Raw!$D$4:$D$5003,$A175,Xero_Raw!$G$4:$G$5003,"*Subscription*",Xero_Raw!$A$4:$A$5003,"&gt;="&amp;DATE(2026,8,1),Xero_Raw!$A$4:$A$5003,"&lt;"&amp;EDATE(DATE(2026,8,1),1))+COUNTIFS(Customer_Invoices_Upload!$E$4:$E$5003,$A175,Customer_Invoices_Upload!$G$4:$G$5003,"*Subscription*",Customer_Invoices_Upload!$B$4:$B$5003,"&gt;="&amp;DATE(2026,8,1),Customer_Invoices_Upload!$B$4:$B$5003,"&lt;"&amp;EDATE(DATE(2026,8,1),1))+COUNTIFS(Stripe_Invoices_Upload!$D$4:$D$5003,$A175,Stripe_Invoices_Upload!$E$4:$E$5003,"*Subscription*",Stripe_Invoices_Upload!$A$4:$A$5003,"&gt;="&amp;DATE(2026,8,1),Stripe_Invoices_Upload!$A$4:$A$5003,"&lt;"&amp;EDATE(DATE(2026,8,1),1)))&gt;0,"✓ Invoiced","⚠ Due"),""),""))</f>
        <v/>
      </c>
      <c r="L175" s="130" t="str">
        <f aca="false">IF($A175="","",IF((DATE(YEAR($E175),MONTH($E175),1)&lt;=DATE(2026,9,1)),IF((MOD(DATEDIF(DATE(YEAR($E175),MONTH($E175),1),DATE(2026,9,1),"m"),IF($D175="Quarterly",3,IF($D175="Annual",12,1)))=0),IF((COUNTIFS(Xero_Raw!$D$4:$D$5003,$A175,Xero_Raw!$G$4:$G$5003,"*Subscription*",Xero_Raw!$A$4:$A$5003,"&gt;="&amp;DATE(2026,9,1),Xero_Raw!$A$4:$A$5003,"&lt;"&amp;EDATE(DATE(2026,9,1),1))+COUNTIFS(Customer_Invoices_Upload!$E$4:$E$5003,$A175,Customer_Invoices_Upload!$G$4:$G$5003,"*Subscription*",Customer_Invoices_Upload!$B$4:$B$5003,"&gt;="&amp;DATE(2026,9,1),Customer_Invoices_Upload!$B$4:$B$5003,"&lt;"&amp;EDATE(DATE(2026,9,1),1))+COUNTIFS(Stripe_Invoices_Upload!$D$4:$D$5003,$A175,Stripe_Invoices_Upload!$E$4:$E$5003,"*Subscription*",Stripe_Invoices_Upload!$A$4:$A$5003,"&gt;="&amp;DATE(2026,9,1),Stripe_Invoices_Upload!$A$4:$A$5003,"&lt;"&amp;EDATE(DATE(2026,9,1),1)))&gt;0,"✓ Invoiced","⚠ Due"),""),""))</f>
        <v/>
      </c>
      <c r="M175" s="130" t="str">
        <f aca="false">IF($A175="","",IF((DATE(YEAR($E175),MONTH($E175),1)&lt;=DATE(2026,10,1)),IF((MOD(DATEDIF(DATE(YEAR($E175),MONTH($E175),1),DATE(2026,10,1),"m"),IF($D175="Quarterly",3,IF($D175="Annual",12,1)))=0),IF((COUNTIFS(Xero_Raw!$D$4:$D$5003,$A175,Xero_Raw!$G$4:$G$5003,"*Subscription*",Xero_Raw!$A$4:$A$5003,"&gt;="&amp;DATE(2026,10,1),Xero_Raw!$A$4:$A$5003,"&lt;"&amp;EDATE(DATE(2026,10,1),1))+COUNTIFS(Customer_Invoices_Upload!$E$4:$E$5003,$A175,Customer_Invoices_Upload!$G$4:$G$5003,"*Subscription*",Customer_Invoices_Upload!$B$4:$B$5003,"&gt;="&amp;DATE(2026,10,1),Customer_Invoices_Upload!$B$4:$B$5003,"&lt;"&amp;EDATE(DATE(2026,10,1),1))+COUNTIFS(Stripe_Invoices_Upload!$D$4:$D$5003,$A175,Stripe_Invoices_Upload!$E$4:$E$5003,"*Subscription*",Stripe_Invoices_Upload!$A$4:$A$5003,"&gt;="&amp;DATE(2026,10,1),Stripe_Invoices_Upload!$A$4:$A$5003,"&lt;"&amp;EDATE(DATE(2026,10,1),1)))&gt;0,"✓ Invoiced","⚠ Due"),""),""))</f>
        <v/>
      </c>
      <c r="N175" s="130" t="str">
        <f aca="false">IF($A175="","",IF((DATE(YEAR($E175),MONTH($E175),1)&lt;=DATE(2026,11,1)),IF((MOD(DATEDIF(DATE(YEAR($E175),MONTH($E175),1),DATE(2026,11,1),"m"),IF($D175="Quarterly",3,IF($D175="Annual",12,1)))=0),IF((COUNTIFS(Xero_Raw!$D$4:$D$5003,$A175,Xero_Raw!$G$4:$G$5003,"*Subscription*",Xero_Raw!$A$4:$A$5003,"&gt;="&amp;DATE(2026,11,1),Xero_Raw!$A$4:$A$5003,"&lt;"&amp;EDATE(DATE(2026,11,1),1))+COUNTIFS(Customer_Invoices_Upload!$E$4:$E$5003,$A175,Customer_Invoices_Upload!$G$4:$G$5003,"*Subscription*",Customer_Invoices_Upload!$B$4:$B$5003,"&gt;="&amp;DATE(2026,11,1),Customer_Invoices_Upload!$B$4:$B$5003,"&lt;"&amp;EDATE(DATE(2026,11,1),1))+COUNTIFS(Stripe_Invoices_Upload!$D$4:$D$5003,$A175,Stripe_Invoices_Upload!$E$4:$E$5003,"*Subscription*",Stripe_Invoices_Upload!$A$4:$A$5003,"&gt;="&amp;DATE(2026,11,1),Stripe_Invoices_Upload!$A$4:$A$5003,"&lt;"&amp;EDATE(DATE(2026,11,1),1)))&gt;0,"✓ Invoiced","⚠ Due"),""),""))</f>
        <v/>
      </c>
      <c r="O175" s="130" t="str">
        <f aca="false">IF($A175="","",IF((DATE(YEAR($E175),MONTH($E175),1)&lt;=DATE(2026,12,1)),IF((MOD(DATEDIF(DATE(YEAR($E175),MONTH($E175),1),DATE(2026,12,1),"m"),IF($D175="Quarterly",3,IF($D175="Annual",12,1)))=0),IF((COUNTIFS(Xero_Raw!$D$4:$D$5003,$A175,Xero_Raw!$G$4:$G$5003,"*Subscription*",Xero_Raw!$A$4:$A$5003,"&gt;="&amp;DATE(2026,12,1),Xero_Raw!$A$4:$A$5003,"&lt;"&amp;EDATE(DATE(2026,12,1),1))+COUNTIFS(Customer_Invoices_Upload!$E$4:$E$5003,$A175,Customer_Invoices_Upload!$G$4:$G$5003,"*Subscription*",Customer_Invoices_Upload!$B$4:$B$5003,"&gt;="&amp;DATE(2026,12,1),Customer_Invoices_Upload!$B$4:$B$5003,"&lt;"&amp;EDATE(DATE(2026,12,1),1))+COUNTIFS(Stripe_Invoices_Upload!$D$4:$D$5003,$A175,Stripe_Invoices_Upload!$E$4:$E$5003,"*Subscription*",Stripe_Invoices_Upload!$A$4:$A$5003,"&gt;="&amp;DATE(2026,12,1),Stripe_Invoices_Upload!$A$4:$A$5003,"&lt;"&amp;EDATE(DATE(2026,12,1),1)))&gt;0,"✓ Invoiced","⚠ Due"),""),""))</f>
        <v/>
      </c>
      <c r="P175" s="130" t="str">
        <f aca="false">IF($A175="","",IF((DATE(YEAR($E175),MONTH($E175),1)&lt;=DATE(2027,1,1)),IF((MOD(DATEDIF(DATE(YEAR($E175),MONTH($E175),1),DATE(2027,1,1),"m"),IF($D175="Quarterly",3,IF($D175="Annual",12,1)))=0),IF((COUNTIFS(Xero_Raw!$D$4:$D$5003,$A175,Xero_Raw!$G$4:$G$5003,"*Subscription*",Xero_Raw!$A$4:$A$5003,"&gt;="&amp;DATE(2027,1,1),Xero_Raw!$A$4:$A$5003,"&lt;"&amp;EDATE(DATE(2027,1,1),1))+COUNTIFS(Customer_Invoices_Upload!$E$4:$E$5003,$A175,Customer_Invoices_Upload!$G$4:$G$5003,"*Subscription*",Customer_Invoices_Upload!$B$4:$B$5003,"&gt;="&amp;DATE(2027,1,1),Customer_Invoices_Upload!$B$4:$B$5003,"&lt;"&amp;EDATE(DATE(2027,1,1),1))+COUNTIFS(Stripe_Invoices_Upload!$D$4:$D$5003,$A175,Stripe_Invoices_Upload!$E$4:$E$5003,"*Subscription*",Stripe_Invoices_Upload!$A$4:$A$5003,"&gt;="&amp;DATE(2027,1,1),Stripe_Invoices_Upload!$A$4:$A$5003,"&lt;"&amp;EDATE(DATE(2027,1,1),1)))&gt;0,"✓ Invoiced","⚠ Due"),""),""))</f>
        <v/>
      </c>
      <c r="Q175" s="130" t="str">
        <f aca="false">IF($A175="","",IF((DATE(YEAR($E175),MONTH($E175),1)&lt;=DATE(2027,2,1)),IF((MOD(DATEDIF(DATE(YEAR($E175),MONTH($E175),1),DATE(2027,2,1),"m"),IF($D175="Quarterly",3,IF($D175="Annual",12,1)))=0),IF((COUNTIFS(Xero_Raw!$D$4:$D$5003,$A175,Xero_Raw!$G$4:$G$5003,"*Subscription*",Xero_Raw!$A$4:$A$5003,"&gt;="&amp;DATE(2027,2,1),Xero_Raw!$A$4:$A$5003,"&lt;"&amp;EDATE(DATE(2027,2,1),1))+COUNTIFS(Customer_Invoices_Upload!$E$4:$E$5003,$A175,Customer_Invoices_Upload!$G$4:$G$5003,"*Subscription*",Customer_Invoices_Upload!$B$4:$B$5003,"&gt;="&amp;DATE(2027,2,1),Customer_Invoices_Upload!$B$4:$B$5003,"&lt;"&amp;EDATE(DATE(2027,2,1),1))+COUNTIFS(Stripe_Invoices_Upload!$D$4:$D$5003,$A175,Stripe_Invoices_Upload!$E$4:$E$5003,"*Subscription*",Stripe_Invoices_Upload!$A$4:$A$5003,"&gt;="&amp;DATE(2027,2,1),Stripe_Invoices_Upload!$A$4:$A$5003,"&lt;"&amp;EDATE(DATE(2027,2,1),1)))&gt;0,"✓ Invoiced","⚠ Due"),""),""))</f>
        <v/>
      </c>
      <c r="R175" s="130" t="str">
        <f aca="false">IF($A175="","",IF((DATE(YEAR($E175),MONTH($E175),1)&lt;=DATE(2027,3,1)),IF((MOD(DATEDIF(DATE(YEAR($E175),MONTH($E175),1),DATE(2027,3,1),"m"),IF($D175="Quarterly",3,IF($D175="Annual",12,1)))=0),IF((COUNTIFS(Xero_Raw!$D$4:$D$5003,$A175,Xero_Raw!$G$4:$G$5003,"*Subscription*",Xero_Raw!$A$4:$A$5003,"&gt;="&amp;DATE(2027,3,1),Xero_Raw!$A$4:$A$5003,"&lt;"&amp;EDATE(DATE(2027,3,1),1))+COUNTIFS(Customer_Invoices_Upload!$E$4:$E$5003,$A175,Customer_Invoices_Upload!$G$4:$G$5003,"*Subscription*",Customer_Invoices_Upload!$B$4:$B$5003,"&gt;="&amp;DATE(2027,3,1),Customer_Invoices_Upload!$B$4:$B$5003,"&lt;"&amp;EDATE(DATE(2027,3,1),1))+COUNTIFS(Stripe_Invoices_Upload!$D$4:$D$5003,$A175,Stripe_Invoices_Upload!$E$4:$E$5003,"*Subscription*",Stripe_Invoices_Upload!$A$4:$A$5003,"&gt;="&amp;DATE(2027,3,1),Stripe_Invoices_Upload!$A$4:$A$5003,"&lt;"&amp;EDATE(DATE(2027,3,1),1)))&gt;0,"✓ Invoiced","⚠ Due"),""),""))</f>
        <v/>
      </c>
    </row>
    <row r="176" customFormat="false" ht="15" hidden="false" customHeight="false" outlineLevel="0" collapsed="false">
      <c r="A176" s="39"/>
      <c r="B176" s="39"/>
      <c r="C176" s="40"/>
      <c r="D176" s="39"/>
      <c r="E176" s="38"/>
      <c r="F176" s="129" t="str">
        <f aca="true">IF($A176="","",EDATE($E176,DATEDIF($E176,TODAY(),"m")+1))</f>
        <v/>
      </c>
      <c r="G176" s="130" t="str">
        <f aca="false">IF($A176="","",IF((DATE(YEAR($E176),MONTH($E176),1)&lt;=DATE(2026,4,1)),IF((MOD(DATEDIF(DATE(YEAR($E176),MONTH($E176),1),DATE(2026,4,1),"m"),IF($D176="Quarterly",3,IF($D176="Annual",12,1)))=0),IF((COUNTIFS(Xero_Raw!$D$4:$D$5003,$A176,Xero_Raw!$G$4:$G$5003,"*Subscription*",Xero_Raw!$A$4:$A$5003,"&gt;="&amp;DATE(2026,4,1),Xero_Raw!$A$4:$A$5003,"&lt;"&amp;EDATE(DATE(2026,4,1),1))+COUNTIFS(Customer_Invoices_Upload!$E$4:$E$5003,$A176,Customer_Invoices_Upload!$G$4:$G$5003,"*Subscription*",Customer_Invoices_Upload!$B$4:$B$5003,"&gt;="&amp;DATE(2026,4,1),Customer_Invoices_Upload!$B$4:$B$5003,"&lt;"&amp;EDATE(DATE(2026,4,1),1))+COUNTIFS(Stripe_Invoices_Upload!$D$4:$D$5003,$A176,Stripe_Invoices_Upload!$E$4:$E$5003,"*Subscription*",Stripe_Invoices_Upload!$A$4:$A$5003,"&gt;="&amp;DATE(2026,4,1),Stripe_Invoices_Upload!$A$4:$A$5003,"&lt;"&amp;EDATE(DATE(2026,4,1),1)))&gt;0,"✓ Invoiced","⚠ Due"),""),""))</f>
        <v/>
      </c>
      <c r="H176" s="130" t="str">
        <f aca="false">IF($A176="","",IF((DATE(YEAR($E176),MONTH($E176),1)&lt;=DATE(2026,5,1)),IF((MOD(DATEDIF(DATE(YEAR($E176),MONTH($E176),1),DATE(2026,5,1),"m"),IF($D176="Quarterly",3,IF($D176="Annual",12,1)))=0),IF((COUNTIFS(Xero_Raw!$D$4:$D$5003,$A176,Xero_Raw!$G$4:$G$5003,"*Subscription*",Xero_Raw!$A$4:$A$5003,"&gt;="&amp;DATE(2026,5,1),Xero_Raw!$A$4:$A$5003,"&lt;"&amp;EDATE(DATE(2026,5,1),1))+COUNTIFS(Customer_Invoices_Upload!$E$4:$E$5003,$A176,Customer_Invoices_Upload!$G$4:$G$5003,"*Subscription*",Customer_Invoices_Upload!$B$4:$B$5003,"&gt;="&amp;DATE(2026,5,1),Customer_Invoices_Upload!$B$4:$B$5003,"&lt;"&amp;EDATE(DATE(2026,5,1),1))+COUNTIFS(Stripe_Invoices_Upload!$D$4:$D$5003,$A176,Stripe_Invoices_Upload!$E$4:$E$5003,"*Subscription*",Stripe_Invoices_Upload!$A$4:$A$5003,"&gt;="&amp;DATE(2026,5,1),Stripe_Invoices_Upload!$A$4:$A$5003,"&lt;"&amp;EDATE(DATE(2026,5,1),1)))&gt;0,"✓ Invoiced","⚠ Due"),""),""))</f>
        <v/>
      </c>
      <c r="I176" s="130" t="str">
        <f aca="false">IF($A176="","",IF((DATE(YEAR($E176),MONTH($E176),1)&lt;=DATE(2026,6,1)),IF((MOD(DATEDIF(DATE(YEAR($E176),MONTH($E176),1),DATE(2026,6,1),"m"),IF($D176="Quarterly",3,IF($D176="Annual",12,1)))=0),IF((COUNTIFS(Xero_Raw!$D$4:$D$5003,$A176,Xero_Raw!$G$4:$G$5003,"*Subscription*",Xero_Raw!$A$4:$A$5003,"&gt;="&amp;DATE(2026,6,1),Xero_Raw!$A$4:$A$5003,"&lt;"&amp;EDATE(DATE(2026,6,1),1))+COUNTIFS(Customer_Invoices_Upload!$E$4:$E$5003,$A176,Customer_Invoices_Upload!$G$4:$G$5003,"*Subscription*",Customer_Invoices_Upload!$B$4:$B$5003,"&gt;="&amp;DATE(2026,6,1),Customer_Invoices_Upload!$B$4:$B$5003,"&lt;"&amp;EDATE(DATE(2026,6,1),1))+COUNTIFS(Stripe_Invoices_Upload!$D$4:$D$5003,$A176,Stripe_Invoices_Upload!$E$4:$E$5003,"*Subscription*",Stripe_Invoices_Upload!$A$4:$A$5003,"&gt;="&amp;DATE(2026,6,1),Stripe_Invoices_Upload!$A$4:$A$5003,"&lt;"&amp;EDATE(DATE(2026,6,1),1)))&gt;0,"✓ Invoiced","⚠ Due"),""),""))</f>
        <v/>
      </c>
      <c r="J176" s="130" t="str">
        <f aca="false">IF($A176="","",IF((DATE(YEAR($E176),MONTH($E176),1)&lt;=DATE(2026,7,1)),IF((MOD(DATEDIF(DATE(YEAR($E176),MONTH($E176),1),DATE(2026,7,1),"m"),IF($D176="Quarterly",3,IF($D176="Annual",12,1)))=0),IF((COUNTIFS(Xero_Raw!$D$4:$D$5003,$A176,Xero_Raw!$G$4:$G$5003,"*Subscription*",Xero_Raw!$A$4:$A$5003,"&gt;="&amp;DATE(2026,7,1),Xero_Raw!$A$4:$A$5003,"&lt;"&amp;EDATE(DATE(2026,7,1),1))+COUNTIFS(Customer_Invoices_Upload!$E$4:$E$5003,$A176,Customer_Invoices_Upload!$G$4:$G$5003,"*Subscription*",Customer_Invoices_Upload!$B$4:$B$5003,"&gt;="&amp;DATE(2026,7,1),Customer_Invoices_Upload!$B$4:$B$5003,"&lt;"&amp;EDATE(DATE(2026,7,1),1))+COUNTIFS(Stripe_Invoices_Upload!$D$4:$D$5003,$A176,Stripe_Invoices_Upload!$E$4:$E$5003,"*Subscription*",Stripe_Invoices_Upload!$A$4:$A$5003,"&gt;="&amp;DATE(2026,7,1),Stripe_Invoices_Upload!$A$4:$A$5003,"&lt;"&amp;EDATE(DATE(2026,7,1),1)))&gt;0,"✓ Invoiced","⚠ Due"),""),""))</f>
        <v/>
      </c>
      <c r="K176" s="130" t="str">
        <f aca="false">IF($A176="","",IF((DATE(YEAR($E176),MONTH($E176),1)&lt;=DATE(2026,8,1)),IF((MOD(DATEDIF(DATE(YEAR($E176),MONTH($E176),1),DATE(2026,8,1),"m"),IF($D176="Quarterly",3,IF($D176="Annual",12,1)))=0),IF((COUNTIFS(Xero_Raw!$D$4:$D$5003,$A176,Xero_Raw!$G$4:$G$5003,"*Subscription*",Xero_Raw!$A$4:$A$5003,"&gt;="&amp;DATE(2026,8,1),Xero_Raw!$A$4:$A$5003,"&lt;"&amp;EDATE(DATE(2026,8,1),1))+COUNTIFS(Customer_Invoices_Upload!$E$4:$E$5003,$A176,Customer_Invoices_Upload!$G$4:$G$5003,"*Subscription*",Customer_Invoices_Upload!$B$4:$B$5003,"&gt;="&amp;DATE(2026,8,1),Customer_Invoices_Upload!$B$4:$B$5003,"&lt;"&amp;EDATE(DATE(2026,8,1),1))+COUNTIFS(Stripe_Invoices_Upload!$D$4:$D$5003,$A176,Stripe_Invoices_Upload!$E$4:$E$5003,"*Subscription*",Stripe_Invoices_Upload!$A$4:$A$5003,"&gt;="&amp;DATE(2026,8,1),Stripe_Invoices_Upload!$A$4:$A$5003,"&lt;"&amp;EDATE(DATE(2026,8,1),1)))&gt;0,"✓ Invoiced","⚠ Due"),""),""))</f>
        <v/>
      </c>
      <c r="L176" s="130" t="str">
        <f aca="false">IF($A176="","",IF((DATE(YEAR($E176),MONTH($E176),1)&lt;=DATE(2026,9,1)),IF((MOD(DATEDIF(DATE(YEAR($E176),MONTH($E176),1),DATE(2026,9,1),"m"),IF($D176="Quarterly",3,IF($D176="Annual",12,1)))=0),IF((COUNTIFS(Xero_Raw!$D$4:$D$5003,$A176,Xero_Raw!$G$4:$G$5003,"*Subscription*",Xero_Raw!$A$4:$A$5003,"&gt;="&amp;DATE(2026,9,1),Xero_Raw!$A$4:$A$5003,"&lt;"&amp;EDATE(DATE(2026,9,1),1))+COUNTIFS(Customer_Invoices_Upload!$E$4:$E$5003,$A176,Customer_Invoices_Upload!$G$4:$G$5003,"*Subscription*",Customer_Invoices_Upload!$B$4:$B$5003,"&gt;="&amp;DATE(2026,9,1),Customer_Invoices_Upload!$B$4:$B$5003,"&lt;"&amp;EDATE(DATE(2026,9,1),1))+COUNTIFS(Stripe_Invoices_Upload!$D$4:$D$5003,$A176,Stripe_Invoices_Upload!$E$4:$E$5003,"*Subscription*",Stripe_Invoices_Upload!$A$4:$A$5003,"&gt;="&amp;DATE(2026,9,1),Stripe_Invoices_Upload!$A$4:$A$5003,"&lt;"&amp;EDATE(DATE(2026,9,1),1)))&gt;0,"✓ Invoiced","⚠ Due"),""),""))</f>
        <v/>
      </c>
      <c r="M176" s="130" t="str">
        <f aca="false">IF($A176="","",IF((DATE(YEAR($E176),MONTH($E176),1)&lt;=DATE(2026,10,1)),IF((MOD(DATEDIF(DATE(YEAR($E176),MONTH($E176),1),DATE(2026,10,1),"m"),IF($D176="Quarterly",3,IF($D176="Annual",12,1)))=0),IF((COUNTIFS(Xero_Raw!$D$4:$D$5003,$A176,Xero_Raw!$G$4:$G$5003,"*Subscription*",Xero_Raw!$A$4:$A$5003,"&gt;="&amp;DATE(2026,10,1),Xero_Raw!$A$4:$A$5003,"&lt;"&amp;EDATE(DATE(2026,10,1),1))+COUNTIFS(Customer_Invoices_Upload!$E$4:$E$5003,$A176,Customer_Invoices_Upload!$G$4:$G$5003,"*Subscription*",Customer_Invoices_Upload!$B$4:$B$5003,"&gt;="&amp;DATE(2026,10,1),Customer_Invoices_Upload!$B$4:$B$5003,"&lt;"&amp;EDATE(DATE(2026,10,1),1))+COUNTIFS(Stripe_Invoices_Upload!$D$4:$D$5003,$A176,Stripe_Invoices_Upload!$E$4:$E$5003,"*Subscription*",Stripe_Invoices_Upload!$A$4:$A$5003,"&gt;="&amp;DATE(2026,10,1),Stripe_Invoices_Upload!$A$4:$A$5003,"&lt;"&amp;EDATE(DATE(2026,10,1),1)))&gt;0,"✓ Invoiced","⚠ Due"),""),""))</f>
        <v/>
      </c>
      <c r="N176" s="130" t="str">
        <f aca="false">IF($A176="","",IF((DATE(YEAR($E176),MONTH($E176),1)&lt;=DATE(2026,11,1)),IF((MOD(DATEDIF(DATE(YEAR($E176),MONTH($E176),1),DATE(2026,11,1),"m"),IF($D176="Quarterly",3,IF($D176="Annual",12,1)))=0),IF((COUNTIFS(Xero_Raw!$D$4:$D$5003,$A176,Xero_Raw!$G$4:$G$5003,"*Subscription*",Xero_Raw!$A$4:$A$5003,"&gt;="&amp;DATE(2026,11,1),Xero_Raw!$A$4:$A$5003,"&lt;"&amp;EDATE(DATE(2026,11,1),1))+COUNTIFS(Customer_Invoices_Upload!$E$4:$E$5003,$A176,Customer_Invoices_Upload!$G$4:$G$5003,"*Subscription*",Customer_Invoices_Upload!$B$4:$B$5003,"&gt;="&amp;DATE(2026,11,1),Customer_Invoices_Upload!$B$4:$B$5003,"&lt;"&amp;EDATE(DATE(2026,11,1),1))+COUNTIFS(Stripe_Invoices_Upload!$D$4:$D$5003,$A176,Stripe_Invoices_Upload!$E$4:$E$5003,"*Subscription*",Stripe_Invoices_Upload!$A$4:$A$5003,"&gt;="&amp;DATE(2026,11,1),Stripe_Invoices_Upload!$A$4:$A$5003,"&lt;"&amp;EDATE(DATE(2026,11,1),1)))&gt;0,"✓ Invoiced","⚠ Due"),""),""))</f>
        <v/>
      </c>
      <c r="O176" s="130" t="str">
        <f aca="false">IF($A176="","",IF((DATE(YEAR($E176),MONTH($E176),1)&lt;=DATE(2026,12,1)),IF((MOD(DATEDIF(DATE(YEAR($E176),MONTH($E176),1),DATE(2026,12,1),"m"),IF($D176="Quarterly",3,IF($D176="Annual",12,1)))=0),IF((COUNTIFS(Xero_Raw!$D$4:$D$5003,$A176,Xero_Raw!$G$4:$G$5003,"*Subscription*",Xero_Raw!$A$4:$A$5003,"&gt;="&amp;DATE(2026,12,1),Xero_Raw!$A$4:$A$5003,"&lt;"&amp;EDATE(DATE(2026,12,1),1))+COUNTIFS(Customer_Invoices_Upload!$E$4:$E$5003,$A176,Customer_Invoices_Upload!$G$4:$G$5003,"*Subscription*",Customer_Invoices_Upload!$B$4:$B$5003,"&gt;="&amp;DATE(2026,12,1),Customer_Invoices_Upload!$B$4:$B$5003,"&lt;"&amp;EDATE(DATE(2026,12,1),1))+COUNTIFS(Stripe_Invoices_Upload!$D$4:$D$5003,$A176,Stripe_Invoices_Upload!$E$4:$E$5003,"*Subscription*",Stripe_Invoices_Upload!$A$4:$A$5003,"&gt;="&amp;DATE(2026,12,1),Stripe_Invoices_Upload!$A$4:$A$5003,"&lt;"&amp;EDATE(DATE(2026,12,1),1)))&gt;0,"✓ Invoiced","⚠ Due"),""),""))</f>
        <v/>
      </c>
      <c r="P176" s="130" t="str">
        <f aca="false">IF($A176="","",IF((DATE(YEAR($E176),MONTH($E176),1)&lt;=DATE(2027,1,1)),IF((MOD(DATEDIF(DATE(YEAR($E176),MONTH($E176),1),DATE(2027,1,1),"m"),IF($D176="Quarterly",3,IF($D176="Annual",12,1)))=0),IF((COUNTIFS(Xero_Raw!$D$4:$D$5003,$A176,Xero_Raw!$G$4:$G$5003,"*Subscription*",Xero_Raw!$A$4:$A$5003,"&gt;="&amp;DATE(2027,1,1),Xero_Raw!$A$4:$A$5003,"&lt;"&amp;EDATE(DATE(2027,1,1),1))+COUNTIFS(Customer_Invoices_Upload!$E$4:$E$5003,$A176,Customer_Invoices_Upload!$G$4:$G$5003,"*Subscription*",Customer_Invoices_Upload!$B$4:$B$5003,"&gt;="&amp;DATE(2027,1,1),Customer_Invoices_Upload!$B$4:$B$5003,"&lt;"&amp;EDATE(DATE(2027,1,1),1))+COUNTIFS(Stripe_Invoices_Upload!$D$4:$D$5003,$A176,Stripe_Invoices_Upload!$E$4:$E$5003,"*Subscription*",Stripe_Invoices_Upload!$A$4:$A$5003,"&gt;="&amp;DATE(2027,1,1),Stripe_Invoices_Upload!$A$4:$A$5003,"&lt;"&amp;EDATE(DATE(2027,1,1),1)))&gt;0,"✓ Invoiced","⚠ Due"),""),""))</f>
        <v/>
      </c>
      <c r="Q176" s="130" t="str">
        <f aca="false">IF($A176="","",IF((DATE(YEAR($E176),MONTH($E176),1)&lt;=DATE(2027,2,1)),IF((MOD(DATEDIF(DATE(YEAR($E176),MONTH($E176),1),DATE(2027,2,1),"m"),IF($D176="Quarterly",3,IF($D176="Annual",12,1)))=0),IF((COUNTIFS(Xero_Raw!$D$4:$D$5003,$A176,Xero_Raw!$G$4:$G$5003,"*Subscription*",Xero_Raw!$A$4:$A$5003,"&gt;="&amp;DATE(2027,2,1),Xero_Raw!$A$4:$A$5003,"&lt;"&amp;EDATE(DATE(2027,2,1),1))+COUNTIFS(Customer_Invoices_Upload!$E$4:$E$5003,$A176,Customer_Invoices_Upload!$G$4:$G$5003,"*Subscription*",Customer_Invoices_Upload!$B$4:$B$5003,"&gt;="&amp;DATE(2027,2,1),Customer_Invoices_Upload!$B$4:$B$5003,"&lt;"&amp;EDATE(DATE(2027,2,1),1))+COUNTIFS(Stripe_Invoices_Upload!$D$4:$D$5003,$A176,Stripe_Invoices_Upload!$E$4:$E$5003,"*Subscription*",Stripe_Invoices_Upload!$A$4:$A$5003,"&gt;="&amp;DATE(2027,2,1),Stripe_Invoices_Upload!$A$4:$A$5003,"&lt;"&amp;EDATE(DATE(2027,2,1),1)))&gt;0,"✓ Invoiced","⚠ Due"),""),""))</f>
        <v/>
      </c>
      <c r="R176" s="130" t="str">
        <f aca="false">IF($A176="","",IF((DATE(YEAR($E176),MONTH($E176),1)&lt;=DATE(2027,3,1)),IF((MOD(DATEDIF(DATE(YEAR($E176),MONTH($E176),1),DATE(2027,3,1),"m"),IF($D176="Quarterly",3,IF($D176="Annual",12,1)))=0),IF((COUNTIFS(Xero_Raw!$D$4:$D$5003,$A176,Xero_Raw!$G$4:$G$5003,"*Subscription*",Xero_Raw!$A$4:$A$5003,"&gt;="&amp;DATE(2027,3,1),Xero_Raw!$A$4:$A$5003,"&lt;"&amp;EDATE(DATE(2027,3,1),1))+COUNTIFS(Customer_Invoices_Upload!$E$4:$E$5003,$A176,Customer_Invoices_Upload!$G$4:$G$5003,"*Subscription*",Customer_Invoices_Upload!$B$4:$B$5003,"&gt;="&amp;DATE(2027,3,1),Customer_Invoices_Upload!$B$4:$B$5003,"&lt;"&amp;EDATE(DATE(2027,3,1),1))+COUNTIFS(Stripe_Invoices_Upload!$D$4:$D$5003,$A176,Stripe_Invoices_Upload!$E$4:$E$5003,"*Subscription*",Stripe_Invoices_Upload!$A$4:$A$5003,"&gt;="&amp;DATE(2027,3,1),Stripe_Invoices_Upload!$A$4:$A$5003,"&lt;"&amp;EDATE(DATE(2027,3,1),1)))&gt;0,"✓ Invoiced","⚠ Due"),""),""))</f>
        <v/>
      </c>
    </row>
    <row r="177" customFormat="false" ht="15" hidden="false" customHeight="false" outlineLevel="0" collapsed="false">
      <c r="A177" s="39"/>
      <c r="B177" s="39"/>
      <c r="C177" s="40"/>
      <c r="D177" s="39"/>
      <c r="E177" s="38"/>
      <c r="F177" s="129" t="str">
        <f aca="true">IF($A177="","",EDATE($E177,DATEDIF($E177,TODAY(),"m")+1))</f>
        <v/>
      </c>
      <c r="G177" s="130" t="str">
        <f aca="false">IF($A177="","",IF((DATE(YEAR($E177),MONTH($E177),1)&lt;=DATE(2026,4,1)),IF((MOD(DATEDIF(DATE(YEAR($E177),MONTH($E177),1),DATE(2026,4,1),"m"),IF($D177="Quarterly",3,IF($D177="Annual",12,1)))=0),IF((COUNTIFS(Xero_Raw!$D$4:$D$5003,$A177,Xero_Raw!$G$4:$G$5003,"*Subscription*",Xero_Raw!$A$4:$A$5003,"&gt;="&amp;DATE(2026,4,1),Xero_Raw!$A$4:$A$5003,"&lt;"&amp;EDATE(DATE(2026,4,1),1))+COUNTIFS(Customer_Invoices_Upload!$E$4:$E$5003,$A177,Customer_Invoices_Upload!$G$4:$G$5003,"*Subscription*",Customer_Invoices_Upload!$B$4:$B$5003,"&gt;="&amp;DATE(2026,4,1),Customer_Invoices_Upload!$B$4:$B$5003,"&lt;"&amp;EDATE(DATE(2026,4,1),1))+COUNTIFS(Stripe_Invoices_Upload!$D$4:$D$5003,$A177,Stripe_Invoices_Upload!$E$4:$E$5003,"*Subscription*",Stripe_Invoices_Upload!$A$4:$A$5003,"&gt;="&amp;DATE(2026,4,1),Stripe_Invoices_Upload!$A$4:$A$5003,"&lt;"&amp;EDATE(DATE(2026,4,1),1)))&gt;0,"✓ Invoiced","⚠ Due"),""),""))</f>
        <v/>
      </c>
      <c r="H177" s="130" t="str">
        <f aca="false">IF($A177="","",IF((DATE(YEAR($E177),MONTH($E177),1)&lt;=DATE(2026,5,1)),IF((MOD(DATEDIF(DATE(YEAR($E177),MONTH($E177),1),DATE(2026,5,1),"m"),IF($D177="Quarterly",3,IF($D177="Annual",12,1)))=0),IF((COUNTIFS(Xero_Raw!$D$4:$D$5003,$A177,Xero_Raw!$G$4:$G$5003,"*Subscription*",Xero_Raw!$A$4:$A$5003,"&gt;="&amp;DATE(2026,5,1),Xero_Raw!$A$4:$A$5003,"&lt;"&amp;EDATE(DATE(2026,5,1),1))+COUNTIFS(Customer_Invoices_Upload!$E$4:$E$5003,$A177,Customer_Invoices_Upload!$G$4:$G$5003,"*Subscription*",Customer_Invoices_Upload!$B$4:$B$5003,"&gt;="&amp;DATE(2026,5,1),Customer_Invoices_Upload!$B$4:$B$5003,"&lt;"&amp;EDATE(DATE(2026,5,1),1))+COUNTIFS(Stripe_Invoices_Upload!$D$4:$D$5003,$A177,Stripe_Invoices_Upload!$E$4:$E$5003,"*Subscription*",Stripe_Invoices_Upload!$A$4:$A$5003,"&gt;="&amp;DATE(2026,5,1),Stripe_Invoices_Upload!$A$4:$A$5003,"&lt;"&amp;EDATE(DATE(2026,5,1),1)))&gt;0,"✓ Invoiced","⚠ Due"),""),""))</f>
        <v/>
      </c>
      <c r="I177" s="130" t="str">
        <f aca="false">IF($A177="","",IF((DATE(YEAR($E177),MONTH($E177),1)&lt;=DATE(2026,6,1)),IF((MOD(DATEDIF(DATE(YEAR($E177),MONTH($E177),1),DATE(2026,6,1),"m"),IF($D177="Quarterly",3,IF($D177="Annual",12,1)))=0),IF((COUNTIFS(Xero_Raw!$D$4:$D$5003,$A177,Xero_Raw!$G$4:$G$5003,"*Subscription*",Xero_Raw!$A$4:$A$5003,"&gt;="&amp;DATE(2026,6,1),Xero_Raw!$A$4:$A$5003,"&lt;"&amp;EDATE(DATE(2026,6,1),1))+COUNTIFS(Customer_Invoices_Upload!$E$4:$E$5003,$A177,Customer_Invoices_Upload!$G$4:$G$5003,"*Subscription*",Customer_Invoices_Upload!$B$4:$B$5003,"&gt;="&amp;DATE(2026,6,1),Customer_Invoices_Upload!$B$4:$B$5003,"&lt;"&amp;EDATE(DATE(2026,6,1),1))+COUNTIFS(Stripe_Invoices_Upload!$D$4:$D$5003,$A177,Stripe_Invoices_Upload!$E$4:$E$5003,"*Subscription*",Stripe_Invoices_Upload!$A$4:$A$5003,"&gt;="&amp;DATE(2026,6,1),Stripe_Invoices_Upload!$A$4:$A$5003,"&lt;"&amp;EDATE(DATE(2026,6,1),1)))&gt;0,"✓ Invoiced","⚠ Due"),""),""))</f>
        <v/>
      </c>
      <c r="J177" s="130" t="str">
        <f aca="false">IF($A177="","",IF((DATE(YEAR($E177),MONTH($E177),1)&lt;=DATE(2026,7,1)),IF((MOD(DATEDIF(DATE(YEAR($E177),MONTH($E177),1),DATE(2026,7,1),"m"),IF($D177="Quarterly",3,IF($D177="Annual",12,1)))=0),IF((COUNTIFS(Xero_Raw!$D$4:$D$5003,$A177,Xero_Raw!$G$4:$G$5003,"*Subscription*",Xero_Raw!$A$4:$A$5003,"&gt;="&amp;DATE(2026,7,1),Xero_Raw!$A$4:$A$5003,"&lt;"&amp;EDATE(DATE(2026,7,1),1))+COUNTIFS(Customer_Invoices_Upload!$E$4:$E$5003,$A177,Customer_Invoices_Upload!$G$4:$G$5003,"*Subscription*",Customer_Invoices_Upload!$B$4:$B$5003,"&gt;="&amp;DATE(2026,7,1),Customer_Invoices_Upload!$B$4:$B$5003,"&lt;"&amp;EDATE(DATE(2026,7,1),1))+COUNTIFS(Stripe_Invoices_Upload!$D$4:$D$5003,$A177,Stripe_Invoices_Upload!$E$4:$E$5003,"*Subscription*",Stripe_Invoices_Upload!$A$4:$A$5003,"&gt;="&amp;DATE(2026,7,1),Stripe_Invoices_Upload!$A$4:$A$5003,"&lt;"&amp;EDATE(DATE(2026,7,1),1)))&gt;0,"✓ Invoiced","⚠ Due"),""),""))</f>
        <v/>
      </c>
      <c r="K177" s="130" t="str">
        <f aca="false">IF($A177="","",IF((DATE(YEAR($E177),MONTH($E177),1)&lt;=DATE(2026,8,1)),IF((MOD(DATEDIF(DATE(YEAR($E177),MONTH($E177),1),DATE(2026,8,1),"m"),IF($D177="Quarterly",3,IF($D177="Annual",12,1)))=0),IF((COUNTIFS(Xero_Raw!$D$4:$D$5003,$A177,Xero_Raw!$G$4:$G$5003,"*Subscription*",Xero_Raw!$A$4:$A$5003,"&gt;="&amp;DATE(2026,8,1),Xero_Raw!$A$4:$A$5003,"&lt;"&amp;EDATE(DATE(2026,8,1),1))+COUNTIFS(Customer_Invoices_Upload!$E$4:$E$5003,$A177,Customer_Invoices_Upload!$G$4:$G$5003,"*Subscription*",Customer_Invoices_Upload!$B$4:$B$5003,"&gt;="&amp;DATE(2026,8,1),Customer_Invoices_Upload!$B$4:$B$5003,"&lt;"&amp;EDATE(DATE(2026,8,1),1))+COUNTIFS(Stripe_Invoices_Upload!$D$4:$D$5003,$A177,Stripe_Invoices_Upload!$E$4:$E$5003,"*Subscription*",Stripe_Invoices_Upload!$A$4:$A$5003,"&gt;="&amp;DATE(2026,8,1),Stripe_Invoices_Upload!$A$4:$A$5003,"&lt;"&amp;EDATE(DATE(2026,8,1),1)))&gt;0,"✓ Invoiced","⚠ Due"),""),""))</f>
        <v/>
      </c>
      <c r="L177" s="130" t="str">
        <f aca="false">IF($A177="","",IF((DATE(YEAR($E177),MONTH($E177),1)&lt;=DATE(2026,9,1)),IF((MOD(DATEDIF(DATE(YEAR($E177),MONTH($E177),1),DATE(2026,9,1),"m"),IF($D177="Quarterly",3,IF($D177="Annual",12,1)))=0),IF((COUNTIFS(Xero_Raw!$D$4:$D$5003,$A177,Xero_Raw!$G$4:$G$5003,"*Subscription*",Xero_Raw!$A$4:$A$5003,"&gt;="&amp;DATE(2026,9,1),Xero_Raw!$A$4:$A$5003,"&lt;"&amp;EDATE(DATE(2026,9,1),1))+COUNTIFS(Customer_Invoices_Upload!$E$4:$E$5003,$A177,Customer_Invoices_Upload!$G$4:$G$5003,"*Subscription*",Customer_Invoices_Upload!$B$4:$B$5003,"&gt;="&amp;DATE(2026,9,1),Customer_Invoices_Upload!$B$4:$B$5003,"&lt;"&amp;EDATE(DATE(2026,9,1),1))+COUNTIFS(Stripe_Invoices_Upload!$D$4:$D$5003,$A177,Stripe_Invoices_Upload!$E$4:$E$5003,"*Subscription*",Stripe_Invoices_Upload!$A$4:$A$5003,"&gt;="&amp;DATE(2026,9,1),Stripe_Invoices_Upload!$A$4:$A$5003,"&lt;"&amp;EDATE(DATE(2026,9,1),1)))&gt;0,"✓ Invoiced","⚠ Due"),""),""))</f>
        <v/>
      </c>
      <c r="M177" s="130" t="str">
        <f aca="false">IF($A177="","",IF((DATE(YEAR($E177),MONTH($E177),1)&lt;=DATE(2026,10,1)),IF((MOD(DATEDIF(DATE(YEAR($E177),MONTH($E177),1),DATE(2026,10,1),"m"),IF($D177="Quarterly",3,IF($D177="Annual",12,1)))=0),IF((COUNTIFS(Xero_Raw!$D$4:$D$5003,$A177,Xero_Raw!$G$4:$G$5003,"*Subscription*",Xero_Raw!$A$4:$A$5003,"&gt;="&amp;DATE(2026,10,1),Xero_Raw!$A$4:$A$5003,"&lt;"&amp;EDATE(DATE(2026,10,1),1))+COUNTIFS(Customer_Invoices_Upload!$E$4:$E$5003,$A177,Customer_Invoices_Upload!$G$4:$G$5003,"*Subscription*",Customer_Invoices_Upload!$B$4:$B$5003,"&gt;="&amp;DATE(2026,10,1),Customer_Invoices_Upload!$B$4:$B$5003,"&lt;"&amp;EDATE(DATE(2026,10,1),1))+COUNTIFS(Stripe_Invoices_Upload!$D$4:$D$5003,$A177,Stripe_Invoices_Upload!$E$4:$E$5003,"*Subscription*",Stripe_Invoices_Upload!$A$4:$A$5003,"&gt;="&amp;DATE(2026,10,1),Stripe_Invoices_Upload!$A$4:$A$5003,"&lt;"&amp;EDATE(DATE(2026,10,1),1)))&gt;0,"✓ Invoiced","⚠ Due"),""),""))</f>
        <v/>
      </c>
      <c r="N177" s="130" t="str">
        <f aca="false">IF($A177="","",IF((DATE(YEAR($E177),MONTH($E177),1)&lt;=DATE(2026,11,1)),IF((MOD(DATEDIF(DATE(YEAR($E177),MONTH($E177),1),DATE(2026,11,1),"m"),IF($D177="Quarterly",3,IF($D177="Annual",12,1)))=0),IF((COUNTIFS(Xero_Raw!$D$4:$D$5003,$A177,Xero_Raw!$G$4:$G$5003,"*Subscription*",Xero_Raw!$A$4:$A$5003,"&gt;="&amp;DATE(2026,11,1),Xero_Raw!$A$4:$A$5003,"&lt;"&amp;EDATE(DATE(2026,11,1),1))+COUNTIFS(Customer_Invoices_Upload!$E$4:$E$5003,$A177,Customer_Invoices_Upload!$G$4:$G$5003,"*Subscription*",Customer_Invoices_Upload!$B$4:$B$5003,"&gt;="&amp;DATE(2026,11,1),Customer_Invoices_Upload!$B$4:$B$5003,"&lt;"&amp;EDATE(DATE(2026,11,1),1))+COUNTIFS(Stripe_Invoices_Upload!$D$4:$D$5003,$A177,Stripe_Invoices_Upload!$E$4:$E$5003,"*Subscription*",Stripe_Invoices_Upload!$A$4:$A$5003,"&gt;="&amp;DATE(2026,11,1),Stripe_Invoices_Upload!$A$4:$A$5003,"&lt;"&amp;EDATE(DATE(2026,11,1),1)))&gt;0,"✓ Invoiced","⚠ Due"),""),""))</f>
        <v/>
      </c>
      <c r="O177" s="130" t="str">
        <f aca="false">IF($A177="","",IF((DATE(YEAR($E177),MONTH($E177),1)&lt;=DATE(2026,12,1)),IF((MOD(DATEDIF(DATE(YEAR($E177),MONTH($E177),1),DATE(2026,12,1),"m"),IF($D177="Quarterly",3,IF($D177="Annual",12,1)))=0),IF((COUNTIFS(Xero_Raw!$D$4:$D$5003,$A177,Xero_Raw!$G$4:$G$5003,"*Subscription*",Xero_Raw!$A$4:$A$5003,"&gt;="&amp;DATE(2026,12,1),Xero_Raw!$A$4:$A$5003,"&lt;"&amp;EDATE(DATE(2026,12,1),1))+COUNTIFS(Customer_Invoices_Upload!$E$4:$E$5003,$A177,Customer_Invoices_Upload!$G$4:$G$5003,"*Subscription*",Customer_Invoices_Upload!$B$4:$B$5003,"&gt;="&amp;DATE(2026,12,1),Customer_Invoices_Upload!$B$4:$B$5003,"&lt;"&amp;EDATE(DATE(2026,12,1),1))+COUNTIFS(Stripe_Invoices_Upload!$D$4:$D$5003,$A177,Stripe_Invoices_Upload!$E$4:$E$5003,"*Subscription*",Stripe_Invoices_Upload!$A$4:$A$5003,"&gt;="&amp;DATE(2026,12,1),Stripe_Invoices_Upload!$A$4:$A$5003,"&lt;"&amp;EDATE(DATE(2026,12,1),1)))&gt;0,"✓ Invoiced","⚠ Due"),""),""))</f>
        <v/>
      </c>
      <c r="P177" s="130" t="str">
        <f aca="false">IF($A177="","",IF((DATE(YEAR($E177),MONTH($E177),1)&lt;=DATE(2027,1,1)),IF((MOD(DATEDIF(DATE(YEAR($E177),MONTH($E177),1),DATE(2027,1,1),"m"),IF($D177="Quarterly",3,IF($D177="Annual",12,1)))=0),IF((COUNTIFS(Xero_Raw!$D$4:$D$5003,$A177,Xero_Raw!$G$4:$G$5003,"*Subscription*",Xero_Raw!$A$4:$A$5003,"&gt;="&amp;DATE(2027,1,1),Xero_Raw!$A$4:$A$5003,"&lt;"&amp;EDATE(DATE(2027,1,1),1))+COUNTIFS(Customer_Invoices_Upload!$E$4:$E$5003,$A177,Customer_Invoices_Upload!$G$4:$G$5003,"*Subscription*",Customer_Invoices_Upload!$B$4:$B$5003,"&gt;="&amp;DATE(2027,1,1),Customer_Invoices_Upload!$B$4:$B$5003,"&lt;"&amp;EDATE(DATE(2027,1,1),1))+COUNTIFS(Stripe_Invoices_Upload!$D$4:$D$5003,$A177,Stripe_Invoices_Upload!$E$4:$E$5003,"*Subscription*",Stripe_Invoices_Upload!$A$4:$A$5003,"&gt;="&amp;DATE(2027,1,1),Stripe_Invoices_Upload!$A$4:$A$5003,"&lt;"&amp;EDATE(DATE(2027,1,1),1)))&gt;0,"✓ Invoiced","⚠ Due"),""),""))</f>
        <v/>
      </c>
      <c r="Q177" s="130" t="str">
        <f aca="false">IF($A177="","",IF((DATE(YEAR($E177),MONTH($E177),1)&lt;=DATE(2027,2,1)),IF((MOD(DATEDIF(DATE(YEAR($E177),MONTH($E177),1),DATE(2027,2,1),"m"),IF($D177="Quarterly",3,IF($D177="Annual",12,1)))=0),IF((COUNTIFS(Xero_Raw!$D$4:$D$5003,$A177,Xero_Raw!$G$4:$G$5003,"*Subscription*",Xero_Raw!$A$4:$A$5003,"&gt;="&amp;DATE(2027,2,1),Xero_Raw!$A$4:$A$5003,"&lt;"&amp;EDATE(DATE(2027,2,1),1))+COUNTIFS(Customer_Invoices_Upload!$E$4:$E$5003,$A177,Customer_Invoices_Upload!$G$4:$G$5003,"*Subscription*",Customer_Invoices_Upload!$B$4:$B$5003,"&gt;="&amp;DATE(2027,2,1),Customer_Invoices_Upload!$B$4:$B$5003,"&lt;"&amp;EDATE(DATE(2027,2,1),1))+COUNTIFS(Stripe_Invoices_Upload!$D$4:$D$5003,$A177,Stripe_Invoices_Upload!$E$4:$E$5003,"*Subscription*",Stripe_Invoices_Upload!$A$4:$A$5003,"&gt;="&amp;DATE(2027,2,1),Stripe_Invoices_Upload!$A$4:$A$5003,"&lt;"&amp;EDATE(DATE(2027,2,1),1)))&gt;0,"✓ Invoiced","⚠ Due"),""),""))</f>
        <v/>
      </c>
      <c r="R177" s="130" t="str">
        <f aca="false">IF($A177="","",IF((DATE(YEAR($E177),MONTH($E177),1)&lt;=DATE(2027,3,1)),IF((MOD(DATEDIF(DATE(YEAR($E177),MONTH($E177),1),DATE(2027,3,1),"m"),IF($D177="Quarterly",3,IF($D177="Annual",12,1)))=0),IF((COUNTIFS(Xero_Raw!$D$4:$D$5003,$A177,Xero_Raw!$G$4:$G$5003,"*Subscription*",Xero_Raw!$A$4:$A$5003,"&gt;="&amp;DATE(2027,3,1),Xero_Raw!$A$4:$A$5003,"&lt;"&amp;EDATE(DATE(2027,3,1),1))+COUNTIFS(Customer_Invoices_Upload!$E$4:$E$5003,$A177,Customer_Invoices_Upload!$G$4:$G$5003,"*Subscription*",Customer_Invoices_Upload!$B$4:$B$5003,"&gt;="&amp;DATE(2027,3,1),Customer_Invoices_Upload!$B$4:$B$5003,"&lt;"&amp;EDATE(DATE(2027,3,1),1))+COUNTIFS(Stripe_Invoices_Upload!$D$4:$D$5003,$A177,Stripe_Invoices_Upload!$E$4:$E$5003,"*Subscription*",Stripe_Invoices_Upload!$A$4:$A$5003,"&gt;="&amp;DATE(2027,3,1),Stripe_Invoices_Upload!$A$4:$A$5003,"&lt;"&amp;EDATE(DATE(2027,3,1),1)))&gt;0,"✓ Invoiced","⚠ Due"),""),""))</f>
        <v/>
      </c>
    </row>
    <row r="178" customFormat="false" ht="15" hidden="false" customHeight="false" outlineLevel="0" collapsed="false">
      <c r="A178" s="39"/>
      <c r="B178" s="39"/>
      <c r="C178" s="40"/>
      <c r="D178" s="39"/>
      <c r="E178" s="38"/>
      <c r="F178" s="129" t="str">
        <f aca="true">IF($A178="","",EDATE($E178,DATEDIF($E178,TODAY(),"m")+1))</f>
        <v/>
      </c>
      <c r="G178" s="130" t="str">
        <f aca="false">IF($A178="","",IF((DATE(YEAR($E178),MONTH($E178),1)&lt;=DATE(2026,4,1)),IF((MOD(DATEDIF(DATE(YEAR($E178),MONTH($E178),1),DATE(2026,4,1),"m"),IF($D178="Quarterly",3,IF($D178="Annual",12,1)))=0),IF((COUNTIFS(Xero_Raw!$D$4:$D$5003,$A178,Xero_Raw!$G$4:$G$5003,"*Subscription*",Xero_Raw!$A$4:$A$5003,"&gt;="&amp;DATE(2026,4,1),Xero_Raw!$A$4:$A$5003,"&lt;"&amp;EDATE(DATE(2026,4,1),1))+COUNTIFS(Customer_Invoices_Upload!$E$4:$E$5003,$A178,Customer_Invoices_Upload!$G$4:$G$5003,"*Subscription*",Customer_Invoices_Upload!$B$4:$B$5003,"&gt;="&amp;DATE(2026,4,1),Customer_Invoices_Upload!$B$4:$B$5003,"&lt;"&amp;EDATE(DATE(2026,4,1),1))+COUNTIFS(Stripe_Invoices_Upload!$D$4:$D$5003,$A178,Stripe_Invoices_Upload!$E$4:$E$5003,"*Subscription*",Stripe_Invoices_Upload!$A$4:$A$5003,"&gt;="&amp;DATE(2026,4,1),Stripe_Invoices_Upload!$A$4:$A$5003,"&lt;"&amp;EDATE(DATE(2026,4,1),1)))&gt;0,"✓ Invoiced","⚠ Due"),""),""))</f>
        <v/>
      </c>
      <c r="H178" s="130" t="str">
        <f aca="false">IF($A178="","",IF((DATE(YEAR($E178),MONTH($E178),1)&lt;=DATE(2026,5,1)),IF((MOD(DATEDIF(DATE(YEAR($E178),MONTH($E178),1),DATE(2026,5,1),"m"),IF($D178="Quarterly",3,IF($D178="Annual",12,1)))=0),IF((COUNTIFS(Xero_Raw!$D$4:$D$5003,$A178,Xero_Raw!$G$4:$G$5003,"*Subscription*",Xero_Raw!$A$4:$A$5003,"&gt;="&amp;DATE(2026,5,1),Xero_Raw!$A$4:$A$5003,"&lt;"&amp;EDATE(DATE(2026,5,1),1))+COUNTIFS(Customer_Invoices_Upload!$E$4:$E$5003,$A178,Customer_Invoices_Upload!$G$4:$G$5003,"*Subscription*",Customer_Invoices_Upload!$B$4:$B$5003,"&gt;="&amp;DATE(2026,5,1),Customer_Invoices_Upload!$B$4:$B$5003,"&lt;"&amp;EDATE(DATE(2026,5,1),1))+COUNTIFS(Stripe_Invoices_Upload!$D$4:$D$5003,$A178,Stripe_Invoices_Upload!$E$4:$E$5003,"*Subscription*",Stripe_Invoices_Upload!$A$4:$A$5003,"&gt;="&amp;DATE(2026,5,1),Stripe_Invoices_Upload!$A$4:$A$5003,"&lt;"&amp;EDATE(DATE(2026,5,1),1)))&gt;0,"✓ Invoiced","⚠ Due"),""),""))</f>
        <v/>
      </c>
      <c r="I178" s="130" t="str">
        <f aca="false">IF($A178="","",IF((DATE(YEAR($E178),MONTH($E178),1)&lt;=DATE(2026,6,1)),IF((MOD(DATEDIF(DATE(YEAR($E178),MONTH($E178),1),DATE(2026,6,1),"m"),IF($D178="Quarterly",3,IF($D178="Annual",12,1)))=0),IF((COUNTIFS(Xero_Raw!$D$4:$D$5003,$A178,Xero_Raw!$G$4:$G$5003,"*Subscription*",Xero_Raw!$A$4:$A$5003,"&gt;="&amp;DATE(2026,6,1),Xero_Raw!$A$4:$A$5003,"&lt;"&amp;EDATE(DATE(2026,6,1),1))+COUNTIFS(Customer_Invoices_Upload!$E$4:$E$5003,$A178,Customer_Invoices_Upload!$G$4:$G$5003,"*Subscription*",Customer_Invoices_Upload!$B$4:$B$5003,"&gt;="&amp;DATE(2026,6,1),Customer_Invoices_Upload!$B$4:$B$5003,"&lt;"&amp;EDATE(DATE(2026,6,1),1))+COUNTIFS(Stripe_Invoices_Upload!$D$4:$D$5003,$A178,Stripe_Invoices_Upload!$E$4:$E$5003,"*Subscription*",Stripe_Invoices_Upload!$A$4:$A$5003,"&gt;="&amp;DATE(2026,6,1),Stripe_Invoices_Upload!$A$4:$A$5003,"&lt;"&amp;EDATE(DATE(2026,6,1),1)))&gt;0,"✓ Invoiced","⚠ Due"),""),""))</f>
        <v/>
      </c>
      <c r="J178" s="130" t="str">
        <f aca="false">IF($A178="","",IF((DATE(YEAR($E178),MONTH($E178),1)&lt;=DATE(2026,7,1)),IF((MOD(DATEDIF(DATE(YEAR($E178),MONTH($E178),1),DATE(2026,7,1),"m"),IF($D178="Quarterly",3,IF($D178="Annual",12,1)))=0),IF((COUNTIFS(Xero_Raw!$D$4:$D$5003,$A178,Xero_Raw!$G$4:$G$5003,"*Subscription*",Xero_Raw!$A$4:$A$5003,"&gt;="&amp;DATE(2026,7,1),Xero_Raw!$A$4:$A$5003,"&lt;"&amp;EDATE(DATE(2026,7,1),1))+COUNTIFS(Customer_Invoices_Upload!$E$4:$E$5003,$A178,Customer_Invoices_Upload!$G$4:$G$5003,"*Subscription*",Customer_Invoices_Upload!$B$4:$B$5003,"&gt;="&amp;DATE(2026,7,1),Customer_Invoices_Upload!$B$4:$B$5003,"&lt;"&amp;EDATE(DATE(2026,7,1),1))+COUNTIFS(Stripe_Invoices_Upload!$D$4:$D$5003,$A178,Stripe_Invoices_Upload!$E$4:$E$5003,"*Subscription*",Stripe_Invoices_Upload!$A$4:$A$5003,"&gt;="&amp;DATE(2026,7,1),Stripe_Invoices_Upload!$A$4:$A$5003,"&lt;"&amp;EDATE(DATE(2026,7,1),1)))&gt;0,"✓ Invoiced","⚠ Due"),""),""))</f>
        <v/>
      </c>
      <c r="K178" s="130" t="str">
        <f aca="false">IF($A178="","",IF((DATE(YEAR($E178),MONTH($E178),1)&lt;=DATE(2026,8,1)),IF((MOD(DATEDIF(DATE(YEAR($E178),MONTH($E178),1),DATE(2026,8,1),"m"),IF($D178="Quarterly",3,IF($D178="Annual",12,1)))=0),IF((COUNTIFS(Xero_Raw!$D$4:$D$5003,$A178,Xero_Raw!$G$4:$G$5003,"*Subscription*",Xero_Raw!$A$4:$A$5003,"&gt;="&amp;DATE(2026,8,1),Xero_Raw!$A$4:$A$5003,"&lt;"&amp;EDATE(DATE(2026,8,1),1))+COUNTIFS(Customer_Invoices_Upload!$E$4:$E$5003,$A178,Customer_Invoices_Upload!$G$4:$G$5003,"*Subscription*",Customer_Invoices_Upload!$B$4:$B$5003,"&gt;="&amp;DATE(2026,8,1),Customer_Invoices_Upload!$B$4:$B$5003,"&lt;"&amp;EDATE(DATE(2026,8,1),1))+COUNTIFS(Stripe_Invoices_Upload!$D$4:$D$5003,$A178,Stripe_Invoices_Upload!$E$4:$E$5003,"*Subscription*",Stripe_Invoices_Upload!$A$4:$A$5003,"&gt;="&amp;DATE(2026,8,1),Stripe_Invoices_Upload!$A$4:$A$5003,"&lt;"&amp;EDATE(DATE(2026,8,1),1)))&gt;0,"✓ Invoiced","⚠ Due"),""),""))</f>
        <v/>
      </c>
      <c r="L178" s="130" t="str">
        <f aca="false">IF($A178="","",IF((DATE(YEAR($E178),MONTH($E178),1)&lt;=DATE(2026,9,1)),IF((MOD(DATEDIF(DATE(YEAR($E178),MONTH($E178),1),DATE(2026,9,1),"m"),IF($D178="Quarterly",3,IF($D178="Annual",12,1)))=0),IF((COUNTIFS(Xero_Raw!$D$4:$D$5003,$A178,Xero_Raw!$G$4:$G$5003,"*Subscription*",Xero_Raw!$A$4:$A$5003,"&gt;="&amp;DATE(2026,9,1),Xero_Raw!$A$4:$A$5003,"&lt;"&amp;EDATE(DATE(2026,9,1),1))+COUNTIFS(Customer_Invoices_Upload!$E$4:$E$5003,$A178,Customer_Invoices_Upload!$G$4:$G$5003,"*Subscription*",Customer_Invoices_Upload!$B$4:$B$5003,"&gt;="&amp;DATE(2026,9,1),Customer_Invoices_Upload!$B$4:$B$5003,"&lt;"&amp;EDATE(DATE(2026,9,1),1))+COUNTIFS(Stripe_Invoices_Upload!$D$4:$D$5003,$A178,Stripe_Invoices_Upload!$E$4:$E$5003,"*Subscription*",Stripe_Invoices_Upload!$A$4:$A$5003,"&gt;="&amp;DATE(2026,9,1),Stripe_Invoices_Upload!$A$4:$A$5003,"&lt;"&amp;EDATE(DATE(2026,9,1),1)))&gt;0,"✓ Invoiced","⚠ Due"),""),""))</f>
        <v/>
      </c>
      <c r="M178" s="130" t="str">
        <f aca="false">IF($A178="","",IF((DATE(YEAR($E178),MONTH($E178),1)&lt;=DATE(2026,10,1)),IF((MOD(DATEDIF(DATE(YEAR($E178),MONTH($E178),1),DATE(2026,10,1),"m"),IF($D178="Quarterly",3,IF($D178="Annual",12,1)))=0),IF((COUNTIFS(Xero_Raw!$D$4:$D$5003,$A178,Xero_Raw!$G$4:$G$5003,"*Subscription*",Xero_Raw!$A$4:$A$5003,"&gt;="&amp;DATE(2026,10,1),Xero_Raw!$A$4:$A$5003,"&lt;"&amp;EDATE(DATE(2026,10,1),1))+COUNTIFS(Customer_Invoices_Upload!$E$4:$E$5003,$A178,Customer_Invoices_Upload!$G$4:$G$5003,"*Subscription*",Customer_Invoices_Upload!$B$4:$B$5003,"&gt;="&amp;DATE(2026,10,1),Customer_Invoices_Upload!$B$4:$B$5003,"&lt;"&amp;EDATE(DATE(2026,10,1),1))+COUNTIFS(Stripe_Invoices_Upload!$D$4:$D$5003,$A178,Stripe_Invoices_Upload!$E$4:$E$5003,"*Subscription*",Stripe_Invoices_Upload!$A$4:$A$5003,"&gt;="&amp;DATE(2026,10,1),Stripe_Invoices_Upload!$A$4:$A$5003,"&lt;"&amp;EDATE(DATE(2026,10,1),1)))&gt;0,"✓ Invoiced","⚠ Due"),""),""))</f>
        <v/>
      </c>
      <c r="N178" s="130" t="str">
        <f aca="false">IF($A178="","",IF((DATE(YEAR($E178),MONTH($E178),1)&lt;=DATE(2026,11,1)),IF((MOD(DATEDIF(DATE(YEAR($E178),MONTH($E178),1),DATE(2026,11,1),"m"),IF($D178="Quarterly",3,IF($D178="Annual",12,1)))=0),IF((COUNTIFS(Xero_Raw!$D$4:$D$5003,$A178,Xero_Raw!$G$4:$G$5003,"*Subscription*",Xero_Raw!$A$4:$A$5003,"&gt;="&amp;DATE(2026,11,1),Xero_Raw!$A$4:$A$5003,"&lt;"&amp;EDATE(DATE(2026,11,1),1))+COUNTIFS(Customer_Invoices_Upload!$E$4:$E$5003,$A178,Customer_Invoices_Upload!$G$4:$G$5003,"*Subscription*",Customer_Invoices_Upload!$B$4:$B$5003,"&gt;="&amp;DATE(2026,11,1),Customer_Invoices_Upload!$B$4:$B$5003,"&lt;"&amp;EDATE(DATE(2026,11,1),1))+COUNTIFS(Stripe_Invoices_Upload!$D$4:$D$5003,$A178,Stripe_Invoices_Upload!$E$4:$E$5003,"*Subscription*",Stripe_Invoices_Upload!$A$4:$A$5003,"&gt;="&amp;DATE(2026,11,1),Stripe_Invoices_Upload!$A$4:$A$5003,"&lt;"&amp;EDATE(DATE(2026,11,1),1)))&gt;0,"✓ Invoiced","⚠ Due"),""),""))</f>
        <v/>
      </c>
      <c r="O178" s="130" t="str">
        <f aca="false">IF($A178="","",IF((DATE(YEAR($E178),MONTH($E178),1)&lt;=DATE(2026,12,1)),IF((MOD(DATEDIF(DATE(YEAR($E178),MONTH($E178),1),DATE(2026,12,1),"m"),IF($D178="Quarterly",3,IF($D178="Annual",12,1)))=0),IF((COUNTIFS(Xero_Raw!$D$4:$D$5003,$A178,Xero_Raw!$G$4:$G$5003,"*Subscription*",Xero_Raw!$A$4:$A$5003,"&gt;="&amp;DATE(2026,12,1),Xero_Raw!$A$4:$A$5003,"&lt;"&amp;EDATE(DATE(2026,12,1),1))+COUNTIFS(Customer_Invoices_Upload!$E$4:$E$5003,$A178,Customer_Invoices_Upload!$G$4:$G$5003,"*Subscription*",Customer_Invoices_Upload!$B$4:$B$5003,"&gt;="&amp;DATE(2026,12,1),Customer_Invoices_Upload!$B$4:$B$5003,"&lt;"&amp;EDATE(DATE(2026,12,1),1))+COUNTIFS(Stripe_Invoices_Upload!$D$4:$D$5003,$A178,Stripe_Invoices_Upload!$E$4:$E$5003,"*Subscription*",Stripe_Invoices_Upload!$A$4:$A$5003,"&gt;="&amp;DATE(2026,12,1),Stripe_Invoices_Upload!$A$4:$A$5003,"&lt;"&amp;EDATE(DATE(2026,12,1),1)))&gt;0,"✓ Invoiced","⚠ Due"),""),""))</f>
        <v/>
      </c>
      <c r="P178" s="130" t="str">
        <f aca="false">IF($A178="","",IF((DATE(YEAR($E178),MONTH($E178),1)&lt;=DATE(2027,1,1)),IF((MOD(DATEDIF(DATE(YEAR($E178),MONTH($E178),1),DATE(2027,1,1),"m"),IF($D178="Quarterly",3,IF($D178="Annual",12,1)))=0),IF((COUNTIFS(Xero_Raw!$D$4:$D$5003,$A178,Xero_Raw!$G$4:$G$5003,"*Subscription*",Xero_Raw!$A$4:$A$5003,"&gt;="&amp;DATE(2027,1,1),Xero_Raw!$A$4:$A$5003,"&lt;"&amp;EDATE(DATE(2027,1,1),1))+COUNTIFS(Customer_Invoices_Upload!$E$4:$E$5003,$A178,Customer_Invoices_Upload!$G$4:$G$5003,"*Subscription*",Customer_Invoices_Upload!$B$4:$B$5003,"&gt;="&amp;DATE(2027,1,1),Customer_Invoices_Upload!$B$4:$B$5003,"&lt;"&amp;EDATE(DATE(2027,1,1),1))+COUNTIFS(Stripe_Invoices_Upload!$D$4:$D$5003,$A178,Stripe_Invoices_Upload!$E$4:$E$5003,"*Subscription*",Stripe_Invoices_Upload!$A$4:$A$5003,"&gt;="&amp;DATE(2027,1,1),Stripe_Invoices_Upload!$A$4:$A$5003,"&lt;"&amp;EDATE(DATE(2027,1,1),1)))&gt;0,"✓ Invoiced","⚠ Due"),""),""))</f>
        <v/>
      </c>
      <c r="Q178" s="130" t="str">
        <f aca="false">IF($A178="","",IF((DATE(YEAR($E178),MONTH($E178),1)&lt;=DATE(2027,2,1)),IF((MOD(DATEDIF(DATE(YEAR($E178),MONTH($E178),1),DATE(2027,2,1),"m"),IF($D178="Quarterly",3,IF($D178="Annual",12,1)))=0),IF((COUNTIFS(Xero_Raw!$D$4:$D$5003,$A178,Xero_Raw!$G$4:$G$5003,"*Subscription*",Xero_Raw!$A$4:$A$5003,"&gt;="&amp;DATE(2027,2,1),Xero_Raw!$A$4:$A$5003,"&lt;"&amp;EDATE(DATE(2027,2,1),1))+COUNTIFS(Customer_Invoices_Upload!$E$4:$E$5003,$A178,Customer_Invoices_Upload!$G$4:$G$5003,"*Subscription*",Customer_Invoices_Upload!$B$4:$B$5003,"&gt;="&amp;DATE(2027,2,1),Customer_Invoices_Upload!$B$4:$B$5003,"&lt;"&amp;EDATE(DATE(2027,2,1),1))+COUNTIFS(Stripe_Invoices_Upload!$D$4:$D$5003,$A178,Stripe_Invoices_Upload!$E$4:$E$5003,"*Subscription*",Stripe_Invoices_Upload!$A$4:$A$5003,"&gt;="&amp;DATE(2027,2,1),Stripe_Invoices_Upload!$A$4:$A$5003,"&lt;"&amp;EDATE(DATE(2027,2,1),1)))&gt;0,"✓ Invoiced","⚠ Due"),""),""))</f>
        <v/>
      </c>
      <c r="R178" s="130" t="str">
        <f aca="false">IF($A178="","",IF((DATE(YEAR($E178),MONTH($E178),1)&lt;=DATE(2027,3,1)),IF((MOD(DATEDIF(DATE(YEAR($E178),MONTH($E178),1),DATE(2027,3,1),"m"),IF($D178="Quarterly",3,IF($D178="Annual",12,1)))=0),IF((COUNTIFS(Xero_Raw!$D$4:$D$5003,$A178,Xero_Raw!$G$4:$G$5003,"*Subscription*",Xero_Raw!$A$4:$A$5003,"&gt;="&amp;DATE(2027,3,1),Xero_Raw!$A$4:$A$5003,"&lt;"&amp;EDATE(DATE(2027,3,1),1))+COUNTIFS(Customer_Invoices_Upload!$E$4:$E$5003,$A178,Customer_Invoices_Upload!$G$4:$G$5003,"*Subscription*",Customer_Invoices_Upload!$B$4:$B$5003,"&gt;="&amp;DATE(2027,3,1),Customer_Invoices_Upload!$B$4:$B$5003,"&lt;"&amp;EDATE(DATE(2027,3,1),1))+COUNTIFS(Stripe_Invoices_Upload!$D$4:$D$5003,$A178,Stripe_Invoices_Upload!$E$4:$E$5003,"*Subscription*",Stripe_Invoices_Upload!$A$4:$A$5003,"&gt;="&amp;DATE(2027,3,1),Stripe_Invoices_Upload!$A$4:$A$5003,"&lt;"&amp;EDATE(DATE(2027,3,1),1)))&gt;0,"✓ Invoiced","⚠ Due"),""),""))</f>
        <v/>
      </c>
    </row>
    <row r="179" customFormat="false" ht="15" hidden="false" customHeight="false" outlineLevel="0" collapsed="false">
      <c r="A179" s="39"/>
      <c r="B179" s="39"/>
      <c r="C179" s="40"/>
      <c r="D179" s="39"/>
      <c r="E179" s="38"/>
      <c r="F179" s="129" t="str">
        <f aca="true">IF($A179="","",EDATE($E179,DATEDIF($E179,TODAY(),"m")+1))</f>
        <v/>
      </c>
      <c r="G179" s="130" t="str">
        <f aca="false">IF($A179="","",IF((DATE(YEAR($E179),MONTH($E179),1)&lt;=DATE(2026,4,1)),IF((MOD(DATEDIF(DATE(YEAR($E179),MONTH($E179),1),DATE(2026,4,1),"m"),IF($D179="Quarterly",3,IF($D179="Annual",12,1)))=0),IF((COUNTIFS(Xero_Raw!$D$4:$D$5003,$A179,Xero_Raw!$G$4:$G$5003,"*Subscription*",Xero_Raw!$A$4:$A$5003,"&gt;="&amp;DATE(2026,4,1),Xero_Raw!$A$4:$A$5003,"&lt;"&amp;EDATE(DATE(2026,4,1),1))+COUNTIFS(Customer_Invoices_Upload!$E$4:$E$5003,$A179,Customer_Invoices_Upload!$G$4:$G$5003,"*Subscription*",Customer_Invoices_Upload!$B$4:$B$5003,"&gt;="&amp;DATE(2026,4,1),Customer_Invoices_Upload!$B$4:$B$5003,"&lt;"&amp;EDATE(DATE(2026,4,1),1))+COUNTIFS(Stripe_Invoices_Upload!$D$4:$D$5003,$A179,Stripe_Invoices_Upload!$E$4:$E$5003,"*Subscription*",Stripe_Invoices_Upload!$A$4:$A$5003,"&gt;="&amp;DATE(2026,4,1),Stripe_Invoices_Upload!$A$4:$A$5003,"&lt;"&amp;EDATE(DATE(2026,4,1),1)))&gt;0,"✓ Invoiced","⚠ Due"),""),""))</f>
        <v/>
      </c>
      <c r="H179" s="130" t="str">
        <f aca="false">IF($A179="","",IF((DATE(YEAR($E179),MONTH($E179),1)&lt;=DATE(2026,5,1)),IF((MOD(DATEDIF(DATE(YEAR($E179),MONTH($E179),1),DATE(2026,5,1),"m"),IF($D179="Quarterly",3,IF($D179="Annual",12,1)))=0),IF((COUNTIFS(Xero_Raw!$D$4:$D$5003,$A179,Xero_Raw!$G$4:$G$5003,"*Subscription*",Xero_Raw!$A$4:$A$5003,"&gt;="&amp;DATE(2026,5,1),Xero_Raw!$A$4:$A$5003,"&lt;"&amp;EDATE(DATE(2026,5,1),1))+COUNTIFS(Customer_Invoices_Upload!$E$4:$E$5003,$A179,Customer_Invoices_Upload!$G$4:$G$5003,"*Subscription*",Customer_Invoices_Upload!$B$4:$B$5003,"&gt;="&amp;DATE(2026,5,1),Customer_Invoices_Upload!$B$4:$B$5003,"&lt;"&amp;EDATE(DATE(2026,5,1),1))+COUNTIFS(Stripe_Invoices_Upload!$D$4:$D$5003,$A179,Stripe_Invoices_Upload!$E$4:$E$5003,"*Subscription*",Stripe_Invoices_Upload!$A$4:$A$5003,"&gt;="&amp;DATE(2026,5,1),Stripe_Invoices_Upload!$A$4:$A$5003,"&lt;"&amp;EDATE(DATE(2026,5,1),1)))&gt;0,"✓ Invoiced","⚠ Due"),""),""))</f>
        <v/>
      </c>
      <c r="I179" s="130" t="str">
        <f aca="false">IF($A179="","",IF((DATE(YEAR($E179),MONTH($E179),1)&lt;=DATE(2026,6,1)),IF((MOD(DATEDIF(DATE(YEAR($E179),MONTH($E179),1),DATE(2026,6,1),"m"),IF($D179="Quarterly",3,IF($D179="Annual",12,1)))=0),IF((COUNTIFS(Xero_Raw!$D$4:$D$5003,$A179,Xero_Raw!$G$4:$G$5003,"*Subscription*",Xero_Raw!$A$4:$A$5003,"&gt;="&amp;DATE(2026,6,1),Xero_Raw!$A$4:$A$5003,"&lt;"&amp;EDATE(DATE(2026,6,1),1))+COUNTIFS(Customer_Invoices_Upload!$E$4:$E$5003,$A179,Customer_Invoices_Upload!$G$4:$G$5003,"*Subscription*",Customer_Invoices_Upload!$B$4:$B$5003,"&gt;="&amp;DATE(2026,6,1),Customer_Invoices_Upload!$B$4:$B$5003,"&lt;"&amp;EDATE(DATE(2026,6,1),1))+COUNTIFS(Stripe_Invoices_Upload!$D$4:$D$5003,$A179,Stripe_Invoices_Upload!$E$4:$E$5003,"*Subscription*",Stripe_Invoices_Upload!$A$4:$A$5003,"&gt;="&amp;DATE(2026,6,1),Stripe_Invoices_Upload!$A$4:$A$5003,"&lt;"&amp;EDATE(DATE(2026,6,1),1)))&gt;0,"✓ Invoiced","⚠ Due"),""),""))</f>
        <v/>
      </c>
      <c r="J179" s="130" t="str">
        <f aca="false">IF($A179="","",IF((DATE(YEAR($E179),MONTH($E179),1)&lt;=DATE(2026,7,1)),IF((MOD(DATEDIF(DATE(YEAR($E179),MONTH($E179),1),DATE(2026,7,1),"m"),IF($D179="Quarterly",3,IF($D179="Annual",12,1)))=0),IF((COUNTIFS(Xero_Raw!$D$4:$D$5003,$A179,Xero_Raw!$G$4:$G$5003,"*Subscription*",Xero_Raw!$A$4:$A$5003,"&gt;="&amp;DATE(2026,7,1),Xero_Raw!$A$4:$A$5003,"&lt;"&amp;EDATE(DATE(2026,7,1),1))+COUNTIFS(Customer_Invoices_Upload!$E$4:$E$5003,$A179,Customer_Invoices_Upload!$G$4:$G$5003,"*Subscription*",Customer_Invoices_Upload!$B$4:$B$5003,"&gt;="&amp;DATE(2026,7,1),Customer_Invoices_Upload!$B$4:$B$5003,"&lt;"&amp;EDATE(DATE(2026,7,1),1))+COUNTIFS(Stripe_Invoices_Upload!$D$4:$D$5003,$A179,Stripe_Invoices_Upload!$E$4:$E$5003,"*Subscription*",Stripe_Invoices_Upload!$A$4:$A$5003,"&gt;="&amp;DATE(2026,7,1),Stripe_Invoices_Upload!$A$4:$A$5003,"&lt;"&amp;EDATE(DATE(2026,7,1),1)))&gt;0,"✓ Invoiced","⚠ Due"),""),""))</f>
        <v/>
      </c>
      <c r="K179" s="130" t="str">
        <f aca="false">IF($A179="","",IF((DATE(YEAR($E179),MONTH($E179),1)&lt;=DATE(2026,8,1)),IF((MOD(DATEDIF(DATE(YEAR($E179),MONTH($E179),1),DATE(2026,8,1),"m"),IF($D179="Quarterly",3,IF($D179="Annual",12,1)))=0),IF((COUNTIFS(Xero_Raw!$D$4:$D$5003,$A179,Xero_Raw!$G$4:$G$5003,"*Subscription*",Xero_Raw!$A$4:$A$5003,"&gt;="&amp;DATE(2026,8,1),Xero_Raw!$A$4:$A$5003,"&lt;"&amp;EDATE(DATE(2026,8,1),1))+COUNTIFS(Customer_Invoices_Upload!$E$4:$E$5003,$A179,Customer_Invoices_Upload!$G$4:$G$5003,"*Subscription*",Customer_Invoices_Upload!$B$4:$B$5003,"&gt;="&amp;DATE(2026,8,1),Customer_Invoices_Upload!$B$4:$B$5003,"&lt;"&amp;EDATE(DATE(2026,8,1),1))+COUNTIFS(Stripe_Invoices_Upload!$D$4:$D$5003,$A179,Stripe_Invoices_Upload!$E$4:$E$5003,"*Subscription*",Stripe_Invoices_Upload!$A$4:$A$5003,"&gt;="&amp;DATE(2026,8,1),Stripe_Invoices_Upload!$A$4:$A$5003,"&lt;"&amp;EDATE(DATE(2026,8,1),1)))&gt;0,"✓ Invoiced","⚠ Due"),""),""))</f>
        <v/>
      </c>
      <c r="L179" s="130" t="str">
        <f aca="false">IF($A179="","",IF((DATE(YEAR($E179),MONTH($E179),1)&lt;=DATE(2026,9,1)),IF((MOD(DATEDIF(DATE(YEAR($E179),MONTH($E179),1),DATE(2026,9,1),"m"),IF($D179="Quarterly",3,IF($D179="Annual",12,1)))=0),IF((COUNTIFS(Xero_Raw!$D$4:$D$5003,$A179,Xero_Raw!$G$4:$G$5003,"*Subscription*",Xero_Raw!$A$4:$A$5003,"&gt;="&amp;DATE(2026,9,1),Xero_Raw!$A$4:$A$5003,"&lt;"&amp;EDATE(DATE(2026,9,1),1))+COUNTIFS(Customer_Invoices_Upload!$E$4:$E$5003,$A179,Customer_Invoices_Upload!$G$4:$G$5003,"*Subscription*",Customer_Invoices_Upload!$B$4:$B$5003,"&gt;="&amp;DATE(2026,9,1),Customer_Invoices_Upload!$B$4:$B$5003,"&lt;"&amp;EDATE(DATE(2026,9,1),1))+COUNTIFS(Stripe_Invoices_Upload!$D$4:$D$5003,$A179,Stripe_Invoices_Upload!$E$4:$E$5003,"*Subscription*",Stripe_Invoices_Upload!$A$4:$A$5003,"&gt;="&amp;DATE(2026,9,1),Stripe_Invoices_Upload!$A$4:$A$5003,"&lt;"&amp;EDATE(DATE(2026,9,1),1)))&gt;0,"✓ Invoiced","⚠ Due"),""),""))</f>
        <v/>
      </c>
      <c r="M179" s="130" t="str">
        <f aca="false">IF($A179="","",IF((DATE(YEAR($E179),MONTH($E179),1)&lt;=DATE(2026,10,1)),IF((MOD(DATEDIF(DATE(YEAR($E179),MONTH($E179),1),DATE(2026,10,1),"m"),IF($D179="Quarterly",3,IF($D179="Annual",12,1)))=0),IF((COUNTIFS(Xero_Raw!$D$4:$D$5003,$A179,Xero_Raw!$G$4:$G$5003,"*Subscription*",Xero_Raw!$A$4:$A$5003,"&gt;="&amp;DATE(2026,10,1),Xero_Raw!$A$4:$A$5003,"&lt;"&amp;EDATE(DATE(2026,10,1),1))+COUNTIFS(Customer_Invoices_Upload!$E$4:$E$5003,$A179,Customer_Invoices_Upload!$G$4:$G$5003,"*Subscription*",Customer_Invoices_Upload!$B$4:$B$5003,"&gt;="&amp;DATE(2026,10,1),Customer_Invoices_Upload!$B$4:$B$5003,"&lt;"&amp;EDATE(DATE(2026,10,1),1))+COUNTIFS(Stripe_Invoices_Upload!$D$4:$D$5003,$A179,Stripe_Invoices_Upload!$E$4:$E$5003,"*Subscription*",Stripe_Invoices_Upload!$A$4:$A$5003,"&gt;="&amp;DATE(2026,10,1),Stripe_Invoices_Upload!$A$4:$A$5003,"&lt;"&amp;EDATE(DATE(2026,10,1),1)))&gt;0,"✓ Invoiced","⚠ Due"),""),""))</f>
        <v/>
      </c>
      <c r="N179" s="130" t="str">
        <f aca="false">IF($A179="","",IF((DATE(YEAR($E179),MONTH($E179),1)&lt;=DATE(2026,11,1)),IF((MOD(DATEDIF(DATE(YEAR($E179),MONTH($E179),1),DATE(2026,11,1),"m"),IF($D179="Quarterly",3,IF($D179="Annual",12,1)))=0),IF((COUNTIFS(Xero_Raw!$D$4:$D$5003,$A179,Xero_Raw!$G$4:$G$5003,"*Subscription*",Xero_Raw!$A$4:$A$5003,"&gt;="&amp;DATE(2026,11,1),Xero_Raw!$A$4:$A$5003,"&lt;"&amp;EDATE(DATE(2026,11,1),1))+COUNTIFS(Customer_Invoices_Upload!$E$4:$E$5003,$A179,Customer_Invoices_Upload!$G$4:$G$5003,"*Subscription*",Customer_Invoices_Upload!$B$4:$B$5003,"&gt;="&amp;DATE(2026,11,1),Customer_Invoices_Upload!$B$4:$B$5003,"&lt;"&amp;EDATE(DATE(2026,11,1),1))+COUNTIFS(Stripe_Invoices_Upload!$D$4:$D$5003,$A179,Stripe_Invoices_Upload!$E$4:$E$5003,"*Subscription*",Stripe_Invoices_Upload!$A$4:$A$5003,"&gt;="&amp;DATE(2026,11,1),Stripe_Invoices_Upload!$A$4:$A$5003,"&lt;"&amp;EDATE(DATE(2026,11,1),1)))&gt;0,"✓ Invoiced","⚠ Due"),""),""))</f>
        <v/>
      </c>
      <c r="O179" s="130" t="str">
        <f aca="false">IF($A179="","",IF((DATE(YEAR($E179),MONTH($E179),1)&lt;=DATE(2026,12,1)),IF((MOD(DATEDIF(DATE(YEAR($E179),MONTH($E179),1),DATE(2026,12,1),"m"),IF($D179="Quarterly",3,IF($D179="Annual",12,1)))=0),IF((COUNTIFS(Xero_Raw!$D$4:$D$5003,$A179,Xero_Raw!$G$4:$G$5003,"*Subscription*",Xero_Raw!$A$4:$A$5003,"&gt;="&amp;DATE(2026,12,1),Xero_Raw!$A$4:$A$5003,"&lt;"&amp;EDATE(DATE(2026,12,1),1))+COUNTIFS(Customer_Invoices_Upload!$E$4:$E$5003,$A179,Customer_Invoices_Upload!$G$4:$G$5003,"*Subscription*",Customer_Invoices_Upload!$B$4:$B$5003,"&gt;="&amp;DATE(2026,12,1),Customer_Invoices_Upload!$B$4:$B$5003,"&lt;"&amp;EDATE(DATE(2026,12,1),1))+COUNTIFS(Stripe_Invoices_Upload!$D$4:$D$5003,$A179,Stripe_Invoices_Upload!$E$4:$E$5003,"*Subscription*",Stripe_Invoices_Upload!$A$4:$A$5003,"&gt;="&amp;DATE(2026,12,1),Stripe_Invoices_Upload!$A$4:$A$5003,"&lt;"&amp;EDATE(DATE(2026,12,1),1)))&gt;0,"✓ Invoiced","⚠ Due"),""),""))</f>
        <v/>
      </c>
      <c r="P179" s="130" t="str">
        <f aca="false">IF($A179="","",IF((DATE(YEAR($E179),MONTH($E179),1)&lt;=DATE(2027,1,1)),IF((MOD(DATEDIF(DATE(YEAR($E179),MONTH($E179),1),DATE(2027,1,1),"m"),IF($D179="Quarterly",3,IF($D179="Annual",12,1)))=0),IF((COUNTIFS(Xero_Raw!$D$4:$D$5003,$A179,Xero_Raw!$G$4:$G$5003,"*Subscription*",Xero_Raw!$A$4:$A$5003,"&gt;="&amp;DATE(2027,1,1),Xero_Raw!$A$4:$A$5003,"&lt;"&amp;EDATE(DATE(2027,1,1),1))+COUNTIFS(Customer_Invoices_Upload!$E$4:$E$5003,$A179,Customer_Invoices_Upload!$G$4:$G$5003,"*Subscription*",Customer_Invoices_Upload!$B$4:$B$5003,"&gt;="&amp;DATE(2027,1,1),Customer_Invoices_Upload!$B$4:$B$5003,"&lt;"&amp;EDATE(DATE(2027,1,1),1))+COUNTIFS(Stripe_Invoices_Upload!$D$4:$D$5003,$A179,Stripe_Invoices_Upload!$E$4:$E$5003,"*Subscription*",Stripe_Invoices_Upload!$A$4:$A$5003,"&gt;="&amp;DATE(2027,1,1),Stripe_Invoices_Upload!$A$4:$A$5003,"&lt;"&amp;EDATE(DATE(2027,1,1),1)))&gt;0,"✓ Invoiced","⚠ Due"),""),""))</f>
        <v/>
      </c>
      <c r="Q179" s="130" t="str">
        <f aca="false">IF($A179="","",IF((DATE(YEAR($E179),MONTH($E179),1)&lt;=DATE(2027,2,1)),IF((MOD(DATEDIF(DATE(YEAR($E179),MONTH($E179),1),DATE(2027,2,1),"m"),IF($D179="Quarterly",3,IF($D179="Annual",12,1)))=0),IF((COUNTIFS(Xero_Raw!$D$4:$D$5003,$A179,Xero_Raw!$G$4:$G$5003,"*Subscription*",Xero_Raw!$A$4:$A$5003,"&gt;="&amp;DATE(2027,2,1),Xero_Raw!$A$4:$A$5003,"&lt;"&amp;EDATE(DATE(2027,2,1),1))+COUNTIFS(Customer_Invoices_Upload!$E$4:$E$5003,$A179,Customer_Invoices_Upload!$G$4:$G$5003,"*Subscription*",Customer_Invoices_Upload!$B$4:$B$5003,"&gt;="&amp;DATE(2027,2,1),Customer_Invoices_Upload!$B$4:$B$5003,"&lt;"&amp;EDATE(DATE(2027,2,1),1))+COUNTIFS(Stripe_Invoices_Upload!$D$4:$D$5003,$A179,Stripe_Invoices_Upload!$E$4:$E$5003,"*Subscription*",Stripe_Invoices_Upload!$A$4:$A$5003,"&gt;="&amp;DATE(2027,2,1),Stripe_Invoices_Upload!$A$4:$A$5003,"&lt;"&amp;EDATE(DATE(2027,2,1),1)))&gt;0,"✓ Invoiced","⚠ Due"),""),""))</f>
        <v/>
      </c>
      <c r="R179" s="130" t="str">
        <f aca="false">IF($A179="","",IF((DATE(YEAR($E179),MONTH($E179),1)&lt;=DATE(2027,3,1)),IF((MOD(DATEDIF(DATE(YEAR($E179),MONTH($E179),1),DATE(2027,3,1),"m"),IF($D179="Quarterly",3,IF($D179="Annual",12,1)))=0),IF((COUNTIFS(Xero_Raw!$D$4:$D$5003,$A179,Xero_Raw!$G$4:$G$5003,"*Subscription*",Xero_Raw!$A$4:$A$5003,"&gt;="&amp;DATE(2027,3,1),Xero_Raw!$A$4:$A$5003,"&lt;"&amp;EDATE(DATE(2027,3,1),1))+COUNTIFS(Customer_Invoices_Upload!$E$4:$E$5003,$A179,Customer_Invoices_Upload!$G$4:$G$5003,"*Subscription*",Customer_Invoices_Upload!$B$4:$B$5003,"&gt;="&amp;DATE(2027,3,1),Customer_Invoices_Upload!$B$4:$B$5003,"&lt;"&amp;EDATE(DATE(2027,3,1),1))+COUNTIFS(Stripe_Invoices_Upload!$D$4:$D$5003,$A179,Stripe_Invoices_Upload!$E$4:$E$5003,"*Subscription*",Stripe_Invoices_Upload!$A$4:$A$5003,"&gt;="&amp;DATE(2027,3,1),Stripe_Invoices_Upload!$A$4:$A$5003,"&lt;"&amp;EDATE(DATE(2027,3,1),1)))&gt;0,"✓ Invoiced","⚠ Due"),""),""))</f>
        <v/>
      </c>
    </row>
    <row r="180" customFormat="false" ht="15" hidden="false" customHeight="false" outlineLevel="0" collapsed="false">
      <c r="A180" s="39"/>
      <c r="B180" s="39"/>
      <c r="C180" s="40"/>
      <c r="D180" s="39"/>
      <c r="E180" s="38"/>
      <c r="F180" s="129" t="str">
        <f aca="true">IF($A180="","",EDATE($E180,DATEDIF($E180,TODAY(),"m")+1))</f>
        <v/>
      </c>
      <c r="G180" s="130" t="str">
        <f aca="false">IF($A180="","",IF((DATE(YEAR($E180),MONTH($E180),1)&lt;=DATE(2026,4,1)),IF((MOD(DATEDIF(DATE(YEAR($E180),MONTH($E180),1),DATE(2026,4,1),"m"),IF($D180="Quarterly",3,IF($D180="Annual",12,1)))=0),IF((COUNTIFS(Xero_Raw!$D$4:$D$5003,$A180,Xero_Raw!$G$4:$G$5003,"*Subscription*",Xero_Raw!$A$4:$A$5003,"&gt;="&amp;DATE(2026,4,1),Xero_Raw!$A$4:$A$5003,"&lt;"&amp;EDATE(DATE(2026,4,1),1))+COUNTIFS(Customer_Invoices_Upload!$E$4:$E$5003,$A180,Customer_Invoices_Upload!$G$4:$G$5003,"*Subscription*",Customer_Invoices_Upload!$B$4:$B$5003,"&gt;="&amp;DATE(2026,4,1),Customer_Invoices_Upload!$B$4:$B$5003,"&lt;"&amp;EDATE(DATE(2026,4,1),1))+COUNTIFS(Stripe_Invoices_Upload!$D$4:$D$5003,$A180,Stripe_Invoices_Upload!$E$4:$E$5003,"*Subscription*",Stripe_Invoices_Upload!$A$4:$A$5003,"&gt;="&amp;DATE(2026,4,1),Stripe_Invoices_Upload!$A$4:$A$5003,"&lt;"&amp;EDATE(DATE(2026,4,1),1)))&gt;0,"✓ Invoiced","⚠ Due"),""),""))</f>
        <v/>
      </c>
      <c r="H180" s="130" t="str">
        <f aca="false">IF($A180="","",IF((DATE(YEAR($E180),MONTH($E180),1)&lt;=DATE(2026,5,1)),IF((MOD(DATEDIF(DATE(YEAR($E180),MONTH($E180),1),DATE(2026,5,1),"m"),IF($D180="Quarterly",3,IF($D180="Annual",12,1)))=0),IF((COUNTIFS(Xero_Raw!$D$4:$D$5003,$A180,Xero_Raw!$G$4:$G$5003,"*Subscription*",Xero_Raw!$A$4:$A$5003,"&gt;="&amp;DATE(2026,5,1),Xero_Raw!$A$4:$A$5003,"&lt;"&amp;EDATE(DATE(2026,5,1),1))+COUNTIFS(Customer_Invoices_Upload!$E$4:$E$5003,$A180,Customer_Invoices_Upload!$G$4:$G$5003,"*Subscription*",Customer_Invoices_Upload!$B$4:$B$5003,"&gt;="&amp;DATE(2026,5,1),Customer_Invoices_Upload!$B$4:$B$5003,"&lt;"&amp;EDATE(DATE(2026,5,1),1))+COUNTIFS(Stripe_Invoices_Upload!$D$4:$D$5003,$A180,Stripe_Invoices_Upload!$E$4:$E$5003,"*Subscription*",Stripe_Invoices_Upload!$A$4:$A$5003,"&gt;="&amp;DATE(2026,5,1),Stripe_Invoices_Upload!$A$4:$A$5003,"&lt;"&amp;EDATE(DATE(2026,5,1),1)))&gt;0,"✓ Invoiced","⚠ Due"),""),""))</f>
        <v/>
      </c>
      <c r="I180" s="130" t="str">
        <f aca="false">IF($A180="","",IF((DATE(YEAR($E180),MONTH($E180),1)&lt;=DATE(2026,6,1)),IF((MOD(DATEDIF(DATE(YEAR($E180),MONTH($E180),1),DATE(2026,6,1),"m"),IF($D180="Quarterly",3,IF($D180="Annual",12,1)))=0),IF((COUNTIFS(Xero_Raw!$D$4:$D$5003,$A180,Xero_Raw!$G$4:$G$5003,"*Subscription*",Xero_Raw!$A$4:$A$5003,"&gt;="&amp;DATE(2026,6,1),Xero_Raw!$A$4:$A$5003,"&lt;"&amp;EDATE(DATE(2026,6,1),1))+COUNTIFS(Customer_Invoices_Upload!$E$4:$E$5003,$A180,Customer_Invoices_Upload!$G$4:$G$5003,"*Subscription*",Customer_Invoices_Upload!$B$4:$B$5003,"&gt;="&amp;DATE(2026,6,1),Customer_Invoices_Upload!$B$4:$B$5003,"&lt;"&amp;EDATE(DATE(2026,6,1),1))+COUNTIFS(Stripe_Invoices_Upload!$D$4:$D$5003,$A180,Stripe_Invoices_Upload!$E$4:$E$5003,"*Subscription*",Stripe_Invoices_Upload!$A$4:$A$5003,"&gt;="&amp;DATE(2026,6,1),Stripe_Invoices_Upload!$A$4:$A$5003,"&lt;"&amp;EDATE(DATE(2026,6,1),1)))&gt;0,"✓ Invoiced","⚠ Due"),""),""))</f>
        <v/>
      </c>
      <c r="J180" s="130" t="str">
        <f aca="false">IF($A180="","",IF((DATE(YEAR($E180),MONTH($E180),1)&lt;=DATE(2026,7,1)),IF((MOD(DATEDIF(DATE(YEAR($E180),MONTH($E180),1),DATE(2026,7,1),"m"),IF($D180="Quarterly",3,IF($D180="Annual",12,1)))=0),IF((COUNTIFS(Xero_Raw!$D$4:$D$5003,$A180,Xero_Raw!$G$4:$G$5003,"*Subscription*",Xero_Raw!$A$4:$A$5003,"&gt;="&amp;DATE(2026,7,1),Xero_Raw!$A$4:$A$5003,"&lt;"&amp;EDATE(DATE(2026,7,1),1))+COUNTIFS(Customer_Invoices_Upload!$E$4:$E$5003,$A180,Customer_Invoices_Upload!$G$4:$G$5003,"*Subscription*",Customer_Invoices_Upload!$B$4:$B$5003,"&gt;="&amp;DATE(2026,7,1),Customer_Invoices_Upload!$B$4:$B$5003,"&lt;"&amp;EDATE(DATE(2026,7,1),1))+COUNTIFS(Stripe_Invoices_Upload!$D$4:$D$5003,$A180,Stripe_Invoices_Upload!$E$4:$E$5003,"*Subscription*",Stripe_Invoices_Upload!$A$4:$A$5003,"&gt;="&amp;DATE(2026,7,1),Stripe_Invoices_Upload!$A$4:$A$5003,"&lt;"&amp;EDATE(DATE(2026,7,1),1)))&gt;0,"✓ Invoiced","⚠ Due"),""),""))</f>
        <v/>
      </c>
      <c r="K180" s="130" t="str">
        <f aca="false">IF($A180="","",IF((DATE(YEAR($E180),MONTH($E180),1)&lt;=DATE(2026,8,1)),IF((MOD(DATEDIF(DATE(YEAR($E180),MONTH($E180),1),DATE(2026,8,1),"m"),IF($D180="Quarterly",3,IF($D180="Annual",12,1)))=0),IF((COUNTIFS(Xero_Raw!$D$4:$D$5003,$A180,Xero_Raw!$G$4:$G$5003,"*Subscription*",Xero_Raw!$A$4:$A$5003,"&gt;="&amp;DATE(2026,8,1),Xero_Raw!$A$4:$A$5003,"&lt;"&amp;EDATE(DATE(2026,8,1),1))+COUNTIFS(Customer_Invoices_Upload!$E$4:$E$5003,$A180,Customer_Invoices_Upload!$G$4:$G$5003,"*Subscription*",Customer_Invoices_Upload!$B$4:$B$5003,"&gt;="&amp;DATE(2026,8,1),Customer_Invoices_Upload!$B$4:$B$5003,"&lt;"&amp;EDATE(DATE(2026,8,1),1))+COUNTIFS(Stripe_Invoices_Upload!$D$4:$D$5003,$A180,Stripe_Invoices_Upload!$E$4:$E$5003,"*Subscription*",Stripe_Invoices_Upload!$A$4:$A$5003,"&gt;="&amp;DATE(2026,8,1),Stripe_Invoices_Upload!$A$4:$A$5003,"&lt;"&amp;EDATE(DATE(2026,8,1),1)))&gt;0,"✓ Invoiced","⚠ Due"),""),""))</f>
        <v/>
      </c>
      <c r="L180" s="130" t="str">
        <f aca="false">IF($A180="","",IF((DATE(YEAR($E180),MONTH($E180),1)&lt;=DATE(2026,9,1)),IF((MOD(DATEDIF(DATE(YEAR($E180),MONTH($E180),1),DATE(2026,9,1),"m"),IF($D180="Quarterly",3,IF($D180="Annual",12,1)))=0),IF((COUNTIFS(Xero_Raw!$D$4:$D$5003,$A180,Xero_Raw!$G$4:$G$5003,"*Subscription*",Xero_Raw!$A$4:$A$5003,"&gt;="&amp;DATE(2026,9,1),Xero_Raw!$A$4:$A$5003,"&lt;"&amp;EDATE(DATE(2026,9,1),1))+COUNTIFS(Customer_Invoices_Upload!$E$4:$E$5003,$A180,Customer_Invoices_Upload!$G$4:$G$5003,"*Subscription*",Customer_Invoices_Upload!$B$4:$B$5003,"&gt;="&amp;DATE(2026,9,1),Customer_Invoices_Upload!$B$4:$B$5003,"&lt;"&amp;EDATE(DATE(2026,9,1),1))+COUNTIFS(Stripe_Invoices_Upload!$D$4:$D$5003,$A180,Stripe_Invoices_Upload!$E$4:$E$5003,"*Subscription*",Stripe_Invoices_Upload!$A$4:$A$5003,"&gt;="&amp;DATE(2026,9,1),Stripe_Invoices_Upload!$A$4:$A$5003,"&lt;"&amp;EDATE(DATE(2026,9,1),1)))&gt;0,"✓ Invoiced","⚠ Due"),""),""))</f>
        <v/>
      </c>
      <c r="M180" s="130" t="str">
        <f aca="false">IF($A180="","",IF((DATE(YEAR($E180),MONTH($E180),1)&lt;=DATE(2026,10,1)),IF((MOD(DATEDIF(DATE(YEAR($E180),MONTH($E180),1),DATE(2026,10,1),"m"),IF($D180="Quarterly",3,IF($D180="Annual",12,1)))=0),IF((COUNTIFS(Xero_Raw!$D$4:$D$5003,$A180,Xero_Raw!$G$4:$G$5003,"*Subscription*",Xero_Raw!$A$4:$A$5003,"&gt;="&amp;DATE(2026,10,1),Xero_Raw!$A$4:$A$5003,"&lt;"&amp;EDATE(DATE(2026,10,1),1))+COUNTIFS(Customer_Invoices_Upload!$E$4:$E$5003,$A180,Customer_Invoices_Upload!$G$4:$G$5003,"*Subscription*",Customer_Invoices_Upload!$B$4:$B$5003,"&gt;="&amp;DATE(2026,10,1),Customer_Invoices_Upload!$B$4:$B$5003,"&lt;"&amp;EDATE(DATE(2026,10,1),1))+COUNTIFS(Stripe_Invoices_Upload!$D$4:$D$5003,$A180,Stripe_Invoices_Upload!$E$4:$E$5003,"*Subscription*",Stripe_Invoices_Upload!$A$4:$A$5003,"&gt;="&amp;DATE(2026,10,1),Stripe_Invoices_Upload!$A$4:$A$5003,"&lt;"&amp;EDATE(DATE(2026,10,1),1)))&gt;0,"✓ Invoiced","⚠ Due"),""),""))</f>
        <v/>
      </c>
      <c r="N180" s="130" t="str">
        <f aca="false">IF($A180="","",IF((DATE(YEAR($E180),MONTH($E180),1)&lt;=DATE(2026,11,1)),IF((MOD(DATEDIF(DATE(YEAR($E180),MONTH($E180),1),DATE(2026,11,1),"m"),IF($D180="Quarterly",3,IF($D180="Annual",12,1)))=0),IF((COUNTIFS(Xero_Raw!$D$4:$D$5003,$A180,Xero_Raw!$G$4:$G$5003,"*Subscription*",Xero_Raw!$A$4:$A$5003,"&gt;="&amp;DATE(2026,11,1),Xero_Raw!$A$4:$A$5003,"&lt;"&amp;EDATE(DATE(2026,11,1),1))+COUNTIFS(Customer_Invoices_Upload!$E$4:$E$5003,$A180,Customer_Invoices_Upload!$G$4:$G$5003,"*Subscription*",Customer_Invoices_Upload!$B$4:$B$5003,"&gt;="&amp;DATE(2026,11,1),Customer_Invoices_Upload!$B$4:$B$5003,"&lt;"&amp;EDATE(DATE(2026,11,1),1))+COUNTIFS(Stripe_Invoices_Upload!$D$4:$D$5003,$A180,Stripe_Invoices_Upload!$E$4:$E$5003,"*Subscription*",Stripe_Invoices_Upload!$A$4:$A$5003,"&gt;="&amp;DATE(2026,11,1),Stripe_Invoices_Upload!$A$4:$A$5003,"&lt;"&amp;EDATE(DATE(2026,11,1),1)))&gt;0,"✓ Invoiced","⚠ Due"),""),""))</f>
        <v/>
      </c>
      <c r="O180" s="130" t="str">
        <f aca="false">IF($A180="","",IF((DATE(YEAR($E180),MONTH($E180),1)&lt;=DATE(2026,12,1)),IF((MOD(DATEDIF(DATE(YEAR($E180),MONTH($E180),1),DATE(2026,12,1),"m"),IF($D180="Quarterly",3,IF($D180="Annual",12,1)))=0),IF((COUNTIFS(Xero_Raw!$D$4:$D$5003,$A180,Xero_Raw!$G$4:$G$5003,"*Subscription*",Xero_Raw!$A$4:$A$5003,"&gt;="&amp;DATE(2026,12,1),Xero_Raw!$A$4:$A$5003,"&lt;"&amp;EDATE(DATE(2026,12,1),1))+COUNTIFS(Customer_Invoices_Upload!$E$4:$E$5003,$A180,Customer_Invoices_Upload!$G$4:$G$5003,"*Subscription*",Customer_Invoices_Upload!$B$4:$B$5003,"&gt;="&amp;DATE(2026,12,1),Customer_Invoices_Upload!$B$4:$B$5003,"&lt;"&amp;EDATE(DATE(2026,12,1),1))+COUNTIFS(Stripe_Invoices_Upload!$D$4:$D$5003,$A180,Stripe_Invoices_Upload!$E$4:$E$5003,"*Subscription*",Stripe_Invoices_Upload!$A$4:$A$5003,"&gt;="&amp;DATE(2026,12,1),Stripe_Invoices_Upload!$A$4:$A$5003,"&lt;"&amp;EDATE(DATE(2026,12,1),1)))&gt;0,"✓ Invoiced","⚠ Due"),""),""))</f>
        <v/>
      </c>
      <c r="P180" s="130" t="str">
        <f aca="false">IF($A180="","",IF((DATE(YEAR($E180),MONTH($E180),1)&lt;=DATE(2027,1,1)),IF((MOD(DATEDIF(DATE(YEAR($E180),MONTH($E180),1),DATE(2027,1,1),"m"),IF($D180="Quarterly",3,IF($D180="Annual",12,1)))=0),IF((COUNTIFS(Xero_Raw!$D$4:$D$5003,$A180,Xero_Raw!$G$4:$G$5003,"*Subscription*",Xero_Raw!$A$4:$A$5003,"&gt;="&amp;DATE(2027,1,1),Xero_Raw!$A$4:$A$5003,"&lt;"&amp;EDATE(DATE(2027,1,1),1))+COUNTIFS(Customer_Invoices_Upload!$E$4:$E$5003,$A180,Customer_Invoices_Upload!$G$4:$G$5003,"*Subscription*",Customer_Invoices_Upload!$B$4:$B$5003,"&gt;="&amp;DATE(2027,1,1),Customer_Invoices_Upload!$B$4:$B$5003,"&lt;"&amp;EDATE(DATE(2027,1,1),1))+COUNTIFS(Stripe_Invoices_Upload!$D$4:$D$5003,$A180,Stripe_Invoices_Upload!$E$4:$E$5003,"*Subscription*",Stripe_Invoices_Upload!$A$4:$A$5003,"&gt;="&amp;DATE(2027,1,1),Stripe_Invoices_Upload!$A$4:$A$5003,"&lt;"&amp;EDATE(DATE(2027,1,1),1)))&gt;0,"✓ Invoiced","⚠ Due"),""),""))</f>
        <v/>
      </c>
      <c r="Q180" s="130" t="str">
        <f aca="false">IF($A180="","",IF((DATE(YEAR($E180),MONTH($E180),1)&lt;=DATE(2027,2,1)),IF((MOD(DATEDIF(DATE(YEAR($E180),MONTH($E180),1),DATE(2027,2,1),"m"),IF($D180="Quarterly",3,IF($D180="Annual",12,1)))=0),IF((COUNTIFS(Xero_Raw!$D$4:$D$5003,$A180,Xero_Raw!$G$4:$G$5003,"*Subscription*",Xero_Raw!$A$4:$A$5003,"&gt;="&amp;DATE(2027,2,1),Xero_Raw!$A$4:$A$5003,"&lt;"&amp;EDATE(DATE(2027,2,1),1))+COUNTIFS(Customer_Invoices_Upload!$E$4:$E$5003,$A180,Customer_Invoices_Upload!$G$4:$G$5003,"*Subscription*",Customer_Invoices_Upload!$B$4:$B$5003,"&gt;="&amp;DATE(2027,2,1),Customer_Invoices_Upload!$B$4:$B$5003,"&lt;"&amp;EDATE(DATE(2027,2,1),1))+COUNTIFS(Stripe_Invoices_Upload!$D$4:$D$5003,$A180,Stripe_Invoices_Upload!$E$4:$E$5003,"*Subscription*",Stripe_Invoices_Upload!$A$4:$A$5003,"&gt;="&amp;DATE(2027,2,1),Stripe_Invoices_Upload!$A$4:$A$5003,"&lt;"&amp;EDATE(DATE(2027,2,1),1)))&gt;0,"✓ Invoiced","⚠ Due"),""),""))</f>
        <v/>
      </c>
      <c r="R180" s="130" t="str">
        <f aca="false">IF($A180="","",IF((DATE(YEAR($E180),MONTH($E180),1)&lt;=DATE(2027,3,1)),IF((MOD(DATEDIF(DATE(YEAR($E180),MONTH($E180),1),DATE(2027,3,1),"m"),IF($D180="Quarterly",3,IF($D180="Annual",12,1)))=0),IF((COUNTIFS(Xero_Raw!$D$4:$D$5003,$A180,Xero_Raw!$G$4:$G$5003,"*Subscription*",Xero_Raw!$A$4:$A$5003,"&gt;="&amp;DATE(2027,3,1),Xero_Raw!$A$4:$A$5003,"&lt;"&amp;EDATE(DATE(2027,3,1),1))+COUNTIFS(Customer_Invoices_Upload!$E$4:$E$5003,$A180,Customer_Invoices_Upload!$G$4:$G$5003,"*Subscription*",Customer_Invoices_Upload!$B$4:$B$5003,"&gt;="&amp;DATE(2027,3,1),Customer_Invoices_Upload!$B$4:$B$5003,"&lt;"&amp;EDATE(DATE(2027,3,1),1))+COUNTIFS(Stripe_Invoices_Upload!$D$4:$D$5003,$A180,Stripe_Invoices_Upload!$E$4:$E$5003,"*Subscription*",Stripe_Invoices_Upload!$A$4:$A$5003,"&gt;="&amp;DATE(2027,3,1),Stripe_Invoices_Upload!$A$4:$A$5003,"&lt;"&amp;EDATE(DATE(2027,3,1),1)))&gt;0,"✓ Invoiced","⚠ Due"),""),""))</f>
        <v/>
      </c>
    </row>
    <row r="181" customFormat="false" ht="15" hidden="false" customHeight="false" outlineLevel="0" collapsed="false">
      <c r="A181" s="39"/>
      <c r="B181" s="39"/>
      <c r="C181" s="40"/>
      <c r="D181" s="39"/>
      <c r="E181" s="38"/>
      <c r="F181" s="129" t="str">
        <f aca="true">IF($A181="","",EDATE($E181,DATEDIF($E181,TODAY(),"m")+1))</f>
        <v/>
      </c>
      <c r="G181" s="130" t="str">
        <f aca="false">IF($A181="","",IF((DATE(YEAR($E181),MONTH($E181),1)&lt;=DATE(2026,4,1)),IF((MOD(DATEDIF(DATE(YEAR($E181),MONTH($E181),1),DATE(2026,4,1),"m"),IF($D181="Quarterly",3,IF($D181="Annual",12,1)))=0),IF((COUNTIFS(Xero_Raw!$D$4:$D$5003,$A181,Xero_Raw!$G$4:$G$5003,"*Subscription*",Xero_Raw!$A$4:$A$5003,"&gt;="&amp;DATE(2026,4,1),Xero_Raw!$A$4:$A$5003,"&lt;"&amp;EDATE(DATE(2026,4,1),1))+COUNTIFS(Customer_Invoices_Upload!$E$4:$E$5003,$A181,Customer_Invoices_Upload!$G$4:$G$5003,"*Subscription*",Customer_Invoices_Upload!$B$4:$B$5003,"&gt;="&amp;DATE(2026,4,1),Customer_Invoices_Upload!$B$4:$B$5003,"&lt;"&amp;EDATE(DATE(2026,4,1),1))+COUNTIFS(Stripe_Invoices_Upload!$D$4:$D$5003,$A181,Stripe_Invoices_Upload!$E$4:$E$5003,"*Subscription*",Stripe_Invoices_Upload!$A$4:$A$5003,"&gt;="&amp;DATE(2026,4,1),Stripe_Invoices_Upload!$A$4:$A$5003,"&lt;"&amp;EDATE(DATE(2026,4,1),1)))&gt;0,"✓ Invoiced","⚠ Due"),""),""))</f>
        <v/>
      </c>
      <c r="H181" s="130" t="str">
        <f aca="false">IF($A181="","",IF((DATE(YEAR($E181),MONTH($E181),1)&lt;=DATE(2026,5,1)),IF((MOD(DATEDIF(DATE(YEAR($E181),MONTH($E181),1),DATE(2026,5,1),"m"),IF($D181="Quarterly",3,IF($D181="Annual",12,1)))=0),IF((COUNTIFS(Xero_Raw!$D$4:$D$5003,$A181,Xero_Raw!$G$4:$G$5003,"*Subscription*",Xero_Raw!$A$4:$A$5003,"&gt;="&amp;DATE(2026,5,1),Xero_Raw!$A$4:$A$5003,"&lt;"&amp;EDATE(DATE(2026,5,1),1))+COUNTIFS(Customer_Invoices_Upload!$E$4:$E$5003,$A181,Customer_Invoices_Upload!$G$4:$G$5003,"*Subscription*",Customer_Invoices_Upload!$B$4:$B$5003,"&gt;="&amp;DATE(2026,5,1),Customer_Invoices_Upload!$B$4:$B$5003,"&lt;"&amp;EDATE(DATE(2026,5,1),1))+COUNTIFS(Stripe_Invoices_Upload!$D$4:$D$5003,$A181,Stripe_Invoices_Upload!$E$4:$E$5003,"*Subscription*",Stripe_Invoices_Upload!$A$4:$A$5003,"&gt;="&amp;DATE(2026,5,1),Stripe_Invoices_Upload!$A$4:$A$5003,"&lt;"&amp;EDATE(DATE(2026,5,1),1)))&gt;0,"✓ Invoiced","⚠ Due"),""),""))</f>
        <v/>
      </c>
      <c r="I181" s="130" t="str">
        <f aca="false">IF($A181="","",IF((DATE(YEAR($E181),MONTH($E181),1)&lt;=DATE(2026,6,1)),IF((MOD(DATEDIF(DATE(YEAR($E181),MONTH($E181),1),DATE(2026,6,1),"m"),IF($D181="Quarterly",3,IF($D181="Annual",12,1)))=0),IF((COUNTIFS(Xero_Raw!$D$4:$D$5003,$A181,Xero_Raw!$G$4:$G$5003,"*Subscription*",Xero_Raw!$A$4:$A$5003,"&gt;="&amp;DATE(2026,6,1),Xero_Raw!$A$4:$A$5003,"&lt;"&amp;EDATE(DATE(2026,6,1),1))+COUNTIFS(Customer_Invoices_Upload!$E$4:$E$5003,$A181,Customer_Invoices_Upload!$G$4:$G$5003,"*Subscription*",Customer_Invoices_Upload!$B$4:$B$5003,"&gt;="&amp;DATE(2026,6,1),Customer_Invoices_Upload!$B$4:$B$5003,"&lt;"&amp;EDATE(DATE(2026,6,1),1))+COUNTIFS(Stripe_Invoices_Upload!$D$4:$D$5003,$A181,Stripe_Invoices_Upload!$E$4:$E$5003,"*Subscription*",Stripe_Invoices_Upload!$A$4:$A$5003,"&gt;="&amp;DATE(2026,6,1),Stripe_Invoices_Upload!$A$4:$A$5003,"&lt;"&amp;EDATE(DATE(2026,6,1),1)))&gt;0,"✓ Invoiced","⚠ Due"),""),""))</f>
        <v/>
      </c>
      <c r="J181" s="130" t="str">
        <f aca="false">IF($A181="","",IF((DATE(YEAR($E181),MONTH($E181),1)&lt;=DATE(2026,7,1)),IF((MOD(DATEDIF(DATE(YEAR($E181),MONTH($E181),1),DATE(2026,7,1),"m"),IF($D181="Quarterly",3,IF($D181="Annual",12,1)))=0),IF((COUNTIFS(Xero_Raw!$D$4:$D$5003,$A181,Xero_Raw!$G$4:$G$5003,"*Subscription*",Xero_Raw!$A$4:$A$5003,"&gt;="&amp;DATE(2026,7,1),Xero_Raw!$A$4:$A$5003,"&lt;"&amp;EDATE(DATE(2026,7,1),1))+COUNTIFS(Customer_Invoices_Upload!$E$4:$E$5003,$A181,Customer_Invoices_Upload!$G$4:$G$5003,"*Subscription*",Customer_Invoices_Upload!$B$4:$B$5003,"&gt;="&amp;DATE(2026,7,1),Customer_Invoices_Upload!$B$4:$B$5003,"&lt;"&amp;EDATE(DATE(2026,7,1),1))+COUNTIFS(Stripe_Invoices_Upload!$D$4:$D$5003,$A181,Stripe_Invoices_Upload!$E$4:$E$5003,"*Subscription*",Stripe_Invoices_Upload!$A$4:$A$5003,"&gt;="&amp;DATE(2026,7,1),Stripe_Invoices_Upload!$A$4:$A$5003,"&lt;"&amp;EDATE(DATE(2026,7,1),1)))&gt;0,"✓ Invoiced","⚠ Due"),""),""))</f>
        <v/>
      </c>
      <c r="K181" s="130" t="str">
        <f aca="false">IF($A181="","",IF((DATE(YEAR($E181),MONTH($E181),1)&lt;=DATE(2026,8,1)),IF((MOD(DATEDIF(DATE(YEAR($E181),MONTH($E181),1),DATE(2026,8,1),"m"),IF($D181="Quarterly",3,IF($D181="Annual",12,1)))=0),IF((COUNTIFS(Xero_Raw!$D$4:$D$5003,$A181,Xero_Raw!$G$4:$G$5003,"*Subscription*",Xero_Raw!$A$4:$A$5003,"&gt;="&amp;DATE(2026,8,1),Xero_Raw!$A$4:$A$5003,"&lt;"&amp;EDATE(DATE(2026,8,1),1))+COUNTIFS(Customer_Invoices_Upload!$E$4:$E$5003,$A181,Customer_Invoices_Upload!$G$4:$G$5003,"*Subscription*",Customer_Invoices_Upload!$B$4:$B$5003,"&gt;="&amp;DATE(2026,8,1),Customer_Invoices_Upload!$B$4:$B$5003,"&lt;"&amp;EDATE(DATE(2026,8,1),1))+COUNTIFS(Stripe_Invoices_Upload!$D$4:$D$5003,$A181,Stripe_Invoices_Upload!$E$4:$E$5003,"*Subscription*",Stripe_Invoices_Upload!$A$4:$A$5003,"&gt;="&amp;DATE(2026,8,1),Stripe_Invoices_Upload!$A$4:$A$5003,"&lt;"&amp;EDATE(DATE(2026,8,1),1)))&gt;0,"✓ Invoiced","⚠ Due"),""),""))</f>
        <v/>
      </c>
      <c r="L181" s="130" t="str">
        <f aca="false">IF($A181="","",IF((DATE(YEAR($E181),MONTH($E181),1)&lt;=DATE(2026,9,1)),IF((MOD(DATEDIF(DATE(YEAR($E181),MONTH($E181),1),DATE(2026,9,1),"m"),IF($D181="Quarterly",3,IF($D181="Annual",12,1)))=0),IF((COUNTIFS(Xero_Raw!$D$4:$D$5003,$A181,Xero_Raw!$G$4:$G$5003,"*Subscription*",Xero_Raw!$A$4:$A$5003,"&gt;="&amp;DATE(2026,9,1),Xero_Raw!$A$4:$A$5003,"&lt;"&amp;EDATE(DATE(2026,9,1),1))+COUNTIFS(Customer_Invoices_Upload!$E$4:$E$5003,$A181,Customer_Invoices_Upload!$G$4:$G$5003,"*Subscription*",Customer_Invoices_Upload!$B$4:$B$5003,"&gt;="&amp;DATE(2026,9,1),Customer_Invoices_Upload!$B$4:$B$5003,"&lt;"&amp;EDATE(DATE(2026,9,1),1))+COUNTIFS(Stripe_Invoices_Upload!$D$4:$D$5003,$A181,Stripe_Invoices_Upload!$E$4:$E$5003,"*Subscription*",Stripe_Invoices_Upload!$A$4:$A$5003,"&gt;="&amp;DATE(2026,9,1),Stripe_Invoices_Upload!$A$4:$A$5003,"&lt;"&amp;EDATE(DATE(2026,9,1),1)))&gt;0,"✓ Invoiced","⚠ Due"),""),""))</f>
        <v/>
      </c>
      <c r="M181" s="130" t="str">
        <f aca="false">IF($A181="","",IF((DATE(YEAR($E181),MONTH($E181),1)&lt;=DATE(2026,10,1)),IF((MOD(DATEDIF(DATE(YEAR($E181),MONTH($E181),1),DATE(2026,10,1),"m"),IF($D181="Quarterly",3,IF($D181="Annual",12,1)))=0),IF((COUNTIFS(Xero_Raw!$D$4:$D$5003,$A181,Xero_Raw!$G$4:$G$5003,"*Subscription*",Xero_Raw!$A$4:$A$5003,"&gt;="&amp;DATE(2026,10,1),Xero_Raw!$A$4:$A$5003,"&lt;"&amp;EDATE(DATE(2026,10,1),1))+COUNTIFS(Customer_Invoices_Upload!$E$4:$E$5003,$A181,Customer_Invoices_Upload!$G$4:$G$5003,"*Subscription*",Customer_Invoices_Upload!$B$4:$B$5003,"&gt;="&amp;DATE(2026,10,1),Customer_Invoices_Upload!$B$4:$B$5003,"&lt;"&amp;EDATE(DATE(2026,10,1),1))+COUNTIFS(Stripe_Invoices_Upload!$D$4:$D$5003,$A181,Stripe_Invoices_Upload!$E$4:$E$5003,"*Subscription*",Stripe_Invoices_Upload!$A$4:$A$5003,"&gt;="&amp;DATE(2026,10,1),Stripe_Invoices_Upload!$A$4:$A$5003,"&lt;"&amp;EDATE(DATE(2026,10,1),1)))&gt;0,"✓ Invoiced","⚠ Due"),""),""))</f>
        <v/>
      </c>
      <c r="N181" s="130" t="str">
        <f aca="false">IF($A181="","",IF((DATE(YEAR($E181),MONTH($E181),1)&lt;=DATE(2026,11,1)),IF((MOD(DATEDIF(DATE(YEAR($E181),MONTH($E181),1),DATE(2026,11,1),"m"),IF($D181="Quarterly",3,IF($D181="Annual",12,1)))=0),IF((COUNTIFS(Xero_Raw!$D$4:$D$5003,$A181,Xero_Raw!$G$4:$G$5003,"*Subscription*",Xero_Raw!$A$4:$A$5003,"&gt;="&amp;DATE(2026,11,1),Xero_Raw!$A$4:$A$5003,"&lt;"&amp;EDATE(DATE(2026,11,1),1))+COUNTIFS(Customer_Invoices_Upload!$E$4:$E$5003,$A181,Customer_Invoices_Upload!$G$4:$G$5003,"*Subscription*",Customer_Invoices_Upload!$B$4:$B$5003,"&gt;="&amp;DATE(2026,11,1),Customer_Invoices_Upload!$B$4:$B$5003,"&lt;"&amp;EDATE(DATE(2026,11,1),1))+COUNTIFS(Stripe_Invoices_Upload!$D$4:$D$5003,$A181,Stripe_Invoices_Upload!$E$4:$E$5003,"*Subscription*",Stripe_Invoices_Upload!$A$4:$A$5003,"&gt;="&amp;DATE(2026,11,1),Stripe_Invoices_Upload!$A$4:$A$5003,"&lt;"&amp;EDATE(DATE(2026,11,1),1)))&gt;0,"✓ Invoiced","⚠ Due"),""),""))</f>
        <v/>
      </c>
      <c r="O181" s="130" t="str">
        <f aca="false">IF($A181="","",IF((DATE(YEAR($E181),MONTH($E181),1)&lt;=DATE(2026,12,1)),IF((MOD(DATEDIF(DATE(YEAR($E181),MONTH($E181),1),DATE(2026,12,1),"m"),IF($D181="Quarterly",3,IF($D181="Annual",12,1)))=0),IF((COUNTIFS(Xero_Raw!$D$4:$D$5003,$A181,Xero_Raw!$G$4:$G$5003,"*Subscription*",Xero_Raw!$A$4:$A$5003,"&gt;="&amp;DATE(2026,12,1),Xero_Raw!$A$4:$A$5003,"&lt;"&amp;EDATE(DATE(2026,12,1),1))+COUNTIFS(Customer_Invoices_Upload!$E$4:$E$5003,$A181,Customer_Invoices_Upload!$G$4:$G$5003,"*Subscription*",Customer_Invoices_Upload!$B$4:$B$5003,"&gt;="&amp;DATE(2026,12,1),Customer_Invoices_Upload!$B$4:$B$5003,"&lt;"&amp;EDATE(DATE(2026,12,1),1))+COUNTIFS(Stripe_Invoices_Upload!$D$4:$D$5003,$A181,Stripe_Invoices_Upload!$E$4:$E$5003,"*Subscription*",Stripe_Invoices_Upload!$A$4:$A$5003,"&gt;="&amp;DATE(2026,12,1),Stripe_Invoices_Upload!$A$4:$A$5003,"&lt;"&amp;EDATE(DATE(2026,12,1),1)))&gt;0,"✓ Invoiced","⚠ Due"),""),""))</f>
        <v/>
      </c>
      <c r="P181" s="130" t="str">
        <f aca="false">IF($A181="","",IF((DATE(YEAR($E181),MONTH($E181),1)&lt;=DATE(2027,1,1)),IF((MOD(DATEDIF(DATE(YEAR($E181),MONTH($E181),1),DATE(2027,1,1),"m"),IF($D181="Quarterly",3,IF($D181="Annual",12,1)))=0),IF((COUNTIFS(Xero_Raw!$D$4:$D$5003,$A181,Xero_Raw!$G$4:$G$5003,"*Subscription*",Xero_Raw!$A$4:$A$5003,"&gt;="&amp;DATE(2027,1,1),Xero_Raw!$A$4:$A$5003,"&lt;"&amp;EDATE(DATE(2027,1,1),1))+COUNTIFS(Customer_Invoices_Upload!$E$4:$E$5003,$A181,Customer_Invoices_Upload!$G$4:$G$5003,"*Subscription*",Customer_Invoices_Upload!$B$4:$B$5003,"&gt;="&amp;DATE(2027,1,1),Customer_Invoices_Upload!$B$4:$B$5003,"&lt;"&amp;EDATE(DATE(2027,1,1),1))+COUNTIFS(Stripe_Invoices_Upload!$D$4:$D$5003,$A181,Stripe_Invoices_Upload!$E$4:$E$5003,"*Subscription*",Stripe_Invoices_Upload!$A$4:$A$5003,"&gt;="&amp;DATE(2027,1,1),Stripe_Invoices_Upload!$A$4:$A$5003,"&lt;"&amp;EDATE(DATE(2027,1,1),1)))&gt;0,"✓ Invoiced","⚠ Due"),""),""))</f>
        <v/>
      </c>
      <c r="Q181" s="130" t="str">
        <f aca="false">IF($A181="","",IF((DATE(YEAR($E181),MONTH($E181),1)&lt;=DATE(2027,2,1)),IF((MOD(DATEDIF(DATE(YEAR($E181),MONTH($E181),1),DATE(2027,2,1),"m"),IF($D181="Quarterly",3,IF($D181="Annual",12,1)))=0),IF((COUNTIFS(Xero_Raw!$D$4:$D$5003,$A181,Xero_Raw!$G$4:$G$5003,"*Subscription*",Xero_Raw!$A$4:$A$5003,"&gt;="&amp;DATE(2027,2,1),Xero_Raw!$A$4:$A$5003,"&lt;"&amp;EDATE(DATE(2027,2,1),1))+COUNTIFS(Customer_Invoices_Upload!$E$4:$E$5003,$A181,Customer_Invoices_Upload!$G$4:$G$5003,"*Subscription*",Customer_Invoices_Upload!$B$4:$B$5003,"&gt;="&amp;DATE(2027,2,1),Customer_Invoices_Upload!$B$4:$B$5003,"&lt;"&amp;EDATE(DATE(2027,2,1),1))+COUNTIFS(Stripe_Invoices_Upload!$D$4:$D$5003,$A181,Stripe_Invoices_Upload!$E$4:$E$5003,"*Subscription*",Stripe_Invoices_Upload!$A$4:$A$5003,"&gt;="&amp;DATE(2027,2,1),Stripe_Invoices_Upload!$A$4:$A$5003,"&lt;"&amp;EDATE(DATE(2027,2,1),1)))&gt;0,"✓ Invoiced","⚠ Due"),""),""))</f>
        <v/>
      </c>
      <c r="R181" s="130" t="str">
        <f aca="false">IF($A181="","",IF((DATE(YEAR($E181),MONTH($E181),1)&lt;=DATE(2027,3,1)),IF((MOD(DATEDIF(DATE(YEAR($E181),MONTH($E181),1),DATE(2027,3,1),"m"),IF($D181="Quarterly",3,IF($D181="Annual",12,1)))=0),IF((COUNTIFS(Xero_Raw!$D$4:$D$5003,$A181,Xero_Raw!$G$4:$G$5003,"*Subscription*",Xero_Raw!$A$4:$A$5003,"&gt;="&amp;DATE(2027,3,1),Xero_Raw!$A$4:$A$5003,"&lt;"&amp;EDATE(DATE(2027,3,1),1))+COUNTIFS(Customer_Invoices_Upload!$E$4:$E$5003,$A181,Customer_Invoices_Upload!$G$4:$G$5003,"*Subscription*",Customer_Invoices_Upload!$B$4:$B$5003,"&gt;="&amp;DATE(2027,3,1),Customer_Invoices_Upload!$B$4:$B$5003,"&lt;"&amp;EDATE(DATE(2027,3,1),1))+COUNTIFS(Stripe_Invoices_Upload!$D$4:$D$5003,$A181,Stripe_Invoices_Upload!$E$4:$E$5003,"*Subscription*",Stripe_Invoices_Upload!$A$4:$A$5003,"&gt;="&amp;DATE(2027,3,1),Stripe_Invoices_Upload!$A$4:$A$5003,"&lt;"&amp;EDATE(DATE(2027,3,1),1)))&gt;0,"✓ Invoiced","⚠ Due"),""),""))</f>
        <v/>
      </c>
    </row>
    <row r="182" customFormat="false" ht="15" hidden="false" customHeight="false" outlineLevel="0" collapsed="false">
      <c r="A182" s="39"/>
      <c r="B182" s="39"/>
      <c r="C182" s="40"/>
      <c r="D182" s="39"/>
      <c r="E182" s="38"/>
      <c r="F182" s="129" t="str">
        <f aca="true">IF($A182="","",EDATE($E182,DATEDIF($E182,TODAY(),"m")+1))</f>
        <v/>
      </c>
      <c r="G182" s="130" t="str">
        <f aca="false">IF($A182="","",IF((DATE(YEAR($E182),MONTH($E182),1)&lt;=DATE(2026,4,1)),IF((MOD(DATEDIF(DATE(YEAR($E182),MONTH($E182),1),DATE(2026,4,1),"m"),IF($D182="Quarterly",3,IF($D182="Annual",12,1)))=0),IF((COUNTIFS(Xero_Raw!$D$4:$D$5003,$A182,Xero_Raw!$G$4:$G$5003,"*Subscription*",Xero_Raw!$A$4:$A$5003,"&gt;="&amp;DATE(2026,4,1),Xero_Raw!$A$4:$A$5003,"&lt;"&amp;EDATE(DATE(2026,4,1),1))+COUNTIFS(Customer_Invoices_Upload!$E$4:$E$5003,$A182,Customer_Invoices_Upload!$G$4:$G$5003,"*Subscription*",Customer_Invoices_Upload!$B$4:$B$5003,"&gt;="&amp;DATE(2026,4,1),Customer_Invoices_Upload!$B$4:$B$5003,"&lt;"&amp;EDATE(DATE(2026,4,1),1))+COUNTIFS(Stripe_Invoices_Upload!$D$4:$D$5003,$A182,Stripe_Invoices_Upload!$E$4:$E$5003,"*Subscription*",Stripe_Invoices_Upload!$A$4:$A$5003,"&gt;="&amp;DATE(2026,4,1),Stripe_Invoices_Upload!$A$4:$A$5003,"&lt;"&amp;EDATE(DATE(2026,4,1),1)))&gt;0,"✓ Invoiced","⚠ Due"),""),""))</f>
        <v/>
      </c>
      <c r="H182" s="130" t="str">
        <f aca="false">IF($A182="","",IF((DATE(YEAR($E182),MONTH($E182),1)&lt;=DATE(2026,5,1)),IF((MOD(DATEDIF(DATE(YEAR($E182),MONTH($E182),1),DATE(2026,5,1),"m"),IF($D182="Quarterly",3,IF($D182="Annual",12,1)))=0),IF((COUNTIFS(Xero_Raw!$D$4:$D$5003,$A182,Xero_Raw!$G$4:$G$5003,"*Subscription*",Xero_Raw!$A$4:$A$5003,"&gt;="&amp;DATE(2026,5,1),Xero_Raw!$A$4:$A$5003,"&lt;"&amp;EDATE(DATE(2026,5,1),1))+COUNTIFS(Customer_Invoices_Upload!$E$4:$E$5003,$A182,Customer_Invoices_Upload!$G$4:$G$5003,"*Subscription*",Customer_Invoices_Upload!$B$4:$B$5003,"&gt;="&amp;DATE(2026,5,1),Customer_Invoices_Upload!$B$4:$B$5003,"&lt;"&amp;EDATE(DATE(2026,5,1),1))+COUNTIFS(Stripe_Invoices_Upload!$D$4:$D$5003,$A182,Stripe_Invoices_Upload!$E$4:$E$5003,"*Subscription*",Stripe_Invoices_Upload!$A$4:$A$5003,"&gt;="&amp;DATE(2026,5,1),Stripe_Invoices_Upload!$A$4:$A$5003,"&lt;"&amp;EDATE(DATE(2026,5,1),1)))&gt;0,"✓ Invoiced","⚠ Due"),""),""))</f>
        <v/>
      </c>
      <c r="I182" s="130" t="str">
        <f aca="false">IF($A182="","",IF((DATE(YEAR($E182),MONTH($E182),1)&lt;=DATE(2026,6,1)),IF((MOD(DATEDIF(DATE(YEAR($E182),MONTH($E182),1),DATE(2026,6,1),"m"),IF($D182="Quarterly",3,IF($D182="Annual",12,1)))=0),IF((COUNTIFS(Xero_Raw!$D$4:$D$5003,$A182,Xero_Raw!$G$4:$G$5003,"*Subscription*",Xero_Raw!$A$4:$A$5003,"&gt;="&amp;DATE(2026,6,1),Xero_Raw!$A$4:$A$5003,"&lt;"&amp;EDATE(DATE(2026,6,1),1))+COUNTIFS(Customer_Invoices_Upload!$E$4:$E$5003,$A182,Customer_Invoices_Upload!$G$4:$G$5003,"*Subscription*",Customer_Invoices_Upload!$B$4:$B$5003,"&gt;="&amp;DATE(2026,6,1),Customer_Invoices_Upload!$B$4:$B$5003,"&lt;"&amp;EDATE(DATE(2026,6,1),1))+COUNTIFS(Stripe_Invoices_Upload!$D$4:$D$5003,$A182,Stripe_Invoices_Upload!$E$4:$E$5003,"*Subscription*",Stripe_Invoices_Upload!$A$4:$A$5003,"&gt;="&amp;DATE(2026,6,1),Stripe_Invoices_Upload!$A$4:$A$5003,"&lt;"&amp;EDATE(DATE(2026,6,1),1)))&gt;0,"✓ Invoiced","⚠ Due"),""),""))</f>
        <v/>
      </c>
      <c r="J182" s="130" t="str">
        <f aca="false">IF($A182="","",IF((DATE(YEAR($E182),MONTH($E182),1)&lt;=DATE(2026,7,1)),IF((MOD(DATEDIF(DATE(YEAR($E182),MONTH($E182),1),DATE(2026,7,1),"m"),IF($D182="Quarterly",3,IF($D182="Annual",12,1)))=0),IF((COUNTIFS(Xero_Raw!$D$4:$D$5003,$A182,Xero_Raw!$G$4:$G$5003,"*Subscription*",Xero_Raw!$A$4:$A$5003,"&gt;="&amp;DATE(2026,7,1),Xero_Raw!$A$4:$A$5003,"&lt;"&amp;EDATE(DATE(2026,7,1),1))+COUNTIFS(Customer_Invoices_Upload!$E$4:$E$5003,$A182,Customer_Invoices_Upload!$G$4:$G$5003,"*Subscription*",Customer_Invoices_Upload!$B$4:$B$5003,"&gt;="&amp;DATE(2026,7,1),Customer_Invoices_Upload!$B$4:$B$5003,"&lt;"&amp;EDATE(DATE(2026,7,1),1))+COUNTIFS(Stripe_Invoices_Upload!$D$4:$D$5003,$A182,Stripe_Invoices_Upload!$E$4:$E$5003,"*Subscription*",Stripe_Invoices_Upload!$A$4:$A$5003,"&gt;="&amp;DATE(2026,7,1),Stripe_Invoices_Upload!$A$4:$A$5003,"&lt;"&amp;EDATE(DATE(2026,7,1),1)))&gt;0,"✓ Invoiced","⚠ Due"),""),""))</f>
        <v/>
      </c>
      <c r="K182" s="130" t="str">
        <f aca="false">IF($A182="","",IF((DATE(YEAR($E182),MONTH($E182),1)&lt;=DATE(2026,8,1)),IF((MOD(DATEDIF(DATE(YEAR($E182),MONTH($E182),1),DATE(2026,8,1),"m"),IF($D182="Quarterly",3,IF($D182="Annual",12,1)))=0),IF((COUNTIFS(Xero_Raw!$D$4:$D$5003,$A182,Xero_Raw!$G$4:$G$5003,"*Subscription*",Xero_Raw!$A$4:$A$5003,"&gt;="&amp;DATE(2026,8,1),Xero_Raw!$A$4:$A$5003,"&lt;"&amp;EDATE(DATE(2026,8,1),1))+COUNTIFS(Customer_Invoices_Upload!$E$4:$E$5003,$A182,Customer_Invoices_Upload!$G$4:$G$5003,"*Subscription*",Customer_Invoices_Upload!$B$4:$B$5003,"&gt;="&amp;DATE(2026,8,1),Customer_Invoices_Upload!$B$4:$B$5003,"&lt;"&amp;EDATE(DATE(2026,8,1),1))+COUNTIFS(Stripe_Invoices_Upload!$D$4:$D$5003,$A182,Stripe_Invoices_Upload!$E$4:$E$5003,"*Subscription*",Stripe_Invoices_Upload!$A$4:$A$5003,"&gt;="&amp;DATE(2026,8,1),Stripe_Invoices_Upload!$A$4:$A$5003,"&lt;"&amp;EDATE(DATE(2026,8,1),1)))&gt;0,"✓ Invoiced","⚠ Due"),""),""))</f>
        <v/>
      </c>
      <c r="L182" s="130" t="str">
        <f aca="false">IF($A182="","",IF((DATE(YEAR($E182),MONTH($E182),1)&lt;=DATE(2026,9,1)),IF((MOD(DATEDIF(DATE(YEAR($E182),MONTH($E182),1),DATE(2026,9,1),"m"),IF($D182="Quarterly",3,IF($D182="Annual",12,1)))=0),IF((COUNTIFS(Xero_Raw!$D$4:$D$5003,$A182,Xero_Raw!$G$4:$G$5003,"*Subscription*",Xero_Raw!$A$4:$A$5003,"&gt;="&amp;DATE(2026,9,1),Xero_Raw!$A$4:$A$5003,"&lt;"&amp;EDATE(DATE(2026,9,1),1))+COUNTIFS(Customer_Invoices_Upload!$E$4:$E$5003,$A182,Customer_Invoices_Upload!$G$4:$G$5003,"*Subscription*",Customer_Invoices_Upload!$B$4:$B$5003,"&gt;="&amp;DATE(2026,9,1),Customer_Invoices_Upload!$B$4:$B$5003,"&lt;"&amp;EDATE(DATE(2026,9,1),1))+COUNTIFS(Stripe_Invoices_Upload!$D$4:$D$5003,$A182,Stripe_Invoices_Upload!$E$4:$E$5003,"*Subscription*",Stripe_Invoices_Upload!$A$4:$A$5003,"&gt;="&amp;DATE(2026,9,1),Stripe_Invoices_Upload!$A$4:$A$5003,"&lt;"&amp;EDATE(DATE(2026,9,1),1)))&gt;0,"✓ Invoiced","⚠ Due"),""),""))</f>
        <v/>
      </c>
      <c r="M182" s="130" t="str">
        <f aca="false">IF($A182="","",IF((DATE(YEAR($E182),MONTH($E182),1)&lt;=DATE(2026,10,1)),IF((MOD(DATEDIF(DATE(YEAR($E182),MONTH($E182),1),DATE(2026,10,1),"m"),IF($D182="Quarterly",3,IF($D182="Annual",12,1)))=0),IF((COUNTIFS(Xero_Raw!$D$4:$D$5003,$A182,Xero_Raw!$G$4:$G$5003,"*Subscription*",Xero_Raw!$A$4:$A$5003,"&gt;="&amp;DATE(2026,10,1),Xero_Raw!$A$4:$A$5003,"&lt;"&amp;EDATE(DATE(2026,10,1),1))+COUNTIFS(Customer_Invoices_Upload!$E$4:$E$5003,$A182,Customer_Invoices_Upload!$G$4:$G$5003,"*Subscription*",Customer_Invoices_Upload!$B$4:$B$5003,"&gt;="&amp;DATE(2026,10,1),Customer_Invoices_Upload!$B$4:$B$5003,"&lt;"&amp;EDATE(DATE(2026,10,1),1))+COUNTIFS(Stripe_Invoices_Upload!$D$4:$D$5003,$A182,Stripe_Invoices_Upload!$E$4:$E$5003,"*Subscription*",Stripe_Invoices_Upload!$A$4:$A$5003,"&gt;="&amp;DATE(2026,10,1),Stripe_Invoices_Upload!$A$4:$A$5003,"&lt;"&amp;EDATE(DATE(2026,10,1),1)))&gt;0,"✓ Invoiced","⚠ Due"),""),""))</f>
        <v/>
      </c>
      <c r="N182" s="130" t="str">
        <f aca="false">IF($A182="","",IF((DATE(YEAR($E182),MONTH($E182),1)&lt;=DATE(2026,11,1)),IF((MOD(DATEDIF(DATE(YEAR($E182),MONTH($E182),1),DATE(2026,11,1),"m"),IF($D182="Quarterly",3,IF($D182="Annual",12,1)))=0),IF((COUNTIFS(Xero_Raw!$D$4:$D$5003,$A182,Xero_Raw!$G$4:$G$5003,"*Subscription*",Xero_Raw!$A$4:$A$5003,"&gt;="&amp;DATE(2026,11,1),Xero_Raw!$A$4:$A$5003,"&lt;"&amp;EDATE(DATE(2026,11,1),1))+COUNTIFS(Customer_Invoices_Upload!$E$4:$E$5003,$A182,Customer_Invoices_Upload!$G$4:$G$5003,"*Subscription*",Customer_Invoices_Upload!$B$4:$B$5003,"&gt;="&amp;DATE(2026,11,1),Customer_Invoices_Upload!$B$4:$B$5003,"&lt;"&amp;EDATE(DATE(2026,11,1),1))+COUNTIFS(Stripe_Invoices_Upload!$D$4:$D$5003,$A182,Stripe_Invoices_Upload!$E$4:$E$5003,"*Subscription*",Stripe_Invoices_Upload!$A$4:$A$5003,"&gt;="&amp;DATE(2026,11,1),Stripe_Invoices_Upload!$A$4:$A$5003,"&lt;"&amp;EDATE(DATE(2026,11,1),1)))&gt;0,"✓ Invoiced","⚠ Due"),""),""))</f>
        <v/>
      </c>
      <c r="O182" s="130" t="str">
        <f aca="false">IF($A182="","",IF((DATE(YEAR($E182),MONTH($E182),1)&lt;=DATE(2026,12,1)),IF((MOD(DATEDIF(DATE(YEAR($E182),MONTH($E182),1),DATE(2026,12,1),"m"),IF($D182="Quarterly",3,IF($D182="Annual",12,1)))=0),IF((COUNTIFS(Xero_Raw!$D$4:$D$5003,$A182,Xero_Raw!$G$4:$G$5003,"*Subscription*",Xero_Raw!$A$4:$A$5003,"&gt;="&amp;DATE(2026,12,1),Xero_Raw!$A$4:$A$5003,"&lt;"&amp;EDATE(DATE(2026,12,1),1))+COUNTIFS(Customer_Invoices_Upload!$E$4:$E$5003,$A182,Customer_Invoices_Upload!$G$4:$G$5003,"*Subscription*",Customer_Invoices_Upload!$B$4:$B$5003,"&gt;="&amp;DATE(2026,12,1),Customer_Invoices_Upload!$B$4:$B$5003,"&lt;"&amp;EDATE(DATE(2026,12,1),1))+COUNTIFS(Stripe_Invoices_Upload!$D$4:$D$5003,$A182,Stripe_Invoices_Upload!$E$4:$E$5003,"*Subscription*",Stripe_Invoices_Upload!$A$4:$A$5003,"&gt;="&amp;DATE(2026,12,1),Stripe_Invoices_Upload!$A$4:$A$5003,"&lt;"&amp;EDATE(DATE(2026,12,1),1)))&gt;0,"✓ Invoiced","⚠ Due"),""),""))</f>
        <v/>
      </c>
      <c r="P182" s="130" t="str">
        <f aca="false">IF($A182="","",IF((DATE(YEAR($E182),MONTH($E182),1)&lt;=DATE(2027,1,1)),IF((MOD(DATEDIF(DATE(YEAR($E182),MONTH($E182),1),DATE(2027,1,1),"m"),IF($D182="Quarterly",3,IF($D182="Annual",12,1)))=0),IF((COUNTIFS(Xero_Raw!$D$4:$D$5003,$A182,Xero_Raw!$G$4:$G$5003,"*Subscription*",Xero_Raw!$A$4:$A$5003,"&gt;="&amp;DATE(2027,1,1),Xero_Raw!$A$4:$A$5003,"&lt;"&amp;EDATE(DATE(2027,1,1),1))+COUNTIFS(Customer_Invoices_Upload!$E$4:$E$5003,$A182,Customer_Invoices_Upload!$G$4:$G$5003,"*Subscription*",Customer_Invoices_Upload!$B$4:$B$5003,"&gt;="&amp;DATE(2027,1,1),Customer_Invoices_Upload!$B$4:$B$5003,"&lt;"&amp;EDATE(DATE(2027,1,1),1))+COUNTIFS(Stripe_Invoices_Upload!$D$4:$D$5003,$A182,Stripe_Invoices_Upload!$E$4:$E$5003,"*Subscription*",Stripe_Invoices_Upload!$A$4:$A$5003,"&gt;="&amp;DATE(2027,1,1),Stripe_Invoices_Upload!$A$4:$A$5003,"&lt;"&amp;EDATE(DATE(2027,1,1),1)))&gt;0,"✓ Invoiced","⚠ Due"),""),""))</f>
        <v/>
      </c>
      <c r="Q182" s="130" t="str">
        <f aca="false">IF($A182="","",IF((DATE(YEAR($E182),MONTH($E182),1)&lt;=DATE(2027,2,1)),IF((MOD(DATEDIF(DATE(YEAR($E182),MONTH($E182),1),DATE(2027,2,1),"m"),IF($D182="Quarterly",3,IF($D182="Annual",12,1)))=0),IF((COUNTIFS(Xero_Raw!$D$4:$D$5003,$A182,Xero_Raw!$G$4:$G$5003,"*Subscription*",Xero_Raw!$A$4:$A$5003,"&gt;="&amp;DATE(2027,2,1),Xero_Raw!$A$4:$A$5003,"&lt;"&amp;EDATE(DATE(2027,2,1),1))+COUNTIFS(Customer_Invoices_Upload!$E$4:$E$5003,$A182,Customer_Invoices_Upload!$G$4:$G$5003,"*Subscription*",Customer_Invoices_Upload!$B$4:$B$5003,"&gt;="&amp;DATE(2027,2,1),Customer_Invoices_Upload!$B$4:$B$5003,"&lt;"&amp;EDATE(DATE(2027,2,1),1))+COUNTIFS(Stripe_Invoices_Upload!$D$4:$D$5003,$A182,Stripe_Invoices_Upload!$E$4:$E$5003,"*Subscription*",Stripe_Invoices_Upload!$A$4:$A$5003,"&gt;="&amp;DATE(2027,2,1),Stripe_Invoices_Upload!$A$4:$A$5003,"&lt;"&amp;EDATE(DATE(2027,2,1),1)))&gt;0,"✓ Invoiced","⚠ Due"),""),""))</f>
        <v/>
      </c>
      <c r="R182" s="130" t="str">
        <f aca="false">IF($A182="","",IF((DATE(YEAR($E182),MONTH($E182),1)&lt;=DATE(2027,3,1)),IF((MOD(DATEDIF(DATE(YEAR($E182),MONTH($E182),1),DATE(2027,3,1),"m"),IF($D182="Quarterly",3,IF($D182="Annual",12,1)))=0),IF((COUNTIFS(Xero_Raw!$D$4:$D$5003,$A182,Xero_Raw!$G$4:$G$5003,"*Subscription*",Xero_Raw!$A$4:$A$5003,"&gt;="&amp;DATE(2027,3,1),Xero_Raw!$A$4:$A$5003,"&lt;"&amp;EDATE(DATE(2027,3,1),1))+COUNTIFS(Customer_Invoices_Upload!$E$4:$E$5003,$A182,Customer_Invoices_Upload!$G$4:$G$5003,"*Subscription*",Customer_Invoices_Upload!$B$4:$B$5003,"&gt;="&amp;DATE(2027,3,1),Customer_Invoices_Upload!$B$4:$B$5003,"&lt;"&amp;EDATE(DATE(2027,3,1),1))+COUNTIFS(Stripe_Invoices_Upload!$D$4:$D$5003,$A182,Stripe_Invoices_Upload!$E$4:$E$5003,"*Subscription*",Stripe_Invoices_Upload!$A$4:$A$5003,"&gt;="&amp;DATE(2027,3,1),Stripe_Invoices_Upload!$A$4:$A$5003,"&lt;"&amp;EDATE(DATE(2027,3,1),1)))&gt;0,"✓ Invoiced","⚠ Due"),""),""))</f>
        <v/>
      </c>
    </row>
    <row r="183" customFormat="false" ht="15" hidden="false" customHeight="false" outlineLevel="0" collapsed="false">
      <c r="A183" s="39"/>
      <c r="B183" s="39"/>
      <c r="C183" s="40"/>
      <c r="D183" s="39"/>
      <c r="E183" s="38"/>
      <c r="F183" s="129" t="str">
        <f aca="true">IF($A183="","",EDATE($E183,DATEDIF($E183,TODAY(),"m")+1))</f>
        <v/>
      </c>
      <c r="G183" s="130" t="str">
        <f aca="false">IF($A183="","",IF((DATE(YEAR($E183),MONTH($E183),1)&lt;=DATE(2026,4,1)),IF((MOD(DATEDIF(DATE(YEAR($E183),MONTH($E183),1),DATE(2026,4,1),"m"),IF($D183="Quarterly",3,IF($D183="Annual",12,1)))=0),IF((COUNTIFS(Xero_Raw!$D$4:$D$5003,$A183,Xero_Raw!$G$4:$G$5003,"*Subscription*",Xero_Raw!$A$4:$A$5003,"&gt;="&amp;DATE(2026,4,1),Xero_Raw!$A$4:$A$5003,"&lt;"&amp;EDATE(DATE(2026,4,1),1))+COUNTIFS(Customer_Invoices_Upload!$E$4:$E$5003,$A183,Customer_Invoices_Upload!$G$4:$G$5003,"*Subscription*",Customer_Invoices_Upload!$B$4:$B$5003,"&gt;="&amp;DATE(2026,4,1),Customer_Invoices_Upload!$B$4:$B$5003,"&lt;"&amp;EDATE(DATE(2026,4,1),1))+COUNTIFS(Stripe_Invoices_Upload!$D$4:$D$5003,$A183,Stripe_Invoices_Upload!$E$4:$E$5003,"*Subscription*",Stripe_Invoices_Upload!$A$4:$A$5003,"&gt;="&amp;DATE(2026,4,1),Stripe_Invoices_Upload!$A$4:$A$5003,"&lt;"&amp;EDATE(DATE(2026,4,1),1)))&gt;0,"✓ Invoiced","⚠ Due"),""),""))</f>
        <v/>
      </c>
      <c r="H183" s="130" t="str">
        <f aca="false">IF($A183="","",IF((DATE(YEAR($E183),MONTH($E183),1)&lt;=DATE(2026,5,1)),IF((MOD(DATEDIF(DATE(YEAR($E183),MONTH($E183),1),DATE(2026,5,1),"m"),IF($D183="Quarterly",3,IF($D183="Annual",12,1)))=0),IF((COUNTIFS(Xero_Raw!$D$4:$D$5003,$A183,Xero_Raw!$G$4:$G$5003,"*Subscription*",Xero_Raw!$A$4:$A$5003,"&gt;="&amp;DATE(2026,5,1),Xero_Raw!$A$4:$A$5003,"&lt;"&amp;EDATE(DATE(2026,5,1),1))+COUNTIFS(Customer_Invoices_Upload!$E$4:$E$5003,$A183,Customer_Invoices_Upload!$G$4:$G$5003,"*Subscription*",Customer_Invoices_Upload!$B$4:$B$5003,"&gt;="&amp;DATE(2026,5,1),Customer_Invoices_Upload!$B$4:$B$5003,"&lt;"&amp;EDATE(DATE(2026,5,1),1))+COUNTIFS(Stripe_Invoices_Upload!$D$4:$D$5003,$A183,Stripe_Invoices_Upload!$E$4:$E$5003,"*Subscription*",Stripe_Invoices_Upload!$A$4:$A$5003,"&gt;="&amp;DATE(2026,5,1),Stripe_Invoices_Upload!$A$4:$A$5003,"&lt;"&amp;EDATE(DATE(2026,5,1),1)))&gt;0,"✓ Invoiced","⚠ Due"),""),""))</f>
        <v/>
      </c>
      <c r="I183" s="130" t="str">
        <f aca="false">IF($A183="","",IF((DATE(YEAR($E183),MONTH($E183),1)&lt;=DATE(2026,6,1)),IF((MOD(DATEDIF(DATE(YEAR($E183),MONTH($E183),1),DATE(2026,6,1),"m"),IF($D183="Quarterly",3,IF($D183="Annual",12,1)))=0),IF((COUNTIFS(Xero_Raw!$D$4:$D$5003,$A183,Xero_Raw!$G$4:$G$5003,"*Subscription*",Xero_Raw!$A$4:$A$5003,"&gt;="&amp;DATE(2026,6,1),Xero_Raw!$A$4:$A$5003,"&lt;"&amp;EDATE(DATE(2026,6,1),1))+COUNTIFS(Customer_Invoices_Upload!$E$4:$E$5003,$A183,Customer_Invoices_Upload!$G$4:$G$5003,"*Subscription*",Customer_Invoices_Upload!$B$4:$B$5003,"&gt;="&amp;DATE(2026,6,1),Customer_Invoices_Upload!$B$4:$B$5003,"&lt;"&amp;EDATE(DATE(2026,6,1),1))+COUNTIFS(Stripe_Invoices_Upload!$D$4:$D$5003,$A183,Stripe_Invoices_Upload!$E$4:$E$5003,"*Subscription*",Stripe_Invoices_Upload!$A$4:$A$5003,"&gt;="&amp;DATE(2026,6,1),Stripe_Invoices_Upload!$A$4:$A$5003,"&lt;"&amp;EDATE(DATE(2026,6,1),1)))&gt;0,"✓ Invoiced","⚠ Due"),""),""))</f>
        <v/>
      </c>
      <c r="J183" s="130" t="str">
        <f aca="false">IF($A183="","",IF((DATE(YEAR($E183),MONTH($E183),1)&lt;=DATE(2026,7,1)),IF((MOD(DATEDIF(DATE(YEAR($E183),MONTH($E183),1),DATE(2026,7,1),"m"),IF($D183="Quarterly",3,IF($D183="Annual",12,1)))=0),IF((COUNTIFS(Xero_Raw!$D$4:$D$5003,$A183,Xero_Raw!$G$4:$G$5003,"*Subscription*",Xero_Raw!$A$4:$A$5003,"&gt;="&amp;DATE(2026,7,1),Xero_Raw!$A$4:$A$5003,"&lt;"&amp;EDATE(DATE(2026,7,1),1))+COUNTIFS(Customer_Invoices_Upload!$E$4:$E$5003,$A183,Customer_Invoices_Upload!$G$4:$G$5003,"*Subscription*",Customer_Invoices_Upload!$B$4:$B$5003,"&gt;="&amp;DATE(2026,7,1),Customer_Invoices_Upload!$B$4:$B$5003,"&lt;"&amp;EDATE(DATE(2026,7,1),1))+COUNTIFS(Stripe_Invoices_Upload!$D$4:$D$5003,$A183,Stripe_Invoices_Upload!$E$4:$E$5003,"*Subscription*",Stripe_Invoices_Upload!$A$4:$A$5003,"&gt;="&amp;DATE(2026,7,1),Stripe_Invoices_Upload!$A$4:$A$5003,"&lt;"&amp;EDATE(DATE(2026,7,1),1)))&gt;0,"✓ Invoiced","⚠ Due"),""),""))</f>
        <v/>
      </c>
      <c r="K183" s="130" t="str">
        <f aca="false">IF($A183="","",IF((DATE(YEAR($E183),MONTH($E183),1)&lt;=DATE(2026,8,1)),IF((MOD(DATEDIF(DATE(YEAR($E183),MONTH($E183),1),DATE(2026,8,1),"m"),IF($D183="Quarterly",3,IF($D183="Annual",12,1)))=0),IF((COUNTIFS(Xero_Raw!$D$4:$D$5003,$A183,Xero_Raw!$G$4:$G$5003,"*Subscription*",Xero_Raw!$A$4:$A$5003,"&gt;="&amp;DATE(2026,8,1),Xero_Raw!$A$4:$A$5003,"&lt;"&amp;EDATE(DATE(2026,8,1),1))+COUNTIFS(Customer_Invoices_Upload!$E$4:$E$5003,$A183,Customer_Invoices_Upload!$G$4:$G$5003,"*Subscription*",Customer_Invoices_Upload!$B$4:$B$5003,"&gt;="&amp;DATE(2026,8,1),Customer_Invoices_Upload!$B$4:$B$5003,"&lt;"&amp;EDATE(DATE(2026,8,1),1))+COUNTIFS(Stripe_Invoices_Upload!$D$4:$D$5003,$A183,Stripe_Invoices_Upload!$E$4:$E$5003,"*Subscription*",Stripe_Invoices_Upload!$A$4:$A$5003,"&gt;="&amp;DATE(2026,8,1),Stripe_Invoices_Upload!$A$4:$A$5003,"&lt;"&amp;EDATE(DATE(2026,8,1),1)))&gt;0,"✓ Invoiced","⚠ Due"),""),""))</f>
        <v/>
      </c>
      <c r="L183" s="130" t="str">
        <f aca="false">IF($A183="","",IF((DATE(YEAR($E183),MONTH($E183),1)&lt;=DATE(2026,9,1)),IF((MOD(DATEDIF(DATE(YEAR($E183),MONTH($E183),1),DATE(2026,9,1),"m"),IF($D183="Quarterly",3,IF($D183="Annual",12,1)))=0),IF((COUNTIFS(Xero_Raw!$D$4:$D$5003,$A183,Xero_Raw!$G$4:$G$5003,"*Subscription*",Xero_Raw!$A$4:$A$5003,"&gt;="&amp;DATE(2026,9,1),Xero_Raw!$A$4:$A$5003,"&lt;"&amp;EDATE(DATE(2026,9,1),1))+COUNTIFS(Customer_Invoices_Upload!$E$4:$E$5003,$A183,Customer_Invoices_Upload!$G$4:$G$5003,"*Subscription*",Customer_Invoices_Upload!$B$4:$B$5003,"&gt;="&amp;DATE(2026,9,1),Customer_Invoices_Upload!$B$4:$B$5003,"&lt;"&amp;EDATE(DATE(2026,9,1),1))+COUNTIFS(Stripe_Invoices_Upload!$D$4:$D$5003,$A183,Stripe_Invoices_Upload!$E$4:$E$5003,"*Subscription*",Stripe_Invoices_Upload!$A$4:$A$5003,"&gt;="&amp;DATE(2026,9,1),Stripe_Invoices_Upload!$A$4:$A$5003,"&lt;"&amp;EDATE(DATE(2026,9,1),1)))&gt;0,"✓ Invoiced","⚠ Due"),""),""))</f>
        <v/>
      </c>
      <c r="M183" s="130" t="str">
        <f aca="false">IF($A183="","",IF((DATE(YEAR($E183),MONTH($E183),1)&lt;=DATE(2026,10,1)),IF((MOD(DATEDIF(DATE(YEAR($E183),MONTH($E183),1),DATE(2026,10,1),"m"),IF($D183="Quarterly",3,IF($D183="Annual",12,1)))=0),IF((COUNTIFS(Xero_Raw!$D$4:$D$5003,$A183,Xero_Raw!$G$4:$G$5003,"*Subscription*",Xero_Raw!$A$4:$A$5003,"&gt;="&amp;DATE(2026,10,1),Xero_Raw!$A$4:$A$5003,"&lt;"&amp;EDATE(DATE(2026,10,1),1))+COUNTIFS(Customer_Invoices_Upload!$E$4:$E$5003,$A183,Customer_Invoices_Upload!$G$4:$G$5003,"*Subscription*",Customer_Invoices_Upload!$B$4:$B$5003,"&gt;="&amp;DATE(2026,10,1),Customer_Invoices_Upload!$B$4:$B$5003,"&lt;"&amp;EDATE(DATE(2026,10,1),1))+COUNTIFS(Stripe_Invoices_Upload!$D$4:$D$5003,$A183,Stripe_Invoices_Upload!$E$4:$E$5003,"*Subscription*",Stripe_Invoices_Upload!$A$4:$A$5003,"&gt;="&amp;DATE(2026,10,1),Stripe_Invoices_Upload!$A$4:$A$5003,"&lt;"&amp;EDATE(DATE(2026,10,1),1)))&gt;0,"✓ Invoiced","⚠ Due"),""),""))</f>
        <v/>
      </c>
      <c r="N183" s="130" t="str">
        <f aca="false">IF($A183="","",IF((DATE(YEAR($E183),MONTH($E183),1)&lt;=DATE(2026,11,1)),IF((MOD(DATEDIF(DATE(YEAR($E183),MONTH($E183),1),DATE(2026,11,1),"m"),IF($D183="Quarterly",3,IF($D183="Annual",12,1)))=0),IF((COUNTIFS(Xero_Raw!$D$4:$D$5003,$A183,Xero_Raw!$G$4:$G$5003,"*Subscription*",Xero_Raw!$A$4:$A$5003,"&gt;="&amp;DATE(2026,11,1),Xero_Raw!$A$4:$A$5003,"&lt;"&amp;EDATE(DATE(2026,11,1),1))+COUNTIFS(Customer_Invoices_Upload!$E$4:$E$5003,$A183,Customer_Invoices_Upload!$G$4:$G$5003,"*Subscription*",Customer_Invoices_Upload!$B$4:$B$5003,"&gt;="&amp;DATE(2026,11,1),Customer_Invoices_Upload!$B$4:$B$5003,"&lt;"&amp;EDATE(DATE(2026,11,1),1))+COUNTIFS(Stripe_Invoices_Upload!$D$4:$D$5003,$A183,Stripe_Invoices_Upload!$E$4:$E$5003,"*Subscription*",Stripe_Invoices_Upload!$A$4:$A$5003,"&gt;="&amp;DATE(2026,11,1),Stripe_Invoices_Upload!$A$4:$A$5003,"&lt;"&amp;EDATE(DATE(2026,11,1),1)))&gt;0,"✓ Invoiced","⚠ Due"),""),""))</f>
        <v/>
      </c>
      <c r="O183" s="130" t="str">
        <f aca="false">IF($A183="","",IF((DATE(YEAR($E183),MONTH($E183),1)&lt;=DATE(2026,12,1)),IF((MOD(DATEDIF(DATE(YEAR($E183),MONTH($E183),1),DATE(2026,12,1),"m"),IF($D183="Quarterly",3,IF($D183="Annual",12,1)))=0),IF((COUNTIFS(Xero_Raw!$D$4:$D$5003,$A183,Xero_Raw!$G$4:$G$5003,"*Subscription*",Xero_Raw!$A$4:$A$5003,"&gt;="&amp;DATE(2026,12,1),Xero_Raw!$A$4:$A$5003,"&lt;"&amp;EDATE(DATE(2026,12,1),1))+COUNTIFS(Customer_Invoices_Upload!$E$4:$E$5003,$A183,Customer_Invoices_Upload!$G$4:$G$5003,"*Subscription*",Customer_Invoices_Upload!$B$4:$B$5003,"&gt;="&amp;DATE(2026,12,1),Customer_Invoices_Upload!$B$4:$B$5003,"&lt;"&amp;EDATE(DATE(2026,12,1),1))+COUNTIFS(Stripe_Invoices_Upload!$D$4:$D$5003,$A183,Stripe_Invoices_Upload!$E$4:$E$5003,"*Subscription*",Stripe_Invoices_Upload!$A$4:$A$5003,"&gt;="&amp;DATE(2026,12,1),Stripe_Invoices_Upload!$A$4:$A$5003,"&lt;"&amp;EDATE(DATE(2026,12,1),1)))&gt;0,"✓ Invoiced","⚠ Due"),""),""))</f>
        <v/>
      </c>
      <c r="P183" s="130" t="str">
        <f aca="false">IF($A183="","",IF((DATE(YEAR($E183),MONTH($E183),1)&lt;=DATE(2027,1,1)),IF((MOD(DATEDIF(DATE(YEAR($E183),MONTH($E183),1),DATE(2027,1,1),"m"),IF($D183="Quarterly",3,IF($D183="Annual",12,1)))=0),IF((COUNTIFS(Xero_Raw!$D$4:$D$5003,$A183,Xero_Raw!$G$4:$G$5003,"*Subscription*",Xero_Raw!$A$4:$A$5003,"&gt;="&amp;DATE(2027,1,1),Xero_Raw!$A$4:$A$5003,"&lt;"&amp;EDATE(DATE(2027,1,1),1))+COUNTIFS(Customer_Invoices_Upload!$E$4:$E$5003,$A183,Customer_Invoices_Upload!$G$4:$G$5003,"*Subscription*",Customer_Invoices_Upload!$B$4:$B$5003,"&gt;="&amp;DATE(2027,1,1),Customer_Invoices_Upload!$B$4:$B$5003,"&lt;"&amp;EDATE(DATE(2027,1,1),1))+COUNTIFS(Stripe_Invoices_Upload!$D$4:$D$5003,$A183,Stripe_Invoices_Upload!$E$4:$E$5003,"*Subscription*",Stripe_Invoices_Upload!$A$4:$A$5003,"&gt;="&amp;DATE(2027,1,1),Stripe_Invoices_Upload!$A$4:$A$5003,"&lt;"&amp;EDATE(DATE(2027,1,1),1)))&gt;0,"✓ Invoiced","⚠ Due"),""),""))</f>
        <v/>
      </c>
      <c r="Q183" s="130" t="str">
        <f aca="false">IF($A183="","",IF((DATE(YEAR($E183),MONTH($E183),1)&lt;=DATE(2027,2,1)),IF((MOD(DATEDIF(DATE(YEAR($E183),MONTH($E183),1),DATE(2027,2,1),"m"),IF($D183="Quarterly",3,IF($D183="Annual",12,1)))=0),IF((COUNTIFS(Xero_Raw!$D$4:$D$5003,$A183,Xero_Raw!$G$4:$G$5003,"*Subscription*",Xero_Raw!$A$4:$A$5003,"&gt;="&amp;DATE(2027,2,1),Xero_Raw!$A$4:$A$5003,"&lt;"&amp;EDATE(DATE(2027,2,1),1))+COUNTIFS(Customer_Invoices_Upload!$E$4:$E$5003,$A183,Customer_Invoices_Upload!$G$4:$G$5003,"*Subscription*",Customer_Invoices_Upload!$B$4:$B$5003,"&gt;="&amp;DATE(2027,2,1),Customer_Invoices_Upload!$B$4:$B$5003,"&lt;"&amp;EDATE(DATE(2027,2,1),1))+COUNTIFS(Stripe_Invoices_Upload!$D$4:$D$5003,$A183,Stripe_Invoices_Upload!$E$4:$E$5003,"*Subscription*",Stripe_Invoices_Upload!$A$4:$A$5003,"&gt;="&amp;DATE(2027,2,1),Stripe_Invoices_Upload!$A$4:$A$5003,"&lt;"&amp;EDATE(DATE(2027,2,1),1)))&gt;0,"✓ Invoiced","⚠ Due"),""),""))</f>
        <v/>
      </c>
      <c r="R183" s="130" t="str">
        <f aca="false">IF($A183="","",IF((DATE(YEAR($E183),MONTH($E183),1)&lt;=DATE(2027,3,1)),IF((MOD(DATEDIF(DATE(YEAR($E183),MONTH($E183),1),DATE(2027,3,1),"m"),IF($D183="Quarterly",3,IF($D183="Annual",12,1)))=0),IF((COUNTIFS(Xero_Raw!$D$4:$D$5003,$A183,Xero_Raw!$G$4:$G$5003,"*Subscription*",Xero_Raw!$A$4:$A$5003,"&gt;="&amp;DATE(2027,3,1),Xero_Raw!$A$4:$A$5003,"&lt;"&amp;EDATE(DATE(2027,3,1),1))+COUNTIFS(Customer_Invoices_Upload!$E$4:$E$5003,$A183,Customer_Invoices_Upload!$G$4:$G$5003,"*Subscription*",Customer_Invoices_Upload!$B$4:$B$5003,"&gt;="&amp;DATE(2027,3,1),Customer_Invoices_Upload!$B$4:$B$5003,"&lt;"&amp;EDATE(DATE(2027,3,1),1))+COUNTIFS(Stripe_Invoices_Upload!$D$4:$D$5003,$A183,Stripe_Invoices_Upload!$E$4:$E$5003,"*Subscription*",Stripe_Invoices_Upload!$A$4:$A$5003,"&gt;="&amp;DATE(2027,3,1),Stripe_Invoices_Upload!$A$4:$A$5003,"&lt;"&amp;EDATE(DATE(2027,3,1),1)))&gt;0,"✓ Invoiced","⚠ Due"),""),""))</f>
        <v/>
      </c>
    </row>
    <row r="184" customFormat="false" ht="15" hidden="false" customHeight="false" outlineLevel="0" collapsed="false">
      <c r="A184" s="39"/>
      <c r="B184" s="39"/>
      <c r="C184" s="40"/>
      <c r="D184" s="39"/>
      <c r="E184" s="38"/>
      <c r="F184" s="129" t="str">
        <f aca="true">IF($A184="","",EDATE($E184,DATEDIF($E184,TODAY(),"m")+1))</f>
        <v/>
      </c>
      <c r="G184" s="130" t="str">
        <f aca="false">IF($A184="","",IF((DATE(YEAR($E184),MONTH($E184),1)&lt;=DATE(2026,4,1)),IF((MOD(DATEDIF(DATE(YEAR($E184),MONTH($E184),1),DATE(2026,4,1),"m"),IF($D184="Quarterly",3,IF($D184="Annual",12,1)))=0),IF((COUNTIFS(Xero_Raw!$D$4:$D$5003,$A184,Xero_Raw!$G$4:$G$5003,"*Subscription*",Xero_Raw!$A$4:$A$5003,"&gt;="&amp;DATE(2026,4,1),Xero_Raw!$A$4:$A$5003,"&lt;"&amp;EDATE(DATE(2026,4,1),1))+COUNTIFS(Customer_Invoices_Upload!$E$4:$E$5003,$A184,Customer_Invoices_Upload!$G$4:$G$5003,"*Subscription*",Customer_Invoices_Upload!$B$4:$B$5003,"&gt;="&amp;DATE(2026,4,1),Customer_Invoices_Upload!$B$4:$B$5003,"&lt;"&amp;EDATE(DATE(2026,4,1),1))+COUNTIFS(Stripe_Invoices_Upload!$D$4:$D$5003,$A184,Stripe_Invoices_Upload!$E$4:$E$5003,"*Subscription*",Stripe_Invoices_Upload!$A$4:$A$5003,"&gt;="&amp;DATE(2026,4,1),Stripe_Invoices_Upload!$A$4:$A$5003,"&lt;"&amp;EDATE(DATE(2026,4,1),1)))&gt;0,"✓ Invoiced","⚠ Due"),""),""))</f>
        <v/>
      </c>
      <c r="H184" s="130" t="str">
        <f aca="false">IF($A184="","",IF((DATE(YEAR($E184),MONTH($E184),1)&lt;=DATE(2026,5,1)),IF((MOD(DATEDIF(DATE(YEAR($E184),MONTH($E184),1),DATE(2026,5,1),"m"),IF($D184="Quarterly",3,IF($D184="Annual",12,1)))=0),IF((COUNTIFS(Xero_Raw!$D$4:$D$5003,$A184,Xero_Raw!$G$4:$G$5003,"*Subscription*",Xero_Raw!$A$4:$A$5003,"&gt;="&amp;DATE(2026,5,1),Xero_Raw!$A$4:$A$5003,"&lt;"&amp;EDATE(DATE(2026,5,1),1))+COUNTIFS(Customer_Invoices_Upload!$E$4:$E$5003,$A184,Customer_Invoices_Upload!$G$4:$G$5003,"*Subscription*",Customer_Invoices_Upload!$B$4:$B$5003,"&gt;="&amp;DATE(2026,5,1),Customer_Invoices_Upload!$B$4:$B$5003,"&lt;"&amp;EDATE(DATE(2026,5,1),1))+COUNTIFS(Stripe_Invoices_Upload!$D$4:$D$5003,$A184,Stripe_Invoices_Upload!$E$4:$E$5003,"*Subscription*",Stripe_Invoices_Upload!$A$4:$A$5003,"&gt;="&amp;DATE(2026,5,1),Stripe_Invoices_Upload!$A$4:$A$5003,"&lt;"&amp;EDATE(DATE(2026,5,1),1)))&gt;0,"✓ Invoiced","⚠ Due"),""),""))</f>
        <v/>
      </c>
      <c r="I184" s="130" t="str">
        <f aca="false">IF($A184="","",IF((DATE(YEAR($E184),MONTH($E184),1)&lt;=DATE(2026,6,1)),IF((MOD(DATEDIF(DATE(YEAR($E184),MONTH($E184),1),DATE(2026,6,1),"m"),IF($D184="Quarterly",3,IF($D184="Annual",12,1)))=0),IF((COUNTIFS(Xero_Raw!$D$4:$D$5003,$A184,Xero_Raw!$G$4:$G$5003,"*Subscription*",Xero_Raw!$A$4:$A$5003,"&gt;="&amp;DATE(2026,6,1),Xero_Raw!$A$4:$A$5003,"&lt;"&amp;EDATE(DATE(2026,6,1),1))+COUNTIFS(Customer_Invoices_Upload!$E$4:$E$5003,$A184,Customer_Invoices_Upload!$G$4:$G$5003,"*Subscription*",Customer_Invoices_Upload!$B$4:$B$5003,"&gt;="&amp;DATE(2026,6,1),Customer_Invoices_Upload!$B$4:$B$5003,"&lt;"&amp;EDATE(DATE(2026,6,1),1))+COUNTIFS(Stripe_Invoices_Upload!$D$4:$D$5003,$A184,Stripe_Invoices_Upload!$E$4:$E$5003,"*Subscription*",Stripe_Invoices_Upload!$A$4:$A$5003,"&gt;="&amp;DATE(2026,6,1),Stripe_Invoices_Upload!$A$4:$A$5003,"&lt;"&amp;EDATE(DATE(2026,6,1),1)))&gt;0,"✓ Invoiced","⚠ Due"),""),""))</f>
        <v/>
      </c>
      <c r="J184" s="130" t="str">
        <f aca="false">IF($A184="","",IF((DATE(YEAR($E184),MONTH($E184),1)&lt;=DATE(2026,7,1)),IF((MOD(DATEDIF(DATE(YEAR($E184),MONTH($E184),1),DATE(2026,7,1),"m"),IF($D184="Quarterly",3,IF($D184="Annual",12,1)))=0),IF((COUNTIFS(Xero_Raw!$D$4:$D$5003,$A184,Xero_Raw!$G$4:$G$5003,"*Subscription*",Xero_Raw!$A$4:$A$5003,"&gt;="&amp;DATE(2026,7,1),Xero_Raw!$A$4:$A$5003,"&lt;"&amp;EDATE(DATE(2026,7,1),1))+COUNTIFS(Customer_Invoices_Upload!$E$4:$E$5003,$A184,Customer_Invoices_Upload!$G$4:$G$5003,"*Subscription*",Customer_Invoices_Upload!$B$4:$B$5003,"&gt;="&amp;DATE(2026,7,1),Customer_Invoices_Upload!$B$4:$B$5003,"&lt;"&amp;EDATE(DATE(2026,7,1),1))+COUNTIFS(Stripe_Invoices_Upload!$D$4:$D$5003,$A184,Stripe_Invoices_Upload!$E$4:$E$5003,"*Subscription*",Stripe_Invoices_Upload!$A$4:$A$5003,"&gt;="&amp;DATE(2026,7,1),Stripe_Invoices_Upload!$A$4:$A$5003,"&lt;"&amp;EDATE(DATE(2026,7,1),1)))&gt;0,"✓ Invoiced","⚠ Due"),""),""))</f>
        <v/>
      </c>
      <c r="K184" s="130" t="str">
        <f aca="false">IF($A184="","",IF((DATE(YEAR($E184),MONTH($E184),1)&lt;=DATE(2026,8,1)),IF((MOD(DATEDIF(DATE(YEAR($E184),MONTH($E184),1),DATE(2026,8,1),"m"),IF($D184="Quarterly",3,IF($D184="Annual",12,1)))=0),IF((COUNTIFS(Xero_Raw!$D$4:$D$5003,$A184,Xero_Raw!$G$4:$G$5003,"*Subscription*",Xero_Raw!$A$4:$A$5003,"&gt;="&amp;DATE(2026,8,1),Xero_Raw!$A$4:$A$5003,"&lt;"&amp;EDATE(DATE(2026,8,1),1))+COUNTIFS(Customer_Invoices_Upload!$E$4:$E$5003,$A184,Customer_Invoices_Upload!$G$4:$G$5003,"*Subscription*",Customer_Invoices_Upload!$B$4:$B$5003,"&gt;="&amp;DATE(2026,8,1),Customer_Invoices_Upload!$B$4:$B$5003,"&lt;"&amp;EDATE(DATE(2026,8,1),1))+COUNTIFS(Stripe_Invoices_Upload!$D$4:$D$5003,$A184,Stripe_Invoices_Upload!$E$4:$E$5003,"*Subscription*",Stripe_Invoices_Upload!$A$4:$A$5003,"&gt;="&amp;DATE(2026,8,1),Stripe_Invoices_Upload!$A$4:$A$5003,"&lt;"&amp;EDATE(DATE(2026,8,1),1)))&gt;0,"✓ Invoiced","⚠ Due"),""),""))</f>
        <v/>
      </c>
      <c r="L184" s="130" t="str">
        <f aca="false">IF($A184="","",IF((DATE(YEAR($E184),MONTH($E184),1)&lt;=DATE(2026,9,1)),IF((MOD(DATEDIF(DATE(YEAR($E184),MONTH($E184),1),DATE(2026,9,1),"m"),IF($D184="Quarterly",3,IF($D184="Annual",12,1)))=0),IF((COUNTIFS(Xero_Raw!$D$4:$D$5003,$A184,Xero_Raw!$G$4:$G$5003,"*Subscription*",Xero_Raw!$A$4:$A$5003,"&gt;="&amp;DATE(2026,9,1),Xero_Raw!$A$4:$A$5003,"&lt;"&amp;EDATE(DATE(2026,9,1),1))+COUNTIFS(Customer_Invoices_Upload!$E$4:$E$5003,$A184,Customer_Invoices_Upload!$G$4:$G$5003,"*Subscription*",Customer_Invoices_Upload!$B$4:$B$5003,"&gt;="&amp;DATE(2026,9,1),Customer_Invoices_Upload!$B$4:$B$5003,"&lt;"&amp;EDATE(DATE(2026,9,1),1))+COUNTIFS(Stripe_Invoices_Upload!$D$4:$D$5003,$A184,Stripe_Invoices_Upload!$E$4:$E$5003,"*Subscription*",Stripe_Invoices_Upload!$A$4:$A$5003,"&gt;="&amp;DATE(2026,9,1),Stripe_Invoices_Upload!$A$4:$A$5003,"&lt;"&amp;EDATE(DATE(2026,9,1),1)))&gt;0,"✓ Invoiced","⚠ Due"),""),""))</f>
        <v/>
      </c>
      <c r="M184" s="130" t="str">
        <f aca="false">IF($A184="","",IF((DATE(YEAR($E184),MONTH($E184),1)&lt;=DATE(2026,10,1)),IF((MOD(DATEDIF(DATE(YEAR($E184),MONTH($E184),1),DATE(2026,10,1),"m"),IF($D184="Quarterly",3,IF($D184="Annual",12,1)))=0),IF((COUNTIFS(Xero_Raw!$D$4:$D$5003,$A184,Xero_Raw!$G$4:$G$5003,"*Subscription*",Xero_Raw!$A$4:$A$5003,"&gt;="&amp;DATE(2026,10,1),Xero_Raw!$A$4:$A$5003,"&lt;"&amp;EDATE(DATE(2026,10,1),1))+COUNTIFS(Customer_Invoices_Upload!$E$4:$E$5003,$A184,Customer_Invoices_Upload!$G$4:$G$5003,"*Subscription*",Customer_Invoices_Upload!$B$4:$B$5003,"&gt;="&amp;DATE(2026,10,1),Customer_Invoices_Upload!$B$4:$B$5003,"&lt;"&amp;EDATE(DATE(2026,10,1),1))+COUNTIFS(Stripe_Invoices_Upload!$D$4:$D$5003,$A184,Stripe_Invoices_Upload!$E$4:$E$5003,"*Subscription*",Stripe_Invoices_Upload!$A$4:$A$5003,"&gt;="&amp;DATE(2026,10,1),Stripe_Invoices_Upload!$A$4:$A$5003,"&lt;"&amp;EDATE(DATE(2026,10,1),1)))&gt;0,"✓ Invoiced","⚠ Due"),""),""))</f>
        <v/>
      </c>
      <c r="N184" s="130" t="str">
        <f aca="false">IF($A184="","",IF((DATE(YEAR($E184),MONTH($E184),1)&lt;=DATE(2026,11,1)),IF((MOD(DATEDIF(DATE(YEAR($E184),MONTH($E184),1),DATE(2026,11,1),"m"),IF($D184="Quarterly",3,IF($D184="Annual",12,1)))=0),IF((COUNTIFS(Xero_Raw!$D$4:$D$5003,$A184,Xero_Raw!$G$4:$G$5003,"*Subscription*",Xero_Raw!$A$4:$A$5003,"&gt;="&amp;DATE(2026,11,1),Xero_Raw!$A$4:$A$5003,"&lt;"&amp;EDATE(DATE(2026,11,1),1))+COUNTIFS(Customer_Invoices_Upload!$E$4:$E$5003,$A184,Customer_Invoices_Upload!$G$4:$G$5003,"*Subscription*",Customer_Invoices_Upload!$B$4:$B$5003,"&gt;="&amp;DATE(2026,11,1),Customer_Invoices_Upload!$B$4:$B$5003,"&lt;"&amp;EDATE(DATE(2026,11,1),1))+COUNTIFS(Stripe_Invoices_Upload!$D$4:$D$5003,$A184,Stripe_Invoices_Upload!$E$4:$E$5003,"*Subscription*",Stripe_Invoices_Upload!$A$4:$A$5003,"&gt;="&amp;DATE(2026,11,1),Stripe_Invoices_Upload!$A$4:$A$5003,"&lt;"&amp;EDATE(DATE(2026,11,1),1)))&gt;0,"✓ Invoiced","⚠ Due"),""),""))</f>
        <v/>
      </c>
      <c r="O184" s="130" t="str">
        <f aca="false">IF($A184="","",IF((DATE(YEAR($E184),MONTH($E184),1)&lt;=DATE(2026,12,1)),IF((MOD(DATEDIF(DATE(YEAR($E184),MONTH($E184),1),DATE(2026,12,1),"m"),IF($D184="Quarterly",3,IF($D184="Annual",12,1)))=0),IF((COUNTIFS(Xero_Raw!$D$4:$D$5003,$A184,Xero_Raw!$G$4:$G$5003,"*Subscription*",Xero_Raw!$A$4:$A$5003,"&gt;="&amp;DATE(2026,12,1),Xero_Raw!$A$4:$A$5003,"&lt;"&amp;EDATE(DATE(2026,12,1),1))+COUNTIFS(Customer_Invoices_Upload!$E$4:$E$5003,$A184,Customer_Invoices_Upload!$G$4:$G$5003,"*Subscription*",Customer_Invoices_Upload!$B$4:$B$5003,"&gt;="&amp;DATE(2026,12,1),Customer_Invoices_Upload!$B$4:$B$5003,"&lt;"&amp;EDATE(DATE(2026,12,1),1))+COUNTIFS(Stripe_Invoices_Upload!$D$4:$D$5003,$A184,Stripe_Invoices_Upload!$E$4:$E$5003,"*Subscription*",Stripe_Invoices_Upload!$A$4:$A$5003,"&gt;="&amp;DATE(2026,12,1),Stripe_Invoices_Upload!$A$4:$A$5003,"&lt;"&amp;EDATE(DATE(2026,12,1),1)))&gt;0,"✓ Invoiced","⚠ Due"),""),""))</f>
        <v/>
      </c>
      <c r="P184" s="130" t="str">
        <f aca="false">IF($A184="","",IF((DATE(YEAR($E184),MONTH($E184),1)&lt;=DATE(2027,1,1)),IF((MOD(DATEDIF(DATE(YEAR($E184),MONTH($E184),1),DATE(2027,1,1),"m"),IF($D184="Quarterly",3,IF($D184="Annual",12,1)))=0),IF((COUNTIFS(Xero_Raw!$D$4:$D$5003,$A184,Xero_Raw!$G$4:$G$5003,"*Subscription*",Xero_Raw!$A$4:$A$5003,"&gt;="&amp;DATE(2027,1,1),Xero_Raw!$A$4:$A$5003,"&lt;"&amp;EDATE(DATE(2027,1,1),1))+COUNTIFS(Customer_Invoices_Upload!$E$4:$E$5003,$A184,Customer_Invoices_Upload!$G$4:$G$5003,"*Subscription*",Customer_Invoices_Upload!$B$4:$B$5003,"&gt;="&amp;DATE(2027,1,1),Customer_Invoices_Upload!$B$4:$B$5003,"&lt;"&amp;EDATE(DATE(2027,1,1),1))+COUNTIFS(Stripe_Invoices_Upload!$D$4:$D$5003,$A184,Stripe_Invoices_Upload!$E$4:$E$5003,"*Subscription*",Stripe_Invoices_Upload!$A$4:$A$5003,"&gt;="&amp;DATE(2027,1,1),Stripe_Invoices_Upload!$A$4:$A$5003,"&lt;"&amp;EDATE(DATE(2027,1,1),1)))&gt;0,"✓ Invoiced","⚠ Due"),""),""))</f>
        <v/>
      </c>
      <c r="Q184" s="130" t="str">
        <f aca="false">IF($A184="","",IF((DATE(YEAR($E184),MONTH($E184),1)&lt;=DATE(2027,2,1)),IF((MOD(DATEDIF(DATE(YEAR($E184),MONTH($E184),1),DATE(2027,2,1),"m"),IF($D184="Quarterly",3,IF($D184="Annual",12,1)))=0),IF((COUNTIFS(Xero_Raw!$D$4:$D$5003,$A184,Xero_Raw!$G$4:$G$5003,"*Subscription*",Xero_Raw!$A$4:$A$5003,"&gt;="&amp;DATE(2027,2,1),Xero_Raw!$A$4:$A$5003,"&lt;"&amp;EDATE(DATE(2027,2,1),1))+COUNTIFS(Customer_Invoices_Upload!$E$4:$E$5003,$A184,Customer_Invoices_Upload!$G$4:$G$5003,"*Subscription*",Customer_Invoices_Upload!$B$4:$B$5003,"&gt;="&amp;DATE(2027,2,1),Customer_Invoices_Upload!$B$4:$B$5003,"&lt;"&amp;EDATE(DATE(2027,2,1),1))+COUNTIFS(Stripe_Invoices_Upload!$D$4:$D$5003,$A184,Stripe_Invoices_Upload!$E$4:$E$5003,"*Subscription*",Stripe_Invoices_Upload!$A$4:$A$5003,"&gt;="&amp;DATE(2027,2,1),Stripe_Invoices_Upload!$A$4:$A$5003,"&lt;"&amp;EDATE(DATE(2027,2,1),1)))&gt;0,"✓ Invoiced","⚠ Due"),""),""))</f>
        <v/>
      </c>
      <c r="R184" s="130" t="str">
        <f aca="false">IF($A184="","",IF((DATE(YEAR($E184),MONTH($E184),1)&lt;=DATE(2027,3,1)),IF((MOD(DATEDIF(DATE(YEAR($E184),MONTH($E184),1),DATE(2027,3,1),"m"),IF($D184="Quarterly",3,IF($D184="Annual",12,1)))=0),IF((COUNTIFS(Xero_Raw!$D$4:$D$5003,$A184,Xero_Raw!$G$4:$G$5003,"*Subscription*",Xero_Raw!$A$4:$A$5003,"&gt;="&amp;DATE(2027,3,1),Xero_Raw!$A$4:$A$5003,"&lt;"&amp;EDATE(DATE(2027,3,1),1))+COUNTIFS(Customer_Invoices_Upload!$E$4:$E$5003,$A184,Customer_Invoices_Upload!$G$4:$G$5003,"*Subscription*",Customer_Invoices_Upload!$B$4:$B$5003,"&gt;="&amp;DATE(2027,3,1),Customer_Invoices_Upload!$B$4:$B$5003,"&lt;"&amp;EDATE(DATE(2027,3,1),1))+COUNTIFS(Stripe_Invoices_Upload!$D$4:$D$5003,$A184,Stripe_Invoices_Upload!$E$4:$E$5003,"*Subscription*",Stripe_Invoices_Upload!$A$4:$A$5003,"&gt;="&amp;DATE(2027,3,1),Stripe_Invoices_Upload!$A$4:$A$5003,"&lt;"&amp;EDATE(DATE(2027,3,1),1)))&gt;0,"✓ Invoiced","⚠ Due"),""),""))</f>
        <v/>
      </c>
    </row>
    <row r="185" customFormat="false" ht="15" hidden="false" customHeight="false" outlineLevel="0" collapsed="false">
      <c r="A185" s="39"/>
      <c r="B185" s="39"/>
      <c r="C185" s="40"/>
      <c r="D185" s="39"/>
      <c r="E185" s="38"/>
      <c r="F185" s="129" t="str">
        <f aca="true">IF($A185="","",EDATE($E185,DATEDIF($E185,TODAY(),"m")+1))</f>
        <v/>
      </c>
      <c r="G185" s="130" t="str">
        <f aca="false">IF($A185="","",IF((DATE(YEAR($E185),MONTH($E185),1)&lt;=DATE(2026,4,1)),IF((MOD(DATEDIF(DATE(YEAR($E185),MONTH($E185),1),DATE(2026,4,1),"m"),IF($D185="Quarterly",3,IF($D185="Annual",12,1)))=0),IF((COUNTIFS(Xero_Raw!$D$4:$D$5003,$A185,Xero_Raw!$G$4:$G$5003,"*Subscription*",Xero_Raw!$A$4:$A$5003,"&gt;="&amp;DATE(2026,4,1),Xero_Raw!$A$4:$A$5003,"&lt;"&amp;EDATE(DATE(2026,4,1),1))+COUNTIFS(Customer_Invoices_Upload!$E$4:$E$5003,$A185,Customer_Invoices_Upload!$G$4:$G$5003,"*Subscription*",Customer_Invoices_Upload!$B$4:$B$5003,"&gt;="&amp;DATE(2026,4,1),Customer_Invoices_Upload!$B$4:$B$5003,"&lt;"&amp;EDATE(DATE(2026,4,1),1))+COUNTIFS(Stripe_Invoices_Upload!$D$4:$D$5003,$A185,Stripe_Invoices_Upload!$E$4:$E$5003,"*Subscription*",Stripe_Invoices_Upload!$A$4:$A$5003,"&gt;="&amp;DATE(2026,4,1),Stripe_Invoices_Upload!$A$4:$A$5003,"&lt;"&amp;EDATE(DATE(2026,4,1),1)))&gt;0,"✓ Invoiced","⚠ Due"),""),""))</f>
        <v/>
      </c>
      <c r="H185" s="130" t="str">
        <f aca="false">IF($A185="","",IF((DATE(YEAR($E185),MONTH($E185),1)&lt;=DATE(2026,5,1)),IF((MOD(DATEDIF(DATE(YEAR($E185),MONTH($E185),1),DATE(2026,5,1),"m"),IF($D185="Quarterly",3,IF($D185="Annual",12,1)))=0),IF((COUNTIFS(Xero_Raw!$D$4:$D$5003,$A185,Xero_Raw!$G$4:$G$5003,"*Subscription*",Xero_Raw!$A$4:$A$5003,"&gt;="&amp;DATE(2026,5,1),Xero_Raw!$A$4:$A$5003,"&lt;"&amp;EDATE(DATE(2026,5,1),1))+COUNTIFS(Customer_Invoices_Upload!$E$4:$E$5003,$A185,Customer_Invoices_Upload!$G$4:$G$5003,"*Subscription*",Customer_Invoices_Upload!$B$4:$B$5003,"&gt;="&amp;DATE(2026,5,1),Customer_Invoices_Upload!$B$4:$B$5003,"&lt;"&amp;EDATE(DATE(2026,5,1),1))+COUNTIFS(Stripe_Invoices_Upload!$D$4:$D$5003,$A185,Stripe_Invoices_Upload!$E$4:$E$5003,"*Subscription*",Stripe_Invoices_Upload!$A$4:$A$5003,"&gt;="&amp;DATE(2026,5,1),Stripe_Invoices_Upload!$A$4:$A$5003,"&lt;"&amp;EDATE(DATE(2026,5,1),1)))&gt;0,"✓ Invoiced","⚠ Due"),""),""))</f>
        <v/>
      </c>
      <c r="I185" s="130" t="str">
        <f aca="false">IF($A185="","",IF((DATE(YEAR($E185),MONTH($E185),1)&lt;=DATE(2026,6,1)),IF((MOD(DATEDIF(DATE(YEAR($E185),MONTH($E185),1),DATE(2026,6,1),"m"),IF($D185="Quarterly",3,IF($D185="Annual",12,1)))=0),IF((COUNTIFS(Xero_Raw!$D$4:$D$5003,$A185,Xero_Raw!$G$4:$G$5003,"*Subscription*",Xero_Raw!$A$4:$A$5003,"&gt;="&amp;DATE(2026,6,1),Xero_Raw!$A$4:$A$5003,"&lt;"&amp;EDATE(DATE(2026,6,1),1))+COUNTIFS(Customer_Invoices_Upload!$E$4:$E$5003,$A185,Customer_Invoices_Upload!$G$4:$G$5003,"*Subscription*",Customer_Invoices_Upload!$B$4:$B$5003,"&gt;="&amp;DATE(2026,6,1),Customer_Invoices_Upload!$B$4:$B$5003,"&lt;"&amp;EDATE(DATE(2026,6,1),1))+COUNTIFS(Stripe_Invoices_Upload!$D$4:$D$5003,$A185,Stripe_Invoices_Upload!$E$4:$E$5003,"*Subscription*",Stripe_Invoices_Upload!$A$4:$A$5003,"&gt;="&amp;DATE(2026,6,1),Stripe_Invoices_Upload!$A$4:$A$5003,"&lt;"&amp;EDATE(DATE(2026,6,1),1)))&gt;0,"✓ Invoiced","⚠ Due"),""),""))</f>
        <v/>
      </c>
      <c r="J185" s="130" t="str">
        <f aca="false">IF($A185="","",IF((DATE(YEAR($E185),MONTH($E185),1)&lt;=DATE(2026,7,1)),IF((MOD(DATEDIF(DATE(YEAR($E185),MONTH($E185),1),DATE(2026,7,1),"m"),IF($D185="Quarterly",3,IF($D185="Annual",12,1)))=0),IF((COUNTIFS(Xero_Raw!$D$4:$D$5003,$A185,Xero_Raw!$G$4:$G$5003,"*Subscription*",Xero_Raw!$A$4:$A$5003,"&gt;="&amp;DATE(2026,7,1),Xero_Raw!$A$4:$A$5003,"&lt;"&amp;EDATE(DATE(2026,7,1),1))+COUNTIFS(Customer_Invoices_Upload!$E$4:$E$5003,$A185,Customer_Invoices_Upload!$G$4:$G$5003,"*Subscription*",Customer_Invoices_Upload!$B$4:$B$5003,"&gt;="&amp;DATE(2026,7,1),Customer_Invoices_Upload!$B$4:$B$5003,"&lt;"&amp;EDATE(DATE(2026,7,1),1))+COUNTIFS(Stripe_Invoices_Upload!$D$4:$D$5003,$A185,Stripe_Invoices_Upload!$E$4:$E$5003,"*Subscription*",Stripe_Invoices_Upload!$A$4:$A$5003,"&gt;="&amp;DATE(2026,7,1),Stripe_Invoices_Upload!$A$4:$A$5003,"&lt;"&amp;EDATE(DATE(2026,7,1),1)))&gt;0,"✓ Invoiced","⚠ Due"),""),""))</f>
        <v/>
      </c>
      <c r="K185" s="130" t="str">
        <f aca="false">IF($A185="","",IF((DATE(YEAR($E185),MONTH($E185),1)&lt;=DATE(2026,8,1)),IF((MOD(DATEDIF(DATE(YEAR($E185),MONTH($E185),1),DATE(2026,8,1),"m"),IF($D185="Quarterly",3,IF($D185="Annual",12,1)))=0),IF((COUNTIFS(Xero_Raw!$D$4:$D$5003,$A185,Xero_Raw!$G$4:$G$5003,"*Subscription*",Xero_Raw!$A$4:$A$5003,"&gt;="&amp;DATE(2026,8,1),Xero_Raw!$A$4:$A$5003,"&lt;"&amp;EDATE(DATE(2026,8,1),1))+COUNTIFS(Customer_Invoices_Upload!$E$4:$E$5003,$A185,Customer_Invoices_Upload!$G$4:$G$5003,"*Subscription*",Customer_Invoices_Upload!$B$4:$B$5003,"&gt;="&amp;DATE(2026,8,1),Customer_Invoices_Upload!$B$4:$B$5003,"&lt;"&amp;EDATE(DATE(2026,8,1),1))+COUNTIFS(Stripe_Invoices_Upload!$D$4:$D$5003,$A185,Stripe_Invoices_Upload!$E$4:$E$5003,"*Subscription*",Stripe_Invoices_Upload!$A$4:$A$5003,"&gt;="&amp;DATE(2026,8,1),Stripe_Invoices_Upload!$A$4:$A$5003,"&lt;"&amp;EDATE(DATE(2026,8,1),1)))&gt;0,"✓ Invoiced","⚠ Due"),""),""))</f>
        <v/>
      </c>
      <c r="L185" s="130" t="str">
        <f aca="false">IF($A185="","",IF((DATE(YEAR($E185),MONTH($E185),1)&lt;=DATE(2026,9,1)),IF((MOD(DATEDIF(DATE(YEAR($E185),MONTH($E185),1),DATE(2026,9,1),"m"),IF($D185="Quarterly",3,IF($D185="Annual",12,1)))=0),IF((COUNTIFS(Xero_Raw!$D$4:$D$5003,$A185,Xero_Raw!$G$4:$G$5003,"*Subscription*",Xero_Raw!$A$4:$A$5003,"&gt;="&amp;DATE(2026,9,1),Xero_Raw!$A$4:$A$5003,"&lt;"&amp;EDATE(DATE(2026,9,1),1))+COUNTIFS(Customer_Invoices_Upload!$E$4:$E$5003,$A185,Customer_Invoices_Upload!$G$4:$G$5003,"*Subscription*",Customer_Invoices_Upload!$B$4:$B$5003,"&gt;="&amp;DATE(2026,9,1),Customer_Invoices_Upload!$B$4:$B$5003,"&lt;"&amp;EDATE(DATE(2026,9,1),1))+COUNTIFS(Stripe_Invoices_Upload!$D$4:$D$5003,$A185,Stripe_Invoices_Upload!$E$4:$E$5003,"*Subscription*",Stripe_Invoices_Upload!$A$4:$A$5003,"&gt;="&amp;DATE(2026,9,1),Stripe_Invoices_Upload!$A$4:$A$5003,"&lt;"&amp;EDATE(DATE(2026,9,1),1)))&gt;0,"✓ Invoiced","⚠ Due"),""),""))</f>
        <v/>
      </c>
      <c r="M185" s="130" t="str">
        <f aca="false">IF($A185="","",IF((DATE(YEAR($E185),MONTH($E185),1)&lt;=DATE(2026,10,1)),IF((MOD(DATEDIF(DATE(YEAR($E185),MONTH($E185),1),DATE(2026,10,1),"m"),IF($D185="Quarterly",3,IF($D185="Annual",12,1)))=0),IF((COUNTIFS(Xero_Raw!$D$4:$D$5003,$A185,Xero_Raw!$G$4:$G$5003,"*Subscription*",Xero_Raw!$A$4:$A$5003,"&gt;="&amp;DATE(2026,10,1),Xero_Raw!$A$4:$A$5003,"&lt;"&amp;EDATE(DATE(2026,10,1),1))+COUNTIFS(Customer_Invoices_Upload!$E$4:$E$5003,$A185,Customer_Invoices_Upload!$G$4:$G$5003,"*Subscription*",Customer_Invoices_Upload!$B$4:$B$5003,"&gt;="&amp;DATE(2026,10,1),Customer_Invoices_Upload!$B$4:$B$5003,"&lt;"&amp;EDATE(DATE(2026,10,1),1))+COUNTIFS(Stripe_Invoices_Upload!$D$4:$D$5003,$A185,Stripe_Invoices_Upload!$E$4:$E$5003,"*Subscription*",Stripe_Invoices_Upload!$A$4:$A$5003,"&gt;="&amp;DATE(2026,10,1),Stripe_Invoices_Upload!$A$4:$A$5003,"&lt;"&amp;EDATE(DATE(2026,10,1),1)))&gt;0,"✓ Invoiced","⚠ Due"),""),""))</f>
        <v/>
      </c>
      <c r="N185" s="130" t="str">
        <f aca="false">IF($A185="","",IF((DATE(YEAR($E185),MONTH($E185),1)&lt;=DATE(2026,11,1)),IF((MOD(DATEDIF(DATE(YEAR($E185),MONTH($E185),1),DATE(2026,11,1),"m"),IF($D185="Quarterly",3,IF($D185="Annual",12,1)))=0),IF((COUNTIFS(Xero_Raw!$D$4:$D$5003,$A185,Xero_Raw!$G$4:$G$5003,"*Subscription*",Xero_Raw!$A$4:$A$5003,"&gt;="&amp;DATE(2026,11,1),Xero_Raw!$A$4:$A$5003,"&lt;"&amp;EDATE(DATE(2026,11,1),1))+COUNTIFS(Customer_Invoices_Upload!$E$4:$E$5003,$A185,Customer_Invoices_Upload!$G$4:$G$5003,"*Subscription*",Customer_Invoices_Upload!$B$4:$B$5003,"&gt;="&amp;DATE(2026,11,1),Customer_Invoices_Upload!$B$4:$B$5003,"&lt;"&amp;EDATE(DATE(2026,11,1),1))+COUNTIFS(Stripe_Invoices_Upload!$D$4:$D$5003,$A185,Stripe_Invoices_Upload!$E$4:$E$5003,"*Subscription*",Stripe_Invoices_Upload!$A$4:$A$5003,"&gt;="&amp;DATE(2026,11,1),Stripe_Invoices_Upload!$A$4:$A$5003,"&lt;"&amp;EDATE(DATE(2026,11,1),1)))&gt;0,"✓ Invoiced","⚠ Due"),""),""))</f>
        <v/>
      </c>
      <c r="O185" s="130" t="str">
        <f aca="false">IF($A185="","",IF((DATE(YEAR($E185),MONTH($E185),1)&lt;=DATE(2026,12,1)),IF((MOD(DATEDIF(DATE(YEAR($E185),MONTH($E185),1),DATE(2026,12,1),"m"),IF($D185="Quarterly",3,IF($D185="Annual",12,1)))=0),IF((COUNTIFS(Xero_Raw!$D$4:$D$5003,$A185,Xero_Raw!$G$4:$G$5003,"*Subscription*",Xero_Raw!$A$4:$A$5003,"&gt;="&amp;DATE(2026,12,1),Xero_Raw!$A$4:$A$5003,"&lt;"&amp;EDATE(DATE(2026,12,1),1))+COUNTIFS(Customer_Invoices_Upload!$E$4:$E$5003,$A185,Customer_Invoices_Upload!$G$4:$G$5003,"*Subscription*",Customer_Invoices_Upload!$B$4:$B$5003,"&gt;="&amp;DATE(2026,12,1),Customer_Invoices_Upload!$B$4:$B$5003,"&lt;"&amp;EDATE(DATE(2026,12,1),1))+COUNTIFS(Stripe_Invoices_Upload!$D$4:$D$5003,$A185,Stripe_Invoices_Upload!$E$4:$E$5003,"*Subscription*",Stripe_Invoices_Upload!$A$4:$A$5003,"&gt;="&amp;DATE(2026,12,1),Stripe_Invoices_Upload!$A$4:$A$5003,"&lt;"&amp;EDATE(DATE(2026,12,1),1)))&gt;0,"✓ Invoiced","⚠ Due"),""),""))</f>
        <v/>
      </c>
      <c r="P185" s="130" t="str">
        <f aca="false">IF($A185="","",IF((DATE(YEAR($E185),MONTH($E185),1)&lt;=DATE(2027,1,1)),IF((MOD(DATEDIF(DATE(YEAR($E185),MONTH($E185),1),DATE(2027,1,1),"m"),IF($D185="Quarterly",3,IF($D185="Annual",12,1)))=0),IF((COUNTIFS(Xero_Raw!$D$4:$D$5003,$A185,Xero_Raw!$G$4:$G$5003,"*Subscription*",Xero_Raw!$A$4:$A$5003,"&gt;="&amp;DATE(2027,1,1),Xero_Raw!$A$4:$A$5003,"&lt;"&amp;EDATE(DATE(2027,1,1),1))+COUNTIFS(Customer_Invoices_Upload!$E$4:$E$5003,$A185,Customer_Invoices_Upload!$G$4:$G$5003,"*Subscription*",Customer_Invoices_Upload!$B$4:$B$5003,"&gt;="&amp;DATE(2027,1,1),Customer_Invoices_Upload!$B$4:$B$5003,"&lt;"&amp;EDATE(DATE(2027,1,1),1))+COUNTIFS(Stripe_Invoices_Upload!$D$4:$D$5003,$A185,Stripe_Invoices_Upload!$E$4:$E$5003,"*Subscription*",Stripe_Invoices_Upload!$A$4:$A$5003,"&gt;="&amp;DATE(2027,1,1),Stripe_Invoices_Upload!$A$4:$A$5003,"&lt;"&amp;EDATE(DATE(2027,1,1),1)))&gt;0,"✓ Invoiced","⚠ Due"),""),""))</f>
        <v/>
      </c>
      <c r="Q185" s="130" t="str">
        <f aca="false">IF($A185="","",IF((DATE(YEAR($E185),MONTH($E185),1)&lt;=DATE(2027,2,1)),IF((MOD(DATEDIF(DATE(YEAR($E185),MONTH($E185),1),DATE(2027,2,1),"m"),IF($D185="Quarterly",3,IF($D185="Annual",12,1)))=0),IF((COUNTIFS(Xero_Raw!$D$4:$D$5003,$A185,Xero_Raw!$G$4:$G$5003,"*Subscription*",Xero_Raw!$A$4:$A$5003,"&gt;="&amp;DATE(2027,2,1),Xero_Raw!$A$4:$A$5003,"&lt;"&amp;EDATE(DATE(2027,2,1),1))+COUNTIFS(Customer_Invoices_Upload!$E$4:$E$5003,$A185,Customer_Invoices_Upload!$G$4:$G$5003,"*Subscription*",Customer_Invoices_Upload!$B$4:$B$5003,"&gt;="&amp;DATE(2027,2,1),Customer_Invoices_Upload!$B$4:$B$5003,"&lt;"&amp;EDATE(DATE(2027,2,1),1))+COUNTIFS(Stripe_Invoices_Upload!$D$4:$D$5003,$A185,Stripe_Invoices_Upload!$E$4:$E$5003,"*Subscription*",Stripe_Invoices_Upload!$A$4:$A$5003,"&gt;="&amp;DATE(2027,2,1),Stripe_Invoices_Upload!$A$4:$A$5003,"&lt;"&amp;EDATE(DATE(2027,2,1),1)))&gt;0,"✓ Invoiced","⚠ Due"),""),""))</f>
        <v/>
      </c>
      <c r="R185" s="130" t="str">
        <f aca="false">IF($A185="","",IF((DATE(YEAR($E185),MONTH($E185),1)&lt;=DATE(2027,3,1)),IF((MOD(DATEDIF(DATE(YEAR($E185),MONTH($E185),1),DATE(2027,3,1),"m"),IF($D185="Quarterly",3,IF($D185="Annual",12,1)))=0),IF((COUNTIFS(Xero_Raw!$D$4:$D$5003,$A185,Xero_Raw!$G$4:$G$5003,"*Subscription*",Xero_Raw!$A$4:$A$5003,"&gt;="&amp;DATE(2027,3,1),Xero_Raw!$A$4:$A$5003,"&lt;"&amp;EDATE(DATE(2027,3,1),1))+COUNTIFS(Customer_Invoices_Upload!$E$4:$E$5003,$A185,Customer_Invoices_Upload!$G$4:$G$5003,"*Subscription*",Customer_Invoices_Upload!$B$4:$B$5003,"&gt;="&amp;DATE(2027,3,1),Customer_Invoices_Upload!$B$4:$B$5003,"&lt;"&amp;EDATE(DATE(2027,3,1),1))+COUNTIFS(Stripe_Invoices_Upload!$D$4:$D$5003,$A185,Stripe_Invoices_Upload!$E$4:$E$5003,"*Subscription*",Stripe_Invoices_Upload!$A$4:$A$5003,"&gt;="&amp;DATE(2027,3,1),Stripe_Invoices_Upload!$A$4:$A$5003,"&lt;"&amp;EDATE(DATE(2027,3,1),1)))&gt;0,"✓ Invoiced","⚠ Due"),""),""))</f>
        <v/>
      </c>
    </row>
    <row r="186" customFormat="false" ht="15" hidden="false" customHeight="false" outlineLevel="0" collapsed="false">
      <c r="A186" s="39"/>
      <c r="B186" s="39"/>
      <c r="C186" s="40"/>
      <c r="D186" s="39"/>
      <c r="E186" s="38"/>
      <c r="F186" s="129" t="str">
        <f aca="true">IF($A186="","",EDATE($E186,DATEDIF($E186,TODAY(),"m")+1))</f>
        <v/>
      </c>
      <c r="G186" s="130" t="str">
        <f aca="false">IF($A186="","",IF((DATE(YEAR($E186),MONTH($E186),1)&lt;=DATE(2026,4,1)),IF((MOD(DATEDIF(DATE(YEAR($E186),MONTH($E186),1),DATE(2026,4,1),"m"),IF($D186="Quarterly",3,IF($D186="Annual",12,1)))=0),IF((COUNTIFS(Xero_Raw!$D$4:$D$5003,$A186,Xero_Raw!$G$4:$G$5003,"*Subscription*",Xero_Raw!$A$4:$A$5003,"&gt;="&amp;DATE(2026,4,1),Xero_Raw!$A$4:$A$5003,"&lt;"&amp;EDATE(DATE(2026,4,1),1))+COUNTIFS(Customer_Invoices_Upload!$E$4:$E$5003,$A186,Customer_Invoices_Upload!$G$4:$G$5003,"*Subscription*",Customer_Invoices_Upload!$B$4:$B$5003,"&gt;="&amp;DATE(2026,4,1),Customer_Invoices_Upload!$B$4:$B$5003,"&lt;"&amp;EDATE(DATE(2026,4,1),1))+COUNTIFS(Stripe_Invoices_Upload!$D$4:$D$5003,$A186,Stripe_Invoices_Upload!$E$4:$E$5003,"*Subscription*",Stripe_Invoices_Upload!$A$4:$A$5003,"&gt;="&amp;DATE(2026,4,1),Stripe_Invoices_Upload!$A$4:$A$5003,"&lt;"&amp;EDATE(DATE(2026,4,1),1)))&gt;0,"✓ Invoiced","⚠ Due"),""),""))</f>
        <v/>
      </c>
      <c r="H186" s="130" t="str">
        <f aca="false">IF($A186="","",IF((DATE(YEAR($E186),MONTH($E186),1)&lt;=DATE(2026,5,1)),IF((MOD(DATEDIF(DATE(YEAR($E186),MONTH($E186),1),DATE(2026,5,1),"m"),IF($D186="Quarterly",3,IF($D186="Annual",12,1)))=0),IF((COUNTIFS(Xero_Raw!$D$4:$D$5003,$A186,Xero_Raw!$G$4:$G$5003,"*Subscription*",Xero_Raw!$A$4:$A$5003,"&gt;="&amp;DATE(2026,5,1),Xero_Raw!$A$4:$A$5003,"&lt;"&amp;EDATE(DATE(2026,5,1),1))+COUNTIFS(Customer_Invoices_Upload!$E$4:$E$5003,$A186,Customer_Invoices_Upload!$G$4:$G$5003,"*Subscription*",Customer_Invoices_Upload!$B$4:$B$5003,"&gt;="&amp;DATE(2026,5,1),Customer_Invoices_Upload!$B$4:$B$5003,"&lt;"&amp;EDATE(DATE(2026,5,1),1))+COUNTIFS(Stripe_Invoices_Upload!$D$4:$D$5003,$A186,Stripe_Invoices_Upload!$E$4:$E$5003,"*Subscription*",Stripe_Invoices_Upload!$A$4:$A$5003,"&gt;="&amp;DATE(2026,5,1),Stripe_Invoices_Upload!$A$4:$A$5003,"&lt;"&amp;EDATE(DATE(2026,5,1),1)))&gt;0,"✓ Invoiced","⚠ Due"),""),""))</f>
        <v/>
      </c>
      <c r="I186" s="130" t="str">
        <f aca="false">IF($A186="","",IF((DATE(YEAR($E186),MONTH($E186),1)&lt;=DATE(2026,6,1)),IF((MOD(DATEDIF(DATE(YEAR($E186),MONTH($E186),1),DATE(2026,6,1),"m"),IF($D186="Quarterly",3,IF($D186="Annual",12,1)))=0),IF((COUNTIFS(Xero_Raw!$D$4:$D$5003,$A186,Xero_Raw!$G$4:$G$5003,"*Subscription*",Xero_Raw!$A$4:$A$5003,"&gt;="&amp;DATE(2026,6,1),Xero_Raw!$A$4:$A$5003,"&lt;"&amp;EDATE(DATE(2026,6,1),1))+COUNTIFS(Customer_Invoices_Upload!$E$4:$E$5003,$A186,Customer_Invoices_Upload!$G$4:$G$5003,"*Subscription*",Customer_Invoices_Upload!$B$4:$B$5003,"&gt;="&amp;DATE(2026,6,1),Customer_Invoices_Upload!$B$4:$B$5003,"&lt;"&amp;EDATE(DATE(2026,6,1),1))+COUNTIFS(Stripe_Invoices_Upload!$D$4:$D$5003,$A186,Stripe_Invoices_Upload!$E$4:$E$5003,"*Subscription*",Stripe_Invoices_Upload!$A$4:$A$5003,"&gt;="&amp;DATE(2026,6,1),Stripe_Invoices_Upload!$A$4:$A$5003,"&lt;"&amp;EDATE(DATE(2026,6,1),1)))&gt;0,"✓ Invoiced","⚠ Due"),""),""))</f>
        <v/>
      </c>
      <c r="J186" s="130" t="str">
        <f aca="false">IF($A186="","",IF((DATE(YEAR($E186),MONTH($E186),1)&lt;=DATE(2026,7,1)),IF((MOD(DATEDIF(DATE(YEAR($E186),MONTH($E186),1),DATE(2026,7,1),"m"),IF($D186="Quarterly",3,IF($D186="Annual",12,1)))=0),IF((COUNTIFS(Xero_Raw!$D$4:$D$5003,$A186,Xero_Raw!$G$4:$G$5003,"*Subscription*",Xero_Raw!$A$4:$A$5003,"&gt;="&amp;DATE(2026,7,1),Xero_Raw!$A$4:$A$5003,"&lt;"&amp;EDATE(DATE(2026,7,1),1))+COUNTIFS(Customer_Invoices_Upload!$E$4:$E$5003,$A186,Customer_Invoices_Upload!$G$4:$G$5003,"*Subscription*",Customer_Invoices_Upload!$B$4:$B$5003,"&gt;="&amp;DATE(2026,7,1),Customer_Invoices_Upload!$B$4:$B$5003,"&lt;"&amp;EDATE(DATE(2026,7,1),1))+COUNTIFS(Stripe_Invoices_Upload!$D$4:$D$5003,$A186,Stripe_Invoices_Upload!$E$4:$E$5003,"*Subscription*",Stripe_Invoices_Upload!$A$4:$A$5003,"&gt;="&amp;DATE(2026,7,1),Stripe_Invoices_Upload!$A$4:$A$5003,"&lt;"&amp;EDATE(DATE(2026,7,1),1)))&gt;0,"✓ Invoiced","⚠ Due"),""),""))</f>
        <v/>
      </c>
      <c r="K186" s="130" t="str">
        <f aca="false">IF($A186="","",IF((DATE(YEAR($E186),MONTH($E186),1)&lt;=DATE(2026,8,1)),IF((MOD(DATEDIF(DATE(YEAR($E186),MONTH($E186),1),DATE(2026,8,1),"m"),IF($D186="Quarterly",3,IF($D186="Annual",12,1)))=0),IF((COUNTIFS(Xero_Raw!$D$4:$D$5003,$A186,Xero_Raw!$G$4:$G$5003,"*Subscription*",Xero_Raw!$A$4:$A$5003,"&gt;="&amp;DATE(2026,8,1),Xero_Raw!$A$4:$A$5003,"&lt;"&amp;EDATE(DATE(2026,8,1),1))+COUNTIFS(Customer_Invoices_Upload!$E$4:$E$5003,$A186,Customer_Invoices_Upload!$G$4:$G$5003,"*Subscription*",Customer_Invoices_Upload!$B$4:$B$5003,"&gt;="&amp;DATE(2026,8,1),Customer_Invoices_Upload!$B$4:$B$5003,"&lt;"&amp;EDATE(DATE(2026,8,1),1))+COUNTIFS(Stripe_Invoices_Upload!$D$4:$D$5003,$A186,Stripe_Invoices_Upload!$E$4:$E$5003,"*Subscription*",Stripe_Invoices_Upload!$A$4:$A$5003,"&gt;="&amp;DATE(2026,8,1),Stripe_Invoices_Upload!$A$4:$A$5003,"&lt;"&amp;EDATE(DATE(2026,8,1),1)))&gt;0,"✓ Invoiced","⚠ Due"),""),""))</f>
        <v/>
      </c>
      <c r="L186" s="130" t="str">
        <f aca="false">IF($A186="","",IF((DATE(YEAR($E186),MONTH($E186),1)&lt;=DATE(2026,9,1)),IF((MOD(DATEDIF(DATE(YEAR($E186),MONTH($E186),1),DATE(2026,9,1),"m"),IF($D186="Quarterly",3,IF($D186="Annual",12,1)))=0),IF((COUNTIFS(Xero_Raw!$D$4:$D$5003,$A186,Xero_Raw!$G$4:$G$5003,"*Subscription*",Xero_Raw!$A$4:$A$5003,"&gt;="&amp;DATE(2026,9,1),Xero_Raw!$A$4:$A$5003,"&lt;"&amp;EDATE(DATE(2026,9,1),1))+COUNTIFS(Customer_Invoices_Upload!$E$4:$E$5003,$A186,Customer_Invoices_Upload!$G$4:$G$5003,"*Subscription*",Customer_Invoices_Upload!$B$4:$B$5003,"&gt;="&amp;DATE(2026,9,1),Customer_Invoices_Upload!$B$4:$B$5003,"&lt;"&amp;EDATE(DATE(2026,9,1),1))+COUNTIFS(Stripe_Invoices_Upload!$D$4:$D$5003,$A186,Stripe_Invoices_Upload!$E$4:$E$5003,"*Subscription*",Stripe_Invoices_Upload!$A$4:$A$5003,"&gt;="&amp;DATE(2026,9,1),Stripe_Invoices_Upload!$A$4:$A$5003,"&lt;"&amp;EDATE(DATE(2026,9,1),1)))&gt;0,"✓ Invoiced","⚠ Due"),""),""))</f>
        <v/>
      </c>
      <c r="M186" s="130" t="str">
        <f aca="false">IF($A186="","",IF((DATE(YEAR($E186),MONTH($E186),1)&lt;=DATE(2026,10,1)),IF((MOD(DATEDIF(DATE(YEAR($E186),MONTH($E186),1),DATE(2026,10,1),"m"),IF($D186="Quarterly",3,IF($D186="Annual",12,1)))=0),IF((COUNTIFS(Xero_Raw!$D$4:$D$5003,$A186,Xero_Raw!$G$4:$G$5003,"*Subscription*",Xero_Raw!$A$4:$A$5003,"&gt;="&amp;DATE(2026,10,1),Xero_Raw!$A$4:$A$5003,"&lt;"&amp;EDATE(DATE(2026,10,1),1))+COUNTIFS(Customer_Invoices_Upload!$E$4:$E$5003,$A186,Customer_Invoices_Upload!$G$4:$G$5003,"*Subscription*",Customer_Invoices_Upload!$B$4:$B$5003,"&gt;="&amp;DATE(2026,10,1),Customer_Invoices_Upload!$B$4:$B$5003,"&lt;"&amp;EDATE(DATE(2026,10,1),1))+COUNTIFS(Stripe_Invoices_Upload!$D$4:$D$5003,$A186,Stripe_Invoices_Upload!$E$4:$E$5003,"*Subscription*",Stripe_Invoices_Upload!$A$4:$A$5003,"&gt;="&amp;DATE(2026,10,1),Stripe_Invoices_Upload!$A$4:$A$5003,"&lt;"&amp;EDATE(DATE(2026,10,1),1)))&gt;0,"✓ Invoiced","⚠ Due"),""),""))</f>
        <v/>
      </c>
      <c r="N186" s="130" t="str">
        <f aca="false">IF($A186="","",IF((DATE(YEAR($E186),MONTH($E186),1)&lt;=DATE(2026,11,1)),IF((MOD(DATEDIF(DATE(YEAR($E186),MONTH($E186),1),DATE(2026,11,1),"m"),IF($D186="Quarterly",3,IF($D186="Annual",12,1)))=0),IF((COUNTIFS(Xero_Raw!$D$4:$D$5003,$A186,Xero_Raw!$G$4:$G$5003,"*Subscription*",Xero_Raw!$A$4:$A$5003,"&gt;="&amp;DATE(2026,11,1),Xero_Raw!$A$4:$A$5003,"&lt;"&amp;EDATE(DATE(2026,11,1),1))+COUNTIFS(Customer_Invoices_Upload!$E$4:$E$5003,$A186,Customer_Invoices_Upload!$G$4:$G$5003,"*Subscription*",Customer_Invoices_Upload!$B$4:$B$5003,"&gt;="&amp;DATE(2026,11,1),Customer_Invoices_Upload!$B$4:$B$5003,"&lt;"&amp;EDATE(DATE(2026,11,1),1))+COUNTIFS(Stripe_Invoices_Upload!$D$4:$D$5003,$A186,Stripe_Invoices_Upload!$E$4:$E$5003,"*Subscription*",Stripe_Invoices_Upload!$A$4:$A$5003,"&gt;="&amp;DATE(2026,11,1),Stripe_Invoices_Upload!$A$4:$A$5003,"&lt;"&amp;EDATE(DATE(2026,11,1),1)))&gt;0,"✓ Invoiced","⚠ Due"),""),""))</f>
        <v/>
      </c>
      <c r="O186" s="130" t="str">
        <f aca="false">IF($A186="","",IF((DATE(YEAR($E186),MONTH($E186),1)&lt;=DATE(2026,12,1)),IF((MOD(DATEDIF(DATE(YEAR($E186),MONTH($E186),1),DATE(2026,12,1),"m"),IF($D186="Quarterly",3,IF($D186="Annual",12,1)))=0),IF((COUNTIFS(Xero_Raw!$D$4:$D$5003,$A186,Xero_Raw!$G$4:$G$5003,"*Subscription*",Xero_Raw!$A$4:$A$5003,"&gt;="&amp;DATE(2026,12,1),Xero_Raw!$A$4:$A$5003,"&lt;"&amp;EDATE(DATE(2026,12,1),1))+COUNTIFS(Customer_Invoices_Upload!$E$4:$E$5003,$A186,Customer_Invoices_Upload!$G$4:$G$5003,"*Subscription*",Customer_Invoices_Upload!$B$4:$B$5003,"&gt;="&amp;DATE(2026,12,1),Customer_Invoices_Upload!$B$4:$B$5003,"&lt;"&amp;EDATE(DATE(2026,12,1),1))+COUNTIFS(Stripe_Invoices_Upload!$D$4:$D$5003,$A186,Stripe_Invoices_Upload!$E$4:$E$5003,"*Subscription*",Stripe_Invoices_Upload!$A$4:$A$5003,"&gt;="&amp;DATE(2026,12,1),Stripe_Invoices_Upload!$A$4:$A$5003,"&lt;"&amp;EDATE(DATE(2026,12,1),1)))&gt;0,"✓ Invoiced","⚠ Due"),""),""))</f>
        <v/>
      </c>
      <c r="P186" s="130" t="str">
        <f aca="false">IF($A186="","",IF((DATE(YEAR($E186),MONTH($E186),1)&lt;=DATE(2027,1,1)),IF((MOD(DATEDIF(DATE(YEAR($E186),MONTH($E186),1),DATE(2027,1,1),"m"),IF($D186="Quarterly",3,IF($D186="Annual",12,1)))=0),IF((COUNTIFS(Xero_Raw!$D$4:$D$5003,$A186,Xero_Raw!$G$4:$G$5003,"*Subscription*",Xero_Raw!$A$4:$A$5003,"&gt;="&amp;DATE(2027,1,1),Xero_Raw!$A$4:$A$5003,"&lt;"&amp;EDATE(DATE(2027,1,1),1))+COUNTIFS(Customer_Invoices_Upload!$E$4:$E$5003,$A186,Customer_Invoices_Upload!$G$4:$G$5003,"*Subscription*",Customer_Invoices_Upload!$B$4:$B$5003,"&gt;="&amp;DATE(2027,1,1),Customer_Invoices_Upload!$B$4:$B$5003,"&lt;"&amp;EDATE(DATE(2027,1,1),1))+COUNTIFS(Stripe_Invoices_Upload!$D$4:$D$5003,$A186,Stripe_Invoices_Upload!$E$4:$E$5003,"*Subscription*",Stripe_Invoices_Upload!$A$4:$A$5003,"&gt;="&amp;DATE(2027,1,1),Stripe_Invoices_Upload!$A$4:$A$5003,"&lt;"&amp;EDATE(DATE(2027,1,1),1)))&gt;0,"✓ Invoiced","⚠ Due"),""),""))</f>
        <v/>
      </c>
      <c r="Q186" s="130" t="str">
        <f aca="false">IF($A186="","",IF((DATE(YEAR($E186),MONTH($E186),1)&lt;=DATE(2027,2,1)),IF((MOD(DATEDIF(DATE(YEAR($E186),MONTH($E186),1),DATE(2027,2,1),"m"),IF($D186="Quarterly",3,IF($D186="Annual",12,1)))=0),IF((COUNTIFS(Xero_Raw!$D$4:$D$5003,$A186,Xero_Raw!$G$4:$G$5003,"*Subscription*",Xero_Raw!$A$4:$A$5003,"&gt;="&amp;DATE(2027,2,1),Xero_Raw!$A$4:$A$5003,"&lt;"&amp;EDATE(DATE(2027,2,1),1))+COUNTIFS(Customer_Invoices_Upload!$E$4:$E$5003,$A186,Customer_Invoices_Upload!$G$4:$G$5003,"*Subscription*",Customer_Invoices_Upload!$B$4:$B$5003,"&gt;="&amp;DATE(2027,2,1),Customer_Invoices_Upload!$B$4:$B$5003,"&lt;"&amp;EDATE(DATE(2027,2,1),1))+COUNTIFS(Stripe_Invoices_Upload!$D$4:$D$5003,$A186,Stripe_Invoices_Upload!$E$4:$E$5003,"*Subscription*",Stripe_Invoices_Upload!$A$4:$A$5003,"&gt;="&amp;DATE(2027,2,1),Stripe_Invoices_Upload!$A$4:$A$5003,"&lt;"&amp;EDATE(DATE(2027,2,1),1)))&gt;0,"✓ Invoiced","⚠ Due"),""),""))</f>
        <v/>
      </c>
      <c r="R186" s="130" t="str">
        <f aca="false">IF($A186="","",IF((DATE(YEAR($E186),MONTH($E186),1)&lt;=DATE(2027,3,1)),IF((MOD(DATEDIF(DATE(YEAR($E186),MONTH($E186),1),DATE(2027,3,1),"m"),IF($D186="Quarterly",3,IF($D186="Annual",12,1)))=0),IF((COUNTIFS(Xero_Raw!$D$4:$D$5003,$A186,Xero_Raw!$G$4:$G$5003,"*Subscription*",Xero_Raw!$A$4:$A$5003,"&gt;="&amp;DATE(2027,3,1),Xero_Raw!$A$4:$A$5003,"&lt;"&amp;EDATE(DATE(2027,3,1),1))+COUNTIFS(Customer_Invoices_Upload!$E$4:$E$5003,$A186,Customer_Invoices_Upload!$G$4:$G$5003,"*Subscription*",Customer_Invoices_Upload!$B$4:$B$5003,"&gt;="&amp;DATE(2027,3,1),Customer_Invoices_Upload!$B$4:$B$5003,"&lt;"&amp;EDATE(DATE(2027,3,1),1))+COUNTIFS(Stripe_Invoices_Upload!$D$4:$D$5003,$A186,Stripe_Invoices_Upload!$E$4:$E$5003,"*Subscription*",Stripe_Invoices_Upload!$A$4:$A$5003,"&gt;="&amp;DATE(2027,3,1),Stripe_Invoices_Upload!$A$4:$A$5003,"&lt;"&amp;EDATE(DATE(2027,3,1),1)))&gt;0,"✓ Invoiced","⚠ Due"),""),""))</f>
        <v/>
      </c>
    </row>
    <row r="187" customFormat="false" ht="15" hidden="false" customHeight="false" outlineLevel="0" collapsed="false">
      <c r="A187" s="39"/>
      <c r="B187" s="39"/>
      <c r="C187" s="40"/>
      <c r="D187" s="39"/>
      <c r="E187" s="38"/>
      <c r="F187" s="129" t="str">
        <f aca="true">IF($A187="","",EDATE($E187,DATEDIF($E187,TODAY(),"m")+1))</f>
        <v/>
      </c>
      <c r="G187" s="130" t="str">
        <f aca="false">IF($A187="","",IF((DATE(YEAR($E187),MONTH($E187),1)&lt;=DATE(2026,4,1)),IF((MOD(DATEDIF(DATE(YEAR($E187),MONTH($E187),1),DATE(2026,4,1),"m"),IF($D187="Quarterly",3,IF($D187="Annual",12,1)))=0),IF((COUNTIFS(Xero_Raw!$D$4:$D$5003,$A187,Xero_Raw!$G$4:$G$5003,"*Subscription*",Xero_Raw!$A$4:$A$5003,"&gt;="&amp;DATE(2026,4,1),Xero_Raw!$A$4:$A$5003,"&lt;"&amp;EDATE(DATE(2026,4,1),1))+COUNTIFS(Customer_Invoices_Upload!$E$4:$E$5003,$A187,Customer_Invoices_Upload!$G$4:$G$5003,"*Subscription*",Customer_Invoices_Upload!$B$4:$B$5003,"&gt;="&amp;DATE(2026,4,1),Customer_Invoices_Upload!$B$4:$B$5003,"&lt;"&amp;EDATE(DATE(2026,4,1),1))+COUNTIFS(Stripe_Invoices_Upload!$D$4:$D$5003,$A187,Stripe_Invoices_Upload!$E$4:$E$5003,"*Subscription*",Stripe_Invoices_Upload!$A$4:$A$5003,"&gt;="&amp;DATE(2026,4,1),Stripe_Invoices_Upload!$A$4:$A$5003,"&lt;"&amp;EDATE(DATE(2026,4,1),1)))&gt;0,"✓ Invoiced","⚠ Due"),""),""))</f>
        <v/>
      </c>
      <c r="H187" s="130" t="str">
        <f aca="false">IF($A187="","",IF((DATE(YEAR($E187),MONTH($E187),1)&lt;=DATE(2026,5,1)),IF((MOD(DATEDIF(DATE(YEAR($E187),MONTH($E187),1),DATE(2026,5,1),"m"),IF($D187="Quarterly",3,IF($D187="Annual",12,1)))=0),IF((COUNTIFS(Xero_Raw!$D$4:$D$5003,$A187,Xero_Raw!$G$4:$G$5003,"*Subscription*",Xero_Raw!$A$4:$A$5003,"&gt;="&amp;DATE(2026,5,1),Xero_Raw!$A$4:$A$5003,"&lt;"&amp;EDATE(DATE(2026,5,1),1))+COUNTIFS(Customer_Invoices_Upload!$E$4:$E$5003,$A187,Customer_Invoices_Upload!$G$4:$G$5003,"*Subscription*",Customer_Invoices_Upload!$B$4:$B$5003,"&gt;="&amp;DATE(2026,5,1),Customer_Invoices_Upload!$B$4:$B$5003,"&lt;"&amp;EDATE(DATE(2026,5,1),1))+COUNTIFS(Stripe_Invoices_Upload!$D$4:$D$5003,$A187,Stripe_Invoices_Upload!$E$4:$E$5003,"*Subscription*",Stripe_Invoices_Upload!$A$4:$A$5003,"&gt;="&amp;DATE(2026,5,1),Stripe_Invoices_Upload!$A$4:$A$5003,"&lt;"&amp;EDATE(DATE(2026,5,1),1)))&gt;0,"✓ Invoiced","⚠ Due"),""),""))</f>
        <v/>
      </c>
      <c r="I187" s="130" t="str">
        <f aca="false">IF($A187="","",IF((DATE(YEAR($E187),MONTH($E187),1)&lt;=DATE(2026,6,1)),IF((MOD(DATEDIF(DATE(YEAR($E187),MONTH($E187),1),DATE(2026,6,1),"m"),IF($D187="Quarterly",3,IF($D187="Annual",12,1)))=0),IF((COUNTIFS(Xero_Raw!$D$4:$D$5003,$A187,Xero_Raw!$G$4:$G$5003,"*Subscription*",Xero_Raw!$A$4:$A$5003,"&gt;="&amp;DATE(2026,6,1),Xero_Raw!$A$4:$A$5003,"&lt;"&amp;EDATE(DATE(2026,6,1),1))+COUNTIFS(Customer_Invoices_Upload!$E$4:$E$5003,$A187,Customer_Invoices_Upload!$G$4:$G$5003,"*Subscription*",Customer_Invoices_Upload!$B$4:$B$5003,"&gt;="&amp;DATE(2026,6,1),Customer_Invoices_Upload!$B$4:$B$5003,"&lt;"&amp;EDATE(DATE(2026,6,1),1))+COUNTIFS(Stripe_Invoices_Upload!$D$4:$D$5003,$A187,Stripe_Invoices_Upload!$E$4:$E$5003,"*Subscription*",Stripe_Invoices_Upload!$A$4:$A$5003,"&gt;="&amp;DATE(2026,6,1),Stripe_Invoices_Upload!$A$4:$A$5003,"&lt;"&amp;EDATE(DATE(2026,6,1),1)))&gt;0,"✓ Invoiced","⚠ Due"),""),""))</f>
        <v/>
      </c>
      <c r="J187" s="130" t="str">
        <f aca="false">IF($A187="","",IF((DATE(YEAR($E187),MONTH($E187),1)&lt;=DATE(2026,7,1)),IF((MOD(DATEDIF(DATE(YEAR($E187),MONTH($E187),1),DATE(2026,7,1),"m"),IF($D187="Quarterly",3,IF($D187="Annual",12,1)))=0),IF((COUNTIFS(Xero_Raw!$D$4:$D$5003,$A187,Xero_Raw!$G$4:$G$5003,"*Subscription*",Xero_Raw!$A$4:$A$5003,"&gt;="&amp;DATE(2026,7,1),Xero_Raw!$A$4:$A$5003,"&lt;"&amp;EDATE(DATE(2026,7,1),1))+COUNTIFS(Customer_Invoices_Upload!$E$4:$E$5003,$A187,Customer_Invoices_Upload!$G$4:$G$5003,"*Subscription*",Customer_Invoices_Upload!$B$4:$B$5003,"&gt;="&amp;DATE(2026,7,1),Customer_Invoices_Upload!$B$4:$B$5003,"&lt;"&amp;EDATE(DATE(2026,7,1),1))+COUNTIFS(Stripe_Invoices_Upload!$D$4:$D$5003,$A187,Stripe_Invoices_Upload!$E$4:$E$5003,"*Subscription*",Stripe_Invoices_Upload!$A$4:$A$5003,"&gt;="&amp;DATE(2026,7,1),Stripe_Invoices_Upload!$A$4:$A$5003,"&lt;"&amp;EDATE(DATE(2026,7,1),1)))&gt;0,"✓ Invoiced","⚠ Due"),""),""))</f>
        <v/>
      </c>
      <c r="K187" s="130" t="str">
        <f aca="false">IF($A187="","",IF((DATE(YEAR($E187),MONTH($E187),1)&lt;=DATE(2026,8,1)),IF((MOD(DATEDIF(DATE(YEAR($E187),MONTH($E187),1),DATE(2026,8,1),"m"),IF($D187="Quarterly",3,IF($D187="Annual",12,1)))=0),IF((COUNTIFS(Xero_Raw!$D$4:$D$5003,$A187,Xero_Raw!$G$4:$G$5003,"*Subscription*",Xero_Raw!$A$4:$A$5003,"&gt;="&amp;DATE(2026,8,1),Xero_Raw!$A$4:$A$5003,"&lt;"&amp;EDATE(DATE(2026,8,1),1))+COUNTIFS(Customer_Invoices_Upload!$E$4:$E$5003,$A187,Customer_Invoices_Upload!$G$4:$G$5003,"*Subscription*",Customer_Invoices_Upload!$B$4:$B$5003,"&gt;="&amp;DATE(2026,8,1),Customer_Invoices_Upload!$B$4:$B$5003,"&lt;"&amp;EDATE(DATE(2026,8,1),1))+COUNTIFS(Stripe_Invoices_Upload!$D$4:$D$5003,$A187,Stripe_Invoices_Upload!$E$4:$E$5003,"*Subscription*",Stripe_Invoices_Upload!$A$4:$A$5003,"&gt;="&amp;DATE(2026,8,1),Stripe_Invoices_Upload!$A$4:$A$5003,"&lt;"&amp;EDATE(DATE(2026,8,1),1)))&gt;0,"✓ Invoiced","⚠ Due"),""),""))</f>
        <v/>
      </c>
      <c r="L187" s="130" t="str">
        <f aca="false">IF($A187="","",IF((DATE(YEAR($E187),MONTH($E187),1)&lt;=DATE(2026,9,1)),IF((MOD(DATEDIF(DATE(YEAR($E187),MONTH($E187),1),DATE(2026,9,1),"m"),IF($D187="Quarterly",3,IF($D187="Annual",12,1)))=0),IF((COUNTIFS(Xero_Raw!$D$4:$D$5003,$A187,Xero_Raw!$G$4:$G$5003,"*Subscription*",Xero_Raw!$A$4:$A$5003,"&gt;="&amp;DATE(2026,9,1),Xero_Raw!$A$4:$A$5003,"&lt;"&amp;EDATE(DATE(2026,9,1),1))+COUNTIFS(Customer_Invoices_Upload!$E$4:$E$5003,$A187,Customer_Invoices_Upload!$G$4:$G$5003,"*Subscription*",Customer_Invoices_Upload!$B$4:$B$5003,"&gt;="&amp;DATE(2026,9,1),Customer_Invoices_Upload!$B$4:$B$5003,"&lt;"&amp;EDATE(DATE(2026,9,1),1))+COUNTIFS(Stripe_Invoices_Upload!$D$4:$D$5003,$A187,Stripe_Invoices_Upload!$E$4:$E$5003,"*Subscription*",Stripe_Invoices_Upload!$A$4:$A$5003,"&gt;="&amp;DATE(2026,9,1),Stripe_Invoices_Upload!$A$4:$A$5003,"&lt;"&amp;EDATE(DATE(2026,9,1),1)))&gt;0,"✓ Invoiced","⚠ Due"),""),""))</f>
        <v/>
      </c>
      <c r="M187" s="130" t="str">
        <f aca="false">IF($A187="","",IF((DATE(YEAR($E187),MONTH($E187),1)&lt;=DATE(2026,10,1)),IF((MOD(DATEDIF(DATE(YEAR($E187),MONTH($E187),1),DATE(2026,10,1),"m"),IF($D187="Quarterly",3,IF($D187="Annual",12,1)))=0),IF((COUNTIFS(Xero_Raw!$D$4:$D$5003,$A187,Xero_Raw!$G$4:$G$5003,"*Subscription*",Xero_Raw!$A$4:$A$5003,"&gt;="&amp;DATE(2026,10,1),Xero_Raw!$A$4:$A$5003,"&lt;"&amp;EDATE(DATE(2026,10,1),1))+COUNTIFS(Customer_Invoices_Upload!$E$4:$E$5003,$A187,Customer_Invoices_Upload!$G$4:$G$5003,"*Subscription*",Customer_Invoices_Upload!$B$4:$B$5003,"&gt;="&amp;DATE(2026,10,1),Customer_Invoices_Upload!$B$4:$B$5003,"&lt;"&amp;EDATE(DATE(2026,10,1),1))+COUNTIFS(Stripe_Invoices_Upload!$D$4:$D$5003,$A187,Stripe_Invoices_Upload!$E$4:$E$5003,"*Subscription*",Stripe_Invoices_Upload!$A$4:$A$5003,"&gt;="&amp;DATE(2026,10,1),Stripe_Invoices_Upload!$A$4:$A$5003,"&lt;"&amp;EDATE(DATE(2026,10,1),1)))&gt;0,"✓ Invoiced","⚠ Due"),""),""))</f>
        <v/>
      </c>
      <c r="N187" s="130" t="str">
        <f aca="false">IF($A187="","",IF((DATE(YEAR($E187),MONTH($E187),1)&lt;=DATE(2026,11,1)),IF((MOD(DATEDIF(DATE(YEAR($E187),MONTH($E187),1),DATE(2026,11,1),"m"),IF($D187="Quarterly",3,IF($D187="Annual",12,1)))=0),IF((COUNTIFS(Xero_Raw!$D$4:$D$5003,$A187,Xero_Raw!$G$4:$G$5003,"*Subscription*",Xero_Raw!$A$4:$A$5003,"&gt;="&amp;DATE(2026,11,1),Xero_Raw!$A$4:$A$5003,"&lt;"&amp;EDATE(DATE(2026,11,1),1))+COUNTIFS(Customer_Invoices_Upload!$E$4:$E$5003,$A187,Customer_Invoices_Upload!$G$4:$G$5003,"*Subscription*",Customer_Invoices_Upload!$B$4:$B$5003,"&gt;="&amp;DATE(2026,11,1),Customer_Invoices_Upload!$B$4:$B$5003,"&lt;"&amp;EDATE(DATE(2026,11,1),1))+COUNTIFS(Stripe_Invoices_Upload!$D$4:$D$5003,$A187,Stripe_Invoices_Upload!$E$4:$E$5003,"*Subscription*",Stripe_Invoices_Upload!$A$4:$A$5003,"&gt;="&amp;DATE(2026,11,1),Stripe_Invoices_Upload!$A$4:$A$5003,"&lt;"&amp;EDATE(DATE(2026,11,1),1)))&gt;0,"✓ Invoiced","⚠ Due"),""),""))</f>
        <v/>
      </c>
      <c r="O187" s="130" t="str">
        <f aca="false">IF($A187="","",IF((DATE(YEAR($E187),MONTH($E187),1)&lt;=DATE(2026,12,1)),IF((MOD(DATEDIF(DATE(YEAR($E187),MONTH($E187),1),DATE(2026,12,1),"m"),IF($D187="Quarterly",3,IF($D187="Annual",12,1)))=0),IF((COUNTIFS(Xero_Raw!$D$4:$D$5003,$A187,Xero_Raw!$G$4:$G$5003,"*Subscription*",Xero_Raw!$A$4:$A$5003,"&gt;="&amp;DATE(2026,12,1),Xero_Raw!$A$4:$A$5003,"&lt;"&amp;EDATE(DATE(2026,12,1),1))+COUNTIFS(Customer_Invoices_Upload!$E$4:$E$5003,$A187,Customer_Invoices_Upload!$G$4:$G$5003,"*Subscription*",Customer_Invoices_Upload!$B$4:$B$5003,"&gt;="&amp;DATE(2026,12,1),Customer_Invoices_Upload!$B$4:$B$5003,"&lt;"&amp;EDATE(DATE(2026,12,1),1))+COUNTIFS(Stripe_Invoices_Upload!$D$4:$D$5003,$A187,Stripe_Invoices_Upload!$E$4:$E$5003,"*Subscription*",Stripe_Invoices_Upload!$A$4:$A$5003,"&gt;="&amp;DATE(2026,12,1),Stripe_Invoices_Upload!$A$4:$A$5003,"&lt;"&amp;EDATE(DATE(2026,12,1),1)))&gt;0,"✓ Invoiced","⚠ Due"),""),""))</f>
        <v/>
      </c>
      <c r="P187" s="130" t="str">
        <f aca="false">IF($A187="","",IF((DATE(YEAR($E187),MONTH($E187),1)&lt;=DATE(2027,1,1)),IF((MOD(DATEDIF(DATE(YEAR($E187),MONTH($E187),1),DATE(2027,1,1),"m"),IF($D187="Quarterly",3,IF($D187="Annual",12,1)))=0),IF((COUNTIFS(Xero_Raw!$D$4:$D$5003,$A187,Xero_Raw!$G$4:$G$5003,"*Subscription*",Xero_Raw!$A$4:$A$5003,"&gt;="&amp;DATE(2027,1,1),Xero_Raw!$A$4:$A$5003,"&lt;"&amp;EDATE(DATE(2027,1,1),1))+COUNTIFS(Customer_Invoices_Upload!$E$4:$E$5003,$A187,Customer_Invoices_Upload!$G$4:$G$5003,"*Subscription*",Customer_Invoices_Upload!$B$4:$B$5003,"&gt;="&amp;DATE(2027,1,1),Customer_Invoices_Upload!$B$4:$B$5003,"&lt;"&amp;EDATE(DATE(2027,1,1),1))+COUNTIFS(Stripe_Invoices_Upload!$D$4:$D$5003,$A187,Stripe_Invoices_Upload!$E$4:$E$5003,"*Subscription*",Stripe_Invoices_Upload!$A$4:$A$5003,"&gt;="&amp;DATE(2027,1,1),Stripe_Invoices_Upload!$A$4:$A$5003,"&lt;"&amp;EDATE(DATE(2027,1,1),1)))&gt;0,"✓ Invoiced","⚠ Due"),""),""))</f>
        <v/>
      </c>
      <c r="Q187" s="130" t="str">
        <f aca="false">IF($A187="","",IF((DATE(YEAR($E187),MONTH($E187),1)&lt;=DATE(2027,2,1)),IF((MOD(DATEDIF(DATE(YEAR($E187),MONTH($E187),1),DATE(2027,2,1),"m"),IF($D187="Quarterly",3,IF($D187="Annual",12,1)))=0),IF((COUNTIFS(Xero_Raw!$D$4:$D$5003,$A187,Xero_Raw!$G$4:$G$5003,"*Subscription*",Xero_Raw!$A$4:$A$5003,"&gt;="&amp;DATE(2027,2,1),Xero_Raw!$A$4:$A$5003,"&lt;"&amp;EDATE(DATE(2027,2,1),1))+COUNTIFS(Customer_Invoices_Upload!$E$4:$E$5003,$A187,Customer_Invoices_Upload!$G$4:$G$5003,"*Subscription*",Customer_Invoices_Upload!$B$4:$B$5003,"&gt;="&amp;DATE(2027,2,1),Customer_Invoices_Upload!$B$4:$B$5003,"&lt;"&amp;EDATE(DATE(2027,2,1),1))+COUNTIFS(Stripe_Invoices_Upload!$D$4:$D$5003,$A187,Stripe_Invoices_Upload!$E$4:$E$5003,"*Subscription*",Stripe_Invoices_Upload!$A$4:$A$5003,"&gt;="&amp;DATE(2027,2,1),Stripe_Invoices_Upload!$A$4:$A$5003,"&lt;"&amp;EDATE(DATE(2027,2,1),1)))&gt;0,"✓ Invoiced","⚠ Due"),""),""))</f>
        <v/>
      </c>
      <c r="R187" s="130" t="str">
        <f aca="false">IF($A187="","",IF((DATE(YEAR($E187),MONTH($E187),1)&lt;=DATE(2027,3,1)),IF((MOD(DATEDIF(DATE(YEAR($E187),MONTH($E187),1),DATE(2027,3,1),"m"),IF($D187="Quarterly",3,IF($D187="Annual",12,1)))=0),IF((COUNTIFS(Xero_Raw!$D$4:$D$5003,$A187,Xero_Raw!$G$4:$G$5003,"*Subscription*",Xero_Raw!$A$4:$A$5003,"&gt;="&amp;DATE(2027,3,1),Xero_Raw!$A$4:$A$5003,"&lt;"&amp;EDATE(DATE(2027,3,1),1))+COUNTIFS(Customer_Invoices_Upload!$E$4:$E$5003,$A187,Customer_Invoices_Upload!$G$4:$G$5003,"*Subscription*",Customer_Invoices_Upload!$B$4:$B$5003,"&gt;="&amp;DATE(2027,3,1),Customer_Invoices_Upload!$B$4:$B$5003,"&lt;"&amp;EDATE(DATE(2027,3,1),1))+COUNTIFS(Stripe_Invoices_Upload!$D$4:$D$5003,$A187,Stripe_Invoices_Upload!$E$4:$E$5003,"*Subscription*",Stripe_Invoices_Upload!$A$4:$A$5003,"&gt;="&amp;DATE(2027,3,1),Stripe_Invoices_Upload!$A$4:$A$5003,"&lt;"&amp;EDATE(DATE(2027,3,1),1)))&gt;0,"✓ Invoiced","⚠ Due"),""),""))</f>
        <v/>
      </c>
    </row>
    <row r="188" customFormat="false" ht="15" hidden="false" customHeight="false" outlineLevel="0" collapsed="false">
      <c r="A188" s="39"/>
      <c r="B188" s="39"/>
      <c r="C188" s="40"/>
      <c r="D188" s="39"/>
      <c r="E188" s="38"/>
      <c r="F188" s="129" t="str">
        <f aca="true">IF($A188="","",EDATE($E188,DATEDIF($E188,TODAY(),"m")+1))</f>
        <v/>
      </c>
      <c r="G188" s="130" t="str">
        <f aca="false">IF($A188="","",IF((DATE(YEAR($E188),MONTH($E188),1)&lt;=DATE(2026,4,1)),IF((MOD(DATEDIF(DATE(YEAR($E188),MONTH($E188),1),DATE(2026,4,1),"m"),IF($D188="Quarterly",3,IF($D188="Annual",12,1)))=0),IF((COUNTIFS(Xero_Raw!$D$4:$D$5003,$A188,Xero_Raw!$G$4:$G$5003,"*Subscription*",Xero_Raw!$A$4:$A$5003,"&gt;="&amp;DATE(2026,4,1),Xero_Raw!$A$4:$A$5003,"&lt;"&amp;EDATE(DATE(2026,4,1),1))+COUNTIFS(Customer_Invoices_Upload!$E$4:$E$5003,$A188,Customer_Invoices_Upload!$G$4:$G$5003,"*Subscription*",Customer_Invoices_Upload!$B$4:$B$5003,"&gt;="&amp;DATE(2026,4,1),Customer_Invoices_Upload!$B$4:$B$5003,"&lt;"&amp;EDATE(DATE(2026,4,1),1))+COUNTIFS(Stripe_Invoices_Upload!$D$4:$D$5003,$A188,Stripe_Invoices_Upload!$E$4:$E$5003,"*Subscription*",Stripe_Invoices_Upload!$A$4:$A$5003,"&gt;="&amp;DATE(2026,4,1),Stripe_Invoices_Upload!$A$4:$A$5003,"&lt;"&amp;EDATE(DATE(2026,4,1),1)))&gt;0,"✓ Invoiced","⚠ Due"),""),""))</f>
        <v/>
      </c>
      <c r="H188" s="130" t="str">
        <f aca="false">IF($A188="","",IF((DATE(YEAR($E188),MONTH($E188),1)&lt;=DATE(2026,5,1)),IF((MOD(DATEDIF(DATE(YEAR($E188),MONTH($E188),1),DATE(2026,5,1),"m"),IF($D188="Quarterly",3,IF($D188="Annual",12,1)))=0),IF((COUNTIFS(Xero_Raw!$D$4:$D$5003,$A188,Xero_Raw!$G$4:$G$5003,"*Subscription*",Xero_Raw!$A$4:$A$5003,"&gt;="&amp;DATE(2026,5,1),Xero_Raw!$A$4:$A$5003,"&lt;"&amp;EDATE(DATE(2026,5,1),1))+COUNTIFS(Customer_Invoices_Upload!$E$4:$E$5003,$A188,Customer_Invoices_Upload!$G$4:$G$5003,"*Subscription*",Customer_Invoices_Upload!$B$4:$B$5003,"&gt;="&amp;DATE(2026,5,1),Customer_Invoices_Upload!$B$4:$B$5003,"&lt;"&amp;EDATE(DATE(2026,5,1),1))+COUNTIFS(Stripe_Invoices_Upload!$D$4:$D$5003,$A188,Stripe_Invoices_Upload!$E$4:$E$5003,"*Subscription*",Stripe_Invoices_Upload!$A$4:$A$5003,"&gt;="&amp;DATE(2026,5,1),Stripe_Invoices_Upload!$A$4:$A$5003,"&lt;"&amp;EDATE(DATE(2026,5,1),1)))&gt;0,"✓ Invoiced","⚠ Due"),""),""))</f>
        <v/>
      </c>
      <c r="I188" s="130" t="str">
        <f aca="false">IF($A188="","",IF((DATE(YEAR($E188),MONTH($E188),1)&lt;=DATE(2026,6,1)),IF((MOD(DATEDIF(DATE(YEAR($E188),MONTH($E188),1),DATE(2026,6,1),"m"),IF($D188="Quarterly",3,IF($D188="Annual",12,1)))=0),IF((COUNTIFS(Xero_Raw!$D$4:$D$5003,$A188,Xero_Raw!$G$4:$G$5003,"*Subscription*",Xero_Raw!$A$4:$A$5003,"&gt;="&amp;DATE(2026,6,1),Xero_Raw!$A$4:$A$5003,"&lt;"&amp;EDATE(DATE(2026,6,1),1))+COUNTIFS(Customer_Invoices_Upload!$E$4:$E$5003,$A188,Customer_Invoices_Upload!$G$4:$G$5003,"*Subscription*",Customer_Invoices_Upload!$B$4:$B$5003,"&gt;="&amp;DATE(2026,6,1),Customer_Invoices_Upload!$B$4:$B$5003,"&lt;"&amp;EDATE(DATE(2026,6,1),1))+COUNTIFS(Stripe_Invoices_Upload!$D$4:$D$5003,$A188,Stripe_Invoices_Upload!$E$4:$E$5003,"*Subscription*",Stripe_Invoices_Upload!$A$4:$A$5003,"&gt;="&amp;DATE(2026,6,1),Stripe_Invoices_Upload!$A$4:$A$5003,"&lt;"&amp;EDATE(DATE(2026,6,1),1)))&gt;0,"✓ Invoiced","⚠ Due"),""),""))</f>
        <v/>
      </c>
      <c r="J188" s="130" t="str">
        <f aca="false">IF($A188="","",IF((DATE(YEAR($E188),MONTH($E188),1)&lt;=DATE(2026,7,1)),IF((MOD(DATEDIF(DATE(YEAR($E188),MONTH($E188),1),DATE(2026,7,1),"m"),IF($D188="Quarterly",3,IF($D188="Annual",12,1)))=0),IF((COUNTIFS(Xero_Raw!$D$4:$D$5003,$A188,Xero_Raw!$G$4:$G$5003,"*Subscription*",Xero_Raw!$A$4:$A$5003,"&gt;="&amp;DATE(2026,7,1),Xero_Raw!$A$4:$A$5003,"&lt;"&amp;EDATE(DATE(2026,7,1),1))+COUNTIFS(Customer_Invoices_Upload!$E$4:$E$5003,$A188,Customer_Invoices_Upload!$G$4:$G$5003,"*Subscription*",Customer_Invoices_Upload!$B$4:$B$5003,"&gt;="&amp;DATE(2026,7,1),Customer_Invoices_Upload!$B$4:$B$5003,"&lt;"&amp;EDATE(DATE(2026,7,1),1))+COUNTIFS(Stripe_Invoices_Upload!$D$4:$D$5003,$A188,Stripe_Invoices_Upload!$E$4:$E$5003,"*Subscription*",Stripe_Invoices_Upload!$A$4:$A$5003,"&gt;="&amp;DATE(2026,7,1),Stripe_Invoices_Upload!$A$4:$A$5003,"&lt;"&amp;EDATE(DATE(2026,7,1),1)))&gt;0,"✓ Invoiced","⚠ Due"),""),""))</f>
        <v/>
      </c>
      <c r="K188" s="130" t="str">
        <f aca="false">IF($A188="","",IF((DATE(YEAR($E188),MONTH($E188),1)&lt;=DATE(2026,8,1)),IF((MOD(DATEDIF(DATE(YEAR($E188),MONTH($E188),1),DATE(2026,8,1),"m"),IF($D188="Quarterly",3,IF($D188="Annual",12,1)))=0),IF((COUNTIFS(Xero_Raw!$D$4:$D$5003,$A188,Xero_Raw!$G$4:$G$5003,"*Subscription*",Xero_Raw!$A$4:$A$5003,"&gt;="&amp;DATE(2026,8,1),Xero_Raw!$A$4:$A$5003,"&lt;"&amp;EDATE(DATE(2026,8,1),1))+COUNTIFS(Customer_Invoices_Upload!$E$4:$E$5003,$A188,Customer_Invoices_Upload!$G$4:$G$5003,"*Subscription*",Customer_Invoices_Upload!$B$4:$B$5003,"&gt;="&amp;DATE(2026,8,1),Customer_Invoices_Upload!$B$4:$B$5003,"&lt;"&amp;EDATE(DATE(2026,8,1),1))+COUNTIFS(Stripe_Invoices_Upload!$D$4:$D$5003,$A188,Stripe_Invoices_Upload!$E$4:$E$5003,"*Subscription*",Stripe_Invoices_Upload!$A$4:$A$5003,"&gt;="&amp;DATE(2026,8,1),Stripe_Invoices_Upload!$A$4:$A$5003,"&lt;"&amp;EDATE(DATE(2026,8,1),1)))&gt;0,"✓ Invoiced","⚠ Due"),""),""))</f>
        <v/>
      </c>
      <c r="L188" s="130" t="str">
        <f aca="false">IF($A188="","",IF((DATE(YEAR($E188),MONTH($E188),1)&lt;=DATE(2026,9,1)),IF((MOD(DATEDIF(DATE(YEAR($E188),MONTH($E188),1),DATE(2026,9,1),"m"),IF($D188="Quarterly",3,IF($D188="Annual",12,1)))=0),IF((COUNTIFS(Xero_Raw!$D$4:$D$5003,$A188,Xero_Raw!$G$4:$G$5003,"*Subscription*",Xero_Raw!$A$4:$A$5003,"&gt;="&amp;DATE(2026,9,1),Xero_Raw!$A$4:$A$5003,"&lt;"&amp;EDATE(DATE(2026,9,1),1))+COUNTIFS(Customer_Invoices_Upload!$E$4:$E$5003,$A188,Customer_Invoices_Upload!$G$4:$G$5003,"*Subscription*",Customer_Invoices_Upload!$B$4:$B$5003,"&gt;="&amp;DATE(2026,9,1),Customer_Invoices_Upload!$B$4:$B$5003,"&lt;"&amp;EDATE(DATE(2026,9,1),1))+COUNTIFS(Stripe_Invoices_Upload!$D$4:$D$5003,$A188,Stripe_Invoices_Upload!$E$4:$E$5003,"*Subscription*",Stripe_Invoices_Upload!$A$4:$A$5003,"&gt;="&amp;DATE(2026,9,1),Stripe_Invoices_Upload!$A$4:$A$5003,"&lt;"&amp;EDATE(DATE(2026,9,1),1)))&gt;0,"✓ Invoiced","⚠ Due"),""),""))</f>
        <v/>
      </c>
      <c r="M188" s="130" t="str">
        <f aca="false">IF($A188="","",IF((DATE(YEAR($E188),MONTH($E188),1)&lt;=DATE(2026,10,1)),IF((MOD(DATEDIF(DATE(YEAR($E188),MONTH($E188),1),DATE(2026,10,1),"m"),IF($D188="Quarterly",3,IF($D188="Annual",12,1)))=0),IF((COUNTIFS(Xero_Raw!$D$4:$D$5003,$A188,Xero_Raw!$G$4:$G$5003,"*Subscription*",Xero_Raw!$A$4:$A$5003,"&gt;="&amp;DATE(2026,10,1),Xero_Raw!$A$4:$A$5003,"&lt;"&amp;EDATE(DATE(2026,10,1),1))+COUNTIFS(Customer_Invoices_Upload!$E$4:$E$5003,$A188,Customer_Invoices_Upload!$G$4:$G$5003,"*Subscription*",Customer_Invoices_Upload!$B$4:$B$5003,"&gt;="&amp;DATE(2026,10,1),Customer_Invoices_Upload!$B$4:$B$5003,"&lt;"&amp;EDATE(DATE(2026,10,1),1))+COUNTIFS(Stripe_Invoices_Upload!$D$4:$D$5003,$A188,Stripe_Invoices_Upload!$E$4:$E$5003,"*Subscription*",Stripe_Invoices_Upload!$A$4:$A$5003,"&gt;="&amp;DATE(2026,10,1),Stripe_Invoices_Upload!$A$4:$A$5003,"&lt;"&amp;EDATE(DATE(2026,10,1),1)))&gt;0,"✓ Invoiced","⚠ Due"),""),""))</f>
        <v/>
      </c>
      <c r="N188" s="130" t="str">
        <f aca="false">IF($A188="","",IF((DATE(YEAR($E188),MONTH($E188),1)&lt;=DATE(2026,11,1)),IF((MOD(DATEDIF(DATE(YEAR($E188),MONTH($E188),1),DATE(2026,11,1),"m"),IF($D188="Quarterly",3,IF($D188="Annual",12,1)))=0),IF((COUNTIFS(Xero_Raw!$D$4:$D$5003,$A188,Xero_Raw!$G$4:$G$5003,"*Subscription*",Xero_Raw!$A$4:$A$5003,"&gt;="&amp;DATE(2026,11,1),Xero_Raw!$A$4:$A$5003,"&lt;"&amp;EDATE(DATE(2026,11,1),1))+COUNTIFS(Customer_Invoices_Upload!$E$4:$E$5003,$A188,Customer_Invoices_Upload!$G$4:$G$5003,"*Subscription*",Customer_Invoices_Upload!$B$4:$B$5003,"&gt;="&amp;DATE(2026,11,1),Customer_Invoices_Upload!$B$4:$B$5003,"&lt;"&amp;EDATE(DATE(2026,11,1),1))+COUNTIFS(Stripe_Invoices_Upload!$D$4:$D$5003,$A188,Stripe_Invoices_Upload!$E$4:$E$5003,"*Subscription*",Stripe_Invoices_Upload!$A$4:$A$5003,"&gt;="&amp;DATE(2026,11,1),Stripe_Invoices_Upload!$A$4:$A$5003,"&lt;"&amp;EDATE(DATE(2026,11,1),1)))&gt;0,"✓ Invoiced","⚠ Due"),""),""))</f>
        <v/>
      </c>
      <c r="O188" s="130" t="str">
        <f aca="false">IF($A188="","",IF((DATE(YEAR($E188),MONTH($E188),1)&lt;=DATE(2026,12,1)),IF((MOD(DATEDIF(DATE(YEAR($E188),MONTH($E188),1),DATE(2026,12,1),"m"),IF($D188="Quarterly",3,IF($D188="Annual",12,1)))=0),IF((COUNTIFS(Xero_Raw!$D$4:$D$5003,$A188,Xero_Raw!$G$4:$G$5003,"*Subscription*",Xero_Raw!$A$4:$A$5003,"&gt;="&amp;DATE(2026,12,1),Xero_Raw!$A$4:$A$5003,"&lt;"&amp;EDATE(DATE(2026,12,1),1))+COUNTIFS(Customer_Invoices_Upload!$E$4:$E$5003,$A188,Customer_Invoices_Upload!$G$4:$G$5003,"*Subscription*",Customer_Invoices_Upload!$B$4:$B$5003,"&gt;="&amp;DATE(2026,12,1),Customer_Invoices_Upload!$B$4:$B$5003,"&lt;"&amp;EDATE(DATE(2026,12,1),1))+COUNTIFS(Stripe_Invoices_Upload!$D$4:$D$5003,$A188,Stripe_Invoices_Upload!$E$4:$E$5003,"*Subscription*",Stripe_Invoices_Upload!$A$4:$A$5003,"&gt;="&amp;DATE(2026,12,1),Stripe_Invoices_Upload!$A$4:$A$5003,"&lt;"&amp;EDATE(DATE(2026,12,1),1)))&gt;0,"✓ Invoiced","⚠ Due"),""),""))</f>
        <v/>
      </c>
      <c r="P188" s="130" t="str">
        <f aca="false">IF($A188="","",IF((DATE(YEAR($E188),MONTH($E188),1)&lt;=DATE(2027,1,1)),IF((MOD(DATEDIF(DATE(YEAR($E188),MONTH($E188),1),DATE(2027,1,1),"m"),IF($D188="Quarterly",3,IF($D188="Annual",12,1)))=0),IF((COUNTIFS(Xero_Raw!$D$4:$D$5003,$A188,Xero_Raw!$G$4:$G$5003,"*Subscription*",Xero_Raw!$A$4:$A$5003,"&gt;="&amp;DATE(2027,1,1),Xero_Raw!$A$4:$A$5003,"&lt;"&amp;EDATE(DATE(2027,1,1),1))+COUNTIFS(Customer_Invoices_Upload!$E$4:$E$5003,$A188,Customer_Invoices_Upload!$G$4:$G$5003,"*Subscription*",Customer_Invoices_Upload!$B$4:$B$5003,"&gt;="&amp;DATE(2027,1,1),Customer_Invoices_Upload!$B$4:$B$5003,"&lt;"&amp;EDATE(DATE(2027,1,1),1))+COUNTIFS(Stripe_Invoices_Upload!$D$4:$D$5003,$A188,Stripe_Invoices_Upload!$E$4:$E$5003,"*Subscription*",Stripe_Invoices_Upload!$A$4:$A$5003,"&gt;="&amp;DATE(2027,1,1),Stripe_Invoices_Upload!$A$4:$A$5003,"&lt;"&amp;EDATE(DATE(2027,1,1),1)))&gt;0,"✓ Invoiced","⚠ Due"),""),""))</f>
        <v/>
      </c>
      <c r="Q188" s="130" t="str">
        <f aca="false">IF($A188="","",IF((DATE(YEAR($E188),MONTH($E188),1)&lt;=DATE(2027,2,1)),IF((MOD(DATEDIF(DATE(YEAR($E188),MONTH($E188),1),DATE(2027,2,1),"m"),IF($D188="Quarterly",3,IF($D188="Annual",12,1)))=0),IF((COUNTIFS(Xero_Raw!$D$4:$D$5003,$A188,Xero_Raw!$G$4:$G$5003,"*Subscription*",Xero_Raw!$A$4:$A$5003,"&gt;="&amp;DATE(2027,2,1),Xero_Raw!$A$4:$A$5003,"&lt;"&amp;EDATE(DATE(2027,2,1),1))+COUNTIFS(Customer_Invoices_Upload!$E$4:$E$5003,$A188,Customer_Invoices_Upload!$G$4:$G$5003,"*Subscription*",Customer_Invoices_Upload!$B$4:$B$5003,"&gt;="&amp;DATE(2027,2,1),Customer_Invoices_Upload!$B$4:$B$5003,"&lt;"&amp;EDATE(DATE(2027,2,1),1))+COUNTIFS(Stripe_Invoices_Upload!$D$4:$D$5003,$A188,Stripe_Invoices_Upload!$E$4:$E$5003,"*Subscription*",Stripe_Invoices_Upload!$A$4:$A$5003,"&gt;="&amp;DATE(2027,2,1),Stripe_Invoices_Upload!$A$4:$A$5003,"&lt;"&amp;EDATE(DATE(2027,2,1),1)))&gt;0,"✓ Invoiced","⚠ Due"),""),""))</f>
        <v/>
      </c>
      <c r="R188" s="130" t="str">
        <f aca="false">IF($A188="","",IF((DATE(YEAR($E188),MONTH($E188),1)&lt;=DATE(2027,3,1)),IF((MOD(DATEDIF(DATE(YEAR($E188),MONTH($E188),1),DATE(2027,3,1),"m"),IF($D188="Quarterly",3,IF($D188="Annual",12,1)))=0),IF((COUNTIFS(Xero_Raw!$D$4:$D$5003,$A188,Xero_Raw!$G$4:$G$5003,"*Subscription*",Xero_Raw!$A$4:$A$5003,"&gt;="&amp;DATE(2027,3,1),Xero_Raw!$A$4:$A$5003,"&lt;"&amp;EDATE(DATE(2027,3,1),1))+COUNTIFS(Customer_Invoices_Upload!$E$4:$E$5003,$A188,Customer_Invoices_Upload!$G$4:$G$5003,"*Subscription*",Customer_Invoices_Upload!$B$4:$B$5003,"&gt;="&amp;DATE(2027,3,1),Customer_Invoices_Upload!$B$4:$B$5003,"&lt;"&amp;EDATE(DATE(2027,3,1),1))+COUNTIFS(Stripe_Invoices_Upload!$D$4:$D$5003,$A188,Stripe_Invoices_Upload!$E$4:$E$5003,"*Subscription*",Stripe_Invoices_Upload!$A$4:$A$5003,"&gt;="&amp;DATE(2027,3,1),Stripe_Invoices_Upload!$A$4:$A$5003,"&lt;"&amp;EDATE(DATE(2027,3,1),1)))&gt;0,"✓ Invoiced","⚠ Due"),""),""))</f>
        <v/>
      </c>
    </row>
    <row r="189" customFormat="false" ht="15" hidden="false" customHeight="false" outlineLevel="0" collapsed="false">
      <c r="A189" s="39"/>
      <c r="B189" s="39"/>
      <c r="C189" s="40"/>
      <c r="D189" s="39"/>
      <c r="E189" s="38"/>
      <c r="F189" s="129" t="str">
        <f aca="true">IF($A189="","",EDATE($E189,DATEDIF($E189,TODAY(),"m")+1))</f>
        <v/>
      </c>
      <c r="G189" s="130" t="str">
        <f aca="false">IF($A189="","",IF((DATE(YEAR($E189),MONTH($E189),1)&lt;=DATE(2026,4,1)),IF((MOD(DATEDIF(DATE(YEAR($E189),MONTH($E189),1),DATE(2026,4,1),"m"),IF($D189="Quarterly",3,IF($D189="Annual",12,1)))=0),IF((COUNTIFS(Xero_Raw!$D$4:$D$5003,$A189,Xero_Raw!$G$4:$G$5003,"*Subscription*",Xero_Raw!$A$4:$A$5003,"&gt;="&amp;DATE(2026,4,1),Xero_Raw!$A$4:$A$5003,"&lt;"&amp;EDATE(DATE(2026,4,1),1))+COUNTIFS(Customer_Invoices_Upload!$E$4:$E$5003,$A189,Customer_Invoices_Upload!$G$4:$G$5003,"*Subscription*",Customer_Invoices_Upload!$B$4:$B$5003,"&gt;="&amp;DATE(2026,4,1),Customer_Invoices_Upload!$B$4:$B$5003,"&lt;"&amp;EDATE(DATE(2026,4,1),1))+COUNTIFS(Stripe_Invoices_Upload!$D$4:$D$5003,$A189,Stripe_Invoices_Upload!$E$4:$E$5003,"*Subscription*",Stripe_Invoices_Upload!$A$4:$A$5003,"&gt;="&amp;DATE(2026,4,1),Stripe_Invoices_Upload!$A$4:$A$5003,"&lt;"&amp;EDATE(DATE(2026,4,1),1)))&gt;0,"✓ Invoiced","⚠ Due"),""),""))</f>
        <v/>
      </c>
      <c r="H189" s="130" t="str">
        <f aca="false">IF($A189="","",IF((DATE(YEAR($E189),MONTH($E189),1)&lt;=DATE(2026,5,1)),IF((MOD(DATEDIF(DATE(YEAR($E189),MONTH($E189),1),DATE(2026,5,1),"m"),IF($D189="Quarterly",3,IF($D189="Annual",12,1)))=0),IF((COUNTIFS(Xero_Raw!$D$4:$D$5003,$A189,Xero_Raw!$G$4:$G$5003,"*Subscription*",Xero_Raw!$A$4:$A$5003,"&gt;="&amp;DATE(2026,5,1),Xero_Raw!$A$4:$A$5003,"&lt;"&amp;EDATE(DATE(2026,5,1),1))+COUNTIFS(Customer_Invoices_Upload!$E$4:$E$5003,$A189,Customer_Invoices_Upload!$G$4:$G$5003,"*Subscription*",Customer_Invoices_Upload!$B$4:$B$5003,"&gt;="&amp;DATE(2026,5,1),Customer_Invoices_Upload!$B$4:$B$5003,"&lt;"&amp;EDATE(DATE(2026,5,1),1))+COUNTIFS(Stripe_Invoices_Upload!$D$4:$D$5003,$A189,Stripe_Invoices_Upload!$E$4:$E$5003,"*Subscription*",Stripe_Invoices_Upload!$A$4:$A$5003,"&gt;="&amp;DATE(2026,5,1),Stripe_Invoices_Upload!$A$4:$A$5003,"&lt;"&amp;EDATE(DATE(2026,5,1),1)))&gt;0,"✓ Invoiced","⚠ Due"),""),""))</f>
        <v/>
      </c>
      <c r="I189" s="130" t="str">
        <f aca="false">IF($A189="","",IF((DATE(YEAR($E189),MONTH($E189),1)&lt;=DATE(2026,6,1)),IF((MOD(DATEDIF(DATE(YEAR($E189),MONTH($E189),1),DATE(2026,6,1),"m"),IF($D189="Quarterly",3,IF($D189="Annual",12,1)))=0),IF((COUNTIFS(Xero_Raw!$D$4:$D$5003,$A189,Xero_Raw!$G$4:$G$5003,"*Subscription*",Xero_Raw!$A$4:$A$5003,"&gt;="&amp;DATE(2026,6,1),Xero_Raw!$A$4:$A$5003,"&lt;"&amp;EDATE(DATE(2026,6,1),1))+COUNTIFS(Customer_Invoices_Upload!$E$4:$E$5003,$A189,Customer_Invoices_Upload!$G$4:$G$5003,"*Subscription*",Customer_Invoices_Upload!$B$4:$B$5003,"&gt;="&amp;DATE(2026,6,1),Customer_Invoices_Upload!$B$4:$B$5003,"&lt;"&amp;EDATE(DATE(2026,6,1),1))+COUNTIFS(Stripe_Invoices_Upload!$D$4:$D$5003,$A189,Stripe_Invoices_Upload!$E$4:$E$5003,"*Subscription*",Stripe_Invoices_Upload!$A$4:$A$5003,"&gt;="&amp;DATE(2026,6,1),Stripe_Invoices_Upload!$A$4:$A$5003,"&lt;"&amp;EDATE(DATE(2026,6,1),1)))&gt;0,"✓ Invoiced","⚠ Due"),""),""))</f>
        <v/>
      </c>
      <c r="J189" s="130" t="str">
        <f aca="false">IF($A189="","",IF((DATE(YEAR($E189),MONTH($E189),1)&lt;=DATE(2026,7,1)),IF((MOD(DATEDIF(DATE(YEAR($E189),MONTH($E189),1),DATE(2026,7,1),"m"),IF($D189="Quarterly",3,IF($D189="Annual",12,1)))=0),IF((COUNTIFS(Xero_Raw!$D$4:$D$5003,$A189,Xero_Raw!$G$4:$G$5003,"*Subscription*",Xero_Raw!$A$4:$A$5003,"&gt;="&amp;DATE(2026,7,1),Xero_Raw!$A$4:$A$5003,"&lt;"&amp;EDATE(DATE(2026,7,1),1))+COUNTIFS(Customer_Invoices_Upload!$E$4:$E$5003,$A189,Customer_Invoices_Upload!$G$4:$G$5003,"*Subscription*",Customer_Invoices_Upload!$B$4:$B$5003,"&gt;="&amp;DATE(2026,7,1),Customer_Invoices_Upload!$B$4:$B$5003,"&lt;"&amp;EDATE(DATE(2026,7,1),1))+COUNTIFS(Stripe_Invoices_Upload!$D$4:$D$5003,$A189,Stripe_Invoices_Upload!$E$4:$E$5003,"*Subscription*",Stripe_Invoices_Upload!$A$4:$A$5003,"&gt;="&amp;DATE(2026,7,1),Stripe_Invoices_Upload!$A$4:$A$5003,"&lt;"&amp;EDATE(DATE(2026,7,1),1)))&gt;0,"✓ Invoiced","⚠ Due"),""),""))</f>
        <v/>
      </c>
      <c r="K189" s="130" t="str">
        <f aca="false">IF($A189="","",IF((DATE(YEAR($E189),MONTH($E189),1)&lt;=DATE(2026,8,1)),IF((MOD(DATEDIF(DATE(YEAR($E189),MONTH($E189),1),DATE(2026,8,1),"m"),IF($D189="Quarterly",3,IF($D189="Annual",12,1)))=0),IF((COUNTIFS(Xero_Raw!$D$4:$D$5003,$A189,Xero_Raw!$G$4:$G$5003,"*Subscription*",Xero_Raw!$A$4:$A$5003,"&gt;="&amp;DATE(2026,8,1),Xero_Raw!$A$4:$A$5003,"&lt;"&amp;EDATE(DATE(2026,8,1),1))+COUNTIFS(Customer_Invoices_Upload!$E$4:$E$5003,$A189,Customer_Invoices_Upload!$G$4:$G$5003,"*Subscription*",Customer_Invoices_Upload!$B$4:$B$5003,"&gt;="&amp;DATE(2026,8,1),Customer_Invoices_Upload!$B$4:$B$5003,"&lt;"&amp;EDATE(DATE(2026,8,1),1))+COUNTIFS(Stripe_Invoices_Upload!$D$4:$D$5003,$A189,Stripe_Invoices_Upload!$E$4:$E$5003,"*Subscription*",Stripe_Invoices_Upload!$A$4:$A$5003,"&gt;="&amp;DATE(2026,8,1),Stripe_Invoices_Upload!$A$4:$A$5003,"&lt;"&amp;EDATE(DATE(2026,8,1),1)))&gt;0,"✓ Invoiced","⚠ Due"),""),""))</f>
        <v/>
      </c>
      <c r="L189" s="130" t="str">
        <f aca="false">IF($A189="","",IF((DATE(YEAR($E189),MONTH($E189),1)&lt;=DATE(2026,9,1)),IF((MOD(DATEDIF(DATE(YEAR($E189),MONTH($E189),1),DATE(2026,9,1),"m"),IF($D189="Quarterly",3,IF($D189="Annual",12,1)))=0),IF((COUNTIFS(Xero_Raw!$D$4:$D$5003,$A189,Xero_Raw!$G$4:$G$5003,"*Subscription*",Xero_Raw!$A$4:$A$5003,"&gt;="&amp;DATE(2026,9,1),Xero_Raw!$A$4:$A$5003,"&lt;"&amp;EDATE(DATE(2026,9,1),1))+COUNTIFS(Customer_Invoices_Upload!$E$4:$E$5003,$A189,Customer_Invoices_Upload!$G$4:$G$5003,"*Subscription*",Customer_Invoices_Upload!$B$4:$B$5003,"&gt;="&amp;DATE(2026,9,1),Customer_Invoices_Upload!$B$4:$B$5003,"&lt;"&amp;EDATE(DATE(2026,9,1),1))+COUNTIFS(Stripe_Invoices_Upload!$D$4:$D$5003,$A189,Stripe_Invoices_Upload!$E$4:$E$5003,"*Subscription*",Stripe_Invoices_Upload!$A$4:$A$5003,"&gt;="&amp;DATE(2026,9,1),Stripe_Invoices_Upload!$A$4:$A$5003,"&lt;"&amp;EDATE(DATE(2026,9,1),1)))&gt;0,"✓ Invoiced","⚠ Due"),""),""))</f>
        <v/>
      </c>
      <c r="M189" s="130" t="str">
        <f aca="false">IF($A189="","",IF((DATE(YEAR($E189),MONTH($E189),1)&lt;=DATE(2026,10,1)),IF((MOD(DATEDIF(DATE(YEAR($E189),MONTH($E189),1),DATE(2026,10,1),"m"),IF($D189="Quarterly",3,IF($D189="Annual",12,1)))=0),IF((COUNTIFS(Xero_Raw!$D$4:$D$5003,$A189,Xero_Raw!$G$4:$G$5003,"*Subscription*",Xero_Raw!$A$4:$A$5003,"&gt;="&amp;DATE(2026,10,1),Xero_Raw!$A$4:$A$5003,"&lt;"&amp;EDATE(DATE(2026,10,1),1))+COUNTIFS(Customer_Invoices_Upload!$E$4:$E$5003,$A189,Customer_Invoices_Upload!$G$4:$G$5003,"*Subscription*",Customer_Invoices_Upload!$B$4:$B$5003,"&gt;="&amp;DATE(2026,10,1),Customer_Invoices_Upload!$B$4:$B$5003,"&lt;"&amp;EDATE(DATE(2026,10,1),1))+COUNTIFS(Stripe_Invoices_Upload!$D$4:$D$5003,$A189,Stripe_Invoices_Upload!$E$4:$E$5003,"*Subscription*",Stripe_Invoices_Upload!$A$4:$A$5003,"&gt;="&amp;DATE(2026,10,1),Stripe_Invoices_Upload!$A$4:$A$5003,"&lt;"&amp;EDATE(DATE(2026,10,1),1)))&gt;0,"✓ Invoiced","⚠ Due"),""),""))</f>
        <v/>
      </c>
      <c r="N189" s="130" t="str">
        <f aca="false">IF($A189="","",IF((DATE(YEAR($E189),MONTH($E189),1)&lt;=DATE(2026,11,1)),IF((MOD(DATEDIF(DATE(YEAR($E189),MONTH($E189),1),DATE(2026,11,1),"m"),IF($D189="Quarterly",3,IF($D189="Annual",12,1)))=0),IF((COUNTIFS(Xero_Raw!$D$4:$D$5003,$A189,Xero_Raw!$G$4:$G$5003,"*Subscription*",Xero_Raw!$A$4:$A$5003,"&gt;="&amp;DATE(2026,11,1),Xero_Raw!$A$4:$A$5003,"&lt;"&amp;EDATE(DATE(2026,11,1),1))+COUNTIFS(Customer_Invoices_Upload!$E$4:$E$5003,$A189,Customer_Invoices_Upload!$G$4:$G$5003,"*Subscription*",Customer_Invoices_Upload!$B$4:$B$5003,"&gt;="&amp;DATE(2026,11,1),Customer_Invoices_Upload!$B$4:$B$5003,"&lt;"&amp;EDATE(DATE(2026,11,1),1))+COUNTIFS(Stripe_Invoices_Upload!$D$4:$D$5003,$A189,Stripe_Invoices_Upload!$E$4:$E$5003,"*Subscription*",Stripe_Invoices_Upload!$A$4:$A$5003,"&gt;="&amp;DATE(2026,11,1),Stripe_Invoices_Upload!$A$4:$A$5003,"&lt;"&amp;EDATE(DATE(2026,11,1),1)))&gt;0,"✓ Invoiced","⚠ Due"),""),""))</f>
        <v/>
      </c>
      <c r="O189" s="130" t="str">
        <f aca="false">IF($A189="","",IF((DATE(YEAR($E189),MONTH($E189),1)&lt;=DATE(2026,12,1)),IF((MOD(DATEDIF(DATE(YEAR($E189),MONTH($E189),1),DATE(2026,12,1),"m"),IF($D189="Quarterly",3,IF($D189="Annual",12,1)))=0),IF((COUNTIFS(Xero_Raw!$D$4:$D$5003,$A189,Xero_Raw!$G$4:$G$5003,"*Subscription*",Xero_Raw!$A$4:$A$5003,"&gt;="&amp;DATE(2026,12,1),Xero_Raw!$A$4:$A$5003,"&lt;"&amp;EDATE(DATE(2026,12,1),1))+COUNTIFS(Customer_Invoices_Upload!$E$4:$E$5003,$A189,Customer_Invoices_Upload!$G$4:$G$5003,"*Subscription*",Customer_Invoices_Upload!$B$4:$B$5003,"&gt;="&amp;DATE(2026,12,1),Customer_Invoices_Upload!$B$4:$B$5003,"&lt;"&amp;EDATE(DATE(2026,12,1),1))+COUNTIFS(Stripe_Invoices_Upload!$D$4:$D$5003,$A189,Stripe_Invoices_Upload!$E$4:$E$5003,"*Subscription*",Stripe_Invoices_Upload!$A$4:$A$5003,"&gt;="&amp;DATE(2026,12,1),Stripe_Invoices_Upload!$A$4:$A$5003,"&lt;"&amp;EDATE(DATE(2026,12,1),1)))&gt;0,"✓ Invoiced","⚠ Due"),""),""))</f>
        <v/>
      </c>
      <c r="P189" s="130" t="str">
        <f aca="false">IF($A189="","",IF((DATE(YEAR($E189),MONTH($E189),1)&lt;=DATE(2027,1,1)),IF((MOD(DATEDIF(DATE(YEAR($E189),MONTH($E189),1),DATE(2027,1,1),"m"),IF($D189="Quarterly",3,IF($D189="Annual",12,1)))=0),IF((COUNTIFS(Xero_Raw!$D$4:$D$5003,$A189,Xero_Raw!$G$4:$G$5003,"*Subscription*",Xero_Raw!$A$4:$A$5003,"&gt;="&amp;DATE(2027,1,1),Xero_Raw!$A$4:$A$5003,"&lt;"&amp;EDATE(DATE(2027,1,1),1))+COUNTIFS(Customer_Invoices_Upload!$E$4:$E$5003,$A189,Customer_Invoices_Upload!$G$4:$G$5003,"*Subscription*",Customer_Invoices_Upload!$B$4:$B$5003,"&gt;="&amp;DATE(2027,1,1),Customer_Invoices_Upload!$B$4:$B$5003,"&lt;"&amp;EDATE(DATE(2027,1,1),1))+COUNTIFS(Stripe_Invoices_Upload!$D$4:$D$5003,$A189,Stripe_Invoices_Upload!$E$4:$E$5003,"*Subscription*",Stripe_Invoices_Upload!$A$4:$A$5003,"&gt;="&amp;DATE(2027,1,1),Stripe_Invoices_Upload!$A$4:$A$5003,"&lt;"&amp;EDATE(DATE(2027,1,1),1)))&gt;0,"✓ Invoiced","⚠ Due"),""),""))</f>
        <v/>
      </c>
      <c r="Q189" s="130" t="str">
        <f aca="false">IF($A189="","",IF((DATE(YEAR($E189),MONTH($E189),1)&lt;=DATE(2027,2,1)),IF((MOD(DATEDIF(DATE(YEAR($E189),MONTH($E189),1),DATE(2027,2,1),"m"),IF($D189="Quarterly",3,IF($D189="Annual",12,1)))=0),IF((COUNTIFS(Xero_Raw!$D$4:$D$5003,$A189,Xero_Raw!$G$4:$G$5003,"*Subscription*",Xero_Raw!$A$4:$A$5003,"&gt;="&amp;DATE(2027,2,1),Xero_Raw!$A$4:$A$5003,"&lt;"&amp;EDATE(DATE(2027,2,1),1))+COUNTIFS(Customer_Invoices_Upload!$E$4:$E$5003,$A189,Customer_Invoices_Upload!$G$4:$G$5003,"*Subscription*",Customer_Invoices_Upload!$B$4:$B$5003,"&gt;="&amp;DATE(2027,2,1),Customer_Invoices_Upload!$B$4:$B$5003,"&lt;"&amp;EDATE(DATE(2027,2,1),1))+COUNTIFS(Stripe_Invoices_Upload!$D$4:$D$5003,$A189,Stripe_Invoices_Upload!$E$4:$E$5003,"*Subscription*",Stripe_Invoices_Upload!$A$4:$A$5003,"&gt;="&amp;DATE(2027,2,1),Stripe_Invoices_Upload!$A$4:$A$5003,"&lt;"&amp;EDATE(DATE(2027,2,1),1)))&gt;0,"✓ Invoiced","⚠ Due"),""),""))</f>
        <v/>
      </c>
      <c r="R189" s="130" t="str">
        <f aca="false">IF($A189="","",IF((DATE(YEAR($E189),MONTH($E189),1)&lt;=DATE(2027,3,1)),IF((MOD(DATEDIF(DATE(YEAR($E189),MONTH($E189),1),DATE(2027,3,1),"m"),IF($D189="Quarterly",3,IF($D189="Annual",12,1)))=0),IF((COUNTIFS(Xero_Raw!$D$4:$D$5003,$A189,Xero_Raw!$G$4:$G$5003,"*Subscription*",Xero_Raw!$A$4:$A$5003,"&gt;="&amp;DATE(2027,3,1),Xero_Raw!$A$4:$A$5003,"&lt;"&amp;EDATE(DATE(2027,3,1),1))+COUNTIFS(Customer_Invoices_Upload!$E$4:$E$5003,$A189,Customer_Invoices_Upload!$G$4:$G$5003,"*Subscription*",Customer_Invoices_Upload!$B$4:$B$5003,"&gt;="&amp;DATE(2027,3,1),Customer_Invoices_Upload!$B$4:$B$5003,"&lt;"&amp;EDATE(DATE(2027,3,1),1))+COUNTIFS(Stripe_Invoices_Upload!$D$4:$D$5003,$A189,Stripe_Invoices_Upload!$E$4:$E$5003,"*Subscription*",Stripe_Invoices_Upload!$A$4:$A$5003,"&gt;="&amp;DATE(2027,3,1),Stripe_Invoices_Upload!$A$4:$A$5003,"&lt;"&amp;EDATE(DATE(2027,3,1),1)))&gt;0,"✓ Invoiced","⚠ Due"),""),""))</f>
        <v/>
      </c>
    </row>
    <row r="190" customFormat="false" ht="15" hidden="false" customHeight="false" outlineLevel="0" collapsed="false">
      <c r="A190" s="39"/>
      <c r="B190" s="39"/>
      <c r="C190" s="40"/>
      <c r="D190" s="39"/>
      <c r="E190" s="38"/>
      <c r="F190" s="129" t="str">
        <f aca="true">IF($A190="","",EDATE($E190,DATEDIF($E190,TODAY(),"m")+1))</f>
        <v/>
      </c>
      <c r="G190" s="130" t="str">
        <f aca="false">IF($A190="","",IF((DATE(YEAR($E190),MONTH($E190),1)&lt;=DATE(2026,4,1)),IF((MOD(DATEDIF(DATE(YEAR($E190),MONTH($E190),1),DATE(2026,4,1),"m"),IF($D190="Quarterly",3,IF($D190="Annual",12,1)))=0),IF((COUNTIFS(Xero_Raw!$D$4:$D$5003,$A190,Xero_Raw!$G$4:$G$5003,"*Subscription*",Xero_Raw!$A$4:$A$5003,"&gt;="&amp;DATE(2026,4,1),Xero_Raw!$A$4:$A$5003,"&lt;"&amp;EDATE(DATE(2026,4,1),1))+COUNTIFS(Customer_Invoices_Upload!$E$4:$E$5003,$A190,Customer_Invoices_Upload!$G$4:$G$5003,"*Subscription*",Customer_Invoices_Upload!$B$4:$B$5003,"&gt;="&amp;DATE(2026,4,1),Customer_Invoices_Upload!$B$4:$B$5003,"&lt;"&amp;EDATE(DATE(2026,4,1),1))+COUNTIFS(Stripe_Invoices_Upload!$D$4:$D$5003,$A190,Stripe_Invoices_Upload!$E$4:$E$5003,"*Subscription*",Stripe_Invoices_Upload!$A$4:$A$5003,"&gt;="&amp;DATE(2026,4,1),Stripe_Invoices_Upload!$A$4:$A$5003,"&lt;"&amp;EDATE(DATE(2026,4,1),1)))&gt;0,"✓ Invoiced","⚠ Due"),""),""))</f>
        <v/>
      </c>
      <c r="H190" s="130" t="str">
        <f aca="false">IF($A190="","",IF((DATE(YEAR($E190),MONTH($E190),1)&lt;=DATE(2026,5,1)),IF((MOD(DATEDIF(DATE(YEAR($E190),MONTH($E190),1),DATE(2026,5,1),"m"),IF($D190="Quarterly",3,IF($D190="Annual",12,1)))=0),IF((COUNTIFS(Xero_Raw!$D$4:$D$5003,$A190,Xero_Raw!$G$4:$G$5003,"*Subscription*",Xero_Raw!$A$4:$A$5003,"&gt;="&amp;DATE(2026,5,1),Xero_Raw!$A$4:$A$5003,"&lt;"&amp;EDATE(DATE(2026,5,1),1))+COUNTIFS(Customer_Invoices_Upload!$E$4:$E$5003,$A190,Customer_Invoices_Upload!$G$4:$G$5003,"*Subscription*",Customer_Invoices_Upload!$B$4:$B$5003,"&gt;="&amp;DATE(2026,5,1),Customer_Invoices_Upload!$B$4:$B$5003,"&lt;"&amp;EDATE(DATE(2026,5,1),1))+COUNTIFS(Stripe_Invoices_Upload!$D$4:$D$5003,$A190,Stripe_Invoices_Upload!$E$4:$E$5003,"*Subscription*",Stripe_Invoices_Upload!$A$4:$A$5003,"&gt;="&amp;DATE(2026,5,1),Stripe_Invoices_Upload!$A$4:$A$5003,"&lt;"&amp;EDATE(DATE(2026,5,1),1)))&gt;0,"✓ Invoiced","⚠ Due"),""),""))</f>
        <v/>
      </c>
      <c r="I190" s="130" t="str">
        <f aca="false">IF($A190="","",IF((DATE(YEAR($E190),MONTH($E190),1)&lt;=DATE(2026,6,1)),IF((MOD(DATEDIF(DATE(YEAR($E190),MONTH($E190),1),DATE(2026,6,1),"m"),IF($D190="Quarterly",3,IF($D190="Annual",12,1)))=0),IF((COUNTIFS(Xero_Raw!$D$4:$D$5003,$A190,Xero_Raw!$G$4:$G$5003,"*Subscription*",Xero_Raw!$A$4:$A$5003,"&gt;="&amp;DATE(2026,6,1),Xero_Raw!$A$4:$A$5003,"&lt;"&amp;EDATE(DATE(2026,6,1),1))+COUNTIFS(Customer_Invoices_Upload!$E$4:$E$5003,$A190,Customer_Invoices_Upload!$G$4:$G$5003,"*Subscription*",Customer_Invoices_Upload!$B$4:$B$5003,"&gt;="&amp;DATE(2026,6,1),Customer_Invoices_Upload!$B$4:$B$5003,"&lt;"&amp;EDATE(DATE(2026,6,1),1))+COUNTIFS(Stripe_Invoices_Upload!$D$4:$D$5003,$A190,Stripe_Invoices_Upload!$E$4:$E$5003,"*Subscription*",Stripe_Invoices_Upload!$A$4:$A$5003,"&gt;="&amp;DATE(2026,6,1),Stripe_Invoices_Upload!$A$4:$A$5003,"&lt;"&amp;EDATE(DATE(2026,6,1),1)))&gt;0,"✓ Invoiced","⚠ Due"),""),""))</f>
        <v/>
      </c>
      <c r="J190" s="130" t="str">
        <f aca="false">IF($A190="","",IF((DATE(YEAR($E190),MONTH($E190),1)&lt;=DATE(2026,7,1)),IF((MOD(DATEDIF(DATE(YEAR($E190),MONTH($E190),1),DATE(2026,7,1),"m"),IF($D190="Quarterly",3,IF($D190="Annual",12,1)))=0),IF((COUNTIFS(Xero_Raw!$D$4:$D$5003,$A190,Xero_Raw!$G$4:$G$5003,"*Subscription*",Xero_Raw!$A$4:$A$5003,"&gt;="&amp;DATE(2026,7,1),Xero_Raw!$A$4:$A$5003,"&lt;"&amp;EDATE(DATE(2026,7,1),1))+COUNTIFS(Customer_Invoices_Upload!$E$4:$E$5003,$A190,Customer_Invoices_Upload!$G$4:$G$5003,"*Subscription*",Customer_Invoices_Upload!$B$4:$B$5003,"&gt;="&amp;DATE(2026,7,1),Customer_Invoices_Upload!$B$4:$B$5003,"&lt;"&amp;EDATE(DATE(2026,7,1),1))+COUNTIFS(Stripe_Invoices_Upload!$D$4:$D$5003,$A190,Stripe_Invoices_Upload!$E$4:$E$5003,"*Subscription*",Stripe_Invoices_Upload!$A$4:$A$5003,"&gt;="&amp;DATE(2026,7,1),Stripe_Invoices_Upload!$A$4:$A$5003,"&lt;"&amp;EDATE(DATE(2026,7,1),1)))&gt;0,"✓ Invoiced","⚠ Due"),""),""))</f>
        <v/>
      </c>
      <c r="K190" s="130" t="str">
        <f aca="false">IF($A190="","",IF((DATE(YEAR($E190),MONTH($E190),1)&lt;=DATE(2026,8,1)),IF((MOD(DATEDIF(DATE(YEAR($E190),MONTH($E190),1),DATE(2026,8,1),"m"),IF($D190="Quarterly",3,IF($D190="Annual",12,1)))=0),IF((COUNTIFS(Xero_Raw!$D$4:$D$5003,$A190,Xero_Raw!$G$4:$G$5003,"*Subscription*",Xero_Raw!$A$4:$A$5003,"&gt;="&amp;DATE(2026,8,1),Xero_Raw!$A$4:$A$5003,"&lt;"&amp;EDATE(DATE(2026,8,1),1))+COUNTIFS(Customer_Invoices_Upload!$E$4:$E$5003,$A190,Customer_Invoices_Upload!$G$4:$G$5003,"*Subscription*",Customer_Invoices_Upload!$B$4:$B$5003,"&gt;="&amp;DATE(2026,8,1),Customer_Invoices_Upload!$B$4:$B$5003,"&lt;"&amp;EDATE(DATE(2026,8,1),1))+COUNTIFS(Stripe_Invoices_Upload!$D$4:$D$5003,$A190,Stripe_Invoices_Upload!$E$4:$E$5003,"*Subscription*",Stripe_Invoices_Upload!$A$4:$A$5003,"&gt;="&amp;DATE(2026,8,1),Stripe_Invoices_Upload!$A$4:$A$5003,"&lt;"&amp;EDATE(DATE(2026,8,1),1)))&gt;0,"✓ Invoiced","⚠ Due"),""),""))</f>
        <v/>
      </c>
      <c r="L190" s="130" t="str">
        <f aca="false">IF($A190="","",IF((DATE(YEAR($E190),MONTH($E190),1)&lt;=DATE(2026,9,1)),IF((MOD(DATEDIF(DATE(YEAR($E190),MONTH($E190),1),DATE(2026,9,1),"m"),IF($D190="Quarterly",3,IF($D190="Annual",12,1)))=0),IF((COUNTIFS(Xero_Raw!$D$4:$D$5003,$A190,Xero_Raw!$G$4:$G$5003,"*Subscription*",Xero_Raw!$A$4:$A$5003,"&gt;="&amp;DATE(2026,9,1),Xero_Raw!$A$4:$A$5003,"&lt;"&amp;EDATE(DATE(2026,9,1),1))+COUNTIFS(Customer_Invoices_Upload!$E$4:$E$5003,$A190,Customer_Invoices_Upload!$G$4:$G$5003,"*Subscription*",Customer_Invoices_Upload!$B$4:$B$5003,"&gt;="&amp;DATE(2026,9,1),Customer_Invoices_Upload!$B$4:$B$5003,"&lt;"&amp;EDATE(DATE(2026,9,1),1))+COUNTIFS(Stripe_Invoices_Upload!$D$4:$D$5003,$A190,Stripe_Invoices_Upload!$E$4:$E$5003,"*Subscription*",Stripe_Invoices_Upload!$A$4:$A$5003,"&gt;="&amp;DATE(2026,9,1),Stripe_Invoices_Upload!$A$4:$A$5003,"&lt;"&amp;EDATE(DATE(2026,9,1),1)))&gt;0,"✓ Invoiced","⚠ Due"),""),""))</f>
        <v/>
      </c>
      <c r="M190" s="130" t="str">
        <f aca="false">IF($A190="","",IF((DATE(YEAR($E190),MONTH($E190),1)&lt;=DATE(2026,10,1)),IF((MOD(DATEDIF(DATE(YEAR($E190),MONTH($E190),1),DATE(2026,10,1),"m"),IF($D190="Quarterly",3,IF($D190="Annual",12,1)))=0),IF((COUNTIFS(Xero_Raw!$D$4:$D$5003,$A190,Xero_Raw!$G$4:$G$5003,"*Subscription*",Xero_Raw!$A$4:$A$5003,"&gt;="&amp;DATE(2026,10,1),Xero_Raw!$A$4:$A$5003,"&lt;"&amp;EDATE(DATE(2026,10,1),1))+COUNTIFS(Customer_Invoices_Upload!$E$4:$E$5003,$A190,Customer_Invoices_Upload!$G$4:$G$5003,"*Subscription*",Customer_Invoices_Upload!$B$4:$B$5003,"&gt;="&amp;DATE(2026,10,1),Customer_Invoices_Upload!$B$4:$B$5003,"&lt;"&amp;EDATE(DATE(2026,10,1),1))+COUNTIFS(Stripe_Invoices_Upload!$D$4:$D$5003,$A190,Stripe_Invoices_Upload!$E$4:$E$5003,"*Subscription*",Stripe_Invoices_Upload!$A$4:$A$5003,"&gt;="&amp;DATE(2026,10,1),Stripe_Invoices_Upload!$A$4:$A$5003,"&lt;"&amp;EDATE(DATE(2026,10,1),1)))&gt;0,"✓ Invoiced","⚠ Due"),""),""))</f>
        <v/>
      </c>
      <c r="N190" s="130" t="str">
        <f aca="false">IF($A190="","",IF((DATE(YEAR($E190),MONTH($E190),1)&lt;=DATE(2026,11,1)),IF((MOD(DATEDIF(DATE(YEAR($E190),MONTH($E190),1),DATE(2026,11,1),"m"),IF($D190="Quarterly",3,IF($D190="Annual",12,1)))=0),IF((COUNTIFS(Xero_Raw!$D$4:$D$5003,$A190,Xero_Raw!$G$4:$G$5003,"*Subscription*",Xero_Raw!$A$4:$A$5003,"&gt;="&amp;DATE(2026,11,1),Xero_Raw!$A$4:$A$5003,"&lt;"&amp;EDATE(DATE(2026,11,1),1))+COUNTIFS(Customer_Invoices_Upload!$E$4:$E$5003,$A190,Customer_Invoices_Upload!$G$4:$G$5003,"*Subscription*",Customer_Invoices_Upload!$B$4:$B$5003,"&gt;="&amp;DATE(2026,11,1),Customer_Invoices_Upload!$B$4:$B$5003,"&lt;"&amp;EDATE(DATE(2026,11,1),1))+COUNTIFS(Stripe_Invoices_Upload!$D$4:$D$5003,$A190,Stripe_Invoices_Upload!$E$4:$E$5003,"*Subscription*",Stripe_Invoices_Upload!$A$4:$A$5003,"&gt;="&amp;DATE(2026,11,1),Stripe_Invoices_Upload!$A$4:$A$5003,"&lt;"&amp;EDATE(DATE(2026,11,1),1)))&gt;0,"✓ Invoiced","⚠ Due"),""),""))</f>
        <v/>
      </c>
      <c r="O190" s="130" t="str">
        <f aca="false">IF($A190="","",IF((DATE(YEAR($E190),MONTH($E190),1)&lt;=DATE(2026,12,1)),IF((MOD(DATEDIF(DATE(YEAR($E190),MONTH($E190),1),DATE(2026,12,1),"m"),IF($D190="Quarterly",3,IF($D190="Annual",12,1)))=0),IF((COUNTIFS(Xero_Raw!$D$4:$D$5003,$A190,Xero_Raw!$G$4:$G$5003,"*Subscription*",Xero_Raw!$A$4:$A$5003,"&gt;="&amp;DATE(2026,12,1),Xero_Raw!$A$4:$A$5003,"&lt;"&amp;EDATE(DATE(2026,12,1),1))+COUNTIFS(Customer_Invoices_Upload!$E$4:$E$5003,$A190,Customer_Invoices_Upload!$G$4:$G$5003,"*Subscription*",Customer_Invoices_Upload!$B$4:$B$5003,"&gt;="&amp;DATE(2026,12,1),Customer_Invoices_Upload!$B$4:$B$5003,"&lt;"&amp;EDATE(DATE(2026,12,1),1))+COUNTIFS(Stripe_Invoices_Upload!$D$4:$D$5003,$A190,Stripe_Invoices_Upload!$E$4:$E$5003,"*Subscription*",Stripe_Invoices_Upload!$A$4:$A$5003,"&gt;="&amp;DATE(2026,12,1),Stripe_Invoices_Upload!$A$4:$A$5003,"&lt;"&amp;EDATE(DATE(2026,12,1),1)))&gt;0,"✓ Invoiced","⚠ Due"),""),""))</f>
        <v/>
      </c>
      <c r="P190" s="130" t="str">
        <f aca="false">IF($A190="","",IF((DATE(YEAR($E190),MONTH($E190),1)&lt;=DATE(2027,1,1)),IF((MOD(DATEDIF(DATE(YEAR($E190),MONTH($E190),1),DATE(2027,1,1),"m"),IF($D190="Quarterly",3,IF($D190="Annual",12,1)))=0),IF((COUNTIFS(Xero_Raw!$D$4:$D$5003,$A190,Xero_Raw!$G$4:$G$5003,"*Subscription*",Xero_Raw!$A$4:$A$5003,"&gt;="&amp;DATE(2027,1,1),Xero_Raw!$A$4:$A$5003,"&lt;"&amp;EDATE(DATE(2027,1,1),1))+COUNTIFS(Customer_Invoices_Upload!$E$4:$E$5003,$A190,Customer_Invoices_Upload!$G$4:$G$5003,"*Subscription*",Customer_Invoices_Upload!$B$4:$B$5003,"&gt;="&amp;DATE(2027,1,1),Customer_Invoices_Upload!$B$4:$B$5003,"&lt;"&amp;EDATE(DATE(2027,1,1),1))+COUNTIFS(Stripe_Invoices_Upload!$D$4:$D$5003,$A190,Stripe_Invoices_Upload!$E$4:$E$5003,"*Subscription*",Stripe_Invoices_Upload!$A$4:$A$5003,"&gt;="&amp;DATE(2027,1,1),Stripe_Invoices_Upload!$A$4:$A$5003,"&lt;"&amp;EDATE(DATE(2027,1,1),1)))&gt;0,"✓ Invoiced","⚠ Due"),""),""))</f>
        <v/>
      </c>
      <c r="Q190" s="130" t="str">
        <f aca="false">IF($A190="","",IF((DATE(YEAR($E190),MONTH($E190),1)&lt;=DATE(2027,2,1)),IF((MOD(DATEDIF(DATE(YEAR($E190),MONTH($E190),1),DATE(2027,2,1),"m"),IF($D190="Quarterly",3,IF($D190="Annual",12,1)))=0),IF((COUNTIFS(Xero_Raw!$D$4:$D$5003,$A190,Xero_Raw!$G$4:$G$5003,"*Subscription*",Xero_Raw!$A$4:$A$5003,"&gt;="&amp;DATE(2027,2,1),Xero_Raw!$A$4:$A$5003,"&lt;"&amp;EDATE(DATE(2027,2,1),1))+COUNTIFS(Customer_Invoices_Upload!$E$4:$E$5003,$A190,Customer_Invoices_Upload!$G$4:$G$5003,"*Subscription*",Customer_Invoices_Upload!$B$4:$B$5003,"&gt;="&amp;DATE(2027,2,1),Customer_Invoices_Upload!$B$4:$B$5003,"&lt;"&amp;EDATE(DATE(2027,2,1),1))+COUNTIFS(Stripe_Invoices_Upload!$D$4:$D$5003,$A190,Stripe_Invoices_Upload!$E$4:$E$5003,"*Subscription*",Stripe_Invoices_Upload!$A$4:$A$5003,"&gt;="&amp;DATE(2027,2,1),Stripe_Invoices_Upload!$A$4:$A$5003,"&lt;"&amp;EDATE(DATE(2027,2,1),1)))&gt;0,"✓ Invoiced","⚠ Due"),""),""))</f>
        <v/>
      </c>
      <c r="R190" s="130" t="str">
        <f aca="false">IF($A190="","",IF((DATE(YEAR($E190),MONTH($E190),1)&lt;=DATE(2027,3,1)),IF((MOD(DATEDIF(DATE(YEAR($E190),MONTH($E190),1),DATE(2027,3,1),"m"),IF($D190="Quarterly",3,IF($D190="Annual",12,1)))=0),IF((COUNTIFS(Xero_Raw!$D$4:$D$5003,$A190,Xero_Raw!$G$4:$G$5003,"*Subscription*",Xero_Raw!$A$4:$A$5003,"&gt;="&amp;DATE(2027,3,1),Xero_Raw!$A$4:$A$5003,"&lt;"&amp;EDATE(DATE(2027,3,1),1))+COUNTIFS(Customer_Invoices_Upload!$E$4:$E$5003,$A190,Customer_Invoices_Upload!$G$4:$G$5003,"*Subscription*",Customer_Invoices_Upload!$B$4:$B$5003,"&gt;="&amp;DATE(2027,3,1),Customer_Invoices_Upload!$B$4:$B$5003,"&lt;"&amp;EDATE(DATE(2027,3,1),1))+COUNTIFS(Stripe_Invoices_Upload!$D$4:$D$5003,$A190,Stripe_Invoices_Upload!$E$4:$E$5003,"*Subscription*",Stripe_Invoices_Upload!$A$4:$A$5003,"&gt;="&amp;DATE(2027,3,1),Stripe_Invoices_Upload!$A$4:$A$5003,"&lt;"&amp;EDATE(DATE(2027,3,1),1)))&gt;0,"✓ Invoiced","⚠ Due"),""),""))</f>
        <v/>
      </c>
    </row>
    <row r="191" customFormat="false" ht="15" hidden="false" customHeight="false" outlineLevel="0" collapsed="false">
      <c r="A191" s="39"/>
      <c r="B191" s="39"/>
      <c r="C191" s="40"/>
      <c r="D191" s="39"/>
      <c r="E191" s="38"/>
      <c r="F191" s="129" t="str">
        <f aca="true">IF($A191="","",EDATE($E191,DATEDIF($E191,TODAY(),"m")+1))</f>
        <v/>
      </c>
      <c r="G191" s="130" t="str">
        <f aca="false">IF($A191="","",IF((DATE(YEAR($E191),MONTH($E191),1)&lt;=DATE(2026,4,1)),IF((MOD(DATEDIF(DATE(YEAR($E191),MONTH($E191),1),DATE(2026,4,1),"m"),IF($D191="Quarterly",3,IF($D191="Annual",12,1)))=0),IF((COUNTIFS(Xero_Raw!$D$4:$D$5003,$A191,Xero_Raw!$G$4:$G$5003,"*Subscription*",Xero_Raw!$A$4:$A$5003,"&gt;="&amp;DATE(2026,4,1),Xero_Raw!$A$4:$A$5003,"&lt;"&amp;EDATE(DATE(2026,4,1),1))+COUNTIFS(Customer_Invoices_Upload!$E$4:$E$5003,$A191,Customer_Invoices_Upload!$G$4:$G$5003,"*Subscription*",Customer_Invoices_Upload!$B$4:$B$5003,"&gt;="&amp;DATE(2026,4,1),Customer_Invoices_Upload!$B$4:$B$5003,"&lt;"&amp;EDATE(DATE(2026,4,1),1))+COUNTIFS(Stripe_Invoices_Upload!$D$4:$D$5003,$A191,Stripe_Invoices_Upload!$E$4:$E$5003,"*Subscription*",Stripe_Invoices_Upload!$A$4:$A$5003,"&gt;="&amp;DATE(2026,4,1),Stripe_Invoices_Upload!$A$4:$A$5003,"&lt;"&amp;EDATE(DATE(2026,4,1),1)))&gt;0,"✓ Invoiced","⚠ Due"),""),""))</f>
        <v/>
      </c>
      <c r="H191" s="130" t="str">
        <f aca="false">IF($A191="","",IF((DATE(YEAR($E191),MONTH($E191),1)&lt;=DATE(2026,5,1)),IF((MOD(DATEDIF(DATE(YEAR($E191),MONTH($E191),1),DATE(2026,5,1),"m"),IF($D191="Quarterly",3,IF($D191="Annual",12,1)))=0),IF((COUNTIFS(Xero_Raw!$D$4:$D$5003,$A191,Xero_Raw!$G$4:$G$5003,"*Subscription*",Xero_Raw!$A$4:$A$5003,"&gt;="&amp;DATE(2026,5,1),Xero_Raw!$A$4:$A$5003,"&lt;"&amp;EDATE(DATE(2026,5,1),1))+COUNTIFS(Customer_Invoices_Upload!$E$4:$E$5003,$A191,Customer_Invoices_Upload!$G$4:$G$5003,"*Subscription*",Customer_Invoices_Upload!$B$4:$B$5003,"&gt;="&amp;DATE(2026,5,1),Customer_Invoices_Upload!$B$4:$B$5003,"&lt;"&amp;EDATE(DATE(2026,5,1),1))+COUNTIFS(Stripe_Invoices_Upload!$D$4:$D$5003,$A191,Stripe_Invoices_Upload!$E$4:$E$5003,"*Subscription*",Stripe_Invoices_Upload!$A$4:$A$5003,"&gt;="&amp;DATE(2026,5,1),Stripe_Invoices_Upload!$A$4:$A$5003,"&lt;"&amp;EDATE(DATE(2026,5,1),1)))&gt;0,"✓ Invoiced","⚠ Due"),""),""))</f>
        <v/>
      </c>
      <c r="I191" s="130" t="str">
        <f aca="false">IF($A191="","",IF((DATE(YEAR($E191),MONTH($E191),1)&lt;=DATE(2026,6,1)),IF((MOD(DATEDIF(DATE(YEAR($E191),MONTH($E191),1),DATE(2026,6,1),"m"),IF($D191="Quarterly",3,IF($D191="Annual",12,1)))=0),IF((COUNTIFS(Xero_Raw!$D$4:$D$5003,$A191,Xero_Raw!$G$4:$G$5003,"*Subscription*",Xero_Raw!$A$4:$A$5003,"&gt;="&amp;DATE(2026,6,1),Xero_Raw!$A$4:$A$5003,"&lt;"&amp;EDATE(DATE(2026,6,1),1))+COUNTIFS(Customer_Invoices_Upload!$E$4:$E$5003,$A191,Customer_Invoices_Upload!$G$4:$G$5003,"*Subscription*",Customer_Invoices_Upload!$B$4:$B$5003,"&gt;="&amp;DATE(2026,6,1),Customer_Invoices_Upload!$B$4:$B$5003,"&lt;"&amp;EDATE(DATE(2026,6,1),1))+COUNTIFS(Stripe_Invoices_Upload!$D$4:$D$5003,$A191,Stripe_Invoices_Upload!$E$4:$E$5003,"*Subscription*",Stripe_Invoices_Upload!$A$4:$A$5003,"&gt;="&amp;DATE(2026,6,1),Stripe_Invoices_Upload!$A$4:$A$5003,"&lt;"&amp;EDATE(DATE(2026,6,1),1)))&gt;0,"✓ Invoiced","⚠ Due"),""),""))</f>
        <v/>
      </c>
      <c r="J191" s="130" t="str">
        <f aca="false">IF($A191="","",IF((DATE(YEAR($E191),MONTH($E191),1)&lt;=DATE(2026,7,1)),IF((MOD(DATEDIF(DATE(YEAR($E191),MONTH($E191),1),DATE(2026,7,1),"m"),IF($D191="Quarterly",3,IF($D191="Annual",12,1)))=0),IF((COUNTIFS(Xero_Raw!$D$4:$D$5003,$A191,Xero_Raw!$G$4:$G$5003,"*Subscription*",Xero_Raw!$A$4:$A$5003,"&gt;="&amp;DATE(2026,7,1),Xero_Raw!$A$4:$A$5003,"&lt;"&amp;EDATE(DATE(2026,7,1),1))+COUNTIFS(Customer_Invoices_Upload!$E$4:$E$5003,$A191,Customer_Invoices_Upload!$G$4:$G$5003,"*Subscription*",Customer_Invoices_Upload!$B$4:$B$5003,"&gt;="&amp;DATE(2026,7,1),Customer_Invoices_Upload!$B$4:$B$5003,"&lt;"&amp;EDATE(DATE(2026,7,1),1))+COUNTIFS(Stripe_Invoices_Upload!$D$4:$D$5003,$A191,Stripe_Invoices_Upload!$E$4:$E$5003,"*Subscription*",Stripe_Invoices_Upload!$A$4:$A$5003,"&gt;="&amp;DATE(2026,7,1),Stripe_Invoices_Upload!$A$4:$A$5003,"&lt;"&amp;EDATE(DATE(2026,7,1),1)))&gt;0,"✓ Invoiced","⚠ Due"),""),""))</f>
        <v/>
      </c>
      <c r="K191" s="130" t="str">
        <f aca="false">IF($A191="","",IF((DATE(YEAR($E191),MONTH($E191),1)&lt;=DATE(2026,8,1)),IF((MOD(DATEDIF(DATE(YEAR($E191),MONTH($E191),1),DATE(2026,8,1),"m"),IF($D191="Quarterly",3,IF($D191="Annual",12,1)))=0),IF((COUNTIFS(Xero_Raw!$D$4:$D$5003,$A191,Xero_Raw!$G$4:$G$5003,"*Subscription*",Xero_Raw!$A$4:$A$5003,"&gt;="&amp;DATE(2026,8,1),Xero_Raw!$A$4:$A$5003,"&lt;"&amp;EDATE(DATE(2026,8,1),1))+COUNTIFS(Customer_Invoices_Upload!$E$4:$E$5003,$A191,Customer_Invoices_Upload!$G$4:$G$5003,"*Subscription*",Customer_Invoices_Upload!$B$4:$B$5003,"&gt;="&amp;DATE(2026,8,1),Customer_Invoices_Upload!$B$4:$B$5003,"&lt;"&amp;EDATE(DATE(2026,8,1),1))+COUNTIFS(Stripe_Invoices_Upload!$D$4:$D$5003,$A191,Stripe_Invoices_Upload!$E$4:$E$5003,"*Subscription*",Stripe_Invoices_Upload!$A$4:$A$5003,"&gt;="&amp;DATE(2026,8,1),Stripe_Invoices_Upload!$A$4:$A$5003,"&lt;"&amp;EDATE(DATE(2026,8,1),1)))&gt;0,"✓ Invoiced","⚠ Due"),""),""))</f>
        <v/>
      </c>
      <c r="L191" s="130" t="str">
        <f aca="false">IF($A191="","",IF((DATE(YEAR($E191),MONTH($E191),1)&lt;=DATE(2026,9,1)),IF((MOD(DATEDIF(DATE(YEAR($E191),MONTH($E191),1),DATE(2026,9,1),"m"),IF($D191="Quarterly",3,IF($D191="Annual",12,1)))=0),IF((COUNTIFS(Xero_Raw!$D$4:$D$5003,$A191,Xero_Raw!$G$4:$G$5003,"*Subscription*",Xero_Raw!$A$4:$A$5003,"&gt;="&amp;DATE(2026,9,1),Xero_Raw!$A$4:$A$5003,"&lt;"&amp;EDATE(DATE(2026,9,1),1))+COUNTIFS(Customer_Invoices_Upload!$E$4:$E$5003,$A191,Customer_Invoices_Upload!$G$4:$G$5003,"*Subscription*",Customer_Invoices_Upload!$B$4:$B$5003,"&gt;="&amp;DATE(2026,9,1),Customer_Invoices_Upload!$B$4:$B$5003,"&lt;"&amp;EDATE(DATE(2026,9,1),1))+COUNTIFS(Stripe_Invoices_Upload!$D$4:$D$5003,$A191,Stripe_Invoices_Upload!$E$4:$E$5003,"*Subscription*",Stripe_Invoices_Upload!$A$4:$A$5003,"&gt;="&amp;DATE(2026,9,1),Stripe_Invoices_Upload!$A$4:$A$5003,"&lt;"&amp;EDATE(DATE(2026,9,1),1)))&gt;0,"✓ Invoiced","⚠ Due"),""),""))</f>
        <v/>
      </c>
      <c r="M191" s="130" t="str">
        <f aca="false">IF($A191="","",IF((DATE(YEAR($E191),MONTH($E191),1)&lt;=DATE(2026,10,1)),IF((MOD(DATEDIF(DATE(YEAR($E191),MONTH($E191),1),DATE(2026,10,1),"m"),IF($D191="Quarterly",3,IF($D191="Annual",12,1)))=0),IF((COUNTIFS(Xero_Raw!$D$4:$D$5003,$A191,Xero_Raw!$G$4:$G$5003,"*Subscription*",Xero_Raw!$A$4:$A$5003,"&gt;="&amp;DATE(2026,10,1),Xero_Raw!$A$4:$A$5003,"&lt;"&amp;EDATE(DATE(2026,10,1),1))+COUNTIFS(Customer_Invoices_Upload!$E$4:$E$5003,$A191,Customer_Invoices_Upload!$G$4:$G$5003,"*Subscription*",Customer_Invoices_Upload!$B$4:$B$5003,"&gt;="&amp;DATE(2026,10,1),Customer_Invoices_Upload!$B$4:$B$5003,"&lt;"&amp;EDATE(DATE(2026,10,1),1))+COUNTIFS(Stripe_Invoices_Upload!$D$4:$D$5003,$A191,Stripe_Invoices_Upload!$E$4:$E$5003,"*Subscription*",Stripe_Invoices_Upload!$A$4:$A$5003,"&gt;="&amp;DATE(2026,10,1),Stripe_Invoices_Upload!$A$4:$A$5003,"&lt;"&amp;EDATE(DATE(2026,10,1),1)))&gt;0,"✓ Invoiced","⚠ Due"),""),""))</f>
        <v/>
      </c>
      <c r="N191" s="130" t="str">
        <f aca="false">IF($A191="","",IF((DATE(YEAR($E191),MONTH($E191),1)&lt;=DATE(2026,11,1)),IF((MOD(DATEDIF(DATE(YEAR($E191),MONTH($E191),1),DATE(2026,11,1),"m"),IF($D191="Quarterly",3,IF($D191="Annual",12,1)))=0),IF((COUNTIFS(Xero_Raw!$D$4:$D$5003,$A191,Xero_Raw!$G$4:$G$5003,"*Subscription*",Xero_Raw!$A$4:$A$5003,"&gt;="&amp;DATE(2026,11,1),Xero_Raw!$A$4:$A$5003,"&lt;"&amp;EDATE(DATE(2026,11,1),1))+COUNTIFS(Customer_Invoices_Upload!$E$4:$E$5003,$A191,Customer_Invoices_Upload!$G$4:$G$5003,"*Subscription*",Customer_Invoices_Upload!$B$4:$B$5003,"&gt;="&amp;DATE(2026,11,1),Customer_Invoices_Upload!$B$4:$B$5003,"&lt;"&amp;EDATE(DATE(2026,11,1),1))+COUNTIFS(Stripe_Invoices_Upload!$D$4:$D$5003,$A191,Stripe_Invoices_Upload!$E$4:$E$5003,"*Subscription*",Stripe_Invoices_Upload!$A$4:$A$5003,"&gt;="&amp;DATE(2026,11,1),Stripe_Invoices_Upload!$A$4:$A$5003,"&lt;"&amp;EDATE(DATE(2026,11,1),1)))&gt;0,"✓ Invoiced","⚠ Due"),""),""))</f>
        <v/>
      </c>
      <c r="O191" s="130" t="str">
        <f aca="false">IF($A191="","",IF((DATE(YEAR($E191),MONTH($E191),1)&lt;=DATE(2026,12,1)),IF((MOD(DATEDIF(DATE(YEAR($E191),MONTH($E191),1),DATE(2026,12,1),"m"),IF($D191="Quarterly",3,IF($D191="Annual",12,1)))=0),IF((COUNTIFS(Xero_Raw!$D$4:$D$5003,$A191,Xero_Raw!$G$4:$G$5003,"*Subscription*",Xero_Raw!$A$4:$A$5003,"&gt;="&amp;DATE(2026,12,1),Xero_Raw!$A$4:$A$5003,"&lt;"&amp;EDATE(DATE(2026,12,1),1))+COUNTIFS(Customer_Invoices_Upload!$E$4:$E$5003,$A191,Customer_Invoices_Upload!$G$4:$G$5003,"*Subscription*",Customer_Invoices_Upload!$B$4:$B$5003,"&gt;="&amp;DATE(2026,12,1),Customer_Invoices_Upload!$B$4:$B$5003,"&lt;"&amp;EDATE(DATE(2026,12,1),1))+COUNTIFS(Stripe_Invoices_Upload!$D$4:$D$5003,$A191,Stripe_Invoices_Upload!$E$4:$E$5003,"*Subscription*",Stripe_Invoices_Upload!$A$4:$A$5003,"&gt;="&amp;DATE(2026,12,1),Stripe_Invoices_Upload!$A$4:$A$5003,"&lt;"&amp;EDATE(DATE(2026,12,1),1)))&gt;0,"✓ Invoiced","⚠ Due"),""),""))</f>
        <v/>
      </c>
      <c r="P191" s="130" t="str">
        <f aca="false">IF($A191="","",IF((DATE(YEAR($E191),MONTH($E191),1)&lt;=DATE(2027,1,1)),IF((MOD(DATEDIF(DATE(YEAR($E191),MONTH($E191),1),DATE(2027,1,1),"m"),IF($D191="Quarterly",3,IF($D191="Annual",12,1)))=0),IF((COUNTIFS(Xero_Raw!$D$4:$D$5003,$A191,Xero_Raw!$G$4:$G$5003,"*Subscription*",Xero_Raw!$A$4:$A$5003,"&gt;="&amp;DATE(2027,1,1),Xero_Raw!$A$4:$A$5003,"&lt;"&amp;EDATE(DATE(2027,1,1),1))+COUNTIFS(Customer_Invoices_Upload!$E$4:$E$5003,$A191,Customer_Invoices_Upload!$G$4:$G$5003,"*Subscription*",Customer_Invoices_Upload!$B$4:$B$5003,"&gt;="&amp;DATE(2027,1,1),Customer_Invoices_Upload!$B$4:$B$5003,"&lt;"&amp;EDATE(DATE(2027,1,1),1))+COUNTIFS(Stripe_Invoices_Upload!$D$4:$D$5003,$A191,Stripe_Invoices_Upload!$E$4:$E$5003,"*Subscription*",Stripe_Invoices_Upload!$A$4:$A$5003,"&gt;="&amp;DATE(2027,1,1),Stripe_Invoices_Upload!$A$4:$A$5003,"&lt;"&amp;EDATE(DATE(2027,1,1),1)))&gt;0,"✓ Invoiced","⚠ Due"),""),""))</f>
        <v/>
      </c>
      <c r="Q191" s="130" t="str">
        <f aca="false">IF($A191="","",IF((DATE(YEAR($E191),MONTH($E191),1)&lt;=DATE(2027,2,1)),IF((MOD(DATEDIF(DATE(YEAR($E191),MONTH($E191),1),DATE(2027,2,1),"m"),IF($D191="Quarterly",3,IF($D191="Annual",12,1)))=0),IF((COUNTIFS(Xero_Raw!$D$4:$D$5003,$A191,Xero_Raw!$G$4:$G$5003,"*Subscription*",Xero_Raw!$A$4:$A$5003,"&gt;="&amp;DATE(2027,2,1),Xero_Raw!$A$4:$A$5003,"&lt;"&amp;EDATE(DATE(2027,2,1),1))+COUNTIFS(Customer_Invoices_Upload!$E$4:$E$5003,$A191,Customer_Invoices_Upload!$G$4:$G$5003,"*Subscription*",Customer_Invoices_Upload!$B$4:$B$5003,"&gt;="&amp;DATE(2027,2,1),Customer_Invoices_Upload!$B$4:$B$5003,"&lt;"&amp;EDATE(DATE(2027,2,1),1))+COUNTIFS(Stripe_Invoices_Upload!$D$4:$D$5003,$A191,Stripe_Invoices_Upload!$E$4:$E$5003,"*Subscription*",Stripe_Invoices_Upload!$A$4:$A$5003,"&gt;="&amp;DATE(2027,2,1),Stripe_Invoices_Upload!$A$4:$A$5003,"&lt;"&amp;EDATE(DATE(2027,2,1),1)))&gt;0,"✓ Invoiced","⚠ Due"),""),""))</f>
        <v/>
      </c>
      <c r="R191" s="130" t="str">
        <f aca="false">IF($A191="","",IF((DATE(YEAR($E191),MONTH($E191),1)&lt;=DATE(2027,3,1)),IF((MOD(DATEDIF(DATE(YEAR($E191),MONTH($E191),1),DATE(2027,3,1),"m"),IF($D191="Quarterly",3,IF($D191="Annual",12,1)))=0),IF((COUNTIFS(Xero_Raw!$D$4:$D$5003,$A191,Xero_Raw!$G$4:$G$5003,"*Subscription*",Xero_Raw!$A$4:$A$5003,"&gt;="&amp;DATE(2027,3,1),Xero_Raw!$A$4:$A$5003,"&lt;"&amp;EDATE(DATE(2027,3,1),1))+COUNTIFS(Customer_Invoices_Upload!$E$4:$E$5003,$A191,Customer_Invoices_Upload!$G$4:$G$5003,"*Subscription*",Customer_Invoices_Upload!$B$4:$B$5003,"&gt;="&amp;DATE(2027,3,1),Customer_Invoices_Upload!$B$4:$B$5003,"&lt;"&amp;EDATE(DATE(2027,3,1),1))+COUNTIFS(Stripe_Invoices_Upload!$D$4:$D$5003,$A191,Stripe_Invoices_Upload!$E$4:$E$5003,"*Subscription*",Stripe_Invoices_Upload!$A$4:$A$5003,"&gt;="&amp;DATE(2027,3,1),Stripe_Invoices_Upload!$A$4:$A$5003,"&lt;"&amp;EDATE(DATE(2027,3,1),1)))&gt;0,"✓ Invoiced","⚠ Due"),""),""))</f>
        <v/>
      </c>
    </row>
    <row r="192" customFormat="false" ht="15" hidden="false" customHeight="false" outlineLevel="0" collapsed="false">
      <c r="A192" s="39"/>
      <c r="B192" s="39"/>
      <c r="C192" s="40"/>
      <c r="D192" s="39"/>
      <c r="E192" s="38"/>
      <c r="F192" s="129" t="str">
        <f aca="true">IF($A192="","",EDATE($E192,DATEDIF($E192,TODAY(),"m")+1))</f>
        <v/>
      </c>
      <c r="G192" s="130" t="str">
        <f aca="false">IF($A192="","",IF((DATE(YEAR($E192),MONTH($E192),1)&lt;=DATE(2026,4,1)),IF((MOD(DATEDIF(DATE(YEAR($E192),MONTH($E192),1),DATE(2026,4,1),"m"),IF($D192="Quarterly",3,IF($D192="Annual",12,1)))=0),IF((COUNTIFS(Xero_Raw!$D$4:$D$5003,$A192,Xero_Raw!$G$4:$G$5003,"*Subscription*",Xero_Raw!$A$4:$A$5003,"&gt;="&amp;DATE(2026,4,1),Xero_Raw!$A$4:$A$5003,"&lt;"&amp;EDATE(DATE(2026,4,1),1))+COUNTIFS(Customer_Invoices_Upload!$E$4:$E$5003,$A192,Customer_Invoices_Upload!$G$4:$G$5003,"*Subscription*",Customer_Invoices_Upload!$B$4:$B$5003,"&gt;="&amp;DATE(2026,4,1),Customer_Invoices_Upload!$B$4:$B$5003,"&lt;"&amp;EDATE(DATE(2026,4,1),1))+COUNTIFS(Stripe_Invoices_Upload!$D$4:$D$5003,$A192,Stripe_Invoices_Upload!$E$4:$E$5003,"*Subscription*",Stripe_Invoices_Upload!$A$4:$A$5003,"&gt;="&amp;DATE(2026,4,1),Stripe_Invoices_Upload!$A$4:$A$5003,"&lt;"&amp;EDATE(DATE(2026,4,1),1)))&gt;0,"✓ Invoiced","⚠ Due"),""),""))</f>
        <v/>
      </c>
      <c r="H192" s="130" t="str">
        <f aca="false">IF($A192="","",IF((DATE(YEAR($E192),MONTH($E192),1)&lt;=DATE(2026,5,1)),IF((MOD(DATEDIF(DATE(YEAR($E192),MONTH($E192),1),DATE(2026,5,1),"m"),IF($D192="Quarterly",3,IF($D192="Annual",12,1)))=0),IF((COUNTIFS(Xero_Raw!$D$4:$D$5003,$A192,Xero_Raw!$G$4:$G$5003,"*Subscription*",Xero_Raw!$A$4:$A$5003,"&gt;="&amp;DATE(2026,5,1),Xero_Raw!$A$4:$A$5003,"&lt;"&amp;EDATE(DATE(2026,5,1),1))+COUNTIFS(Customer_Invoices_Upload!$E$4:$E$5003,$A192,Customer_Invoices_Upload!$G$4:$G$5003,"*Subscription*",Customer_Invoices_Upload!$B$4:$B$5003,"&gt;="&amp;DATE(2026,5,1),Customer_Invoices_Upload!$B$4:$B$5003,"&lt;"&amp;EDATE(DATE(2026,5,1),1))+COUNTIFS(Stripe_Invoices_Upload!$D$4:$D$5003,$A192,Stripe_Invoices_Upload!$E$4:$E$5003,"*Subscription*",Stripe_Invoices_Upload!$A$4:$A$5003,"&gt;="&amp;DATE(2026,5,1),Stripe_Invoices_Upload!$A$4:$A$5003,"&lt;"&amp;EDATE(DATE(2026,5,1),1)))&gt;0,"✓ Invoiced","⚠ Due"),""),""))</f>
        <v/>
      </c>
      <c r="I192" s="130" t="str">
        <f aca="false">IF($A192="","",IF((DATE(YEAR($E192),MONTH($E192),1)&lt;=DATE(2026,6,1)),IF((MOD(DATEDIF(DATE(YEAR($E192),MONTH($E192),1),DATE(2026,6,1),"m"),IF($D192="Quarterly",3,IF($D192="Annual",12,1)))=0),IF((COUNTIFS(Xero_Raw!$D$4:$D$5003,$A192,Xero_Raw!$G$4:$G$5003,"*Subscription*",Xero_Raw!$A$4:$A$5003,"&gt;="&amp;DATE(2026,6,1),Xero_Raw!$A$4:$A$5003,"&lt;"&amp;EDATE(DATE(2026,6,1),1))+COUNTIFS(Customer_Invoices_Upload!$E$4:$E$5003,$A192,Customer_Invoices_Upload!$G$4:$G$5003,"*Subscription*",Customer_Invoices_Upload!$B$4:$B$5003,"&gt;="&amp;DATE(2026,6,1),Customer_Invoices_Upload!$B$4:$B$5003,"&lt;"&amp;EDATE(DATE(2026,6,1),1))+COUNTIFS(Stripe_Invoices_Upload!$D$4:$D$5003,$A192,Stripe_Invoices_Upload!$E$4:$E$5003,"*Subscription*",Stripe_Invoices_Upload!$A$4:$A$5003,"&gt;="&amp;DATE(2026,6,1),Stripe_Invoices_Upload!$A$4:$A$5003,"&lt;"&amp;EDATE(DATE(2026,6,1),1)))&gt;0,"✓ Invoiced","⚠ Due"),""),""))</f>
        <v/>
      </c>
      <c r="J192" s="130" t="str">
        <f aca="false">IF($A192="","",IF((DATE(YEAR($E192),MONTH($E192),1)&lt;=DATE(2026,7,1)),IF((MOD(DATEDIF(DATE(YEAR($E192),MONTH($E192),1),DATE(2026,7,1),"m"),IF($D192="Quarterly",3,IF($D192="Annual",12,1)))=0),IF((COUNTIFS(Xero_Raw!$D$4:$D$5003,$A192,Xero_Raw!$G$4:$G$5003,"*Subscription*",Xero_Raw!$A$4:$A$5003,"&gt;="&amp;DATE(2026,7,1),Xero_Raw!$A$4:$A$5003,"&lt;"&amp;EDATE(DATE(2026,7,1),1))+COUNTIFS(Customer_Invoices_Upload!$E$4:$E$5003,$A192,Customer_Invoices_Upload!$G$4:$G$5003,"*Subscription*",Customer_Invoices_Upload!$B$4:$B$5003,"&gt;="&amp;DATE(2026,7,1),Customer_Invoices_Upload!$B$4:$B$5003,"&lt;"&amp;EDATE(DATE(2026,7,1),1))+COUNTIFS(Stripe_Invoices_Upload!$D$4:$D$5003,$A192,Stripe_Invoices_Upload!$E$4:$E$5003,"*Subscription*",Stripe_Invoices_Upload!$A$4:$A$5003,"&gt;="&amp;DATE(2026,7,1),Stripe_Invoices_Upload!$A$4:$A$5003,"&lt;"&amp;EDATE(DATE(2026,7,1),1)))&gt;0,"✓ Invoiced","⚠ Due"),""),""))</f>
        <v/>
      </c>
      <c r="K192" s="130" t="str">
        <f aca="false">IF($A192="","",IF((DATE(YEAR($E192),MONTH($E192),1)&lt;=DATE(2026,8,1)),IF((MOD(DATEDIF(DATE(YEAR($E192),MONTH($E192),1),DATE(2026,8,1),"m"),IF($D192="Quarterly",3,IF($D192="Annual",12,1)))=0),IF((COUNTIFS(Xero_Raw!$D$4:$D$5003,$A192,Xero_Raw!$G$4:$G$5003,"*Subscription*",Xero_Raw!$A$4:$A$5003,"&gt;="&amp;DATE(2026,8,1),Xero_Raw!$A$4:$A$5003,"&lt;"&amp;EDATE(DATE(2026,8,1),1))+COUNTIFS(Customer_Invoices_Upload!$E$4:$E$5003,$A192,Customer_Invoices_Upload!$G$4:$G$5003,"*Subscription*",Customer_Invoices_Upload!$B$4:$B$5003,"&gt;="&amp;DATE(2026,8,1),Customer_Invoices_Upload!$B$4:$B$5003,"&lt;"&amp;EDATE(DATE(2026,8,1),1))+COUNTIFS(Stripe_Invoices_Upload!$D$4:$D$5003,$A192,Stripe_Invoices_Upload!$E$4:$E$5003,"*Subscription*",Stripe_Invoices_Upload!$A$4:$A$5003,"&gt;="&amp;DATE(2026,8,1),Stripe_Invoices_Upload!$A$4:$A$5003,"&lt;"&amp;EDATE(DATE(2026,8,1),1)))&gt;0,"✓ Invoiced","⚠ Due"),""),""))</f>
        <v/>
      </c>
      <c r="L192" s="130" t="str">
        <f aca="false">IF($A192="","",IF((DATE(YEAR($E192),MONTH($E192),1)&lt;=DATE(2026,9,1)),IF((MOD(DATEDIF(DATE(YEAR($E192),MONTH($E192),1),DATE(2026,9,1),"m"),IF($D192="Quarterly",3,IF($D192="Annual",12,1)))=0),IF((COUNTIFS(Xero_Raw!$D$4:$D$5003,$A192,Xero_Raw!$G$4:$G$5003,"*Subscription*",Xero_Raw!$A$4:$A$5003,"&gt;="&amp;DATE(2026,9,1),Xero_Raw!$A$4:$A$5003,"&lt;"&amp;EDATE(DATE(2026,9,1),1))+COUNTIFS(Customer_Invoices_Upload!$E$4:$E$5003,$A192,Customer_Invoices_Upload!$G$4:$G$5003,"*Subscription*",Customer_Invoices_Upload!$B$4:$B$5003,"&gt;="&amp;DATE(2026,9,1),Customer_Invoices_Upload!$B$4:$B$5003,"&lt;"&amp;EDATE(DATE(2026,9,1),1))+COUNTIFS(Stripe_Invoices_Upload!$D$4:$D$5003,$A192,Stripe_Invoices_Upload!$E$4:$E$5003,"*Subscription*",Stripe_Invoices_Upload!$A$4:$A$5003,"&gt;="&amp;DATE(2026,9,1),Stripe_Invoices_Upload!$A$4:$A$5003,"&lt;"&amp;EDATE(DATE(2026,9,1),1)))&gt;0,"✓ Invoiced","⚠ Due"),""),""))</f>
        <v/>
      </c>
      <c r="M192" s="130" t="str">
        <f aca="false">IF($A192="","",IF((DATE(YEAR($E192),MONTH($E192),1)&lt;=DATE(2026,10,1)),IF((MOD(DATEDIF(DATE(YEAR($E192),MONTH($E192),1),DATE(2026,10,1),"m"),IF($D192="Quarterly",3,IF($D192="Annual",12,1)))=0),IF((COUNTIFS(Xero_Raw!$D$4:$D$5003,$A192,Xero_Raw!$G$4:$G$5003,"*Subscription*",Xero_Raw!$A$4:$A$5003,"&gt;="&amp;DATE(2026,10,1),Xero_Raw!$A$4:$A$5003,"&lt;"&amp;EDATE(DATE(2026,10,1),1))+COUNTIFS(Customer_Invoices_Upload!$E$4:$E$5003,$A192,Customer_Invoices_Upload!$G$4:$G$5003,"*Subscription*",Customer_Invoices_Upload!$B$4:$B$5003,"&gt;="&amp;DATE(2026,10,1),Customer_Invoices_Upload!$B$4:$B$5003,"&lt;"&amp;EDATE(DATE(2026,10,1),1))+COUNTIFS(Stripe_Invoices_Upload!$D$4:$D$5003,$A192,Stripe_Invoices_Upload!$E$4:$E$5003,"*Subscription*",Stripe_Invoices_Upload!$A$4:$A$5003,"&gt;="&amp;DATE(2026,10,1),Stripe_Invoices_Upload!$A$4:$A$5003,"&lt;"&amp;EDATE(DATE(2026,10,1),1)))&gt;0,"✓ Invoiced","⚠ Due"),""),""))</f>
        <v/>
      </c>
      <c r="N192" s="130" t="str">
        <f aca="false">IF($A192="","",IF((DATE(YEAR($E192),MONTH($E192),1)&lt;=DATE(2026,11,1)),IF((MOD(DATEDIF(DATE(YEAR($E192),MONTH($E192),1),DATE(2026,11,1),"m"),IF($D192="Quarterly",3,IF($D192="Annual",12,1)))=0),IF((COUNTIFS(Xero_Raw!$D$4:$D$5003,$A192,Xero_Raw!$G$4:$G$5003,"*Subscription*",Xero_Raw!$A$4:$A$5003,"&gt;="&amp;DATE(2026,11,1),Xero_Raw!$A$4:$A$5003,"&lt;"&amp;EDATE(DATE(2026,11,1),1))+COUNTIFS(Customer_Invoices_Upload!$E$4:$E$5003,$A192,Customer_Invoices_Upload!$G$4:$G$5003,"*Subscription*",Customer_Invoices_Upload!$B$4:$B$5003,"&gt;="&amp;DATE(2026,11,1),Customer_Invoices_Upload!$B$4:$B$5003,"&lt;"&amp;EDATE(DATE(2026,11,1),1))+COUNTIFS(Stripe_Invoices_Upload!$D$4:$D$5003,$A192,Stripe_Invoices_Upload!$E$4:$E$5003,"*Subscription*",Stripe_Invoices_Upload!$A$4:$A$5003,"&gt;="&amp;DATE(2026,11,1),Stripe_Invoices_Upload!$A$4:$A$5003,"&lt;"&amp;EDATE(DATE(2026,11,1),1)))&gt;0,"✓ Invoiced","⚠ Due"),""),""))</f>
        <v/>
      </c>
      <c r="O192" s="130" t="str">
        <f aca="false">IF($A192="","",IF((DATE(YEAR($E192),MONTH($E192),1)&lt;=DATE(2026,12,1)),IF((MOD(DATEDIF(DATE(YEAR($E192),MONTH($E192),1),DATE(2026,12,1),"m"),IF($D192="Quarterly",3,IF($D192="Annual",12,1)))=0),IF((COUNTIFS(Xero_Raw!$D$4:$D$5003,$A192,Xero_Raw!$G$4:$G$5003,"*Subscription*",Xero_Raw!$A$4:$A$5003,"&gt;="&amp;DATE(2026,12,1),Xero_Raw!$A$4:$A$5003,"&lt;"&amp;EDATE(DATE(2026,12,1),1))+COUNTIFS(Customer_Invoices_Upload!$E$4:$E$5003,$A192,Customer_Invoices_Upload!$G$4:$G$5003,"*Subscription*",Customer_Invoices_Upload!$B$4:$B$5003,"&gt;="&amp;DATE(2026,12,1),Customer_Invoices_Upload!$B$4:$B$5003,"&lt;"&amp;EDATE(DATE(2026,12,1),1))+COUNTIFS(Stripe_Invoices_Upload!$D$4:$D$5003,$A192,Stripe_Invoices_Upload!$E$4:$E$5003,"*Subscription*",Stripe_Invoices_Upload!$A$4:$A$5003,"&gt;="&amp;DATE(2026,12,1),Stripe_Invoices_Upload!$A$4:$A$5003,"&lt;"&amp;EDATE(DATE(2026,12,1),1)))&gt;0,"✓ Invoiced","⚠ Due"),""),""))</f>
        <v/>
      </c>
      <c r="P192" s="130" t="str">
        <f aca="false">IF($A192="","",IF((DATE(YEAR($E192),MONTH($E192),1)&lt;=DATE(2027,1,1)),IF((MOD(DATEDIF(DATE(YEAR($E192),MONTH($E192),1),DATE(2027,1,1),"m"),IF($D192="Quarterly",3,IF($D192="Annual",12,1)))=0),IF((COUNTIFS(Xero_Raw!$D$4:$D$5003,$A192,Xero_Raw!$G$4:$G$5003,"*Subscription*",Xero_Raw!$A$4:$A$5003,"&gt;="&amp;DATE(2027,1,1),Xero_Raw!$A$4:$A$5003,"&lt;"&amp;EDATE(DATE(2027,1,1),1))+COUNTIFS(Customer_Invoices_Upload!$E$4:$E$5003,$A192,Customer_Invoices_Upload!$G$4:$G$5003,"*Subscription*",Customer_Invoices_Upload!$B$4:$B$5003,"&gt;="&amp;DATE(2027,1,1),Customer_Invoices_Upload!$B$4:$B$5003,"&lt;"&amp;EDATE(DATE(2027,1,1),1))+COUNTIFS(Stripe_Invoices_Upload!$D$4:$D$5003,$A192,Stripe_Invoices_Upload!$E$4:$E$5003,"*Subscription*",Stripe_Invoices_Upload!$A$4:$A$5003,"&gt;="&amp;DATE(2027,1,1),Stripe_Invoices_Upload!$A$4:$A$5003,"&lt;"&amp;EDATE(DATE(2027,1,1),1)))&gt;0,"✓ Invoiced","⚠ Due"),""),""))</f>
        <v/>
      </c>
      <c r="Q192" s="130" t="str">
        <f aca="false">IF($A192="","",IF((DATE(YEAR($E192),MONTH($E192),1)&lt;=DATE(2027,2,1)),IF((MOD(DATEDIF(DATE(YEAR($E192),MONTH($E192),1),DATE(2027,2,1),"m"),IF($D192="Quarterly",3,IF($D192="Annual",12,1)))=0),IF((COUNTIFS(Xero_Raw!$D$4:$D$5003,$A192,Xero_Raw!$G$4:$G$5003,"*Subscription*",Xero_Raw!$A$4:$A$5003,"&gt;="&amp;DATE(2027,2,1),Xero_Raw!$A$4:$A$5003,"&lt;"&amp;EDATE(DATE(2027,2,1),1))+COUNTIFS(Customer_Invoices_Upload!$E$4:$E$5003,$A192,Customer_Invoices_Upload!$G$4:$G$5003,"*Subscription*",Customer_Invoices_Upload!$B$4:$B$5003,"&gt;="&amp;DATE(2027,2,1),Customer_Invoices_Upload!$B$4:$B$5003,"&lt;"&amp;EDATE(DATE(2027,2,1),1))+COUNTIFS(Stripe_Invoices_Upload!$D$4:$D$5003,$A192,Stripe_Invoices_Upload!$E$4:$E$5003,"*Subscription*",Stripe_Invoices_Upload!$A$4:$A$5003,"&gt;="&amp;DATE(2027,2,1),Stripe_Invoices_Upload!$A$4:$A$5003,"&lt;"&amp;EDATE(DATE(2027,2,1),1)))&gt;0,"✓ Invoiced","⚠ Due"),""),""))</f>
        <v/>
      </c>
      <c r="R192" s="130" t="str">
        <f aca="false">IF($A192="","",IF((DATE(YEAR($E192),MONTH($E192),1)&lt;=DATE(2027,3,1)),IF((MOD(DATEDIF(DATE(YEAR($E192),MONTH($E192),1),DATE(2027,3,1),"m"),IF($D192="Quarterly",3,IF($D192="Annual",12,1)))=0),IF((COUNTIFS(Xero_Raw!$D$4:$D$5003,$A192,Xero_Raw!$G$4:$G$5003,"*Subscription*",Xero_Raw!$A$4:$A$5003,"&gt;="&amp;DATE(2027,3,1),Xero_Raw!$A$4:$A$5003,"&lt;"&amp;EDATE(DATE(2027,3,1),1))+COUNTIFS(Customer_Invoices_Upload!$E$4:$E$5003,$A192,Customer_Invoices_Upload!$G$4:$G$5003,"*Subscription*",Customer_Invoices_Upload!$B$4:$B$5003,"&gt;="&amp;DATE(2027,3,1),Customer_Invoices_Upload!$B$4:$B$5003,"&lt;"&amp;EDATE(DATE(2027,3,1),1))+COUNTIFS(Stripe_Invoices_Upload!$D$4:$D$5003,$A192,Stripe_Invoices_Upload!$E$4:$E$5003,"*Subscription*",Stripe_Invoices_Upload!$A$4:$A$5003,"&gt;="&amp;DATE(2027,3,1),Stripe_Invoices_Upload!$A$4:$A$5003,"&lt;"&amp;EDATE(DATE(2027,3,1),1)))&gt;0,"✓ Invoiced","⚠ Due"),""),""))</f>
        <v/>
      </c>
    </row>
    <row r="193" customFormat="false" ht="15" hidden="false" customHeight="false" outlineLevel="0" collapsed="false">
      <c r="A193" s="39"/>
      <c r="B193" s="39"/>
      <c r="C193" s="40"/>
      <c r="D193" s="39"/>
      <c r="E193" s="38"/>
      <c r="F193" s="129" t="str">
        <f aca="true">IF($A193="","",EDATE($E193,DATEDIF($E193,TODAY(),"m")+1))</f>
        <v/>
      </c>
      <c r="G193" s="130" t="str">
        <f aca="false">IF($A193="","",IF((DATE(YEAR($E193),MONTH($E193),1)&lt;=DATE(2026,4,1)),IF((MOD(DATEDIF(DATE(YEAR($E193),MONTH($E193),1),DATE(2026,4,1),"m"),IF($D193="Quarterly",3,IF($D193="Annual",12,1)))=0),IF((COUNTIFS(Xero_Raw!$D$4:$D$5003,$A193,Xero_Raw!$G$4:$G$5003,"*Subscription*",Xero_Raw!$A$4:$A$5003,"&gt;="&amp;DATE(2026,4,1),Xero_Raw!$A$4:$A$5003,"&lt;"&amp;EDATE(DATE(2026,4,1),1))+COUNTIFS(Customer_Invoices_Upload!$E$4:$E$5003,$A193,Customer_Invoices_Upload!$G$4:$G$5003,"*Subscription*",Customer_Invoices_Upload!$B$4:$B$5003,"&gt;="&amp;DATE(2026,4,1),Customer_Invoices_Upload!$B$4:$B$5003,"&lt;"&amp;EDATE(DATE(2026,4,1),1))+COUNTIFS(Stripe_Invoices_Upload!$D$4:$D$5003,$A193,Stripe_Invoices_Upload!$E$4:$E$5003,"*Subscription*",Stripe_Invoices_Upload!$A$4:$A$5003,"&gt;="&amp;DATE(2026,4,1),Stripe_Invoices_Upload!$A$4:$A$5003,"&lt;"&amp;EDATE(DATE(2026,4,1),1)))&gt;0,"✓ Invoiced","⚠ Due"),""),""))</f>
        <v/>
      </c>
      <c r="H193" s="130" t="str">
        <f aca="false">IF($A193="","",IF((DATE(YEAR($E193),MONTH($E193),1)&lt;=DATE(2026,5,1)),IF((MOD(DATEDIF(DATE(YEAR($E193),MONTH($E193),1),DATE(2026,5,1),"m"),IF($D193="Quarterly",3,IF($D193="Annual",12,1)))=0),IF((COUNTIFS(Xero_Raw!$D$4:$D$5003,$A193,Xero_Raw!$G$4:$G$5003,"*Subscription*",Xero_Raw!$A$4:$A$5003,"&gt;="&amp;DATE(2026,5,1),Xero_Raw!$A$4:$A$5003,"&lt;"&amp;EDATE(DATE(2026,5,1),1))+COUNTIFS(Customer_Invoices_Upload!$E$4:$E$5003,$A193,Customer_Invoices_Upload!$G$4:$G$5003,"*Subscription*",Customer_Invoices_Upload!$B$4:$B$5003,"&gt;="&amp;DATE(2026,5,1),Customer_Invoices_Upload!$B$4:$B$5003,"&lt;"&amp;EDATE(DATE(2026,5,1),1))+COUNTIFS(Stripe_Invoices_Upload!$D$4:$D$5003,$A193,Stripe_Invoices_Upload!$E$4:$E$5003,"*Subscription*",Stripe_Invoices_Upload!$A$4:$A$5003,"&gt;="&amp;DATE(2026,5,1),Stripe_Invoices_Upload!$A$4:$A$5003,"&lt;"&amp;EDATE(DATE(2026,5,1),1)))&gt;0,"✓ Invoiced","⚠ Due"),""),""))</f>
        <v/>
      </c>
      <c r="I193" s="130" t="str">
        <f aca="false">IF($A193="","",IF((DATE(YEAR($E193),MONTH($E193),1)&lt;=DATE(2026,6,1)),IF((MOD(DATEDIF(DATE(YEAR($E193),MONTH($E193),1),DATE(2026,6,1),"m"),IF($D193="Quarterly",3,IF($D193="Annual",12,1)))=0),IF((COUNTIFS(Xero_Raw!$D$4:$D$5003,$A193,Xero_Raw!$G$4:$G$5003,"*Subscription*",Xero_Raw!$A$4:$A$5003,"&gt;="&amp;DATE(2026,6,1),Xero_Raw!$A$4:$A$5003,"&lt;"&amp;EDATE(DATE(2026,6,1),1))+COUNTIFS(Customer_Invoices_Upload!$E$4:$E$5003,$A193,Customer_Invoices_Upload!$G$4:$G$5003,"*Subscription*",Customer_Invoices_Upload!$B$4:$B$5003,"&gt;="&amp;DATE(2026,6,1),Customer_Invoices_Upload!$B$4:$B$5003,"&lt;"&amp;EDATE(DATE(2026,6,1),1))+COUNTIFS(Stripe_Invoices_Upload!$D$4:$D$5003,$A193,Stripe_Invoices_Upload!$E$4:$E$5003,"*Subscription*",Stripe_Invoices_Upload!$A$4:$A$5003,"&gt;="&amp;DATE(2026,6,1),Stripe_Invoices_Upload!$A$4:$A$5003,"&lt;"&amp;EDATE(DATE(2026,6,1),1)))&gt;0,"✓ Invoiced","⚠ Due"),""),""))</f>
        <v/>
      </c>
      <c r="J193" s="130" t="str">
        <f aca="false">IF($A193="","",IF((DATE(YEAR($E193),MONTH($E193),1)&lt;=DATE(2026,7,1)),IF((MOD(DATEDIF(DATE(YEAR($E193),MONTH($E193),1),DATE(2026,7,1),"m"),IF($D193="Quarterly",3,IF($D193="Annual",12,1)))=0),IF((COUNTIFS(Xero_Raw!$D$4:$D$5003,$A193,Xero_Raw!$G$4:$G$5003,"*Subscription*",Xero_Raw!$A$4:$A$5003,"&gt;="&amp;DATE(2026,7,1),Xero_Raw!$A$4:$A$5003,"&lt;"&amp;EDATE(DATE(2026,7,1),1))+COUNTIFS(Customer_Invoices_Upload!$E$4:$E$5003,$A193,Customer_Invoices_Upload!$G$4:$G$5003,"*Subscription*",Customer_Invoices_Upload!$B$4:$B$5003,"&gt;="&amp;DATE(2026,7,1),Customer_Invoices_Upload!$B$4:$B$5003,"&lt;"&amp;EDATE(DATE(2026,7,1),1))+COUNTIFS(Stripe_Invoices_Upload!$D$4:$D$5003,$A193,Stripe_Invoices_Upload!$E$4:$E$5003,"*Subscription*",Stripe_Invoices_Upload!$A$4:$A$5003,"&gt;="&amp;DATE(2026,7,1),Stripe_Invoices_Upload!$A$4:$A$5003,"&lt;"&amp;EDATE(DATE(2026,7,1),1)))&gt;0,"✓ Invoiced","⚠ Due"),""),""))</f>
        <v/>
      </c>
      <c r="K193" s="130" t="str">
        <f aca="false">IF($A193="","",IF((DATE(YEAR($E193),MONTH($E193),1)&lt;=DATE(2026,8,1)),IF((MOD(DATEDIF(DATE(YEAR($E193),MONTH($E193),1),DATE(2026,8,1),"m"),IF($D193="Quarterly",3,IF($D193="Annual",12,1)))=0),IF((COUNTIFS(Xero_Raw!$D$4:$D$5003,$A193,Xero_Raw!$G$4:$G$5003,"*Subscription*",Xero_Raw!$A$4:$A$5003,"&gt;="&amp;DATE(2026,8,1),Xero_Raw!$A$4:$A$5003,"&lt;"&amp;EDATE(DATE(2026,8,1),1))+COUNTIFS(Customer_Invoices_Upload!$E$4:$E$5003,$A193,Customer_Invoices_Upload!$G$4:$G$5003,"*Subscription*",Customer_Invoices_Upload!$B$4:$B$5003,"&gt;="&amp;DATE(2026,8,1),Customer_Invoices_Upload!$B$4:$B$5003,"&lt;"&amp;EDATE(DATE(2026,8,1),1))+COUNTIFS(Stripe_Invoices_Upload!$D$4:$D$5003,$A193,Stripe_Invoices_Upload!$E$4:$E$5003,"*Subscription*",Stripe_Invoices_Upload!$A$4:$A$5003,"&gt;="&amp;DATE(2026,8,1),Stripe_Invoices_Upload!$A$4:$A$5003,"&lt;"&amp;EDATE(DATE(2026,8,1),1)))&gt;0,"✓ Invoiced","⚠ Due"),""),""))</f>
        <v/>
      </c>
      <c r="L193" s="130" t="str">
        <f aca="false">IF($A193="","",IF((DATE(YEAR($E193),MONTH($E193),1)&lt;=DATE(2026,9,1)),IF((MOD(DATEDIF(DATE(YEAR($E193),MONTH($E193),1),DATE(2026,9,1),"m"),IF($D193="Quarterly",3,IF($D193="Annual",12,1)))=0),IF((COUNTIFS(Xero_Raw!$D$4:$D$5003,$A193,Xero_Raw!$G$4:$G$5003,"*Subscription*",Xero_Raw!$A$4:$A$5003,"&gt;="&amp;DATE(2026,9,1),Xero_Raw!$A$4:$A$5003,"&lt;"&amp;EDATE(DATE(2026,9,1),1))+COUNTIFS(Customer_Invoices_Upload!$E$4:$E$5003,$A193,Customer_Invoices_Upload!$G$4:$G$5003,"*Subscription*",Customer_Invoices_Upload!$B$4:$B$5003,"&gt;="&amp;DATE(2026,9,1),Customer_Invoices_Upload!$B$4:$B$5003,"&lt;"&amp;EDATE(DATE(2026,9,1),1))+COUNTIFS(Stripe_Invoices_Upload!$D$4:$D$5003,$A193,Stripe_Invoices_Upload!$E$4:$E$5003,"*Subscription*",Stripe_Invoices_Upload!$A$4:$A$5003,"&gt;="&amp;DATE(2026,9,1),Stripe_Invoices_Upload!$A$4:$A$5003,"&lt;"&amp;EDATE(DATE(2026,9,1),1)))&gt;0,"✓ Invoiced","⚠ Due"),""),""))</f>
        <v/>
      </c>
      <c r="M193" s="130" t="str">
        <f aca="false">IF($A193="","",IF((DATE(YEAR($E193),MONTH($E193),1)&lt;=DATE(2026,10,1)),IF((MOD(DATEDIF(DATE(YEAR($E193),MONTH($E193),1),DATE(2026,10,1),"m"),IF($D193="Quarterly",3,IF($D193="Annual",12,1)))=0),IF((COUNTIFS(Xero_Raw!$D$4:$D$5003,$A193,Xero_Raw!$G$4:$G$5003,"*Subscription*",Xero_Raw!$A$4:$A$5003,"&gt;="&amp;DATE(2026,10,1),Xero_Raw!$A$4:$A$5003,"&lt;"&amp;EDATE(DATE(2026,10,1),1))+COUNTIFS(Customer_Invoices_Upload!$E$4:$E$5003,$A193,Customer_Invoices_Upload!$G$4:$G$5003,"*Subscription*",Customer_Invoices_Upload!$B$4:$B$5003,"&gt;="&amp;DATE(2026,10,1),Customer_Invoices_Upload!$B$4:$B$5003,"&lt;"&amp;EDATE(DATE(2026,10,1),1))+COUNTIFS(Stripe_Invoices_Upload!$D$4:$D$5003,$A193,Stripe_Invoices_Upload!$E$4:$E$5003,"*Subscription*",Stripe_Invoices_Upload!$A$4:$A$5003,"&gt;="&amp;DATE(2026,10,1),Stripe_Invoices_Upload!$A$4:$A$5003,"&lt;"&amp;EDATE(DATE(2026,10,1),1)))&gt;0,"✓ Invoiced","⚠ Due"),""),""))</f>
        <v/>
      </c>
      <c r="N193" s="130" t="str">
        <f aca="false">IF($A193="","",IF((DATE(YEAR($E193),MONTH($E193),1)&lt;=DATE(2026,11,1)),IF((MOD(DATEDIF(DATE(YEAR($E193),MONTH($E193),1),DATE(2026,11,1),"m"),IF($D193="Quarterly",3,IF($D193="Annual",12,1)))=0),IF((COUNTIFS(Xero_Raw!$D$4:$D$5003,$A193,Xero_Raw!$G$4:$G$5003,"*Subscription*",Xero_Raw!$A$4:$A$5003,"&gt;="&amp;DATE(2026,11,1),Xero_Raw!$A$4:$A$5003,"&lt;"&amp;EDATE(DATE(2026,11,1),1))+COUNTIFS(Customer_Invoices_Upload!$E$4:$E$5003,$A193,Customer_Invoices_Upload!$G$4:$G$5003,"*Subscription*",Customer_Invoices_Upload!$B$4:$B$5003,"&gt;="&amp;DATE(2026,11,1),Customer_Invoices_Upload!$B$4:$B$5003,"&lt;"&amp;EDATE(DATE(2026,11,1),1))+COUNTIFS(Stripe_Invoices_Upload!$D$4:$D$5003,$A193,Stripe_Invoices_Upload!$E$4:$E$5003,"*Subscription*",Stripe_Invoices_Upload!$A$4:$A$5003,"&gt;="&amp;DATE(2026,11,1),Stripe_Invoices_Upload!$A$4:$A$5003,"&lt;"&amp;EDATE(DATE(2026,11,1),1)))&gt;0,"✓ Invoiced","⚠ Due"),""),""))</f>
        <v/>
      </c>
      <c r="O193" s="130" t="str">
        <f aca="false">IF($A193="","",IF((DATE(YEAR($E193),MONTH($E193),1)&lt;=DATE(2026,12,1)),IF((MOD(DATEDIF(DATE(YEAR($E193),MONTH($E193),1),DATE(2026,12,1),"m"),IF($D193="Quarterly",3,IF($D193="Annual",12,1)))=0),IF((COUNTIFS(Xero_Raw!$D$4:$D$5003,$A193,Xero_Raw!$G$4:$G$5003,"*Subscription*",Xero_Raw!$A$4:$A$5003,"&gt;="&amp;DATE(2026,12,1),Xero_Raw!$A$4:$A$5003,"&lt;"&amp;EDATE(DATE(2026,12,1),1))+COUNTIFS(Customer_Invoices_Upload!$E$4:$E$5003,$A193,Customer_Invoices_Upload!$G$4:$G$5003,"*Subscription*",Customer_Invoices_Upload!$B$4:$B$5003,"&gt;="&amp;DATE(2026,12,1),Customer_Invoices_Upload!$B$4:$B$5003,"&lt;"&amp;EDATE(DATE(2026,12,1),1))+COUNTIFS(Stripe_Invoices_Upload!$D$4:$D$5003,$A193,Stripe_Invoices_Upload!$E$4:$E$5003,"*Subscription*",Stripe_Invoices_Upload!$A$4:$A$5003,"&gt;="&amp;DATE(2026,12,1),Stripe_Invoices_Upload!$A$4:$A$5003,"&lt;"&amp;EDATE(DATE(2026,12,1),1)))&gt;0,"✓ Invoiced","⚠ Due"),""),""))</f>
        <v/>
      </c>
      <c r="P193" s="130" t="str">
        <f aca="false">IF($A193="","",IF((DATE(YEAR($E193),MONTH($E193),1)&lt;=DATE(2027,1,1)),IF((MOD(DATEDIF(DATE(YEAR($E193),MONTH($E193),1),DATE(2027,1,1),"m"),IF($D193="Quarterly",3,IF($D193="Annual",12,1)))=0),IF((COUNTIFS(Xero_Raw!$D$4:$D$5003,$A193,Xero_Raw!$G$4:$G$5003,"*Subscription*",Xero_Raw!$A$4:$A$5003,"&gt;="&amp;DATE(2027,1,1),Xero_Raw!$A$4:$A$5003,"&lt;"&amp;EDATE(DATE(2027,1,1),1))+COUNTIFS(Customer_Invoices_Upload!$E$4:$E$5003,$A193,Customer_Invoices_Upload!$G$4:$G$5003,"*Subscription*",Customer_Invoices_Upload!$B$4:$B$5003,"&gt;="&amp;DATE(2027,1,1),Customer_Invoices_Upload!$B$4:$B$5003,"&lt;"&amp;EDATE(DATE(2027,1,1),1))+COUNTIFS(Stripe_Invoices_Upload!$D$4:$D$5003,$A193,Stripe_Invoices_Upload!$E$4:$E$5003,"*Subscription*",Stripe_Invoices_Upload!$A$4:$A$5003,"&gt;="&amp;DATE(2027,1,1),Stripe_Invoices_Upload!$A$4:$A$5003,"&lt;"&amp;EDATE(DATE(2027,1,1),1)))&gt;0,"✓ Invoiced","⚠ Due"),""),""))</f>
        <v/>
      </c>
      <c r="Q193" s="130" t="str">
        <f aca="false">IF($A193="","",IF((DATE(YEAR($E193),MONTH($E193),1)&lt;=DATE(2027,2,1)),IF((MOD(DATEDIF(DATE(YEAR($E193),MONTH($E193),1),DATE(2027,2,1),"m"),IF($D193="Quarterly",3,IF($D193="Annual",12,1)))=0),IF((COUNTIFS(Xero_Raw!$D$4:$D$5003,$A193,Xero_Raw!$G$4:$G$5003,"*Subscription*",Xero_Raw!$A$4:$A$5003,"&gt;="&amp;DATE(2027,2,1),Xero_Raw!$A$4:$A$5003,"&lt;"&amp;EDATE(DATE(2027,2,1),1))+COUNTIFS(Customer_Invoices_Upload!$E$4:$E$5003,$A193,Customer_Invoices_Upload!$G$4:$G$5003,"*Subscription*",Customer_Invoices_Upload!$B$4:$B$5003,"&gt;="&amp;DATE(2027,2,1),Customer_Invoices_Upload!$B$4:$B$5003,"&lt;"&amp;EDATE(DATE(2027,2,1),1))+COUNTIFS(Stripe_Invoices_Upload!$D$4:$D$5003,$A193,Stripe_Invoices_Upload!$E$4:$E$5003,"*Subscription*",Stripe_Invoices_Upload!$A$4:$A$5003,"&gt;="&amp;DATE(2027,2,1),Stripe_Invoices_Upload!$A$4:$A$5003,"&lt;"&amp;EDATE(DATE(2027,2,1),1)))&gt;0,"✓ Invoiced","⚠ Due"),""),""))</f>
        <v/>
      </c>
      <c r="R193" s="130" t="str">
        <f aca="false">IF($A193="","",IF((DATE(YEAR($E193),MONTH($E193),1)&lt;=DATE(2027,3,1)),IF((MOD(DATEDIF(DATE(YEAR($E193),MONTH($E193),1),DATE(2027,3,1),"m"),IF($D193="Quarterly",3,IF($D193="Annual",12,1)))=0),IF((COUNTIFS(Xero_Raw!$D$4:$D$5003,$A193,Xero_Raw!$G$4:$G$5003,"*Subscription*",Xero_Raw!$A$4:$A$5003,"&gt;="&amp;DATE(2027,3,1),Xero_Raw!$A$4:$A$5003,"&lt;"&amp;EDATE(DATE(2027,3,1),1))+COUNTIFS(Customer_Invoices_Upload!$E$4:$E$5003,$A193,Customer_Invoices_Upload!$G$4:$G$5003,"*Subscription*",Customer_Invoices_Upload!$B$4:$B$5003,"&gt;="&amp;DATE(2027,3,1),Customer_Invoices_Upload!$B$4:$B$5003,"&lt;"&amp;EDATE(DATE(2027,3,1),1))+COUNTIFS(Stripe_Invoices_Upload!$D$4:$D$5003,$A193,Stripe_Invoices_Upload!$E$4:$E$5003,"*Subscription*",Stripe_Invoices_Upload!$A$4:$A$5003,"&gt;="&amp;DATE(2027,3,1),Stripe_Invoices_Upload!$A$4:$A$5003,"&lt;"&amp;EDATE(DATE(2027,3,1),1)))&gt;0,"✓ Invoiced","⚠ Due"),""),""))</f>
        <v/>
      </c>
    </row>
    <row r="194" customFormat="false" ht="15" hidden="false" customHeight="false" outlineLevel="0" collapsed="false">
      <c r="A194" s="39"/>
      <c r="B194" s="39"/>
      <c r="C194" s="40"/>
      <c r="D194" s="39"/>
      <c r="E194" s="38"/>
      <c r="F194" s="129" t="str">
        <f aca="true">IF($A194="","",EDATE($E194,DATEDIF($E194,TODAY(),"m")+1))</f>
        <v/>
      </c>
      <c r="G194" s="130" t="str">
        <f aca="false">IF($A194="","",IF((DATE(YEAR($E194),MONTH($E194),1)&lt;=DATE(2026,4,1)),IF((MOD(DATEDIF(DATE(YEAR($E194),MONTH($E194),1),DATE(2026,4,1),"m"),IF($D194="Quarterly",3,IF($D194="Annual",12,1)))=0),IF((COUNTIFS(Xero_Raw!$D$4:$D$5003,$A194,Xero_Raw!$G$4:$G$5003,"*Subscription*",Xero_Raw!$A$4:$A$5003,"&gt;="&amp;DATE(2026,4,1),Xero_Raw!$A$4:$A$5003,"&lt;"&amp;EDATE(DATE(2026,4,1),1))+COUNTIFS(Customer_Invoices_Upload!$E$4:$E$5003,$A194,Customer_Invoices_Upload!$G$4:$G$5003,"*Subscription*",Customer_Invoices_Upload!$B$4:$B$5003,"&gt;="&amp;DATE(2026,4,1),Customer_Invoices_Upload!$B$4:$B$5003,"&lt;"&amp;EDATE(DATE(2026,4,1),1))+COUNTIFS(Stripe_Invoices_Upload!$D$4:$D$5003,$A194,Stripe_Invoices_Upload!$E$4:$E$5003,"*Subscription*",Stripe_Invoices_Upload!$A$4:$A$5003,"&gt;="&amp;DATE(2026,4,1),Stripe_Invoices_Upload!$A$4:$A$5003,"&lt;"&amp;EDATE(DATE(2026,4,1),1)))&gt;0,"✓ Invoiced","⚠ Due"),""),""))</f>
        <v/>
      </c>
      <c r="H194" s="130" t="str">
        <f aca="false">IF($A194="","",IF((DATE(YEAR($E194),MONTH($E194),1)&lt;=DATE(2026,5,1)),IF((MOD(DATEDIF(DATE(YEAR($E194),MONTH($E194),1),DATE(2026,5,1),"m"),IF($D194="Quarterly",3,IF($D194="Annual",12,1)))=0),IF((COUNTIFS(Xero_Raw!$D$4:$D$5003,$A194,Xero_Raw!$G$4:$G$5003,"*Subscription*",Xero_Raw!$A$4:$A$5003,"&gt;="&amp;DATE(2026,5,1),Xero_Raw!$A$4:$A$5003,"&lt;"&amp;EDATE(DATE(2026,5,1),1))+COUNTIFS(Customer_Invoices_Upload!$E$4:$E$5003,$A194,Customer_Invoices_Upload!$G$4:$G$5003,"*Subscription*",Customer_Invoices_Upload!$B$4:$B$5003,"&gt;="&amp;DATE(2026,5,1),Customer_Invoices_Upload!$B$4:$B$5003,"&lt;"&amp;EDATE(DATE(2026,5,1),1))+COUNTIFS(Stripe_Invoices_Upload!$D$4:$D$5003,$A194,Stripe_Invoices_Upload!$E$4:$E$5003,"*Subscription*",Stripe_Invoices_Upload!$A$4:$A$5003,"&gt;="&amp;DATE(2026,5,1),Stripe_Invoices_Upload!$A$4:$A$5003,"&lt;"&amp;EDATE(DATE(2026,5,1),1)))&gt;0,"✓ Invoiced","⚠ Due"),""),""))</f>
        <v/>
      </c>
      <c r="I194" s="130" t="str">
        <f aca="false">IF($A194="","",IF((DATE(YEAR($E194),MONTH($E194),1)&lt;=DATE(2026,6,1)),IF((MOD(DATEDIF(DATE(YEAR($E194),MONTH($E194),1),DATE(2026,6,1),"m"),IF($D194="Quarterly",3,IF($D194="Annual",12,1)))=0),IF((COUNTIFS(Xero_Raw!$D$4:$D$5003,$A194,Xero_Raw!$G$4:$G$5003,"*Subscription*",Xero_Raw!$A$4:$A$5003,"&gt;="&amp;DATE(2026,6,1),Xero_Raw!$A$4:$A$5003,"&lt;"&amp;EDATE(DATE(2026,6,1),1))+COUNTIFS(Customer_Invoices_Upload!$E$4:$E$5003,$A194,Customer_Invoices_Upload!$G$4:$G$5003,"*Subscription*",Customer_Invoices_Upload!$B$4:$B$5003,"&gt;="&amp;DATE(2026,6,1),Customer_Invoices_Upload!$B$4:$B$5003,"&lt;"&amp;EDATE(DATE(2026,6,1),1))+COUNTIFS(Stripe_Invoices_Upload!$D$4:$D$5003,$A194,Stripe_Invoices_Upload!$E$4:$E$5003,"*Subscription*",Stripe_Invoices_Upload!$A$4:$A$5003,"&gt;="&amp;DATE(2026,6,1),Stripe_Invoices_Upload!$A$4:$A$5003,"&lt;"&amp;EDATE(DATE(2026,6,1),1)))&gt;0,"✓ Invoiced","⚠ Due"),""),""))</f>
        <v/>
      </c>
      <c r="J194" s="130" t="str">
        <f aca="false">IF($A194="","",IF((DATE(YEAR($E194),MONTH($E194),1)&lt;=DATE(2026,7,1)),IF((MOD(DATEDIF(DATE(YEAR($E194),MONTH($E194),1),DATE(2026,7,1),"m"),IF($D194="Quarterly",3,IF($D194="Annual",12,1)))=0),IF((COUNTIFS(Xero_Raw!$D$4:$D$5003,$A194,Xero_Raw!$G$4:$G$5003,"*Subscription*",Xero_Raw!$A$4:$A$5003,"&gt;="&amp;DATE(2026,7,1),Xero_Raw!$A$4:$A$5003,"&lt;"&amp;EDATE(DATE(2026,7,1),1))+COUNTIFS(Customer_Invoices_Upload!$E$4:$E$5003,$A194,Customer_Invoices_Upload!$G$4:$G$5003,"*Subscription*",Customer_Invoices_Upload!$B$4:$B$5003,"&gt;="&amp;DATE(2026,7,1),Customer_Invoices_Upload!$B$4:$B$5003,"&lt;"&amp;EDATE(DATE(2026,7,1),1))+COUNTIFS(Stripe_Invoices_Upload!$D$4:$D$5003,$A194,Stripe_Invoices_Upload!$E$4:$E$5003,"*Subscription*",Stripe_Invoices_Upload!$A$4:$A$5003,"&gt;="&amp;DATE(2026,7,1),Stripe_Invoices_Upload!$A$4:$A$5003,"&lt;"&amp;EDATE(DATE(2026,7,1),1)))&gt;0,"✓ Invoiced","⚠ Due"),""),""))</f>
        <v/>
      </c>
      <c r="K194" s="130" t="str">
        <f aca="false">IF($A194="","",IF((DATE(YEAR($E194),MONTH($E194),1)&lt;=DATE(2026,8,1)),IF((MOD(DATEDIF(DATE(YEAR($E194),MONTH($E194),1),DATE(2026,8,1),"m"),IF($D194="Quarterly",3,IF($D194="Annual",12,1)))=0),IF((COUNTIFS(Xero_Raw!$D$4:$D$5003,$A194,Xero_Raw!$G$4:$G$5003,"*Subscription*",Xero_Raw!$A$4:$A$5003,"&gt;="&amp;DATE(2026,8,1),Xero_Raw!$A$4:$A$5003,"&lt;"&amp;EDATE(DATE(2026,8,1),1))+COUNTIFS(Customer_Invoices_Upload!$E$4:$E$5003,$A194,Customer_Invoices_Upload!$G$4:$G$5003,"*Subscription*",Customer_Invoices_Upload!$B$4:$B$5003,"&gt;="&amp;DATE(2026,8,1),Customer_Invoices_Upload!$B$4:$B$5003,"&lt;"&amp;EDATE(DATE(2026,8,1),1))+COUNTIFS(Stripe_Invoices_Upload!$D$4:$D$5003,$A194,Stripe_Invoices_Upload!$E$4:$E$5003,"*Subscription*",Stripe_Invoices_Upload!$A$4:$A$5003,"&gt;="&amp;DATE(2026,8,1),Stripe_Invoices_Upload!$A$4:$A$5003,"&lt;"&amp;EDATE(DATE(2026,8,1),1)))&gt;0,"✓ Invoiced","⚠ Due"),""),""))</f>
        <v/>
      </c>
      <c r="L194" s="130" t="str">
        <f aca="false">IF($A194="","",IF((DATE(YEAR($E194),MONTH($E194),1)&lt;=DATE(2026,9,1)),IF((MOD(DATEDIF(DATE(YEAR($E194),MONTH($E194),1),DATE(2026,9,1),"m"),IF($D194="Quarterly",3,IF($D194="Annual",12,1)))=0),IF((COUNTIFS(Xero_Raw!$D$4:$D$5003,$A194,Xero_Raw!$G$4:$G$5003,"*Subscription*",Xero_Raw!$A$4:$A$5003,"&gt;="&amp;DATE(2026,9,1),Xero_Raw!$A$4:$A$5003,"&lt;"&amp;EDATE(DATE(2026,9,1),1))+COUNTIFS(Customer_Invoices_Upload!$E$4:$E$5003,$A194,Customer_Invoices_Upload!$G$4:$G$5003,"*Subscription*",Customer_Invoices_Upload!$B$4:$B$5003,"&gt;="&amp;DATE(2026,9,1),Customer_Invoices_Upload!$B$4:$B$5003,"&lt;"&amp;EDATE(DATE(2026,9,1),1))+COUNTIFS(Stripe_Invoices_Upload!$D$4:$D$5003,$A194,Stripe_Invoices_Upload!$E$4:$E$5003,"*Subscription*",Stripe_Invoices_Upload!$A$4:$A$5003,"&gt;="&amp;DATE(2026,9,1),Stripe_Invoices_Upload!$A$4:$A$5003,"&lt;"&amp;EDATE(DATE(2026,9,1),1)))&gt;0,"✓ Invoiced","⚠ Due"),""),""))</f>
        <v/>
      </c>
      <c r="M194" s="130" t="str">
        <f aca="false">IF($A194="","",IF((DATE(YEAR($E194),MONTH($E194),1)&lt;=DATE(2026,10,1)),IF((MOD(DATEDIF(DATE(YEAR($E194),MONTH($E194),1),DATE(2026,10,1),"m"),IF($D194="Quarterly",3,IF($D194="Annual",12,1)))=0),IF((COUNTIFS(Xero_Raw!$D$4:$D$5003,$A194,Xero_Raw!$G$4:$G$5003,"*Subscription*",Xero_Raw!$A$4:$A$5003,"&gt;="&amp;DATE(2026,10,1),Xero_Raw!$A$4:$A$5003,"&lt;"&amp;EDATE(DATE(2026,10,1),1))+COUNTIFS(Customer_Invoices_Upload!$E$4:$E$5003,$A194,Customer_Invoices_Upload!$G$4:$G$5003,"*Subscription*",Customer_Invoices_Upload!$B$4:$B$5003,"&gt;="&amp;DATE(2026,10,1),Customer_Invoices_Upload!$B$4:$B$5003,"&lt;"&amp;EDATE(DATE(2026,10,1),1))+COUNTIFS(Stripe_Invoices_Upload!$D$4:$D$5003,$A194,Stripe_Invoices_Upload!$E$4:$E$5003,"*Subscription*",Stripe_Invoices_Upload!$A$4:$A$5003,"&gt;="&amp;DATE(2026,10,1),Stripe_Invoices_Upload!$A$4:$A$5003,"&lt;"&amp;EDATE(DATE(2026,10,1),1)))&gt;0,"✓ Invoiced","⚠ Due"),""),""))</f>
        <v/>
      </c>
      <c r="N194" s="130" t="str">
        <f aca="false">IF($A194="","",IF((DATE(YEAR($E194),MONTH($E194),1)&lt;=DATE(2026,11,1)),IF((MOD(DATEDIF(DATE(YEAR($E194),MONTH($E194),1),DATE(2026,11,1),"m"),IF($D194="Quarterly",3,IF($D194="Annual",12,1)))=0),IF((COUNTIFS(Xero_Raw!$D$4:$D$5003,$A194,Xero_Raw!$G$4:$G$5003,"*Subscription*",Xero_Raw!$A$4:$A$5003,"&gt;="&amp;DATE(2026,11,1),Xero_Raw!$A$4:$A$5003,"&lt;"&amp;EDATE(DATE(2026,11,1),1))+COUNTIFS(Customer_Invoices_Upload!$E$4:$E$5003,$A194,Customer_Invoices_Upload!$G$4:$G$5003,"*Subscription*",Customer_Invoices_Upload!$B$4:$B$5003,"&gt;="&amp;DATE(2026,11,1),Customer_Invoices_Upload!$B$4:$B$5003,"&lt;"&amp;EDATE(DATE(2026,11,1),1))+COUNTIFS(Stripe_Invoices_Upload!$D$4:$D$5003,$A194,Stripe_Invoices_Upload!$E$4:$E$5003,"*Subscription*",Stripe_Invoices_Upload!$A$4:$A$5003,"&gt;="&amp;DATE(2026,11,1),Stripe_Invoices_Upload!$A$4:$A$5003,"&lt;"&amp;EDATE(DATE(2026,11,1),1)))&gt;0,"✓ Invoiced","⚠ Due"),""),""))</f>
        <v/>
      </c>
      <c r="O194" s="130" t="str">
        <f aca="false">IF($A194="","",IF((DATE(YEAR($E194),MONTH($E194),1)&lt;=DATE(2026,12,1)),IF((MOD(DATEDIF(DATE(YEAR($E194),MONTH($E194),1),DATE(2026,12,1),"m"),IF($D194="Quarterly",3,IF($D194="Annual",12,1)))=0),IF((COUNTIFS(Xero_Raw!$D$4:$D$5003,$A194,Xero_Raw!$G$4:$G$5003,"*Subscription*",Xero_Raw!$A$4:$A$5003,"&gt;="&amp;DATE(2026,12,1),Xero_Raw!$A$4:$A$5003,"&lt;"&amp;EDATE(DATE(2026,12,1),1))+COUNTIFS(Customer_Invoices_Upload!$E$4:$E$5003,$A194,Customer_Invoices_Upload!$G$4:$G$5003,"*Subscription*",Customer_Invoices_Upload!$B$4:$B$5003,"&gt;="&amp;DATE(2026,12,1),Customer_Invoices_Upload!$B$4:$B$5003,"&lt;"&amp;EDATE(DATE(2026,12,1),1))+COUNTIFS(Stripe_Invoices_Upload!$D$4:$D$5003,$A194,Stripe_Invoices_Upload!$E$4:$E$5003,"*Subscription*",Stripe_Invoices_Upload!$A$4:$A$5003,"&gt;="&amp;DATE(2026,12,1),Stripe_Invoices_Upload!$A$4:$A$5003,"&lt;"&amp;EDATE(DATE(2026,12,1),1)))&gt;0,"✓ Invoiced","⚠ Due"),""),""))</f>
        <v/>
      </c>
      <c r="P194" s="130" t="str">
        <f aca="false">IF($A194="","",IF((DATE(YEAR($E194),MONTH($E194),1)&lt;=DATE(2027,1,1)),IF((MOD(DATEDIF(DATE(YEAR($E194),MONTH($E194),1),DATE(2027,1,1),"m"),IF($D194="Quarterly",3,IF($D194="Annual",12,1)))=0),IF((COUNTIFS(Xero_Raw!$D$4:$D$5003,$A194,Xero_Raw!$G$4:$G$5003,"*Subscription*",Xero_Raw!$A$4:$A$5003,"&gt;="&amp;DATE(2027,1,1),Xero_Raw!$A$4:$A$5003,"&lt;"&amp;EDATE(DATE(2027,1,1),1))+COUNTIFS(Customer_Invoices_Upload!$E$4:$E$5003,$A194,Customer_Invoices_Upload!$G$4:$G$5003,"*Subscription*",Customer_Invoices_Upload!$B$4:$B$5003,"&gt;="&amp;DATE(2027,1,1),Customer_Invoices_Upload!$B$4:$B$5003,"&lt;"&amp;EDATE(DATE(2027,1,1),1))+COUNTIFS(Stripe_Invoices_Upload!$D$4:$D$5003,$A194,Stripe_Invoices_Upload!$E$4:$E$5003,"*Subscription*",Stripe_Invoices_Upload!$A$4:$A$5003,"&gt;="&amp;DATE(2027,1,1),Stripe_Invoices_Upload!$A$4:$A$5003,"&lt;"&amp;EDATE(DATE(2027,1,1),1)))&gt;0,"✓ Invoiced","⚠ Due"),""),""))</f>
        <v/>
      </c>
      <c r="Q194" s="130" t="str">
        <f aca="false">IF($A194="","",IF((DATE(YEAR($E194),MONTH($E194),1)&lt;=DATE(2027,2,1)),IF((MOD(DATEDIF(DATE(YEAR($E194),MONTH($E194),1),DATE(2027,2,1),"m"),IF($D194="Quarterly",3,IF($D194="Annual",12,1)))=0),IF((COUNTIFS(Xero_Raw!$D$4:$D$5003,$A194,Xero_Raw!$G$4:$G$5003,"*Subscription*",Xero_Raw!$A$4:$A$5003,"&gt;="&amp;DATE(2027,2,1),Xero_Raw!$A$4:$A$5003,"&lt;"&amp;EDATE(DATE(2027,2,1),1))+COUNTIFS(Customer_Invoices_Upload!$E$4:$E$5003,$A194,Customer_Invoices_Upload!$G$4:$G$5003,"*Subscription*",Customer_Invoices_Upload!$B$4:$B$5003,"&gt;="&amp;DATE(2027,2,1),Customer_Invoices_Upload!$B$4:$B$5003,"&lt;"&amp;EDATE(DATE(2027,2,1),1))+COUNTIFS(Stripe_Invoices_Upload!$D$4:$D$5003,$A194,Stripe_Invoices_Upload!$E$4:$E$5003,"*Subscription*",Stripe_Invoices_Upload!$A$4:$A$5003,"&gt;="&amp;DATE(2027,2,1),Stripe_Invoices_Upload!$A$4:$A$5003,"&lt;"&amp;EDATE(DATE(2027,2,1),1)))&gt;0,"✓ Invoiced","⚠ Due"),""),""))</f>
        <v/>
      </c>
      <c r="R194" s="130" t="str">
        <f aca="false">IF($A194="","",IF((DATE(YEAR($E194),MONTH($E194),1)&lt;=DATE(2027,3,1)),IF((MOD(DATEDIF(DATE(YEAR($E194),MONTH($E194),1),DATE(2027,3,1),"m"),IF($D194="Quarterly",3,IF($D194="Annual",12,1)))=0),IF((COUNTIFS(Xero_Raw!$D$4:$D$5003,$A194,Xero_Raw!$G$4:$G$5003,"*Subscription*",Xero_Raw!$A$4:$A$5003,"&gt;="&amp;DATE(2027,3,1),Xero_Raw!$A$4:$A$5003,"&lt;"&amp;EDATE(DATE(2027,3,1),1))+COUNTIFS(Customer_Invoices_Upload!$E$4:$E$5003,$A194,Customer_Invoices_Upload!$G$4:$G$5003,"*Subscription*",Customer_Invoices_Upload!$B$4:$B$5003,"&gt;="&amp;DATE(2027,3,1),Customer_Invoices_Upload!$B$4:$B$5003,"&lt;"&amp;EDATE(DATE(2027,3,1),1))+COUNTIFS(Stripe_Invoices_Upload!$D$4:$D$5003,$A194,Stripe_Invoices_Upload!$E$4:$E$5003,"*Subscription*",Stripe_Invoices_Upload!$A$4:$A$5003,"&gt;="&amp;DATE(2027,3,1),Stripe_Invoices_Upload!$A$4:$A$5003,"&lt;"&amp;EDATE(DATE(2027,3,1),1)))&gt;0,"✓ Invoiced","⚠ Due"),""),""))</f>
        <v/>
      </c>
    </row>
    <row r="195" customFormat="false" ht="15" hidden="false" customHeight="false" outlineLevel="0" collapsed="false">
      <c r="A195" s="39"/>
      <c r="B195" s="39"/>
      <c r="C195" s="40"/>
      <c r="D195" s="39"/>
      <c r="E195" s="38"/>
      <c r="F195" s="129" t="str">
        <f aca="true">IF($A195="","",EDATE($E195,DATEDIF($E195,TODAY(),"m")+1))</f>
        <v/>
      </c>
      <c r="G195" s="130" t="str">
        <f aca="false">IF($A195="","",IF((DATE(YEAR($E195),MONTH($E195),1)&lt;=DATE(2026,4,1)),IF((MOD(DATEDIF(DATE(YEAR($E195),MONTH($E195),1),DATE(2026,4,1),"m"),IF($D195="Quarterly",3,IF($D195="Annual",12,1)))=0),IF((COUNTIFS(Xero_Raw!$D$4:$D$5003,$A195,Xero_Raw!$G$4:$G$5003,"*Subscription*",Xero_Raw!$A$4:$A$5003,"&gt;="&amp;DATE(2026,4,1),Xero_Raw!$A$4:$A$5003,"&lt;"&amp;EDATE(DATE(2026,4,1),1))+COUNTIFS(Customer_Invoices_Upload!$E$4:$E$5003,$A195,Customer_Invoices_Upload!$G$4:$G$5003,"*Subscription*",Customer_Invoices_Upload!$B$4:$B$5003,"&gt;="&amp;DATE(2026,4,1),Customer_Invoices_Upload!$B$4:$B$5003,"&lt;"&amp;EDATE(DATE(2026,4,1),1))+COUNTIFS(Stripe_Invoices_Upload!$D$4:$D$5003,$A195,Stripe_Invoices_Upload!$E$4:$E$5003,"*Subscription*",Stripe_Invoices_Upload!$A$4:$A$5003,"&gt;="&amp;DATE(2026,4,1),Stripe_Invoices_Upload!$A$4:$A$5003,"&lt;"&amp;EDATE(DATE(2026,4,1),1)))&gt;0,"✓ Invoiced","⚠ Due"),""),""))</f>
        <v/>
      </c>
      <c r="H195" s="130" t="str">
        <f aca="false">IF($A195="","",IF((DATE(YEAR($E195),MONTH($E195),1)&lt;=DATE(2026,5,1)),IF((MOD(DATEDIF(DATE(YEAR($E195),MONTH($E195),1),DATE(2026,5,1),"m"),IF($D195="Quarterly",3,IF($D195="Annual",12,1)))=0),IF((COUNTIFS(Xero_Raw!$D$4:$D$5003,$A195,Xero_Raw!$G$4:$G$5003,"*Subscription*",Xero_Raw!$A$4:$A$5003,"&gt;="&amp;DATE(2026,5,1),Xero_Raw!$A$4:$A$5003,"&lt;"&amp;EDATE(DATE(2026,5,1),1))+COUNTIFS(Customer_Invoices_Upload!$E$4:$E$5003,$A195,Customer_Invoices_Upload!$G$4:$G$5003,"*Subscription*",Customer_Invoices_Upload!$B$4:$B$5003,"&gt;="&amp;DATE(2026,5,1),Customer_Invoices_Upload!$B$4:$B$5003,"&lt;"&amp;EDATE(DATE(2026,5,1),1))+COUNTIFS(Stripe_Invoices_Upload!$D$4:$D$5003,$A195,Stripe_Invoices_Upload!$E$4:$E$5003,"*Subscription*",Stripe_Invoices_Upload!$A$4:$A$5003,"&gt;="&amp;DATE(2026,5,1),Stripe_Invoices_Upload!$A$4:$A$5003,"&lt;"&amp;EDATE(DATE(2026,5,1),1)))&gt;0,"✓ Invoiced","⚠ Due"),""),""))</f>
        <v/>
      </c>
      <c r="I195" s="130" t="str">
        <f aca="false">IF($A195="","",IF((DATE(YEAR($E195),MONTH($E195),1)&lt;=DATE(2026,6,1)),IF((MOD(DATEDIF(DATE(YEAR($E195),MONTH($E195),1),DATE(2026,6,1),"m"),IF($D195="Quarterly",3,IF($D195="Annual",12,1)))=0),IF((COUNTIFS(Xero_Raw!$D$4:$D$5003,$A195,Xero_Raw!$G$4:$G$5003,"*Subscription*",Xero_Raw!$A$4:$A$5003,"&gt;="&amp;DATE(2026,6,1),Xero_Raw!$A$4:$A$5003,"&lt;"&amp;EDATE(DATE(2026,6,1),1))+COUNTIFS(Customer_Invoices_Upload!$E$4:$E$5003,$A195,Customer_Invoices_Upload!$G$4:$G$5003,"*Subscription*",Customer_Invoices_Upload!$B$4:$B$5003,"&gt;="&amp;DATE(2026,6,1),Customer_Invoices_Upload!$B$4:$B$5003,"&lt;"&amp;EDATE(DATE(2026,6,1),1))+COUNTIFS(Stripe_Invoices_Upload!$D$4:$D$5003,$A195,Stripe_Invoices_Upload!$E$4:$E$5003,"*Subscription*",Stripe_Invoices_Upload!$A$4:$A$5003,"&gt;="&amp;DATE(2026,6,1),Stripe_Invoices_Upload!$A$4:$A$5003,"&lt;"&amp;EDATE(DATE(2026,6,1),1)))&gt;0,"✓ Invoiced","⚠ Due"),""),""))</f>
        <v/>
      </c>
      <c r="J195" s="130" t="str">
        <f aca="false">IF($A195="","",IF((DATE(YEAR($E195),MONTH($E195),1)&lt;=DATE(2026,7,1)),IF((MOD(DATEDIF(DATE(YEAR($E195),MONTH($E195),1),DATE(2026,7,1),"m"),IF($D195="Quarterly",3,IF($D195="Annual",12,1)))=0),IF((COUNTIFS(Xero_Raw!$D$4:$D$5003,$A195,Xero_Raw!$G$4:$G$5003,"*Subscription*",Xero_Raw!$A$4:$A$5003,"&gt;="&amp;DATE(2026,7,1),Xero_Raw!$A$4:$A$5003,"&lt;"&amp;EDATE(DATE(2026,7,1),1))+COUNTIFS(Customer_Invoices_Upload!$E$4:$E$5003,$A195,Customer_Invoices_Upload!$G$4:$G$5003,"*Subscription*",Customer_Invoices_Upload!$B$4:$B$5003,"&gt;="&amp;DATE(2026,7,1),Customer_Invoices_Upload!$B$4:$B$5003,"&lt;"&amp;EDATE(DATE(2026,7,1),1))+COUNTIFS(Stripe_Invoices_Upload!$D$4:$D$5003,$A195,Stripe_Invoices_Upload!$E$4:$E$5003,"*Subscription*",Stripe_Invoices_Upload!$A$4:$A$5003,"&gt;="&amp;DATE(2026,7,1),Stripe_Invoices_Upload!$A$4:$A$5003,"&lt;"&amp;EDATE(DATE(2026,7,1),1)))&gt;0,"✓ Invoiced","⚠ Due"),""),""))</f>
        <v/>
      </c>
      <c r="K195" s="130" t="str">
        <f aca="false">IF($A195="","",IF((DATE(YEAR($E195),MONTH($E195),1)&lt;=DATE(2026,8,1)),IF((MOD(DATEDIF(DATE(YEAR($E195),MONTH($E195),1),DATE(2026,8,1),"m"),IF($D195="Quarterly",3,IF($D195="Annual",12,1)))=0),IF((COUNTIFS(Xero_Raw!$D$4:$D$5003,$A195,Xero_Raw!$G$4:$G$5003,"*Subscription*",Xero_Raw!$A$4:$A$5003,"&gt;="&amp;DATE(2026,8,1),Xero_Raw!$A$4:$A$5003,"&lt;"&amp;EDATE(DATE(2026,8,1),1))+COUNTIFS(Customer_Invoices_Upload!$E$4:$E$5003,$A195,Customer_Invoices_Upload!$G$4:$G$5003,"*Subscription*",Customer_Invoices_Upload!$B$4:$B$5003,"&gt;="&amp;DATE(2026,8,1),Customer_Invoices_Upload!$B$4:$B$5003,"&lt;"&amp;EDATE(DATE(2026,8,1),1))+COUNTIFS(Stripe_Invoices_Upload!$D$4:$D$5003,$A195,Stripe_Invoices_Upload!$E$4:$E$5003,"*Subscription*",Stripe_Invoices_Upload!$A$4:$A$5003,"&gt;="&amp;DATE(2026,8,1),Stripe_Invoices_Upload!$A$4:$A$5003,"&lt;"&amp;EDATE(DATE(2026,8,1),1)))&gt;0,"✓ Invoiced","⚠ Due"),""),""))</f>
        <v/>
      </c>
      <c r="L195" s="130" t="str">
        <f aca="false">IF($A195="","",IF((DATE(YEAR($E195),MONTH($E195),1)&lt;=DATE(2026,9,1)),IF((MOD(DATEDIF(DATE(YEAR($E195),MONTH($E195),1),DATE(2026,9,1),"m"),IF($D195="Quarterly",3,IF($D195="Annual",12,1)))=0),IF((COUNTIFS(Xero_Raw!$D$4:$D$5003,$A195,Xero_Raw!$G$4:$G$5003,"*Subscription*",Xero_Raw!$A$4:$A$5003,"&gt;="&amp;DATE(2026,9,1),Xero_Raw!$A$4:$A$5003,"&lt;"&amp;EDATE(DATE(2026,9,1),1))+COUNTIFS(Customer_Invoices_Upload!$E$4:$E$5003,$A195,Customer_Invoices_Upload!$G$4:$G$5003,"*Subscription*",Customer_Invoices_Upload!$B$4:$B$5003,"&gt;="&amp;DATE(2026,9,1),Customer_Invoices_Upload!$B$4:$B$5003,"&lt;"&amp;EDATE(DATE(2026,9,1),1))+COUNTIFS(Stripe_Invoices_Upload!$D$4:$D$5003,$A195,Stripe_Invoices_Upload!$E$4:$E$5003,"*Subscription*",Stripe_Invoices_Upload!$A$4:$A$5003,"&gt;="&amp;DATE(2026,9,1),Stripe_Invoices_Upload!$A$4:$A$5003,"&lt;"&amp;EDATE(DATE(2026,9,1),1)))&gt;0,"✓ Invoiced","⚠ Due"),""),""))</f>
        <v/>
      </c>
      <c r="M195" s="130" t="str">
        <f aca="false">IF($A195="","",IF((DATE(YEAR($E195),MONTH($E195),1)&lt;=DATE(2026,10,1)),IF((MOD(DATEDIF(DATE(YEAR($E195),MONTH($E195),1),DATE(2026,10,1),"m"),IF($D195="Quarterly",3,IF($D195="Annual",12,1)))=0),IF((COUNTIFS(Xero_Raw!$D$4:$D$5003,$A195,Xero_Raw!$G$4:$G$5003,"*Subscription*",Xero_Raw!$A$4:$A$5003,"&gt;="&amp;DATE(2026,10,1),Xero_Raw!$A$4:$A$5003,"&lt;"&amp;EDATE(DATE(2026,10,1),1))+COUNTIFS(Customer_Invoices_Upload!$E$4:$E$5003,$A195,Customer_Invoices_Upload!$G$4:$G$5003,"*Subscription*",Customer_Invoices_Upload!$B$4:$B$5003,"&gt;="&amp;DATE(2026,10,1),Customer_Invoices_Upload!$B$4:$B$5003,"&lt;"&amp;EDATE(DATE(2026,10,1),1))+COUNTIFS(Stripe_Invoices_Upload!$D$4:$D$5003,$A195,Stripe_Invoices_Upload!$E$4:$E$5003,"*Subscription*",Stripe_Invoices_Upload!$A$4:$A$5003,"&gt;="&amp;DATE(2026,10,1),Stripe_Invoices_Upload!$A$4:$A$5003,"&lt;"&amp;EDATE(DATE(2026,10,1),1)))&gt;0,"✓ Invoiced","⚠ Due"),""),""))</f>
        <v/>
      </c>
      <c r="N195" s="130" t="str">
        <f aca="false">IF($A195="","",IF((DATE(YEAR($E195),MONTH($E195),1)&lt;=DATE(2026,11,1)),IF((MOD(DATEDIF(DATE(YEAR($E195),MONTH($E195),1),DATE(2026,11,1),"m"),IF($D195="Quarterly",3,IF($D195="Annual",12,1)))=0),IF((COUNTIFS(Xero_Raw!$D$4:$D$5003,$A195,Xero_Raw!$G$4:$G$5003,"*Subscription*",Xero_Raw!$A$4:$A$5003,"&gt;="&amp;DATE(2026,11,1),Xero_Raw!$A$4:$A$5003,"&lt;"&amp;EDATE(DATE(2026,11,1),1))+COUNTIFS(Customer_Invoices_Upload!$E$4:$E$5003,$A195,Customer_Invoices_Upload!$G$4:$G$5003,"*Subscription*",Customer_Invoices_Upload!$B$4:$B$5003,"&gt;="&amp;DATE(2026,11,1),Customer_Invoices_Upload!$B$4:$B$5003,"&lt;"&amp;EDATE(DATE(2026,11,1),1))+COUNTIFS(Stripe_Invoices_Upload!$D$4:$D$5003,$A195,Stripe_Invoices_Upload!$E$4:$E$5003,"*Subscription*",Stripe_Invoices_Upload!$A$4:$A$5003,"&gt;="&amp;DATE(2026,11,1),Stripe_Invoices_Upload!$A$4:$A$5003,"&lt;"&amp;EDATE(DATE(2026,11,1),1)))&gt;0,"✓ Invoiced","⚠ Due"),""),""))</f>
        <v/>
      </c>
      <c r="O195" s="130" t="str">
        <f aca="false">IF($A195="","",IF((DATE(YEAR($E195),MONTH($E195),1)&lt;=DATE(2026,12,1)),IF((MOD(DATEDIF(DATE(YEAR($E195),MONTH($E195),1),DATE(2026,12,1),"m"),IF($D195="Quarterly",3,IF($D195="Annual",12,1)))=0),IF((COUNTIFS(Xero_Raw!$D$4:$D$5003,$A195,Xero_Raw!$G$4:$G$5003,"*Subscription*",Xero_Raw!$A$4:$A$5003,"&gt;="&amp;DATE(2026,12,1),Xero_Raw!$A$4:$A$5003,"&lt;"&amp;EDATE(DATE(2026,12,1),1))+COUNTIFS(Customer_Invoices_Upload!$E$4:$E$5003,$A195,Customer_Invoices_Upload!$G$4:$G$5003,"*Subscription*",Customer_Invoices_Upload!$B$4:$B$5003,"&gt;="&amp;DATE(2026,12,1),Customer_Invoices_Upload!$B$4:$B$5003,"&lt;"&amp;EDATE(DATE(2026,12,1),1))+COUNTIFS(Stripe_Invoices_Upload!$D$4:$D$5003,$A195,Stripe_Invoices_Upload!$E$4:$E$5003,"*Subscription*",Stripe_Invoices_Upload!$A$4:$A$5003,"&gt;="&amp;DATE(2026,12,1),Stripe_Invoices_Upload!$A$4:$A$5003,"&lt;"&amp;EDATE(DATE(2026,12,1),1)))&gt;0,"✓ Invoiced","⚠ Due"),""),""))</f>
        <v/>
      </c>
      <c r="P195" s="130" t="str">
        <f aca="false">IF($A195="","",IF((DATE(YEAR($E195),MONTH($E195),1)&lt;=DATE(2027,1,1)),IF((MOD(DATEDIF(DATE(YEAR($E195),MONTH($E195),1),DATE(2027,1,1),"m"),IF($D195="Quarterly",3,IF($D195="Annual",12,1)))=0),IF((COUNTIFS(Xero_Raw!$D$4:$D$5003,$A195,Xero_Raw!$G$4:$G$5003,"*Subscription*",Xero_Raw!$A$4:$A$5003,"&gt;="&amp;DATE(2027,1,1),Xero_Raw!$A$4:$A$5003,"&lt;"&amp;EDATE(DATE(2027,1,1),1))+COUNTIFS(Customer_Invoices_Upload!$E$4:$E$5003,$A195,Customer_Invoices_Upload!$G$4:$G$5003,"*Subscription*",Customer_Invoices_Upload!$B$4:$B$5003,"&gt;="&amp;DATE(2027,1,1),Customer_Invoices_Upload!$B$4:$B$5003,"&lt;"&amp;EDATE(DATE(2027,1,1),1))+COUNTIFS(Stripe_Invoices_Upload!$D$4:$D$5003,$A195,Stripe_Invoices_Upload!$E$4:$E$5003,"*Subscription*",Stripe_Invoices_Upload!$A$4:$A$5003,"&gt;="&amp;DATE(2027,1,1),Stripe_Invoices_Upload!$A$4:$A$5003,"&lt;"&amp;EDATE(DATE(2027,1,1),1)))&gt;0,"✓ Invoiced","⚠ Due"),""),""))</f>
        <v/>
      </c>
      <c r="Q195" s="130" t="str">
        <f aca="false">IF($A195="","",IF((DATE(YEAR($E195),MONTH($E195),1)&lt;=DATE(2027,2,1)),IF((MOD(DATEDIF(DATE(YEAR($E195),MONTH($E195),1),DATE(2027,2,1),"m"),IF($D195="Quarterly",3,IF($D195="Annual",12,1)))=0),IF((COUNTIFS(Xero_Raw!$D$4:$D$5003,$A195,Xero_Raw!$G$4:$G$5003,"*Subscription*",Xero_Raw!$A$4:$A$5003,"&gt;="&amp;DATE(2027,2,1),Xero_Raw!$A$4:$A$5003,"&lt;"&amp;EDATE(DATE(2027,2,1),1))+COUNTIFS(Customer_Invoices_Upload!$E$4:$E$5003,$A195,Customer_Invoices_Upload!$G$4:$G$5003,"*Subscription*",Customer_Invoices_Upload!$B$4:$B$5003,"&gt;="&amp;DATE(2027,2,1),Customer_Invoices_Upload!$B$4:$B$5003,"&lt;"&amp;EDATE(DATE(2027,2,1),1))+COUNTIFS(Stripe_Invoices_Upload!$D$4:$D$5003,$A195,Stripe_Invoices_Upload!$E$4:$E$5003,"*Subscription*",Stripe_Invoices_Upload!$A$4:$A$5003,"&gt;="&amp;DATE(2027,2,1),Stripe_Invoices_Upload!$A$4:$A$5003,"&lt;"&amp;EDATE(DATE(2027,2,1),1)))&gt;0,"✓ Invoiced","⚠ Due"),""),""))</f>
        <v/>
      </c>
      <c r="R195" s="130" t="str">
        <f aca="false">IF($A195="","",IF((DATE(YEAR($E195),MONTH($E195),1)&lt;=DATE(2027,3,1)),IF((MOD(DATEDIF(DATE(YEAR($E195),MONTH($E195),1),DATE(2027,3,1),"m"),IF($D195="Quarterly",3,IF($D195="Annual",12,1)))=0),IF((COUNTIFS(Xero_Raw!$D$4:$D$5003,$A195,Xero_Raw!$G$4:$G$5003,"*Subscription*",Xero_Raw!$A$4:$A$5003,"&gt;="&amp;DATE(2027,3,1),Xero_Raw!$A$4:$A$5003,"&lt;"&amp;EDATE(DATE(2027,3,1),1))+COUNTIFS(Customer_Invoices_Upload!$E$4:$E$5003,$A195,Customer_Invoices_Upload!$G$4:$G$5003,"*Subscription*",Customer_Invoices_Upload!$B$4:$B$5003,"&gt;="&amp;DATE(2027,3,1),Customer_Invoices_Upload!$B$4:$B$5003,"&lt;"&amp;EDATE(DATE(2027,3,1),1))+COUNTIFS(Stripe_Invoices_Upload!$D$4:$D$5003,$A195,Stripe_Invoices_Upload!$E$4:$E$5003,"*Subscription*",Stripe_Invoices_Upload!$A$4:$A$5003,"&gt;="&amp;DATE(2027,3,1),Stripe_Invoices_Upload!$A$4:$A$5003,"&lt;"&amp;EDATE(DATE(2027,3,1),1)))&gt;0,"✓ Invoiced","⚠ Due"),""),""))</f>
        <v/>
      </c>
    </row>
    <row r="196" customFormat="false" ht="15" hidden="false" customHeight="false" outlineLevel="0" collapsed="false">
      <c r="A196" s="39"/>
      <c r="B196" s="39"/>
      <c r="C196" s="40"/>
      <c r="D196" s="39"/>
      <c r="E196" s="38"/>
      <c r="F196" s="129" t="str">
        <f aca="true">IF($A196="","",EDATE($E196,DATEDIF($E196,TODAY(),"m")+1))</f>
        <v/>
      </c>
      <c r="G196" s="130" t="str">
        <f aca="false">IF($A196="","",IF((DATE(YEAR($E196),MONTH($E196),1)&lt;=DATE(2026,4,1)),IF((MOD(DATEDIF(DATE(YEAR($E196),MONTH($E196),1),DATE(2026,4,1),"m"),IF($D196="Quarterly",3,IF($D196="Annual",12,1)))=0),IF((COUNTIFS(Xero_Raw!$D$4:$D$5003,$A196,Xero_Raw!$G$4:$G$5003,"*Subscription*",Xero_Raw!$A$4:$A$5003,"&gt;="&amp;DATE(2026,4,1),Xero_Raw!$A$4:$A$5003,"&lt;"&amp;EDATE(DATE(2026,4,1),1))+COUNTIFS(Customer_Invoices_Upload!$E$4:$E$5003,$A196,Customer_Invoices_Upload!$G$4:$G$5003,"*Subscription*",Customer_Invoices_Upload!$B$4:$B$5003,"&gt;="&amp;DATE(2026,4,1),Customer_Invoices_Upload!$B$4:$B$5003,"&lt;"&amp;EDATE(DATE(2026,4,1),1))+COUNTIFS(Stripe_Invoices_Upload!$D$4:$D$5003,$A196,Stripe_Invoices_Upload!$E$4:$E$5003,"*Subscription*",Stripe_Invoices_Upload!$A$4:$A$5003,"&gt;="&amp;DATE(2026,4,1),Stripe_Invoices_Upload!$A$4:$A$5003,"&lt;"&amp;EDATE(DATE(2026,4,1),1)))&gt;0,"✓ Invoiced","⚠ Due"),""),""))</f>
        <v/>
      </c>
      <c r="H196" s="130" t="str">
        <f aca="false">IF($A196="","",IF((DATE(YEAR($E196),MONTH($E196),1)&lt;=DATE(2026,5,1)),IF((MOD(DATEDIF(DATE(YEAR($E196),MONTH($E196),1),DATE(2026,5,1),"m"),IF($D196="Quarterly",3,IF($D196="Annual",12,1)))=0),IF((COUNTIFS(Xero_Raw!$D$4:$D$5003,$A196,Xero_Raw!$G$4:$G$5003,"*Subscription*",Xero_Raw!$A$4:$A$5003,"&gt;="&amp;DATE(2026,5,1),Xero_Raw!$A$4:$A$5003,"&lt;"&amp;EDATE(DATE(2026,5,1),1))+COUNTIFS(Customer_Invoices_Upload!$E$4:$E$5003,$A196,Customer_Invoices_Upload!$G$4:$G$5003,"*Subscription*",Customer_Invoices_Upload!$B$4:$B$5003,"&gt;="&amp;DATE(2026,5,1),Customer_Invoices_Upload!$B$4:$B$5003,"&lt;"&amp;EDATE(DATE(2026,5,1),1))+COUNTIFS(Stripe_Invoices_Upload!$D$4:$D$5003,$A196,Stripe_Invoices_Upload!$E$4:$E$5003,"*Subscription*",Stripe_Invoices_Upload!$A$4:$A$5003,"&gt;="&amp;DATE(2026,5,1),Stripe_Invoices_Upload!$A$4:$A$5003,"&lt;"&amp;EDATE(DATE(2026,5,1),1)))&gt;0,"✓ Invoiced","⚠ Due"),""),""))</f>
        <v/>
      </c>
      <c r="I196" s="130" t="str">
        <f aca="false">IF($A196="","",IF((DATE(YEAR($E196),MONTH($E196),1)&lt;=DATE(2026,6,1)),IF((MOD(DATEDIF(DATE(YEAR($E196),MONTH($E196),1),DATE(2026,6,1),"m"),IF($D196="Quarterly",3,IF($D196="Annual",12,1)))=0),IF((COUNTIFS(Xero_Raw!$D$4:$D$5003,$A196,Xero_Raw!$G$4:$G$5003,"*Subscription*",Xero_Raw!$A$4:$A$5003,"&gt;="&amp;DATE(2026,6,1),Xero_Raw!$A$4:$A$5003,"&lt;"&amp;EDATE(DATE(2026,6,1),1))+COUNTIFS(Customer_Invoices_Upload!$E$4:$E$5003,$A196,Customer_Invoices_Upload!$G$4:$G$5003,"*Subscription*",Customer_Invoices_Upload!$B$4:$B$5003,"&gt;="&amp;DATE(2026,6,1),Customer_Invoices_Upload!$B$4:$B$5003,"&lt;"&amp;EDATE(DATE(2026,6,1),1))+COUNTIFS(Stripe_Invoices_Upload!$D$4:$D$5003,$A196,Stripe_Invoices_Upload!$E$4:$E$5003,"*Subscription*",Stripe_Invoices_Upload!$A$4:$A$5003,"&gt;="&amp;DATE(2026,6,1),Stripe_Invoices_Upload!$A$4:$A$5003,"&lt;"&amp;EDATE(DATE(2026,6,1),1)))&gt;0,"✓ Invoiced","⚠ Due"),""),""))</f>
        <v/>
      </c>
      <c r="J196" s="130" t="str">
        <f aca="false">IF($A196="","",IF((DATE(YEAR($E196),MONTH($E196),1)&lt;=DATE(2026,7,1)),IF((MOD(DATEDIF(DATE(YEAR($E196),MONTH($E196),1),DATE(2026,7,1),"m"),IF($D196="Quarterly",3,IF($D196="Annual",12,1)))=0),IF((COUNTIFS(Xero_Raw!$D$4:$D$5003,$A196,Xero_Raw!$G$4:$G$5003,"*Subscription*",Xero_Raw!$A$4:$A$5003,"&gt;="&amp;DATE(2026,7,1),Xero_Raw!$A$4:$A$5003,"&lt;"&amp;EDATE(DATE(2026,7,1),1))+COUNTIFS(Customer_Invoices_Upload!$E$4:$E$5003,$A196,Customer_Invoices_Upload!$G$4:$G$5003,"*Subscription*",Customer_Invoices_Upload!$B$4:$B$5003,"&gt;="&amp;DATE(2026,7,1),Customer_Invoices_Upload!$B$4:$B$5003,"&lt;"&amp;EDATE(DATE(2026,7,1),1))+COUNTIFS(Stripe_Invoices_Upload!$D$4:$D$5003,$A196,Stripe_Invoices_Upload!$E$4:$E$5003,"*Subscription*",Stripe_Invoices_Upload!$A$4:$A$5003,"&gt;="&amp;DATE(2026,7,1),Stripe_Invoices_Upload!$A$4:$A$5003,"&lt;"&amp;EDATE(DATE(2026,7,1),1)))&gt;0,"✓ Invoiced","⚠ Due"),""),""))</f>
        <v/>
      </c>
      <c r="K196" s="130" t="str">
        <f aca="false">IF($A196="","",IF((DATE(YEAR($E196),MONTH($E196),1)&lt;=DATE(2026,8,1)),IF((MOD(DATEDIF(DATE(YEAR($E196),MONTH($E196),1),DATE(2026,8,1),"m"),IF($D196="Quarterly",3,IF($D196="Annual",12,1)))=0),IF((COUNTIFS(Xero_Raw!$D$4:$D$5003,$A196,Xero_Raw!$G$4:$G$5003,"*Subscription*",Xero_Raw!$A$4:$A$5003,"&gt;="&amp;DATE(2026,8,1),Xero_Raw!$A$4:$A$5003,"&lt;"&amp;EDATE(DATE(2026,8,1),1))+COUNTIFS(Customer_Invoices_Upload!$E$4:$E$5003,$A196,Customer_Invoices_Upload!$G$4:$G$5003,"*Subscription*",Customer_Invoices_Upload!$B$4:$B$5003,"&gt;="&amp;DATE(2026,8,1),Customer_Invoices_Upload!$B$4:$B$5003,"&lt;"&amp;EDATE(DATE(2026,8,1),1))+COUNTIFS(Stripe_Invoices_Upload!$D$4:$D$5003,$A196,Stripe_Invoices_Upload!$E$4:$E$5003,"*Subscription*",Stripe_Invoices_Upload!$A$4:$A$5003,"&gt;="&amp;DATE(2026,8,1),Stripe_Invoices_Upload!$A$4:$A$5003,"&lt;"&amp;EDATE(DATE(2026,8,1),1)))&gt;0,"✓ Invoiced","⚠ Due"),""),""))</f>
        <v/>
      </c>
      <c r="L196" s="130" t="str">
        <f aca="false">IF($A196="","",IF((DATE(YEAR($E196),MONTH($E196),1)&lt;=DATE(2026,9,1)),IF((MOD(DATEDIF(DATE(YEAR($E196),MONTH($E196),1),DATE(2026,9,1),"m"),IF($D196="Quarterly",3,IF($D196="Annual",12,1)))=0),IF((COUNTIFS(Xero_Raw!$D$4:$D$5003,$A196,Xero_Raw!$G$4:$G$5003,"*Subscription*",Xero_Raw!$A$4:$A$5003,"&gt;="&amp;DATE(2026,9,1),Xero_Raw!$A$4:$A$5003,"&lt;"&amp;EDATE(DATE(2026,9,1),1))+COUNTIFS(Customer_Invoices_Upload!$E$4:$E$5003,$A196,Customer_Invoices_Upload!$G$4:$G$5003,"*Subscription*",Customer_Invoices_Upload!$B$4:$B$5003,"&gt;="&amp;DATE(2026,9,1),Customer_Invoices_Upload!$B$4:$B$5003,"&lt;"&amp;EDATE(DATE(2026,9,1),1))+COUNTIFS(Stripe_Invoices_Upload!$D$4:$D$5003,$A196,Stripe_Invoices_Upload!$E$4:$E$5003,"*Subscription*",Stripe_Invoices_Upload!$A$4:$A$5003,"&gt;="&amp;DATE(2026,9,1),Stripe_Invoices_Upload!$A$4:$A$5003,"&lt;"&amp;EDATE(DATE(2026,9,1),1)))&gt;0,"✓ Invoiced","⚠ Due"),""),""))</f>
        <v/>
      </c>
      <c r="M196" s="130" t="str">
        <f aca="false">IF($A196="","",IF((DATE(YEAR($E196),MONTH($E196),1)&lt;=DATE(2026,10,1)),IF((MOD(DATEDIF(DATE(YEAR($E196),MONTH($E196),1),DATE(2026,10,1),"m"),IF($D196="Quarterly",3,IF($D196="Annual",12,1)))=0),IF((COUNTIFS(Xero_Raw!$D$4:$D$5003,$A196,Xero_Raw!$G$4:$G$5003,"*Subscription*",Xero_Raw!$A$4:$A$5003,"&gt;="&amp;DATE(2026,10,1),Xero_Raw!$A$4:$A$5003,"&lt;"&amp;EDATE(DATE(2026,10,1),1))+COUNTIFS(Customer_Invoices_Upload!$E$4:$E$5003,$A196,Customer_Invoices_Upload!$G$4:$G$5003,"*Subscription*",Customer_Invoices_Upload!$B$4:$B$5003,"&gt;="&amp;DATE(2026,10,1),Customer_Invoices_Upload!$B$4:$B$5003,"&lt;"&amp;EDATE(DATE(2026,10,1),1))+COUNTIFS(Stripe_Invoices_Upload!$D$4:$D$5003,$A196,Stripe_Invoices_Upload!$E$4:$E$5003,"*Subscription*",Stripe_Invoices_Upload!$A$4:$A$5003,"&gt;="&amp;DATE(2026,10,1),Stripe_Invoices_Upload!$A$4:$A$5003,"&lt;"&amp;EDATE(DATE(2026,10,1),1)))&gt;0,"✓ Invoiced","⚠ Due"),""),""))</f>
        <v/>
      </c>
      <c r="N196" s="130" t="str">
        <f aca="false">IF($A196="","",IF((DATE(YEAR($E196),MONTH($E196),1)&lt;=DATE(2026,11,1)),IF((MOD(DATEDIF(DATE(YEAR($E196),MONTH($E196),1),DATE(2026,11,1),"m"),IF($D196="Quarterly",3,IF($D196="Annual",12,1)))=0),IF((COUNTIFS(Xero_Raw!$D$4:$D$5003,$A196,Xero_Raw!$G$4:$G$5003,"*Subscription*",Xero_Raw!$A$4:$A$5003,"&gt;="&amp;DATE(2026,11,1),Xero_Raw!$A$4:$A$5003,"&lt;"&amp;EDATE(DATE(2026,11,1),1))+COUNTIFS(Customer_Invoices_Upload!$E$4:$E$5003,$A196,Customer_Invoices_Upload!$G$4:$G$5003,"*Subscription*",Customer_Invoices_Upload!$B$4:$B$5003,"&gt;="&amp;DATE(2026,11,1),Customer_Invoices_Upload!$B$4:$B$5003,"&lt;"&amp;EDATE(DATE(2026,11,1),1))+COUNTIFS(Stripe_Invoices_Upload!$D$4:$D$5003,$A196,Stripe_Invoices_Upload!$E$4:$E$5003,"*Subscription*",Stripe_Invoices_Upload!$A$4:$A$5003,"&gt;="&amp;DATE(2026,11,1),Stripe_Invoices_Upload!$A$4:$A$5003,"&lt;"&amp;EDATE(DATE(2026,11,1),1)))&gt;0,"✓ Invoiced","⚠ Due"),""),""))</f>
        <v/>
      </c>
      <c r="O196" s="130" t="str">
        <f aca="false">IF($A196="","",IF((DATE(YEAR($E196),MONTH($E196),1)&lt;=DATE(2026,12,1)),IF((MOD(DATEDIF(DATE(YEAR($E196),MONTH($E196),1),DATE(2026,12,1),"m"),IF($D196="Quarterly",3,IF($D196="Annual",12,1)))=0),IF((COUNTIFS(Xero_Raw!$D$4:$D$5003,$A196,Xero_Raw!$G$4:$G$5003,"*Subscription*",Xero_Raw!$A$4:$A$5003,"&gt;="&amp;DATE(2026,12,1),Xero_Raw!$A$4:$A$5003,"&lt;"&amp;EDATE(DATE(2026,12,1),1))+COUNTIFS(Customer_Invoices_Upload!$E$4:$E$5003,$A196,Customer_Invoices_Upload!$G$4:$G$5003,"*Subscription*",Customer_Invoices_Upload!$B$4:$B$5003,"&gt;="&amp;DATE(2026,12,1),Customer_Invoices_Upload!$B$4:$B$5003,"&lt;"&amp;EDATE(DATE(2026,12,1),1))+COUNTIFS(Stripe_Invoices_Upload!$D$4:$D$5003,$A196,Stripe_Invoices_Upload!$E$4:$E$5003,"*Subscription*",Stripe_Invoices_Upload!$A$4:$A$5003,"&gt;="&amp;DATE(2026,12,1),Stripe_Invoices_Upload!$A$4:$A$5003,"&lt;"&amp;EDATE(DATE(2026,12,1),1)))&gt;0,"✓ Invoiced","⚠ Due"),""),""))</f>
        <v/>
      </c>
      <c r="P196" s="130" t="str">
        <f aca="false">IF($A196="","",IF((DATE(YEAR($E196),MONTH($E196),1)&lt;=DATE(2027,1,1)),IF((MOD(DATEDIF(DATE(YEAR($E196),MONTH($E196),1),DATE(2027,1,1),"m"),IF($D196="Quarterly",3,IF($D196="Annual",12,1)))=0),IF((COUNTIFS(Xero_Raw!$D$4:$D$5003,$A196,Xero_Raw!$G$4:$G$5003,"*Subscription*",Xero_Raw!$A$4:$A$5003,"&gt;="&amp;DATE(2027,1,1),Xero_Raw!$A$4:$A$5003,"&lt;"&amp;EDATE(DATE(2027,1,1),1))+COUNTIFS(Customer_Invoices_Upload!$E$4:$E$5003,$A196,Customer_Invoices_Upload!$G$4:$G$5003,"*Subscription*",Customer_Invoices_Upload!$B$4:$B$5003,"&gt;="&amp;DATE(2027,1,1),Customer_Invoices_Upload!$B$4:$B$5003,"&lt;"&amp;EDATE(DATE(2027,1,1),1))+COUNTIFS(Stripe_Invoices_Upload!$D$4:$D$5003,$A196,Stripe_Invoices_Upload!$E$4:$E$5003,"*Subscription*",Stripe_Invoices_Upload!$A$4:$A$5003,"&gt;="&amp;DATE(2027,1,1),Stripe_Invoices_Upload!$A$4:$A$5003,"&lt;"&amp;EDATE(DATE(2027,1,1),1)))&gt;0,"✓ Invoiced","⚠ Due"),""),""))</f>
        <v/>
      </c>
      <c r="Q196" s="130" t="str">
        <f aca="false">IF($A196="","",IF((DATE(YEAR($E196),MONTH($E196),1)&lt;=DATE(2027,2,1)),IF((MOD(DATEDIF(DATE(YEAR($E196),MONTH($E196),1),DATE(2027,2,1),"m"),IF($D196="Quarterly",3,IF($D196="Annual",12,1)))=0),IF((COUNTIFS(Xero_Raw!$D$4:$D$5003,$A196,Xero_Raw!$G$4:$G$5003,"*Subscription*",Xero_Raw!$A$4:$A$5003,"&gt;="&amp;DATE(2027,2,1),Xero_Raw!$A$4:$A$5003,"&lt;"&amp;EDATE(DATE(2027,2,1),1))+COUNTIFS(Customer_Invoices_Upload!$E$4:$E$5003,$A196,Customer_Invoices_Upload!$G$4:$G$5003,"*Subscription*",Customer_Invoices_Upload!$B$4:$B$5003,"&gt;="&amp;DATE(2027,2,1),Customer_Invoices_Upload!$B$4:$B$5003,"&lt;"&amp;EDATE(DATE(2027,2,1),1))+COUNTIFS(Stripe_Invoices_Upload!$D$4:$D$5003,$A196,Stripe_Invoices_Upload!$E$4:$E$5003,"*Subscription*",Stripe_Invoices_Upload!$A$4:$A$5003,"&gt;="&amp;DATE(2027,2,1),Stripe_Invoices_Upload!$A$4:$A$5003,"&lt;"&amp;EDATE(DATE(2027,2,1),1)))&gt;0,"✓ Invoiced","⚠ Due"),""),""))</f>
        <v/>
      </c>
      <c r="R196" s="130" t="str">
        <f aca="false">IF($A196="","",IF((DATE(YEAR($E196),MONTH($E196),1)&lt;=DATE(2027,3,1)),IF((MOD(DATEDIF(DATE(YEAR($E196),MONTH($E196),1),DATE(2027,3,1),"m"),IF($D196="Quarterly",3,IF($D196="Annual",12,1)))=0),IF((COUNTIFS(Xero_Raw!$D$4:$D$5003,$A196,Xero_Raw!$G$4:$G$5003,"*Subscription*",Xero_Raw!$A$4:$A$5003,"&gt;="&amp;DATE(2027,3,1),Xero_Raw!$A$4:$A$5003,"&lt;"&amp;EDATE(DATE(2027,3,1),1))+COUNTIFS(Customer_Invoices_Upload!$E$4:$E$5003,$A196,Customer_Invoices_Upload!$G$4:$G$5003,"*Subscription*",Customer_Invoices_Upload!$B$4:$B$5003,"&gt;="&amp;DATE(2027,3,1),Customer_Invoices_Upload!$B$4:$B$5003,"&lt;"&amp;EDATE(DATE(2027,3,1),1))+COUNTIFS(Stripe_Invoices_Upload!$D$4:$D$5003,$A196,Stripe_Invoices_Upload!$E$4:$E$5003,"*Subscription*",Stripe_Invoices_Upload!$A$4:$A$5003,"&gt;="&amp;DATE(2027,3,1),Stripe_Invoices_Upload!$A$4:$A$5003,"&lt;"&amp;EDATE(DATE(2027,3,1),1)))&gt;0,"✓ Invoiced","⚠ Due"),""),""))</f>
        <v/>
      </c>
    </row>
    <row r="197" customFormat="false" ht="15" hidden="false" customHeight="false" outlineLevel="0" collapsed="false">
      <c r="A197" s="39"/>
      <c r="B197" s="39"/>
      <c r="C197" s="40"/>
      <c r="D197" s="39"/>
      <c r="E197" s="38"/>
      <c r="F197" s="129" t="str">
        <f aca="true">IF($A197="","",EDATE($E197,DATEDIF($E197,TODAY(),"m")+1))</f>
        <v/>
      </c>
      <c r="G197" s="130" t="str">
        <f aca="false">IF($A197="","",IF((DATE(YEAR($E197),MONTH($E197),1)&lt;=DATE(2026,4,1)),IF((MOD(DATEDIF(DATE(YEAR($E197),MONTH($E197),1),DATE(2026,4,1),"m"),IF($D197="Quarterly",3,IF($D197="Annual",12,1)))=0),IF((COUNTIFS(Xero_Raw!$D$4:$D$5003,$A197,Xero_Raw!$G$4:$G$5003,"*Subscription*",Xero_Raw!$A$4:$A$5003,"&gt;="&amp;DATE(2026,4,1),Xero_Raw!$A$4:$A$5003,"&lt;"&amp;EDATE(DATE(2026,4,1),1))+COUNTIFS(Customer_Invoices_Upload!$E$4:$E$5003,$A197,Customer_Invoices_Upload!$G$4:$G$5003,"*Subscription*",Customer_Invoices_Upload!$B$4:$B$5003,"&gt;="&amp;DATE(2026,4,1),Customer_Invoices_Upload!$B$4:$B$5003,"&lt;"&amp;EDATE(DATE(2026,4,1),1))+COUNTIFS(Stripe_Invoices_Upload!$D$4:$D$5003,$A197,Stripe_Invoices_Upload!$E$4:$E$5003,"*Subscription*",Stripe_Invoices_Upload!$A$4:$A$5003,"&gt;="&amp;DATE(2026,4,1),Stripe_Invoices_Upload!$A$4:$A$5003,"&lt;"&amp;EDATE(DATE(2026,4,1),1)))&gt;0,"✓ Invoiced","⚠ Due"),""),""))</f>
        <v/>
      </c>
      <c r="H197" s="130" t="str">
        <f aca="false">IF($A197="","",IF((DATE(YEAR($E197),MONTH($E197),1)&lt;=DATE(2026,5,1)),IF((MOD(DATEDIF(DATE(YEAR($E197),MONTH($E197),1),DATE(2026,5,1),"m"),IF($D197="Quarterly",3,IF($D197="Annual",12,1)))=0),IF((COUNTIFS(Xero_Raw!$D$4:$D$5003,$A197,Xero_Raw!$G$4:$G$5003,"*Subscription*",Xero_Raw!$A$4:$A$5003,"&gt;="&amp;DATE(2026,5,1),Xero_Raw!$A$4:$A$5003,"&lt;"&amp;EDATE(DATE(2026,5,1),1))+COUNTIFS(Customer_Invoices_Upload!$E$4:$E$5003,$A197,Customer_Invoices_Upload!$G$4:$G$5003,"*Subscription*",Customer_Invoices_Upload!$B$4:$B$5003,"&gt;="&amp;DATE(2026,5,1),Customer_Invoices_Upload!$B$4:$B$5003,"&lt;"&amp;EDATE(DATE(2026,5,1),1))+COUNTIFS(Stripe_Invoices_Upload!$D$4:$D$5003,$A197,Stripe_Invoices_Upload!$E$4:$E$5003,"*Subscription*",Stripe_Invoices_Upload!$A$4:$A$5003,"&gt;="&amp;DATE(2026,5,1),Stripe_Invoices_Upload!$A$4:$A$5003,"&lt;"&amp;EDATE(DATE(2026,5,1),1)))&gt;0,"✓ Invoiced","⚠ Due"),""),""))</f>
        <v/>
      </c>
      <c r="I197" s="130" t="str">
        <f aca="false">IF($A197="","",IF((DATE(YEAR($E197),MONTH($E197),1)&lt;=DATE(2026,6,1)),IF((MOD(DATEDIF(DATE(YEAR($E197),MONTH($E197),1),DATE(2026,6,1),"m"),IF($D197="Quarterly",3,IF($D197="Annual",12,1)))=0),IF((COUNTIFS(Xero_Raw!$D$4:$D$5003,$A197,Xero_Raw!$G$4:$G$5003,"*Subscription*",Xero_Raw!$A$4:$A$5003,"&gt;="&amp;DATE(2026,6,1),Xero_Raw!$A$4:$A$5003,"&lt;"&amp;EDATE(DATE(2026,6,1),1))+COUNTIFS(Customer_Invoices_Upload!$E$4:$E$5003,$A197,Customer_Invoices_Upload!$G$4:$G$5003,"*Subscription*",Customer_Invoices_Upload!$B$4:$B$5003,"&gt;="&amp;DATE(2026,6,1),Customer_Invoices_Upload!$B$4:$B$5003,"&lt;"&amp;EDATE(DATE(2026,6,1),1))+COUNTIFS(Stripe_Invoices_Upload!$D$4:$D$5003,$A197,Stripe_Invoices_Upload!$E$4:$E$5003,"*Subscription*",Stripe_Invoices_Upload!$A$4:$A$5003,"&gt;="&amp;DATE(2026,6,1),Stripe_Invoices_Upload!$A$4:$A$5003,"&lt;"&amp;EDATE(DATE(2026,6,1),1)))&gt;0,"✓ Invoiced","⚠ Due"),""),""))</f>
        <v/>
      </c>
      <c r="J197" s="130" t="str">
        <f aca="false">IF($A197="","",IF((DATE(YEAR($E197),MONTH($E197),1)&lt;=DATE(2026,7,1)),IF((MOD(DATEDIF(DATE(YEAR($E197),MONTH($E197),1),DATE(2026,7,1),"m"),IF($D197="Quarterly",3,IF($D197="Annual",12,1)))=0),IF((COUNTIFS(Xero_Raw!$D$4:$D$5003,$A197,Xero_Raw!$G$4:$G$5003,"*Subscription*",Xero_Raw!$A$4:$A$5003,"&gt;="&amp;DATE(2026,7,1),Xero_Raw!$A$4:$A$5003,"&lt;"&amp;EDATE(DATE(2026,7,1),1))+COUNTIFS(Customer_Invoices_Upload!$E$4:$E$5003,$A197,Customer_Invoices_Upload!$G$4:$G$5003,"*Subscription*",Customer_Invoices_Upload!$B$4:$B$5003,"&gt;="&amp;DATE(2026,7,1),Customer_Invoices_Upload!$B$4:$B$5003,"&lt;"&amp;EDATE(DATE(2026,7,1),1))+COUNTIFS(Stripe_Invoices_Upload!$D$4:$D$5003,$A197,Stripe_Invoices_Upload!$E$4:$E$5003,"*Subscription*",Stripe_Invoices_Upload!$A$4:$A$5003,"&gt;="&amp;DATE(2026,7,1),Stripe_Invoices_Upload!$A$4:$A$5003,"&lt;"&amp;EDATE(DATE(2026,7,1),1)))&gt;0,"✓ Invoiced","⚠ Due"),""),""))</f>
        <v/>
      </c>
      <c r="K197" s="130" t="str">
        <f aca="false">IF($A197="","",IF((DATE(YEAR($E197),MONTH($E197),1)&lt;=DATE(2026,8,1)),IF((MOD(DATEDIF(DATE(YEAR($E197),MONTH($E197),1),DATE(2026,8,1),"m"),IF($D197="Quarterly",3,IF($D197="Annual",12,1)))=0),IF((COUNTIFS(Xero_Raw!$D$4:$D$5003,$A197,Xero_Raw!$G$4:$G$5003,"*Subscription*",Xero_Raw!$A$4:$A$5003,"&gt;="&amp;DATE(2026,8,1),Xero_Raw!$A$4:$A$5003,"&lt;"&amp;EDATE(DATE(2026,8,1),1))+COUNTIFS(Customer_Invoices_Upload!$E$4:$E$5003,$A197,Customer_Invoices_Upload!$G$4:$G$5003,"*Subscription*",Customer_Invoices_Upload!$B$4:$B$5003,"&gt;="&amp;DATE(2026,8,1),Customer_Invoices_Upload!$B$4:$B$5003,"&lt;"&amp;EDATE(DATE(2026,8,1),1))+COUNTIFS(Stripe_Invoices_Upload!$D$4:$D$5003,$A197,Stripe_Invoices_Upload!$E$4:$E$5003,"*Subscription*",Stripe_Invoices_Upload!$A$4:$A$5003,"&gt;="&amp;DATE(2026,8,1),Stripe_Invoices_Upload!$A$4:$A$5003,"&lt;"&amp;EDATE(DATE(2026,8,1),1)))&gt;0,"✓ Invoiced","⚠ Due"),""),""))</f>
        <v/>
      </c>
      <c r="L197" s="130" t="str">
        <f aca="false">IF($A197="","",IF((DATE(YEAR($E197),MONTH($E197),1)&lt;=DATE(2026,9,1)),IF((MOD(DATEDIF(DATE(YEAR($E197),MONTH($E197),1),DATE(2026,9,1),"m"),IF($D197="Quarterly",3,IF($D197="Annual",12,1)))=0),IF((COUNTIFS(Xero_Raw!$D$4:$D$5003,$A197,Xero_Raw!$G$4:$G$5003,"*Subscription*",Xero_Raw!$A$4:$A$5003,"&gt;="&amp;DATE(2026,9,1),Xero_Raw!$A$4:$A$5003,"&lt;"&amp;EDATE(DATE(2026,9,1),1))+COUNTIFS(Customer_Invoices_Upload!$E$4:$E$5003,$A197,Customer_Invoices_Upload!$G$4:$G$5003,"*Subscription*",Customer_Invoices_Upload!$B$4:$B$5003,"&gt;="&amp;DATE(2026,9,1),Customer_Invoices_Upload!$B$4:$B$5003,"&lt;"&amp;EDATE(DATE(2026,9,1),1))+COUNTIFS(Stripe_Invoices_Upload!$D$4:$D$5003,$A197,Stripe_Invoices_Upload!$E$4:$E$5003,"*Subscription*",Stripe_Invoices_Upload!$A$4:$A$5003,"&gt;="&amp;DATE(2026,9,1),Stripe_Invoices_Upload!$A$4:$A$5003,"&lt;"&amp;EDATE(DATE(2026,9,1),1)))&gt;0,"✓ Invoiced","⚠ Due"),""),""))</f>
        <v/>
      </c>
      <c r="M197" s="130" t="str">
        <f aca="false">IF($A197="","",IF((DATE(YEAR($E197),MONTH($E197),1)&lt;=DATE(2026,10,1)),IF((MOD(DATEDIF(DATE(YEAR($E197),MONTH($E197),1),DATE(2026,10,1),"m"),IF($D197="Quarterly",3,IF($D197="Annual",12,1)))=0),IF((COUNTIFS(Xero_Raw!$D$4:$D$5003,$A197,Xero_Raw!$G$4:$G$5003,"*Subscription*",Xero_Raw!$A$4:$A$5003,"&gt;="&amp;DATE(2026,10,1),Xero_Raw!$A$4:$A$5003,"&lt;"&amp;EDATE(DATE(2026,10,1),1))+COUNTIFS(Customer_Invoices_Upload!$E$4:$E$5003,$A197,Customer_Invoices_Upload!$G$4:$G$5003,"*Subscription*",Customer_Invoices_Upload!$B$4:$B$5003,"&gt;="&amp;DATE(2026,10,1),Customer_Invoices_Upload!$B$4:$B$5003,"&lt;"&amp;EDATE(DATE(2026,10,1),1))+COUNTIFS(Stripe_Invoices_Upload!$D$4:$D$5003,$A197,Stripe_Invoices_Upload!$E$4:$E$5003,"*Subscription*",Stripe_Invoices_Upload!$A$4:$A$5003,"&gt;="&amp;DATE(2026,10,1),Stripe_Invoices_Upload!$A$4:$A$5003,"&lt;"&amp;EDATE(DATE(2026,10,1),1)))&gt;0,"✓ Invoiced","⚠ Due"),""),""))</f>
        <v/>
      </c>
      <c r="N197" s="130" t="str">
        <f aca="false">IF($A197="","",IF((DATE(YEAR($E197),MONTH($E197),1)&lt;=DATE(2026,11,1)),IF((MOD(DATEDIF(DATE(YEAR($E197),MONTH($E197),1),DATE(2026,11,1),"m"),IF($D197="Quarterly",3,IF($D197="Annual",12,1)))=0),IF((COUNTIFS(Xero_Raw!$D$4:$D$5003,$A197,Xero_Raw!$G$4:$G$5003,"*Subscription*",Xero_Raw!$A$4:$A$5003,"&gt;="&amp;DATE(2026,11,1),Xero_Raw!$A$4:$A$5003,"&lt;"&amp;EDATE(DATE(2026,11,1),1))+COUNTIFS(Customer_Invoices_Upload!$E$4:$E$5003,$A197,Customer_Invoices_Upload!$G$4:$G$5003,"*Subscription*",Customer_Invoices_Upload!$B$4:$B$5003,"&gt;="&amp;DATE(2026,11,1),Customer_Invoices_Upload!$B$4:$B$5003,"&lt;"&amp;EDATE(DATE(2026,11,1),1))+COUNTIFS(Stripe_Invoices_Upload!$D$4:$D$5003,$A197,Stripe_Invoices_Upload!$E$4:$E$5003,"*Subscription*",Stripe_Invoices_Upload!$A$4:$A$5003,"&gt;="&amp;DATE(2026,11,1),Stripe_Invoices_Upload!$A$4:$A$5003,"&lt;"&amp;EDATE(DATE(2026,11,1),1)))&gt;0,"✓ Invoiced","⚠ Due"),""),""))</f>
        <v/>
      </c>
      <c r="O197" s="130" t="str">
        <f aca="false">IF($A197="","",IF((DATE(YEAR($E197),MONTH($E197),1)&lt;=DATE(2026,12,1)),IF((MOD(DATEDIF(DATE(YEAR($E197),MONTH($E197),1),DATE(2026,12,1),"m"),IF($D197="Quarterly",3,IF($D197="Annual",12,1)))=0),IF((COUNTIFS(Xero_Raw!$D$4:$D$5003,$A197,Xero_Raw!$G$4:$G$5003,"*Subscription*",Xero_Raw!$A$4:$A$5003,"&gt;="&amp;DATE(2026,12,1),Xero_Raw!$A$4:$A$5003,"&lt;"&amp;EDATE(DATE(2026,12,1),1))+COUNTIFS(Customer_Invoices_Upload!$E$4:$E$5003,$A197,Customer_Invoices_Upload!$G$4:$G$5003,"*Subscription*",Customer_Invoices_Upload!$B$4:$B$5003,"&gt;="&amp;DATE(2026,12,1),Customer_Invoices_Upload!$B$4:$B$5003,"&lt;"&amp;EDATE(DATE(2026,12,1),1))+COUNTIFS(Stripe_Invoices_Upload!$D$4:$D$5003,$A197,Stripe_Invoices_Upload!$E$4:$E$5003,"*Subscription*",Stripe_Invoices_Upload!$A$4:$A$5003,"&gt;="&amp;DATE(2026,12,1),Stripe_Invoices_Upload!$A$4:$A$5003,"&lt;"&amp;EDATE(DATE(2026,12,1),1)))&gt;0,"✓ Invoiced","⚠ Due"),""),""))</f>
        <v/>
      </c>
      <c r="P197" s="130" t="str">
        <f aca="false">IF($A197="","",IF((DATE(YEAR($E197),MONTH($E197),1)&lt;=DATE(2027,1,1)),IF((MOD(DATEDIF(DATE(YEAR($E197),MONTH($E197),1),DATE(2027,1,1),"m"),IF($D197="Quarterly",3,IF($D197="Annual",12,1)))=0),IF((COUNTIFS(Xero_Raw!$D$4:$D$5003,$A197,Xero_Raw!$G$4:$G$5003,"*Subscription*",Xero_Raw!$A$4:$A$5003,"&gt;="&amp;DATE(2027,1,1),Xero_Raw!$A$4:$A$5003,"&lt;"&amp;EDATE(DATE(2027,1,1),1))+COUNTIFS(Customer_Invoices_Upload!$E$4:$E$5003,$A197,Customer_Invoices_Upload!$G$4:$G$5003,"*Subscription*",Customer_Invoices_Upload!$B$4:$B$5003,"&gt;="&amp;DATE(2027,1,1),Customer_Invoices_Upload!$B$4:$B$5003,"&lt;"&amp;EDATE(DATE(2027,1,1),1))+COUNTIFS(Stripe_Invoices_Upload!$D$4:$D$5003,$A197,Stripe_Invoices_Upload!$E$4:$E$5003,"*Subscription*",Stripe_Invoices_Upload!$A$4:$A$5003,"&gt;="&amp;DATE(2027,1,1),Stripe_Invoices_Upload!$A$4:$A$5003,"&lt;"&amp;EDATE(DATE(2027,1,1),1)))&gt;0,"✓ Invoiced","⚠ Due"),""),""))</f>
        <v/>
      </c>
      <c r="Q197" s="130" t="str">
        <f aca="false">IF($A197="","",IF((DATE(YEAR($E197),MONTH($E197),1)&lt;=DATE(2027,2,1)),IF((MOD(DATEDIF(DATE(YEAR($E197),MONTH($E197),1),DATE(2027,2,1),"m"),IF($D197="Quarterly",3,IF($D197="Annual",12,1)))=0),IF((COUNTIFS(Xero_Raw!$D$4:$D$5003,$A197,Xero_Raw!$G$4:$G$5003,"*Subscription*",Xero_Raw!$A$4:$A$5003,"&gt;="&amp;DATE(2027,2,1),Xero_Raw!$A$4:$A$5003,"&lt;"&amp;EDATE(DATE(2027,2,1),1))+COUNTIFS(Customer_Invoices_Upload!$E$4:$E$5003,$A197,Customer_Invoices_Upload!$G$4:$G$5003,"*Subscription*",Customer_Invoices_Upload!$B$4:$B$5003,"&gt;="&amp;DATE(2027,2,1),Customer_Invoices_Upload!$B$4:$B$5003,"&lt;"&amp;EDATE(DATE(2027,2,1),1))+COUNTIFS(Stripe_Invoices_Upload!$D$4:$D$5003,$A197,Stripe_Invoices_Upload!$E$4:$E$5003,"*Subscription*",Stripe_Invoices_Upload!$A$4:$A$5003,"&gt;="&amp;DATE(2027,2,1),Stripe_Invoices_Upload!$A$4:$A$5003,"&lt;"&amp;EDATE(DATE(2027,2,1),1)))&gt;0,"✓ Invoiced","⚠ Due"),""),""))</f>
        <v/>
      </c>
      <c r="R197" s="130" t="str">
        <f aca="false">IF($A197="","",IF((DATE(YEAR($E197),MONTH($E197),1)&lt;=DATE(2027,3,1)),IF((MOD(DATEDIF(DATE(YEAR($E197),MONTH($E197),1),DATE(2027,3,1),"m"),IF($D197="Quarterly",3,IF($D197="Annual",12,1)))=0),IF((COUNTIFS(Xero_Raw!$D$4:$D$5003,$A197,Xero_Raw!$G$4:$G$5003,"*Subscription*",Xero_Raw!$A$4:$A$5003,"&gt;="&amp;DATE(2027,3,1),Xero_Raw!$A$4:$A$5003,"&lt;"&amp;EDATE(DATE(2027,3,1),1))+COUNTIFS(Customer_Invoices_Upload!$E$4:$E$5003,$A197,Customer_Invoices_Upload!$G$4:$G$5003,"*Subscription*",Customer_Invoices_Upload!$B$4:$B$5003,"&gt;="&amp;DATE(2027,3,1),Customer_Invoices_Upload!$B$4:$B$5003,"&lt;"&amp;EDATE(DATE(2027,3,1),1))+COUNTIFS(Stripe_Invoices_Upload!$D$4:$D$5003,$A197,Stripe_Invoices_Upload!$E$4:$E$5003,"*Subscription*",Stripe_Invoices_Upload!$A$4:$A$5003,"&gt;="&amp;DATE(2027,3,1),Stripe_Invoices_Upload!$A$4:$A$5003,"&lt;"&amp;EDATE(DATE(2027,3,1),1)))&gt;0,"✓ Invoiced","⚠ Due"),""),""))</f>
        <v/>
      </c>
    </row>
    <row r="198" customFormat="false" ht="15" hidden="false" customHeight="false" outlineLevel="0" collapsed="false">
      <c r="A198" s="39"/>
      <c r="B198" s="39"/>
      <c r="C198" s="40"/>
      <c r="D198" s="39"/>
      <c r="E198" s="38"/>
      <c r="F198" s="129" t="str">
        <f aca="true">IF($A198="","",EDATE($E198,DATEDIF($E198,TODAY(),"m")+1))</f>
        <v/>
      </c>
      <c r="G198" s="130" t="str">
        <f aca="false">IF($A198="","",IF((DATE(YEAR($E198),MONTH($E198),1)&lt;=DATE(2026,4,1)),IF((MOD(DATEDIF(DATE(YEAR($E198),MONTH($E198),1),DATE(2026,4,1),"m"),IF($D198="Quarterly",3,IF($D198="Annual",12,1)))=0),IF((COUNTIFS(Xero_Raw!$D$4:$D$5003,$A198,Xero_Raw!$G$4:$G$5003,"*Subscription*",Xero_Raw!$A$4:$A$5003,"&gt;="&amp;DATE(2026,4,1),Xero_Raw!$A$4:$A$5003,"&lt;"&amp;EDATE(DATE(2026,4,1),1))+COUNTIFS(Customer_Invoices_Upload!$E$4:$E$5003,$A198,Customer_Invoices_Upload!$G$4:$G$5003,"*Subscription*",Customer_Invoices_Upload!$B$4:$B$5003,"&gt;="&amp;DATE(2026,4,1),Customer_Invoices_Upload!$B$4:$B$5003,"&lt;"&amp;EDATE(DATE(2026,4,1),1))+COUNTIFS(Stripe_Invoices_Upload!$D$4:$D$5003,$A198,Stripe_Invoices_Upload!$E$4:$E$5003,"*Subscription*",Stripe_Invoices_Upload!$A$4:$A$5003,"&gt;="&amp;DATE(2026,4,1),Stripe_Invoices_Upload!$A$4:$A$5003,"&lt;"&amp;EDATE(DATE(2026,4,1),1)))&gt;0,"✓ Invoiced","⚠ Due"),""),""))</f>
        <v/>
      </c>
      <c r="H198" s="130" t="str">
        <f aca="false">IF($A198="","",IF((DATE(YEAR($E198),MONTH($E198),1)&lt;=DATE(2026,5,1)),IF((MOD(DATEDIF(DATE(YEAR($E198),MONTH($E198),1),DATE(2026,5,1),"m"),IF($D198="Quarterly",3,IF($D198="Annual",12,1)))=0),IF((COUNTIFS(Xero_Raw!$D$4:$D$5003,$A198,Xero_Raw!$G$4:$G$5003,"*Subscription*",Xero_Raw!$A$4:$A$5003,"&gt;="&amp;DATE(2026,5,1),Xero_Raw!$A$4:$A$5003,"&lt;"&amp;EDATE(DATE(2026,5,1),1))+COUNTIFS(Customer_Invoices_Upload!$E$4:$E$5003,$A198,Customer_Invoices_Upload!$G$4:$G$5003,"*Subscription*",Customer_Invoices_Upload!$B$4:$B$5003,"&gt;="&amp;DATE(2026,5,1),Customer_Invoices_Upload!$B$4:$B$5003,"&lt;"&amp;EDATE(DATE(2026,5,1),1))+COUNTIFS(Stripe_Invoices_Upload!$D$4:$D$5003,$A198,Stripe_Invoices_Upload!$E$4:$E$5003,"*Subscription*",Stripe_Invoices_Upload!$A$4:$A$5003,"&gt;="&amp;DATE(2026,5,1),Stripe_Invoices_Upload!$A$4:$A$5003,"&lt;"&amp;EDATE(DATE(2026,5,1),1)))&gt;0,"✓ Invoiced","⚠ Due"),""),""))</f>
        <v/>
      </c>
      <c r="I198" s="130" t="str">
        <f aca="false">IF($A198="","",IF((DATE(YEAR($E198),MONTH($E198),1)&lt;=DATE(2026,6,1)),IF((MOD(DATEDIF(DATE(YEAR($E198),MONTH($E198),1),DATE(2026,6,1),"m"),IF($D198="Quarterly",3,IF($D198="Annual",12,1)))=0),IF((COUNTIFS(Xero_Raw!$D$4:$D$5003,$A198,Xero_Raw!$G$4:$G$5003,"*Subscription*",Xero_Raw!$A$4:$A$5003,"&gt;="&amp;DATE(2026,6,1),Xero_Raw!$A$4:$A$5003,"&lt;"&amp;EDATE(DATE(2026,6,1),1))+COUNTIFS(Customer_Invoices_Upload!$E$4:$E$5003,$A198,Customer_Invoices_Upload!$G$4:$G$5003,"*Subscription*",Customer_Invoices_Upload!$B$4:$B$5003,"&gt;="&amp;DATE(2026,6,1),Customer_Invoices_Upload!$B$4:$B$5003,"&lt;"&amp;EDATE(DATE(2026,6,1),1))+COUNTIFS(Stripe_Invoices_Upload!$D$4:$D$5003,$A198,Stripe_Invoices_Upload!$E$4:$E$5003,"*Subscription*",Stripe_Invoices_Upload!$A$4:$A$5003,"&gt;="&amp;DATE(2026,6,1),Stripe_Invoices_Upload!$A$4:$A$5003,"&lt;"&amp;EDATE(DATE(2026,6,1),1)))&gt;0,"✓ Invoiced","⚠ Due"),""),""))</f>
        <v/>
      </c>
      <c r="J198" s="130" t="str">
        <f aca="false">IF($A198="","",IF((DATE(YEAR($E198),MONTH($E198),1)&lt;=DATE(2026,7,1)),IF((MOD(DATEDIF(DATE(YEAR($E198),MONTH($E198),1),DATE(2026,7,1),"m"),IF($D198="Quarterly",3,IF($D198="Annual",12,1)))=0),IF((COUNTIFS(Xero_Raw!$D$4:$D$5003,$A198,Xero_Raw!$G$4:$G$5003,"*Subscription*",Xero_Raw!$A$4:$A$5003,"&gt;="&amp;DATE(2026,7,1),Xero_Raw!$A$4:$A$5003,"&lt;"&amp;EDATE(DATE(2026,7,1),1))+COUNTIFS(Customer_Invoices_Upload!$E$4:$E$5003,$A198,Customer_Invoices_Upload!$G$4:$G$5003,"*Subscription*",Customer_Invoices_Upload!$B$4:$B$5003,"&gt;="&amp;DATE(2026,7,1),Customer_Invoices_Upload!$B$4:$B$5003,"&lt;"&amp;EDATE(DATE(2026,7,1),1))+COUNTIFS(Stripe_Invoices_Upload!$D$4:$D$5003,$A198,Stripe_Invoices_Upload!$E$4:$E$5003,"*Subscription*",Stripe_Invoices_Upload!$A$4:$A$5003,"&gt;="&amp;DATE(2026,7,1),Stripe_Invoices_Upload!$A$4:$A$5003,"&lt;"&amp;EDATE(DATE(2026,7,1),1)))&gt;0,"✓ Invoiced","⚠ Due"),""),""))</f>
        <v/>
      </c>
      <c r="K198" s="130" t="str">
        <f aca="false">IF($A198="","",IF((DATE(YEAR($E198),MONTH($E198),1)&lt;=DATE(2026,8,1)),IF((MOD(DATEDIF(DATE(YEAR($E198),MONTH($E198),1),DATE(2026,8,1),"m"),IF($D198="Quarterly",3,IF($D198="Annual",12,1)))=0),IF((COUNTIFS(Xero_Raw!$D$4:$D$5003,$A198,Xero_Raw!$G$4:$G$5003,"*Subscription*",Xero_Raw!$A$4:$A$5003,"&gt;="&amp;DATE(2026,8,1),Xero_Raw!$A$4:$A$5003,"&lt;"&amp;EDATE(DATE(2026,8,1),1))+COUNTIFS(Customer_Invoices_Upload!$E$4:$E$5003,$A198,Customer_Invoices_Upload!$G$4:$G$5003,"*Subscription*",Customer_Invoices_Upload!$B$4:$B$5003,"&gt;="&amp;DATE(2026,8,1),Customer_Invoices_Upload!$B$4:$B$5003,"&lt;"&amp;EDATE(DATE(2026,8,1),1))+COUNTIFS(Stripe_Invoices_Upload!$D$4:$D$5003,$A198,Stripe_Invoices_Upload!$E$4:$E$5003,"*Subscription*",Stripe_Invoices_Upload!$A$4:$A$5003,"&gt;="&amp;DATE(2026,8,1),Stripe_Invoices_Upload!$A$4:$A$5003,"&lt;"&amp;EDATE(DATE(2026,8,1),1)))&gt;0,"✓ Invoiced","⚠ Due"),""),""))</f>
        <v/>
      </c>
      <c r="L198" s="130" t="str">
        <f aca="false">IF($A198="","",IF((DATE(YEAR($E198),MONTH($E198),1)&lt;=DATE(2026,9,1)),IF((MOD(DATEDIF(DATE(YEAR($E198),MONTH($E198),1),DATE(2026,9,1),"m"),IF($D198="Quarterly",3,IF($D198="Annual",12,1)))=0),IF((COUNTIFS(Xero_Raw!$D$4:$D$5003,$A198,Xero_Raw!$G$4:$G$5003,"*Subscription*",Xero_Raw!$A$4:$A$5003,"&gt;="&amp;DATE(2026,9,1),Xero_Raw!$A$4:$A$5003,"&lt;"&amp;EDATE(DATE(2026,9,1),1))+COUNTIFS(Customer_Invoices_Upload!$E$4:$E$5003,$A198,Customer_Invoices_Upload!$G$4:$G$5003,"*Subscription*",Customer_Invoices_Upload!$B$4:$B$5003,"&gt;="&amp;DATE(2026,9,1),Customer_Invoices_Upload!$B$4:$B$5003,"&lt;"&amp;EDATE(DATE(2026,9,1),1))+COUNTIFS(Stripe_Invoices_Upload!$D$4:$D$5003,$A198,Stripe_Invoices_Upload!$E$4:$E$5003,"*Subscription*",Stripe_Invoices_Upload!$A$4:$A$5003,"&gt;="&amp;DATE(2026,9,1),Stripe_Invoices_Upload!$A$4:$A$5003,"&lt;"&amp;EDATE(DATE(2026,9,1),1)))&gt;0,"✓ Invoiced","⚠ Due"),""),""))</f>
        <v/>
      </c>
      <c r="M198" s="130" t="str">
        <f aca="false">IF($A198="","",IF((DATE(YEAR($E198),MONTH($E198),1)&lt;=DATE(2026,10,1)),IF((MOD(DATEDIF(DATE(YEAR($E198),MONTH($E198),1),DATE(2026,10,1),"m"),IF($D198="Quarterly",3,IF($D198="Annual",12,1)))=0),IF((COUNTIFS(Xero_Raw!$D$4:$D$5003,$A198,Xero_Raw!$G$4:$G$5003,"*Subscription*",Xero_Raw!$A$4:$A$5003,"&gt;="&amp;DATE(2026,10,1),Xero_Raw!$A$4:$A$5003,"&lt;"&amp;EDATE(DATE(2026,10,1),1))+COUNTIFS(Customer_Invoices_Upload!$E$4:$E$5003,$A198,Customer_Invoices_Upload!$G$4:$G$5003,"*Subscription*",Customer_Invoices_Upload!$B$4:$B$5003,"&gt;="&amp;DATE(2026,10,1),Customer_Invoices_Upload!$B$4:$B$5003,"&lt;"&amp;EDATE(DATE(2026,10,1),1))+COUNTIFS(Stripe_Invoices_Upload!$D$4:$D$5003,$A198,Stripe_Invoices_Upload!$E$4:$E$5003,"*Subscription*",Stripe_Invoices_Upload!$A$4:$A$5003,"&gt;="&amp;DATE(2026,10,1),Stripe_Invoices_Upload!$A$4:$A$5003,"&lt;"&amp;EDATE(DATE(2026,10,1),1)))&gt;0,"✓ Invoiced","⚠ Due"),""),""))</f>
        <v/>
      </c>
      <c r="N198" s="130" t="str">
        <f aca="false">IF($A198="","",IF((DATE(YEAR($E198),MONTH($E198),1)&lt;=DATE(2026,11,1)),IF((MOD(DATEDIF(DATE(YEAR($E198),MONTH($E198),1),DATE(2026,11,1),"m"),IF($D198="Quarterly",3,IF($D198="Annual",12,1)))=0),IF((COUNTIFS(Xero_Raw!$D$4:$D$5003,$A198,Xero_Raw!$G$4:$G$5003,"*Subscription*",Xero_Raw!$A$4:$A$5003,"&gt;="&amp;DATE(2026,11,1),Xero_Raw!$A$4:$A$5003,"&lt;"&amp;EDATE(DATE(2026,11,1),1))+COUNTIFS(Customer_Invoices_Upload!$E$4:$E$5003,$A198,Customer_Invoices_Upload!$G$4:$G$5003,"*Subscription*",Customer_Invoices_Upload!$B$4:$B$5003,"&gt;="&amp;DATE(2026,11,1),Customer_Invoices_Upload!$B$4:$B$5003,"&lt;"&amp;EDATE(DATE(2026,11,1),1))+COUNTIFS(Stripe_Invoices_Upload!$D$4:$D$5003,$A198,Stripe_Invoices_Upload!$E$4:$E$5003,"*Subscription*",Stripe_Invoices_Upload!$A$4:$A$5003,"&gt;="&amp;DATE(2026,11,1),Stripe_Invoices_Upload!$A$4:$A$5003,"&lt;"&amp;EDATE(DATE(2026,11,1),1)))&gt;0,"✓ Invoiced","⚠ Due"),""),""))</f>
        <v/>
      </c>
      <c r="O198" s="130" t="str">
        <f aca="false">IF($A198="","",IF((DATE(YEAR($E198),MONTH($E198),1)&lt;=DATE(2026,12,1)),IF((MOD(DATEDIF(DATE(YEAR($E198),MONTH($E198),1),DATE(2026,12,1),"m"),IF($D198="Quarterly",3,IF($D198="Annual",12,1)))=0),IF((COUNTIFS(Xero_Raw!$D$4:$D$5003,$A198,Xero_Raw!$G$4:$G$5003,"*Subscription*",Xero_Raw!$A$4:$A$5003,"&gt;="&amp;DATE(2026,12,1),Xero_Raw!$A$4:$A$5003,"&lt;"&amp;EDATE(DATE(2026,12,1),1))+COUNTIFS(Customer_Invoices_Upload!$E$4:$E$5003,$A198,Customer_Invoices_Upload!$G$4:$G$5003,"*Subscription*",Customer_Invoices_Upload!$B$4:$B$5003,"&gt;="&amp;DATE(2026,12,1),Customer_Invoices_Upload!$B$4:$B$5003,"&lt;"&amp;EDATE(DATE(2026,12,1),1))+COUNTIFS(Stripe_Invoices_Upload!$D$4:$D$5003,$A198,Stripe_Invoices_Upload!$E$4:$E$5003,"*Subscription*",Stripe_Invoices_Upload!$A$4:$A$5003,"&gt;="&amp;DATE(2026,12,1),Stripe_Invoices_Upload!$A$4:$A$5003,"&lt;"&amp;EDATE(DATE(2026,12,1),1)))&gt;0,"✓ Invoiced","⚠ Due"),""),""))</f>
        <v/>
      </c>
      <c r="P198" s="130" t="str">
        <f aca="false">IF($A198="","",IF((DATE(YEAR($E198),MONTH($E198),1)&lt;=DATE(2027,1,1)),IF((MOD(DATEDIF(DATE(YEAR($E198),MONTH($E198),1),DATE(2027,1,1),"m"),IF($D198="Quarterly",3,IF($D198="Annual",12,1)))=0),IF((COUNTIFS(Xero_Raw!$D$4:$D$5003,$A198,Xero_Raw!$G$4:$G$5003,"*Subscription*",Xero_Raw!$A$4:$A$5003,"&gt;="&amp;DATE(2027,1,1),Xero_Raw!$A$4:$A$5003,"&lt;"&amp;EDATE(DATE(2027,1,1),1))+COUNTIFS(Customer_Invoices_Upload!$E$4:$E$5003,$A198,Customer_Invoices_Upload!$G$4:$G$5003,"*Subscription*",Customer_Invoices_Upload!$B$4:$B$5003,"&gt;="&amp;DATE(2027,1,1),Customer_Invoices_Upload!$B$4:$B$5003,"&lt;"&amp;EDATE(DATE(2027,1,1),1))+COUNTIFS(Stripe_Invoices_Upload!$D$4:$D$5003,$A198,Stripe_Invoices_Upload!$E$4:$E$5003,"*Subscription*",Stripe_Invoices_Upload!$A$4:$A$5003,"&gt;="&amp;DATE(2027,1,1),Stripe_Invoices_Upload!$A$4:$A$5003,"&lt;"&amp;EDATE(DATE(2027,1,1),1)))&gt;0,"✓ Invoiced","⚠ Due"),""),""))</f>
        <v/>
      </c>
      <c r="Q198" s="130" t="str">
        <f aca="false">IF($A198="","",IF((DATE(YEAR($E198),MONTH($E198),1)&lt;=DATE(2027,2,1)),IF((MOD(DATEDIF(DATE(YEAR($E198),MONTH($E198),1),DATE(2027,2,1),"m"),IF($D198="Quarterly",3,IF($D198="Annual",12,1)))=0),IF((COUNTIFS(Xero_Raw!$D$4:$D$5003,$A198,Xero_Raw!$G$4:$G$5003,"*Subscription*",Xero_Raw!$A$4:$A$5003,"&gt;="&amp;DATE(2027,2,1),Xero_Raw!$A$4:$A$5003,"&lt;"&amp;EDATE(DATE(2027,2,1),1))+COUNTIFS(Customer_Invoices_Upload!$E$4:$E$5003,$A198,Customer_Invoices_Upload!$G$4:$G$5003,"*Subscription*",Customer_Invoices_Upload!$B$4:$B$5003,"&gt;="&amp;DATE(2027,2,1),Customer_Invoices_Upload!$B$4:$B$5003,"&lt;"&amp;EDATE(DATE(2027,2,1),1))+COUNTIFS(Stripe_Invoices_Upload!$D$4:$D$5003,$A198,Stripe_Invoices_Upload!$E$4:$E$5003,"*Subscription*",Stripe_Invoices_Upload!$A$4:$A$5003,"&gt;="&amp;DATE(2027,2,1),Stripe_Invoices_Upload!$A$4:$A$5003,"&lt;"&amp;EDATE(DATE(2027,2,1),1)))&gt;0,"✓ Invoiced","⚠ Due"),""),""))</f>
        <v/>
      </c>
      <c r="R198" s="130" t="str">
        <f aca="false">IF($A198="","",IF((DATE(YEAR($E198),MONTH($E198),1)&lt;=DATE(2027,3,1)),IF((MOD(DATEDIF(DATE(YEAR($E198),MONTH($E198),1),DATE(2027,3,1),"m"),IF($D198="Quarterly",3,IF($D198="Annual",12,1)))=0),IF((COUNTIFS(Xero_Raw!$D$4:$D$5003,$A198,Xero_Raw!$G$4:$G$5003,"*Subscription*",Xero_Raw!$A$4:$A$5003,"&gt;="&amp;DATE(2027,3,1),Xero_Raw!$A$4:$A$5003,"&lt;"&amp;EDATE(DATE(2027,3,1),1))+COUNTIFS(Customer_Invoices_Upload!$E$4:$E$5003,$A198,Customer_Invoices_Upload!$G$4:$G$5003,"*Subscription*",Customer_Invoices_Upload!$B$4:$B$5003,"&gt;="&amp;DATE(2027,3,1),Customer_Invoices_Upload!$B$4:$B$5003,"&lt;"&amp;EDATE(DATE(2027,3,1),1))+COUNTIFS(Stripe_Invoices_Upload!$D$4:$D$5003,$A198,Stripe_Invoices_Upload!$E$4:$E$5003,"*Subscription*",Stripe_Invoices_Upload!$A$4:$A$5003,"&gt;="&amp;DATE(2027,3,1),Stripe_Invoices_Upload!$A$4:$A$5003,"&lt;"&amp;EDATE(DATE(2027,3,1),1)))&gt;0,"✓ Invoiced","⚠ Due"),""),""))</f>
        <v/>
      </c>
    </row>
    <row r="199" customFormat="false" ht="15" hidden="false" customHeight="false" outlineLevel="0" collapsed="false">
      <c r="A199" s="39"/>
      <c r="B199" s="39"/>
      <c r="C199" s="40"/>
      <c r="D199" s="39"/>
      <c r="E199" s="38"/>
      <c r="F199" s="129" t="str">
        <f aca="true">IF($A199="","",EDATE($E199,DATEDIF($E199,TODAY(),"m")+1))</f>
        <v/>
      </c>
      <c r="G199" s="130" t="str">
        <f aca="false">IF($A199="","",IF((DATE(YEAR($E199),MONTH($E199),1)&lt;=DATE(2026,4,1)),IF((MOD(DATEDIF(DATE(YEAR($E199),MONTH($E199),1),DATE(2026,4,1),"m"),IF($D199="Quarterly",3,IF($D199="Annual",12,1)))=0),IF((COUNTIFS(Xero_Raw!$D$4:$D$5003,$A199,Xero_Raw!$G$4:$G$5003,"*Subscription*",Xero_Raw!$A$4:$A$5003,"&gt;="&amp;DATE(2026,4,1),Xero_Raw!$A$4:$A$5003,"&lt;"&amp;EDATE(DATE(2026,4,1),1))+COUNTIFS(Customer_Invoices_Upload!$E$4:$E$5003,$A199,Customer_Invoices_Upload!$G$4:$G$5003,"*Subscription*",Customer_Invoices_Upload!$B$4:$B$5003,"&gt;="&amp;DATE(2026,4,1),Customer_Invoices_Upload!$B$4:$B$5003,"&lt;"&amp;EDATE(DATE(2026,4,1),1))+COUNTIFS(Stripe_Invoices_Upload!$D$4:$D$5003,$A199,Stripe_Invoices_Upload!$E$4:$E$5003,"*Subscription*",Stripe_Invoices_Upload!$A$4:$A$5003,"&gt;="&amp;DATE(2026,4,1),Stripe_Invoices_Upload!$A$4:$A$5003,"&lt;"&amp;EDATE(DATE(2026,4,1),1)))&gt;0,"✓ Invoiced","⚠ Due"),""),""))</f>
        <v/>
      </c>
      <c r="H199" s="130" t="str">
        <f aca="false">IF($A199="","",IF((DATE(YEAR($E199),MONTH($E199),1)&lt;=DATE(2026,5,1)),IF((MOD(DATEDIF(DATE(YEAR($E199),MONTH($E199),1),DATE(2026,5,1),"m"),IF($D199="Quarterly",3,IF($D199="Annual",12,1)))=0),IF((COUNTIFS(Xero_Raw!$D$4:$D$5003,$A199,Xero_Raw!$G$4:$G$5003,"*Subscription*",Xero_Raw!$A$4:$A$5003,"&gt;="&amp;DATE(2026,5,1),Xero_Raw!$A$4:$A$5003,"&lt;"&amp;EDATE(DATE(2026,5,1),1))+COUNTIFS(Customer_Invoices_Upload!$E$4:$E$5003,$A199,Customer_Invoices_Upload!$G$4:$G$5003,"*Subscription*",Customer_Invoices_Upload!$B$4:$B$5003,"&gt;="&amp;DATE(2026,5,1),Customer_Invoices_Upload!$B$4:$B$5003,"&lt;"&amp;EDATE(DATE(2026,5,1),1))+COUNTIFS(Stripe_Invoices_Upload!$D$4:$D$5003,$A199,Stripe_Invoices_Upload!$E$4:$E$5003,"*Subscription*",Stripe_Invoices_Upload!$A$4:$A$5003,"&gt;="&amp;DATE(2026,5,1),Stripe_Invoices_Upload!$A$4:$A$5003,"&lt;"&amp;EDATE(DATE(2026,5,1),1)))&gt;0,"✓ Invoiced","⚠ Due"),""),""))</f>
        <v/>
      </c>
      <c r="I199" s="130" t="str">
        <f aca="false">IF($A199="","",IF((DATE(YEAR($E199),MONTH($E199),1)&lt;=DATE(2026,6,1)),IF((MOD(DATEDIF(DATE(YEAR($E199),MONTH($E199),1),DATE(2026,6,1),"m"),IF($D199="Quarterly",3,IF($D199="Annual",12,1)))=0),IF((COUNTIFS(Xero_Raw!$D$4:$D$5003,$A199,Xero_Raw!$G$4:$G$5003,"*Subscription*",Xero_Raw!$A$4:$A$5003,"&gt;="&amp;DATE(2026,6,1),Xero_Raw!$A$4:$A$5003,"&lt;"&amp;EDATE(DATE(2026,6,1),1))+COUNTIFS(Customer_Invoices_Upload!$E$4:$E$5003,$A199,Customer_Invoices_Upload!$G$4:$G$5003,"*Subscription*",Customer_Invoices_Upload!$B$4:$B$5003,"&gt;="&amp;DATE(2026,6,1),Customer_Invoices_Upload!$B$4:$B$5003,"&lt;"&amp;EDATE(DATE(2026,6,1),1))+COUNTIFS(Stripe_Invoices_Upload!$D$4:$D$5003,$A199,Stripe_Invoices_Upload!$E$4:$E$5003,"*Subscription*",Stripe_Invoices_Upload!$A$4:$A$5003,"&gt;="&amp;DATE(2026,6,1),Stripe_Invoices_Upload!$A$4:$A$5003,"&lt;"&amp;EDATE(DATE(2026,6,1),1)))&gt;0,"✓ Invoiced","⚠ Due"),""),""))</f>
        <v/>
      </c>
      <c r="J199" s="130" t="str">
        <f aca="false">IF($A199="","",IF((DATE(YEAR($E199),MONTH($E199),1)&lt;=DATE(2026,7,1)),IF((MOD(DATEDIF(DATE(YEAR($E199),MONTH($E199),1),DATE(2026,7,1),"m"),IF($D199="Quarterly",3,IF($D199="Annual",12,1)))=0),IF((COUNTIFS(Xero_Raw!$D$4:$D$5003,$A199,Xero_Raw!$G$4:$G$5003,"*Subscription*",Xero_Raw!$A$4:$A$5003,"&gt;="&amp;DATE(2026,7,1),Xero_Raw!$A$4:$A$5003,"&lt;"&amp;EDATE(DATE(2026,7,1),1))+COUNTIFS(Customer_Invoices_Upload!$E$4:$E$5003,$A199,Customer_Invoices_Upload!$G$4:$G$5003,"*Subscription*",Customer_Invoices_Upload!$B$4:$B$5003,"&gt;="&amp;DATE(2026,7,1),Customer_Invoices_Upload!$B$4:$B$5003,"&lt;"&amp;EDATE(DATE(2026,7,1),1))+COUNTIFS(Stripe_Invoices_Upload!$D$4:$D$5003,$A199,Stripe_Invoices_Upload!$E$4:$E$5003,"*Subscription*",Stripe_Invoices_Upload!$A$4:$A$5003,"&gt;="&amp;DATE(2026,7,1),Stripe_Invoices_Upload!$A$4:$A$5003,"&lt;"&amp;EDATE(DATE(2026,7,1),1)))&gt;0,"✓ Invoiced","⚠ Due"),""),""))</f>
        <v/>
      </c>
      <c r="K199" s="130" t="str">
        <f aca="false">IF($A199="","",IF((DATE(YEAR($E199),MONTH($E199),1)&lt;=DATE(2026,8,1)),IF((MOD(DATEDIF(DATE(YEAR($E199),MONTH($E199),1),DATE(2026,8,1),"m"),IF($D199="Quarterly",3,IF($D199="Annual",12,1)))=0),IF((COUNTIFS(Xero_Raw!$D$4:$D$5003,$A199,Xero_Raw!$G$4:$G$5003,"*Subscription*",Xero_Raw!$A$4:$A$5003,"&gt;="&amp;DATE(2026,8,1),Xero_Raw!$A$4:$A$5003,"&lt;"&amp;EDATE(DATE(2026,8,1),1))+COUNTIFS(Customer_Invoices_Upload!$E$4:$E$5003,$A199,Customer_Invoices_Upload!$G$4:$G$5003,"*Subscription*",Customer_Invoices_Upload!$B$4:$B$5003,"&gt;="&amp;DATE(2026,8,1),Customer_Invoices_Upload!$B$4:$B$5003,"&lt;"&amp;EDATE(DATE(2026,8,1),1))+COUNTIFS(Stripe_Invoices_Upload!$D$4:$D$5003,$A199,Stripe_Invoices_Upload!$E$4:$E$5003,"*Subscription*",Stripe_Invoices_Upload!$A$4:$A$5003,"&gt;="&amp;DATE(2026,8,1),Stripe_Invoices_Upload!$A$4:$A$5003,"&lt;"&amp;EDATE(DATE(2026,8,1),1)))&gt;0,"✓ Invoiced","⚠ Due"),""),""))</f>
        <v/>
      </c>
      <c r="L199" s="130" t="str">
        <f aca="false">IF($A199="","",IF((DATE(YEAR($E199),MONTH($E199),1)&lt;=DATE(2026,9,1)),IF((MOD(DATEDIF(DATE(YEAR($E199),MONTH($E199),1),DATE(2026,9,1),"m"),IF($D199="Quarterly",3,IF($D199="Annual",12,1)))=0),IF((COUNTIFS(Xero_Raw!$D$4:$D$5003,$A199,Xero_Raw!$G$4:$G$5003,"*Subscription*",Xero_Raw!$A$4:$A$5003,"&gt;="&amp;DATE(2026,9,1),Xero_Raw!$A$4:$A$5003,"&lt;"&amp;EDATE(DATE(2026,9,1),1))+COUNTIFS(Customer_Invoices_Upload!$E$4:$E$5003,$A199,Customer_Invoices_Upload!$G$4:$G$5003,"*Subscription*",Customer_Invoices_Upload!$B$4:$B$5003,"&gt;="&amp;DATE(2026,9,1),Customer_Invoices_Upload!$B$4:$B$5003,"&lt;"&amp;EDATE(DATE(2026,9,1),1))+COUNTIFS(Stripe_Invoices_Upload!$D$4:$D$5003,$A199,Stripe_Invoices_Upload!$E$4:$E$5003,"*Subscription*",Stripe_Invoices_Upload!$A$4:$A$5003,"&gt;="&amp;DATE(2026,9,1),Stripe_Invoices_Upload!$A$4:$A$5003,"&lt;"&amp;EDATE(DATE(2026,9,1),1)))&gt;0,"✓ Invoiced","⚠ Due"),""),""))</f>
        <v/>
      </c>
      <c r="M199" s="130" t="str">
        <f aca="false">IF($A199="","",IF((DATE(YEAR($E199),MONTH($E199),1)&lt;=DATE(2026,10,1)),IF((MOD(DATEDIF(DATE(YEAR($E199),MONTH($E199),1),DATE(2026,10,1),"m"),IF($D199="Quarterly",3,IF($D199="Annual",12,1)))=0),IF((COUNTIFS(Xero_Raw!$D$4:$D$5003,$A199,Xero_Raw!$G$4:$G$5003,"*Subscription*",Xero_Raw!$A$4:$A$5003,"&gt;="&amp;DATE(2026,10,1),Xero_Raw!$A$4:$A$5003,"&lt;"&amp;EDATE(DATE(2026,10,1),1))+COUNTIFS(Customer_Invoices_Upload!$E$4:$E$5003,$A199,Customer_Invoices_Upload!$G$4:$G$5003,"*Subscription*",Customer_Invoices_Upload!$B$4:$B$5003,"&gt;="&amp;DATE(2026,10,1),Customer_Invoices_Upload!$B$4:$B$5003,"&lt;"&amp;EDATE(DATE(2026,10,1),1))+COUNTIFS(Stripe_Invoices_Upload!$D$4:$D$5003,$A199,Stripe_Invoices_Upload!$E$4:$E$5003,"*Subscription*",Stripe_Invoices_Upload!$A$4:$A$5003,"&gt;="&amp;DATE(2026,10,1),Stripe_Invoices_Upload!$A$4:$A$5003,"&lt;"&amp;EDATE(DATE(2026,10,1),1)))&gt;0,"✓ Invoiced","⚠ Due"),""),""))</f>
        <v/>
      </c>
      <c r="N199" s="130" t="str">
        <f aca="false">IF($A199="","",IF((DATE(YEAR($E199),MONTH($E199),1)&lt;=DATE(2026,11,1)),IF((MOD(DATEDIF(DATE(YEAR($E199),MONTH($E199),1),DATE(2026,11,1),"m"),IF($D199="Quarterly",3,IF($D199="Annual",12,1)))=0),IF((COUNTIFS(Xero_Raw!$D$4:$D$5003,$A199,Xero_Raw!$G$4:$G$5003,"*Subscription*",Xero_Raw!$A$4:$A$5003,"&gt;="&amp;DATE(2026,11,1),Xero_Raw!$A$4:$A$5003,"&lt;"&amp;EDATE(DATE(2026,11,1),1))+COUNTIFS(Customer_Invoices_Upload!$E$4:$E$5003,$A199,Customer_Invoices_Upload!$G$4:$G$5003,"*Subscription*",Customer_Invoices_Upload!$B$4:$B$5003,"&gt;="&amp;DATE(2026,11,1),Customer_Invoices_Upload!$B$4:$B$5003,"&lt;"&amp;EDATE(DATE(2026,11,1),1))+COUNTIFS(Stripe_Invoices_Upload!$D$4:$D$5003,$A199,Stripe_Invoices_Upload!$E$4:$E$5003,"*Subscription*",Stripe_Invoices_Upload!$A$4:$A$5003,"&gt;="&amp;DATE(2026,11,1),Stripe_Invoices_Upload!$A$4:$A$5003,"&lt;"&amp;EDATE(DATE(2026,11,1),1)))&gt;0,"✓ Invoiced","⚠ Due"),""),""))</f>
        <v/>
      </c>
      <c r="O199" s="130" t="str">
        <f aca="false">IF($A199="","",IF((DATE(YEAR($E199),MONTH($E199),1)&lt;=DATE(2026,12,1)),IF((MOD(DATEDIF(DATE(YEAR($E199),MONTH($E199),1),DATE(2026,12,1),"m"),IF($D199="Quarterly",3,IF($D199="Annual",12,1)))=0),IF((COUNTIFS(Xero_Raw!$D$4:$D$5003,$A199,Xero_Raw!$G$4:$G$5003,"*Subscription*",Xero_Raw!$A$4:$A$5003,"&gt;="&amp;DATE(2026,12,1),Xero_Raw!$A$4:$A$5003,"&lt;"&amp;EDATE(DATE(2026,12,1),1))+COUNTIFS(Customer_Invoices_Upload!$E$4:$E$5003,$A199,Customer_Invoices_Upload!$G$4:$G$5003,"*Subscription*",Customer_Invoices_Upload!$B$4:$B$5003,"&gt;="&amp;DATE(2026,12,1),Customer_Invoices_Upload!$B$4:$B$5003,"&lt;"&amp;EDATE(DATE(2026,12,1),1))+COUNTIFS(Stripe_Invoices_Upload!$D$4:$D$5003,$A199,Stripe_Invoices_Upload!$E$4:$E$5003,"*Subscription*",Stripe_Invoices_Upload!$A$4:$A$5003,"&gt;="&amp;DATE(2026,12,1),Stripe_Invoices_Upload!$A$4:$A$5003,"&lt;"&amp;EDATE(DATE(2026,12,1),1)))&gt;0,"✓ Invoiced","⚠ Due"),""),""))</f>
        <v/>
      </c>
      <c r="P199" s="130" t="str">
        <f aca="false">IF($A199="","",IF((DATE(YEAR($E199),MONTH($E199),1)&lt;=DATE(2027,1,1)),IF((MOD(DATEDIF(DATE(YEAR($E199),MONTH($E199),1),DATE(2027,1,1),"m"),IF($D199="Quarterly",3,IF($D199="Annual",12,1)))=0),IF((COUNTIFS(Xero_Raw!$D$4:$D$5003,$A199,Xero_Raw!$G$4:$G$5003,"*Subscription*",Xero_Raw!$A$4:$A$5003,"&gt;="&amp;DATE(2027,1,1),Xero_Raw!$A$4:$A$5003,"&lt;"&amp;EDATE(DATE(2027,1,1),1))+COUNTIFS(Customer_Invoices_Upload!$E$4:$E$5003,$A199,Customer_Invoices_Upload!$G$4:$G$5003,"*Subscription*",Customer_Invoices_Upload!$B$4:$B$5003,"&gt;="&amp;DATE(2027,1,1),Customer_Invoices_Upload!$B$4:$B$5003,"&lt;"&amp;EDATE(DATE(2027,1,1),1))+COUNTIFS(Stripe_Invoices_Upload!$D$4:$D$5003,$A199,Stripe_Invoices_Upload!$E$4:$E$5003,"*Subscription*",Stripe_Invoices_Upload!$A$4:$A$5003,"&gt;="&amp;DATE(2027,1,1),Stripe_Invoices_Upload!$A$4:$A$5003,"&lt;"&amp;EDATE(DATE(2027,1,1),1)))&gt;0,"✓ Invoiced","⚠ Due"),""),""))</f>
        <v/>
      </c>
      <c r="Q199" s="130" t="str">
        <f aca="false">IF($A199="","",IF((DATE(YEAR($E199),MONTH($E199),1)&lt;=DATE(2027,2,1)),IF((MOD(DATEDIF(DATE(YEAR($E199),MONTH($E199),1),DATE(2027,2,1),"m"),IF($D199="Quarterly",3,IF($D199="Annual",12,1)))=0),IF((COUNTIFS(Xero_Raw!$D$4:$D$5003,$A199,Xero_Raw!$G$4:$G$5003,"*Subscription*",Xero_Raw!$A$4:$A$5003,"&gt;="&amp;DATE(2027,2,1),Xero_Raw!$A$4:$A$5003,"&lt;"&amp;EDATE(DATE(2027,2,1),1))+COUNTIFS(Customer_Invoices_Upload!$E$4:$E$5003,$A199,Customer_Invoices_Upload!$G$4:$G$5003,"*Subscription*",Customer_Invoices_Upload!$B$4:$B$5003,"&gt;="&amp;DATE(2027,2,1),Customer_Invoices_Upload!$B$4:$B$5003,"&lt;"&amp;EDATE(DATE(2027,2,1),1))+COUNTIFS(Stripe_Invoices_Upload!$D$4:$D$5003,$A199,Stripe_Invoices_Upload!$E$4:$E$5003,"*Subscription*",Stripe_Invoices_Upload!$A$4:$A$5003,"&gt;="&amp;DATE(2027,2,1),Stripe_Invoices_Upload!$A$4:$A$5003,"&lt;"&amp;EDATE(DATE(2027,2,1),1)))&gt;0,"✓ Invoiced","⚠ Due"),""),""))</f>
        <v/>
      </c>
      <c r="R199" s="130" t="str">
        <f aca="false">IF($A199="","",IF((DATE(YEAR($E199),MONTH($E199),1)&lt;=DATE(2027,3,1)),IF((MOD(DATEDIF(DATE(YEAR($E199),MONTH($E199),1),DATE(2027,3,1),"m"),IF($D199="Quarterly",3,IF($D199="Annual",12,1)))=0),IF((COUNTIFS(Xero_Raw!$D$4:$D$5003,$A199,Xero_Raw!$G$4:$G$5003,"*Subscription*",Xero_Raw!$A$4:$A$5003,"&gt;="&amp;DATE(2027,3,1),Xero_Raw!$A$4:$A$5003,"&lt;"&amp;EDATE(DATE(2027,3,1),1))+COUNTIFS(Customer_Invoices_Upload!$E$4:$E$5003,$A199,Customer_Invoices_Upload!$G$4:$G$5003,"*Subscription*",Customer_Invoices_Upload!$B$4:$B$5003,"&gt;="&amp;DATE(2027,3,1),Customer_Invoices_Upload!$B$4:$B$5003,"&lt;"&amp;EDATE(DATE(2027,3,1),1))+COUNTIFS(Stripe_Invoices_Upload!$D$4:$D$5003,$A199,Stripe_Invoices_Upload!$E$4:$E$5003,"*Subscription*",Stripe_Invoices_Upload!$A$4:$A$5003,"&gt;="&amp;DATE(2027,3,1),Stripe_Invoices_Upload!$A$4:$A$5003,"&lt;"&amp;EDATE(DATE(2027,3,1),1)))&gt;0,"✓ Invoiced","⚠ Due"),""),""))</f>
        <v/>
      </c>
    </row>
    <row r="200" customFormat="false" ht="15" hidden="false" customHeight="false" outlineLevel="0" collapsed="false">
      <c r="A200" s="39"/>
      <c r="B200" s="39"/>
      <c r="C200" s="40"/>
      <c r="D200" s="39"/>
      <c r="E200" s="38"/>
      <c r="F200" s="129" t="str">
        <f aca="true">IF($A200="","",EDATE($E200,DATEDIF($E200,TODAY(),"m")+1))</f>
        <v/>
      </c>
      <c r="G200" s="130" t="str">
        <f aca="false">IF($A200="","",IF((DATE(YEAR($E200),MONTH($E200),1)&lt;=DATE(2026,4,1)),IF((MOD(DATEDIF(DATE(YEAR($E200),MONTH($E200),1),DATE(2026,4,1),"m"),IF($D200="Quarterly",3,IF($D200="Annual",12,1)))=0),IF((COUNTIFS(Xero_Raw!$D$4:$D$5003,$A200,Xero_Raw!$G$4:$G$5003,"*Subscription*",Xero_Raw!$A$4:$A$5003,"&gt;="&amp;DATE(2026,4,1),Xero_Raw!$A$4:$A$5003,"&lt;"&amp;EDATE(DATE(2026,4,1),1))+COUNTIFS(Customer_Invoices_Upload!$E$4:$E$5003,$A200,Customer_Invoices_Upload!$G$4:$G$5003,"*Subscription*",Customer_Invoices_Upload!$B$4:$B$5003,"&gt;="&amp;DATE(2026,4,1),Customer_Invoices_Upload!$B$4:$B$5003,"&lt;"&amp;EDATE(DATE(2026,4,1),1))+COUNTIFS(Stripe_Invoices_Upload!$D$4:$D$5003,$A200,Stripe_Invoices_Upload!$E$4:$E$5003,"*Subscription*",Stripe_Invoices_Upload!$A$4:$A$5003,"&gt;="&amp;DATE(2026,4,1),Stripe_Invoices_Upload!$A$4:$A$5003,"&lt;"&amp;EDATE(DATE(2026,4,1),1)))&gt;0,"✓ Invoiced","⚠ Due"),""),""))</f>
        <v/>
      </c>
      <c r="H200" s="130" t="str">
        <f aca="false">IF($A200="","",IF((DATE(YEAR($E200),MONTH($E200),1)&lt;=DATE(2026,5,1)),IF((MOD(DATEDIF(DATE(YEAR($E200),MONTH($E200),1),DATE(2026,5,1),"m"),IF($D200="Quarterly",3,IF($D200="Annual",12,1)))=0),IF((COUNTIFS(Xero_Raw!$D$4:$D$5003,$A200,Xero_Raw!$G$4:$G$5003,"*Subscription*",Xero_Raw!$A$4:$A$5003,"&gt;="&amp;DATE(2026,5,1),Xero_Raw!$A$4:$A$5003,"&lt;"&amp;EDATE(DATE(2026,5,1),1))+COUNTIFS(Customer_Invoices_Upload!$E$4:$E$5003,$A200,Customer_Invoices_Upload!$G$4:$G$5003,"*Subscription*",Customer_Invoices_Upload!$B$4:$B$5003,"&gt;="&amp;DATE(2026,5,1),Customer_Invoices_Upload!$B$4:$B$5003,"&lt;"&amp;EDATE(DATE(2026,5,1),1))+COUNTIFS(Stripe_Invoices_Upload!$D$4:$D$5003,$A200,Stripe_Invoices_Upload!$E$4:$E$5003,"*Subscription*",Stripe_Invoices_Upload!$A$4:$A$5003,"&gt;="&amp;DATE(2026,5,1),Stripe_Invoices_Upload!$A$4:$A$5003,"&lt;"&amp;EDATE(DATE(2026,5,1),1)))&gt;0,"✓ Invoiced","⚠ Due"),""),""))</f>
        <v/>
      </c>
      <c r="I200" s="130" t="str">
        <f aca="false">IF($A200="","",IF((DATE(YEAR($E200),MONTH($E200),1)&lt;=DATE(2026,6,1)),IF((MOD(DATEDIF(DATE(YEAR($E200),MONTH($E200),1),DATE(2026,6,1),"m"),IF($D200="Quarterly",3,IF($D200="Annual",12,1)))=0),IF((COUNTIFS(Xero_Raw!$D$4:$D$5003,$A200,Xero_Raw!$G$4:$G$5003,"*Subscription*",Xero_Raw!$A$4:$A$5003,"&gt;="&amp;DATE(2026,6,1),Xero_Raw!$A$4:$A$5003,"&lt;"&amp;EDATE(DATE(2026,6,1),1))+COUNTIFS(Customer_Invoices_Upload!$E$4:$E$5003,$A200,Customer_Invoices_Upload!$G$4:$G$5003,"*Subscription*",Customer_Invoices_Upload!$B$4:$B$5003,"&gt;="&amp;DATE(2026,6,1),Customer_Invoices_Upload!$B$4:$B$5003,"&lt;"&amp;EDATE(DATE(2026,6,1),1))+COUNTIFS(Stripe_Invoices_Upload!$D$4:$D$5003,$A200,Stripe_Invoices_Upload!$E$4:$E$5003,"*Subscription*",Stripe_Invoices_Upload!$A$4:$A$5003,"&gt;="&amp;DATE(2026,6,1),Stripe_Invoices_Upload!$A$4:$A$5003,"&lt;"&amp;EDATE(DATE(2026,6,1),1)))&gt;0,"✓ Invoiced","⚠ Due"),""),""))</f>
        <v/>
      </c>
      <c r="J200" s="130" t="str">
        <f aca="false">IF($A200="","",IF((DATE(YEAR($E200),MONTH($E200),1)&lt;=DATE(2026,7,1)),IF((MOD(DATEDIF(DATE(YEAR($E200),MONTH($E200),1),DATE(2026,7,1),"m"),IF($D200="Quarterly",3,IF($D200="Annual",12,1)))=0),IF((COUNTIFS(Xero_Raw!$D$4:$D$5003,$A200,Xero_Raw!$G$4:$G$5003,"*Subscription*",Xero_Raw!$A$4:$A$5003,"&gt;="&amp;DATE(2026,7,1),Xero_Raw!$A$4:$A$5003,"&lt;"&amp;EDATE(DATE(2026,7,1),1))+COUNTIFS(Customer_Invoices_Upload!$E$4:$E$5003,$A200,Customer_Invoices_Upload!$G$4:$G$5003,"*Subscription*",Customer_Invoices_Upload!$B$4:$B$5003,"&gt;="&amp;DATE(2026,7,1),Customer_Invoices_Upload!$B$4:$B$5003,"&lt;"&amp;EDATE(DATE(2026,7,1),1))+COUNTIFS(Stripe_Invoices_Upload!$D$4:$D$5003,$A200,Stripe_Invoices_Upload!$E$4:$E$5003,"*Subscription*",Stripe_Invoices_Upload!$A$4:$A$5003,"&gt;="&amp;DATE(2026,7,1),Stripe_Invoices_Upload!$A$4:$A$5003,"&lt;"&amp;EDATE(DATE(2026,7,1),1)))&gt;0,"✓ Invoiced","⚠ Due"),""),""))</f>
        <v/>
      </c>
      <c r="K200" s="130" t="str">
        <f aca="false">IF($A200="","",IF((DATE(YEAR($E200),MONTH($E200),1)&lt;=DATE(2026,8,1)),IF((MOD(DATEDIF(DATE(YEAR($E200),MONTH($E200),1),DATE(2026,8,1),"m"),IF($D200="Quarterly",3,IF($D200="Annual",12,1)))=0),IF((COUNTIFS(Xero_Raw!$D$4:$D$5003,$A200,Xero_Raw!$G$4:$G$5003,"*Subscription*",Xero_Raw!$A$4:$A$5003,"&gt;="&amp;DATE(2026,8,1),Xero_Raw!$A$4:$A$5003,"&lt;"&amp;EDATE(DATE(2026,8,1),1))+COUNTIFS(Customer_Invoices_Upload!$E$4:$E$5003,$A200,Customer_Invoices_Upload!$G$4:$G$5003,"*Subscription*",Customer_Invoices_Upload!$B$4:$B$5003,"&gt;="&amp;DATE(2026,8,1),Customer_Invoices_Upload!$B$4:$B$5003,"&lt;"&amp;EDATE(DATE(2026,8,1),1))+COUNTIFS(Stripe_Invoices_Upload!$D$4:$D$5003,$A200,Stripe_Invoices_Upload!$E$4:$E$5003,"*Subscription*",Stripe_Invoices_Upload!$A$4:$A$5003,"&gt;="&amp;DATE(2026,8,1),Stripe_Invoices_Upload!$A$4:$A$5003,"&lt;"&amp;EDATE(DATE(2026,8,1),1)))&gt;0,"✓ Invoiced","⚠ Due"),""),""))</f>
        <v/>
      </c>
      <c r="L200" s="130" t="str">
        <f aca="false">IF($A200="","",IF((DATE(YEAR($E200),MONTH($E200),1)&lt;=DATE(2026,9,1)),IF((MOD(DATEDIF(DATE(YEAR($E200),MONTH($E200),1),DATE(2026,9,1),"m"),IF($D200="Quarterly",3,IF($D200="Annual",12,1)))=0),IF((COUNTIFS(Xero_Raw!$D$4:$D$5003,$A200,Xero_Raw!$G$4:$G$5003,"*Subscription*",Xero_Raw!$A$4:$A$5003,"&gt;="&amp;DATE(2026,9,1),Xero_Raw!$A$4:$A$5003,"&lt;"&amp;EDATE(DATE(2026,9,1),1))+COUNTIFS(Customer_Invoices_Upload!$E$4:$E$5003,$A200,Customer_Invoices_Upload!$G$4:$G$5003,"*Subscription*",Customer_Invoices_Upload!$B$4:$B$5003,"&gt;="&amp;DATE(2026,9,1),Customer_Invoices_Upload!$B$4:$B$5003,"&lt;"&amp;EDATE(DATE(2026,9,1),1))+COUNTIFS(Stripe_Invoices_Upload!$D$4:$D$5003,$A200,Stripe_Invoices_Upload!$E$4:$E$5003,"*Subscription*",Stripe_Invoices_Upload!$A$4:$A$5003,"&gt;="&amp;DATE(2026,9,1),Stripe_Invoices_Upload!$A$4:$A$5003,"&lt;"&amp;EDATE(DATE(2026,9,1),1)))&gt;0,"✓ Invoiced","⚠ Due"),""),""))</f>
        <v/>
      </c>
      <c r="M200" s="130" t="str">
        <f aca="false">IF($A200="","",IF((DATE(YEAR($E200),MONTH($E200),1)&lt;=DATE(2026,10,1)),IF((MOD(DATEDIF(DATE(YEAR($E200),MONTH($E200),1),DATE(2026,10,1),"m"),IF($D200="Quarterly",3,IF($D200="Annual",12,1)))=0),IF((COUNTIFS(Xero_Raw!$D$4:$D$5003,$A200,Xero_Raw!$G$4:$G$5003,"*Subscription*",Xero_Raw!$A$4:$A$5003,"&gt;="&amp;DATE(2026,10,1),Xero_Raw!$A$4:$A$5003,"&lt;"&amp;EDATE(DATE(2026,10,1),1))+COUNTIFS(Customer_Invoices_Upload!$E$4:$E$5003,$A200,Customer_Invoices_Upload!$G$4:$G$5003,"*Subscription*",Customer_Invoices_Upload!$B$4:$B$5003,"&gt;="&amp;DATE(2026,10,1),Customer_Invoices_Upload!$B$4:$B$5003,"&lt;"&amp;EDATE(DATE(2026,10,1),1))+COUNTIFS(Stripe_Invoices_Upload!$D$4:$D$5003,$A200,Stripe_Invoices_Upload!$E$4:$E$5003,"*Subscription*",Stripe_Invoices_Upload!$A$4:$A$5003,"&gt;="&amp;DATE(2026,10,1),Stripe_Invoices_Upload!$A$4:$A$5003,"&lt;"&amp;EDATE(DATE(2026,10,1),1)))&gt;0,"✓ Invoiced","⚠ Due"),""),""))</f>
        <v/>
      </c>
      <c r="N200" s="130" t="str">
        <f aca="false">IF($A200="","",IF((DATE(YEAR($E200),MONTH($E200),1)&lt;=DATE(2026,11,1)),IF((MOD(DATEDIF(DATE(YEAR($E200),MONTH($E200),1),DATE(2026,11,1),"m"),IF($D200="Quarterly",3,IF($D200="Annual",12,1)))=0),IF((COUNTIFS(Xero_Raw!$D$4:$D$5003,$A200,Xero_Raw!$G$4:$G$5003,"*Subscription*",Xero_Raw!$A$4:$A$5003,"&gt;="&amp;DATE(2026,11,1),Xero_Raw!$A$4:$A$5003,"&lt;"&amp;EDATE(DATE(2026,11,1),1))+COUNTIFS(Customer_Invoices_Upload!$E$4:$E$5003,$A200,Customer_Invoices_Upload!$G$4:$G$5003,"*Subscription*",Customer_Invoices_Upload!$B$4:$B$5003,"&gt;="&amp;DATE(2026,11,1),Customer_Invoices_Upload!$B$4:$B$5003,"&lt;"&amp;EDATE(DATE(2026,11,1),1))+COUNTIFS(Stripe_Invoices_Upload!$D$4:$D$5003,$A200,Stripe_Invoices_Upload!$E$4:$E$5003,"*Subscription*",Stripe_Invoices_Upload!$A$4:$A$5003,"&gt;="&amp;DATE(2026,11,1),Stripe_Invoices_Upload!$A$4:$A$5003,"&lt;"&amp;EDATE(DATE(2026,11,1),1)))&gt;0,"✓ Invoiced","⚠ Due"),""),""))</f>
        <v/>
      </c>
      <c r="O200" s="130" t="str">
        <f aca="false">IF($A200="","",IF((DATE(YEAR($E200),MONTH($E200),1)&lt;=DATE(2026,12,1)),IF((MOD(DATEDIF(DATE(YEAR($E200),MONTH($E200),1),DATE(2026,12,1),"m"),IF($D200="Quarterly",3,IF($D200="Annual",12,1)))=0),IF((COUNTIFS(Xero_Raw!$D$4:$D$5003,$A200,Xero_Raw!$G$4:$G$5003,"*Subscription*",Xero_Raw!$A$4:$A$5003,"&gt;="&amp;DATE(2026,12,1),Xero_Raw!$A$4:$A$5003,"&lt;"&amp;EDATE(DATE(2026,12,1),1))+COUNTIFS(Customer_Invoices_Upload!$E$4:$E$5003,$A200,Customer_Invoices_Upload!$G$4:$G$5003,"*Subscription*",Customer_Invoices_Upload!$B$4:$B$5003,"&gt;="&amp;DATE(2026,12,1),Customer_Invoices_Upload!$B$4:$B$5003,"&lt;"&amp;EDATE(DATE(2026,12,1),1))+COUNTIFS(Stripe_Invoices_Upload!$D$4:$D$5003,$A200,Stripe_Invoices_Upload!$E$4:$E$5003,"*Subscription*",Stripe_Invoices_Upload!$A$4:$A$5003,"&gt;="&amp;DATE(2026,12,1),Stripe_Invoices_Upload!$A$4:$A$5003,"&lt;"&amp;EDATE(DATE(2026,12,1),1)))&gt;0,"✓ Invoiced","⚠ Due"),""),""))</f>
        <v/>
      </c>
      <c r="P200" s="130" t="str">
        <f aca="false">IF($A200="","",IF((DATE(YEAR($E200),MONTH($E200),1)&lt;=DATE(2027,1,1)),IF((MOD(DATEDIF(DATE(YEAR($E200),MONTH($E200),1),DATE(2027,1,1),"m"),IF($D200="Quarterly",3,IF($D200="Annual",12,1)))=0),IF((COUNTIFS(Xero_Raw!$D$4:$D$5003,$A200,Xero_Raw!$G$4:$G$5003,"*Subscription*",Xero_Raw!$A$4:$A$5003,"&gt;="&amp;DATE(2027,1,1),Xero_Raw!$A$4:$A$5003,"&lt;"&amp;EDATE(DATE(2027,1,1),1))+COUNTIFS(Customer_Invoices_Upload!$E$4:$E$5003,$A200,Customer_Invoices_Upload!$G$4:$G$5003,"*Subscription*",Customer_Invoices_Upload!$B$4:$B$5003,"&gt;="&amp;DATE(2027,1,1),Customer_Invoices_Upload!$B$4:$B$5003,"&lt;"&amp;EDATE(DATE(2027,1,1),1))+COUNTIFS(Stripe_Invoices_Upload!$D$4:$D$5003,$A200,Stripe_Invoices_Upload!$E$4:$E$5003,"*Subscription*",Stripe_Invoices_Upload!$A$4:$A$5003,"&gt;="&amp;DATE(2027,1,1),Stripe_Invoices_Upload!$A$4:$A$5003,"&lt;"&amp;EDATE(DATE(2027,1,1),1)))&gt;0,"✓ Invoiced","⚠ Due"),""),""))</f>
        <v/>
      </c>
      <c r="Q200" s="130" t="str">
        <f aca="false">IF($A200="","",IF((DATE(YEAR($E200),MONTH($E200),1)&lt;=DATE(2027,2,1)),IF((MOD(DATEDIF(DATE(YEAR($E200),MONTH($E200),1),DATE(2027,2,1),"m"),IF($D200="Quarterly",3,IF($D200="Annual",12,1)))=0),IF((COUNTIFS(Xero_Raw!$D$4:$D$5003,$A200,Xero_Raw!$G$4:$G$5003,"*Subscription*",Xero_Raw!$A$4:$A$5003,"&gt;="&amp;DATE(2027,2,1),Xero_Raw!$A$4:$A$5003,"&lt;"&amp;EDATE(DATE(2027,2,1),1))+COUNTIFS(Customer_Invoices_Upload!$E$4:$E$5003,$A200,Customer_Invoices_Upload!$G$4:$G$5003,"*Subscription*",Customer_Invoices_Upload!$B$4:$B$5003,"&gt;="&amp;DATE(2027,2,1),Customer_Invoices_Upload!$B$4:$B$5003,"&lt;"&amp;EDATE(DATE(2027,2,1),1))+COUNTIFS(Stripe_Invoices_Upload!$D$4:$D$5003,$A200,Stripe_Invoices_Upload!$E$4:$E$5003,"*Subscription*",Stripe_Invoices_Upload!$A$4:$A$5003,"&gt;="&amp;DATE(2027,2,1),Stripe_Invoices_Upload!$A$4:$A$5003,"&lt;"&amp;EDATE(DATE(2027,2,1),1)))&gt;0,"✓ Invoiced","⚠ Due"),""),""))</f>
        <v/>
      </c>
      <c r="R200" s="130" t="str">
        <f aca="false">IF($A200="","",IF((DATE(YEAR($E200),MONTH($E200),1)&lt;=DATE(2027,3,1)),IF((MOD(DATEDIF(DATE(YEAR($E200),MONTH($E200),1),DATE(2027,3,1),"m"),IF($D200="Quarterly",3,IF($D200="Annual",12,1)))=0),IF((COUNTIFS(Xero_Raw!$D$4:$D$5003,$A200,Xero_Raw!$G$4:$G$5003,"*Subscription*",Xero_Raw!$A$4:$A$5003,"&gt;="&amp;DATE(2027,3,1),Xero_Raw!$A$4:$A$5003,"&lt;"&amp;EDATE(DATE(2027,3,1),1))+COUNTIFS(Customer_Invoices_Upload!$E$4:$E$5003,$A200,Customer_Invoices_Upload!$G$4:$G$5003,"*Subscription*",Customer_Invoices_Upload!$B$4:$B$5003,"&gt;="&amp;DATE(2027,3,1),Customer_Invoices_Upload!$B$4:$B$5003,"&lt;"&amp;EDATE(DATE(2027,3,1),1))+COUNTIFS(Stripe_Invoices_Upload!$D$4:$D$5003,$A200,Stripe_Invoices_Upload!$E$4:$E$5003,"*Subscription*",Stripe_Invoices_Upload!$A$4:$A$5003,"&gt;="&amp;DATE(2027,3,1),Stripe_Invoices_Upload!$A$4:$A$5003,"&lt;"&amp;EDATE(DATE(2027,3,1),1)))&gt;0,"✓ Invoiced","⚠ Due"),""),""))</f>
        <v/>
      </c>
    </row>
  </sheetData>
  <mergeCells count="2">
    <mergeCell ref="A1:S1"/>
    <mergeCell ref="A2:S2"/>
  </mergeCells>
  <conditionalFormatting sqref="G5:R8">
    <cfRule type="cellIs" priority="2" operator="equal" aboveAverage="0" equalAverage="0" bottom="0" percent="0" rank="0" text="" dxfId="0">
      <formula>"✓ Invoiced"</formula>
    </cfRule>
    <cfRule type="cellIs" priority="3" operator="equal" aboveAverage="0" equalAverage="0" bottom="0" percent="0" rank="0" text="" dxfId="1">
      <formula>"⚠ Due"</formula>
    </cfRule>
  </conditionalFormatting>
  <conditionalFormatting sqref="G9:R200">
    <cfRule type="cellIs" priority="4" operator="equal" aboveAverage="0" equalAverage="0" bottom="0" percent="0" rank="0" text="" dxfId="0">
      <formula>"✓ Invoiced"</formula>
    </cfRule>
    <cfRule type="cellIs" priority="5" operator="equal" aboveAverage="0" equalAverage="0" bottom="0" percent="0" rank="0" text="" dxfId="1">
      <formula>"⚠ Due"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2026-07-01T20:22:17Z</dcterms:created>
  <dc:creator>openpyxl</dc:creator>
  <dc:description/>
  <dc:language>en-US</dc:language>
  <cp:lastModifiedBy/>
  <dcterms:modified xsi:type="dcterms:W3CDTF">2026-07-03T06:16:10Z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